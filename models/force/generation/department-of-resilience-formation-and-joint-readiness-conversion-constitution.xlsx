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9.xml" ContentType="application/vnd.openxmlformats-officedocument.spreadsheetml.worksheet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2.xml" ContentType="application/vnd.openxmlformats-officedocument.spreadsheetml.worksheet+xml"/>
  <Override PartName="/xl/worksheets/sheet16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0.xml" ContentType="application/vnd.openxmlformats-officedocument.spreadsheetml.worksheet+xml"/>
  <Override PartName="/xl/worksheets/sheet8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ecision" sheetId="1" state="visible" r:id="rId3"/>
    <sheet name="Controls" sheetId="2" state="visible" r:id="rId4"/>
    <sheet name="Architecture Gates" sheetId="3" state="visible" r:id="rId5"/>
    <sheet name="Conversion Law" sheetId="4" state="visible" r:id="rId6"/>
    <sheet name="State Machine" sheetId="5" state="visible" r:id="rId7"/>
    <sheet name="Formation Ledger" sheetId="6" state="visible" r:id="rId8"/>
    <sheet name="Family Readiness" sheetId="7" state="visible" r:id="rId9"/>
    <sheet name="Service Summary" sheetId="8" state="visible" r:id="rId10"/>
    <sheet name="Mission Summary" sheetId="9" state="visible" r:id="rId11"/>
    <sheet name="Joint Stack" sheetId="10" state="visible" r:id="rId12"/>
    <sheet name="Denial Worlds" sheetId="11" state="visible" r:id="rId13"/>
    <sheet name="Reservation Graph" sheetId="12" state="visible" r:id="rId14"/>
    <sheet name="Replacement Screen" sheetId="13" state="visible" r:id="rId15"/>
    <sheet name="Personnel Capital" sheetId="14" state="visible" r:id="rId16"/>
    <sheet name="Finance Crosswalk" sheetId="15" state="visible" r:id="rId17"/>
    <sheet name="Scenario Analysis" sheetId="16" state="visible" r:id="rId18"/>
    <sheet name="Innovation Program" sheetId="17" state="visible" r:id="rId19"/>
    <sheet name="Audit" sheetId="18" state="visible" r:id="rId20"/>
    <sheet name="Mutation Tests" sheetId="19" state="visible" r:id="rId21"/>
    <sheet name="Sources" sheetId="20" state="visible" r:id="rId22"/>
    <sheet name="Read Me" sheetId="21" state="visible" r:id="rId2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<sst xmlns="http://schemas.openxmlformats.org/spreadsheetml/2006/main" count="67440" uniqueCount="12015">
  <si>
    <t xml:space="preserve">Formation and joint-readiness conversion constitution</t>
  </si>
  <si>
    <t xml:space="preserve">Pass 191 | DFG-1 | industry is a regeneration source; only separately warranted formation serials enter the force</t>
  </si>
  <si>
    <t xml:space="preserve">State</t>
  </si>
  <si>
    <t xml:space="preserve">Credit</t>
  </si>
  <si>
    <t xml:space="preserve">Decision metric</t>
  </si>
  <si>
    <t xml:space="preserve">Value</t>
  </si>
  <si>
    <t xml:space="preserve">Industrial</t>
  </si>
  <si>
    <t xml:space="preserve">Verdict</t>
  </si>
  <si>
    <t xml:space="preserve">CLOSE</t>
  </si>
  <si>
    <t xml:space="preserve">Equipment</t>
  </si>
  <si>
    <t xml:space="preserve">Deepest branch</t>
  </si>
  <si>
    <t xml:space="preserve">DFG-1, first of five</t>
  </si>
  <si>
    <t xml:space="preserve">Service ready</t>
  </si>
  <si>
    <t xml:space="preserve">Selected architecture</t>
  </si>
  <si>
    <t xml:space="preserve">Serial conversion lattice</t>
  </si>
  <si>
    <t xml:space="preserve">Joint admitted</t>
  </si>
  <si>
    <t xml:space="preserve">Formation states</t>
  </si>
  <si>
    <t xml:space="preserve">Released now</t>
  </si>
  <si>
    <t xml:space="preserve">Formation warrants</t>
  </si>
  <si>
    <t xml:space="preserve">Owned formation equivalents</t>
  </si>
  <si>
    <t xml:space="preserve">Ready obligation</t>
  </si>
  <si>
    <t xml:space="preserve">Formation-warrant evidence cells</t>
  </si>
  <si>
    <t xml:space="preserve">Joint mission-world cells</t>
  </si>
  <si>
    <t xml:space="preserve">Concurrent joint contributions</t>
  </si>
  <si>
    <t xml:space="preserve">Actual service-ready formations</t>
  </si>
  <si>
    <t xml:space="preserve">Actual joint campaign credit</t>
  </si>
  <si>
    <t xml:space="preserve">Formation capital USD B</t>
  </si>
  <si>
    <t xml:space="preserve">Initial formations account USD B</t>
  </si>
  <si>
    <t xml:space="preserve">Capital beyond initial account USD B</t>
  </si>
  <si>
    <t xml:space="preserve">Direct affiliated billets</t>
  </si>
  <si>
    <t xml:space="preserve">Released readiness authority</t>
  </si>
  <si>
    <t xml:space="preserve">Evidence state</t>
  </si>
  <si>
    <t xml:space="preserve">SOURCE EMPTY / HOLD</t>
  </si>
  <si>
    <t xml:space="preserve">Formation-conversion controls</t>
  </si>
  <si>
    <t xml:space="preserve">Blue cells are inherited or transparent planning controls; none can release authority.</t>
  </si>
  <si>
    <t xml:space="preserve">Control</t>
  </si>
  <si>
    <t xml:space="preserve">Unit</t>
  </si>
  <si>
    <t xml:space="preserve">Status</t>
  </si>
  <si>
    <t xml:space="preserve">formations</t>
  </si>
  <si>
    <t xml:space="preserve">CONSTITUTIVE / PLANNING</t>
  </si>
  <si>
    <t xml:space="preserve">Concurrent demand</t>
  </si>
  <si>
    <t xml:space="preserve">Protected reserve</t>
  </si>
  <si>
    <t xml:space="preserve">share</t>
  </si>
  <si>
    <t xml:space="preserve">Readiness districts</t>
  </si>
  <si>
    <t xml:space="preserve">districts</t>
  </si>
  <si>
    <t xml:space="preserve">District concentration ceiling</t>
  </si>
  <si>
    <t xml:space="preserve">Mission systems</t>
  </si>
  <si>
    <t xml:space="preserve">systems</t>
  </si>
  <si>
    <t xml:space="preserve">Campaign worlds</t>
  </si>
  <si>
    <t xml:space="preserve">worlds</t>
  </si>
  <si>
    <t xml:space="preserve">warrants</t>
  </si>
  <si>
    <t xml:space="preserve">Canonical families</t>
  </si>
  <si>
    <t xml:space="preserve">families</t>
  </si>
  <si>
    <t xml:space="preserve">Formation capital</t>
  </si>
  <si>
    <t xml:space="preserve">USD B</t>
  </si>
  <si>
    <t xml:space="preserve">Mature 25-year capital screen</t>
  </si>
  <si>
    <t xml:space="preserve">Initial formations account</t>
  </si>
  <si>
    <t xml:space="preserve">billets</t>
  </si>
  <si>
    <t xml:space="preserve">cells</t>
  </si>
  <si>
    <t xml:space="preserve">Released service formations</t>
  </si>
  <si>
    <t xml:space="preserve">Released joint campaign credit</t>
  </si>
  <si>
    <t xml:space="preserve">Five rival readiness-accounting architectures</t>
  </si>
  <si>
    <t xml:space="preserve">Ten gates are conjunctive; convenience and apparent output cannot compensate for missing authority.</t>
  </si>
  <si>
    <t xml:space="preserve">Architecture</t>
  </si>
  <si>
    <t xml:space="preserve">Distinct states</t>
  </si>
  <si>
    <t xml:space="preserve">Named serial</t>
  </si>
  <si>
    <t xml:space="preserve">Complete crew</t>
  </si>
  <si>
    <t xml:space="preserve">Complete sustainment</t>
  </si>
  <si>
    <t xml:space="preserve">Receiver closure</t>
  </si>
  <si>
    <t xml:space="preserve">Independent trial</t>
  </si>
  <si>
    <t xml:space="preserve">Exclusive reservation</t>
  </si>
  <si>
    <t xml:space="preserve">Regeneration</t>
  </si>
  <si>
    <t xml:space="preserve">N−1 family law</t>
  </si>
  <si>
    <t xml:space="preserve">Joint-world proof</t>
  </si>
  <si>
    <t xml:space="preserve">Decision</t>
  </si>
  <si>
    <t xml:space="preserve">Industrial-equivalent accounting</t>
  </si>
  <si>
    <t xml:space="preserve">PASS</t>
  </si>
  <si>
    <t xml:space="preserve">FAIL</t>
  </si>
  <si>
    <t xml:space="preserve">REJECT</t>
  </si>
  <si>
    <t xml:space="preserve">Accepted-equipment inventory</t>
  </si>
  <si>
    <t xml:space="preserve">Service self-certification</t>
  </si>
  <si>
    <t xml:space="preserve">Paper joint aggregation</t>
  </si>
  <si>
    <t xml:space="preserve">SELECT</t>
  </si>
  <si>
    <t xml:space="preserve">The serial conversion constitution</t>
  </si>
  <si>
    <t xml:space="preserve">Industry regenerates the force; it is never itself booked as deployed force.</t>
  </si>
  <si>
    <t xml:space="preserve">Law</t>
  </si>
  <si>
    <t xml:space="preserve">Rule</t>
  </si>
  <si>
    <t xml:space="preserve">Positive requirement</t>
  </si>
  <si>
    <t xml:space="preserve">Failure consequence</t>
  </si>
  <si>
    <t xml:space="preserve">L01</t>
  </si>
  <si>
    <t xml:space="preserve">Industrial availability is a source</t>
  </si>
  <si>
    <t xml:space="preserve">Factory, tooling, supplier option or cold lot is never a deployable formation</t>
  </si>
  <si>
    <t xml:space="preserve">Zero force credit</t>
  </si>
  <si>
    <t xml:space="preserve">L02</t>
  </si>
  <si>
    <t xml:space="preserve">Formation is conjunctive</t>
  </si>
  <si>
    <t xml:space="preserve">All ten warrants belong to one formation serial; no averaging across units</t>
  </si>
  <si>
    <t xml:space="preserve">Any missing warrant = HOLD</t>
  </si>
  <si>
    <t xml:space="preserve">L03</t>
  </si>
  <si>
    <t xml:space="preserve">Service and joint states differ</t>
  </si>
  <si>
    <t xml:space="preserve">A service-ready formation is not a tested campaign contribution</t>
  </si>
  <si>
    <t xml:space="preserve">Joint credit remains zero</t>
  </si>
  <si>
    <t xml:space="preserve">L04</t>
  </si>
  <si>
    <t xml:space="preserve">Reservation is physical</t>
  </si>
  <si>
    <t xml:space="preserve">People, articles, stocks, mobility and receivers share one exclusive claim graph</t>
  </si>
  <si>
    <t xml:space="preserve">Collision removes both claims</t>
  </si>
  <si>
    <t xml:space="preserve">L05</t>
  </si>
  <si>
    <t xml:space="preserve">Readiness is instantaneous</t>
  </si>
  <si>
    <t xml:space="preserve">Inventory ownership does not imply the required ready fraction is available now</t>
  </si>
  <si>
    <t xml:space="preserve">Only current serial states count</t>
  </si>
  <si>
    <t xml:space="preserve">L06</t>
  </si>
  <si>
    <t xml:space="preserve">N−1 is family-specific</t>
  </si>
  <si>
    <t xml:space="preserve">Every family retains protected demand after any readiness-district loss</t>
  </si>
  <si>
    <t xml:space="preserve">No cross-family substitution</t>
  </si>
  <si>
    <t xml:space="preserve">L07</t>
  </si>
  <si>
    <t xml:space="preserve">Evidence is authority-separated</t>
  </si>
  <si>
    <t xml:space="preserve">Builder, service, proving, capacity and civil authorities cannot self-compose credit</t>
  </si>
  <si>
    <t xml:space="preserve">Missing signer = HOLD</t>
  </si>
  <si>
    <t xml:space="preserve">L08</t>
  </si>
  <si>
    <t xml:space="preserve">Adverse states persist</t>
  </si>
  <si>
    <t xml:space="preserve">Drift, crew loss, reservation conflict, failed trial or regeneration failure rolls back credit</t>
  </si>
  <si>
    <t xml:space="preserve">History cannot be erased</t>
  </si>
  <si>
    <t xml:space="preserve">L09</t>
  </si>
  <si>
    <t xml:space="preserve">Capital creates no state</t>
  </si>
  <si>
    <t xml:space="preserve">USD 230B initial formations and USD 9.41T formation capital are expenditure screens</t>
  </si>
  <si>
    <t xml:space="preserve">Spend earns zero authority</t>
  </si>
  <si>
    <t xml:space="preserve">L10</t>
  </si>
  <si>
    <t xml:space="preserve">Campaign credit is bounded</t>
  </si>
  <si>
    <t xml:space="preserve">Credit attaches to one mission-system × campaign world and its exact interval</t>
  </si>
  <si>
    <t xml:space="preserve">No universal readiness claim</t>
  </si>
  <si>
    <t xml:space="preserve">Ten formation warrants plus separate joint admission</t>
  </si>
  <si>
    <t xml:space="preserve">Each warrant has a single accountable issuer. A later state cannot cure an earlier absence.</t>
  </si>
  <si>
    <t xml:space="preserve">Warrant</t>
  </si>
  <si>
    <t xml:space="preserve">Exit condition</t>
  </si>
  <si>
    <t xml:space="preserve">Issuing authority</t>
  </si>
  <si>
    <t xml:space="preserve">W1</t>
  </si>
  <si>
    <t xml:space="preserve">Accepted article</t>
  </si>
  <si>
    <t xml:space="preserve">Controlled equipment set carries technical acceptance and genealogy</t>
  </si>
  <si>
    <t xml:space="preserve">Operating service + Root House</t>
  </si>
  <si>
    <t xml:space="preserve">W2</t>
  </si>
  <si>
    <t xml:space="preserve">Named, current, household-supported personnel fill every critical role</t>
  </si>
  <si>
    <t xml:space="preserve">Operating service</t>
  </si>
  <si>
    <t xml:space="preserve">W3</t>
  </si>
  <si>
    <t xml:space="preserve">Technical release</t>
  </si>
  <si>
    <t xml:space="preserve">Configuration, safety, licensing and professional release are current</t>
  </si>
  <si>
    <t xml:space="preserve">W4</t>
  </si>
  <si>
    <t xml:space="preserve">Sustainment set</t>
  </si>
  <si>
    <t xml:space="preserve">Stocks, maintenance, spares, waste and replenishment close the occupied interval</t>
  </si>
  <si>
    <t xml:space="preserve">Strategic Sustainment Command</t>
  </si>
  <si>
    <t xml:space="preserve">W5</t>
  </si>
  <si>
    <t xml:space="preserve">Mobility and access</t>
  </si>
  <si>
    <t xml:space="preserve">Formation reaches and operates through its declared theater-entry envelope</t>
  </si>
  <si>
    <t xml:space="preserve">Mission System Command</t>
  </si>
  <si>
    <t xml:space="preserve">W6</t>
  </si>
  <si>
    <t xml:space="preserve">Receiver interface</t>
  </si>
  <si>
    <t xml:space="preserve">Named receiving capacity, transfer terms and civil admission are proved</t>
  </si>
  <si>
    <t xml:space="preserve">Civil Resilience Authority</t>
  </si>
  <si>
    <t xml:space="preserve">W7</t>
  </si>
  <si>
    <t xml:space="preserve">Lawful command</t>
  </si>
  <si>
    <t xml:space="preserve">Activation, public priority, rights and stop authority are executable</t>
  </si>
  <si>
    <t xml:space="preserve">W8</t>
  </si>
  <si>
    <t xml:space="preserve">No-notice formation trial</t>
  </si>
  <si>
    <t xml:space="preserve">Complete formation produces its service under denial without borrowed credit</t>
  </si>
  <si>
    <t xml:space="preserve">Resilience Proving Service</t>
  </si>
  <si>
    <t xml:space="preserve">W9</t>
  </si>
  <si>
    <t xml:space="preserve">Serial, people, stocks, lift and receiver claims are not promised elsewhere</t>
  </si>
  <si>
    <t xml:space="preserve">Joint Capacity Authority</t>
  </si>
  <si>
    <t xml:space="preserve">W10</t>
  </si>
  <si>
    <t xml:space="preserve">Regeneration path</t>
  </si>
  <si>
    <t xml:space="preserve">Replacement people, stocks, repair and production restore the exact formation</t>
  </si>
  <si>
    <t xml:space="preserve">Joint J1</t>
  </si>
  <si>
    <t xml:space="preserve">Mission interface</t>
  </si>
  <si>
    <t xml:space="preserve">Complete formation mapped to one mission-system/campaign stack</t>
  </si>
  <si>
    <t xml:space="preserve">Joint J2</t>
  </si>
  <si>
    <t xml:space="preserve">Concurrent joint trial</t>
  </si>
  <si>
    <t xml:space="preserve">All claimed formations and receivers pass together under the campaign denial</t>
  </si>
  <si>
    <t xml:space="preserve">Joint J3</t>
  </si>
  <si>
    <t xml:space="preserve">Civil admission</t>
  </si>
  <si>
    <t xml:space="preserve">Public effects, rights and transfer conditions are accepted</t>
  </si>
  <si>
    <t xml:space="preserve">Five thousand two hundred fifty-one formation serials</t>
  </si>
  <si>
    <t xml:space="preserve">Amber fields are source-empty evidence. Planned obligation is not actual readiness.</t>
  </si>
  <si>
    <t xml:space="preserve">Formation serial</t>
  </si>
  <si>
    <t xml:space="preserve">Family</t>
  </si>
  <si>
    <t xml:space="preserve">Formation</t>
  </si>
  <si>
    <t xml:space="preserve">Service</t>
  </si>
  <si>
    <t xml:space="preserve">Mission</t>
  </si>
  <si>
    <t xml:space="preserve">Generator district</t>
  </si>
  <si>
    <t xml:space="preserve">Reach lane</t>
  </si>
  <si>
    <t xml:space="preserve">Direct billets</t>
  </si>
  <si>
    <t xml:space="preserve">Capital USD B</t>
  </si>
  <si>
    <t xml:space="preserve">Planned ready obligation</t>
  </si>
  <si>
    <t xml:space="preserve">Service state</t>
  </si>
  <si>
    <t xml:space="preserve">Service credit</t>
  </si>
  <si>
    <t xml:space="preserve">J-CIE-0001</t>
  </si>
  <si>
    <t xml:space="preserve">J-CIE</t>
  </si>
  <si>
    <t xml:space="preserve">Civil integration and effects group</t>
  </si>
  <si>
    <t xml:space="preserve">Joint</t>
  </si>
  <si>
    <t xml:space="preserve">MS-CT</t>
  </si>
  <si>
    <t xml:space="preserve">RD-01</t>
  </si>
  <si>
    <t xml:space="preserve">IRN-A</t>
  </si>
  <si>
    <t xml:space="preserve">J-CIE-0002</t>
  </si>
  <si>
    <t xml:space="preserve">RD-02</t>
  </si>
  <si>
    <t xml:space="preserve">IRN-B</t>
  </si>
  <si>
    <t xml:space="preserve">J-CIE-0003</t>
  </si>
  <si>
    <t xml:space="preserve">RD-03</t>
  </si>
  <si>
    <t xml:space="preserve">J-CIE-0004</t>
  </si>
  <si>
    <t xml:space="preserve">RD-04</t>
  </si>
  <si>
    <t xml:space="preserve">J-CIE-0005</t>
  </si>
  <si>
    <t xml:space="preserve">RD-05</t>
  </si>
  <si>
    <t xml:space="preserve">J-CIE-0006</t>
  </si>
  <si>
    <t xml:space="preserve">RD-06</t>
  </si>
  <si>
    <t xml:space="preserve">J-CIE-0007</t>
  </si>
  <si>
    <t xml:space="preserve">RD-07</t>
  </si>
  <si>
    <t xml:space="preserve">J-CIE-0008</t>
  </si>
  <si>
    <t xml:space="preserve">J-CIE-0009</t>
  </si>
  <si>
    <t xml:space="preserve">J-CIE-0010</t>
  </si>
  <si>
    <t xml:space="preserve">J-CIE-0011</t>
  </si>
  <si>
    <t xml:space="preserve">J-CIE-0012</t>
  </si>
  <si>
    <t xml:space="preserve">J-CIE-0013</t>
  </si>
  <si>
    <t xml:space="preserve">J-CIE-0014</t>
  </si>
  <si>
    <t xml:space="preserve">J-CIE-0015</t>
  </si>
  <si>
    <t xml:space="preserve">J-CIE-0016</t>
  </si>
  <si>
    <t xml:space="preserve">DOMESTIC</t>
  </si>
  <si>
    <t xml:space="preserve">J-CIE-0017</t>
  </si>
  <si>
    <t xml:space="preserve">J-CIE-0018</t>
  </si>
  <si>
    <t xml:space="preserve">J-CIE-0019</t>
  </si>
  <si>
    <t xml:space="preserve">J-CIE-0020</t>
  </si>
  <si>
    <t xml:space="preserve">J-CIE-0021</t>
  </si>
  <si>
    <t xml:space="preserve">J-CIE-0022</t>
  </si>
  <si>
    <t xml:space="preserve">J-CIE-0023</t>
  </si>
  <si>
    <t xml:space="preserve">J-CIE-0024</t>
  </si>
  <si>
    <t xml:space="preserve">J-CIE-0025</t>
  </si>
  <si>
    <t xml:space="preserve">J-CIE-0026</t>
  </si>
  <si>
    <t xml:space="preserve">J-CIE-0027</t>
  </si>
  <si>
    <t xml:space="preserve">J-CIE-0028</t>
  </si>
  <si>
    <t xml:space="preserve">J-CIE-0029</t>
  </si>
  <si>
    <t xml:space="preserve">J-CIE-0030</t>
  </si>
  <si>
    <t xml:space="preserve">J-CIE-0031</t>
  </si>
  <si>
    <t xml:space="preserve">J-CIE-0032</t>
  </si>
  <si>
    <t xml:space="preserve">J-CIE-0033</t>
  </si>
  <si>
    <t xml:space="preserve">J-CIE-0034</t>
  </si>
  <si>
    <t xml:space="preserve">J-CIE-0035</t>
  </si>
  <si>
    <t xml:space="preserve">J-CIE-0036</t>
  </si>
  <si>
    <t xml:space="preserve">J-CIE-0037</t>
  </si>
  <si>
    <t xml:space="preserve">J-CIE-0038</t>
  </si>
  <si>
    <t xml:space="preserve">J-CIE-0039</t>
  </si>
  <si>
    <t xml:space="preserve">J-CIE-0040</t>
  </si>
  <si>
    <t xml:space="preserve">J-CIE-0041</t>
  </si>
  <si>
    <t xml:space="preserve">J-CIE-0042</t>
  </si>
  <si>
    <t xml:space="preserve">J-CIE-0043</t>
  </si>
  <si>
    <t xml:space="preserve">J-CIE-0044</t>
  </si>
  <si>
    <t xml:space="preserve">J-CIE-0045</t>
  </si>
  <si>
    <t xml:space="preserve">J-CIE-0046</t>
  </si>
  <si>
    <t xml:space="preserve">J-CIE-0047</t>
  </si>
  <si>
    <t xml:space="preserve">J-CIE-0048</t>
  </si>
  <si>
    <t xml:space="preserve">J-CIE-0049</t>
  </si>
  <si>
    <t xml:space="preserve">J-CIE-0050</t>
  </si>
  <si>
    <t xml:space="preserve">J-CIE-0051</t>
  </si>
  <si>
    <t xml:space="preserve">J-CIE-0052</t>
  </si>
  <si>
    <t xml:space="preserve">J-CIE-0053</t>
  </si>
  <si>
    <t xml:space="preserve">J-CIE-0054</t>
  </si>
  <si>
    <t xml:space="preserve">J-CIE-0055</t>
  </si>
  <si>
    <t xml:space="preserve">J-CIE-0056</t>
  </si>
  <si>
    <t xml:space="preserve">J-CIE-0057</t>
  </si>
  <si>
    <t xml:space="preserve">J-CIE-0058</t>
  </si>
  <si>
    <t xml:space="preserve">J-CIE-0059</t>
  </si>
  <si>
    <t xml:space="preserve">J-CIE-0060</t>
  </si>
  <si>
    <t xml:space="preserve">J-CIE-0061</t>
  </si>
  <si>
    <t xml:space="preserve">J-CIE-0062</t>
  </si>
  <si>
    <t xml:space="preserve">J-CIE-0063</t>
  </si>
  <si>
    <t xml:space="preserve">J-CIE-0064</t>
  </si>
  <si>
    <t xml:space="preserve">J-CIE-0065</t>
  </si>
  <si>
    <t xml:space="preserve">J-CIE-0066</t>
  </si>
  <si>
    <t xml:space="preserve">J-TOC-0001</t>
  </si>
  <si>
    <t xml:space="preserve">J-TOC</t>
  </si>
  <si>
    <t xml:space="preserve">Theater-opening command</t>
  </si>
  <si>
    <t xml:space="preserve">MS-ET</t>
  </si>
  <si>
    <t xml:space="preserve">J-TOC-0002</t>
  </si>
  <si>
    <t xml:space="preserve">J-TOC-0003</t>
  </si>
  <si>
    <t xml:space="preserve">J-TOC-0004</t>
  </si>
  <si>
    <t xml:space="preserve">J-TOC-0005</t>
  </si>
  <si>
    <t xml:space="preserve">J-TOC-0006</t>
  </si>
  <si>
    <t xml:space="preserve">J-TOC-0007</t>
  </si>
  <si>
    <t xml:space="preserve">J-TOC-0008</t>
  </si>
  <si>
    <t xml:space="preserve">J-TOC-0009</t>
  </si>
  <si>
    <t xml:space="preserve">J-TOC-0010</t>
  </si>
  <si>
    <t xml:space="preserve">J-TOC-0011</t>
  </si>
  <si>
    <t xml:space="preserve">J-TOC-0012</t>
  </si>
  <si>
    <t xml:space="preserve">J-TOC-0013</t>
  </si>
  <si>
    <t xml:space="preserve">J-TOC-0014</t>
  </si>
  <si>
    <t xml:space="preserve">J-TOC-0015</t>
  </si>
  <si>
    <t xml:space="preserve">J-TOC-0016</t>
  </si>
  <si>
    <t xml:space="preserve">J-TOC-0017</t>
  </si>
  <si>
    <t xml:space="preserve">J-TOC-0018</t>
  </si>
  <si>
    <t xml:space="preserve">J-TOC-0019</t>
  </si>
  <si>
    <t xml:space="preserve">J-TOC-0020</t>
  </si>
  <si>
    <t xml:space="preserve">J-TOC-0021</t>
  </si>
  <si>
    <t xml:space="preserve">J-TOC-0022</t>
  </si>
  <si>
    <t xml:space="preserve">J-TOC-0023</t>
  </si>
  <si>
    <t xml:space="preserve">J-TOC-0024</t>
  </si>
  <si>
    <t xml:space="preserve">J-TOC-0025</t>
  </si>
  <si>
    <t xml:space="preserve">J-TOC-0026</t>
  </si>
  <si>
    <t xml:space="preserve">J-TOC-0027</t>
  </si>
  <si>
    <t xml:space="preserve">J-TOC-0028</t>
  </si>
  <si>
    <t xml:space="preserve">J-TOC-0029</t>
  </si>
  <si>
    <t xml:space="preserve">J-TOC-0030</t>
  </si>
  <si>
    <t xml:space="preserve">J-TOC-0031</t>
  </si>
  <si>
    <t xml:space="preserve">J-TOC-0032</t>
  </si>
  <si>
    <t xml:space="preserve">J-TOC-0033</t>
  </si>
  <si>
    <t xml:space="preserve">J-TOC-0034</t>
  </si>
  <si>
    <t xml:space="preserve">J-TOC-0035</t>
  </si>
  <si>
    <t xml:space="preserve">J-TOC-0036</t>
  </si>
  <si>
    <t xml:space="preserve">J-TOC-0037</t>
  </si>
  <si>
    <t xml:space="preserve">J-TOC-0038</t>
  </si>
  <si>
    <t xml:space="preserve">J-TOC-0039</t>
  </si>
  <si>
    <t xml:space="preserve">J-TOC-0040</t>
  </si>
  <si>
    <t xml:space="preserve">J-TOC-0041</t>
  </si>
  <si>
    <t xml:space="preserve">J-TOC-0042</t>
  </si>
  <si>
    <t xml:space="preserve">J-TOC-0043</t>
  </si>
  <si>
    <t xml:space="preserve">J-TOC-0044</t>
  </si>
  <si>
    <t xml:space="preserve">J-TOC-0045</t>
  </si>
  <si>
    <t xml:space="preserve">J-TSC-0001</t>
  </si>
  <si>
    <t xml:space="preserve">J-TSC</t>
  </si>
  <si>
    <t xml:space="preserve">Theater sustainment command</t>
  </si>
  <si>
    <t xml:space="preserve">MS-RT</t>
  </si>
  <si>
    <t xml:space="preserve">J-TSC-0002</t>
  </si>
  <si>
    <t xml:space="preserve">J-TSC-0003</t>
  </si>
  <si>
    <t xml:space="preserve">J-TSC-0004</t>
  </si>
  <si>
    <t xml:space="preserve">J-TSC-0005</t>
  </si>
  <si>
    <t xml:space="preserve">J-TSC-0006</t>
  </si>
  <si>
    <t xml:space="preserve">J-TSC-0007</t>
  </si>
  <si>
    <t xml:space="preserve">J-TSC-0008</t>
  </si>
  <si>
    <t xml:space="preserve">J-TSC-0009</t>
  </si>
  <si>
    <t xml:space="preserve">J-TSC-0010</t>
  </si>
  <si>
    <t xml:space="preserve">J-TSC-0011</t>
  </si>
  <si>
    <t xml:space="preserve">J-TSC-0012</t>
  </si>
  <si>
    <t xml:space="preserve">J-TSC-0013</t>
  </si>
  <si>
    <t xml:space="preserve">J-TSC-0014</t>
  </si>
  <si>
    <t xml:space="preserve">J-TSC-0015</t>
  </si>
  <si>
    <t xml:space="preserve">J-TSC-0016</t>
  </si>
  <si>
    <t xml:space="preserve">J-TSC-0017</t>
  </si>
  <si>
    <t xml:space="preserve">J-TSC-0018</t>
  </si>
  <si>
    <t xml:space="preserve">J-TSC-0019</t>
  </si>
  <si>
    <t xml:space="preserve">J-TSC-0020</t>
  </si>
  <si>
    <t xml:space="preserve">J-TSC-0021</t>
  </si>
  <si>
    <t xml:space="preserve">J-TSC-0022</t>
  </si>
  <si>
    <t xml:space="preserve">J-TSC-0023</t>
  </si>
  <si>
    <t xml:space="preserve">J-TSC-0024</t>
  </si>
  <si>
    <t xml:space="preserve">J-TSC-0025</t>
  </si>
  <si>
    <t xml:space="preserve">J-TSC-0026</t>
  </si>
  <si>
    <t xml:space="preserve">J-TSC-0027</t>
  </si>
  <si>
    <t xml:space="preserve">J-TSC-0028</t>
  </si>
  <si>
    <t xml:space="preserve">J-TSC-0029</t>
  </si>
  <si>
    <t xml:space="preserve">J-TSC-0030</t>
  </si>
  <si>
    <t xml:space="preserve">J-TSC-0031</t>
  </si>
  <si>
    <t xml:space="preserve">J-TSC-0032</t>
  </si>
  <si>
    <t xml:space="preserve">J-TSC-0033</t>
  </si>
  <si>
    <t xml:space="preserve">J-TSC-0034</t>
  </si>
  <si>
    <t xml:space="preserve">J-TSC-0035</t>
  </si>
  <si>
    <t xml:space="preserve">J-TSC-0036</t>
  </si>
  <si>
    <t xml:space="preserve">J-TSC-0037</t>
  </si>
  <si>
    <t xml:space="preserve">J-TSC-0038</t>
  </si>
  <si>
    <t xml:space="preserve">J-TSC-0039</t>
  </si>
  <si>
    <t xml:space="preserve">J-TSC-0040</t>
  </si>
  <si>
    <t xml:space="preserve">J-TSC-0041</t>
  </si>
  <si>
    <t xml:space="preserve">J-TSC-0042</t>
  </si>
  <si>
    <t xml:space="preserve">J-TSC-0043</t>
  </si>
  <si>
    <t xml:space="preserve">J-TSC-0044</t>
  </si>
  <si>
    <t xml:space="preserve">J-TSC-0045</t>
  </si>
  <si>
    <t xml:space="preserve">J-TSC-0046</t>
  </si>
  <si>
    <t xml:space="preserve">J-TSC-0047</t>
  </si>
  <si>
    <t xml:space="preserve">J-TSC-0048</t>
  </si>
  <si>
    <t xml:space="preserve">J-TSC-0049</t>
  </si>
  <si>
    <t xml:space="preserve">J-TSC-0050</t>
  </si>
  <si>
    <t xml:space="preserve">J-TSC-0051</t>
  </si>
  <si>
    <t xml:space="preserve">J-TSC-0052</t>
  </si>
  <si>
    <t xml:space="preserve">J-TSC-0053</t>
  </si>
  <si>
    <t xml:space="preserve">J-TSC-0054</t>
  </si>
  <si>
    <t xml:space="preserve">J-TSC-0055</t>
  </si>
  <si>
    <t xml:space="preserve">J-TSC-0056</t>
  </si>
  <si>
    <t xml:space="preserve">J-TSC-0057</t>
  </si>
  <si>
    <t xml:space="preserve">J-TSC-0058</t>
  </si>
  <si>
    <t xml:space="preserve">J-TSC-0059</t>
  </si>
  <si>
    <t xml:space="preserve">J-TSC-0060</t>
  </si>
  <si>
    <t xml:space="preserve">J-TSC-0061</t>
  </si>
  <si>
    <t xml:space="preserve">J-TSC-0062</t>
  </si>
  <si>
    <t xml:space="preserve">J-TSC-0063</t>
  </si>
  <si>
    <t xml:space="preserve">J-TSC-0064</t>
  </si>
  <si>
    <t xml:space="preserve">J-RIG-0001</t>
  </si>
  <si>
    <t xml:space="preserve">J-RIG</t>
  </si>
  <si>
    <t xml:space="preserve">Resilience information group</t>
  </si>
  <si>
    <t xml:space="preserve">J-RIG-0002</t>
  </si>
  <si>
    <t xml:space="preserve">J-RIG-0003</t>
  </si>
  <si>
    <t xml:space="preserve">J-RIG-0004</t>
  </si>
  <si>
    <t xml:space="preserve">J-RIG-0005</t>
  </si>
  <si>
    <t xml:space="preserve">J-RIG-0006</t>
  </si>
  <si>
    <t xml:space="preserve">J-RIG-0007</t>
  </si>
  <si>
    <t xml:space="preserve">J-RIG-0008</t>
  </si>
  <si>
    <t xml:space="preserve">J-RIG-0009</t>
  </si>
  <si>
    <t xml:space="preserve">J-RIG-0010</t>
  </si>
  <si>
    <t xml:space="preserve">J-RIG-0011</t>
  </si>
  <si>
    <t xml:space="preserve">J-RIG-0012</t>
  </si>
  <si>
    <t xml:space="preserve">J-RIG-0013</t>
  </si>
  <si>
    <t xml:space="preserve">J-RIG-0014</t>
  </si>
  <si>
    <t xml:space="preserve">J-RIG-0015</t>
  </si>
  <si>
    <t xml:space="preserve">J-RIG-0016</t>
  </si>
  <si>
    <t xml:space="preserve">J-RIG-0017</t>
  </si>
  <si>
    <t xml:space="preserve">J-RIG-0018</t>
  </si>
  <si>
    <t xml:space="preserve">J-RIG-0019</t>
  </si>
  <si>
    <t xml:space="preserve">J-RIG-0020</t>
  </si>
  <si>
    <t xml:space="preserve">J-RIG-0021</t>
  </si>
  <si>
    <t xml:space="preserve">J-RIG-0022</t>
  </si>
  <si>
    <t xml:space="preserve">J-RIG-0023</t>
  </si>
  <si>
    <t xml:space="preserve">J-RIG-0024</t>
  </si>
  <si>
    <t xml:space="preserve">J-RIG-0025</t>
  </si>
  <si>
    <t xml:space="preserve">J-RIG-0026</t>
  </si>
  <si>
    <t xml:space="preserve">J-RIG-0027</t>
  </si>
  <si>
    <t xml:space="preserve">J-RIG-0028</t>
  </si>
  <si>
    <t xml:space="preserve">J-RIG-0029</t>
  </si>
  <si>
    <t xml:space="preserve">J-RIG-0030</t>
  </si>
  <si>
    <t xml:space="preserve">J-RIG-0031</t>
  </si>
  <si>
    <t xml:space="preserve">J-RIG-0032</t>
  </si>
  <si>
    <t xml:space="preserve">J-RIG-0033</t>
  </si>
  <si>
    <t xml:space="preserve">J-RIG-0034</t>
  </si>
  <si>
    <t xml:space="preserve">J-RIG-0035</t>
  </si>
  <si>
    <t xml:space="preserve">J-RIG-0036</t>
  </si>
  <si>
    <t xml:space="preserve">J-RIG-0037</t>
  </si>
  <si>
    <t xml:space="preserve">J-RIG-0038</t>
  </si>
  <si>
    <t xml:space="preserve">J-RIG-0039</t>
  </si>
  <si>
    <t xml:space="preserve">J-RIG-0040</t>
  </si>
  <si>
    <t xml:space="preserve">J-RIG-0041</t>
  </si>
  <si>
    <t xml:space="preserve">J-RIG-0042</t>
  </si>
  <si>
    <t xml:space="preserve">J-RIG-0043</t>
  </si>
  <si>
    <t xml:space="preserve">J-RIG-0044</t>
  </si>
  <si>
    <t xml:space="preserve">J-RIG-0045</t>
  </si>
  <si>
    <t xml:space="preserve">J-RIG-0046</t>
  </si>
  <si>
    <t xml:space="preserve">J-RIG-0047</t>
  </si>
  <si>
    <t xml:space="preserve">J-RIG-0048</t>
  </si>
  <si>
    <t xml:space="preserve">J-RIG-0049</t>
  </si>
  <si>
    <t xml:space="preserve">J-RIG-0050</t>
  </si>
  <si>
    <t xml:space="preserve">J-RIG-0051</t>
  </si>
  <si>
    <t xml:space="preserve">J-RIG-0052</t>
  </si>
  <si>
    <t xml:space="preserve">J-RIG-0053</t>
  </si>
  <si>
    <t xml:space="preserve">J-RIG-0054</t>
  </si>
  <si>
    <t xml:space="preserve">J-RIG-0055</t>
  </si>
  <si>
    <t xml:space="preserve">J-RIG-0056</t>
  </si>
  <si>
    <t xml:space="preserve">J-RIG-0057</t>
  </si>
  <si>
    <t xml:space="preserve">J-RIG-0058</t>
  </si>
  <si>
    <t xml:space="preserve">J-RIG-0059</t>
  </si>
  <si>
    <t xml:space="preserve">J-RIG-0060</t>
  </si>
  <si>
    <t xml:space="preserve">J-RIG-0061</t>
  </si>
  <si>
    <t xml:space="preserve">J-RIG-0062</t>
  </si>
  <si>
    <t xml:space="preserve">J-RIG-0063</t>
  </si>
  <si>
    <t xml:space="preserve">J-RIG-0064</t>
  </si>
  <si>
    <t xml:space="preserve">J-RIG-0065</t>
  </si>
  <si>
    <t xml:space="preserve">J-RIG-0066</t>
  </si>
  <si>
    <t xml:space="preserve">J-RIG-0067</t>
  </si>
  <si>
    <t xml:space="preserve">J-RIG-0068</t>
  </si>
  <si>
    <t xml:space="preserve">J-RIG-0069</t>
  </si>
  <si>
    <t xml:space="preserve">J-RIG-0070</t>
  </si>
  <si>
    <t xml:space="preserve">J-RIG-0071</t>
  </si>
  <si>
    <t xml:space="preserve">J-RIG-0072</t>
  </si>
  <si>
    <t xml:space="preserve">J-RIG-0073</t>
  </si>
  <si>
    <t xml:space="preserve">J-RIG-0074</t>
  </si>
  <si>
    <t xml:space="preserve">J-RIG-0075</t>
  </si>
  <si>
    <t xml:space="preserve">J-RIG-0076</t>
  </si>
  <si>
    <t xml:space="preserve">J-RIG-0077</t>
  </si>
  <si>
    <t xml:space="preserve">J-RIG-0078</t>
  </si>
  <si>
    <t xml:space="preserve">J-RIG-0079</t>
  </si>
  <si>
    <t xml:space="preserve">J-RIG-0080</t>
  </si>
  <si>
    <t xml:space="preserve">J-RIG-0081</t>
  </si>
  <si>
    <t xml:space="preserve">J-RIG-0082</t>
  </si>
  <si>
    <t xml:space="preserve">J-RIG-0083</t>
  </si>
  <si>
    <t xml:space="preserve">J-RIG-0084</t>
  </si>
  <si>
    <t xml:space="preserve">J-RIG-0085</t>
  </si>
  <si>
    <t xml:space="preserve">J-RIG-0086</t>
  </si>
  <si>
    <t xml:space="preserve">J-RIG-0087</t>
  </si>
  <si>
    <t xml:space="preserve">J-RIG-0088</t>
  </si>
  <si>
    <t xml:space="preserve">J-RIG-0089</t>
  </si>
  <si>
    <t xml:space="preserve">J-RIG-0090</t>
  </si>
  <si>
    <t xml:space="preserve">J-RIG-0091</t>
  </si>
  <si>
    <t xml:space="preserve">J-RIG-0092</t>
  </si>
  <si>
    <t xml:space="preserve">J-RIG-0093</t>
  </si>
  <si>
    <t xml:space="preserve">J-RIG-0094</t>
  </si>
  <si>
    <t xml:space="preserve">J-RIG-0095</t>
  </si>
  <si>
    <t xml:space="preserve">J-RIG-0096</t>
  </si>
  <si>
    <t xml:space="preserve">J-RIG-0097</t>
  </si>
  <si>
    <t xml:space="preserve">J-RIG-0098</t>
  </si>
  <si>
    <t xml:space="preserve">J-RIG-0099</t>
  </si>
  <si>
    <t xml:space="preserve">J-RIG-0100</t>
  </si>
  <si>
    <t xml:space="preserve">J-RIG-0101</t>
  </si>
  <si>
    <t xml:space="preserve">J-RIG-0102</t>
  </si>
  <si>
    <t xml:space="preserve">J-RIG-0103</t>
  </si>
  <si>
    <t xml:space="preserve">J-RIG-0104</t>
  </si>
  <si>
    <t xml:space="preserve">J-RIG-0105</t>
  </si>
  <si>
    <t xml:space="preserve">J-RIG-0106</t>
  </si>
  <si>
    <t xml:space="preserve">J-RIG-0107</t>
  </si>
  <si>
    <t xml:space="preserve">J-RIG-0108</t>
  </si>
  <si>
    <t xml:space="preserve">J-RIG-0109</t>
  </si>
  <si>
    <t xml:space="preserve">J-RIG-0110</t>
  </si>
  <si>
    <t xml:space="preserve">J-RIG-0111</t>
  </si>
  <si>
    <t xml:space="preserve">J-RIG-0112</t>
  </si>
  <si>
    <t xml:space="preserve">J-RIG-0113</t>
  </si>
  <si>
    <t xml:space="preserve">J-RIG-0114</t>
  </si>
  <si>
    <t xml:space="preserve">J-RRG-0001</t>
  </si>
  <si>
    <t xml:space="preserve">J-RRG</t>
  </si>
  <si>
    <t xml:space="preserve">Replacement and reconstitution group</t>
  </si>
  <si>
    <t xml:space="preserve">J-RRG-0002</t>
  </si>
  <si>
    <t xml:space="preserve">J-RRG-0003</t>
  </si>
  <si>
    <t xml:space="preserve">J-RRG-0004</t>
  </si>
  <si>
    <t xml:space="preserve">J-RRG-0005</t>
  </si>
  <si>
    <t xml:space="preserve">J-RRG-0006</t>
  </si>
  <si>
    <t xml:space="preserve">J-RRG-0007</t>
  </si>
  <si>
    <t xml:space="preserve">J-RRG-0008</t>
  </si>
  <si>
    <t xml:space="preserve">J-RRG-0009</t>
  </si>
  <si>
    <t xml:space="preserve">J-RRG-0010</t>
  </si>
  <si>
    <t xml:space="preserve">J-RRG-0011</t>
  </si>
  <si>
    <t xml:space="preserve">J-RRG-0012</t>
  </si>
  <si>
    <t xml:space="preserve">J-RRG-0013</t>
  </si>
  <si>
    <t xml:space="preserve">J-RRG-0014</t>
  </si>
  <si>
    <t xml:space="preserve">J-RRG-0015</t>
  </si>
  <si>
    <t xml:space="preserve">J-RRG-0016</t>
  </si>
  <si>
    <t xml:space="preserve">J-RRG-0017</t>
  </si>
  <si>
    <t xml:space="preserve">J-RRG-0018</t>
  </si>
  <si>
    <t xml:space="preserve">J-RRG-0019</t>
  </si>
  <si>
    <t xml:space="preserve">J-RRG-0020</t>
  </si>
  <si>
    <t xml:space="preserve">J-RRG-0021</t>
  </si>
  <si>
    <t xml:space="preserve">J-RRG-0022</t>
  </si>
  <si>
    <t xml:space="preserve">J-RRG-0023</t>
  </si>
  <si>
    <t xml:space="preserve">J-RRG-0024</t>
  </si>
  <si>
    <t xml:space="preserve">J-RRG-0025</t>
  </si>
  <si>
    <t xml:space="preserve">J-RRG-0026</t>
  </si>
  <si>
    <t xml:space="preserve">J-RRG-0027</t>
  </si>
  <si>
    <t xml:space="preserve">J-RRG-0028</t>
  </si>
  <si>
    <t xml:space="preserve">J-RRG-0029</t>
  </si>
  <si>
    <t xml:space="preserve">J-RRG-0030</t>
  </si>
  <si>
    <t xml:space="preserve">J-RRG-0031</t>
  </si>
  <si>
    <t xml:space="preserve">J-RRG-0032</t>
  </si>
  <si>
    <t xml:space="preserve">J-RRG-0033</t>
  </si>
  <si>
    <t xml:space="preserve">J-RRG-0034</t>
  </si>
  <si>
    <t xml:space="preserve">J-RRG-0035</t>
  </si>
  <si>
    <t xml:space="preserve">J-RRG-0036</t>
  </si>
  <si>
    <t xml:space="preserve">J-RRG-0037</t>
  </si>
  <si>
    <t xml:space="preserve">J-RRG-0038</t>
  </si>
  <si>
    <t xml:space="preserve">J-RRG-0039</t>
  </si>
  <si>
    <t xml:space="preserve">J-RRG-0040</t>
  </si>
  <si>
    <t xml:space="preserve">J-RRG-0041</t>
  </si>
  <si>
    <t xml:space="preserve">J-RRG-0042</t>
  </si>
  <si>
    <t xml:space="preserve">J-RRG-0043</t>
  </si>
  <si>
    <t xml:space="preserve">J-RRG-0044</t>
  </si>
  <si>
    <t xml:space="preserve">J-RRG-0045</t>
  </si>
  <si>
    <t xml:space="preserve">J-RRG-0046</t>
  </si>
  <si>
    <t xml:space="preserve">J-RRG-0047</t>
  </si>
  <si>
    <t xml:space="preserve">J-RRG-0048</t>
  </si>
  <si>
    <t xml:space="preserve">J-RRG-0049</t>
  </si>
  <si>
    <t xml:space="preserve">J-RRG-0050</t>
  </si>
  <si>
    <t xml:space="preserve">J-RRG-0051</t>
  </si>
  <si>
    <t xml:space="preserve">J-RRG-0052</t>
  </si>
  <si>
    <t xml:space="preserve">J-RRG-0053</t>
  </si>
  <si>
    <t xml:space="preserve">J-RRG-0054</t>
  </si>
  <si>
    <t xml:space="preserve">J-RRG-0055</t>
  </si>
  <si>
    <t xml:space="preserve">J-RRG-0056</t>
  </si>
  <si>
    <t xml:space="preserve">J-RRG-0057</t>
  </si>
  <si>
    <t xml:space="preserve">J-RRG-0058</t>
  </si>
  <si>
    <t xml:space="preserve">J-RRG-0059</t>
  </si>
  <si>
    <t xml:space="preserve">J-RRG-0060</t>
  </si>
  <si>
    <t xml:space="preserve">J-RRG-0061</t>
  </si>
  <si>
    <t xml:space="preserve">J-RRG-0062</t>
  </si>
  <si>
    <t xml:space="preserve">J-RRG-0063</t>
  </si>
  <si>
    <t xml:space="preserve">J-RRG-0064</t>
  </si>
  <si>
    <t xml:space="preserve">J-TDG-0001</t>
  </si>
  <si>
    <t xml:space="preserve">J-TDG</t>
  </si>
  <si>
    <t xml:space="preserve">Transfer and demobilization group</t>
  </si>
  <si>
    <t xml:space="preserve">J-TDG-0002</t>
  </si>
  <si>
    <t xml:space="preserve">J-TDG-0003</t>
  </si>
  <si>
    <t xml:space="preserve">J-TDG-0004</t>
  </si>
  <si>
    <t xml:space="preserve">J-TDG-0005</t>
  </si>
  <si>
    <t xml:space="preserve">J-TDG-0006</t>
  </si>
  <si>
    <t xml:space="preserve">J-TDG-0007</t>
  </si>
  <si>
    <t xml:space="preserve">J-TDG-0008</t>
  </si>
  <si>
    <t xml:space="preserve">J-TDG-0009</t>
  </si>
  <si>
    <t xml:space="preserve">J-TDG-0010</t>
  </si>
  <si>
    <t xml:space="preserve">J-TDG-0011</t>
  </si>
  <si>
    <t xml:space="preserve">J-TDG-0012</t>
  </si>
  <si>
    <t xml:space="preserve">J-TDG-0013</t>
  </si>
  <si>
    <t xml:space="preserve">J-TDG-0014</t>
  </si>
  <si>
    <t xml:space="preserve">J-TDG-0015</t>
  </si>
  <si>
    <t xml:space="preserve">J-TDG-0016</t>
  </si>
  <si>
    <t xml:space="preserve">J-TDG-0017</t>
  </si>
  <si>
    <t xml:space="preserve">J-TDG-0018</t>
  </si>
  <si>
    <t xml:space="preserve">J-TDG-0019</t>
  </si>
  <si>
    <t xml:space="preserve">J-TDG-0020</t>
  </si>
  <si>
    <t xml:space="preserve">J-TDG-0021</t>
  </si>
  <si>
    <t xml:space="preserve">J-TDG-0022</t>
  </si>
  <si>
    <t xml:space="preserve">J-TDG-0023</t>
  </si>
  <si>
    <t xml:space="preserve">J-TDG-0024</t>
  </si>
  <si>
    <t xml:space="preserve">J-TDG-0025</t>
  </si>
  <si>
    <t xml:space="preserve">J-TDG-0026</t>
  </si>
  <si>
    <t xml:space="preserve">J-TDG-0027</t>
  </si>
  <si>
    <t xml:space="preserve">J-TDG-0028</t>
  </si>
  <si>
    <t xml:space="preserve">J-TDG-0029</t>
  </si>
  <si>
    <t xml:space="preserve">J-TDG-0030</t>
  </si>
  <si>
    <t xml:space="preserve">J-TDG-0031</t>
  </si>
  <si>
    <t xml:space="preserve">J-TDG-0032</t>
  </si>
  <si>
    <t xml:space="preserve">J-TDG-0033</t>
  </si>
  <si>
    <t xml:space="preserve">J-TDG-0034</t>
  </si>
  <si>
    <t xml:space="preserve">J-TDG-0035</t>
  </si>
  <si>
    <t xml:space="preserve">J-TDG-0036</t>
  </si>
  <si>
    <t xml:space="preserve">J-TDG-0037</t>
  </si>
  <si>
    <t xml:space="preserve">J-TDG-0038</t>
  </si>
  <si>
    <t xml:space="preserve">J-TDG-0039</t>
  </si>
  <si>
    <t xml:space="preserve">J-TDG-0040</t>
  </si>
  <si>
    <t xml:space="preserve">J-TDG-0041</t>
  </si>
  <si>
    <t xml:space="preserve">J-TDG-0042</t>
  </si>
  <si>
    <t xml:space="preserve">J-TDG-0043</t>
  </si>
  <si>
    <t xml:space="preserve">J-TDG-0044</t>
  </si>
  <si>
    <t xml:space="preserve">J-TDG-0045</t>
  </si>
  <si>
    <t xml:space="preserve">L-ROG-0001</t>
  </si>
  <si>
    <t xml:space="preserve">L-ROG</t>
  </si>
  <si>
    <t xml:space="preserve">Access and route-opening group</t>
  </si>
  <si>
    <t xml:space="preserve">Land Engineering</t>
  </si>
  <si>
    <t xml:space="preserve">L-ROG-0002</t>
  </si>
  <si>
    <t xml:space="preserve">L-ROG-0003</t>
  </si>
  <si>
    <t xml:space="preserve">L-ROG-0004</t>
  </si>
  <si>
    <t xml:space="preserve">L-ROG-0005</t>
  </si>
  <si>
    <t xml:space="preserve">L-ROG-0006</t>
  </si>
  <si>
    <t xml:space="preserve">L-ROG-0007</t>
  </si>
  <si>
    <t xml:space="preserve">L-ROG-0008</t>
  </si>
  <si>
    <t xml:space="preserve">L-ROG-0009</t>
  </si>
  <si>
    <t xml:space="preserve">L-ROG-0010</t>
  </si>
  <si>
    <t xml:space="preserve">L-ROG-0011</t>
  </si>
  <si>
    <t xml:space="preserve">L-ROG-0012</t>
  </si>
  <si>
    <t xml:space="preserve">L-ROG-0013</t>
  </si>
  <si>
    <t xml:space="preserve">L-ROG-0014</t>
  </si>
  <si>
    <t xml:space="preserve">L-ROG-0015</t>
  </si>
  <si>
    <t xml:space="preserve">L-ROG-0016</t>
  </si>
  <si>
    <t xml:space="preserve">L-ROG-0017</t>
  </si>
  <si>
    <t xml:space="preserve">L-ROG-0018</t>
  </si>
  <si>
    <t xml:space="preserve">L-ROG-0019</t>
  </si>
  <si>
    <t xml:space="preserve">L-ROG-0020</t>
  </si>
  <si>
    <t xml:space="preserve">L-ROG-0021</t>
  </si>
  <si>
    <t xml:space="preserve">L-ROG-0022</t>
  </si>
  <si>
    <t xml:space="preserve">L-ROG-0023</t>
  </si>
  <si>
    <t xml:space="preserve">L-ROG-0024</t>
  </si>
  <si>
    <t xml:space="preserve">L-ROG-0025</t>
  </si>
  <si>
    <t xml:space="preserve">L-ROG-0026</t>
  </si>
  <si>
    <t xml:space="preserve">L-ROG-0027</t>
  </si>
  <si>
    <t xml:space="preserve">L-ROG-0028</t>
  </si>
  <si>
    <t xml:space="preserve">L-ROG-0029</t>
  </si>
  <si>
    <t xml:space="preserve">L-ROG-0030</t>
  </si>
  <si>
    <t xml:space="preserve">L-ROG-0031</t>
  </si>
  <si>
    <t xml:space="preserve">L-ROG-0032</t>
  </si>
  <si>
    <t xml:space="preserve">L-ROG-0033</t>
  </si>
  <si>
    <t xml:space="preserve">L-ROG-0034</t>
  </si>
  <si>
    <t xml:space="preserve">L-ROG-0035</t>
  </si>
  <si>
    <t xml:space="preserve">L-ROG-0036</t>
  </si>
  <si>
    <t xml:space="preserve">L-ROG-0037</t>
  </si>
  <si>
    <t xml:space="preserve">L-ROG-0038</t>
  </si>
  <si>
    <t xml:space="preserve">L-ROG-0039</t>
  </si>
  <si>
    <t xml:space="preserve">L-ROG-0040</t>
  </si>
  <si>
    <t xml:space="preserve">L-ROG-0041</t>
  </si>
  <si>
    <t xml:space="preserve">L-ROG-0042</t>
  </si>
  <si>
    <t xml:space="preserve">L-ROG-0043</t>
  </si>
  <si>
    <t xml:space="preserve">L-ROG-0044</t>
  </si>
  <si>
    <t xml:space="preserve">L-ROG-0045</t>
  </si>
  <si>
    <t xml:space="preserve">L-ROG-0046</t>
  </si>
  <si>
    <t xml:space="preserve">L-ROG-0047</t>
  </si>
  <si>
    <t xml:space="preserve">L-ROG-0048</t>
  </si>
  <si>
    <t xml:space="preserve">L-ROG-0049</t>
  </si>
  <si>
    <t xml:space="preserve">L-ROG-0050</t>
  </si>
  <si>
    <t xml:space="preserve">L-ROG-0051</t>
  </si>
  <si>
    <t xml:space="preserve">L-ROG-0052</t>
  </si>
  <si>
    <t xml:space="preserve">L-ROG-0053</t>
  </si>
  <si>
    <t xml:space="preserve">L-ROG-0054</t>
  </si>
  <si>
    <t xml:space="preserve">L-ROG-0055</t>
  </si>
  <si>
    <t xml:space="preserve">L-ROG-0056</t>
  </si>
  <si>
    <t xml:space="preserve">L-ROG-0057</t>
  </si>
  <si>
    <t xml:space="preserve">L-ROG-0058</t>
  </si>
  <si>
    <t xml:space="preserve">L-ROG-0059</t>
  </si>
  <si>
    <t xml:space="preserve">L-ROG-0060</t>
  </si>
  <si>
    <t xml:space="preserve">L-ROG-0061</t>
  </si>
  <si>
    <t xml:space="preserve">L-ROG-0062</t>
  </si>
  <si>
    <t xml:space="preserve">L-ROG-0063</t>
  </si>
  <si>
    <t xml:space="preserve">L-ROG-0064</t>
  </si>
  <si>
    <t xml:space="preserve">L-ROG-0065</t>
  </si>
  <si>
    <t xml:space="preserve">L-ROG-0066</t>
  </si>
  <si>
    <t xml:space="preserve">L-ROG-0067</t>
  </si>
  <si>
    <t xml:space="preserve">L-ROG-0068</t>
  </si>
  <si>
    <t xml:space="preserve">L-ROG-0069</t>
  </si>
  <si>
    <t xml:space="preserve">L-ROG-0070</t>
  </si>
  <si>
    <t xml:space="preserve">L-ROG-0071</t>
  </si>
  <si>
    <t xml:space="preserve">L-ROG-0072</t>
  </si>
  <si>
    <t xml:space="preserve">L-ROG-0073</t>
  </si>
  <si>
    <t xml:space="preserve">L-ROG-0074</t>
  </si>
  <si>
    <t xml:space="preserve">L-ROG-0075</t>
  </si>
  <si>
    <t xml:space="preserve">L-ROG-0076</t>
  </si>
  <si>
    <t xml:space="preserve">L-ROG-0077</t>
  </si>
  <si>
    <t xml:space="preserve">L-ROG-0078</t>
  </si>
  <si>
    <t xml:space="preserve">L-ROG-0079</t>
  </si>
  <si>
    <t xml:space="preserve">L-ROG-0080</t>
  </si>
  <si>
    <t xml:space="preserve">L-ROG-0081</t>
  </si>
  <si>
    <t xml:space="preserve">L-ROG-0082</t>
  </si>
  <si>
    <t xml:space="preserve">L-ROG-0083</t>
  </si>
  <si>
    <t xml:space="preserve">L-ROG-0084</t>
  </si>
  <si>
    <t xml:space="preserve">L-ROG-0085</t>
  </si>
  <si>
    <t xml:space="preserve">L-ROG-0086</t>
  </si>
  <si>
    <t xml:space="preserve">L-ROG-0087</t>
  </si>
  <si>
    <t xml:space="preserve">L-ROG-0088</t>
  </si>
  <si>
    <t xml:space="preserve">L-ROG-0089</t>
  </si>
  <si>
    <t xml:space="preserve">L-ROG-0090</t>
  </si>
  <si>
    <t xml:space="preserve">L-ROG-0091</t>
  </si>
  <si>
    <t xml:space="preserve">L-ROG-0092</t>
  </si>
  <si>
    <t xml:space="preserve">L-ROG-0093</t>
  </si>
  <si>
    <t xml:space="preserve">L-ROG-0094</t>
  </si>
  <si>
    <t xml:space="preserve">L-ROG-0095</t>
  </si>
  <si>
    <t xml:space="preserve">L-ROG-0096</t>
  </si>
  <si>
    <t xml:space="preserve">L-ROG-0097</t>
  </si>
  <si>
    <t xml:space="preserve">L-ROG-0098</t>
  </si>
  <si>
    <t xml:space="preserve">L-ROG-0099</t>
  </si>
  <si>
    <t xml:space="preserve">L-ROG-0100</t>
  </si>
  <si>
    <t xml:space="preserve">L-ROG-0101</t>
  </si>
  <si>
    <t xml:space="preserve">L-ROG-0102</t>
  </si>
  <si>
    <t xml:space="preserve">L-ROG-0103</t>
  </si>
  <si>
    <t xml:space="preserve">L-ROG-0104</t>
  </si>
  <si>
    <t xml:space="preserve">L-ROG-0105</t>
  </si>
  <si>
    <t xml:space="preserve">L-ROG-0106</t>
  </si>
  <si>
    <t xml:space="preserve">L-ROG-0107</t>
  </si>
  <si>
    <t xml:space="preserve">L-ROG-0108</t>
  </si>
  <si>
    <t xml:space="preserve">L-ROG-0109</t>
  </si>
  <si>
    <t xml:space="preserve">L-ROG-0110</t>
  </si>
  <si>
    <t xml:space="preserve">L-ROG-0111</t>
  </si>
  <si>
    <t xml:space="preserve">L-ROG-0112</t>
  </si>
  <si>
    <t xml:space="preserve">L-ROG-0113</t>
  </si>
  <si>
    <t xml:space="preserve">L-ROG-0114</t>
  </si>
  <si>
    <t xml:space="preserve">L-ROG-0115</t>
  </si>
  <si>
    <t xml:space="preserve">L-ROG-0116</t>
  </si>
  <si>
    <t xml:space="preserve">L-ROG-0117</t>
  </si>
  <si>
    <t xml:space="preserve">L-ROG-0118</t>
  </si>
  <si>
    <t xml:space="preserve">L-ROG-0119</t>
  </si>
  <si>
    <t xml:space="preserve">L-ROG-0120</t>
  </si>
  <si>
    <t xml:space="preserve">L-ROG-0121</t>
  </si>
  <si>
    <t xml:space="preserve">L-ROG-0122</t>
  </si>
  <si>
    <t xml:space="preserve">L-ROG-0123</t>
  </si>
  <si>
    <t xml:space="preserve">L-ROG-0124</t>
  </si>
  <si>
    <t xml:space="preserve">L-ROG-0125</t>
  </si>
  <si>
    <t xml:space="preserve">L-ROG-0126</t>
  </si>
  <si>
    <t xml:space="preserve">L-ROG-0127</t>
  </si>
  <si>
    <t xml:space="preserve">L-ROG-0128</t>
  </si>
  <si>
    <t xml:space="preserve">L-ROG-0129</t>
  </si>
  <si>
    <t xml:space="preserve">L-ROG-0130</t>
  </si>
  <si>
    <t xml:space="preserve">L-ROG-0131</t>
  </si>
  <si>
    <t xml:space="preserve">L-ROG-0132</t>
  </si>
  <si>
    <t xml:space="preserve">L-ROG-0133</t>
  </si>
  <si>
    <t xml:space="preserve">L-ROG-0134</t>
  </si>
  <si>
    <t xml:space="preserve">L-ROG-0135</t>
  </si>
  <si>
    <t xml:space="preserve">L-ROG-0136</t>
  </si>
  <si>
    <t xml:space="preserve">L-ROG-0137</t>
  </si>
  <si>
    <t xml:space="preserve">L-ROG-0138</t>
  </si>
  <si>
    <t xml:space="preserve">L-ROG-0139</t>
  </si>
  <si>
    <t xml:space="preserve">L-ROG-0140</t>
  </si>
  <si>
    <t xml:space="preserve">L-ROG-0141</t>
  </si>
  <si>
    <t xml:space="preserve">L-ROG-0142</t>
  </si>
  <si>
    <t xml:space="preserve">L-ROG-0143</t>
  </si>
  <si>
    <t xml:space="preserve">L-ROG-0144</t>
  </si>
  <si>
    <t xml:space="preserve">L-ROG-0145</t>
  </si>
  <si>
    <t xml:space="preserve">L-ROG-0146</t>
  </si>
  <si>
    <t xml:space="preserve">L-ROG-0147</t>
  </si>
  <si>
    <t xml:space="preserve">L-ROG-0148</t>
  </si>
  <si>
    <t xml:space="preserve">L-ROG-0149</t>
  </si>
  <si>
    <t xml:space="preserve">L-ROG-0150</t>
  </si>
  <si>
    <t xml:space="preserve">L-ROG-0151</t>
  </si>
  <si>
    <t xml:space="preserve">L-HCG-0001</t>
  </si>
  <si>
    <t xml:space="preserve">L-HCG</t>
  </si>
  <si>
    <t xml:space="preserve">Flood and hydraulic-control group</t>
  </si>
  <si>
    <t xml:space="preserve">MS-HC</t>
  </si>
  <si>
    <t xml:space="preserve">L-HCG-0002</t>
  </si>
  <si>
    <t xml:space="preserve">L-HCG-0003</t>
  </si>
  <si>
    <t xml:space="preserve">L-HCG-0004</t>
  </si>
  <si>
    <t xml:space="preserve">L-HCG-0005</t>
  </si>
  <si>
    <t xml:space="preserve">L-HCG-0006</t>
  </si>
  <si>
    <t xml:space="preserve">L-HCG-0007</t>
  </si>
  <si>
    <t xml:space="preserve">L-HCG-0008</t>
  </si>
  <si>
    <t xml:space="preserve">L-HCG-0009</t>
  </si>
  <si>
    <t xml:space="preserve">L-HCG-0010</t>
  </si>
  <si>
    <t xml:space="preserve">L-HCG-0011</t>
  </si>
  <si>
    <t xml:space="preserve">L-HCG-0012</t>
  </si>
  <si>
    <t xml:space="preserve">L-HCG-0013</t>
  </si>
  <si>
    <t xml:space="preserve">L-HCG-0014</t>
  </si>
  <si>
    <t xml:space="preserve">L-HCG-0015</t>
  </si>
  <si>
    <t xml:space="preserve">L-HCG-0016</t>
  </si>
  <si>
    <t xml:space="preserve">L-HCG-0017</t>
  </si>
  <si>
    <t xml:space="preserve">L-HCG-0018</t>
  </si>
  <si>
    <t xml:space="preserve">L-HCG-0019</t>
  </si>
  <si>
    <t xml:space="preserve">L-HCG-0020</t>
  </si>
  <si>
    <t xml:space="preserve">L-HCG-0021</t>
  </si>
  <si>
    <t xml:space="preserve">L-HCG-0022</t>
  </si>
  <si>
    <t xml:space="preserve">L-HCG-0023</t>
  </si>
  <si>
    <t xml:space="preserve">L-HCG-0024</t>
  </si>
  <si>
    <t xml:space="preserve">L-HCG-0025</t>
  </si>
  <si>
    <t xml:space="preserve">L-HCG-0026</t>
  </si>
  <si>
    <t xml:space="preserve">L-HCG-0027</t>
  </si>
  <si>
    <t xml:space="preserve">L-HCG-0028</t>
  </si>
  <si>
    <t xml:space="preserve">L-HCG-0029</t>
  </si>
  <si>
    <t xml:space="preserve">L-HCG-0030</t>
  </si>
  <si>
    <t xml:space="preserve">L-HCG-0031</t>
  </si>
  <si>
    <t xml:space="preserve">L-HCG-0032</t>
  </si>
  <si>
    <t xml:space="preserve">L-HCG-0033</t>
  </si>
  <si>
    <t xml:space="preserve">L-HCG-0034</t>
  </si>
  <si>
    <t xml:space="preserve">L-HCG-0035</t>
  </si>
  <si>
    <t xml:space="preserve">L-HCG-0036</t>
  </si>
  <si>
    <t xml:space="preserve">L-HCG-0037</t>
  </si>
  <si>
    <t xml:space="preserve">L-HCG-0038</t>
  </si>
  <si>
    <t xml:space="preserve">L-HCG-0039</t>
  </si>
  <si>
    <t xml:space="preserve">L-HCG-0040</t>
  </si>
  <si>
    <t xml:space="preserve">L-HCG-0041</t>
  </si>
  <si>
    <t xml:space="preserve">L-HCG-0042</t>
  </si>
  <si>
    <t xml:space="preserve">L-HCG-0043</t>
  </si>
  <si>
    <t xml:space="preserve">L-HCG-0044</t>
  </si>
  <si>
    <t xml:space="preserve">L-HCG-0045</t>
  </si>
  <si>
    <t xml:space="preserve">L-HCG-0046</t>
  </si>
  <si>
    <t xml:space="preserve">L-HCG-0047</t>
  </si>
  <si>
    <t xml:space="preserve">L-HCG-0048</t>
  </si>
  <si>
    <t xml:space="preserve">L-HCG-0049</t>
  </si>
  <si>
    <t xml:space="preserve">L-HCG-0050</t>
  </si>
  <si>
    <t xml:space="preserve">L-HCG-0051</t>
  </si>
  <si>
    <t xml:space="preserve">L-HCG-0052</t>
  </si>
  <si>
    <t xml:space="preserve">L-HCG-0053</t>
  </si>
  <si>
    <t xml:space="preserve">L-HCG-0054</t>
  </si>
  <si>
    <t xml:space="preserve">L-HCG-0055</t>
  </si>
  <si>
    <t xml:space="preserve">L-HCG-0056</t>
  </si>
  <si>
    <t xml:space="preserve">L-HCG-0057</t>
  </si>
  <si>
    <t xml:space="preserve">L-HCG-0058</t>
  </si>
  <si>
    <t xml:space="preserve">L-HCG-0059</t>
  </si>
  <si>
    <t xml:space="preserve">L-HCG-0060</t>
  </si>
  <si>
    <t xml:space="preserve">L-HCG-0061</t>
  </si>
  <si>
    <t xml:space="preserve">L-HCG-0062</t>
  </si>
  <si>
    <t xml:space="preserve">L-HCG-0063</t>
  </si>
  <si>
    <t xml:space="preserve">L-HCG-0064</t>
  </si>
  <si>
    <t xml:space="preserve">L-HCG-0065</t>
  </si>
  <si>
    <t xml:space="preserve">L-HCG-0066</t>
  </si>
  <si>
    <t xml:space="preserve">L-HCG-0067</t>
  </si>
  <si>
    <t xml:space="preserve">L-HCG-0068</t>
  </si>
  <si>
    <t xml:space="preserve">L-HCG-0069</t>
  </si>
  <si>
    <t xml:space="preserve">L-HCG-0070</t>
  </si>
  <si>
    <t xml:space="preserve">L-HCG-0071</t>
  </si>
  <si>
    <t xml:space="preserve">L-HCG-0072</t>
  </si>
  <si>
    <t xml:space="preserve">L-HCG-0073</t>
  </si>
  <si>
    <t xml:space="preserve">L-HCG-0074</t>
  </si>
  <si>
    <t xml:space="preserve">L-HCG-0075</t>
  </si>
  <si>
    <t xml:space="preserve">L-HCG-0076</t>
  </si>
  <si>
    <t xml:space="preserve">L-HCG-0077</t>
  </si>
  <si>
    <t xml:space="preserve">L-HCG-0078</t>
  </si>
  <si>
    <t xml:space="preserve">L-HCG-0079</t>
  </si>
  <si>
    <t xml:space="preserve">L-HCG-0080</t>
  </si>
  <si>
    <t xml:space="preserve">L-HCG-0081</t>
  </si>
  <si>
    <t xml:space="preserve">L-HCG-0082</t>
  </si>
  <si>
    <t xml:space="preserve">L-HCG-0083</t>
  </si>
  <si>
    <t xml:space="preserve">L-HCG-0084</t>
  </si>
  <si>
    <t xml:space="preserve">L-HCG-0085</t>
  </si>
  <si>
    <t xml:space="preserve">L-HCG-0086</t>
  </si>
  <si>
    <t xml:space="preserve">L-HCG-0087</t>
  </si>
  <si>
    <t xml:space="preserve">L-HCG-0088</t>
  </si>
  <si>
    <t xml:space="preserve">L-HCG-0089</t>
  </si>
  <si>
    <t xml:space="preserve">L-HCG-0090</t>
  </si>
  <si>
    <t xml:space="preserve">L-HCG-0091</t>
  </si>
  <si>
    <t xml:space="preserve">L-HCG-0092</t>
  </si>
  <si>
    <t xml:space="preserve">L-HCG-0093</t>
  </si>
  <si>
    <t xml:space="preserve">L-HCG-0094</t>
  </si>
  <si>
    <t xml:space="preserve">L-HCG-0095</t>
  </si>
  <si>
    <t xml:space="preserve">L-HCG-0096</t>
  </si>
  <si>
    <t xml:space="preserve">L-HCG-0097</t>
  </si>
  <si>
    <t xml:space="preserve">L-HCG-0098</t>
  </si>
  <si>
    <t xml:space="preserve">L-HCG-0099</t>
  </si>
  <si>
    <t xml:space="preserve">L-HCG-0100</t>
  </si>
  <si>
    <t xml:space="preserve">L-HCG-0101</t>
  </si>
  <si>
    <t xml:space="preserve">L-HCG-0102</t>
  </si>
  <si>
    <t xml:space="preserve">L-HCG-0103</t>
  </si>
  <si>
    <t xml:space="preserve">L-HCG-0104</t>
  </si>
  <si>
    <t xml:space="preserve">L-HCG-0105</t>
  </si>
  <si>
    <t xml:space="preserve">L-HCG-0106</t>
  </si>
  <si>
    <t xml:space="preserve">L-HCG-0107</t>
  </si>
  <si>
    <t xml:space="preserve">L-HCG-0108</t>
  </si>
  <si>
    <t xml:space="preserve">L-DMG-0001</t>
  </si>
  <si>
    <t xml:space="preserve">L-DMG</t>
  </si>
  <si>
    <t xml:space="preserve">Debris and materials group</t>
  </si>
  <si>
    <t xml:space="preserve">L-DMG-0002</t>
  </si>
  <si>
    <t xml:space="preserve">L-DMG-0003</t>
  </si>
  <si>
    <t xml:space="preserve">L-DMG-0004</t>
  </si>
  <si>
    <t xml:space="preserve">L-DMG-0005</t>
  </si>
  <si>
    <t xml:space="preserve">L-DMG-0006</t>
  </si>
  <si>
    <t xml:space="preserve">L-DMG-0007</t>
  </si>
  <si>
    <t xml:space="preserve">L-DMG-0008</t>
  </si>
  <si>
    <t xml:space="preserve">L-DMG-0009</t>
  </si>
  <si>
    <t xml:space="preserve">L-DMG-0010</t>
  </si>
  <si>
    <t xml:space="preserve">L-DMG-0011</t>
  </si>
  <si>
    <t xml:space="preserve">L-DMG-0012</t>
  </si>
  <si>
    <t xml:space="preserve">L-DMG-0013</t>
  </si>
  <si>
    <t xml:space="preserve">L-DMG-0014</t>
  </si>
  <si>
    <t xml:space="preserve">L-DMG-0015</t>
  </si>
  <si>
    <t xml:space="preserve">L-DMG-0016</t>
  </si>
  <si>
    <t xml:space="preserve">L-DMG-0017</t>
  </si>
  <si>
    <t xml:space="preserve">L-DMG-0018</t>
  </si>
  <si>
    <t xml:space="preserve">L-DMG-0019</t>
  </si>
  <si>
    <t xml:space="preserve">L-DMG-0020</t>
  </si>
  <si>
    <t xml:space="preserve">L-DMG-0021</t>
  </si>
  <si>
    <t xml:space="preserve">L-DMG-0022</t>
  </si>
  <si>
    <t xml:space="preserve">L-DMG-0023</t>
  </si>
  <si>
    <t xml:space="preserve">L-DMG-0024</t>
  </si>
  <si>
    <t xml:space="preserve">L-DMG-0025</t>
  </si>
  <si>
    <t xml:space="preserve">L-DMG-0026</t>
  </si>
  <si>
    <t xml:space="preserve">L-DMG-0027</t>
  </si>
  <si>
    <t xml:space="preserve">L-DMG-0028</t>
  </si>
  <si>
    <t xml:space="preserve">L-DMG-0029</t>
  </si>
  <si>
    <t xml:space="preserve">L-DMG-0030</t>
  </si>
  <si>
    <t xml:space="preserve">L-DMG-0031</t>
  </si>
  <si>
    <t xml:space="preserve">L-DMG-0032</t>
  </si>
  <si>
    <t xml:space="preserve">L-DMG-0033</t>
  </si>
  <si>
    <t xml:space="preserve">L-DMG-0034</t>
  </si>
  <si>
    <t xml:space="preserve">L-DMG-0035</t>
  </si>
  <si>
    <t xml:space="preserve">L-DMG-0036</t>
  </si>
  <si>
    <t xml:space="preserve">L-DMG-0037</t>
  </si>
  <si>
    <t xml:space="preserve">L-DMG-0038</t>
  </si>
  <si>
    <t xml:space="preserve">L-DMG-0039</t>
  </si>
  <si>
    <t xml:space="preserve">L-DMG-0040</t>
  </si>
  <si>
    <t xml:space="preserve">L-DMG-0041</t>
  </si>
  <si>
    <t xml:space="preserve">L-DMG-0042</t>
  </si>
  <si>
    <t xml:space="preserve">L-DMG-0043</t>
  </si>
  <si>
    <t xml:space="preserve">L-DMG-0044</t>
  </si>
  <si>
    <t xml:space="preserve">L-DMG-0045</t>
  </si>
  <si>
    <t xml:space="preserve">L-DMG-0046</t>
  </si>
  <si>
    <t xml:space="preserve">L-DMG-0047</t>
  </si>
  <si>
    <t xml:space="preserve">L-DMG-0048</t>
  </si>
  <si>
    <t xml:space="preserve">L-DMG-0049</t>
  </si>
  <si>
    <t xml:space="preserve">L-DMG-0050</t>
  </si>
  <si>
    <t xml:space="preserve">L-DMG-0051</t>
  </si>
  <si>
    <t xml:space="preserve">L-DMG-0052</t>
  </si>
  <si>
    <t xml:space="preserve">L-DMG-0053</t>
  </si>
  <si>
    <t xml:space="preserve">L-DMG-0054</t>
  </si>
  <si>
    <t xml:space="preserve">L-DMG-0055</t>
  </si>
  <si>
    <t xml:space="preserve">L-DMG-0056</t>
  </si>
  <si>
    <t xml:space="preserve">L-DMG-0057</t>
  </si>
  <si>
    <t xml:space="preserve">L-DMG-0058</t>
  </si>
  <si>
    <t xml:space="preserve">L-DMG-0059</t>
  </si>
  <si>
    <t xml:space="preserve">L-DMG-0060</t>
  </si>
  <si>
    <t xml:space="preserve">L-DMG-0061</t>
  </si>
  <si>
    <t xml:space="preserve">L-DMG-0062</t>
  </si>
  <si>
    <t xml:space="preserve">L-DMG-0063</t>
  </si>
  <si>
    <t xml:space="preserve">L-DMG-0064</t>
  </si>
  <si>
    <t xml:space="preserve">L-DMG-0065</t>
  </si>
  <si>
    <t xml:space="preserve">L-DMG-0066</t>
  </si>
  <si>
    <t xml:space="preserve">L-DMG-0067</t>
  </si>
  <si>
    <t xml:space="preserve">L-DMG-0068</t>
  </si>
  <si>
    <t xml:space="preserve">L-DMG-0069</t>
  </si>
  <si>
    <t xml:space="preserve">L-DMG-0070</t>
  </si>
  <si>
    <t xml:space="preserve">L-DMG-0071</t>
  </si>
  <si>
    <t xml:space="preserve">L-DMG-0072</t>
  </si>
  <si>
    <t xml:space="preserve">L-DMG-0073</t>
  </si>
  <si>
    <t xml:space="preserve">L-DMG-0074</t>
  </si>
  <si>
    <t xml:space="preserve">L-DMG-0075</t>
  </si>
  <si>
    <t xml:space="preserve">L-DMG-0076</t>
  </si>
  <si>
    <t xml:space="preserve">L-DMG-0077</t>
  </si>
  <si>
    <t xml:space="preserve">L-DMG-0078</t>
  </si>
  <si>
    <t xml:space="preserve">L-DMG-0079</t>
  </si>
  <si>
    <t xml:space="preserve">L-DMG-0080</t>
  </si>
  <si>
    <t xml:space="preserve">L-DMG-0081</t>
  </si>
  <si>
    <t xml:space="preserve">L-DMG-0082</t>
  </si>
  <si>
    <t xml:space="preserve">L-DMG-0083</t>
  </si>
  <si>
    <t xml:space="preserve">L-DMG-0084</t>
  </si>
  <si>
    <t xml:space="preserve">L-DMG-0085</t>
  </si>
  <si>
    <t xml:space="preserve">L-DMG-0086</t>
  </si>
  <si>
    <t xml:space="preserve">L-DMG-0087</t>
  </si>
  <si>
    <t xml:space="preserve">L-DMG-0088</t>
  </si>
  <si>
    <t xml:space="preserve">L-DMG-0089</t>
  </si>
  <si>
    <t xml:space="preserve">L-DMG-0090</t>
  </si>
  <si>
    <t xml:space="preserve">L-DMG-0091</t>
  </si>
  <si>
    <t xml:space="preserve">L-DMG-0092</t>
  </si>
  <si>
    <t xml:space="preserve">L-DMG-0093</t>
  </si>
  <si>
    <t xml:space="preserve">L-DMG-0094</t>
  </si>
  <si>
    <t xml:space="preserve">L-DMG-0095</t>
  </si>
  <si>
    <t xml:space="preserve">L-DMG-0096</t>
  </si>
  <si>
    <t xml:space="preserve">L-DMG-0097</t>
  </si>
  <si>
    <t xml:space="preserve">L-DMG-0098</t>
  </si>
  <si>
    <t xml:space="preserve">L-DMG-0099</t>
  </si>
  <si>
    <t xml:space="preserve">L-DMG-0100</t>
  </si>
  <si>
    <t xml:space="preserve">L-DMG-0101</t>
  </si>
  <si>
    <t xml:space="preserve">L-DMG-0102</t>
  </si>
  <si>
    <t xml:space="preserve">L-DMG-0103</t>
  </si>
  <si>
    <t xml:space="preserve">L-DMG-0104</t>
  </si>
  <si>
    <t xml:space="preserve">L-DMG-0105</t>
  </si>
  <si>
    <t xml:space="preserve">L-DMG-0106</t>
  </si>
  <si>
    <t xml:space="preserve">L-DMG-0107</t>
  </si>
  <si>
    <t xml:space="preserve">L-DMG-0108</t>
  </si>
  <si>
    <t xml:space="preserve">L-DMG-0109</t>
  </si>
  <si>
    <t xml:space="preserve">L-DMG-0110</t>
  </si>
  <si>
    <t xml:space="preserve">L-DMG-0111</t>
  </si>
  <si>
    <t xml:space="preserve">L-DMG-0112</t>
  </si>
  <si>
    <t xml:space="preserve">L-DMG-0113</t>
  </si>
  <si>
    <t xml:space="preserve">L-DMG-0114</t>
  </si>
  <si>
    <t xml:space="preserve">L-DMG-0115</t>
  </si>
  <si>
    <t xml:space="preserve">L-DMG-0116</t>
  </si>
  <si>
    <t xml:space="preserve">L-DMG-0117</t>
  </si>
  <si>
    <t xml:space="preserve">L-DMG-0118</t>
  </si>
  <si>
    <t xml:space="preserve">L-DMG-0119</t>
  </si>
  <si>
    <t xml:space="preserve">L-DMG-0120</t>
  </si>
  <si>
    <t xml:space="preserve">L-DMG-0121</t>
  </si>
  <si>
    <t xml:space="preserve">L-DMG-0122</t>
  </si>
  <si>
    <t xml:space="preserve">L-DMG-0123</t>
  </si>
  <si>
    <t xml:space="preserve">L-DMG-0124</t>
  </si>
  <si>
    <t xml:space="preserve">L-DMG-0125</t>
  </si>
  <si>
    <t xml:space="preserve">L-DMG-0126</t>
  </si>
  <si>
    <t xml:space="preserve">L-DMG-0127</t>
  </si>
  <si>
    <t xml:space="preserve">L-DMG-0128</t>
  </si>
  <si>
    <t xml:space="preserve">L-DMG-0129</t>
  </si>
  <si>
    <t xml:space="preserve">L-DMG-0130</t>
  </si>
  <si>
    <t xml:space="preserve">L-DMG-0131</t>
  </si>
  <si>
    <t xml:space="preserve">L-DMG-0132</t>
  </si>
  <si>
    <t xml:space="preserve">L-DMG-0133</t>
  </si>
  <si>
    <t xml:space="preserve">L-DMG-0134</t>
  </si>
  <si>
    <t xml:space="preserve">L-DMG-0135</t>
  </si>
  <si>
    <t xml:space="preserve">L-DMG-0136</t>
  </si>
  <si>
    <t xml:space="preserve">L-DMG-0137</t>
  </si>
  <si>
    <t xml:space="preserve">L-DMG-0138</t>
  </si>
  <si>
    <t xml:space="preserve">L-DMG-0139</t>
  </si>
  <si>
    <t xml:space="preserve">L-DMG-0140</t>
  </si>
  <si>
    <t xml:space="preserve">L-TWG-0001</t>
  </si>
  <si>
    <t xml:space="preserve">L-TWG</t>
  </si>
  <si>
    <t xml:space="preserve">Temporary works and crossing group</t>
  </si>
  <si>
    <t xml:space="preserve">L-TWG-0002</t>
  </si>
  <si>
    <t xml:space="preserve">L-TWG-0003</t>
  </si>
  <si>
    <t xml:space="preserve">L-TWG-0004</t>
  </si>
  <si>
    <t xml:space="preserve">L-TWG-0005</t>
  </si>
  <si>
    <t xml:space="preserve">L-TWG-0006</t>
  </si>
  <si>
    <t xml:space="preserve">L-TWG-0007</t>
  </si>
  <si>
    <t xml:space="preserve">L-TWG-0008</t>
  </si>
  <si>
    <t xml:space="preserve">L-TWG-0009</t>
  </si>
  <si>
    <t xml:space="preserve">L-TWG-0010</t>
  </si>
  <si>
    <t xml:space="preserve">L-TWG-0011</t>
  </si>
  <si>
    <t xml:space="preserve">L-TWG-0012</t>
  </si>
  <si>
    <t xml:space="preserve">L-TWG-0013</t>
  </si>
  <si>
    <t xml:space="preserve">L-TWG-0014</t>
  </si>
  <si>
    <t xml:space="preserve">L-TWG-0015</t>
  </si>
  <si>
    <t xml:space="preserve">L-TWG-0016</t>
  </si>
  <si>
    <t xml:space="preserve">L-TWG-0017</t>
  </si>
  <si>
    <t xml:space="preserve">L-TWG-0018</t>
  </si>
  <si>
    <t xml:space="preserve">L-TWG-0019</t>
  </si>
  <si>
    <t xml:space="preserve">L-TWG-0020</t>
  </si>
  <si>
    <t xml:space="preserve">L-TWG-0021</t>
  </si>
  <si>
    <t xml:space="preserve">L-TWG-0022</t>
  </si>
  <si>
    <t xml:space="preserve">L-TWG-0023</t>
  </si>
  <si>
    <t xml:space="preserve">L-TWG-0024</t>
  </si>
  <si>
    <t xml:space="preserve">L-TWG-0025</t>
  </si>
  <si>
    <t xml:space="preserve">L-TWG-0026</t>
  </si>
  <si>
    <t xml:space="preserve">L-TWG-0027</t>
  </si>
  <si>
    <t xml:space="preserve">L-TWG-0028</t>
  </si>
  <si>
    <t xml:space="preserve">L-TWG-0029</t>
  </si>
  <si>
    <t xml:space="preserve">L-TWG-0030</t>
  </si>
  <si>
    <t xml:space="preserve">L-TWG-0031</t>
  </si>
  <si>
    <t xml:space="preserve">L-TWG-0032</t>
  </si>
  <si>
    <t xml:space="preserve">L-TWG-0033</t>
  </si>
  <si>
    <t xml:space="preserve">L-TWG-0034</t>
  </si>
  <si>
    <t xml:space="preserve">L-TWG-0035</t>
  </si>
  <si>
    <t xml:space="preserve">L-TWG-0036</t>
  </si>
  <si>
    <t xml:space="preserve">L-TWG-0037</t>
  </si>
  <si>
    <t xml:space="preserve">L-TWG-0038</t>
  </si>
  <si>
    <t xml:space="preserve">L-TWG-0039</t>
  </si>
  <si>
    <t xml:space="preserve">L-TWG-0040</t>
  </si>
  <si>
    <t xml:space="preserve">L-TWG-0041</t>
  </si>
  <si>
    <t xml:space="preserve">L-TWG-0042</t>
  </si>
  <si>
    <t xml:space="preserve">L-TWG-0043</t>
  </si>
  <si>
    <t xml:space="preserve">L-TWG-0044</t>
  </si>
  <si>
    <t xml:space="preserve">L-TWG-0045</t>
  </si>
  <si>
    <t xml:space="preserve">L-TWG-0046</t>
  </si>
  <si>
    <t xml:space="preserve">L-TWG-0047</t>
  </si>
  <si>
    <t xml:space="preserve">L-TWG-0048</t>
  </si>
  <si>
    <t xml:space="preserve">L-TWG-0049</t>
  </si>
  <si>
    <t xml:space="preserve">L-TWG-0050</t>
  </si>
  <si>
    <t xml:space="preserve">L-TWG-0051</t>
  </si>
  <si>
    <t xml:space="preserve">L-TWG-0052</t>
  </si>
  <si>
    <t xml:space="preserve">L-TWG-0053</t>
  </si>
  <si>
    <t xml:space="preserve">L-TWG-0054</t>
  </si>
  <si>
    <t xml:space="preserve">L-TWG-0055</t>
  </si>
  <si>
    <t xml:space="preserve">L-TWG-0056</t>
  </si>
  <si>
    <t xml:space="preserve">L-TWG-0057</t>
  </si>
  <si>
    <t xml:space="preserve">L-TWG-0058</t>
  </si>
  <si>
    <t xml:space="preserve">L-TWG-0059</t>
  </si>
  <si>
    <t xml:space="preserve">L-TWG-0060</t>
  </si>
  <si>
    <t xml:space="preserve">L-TWG-0061</t>
  </si>
  <si>
    <t xml:space="preserve">L-TWG-0062</t>
  </si>
  <si>
    <t xml:space="preserve">L-TWG-0063</t>
  </si>
  <si>
    <t xml:space="preserve">L-TWG-0064</t>
  </si>
  <si>
    <t xml:space="preserve">L-TWG-0065</t>
  </si>
  <si>
    <t xml:space="preserve">L-TWG-0066</t>
  </si>
  <si>
    <t xml:space="preserve">L-TWG-0067</t>
  </si>
  <si>
    <t xml:space="preserve">L-TWG-0068</t>
  </si>
  <si>
    <t xml:space="preserve">L-TWG-0069</t>
  </si>
  <si>
    <t xml:space="preserve">L-TWG-0070</t>
  </si>
  <si>
    <t xml:space="preserve">L-TWG-0071</t>
  </si>
  <si>
    <t xml:space="preserve">L-TWG-0072</t>
  </si>
  <si>
    <t xml:space="preserve">L-TWG-0073</t>
  </si>
  <si>
    <t xml:space="preserve">L-TWG-0074</t>
  </si>
  <si>
    <t xml:space="preserve">L-TWG-0075</t>
  </si>
  <si>
    <t xml:space="preserve">L-TWG-0076</t>
  </si>
  <si>
    <t xml:space="preserve">L-TWG-0077</t>
  </si>
  <si>
    <t xml:space="preserve">L-TWG-0078</t>
  </si>
  <si>
    <t xml:space="preserve">L-TWG-0079</t>
  </si>
  <si>
    <t xml:space="preserve">L-TWG-0080</t>
  </si>
  <si>
    <t xml:space="preserve">L-TWG-0081</t>
  </si>
  <si>
    <t xml:space="preserve">L-TWG-0082</t>
  </si>
  <si>
    <t xml:space="preserve">L-TWG-0083</t>
  </si>
  <si>
    <t xml:space="preserve">L-TWG-0084</t>
  </si>
  <si>
    <t xml:space="preserve">L-TWG-0085</t>
  </si>
  <si>
    <t xml:space="preserve">L-TWG-0086</t>
  </si>
  <si>
    <t xml:space="preserve">L-TWG-0087</t>
  </si>
  <si>
    <t xml:space="preserve">L-TWG-0088</t>
  </si>
  <si>
    <t xml:space="preserve">L-TWG-0089</t>
  </si>
  <si>
    <t xml:space="preserve">L-TWG-0090</t>
  </si>
  <si>
    <t xml:space="preserve">L-TWG-0091</t>
  </si>
  <si>
    <t xml:space="preserve">L-TWG-0092</t>
  </si>
  <si>
    <t xml:space="preserve">L-TWG-0093</t>
  </si>
  <si>
    <t xml:space="preserve">L-TWG-0094</t>
  </si>
  <si>
    <t xml:space="preserve">L-TWG-0095</t>
  </si>
  <si>
    <t xml:space="preserve">L-TWG-0096</t>
  </si>
  <si>
    <t xml:space="preserve">L-TWG-0097</t>
  </si>
  <si>
    <t xml:space="preserve">L-TWG-0098</t>
  </si>
  <si>
    <t xml:space="preserve">L-TWG-0099</t>
  </si>
  <si>
    <t xml:space="preserve">L-TWG-0100</t>
  </si>
  <si>
    <t xml:space="preserve">L-TWG-0101</t>
  </si>
  <si>
    <t xml:space="preserve">L-TWG-0102</t>
  </si>
  <si>
    <t xml:space="preserve">L-TWG-0103</t>
  </si>
  <si>
    <t xml:space="preserve">L-TWG-0104</t>
  </si>
  <si>
    <t xml:space="preserve">L-TWG-0105</t>
  </si>
  <si>
    <t xml:space="preserve">L-TWG-0106</t>
  </si>
  <si>
    <t xml:space="preserve">L-TWG-0107</t>
  </si>
  <si>
    <t xml:space="preserve">L-TWG-0108</t>
  </si>
  <si>
    <t xml:space="preserve">L-TWG-0109</t>
  </si>
  <si>
    <t xml:space="preserve">L-TWG-0110</t>
  </si>
  <si>
    <t xml:space="preserve">L-TWG-0111</t>
  </si>
  <si>
    <t xml:space="preserve">L-TWG-0112</t>
  </si>
  <si>
    <t xml:space="preserve">L-TWG-0113</t>
  </si>
  <si>
    <t xml:space="preserve">L-TWG-0114</t>
  </si>
  <si>
    <t xml:space="preserve">L-GFG-0001</t>
  </si>
  <si>
    <t xml:space="preserve">L-GFG</t>
  </si>
  <si>
    <t xml:space="preserve">Ground fire and landscape group</t>
  </si>
  <si>
    <t xml:space="preserve">L-GFG-0002</t>
  </si>
  <si>
    <t xml:space="preserve">L-GFG-0003</t>
  </si>
  <si>
    <t xml:space="preserve">L-GFG-0004</t>
  </si>
  <si>
    <t xml:space="preserve">L-GFG-0005</t>
  </si>
  <si>
    <t xml:space="preserve">L-GFG-0006</t>
  </si>
  <si>
    <t xml:space="preserve">L-GFG-0007</t>
  </si>
  <si>
    <t xml:space="preserve">L-GFG-0008</t>
  </si>
  <si>
    <t xml:space="preserve">L-GFG-0009</t>
  </si>
  <si>
    <t xml:space="preserve">L-GFG-0010</t>
  </si>
  <si>
    <t xml:space="preserve">L-GFG-0011</t>
  </si>
  <si>
    <t xml:space="preserve">L-GFG-0012</t>
  </si>
  <si>
    <t xml:space="preserve">L-GFG-0013</t>
  </si>
  <si>
    <t xml:space="preserve">L-GFG-0014</t>
  </si>
  <si>
    <t xml:space="preserve">L-GFG-0015</t>
  </si>
  <si>
    <t xml:space="preserve">L-GFG-0016</t>
  </si>
  <si>
    <t xml:space="preserve">L-GFG-0017</t>
  </si>
  <si>
    <t xml:space="preserve">L-GFG-0018</t>
  </si>
  <si>
    <t xml:space="preserve">L-GFG-0019</t>
  </si>
  <si>
    <t xml:space="preserve">L-GFG-0020</t>
  </si>
  <si>
    <t xml:space="preserve">L-GFG-0021</t>
  </si>
  <si>
    <t xml:space="preserve">L-GFG-0022</t>
  </si>
  <si>
    <t xml:space="preserve">L-GFG-0023</t>
  </si>
  <si>
    <t xml:space="preserve">L-GFG-0024</t>
  </si>
  <si>
    <t xml:space="preserve">L-GFG-0025</t>
  </si>
  <si>
    <t xml:space="preserve">L-GFG-0026</t>
  </si>
  <si>
    <t xml:space="preserve">L-GFG-0027</t>
  </si>
  <si>
    <t xml:space="preserve">L-GFG-0028</t>
  </si>
  <si>
    <t xml:space="preserve">L-GFG-0029</t>
  </si>
  <si>
    <t xml:space="preserve">L-GFG-0030</t>
  </si>
  <si>
    <t xml:space="preserve">L-GFG-0031</t>
  </si>
  <si>
    <t xml:space="preserve">L-GFG-0032</t>
  </si>
  <si>
    <t xml:space="preserve">L-GFG-0033</t>
  </si>
  <si>
    <t xml:space="preserve">L-GFG-0034</t>
  </si>
  <si>
    <t xml:space="preserve">L-GFG-0035</t>
  </si>
  <si>
    <t xml:space="preserve">L-GFG-0036</t>
  </si>
  <si>
    <t xml:space="preserve">L-GFG-0037</t>
  </si>
  <si>
    <t xml:space="preserve">L-GFG-0038</t>
  </si>
  <si>
    <t xml:space="preserve">L-GFG-0039</t>
  </si>
  <si>
    <t xml:space="preserve">L-GFG-0040</t>
  </si>
  <si>
    <t xml:space="preserve">L-GFG-0041</t>
  </si>
  <si>
    <t xml:space="preserve">L-GFG-0042</t>
  </si>
  <si>
    <t xml:space="preserve">L-GFG-0043</t>
  </si>
  <si>
    <t xml:space="preserve">L-GFG-0044</t>
  </si>
  <si>
    <t xml:space="preserve">L-GFG-0045</t>
  </si>
  <si>
    <t xml:space="preserve">L-GFG-0046</t>
  </si>
  <si>
    <t xml:space="preserve">L-GFG-0047</t>
  </si>
  <si>
    <t xml:space="preserve">L-GFG-0048</t>
  </si>
  <si>
    <t xml:space="preserve">L-GFG-0049</t>
  </si>
  <si>
    <t xml:space="preserve">L-GFG-0050</t>
  </si>
  <si>
    <t xml:space="preserve">L-GFG-0051</t>
  </si>
  <si>
    <t xml:space="preserve">L-GFG-0052</t>
  </si>
  <si>
    <t xml:space="preserve">L-GFG-0053</t>
  </si>
  <si>
    <t xml:space="preserve">L-GFG-0054</t>
  </si>
  <si>
    <t xml:space="preserve">L-GFG-0055</t>
  </si>
  <si>
    <t xml:space="preserve">L-GFG-0056</t>
  </si>
  <si>
    <t xml:space="preserve">L-GFG-0057</t>
  </si>
  <si>
    <t xml:space="preserve">L-GFG-0058</t>
  </si>
  <si>
    <t xml:space="preserve">L-GFG-0059</t>
  </si>
  <si>
    <t xml:space="preserve">L-GFG-0060</t>
  </si>
  <si>
    <t xml:space="preserve">L-GFG-0061</t>
  </si>
  <si>
    <t xml:space="preserve">L-GFG-0062</t>
  </si>
  <si>
    <t xml:space="preserve">L-GFG-0063</t>
  </si>
  <si>
    <t xml:space="preserve">L-GFG-0064</t>
  </si>
  <si>
    <t xml:space="preserve">L-GFG-0065</t>
  </si>
  <si>
    <t xml:space="preserve">L-GFG-0066</t>
  </si>
  <si>
    <t xml:space="preserve">L-GFG-0067</t>
  </si>
  <si>
    <t xml:space="preserve">L-GFG-0068</t>
  </si>
  <si>
    <t xml:space="preserve">L-GFG-0069</t>
  </si>
  <si>
    <t xml:space="preserve">L-GFG-0070</t>
  </si>
  <si>
    <t xml:space="preserve">L-GFG-0071</t>
  </si>
  <si>
    <t xml:space="preserve">A-SMW-0001</t>
  </si>
  <si>
    <t xml:space="preserve">A-SMW</t>
  </si>
  <si>
    <t xml:space="preserve">Strategic mobility wing</t>
  </si>
  <si>
    <t xml:space="preserve">Air Response</t>
  </si>
  <si>
    <t xml:space="preserve">A-SMW-0002</t>
  </si>
  <si>
    <t xml:space="preserve">A-SMW-0003</t>
  </si>
  <si>
    <t xml:space="preserve">A-SMW-0004</t>
  </si>
  <si>
    <t xml:space="preserve">A-SMW-0005</t>
  </si>
  <si>
    <t xml:space="preserve">A-SMW-0006</t>
  </si>
  <si>
    <t xml:space="preserve">A-SMW-0007</t>
  </si>
  <si>
    <t xml:space="preserve">A-SMW-0008</t>
  </si>
  <si>
    <t xml:space="preserve">A-SMW-0009</t>
  </si>
  <si>
    <t xml:space="preserve">A-SMW-0010</t>
  </si>
  <si>
    <t xml:space="preserve">A-SMW-0011</t>
  </si>
  <si>
    <t xml:space="preserve">A-SMW-0012</t>
  </si>
  <si>
    <t xml:space="preserve">A-SMW-0013</t>
  </si>
  <si>
    <t xml:space="preserve">A-SMW-0014</t>
  </si>
  <si>
    <t xml:space="preserve">A-SMW-0015</t>
  </si>
  <si>
    <t xml:space="preserve">A-SMW-0016</t>
  </si>
  <si>
    <t xml:space="preserve">A-SMW-0017</t>
  </si>
  <si>
    <t xml:space="preserve">A-SMW-0018</t>
  </si>
  <si>
    <t xml:space="preserve">A-SMW-0019</t>
  </si>
  <si>
    <t xml:space="preserve">A-SMW-0020</t>
  </si>
  <si>
    <t xml:space="preserve">A-SMW-0021</t>
  </si>
  <si>
    <t xml:space="preserve">A-SMW-0022</t>
  </si>
  <si>
    <t xml:space="preserve">A-SMW-0023</t>
  </si>
  <si>
    <t xml:space="preserve">A-SMW-0024</t>
  </si>
  <si>
    <t xml:space="preserve">A-SMW-0025</t>
  </si>
  <si>
    <t xml:space="preserve">A-SMW-0026</t>
  </si>
  <si>
    <t xml:space="preserve">A-SMW-0027</t>
  </si>
  <si>
    <t xml:space="preserve">A-SMW-0028</t>
  </si>
  <si>
    <t xml:space="preserve">A-SMW-0029</t>
  </si>
  <si>
    <t xml:space="preserve">A-SMW-0030</t>
  </si>
  <si>
    <t xml:space="preserve">A-SMW-0031</t>
  </si>
  <si>
    <t xml:space="preserve">A-SMW-0032</t>
  </si>
  <si>
    <t xml:space="preserve">A-SMW-0033</t>
  </si>
  <si>
    <t xml:space="preserve">A-SMW-0034</t>
  </si>
  <si>
    <t xml:space="preserve">A-SMW-0035</t>
  </si>
  <si>
    <t xml:space="preserve">A-SMW-0036</t>
  </si>
  <si>
    <t xml:space="preserve">A-SMW-0037</t>
  </si>
  <si>
    <t xml:space="preserve">A-SMW-0038</t>
  </si>
  <si>
    <t xml:space="preserve">A-SMW-0039</t>
  </si>
  <si>
    <t xml:space="preserve">A-SMW-0040</t>
  </si>
  <si>
    <t xml:space="preserve">A-SMW-0041</t>
  </si>
  <si>
    <t xml:space="preserve">A-SMW-0042</t>
  </si>
  <si>
    <t xml:space="preserve">A-SMW-0043</t>
  </si>
  <si>
    <t xml:space="preserve">A-SMW-0044</t>
  </si>
  <si>
    <t xml:space="preserve">A-SMW-0045</t>
  </si>
  <si>
    <t xml:space="preserve">A-SMW-0046</t>
  </si>
  <si>
    <t xml:space="preserve">A-SMW-0047</t>
  </si>
  <si>
    <t xml:space="preserve">A-SMW-0048</t>
  </si>
  <si>
    <t xml:space="preserve">A-SMW-0049</t>
  </si>
  <si>
    <t xml:space="preserve">A-SMW-0050</t>
  </si>
  <si>
    <t xml:space="preserve">A-SMW-0051</t>
  </si>
  <si>
    <t xml:space="preserve">A-SMW-0052</t>
  </si>
  <si>
    <t xml:space="preserve">A-SMW-0053</t>
  </si>
  <si>
    <t xml:space="preserve">A-SMW-0054</t>
  </si>
  <si>
    <t xml:space="preserve">A-SMW-0055</t>
  </si>
  <si>
    <t xml:space="preserve">A-SMW-0056</t>
  </si>
  <si>
    <t xml:space="preserve">A-SMW-0057</t>
  </si>
  <si>
    <t xml:space="preserve">A-SMW-0058</t>
  </si>
  <si>
    <t xml:space="preserve">A-SMW-0059</t>
  </si>
  <si>
    <t xml:space="preserve">A-SMW-0060</t>
  </si>
  <si>
    <t xml:space="preserve">A-SMW-0061</t>
  </si>
  <si>
    <t xml:space="preserve">A-SMW-0062</t>
  </si>
  <si>
    <t xml:space="preserve">A-SMW-0063</t>
  </si>
  <si>
    <t xml:space="preserve">A-SMW-0064</t>
  </si>
  <si>
    <t xml:space="preserve">A-SMW-0065</t>
  </si>
  <si>
    <t xml:space="preserve">A-SMW-0066</t>
  </si>
  <si>
    <t xml:space="preserve">A-SMW-0067</t>
  </si>
  <si>
    <t xml:space="preserve">A-SMW-0068</t>
  </si>
  <si>
    <t xml:space="preserve">A-SMW-0069</t>
  </si>
  <si>
    <t xml:space="preserve">A-SMW-0070</t>
  </si>
  <si>
    <t xml:space="preserve">A-SMW-0071</t>
  </si>
  <si>
    <t xml:space="preserve">A-SMW-0072</t>
  </si>
  <si>
    <t xml:space="preserve">A-AAG-0001</t>
  </si>
  <si>
    <t xml:space="preserve">A-AAG</t>
  </si>
  <si>
    <t xml:space="preserve">Austere air-access group</t>
  </si>
  <si>
    <t xml:space="preserve">A-AAG-0002</t>
  </si>
  <si>
    <t xml:space="preserve">A-AAG-0003</t>
  </si>
  <si>
    <t xml:space="preserve">A-AAG-0004</t>
  </si>
  <si>
    <t xml:space="preserve">A-AAG-0005</t>
  </si>
  <si>
    <t xml:space="preserve">A-AAG-0006</t>
  </si>
  <si>
    <t xml:space="preserve">A-AAG-0007</t>
  </si>
  <si>
    <t xml:space="preserve">A-AAG-0008</t>
  </si>
  <si>
    <t xml:space="preserve">A-AAG-0009</t>
  </si>
  <si>
    <t xml:space="preserve">A-AAG-0010</t>
  </si>
  <si>
    <t xml:space="preserve">A-AAG-0011</t>
  </si>
  <si>
    <t xml:space="preserve">A-AAG-0012</t>
  </si>
  <si>
    <t xml:space="preserve">A-AAG-0013</t>
  </si>
  <si>
    <t xml:space="preserve">A-AAG-0014</t>
  </si>
  <si>
    <t xml:space="preserve">A-AAG-0015</t>
  </si>
  <si>
    <t xml:space="preserve">A-AAG-0016</t>
  </si>
  <si>
    <t xml:space="preserve">A-AAG-0017</t>
  </si>
  <si>
    <t xml:space="preserve">A-AAG-0018</t>
  </si>
  <si>
    <t xml:space="preserve">A-AAG-0019</t>
  </si>
  <si>
    <t xml:space="preserve">A-AAG-0020</t>
  </si>
  <si>
    <t xml:space="preserve">A-AAG-0021</t>
  </si>
  <si>
    <t xml:space="preserve">A-AAG-0022</t>
  </si>
  <si>
    <t xml:space="preserve">A-AAG-0023</t>
  </si>
  <si>
    <t xml:space="preserve">A-AAG-0024</t>
  </si>
  <si>
    <t xml:space="preserve">A-AAG-0025</t>
  </si>
  <si>
    <t xml:space="preserve">A-AAG-0026</t>
  </si>
  <si>
    <t xml:space="preserve">A-AAG-0027</t>
  </si>
  <si>
    <t xml:space="preserve">A-AAG-0028</t>
  </si>
  <si>
    <t xml:space="preserve">A-AAG-0029</t>
  </si>
  <si>
    <t xml:space="preserve">A-AAG-0030</t>
  </si>
  <si>
    <t xml:space="preserve">A-AAG-0031</t>
  </si>
  <si>
    <t xml:space="preserve">A-AAG-0032</t>
  </si>
  <si>
    <t xml:space="preserve">A-AAG-0033</t>
  </si>
  <si>
    <t xml:space="preserve">A-AAG-0034</t>
  </si>
  <si>
    <t xml:space="preserve">A-AAG-0035</t>
  </si>
  <si>
    <t xml:space="preserve">A-AAG-0036</t>
  </si>
  <si>
    <t xml:space="preserve">A-AAG-0037</t>
  </si>
  <si>
    <t xml:space="preserve">A-AAG-0038</t>
  </si>
  <si>
    <t xml:space="preserve">A-AAG-0039</t>
  </si>
  <si>
    <t xml:space="preserve">A-AAG-0040</t>
  </si>
  <si>
    <t xml:space="preserve">A-AAG-0041</t>
  </si>
  <si>
    <t xml:space="preserve">A-AAG-0042</t>
  </si>
  <si>
    <t xml:space="preserve">A-AAG-0043</t>
  </si>
  <si>
    <t xml:space="preserve">A-AAG-0044</t>
  </si>
  <si>
    <t xml:space="preserve">A-AAG-0045</t>
  </si>
  <si>
    <t xml:space="preserve">A-AAG-0046</t>
  </si>
  <si>
    <t xml:space="preserve">A-AAG-0047</t>
  </si>
  <si>
    <t xml:space="preserve">A-AAG-0048</t>
  </si>
  <si>
    <t xml:space="preserve">A-AAG-0049</t>
  </si>
  <si>
    <t xml:space="preserve">A-AAG-0050</t>
  </si>
  <si>
    <t xml:space="preserve">A-AAG-0051</t>
  </si>
  <si>
    <t xml:space="preserve">A-AAG-0052</t>
  </si>
  <si>
    <t xml:space="preserve">A-AAG-0053</t>
  </si>
  <si>
    <t xml:space="preserve">A-AAG-0054</t>
  </si>
  <si>
    <t xml:space="preserve">A-AAG-0055</t>
  </si>
  <si>
    <t xml:space="preserve">A-AAG-0056</t>
  </si>
  <si>
    <t xml:space="preserve">A-AAG-0057</t>
  </si>
  <si>
    <t xml:space="preserve">A-AAG-0058</t>
  </si>
  <si>
    <t xml:space="preserve">A-AAG-0059</t>
  </si>
  <si>
    <t xml:space="preserve">A-AAG-0060</t>
  </si>
  <si>
    <t xml:space="preserve">A-AAG-0061</t>
  </si>
  <si>
    <t xml:space="preserve">A-AAG-0062</t>
  </si>
  <si>
    <t xml:space="preserve">A-AAG-0063</t>
  </si>
  <si>
    <t xml:space="preserve">A-AAG-0064</t>
  </si>
  <si>
    <t xml:space="preserve">A-AAG-0065</t>
  </si>
  <si>
    <t xml:space="preserve">A-AAG-0066</t>
  </si>
  <si>
    <t xml:space="preserve">A-AAG-0067</t>
  </si>
  <si>
    <t xml:space="preserve">A-AAG-0068</t>
  </si>
  <si>
    <t xml:space="preserve">A-AAG-0069</t>
  </si>
  <si>
    <t xml:space="preserve">A-AAG-0070</t>
  </si>
  <si>
    <t xml:space="preserve">A-AAG-0071</t>
  </si>
  <si>
    <t xml:space="preserve">A-AAG-0072</t>
  </si>
  <si>
    <t xml:space="preserve">A-AAG-0073</t>
  </si>
  <si>
    <t xml:space="preserve">A-AAG-0074</t>
  </si>
  <si>
    <t xml:space="preserve">A-AAG-0075</t>
  </si>
  <si>
    <t xml:space="preserve">A-AAG-0076</t>
  </si>
  <si>
    <t xml:space="preserve">A-AAG-0077</t>
  </si>
  <si>
    <t xml:space="preserve">A-AAG-0078</t>
  </si>
  <si>
    <t xml:space="preserve">A-AAG-0079</t>
  </si>
  <si>
    <t xml:space="preserve">A-AAG-0080</t>
  </si>
  <si>
    <t xml:space="preserve">A-AAG-0081</t>
  </si>
  <si>
    <t xml:space="preserve">A-AAG-0082</t>
  </si>
  <si>
    <t xml:space="preserve">A-AAG-0083</t>
  </si>
  <si>
    <t xml:space="preserve">A-AAG-0084</t>
  </si>
  <si>
    <t xml:space="preserve">A-AHW-0001</t>
  </si>
  <si>
    <t xml:space="preserve">A-AHW</t>
  </si>
  <si>
    <t xml:space="preserve">Aerial hazard-control wing</t>
  </si>
  <si>
    <t xml:space="preserve">A-AHW-0002</t>
  </si>
  <si>
    <t xml:space="preserve">A-AHW-0003</t>
  </si>
  <si>
    <t xml:space="preserve">A-AHW-0004</t>
  </si>
  <si>
    <t xml:space="preserve">A-AHW-0005</t>
  </si>
  <si>
    <t xml:space="preserve">A-AHW-0006</t>
  </si>
  <si>
    <t xml:space="preserve">A-AHW-0007</t>
  </si>
  <si>
    <t xml:space="preserve">A-AHW-0008</t>
  </si>
  <si>
    <t xml:space="preserve">A-AHW-0009</t>
  </si>
  <si>
    <t xml:space="preserve">A-AHW-0010</t>
  </si>
  <si>
    <t xml:space="preserve">A-AHW-0011</t>
  </si>
  <si>
    <t xml:space="preserve">A-AHW-0012</t>
  </si>
  <si>
    <t xml:space="preserve">A-AHW-0013</t>
  </si>
  <si>
    <t xml:space="preserve">A-AHW-0014</t>
  </si>
  <si>
    <t xml:space="preserve">A-AHW-0015</t>
  </si>
  <si>
    <t xml:space="preserve">A-AHW-0016</t>
  </si>
  <si>
    <t xml:space="preserve">A-AHW-0017</t>
  </si>
  <si>
    <t xml:space="preserve">A-AHW-0018</t>
  </si>
  <si>
    <t xml:space="preserve">A-AHW-0019</t>
  </si>
  <si>
    <t xml:space="preserve">A-AHW-0020</t>
  </si>
  <si>
    <t xml:space="preserve">A-AHW-0021</t>
  </si>
  <si>
    <t xml:space="preserve">A-AHW-0022</t>
  </si>
  <si>
    <t xml:space="preserve">A-AHW-0023</t>
  </si>
  <si>
    <t xml:space="preserve">A-AHW-0024</t>
  </si>
  <si>
    <t xml:space="preserve">A-AHW-0025</t>
  </si>
  <si>
    <t xml:space="preserve">A-AHW-0026</t>
  </si>
  <si>
    <t xml:space="preserve">A-AHW-0027</t>
  </si>
  <si>
    <t xml:space="preserve">A-AHW-0028</t>
  </si>
  <si>
    <t xml:space="preserve">A-AHW-0029</t>
  </si>
  <si>
    <t xml:space="preserve">A-AHW-0030</t>
  </si>
  <si>
    <t xml:space="preserve">A-AHW-0031</t>
  </si>
  <si>
    <t xml:space="preserve">A-AHW-0032</t>
  </si>
  <si>
    <t xml:space="preserve">A-AHW-0033</t>
  </si>
  <si>
    <t xml:space="preserve">A-AHW-0034</t>
  </si>
  <si>
    <t xml:space="preserve">A-AHW-0035</t>
  </si>
  <si>
    <t xml:space="preserve">A-AHW-0036</t>
  </si>
  <si>
    <t xml:space="preserve">A-AHW-0037</t>
  </si>
  <si>
    <t xml:space="preserve">A-AHW-0038</t>
  </si>
  <si>
    <t xml:space="preserve">A-AHW-0039</t>
  </si>
  <si>
    <t xml:space="preserve">A-AHW-0040</t>
  </si>
  <si>
    <t xml:space="preserve">A-AHW-0041</t>
  </si>
  <si>
    <t xml:space="preserve">A-AHW-0042</t>
  </si>
  <si>
    <t xml:space="preserve">A-AHW-0043</t>
  </si>
  <si>
    <t xml:space="preserve">A-AHW-0044</t>
  </si>
  <si>
    <t xml:space="preserve">A-AHW-0045</t>
  </si>
  <si>
    <t xml:space="preserve">A-AHW-0046</t>
  </si>
  <si>
    <t xml:space="preserve">A-AHW-0047</t>
  </si>
  <si>
    <t xml:space="preserve">A-AHW-0048</t>
  </si>
  <si>
    <t xml:space="preserve">A-AHW-0049</t>
  </si>
  <si>
    <t xml:space="preserve">A-AHW-0050</t>
  </si>
  <si>
    <t xml:space="preserve">A-AHW-0051</t>
  </si>
  <si>
    <t xml:space="preserve">A-TDG-0001</t>
  </si>
  <si>
    <t xml:space="preserve">A-TDG</t>
  </si>
  <si>
    <t xml:space="preserve">Tactical distribution group</t>
  </si>
  <si>
    <t xml:space="preserve">A-TDG-0002</t>
  </si>
  <si>
    <t xml:space="preserve">A-TDG-0003</t>
  </si>
  <si>
    <t xml:space="preserve">A-TDG-0004</t>
  </si>
  <si>
    <t xml:space="preserve">A-TDG-0005</t>
  </si>
  <si>
    <t xml:space="preserve">A-TDG-0006</t>
  </si>
  <si>
    <t xml:space="preserve">A-TDG-0007</t>
  </si>
  <si>
    <t xml:space="preserve">A-TDG-0008</t>
  </si>
  <si>
    <t xml:space="preserve">A-TDG-0009</t>
  </si>
  <si>
    <t xml:space="preserve">A-TDG-0010</t>
  </si>
  <si>
    <t xml:space="preserve">A-TDG-0011</t>
  </si>
  <si>
    <t xml:space="preserve">A-TDG-0012</t>
  </si>
  <si>
    <t xml:space="preserve">A-TDG-0013</t>
  </si>
  <si>
    <t xml:space="preserve">A-TDG-0014</t>
  </si>
  <si>
    <t xml:space="preserve">A-TDG-0015</t>
  </si>
  <si>
    <t xml:space="preserve">A-TDG-0016</t>
  </si>
  <si>
    <t xml:space="preserve">A-TDG-0017</t>
  </si>
  <si>
    <t xml:space="preserve">A-TDG-0018</t>
  </si>
  <si>
    <t xml:space="preserve">A-TDG-0019</t>
  </si>
  <si>
    <t xml:space="preserve">A-TDG-0020</t>
  </si>
  <si>
    <t xml:space="preserve">A-TDG-0021</t>
  </si>
  <si>
    <t xml:space="preserve">A-TDG-0022</t>
  </si>
  <si>
    <t xml:space="preserve">A-TDG-0023</t>
  </si>
  <si>
    <t xml:space="preserve">A-TDG-0024</t>
  </si>
  <si>
    <t xml:space="preserve">A-TDG-0025</t>
  </si>
  <si>
    <t xml:space="preserve">A-TDG-0026</t>
  </si>
  <si>
    <t xml:space="preserve">A-TDG-0027</t>
  </si>
  <si>
    <t xml:space="preserve">A-TDG-0028</t>
  </si>
  <si>
    <t xml:space="preserve">A-TDG-0029</t>
  </si>
  <si>
    <t xml:space="preserve">A-TDG-0030</t>
  </si>
  <si>
    <t xml:space="preserve">A-TDG-0031</t>
  </si>
  <si>
    <t xml:space="preserve">A-TDG-0032</t>
  </si>
  <si>
    <t xml:space="preserve">A-TDG-0033</t>
  </si>
  <si>
    <t xml:space="preserve">A-TDG-0034</t>
  </si>
  <si>
    <t xml:space="preserve">A-TDG-0035</t>
  </si>
  <si>
    <t xml:space="preserve">A-TDG-0036</t>
  </si>
  <si>
    <t xml:space="preserve">A-TDG-0037</t>
  </si>
  <si>
    <t xml:space="preserve">A-TDG-0038</t>
  </si>
  <si>
    <t xml:space="preserve">A-TDG-0039</t>
  </si>
  <si>
    <t xml:space="preserve">A-TDG-0040</t>
  </si>
  <si>
    <t xml:space="preserve">A-TDG-0041</t>
  </si>
  <si>
    <t xml:space="preserve">A-TDG-0042</t>
  </si>
  <si>
    <t xml:space="preserve">A-TDG-0043</t>
  </si>
  <si>
    <t xml:space="preserve">A-TDG-0044</t>
  </si>
  <si>
    <t xml:space="preserve">A-TDG-0045</t>
  </si>
  <si>
    <t xml:space="preserve">A-TDG-0046</t>
  </si>
  <si>
    <t xml:space="preserve">A-TDG-0047</t>
  </si>
  <si>
    <t xml:space="preserve">A-TDG-0048</t>
  </si>
  <si>
    <t xml:space="preserve">A-TDG-0049</t>
  </si>
  <si>
    <t xml:space="preserve">A-TDG-0050</t>
  </si>
  <si>
    <t xml:space="preserve">A-TDG-0051</t>
  </si>
  <si>
    <t xml:space="preserve">A-TDG-0052</t>
  </si>
  <si>
    <t xml:space="preserve">A-TDG-0053</t>
  </si>
  <si>
    <t xml:space="preserve">A-TDG-0054</t>
  </si>
  <si>
    <t xml:space="preserve">A-TDG-0055</t>
  </si>
  <si>
    <t xml:space="preserve">A-TDG-0056</t>
  </si>
  <si>
    <t xml:space="preserve">A-TDG-0057</t>
  </si>
  <si>
    <t xml:space="preserve">A-TDG-0058</t>
  </si>
  <si>
    <t xml:space="preserve">A-TDG-0059</t>
  </si>
  <si>
    <t xml:space="preserve">A-TDG-0060</t>
  </si>
  <si>
    <t xml:space="preserve">A-TDG-0061</t>
  </si>
  <si>
    <t xml:space="preserve">A-TDG-0062</t>
  </si>
  <si>
    <t xml:space="preserve">A-TDG-0063</t>
  </si>
  <si>
    <t xml:space="preserve">A-TDG-0064</t>
  </si>
  <si>
    <t xml:space="preserve">A-TDG-0065</t>
  </si>
  <si>
    <t xml:space="preserve">A-TDG-0066</t>
  </si>
  <si>
    <t xml:space="preserve">A-TDG-0067</t>
  </si>
  <si>
    <t xml:space="preserve">A-TDG-0068</t>
  </si>
  <si>
    <t xml:space="preserve">A-TDG-0069</t>
  </si>
  <si>
    <t xml:space="preserve">A-TDG-0070</t>
  </si>
  <si>
    <t xml:space="preserve">A-TDG-0071</t>
  </si>
  <si>
    <t xml:space="preserve">A-TDG-0072</t>
  </si>
  <si>
    <t xml:space="preserve">A-TDG-0073</t>
  </si>
  <si>
    <t xml:space="preserve">A-TDG-0074</t>
  </si>
  <si>
    <t xml:space="preserve">A-TDG-0075</t>
  </si>
  <si>
    <t xml:space="preserve">A-TDG-0076</t>
  </si>
  <si>
    <t xml:space="preserve">A-TDG-0077</t>
  </si>
  <si>
    <t xml:space="preserve">A-TDG-0078</t>
  </si>
  <si>
    <t xml:space="preserve">A-TDG-0079</t>
  </si>
  <si>
    <t xml:space="preserve">A-TDG-0080</t>
  </si>
  <si>
    <t xml:space="preserve">A-TDG-0081</t>
  </si>
  <si>
    <t xml:space="preserve">A-TDG-0082</t>
  </si>
  <si>
    <t xml:space="preserve">A-TDG-0083</t>
  </si>
  <si>
    <t xml:space="preserve">A-TDG-0084</t>
  </si>
  <si>
    <t xml:space="preserve">A-TDG-0085</t>
  </si>
  <si>
    <t xml:space="preserve">A-TDG-0086</t>
  </si>
  <si>
    <t xml:space="preserve">A-TDG-0087</t>
  </si>
  <si>
    <t xml:space="preserve">A-TDG-0088</t>
  </si>
  <si>
    <t xml:space="preserve">A-TDG-0089</t>
  </si>
  <si>
    <t xml:space="preserve">A-TDG-0090</t>
  </si>
  <si>
    <t xml:space="preserve">A-TDG-0091</t>
  </si>
  <si>
    <t xml:space="preserve">A-TDG-0092</t>
  </si>
  <si>
    <t xml:space="preserve">A-TDG-0093</t>
  </si>
  <si>
    <t xml:space="preserve">A-TDG-0094</t>
  </si>
  <si>
    <t xml:space="preserve">A-TDG-0095</t>
  </si>
  <si>
    <t xml:space="preserve">A-TDG-0096</t>
  </si>
  <si>
    <t xml:space="preserve">A-TDG-0097</t>
  </si>
  <si>
    <t xml:space="preserve">A-TDG-0098</t>
  </si>
  <si>
    <t xml:space="preserve">A-TDG-0099</t>
  </si>
  <si>
    <t xml:space="preserve">A-TDG-0100</t>
  </si>
  <si>
    <t xml:space="preserve">A-TDG-0101</t>
  </si>
  <si>
    <t xml:space="preserve">A-TDG-0102</t>
  </si>
  <si>
    <t xml:space="preserve">A-TDG-0103</t>
  </si>
  <si>
    <t xml:space="preserve">A-TDG-0104</t>
  </si>
  <si>
    <t xml:space="preserve">A-TDG-0105</t>
  </si>
  <si>
    <t xml:space="preserve">A-TDG-0106</t>
  </si>
  <si>
    <t xml:space="preserve">A-TDG-0107</t>
  </si>
  <si>
    <t xml:space="preserve">A-TDG-0108</t>
  </si>
  <si>
    <t xml:space="preserve">A-TDG-0109</t>
  </si>
  <si>
    <t xml:space="preserve">A-TDG-0110</t>
  </si>
  <si>
    <t xml:space="preserve">A-TDG-0111</t>
  </si>
  <si>
    <t xml:space="preserve">A-TDG-0112</t>
  </si>
  <si>
    <t xml:space="preserve">A-TDG-0113</t>
  </si>
  <si>
    <t xml:space="preserve">A-TDG-0114</t>
  </si>
  <si>
    <t xml:space="preserve">A-TDG-0115</t>
  </si>
  <si>
    <t xml:space="preserve">A-TDG-0116</t>
  </si>
  <si>
    <t xml:space="preserve">A-TDG-0117</t>
  </si>
  <si>
    <t xml:space="preserve">A-TDG-0118</t>
  </si>
  <si>
    <t xml:space="preserve">A-TDG-0119</t>
  </si>
  <si>
    <t xml:space="preserve">A-TDG-0120</t>
  </si>
  <si>
    <t xml:space="preserve">A-TDG-0121</t>
  </si>
  <si>
    <t xml:space="preserve">A-TDG-0122</t>
  </si>
  <si>
    <t xml:space="preserve">A-TDG-0123</t>
  </si>
  <si>
    <t xml:space="preserve">A-TDG-0124</t>
  </si>
  <si>
    <t xml:space="preserve">A-TDG-0125</t>
  </si>
  <si>
    <t xml:space="preserve">A-TDG-0126</t>
  </si>
  <si>
    <t xml:space="preserve">A-TDG-0127</t>
  </si>
  <si>
    <t xml:space="preserve">A-TDG-0128</t>
  </si>
  <si>
    <t xml:space="preserve">A-TDG-0129</t>
  </si>
  <si>
    <t xml:space="preserve">A-TDG-0130</t>
  </si>
  <si>
    <t xml:space="preserve">A-TDG-0131</t>
  </si>
  <si>
    <t xml:space="preserve">A-TDG-0132</t>
  </si>
  <si>
    <t xml:space="preserve">A-TDG-0133</t>
  </si>
  <si>
    <t xml:space="preserve">A-TDG-0134</t>
  </si>
  <si>
    <t xml:space="preserve">A-SRG-0001</t>
  </si>
  <si>
    <t xml:space="preserve">A-SRG</t>
  </si>
  <si>
    <t xml:space="preserve">Air sensing and relay group</t>
  </si>
  <si>
    <t xml:space="preserve">A-SRG-0002</t>
  </si>
  <si>
    <t xml:space="preserve">A-SRG-0003</t>
  </si>
  <si>
    <t xml:space="preserve">A-SRG-0004</t>
  </si>
  <si>
    <t xml:space="preserve">A-SRG-0005</t>
  </si>
  <si>
    <t xml:space="preserve">A-SRG-0006</t>
  </si>
  <si>
    <t xml:space="preserve">A-SRG-0007</t>
  </si>
  <si>
    <t xml:space="preserve">A-SRG-0008</t>
  </si>
  <si>
    <t xml:space="preserve">A-SRG-0009</t>
  </si>
  <si>
    <t xml:space="preserve">A-SRG-0010</t>
  </si>
  <si>
    <t xml:space="preserve">A-SRG-0011</t>
  </si>
  <si>
    <t xml:space="preserve">A-SRG-0012</t>
  </si>
  <si>
    <t xml:space="preserve">A-SRG-0013</t>
  </si>
  <si>
    <t xml:space="preserve">A-SRG-0014</t>
  </si>
  <si>
    <t xml:space="preserve">A-SRG-0015</t>
  </si>
  <si>
    <t xml:space="preserve">A-SRG-0016</t>
  </si>
  <si>
    <t xml:space="preserve">A-SRG-0017</t>
  </si>
  <si>
    <t xml:space="preserve">A-SRG-0018</t>
  </si>
  <si>
    <t xml:space="preserve">A-SRG-0019</t>
  </si>
  <si>
    <t xml:space="preserve">A-SRG-0020</t>
  </si>
  <si>
    <t xml:space="preserve">A-SRG-0021</t>
  </si>
  <si>
    <t xml:space="preserve">A-SRG-0022</t>
  </si>
  <si>
    <t xml:space="preserve">A-SRG-0023</t>
  </si>
  <si>
    <t xml:space="preserve">A-SRG-0024</t>
  </si>
  <si>
    <t xml:space="preserve">A-SRG-0025</t>
  </si>
  <si>
    <t xml:space="preserve">A-SRG-0026</t>
  </si>
  <si>
    <t xml:space="preserve">A-SRG-0027</t>
  </si>
  <si>
    <t xml:space="preserve">A-SRG-0028</t>
  </si>
  <si>
    <t xml:space="preserve">A-SRG-0029</t>
  </si>
  <si>
    <t xml:space="preserve">A-SRG-0030</t>
  </si>
  <si>
    <t xml:space="preserve">A-SRG-0031</t>
  </si>
  <si>
    <t xml:space="preserve">A-SRG-0032</t>
  </si>
  <si>
    <t xml:space="preserve">A-SRG-0033</t>
  </si>
  <si>
    <t xml:space="preserve">A-SRG-0034</t>
  </si>
  <si>
    <t xml:space="preserve">A-SRG-0035</t>
  </si>
  <si>
    <t xml:space="preserve">A-SRG-0036</t>
  </si>
  <si>
    <t xml:space="preserve">A-SRG-0037</t>
  </si>
  <si>
    <t xml:space="preserve">A-SRG-0038</t>
  </si>
  <si>
    <t xml:space="preserve">A-SRG-0039</t>
  </si>
  <si>
    <t xml:space="preserve">A-SRG-0040</t>
  </si>
  <si>
    <t xml:space="preserve">A-SRG-0041</t>
  </si>
  <si>
    <t xml:space="preserve">A-SRG-0042</t>
  </si>
  <si>
    <t xml:space="preserve">A-SRG-0043</t>
  </si>
  <si>
    <t xml:space="preserve">A-SRG-0044</t>
  </si>
  <si>
    <t xml:space="preserve">A-SRG-0045</t>
  </si>
  <si>
    <t xml:space="preserve">A-SRG-0046</t>
  </si>
  <si>
    <t xml:space="preserve">A-SRG-0047</t>
  </si>
  <si>
    <t xml:space="preserve">A-SRG-0048</t>
  </si>
  <si>
    <t xml:space="preserve">A-SRG-0049</t>
  </si>
  <si>
    <t xml:space="preserve">A-SRG-0050</t>
  </si>
  <si>
    <t xml:space="preserve">A-SRG-0051</t>
  </si>
  <si>
    <t xml:space="preserve">A-SRG-0052</t>
  </si>
  <si>
    <t xml:space="preserve">A-SRG-0053</t>
  </si>
  <si>
    <t xml:space="preserve">A-SRG-0054</t>
  </si>
  <si>
    <t xml:space="preserve">A-SRG-0055</t>
  </si>
  <si>
    <t xml:space="preserve">A-SRG-0056</t>
  </si>
  <si>
    <t xml:space="preserve">A-SRG-0057</t>
  </si>
  <si>
    <t xml:space="preserve">A-SRG-0058</t>
  </si>
  <si>
    <t xml:space="preserve">A-SRG-0059</t>
  </si>
  <si>
    <t xml:space="preserve">A-SRG-0060</t>
  </si>
  <si>
    <t xml:space="preserve">A-SRG-0061</t>
  </si>
  <si>
    <t xml:space="preserve">A-SRG-0062</t>
  </si>
  <si>
    <t xml:space="preserve">A-SRG-0063</t>
  </si>
  <si>
    <t xml:space="preserve">A-SRG-0064</t>
  </si>
  <si>
    <t xml:space="preserve">A-SRG-0065</t>
  </si>
  <si>
    <t xml:space="preserve">A-SRG-0066</t>
  </si>
  <si>
    <t xml:space="preserve">A-SRG-0067</t>
  </si>
  <si>
    <t xml:space="preserve">A-SRG-0068</t>
  </si>
  <si>
    <t xml:space="preserve">A-SRG-0069</t>
  </si>
  <si>
    <t xml:space="preserve">A-SRG-0070</t>
  </si>
  <si>
    <t xml:space="preserve">A-SRG-0071</t>
  </si>
  <si>
    <t xml:space="preserve">A-SRG-0072</t>
  </si>
  <si>
    <t xml:space="preserve">A-SRG-0073</t>
  </si>
  <si>
    <t xml:space="preserve">A-SRG-0074</t>
  </si>
  <si>
    <t xml:space="preserve">A-SRG-0075</t>
  </si>
  <si>
    <t xml:space="preserve">A-SRG-0076</t>
  </si>
  <si>
    <t xml:space="preserve">A-SRG-0077</t>
  </si>
  <si>
    <t xml:space="preserve">A-SRG-0078</t>
  </si>
  <si>
    <t xml:space="preserve">A-SRG-0079</t>
  </si>
  <si>
    <t xml:space="preserve">A-SRG-0080</t>
  </si>
  <si>
    <t xml:space="preserve">A-SRG-0081</t>
  </si>
  <si>
    <t xml:space="preserve">A-SRG-0082</t>
  </si>
  <si>
    <t xml:space="preserve">A-SRG-0083</t>
  </si>
  <si>
    <t xml:space="preserve">A-SRG-0084</t>
  </si>
  <si>
    <t xml:space="preserve">A-SRG-0085</t>
  </si>
  <si>
    <t xml:space="preserve">A-SRG-0086</t>
  </si>
  <si>
    <t xml:space="preserve">A-SRG-0087</t>
  </si>
  <si>
    <t xml:space="preserve">A-SRG-0088</t>
  </si>
  <si>
    <t xml:space="preserve">A-SRG-0089</t>
  </si>
  <si>
    <t xml:space="preserve">A-SRG-0090</t>
  </si>
  <si>
    <t xml:space="preserve">A-SRG-0091</t>
  </si>
  <si>
    <t xml:space="preserve">A-SRG-0092</t>
  </si>
  <si>
    <t xml:space="preserve">A-SRG-0093</t>
  </si>
  <si>
    <t xml:space="preserve">A-AMG-0001</t>
  </si>
  <si>
    <t xml:space="preserve">A-AMG</t>
  </si>
  <si>
    <t xml:space="preserve">Aeromedical movement group</t>
  </si>
  <si>
    <t xml:space="preserve">MS-HU</t>
  </si>
  <si>
    <t xml:space="preserve">A-AMG-0002</t>
  </si>
  <si>
    <t xml:space="preserve">A-AMG-0003</t>
  </si>
  <si>
    <t xml:space="preserve">A-AMG-0004</t>
  </si>
  <si>
    <t xml:space="preserve">A-AMG-0005</t>
  </si>
  <si>
    <t xml:space="preserve">A-AMG-0006</t>
  </si>
  <si>
    <t xml:space="preserve">A-AMG-0007</t>
  </si>
  <si>
    <t xml:space="preserve">A-AMG-0008</t>
  </si>
  <si>
    <t xml:space="preserve">A-AMG-0009</t>
  </si>
  <si>
    <t xml:space="preserve">A-AMG-0010</t>
  </si>
  <si>
    <t xml:space="preserve">A-AMG-0011</t>
  </si>
  <si>
    <t xml:space="preserve">A-AMG-0012</t>
  </si>
  <si>
    <t xml:space="preserve">A-AMG-0013</t>
  </si>
  <si>
    <t xml:space="preserve">A-AMG-0014</t>
  </si>
  <si>
    <t xml:space="preserve">A-AMG-0015</t>
  </si>
  <si>
    <t xml:space="preserve">A-AMG-0016</t>
  </si>
  <si>
    <t xml:space="preserve">A-AMG-0017</t>
  </si>
  <si>
    <t xml:space="preserve">A-AMG-0018</t>
  </si>
  <si>
    <t xml:space="preserve">A-AMG-0019</t>
  </si>
  <si>
    <t xml:space="preserve">A-AMG-0020</t>
  </si>
  <si>
    <t xml:space="preserve">A-AMG-0021</t>
  </si>
  <si>
    <t xml:space="preserve">A-AMG-0022</t>
  </si>
  <si>
    <t xml:space="preserve">A-AMG-0023</t>
  </si>
  <si>
    <t xml:space="preserve">A-AMG-0024</t>
  </si>
  <si>
    <t xml:space="preserve">A-AMG-0025</t>
  </si>
  <si>
    <t xml:space="preserve">A-AMG-0026</t>
  </si>
  <si>
    <t xml:space="preserve">A-AMG-0027</t>
  </si>
  <si>
    <t xml:space="preserve">A-AMG-0028</t>
  </si>
  <si>
    <t xml:space="preserve">A-AMG-0029</t>
  </si>
  <si>
    <t xml:space="preserve">A-AMG-0030</t>
  </si>
  <si>
    <t xml:space="preserve">A-AMG-0031</t>
  </si>
  <si>
    <t xml:space="preserve">A-AMG-0032</t>
  </si>
  <si>
    <t xml:space="preserve">A-AMG-0033</t>
  </si>
  <si>
    <t xml:space="preserve">A-AMG-0034</t>
  </si>
  <si>
    <t xml:space="preserve">A-AMG-0035</t>
  </si>
  <si>
    <t xml:space="preserve">A-AMG-0036</t>
  </si>
  <si>
    <t xml:space="preserve">A-AMG-0037</t>
  </si>
  <si>
    <t xml:space="preserve">A-AMG-0038</t>
  </si>
  <si>
    <t xml:space="preserve">A-AMG-0039</t>
  </si>
  <si>
    <t xml:space="preserve">A-AMG-0040</t>
  </si>
  <si>
    <t xml:space="preserve">A-AMG-0041</t>
  </si>
  <si>
    <t xml:space="preserve">A-AMG-0042</t>
  </si>
  <si>
    <t xml:space="preserve">A-AMG-0043</t>
  </si>
  <si>
    <t xml:space="preserve">A-AMG-0044</t>
  </si>
  <si>
    <t xml:space="preserve">A-AMG-0045</t>
  </si>
  <si>
    <t xml:space="preserve">A-AMG-0046</t>
  </si>
  <si>
    <t xml:space="preserve">A-AMG-0047</t>
  </si>
  <si>
    <t xml:space="preserve">A-AMG-0048</t>
  </si>
  <si>
    <t xml:space="preserve">A-AMG-0049</t>
  </si>
  <si>
    <t xml:space="preserve">A-AMG-0050</t>
  </si>
  <si>
    <t xml:space="preserve">A-AMG-0051</t>
  </si>
  <si>
    <t xml:space="preserve">A-AMG-0052</t>
  </si>
  <si>
    <t xml:space="preserve">A-AMG-0053</t>
  </si>
  <si>
    <t xml:space="preserve">A-AMG-0054</t>
  </si>
  <si>
    <t xml:space="preserve">A-AMG-0055</t>
  </si>
  <si>
    <t xml:space="preserve">A-AMG-0056</t>
  </si>
  <si>
    <t xml:space="preserve">A-AMG-0057</t>
  </si>
  <si>
    <t xml:space="preserve">A-AMG-0058</t>
  </si>
  <si>
    <t xml:space="preserve">A-AMG-0059</t>
  </si>
  <si>
    <t xml:space="preserve">A-AMG-0060</t>
  </si>
  <si>
    <t xml:space="preserve">A-AMG-0061</t>
  </si>
  <si>
    <t xml:space="preserve">A-AMG-0062</t>
  </si>
  <si>
    <t xml:space="preserve">A-AMG-0063</t>
  </si>
  <si>
    <t xml:space="preserve">A-AMG-0064</t>
  </si>
  <si>
    <t xml:space="preserve">A-AMG-0065</t>
  </si>
  <si>
    <t xml:space="preserve">A-AMG-0066</t>
  </si>
  <si>
    <t xml:space="preserve">A-AMG-0067</t>
  </si>
  <si>
    <t xml:space="preserve">A-AMG-0068</t>
  </si>
  <si>
    <t xml:space="preserve">A-AMG-0069</t>
  </si>
  <si>
    <t xml:space="preserve">A-AMG-0070</t>
  </si>
  <si>
    <t xml:space="preserve">A-AMG-0071</t>
  </si>
  <si>
    <t xml:space="preserve">A-AMG-0072</t>
  </si>
  <si>
    <t xml:space="preserve">M-POG-0001</t>
  </si>
  <si>
    <t xml:space="preserve">M-POG</t>
  </si>
  <si>
    <t xml:space="preserve">Port-opening group</t>
  </si>
  <si>
    <t xml:space="preserve">Maritime Response</t>
  </si>
  <si>
    <t xml:space="preserve">M-POG-0002</t>
  </si>
  <si>
    <t xml:space="preserve">M-POG-0003</t>
  </si>
  <si>
    <t xml:space="preserve">M-POG-0004</t>
  </si>
  <si>
    <t xml:space="preserve">M-POG-0005</t>
  </si>
  <si>
    <t xml:space="preserve">M-POG-0006</t>
  </si>
  <si>
    <t xml:space="preserve">M-POG-0007</t>
  </si>
  <si>
    <t xml:space="preserve">M-POG-0008</t>
  </si>
  <si>
    <t xml:space="preserve">M-POG-0009</t>
  </si>
  <si>
    <t xml:space="preserve">M-POG-0010</t>
  </si>
  <si>
    <t xml:space="preserve">M-POG-0011</t>
  </si>
  <si>
    <t xml:space="preserve">M-POG-0012</t>
  </si>
  <si>
    <t xml:space="preserve">M-POG-0013</t>
  </si>
  <si>
    <t xml:space="preserve">M-POG-0014</t>
  </si>
  <si>
    <t xml:space="preserve">M-POG-0015</t>
  </si>
  <si>
    <t xml:space="preserve">M-POG-0016</t>
  </si>
  <si>
    <t xml:space="preserve">M-POG-0017</t>
  </si>
  <si>
    <t xml:space="preserve">M-POG-0018</t>
  </si>
  <si>
    <t xml:space="preserve">M-POG-0019</t>
  </si>
  <si>
    <t xml:space="preserve">M-POG-0020</t>
  </si>
  <si>
    <t xml:space="preserve">M-POG-0021</t>
  </si>
  <si>
    <t xml:space="preserve">M-POG-0022</t>
  </si>
  <si>
    <t xml:space="preserve">M-POG-0023</t>
  </si>
  <si>
    <t xml:space="preserve">M-POG-0024</t>
  </si>
  <si>
    <t xml:space="preserve">M-POG-0025</t>
  </si>
  <si>
    <t xml:space="preserve">M-POG-0026</t>
  </si>
  <si>
    <t xml:space="preserve">M-POG-0027</t>
  </si>
  <si>
    <t xml:space="preserve">M-POG-0028</t>
  </si>
  <si>
    <t xml:space="preserve">M-POG-0029</t>
  </si>
  <si>
    <t xml:space="preserve">M-POG-0030</t>
  </si>
  <si>
    <t xml:space="preserve">M-POG-0031</t>
  </si>
  <si>
    <t xml:space="preserve">M-POG-0032</t>
  </si>
  <si>
    <t xml:space="preserve">M-POG-0033</t>
  </si>
  <si>
    <t xml:space="preserve">M-POG-0034</t>
  </si>
  <si>
    <t xml:space="preserve">M-POG-0035</t>
  </si>
  <si>
    <t xml:space="preserve">M-POG-0036</t>
  </si>
  <si>
    <t xml:space="preserve">M-POG-0037</t>
  </si>
  <si>
    <t xml:space="preserve">M-POG-0038</t>
  </si>
  <si>
    <t xml:space="preserve">M-POG-0039</t>
  </si>
  <si>
    <t xml:space="preserve">M-POG-0040</t>
  </si>
  <si>
    <t xml:space="preserve">M-POG-0041</t>
  </si>
  <si>
    <t xml:space="preserve">M-POG-0042</t>
  </si>
  <si>
    <t xml:space="preserve">M-POG-0043</t>
  </si>
  <si>
    <t xml:space="preserve">M-POG-0044</t>
  </si>
  <si>
    <t xml:space="preserve">M-POG-0045</t>
  </si>
  <si>
    <t xml:space="preserve">M-POG-0046</t>
  </si>
  <si>
    <t xml:space="preserve">M-POG-0047</t>
  </si>
  <si>
    <t xml:space="preserve">M-POG-0048</t>
  </si>
  <si>
    <t xml:space="preserve">M-POG-0049</t>
  </si>
  <si>
    <t xml:space="preserve">M-POG-0050</t>
  </si>
  <si>
    <t xml:space="preserve">M-POG-0051</t>
  </si>
  <si>
    <t xml:space="preserve">M-POG-0052</t>
  </si>
  <si>
    <t xml:space="preserve">M-POG-0053</t>
  </si>
  <si>
    <t xml:space="preserve">M-POG-0054</t>
  </si>
  <si>
    <t xml:space="preserve">M-POG-0055</t>
  </si>
  <si>
    <t xml:space="preserve">M-POG-0056</t>
  </si>
  <si>
    <t xml:space="preserve">M-POG-0057</t>
  </si>
  <si>
    <t xml:space="preserve">M-POG-0058</t>
  </si>
  <si>
    <t xml:space="preserve">M-POG-0059</t>
  </si>
  <si>
    <t xml:space="preserve">M-POG-0060</t>
  </si>
  <si>
    <t xml:space="preserve">M-POG-0061</t>
  </si>
  <si>
    <t xml:space="preserve">M-POG-0062</t>
  </si>
  <si>
    <t xml:space="preserve">M-POG-0063</t>
  </si>
  <si>
    <t xml:space="preserve">M-POG-0064</t>
  </si>
  <si>
    <t xml:space="preserve">M-POG-0065</t>
  </si>
  <si>
    <t xml:space="preserve">M-POG-0066</t>
  </si>
  <si>
    <t xml:space="preserve">M-POG-0067</t>
  </si>
  <si>
    <t xml:space="preserve">M-POG-0068</t>
  </si>
  <si>
    <t xml:space="preserve">M-POG-0069</t>
  </si>
  <si>
    <t xml:space="preserve">M-POG-0070</t>
  </si>
  <si>
    <t xml:space="preserve">M-POG-0071</t>
  </si>
  <si>
    <t xml:space="preserve">M-POG-0072</t>
  </si>
  <si>
    <t xml:space="preserve">M-POG-0073</t>
  </si>
  <si>
    <t xml:space="preserve">M-POG-0074</t>
  </si>
  <si>
    <t xml:space="preserve">M-LAG-0001</t>
  </si>
  <si>
    <t xml:space="preserve">M-LAG</t>
  </si>
  <si>
    <t xml:space="preserve">Littoral-access group</t>
  </si>
  <si>
    <t xml:space="preserve">M-LAG-0002</t>
  </si>
  <si>
    <t xml:space="preserve">M-LAG-0003</t>
  </si>
  <si>
    <t xml:space="preserve">M-LAG-0004</t>
  </si>
  <si>
    <t xml:space="preserve">M-LAG-0005</t>
  </si>
  <si>
    <t xml:space="preserve">M-LAG-0006</t>
  </si>
  <si>
    <t xml:space="preserve">M-LAG-0007</t>
  </si>
  <si>
    <t xml:space="preserve">M-LAG-0008</t>
  </si>
  <si>
    <t xml:space="preserve">M-LAG-0009</t>
  </si>
  <si>
    <t xml:space="preserve">M-LAG-0010</t>
  </si>
  <si>
    <t xml:space="preserve">M-LAG-0011</t>
  </si>
  <si>
    <t xml:space="preserve">M-LAG-0012</t>
  </si>
  <si>
    <t xml:space="preserve">M-LAG-0013</t>
  </si>
  <si>
    <t xml:space="preserve">M-LAG-0014</t>
  </si>
  <si>
    <t xml:space="preserve">M-LAG-0015</t>
  </si>
  <si>
    <t xml:space="preserve">M-LAG-0016</t>
  </si>
  <si>
    <t xml:space="preserve">M-LAG-0017</t>
  </si>
  <si>
    <t xml:space="preserve">M-LAG-0018</t>
  </si>
  <si>
    <t xml:space="preserve">M-LAG-0019</t>
  </si>
  <si>
    <t xml:space="preserve">M-LAG-0020</t>
  </si>
  <si>
    <t xml:space="preserve">M-LAG-0021</t>
  </si>
  <si>
    <t xml:space="preserve">M-LAG-0022</t>
  </si>
  <si>
    <t xml:space="preserve">M-LAG-0023</t>
  </si>
  <si>
    <t xml:space="preserve">M-LAG-0024</t>
  </si>
  <si>
    <t xml:space="preserve">M-LAG-0025</t>
  </si>
  <si>
    <t xml:space="preserve">M-LAG-0026</t>
  </si>
  <si>
    <t xml:space="preserve">M-LAG-0027</t>
  </si>
  <si>
    <t xml:space="preserve">M-LAG-0028</t>
  </si>
  <si>
    <t xml:space="preserve">M-LAG-0029</t>
  </si>
  <si>
    <t xml:space="preserve">M-LAG-0030</t>
  </si>
  <si>
    <t xml:space="preserve">M-LAG-0031</t>
  </si>
  <si>
    <t xml:space="preserve">M-LAG-0032</t>
  </si>
  <si>
    <t xml:space="preserve">M-LAG-0033</t>
  </si>
  <si>
    <t xml:space="preserve">M-LAG-0034</t>
  </si>
  <si>
    <t xml:space="preserve">M-LAG-0035</t>
  </si>
  <si>
    <t xml:space="preserve">M-LAG-0036</t>
  </si>
  <si>
    <t xml:space="preserve">M-LAG-0037</t>
  </si>
  <si>
    <t xml:space="preserve">M-LAG-0038</t>
  </si>
  <si>
    <t xml:space="preserve">M-LAG-0039</t>
  </si>
  <si>
    <t xml:space="preserve">M-LAG-0040</t>
  </si>
  <si>
    <t xml:space="preserve">M-LAG-0041</t>
  </si>
  <si>
    <t xml:space="preserve">M-LAG-0042</t>
  </si>
  <si>
    <t xml:space="preserve">M-LAG-0043</t>
  </si>
  <si>
    <t xml:space="preserve">M-LAG-0044</t>
  </si>
  <si>
    <t xml:space="preserve">M-LAG-0045</t>
  </si>
  <si>
    <t xml:space="preserve">M-LAG-0046</t>
  </si>
  <si>
    <t xml:space="preserve">M-LAG-0047</t>
  </si>
  <si>
    <t xml:space="preserve">M-LAG-0048</t>
  </si>
  <si>
    <t xml:space="preserve">M-LAG-0049</t>
  </si>
  <si>
    <t xml:space="preserve">M-LAG-0050</t>
  </si>
  <si>
    <t xml:space="preserve">M-LAG-0051</t>
  </si>
  <si>
    <t xml:space="preserve">M-LAG-0052</t>
  </si>
  <si>
    <t xml:space="preserve">M-LAG-0053</t>
  </si>
  <si>
    <t xml:space="preserve">M-LAG-0054</t>
  </si>
  <si>
    <t xml:space="preserve">M-LAG-0055</t>
  </si>
  <si>
    <t xml:space="preserve">M-LAG-0056</t>
  </si>
  <si>
    <t xml:space="preserve">M-LAG-0057</t>
  </si>
  <si>
    <t xml:space="preserve">M-LAG-0058</t>
  </si>
  <si>
    <t xml:space="preserve">M-LAG-0059</t>
  </si>
  <si>
    <t xml:space="preserve">M-LAG-0060</t>
  </si>
  <si>
    <t xml:space="preserve">M-LAG-0061</t>
  </si>
  <si>
    <t xml:space="preserve">M-LAG-0062</t>
  </si>
  <si>
    <t xml:space="preserve">M-LAG-0063</t>
  </si>
  <si>
    <t xml:space="preserve">M-LAG-0064</t>
  </si>
  <si>
    <t xml:space="preserve">M-LAG-0065</t>
  </si>
  <si>
    <t xml:space="preserve">M-LAG-0066</t>
  </si>
  <si>
    <t xml:space="preserve">M-LAG-0067</t>
  </si>
  <si>
    <t xml:space="preserve">M-LAG-0068</t>
  </si>
  <si>
    <t xml:space="preserve">M-LAG-0069</t>
  </si>
  <si>
    <t xml:space="preserve">M-LAG-0070</t>
  </si>
  <si>
    <t xml:space="preserve">M-LAG-0071</t>
  </si>
  <si>
    <t xml:space="preserve">M-LAG-0072</t>
  </si>
  <si>
    <t xml:space="preserve">M-LAG-0073</t>
  </si>
  <si>
    <t xml:space="preserve">M-LAG-0074</t>
  </si>
  <si>
    <t xml:space="preserve">M-LAG-0075</t>
  </si>
  <si>
    <t xml:space="preserve">M-LAG-0076</t>
  </si>
  <si>
    <t xml:space="preserve">M-LAG-0077</t>
  </si>
  <si>
    <t xml:space="preserve">M-LAG-0078</t>
  </si>
  <si>
    <t xml:space="preserve">M-LAG-0079</t>
  </si>
  <si>
    <t xml:space="preserve">M-LAG-0080</t>
  </si>
  <si>
    <t xml:space="preserve">M-LAG-0081</t>
  </si>
  <si>
    <t xml:space="preserve">M-LAG-0082</t>
  </si>
  <si>
    <t xml:space="preserve">M-LAG-0083</t>
  </si>
  <si>
    <t xml:space="preserve">M-LAG-0084</t>
  </si>
  <si>
    <t xml:space="preserve">M-LAG-0085</t>
  </si>
  <si>
    <t xml:space="preserve">M-LAG-0086</t>
  </si>
  <si>
    <t xml:space="preserve">M-IWG-0001</t>
  </si>
  <si>
    <t xml:space="preserve">M-IWG</t>
  </si>
  <si>
    <t xml:space="preserve">Inland-waterway group</t>
  </si>
  <si>
    <t xml:space="preserve">M-IWG-0002</t>
  </si>
  <si>
    <t xml:space="preserve">M-IWG-0003</t>
  </si>
  <si>
    <t xml:space="preserve">M-IWG-0004</t>
  </si>
  <si>
    <t xml:space="preserve">M-IWG-0005</t>
  </si>
  <si>
    <t xml:space="preserve">M-IWG-0006</t>
  </si>
  <si>
    <t xml:space="preserve">M-IWG-0007</t>
  </si>
  <si>
    <t xml:space="preserve">M-IWG-0008</t>
  </si>
  <si>
    <t xml:space="preserve">M-IWG-0009</t>
  </si>
  <si>
    <t xml:space="preserve">M-IWG-0010</t>
  </si>
  <si>
    <t xml:space="preserve">M-IWG-0011</t>
  </si>
  <si>
    <t xml:space="preserve">M-IWG-0012</t>
  </si>
  <si>
    <t xml:space="preserve">M-IWG-0013</t>
  </si>
  <si>
    <t xml:space="preserve">M-IWG-0014</t>
  </si>
  <si>
    <t xml:space="preserve">M-IWG-0015</t>
  </si>
  <si>
    <t xml:space="preserve">M-IWG-0016</t>
  </si>
  <si>
    <t xml:space="preserve">M-IWG-0017</t>
  </si>
  <si>
    <t xml:space="preserve">M-IWG-0018</t>
  </si>
  <si>
    <t xml:space="preserve">M-IWG-0019</t>
  </si>
  <si>
    <t xml:space="preserve">M-IWG-0020</t>
  </si>
  <si>
    <t xml:space="preserve">M-IWG-0021</t>
  </si>
  <si>
    <t xml:space="preserve">M-IWG-0022</t>
  </si>
  <si>
    <t xml:space="preserve">M-IWG-0023</t>
  </si>
  <si>
    <t xml:space="preserve">M-IWG-0024</t>
  </si>
  <si>
    <t xml:space="preserve">M-IWG-0025</t>
  </si>
  <si>
    <t xml:space="preserve">M-IWG-0026</t>
  </si>
  <si>
    <t xml:space="preserve">M-IWG-0027</t>
  </si>
  <si>
    <t xml:space="preserve">M-IWG-0028</t>
  </si>
  <si>
    <t xml:space="preserve">M-IWG-0029</t>
  </si>
  <si>
    <t xml:space="preserve">M-IWG-0030</t>
  </si>
  <si>
    <t xml:space="preserve">M-IWG-0031</t>
  </si>
  <si>
    <t xml:space="preserve">M-IWG-0032</t>
  </si>
  <si>
    <t xml:space="preserve">M-IWG-0033</t>
  </si>
  <si>
    <t xml:space="preserve">M-IWG-0034</t>
  </si>
  <si>
    <t xml:space="preserve">M-IWG-0035</t>
  </si>
  <si>
    <t xml:space="preserve">M-IWG-0036</t>
  </si>
  <si>
    <t xml:space="preserve">M-IWG-0037</t>
  </si>
  <si>
    <t xml:space="preserve">M-IWG-0038</t>
  </si>
  <si>
    <t xml:space="preserve">M-IWG-0039</t>
  </si>
  <si>
    <t xml:space="preserve">M-IWG-0040</t>
  </si>
  <si>
    <t xml:space="preserve">M-IWG-0041</t>
  </si>
  <si>
    <t xml:space="preserve">M-IWG-0042</t>
  </si>
  <si>
    <t xml:space="preserve">M-IWG-0043</t>
  </si>
  <si>
    <t xml:space="preserve">M-IWG-0044</t>
  </si>
  <si>
    <t xml:space="preserve">M-IWG-0045</t>
  </si>
  <si>
    <t xml:space="preserve">M-IWG-0046</t>
  </si>
  <si>
    <t xml:space="preserve">M-IWG-0047</t>
  </si>
  <si>
    <t xml:space="preserve">M-IWG-0048</t>
  </si>
  <si>
    <t xml:space="preserve">M-IWG-0049</t>
  </si>
  <si>
    <t xml:space="preserve">M-IWG-0050</t>
  </si>
  <si>
    <t xml:space="preserve">M-IWG-0051</t>
  </si>
  <si>
    <t xml:space="preserve">M-IWG-0052</t>
  </si>
  <si>
    <t xml:space="preserve">M-IWG-0053</t>
  </si>
  <si>
    <t xml:space="preserve">M-IWG-0054</t>
  </si>
  <si>
    <t xml:space="preserve">M-IWG-0055</t>
  </si>
  <si>
    <t xml:space="preserve">M-IWG-0056</t>
  </si>
  <si>
    <t xml:space="preserve">M-IWG-0057</t>
  </si>
  <si>
    <t xml:space="preserve">M-IWG-0058</t>
  </si>
  <si>
    <t xml:space="preserve">M-IWG-0059</t>
  </si>
  <si>
    <t xml:space="preserve">M-IWG-0060</t>
  </si>
  <si>
    <t xml:space="preserve">M-IWG-0061</t>
  </si>
  <si>
    <t xml:space="preserve">M-IWG-0062</t>
  </si>
  <si>
    <t xml:space="preserve">M-IWG-0063</t>
  </si>
  <si>
    <t xml:space="preserve">M-IWG-0064</t>
  </si>
  <si>
    <t xml:space="preserve">M-IWG-0065</t>
  </si>
  <si>
    <t xml:space="preserve">M-IWG-0066</t>
  </si>
  <si>
    <t xml:space="preserve">M-IWG-0067</t>
  </si>
  <si>
    <t xml:space="preserve">M-OSG-0001</t>
  </si>
  <si>
    <t xml:space="preserve">M-OSG</t>
  </si>
  <si>
    <t xml:space="preserve">Offshore-support group</t>
  </si>
  <si>
    <t xml:space="preserve">M-OSG-0002</t>
  </si>
  <si>
    <t xml:space="preserve">M-OSG-0003</t>
  </si>
  <si>
    <t xml:space="preserve">M-OSG-0004</t>
  </si>
  <si>
    <t xml:space="preserve">M-OSG-0005</t>
  </si>
  <si>
    <t xml:space="preserve">M-OSG-0006</t>
  </si>
  <si>
    <t xml:space="preserve">M-OSG-0007</t>
  </si>
  <si>
    <t xml:space="preserve">M-OSG-0008</t>
  </si>
  <si>
    <t xml:space="preserve">M-OSG-0009</t>
  </si>
  <si>
    <t xml:space="preserve">M-OSG-0010</t>
  </si>
  <si>
    <t xml:space="preserve">M-OSG-0011</t>
  </si>
  <si>
    <t xml:space="preserve">M-OSG-0012</t>
  </si>
  <si>
    <t xml:space="preserve">M-OSG-0013</t>
  </si>
  <si>
    <t xml:space="preserve">M-OSG-0014</t>
  </si>
  <si>
    <t xml:space="preserve">M-OSG-0015</t>
  </si>
  <si>
    <t xml:space="preserve">M-OSG-0016</t>
  </si>
  <si>
    <t xml:space="preserve">M-OSG-0017</t>
  </si>
  <si>
    <t xml:space="preserve">M-OSG-0018</t>
  </si>
  <si>
    <t xml:space="preserve">M-OSG-0019</t>
  </si>
  <si>
    <t xml:space="preserve">M-OSG-0020</t>
  </si>
  <si>
    <t xml:space="preserve">M-OSG-0021</t>
  </si>
  <si>
    <t xml:space="preserve">M-OSG-0022</t>
  </si>
  <si>
    <t xml:space="preserve">M-OSG-0023</t>
  </si>
  <si>
    <t xml:space="preserve">M-OSG-0024</t>
  </si>
  <si>
    <t xml:space="preserve">M-OSG-0025</t>
  </si>
  <si>
    <t xml:space="preserve">M-OSG-0026</t>
  </si>
  <si>
    <t xml:space="preserve">M-OSG-0027</t>
  </si>
  <si>
    <t xml:space="preserve">M-OSG-0028</t>
  </si>
  <si>
    <t xml:space="preserve">M-OSG-0029</t>
  </si>
  <si>
    <t xml:space="preserve">M-OSG-0030</t>
  </si>
  <si>
    <t xml:space="preserve">M-OSG-0031</t>
  </si>
  <si>
    <t xml:space="preserve">M-OSG-0032</t>
  </si>
  <si>
    <t xml:space="preserve">M-OSG-0033</t>
  </si>
  <si>
    <t xml:space="preserve">M-OSG-0034</t>
  </si>
  <si>
    <t xml:space="preserve">M-OSG-0035</t>
  </si>
  <si>
    <t xml:space="preserve">M-OSG-0036</t>
  </si>
  <si>
    <t xml:space="preserve">M-OSG-0037</t>
  </si>
  <si>
    <t xml:space="preserve">M-OSG-0038</t>
  </si>
  <si>
    <t xml:space="preserve">M-OSG-0039</t>
  </si>
  <si>
    <t xml:space="preserve">M-OSG-0040</t>
  </si>
  <si>
    <t xml:space="preserve">M-OSG-0041</t>
  </si>
  <si>
    <t xml:space="preserve">M-OSG-0042</t>
  </si>
  <si>
    <t xml:space="preserve">M-OSG-0043</t>
  </si>
  <si>
    <t xml:space="preserve">M-OSG-0044</t>
  </si>
  <si>
    <t xml:space="preserve">M-OSG-0045</t>
  </si>
  <si>
    <t xml:space="preserve">M-OSG-0046</t>
  </si>
  <si>
    <t xml:space="preserve">M-OSG-0047</t>
  </si>
  <si>
    <t xml:space="preserve">M-OSG-0048</t>
  </si>
  <si>
    <t xml:space="preserve">M-OSG-0049</t>
  </si>
  <si>
    <t xml:space="preserve">M-OSG-0050</t>
  </si>
  <si>
    <t xml:space="preserve">M-OSG-0051</t>
  </si>
  <si>
    <t xml:space="preserve">M-OSG-0052</t>
  </si>
  <si>
    <t xml:space="preserve">M-OSG-0053</t>
  </si>
  <si>
    <t xml:space="preserve">M-OSG-0054</t>
  </si>
  <si>
    <t xml:space="preserve">M-OSG-0055</t>
  </si>
  <si>
    <t xml:space="preserve">M-OSG-0056</t>
  </si>
  <si>
    <t xml:space="preserve">M-MPG-0001</t>
  </si>
  <si>
    <t xml:space="preserve">M-MPG</t>
  </si>
  <si>
    <t xml:space="preserve">Maritime production group</t>
  </si>
  <si>
    <t xml:space="preserve">MS-LF</t>
  </si>
  <si>
    <t xml:space="preserve">M-MPG-0002</t>
  </si>
  <si>
    <t xml:space="preserve">M-MPG-0003</t>
  </si>
  <si>
    <t xml:space="preserve">M-MPG-0004</t>
  </si>
  <si>
    <t xml:space="preserve">M-MPG-0005</t>
  </si>
  <si>
    <t xml:space="preserve">M-MPG-0006</t>
  </si>
  <si>
    <t xml:space="preserve">M-MPG-0007</t>
  </si>
  <si>
    <t xml:space="preserve">M-MPG-0008</t>
  </si>
  <si>
    <t xml:space="preserve">M-MPG-0009</t>
  </si>
  <si>
    <t xml:space="preserve">M-MPG-0010</t>
  </si>
  <si>
    <t xml:space="preserve">M-MPG-0011</t>
  </si>
  <si>
    <t xml:space="preserve">M-MPG-0012</t>
  </si>
  <si>
    <t xml:space="preserve">M-MPG-0013</t>
  </si>
  <si>
    <t xml:space="preserve">M-MPG-0014</t>
  </si>
  <si>
    <t xml:space="preserve">M-MPG-0015</t>
  </si>
  <si>
    <t xml:space="preserve">M-MPG-0016</t>
  </si>
  <si>
    <t xml:space="preserve">M-MPG-0017</t>
  </si>
  <si>
    <t xml:space="preserve">M-MPG-0018</t>
  </si>
  <si>
    <t xml:space="preserve">M-MPG-0019</t>
  </si>
  <si>
    <t xml:space="preserve">M-MPG-0020</t>
  </si>
  <si>
    <t xml:space="preserve">M-MPG-0021</t>
  </si>
  <si>
    <t xml:space="preserve">M-MPG-0022</t>
  </si>
  <si>
    <t xml:space="preserve">M-MPG-0023</t>
  </si>
  <si>
    <t xml:space="preserve">M-MPG-0024</t>
  </si>
  <si>
    <t xml:space="preserve">M-MPG-0025</t>
  </si>
  <si>
    <t xml:space="preserve">M-MPG-0026</t>
  </si>
  <si>
    <t xml:space="preserve">M-MPG-0027</t>
  </si>
  <si>
    <t xml:space="preserve">M-MPG-0028</t>
  </si>
  <si>
    <t xml:space="preserve">M-MPG-0029</t>
  </si>
  <si>
    <t xml:space="preserve">M-MPG-0030</t>
  </si>
  <si>
    <t xml:space="preserve">M-MPG-0031</t>
  </si>
  <si>
    <t xml:space="preserve">M-MPG-0032</t>
  </si>
  <si>
    <t xml:space="preserve">M-MPG-0033</t>
  </si>
  <si>
    <t xml:space="preserve">M-MPG-0034</t>
  </si>
  <si>
    <t xml:space="preserve">M-MPG-0035</t>
  </si>
  <si>
    <t xml:space="preserve">M-MPG-0036</t>
  </si>
  <si>
    <t xml:space="preserve">M-MPG-0037</t>
  </si>
  <si>
    <t xml:space="preserve">M-MPG-0038</t>
  </si>
  <si>
    <t xml:space="preserve">M-MPG-0039</t>
  </si>
  <si>
    <t xml:space="preserve">M-MPG-0040</t>
  </si>
  <si>
    <t xml:space="preserve">M-MPG-0041</t>
  </si>
  <si>
    <t xml:space="preserve">M-MPG-0042</t>
  </si>
  <si>
    <t xml:space="preserve">M-MPG-0043</t>
  </si>
  <si>
    <t xml:space="preserve">M-MPG-0044</t>
  </si>
  <si>
    <t xml:space="preserve">M-MPG-0045</t>
  </si>
  <si>
    <t xml:space="preserve">M-MPG-0046</t>
  </si>
  <si>
    <t xml:space="preserve">M-MPG-0047</t>
  </si>
  <si>
    <t xml:space="preserve">M-MPG-0048</t>
  </si>
  <si>
    <t xml:space="preserve">M-MPG-0049</t>
  </si>
  <si>
    <t xml:space="preserve">M-MPG-0050</t>
  </si>
  <si>
    <t xml:space="preserve">M-MPG-0051</t>
  </si>
  <si>
    <t xml:space="preserve">M-MPG-0052</t>
  </si>
  <si>
    <t xml:space="preserve">M-MPG-0053</t>
  </si>
  <si>
    <t xml:space="preserve">M-MPG-0054</t>
  </si>
  <si>
    <t xml:space="preserve">M-MPG-0055</t>
  </si>
  <si>
    <t xml:space="preserve">M-MPG-0056</t>
  </si>
  <si>
    <t xml:space="preserve">M-MPG-0057</t>
  </si>
  <si>
    <t xml:space="preserve">M-MPG-0058</t>
  </si>
  <si>
    <t xml:space="preserve">M-MPG-0059</t>
  </si>
  <si>
    <t xml:space="preserve">M-MPG-0060</t>
  </si>
  <si>
    <t xml:space="preserve">M-MPG-0061</t>
  </si>
  <si>
    <t xml:space="preserve">M-MPG-0062</t>
  </si>
  <si>
    <t xml:space="preserve">M-MPG-0063</t>
  </si>
  <si>
    <t xml:space="preserve">M-MPG-0064</t>
  </si>
  <si>
    <t xml:space="preserve">M-MPG-0065</t>
  </si>
  <si>
    <t xml:space="preserve">M-SSG-0001</t>
  </si>
  <si>
    <t xml:space="preserve">M-SSG</t>
  </si>
  <si>
    <t xml:space="preserve">Ocean sustainment group</t>
  </si>
  <si>
    <t xml:space="preserve">M-SSG-0002</t>
  </si>
  <si>
    <t xml:space="preserve">M-SSG-0003</t>
  </si>
  <si>
    <t xml:space="preserve">M-SSG-0004</t>
  </si>
  <si>
    <t xml:space="preserve">M-SSG-0005</t>
  </si>
  <si>
    <t xml:space="preserve">M-SSG-0006</t>
  </si>
  <si>
    <t xml:space="preserve">M-SSG-0007</t>
  </si>
  <si>
    <t xml:space="preserve">M-SSG-0008</t>
  </si>
  <si>
    <t xml:space="preserve">M-SSG-0009</t>
  </si>
  <si>
    <t xml:space="preserve">M-SSG-0010</t>
  </si>
  <si>
    <t xml:space="preserve">M-SSG-0011</t>
  </si>
  <si>
    <t xml:space="preserve">M-SSG-0012</t>
  </si>
  <si>
    <t xml:space="preserve">M-SSG-0013</t>
  </si>
  <si>
    <t xml:space="preserve">M-SSG-0014</t>
  </si>
  <si>
    <t xml:space="preserve">M-SSG-0015</t>
  </si>
  <si>
    <t xml:space="preserve">M-SSG-0016</t>
  </si>
  <si>
    <t xml:space="preserve">M-SSG-0017</t>
  </si>
  <si>
    <t xml:space="preserve">M-SSG-0018</t>
  </si>
  <si>
    <t xml:space="preserve">M-SSG-0019</t>
  </si>
  <si>
    <t xml:space="preserve">M-SSG-0020</t>
  </si>
  <si>
    <t xml:space="preserve">M-SSG-0021</t>
  </si>
  <si>
    <t xml:space="preserve">M-SSG-0022</t>
  </si>
  <si>
    <t xml:space="preserve">M-SSG-0023</t>
  </si>
  <si>
    <t xml:space="preserve">M-SSG-0024</t>
  </si>
  <si>
    <t xml:space="preserve">M-SSG-0025</t>
  </si>
  <si>
    <t xml:space="preserve">M-SSG-0026</t>
  </si>
  <si>
    <t xml:space="preserve">M-SSG-0027</t>
  </si>
  <si>
    <t xml:space="preserve">M-SSG-0028</t>
  </si>
  <si>
    <t xml:space="preserve">M-SSG-0029</t>
  </si>
  <si>
    <t xml:space="preserve">M-SSG-0030</t>
  </si>
  <si>
    <t xml:space="preserve">M-SSG-0031</t>
  </si>
  <si>
    <t xml:space="preserve">M-SSG-0032</t>
  </si>
  <si>
    <t xml:space="preserve">M-SSG-0033</t>
  </si>
  <si>
    <t xml:space="preserve">M-SSG-0034</t>
  </si>
  <si>
    <t xml:space="preserve">M-SSG-0035</t>
  </si>
  <si>
    <t xml:space="preserve">M-SSG-0036</t>
  </si>
  <si>
    <t xml:space="preserve">M-SSG-0037</t>
  </si>
  <si>
    <t xml:space="preserve">M-SSG-0038</t>
  </si>
  <si>
    <t xml:space="preserve">M-SSG-0039</t>
  </si>
  <si>
    <t xml:space="preserve">M-SSG-0040</t>
  </si>
  <si>
    <t xml:space="preserve">M-SSG-0041</t>
  </si>
  <si>
    <t xml:space="preserve">M-SSG-0042</t>
  </si>
  <si>
    <t xml:space="preserve">M-SSG-0043</t>
  </si>
  <si>
    <t xml:space="preserve">M-SSG-0044</t>
  </si>
  <si>
    <t xml:space="preserve">M-SSG-0045</t>
  </si>
  <si>
    <t xml:space="preserve">M-SSG-0046</t>
  </si>
  <si>
    <t xml:space="preserve">M-SSG-0047</t>
  </si>
  <si>
    <t xml:space="preserve">M-SSG-0048</t>
  </si>
  <si>
    <t xml:space="preserve">M-SSG-0049</t>
  </si>
  <si>
    <t xml:space="preserve">M-SSG-0050</t>
  </si>
  <si>
    <t xml:space="preserve">M-SSG-0051</t>
  </si>
  <si>
    <t xml:space="preserve">M-SSG-0052</t>
  </si>
  <si>
    <t xml:space="preserve">M-SSG-0053</t>
  </si>
  <si>
    <t xml:space="preserve">M-SSG-0054</t>
  </si>
  <si>
    <t xml:space="preserve">M-SSG-0055</t>
  </si>
  <si>
    <t xml:space="preserve">M-SSG-0056</t>
  </si>
  <si>
    <t xml:space="preserve">M-SSG-0057</t>
  </si>
  <si>
    <t xml:space="preserve">M-SSG-0058</t>
  </si>
  <si>
    <t xml:space="preserve">M-SSG-0059</t>
  </si>
  <si>
    <t xml:space="preserve">M-SSG-0060</t>
  </si>
  <si>
    <t xml:space="preserve">M-SSG-0061</t>
  </si>
  <si>
    <t xml:space="preserve">M-SSG-0062</t>
  </si>
  <si>
    <t xml:space="preserve">M-SSG-0063</t>
  </si>
  <si>
    <t xml:space="preserve">M-SSG-0064</t>
  </si>
  <si>
    <t xml:space="preserve">M-SSG-0065</t>
  </si>
  <si>
    <t xml:space="preserve">M-SSG-0066</t>
  </si>
  <si>
    <t xml:space="preserve">M-SSG-0067</t>
  </si>
  <si>
    <t xml:space="preserve">M-SSG-0068</t>
  </si>
  <si>
    <t xml:space="preserve">M-SSG-0069</t>
  </si>
  <si>
    <t xml:space="preserve">M-SSG-0070</t>
  </si>
  <si>
    <t xml:space="preserve">M-SSG-0071</t>
  </si>
  <si>
    <t xml:space="preserve">M-SSG-0072</t>
  </si>
  <si>
    <t xml:space="preserve">M-SSG-0073</t>
  </si>
  <si>
    <t xml:space="preserve">M-SSG-0074</t>
  </si>
  <si>
    <t xml:space="preserve">M-SSG-0075</t>
  </si>
  <si>
    <t xml:space="preserve">M-SSG-0076</t>
  </si>
  <si>
    <t xml:space="preserve">M-SSG-0077</t>
  </si>
  <si>
    <t xml:space="preserve">M-SSG-0078</t>
  </si>
  <si>
    <t xml:space="preserve">M-SSG-0079</t>
  </si>
  <si>
    <t xml:space="preserve">M-SSG-0080</t>
  </si>
  <si>
    <t xml:space="preserve">M-SSG-0081</t>
  </si>
  <si>
    <t xml:space="preserve">M-SSG-0082</t>
  </si>
  <si>
    <t xml:space="preserve">M-SSG-0083</t>
  </si>
  <si>
    <t xml:space="preserve">M-SSG-0084</t>
  </si>
  <si>
    <t xml:space="preserve">M-SSG-0085</t>
  </si>
  <si>
    <t xml:space="preserve">M-SSG-0086</t>
  </si>
  <si>
    <t xml:space="preserve">M-SSG-0087</t>
  </si>
  <si>
    <t xml:space="preserve">M-SSG-0088</t>
  </si>
  <si>
    <t xml:space="preserve">I-WRG-0001</t>
  </si>
  <si>
    <t xml:space="preserve">I-WRG</t>
  </si>
  <si>
    <t xml:space="preserve">Water restoration group</t>
  </si>
  <si>
    <t xml:space="preserve">Infrastructure Restoration</t>
  </si>
  <si>
    <t xml:space="preserve">I-WRG-0002</t>
  </si>
  <si>
    <t xml:space="preserve">I-WRG-0003</t>
  </si>
  <si>
    <t xml:space="preserve">I-WRG-0004</t>
  </si>
  <si>
    <t xml:space="preserve">I-WRG-0005</t>
  </si>
  <si>
    <t xml:space="preserve">I-WRG-0006</t>
  </si>
  <si>
    <t xml:space="preserve">I-WRG-0007</t>
  </si>
  <si>
    <t xml:space="preserve">I-WRG-0008</t>
  </si>
  <si>
    <t xml:space="preserve">I-WRG-0009</t>
  </si>
  <si>
    <t xml:space="preserve">I-WRG-0010</t>
  </si>
  <si>
    <t xml:space="preserve">I-WRG-0011</t>
  </si>
  <si>
    <t xml:space="preserve">I-WRG-0012</t>
  </si>
  <si>
    <t xml:space="preserve">I-WRG-0013</t>
  </si>
  <si>
    <t xml:space="preserve">I-WRG-0014</t>
  </si>
  <si>
    <t xml:space="preserve">I-WRG-0015</t>
  </si>
  <si>
    <t xml:space="preserve">I-WRG-0016</t>
  </si>
  <si>
    <t xml:space="preserve">I-WRG-0017</t>
  </si>
  <si>
    <t xml:space="preserve">I-WRG-0018</t>
  </si>
  <si>
    <t xml:space="preserve">I-WRG-0019</t>
  </si>
  <si>
    <t xml:space="preserve">I-WRG-0020</t>
  </si>
  <si>
    <t xml:space="preserve">I-WRG-0021</t>
  </si>
  <si>
    <t xml:space="preserve">I-WRG-0022</t>
  </si>
  <si>
    <t xml:space="preserve">I-WRG-0023</t>
  </si>
  <si>
    <t xml:space="preserve">I-WRG-0024</t>
  </si>
  <si>
    <t xml:space="preserve">I-WRG-0025</t>
  </si>
  <si>
    <t xml:space="preserve">I-WRG-0026</t>
  </si>
  <si>
    <t xml:space="preserve">I-WRG-0027</t>
  </si>
  <si>
    <t xml:space="preserve">I-WRG-0028</t>
  </si>
  <si>
    <t xml:space="preserve">I-WRG-0029</t>
  </si>
  <si>
    <t xml:space="preserve">I-WRG-0030</t>
  </si>
  <si>
    <t xml:space="preserve">I-WRG-0031</t>
  </si>
  <si>
    <t xml:space="preserve">I-WRG-0032</t>
  </si>
  <si>
    <t xml:space="preserve">I-WRG-0033</t>
  </si>
  <si>
    <t xml:space="preserve">I-WRG-0034</t>
  </si>
  <si>
    <t xml:space="preserve">I-WRG-0035</t>
  </si>
  <si>
    <t xml:space="preserve">I-WRG-0036</t>
  </si>
  <si>
    <t xml:space="preserve">I-WRG-0037</t>
  </si>
  <si>
    <t xml:space="preserve">I-WRG-0038</t>
  </si>
  <si>
    <t xml:space="preserve">I-WRG-0039</t>
  </si>
  <si>
    <t xml:space="preserve">I-WRG-0040</t>
  </si>
  <si>
    <t xml:space="preserve">I-WRG-0041</t>
  </si>
  <si>
    <t xml:space="preserve">I-WRG-0042</t>
  </si>
  <si>
    <t xml:space="preserve">I-WRG-0043</t>
  </si>
  <si>
    <t xml:space="preserve">I-WRG-0044</t>
  </si>
  <si>
    <t xml:space="preserve">I-WRG-0045</t>
  </si>
  <si>
    <t xml:space="preserve">I-WRG-0046</t>
  </si>
  <si>
    <t xml:space="preserve">I-WRG-0047</t>
  </si>
  <si>
    <t xml:space="preserve">I-WRG-0048</t>
  </si>
  <si>
    <t xml:space="preserve">I-WRG-0049</t>
  </si>
  <si>
    <t xml:space="preserve">I-WRG-0050</t>
  </si>
  <si>
    <t xml:space="preserve">I-WRG-0051</t>
  </si>
  <si>
    <t xml:space="preserve">I-WRG-0052</t>
  </si>
  <si>
    <t xml:space="preserve">I-WRG-0053</t>
  </si>
  <si>
    <t xml:space="preserve">I-WRG-0054</t>
  </si>
  <si>
    <t xml:space="preserve">I-WRG-0055</t>
  </si>
  <si>
    <t xml:space="preserve">I-WRG-0056</t>
  </si>
  <si>
    <t xml:space="preserve">I-WRG-0057</t>
  </si>
  <si>
    <t xml:space="preserve">I-WRG-0058</t>
  </si>
  <si>
    <t xml:space="preserve">I-WRG-0059</t>
  </si>
  <si>
    <t xml:space="preserve">I-WRG-0060</t>
  </si>
  <si>
    <t xml:space="preserve">I-WRG-0061</t>
  </si>
  <si>
    <t xml:space="preserve">I-WRG-0062</t>
  </si>
  <si>
    <t xml:space="preserve">I-WRG-0063</t>
  </si>
  <si>
    <t xml:space="preserve">I-WRG-0064</t>
  </si>
  <si>
    <t xml:space="preserve">I-WRG-0065</t>
  </si>
  <si>
    <t xml:space="preserve">I-WRG-0066</t>
  </si>
  <si>
    <t xml:space="preserve">I-WRG-0067</t>
  </si>
  <si>
    <t xml:space="preserve">I-WRG-0068</t>
  </si>
  <si>
    <t xml:space="preserve">I-WRG-0069</t>
  </si>
  <si>
    <t xml:space="preserve">I-WRG-0070</t>
  </si>
  <si>
    <t xml:space="preserve">I-WRG-0071</t>
  </si>
  <si>
    <t xml:space="preserve">I-WRG-0072</t>
  </si>
  <si>
    <t xml:space="preserve">I-WRG-0073</t>
  </si>
  <si>
    <t xml:space="preserve">I-WRG-0074</t>
  </si>
  <si>
    <t xml:space="preserve">I-WRG-0075</t>
  </si>
  <si>
    <t xml:space="preserve">I-WRG-0076</t>
  </si>
  <si>
    <t xml:space="preserve">I-WRG-0077</t>
  </si>
  <si>
    <t xml:space="preserve">I-WRG-0078</t>
  </si>
  <si>
    <t xml:space="preserve">I-WRG-0079</t>
  </si>
  <si>
    <t xml:space="preserve">I-WRG-0080</t>
  </si>
  <si>
    <t xml:space="preserve">I-WRG-0081</t>
  </si>
  <si>
    <t xml:space="preserve">I-WRG-0082</t>
  </si>
  <si>
    <t xml:space="preserve">I-WRG-0083</t>
  </si>
  <si>
    <t xml:space="preserve">I-WRG-0084</t>
  </si>
  <si>
    <t xml:space="preserve">I-WRG-0085</t>
  </si>
  <si>
    <t xml:space="preserve">I-WRG-0086</t>
  </si>
  <si>
    <t xml:space="preserve">I-WRG-0087</t>
  </si>
  <si>
    <t xml:space="preserve">I-WRG-0088</t>
  </si>
  <si>
    <t xml:space="preserve">I-WRG-0089</t>
  </si>
  <si>
    <t xml:space="preserve">I-WRG-0090</t>
  </si>
  <si>
    <t xml:space="preserve">I-WRG-0091</t>
  </si>
  <si>
    <t xml:space="preserve">I-WRG-0092</t>
  </si>
  <si>
    <t xml:space="preserve">I-WRG-0093</t>
  </si>
  <si>
    <t xml:space="preserve">I-WRG-0094</t>
  </si>
  <si>
    <t xml:space="preserve">I-WRG-0095</t>
  </si>
  <si>
    <t xml:space="preserve">I-WRG-0096</t>
  </si>
  <si>
    <t xml:space="preserve">I-WRG-0097</t>
  </si>
  <si>
    <t xml:space="preserve">I-WRG-0098</t>
  </si>
  <si>
    <t xml:space="preserve">I-WRG-0099</t>
  </si>
  <si>
    <t xml:space="preserve">I-WRG-0100</t>
  </si>
  <si>
    <t xml:space="preserve">I-WRG-0101</t>
  </si>
  <si>
    <t xml:space="preserve">I-WRG-0102</t>
  </si>
  <si>
    <t xml:space="preserve">I-WRG-0103</t>
  </si>
  <si>
    <t xml:space="preserve">I-WRG-0104</t>
  </si>
  <si>
    <t xml:space="preserve">I-WRG-0105</t>
  </si>
  <si>
    <t xml:space="preserve">I-WRG-0106</t>
  </si>
  <si>
    <t xml:space="preserve">I-WRG-0107</t>
  </si>
  <si>
    <t xml:space="preserve">I-WRG-0108</t>
  </si>
  <si>
    <t xml:space="preserve">I-WRG-0109</t>
  </si>
  <si>
    <t xml:space="preserve">I-WRG-0110</t>
  </si>
  <si>
    <t xml:space="preserve">I-WRG-0111</t>
  </si>
  <si>
    <t xml:space="preserve">I-WRG-0112</t>
  </si>
  <si>
    <t xml:space="preserve">I-WRG-0113</t>
  </si>
  <si>
    <t xml:space="preserve">I-WRG-0114</t>
  </si>
  <si>
    <t xml:space="preserve">I-WRG-0115</t>
  </si>
  <si>
    <t xml:space="preserve">I-WRG-0116</t>
  </si>
  <si>
    <t xml:space="preserve">I-PRG-0001</t>
  </si>
  <si>
    <t xml:space="preserve">I-PRG</t>
  </si>
  <si>
    <t xml:space="preserve">Power restoration group</t>
  </si>
  <si>
    <t xml:space="preserve">I-PRG-0002</t>
  </si>
  <si>
    <t xml:space="preserve">I-PRG-0003</t>
  </si>
  <si>
    <t xml:space="preserve">I-PRG-0004</t>
  </si>
  <si>
    <t xml:space="preserve">I-PRG-0005</t>
  </si>
  <si>
    <t xml:space="preserve">I-PRG-0006</t>
  </si>
  <si>
    <t xml:space="preserve">I-PRG-0007</t>
  </si>
  <si>
    <t xml:space="preserve">I-PRG-0008</t>
  </si>
  <si>
    <t xml:space="preserve">I-PRG-0009</t>
  </si>
  <si>
    <t xml:space="preserve">I-PRG-0010</t>
  </si>
  <si>
    <t xml:space="preserve">I-PRG-0011</t>
  </si>
  <si>
    <t xml:space="preserve">I-PRG-0012</t>
  </si>
  <si>
    <t xml:space="preserve">I-PRG-0013</t>
  </si>
  <si>
    <t xml:space="preserve">I-PRG-0014</t>
  </si>
  <si>
    <t xml:space="preserve">I-PRG-0015</t>
  </si>
  <si>
    <t xml:space="preserve">I-PRG-0016</t>
  </si>
  <si>
    <t xml:space="preserve">I-PRG-0017</t>
  </si>
  <si>
    <t xml:space="preserve">I-PRG-0018</t>
  </si>
  <si>
    <t xml:space="preserve">I-PRG-0019</t>
  </si>
  <si>
    <t xml:space="preserve">I-PRG-0020</t>
  </si>
  <si>
    <t xml:space="preserve">I-PRG-0021</t>
  </si>
  <si>
    <t xml:space="preserve">I-PRG-0022</t>
  </si>
  <si>
    <t xml:space="preserve">I-PRG-0023</t>
  </si>
  <si>
    <t xml:space="preserve">I-PRG-0024</t>
  </si>
  <si>
    <t xml:space="preserve">I-PRG-0025</t>
  </si>
  <si>
    <t xml:space="preserve">I-PRG-0026</t>
  </si>
  <si>
    <t xml:space="preserve">I-PRG-0027</t>
  </si>
  <si>
    <t xml:space="preserve">I-PRG-0028</t>
  </si>
  <si>
    <t xml:space="preserve">I-PRG-0029</t>
  </si>
  <si>
    <t xml:space="preserve">I-PRG-0030</t>
  </si>
  <si>
    <t xml:space="preserve">I-PRG-0031</t>
  </si>
  <si>
    <t xml:space="preserve">I-PRG-0032</t>
  </si>
  <si>
    <t xml:space="preserve">I-PRG-0033</t>
  </si>
  <si>
    <t xml:space="preserve">I-PRG-0034</t>
  </si>
  <si>
    <t xml:space="preserve">I-PRG-0035</t>
  </si>
  <si>
    <t xml:space="preserve">I-PRG-0036</t>
  </si>
  <si>
    <t xml:space="preserve">I-PRG-0037</t>
  </si>
  <si>
    <t xml:space="preserve">I-PRG-0038</t>
  </si>
  <si>
    <t xml:space="preserve">I-PRG-0039</t>
  </si>
  <si>
    <t xml:space="preserve">I-PRG-0040</t>
  </si>
  <si>
    <t xml:space="preserve">I-PRG-0041</t>
  </si>
  <si>
    <t xml:space="preserve">I-PRG-0042</t>
  </si>
  <si>
    <t xml:space="preserve">I-PRG-0043</t>
  </si>
  <si>
    <t xml:space="preserve">I-PRG-0044</t>
  </si>
  <si>
    <t xml:space="preserve">I-PRG-0045</t>
  </si>
  <si>
    <t xml:space="preserve">I-PRG-0046</t>
  </si>
  <si>
    <t xml:space="preserve">I-PRG-0047</t>
  </si>
  <si>
    <t xml:space="preserve">I-PRG-0048</t>
  </si>
  <si>
    <t xml:space="preserve">I-PRG-0049</t>
  </si>
  <si>
    <t xml:space="preserve">I-PRG-0050</t>
  </si>
  <si>
    <t xml:space="preserve">I-PRG-0051</t>
  </si>
  <si>
    <t xml:space="preserve">I-PRG-0052</t>
  </si>
  <si>
    <t xml:space="preserve">I-PRG-0053</t>
  </si>
  <si>
    <t xml:space="preserve">I-PRG-0054</t>
  </si>
  <si>
    <t xml:space="preserve">I-PRG-0055</t>
  </si>
  <si>
    <t xml:space="preserve">I-PRG-0056</t>
  </si>
  <si>
    <t xml:space="preserve">I-PRG-0057</t>
  </si>
  <si>
    <t xml:space="preserve">I-PRG-0058</t>
  </si>
  <si>
    <t xml:space="preserve">I-PRG-0059</t>
  </si>
  <si>
    <t xml:space="preserve">I-PRG-0060</t>
  </si>
  <si>
    <t xml:space="preserve">I-PRG-0061</t>
  </si>
  <si>
    <t xml:space="preserve">I-PRG-0062</t>
  </si>
  <si>
    <t xml:space="preserve">I-PRG-0063</t>
  </si>
  <si>
    <t xml:space="preserve">I-PRG-0064</t>
  </si>
  <si>
    <t xml:space="preserve">I-PRG-0065</t>
  </si>
  <si>
    <t xml:space="preserve">I-PRG-0066</t>
  </si>
  <si>
    <t xml:space="preserve">I-PRG-0067</t>
  </si>
  <si>
    <t xml:space="preserve">I-PRG-0068</t>
  </si>
  <si>
    <t xml:space="preserve">I-PRG-0069</t>
  </si>
  <si>
    <t xml:space="preserve">I-PRG-0070</t>
  </si>
  <si>
    <t xml:space="preserve">I-PRG-0071</t>
  </si>
  <si>
    <t xml:space="preserve">I-PRG-0072</t>
  </si>
  <si>
    <t xml:space="preserve">I-PRG-0073</t>
  </si>
  <si>
    <t xml:space="preserve">I-PRG-0074</t>
  </si>
  <si>
    <t xml:space="preserve">I-PRG-0075</t>
  </si>
  <si>
    <t xml:space="preserve">I-PRG-0076</t>
  </si>
  <si>
    <t xml:space="preserve">I-PRG-0077</t>
  </si>
  <si>
    <t xml:space="preserve">I-PRG-0078</t>
  </si>
  <si>
    <t xml:space="preserve">I-PRG-0079</t>
  </si>
  <si>
    <t xml:space="preserve">I-PRG-0080</t>
  </si>
  <si>
    <t xml:space="preserve">I-PRG-0081</t>
  </si>
  <si>
    <t xml:space="preserve">I-PRG-0082</t>
  </si>
  <si>
    <t xml:space="preserve">I-PRG-0083</t>
  </si>
  <si>
    <t xml:space="preserve">I-PRG-0084</t>
  </si>
  <si>
    <t xml:space="preserve">I-PRG-0085</t>
  </si>
  <si>
    <t xml:space="preserve">I-PRG-0086</t>
  </si>
  <si>
    <t xml:space="preserve">I-PRG-0087</t>
  </si>
  <si>
    <t xml:space="preserve">I-PRG-0088</t>
  </si>
  <si>
    <t xml:space="preserve">I-PRG-0089</t>
  </si>
  <si>
    <t xml:space="preserve">I-PRG-0090</t>
  </si>
  <si>
    <t xml:space="preserve">I-PRG-0091</t>
  </si>
  <si>
    <t xml:space="preserve">I-PRG-0092</t>
  </si>
  <si>
    <t xml:space="preserve">I-PRG-0093</t>
  </si>
  <si>
    <t xml:space="preserve">I-PRG-0094</t>
  </si>
  <si>
    <t xml:space="preserve">I-PRG-0095</t>
  </si>
  <si>
    <t xml:space="preserve">I-PRG-0096</t>
  </si>
  <si>
    <t xml:space="preserve">I-PRG-0097</t>
  </si>
  <si>
    <t xml:space="preserve">I-PRG-0098</t>
  </si>
  <si>
    <t xml:space="preserve">I-PRG-0099</t>
  </si>
  <si>
    <t xml:space="preserve">I-PRG-0100</t>
  </si>
  <si>
    <t xml:space="preserve">I-PRG-0101</t>
  </si>
  <si>
    <t xml:space="preserve">I-PRG-0102</t>
  </si>
  <si>
    <t xml:space="preserve">I-PRG-0103</t>
  </si>
  <si>
    <t xml:space="preserve">I-PRG-0104</t>
  </si>
  <si>
    <t xml:space="preserve">I-PRG-0105</t>
  </si>
  <si>
    <t xml:space="preserve">I-PRG-0106</t>
  </si>
  <si>
    <t xml:space="preserve">I-PRG-0107</t>
  </si>
  <si>
    <t xml:space="preserve">I-PRG-0108</t>
  </si>
  <si>
    <t xml:space="preserve">I-PRG-0109</t>
  </si>
  <si>
    <t xml:space="preserve">I-PRG-0110</t>
  </si>
  <si>
    <t xml:space="preserve">I-PRG-0111</t>
  </si>
  <si>
    <t xml:space="preserve">I-PRG-0112</t>
  </si>
  <si>
    <t xml:space="preserve">I-PRG-0113</t>
  </si>
  <si>
    <t xml:space="preserve">I-PRG-0114</t>
  </si>
  <si>
    <t xml:space="preserve">I-PRG-0115</t>
  </si>
  <si>
    <t xml:space="preserve">I-PRG-0116</t>
  </si>
  <si>
    <t xml:space="preserve">I-PRG-0117</t>
  </si>
  <si>
    <t xml:space="preserve">I-PRG-0118</t>
  </si>
  <si>
    <t xml:space="preserve">I-PRG-0119</t>
  </si>
  <si>
    <t xml:space="preserve">I-PRG-0120</t>
  </si>
  <si>
    <t xml:space="preserve">I-PRG-0121</t>
  </si>
  <si>
    <t xml:space="preserve">I-PRG-0122</t>
  </si>
  <si>
    <t xml:space="preserve">I-PRG-0123</t>
  </si>
  <si>
    <t xml:space="preserve">I-PRG-0124</t>
  </si>
  <si>
    <t xml:space="preserve">I-PRG-0125</t>
  </si>
  <si>
    <t xml:space="preserve">I-PRG-0126</t>
  </si>
  <si>
    <t xml:space="preserve">I-PRG-0127</t>
  </si>
  <si>
    <t xml:space="preserve">I-PRG-0128</t>
  </si>
  <si>
    <t xml:space="preserve">I-PRG-0129</t>
  </si>
  <si>
    <t xml:space="preserve">I-PRG-0130</t>
  </si>
  <si>
    <t xml:space="preserve">I-PRG-0131</t>
  </si>
  <si>
    <t xml:space="preserve">I-PRG-0132</t>
  </si>
  <si>
    <t xml:space="preserve">I-PRG-0133</t>
  </si>
  <si>
    <t xml:space="preserve">I-PRG-0134</t>
  </si>
  <si>
    <t xml:space="preserve">I-PRG-0135</t>
  </si>
  <si>
    <t xml:space="preserve">I-GBG-0001</t>
  </si>
  <si>
    <t xml:space="preserve">I-GBG</t>
  </si>
  <si>
    <t xml:space="preserve">Grid bridge group</t>
  </si>
  <si>
    <t xml:space="preserve">I-GBG-0002</t>
  </si>
  <si>
    <t xml:space="preserve">I-GBG-0003</t>
  </si>
  <si>
    <t xml:space="preserve">I-GBG-0004</t>
  </si>
  <si>
    <t xml:space="preserve">I-GBG-0005</t>
  </si>
  <si>
    <t xml:space="preserve">I-GBG-0006</t>
  </si>
  <si>
    <t xml:space="preserve">I-GBG-0007</t>
  </si>
  <si>
    <t xml:space="preserve">I-GBG-0008</t>
  </si>
  <si>
    <t xml:space="preserve">I-GBG-0009</t>
  </si>
  <si>
    <t xml:space="preserve">I-GBG-0010</t>
  </si>
  <si>
    <t xml:space="preserve">I-GBG-0011</t>
  </si>
  <si>
    <t xml:space="preserve">I-GBG-0012</t>
  </si>
  <si>
    <t xml:space="preserve">I-GBG-0013</t>
  </si>
  <si>
    <t xml:space="preserve">I-GBG-0014</t>
  </si>
  <si>
    <t xml:space="preserve">I-GBG-0015</t>
  </si>
  <si>
    <t xml:space="preserve">I-GBG-0016</t>
  </si>
  <si>
    <t xml:space="preserve">I-GBG-0017</t>
  </si>
  <si>
    <t xml:space="preserve">I-GBG-0018</t>
  </si>
  <si>
    <t xml:space="preserve">I-GBG-0019</t>
  </si>
  <si>
    <t xml:space="preserve">I-GBG-0020</t>
  </si>
  <si>
    <t xml:space="preserve">I-GBG-0021</t>
  </si>
  <si>
    <t xml:space="preserve">I-GBG-0022</t>
  </si>
  <si>
    <t xml:space="preserve">I-GBG-0023</t>
  </si>
  <si>
    <t xml:space="preserve">I-GBG-0024</t>
  </si>
  <si>
    <t xml:space="preserve">I-GBG-0025</t>
  </si>
  <si>
    <t xml:space="preserve">I-GBG-0026</t>
  </si>
  <si>
    <t xml:space="preserve">I-GBG-0027</t>
  </si>
  <si>
    <t xml:space="preserve">I-GBG-0028</t>
  </si>
  <si>
    <t xml:space="preserve">I-GBG-0029</t>
  </si>
  <si>
    <t xml:space="preserve">I-GBG-0030</t>
  </si>
  <si>
    <t xml:space="preserve">I-GBG-0031</t>
  </si>
  <si>
    <t xml:space="preserve">I-GBG-0032</t>
  </si>
  <si>
    <t xml:space="preserve">I-GBG-0033</t>
  </si>
  <si>
    <t xml:space="preserve">I-GBG-0034</t>
  </si>
  <si>
    <t xml:space="preserve">I-GBG-0035</t>
  </si>
  <si>
    <t xml:space="preserve">I-GBG-0036</t>
  </si>
  <si>
    <t xml:space="preserve">I-GBG-0037</t>
  </si>
  <si>
    <t xml:space="preserve">I-GBG-0038</t>
  </si>
  <si>
    <t xml:space="preserve">I-GBG-0039</t>
  </si>
  <si>
    <t xml:space="preserve">I-GBG-0040</t>
  </si>
  <si>
    <t xml:space="preserve">I-GBG-0041</t>
  </si>
  <si>
    <t xml:space="preserve">I-GBG-0042</t>
  </si>
  <si>
    <t xml:space="preserve">I-GBG-0043</t>
  </si>
  <si>
    <t xml:space="preserve">I-GBG-0044</t>
  </si>
  <si>
    <t xml:space="preserve">I-GBG-0045</t>
  </si>
  <si>
    <t xml:space="preserve">I-GBG-0046</t>
  </si>
  <si>
    <t xml:space="preserve">I-GBG-0047</t>
  </si>
  <si>
    <t xml:space="preserve">I-GBG-0048</t>
  </si>
  <si>
    <t xml:space="preserve">I-GBG-0049</t>
  </si>
  <si>
    <t xml:space="preserve">I-GBG-0050</t>
  </si>
  <si>
    <t xml:space="preserve">I-GBG-0051</t>
  </si>
  <si>
    <t xml:space="preserve">I-GBG-0052</t>
  </si>
  <si>
    <t xml:space="preserve">I-GBG-0053</t>
  </si>
  <si>
    <t xml:space="preserve">I-GBG-0054</t>
  </si>
  <si>
    <t xml:space="preserve">I-GBG-0055</t>
  </si>
  <si>
    <t xml:space="preserve">I-GBG-0056</t>
  </si>
  <si>
    <t xml:space="preserve">I-GBG-0057</t>
  </si>
  <si>
    <t xml:space="preserve">I-GBG-0058</t>
  </si>
  <si>
    <t xml:space="preserve">I-GBG-0059</t>
  </si>
  <si>
    <t xml:space="preserve">I-GBG-0060</t>
  </si>
  <si>
    <t xml:space="preserve">I-GBG-0061</t>
  </si>
  <si>
    <t xml:space="preserve">I-GBG-0062</t>
  </si>
  <si>
    <t xml:space="preserve">I-GBG-0063</t>
  </si>
  <si>
    <t xml:space="preserve">I-GBG-0064</t>
  </si>
  <si>
    <t xml:space="preserve">I-GBG-0065</t>
  </si>
  <si>
    <t xml:space="preserve">I-GBG-0066</t>
  </si>
  <si>
    <t xml:space="preserve">I-GBG-0067</t>
  </si>
  <si>
    <t xml:space="preserve">I-GBG-0068</t>
  </si>
  <si>
    <t xml:space="preserve">I-GBG-0069</t>
  </si>
  <si>
    <t xml:space="preserve">I-GBG-0070</t>
  </si>
  <si>
    <t xml:space="preserve">I-GBG-0071</t>
  </si>
  <si>
    <t xml:space="preserve">I-GBG-0072</t>
  </si>
  <si>
    <t xml:space="preserve">I-GBG-0073</t>
  </si>
  <si>
    <t xml:space="preserve">I-GBG-0074</t>
  </si>
  <si>
    <t xml:space="preserve">I-GBG-0075</t>
  </si>
  <si>
    <t xml:space="preserve">I-GBG-0076</t>
  </si>
  <si>
    <t xml:space="preserve">I-GBG-0077</t>
  </si>
  <si>
    <t xml:space="preserve">I-GBG-0078</t>
  </si>
  <si>
    <t xml:space="preserve">I-GBG-0079</t>
  </si>
  <si>
    <t xml:space="preserve">I-GBG-0080</t>
  </si>
  <si>
    <t xml:space="preserve">I-GBG-0081</t>
  </si>
  <si>
    <t xml:space="preserve">I-GBG-0082</t>
  </si>
  <si>
    <t xml:space="preserve">I-GBG-0083</t>
  </si>
  <si>
    <t xml:space="preserve">I-GBG-0084</t>
  </si>
  <si>
    <t xml:space="preserve">I-GBG-0085</t>
  </si>
  <si>
    <t xml:space="preserve">I-GBG-0086</t>
  </si>
  <si>
    <t xml:space="preserve">I-GBG-0087</t>
  </si>
  <si>
    <t xml:space="preserve">I-GBG-0088</t>
  </si>
  <si>
    <t xml:space="preserve">I-GBG-0089</t>
  </si>
  <si>
    <t xml:space="preserve">I-GBG-0090</t>
  </si>
  <si>
    <t xml:space="preserve">I-GBG-0091</t>
  </si>
  <si>
    <t xml:space="preserve">I-GBG-0092</t>
  </si>
  <si>
    <t xml:space="preserve">I-GBG-0093</t>
  </si>
  <si>
    <t xml:space="preserve">I-GBG-0094</t>
  </si>
  <si>
    <t xml:space="preserve">I-GBG-0095</t>
  </si>
  <si>
    <t xml:space="preserve">I-GBG-0096</t>
  </si>
  <si>
    <t xml:space="preserve">I-GBG-0097</t>
  </si>
  <si>
    <t xml:space="preserve">I-GBG-0098</t>
  </si>
  <si>
    <t xml:space="preserve">I-GBG-0099</t>
  </si>
  <si>
    <t xml:space="preserve">I-GBG-0100</t>
  </si>
  <si>
    <t xml:space="preserve">I-GBG-0101</t>
  </si>
  <si>
    <t xml:space="preserve">I-GBG-0102</t>
  </si>
  <si>
    <t xml:space="preserve">I-GBG-0103</t>
  </si>
  <si>
    <t xml:space="preserve">I-TSG-0001</t>
  </si>
  <si>
    <t xml:space="preserve">I-TSG</t>
  </si>
  <si>
    <t xml:space="preserve">Thermal safety group</t>
  </si>
  <si>
    <t xml:space="preserve">I-TSG-0002</t>
  </si>
  <si>
    <t xml:space="preserve">I-TSG-0003</t>
  </si>
  <si>
    <t xml:space="preserve">I-TSG-0004</t>
  </si>
  <si>
    <t xml:space="preserve">I-TSG-0005</t>
  </si>
  <si>
    <t xml:space="preserve">I-TSG-0006</t>
  </si>
  <si>
    <t xml:space="preserve">I-TSG-0007</t>
  </si>
  <si>
    <t xml:space="preserve">I-TSG-0008</t>
  </si>
  <si>
    <t xml:space="preserve">I-TSG-0009</t>
  </si>
  <si>
    <t xml:space="preserve">I-TSG-0010</t>
  </si>
  <si>
    <t xml:space="preserve">I-TSG-0011</t>
  </si>
  <si>
    <t xml:space="preserve">I-TSG-0012</t>
  </si>
  <si>
    <t xml:space="preserve">I-TSG-0013</t>
  </si>
  <si>
    <t xml:space="preserve">I-TSG-0014</t>
  </si>
  <si>
    <t xml:space="preserve">I-TSG-0015</t>
  </si>
  <si>
    <t xml:space="preserve">I-TSG-0016</t>
  </si>
  <si>
    <t xml:space="preserve">I-TSG-0017</t>
  </si>
  <si>
    <t xml:space="preserve">I-TSG-0018</t>
  </si>
  <si>
    <t xml:space="preserve">I-TSG-0019</t>
  </si>
  <si>
    <t xml:space="preserve">I-TSG-0020</t>
  </si>
  <si>
    <t xml:space="preserve">I-TSG-0021</t>
  </si>
  <si>
    <t xml:space="preserve">I-TSG-0022</t>
  </si>
  <si>
    <t xml:space="preserve">I-TSG-0023</t>
  </si>
  <si>
    <t xml:space="preserve">I-TSG-0024</t>
  </si>
  <si>
    <t xml:space="preserve">I-TSG-0025</t>
  </si>
  <si>
    <t xml:space="preserve">I-TSG-0026</t>
  </si>
  <si>
    <t xml:space="preserve">I-TSG-0027</t>
  </si>
  <si>
    <t xml:space="preserve">I-TSG-0028</t>
  </si>
  <si>
    <t xml:space="preserve">I-TSG-0029</t>
  </si>
  <si>
    <t xml:space="preserve">I-TSG-0030</t>
  </si>
  <si>
    <t xml:space="preserve">I-TSG-0031</t>
  </si>
  <si>
    <t xml:space="preserve">I-TSG-0032</t>
  </si>
  <si>
    <t xml:space="preserve">I-TSG-0033</t>
  </si>
  <si>
    <t xml:space="preserve">I-TSG-0034</t>
  </si>
  <si>
    <t xml:space="preserve">I-TSG-0035</t>
  </si>
  <si>
    <t xml:space="preserve">I-TSG-0036</t>
  </si>
  <si>
    <t xml:space="preserve">I-TSG-0037</t>
  </si>
  <si>
    <t xml:space="preserve">I-TSG-0038</t>
  </si>
  <si>
    <t xml:space="preserve">I-TSG-0039</t>
  </si>
  <si>
    <t xml:space="preserve">I-TSG-0040</t>
  </si>
  <si>
    <t xml:space="preserve">I-TSG-0041</t>
  </si>
  <si>
    <t xml:space="preserve">I-TSG-0042</t>
  </si>
  <si>
    <t xml:space="preserve">I-TSG-0043</t>
  </si>
  <si>
    <t xml:space="preserve">I-TSG-0044</t>
  </si>
  <si>
    <t xml:space="preserve">I-TSG-0045</t>
  </si>
  <si>
    <t xml:space="preserve">I-TSG-0046</t>
  </si>
  <si>
    <t xml:space="preserve">I-TSG-0047</t>
  </si>
  <si>
    <t xml:space="preserve">I-TSG-0048</t>
  </si>
  <si>
    <t xml:space="preserve">I-TSG-0049</t>
  </si>
  <si>
    <t xml:space="preserve">I-TSG-0050</t>
  </si>
  <si>
    <t xml:space="preserve">I-TSG-0051</t>
  </si>
  <si>
    <t xml:space="preserve">I-TSG-0052</t>
  </si>
  <si>
    <t xml:space="preserve">I-TSG-0053</t>
  </si>
  <si>
    <t xml:space="preserve">I-TSG-0054</t>
  </si>
  <si>
    <t xml:space="preserve">I-TSG-0055</t>
  </si>
  <si>
    <t xml:space="preserve">I-TSG-0056</t>
  </si>
  <si>
    <t xml:space="preserve">I-TSG-0057</t>
  </si>
  <si>
    <t xml:space="preserve">I-TSG-0058</t>
  </si>
  <si>
    <t xml:space="preserve">I-TSG-0059</t>
  </si>
  <si>
    <t xml:space="preserve">I-TSG-0060</t>
  </si>
  <si>
    <t xml:space="preserve">I-TSG-0061</t>
  </si>
  <si>
    <t xml:space="preserve">I-TSG-0062</t>
  </si>
  <si>
    <t xml:space="preserve">I-TSG-0063</t>
  </si>
  <si>
    <t xml:space="preserve">I-TSG-0064</t>
  </si>
  <si>
    <t xml:space="preserve">I-TSG-0065</t>
  </si>
  <si>
    <t xml:space="preserve">I-TSG-0066</t>
  </si>
  <si>
    <t xml:space="preserve">I-TSG-0067</t>
  </si>
  <si>
    <t xml:space="preserve">I-TSG-0068</t>
  </si>
  <si>
    <t xml:space="preserve">I-TSG-0069</t>
  </si>
  <si>
    <t xml:space="preserve">I-TSG-0070</t>
  </si>
  <si>
    <t xml:space="preserve">I-TSG-0071</t>
  </si>
  <si>
    <t xml:space="preserve">I-TSG-0072</t>
  </si>
  <si>
    <t xml:space="preserve">I-TSG-0073</t>
  </si>
  <si>
    <t xml:space="preserve">I-TSG-0074</t>
  </si>
  <si>
    <t xml:space="preserve">I-TSG-0075</t>
  </si>
  <si>
    <t xml:space="preserve">I-TSG-0076</t>
  </si>
  <si>
    <t xml:space="preserve">I-TSG-0077</t>
  </si>
  <si>
    <t xml:space="preserve">I-TSG-0078</t>
  </si>
  <si>
    <t xml:space="preserve">I-TSG-0079</t>
  </si>
  <si>
    <t xml:space="preserve">I-TSG-0080</t>
  </si>
  <si>
    <t xml:space="preserve">I-TSG-0081</t>
  </si>
  <si>
    <t xml:space="preserve">I-TSG-0082</t>
  </si>
  <si>
    <t xml:space="preserve">I-TSG-0083</t>
  </si>
  <si>
    <t xml:space="preserve">I-TSG-0084</t>
  </si>
  <si>
    <t xml:space="preserve">I-TSG-0085</t>
  </si>
  <si>
    <t xml:space="preserve">I-TSG-0086</t>
  </si>
  <si>
    <t xml:space="preserve">I-TSG-0087</t>
  </si>
  <si>
    <t xml:space="preserve">I-TSG-0088</t>
  </si>
  <si>
    <t xml:space="preserve">I-TSG-0089</t>
  </si>
  <si>
    <t xml:space="preserve">I-TSG-0090</t>
  </si>
  <si>
    <t xml:space="preserve">I-TSG-0091</t>
  </si>
  <si>
    <t xml:space="preserve">I-TSG-0092</t>
  </si>
  <si>
    <t xml:space="preserve">I-TSG-0093</t>
  </si>
  <si>
    <t xml:space="preserve">I-TSG-0094</t>
  </si>
  <si>
    <t xml:space="preserve">I-TSG-0095</t>
  </si>
  <si>
    <t xml:space="preserve">I-TSG-0096</t>
  </si>
  <si>
    <t xml:space="preserve">I-TSG-0097</t>
  </si>
  <si>
    <t xml:space="preserve">I-TSG-0098</t>
  </si>
  <si>
    <t xml:space="preserve">I-TSG-0099</t>
  </si>
  <si>
    <t xml:space="preserve">I-TSG-0100</t>
  </si>
  <si>
    <t xml:space="preserve">I-TSG-0101</t>
  </si>
  <si>
    <t xml:space="preserve">I-TSG-0102</t>
  </si>
  <si>
    <t xml:space="preserve">I-TSG-0103</t>
  </si>
  <si>
    <t xml:space="preserve">I-TSG-0104</t>
  </si>
  <si>
    <t xml:space="preserve">I-TSG-0105</t>
  </si>
  <si>
    <t xml:space="preserve">I-TSG-0106</t>
  </si>
  <si>
    <t xml:space="preserve">I-TSG-0107</t>
  </si>
  <si>
    <t xml:space="preserve">I-TSG-0108</t>
  </si>
  <si>
    <t xml:space="preserve">I-TSG-0109</t>
  </si>
  <si>
    <t xml:space="preserve">I-TSG-0110</t>
  </si>
  <si>
    <t xml:space="preserve">I-TSG-0111</t>
  </si>
  <si>
    <t xml:space="preserve">I-TSG-0112</t>
  </si>
  <si>
    <t xml:space="preserve">I-TSG-0113</t>
  </si>
  <si>
    <t xml:space="preserve">I-TSG-0114</t>
  </si>
  <si>
    <t xml:space="preserve">I-TSG-0115</t>
  </si>
  <si>
    <t xml:space="preserve">I-TSG-0116</t>
  </si>
  <si>
    <t xml:space="preserve">I-TSG-0117</t>
  </si>
  <si>
    <t xml:space="preserve">I-TSG-0118</t>
  </si>
  <si>
    <t xml:space="preserve">I-TSG-0119</t>
  </si>
  <si>
    <t xml:space="preserve">I-TSG-0120</t>
  </si>
  <si>
    <t xml:space="preserve">I-TSG-0121</t>
  </si>
  <si>
    <t xml:space="preserve">I-TSG-0122</t>
  </si>
  <si>
    <t xml:space="preserve">I-TSG-0123</t>
  </si>
  <si>
    <t xml:space="preserve">I-TSG-0124</t>
  </si>
  <si>
    <t xml:space="preserve">I-TSG-0125</t>
  </si>
  <si>
    <t xml:space="preserve">I-TSG-0126</t>
  </si>
  <si>
    <t xml:space="preserve">I-TSG-0127</t>
  </si>
  <si>
    <t xml:space="preserve">I-TSG-0128</t>
  </si>
  <si>
    <t xml:space="preserve">I-TSG-0129</t>
  </si>
  <si>
    <t xml:space="preserve">I-TSG-0130</t>
  </si>
  <si>
    <t xml:space="preserve">I-TSG-0131</t>
  </si>
  <si>
    <t xml:space="preserve">I-TSG-0132</t>
  </si>
  <si>
    <t xml:space="preserve">I-TSG-0133</t>
  </si>
  <si>
    <t xml:space="preserve">I-TSG-0134</t>
  </si>
  <si>
    <t xml:space="preserve">I-TSG-0135</t>
  </si>
  <si>
    <t xml:space="preserve">I-CUG-0001</t>
  </si>
  <si>
    <t xml:space="preserve">I-CUG</t>
  </si>
  <si>
    <t xml:space="preserve">Communications utility group</t>
  </si>
  <si>
    <t xml:space="preserve">I-CUG-0002</t>
  </si>
  <si>
    <t xml:space="preserve">I-CUG-0003</t>
  </si>
  <si>
    <t xml:space="preserve">I-CUG-0004</t>
  </si>
  <si>
    <t xml:space="preserve">I-CUG-0005</t>
  </si>
  <si>
    <t xml:space="preserve">I-CUG-0006</t>
  </si>
  <si>
    <t xml:space="preserve">I-CUG-0007</t>
  </si>
  <si>
    <t xml:space="preserve">I-CUG-0008</t>
  </si>
  <si>
    <t xml:space="preserve">I-CUG-0009</t>
  </si>
  <si>
    <t xml:space="preserve">I-CUG-0010</t>
  </si>
  <si>
    <t xml:space="preserve">I-CUG-0011</t>
  </si>
  <si>
    <t xml:space="preserve">I-CUG-0012</t>
  </si>
  <si>
    <t xml:space="preserve">I-CUG-0013</t>
  </si>
  <si>
    <t xml:space="preserve">I-CUG-0014</t>
  </si>
  <si>
    <t xml:space="preserve">I-CUG-0015</t>
  </si>
  <si>
    <t xml:space="preserve">I-CUG-0016</t>
  </si>
  <si>
    <t xml:space="preserve">I-CUG-0017</t>
  </si>
  <si>
    <t xml:space="preserve">I-CUG-0018</t>
  </si>
  <si>
    <t xml:space="preserve">I-CUG-0019</t>
  </si>
  <si>
    <t xml:space="preserve">I-CUG-0020</t>
  </si>
  <si>
    <t xml:space="preserve">I-CUG-0021</t>
  </si>
  <si>
    <t xml:space="preserve">I-CUG-0022</t>
  </si>
  <si>
    <t xml:space="preserve">I-CUG-0023</t>
  </si>
  <si>
    <t xml:space="preserve">I-CUG-0024</t>
  </si>
  <si>
    <t xml:space="preserve">I-CUG-0025</t>
  </si>
  <si>
    <t xml:space="preserve">I-CUG-0026</t>
  </si>
  <si>
    <t xml:space="preserve">I-CUG-0027</t>
  </si>
  <si>
    <t xml:space="preserve">I-CUG-0028</t>
  </si>
  <si>
    <t xml:space="preserve">I-CUG-0029</t>
  </si>
  <si>
    <t xml:space="preserve">I-CUG-0030</t>
  </si>
  <si>
    <t xml:space="preserve">I-CUG-0031</t>
  </si>
  <si>
    <t xml:space="preserve">I-CUG-0032</t>
  </si>
  <si>
    <t xml:space="preserve">I-CUG-0033</t>
  </si>
  <si>
    <t xml:space="preserve">I-CUG-0034</t>
  </si>
  <si>
    <t xml:space="preserve">I-CUG-0035</t>
  </si>
  <si>
    <t xml:space="preserve">I-CUG-0036</t>
  </si>
  <si>
    <t xml:space="preserve">I-CUG-0037</t>
  </si>
  <si>
    <t xml:space="preserve">I-CUG-0038</t>
  </si>
  <si>
    <t xml:space="preserve">I-CUG-0039</t>
  </si>
  <si>
    <t xml:space="preserve">I-CUG-0040</t>
  </si>
  <si>
    <t xml:space="preserve">I-CUG-0041</t>
  </si>
  <si>
    <t xml:space="preserve">I-CUG-0042</t>
  </si>
  <si>
    <t xml:space="preserve">I-CUG-0043</t>
  </si>
  <si>
    <t xml:space="preserve">I-CUG-0044</t>
  </si>
  <si>
    <t xml:space="preserve">I-CUG-0045</t>
  </si>
  <si>
    <t xml:space="preserve">I-CUG-0046</t>
  </si>
  <si>
    <t xml:space="preserve">I-CUG-0047</t>
  </si>
  <si>
    <t xml:space="preserve">I-CUG-0048</t>
  </si>
  <si>
    <t xml:space="preserve">I-CUG-0049</t>
  </si>
  <si>
    <t xml:space="preserve">I-CUG-0050</t>
  </si>
  <si>
    <t xml:space="preserve">I-CUG-0051</t>
  </si>
  <si>
    <t xml:space="preserve">I-CUG-0052</t>
  </si>
  <si>
    <t xml:space="preserve">I-CUG-0053</t>
  </si>
  <si>
    <t xml:space="preserve">I-CUG-0054</t>
  </si>
  <si>
    <t xml:space="preserve">I-CUG-0055</t>
  </si>
  <si>
    <t xml:space="preserve">I-CUG-0056</t>
  </si>
  <si>
    <t xml:space="preserve">I-CUG-0057</t>
  </si>
  <si>
    <t xml:space="preserve">I-CUG-0058</t>
  </si>
  <si>
    <t xml:space="preserve">I-CUG-0059</t>
  </si>
  <si>
    <t xml:space="preserve">I-CUG-0060</t>
  </si>
  <si>
    <t xml:space="preserve">I-CUG-0061</t>
  </si>
  <si>
    <t xml:space="preserve">I-CUG-0062</t>
  </si>
  <si>
    <t xml:space="preserve">I-CUG-0063</t>
  </si>
  <si>
    <t xml:space="preserve">I-CUG-0064</t>
  </si>
  <si>
    <t xml:space="preserve">I-CUG-0065</t>
  </si>
  <si>
    <t xml:space="preserve">I-CUG-0066</t>
  </si>
  <si>
    <t xml:space="preserve">I-CUG-0067</t>
  </si>
  <si>
    <t xml:space="preserve">I-CUG-0068</t>
  </si>
  <si>
    <t xml:space="preserve">I-CUG-0069</t>
  </si>
  <si>
    <t xml:space="preserve">I-CUG-0070</t>
  </si>
  <si>
    <t xml:space="preserve">I-CUG-0071</t>
  </si>
  <si>
    <t xml:space="preserve">I-CUG-0072</t>
  </si>
  <si>
    <t xml:space="preserve">I-CUG-0073</t>
  </si>
  <si>
    <t xml:space="preserve">I-CUG-0074</t>
  </si>
  <si>
    <t xml:space="preserve">I-CUG-0075</t>
  </si>
  <si>
    <t xml:space="preserve">I-CUG-0076</t>
  </si>
  <si>
    <t xml:space="preserve">I-CUG-0077</t>
  </si>
  <si>
    <t xml:space="preserve">I-CUG-0078</t>
  </si>
  <si>
    <t xml:space="preserve">I-CUG-0079</t>
  </si>
  <si>
    <t xml:space="preserve">I-CUG-0080</t>
  </si>
  <si>
    <t xml:space="preserve">I-CUG-0081</t>
  </si>
  <si>
    <t xml:space="preserve">I-CUG-0082</t>
  </si>
  <si>
    <t xml:space="preserve">I-CUG-0083</t>
  </si>
  <si>
    <t xml:space="preserve">I-CUG-0084</t>
  </si>
  <si>
    <t xml:space="preserve">I-CUG-0085</t>
  </si>
  <si>
    <t xml:space="preserve">I-CUG-0086</t>
  </si>
  <si>
    <t xml:space="preserve">I-CUG-0087</t>
  </si>
  <si>
    <t xml:space="preserve">I-CUG-0088</t>
  </si>
  <si>
    <t xml:space="preserve">I-CUG-0089</t>
  </si>
  <si>
    <t xml:space="preserve">I-CUG-0090</t>
  </si>
  <si>
    <t xml:space="preserve">I-CUG-0091</t>
  </si>
  <si>
    <t xml:space="preserve">I-CUG-0092</t>
  </si>
  <si>
    <t xml:space="preserve">I-CUG-0093</t>
  </si>
  <si>
    <t xml:space="preserve">I-CUG-0094</t>
  </si>
  <si>
    <t xml:space="preserve">I-CUG-0095</t>
  </si>
  <si>
    <t xml:space="preserve">I-CUG-0096</t>
  </si>
  <si>
    <t xml:space="preserve">I-CUG-0097</t>
  </si>
  <si>
    <t xml:space="preserve">I-CUG-0098</t>
  </si>
  <si>
    <t xml:space="preserve">I-CUG-0099</t>
  </si>
  <si>
    <t xml:space="preserve">I-CUG-0100</t>
  </si>
  <si>
    <t xml:space="preserve">I-CUG-0101</t>
  </si>
  <si>
    <t xml:space="preserve">I-CUG-0102</t>
  </si>
  <si>
    <t xml:space="preserve">I-CUG-0103</t>
  </si>
  <si>
    <t xml:space="preserve">I-CUG-0104</t>
  </si>
  <si>
    <t xml:space="preserve">I-CUG-0105</t>
  </si>
  <si>
    <t xml:space="preserve">I-CUG-0106</t>
  </si>
  <si>
    <t xml:space="preserve">I-CUG-0107</t>
  </si>
  <si>
    <t xml:space="preserve">I-CUG-0108</t>
  </si>
  <si>
    <t xml:space="preserve">I-CUG-0109</t>
  </si>
  <si>
    <t xml:space="preserve">I-CUG-0110</t>
  </si>
  <si>
    <t xml:space="preserve">I-CUG-0111</t>
  </si>
  <si>
    <t xml:space="preserve">I-CUG-0112</t>
  </si>
  <si>
    <t xml:space="preserve">I-CUG-0113</t>
  </si>
  <si>
    <t xml:space="preserve">I-CUG-0114</t>
  </si>
  <si>
    <t xml:space="preserve">I-CUG-0115</t>
  </si>
  <si>
    <t xml:space="preserve">I-CUG-0116</t>
  </si>
  <si>
    <t xml:space="preserve">I-CUG-0117</t>
  </si>
  <si>
    <t xml:space="preserve">I-CUG-0118</t>
  </si>
  <si>
    <t xml:space="preserve">I-CUG-0119</t>
  </si>
  <si>
    <t xml:space="preserve">I-CUG-0120</t>
  </si>
  <si>
    <t xml:space="preserve">I-CUG-0121</t>
  </si>
  <si>
    <t xml:space="preserve">I-CUG-0122</t>
  </si>
  <si>
    <t xml:space="preserve">I-CUG-0123</t>
  </si>
  <si>
    <t xml:space="preserve">I-CUG-0124</t>
  </si>
  <si>
    <t xml:space="preserve">I-CUG-0125</t>
  </si>
  <si>
    <t xml:space="preserve">I-CUG-0126</t>
  </si>
  <si>
    <t xml:space="preserve">I-CUG-0127</t>
  </si>
  <si>
    <t xml:space="preserve">I-URG-0001</t>
  </si>
  <si>
    <t xml:space="preserve">I-URG</t>
  </si>
  <si>
    <t xml:space="preserve">Utility reconstruction group</t>
  </si>
  <si>
    <t xml:space="preserve">I-URG-0002</t>
  </si>
  <si>
    <t xml:space="preserve">I-URG-0003</t>
  </si>
  <si>
    <t xml:space="preserve">I-URG-0004</t>
  </si>
  <si>
    <t xml:space="preserve">I-URG-0005</t>
  </si>
  <si>
    <t xml:space="preserve">I-URG-0006</t>
  </si>
  <si>
    <t xml:space="preserve">I-URG-0007</t>
  </si>
  <si>
    <t xml:space="preserve">I-URG-0008</t>
  </si>
  <si>
    <t xml:space="preserve">I-URG-0009</t>
  </si>
  <si>
    <t xml:space="preserve">I-URG-0010</t>
  </si>
  <si>
    <t xml:space="preserve">I-URG-0011</t>
  </si>
  <si>
    <t xml:space="preserve">I-URG-0012</t>
  </si>
  <si>
    <t xml:space="preserve">I-URG-0013</t>
  </si>
  <si>
    <t xml:space="preserve">I-URG-0014</t>
  </si>
  <si>
    <t xml:space="preserve">I-URG-0015</t>
  </si>
  <si>
    <t xml:space="preserve">I-URG-0016</t>
  </si>
  <si>
    <t xml:space="preserve">I-URG-0017</t>
  </si>
  <si>
    <t xml:space="preserve">I-URG-0018</t>
  </si>
  <si>
    <t xml:space="preserve">I-URG-0019</t>
  </si>
  <si>
    <t xml:space="preserve">I-URG-0020</t>
  </si>
  <si>
    <t xml:space="preserve">I-URG-0021</t>
  </si>
  <si>
    <t xml:space="preserve">I-URG-0022</t>
  </si>
  <si>
    <t xml:space="preserve">I-URG-0023</t>
  </si>
  <si>
    <t xml:space="preserve">I-URG-0024</t>
  </si>
  <si>
    <t xml:space="preserve">I-URG-0025</t>
  </si>
  <si>
    <t xml:space="preserve">I-URG-0026</t>
  </si>
  <si>
    <t xml:space="preserve">I-URG-0027</t>
  </si>
  <si>
    <t xml:space="preserve">I-URG-0028</t>
  </si>
  <si>
    <t xml:space="preserve">I-URG-0029</t>
  </si>
  <si>
    <t xml:space="preserve">I-URG-0030</t>
  </si>
  <si>
    <t xml:space="preserve">I-URG-0031</t>
  </si>
  <si>
    <t xml:space="preserve">I-URG-0032</t>
  </si>
  <si>
    <t xml:space="preserve">I-URG-0033</t>
  </si>
  <si>
    <t xml:space="preserve">I-URG-0034</t>
  </si>
  <si>
    <t xml:space="preserve">I-URG-0035</t>
  </si>
  <si>
    <t xml:space="preserve">I-URG-0036</t>
  </si>
  <si>
    <t xml:space="preserve">I-URG-0037</t>
  </si>
  <si>
    <t xml:space="preserve">I-URG-0038</t>
  </si>
  <si>
    <t xml:space="preserve">I-URG-0039</t>
  </si>
  <si>
    <t xml:space="preserve">I-URG-0040</t>
  </si>
  <si>
    <t xml:space="preserve">I-URG-0041</t>
  </si>
  <si>
    <t xml:space="preserve">I-URG-0042</t>
  </si>
  <si>
    <t xml:space="preserve">I-URG-0043</t>
  </si>
  <si>
    <t xml:space="preserve">I-URG-0044</t>
  </si>
  <si>
    <t xml:space="preserve">I-URG-0045</t>
  </si>
  <si>
    <t xml:space="preserve">I-URG-0046</t>
  </si>
  <si>
    <t xml:space="preserve">I-URG-0047</t>
  </si>
  <si>
    <t xml:space="preserve">I-URG-0048</t>
  </si>
  <si>
    <t xml:space="preserve">I-URG-0049</t>
  </si>
  <si>
    <t xml:space="preserve">I-URG-0050</t>
  </si>
  <si>
    <t xml:space="preserve">I-URG-0051</t>
  </si>
  <si>
    <t xml:space="preserve">I-URG-0052</t>
  </si>
  <si>
    <t xml:space="preserve">I-URG-0053</t>
  </si>
  <si>
    <t xml:space="preserve">I-URG-0054</t>
  </si>
  <si>
    <t xml:space="preserve">I-URG-0055</t>
  </si>
  <si>
    <t xml:space="preserve">I-URG-0056</t>
  </si>
  <si>
    <t xml:space="preserve">I-URG-0057</t>
  </si>
  <si>
    <t xml:space="preserve">I-URG-0058</t>
  </si>
  <si>
    <t xml:space="preserve">I-URG-0059</t>
  </si>
  <si>
    <t xml:space="preserve">I-URG-0060</t>
  </si>
  <si>
    <t xml:space="preserve">I-URG-0061</t>
  </si>
  <si>
    <t xml:space="preserve">I-URG-0062</t>
  </si>
  <si>
    <t xml:space="preserve">I-URG-0063</t>
  </si>
  <si>
    <t xml:space="preserve">I-URG-0064</t>
  </si>
  <si>
    <t xml:space="preserve">I-URG-0065</t>
  </si>
  <si>
    <t xml:space="preserve">I-URG-0066</t>
  </si>
  <si>
    <t xml:space="preserve">I-URG-0067</t>
  </si>
  <si>
    <t xml:space="preserve">I-URG-0068</t>
  </si>
  <si>
    <t xml:space="preserve">I-URG-0069</t>
  </si>
  <si>
    <t xml:space="preserve">I-URG-0070</t>
  </si>
  <si>
    <t xml:space="preserve">I-URG-0071</t>
  </si>
  <si>
    <t xml:space="preserve">I-URG-0072</t>
  </si>
  <si>
    <t xml:space="preserve">I-URG-0073</t>
  </si>
  <si>
    <t xml:space="preserve">I-URG-0074</t>
  </si>
  <si>
    <t xml:space="preserve">I-URG-0075</t>
  </si>
  <si>
    <t xml:space="preserve">I-URG-0076</t>
  </si>
  <si>
    <t xml:space="preserve">I-URG-0077</t>
  </si>
  <si>
    <t xml:space="preserve">I-URG-0078</t>
  </si>
  <si>
    <t xml:space="preserve">I-URG-0079</t>
  </si>
  <si>
    <t xml:space="preserve">I-URG-0080</t>
  </si>
  <si>
    <t xml:space="preserve">I-URG-0081</t>
  </si>
  <si>
    <t xml:space="preserve">I-URG-0082</t>
  </si>
  <si>
    <t xml:space="preserve">I-URG-0083</t>
  </si>
  <si>
    <t xml:space="preserve">I-URG-0084</t>
  </si>
  <si>
    <t xml:space="preserve">I-URG-0085</t>
  </si>
  <si>
    <t xml:space="preserve">I-URG-0086</t>
  </si>
  <si>
    <t xml:space="preserve">I-URG-0087</t>
  </si>
  <si>
    <t xml:space="preserve">I-URG-0088</t>
  </si>
  <si>
    <t xml:space="preserve">I-URG-0089</t>
  </si>
  <si>
    <t xml:space="preserve">I-URG-0090</t>
  </si>
  <si>
    <t xml:space="preserve">I-URG-0091</t>
  </si>
  <si>
    <t xml:space="preserve">I-URG-0092</t>
  </si>
  <si>
    <t xml:space="preserve">I-URG-0093</t>
  </si>
  <si>
    <t xml:space="preserve">I-URG-0094</t>
  </si>
  <si>
    <t xml:space="preserve">I-URG-0095</t>
  </si>
  <si>
    <t xml:space="preserve">I-URG-0096</t>
  </si>
  <si>
    <t xml:space="preserve">I-URG-0097</t>
  </si>
  <si>
    <t xml:space="preserve">I-URG-0098</t>
  </si>
  <si>
    <t xml:space="preserve">I-URG-0099</t>
  </si>
  <si>
    <t xml:space="preserve">I-URG-0100</t>
  </si>
  <si>
    <t xml:space="preserve">I-URG-0101</t>
  </si>
  <si>
    <t xml:space="preserve">I-URG-0102</t>
  </si>
  <si>
    <t xml:space="preserve">I-URG-0103</t>
  </si>
  <si>
    <t xml:space="preserve">I-URG-0104</t>
  </si>
  <si>
    <t xml:space="preserve">I-URG-0105</t>
  </si>
  <si>
    <t xml:space="preserve">I-URG-0106</t>
  </si>
  <si>
    <t xml:space="preserve">I-URG-0107</t>
  </si>
  <si>
    <t xml:space="preserve">I-URG-0108</t>
  </si>
  <si>
    <t xml:space="preserve">I-URG-0109</t>
  </si>
  <si>
    <t xml:space="preserve">I-URG-0110</t>
  </si>
  <si>
    <t xml:space="preserve">I-URG-0111</t>
  </si>
  <si>
    <t xml:space="preserve">I-URG-0112</t>
  </si>
  <si>
    <t xml:space="preserve">I-URG-0113</t>
  </si>
  <si>
    <t xml:space="preserve">I-URG-0114</t>
  </si>
  <si>
    <t xml:space="preserve">I-URG-0115</t>
  </si>
  <si>
    <t xml:space="preserve">I-URG-0116</t>
  </si>
  <si>
    <t xml:space="preserve">I-URG-0117</t>
  </si>
  <si>
    <t xml:space="preserve">I-URG-0118</t>
  </si>
  <si>
    <t xml:space="preserve">I-URG-0119</t>
  </si>
  <si>
    <t xml:space="preserve">I-URG-0120</t>
  </si>
  <si>
    <t xml:space="preserve">I-URG-0121</t>
  </si>
  <si>
    <t xml:space="preserve">I-URG-0122</t>
  </si>
  <si>
    <t xml:space="preserve">I-URG-0123</t>
  </si>
  <si>
    <t xml:space="preserve">I-URG-0124</t>
  </si>
  <si>
    <t xml:space="preserve">I-URG-0125</t>
  </si>
  <si>
    <t xml:space="preserve">I-URG-0126</t>
  </si>
  <si>
    <t xml:space="preserve">I-URG-0127</t>
  </si>
  <si>
    <t xml:space="preserve">I-URG-0128</t>
  </si>
  <si>
    <t xml:space="preserve">I-URG-0129</t>
  </si>
  <si>
    <t xml:space="preserve">I-URG-0130</t>
  </si>
  <si>
    <t xml:space="preserve">I-URG-0131</t>
  </si>
  <si>
    <t xml:space="preserve">I-URG-0132</t>
  </si>
  <si>
    <t xml:space="preserve">I-URG-0133</t>
  </si>
  <si>
    <t xml:space="preserve">I-URG-0134</t>
  </si>
  <si>
    <t xml:space="preserve">I-URG-0135</t>
  </si>
  <si>
    <t xml:space="preserve">I-URG-0136</t>
  </si>
  <si>
    <t xml:space="preserve">I-URG-0137</t>
  </si>
  <si>
    <t xml:space="preserve">I-URG-0138</t>
  </si>
  <si>
    <t xml:space="preserve">I-URG-0139</t>
  </si>
  <si>
    <t xml:space="preserve">I-URG-0140</t>
  </si>
  <si>
    <t xml:space="preserve">I-URG-0141</t>
  </si>
  <si>
    <t xml:space="preserve">I-URG-0142</t>
  </si>
  <si>
    <t xml:space="preserve">I-URG-0143</t>
  </si>
  <si>
    <t xml:space="preserve">I-URG-0144</t>
  </si>
  <si>
    <t xml:space="preserve">I-URG-0145</t>
  </si>
  <si>
    <t xml:space="preserve">I-URG-0146</t>
  </si>
  <si>
    <t xml:space="preserve">I-URG-0147</t>
  </si>
  <si>
    <t xml:space="preserve">I-URG-0148</t>
  </si>
  <si>
    <t xml:space="preserve">I-URG-0149</t>
  </si>
  <si>
    <t xml:space="preserve">I-URG-0150</t>
  </si>
  <si>
    <t xml:space="preserve">I-URG-0151</t>
  </si>
  <si>
    <t xml:space="preserve">I-URG-0152</t>
  </si>
  <si>
    <t xml:space="preserve">I-URG-0153</t>
  </si>
  <si>
    <t xml:space="preserve">I-URG-0154</t>
  </si>
  <si>
    <t xml:space="preserve">I-URG-0155</t>
  </si>
  <si>
    <t xml:space="preserve">I-URG-0156</t>
  </si>
  <si>
    <t xml:space="preserve">I-URG-0157</t>
  </si>
  <si>
    <t xml:space="preserve">H-CHC-0001</t>
  </si>
  <si>
    <t xml:space="preserve">H-CHC</t>
  </si>
  <si>
    <t xml:space="preserve">Community health continuity group</t>
  </si>
  <si>
    <t xml:space="preserve">Health Protection</t>
  </si>
  <si>
    <t xml:space="preserve">H-CHC-0002</t>
  </si>
  <si>
    <t xml:space="preserve">H-CHC-0003</t>
  </si>
  <si>
    <t xml:space="preserve">H-CHC-0004</t>
  </si>
  <si>
    <t xml:space="preserve">H-CHC-0005</t>
  </si>
  <si>
    <t xml:space="preserve">H-CHC-0006</t>
  </si>
  <si>
    <t xml:space="preserve">H-CHC-0007</t>
  </si>
  <si>
    <t xml:space="preserve">H-CHC-0008</t>
  </si>
  <si>
    <t xml:space="preserve">H-CHC-0009</t>
  </si>
  <si>
    <t xml:space="preserve">H-CHC-0010</t>
  </si>
  <si>
    <t xml:space="preserve">H-CHC-0011</t>
  </si>
  <si>
    <t xml:space="preserve">H-CHC-0012</t>
  </si>
  <si>
    <t xml:space="preserve">H-CHC-0013</t>
  </si>
  <si>
    <t xml:space="preserve">H-CHC-0014</t>
  </si>
  <si>
    <t xml:space="preserve">H-CHC-0015</t>
  </si>
  <si>
    <t xml:space="preserve">H-CHC-0016</t>
  </si>
  <si>
    <t xml:space="preserve">H-CHC-0017</t>
  </si>
  <si>
    <t xml:space="preserve">H-CHC-0018</t>
  </si>
  <si>
    <t xml:space="preserve">H-CHC-0019</t>
  </si>
  <si>
    <t xml:space="preserve">H-CHC-0020</t>
  </si>
  <si>
    <t xml:space="preserve">H-CHC-0021</t>
  </si>
  <si>
    <t xml:space="preserve">H-CHC-0022</t>
  </si>
  <si>
    <t xml:space="preserve">H-CHC-0023</t>
  </si>
  <si>
    <t xml:space="preserve">H-CHC-0024</t>
  </si>
  <si>
    <t xml:space="preserve">H-CHC-0025</t>
  </si>
  <si>
    <t xml:space="preserve">H-CHC-0026</t>
  </si>
  <si>
    <t xml:space="preserve">H-CHC-0027</t>
  </si>
  <si>
    <t xml:space="preserve">H-CHC-0028</t>
  </si>
  <si>
    <t xml:space="preserve">H-CHC-0029</t>
  </si>
  <si>
    <t xml:space="preserve">H-CHC-0030</t>
  </si>
  <si>
    <t xml:space="preserve">H-CHC-0031</t>
  </si>
  <si>
    <t xml:space="preserve">H-CHC-0032</t>
  </si>
  <si>
    <t xml:space="preserve">H-CHC-0033</t>
  </si>
  <si>
    <t xml:space="preserve">H-CHC-0034</t>
  </si>
  <si>
    <t xml:space="preserve">H-CHC-0035</t>
  </si>
  <si>
    <t xml:space="preserve">H-CHC-0036</t>
  </si>
  <si>
    <t xml:space="preserve">H-CHC-0037</t>
  </si>
  <si>
    <t xml:space="preserve">H-CHC-0038</t>
  </si>
  <si>
    <t xml:space="preserve">H-CHC-0039</t>
  </si>
  <si>
    <t xml:space="preserve">H-CHC-0040</t>
  </si>
  <si>
    <t xml:space="preserve">H-CHC-0041</t>
  </si>
  <si>
    <t xml:space="preserve">H-CHC-0042</t>
  </si>
  <si>
    <t xml:space="preserve">H-CHC-0043</t>
  </si>
  <si>
    <t xml:space="preserve">H-CHC-0044</t>
  </si>
  <si>
    <t xml:space="preserve">H-CHC-0045</t>
  </si>
  <si>
    <t xml:space="preserve">H-CHC-0046</t>
  </si>
  <si>
    <t xml:space="preserve">H-CHC-0047</t>
  </si>
  <si>
    <t xml:space="preserve">H-CHC-0048</t>
  </si>
  <si>
    <t xml:space="preserve">H-CHC-0049</t>
  </si>
  <si>
    <t xml:space="preserve">H-CHC-0050</t>
  </si>
  <si>
    <t xml:space="preserve">H-CHC-0051</t>
  </si>
  <si>
    <t xml:space="preserve">H-CHC-0052</t>
  </si>
  <si>
    <t xml:space="preserve">H-CHC-0053</t>
  </si>
  <si>
    <t xml:space="preserve">H-CHC-0054</t>
  </si>
  <si>
    <t xml:space="preserve">H-CHC-0055</t>
  </si>
  <si>
    <t xml:space="preserve">H-CHC-0056</t>
  </si>
  <si>
    <t xml:space="preserve">H-CHC-0057</t>
  </si>
  <si>
    <t xml:space="preserve">H-CHC-0058</t>
  </si>
  <si>
    <t xml:space="preserve">H-CHC-0059</t>
  </si>
  <si>
    <t xml:space="preserve">H-CHC-0060</t>
  </si>
  <si>
    <t xml:space="preserve">H-CHC-0061</t>
  </si>
  <si>
    <t xml:space="preserve">H-CHC-0062</t>
  </si>
  <si>
    <t xml:space="preserve">H-CHC-0063</t>
  </si>
  <si>
    <t xml:space="preserve">H-CHC-0064</t>
  </si>
  <si>
    <t xml:space="preserve">H-CHC-0065</t>
  </si>
  <si>
    <t xml:space="preserve">H-CHC-0066</t>
  </si>
  <si>
    <t xml:space="preserve">H-CHC-0067</t>
  </si>
  <si>
    <t xml:space="preserve">H-CHC-0068</t>
  </si>
  <si>
    <t xml:space="preserve">H-CHC-0069</t>
  </si>
  <si>
    <t xml:space="preserve">H-CHC-0070</t>
  </si>
  <si>
    <t xml:space="preserve">H-CHC-0071</t>
  </si>
  <si>
    <t xml:space="preserve">H-CHC-0072</t>
  </si>
  <si>
    <t xml:space="preserve">H-CHC-0073</t>
  </si>
  <si>
    <t xml:space="preserve">H-CHC-0074</t>
  </si>
  <si>
    <t xml:space="preserve">H-CHC-0075</t>
  </si>
  <si>
    <t xml:space="preserve">H-CHC-0076</t>
  </si>
  <si>
    <t xml:space="preserve">H-CHC-0077</t>
  </si>
  <si>
    <t xml:space="preserve">H-CHC-0078</t>
  </si>
  <si>
    <t xml:space="preserve">H-CHC-0079</t>
  </si>
  <si>
    <t xml:space="preserve">H-CHC-0080</t>
  </si>
  <si>
    <t xml:space="preserve">H-CHC-0081</t>
  </si>
  <si>
    <t xml:space="preserve">H-CHC-0082</t>
  </si>
  <si>
    <t xml:space="preserve">H-CHC-0083</t>
  </si>
  <si>
    <t xml:space="preserve">H-CHC-0084</t>
  </si>
  <si>
    <t xml:space="preserve">H-CHC-0085</t>
  </si>
  <si>
    <t xml:space="preserve">H-CHC-0086</t>
  </si>
  <si>
    <t xml:space="preserve">H-CHC-0087</t>
  </si>
  <si>
    <t xml:space="preserve">H-CHC-0088</t>
  </si>
  <si>
    <t xml:space="preserve">H-CHC-0089</t>
  </si>
  <si>
    <t xml:space="preserve">H-CHC-0090</t>
  </si>
  <si>
    <t xml:space="preserve">H-CHC-0091</t>
  </si>
  <si>
    <t xml:space="preserve">H-CHC-0092</t>
  </si>
  <si>
    <t xml:space="preserve">H-CHC-0093</t>
  </si>
  <si>
    <t xml:space="preserve">H-CHC-0094</t>
  </si>
  <si>
    <t xml:space="preserve">H-CHC-0095</t>
  </si>
  <si>
    <t xml:space="preserve">H-CHC-0096</t>
  </si>
  <si>
    <t xml:space="preserve">H-CHC-0097</t>
  </si>
  <si>
    <t xml:space="preserve">H-CHC-0098</t>
  </si>
  <si>
    <t xml:space="preserve">H-CHC-0099</t>
  </si>
  <si>
    <t xml:space="preserve">H-CHC-0100</t>
  </si>
  <si>
    <t xml:space="preserve">H-CHC-0101</t>
  </si>
  <si>
    <t xml:space="preserve">H-CHC-0102</t>
  </si>
  <si>
    <t xml:space="preserve">H-CHC-0103</t>
  </si>
  <si>
    <t xml:space="preserve">H-CHC-0104</t>
  </si>
  <si>
    <t xml:space="preserve">H-CHC-0105</t>
  </si>
  <si>
    <t xml:space="preserve">H-CHC-0106</t>
  </si>
  <si>
    <t xml:space="preserve">H-CHC-0107</t>
  </si>
  <si>
    <t xml:space="preserve">H-CHC-0108</t>
  </si>
  <si>
    <t xml:space="preserve">H-CHC-0109</t>
  </si>
  <si>
    <t xml:space="preserve">H-CHC-0110</t>
  </si>
  <si>
    <t xml:space="preserve">H-CHC-0111</t>
  </si>
  <si>
    <t xml:space="preserve">H-CHC-0112</t>
  </si>
  <si>
    <t xml:space="preserve">H-CHC-0113</t>
  </si>
  <si>
    <t xml:space="preserve">H-CHC-0114</t>
  </si>
  <si>
    <t xml:space="preserve">H-CHC-0115</t>
  </si>
  <si>
    <t xml:space="preserve">H-CHC-0116</t>
  </si>
  <si>
    <t xml:space="preserve">H-CHC-0117</t>
  </si>
  <si>
    <t xml:space="preserve">H-CHC-0118</t>
  </si>
  <si>
    <t xml:space="preserve">H-CHC-0119</t>
  </si>
  <si>
    <t xml:space="preserve">H-CHC-0120</t>
  </si>
  <si>
    <t xml:space="preserve">H-CHC-0121</t>
  </si>
  <si>
    <t xml:space="preserve">H-CHC-0122</t>
  </si>
  <si>
    <t xml:space="preserve">H-CHC-0123</t>
  </si>
  <si>
    <t xml:space="preserve">H-CHC-0124</t>
  </si>
  <si>
    <t xml:space="preserve">H-CHC-0125</t>
  </si>
  <si>
    <t xml:space="preserve">H-CHC-0126</t>
  </si>
  <si>
    <t xml:space="preserve">H-CHC-0127</t>
  </si>
  <si>
    <t xml:space="preserve">H-CHC-0128</t>
  </si>
  <si>
    <t xml:space="preserve">H-CHC-0129</t>
  </si>
  <si>
    <t xml:space="preserve">H-CHC-0130</t>
  </si>
  <si>
    <t xml:space="preserve">H-CHC-0131</t>
  </si>
  <si>
    <t xml:space="preserve">H-CHC-0132</t>
  </si>
  <si>
    <t xml:space="preserve">H-CHC-0133</t>
  </si>
  <si>
    <t xml:space="preserve">H-CHC-0134</t>
  </si>
  <si>
    <t xml:space="preserve">H-CHC-0135</t>
  </si>
  <si>
    <t xml:space="preserve">H-CHC-0136</t>
  </si>
  <si>
    <t xml:space="preserve">H-CHC-0137</t>
  </si>
  <si>
    <t xml:space="preserve">H-CHC-0138</t>
  </si>
  <si>
    <t xml:space="preserve">H-CHC-0139</t>
  </si>
  <si>
    <t xml:space="preserve">H-CHC-0140</t>
  </si>
  <si>
    <t xml:space="preserve">H-CHC-0141</t>
  </si>
  <si>
    <t xml:space="preserve">H-CHC-0142</t>
  </si>
  <si>
    <t xml:space="preserve">H-CHC-0143</t>
  </si>
  <si>
    <t xml:space="preserve">H-CHC-0144</t>
  </si>
  <si>
    <t xml:space="preserve">H-CHC-0145</t>
  </si>
  <si>
    <t xml:space="preserve">H-CHC-0146</t>
  </si>
  <si>
    <t xml:space="preserve">H-CHC-0147</t>
  </si>
  <si>
    <t xml:space="preserve">H-CHC-0148</t>
  </si>
  <si>
    <t xml:space="preserve">H-CHC-0149</t>
  </si>
  <si>
    <t xml:space="preserve">H-CHC-0150</t>
  </si>
  <si>
    <t xml:space="preserve">H-CHC-0151</t>
  </si>
  <si>
    <t xml:space="preserve">H-CHC-0152</t>
  </si>
  <si>
    <t xml:space="preserve">H-CHC-0153</t>
  </si>
  <si>
    <t xml:space="preserve">H-CHC-0154</t>
  </si>
  <si>
    <t xml:space="preserve">H-CHC-0155</t>
  </si>
  <si>
    <t xml:space="preserve">H-CHC-0156</t>
  </si>
  <si>
    <t xml:space="preserve">H-CHC-0157</t>
  </si>
  <si>
    <t xml:space="preserve">H-CHC-0158</t>
  </si>
  <si>
    <t xml:space="preserve">H-CHC-0159</t>
  </si>
  <si>
    <t xml:space="preserve">H-CHC-0160</t>
  </si>
  <si>
    <t xml:space="preserve">H-CHC-0161</t>
  </si>
  <si>
    <t xml:space="preserve">H-CHC-0162</t>
  </si>
  <si>
    <t xml:space="preserve">H-CHC-0163</t>
  </si>
  <si>
    <t xml:space="preserve">H-CHC-0164</t>
  </si>
  <si>
    <t xml:space="preserve">H-CHC-0165</t>
  </si>
  <si>
    <t xml:space="preserve">H-CHC-0166</t>
  </si>
  <si>
    <t xml:space="preserve">H-CHC-0167</t>
  </si>
  <si>
    <t xml:space="preserve">H-CHC-0168</t>
  </si>
  <si>
    <t xml:space="preserve">H-CHC-0169</t>
  </si>
  <si>
    <t xml:space="preserve">H-CHC-0170</t>
  </si>
  <si>
    <t xml:space="preserve">H-CHC-0171</t>
  </si>
  <si>
    <t xml:space="preserve">H-CHC-0172</t>
  </si>
  <si>
    <t xml:space="preserve">H-CHC-0173</t>
  </si>
  <si>
    <t xml:space="preserve">H-CHC-0174</t>
  </si>
  <si>
    <t xml:space="preserve">H-MAC-0001</t>
  </si>
  <si>
    <t xml:space="preserve">H-MAC</t>
  </si>
  <si>
    <t xml:space="preserve">Mobile acute-care group</t>
  </si>
  <si>
    <t xml:space="preserve">H-MAC-0002</t>
  </si>
  <si>
    <t xml:space="preserve">H-MAC-0003</t>
  </si>
  <si>
    <t xml:space="preserve">H-MAC-0004</t>
  </si>
  <si>
    <t xml:space="preserve">H-MAC-0005</t>
  </si>
  <si>
    <t xml:space="preserve">H-MAC-0006</t>
  </si>
  <si>
    <t xml:space="preserve">H-MAC-0007</t>
  </si>
  <si>
    <t xml:space="preserve">H-MAC-0008</t>
  </si>
  <si>
    <t xml:space="preserve">H-MAC-0009</t>
  </si>
  <si>
    <t xml:space="preserve">H-MAC-0010</t>
  </si>
  <si>
    <t xml:space="preserve">H-MAC-0011</t>
  </si>
  <si>
    <t xml:space="preserve">H-MAC-0012</t>
  </si>
  <si>
    <t xml:space="preserve">H-MAC-0013</t>
  </si>
  <si>
    <t xml:space="preserve">H-MAC-0014</t>
  </si>
  <si>
    <t xml:space="preserve">H-MAC-0015</t>
  </si>
  <si>
    <t xml:space="preserve">H-MAC-0016</t>
  </si>
  <si>
    <t xml:space="preserve">H-MAC-0017</t>
  </si>
  <si>
    <t xml:space="preserve">H-MAC-0018</t>
  </si>
  <si>
    <t xml:space="preserve">H-MAC-0019</t>
  </si>
  <si>
    <t xml:space="preserve">H-MAC-0020</t>
  </si>
  <si>
    <t xml:space="preserve">H-MAC-0021</t>
  </si>
  <si>
    <t xml:space="preserve">H-MAC-0022</t>
  </si>
  <si>
    <t xml:space="preserve">H-MAC-0023</t>
  </si>
  <si>
    <t xml:space="preserve">H-MAC-0024</t>
  </si>
  <si>
    <t xml:space="preserve">H-MAC-0025</t>
  </si>
  <si>
    <t xml:space="preserve">H-MAC-0026</t>
  </si>
  <si>
    <t xml:space="preserve">H-MAC-0027</t>
  </si>
  <si>
    <t xml:space="preserve">H-MAC-0028</t>
  </si>
  <si>
    <t xml:space="preserve">H-MAC-0029</t>
  </si>
  <si>
    <t xml:space="preserve">H-MAC-0030</t>
  </si>
  <si>
    <t xml:space="preserve">H-MAC-0031</t>
  </si>
  <si>
    <t xml:space="preserve">H-MAC-0032</t>
  </si>
  <si>
    <t xml:space="preserve">H-MAC-0033</t>
  </si>
  <si>
    <t xml:space="preserve">H-MAC-0034</t>
  </si>
  <si>
    <t xml:space="preserve">H-MAC-0035</t>
  </si>
  <si>
    <t xml:space="preserve">H-MAC-0036</t>
  </si>
  <si>
    <t xml:space="preserve">H-MAC-0037</t>
  </si>
  <si>
    <t xml:space="preserve">H-MAC-0038</t>
  </si>
  <si>
    <t xml:space="preserve">H-MAC-0039</t>
  </si>
  <si>
    <t xml:space="preserve">H-MAC-0040</t>
  </si>
  <si>
    <t xml:space="preserve">H-MAC-0041</t>
  </si>
  <si>
    <t xml:space="preserve">H-MAC-0042</t>
  </si>
  <si>
    <t xml:space="preserve">H-MAC-0043</t>
  </si>
  <si>
    <t xml:space="preserve">H-MAC-0044</t>
  </si>
  <si>
    <t xml:space="preserve">H-MAC-0045</t>
  </si>
  <si>
    <t xml:space="preserve">H-MAC-0046</t>
  </si>
  <si>
    <t xml:space="preserve">H-MAC-0047</t>
  </si>
  <si>
    <t xml:space="preserve">H-MAC-0048</t>
  </si>
  <si>
    <t xml:space="preserve">H-MAC-0049</t>
  </si>
  <si>
    <t xml:space="preserve">H-MAC-0050</t>
  </si>
  <si>
    <t xml:space="preserve">H-MAC-0051</t>
  </si>
  <si>
    <t xml:space="preserve">H-MAC-0052</t>
  </si>
  <si>
    <t xml:space="preserve">H-MAC-0053</t>
  </si>
  <si>
    <t xml:space="preserve">H-MAC-0054</t>
  </si>
  <si>
    <t xml:space="preserve">H-MAC-0055</t>
  </si>
  <si>
    <t xml:space="preserve">H-MAC-0056</t>
  </si>
  <si>
    <t xml:space="preserve">H-MAC-0057</t>
  </si>
  <si>
    <t xml:space="preserve">H-MAC-0058</t>
  </si>
  <si>
    <t xml:space="preserve">H-MAC-0059</t>
  </si>
  <si>
    <t xml:space="preserve">H-MAC-0060</t>
  </si>
  <si>
    <t xml:space="preserve">H-MAC-0061</t>
  </si>
  <si>
    <t xml:space="preserve">H-MAC-0062</t>
  </si>
  <si>
    <t xml:space="preserve">H-MAC-0063</t>
  </si>
  <si>
    <t xml:space="preserve">H-MAC-0064</t>
  </si>
  <si>
    <t xml:space="preserve">H-MAC-0065</t>
  </si>
  <si>
    <t xml:space="preserve">H-MAC-0066</t>
  </si>
  <si>
    <t xml:space="preserve">H-MAC-0067</t>
  </si>
  <si>
    <t xml:space="preserve">H-MAC-0068</t>
  </si>
  <si>
    <t xml:space="preserve">H-MAC-0069</t>
  </si>
  <si>
    <t xml:space="preserve">H-MAC-0070</t>
  </si>
  <si>
    <t xml:space="preserve">H-MAC-0071</t>
  </si>
  <si>
    <t xml:space="preserve">H-MAC-0072</t>
  </si>
  <si>
    <t xml:space="preserve">H-MAC-0073</t>
  </si>
  <si>
    <t xml:space="preserve">H-MAC-0074</t>
  </si>
  <si>
    <t xml:space="preserve">H-MAC-0075</t>
  </si>
  <si>
    <t xml:space="preserve">H-MAC-0076</t>
  </si>
  <si>
    <t xml:space="preserve">H-MAC-0077</t>
  </si>
  <si>
    <t xml:space="preserve">H-MAC-0078</t>
  </si>
  <si>
    <t xml:space="preserve">H-MAC-0079</t>
  </si>
  <si>
    <t xml:space="preserve">H-MAC-0080</t>
  </si>
  <si>
    <t xml:space="preserve">H-MAC-0081</t>
  </si>
  <si>
    <t xml:space="preserve">H-MAC-0082</t>
  </si>
  <si>
    <t xml:space="preserve">H-MAC-0083</t>
  </si>
  <si>
    <t xml:space="preserve">H-MAC-0084</t>
  </si>
  <si>
    <t xml:space="preserve">H-MAC-0085</t>
  </si>
  <si>
    <t xml:space="preserve">H-MAC-0086</t>
  </si>
  <si>
    <t xml:space="preserve">H-MAC-0087</t>
  </si>
  <si>
    <t xml:space="preserve">H-MAC-0088</t>
  </si>
  <si>
    <t xml:space="preserve">H-MAC-0089</t>
  </si>
  <si>
    <t xml:space="preserve">H-MAC-0090</t>
  </si>
  <si>
    <t xml:space="preserve">H-MAC-0091</t>
  </si>
  <si>
    <t xml:space="preserve">H-MAC-0092</t>
  </si>
  <si>
    <t xml:space="preserve">H-MAC-0093</t>
  </si>
  <si>
    <t xml:space="preserve">H-MAC-0094</t>
  </si>
  <si>
    <t xml:space="preserve">H-MAC-0095</t>
  </si>
  <si>
    <t xml:space="preserve">H-MAC-0096</t>
  </si>
  <si>
    <t xml:space="preserve">H-MAC-0097</t>
  </si>
  <si>
    <t xml:space="preserve">H-MAC-0098</t>
  </si>
  <si>
    <t xml:space="preserve">H-MAC-0099</t>
  </si>
  <si>
    <t xml:space="preserve">H-MAC-0100</t>
  </si>
  <si>
    <t xml:space="preserve">H-MAC-0101</t>
  </si>
  <si>
    <t xml:space="preserve">H-MAC-0102</t>
  </si>
  <si>
    <t xml:space="preserve">H-MAC-0103</t>
  </si>
  <si>
    <t xml:space="preserve">H-MAC-0104</t>
  </si>
  <si>
    <t xml:space="preserve">H-MAC-0105</t>
  </si>
  <si>
    <t xml:space="preserve">H-MAC-0106</t>
  </si>
  <si>
    <t xml:space="preserve">H-MAC-0107</t>
  </si>
  <si>
    <t xml:space="preserve">H-MAC-0108</t>
  </si>
  <si>
    <t xml:space="preserve">H-MAC-0109</t>
  </si>
  <si>
    <t xml:space="preserve">H-MAC-0110</t>
  </si>
  <si>
    <t xml:space="preserve">H-MAC-0111</t>
  </si>
  <si>
    <t xml:space="preserve">H-MAC-0112</t>
  </si>
  <si>
    <t xml:space="preserve">H-MAC-0113</t>
  </si>
  <si>
    <t xml:space="preserve">H-MAC-0114</t>
  </si>
  <si>
    <t xml:space="preserve">H-THC-0001</t>
  </si>
  <si>
    <t xml:space="preserve">H-THC</t>
  </si>
  <si>
    <t xml:space="preserve">Theater hospital command</t>
  </si>
  <si>
    <t xml:space="preserve">H-THC-0002</t>
  </si>
  <si>
    <t xml:space="preserve">H-THC-0003</t>
  </si>
  <si>
    <t xml:space="preserve">H-THC-0004</t>
  </si>
  <si>
    <t xml:space="preserve">H-THC-0005</t>
  </si>
  <si>
    <t xml:space="preserve">H-THC-0006</t>
  </si>
  <si>
    <t xml:space="preserve">H-THC-0007</t>
  </si>
  <si>
    <t xml:space="preserve">H-THC-0008</t>
  </si>
  <si>
    <t xml:space="preserve">H-THC-0009</t>
  </si>
  <si>
    <t xml:space="preserve">H-THC-0010</t>
  </si>
  <si>
    <t xml:space="preserve">H-THC-0011</t>
  </si>
  <si>
    <t xml:space="preserve">H-THC-0012</t>
  </si>
  <si>
    <t xml:space="preserve">H-THC-0013</t>
  </si>
  <si>
    <t xml:space="preserve">H-THC-0014</t>
  </si>
  <si>
    <t xml:space="preserve">H-THC-0015</t>
  </si>
  <si>
    <t xml:space="preserve">H-THC-0016</t>
  </si>
  <si>
    <t xml:space="preserve">H-THC-0017</t>
  </si>
  <si>
    <t xml:space="preserve">H-THC-0018</t>
  </si>
  <si>
    <t xml:space="preserve">H-THC-0019</t>
  </si>
  <si>
    <t xml:space="preserve">H-THC-0020</t>
  </si>
  <si>
    <t xml:space="preserve">H-THC-0021</t>
  </si>
  <si>
    <t xml:space="preserve">H-THC-0022</t>
  </si>
  <si>
    <t xml:space="preserve">H-THC-0023</t>
  </si>
  <si>
    <t xml:space="preserve">H-THC-0024</t>
  </si>
  <si>
    <t xml:space="preserve">H-THC-0025</t>
  </si>
  <si>
    <t xml:space="preserve">H-THC-0026</t>
  </si>
  <si>
    <t xml:space="preserve">H-THC-0027</t>
  </si>
  <si>
    <t xml:space="preserve">H-THC-0028</t>
  </si>
  <si>
    <t xml:space="preserve">H-THC-0029</t>
  </si>
  <si>
    <t xml:space="preserve">H-THC-0030</t>
  </si>
  <si>
    <t xml:space="preserve">H-THC-0031</t>
  </si>
  <si>
    <t xml:space="preserve">H-THC-0032</t>
  </si>
  <si>
    <t xml:space="preserve">H-THC-0033</t>
  </si>
  <si>
    <t xml:space="preserve">H-THC-0034</t>
  </si>
  <si>
    <t xml:space="preserve">H-THC-0035</t>
  </si>
  <si>
    <t xml:space="preserve">H-THC-0036</t>
  </si>
  <si>
    <t xml:space="preserve">H-THC-0037</t>
  </si>
  <si>
    <t xml:space="preserve">H-THC-0038</t>
  </si>
  <si>
    <t xml:space="preserve">H-THC-0039</t>
  </si>
  <si>
    <t xml:space="preserve">H-THC-0040</t>
  </si>
  <si>
    <t xml:space="preserve">H-THC-0041</t>
  </si>
  <si>
    <t xml:space="preserve">H-THC-0042</t>
  </si>
  <si>
    <t xml:space="preserve">H-THC-0043</t>
  </si>
  <si>
    <t xml:space="preserve">H-THC-0044</t>
  </si>
  <si>
    <t xml:space="preserve">H-THC-0045</t>
  </si>
  <si>
    <t xml:space="preserve">H-THC-0046</t>
  </si>
  <si>
    <t xml:space="preserve">H-THC-0047</t>
  </si>
  <si>
    <t xml:space="preserve">H-THC-0048</t>
  </si>
  <si>
    <t xml:space="preserve">H-THC-0049</t>
  </si>
  <si>
    <t xml:space="preserve">H-THC-0050</t>
  </si>
  <si>
    <t xml:space="preserve">H-THC-0051</t>
  </si>
  <si>
    <t xml:space="preserve">H-THC-0052</t>
  </si>
  <si>
    <t xml:space="preserve">H-THC-0053</t>
  </si>
  <si>
    <t xml:space="preserve">H-THC-0054</t>
  </si>
  <si>
    <t xml:space="preserve">H-THC-0055</t>
  </si>
  <si>
    <t xml:space="preserve">H-THC-0056</t>
  </si>
  <si>
    <t xml:space="preserve">H-THC-0057</t>
  </si>
  <si>
    <t xml:space="preserve">H-THC-0058</t>
  </si>
  <si>
    <t xml:space="preserve">H-THC-0059</t>
  </si>
  <si>
    <t xml:space="preserve">H-THC-0060</t>
  </si>
  <si>
    <t xml:space="preserve">H-THC-0061</t>
  </si>
  <si>
    <t xml:space="preserve">H-THC-0062</t>
  </si>
  <si>
    <t xml:space="preserve">H-THC-0063</t>
  </si>
  <si>
    <t xml:space="preserve">H-THC-0064</t>
  </si>
  <si>
    <t xml:space="preserve">H-THC-0065</t>
  </si>
  <si>
    <t xml:space="preserve">H-PHC-0001</t>
  </si>
  <si>
    <t xml:space="preserve">H-PHC</t>
  </si>
  <si>
    <t xml:space="preserve">Public-health control group</t>
  </si>
  <si>
    <t xml:space="preserve">H-PHC-0002</t>
  </si>
  <si>
    <t xml:space="preserve">H-PHC-0003</t>
  </si>
  <si>
    <t xml:space="preserve">H-PHC-0004</t>
  </si>
  <si>
    <t xml:space="preserve">H-PHC-0005</t>
  </si>
  <si>
    <t xml:space="preserve">H-PHC-0006</t>
  </si>
  <si>
    <t xml:space="preserve">H-PHC-0007</t>
  </si>
  <si>
    <t xml:space="preserve">H-PHC-0008</t>
  </si>
  <si>
    <t xml:space="preserve">H-PHC-0009</t>
  </si>
  <si>
    <t xml:space="preserve">H-PHC-0010</t>
  </si>
  <si>
    <t xml:space="preserve">H-PHC-0011</t>
  </si>
  <si>
    <t xml:space="preserve">H-PHC-0012</t>
  </si>
  <si>
    <t xml:space="preserve">H-PHC-0013</t>
  </si>
  <si>
    <t xml:space="preserve">H-PHC-0014</t>
  </si>
  <si>
    <t xml:space="preserve">H-PHC-0015</t>
  </si>
  <si>
    <t xml:space="preserve">H-PHC-0016</t>
  </si>
  <si>
    <t xml:space="preserve">H-PHC-0017</t>
  </si>
  <si>
    <t xml:space="preserve">H-PHC-0018</t>
  </si>
  <si>
    <t xml:space="preserve">H-PHC-0019</t>
  </si>
  <si>
    <t xml:space="preserve">H-PHC-0020</t>
  </si>
  <si>
    <t xml:space="preserve">H-PHC-0021</t>
  </si>
  <si>
    <t xml:space="preserve">H-PHC-0022</t>
  </si>
  <si>
    <t xml:space="preserve">H-PHC-0023</t>
  </si>
  <si>
    <t xml:space="preserve">H-PHC-0024</t>
  </si>
  <si>
    <t xml:space="preserve">H-PHC-0025</t>
  </si>
  <si>
    <t xml:space="preserve">H-PHC-0026</t>
  </si>
  <si>
    <t xml:space="preserve">H-PHC-0027</t>
  </si>
  <si>
    <t xml:space="preserve">H-PHC-0028</t>
  </si>
  <si>
    <t xml:space="preserve">H-PHC-0029</t>
  </si>
  <si>
    <t xml:space="preserve">H-PHC-0030</t>
  </si>
  <si>
    <t xml:space="preserve">H-PHC-0031</t>
  </si>
  <si>
    <t xml:space="preserve">H-PHC-0032</t>
  </si>
  <si>
    <t xml:space="preserve">H-PHC-0033</t>
  </si>
  <si>
    <t xml:space="preserve">H-PHC-0034</t>
  </si>
  <si>
    <t xml:space="preserve">H-PHC-0035</t>
  </si>
  <si>
    <t xml:space="preserve">H-PHC-0036</t>
  </si>
  <si>
    <t xml:space="preserve">H-PHC-0037</t>
  </si>
  <si>
    <t xml:space="preserve">H-PHC-0038</t>
  </si>
  <si>
    <t xml:space="preserve">H-PHC-0039</t>
  </si>
  <si>
    <t xml:space="preserve">H-PHC-0040</t>
  </si>
  <si>
    <t xml:space="preserve">H-PHC-0041</t>
  </si>
  <si>
    <t xml:space="preserve">H-PHC-0042</t>
  </si>
  <si>
    <t xml:space="preserve">H-PHC-0043</t>
  </si>
  <si>
    <t xml:space="preserve">H-PHC-0044</t>
  </si>
  <si>
    <t xml:space="preserve">H-PHC-0045</t>
  </si>
  <si>
    <t xml:space="preserve">H-PHC-0046</t>
  </si>
  <si>
    <t xml:space="preserve">H-PHC-0047</t>
  </si>
  <si>
    <t xml:space="preserve">H-PHC-0048</t>
  </si>
  <si>
    <t xml:space="preserve">H-PHC-0049</t>
  </si>
  <si>
    <t xml:space="preserve">H-PHC-0050</t>
  </si>
  <si>
    <t xml:space="preserve">H-PHC-0051</t>
  </si>
  <si>
    <t xml:space="preserve">H-PHC-0052</t>
  </si>
  <si>
    <t xml:space="preserve">H-PHC-0053</t>
  </si>
  <si>
    <t xml:space="preserve">H-PHC-0054</t>
  </si>
  <si>
    <t xml:space="preserve">H-PHC-0055</t>
  </si>
  <si>
    <t xml:space="preserve">H-PHC-0056</t>
  </si>
  <si>
    <t xml:space="preserve">H-PHC-0057</t>
  </si>
  <si>
    <t xml:space="preserve">H-PHC-0058</t>
  </si>
  <si>
    <t xml:space="preserve">H-PHC-0059</t>
  </si>
  <si>
    <t xml:space="preserve">H-PHC-0060</t>
  </si>
  <si>
    <t xml:space="preserve">H-PHC-0061</t>
  </si>
  <si>
    <t xml:space="preserve">H-PHC-0062</t>
  </si>
  <si>
    <t xml:space="preserve">H-PHC-0063</t>
  </si>
  <si>
    <t xml:space="preserve">H-PHC-0064</t>
  </si>
  <si>
    <t xml:space="preserve">H-PHC-0065</t>
  </si>
  <si>
    <t xml:space="preserve">H-PHC-0066</t>
  </si>
  <si>
    <t xml:space="preserve">H-PHC-0067</t>
  </si>
  <si>
    <t xml:space="preserve">H-PHC-0068</t>
  </si>
  <si>
    <t xml:space="preserve">H-PHC-0069</t>
  </si>
  <si>
    <t xml:space="preserve">H-PHC-0070</t>
  </si>
  <si>
    <t xml:space="preserve">H-PHC-0071</t>
  </si>
  <si>
    <t xml:space="preserve">H-PHC-0072</t>
  </si>
  <si>
    <t xml:space="preserve">H-PHC-0073</t>
  </si>
  <si>
    <t xml:space="preserve">H-PHC-0074</t>
  </si>
  <si>
    <t xml:space="preserve">H-PHC-0075</t>
  </si>
  <si>
    <t xml:space="preserve">H-PHC-0076</t>
  </si>
  <si>
    <t xml:space="preserve">H-PHC-0077</t>
  </si>
  <si>
    <t xml:space="preserve">H-PHC-0078</t>
  </si>
  <si>
    <t xml:space="preserve">H-PHC-0079</t>
  </si>
  <si>
    <t xml:space="preserve">H-PHC-0080</t>
  </si>
  <si>
    <t xml:space="preserve">H-PHC-0081</t>
  </si>
  <si>
    <t xml:space="preserve">H-PHC-0082</t>
  </si>
  <si>
    <t xml:space="preserve">H-PHC-0083</t>
  </si>
  <si>
    <t xml:space="preserve">H-PHC-0084</t>
  </si>
  <si>
    <t xml:space="preserve">H-PHC-0085</t>
  </si>
  <si>
    <t xml:space="preserve">H-PHC-0086</t>
  </si>
  <si>
    <t xml:space="preserve">H-PHC-0087</t>
  </si>
  <si>
    <t xml:space="preserve">H-PHC-0088</t>
  </si>
  <si>
    <t xml:space="preserve">H-PHC-0089</t>
  </si>
  <si>
    <t xml:space="preserve">H-PHC-0090</t>
  </si>
  <si>
    <t xml:space="preserve">H-PHC-0091</t>
  </si>
  <si>
    <t xml:space="preserve">H-PHC-0092</t>
  </si>
  <si>
    <t xml:space="preserve">H-PHC-0093</t>
  </si>
  <si>
    <t xml:space="preserve">H-PHC-0094</t>
  </si>
  <si>
    <t xml:space="preserve">H-PHC-0095</t>
  </si>
  <si>
    <t xml:space="preserve">H-PHC-0096</t>
  </si>
  <si>
    <t xml:space="preserve">H-PHC-0097</t>
  </si>
  <si>
    <t xml:space="preserve">H-PMG-0001</t>
  </si>
  <si>
    <t xml:space="preserve">H-PMG</t>
  </si>
  <si>
    <t xml:space="preserve">Patient movement group</t>
  </si>
  <si>
    <t xml:space="preserve">H-PMG-0002</t>
  </si>
  <si>
    <t xml:space="preserve">H-PMG-0003</t>
  </si>
  <si>
    <t xml:space="preserve">H-PMG-0004</t>
  </si>
  <si>
    <t xml:space="preserve">H-PMG-0005</t>
  </si>
  <si>
    <t xml:space="preserve">H-PMG-0006</t>
  </si>
  <si>
    <t xml:space="preserve">H-PMG-0007</t>
  </si>
  <si>
    <t xml:space="preserve">H-PMG-0008</t>
  </si>
  <si>
    <t xml:space="preserve">H-PMG-0009</t>
  </si>
  <si>
    <t xml:space="preserve">H-PMG-0010</t>
  </si>
  <si>
    <t xml:space="preserve">H-PMG-0011</t>
  </si>
  <si>
    <t xml:space="preserve">H-PMG-0012</t>
  </si>
  <si>
    <t xml:space="preserve">H-PMG-0013</t>
  </si>
  <si>
    <t xml:space="preserve">H-PMG-0014</t>
  </si>
  <si>
    <t xml:space="preserve">H-PMG-0015</t>
  </si>
  <si>
    <t xml:space="preserve">H-PMG-0016</t>
  </si>
  <si>
    <t xml:space="preserve">H-PMG-0017</t>
  </si>
  <si>
    <t xml:space="preserve">H-PMG-0018</t>
  </si>
  <si>
    <t xml:space="preserve">H-PMG-0019</t>
  </si>
  <si>
    <t xml:space="preserve">H-PMG-0020</t>
  </si>
  <si>
    <t xml:space="preserve">H-PMG-0021</t>
  </si>
  <si>
    <t xml:space="preserve">H-PMG-0022</t>
  </si>
  <si>
    <t xml:space="preserve">H-PMG-0023</t>
  </si>
  <si>
    <t xml:space="preserve">H-PMG-0024</t>
  </si>
  <si>
    <t xml:space="preserve">H-PMG-0025</t>
  </si>
  <si>
    <t xml:space="preserve">H-PMG-0026</t>
  </si>
  <si>
    <t xml:space="preserve">H-PMG-0027</t>
  </si>
  <si>
    <t xml:space="preserve">H-PMG-0028</t>
  </si>
  <si>
    <t xml:space="preserve">H-PMG-0029</t>
  </si>
  <si>
    <t xml:space="preserve">H-PMG-0030</t>
  </si>
  <si>
    <t xml:space="preserve">H-PMG-0031</t>
  </si>
  <si>
    <t xml:space="preserve">H-PMG-0032</t>
  </si>
  <si>
    <t xml:space="preserve">H-PMG-0033</t>
  </si>
  <si>
    <t xml:space="preserve">H-PMG-0034</t>
  </si>
  <si>
    <t xml:space="preserve">H-PMG-0035</t>
  </si>
  <si>
    <t xml:space="preserve">H-PMG-0036</t>
  </si>
  <si>
    <t xml:space="preserve">H-PMG-0037</t>
  </si>
  <si>
    <t xml:space="preserve">H-PMG-0038</t>
  </si>
  <si>
    <t xml:space="preserve">H-PMG-0039</t>
  </si>
  <si>
    <t xml:space="preserve">H-PMG-0040</t>
  </si>
  <si>
    <t xml:space="preserve">H-PMG-0041</t>
  </si>
  <si>
    <t xml:space="preserve">H-PMG-0042</t>
  </si>
  <si>
    <t xml:space="preserve">H-PMG-0043</t>
  </si>
  <si>
    <t xml:space="preserve">H-PMG-0044</t>
  </si>
  <si>
    <t xml:space="preserve">H-PMG-0045</t>
  </si>
  <si>
    <t xml:space="preserve">H-PMG-0046</t>
  </si>
  <si>
    <t xml:space="preserve">H-PMG-0047</t>
  </si>
  <si>
    <t xml:space="preserve">H-PMG-0048</t>
  </si>
  <si>
    <t xml:space="preserve">H-PMG-0049</t>
  </si>
  <si>
    <t xml:space="preserve">H-PMG-0050</t>
  </si>
  <si>
    <t xml:space="preserve">H-PMG-0051</t>
  </si>
  <si>
    <t xml:space="preserve">H-PMG-0052</t>
  </si>
  <si>
    <t xml:space="preserve">H-PMG-0053</t>
  </si>
  <si>
    <t xml:space="preserve">H-PMG-0054</t>
  </si>
  <si>
    <t xml:space="preserve">H-PMG-0055</t>
  </si>
  <si>
    <t xml:space="preserve">H-PMG-0056</t>
  </si>
  <si>
    <t xml:space="preserve">H-PMG-0057</t>
  </si>
  <si>
    <t xml:space="preserve">H-PMG-0058</t>
  </si>
  <si>
    <t xml:space="preserve">H-PMG-0059</t>
  </si>
  <si>
    <t xml:space="preserve">H-PMG-0060</t>
  </si>
  <si>
    <t xml:space="preserve">H-PMG-0061</t>
  </si>
  <si>
    <t xml:space="preserve">H-PMG-0062</t>
  </si>
  <si>
    <t xml:space="preserve">H-PMG-0063</t>
  </si>
  <si>
    <t xml:space="preserve">H-PMG-0064</t>
  </si>
  <si>
    <t xml:space="preserve">H-PMG-0065</t>
  </si>
  <si>
    <t xml:space="preserve">H-PMG-0066</t>
  </si>
  <si>
    <t xml:space="preserve">H-PMG-0067</t>
  </si>
  <si>
    <t xml:space="preserve">H-PMG-0068</t>
  </si>
  <si>
    <t xml:space="preserve">H-PMG-0069</t>
  </si>
  <si>
    <t xml:space="preserve">H-PMG-0070</t>
  </si>
  <si>
    <t xml:space="preserve">H-PMG-0071</t>
  </si>
  <si>
    <t xml:space="preserve">H-PMG-0072</t>
  </si>
  <si>
    <t xml:space="preserve">H-PMG-0073</t>
  </si>
  <si>
    <t xml:space="preserve">H-PMG-0074</t>
  </si>
  <si>
    <t xml:space="preserve">H-PMG-0075</t>
  </si>
  <si>
    <t xml:space="preserve">H-PMG-0076</t>
  </si>
  <si>
    <t xml:space="preserve">H-PMG-0077</t>
  </si>
  <si>
    <t xml:space="preserve">H-PMG-0078</t>
  </si>
  <si>
    <t xml:space="preserve">H-PMG-0079</t>
  </si>
  <si>
    <t xml:space="preserve">H-PMG-0080</t>
  </si>
  <si>
    <t xml:space="preserve">H-PMG-0081</t>
  </si>
  <si>
    <t xml:space="preserve">H-PMG-0082</t>
  </si>
  <si>
    <t xml:space="preserve">H-PMG-0083</t>
  </si>
  <si>
    <t xml:space="preserve">H-PMG-0084</t>
  </si>
  <si>
    <t xml:space="preserve">H-PMG-0085</t>
  </si>
  <si>
    <t xml:space="preserve">H-PMG-0086</t>
  </si>
  <si>
    <t xml:space="preserve">H-PMG-0087</t>
  </si>
  <si>
    <t xml:space="preserve">H-PMG-0088</t>
  </si>
  <si>
    <t xml:space="preserve">H-PMG-0089</t>
  </si>
  <si>
    <t xml:space="preserve">H-PMG-0090</t>
  </si>
  <si>
    <t xml:space="preserve">H-PMG-0091</t>
  </si>
  <si>
    <t xml:space="preserve">H-PMG-0092</t>
  </si>
  <si>
    <t xml:space="preserve">H-PMG-0093</t>
  </si>
  <si>
    <t xml:space="preserve">H-PMG-0094</t>
  </si>
  <si>
    <t xml:space="preserve">H-PMG-0095</t>
  </si>
  <si>
    <t xml:space="preserve">H-PMG-0096</t>
  </si>
  <si>
    <t xml:space="preserve">H-PMG-0097</t>
  </si>
  <si>
    <t xml:space="preserve">H-PMG-0098</t>
  </si>
  <si>
    <t xml:space="preserve">H-PMG-0099</t>
  </si>
  <si>
    <t xml:space="preserve">H-PMG-0100</t>
  </si>
  <si>
    <t xml:space="preserve">H-PMG-0101</t>
  </si>
  <si>
    <t xml:space="preserve">H-PMG-0102</t>
  </si>
  <si>
    <t xml:space="preserve">H-PMG-0103</t>
  </si>
  <si>
    <t xml:space="preserve">H-PMG-0104</t>
  </si>
  <si>
    <t xml:space="preserve">H-PMG-0105</t>
  </si>
  <si>
    <t xml:space="preserve">H-PMG-0106</t>
  </si>
  <si>
    <t xml:space="preserve">H-PMG-0107</t>
  </si>
  <si>
    <t xml:space="preserve">H-PMG-0108</t>
  </si>
  <si>
    <t xml:space="preserve">H-PMG-0109</t>
  </si>
  <si>
    <t xml:space="preserve">H-PMG-0110</t>
  </si>
  <si>
    <t xml:space="preserve">H-PMG-0111</t>
  </si>
  <si>
    <t xml:space="preserve">H-PMG-0112</t>
  </si>
  <si>
    <t xml:space="preserve">H-PMG-0113</t>
  </si>
  <si>
    <t xml:space="preserve">H-PMG-0114</t>
  </si>
  <si>
    <t xml:space="preserve">H-HWR-0001</t>
  </si>
  <si>
    <t xml:space="preserve">H-HWR</t>
  </si>
  <si>
    <t xml:space="preserve">Health workforce replacement group</t>
  </si>
  <si>
    <t xml:space="preserve">H-HWR-0002</t>
  </si>
  <si>
    <t xml:space="preserve">H-HWR-0003</t>
  </si>
  <si>
    <t xml:space="preserve">H-HWR-0004</t>
  </si>
  <si>
    <t xml:space="preserve">H-HWR-0005</t>
  </si>
  <si>
    <t xml:space="preserve">H-HWR-0006</t>
  </si>
  <si>
    <t xml:space="preserve">H-HWR-0007</t>
  </si>
  <si>
    <t xml:space="preserve">H-HWR-0008</t>
  </si>
  <si>
    <t xml:space="preserve">H-HWR-0009</t>
  </si>
  <si>
    <t xml:space="preserve">H-HWR-0010</t>
  </si>
  <si>
    <t xml:space="preserve">H-HWR-0011</t>
  </si>
  <si>
    <t xml:space="preserve">H-HWR-0012</t>
  </si>
  <si>
    <t xml:space="preserve">H-HWR-0013</t>
  </si>
  <si>
    <t xml:space="preserve">H-HWR-0014</t>
  </si>
  <si>
    <t xml:space="preserve">H-HWR-0015</t>
  </si>
  <si>
    <t xml:space="preserve">H-HWR-0016</t>
  </si>
  <si>
    <t xml:space="preserve">H-HWR-0017</t>
  </si>
  <si>
    <t xml:space="preserve">H-HWR-0018</t>
  </si>
  <si>
    <t xml:space="preserve">H-HWR-0019</t>
  </si>
  <si>
    <t xml:space="preserve">H-HWR-0020</t>
  </si>
  <si>
    <t xml:space="preserve">H-HWR-0021</t>
  </si>
  <si>
    <t xml:space="preserve">H-HWR-0022</t>
  </si>
  <si>
    <t xml:space="preserve">H-HWR-0023</t>
  </si>
  <si>
    <t xml:space="preserve">H-HWR-0024</t>
  </si>
  <si>
    <t xml:space="preserve">H-HWR-0025</t>
  </si>
  <si>
    <t xml:space="preserve">H-HWR-0026</t>
  </si>
  <si>
    <t xml:space="preserve">H-HWR-0027</t>
  </si>
  <si>
    <t xml:space="preserve">H-HWR-0028</t>
  </si>
  <si>
    <t xml:space="preserve">H-HWR-0029</t>
  </si>
  <si>
    <t xml:space="preserve">H-HWR-0030</t>
  </si>
  <si>
    <t xml:space="preserve">H-HWR-0031</t>
  </si>
  <si>
    <t xml:space="preserve">H-HWR-0032</t>
  </si>
  <si>
    <t xml:space="preserve">H-HWR-0033</t>
  </si>
  <si>
    <t xml:space="preserve">H-HWR-0034</t>
  </si>
  <si>
    <t xml:space="preserve">H-HWR-0035</t>
  </si>
  <si>
    <t xml:space="preserve">H-HWR-0036</t>
  </si>
  <si>
    <t xml:space="preserve">H-HWR-0037</t>
  </si>
  <si>
    <t xml:space="preserve">H-HWR-0038</t>
  </si>
  <si>
    <t xml:space="preserve">H-HWR-0039</t>
  </si>
  <si>
    <t xml:space="preserve">H-HWR-0040</t>
  </si>
  <si>
    <t xml:space="preserve">H-HWR-0041</t>
  </si>
  <si>
    <t xml:space="preserve">H-HWR-0042</t>
  </si>
  <si>
    <t xml:space="preserve">H-HWR-0043</t>
  </si>
  <si>
    <t xml:space="preserve">H-HWR-0044</t>
  </si>
  <si>
    <t xml:space="preserve">H-HWR-0045</t>
  </si>
  <si>
    <t xml:space="preserve">H-HWR-0046</t>
  </si>
  <si>
    <t xml:space="preserve">H-HWR-0047</t>
  </si>
  <si>
    <t xml:space="preserve">H-HWR-0048</t>
  </si>
  <si>
    <t xml:space="preserve">H-HWR-0049</t>
  </si>
  <si>
    <t xml:space="preserve">H-HWR-0050</t>
  </si>
  <si>
    <t xml:space="preserve">H-HWR-0051</t>
  </si>
  <si>
    <t xml:space="preserve">H-HWR-0052</t>
  </si>
  <si>
    <t xml:space="preserve">H-HWR-0053</t>
  </si>
  <si>
    <t xml:space="preserve">H-HWR-0054</t>
  </si>
  <si>
    <t xml:space="preserve">H-HWR-0055</t>
  </si>
  <si>
    <t xml:space="preserve">H-HWR-0056</t>
  </si>
  <si>
    <t xml:space="preserve">H-HWR-0057</t>
  </si>
  <si>
    <t xml:space="preserve">H-HWR-0058</t>
  </si>
  <si>
    <t xml:space="preserve">H-HWR-0059</t>
  </si>
  <si>
    <t xml:space="preserve">H-HWR-0060</t>
  </si>
  <si>
    <t xml:space="preserve">H-HWR-0061</t>
  </si>
  <si>
    <t xml:space="preserve">H-HWR-0062</t>
  </si>
  <si>
    <t xml:space="preserve">H-HWR-0063</t>
  </si>
  <si>
    <t xml:space="preserve">H-HWR-0064</t>
  </si>
  <si>
    <t xml:space="preserve">H-HWR-0065</t>
  </si>
  <si>
    <t xml:space="preserve">H-HWR-0066</t>
  </si>
  <si>
    <t xml:space="preserve">H-HWR-0067</t>
  </si>
  <si>
    <t xml:space="preserve">H-HWR-0068</t>
  </si>
  <si>
    <t xml:space="preserve">H-HWR-0069</t>
  </si>
  <si>
    <t xml:space="preserve">H-HWR-0070</t>
  </si>
  <si>
    <t xml:space="preserve">H-HWR-0071</t>
  </si>
  <si>
    <t xml:space="preserve">H-HWR-0072</t>
  </si>
  <si>
    <t xml:space="preserve">H-HWR-0073</t>
  </si>
  <si>
    <t xml:space="preserve">H-HWR-0074</t>
  </si>
  <si>
    <t xml:space="preserve">H-HWR-0075</t>
  </si>
  <si>
    <t xml:space="preserve">H-HWR-0076</t>
  </si>
  <si>
    <t xml:space="preserve">H-HWR-0077</t>
  </si>
  <si>
    <t xml:space="preserve">H-HWR-0078</t>
  </si>
  <si>
    <t xml:space="preserve">H-HWR-0079</t>
  </si>
  <si>
    <t xml:space="preserve">H-HWR-0080</t>
  </si>
  <si>
    <t xml:space="preserve">H-HWR-0081</t>
  </si>
  <si>
    <t xml:space="preserve">H-HWR-0082</t>
  </si>
  <si>
    <t xml:space="preserve">H-HWR-0083</t>
  </si>
  <si>
    <t xml:space="preserve">H-HWR-0084</t>
  </si>
  <si>
    <t xml:space="preserve">H-HWR-0085</t>
  </si>
  <si>
    <t xml:space="preserve">H-HWR-0086</t>
  </si>
  <si>
    <t xml:space="preserve">H-HWR-0087</t>
  </si>
  <si>
    <t xml:space="preserve">H-HWR-0088</t>
  </si>
  <si>
    <t xml:space="preserve">H-HWR-0089</t>
  </si>
  <si>
    <t xml:space="preserve">H-HWR-0090</t>
  </si>
  <si>
    <t xml:space="preserve">H-HWR-0091</t>
  </si>
  <si>
    <t xml:space="preserve">H-HWR-0092</t>
  </si>
  <si>
    <t xml:space="preserve">H-HWR-0093</t>
  </si>
  <si>
    <t xml:space="preserve">H-HWR-0094</t>
  </si>
  <si>
    <t xml:space="preserve">H-HWR-0095</t>
  </si>
  <si>
    <t xml:space="preserve">H-HWR-0096</t>
  </si>
  <si>
    <t xml:space="preserve">H-HWR-0097</t>
  </si>
  <si>
    <t xml:space="preserve">H-HWR-0098</t>
  </si>
  <si>
    <t xml:space="preserve">H-HWR-0099</t>
  </si>
  <si>
    <t xml:space="preserve">H-HWR-0100</t>
  </si>
  <si>
    <t xml:space="preserve">H-HWR-0101</t>
  </si>
  <si>
    <t xml:space="preserve">H-HWR-0102</t>
  </si>
  <si>
    <t xml:space="preserve">H-HWR-0103</t>
  </si>
  <si>
    <t xml:space="preserve">H-HWR-0104</t>
  </si>
  <si>
    <t xml:space="preserve">H-HWR-0105</t>
  </si>
  <si>
    <t xml:space="preserve">H-HWR-0106</t>
  </si>
  <si>
    <t xml:space="preserve">H-HWR-0107</t>
  </si>
  <si>
    <t xml:space="preserve">H-HWR-0108</t>
  </si>
  <si>
    <t xml:space="preserve">H-HWR-0109</t>
  </si>
  <si>
    <t xml:space="preserve">H-HWR-0110</t>
  </si>
  <si>
    <t xml:space="preserve">H-HWR-0111</t>
  </si>
  <si>
    <t xml:space="preserve">H-HWR-0112</t>
  </si>
  <si>
    <t xml:space="preserve">H-HWR-0113</t>
  </si>
  <si>
    <t xml:space="preserve">H-HWR-0114</t>
  </si>
  <si>
    <t xml:space="preserve">H-HWR-0115</t>
  </si>
  <si>
    <t xml:space="preserve">H-HWR-0116</t>
  </si>
  <si>
    <t xml:space="preserve">H-HWR-0117</t>
  </si>
  <si>
    <t xml:space="preserve">H-HWR-0118</t>
  </si>
  <si>
    <t xml:space="preserve">H-HWR-0119</t>
  </si>
  <si>
    <t xml:space="preserve">H-HWR-0120</t>
  </si>
  <si>
    <t xml:space="preserve">H-HWR-0121</t>
  </si>
  <si>
    <t xml:space="preserve">H-HWR-0122</t>
  </si>
  <si>
    <t xml:space="preserve">H-HWR-0123</t>
  </si>
  <si>
    <t xml:space="preserve">H-HWR-0124</t>
  </si>
  <si>
    <t xml:space="preserve">H-HWR-0125</t>
  </si>
  <si>
    <t xml:space="preserve">H-HWR-0126</t>
  </si>
  <si>
    <t xml:space="preserve">H-HWR-0127</t>
  </si>
  <si>
    <t xml:space="preserve">H-HWR-0128</t>
  </si>
  <si>
    <t xml:space="preserve">H-HWR-0129</t>
  </si>
  <si>
    <t xml:space="preserve">H-HWR-0130</t>
  </si>
  <si>
    <t xml:space="preserve">H-HWR-0131</t>
  </si>
  <si>
    <t xml:space="preserve">H-HWR-0132</t>
  </si>
  <si>
    <t xml:space="preserve">H-HWR-0133</t>
  </si>
  <si>
    <t xml:space="preserve">H-HWR-0134</t>
  </si>
  <si>
    <t xml:space="preserve">H-HWR-0135</t>
  </si>
  <si>
    <t xml:space="preserve">H-HWR-0136</t>
  </si>
  <si>
    <t xml:space="preserve">H-HWR-0137</t>
  </si>
  <si>
    <t xml:space="preserve">H-HWR-0138</t>
  </si>
  <si>
    <t xml:space="preserve">H-HWR-0139</t>
  </si>
  <si>
    <t xml:space="preserve">H-HWR-0140</t>
  </si>
  <si>
    <t xml:space="preserve">H-HWR-0141</t>
  </si>
  <si>
    <t xml:space="preserve">H-HWR-0142</t>
  </si>
  <si>
    <t xml:space="preserve">H-HWR-0143</t>
  </si>
  <si>
    <t xml:space="preserve">H-HWR-0144</t>
  </si>
  <si>
    <t xml:space="preserve">H-HWR-0145</t>
  </si>
  <si>
    <t xml:space="preserve">H-HWR-0146</t>
  </si>
  <si>
    <t xml:space="preserve">H-HWR-0147</t>
  </si>
  <si>
    <t xml:space="preserve">H-HWR-0148</t>
  </si>
  <si>
    <t xml:space="preserve">H-HWR-0149</t>
  </si>
  <si>
    <t xml:space="preserve">H-HWR-0150</t>
  </si>
  <si>
    <t xml:space="preserve">H-HWR-0151</t>
  </si>
  <si>
    <t xml:space="preserve">H-HWR-0152</t>
  </si>
  <si>
    <t xml:space="preserve">H-HWR-0153</t>
  </si>
  <si>
    <t xml:space="preserve">H-HWR-0154</t>
  </si>
  <si>
    <t xml:space="preserve">H-HWR-0155</t>
  </si>
  <si>
    <t xml:space="preserve">H-HWR-0156</t>
  </si>
  <si>
    <t xml:space="preserve">H-HWR-0157</t>
  </si>
  <si>
    <t xml:space="preserve">H-HWR-0158</t>
  </si>
  <si>
    <t xml:space="preserve">H-HWR-0159</t>
  </si>
  <si>
    <t xml:space="preserve">H-HWR-0160</t>
  </si>
  <si>
    <t xml:space="preserve">H-HWR-0161</t>
  </si>
  <si>
    <t xml:space="preserve">H-HWR-0162</t>
  </si>
  <si>
    <t xml:space="preserve">H-HWR-0163</t>
  </si>
  <si>
    <t xml:space="preserve">H-HWR-0164</t>
  </si>
  <si>
    <t xml:space="preserve">H-HWR-0165</t>
  </si>
  <si>
    <t xml:space="preserve">H-HWR-0166</t>
  </si>
  <si>
    <t xml:space="preserve">H-HWR-0167</t>
  </si>
  <si>
    <t xml:space="preserve">H-HWR-0168</t>
  </si>
  <si>
    <t xml:space="preserve">H-HWR-0169</t>
  </si>
  <si>
    <t xml:space="preserve">H-HWR-0170</t>
  </si>
  <si>
    <t xml:space="preserve">H-HWR-0171</t>
  </si>
  <si>
    <t xml:space="preserve">H-HWR-0172</t>
  </si>
  <si>
    <t xml:space="preserve">H-HWR-0173</t>
  </si>
  <si>
    <t xml:space="preserve">H-HWR-0174</t>
  </si>
  <si>
    <t xml:space="preserve">C-PSG-0001</t>
  </si>
  <si>
    <t xml:space="preserve">C-PSG</t>
  </si>
  <si>
    <t xml:space="preserve">Population support group</t>
  </si>
  <si>
    <t xml:space="preserve">Community Stabilization</t>
  </si>
  <si>
    <t xml:space="preserve">C-PSG-0002</t>
  </si>
  <si>
    <t xml:space="preserve">C-PSG-0003</t>
  </si>
  <si>
    <t xml:space="preserve">C-PSG-0004</t>
  </si>
  <si>
    <t xml:space="preserve">C-PSG-0005</t>
  </si>
  <si>
    <t xml:space="preserve">C-PSG-0006</t>
  </si>
  <si>
    <t xml:space="preserve">C-PSG-0007</t>
  </si>
  <si>
    <t xml:space="preserve">C-PSG-0008</t>
  </si>
  <si>
    <t xml:space="preserve">C-PSG-0009</t>
  </si>
  <si>
    <t xml:space="preserve">C-PSG-0010</t>
  </si>
  <si>
    <t xml:space="preserve">C-PSG-0011</t>
  </si>
  <si>
    <t xml:space="preserve">C-PSG-0012</t>
  </si>
  <si>
    <t xml:space="preserve">C-PSG-0013</t>
  </si>
  <si>
    <t xml:space="preserve">C-PSG-0014</t>
  </si>
  <si>
    <t xml:space="preserve">C-PSG-0015</t>
  </si>
  <si>
    <t xml:space="preserve">C-PSG-0016</t>
  </si>
  <si>
    <t xml:space="preserve">C-PSG-0017</t>
  </si>
  <si>
    <t xml:space="preserve">C-PSG-0018</t>
  </si>
  <si>
    <t xml:space="preserve">C-PSG-0019</t>
  </si>
  <si>
    <t xml:space="preserve">C-PSG-0020</t>
  </si>
  <si>
    <t xml:space="preserve">C-PSG-0021</t>
  </si>
  <si>
    <t xml:space="preserve">C-PSG-0022</t>
  </si>
  <si>
    <t xml:space="preserve">C-PSG-0023</t>
  </si>
  <si>
    <t xml:space="preserve">C-PSG-0024</t>
  </si>
  <si>
    <t xml:space="preserve">C-PSG-0025</t>
  </si>
  <si>
    <t xml:space="preserve">C-PSG-0026</t>
  </si>
  <si>
    <t xml:space="preserve">C-PSG-0027</t>
  </si>
  <si>
    <t xml:space="preserve">C-PSG-0028</t>
  </si>
  <si>
    <t xml:space="preserve">C-PSG-0029</t>
  </si>
  <si>
    <t xml:space="preserve">C-PSG-0030</t>
  </si>
  <si>
    <t xml:space="preserve">C-PSG-0031</t>
  </si>
  <si>
    <t xml:space="preserve">C-PSG-0032</t>
  </si>
  <si>
    <t xml:space="preserve">C-PSG-0033</t>
  </si>
  <si>
    <t xml:space="preserve">C-PSG-0034</t>
  </si>
  <si>
    <t xml:space="preserve">C-PSG-0035</t>
  </si>
  <si>
    <t xml:space="preserve">C-PSG-0036</t>
  </si>
  <si>
    <t xml:space="preserve">C-PSG-0037</t>
  </si>
  <si>
    <t xml:space="preserve">C-PSG-0038</t>
  </si>
  <si>
    <t xml:space="preserve">C-PSG-0039</t>
  </si>
  <si>
    <t xml:space="preserve">C-PSG-0040</t>
  </si>
  <si>
    <t xml:space="preserve">C-PSG-0041</t>
  </si>
  <si>
    <t xml:space="preserve">C-PSG-0042</t>
  </si>
  <si>
    <t xml:space="preserve">C-PSG-0043</t>
  </si>
  <si>
    <t xml:space="preserve">C-PSG-0044</t>
  </si>
  <si>
    <t xml:space="preserve">C-PSG-0045</t>
  </si>
  <si>
    <t xml:space="preserve">C-PSG-0046</t>
  </si>
  <si>
    <t xml:space="preserve">C-PSG-0047</t>
  </si>
  <si>
    <t xml:space="preserve">C-PSG-0048</t>
  </si>
  <si>
    <t xml:space="preserve">C-PSG-0049</t>
  </si>
  <si>
    <t xml:space="preserve">C-PSG-0050</t>
  </si>
  <si>
    <t xml:space="preserve">C-PSG-0051</t>
  </si>
  <si>
    <t xml:space="preserve">C-PSG-0052</t>
  </si>
  <si>
    <t xml:space="preserve">C-PSG-0053</t>
  </si>
  <si>
    <t xml:space="preserve">C-PSG-0054</t>
  </si>
  <si>
    <t xml:space="preserve">C-PSG-0055</t>
  </si>
  <si>
    <t xml:space="preserve">C-PSG-0056</t>
  </si>
  <si>
    <t xml:space="preserve">C-PSG-0057</t>
  </si>
  <si>
    <t xml:space="preserve">C-PSG-0058</t>
  </si>
  <si>
    <t xml:space="preserve">C-PSG-0059</t>
  </si>
  <si>
    <t xml:space="preserve">C-PSG-0060</t>
  </si>
  <si>
    <t xml:space="preserve">C-PSG-0061</t>
  </si>
  <si>
    <t xml:space="preserve">C-PSG-0062</t>
  </si>
  <si>
    <t xml:space="preserve">C-PSG-0063</t>
  </si>
  <si>
    <t xml:space="preserve">C-PSG-0064</t>
  </si>
  <si>
    <t xml:space="preserve">C-PSG-0065</t>
  </si>
  <si>
    <t xml:space="preserve">C-PSG-0066</t>
  </si>
  <si>
    <t xml:space="preserve">C-PSG-0067</t>
  </si>
  <si>
    <t xml:space="preserve">C-PSG-0068</t>
  </si>
  <si>
    <t xml:space="preserve">C-PSG-0069</t>
  </si>
  <si>
    <t xml:space="preserve">C-PSG-0070</t>
  </si>
  <si>
    <t xml:space="preserve">C-PSG-0071</t>
  </si>
  <si>
    <t xml:space="preserve">C-PSG-0072</t>
  </si>
  <si>
    <t xml:space="preserve">C-PSG-0073</t>
  </si>
  <si>
    <t xml:space="preserve">C-PSG-0074</t>
  </si>
  <si>
    <t xml:space="preserve">C-PSG-0075</t>
  </si>
  <si>
    <t xml:space="preserve">C-PSG-0076</t>
  </si>
  <si>
    <t xml:space="preserve">C-PSG-0077</t>
  </si>
  <si>
    <t xml:space="preserve">C-PSG-0078</t>
  </si>
  <si>
    <t xml:space="preserve">C-PSG-0079</t>
  </si>
  <si>
    <t xml:space="preserve">C-PSG-0080</t>
  </si>
  <si>
    <t xml:space="preserve">C-PSG-0081</t>
  </si>
  <si>
    <t xml:space="preserve">C-PSG-0082</t>
  </si>
  <si>
    <t xml:space="preserve">C-PSG-0083</t>
  </si>
  <si>
    <t xml:space="preserve">C-PSG-0084</t>
  </si>
  <si>
    <t xml:space="preserve">C-PSG-0085</t>
  </si>
  <si>
    <t xml:space="preserve">C-PSG-0086</t>
  </si>
  <si>
    <t xml:space="preserve">C-PSG-0087</t>
  </si>
  <si>
    <t xml:space="preserve">C-PSG-0088</t>
  </si>
  <si>
    <t xml:space="preserve">C-PSG-0089</t>
  </si>
  <si>
    <t xml:space="preserve">C-PSG-0090</t>
  </si>
  <si>
    <t xml:space="preserve">C-PSG-0091</t>
  </si>
  <si>
    <t xml:space="preserve">C-PSG-0092</t>
  </si>
  <si>
    <t xml:space="preserve">C-PSG-0093</t>
  </si>
  <si>
    <t xml:space="preserve">C-PSG-0094</t>
  </si>
  <si>
    <t xml:space="preserve">C-PSG-0095</t>
  </si>
  <si>
    <t xml:space="preserve">C-PSG-0096</t>
  </si>
  <si>
    <t xml:space="preserve">C-PSG-0097</t>
  </si>
  <si>
    <t xml:space="preserve">C-PSG-0098</t>
  </si>
  <si>
    <t xml:space="preserve">C-PSG-0099</t>
  </si>
  <si>
    <t xml:space="preserve">C-PSG-0100</t>
  </si>
  <si>
    <t xml:space="preserve">C-PSG-0101</t>
  </si>
  <si>
    <t xml:space="preserve">C-PSG-0102</t>
  </si>
  <si>
    <t xml:space="preserve">C-PSG-0103</t>
  </si>
  <si>
    <t xml:space="preserve">C-PSG-0104</t>
  </si>
  <si>
    <t xml:space="preserve">C-PSG-0105</t>
  </si>
  <si>
    <t xml:space="preserve">C-PSG-0106</t>
  </si>
  <si>
    <t xml:space="preserve">C-PSG-0107</t>
  </si>
  <si>
    <t xml:space="preserve">C-PSG-0108</t>
  </si>
  <si>
    <t xml:space="preserve">C-PSG-0109</t>
  </si>
  <si>
    <t xml:space="preserve">C-PSG-0110</t>
  </si>
  <si>
    <t xml:space="preserve">C-PSG-0111</t>
  </si>
  <si>
    <t xml:space="preserve">C-PSG-0112</t>
  </si>
  <si>
    <t xml:space="preserve">C-PSG-0113</t>
  </si>
  <si>
    <t xml:space="preserve">C-PSG-0114</t>
  </si>
  <si>
    <t xml:space="preserve">C-PSG-0115</t>
  </si>
  <si>
    <t xml:space="preserve">C-PSG-0116</t>
  </si>
  <si>
    <t xml:space="preserve">C-PSG-0117</t>
  </si>
  <si>
    <t xml:space="preserve">C-PSG-0118</t>
  </si>
  <si>
    <t xml:space="preserve">C-PSG-0119</t>
  </si>
  <si>
    <t xml:space="preserve">C-PSG-0120</t>
  </si>
  <si>
    <t xml:space="preserve">C-PSG-0121</t>
  </si>
  <si>
    <t xml:space="preserve">C-PSG-0122</t>
  </si>
  <si>
    <t xml:space="preserve">C-PSG-0123</t>
  </si>
  <si>
    <t xml:space="preserve">C-PSG-0124</t>
  </si>
  <si>
    <t xml:space="preserve">C-PSG-0125</t>
  </si>
  <si>
    <t xml:space="preserve">C-PSG-0126</t>
  </si>
  <si>
    <t xml:space="preserve">C-PSG-0127</t>
  </si>
  <si>
    <t xml:space="preserve">C-PSG-0128</t>
  </si>
  <si>
    <t xml:space="preserve">C-PSG-0129</t>
  </si>
  <si>
    <t xml:space="preserve">C-PSG-0130</t>
  </si>
  <si>
    <t xml:space="preserve">C-PSG-0131</t>
  </si>
  <si>
    <t xml:space="preserve">C-PSG-0132</t>
  </si>
  <si>
    <t xml:space="preserve">C-PSG-0133</t>
  </si>
  <si>
    <t xml:space="preserve">C-PSG-0134</t>
  </si>
  <si>
    <t xml:space="preserve">C-PSG-0135</t>
  </si>
  <si>
    <t xml:space="preserve">C-PSG-0136</t>
  </si>
  <si>
    <t xml:space="preserve">C-PSG-0137</t>
  </si>
  <si>
    <t xml:space="preserve">C-PSG-0138</t>
  </si>
  <si>
    <t xml:space="preserve">C-PSG-0139</t>
  </si>
  <si>
    <t xml:space="preserve">C-PSG-0140</t>
  </si>
  <si>
    <t xml:space="preserve">C-PSG-0141</t>
  </si>
  <si>
    <t xml:space="preserve">C-PSG-0142</t>
  </si>
  <si>
    <t xml:space="preserve">C-PSG-0143</t>
  </si>
  <si>
    <t xml:space="preserve">C-PSG-0144</t>
  </si>
  <si>
    <t xml:space="preserve">C-PSG-0145</t>
  </si>
  <si>
    <t xml:space="preserve">C-PSG-0146</t>
  </si>
  <si>
    <t xml:space="preserve">C-PSG-0147</t>
  </si>
  <si>
    <t xml:space="preserve">C-PSG-0148</t>
  </si>
  <si>
    <t xml:space="preserve">C-PSG-0149</t>
  </si>
  <si>
    <t xml:space="preserve">C-PSG-0150</t>
  </si>
  <si>
    <t xml:space="preserve">C-PSG-0151</t>
  </si>
  <si>
    <t xml:space="preserve">C-PSG-0152</t>
  </si>
  <si>
    <t xml:space="preserve">C-PSG-0153</t>
  </si>
  <si>
    <t xml:space="preserve">C-PSG-0154</t>
  </si>
  <si>
    <t xml:space="preserve">C-PSG-0155</t>
  </si>
  <si>
    <t xml:space="preserve">C-PSG-0156</t>
  </si>
  <si>
    <t xml:space="preserve">C-PSG-0157</t>
  </si>
  <si>
    <t xml:space="preserve">C-PSG-0158</t>
  </si>
  <si>
    <t xml:space="preserve">C-PSG-0159</t>
  </si>
  <si>
    <t xml:space="preserve">C-PSG-0160</t>
  </si>
  <si>
    <t xml:space="preserve">C-PSG-0161</t>
  </si>
  <si>
    <t xml:space="preserve">C-PSG-0162</t>
  </si>
  <si>
    <t xml:space="preserve">C-PSG-0163</t>
  </si>
  <si>
    <t xml:space="preserve">C-PSG-0164</t>
  </si>
  <si>
    <t xml:space="preserve">C-PSG-0165</t>
  </si>
  <si>
    <t xml:space="preserve">C-PSG-0166</t>
  </si>
  <si>
    <t xml:space="preserve">C-PSG-0167</t>
  </si>
  <si>
    <t xml:space="preserve">C-PSG-0168</t>
  </si>
  <si>
    <t xml:space="preserve">C-PSG-0169</t>
  </si>
  <si>
    <t xml:space="preserve">C-PSG-0170</t>
  </si>
  <si>
    <t xml:space="preserve">C-PSG-0171</t>
  </si>
  <si>
    <t xml:space="preserve">C-PSG-0172</t>
  </si>
  <si>
    <t xml:space="preserve">C-PSG-0173</t>
  </si>
  <si>
    <t xml:space="preserve">C-PSG-0174</t>
  </si>
  <si>
    <t xml:space="preserve">C-PSG-0175</t>
  </si>
  <si>
    <t xml:space="preserve">C-PSG-0176</t>
  </si>
  <si>
    <t xml:space="preserve">C-PSG-0177</t>
  </si>
  <si>
    <t xml:space="preserve">C-PSG-0178</t>
  </si>
  <si>
    <t xml:space="preserve">C-PSG-0179</t>
  </si>
  <si>
    <t xml:space="preserve">C-PSG-0180</t>
  </si>
  <si>
    <t xml:space="preserve">C-PSG-0181</t>
  </si>
  <si>
    <t xml:space="preserve">C-PSG-0182</t>
  </si>
  <si>
    <t xml:space="preserve">C-PSG-0183</t>
  </si>
  <si>
    <t xml:space="preserve">C-PSG-0184</t>
  </si>
  <si>
    <t xml:space="preserve">C-PSG-0185</t>
  </si>
  <si>
    <t xml:space="preserve">C-PSG-0186</t>
  </si>
  <si>
    <t xml:space="preserve">C-PSG-0187</t>
  </si>
  <si>
    <t xml:space="preserve">C-PSG-0188</t>
  </si>
  <si>
    <t xml:space="preserve">C-PSG-0189</t>
  </si>
  <si>
    <t xml:space="preserve">C-PSG-0190</t>
  </si>
  <si>
    <t xml:space="preserve">C-PSG-0191</t>
  </si>
  <si>
    <t xml:space="preserve">C-PSG-0192</t>
  </si>
  <si>
    <t xml:space="preserve">C-PSG-0193</t>
  </si>
  <si>
    <t xml:space="preserve">C-PSG-0194</t>
  </si>
  <si>
    <t xml:space="preserve">C-PSG-0195</t>
  </si>
  <si>
    <t xml:space="preserve">C-PSG-0196</t>
  </si>
  <si>
    <t xml:space="preserve">C-PSG-0197</t>
  </si>
  <si>
    <t xml:space="preserve">C-PSG-0198</t>
  </si>
  <si>
    <t xml:space="preserve">C-PSG-0199</t>
  </si>
  <si>
    <t xml:space="preserve">C-PSG-0200</t>
  </si>
  <si>
    <t xml:space="preserve">C-PSG-0201</t>
  </si>
  <si>
    <t xml:space="preserve">C-PSG-0202</t>
  </si>
  <si>
    <t xml:space="preserve">C-PSG-0203</t>
  </si>
  <si>
    <t xml:space="preserve">C-PSG-0204</t>
  </si>
  <si>
    <t xml:space="preserve">C-PSG-0205</t>
  </si>
  <si>
    <t xml:space="preserve">C-PSG-0206</t>
  </si>
  <si>
    <t xml:space="preserve">C-PSG-0207</t>
  </si>
  <si>
    <t xml:space="preserve">C-PSG-0208</t>
  </si>
  <si>
    <t xml:space="preserve">C-PSG-0209</t>
  </si>
  <si>
    <t xml:space="preserve">C-PSG-0210</t>
  </si>
  <si>
    <t xml:space="preserve">C-PSG-0211</t>
  </si>
  <si>
    <t xml:space="preserve">C-PSG-0212</t>
  </si>
  <si>
    <t xml:space="preserve">C-PSG-0213</t>
  </si>
  <si>
    <t xml:space="preserve">C-PSG-0214</t>
  </si>
  <si>
    <t xml:space="preserve">C-PSG-0215</t>
  </si>
  <si>
    <t xml:space="preserve">C-PSG-0216</t>
  </si>
  <si>
    <t xml:space="preserve">C-EGG-0001</t>
  </si>
  <si>
    <t xml:space="preserve">C-EGG</t>
  </si>
  <si>
    <t xml:space="preserve">Essential-goods group</t>
  </si>
  <si>
    <t xml:space="preserve">C-EGG-0002</t>
  </si>
  <si>
    <t xml:space="preserve">C-EGG-0003</t>
  </si>
  <si>
    <t xml:space="preserve">C-EGG-0004</t>
  </si>
  <si>
    <t xml:space="preserve">C-EGG-0005</t>
  </si>
  <si>
    <t xml:space="preserve">C-EGG-0006</t>
  </si>
  <si>
    <t xml:space="preserve">C-EGG-0007</t>
  </si>
  <si>
    <t xml:space="preserve">C-EGG-0008</t>
  </si>
  <si>
    <t xml:space="preserve">C-EGG-0009</t>
  </si>
  <si>
    <t xml:space="preserve">C-EGG-0010</t>
  </si>
  <si>
    <t xml:space="preserve">C-EGG-0011</t>
  </si>
  <si>
    <t xml:space="preserve">C-EGG-0012</t>
  </si>
  <si>
    <t xml:space="preserve">C-EGG-0013</t>
  </si>
  <si>
    <t xml:space="preserve">C-EGG-0014</t>
  </si>
  <si>
    <t xml:space="preserve">C-EGG-0015</t>
  </si>
  <si>
    <t xml:space="preserve">C-EGG-0016</t>
  </si>
  <si>
    <t xml:space="preserve">C-EGG-0017</t>
  </si>
  <si>
    <t xml:space="preserve">C-EGG-0018</t>
  </si>
  <si>
    <t xml:space="preserve">C-EGG-0019</t>
  </si>
  <si>
    <t xml:space="preserve">C-EGG-0020</t>
  </si>
  <si>
    <t xml:space="preserve">C-EGG-0021</t>
  </si>
  <si>
    <t xml:space="preserve">C-EGG-0022</t>
  </si>
  <si>
    <t xml:space="preserve">C-EGG-0023</t>
  </si>
  <si>
    <t xml:space="preserve">C-EGG-0024</t>
  </si>
  <si>
    <t xml:space="preserve">C-EGG-0025</t>
  </si>
  <si>
    <t xml:space="preserve">C-EGG-0026</t>
  </si>
  <si>
    <t xml:space="preserve">C-EGG-0027</t>
  </si>
  <si>
    <t xml:space="preserve">C-EGG-0028</t>
  </si>
  <si>
    <t xml:space="preserve">C-EGG-0029</t>
  </si>
  <si>
    <t xml:space="preserve">C-EGG-0030</t>
  </si>
  <si>
    <t xml:space="preserve">C-EGG-0031</t>
  </si>
  <si>
    <t xml:space="preserve">C-EGG-0032</t>
  </si>
  <si>
    <t xml:space="preserve">C-EGG-0033</t>
  </si>
  <si>
    <t xml:space="preserve">C-EGG-0034</t>
  </si>
  <si>
    <t xml:space="preserve">C-EGG-0035</t>
  </si>
  <si>
    <t xml:space="preserve">C-EGG-0036</t>
  </si>
  <si>
    <t xml:space="preserve">C-EGG-0037</t>
  </si>
  <si>
    <t xml:space="preserve">C-EGG-0038</t>
  </si>
  <si>
    <t xml:space="preserve">C-EGG-0039</t>
  </si>
  <si>
    <t xml:space="preserve">C-EGG-0040</t>
  </si>
  <si>
    <t xml:space="preserve">C-EGG-0041</t>
  </si>
  <si>
    <t xml:space="preserve">C-EGG-0042</t>
  </si>
  <si>
    <t xml:space="preserve">C-EGG-0043</t>
  </si>
  <si>
    <t xml:space="preserve">C-EGG-0044</t>
  </si>
  <si>
    <t xml:space="preserve">C-EGG-0045</t>
  </si>
  <si>
    <t xml:space="preserve">C-EGG-0046</t>
  </si>
  <si>
    <t xml:space="preserve">C-EGG-0047</t>
  </si>
  <si>
    <t xml:space="preserve">C-EGG-0048</t>
  </si>
  <si>
    <t xml:space="preserve">C-EGG-0049</t>
  </si>
  <si>
    <t xml:space="preserve">C-EGG-0050</t>
  </si>
  <si>
    <t xml:space="preserve">C-EGG-0051</t>
  </si>
  <si>
    <t xml:space="preserve">C-EGG-0052</t>
  </si>
  <si>
    <t xml:space="preserve">C-EGG-0053</t>
  </si>
  <si>
    <t xml:space="preserve">C-EGG-0054</t>
  </si>
  <si>
    <t xml:space="preserve">C-EGG-0055</t>
  </si>
  <si>
    <t xml:space="preserve">C-EGG-0056</t>
  </si>
  <si>
    <t xml:space="preserve">C-EGG-0057</t>
  </si>
  <si>
    <t xml:space="preserve">C-EGG-0058</t>
  </si>
  <si>
    <t xml:space="preserve">C-EGG-0059</t>
  </si>
  <si>
    <t xml:space="preserve">C-EGG-0060</t>
  </si>
  <si>
    <t xml:space="preserve">C-EGG-0061</t>
  </si>
  <si>
    <t xml:space="preserve">C-EGG-0062</t>
  </si>
  <si>
    <t xml:space="preserve">C-EGG-0063</t>
  </si>
  <si>
    <t xml:space="preserve">C-EGG-0064</t>
  </si>
  <si>
    <t xml:space="preserve">C-EGG-0065</t>
  </si>
  <si>
    <t xml:space="preserve">C-EGG-0066</t>
  </si>
  <si>
    <t xml:space="preserve">C-EGG-0067</t>
  </si>
  <si>
    <t xml:space="preserve">C-EGG-0068</t>
  </si>
  <si>
    <t xml:space="preserve">C-EGG-0069</t>
  </si>
  <si>
    <t xml:space="preserve">C-EGG-0070</t>
  </si>
  <si>
    <t xml:space="preserve">C-EGG-0071</t>
  </si>
  <si>
    <t xml:space="preserve">C-EGG-0072</t>
  </si>
  <si>
    <t xml:space="preserve">C-EGG-0073</t>
  </si>
  <si>
    <t xml:space="preserve">C-EGG-0074</t>
  </si>
  <si>
    <t xml:space="preserve">C-EGG-0075</t>
  </si>
  <si>
    <t xml:space="preserve">C-EGG-0076</t>
  </si>
  <si>
    <t xml:space="preserve">C-EGG-0077</t>
  </si>
  <si>
    <t xml:space="preserve">C-EGG-0078</t>
  </si>
  <si>
    <t xml:space="preserve">C-EGG-0079</t>
  </si>
  <si>
    <t xml:space="preserve">C-EGG-0080</t>
  </si>
  <si>
    <t xml:space="preserve">C-EGG-0081</t>
  </si>
  <si>
    <t xml:space="preserve">C-EGG-0082</t>
  </si>
  <si>
    <t xml:space="preserve">C-EGG-0083</t>
  </si>
  <si>
    <t xml:space="preserve">C-EGG-0084</t>
  </si>
  <si>
    <t xml:space="preserve">C-EGG-0085</t>
  </si>
  <si>
    <t xml:space="preserve">C-EGG-0086</t>
  </si>
  <si>
    <t xml:space="preserve">C-EGG-0087</t>
  </si>
  <si>
    <t xml:space="preserve">C-EGG-0088</t>
  </si>
  <si>
    <t xml:space="preserve">C-EGG-0089</t>
  </si>
  <si>
    <t xml:space="preserve">C-EGG-0090</t>
  </si>
  <si>
    <t xml:space="preserve">C-EGG-0091</t>
  </si>
  <si>
    <t xml:space="preserve">C-EGG-0092</t>
  </si>
  <si>
    <t xml:space="preserve">C-EGG-0093</t>
  </si>
  <si>
    <t xml:space="preserve">C-EGG-0094</t>
  </si>
  <si>
    <t xml:space="preserve">C-EGG-0095</t>
  </si>
  <si>
    <t xml:space="preserve">C-EGG-0096</t>
  </si>
  <si>
    <t xml:space="preserve">C-EGG-0097</t>
  </si>
  <si>
    <t xml:space="preserve">C-EGG-0098</t>
  </si>
  <si>
    <t xml:space="preserve">C-EGG-0099</t>
  </si>
  <si>
    <t xml:space="preserve">C-EGG-0100</t>
  </si>
  <si>
    <t xml:space="preserve">C-EGG-0101</t>
  </si>
  <si>
    <t xml:space="preserve">C-EGG-0102</t>
  </si>
  <si>
    <t xml:space="preserve">C-EGG-0103</t>
  </si>
  <si>
    <t xml:space="preserve">C-EGG-0104</t>
  </si>
  <si>
    <t xml:space="preserve">C-EGG-0105</t>
  </si>
  <si>
    <t xml:space="preserve">C-EGG-0106</t>
  </si>
  <si>
    <t xml:space="preserve">C-EGG-0107</t>
  </si>
  <si>
    <t xml:space="preserve">C-EGG-0108</t>
  </si>
  <si>
    <t xml:space="preserve">C-EGG-0109</t>
  </si>
  <si>
    <t xml:space="preserve">C-EGG-0110</t>
  </si>
  <si>
    <t xml:space="preserve">C-EGG-0111</t>
  </si>
  <si>
    <t xml:space="preserve">C-EGG-0112</t>
  </si>
  <si>
    <t xml:space="preserve">C-EGG-0113</t>
  </si>
  <si>
    <t xml:space="preserve">C-EGG-0114</t>
  </si>
  <si>
    <t xml:space="preserve">C-EGG-0115</t>
  </si>
  <si>
    <t xml:space="preserve">C-EGG-0116</t>
  </si>
  <si>
    <t xml:space="preserve">C-EGG-0117</t>
  </si>
  <si>
    <t xml:space="preserve">C-EGG-0118</t>
  </si>
  <si>
    <t xml:space="preserve">C-EGG-0119</t>
  </si>
  <si>
    <t xml:space="preserve">C-EGG-0120</t>
  </si>
  <si>
    <t xml:space="preserve">C-EGG-0121</t>
  </si>
  <si>
    <t xml:space="preserve">C-EGG-0122</t>
  </si>
  <si>
    <t xml:space="preserve">C-EGG-0123</t>
  </si>
  <si>
    <t xml:space="preserve">C-EGG-0124</t>
  </si>
  <si>
    <t xml:space="preserve">C-EGG-0125</t>
  </si>
  <si>
    <t xml:space="preserve">C-EGG-0126</t>
  </si>
  <si>
    <t xml:space="preserve">C-EGG-0127</t>
  </si>
  <si>
    <t xml:space="preserve">C-EGG-0128</t>
  </si>
  <si>
    <t xml:space="preserve">C-EGG-0129</t>
  </si>
  <si>
    <t xml:space="preserve">C-EGG-0130</t>
  </si>
  <si>
    <t xml:space="preserve">C-EGG-0131</t>
  </si>
  <si>
    <t xml:space="preserve">C-EGG-0132</t>
  </si>
  <si>
    <t xml:space="preserve">C-EGG-0133</t>
  </si>
  <si>
    <t xml:space="preserve">C-EGG-0134</t>
  </si>
  <si>
    <t xml:space="preserve">C-EGG-0135</t>
  </si>
  <si>
    <t xml:space="preserve">C-EGG-0136</t>
  </si>
  <si>
    <t xml:space="preserve">C-EGG-0137</t>
  </si>
  <si>
    <t xml:space="preserve">C-EGG-0138</t>
  </si>
  <si>
    <t xml:space="preserve">C-EGG-0139</t>
  </si>
  <si>
    <t xml:space="preserve">C-EGG-0140</t>
  </si>
  <si>
    <t xml:space="preserve">C-EGG-0141</t>
  </si>
  <si>
    <t xml:space="preserve">C-EGG-0142</t>
  </si>
  <si>
    <t xml:space="preserve">C-EGG-0143</t>
  </si>
  <si>
    <t xml:space="preserve">C-EGG-0144</t>
  </si>
  <si>
    <t xml:space="preserve">C-EGG-0145</t>
  </si>
  <si>
    <t xml:space="preserve">C-EGG-0146</t>
  </si>
  <si>
    <t xml:space="preserve">C-EGG-0147</t>
  </si>
  <si>
    <t xml:space="preserve">C-EGG-0148</t>
  </si>
  <si>
    <t xml:space="preserve">C-EGG-0149</t>
  </si>
  <si>
    <t xml:space="preserve">C-EGG-0150</t>
  </si>
  <si>
    <t xml:space="preserve">C-EGG-0151</t>
  </si>
  <si>
    <t xml:space="preserve">C-EGG-0152</t>
  </si>
  <si>
    <t xml:space="preserve">C-EGG-0153</t>
  </si>
  <si>
    <t xml:space="preserve">C-EGG-0154</t>
  </si>
  <si>
    <t xml:space="preserve">C-EGG-0155</t>
  </si>
  <si>
    <t xml:space="preserve">C-EGG-0156</t>
  </si>
  <si>
    <t xml:space="preserve">C-EGG-0157</t>
  </si>
  <si>
    <t xml:space="preserve">C-EGG-0158</t>
  </si>
  <si>
    <t xml:space="preserve">C-EGG-0159</t>
  </si>
  <si>
    <t xml:space="preserve">C-EGG-0160</t>
  </si>
  <si>
    <t xml:space="preserve">C-EGG-0161</t>
  </si>
  <si>
    <t xml:space="preserve">C-EGG-0162</t>
  </si>
  <si>
    <t xml:space="preserve">C-EGG-0163</t>
  </si>
  <si>
    <t xml:space="preserve">C-EGG-0164</t>
  </si>
  <si>
    <t xml:space="preserve">C-EGG-0165</t>
  </si>
  <si>
    <t xml:space="preserve">C-EGG-0166</t>
  </si>
  <si>
    <t xml:space="preserve">C-EGG-0167</t>
  </si>
  <si>
    <t xml:space="preserve">C-EGG-0168</t>
  </si>
  <si>
    <t xml:space="preserve">C-EGG-0169</t>
  </si>
  <si>
    <t xml:space="preserve">C-EGG-0170</t>
  </si>
  <si>
    <t xml:space="preserve">C-EGG-0171</t>
  </si>
  <si>
    <t xml:space="preserve">C-EGG-0172</t>
  </si>
  <si>
    <t xml:space="preserve">C-EGG-0173</t>
  </si>
  <si>
    <t xml:space="preserve">C-EGG-0174</t>
  </si>
  <si>
    <t xml:space="preserve">C-EGG-0175</t>
  </si>
  <si>
    <t xml:space="preserve">C-EGG-0176</t>
  </si>
  <si>
    <t xml:space="preserve">C-EGG-0177</t>
  </si>
  <si>
    <t xml:space="preserve">C-EGG-0178</t>
  </si>
  <si>
    <t xml:space="preserve">C-EGG-0179</t>
  </si>
  <si>
    <t xml:space="preserve">C-EGG-0180</t>
  </si>
  <si>
    <t xml:space="preserve">C-EGG-0181</t>
  </si>
  <si>
    <t xml:space="preserve">C-EGG-0182</t>
  </si>
  <si>
    <t xml:space="preserve">C-EGG-0183</t>
  </si>
  <si>
    <t xml:space="preserve">C-EGG-0184</t>
  </si>
  <si>
    <t xml:space="preserve">C-EGG-0185</t>
  </si>
  <si>
    <t xml:space="preserve">C-EGG-0186</t>
  </si>
  <si>
    <t xml:space="preserve">C-EGG-0187</t>
  </si>
  <si>
    <t xml:space="preserve">C-EGG-0188</t>
  </si>
  <si>
    <t xml:space="preserve">C-EGG-0189</t>
  </si>
  <si>
    <t xml:space="preserve">C-EGG-0190</t>
  </si>
  <si>
    <t xml:space="preserve">C-EGG-0191</t>
  </si>
  <si>
    <t xml:space="preserve">C-EGG-0192</t>
  </si>
  <si>
    <t xml:space="preserve">C-EGG-0193</t>
  </si>
  <si>
    <t xml:space="preserve">C-EGG-0194</t>
  </si>
  <si>
    <t xml:space="preserve">C-EGG-0195</t>
  </si>
  <si>
    <t xml:space="preserve">C-EGG-0196</t>
  </si>
  <si>
    <t xml:space="preserve">C-EGG-0197</t>
  </si>
  <si>
    <t xml:space="preserve">C-EGG-0198</t>
  </si>
  <si>
    <t xml:space="preserve">C-EGG-0199</t>
  </si>
  <si>
    <t xml:space="preserve">C-EGG-0200</t>
  </si>
  <si>
    <t xml:space="preserve">C-EGG-0201</t>
  </si>
  <si>
    <t xml:space="preserve">C-EGG-0202</t>
  </si>
  <si>
    <t xml:space="preserve">C-EGG-0203</t>
  </si>
  <si>
    <t xml:space="preserve">C-EGG-0204</t>
  </si>
  <si>
    <t xml:space="preserve">C-EGG-0205</t>
  </si>
  <si>
    <t xml:space="preserve">C-EGG-0206</t>
  </si>
  <si>
    <t xml:space="preserve">C-EGG-0207</t>
  </si>
  <si>
    <t xml:space="preserve">C-EGG-0208</t>
  </si>
  <si>
    <t xml:space="preserve">C-EGG-0209</t>
  </si>
  <si>
    <t xml:space="preserve">C-EGG-0210</t>
  </si>
  <si>
    <t xml:space="preserve">C-EGG-0211</t>
  </si>
  <si>
    <t xml:space="preserve">C-EGG-0212</t>
  </si>
  <si>
    <t xml:space="preserve">C-EGG-0213</t>
  </si>
  <si>
    <t xml:space="preserve">C-EGG-0214</t>
  </si>
  <si>
    <t xml:space="preserve">C-EGG-0215</t>
  </si>
  <si>
    <t xml:space="preserve">C-EGG-0216</t>
  </si>
  <si>
    <t xml:space="preserve">C-CAG-0001</t>
  </si>
  <si>
    <t xml:space="preserve">C-CAG</t>
  </si>
  <si>
    <t xml:space="preserve">Civil access group</t>
  </si>
  <si>
    <t xml:space="preserve">C-CAG-0002</t>
  </si>
  <si>
    <t xml:space="preserve">C-CAG-0003</t>
  </si>
  <si>
    <t xml:space="preserve">C-CAG-0004</t>
  </si>
  <si>
    <t xml:space="preserve">C-CAG-0005</t>
  </si>
  <si>
    <t xml:space="preserve">C-CAG-0006</t>
  </si>
  <si>
    <t xml:space="preserve">C-CAG-0007</t>
  </si>
  <si>
    <t xml:space="preserve">C-CAG-0008</t>
  </si>
  <si>
    <t xml:space="preserve">C-CAG-0009</t>
  </si>
  <si>
    <t xml:space="preserve">C-CAG-0010</t>
  </si>
  <si>
    <t xml:space="preserve">C-CAG-0011</t>
  </si>
  <si>
    <t xml:space="preserve">C-CAG-0012</t>
  </si>
  <si>
    <t xml:space="preserve">C-CAG-0013</t>
  </si>
  <si>
    <t xml:space="preserve">C-CAG-0014</t>
  </si>
  <si>
    <t xml:space="preserve">C-CAG-0015</t>
  </si>
  <si>
    <t xml:space="preserve">C-CAG-0016</t>
  </si>
  <si>
    <t xml:space="preserve">C-CAG-0017</t>
  </si>
  <si>
    <t xml:space="preserve">C-CAG-0018</t>
  </si>
  <si>
    <t xml:space="preserve">C-CAG-0019</t>
  </si>
  <si>
    <t xml:space="preserve">C-CAG-0020</t>
  </si>
  <si>
    <t xml:space="preserve">C-CAG-0021</t>
  </si>
  <si>
    <t xml:space="preserve">C-CAG-0022</t>
  </si>
  <si>
    <t xml:space="preserve">C-CAG-0023</t>
  </si>
  <si>
    <t xml:space="preserve">C-CAG-0024</t>
  </si>
  <si>
    <t xml:space="preserve">C-CAG-0025</t>
  </si>
  <si>
    <t xml:space="preserve">C-CAG-0026</t>
  </si>
  <si>
    <t xml:space="preserve">C-CAG-0027</t>
  </si>
  <si>
    <t xml:space="preserve">C-CAG-0028</t>
  </si>
  <si>
    <t xml:space="preserve">C-CAG-0029</t>
  </si>
  <si>
    <t xml:space="preserve">C-CAG-0030</t>
  </si>
  <si>
    <t xml:space="preserve">C-CAG-0031</t>
  </si>
  <si>
    <t xml:space="preserve">C-CAG-0032</t>
  </si>
  <si>
    <t xml:space="preserve">C-CAG-0033</t>
  </si>
  <si>
    <t xml:space="preserve">C-CAG-0034</t>
  </si>
  <si>
    <t xml:space="preserve">C-CAG-0035</t>
  </si>
  <si>
    <t xml:space="preserve">C-CAG-0036</t>
  </si>
  <si>
    <t xml:space="preserve">C-CAG-0037</t>
  </si>
  <si>
    <t xml:space="preserve">C-CAG-0038</t>
  </si>
  <si>
    <t xml:space="preserve">C-CAG-0039</t>
  </si>
  <si>
    <t xml:space="preserve">C-CAG-0040</t>
  </si>
  <si>
    <t xml:space="preserve">C-CAG-0041</t>
  </si>
  <si>
    <t xml:space="preserve">C-CAG-0042</t>
  </si>
  <si>
    <t xml:space="preserve">C-CAG-0043</t>
  </si>
  <si>
    <t xml:space="preserve">C-CAG-0044</t>
  </si>
  <si>
    <t xml:space="preserve">C-CAG-0045</t>
  </si>
  <si>
    <t xml:space="preserve">C-CAG-0046</t>
  </si>
  <si>
    <t xml:space="preserve">C-CAG-0047</t>
  </si>
  <si>
    <t xml:space="preserve">C-CAG-0048</t>
  </si>
  <si>
    <t xml:space="preserve">C-CAG-0049</t>
  </si>
  <si>
    <t xml:space="preserve">C-CAG-0050</t>
  </si>
  <si>
    <t xml:space="preserve">C-CAG-0051</t>
  </si>
  <si>
    <t xml:space="preserve">C-CAG-0052</t>
  </si>
  <si>
    <t xml:space="preserve">C-CAG-0053</t>
  </si>
  <si>
    <t xml:space="preserve">C-CAG-0054</t>
  </si>
  <si>
    <t xml:space="preserve">C-CAG-0055</t>
  </si>
  <si>
    <t xml:space="preserve">C-CAG-0056</t>
  </si>
  <si>
    <t xml:space="preserve">C-CAG-0057</t>
  </si>
  <si>
    <t xml:space="preserve">C-CAG-0058</t>
  </si>
  <si>
    <t xml:space="preserve">C-CAG-0059</t>
  </si>
  <si>
    <t xml:space="preserve">C-CAG-0060</t>
  </si>
  <si>
    <t xml:space="preserve">C-CAG-0061</t>
  </si>
  <si>
    <t xml:space="preserve">C-CAG-0062</t>
  </si>
  <si>
    <t xml:space="preserve">C-CAG-0063</t>
  </si>
  <si>
    <t xml:space="preserve">C-CAG-0064</t>
  </si>
  <si>
    <t xml:space="preserve">C-CAG-0065</t>
  </si>
  <si>
    <t xml:space="preserve">C-CAG-0066</t>
  </si>
  <si>
    <t xml:space="preserve">C-CAG-0067</t>
  </si>
  <si>
    <t xml:space="preserve">C-CAG-0068</t>
  </si>
  <si>
    <t xml:space="preserve">C-CAG-0069</t>
  </si>
  <si>
    <t xml:space="preserve">C-CAG-0070</t>
  </si>
  <si>
    <t xml:space="preserve">C-CAG-0071</t>
  </si>
  <si>
    <t xml:space="preserve">C-CAG-0072</t>
  </si>
  <si>
    <t xml:space="preserve">C-CAG-0073</t>
  </si>
  <si>
    <t xml:space="preserve">C-CAG-0074</t>
  </si>
  <si>
    <t xml:space="preserve">C-CAG-0075</t>
  </si>
  <si>
    <t xml:space="preserve">C-CAG-0076</t>
  </si>
  <si>
    <t xml:space="preserve">C-CAG-0077</t>
  </si>
  <si>
    <t xml:space="preserve">C-CAG-0078</t>
  </si>
  <si>
    <t xml:space="preserve">C-CAG-0079</t>
  </si>
  <si>
    <t xml:space="preserve">C-CAG-0080</t>
  </si>
  <si>
    <t xml:space="preserve">C-CAG-0081</t>
  </si>
  <si>
    <t xml:space="preserve">C-CAG-0082</t>
  </si>
  <si>
    <t xml:space="preserve">C-CAG-0083</t>
  </si>
  <si>
    <t xml:space="preserve">C-CAG-0084</t>
  </si>
  <si>
    <t xml:space="preserve">C-CAG-0085</t>
  </si>
  <si>
    <t xml:space="preserve">C-CAG-0086</t>
  </si>
  <si>
    <t xml:space="preserve">C-CAG-0087</t>
  </si>
  <si>
    <t xml:space="preserve">C-CAG-0088</t>
  </si>
  <si>
    <t xml:space="preserve">C-CAG-0089</t>
  </si>
  <si>
    <t xml:space="preserve">C-CAG-0090</t>
  </si>
  <si>
    <t xml:space="preserve">C-CAG-0091</t>
  </si>
  <si>
    <t xml:space="preserve">C-CAG-0092</t>
  </si>
  <si>
    <t xml:space="preserve">C-CAG-0093</t>
  </si>
  <si>
    <t xml:space="preserve">C-CAG-0094</t>
  </si>
  <si>
    <t xml:space="preserve">C-CAG-0095</t>
  </si>
  <si>
    <t xml:space="preserve">C-CAG-0096</t>
  </si>
  <si>
    <t xml:space="preserve">C-CAG-0097</t>
  </si>
  <si>
    <t xml:space="preserve">C-CAG-0098</t>
  </si>
  <si>
    <t xml:space="preserve">C-CAG-0099</t>
  </si>
  <si>
    <t xml:space="preserve">C-CAG-0100</t>
  </si>
  <si>
    <t xml:space="preserve">C-CAG-0101</t>
  </si>
  <si>
    <t xml:space="preserve">C-CAG-0102</t>
  </si>
  <si>
    <t xml:space="preserve">C-CAG-0103</t>
  </si>
  <si>
    <t xml:space="preserve">C-CAG-0104</t>
  </si>
  <si>
    <t xml:space="preserve">C-CAG-0105</t>
  </si>
  <si>
    <t xml:space="preserve">C-CAG-0106</t>
  </si>
  <si>
    <t xml:space="preserve">C-CAG-0107</t>
  </si>
  <si>
    <t xml:space="preserve">C-CAG-0108</t>
  </si>
  <si>
    <t xml:space="preserve">C-CAG-0109</t>
  </si>
  <si>
    <t xml:space="preserve">C-CAG-0110</t>
  </si>
  <si>
    <t xml:space="preserve">C-CAG-0111</t>
  </si>
  <si>
    <t xml:space="preserve">C-CAG-0112</t>
  </si>
  <si>
    <t xml:space="preserve">C-CAG-0113</t>
  </si>
  <si>
    <t xml:space="preserve">C-CAG-0114</t>
  </si>
  <si>
    <t xml:space="preserve">C-CAG-0115</t>
  </si>
  <si>
    <t xml:space="preserve">C-CAG-0116</t>
  </si>
  <si>
    <t xml:space="preserve">C-CAG-0117</t>
  </si>
  <si>
    <t xml:space="preserve">C-CAG-0118</t>
  </si>
  <si>
    <t xml:space="preserve">C-CAG-0119</t>
  </si>
  <si>
    <t xml:space="preserve">C-CAG-0120</t>
  </si>
  <si>
    <t xml:space="preserve">C-CAG-0121</t>
  </si>
  <si>
    <t xml:space="preserve">C-CAG-0122</t>
  </si>
  <si>
    <t xml:space="preserve">C-CAG-0123</t>
  </si>
  <si>
    <t xml:space="preserve">C-CAG-0124</t>
  </si>
  <si>
    <t xml:space="preserve">C-CAG-0125</t>
  </si>
  <si>
    <t xml:space="preserve">C-CAG-0126</t>
  </si>
  <si>
    <t xml:space="preserve">C-CAG-0127</t>
  </si>
  <si>
    <t xml:space="preserve">C-CAG-0128</t>
  </si>
  <si>
    <t xml:space="preserve">C-CAG-0129</t>
  </si>
  <si>
    <t xml:space="preserve">C-CAG-0130</t>
  </si>
  <si>
    <t xml:space="preserve">C-CAG-0131</t>
  </si>
  <si>
    <t xml:space="preserve">C-CAG-0132</t>
  </si>
  <si>
    <t xml:space="preserve">C-CAG-0133</t>
  </si>
  <si>
    <t xml:space="preserve">C-CAG-0134</t>
  </si>
  <si>
    <t xml:space="preserve">C-CAG-0135</t>
  </si>
  <si>
    <t xml:space="preserve">C-CAG-0136</t>
  </si>
  <si>
    <t xml:space="preserve">C-CAG-0137</t>
  </si>
  <si>
    <t xml:space="preserve">C-CAG-0138</t>
  </si>
  <si>
    <t xml:space="preserve">C-CAG-0139</t>
  </si>
  <si>
    <t xml:space="preserve">C-CAG-0140</t>
  </si>
  <si>
    <t xml:space="preserve">C-CAG-0141</t>
  </si>
  <si>
    <t xml:space="preserve">C-CAG-0142</t>
  </si>
  <si>
    <t xml:space="preserve">C-CAG-0143</t>
  </si>
  <si>
    <t xml:space="preserve">C-CAG-0144</t>
  </si>
  <si>
    <t xml:space="preserve">C-CAG-0145</t>
  </si>
  <si>
    <t xml:space="preserve">C-CAG-0146</t>
  </si>
  <si>
    <t xml:space="preserve">C-CAG-0147</t>
  </si>
  <si>
    <t xml:space="preserve">C-CAG-0148</t>
  </si>
  <si>
    <t xml:space="preserve">C-CAG-0149</t>
  </si>
  <si>
    <t xml:space="preserve">C-CAG-0150</t>
  </si>
  <si>
    <t xml:space="preserve">C-CAG-0151</t>
  </si>
  <si>
    <t xml:space="preserve">C-CAG-0152</t>
  </si>
  <si>
    <t xml:space="preserve">C-CAG-0153</t>
  </si>
  <si>
    <t xml:space="preserve">C-CAG-0154</t>
  </si>
  <si>
    <t xml:space="preserve">C-CAG-0155</t>
  </si>
  <si>
    <t xml:space="preserve">C-CAG-0156</t>
  </si>
  <si>
    <t xml:space="preserve">C-CAG-0157</t>
  </si>
  <si>
    <t xml:space="preserve">C-CAG-0158</t>
  </si>
  <si>
    <t xml:space="preserve">C-CAG-0159</t>
  </si>
  <si>
    <t xml:space="preserve">C-CAG-0160</t>
  </si>
  <si>
    <t xml:space="preserve">C-CAG-0161</t>
  </si>
  <si>
    <t xml:space="preserve">C-CAG-0162</t>
  </si>
  <si>
    <t xml:space="preserve">C-CAG-0163</t>
  </si>
  <si>
    <t xml:space="preserve">C-CAG-0164</t>
  </si>
  <si>
    <t xml:space="preserve">C-DTG-0001</t>
  </si>
  <si>
    <t xml:space="preserve">C-DTG</t>
  </si>
  <si>
    <t xml:space="preserve">Displacement transition group</t>
  </si>
  <si>
    <t xml:space="preserve">C-DTG-0002</t>
  </si>
  <si>
    <t xml:space="preserve">C-DTG-0003</t>
  </si>
  <si>
    <t xml:space="preserve">C-DTG-0004</t>
  </si>
  <si>
    <t xml:space="preserve">C-DTG-0005</t>
  </si>
  <si>
    <t xml:space="preserve">C-DTG-0006</t>
  </si>
  <si>
    <t xml:space="preserve">C-DTG-0007</t>
  </si>
  <si>
    <t xml:space="preserve">C-DTG-0008</t>
  </si>
  <si>
    <t xml:space="preserve">C-DTG-0009</t>
  </si>
  <si>
    <t xml:space="preserve">C-DTG-0010</t>
  </si>
  <si>
    <t xml:space="preserve">C-DTG-0011</t>
  </si>
  <si>
    <t xml:space="preserve">C-DTG-0012</t>
  </si>
  <si>
    <t xml:space="preserve">C-DTG-0013</t>
  </si>
  <si>
    <t xml:space="preserve">C-DTG-0014</t>
  </si>
  <si>
    <t xml:space="preserve">C-DTG-0015</t>
  </si>
  <si>
    <t xml:space="preserve">C-DTG-0016</t>
  </si>
  <si>
    <t xml:space="preserve">C-DTG-0017</t>
  </si>
  <si>
    <t xml:space="preserve">C-DTG-0018</t>
  </si>
  <si>
    <t xml:space="preserve">C-DTG-0019</t>
  </si>
  <si>
    <t xml:space="preserve">C-DTG-0020</t>
  </si>
  <si>
    <t xml:space="preserve">C-DTG-0021</t>
  </si>
  <si>
    <t xml:space="preserve">C-DTG-0022</t>
  </si>
  <si>
    <t xml:space="preserve">C-DTG-0023</t>
  </si>
  <si>
    <t xml:space="preserve">C-DTG-0024</t>
  </si>
  <si>
    <t xml:space="preserve">C-DTG-0025</t>
  </si>
  <si>
    <t xml:space="preserve">C-DTG-0026</t>
  </si>
  <si>
    <t xml:space="preserve">C-DTG-0027</t>
  </si>
  <si>
    <t xml:space="preserve">C-DTG-0028</t>
  </si>
  <si>
    <t xml:space="preserve">C-DTG-0029</t>
  </si>
  <si>
    <t xml:space="preserve">C-DTG-0030</t>
  </si>
  <si>
    <t xml:space="preserve">C-DTG-0031</t>
  </si>
  <si>
    <t xml:space="preserve">C-DTG-0032</t>
  </si>
  <si>
    <t xml:space="preserve">C-DTG-0033</t>
  </si>
  <si>
    <t xml:space="preserve">C-DTG-0034</t>
  </si>
  <si>
    <t xml:space="preserve">C-DTG-0035</t>
  </si>
  <si>
    <t xml:space="preserve">C-DTG-0036</t>
  </si>
  <si>
    <t xml:space="preserve">C-DTG-0037</t>
  </si>
  <si>
    <t xml:space="preserve">C-DTG-0038</t>
  </si>
  <si>
    <t xml:space="preserve">C-DTG-0039</t>
  </si>
  <si>
    <t xml:space="preserve">C-DTG-0040</t>
  </si>
  <si>
    <t xml:space="preserve">C-DTG-0041</t>
  </si>
  <si>
    <t xml:space="preserve">C-DTG-0042</t>
  </si>
  <si>
    <t xml:space="preserve">C-DTG-0043</t>
  </si>
  <si>
    <t xml:space="preserve">C-DTG-0044</t>
  </si>
  <si>
    <t xml:space="preserve">C-DTG-0045</t>
  </si>
  <si>
    <t xml:space="preserve">C-DTG-0046</t>
  </si>
  <si>
    <t xml:space="preserve">C-DTG-0047</t>
  </si>
  <si>
    <t xml:space="preserve">C-DTG-0048</t>
  </si>
  <si>
    <t xml:space="preserve">C-DTG-0049</t>
  </si>
  <si>
    <t xml:space="preserve">C-DTG-0050</t>
  </si>
  <si>
    <t xml:space="preserve">C-DTG-0051</t>
  </si>
  <si>
    <t xml:space="preserve">C-DTG-0052</t>
  </si>
  <si>
    <t xml:space="preserve">C-DTG-0053</t>
  </si>
  <si>
    <t xml:space="preserve">C-DTG-0054</t>
  </si>
  <si>
    <t xml:space="preserve">C-DTG-0055</t>
  </si>
  <si>
    <t xml:space="preserve">C-DTG-0056</t>
  </si>
  <si>
    <t xml:space="preserve">C-DTG-0057</t>
  </si>
  <si>
    <t xml:space="preserve">C-DTG-0058</t>
  </si>
  <si>
    <t xml:space="preserve">C-DTG-0059</t>
  </si>
  <si>
    <t xml:space="preserve">C-DTG-0060</t>
  </si>
  <si>
    <t xml:space="preserve">C-DTG-0061</t>
  </si>
  <si>
    <t xml:space="preserve">C-DTG-0062</t>
  </si>
  <si>
    <t xml:space="preserve">C-DTG-0063</t>
  </si>
  <si>
    <t xml:space="preserve">C-DTG-0064</t>
  </si>
  <si>
    <t xml:space="preserve">C-DTG-0065</t>
  </si>
  <si>
    <t xml:space="preserve">C-DTG-0066</t>
  </si>
  <si>
    <t xml:space="preserve">C-DTG-0067</t>
  </si>
  <si>
    <t xml:space="preserve">C-DTG-0068</t>
  </si>
  <si>
    <t xml:space="preserve">C-DTG-0069</t>
  </si>
  <si>
    <t xml:space="preserve">C-DTG-0070</t>
  </si>
  <si>
    <t xml:space="preserve">C-DTG-0071</t>
  </si>
  <si>
    <t xml:space="preserve">C-DTG-0072</t>
  </si>
  <si>
    <t xml:space="preserve">C-DTG-0073</t>
  </si>
  <si>
    <t xml:space="preserve">C-DTG-0074</t>
  </si>
  <si>
    <t xml:space="preserve">C-DTG-0075</t>
  </si>
  <si>
    <t xml:space="preserve">C-DTG-0076</t>
  </si>
  <si>
    <t xml:space="preserve">C-DTG-0077</t>
  </si>
  <si>
    <t xml:space="preserve">C-DTG-0078</t>
  </si>
  <si>
    <t xml:space="preserve">C-DTG-0079</t>
  </si>
  <si>
    <t xml:space="preserve">C-DTG-0080</t>
  </si>
  <si>
    <t xml:space="preserve">C-DTG-0081</t>
  </si>
  <si>
    <t xml:space="preserve">C-DTG-0082</t>
  </si>
  <si>
    <t xml:space="preserve">C-DTG-0083</t>
  </si>
  <si>
    <t xml:space="preserve">C-DTG-0084</t>
  </si>
  <si>
    <t xml:space="preserve">C-DTG-0085</t>
  </si>
  <si>
    <t xml:space="preserve">C-DTG-0086</t>
  </si>
  <si>
    <t xml:space="preserve">C-DTG-0087</t>
  </si>
  <si>
    <t xml:space="preserve">C-DTG-0088</t>
  </si>
  <si>
    <t xml:space="preserve">C-DTG-0089</t>
  </si>
  <si>
    <t xml:space="preserve">C-DTG-0090</t>
  </si>
  <si>
    <t xml:space="preserve">C-DTG-0091</t>
  </si>
  <si>
    <t xml:space="preserve">C-DTG-0092</t>
  </si>
  <si>
    <t xml:space="preserve">C-DTG-0093</t>
  </si>
  <si>
    <t xml:space="preserve">C-DTG-0094</t>
  </si>
  <si>
    <t xml:space="preserve">C-DTG-0095</t>
  </si>
  <si>
    <t xml:space="preserve">C-DTG-0096</t>
  </si>
  <si>
    <t xml:space="preserve">C-DTG-0097</t>
  </si>
  <si>
    <t xml:space="preserve">C-DTG-0098</t>
  </si>
  <si>
    <t xml:space="preserve">C-DTG-0099</t>
  </si>
  <si>
    <t xml:space="preserve">C-DTG-0100</t>
  </si>
  <si>
    <t xml:space="preserve">C-DTG-0101</t>
  </si>
  <si>
    <t xml:space="preserve">C-DTG-0102</t>
  </si>
  <si>
    <t xml:space="preserve">C-DTG-0103</t>
  </si>
  <si>
    <t xml:space="preserve">C-DTG-0104</t>
  </si>
  <si>
    <t xml:space="preserve">C-DTG-0105</t>
  </si>
  <si>
    <t xml:space="preserve">C-DTG-0106</t>
  </si>
  <si>
    <t xml:space="preserve">C-DTG-0107</t>
  </si>
  <si>
    <t xml:space="preserve">C-DTG-0108</t>
  </si>
  <si>
    <t xml:space="preserve">C-DTG-0109</t>
  </si>
  <si>
    <t xml:space="preserve">C-DTG-0110</t>
  </si>
  <si>
    <t xml:space="preserve">C-DTG-0111</t>
  </si>
  <si>
    <t xml:space="preserve">C-DTG-0112</t>
  </si>
  <si>
    <t xml:space="preserve">C-DTG-0113</t>
  </si>
  <si>
    <t xml:space="preserve">C-DTG-0114</t>
  </si>
  <si>
    <t xml:space="preserve">C-DTG-0115</t>
  </si>
  <si>
    <t xml:space="preserve">C-DTG-0116</t>
  </si>
  <si>
    <t xml:space="preserve">C-DTG-0117</t>
  </si>
  <si>
    <t xml:space="preserve">C-DTG-0118</t>
  </si>
  <si>
    <t xml:space="preserve">C-DTG-0119</t>
  </si>
  <si>
    <t xml:space="preserve">C-DTG-0120</t>
  </si>
  <si>
    <t xml:space="preserve">C-DTG-0121</t>
  </si>
  <si>
    <t xml:space="preserve">C-DTG-0122</t>
  </si>
  <si>
    <t xml:space="preserve">C-DTG-0123</t>
  </si>
  <si>
    <t xml:space="preserve">C-DTG-0124</t>
  </si>
  <si>
    <t xml:space="preserve">C-DTG-0125</t>
  </si>
  <si>
    <t xml:space="preserve">C-DTG-0126</t>
  </si>
  <si>
    <t xml:space="preserve">C-DTG-0127</t>
  </si>
  <si>
    <t xml:space="preserve">C-DTG-0128</t>
  </si>
  <si>
    <t xml:space="preserve">C-DTG-0129</t>
  </si>
  <si>
    <t xml:space="preserve">C-DTG-0130</t>
  </si>
  <si>
    <t xml:space="preserve">C-DTG-0131</t>
  </si>
  <si>
    <t xml:space="preserve">C-DTG-0132</t>
  </si>
  <si>
    <t xml:space="preserve">C-DTG-0133</t>
  </si>
  <si>
    <t xml:space="preserve">C-DTG-0134</t>
  </si>
  <si>
    <t xml:space="preserve">C-DTG-0135</t>
  </si>
  <si>
    <t xml:space="preserve">C-DTG-0136</t>
  </si>
  <si>
    <t xml:space="preserve">C-DTG-0137</t>
  </si>
  <si>
    <t xml:space="preserve">C-DTG-0138</t>
  </si>
  <si>
    <t xml:space="preserve">C-DTG-0139</t>
  </si>
  <si>
    <t xml:space="preserve">C-DTG-0140</t>
  </si>
  <si>
    <t xml:space="preserve">C-DTG-0141</t>
  </si>
  <si>
    <t xml:space="preserve">C-DTG-0142</t>
  </si>
  <si>
    <t xml:space="preserve">C-DTG-0143</t>
  </si>
  <si>
    <t xml:space="preserve">C-DTG-0144</t>
  </si>
  <si>
    <t xml:space="preserve">C-DTG-0145</t>
  </si>
  <si>
    <t xml:space="preserve">C-DTG-0146</t>
  </si>
  <si>
    <t xml:space="preserve">C-DTG-0147</t>
  </si>
  <si>
    <t xml:space="preserve">C-DTG-0148</t>
  </si>
  <si>
    <t xml:space="preserve">C-DTG-0149</t>
  </si>
  <si>
    <t xml:space="preserve">C-DTG-0150</t>
  </si>
  <si>
    <t xml:space="preserve">C-DTG-0151</t>
  </si>
  <si>
    <t xml:space="preserve">C-DTG-0152</t>
  </si>
  <si>
    <t xml:space="preserve">C-DTG-0153</t>
  </si>
  <si>
    <t xml:space="preserve">C-DTG-0154</t>
  </si>
  <si>
    <t xml:space="preserve">C-DTG-0155</t>
  </si>
  <si>
    <t xml:space="preserve">C-DTG-0156</t>
  </si>
  <si>
    <t xml:space="preserve">C-DTG-0157</t>
  </si>
  <si>
    <t xml:space="preserve">C-DTG-0158</t>
  </si>
  <si>
    <t xml:space="preserve">C-CIG-0001</t>
  </si>
  <si>
    <t xml:space="preserve">C-CIG</t>
  </si>
  <si>
    <t xml:space="preserve">Community institutions group</t>
  </si>
  <si>
    <t xml:space="preserve">C-CIG-0002</t>
  </si>
  <si>
    <t xml:space="preserve">C-CIG-0003</t>
  </si>
  <si>
    <t xml:space="preserve">C-CIG-0004</t>
  </si>
  <si>
    <t xml:space="preserve">C-CIG-0005</t>
  </si>
  <si>
    <t xml:space="preserve">C-CIG-0006</t>
  </si>
  <si>
    <t xml:space="preserve">C-CIG-0007</t>
  </si>
  <si>
    <t xml:space="preserve">C-CIG-0008</t>
  </si>
  <si>
    <t xml:space="preserve">C-CIG-0009</t>
  </si>
  <si>
    <t xml:space="preserve">C-CIG-0010</t>
  </si>
  <si>
    <t xml:space="preserve">C-CIG-0011</t>
  </si>
  <si>
    <t xml:space="preserve">C-CIG-0012</t>
  </si>
  <si>
    <t xml:space="preserve">C-CIG-0013</t>
  </si>
  <si>
    <t xml:space="preserve">C-CIG-0014</t>
  </si>
  <si>
    <t xml:space="preserve">C-CIG-0015</t>
  </si>
  <si>
    <t xml:space="preserve">C-CIG-0016</t>
  </si>
  <si>
    <t xml:space="preserve">C-CIG-0017</t>
  </si>
  <si>
    <t xml:space="preserve">C-CIG-0018</t>
  </si>
  <si>
    <t xml:space="preserve">C-CIG-0019</t>
  </si>
  <si>
    <t xml:space="preserve">C-CIG-0020</t>
  </si>
  <si>
    <t xml:space="preserve">C-CIG-0021</t>
  </si>
  <si>
    <t xml:space="preserve">C-CIG-0022</t>
  </si>
  <si>
    <t xml:space="preserve">C-CIG-0023</t>
  </si>
  <si>
    <t xml:space="preserve">C-CIG-0024</t>
  </si>
  <si>
    <t xml:space="preserve">C-CIG-0025</t>
  </si>
  <si>
    <t xml:space="preserve">C-CIG-0026</t>
  </si>
  <si>
    <t xml:space="preserve">C-CIG-0027</t>
  </si>
  <si>
    <t xml:space="preserve">C-CIG-0028</t>
  </si>
  <si>
    <t xml:space="preserve">C-CIG-0029</t>
  </si>
  <si>
    <t xml:space="preserve">C-CIG-0030</t>
  </si>
  <si>
    <t xml:space="preserve">C-CIG-0031</t>
  </si>
  <si>
    <t xml:space="preserve">C-CIG-0032</t>
  </si>
  <si>
    <t xml:space="preserve">C-CIG-0033</t>
  </si>
  <si>
    <t xml:space="preserve">C-CIG-0034</t>
  </si>
  <si>
    <t xml:space="preserve">C-CIG-0035</t>
  </si>
  <si>
    <t xml:space="preserve">C-CIG-0036</t>
  </si>
  <si>
    <t xml:space="preserve">C-CIG-0037</t>
  </si>
  <si>
    <t xml:space="preserve">C-CIG-0038</t>
  </si>
  <si>
    <t xml:space="preserve">C-CIG-0039</t>
  </si>
  <si>
    <t xml:space="preserve">C-CIG-0040</t>
  </si>
  <si>
    <t xml:space="preserve">C-CIG-0041</t>
  </si>
  <si>
    <t xml:space="preserve">C-CIG-0042</t>
  </si>
  <si>
    <t xml:space="preserve">C-CIG-0043</t>
  </si>
  <si>
    <t xml:space="preserve">C-CIG-0044</t>
  </si>
  <si>
    <t xml:space="preserve">C-CIG-0045</t>
  </si>
  <si>
    <t xml:space="preserve">C-CIG-0046</t>
  </si>
  <si>
    <t xml:space="preserve">C-CIG-0047</t>
  </si>
  <si>
    <t xml:space="preserve">C-CIG-0048</t>
  </si>
  <si>
    <t xml:space="preserve">C-CIG-0049</t>
  </si>
  <si>
    <t xml:space="preserve">C-CIG-0050</t>
  </si>
  <si>
    <t xml:space="preserve">C-CIG-0051</t>
  </si>
  <si>
    <t xml:space="preserve">C-CIG-0052</t>
  </si>
  <si>
    <t xml:space="preserve">C-CIG-0053</t>
  </si>
  <si>
    <t xml:space="preserve">C-CIG-0054</t>
  </si>
  <si>
    <t xml:space="preserve">C-CIG-0055</t>
  </si>
  <si>
    <t xml:space="preserve">C-CIG-0056</t>
  </si>
  <si>
    <t xml:space="preserve">C-CIG-0057</t>
  </si>
  <si>
    <t xml:space="preserve">C-CIG-0058</t>
  </si>
  <si>
    <t xml:space="preserve">C-CIG-0059</t>
  </si>
  <si>
    <t xml:space="preserve">C-CIG-0060</t>
  </si>
  <si>
    <t xml:space="preserve">C-CIG-0061</t>
  </si>
  <si>
    <t xml:space="preserve">C-CIG-0062</t>
  </si>
  <si>
    <t xml:space="preserve">C-CIG-0063</t>
  </si>
  <si>
    <t xml:space="preserve">C-CIG-0064</t>
  </si>
  <si>
    <t xml:space="preserve">C-CIG-0065</t>
  </si>
  <si>
    <t xml:space="preserve">C-CIG-0066</t>
  </si>
  <si>
    <t xml:space="preserve">C-CIG-0067</t>
  </si>
  <si>
    <t xml:space="preserve">C-CIG-0068</t>
  </si>
  <si>
    <t xml:space="preserve">C-CIG-0069</t>
  </si>
  <si>
    <t xml:space="preserve">C-CIG-0070</t>
  </si>
  <si>
    <t xml:space="preserve">C-CIG-0071</t>
  </si>
  <si>
    <t xml:space="preserve">C-CIG-0072</t>
  </si>
  <si>
    <t xml:space="preserve">C-CIG-0073</t>
  </si>
  <si>
    <t xml:space="preserve">C-CIG-0074</t>
  </si>
  <si>
    <t xml:space="preserve">C-CIG-0075</t>
  </si>
  <si>
    <t xml:space="preserve">C-CIG-0076</t>
  </si>
  <si>
    <t xml:space="preserve">C-CIG-0077</t>
  </si>
  <si>
    <t xml:space="preserve">C-CIG-0078</t>
  </si>
  <si>
    <t xml:space="preserve">C-CIG-0079</t>
  </si>
  <si>
    <t xml:space="preserve">C-CIG-0080</t>
  </si>
  <si>
    <t xml:space="preserve">C-CIG-0081</t>
  </si>
  <si>
    <t xml:space="preserve">C-CIG-0082</t>
  </si>
  <si>
    <t xml:space="preserve">C-CIG-0083</t>
  </si>
  <si>
    <t xml:space="preserve">C-CIG-0084</t>
  </si>
  <si>
    <t xml:space="preserve">C-CIG-0085</t>
  </si>
  <si>
    <t xml:space="preserve">C-CIG-0086</t>
  </si>
  <si>
    <t xml:space="preserve">C-CIG-0087</t>
  </si>
  <si>
    <t xml:space="preserve">C-CIG-0088</t>
  </si>
  <si>
    <t xml:space="preserve">C-CIG-0089</t>
  </si>
  <si>
    <t xml:space="preserve">C-CIG-0090</t>
  </si>
  <si>
    <t xml:space="preserve">C-CIG-0091</t>
  </si>
  <si>
    <t xml:space="preserve">C-CIG-0092</t>
  </si>
  <si>
    <t xml:space="preserve">C-CIG-0093</t>
  </si>
  <si>
    <t xml:space="preserve">C-CIG-0094</t>
  </si>
  <si>
    <t xml:space="preserve">C-CIG-0095</t>
  </si>
  <si>
    <t xml:space="preserve">C-CIG-0096</t>
  </si>
  <si>
    <t xml:space="preserve">C-CIG-0097</t>
  </si>
  <si>
    <t xml:space="preserve">C-CIG-0098</t>
  </si>
  <si>
    <t xml:space="preserve">C-CIG-0099</t>
  </si>
  <si>
    <t xml:space="preserve">C-CIG-0100</t>
  </si>
  <si>
    <t xml:space="preserve">C-CIG-0101</t>
  </si>
  <si>
    <t xml:space="preserve">C-CIG-0102</t>
  </si>
  <si>
    <t xml:space="preserve">C-CIG-0103</t>
  </si>
  <si>
    <t xml:space="preserve">C-CIG-0104</t>
  </si>
  <si>
    <t xml:space="preserve">C-CIG-0105</t>
  </si>
  <si>
    <t xml:space="preserve">C-CIG-0106</t>
  </si>
  <si>
    <t xml:space="preserve">C-CIG-0107</t>
  </si>
  <si>
    <t xml:space="preserve">C-CIG-0108</t>
  </si>
  <si>
    <t xml:space="preserve">C-CIG-0109</t>
  </si>
  <si>
    <t xml:space="preserve">C-CIG-0110</t>
  </si>
  <si>
    <t xml:space="preserve">C-CIG-0111</t>
  </si>
  <si>
    <t xml:space="preserve">C-CIG-0112</t>
  </si>
  <si>
    <t xml:space="preserve">C-CIG-0113</t>
  </si>
  <si>
    <t xml:space="preserve">C-CIG-0114</t>
  </si>
  <si>
    <t xml:space="preserve">C-CIG-0115</t>
  </si>
  <si>
    <t xml:space="preserve">C-CIG-0116</t>
  </si>
  <si>
    <t xml:space="preserve">C-CIG-0117</t>
  </si>
  <si>
    <t xml:space="preserve">C-CIG-0118</t>
  </si>
  <si>
    <t xml:space="preserve">C-CIG-0119</t>
  </si>
  <si>
    <t xml:space="preserve">C-CIG-0120</t>
  </si>
  <si>
    <t xml:space="preserve">C-CIG-0121</t>
  </si>
  <si>
    <t xml:space="preserve">C-CIG-0122</t>
  </si>
  <si>
    <t xml:space="preserve">C-CIG-0123</t>
  </si>
  <si>
    <t xml:space="preserve">C-CIG-0124</t>
  </si>
  <si>
    <t xml:space="preserve">C-CIG-0125</t>
  </si>
  <si>
    <t xml:space="preserve">C-CIG-0126</t>
  </si>
  <si>
    <t xml:space="preserve">C-CIG-0127</t>
  </si>
  <si>
    <t xml:space="preserve">C-CIG-0128</t>
  </si>
  <si>
    <t xml:space="preserve">C-CIG-0129</t>
  </si>
  <si>
    <t xml:space="preserve">C-CIG-0130</t>
  </si>
  <si>
    <t xml:space="preserve">C-CIG-0131</t>
  </si>
  <si>
    <t xml:space="preserve">C-CIG-0132</t>
  </si>
  <si>
    <t xml:space="preserve">C-ERG-0001</t>
  </si>
  <si>
    <t xml:space="preserve">C-ERG</t>
  </si>
  <si>
    <t xml:space="preserve">Economic restart group</t>
  </si>
  <si>
    <t xml:space="preserve">C-ERG-0002</t>
  </si>
  <si>
    <t xml:space="preserve">C-ERG-0003</t>
  </si>
  <si>
    <t xml:space="preserve">C-ERG-0004</t>
  </si>
  <si>
    <t xml:space="preserve">C-ERG-0005</t>
  </si>
  <si>
    <t xml:space="preserve">C-ERG-0006</t>
  </si>
  <si>
    <t xml:space="preserve">C-ERG-0007</t>
  </si>
  <si>
    <t xml:space="preserve">C-ERG-0008</t>
  </si>
  <si>
    <t xml:space="preserve">C-ERG-0009</t>
  </si>
  <si>
    <t xml:space="preserve">C-ERG-0010</t>
  </si>
  <si>
    <t xml:space="preserve">C-ERG-0011</t>
  </si>
  <si>
    <t xml:space="preserve">C-ERG-0012</t>
  </si>
  <si>
    <t xml:space="preserve">C-ERG-0013</t>
  </si>
  <si>
    <t xml:space="preserve">C-ERG-0014</t>
  </si>
  <si>
    <t xml:space="preserve">C-ERG-0015</t>
  </si>
  <si>
    <t xml:space="preserve">C-ERG-0016</t>
  </si>
  <si>
    <t xml:space="preserve">C-ERG-0017</t>
  </si>
  <si>
    <t xml:space="preserve">C-ERG-0018</t>
  </si>
  <si>
    <t xml:space="preserve">C-ERG-0019</t>
  </si>
  <si>
    <t xml:space="preserve">C-ERG-0020</t>
  </si>
  <si>
    <t xml:space="preserve">C-ERG-0021</t>
  </si>
  <si>
    <t xml:space="preserve">C-ERG-0022</t>
  </si>
  <si>
    <t xml:space="preserve">C-ERG-0023</t>
  </si>
  <si>
    <t xml:space="preserve">C-ERG-0024</t>
  </si>
  <si>
    <t xml:space="preserve">C-ERG-0025</t>
  </si>
  <si>
    <t xml:space="preserve">C-ERG-0026</t>
  </si>
  <si>
    <t xml:space="preserve">C-ERG-0027</t>
  </si>
  <si>
    <t xml:space="preserve">C-ERG-0028</t>
  </si>
  <si>
    <t xml:space="preserve">C-ERG-0029</t>
  </si>
  <si>
    <t xml:space="preserve">C-ERG-0030</t>
  </si>
  <si>
    <t xml:space="preserve">C-ERG-0031</t>
  </si>
  <si>
    <t xml:space="preserve">C-ERG-0032</t>
  </si>
  <si>
    <t xml:space="preserve">C-ERG-0033</t>
  </si>
  <si>
    <t xml:space="preserve">C-ERG-0034</t>
  </si>
  <si>
    <t xml:space="preserve">C-ERG-0035</t>
  </si>
  <si>
    <t xml:space="preserve">C-ERG-0036</t>
  </si>
  <si>
    <t xml:space="preserve">C-ERG-0037</t>
  </si>
  <si>
    <t xml:space="preserve">C-ERG-0038</t>
  </si>
  <si>
    <t xml:space="preserve">C-ERG-0039</t>
  </si>
  <si>
    <t xml:space="preserve">C-ERG-0040</t>
  </si>
  <si>
    <t xml:space="preserve">C-ERG-0041</t>
  </si>
  <si>
    <t xml:space="preserve">C-ERG-0042</t>
  </si>
  <si>
    <t xml:space="preserve">C-ERG-0043</t>
  </si>
  <si>
    <t xml:space="preserve">C-ERG-0044</t>
  </si>
  <si>
    <t xml:space="preserve">C-ERG-0045</t>
  </si>
  <si>
    <t xml:space="preserve">C-ERG-0046</t>
  </si>
  <si>
    <t xml:space="preserve">C-ERG-0047</t>
  </si>
  <si>
    <t xml:space="preserve">C-ERG-0048</t>
  </si>
  <si>
    <t xml:space="preserve">C-ERG-0049</t>
  </si>
  <si>
    <t xml:space="preserve">C-ERG-0050</t>
  </si>
  <si>
    <t xml:space="preserve">C-ERG-0051</t>
  </si>
  <si>
    <t xml:space="preserve">C-ERG-0052</t>
  </si>
  <si>
    <t xml:space="preserve">C-ERG-0053</t>
  </si>
  <si>
    <t xml:space="preserve">C-ERG-0054</t>
  </si>
  <si>
    <t xml:space="preserve">C-ERG-0055</t>
  </si>
  <si>
    <t xml:space="preserve">C-ERG-0056</t>
  </si>
  <si>
    <t xml:space="preserve">C-ERG-0057</t>
  </si>
  <si>
    <t xml:space="preserve">C-ERG-0058</t>
  </si>
  <si>
    <t xml:space="preserve">C-ERG-0059</t>
  </si>
  <si>
    <t xml:space="preserve">C-ERG-0060</t>
  </si>
  <si>
    <t xml:space="preserve">C-ERG-0061</t>
  </si>
  <si>
    <t xml:space="preserve">C-ERG-0062</t>
  </si>
  <si>
    <t xml:space="preserve">C-ERG-0063</t>
  </si>
  <si>
    <t xml:space="preserve">C-ERG-0064</t>
  </si>
  <si>
    <t xml:space="preserve">C-ERG-0065</t>
  </si>
  <si>
    <t xml:space="preserve">C-ERG-0066</t>
  </si>
  <si>
    <t xml:space="preserve">C-ERG-0067</t>
  </si>
  <si>
    <t xml:space="preserve">C-ERG-0068</t>
  </si>
  <si>
    <t xml:space="preserve">C-ERG-0069</t>
  </si>
  <si>
    <t xml:space="preserve">C-ERG-0070</t>
  </si>
  <si>
    <t xml:space="preserve">C-ERG-0071</t>
  </si>
  <si>
    <t xml:space="preserve">C-ERG-0072</t>
  </si>
  <si>
    <t xml:space="preserve">C-ERG-0073</t>
  </si>
  <si>
    <t xml:space="preserve">C-ERG-0074</t>
  </si>
  <si>
    <t xml:space="preserve">C-ERG-0075</t>
  </si>
  <si>
    <t xml:space="preserve">C-ERG-0076</t>
  </si>
  <si>
    <t xml:space="preserve">C-ERG-0077</t>
  </si>
  <si>
    <t xml:space="preserve">C-ERG-0078</t>
  </si>
  <si>
    <t xml:space="preserve">C-ERG-0079</t>
  </si>
  <si>
    <t xml:space="preserve">C-ERG-0080</t>
  </si>
  <si>
    <t xml:space="preserve">C-ERG-0081</t>
  </si>
  <si>
    <t xml:space="preserve">C-ERG-0082</t>
  </si>
  <si>
    <t xml:space="preserve">C-ERG-0083</t>
  </si>
  <si>
    <t xml:space="preserve">C-ERG-0084</t>
  </si>
  <si>
    <t xml:space="preserve">C-ERG-0085</t>
  </si>
  <si>
    <t xml:space="preserve">C-ERG-0086</t>
  </si>
  <si>
    <t xml:space="preserve">C-ERG-0087</t>
  </si>
  <si>
    <t xml:space="preserve">C-ERG-0088</t>
  </si>
  <si>
    <t xml:space="preserve">C-ERG-0089</t>
  </si>
  <si>
    <t xml:space="preserve">C-ERG-0090</t>
  </si>
  <si>
    <t xml:space="preserve">C-ERG-0091</t>
  </si>
  <si>
    <t xml:space="preserve">C-ERG-0092</t>
  </si>
  <si>
    <t xml:space="preserve">C-ERG-0093</t>
  </si>
  <si>
    <t xml:space="preserve">C-ERG-0094</t>
  </si>
  <si>
    <t xml:space="preserve">C-ERG-0095</t>
  </si>
  <si>
    <t xml:space="preserve">C-ERG-0096</t>
  </si>
  <si>
    <t xml:space="preserve">C-ERG-0097</t>
  </si>
  <si>
    <t xml:space="preserve">C-ERG-0098</t>
  </si>
  <si>
    <t xml:space="preserve">C-ERG-0099</t>
  </si>
  <si>
    <t xml:space="preserve">C-ERG-0100</t>
  </si>
  <si>
    <t xml:space="preserve">C-ERG-0101</t>
  </si>
  <si>
    <t xml:space="preserve">C-ERG-0102</t>
  </si>
  <si>
    <t xml:space="preserve">C-ERG-0103</t>
  </si>
  <si>
    <t xml:space="preserve">C-ERG-0104</t>
  </si>
  <si>
    <t xml:space="preserve">C-ERG-0105</t>
  </si>
  <si>
    <t xml:space="preserve">C-ERG-0106</t>
  </si>
  <si>
    <t xml:space="preserve">C-ERG-0107</t>
  </si>
  <si>
    <t xml:space="preserve">C-ERG-0108</t>
  </si>
  <si>
    <t xml:space="preserve">C-ERG-0109</t>
  </si>
  <si>
    <t xml:space="preserve">C-ERG-0110</t>
  </si>
  <si>
    <t xml:space="preserve">CM-HCG-0001</t>
  </si>
  <si>
    <t xml:space="preserve">CM-HCG</t>
  </si>
  <si>
    <t xml:space="preserve">Household collection group</t>
  </si>
  <si>
    <t xml:space="preserve">Civil Mobility and Continuity</t>
  </si>
  <si>
    <t xml:space="preserve">CM-HCG-0002</t>
  </si>
  <si>
    <t xml:space="preserve">CM-HCG-0003</t>
  </si>
  <si>
    <t xml:space="preserve">CM-HCG-0004</t>
  </si>
  <si>
    <t xml:space="preserve">CM-HCG-0005</t>
  </si>
  <si>
    <t xml:space="preserve">CM-HCG-0006</t>
  </si>
  <si>
    <t xml:space="preserve">CM-HCG-0007</t>
  </si>
  <si>
    <t xml:space="preserve">CM-HCG-0008</t>
  </si>
  <si>
    <t xml:space="preserve">CM-HCG-0009</t>
  </si>
  <si>
    <t xml:space="preserve">CM-HCG-0010</t>
  </si>
  <si>
    <t xml:space="preserve">CM-HCG-0011</t>
  </si>
  <si>
    <t xml:space="preserve">CM-HCG-0012</t>
  </si>
  <si>
    <t xml:space="preserve">CM-HCG-0013</t>
  </si>
  <si>
    <t xml:space="preserve">CM-HCG-0014</t>
  </si>
  <si>
    <t xml:space="preserve">CM-HCG-0015</t>
  </si>
  <si>
    <t xml:space="preserve">CM-HCG-0016</t>
  </si>
  <si>
    <t xml:space="preserve">CM-HCG-0017</t>
  </si>
  <si>
    <t xml:space="preserve">CM-HCG-0018</t>
  </si>
  <si>
    <t xml:space="preserve">CM-HCG-0019</t>
  </si>
  <si>
    <t xml:space="preserve">CM-HCG-0020</t>
  </si>
  <si>
    <t xml:space="preserve">CM-HCG-0021</t>
  </si>
  <si>
    <t xml:space="preserve">CM-HCG-0022</t>
  </si>
  <si>
    <t xml:space="preserve">CM-HCG-0023</t>
  </si>
  <si>
    <t xml:space="preserve">CM-HCG-0024</t>
  </si>
  <si>
    <t xml:space="preserve">CM-HCG-0025</t>
  </si>
  <si>
    <t xml:space="preserve">CM-HCG-0026</t>
  </si>
  <si>
    <t xml:space="preserve">CM-HCG-0027</t>
  </si>
  <si>
    <t xml:space="preserve">CM-HCG-0028</t>
  </si>
  <si>
    <t xml:space="preserve">CM-HCG-0029</t>
  </si>
  <si>
    <t xml:space="preserve">CM-HCG-0030</t>
  </si>
  <si>
    <t xml:space="preserve">CM-HCG-0031</t>
  </si>
  <si>
    <t xml:space="preserve">CM-HCG-0032</t>
  </si>
  <si>
    <t xml:space="preserve">CM-HCG-0033</t>
  </si>
  <si>
    <t xml:space="preserve">CM-HCG-0034</t>
  </si>
  <si>
    <t xml:space="preserve">CM-HCG-0035</t>
  </si>
  <si>
    <t xml:space="preserve">CM-HCG-0036</t>
  </si>
  <si>
    <t xml:space="preserve">CM-HCG-0037</t>
  </si>
  <si>
    <t xml:space="preserve">CM-HCG-0038</t>
  </si>
  <si>
    <t xml:space="preserve">CM-HCG-0039</t>
  </si>
  <si>
    <t xml:space="preserve">CM-HCG-0040</t>
  </si>
  <si>
    <t xml:space="preserve">CM-HCG-0041</t>
  </si>
  <si>
    <t xml:space="preserve">CM-HCG-0042</t>
  </si>
  <si>
    <t xml:space="preserve">CM-HCG-0043</t>
  </si>
  <si>
    <t xml:space="preserve">CM-HCG-0044</t>
  </si>
  <si>
    <t xml:space="preserve">CM-HCG-0045</t>
  </si>
  <si>
    <t xml:space="preserve">CM-HCG-0046</t>
  </si>
  <si>
    <t xml:space="preserve">CM-HCG-0047</t>
  </si>
  <si>
    <t xml:space="preserve">CM-HCG-0048</t>
  </si>
  <si>
    <t xml:space="preserve">CM-HCG-0049</t>
  </si>
  <si>
    <t xml:space="preserve">CM-HCG-0050</t>
  </si>
  <si>
    <t xml:space="preserve">CM-HCG-0051</t>
  </si>
  <si>
    <t xml:space="preserve">CM-HCG-0052</t>
  </si>
  <si>
    <t xml:space="preserve">CM-HCG-0053</t>
  </si>
  <si>
    <t xml:space="preserve">CM-HCG-0054</t>
  </si>
  <si>
    <t xml:space="preserve">CM-HCG-0055</t>
  </si>
  <si>
    <t xml:space="preserve">CM-HCG-0056</t>
  </si>
  <si>
    <t xml:space="preserve">CM-HCG-0057</t>
  </si>
  <si>
    <t xml:space="preserve">CM-HCG-0058</t>
  </si>
  <si>
    <t xml:space="preserve">CM-HCG-0059</t>
  </si>
  <si>
    <t xml:space="preserve">CM-HCG-0060</t>
  </si>
  <si>
    <t xml:space="preserve">CM-HCG-0061</t>
  </si>
  <si>
    <t xml:space="preserve">CM-HCG-0062</t>
  </si>
  <si>
    <t xml:space="preserve">CM-HCG-0063</t>
  </si>
  <si>
    <t xml:space="preserve">CM-HCG-0064</t>
  </si>
  <si>
    <t xml:space="preserve">CM-HCG-0065</t>
  </si>
  <si>
    <t xml:space="preserve">CM-HCG-0066</t>
  </si>
  <si>
    <t xml:space="preserve">CM-HCG-0067</t>
  </si>
  <si>
    <t xml:space="preserve">CM-HCG-0068</t>
  </si>
  <si>
    <t xml:space="preserve">CM-HCG-0069</t>
  </si>
  <si>
    <t xml:space="preserve">CM-HCG-0070</t>
  </si>
  <si>
    <t xml:space="preserve">CM-HCG-0071</t>
  </si>
  <si>
    <t xml:space="preserve">CM-HCG-0072</t>
  </si>
  <si>
    <t xml:space="preserve">CM-HCG-0073</t>
  </si>
  <si>
    <t xml:space="preserve">CM-HCG-0074</t>
  </si>
  <si>
    <t xml:space="preserve">CM-HCG-0075</t>
  </si>
  <si>
    <t xml:space="preserve">CM-HCG-0076</t>
  </si>
  <si>
    <t xml:space="preserve">CM-HCG-0077</t>
  </si>
  <si>
    <t xml:space="preserve">CM-HCG-0078</t>
  </si>
  <si>
    <t xml:space="preserve">CM-HCG-0079</t>
  </si>
  <si>
    <t xml:space="preserve">CM-HCG-0080</t>
  </si>
  <si>
    <t xml:space="preserve">CM-HCG-0081</t>
  </si>
  <si>
    <t xml:space="preserve">CM-HCG-0082</t>
  </si>
  <si>
    <t xml:space="preserve">CM-HCG-0083</t>
  </si>
  <si>
    <t xml:space="preserve">CM-HCG-0084</t>
  </si>
  <si>
    <t xml:space="preserve">CM-HCG-0085</t>
  </si>
  <si>
    <t xml:space="preserve">CM-HCG-0086</t>
  </si>
  <si>
    <t xml:space="preserve">CM-HCG-0087</t>
  </si>
  <si>
    <t xml:space="preserve">CM-HCG-0088</t>
  </si>
  <si>
    <t xml:space="preserve">CM-HCG-0089</t>
  </si>
  <si>
    <t xml:space="preserve">CM-HCG-0090</t>
  </si>
  <si>
    <t xml:space="preserve">CM-HCG-0091</t>
  </si>
  <si>
    <t xml:space="preserve">CM-HCG-0092</t>
  </si>
  <si>
    <t xml:space="preserve">CM-HCG-0093</t>
  </si>
  <si>
    <t xml:space="preserve">CM-HCG-0094</t>
  </si>
  <si>
    <t xml:space="preserve">CM-HCG-0095</t>
  </si>
  <si>
    <t xml:space="preserve">CM-HCG-0096</t>
  </si>
  <si>
    <t xml:space="preserve">CM-HCG-0097</t>
  </si>
  <si>
    <t xml:space="preserve">CM-HCG-0098</t>
  </si>
  <si>
    <t xml:space="preserve">CM-HCG-0099</t>
  </si>
  <si>
    <t xml:space="preserve">CM-HCG-0100</t>
  </si>
  <si>
    <t xml:space="preserve">CM-HCG-0101</t>
  </si>
  <si>
    <t xml:space="preserve">CM-HCG-0102</t>
  </si>
  <si>
    <t xml:space="preserve">CM-HCG-0103</t>
  </si>
  <si>
    <t xml:space="preserve">CM-HCG-0104</t>
  </si>
  <si>
    <t xml:space="preserve">CM-HCG-0105</t>
  </si>
  <si>
    <t xml:space="preserve">CM-HCG-0106</t>
  </si>
  <si>
    <t xml:space="preserve">CM-HCG-0107</t>
  </si>
  <si>
    <t xml:space="preserve">CM-HCG-0108</t>
  </si>
  <si>
    <t xml:space="preserve">CM-HCG-0109</t>
  </si>
  <si>
    <t xml:space="preserve">CM-HCG-0110</t>
  </si>
  <si>
    <t xml:space="preserve">CM-HCG-0111</t>
  </si>
  <si>
    <t xml:space="preserve">CM-HCG-0112</t>
  </si>
  <si>
    <t xml:space="preserve">CM-HCG-0113</t>
  </si>
  <si>
    <t xml:space="preserve">CM-HCG-0114</t>
  </si>
  <si>
    <t xml:space="preserve">CM-HCG-0115</t>
  </si>
  <si>
    <t xml:space="preserve">CM-HCG-0116</t>
  </si>
  <si>
    <t xml:space="preserve">CM-HCG-0117</t>
  </si>
  <si>
    <t xml:space="preserve">CM-HCG-0118</t>
  </si>
  <si>
    <t xml:space="preserve">CM-HCG-0119</t>
  </si>
  <si>
    <t xml:space="preserve">CM-HCG-0120</t>
  </si>
  <si>
    <t xml:space="preserve">CM-HCG-0121</t>
  </si>
  <si>
    <t xml:space="preserve">CM-HCG-0122</t>
  </si>
  <si>
    <t xml:space="preserve">CM-HCG-0123</t>
  </si>
  <si>
    <t xml:space="preserve">CM-HCG-0124</t>
  </si>
  <si>
    <t xml:space="preserve">CM-HCG-0125</t>
  </si>
  <si>
    <t xml:space="preserve">CM-HCG-0126</t>
  </si>
  <si>
    <t xml:space="preserve">CM-HCG-0127</t>
  </si>
  <si>
    <t xml:space="preserve">CM-HCG-0128</t>
  </si>
  <si>
    <t xml:space="preserve">CM-HCG-0129</t>
  </si>
  <si>
    <t xml:space="preserve">CM-HCG-0130</t>
  </si>
  <si>
    <t xml:space="preserve">CM-HCG-0131</t>
  </si>
  <si>
    <t xml:space="preserve">CM-HCG-0132</t>
  </si>
  <si>
    <t xml:space="preserve">CM-HCG-0133</t>
  </si>
  <si>
    <t xml:space="preserve">CM-HCG-0134</t>
  </si>
  <si>
    <t xml:space="preserve">CM-HCG-0135</t>
  </si>
  <si>
    <t xml:space="preserve">CM-HCG-0136</t>
  </si>
  <si>
    <t xml:space="preserve">CM-HCG-0137</t>
  </si>
  <si>
    <t xml:space="preserve">CM-HCG-0138</t>
  </si>
  <si>
    <t xml:space="preserve">CM-HCG-0139</t>
  </si>
  <si>
    <t xml:space="preserve">CM-HCG-0140</t>
  </si>
  <si>
    <t xml:space="preserve">CM-HCG-0141</t>
  </si>
  <si>
    <t xml:space="preserve">CM-HCG-0142</t>
  </si>
  <si>
    <t xml:space="preserve">CM-HCG-0143</t>
  </si>
  <si>
    <t xml:space="preserve">CM-HCG-0144</t>
  </si>
  <si>
    <t xml:space="preserve">CM-HCG-0145</t>
  </si>
  <si>
    <t xml:space="preserve">CM-HCG-0146</t>
  </si>
  <si>
    <t xml:space="preserve">CM-HCG-0147</t>
  </si>
  <si>
    <t xml:space="preserve">CM-HCG-0148</t>
  </si>
  <si>
    <t xml:space="preserve">CM-HCG-0149</t>
  </si>
  <si>
    <t xml:space="preserve">CM-HCG-0150</t>
  </si>
  <si>
    <t xml:space="preserve">CM-HCG-0151</t>
  </si>
  <si>
    <t xml:space="preserve">CM-HCG-0152</t>
  </si>
  <si>
    <t xml:space="preserve">CM-HCG-0153</t>
  </si>
  <si>
    <t xml:space="preserve">CM-HCG-0154</t>
  </si>
  <si>
    <t xml:space="preserve">CM-HCG-0155</t>
  </si>
  <si>
    <t xml:space="preserve">CM-HCG-0156</t>
  </si>
  <si>
    <t xml:space="preserve">CM-HCG-0157</t>
  </si>
  <si>
    <t xml:space="preserve">CM-HCG-0158</t>
  </si>
  <si>
    <t xml:space="preserve">CM-HCG-0159</t>
  </si>
  <si>
    <t xml:space="preserve">CM-HCG-0160</t>
  </si>
  <si>
    <t xml:space="preserve">CM-CTN-0001</t>
  </si>
  <si>
    <t xml:space="preserve">CM-CTN</t>
  </si>
  <si>
    <t xml:space="preserve">Continuity transfer-node group</t>
  </si>
  <si>
    <t xml:space="preserve">CM-CTN-0002</t>
  </si>
  <si>
    <t xml:space="preserve">CM-CTN-0003</t>
  </si>
  <si>
    <t xml:space="preserve">CM-CTN-0004</t>
  </si>
  <si>
    <t xml:space="preserve">CM-CTN-0005</t>
  </si>
  <si>
    <t xml:space="preserve">CM-CTN-0006</t>
  </si>
  <si>
    <t xml:space="preserve">CM-CTN-0007</t>
  </si>
  <si>
    <t xml:space="preserve">CM-CTN-0008</t>
  </si>
  <si>
    <t xml:space="preserve">CM-CTN-0009</t>
  </si>
  <si>
    <t xml:space="preserve">CM-CTN-0010</t>
  </si>
  <si>
    <t xml:space="preserve">CM-CTN-0011</t>
  </si>
  <si>
    <t xml:space="preserve">CM-CTN-0012</t>
  </si>
  <si>
    <t xml:space="preserve">CM-CTN-0013</t>
  </si>
  <si>
    <t xml:space="preserve">CM-CTN-0014</t>
  </si>
  <si>
    <t xml:space="preserve">CM-CTN-0015</t>
  </si>
  <si>
    <t xml:space="preserve">CM-CTN-0016</t>
  </si>
  <si>
    <t xml:space="preserve">CM-CTN-0017</t>
  </si>
  <si>
    <t xml:space="preserve">CM-CTN-0018</t>
  </si>
  <si>
    <t xml:space="preserve">CM-CTN-0019</t>
  </si>
  <si>
    <t xml:space="preserve">CM-CTN-0020</t>
  </si>
  <si>
    <t xml:space="preserve">CM-CTN-0021</t>
  </si>
  <si>
    <t xml:space="preserve">CM-CTN-0022</t>
  </si>
  <si>
    <t xml:space="preserve">CM-CTN-0023</t>
  </si>
  <si>
    <t xml:space="preserve">CM-CTN-0024</t>
  </si>
  <si>
    <t xml:space="preserve">CM-CTN-0025</t>
  </si>
  <si>
    <t xml:space="preserve">CM-CTN-0026</t>
  </si>
  <si>
    <t xml:space="preserve">CM-CTN-0027</t>
  </si>
  <si>
    <t xml:space="preserve">CM-CTN-0028</t>
  </si>
  <si>
    <t xml:space="preserve">CM-CTN-0029</t>
  </si>
  <si>
    <t xml:space="preserve">CM-CTN-0030</t>
  </si>
  <si>
    <t xml:space="preserve">CM-CTN-0031</t>
  </si>
  <si>
    <t xml:space="preserve">CM-CTN-0032</t>
  </si>
  <si>
    <t xml:space="preserve">CM-CTN-0033</t>
  </si>
  <si>
    <t xml:space="preserve">CM-CTN-0034</t>
  </si>
  <si>
    <t xml:space="preserve">CM-CTN-0035</t>
  </si>
  <si>
    <t xml:space="preserve">CM-CTN-0036</t>
  </si>
  <si>
    <t xml:space="preserve">CM-CTN-0037</t>
  </si>
  <si>
    <t xml:space="preserve">CM-CTN-0038</t>
  </si>
  <si>
    <t xml:space="preserve">CM-CTN-0039</t>
  </si>
  <si>
    <t xml:space="preserve">CM-CTN-0040</t>
  </si>
  <si>
    <t xml:space="preserve">CM-CTN-0041</t>
  </si>
  <si>
    <t xml:space="preserve">CM-CTN-0042</t>
  </si>
  <si>
    <t xml:space="preserve">CM-CTN-0043</t>
  </si>
  <si>
    <t xml:space="preserve">CM-CTN-0044</t>
  </si>
  <si>
    <t xml:space="preserve">CM-CTN-0045</t>
  </si>
  <si>
    <t xml:space="preserve">CM-CTN-0046</t>
  </si>
  <si>
    <t xml:space="preserve">CM-CTN-0047</t>
  </si>
  <si>
    <t xml:space="preserve">CM-CTN-0048</t>
  </si>
  <si>
    <t xml:space="preserve">CM-CTN-0049</t>
  </si>
  <si>
    <t xml:space="preserve">CM-CTN-0050</t>
  </si>
  <si>
    <t xml:space="preserve">CM-CTN-0051</t>
  </si>
  <si>
    <t xml:space="preserve">CM-CTN-0052</t>
  </si>
  <si>
    <t xml:space="preserve">CM-CTN-0053</t>
  </si>
  <si>
    <t xml:space="preserve">CM-CTN-0054</t>
  </si>
  <si>
    <t xml:space="preserve">CM-CTN-0055</t>
  </si>
  <si>
    <t xml:space="preserve">CM-CTN-0056</t>
  </si>
  <si>
    <t xml:space="preserve">CM-CTN-0057</t>
  </si>
  <si>
    <t xml:space="preserve">CM-CTN-0058</t>
  </si>
  <si>
    <t xml:space="preserve">CM-CTN-0059</t>
  </si>
  <si>
    <t xml:space="preserve">CM-CTN-0060</t>
  </si>
  <si>
    <t xml:space="preserve">CM-CTN-0061</t>
  </si>
  <si>
    <t xml:space="preserve">CM-CTN-0062</t>
  </si>
  <si>
    <t xml:space="preserve">CM-CTN-0063</t>
  </si>
  <si>
    <t xml:space="preserve">CM-CTN-0064</t>
  </si>
  <si>
    <t xml:space="preserve">CM-CTN-0065</t>
  </si>
  <si>
    <t xml:space="preserve">CM-CTN-0066</t>
  </si>
  <si>
    <t xml:space="preserve">CM-CTN-0067</t>
  </si>
  <si>
    <t xml:space="preserve">CM-CTN-0068</t>
  </si>
  <si>
    <t xml:space="preserve">CM-CTN-0069</t>
  </si>
  <si>
    <t xml:space="preserve">CM-CTN-0070</t>
  </si>
  <si>
    <t xml:space="preserve">CM-CTN-0071</t>
  </si>
  <si>
    <t xml:space="preserve">CM-CTN-0072</t>
  </si>
  <si>
    <t xml:space="preserve">CM-CTN-0073</t>
  </si>
  <si>
    <t xml:space="preserve">CM-CTN-0074</t>
  </si>
  <si>
    <t xml:space="preserve">CM-CTN-0075</t>
  </si>
  <si>
    <t xml:space="preserve">CM-CTN-0076</t>
  </si>
  <si>
    <t xml:space="preserve">CM-CTN-0077</t>
  </si>
  <si>
    <t xml:space="preserve">CM-CTN-0078</t>
  </si>
  <si>
    <t xml:space="preserve">CM-CTN-0079</t>
  </si>
  <si>
    <t xml:space="preserve">CM-CTN-0080</t>
  </si>
  <si>
    <t xml:space="preserve">CM-CTN-0081</t>
  </si>
  <si>
    <t xml:space="preserve">CM-CTN-0082</t>
  </si>
  <si>
    <t xml:space="preserve">CM-CTN-0083</t>
  </si>
  <si>
    <t xml:space="preserve">CM-CTN-0084</t>
  </si>
  <si>
    <t xml:space="preserve">CM-CTN-0085</t>
  </si>
  <si>
    <t xml:space="preserve">CM-CTN-0086</t>
  </si>
  <si>
    <t xml:space="preserve">CM-CTN-0087</t>
  </si>
  <si>
    <t xml:space="preserve">CM-CTN-0088</t>
  </si>
  <si>
    <t xml:space="preserve">CM-CTN-0089</t>
  </si>
  <si>
    <t xml:space="preserve">CM-CTN-0090</t>
  </si>
  <si>
    <t xml:space="preserve">CM-CTN-0091</t>
  </si>
  <si>
    <t xml:space="preserve">CM-CTN-0092</t>
  </si>
  <si>
    <t xml:space="preserve">CM-CTN-0093</t>
  </si>
  <si>
    <t xml:space="preserve">CM-CTN-0094</t>
  </si>
  <si>
    <t xml:space="preserve">CM-CTN-0095</t>
  </si>
  <si>
    <t xml:space="preserve">CM-CTN-0096</t>
  </si>
  <si>
    <t xml:space="preserve">CM-CTN-0097</t>
  </si>
  <si>
    <t xml:space="preserve">CM-CTN-0098</t>
  </si>
  <si>
    <t xml:space="preserve">CM-CTN-0099</t>
  </si>
  <si>
    <t xml:space="preserve">CM-CTN-0100</t>
  </si>
  <si>
    <t xml:space="preserve">CM-CTN-0101</t>
  </si>
  <si>
    <t xml:space="preserve">CM-CTN-0102</t>
  </si>
  <si>
    <t xml:space="preserve">CM-CTN-0103</t>
  </si>
  <si>
    <t xml:space="preserve">CM-CTN-0104</t>
  </si>
  <si>
    <t xml:space="preserve">CM-CTN-0105</t>
  </si>
  <si>
    <t xml:space="preserve">CM-CTN-0106</t>
  </si>
  <si>
    <t xml:space="preserve">CM-CTN-0107</t>
  </si>
  <si>
    <t xml:space="preserve">CM-CTN-0108</t>
  </si>
  <si>
    <t xml:space="preserve">CM-CTN-0109</t>
  </si>
  <si>
    <t xml:space="preserve">CM-CTN-0110</t>
  </si>
  <si>
    <t xml:space="preserve">CM-CTN-0111</t>
  </si>
  <si>
    <t xml:space="preserve">CM-CTN-0112</t>
  </si>
  <si>
    <t xml:space="preserve">CM-CTN-0113</t>
  </si>
  <si>
    <t xml:space="preserve">CM-CTN-0114</t>
  </si>
  <si>
    <t xml:space="preserve">CM-CTN-0115</t>
  </si>
  <si>
    <t xml:space="preserve">CM-CTN-0116</t>
  </si>
  <si>
    <t xml:space="preserve">CM-CTN-0117</t>
  </si>
  <si>
    <t xml:space="preserve">CM-CTN-0118</t>
  </si>
  <si>
    <t xml:space="preserve">CM-CTN-0119</t>
  </si>
  <si>
    <t xml:space="preserve">CM-CTN-0120</t>
  </si>
  <si>
    <t xml:space="preserve">CM-CTN-0121</t>
  </si>
  <si>
    <t xml:space="preserve">CM-CTN-0122</t>
  </si>
  <si>
    <t xml:space="preserve">CM-CTN-0123</t>
  </si>
  <si>
    <t xml:space="preserve">CM-CTN-0124</t>
  </si>
  <si>
    <t xml:space="preserve">CM-CTN-0125</t>
  </si>
  <si>
    <t xml:space="preserve">CM-RMG-0001</t>
  </si>
  <si>
    <t xml:space="preserve">CM-RMG</t>
  </si>
  <si>
    <t xml:space="preserve">Civil road-mobility group</t>
  </si>
  <si>
    <t xml:space="preserve">CM-RMG-0002</t>
  </si>
  <si>
    <t xml:space="preserve">CM-RMG-0003</t>
  </si>
  <si>
    <t xml:space="preserve">CM-RMG-0004</t>
  </si>
  <si>
    <t xml:space="preserve">CM-RMG-0005</t>
  </si>
  <si>
    <t xml:space="preserve">CM-RMG-0006</t>
  </si>
  <si>
    <t xml:space="preserve">CM-RMG-0007</t>
  </si>
  <si>
    <t xml:space="preserve">CM-RMG-0008</t>
  </si>
  <si>
    <t xml:space="preserve">CM-RMG-0009</t>
  </si>
  <si>
    <t xml:space="preserve">CM-RMG-0010</t>
  </si>
  <si>
    <t xml:space="preserve">CM-RMG-0011</t>
  </si>
  <si>
    <t xml:space="preserve">CM-RMG-0012</t>
  </si>
  <si>
    <t xml:space="preserve">CM-RMG-0013</t>
  </si>
  <si>
    <t xml:space="preserve">CM-RMG-0014</t>
  </si>
  <si>
    <t xml:space="preserve">CM-RMG-0015</t>
  </si>
  <si>
    <t xml:space="preserve">CM-RMG-0016</t>
  </si>
  <si>
    <t xml:space="preserve">CM-RMG-0017</t>
  </si>
  <si>
    <t xml:space="preserve">CM-RMG-0018</t>
  </si>
  <si>
    <t xml:space="preserve">CM-RMG-0019</t>
  </si>
  <si>
    <t xml:space="preserve">CM-RMG-0020</t>
  </si>
  <si>
    <t xml:space="preserve">CM-RMG-0021</t>
  </si>
  <si>
    <t xml:space="preserve">CM-RMG-0022</t>
  </si>
  <si>
    <t xml:space="preserve">CM-RMG-0023</t>
  </si>
  <si>
    <t xml:space="preserve">CM-RMG-0024</t>
  </si>
  <si>
    <t xml:space="preserve">CM-RMG-0025</t>
  </si>
  <si>
    <t xml:space="preserve">CM-RMG-0026</t>
  </si>
  <si>
    <t xml:space="preserve">CM-RMG-0027</t>
  </si>
  <si>
    <t xml:space="preserve">CM-RMG-0028</t>
  </si>
  <si>
    <t xml:space="preserve">CM-RMG-0029</t>
  </si>
  <si>
    <t xml:space="preserve">CM-RMG-0030</t>
  </si>
  <si>
    <t xml:space="preserve">CM-RMG-0031</t>
  </si>
  <si>
    <t xml:space="preserve">CM-RMG-0032</t>
  </si>
  <si>
    <t xml:space="preserve">CM-RMG-0033</t>
  </si>
  <si>
    <t xml:space="preserve">CM-RMG-0034</t>
  </si>
  <si>
    <t xml:space="preserve">CM-RMG-0035</t>
  </si>
  <si>
    <t xml:space="preserve">CM-RMG-0036</t>
  </si>
  <si>
    <t xml:space="preserve">CM-RMG-0037</t>
  </si>
  <si>
    <t xml:space="preserve">CM-RMG-0038</t>
  </si>
  <si>
    <t xml:space="preserve">CM-RMG-0039</t>
  </si>
  <si>
    <t xml:space="preserve">CM-RMG-0040</t>
  </si>
  <si>
    <t xml:space="preserve">CM-RMG-0041</t>
  </si>
  <si>
    <t xml:space="preserve">CM-RMG-0042</t>
  </si>
  <si>
    <t xml:space="preserve">CM-RMG-0043</t>
  </si>
  <si>
    <t xml:space="preserve">CM-RMG-0044</t>
  </si>
  <si>
    <t xml:space="preserve">CM-RMG-0045</t>
  </si>
  <si>
    <t xml:space="preserve">CM-RMG-0046</t>
  </si>
  <si>
    <t xml:space="preserve">CM-RMG-0047</t>
  </si>
  <si>
    <t xml:space="preserve">CM-RMG-0048</t>
  </si>
  <si>
    <t xml:space="preserve">CM-RMG-0049</t>
  </si>
  <si>
    <t xml:space="preserve">CM-RMG-0050</t>
  </si>
  <si>
    <t xml:space="preserve">CM-RMG-0051</t>
  </si>
  <si>
    <t xml:space="preserve">CM-RMG-0052</t>
  </si>
  <si>
    <t xml:space="preserve">CM-RMG-0053</t>
  </si>
  <si>
    <t xml:space="preserve">CM-RMG-0054</t>
  </si>
  <si>
    <t xml:space="preserve">CM-RMG-0055</t>
  </si>
  <si>
    <t xml:space="preserve">CM-RMG-0056</t>
  </si>
  <si>
    <t xml:space="preserve">CM-RMG-0057</t>
  </si>
  <si>
    <t xml:space="preserve">CM-RMG-0058</t>
  </si>
  <si>
    <t xml:space="preserve">CM-RMG-0059</t>
  </si>
  <si>
    <t xml:space="preserve">CM-RMG-0060</t>
  </si>
  <si>
    <t xml:space="preserve">CM-RMG-0061</t>
  </si>
  <si>
    <t xml:space="preserve">CM-RMG-0062</t>
  </si>
  <si>
    <t xml:space="preserve">CM-RMG-0063</t>
  </si>
  <si>
    <t xml:space="preserve">CM-RMG-0064</t>
  </si>
  <si>
    <t xml:space="preserve">CM-RMG-0065</t>
  </si>
  <si>
    <t xml:space="preserve">CM-RMG-0066</t>
  </si>
  <si>
    <t xml:space="preserve">CM-RMG-0067</t>
  </si>
  <si>
    <t xml:space="preserve">CM-RMG-0068</t>
  </si>
  <si>
    <t xml:space="preserve">CM-RMG-0069</t>
  </si>
  <si>
    <t xml:space="preserve">CM-RMG-0070</t>
  </si>
  <si>
    <t xml:space="preserve">CM-RMG-0071</t>
  </si>
  <si>
    <t xml:space="preserve">CM-RMG-0072</t>
  </si>
  <si>
    <t xml:space="preserve">CM-RMG-0073</t>
  </si>
  <si>
    <t xml:space="preserve">CM-RMG-0074</t>
  </si>
  <si>
    <t xml:space="preserve">CM-RMG-0075</t>
  </si>
  <si>
    <t xml:space="preserve">CM-RMG-0076</t>
  </si>
  <si>
    <t xml:space="preserve">CM-RMG-0077</t>
  </si>
  <si>
    <t xml:space="preserve">CM-RMG-0078</t>
  </si>
  <si>
    <t xml:space="preserve">CM-RMG-0079</t>
  </si>
  <si>
    <t xml:space="preserve">CM-RMG-0080</t>
  </si>
  <si>
    <t xml:space="preserve">CM-RMG-0081</t>
  </si>
  <si>
    <t xml:space="preserve">CM-RMG-0082</t>
  </si>
  <si>
    <t xml:space="preserve">CM-RMG-0083</t>
  </si>
  <si>
    <t xml:space="preserve">CM-RMG-0084</t>
  </si>
  <si>
    <t xml:space="preserve">CM-RMG-0085</t>
  </si>
  <si>
    <t xml:space="preserve">CM-RMG-0086</t>
  </si>
  <si>
    <t xml:space="preserve">CM-RMG-0087</t>
  </si>
  <si>
    <t xml:space="preserve">CM-RMG-0088</t>
  </si>
  <si>
    <t xml:space="preserve">CM-RMG-0089</t>
  </si>
  <si>
    <t xml:space="preserve">CM-RMG-0090</t>
  </si>
  <si>
    <t xml:space="preserve">CM-RMG-0091</t>
  </si>
  <si>
    <t xml:space="preserve">CM-RMG-0092</t>
  </si>
  <si>
    <t xml:space="preserve">CM-RMG-0093</t>
  </si>
  <si>
    <t xml:space="preserve">CM-RMG-0094</t>
  </si>
  <si>
    <t xml:space="preserve">CM-RMG-0095</t>
  </si>
  <si>
    <t xml:space="preserve">CM-RMG-0096</t>
  </si>
  <si>
    <t xml:space="preserve">CM-RMG-0097</t>
  </si>
  <si>
    <t xml:space="preserve">CM-RMG-0098</t>
  </si>
  <si>
    <t xml:space="preserve">CM-RMG-0099</t>
  </si>
  <si>
    <t xml:space="preserve">CM-RMG-0100</t>
  </si>
  <si>
    <t xml:space="preserve">CM-RMG-0101</t>
  </si>
  <si>
    <t xml:space="preserve">CM-RMG-0102</t>
  </si>
  <si>
    <t xml:space="preserve">CM-RMG-0103</t>
  </si>
  <si>
    <t xml:space="preserve">CM-RMG-0104</t>
  </si>
  <si>
    <t xml:space="preserve">CM-RMG-0105</t>
  </si>
  <si>
    <t xml:space="preserve">CM-RMG-0106</t>
  </si>
  <si>
    <t xml:space="preserve">CM-RMG-0107</t>
  </si>
  <si>
    <t xml:space="preserve">CM-RMG-0108</t>
  </si>
  <si>
    <t xml:space="preserve">CM-RMG-0109</t>
  </si>
  <si>
    <t xml:space="preserve">CM-RMG-0110</t>
  </si>
  <si>
    <t xml:space="preserve">CM-RMG-0111</t>
  </si>
  <si>
    <t xml:space="preserve">CM-RMG-0112</t>
  </si>
  <si>
    <t xml:space="preserve">CM-RMG-0113</t>
  </si>
  <si>
    <t xml:space="preserve">CM-RMG-0114</t>
  </si>
  <si>
    <t xml:space="preserve">CM-RMG-0115</t>
  </si>
  <si>
    <t xml:space="preserve">CM-RMG-0116</t>
  </si>
  <si>
    <t xml:space="preserve">CM-RMG-0117</t>
  </si>
  <si>
    <t xml:space="preserve">CM-RMG-0118</t>
  </si>
  <si>
    <t xml:space="preserve">CM-RMG-0119</t>
  </si>
  <si>
    <t xml:space="preserve">CM-RMG-0120</t>
  </si>
  <si>
    <t xml:space="preserve">CM-RMG-0121</t>
  </si>
  <si>
    <t xml:space="preserve">CM-RMG-0122</t>
  </si>
  <si>
    <t xml:space="preserve">CM-RMG-0123</t>
  </si>
  <si>
    <t xml:space="preserve">CM-RMG-0124</t>
  </si>
  <si>
    <t xml:space="preserve">CM-RMG-0125</t>
  </si>
  <si>
    <t xml:space="preserve">CM-RMG-0126</t>
  </si>
  <si>
    <t xml:space="preserve">CM-RMG-0127</t>
  </si>
  <si>
    <t xml:space="preserve">CM-RMG-0128</t>
  </si>
  <si>
    <t xml:space="preserve">CM-RMG-0129</t>
  </si>
  <si>
    <t xml:space="preserve">CM-RMG-0130</t>
  </si>
  <si>
    <t xml:space="preserve">CM-RMG-0131</t>
  </si>
  <si>
    <t xml:space="preserve">CM-RMG-0132</t>
  </si>
  <si>
    <t xml:space="preserve">CM-RMG-0133</t>
  </si>
  <si>
    <t xml:space="preserve">CM-RMG-0134</t>
  </si>
  <si>
    <t xml:space="preserve">CM-RMG-0135</t>
  </si>
  <si>
    <t xml:space="preserve">CM-RMG-0136</t>
  </si>
  <si>
    <t xml:space="preserve">CM-RMG-0137</t>
  </si>
  <si>
    <t xml:space="preserve">CM-RMG-0138</t>
  </si>
  <si>
    <t xml:space="preserve">CM-RMG-0139</t>
  </si>
  <si>
    <t xml:space="preserve">CM-RMG-0140</t>
  </si>
  <si>
    <t xml:space="preserve">CM-RMG-0141</t>
  </si>
  <si>
    <t xml:space="preserve">CM-RMG-0142</t>
  </si>
  <si>
    <t xml:space="preserve">CM-RMG-0143</t>
  </si>
  <si>
    <t xml:space="preserve">CM-RMG-0144</t>
  </si>
  <si>
    <t xml:space="preserve">CM-RMG-0145</t>
  </si>
  <si>
    <t xml:space="preserve">CM-RMG-0146</t>
  </si>
  <si>
    <t xml:space="preserve">CM-RMG-0147</t>
  </si>
  <si>
    <t xml:space="preserve">CM-RMG-0148</t>
  </si>
  <si>
    <t xml:space="preserve">CM-RMG-0149</t>
  </si>
  <si>
    <t xml:space="preserve">CM-RMG-0150</t>
  </si>
  <si>
    <t xml:space="preserve">CM-RMG-0151</t>
  </si>
  <si>
    <t xml:space="preserve">CM-RMG-0152</t>
  </si>
  <si>
    <t xml:space="preserve">CM-RMG-0153</t>
  </si>
  <si>
    <t xml:space="preserve">CM-RMG-0154</t>
  </si>
  <si>
    <t xml:space="preserve">CM-RMG-0155</t>
  </si>
  <si>
    <t xml:space="preserve">CM-RMG-0156</t>
  </si>
  <si>
    <t xml:space="preserve">CM-RMG-0157</t>
  </si>
  <si>
    <t xml:space="preserve">CM-RMG-0158</t>
  </si>
  <si>
    <t xml:space="preserve">CM-RMG-0159</t>
  </si>
  <si>
    <t xml:space="preserve">CM-RMG-0160</t>
  </si>
  <si>
    <t xml:space="preserve">CM-RMG-0161</t>
  </si>
  <si>
    <t xml:space="preserve">CM-RMG-0162</t>
  </si>
  <si>
    <t xml:space="preserve">CM-RMG-0163</t>
  </si>
  <si>
    <t xml:space="preserve">CM-RMG-0164</t>
  </si>
  <si>
    <t xml:space="preserve">CM-RMG-0165</t>
  </si>
  <si>
    <t xml:space="preserve">CM-RMG-0166</t>
  </si>
  <si>
    <t xml:space="preserve">CM-RMG-0167</t>
  </si>
  <si>
    <t xml:space="preserve">CM-RMG-0168</t>
  </si>
  <si>
    <t xml:space="preserve">CM-RMG-0169</t>
  </si>
  <si>
    <t xml:space="preserve">CM-RMG-0170</t>
  </si>
  <si>
    <t xml:space="preserve">CM-RMG-0171</t>
  </si>
  <si>
    <t xml:space="preserve">CM-RMG-0172</t>
  </si>
  <si>
    <t xml:space="preserve">CM-RMG-0173</t>
  </si>
  <si>
    <t xml:space="preserve">CM-RMG-0174</t>
  </si>
  <si>
    <t xml:space="preserve">CM-RMG-0175</t>
  </si>
  <si>
    <t xml:space="preserve">CM-RMG-0176</t>
  </si>
  <si>
    <t xml:space="preserve">CM-RMG-0177</t>
  </si>
  <si>
    <t xml:space="preserve">CM-RMG-0178</t>
  </si>
  <si>
    <t xml:space="preserve">CM-RMG-0179</t>
  </si>
  <si>
    <t xml:space="preserve">CM-RMG-0180</t>
  </si>
  <si>
    <t xml:space="preserve">CM-RMG-0181</t>
  </si>
  <si>
    <t xml:space="preserve">CM-RMG-0182</t>
  </si>
  <si>
    <t xml:space="preserve">CM-RMG-0183</t>
  </si>
  <si>
    <t xml:space="preserve">CM-RMG-0184</t>
  </si>
  <si>
    <t xml:space="preserve">CM-RMG-0185</t>
  </si>
  <si>
    <t xml:space="preserve">CM-RMG-0186</t>
  </si>
  <si>
    <t xml:space="preserve">CM-RMG-0187</t>
  </si>
  <si>
    <t xml:space="preserve">CM-RMG-0188</t>
  </si>
  <si>
    <t xml:space="preserve">CM-RMG-0189</t>
  </si>
  <si>
    <t xml:space="preserve">CM-RMG-0190</t>
  </si>
  <si>
    <t xml:space="preserve">CM-RMG-0191</t>
  </si>
  <si>
    <t xml:space="preserve">CM-RMG-0192</t>
  </si>
  <si>
    <t xml:space="preserve">CM-RMG-0193</t>
  </si>
  <si>
    <t xml:space="preserve">CM-RMG-0194</t>
  </si>
  <si>
    <t xml:space="preserve">CM-RMG-0195</t>
  </si>
  <si>
    <t xml:space="preserve">CM-RMG-0196</t>
  </si>
  <si>
    <t xml:space="preserve">CM-RMG-0197</t>
  </si>
  <si>
    <t xml:space="preserve">CM-RMG-0198</t>
  </si>
  <si>
    <t xml:space="preserve">CM-RMG-0199</t>
  </si>
  <si>
    <t xml:space="preserve">CM-RLG-0001</t>
  </si>
  <si>
    <t xml:space="preserve">CM-RLG</t>
  </si>
  <si>
    <t xml:space="preserve">Civil rail-mobility group</t>
  </si>
  <si>
    <t xml:space="preserve">CM-RLG-0002</t>
  </si>
  <si>
    <t xml:space="preserve">CM-RLG-0003</t>
  </si>
  <si>
    <t xml:space="preserve">CM-RLG-0004</t>
  </si>
  <si>
    <t xml:space="preserve">CM-RLG-0005</t>
  </si>
  <si>
    <t xml:space="preserve">CM-RLG-0006</t>
  </si>
  <si>
    <t xml:space="preserve">CM-RLG-0007</t>
  </si>
  <si>
    <t xml:space="preserve">CM-RLG-0008</t>
  </si>
  <si>
    <t xml:space="preserve">CM-RLG-0009</t>
  </si>
  <si>
    <t xml:space="preserve">CM-RLG-0010</t>
  </si>
  <si>
    <t xml:space="preserve">CM-RLG-0011</t>
  </si>
  <si>
    <t xml:space="preserve">CM-RLG-0012</t>
  </si>
  <si>
    <t xml:space="preserve">CM-RLG-0013</t>
  </si>
  <si>
    <t xml:space="preserve">CM-RLG-0014</t>
  </si>
  <si>
    <t xml:space="preserve">CM-RLG-0015</t>
  </si>
  <si>
    <t xml:space="preserve">CM-RLG-0016</t>
  </si>
  <si>
    <t xml:space="preserve">CM-RLG-0017</t>
  </si>
  <si>
    <t xml:space="preserve">CM-RLG-0018</t>
  </si>
  <si>
    <t xml:space="preserve">CM-RLG-0019</t>
  </si>
  <si>
    <t xml:space="preserve">CM-RLG-0020</t>
  </si>
  <si>
    <t xml:space="preserve">CM-RLG-0021</t>
  </si>
  <si>
    <t xml:space="preserve">CM-RLG-0022</t>
  </si>
  <si>
    <t xml:space="preserve">CM-RLG-0023</t>
  </si>
  <si>
    <t xml:space="preserve">CM-RLG-0024</t>
  </si>
  <si>
    <t xml:space="preserve">CM-RLG-0025</t>
  </si>
  <si>
    <t xml:space="preserve">CM-RLG-0026</t>
  </si>
  <si>
    <t xml:space="preserve">CM-RLG-0027</t>
  </si>
  <si>
    <t xml:space="preserve">CM-RLG-0028</t>
  </si>
  <si>
    <t xml:space="preserve">CM-RLG-0029</t>
  </si>
  <si>
    <t xml:space="preserve">CM-RLG-0030</t>
  </si>
  <si>
    <t xml:space="preserve">CM-RLG-0031</t>
  </si>
  <si>
    <t xml:space="preserve">CM-RLG-0032</t>
  </si>
  <si>
    <t xml:space="preserve">CM-RLG-0033</t>
  </si>
  <si>
    <t xml:space="preserve">CM-RLG-0034</t>
  </si>
  <si>
    <t xml:space="preserve">CM-RLG-0035</t>
  </si>
  <si>
    <t xml:space="preserve">CM-RLG-0036</t>
  </si>
  <si>
    <t xml:space="preserve">CM-RLG-0037</t>
  </si>
  <si>
    <t xml:space="preserve">CM-RLG-0038</t>
  </si>
  <si>
    <t xml:space="preserve">CM-RLG-0039</t>
  </si>
  <si>
    <t xml:space="preserve">CM-RLG-0040</t>
  </si>
  <si>
    <t xml:space="preserve">CM-RLG-0041</t>
  </si>
  <si>
    <t xml:space="preserve">CM-RLG-0042</t>
  </si>
  <si>
    <t xml:space="preserve">CM-RLG-0043</t>
  </si>
  <si>
    <t xml:space="preserve">CM-RLG-0044</t>
  </si>
  <si>
    <t xml:space="preserve">CM-RLG-0045</t>
  </si>
  <si>
    <t xml:space="preserve">CM-RLG-0046</t>
  </si>
  <si>
    <t xml:space="preserve">CM-RLG-0047</t>
  </si>
  <si>
    <t xml:space="preserve">CM-RLG-0048</t>
  </si>
  <si>
    <t xml:space="preserve">CM-RLG-0049</t>
  </si>
  <si>
    <t xml:space="preserve">CM-RLG-0050</t>
  </si>
  <si>
    <t xml:space="preserve">CM-RLG-0051</t>
  </si>
  <si>
    <t xml:space="preserve">CM-RLG-0052</t>
  </si>
  <si>
    <t xml:space="preserve">CM-RLG-0053</t>
  </si>
  <si>
    <t xml:space="preserve">CM-RLG-0054</t>
  </si>
  <si>
    <t xml:space="preserve">CM-RLG-0055</t>
  </si>
  <si>
    <t xml:space="preserve">CM-RLG-0056</t>
  </si>
  <si>
    <t xml:space="preserve">CM-RLG-0057</t>
  </si>
  <si>
    <t xml:space="preserve">CM-RLG-0058</t>
  </si>
  <si>
    <t xml:space="preserve">CM-RLG-0059</t>
  </si>
  <si>
    <t xml:space="preserve">CM-RLG-0060</t>
  </si>
  <si>
    <t xml:space="preserve">CM-RLG-0061</t>
  </si>
  <si>
    <t xml:space="preserve">CM-RLG-0062</t>
  </si>
  <si>
    <t xml:space="preserve">CM-RLG-0063</t>
  </si>
  <si>
    <t xml:space="preserve">CM-RLG-0064</t>
  </si>
  <si>
    <t xml:space="preserve">CM-RLG-0065</t>
  </si>
  <si>
    <t xml:space="preserve">CM-RLG-0066</t>
  </si>
  <si>
    <t xml:space="preserve">CM-RLG-0067</t>
  </si>
  <si>
    <t xml:space="preserve">CM-RLG-0068</t>
  </si>
  <si>
    <t xml:space="preserve">CM-RLG-0069</t>
  </si>
  <si>
    <t xml:space="preserve">CM-RLG-0070</t>
  </si>
  <si>
    <t xml:space="preserve">CM-RLG-0071</t>
  </si>
  <si>
    <t xml:space="preserve">CM-RLG-0072</t>
  </si>
  <si>
    <t xml:space="preserve">CM-RLG-0073</t>
  </si>
  <si>
    <t xml:space="preserve">CM-RLG-0074</t>
  </si>
  <si>
    <t xml:space="preserve">CM-AMG-0001</t>
  </si>
  <si>
    <t xml:space="preserve">CM-AMG</t>
  </si>
  <si>
    <t xml:space="preserve">Civil air-mobility group</t>
  </si>
  <si>
    <t xml:space="preserve">CM-AMG-0002</t>
  </si>
  <si>
    <t xml:space="preserve">CM-AMG-0003</t>
  </si>
  <si>
    <t xml:space="preserve">CM-AMG-0004</t>
  </si>
  <si>
    <t xml:space="preserve">CM-AMG-0005</t>
  </si>
  <si>
    <t xml:space="preserve">CM-AMG-0006</t>
  </si>
  <si>
    <t xml:space="preserve">CM-AMG-0007</t>
  </si>
  <si>
    <t xml:space="preserve">CM-AMG-0008</t>
  </si>
  <si>
    <t xml:space="preserve">CM-AMG-0009</t>
  </si>
  <si>
    <t xml:space="preserve">CM-AMG-0010</t>
  </si>
  <si>
    <t xml:space="preserve">CM-AMG-0011</t>
  </si>
  <si>
    <t xml:space="preserve">CM-AMG-0012</t>
  </si>
  <si>
    <t xml:space="preserve">CM-AMG-0013</t>
  </si>
  <si>
    <t xml:space="preserve">CM-AMG-0014</t>
  </si>
  <si>
    <t xml:space="preserve">CM-AMG-0015</t>
  </si>
  <si>
    <t xml:space="preserve">CM-AMG-0016</t>
  </si>
  <si>
    <t xml:space="preserve">CM-AMG-0017</t>
  </si>
  <si>
    <t xml:space="preserve">CM-AMG-0018</t>
  </si>
  <si>
    <t xml:space="preserve">CM-AMG-0019</t>
  </si>
  <si>
    <t xml:space="preserve">CM-AMG-0020</t>
  </si>
  <si>
    <t xml:space="preserve">CM-AMG-0021</t>
  </si>
  <si>
    <t xml:space="preserve">CM-AMG-0022</t>
  </si>
  <si>
    <t xml:space="preserve">CM-AMG-0023</t>
  </si>
  <si>
    <t xml:space="preserve">CM-AMG-0024</t>
  </si>
  <si>
    <t xml:space="preserve">CM-AMG-0025</t>
  </si>
  <si>
    <t xml:space="preserve">CM-AMG-0026</t>
  </si>
  <si>
    <t xml:space="preserve">CM-AMG-0027</t>
  </si>
  <si>
    <t xml:space="preserve">CM-AMG-0028</t>
  </si>
  <si>
    <t xml:space="preserve">CM-AMG-0029</t>
  </si>
  <si>
    <t xml:space="preserve">CM-AMG-0030</t>
  </si>
  <si>
    <t xml:space="preserve">CM-AMG-0031</t>
  </si>
  <si>
    <t xml:space="preserve">CM-AMG-0032</t>
  </si>
  <si>
    <t xml:space="preserve">CM-AMG-0033</t>
  </si>
  <si>
    <t xml:space="preserve">CM-AMG-0034</t>
  </si>
  <si>
    <t xml:space="preserve">CM-AMG-0035</t>
  </si>
  <si>
    <t xml:space="preserve">CM-AMG-0036</t>
  </si>
  <si>
    <t xml:space="preserve">CM-AMG-0037</t>
  </si>
  <si>
    <t xml:space="preserve">CM-AMG-0038</t>
  </si>
  <si>
    <t xml:space="preserve">CM-AMG-0039</t>
  </si>
  <si>
    <t xml:space="preserve">CM-AMG-0040</t>
  </si>
  <si>
    <t xml:space="preserve">CM-AMG-0041</t>
  </si>
  <si>
    <t xml:space="preserve">CM-AMG-0042</t>
  </si>
  <si>
    <t xml:space="preserve">CM-AMG-0043</t>
  </si>
  <si>
    <t xml:space="preserve">CM-AMG-0044</t>
  </si>
  <si>
    <t xml:space="preserve">CM-AMG-0045</t>
  </si>
  <si>
    <t xml:space="preserve">CM-AMG-0046</t>
  </si>
  <si>
    <t xml:space="preserve">CM-AMG-0047</t>
  </si>
  <si>
    <t xml:space="preserve">CM-AMG-0048</t>
  </si>
  <si>
    <t xml:space="preserve">CM-AMG-0049</t>
  </si>
  <si>
    <t xml:space="preserve">CM-AMG-0050</t>
  </si>
  <si>
    <t xml:space="preserve">CM-AMG-0051</t>
  </si>
  <si>
    <t xml:space="preserve">CM-AMG-0052</t>
  </si>
  <si>
    <t xml:space="preserve">CM-AMG-0053</t>
  </si>
  <si>
    <t xml:space="preserve">CM-AMG-0054</t>
  </si>
  <si>
    <t xml:space="preserve">CM-AMG-0055</t>
  </si>
  <si>
    <t xml:space="preserve">CM-AMG-0056</t>
  </si>
  <si>
    <t xml:space="preserve">CM-AMG-0057</t>
  </si>
  <si>
    <t xml:space="preserve">CM-AMG-0058</t>
  </si>
  <si>
    <t xml:space="preserve">CM-AMG-0059</t>
  </si>
  <si>
    <t xml:space="preserve">CM-AMG-0060</t>
  </si>
  <si>
    <t xml:space="preserve">CM-AMG-0061</t>
  </si>
  <si>
    <t xml:space="preserve">CM-AMG-0062</t>
  </si>
  <si>
    <t xml:space="preserve">CM-AMG-0063</t>
  </si>
  <si>
    <t xml:space="preserve">CM-AMG-0064</t>
  </si>
  <si>
    <t xml:space="preserve">CM-AMG-0065</t>
  </si>
  <si>
    <t xml:space="preserve">CM-AMG-0066</t>
  </si>
  <si>
    <t xml:space="preserve">CM-AMG-0067</t>
  </si>
  <si>
    <t xml:space="preserve">CM-AMG-0068</t>
  </si>
  <si>
    <t xml:space="preserve">CM-AMG-0069</t>
  </si>
  <si>
    <t xml:space="preserve">CM-AMG-0070</t>
  </si>
  <si>
    <t xml:space="preserve">CM-AMG-0071</t>
  </si>
  <si>
    <t xml:space="preserve">CM-AMG-0072</t>
  </si>
  <si>
    <t xml:space="preserve">CM-WMG-0001</t>
  </si>
  <si>
    <t xml:space="preserve">CM-WMG</t>
  </si>
  <si>
    <t xml:space="preserve">Civil water-mobility group</t>
  </si>
  <si>
    <t xml:space="preserve">CM-WMG-0002</t>
  </si>
  <si>
    <t xml:space="preserve">CM-WMG-0003</t>
  </si>
  <si>
    <t xml:space="preserve">CM-WMG-0004</t>
  </si>
  <si>
    <t xml:space="preserve">CM-WMG-0005</t>
  </si>
  <si>
    <t xml:space="preserve">CM-WMG-0006</t>
  </si>
  <si>
    <t xml:space="preserve">CM-WMG-0007</t>
  </si>
  <si>
    <t xml:space="preserve">CM-WMG-0008</t>
  </si>
  <si>
    <t xml:space="preserve">CM-WMG-0009</t>
  </si>
  <si>
    <t xml:space="preserve">CM-WMG-0010</t>
  </si>
  <si>
    <t xml:space="preserve">CM-WMG-0011</t>
  </si>
  <si>
    <t xml:space="preserve">CM-WMG-0012</t>
  </si>
  <si>
    <t xml:space="preserve">CM-WMG-0013</t>
  </si>
  <si>
    <t xml:space="preserve">CM-WMG-0014</t>
  </si>
  <si>
    <t xml:space="preserve">CM-WMG-0015</t>
  </si>
  <si>
    <t xml:space="preserve">CM-WMG-0016</t>
  </si>
  <si>
    <t xml:space="preserve">CM-WMG-0017</t>
  </si>
  <si>
    <t xml:space="preserve">CM-WMG-0018</t>
  </si>
  <si>
    <t xml:space="preserve">CM-WMG-0019</t>
  </si>
  <si>
    <t xml:space="preserve">CM-WMG-0020</t>
  </si>
  <si>
    <t xml:space="preserve">CM-WMG-0021</t>
  </si>
  <si>
    <t xml:space="preserve">CM-WMG-0022</t>
  </si>
  <si>
    <t xml:space="preserve">CM-WMG-0023</t>
  </si>
  <si>
    <t xml:space="preserve">CM-WMG-0024</t>
  </si>
  <si>
    <t xml:space="preserve">CM-WMG-0025</t>
  </si>
  <si>
    <t xml:space="preserve">CM-WMG-0026</t>
  </si>
  <si>
    <t xml:space="preserve">CM-WMG-0027</t>
  </si>
  <si>
    <t xml:space="preserve">CM-WMG-0028</t>
  </si>
  <si>
    <t xml:space="preserve">CM-WMG-0029</t>
  </si>
  <si>
    <t xml:space="preserve">CM-WMG-0030</t>
  </si>
  <si>
    <t xml:space="preserve">CM-WMG-0031</t>
  </si>
  <si>
    <t xml:space="preserve">CM-WMG-0032</t>
  </si>
  <si>
    <t xml:space="preserve">CM-WMG-0033</t>
  </si>
  <si>
    <t xml:space="preserve">CM-WMG-0034</t>
  </si>
  <si>
    <t xml:space="preserve">CM-WMG-0035</t>
  </si>
  <si>
    <t xml:space="preserve">CM-WMG-0036</t>
  </si>
  <si>
    <t xml:space="preserve">CM-WMG-0037</t>
  </si>
  <si>
    <t xml:space="preserve">CM-WMG-0038</t>
  </si>
  <si>
    <t xml:space="preserve">CM-WMG-0039</t>
  </si>
  <si>
    <t xml:space="preserve">CM-WMG-0040</t>
  </si>
  <si>
    <t xml:space="preserve">CM-WMG-0041</t>
  </si>
  <si>
    <t xml:space="preserve">CM-WMG-0042</t>
  </si>
  <si>
    <t xml:space="preserve">CM-WMG-0043</t>
  </si>
  <si>
    <t xml:space="preserve">CM-WMG-0044</t>
  </si>
  <si>
    <t xml:space="preserve">CM-WMG-0045</t>
  </si>
  <si>
    <t xml:space="preserve">CM-WMG-0046</t>
  </si>
  <si>
    <t xml:space="preserve">CM-WMG-0047</t>
  </si>
  <si>
    <t xml:space="preserve">CM-WMG-0048</t>
  </si>
  <si>
    <t xml:space="preserve">CM-WMG-0049</t>
  </si>
  <si>
    <t xml:space="preserve">CM-WMG-0050</t>
  </si>
  <si>
    <t xml:space="preserve">CM-WMG-0051</t>
  </si>
  <si>
    <t xml:space="preserve">CM-WMG-0052</t>
  </si>
  <si>
    <t xml:space="preserve">CM-WMG-0053</t>
  </si>
  <si>
    <t xml:space="preserve">CM-WMG-0054</t>
  </si>
  <si>
    <t xml:space="preserve">CM-WMG-0055</t>
  </si>
  <si>
    <t xml:space="preserve">CM-WMG-0056</t>
  </si>
  <si>
    <t xml:space="preserve">CM-WMG-0057</t>
  </si>
  <si>
    <t xml:space="preserve">CM-WMG-0058</t>
  </si>
  <si>
    <t xml:space="preserve">CM-WMG-0059</t>
  </si>
  <si>
    <t xml:space="preserve">CM-WMG-0060</t>
  </si>
  <si>
    <t xml:space="preserve">CM-WMG-0061</t>
  </si>
  <si>
    <t xml:space="preserve">CM-WMG-0062</t>
  </si>
  <si>
    <t xml:space="preserve">CM-WMG-0063</t>
  </si>
  <si>
    <t xml:space="preserve">CM-WMG-0064</t>
  </si>
  <si>
    <t xml:space="preserve">CM-WMG-0065</t>
  </si>
  <si>
    <t xml:space="preserve">CM-WMG-0066</t>
  </si>
  <si>
    <t xml:space="preserve">CM-WMG-0067</t>
  </si>
  <si>
    <t xml:space="preserve">CM-WMG-0068</t>
  </si>
  <si>
    <t xml:space="preserve">CM-WMG-0069</t>
  </si>
  <si>
    <t xml:space="preserve">CM-WMG-0070</t>
  </si>
  <si>
    <t xml:space="preserve">CM-WMG-0071</t>
  </si>
  <si>
    <t xml:space="preserve">CM-WMG-0072</t>
  </si>
  <si>
    <t xml:space="preserve">CM-WMG-0073</t>
  </si>
  <si>
    <t xml:space="preserve">CM-WMG-0074</t>
  </si>
  <si>
    <t xml:space="preserve">CM-RDC-0001</t>
  </si>
  <si>
    <t xml:space="preserve">CM-RDC</t>
  </si>
  <si>
    <t xml:space="preserve">Return and durable-continuity group</t>
  </si>
  <si>
    <t xml:space="preserve">CM-RDC-0002</t>
  </si>
  <si>
    <t xml:space="preserve">CM-RDC-0003</t>
  </si>
  <si>
    <t xml:space="preserve">CM-RDC-0004</t>
  </si>
  <si>
    <t xml:space="preserve">CM-RDC-0005</t>
  </si>
  <si>
    <t xml:space="preserve">CM-RDC-0006</t>
  </si>
  <si>
    <t xml:space="preserve">CM-RDC-0007</t>
  </si>
  <si>
    <t xml:space="preserve">CM-RDC-0008</t>
  </si>
  <si>
    <t xml:space="preserve">CM-RDC-0009</t>
  </si>
  <si>
    <t xml:space="preserve">CM-RDC-0010</t>
  </si>
  <si>
    <t xml:space="preserve">CM-RDC-0011</t>
  </si>
  <si>
    <t xml:space="preserve">CM-RDC-0012</t>
  </si>
  <si>
    <t xml:space="preserve">CM-RDC-0013</t>
  </si>
  <si>
    <t xml:space="preserve">CM-RDC-0014</t>
  </si>
  <si>
    <t xml:space="preserve">CM-RDC-0015</t>
  </si>
  <si>
    <t xml:space="preserve">CM-RDC-0016</t>
  </si>
  <si>
    <t xml:space="preserve">CM-RDC-0017</t>
  </si>
  <si>
    <t xml:space="preserve">CM-RDC-0018</t>
  </si>
  <si>
    <t xml:space="preserve">CM-RDC-0019</t>
  </si>
  <si>
    <t xml:space="preserve">CM-RDC-0020</t>
  </si>
  <si>
    <t xml:space="preserve">CM-RDC-0021</t>
  </si>
  <si>
    <t xml:space="preserve">CM-RDC-0022</t>
  </si>
  <si>
    <t xml:space="preserve">CM-RDC-0023</t>
  </si>
  <si>
    <t xml:space="preserve">CM-RDC-0024</t>
  </si>
  <si>
    <t xml:space="preserve">CM-RDC-0025</t>
  </si>
  <si>
    <t xml:space="preserve">CM-RDC-0026</t>
  </si>
  <si>
    <t xml:space="preserve">CM-RDC-0027</t>
  </si>
  <si>
    <t xml:space="preserve">CM-RDC-0028</t>
  </si>
  <si>
    <t xml:space="preserve">CM-RDC-0029</t>
  </si>
  <si>
    <t xml:space="preserve">CM-RDC-0030</t>
  </si>
  <si>
    <t xml:space="preserve">CM-RDC-0031</t>
  </si>
  <si>
    <t xml:space="preserve">CM-RDC-0032</t>
  </si>
  <si>
    <t xml:space="preserve">CM-RDC-0033</t>
  </si>
  <si>
    <t xml:space="preserve">CM-RDC-0034</t>
  </si>
  <si>
    <t xml:space="preserve">CM-RDC-0035</t>
  </si>
  <si>
    <t xml:space="preserve">CM-RDC-0036</t>
  </si>
  <si>
    <t xml:space="preserve">CM-RDC-0037</t>
  </si>
  <si>
    <t xml:space="preserve">CM-RDC-0038</t>
  </si>
  <si>
    <t xml:space="preserve">CM-RDC-0039</t>
  </si>
  <si>
    <t xml:space="preserve">CM-RDC-0040</t>
  </si>
  <si>
    <t xml:space="preserve">CM-RDC-0041</t>
  </si>
  <si>
    <t xml:space="preserve">CM-RDC-0042</t>
  </si>
  <si>
    <t xml:space="preserve">CM-RDC-0043</t>
  </si>
  <si>
    <t xml:space="preserve">CM-RDC-0044</t>
  </si>
  <si>
    <t xml:space="preserve">CM-RDC-0045</t>
  </si>
  <si>
    <t xml:space="preserve">CM-RDC-0046</t>
  </si>
  <si>
    <t xml:space="preserve">CM-RDC-0047</t>
  </si>
  <si>
    <t xml:space="preserve">CM-RDC-0048</t>
  </si>
  <si>
    <t xml:space="preserve">CM-RDC-0049</t>
  </si>
  <si>
    <t xml:space="preserve">CM-RDC-0050</t>
  </si>
  <si>
    <t xml:space="preserve">CM-RDC-0051</t>
  </si>
  <si>
    <t xml:space="preserve">CM-RDC-0052</t>
  </si>
  <si>
    <t xml:space="preserve">CM-RDC-0053</t>
  </si>
  <si>
    <t xml:space="preserve">CM-RDC-0054</t>
  </si>
  <si>
    <t xml:space="preserve">CM-RDC-0055</t>
  </si>
  <si>
    <t xml:space="preserve">CM-RDC-0056</t>
  </si>
  <si>
    <t xml:space="preserve">CM-RDC-0057</t>
  </si>
  <si>
    <t xml:space="preserve">CM-RDC-0058</t>
  </si>
  <si>
    <t xml:space="preserve">CM-RDC-0059</t>
  </si>
  <si>
    <t xml:space="preserve">CM-RDC-0060</t>
  </si>
  <si>
    <t xml:space="preserve">CM-RDC-0061</t>
  </si>
  <si>
    <t xml:space="preserve">CM-RDC-0062</t>
  </si>
  <si>
    <t xml:space="preserve">CM-RDC-0063</t>
  </si>
  <si>
    <t xml:space="preserve">CM-RDC-0064</t>
  </si>
  <si>
    <t xml:space="preserve">CM-RDC-0065</t>
  </si>
  <si>
    <t xml:space="preserve">CM-RDC-0066</t>
  </si>
  <si>
    <t xml:space="preserve">CM-RDC-0067</t>
  </si>
  <si>
    <t xml:space="preserve">CM-RDC-0068</t>
  </si>
  <si>
    <t xml:space="preserve">CM-RDC-0069</t>
  </si>
  <si>
    <t xml:space="preserve">CM-RDC-0070</t>
  </si>
  <si>
    <t xml:space="preserve">CM-RDC-0071</t>
  </si>
  <si>
    <t xml:space="preserve">CM-RDC-0072</t>
  </si>
  <si>
    <t xml:space="preserve">CM-RDC-0073</t>
  </si>
  <si>
    <t xml:space="preserve">CM-RDC-0074</t>
  </si>
  <si>
    <t xml:space="preserve">CM-RDC-0075</t>
  </si>
  <si>
    <t xml:space="preserve">CM-RDC-0076</t>
  </si>
  <si>
    <t xml:space="preserve">CM-RDC-0077</t>
  </si>
  <si>
    <t xml:space="preserve">CM-RDC-0078</t>
  </si>
  <si>
    <t xml:space="preserve">CM-RDC-0079</t>
  </si>
  <si>
    <t xml:space="preserve">CM-RDC-0080</t>
  </si>
  <si>
    <t xml:space="preserve">CM-RDC-0081</t>
  </si>
  <si>
    <t xml:space="preserve">CM-RDC-0082</t>
  </si>
  <si>
    <t xml:space="preserve">CM-RDC-0083</t>
  </si>
  <si>
    <t xml:space="preserve">CM-RDC-0084</t>
  </si>
  <si>
    <t xml:space="preserve">CM-RDC-0085</t>
  </si>
  <si>
    <t xml:space="preserve">CM-RDC-0086</t>
  </si>
  <si>
    <t xml:space="preserve">CM-RDC-0087</t>
  </si>
  <si>
    <t xml:space="preserve">CM-RDC-0088</t>
  </si>
  <si>
    <t xml:space="preserve">CM-RDC-0089</t>
  </si>
  <si>
    <t xml:space="preserve">CM-RDC-0090</t>
  </si>
  <si>
    <t xml:space="preserve">CM-RDC-0091</t>
  </si>
  <si>
    <t xml:space="preserve">CM-RDC-0092</t>
  </si>
  <si>
    <t xml:space="preserve">CM-RDC-0093</t>
  </si>
  <si>
    <t xml:space="preserve">CM-RDC-0094</t>
  </si>
  <si>
    <t xml:space="preserve">CM-RDC-0095</t>
  </si>
  <si>
    <t xml:space="preserve">CM-RDC-0096</t>
  </si>
  <si>
    <t xml:space="preserve">CM-RDC-0097</t>
  </si>
  <si>
    <t xml:space="preserve">CM-RDC-0098</t>
  </si>
  <si>
    <t xml:space="preserve">CM-RDC-0099</t>
  </si>
  <si>
    <t xml:space="preserve">CM-RDC-0100</t>
  </si>
  <si>
    <t xml:space="preserve">CM-RDC-0101</t>
  </si>
  <si>
    <t xml:space="preserve">CM-RDC-0102</t>
  </si>
  <si>
    <t xml:space="preserve">CM-RDC-0103</t>
  </si>
  <si>
    <t xml:space="preserve">CM-RDC-0104</t>
  </si>
  <si>
    <t xml:space="preserve">CM-RDC-0105</t>
  </si>
  <si>
    <t xml:space="preserve">CM-RDC-0106</t>
  </si>
  <si>
    <t xml:space="preserve">CM-RDC-0107</t>
  </si>
  <si>
    <t xml:space="preserve">CM-RDC-0108</t>
  </si>
  <si>
    <t xml:space="preserve">CM-RDC-0109</t>
  </si>
  <si>
    <t xml:space="preserve">CM-RDC-0110</t>
  </si>
  <si>
    <t xml:space="preserve">CM-RDC-0111</t>
  </si>
  <si>
    <t xml:space="preserve">CM-RDC-0112</t>
  </si>
  <si>
    <t xml:space="preserve">CM-RDC-0113</t>
  </si>
  <si>
    <t xml:space="preserve">CM-RDC-0114</t>
  </si>
  <si>
    <t xml:space="preserve">CM-RDC-0115</t>
  </si>
  <si>
    <t xml:space="preserve">CM-RDC-0116</t>
  </si>
  <si>
    <t xml:space="preserve">Family-level readiness and authority</t>
  </si>
  <si>
    <t xml:space="preserve">Every family must independently meet its ready fraction and protected demand after one district loss.</t>
  </si>
  <si>
    <t xml:space="preserve">Demand</t>
  </si>
  <si>
    <t xml:space="preserve">Protected demand</t>
  </si>
  <si>
    <t xml:space="preserve">Owned inventory</t>
  </si>
  <si>
    <t xml:space="preserve">Planning readiness</t>
  </si>
  <si>
    <t xml:space="preserve">Actual service-ready</t>
  </si>
  <si>
    <t xml:space="preserve">Gap</t>
  </si>
  <si>
    <t xml:space="preserve">Total</t>
  </si>
  <si>
    <t xml:space="preserve">HOLD</t>
  </si>
  <si>
    <t xml:space="preserve">Generating-service conversion burden</t>
  </si>
  <si>
    <t xml:space="preserve">Services own professions, technical release and formation generation; they do not award joint campaign credit.</t>
  </si>
  <si>
    <t xml:space="preserve">Generating service</t>
  </si>
  <si>
    <t xml:space="preserve">Families</t>
  </si>
  <si>
    <t xml:space="preserve">Mission-system formation burden</t>
  </si>
  <si>
    <t xml:space="preserve">Mission systems integrate complete public-service chains; they cannot manufacture service readiness.</t>
  </si>
  <si>
    <t xml:space="preserve">Mission system</t>
  </si>
  <si>
    <t xml:space="preserve">Service-ready supply</t>
  </si>
  <si>
    <t xml:space="preserve">Joint campaign credit</t>
  </si>
  <si>
    <t xml:space="preserve">Enter a broken theater</t>
  </si>
  <si>
    <t xml:space="preserve">Reach occupied civil terrain</t>
  </si>
  <si>
    <t xml:space="preserve">Control an active hazard</t>
  </si>
  <si>
    <t xml:space="preserve">Produce and distribute lifelines</t>
  </si>
  <si>
    <t xml:space="preserve">Preserve care and human continuity</t>
  </si>
  <si>
    <t xml:space="preserve">Sustain, transfer and regenerate</t>
  </si>
  <si>
    <t xml:space="preserve">Sixty mission-system × campaign admission cells</t>
  </si>
  <si>
    <t xml:space="preserve">A ready formation pool earns no campaign credit until interface, concurrent trial and civil admission all exist.</t>
  </si>
  <si>
    <t xml:space="preserve">Joint cell</t>
  </si>
  <si>
    <t xml:space="preserve">Campaign world</t>
  </si>
  <si>
    <t xml:space="preserve">Required contributions</t>
  </si>
  <si>
    <t xml:space="preserve">Interface evidence</t>
  </si>
  <si>
    <t xml:space="preserve">Concurrent trial</t>
  </si>
  <si>
    <t xml:space="preserve">Joint credit</t>
  </si>
  <si>
    <t xml:space="preserve">MS-ET-01</t>
  </si>
  <si>
    <t xml:space="preserve">C1 Grid and temperature</t>
  </si>
  <si>
    <t xml:space="preserve">SOURCE EMPTY</t>
  </si>
  <si>
    <t xml:space="preserve">MS-ET-02</t>
  </si>
  <si>
    <t xml:space="preserve">C2 Sequential hurricanes</t>
  </si>
  <si>
    <t xml:space="preserve">MS-ET-03</t>
  </si>
  <si>
    <t xml:space="preserve">C3 Cascadia rupture</t>
  </si>
  <si>
    <t xml:space="preserve">MS-ET-04</t>
  </si>
  <si>
    <t xml:space="preserve">M1 Wildfire heat smoke</t>
  </si>
  <si>
    <t xml:space="preserve">MS-ET-05</t>
  </si>
  <si>
    <t xml:space="preserve">M2 Urban heat</t>
  </si>
  <si>
    <t xml:space="preserve">MS-ET-06</t>
  </si>
  <si>
    <t xml:space="preserve">M3 Inland flood</t>
  </si>
  <si>
    <t xml:space="preserve">MS-ET-07</t>
  </si>
  <si>
    <t xml:space="preserve">M4 Tornado corridor</t>
  </si>
  <si>
    <t xml:space="preserve">MS-ET-08</t>
  </si>
  <si>
    <t xml:space="preserve">M5 Territorial drought</t>
  </si>
  <si>
    <t xml:space="preserve">MS-ET-09</t>
  </si>
  <si>
    <t xml:space="preserve">I1 Indo-Pacific invitation</t>
  </si>
  <si>
    <t xml:space="preserve">MS-ET-10</t>
  </si>
  <si>
    <t xml:space="preserve">I2 Atlantic/Americas invitation</t>
  </si>
  <si>
    <t xml:space="preserve">MS-CT-01</t>
  </si>
  <si>
    <t xml:space="preserve">MS-CT-02</t>
  </si>
  <si>
    <t xml:space="preserve">MS-CT-03</t>
  </si>
  <si>
    <t xml:space="preserve">MS-CT-04</t>
  </si>
  <si>
    <t xml:space="preserve">MS-CT-05</t>
  </si>
  <si>
    <t xml:space="preserve">MS-CT-06</t>
  </si>
  <si>
    <t xml:space="preserve">MS-CT-07</t>
  </si>
  <si>
    <t xml:space="preserve">MS-CT-08</t>
  </si>
  <si>
    <t xml:space="preserve">MS-CT-09</t>
  </si>
  <si>
    <t xml:space="preserve">MS-CT-10</t>
  </si>
  <si>
    <t xml:space="preserve">MS-HC-01</t>
  </si>
  <si>
    <t xml:space="preserve">MS-HC-02</t>
  </si>
  <si>
    <t xml:space="preserve">MS-HC-03</t>
  </si>
  <si>
    <t xml:space="preserve">MS-HC-04</t>
  </si>
  <si>
    <t xml:space="preserve">MS-HC-05</t>
  </si>
  <si>
    <t xml:space="preserve">MS-HC-06</t>
  </si>
  <si>
    <t xml:space="preserve">MS-HC-07</t>
  </si>
  <si>
    <t xml:space="preserve">MS-HC-08</t>
  </si>
  <si>
    <t xml:space="preserve">MS-HC-09</t>
  </si>
  <si>
    <t xml:space="preserve">MS-HC-10</t>
  </si>
  <si>
    <t xml:space="preserve">MS-LF-01</t>
  </si>
  <si>
    <t xml:space="preserve">MS-LF-02</t>
  </si>
  <si>
    <t xml:space="preserve">MS-LF-03</t>
  </si>
  <si>
    <t xml:space="preserve">MS-LF-04</t>
  </si>
  <si>
    <t xml:space="preserve">MS-LF-05</t>
  </si>
  <si>
    <t xml:space="preserve">MS-LF-06</t>
  </si>
  <si>
    <t xml:space="preserve">MS-LF-07</t>
  </si>
  <si>
    <t xml:space="preserve">MS-LF-08</t>
  </si>
  <si>
    <t xml:space="preserve">MS-LF-09</t>
  </si>
  <si>
    <t xml:space="preserve">MS-LF-10</t>
  </si>
  <si>
    <t xml:space="preserve">MS-HU-01</t>
  </si>
  <si>
    <t xml:space="preserve">MS-HU-02</t>
  </si>
  <si>
    <t xml:space="preserve">MS-HU-03</t>
  </si>
  <si>
    <t xml:space="preserve">MS-HU-04</t>
  </si>
  <si>
    <t xml:space="preserve">MS-HU-05</t>
  </si>
  <si>
    <t xml:space="preserve">MS-HU-06</t>
  </si>
  <si>
    <t xml:space="preserve">MS-HU-07</t>
  </si>
  <si>
    <t xml:space="preserve">MS-HU-08</t>
  </si>
  <si>
    <t xml:space="preserve">MS-HU-09</t>
  </si>
  <si>
    <t xml:space="preserve">MS-HU-10</t>
  </si>
  <si>
    <t xml:space="preserve">MS-RT-01</t>
  </si>
  <si>
    <t xml:space="preserve">MS-RT-02</t>
  </si>
  <si>
    <t xml:space="preserve">MS-RT-03</t>
  </si>
  <si>
    <t xml:space="preserve">MS-RT-04</t>
  </si>
  <si>
    <t xml:space="preserve">MS-RT-05</t>
  </si>
  <si>
    <t xml:space="preserve">MS-RT-06</t>
  </si>
  <si>
    <t xml:space="preserve">MS-RT-07</t>
  </si>
  <si>
    <t xml:space="preserve">MS-RT-08</t>
  </si>
  <si>
    <t xml:space="preserve">MS-RT-09</t>
  </si>
  <si>
    <t xml:space="preserve">MS-RT-10</t>
  </si>
  <si>
    <t xml:space="preserve">Family-by-district N−1 planning test</t>
  </si>
  <si>
    <t xml:space="preserve">Planning obligations are distributed, but actual credit remains zero until formation evidence exists.</t>
  </si>
  <si>
    <t xml:space="preserve">World</t>
  </si>
  <si>
    <t xml:space="preserve">Lost district</t>
  </si>
  <si>
    <t xml:space="preserve">Planned ready lost</t>
  </si>
  <si>
    <t xml:space="preserve">Planned ready remaining</t>
  </si>
  <si>
    <t xml:space="preserve">Actual ready remaining</t>
  </si>
  <si>
    <t xml:space="preserve">Planning result</t>
  </si>
  <si>
    <t xml:space="preserve">Authority result</t>
  </si>
  <si>
    <t xml:space="preserve">INTACT</t>
  </si>
  <si>
    <t xml:space="preserve">—</t>
  </si>
  <si>
    <t xml:space="preserve">LOSS RD-01</t>
  </si>
  <si>
    <t xml:space="preserve">LOSS RD-02</t>
  </si>
  <si>
    <t xml:space="preserve">LOSS RD-03</t>
  </si>
  <si>
    <t xml:space="preserve">LOSS RD-04</t>
  </si>
  <si>
    <t xml:space="preserve">LOSS RD-05</t>
  </si>
  <si>
    <t xml:space="preserve">LOSS RD-06</t>
  </si>
  <si>
    <t xml:space="preserve">LOSS RD-07</t>
  </si>
  <si>
    <t xml:space="preserve">Five claims that must resolve to one formation serial</t>
  </si>
  <si>
    <t xml:space="preserve">A reservation is invalid if any constituent is absent, overlapping, expired or tied to another interval.</t>
  </si>
  <si>
    <t xml:space="preserve">Claim</t>
  </si>
  <si>
    <t xml:space="preserve">Exclusive object</t>
  </si>
  <si>
    <t xml:space="preserve">Collision test</t>
  </si>
  <si>
    <t xml:space="preserve">Issuer</t>
  </si>
  <si>
    <t xml:space="preserve">Required records</t>
  </si>
  <si>
    <t xml:space="preserve">Released records</t>
  </si>
  <si>
    <t xml:space="preserve">Accepted article set</t>
  </si>
  <si>
    <t xml:space="preserve">Article genealogy</t>
  </si>
  <si>
    <t xml:space="preserve">No same serial/time claim elsewhere</t>
  </si>
  <si>
    <t xml:space="preserve">Named crew and relief</t>
  </si>
  <si>
    <t xml:space="preserve">Personnel/task authority</t>
  </si>
  <si>
    <t xml:space="preserve">Sustainment stock</t>
  </si>
  <si>
    <t xml:space="preserve">Lots and replenishment</t>
  </si>
  <si>
    <t xml:space="preserve">Strategic Sustainment</t>
  </si>
  <si>
    <t xml:space="preserve">Movement/access slot</t>
  </si>
  <si>
    <t xml:space="preserve">Route/carrier/node</t>
  </si>
  <si>
    <t xml:space="preserve">Receiver/admission slot</t>
  </si>
  <si>
    <t xml:space="preserve">Host capacity and rights</t>
  </si>
  <si>
    <t xml:space="preserve">Formation reservations</t>
  </si>
  <si>
    <t xml:space="preserve">All five claims</t>
  </si>
  <si>
    <t xml:space="preserve">All five must bind one serial</t>
  </si>
  <si>
    <t xml:space="preserve">Replacement and regeneration sensitivity</t>
  </si>
  <si>
    <t xml:space="preserve">This screen exposes annual industrial burden; it does not select service lives or award readiness.</t>
  </si>
  <si>
    <t xml:space="preserve">Service life years</t>
  </si>
  <si>
    <t xml:space="preserve">Annual formation replacement</t>
  </si>
  <si>
    <t xml:space="preserve">Annual formation capital USD B</t>
  </si>
  <si>
    <t xml:space="preserve">Annual billet retraining</t>
  </si>
  <si>
    <t xml:space="preserve">PLANNING ONLY</t>
  </si>
  <si>
    <t xml:space="preserve">Formation burden by family</t>
  </si>
  <si>
    <t xml:space="preserve">Capital and billets belong to formation families; they are not interchangeable readiness units.</t>
  </si>
  <si>
    <t xml:space="preserve">Inventory</t>
  </si>
  <si>
    <t xml:space="preserve">Billets / formation</t>
  </si>
  <si>
    <t xml:space="preserve">Capital / formation USD B</t>
  </si>
  <si>
    <t xml:space="preserve">Program authority versus mature-force capital</t>
  </si>
  <si>
    <t xml:space="preserve">The USD 1.00T technology program and the USD 17.4T mature screen are different ledgers.</t>
  </si>
  <si>
    <t xml:space="preserve">Ledger</t>
  </si>
  <si>
    <t xml:space="preserve">What it buys</t>
  </si>
  <si>
    <t xml:space="preserve">Force-credit rule</t>
  </si>
  <si>
    <t xml:space="preserve">USD 1.00T technology and proving program</t>
  </si>
  <si>
    <t xml:space="preserve">Contest, proof, public estate, initial formations, availability</t>
  </si>
  <si>
    <t xml:space="preserve">No expenditure credit</t>
  </si>
  <si>
    <t xml:space="preserve">Initial formations subaccount</t>
  </si>
  <si>
    <t xml:space="preserve">Early complete articles, crews, trials and learning</t>
  </si>
  <si>
    <t xml:space="preserve">Credit only after all warrants</t>
  </si>
  <si>
    <t xml:space="preserve">Formation capital screen</t>
  </si>
  <si>
    <t xml:space="preserve">Capital for 5,251 heterogeneous formations</t>
  </si>
  <si>
    <t xml:space="preserve">Planning screen</t>
  </si>
  <si>
    <t xml:space="preserve">Formation capital beyond initial account</t>
  </si>
  <si>
    <t xml:space="preserve">Mature formation build not financed by the USD 1.00T envelope</t>
  </si>
  <si>
    <t xml:space="preserve">Requires separate authorization</t>
  </si>
  <si>
    <t xml:space="preserve">Common capital and program reserve</t>
  </si>
  <si>
    <t xml:space="preserve">Common nodes, bases, projection and screen reserve</t>
  </si>
  <si>
    <t xml:space="preserve">Cannot substitute for formations</t>
  </si>
  <si>
    <t xml:space="preserve">Formation plus common capital and reserve</t>
  </si>
  <si>
    <t xml:space="preserve">Counterfactual readiness states</t>
  </si>
  <si>
    <t xml:space="preserve">Scenarios demonstrate the non-fungible state boundaries; they do not alter the source-empty ledger.</t>
  </si>
  <si>
    <t xml:space="preserve">Scenario</t>
  </si>
  <si>
    <t xml:space="preserve">Industrial available</t>
  </si>
  <si>
    <t xml:space="preserve">Article accepted</t>
  </si>
  <si>
    <t xml:space="preserve">All service warrants</t>
  </si>
  <si>
    <t xml:space="preserve">Reservation</t>
  </si>
  <si>
    <t xml:space="preserve">Joint interfaces</t>
  </si>
  <si>
    <t xml:space="preserve">Joint trials</t>
  </si>
  <si>
    <t xml:space="preserve">Service credits</t>
  </si>
  <si>
    <t xml:space="preserve">Joint campaign credits</t>
  </si>
  <si>
    <t xml:space="preserve">Meaning</t>
  </si>
  <si>
    <t xml:space="preserve">Source-empty baseline</t>
  </si>
  <si>
    <t xml:space="preserve">Industrial availability only</t>
  </si>
  <si>
    <t xml:space="preserve">Equipment-book readiness</t>
  </si>
  <si>
    <t xml:space="preserve">Accepted articles; no formation</t>
  </si>
  <si>
    <t xml:space="preserve">Complete except reservation</t>
  </si>
  <si>
    <t xml:space="preserve">Double-use risk; no formation</t>
  </si>
  <si>
    <t xml:space="preserve">Service-ready only</t>
  </si>
  <si>
    <t xml:space="preserve">Service pool; no campaign proof</t>
  </si>
  <si>
    <t xml:space="preserve">Joint trial without civil admission</t>
  </si>
  <si>
    <t xml:space="preserve">Output without lawful acceptance</t>
  </si>
  <si>
    <t xml:space="preserve">Full serial conversion</t>
  </si>
  <si>
    <t xml:space="preserve">Planning maximum after all evidence</t>
  </si>
  <si>
    <t xml:space="preserve">Technology program for formation truth and joint readiness</t>
  </si>
  <si>
    <t xml:space="preserve">The military analogue is not a dashboard; it is a physical evidence and mobilization infrastructure.</t>
  </si>
  <si>
    <t xml:space="preserve">Program</t>
  </si>
  <si>
    <t xml:space="preserve">Technology</t>
  </si>
  <si>
    <t xml:space="preserve">Capability sought</t>
  </si>
  <si>
    <t xml:space="preserve">Fatal criterion</t>
  </si>
  <si>
    <t xml:space="preserve">I01</t>
  </si>
  <si>
    <t xml:space="preserve">Formation truth twin</t>
  </si>
  <si>
    <t xml:space="preserve">Bind article, crew, stock, receiver and mission state to one reconstructable serial</t>
  </si>
  <si>
    <t xml:space="preserve">Twin cannot be independently rebuilt after network loss</t>
  </si>
  <si>
    <t xml:space="preserve">I02</t>
  </si>
  <si>
    <t xml:space="preserve">Dynamic reservation graph</t>
  </si>
  <si>
    <t xml:space="preserve">Detect cross-program claims on people, lift, stocks, receivers and time</t>
  </si>
  <si>
    <t xml:space="preserve">A deliberate collision remains credited</t>
  </si>
  <si>
    <t xml:space="preserve">I03</t>
  </si>
  <si>
    <t xml:space="preserve">Autonomous acceptance cell</t>
  </si>
  <si>
    <t xml:space="preserve">Instrument complete formation trials at operational scale without vendor custody</t>
  </si>
  <si>
    <t xml:space="preserve">Cell cannot expose hidden support</t>
  </si>
  <si>
    <t xml:space="preserve">I04</t>
  </si>
  <si>
    <t xml:space="preserve">Synthetic receiving society</t>
  </si>
  <si>
    <t xml:space="preserve">Exercise hospitals, utilities, ports, households and rights under controlled denial</t>
  </si>
  <si>
    <t xml:space="preserve">Synthetic receiver predicts no real bottleneck</t>
  </si>
  <si>
    <t xml:space="preserve">I05</t>
  </si>
  <si>
    <t xml:space="preserve">No-notice mission worlds</t>
  </si>
  <si>
    <t xml:space="preserve">Recompose ten campaign conditions faster than organizations can rehearse answers</t>
  </si>
  <si>
    <t xml:space="preserve">Challenge leaks permit scripted success</t>
  </si>
  <si>
    <t xml:space="preserve">I06</t>
  </si>
  <si>
    <t xml:space="preserve">Portable crew authority</t>
  </si>
  <si>
    <t xml:space="preserve">Carry competence, fatigue, licensing and household continuity across employers and districts</t>
  </si>
  <si>
    <t xml:space="preserve">Identity loss breaks lawful task assignment</t>
  </si>
  <si>
    <t xml:space="preserve">I07</t>
  </si>
  <si>
    <t xml:space="preserve">Self-describing sustainment set</t>
  </si>
  <si>
    <t xml:space="preserve">Machine-readable stocks state their ancestry, depletion, substitutes and residuals</t>
  </si>
  <si>
    <t xml:space="preserve">Set reports completeness while a critical chain is absent</t>
  </si>
  <si>
    <t xml:space="preserve">I08</t>
  </si>
  <si>
    <t xml:space="preserve">Receiver-interface compiler</t>
  </si>
  <si>
    <t xml:space="preserve">Prove mechanical, data, legal, clinical and transfer closure before movement</t>
  </si>
  <si>
    <t xml:space="preserve">Compiler accepts an interface that fails at load</t>
  </si>
  <si>
    <t xml:space="preserve">I09</t>
  </si>
  <si>
    <t xml:space="preserve">Regeneration digital thread</t>
  </si>
  <si>
    <t xml:space="preserve">Cold-rebuild the exact deployed configuration from public rights and distributed routes</t>
  </si>
  <si>
    <t xml:space="preserve">Rebuild changes the accepted service boundary</t>
  </si>
  <si>
    <t xml:space="preserve">I10</t>
  </si>
  <si>
    <t xml:space="preserve">Rights-aware command runtime</t>
  </si>
  <si>
    <t xml:space="preserve">Make civil priority, stop authority, consent and audit survive degraded communications</t>
  </si>
  <si>
    <t xml:space="preserve">Runtime centralizes a sovereign judgment</t>
  </si>
  <si>
    <t xml:space="preserve">I11</t>
  </si>
  <si>
    <t xml:space="preserve">Formation-scale fatigue observatory</t>
  </si>
  <si>
    <t xml:space="preserve">Predict crew and maintenance collapse across 56–281 day occupations</t>
  </si>
  <si>
    <t xml:space="preserve">Model hides rare-skill exhaustion</t>
  </si>
  <si>
    <t xml:space="preserve">I12</t>
  </si>
  <si>
    <t xml:space="preserve">Adversarial joint-stack compiler</t>
  </si>
  <si>
    <t xml:space="preserve">Generate unlike, coupled interface failures across all six mission systems</t>
  </si>
  <si>
    <t xml:space="preserve">Compiler rewards local success while public service fails</t>
  </si>
  <si>
    <t xml:space="preserve">Terminal model audit</t>
  </si>
  <si>
    <t xml:space="preserve">One-way checks never feed readiness authority.</t>
  </si>
  <si>
    <t xml:space="preserve">Audit ID</t>
  </si>
  <si>
    <t xml:space="preserve">Scope</t>
  </si>
  <si>
    <t xml:space="preserve">Object</t>
  </si>
  <si>
    <t xml:space="preserve">Test</t>
  </si>
  <si>
    <t xml:space="preserve">Result</t>
  </si>
  <si>
    <t xml:space="preserve">Expected</t>
  </si>
  <si>
    <t xml:space="preserve">A-C-01</t>
  </si>
  <si>
    <t xml:space="preserve">equals 5251</t>
  </si>
  <si>
    <t xml:space="preserve">A-C-02</t>
  </si>
  <si>
    <t xml:space="preserve">equals 2420</t>
  </si>
  <si>
    <t xml:space="preserve">A-C-03</t>
  </si>
  <si>
    <t xml:space="preserve">equals 0.2</t>
  </si>
  <si>
    <t xml:space="preserve">A-C-04</t>
  </si>
  <si>
    <t xml:space="preserve">equals 7</t>
  </si>
  <si>
    <t xml:space="preserve">A-C-05</t>
  </si>
  <si>
    <t xml:space="preserve">A-C-06</t>
  </si>
  <si>
    <t xml:space="preserve">equals 6</t>
  </si>
  <si>
    <t xml:space="preserve">A-C-07</t>
  </si>
  <si>
    <t xml:space="preserve">equals 10</t>
  </si>
  <si>
    <t xml:space="preserve">A-C-08</t>
  </si>
  <si>
    <t xml:space="preserve">A-C-09</t>
  </si>
  <si>
    <t xml:space="preserve">equals 48</t>
  </si>
  <si>
    <t xml:space="preserve">A-C-10</t>
  </si>
  <si>
    <t xml:space="preserve">equals 9410.56</t>
  </si>
  <si>
    <t xml:space="preserve">A-C-11</t>
  </si>
  <si>
    <t xml:space="preserve">equals 17400</t>
  </si>
  <si>
    <t xml:space="preserve">A-C-12</t>
  </si>
  <si>
    <t xml:space="preserve">equals 230</t>
  </si>
  <si>
    <t xml:space="preserve">A-C-13</t>
  </si>
  <si>
    <t xml:space="preserve">equals 11465213</t>
  </si>
  <si>
    <t xml:space="preserve">A-C-14</t>
  </si>
  <si>
    <t xml:space="preserve">equals 60</t>
  </si>
  <si>
    <t xml:space="preserve">A-C-15</t>
  </si>
  <si>
    <t xml:space="preserve">equals 0</t>
  </si>
  <si>
    <t xml:space="preserve">A-C-16</t>
  </si>
  <si>
    <t xml:space="preserve">A-F-01</t>
  </si>
  <si>
    <t xml:space="preserve">Source</t>
  </si>
  <si>
    <t xml:space="preserve">48 families</t>
  </si>
  <si>
    <t xml:space="preserve">A-F-02</t>
  </si>
  <si>
    <t xml:space="preserve">5,251 serials</t>
  </si>
  <si>
    <t xml:space="preserve">A-F-03</t>
  </si>
  <si>
    <t xml:space="preserve">2,420 concurrent contributions</t>
  </si>
  <si>
    <t xml:space="preserve">A-F-04</t>
  </si>
  <si>
    <t xml:space="preserve">Capital</t>
  </si>
  <si>
    <t xml:space="preserve">USD 9,410.56B</t>
  </si>
  <si>
    <t xml:space="preserve">A-F-05</t>
  </si>
  <si>
    <t xml:space="preserve">Billets</t>
  </si>
  <si>
    <t xml:space="preserve">11,465,213</t>
  </si>
  <si>
    <t xml:space="preserve">A-S-0001</t>
  </si>
  <si>
    <t xml:space="preserve">Serial</t>
  </si>
  <si>
    <t xml:space="preserve">Serial populated and zero unsupported credit</t>
  </si>
  <si>
    <t xml:space="preserve">A-S-0002</t>
  </si>
  <si>
    <t xml:space="preserve">A-S-0003</t>
  </si>
  <si>
    <t xml:space="preserve">A-S-0004</t>
  </si>
  <si>
    <t xml:space="preserve">A-S-0005</t>
  </si>
  <si>
    <t xml:space="preserve">A-S-0006</t>
  </si>
  <si>
    <t xml:space="preserve">A-S-0007</t>
  </si>
  <si>
    <t xml:space="preserve">A-S-0008</t>
  </si>
  <si>
    <t xml:space="preserve">A-S-0009</t>
  </si>
  <si>
    <t xml:space="preserve">A-S-0010</t>
  </si>
  <si>
    <t xml:space="preserve">A-S-0011</t>
  </si>
  <si>
    <t xml:space="preserve">A-S-0012</t>
  </si>
  <si>
    <t xml:space="preserve">A-S-0013</t>
  </si>
  <si>
    <t xml:space="preserve">A-S-0014</t>
  </si>
  <si>
    <t xml:space="preserve">A-S-0015</t>
  </si>
  <si>
    <t xml:space="preserve">A-S-0016</t>
  </si>
  <si>
    <t xml:space="preserve">A-S-0017</t>
  </si>
  <si>
    <t xml:space="preserve">A-S-0018</t>
  </si>
  <si>
    <t xml:space="preserve">A-S-0019</t>
  </si>
  <si>
    <t xml:space="preserve">A-S-0020</t>
  </si>
  <si>
    <t xml:space="preserve">A-S-0021</t>
  </si>
  <si>
    <t xml:space="preserve">A-S-0022</t>
  </si>
  <si>
    <t xml:space="preserve">A-S-0023</t>
  </si>
  <si>
    <t xml:space="preserve">A-S-0024</t>
  </si>
  <si>
    <t xml:space="preserve">A-S-0025</t>
  </si>
  <si>
    <t xml:space="preserve">A-S-0026</t>
  </si>
  <si>
    <t xml:space="preserve">A-S-0027</t>
  </si>
  <si>
    <t xml:space="preserve">A-S-0028</t>
  </si>
  <si>
    <t xml:space="preserve">A-S-0029</t>
  </si>
  <si>
    <t xml:space="preserve">A-S-0030</t>
  </si>
  <si>
    <t xml:space="preserve">A-S-0031</t>
  </si>
  <si>
    <t xml:space="preserve">A-S-0032</t>
  </si>
  <si>
    <t xml:space="preserve">A-S-0033</t>
  </si>
  <si>
    <t xml:space="preserve">A-S-0034</t>
  </si>
  <si>
    <t xml:space="preserve">A-S-0035</t>
  </si>
  <si>
    <t xml:space="preserve">A-S-0036</t>
  </si>
  <si>
    <t xml:space="preserve">A-S-0037</t>
  </si>
  <si>
    <t xml:space="preserve">A-S-0038</t>
  </si>
  <si>
    <t xml:space="preserve">A-S-0039</t>
  </si>
  <si>
    <t xml:space="preserve">A-S-0040</t>
  </si>
  <si>
    <t xml:space="preserve">A-S-0041</t>
  </si>
  <si>
    <t xml:space="preserve">A-S-0042</t>
  </si>
  <si>
    <t xml:space="preserve">A-S-0043</t>
  </si>
  <si>
    <t xml:space="preserve">A-S-0044</t>
  </si>
  <si>
    <t xml:space="preserve">A-S-0045</t>
  </si>
  <si>
    <t xml:space="preserve">A-S-0046</t>
  </si>
  <si>
    <t xml:space="preserve">A-S-0047</t>
  </si>
  <si>
    <t xml:space="preserve">A-S-0048</t>
  </si>
  <si>
    <t xml:space="preserve">A-S-0049</t>
  </si>
  <si>
    <t xml:space="preserve">A-S-0050</t>
  </si>
  <si>
    <t xml:space="preserve">A-S-0051</t>
  </si>
  <si>
    <t xml:space="preserve">A-S-0052</t>
  </si>
  <si>
    <t xml:space="preserve">A-S-0053</t>
  </si>
  <si>
    <t xml:space="preserve">A-S-0054</t>
  </si>
  <si>
    <t xml:space="preserve">A-S-0055</t>
  </si>
  <si>
    <t xml:space="preserve">A-S-0056</t>
  </si>
  <si>
    <t xml:space="preserve">A-S-0057</t>
  </si>
  <si>
    <t xml:space="preserve">A-S-0058</t>
  </si>
  <si>
    <t xml:space="preserve">A-S-0059</t>
  </si>
  <si>
    <t xml:space="preserve">A-S-0060</t>
  </si>
  <si>
    <t xml:space="preserve">A-S-0061</t>
  </si>
  <si>
    <t xml:space="preserve">A-S-0062</t>
  </si>
  <si>
    <t xml:space="preserve">A-S-0063</t>
  </si>
  <si>
    <t xml:space="preserve">A-S-0064</t>
  </si>
  <si>
    <t xml:space="preserve">A-S-0065</t>
  </si>
  <si>
    <t xml:space="preserve">A-S-0066</t>
  </si>
  <si>
    <t xml:space="preserve">A-S-0067</t>
  </si>
  <si>
    <t xml:space="preserve">A-S-0068</t>
  </si>
  <si>
    <t xml:space="preserve">A-S-0069</t>
  </si>
  <si>
    <t xml:space="preserve">A-S-0070</t>
  </si>
  <si>
    <t xml:space="preserve">A-S-0071</t>
  </si>
  <si>
    <t xml:space="preserve">A-S-0072</t>
  </si>
  <si>
    <t xml:space="preserve">A-S-0073</t>
  </si>
  <si>
    <t xml:space="preserve">A-S-0074</t>
  </si>
  <si>
    <t xml:space="preserve">A-S-0075</t>
  </si>
  <si>
    <t xml:space="preserve">A-S-0076</t>
  </si>
  <si>
    <t xml:space="preserve">A-S-0077</t>
  </si>
  <si>
    <t xml:space="preserve">A-S-0078</t>
  </si>
  <si>
    <t xml:space="preserve">A-S-0079</t>
  </si>
  <si>
    <t xml:space="preserve">A-S-0080</t>
  </si>
  <si>
    <t xml:space="preserve">A-S-0081</t>
  </si>
  <si>
    <t xml:space="preserve">A-S-0082</t>
  </si>
  <si>
    <t xml:space="preserve">A-S-0083</t>
  </si>
  <si>
    <t xml:space="preserve">A-S-0084</t>
  </si>
  <si>
    <t xml:space="preserve">A-S-0085</t>
  </si>
  <si>
    <t xml:space="preserve">A-S-0086</t>
  </si>
  <si>
    <t xml:space="preserve">A-S-0087</t>
  </si>
  <si>
    <t xml:space="preserve">A-S-0088</t>
  </si>
  <si>
    <t xml:space="preserve">A-S-0089</t>
  </si>
  <si>
    <t xml:space="preserve">A-S-0090</t>
  </si>
  <si>
    <t xml:space="preserve">A-S-0091</t>
  </si>
  <si>
    <t xml:space="preserve">A-S-0092</t>
  </si>
  <si>
    <t xml:space="preserve">A-S-0093</t>
  </si>
  <si>
    <t xml:space="preserve">A-S-0094</t>
  </si>
  <si>
    <t xml:space="preserve">A-S-0095</t>
  </si>
  <si>
    <t xml:space="preserve">A-S-0096</t>
  </si>
  <si>
    <t xml:space="preserve">A-S-0097</t>
  </si>
  <si>
    <t xml:space="preserve">A-S-0098</t>
  </si>
  <si>
    <t xml:space="preserve">A-S-0099</t>
  </si>
  <si>
    <t xml:space="preserve">A-S-0100</t>
  </si>
  <si>
    <t xml:space="preserve">A-S-0101</t>
  </si>
  <si>
    <t xml:space="preserve">A-S-0102</t>
  </si>
  <si>
    <t xml:space="preserve">A-S-0103</t>
  </si>
  <si>
    <t xml:space="preserve">A-S-0104</t>
  </si>
  <si>
    <t xml:space="preserve">A-S-0105</t>
  </si>
  <si>
    <t xml:space="preserve">A-S-0106</t>
  </si>
  <si>
    <t xml:space="preserve">A-S-0107</t>
  </si>
  <si>
    <t xml:space="preserve">A-S-0108</t>
  </si>
  <si>
    <t xml:space="preserve">A-S-0109</t>
  </si>
  <si>
    <t xml:space="preserve">A-S-0110</t>
  </si>
  <si>
    <t xml:space="preserve">A-S-0111</t>
  </si>
  <si>
    <t xml:space="preserve">A-S-0112</t>
  </si>
  <si>
    <t xml:space="preserve">A-S-0113</t>
  </si>
  <si>
    <t xml:space="preserve">A-S-0114</t>
  </si>
  <si>
    <t xml:space="preserve">A-S-0115</t>
  </si>
  <si>
    <t xml:space="preserve">A-S-0116</t>
  </si>
  <si>
    <t xml:space="preserve">A-S-0117</t>
  </si>
  <si>
    <t xml:space="preserve">A-S-0118</t>
  </si>
  <si>
    <t xml:space="preserve">A-S-0119</t>
  </si>
  <si>
    <t xml:space="preserve">A-S-0120</t>
  </si>
  <si>
    <t xml:space="preserve">A-S-0121</t>
  </si>
  <si>
    <t xml:space="preserve">A-S-0122</t>
  </si>
  <si>
    <t xml:space="preserve">A-S-0123</t>
  </si>
  <si>
    <t xml:space="preserve">A-S-0124</t>
  </si>
  <si>
    <t xml:space="preserve">A-S-0125</t>
  </si>
  <si>
    <t xml:space="preserve">A-S-0126</t>
  </si>
  <si>
    <t xml:space="preserve">A-S-0127</t>
  </si>
  <si>
    <t xml:space="preserve">A-S-0128</t>
  </si>
  <si>
    <t xml:space="preserve">A-S-0129</t>
  </si>
  <si>
    <t xml:space="preserve">A-S-0130</t>
  </si>
  <si>
    <t xml:space="preserve">A-S-0131</t>
  </si>
  <si>
    <t xml:space="preserve">A-S-0132</t>
  </si>
  <si>
    <t xml:space="preserve">A-S-0133</t>
  </si>
  <si>
    <t xml:space="preserve">A-S-0134</t>
  </si>
  <si>
    <t xml:space="preserve">A-S-0135</t>
  </si>
  <si>
    <t xml:space="preserve">A-S-0136</t>
  </si>
  <si>
    <t xml:space="preserve">A-S-0137</t>
  </si>
  <si>
    <t xml:space="preserve">A-S-0138</t>
  </si>
  <si>
    <t xml:space="preserve">A-S-0139</t>
  </si>
  <si>
    <t xml:space="preserve">A-S-0140</t>
  </si>
  <si>
    <t xml:space="preserve">A-S-0141</t>
  </si>
  <si>
    <t xml:space="preserve">A-S-0142</t>
  </si>
  <si>
    <t xml:space="preserve">A-S-0143</t>
  </si>
  <si>
    <t xml:space="preserve">A-S-0144</t>
  </si>
  <si>
    <t xml:space="preserve">A-S-0145</t>
  </si>
  <si>
    <t xml:space="preserve">A-S-0146</t>
  </si>
  <si>
    <t xml:space="preserve">A-S-0147</t>
  </si>
  <si>
    <t xml:space="preserve">A-S-0148</t>
  </si>
  <si>
    <t xml:space="preserve">A-S-0149</t>
  </si>
  <si>
    <t xml:space="preserve">A-S-0150</t>
  </si>
  <si>
    <t xml:space="preserve">A-S-0151</t>
  </si>
  <si>
    <t xml:space="preserve">A-S-0152</t>
  </si>
  <si>
    <t xml:space="preserve">A-S-0153</t>
  </si>
  <si>
    <t xml:space="preserve">A-S-0154</t>
  </si>
  <si>
    <t xml:space="preserve">A-S-0155</t>
  </si>
  <si>
    <t xml:space="preserve">A-S-0156</t>
  </si>
  <si>
    <t xml:space="preserve">A-S-0157</t>
  </si>
  <si>
    <t xml:space="preserve">A-S-0158</t>
  </si>
  <si>
    <t xml:space="preserve">A-S-0159</t>
  </si>
  <si>
    <t xml:space="preserve">A-S-0160</t>
  </si>
  <si>
    <t xml:space="preserve">A-S-0161</t>
  </si>
  <si>
    <t xml:space="preserve">A-S-0162</t>
  </si>
  <si>
    <t xml:space="preserve">A-S-0163</t>
  </si>
  <si>
    <t xml:space="preserve">A-S-0164</t>
  </si>
  <si>
    <t xml:space="preserve">A-S-0165</t>
  </si>
  <si>
    <t xml:space="preserve">A-S-0166</t>
  </si>
  <si>
    <t xml:space="preserve">A-S-0167</t>
  </si>
  <si>
    <t xml:space="preserve">A-S-0168</t>
  </si>
  <si>
    <t xml:space="preserve">A-S-0169</t>
  </si>
  <si>
    <t xml:space="preserve">A-S-0170</t>
  </si>
  <si>
    <t xml:space="preserve">A-S-0171</t>
  </si>
  <si>
    <t xml:space="preserve">A-S-0172</t>
  </si>
  <si>
    <t xml:space="preserve">A-S-0173</t>
  </si>
  <si>
    <t xml:space="preserve">A-S-0174</t>
  </si>
  <si>
    <t xml:space="preserve">A-S-0175</t>
  </si>
  <si>
    <t xml:space="preserve">A-S-0176</t>
  </si>
  <si>
    <t xml:space="preserve">A-S-0177</t>
  </si>
  <si>
    <t xml:space="preserve">A-S-0178</t>
  </si>
  <si>
    <t xml:space="preserve">A-S-0179</t>
  </si>
  <si>
    <t xml:space="preserve">A-S-0180</t>
  </si>
  <si>
    <t xml:space="preserve">A-S-0181</t>
  </si>
  <si>
    <t xml:space="preserve">A-S-0182</t>
  </si>
  <si>
    <t xml:space="preserve">A-S-0183</t>
  </si>
  <si>
    <t xml:space="preserve">A-S-0184</t>
  </si>
  <si>
    <t xml:space="preserve">A-S-0185</t>
  </si>
  <si>
    <t xml:space="preserve">A-S-0186</t>
  </si>
  <si>
    <t xml:space="preserve">A-S-0187</t>
  </si>
  <si>
    <t xml:space="preserve">A-S-0188</t>
  </si>
  <si>
    <t xml:space="preserve">A-S-0189</t>
  </si>
  <si>
    <t xml:space="preserve">A-S-0190</t>
  </si>
  <si>
    <t xml:space="preserve">A-S-0191</t>
  </si>
  <si>
    <t xml:space="preserve">A-S-0192</t>
  </si>
  <si>
    <t xml:space="preserve">A-S-0193</t>
  </si>
  <si>
    <t xml:space="preserve">A-S-0194</t>
  </si>
  <si>
    <t xml:space="preserve">A-S-0195</t>
  </si>
  <si>
    <t xml:space="preserve">A-S-0196</t>
  </si>
  <si>
    <t xml:space="preserve">A-S-0197</t>
  </si>
  <si>
    <t xml:space="preserve">A-S-0198</t>
  </si>
  <si>
    <t xml:space="preserve">A-S-0199</t>
  </si>
  <si>
    <t xml:space="preserve">A-S-0200</t>
  </si>
  <si>
    <t xml:space="preserve">A-S-0201</t>
  </si>
  <si>
    <t xml:space="preserve">A-S-0202</t>
  </si>
  <si>
    <t xml:space="preserve">A-S-0203</t>
  </si>
  <si>
    <t xml:space="preserve">A-S-0204</t>
  </si>
  <si>
    <t xml:space="preserve">A-S-0205</t>
  </si>
  <si>
    <t xml:space="preserve">A-S-0206</t>
  </si>
  <si>
    <t xml:space="preserve">A-S-0207</t>
  </si>
  <si>
    <t xml:space="preserve">A-S-0208</t>
  </si>
  <si>
    <t xml:space="preserve">A-S-0209</t>
  </si>
  <si>
    <t xml:space="preserve">A-S-0210</t>
  </si>
  <si>
    <t xml:space="preserve">A-S-0211</t>
  </si>
  <si>
    <t xml:space="preserve">A-S-0212</t>
  </si>
  <si>
    <t xml:space="preserve">A-S-0213</t>
  </si>
  <si>
    <t xml:space="preserve">A-S-0214</t>
  </si>
  <si>
    <t xml:space="preserve">A-S-0215</t>
  </si>
  <si>
    <t xml:space="preserve">A-S-0216</t>
  </si>
  <si>
    <t xml:space="preserve">A-S-0217</t>
  </si>
  <si>
    <t xml:space="preserve">A-S-0218</t>
  </si>
  <si>
    <t xml:space="preserve">A-S-0219</t>
  </si>
  <si>
    <t xml:space="preserve">A-S-0220</t>
  </si>
  <si>
    <t xml:space="preserve">A-S-0221</t>
  </si>
  <si>
    <t xml:space="preserve">A-S-0222</t>
  </si>
  <si>
    <t xml:space="preserve">A-S-0223</t>
  </si>
  <si>
    <t xml:space="preserve">A-S-0224</t>
  </si>
  <si>
    <t xml:space="preserve">A-S-0225</t>
  </si>
  <si>
    <t xml:space="preserve">A-S-0226</t>
  </si>
  <si>
    <t xml:space="preserve">A-S-0227</t>
  </si>
  <si>
    <t xml:space="preserve">A-S-0228</t>
  </si>
  <si>
    <t xml:space="preserve">A-S-0229</t>
  </si>
  <si>
    <t xml:space="preserve">A-S-0230</t>
  </si>
  <si>
    <t xml:space="preserve">A-S-0231</t>
  </si>
  <si>
    <t xml:space="preserve">A-S-0232</t>
  </si>
  <si>
    <t xml:space="preserve">A-S-0233</t>
  </si>
  <si>
    <t xml:space="preserve">A-S-0234</t>
  </si>
  <si>
    <t xml:space="preserve">A-S-0235</t>
  </si>
  <si>
    <t xml:space="preserve">A-S-0236</t>
  </si>
  <si>
    <t xml:space="preserve">A-S-0237</t>
  </si>
  <si>
    <t xml:space="preserve">A-S-0238</t>
  </si>
  <si>
    <t xml:space="preserve">A-S-0239</t>
  </si>
  <si>
    <t xml:space="preserve">A-S-0240</t>
  </si>
  <si>
    <t xml:space="preserve">A-S-0241</t>
  </si>
  <si>
    <t xml:space="preserve">A-S-0242</t>
  </si>
  <si>
    <t xml:space="preserve">A-S-0243</t>
  </si>
  <si>
    <t xml:space="preserve">A-S-0244</t>
  </si>
  <si>
    <t xml:space="preserve">A-S-0245</t>
  </si>
  <si>
    <t xml:space="preserve">A-S-0246</t>
  </si>
  <si>
    <t xml:space="preserve">A-S-0247</t>
  </si>
  <si>
    <t xml:space="preserve">A-S-0248</t>
  </si>
  <si>
    <t xml:space="preserve">A-S-0249</t>
  </si>
  <si>
    <t xml:space="preserve">A-S-0250</t>
  </si>
  <si>
    <t xml:space="preserve">A-S-0251</t>
  </si>
  <si>
    <t xml:space="preserve">A-S-0252</t>
  </si>
  <si>
    <t xml:space="preserve">A-S-0253</t>
  </si>
  <si>
    <t xml:space="preserve">A-S-0254</t>
  </si>
  <si>
    <t xml:space="preserve">A-S-0255</t>
  </si>
  <si>
    <t xml:space="preserve">A-S-0256</t>
  </si>
  <si>
    <t xml:space="preserve">A-S-0257</t>
  </si>
  <si>
    <t xml:space="preserve">A-S-0258</t>
  </si>
  <si>
    <t xml:space="preserve">A-S-0259</t>
  </si>
  <si>
    <t xml:space="preserve">A-S-0260</t>
  </si>
  <si>
    <t xml:space="preserve">A-S-0261</t>
  </si>
  <si>
    <t xml:space="preserve">A-S-0262</t>
  </si>
  <si>
    <t xml:space="preserve">A-S-0263</t>
  </si>
  <si>
    <t xml:space="preserve">A-S-0264</t>
  </si>
  <si>
    <t xml:space="preserve">A-S-0265</t>
  </si>
  <si>
    <t xml:space="preserve">A-S-0266</t>
  </si>
  <si>
    <t xml:space="preserve">A-S-0267</t>
  </si>
  <si>
    <t xml:space="preserve">A-S-0268</t>
  </si>
  <si>
    <t xml:space="preserve">A-S-0269</t>
  </si>
  <si>
    <t xml:space="preserve">A-S-0270</t>
  </si>
  <si>
    <t xml:space="preserve">A-S-0271</t>
  </si>
  <si>
    <t xml:space="preserve">A-S-0272</t>
  </si>
  <si>
    <t xml:space="preserve">A-S-0273</t>
  </si>
  <si>
    <t xml:space="preserve">A-S-0274</t>
  </si>
  <si>
    <t xml:space="preserve">A-S-0275</t>
  </si>
  <si>
    <t xml:space="preserve">A-S-0276</t>
  </si>
  <si>
    <t xml:space="preserve">A-S-0277</t>
  </si>
  <si>
    <t xml:space="preserve">A-S-0278</t>
  </si>
  <si>
    <t xml:space="preserve">A-S-0279</t>
  </si>
  <si>
    <t xml:space="preserve">A-S-0280</t>
  </si>
  <si>
    <t xml:space="preserve">A-S-0281</t>
  </si>
  <si>
    <t xml:space="preserve">A-S-0282</t>
  </si>
  <si>
    <t xml:space="preserve">A-S-0283</t>
  </si>
  <si>
    <t xml:space="preserve">A-S-0284</t>
  </si>
  <si>
    <t xml:space="preserve">A-S-0285</t>
  </si>
  <si>
    <t xml:space="preserve">A-S-0286</t>
  </si>
  <si>
    <t xml:space="preserve">A-S-0287</t>
  </si>
  <si>
    <t xml:space="preserve">A-S-0288</t>
  </si>
  <si>
    <t xml:space="preserve">A-S-0289</t>
  </si>
  <si>
    <t xml:space="preserve">A-S-0290</t>
  </si>
  <si>
    <t xml:space="preserve">A-S-0291</t>
  </si>
  <si>
    <t xml:space="preserve">A-S-0292</t>
  </si>
  <si>
    <t xml:space="preserve">A-S-0293</t>
  </si>
  <si>
    <t xml:space="preserve">A-S-0294</t>
  </si>
  <si>
    <t xml:space="preserve">A-S-0295</t>
  </si>
  <si>
    <t xml:space="preserve">A-S-0296</t>
  </si>
  <si>
    <t xml:space="preserve">A-S-0297</t>
  </si>
  <si>
    <t xml:space="preserve">A-S-0298</t>
  </si>
  <si>
    <t xml:space="preserve">A-S-0299</t>
  </si>
  <si>
    <t xml:space="preserve">A-S-0300</t>
  </si>
  <si>
    <t xml:space="preserve">A-S-0301</t>
  </si>
  <si>
    <t xml:space="preserve">A-S-0302</t>
  </si>
  <si>
    <t xml:space="preserve">A-S-0303</t>
  </si>
  <si>
    <t xml:space="preserve">A-S-0304</t>
  </si>
  <si>
    <t xml:space="preserve">A-S-0305</t>
  </si>
  <si>
    <t xml:space="preserve">A-S-0306</t>
  </si>
  <si>
    <t xml:space="preserve">A-S-0307</t>
  </si>
  <si>
    <t xml:space="preserve">A-S-0308</t>
  </si>
  <si>
    <t xml:space="preserve">A-S-0309</t>
  </si>
  <si>
    <t xml:space="preserve">A-S-0310</t>
  </si>
  <si>
    <t xml:space="preserve">A-S-0311</t>
  </si>
  <si>
    <t xml:space="preserve">A-S-0312</t>
  </si>
  <si>
    <t xml:space="preserve">A-S-0313</t>
  </si>
  <si>
    <t xml:space="preserve">A-S-0314</t>
  </si>
  <si>
    <t xml:space="preserve">A-S-0315</t>
  </si>
  <si>
    <t xml:space="preserve">A-S-0316</t>
  </si>
  <si>
    <t xml:space="preserve">A-S-0317</t>
  </si>
  <si>
    <t xml:space="preserve">A-S-0318</t>
  </si>
  <si>
    <t xml:space="preserve">A-S-0319</t>
  </si>
  <si>
    <t xml:space="preserve">A-S-0320</t>
  </si>
  <si>
    <t xml:space="preserve">A-S-0321</t>
  </si>
  <si>
    <t xml:space="preserve">A-S-0322</t>
  </si>
  <si>
    <t xml:space="preserve">A-S-0323</t>
  </si>
  <si>
    <t xml:space="preserve">A-S-0324</t>
  </si>
  <si>
    <t xml:space="preserve">A-S-0325</t>
  </si>
  <si>
    <t xml:space="preserve">A-S-0326</t>
  </si>
  <si>
    <t xml:space="preserve">A-S-0327</t>
  </si>
  <si>
    <t xml:space="preserve">A-S-0328</t>
  </si>
  <si>
    <t xml:space="preserve">A-S-0329</t>
  </si>
  <si>
    <t xml:space="preserve">A-S-0330</t>
  </si>
  <si>
    <t xml:space="preserve">A-S-0331</t>
  </si>
  <si>
    <t xml:space="preserve">A-S-0332</t>
  </si>
  <si>
    <t xml:space="preserve">A-S-0333</t>
  </si>
  <si>
    <t xml:space="preserve">A-S-0334</t>
  </si>
  <si>
    <t xml:space="preserve">A-S-0335</t>
  </si>
  <si>
    <t xml:space="preserve">A-S-0336</t>
  </si>
  <si>
    <t xml:space="preserve">A-S-0337</t>
  </si>
  <si>
    <t xml:space="preserve">A-S-0338</t>
  </si>
  <si>
    <t xml:space="preserve">A-S-0339</t>
  </si>
  <si>
    <t xml:space="preserve">A-S-0340</t>
  </si>
  <si>
    <t xml:space="preserve">A-S-0341</t>
  </si>
  <si>
    <t xml:space="preserve">A-S-0342</t>
  </si>
  <si>
    <t xml:space="preserve">A-S-0343</t>
  </si>
  <si>
    <t xml:space="preserve">A-S-0344</t>
  </si>
  <si>
    <t xml:space="preserve">A-S-0345</t>
  </si>
  <si>
    <t xml:space="preserve">A-S-0346</t>
  </si>
  <si>
    <t xml:space="preserve">A-S-0347</t>
  </si>
  <si>
    <t xml:space="preserve">A-S-0348</t>
  </si>
  <si>
    <t xml:space="preserve">A-S-0349</t>
  </si>
  <si>
    <t xml:space="preserve">A-S-0350</t>
  </si>
  <si>
    <t xml:space="preserve">A-S-0351</t>
  </si>
  <si>
    <t xml:space="preserve">A-S-0352</t>
  </si>
  <si>
    <t xml:space="preserve">A-S-0353</t>
  </si>
  <si>
    <t xml:space="preserve">A-S-0354</t>
  </si>
  <si>
    <t xml:space="preserve">A-S-0355</t>
  </si>
  <si>
    <t xml:space="preserve">A-S-0356</t>
  </si>
  <si>
    <t xml:space="preserve">A-S-0357</t>
  </si>
  <si>
    <t xml:space="preserve">A-S-0358</t>
  </si>
  <si>
    <t xml:space="preserve">A-S-0359</t>
  </si>
  <si>
    <t xml:space="preserve">A-S-0360</t>
  </si>
  <si>
    <t xml:space="preserve">A-S-0361</t>
  </si>
  <si>
    <t xml:space="preserve">A-S-0362</t>
  </si>
  <si>
    <t xml:space="preserve">A-S-0363</t>
  </si>
  <si>
    <t xml:space="preserve">A-S-0364</t>
  </si>
  <si>
    <t xml:space="preserve">A-S-0365</t>
  </si>
  <si>
    <t xml:space="preserve">A-S-0366</t>
  </si>
  <si>
    <t xml:space="preserve">A-S-0367</t>
  </si>
  <si>
    <t xml:space="preserve">A-S-0368</t>
  </si>
  <si>
    <t xml:space="preserve">A-S-0369</t>
  </si>
  <si>
    <t xml:space="preserve">A-S-0370</t>
  </si>
  <si>
    <t xml:space="preserve">A-S-0371</t>
  </si>
  <si>
    <t xml:space="preserve">A-S-0372</t>
  </si>
  <si>
    <t xml:space="preserve">A-S-0373</t>
  </si>
  <si>
    <t xml:space="preserve">A-S-0374</t>
  </si>
  <si>
    <t xml:space="preserve">A-S-0375</t>
  </si>
  <si>
    <t xml:space="preserve">A-S-0376</t>
  </si>
  <si>
    <t xml:space="preserve">A-S-0377</t>
  </si>
  <si>
    <t xml:space="preserve">A-S-0378</t>
  </si>
  <si>
    <t xml:space="preserve">A-S-0379</t>
  </si>
  <si>
    <t xml:space="preserve">A-S-0380</t>
  </si>
  <si>
    <t xml:space="preserve">A-S-0381</t>
  </si>
  <si>
    <t xml:space="preserve">A-S-0382</t>
  </si>
  <si>
    <t xml:space="preserve">A-S-0383</t>
  </si>
  <si>
    <t xml:space="preserve">A-S-0384</t>
  </si>
  <si>
    <t xml:space="preserve">A-S-0385</t>
  </si>
  <si>
    <t xml:space="preserve">A-S-0386</t>
  </si>
  <si>
    <t xml:space="preserve">A-S-0387</t>
  </si>
  <si>
    <t xml:space="preserve">A-S-0388</t>
  </si>
  <si>
    <t xml:space="preserve">A-S-0389</t>
  </si>
  <si>
    <t xml:space="preserve">A-S-0390</t>
  </si>
  <si>
    <t xml:space="preserve">A-S-0391</t>
  </si>
  <si>
    <t xml:space="preserve">A-S-0392</t>
  </si>
  <si>
    <t xml:space="preserve">A-S-0393</t>
  </si>
  <si>
    <t xml:space="preserve">A-S-0394</t>
  </si>
  <si>
    <t xml:space="preserve">A-S-0395</t>
  </si>
  <si>
    <t xml:space="preserve">A-S-0396</t>
  </si>
  <si>
    <t xml:space="preserve">A-S-0397</t>
  </si>
  <si>
    <t xml:space="preserve">A-S-0398</t>
  </si>
  <si>
    <t xml:space="preserve">A-S-0399</t>
  </si>
  <si>
    <t xml:space="preserve">A-S-0400</t>
  </si>
  <si>
    <t xml:space="preserve">A-S-0401</t>
  </si>
  <si>
    <t xml:space="preserve">A-S-0402</t>
  </si>
  <si>
    <t xml:space="preserve">A-S-0403</t>
  </si>
  <si>
    <t xml:space="preserve">A-S-0404</t>
  </si>
  <si>
    <t xml:space="preserve">A-S-0405</t>
  </si>
  <si>
    <t xml:space="preserve">A-S-0406</t>
  </si>
  <si>
    <t xml:space="preserve">A-S-0407</t>
  </si>
  <si>
    <t xml:space="preserve">A-S-0408</t>
  </si>
  <si>
    <t xml:space="preserve">A-S-0409</t>
  </si>
  <si>
    <t xml:space="preserve">A-S-0410</t>
  </si>
  <si>
    <t xml:space="preserve">A-S-0411</t>
  </si>
  <si>
    <t xml:space="preserve">A-S-0412</t>
  </si>
  <si>
    <t xml:space="preserve">A-S-0413</t>
  </si>
  <si>
    <t xml:space="preserve">A-S-0414</t>
  </si>
  <si>
    <t xml:space="preserve">A-S-0415</t>
  </si>
  <si>
    <t xml:space="preserve">A-S-0416</t>
  </si>
  <si>
    <t xml:space="preserve">A-S-0417</t>
  </si>
  <si>
    <t xml:space="preserve">A-S-0418</t>
  </si>
  <si>
    <t xml:space="preserve">A-S-0419</t>
  </si>
  <si>
    <t xml:space="preserve">A-S-0420</t>
  </si>
  <si>
    <t xml:space="preserve">A-S-0421</t>
  </si>
  <si>
    <t xml:space="preserve">A-S-0422</t>
  </si>
  <si>
    <t xml:space="preserve">A-S-0423</t>
  </si>
  <si>
    <t xml:space="preserve">A-S-0424</t>
  </si>
  <si>
    <t xml:space="preserve">A-S-0425</t>
  </si>
  <si>
    <t xml:space="preserve">A-S-0426</t>
  </si>
  <si>
    <t xml:space="preserve">A-S-0427</t>
  </si>
  <si>
    <t xml:space="preserve">A-S-0428</t>
  </si>
  <si>
    <t xml:space="preserve">A-S-0429</t>
  </si>
  <si>
    <t xml:space="preserve">A-S-0430</t>
  </si>
  <si>
    <t xml:space="preserve">A-S-0431</t>
  </si>
  <si>
    <t xml:space="preserve">A-S-0432</t>
  </si>
  <si>
    <t xml:space="preserve">A-S-0433</t>
  </si>
  <si>
    <t xml:space="preserve">A-S-0434</t>
  </si>
  <si>
    <t xml:space="preserve">A-S-0435</t>
  </si>
  <si>
    <t xml:space="preserve">A-S-0436</t>
  </si>
  <si>
    <t xml:space="preserve">A-S-0437</t>
  </si>
  <si>
    <t xml:space="preserve">A-S-0438</t>
  </si>
  <si>
    <t xml:space="preserve">A-S-0439</t>
  </si>
  <si>
    <t xml:space="preserve">A-S-0440</t>
  </si>
  <si>
    <t xml:space="preserve">A-S-0441</t>
  </si>
  <si>
    <t xml:space="preserve">A-S-0442</t>
  </si>
  <si>
    <t xml:space="preserve">A-S-0443</t>
  </si>
  <si>
    <t xml:space="preserve">A-S-0444</t>
  </si>
  <si>
    <t xml:space="preserve">A-S-0445</t>
  </si>
  <si>
    <t xml:space="preserve">A-S-0446</t>
  </si>
  <si>
    <t xml:space="preserve">A-S-0447</t>
  </si>
  <si>
    <t xml:space="preserve">A-S-0448</t>
  </si>
  <si>
    <t xml:space="preserve">A-S-0449</t>
  </si>
  <si>
    <t xml:space="preserve">A-S-0450</t>
  </si>
  <si>
    <t xml:space="preserve">A-S-0451</t>
  </si>
  <si>
    <t xml:space="preserve">A-S-0452</t>
  </si>
  <si>
    <t xml:space="preserve">A-S-0453</t>
  </si>
  <si>
    <t xml:space="preserve">A-S-0454</t>
  </si>
  <si>
    <t xml:space="preserve">A-S-0455</t>
  </si>
  <si>
    <t xml:space="preserve">A-S-0456</t>
  </si>
  <si>
    <t xml:space="preserve">A-S-0457</t>
  </si>
  <si>
    <t xml:space="preserve">A-S-0458</t>
  </si>
  <si>
    <t xml:space="preserve">A-S-0459</t>
  </si>
  <si>
    <t xml:space="preserve">A-S-0460</t>
  </si>
  <si>
    <t xml:space="preserve">A-S-0461</t>
  </si>
  <si>
    <t xml:space="preserve">A-S-0462</t>
  </si>
  <si>
    <t xml:space="preserve">A-S-0463</t>
  </si>
  <si>
    <t xml:space="preserve">A-S-0464</t>
  </si>
  <si>
    <t xml:space="preserve">A-S-0465</t>
  </si>
  <si>
    <t xml:space="preserve">A-S-0466</t>
  </si>
  <si>
    <t xml:space="preserve">A-S-0467</t>
  </si>
  <si>
    <t xml:space="preserve">A-S-0468</t>
  </si>
  <si>
    <t xml:space="preserve">A-S-0469</t>
  </si>
  <si>
    <t xml:space="preserve">A-S-0470</t>
  </si>
  <si>
    <t xml:space="preserve">A-S-0471</t>
  </si>
  <si>
    <t xml:space="preserve">A-S-0472</t>
  </si>
  <si>
    <t xml:space="preserve">A-S-0473</t>
  </si>
  <si>
    <t xml:space="preserve">A-S-0474</t>
  </si>
  <si>
    <t xml:space="preserve">A-S-0475</t>
  </si>
  <si>
    <t xml:space="preserve">A-S-0476</t>
  </si>
  <si>
    <t xml:space="preserve">A-S-0477</t>
  </si>
  <si>
    <t xml:space="preserve">A-S-0478</t>
  </si>
  <si>
    <t xml:space="preserve">A-S-0479</t>
  </si>
  <si>
    <t xml:space="preserve">A-S-0480</t>
  </si>
  <si>
    <t xml:space="preserve">A-S-0481</t>
  </si>
  <si>
    <t xml:space="preserve">A-S-0482</t>
  </si>
  <si>
    <t xml:space="preserve">A-S-0483</t>
  </si>
  <si>
    <t xml:space="preserve">A-S-0484</t>
  </si>
  <si>
    <t xml:space="preserve">A-S-0485</t>
  </si>
  <si>
    <t xml:space="preserve">A-S-0486</t>
  </si>
  <si>
    <t xml:space="preserve">A-S-0487</t>
  </si>
  <si>
    <t xml:space="preserve">A-S-0488</t>
  </si>
  <si>
    <t xml:space="preserve">A-S-0489</t>
  </si>
  <si>
    <t xml:space="preserve">A-S-0490</t>
  </si>
  <si>
    <t xml:space="preserve">A-S-0491</t>
  </si>
  <si>
    <t xml:space="preserve">A-S-0492</t>
  </si>
  <si>
    <t xml:space="preserve">A-S-0493</t>
  </si>
  <si>
    <t xml:space="preserve">A-S-0494</t>
  </si>
  <si>
    <t xml:space="preserve">A-S-0495</t>
  </si>
  <si>
    <t xml:space="preserve">A-S-0496</t>
  </si>
  <si>
    <t xml:space="preserve">A-S-0497</t>
  </si>
  <si>
    <t xml:space="preserve">A-S-0498</t>
  </si>
  <si>
    <t xml:space="preserve">A-S-0499</t>
  </si>
  <si>
    <t xml:space="preserve">A-S-0500</t>
  </si>
  <si>
    <t xml:space="preserve">A-S-0501</t>
  </si>
  <si>
    <t xml:space="preserve">A-S-0502</t>
  </si>
  <si>
    <t xml:space="preserve">A-S-0503</t>
  </si>
  <si>
    <t xml:space="preserve">A-S-0504</t>
  </si>
  <si>
    <t xml:space="preserve">A-S-0505</t>
  </si>
  <si>
    <t xml:space="preserve">A-S-0506</t>
  </si>
  <si>
    <t xml:space="preserve">A-S-0507</t>
  </si>
  <si>
    <t xml:space="preserve">A-S-0508</t>
  </si>
  <si>
    <t xml:space="preserve">A-S-0509</t>
  </si>
  <si>
    <t xml:space="preserve">A-S-0510</t>
  </si>
  <si>
    <t xml:space="preserve">A-S-0511</t>
  </si>
  <si>
    <t xml:space="preserve">A-S-0512</t>
  </si>
  <si>
    <t xml:space="preserve">A-S-0513</t>
  </si>
  <si>
    <t xml:space="preserve">A-S-0514</t>
  </si>
  <si>
    <t xml:space="preserve">A-S-0515</t>
  </si>
  <si>
    <t xml:space="preserve">A-S-0516</t>
  </si>
  <si>
    <t xml:space="preserve">A-S-0517</t>
  </si>
  <si>
    <t xml:space="preserve">A-S-0518</t>
  </si>
  <si>
    <t xml:space="preserve">A-S-0519</t>
  </si>
  <si>
    <t xml:space="preserve">A-S-0520</t>
  </si>
  <si>
    <t xml:space="preserve">A-S-0521</t>
  </si>
  <si>
    <t xml:space="preserve">A-S-0522</t>
  </si>
  <si>
    <t xml:space="preserve">A-S-0523</t>
  </si>
  <si>
    <t xml:space="preserve">A-S-0524</t>
  </si>
  <si>
    <t xml:space="preserve">A-S-0525</t>
  </si>
  <si>
    <t xml:space="preserve">A-S-0526</t>
  </si>
  <si>
    <t xml:space="preserve">A-S-0527</t>
  </si>
  <si>
    <t xml:space="preserve">A-S-0528</t>
  </si>
  <si>
    <t xml:space="preserve">A-S-0529</t>
  </si>
  <si>
    <t xml:space="preserve">A-S-0530</t>
  </si>
  <si>
    <t xml:space="preserve">A-S-0531</t>
  </si>
  <si>
    <t xml:space="preserve">A-S-0532</t>
  </si>
  <si>
    <t xml:space="preserve">A-S-0533</t>
  </si>
  <si>
    <t xml:space="preserve">A-S-0534</t>
  </si>
  <si>
    <t xml:space="preserve">A-S-0535</t>
  </si>
  <si>
    <t xml:space="preserve">A-S-0536</t>
  </si>
  <si>
    <t xml:space="preserve">A-S-0537</t>
  </si>
  <si>
    <t xml:space="preserve">A-S-0538</t>
  </si>
  <si>
    <t xml:space="preserve">A-S-0539</t>
  </si>
  <si>
    <t xml:space="preserve">A-S-0540</t>
  </si>
  <si>
    <t xml:space="preserve">A-S-0541</t>
  </si>
  <si>
    <t xml:space="preserve">A-S-0542</t>
  </si>
  <si>
    <t xml:space="preserve">A-S-0543</t>
  </si>
  <si>
    <t xml:space="preserve">A-S-0544</t>
  </si>
  <si>
    <t xml:space="preserve">A-S-0545</t>
  </si>
  <si>
    <t xml:space="preserve">A-S-0546</t>
  </si>
  <si>
    <t xml:space="preserve">A-S-0547</t>
  </si>
  <si>
    <t xml:space="preserve">A-S-0548</t>
  </si>
  <si>
    <t xml:space="preserve">A-S-0549</t>
  </si>
  <si>
    <t xml:space="preserve">A-S-0550</t>
  </si>
  <si>
    <t xml:space="preserve">A-S-0551</t>
  </si>
  <si>
    <t xml:space="preserve">A-S-0552</t>
  </si>
  <si>
    <t xml:space="preserve">A-S-0553</t>
  </si>
  <si>
    <t xml:space="preserve">A-S-0554</t>
  </si>
  <si>
    <t xml:space="preserve">A-S-0555</t>
  </si>
  <si>
    <t xml:space="preserve">A-S-0556</t>
  </si>
  <si>
    <t xml:space="preserve">A-S-0557</t>
  </si>
  <si>
    <t xml:space="preserve">A-S-0558</t>
  </si>
  <si>
    <t xml:space="preserve">A-S-0559</t>
  </si>
  <si>
    <t xml:space="preserve">A-S-0560</t>
  </si>
  <si>
    <t xml:space="preserve">A-S-0561</t>
  </si>
  <si>
    <t xml:space="preserve">A-S-0562</t>
  </si>
  <si>
    <t xml:space="preserve">A-S-0563</t>
  </si>
  <si>
    <t xml:space="preserve">A-S-0564</t>
  </si>
  <si>
    <t xml:space="preserve">A-S-0565</t>
  </si>
  <si>
    <t xml:space="preserve">A-S-0566</t>
  </si>
  <si>
    <t xml:space="preserve">A-S-0567</t>
  </si>
  <si>
    <t xml:space="preserve">A-S-0568</t>
  </si>
  <si>
    <t xml:space="preserve">A-S-0569</t>
  </si>
  <si>
    <t xml:space="preserve">A-S-0570</t>
  </si>
  <si>
    <t xml:space="preserve">A-S-0571</t>
  </si>
  <si>
    <t xml:space="preserve">A-S-0572</t>
  </si>
  <si>
    <t xml:space="preserve">A-S-0573</t>
  </si>
  <si>
    <t xml:space="preserve">A-S-0574</t>
  </si>
  <si>
    <t xml:space="preserve">A-S-0575</t>
  </si>
  <si>
    <t xml:space="preserve">A-S-0576</t>
  </si>
  <si>
    <t xml:space="preserve">A-S-0577</t>
  </si>
  <si>
    <t xml:space="preserve">A-S-0578</t>
  </si>
  <si>
    <t xml:space="preserve">A-S-0579</t>
  </si>
  <si>
    <t xml:space="preserve">A-S-0580</t>
  </si>
  <si>
    <t xml:space="preserve">A-S-0581</t>
  </si>
  <si>
    <t xml:space="preserve">A-S-0582</t>
  </si>
  <si>
    <t xml:space="preserve">A-S-0583</t>
  </si>
  <si>
    <t xml:space="preserve">A-S-0584</t>
  </si>
  <si>
    <t xml:space="preserve">A-S-0585</t>
  </si>
  <si>
    <t xml:space="preserve">A-S-0586</t>
  </si>
  <si>
    <t xml:space="preserve">A-S-0587</t>
  </si>
  <si>
    <t xml:space="preserve">A-S-0588</t>
  </si>
  <si>
    <t xml:space="preserve">A-S-0589</t>
  </si>
  <si>
    <t xml:space="preserve">A-S-0590</t>
  </si>
  <si>
    <t xml:space="preserve">A-S-0591</t>
  </si>
  <si>
    <t xml:space="preserve">A-S-0592</t>
  </si>
  <si>
    <t xml:space="preserve">A-S-0593</t>
  </si>
  <si>
    <t xml:space="preserve">A-S-0594</t>
  </si>
  <si>
    <t xml:space="preserve">A-S-0595</t>
  </si>
  <si>
    <t xml:space="preserve">A-S-0596</t>
  </si>
  <si>
    <t xml:space="preserve">A-S-0597</t>
  </si>
  <si>
    <t xml:space="preserve">A-S-0598</t>
  </si>
  <si>
    <t xml:space="preserve">A-S-0599</t>
  </si>
  <si>
    <t xml:space="preserve">A-S-0600</t>
  </si>
  <si>
    <t xml:space="preserve">A-S-0601</t>
  </si>
  <si>
    <t xml:space="preserve">A-S-0602</t>
  </si>
  <si>
    <t xml:space="preserve">A-S-0603</t>
  </si>
  <si>
    <t xml:space="preserve">A-S-0604</t>
  </si>
  <si>
    <t xml:space="preserve">A-S-0605</t>
  </si>
  <si>
    <t xml:space="preserve">A-S-0606</t>
  </si>
  <si>
    <t xml:space="preserve">A-S-0607</t>
  </si>
  <si>
    <t xml:space="preserve">A-S-0608</t>
  </si>
  <si>
    <t xml:space="preserve">A-S-0609</t>
  </si>
  <si>
    <t xml:space="preserve">A-S-0610</t>
  </si>
  <si>
    <t xml:space="preserve">A-S-0611</t>
  </si>
  <si>
    <t xml:space="preserve">A-S-0612</t>
  </si>
  <si>
    <t xml:space="preserve">A-S-0613</t>
  </si>
  <si>
    <t xml:space="preserve">A-S-0614</t>
  </si>
  <si>
    <t xml:space="preserve">A-S-0615</t>
  </si>
  <si>
    <t xml:space="preserve">A-S-0616</t>
  </si>
  <si>
    <t xml:space="preserve">A-S-0617</t>
  </si>
  <si>
    <t xml:space="preserve">A-S-0618</t>
  </si>
  <si>
    <t xml:space="preserve">A-S-0619</t>
  </si>
  <si>
    <t xml:space="preserve">A-S-0620</t>
  </si>
  <si>
    <t xml:space="preserve">A-S-0621</t>
  </si>
  <si>
    <t xml:space="preserve">A-S-0622</t>
  </si>
  <si>
    <t xml:space="preserve">A-S-0623</t>
  </si>
  <si>
    <t xml:space="preserve">A-S-0624</t>
  </si>
  <si>
    <t xml:space="preserve">A-S-0625</t>
  </si>
  <si>
    <t xml:space="preserve">A-S-0626</t>
  </si>
  <si>
    <t xml:space="preserve">A-S-0627</t>
  </si>
  <si>
    <t xml:space="preserve">A-S-0628</t>
  </si>
  <si>
    <t xml:space="preserve">A-S-0629</t>
  </si>
  <si>
    <t xml:space="preserve">A-S-0630</t>
  </si>
  <si>
    <t xml:space="preserve">A-S-0631</t>
  </si>
  <si>
    <t xml:space="preserve">A-S-0632</t>
  </si>
  <si>
    <t xml:space="preserve">A-S-0633</t>
  </si>
  <si>
    <t xml:space="preserve">A-S-0634</t>
  </si>
  <si>
    <t xml:space="preserve">A-S-0635</t>
  </si>
  <si>
    <t xml:space="preserve">A-S-0636</t>
  </si>
  <si>
    <t xml:space="preserve">A-S-0637</t>
  </si>
  <si>
    <t xml:space="preserve">A-S-0638</t>
  </si>
  <si>
    <t xml:space="preserve">A-S-0639</t>
  </si>
  <si>
    <t xml:space="preserve">A-S-0640</t>
  </si>
  <si>
    <t xml:space="preserve">A-S-0641</t>
  </si>
  <si>
    <t xml:space="preserve">A-S-0642</t>
  </si>
  <si>
    <t xml:space="preserve">A-S-0643</t>
  </si>
  <si>
    <t xml:space="preserve">A-S-0644</t>
  </si>
  <si>
    <t xml:space="preserve">A-S-0645</t>
  </si>
  <si>
    <t xml:space="preserve">A-S-0646</t>
  </si>
  <si>
    <t xml:space="preserve">A-S-0647</t>
  </si>
  <si>
    <t xml:space="preserve">A-S-0648</t>
  </si>
  <si>
    <t xml:space="preserve">A-S-0649</t>
  </si>
  <si>
    <t xml:space="preserve">A-S-0650</t>
  </si>
  <si>
    <t xml:space="preserve">A-S-0651</t>
  </si>
  <si>
    <t xml:space="preserve">A-S-0652</t>
  </si>
  <si>
    <t xml:space="preserve">A-S-0653</t>
  </si>
  <si>
    <t xml:space="preserve">A-S-0654</t>
  </si>
  <si>
    <t xml:space="preserve">A-S-0655</t>
  </si>
  <si>
    <t xml:space="preserve">A-S-0656</t>
  </si>
  <si>
    <t xml:space="preserve">A-S-0657</t>
  </si>
  <si>
    <t xml:space="preserve">A-S-0658</t>
  </si>
  <si>
    <t xml:space="preserve">A-S-0659</t>
  </si>
  <si>
    <t xml:space="preserve">A-S-0660</t>
  </si>
  <si>
    <t xml:space="preserve">A-S-0661</t>
  </si>
  <si>
    <t xml:space="preserve">A-S-0662</t>
  </si>
  <si>
    <t xml:space="preserve">A-S-0663</t>
  </si>
  <si>
    <t xml:space="preserve">A-S-0664</t>
  </si>
  <si>
    <t xml:space="preserve">A-S-0665</t>
  </si>
  <si>
    <t xml:space="preserve">A-S-0666</t>
  </si>
  <si>
    <t xml:space="preserve">A-S-0667</t>
  </si>
  <si>
    <t xml:space="preserve">A-S-0668</t>
  </si>
  <si>
    <t xml:space="preserve">A-S-0669</t>
  </si>
  <si>
    <t xml:space="preserve">A-S-0670</t>
  </si>
  <si>
    <t xml:space="preserve">A-S-0671</t>
  </si>
  <si>
    <t xml:space="preserve">A-S-0672</t>
  </si>
  <si>
    <t xml:space="preserve">A-S-0673</t>
  </si>
  <si>
    <t xml:space="preserve">A-S-0674</t>
  </si>
  <si>
    <t xml:space="preserve">A-S-0675</t>
  </si>
  <si>
    <t xml:space="preserve">A-S-0676</t>
  </si>
  <si>
    <t xml:space="preserve">A-S-0677</t>
  </si>
  <si>
    <t xml:space="preserve">A-S-0678</t>
  </si>
  <si>
    <t xml:space="preserve">A-S-0679</t>
  </si>
  <si>
    <t xml:space="preserve">A-S-0680</t>
  </si>
  <si>
    <t xml:space="preserve">A-S-0681</t>
  </si>
  <si>
    <t xml:space="preserve">A-S-0682</t>
  </si>
  <si>
    <t xml:space="preserve">A-S-0683</t>
  </si>
  <si>
    <t xml:space="preserve">A-S-0684</t>
  </si>
  <si>
    <t xml:space="preserve">A-S-0685</t>
  </si>
  <si>
    <t xml:space="preserve">A-S-0686</t>
  </si>
  <si>
    <t xml:space="preserve">A-S-0687</t>
  </si>
  <si>
    <t xml:space="preserve">A-S-0688</t>
  </si>
  <si>
    <t xml:space="preserve">A-S-0689</t>
  </si>
  <si>
    <t xml:space="preserve">A-S-0690</t>
  </si>
  <si>
    <t xml:space="preserve">A-S-0691</t>
  </si>
  <si>
    <t xml:space="preserve">A-S-0692</t>
  </si>
  <si>
    <t xml:space="preserve">A-S-0693</t>
  </si>
  <si>
    <t xml:space="preserve">A-S-0694</t>
  </si>
  <si>
    <t xml:space="preserve">A-S-0695</t>
  </si>
  <si>
    <t xml:space="preserve">A-S-0696</t>
  </si>
  <si>
    <t xml:space="preserve">A-S-0697</t>
  </si>
  <si>
    <t xml:space="preserve">A-S-0698</t>
  </si>
  <si>
    <t xml:space="preserve">A-S-0699</t>
  </si>
  <si>
    <t xml:space="preserve">A-S-0700</t>
  </si>
  <si>
    <t xml:space="preserve">A-S-0701</t>
  </si>
  <si>
    <t xml:space="preserve">A-S-0702</t>
  </si>
  <si>
    <t xml:space="preserve">A-S-0703</t>
  </si>
  <si>
    <t xml:space="preserve">A-S-0704</t>
  </si>
  <si>
    <t xml:space="preserve">A-S-0705</t>
  </si>
  <si>
    <t xml:space="preserve">A-S-0706</t>
  </si>
  <si>
    <t xml:space="preserve">A-S-0707</t>
  </si>
  <si>
    <t xml:space="preserve">A-S-0708</t>
  </si>
  <si>
    <t xml:space="preserve">A-S-0709</t>
  </si>
  <si>
    <t xml:space="preserve">A-S-0710</t>
  </si>
  <si>
    <t xml:space="preserve">A-S-0711</t>
  </si>
  <si>
    <t xml:space="preserve">A-S-0712</t>
  </si>
  <si>
    <t xml:space="preserve">A-S-0713</t>
  </si>
  <si>
    <t xml:space="preserve">A-S-0714</t>
  </si>
  <si>
    <t xml:space="preserve">A-S-0715</t>
  </si>
  <si>
    <t xml:space="preserve">A-S-0716</t>
  </si>
  <si>
    <t xml:space="preserve">A-S-0717</t>
  </si>
  <si>
    <t xml:space="preserve">A-S-0718</t>
  </si>
  <si>
    <t xml:space="preserve">A-S-0719</t>
  </si>
  <si>
    <t xml:space="preserve">A-S-0720</t>
  </si>
  <si>
    <t xml:space="preserve">A-S-0721</t>
  </si>
  <si>
    <t xml:space="preserve">A-S-0722</t>
  </si>
  <si>
    <t xml:space="preserve">A-S-0723</t>
  </si>
  <si>
    <t xml:space="preserve">A-S-0724</t>
  </si>
  <si>
    <t xml:space="preserve">A-S-0725</t>
  </si>
  <si>
    <t xml:space="preserve">A-S-0726</t>
  </si>
  <si>
    <t xml:space="preserve">A-S-0727</t>
  </si>
  <si>
    <t xml:space="preserve">A-S-0728</t>
  </si>
  <si>
    <t xml:space="preserve">A-S-0729</t>
  </si>
  <si>
    <t xml:space="preserve">A-S-0730</t>
  </si>
  <si>
    <t xml:space="preserve">A-S-0731</t>
  </si>
  <si>
    <t xml:space="preserve">A-S-0732</t>
  </si>
  <si>
    <t xml:space="preserve">A-S-0733</t>
  </si>
  <si>
    <t xml:space="preserve">A-S-0734</t>
  </si>
  <si>
    <t xml:space="preserve">A-S-0735</t>
  </si>
  <si>
    <t xml:space="preserve">A-S-0736</t>
  </si>
  <si>
    <t xml:space="preserve">A-S-0737</t>
  </si>
  <si>
    <t xml:space="preserve">A-S-0738</t>
  </si>
  <si>
    <t xml:space="preserve">A-S-0739</t>
  </si>
  <si>
    <t xml:space="preserve">A-S-0740</t>
  </si>
  <si>
    <t xml:space="preserve">A-S-0741</t>
  </si>
  <si>
    <t xml:space="preserve">A-S-0742</t>
  </si>
  <si>
    <t xml:space="preserve">A-S-0743</t>
  </si>
  <si>
    <t xml:space="preserve">A-S-0744</t>
  </si>
  <si>
    <t xml:space="preserve">A-S-0745</t>
  </si>
  <si>
    <t xml:space="preserve">A-S-0746</t>
  </si>
  <si>
    <t xml:space="preserve">A-S-0747</t>
  </si>
  <si>
    <t xml:space="preserve">A-S-0748</t>
  </si>
  <si>
    <t xml:space="preserve">A-S-0749</t>
  </si>
  <si>
    <t xml:space="preserve">A-S-0750</t>
  </si>
  <si>
    <t xml:space="preserve">A-S-0751</t>
  </si>
  <si>
    <t xml:space="preserve">A-S-0752</t>
  </si>
  <si>
    <t xml:space="preserve">A-S-0753</t>
  </si>
  <si>
    <t xml:space="preserve">A-S-0754</t>
  </si>
  <si>
    <t xml:space="preserve">A-S-0755</t>
  </si>
  <si>
    <t xml:space="preserve">A-S-0756</t>
  </si>
  <si>
    <t xml:space="preserve">A-S-0757</t>
  </si>
  <si>
    <t xml:space="preserve">A-S-0758</t>
  </si>
  <si>
    <t xml:space="preserve">A-S-0759</t>
  </si>
  <si>
    <t xml:space="preserve">A-S-0760</t>
  </si>
  <si>
    <t xml:space="preserve">A-S-0761</t>
  </si>
  <si>
    <t xml:space="preserve">A-S-0762</t>
  </si>
  <si>
    <t xml:space="preserve">A-S-0763</t>
  </si>
  <si>
    <t xml:space="preserve">A-S-0764</t>
  </si>
  <si>
    <t xml:space="preserve">A-S-0765</t>
  </si>
  <si>
    <t xml:space="preserve">A-S-0766</t>
  </si>
  <si>
    <t xml:space="preserve">A-S-0767</t>
  </si>
  <si>
    <t xml:space="preserve">A-S-0768</t>
  </si>
  <si>
    <t xml:space="preserve">A-S-0769</t>
  </si>
  <si>
    <t xml:space="preserve">A-S-0770</t>
  </si>
  <si>
    <t xml:space="preserve">A-S-0771</t>
  </si>
  <si>
    <t xml:space="preserve">A-S-0772</t>
  </si>
  <si>
    <t xml:space="preserve">A-S-0773</t>
  </si>
  <si>
    <t xml:space="preserve">A-S-0774</t>
  </si>
  <si>
    <t xml:space="preserve">A-S-0775</t>
  </si>
  <si>
    <t xml:space="preserve">A-S-0776</t>
  </si>
  <si>
    <t xml:space="preserve">A-S-0777</t>
  </si>
  <si>
    <t xml:space="preserve">A-S-0778</t>
  </si>
  <si>
    <t xml:space="preserve">A-S-0779</t>
  </si>
  <si>
    <t xml:space="preserve">A-S-0780</t>
  </si>
  <si>
    <t xml:space="preserve">A-S-0781</t>
  </si>
  <si>
    <t xml:space="preserve">A-S-0782</t>
  </si>
  <si>
    <t xml:space="preserve">A-S-0783</t>
  </si>
  <si>
    <t xml:space="preserve">A-S-0784</t>
  </si>
  <si>
    <t xml:space="preserve">A-S-0785</t>
  </si>
  <si>
    <t xml:space="preserve">A-S-0786</t>
  </si>
  <si>
    <t xml:space="preserve">A-S-0787</t>
  </si>
  <si>
    <t xml:space="preserve">A-S-0788</t>
  </si>
  <si>
    <t xml:space="preserve">A-S-0789</t>
  </si>
  <si>
    <t xml:space="preserve">A-S-0790</t>
  </si>
  <si>
    <t xml:space="preserve">A-S-0791</t>
  </si>
  <si>
    <t xml:space="preserve">A-S-0792</t>
  </si>
  <si>
    <t xml:space="preserve">A-S-0793</t>
  </si>
  <si>
    <t xml:space="preserve">A-S-0794</t>
  </si>
  <si>
    <t xml:space="preserve">A-S-0795</t>
  </si>
  <si>
    <t xml:space="preserve">A-S-0796</t>
  </si>
  <si>
    <t xml:space="preserve">A-S-0797</t>
  </si>
  <si>
    <t xml:space="preserve">A-S-0798</t>
  </si>
  <si>
    <t xml:space="preserve">A-S-0799</t>
  </si>
  <si>
    <t xml:space="preserve">A-S-0800</t>
  </si>
  <si>
    <t xml:space="preserve">A-S-0801</t>
  </si>
  <si>
    <t xml:space="preserve">A-S-0802</t>
  </si>
  <si>
    <t xml:space="preserve">A-S-0803</t>
  </si>
  <si>
    <t xml:space="preserve">A-S-0804</t>
  </si>
  <si>
    <t xml:space="preserve">A-S-0805</t>
  </si>
  <si>
    <t xml:space="preserve">A-S-0806</t>
  </si>
  <si>
    <t xml:space="preserve">A-S-0807</t>
  </si>
  <si>
    <t xml:space="preserve">A-S-0808</t>
  </si>
  <si>
    <t xml:space="preserve">A-S-0809</t>
  </si>
  <si>
    <t xml:space="preserve">A-S-0810</t>
  </si>
  <si>
    <t xml:space="preserve">A-S-0811</t>
  </si>
  <si>
    <t xml:space="preserve">A-S-0812</t>
  </si>
  <si>
    <t xml:space="preserve">A-S-0813</t>
  </si>
  <si>
    <t xml:space="preserve">A-S-0814</t>
  </si>
  <si>
    <t xml:space="preserve">A-S-0815</t>
  </si>
  <si>
    <t xml:space="preserve">A-S-0816</t>
  </si>
  <si>
    <t xml:space="preserve">A-S-0817</t>
  </si>
  <si>
    <t xml:space="preserve">A-S-0818</t>
  </si>
  <si>
    <t xml:space="preserve">A-S-0819</t>
  </si>
  <si>
    <t xml:space="preserve">A-S-0820</t>
  </si>
  <si>
    <t xml:space="preserve">A-S-0821</t>
  </si>
  <si>
    <t xml:space="preserve">A-S-0822</t>
  </si>
  <si>
    <t xml:space="preserve">A-S-0823</t>
  </si>
  <si>
    <t xml:space="preserve">A-S-0824</t>
  </si>
  <si>
    <t xml:space="preserve">A-S-0825</t>
  </si>
  <si>
    <t xml:space="preserve">A-S-0826</t>
  </si>
  <si>
    <t xml:space="preserve">A-S-0827</t>
  </si>
  <si>
    <t xml:space="preserve">A-S-0828</t>
  </si>
  <si>
    <t xml:space="preserve">A-S-0829</t>
  </si>
  <si>
    <t xml:space="preserve">A-S-0830</t>
  </si>
  <si>
    <t xml:space="preserve">A-S-0831</t>
  </si>
  <si>
    <t xml:space="preserve">A-S-0832</t>
  </si>
  <si>
    <t xml:space="preserve">A-S-0833</t>
  </si>
  <si>
    <t xml:space="preserve">A-S-0834</t>
  </si>
  <si>
    <t xml:space="preserve">A-S-0835</t>
  </si>
  <si>
    <t xml:space="preserve">A-S-0836</t>
  </si>
  <si>
    <t xml:space="preserve">A-S-0837</t>
  </si>
  <si>
    <t xml:space="preserve">A-S-0838</t>
  </si>
  <si>
    <t xml:space="preserve">A-S-0839</t>
  </si>
  <si>
    <t xml:space="preserve">A-S-0840</t>
  </si>
  <si>
    <t xml:space="preserve">A-S-0841</t>
  </si>
  <si>
    <t xml:space="preserve">A-S-0842</t>
  </si>
  <si>
    <t xml:space="preserve">A-S-0843</t>
  </si>
  <si>
    <t xml:space="preserve">A-S-0844</t>
  </si>
  <si>
    <t xml:space="preserve">A-S-0845</t>
  </si>
  <si>
    <t xml:space="preserve">A-S-0846</t>
  </si>
  <si>
    <t xml:space="preserve">A-S-0847</t>
  </si>
  <si>
    <t xml:space="preserve">A-S-0848</t>
  </si>
  <si>
    <t xml:space="preserve">A-S-0849</t>
  </si>
  <si>
    <t xml:space="preserve">A-S-0850</t>
  </si>
  <si>
    <t xml:space="preserve">A-S-0851</t>
  </si>
  <si>
    <t xml:space="preserve">A-S-0852</t>
  </si>
  <si>
    <t xml:space="preserve">A-S-0853</t>
  </si>
  <si>
    <t xml:space="preserve">A-S-0854</t>
  </si>
  <si>
    <t xml:space="preserve">A-S-0855</t>
  </si>
  <si>
    <t xml:space="preserve">A-S-0856</t>
  </si>
  <si>
    <t xml:space="preserve">A-S-0857</t>
  </si>
  <si>
    <t xml:space="preserve">A-S-0858</t>
  </si>
  <si>
    <t xml:space="preserve">A-S-0859</t>
  </si>
  <si>
    <t xml:space="preserve">A-S-0860</t>
  </si>
  <si>
    <t xml:space="preserve">A-S-0861</t>
  </si>
  <si>
    <t xml:space="preserve">A-S-0862</t>
  </si>
  <si>
    <t xml:space="preserve">A-S-0863</t>
  </si>
  <si>
    <t xml:space="preserve">A-S-0864</t>
  </si>
  <si>
    <t xml:space="preserve">A-S-0865</t>
  </si>
  <si>
    <t xml:space="preserve">A-S-0866</t>
  </si>
  <si>
    <t xml:space="preserve">A-S-0867</t>
  </si>
  <si>
    <t xml:space="preserve">A-S-0868</t>
  </si>
  <si>
    <t xml:space="preserve">A-S-0869</t>
  </si>
  <si>
    <t xml:space="preserve">A-S-0870</t>
  </si>
  <si>
    <t xml:space="preserve">A-S-0871</t>
  </si>
  <si>
    <t xml:space="preserve">A-S-0872</t>
  </si>
  <si>
    <t xml:space="preserve">A-S-0873</t>
  </si>
  <si>
    <t xml:space="preserve">A-S-0874</t>
  </si>
  <si>
    <t xml:space="preserve">A-S-0875</t>
  </si>
  <si>
    <t xml:space="preserve">A-S-0876</t>
  </si>
  <si>
    <t xml:space="preserve">A-S-0877</t>
  </si>
  <si>
    <t xml:space="preserve">A-S-0878</t>
  </si>
  <si>
    <t xml:space="preserve">A-S-0879</t>
  </si>
  <si>
    <t xml:space="preserve">A-S-0880</t>
  </si>
  <si>
    <t xml:space="preserve">A-S-0881</t>
  </si>
  <si>
    <t xml:space="preserve">A-S-0882</t>
  </si>
  <si>
    <t xml:space="preserve">A-S-0883</t>
  </si>
  <si>
    <t xml:space="preserve">A-S-0884</t>
  </si>
  <si>
    <t xml:space="preserve">A-S-0885</t>
  </si>
  <si>
    <t xml:space="preserve">A-S-0886</t>
  </si>
  <si>
    <t xml:space="preserve">A-S-0887</t>
  </si>
  <si>
    <t xml:space="preserve">A-S-0888</t>
  </si>
  <si>
    <t xml:space="preserve">A-S-0889</t>
  </si>
  <si>
    <t xml:space="preserve">A-S-0890</t>
  </si>
  <si>
    <t xml:space="preserve">A-S-0891</t>
  </si>
  <si>
    <t xml:space="preserve">A-S-0892</t>
  </si>
  <si>
    <t xml:space="preserve">A-S-0893</t>
  </si>
  <si>
    <t xml:space="preserve">A-S-0894</t>
  </si>
  <si>
    <t xml:space="preserve">A-S-0895</t>
  </si>
  <si>
    <t xml:space="preserve">A-S-0896</t>
  </si>
  <si>
    <t xml:space="preserve">A-S-0897</t>
  </si>
  <si>
    <t xml:space="preserve">A-S-0898</t>
  </si>
  <si>
    <t xml:space="preserve">A-S-0899</t>
  </si>
  <si>
    <t xml:space="preserve">A-S-0900</t>
  </si>
  <si>
    <t xml:space="preserve">A-S-0901</t>
  </si>
  <si>
    <t xml:space="preserve">A-S-0902</t>
  </si>
  <si>
    <t xml:space="preserve">A-S-0903</t>
  </si>
  <si>
    <t xml:space="preserve">A-S-0904</t>
  </si>
  <si>
    <t xml:space="preserve">A-S-0905</t>
  </si>
  <si>
    <t xml:space="preserve">A-S-0906</t>
  </si>
  <si>
    <t xml:space="preserve">A-S-0907</t>
  </si>
  <si>
    <t xml:space="preserve">A-S-0908</t>
  </si>
  <si>
    <t xml:space="preserve">A-S-0909</t>
  </si>
  <si>
    <t xml:space="preserve">A-S-0910</t>
  </si>
  <si>
    <t xml:space="preserve">A-S-0911</t>
  </si>
  <si>
    <t xml:space="preserve">A-S-0912</t>
  </si>
  <si>
    <t xml:space="preserve">A-S-0913</t>
  </si>
  <si>
    <t xml:space="preserve">A-S-0914</t>
  </si>
  <si>
    <t xml:space="preserve">A-S-0915</t>
  </si>
  <si>
    <t xml:space="preserve">A-S-0916</t>
  </si>
  <si>
    <t xml:space="preserve">A-S-0917</t>
  </si>
  <si>
    <t xml:space="preserve">A-S-0918</t>
  </si>
  <si>
    <t xml:space="preserve">A-S-0919</t>
  </si>
  <si>
    <t xml:space="preserve">A-S-0920</t>
  </si>
  <si>
    <t xml:space="preserve">A-S-0921</t>
  </si>
  <si>
    <t xml:space="preserve">A-S-0922</t>
  </si>
  <si>
    <t xml:space="preserve">A-S-0923</t>
  </si>
  <si>
    <t xml:space="preserve">A-S-0924</t>
  </si>
  <si>
    <t xml:space="preserve">A-S-0925</t>
  </si>
  <si>
    <t xml:space="preserve">A-S-0926</t>
  </si>
  <si>
    <t xml:space="preserve">A-S-0927</t>
  </si>
  <si>
    <t xml:space="preserve">A-S-0928</t>
  </si>
  <si>
    <t xml:space="preserve">A-S-0929</t>
  </si>
  <si>
    <t xml:space="preserve">A-S-0930</t>
  </si>
  <si>
    <t xml:space="preserve">A-S-0931</t>
  </si>
  <si>
    <t xml:space="preserve">A-S-0932</t>
  </si>
  <si>
    <t xml:space="preserve">A-S-0933</t>
  </si>
  <si>
    <t xml:space="preserve">A-S-0934</t>
  </si>
  <si>
    <t xml:space="preserve">A-S-0935</t>
  </si>
  <si>
    <t xml:space="preserve">A-S-0936</t>
  </si>
  <si>
    <t xml:space="preserve">A-S-0937</t>
  </si>
  <si>
    <t xml:space="preserve">A-S-0938</t>
  </si>
  <si>
    <t xml:space="preserve">A-S-0939</t>
  </si>
  <si>
    <t xml:space="preserve">A-S-0940</t>
  </si>
  <si>
    <t xml:space="preserve">A-S-0941</t>
  </si>
  <si>
    <t xml:space="preserve">A-S-0942</t>
  </si>
  <si>
    <t xml:space="preserve">A-S-0943</t>
  </si>
  <si>
    <t xml:space="preserve">A-S-0944</t>
  </si>
  <si>
    <t xml:space="preserve">A-S-0945</t>
  </si>
  <si>
    <t xml:space="preserve">A-S-0946</t>
  </si>
  <si>
    <t xml:space="preserve">A-S-0947</t>
  </si>
  <si>
    <t xml:space="preserve">A-S-0948</t>
  </si>
  <si>
    <t xml:space="preserve">A-S-0949</t>
  </si>
  <si>
    <t xml:space="preserve">A-S-0950</t>
  </si>
  <si>
    <t xml:space="preserve">A-S-0951</t>
  </si>
  <si>
    <t xml:space="preserve">A-S-0952</t>
  </si>
  <si>
    <t xml:space="preserve">A-S-0953</t>
  </si>
  <si>
    <t xml:space="preserve">A-S-0954</t>
  </si>
  <si>
    <t xml:space="preserve">A-S-0955</t>
  </si>
  <si>
    <t xml:space="preserve">A-S-0956</t>
  </si>
  <si>
    <t xml:space="preserve">A-S-0957</t>
  </si>
  <si>
    <t xml:space="preserve">A-S-0958</t>
  </si>
  <si>
    <t xml:space="preserve">A-S-0959</t>
  </si>
  <si>
    <t xml:space="preserve">A-S-0960</t>
  </si>
  <si>
    <t xml:space="preserve">A-S-0961</t>
  </si>
  <si>
    <t xml:space="preserve">A-S-0962</t>
  </si>
  <si>
    <t xml:space="preserve">A-S-0963</t>
  </si>
  <si>
    <t xml:space="preserve">A-S-0964</t>
  </si>
  <si>
    <t xml:space="preserve">A-S-0965</t>
  </si>
  <si>
    <t xml:space="preserve">A-S-0966</t>
  </si>
  <si>
    <t xml:space="preserve">A-S-0967</t>
  </si>
  <si>
    <t xml:space="preserve">A-S-0968</t>
  </si>
  <si>
    <t xml:space="preserve">A-S-0969</t>
  </si>
  <si>
    <t xml:space="preserve">A-S-0970</t>
  </si>
  <si>
    <t xml:space="preserve">A-S-0971</t>
  </si>
  <si>
    <t xml:space="preserve">A-S-0972</t>
  </si>
  <si>
    <t xml:space="preserve">A-S-0973</t>
  </si>
  <si>
    <t xml:space="preserve">A-S-0974</t>
  </si>
  <si>
    <t xml:space="preserve">A-S-0975</t>
  </si>
  <si>
    <t xml:space="preserve">A-S-0976</t>
  </si>
  <si>
    <t xml:space="preserve">A-S-0977</t>
  </si>
  <si>
    <t xml:space="preserve">A-S-0978</t>
  </si>
  <si>
    <t xml:space="preserve">A-S-0979</t>
  </si>
  <si>
    <t xml:space="preserve">A-S-0980</t>
  </si>
  <si>
    <t xml:space="preserve">A-S-0981</t>
  </si>
  <si>
    <t xml:space="preserve">A-S-0982</t>
  </si>
  <si>
    <t xml:space="preserve">A-S-0983</t>
  </si>
  <si>
    <t xml:space="preserve">A-S-0984</t>
  </si>
  <si>
    <t xml:space="preserve">A-S-0985</t>
  </si>
  <si>
    <t xml:space="preserve">A-S-0986</t>
  </si>
  <si>
    <t xml:space="preserve">A-S-0987</t>
  </si>
  <si>
    <t xml:space="preserve">A-S-0988</t>
  </si>
  <si>
    <t xml:space="preserve">A-S-0989</t>
  </si>
  <si>
    <t xml:space="preserve">A-S-0990</t>
  </si>
  <si>
    <t xml:space="preserve">A-S-0991</t>
  </si>
  <si>
    <t xml:space="preserve">A-S-0992</t>
  </si>
  <si>
    <t xml:space="preserve">A-S-0993</t>
  </si>
  <si>
    <t xml:space="preserve">A-S-0994</t>
  </si>
  <si>
    <t xml:space="preserve">A-S-0995</t>
  </si>
  <si>
    <t xml:space="preserve">A-S-0996</t>
  </si>
  <si>
    <t xml:space="preserve">A-S-0997</t>
  </si>
  <si>
    <t xml:space="preserve">A-S-0998</t>
  </si>
  <si>
    <t xml:space="preserve">A-S-0999</t>
  </si>
  <si>
    <t xml:space="preserve">A-S-1000</t>
  </si>
  <si>
    <t xml:space="preserve">A-S-1001</t>
  </si>
  <si>
    <t xml:space="preserve">A-S-1002</t>
  </si>
  <si>
    <t xml:space="preserve">A-S-1003</t>
  </si>
  <si>
    <t xml:space="preserve">A-S-1004</t>
  </si>
  <si>
    <t xml:space="preserve">A-S-1005</t>
  </si>
  <si>
    <t xml:space="preserve">A-S-1006</t>
  </si>
  <si>
    <t xml:space="preserve">A-S-1007</t>
  </si>
  <si>
    <t xml:space="preserve">A-S-1008</t>
  </si>
  <si>
    <t xml:space="preserve">A-S-1009</t>
  </si>
  <si>
    <t xml:space="preserve">A-S-1010</t>
  </si>
  <si>
    <t xml:space="preserve">A-S-1011</t>
  </si>
  <si>
    <t xml:space="preserve">A-S-1012</t>
  </si>
  <si>
    <t xml:space="preserve">A-S-1013</t>
  </si>
  <si>
    <t xml:space="preserve">A-S-1014</t>
  </si>
  <si>
    <t xml:space="preserve">A-S-1015</t>
  </si>
  <si>
    <t xml:space="preserve">A-S-1016</t>
  </si>
  <si>
    <t xml:space="preserve">A-S-1017</t>
  </si>
  <si>
    <t xml:space="preserve">A-S-1018</t>
  </si>
  <si>
    <t xml:space="preserve">A-S-1019</t>
  </si>
  <si>
    <t xml:space="preserve">A-S-1020</t>
  </si>
  <si>
    <t xml:space="preserve">A-S-1021</t>
  </si>
  <si>
    <t xml:space="preserve">A-S-1022</t>
  </si>
  <si>
    <t xml:space="preserve">A-S-1023</t>
  </si>
  <si>
    <t xml:space="preserve">A-S-1024</t>
  </si>
  <si>
    <t xml:space="preserve">A-S-1025</t>
  </si>
  <si>
    <t xml:space="preserve">A-S-1026</t>
  </si>
  <si>
    <t xml:space="preserve">A-S-1027</t>
  </si>
  <si>
    <t xml:space="preserve">A-S-1028</t>
  </si>
  <si>
    <t xml:space="preserve">A-S-1029</t>
  </si>
  <si>
    <t xml:space="preserve">A-S-1030</t>
  </si>
  <si>
    <t xml:space="preserve">A-S-1031</t>
  </si>
  <si>
    <t xml:space="preserve">A-S-1032</t>
  </si>
  <si>
    <t xml:space="preserve">A-S-1033</t>
  </si>
  <si>
    <t xml:space="preserve">A-S-1034</t>
  </si>
  <si>
    <t xml:space="preserve">A-S-1035</t>
  </si>
  <si>
    <t xml:space="preserve">A-S-1036</t>
  </si>
  <si>
    <t xml:space="preserve">A-S-1037</t>
  </si>
  <si>
    <t xml:space="preserve">A-S-1038</t>
  </si>
  <si>
    <t xml:space="preserve">A-S-1039</t>
  </si>
  <si>
    <t xml:space="preserve">A-S-1040</t>
  </si>
  <si>
    <t xml:space="preserve">A-S-1041</t>
  </si>
  <si>
    <t xml:space="preserve">A-S-1042</t>
  </si>
  <si>
    <t xml:space="preserve">A-S-1043</t>
  </si>
  <si>
    <t xml:space="preserve">A-S-1044</t>
  </si>
  <si>
    <t xml:space="preserve">A-S-1045</t>
  </si>
  <si>
    <t xml:space="preserve">A-S-1046</t>
  </si>
  <si>
    <t xml:space="preserve">A-S-1047</t>
  </si>
  <si>
    <t xml:space="preserve">A-S-1048</t>
  </si>
  <si>
    <t xml:space="preserve">A-S-1049</t>
  </si>
  <si>
    <t xml:space="preserve">A-S-1050</t>
  </si>
  <si>
    <t xml:space="preserve">A-S-1051</t>
  </si>
  <si>
    <t xml:space="preserve">A-S-1052</t>
  </si>
  <si>
    <t xml:space="preserve">A-S-1053</t>
  </si>
  <si>
    <t xml:space="preserve">A-S-1054</t>
  </si>
  <si>
    <t xml:space="preserve">A-S-1055</t>
  </si>
  <si>
    <t xml:space="preserve">A-S-1056</t>
  </si>
  <si>
    <t xml:space="preserve">A-S-1057</t>
  </si>
  <si>
    <t xml:space="preserve">A-S-1058</t>
  </si>
  <si>
    <t xml:space="preserve">A-S-1059</t>
  </si>
  <si>
    <t xml:space="preserve">A-S-1060</t>
  </si>
  <si>
    <t xml:space="preserve">A-S-1061</t>
  </si>
  <si>
    <t xml:space="preserve">A-S-1062</t>
  </si>
  <si>
    <t xml:space="preserve">A-S-1063</t>
  </si>
  <si>
    <t xml:space="preserve">A-S-1064</t>
  </si>
  <si>
    <t xml:space="preserve">A-S-1065</t>
  </si>
  <si>
    <t xml:space="preserve">A-S-1066</t>
  </si>
  <si>
    <t xml:space="preserve">A-S-1067</t>
  </si>
  <si>
    <t xml:space="preserve">A-S-1068</t>
  </si>
  <si>
    <t xml:space="preserve">A-S-1069</t>
  </si>
  <si>
    <t xml:space="preserve">A-S-1070</t>
  </si>
  <si>
    <t xml:space="preserve">A-S-1071</t>
  </si>
  <si>
    <t xml:space="preserve">A-S-1072</t>
  </si>
  <si>
    <t xml:space="preserve">A-S-1073</t>
  </si>
  <si>
    <t xml:space="preserve">A-S-1074</t>
  </si>
  <si>
    <t xml:space="preserve">A-S-1075</t>
  </si>
  <si>
    <t xml:space="preserve">A-S-1076</t>
  </si>
  <si>
    <t xml:space="preserve">A-S-1077</t>
  </si>
  <si>
    <t xml:space="preserve">A-S-1078</t>
  </si>
  <si>
    <t xml:space="preserve">A-S-1079</t>
  </si>
  <si>
    <t xml:space="preserve">A-S-1080</t>
  </si>
  <si>
    <t xml:space="preserve">A-S-1081</t>
  </si>
  <si>
    <t xml:space="preserve">A-S-1082</t>
  </si>
  <si>
    <t xml:space="preserve">A-S-1083</t>
  </si>
  <si>
    <t xml:space="preserve">A-S-1084</t>
  </si>
  <si>
    <t xml:space="preserve">A-S-1085</t>
  </si>
  <si>
    <t xml:space="preserve">A-S-1086</t>
  </si>
  <si>
    <t xml:space="preserve">A-S-1087</t>
  </si>
  <si>
    <t xml:space="preserve">A-S-1088</t>
  </si>
  <si>
    <t xml:space="preserve">A-S-1089</t>
  </si>
  <si>
    <t xml:space="preserve">A-S-1090</t>
  </si>
  <si>
    <t xml:space="preserve">A-S-1091</t>
  </si>
  <si>
    <t xml:space="preserve">A-S-1092</t>
  </si>
  <si>
    <t xml:space="preserve">A-S-1093</t>
  </si>
  <si>
    <t xml:space="preserve">A-S-1094</t>
  </si>
  <si>
    <t xml:space="preserve">A-S-1095</t>
  </si>
  <si>
    <t xml:space="preserve">A-S-1096</t>
  </si>
  <si>
    <t xml:space="preserve">A-S-1097</t>
  </si>
  <si>
    <t xml:space="preserve">A-S-1098</t>
  </si>
  <si>
    <t xml:space="preserve">A-S-1099</t>
  </si>
  <si>
    <t xml:space="preserve">A-S-1100</t>
  </si>
  <si>
    <t xml:space="preserve">A-S-1101</t>
  </si>
  <si>
    <t xml:space="preserve">A-S-1102</t>
  </si>
  <si>
    <t xml:space="preserve">A-S-1103</t>
  </si>
  <si>
    <t xml:space="preserve">A-S-1104</t>
  </si>
  <si>
    <t xml:space="preserve">A-S-1105</t>
  </si>
  <si>
    <t xml:space="preserve">A-S-1106</t>
  </si>
  <si>
    <t xml:space="preserve">A-S-1107</t>
  </si>
  <si>
    <t xml:space="preserve">A-S-1108</t>
  </si>
  <si>
    <t xml:space="preserve">A-S-1109</t>
  </si>
  <si>
    <t xml:space="preserve">A-S-1110</t>
  </si>
  <si>
    <t xml:space="preserve">A-S-1111</t>
  </si>
  <si>
    <t xml:space="preserve">A-S-1112</t>
  </si>
  <si>
    <t xml:space="preserve">A-S-1113</t>
  </si>
  <si>
    <t xml:space="preserve">A-S-1114</t>
  </si>
  <si>
    <t xml:space="preserve">A-S-1115</t>
  </si>
  <si>
    <t xml:space="preserve">A-S-1116</t>
  </si>
  <si>
    <t xml:space="preserve">A-S-1117</t>
  </si>
  <si>
    <t xml:space="preserve">A-S-1118</t>
  </si>
  <si>
    <t xml:space="preserve">A-S-1119</t>
  </si>
  <si>
    <t xml:space="preserve">A-S-1120</t>
  </si>
  <si>
    <t xml:space="preserve">A-S-1121</t>
  </si>
  <si>
    <t xml:space="preserve">A-S-1122</t>
  </si>
  <si>
    <t xml:space="preserve">A-S-1123</t>
  </si>
  <si>
    <t xml:space="preserve">A-S-1124</t>
  </si>
  <si>
    <t xml:space="preserve">A-S-1125</t>
  </si>
  <si>
    <t xml:space="preserve">A-S-1126</t>
  </si>
  <si>
    <t xml:space="preserve">A-S-1127</t>
  </si>
  <si>
    <t xml:space="preserve">A-S-1128</t>
  </si>
  <si>
    <t xml:space="preserve">A-S-1129</t>
  </si>
  <si>
    <t xml:space="preserve">A-S-1130</t>
  </si>
  <si>
    <t xml:space="preserve">A-S-1131</t>
  </si>
  <si>
    <t xml:space="preserve">A-S-1132</t>
  </si>
  <si>
    <t xml:space="preserve">A-S-1133</t>
  </si>
  <si>
    <t xml:space="preserve">A-S-1134</t>
  </si>
  <si>
    <t xml:space="preserve">A-S-1135</t>
  </si>
  <si>
    <t xml:space="preserve">A-S-1136</t>
  </si>
  <si>
    <t xml:space="preserve">A-S-1137</t>
  </si>
  <si>
    <t xml:space="preserve">A-S-1138</t>
  </si>
  <si>
    <t xml:space="preserve">A-S-1139</t>
  </si>
  <si>
    <t xml:space="preserve">A-S-1140</t>
  </si>
  <si>
    <t xml:space="preserve">A-S-1141</t>
  </si>
  <si>
    <t xml:space="preserve">A-S-1142</t>
  </si>
  <si>
    <t xml:space="preserve">A-S-1143</t>
  </si>
  <si>
    <t xml:space="preserve">A-S-1144</t>
  </si>
  <si>
    <t xml:space="preserve">A-S-1145</t>
  </si>
  <si>
    <t xml:space="preserve">A-S-1146</t>
  </si>
  <si>
    <t xml:space="preserve">A-S-1147</t>
  </si>
  <si>
    <t xml:space="preserve">A-S-1148</t>
  </si>
  <si>
    <t xml:space="preserve">A-S-1149</t>
  </si>
  <si>
    <t xml:space="preserve">A-S-1150</t>
  </si>
  <si>
    <t xml:space="preserve">A-S-1151</t>
  </si>
  <si>
    <t xml:space="preserve">A-S-1152</t>
  </si>
  <si>
    <t xml:space="preserve">A-S-1153</t>
  </si>
  <si>
    <t xml:space="preserve">A-S-1154</t>
  </si>
  <si>
    <t xml:space="preserve">A-S-1155</t>
  </si>
  <si>
    <t xml:space="preserve">A-S-1156</t>
  </si>
  <si>
    <t xml:space="preserve">A-S-1157</t>
  </si>
  <si>
    <t xml:space="preserve">A-S-1158</t>
  </si>
  <si>
    <t xml:space="preserve">A-S-1159</t>
  </si>
  <si>
    <t xml:space="preserve">A-S-1160</t>
  </si>
  <si>
    <t xml:space="preserve">A-S-1161</t>
  </si>
  <si>
    <t xml:space="preserve">A-S-1162</t>
  </si>
  <si>
    <t xml:space="preserve">A-S-1163</t>
  </si>
  <si>
    <t xml:space="preserve">A-S-1164</t>
  </si>
  <si>
    <t xml:space="preserve">A-S-1165</t>
  </si>
  <si>
    <t xml:space="preserve">A-S-1166</t>
  </si>
  <si>
    <t xml:space="preserve">A-S-1167</t>
  </si>
  <si>
    <t xml:space="preserve">A-S-1168</t>
  </si>
  <si>
    <t xml:space="preserve">A-S-1169</t>
  </si>
  <si>
    <t xml:space="preserve">A-S-1170</t>
  </si>
  <si>
    <t xml:space="preserve">A-S-1171</t>
  </si>
  <si>
    <t xml:space="preserve">A-S-1172</t>
  </si>
  <si>
    <t xml:space="preserve">A-S-1173</t>
  </si>
  <si>
    <t xml:space="preserve">A-S-1174</t>
  </si>
  <si>
    <t xml:space="preserve">A-S-1175</t>
  </si>
  <si>
    <t xml:space="preserve">A-S-1176</t>
  </si>
  <si>
    <t xml:space="preserve">A-S-1177</t>
  </si>
  <si>
    <t xml:space="preserve">A-S-1178</t>
  </si>
  <si>
    <t xml:space="preserve">A-S-1179</t>
  </si>
  <si>
    <t xml:space="preserve">A-S-1180</t>
  </si>
  <si>
    <t xml:space="preserve">A-S-1181</t>
  </si>
  <si>
    <t xml:space="preserve">A-S-1182</t>
  </si>
  <si>
    <t xml:space="preserve">A-S-1183</t>
  </si>
  <si>
    <t xml:space="preserve">A-S-1184</t>
  </si>
  <si>
    <t xml:space="preserve">A-S-1185</t>
  </si>
  <si>
    <t xml:space="preserve">A-S-1186</t>
  </si>
  <si>
    <t xml:space="preserve">A-S-1187</t>
  </si>
  <si>
    <t xml:space="preserve">A-S-1188</t>
  </si>
  <si>
    <t xml:space="preserve">A-S-1189</t>
  </si>
  <si>
    <t xml:space="preserve">A-S-1190</t>
  </si>
  <si>
    <t xml:space="preserve">A-S-1191</t>
  </si>
  <si>
    <t xml:space="preserve">A-S-1192</t>
  </si>
  <si>
    <t xml:space="preserve">A-S-1193</t>
  </si>
  <si>
    <t xml:space="preserve">A-S-1194</t>
  </si>
  <si>
    <t xml:space="preserve">A-S-1195</t>
  </si>
  <si>
    <t xml:space="preserve">A-S-1196</t>
  </si>
  <si>
    <t xml:space="preserve">A-S-1197</t>
  </si>
  <si>
    <t xml:space="preserve">A-S-1198</t>
  </si>
  <si>
    <t xml:space="preserve">A-S-1199</t>
  </si>
  <si>
    <t xml:space="preserve">A-S-1200</t>
  </si>
  <si>
    <t xml:space="preserve">A-S-1201</t>
  </si>
  <si>
    <t xml:space="preserve">A-S-1202</t>
  </si>
  <si>
    <t xml:space="preserve">A-S-1203</t>
  </si>
  <si>
    <t xml:space="preserve">A-S-1204</t>
  </si>
  <si>
    <t xml:space="preserve">A-S-1205</t>
  </si>
  <si>
    <t xml:space="preserve">A-S-1206</t>
  </si>
  <si>
    <t xml:space="preserve">A-S-1207</t>
  </si>
  <si>
    <t xml:space="preserve">A-S-1208</t>
  </si>
  <si>
    <t xml:space="preserve">A-S-1209</t>
  </si>
  <si>
    <t xml:space="preserve">A-S-1210</t>
  </si>
  <si>
    <t xml:space="preserve">A-S-1211</t>
  </si>
  <si>
    <t xml:space="preserve">A-S-1212</t>
  </si>
  <si>
    <t xml:space="preserve">A-S-1213</t>
  </si>
  <si>
    <t xml:space="preserve">A-S-1214</t>
  </si>
  <si>
    <t xml:space="preserve">A-S-1215</t>
  </si>
  <si>
    <t xml:space="preserve">A-S-1216</t>
  </si>
  <si>
    <t xml:space="preserve">A-S-1217</t>
  </si>
  <si>
    <t xml:space="preserve">A-S-1218</t>
  </si>
  <si>
    <t xml:space="preserve">A-S-1219</t>
  </si>
  <si>
    <t xml:space="preserve">A-S-1220</t>
  </si>
  <si>
    <t xml:space="preserve">A-S-1221</t>
  </si>
  <si>
    <t xml:space="preserve">A-S-1222</t>
  </si>
  <si>
    <t xml:space="preserve">A-S-1223</t>
  </si>
  <si>
    <t xml:space="preserve">A-S-1224</t>
  </si>
  <si>
    <t xml:space="preserve">A-S-1225</t>
  </si>
  <si>
    <t xml:space="preserve">A-S-1226</t>
  </si>
  <si>
    <t xml:space="preserve">A-S-1227</t>
  </si>
  <si>
    <t xml:space="preserve">A-S-1228</t>
  </si>
  <si>
    <t xml:space="preserve">A-S-1229</t>
  </si>
  <si>
    <t xml:space="preserve">A-S-1230</t>
  </si>
  <si>
    <t xml:space="preserve">A-S-1231</t>
  </si>
  <si>
    <t xml:space="preserve">A-S-1232</t>
  </si>
  <si>
    <t xml:space="preserve">A-S-1233</t>
  </si>
  <si>
    <t xml:space="preserve">A-S-1234</t>
  </si>
  <si>
    <t xml:space="preserve">A-S-1235</t>
  </si>
  <si>
    <t xml:space="preserve">A-S-1236</t>
  </si>
  <si>
    <t xml:space="preserve">A-S-1237</t>
  </si>
  <si>
    <t xml:space="preserve">A-S-1238</t>
  </si>
  <si>
    <t xml:space="preserve">A-S-1239</t>
  </si>
  <si>
    <t xml:space="preserve">A-S-1240</t>
  </si>
  <si>
    <t xml:space="preserve">A-S-1241</t>
  </si>
  <si>
    <t xml:space="preserve">A-S-1242</t>
  </si>
  <si>
    <t xml:space="preserve">A-S-1243</t>
  </si>
  <si>
    <t xml:space="preserve">A-S-1244</t>
  </si>
  <si>
    <t xml:space="preserve">A-S-1245</t>
  </si>
  <si>
    <t xml:space="preserve">A-S-1246</t>
  </si>
  <si>
    <t xml:space="preserve">A-S-1247</t>
  </si>
  <si>
    <t xml:space="preserve">A-S-1248</t>
  </si>
  <si>
    <t xml:space="preserve">A-S-1249</t>
  </si>
  <si>
    <t xml:space="preserve">A-S-1250</t>
  </si>
  <si>
    <t xml:space="preserve">A-S-1251</t>
  </si>
  <si>
    <t xml:space="preserve">A-S-1252</t>
  </si>
  <si>
    <t xml:space="preserve">A-S-1253</t>
  </si>
  <si>
    <t xml:space="preserve">A-S-1254</t>
  </si>
  <si>
    <t xml:space="preserve">A-S-1255</t>
  </si>
  <si>
    <t xml:space="preserve">A-S-1256</t>
  </si>
  <si>
    <t xml:space="preserve">A-S-1257</t>
  </si>
  <si>
    <t xml:space="preserve">A-S-1258</t>
  </si>
  <si>
    <t xml:space="preserve">A-S-1259</t>
  </si>
  <si>
    <t xml:space="preserve">A-S-1260</t>
  </si>
  <si>
    <t xml:space="preserve">A-S-1261</t>
  </si>
  <si>
    <t xml:space="preserve">A-S-1262</t>
  </si>
  <si>
    <t xml:space="preserve">A-S-1263</t>
  </si>
  <si>
    <t xml:space="preserve">A-S-1264</t>
  </si>
  <si>
    <t xml:space="preserve">A-S-1265</t>
  </si>
  <si>
    <t xml:space="preserve">A-S-1266</t>
  </si>
  <si>
    <t xml:space="preserve">A-S-1267</t>
  </si>
  <si>
    <t xml:space="preserve">A-S-1268</t>
  </si>
  <si>
    <t xml:space="preserve">A-S-1269</t>
  </si>
  <si>
    <t xml:space="preserve">A-S-1270</t>
  </si>
  <si>
    <t xml:space="preserve">A-S-1271</t>
  </si>
  <si>
    <t xml:space="preserve">A-S-1272</t>
  </si>
  <si>
    <t xml:space="preserve">A-S-1273</t>
  </si>
  <si>
    <t xml:space="preserve">A-S-1274</t>
  </si>
  <si>
    <t xml:space="preserve">A-S-1275</t>
  </si>
  <si>
    <t xml:space="preserve">A-S-1276</t>
  </si>
  <si>
    <t xml:space="preserve">A-S-1277</t>
  </si>
  <si>
    <t xml:space="preserve">A-S-1278</t>
  </si>
  <si>
    <t xml:space="preserve">A-S-1279</t>
  </si>
  <si>
    <t xml:space="preserve">A-S-1280</t>
  </si>
  <si>
    <t xml:space="preserve">A-S-1281</t>
  </si>
  <si>
    <t xml:space="preserve">A-S-1282</t>
  </si>
  <si>
    <t xml:space="preserve">A-S-1283</t>
  </si>
  <si>
    <t xml:space="preserve">A-S-1284</t>
  </si>
  <si>
    <t xml:space="preserve">A-S-1285</t>
  </si>
  <si>
    <t xml:space="preserve">A-S-1286</t>
  </si>
  <si>
    <t xml:space="preserve">A-S-1287</t>
  </si>
  <si>
    <t xml:space="preserve">A-S-1288</t>
  </si>
  <si>
    <t xml:space="preserve">A-S-1289</t>
  </si>
  <si>
    <t xml:space="preserve">A-S-1290</t>
  </si>
  <si>
    <t xml:space="preserve">A-S-1291</t>
  </si>
  <si>
    <t xml:space="preserve">A-S-1292</t>
  </si>
  <si>
    <t xml:space="preserve">A-S-1293</t>
  </si>
  <si>
    <t xml:space="preserve">A-S-1294</t>
  </si>
  <si>
    <t xml:space="preserve">A-S-1295</t>
  </si>
  <si>
    <t xml:space="preserve">A-S-1296</t>
  </si>
  <si>
    <t xml:space="preserve">A-S-1297</t>
  </si>
  <si>
    <t xml:space="preserve">A-S-1298</t>
  </si>
  <si>
    <t xml:space="preserve">A-S-1299</t>
  </si>
  <si>
    <t xml:space="preserve">A-S-1300</t>
  </si>
  <si>
    <t xml:space="preserve">A-S-1301</t>
  </si>
  <si>
    <t xml:space="preserve">A-S-1302</t>
  </si>
  <si>
    <t xml:space="preserve">A-S-1303</t>
  </si>
  <si>
    <t xml:space="preserve">A-S-1304</t>
  </si>
  <si>
    <t xml:space="preserve">A-S-1305</t>
  </si>
  <si>
    <t xml:space="preserve">A-S-1306</t>
  </si>
  <si>
    <t xml:space="preserve">A-S-1307</t>
  </si>
  <si>
    <t xml:space="preserve">A-S-1308</t>
  </si>
  <si>
    <t xml:space="preserve">A-S-1309</t>
  </si>
  <si>
    <t xml:space="preserve">A-S-1310</t>
  </si>
  <si>
    <t xml:space="preserve">A-S-1311</t>
  </si>
  <si>
    <t xml:space="preserve">A-S-1312</t>
  </si>
  <si>
    <t xml:space="preserve">A-S-1313</t>
  </si>
  <si>
    <t xml:space="preserve">A-S-1314</t>
  </si>
  <si>
    <t xml:space="preserve">A-S-1315</t>
  </si>
  <si>
    <t xml:space="preserve">A-S-1316</t>
  </si>
  <si>
    <t xml:space="preserve">A-S-1317</t>
  </si>
  <si>
    <t xml:space="preserve">A-S-1318</t>
  </si>
  <si>
    <t xml:space="preserve">A-S-1319</t>
  </si>
  <si>
    <t xml:space="preserve">A-S-1320</t>
  </si>
  <si>
    <t xml:space="preserve">A-S-1321</t>
  </si>
  <si>
    <t xml:space="preserve">A-S-1322</t>
  </si>
  <si>
    <t xml:space="preserve">A-S-1323</t>
  </si>
  <si>
    <t xml:space="preserve">A-S-1324</t>
  </si>
  <si>
    <t xml:space="preserve">A-S-1325</t>
  </si>
  <si>
    <t xml:space="preserve">A-S-1326</t>
  </si>
  <si>
    <t xml:space="preserve">A-S-1327</t>
  </si>
  <si>
    <t xml:space="preserve">A-S-1328</t>
  </si>
  <si>
    <t xml:space="preserve">A-S-1329</t>
  </si>
  <si>
    <t xml:space="preserve">A-S-1330</t>
  </si>
  <si>
    <t xml:space="preserve">A-S-1331</t>
  </si>
  <si>
    <t xml:space="preserve">A-S-1332</t>
  </si>
  <si>
    <t xml:space="preserve">A-S-1333</t>
  </si>
  <si>
    <t xml:space="preserve">A-S-1334</t>
  </si>
  <si>
    <t xml:space="preserve">A-S-1335</t>
  </si>
  <si>
    <t xml:space="preserve">A-S-1336</t>
  </si>
  <si>
    <t xml:space="preserve">A-S-1337</t>
  </si>
  <si>
    <t xml:space="preserve">A-S-1338</t>
  </si>
  <si>
    <t xml:space="preserve">A-S-1339</t>
  </si>
  <si>
    <t xml:space="preserve">A-S-1340</t>
  </si>
  <si>
    <t xml:space="preserve">A-S-1341</t>
  </si>
  <si>
    <t xml:space="preserve">A-S-1342</t>
  </si>
  <si>
    <t xml:space="preserve">A-S-1343</t>
  </si>
  <si>
    <t xml:space="preserve">A-S-1344</t>
  </si>
  <si>
    <t xml:space="preserve">A-S-1345</t>
  </si>
  <si>
    <t xml:space="preserve">A-S-1346</t>
  </si>
  <si>
    <t xml:space="preserve">A-S-1347</t>
  </si>
  <si>
    <t xml:space="preserve">A-S-1348</t>
  </si>
  <si>
    <t xml:space="preserve">A-S-1349</t>
  </si>
  <si>
    <t xml:space="preserve">A-S-1350</t>
  </si>
  <si>
    <t xml:space="preserve">A-S-1351</t>
  </si>
  <si>
    <t xml:space="preserve">A-S-1352</t>
  </si>
  <si>
    <t xml:space="preserve">A-S-1353</t>
  </si>
  <si>
    <t xml:space="preserve">A-S-1354</t>
  </si>
  <si>
    <t xml:space="preserve">A-S-1355</t>
  </si>
  <si>
    <t xml:space="preserve">A-S-1356</t>
  </si>
  <si>
    <t xml:space="preserve">A-S-1357</t>
  </si>
  <si>
    <t xml:space="preserve">A-S-1358</t>
  </si>
  <si>
    <t xml:space="preserve">A-S-1359</t>
  </si>
  <si>
    <t xml:space="preserve">A-S-1360</t>
  </si>
  <si>
    <t xml:space="preserve">A-S-1361</t>
  </si>
  <si>
    <t xml:space="preserve">A-S-1362</t>
  </si>
  <si>
    <t xml:space="preserve">A-S-1363</t>
  </si>
  <si>
    <t xml:space="preserve">A-S-1364</t>
  </si>
  <si>
    <t xml:space="preserve">A-S-1365</t>
  </si>
  <si>
    <t xml:space="preserve">A-S-1366</t>
  </si>
  <si>
    <t xml:space="preserve">A-S-1367</t>
  </si>
  <si>
    <t xml:space="preserve">A-S-1368</t>
  </si>
  <si>
    <t xml:space="preserve">A-S-1369</t>
  </si>
  <si>
    <t xml:space="preserve">A-S-1370</t>
  </si>
  <si>
    <t xml:space="preserve">A-S-1371</t>
  </si>
  <si>
    <t xml:space="preserve">A-S-1372</t>
  </si>
  <si>
    <t xml:space="preserve">A-S-1373</t>
  </si>
  <si>
    <t xml:space="preserve">A-S-1374</t>
  </si>
  <si>
    <t xml:space="preserve">A-S-1375</t>
  </si>
  <si>
    <t xml:space="preserve">A-S-1376</t>
  </si>
  <si>
    <t xml:space="preserve">A-S-1377</t>
  </si>
  <si>
    <t xml:space="preserve">A-S-1378</t>
  </si>
  <si>
    <t xml:space="preserve">A-S-1379</t>
  </si>
  <si>
    <t xml:space="preserve">A-S-1380</t>
  </si>
  <si>
    <t xml:space="preserve">A-S-1381</t>
  </si>
  <si>
    <t xml:space="preserve">A-S-1382</t>
  </si>
  <si>
    <t xml:space="preserve">A-S-1383</t>
  </si>
  <si>
    <t xml:space="preserve">A-S-1384</t>
  </si>
  <si>
    <t xml:space="preserve">A-S-1385</t>
  </si>
  <si>
    <t xml:space="preserve">A-S-1386</t>
  </si>
  <si>
    <t xml:space="preserve">A-S-1387</t>
  </si>
  <si>
    <t xml:space="preserve">A-S-1388</t>
  </si>
  <si>
    <t xml:space="preserve">A-S-1389</t>
  </si>
  <si>
    <t xml:space="preserve">A-S-1390</t>
  </si>
  <si>
    <t xml:space="preserve">A-S-1391</t>
  </si>
  <si>
    <t xml:space="preserve">A-S-1392</t>
  </si>
  <si>
    <t xml:space="preserve">A-S-1393</t>
  </si>
  <si>
    <t xml:space="preserve">A-S-1394</t>
  </si>
  <si>
    <t xml:space="preserve">A-S-1395</t>
  </si>
  <si>
    <t xml:space="preserve">A-S-1396</t>
  </si>
  <si>
    <t xml:space="preserve">A-S-1397</t>
  </si>
  <si>
    <t xml:space="preserve">A-S-1398</t>
  </si>
  <si>
    <t xml:space="preserve">A-S-1399</t>
  </si>
  <si>
    <t xml:space="preserve">A-S-1400</t>
  </si>
  <si>
    <t xml:space="preserve">A-S-1401</t>
  </si>
  <si>
    <t xml:space="preserve">A-S-1402</t>
  </si>
  <si>
    <t xml:space="preserve">A-S-1403</t>
  </si>
  <si>
    <t xml:space="preserve">A-S-1404</t>
  </si>
  <si>
    <t xml:space="preserve">A-S-1405</t>
  </si>
  <si>
    <t xml:space="preserve">A-S-1406</t>
  </si>
  <si>
    <t xml:space="preserve">A-S-1407</t>
  </si>
  <si>
    <t xml:space="preserve">A-S-1408</t>
  </si>
  <si>
    <t xml:space="preserve">A-S-1409</t>
  </si>
  <si>
    <t xml:space="preserve">A-S-1410</t>
  </si>
  <si>
    <t xml:space="preserve">A-S-1411</t>
  </si>
  <si>
    <t xml:space="preserve">A-S-1412</t>
  </si>
  <si>
    <t xml:space="preserve">A-S-1413</t>
  </si>
  <si>
    <t xml:space="preserve">A-S-1414</t>
  </si>
  <si>
    <t xml:space="preserve">A-S-1415</t>
  </si>
  <si>
    <t xml:space="preserve">A-S-1416</t>
  </si>
  <si>
    <t xml:space="preserve">A-S-1417</t>
  </si>
  <si>
    <t xml:space="preserve">A-S-1418</t>
  </si>
  <si>
    <t xml:space="preserve">A-S-1419</t>
  </si>
  <si>
    <t xml:space="preserve">A-S-1420</t>
  </si>
  <si>
    <t xml:space="preserve">A-S-1421</t>
  </si>
  <si>
    <t xml:space="preserve">A-S-1422</t>
  </si>
  <si>
    <t xml:space="preserve">A-S-1423</t>
  </si>
  <si>
    <t xml:space="preserve">A-S-1424</t>
  </si>
  <si>
    <t xml:space="preserve">A-S-1425</t>
  </si>
  <si>
    <t xml:space="preserve">A-S-1426</t>
  </si>
  <si>
    <t xml:space="preserve">A-S-1427</t>
  </si>
  <si>
    <t xml:space="preserve">A-S-1428</t>
  </si>
  <si>
    <t xml:space="preserve">A-S-1429</t>
  </si>
  <si>
    <t xml:space="preserve">A-S-1430</t>
  </si>
  <si>
    <t xml:space="preserve">A-S-1431</t>
  </si>
  <si>
    <t xml:space="preserve">A-S-1432</t>
  </si>
  <si>
    <t xml:space="preserve">A-S-1433</t>
  </si>
  <si>
    <t xml:space="preserve">A-S-1434</t>
  </si>
  <si>
    <t xml:space="preserve">A-S-1435</t>
  </si>
  <si>
    <t xml:space="preserve">A-S-1436</t>
  </si>
  <si>
    <t xml:space="preserve">A-S-1437</t>
  </si>
  <si>
    <t xml:space="preserve">A-S-1438</t>
  </si>
  <si>
    <t xml:space="preserve">A-S-1439</t>
  </si>
  <si>
    <t xml:space="preserve">A-S-1440</t>
  </si>
  <si>
    <t xml:space="preserve">A-S-1441</t>
  </si>
  <si>
    <t xml:space="preserve">A-S-1442</t>
  </si>
  <si>
    <t xml:space="preserve">A-S-1443</t>
  </si>
  <si>
    <t xml:space="preserve">A-S-1444</t>
  </si>
  <si>
    <t xml:space="preserve">A-S-1445</t>
  </si>
  <si>
    <t xml:space="preserve">A-S-1446</t>
  </si>
  <si>
    <t xml:space="preserve">A-S-1447</t>
  </si>
  <si>
    <t xml:space="preserve">A-S-1448</t>
  </si>
  <si>
    <t xml:space="preserve">A-S-1449</t>
  </si>
  <si>
    <t xml:space="preserve">A-S-1450</t>
  </si>
  <si>
    <t xml:space="preserve">A-S-1451</t>
  </si>
  <si>
    <t xml:space="preserve">A-S-1452</t>
  </si>
  <si>
    <t xml:space="preserve">A-S-1453</t>
  </si>
  <si>
    <t xml:space="preserve">A-S-1454</t>
  </si>
  <si>
    <t xml:space="preserve">A-S-1455</t>
  </si>
  <si>
    <t xml:space="preserve">A-S-1456</t>
  </si>
  <si>
    <t xml:space="preserve">A-S-1457</t>
  </si>
  <si>
    <t xml:space="preserve">A-S-1458</t>
  </si>
  <si>
    <t xml:space="preserve">A-S-1459</t>
  </si>
  <si>
    <t xml:space="preserve">A-S-1460</t>
  </si>
  <si>
    <t xml:space="preserve">A-S-1461</t>
  </si>
  <si>
    <t xml:space="preserve">A-S-1462</t>
  </si>
  <si>
    <t xml:space="preserve">A-S-1463</t>
  </si>
  <si>
    <t xml:space="preserve">A-S-1464</t>
  </si>
  <si>
    <t xml:space="preserve">A-S-1465</t>
  </si>
  <si>
    <t xml:space="preserve">A-S-1466</t>
  </si>
  <si>
    <t xml:space="preserve">A-S-1467</t>
  </si>
  <si>
    <t xml:space="preserve">A-S-1468</t>
  </si>
  <si>
    <t xml:space="preserve">A-S-1469</t>
  </si>
  <si>
    <t xml:space="preserve">A-S-1470</t>
  </si>
  <si>
    <t xml:space="preserve">A-S-1471</t>
  </si>
  <si>
    <t xml:space="preserve">A-S-1472</t>
  </si>
  <si>
    <t xml:space="preserve">A-S-1473</t>
  </si>
  <si>
    <t xml:space="preserve">A-S-1474</t>
  </si>
  <si>
    <t xml:space="preserve">A-S-1475</t>
  </si>
  <si>
    <t xml:space="preserve">A-S-1476</t>
  </si>
  <si>
    <t xml:space="preserve">A-S-1477</t>
  </si>
  <si>
    <t xml:space="preserve">A-S-1478</t>
  </si>
  <si>
    <t xml:space="preserve">A-S-1479</t>
  </si>
  <si>
    <t xml:space="preserve">A-S-1480</t>
  </si>
  <si>
    <t xml:space="preserve">A-S-1481</t>
  </si>
  <si>
    <t xml:space="preserve">A-S-1482</t>
  </si>
  <si>
    <t xml:space="preserve">A-S-1483</t>
  </si>
  <si>
    <t xml:space="preserve">A-S-1484</t>
  </si>
  <si>
    <t xml:space="preserve">A-S-1485</t>
  </si>
  <si>
    <t xml:space="preserve">A-S-1486</t>
  </si>
  <si>
    <t xml:space="preserve">A-S-1487</t>
  </si>
  <si>
    <t xml:space="preserve">A-S-1488</t>
  </si>
  <si>
    <t xml:space="preserve">A-S-1489</t>
  </si>
  <si>
    <t xml:space="preserve">A-S-1490</t>
  </si>
  <si>
    <t xml:space="preserve">A-S-1491</t>
  </si>
  <si>
    <t xml:space="preserve">A-S-1492</t>
  </si>
  <si>
    <t xml:space="preserve">A-S-1493</t>
  </si>
  <si>
    <t xml:space="preserve">A-S-1494</t>
  </si>
  <si>
    <t xml:space="preserve">A-S-1495</t>
  </si>
  <si>
    <t xml:space="preserve">A-S-1496</t>
  </si>
  <si>
    <t xml:space="preserve">A-S-1497</t>
  </si>
  <si>
    <t xml:space="preserve">A-S-1498</t>
  </si>
  <si>
    <t xml:space="preserve">A-S-1499</t>
  </si>
  <si>
    <t xml:space="preserve">A-S-1500</t>
  </si>
  <si>
    <t xml:space="preserve">A-S-1501</t>
  </si>
  <si>
    <t xml:space="preserve">A-S-1502</t>
  </si>
  <si>
    <t xml:space="preserve">A-S-1503</t>
  </si>
  <si>
    <t xml:space="preserve">A-S-1504</t>
  </si>
  <si>
    <t xml:space="preserve">A-S-1505</t>
  </si>
  <si>
    <t xml:space="preserve">A-S-1506</t>
  </si>
  <si>
    <t xml:space="preserve">A-S-1507</t>
  </si>
  <si>
    <t xml:space="preserve">A-S-1508</t>
  </si>
  <si>
    <t xml:space="preserve">A-S-1509</t>
  </si>
  <si>
    <t xml:space="preserve">A-S-1510</t>
  </si>
  <si>
    <t xml:space="preserve">A-S-1511</t>
  </si>
  <si>
    <t xml:space="preserve">A-S-1512</t>
  </si>
  <si>
    <t xml:space="preserve">A-S-1513</t>
  </si>
  <si>
    <t xml:space="preserve">A-S-1514</t>
  </si>
  <si>
    <t xml:space="preserve">A-S-1515</t>
  </si>
  <si>
    <t xml:space="preserve">A-S-1516</t>
  </si>
  <si>
    <t xml:space="preserve">A-S-1517</t>
  </si>
  <si>
    <t xml:space="preserve">A-S-1518</t>
  </si>
  <si>
    <t xml:space="preserve">A-S-1519</t>
  </si>
  <si>
    <t xml:space="preserve">A-S-1520</t>
  </si>
  <si>
    <t xml:space="preserve">A-S-1521</t>
  </si>
  <si>
    <t xml:space="preserve">A-S-1522</t>
  </si>
  <si>
    <t xml:space="preserve">A-S-1523</t>
  </si>
  <si>
    <t xml:space="preserve">A-S-1524</t>
  </si>
  <si>
    <t xml:space="preserve">A-S-1525</t>
  </si>
  <si>
    <t xml:space="preserve">A-S-1526</t>
  </si>
  <si>
    <t xml:space="preserve">A-S-1527</t>
  </si>
  <si>
    <t xml:space="preserve">A-S-1528</t>
  </si>
  <si>
    <t xml:space="preserve">A-S-1529</t>
  </si>
  <si>
    <t xml:space="preserve">A-S-1530</t>
  </si>
  <si>
    <t xml:space="preserve">A-S-1531</t>
  </si>
  <si>
    <t xml:space="preserve">A-S-1532</t>
  </si>
  <si>
    <t xml:space="preserve">A-S-1533</t>
  </si>
  <si>
    <t xml:space="preserve">A-S-1534</t>
  </si>
  <si>
    <t xml:space="preserve">A-S-1535</t>
  </si>
  <si>
    <t xml:space="preserve">A-S-1536</t>
  </si>
  <si>
    <t xml:space="preserve">A-S-1537</t>
  </si>
  <si>
    <t xml:space="preserve">A-S-1538</t>
  </si>
  <si>
    <t xml:space="preserve">A-S-1539</t>
  </si>
  <si>
    <t xml:space="preserve">A-S-1540</t>
  </si>
  <si>
    <t xml:space="preserve">A-S-1541</t>
  </si>
  <si>
    <t xml:space="preserve">A-S-1542</t>
  </si>
  <si>
    <t xml:space="preserve">A-S-1543</t>
  </si>
  <si>
    <t xml:space="preserve">A-S-1544</t>
  </si>
  <si>
    <t xml:space="preserve">A-S-1545</t>
  </si>
  <si>
    <t xml:space="preserve">A-S-1546</t>
  </si>
  <si>
    <t xml:space="preserve">A-S-1547</t>
  </si>
  <si>
    <t xml:space="preserve">A-S-1548</t>
  </si>
  <si>
    <t xml:space="preserve">A-S-1549</t>
  </si>
  <si>
    <t xml:space="preserve">A-S-1550</t>
  </si>
  <si>
    <t xml:space="preserve">A-S-1551</t>
  </si>
  <si>
    <t xml:space="preserve">A-S-1552</t>
  </si>
  <si>
    <t xml:space="preserve">A-S-1553</t>
  </si>
  <si>
    <t xml:space="preserve">A-S-1554</t>
  </si>
  <si>
    <t xml:space="preserve">A-S-1555</t>
  </si>
  <si>
    <t xml:space="preserve">A-S-1556</t>
  </si>
  <si>
    <t xml:space="preserve">A-S-1557</t>
  </si>
  <si>
    <t xml:space="preserve">A-S-1558</t>
  </si>
  <si>
    <t xml:space="preserve">A-S-1559</t>
  </si>
  <si>
    <t xml:space="preserve">A-S-1560</t>
  </si>
  <si>
    <t xml:space="preserve">A-S-1561</t>
  </si>
  <si>
    <t xml:space="preserve">A-S-1562</t>
  </si>
  <si>
    <t xml:space="preserve">A-S-1563</t>
  </si>
  <si>
    <t xml:space="preserve">A-S-1564</t>
  </si>
  <si>
    <t xml:space="preserve">A-S-1565</t>
  </si>
  <si>
    <t xml:space="preserve">A-S-1566</t>
  </si>
  <si>
    <t xml:space="preserve">A-S-1567</t>
  </si>
  <si>
    <t xml:space="preserve">A-S-1568</t>
  </si>
  <si>
    <t xml:space="preserve">A-S-1569</t>
  </si>
  <si>
    <t xml:space="preserve">A-S-1570</t>
  </si>
  <si>
    <t xml:space="preserve">A-S-1571</t>
  </si>
  <si>
    <t xml:space="preserve">A-S-1572</t>
  </si>
  <si>
    <t xml:space="preserve">A-S-1573</t>
  </si>
  <si>
    <t xml:space="preserve">A-S-1574</t>
  </si>
  <si>
    <t xml:space="preserve">A-S-1575</t>
  </si>
  <si>
    <t xml:space="preserve">A-S-1576</t>
  </si>
  <si>
    <t xml:space="preserve">A-S-1577</t>
  </si>
  <si>
    <t xml:space="preserve">A-S-1578</t>
  </si>
  <si>
    <t xml:space="preserve">A-S-1579</t>
  </si>
  <si>
    <t xml:space="preserve">A-S-1580</t>
  </si>
  <si>
    <t xml:space="preserve">A-S-1581</t>
  </si>
  <si>
    <t xml:space="preserve">A-S-1582</t>
  </si>
  <si>
    <t xml:space="preserve">A-S-1583</t>
  </si>
  <si>
    <t xml:space="preserve">A-S-1584</t>
  </si>
  <si>
    <t xml:space="preserve">A-S-1585</t>
  </si>
  <si>
    <t xml:space="preserve">A-S-1586</t>
  </si>
  <si>
    <t xml:space="preserve">A-S-1587</t>
  </si>
  <si>
    <t xml:space="preserve">A-S-1588</t>
  </si>
  <si>
    <t xml:space="preserve">A-S-1589</t>
  </si>
  <si>
    <t xml:space="preserve">A-S-1590</t>
  </si>
  <si>
    <t xml:space="preserve">A-S-1591</t>
  </si>
  <si>
    <t xml:space="preserve">A-S-1592</t>
  </si>
  <si>
    <t xml:space="preserve">A-S-1593</t>
  </si>
  <si>
    <t xml:space="preserve">A-S-1594</t>
  </si>
  <si>
    <t xml:space="preserve">A-S-1595</t>
  </si>
  <si>
    <t xml:space="preserve">A-S-1596</t>
  </si>
  <si>
    <t xml:space="preserve">A-S-1597</t>
  </si>
  <si>
    <t xml:space="preserve">A-S-1598</t>
  </si>
  <si>
    <t xml:space="preserve">A-S-1599</t>
  </si>
  <si>
    <t xml:space="preserve">A-S-1600</t>
  </si>
  <si>
    <t xml:space="preserve">A-S-1601</t>
  </si>
  <si>
    <t xml:space="preserve">A-S-1602</t>
  </si>
  <si>
    <t xml:space="preserve">A-S-1603</t>
  </si>
  <si>
    <t xml:space="preserve">A-S-1604</t>
  </si>
  <si>
    <t xml:space="preserve">A-S-1605</t>
  </si>
  <si>
    <t xml:space="preserve">A-S-1606</t>
  </si>
  <si>
    <t xml:space="preserve">A-S-1607</t>
  </si>
  <si>
    <t xml:space="preserve">A-S-1608</t>
  </si>
  <si>
    <t xml:space="preserve">A-S-1609</t>
  </si>
  <si>
    <t xml:space="preserve">A-S-1610</t>
  </si>
  <si>
    <t xml:space="preserve">A-S-1611</t>
  </si>
  <si>
    <t xml:space="preserve">A-S-1612</t>
  </si>
  <si>
    <t xml:space="preserve">A-S-1613</t>
  </si>
  <si>
    <t xml:space="preserve">A-S-1614</t>
  </si>
  <si>
    <t xml:space="preserve">A-S-1615</t>
  </si>
  <si>
    <t xml:space="preserve">A-S-1616</t>
  </si>
  <si>
    <t xml:space="preserve">A-S-1617</t>
  </si>
  <si>
    <t xml:space="preserve">A-S-1618</t>
  </si>
  <si>
    <t xml:space="preserve">A-S-1619</t>
  </si>
  <si>
    <t xml:space="preserve">A-S-1620</t>
  </si>
  <si>
    <t xml:space="preserve">A-S-1621</t>
  </si>
  <si>
    <t xml:space="preserve">A-S-1622</t>
  </si>
  <si>
    <t xml:space="preserve">A-S-1623</t>
  </si>
  <si>
    <t xml:space="preserve">A-S-1624</t>
  </si>
  <si>
    <t xml:space="preserve">A-S-1625</t>
  </si>
  <si>
    <t xml:space="preserve">A-S-1626</t>
  </si>
  <si>
    <t xml:space="preserve">A-S-1627</t>
  </si>
  <si>
    <t xml:space="preserve">A-S-1628</t>
  </si>
  <si>
    <t xml:space="preserve">A-S-1629</t>
  </si>
  <si>
    <t xml:space="preserve">A-S-1630</t>
  </si>
  <si>
    <t xml:space="preserve">A-S-1631</t>
  </si>
  <si>
    <t xml:space="preserve">A-S-1632</t>
  </si>
  <si>
    <t xml:space="preserve">A-S-1633</t>
  </si>
  <si>
    <t xml:space="preserve">A-S-1634</t>
  </si>
  <si>
    <t xml:space="preserve">A-S-1635</t>
  </si>
  <si>
    <t xml:space="preserve">A-S-1636</t>
  </si>
  <si>
    <t xml:space="preserve">A-S-1637</t>
  </si>
  <si>
    <t xml:space="preserve">A-S-1638</t>
  </si>
  <si>
    <t xml:space="preserve">A-S-1639</t>
  </si>
  <si>
    <t xml:space="preserve">A-S-1640</t>
  </si>
  <si>
    <t xml:space="preserve">A-S-1641</t>
  </si>
  <si>
    <t xml:space="preserve">A-S-1642</t>
  </si>
  <si>
    <t xml:space="preserve">A-S-1643</t>
  </si>
  <si>
    <t xml:space="preserve">A-S-1644</t>
  </si>
  <si>
    <t xml:space="preserve">A-S-1645</t>
  </si>
  <si>
    <t xml:space="preserve">A-S-1646</t>
  </si>
  <si>
    <t xml:space="preserve">A-S-1647</t>
  </si>
  <si>
    <t xml:space="preserve">A-S-1648</t>
  </si>
  <si>
    <t xml:space="preserve">A-S-1649</t>
  </si>
  <si>
    <t xml:space="preserve">A-S-1650</t>
  </si>
  <si>
    <t xml:space="preserve">A-S-1651</t>
  </si>
  <si>
    <t xml:space="preserve">A-S-1652</t>
  </si>
  <si>
    <t xml:space="preserve">A-S-1653</t>
  </si>
  <si>
    <t xml:space="preserve">A-S-1654</t>
  </si>
  <si>
    <t xml:space="preserve">A-S-1655</t>
  </si>
  <si>
    <t xml:space="preserve">A-S-1656</t>
  </si>
  <si>
    <t xml:space="preserve">A-S-1657</t>
  </si>
  <si>
    <t xml:space="preserve">A-S-1658</t>
  </si>
  <si>
    <t xml:space="preserve">A-S-1659</t>
  </si>
  <si>
    <t xml:space="preserve">A-S-1660</t>
  </si>
  <si>
    <t xml:space="preserve">A-S-1661</t>
  </si>
  <si>
    <t xml:space="preserve">A-S-1662</t>
  </si>
  <si>
    <t xml:space="preserve">A-S-1663</t>
  </si>
  <si>
    <t xml:space="preserve">A-S-1664</t>
  </si>
  <si>
    <t xml:space="preserve">A-S-1665</t>
  </si>
  <si>
    <t xml:space="preserve">A-S-1666</t>
  </si>
  <si>
    <t xml:space="preserve">A-S-1667</t>
  </si>
  <si>
    <t xml:space="preserve">A-S-1668</t>
  </si>
  <si>
    <t xml:space="preserve">A-S-1669</t>
  </si>
  <si>
    <t xml:space="preserve">A-S-1670</t>
  </si>
  <si>
    <t xml:space="preserve">A-S-1671</t>
  </si>
  <si>
    <t xml:space="preserve">A-S-1672</t>
  </si>
  <si>
    <t xml:space="preserve">A-S-1673</t>
  </si>
  <si>
    <t xml:space="preserve">A-S-1674</t>
  </si>
  <si>
    <t xml:space="preserve">A-S-1675</t>
  </si>
  <si>
    <t xml:space="preserve">A-S-1676</t>
  </si>
  <si>
    <t xml:space="preserve">A-S-1677</t>
  </si>
  <si>
    <t xml:space="preserve">A-S-1678</t>
  </si>
  <si>
    <t xml:space="preserve">A-S-1679</t>
  </si>
  <si>
    <t xml:space="preserve">A-S-1680</t>
  </si>
  <si>
    <t xml:space="preserve">A-S-1681</t>
  </si>
  <si>
    <t xml:space="preserve">A-S-1682</t>
  </si>
  <si>
    <t xml:space="preserve">A-S-1683</t>
  </si>
  <si>
    <t xml:space="preserve">A-S-1684</t>
  </si>
  <si>
    <t xml:space="preserve">A-S-1685</t>
  </si>
  <si>
    <t xml:space="preserve">A-S-1686</t>
  </si>
  <si>
    <t xml:space="preserve">A-S-1687</t>
  </si>
  <si>
    <t xml:space="preserve">A-S-1688</t>
  </si>
  <si>
    <t xml:space="preserve">A-S-1689</t>
  </si>
  <si>
    <t xml:space="preserve">A-S-1690</t>
  </si>
  <si>
    <t xml:space="preserve">A-S-1691</t>
  </si>
  <si>
    <t xml:space="preserve">A-S-1692</t>
  </si>
  <si>
    <t xml:space="preserve">A-S-1693</t>
  </si>
  <si>
    <t xml:space="preserve">A-S-1694</t>
  </si>
  <si>
    <t xml:space="preserve">A-S-1695</t>
  </si>
  <si>
    <t xml:space="preserve">A-S-1696</t>
  </si>
  <si>
    <t xml:space="preserve">A-S-1697</t>
  </si>
  <si>
    <t xml:space="preserve">A-S-1698</t>
  </si>
  <si>
    <t xml:space="preserve">A-S-1699</t>
  </si>
  <si>
    <t xml:space="preserve">A-S-1700</t>
  </si>
  <si>
    <t xml:space="preserve">A-S-1701</t>
  </si>
  <si>
    <t xml:space="preserve">A-S-1702</t>
  </si>
  <si>
    <t xml:space="preserve">A-S-1703</t>
  </si>
  <si>
    <t xml:space="preserve">A-S-1704</t>
  </si>
  <si>
    <t xml:space="preserve">A-S-1705</t>
  </si>
  <si>
    <t xml:space="preserve">A-S-1706</t>
  </si>
  <si>
    <t xml:space="preserve">A-S-1707</t>
  </si>
  <si>
    <t xml:space="preserve">A-S-1708</t>
  </si>
  <si>
    <t xml:space="preserve">A-S-1709</t>
  </si>
  <si>
    <t xml:space="preserve">A-S-1710</t>
  </si>
  <si>
    <t xml:space="preserve">A-S-1711</t>
  </si>
  <si>
    <t xml:space="preserve">A-S-1712</t>
  </si>
  <si>
    <t xml:space="preserve">A-S-1713</t>
  </si>
  <si>
    <t xml:space="preserve">A-S-1714</t>
  </si>
  <si>
    <t xml:space="preserve">A-S-1715</t>
  </si>
  <si>
    <t xml:space="preserve">A-S-1716</t>
  </si>
  <si>
    <t xml:space="preserve">A-S-1717</t>
  </si>
  <si>
    <t xml:space="preserve">A-S-1718</t>
  </si>
  <si>
    <t xml:space="preserve">A-S-1719</t>
  </si>
  <si>
    <t xml:space="preserve">A-S-1720</t>
  </si>
  <si>
    <t xml:space="preserve">A-S-1721</t>
  </si>
  <si>
    <t xml:space="preserve">A-S-1722</t>
  </si>
  <si>
    <t xml:space="preserve">A-S-1723</t>
  </si>
  <si>
    <t xml:space="preserve">A-S-1724</t>
  </si>
  <si>
    <t xml:space="preserve">A-S-1725</t>
  </si>
  <si>
    <t xml:space="preserve">A-S-1726</t>
  </si>
  <si>
    <t xml:space="preserve">A-S-1727</t>
  </si>
  <si>
    <t xml:space="preserve">A-S-1728</t>
  </si>
  <si>
    <t xml:space="preserve">A-S-1729</t>
  </si>
  <si>
    <t xml:space="preserve">A-S-1730</t>
  </si>
  <si>
    <t xml:space="preserve">A-S-1731</t>
  </si>
  <si>
    <t xml:space="preserve">A-S-1732</t>
  </si>
  <si>
    <t xml:space="preserve">A-S-1733</t>
  </si>
  <si>
    <t xml:space="preserve">A-S-1734</t>
  </si>
  <si>
    <t xml:space="preserve">A-S-1735</t>
  </si>
  <si>
    <t xml:space="preserve">A-S-1736</t>
  </si>
  <si>
    <t xml:space="preserve">A-S-1737</t>
  </si>
  <si>
    <t xml:space="preserve">A-S-1738</t>
  </si>
  <si>
    <t xml:space="preserve">A-S-1739</t>
  </si>
  <si>
    <t xml:space="preserve">A-S-1740</t>
  </si>
  <si>
    <t xml:space="preserve">A-S-1741</t>
  </si>
  <si>
    <t xml:space="preserve">A-S-1742</t>
  </si>
  <si>
    <t xml:space="preserve">A-S-1743</t>
  </si>
  <si>
    <t xml:space="preserve">A-S-1744</t>
  </si>
  <si>
    <t xml:space="preserve">A-S-1745</t>
  </si>
  <si>
    <t xml:space="preserve">A-S-1746</t>
  </si>
  <si>
    <t xml:space="preserve">A-S-1747</t>
  </si>
  <si>
    <t xml:space="preserve">A-S-1748</t>
  </si>
  <si>
    <t xml:space="preserve">A-S-1749</t>
  </si>
  <si>
    <t xml:space="preserve">A-S-1750</t>
  </si>
  <si>
    <t xml:space="preserve">A-S-1751</t>
  </si>
  <si>
    <t xml:space="preserve">A-S-1752</t>
  </si>
  <si>
    <t xml:space="preserve">A-S-1753</t>
  </si>
  <si>
    <t xml:space="preserve">A-S-1754</t>
  </si>
  <si>
    <t xml:space="preserve">A-S-1755</t>
  </si>
  <si>
    <t xml:space="preserve">A-S-1756</t>
  </si>
  <si>
    <t xml:space="preserve">A-S-1757</t>
  </si>
  <si>
    <t xml:space="preserve">A-S-1758</t>
  </si>
  <si>
    <t xml:space="preserve">A-S-1759</t>
  </si>
  <si>
    <t xml:space="preserve">A-S-1760</t>
  </si>
  <si>
    <t xml:space="preserve">A-S-1761</t>
  </si>
  <si>
    <t xml:space="preserve">A-S-1762</t>
  </si>
  <si>
    <t xml:space="preserve">A-S-1763</t>
  </si>
  <si>
    <t xml:space="preserve">A-S-1764</t>
  </si>
  <si>
    <t xml:space="preserve">A-S-1765</t>
  </si>
  <si>
    <t xml:space="preserve">A-S-1766</t>
  </si>
  <si>
    <t xml:space="preserve">A-S-1767</t>
  </si>
  <si>
    <t xml:space="preserve">A-S-1768</t>
  </si>
  <si>
    <t xml:space="preserve">A-S-1769</t>
  </si>
  <si>
    <t xml:space="preserve">A-S-1770</t>
  </si>
  <si>
    <t xml:space="preserve">A-S-1771</t>
  </si>
  <si>
    <t xml:space="preserve">A-S-1772</t>
  </si>
  <si>
    <t xml:space="preserve">A-S-1773</t>
  </si>
  <si>
    <t xml:space="preserve">A-S-1774</t>
  </si>
  <si>
    <t xml:space="preserve">A-S-1775</t>
  </si>
  <si>
    <t xml:space="preserve">A-S-1776</t>
  </si>
  <si>
    <t xml:space="preserve">A-S-1777</t>
  </si>
  <si>
    <t xml:space="preserve">A-S-1778</t>
  </si>
  <si>
    <t xml:space="preserve">A-S-1779</t>
  </si>
  <si>
    <t xml:space="preserve">A-S-1780</t>
  </si>
  <si>
    <t xml:space="preserve">A-S-1781</t>
  </si>
  <si>
    <t xml:space="preserve">A-S-1782</t>
  </si>
  <si>
    <t xml:space="preserve">A-S-1783</t>
  </si>
  <si>
    <t xml:space="preserve">A-S-1784</t>
  </si>
  <si>
    <t xml:space="preserve">A-S-1785</t>
  </si>
  <si>
    <t xml:space="preserve">A-S-1786</t>
  </si>
  <si>
    <t xml:space="preserve">A-S-1787</t>
  </si>
  <si>
    <t xml:space="preserve">A-S-1788</t>
  </si>
  <si>
    <t xml:space="preserve">A-S-1789</t>
  </si>
  <si>
    <t xml:space="preserve">A-S-1790</t>
  </si>
  <si>
    <t xml:space="preserve">A-S-1791</t>
  </si>
  <si>
    <t xml:space="preserve">A-S-1792</t>
  </si>
  <si>
    <t xml:space="preserve">A-S-1793</t>
  </si>
  <si>
    <t xml:space="preserve">A-S-1794</t>
  </si>
  <si>
    <t xml:space="preserve">A-S-1795</t>
  </si>
  <si>
    <t xml:space="preserve">A-S-1796</t>
  </si>
  <si>
    <t xml:space="preserve">A-S-1797</t>
  </si>
  <si>
    <t xml:space="preserve">A-S-1798</t>
  </si>
  <si>
    <t xml:space="preserve">A-S-1799</t>
  </si>
  <si>
    <t xml:space="preserve">A-S-1800</t>
  </si>
  <si>
    <t xml:space="preserve">A-S-1801</t>
  </si>
  <si>
    <t xml:space="preserve">A-S-1802</t>
  </si>
  <si>
    <t xml:space="preserve">A-S-1803</t>
  </si>
  <si>
    <t xml:space="preserve">A-S-1804</t>
  </si>
  <si>
    <t xml:space="preserve">A-S-1805</t>
  </si>
  <si>
    <t xml:space="preserve">A-S-1806</t>
  </si>
  <si>
    <t xml:space="preserve">A-S-1807</t>
  </si>
  <si>
    <t xml:space="preserve">A-S-1808</t>
  </si>
  <si>
    <t xml:space="preserve">A-S-1809</t>
  </si>
  <si>
    <t xml:space="preserve">A-S-1810</t>
  </si>
  <si>
    <t xml:space="preserve">A-S-1811</t>
  </si>
  <si>
    <t xml:space="preserve">A-S-1812</t>
  </si>
  <si>
    <t xml:space="preserve">A-S-1813</t>
  </si>
  <si>
    <t xml:space="preserve">A-S-1814</t>
  </si>
  <si>
    <t xml:space="preserve">A-S-1815</t>
  </si>
  <si>
    <t xml:space="preserve">A-S-1816</t>
  </si>
  <si>
    <t xml:space="preserve">A-S-1817</t>
  </si>
  <si>
    <t xml:space="preserve">A-S-1818</t>
  </si>
  <si>
    <t xml:space="preserve">A-S-1819</t>
  </si>
  <si>
    <t xml:space="preserve">A-S-1820</t>
  </si>
  <si>
    <t xml:space="preserve">A-S-1821</t>
  </si>
  <si>
    <t xml:space="preserve">A-S-1822</t>
  </si>
  <si>
    <t xml:space="preserve">A-S-1823</t>
  </si>
  <si>
    <t xml:space="preserve">A-S-1824</t>
  </si>
  <si>
    <t xml:space="preserve">A-S-1825</t>
  </si>
  <si>
    <t xml:space="preserve">A-S-1826</t>
  </si>
  <si>
    <t xml:space="preserve">A-S-1827</t>
  </si>
  <si>
    <t xml:space="preserve">A-S-1828</t>
  </si>
  <si>
    <t xml:space="preserve">A-S-1829</t>
  </si>
  <si>
    <t xml:space="preserve">A-S-1830</t>
  </si>
  <si>
    <t xml:space="preserve">A-S-1831</t>
  </si>
  <si>
    <t xml:space="preserve">A-S-1832</t>
  </si>
  <si>
    <t xml:space="preserve">A-S-1833</t>
  </si>
  <si>
    <t xml:space="preserve">A-S-1834</t>
  </si>
  <si>
    <t xml:space="preserve">A-S-1835</t>
  </si>
  <si>
    <t xml:space="preserve">A-S-1836</t>
  </si>
  <si>
    <t xml:space="preserve">A-S-1837</t>
  </si>
  <si>
    <t xml:space="preserve">A-S-1838</t>
  </si>
  <si>
    <t xml:space="preserve">A-S-1839</t>
  </si>
  <si>
    <t xml:space="preserve">A-S-1840</t>
  </si>
  <si>
    <t xml:space="preserve">A-S-1841</t>
  </si>
  <si>
    <t xml:space="preserve">A-S-1842</t>
  </si>
  <si>
    <t xml:space="preserve">A-S-1843</t>
  </si>
  <si>
    <t xml:space="preserve">A-S-1844</t>
  </si>
  <si>
    <t xml:space="preserve">A-S-1845</t>
  </si>
  <si>
    <t xml:space="preserve">A-S-1846</t>
  </si>
  <si>
    <t xml:space="preserve">A-S-1847</t>
  </si>
  <si>
    <t xml:space="preserve">A-S-1848</t>
  </si>
  <si>
    <t xml:space="preserve">A-S-1849</t>
  </si>
  <si>
    <t xml:space="preserve">A-S-1850</t>
  </si>
  <si>
    <t xml:space="preserve">A-S-1851</t>
  </si>
  <si>
    <t xml:space="preserve">A-S-1852</t>
  </si>
  <si>
    <t xml:space="preserve">A-S-1853</t>
  </si>
  <si>
    <t xml:space="preserve">A-S-1854</t>
  </si>
  <si>
    <t xml:space="preserve">A-S-1855</t>
  </si>
  <si>
    <t xml:space="preserve">A-S-1856</t>
  </si>
  <si>
    <t xml:space="preserve">A-S-1857</t>
  </si>
  <si>
    <t xml:space="preserve">A-S-1858</t>
  </si>
  <si>
    <t xml:space="preserve">A-S-1859</t>
  </si>
  <si>
    <t xml:space="preserve">A-S-1860</t>
  </si>
  <si>
    <t xml:space="preserve">A-S-1861</t>
  </si>
  <si>
    <t xml:space="preserve">A-S-1862</t>
  </si>
  <si>
    <t xml:space="preserve">A-S-1863</t>
  </si>
  <si>
    <t xml:space="preserve">A-S-1864</t>
  </si>
  <si>
    <t xml:space="preserve">A-S-1865</t>
  </si>
  <si>
    <t xml:space="preserve">A-S-1866</t>
  </si>
  <si>
    <t xml:space="preserve">A-S-1867</t>
  </si>
  <si>
    <t xml:space="preserve">A-S-1868</t>
  </si>
  <si>
    <t xml:space="preserve">A-S-1869</t>
  </si>
  <si>
    <t xml:space="preserve">A-S-1870</t>
  </si>
  <si>
    <t xml:space="preserve">A-S-1871</t>
  </si>
  <si>
    <t xml:space="preserve">A-S-1872</t>
  </si>
  <si>
    <t xml:space="preserve">A-S-1873</t>
  </si>
  <si>
    <t xml:space="preserve">A-S-1874</t>
  </si>
  <si>
    <t xml:space="preserve">A-S-1875</t>
  </si>
  <si>
    <t xml:space="preserve">A-S-1876</t>
  </si>
  <si>
    <t xml:space="preserve">A-S-1877</t>
  </si>
  <si>
    <t xml:space="preserve">A-S-1878</t>
  </si>
  <si>
    <t xml:space="preserve">A-S-1879</t>
  </si>
  <si>
    <t xml:space="preserve">A-S-1880</t>
  </si>
  <si>
    <t xml:space="preserve">A-S-1881</t>
  </si>
  <si>
    <t xml:space="preserve">A-S-1882</t>
  </si>
  <si>
    <t xml:space="preserve">A-S-1883</t>
  </si>
  <si>
    <t xml:space="preserve">A-S-1884</t>
  </si>
  <si>
    <t xml:space="preserve">A-S-1885</t>
  </si>
  <si>
    <t xml:space="preserve">A-S-1886</t>
  </si>
  <si>
    <t xml:space="preserve">A-S-1887</t>
  </si>
  <si>
    <t xml:space="preserve">A-S-1888</t>
  </si>
  <si>
    <t xml:space="preserve">A-S-1889</t>
  </si>
  <si>
    <t xml:space="preserve">A-S-1890</t>
  </si>
  <si>
    <t xml:space="preserve">A-S-1891</t>
  </si>
  <si>
    <t xml:space="preserve">A-S-1892</t>
  </si>
  <si>
    <t xml:space="preserve">A-S-1893</t>
  </si>
  <si>
    <t xml:space="preserve">A-S-1894</t>
  </si>
  <si>
    <t xml:space="preserve">A-S-1895</t>
  </si>
  <si>
    <t xml:space="preserve">A-S-1896</t>
  </si>
  <si>
    <t xml:space="preserve">A-S-1897</t>
  </si>
  <si>
    <t xml:space="preserve">A-S-1898</t>
  </si>
  <si>
    <t xml:space="preserve">A-S-1899</t>
  </si>
  <si>
    <t xml:space="preserve">A-S-1900</t>
  </si>
  <si>
    <t xml:space="preserve">A-S-1901</t>
  </si>
  <si>
    <t xml:space="preserve">A-S-1902</t>
  </si>
  <si>
    <t xml:space="preserve">A-S-1903</t>
  </si>
  <si>
    <t xml:space="preserve">A-S-1904</t>
  </si>
  <si>
    <t xml:space="preserve">A-S-1905</t>
  </si>
  <si>
    <t xml:space="preserve">A-S-1906</t>
  </si>
  <si>
    <t xml:space="preserve">A-S-1907</t>
  </si>
  <si>
    <t xml:space="preserve">A-S-1908</t>
  </si>
  <si>
    <t xml:space="preserve">A-S-1909</t>
  </si>
  <si>
    <t xml:space="preserve">A-S-1910</t>
  </si>
  <si>
    <t xml:space="preserve">A-S-1911</t>
  </si>
  <si>
    <t xml:space="preserve">A-S-1912</t>
  </si>
  <si>
    <t xml:space="preserve">A-S-1913</t>
  </si>
  <si>
    <t xml:space="preserve">A-S-1914</t>
  </si>
  <si>
    <t xml:space="preserve">A-S-1915</t>
  </si>
  <si>
    <t xml:space="preserve">A-S-1916</t>
  </si>
  <si>
    <t xml:space="preserve">A-S-1917</t>
  </si>
  <si>
    <t xml:space="preserve">A-S-1918</t>
  </si>
  <si>
    <t xml:space="preserve">A-S-1919</t>
  </si>
  <si>
    <t xml:space="preserve">A-S-1920</t>
  </si>
  <si>
    <t xml:space="preserve">A-S-1921</t>
  </si>
  <si>
    <t xml:space="preserve">A-S-1922</t>
  </si>
  <si>
    <t xml:space="preserve">A-S-1923</t>
  </si>
  <si>
    <t xml:space="preserve">A-S-1924</t>
  </si>
  <si>
    <t xml:space="preserve">A-S-1925</t>
  </si>
  <si>
    <t xml:space="preserve">A-S-1926</t>
  </si>
  <si>
    <t xml:space="preserve">A-S-1927</t>
  </si>
  <si>
    <t xml:space="preserve">A-S-1928</t>
  </si>
  <si>
    <t xml:space="preserve">A-S-1929</t>
  </si>
  <si>
    <t xml:space="preserve">A-S-1930</t>
  </si>
  <si>
    <t xml:space="preserve">A-S-1931</t>
  </si>
  <si>
    <t xml:space="preserve">A-S-1932</t>
  </si>
  <si>
    <t xml:space="preserve">A-S-1933</t>
  </si>
  <si>
    <t xml:space="preserve">A-S-1934</t>
  </si>
  <si>
    <t xml:space="preserve">A-S-1935</t>
  </si>
  <si>
    <t xml:space="preserve">A-S-1936</t>
  </si>
  <si>
    <t xml:space="preserve">A-S-1937</t>
  </si>
  <si>
    <t xml:space="preserve">A-S-1938</t>
  </si>
  <si>
    <t xml:space="preserve">A-S-1939</t>
  </si>
  <si>
    <t xml:space="preserve">A-S-1940</t>
  </si>
  <si>
    <t xml:space="preserve">A-S-1941</t>
  </si>
  <si>
    <t xml:space="preserve">A-S-1942</t>
  </si>
  <si>
    <t xml:space="preserve">A-S-1943</t>
  </si>
  <si>
    <t xml:space="preserve">A-S-1944</t>
  </si>
  <si>
    <t xml:space="preserve">A-S-1945</t>
  </si>
  <si>
    <t xml:space="preserve">A-S-1946</t>
  </si>
  <si>
    <t xml:space="preserve">A-S-1947</t>
  </si>
  <si>
    <t xml:space="preserve">A-S-1948</t>
  </si>
  <si>
    <t xml:space="preserve">A-S-1949</t>
  </si>
  <si>
    <t xml:space="preserve">A-S-1950</t>
  </si>
  <si>
    <t xml:space="preserve">A-S-1951</t>
  </si>
  <si>
    <t xml:space="preserve">A-S-1952</t>
  </si>
  <si>
    <t xml:space="preserve">A-S-1953</t>
  </si>
  <si>
    <t xml:space="preserve">A-S-1954</t>
  </si>
  <si>
    <t xml:space="preserve">A-S-1955</t>
  </si>
  <si>
    <t xml:space="preserve">A-S-1956</t>
  </si>
  <si>
    <t xml:space="preserve">A-S-1957</t>
  </si>
  <si>
    <t xml:space="preserve">A-S-1958</t>
  </si>
  <si>
    <t xml:space="preserve">A-S-1959</t>
  </si>
  <si>
    <t xml:space="preserve">A-S-1960</t>
  </si>
  <si>
    <t xml:space="preserve">A-S-1961</t>
  </si>
  <si>
    <t xml:space="preserve">A-S-1962</t>
  </si>
  <si>
    <t xml:space="preserve">A-S-1963</t>
  </si>
  <si>
    <t xml:space="preserve">A-S-1964</t>
  </si>
  <si>
    <t xml:space="preserve">A-S-1965</t>
  </si>
  <si>
    <t xml:space="preserve">A-S-1966</t>
  </si>
  <si>
    <t xml:space="preserve">A-S-1967</t>
  </si>
  <si>
    <t xml:space="preserve">A-S-1968</t>
  </si>
  <si>
    <t xml:space="preserve">A-S-1969</t>
  </si>
  <si>
    <t xml:space="preserve">A-S-1970</t>
  </si>
  <si>
    <t xml:space="preserve">A-S-1971</t>
  </si>
  <si>
    <t xml:space="preserve">A-S-1972</t>
  </si>
  <si>
    <t xml:space="preserve">A-S-1973</t>
  </si>
  <si>
    <t xml:space="preserve">A-S-1974</t>
  </si>
  <si>
    <t xml:space="preserve">A-S-1975</t>
  </si>
  <si>
    <t xml:space="preserve">A-S-1976</t>
  </si>
  <si>
    <t xml:space="preserve">A-S-1977</t>
  </si>
  <si>
    <t xml:space="preserve">A-S-1978</t>
  </si>
  <si>
    <t xml:space="preserve">A-S-1979</t>
  </si>
  <si>
    <t xml:space="preserve">A-S-1980</t>
  </si>
  <si>
    <t xml:space="preserve">A-S-1981</t>
  </si>
  <si>
    <t xml:space="preserve">A-S-1982</t>
  </si>
  <si>
    <t xml:space="preserve">A-S-1983</t>
  </si>
  <si>
    <t xml:space="preserve">A-S-1984</t>
  </si>
  <si>
    <t xml:space="preserve">A-S-1985</t>
  </si>
  <si>
    <t xml:space="preserve">A-S-1986</t>
  </si>
  <si>
    <t xml:space="preserve">A-S-1987</t>
  </si>
  <si>
    <t xml:space="preserve">A-S-1988</t>
  </si>
  <si>
    <t xml:space="preserve">A-S-1989</t>
  </si>
  <si>
    <t xml:space="preserve">A-S-1990</t>
  </si>
  <si>
    <t xml:space="preserve">A-S-1991</t>
  </si>
  <si>
    <t xml:space="preserve">A-S-1992</t>
  </si>
  <si>
    <t xml:space="preserve">A-S-1993</t>
  </si>
  <si>
    <t xml:space="preserve">A-S-1994</t>
  </si>
  <si>
    <t xml:space="preserve">A-S-1995</t>
  </si>
  <si>
    <t xml:space="preserve">A-S-1996</t>
  </si>
  <si>
    <t xml:space="preserve">A-S-1997</t>
  </si>
  <si>
    <t xml:space="preserve">A-S-1998</t>
  </si>
  <si>
    <t xml:space="preserve">A-S-1999</t>
  </si>
  <si>
    <t xml:space="preserve">A-S-2000</t>
  </si>
  <si>
    <t xml:space="preserve">A-S-2001</t>
  </si>
  <si>
    <t xml:space="preserve">A-S-2002</t>
  </si>
  <si>
    <t xml:space="preserve">A-S-2003</t>
  </si>
  <si>
    <t xml:space="preserve">A-S-2004</t>
  </si>
  <si>
    <t xml:space="preserve">A-S-2005</t>
  </si>
  <si>
    <t xml:space="preserve">A-S-2006</t>
  </si>
  <si>
    <t xml:space="preserve">A-S-2007</t>
  </si>
  <si>
    <t xml:space="preserve">A-S-2008</t>
  </si>
  <si>
    <t xml:space="preserve">A-S-2009</t>
  </si>
  <si>
    <t xml:space="preserve">A-S-2010</t>
  </si>
  <si>
    <t xml:space="preserve">A-S-2011</t>
  </si>
  <si>
    <t xml:space="preserve">A-S-2012</t>
  </si>
  <si>
    <t xml:space="preserve">A-S-2013</t>
  </si>
  <si>
    <t xml:space="preserve">A-S-2014</t>
  </si>
  <si>
    <t xml:space="preserve">A-S-2015</t>
  </si>
  <si>
    <t xml:space="preserve">A-S-2016</t>
  </si>
  <si>
    <t xml:space="preserve">A-S-2017</t>
  </si>
  <si>
    <t xml:space="preserve">A-S-2018</t>
  </si>
  <si>
    <t xml:space="preserve">A-S-2019</t>
  </si>
  <si>
    <t xml:space="preserve">A-S-2020</t>
  </si>
  <si>
    <t xml:space="preserve">A-S-2021</t>
  </si>
  <si>
    <t xml:space="preserve">A-S-2022</t>
  </si>
  <si>
    <t xml:space="preserve">A-S-2023</t>
  </si>
  <si>
    <t xml:space="preserve">A-S-2024</t>
  </si>
  <si>
    <t xml:space="preserve">A-S-2025</t>
  </si>
  <si>
    <t xml:space="preserve">A-S-2026</t>
  </si>
  <si>
    <t xml:space="preserve">A-S-2027</t>
  </si>
  <si>
    <t xml:space="preserve">A-S-2028</t>
  </si>
  <si>
    <t xml:space="preserve">A-S-2029</t>
  </si>
  <si>
    <t xml:space="preserve">A-S-2030</t>
  </si>
  <si>
    <t xml:space="preserve">A-S-2031</t>
  </si>
  <si>
    <t xml:space="preserve">A-S-2032</t>
  </si>
  <si>
    <t xml:space="preserve">A-S-2033</t>
  </si>
  <si>
    <t xml:space="preserve">A-S-2034</t>
  </si>
  <si>
    <t xml:space="preserve">A-S-2035</t>
  </si>
  <si>
    <t xml:space="preserve">A-S-2036</t>
  </si>
  <si>
    <t xml:space="preserve">A-S-2037</t>
  </si>
  <si>
    <t xml:space="preserve">A-S-2038</t>
  </si>
  <si>
    <t xml:space="preserve">A-S-2039</t>
  </si>
  <si>
    <t xml:space="preserve">A-S-2040</t>
  </si>
  <si>
    <t xml:space="preserve">A-S-2041</t>
  </si>
  <si>
    <t xml:space="preserve">A-S-2042</t>
  </si>
  <si>
    <t xml:space="preserve">A-S-2043</t>
  </si>
  <si>
    <t xml:space="preserve">A-S-2044</t>
  </si>
  <si>
    <t xml:space="preserve">A-S-2045</t>
  </si>
  <si>
    <t xml:space="preserve">A-S-2046</t>
  </si>
  <si>
    <t xml:space="preserve">A-S-2047</t>
  </si>
  <si>
    <t xml:space="preserve">A-S-2048</t>
  </si>
  <si>
    <t xml:space="preserve">A-S-2049</t>
  </si>
  <si>
    <t xml:space="preserve">A-S-2050</t>
  </si>
  <si>
    <t xml:space="preserve">A-S-2051</t>
  </si>
  <si>
    <t xml:space="preserve">A-S-2052</t>
  </si>
  <si>
    <t xml:space="preserve">A-S-2053</t>
  </si>
  <si>
    <t xml:space="preserve">A-S-2054</t>
  </si>
  <si>
    <t xml:space="preserve">A-S-2055</t>
  </si>
  <si>
    <t xml:space="preserve">A-S-2056</t>
  </si>
  <si>
    <t xml:space="preserve">A-S-2057</t>
  </si>
  <si>
    <t xml:space="preserve">A-S-2058</t>
  </si>
  <si>
    <t xml:space="preserve">A-S-2059</t>
  </si>
  <si>
    <t xml:space="preserve">A-S-2060</t>
  </si>
  <si>
    <t xml:space="preserve">A-S-2061</t>
  </si>
  <si>
    <t xml:space="preserve">A-S-2062</t>
  </si>
  <si>
    <t xml:space="preserve">A-S-2063</t>
  </si>
  <si>
    <t xml:space="preserve">A-S-2064</t>
  </si>
  <si>
    <t xml:space="preserve">A-S-2065</t>
  </si>
  <si>
    <t xml:space="preserve">A-S-2066</t>
  </si>
  <si>
    <t xml:space="preserve">A-S-2067</t>
  </si>
  <si>
    <t xml:space="preserve">A-S-2068</t>
  </si>
  <si>
    <t xml:space="preserve">A-S-2069</t>
  </si>
  <si>
    <t xml:space="preserve">A-S-2070</t>
  </si>
  <si>
    <t xml:space="preserve">A-S-2071</t>
  </si>
  <si>
    <t xml:space="preserve">A-S-2072</t>
  </si>
  <si>
    <t xml:space="preserve">A-S-2073</t>
  </si>
  <si>
    <t xml:space="preserve">A-S-2074</t>
  </si>
  <si>
    <t xml:space="preserve">A-S-2075</t>
  </si>
  <si>
    <t xml:space="preserve">A-S-2076</t>
  </si>
  <si>
    <t xml:space="preserve">A-S-2077</t>
  </si>
  <si>
    <t xml:space="preserve">A-S-2078</t>
  </si>
  <si>
    <t xml:space="preserve">A-S-2079</t>
  </si>
  <si>
    <t xml:space="preserve">A-S-2080</t>
  </si>
  <si>
    <t xml:space="preserve">A-S-2081</t>
  </si>
  <si>
    <t xml:space="preserve">A-S-2082</t>
  </si>
  <si>
    <t xml:space="preserve">A-S-2083</t>
  </si>
  <si>
    <t xml:space="preserve">A-S-2084</t>
  </si>
  <si>
    <t xml:space="preserve">A-S-2085</t>
  </si>
  <si>
    <t xml:space="preserve">A-S-2086</t>
  </si>
  <si>
    <t xml:space="preserve">A-S-2087</t>
  </si>
  <si>
    <t xml:space="preserve">A-S-2088</t>
  </si>
  <si>
    <t xml:space="preserve">A-S-2089</t>
  </si>
  <si>
    <t xml:space="preserve">A-S-2090</t>
  </si>
  <si>
    <t xml:space="preserve">A-S-2091</t>
  </si>
  <si>
    <t xml:space="preserve">A-S-2092</t>
  </si>
  <si>
    <t xml:space="preserve">A-S-2093</t>
  </si>
  <si>
    <t xml:space="preserve">A-S-2094</t>
  </si>
  <si>
    <t xml:space="preserve">A-S-2095</t>
  </si>
  <si>
    <t xml:space="preserve">A-S-2096</t>
  </si>
  <si>
    <t xml:space="preserve">A-S-2097</t>
  </si>
  <si>
    <t xml:space="preserve">A-S-2098</t>
  </si>
  <si>
    <t xml:space="preserve">A-S-2099</t>
  </si>
  <si>
    <t xml:space="preserve">A-S-2100</t>
  </si>
  <si>
    <t xml:space="preserve">A-S-2101</t>
  </si>
  <si>
    <t xml:space="preserve">A-S-2102</t>
  </si>
  <si>
    <t xml:space="preserve">A-S-2103</t>
  </si>
  <si>
    <t xml:space="preserve">A-S-2104</t>
  </si>
  <si>
    <t xml:space="preserve">A-S-2105</t>
  </si>
  <si>
    <t xml:space="preserve">A-S-2106</t>
  </si>
  <si>
    <t xml:space="preserve">A-S-2107</t>
  </si>
  <si>
    <t xml:space="preserve">A-S-2108</t>
  </si>
  <si>
    <t xml:space="preserve">A-S-2109</t>
  </si>
  <si>
    <t xml:space="preserve">A-S-2110</t>
  </si>
  <si>
    <t xml:space="preserve">A-S-2111</t>
  </si>
  <si>
    <t xml:space="preserve">A-S-2112</t>
  </si>
  <si>
    <t xml:space="preserve">A-S-2113</t>
  </si>
  <si>
    <t xml:space="preserve">A-S-2114</t>
  </si>
  <si>
    <t xml:space="preserve">A-S-2115</t>
  </si>
  <si>
    <t xml:space="preserve">A-S-2116</t>
  </si>
  <si>
    <t xml:space="preserve">A-S-2117</t>
  </si>
  <si>
    <t xml:space="preserve">A-S-2118</t>
  </si>
  <si>
    <t xml:space="preserve">A-S-2119</t>
  </si>
  <si>
    <t xml:space="preserve">A-S-2120</t>
  </si>
  <si>
    <t xml:space="preserve">A-S-2121</t>
  </si>
  <si>
    <t xml:space="preserve">A-S-2122</t>
  </si>
  <si>
    <t xml:space="preserve">A-S-2123</t>
  </si>
  <si>
    <t xml:space="preserve">A-S-2124</t>
  </si>
  <si>
    <t xml:space="preserve">A-S-2125</t>
  </si>
  <si>
    <t xml:space="preserve">A-S-2126</t>
  </si>
  <si>
    <t xml:space="preserve">A-S-2127</t>
  </si>
  <si>
    <t xml:space="preserve">A-S-2128</t>
  </si>
  <si>
    <t xml:space="preserve">A-S-2129</t>
  </si>
  <si>
    <t xml:space="preserve">A-S-2130</t>
  </si>
  <si>
    <t xml:space="preserve">A-S-2131</t>
  </si>
  <si>
    <t xml:space="preserve">A-S-2132</t>
  </si>
  <si>
    <t xml:space="preserve">A-S-2133</t>
  </si>
  <si>
    <t xml:space="preserve">A-S-2134</t>
  </si>
  <si>
    <t xml:space="preserve">A-S-2135</t>
  </si>
  <si>
    <t xml:space="preserve">A-S-2136</t>
  </si>
  <si>
    <t xml:space="preserve">A-S-2137</t>
  </si>
  <si>
    <t xml:space="preserve">A-S-2138</t>
  </si>
  <si>
    <t xml:space="preserve">A-S-2139</t>
  </si>
  <si>
    <t xml:space="preserve">A-S-2140</t>
  </si>
  <si>
    <t xml:space="preserve">A-S-2141</t>
  </si>
  <si>
    <t xml:space="preserve">A-S-2142</t>
  </si>
  <si>
    <t xml:space="preserve">A-S-2143</t>
  </si>
  <si>
    <t xml:space="preserve">A-S-2144</t>
  </si>
  <si>
    <t xml:space="preserve">A-S-2145</t>
  </si>
  <si>
    <t xml:space="preserve">A-S-2146</t>
  </si>
  <si>
    <t xml:space="preserve">A-S-2147</t>
  </si>
  <si>
    <t xml:space="preserve">A-S-2148</t>
  </si>
  <si>
    <t xml:space="preserve">A-S-2149</t>
  </si>
  <si>
    <t xml:space="preserve">A-S-2150</t>
  </si>
  <si>
    <t xml:space="preserve">A-S-2151</t>
  </si>
  <si>
    <t xml:space="preserve">A-S-2152</t>
  </si>
  <si>
    <t xml:space="preserve">A-S-2153</t>
  </si>
  <si>
    <t xml:space="preserve">A-S-2154</t>
  </si>
  <si>
    <t xml:space="preserve">A-S-2155</t>
  </si>
  <si>
    <t xml:space="preserve">A-S-2156</t>
  </si>
  <si>
    <t xml:space="preserve">A-S-2157</t>
  </si>
  <si>
    <t xml:space="preserve">A-S-2158</t>
  </si>
  <si>
    <t xml:space="preserve">A-S-2159</t>
  </si>
  <si>
    <t xml:space="preserve">A-S-2160</t>
  </si>
  <si>
    <t xml:space="preserve">A-S-2161</t>
  </si>
  <si>
    <t xml:space="preserve">A-S-2162</t>
  </si>
  <si>
    <t xml:space="preserve">A-S-2163</t>
  </si>
  <si>
    <t xml:space="preserve">A-S-2164</t>
  </si>
  <si>
    <t xml:space="preserve">A-S-2165</t>
  </si>
  <si>
    <t xml:space="preserve">A-S-2166</t>
  </si>
  <si>
    <t xml:space="preserve">A-S-2167</t>
  </si>
  <si>
    <t xml:space="preserve">A-S-2168</t>
  </si>
  <si>
    <t xml:space="preserve">A-S-2169</t>
  </si>
  <si>
    <t xml:space="preserve">A-S-2170</t>
  </si>
  <si>
    <t xml:space="preserve">A-S-2171</t>
  </si>
  <si>
    <t xml:space="preserve">A-S-2172</t>
  </si>
  <si>
    <t xml:space="preserve">A-S-2173</t>
  </si>
  <si>
    <t xml:space="preserve">A-S-2174</t>
  </si>
  <si>
    <t xml:space="preserve">A-S-2175</t>
  </si>
  <si>
    <t xml:space="preserve">A-S-2176</t>
  </si>
  <si>
    <t xml:space="preserve">A-S-2177</t>
  </si>
  <si>
    <t xml:space="preserve">A-S-2178</t>
  </si>
  <si>
    <t xml:space="preserve">A-S-2179</t>
  </si>
  <si>
    <t xml:space="preserve">A-S-2180</t>
  </si>
  <si>
    <t xml:space="preserve">A-S-2181</t>
  </si>
  <si>
    <t xml:space="preserve">A-S-2182</t>
  </si>
  <si>
    <t xml:space="preserve">A-S-2183</t>
  </si>
  <si>
    <t xml:space="preserve">A-S-2184</t>
  </si>
  <si>
    <t xml:space="preserve">A-S-2185</t>
  </si>
  <si>
    <t xml:space="preserve">A-S-2186</t>
  </si>
  <si>
    <t xml:space="preserve">A-S-2187</t>
  </si>
  <si>
    <t xml:space="preserve">A-S-2188</t>
  </si>
  <si>
    <t xml:space="preserve">A-S-2189</t>
  </si>
  <si>
    <t xml:space="preserve">A-S-2190</t>
  </si>
  <si>
    <t xml:space="preserve">A-S-2191</t>
  </si>
  <si>
    <t xml:space="preserve">A-S-2192</t>
  </si>
  <si>
    <t xml:space="preserve">A-S-2193</t>
  </si>
  <si>
    <t xml:space="preserve">A-S-2194</t>
  </si>
  <si>
    <t xml:space="preserve">A-S-2195</t>
  </si>
  <si>
    <t xml:space="preserve">A-S-2196</t>
  </si>
  <si>
    <t xml:space="preserve">A-S-2197</t>
  </si>
  <si>
    <t xml:space="preserve">A-S-2198</t>
  </si>
  <si>
    <t xml:space="preserve">A-S-2199</t>
  </si>
  <si>
    <t xml:space="preserve">A-S-2200</t>
  </si>
  <si>
    <t xml:space="preserve">A-S-2201</t>
  </si>
  <si>
    <t xml:space="preserve">A-S-2202</t>
  </si>
  <si>
    <t xml:space="preserve">A-S-2203</t>
  </si>
  <si>
    <t xml:space="preserve">A-S-2204</t>
  </si>
  <si>
    <t xml:space="preserve">A-S-2205</t>
  </si>
  <si>
    <t xml:space="preserve">A-S-2206</t>
  </si>
  <si>
    <t xml:space="preserve">A-S-2207</t>
  </si>
  <si>
    <t xml:space="preserve">A-S-2208</t>
  </si>
  <si>
    <t xml:space="preserve">A-S-2209</t>
  </si>
  <si>
    <t xml:space="preserve">A-S-2210</t>
  </si>
  <si>
    <t xml:space="preserve">A-S-2211</t>
  </si>
  <si>
    <t xml:space="preserve">A-S-2212</t>
  </si>
  <si>
    <t xml:space="preserve">A-S-2213</t>
  </si>
  <si>
    <t xml:space="preserve">A-S-2214</t>
  </si>
  <si>
    <t xml:space="preserve">A-S-2215</t>
  </si>
  <si>
    <t xml:space="preserve">A-S-2216</t>
  </si>
  <si>
    <t xml:space="preserve">A-S-2217</t>
  </si>
  <si>
    <t xml:space="preserve">A-S-2218</t>
  </si>
  <si>
    <t xml:space="preserve">A-S-2219</t>
  </si>
  <si>
    <t xml:space="preserve">A-S-2220</t>
  </si>
  <si>
    <t xml:space="preserve">A-S-2221</t>
  </si>
  <si>
    <t xml:space="preserve">A-S-2222</t>
  </si>
  <si>
    <t xml:space="preserve">A-S-2223</t>
  </si>
  <si>
    <t xml:space="preserve">A-S-2224</t>
  </si>
  <si>
    <t xml:space="preserve">A-S-2225</t>
  </si>
  <si>
    <t xml:space="preserve">A-S-2226</t>
  </si>
  <si>
    <t xml:space="preserve">A-S-2227</t>
  </si>
  <si>
    <t xml:space="preserve">A-S-2228</t>
  </si>
  <si>
    <t xml:space="preserve">A-S-2229</t>
  </si>
  <si>
    <t xml:space="preserve">A-S-2230</t>
  </si>
  <si>
    <t xml:space="preserve">A-S-2231</t>
  </si>
  <si>
    <t xml:space="preserve">A-S-2232</t>
  </si>
  <si>
    <t xml:space="preserve">A-S-2233</t>
  </si>
  <si>
    <t xml:space="preserve">A-S-2234</t>
  </si>
  <si>
    <t xml:space="preserve">A-S-2235</t>
  </si>
  <si>
    <t xml:space="preserve">A-S-2236</t>
  </si>
  <si>
    <t xml:space="preserve">A-S-2237</t>
  </si>
  <si>
    <t xml:space="preserve">A-S-2238</t>
  </si>
  <si>
    <t xml:space="preserve">A-S-2239</t>
  </si>
  <si>
    <t xml:space="preserve">A-S-2240</t>
  </si>
  <si>
    <t xml:space="preserve">A-S-2241</t>
  </si>
  <si>
    <t xml:space="preserve">A-S-2242</t>
  </si>
  <si>
    <t xml:space="preserve">A-S-2243</t>
  </si>
  <si>
    <t xml:space="preserve">A-S-2244</t>
  </si>
  <si>
    <t xml:space="preserve">A-S-2245</t>
  </si>
  <si>
    <t xml:space="preserve">A-S-2246</t>
  </si>
  <si>
    <t xml:space="preserve">A-S-2247</t>
  </si>
  <si>
    <t xml:space="preserve">A-S-2248</t>
  </si>
  <si>
    <t xml:space="preserve">A-S-2249</t>
  </si>
  <si>
    <t xml:space="preserve">A-S-2250</t>
  </si>
  <si>
    <t xml:space="preserve">A-S-2251</t>
  </si>
  <si>
    <t xml:space="preserve">A-S-2252</t>
  </si>
  <si>
    <t xml:space="preserve">A-S-2253</t>
  </si>
  <si>
    <t xml:space="preserve">A-S-2254</t>
  </si>
  <si>
    <t xml:space="preserve">A-S-2255</t>
  </si>
  <si>
    <t xml:space="preserve">A-S-2256</t>
  </si>
  <si>
    <t xml:space="preserve">A-S-2257</t>
  </si>
  <si>
    <t xml:space="preserve">A-S-2258</t>
  </si>
  <si>
    <t xml:space="preserve">A-S-2259</t>
  </si>
  <si>
    <t xml:space="preserve">A-S-2260</t>
  </si>
  <si>
    <t xml:space="preserve">A-S-2261</t>
  </si>
  <si>
    <t xml:space="preserve">A-S-2262</t>
  </si>
  <si>
    <t xml:space="preserve">A-S-2263</t>
  </si>
  <si>
    <t xml:space="preserve">A-S-2264</t>
  </si>
  <si>
    <t xml:space="preserve">A-S-2265</t>
  </si>
  <si>
    <t xml:space="preserve">A-S-2266</t>
  </si>
  <si>
    <t xml:space="preserve">A-S-2267</t>
  </si>
  <si>
    <t xml:space="preserve">A-S-2268</t>
  </si>
  <si>
    <t xml:space="preserve">A-S-2269</t>
  </si>
  <si>
    <t xml:space="preserve">A-S-2270</t>
  </si>
  <si>
    <t xml:space="preserve">A-S-2271</t>
  </si>
  <si>
    <t xml:space="preserve">A-S-2272</t>
  </si>
  <si>
    <t xml:space="preserve">A-S-2273</t>
  </si>
  <si>
    <t xml:space="preserve">A-S-2274</t>
  </si>
  <si>
    <t xml:space="preserve">A-S-2275</t>
  </si>
  <si>
    <t xml:space="preserve">A-S-2276</t>
  </si>
  <si>
    <t xml:space="preserve">A-S-2277</t>
  </si>
  <si>
    <t xml:space="preserve">A-S-2278</t>
  </si>
  <si>
    <t xml:space="preserve">A-S-2279</t>
  </si>
  <si>
    <t xml:space="preserve">A-S-2280</t>
  </si>
  <si>
    <t xml:space="preserve">A-S-2281</t>
  </si>
  <si>
    <t xml:space="preserve">A-S-2282</t>
  </si>
  <si>
    <t xml:space="preserve">A-S-2283</t>
  </si>
  <si>
    <t xml:space="preserve">A-S-2284</t>
  </si>
  <si>
    <t xml:space="preserve">A-S-2285</t>
  </si>
  <si>
    <t xml:space="preserve">A-S-2286</t>
  </si>
  <si>
    <t xml:space="preserve">A-S-2287</t>
  </si>
  <si>
    <t xml:space="preserve">A-S-2288</t>
  </si>
  <si>
    <t xml:space="preserve">A-S-2289</t>
  </si>
  <si>
    <t xml:space="preserve">A-S-2290</t>
  </si>
  <si>
    <t xml:space="preserve">A-S-2291</t>
  </si>
  <si>
    <t xml:space="preserve">A-S-2292</t>
  </si>
  <si>
    <t xml:space="preserve">A-S-2293</t>
  </si>
  <si>
    <t xml:space="preserve">A-S-2294</t>
  </si>
  <si>
    <t xml:space="preserve">A-S-2295</t>
  </si>
  <si>
    <t xml:space="preserve">A-S-2296</t>
  </si>
  <si>
    <t xml:space="preserve">A-S-2297</t>
  </si>
  <si>
    <t xml:space="preserve">A-S-2298</t>
  </si>
  <si>
    <t xml:space="preserve">A-S-2299</t>
  </si>
  <si>
    <t xml:space="preserve">A-S-2300</t>
  </si>
  <si>
    <t xml:space="preserve">A-S-2301</t>
  </si>
  <si>
    <t xml:space="preserve">A-S-2302</t>
  </si>
  <si>
    <t xml:space="preserve">A-S-2303</t>
  </si>
  <si>
    <t xml:space="preserve">A-S-2304</t>
  </si>
  <si>
    <t xml:space="preserve">A-S-2305</t>
  </si>
  <si>
    <t xml:space="preserve">A-S-2306</t>
  </si>
  <si>
    <t xml:space="preserve">A-S-2307</t>
  </si>
  <si>
    <t xml:space="preserve">A-S-2308</t>
  </si>
  <si>
    <t xml:space="preserve">A-S-2309</t>
  </si>
  <si>
    <t xml:space="preserve">A-S-2310</t>
  </si>
  <si>
    <t xml:space="preserve">A-S-2311</t>
  </si>
  <si>
    <t xml:space="preserve">A-S-2312</t>
  </si>
  <si>
    <t xml:space="preserve">A-S-2313</t>
  </si>
  <si>
    <t xml:space="preserve">A-S-2314</t>
  </si>
  <si>
    <t xml:space="preserve">A-S-2315</t>
  </si>
  <si>
    <t xml:space="preserve">A-S-2316</t>
  </si>
  <si>
    <t xml:space="preserve">A-S-2317</t>
  </si>
  <si>
    <t xml:space="preserve">A-S-2318</t>
  </si>
  <si>
    <t xml:space="preserve">A-S-2319</t>
  </si>
  <si>
    <t xml:space="preserve">A-S-2320</t>
  </si>
  <si>
    <t xml:space="preserve">A-S-2321</t>
  </si>
  <si>
    <t xml:space="preserve">A-S-2322</t>
  </si>
  <si>
    <t xml:space="preserve">A-S-2323</t>
  </si>
  <si>
    <t xml:space="preserve">A-S-2324</t>
  </si>
  <si>
    <t xml:space="preserve">A-S-2325</t>
  </si>
  <si>
    <t xml:space="preserve">A-S-2326</t>
  </si>
  <si>
    <t xml:space="preserve">A-S-2327</t>
  </si>
  <si>
    <t xml:space="preserve">A-S-2328</t>
  </si>
  <si>
    <t xml:space="preserve">A-S-2329</t>
  </si>
  <si>
    <t xml:space="preserve">A-S-2330</t>
  </si>
  <si>
    <t xml:space="preserve">A-S-2331</t>
  </si>
  <si>
    <t xml:space="preserve">A-S-2332</t>
  </si>
  <si>
    <t xml:space="preserve">A-S-2333</t>
  </si>
  <si>
    <t xml:space="preserve">A-S-2334</t>
  </si>
  <si>
    <t xml:space="preserve">A-S-2335</t>
  </si>
  <si>
    <t xml:space="preserve">A-S-2336</t>
  </si>
  <si>
    <t xml:space="preserve">A-S-2337</t>
  </si>
  <si>
    <t xml:space="preserve">A-S-2338</t>
  </si>
  <si>
    <t xml:space="preserve">A-S-2339</t>
  </si>
  <si>
    <t xml:space="preserve">A-S-2340</t>
  </si>
  <si>
    <t xml:space="preserve">A-S-2341</t>
  </si>
  <si>
    <t xml:space="preserve">A-S-2342</t>
  </si>
  <si>
    <t xml:space="preserve">A-S-2343</t>
  </si>
  <si>
    <t xml:space="preserve">A-S-2344</t>
  </si>
  <si>
    <t xml:space="preserve">A-S-2345</t>
  </si>
  <si>
    <t xml:space="preserve">A-S-2346</t>
  </si>
  <si>
    <t xml:space="preserve">A-S-2347</t>
  </si>
  <si>
    <t xml:space="preserve">A-S-2348</t>
  </si>
  <si>
    <t xml:space="preserve">A-S-2349</t>
  </si>
  <si>
    <t xml:space="preserve">A-S-2350</t>
  </si>
  <si>
    <t xml:space="preserve">A-S-2351</t>
  </si>
  <si>
    <t xml:space="preserve">A-S-2352</t>
  </si>
  <si>
    <t xml:space="preserve">A-S-2353</t>
  </si>
  <si>
    <t xml:space="preserve">A-S-2354</t>
  </si>
  <si>
    <t xml:space="preserve">A-S-2355</t>
  </si>
  <si>
    <t xml:space="preserve">A-S-2356</t>
  </si>
  <si>
    <t xml:space="preserve">A-S-2357</t>
  </si>
  <si>
    <t xml:space="preserve">A-S-2358</t>
  </si>
  <si>
    <t xml:space="preserve">A-S-2359</t>
  </si>
  <si>
    <t xml:space="preserve">A-S-2360</t>
  </si>
  <si>
    <t xml:space="preserve">A-S-2361</t>
  </si>
  <si>
    <t xml:space="preserve">A-S-2362</t>
  </si>
  <si>
    <t xml:space="preserve">A-S-2363</t>
  </si>
  <si>
    <t xml:space="preserve">A-S-2364</t>
  </si>
  <si>
    <t xml:space="preserve">A-S-2365</t>
  </si>
  <si>
    <t xml:space="preserve">A-S-2366</t>
  </si>
  <si>
    <t xml:space="preserve">A-S-2367</t>
  </si>
  <si>
    <t xml:space="preserve">A-S-2368</t>
  </si>
  <si>
    <t xml:space="preserve">A-S-2369</t>
  </si>
  <si>
    <t xml:space="preserve">A-S-2370</t>
  </si>
  <si>
    <t xml:space="preserve">A-S-2371</t>
  </si>
  <si>
    <t xml:space="preserve">A-S-2372</t>
  </si>
  <si>
    <t xml:space="preserve">A-S-2373</t>
  </si>
  <si>
    <t xml:space="preserve">A-S-2374</t>
  </si>
  <si>
    <t xml:space="preserve">A-S-2375</t>
  </si>
  <si>
    <t xml:space="preserve">A-S-2376</t>
  </si>
  <si>
    <t xml:space="preserve">A-S-2377</t>
  </si>
  <si>
    <t xml:space="preserve">A-S-2378</t>
  </si>
  <si>
    <t xml:space="preserve">A-S-2379</t>
  </si>
  <si>
    <t xml:space="preserve">A-S-2380</t>
  </si>
  <si>
    <t xml:space="preserve">A-S-2381</t>
  </si>
  <si>
    <t xml:space="preserve">A-S-2382</t>
  </si>
  <si>
    <t xml:space="preserve">A-S-2383</t>
  </si>
  <si>
    <t xml:space="preserve">A-S-2384</t>
  </si>
  <si>
    <t xml:space="preserve">A-S-2385</t>
  </si>
  <si>
    <t xml:space="preserve">A-S-2386</t>
  </si>
  <si>
    <t xml:space="preserve">A-S-2387</t>
  </si>
  <si>
    <t xml:space="preserve">A-S-2388</t>
  </si>
  <si>
    <t xml:space="preserve">A-S-2389</t>
  </si>
  <si>
    <t xml:space="preserve">A-S-2390</t>
  </si>
  <si>
    <t xml:space="preserve">A-S-2391</t>
  </si>
  <si>
    <t xml:space="preserve">A-S-2392</t>
  </si>
  <si>
    <t xml:space="preserve">A-S-2393</t>
  </si>
  <si>
    <t xml:space="preserve">A-S-2394</t>
  </si>
  <si>
    <t xml:space="preserve">A-S-2395</t>
  </si>
  <si>
    <t xml:space="preserve">A-S-2396</t>
  </si>
  <si>
    <t xml:space="preserve">A-S-2397</t>
  </si>
  <si>
    <t xml:space="preserve">A-S-2398</t>
  </si>
  <si>
    <t xml:space="preserve">A-S-2399</t>
  </si>
  <si>
    <t xml:space="preserve">A-S-2400</t>
  </si>
  <si>
    <t xml:space="preserve">A-S-2401</t>
  </si>
  <si>
    <t xml:space="preserve">A-S-2402</t>
  </si>
  <si>
    <t xml:space="preserve">A-S-2403</t>
  </si>
  <si>
    <t xml:space="preserve">A-S-2404</t>
  </si>
  <si>
    <t xml:space="preserve">A-S-2405</t>
  </si>
  <si>
    <t xml:space="preserve">A-S-2406</t>
  </si>
  <si>
    <t xml:space="preserve">A-S-2407</t>
  </si>
  <si>
    <t xml:space="preserve">A-S-2408</t>
  </si>
  <si>
    <t xml:space="preserve">A-S-2409</t>
  </si>
  <si>
    <t xml:space="preserve">A-S-2410</t>
  </si>
  <si>
    <t xml:space="preserve">A-S-2411</t>
  </si>
  <si>
    <t xml:space="preserve">A-S-2412</t>
  </si>
  <si>
    <t xml:space="preserve">A-S-2413</t>
  </si>
  <si>
    <t xml:space="preserve">A-S-2414</t>
  </si>
  <si>
    <t xml:space="preserve">A-S-2415</t>
  </si>
  <si>
    <t xml:space="preserve">A-S-2416</t>
  </si>
  <si>
    <t xml:space="preserve">A-S-2417</t>
  </si>
  <si>
    <t xml:space="preserve">A-S-2418</t>
  </si>
  <si>
    <t xml:space="preserve">A-S-2419</t>
  </si>
  <si>
    <t xml:space="preserve">A-S-2420</t>
  </si>
  <si>
    <t xml:space="preserve">A-S-2421</t>
  </si>
  <si>
    <t xml:space="preserve">A-S-2422</t>
  </si>
  <si>
    <t xml:space="preserve">A-S-2423</t>
  </si>
  <si>
    <t xml:space="preserve">A-S-2424</t>
  </si>
  <si>
    <t xml:space="preserve">A-S-2425</t>
  </si>
  <si>
    <t xml:space="preserve">A-S-2426</t>
  </si>
  <si>
    <t xml:space="preserve">A-S-2427</t>
  </si>
  <si>
    <t xml:space="preserve">A-S-2428</t>
  </si>
  <si>
    <t xml:space="preserve">A-S-2429</t>
  </si>
  <si>
    <t xml:space="preserve">A-S-2430</t>
  </si>
  <si>
    <t xml:space="preserve">A-S-2431</t>
  </si>
  <si>
    <t xml:space="preserve">A-S-2432</t>
  </si>
  <si>
    <t xml:space="preserve">A-S-2433</t>
  </si>
  <si>
    <t xml:space="preserve">A-S-2434</t>
  </si>
  <si>
    <t xml:space="preserve">A-S-2435</t>
  </si>
  <si>
    <t xml:space="preserve">A-S-2436</t>
  </si>
  <si>
    <t xml:space="preserve">A-S-2437</t>
  </si>
  <si>
    <t xml:space="preserve">A-S-2438</t>
  </si>
  <si>
    <t xml:space="preserve">A-S-2439</t>
  </si>
  <si>
    <t xml:space="preserve">A-S-2440</t>
  </si>
  <si>
    <t xml:space="preserve">A-S-2441</t>
  </si>
  <si>
    <t xml:space="preserve">A-S-2442</t>
  </si>
  <si>
    <t xml:space="preserve">A-S-2443</t>
  </si>
  <si>
    <t xml:space="preserve">A-S-2444</t>
  </si>
  <si>
    <t xml:space="preserve">A-S-2445</t>
  </si>
  <si>
    <t xml:space="preserve">A-S-2446</t>
  </si>
  <si>
    <t xml:space="preserve">A-S-2447</t>
  </si>
  <si>
    <t xml:space="preserve">A-S-2448</t>
  </si>
  <si>
    <t xml:space="preserve">A-S-2449</t>
  </si>
  <si>
    <t xml:space="preserve">A-S-2450</t>
  </si>
  <si>
    <t xml:space="preserve">A-S-2451</t>
  </si>
  <si>
    <t xml:space="preserve">A-S-2452</t>
  </si>
  <si>
    <t xml:space="preserve">A-S-2453</t>
  </si>
  <si>
    <t xml:space="preserve">A-S-2454</t>
  </si>
  <si>
    <t xml:space="preserve">A-S-2455</t>
  </si>
  <si>
    <t xml:space="preserve">A-S-2456</t>
  </si>
  <si>
    <t xml:space="preserve">A-S-2457</t>
  </si>
  <si>
    <t xml:space="preserve">A-S-2458</t>
  </si>
  <si>
    <t xml:space="preserve">A-S-2459</t>
  </si>
  <si>
    <t xml:space="preserve">A-S-2460</t>
  </si>
  <si>
    <t xml:space="preserve">A-S-2461</t>
  </si>
  <si>
    <t xml:space="preserve">A-S-2462</t>
  </si>
  <si>
    <t xml:space="preserve">A-S-2463</t>
  </si>
  <si>
    <t xml:space="preserve">A-S-2464</t>
  </si>
  <si>
    <t xml:space="preserve">A-S-2465</t>
  </si>
  <si>
    <t xml:space="preserve">A-S-2466</t>
  </si>
  <si>
    <t xml:space="preserve">A-S-2467</t>
  </si>
  <si>
    <t xml:space="preserve">A-S-2468</t>
  </si>
  <si>
    <t xml:space="preserve">A-S-2469</t>
  </si>
  <si>
    <t xml:space="preserve">A-S-2470</t>
  </si>
  <si>
    <t xml:space="preserve">A-S-2471</t>
  </si>
  <si>
    <t xml:space="preserve">A-S-2472</t>
  </si>
  <si>
    <t xml:space="preserve">A-S-2473</t>
  </si>
  <si>
    <t xml:space="preserve">A-S-2474</t>
  </si>
  <si>
    <t xml:space="preserve">A-S-2475</t>
  </si>
  <si>
    <t xml:space="preserve">A-S-2476</t>
  </si>
  <si>
    <t xml:space="preserve">A-S-2477</t>
  </si>
  <si>
    <t xml:space="preserve">A-S-2478</t>
  </si>
  <si>
    <t xml:space="preserve">A-S-2479</t>
  </si>
  <si>
    <t xml:space="preserve">A-S-2480</t>
  </si>
  <si>
    <t xml:space="preserve">A-S-2481</t>
  </si>
  <si>
    <t xml:space="preserve">A-S-2482</t>
  </si>
  <si>
    <t xml:space="preserve">A-S-2483</t>
  </si>
  <si>
    <t xml:space="preserve">A-S-2484</t>
  </si>
  <si>
    <t xml:space="preserve">A-S-2485</t>
  </si>
  <si>
    <t xml:space="preserve">A-S-2486</t>
  </si>
  <si>
    <t xml:space="preserve">A-S-2487</t>
  </si>
  <si>
    <t xml:space="preserve">A-S-2488</t>
  </si>
  <si>
    <t xml:space="preserve">A-S-2489</t>
  </si>
  <si>
    <t xml:space="preserve">A-S-2490</t>
  </si>
  <si>
    <t xml:space="preserve">A-S-2491</t>
  </si>
  <si>
    <t xml:space="preserve">A-S-2492</t>
  </si>
  <si>
    <t xml:space="preserve">A-S-2493</t>
  </si>
  <si>
    <t xml:space="preserve">A-S-2494</t>
  </si>
  <si>
    <t xml:space="preserve">A-S-2495</t>
  </si>
  <si>
    <t xml:space="preserve">A-S-2496</t>
  </si>
  <si>
    <t xml:space="preserve">A-S-2497</t>
  </si>
  <si>
    <t xml:space="preserve">A-S-2498</t>
  </si>
  <si>
    <t xml:space="preserve">A-S-2499</t>
  </si>
  <si>
    <t xml:space="preserve">A-S-2500</t>
  </si>
  <si>
    <t xml:space="preserve">A-S-2501</t>
  </si>
  <si>
    <t xml:space="preserve">A-S-2502</t>
  </si>
  <si>
    <t xml:space="preserve">A-S-2503</t>
  </si>
  <si>
    <t xml:space="preserve">A-S-2504</t>
  </si>
  <si>
    <t xml:space="preserve">A-S-2505</t>
  </si>
  <si>
    <t xml:space="preserve">A-S-2506</t>
  </si>
  <si>
    <t xml:space="preserve">A-S-2507</t>
  </si>
  <si>
    <t xml:space="preserve">A-S-2508</t>
  </si>
  <si>
    <t xml:space="preserve">A-S-2509</t>
  </si>
  <si>
    <t xml:space="preserve">A-S-2510</t>
  </si>
  <si>
    <t xml:space="preserve">A-S-2511</t>
  </si>
  <si>
    <t xml:space="preserve">A-S-2512</t>
  </si>
  <si>
    <t xml:space="preserve">A-S-2513</t>
  </si>
  <si>
    <t xml:space="preserve">A-S-2514</t>
  </si>
  <si>
    <t xml:space="preserve">A-S-2515</t>
  </si>
  <si>
    <t xml:space="preserve">A-S-2516</t>
  </si>
  <si>
    <t xml:space="preserve">A-S-2517</t>
  </si>
  <si>
    <t xml:space="preserve">A-S-2518</t>
  </si>
  <si>
    <t xml:space="preserve">A-S-2519</t>
  </si>
  <si>
    <t xml:space="preserve">A-S-2520</t>
  </si>
  <si>
    <t xml:space="preserve">A-S-2521</t>
  </si>
  <si>
    <t xml:space="preserve">A-S-2522</t>
  </si>
  <si>
    <t xml:space="preserve">A-S-2523</t>
  </si>
  <si>
    <t xml:space="preserve">A-S-2524</t>
  </si>
  <si>
    <t xml:space="preserve">A-S-2525</t>
  </si>
  <si>
    <t xml:space="preserve">A-S-2526</t>
  </si>
  <si>
    <t xml:space="preserve">A-S-2527</t>
  </si>
  <si>
    <t xml:space="preserve">A-S-2528</t>
  </si>
  <si>
    <t xml:space="preserve">A-S-2529</t>
  </si>
  <si>
    <t xml:space="preserve">A-S-2530</t>
  </si>
  <si>
    <t xml:space="preserve">A-S-2531</t>
  </si>
  <si>
    <t xml:space="preserve">A-S-2532</t>
  </si>
  <si>
    <t xml:space="preserve">A-S-2533</t>
  </si>
  <si>
    <t xml:space="preserve">A-S-2534</t>
  </si>
  <si>
    <t xml:space="preserve">A-S-2535</t>
  </si>
  <si>
    <t xml:space="preserve">A-S-2536</t>
  </si>
  <si>
    <t xml:space="preserve">A-S-2537</t>
  </si>
  <si>
    <t xml:space="preserve">A-S-2538</t>
  </si>
  <si>
    <t xml:space="preserve">A-S-2539</t>
  </si>
  <si>
    <t xml:space="preserve">A-S-2540</t>
  </si>
  <si>
    <t xml:space="preserve">A-S-2541</t>
  </si>
  <si>
    <t xml:space="preserve">A-S-2542</t>
  </si>
  <si>
    <t xml:space="preserve">A-S-2543</t>
  </si>
  <si>
    <t xml:space="preserve">A-S-2544</t>
  </si>
  <si>
    <t xml:space="preserve">A-S-2545</t>
  </si>
  <si>
    <t xml:space="preserve">A-S-2546</t>
  </si>
  <si>
    <t xml:space="preserve">A-S-2547</t>
  </si>
  <si>
    <t xml:space="preserve">A-S-2548</t>
  </si>
  <si>
    <t xml:space="preserve">A-S-2549</t>
  </si>
  <si>
    <t xml:space="preserve">A-S-2550</t>
  </si>
  <si>
    <t xml:space="preserve">A-S-2551</t>
  </si>
  <si>
    <t xml:space="preserve">A-S-2552</t>
  </si>
  <si>
    <t xml:space="preserve">A-S-2553</t>
  </si>
  <si>
    <t xml:space="preserve">A-S-2554</t>
  </si>
  <si>
    <t xml:space="preserve">A-S-2555</t>
  </si>
  <si>
    <t xml:space="preserve">A-S-2556</t>
  </si>
  <si>
    <t xml:space="preserve">A-S-2557</t>
  </si>
  <si>
    <t xml:space="preserve">A-S-2558</t>
  </si>
  <si>
    <t xml:space="preserve">A-S-2559</t>
  </si>
  <si>
    <t xml:space="preserve">A-S-2560</t>
  </si>
  <si>
    <t xml:space="preserve">A-S-2561</t>
  </si>
  <si>
    <t xml:space="preserve">A-S-2562</t>
  </si>
  <si>
    <t xml:space="preserve">A-S-2563</t>
  </si>
  <si>
    <t xml:space="preserve">A-S-2564</t>
  </si>
  <si>
    <t xml:space="preserve">A-S-2565</t>
  </si>
  <si>
    <t xml:space="preserve">A-S-2566</t>
  </si>
  <si>
    <t xml:space="preserve">A-S-2567</t>
  </si>
  <si>
    <t xml:space="preserve">A-S-2568</t>
  </si>
  <si>
    <t xml:space="preserve">A-S-2569</t>
  </si>
  <si>
    <t xml:space="preserve">A-S-2570</t>
  </si>
  <si>
    <t xml:space="preserve">A-S-2571</t>
  </si>
  <si>
    <t xml:space="preserve">A-S-2572</t>
  </si>
  <si>
    <t xml:space="preserve">A-S-2573</t>
  </si>
  <si>
    <t xml:space="preserve">A-S-2574</t>
  </si>
  <si>
    <t xml:space="preserve">A-S-2575</t>
  </si>
  <si>
    <t xml:space="preserve">A-S-2576</t>
  </si>
  <si>
    <t xml:space="preserve">A-S-2577</t>
  </si>
  <si>
    <t xml:space="preserve">A-S-2578</t>
  </si>
  <si>
    <t xml:space="preserve">A-S-2579</t>
  </si>
  <si>
    <t xml:space="preserve">A-S-2580</t>
  </si>
  <si>
    <t xml:space="preserve">A-S-2581</t>
  </si>
  <si>
    <t xml:space="preserve">A-S-2582</t>
  </si>
  <si>
    <t xml:space="preserve">A-S-2583</t>
  </si>
  <si>
    <t xml:space="preserve">A-S-2584</t>
  </si>
  <si>
    <t xml:space="preserve">A-S-2585</t>
  </si>
  <si>
    <t xml:space="preserve">A-S-2586</t>
  </si>
  <si>
    <t xml:space="preserve">A-S-2587</t>
  </si>
  <si>
    <t xml:space="preserve">A-S-2588</t>
  </si>
  <si>
    <t xml:space="preserve">A-S-2589</t>
  </si>
  <si>
    <t xml:space="preserve">A-S-2590</t>
  </si>
  <si>
    <t xml:space="preserve">A-S-2591</t>
  </si>
  <si>
    <t xml:space="preserve">A-S-2592</t>
  </si>
  <si>
    <t xml:space="preserve">A-S-2593</t>
  </si>
  <si>
    <t xml:space="preserve">A-S-2594</t>
  </si>
  <si>
    <t xml:space="preserve">A-S-2595</t>
  </si>
  <si>
    <t xml:space="preserve">A-S-2596</t>
  </si>
  <si>
    <t xml:space="preserve">A-S-2597</t>
  </si>
  <si>
    <t xml:space="preserve">A-S-2598</t>
  </si>
  <si>
    <t xml:space="preserve">A-S-2599</t>
  </si>
  <si>
    <t xml:space="preserve">A-S-2600</t>
  </si>
  <si>
    <t xml:space="preserve">A-S-2601</t>
  </si>
  <si>
    <t xml:space="preserve">A-S-2602</t>
  </si>
  <si>
    <t xml:space="preserve">A-S-2603</t>
  </si>
  <si>
    <t xml:space="preserve">A-S-2604</t>
  </si>
  <si>
    <t xml:space="preserve">A-S-2605</t>
  </si>
  <si>
    <t xml:space="preserve">A-S-2606</t>
  </si>
  <si>
    <t xml:space="preserve">A-S-2607</t>
  </si>
  <si>
    <t xml:space="preserve">A-S-2608</t>
  </si>
  <si>
    <t xml:space="preserve">A-S-2609</t>
  </si>
  <si>
    <t xml:space="preserve">A-S-2610</t>
  </si>
  <si>
    <t xml:space="preserve">A-S-2611</t>
  </si>
  <si>
    <t xml:space="preserve">A-S-2612</t>
  </si>
  <si>
    <t xml:space="preserve">A-S-2613</t>
  </si>
  <si>
    <t xml:space="preserve">A-S-2614</t>
  </si>
  <si>
    <t xml:space="preserve">A-S-2615</t>
  </si>
  <si>
    <t xml:space="preserve">A-S-2616</t>
  </si>
  <si>
    <t xml:space="preserve">A-S-2617</t>
  </si>
  <si>
    <t xml:space="preserve">A-S-2618</t>
  </si>
  <si>
    <t xml:space="preserve">A-S-2619</t>
  </si>
  <si>
    <t xml:space="preserve">A-S-2620</t>
  </si>
  <si>
    <t xml:space="preserve">A-S-2621</t>
  </si>
  <si>
    <t xml:space="preserve">A-S-2622</t>
  </si>
  <si>
    <t xml:space="preserve">A-S-2623</t>
  </si>
  <si>
    <t xml:space="preserve">A-S-2624</t>
  </si>
  <si>
    <t xml:space="preserve">A-S-2625</t>
  </si>
  <si>
    <t xml:space="preserve">A-S-2626</t>
  </si>
  <si>
    <t xml:space="preserve">A-S-2627</t>
  </si>
  <si>
    <t xml:space="preserve">A-S-2628</t>
  </si>
  <si>
    <t xml:space="preserve">A-S-2629</t>
  </si>
  <si>
    <t xml:space="preserve">A-S-2630</t>
  </si>
  <si>
    <t xml:space="preserve">A-S-2631</t>
  </si>
  <si>
    <t xml:space="preserve">A-S-2632</t>
  </si>
  <si>
    <t xml:space="preserve">A-S-2633</t>
  </si>
  <si>
    <t xml:space="preserve">A-S-2634</t>
  </si>
  <si>
    <t xml:space="preserve">A-S-2635</t>
  </si>
  <si>
    <t xml:space="preserve">A-S-2636</t>
  </si>
  <si>
    <t xml:space="preserve">A-S-2637</t>
  </si>
  <si>
    <t xml:space="preserve">A-S-2638</t>
  </si>
  <si>
    <t xml:space="preserve">A-S-2639</t>
  </si>
  <si>
    <t xml:space="preserve">A-S-2640</t>
  </si>
  <si>
    <t xml:space="preserve">A-S-2641</t>
  </si>
  <si>
    <t xml:space="preserve">A-S-2642</t>
  </si>
  <si>
    <t xml:space="preserve">A-S-2643</t>
  </si>
  <si>
    <t xml:space="preserve">A-S-2644</t>
  </si>
  <si>
    <t xml:space="preserve">A-S-2645</t>
  </si>
  <si>
    <t xml:space="preserve">A-S-2646</t>
  </si>
  <si>
    <t xml:space="preserve">A-S-2647</t>
  </si>
  <si>
    <t xml:space="preserve">A-S-2648</t>
  </si>
  <si>
    <t xml:space="preserve">A-S-2649</t>
  </si>
  <si>
    <t xml:space="preserve">A-S-2650</t>
  </si>
  <si>
    <t xml:space="preserve">A-S-2651</t>
  </si>
  <si>
    <t xml:space="preserve">A-S-2652</t>
  </si>
  <si>
    <t xml:space="preserve">A-S-2653</t>
  </si>
  <si>
    <t xml:space="preserve">A-S-2654</t>
  </si>
  <si>
    <t xml:space="preserve">A-S-2655</t>
  </si>
  <si>
    <t xml:space="preserve">A-S-2656</t>
  </si>
  <si>
    <t xml:space="preserve">A-S-2657</t>
  </si>
  <si>
    <t xml:space="preserve">A-S-2658</t>
  </si>
  <si>
    <t xml:space="preserve">A-S-2659</t>
  </si>
  <si>
    <t xml:space="preserve">A-S-2660</t>
  </si>
  <si>
    <t xml:space="preserve">A-S-2661</t>
  </si>
  <si>
    <t xml:space="preserve">A-S-2662</t>
  </si>
  <si>
    <t xml:space="preserve">A-S-2663</t>
  </si>
  <si>
    <t xml:space="preserve">A-S-2664</t>
  </si>
  <si>
    <t xml:space="preserve">A-S-2665</t>
  </si>
  <si>
    <t xml:space="preserve">A-S-2666</t>
  </si>
  <si>
    <t xml:space="preserve">A-S-2667</t>
  </si>
  <si>
    <t xml:space="preserve">A-S-2668</t>
  </si>
  <si>
    <t xml:space="preserve">A-S-2669</t>
  </si>
  <si>
    <t xml:space="preserve">A-S-2670</t>
  </si>
  <si>
    <t xml:space="preserve">A-S-2671</t>
  </si>
  <si>
    <t xml:space="preserve">A-S-2672</t>
  </si>
  <si>
    <t xml:space="preserve">A-S-2673</t>
  </si>
  <si>
    <t xml:space="preserve">A-S-2674</t>
  </si>
  <si>
    <t xml:space="preserve">A-S-2675</t>
  </si>
  <si>
    <t xml:space="preserve">A-S-2676</t>
  </si>
  <si>
    <t xml:space="preserve">A-S-2677</t>
  </si>
  <si>
    <t xml:space="preserve">A-S-2678</t>
  </si>
  <si>
    <t xml:space="preserve">A-S-2679</t>
  </si>
  <si>
    <t xml:space="preserve">A-S-2680</t>
  </si>
  <si>
    <t xml:space="preserve">A-S-2681</t>
  </si>
  <si>
    <t xml:space="preserve">A-S-2682</t>
  </si>
  <si>
    <t xml:space="preserve">A-S-2683</t>
  </si>
  <si>
    <t xml:space="preserve">A-S-2684</t>
  </si>
  <si>
    <t xml:space="preserve">A-S-2685</t>
  </si>
  <si>
    <t xml:space="preserve">A-S-2686</t>
  </si>
  <si>
    <t xml:space="preserve">A-S-2687</t>
  </si>
  <si>
    <t xml:space="preserve">A-S-2688</t>
  </si>
  <si>
    <t xml:space="preserve">A-S-2689</t>
  </si>
  <si>
    <t xml:space="preserve">A-S-2690</t>
  </si>
  <si>
    <t xml:space="preserve">A-S-2691</t>
  </si>
  <si>
    <t xml:space="preserve">A-S-2692</t>
  </si>
  <si>
    <t xml:space="preserve">A-S-2693</t>
  </si>
  <si>
    <t xml:space="preserve">A-S-2694</t>
  </si>
  <si>
    <t xml:space="preserve">A-S-2695</t>
  </si>
  <si>
    <t xml:space="preserve">A-S-2696</t>
  </si>
  <si>
    <t xml:space="preserve">A-S-2697</t>
  </si>
  <si>
    <t xml:space="preserve">A-S-2698</t>
  </si>
  <si>
    <t xml:space="preserve">A-S-2699</t>
  </si>
  <si>
    <t xml:space="preserve">A-S-2700</t>
  </si>
  <si>
    <t xml:space="preserve">A-S-2701</t>
  </si>
  <si>
    <t xml:space="preserve">A-S-2702</t>
  </si>
  <si>
    <t xml:space="preserve">A-S-2703</t>
  </si>
  <si>
    <t xml:space="preserve">A-S-2704</t>
  </si>
  <si>
    <t xml:space="preserve">A-S-2705</t>
  </si>
  <si>
    <t xml:space="preserve">A-S-2706</t>
  </si>
  <si>
    <t xml:space="preserve">A-S-2707</t>
  </si>
  <si>
    <t xml:space="preserve">A-S-2708</t>
  </si>
  <si>
    <t xml:space="preserve">A-S-2709</t>
  </si>
  <si>
    <t xml:space="preserve">A-S-2710</t>
  </si>
  <si>
    <t xml:space="preserve">A-S-2711</t>
  </si>
  <si>
    <t xml:space="preserve">A-S-2712</t>
  </si>
  <si>
    <t xml:space="preserve">A-S-2713</t>
  </si>
  <si>
    <t xml:space="preserve">A-S-2714</t>
  </si>
  <si>
    <t xml:space="preserve">A-S-2715</t>
  </si>
  <si>
    <t xml:space="preserve">A-S-2716</t>
  </si>
  <si>
    <t xml:space="preserve">A-S-2717</t>
  </si>
  <si>
    <t xml:space="preserve">A-S-2718</t>
  </si>
  <si>
    <t xml:space="preserve">A-S-2719</t>
  </si>
  <si>
    <t xml:space="preserve">A-S-2720</t>
  </si>
  <si>
    <t xml:space="preserve">A-S-2721</t>
  </si>
  <si>
    <t xml:space="preserve">A-S-2722</t>
  </si>
  <si>
    <t xml:space="preserve">A-S-2723</t>
  </si>
  <si>
    <t xml:space="preserve">A-S-2724</t>
  </si>
  <si>
    <t xml:space="preserve">A-S-2725</t>
  </si>
  <si>
    <t xml:space="preserve">A-S-2726</t>
  </si>
  <si>
    <t xml:space="preserve">A-S-2727</t>
  </si>
  <si>
    <t xml:space="preserve">A-S-2728</t>
  </si>
  <si>
    <t xml:space="preserve">A-S-2729</t>
  </si>
  <si>
    <t xml:space="preserve">A-S-2730</t>
  </si>
  <si>
    <t xml:space="preserve">A-S-2731</t>
  </si>
  <si>
    <t xml:space="preserve">A-S-2732</t>
  </si>
  <si>
    <t xml:space="preserve">A-S-2733</t>
  </si>
  <si>
    <t xml:space="preserve">A-S-2734</t>
  </si>
  <si>
    <t xml:space="preserve">A-S-2735</t>
  </si>
  <si>
    <t xml:space="preserve">A-S-2736</t>
  </si>
  <si>
    <t xml:space="preserve">A-S-2737</t>
  </si>
  <si>
    <t xml:space="preserve">A-S-2738</t>
  </si>
  <si>
    <t xml:space="preserve">A-S-2739</t>
  </si>
  <si>
    <t xml:space="preserve">A-S-2740</t>
  </si>
  <si>
    <t xml:space="preserve">A-S-2741</t>
  </si>
  <si>
    <t xml:space="preserve">A-S-2742</t>
  </si>
  <si>
    <t xml:space="preserve">A-S-2743</t>
  </si>
  <si>
    <t xml:space="preserve">A-S-2744</t>
  </si>
  <si>
    <t xml:space="preserve">A-S-2745</t>
  </si>
  <si>
    <t xml:space="preserve">A-S-2746</t>
  </si>
  <si>
    <t xml:space="preserve">A-S-2747</t>
  </si>
  <si>
    <t xml:space="preserve">A-S-2748</t>
  </si>
  <si>
    <t xml:space="preserve">A-S-2749</t>
  </si>
  <si>
    <t xml:space="preserve">A-S-2750</t>
  </si>
  <si>
    <t xml:space="preserve">A-S-2751</t>
  </si>
  <si>
    <t xml:space="preserve">A-S-2752</t>
  </si>
  <si>
    <t xml:space="preserve">A-S-2753</t>
  </si>
  <si>
    <t xml:space="preserve">A-S-2754</t>
  </si>
  <si>
    <t xml:space="preserve">A-S-2755</t>
  </si>
  <si>
    <t xml:space="preserve">A-S-2756</t>
  </si>
  <si>
    <t xml:space="preserve">A-S-2757</t>
  </si>
  <si>
    <t xml:space="preserve">A-S-2758</t>
  </si>
  <si>
    <t xml:space="preserve">A-S-2759</t>
  </si>
  <si>
    <t xml:space="preserve">A-S-2760</t>
  </si>
  <si>
    <t xml:space="preserve">A-S-2761</t>
  </si>
  <si>
    <t xml:space="preserve">A-S-2762</t>
  </si>
  <si>
    <t xml:space="preserve">A-S-2763</t>
  </si>
  <si>
    <t xml:space="preserve">A-S-2764</t>
  </si>
  <si>
    <t xml:space="preserve">A-S-2765</t>
  </si>
  <si>
    <t xml:space="preserve">A-S-2766</t>
  </si>
  <si>
    <t xml:space="preserve">A-S-2767</t>
  </si>
  <si>
    <t xml:space="preserve">A-S-2768</t>
  </si>
  <si>
    <t xml:space="preserve">A-S-2769</t>
  </si>
  <si>
    <t xml:space="preserve">A-S-2770</t>
  </si>
  <si>
    <t xml:space="preserve">A-S-2771</t>
  </si>
  <si>
    <t xml:space="preserve">A-S-2772</t>
  </si>
  <si>
    <t xml:space="preserve">A-S-2773</t>
  </si>
  <si>
    <t xml:space="preserve">A-S-2774</t>
  </si>
  <si>
    <t xml:space="preserve">A-S-2775</t>
  </si>
  <si>
    <t xml:space="preserve">A-S-2776</t>
  </si>
  <si>
    <t xml:space="preserve">A-S-2777</t>
  </si>
  <si>
    <t xml:space="preserve">A-S-2778</t>
  </si>
  <si>
    <t xml:space="preserve">A-S-2779</t>
  </si>
  <si>
    <t xml:space="preserve">A-S-2780</t>
  </si>
  <si>
    <t xml:space="preserve">A-S-2781</t>
  </si>
  <si>
    <t xml:space="preserve">A-S-2782</t>
  </si>
  <si>
    <t xml:space="preserve">A-S-2783</t>
  </si>
  <si>
    <t xml:space="preserve">A-S-2784</t>
  </si>
  <si>
    <t xml:space="preserve">A-S-2785</t>
  </si>
  <si>
    <t xml:space="preserve">A-S-2786</t>
  </si>
  <si>
    <t xml:space="preserve">A-S-2787</t>
  </si>
  <si>
    <t xml:space="preserve">A-S-2788</t>
  </si>
  <si>
    <t xml:space="preserve">A-S-2789</t>
  </si>
  <si>
    <t xml:space="preserve">A-S-2790</t>
  </si>
  <si>
    <t xml:space="preserve">A-S-2791</t>
  </si>
  <si>
    <t xml:space="preserve">A-S-2792</t>
  </si>
  <si>
    <t xml:space="preserve">A-S-2793</t>
  </si>
  <si>
    <t xml:space="preserve">A-S-2794</t>
  </si>
  <si>
    <t xml:space="preserve">A-S-2795</t>
  </si>
  <si>
    <t xml:space="preserve">A-S-2796</t>
  </si>
  <si>
    <t xml:space="preserve">A-S-2797</t>
  </si>
  <si>
    <t xml:space="preserve">A-S-2798</t>
  </si>
  <si>
    <t xml:space="preserve">A-S-2799</t>
  </si>
  <si>
    <t xml:space="preserve">A-S-2800</t>
  </si>
  <si>
    <t xml:space="preserve">A-S-2801</t>
  </si>
  <si>
    <t xml:space="preserve">A-S-2802</t>
  </si>
  <si>
    <t xml:space="preserve">A-S-2803</t>
  </si>
  <si>
    <t xml:space="preserve">A-S-2804</t>
  </si>
  <si>
    <t xml:space="preserve">A-S-2805</t>
  </si>
  <si>
    <t xml:space="preserve">A-S-2806</t>
  </si>
  <si>
    <t xml:space="preserve">A-S-2807</t>
  </si>
  <si>
    <t xml:space="preserve">A-S-2808</t>
  </si>
  <si>
    <t xml:space="preserve">A-S-2809</t>
  </si>
  <si>
    <t xml:space="preserve">A-S-2810</t>
  </si>
  <si>
    <t xml:space="preserve">A-S-2811</t>
  </si>
  <si>
    <t xml:space="preserve">A-S-2812</t>
  </si>
  <si>
    <t xml:space="preserve">A-S-2813</t>
  </si>
  <si>
    <t xml:space="preserve">A-S-2814</t>
  </si>
  <si>
    <t xml:space="preserve">A-S-2815</t>
  </si>
  <si>
    <t xml:space="preserve">A-S-2816</t>
  </si>
  <si>
    <t xml:space="preserve">A-S-2817</t>
  </si>
  <si>
    <t xml:space="preserve">A-S-2818</t>
  </si>
  <si>
    <t xml:space="preserve">A-S-2819</t>
  </si>
  <si>
    <t xml:space="preserve">A-S-2820</t>
  </si>
  <si>
    <t xml:space="preserve">A-S-2821</t>
  </si>
  <si>
    <t xml:space="preserve">A-S-2822</t>
  </si>
  <si>
    <t xml:space="preserve">A-S-2823</t>
  </si>
  <si>
    <t xml:space="preserve">A-S-2824</t>
  </si>
  <si>
    <t xml:space="preserve">A-S-2825</t>
  </si>
  <si>
    <t xml:space="preserve">A-S-2826</t>
  </si>
  <si>
    <t xml:space="preserve">A-S-2827</t>
  </si>
  <si>
    <t xml:space="preserve">A-S-2828</t>
  </si>
  <si>
    <t xml:space="preserve">A-S-2829</t>
  </si>
  <si>
    <t xml:space="preserve">A-S-2830</t>
  </si>
  <si>
    <t xml:space="preserve">A-S-2831</t>
  </si>
  <si>
    <t xml:space="preserve">A-S-2832</t>
  </si>
  <si>
    <t xml:space="preserve">A-S-2833</t>
  </si>
  <si>
    <t xml:space="preserve">A-S-2834</t>
  </si>
  <si>
    <t xml:space="preserve">A-S-2835</t>
  </si>
  <si>
    <t xml:space="preserve">A-S-2836</t>
  </si>
  <si>
    <t xml:space="preserve">A-S-2837</t>
  </si>
  <si>
    <t xml:space="preserve">A-S-2838</t>
  </si>
  <si>
    <t xml:space="preserve">A-S-2839</t>
  </si>
  <si>
    <t xml:space="preserve">A-S-2840</t>
  </si>
  <si>
    <t xml:space="preserve">A-S-2841</t>
  </si>
  <si>
    <t xml:space="preserve">A-S-2842</t>
  </si>
  <si>
    <t xml:space="preserve">A-S-2843</t>
  </si>
  <si>
    <t xml:space="preserve">A-S-2844</t>
  </si>
  <si>
    <t xml:space="preserve">A-S-2845</t>
  </si>
  <si>
    <t xml:space="preserve">A-S-2846</t>
  </si>
  <si>
    <t xml:space="preserve">A-S-2847</t>
  </si>
  <si>
    <t xml:space="preserve">A-S-2848</t>
  </si>
  <si>
    <t xml:space="preserve">A-S-2849</t>
  </si>
  <si>
    <t xml:space="preserve">A-S-2850</t>
  </si>
  <si>
    <t xml:space="preserve">A-S-2851</t>
  </si>
  <si>
    <t xml:space="preserve">A-S-2852</t>
  </si>
  <si>
    <t xml:space="preserve">A-S-2853</t>
  </si>
  <si>
    <t xml:space="preserve">A-S-2854</t>
  </si>
  <si>
    <t xml:space="preserve">A-S-2855</t>
  </si>
  <si>
    <t xml:space="preserve">A-S-2856</t>
  </si>
  <si>
    <t xml:space="preserve">A-S-2857</t>
  </si>
  <si>
    <t xml:space="preserve">A-S-2858</t>
  </si>
  <si>
    <t xml:space="preserve">A-S-2859</t>
  </si>
  <si>
    <t xml:space="preserve">A-S-2860</t>
  </si>
  <si>
    <t xml:space="preserve">A-S-2861</t>
  </si>
  <si>
    <t xml:space="preserve">A-S-2862</t>
  </si>
  <si>
    <t xml:space="preserve">A-S-2863</t>
  </si>
  <si>
    <t xml:space="preserve">A-S-2864</t>
  </si>
  <si>
    <t xml:space="preserve">A-S-2865</t>
  </si>
  <si>
    <t xml:space="preserve">A-S-2866</t>
  </si>
  <si>
    <t xml:space="preserve">A-S-2867</t>
  </si>
  <si>
    <t xml:space="preserve">A-S-2868</t>
  </si>
  <si>
    <t xml:space="preserve">A-S-2869</t>
  </si>
  <si>
    <t xml:space="preserve">A-S-2870</t>
  </si>
  <si>
    <t xml:space="preserve">A-S-2871</t>
  </si>
  <si>
    <t xml:space="preserve">A-S-2872</t>
  </si>
  <si>
    <t xml:space="preserve">A-S-2873</t>
  </si>
  <si>
    <t xml:space="preserve">A-S-2874</t>
  </si>
  <si>
    <t xml:space="preserve">A-S-2875</t>
  </si>
  <si>
    <t xml:space="preserve">A-S-2876</t>
  </si>
  <si>
    <t xml:space="preserve">A-S-2877</t>
  </si>
  <si>
    <t xml:space="preserve">A-S-2878</t>
  </si>
  <si>
    <t xml:space="preserve">A-S-2879</t>
  </si>
  <si>
    <t xml:space="preserve">A-S-2880</t>
  </si>
  <si>
    <t xml:space="preserve">A-S-2881</t>
  </si>
  <si>
    <t xml:space="preserve">A-S-2882</t>
  </si>
  <si>
    <t xml:space="preserve">A-S-2883</t>
  </si>
  <si>
    <t xml:space="preserve">A-S-2884</t>
  </si>
  <si>
    <t xml:space="preserve">A-S-2885</t>
  </si>
  <si>
    <t xml:space="preserve">A-S-2886</t>
  </si>
  <si>
    <t xml:space="preserve">A-S-2887</t>
  </si>
  <si>
    <t xml:space="preserve">A-S-2888</t>
  </si>
  <si>
    <t xml:space="preserve">A-S-2889</t>
  </si>
  <si>
    <t xml:space="preserve">A-S-2890</t>
  </si>
  <si>
    <t xml:space="preserve">A-S-2891</t>
  </si>
  <si>
    <t xml:space="preserve">A-S-2892</t>
  </si>
  <si>
    <t xml:space="preserve">A-S-2893</t>
  </si>
  <si>
    <t xml:space="preserve">A-S-2894</t>
  </si>
  <si>
    <t xml:space="preserve">A-S-2895</t>
  </si>
  <si>
    <t xml:space="preserve">A-S-2896</t>
  </si>
  <si>
    <t xml:space="preserve">A-S-2897</t>
  </si>
  <si>
    <t xml:space="preserve">A-S-2898</t>
  </si>
  <si>
    <t xml:space="preserve">A-S-2899</t>
  </si>
  <si>
    <t xml:space="preserve">A-S-2900</t>
  </si>
  <si>
    <t xml:space="preserve">A-S-2901</t>
  </si>
  <si>
    <t xml:space="preserve">A-S-2902</t>
  </si>
  <si>
    <t xml:space="preserve">A-S-2903</t>
  </si>
  <si>
    <t xml:space="preserve">A-S-2904</t>
  </si>
  <si>
    <t xml:space="preserve">A-S-2905</t>
  </si>
  <si>
    <t xml:space="preserve">A-S-2906</t>
  </si>
  <si>
    <t xml:space="preserve">A-S-2907</t>
  </si>
  <si>
    <t xml:space="preserve">A-S-2908</t>
  </si>
  <si>
    <t xml:space="preserve">A-S-2909</t>
  </si>
  <si>
    <t xml:space="preserve">A-S-2910</t>
  </si>
  <si>
    <t xml:space="preserve">A-S-2911</t>
  </si>
  <si>
    <t xml:space="preserve">A-S-2912</t>
  </si>
  <si>
    <t xml:space="preserve">A-S-2913</t>
  </si>
  <si>
    <t xml:space="preserve">A-S-2914</t>
  </si>
  <si>
    <t xml:space="preserve">A-S-2915</t>
  </si>
  <si>
    <t xml:space="preserve">A-S-2916</t>
  </si>
  <si>
    <t xml:space="preserve">A-S-2917</t>
  </si>
  <si>
    <t xml:space="preserve">A-S-2918</t>
  </si>
  <si>
    <t xml:space="preserve">A-S-2919</t>
  </si>
  <si>
    <t xml:space="preserve">A-S-2920</t>
  </si>
  <si>
    <t xml:space="preserve">A-S-2921</t>
  </si>
  <si>
    <t xml:space="preserve">A-S-2922</t>
  </si>
  <si>
    <t xml:space="preserve">A-S-2923</t>
  </si>
  <si>
    <t xml:space="preserve">A-S-2924</t>
  </si>
  <si>
    <t xml:space="preserve">A-S-2925</t>
  </si>
  <si>
    <t xml:space="preserve">A-S-2926</t>
  </si>
  <si>
    <t xml:space="preserve">A-S-2927</t>
  </si>
  <si>
    <t xml:space="preserve">A-S-2928</t>
  </si>
  <si>
    <t xml:space="preserve">A-S-2929</t>
  </si>
  <si>
    <t xml:space="preserve">A-S-2930</t>
  </si>
  <si>
    <t xml:space="preserve">A-S-2931</t>
  </si>
  <si>
    <t xml:space="preserve">A-S-2932</t>
  </si>
  <si>
    <t xml:space="preserve">A-S-2933</t>
  </si>
  <si>
    <t xml:space="preserve">A-S-2934</t>
  </si>
  <si>
    <t xml:space="preserve">A-S-2935</t>
  </si>
  <si>
    <t xml:space="preserve">A-S-2936</t>
  </si>
  <si>
    <t xml:space="preserve">A-S-2937</t>
  </si>
  <si>
    <t xml:space="preserve">A-S-2938</t>
  </si>
  <si>
    <t xml:space="preserve">A-S-2939</t>
  </si>
  <si>
    <t xml:space="preserve">A-S-2940</t>
  </si>
  <si>
    <t xml:space="preserve">A-S-2941</t>
  </si>
  <si>
    <t xml:space="preserve">A-S-2942</t>
  </si>
  <si>
    <t xml:space="preserve">A-S-2943</t>
  </si>
  <si>
    <t xml:space="preserve">A-S-2944</t>
  </si>
  <si>
    <t xml:space="preserve">A-S-2945</t>
  </si>
  <si>
    <t xml:space="preserve">A-S-2946</t>
  </si>
  <si>
    <t xml:space="preserve">A-S-2947</t>
  </si>
  <si>
    <t xml:space="preserve">A-S-2948</t>
  </si>
  <si>
    <t xml:space="preserve">A-S-2949</t>
  </si>
  <si>
    <t xml:space="preserve">A-S-2950</t>
  </si>
  <si>
    <t xml:space="preserve">A-S-2951</t>
  </si>
  <si>
    <t xml:space="preserve">A-S-2952</t>
  </si>
  <si>
    <t xml:space="preserve">A-S-2953</t>
  </si>
  <si>
    <t xml:space="preserve">A-S-2954</t>
  </si>
  <si>
    <t xml:space="preserve">A-S-2955</t>
  </si>
  <si>
    <t xml:space="preserve">A-S-2956</t>
  </si>
  <si>
    <t xml:space="preserve">A-S-2957</t>
  </si>
  <si>
    <t xml:space="preserve">A-S-2958</t>
  </si>
  <si>
    <t xml:space="preserve">A-S-2959</t>
  </si>
  <si>
    <t xml:space="preserve">A-S-2960</t>
  </si>
  <si>
    <t xml:space="preserve">A-S-2961</t>
  </si>
  <si>
    <t xml:space="preserve">A-S-2962</t>
  </si>
  <si>
    <t xml:space="preserve">A-S-2963</t>
  </si>
  <si>
    <t xml:space="preserve">A-S-2964</t>
  </si>
  <si>
    <t xml:space="preserve">A-S-2965</t>
  </si>
  <si>
    <t xml:space="preserve">A-S-2966</t>
  </si>
  <si>
    <t xml:space="preserve">A-S-2967</t>
  </si>
  <si>
    <t xml:space="preserve">A-S-2968</t>
  </si>
  <si>
    <t xml:space="preserve">A-S-2969</t>
  </si>
  <si>
    <t xml:space="preserve">A-S-2970</t>
  </si>
  <si>
    <t xml:space="preserve">A-S-2971</t>
  </si>
  <si>
    <t xml:space="preserve">A-S-2972</t>
  </si>
  <si>
    <t xml:space="preserve">A-S-2973</t>
  </si>
  <si>
    <t xml:space="preserve">A-S-2974</t>
  </si>
  <si>
    <t xml:space="preserve">A-S-2975</t>
  </si>
  <si>
    <t xml:space="preserve">A-S-2976</t>
  </si>
  <si>
    <t xml:space="preserve">A-S-2977</t>
  </si>
  <si>
    <t xml:space="preserve">A-S-2978</t>
  </si>
  <si>
    <t xml:space="preserve">A-S-2979</t>
  </si>
  <si>
    <t xml:space="preserve">A-S-2980</t>
  </si>
  <si>
    <t xml:space="preserve">A-S-2981</t>
  </si>
  <si>
    <t xml:space="preserve">A-S-2982</t>
  </si>
  <si>
    <t xml:space="preserve">A-S-2983</t>
  </si>
  <si>
    <t xml:space="preserve">A-S-2984</t>
  </si>
  <si>
    <t xml:space="preserve">A-S-2985</t>
  </si>
  <si>
    <t xml:space="preserve">A-S-2986</t>
  </si>
  <si>
    <t xml:space="preserve">A-S-2987</t>
  </si>
  <si>
    <t xml:space="preserve">A-S-2988</t>
  </si>
  <si>
    <t xml:space="preserve">A-S-2989</t>
  </si>
  <si>
    <t xml:space="preserve">A-S-2990</t>
  </si>
  <si>
    <t xml:space="preserve">A-S-2991</t>
  </si>
  <si>
    <t xml:space="preserve">A-S-2992</t>
  </si>
  <si>
    <t xml:space="preserve">A-S-2993</t>
  </si>
  <si>
    <t xml:space="preserve">A-S-2994</t>
  </si>
  <si>
    <t xml:space="preserve">A-S-2995</t>
  </si>
  <si>
    <t xml:space="preserve">A-S-2996</t>
  </si>
  <si>
    <t xml:space="preserve">A-S-2997</t>
  </si>
  <si>
    <t xml:space="preserve">A-S-2998</t>
  </si>
  <si>
    <t xml:space="preserve">A-S-2999</t>
  </si>
  <si>
    <t xml:space="preserve">A-S-3000</t>
  </si>
  <si>
    <t xml:space="preserve">A-S-3001</t>
  </si>
  <si>
    <t xml:space="preserve">A-S-3002</t>
  </si>
  <si>
    <t xml:space="preserve">A-S-3003</t>
  </si>
  <si>
    <t xml:space="preserve">A-S-3004</t>
  </si>
  <si>
    <t xml:space="preserve">A-S-3005</t>
  </si>
  <si>
    <t xml:space="preserve">A-S-3006</t>
  </si>
  <si>
    <t xml:space="preserve">A-S-3007</t>
  </si>
  <si>
    <t xml:space="preserve">A-S-3008</t>
  </si>
  <si>
    <t xml:space="preserve">A-S-3009</t>
  </si>
  <si>
    <t xml:space="preserve">A-S-3010</t>
  </si>
  <si>
    <t xml:space="preserve">A-S-3011</t>
  </si>
  <si>
    <t xml:space="preserve">A-S-3012</t>
  </si>
  <si>
    <t xml:space="preserve">A-S-3013</t>
  </si>
  <si>
    <t xml:space="preserve">A-S-3014</t>
  </si>
  <si>
    <t xml:space="preserve">A-S-3015</t>
  </si>
  <si>
    <t xml:space="preserve">A-S-3016</t>
  </si>
  <si>
    <t xml:space="preserve">A-S-3017</t>
  </si>
  <si>
    <t xml:space="preserve">A-S-3018</t>
  </si>
  <si>
    <t xml:space="preserve">A-S-3019</t>
  </si>
  <si>
    <t xml:space="preserve">A-S-3020</t>
  </si>
  <si>
    <t xml:space="preserve">A-S-3021</t>
  </si>
  <si>
    <t xml:space="preserve">A-S-3022</t>
  </si>
  <si>
    <t xml:space="preserve">A-S-3023</t>
  </si>
  <si>
    <t xml:space="preserve">A-S-3024</t>
  </si>
  <si>
    <t xml:space="preserve">A-S-3025</t>
  </si>
  <si>
    <t xml:space="preserve">A-S-3026</t>
  </si>
  <si>
    <t xml:space="preserve">A-S-3027</t>
  </si>
  <si>
    <t xml:space="preserve">A-S-3028</t>
  </si>
  <si>
    <t xml:space="preserve">A-S-3029</t>
  </si>
  <si>
    <t xml:space="preserve">A-S-3030</t>
  </si>
  <si>
    <t xml:space="preserve">A-S-3031</t>
  </si>
  <si>
    <t xml:space="preserve">A-S-3032</t>
  </si>
  <si>
    <t xml:space="preserve">A-S-3033</t>
  </si>
  <si>
    <t xml:space="preserve">A-S-3034</t>
  </si>
  <si>
    <t xml:space="preserve">A-S-3035</t>
  </si>
  <si>
    <t xml:space="preserve">A-S-3036</t>
  </si>
  <si>
    <t xml:space="preserve">A-S-3037</t>
  </si>
  <si>
    <t xml:space="preserve">A-S-3038</t>
  </si>
  <si>
    <t xml:space="preserve">A-S-3039</t>
  </si>
  <si>
    <t xml:space="preserve">A-S-3040</t>
  </si>
  <si>
    <t xml:space="preserve">A-S-3041</t>
  </si>
  <si>
    <t xml:space="preserve">A-S-3042</t>
  </si>
  <si>
    <t xml:space="preserve">A-S-3043</t>
  </si>
  <si>
    <t xml:space="preserve">A-S-3044</t>
  </si>
  <si>
    <t xml:space="preserve">A-S-3045</t>
  </si>
  <si>
    <t xml:space="preserve">A-S-3046</t>
  </si>
  <si>
    <t xml:space="preserve">A-S-3047</t>
  </si>
  <si>
    <t xml:space="preserve">A-S-3048</t>
  </si>
  <si>
    <t xml:space="preserve">A-S-3049</t>
  </si>
  <si>
    <t xml:space="preserve">A-S-3050</t>
  </si>
  <si>
    <t xml:space="preserve">A-S-3051</t>
  </si>
  <si>
    <t xml:space="preserve">A-S-3052</t>
  </si>
  <si>
    <t xml:space="preserve">A-S-3053</t>
  </si>
  <si>
    <t xml:space="preserve">A-S-3054</t>
  </si>
  <si>
    <t xml:space="preserve">A-S-3055</t>
  </si>
  <si>
    <t xml:space="preserve">A-S-3056</t>
  </si>
  <si>
    <t xml:space="preserve">A-S-3057</t>
  </si>
  <si>
    <t xml:space="preserve">A-S-3058</t>
  </si>
  <si>
    <t xml:space="preserve">A-S-3059</t>
  </si>
  <si>
    <t xml:space="preserve">A-S-3060</t>
  </si>
  <si>
    <t xml:space="preserve">A-S-3061</t>
  </si>
  <si>
    <t xml:space="preserve">A-S-3062</t>
  </si>
  <si>
    <t xml:space="preserve">A-S-3063</t>
  </si>
  <si>
    <t xml:space="preserve">A-S-3064</t>
  </si>
  <si>
    <t xml:space="preserve">A-S-3065</t>
  </si>
  <si>
    <t xml:space="preserve">A-S-3066</t>
  </si>
  <si>
    <t xml:space="preserve">A-S-3067</t>
  </si>
  <si>
    <t xml:space="preserve">A-S-3068</t>
  </si>
  <si>
    <t xml:space="preserve">A-S-3069</t>
  </si>
  <si>
    <t xml:space="preserve">A-S-3070</t>
  </si>
  <si>
    <t xml:space="preserve">A-S-3071</t>
  </si>
  <si>
    <t xml:space="preserve">A-S-3072</t>
  </si>
  <si>
    <t xml:space="preserve">A-S-3073</t>
  </si>
  <si>
    <t xml:space="preserve">A-S-3074</t>
  </si>
  <si>
    <t xml:space="preserve">A-S-3075</t>
  </si>
  <si>
    <t xml:space="preserve">A-S-3076</t>
  </si>
  <si>
    <t xml:space="preserve">A-S-3077</t>
  </si>
  <si>
    <t xml:space="preserve">A-S-3078</t>
  </si>
  <si>
    <t xml:space="preserve">A-S-3079</t>
  </si>
  <si>
    <t xml:space="preserve">A-S-3080</t>
  </si>
  <si>
    <t xml:space="preserve">A-S-3081</t>
  </si>
  <si>
    <t xml:space="preserve">A-S-3082</t>
  </si>
  <si>
    <t xml:space="preserve">A-S-3083</t>
  </si>
  <si>
    <t xml:space="preserve">A-S-3084</t>
  </si>
  <si>
    <t xml:space="preserve">A-S-3085</t>
  </si>
  <si>
    <t xml:space="preserve">A-S-3086</t>
  </si>
  <si>
    <t xml:space="preserve">A-S-3087</t>
  </si>
  <si>
    <t xml:space="preserve">A-S-3088</t>
  </si>
  <si>
    <t xml:space="preserve">A-S-3089</t>
  </si>
  <si>
    <t xml:space="preserve">A-S-3090</t>
  </si>
  <si>
    <t xml:space="preserve">A-S-3091</t>
  </si>
  <si>
    <t xml:space="preserve">A-S-3092</t>
  </si>
  <si>
    <t xml:space="preserve">A-S-3093</t>
  </si>
  <si>
    <t xml:space="preserve">A-S-3094</t>
  </si>
  <si>
    <t xml:space="preserve">A-S-3095</t>
  </si>
  <si>
    <t xml:space="preserve">A-S-3096</t>
  </si>
  <si>
    <t xml:space="preserve">A-S-3097</t>
  </si>
  <si>
    <t xml:space="preserve">A-S-3098</t>
  </si>
  <si>
    <t xml:space="preserve">A-S-3099</t>
  </si>
  <si>
    <t xml:space="preserve">A-S-3100</t>
  </si>
  <si>
    <t xml:space="preserve">A-S-3101</t>
  </si>
  <si>
    <t xml:space="preserve">A-S-3102</t>
  </si>
  <si>
    <t xml:space="preserve">A-S-3103</t>
  </si>
  <si>
    <t xml:space="preserve">A-S-3104</t>
  </si>
  <si>
    <t xml:space="preserve">A-S-3105</t>
  </si>
  <si>
    <t xml:space="preserve">A-S-3106</t>
  </si>
  <si>
    <t xml:space="preserve">A-S-3107</t>
  </si>
  <si>
    <t xml:space="preserve">A-S-3108</t>
  </si>
  <si>
    <t xml:space="preserve">A-S-3109</t>
  </si>
  <si>
    <t xml:space="preserve">A-S-3110</t>
  </si>
  <si>
    <t xml:space="preserve">A-S-3111</t>
  </si>
  <si>
    <t xml:space="preserve">A-S-3112</t>
  </si>
  <si>
    <t xml:space="preserve">A-S-3113</t>
  </si>
  <si>
    <t xml:space="preserve">A-S-3114</t>
  </si>
  <si>
    <t xml:space="preserve">A-S-3115</t>
  </si>
  <si>
    <t xml:space="preserve">A-S-3116</t>
  </si>
  <si>
    <t xml:space="preserve">A-S-3117</t>
  </si>
  <si>
    <t xml:space="preserve">A-S-3118</t>
  </si>
  <si>
    <t xml:space="preserve">A-S-3119</t>
  </si>
  <si>
    <t xml:space="preserve">A-S-3120</t>
  </si>
  <si>
    <t xml:space="preserve">A-S-3121</t>
  </si>
  <si>
    <t xml:space="preserve">A-S-3122</t>
  </si>
  <si>
    <t xml:space="preserve">A-S-3123</t>
  </si>
  <si>
    <t xml:space="preserve">A-S-3124</t>
  </si>
  <si>
    <t xml:space="preserve">A-S-3125</t>
  </si>
  <si>
    <t xml:space="preserve">A-S-3126</t>
  </si>
  <si>
    <t xml:space="preserve">A-S-3127</t>
  </si>
  <si>
    <t xml:space="preserve">A-S-3128</t>
  </si>
  <si>
    <t xml:space="preserve">A-S-3129</t>
  </si>
  <si>
    <t xml:space="preserve">A-S-3130</t>
  </si>
  <si>
    <t xml:space="preserve">A-S-3131</t>
  </si>
  <si>
    <t xml:space="preserve">A-S-3132</t>
  </si>
  <si>
    <t xml:space="preserve">A-S-3133</t>
  </si>
  <si>
    <t xml:space="preserve">A-S-3134</t>
  </si>
  <si>
    <t xml:space="preserve">A-S-3135</t>
  </si>
  <si>
    <t xml:space="preserve">A-S-3136</t>
  </si>
  <si>
    <t xml:space="preserve">A-S-3137</t>
  </si>
  <si>
    <t xml:space="preserve">A-S-3138</t>
  </si>
  <si>
    <t xml:space="preserve">A-S-3139</t>
  </si>
  <si>
    <t xml:space="preserve">A-S-3140</t>
  </si>
  <si>
    <t xml:space="preserve">A-S-3141</t>
  </si>
  <si>
    <t xml:space="preserve">A-S-3142</t>
  </si>
  <si>
    <t xml:space="preserve">A-S-3143</t>
  </si>
  <si>
    <t xml:space="preserve">A-S-3144</t>
  </si>
  <si>
    <t xml:space="preserve">A-S-3145</t>
  </si>
  <si>
    <t xml:space="preserve">A-S-3146</t>
  </si>
  <si>
    <t xml:space="preserve">A-S-3147</t>
  </si>
  <si>
    <t xml:space="preserve">A-S-3148</t>
  </si>
  <si>
    <t xml:space="preserve">A-S-3149</t>
  </si>
  <si>
    <t xml:space="preserve">A-S-3150</t>
  </si>
  <si>
    <t xml:space="preserve">A-S-3151</t>
  </si>
  <si>
    <t xml:space="preserve">A-S-3152</t>
  </si>
  <si>
    <t xml:space="preserve">A-S-3153</t>
  </si>
  <si>
    <t xml:space="preserve">A-S-3154</t>
  </si>
  <si>
    <t xml:space="preserve">A-S-3155</t>
  </si>
  <si>
    <t xml:space="preserve">A-S-3156</t>
  </si>
  <si>
    <t xml:space="preserve">A-S-3157</t>
  </si>
  <si>
    <t xml:space="preserve">A-S-3158</t>
  </si>
  <si>
    <t xml:space="preserve">A-S-3159</t>
  </si>
  <si>
    <t xml:space="preserve">A-S-3160</t>
  </si>
  <si>
    <t xml:space="preserve">A-S-3161</t>
  </si>
  <si>
    <t xml:space="preserve">A-S-3162</t>
  </si>
  <si>
    <t xml:space="preserve">A-S-3163</t>
  </si>
  <si>
    <t xml:space="preserve">A-S-3164</t>
  </si>
  <si>
    <t xml:space="preserve">A-S-3165</t>
  </si>
  <si>
    <t xml:space="preserve">A-S-3166</t>
  </si>
  <si>
    <t xml:space="preserve">A-S-3167</t>
  </si>
  <si>
    <t xml:space="preserve">A-S-3168</t>
  </si>
  <si>
    <t xml:space="preserve">A-S-3169</t>
  </si>
  <si>
    <t xml:space="preserve">A-S-3170</t>
  </si>
  <si>
    <t xml:space="preserve">A-S-3171</t>
  </si>
  <si>
    <t xml:space="preserve">A-S-3172</t>
  </si>
  <si>
    <t xml:space="preserve">A-S-3173</t>
  </si>
  <si>
    <t xml:space="preserve">A-S-3174</t>
  </si>
  <si>
    <t xml:space="preserve">A-S-3175</t>
  </si>
  <si>
    <t xml:space="preserve">A-S-3176</t>
  </si>
  <si>
    <t xml:space="preserve">A-S-3177</t>
  </si>
  <si>
    <t xml:space="preserve">A-S-3178</t>
  </si>
  <si>
    <t xml:space="preserve">A-S-3179</t>
  </si>
  <si>
    <t xml:space="preserve">A-S-3180</t>
  </si>
  <si>
    <t xml:space="preserve">A-S-3181</t>
  </si>
  <si>
    <t xml:space="preserve">A-S-3182</t>
  </si>
  <si>
    <t xml:space="preserve">A-S-3183</t>
  </si>
  <si>
    <t xml:space="preserve">A-S-3184</t>
  </si>
  <si>
    <t xml:space="preserve">A-S-3185</t>
  </si>
  <si>
    <t xml:space="preserve">A-S-3186</t>
  </si>
  <si>
    <t xml:space="preserve">A-S-3187</t>
  </si>
  <si>
    <t xml:space="preserve">A-S-3188</t>
  </si>
  <si>
    <t xml:space="preserve">A-S-3189</t>
  </si>
  <si>
    <t xml:space="preserve">A-S-3190</t>
  </si>
  <si>
    <t xml:space="preserve">A-S-3191</t>
  </si>
  <si>
    <t xml:space="preserve">A-S-3192</t>
  </si>
  <si>
    <t xml:space="preserve">A-S-3193</t>
  </si>
  <si>
    <t xml:space="preserve">A-S-3194</t>
  </si>
  <si>
    <t xml:space="preserve">A-S-3195</t>
  </si>
  <si>
    <t xml:space="preserve">A-S-3196</t>
  </si>
  <si>
    <t xml:space="preserve">A-S-3197</t>
  </si>
  <si>
    <t xml:space="preserve">A-S-3198</t>
  </si>
  <si>
    <t xml:space="preserve">A-S-3199</t>
  </si>
  <si>
    <t xml:space="preserve">A-S-3200</t>
  </si>
  <si>
    <t xml:space="preserve">A-S-3201</t>
  </si>
  <si>
    <t xml:space="preserve">A-S-3202</t>
  </si>
  <si>
    <t xml:space="preserve">A-S-3203</t>
  </si>
  <si>
    <t xml:space="preserve">A-S-3204</t>
  </si>
  <si>
    <t xml:space="preserve">A-S-3205</t>
  </si>
  <si>
    <t xml:space="preserve">A-S-3206</t>
  </si>
  <si>
    <t xml:space="preserve">A-S-3207</t>
  </si>
  <si>
    <t xml:space="preserve">A-S-3208</t>
  </si>
  <si>
    <t xml:space="preserve">A-S-3209</t>
  </si>
  <si>
    <t xml:space="preserve">A-S-3210</t>
  </si>
  <si>
    <t xml:space="preserve">A-S-3211</t>
  </si>
  <si>
    <t xml:space="preserve">A-S-3212</t>
  </si>
  <si>
    <t xml:space="preserve">A-S-3213</t>
  </si>
  <si>
    <t xml:space="preserve">A-S-3214</t>
  </si>
  <si>
    <t xml:space="preserve">A-S-3215</t>
  </si>
  <si>
    <t xml:space="preserve">A-S-3216</t>
  </si>
  <si>
    <t xml:space="preserve">A-S-3217</t>
  </si>
  <si>
    <t xml:space="preserve">A-S-3218</t>
  </si>
  <si>
    <t xml:space="preserve">A-S-3219</t>
  </si>
  <si>
    <t xml:space="preserve">A-S-3220</t>
  </si>
  <si>
    <t xml:space="preserve">A-S-3221</t>
  </si>
  <si>
    <t xml:space="preserve">A-S-3222</t>
  </si>
  <si>
    <t xml:space="preserve">A-S-3223</t>
  </si>
  <si>
    <t xml:space="preserve">A-S-3224</t>
  </si>
  <si>
    <t xml:space="preserve">A-S-3225</t>
  </si>
  <si>
    <t xml:space="preserve">A-S-3226</t>
  </si>
  <si>
    <t xml:space="preserve">A-S-3227</t>
  </si>
  <si>
    <t xml:space="preserve">A-S-3228</t>
  </si>
  <si>
    <t xml:space="preserve">A-S-3229</t>
  </si>
  <si>
    <t xml:space="preserve">A-S-3230</t>
  </si>
  <si>
    <t xml:space="preserve">A-S-3231</t>
  </si>
  <si>
    <t xml:space="preserve">A-S-3232</t>
  </si>
  <si>
    <t xml:space="preserve">A-S-3233</t>
  </si>
  <si>
    <t xml:space="preserve">A-S-3234</t>
  </si>
  <si>
    <t xml:space="preserve">A-S-3235</t>
  </si>
  <si>
    <t xml:space="preserve">A-S-3236</t>
  </si>
  <si>
    <t xml:space="preserve">A-S-3237</t>
  </si>
  <si>
    <t xml:space="preserve">A-S-3238</t>
  </si>
  <si>
    <t xml:space="preserve">A-S-3239</t>
  </si>
  <si>
    <t xml:space="preserve">A-S-3240</t>
  </si>
  <si>
    <t xml:space="preserve">A-S-3241</t>
  </si>
  <si>
    <t xml:space="preserve">A-S-3242</t>
  </si>
  <si>
    <t xml:space="preserve">A-S-3243</t>
  </si>
  <si>
    <t xml:space="preserve">A-S-3244</t>
  </si>
  <si>
    <t xml:space="preserve">A-S-3245</t>
  </si>
  <si>
    <t xml:space="preserve">A-S-3246</t>
  </si>
  <si>
    <t xml:space="preserve">A-S-3247</t>
  </si>
  <si>
    <t xml:space="preserve">A-S-3248</t>
  </si>
  <si>
    <t xml:space="preserve">A-S-3249</t>
  </si>
  <si>
    <t xml:space="preserve">A-S-3250</t>
  </si>
  <si>
    <t xml:space="preserve">A-S-3251</t>
  </si>
  <si>
    <t xml:space="preserve">A-S-3252</t>
  </si>
  <si>
    <t xml:space="preserve">A-S-3253</t>
  </si>
  <si>
    <t xml:space="preserve">A-S-3254</t>
  </si>
  <si>
    <t xml:space="preserve">A-S-3255</t>
  </si>
  <si>
    <t xml:space="preserve">A-S-3256</t>
  </si>
  <si>
    <t xml:space="preserve">A-S-3257</t>
  </si>
  <si>
    <t xml:space="preserve">A-S-3258</t>
  </si>
  <si>
    <t xml:space="preserve">A-S-3259</t>
  </si>
  <si>
    <t xml:space="preserve">A-S-3260</t>
  </si>
  <si>
    <t xml:space="preserve">A-S-3261</t>
  </si>
  <si>
    <t xml:space="preserve">A-S-3262</t>
  </si>
  <si>
    <t xml:space="preserve">A-S-3263</t>
  </si>
  <si>
    <t xml:space="preserve">A-S-3264</t>
  </si>
  <si>
    <t xml:space="preserve">A-S-3265</t>
  </si>
  <si>
    <t xml:space="preserve">A-S-3266</t>
  </si>
  <si>
    <t xml:space="preserve">A-S-3267</t>
  </si>
  <si>
    <t xml:space="preserve">A-S-3268</t>
  </si>
  <si>
    <t xml:space="preserve">A-S-3269</t>
  </si>
  <si>
    <t xml:space="preserve">A-S-3270</t>
  </si>
  <si>
    <t xml:space="preserve">A-S-3271</t>
  </si>
  <si>
    <t xml:space="preserve">A-S-3272</t>
  </si>
  <si>
    <t xml:space="preserve">A-S-3273</t>
  </si>
  <si>
    <t xml:space="preserve">A-S-3274</t>
  </si>
  <si>
    <t xml:space="preserve">A-S-3275</t>
  </si>
  <si>
    <t xml:space="preserve">A-S-3276</t>
  </si>
  <si>
    <t xml:space="preserve">A-S-3277</t>
  </si>
  <si>
    <t xml:space="preserve">A-S-3278</t>
  </si>
  <si>
    <t xml:space="preserve">A-S-3279</t>
  </si>
  <si>
    <t xml:space="preserve">A-S-3280</t>
  </si>
  <si>
    <t xml:space="preserve">A-S-3281</t>
  </si>
  <si>
    <t xml:space="preserve">A-S-3282</t>
  </si>
  <si>
    <t xml:space="preserve">A-S-3283</t>
  </si>
  <si>
    <t xml:space="preserve">A-S-3284</t>
  </si>
  <si>
    <t xml:space="preserve">A-S-3285</t>
  </si>
  <si>
    <t xml:space="preserve">A-S-3286</t>
  </si>
  <si>
    <t xml:space="preserve">A-S-3287</t>
  </si>
  <si>
    <t xml:space="preserve">A-S-3288</t>
  </si>
  <si>
    <t xml:space="preserve">A-S-3289</t>
  </si>
  <si>
    <t xml:space="preserve">A-S-3290</t>
  </si>
  <si>
    <t xml:space="preserve">A-S-3291</t>
  </si>
  <si>
    <t xml:space="preserve">A-S-3292</t>
  </si>
  <si>
    <t xml:space="preserve">A-S-3293</t>
  </si>
  <si>
    <t xml:space="preserve">A-S-3294</t>
  </si>
  <si>
    <t xml:space="preserve">A-S-3295</t>
  </si>
  <si>
    <t xml:space="preserve">A-S-3296</t>
  </si>
  <si>
    <t xml:space="preserve">A-S-3297</t>
  </si>
  <si>
    <t xml:space="preserve">A-S-3298</t>
  </si>
  <si>
    <t xml:space="preserve">A-S-3299</t>
  </si>
  <si>
    <t xml:space="preserve">A-S-3300</t>
  </si>
  <si>
    <t xml:space="preserve">A-S-3301</t>
  </si>
  <si>
    <t xml:space="preserve">A-S-3302</t>
  </si>
  <si>
    <t xml:space="preserve">A-S-3303</t>
  </si>
  <si>
    <t xml:space="preserve">A-S-3304</t>
  </si>
  <si>
    <t xml:space="preserve">A-S-3305</t>
  </si>
  <si>
    <t xml:space="preserve">A-S-3306</t>
  </si>
  <si>
    <t xml:space="preserve">A-S-3307</t>
  </si>
  <si>
    <t xml:space="preserve">A-S-3308</t>
  </si>
  <si>
    <t xml:space="preserve">A-S-3309</t>
  </si>
  <si>
    <t xml:space="preserve">A-S-3310</t>
  </si>
  <si>
    <t xml:space="preserve">A-S-3311</t>
  </si>
  <si>
    <t xml:space="preserve">A-S-3312</t>
  </si>
  <si>
    <t xml:space="preserve">A-S-3313</t>
  </si>
  <si>
    <t xml:space="preserve">A-S-3314</t>
  </si>
  <si>
    <t xml:space="preserve">A-S-3315</t>
  </si>
  <si>
    <t xml:space="preserve">A-S-3316</t>
  </si>
  <si>
    <t xml:space="preserve">A-S-3317</t>
  </si>
  <si>
    <t xml:space="preserve">A-S-3318</t>
  </si>
  <si>
    <t xml:space="preserve">A-S-3319</t>
  </si>
  <si>
    <t xml:space="preserve">A-S-3320</t>
  </si>
  <si>
    <t xml:space="preserve">A-S-3321</t>
  </si>
  <si>
    <t xml:space="preserve">A-S-3322</t>
  </si>
  <si>
    <t xml:space="preserve">A-S-3323</t>
  </si>
  <si>
    <t xml:space="preserve">A-S-3324</t>
  </si>
  <si>
    <t xml:space="preserve">A-S-3325</t>
  </si>
  <si>
    <t xml:space="preserve">A-S-3326</t>
  </si>
  <si>
    <t xml:space="preserve">A-S-3327</t>
  </si>
  <si>
    <t xml:space="preserve">A-S-3328</t>
  </si>
  <si>
    <t xml:space="preserve">A-S-3329</t>
  </si>
  <si>
    <t xml:space="preserve">A-S-3330</t>
  </si>
  <si>
    <t xml:space="preserve">A-S-3331</t>
  </si>
  <si>
    <t xml:space="preserve">A-S-3332</t>
  </si>
  <si>
    <t xml:space="preserve">A-S-3333</t>
  </si>
  <si>
    <t xml:space="preserve">A-S-3334</t>
  </si>
  <si>
    <t xml:space="preserve">A-S-3335</t>
  </si>
  <si>
    <t xml:space="preserve">A-S-3336</t>
  </si>
  <si>
    <t xml:space="preserve">A-S-3337</t>
  </si>
  <si>
    <t xml:space="preserve">A-S-3338</t>
  </si>
  <si>
    <t xml:space="preserve">A-S-3339</t>
  </si>
  <si>
    <t xml:space="preserve">A-S-3340</t>
  </si>
  <si>
    <t xml:space="preserve">A-S-3341</t>
  </si>
  <si>
    <t xml:space="preserve">A-S-3342</t>
  </si>
  <si>
    <t xml:space="preserve">A-S-3343</t>
  </si>
  <si>
    <t xml:space="preserve">A-S-3344</t>
  </si>
  <si>
    <t xml:space="preserve">A-S-3345</t>
  </si>
  <si>
    <t xml:space="preserve">A-S-3346</t>
  </si>
  <si>
    <t xml:space="preserve">A-S-3347</t>
  </si>
  <si>
    <t xml:space="preserve">A-S-3348</t>
  </si>
  <si>
    <t xml:space="preserve">A-S-3349</t>
  </si>
  <si>
    <t xml:space="preserve">A-S-3350</t>
  </si>
  <si>
    <t xml:space="preserve">A-S-3351</t>
  </si>
  <si>
    <t xml:space="preserve">A-S-3352</t>
  </si>
  <si>
    <t xml:space="preserve">A-S-3353</t>
  </si>
  <si>
    <t xml:space="preserve">A-S-3354</t>
  </si>
  <si>
    <t xml:space="preserve">A-S-3355</t>
  </si>
  <si>
    <t xml:space="preserve">A-S-3356</t>
  </si>
  <si>
    <t xml:space="preserve">A-S-3357</t>
  </si>
  <si>
    <t xml:space="preserve">A-S-3358</t>
  </si>
  <si>
    <t xml:space="preserve">A-S-3359</t>
  </si>
  <si>
    <t xml:space="preserve">A-S-3360</t>
  </si>
  <si>
    <t xml:space="preserve">A-S-3361</t>
  </si>
  <si>
    <t xml:space="preserve">A-S-3362</t>
  </si>
  <si>
    <t xml:space="preserve">A-S-3363</t>
  </si>
  <si>
    <t xml:space="preserve">A-S-3364</t>
  </si>
  <si>
    <t xml:space="preserve">A-S-3365</t>
  </si>
  <si>
    <t xml:space="preserve">A-S-3366</t>
  </si>
  <si>
    <t xml:space="preserve">A-S-3367</t>
  </si>
  <si>
    <t xml:space="preserve">A-S-3368</t>
  </si>
  <si>
    <t xml:space="preserve">A-S-3369</t>
  </si>
  <si>
    <t xml:space="preserve">A-S-3370</t>
  </si>
  <si>
    <t xml:space="preserve">A-S-3371</t>
  </si>
  <si>
    <t xml:space="preserve">A-S-3372</t>
  </si>
  <si>
    <t xml:space="preserve">A-S-3373</t>
  </si>
  <si>
    <t xml:space="preserve">A-S-3374</t>
  </si>
  <si>
    <t xml:space="preserve">A-S-3375</t>
  </si>
  <si>
    <t xml:space="preserve">A-S-3376</t>
  </si>
  <si>
    <t xml:space="preserve">A-S-3377</t>
  </si>
  <si>
    <t xml:space="preserve">A-S-3378</t>
  </si>
  <si>
    <t xml:space="preserve">A-S-3379</t>
  </si>
  <si>
    <t xml:space="preserve">A-S-3380</t>
  </si>
  <si>
    <t xml:space="preserve">A-S-3381</t>
  </si>
  <si>
    <t xml:space="preserve">A-S-3382</t>
  </si>
  <si>
    <t xml:space="preserve">A-S-3383</t>
  </si>
  <si>
    <t xml:space="preserve">A-S-3384</t>
  </si>
  <si>
    <t xml:space="preserve">A-S-3385</t>
  </si>
  <si>
    <t xml:space="preserve">A-S-3386</t>
  </si>
  <si>
    <t xml:space="preserve">A-S-3387</t>
  </si>
  <si>
    <t xml:space="preserve">A-S-3388</t>
  </si>
  <si>
    <t xml:space="preserve">A-S-3389</t>
  </si>
  <si>
    <t xml:space="preserve">A-S-3390</t>
  </si>
  <si>
    <t xml:space="preserve">A-S-3391</t>
  </si>
  <si>
    <t xml:space="preserve">A-S-3392</t>
  </si>
  <si>
    <t xml:space="preserve">A-S-3393</t>
  </si>
  <si>
    <t xml:space="preserve">A-S-3394</t>
  </si>
  <si>
    <t xml:space="preserve">A-S-3395</t>
  </si>
  <si>
    <t xml:space="preserve">A-S-3396</t>
  </si>
  <si>
    <t xml:space="preserve">A-S-3397</t>
  </si>
  <si>
    <t xml:space="preserve">A-S-3398</t>
  </si>
  <si>
    <t xml:space="preserve">A-S-3399</t>
  </si>
  <si>
    <t xml:space="preserve">A-S-3400</t>
  </si>
  <si>
    <t xml:space="preserve">A-S-3401</t>
  </si>
  <si>
    <t xml:space="preserve">A-S-3402</t>
  </si>
  <si>
    <t xml:space="preserve">A-S-3403</t>
  </si>
  <si>
    <t xml:space="preserve">A-S-3404</t>
  </si>
  <si>
    <t xml:space="preserve">A-S-3405</t>
  </si>
  <si>
    <t xml:space="preserve">A-S-3406</t>
  </si>
  <si>
    <t xml:space="preserve">A-S-3407</t>
  </si>
  <si>
    <t xml:space="preserve">A-S-3408</t>
  </si>
  <si>
    <t xml:space="preserve">A-S-3409</t>
  </si>
  <si>
    <t xml:space="preserve">A-S-3410</t>
  </si>
  <si>
    <t xml:space="preserve">A-S-3411</t>
  </si>
  <si>
    <t xml:space="preserve">A-S-3412</t>
  </si>
  <si>
    <t xml:space="preserve">A-S-3413</t>
  </si>
  <si>
    <t xml:space="preserve">A-S-3414</t>
  </si>
  <si>
    <t xml:space="preserve">A-S-3415</t>
  </si>
  <si>
    <t xml:space="preserve">A-S-3416</t>
  </si>
  <si>
    <t xml:space="preserve">A-S-3417</t>
  </si>
  <si>
    <t xml:space="preserve">A-S-3418</t>
  </si>
  <si>
    <t xml:space="preserve">A-S-3419</t>
  </si>
  <si>
    <t xml:space="preserve">A-S-3420</t>
  </si>
  <si>
    <t xml:space="preserve">A-S-3421</t>
  </si>
  <si>
    <t xml:space="preserve">A-S-3422</t>
  </si>
  <si>
    <t xml:space="preserve">A-S-3423</t>
  </si>
  <si>
    <t xml:space="preserve">A-S-3424</t>
  </si>
  <si>
    <t xml:space="preserve">A-S-3425</t>
  </si>
  <si>
    <t xml:space="preserve">A-S-3426</t>
  </si>
  <si>
    <t xml:space="preserve">A-S-3427</t>
  </si>
  <si>
    <t xml:space="preserve">A-S-3428</t>
  </si>
  <si>
    <t xml:space="preserve">A-S-3429</t>
  </si>
  <si>
    <t xml:space="preserve">A-S-3430</t>
  </si>
  <si>
    <t xml:space="preserve">A-S-3431</t>
  </si>
  <si>
    <t xml:space="preserve">A-S-3432</t>
  </si>
  <si>
    <t xml:space="preserve">A-S-3433</t>
  </si>
  <si>
    <t xml:space="preserve">A-S-3434</t>
  </si>
  <si>
    <t xml:space="preserve">A-S-3435</t>
  </si>
  <si>
    <t xml:space="preserve">A-S-3436</t>
  </si>
  <si>
    <t xml:space="preserve">A-S-3437</t>
  </si>
  <si>
    <t xml:space="preserve">A-S-3438</t>
  </si>
  <si>
    <t xml:space="preserve">A-S-3439</t>
  </si>
  <si>
    <t xml:space="preserve">A-S-3440</t>
  </si>
  <si>
    <t xml:space="preserve">A-S-3441</t>
  </si>
  <si>
    <t xml:space="preserve">A-S-3442</t>
  </si>
  <si>
    <t xml:space="preserve">A-S-3443</t>
  </si>
  <si>
    <t xml:space="preserve">A-S-3444</t>
  </si>
  <si>
    <t xml:space="preserve">A-S-3445</t>
  </si>
  <si>
    <t xml:space="preserve">A-S-3446</t>
  </si>
  <si>
    <t xml:space="preserve">A-S-3447</t>
  </si>
  <si>
    <t xml:space="preserve">A-S-3448</t>
  </si>
  <si>
    <t xml:space="preserve">A-S-3449</t>
  </si>
  <si>
    <t xml:space="preserve">A-S-3450</t>
  </si>
  <si>
    <t xml:space="preserve">A-S-3451</t>
  </si>
  <si>
    <t xml:space="preserve">A-S-3452</t>
  </si>
  <si>
    <t xml:space="preserve">A-S-3453</t>
  </si>
  <si>
    <t xml:space="preserve">A-S-3454</t>
  </si>
  <si>
    <t xml:space="preserve">A-S-3455</t>
  </si>
  <si>
    <t xml:space="preserve">A-S-3456</t>
  </si>
  <si>
    <t xml:space="preserve">A-S-3457</t>
  </si>
  <si>
    <t xml:space="preserve">A-S-3458</t>
  </si>
  <si>
    <t xml:space="preserve">A-S-3459</t>
  </si>
  <si>
    <t xml:space="preserve">A-S-3460</t>
  </si>
  <si>
    <t xml:space="preserve">A-S-3461</t>
  </si>
  <si>
    <t xml:space="preserve">A-S-3462</t>
  </si>
  <si>
    <t xml:space="preserve">A-S-3463</t>
  </si>
  <si>
    <t xml:space="preserve">A-S-3464</t>
  </si>
  <si>
    <t xml:space="preserve">A-S-3465</t>
  </si>
  <si>
    <t xml:space="preserve">A-S-3466</t>
  </si>
  <si>
    <t xml:space="preserve">A-S-3467</t>
  </si>
  <si>
    <t xml:space="preserve">A-S-3468</t>
  </si>
  <si>
    <t xml:space="preserve">A-S-3469</t>
  </si>
  <si>
    <t xml:space="preserve">A-S-3470</t>
  </si>
  <si>
    <t xml:space="preserve">A-S-3471</t>
  </si>
  <si>
    <t xml:space="preserve">A-S-3472</t>
  </si>
  <si>
    <t xml:space="preserve">A-S-3473</t>
  </si>
  <si>
    <t xml:space="preserve">A-S-3474</t>
  </si>
  <si>
    <t xml:space="preserve">A-S-3475</t>
  </si>
  <si>
    <t xml:space="preserve">A-S-3476</t>
  </si>
  <si>
    <t xml:space="preserve">A-S-3477</t>
  </si>
  <si>
    <t xml:space="preserve">A-S-3478</t>
  </si>
  <si>
    <t xml:space="preserve">A-S-3479</t>
  </si>
  <si>
    <t xml:space="preserve">A-S-3480</t>
  </si>
  <si>
    <t xml:space="preserve">A-S-3481</t>
  </si>
  <si>
    <t xml:space="preserve">A-S-3482</t>
  </si>
  <si>
    <t xml:space="preserve">A-S-3483</t>
  </si>
  <si>
    <t xml:space="preserve">A-S-3484</t>
  </si>
  <si>
    <t xml:space="preserve">A-S-3485</t>
  </si>
  <si>
    <t xml:space="preserve">A-S-3486</t>
  </si>
  <si>
    <t xml:space="preserve">A-S-3487</t>
  </si>
  <si>
    <t xml:space="preserve">A-S-3488</t>
  </si>
  <si>
    <t xml:space="preserve">A-S-3489</t>
  </si>
  <si>
    <t xml:space="preserve">A-S-3490</t>
  </si>
  <si>
    <t xml:space="preserve">A-S-3491</t>
  </si>
  <si>
    <t xml:space="preserve">A-S-3492</t>
  </si>
  <si>
    <t xml:space="preserve">A-S-3493</t>
  </si>
  <si>
    <t xml:space="preserve">A-S-3494</t>
  </si>
  <si>
    <t xml:space="preserve">A-S-3495</t>
  </si>
  <si>
    <t xml:space="preserve">A-S-3496</t>
  </si>
  <si>
    <t xml:space="preserve">A-S-3497</t>
  </si>
  <si>
    <t xml:space="preserve">A-S-3498</t>
  </si>
  <si>
    <t xml:space="preserve">A-S-3499</t>
  </si>
  <si>
    <t xml:space="preserve">A-S-3500</t>
  </si>
  <si>
    <t xml:space="preserve">A-S-3501</t>
  </si>
  <si>
    <t xml:space="preserve">A-S-3502</t>
  </si>
  <si>
    <t xml:space="preserve">A-S-3503</t>
  </si>
  <si>
    <t xml:space="preserve">A-S-3504</t>
  </si>
  <si>
    <t xml:space="preserve">A-S-3505</t>
  </si>
  <si>
    <t xml:space="preserve">A-S-3506</t>
  </si>
  <si>
    <t xml:space="preserve">A-S-3507</t>
  </si>
  <si>
    <t xml:space="preserve">A-S-3508</t>
  </si>
  <si>
    <t xml:space="preserve">A-S-3509</t>
  </si>
  <si>
    <t xml:space="preserve">A-S-3510</t>
  </si>
  <si>
    <t xml:space="preserve">A-S-3511</t>
  </si>
  <si>
    <t xml:space="preserve">A-S-3512</t>
  </si>
  <si>
    <t xml:space="preserve">A-S-3513</t>
  </si>
  <si>
    <t xml:space="preserve">A-S-3514</t>
  </si>
  <si>
    <t xml:space="preserve">A-S-3515</t>
  </si>
  <si>
    <t xml:space="preserve">A-S-3516</t>
  </si>
  <si>
    <t xml:space="preserve">A-S-3517</t>
  </si>
  <si>
    <t xml:space="preserve">A-S-3518</t>
  </si>
  <si>
    <t xml:space="preserve">A-S-3519</t>
  </si>
  <si>
    <t xml:space="preserve">A-S-3520</t>
  </si>
  <si>
    <t xml:space="preserve">A-S-3521</t>
  </si>
  <si>
    <t xml:space="preserve">A-S-3522</t>
  </si>
  <si>
    <t xml:space="preserve">A-S-3523</t>
  </si>
  <si>
    <t xml:space="preserve">A-S-3524</t>
  </si>
  <si>
    <t xml:space="preserve">A-S-3525</t>
  </si>
  <si>
    <t xml:space="preserve">A-S-3526</t>
  </si>
  <si>
    <t xml:space="preserve">A-S-3527</t>
  </si>
  <si>
    <t xml:space="preserve">A-S-3528</t>
  </si>
  <si>
    <t xml:space="preserve">A-S-3529</t>
  </si>
  <si>
    <t xml:space="preserve">A-S-3530</t>
  </si>
  <si>
    <t xml:space="preserve">A-S-3531</t>
  </si>
  <si>
    <t xml:space="preserve">A-S-3532</t>
  </si>
  <si>
    <t xml:space="preserve">A-S-3533</t>
  </si>
  <si>
    <t xml:space="preserve">A-S-3534</t>
  </si>
  <si>
    <t xml:space="preserve">A-S-3535</t>
  </si>
  <si>
    <t xml:space="preserve">A-S-3536</t>
  </si>
  <si>
    <t xml:space="preserve">A-S-3537</t>
  </si>
  <si>
    <t xml:space="preserve">A-S-3538</t>
  </si>
  <si>
    <t xml:space="preserve">A-S-3539</t>
  </si>
  <si>
    <t xml:space="preserve">A-S-3540</t>
  </si>
  <si>
    <t xml:space="preserve">A-S-3541</t>
  </si>
  <si>
    <t xml:space="preserve">A-S-3542</t>
  </si>
  <si>
    <t xml:space="preserve">A-S-3543</t>
  </si>
  <si>
    <t xml:space="preserve">A-S-3544</t>
  </si>
  <si>
    <t xml:space="preserve">A-S-3545</t>
  </si>
  <si>
    <t xml:space="preserve">A-S-3546</t>
  </si>
  <si>
    <t xml:space="preserve">A-S-3547</t>
  </si>
  <si>
    <t xml:space="preserve">A-S-3548</t>
  </si>
  <si>
    <t xml:space="preserve">A-S-3549</t>
  </si>
  <si>
    <t xml:space="preserve">A-S-3550</t>
  </si>
  <si>
    <t xml:space="preserve">A-S-3551</t>
  </si>
  <si>
    <t xml:space="preserve">A-S-3552</t>
  </si>
  <si>
    <t xml:space="preserve">A-S-3553</t>
  </si>
  <si>
    <t xml:space="preserve">A-S-3554</t>
  </si>
  <si>
    <t xml:space="preserve">A-S-3555</t>
  </si>
  <si>
    <t xml:space="preserve">A-S-3556</t>
  </si>
  <si>
    <t xml:space="preserve">A-S-3557</t>
  </si>
  <si>
    <t xml:space="preserve">A-S-3558</t>
  </si>
  <si>
    <t xml:space="preserve">A-S-3559</t>
  </si>
  <si>
    <t xml:space="preserve">A-S-3560</t>
  </si>
  <si>
    <t xml:space="preserve">A-S-3561</t>
  </si>
  <si>
    <t xml:space="preserve">A-S-3562</t>
  </si>
  <si>
    <t xml:space="preserve">A-S-3563</t>
  </si>
  <si>
    <t xml:space="preserve">A-S-3564</t>
  </si>
  <si>
    <t xml:space="preserve">A-S-3565</t>
  </si>
  <si>
    <t xml:space="preserve">A-S-3566</t>
  </si>
  <si>
    <t xml:space="preserve">A-S-3567</t>
  </si>
  <si>
    <t xml:space="preserve">A-S-3568</t>
  </si>
  <si>
    <t xml:space="preserve">A-S-3569</t>
  </si>
  <si>
    <t xml:space="preserve">A-S-3570</t>
  </si>
  <si>
    <t xml:space="preserve">A-S-3571</t>
  </si>
  <si>
    <t xml:space="preserve">A-S-3572</t>
  </si>
  <si>
    <t xml:space="preserve">A-S-3573</t>
  </si>
  <si>
    <t xml:space="preserve">A-S-3574</t>
  </si>
  <si>
    <t xml:space="preserve">A-S-3575</t>
  </si>
  <si>
    <t xml:space="preserve">A-S-3576</t>
  </si>
  <si>
    <t xml:space="preserve">A-S-3577</t>
  </si>
  <si>
    <t xml:space="preserve">A-S-3578</t>
  </si>
  <si>
    <t xml:space="preserve">A-S-3579</t>
  </si>
  <si>
    <t xml:space="preserve">A-S-3580</t>
  </si>
  <si>
    <t xml:space="preserve">A-S-3581</t>
  </si>
  <si>
    <t xml:space="preserve">A-S-3582</t>
  </si>
  <si>
    <t xml:space="preserve">A-S-3583</t>
  </si>
  <si>
    <t xml:space="preserve">A-S-3584</t>
  </si>
  <si>
    <t xml:space="preserve">A-S-3585</t>
  </si>
  <si>
    <t xml:space="preserve">A-S-3586</t>
  </si>
  <si>
    <t xml:space="preserve">A-S-3587</t>
  </si>
  <si>
    <t xml:space="preserve">A-S-3588</t>
  </si>
  <si>
    <t xml:space="preserve">A-S-3589</t>
  </si>
  <si>
    <t xml:space="preserve">A-S-3590</t>
  </si>
  <si>
    <t xml:space="preserve">A-S-3591</t>
  </si>
  <si>
    <t xml:space="preserve">A-S-3592</t>
  </si>
  <si>
    <t xml:space="preserve">A-S-3593</t>
  </si>
  <si>
    <t xml:space="preserve">A-S-3594</t>
  </si>
  <si>
    <t xml:space="preserve">A-S-3595</t>
  </si>
  <si>
    <t xml:space="preserve">A-S-3596</t>
  </si>
  <si>
    <t xml:space="preserve">A-S-3597</t>
  </si>
  <si>
    <t xml:space="preserve">A-S-3598</t>
  </si>
  <si>
    <t xml:space="preserve">A-S-3599</t>
  </si>
  <si>
    <t xml:space="preserve">A-S-3600</t>
  </si>
  <si>
    <t xml:space="preserve">A-S-3601</t>
  </si>
  <si>
    <t xml:space="preserve">A-S-3602</t>
  </si>
  <si>
    <t xml:space="preserve">A-S-3603</t>
  </si>
  <si>
    <t xml:space="preserve">A-S-3604</t>
  </si>
  <si>
    <t xml:space="preserve">A-S-3605</t>
  </si>
  <si>
    <t xml:space="preserve">A-S-3606</t>
  </si>
  <si>
    <t xml:space="preserve">A-S-3607</t>
  </si>
  <si>
    <t xml:space="preserve">A-S-3608</t>
  </si>
  <si>
    <t xml:space="preserve">A-S-3609</t>
  </si>
  <si>
    <t xml:space="preserve">A-S-3610</t>
  </si>
  <si>
    <t xml:space="preserve">A-S-3611</t>
  </si>
  <si>
    <t xml:space="preserve">A-S-3612</t>
  </si>
  <si>
    <t xml:space="preserve">A-S-3613</t>
  </si>
  <si>
    <t xml:space="preserve">A-S-3614</t>
  </si>
  <si>
    <t xml:space="preserve">A-S-3615</t>
  </si>
  <si>
    <t xml:space="preserve">A-S-3616</t>
  </si>
  <si>
    <t xml:space="preserve">A-S-3617</t>
  </si>
  <si>
    <t xml:space="preserve">A-S-3618</t>
  </si>
  <si>
    <t xml:space="preserve">A-S-3619</t>
  </si>
  <si>
    <t xml:space="preserve">A-S-3620</t>
  </si>
  <si>
    <t xml:space="preserve">A-S-3621</t>
  </si>
  <si>
    <t xml:space="preserve">A-S-3622</t>
  </si>
  <si>
    <t xml:space="preserve">A-S-3623</t>
  </si>
  <si>
    <t xml:space="preserve">A-S-3624</t>
  </si>
  <si>
    <t xml:space="preserve">A-S-3625</t>
  </si>
  <si>
    <t xml:space="preserve">A-S-3626</t>
  </si>
  <si>
    <t xml:space="preserve">A-S-3627</t>
  </si>
  <si>
    <t xml:space="preserve">A-S-3628</t>
  </si>
  <si>
    <t xml:space="preserve">A-S-3629</t>
  </si>
  <si>
    <t xml:space="preserve">A-S-3630</t>
  </si>
  <si>
    <t xml:space="preserve">A-S-3631</t>
  </si>
  <si>
    <t xml:space="preserve">A-S-3632</t>
  </si>
  <si>
    <t xml:space="preserve">A-S-3633</t>
  </si>
  <si>
    <t xml:space="preserve">A-S-3634</t>
  </si>
  <si>
    <t xml:space="preserve">A-S-3635</t>
  </si>
  <si>
    <t xml:space="preserve">A-S-3636</t>
  </si>
  <si>
    <t xml:space="preserve">A-S-3637</t>
  </si>
  <si>
    <t xml:space="preserve">A-S-3638</t>
  </si>
  <si>
    <t xml:space="preserve">A-S-3639</t>
  </si>
  <si>
    <t xml:space="preserve">A-S-3640</t>
  </si>
  <si>
    <t xml:space="preserve">A-S-3641</t>
  </si>
  <si>
    <t xml:space="preserve">A-S-3642</t>
  </si>
  <si>
    <t xml:space="preserve">A-S-3643</t>
  </si>
  <si>
    <t xml:space="preserve">A-S-3644</t>
  </si>
  <si>
    <t xml:space="preserve">A-S-3645</t>
  </si>
  <si>
    <t xml:space="preserve">A-S-3646</t>
  </si>
  <si>
    <t xml:space="preserve">A-S-3647</t>
  </si>
  <si>
    <t xml:space="preserve">A-S-3648</t>
  </si>
  <si>
    <t xml:space="preserve">A-S-3649</t>
  </si>
  <si>
    <t xml:space="preserve">A-S-3650</t>
  </si>
  <si>
    <t xml:space="preserve">A-S-3651</t>
  </si>
  <si>
    <t xml:space="preserve">A-S-3652</t>
  </si>
  <si>
    <t xml:space="preserve">A-S-3653</t>
  </si>
  <si>
    <t xml:space="preserve">A-S-3654</t>
  </si>
  <si>
    <t xml:space="preserve">A-S-3655</t>
  </si>
  <si>
    <t xml:space="preserve">A-S-3656</t>
  </si>
  <si>
    <t xml:space="preserve">A-S-3657</t>
  </si>
  <si>
    <t xml:space="preserve">A-S-3658</t>
  </si>
  <si>
    <t xml:space="preserve">A-S-3659</t>
  </si>
  <si>
    <t xml:space="preserve">A-S-3660</t>
  </si>
  <si>
    <t xml:space="preserve">A-S-3661</t>
  </si>
  <si>
    <t xml:space="preserve">A-S-3662</t>
  </si>
  <si>
    <t xml:space="preserve">A-S-3663</t>
  </si>
  <si>
    <t xml:space="preserve">A-S-3664</t>
  </si>
  <si>
    <t xml:space="preserve">A-S-3665</t>
  </si>
  <si>
    <t xml:space="preserve">A-S-3666</t>
  </si>
  <si>
    <t xml:space="preserve">A-S-3667</t>
  </si>
  <si>
    <t xml:space="preserve">A-S-3668</t>
  </si>
  <si>
    <t xml:space="preserve">A-S-3669</t>
  </si>
  <si>
    <t xml:space="preserve">A-S-3670</t>
  </si>
  <si>
    <t xml:space="preserve">A-S-3671</t>
  </si>
  <si>
    <t xml:space="preserve">A-S-3672</t>
  </si>
  <si>
    <t xml:space="preserve">A-S-3673</t>
  </si>
  <si>
    <t xml:space="preserve">A-S-3674</t>
  </si>
  <si>
    <t xml:space="preserve">A-S-3675</t>
  </si>
  <si>
    <t xml:space="preserve">A-S-3676</t>
  </si>
  <si>
    <t xml:space="preserve">A-S-3677</t>
  </si>
  <si>
    <t xml:space="preserve">A-S-3678</t>
  </si>
  <si>
    <t xml:space="preserve">A-S-3679</t>
  </si>
  <si>
    <t xml:space="preserve">A-S-3680</t>
  </si>
  <si>
    <t xml:space="preserve">A-S-3681</t>
  </si>
  <si>
    <t xml:space="preserve">A-S-3682</t>
  </si>
  <si>
    <t xml:space="preserve">A-S-3683</t>
  </si>
  <si>
    <t xml:space="preserve">A-S-3684</t>
  </si>
  <si>
    <t xml:space="preserve">A-S-3685</t>
  </si>
  <si>
    <t xml:space="preserve">A-S-3686</t>
  </si>
  <si>
    <t xml:space="preserve">A-S-3687</t>
  </si>
  <si>
    <t xml:space="preserve">A-S-3688</t>
  </si>
  <si>
    <t xml:space="preserve">A-S-3689</t>
  </si>
  <si>
    <t xml:space="preserve">A-S-3690</t>
  </si>
  <si>
    <t xml:space="preserve">A-S-3691</t>
  </si>
  <si>
    <t xml:space="preserve">A-S-3692</t>
  </si>
  <si>
    <t xml:space="preserve">A-S-3693</t>
  </si>
  <si>
    <t xml:space="preserve">A-S-3694</t>
  </si>
  <si>
    <t xml:space="preserve">A-S-3695</t>
  </si>
  <si>
    <t xml:space="preserve">A-S-3696</t>
  </si>
  <si>
    <t xml:space="preserve">A-S-3697</t>
  </si>
  <si>
    <t xml:space="preserve">A-S-3698</t>
  </si>
  <si>
    <t xml:space="preserve">A-S-3699</t>
  </si>
  <si>
    <t xml:space="preserve">A-S-3700</t>
  </si>
  <si>
    <t xml:space="preserve">A-S-3701</t>
  </si>
  <si>
    <t xml:space="preserve">A-S-3702</t>
  </si>
  <si>
    <t xml:space="preserve">A-S-3703</t>
  </si>
  <si>
    <t xml:space="preserve">A-S-3704</t>
  </si>
  <si>
    <t xml:space="preserve">A-S-3705</t>
  </si>
  <si>
    <t xml:space="preserve">A-S-3706</t>
  </si>
  <si>
    <t xml:space="preserve">A-S-3707</t>
  </si>
  <si>
    <t xml:space="preserve">A-S-3708</t>
  </si>
  <si>
    <t xml:space="preserve">A-S-3709</t>
  </si>
  <si>
    <t xml:space="preserve">A-S-3710</t>
  </si>
  <si>
    <t xml:space="preserve">A-S-3711</t>
  </si>
  <si>
    <t xml:space="preserve">A-S-3712</t>
  </si>
  <si>
    <t xml:space="preserve">A-S-3713</t>
  </si>
  <si>
    <t xml:space="preserve">A-S-3714</t>
  </si>
  <si>
    <t xml:space="preserve">A-S-3715</t>
  </si>
  <si>
    <t xml:space="preserve">A-S-3716</t>
  </si>
  <si>
    <t xml:space="preserve">A-S-3717</t>
  </si>
  <si>
    <t xml:space="preserve">A-S-3718</t>
  </si>
  <si>
    <t xml:space="preserve">A-S-3719</t>
  </si>
  <si>
    <t xml:space="preserve">A-S-3720</t>
  </si>
  <si>
    <t xml:space="preserve">A-S-3721</t>
  </si>
  <si>
    <t xml:space="preserve">A-S-3722</t>
  </si>
  <si>
    <t xml:space="preserve">A-S-3723</t>
  </si>
  <si>
    <t xml:space="preserve">A-S-3724</t>
  </si>
  <si>
    <t xml:space="preserve">A-S-3725</t>
  </si>
  <si>
    <t xml:space="preserve">A-S-3726</t>
  </si>
  <si>
    <t xml:space="preserve">A-S-3727</t>
  </si>
  <si>
    <t xml:space="preserve">A-S-3728</t>
  </si>
  <si>
    <t xml:space="preserve">A-S-3729</t>
  </si>
  <si>
    <t xml:space="preserve">A-S-3730</t>
  </si>
  <si>
    <t xml:space="preserve">A-S-3731</t>
  </si>
  <si>
    <t xml:space="preserve">A-S-3732</t>
  </si>
  <si>
    <t xml:space="preserve">A-S-3733</t>
  </si>
  <si>
    <t xml:space="preserve">A-S-3734</t>
  </si>
  <si>
    <t xml:space="preserve">A-S-3735</t>
  </si>
  <si>
    <t xml:space="preserve">A-S-3736</t>
  </si>
  <si>
    <t xml:space="preserve">A-S-3737</t>
  </si>
  <si>
    <t xml:space="preserve">A-S-3738</t>
  </si>
  <si>
    <t xml:space="preserve">A-S-3739</t>
  </si>
  <si>
    <t xml:space="preserve">A-S-3740</t>
  </si>
  <si>
    <t xml:space="preserve">A-S-3741</t>
  </si>
  <si>
    <t xml:space="preserve">A-S-3742</t>
  </si>
  <si>
    <t xml:space="preserve">A-S-3743</t>
  </si>
  <si>
    <t xml:space="preserve">A-S-3744</t>
  </si>
  <si>
    <t xml:space="preserve">A-S-3745</t>
  </si>
  <si>
    <t xml:space="preserve">A-S-3746</t>
  </si>
  <si>
    <t xml:space="preserve">A-S-3747</t>
  </si>
  <si>
    <t xml:space="preserve">A-S-3748</t>
  </si>
  <si>
    <t xml:space="preserve">A-S-3749</t>
  </si>
  <si>
    <t xml:space="preserve">A-S-3750</t>
  </si>
  <si>
    <t xml:space="preserve">A-S-3751</t>
  </si>
  <si>
    <t xml:space="preserve">A-S-3752</t>
  </si>
  <si>
    <t xml:space="preserve">A-S-3753</t>
  </si>
  <si>
    <t xml:space="preserve">A-S-3754</t>
  </si>
  <si>
    <t xml:space="preserve">A-S-3755</t>
  </si>
  <si>
    <t xml:space="preserve">A-S-3756</t>
  </si>
  <si>
    <t xml:space="preserve">A-S-3757</t>
  </si>
  <si>
    <t xml:space="preserve">A-S-3758</t>
  </si>
  <si>
    <t xml:space="preserve">A-S-3759</t>
  </si>
  <si>
    <t xml:space="preserve">A-S-3760</t>
  </si>
  <si>
    <t xml:space="preserve">A-S-3761</t>
  </si>
  <si>
    <t xml:space="preserve">A-S-3762</t>
  </si>
  <si>
    <t xml:space="preserve">A-S-3763</t>
  </si>
  <si>
    <t xml:space="preserve">A-S-3764</t>
  </si>
  <si>
    <t xml:space="preserve">A-S-3765</t>
  </si>
  <si>
    <t xml:space="preserve">A-S-3766</t>
  </si>
  <si>
    <t xml:space="preserve">A-S-3767</t>
  </si>
  <si>
    <t xml:space="preserve">A-S-3768</t>
  </si>
  <si>
    <t xml:space="preserve">A-S-3769</t>
  </si>
  <si>
    <t xml:space="preserve">A-S-3770</t>
  </si>
  <si>
    <t xml:space="preserve">A-S-3771</t>
  </si>
  <si>
    <t xml:space="preserve">A-S-3772</t>
  </si>
  <si>
    <t xml:space="preserve">A-S-3773</t>
  </si>
  <si>
    <t xml:space="preserve">A-S-3774</t>
  </si>
  <si>
    <t xml:space="preserve">A-S-3775</t>
  </si>
  <si>
    <t xml:space="preserve">A-S-3776</t>
  </si>
  <si>
    <t xml:space="preserve">A-S-3777</t>
  </si>
  <si>
    <t xml:space="preserve">A-S-3778</t>
  </si>
  <si>
    <t xml:space="preserve">A-S-3779</t>
  </si>
  <si>
    <t xml:space="preserve">A-S-3780</t>
  </si>
  <si>
    <t xml:space="preserve">A-S-3781</t>
  </si>
  <si>
    <t xml:space="preserve">A-S-3782</t>
  </si>
  <si>
    <t xml:space="preserve">A-S-3783</t>
  </si>
  <si>
    <t xml:space="preserve">A-S-3784</t>
  </si>
  <si>
    <t xml:space="preserve">A-S-3785</t>
  </si>
  <si>
    <t xml:space="preserve">A-S-3786</t>
  </si>
  <si>
    <t xml:space="preserve">A-S-3787</t>
  </si>
  <si>
    <t xml:space="preserve">A-S-3788</t>
  </si>
  <si>
    <t xml:space="preserve">A-S-3789</t>
  </si>
  <si>
    <t xml:space="preserve">A-S-3790</t>
  </si>
  <si>
    <t xml:space="preserve">A-S-3791</t>
  </si>
  <si>
    <t xml:space="preserve">A-S-3792</t>
  </si>
  <si>
    <t xml:space="preserve">A-S-3793</t>
  </si>
  <si>
    <t xml:space="preserve">A-S-3794</t>
  </si>
  <si>
    <t xml:space="preserve">A-S-3795</t>
  </si>
  <si>
    <t xml:space="preserve">A-S-3796</t>
  </si>
  <si>
    <t xml:space="preserve">A-S-3797</t>
  </si>
  <si>
    <t xml:space="preserve">A-S-3798</t>
  </si>
  <si>
    <t xml:space="preserve">A-S-3799</t>
  </si>
  <si>
    <t xml:space="preserve">A-S-3800</t>
  </si>
  <si>
    <t xml:space="preserve">A-S-3801</t>
  </si>
  <si>
    <t xml:space="preserve">A-S-3802</t>
  </si>
  <si>
    <t xml:space="preserve">A-S-3803</t>
  </si>
  <si>
    <t xml:space="preserve">A-S-3804</t>
  </si>
  <si>
    <t xml:space="preserve">A-S-3805</t>
  </si>
  <si>
    <t xml:space="preserve">A-S-3806</t>
  </si>
  <si>
    <t xml:space="preserve">A-S-3807</t>
  </si>
  <si>
    <t xml:space="preserve">A-S-3808</t>
  </si>
  <si>
    <t xml:space="preserve">A-S-3809</t>
  </si>
  <si>
    <t xml:space="preserve">A-S-3810</t>
  </si>
  <si>
    <t xml:space="preserve">A-S-3811</t>
  </si>
  <si>
    <t xml:space="preserve">A-S-3812</t>
  </si>
  <si>
    <t xml:space="preserve">A-S-3813</t>
  </si>
  <si>
    <t xml:space="preserve">A-S-3814</t>
  </si>
  <si>
    <t xml:space="preserve">A-S-3815</t>
  </si>
  <si>
    <t xml:space="preserve">A-S-3816</t>
  </si>
  <si>
    <t xml:space="preserve">A-S-3817</t>
  </si>
  <si>
    <t xml:space="preserve">A-S-3818</t>
  </si>
  <si>
    <t xml:space="preserve">A-S-3819</t>
  </si>
  <si>
    <t xml:space="preserve">A-S-3820</t>
  </si>
  <si>
    <t xml:space="preserve">A-S-3821</t>
  </si>
  <si>
    <t xml:space="preserve">A-S-3822</t>
  </si>
  <si>
    <t xml:space="preserve">A-S-3823</t>
  </si>
  <si>
    <t xml:space="preserve">A-S-3824</t>
  </si>
  <si>
    <t xml:space="preserve">A-S-3825</t>
  </si>
  <si>
    <t xml:space="preserve">A-S-3826</t>
  </si>
  <si>
    <t xml:space="preserve">A-S-3827</t>
  </si>
  <si>
    <t xml:space="preserve">A-S-3828</t>
  </si>
  <si>
    <t xml:space="preserve">A-S-3829</t>
  </si>
  <si>
    <t xml:space="preserve">A-S-3830</t>
  </si>
  <si>
    <t xml:space="preserve">A-S-3831</t>
  </si>
  <si>
    <t xml:space="preserve">A-S-3832</t>
  </si>
  <si>
    <t xml:space="preserve">A-S-3833</t>
  </si>
  <si>
    <t xml:space="preserve">A-S-3834</t>
  </si>
  <si>
    <t xml:space="preserve">A-S-3835</t>
  </si>
  <si>
    <t xml:space="preserve">A-S-3836</t>
  </si>
  <si>
    <t xml:space="preserve">A-S-3837</t>
  </si>
  <si>
    <t xml:space="preserve">A-S-3838</t>
  </si>
  <si>
    <t xml:space="preserve">A-S-3839</t>
  </si>
  <si>
    <t xml:space="preserve">A-S-3840</t>
  </si>
  <si>
    <t xml:space="preserve">A-S-3841</t>
  </si>
  <si>
    <t xml:space="preserve">A-S-3842</t>
  </si>
  <si>
    <t xml:space="preserve">A-S-3843</t>
  </si>
  <si>
    <t xml:space="preserve">A-S-3844</t>
  </si>
  <si>
    <t xml:space="preserve">A-S-3845</t>
  </si>
  <si>
    <t xml:space="preserve">A-S-3846</t>
  </si>
  <si>
    <t xml:space="preserve">A-S-3847</t>
  </si>
  <si>
    <t xml:space="preserve">A-S-3848</t>
  </si>
  <si>
    <t xml:space="preserve">A-S-3849</t>
  </si>
  <si>
    <t xml:space="preserve">A-S-3850</t>
  </si>
  <si>
    <t xml:space="preserve">A-S-3851</t>
  </si>
  <si>
    <t xml:space="preserve">A-S-3852</t>
  </si>
  <si>
    <t xml:space="preserve">A-S-3853</t>
  </si>
  <si>
    <t xml:space="preserve">A-S-3854</t>
  </si>
  <si>
    <t xml:space="preserve">A-S-3855</t>
  </si>
  <si>
    <t xml:space="preserve">A-S-3856</t>
  </si>
  <si>
    <t xml:space="preserve">A-S-3857</t>
  </si>
  <si>
    <t xml:space="preserve">A-S-3858</t>
  </si>
  <si>
    <t xml:space="preserve">A-S-3859</t>
  </si>
  <si>
    <t xml:space="preserve">A-S-3860</t>
  </si>
  <si>
    <t xml:space="preserve">A-S-3861</t>
  </si>
  <si>
    <t xml:space="preserve">A-S-3862</t>
  </si>
  <si>
    <t xml:space="preserve">A-S-3863</t>
  </si>
  <si>
    <t xml:space="preserve">A-S-3864</t>
  </si>
  <si>
    <t xml:space="preserve">A-S-3865</t>
  </si>
  <si>
    <t xml:space="preserve">A-S-3866</t>
  </si>
  <si>
    <t xml:space="preserve">A-S-3867</t>
  </si>
  <si>
    <t xml:space="preserve">A-S-3868</t>
  </si>
  <si>
    <t xml:space="preserve">A-S-3869</t>
  </si>
  <si>
    <t xml:space="preserve">A-S-3870</t>
  </si>
  <si>
    <t xml:space="preserve">A-S-3871</t>
  </si>
  <si>
    <t xml:space="preserve">A-S-3872</t>
  </si>
  <si>
    <t xml:space="preserve">A-S-3873</t>
  </si>
  <si>
    <t xml:space="preserve">A-S-3874</t>
  </si>
  <si>
    <t xml:space="preserve">A-S-3875</t>
  </si>
  <si>
    <t xml:space="preserve">A-S-3876</t>
  </si>
  <si>
    <t xml:space="preserve">A-S-3877</t>
  </si>
  <si>
    <t xml:space="preserve">A-S-3878</t>
  </si>
  <si>
    <t xml:space="preserve">A-S-3879</t>
  </si>
  <si>
    <t xml:space="preserve">A-S-3880</t>
  </si>
  <si>
    <t xml:space="preserve">A-S-3881</t>
  </si>
  <si>
    <t xml:space="preserve">A-S-3882</t>
  </si>
  <si>
    <t xml:space="preserve">A-S-3883</t>
  </si>
  <si>
    <t xml:space="preserve">A-S-3884</t>
  </si>
  <si>
    <t xml:space="preserve">A-S-3885</t>
  </si>
  <si>
    <t xml:space="preserve">A-S-3886</t>
  </si>
  <si>
    <t xml:space="preserve">A-S-3887</t>
  </si>
  <si>
    <t xml:space="preserve">A-S-3888</t>
  </si>
  <si>
    <t xml:space="preserve">A-S-3889</t>
  </si>
  <si>
    <t xml:space="preserve">A-S-3890</t>
  </si>
  <si>
    <t xml:space="preserve">A-S-3891</t>
  </si>
  <si>
    <t xml:space="preserve">A-S-3892</t>
  </si>
  <si>
    <t xml:space="preserve">A-S-3893</t>
  </si>
  <si>
    <t xml:space="preserve">A-S-3894</t>
  </si>
  <si>
    <t xml:space="preserve">A-S-3895</t>
  </si>
  <si>
    <t xml:space="preserve">A-S-3896</t>
  </si>
  <si>
    <t xml:space="preserve">A-S-3897</t>
  </si>
  <si>
    <t xml:space="preserve">A-S-3898</t>
  </si>
  <si>
    <t xml:space="preserve">A-S-3899</t>
  </si>
  <si>
    <t xml:space="preserve">A-S-3900</t>
  </si>
  <si>
    <t xml:space="preserve">A-S-3901</t>
  </si>
  <si>
    <t xml:space="preserve">A-S-3902</t>
  </si>
  <si>
    <t xml:space="preserve">A-S-3903</t>
  </si>
  <si>
    <t xml:space="preserve">A-S-3904</t>
  </si>
  <si>
    <t xml:space="preserve">A-S-3905</t>
  </si>
  <si>
    <t xml:space="preserve">A-S-3906</t>
  </si>
  <si>
    <t xml:space="preserve">A-S-3907</t>
  </si>
  <si>
    <t xml:space="preserve">A-S-3908</t>
  </si>
  <si>
    <t xml:space="preserve">A-S-3909</t>
  </si>
  <si>
    <t xml:space="preserve">A-S-3910</t>
  </si>
  <si>
    <t xml:space="preserve">A-S-3911</t>
  </si>
  <si>
    <t xml:space="preserve">A-S-3912</t>
  </si>
  <si>
    <t xml:space="preserve">A-S-3913</t>
  </si>
  <si>
    <t xml:space="preserve">A-S-3914</t>
  </si>
  <si>
    <t xml:space="preserve">A-S-3915</t>
  </si>
  <si>
    <t xml:space="preserve">A-S-3916</t>
  </si>
  <si>
    <t xml:space="preserve">A-S-3917</t>
  </si>
  <si>
    <t xml:space="preserve">A-S-3918</t>
  </si>
  <si>
    <t xml:space="preserve">A-S-3919</t>
  </si>
  <si>
    <t xml:space="preserve">A-S-3920</t>
  </si>
  <si>
    <t xml:space="preserve">A-S-3921</t>
  </si>
  <si>
    <t xml:space="preserve">A-S-3922</t>
  </si>
  <si>
    <t xml:space="preserve">A-S-3923</t>
  </si>
  <si>
    <t xml:space="preserve">A-S-3924</t>
  </si>
  <si>
    <t xml:space="preserve">A-S-3925</t>
  </si>
  <si>
    <t xml:space="preserve">A-S-3926</t>
  </si>
  <si>
    <t xml:space="preserve">A-S-3927</t>
  </si>
  <si>
    <t xml:space="preserve">A-S-3928</t>
  </si>
  <si>
    <t xml:space="preserve">A-S-3929</t>
  </si>
  <si>
    <t xml:space="preserve">A-S-3930</t>
  </si>
  <si>
    <t xml:space="preserve">A-S-3931</t>
  </si>
  <si>
    <t xml:space="preserve">A-S-3932</t>
  </si>
  <si>
    <t xml:space="preserve">A-S-3933</t>
  </si>
  <si>
    <t xml:space="preserve">A-S-3934</t>
  </si>
  <si>
    <t xml:space="preserve">A-S-3935</t>
  </si>
  <si>
    <t xml:space="preserve">A-S-3936</t>
  </si>
  <si>
    <t xml:space="preserve">A-S-3937</t>
  </si>
  <si>
    <t xml:space="preserve">A-S-3938</t>
  </si>
  <si>
    <t xml:space="preserve">A-S-3939</t>
  </si>
  <si>
    <t xml:space="preserve">A-S-3940</t>
  </si>
  <si>
    <t xml:space="preserve">A-S-3941</t>
  </si>
  <si>
    <t xml:space="preserve">A-S-3942</t>
  </si>
  <si>
    <t xml:space="preserve">A-S-3943</t>
  </si>
  <si>
    <t xml:space="preserve">A-S-3944</t>
  </si>
  <si>
    <t xml:space="preserve">A-S-3945</t>
  </si>
  <si>
    <t xml:space="preserve">A-S-3946</t>
  </si>
  <si>
    <t xml:space="preserve">A-S-3947</t>
  </si>
  <si>
    <t xml:space="preserve">A-S-3948</t>
  </si>
  <si>
    <t xml:space="preserve">A-S-3949</t>
  </si>
  <si>
    <t xml:space="preserve">A-S-3950</t>
  </si>
  <si>
    <t xml:space="preserve">A-S-3951</t>
  </si>
  <si>
    <t xml:space="preserve">A-S-3952</t>
  </si>
  <si>
    <t xml:space="preserve">A-S-3953</t>
  </si>
  <si>
    <t xml:space="preserve">A-S-3954</t>
  </si>
  <si>
    <t xml:space="preserve">A-S-3955</t>
  </si>
  <si>
    <t xml:space="preserve">A-S-3956</t>
  </si>
  <si>
    <t xml:space="preserve">A-S-3957</t>
  </si>
  <si>
    <t xml:space="preserve">A-S-3958</t>
  </si>
  <si>
    <t xml:space="preserve">A-S-3959</t>
  </si>
  <si>
    <t xml:space="preserve">A-S-3960</t>
  </si>
  <si>
    <t xml:space="preserve">A-S-3961</t>
  </si>
  <si>
    <t xml:space="preserve">A-S-3962</t>
  </si>
  <si>
    <t xml:space="preserve">A-S-3963</t>
  </si>
  <si>
    <t xml:space="preserve">A-S-3964</t>
  </si>
  <si>
    <t xml:space="preserve">A-S-3965</t>
  </si>
  <si>
    <t xml:space="preserve">A-S-3966</t>
  </si>
  <si>
    <t xml:space="preserve">A-S-3967</t>
  </si>
  <si>
    <t xml:space="preserve">A-S-3968</t>
  </si>
  <si>
    <t xml:space="preserve">A-S-3969</t>
  </si>
  <si>
    <t xml:space="preserve">A-S-3970</t>
  </si>
  <si>
    <t xml:space="preserve">A-S-3971</t>
  </si>
  <si>
    <t xml:space="preserve">A-S-3972</t>
  </si>
  <si>
    <t xml:space="preserve">A-S-3973</t>
  </si>
  <si>
    <t xml:space="preserve">A-S-3974</t>
  </si>
  <si>
    <t xml:space="preserve">A-S-3975</t>
  </si>
  <si>
    <t xml:space="preserve">A-S-3976</t>
  </si>
  <si>
    <t xml:space="preserve">A-S-3977</t>
  </si>
  <si>
    <t xml:space="preserve">A-S-3978</t>
  </si>
  <si>
    <t xml:space="preserve">A-S-3979</t>
  </si>
  <si>
    <t xml:space="preserve">A-S-3980</t>
  </si>
  <si>
    <t xml:space="preserve">A-S-3981</t>
  </si>
  <si>
    <t xml:space="preserve">A-S-3982</t>
  </si>
  <si>
    <t xml:space="preserve">A-S-3983</t>
  </si>
  <si>
    <t xml:space="preserve">A-S-3984</t>
  </si>
  <si>
    <t xml:space="preserve">A-S-3985</t>
  </si>
  <si>
    <t xml:space="preserve">A-S-3986</t>
  </si>
  <si>
    <t xml:space="preserve">A-S-3987</t>
  </si>
  <si>
    <t xml:space="preserve">A-S-3988</t>
  </si>
  <si>
    <t xml:space="preserve">A-S-3989</t>
  </si>
  <si>
    <t xml:space="preserve">A-S-3990</t>
  </si>
  <si>
    <t xml:space="preserve">A-S-3991</t>
  </si>
  <si>
    <t xml:space="preserve">A-S-3992</t>
  </si>
  <si>
    <t xml:space="preserve">A-S-3993</t>
  </si>
  <si>
    <t xml:space="preserve">A-S-3994</t>
  </si>
  <si>
    <t xml:space="preserve">A-S-3995</t>
  </si>
  <si>
    <t xml:space="preserve">A-S-3996</t>
  </si>
  <si>
    <t xml:space="preserve">A-S-3997</t>
  </si>
  <si>
    <t xml:space="preserve">A-S-3998</t>
  </si>
  <si>
    <t xml:space="preserve">A-S-3999</t>
  </si>
  <si>
    <t xml:space="preserve">A-S-4000</t>
  </si>
  <si>
    <t xml:space="preserve">A-S-4001</t>
  </si>
  <si>
    <t xml:space="preserve">A-S-4002</t>
  </si>
  <si>
    <t xml:space="preserve">A-S-4003</t>
  </si>
  <si>
    <t xml:space="preserve">A-S-4004</t>
  </si>
  <si>
    <t xml:space="preserve">A-S-4005</t>
  </si>
  <si>
    <t xml:space="preserve">A-S-4006</t>
  </si>
  <si>
    <t xml:space="preserve">A-S-4007</t>
  </si>
  <si>
    <t xml:space="preserve">A-S-4008</t>
  </si>
  <si>
    <t xml:space="preserve">A-S-4009</t>
  </si>
  <si>
    <t xml:space="preserve">A-S-4010</t>
  </si>
  <si>
    <t xml:space="preserve">A-S-4011</t>
  </si>
  <si>
    <t xml:space="preserve">A-S-4012</t>
  </si>
  <si>
    <t xml:space="preserve">A-S-4013</t>
  </si>
  <si>
    <t xml:space="preserve">A-S-4014</t>
  </si>
  <si>
    <t xml:space="preserve">A-S-4015</t>
  </si>
  <si>
    <t xml:space="preserve">A-S-4016</t>
  </si>
  <si>
    <t xml:space="preserve">A-S-4017</t>
  </si>
  <si>
    <t xml:space="preserve">A-S-4018</t>
  </si>
  <si>
    <t xml:space="preserve">A-S-4019</t>
  </si>
  <si>
    <t xml:space="preserve">A-S-4020</t>
  </si>
  <si>
    <t xml:space="preserve">A-S-4021</t>
  </si>
  <si>
    <t xml:space="preserve">A-S-4022</t>
  </si>
  <si>
    <t xml:space="preserve">A-S-4023</t>
  </si>
  <si>
    <t xml:space="preserve">A-S-4024</t>
  </si>
  <si>
    <t xml:space="preserve">A-S-4025</t>
  </si>
  <si>
    <t xml:space="preserve">A-S-4026</t>
  </si>
  <si>
    <t xml:space="preserve">A-S-4027</t>
  </si>
  <si>
    <t xml:space="preserve">A-S-4028</t>
  </si>
  <si>
    <t xml:space="preserve">A-S-4029</t>
  </si>
  <si>
    <t xml:space="preserve">A-S-4030</t>
  </si>
  <si>
    <t xml:space="preserve">A-S-4031</t>
  </si>
  <si>
    <t xml:space="preserve">A-S-4032</t>
  </si>
  <si>
    <t xml:space="preserve">A-S-4033</t>
  </si>
  <si>
    <t xml:space="preserve">A-S-4034</t>
  </si>
  <si>
    <t xml:space="preserve">A-S-4035</t>
  </si>
  <si>
    <t xml:space="preserve">A-S-4036</t>
  </si>
  <si>
    <t xml:space="preserve">A-S-4037</t>
  </si>
  <si>
    <t xml:space="preserve">A-S-4038</t>
  </si>
  <si>
    <t xml:space="preserve">A-S-4039</t>
  </si>
  <si>
    <t xml:space="preserve">A-S-4040</t>
  </si>
  <si>
    <t xml:space="preserve">A-S-4041</t>
  </si>
  <si>
    <t xml:space="preserve">A-S-4042</t>
  </si>
  <si>
    <t xml:space="preserve">A-S-4043</t>
  </si>
  <si>
    <t xml:space="preserve">A-S-4044</t>
  </si>
  <si>
    <t xml:space="preserve">A-S-4045</t>
  </si>
  <si>
    <t xml:space="preserve">A-S-4046</t>
  </si>
  <si>
    <t xml:space="preserve">A-S-4047</t>
  </si>
  <si>
    <t xml:space="preserve">A-S-4048</t>
  </si>
  <si>
    <t xml:space="preserve">A-S-4049</t>
  </si>
  <si>
    <t xml:space="preserve">A-S-4050</t>
  </si>
  <si>
    <t xml:space="preserve">A-S-4051</t>
  </si>
  <si>
    <t xml:space="preserve">A-S-4052</t>
  </si>
  <si>
    <t xml:space="preserve">A-S-4053</t>
  </si>
  <si>
    <t xml:space="preserve">A-S-4054</t>
  </si>
  <si>
    <t xml:space="preserve">A-S-4055</t>
  </si>
  <si>
    <t xml:space="preserve">A-S-4056</t>
  </si>
  <si>
    <t xml:space="preserve">A-S-4057</t>
  </si>
  <si>
    <t xml:space="preserve">A-S-4058</t>
  </si>
  <si>
    <t xml:space="preserve">A-S-4059</t>
  </si>
  <si>
    <t xml:space="preserve">A-S-4060</t>
  </si>
  <si>
    <t xml:space="preserve">A-S-4061</t>
  </si>
  <si>
    <t xml:space="preserve">A-S-4062</t>
  </si>
  <si>
    <t xml:space="preserve">A-S-4063</t>
  </si>
  <si>
    <t xml:space="preserve">A-S-4064</t>
  </si>
  <si>
    <t xml:space="preserve">A-S-4065</t>
  </si>
  <si>
    <t xml:space="preserve">A-S-4066</t>
  </si>
  <si>
    <t xml:space="preserve">A-S-4067</t>
  </si>
  <si>
    <t xml:space="preserve">A-S-4068</t>
  </si>
  <si>
    <t xml:space="preserve">A-S-4069</t>
  </si>
  <si>
    <t xml:space="preserve">A-S-4070</t>
  </si>
  <si>
    <t xml:space="preserve">A-S-4071</t>
  </si>
  <si>
    <t xml:space="preserve">A-S-4072</t>
  </si>
  <si>
    <t xml:space="preserve">A-S-4073</t>
  </si>
  <si>
    <t xml:space="preserve">A-S-4074</t>
  </si>
  <si>
    <t xml:space="preserve">A-S-4075</t>
  </si>
  <si>
    <t xml:space="preserve">A-S-4076</t>
  </si>
  <si>
    <t xml:space="preserve">A-S-4077</t>
  </si>
  <si>
    <t xml:space="preserve">A-S-4078</t>
  </si>
  <si>
    <t xml:space="preserve">A-S-4079</t>
  </si>
  <si>
    <t xml:space="preserve">A-S-4080</t>
  </si>
  <si>
    <t xml:space="preserve">A-S-4081</t>
  </si>
  <si>
    <t xml:space="preserve">A-S-4082</t>
  </si>
  <si>
    <t xml:space="preserve">A-S-4083</t>
  </si>
  <si>
    <t xml:space="preserve">A-S-4084</t>
  </si>
  <si>
    <t xml:space="preserve">A-S-4085</t>
  </si>
  <si>
    <t xml:space="preserve">A-S-4086</t>
  </si>
  <si>
    <t xml:space="preserve">A-S-4087</t>
  </si>
  <si>
    <t xml:space="preserve">A-S-4088</t>
  </si>
  <si>
    <t xml:space="preserve">A-S-4089</t>
  </si>
  <si>
    <t xml:space="preserve">A-S-4090</t>
  </si>
  <si>
    <t xml:space="preserve">A-S-4091</t>
  </si>
  <si>
    <t xml:space="preserve">A-S-4092</t>
  </si>
  <si>
    <t xml:space="preserve">A-S-4093</t>
  </si>
  <si>
    <t xml:space="preserve">A-S-4094</t>
  </si>
  <si>
    <t xml:space="preserve">A-S-4095</t>
  </si>
  <si>
    <t xml:space="preserve">A-S-4096</t>
  </si>
  <si>
    <t xml:space="preserve">A-S-4097</t>
  </si>
  <si>
    <t xml:space="preserve">A-S-4098</t>
  </si>
  <si>
    <t xml:space="preserve">A-S-4099</t>
  </si>
  <si>
    <t xml:space="preserve">A-S-4100</t>
  </si>
  <si>
    <t xml:space="preserve">A-S-4101</t>
  </si>
  <si>
    <t xml:space="preserve">A-S-4102</t>
  </si>
  <si>
    <t xml:space="preserve">A-S-4103</t>
  </si>
  <si>
    <t xml:space="preserve">A-S-4104</t>
  </si>
  <si>
    <t xml:space="preserve">A-S-4105</t>
  </si>
  <si>
    <t xml:space="preserve">A-S-4106</t>
  </si>
  <si>
    <t xml:space="preserve">A-S-4107</t>
  </si>
  <si>
    <t xml:space="preserve">A-S-4108</t>
  </si>
  <si>
    <t xml:space="preserve">A-S-4109</t>
  </si>
  <si>
    <t xml:space="preserve">A-S-4110</t>
  </si>
  <si>
    <t xml:space="preserve">A-S-4111</t>
  </si>
  <si>
    <t xml:space="preserve">A-S-4112</t>
  </si>
  <si>
    <t xml:space="preserve">A-S-4113</t>
  </si>
  <si>
    <t xml:space="preserve">A-S-4114</t>
  </si>
  <si>
    <t xml:space="preserve">A-S-4115</t>
  </si>
  <si>
    <t xml:space="preserve">A-S-4116</t>
  </si>
  <si>
    <t xml:space="preserve">A-S-4117</t>
  </si>
  <si>
    <t xml:space="preserve">A-S-4118</t>
  </si>
  <si>
    <t xml:space="preserve">A-S-4119</t>
  </si>
  <si>
    <t xml:space="preserve">A-S-4120</t>
  </si>
  <si>
    <t xml:space="preserve">A-S-4121</t>
  </si>
  <si>
    <t xml:space="preserve">A-S-4122</t>
  </si>
  <si>
    <t xml:space="preserve">A-S-4123</t>
  </si>
  <si>
    <t xml:space="preserve">A-S-4124</t>
  </si>
  <si>
    <t xml:space="preserve">A-S-4125</t>
  </si>
  <si>
    <t xml:space="preserve">A-S-4126</t>
  </si>
  <si>
    <t xml:space="preserve">A-S-4127</t>
  </si>
  <si>
    <t xml:space="preserve">A-S-4128</t>
  </si>
  <si>
    <t xml:space="preserve">A-S-4129</t>
  </si>
  <si>
    <t xml:space="preserve">A-S-4130</t>
  </si>
  <si>
    <t xml:space="preserve">A-S-4131</t>
  </si>
  <si>
    <t xml:space="preserve">A-S-4132</t>
  </si>
  <si>
    <t xml:space="preserve">A-S-4133</t>
  </si>
  <si>
    <t xml:space="preserve">A-S-4134</t>
  </si>
  <si>
    <t xml:space="preserve">A-S-4135</t>
  </si>
  <si>
    <t xml:space="preserve">A-S-4136</t>
  </si>
  <si>
    <t xml:space="preserve">A-S-4137</t>
  </si>
  <si>
    <t xml:space="preserve">A-S-4138</t>
  </si>
  <si>
    <t xml:space="preserve">A-S-4139</t>
  </si>
  <si>
    <t xml:space="preserve">A-S-4140</t>
  </si>
  <si>
    <t xml:space="preserve">A-S-4141</t>
  </si>
  <si>
    <t xml:space="preserve">A-S-4142</t>
  </si>
  <si>
    <t xml:space="preserve">A-S-4143</t>
  </si>
  <si>
    <t xml:space="preserve">A-S-4144</t>
  </si>
  <si>
    <t xml:space="preserve">A-S-4145</t>
  </si>
  <si>
    <t xml:space="preserve">A-S-4146</t>
  </si>
  <si>
    <t xml:space="preserve">A-S-4147</t>
  </si>
  <si>
    <t xml:space="preserve">A-S-4148</t>
  </si>
  <si>
    <t xml:space="preserve">A-S-4149</t>
  </si>
  <si>
    <t xml:space="preserve">A-S-4150</t>
  </si>
  <si>
    <t xml:space="preserve">A-S-4151</t>
  </si>
  <si>
    <t xml:space="preserve">A-S-4152</t>
  </si>
  <si>
    <t xml:space="preserve">A-S-4153</t>
  </si>
  <si>
    <t xml:space="preserve">A-S-4154</t>
  </si>
  <si>
    <t xml:space="preserve">A-S-4155</t>
  </si>
  <si>
    <t xml:space="preserve">A-S-4156</t>
  </si>
  <si>
    <t xml:space="preserve">A-S-4157</t>
  </si>
  <si>
    <t xml:space="preserve">A-S-4158</t>
  </si>
  <si>
    <t xml:space="preserve">A-S-4159</t>
  </si>
  <si>
    <t xml:space="preserve">A-S-4160</t>
  </si>
  <si>
    <t xml:space="preserve">A-S-4161</t>
  </si>
  <si>
    <t xml:space="preserve">A-S-4162</t>
  </si>
  <si>
    <t xml:space="preserve">A-S-4163</t>
  </si>
  <si>
    <t xml:space="preserve">A-S-4164</t>
  </si>
  <si>
    <t xml:space="preserve">A-S-4165</t>
  </si>
  <si>
    <t xml:space="preserve">A-S-4166</t>
  </si>
  <si>
    <t xml:space="preserve">A-S-4167</t>
  </si>
  <si>
    <t xml:space="preserve">A-S-4168</t>
  </si>
  <si>
    <t xml:space="preserve">A-S-4169</t>
  </si>
  <si>
    <t xml:space="preserve">A-S-4170</t>
  </si>
  <si>
    <t xml:space="preserve">A-S-4171</t>
  </si>
  <si>
    <t xml:space="preserve">A-S-4172</t>
  </si>
  <si>
    <t xml:space="preserve">A-S-4173</t>
  </si>
  <si>
    <t xml:space="preserve">A-S-4174</t>
  </si>
  <si>
    <t xml:space="preserve">A-S-4175</t>
  </si>
  <si>
    <t xml:space="preserve">A-S-4176</t>
  </si>
  <si>
    <t xml:space="preserve">A-S-4177</t>
  </si>
  <si>
    <t xml:space="preserve">A-S-4178</t>
  </si>
  <si>
    <t xml:space="preserve">A-S-4179</t>
  </si>
  <si>
    <t xml:space="preserve">A-S-4180</t>
  </si>
  <si>
    <t xml:space="preserve">A-S-4181</t>
  </si>
  <si>
    <t xml:space="preserve">A-S-4182</t>
  </si>
  <si>
    <t xml:space="preserve">A-S-4183</t>
  </si>
  <si>
    <t xml:space="preserve">A-S-4184</t>
  </si>
  <si>
    <t xml:space="preserve">A-S-4185</t>
  </si>
  <si>
    <t xml:space="preserve">A-S-4186</t>
  </si>
  <si>
    <t xml:space="preserve">A-S-4187</t>
  </si>
  <si>
    <t xml:space="preserve">A-S-4188</t>
  </si>
  <si>
    <t xml:space="preserve">A-S-4189</t>
  </si>
  <si>
    <t xml:space="preserve">A-S-4190</t>
  </si>
  <si>
    <t xml:space="preserve">A-S-4191</t>
  </si>
  <si>
    <t xml:space="preserve">A-S-4192</t>
  </si>
  <si>
    <t xml:space="preserve">A-S-4193</t>
  </si>
  <si>
    <t xml:space="preserve">A-S-4194</t>
  </si>
  <si>
    <t xml:space="preserve">A-S-4195</t>
  </si>
  <si>
    <t xml:space="preserve">A-S-4196</t>
  </si>
  <si>
    <t xml:space="preserve">A-S-4197</t>
  </si>
  <si>
    <t xml:space="preserve">A-S-4198</t>
  </si>
  <si>
    <t xml:space="preserve">A-S-4199</t>
  </si>
  <si>
    <t xml:space="preserve">A-S-4200</t>
  </si>
  <si>
    <t xml:space="preserve">A-S-4201</t>
  </si>
  <si>
    <t xml:space="preserve">A-S-4202</t>
  </si>
  <si>
    <t xml:space="preserve">A-S-4203</t>
  </si>
  <si>
    <t xml:space="preserve">A-S-4204</t>
  </si>
  <si>
    <t xml:space="preserve">A-S-4205</t>
  </si>
  <si>
    <t xml:space="preserve">A-S-4206</t>
  </si>
  <si>
    <t xml:space="preserve">A-S-4207</t>
  </si>
  <si>
    <t xml:space="preserve">A-S-4208</t>
  </si>
  <si>
    <t xml:space="preserve">A-S-4209</t>
  </si>
  <si>
    <t xml:space="preserve">A-S-4210</t>
  </si>
  <si>
    <t xml:space="preserve">A-S-4211</t>
  </si>
  <si>
    <t xml:space="preserve">A-S-4212</t>
  </si>
  <si>
    <t xml:space="preserve">A-S-4213</t>
  </si>
  <si>
    <t xml:space="preserve">A-S-4214</t>
  </si>
  <si>
    <t xml:space="preserve">A-S-4215</t>
  </si>
  <si>
    <t xml:space="preserve">A-S-4216</t>
  </si>
  <si>
    <t xml:space="preserve">A-S-4217</t>
  </si>
  <si>
    <t xml:space="preserve">A-S-4218</t>
  </si>
  <si>
    <t xml:space="preserve">A-S-4219</t>
  </si>
  <si>
    <t xml:space="preserve">A-S-4220</t>
  </si>
  <si>
    <t xml:space="preserve">A-S-4221</t>
  </si>
  <si>
    <t xml:space="preserve">A-S-4222</t>
  </si>
  <si>
    <t xml:space="preserve">A-S-4223</t>
  </si>
  <si>
    <t xml:space="preserve">A-S-4224</t>
  </si>
  <si>
    <t xml:space="preserve">A-S-4225</t>
  </si>
  <si>
    <t xml:space="preserve">A-S-4226</t>
  </si>
  <si>
    <t xml:space="preserve">A-S-4227</t>
  </si>
  <si>
    <t xml:space="preserve">A-S-4228</t>
  </si>
  <si>
    <t xml:space="preserve">A-S-4229</t>
  </si>
  <si>
    <t xml:space="preserve">A-S-4230</t>
  </si>
  <si>
    <t xml:space="preserve">A-S-4231</t>
  </si>
  <si>
    <t xml:space="preserve">A-S-4232</t>
  </si>
  <si>
    <t xml:space="preserve">A-S-4233</t>
  </si>
  <si>
    <t xml:space="preserve">A-S-4234</t>
  </si>
  <si>
    <t xml:space="preserve">A-S-4235</t>
  </si>
  <si>
    <t xml:space="preserve">A-S-4236</t>
  </si>
  <si>
    <t xml:space="preserve">A-S-4237</t>
  </si>
  <si>
    <t xml:space="preserve">A-S-4238</t>
  </si>
  <si>
    <t xml:space="preserve">A-S-4239</t>
  </si>
  <si>
    <t xml:space="preserve">A-S-4240</t>
  </si>
  <si>
    <t xml:space="preserve">A-S-4241</t>
  </si>
  <si>
    <t xml:space="preserve">A-S-4242</t>
  </si>
  <si>
    <t xml:space="preserve">A-S-4243</t>
  </si>
  <si>
    <t xml:space="preserve">A-S-4244</t>
  </si>
  <si>
    <t xml:space="preserve">A-S-4245</t>
  </si>
  <si>
    <t xml:space="preserve">A-S-4246</t>
  </si>
  <si>
    <t xml:space="preserve">A-S-4247</t>
  </si>
  <si>
    <t xml:space="preserve">A-S-4248</t>
  </si>
  <si>
    <t xml:space="preserve">A-S-4249</t>
  </si>
  <si>
    <t xml:space="preserve">A-S-4250</t>
  </si>
  <si>
    <t xml:space="preserve">A-S-4251</t>
  </si>
  <si>
    <t xml:space="preserve">A-S-4252</t>
  </si>
  <si>
    <t xml:space="preserve">A-S-4253</t>
  </si>
  <si>
    <t xml:space="preserve">A-S-4254</t>
  </si>
  <si>
    <t xml:space="preserve">A-S-4255</t>
  </si>
  <si>
    <t xml:space="preserve">A-S-4256</t>
  </si>
  <si>
    <t xml:space="preserve">A-S-4257</t>
  </si>
  <si>
    <t xml:space="preserve">A-S-4258</t>
  </si>
  <si>
    <t xml:space="preserve">A-S-4259</t>
  </si>
  <si>
    <t xml:space="preserve">A-S-4260</t>
  </si>
  <si>
    <t xml:space="preserve">A-S-4261</t>
  </si>
  <si>
    <t xml:space="preserve">A-S-4262</t>
  </si>
  <si>
    <t xml:space="preserve">A-S-4263</t>
  </si>
  <si>
    <t xml:space="preserve">A-S-4264</t>
  </si>
  <si>
    <t xml:space="preserve">A-S-4265</t>
  </si>
  <si>
    <t xml:space="preserve">A-S-4266</t>
  </si>
  <si>
    <t xml:space="preserve">A-S-4267</t>
  </si>
  <si>
    <t xml:space="preserve">A-S-4268</t>
  </si>
  <si>
    <t xml:space="preserve">A-S-4269</t>
  </si>
  <si>
    <t xml:space="preserve">A-S-4270</t>
  </si>
  <si>
    <t xml:space="preserve">A-S-4271</t>
  </si>
  <si>
    <t xml:space="preserve">A-S-4272</t>
  </si>
  <si>
    <t xml:space="preserve">A-S-4273</t>
  </si>
  <si>
    <t xml:space="preserve">A-S-4274</t>
  </si>
  <si>
    <t xml:space="preserve">A-S-4275</t>
  </si>
  <si>
    <t xml:space="preserve">A-S-4276</t>
  </si>
  <si>
    <t xml:space="preserve">A-S-4277</t>
  </si>
  <si>
    <t xml:space="preserve">A-S-4278</t>
  </si>
  <si>
    <t xml:space="preserve">A-S-4279</t>
  </si>
  <si>
    <t xml:space="preserve">A-S-4280</t>
  </si>
  <si>
    <t xml:space="preserve">A-S-4281</t>
  </si>
  <si>
    <t xml:space="preserve">A-S-4282</t>
  </si>
  <si>
    <t xml:space="preserve">A-S-4283</t>
  </si>
  <si>
    <t xml:space="preserve">A-S-4284</t>
  </si>
  <si>
    <t xml:space="preserve">A-S-4285</t>
  </si>
  <si>
    <t xml:space="preserve">A-S-4286</t>
  </si>
  <si>
    <t xml:space="preserve">A-S-4287</t>
  </si>
  <si>
    <t xml:space="preserve">A-S-4288</t>
  </si>
  <si>
    <t xml:space="preserve">A-S-4289</t>
  </si>
  <si>
    <t xml:space="preserve">A-S-4290</t>
  </si>
  <si>
    <t xml:space="preserve">A-S-4291</t>
  </si>
  <si>
    <t xml:space="preserve">A-S-4292</t>
  </si>
  <si>
    <t xml:space="preserve">A-S-4293</t>
  </si>
  <si>
    <t xml:space="preserve">A-S-4294</t>
  </si>
  <si>
    <t xml:space="preserve">A-S-4295</t>
  </si>
  <si>
    <t xml:space="preserve">A-S-4296</t>
  </si>
  <si>
    <t xml:space="preserve">A-S-4297</t>
  </si>
  <si>
    <t xml:space="preserve">A-S-4298</t>
  </si>
  <si>
    <t xml:space="preserve">A-S-4299</t>
  </si>
  <si>
    <t xml:space="preserve">A-S-4300</t>
  </si>
  <si>
    <t xml:space="preserve">A-S-4301</t>
  </si>
  <si>
    <t xml:space="preserve">A-S-4302</t>
  </si>
  <si>
    <t xml:space="preserve">A-S-4303</t>
  </si>
  <si>
    <t xml:space="preserve">A-S-4304</t>
  </si>
  <si>
    <t xml:space="preserve">A-S-4305</t>
  </si>
  <si>
    <t xml:space="preserve">A-S-4306</t>
  </si>
  <si>
    <t xml:space="preserve">A-S-4307</t>
  </si>
  <si>
    <t xml:space="preserve">A-S-4308</t>
  </si>
  <si>
    <t xml:space="preserve">A-S-4309</t>
  </si>
  <si>
    <t xml:space="preserve">A-S-4310</t>
  </si>
  <si>
    <t xml:space="preserve">A-S-4311</t>
  </si>
  <si>
    <t xml:space="preserve">A-S-4312</t>
  </si>
  <si>
    <t xml:space="preserve">A-S-4313</t>
  </si>
  <si>
    <t xml:space="preserve">A-S-4314</t>
  </si>
  <si>
    <t xml:space="preserve">A-S-4315</t>
  </si>
  <si>
    <t xml:space="preserve">A-S-4316</t>
  </si>
  <si>
    <t xml:space="preserve">A-S-4317</t>
  </si>
  <si>
    <t xml:space="preserve">A-S-4318</t>
  </si>
  <si>
    <t xml:space="preserve">A-S-4319</t>
  </si>
  <si>
    <t xml:space="preserve">A-S-4320</t>
  </si>
  <si>
    <t xml:space="preserve">A-S-4321</t>
  </si>
  <si>
    <t xml:space="preserve">A-S-4322</t>
  </si>
  <si>
    <t xml:space="preserve">A-S-4323</t>
  </si>
  <si>
    <t xml:space="preserve">A-S-4324</t>
  </si>
  <si>
    <t xml:space="preserve">A-S-4325</t>
  </si>
  <si>
    <t xml:space="preserve">A-S-4326</t>
  </si>
  <si>
    <t xml:space="preserve">A-S-4327</t>
  </si>
  <si>
    <t xml:space="preserve">A-S-4328</t>
  </si>
  <si>
    <t xml:space="preserve">A-S-4329</t>
  </si>
  <si>
    <t xml:space="preserve">A-S-4330</t>
  </si>
  <si>
    <t xml:space="preserve">A-S-4331</t>
  </si>
  <si>
    <t xml:space="preserve">A-S-4332</t>
  </si>
  <si>
    <t xml:space="preserve">A-S-4333</t>
  </si>
  <si>
    <t xml:space="preserve">A-S-4334</t>
  </si>
  <si>
    <t xml:space="preserve">A-S-4335</t>
  </si>
  <si>
    <t xml:space="preserve">A-S-4336</t>
  </si>
  <si>
    <t xml:space="preserve">A-S-4337</t>
  </si>
  <si>
    <t xml:space="preserve">A-S-4338</t>
  </si>
  <si>
    <t xml:space="preserve">A-S-4339</t>
  </si>
  <si>
    <t xml:space="preserve">A-S-4340</t>
  </si>
  <si>
    <t xml:space="preserve">A-S-4341</t>
  </si>
  <si>
    <t xml:space="preserve">A-S-4342</t>
  </si>
  <si>
    <t xml:space="preserve">A-S-4343</t>
  </si>
  <si>
    <t xml:space="preserve">A-S-4344</t>
  </si>
  <si>
    <t xml:space="preserve">A-S-4345</t>
  </si>
  <si>
    <t xml:space="preserve">A-S-4346</t>
  </si>
  <si>
    <t xml:space="preserve">A-S-4347</t>
  </si>
  <si>
    <t xml:space="preserve">A-S-4348</t>
  </si>
  <si>
    <t xml:space="preserve">A-S-4349</t>
  </si>
  <si>
    <t xml:space="preserve">A-S-4350</t>
  </si>
  <si>
    <t xml:space="preserve">A-S-4351</t>
  </si>
  <si>
    <t xml:space="preserve">A-S-4352</t>
  </si>
  <si>
    <t xml:space="preserve">A-S-4353</t>
  </si>
  <si>
    <t xml:space="preserve">A-S-4354</t>
  </si>
  <si>
    <t xml:space="preserve">A-S-4355</t>
  </si>
  <si>
    <t xml:space="preserve">A-S-4356</t>
  </si>
  <si>
    <t xml:space="preserve">A-S-4357</t>
  </si>
  <si>
    <t xml:space="preserve">A-S-4358</t>
  </si>
  <si>
    <t xml:space="preserve">A-S-4359</t>
  </si>
  <si>
    <t xml:space="preserve">A-S-4360</t>
  </si>
  <si>
    <t xml:space="preserve">A-S-4361</t>
  </si>
  <si>
    <t xml:space="preserve">A-S-4362</t>
  </si>
  <si>
    <t xml:space="preserve">A-S-4363</t>
  </si>
  <si>
    <t xml:space="preserve">A-S-4364</t>
  </si>
  <si>
    <t xml:space="preserve">A-S-4365</t>
  </si>
  <si>
    <t xml:space="preserve">A-S-4366</t>
  </si>
  <si>
    <t xml:space="preserve">A-S-4367</t>
  </si>
  <si>
    <t xml:space="preserve">A-S-4368</t>
  </si>
  <si>
    <t xml:space="preserve">A-S-4369</t>
  </si>
  <si>
    <t xml:space="preserve">A-S-4370</t>
  </si>
  <si>
    <t xml:space="preserve">A-S-4371</t>
  </si>
  <si>
    <t xml:space="preserve">A-S-4372</t>
  </si>
  <si>
    <t xml:space="preserve">A-S-4373</t>
  </si>
  <si>
    <t xml:space="preserve">A-S-4374</t>
  </si>
  <si>
    <t xml:space="preserve">A-S-4375</t>
  </si>
  <si>
    <t xml:space="preserve">A-S-4376</t>
  </si>
  <si>
    <t xml:space="preserve">A-S-4377</t>
  </si>
  <si>
    <t xml:space="preserve">A-S-4378</t>
  </si>
  <si>
    <t xml:space="preserve">A-S-4379</t>
  </si>
  <si>
    <t xml:space="preserve">A-S-4380</t>
  </si>
  <si>
    <t xml:space="preserve">A-S-4381</t>
  </si>
  <si>
    <t xml:space="preserve">A-S-4382</t>
  </si>
  <si>
    <t xml:space="preserve">A-S-4383</t>
  </si>
  <si>
    <t xml:space="preserve">A-S-4384</t>
  </si>
  <si>
    <t xml:space="preserve">A-S-4385</t>
  </si>
  <si>
    <t xml:space="preserve">A-S-4386</t>
  </si>
  <si>
    <t xml:space="preserve">A-S-4387</t>
  </si>
  <si>
    <t xml:space="preserve">A-S-4388</t>
  </si>
  <si>
    <t xml:space="preserve">A-S-4389</t>
  </si>
  <si>
    <t xml:space="preserve">A-S-4390</t>
  </si>
  <si>
    <t xml:space="preserve">A-S-4391</t>
  </si>
  <si>
    <t xml:space="preserve">A-S-4392</t>
  </si>
  <si>
    <t xml:space="preserve">A-S-4393</t>
  </si>
  <si>
    <t xml:space="preserve">A-S-4394</t>
  </si>
  <si>
    <t xml:space="preserve">A-S-4395</t>
  </si>
  <si>
    <t xml:space="preserve">A-S-4396</t>
  </si>
  <si>
    <t xml:space="preserve">A-S-4397</t>
  </si>
  <si>
    <t xml:space="preserve">A-S-4398</t>
  </si>
  <si>
    <t xml:space="preserve">A-S-4399</t>
  </si>
  <si>
    <t xml:space="preserve">A-S-4400</t>
  </si>
  <si>
    <t xml:space="preserve">A-S-4401</t>
  </si>
  <si>
    <t xml:space="preserve">A-S-4402</t>
  </si>
  <si>
    <t xml:space="preserve">A-S-4403</t>
  </si>
  <si>
    <t xml:space="preserve">A-S-4404</t>
  </si>
  <si>
    <t xml:space="preserve">A-S-4405</t>
  </si>
  <si>
    <t xml:space="preserve">A-S-4406</t>
  </si>
  <si>
    <t xml:space="preserve">A-S-4407</t>
  </si>
  <si>
    <t xml:space="preserve">A-S-4408</t>
  </si>
  <si>
    <t xml:space="preserve">A-S-4409</t>
  </si>
  <si>
    <t xml:space="preserve">A-S-4410</t>
  </si>
  <si>
    <t xml:space="preserve">A-S-4411</t>
  </si>
  <si>
    <t xml:space="preserve">A-S-4412</t>
  </si>
  <si>
    <t xml:space="preserve">A-S-4413</t>
  </si>
  <si>
    <t xml:space="preserve">A-S-4414</t>
  </si>
  <si>
    <t xml:space="preserve">A-S-4415</t>
  </si>
  <si>
    <t xml:space="preserve">A-S-4416</t>
  </si>
  <si>
    <t xml:space="preserve">A-S-4417</t>
  </si>
  <si>
    <t xml:space="preserve">A-S-4418</t>
  </si>
  <si>
    <t xml:space="preserve">A-S-4419</t>
  </si>
  <si>
    <t xml:space="preserve">A-S-4420</t>
  </si>
  <si>
    <t xml:space="preserve">A-S-4421</t>
  </si>
  <si>
    <t xml:space="preserve">A-S-4422</t>
  </si>
  <si>
    <t xml:space="preserve">A-S-4423</t>
  </si>
  <si>
    <t xml:space="preserve">A-S-4424</t>
  </si>
  <si>
    <t xml:space="preserve">A-S-4425</t>
  </si>
  <si>
    <t xml:space="preserve">A-S-4426</t>
  </si>
  <si>
    <t xml:space="preserve">A-S-4427</t>
  </si>
  <si>
    <t xml:space="preserve">A-S-4428</t>
  </si>
  <si>
    <t xml:space="preserve">A-S-4429</t>
  </si>
  <si>
    <t xml:space="preserve">A-S-4430</t>
  </si>
  <si>
    <t xml:space="preserve">A-S-4431</t>
  </si>
  <si>
    <t xml:space="preserve">A-S-4432</t>
  </si>
  <si>
    <t xml:space="preserve">A-S-4433</t>
  </si>
  <si>
    <t xml:space="preserve">A-S-4434</t>
  </si>
  <si>
    <t xml:space="preserve">A-S-4435</t>
  </si>
  <si>
    <t xml:space="preserve">A-S-4436</t>
  </si>
  <si>
    <t xml:space="preserve">A-S-4437</t>
  </si>
  <si>
    <t xml:space="preserve">A-S-4438</t>
  </si>
  <si>
    <t xml:space="preserve">A-S-4439</t>
  </si>
  <si>
    <t xml:space="preserve">A-S-4440</t>
  </si>
  <si>
    <t xml:space="preserve">A-S-4441</t>
  </si>
  <si>
    <t xml:space="preserve">A-S-4442</t>
  </si>
  <si>
    <t xml:space="preserve">A-S-4443</t>
  </si>
  <si>
    <t xml:space="preserve">A-S-4444</t>
  </si>
  <si>
    <t xml:space="preserve">A-S-4445</t>
  </si>
  <si>
    <t xml:space="preserve">A-S-4446</t>
  </si>
  <si>
    <t xml:space="preserve">A-S-4447</t>
  </si>
  <si>
    <t xml:space="preserve">A-S-4448</t>
  </si>
  <si>
    <t xml:space="preserve">A-S-4449</t>
  </si>
  <si>
    <t xml:space="preserve">A-S-4450</t>
  </si>
  <si>
    <t xml:space="preserve">A-S-4451</t>
  </si>
  <si>
    <t xml:space="preserve">A-S-4452</t>
  </si>
  <si>
    <t xml:space="preserve">A-S-4453</t>
  </si>
  <si>
    <t xml:space="preserve">A-S-4454</t>
  </si>
  <si>
    <t xml:space="preserve">A-S-4455</t>
  </si>
  <si>
    <t xml:space="preserve">A-S-4456</t>
  </si>
  <si>
    <t xml:space="preserve">A-S-4457</t>
  </si>
  <si>
    <t xml:space="preserve">A-S-4458</t>
  </si>
  <si>
    <t xml:space="preserve">A-S-4459</t>
  </si>
  <si>
    <t xml:space="preserve">A-S-4460</t>
  </si>
  <si>
    <t xml:space="preserve">A-S-4461</t>
  </si>
  <si>
    <t xml:space="preserve">A-S-4462</t>
  </si>
  <si>
    <t xml:space="preserve">A-S-4463</t>
  </si>
  <si>
    <t xml:space="preserve">A-S-4464</t>
  </si>
  <si>
    <t xml:space="preserve">A-S-4465</t>
  </si>
  <si>
    <t xml:space="preserve">A-S-4466</t>
  </si>
  <si>
    <t xml:space="preserve">A-S-4467</t>
  </si>
  <si>
    <t xml:space="preserve">A-S-4468</t>
  </si>
  <si>
    <t xml:space="preserve">A-S-4469</t>
  </si>
  <si>
    <t xml:space="preserve">A-S-4470</t>
  </si>
  <si>
    <t xml:space="preserve">A-S-4471</t>
  </si>
  <si>
    <t xml:space="preserve">A-S-4472</t>
  </si>
  <si>
    <t xml:space="preserve">A-S-4473</t>
  </si>
  <si>
    <t xml:space="preserve">A-S-4474</t>
  </si>
  <si>
    <t xml:space="preserve">A-S-4475</t>
  </si>
  <si>
    <t xml:space="preserve">A-S-4476</t>
  </si>
  <si>
    <t xml:space="preserve">A-S-4477</t>
  </si>
  <si>
    <t xml:space="preserve">A-S-4478</t>
  </si>
  <si>
    <t xml:space="preserve">A-S-4479</t>
  </si>
  <si>
    <t xml:space="preserve">A-S-4480</t>
  </si>
  <si>
    <t xml:space="preserve">A-S-4481</t>
  </si>
  <si>
    <t xml:space="preserve">A-S-4482</t>
  </si>
  <si>
    <t xml:space="preserve">A-S-4483</t>
  </si>
  <si>
    <t xml:space="preserve">A-S-4484</t>
  </si>
  <si>
    <t xml:space="preserve">A-S-4485</t>
  </si>
  <si>
    <t xml:space="preserve">A-S-4486</t>
  </si>
  <si>
    <t xml:space="preserve">A-S-4487</t>
  </si>
  <si>
    <t xml:space="preserve">A-S-4488</t>
  </si>
  <si>
    <t xml:space="preserve">A-S-4489</t>
  </si>
  <si>
    <t xml:space="preserve">A-S-4490</t>
  </si>
  <si>
    <t xml:space="preserve">A-S-4491</t>
  </si>
  <si>
    <t xml:space="preserve">A-S-4492</t>
  </si>
  <si>
    <t xml:space="preserve">A-S-4493</t>
  </si>
  <si>
    <t xml:space="preserve">A-S-4494</t>
  </si>
  <si>
    <t xml:space="preserve">A-S-4495</t>
  </si>
  <si>
    <t xml:space="preserve">A-S-4496</t>
  </si>
  <si>
    <t xml:space="preserve">A-S-4497</t>
  </si>
  <si>
    <t xml:space="preserve">A-S-4498</t>
  </si>
  <si>
    <t xml:space="preserve">A-S-4499</t>
  </si>
  <si>
    <t xml:space="preserve">A-S-4500</t>
  </si>
  <si>
    <t xml:space="preserve">A-S-4501</t>
  </si>
  <si>
    <t xml:space="preserve">A-S-4502</t>
  </si>
  <si>
    <t xml:space="preserve">A-S-4503</t>
  </si>
  <si>
    <t xml:space="preserve">A-S-4504</t>
  </si>
  <si>
    <t xml:space="preserve">A-S-4505</t>
  </si>
  <si>
    <t xml:space="preserve">A-S-4506</t>
  </si>
  <si>
    <t xml:space="preserve">A-S-4507</t>
  </si>
  <si>
    <t xml:space="preserve">A-S-4508</t>
  </si>
  <si>
    <t xml:space="preserve">A-S-4509</t>
  </si>
  <si>
    <t xml:space="preserve">A-S-4510</t>
  </si>
  <si>
    <t xml:space="preserve">A-S-4511</t>
  </si>
  <si>
    <t xml:space="preserve">A-S-4512</t>
  </si>
  <si>
    <t xml:space="preserve">A-S-4513</t>
  </si>
  <si>
    <t xml:space="preserve">A-S-4514</t>
  </si>
  <si>
    <t xml:space="preserve">A-S-4515</t>
  </si>
  <si>
    <t xml:space="preserve">A-S-4516</t>
  </si>
  <si>
    <t xml:space="preserve">A-S-4517</t>
  </si>
  <si>
    <t xml:space="preserve">A-S-4518</t>
  </si>
  <si>
    <t xml:space="preserve">A-S-4519</t>
  </si>
  <si>
    <t xml:space="preserve">A-S-4520</t>
  </si>
  <si>
    <t xml:space="preserve">A-S-4521</t>
  </si>
  <si>
    <t xml:space="preserve">A-S-4522</t>
  </si>
  <si>
    <t xml:space="preserve">A-S-4523</t>
  </si>
  <si>
    <t xml:space="preserve">A-S-4524</t>
  </si>
  <si>
    <t xml:space="preserve">A-S-4525</t>
  </si>
  <si>
    <t xml:space="preserve">A-S-4526</t>
  </si>
  <si>
    <t xml:space="preserve">A-S-4527</t>
  </si>
  <si>
    <t xml:space="preserve">A-S-4528</t>
  </si>
  <si>
    <t xml:space="preserve">A-S-4529</t>
  </si>
  <si>
    <t xml:space="preserve">A-S-4530</t>
  </si>
  <si>
    <t xml:space="preserve">A-S-4531</t>
  </si>
  <si>
    <t xml:space="preserve">A-S-4532</t>
  </si>
  <si>
    <t xml:space="preserve">A-S-4533</t>
  </si>
  <si>
    <t xml:space="preserve">A-S-4534</t>
  </si>
  <si>
    <t xml:space="preserve">A-S-4535</t>
  </si>
  <si>
    <t xml:space="preserve">A-S-4536</t>
  </si>
  <si>
    <t xml:space="preserve">A-S-4537</t>
  </si>
  <si>
    <t xml:space="preserve">A-S-4538</t>
  </si>
  <si>
    <t xml:space="preserve">A-S-4539</t>
  </si>
  <si>
    <t xml:space="preserve">A-S-4540</t>
  </si>
  <si>
    <t xml:space="preserve">A-S-4541</t>
  </si>
  <si>
    <t xml:space="preserve">A-S-4542</t>
  </si>
  <si>
    <t xml:space="preserve">A-S-4543</t>
  </si>
  <si>
    <t xml:space="preserve">A-S-4544</t>
  </si>
  <si>
    <t xml:space="preserve">A-S-4545</t>
  </si>
  <si>
    <t xml:space="preserve">A-S-4546</t>
  </si>
  <si>
    <t xml:space="preserve">A-S-4547</t>
  </si>
  <si>
    <t xml:space="preserve">A-S-4548</t>
  </si>
  <si>
    <t xml:space="preserve">A-S-4549</t>
  </si>
  <si>
    <t xml:space="preserve">A-S-4550</t>
  </si>
  <si>
    <t xml:space="preserve">A-S-4551</t>
  </si>
  <si>
    <t xml:space="preserve">A-S-4552</t>
  </si>
  <si>
    <t xml:space="preserve">A-S-4553</t>
  </si>
  <si>
    <t xml:space="preserve">A-S-4554</t>
  </si>
  <si>
    <t xml:space="preserve">A-S-4555</t>
  </si>
  <si>
    <t xml:space="preserve">A-S-4556</t>
  </si>
  <si>
    <t xml:space="preserve">A-S-4557</t>
  </si>
  <si>
    <t xml:space="preserve">A-S-4558</t>
  </si>
  <si>
    <t xml:space="preserve">A-S-4559</t>
  </si>
  <si>
    <t xml:space="preserve">A-S-4560</t>
  </si>
  <si>
    <t xml:space="preserve">A-S-4561</t>
  </si>
  <si>
    <t xml:space="preserve">A-S-4562</t>
  </si>
  <si>
    <t xml:space="preserve">A-S-4563</t>
  </si>
  <si>
    <t xml:space="preserve">A-S-4564</t>
  </si>
  <si>
    <t xml:space="preserve">A-S-4565</t>
  </si>
  <si>
    <t xml:space="preserve">A-S-4566</t>
  </si>
  <si>
    <t xml:space="preserve">A-S-4567</t>
  </si>
  <si>
    <t xml:space="preserve">A-S-4568</t>
  </si>
  <si>
    <t xml:space="preserve">A-S-4569</t>
  </si>
  <si>
    <t xml:space="preserve">A-S-4570</t>
  </si>
  <si>
    <t xml:space="preserve">A-S-4571</t>
  </si>
  <si>
    <t xml:space="preserve">A-S-4572</t>
  </si>
  <si>
    <t xml:space="preserve">A-S-4573</t>
  </si>
  <si>
    <t xml:space="preserve">A-S-4574</t>
  </si>
  <si>
    <t xml:space="preserve">A-S-4575</t>
  </si>
  <si>
    <t xml:space="preserve">A-S-4576</t>
  </si>
  <si>
    <t xml:space="preserve">A-S-4577</t>
  </si>
  <si>
    <t xml:space="preserve">A-S-4578</t>
  </si>
  <si>
    <t xml:space="preserve">A-S-4579</t>
  </si>
  <si>
    <t xml:space="preserve">A-S-4580</t>
  </si>
  <si>
    <t xml:space="preserve">A-S-4581</t>
  </si>
  <si>
    <t xml:space="preserve">A-S-4582</t>
  </si>
  <si>
    <t xml:space="preserve">A-S-4583</t>
  </si>
  <si>
    <t xml:space="preserve">A-S-4584</t>
  </si>
  <si>
    <t xml:space="preserve">A-S-4585</t>
  </si>
  <si>
    <t xml:space="preserve">A-S-4586</t>
  </si>
  <si>
    <t xml:space="preserve">A-S-4587</t>
  </si>
  <si>
    <t xml:space="preserve">A-S-4588</t>
  </si>
  <si>
    <t xml:space="preserve">A-S-4589</t>
  </si>
  <si>
    <t xml:space="preserve">A-S-4590</t>
  </si>
  <si>
    <t xml:space="preserve">A-S-4591</t>
  </si>
  <si>
    <t xml:space="preserve">A-S-4592</t>
  </si>
  <si>
    <t xml:space="preserve">A-S-4593</t>
  </si>
  <si>
    <t xml:space="preserve">A-S-4594</t>
  </si>
  <si>
    <t xml:space="preserve">A-S-4595</t>
  </si>
  <si>
    <t xml:space="preserve">A-S-4596</t>
  </si>
  <si>
    <t xml:space="preserve">A-S-4597</t>
  </si>
  <si>
    <t xml:space="preserve">A-S-4598</t>
  </si>
  <si>
    <t xml:space="preserve">A-S-4599</t>
  </si>
  <si>
    <t xml:space="preserve">A-S-4600</t>
  </si>
  <si>
    <t xml:space="preserve">A-S-4601</t>
  </si>
  <si>
    <t xml:space="preserve">A-S-4602</t>
  </si>
  <si>
    <t xml:space="preserve">A-S-4603</t>
  </si>
  <si>
    <t xml:space="preserve">A-S-4604</t>
  </si>
  <si>
    <t xml:space="preserve">A-S-4605</t>
  </si>
  <si>
    <t xml:space="preserve">A-S-4606</t>
  </si>
  <si>
    <t xml:space="preserve">A-S-4607</t>
  </si>
  <si>
    <t xml:space="preserve">A-S-4608</t>
  </si>
  <si>
    <t xml:space="preserve">A-S-4609</t>
  </si>
  <si>
    <t xml:space="preserve">A-S-4610</t>
  </si>
  <si>
    <t xml:space="preserve">A-S-4611</t>
  </si>
  <si>
    <t xml:space="preserve">A-S-4612</t>
  </si>
  <si>
    <t xml:space="preserve">A-S-4613</t>
  </si>
  <si>
    <t xml:space="preserve">A-S-4614</t>
  </si>
  <si>
    <t xml:space="preserve">A-S-4615</t>
  </si>
  <si>
    <t xml:space="preserve">A-S-4616</t>
  </si>
  <si>
    <t xml:space="preserve">A-S-4617</t>
  </si>
  <si>
    <t xml:space="preserve">A-S-4618</t>
  </si>
  <si>
    <t xml:space="preserve">A-S-4619</t>
  </si>
  <si>
    <t xml:space="preserve">A-S-4620</t>
  </si>
  <si>
    <t xml:space="preserve">A-S-4621</t>
  </si>
  <si>
    <t xml:space="preserve">A-S-4622</t>
  </si>
  <si>
    <t xml:space="preserve">A-S-4623</t>
  </si>
  <si>
    <t xml:space="preserve">A-S-4624</t>
  </si>
  <si>
    <t xml:space="preserve">A-S-4625</t>
  </si>
  <si>
    <t xml:space="preserve">A-S-4626</t>
  </si>
  <si>
    <t xml:space="preserve">A-S-4627</t>
  </si>
  <si>
    <t xml:space="preserve">A-S-4628</t>
  </si>
  <si>
    <t xml:space="preserve">A-S-4629</t>
  </si>
  <si>
    <t xml:space="preserve">A-S-4630</t>
  </si>
  <si>
    <t xml:space="preserve">A-S-4631</t>
  </si>
  <si>
    <t xml:space="preserve">A-S-4632</t>
  </si>
  <si>
    <t xml:space="preserve">A-S-4633</t>
  </si>
  <si>
    <t xml:space="preserve">A-S-4634</t>
  </si>
  <si>
    <t xml:space="preserve">A-S-4635</t>
  </si>
  <si>
    <t xml:space="preserve">A-S-4636</t>
  </si>
  <si>
    <t xml:space="preserve">A-S-4637</t>
  </si>
  <si>
    <t xml:space="preserve">A-S-4638</t>
  </si>
  <si>
    <t xml:space="preserve">A-S-4639</t>
  </si>
  <si>
    <t xml:space="preserve">A-S-4640</t>
  </si>
  <si>
    <t xml:space="preserve">A-S-4641</t>
  </si>
  <si>
    <t xml:space="preserve">A-S-4642</t>
  </si>
  <si>
    <t xml:space="preserve">A-S-4643</t>
  </si>
  <si>
    <t xml:space="preserve">A-S-4644</t>
  </si>
  <si>
    <t xml:space="preserve">A-S-4645</t>
  </si>
  <si>
    <t xml:space="preserve">A-S-4646</t>
  </si>
  <si>
    <t xml:space="preserve">A-S-4647</t>
  </si>
  <si>
    <t xml:space="preserve">A-S-4648</t>
  </si>
  <si>
    <t xml:space="preserve">A-S-4649</t>
  </si>
  <si>
    <t xml:space="preserve">A-S-4650</t>
  </si>
  <si>
    <t xml:space="preserve">A-S-4651</t>
  </si>
  <si>
    <t xml:space="preserve">A-S-4652</t>
  </si>
  <si>
    <t xml:space="preserve">A-S-4653</t>
  </si>
  <si>
    <t xml:space="preserve">A-S-4654</t>
  </si>
  <si>
    <t xml:space="preserve">A-S-4655</t>
  </si>
  <si>
    <t xml:space="preserve">A-S-4656</t>
  </si>
  <si>
    <t xml:space="preserve">A-S-4657</t>
  </si>
  <si>
    <t xml:space="preserve">A-S-4658</t>
  </si>
  <si>
    <t xml:space="preserve">A-S-4659</t>
  </si>
  <si>
    <t xml:space="preserve">A-S-4660</t>
  </si>
  <si>
    <t xml:space="preserve">A-S-4661</t>
  </si>
  <si>
    <t xml:space="preserve">A-S-4662</t>
  </si>
  <si>
    <t xml:space="preserve">A-S-4663</t>
  </si>
  <si>
    <t xml:space="preserve">A-S-4664</t>
  </si>
  <si>
    <t xml:space="preserve">A-S-4665</t>
  </si>
  <si>
    <t xml:space="preserve">A-S-4666</t>
  </si>
  <si>
    <t xml:space="preserve">A-S-4667</t>
  </si>
  <si>
    <t xml:space="preserve">A-S-4668</t>
  </si>
  <si>
    <t xml:space="preserve">A-S-4669</t>
  </si>
  <si>
    <t xml:space="preserve">A-S-4670</t>
  </si>
  <si>
    <t xml:space="preserve">A-S-4671</t>
  </si>
  <si>
    <t xml:space="preserve">A-S-4672</t>
  </si>
  <si>
    <t xml:space="preserve">A-S-4673</t>
  </si>
  <si>
    <t xml:space="preserve">A-S-4674</t>
  </si>
  <si>
    <t xml:space="preserve">A-S-4675</t>
  </si>
  <si>
    <t xml:space="preserve">A-S-4676</t>
  </si>
  <si>
    <t xml:space="preserve">A-S-4677</t>
  </si>
  <si>
    <t xml:space="preserve">A-S-4678</t>
  </si>
  <si>
    <t xml:space="preserve">A-S-4679</t>
  </si>
  <si>
    <t xml:space="preserve">A-S-4680</t>
  </si>
  <si>
    <t xml:space="preserve">A-S-4681</t>
  </si>
  <si>
    <t xml:space="preserve">A-S-4682</t>
  </si>
  <si>
    <t xml:space="preserve">A-S-4683</t>
  </si>
  <si>
    <t xml:space="preserve">A-S-4684</t>
  </si>
  <si>
    <t xml:space="preserve">A-S-4685</t>
  </si>
  <si>
    <t xml:space="preserve">A-S-4686</t>
  </si>
  <si>
    <t xml:space="preserve">A-S-4687</t>
  </si>
  <si>
    <t xml:space="preserve">A-S-4688</t>
  </si>
  <si>
    <t xml:space="preserve">A-S-4689</t>
  </si>
  <si>
    <t xml:space="preserve">A-S-4690</t>
  </si>
  <si>
    <t xml:space="preserve">A-S-4691</t>
  </si>
  <si>
    <t xml:space="preserve">A-S-4692</t>
  </si>
  <si>
    <t xml:space="preserve">A-S-4693</t>
  </si>
  <si>
    <t xml:space="preserve">A-S-4694</t>
  </si>
  <si>
    <t xml:space="preserve">A-S-4695</t>
  </si>
  <si>
    <t xml:space="preserve">A-S-4696</t>
  </si>
  <si>
    <t xml:space="preserve">A-S-4697</t>
  </si>
  <si>
    <t xml:space="preserve">A-S-4698</t>
  </si>
  <si>
    <t xml:space="preserve">A-S-4699</t>
  </si>
  <si>
    <t xml:space="preserve">A-S-4700</t>
  </si>
  <si>
    <t xml:space="preserve">A-S-4701</t>
  </si>
  <si>
    <t xml:space="preserve">A-S-4702</t>
  </si>
  <si>
    <t xml:space="preserve">A-S-4703</t>
  </si>
  <si>
    <t xml:space="preserve">A-S-4704</t>
  </si>
  <si>
    <t xml:space="preserve">A-S-4705</t>
  </si>
  <si>
    <t xml:space="preserve">A-S-4706</t>
  </si>
  <si>
    <t xml:space="preserve">A-S-4707</t>
  </si>
  <si>
    <t xml:space="preserve">A-S-4708</t>
  </si>
  <si>
    <t xml:space="preserve">A-S-4709</t>
  </si>
  <si>
    <t xml:space="preserve">A-S-4710</t>
  </si>
  <si>
    <t xml:space="preserve">A-S-4711</t>
  </si>
  <si>
    <t xml:space="preserve">A-S-4712</t>
  </si>
  <si>
    <t xml:space="preserve">A-S-4713</t>
  </si>
  <si>
    <t xml:space="preserve">A-S-4714</t>
  </si>
  <si>
    <t xml:space="preserve">A-S-4715</t>
  </si>
  <si>
    <t xml:space="preserve">A-S-4716</t>
  </si>
  <si>
    <t xml:space="preserve">A-S-4717</t>
  </si>
  <si>
    <t xml:space="preserve">A-S-4718</t>
  </si>
  <si>
    <t xml:space="preserve">A-S-4719</t>
  </si>
  <si>
    <t xml:space="preserve">A-S-4720</t>
  </si>
  <si>
    <t xml:space="preserve">A-S-4721</t>
  </si>
  <si>
    <t xml:space="preserve">A-S-4722</t>
  </si>
  <si>
    <t xml:space="preserve">A-S-4723</t>
  </si>
  <si>
    <t xml:space="preserve">A-S-4724</t>
  </si>
  <si>
    <t xml:space="preserve">A-S-4725</t>
  </si>
  <si>
    <t xml:space="preserve">A-S-4726</t>
  </si>
  <si>
    <t xml:space="preserve">A-S-4727</t>
  </si>
  <si>
    <t xml:space="preserve">A-S-4728</t>
  </si>
  <si>
    <t xml:space="preserve">A-S-4729</t>
  </si>
  <si>
    <t xml:space="preserve">A-S-4730</t>
  </si>
  <si>
    <t xml:space="preserve">A-S-4731</t>
  </si>
  <si>
    <t xml:space="preserve">A-S-4732</t>
  </si>
  <si>
    <t xml:space="preserve">A-S-4733</t>
  </si>
  <si>
    <t xml:space="preserve">A-S-4734</t>
  </si>
  <si>
    <t xml:space="preserve">A-S-4735</t>
  </si>
  <si>
    <t xml:space="preserve">A-S-4736</t>
  </si>
  <si>
    <t xml:space="preserve">A-S-4737</t>
  </si>
  <si>
    <t xml:space="preserve">A-S-4738</t>
  </si>
  <si>
    <t xml:space="preserve">A-S-4739</t>
  </si>
  <si>
    <t xml:space="preserve">A-S-4740</t>
  </si>
  <si>
    <t xml:space="preserve">A-S-4741</t>
  </si>
  <si>
    <t xml:space="preserve">A-S-4742</t>
  </si>
  <si>
    <t xml:space="preserve">A-S-4743</t>
  </si>
  <si>
    <t xml:space="preserve">A-S-4744</t>
  </si>
  <si>
    <t xml:space="preserve">A-S-4745</t>
  </si>
  <si>
    <t xml:space="preserve">A-S-4746</t>
  </si>
  <si>
    <t xml:space="preserve">A-S-4747</t>
  </si>
  <si>
    <t xml:space="preserve">A-S-4748</t>
  </si>
  <si>
    <t xml:space="preserve">A-S-4749</t>
  </si>
  <si>
    <t xml:space="preserve">A-S-4750</t>
  </si>
  <si>
    <t xml:space="preserve">A-S-4751</t>
  </si>
  <si>
    <t xml:space="preserve">A-S-4752</t>
  </si>
  <si>
    <t xml:space="preserve">A-S-4753</t>
  </si>
  <si>
    <t xml:space="preserve">A-S-4754</t>
  </si>
  <si>
    <t xml:space="preserve">A-S-4755</t>
  </si>
  <si>
    <t xml:space="preserve">A-S-4756</t>
  </si>
  <si>
    <t xml:space="preserve">A-S-4757</t>
  </si>
  <si>
    <t xml:space="preserve">A-S-4758</t>
  </si>
  <si>
    <t xml:space="preserve">A-S-4759</t>
  </si>
  <si>
    <t xml:space="preserve">A-S-4760</t>
  </si>
  <si>
    <t xml:space="preserve">A-S-4761</t>
  </si>
  <si>
    <t xml:space="preserve">A-S-4762</t>
  </si>
  <si>
    <t xml:space="preserve">A-S-4763</t>
  </si>
  <si>
    <t xml:space="preserve">A-S-4764</t>
  </si>
  <si>
    <t xml:space="preserve">A-S-4765</t>
  </si>
  <si>
    <t xml:space="preserve">A-S-4766</t>
  </si>
  <si>
    <t xml:space="preserve">A-S-4767</t>
  </si>
  <si>
    <t xml:space="preserve">A-S-4768</t>
  </si>
  <si>
    <t xml:space="preserve">A-S-4769</t>
  </si>
  <si>
    <t xml:space="preserve">A-S-4770</t>
  </si>
  <si>
    <t xml:space="preserve">A-S-4771</t>
  </si>
  <si>
    <t xml:space="preserve">A-S-4772</t>
  </si>
  <si>
    <t xml:space="preserve">A-S-4773</t>
  </si>
  <si>
    <t xml:space="preserve">A-S-4774</t>
  </si>
  <si>
    <t xml:space="preserve">A-S-4775</t>
  </si>
  <si>
    <t xml:space="preserve">A-S-4776</t>
  </si>
  <si>
    <t xml:space="preserve">A-S-4777</t>
  </si>
  <si>
    <t xml:space="preserve">A-S-4778</t>
  </si>
  <si>
    <t xml:space="preserve">A-S-4779</t>
  </si>
  <si>
    <t xml:space="preserve">A-S-4780</t>
  </si>
  <si>
    <t xml:space="preserve">A-S-4781</t>
  </si>
  <si>
    <t xml:space="preserve">A-S-4782</t>
  </si>
  <si>
    <t xml:space="preserve">A-S-4783</t>
  </si>
  <si>
    <t xml:space="preserve">A-S-4784</t>
  </si>
  <si>
    <t xml:space="preserve">A-S-4785</t>
  </si>
  <si>
    <t xml:space="preserve">A-S-4786</t>
  </si>
  <si>
    <t xml:space="preserve">A-S-4787</t>
  </si>
  <si>
    <t xml:space="preserve">A-S-4788</t>
  </si>
  <si>
    <t xml:space="preserve">A-S-4789</t>
  </si>
  <si>
    <t xml:space="preserve">A-S-4790</t>
  </si>
  <si>
    <t xml:space="preserve">A-S-4791</t>
  </si>
  <si>
    <t xml:space="preserve">A-S-4792</t>
  </si>
  <si>
    <t xml:space="preserve">A-S-4793</t>
  </si>
  <si>
    <t xml:space="preserve">A-S-4794</t>
  </si>
  <si>
    <t xml:space="preserve">A-S-4795</t>
  </si>
  <si>
    <t xml:space="preserve">A-S-4796</t>
  </si>
  <si>
    <t xml:space="preserve">A-S-4797</t>
  </si>
  <si>
    <t xml:space="preserve">A-S-4798</t>
  </si>
  <si>
    <t xml:space="preserve">A-S-4799</t>
  </si>
  <si>
    <t xml:space="preserve">A-S-4800</t>
  </si>
  <si>
    <t xml:space="preserve">A-S-4801</t>
  </si>
  <si>
    <t xml:space="preserve">A-S-4802</t>
  </si>
  <si>
    <t xml:space="preserve">A-S-4803</t>
  </si>
  <si>
    <t xml:space="preserve">A-S-4804</t>
  </si>
  <si>
    <t xml:space="preserve">A-S-4805</t>
  </si>
  <si>
    <t xml:space="preserve">A-S-4806</t>
  </si>
  <si>
    <t xml:space="preserve">A-S-4807</t>
  </si>
  <si>
    <t xml:space="preserve">A-S-4808</t>
  </si>
  <si>
    <t xml:space="preserve">A-S-4809</t>
  </si>
  <si>
    <t xml:space="preserve">A-S-4810</t>
  </si>
  <si>
    <t xml:space="preserve">A-S-4811</t>
  </si>
  <si>
    <t xml:space="preserve">A-S-4812</t>
  </si>
  <si>
    <t xml:space="preserve">A-S-4813</t>
  </si>
  <si>
    <t xml:space="preserve">A-S-4814</t>
  </si>
  <si>
    <t xml:space="preserve">A-S-4815</t>
  </si>
  <si>
    <t xml:space="preserve">A-S-4816</t>
  </si>
  <si>
    <t xml:space="preserve">A-S-4817</t>
  </si>
  <si>
    <t xml:space="preserve">A-S-4818</t>
  </si>
  <si>
    <t xml:space="preserve">A-S-4819</t>
  </si>
  <si>
    <t xml:space="preserve">A-S-4820</t>
  </si>
  <si>
    <t xml:space="preserve">A-S-4821</t>
  </si>
  <si>
    <t xml:space="preserve">A-S-4822</t>
  </si>
  <si>
    <t xml:space="preserve">A-S-4823</t>
  </si>
  <si>
    <t xml:space="preserve">A-S-4824</t>
  </si>
  <si>
    <t xml:space="preserve">A-S-4825</t>
  </si>
  <si>
    <t xml:space="preserve">A-S-4826</t>
  </si>
  <si>
    <t xml:space="preserve">A-S-4827</t>
  </si>
  <si>
    <t xml:space="preserve">A-S-4828</t>
  </si>
  <si>
    <t xml:space="preserve">A-S-4829</t>
  </si>
  <si>
    <t xml:space="preserve">A-S-4830</t>
  </si>
  <si>
    <t xml:space="preserve">A-S-4831</t>
  </si>
  <si>
    <t xml:space="preserve">A-S-4832</t>
  </si>
  <si>
    <t xml:space="preserve">A-S-4833</t>
  </si>
  <si>
    <t xml:space="preserve">A-S-4834</t>
  </si>
  <si>
    <t xml:space="preserve">A-S-4835</t>
  </si>
  <si>
    <t xml:space="preserve">A-S-4836</t>
  </si>
  <si>
    <t xml:space="preserve">A-S-4837</t>
  </si>
  <si>
    <t xml:space="preserve">A-S-4838</t>
  </si>
  <si>
    <t xml:space="preserve">A-S-4839</t>
  </si>
  <si>
    <t xml:space="preserve">A-S-4840</t>
  </si>
  <si>
    <t xml:space="preserve">A-S-4841</t>
  </si>
  <si>
    <t xml:space="preserve">A-S-4842</t>
  </si>
  <si>
    <t xml:space="preserve">A-S-4843</t>
  </si>
  <si>
    <t xml:space="preserve">A-S-4844</t>
  </si>
  <si>
    <t xml:space="preserve">A-S-4845</t>
  </si>
  <si>
    <t xml:space="preserve">A-S-4846</t>
  </si>
  <si>
    <t xml:space="preserve">A-S-4847</t>
  </si>
  <si>
    <t xml:space="preserve">A-S-4848</t>
  </si>
  <si>
    <t xml:space="preserve">A-S-4849</t>
  </si>
  <si>
    <t xml:space="preserve">A-S-4850</t>
  </si>
  <si>
    <t xml:space="preserve">A-S-4851</t>
  </si>
  <si>
    <t xml:space="preserve">A-S-4852</t>
  </si>
  <si>
    <t xml:space="preserve">A-S-4853</t>
  </si>
  <si>
    <t xml:space="preserve">A-S-4854</t>
  </si>
  <si>
    <t xml:space="preserve">A-S-4855</t>
  </si>
  <si>
    <t xml:space="preserve">A-S-4856</t>
  </si>
  <si>
    <t xml:space="preserve">A-S-4857</t>
  </si>
  <si>
    <t xml:space="preserve">A-S-4858</t>
  </si>
  <si>
    <t xml:space="preserve">A-S-4859</t>
  </si>
  <si>
    <t xml:space="preserve">A-S-4860</t>
  </si>
  <si>
    <t xml:space="preserve">A-S-4861</t>
  </si>
  <si>
    <t xml:space="preserve">A-S-4862</t>
  </si>
  <si>
    <t xml:space="preserve">A-S-4863</t>
  </si>
  <si>
    <t xml:space="preserve">A-S-4864</t>
  </si>
  <si>
    <t xml:space="preserve">A-S-4865</t>
  </si>
  <si>
    <t xml:space="preserve">A-S-4866</t>
  </si>
  <si>
    <t xml:space="preserve">A-S-4867</t>
  </si>
  <si>
    <t xml:space="preserve">A-S-4868</t>
  </si>
  <si>
    <t xml:space="preserve">A-S-4869</t>
  </si>
  <si>
    <t xml:space="preserve">A-S-4870</t>
  </si>
  <si>
    <t xml:space="preserve">A-S-4871</t>
  </si>
  <si>
    <t xml:space="preserve">A-S-4872</t>
  </si>
  <si>
    <t xml:space="preserve">A-S-4873</t>
  </si>
  <si>
    <t xml:space="preserve">A-S-4874</t>
  </si>
  <si>
    <t xml:space="preserve">A-S-4875</t>
  </si>
  <si>
    <t xml:space="preserve">A-S-4876</t>
  </si>
  <si>
    <t xml:space="preserve">A-S-4877</t>
  </si>
  <si>
    <t xml:space="preserve">A-S-4878</t>
  </si>
  <si>
    <t xml:space="preserve">A-S-4879</t>
  </si>
  <si>
    <t xml:space="preserve">A-S-4880</t>
  </si>
  <si>
    <t xml:space="preserve">A-S-4881</t>
  </si>
  <si>
    <t xml:space="preserve">A-S-4882</t>
  </si>
  <si>
    <t xml:space="preserve">A-S-4883</t>
  </si>
  <si>
    <t xml:space="preserve">A-S-4884</t>
  </si>
  <si>
    <t xml:space="preserve">A-S-4885</t>
  </si>
  <si>
    <t xml:space="preserve">A-S-4886</t>
  </si>
  <si>
    <t xml:space="preserve">A-S-4887</t>
  </si>
  <si>
    <t xml:space="preserve">A-S-4888</t>
  </si>
  <si>
    <t xml:space="preserve">A-S-4889</t>
  </si>
  <si>
    <t xml:space="preserve">A-S-4890</t>
  </si>
  <si>
    <t xml:space="preserve">A-S-4891</t>
  </si>
  <si>
    <t xml:space="preserve">A-S-4892</t>
  </si>
  <si>
    <t xml:space="preserve">A-S-4893</t>
  </si>
  <si>
    <t xml:space="preserve">A-S-4894</t>
  </si>
  <si>
    <t xml:space="preserve">A-S-4895</t>
  </si>
  <si>
    <t xml:space="preserve">A-S-4896</t>
  </si>
  <si>
    <t xml:space="preserve">A-S-4897</t>
  </si>
  <si>
    <t xml:space="preserve">A-S-4898</t>
  </si>
  <si>
    <t xml:space="preserve">A-S-4899</t>
  </si>
  <si>
    <t xml:space="preserve">A-S-4900</t>
  </si>
  <si>
    <t xml:space="preserve">A-S-4901</t>
  </si>
  <si>
    <t xml:space="preserve">A-S-4902</t>
  </si>
  <si>
    <t xml:space="preserve">A-S-4903</t>
  </si>
  <si>
    <t xml:space="preserve">A-S-4904</t>
  </si>
  <si>
    <t xml:space="preserve">A-S-4905</t>
  </si>
  <si>
    <t xml:space="preserve">A-S-4906</t>
  </si>
  <si>
    <t xml:space="preserve">A-S-4907</t>
  </si>
  <si>
    <t xml:space="preserve">A-S-4908</t>
  </si>
  <si>
    <t xml:space="preserve">A-S-4909</t>
  </si>
  <si>
    <t xml:space="preserve">A-S-4910</t>
  </si>
  <si>
    <t xml:space="preserve">A-S-4911</t>
  </si>
  <si>
    <t xml:space="preserve">A-S-4912</t>
  </si>
  <si>
    <t xml:space="preserve">A-S-4913</t>
  </si>
  <si>
    <t xml:space="preserve">A-S-4914</t>
  </si>
  <si>
    <t xml:space="preserve">A-S-4915</t>
  </si>
  <si>
    <t xml:space="preserve">A-S-4916</t>
  </si>
  <si>
    <t xml:space="preserve">A-S-4917</t>
  </si>
  <si>
    <t xml:space="preserve">A-S-4918</t>
  </si>
  <si>
    <t xml:space="preserve">A-S-4919</t>
  </si>
  <si>
    <t xml:space="preserve">A-S-4920</t>
  </si>
  <si>
    <t xml:space="preserve">A-S-4921</t>
  </si>
  <si>
    <t xml:space="preserve">A-S-4922</t>
  </si>
  <si>
    <t xml:space="preserve">A-S-4923</t>
  </si>
  <si>
    <t xml:space="preserve">A-S-4924</t>
  </si>
  <si>
    <t xml:space="preserve">A-S-4925</t>
  </si>
  <si>
    <t xml:space="preserve">A-S-4926</t>
  </si>
  <si>
    <t xml:space="preserve">A-S-4927</t>
  </si>
  <si>
    <t xml:space="preserve">A-S-4928</t>
  </si>
  <si>
    <t xml:space="preserve">A-S-4929</t>
  </si>
  <si>
    <t xml:space="preserve">A-S-4930</t>
  </si>
  <si>
    <t xml:space="preserve">A-S-4931</t>
  </si>
  <si>
    <t xml:space="preserve">A-S-4932</t>
  </si>
  <si>
    <t xml:space="preserve">A-S-4933</t>
  </si>
  <si>
    <t xml:space="preserve">A-S-4934</t>
  </si>
  <si>
    <t xml:space="preserve">A-S-4935</t>
  </si>
  <si>
    <t xml:space="preserve">A-S-4936</t>
  </si>
  <si>
    <t xml:space="preserve">A-S-4937</t>
  </si>
  <si>
    <t xml:space="preserve">A-S-4938</t>
  </si>
  <si>
    <t xml:space="preserve">A-S-4939</t>
  </si>
  <si>
    <t xml:space="preserve">A-S-4940</t>
  </si>
  <si>
    <t xml:space="preserve">A-S-4941</t>
  </si>
  <si>
    <t xml:space="preserve">A-S-4942</t>
  </si>
  <si>
    <t xml:space="preserve">A-S-4943</t>
  </si>
  <si>
    <t xml:space="preserve">A-S-4944</t>
  </si>
  <si>
    <t xml:space="preserve">A-S-4945</t>
  </si>
  <si>
    <t xml:space="preserve">A-S-4946</t>
  </si>
  <si>
    <t xml:space="preserve">A-S-4947</t>
  </si>
  <si>
    <t xml:space="preserve">A-S-4948</t>
  </si>
  <si>
    <t xml:space="preserve">A-S-4949</t>
  </si>
  <si>
    <t xml:space="preserve">A-S-4950</t>
  </si>
  <si>
    <t xml:space="preserve">A-S-4951</t>
  </si>
  <si>
    <t xml:space="preserve">A-S-4952</t>
  </si>
  <si>
    <t xml:space="preserve">A-S-4953</t>
  </si>
  <si>
    <t xml:space="preserve">A-S-4954</t>
  </si>
  <si>
    <t xml:space="preserve">A-S-4955</t>
  </si>
  <si>
    <t xml:space="preserve">A-S-4956</t>
  </si>
  <si>
    <t xml:space="preserve">A-S-4957</t>
  </si>
  <si>
    <t xml:space="preserve">A-S-4958</t>
  </si>
  <si>
    <t xml:space="preserve">A-S-4959</t>
  </si>
  <si>
    <t xml:space="preserve">A-S-4960</t>
  </si>
  <si>
    <t xml:space="preserve">A-S-4961</t>
  </si>
  <si>
    <t xml:space="preserve">A-S-4962</t>
  </si>
  <si>
    <t xml:space="preserve">A-S-4963</t>
  </si>
  <si>
    <t xml:space="preserve">A-S-4964</t>
  </si>
  <si>
    <t xml:space="preserve">A-S-4965</t>
  </si>
  <si>
    <t xml:space="preserve">A-S-4966</t>
  </si>
  <si>
    <t xml:space="preserve">A-S-4967</t>
  </si>
  <si>
    <t xml:space="preserve">A-S-4968</t>
  </si>
  <si>
    <t xml:space="preserve">A-S-4969</t>
  </si>
  <si>
    <t xml:space="preserve">A-S-4970</t>
  </si>
  <si>
    <t xml:space="preserve">A-S-4971</t>
  </si>
  <si>
    <t xml:space="preserve">A-S-4972</t>
  </si>
  <si>
    <t xml:space="preserve">A-S-4973</t>
  </si>
  <si>
    <t xml:space="preserve">A-S-4974</t>
  </si>
  <si>
    <t xml:space="preserve">A-S-4975</t>
  </si>
  <si>
    <t xml:space="preserve">A-S-4976</t>
  </si>
  <si>
    <t xml:space="preserve">A-S-4977</t>
  </si>
  <si>
    <t xml:space="preserve">A-S-4978</t>
  </si>
  <si>
    <t xml:space="preserve">A-S-4979</t>
  </si>
  <si>
    <t xml:space="preserve">A-S-4980</t>
  </si>
  <si>
    <t xml:space="preserve">A-S-4981</t>
  </si>
  <si>
    <t xml:space="preserve">A-S-4982</t>
  </si>
  <si>
    <t xml:space="preserve">A-S-4983</t>
  </si>
  <si>
    <t xml:space="preserve">A-S-4984</t>
  </si>
  <si>
    <t xml:space="preserve">A-S-4985</t>
  </si>
  <si>
    <t xml:space="preserve">A-S-4986</t>
  </si>
  <si>
    <t xml:space="preserve">A-S-4987</t>
  </si>
  <si>
    <t xml:space="preserve">A-S-4988</t>
  </si>
  <si>
    <t xml:space="preserve">A-S-4989</t>
  </si>
  <si>
    <t xml:space="preserve">A-S-4990</t>
  </si>
  <si>
    <t xml:space="preserve">A-S-4991</t>
  </si>
  <si>
    <t xml:space="preserve">A-S-4992</t>
  </si>
  <si>
    <t xml:space="preserve">A-S-4993</t>
  </si>
  <si>
    <t xml:space="preserve">A-S-4994</t>
  </si>
  <si>
    <t xml:space="preserve">A-S-4995</t>
  </si>
  <si>
    <t xml:space="preserve">A-S-4996</t>
  </si>
  <si>
    <t xml:space="preserve">A-S-4997</t>
  </si>
  <si>
    <t xml:space="preserve">A-S-4998</t>
  </si>
  <si>
    <t xml:space="preserve">A-S-4999</t>
  </si>
  <si>
    <t xml:space="preserve">A-S-5000</t>
  </si>
  <si>
    <t xml:space="preserve">A-S-5001</t>
  </si>
  <si>
    <t xml:space="preserve">A-S-5002</t>
  </si>
  <si>
    <t xml:space="preserve">A-S-5003</t>
  </si>
  <si>
    <t xml:space="preserve">A-S-5004</t>
  </si>
  <si>
    <t xml:space="preserve">A-S-5005</t>
  </si>
  <si>
    <t xml:space="preserve">A-S-5006</t>
  </si>
  <si>
    <t xml:space="preserve">A-S-5007</t>
  </si>
  <si>
    <t xml:space="preserve">A-S-5008</t>
  </si>
  <si>
    <t xml:space="preserve">A-S-5009</t>
  </si>
  <si>
    <t xml:space="preserve">A-S-5010</t>
  </si>
  <si>
    <t xml:space="preserve">A-S-5011</t>
  </si>
  <si>
    <t xml:space="preserve">A-S-5012</t>
  </si>
  <si>
    <t xml:space="preserve">A-S-5013</t>
  </si>
  <si>
    <t xml:space="preserve">A-S-5014</t>
  </si>
  <si>
    <t xml:space="preserve">A-S-5015</t>
  </si>
  <si>
    <t xml:space="preserve">A-S-5016</t>
  </si>
  <si>
    <t xml:space="preserve">A-S-5017</t>
  </si>
  <si>
    <t xml:space="preserve">A-S-5018</t>
  </si>
  <si>
    <t xml:space="preserve">A-S-5019</t>
  </si>
  <si>
    <t xml:space="preserve">A-S-5020</t>
  </si>
  <si>
    <t xml:space="preserve">A-S-5021</t>
  </si>
  <si>
    <t xml:space="preserve">A-S-5022</t>
  </si>
  <si>
    <t xml:space="preserve">A-S-5023</t>
  </si>
  <si>
    <t xml:space="preserve">A-S-5024</t>
  </si>
  <si>
    <t xml:space="preserve">A-S-5025</t>
  </si>
  <si>
    <t xml:space="preserve">A-S-5026</t>
  </si>
  <si>
    <t xml:space="preserve">A-S-5027</t>
  </si>
  <si>
    <t xml:space="preserve">A-S-5028</t>
  </si>
  <si>
    <t xml:space="preserve">A-S-5029</t>
  </si>
  <si>
    <t xml:space="preserve">A-S-5030</t>
  </si>
  <si>
    <t xml:space="preserve">A-S-5031</t>
  </si>
  <si>
    <t xml:space="preserve">A-S-5032</t>
  </si>
  <si>
    <t xml:space="preserve">A-S-5033</t>
  </si>
  <si>
    <t xml:space="preserve">A-S-5034</t>
  </si>
  <si>
    <t xml:space="preserve">A-S-5035</t>
  </si>
  <si>
    <t xml:space="preserve">A-S-5036</t>
  </si>
  <si>
    <t xml:space="preserve">A-S-5037</t>
  </si>
  <si>
    <t xml:space="preserve">A-S-5038</t>
  </si>
  <si>
    <t xml:space="preserve">A-S-5039</t>
  </si>
  <si>
    <t xml:space="preserve">A-S-5040</t>
  </si>
  <si>
    <t xml:space="preserve">A-S-5041</t>
  </si>
  <si>
    <t xml:space="preserve">A-S-5042</t>
  </si>
  <si>
    <t xml:space="preserve">A-S-5043</t>
  </si>
  <si>
    <t xml:space="preserve">A-S-5044</t>
  </si>
  <si>
    <t xml:space="preserve">A-S-5045</t>
  </si>
  <si>
    <t xml:space="preserve">A-S-5046</t>
  </si>
  <si>
    <t xml:space="preserve">A-S-5047</t>
  </si>
  <si>
    <t xml:space="preserve">A-S-5048</t>
  </si>
  <si>
    <t xml:space="preserve">A-S-5049</t>
  </si>
  <si>
    <t xml:space="preserve">A-S-5050</t>
  </si>
  <si>
    <t xml:space="preserve">A-S-5051</t>
  </si>
  <si>
    <t xml:space="preserve">A-S-5052</t>
  </si>
  <si>
    <t xml:space="preserve">A-S-5053</t>
  </si>
  <si>
    <t xml:space="preserve">A-S-5054</t>
  </si>
  <si>
    <t xml:space="preserve">A-S-5055</t>
  </si>
  <si>
    <t xml:space="preserve">A-S-5056</t>
  </si>
  <si>
    <t xml:space="preserve">A-S-5057</t>
  </si>
  <si>
    <t xml:space="preserve">A-S-5058</t>
  </si>
  <si>
    <t xml:space="preserve">A-S-5059</t>
  </si>
  <si>
    <t xml:space="preserve">A-S-5060</t>
  </si>
  <si>
    <t xml:space="preserve">A-S-5061</t>
  </si>
  <si>
    <t xml:space="preserve">A-S-5062</t>
  </si>
  <si>
    <t xml:space="preserve">A-S-5063</t>
  </si>
  <si>
    <t xml:space="preserve">A-S-5064</t>
  </si>
  <si>
    <t xml:space="preserve">A-S-5065</t>
  </si>
  <si>
    <t xml:space="preserve">A-S-5066</t>
  </si>
  <si>
    <t xml:space="preserve">A-S-5067</t>
  </si>
  <si>
    <t xml:space="preserve">A-S-5068</t>
  </si>
  <si>
    <t xml:space="preserve">A-S-5069</t>
  </si>
  <si>
    <t xml:space="preserve">A-S-5070</t>
  </si>
  <si>
    <t xml:space="preserve">A-S-5071</t>
  </si>
  <si>
    <t xml:space="preserve">A-S-5072</t>
  </si>
  <si>
    <t xml:space="preserve">A-S-5073</t>
  </si>
  <si>
    <t xml:space="preserve">A-S-5074</t>
  </si>
  <si>
    <t xml:space="preserve">A-S-5075</t>
  </si>
  <si>
    <t xml:space="preserve">A-S-5076</t>
  </si>
  <si>
    <t xml:space="preserve">A-S-5077</t>
  </si>
  <si>
    <t xml:space="preserve">A-S-5078</t>
  </si>
  <si>
    <t xml:space="preserve">A-S-5079</t>
  </si>
  <si>
    <t xml:space="preserve">A-S-5080</t>
  </si>
  <si>
    <t xml:space="preserve">A-S-5081</t>
  </si>
  <si>
    <t xml:space="preserve">A-S-5082</t>
  </si>
  <si>
    <t xml:space="preserve">A-S-5083</t>
  </si>
  <si>
    <t xml:space="preserve">A-S-5084</t>
  </si>
  <si>
    <t xml:space="preserve">A-S-5085</t>
  </si>
  <si>
    <t xml:space="preserve">A-S-5086</t>
  </si>
  <si>
    <t xml:space="preserve">A-S-5087</t>
  </si>
  <si>
    <t xml:space="preserve">A-S-5088</t>
  </si>
  <si>
    <t xml:space="preserve">A-S-5089</t>
  </si>
  <si>
    <t xml:space="preserve">A-S-5090</t>
  </si>
  <si>
    <t xml:space="preserve">A-S-5091</t>
  </si>
  <si>
    <t xml:space="preserve">A-S-5092</t>
  </si>
  <si>
    <t xml:space="preserve">A-S-5093</t>
  </si>
  <si>
    <t xml:space="preserve">A-S-5094</t>
  </si>
  <si>
    <t xml:space="preserve">A-S-5095</t>
  </si>
  <si>
    <t xml:space="preserve">A-S-5096</t>
  </si>
  <si>
    <t xml:space="preserve">A-S-5097</t>
  </si>
  <si>
    <t xml:space="preserve">A-S-5098</t>
  </si>
  <si>
    <t xml:space="preserve">A-S-5099</t>
  </si>
  <si>
    <t xml:space="preserve">A-S-5100</t>
  </si>
  <si>
    <t xml:space="preserve">A-S-5101</t>
  </si>
  <si>
    <t xml:space="preserve">A-S-5102</t>
  </si>
  <si>
    <t xml:space="preserve">A-S-5103</t>
  </si>
  <si>
    <t xml:space="preserve">A-S-5104</t>
  </si>
  <si>
    <t xml:space="preserve">A-S-5105</t>
  </si>
  <si>
    <t xml:space="preserve">A-S-5106</t>
  </si>
  <si>
    <t xml:space="preserve">A-S-5107</t>
  </si>
  <si>
    <t xml:space="preserve">A-S-5108</t>
  </si>
  <si>
    <t xml:space="preserve">A-S-5109</t>
  </si>
  <si>
    <t xml:space="preserve">A-S-5110</t>
  </si>
  <si>
    <t xml:space="preserve">A-S-5111</t>
  </si>
  <si>
    <t xml:space="preserve">A-S-5112</t>
  </si>
  <si>
    <t xml:space="preserve">A-S-5113</t>
  </si>
  <si>
    <t xml:space="preserve">A-S-5114</t>
  </si>
  <si>
    <t xml:space="preserve">A-S-5115</t>
  </si>
  <si>
    <t xml:space="preserve">A-S-5116</t>
  </si>
  <si>
    <t xml:space="preserve">A-S-5117</t>
  </si>
  <si>
    <t xml:space="preserve">A-S-5118</t>
  </si>
  <si>
    <t xml:space="preserve">A-S-5119</t>
  </si>
  <si>
    <t xml:space="preserve">A-S-5120</t>
  </si>
  <si>
    <t xml:space="preserve">A-S-5121</t>
  </si>
  <si>
    <t xml:space="preserve">A-S-5122</t>
  </si>
  <si>
    <t xml:space="preserve">A-S-5123</t>
  </si>
  <si>
    <t xml:space="preserve">A-S-5124</t>
  </si>
  <si>
    <t xml:space="preserve">A-S-5125</t>
  </si>
  <si>
    <t xml:space="preserve">A-S-5126</t>
  </si>
  <si>
    <t xml:space="preserve">A-S-5127</t>
  </si>
  <si>
    <t xml:space="preserve">A-S-5128</t>
  </si>
  <si>
    <t xml:space="preserve">A-S-5129</t>
  </si>
  <si>
    <t xml:space="preserve">A-S-5130</t>
  </si>
  <si>
    <t xml:space="preserve">A-S-5131</t>
  </si>
  <si>
    <t xml:space="preserve">A-S-5132</t>
  </si>
  <si>
    <t xml:space="preserve">A-S-5133</t>
  </si>
  <si>
    <t xml:space="preserve">A-S-5134</t>
  </si>
  <si>
    <t xml:space="preserve">A-S-5135</t>
  </si>
  <si>
    <t xml:space="preserve">A-S-5136</t>
  </si>
  <si>
    <t xml:space="preserve">A-S-5137</t>
  </si>
  <si>
    <t xml:space="preserve">A-S-5138</t>
  </si>
  <si>
    <t xml:space="preserve">A-S-5139</t>
  </si>
  <si>
    <t xml:space="preserve">A-S-5140</t>
  </si>
  <si>
    <t xml:space="preserve">A-S-5141</t>
  </si>
  <si>
    <t xml:space="preserve">A-S-5142</t>
  </si>
  <si>
    <t xml:space="preserve">A-S-5143</t>
  </si>
  <si>
    <t xml:space="preserve">A-S-5144</t>
  </si>
  <si>
    <t xml:space="preserve">A-S-5145</t>
  </si>
  <si>
    <t xml:space="preserve">A-S-5146</t>
  </si>
  <si>
    <t xml:space="preserve">A-S-5147</t>
  </si>
  <si>
    <t xml:space="preserve">A-S-5148</t>
  </si>
  <si>
    <t xml:space="preserve">A-S-5149</t>
  </si>
  <si>
    <t xml:space="preserve">A-S-5150</t>
  </si>
  <si>
    <t xml:space="preserve">A-S-5151</t>
  </si>
  <si>
    <t xml:space="preserve">A-S-5152</t>
  </si>
  <si>
    <t xml:space="preserve">A-S-5153</t>
  </si>
  <si>
    <t xml:space="preserve">A-S-5154</t>
  </si>
  <si>
    <t xml:space="preserve">A-S-5155</t>
  </si>
  <si>
    <t xml:space="preserve">A-S-5156</t>
  </si>
  <si>
    <t xml:space="preserve">A-S-5157</t>
  </si>
  <si>
    <t xml:space="preserve">A-S-5158</t>
  </si>
  <si>
    <t xml:space="preserve">A-S-5159</t>
  </si>
  <si>
    <t xml:space="preserve">A-S-5160</t>
  </si>
  <si>
    <t xml:space="preserve">A-S-5161</t>
  </si>
  <si>
    <t xml:space="preserve">A-S-5162</t>
  </si>
  <si>
    <t xml:space="preserve">A-S-5163</t>
  </si>
  <si>
    <t xml:space="preserve">A-S-5164</t>
  </si>
  <si>
    <t xml:space="preserve">A-S-5165</t>
  </si>
  <si>
    <t xml:space="preserve">A-S-5166</t>
  </si>
  <si>
    <t xml:space="preserve">A-S-5167</t>
  </si>
  <si>
    <t xml:space="preserve">A-S-5168</t>
  </si>
  <si>
    <t xml:space="preserve">A-S-5169</t>
  </si>
  <si>
    <t xml:space="preserve">A-S-5170</t>
  </si>
  <si>
    <t xml:space="preserve">A-S-5171</t>
  </si>
  <si>
    <t xml:space="preserve">A-S-5172</t>
  </si>
  <si>
    <t xml:space="preserve">A-S-5173</t>
  </si>
  <si>
    <t xml:space="preserve">A-S-5174</t>
  </si>
  <si>
    <t xml:space="preserve">A-S-5175</t>
  </si>
  <si>
    <t xml:space="preserve">A-S-5176</t>
  </si>
  <si>
    <t xml:space="preserve">A-S-5177</t>
  </si>
  <si>
    <t xml:space="preserve">A-S-5178</t>
  </si>
  <si>
    <t xml:space="preserve">A-S-5179</t>
  </si>
  <si>
    <t xml:space="preserve">A-S-5180</t>
  </si>
  <si>
    <t xml:space="preserve">A-S-5181</t>
  </si>
  <si>
    <t xml:space="preserve">A-S-5182</t>
  </si>
  <si>
    <t xml:space="preserve">A-S-5183</t>
  </si>
  <si>
    <t xml:space="preserve">A-S-5184</t>
  </si>
  <si>
    <t xml:space="preserve">A-S-5185</t>
  </si>
  <si>
    <t xml:space="preserve">A-S-5186</t>
  </si>
  <si>
    <t xml:space="preserve">A-S-5187</t>
  </si>
  <si>
    <t xml:space="preserve">A-S-5188</t>
  </si>
  <si>
    <t xml:space="preserve">A-S-5189</t>
  </si>
  <si>
    <t xml:space="preserve">A-S-5190</t>
  </si>
  <si>
    <t xml:space="preserve">A-S-5191</t>
  </si>
  <si>
    <t xml:space="preserve">A-S-5192</t>
  </si>
  <si>
    <t xml:space="preserve">A-S-5193</t>
  </si>
  <si>
    <t xml:space="preserve">A-S-5194</t>
  </si>
  <si>
    <t xml:space="preserve">A-S-5195</t>
  </si>
  <si>
    <t xml:space="preserve">A-S-5196</t>
  </si>
  <si>
    <t xml:space="preserve">A-S-5197</t>
  </si>
  <si>
    <t xml:space="preserve">A-S-5198</t>
  </si>
  <si>
    <t xml:space="preserve">A-S-5199</t>
  </si>
  <si>
    <t xml:space="preserve">A-S-5200</t>
  </si>
  <si>
    <t xml:space="preserve">A-S-5201</t>
  </si>
  <si>
    <t xml:space="preserve">A-S-5202</t>
  </si>
  <si>
    <t xml:space="preserve">A-S-5203</t>
  </si>
  <si>
    <t xml:space="preserve">A-S-5204</t>
  </si>
  <si>
    <t xml:space="preserve">A-S-5205</t>
  </si>
  <si>
    <t xml:space="preserve">A-S-5206</t>
  </si>
  <si>
    <t xml:space="preserve">A-S-5207</t>
  </si>
  <si>
    <t xml:space="preserve">A-S-5208</t>
  </si>
  <si>
    <t xml:space="preserve">A-S-5209</t>
  </si>
  <si>
    <t xml:space="preserve">A-S-5210</t>
  </si>
  <si>
    <t xml:space="preserve">A-S-5211</t>
  </si>
  <si>
    <t xml:space="preserve">A-S-5212</t>
  </si>
  <si>
    <t xml:space="preserve">A-S-5213</t>
  </si>
  <si>
    <t xml:space="preserve">A-S-5214</t>
  </si>
  <si>
    <t xml:space="preserve">A-S-5215</t>
  </si>
  <si>
    <t xml:space="preserve">A-S-5216</t>
  </si>
  <si>
    <t xml:space="preserve">A-S-5217</t>
  </si>
  <si>
    <t xml:space="preserve">A-S-5218</t>
  </si>
  <si>
    <t xml:space="preserve">A-S-5219</t>
  </si>
  <si>
    <t xml:space="preserve">A-S-5220</t>
  </si>
  <si>
    <t xml:space="preserve">A-S-5221</t>
  </si>
  <si>
    <t xml:space="preserve">A-S-5222</t>
  </si>
  <si>
    <t xml:space="preserve">A-S-5223</t>
  </si>
  <si>
    <t xml:space="preserve">A-S-5224</t>
  </si>
  <si>
    <t xml:space="preserve">A-S-5225</t>
  </si>
  <si>
    <t xml:space="preserve">A-S-5226</t>
  </si>
  <si>
    <t xml:space="preserve">A-S-5227</t>
  </si>
  <si>
    <t xml:space="preserve">A-S-5228</t>
  </si>
  <si>
    <t xml:space="preserve">A-S-5229</t>
  </si>
  <si>
    <t xml:space="preserve">A-S-5230</t>
  </si>
  <si>
    <t xml:space="preserve">A-S-5231</t>
  </si>
  <si>
    <t xml:space="preserve">A-S-5232</t>
  </si>
  <si>
    <t xml:space="preserve">A-S-5233</t>
  </si>
  <si>
    <t xml:space="preserve">A-S-5234</t>
  </si>
  <si>
    <t xml:space="preserve">A-S-5235</t>
  </si>
  <si>
    <t xml:space="preserve">A-S-5236</t>
  </si>
  <si>
    <t xml:space="preserve">A-S-5237</t>
  </si>
  <si>
    <t xml:space="preserve">A-S-5238</t>
  </si>
  <si>
    <t xml:space="preserve">A-S-5239</t>
  </si>
  <si>
    <t xml:space="preserve">A-S-5240</t>
  </si>
  <si>
    <t xml:space="preserve">A-S-5241</t>
  </si>
  <si>
    <t xml:space="preserve">A-S-5242</t>
  </si>
  <si>
    <t xml:space="preserve">A-S-5243</t>
  </si>
  <si>
    <t xml:space="preserve">A-S-5244</t>
  </si>
  <si>
    <t xml:space="preserve">A-S-5245</t>
  </si>
  <si>
    <t xml:space="preserve">A-S-5246</t>
  </si>
  <si>
    <t xml:space="preserve">A-S-5247</t>
  </si>
  <si>
    <t xml:space="preserve">A-S-5248</t>
  </si>
  <si>
    <t xml:space="preserve">A-S-5249</t>
  </si>
  <si>
    <t xml:space="preserve">A-S-5250</t>
  </si>
  <si>
    <t xml:space="preserve">A-S-5251</t>
  </si>
  <si>
    <t xml:space="preserve">A-N1-001</t>
  </si>
  <si>
    <t xml:space="preserve">N-1 planning</t>
  </si>
  <si>
    <t xml:space="preserve">J-CIE INTACT</t>
  </si>
  <si>
    <t xml:space="preserve">Planning ready remains protected</t>
  </si>
  <si>
    <t xml:space="preserve">A-N1-002</t>
  </si>
  <si>
    <t xml:space="preserve">J-CIE LOSS RD-01</t>
  </si>
  <si>
    <t xml:space="preserve">A-N1-003</t>
  </si>
  <si>
    <t xml:space="preserve">J-CIE LOSS RD-02</t>
  </si>
  <si>
    <t xml:space="preserve">A-N1-004</t>
  </si>
  <si>
    <t xml:space="preserve">J-CIE LOSS RD-03</t>
  </si>
  <si>
    <t xml:space="preserve">A-N1-005</t>
  </si>
  <si>
    <t xml:space="preserve">J-CIE LOSS RD-04</t>
  </si>
  <si>
    <t xml:space="preserve">A-N1-006</t>
  </si>
  <si>
    <t xml:space="preserve">J-CIE LOSS RD-05</t>
  </si>
  <si>
    <t xml:space="preserve">A-N1-007</t>
  </si>
  <si>
    <t xml:space="preserve">J-CIE LOSS RD-06</t>
  </si>
  <si>
    <t xml:space="preserve">A-N1-008</t>
  </si>
  <si>
    <t xml:space="preserve">J-CIE LOSS RD-07</t>
  </si>
  <si>
    <t xml:space="preserve">A-N1-009</t>
  </si>
  <si>
    <t xml:space="preserve">J-TOC INTACT</t>
  </si>
  <si>
    <t xml:space="preserve">A-N1-010</t>
  </si>
  <si>
    <t xml:space="preserve">J-TOC LOSS RD-01</t>
  </si>
  <si>
    <t xml:space="preserve">A-N1-011</t>
  </si>
  <si>
    <t xml:space="preserve">J-TOC LOSS RD-02</t>
  </si>
  <si>
    <t xml:space="preserve">A-N1-012</t>
  </si>
  <si>
    <t xml:space="preserve">J-TOC LOSS RD-03</t>
  </si>
  <si>
    <t xml:space="preserve">A-N1-013</t>
  </si>
  <si>
    <t xml:space="preserve">J-TOC LOSS RD-04</t>
  </si>
  <si>
    <t xml:space="preserve">A-N1-014</t>
  </si>
  <si>
    <t xml:space="preserve">J-TOC LOSS RD-05</t>
  </si>
  <si>
    <t xml:space="preserve">A-N1-015</t>
  </si>
  <si>
    <t xml:space="preserve">J-TOC LOSS RD-06</t>
  </si>
  <si>
    <t xml:space="preserve">A-N1-016</t>
  </si>
  <si>
    <t xml:space="preserve">J-TOC LOSS RD-07</t>
  </si>
  <si>
    <t xml:space="preserve">A-N1-017</t>
  </si>
  <si>
    <t xml:space="preserve">J-TSC INTACT</t>
  </si>
  <si>
    <t xml:space="preserve">A-N1-018</t>
  </si>
  <si>
    <t xml:space="preserve">J-TSC LOSS RD-01</t>
  </si>
  <si>
    <t xml:space="preserve">A-N1-019</t>
  </si>
  <si>
    <t xml:space="preserve">J-TSC LOSS RD-02</t>
  </si>
  <si>
    <t xml:space="preserve">A-N1-020</t>
  </si>
  <si>
    <t xml:space="preserve">J-TSC LOSS RD-03</t>
  </si>
  <si>
    <t xml:space="preserve">A-N1-021</t>
  </si>
  <si>
    <t xml:space="preserve">J-TSC LOSS RD-04</t>
  </si>
  <si>
    <t xml:space="preserve">A-N1-022</t>
  </si>
  <si>
    <t xml:space="preserve">J-TSC LOSS RD-05</t>
  </si>
  <si>
    <t xml:space="preserve">A-N1-023</t>
  </si>
  <si>
    <t xml:space="preserve">J-TSC LOSS RD-06</t>
  </si>
  <si>
    <t xml:space="preserve">A-N1-024</t>
  </si>
  <si>
    <t xml:space="preserve">J-TSC LOSS RD-07</t>
  </si>
  <si>
    <t xml:space="preserve">A-N1-025</t>
  </si>
  <si>
    <t xml:space="preserve">J-RIG INTACT</t>
  </si>
  <si>
    <t xml:space="preserve">A-N1-026</t>
  </si>
  <si>
    <t xml:space="preserve">J-RIG LOSS RD-01</t>
  </si>
  <si>
    <t xml:space="preserve">A-N1-027</t>
  </si>
  <si>
    <t xml:space="preserve">J-RIG LOSS RD-02</t>
  </si>
  <si>
    <t xml:space="preserve">A-N1-028</t>
  </si>
  <si>
    <t xml:space="preserve">J-RIG LOSS RD-03</t>
  </si>
  <si>
    <t xml:space="preserve">A-N1-029</t>
  </si>
  <si>
    <t xml:space="preserve">J-RIG LOSS RD-04</t>
  </si>
  <si>
    <t xml:space="preserve">A-N1-030</t>
  </si>
  <si>
    <t xml:space="preserve">J-RIG LOSS RD-05</t>
  </si>
  <si>
    <t xml:space="preserve">A-N1-031</t>
  </si>
  <si>
    <t xml:space="preserve">J-RIG LOSS RD-06</t>
  </si>
  <si>
    <t xml:space="preserve">A-N1-032</t>
  </si>
  <si>
    <t xml:space="preserve">J-RIG LOSS RD-07</t>
  </si>
  <si>
    <t xml:space="preserve">A-N1-033</t>
  </si>
  <si>
    <t xml:space="preserve">J-RRG INTACT</t>
  </si>
  <si>
    <t xml:space="preserve">A-N1-034</t>
  </si>
  <si>
    <t xml:space="preserve">J-RRG LOSS RD-01</t>
  </si>
  <si>
    <t xml:space="preserve">A-N1-035</t>
  </si>
  <si>
    <t xml:space="preserve">J-RRG LOSS RD-02</t>
  </si>
  <si>
    <t xml:space="preserve">A-N1-036</t>
  </si>
  <si>
    <t xml:space="preserve">J-RRG LOSS RD-03</t>
  </si>
  <si>
    <t xml:space="preserve">A-N1-037</t>
  </si>
  <si>
    <t xml:space="preserve">J-RRG LOSS RD-04</t>
  </si>
  <si>
    <t xml:space="preserve">A-N1-038</t>
  </si>
  <si>
    <t xml:space="preserve">J-RRG LOSS RD-05</t>
  </si>
  <si>
    <t xml:space="preserve">A-N1-039</t>
  </si>
  <si>
    <t xml:space="preserve">J-RRG LOSS RD-06</t>
  </si>
  <si>
    <t xml:space="preserve">A-N1-040</t>
  </si>
  <si>
    <t xml:space="preserve">J-RRG LOSS RD-07</t>
  </si>
  <si>
    <t xml:space="preserve">A-N1-041</t>
  </si>
  <si>
    <t xml:space="preserve">J-TDG INTACT</t>
  </si>
  <si>
    <t xml:space="preserve">A-N1-042</t>
  </si>
  <si>
    <t xml:space="preserve">J-TDG LOSS RD-01</t>
  </si>
  <si>
    <t xml:space="preserve">A-N1-043</t>
  </si>
  <si>
    <t xml:space="preserve">J-TDG LOSS RD-02</t>
  </si>
  <si>
    <t xml:space="preserve">A-N1-044</t>
  </si>
  <si>
    <t xml:space="preserve">J-TDG LOSS RD-03</t>
  </si>
  <si>
    <t xml:space="preserve">A-N1-045</t>
  </si>
  <si>
    <t xml:space="preserve">J-TDG LOSS RD-04</t>
  </si>
  <si>
    <t xml:space="preserve">A-N1-046</t>
  </si>
  <si>
    <t xml:space="preserve">J-TDG LOSS RD-05</t>
  </si>
  <si>
    <t xml:space="preserve">A-N1-047</t>
  </si>
  <si>
    <t xml:space="preserve">J-TDG LOSS RD-06</t>
  </si>
  <si>
    <t xml:space="preserve">A-N1-048</t>
  </si>
  <si>
    <t xml:space="preserve">J-TDG LOSS RD-07</t>
  </si>
  <si>
    <t xml:space="preserve">A-N1-049</t>
  </si>
  <si>
    <t xml:space="preserve">L-ROG INTACT</t>
  </si>
  <si>
    <t xml:space="preserve">A-N1-050</t>
  </si>
  <si>
    <t xml:space="preserve">L-ROG LOSS RD-01</t>
  </si>
  <si>
    <t xml:space="preserve">A-N1-051</t>
  </si>
  <si>
    <t xml:space="preserve">L-ROG LOSS RD-02</t>
  </si>
  <si>
    <t xml:space="preserve">A-N1-052</t>
  </si>
  <si>
    <t xml:space="preserve">L-ROG LOSS RD-03</t>
  </si>
  <si>
    <t xml:space="preserve">A-N1-053</t>
  </si>
  <si>
    <t xml:space="preserve">L-ROG LOSS RD-04</t>
  </si>
  <si>
    <t xml:space="preserve">A-N1-054</t>
  </si>
  <si>
    <t xml:space="preserve">L-ROG LOSS RD-05</t>
  </si>
  <si>
    <t xml:space="preserve">A-N1-055</t>
  </si>
  <si>
    <t xml:space="preserve">L-ROG LOSS RD-06</t>
  </si>
  <si>
    <t xml:space="preserve">A-N1-056</t>
  </si>
  <si>
    <t xml:space="preserve">L-ROG LOSS RD-07</t>
  </si>
  <si>
    <t xml:space="preserve">A-N1-057</t>
  </si>
  <si>
    <t xml:space="preserve">L-HCG INTACT</t>
  </si>
  <si>
    <t xml:space="preserve">A-N1-058</t>
  </si>
  <si>
    <t xml:space="preserve">L-HCG LOSS RD-01</t>
  </si>
  <si>
    <t xml:space="preserve">A-N1-059</t>
  </si>
  <si>
    <t xml:space="preserve">L-HCG LOSS RD-02</t>
  </si>
  <si>
    <t xml:space="preserve">A-N1-060</t>
  </si>
  <si>
    <t xml:space="preserve">L-HCG LOSS RD-03</t>
  </si>
  <si>
    <t xml:space="preserve">A-N1-061</t>
  </si>
  <si>
    <t xml:space="preserve">L-HCG LOSS RD-04</t>
  </si>
  <si>
    <t xml:space="preserve">A-N1-062</t>
  </si>
  <si>
    <t xml:space="preserve">L-HCG LOSS RD-05</t>
  </si>
  <si>
    <t xml:space="preserve">A-N1-063</t>
  </si>
  <si>
    <t xml:space="preserve">L-HCG LOSS RD-06</t>
  </si>
  <si>
    <t xml:space="preserve">A-N1-064</t>
  </si>
  <si>
    <t xml:space="preserve">L-HCG LOSS RD-07</t>
  </si>
  <si>
    <t xml:space="preserve">A-N1-065</t>
  </si>
  <si>
    <t xml:space="preserve">L-DMG INTACT</t>
  </si>
  <si>
    <t xml:space="preserve">A-N1-066</t>
  </si>
  <si>
    <t xml:space="preserve">L-DMG LOSS RD-01</t>
  </si>
  <si>
    <t xml:space="preserve">A-N1-067</t>
  </si>
  <si>
    <t xml:space="preserve">L-DMG LOSS RD-02</t>
  </si>
  <si>
    <t xml:space="preserve">A-N1-068</t>
  </si>
  <si>
    <t xml:space="preserve">L-DMG LOSS RD-03</t>
  </si>
  <si>
    <t xml:space="preserve">A-N1-069</t>
  </si>
  <si>
    <t xml:space="preserve">L-DMG LOSS RD-04</t>
  </si>
  <si>
    <t xml:space="preserve">A-N1-070</t>
  </si>
  <si>
    <t xml:space="preserve">L-DMG LOSS RD-05</t>
  </si>
  <si>
    <t xml:space="preserve">A-N1-071</t>
  </si>
  <si>
    <t xml:space="preserve">L-DMG LOSS RD-06</t>
  </si>
  <si>
    <t xml:space="preserve">A-N1-072</t>
  </si>
  <si>
    <t xml:space="preserve">L-DMG LOSS RD-07</t>
  </si>
  <si>
    <t xml:space="preserve">A-N1-073</t>
  </si>
  <si>
    <t xml:space="preserve">L-TWG INTACT</t>
  </si>
  <si>
    <t xml:space="preserve">A-N1-074</t>
  </si>
  <si>
    <t xml:space="preserve">L-TWG LOSS RD-01</t>
  </si>
  <si>
    <t xml:space="preserve">A-N1-075</t>
  </si>
  <si>
    <t xml:space="preserve">L-TWG LOSS RD-02</t>
  </si>
  <si>
    <t xml:space="preserve">A-N1-076</t>
  </si>
  <si>
    <t xml:space="preserve">L-TWG LOSS RD-03</t>
  </si>
  <si>
    <t xml:space="preserve">A-N1-077</t>
  </si>
  <si>
    <t xml:space="preserve">L-TWG LOSS RD-04</t>
  </si>
  <si>
    <t xml:space="preserve">A-N1-078</t>
  </si>
  <si>
    <t xml:space="preserve">L-TWG LOSS RD-05</t>
  </si>
  <si>
    <t xml:space="preserve">A-N1-079</t>
  </si>
  <si>
    <t xml:space="preserve">L-TWG LOSS RD-06</t>
  </si>
  <si>
    <t xml:space="preserve">A-N1-080</t>
  </si>
  <si>
    <t xml:space="preserve">L-TWG LOSS RD-07</t>
  </si>
  <si>
    <t xml:space="preserve">A-N1-081</t>
  </si>
  <si>
    <t xml:space="preserve">L-GFG INTACT</t>
  </si>
  <si>
    <t xml:space="preserve">A-N1-082</t>
  </si>
  <si>
    <t xml:space="preserve">L-GFG LOSS RD-01</t>
  </si>
  <si>
    <t xml:space="preserve">A-N1-083</t>
  </si>
  <si>
    <t xml:space="preserve">L-GFG LOSS RD-02</t>
  </si>
  <si>
    <t xml:space="preserve">A-N1-084</t>
  </si>
  <si>
    <t xml:space="preserve">L-GFG LOSS RD-03</t>
  </si>
  <si>
    <t xml:space="preserve">A-N1-085</t>
  </si>
  <si>
    <t xml:space="preserve">L-GFG LOSS RD-04</t>
  </si>
  <si>
    <t xml:space="preserve">A-N1-086</t>
  </si>
  <si>
    <t xml:space="preserve">L-GFG LOSS RD-05</t>
  </si>
  <si>
    <t xml:space="preserve">A-N1-087</t>
  </si>
  <si>
    <t xml:space="preserve">L-GFG LOSS RD-06</t>
  </si>
  <si>
    <t xml:space="preserve">A-N1-088</t>
  </si>
  <si>
    <t xml:space="preserve">L-GFG LOSS RD-07</t>
  </si>
  <si>
    <t xml:space="preserve">A-N1-089</t>
  </si>
  <si>
    <t xml:space="preserve">A-SMW INTACT</t>
  </si>
  <si>
    <t xml:space="preserve">A-N1-090</t>
  </si>
  <si>
    <t xml:space="preserve">A-SMW LOSS RD-01</t>
  </si>
  <si>
    <t xml:space="preserve">A-N1-091</t>
  </si>
  <si>
    <t xml:space="preserve">A-SMW LOSS RD-02</t>
  </si>
  <si>
    <t xml:space="preserve">A-N1-092</t>
  </si>
  <si>
    <t xml:space="preserve">A-SMW LOSS RD-03</t>
  </si>
  <si>
    <t xml:space="preserve">A-N1-093</t>
  </si>
  <si>
    <t xml:space="preserve">A-SMW LOSS RD-04</t>
  </si>
  <si>
    <t xml:space="preserve">A-N1-094</t>
  </si>
  <si>
    <t xml:space="preserve">A-SMW LOSS RD-05</t>
  </si>
  <si>
    <t xml:space="preserve">A-N1-095</t>
  </si>
  <si>
    <t xml:space="preserve">A-SMW LOSS RD-06</t>
  </si>
  <si>
    <t xml:space="preserve">A-N1-096</t>
  </si>
  <si>
    <t xml:space="preserve">A-SMW LOSS RD-07</t>
  </si>
  <si>
    <t xml:space="preserve">A-N1-097</t>
  </si>
  <si>
    <t xml:space="preserve">A-AAG INTACT</t>
  </si>
  <si>
    <t xml:space="preserve">A-N1-098</t>
  </si>
  <si>
    <t xml:space="preserve">A-AAG LOSS RD-01</t>
  </si>
  <si>
    <t xml:space="preserve">A-N1-099</t>
  </si>
  <si>
    <t xml:space="preserve">A-AAG LOSS RD-02</t>
  </si>
  <si>
    <t xml:space="preserve">A-N1-100</t>
  </si>
  <si>
    <t xml:space="preserve">A-AAG LOSS RD-03</t>
  </si>
  <si>
    <t xml:space="preserve">A-N1-101</t>
  </si>
  <si>
    <t xml:space="preserve">A-AAG LOSS RD-04</t>
  </si>
  <si>
    <t xml:space="preserve">A-N1-102</t>
  </si>
  <si>
    <t xml:space="preserve">A-AAG LOSS RD-05</t>
  </si>
  <si>
    <t xml:space="preserve">A-N1-103</t>
  </si>
  <si>
    <t xml:space="preserve">A-AAG LOSS RD-06</t>
  </si>
  <si>
    <t xml:space="preserve">A-N1-104</t>
  </si>
  <si>
    <t xml:space="preserve">A-AAG LOSS RD-07</t>
  </si>
  <si>
    <t xml:space="preserve">A-N1-105</t>
  </si>
  <si>
    <t xml:space="preserve">A-AHW INTACT</t>
  </si>
  <si>
    <t xml:space="preserve">A-N1-106</t>
  </si>
  <si>
    <t xml:space="preserve">A-AHW LOSS RD-01</t>
  </si>
  <si>
    <t xml:space="preserve">A-N1-107</t>
  </si>
  <si>
    <t xml:space="preserve">A-AHW LOSS RD-02</t>
  </si>
  <si>
    <t xml:space="preserve">A-N1-108</t>
  </si>
  <si>
    <t xml:space="preserve">A-AHW LOSS RD-03</t>
  </si>
  <si>
    <t xml:space="preserve">A-N1-109</t>
  </si>
  <si>
    <t xml:space="preserve">A-AHW LOSS RD-04</t>
  </si>
  <si>
    <t xml:space="preserve">A-N1-110</t>
  </si>
  <si>
    <t xml:space="preserve">A-AHW LOSS RD-05</t>
  </si>
  <si>
    <t xml:space="preserve">A-N1-111</t>
  </si>
  <si>
    <t xml:space="preserve">A-AHW LOSS RD-06</t>
  </si>
  <si>
    <t xml:space="preserve">A-N1-112</t>
  </si>
  <si>
    <t xml:space="preserve">A-AHW LOSS RD-07</t>
  </si>
  <si>
    <t xml:space="preserve">A-N1-113</t>
  </si>
  <si>
    <t xml:space="preserve">A-TDG INTACT</t>
  </si>
  <si>
    <t xml:space="preserve">A-N1-114</t>
  </si>
  <si>
    <t xml:space="preserve">A-TDG LOSS RD-01</t>
  </si>
  <si>
    <t xml:space="preserve">A-N1-115</t>
  </si>
  <si>
    <t xml:space="preserve">A-TDG LOSS RD-02</t>
  </si>
  <si>
    <t xml:space="preserve">A-N1-116</t>
  </si>
  <si>
    <t xml:space="preserve">A-TDG LOSS RD-03</t>
  </si>
  <si>
    <t xml:space="preserve">A-N1-117</t>
  </si>
  <si>
    <t xml:space="preserve">A-TDG LOSS RD-04</t>
  </si>
  <si>
    <t xml:space="preserve">A-N1-118</t>
  </si>
  <si>
    <t xml:space="preserve">A-TDG LOSS RD-05</t>
  </si>
  <si>
    <t xml:space="preserve">A-N1-119</t>
  </si>
  <si>
    <t xml:space="preserve">A-TDG LOSS RD-06</t>
  </si>
  <si>
    <t xml:space="preserve">A-N1-120</t>
  </si>
  <si>
    <t xml:space="preserve">A-TDG LOSS RD-07</t>
  </si>
  <si>
    <t xml:space="preserve">A-N1-121</t>
  </si>
  <si>
    <t xml:space="preserve">A-SRG INTACT</t>
  </si>
  <si>
    <t xml:space="preserve">A-N1-122</t>
  </si>
  <si>
    <t xml:space="preserve">A-SRG LOSS RD-01</t>
  </si>
  <si>
    <t xml:space="preserve">A-N1-123</t>
  </si>
  <si>
    <t xml:space="preserve">A-SRG LOSS RD-02</t>
  </si>
  <si>
    <t xml:space="preserve">A-N1-124</t>
  </si>
  <si>
    <t xml:space="preserve">A-SRG LOSS RD-03</t>
  </si>
  <si>
    <t xml:space="preserve">A-N1-125</t>
  </si>
  <si>
    <t xml:space="preserve">A-SRG LOSS RD-04</t>
  </si>
  <si>
    <t xml:space="preserve">A-N1-126</t>
  </si>
  <si>
    <t xml:space="preserve">A-SRG LOSS RD-05</t>
  </si>
  <si>
    <t xml:space="preserve">A-N1-127</t>
  </si>
  <si>
    <t xml:space="preserve">A-SRG LOSS RD-06</t>
  </si>
  <si>
    <t xml:space="preserve">A-N1-128</t>
  </si>
  <si>
    <t xml:space="preserve">A-SRG LOSS RD-07</t>
  </si>
  <si>
    <t xml:space="preserve">A-N1-129</t>
  </si>
  <si>
    <t xml:space="preserve">A-AMG INTACT</t>
  </si>
  <si>
    <t xml:space="preserve">A-N1-130</t>
  </si>
  <si>
    <t xml:space="preserve">A-AMG LOSS RD-01</t>
  </si>
  <si>
    <t xml:space="preserve">A-N1-131</t>
  </si>
  <si>
    <t xml:space="preserve">A-AMG LOSS RD-02</t>
  </si>
  <si>
    <t xml:space="preserve">A-N1-132</t>
  </si>
  <si>
    <t xml:space="preserve">A-AMG LOSS RD-03</t>
  </si>
  <si>
    <t xml:space="preserve">A-N1-133</t>
  </si>
  <si>
    <t xml:space="preserve">A-AMG LOSS RD-04</t>
  </si>
  <si>
    <t xml:space="preserve">A-N1-134</t>
  </si>
  <si>
    <t xml:space="preserve">A-AMG LOSS RD-05</t>
  </si>
  <si>
    <t xml:space="preserve">A-N1-135</t>
  </si>
  <si>
    <t xml:space="preserve">A-AMG LOSS RD-06</t>
  </si>
  <si>
    <t xml:space="preserve">A-N1-136</t>
  </si>
  <si>
    <t xml:space="preserve">A-AMG LOSS RD-07</t>
  </si>
  <si>
    <t xml:space="preserve">A-N1-137</t>
  </si>
  <si>
    <t xml:space="preserve">M-POG INTACT</t>
  </si>
  <si>
    <t xml:space="preserve">A-N1-138</t>
  </si>
  <si>
    <t xml:space="preserve">M-POG LOSS RD-01</t>
  </si>
  <si>
    <t xml:space="preserve">A-N1-139</t>
  </si>
  <si>
    <t xml:space="preserve">M-POG LOSS RD-02</t>
  </si>
  <si>
    <t xml:space="preserve">A-N1-140</t>
  </si>
  <si>
    <t xml:space="preserve">M-POG LOSS RD-03</t>
  </si>
  <si>
    <t xml:space="preserve">A-N1-141</t>
  </si>
  <si>
    <t xml:space="preserve">M-POG LOSS RD-04</t>
  </si>
  <si>
    <t xml:space="preserve">A-N1-142</t>
  </si>
  <si>
    <t xml:space="preserve">M-POG LOSS RD-05</t>
  </si>
  <si>
    <t xml:space="preserve">A-N1-143</t>
  </si>
  <si>
    <t xml:space="preserve">M-POG LOSS RD-06</t>
  </si>
  <si>
    <t xml:space="preserve">A-N1-144</t>
  </si>
  <si>
    <t xml:space="preserve">M-POG LOSS RD-07</t>
  </si>
  <si>
    <t xml:space="preserve">A-N1-145</t>
  </si>
  <si>
    <t xml:space="preserve">M-LAG INTACT</t>
  </si>
  <si>
    <t xml:space="preserve">A-N1-146</t>
  </si>
  <si>
    <t xml:space="preserve">M-LAG LOSS RD-01</t>
  </si>
  <si>
    <t xml:space="preserve">A-N1-147</t>
  </si>
  <si>
    <t xml:space="preserve">M-LAG LOSS RD-02</t>
  </si>
  <si>
    <t xml:space="preserve">A-N1-148</t>
  </si>
  <si>
    <t xml:space="preserve">M-LAG LOSS RD-03</t>
  </si>
  <si>
    <t xml:space="preserve">A-N1-149</t>
  </si>
  <si>
    <t xml:space="preserve">M-LAG LOSS RD-04</t>
  </si>
  <si>
    <t xml:space="preserve">A-N1-150</t>
  </si>
  <si>
    <t xml:space="preserve">M-LAG LOSS RD-05</t>
  </si>
  <si>
    <t xml:space="preserve">A-N1-151</t>
  </si>
  <si>
    <t xml:space="preserve">M-LAG LOSS RD-06</t>
  </si>
  <si>
    <t xml:space="preserve">A-N1-152</t>
  </si>
  <si>
    <t xml:space="preserve">M-LAG LOSS RD-07</t>
  </si>
  <si>
    <t xml:space="preserve">A-N1-153</t>
  </si>
  <si>
    <t xml:space="preserve">M-IWG INTACT</t>
  </si>
  <si>
    <t xml:space="preserve">A-N1-154</t>
  </si>
  <si>
    <t xml:space="preserve">M-IWG LOSS RD-01</t>
  </si>
  <si>
    <t xml:space="preserve">A-N1-155</t>
  </si>
  <si>
    <t xml:space="preserve">M-IWG LOSS RD-02</t>
  </si>
  <si>
    <t xml:space="preserve">A-N1-156</t>
  </si>
  <si>
    <t xml:space="preserve">M-IWG LOSS RD-03</t>
  </si>
  <si>
    <t xml:space="preserve">A-N1-157</t>
  </si>
  <si>
    <t xml:space="preserve">M-IWG LOSS RD-04</t>
  </si>
  <si>
    <t xml:space="preserve">A-N1-158</t>
  </si>
  <si>
    <t xml:space="preserve">M-IWG LOSS RD-05</t>
  </si>
  <si>
    <t xml:space="preserve">A-N1-159</t>
  </si>
  <si>
    <t xml:space="preserve">M-IWG LOSS RD-06</t>
  </si>
  <si>
    <t xml:space="preserve">A-N1-160</t>
  </si>
  <si>
    <t xml:space="preserve">M-IWG LOSS RD-07</t>
  </si>
  <si>
    <t xml:space="preserve">A-N1-161</t>
  </si>
  <si>
    <t xml:space="preserve">M-OSG INTACT</t>
  </si>
  <si>
    <t xml:space="preserve">A-N1-162</t>
  </si>
  <si>
    <t xml:space="preserve">M-OSG LOSS RD-01</t>
  </si>
  <si>
    <t xml:space="preserve">A-N1-163</t>
  </si>
  <si>
    <t xml:space="preserve">M-OSG LOSS RD-02</t>
  </si>
  <si>
    <t xml:space="preserve">A-N1-164</t>
  </si>
  <si>
    <t xml:space="preserve">M-OSG LOSS RD-03</t>
  </si>
  <si>
    <t xml:space="preserve">A-N1-165</t>
  </si>
  <si>
    <t xml:space="preserve">M-OSG LOSS RD-04</t>
  </si>
  <si>
    <t xml:space="preserve">A-N1-166</t>
  </si>
  <si>
    <t xml:space="preserve">M-OSG LOSS RD-05</t>
  </si>
  <si>
    <t xml:space="preserve">A-N1-167</t>
  </si>
  <si>
    <t xml:space="preserve">M-OSG LOSS RD-06</t>
  </si>
  <si>
    <t xml:space="preserve">A-N1-168</t>
  </si>
  <si>
    <t xml:space="preserve">M-OSG LOSS RD-07</t>
  </si>
  <si>
    <t xml:space="preserve">A-N1-169</t>
  </si>
  <si>
    <t xml:space="preserve">M-MPG INTACT</t>
  </si>
  <si>
    <t xml:space="preserve">A-N1-170</t>
  </si>
  <si>
    <t xml:space="preserve">M-MPG LOSS RD-01</t>
  </si>
  <si>
    <t xml:space="preserve">A-N1-171</t>
  </si>
  <si>
    <t xml:space="preserve">M-MPG LOSS RD-02</t>
  </si>
  <si>
    <t xml:space="preserve">A-N1-172</t>
  </si>
  <si>
    <t xml:space="preserve">M-MPG LOSS RD-03</t>
  </si>
  <si>
    <t xml:space="preserve">A-N1-173</t>
  </si>
  <si>
    <t xml:space="preserve">M-MPG LOSS RD-04</t>
  </si>
  <si>
    <t xml:space="preserve">A-N1-174</t>
  </si>
  <si>
    <t xml:space="preserve">M-MPG LOSS RD-05</t>
  </si>
  <si>
    <t xml:space="preserve">A-N1-175</t>
  </si>
  <si>
    <t xml:space="preserve">M-MPG LOSS RD-06</t>
  </si>
  <si>
    <t xml:space="preserve">A-N1-176</t>
  </si>
  <si>
    <t xml:space="preserve">M-MPG LOSS RD-07</t>
  </si>
  <si>
    <t xml:space="preserve">A-N1-177</t>
  </si>
  <si>
    <t xml:space="preserve">M-SSG INTACT</t>
  </si>
  <si>
    <t xml:space="preserve">A-N1-178</t>
  </si>
  <si>
    <t xml:space="preserve">M-SSG LOSS RD-01</t>
  </si>
  <si>
    <t xml:space="preserve">A-N1-179</t>
  </si>
  <si>
    <t xml:space="preserve">M-SSG LOSS RD-02</t>
  </si>
  <si>
    <t xml:space="preserve">A-N1-180</t>
  </si>
  <si>
    <t xml:space="preserve">M-SSG LOSS RD-03</t>
  </si>
  <si>
    <t xml:space="preserve">A-N1-181</t>
  </si>
  <si>
    <t xml:space="preserve">M-SSG LOSS RD-04</t>
  </si>
  <si>
    <t xml:space="preserve">A-N1-182</t>
  </si>
  <si>
    <t xml:space="preserve">M-SSG LOSS RD-05</t>
  </si>
  <si>
    <t xml:space="preserve">A-N1-183</t>
  </si>
  <si>
    <t xml:space="preserve">M-SSG LOSS RD-06</t>
  </si>
  <si>
    <t xml:space="preserve">A-N1-184</t>
  </si>
  <si>
    <t xml:space="preserve">M-SSG LOSS RD-07</t>
  </si>
  <si>
    <t xml:space="preserve">A-N1-185</t>
  </si>
  <si>
    <t xml:space="preserve">I-WRG INTACT</t>
  </si>
  <si>
    <t xml:space="preserve">A-N1-186</t>
  </si>
  <si>
    <t xml:space="preserve">I-WRG LOSS RD-01</t>
  </si>
  <si>
    <t xml:space="preserve">A-N1-187</t>
  </si>
  <si>
    <t xml:space="preserve">I-WRG LOSS RD-02</t>
  </si>
  <si>
    <t xml:space="preserve">A-N1-188</t>
  </si>
  <si>
    <t xml:space="preserve">I-WRG LOSS RD-03</t>
  </si>
  <si>
    <t xml:space="preserve">A-N1-189</t>
  </si>
  <si>
    <t xml:space="preserve">I-WRG LOSS RD-04</t>
  </si>
  <si>
    <t xml:space="preserve">A-N1-190</t>
  </si>
  <si>
    <t xml:space="preserve">I-WRG LOSS RD-05</t>
  </si>
  <si>
    <t xml:space="preserve">A-N1-191</t>
  </si>
  <si>
    <t xml:space="preserve">I-WRG LOSS RD-06</t>
  </si>
  <si>
    <t xml:space="preserve">A-N1-192</t>
  </si>
  <si>
    <t xml:space="preserve">I-WRG LOSS RD-07</t>
  </si>
  <si>
    <t xml:space="preserve">A-N1-193</t>
  </si>
  <si>
    <t xml:space="preserve">I-PRG INTACT</t>
  </si>
  <si>
    <t xml:space="preserve">A-N1-194</t>
  </si>
  <si>
    <t xml:space="preserve">I-PRG LOSS RD-01</t>
  </si>
  <si>
    <t xml:space="preserve">A-N1-195</t>
  </si>
  <si>
    <t xml:space="preserve">I-PRG LOSS RD-02</t>
  </si>
  <si>
    <t xml:space="preserve">A-N1-196</t>
  </si>
  <si>
    <t xml:space="preserve">I-PRG LOSS RD-03</t>
  </si>
  <si>
    <t xml:space="preserve">A-N1-197</t>
  </si>
  <si>
    <t xml:space="preserve">I-PRG LOSS RD-04</t>
  </si>
  <si>
    <t xml:space="preserve">A-N1-198</t>
  </si>
  <si>
    <t xml:space="preserve">I-PRG LOSS RD-05</t>
  </si>
  <si>
    <t xml:space="preserve">A-N1-199</t>
  </si>
  <si>
    <t xml:space="preserve">I-PRG LOSS RD-06</t>
  </si>
  <si>
    <t xml:space="preserve">A-N1-200</t>
  </si>
  <si>
    <t xml:space="preserve">I-PRG LOSS RD-07</t>
  </si>
  <si>
    <t xml:space="preserve">A-N1-201</t>
  </si>
  <si>
    <t xml:space="preserve">I-GBG INTACT</t>
  </si>
  <si>
    <t xml:space="preserve">A-N1-202</t>
  </si>
  <si>
    <t xml:space="preserve">I-GBG LOSS RD-01</t>
  </si>
  <si>
    <t xml:space="preserve">A-N1-203</t>
  </si>
  <si>
    <t xml:space="preserve">I-GBG LOSS RD-02</t>
  </si>
  <si>
    <t xml:space="preserve">A-N1-204</t>
  </si>
  <si>
    <t xml:space="preserve">I-GBG LOSS RD-03</t>
  </si>
  <si>
    <t xml:space="preserve">A-N1-205</t>
  </si>
  <si>
    <t xml:space="preserve">I-GBG LOSS RD-04</t>
  </si>
  <si>
    <t xml:space="preserve">A-N1-206</t>
  </si>
  <si>
    <t xml:space="preserve">I-GBG LOSS RD-05</t>
  </si>
  <si>
    <t xml:space="preserve">A-N1-207</t>
  </si>
  <si>
    <t xml:space="preserve">I-GBG LOSS RD-06</t>
  </si>
  <si>
    <t xml:space="preserve">A-N1-208</t>
  </si>
  <si>
    <t xml:space="preserve">I-GBG LOSS RD-07</t>
  </si>
  <si>
    <t xml:space="preserve">A-N1-209</t>
  </si>
  <si>
    <t xml:space="preserve">I-TSG INTACT</t>
  </si>
  <si>
    <t xml:space="preserve">A-N1-210</t>
  </si>
  <si>
    <t xml:space="preserve">I-TSG LOSS RD-01</t>
  </si>
  <si>
    <t xml:space="preserve">A-N1-211</t>
  </si>
  <si>
    <t xml:space="preserve">I-TSG LOSS RD-02</t>
  </si>
  <si>
    <t xml:space="preserve">A-N1-212</t>
  </si>
  <si>
    <t xml:space="preserve">I-TSG LOSS RD-03</t>
  </si>
  <si>
    <t xml:space="preserve">A-N1-213</t>
  </si>
  <si>
    <t xml:space="preserve">I-TSG LOSS RD-04</t>
  </si>
  <si>
    <t xml:space="preserve">A-N1-214</t>
  </si>
  <si>
    <t xml:space="preserve">I-TSG LOSS RD-05</t>
  </si>
  <si>
    <t xml:space="preserve">A-N1-215</t>
  </si>
  <si>
    <t xml:space="preserve">I-TSG LOSS RD-06</t>
  </si>
  <si>
    <t xml:space="preserve">A-N1-216</t>
  </si>
  <si>
    <t xml:space="preserve">I-TSG LOSS RD-07</t>
  </si>
  <si>
    <t xml:space="preserve">A-N1-217</t>
  </si>
  <si>
    <t xml:space="preserve">I-CUG INTACT</t>
  </si>
  <si>
    <t xml:space="preserve">A-N1-218</t>
  </si>
  <si>
    <t xml:space="preserve">I-CUG LOSS RD-01</t>
  </si>
  <si>
    <t xml:space="preserve">A-N1-219</t>
  </si>
  <si>
    <t xml:space="preserve">I-CUG LOSS RD-02</t>
  </si>
  <si>
    <t xml:space="preserve">A-N1-220</t>
  </si>
  <si>
    <t xml:space="preserve">I-CUG LOSS RD-03</t>
  </si>
  <si>
    <t xml:space="preserve">A-N1-221</t>
  </si>
  <si>
    <t xml:space="preserve">I-CUG LOSS RD-04</t>
  </si>
  <si>
    <t xml:space="preserve">A-N1-222</t>
  </si>
  <si>
    <t xml:space="preserve">I-CUG LOSS RD-05</t>
  </si>
  <si>
    <t xml:space="preserve">A-N1-223</t>
  </si>
  <si>
    <t xml:space="preserve">I-CUG LOSS RD-06</t>
  </si>
  <si>
    <t xml:space="preserve">A-N1-224</t>
  </si>
  <si>
    <t xml:space="preserve">I-CUG LOSS RD-07</t>
  </si>
  <si>
    <t xml:space="preserve">A-N1-225</t>
  </si>
  <si>
    <t xml:space="preserve">I-URG INTACT</t>
  </si>
  <si>
    <t xml:space="preserve">A-N1-226</t>
  </si>
  <si>
    <t xml:space="preserve">I-URG LOSS RD-01</t>
  </si>
  <si>
    <t xml:space="preserve">A-N1-227</t>
  </si>
  <si>
    <t xml:space="preserve">I-URG LOSS RD-02</t>
  </si>
  <si>
    <t xml:space="preserve">A-N1-228</t>
  </si>
  <si>
    <t xml:space="preserve">I-URG LOSS RD-03</t>
  </si>
  <si>
    <t xml:space="preserve">A-N1-229</t>
  </si>
  <si>
    <t xml:space="preserve">I-URG LOSS RD-04</t>
  </si>
  <si>
    <t xml:space="preserve">A-N1-230</t>
  </si>
  <si>
    <t xml:space="preserve">I-URG LOSS RD-05</t>
  </si>
  <si>
    <t xml:space="preserve">A-N1-231</t>
  </si>
  <si>
    <t xml:space="preserve">I-URG LOSS RD-06</t>
  </si>
  <si>
    <t xml:space="preserve">A-N1-232</t>
  </si>
  <si>
    <t xml:space="preserve">I-URG LOSS RD-07</t>
  </si>
  <si>
    <t xml:space="preserve">A-N1-233</t>
  </si>
  <si>
    <t xml:space="preserve">H-CHC INTACT</t>
  </si>
  <si>
    <t xml:space="preserve">A-N1-234</t>
  </si>
  <si>
    <t xml:space="preserve">H-CHC LOSS RD-01</t>
  </si>
  <si>
    <t xml:space="preserve">A-N1-235</t>
  </si>
  <si>
    <t xml:space="preserve">H-CHC LOSS RD-02</t>
  </si>
  <si>
    <t xml:space="preserve">A-N1-236</t>
  </si>
  <si>
    <t xml:space="preserve">H-CHC LOSS RD-03</t>
  </si>
  <si>
    <t xml:space="preserve">A-N1-237</t>
  </si>
  <si>
    <t xml:space="preserve">H-CHC LOSS RD-04</t>
  </si>
  <si>
    <t xml:space="preserve">A-N1-238</t>
  </si>
  <si>
    <t xml:space="preserve">H-CHC LOSS RD-05</t>
  </si>
  <si>
    <t xml:space="preserve">A-N1-239</t>
  </si>
  <si>
    <t xml:space="preserve">H-CHC LOSS RD-06</t>
  </si>
  <si>
    <t xml:space="preserve">A-N1-240</t>
  </si>
  <si>
    <t xml:space="preserve">H-CHC LOSS RD-07</t>
  </si>
  <si>
    <t xml:space="preserve">A-N1-241</t>
  </si>
  <si>
    <t xml:space="preserve">H-MAC INTACT</t>
  </si>
  <si>
    <t xml:space="preserve">A-N1-242</t>
  </si>
  <si>
    <t xml:space="preserve">H-MAC LOSS RD-01</t>
  </si>
  <si>
    <t xml:space="preserve">A-N1-243</t>
  </si>
  <si>
    <t xml:space="preserve">H-MAC LOSS RD-02</t>
  </si>
  <si>
    <t xml:space="preserve">A-N1-244</t>
  </si>
  <si>
    <t xml:space="preserve">H-MAC LOSS RD-03</t>
  </si>
  <si>
    <t xml:space="preserve">A-N1-245</t>
  </si>
  <si>
    <t xml:space="preserve">H-MAC LOSS RD-04</t>
  </si>
  <si>
    <t xml:space="preserve">A-N1-246</t>
  </si>
  <si>
    <t xml:space="preserve">H-MAC LOSS RD-05</t>
  </si>
  <si>
    <t xml:space="preserve">A-N1-247</t>
  </si>
  <si>
    <t xml:space="preserve">H-MAC LOSS RD-06</t>
  </si>
  <si>
    <t xml:space="preserve">A-N1-248</t>
  </si>
  <si>
    <t xml:space="preserve">H-MAC LOSS RD-07</t>
  </si>
  <si>
    <t xml:space="preserve">A-N1-249</t>
  </si>
  <si>
    <t xml:space="preserve">H-THC INTACT</t>
  </si>
  <si>
    <t xml:space="preserve">A-N1-250</t>
  </si>
  <si>
    <t xml:space="preserve">H-THC LOSS RD-01</t>
  </si>
  <si>
    <t xml:space="preserve">A-N1-251</t>
  </si>
  <si>
    <t xml:space="preserve">H-THC LOSS RD-02</t>
  </si>
  <si>
    <t xml:space="preserve">A-N1-252</t>
  </si>
  <si>
    <t xml:space="preserve">H-THC LOSS RD-03</t>
  </si>
  <si>
    <t xml:space="preserve">A-N1-253</t>
  </si>
  <si>
    <t xml:space="preserve">H-THC LOSS RD-04</t>
  </si>
  <si>
    <t xml:space="preserve">A-N1-254</t>
  </si>
  <si>
    <t xml:space="preserve">H-THC LOSS RD-05</t>
  </si>
  <si>
    <t xml:space="preserve">A-N1-255</t>
  </si>
  <si>
    <t xml:space="preserve">H-THC LOSS RD-06</t>
  </si>
  <si>
    <t xml:space="preserve">A-N1-256</t>
  </si>
  <si>
    <t xml:space="preserve">H-THC LOSS RD-07</t>
  </si>
  <si>
    <t xml:space="preserve">A-N1-257</t>
  </si>
  <si>
    <t xml:space="preserve">H-PHC INTACT</t>
  </si>
  <si>
    <t xml:space="preserve">A-N1-258</t>
  </si>
  <si>
    <t xml:space="preserve">H-PHC LOSS RD-01</t>
  </si>
  <si>
    <t xml:space="preserve">A-N1-259</t>
  </si>
  <si>
    <t xml:space="preserve">H-PHC LOSS RD-02</t>
  </si>
  <si>
    <t xml:space="preserve">A-N1-260</t>
  </si>
  <si>
    <t xml:space="preserve">H-PHC LOSS RD-03</t>
  </si>
  <si>
    <t xml:space="preserve">A-N1-261</t>
  </si>
  <si>
    <t xml:space="preserve">H-PHC LOSS RD-04</t>
  </si>
  <si>
    <t xml:space="preserve">A-N1-262</t>
  </si>
  <si>
    <t xml:space="preserve">H-PHC LOSS RD-05</t>
  </si>
  <si>
    <t xml:space="preserve">A-N1-263</t>
  </si>
  <si>
    <t xml:space="preserve">H-PHC LOSS RD-06</t>
  </si>
  <si>
    <t xml:space="preserve">A-N1-264</t>
  </si>
  <si>
    <t xml:space="preserve">H-PHC LOSS RD-07</t>
  </si>
  <si>
    <t xml:space="preserve">A-N1-265</t>
  </si>
  <si>
    <t xml:space="preserve">H-PMG INTACT</t>
  </si>
  <si>
    <t xml:space="preserve">A-N1-266</t>
  </si>
  <si>
    <t xml:space="preserve">H-PMG LOSS RD-01</t>
  </si>
  <si>
    <t xml:space="preserve">A-N1-267</t>
  </si>
  <si>
    <t xml:space="preserve">H-PMG LOSS RD-02</t>
  </si>
  <si>
    <t xml:space="preserve">A-N1-268</t>
  </si>
  <si>
    <t xml:space="preserve">H-PMG LOSS RD-03</t>
  </si>
  <si>
    <t xml:space="preserve">A-N1-269</t>
  </si>
  <si>
    <t xml:space="preserve">H-PMG LOSS RD-04</t>
  </si>
  <si>
    <t xml:space="preserve">A-N1-270</t>
  </si>
  <si>
    <t xml:space="preserve">H-PMG LOSS RD-05</t>
  </si>
  <si>
    <t xml:space="preserve">A-N1-271</t>
  </si>
  <si>
    <t xml:space="preserve">H-PMG LOSS RD-06</t>
  </si>
  <si>
    <t xml:space="preserve">A-N1-272</t>
  </si>
  <si>
    <t xml:space="preserve">H-PMG LOSS RD-07</t>
  </si>
  <si>
    <t xml:space="preserve">A-N1-273</t>
  </si>
  <si>
    <t xml:space="preserve">H-HWR INTACT</t>
  </si>
  <si>
    <t xml:space="preserve">A-N1-274</t>
  </si>
  <si>
    <t xml:space="preserve">H-HWR LOSS RD-01</t>
  </si>
  <si>
    <t xml:space="preserve">A-N1-275</t>
  </si>
  <si>
    <t xml:space="preserve">H-HWR LOSS RD-02</t>
  </si>
  <si>
    <t xml:space="preserve">A-N1-276</t>
  </si>
  <si>
    <t xml:space="preserve">H-HWR LOSS RD-03</t>
  </si>
  <si>
    <t xml:space="preserve">A-N1-277</t>
  </si>
  <si>
    <t xml:space="preserve">H-HWR LOSS RD-04</t>
  </si>
  <si>
    <t xml:space="preserve">A-N1-278</t>
  </si>
  <si>
    <t xml:space="preserve">H-HWR LOSS RD-05</t>
  </si>
  <si>
    <t xml:space="preserve">A-N1-279</t>
  </si>
  <si>
    <t xml:space="preserve">H-HWR LOSS RD-06</t>
  </si>
  <si>
    <t xml:space="preserve">A-N1-280</t>
  </si>
  <si>
    <t xml:space="preserve">H-HWR LOSS RD-07</t>
  </si>
  <si>
    <t xml:space="preserve">A-N1-281</t>
  </si>
  <si>
    <t xml:space="preserve">C-PSG INTACT</t>
  </si>
  <si>
    <t xml:space="preserve">A-N1-282</t>
  </si>
  <si>
    <t xml:space="preserve">C-PSG LOSS RD-01</t>
  </si>
  <si>
    <t xml:space="preserve">A-N1-283</t>
  </si>
  <si>
    <t xml:space="preserve">C-PSG LOSS RD-02</t>
  </si>
  <si>
    <t xml:space="preserve">A-N1-284</t>
  </si>
  <si>
    <t xml:space="preserve">C-PSG LOSS RD-03</t>
  </si>
  <si>
    <t xml:space="preserve">A-N1-285</t>
  </si>
  <si>
    <t xml:space="preserve">C-PSG LOSS RD-04</t>
  </si>
  <si>
    <t xml:space="preserve">A-N1-286</t>
  </si>
  <si>
    <t xml:space="preserve">C-PSG LOSS RD-05</t>
  </si>
  <si>
    <t xml:space="preserve">A-N1-287</t>
  </si>
  <si>
    <t xml:space="preserve">C-PSG LOSS RD-06</t>
  </si>
  <si>
    <t xml:space="preserve">A-N1-288</t>
  </si>
  <si>
    <t xml:space="preserve">C-PSG LOSS RD-07</t>
  </si>
  <si>
    <t xml:space="preserve">A-N1-289</t>
  </si>
  <si>
    <t xml:space="preserve">C-EGG INTACT</t>
  </si>
  <si>
    <t xml:space="preserve">A-N1-290</t>
  </si>
  <si>
    <t xml:space="preserve">C-EGG LOSS RD-01</t>
  </si>
  <si>
    <t xml:space="preserve">A-N1-291</t>
  </si>
  <si>
    <t xml:space="preserve">C-EGG LOSS RD-02</t>
  </si>
  <si>
    <t xml:space="preserve">A-N1-292</t>
  </si>
  <si>
    <t xml:space="preserve">C-EGG LOSS RD-03</t>
  </si>
  <si>
    <t xml:space="preserve">A-N1-293</t>
  </si>
  <si>
    <t xml:space="preserve">C-EGG LOSS RD-04</t>
  </si>
  <si>
    <t xml:space="preserve">A-N1-294</t>
  </si>
  <si>
    <t xml:space="preserve">C-EGG LOSS RD-05</t>
  </si>
  <si>
    <t xml:space="preserve">A-N1-295</t>
  </si>
  <si>
    <t xml:space="preserve">C-EGG LOSS RD-06</t>
  </si>
  <si>
    <t xml:space="preserve">A-N1-296</t>
  </si>
  <si>
    <t xml:space="preserve">C-EGG LOSS RD-07</t>
  </si>
  <si>
    <t xml:space="preserve">A-N1-297</t>
  </si>
  <si>
    <t xml:space="preserve">C-CAG INTACT</t>
  </si>
  <si>
    <t xml:space="preserve">A-N1-298</t>
  </si>
  <si>
    <t xml:space="preserve">C-CAG LOSS RD-01</t>
  </si>
  <si>
    <t xml:space="preserve">A-N1-299</t>
  </si>
  <si>
    <t xml:space="preserve">C-CAG LOSS RD-02</t>
  </si>
  <si>
    <t xml:space="preserve">A-N1-300</t>
  </si>
  <si>
    <t xml:space="preserve">C-CAG LOSS RD-03</t>
  </si>
  <si>
    <t xml:space="preserve">A-N1-301</t>
  </si>
  <si>
    <t xml:space="preserve">C-CAG LOSS RD-04</t>
  </si>
  <si>
    <t xml:space="preserve">A-N1-302</t>
  </si>
  <si>
    <t xml:space="preserve">C-CAG LOSS RD-05</t>
  </si>
  <si>
    <t xml:space="preserve">A-N1-303</t>
  </si>
  <si>
    <t xml:space="preserve">C-CAG LOSS RD-06</t>
  </si>
  <si>
    <t xml:space="preserve">A-N1-304</t>
  </si>
  <si>
    <t xml:space="preserve">C-CAG LOSS RD-07</t>
  </si>
  <si>
    <t xml:space="preserve">A-N1-305</t>
  </si>
  <si>
    <t xml:space="preserve">C-DTG INTACT</t>
  </si>
  <si>
    <t xml:space="preserve">A-N1-306</t>
  </si>
  <si>
    <t xml:space="preserve">C-DTG LOSS RD-01</t>
  </si>
  <si>
    <t xml:space="preserve">A-N1-307</t>
  </si>
  <si>
    <t xml:space="preserve">C-DTG LOSS RD-02</t>
  </si>
  <si>
    <t xml:space="preserve">A-N1-308</t>
  </si>
  <si>
    <t xml:space="preserve">C-DTG LOSS RD-03</t>
  </si>
  <si>
    <t xml:space="preserve">A-N1-309</t>
  </si>
  <si>
    <t xml:space="preserve">C-DTG LOSS RD-04</t>
  </si>
  <si>
    <t xml:space="preserve">A-N1-310</t>
  </si>
  <si>
    <t xml:space="preserve">C-DTG LOSS RD-05</t>
  </si>
  <si>
    <t xml:space="preserve">A-N1-311</t>
  </si>
  <si>
    <t xml:space="preserve">C-DTG LOSS RD-06</t>
  </si>
  <si>
    <t xml:space="preserve">A-N1-312</t>
  </si>
  <si>
    <t xml:space="preserve">C-DTG LOSS RD-07</t>
  </si>
  <si>
    <t xml:space="preserve">A-N1-313</t>
  </si>
  <si>
    <t xml:space="preserve">C-CIG INTACT</t>
  </si>
  <si>
    <t xml:space="preserve">A-N1-314</t>
  </si>
  <si>
    <t xml:space="preserve">C-CIG LOSS RD-01</t>
  </si>
  <si>
    <t xml:space="preserve">A-N1-315</t>
  </si>
  <si>
    <t xml:space="preserve">C-CIG LOSS RD-02</t>
  </si>
  <si>
    <t xml:space="preserve">A-N1-316</t>
  </si>
  <si>
    <t xml:space="preserve">C-CIG LOSS RD-03</t>
  </si>
  <si>
    <t xml:space="preserve">A-N1-317</t>
  </si>
  <si>
    <t xml:space="preserve">C-CIG LOSS RD-04</t>
  </si>
  <si>
    <t xml:space="preserve">A-N1-318</t>
  </si>
  <si>
    <t xml:space="preserve">C-CIG LOSS RD-05</t>
  </si>
  <si>
    <t xml:space="preserve">A-N1-319</t>
  </si>
  <si>
    <t xml:space="preserve">C-CIG LOSS RD-06</t>
  </si>
  <si>
    <t xml:space="preserve">A-N1-320</t>
  </si>
  <si>
    <t xml:space="preserve">C-CIG LOSS RD-07</t>
  </si>
  <si>
    <t xml:space="preserve">A-N1-321</t>
  </si>
  <si>
    <t xml:space="preserve">C-ERG INTACT</t>
  </si>
  <si>
    <t xml:space="preserve">A-N1-322</t>
  </si>
  <si>
    <t xml:space="preserve">C-ERG LOSS RD-01</t>
  </si>
  <si>
    <t xml:space="preserve">A-N1-323</t>
  </si>
  <si>
    <t xml:space="preserve">C-ERG LOSS RD-02</t>
  </si>
  <si>
    <t xml:space="preserve">A-N1-324</t>
  </si>
  <si>
    <t xml:space="preserve">C-ERG LOSS RD-03</t>
  </si>
  <si>
    <t xml:space="preserve">A-N1-325</t>
  </si>
  <si>
    <t xml:space="preserve">C-ERG LOSS RD-04</t>
  </si>
  <si>
    <t xml:space="preserve">A-N1-326</t>
  </si>
  <si>
    <t xml:space="preserve">C-ERG LOSS RD-05</t>
  </si>
  <si>
    <t xml:space="preserve">A-N1-327</t>
  </si>
  <si>
    <t xml:space="preserve">C-ERG LOSS RD-06</t>
  </si>
  <si>
    <t xml:space="preserve">A-N1-328</t>
  </si>
  <si>
    <t xml:space="preserve">C-ERG LOSS RD-07</t>
  </si>
  <si>
    <t xml:space="preserve">A-N1-329</t>
  </si>
  <si>
    <t xml:space="preserve">CM-HCG INTACT</t>
  </si>
  <si>
    <t xml:space="preserve">A-N1-330</t>
  </si>
  <si>
    <t xml:space="preserve">CM-HCG LOSS RD-01</t>
  </si>
  <si>
    <t xml:space="preserve">A-N1-331</t>
  </si>
  <si>
    <t xml:space="preserve">CM-HCG LOSS RD-02</t>
  </si>
  <si>
    <t xml:space="preserve">A-N1-332</t>
  </si>
  <si>
    <t xml:space="preserve">CM-HCG LOSS RD-03</t>
  </si>
  <si>
    <t xml:space="preserve">A-N1-333</t>
  </si>
  <si>
    <t xml:space="preserve">CM-HCG LOSS RD-04</t>
  </si>
  <si>
    <t xml:space="preserve">A-N1-334</t>
  </si>
  <si>
    <t xml:space="preserve">CM-HCG LOSS RD-05</t>
  </si>
  <si>
    <t xml:space="preserve">A-N1-335</t>
  </si>
  <si>
    <t xml:space="preserve">CM-HCG LOSS RD-06</t>
  </si>
  <si>
    <t xml:space="preserve">A-N1-336</t>
  </si>
  <si>
    <t xml:space="preserve">CM-HCG LOSS RD-07</t>
  </si>
  <si>
    <t xml:space="preserve">A-N1-337</t>
  </si>
  <si>
    <t xml:space="preserve">CM-CTN INTACT</t>
  </si>
  <si>
    <t xml:space="preserve">A-N1-338</t>
  </si>
  <si>
    <t xml:space="preserve">CM-CTN LOSS RD-01</t>
  </si>
  <si>
    <t xml:space="preserve">A-N1-339</t>
  </si>
  <si>
    <t xml:space="preserve">CM-CTN LOSS RD-02</t>
  </si>
  <si>
    <t xml:space="preserve">A-N1-340</t>
  </si>
  <si>
    <t xml:space="preserve">CM-CTN LOSS RD-03</t>
  </si>
  <si>
    <t xml:space="preserve">A-N1-341</t>
  </si>
  <si>
    <t xml:space="preserve">CM-CTN LOSS RD-04</t>
  </si>
  <si>
    <t xml:space="preserve">A-N1-342</t>
  </si>
  <si>
    <t xml:space="preserve">CM-CTN LOSS RD-05</t>
  </si>
  <si>
    <t xml:space="preserve">A-N1-343</t>
  </si>
  <si>
    <t xml:space="preserve">CM-CTN LOSS RD-06</t>
  </si>
  <si>
    <t xml:space="preserve">A-N1-344</t>
  </si>
  <si>
    <t xml:space="preserve">CM-CTN LOSS RD-07</t>
  </si>
  <si>
    <t xml:space="preserve">A-N1-345</t>
  </si>
  <si>
    <t xml:space="preserve">CM-RMG INTACT</t>
  </si>
  <si>
    <t xml:space="preserve">A-N1-346</t>
  </si>
  <si>
    <t xml:space="preserve">CM-RMG LOSS RD-01</t>
  </si>
  <si>
    <t xml:space="preserve">A-N1-347</t>
  </si>
  <si>
    <t xml:space="preserve">CM-RMG LOSS RD-02</t>
  </si>
  <si>
    <t xml:space="preserve">A-N1-348</t>
  </si>
  <si>
    <t xml:space="preserve">CM-RMG LOSS RD-03</t>
  </si>
  <si>
    <t xml:space="preserve">A-N1-349</t>
  </si>
  <si>
    <t xml:space="preserve">CM-RMG LOSS RD-04</t>
  </si>
  <si>
    <t xml:space="preserve">A-N1-350</t>
  </si>
  <si>
    <t xml:space="preserve">CM-RMG LOSS RD-05</t>
  </si>
  <si>
    <t xml:space="preserve">A-N1-351</t>
  </si>
  <si>
    <t xml:space="preserve">CM-RMG LOSS RD-06</t>
  </si>
  <si>
    <t xml:space="preserve">A-N1-352</t>
  </si>
  <si>
    <t xml:space="preserve">CM-RMG LOSS RD-07</t>
  </si>
  <si>
    <t xml:space="preserve">A-N1-353</t>
  </si>
  <si>
    <t xml:space="preserve">CM-RLG INTACT</t>
  </si>
  <si>
    <t xml:space="preserve">A-N1-354</t>
  </si>
  <si>
    <t xml:space="preserve">CM-RLG LOSS RD-01</t>
  </si>
  <si>
    <t xml:space="preserve">A-N1-355</t>
  </si>
  <si>
    <t xml:space="preserve">CM-RLG LOSS RD-02</t>
  </si>
  <si>
    <t xml:space="preserve">A-N1-356</t>
  </si>
  <si>
    <t xml:space="preserve">CM-RLG LOSS RD-03</t>
  </si>
  <si>
    <t xml:space="preserve">A-N1-357</t>
  </si>
  <si>
    <t xml:space="preserve">CM-RLG LOSS RD-04</t>
  </si>
  <si>
    <t xml:space="preserve">A-N1-358</t>
  </si>
  <si>
    <t xml:space="preserve">CM-RLG LOSS RD-05</t>
  </si>
  <si>
    <t xml:space="preserve">A-N1-359</t>
  </si>
  <si>
    <t xml:space="preserve">CM-RLG LOSS RD-06</t>
  </si>
  <si>
    <t xml:space="preserve">A-N1-360</t>
  </si>
  <si>
    <t xml:space="preserve">CM-RLG LOSS RD-07</t>
  </si>
  <si>
    <t xml:space="preserve">A-N1-361</t>
  </si>
  <si>
    <t xml:space="preserve">CM-AMG INTACT</t>
  </si>
  <si>
    <t xml:space="preserve">A-N1-362</t>
  </si>
  <si>
    <t xml:space="preserve">CM-AMG LOSS RD-01</t>
  </si>
  <si>
    <t xml:space="preserve">A-N1-363</t>
  </si>
  <si>
    <t xml:space="preserve">CM-AMG LOSS RD-02</t>
  </si>
  <si>
    <t xml:space="preserve">A-N1-364</t>
  </si>
  <si>
    <t xml:space="preserve">CM-AMG LOSS RD-03</t>
  </si>
  <si>
    <t xml:space="preserve">A-N1-365</t>
  </si>
  <si>
    <t xml:space="preserve">CM-AMG LOSS RD-04</t>
  </si>
  <si>
    <t xml:space="preserve">A-N1-366</t>
  </si>
  <si>
    <t xml:space="preserve">CM-AMG LOSS RD-05</t>
  </si>
  <si>
    <t xml:space="preserve">A-N1-367</t>
  </si>
  <si>
    <t xml:space="preserve">CM-AMG LOSS RD-06</t>
  </si>
  <si>
    <t xml:space="preserve">A-N1-368</t>
  </si>
  <si>
    <t xml:space="preserve">CM-AMG LOSS RD-07</t>
  </si>
  <si>
    <t xml:space="preserve">A-N1-369</t>
  </si>
  <si>
    <t xml:space="preserve">CM-WMG INTACT</t>
  </si>
  <si>
    <t xml:space="preserve">A-N1-370</t>
  </si>
  <si>
    <t xml:space="preserve">CM-WMG LOSS RD-01</t>
  </si>
  <si>
    <t xml:space="preserve">A-N1-371</t>
  </si>
  <si>
    <t xml:space="preserve">CM-WMG LOSS RD-02</t>
  </si>
  <si>
    <t xml:space="preserve">A-N1-372</t>
  </si>
  <si>
    <t xml:space="preserve">CM-WMG LOSS RD-03</t>
  </si>
  <si>
    <t xml:space="preserve">A-N1-373</t>
  </si>
  <si>
    <t xml:space="preserve">CM-WMG LOSS RD-04</t>
  </si>
  <si>
    <t xml:space="preserve">A-N1-374</t>
  </si>
  <si>
    <t xml:space="preserve">CM-WMG LOSS RD-05</t>
  </si>
  <si>
    <t xml:space="preserve">A-N1-375</t>
  </si>
  <si>
    <t xml:space="preserve">CM-WMG LOSS RD-06</t>
  </si>
  <si>
    <t xml:space="preserve">A-N1-376</t>
  </si>
  <si>
    <t xml:space="preserve">CM-WMG LOSS RD-07</t>
  </si>
  <si>
    <t xml:space="preserve">A-N1-377</t>
  </si>
  <si>
    <t xml:space="preserve">CM-RDC INTACT</t>
  </si>
  <si>
    <t xml:space="preserve">A-N1-378</t>
  </si>
  <si>
    <t xml:space="preserve">CM-RDC LOSS RD-01</t>
  </si>
  <si>
    <t xml:space="preserve">A-N1-379</t>
  </si>
  <si>
    <t xml:space="preserve">CM-RDC LOSS RD-02</t>
  </si>
  <si>
    <t xml:space="preserve">A-N1-380</t>
  </si>
  <si>
    <t xml:space="preserve">CM-RDC LOSS RD-03</t>
  </si>
  <si>
    <t xml:space="preserve">A-N1-381</t>
  </si>
  <si>
    <t xml:space="preserve">CM-RDC LOSS RD-04</t>
  </si>
  <si>
    <t xml:space="preserve">A-N1-382</t>
  </si>
  <si>
    <t xml:space="preserve">CM-RDC LOSS RD-05</t>
  </si>
  <si>
    <t xml:space="preserve">A-N1-383</t>
  </si>
  <si>
    <t xml:space="preserve">CM-RDC LOSS RD-06</t>
  </si>
  <si>
    <t xml:space="preserve">A-N1-384</t>
  </si>
  <si>
    <t xml:space="preserve">CM-RDC LOSS RD-07</t>
  </si>
  <si>
    <t xml:space="preserve">A-R-01</t>
  </si>
  <si>
    <t xml:space="preserve">Serial count reconciles</t>
  </si>
  <si>
    <t xml:space="preserve">A-R-02</t>
  </si>
  <si>
    <t xml:space="preserve">A-R-03</t>
  </si>
  <si>
    <t xml:space="preserve">A-R-04</t>
  </si>
  <si>
    <t xml:space="preserve">A-R-05</t>
  </si>
  <si>
    <t xml:space="preserve">A-R-06</t>
  </si>
  <si>
    <t xml:space="preserve">A-R-07</t>
  </si>
  <si>
    <t xml:space="preserve">A-R-08</t>
  </si>
  <si>
    <t xml:space="preserve">A-R-09</t>
  </si>
  <si>
    <t xml:space="preserve">A-R-10</t>
  </si>
  <si>
    <t xml:space="preserve">A-R-11</t>
  </si>
  <si>
    <t xml:space="preserve">A-R-12</t>
  </si>
  <si>
    <t xml:space="preserve">A-R-13</t>
  </si>
  <si>
    <t xml:space="preserve">A-R-14</t>
  </si>
  <si>
    <t xml:space="preserve">A-R-15</t>
  </si>
  <si>
    <t xml:space="preserve">A-R-16</t>
  </si>
  <si>
    <t xml:space="preserve">A-R-17</t>
  </si>
  <si>
    <t xml:space="preserve">A-R-18</t>
  </si>
  <si>
    <t xml:space="preserve">A-R-19</t>
  </si>
  <si>
    <t xml:space="preserve">A-R-20</t>
  </si>
  <si>
    <t xml:space="preserve">A-R-21</t>
  </si>
  <si>
    <t xml:space="preserve">A-R-22</t>
  </si>
  <si>
    <t xml:space="preserve">A-R-23</t>
  </si>
  <si>
    <t xml:space="preserve">A-R-24</t>
  </si>
  <si>
    <t xml:space="preserve">A-R-25</t>
  </si>
  <si>
    <t xml:space="preserve">A-R-26</t>
  </si>
  <si>
    <t xml:space="preserve">A-R-27</t>
  </si>
  <si>
    <t xml:space="preserve">A-R-28</t>
  </si>
  <si>
    <t xml:space="preserve">A-R-29</t>
  </si>
  <si>
    <t xml:space="preserve">A-R-30</t>
  </si>
  <si>
    <t xml:space="preserve">A-R-31</t>
  </si>
  <si>
    <t xml:space="preserve">A-R-32</t>
  </si>
  <si>
    <t xml:space="preserve">A-R-33</t>
  </si>
  <si>
    <t xml:space="preserve">A-R-34</t>
  </si>
  <si>
    <t xml:space="preserve">A-R-35</t>
  </si>
  <si>
    <t xml:space="preserve">A-R-36</t>
  </si>
  <si>
    <t xml:space="preserve">A-R-37</t>
  </si>
  <si>
    <t xml:space="preserve">A-R-38</t>
  </si>
  <si>
    <t xml:space="preserve">A-R-39</t>
  </si>
  <si>
    <t xml:space="preserve">A-R-40</t>
  </si>
  <si>
    <t xml:space="preserve">A-R-41</t>
  </si>
  <si>
    <t xml:space="preserve">A-R-42</t>
  </si>
  <si>
    <t xml:space="preserve">A-R-43</t>
  </si>
  <si>
    <t xml:space="preserve">A-R-44</t>
  </si>
  <si>
    <t xml:space="preserve">A-R-45</t>
  </si>
  <si>
    <t xml:space="preserve">A-R-46</t>
  </si>
  <si>
    <t xml:space="preserve">A-R-47</t>
  </si>
  <si>
    <t xml:space="preserve">A-R-48</t>
  </si>
  <si>
    <t xml:space="preserve">A-AUTH-01</t>
  </si>
  <si>
    <t xml:space="preserve">Authority</t>
  </si>
  <si>
    <t xml:space="preserve">Actual service credit zero</t>
  </si>
  <si>
    <t xml:space="preserve">A-AUTH-02</t>
  </si>
  <si>
    <t xml:space="preserve">Actual joint credit zero</t>
  </si>
  <si>
    <t xml:space="preserve">A-FIN-01</t>
  </si>
  <si>
    <t xml:space="preserve">Finance</t>
  </si>
  <si>
    <t xml:space="preserve">Capital gap</t>
  </si>
  <si>
    <t xml:space="preserve">Mature formation capital minus initial account</t>
  </si>
  <si>
    <t xml:space="preserve">Restored mutation tests</t>
  </si>
  <si>
    <t xml:space="preserve">Four decision controls fail their exact terminal audit and restore cleanly.</t>
  </si>
  <si>
    <t xml:space="preserve">Baseline</t>
  </si>
  <si>
    <t xml:space="preserve">Mutation</t>
  </si>
  <si>
    <t xml:space="preserve">Mutated</t>
  </si>
  <si>
    <t xml:space="preserve">Restored</t>
  </si>
  <si>
    <t xml:space="preserve">M-01</t>
  </si>
  <si>
    <t xml:space="preserve">M-02</t>
  </si>
  <si>
    <t xml:space="preserve">M-10</t>
  </si>
  <si>
    <t xml:space="preserve">M-15</t>
  </si>
  <si>
    <t xml:space="preserve">Internal source lineage</t>
  </si>
  <si>
    <t xml:space="preserve">No external sites or datasets are used. Counts are exact; fiscal and lifecycle values are planning screens.</t>
  </si>
  <si>
    <t xml:space="preserve">Repository artifact</t>
  </si>
  <si>
    <t xml:space="preserve">Claims used</t>
  </si>
  <si>
    <t xml:space="preserve">Limit</t>
  </si>
  <si>
    <t xml:space="preserve">Pass 190</t>
  </si>
  <si>
    <t xml:space="preserve">research/force/generation/department-of-resilience-productive-commonwealth-sustaining-economy-and-return.md</t>
  </si>
  <si>
    <t xml:space="preserve">Industry returns as availability, not formation</t>
  </si>
  <si>
    <t xml:space="preserve">All identities source-empty</t>
  </si>
  <si>
    <t xml:space="preserve">Pass 185</t>
  </si>
  <si>
    <t xml:space="preserve">research/force/generation/department-of-resilience-industrial-command-constitution-and-capability-warrant-state-machine.md</t>
  </si>
  <si>
    <t xml:space="preserve">Exclusive authorities and twelve capability warrants</t>
  </si>
  <si>
    <t xml:space="preserve">Root capability, not formation serial</t>
  </si>
  <si>
    <t xml:space="preserve">Pass 168</t>
  </si>
  <si>
    <t xml:space="preserve">research/force/generation/department-of-resilience-six-mission-system-portfolio-topology-and-technology-competition-constitution.md</t>
  </si>
  <si>
    <t xml:space="preserve">48 families, six mission systems, capital and billets</t>
  </si>
  <si>
    <t xml:space="preserve">Portfolio planning hypotheses</t>
  </si>
  <si>
    <t xml:space="preserve">Pass 167</t>
  </si>
  <si>
    <t xml:space="preserve">research/force/generation/department-of-resilience-national-and-invited-international-concurrency-geography-and-force-sizing-constitution.md</t>
  </si>
  <si>
    <t xml:space="preserve">2,420 demand, 5,251 inventory, readiness and N−1</t>
  </si>
  <si>
    <t xml:space="preserve">No procurement authority</t>
  </si>
  <si>
    <t xml:space="preserve">Force composition</t>
  </si>
  <si>
    <t xml:space="preserve">research/force/generation/force-composition.md</t>
  </si>
  <si>
    <t xml:space="preserve">Complete mission-package doctrine and seven services</t>
  </si>
  <si>
    <t xml:space="preserve">Conceptual composition</t>
  </si>
  <si>
    <t xml:space="preserve">National registry</t>
  </si>
  <si>
    <t xml:space="preserve">research/force/generation/national-formation-registry.md</t>
  </si>
  <si>
    <t xml:space="preserve">Canonical family grammar</t>
  </si>
  <si>
    <t xml:space="preserve">No source-verified article bill</t>
  </si>
  <si>
    <t xml:space="preserve">Model use and limits</t>
  </si>
  <si>
    <t xml:space="preserve">This model separates industrial availability, article acceptance, service formation, joint contribution and campaign credit.</t>
  </si>
  <si>
    <t xml:space="preserve">Topic</t>
  </si>
  <si>
    <t xml:space="preserve">Guidance</t>
  </si>
  <si>
    <t xml:space="preserve">Purpose</t>
  </si>
  <si>
    <t xml:space="preserve">Constitute the conversion boundary between the Productive Commonwealth and the operational force.</t>
  </si>
  <si>
    <t xml:space="preserve">Five states</t>
  </si>
  <si>
    <t xml:space="preserve">Industrial availability → accepted equipment set → service-ready formation → joint mission contribution → campaign credit.</t>
  </si>
  <si>
    <t xml:space="preserve">Formation ledger</t>
  </si>
  <si>
    <t xml:space="preserve">5,251 serials reproduce the Pass 167 inventory. Ten amber evidence fields per serial remain source-empty.</t>
  </si>
  <si>
    <t xml:space="preserve">3,667 is the sum of family-specific ceiling(inventory × planning readiness); it is not current readiness.</t>
  </si>
  <si>
    <t xml:space="preserve">N−1</t>
  </si>
  <si>
    <t xml:space="preserve">384 family-world tests distribute the planning obligation across seven districts. Planning passage does not create authority.</t>
  </si>
  <si>
    <t xml:space="preserve">Joint stack</t>
  </si>
  <si>
    <t xml:space="preserve">Sixty cells represent six mission systems in ten campaign worlds. Interfaces, concurrent trials and civil admission are empty.</t>
  </si>
  <si>
    <t xml:space="preserve">USD 230B initial formations is a subaccount of the USD 1.00T program; USD 9.41T is the separate full formation-capital screen.</t>
  </si>
  <si>
    <t xml:space="preserve">Replacement</t>
  </si>
  <si>
    <t xml:space="preserve">15–30 year sensitivities expose industrial and workforce regeneration burdens but select no service life.</t>
  </si>
  <si>
    <t xml:space="preserve">Innovation</t>
  </si>
  <si>
    <t xml:space="preserve">Twelve technology programs treat truth, reservation, receivers and regeneration as physical capabilities.</t>
  </si>
  <si>
    <t xml:space="preserve">Evidence</t>
  </si>
  <si>
    <t xml:space="preserve">Every actual service and joint credit remains zero. Source-empty cells must not be edited without governed evidence.</t>
  </si>
  <si>
    <t xml:space="preserve">Rendering</t>
  </si>
  <si>
    <t xml:space="preserve">No vehicle, facility, map or exterior rendering is authorized.</t>
  </si>
  <si>
    <t xml:space="preserve">Next resolution</t>
  </si>
  <si>
    <t xml:space="preserve">Specify the formation-generation campaign: build, crew, trial, reserve and replacement waves without counting partial states.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</si>
</sst>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\$#,##0.00"/>
    <numFmt numFmtId="167" formatCode="#,##0.00"/>
    <numFmt numFmtId="168" formatCode="\$0.000"/>
    <numFmt numFmtId="169" formatCode="0%"/>
    <numFmt numFmtId="170" formatCode="\$#,##0.0"/>
    <numFmt numFmtId="171" formatCode="#,##0.0"/>
    <numFmt numFmtId="172" formatCode="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sz val="10"/>
      <color rgb="FF1F2933"/>
      <name val="Arial"/>
      <family val="0"/>
      <charset val="1"/>
    </font>
    <font>
      <b val="true"/>
      <sz val="15"/>
      <color rgb="FF17324D"/>
      <name val="Arial"/>
      <family val="0"/>
      <charset val="1"/>
    </font>
    <font>
      <i val="true"/>
      <sz val="10"/>
      <color rgb="FF5B657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7324D"/>
        <bgColor rgb="FF1F2933"/>
      </patternFill>
    </fill>
    <fill>
      <patternFill patternType="solid">
        <fgColor rgb="FFDCEAF2"/>
        <bgColor rgb="FFE2F0D9"/>
      </patternFill>
    </fill>
    <fill>
      <patternFill patternType="solid">
        <fgColor rgb="FFFCE8E6"/>
        <bgColor rgb="FFFFF2CC"/>
      </patternFill>
    </fill>
    <fill>
      <patternFill patternType="solid">
        <fgColor rgb="FFE2F0D9"/>
        <bgColor rgb="FFDCEAF2"/>
      </patternFill>
    </fill>
    <fill>
      <patternFill patternType="solid">
        <fgColor rgb="FFFFF2CC"/>
        <bgColor rgb="FFFCE8E6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2F6B8A"/>
      </bottom>
      <diagonal/>
    </border>
    <border diagonalUp="false" diagonalDown="false">
      <left/>
      <right/>
      <top/>
      <bottom style="hair">
        <color rgb="FFD9DEE3"/>
      </bottom>
      <diagonal/>
    </border>
    <border diagonalUp="false" diagonalDown="false">
      <left/>
      <right/>
      <top style="hair">
        <color rgb="FFD9DEE3"/>
      </top>
      <bottom style="hair">
        <color rgb="FFD9DEE3"/>
      </bottom>
      <diagonal/>
    </border>
    <border diagonalUp="false" diagonalDown="false">
      <left/>
      <right/>
      <top style="hair">
        <color rgb="FFD9DEE3"/>
      </top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2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3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3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" fillId="0" borderId="3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0" borderId="3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4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3" borderId="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1" fillId="3" borderId="3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1" fillId="3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3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3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4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0" borderId="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6" borderId="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0" borderId="3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6" borderId="3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0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6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5" fillId="0" borderId="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0" borderId="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5" fillId="0" borderId="3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0" borderId="3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5" fillId="0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0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8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5" borderId="3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5" fillId="0" borderId="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5" fillId="0" borderId="3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5" fillId="0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5" fillId="0" borderId="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5" fillId="0" borderId="3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5" fillId="0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5" fillId="0" borderId="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5" fillId="0" borderId="3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3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5" fillId="0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1">
    <dxf>
      <font>
        <b val="1"/>
        <color rgb="FFC00000"/>
      </font>
      <fill>
        <patternFill>
          <bgColor rgb="FFFCE8E6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F6B8A"/>
      <rgbColor rgb="FFCCCCCC"/>
      <rgbColor rgb="FF7F7F7F"/>
      <rgbColor rgb="FFA5A5A5"/>
      <rgbColor rgb="FF993366"/>
      <rgbColor rgb="FFFFF2CC"/>
      <rgbColor rgb="FFDCEA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DEE3"/>
      <rgbColor rgb="FFE2F0D9"/>
      <rgbColor rgb="FFFCE8E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573"/>
      <rgbColor rgb="FF8B8B8B"/>
      <rgbColor rgb="FF17324D"/>
      <rgbColor rgb="FF339966"/>
      <rgbColor rgb="FF003300"/>
      <rgbColor rgb="FF333300"/>
      <rgbColor rgb="FF993300"/>
      <rgbColor rgb="FF993366"/>
      <rgbColor rgb="FF333399"/>
      <rgbColor rgb="FF1F29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Distinct readiness credits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"Credit"</c:f>
              <c:strCache>
                <c:ptCount val="1"/>
                <c:pt idx="0">
                  <c:v>Credit</c:v>
                </c:pt>
              </c:strCache>
            </c:strRef>
          </c:tx>
          <c:spPr>
            <a:solidFill>
              <a:srgbClr val="2F6B8A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Decision!$M$6:$M$10</c:f>
              <c:strCache>
                <c:ptCount val="5"/>
                <c:pt idx="0">
                  <c:v>Industrial</c:v>
                </c:pt>
                <c:pt idx="1">
                  <c:v>Equipment</c:v>
                </c:pt>
                <c:pt idx="2">
                  <c:v>Service ready</c:v>
                </c:pt>
                <c:pt idx="3">
                  <c:v>Joint admitted</c:v>
                </c:pt>
                <c:pt idx="4">
                  <c:v>Released now</c:v>
                </c:pt>
              </c:strCache>
            </c:strRef>
          </c:cat>
          <c:val>
            <c:numRef>
              <c:f>Decision!$N$6:$N$10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5251</c:v>
                </c:pt>
                <c:pt idx="3">
                  <c:v>2420</c:v>
                </c:pt>
                <c:pt idx="4">
                  <c:v>0</c:v>
                </c:pt>
              </c:numCache>
            </c:numRef>
          </c:val>
        </c:ser>
        <c:gapWidth val="150"/>
        <c:overlap val="0"/>
        <c:axId val="16323898"/>
        <c:axId val="43489967"/>
      </c:barChart>
      <c:catAx>
        <c:axId val="16323898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43489967"/>
        <c:crosses val="autoZero"/>
        <c:auto val="1"/>
        <c:lblAlgn val="ctr"/>
        <c:lblOffset val="100"/>
        <c:noMultiLvlLbl val="0"/>
      </c:catAx>
      <c:valAx>
        <c:axId val="43489967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16323898"/>
        <c:crosses val="autoZero"/>
        <c:crossBetween val="between"/>
      </c:valAx>
      <c:spPr>
        <a:ln w="0">
          <a:noFill/>
        </a:ln>
      </c:spPr>
    </c:plotArea>
    <c:plotVisOnly val="1"/>
    <c:dispBlanksAs val="zero"/>
  </c:chart>
  <c:spPr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5</xdr:row>
      <xdr:rowOff>0</xdr:rowOff>
    </xdr:from>
    <xdr:to>
      <xdr:col>10</xdr:col>
      <xdr:colOff>845280</xdr:colOff>
      <xdr:row>22</xdr:row>
      <xdr:rowOff>190080</xdr:rowOff>
    </xdr:to>
    <xdr:graphicFrame>
      <xdr:nvGraphicFramePr>
        <xdr:cNvPr id="1" name="Chart"/>
        <xdr:cNvGraphicFramePr/>
      </xdr:nvGraphicFramePr>
      <xdr:xfrm>
        <a:off x="6109200" y="997560"/>
        <a:ext cx="6766200" cy="3428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24D"/>
    <pageSetUpPr fitToPage="false"/>
  </sheetPr>
  <dimension ref="A1:Z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34"/>
    <col collapsed="false" customWidth="true" hidden="false" outlineLevel="0" max="11" min="4" style="0" width="12"/>
    <col collapsed="false" customWidth="true" hidden="false" outlineLevel="0" max="13" min="13" style="0" width="24"/>
    <col collapsed="false" customWidth="true" hidden="false" outlineLevel="0" max="14" min="14" style="0" width="16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8.55" hidden="false" customHeight="false" outlineLevel="0" collapsed="false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4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customFormat="false" ht="15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 t="s">
        <v>2</v>
      </c>
      <c r="N5" s="1" t="s">
        <v>3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5" hidden="false" customHeight="false" outlineLevel="0" collapsed="false">
      <c r="A6" s="5" t="s">
        <v>4</v>
      </c>
      <c r="B6" s="5" t="s">
        <v>5</v>
      </c>
      <c r="C6" s="6"/>
      <c r="D6" s="6"/>
      <c r="E6" s="6"/>
      <c r="F6" s="6"/>
      <c r="G6" s="6"/>
      <c r="H6" s="6"/>
      <c r="I6" s="6"/>
      <c r="J6" s="6"/>
      <c r="K6" s="6"/>
      <c r="L6" s="6"/>
      <c r="M6" s="6" t="s">
        <v>6</v>
      </c>
      <c r="N6" s="6" t="n">
        <v>0</v>
      </c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customFormat="false" ht="15" hidden="false" customHeight="false" outlineLevel="0" collapsed="false">
      <c r="A7" s="7" t="s">
        <v>7</v>
      </c>
      <c r="B7" s="8" t="s">
        <v>8</v>
      </c>
      <c r="C7" s="6"/>
      <c r="D7" s="6"/>
      <c r="E7" s="6"/>
      <c r="F7" s="6"/>
      <c r="G7" s="6"/>
      <c r="H7" s="6"/>
      <c r="I7" s="6"/>
      <c r="J7" s="6"/>
      <c r="K7" s="6"/>
      <c r="L7" s="6"/>
      <c r="M7" s="6" t="s">
        <v>9</v>
      </c>
      <c r="N7" s="6" t="n">
        <v>0</v>
      </c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customFormat="false" ht="15" hidden="false" customHeight="false" outlineLevel="0" collapsed="false">
      <c r="A8" s="9" t="s">
        <v>10</v>
      </c>
      <c r="B8" s="10" t="s">
        <v>11</v>
      </c>
      <c r="C8" s="6"/>
      <c r="D8" s="6"/>
      <c r="E8" s="6"/>
      <c r="F8" s="6"/>
      <c r="G8" s="6"/>
      <c r="H8" s="6"/>
      <c r="I8" s="6"/>
      <c r="J8" s="6"/>
      <c r="K8" s="6"/>
      <c r="L8" s="6"/>
      <c r="M8" s="6" t="s">
        <v>12</v>
      </c>
      <c r="N8" s="6" t="n">
        <v>5251</v>
      </c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customFormat="false" ht="15" hidden="false" customHeight="false" outlineLevel="0" collapsed="false">
      <c r="A9" s="9" t="s">
        <v>13</v>
      </c>
      <c r="B9" s="10" t="s">
        <v>14</v>
      </c>
      <c r="C9" s="6"/>
      <c r="D9" s="6"/>
      <c r="E9" s="6"/>
      <c r="F9" s="6"/>
      <c r="G9" s="6"/>
      <c r="H9" s="6"/>
      <c r="I9" s="6"/>
      <c r="J9" s="6"/>
      <c r="K9" s="6"/>
      <c r="L9" s="6"/>
      <c r="M9" s="6" t="s">
        <v>15</v>
      </c>
      <c r="N9" s="6" t="n">
        <v>2420</v>
      </c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customFormat="false" ht="15" hidden="false" customHeight="false" outlineLevel="0" collapsed="false">
      <c r="A10" s="9" t="s">
        <v>16</v>
      </c>
      <c r="B10" s="10" t="n">
        <v>5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 t="s">
        <v>17</v>
      </c>
      <c r="N10" s="6" t="n">
        <v>0</v>
      </c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customFormat="false" ht="15" hidden="false" customHeight="false" outlineLevel="0" collapsed="false">
      <c r="A11" s="9" t="s">
        <v>18</v>
      </c>
      <c r="B11" s="11" t="n">
        <v>10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customFormat="false" ht="15" hidden="false" customHeight="false" outlineLevel="0" collapsed="false">
      <c r="A12" s="9" t="s">
        <v>19</v>
      </c>
      <c r="B12" s="11" t="n">
        <v>5251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customFormat="false" ht="15" hidden="false" customHeight="false" outlineLevel="0" collapsed="false">
      <c r="A13" s="9" t="s">
        <v>20</v>
      </c>
      <c r="B13" s="11" t="n">
        <f aca="false">'Family Readiness'!I55</f>
        <v>3667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customFormat="false" ht="15" hidden="false" customHeight="false" outlineLevel="0" collapsed="false">
      <c r="A14" s="9" t="s">
        <v>21</v>
      </c>
      <c r="B14" s="11" t="n">
        <v>52510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customFormat="false" ht="15" hidden="false" customHeight="false" outlineLevel="0" collapsed="false">
      <c r="A15" s="9" t="s">
        <v>22</v>
      </c>
      <c r="B15" s="11" t="n">
        <v>60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customFormat="false" ht="15" hidden="false" customHeight="false" outlineLevel="0" collapsed="false">
      <c r="A16" s="9" t="s">
        <v>23</v>
      </c>
      <c r="B16" s="11" t="n">
        <v>2420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customFormat="false" ht="15" hidden="false" customHeight="false" outlineLevel="0" collapsed="false">
      <c r="A17" s="9" t="s">
        <v>24</v>
      </c>
      <c r="B17" s="11" t="n">
        <f aca="false">'Family Readiness'!J55</f>
        <v>0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customFormat="false" ht="15" hidden="false" customHeight="false" outlineLevel="0" collapsed="false">
      <c r="A18" s="9" t="s">
        <v>25</v>
      </c>
      <c r="B18" s="11" t="n">
        <f aca="false">'Joint Stack'!H67</f>
        <v>0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customFormat="false" ht="15" hidden="false" customHeight="false" outlineLevel="0" collapsed="false">
      <c r="A19" s="9" t="s">
        <v>26</v>
      </c>
      <c r="B19" s="12" t="n">
        <v>9410.56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customFormat="false" ht="15" hidden="false" customHeight="false" outlineLevel="0" collapsed="false">
      <c r="A20" s="9" t="s">
        <v>27</v>
      </c>
      <c r="B20" s="12" t="n">
        <v>230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customFormat="false" ht="15" hidden="false" customHeight="false" outlineLevel="0" collapsed="false">
      <c r="A21" s="9" t="s">
        <v>28</v>
      </c>
      <c r="B21" s="12" t="n">
        <f aca="false">'Finance Crosswalk'!B10</f>
        <v>9180.56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customFormat="false" ht="15" hidden="false" customHeight="false" outlineLevel="0" collapsed="false">
      <c r="A22" s="9" t="s">
        <v>29</v>
      </c>
      <c r="B22" s="11" t="n">
        <v>11465213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customFormat="false" ht="15" hidden="false" customHeight="false" outlineLevel="0" collapsed="false">
      <c r="A23" s="9" t="s">
        <v>30</v>
      </c>
      <c r="B23" s="11" t="n">
        <v>0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customFormat="false" ht="15" hidden="false" customHeight="false" outlineLevel="0" collapsed="false">
      <c r="A24" s="13" t="s">
        <v>31</v>
      </c>
      <c r="B24" s="14" t="s">
        <v>32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18"/>
    <col collapsed="false" customWidth="true" hidden="false" outlineLevel="0" max="4" min="4" style="0" width="30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8.55" hidden="false" customHeight="false" outlineLevel="0" collapsed="false">
      <c r="A2" s="2" t="s">
        <v>33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4" t="s">
        <v>34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customFormat="false" ht="15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5" hidden="false" customHeight="false" outlineLevel="0" collapsed="false">
      <c r="A6" s="5" t="s">
        <v>35</v>
      </c>
      <c r="B6" s="5" t="s">
        <v>5</v>
      </c>
      <c r="C6" s="5" t="s">
        <v>36</v>
      </c>
      <c r="D6" s="5" t="s">
        <v>37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customFormat="false" ht="15" hidden="false" customHeight="false" outlineLevel="0" collapsed="false">
      <c r="A7" s="7" t="s">
        <v>19</v>
      </c>
      <c r="B7" s="15" t="n">
        <v>5251</v>
      </c>
      <c r="C7" s="7" t="s">
        <v>38</v>
      </c>
      <c r="D7" s="7" t="s">
        <v>39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customFormat="false" ht="15" hidden="false" customHeight="false" outlineLevel="0" collapsed="false">
      <c r="A8" s="9" t="s">
        <v>40</v>
      </c>
      <c r="B8" s="16" t="n">
        <v>2420</v>
      </c>
      <c r="C8" s="9" t="s">
        <v>38</v>
      </c>
      <c r="D8" s="9" t="s">
        <v>39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customFormat="false" ht="15" hidden="false" customHeight="false" outlineLevel="0" collapsed="false">
      <c r="A9" s="9" t="s">
        <v>41</v>
      </c>
      <c r="B9" s="16" t="n">
        <v>0.2</v>
      </c>
      <c r="C9" s="9" t="s">
        <v>42</v>
      </c>
      <c r="D9" s="9" t="s">
        <v>39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customFormat="false" ht="15" hidden="false" customHeight="false" outlineLevel="0" collapsed="false">
      <c r="A10" s="9" t="s">
        <v>43</v>
      </c>
      <c r="B10" s="16" t="n">
        <v>7</v>
      </c>
      <c r="C10" s="9" t="s">
        <v>44</v>
      </c>
      <c r="D10" s="9" t="s">
        <v>39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customFormat="false" ht="15" hidden="false" customHeight="false" outlineLevel="0" collapsed="false">
      <c r="A11" s="9" t="s">
        <v>45</v>
      </c>
      <c r="B11" s="16" t="n">
        <v>0.2</v>
      </c>
      <c r="C11" s="9" t="s">
        <v>42</v>
      </c>
      <c r="D11" s="9" t="s">
        <v>39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customFormat="false" ht="15" hidden="false" customHeight="false" outlineLevel="0" collapsed="false">
      <c r="A12" s="9" t="s">
        <v>46</v>
      </c>
      <c r="B12" s="16" t="n">
        <v>6</v>
      </c>
      <c r="C12" s="9" t="s">
        <v>47</v>
      </c>
      <c r="D12" s="9" t="s">
        <v>39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customFormat="false" ht="15" hidden="false" customHeight="false" outlineLevel="0" collapsed="false">
      <c r="A13" s="9" t="s">
        <v>48</v>
      </c>
      <c r="B13" s="16" t="n">
        <v>10</v>
      </c>
      <c r="C13" s="9" t="s">
        <v>49</v>
      </c>
      <c r="D13" s="9" t="s">
        <v>39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customFormat="false" ht="15" hidden="false" customHeight="false" outlineLevel="0" collapsed="false">
      <c r="A14" s="9" t="s">
        <v>18</v>
      </c>
      <c r="B14" s="16" t="n">
        <v>10</v>
      </c>
      <c r="C14" s="9" t="s">
        <v>50</v>
      </c>
      <c r="D14" s="9" t="s">
        <v>39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customFormat="false" ht="15" hidden="false" customHeight="false" outlineLevel="0" collapsed="false">
      <c r="A15" s="9" t="s">
        <v>51</v>
      </c>
      <c r="B15" s="16" t="n">
        <v>48</v>
      </c>
      <c r="C15" s="9" t="s">
        <v>52</v>
      </c>
      <c r="D15" s="9" t="s">
        <v>39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customFormat="false" ht="15" hidden="false" customHeight="false" outlineLevel="0" collapsed="false">
      <c r="A16" s="9" t="s">
        <v>53</v>
      </c>
      <c r="B16" s="16" t="n">
        <v>9410.56</v>
      </c>
      <c r="C16" s="9" t="s">
        <v>54</v>
      </c>
      <c r="D16" s="9" t="s">
        <v>39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customFormat="false" ht="15" hidden="false" customHeight="false" outlineLevel="0" collapsed="false">
      <c r="A17" s="9" t="s">
        <v>55</v>
      </c>
      <c r="B17" s="16" t="n">
        <v>17400</v>
      </c>
      <c r="C17" s="9" t="s">
        <v>54</v>
      </c>
      <c r="D17" s="9" t="s">
        <v>39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customFormat="false" ht="15" hidden="false" customHeight="false" outlineLevel="0" collapsed="false">
      <c r="A18" s="9" t="s">
        <v>56</v>
      </c>
      <c r="B18" s="16" t="n">
        <v>230</v>
      </c>
      <c r="C18" s="9" t="s">
        <v>54</v>
      </c>
      <c r="D18" s="9" t="s">
        <v>39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customFormat="false" ht="15" hidden="false" customHeight="false" outlineLevel="0" collapsed="false">
      <c r="A19" s="9" t="s">
        <v>29</v>
      </c>
      <c r="B19" s="16" t="n">
        <v>11465213</v>
      </c>
      <c r="C19" s="9" t="s">
        <v>57</v>
      </c>
      <c r="D19" s="9" t="s">
        <v>39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customFormat="false" ht="15" hidden="false" customHeight="false" outlineLevel="0" collapsed="false">
      <c r="A20" s="9" t="s">
        <v>22</v>
      </c>
      <c r="B20" s="16" t="n">
        <v>60</v>
      </c>
      <c r="C20" s="9" t="s">
        <v>58</v>
      </c>
      <c r="D20" s="9" t="s">
        <v>39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customFormat="false" ht="15" hidden="false" customHeight="false" outlineLevel="0" collapsed="false">
      <c r="A21" s="9" t="s">
        <v>59</v>
      </c>
      <c r="B21" s="16" t="n">
        <v>0</v>
      </c>
      <c r="C21" s="9" t="s">
        <v>38</v>
      </c>
      <c r="D21" s="9" t="s">
        <v>39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customFormat="false" ht="15" hidden="false" customHeight="false" outlineLevel="0" collapsed="false">
      <c r="A22" s="13" t="s">
        <v>60</v>
      </c>
      <c r="B22" s="17" t="n">
        <v>0</v>
      </c>
      <c r="C22" s="13" t="s">
        <v>38</v>
      </c>
      <c r="D22" s="13" t="s">
        <v>39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5"/>
    <col collapsed="false" customWidth="true" hidden="false" outlineLevel="0" max="3" min="3" style="0" width="14"/>
    <col collapsed="false" customWidth="true" hidden="false" outlineLevel="0" max="4" min="4" style="0" width="15"/>
    <col collapsed="false" customWidth="true" hidden="false" outlineLevel="0" max="5" min="5" style="0" width="19"/>
    <col collapsed="false" customWidth="true" hidden="false" outlineLevel="0" max="6" min="6" style="0" width="17"/>
    <col collapsed="false" customWidth="true" hidden="false" outlineLevel="0" max="7" min="7" style="0" width="18"/>
    <col collapsed="false" customWidth="true" hidden="false" outlineLevel="0" max="8" min="8" style="0" width="20"/>
    <col collapsed="false" customWidth="true" hidden="false" outlineLevel="0" max="9" min="9" style="0" width="16"/>
    <col collapsed="false" customWidth="true" hidden="false" outlineLevel="0" max="11" min="10" style="0" width="17"/>
    <col collapsed="false" customWidth="true" hidden="false" outlineLevel="0" max="12" min="12" style="0" width="12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8.55" hidden="false" customHeight="false" outlineLevel="0" collapsed="false">
      <c r="A2" s="2" t="s">
        <v>61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4" t="s">
        <v>62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customFormat="false" ht="15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23.85" hidden="false" customHeight="false" outlineLevel="0" collapsed="false">
      <c r="A6" s="5" t="s">
        <v>63</v>
      </c>
      <c r="B6" s="5" t="s">
        <v>64</v>
      </c>
      <c r="C6" s="5" t="s">
        <v>65</v>
      </c>
      <c r="D6" s="5" t="s">
        <v>66</v>
      </c>
      <c r="E6" s="5" t="s">
        <v>67</v>
      </c>
      <c r="F6" s="5" t="s">
        <v>68</v>
      </c>
      <c r="G6" s="5" t="s">
        <v>69</v>
      </c>
      <c r="H6" s="5" t="s">
        <v>70</v>
      </c>
      <c r="I6" s="5" t="s">
        <v>71</v>
      </c>
      <c r="J6" s="5" t="s">
        <v>72</v>
      </c>
      <c r="K6" s="5" t="s">
        <v>73</v>
      </c>
      <c r="L6" s="5" t="s">
        <v>74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customFormat="false" ht="15" hidden="false" customHeight="false" outlineLevel="0" collapsed="false">
      <c r="A7" s="7" t="s">
        <v>75</v>
      </c>
      <c r="B7" s="18" t="s">
        <v>76</v>
      </c>
      <c r="C7" s="18" t="s">
        <v>77</v>
      </c>
      <c r="D7" s="18" t="s">
        <v>77</v>
      </c>
      <c r="E7" s="18" t="s">
        <v>77</v>
      </c>
      <c r="F7" s="18" t="s">
        <v>77</v>
      </c>
      <c r="G7" s="18" t="s">
        <v>77</v>
      </c>
      <c r="H7" s="18" t="s">
        <v>77</v>
      </c>
      <c r="I7" s="18" t="s">
        <v>77</v>
      </c>
      <c r="J7" s="18" t="s">
        <v>77</v>
      </c>
      <c r="K7" s="18" t="s">
        <v>77</v>
      </c>
      <c r="L7" s="19" t="s">
        <v>78</v>
      </c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customFormat="false" ht="15" hidden="false" customHeight="false" outlineLevel="0" collapsed="false">
      <c r="A8" s="9" t="s">
        <v>79</v>
      </c>
      <c r="B8" s="20" t="s">
        <v>76</v>
      </c>
      <c r="C8" s="20" t="s">
        <v>76</v>
      </c>
      <c r="D8" s="20" t="s">
        <v>77</v>
      </c>
      <c r="E8" s="20" t="s">
        <v>77</v>
      </c>
      <c r="F8" s="20" t="s">
        <v>77</v>
      </c>
      <c r="G8" s="20" t="s">
        <v>77</v>
      </c>
      <c r="H8" s="20" t="s">
        <v>77</v>
      </c>
      <c r="I8" s="20" t="s">
        <v>77</v>
      </c>
      <c r="J8" s="20" t="s">
        <v>77</v>
      </c>
      <c r="K8" s="20" t="s">
        <v>77</v>
      </c>
      <c r="L8" s="21" t="s">
        <v>78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customFormat="false" ht="15" hidden="false" customHeight="false" outlineLevel="0" collapsed="false">
      <c r="A9" s="9" t="s">
        <v>80</v>
      </c>
      <c r="B9" s="20" t="s">
        <v>76</v>
      </c>
      <c r="C9" s="20" t="s">
        <v>76</v>
      </c>
      <c r="D9" s="20" t="s">
        <v>76</v>
      </c>
      <c r="E9" s="20" t="s">
        <v>76</v>
      </c>
      <c r="F9" s="20" t="s">
        <v>77</v>
      </c>
      <c r="G9" s="20" t="s">
        <v>77</v>
      </c>
      <c r="H9" s="20" t="s">
        <v>77</v>
      </c>
      <c r="I9" s="20" t="s">
        <v>77</v>
      </c>
      <c r="J9" s="20" t="s">
        <v>77</v>
      </c>
      <c r="K9" s="20" t="s">
        <v>77</v>
      </c>
      <c r="L9" s="21" t="s">
        <v>78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customFormat="false" ht="15" hidden="false" customHeight="false" outlineLevel="0" collapsed="false">
      <c r="A10" s="9" t="s">
        <v>81</v>
      </c>
      <c r="B10" s="20" t="s">
        <v>76</v>
      </c>
      <c r="C10" s="20" t="s">
        <v>76</v>
      </c>
      <c r="D10" s="20" t="s">
        <v>76</v>
      </c>
      <c r="E10" s="20" t="s">
        <v>76</v>
      </c>
      <c r="F10" s="20" t="s">
        <v>76</v>
      </c>
      <c r="G10" s="20" t="s">
        <v>76</v>
      </c>
      <c r="H10" s="20" t="s">
        <v>77</v>
      </c>
      <c r="I10" s="20" t="s">
        <v>77</v>
      </c>
      <c r="J10" s="20" t="s">
        <v>77</v>
      </c>
      <c r="K10" s="20" t="s">
        <v>77</v>
      </c>
      <c r="L10" s="21" t="s">
        <v>78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customFormat="false" ht="15" hidden="false" customHeight="false" outlineLevel="0" collapsed="false">
      <c r="A11" s="13" t="s">
        <v>14</v>
      </c>
      <c r="B11" s="22" t="s">
        <v>76</v>
      </c>
      <c r="C11" s="22" t="s">
        <v>76</v>
      </c>
      <c r="D11" s="22" t="s">
        <v>76</v>
      </c>
      <c r="E11" s="22" t="s">
        <v>76</v>
      </c>
      <c r="F11" s="22" t="s">
        <v>76</v>
      </c>
      <c r="G11" s="22" t="s">
        <v>76</v>
      </c>
      <c r="H11" s="22" t="s">
        <v>76</v>
      </c>
      <c r="I11" s="22" t="s">
        <v>76</v>
      </c>
      <c r="J11" s="22" t="s">
        <v>76</v>
      </c>
      <c r="K11" s="22" t="s">
        <v>76</v>
      </c>
      <c r="L11" s="23" t="s">
        <v>82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1"/>
    <col collapsed="false" customWidth="true" hidden="false" outlineLevel="0" max="3" min="3" style="0" width="78"/>
    <col collapsed="false" customWidth="true" hidden="false" outlineLevel="0" max="4" min="4" style="0" width="37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8.55" hidden="false" customHeight="false" outlineLevel="0" collapsed="false">
      <c r="A2" s="2" t="s">
        <v>83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4" t="s">
        <v>84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customFormat="false" ht="15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5" hidden="false" customHeight="false" outlineLevel="0" collapsed="false">
      <c r="A6" s="5" t="s">
        <v>85</v>
      </c>
      <c r="B6" s="5" t="s">
        <v>86</v>
      </c>
      <c r="C6" s="5" t="s">
        <v>87</v>
      </c>
      <c r="D6" s="5" t="s">
        <v>88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customFormat="false" ht="43" hidden="false" customHeight="true" outlineLevel="0" collapsed="false">
      <c r="A7" s="7" t="s">
        <v>89</v>
      </c>
      <c r="B7" s="24" t="s">
        <v>90</v>
      </c>
      <c r="C7" s="24" t="s">
        <v>91</v>
      </c>
      <c r="D7" s="24" t="s">
        <v>92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customFormat="false" ht="43" hidden="false" customHeight="true" outlineLevel="0" collapsed="false">
      <c r="A8" s="9" t="s">
        <v>93</v>
      </c>
      <c r="B8" s="25" t="s">
        <v>94</v>
      </c>
      <c r="C8" s="25" t="s">
        <v>95</v>
      </c>
      <c r="D8" s="25" t="s">
        <v>96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customFormat="false" ht="43" hidden="false" customHeight="true" outlineLevel="0" collapsed="false">
      <c r="A9" s="9" t="s">
        <v>97</v>
      </c>
      <c r="B9" s="25" t="s">
        <v>98</v>
      </c>
      <c r="C9" s="25" t="s">
        <v>99</v>
      </c>
      <c r="D9" s="25" t="s">
        <v>100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customFormat="false" ht="43" hidden="false" customHeight="true" outlineLevel="0" collapsed="false">
      <c r="A10" s="9" t="s">
        <v>101</v>
      </c>
      <c r="B10" s="25" t="s">
        <v>102</v>
      </c>
      <c r="C10" s="25" t="s">
        <v>103</v>
      </c>
      <c r="D10" s="25" t="s">
        <v>104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customFormat="false" ht="43" hidden="false" customHeight="true" outlineLevel="0" collapsed="false">
      <c r="A11" s="9" t="s">
        <v>105</v>
      </c>
      <c r="B11" s="25" t="s">
        <v>106</v>
      </c>
      <c r="C11" s="25" t="s">
        <v>107</v>
      </c>
      <c r="D11" s="25" t="s">
        <v>108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customFormat="false" ht="43" hidden="false" customHeight="true" outlineLevel="0" collapsed="false">
      <c r="A12" s="9" t="s">
        <v>109</v>
      </c>
      <c r="B12" s="25" t="s">
        <v>110</v>
      </c>
      <c r="C12" s="25" t="s">
        <v>111</v>
      </c>
      <c r="D12" s="25" t="s">
        <v>112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customFormat="false" ht="43" hidden="false" customHeight="true" outlineLevel="0" collapsed="false">
      <c r="A13" s="9" t="s">
        <v>113</v>
      </c>
      <c r="B13" s="25" t="s">
        <v>114</v>
      </c>
      <c r="C13" s="25" t="s">
        <v>115</v>
      </c>
      <c r="D13" s="25" t="s">
        <v>116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customFormat="false" ht="43" hidden="false" customHeight="true" outlineLevel="0" collapsed="false">
      <c r="A14" s="9" t="s">
        <v>117</v>
      </c>
      <c r="B14" s="25" t="s">
        <v>118</v>
      </c>
      <c r="C14" s="25" t="s">
        <v>119</v>
      </c>
      <c r="D14" s="25" t="s">
        <v>120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customFormat="false" ht="43" hidden="false" customHeight="true" outlineLevel="0" collapsed="false">
      <c r="A15" s="9" t="s">
        <v>121</v>
      </c>
      <c r="B15" s="25" t="s">
        <v>122</v>
      </c>
      <c r="C15" s="25" t="s">
        <v>123</v>
      </c>
      <c r="D15" s="25" t="s">
        <v>124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customFormat="false" ht="43" hidden="false" customHeight="true" outlineLevel="0" collapsed="false">
      <c r="A16" s="13" t="s">
        <v>125</v>
      </c>
      <c r="B16" s="26" t="s">
        <v>126</v>
      </c>
      <c r="C16" s="26" t="s">
        <v>127</v>
      </c>
      <c r="D16" s="26" t="s">
        <v>128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8"/>
    <col collapsed="false" customWidth="true" hidden="false" outlineLevel="0" max="3" min="3" style="0" width="84"/>
    <col collapsed="false" customWidth="true" hidden="false" outlineLevel="0" max="4" min="4" style="0" width="34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8.55" hidden="false" customHeight="false" outlineLevel="0" collapsed="false">
      <c r="A2" s="2" t="s">
        <v>129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4" t="s">
        <v>130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customFormat="false" ht="15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5" hidden="false" customHeight="false" outlineLevel="0" collapsed="false">
      <c r="A6" s="5" t="s">
        <v>131</v>
      </c>
      <c r="B6" s="5" t="s">
        <v>2</v>
      </c>
      <c r="C6" s="5" t="s">
        <v>132</v>
      </c>
      <c r="D6" s="5" t="s">
        <v>133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customFormat="false" ht="42" hidden="false" customHeight="true" outlineLevel="0" collapsed="false">
      <c r="A7" s="7" t="s">
        <v>134</v>
      </c>
      <c r="B7" s="24" t="s">
        <v>135</v>
      </c>
      <c r="C7" s="24" t="s">
        <v>136</v>
      </c>
      <c r="D7" s="24" t="s">
        <v>137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customFormat="false" ht="42" hidden="false" customHeight="true" outlineLevel="0" collapsed="false">
      <c r="A8" s="9" t="s">
        <v>138</v>
      </c>
      <c r="B8" s="25" t="s">
        <v>66</v>
      </c>
      <c r="C8" s="25" t="s">
        <v>139</v>
      </c>
      <c r="D8" s="25" t="s">
        <v>140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customFormat="false" ht="42" hidden="false" customHeight="true" outlineLevel="0" collapsed="false">
      <c r="A9" s="9" t="s">
        <v>141</v>
      </c>
      <c r="B9" s="25" t="s">
        <v>142</v>
      </c>
      <c r="C9" s="25" t="s">
        <v>143</v>
      </c>
      <c r="D9" s="25" t="s">
        <v>140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customFormat="false" ht="42" hidden="false" customHeight="true" outlineLevel="0" collapsed="false">
      <c r="A10" s="9" t="s">
        <v>144</v>
      </c>
      <c r="B10" s="25" t="s">
        <v>145</v>
      </c>
      <c r="C10" s="25" t="s">
        <v>146</v>
      </c>
      <c r="D10" s="25" t="s">
        <v>147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customFormat="false" ht="42" hidden="false" customHeight="true" outlineLevel="0" collapsed="false">
      <c r="A11" s="9" t="s">
        <v>148</v>
      </c>
      <c r="B11" s="25" t="s">
        <v>149</v>
      </c>
      <c r="C11" s="25" t="s">
        <v>150</v>
      </c>
      <c r="D11" s="25" t="s">
        <v>151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customFormat="false" ht="42" hidden="false" customHeight="true" outlineLevel="0" collapsed="false">
      <c r="A12" s="9" t="s">
        <v>152</v>
      </c>
      <c r="B12" s="25" t="s">
        <v>153</v>
      </c>
      <c r="C12" s="25" t="s">
        <v>154</v>
      </c>
      <c r="D12" s="25" t="s">
        <v>155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customFormat="false" ht="42" hidden="false" customHeight="true" outlineLevel="0" collapsed="false">
      <c r="A13" s="9" t="s">
        <v>156</v>
      </c>
      <c r="B13" s="25" t="s">
        <v>157</v>
      </c>
      <c r="C13" s="25" t="s">
        <v>158</v>
      </c>
      <c r="D13" s="25" t="s">
        <v>155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customFormat="false" ht="42" hidden="false" customHeight="true" outlineLevel="0" collapsed="false">
      <c r="A14" s="9" t="s">
        <v>159</v>
      </c>
      <c r="B14" s="25" t="s">
        <v>160</v>
      </c>
      <c r="C14" s="25" t="s">
        <v>161</v>
      </c>
      <c r="D14" s="25" t="s">
        <v>162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customFormat="false" ht="42" hidden="false" customHeight="true" outlineLevel="0" collapsed="false">
      <c r="A15" s="9" t="s">
        <v>163</v>
      </c>
      <c r="B15" s="25" t="s">
        <v>70</v>
      </c>
      <c r="C15" s="25" t="s">
        <v>164</v>
      </c>
      <c r="D15" s="25" t="s">
        <v>165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customFormat="false" ht="42" hidden="false" customHeight="true" outlineLevel="0" collapsed="false">
      <c r="A16" s="13" t="s">
        <v>166</v>
      </c>
      <c r="B16" s="26" t="s">
        <v>167</v>
      </c>
      <c r="C16" s="26" t="s">
        <v>168</v>
      </c>
      <c r="D16" s="26" t="s">
        <v>147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customFormat="false" ht="15" hidden="false" customHeight="false" outlineLevel="0" collapsed="false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customFormat="false" ht="15" hidden="false" customHeight="false" outlineLevel="0" collapsed="false">
      <c r="A19" s="5" t="s">
        <v>169</v>
      </c>
      <c r="B19" s="5" t="s">
        <v>170</v>
      </c>
      <c r="C19" s="5" t="s">
        <v>171</v>
      </c>
      <c r="D19" s="5" t="s">
        <v>151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customFormat="false" ht="15" hidden="false" customHeight="false" outlineLevel="0" collapsed="false">
      <c r="A20" s="7" t="s">
        <v>172</v>
      </c>
      <c r="B20" s="7" t="s">
        <v>173</v>
      </c>
      <c r="C20" s="7" t="s">
        <v>174</v>
      </c>
      <c r="D20" s="7" t="s">
        <v>162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customFormat="false" ht="15" hidden="false" customHeight="false" outlineLevel="0" collapsed="false">
      <c r="A21" s="13" t="s">
        <v>175</v>
      </c>
      <c r="B21" s="13" t="s">
        <v>176</v>
      </c>
      <c r="C21" s="13" t="s">
        <v>177</v>
      </c>
      <c r="D21" s="13" t="s">
        <v>155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52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12"/>
    <col collapsed="false" customWidth="true" hidden="false" outlineLevel="0" max="3" min="3" style="0" width="39"/>
    <col collapsed="false" customWidth="true" hidden="false" outlineLevel="0" max="4" min="4" style="0" width="29"/>
    <col collapsed="false" customWidth="true" hidden="false" outlineLevel="0" max="5" min="5" style="0" width="11"/>
    <col collapsed="false" customWidth="true" hidden="false" outlineLevel="0" max="6" min="6" style="0" width="18"/>
    <col collapsed="false" customWidth="true" hidden="false" outlineLevel="0" max="9" min="7" style="0" width="15"/>
    <col collapsed="false" customWidth="true" hidden="false" outlineLevel="0" max="10" min="10" style="0" width="19"/>
    <col collapsed="false" customWidth="true" hidden="false" outlineLevel="0" max="20" min="11" style="0" width="9"/>
    <col collapsed="false" customWidth="true" hidden="false" outlineLevel="0" max="21" min="21" style="0" width="34"/>
    <col collapsed="false" customWidth="true" hidden="false" outlineLevel="0" max="22" min="22" style="0" width="15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8.55" hidden="false" customHeight="false" outlineLevel="0" collapsed="false">
      <c r="A2" s="2" t="s">
        <v>178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4" t="s">
        <v>179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customFormat="false" ht="15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23.85" hidden="false" customHeight="false" outlineLevel="0" collapsed="false">
      <c r="A6" s="5" t="s">
        <v>180</v>
      </c>
      <c r="B6" s="5" t="s">
        <v>181</v>
      </c>
      <c r="C6" s="5" t="s">
        <v>182</v>
      </c>
      <c r="D6" s="5" t="s">
        <v>183</v>
      </c>
      <c r="E6" s="5" t="s">
        <v>184</v>
      </c>
      <c r="F6" s="5" t="s">
        <v>185</v>
      </c>
      <c r="G6" s="5" t="s">
        <v>186</v>
      </c>
      <c r="H6" s="5" t="s">
        <v>187</v>
      </c>
      <c r="I6" s="5" t="s">
        <v>188</v>
      </c>
      <c r="J6" s="5" t="s">
        <v>189</v>
      </c>
      <c r="K6" s="5" t="s">
        <v>134</v>
      </c>
      <c r="L6" s="5" t="s">
        <v>138</v>
      </c>
      <c r="M6" s="5" t="s">
        <v>141</v>
      </c>
      <c r="N6" s="5" t="s">
        <v>144</v>
      </c>
      <c r="O6" s="5" t="s">
        <v>148</v>
      </c>
      <c r="P6" s="5" t="s">
        <v>152</v>
      </c>
      <c r="Q6" s="5" t="s">
        <v>156</v>
      </c>
      <c r="R6" s="5" t="s">
        <v>159</v>
      </c>
      <c r="S6" s="5" t="s">
        <v>163</v>
      </c>
      <c r="T6" s="5" t="s">
        <v>166</v>
      </c>
      <c r="U6" s="5" t="s">
        <v>190</v>
      </c>
      <c r="V6" s="5" t="s">
        <v>191</v>
      </c>
      <c r="W6" s="6"/>
      <c r="X6" s="6"/>
      <c r="Y6" s="6"/>
      <c r="Z6" s="6"/>
    </row>
    <row r="7" customFormat="false" ht="15" hidden="false" customHeight="false" outlineLevel="0" collapsed="false">
      <c r="A7" s="7" t="s">
        <v>192</v>
      </c>
      <c r="B7" s="7" t="s">
        <v>193</v>
      </c>
      <c r="C7" s="7" t="s">
        <v>194</v>
      </c>
      <c r="D7" s="7" t="s">
        <v>195</v>
      </c>
      <c r="E7" s="7" t="s">
        <v>196</v>
      </c>
      <c r="F7" s="7" t="s">
        <v>197</v>
      </c>
      <c r="G7" s="7" t="s">
        <v>198</v>
      </c>
      <c r="H7" s="7" t="n">
        <v>300</v>
      </c>
      <c r="I7" s="27" t="n">
        <v>0.25</v>
      </c>
      <c r="J7" s="7" t="n">
        <v>1</v>
      </c>
      <c r="K7" s="28"/>
      <c r="L7" s="28"/>
      <c r="M7" s="28"/>
      <c r="N7" s="28"/>
      <c r="O7" s="28"/>
      <c r="P7" s="28"/>
      <c r="Q7" s="28"/>
      <c r="R7" s="28"/>
      <c r="S7" s="28"/>
      <c r="T7" s="28"/>
      <c r="U7" s="19" t="str">
        <f aca="false">IF(COUNT(K7:T7)=0,"SOURCE EMPTY / INDUSTRIAL ONLY",IF(MIN(K7:T7)=1,"SERVICE READY","HOLD"))</f>
        <v>SOURCE EMPTY / INDUSTRIAL ONLY</v>
      </c>
      <c r="V7" s="7" t="n">
        <f aca="false">IF(U7="SERVICE READY",1,0)</f>
        <v>0</v>
      </c>
      <c r="W7" s="6"/>
      <c r="X7" s="6"/>
      <c r="Y7" s="6"/>
      <c r="Z7" s="6"/>
    </row>
    <row r="8" customFormat="false" ht="15" hidden="false" customHeight="false" outlineLevel="0" collapsed="false">
      <c r="A8" s="9" t="s">
        <v>199</v>
      </c>
      <c r="B8" s="9" t="s">
        <v>193</v>
      </c>
      <c r="C8" s="9" t="s">
        <v>194</v>
      </c>
      <c r="D8" s="9" t="s">
        <v>195</v>
      </c>
      <c r="E8" s="9" t="s">
        <v>196</v>
      </c>
      <c r="F8" s="9" t="s">
        <v>200</v>
      </c>
      <c r="G8" s="9" t="s">
        <v>201</v>
      </c>
      <c r="H8" s="9" t="n">
        <v>300</v>
      </c>
      <c r="I8" s="29" t="n">
        <v>0.25</v>
      </c>
      <c r="J8" s="9" t="n">
        <v>1</v>
      </c>
      <c r="K8" s="30"/>
      <c r="L8" s="30"/>
      <c r="M8" s="30"/>
      <c r="N8" s="30"/>
      <c r="O8" s="30"/>
      <c r="P8" s="30"/>
      <c r="Q8" s="30"/>
      <c r="R8" s="30"/>
      <c r="S8" s="30"/>
      <c r="T8" s="30"/>
      <c r="U8" s="21" t="str">
        <f aca="false">IF(COUNT(K8:T8)=0,"SOURCE EMPTY / INDUSTRIAL ONLY",IF(MIN(K8:T8)=1,"SERVICE READY","HOLD"))</f>
        <v>SOURCE EMPTY / INDUSTRIAL ONLY</v>
      </c>
      <c r="V8" s="9" t="n">
        <f aca="false">IF(U8="SERVICE READY",1,0)</f>
        <v>0</v>
      </c>
      <c r="W8" s="6"/>
      <c r="X8" s="6"/>
      <c r="Y8" s="6"/>
      <c r="Z8" s="6"/>
    </row>
    <row r="9" customFormat="false" ht="15" hidden="false" customHeight="false" outlineLevel="0" collapsed="false">
      <c r="A9" s="9" t="s">
        <v>202</v>
      </c>
      <c r="B9" s="9" t="s">
        <v>193</v>
      </c>
      <c r="C9" s="9" t="s">
        <v>194</v>
      </c>
      <c r="D9" s="9" t="s">
        <v>195</v>
      </c>
      <c r="E9" s="9" t="s">
        <v>196</v>
      </c>
      <c r="F9" s="9" t="s">
        <v>203</v>
      </c>
      <c r="G9" s="9" t="s">
        <v>198</v>
      </c>
      <c r="H9" s="9" t="n">
        <v>300</v>
      </c>
      <c r="I9" s="29" t="n">
        <v>0.25</v>
      </c>
      <c r="J9" s="9" t="n">
        <v>1</v>
      </c>
      <c r="K9" s="30"/>
      <c r="L9" s="30"/>
      <c r="M9" s="30"/>
      <c r="N9" s="30"/>
      <c r="O9" s="30"/>
      <c r="P9" s="30"/>
      <c r="Q9" s="30"/>
      <c r="R9" s="30"/>
      <c r="S9" s="30"/>
      <c r="T9" s="30"/>
      <c r="U9" s="21" t="str">
        <f aca="false">IF(COUNT(K9:T9)=0,"SOURCE EMPTY / INDUSTRIAL ONLY",IF(MIN(K9:T9)=1,"SERVICE READY","HOLD"))</f>
        <v>SOURCE EMPTY / INDUSTRIAL ONLY</v>
      </c>
      <c r="V9" s="9" t="n">
        <f aca="false">IF(U9="SERVICE READY",1,0)</f>
        <v>0</v>
      </c>
      <c r="W9" s="6"/>
      <c r="X9" s="6"/>
      <c r="Y9" s="6"/>
      <c r="Z9" s="6"/>
    </row>
    <row r="10" customFormat="false" ht="15" hidden="false" customHeight="false" outlineLevel="0" collapsed="false">
      <c r="A10" s="9" t="s">
        <v>204</v>
      </c>
      <c r="B10" s="9" t="s">
        <v>193</v>
      </c>
      <c r="C10" s="9" t="s">
        <v>194</v>
      </c>
      <c r="D10" s="9" t="s">
        <v>195</v>
      </c>
      <c r="E10" s="9" t="s">
        <v>196</v>
      </c>
      <c r="F10" s="9" t="s">
        <v>205</v>
      </c>
      <c r="G10" s="9" t="s">
        <v>201</v>
      </c>
      <c r="H10" s="9" t="n">
        <v>300</v>
      </c>
      <c r="I10" s="29" t="n">
        <v>0.25</v>
      </c>
      <c r="J10" s="9" t="n">
        <v>1</v>
      </c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21" t="str">
        <f aca="false">IF(COUNT(K10:T10)=0,"SOURCE EMPTY / INDUSTRIAL ONLY",IF(MIN(K10:T10)=1,"SERVICE READY","HOLD"))</f>
        <v>SOURCE EMPTY / INDUSTRIAL ONLY</v>
      </c>
      <c r="V10" s="9" t="n">
        <f aca="false">IF(U10="SERVICE READY",1,0)</f>
        <v>0</v>
      </c>
      <c r="W10" s="6"/>
      <c r="X10" s="6"/>
      <c r="Y10" s="6"/>
      <c r="Z10" s="6"/>
    </row>
    <row r="11" customFormat="false" ht="15" hidden="false" customHeight="false" outlineLevel="0" collapsed="false">
      <c r="A11" s="9" t="s">
        <v>206</v>
      </c>
      <c r="B11" s="9" t="s">
        <v>193</v>
      </c>
      <c r="C11" s="9" t="s">
        <v>194</v>
      </c>
      <c r="D11" s="9" t="s">
        <v>195</v>
      </c>
      <c r="E11" s="9" t="s">
        <v>196</v>
      </c>
      <c r="F11" s="9" t="s">
        <v>207</v>
      </c>
      <c r="G11" s="9" t="s">
        <v>198</v>
      </c>
      <c r="H11" s="9" t="n">
        <v>300</v>
      </c>
      <c r="I11" s="29" t="n">
        <v>0.25</v>
      </c>
      <c r="J11" s="9" t="n">
        <v>1</v>
      </c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21" t="str">
        <f aca="false">IF(COUNT(K11:T11)=0,"SOURCE EMPTY / INDUSTRIAL ONLY",IF(MIN(K11:T11)=1,"SERVICE READY","HOLD"))</f>
        <v>SOURCE EMPTY / INDUSTRIAL ONLY</v>
      </c>
      <c r="V11" s="9" t="n">
        <f aca="false">IF(U11="SERVICE READY",1,0)</f>
        <v>0</v>
      </c>
      <c r="W11" s="6"/>
      <c r="X11" s="6"/>
      <c r="Y11" s="6"/>
      <c r="Z11" s="6"/>
    </row>
    <row r="12" customFormat="false" ht="15" hidden="false" customHeight="false" outlineLevel="0" collapsed="false">
      <c r="A12" s="9" t="s">
        <v>208</v>
      </c>
      <c r="B12" s="9" t="s">
        <v>193</v>
      </c>
      <c r="C12" s="9" t="s">
        <v>194</v>
      </c>
      <c r="D12" s="9" t="s">
        <v>195</v>
      </c>
      <c r="E12" s="9" t="s">
        <v>196</v>
      </c>
      <c r="F12" s="9" t="s">
        <v>209</v>
      </c>
      <c r="G12" s="9" t="s">
        <v>201</v>
      </c>
      <c r="H12" s="9" t="n">
        <v>300</v>
      </c>
      <c r="I12" s="29" t="n">
        <v>0.25</v>
      </c>
      <c r="J12" s="9" t="n">
        <v>1</v>
      </c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21" t="str">
        <f aca="false">IF(COUNT(K12:T12)=0,"SOURCE EMPTY / INDUSTRIAL ONLY",IF(MIN(K12:T12)=1,"SERVICE READY","HOLD"))</f>
        <v>SOURCE EMPTY / INDUSTRIAL ONLY</v>
      </c>
      <c r="V12" s="9" t="n">
        <f aca="false">IF(U12="SERVICE READY",1,0)</f>
        <v>0</v>
      </c>
      <c r="W12" s="6"/>
      <c r="X12" s="6"/>
      <c r="Y12" s="6"/>
      <c r="Z12" s="6"/>
    </row>
    <row r="13" customFormat="false" ht="15" hidden="false" customHeight="false" outlineLevel="0" collapsed="false">
      <c r="A13" s="9" t="s">
        <v>210</v>
      </c>
      <c r="B13" s="9" t="s">
        <v>193</v>
      </c>
      <c r="C13" s="9" t="s">
        <v>194</v>
      </c>
      <c r="D13" s="9" t="s">
        <v>195</v>
      </c>
      <c r="E13" s="9" t="s">
        <v>196</v>
      </c>
      <c r="F13" s="9" t="s">
        <v>211</v>
      </c>
      <c r="G13" s="9" t="s">
        <v>198</v>
      </c>
      <c r="H13" s="9" t="n">
        <v>300</v>
      </c>
      <c r="I13" s="29" t="n">
        <v>0.25</v>
      </c>
      <c r="J13" s="9" t="n">
        <v>1</v>
      </c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21" t="str">
        <f aca="false">IF(COUNT(K13:T13)=0,"SOURCE EMPTY / INDUSTRIAL ONLY",IF(MIN(K13:T13)=1,"SERVICE READY","HOLD"))</f>
        <v>SOURCE EMPTY / INDUSTRIAL ONLY</v>
      </c>
      <c r="V13" s="9" t="n">
        <f aca="false">IF(U13="SERVICE READY",1,0)</f>
        <v>0</v>
      </c>
      <c r="W13" s="6"/>
      <c r="X13" s="6"/>
      <c r="Y13" s="6"/>
      <c r="Z13" s="6"/>
    </row>
    <row r="14" customFormat="false" ht="15" hidden="false" customHeight="false" outlineLevel="0" collapsed="false">
      <c r="A14" s="9" t="s">
        <v>212</v>
      </c>
      <c r="B14" s="9" t="s">
        <v>193</v>
      </c>
      <c r="C14" s="9" t="s">
        <v>194</v>
      </c>
      <c r="D14" s="9" t="s">
        <v>195</v>
      </c>
      <c r="E14" s="9" t="s">
        <v>196</v>
      </c>
      <c r="F14" s="9" t="s">
        <v>197</v>
      </c>
      <c r="G14" s="9" t="s">
        <v>201</v>
      </c>
      <c r="H14" s="9" t="n">
        <v>300</v>
      </c>
      <c r="I14" s="29" t="n">
        <v>0.25</v>
      </c>
      <c r="J14" s="9" t="n">
        <v>1</v>
      </c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21" t="str">
        <f aca="false">IF(COUNT(K14:T14)=0,"SOURCE EMPTY / INDUSTRIAL ONLY",IF(MIN(K14:T14)=1,"SERVICE READY","HOLD"))</f>
        <v>SOURCE EMPTY / INDUSTRIAL ONLY</v>
      </c>
      <c r="V14" s="9" t="n">
        <f aca="false">IF(U14="SERVICE READY",1,0)</f>
        <v>0</v>
      </c>
      <c r="W14" s="6"/>
      <c r="X14" s="6"/>
      <c r="Y14" s="6"/>
      <c r="Z14" s="6"/>
    </row>
    <row r="15" customFormat="false" ht="15" hidden="false" customHeight="false" outlineLevel="0" collapsed="false">
      <c r="A15" s="9" t="s">
        <v>213</v>
      </c>
      <c r="B15" s="9" t="s">
        <v>193</v>
      </c>
      <c r="C15" s="9" t="s">
        <v>194</v>
      </c>
      <c r="D15" s="9" t="s">
        <v>195</v>
      </c>
      <c r="E15" s="9" t="s">
        <v>196</v>
      </c>
      <c r="F15" s="9" t="s">
        <v>200</v>
      </c>
      <c r="G15" s="9" t="s">
        <v>198</v>
      </c>
      <c r="H15" s="9" t="n">
        <v>300</v>
      </c>
      <c r="I15" s="29" t="n">
        <v>0.25</v>
      </c>
      <c r="J15" s="9" t="n">
        <v>1</v>
      </c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21" t="str">
        <f aca="false">IF(COUNT(K15:T15)=0,"SOURCE EMPTY / INDUSTRIAL ONLY",IF(MIN(K15:T15)=1,"SERVICE READY","HOLD"))</f>
        <v>SOURCE EMPTY / INDUSTRIAL ONLY</v>
      </c>
      <c r="V15" s="9" t="n">
        <f aca="false">IF(U15="SERVICE READY",1,0)</f>
        <v>0</v>
      </c>
      <c r="W15" s="6"/>
      <c r="X15" s="6"/>
      <c r="Y15" s="6"/>
      <c r="Z15" s="6"/>
    </row>
    <row r="16" customFormat="false" ht="15" hidden="false" customHeight="false" outlineLevel="0" collapsed="false">
      <c r="A16" s="9" t="s">
        <v>214</v>
      </c>
      <c r="B16" s="9" t="s">
        <v>193</v>
      </c>
      <c r="C16" s="9" t="s">
        <v>194</v>
      </c>
      <c r="D16" s="9" t="s">
        <v>195</v>
      </c>
      <c r="E16" s="9" t="s">
        <v>196</v>
      </c>
      <c r="F16" s="9" t="s">
        <v>203</v>
      </c>
      <c r="G16" s="9" t="s">
        <v>201</v>
      </c>
      <c r="H16" s="9" t="n">
        <v>300</v>
      </c>
      <c r="I16" s="29" t="n">
        <v>0.25</v>
      </c>
      <c r="J16" s="9" t="n">
        <v>1</v>
      </c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21" t="str">
        <f aca="false">IF(COUNT(K16:T16)=0,"SOURCE EMPTY / INDUSTRIAL ONLY",IF(MIN(K16:T16)=1,"SERVICE READY","HOLD"))</f>
        <v>SOURCE EMPTY / INDUSTRIAL ONLY</v>
      </c>
      <c r="V16" s="9" t="n">
        <f aca="false">IF(U16="SERVICE READY",1,0)</f>
        <v>0</v>
      </c>
      <c r="W16" s="6"/>
      <c r="X16" s="6"/>
      <c r="Y16" s="6"/>
      <c r="Z16" s="6"/>
    </row>
    <row r="17" customFormat="false" ht="15" hidden="false" customHeight="false" outlineLevel="0" collapsed="false">
      <c r="A17" s="9" t="s">
        <v>215</v>
      </c>
      <c r="B17" s="9" t="s">
        <v>193</v>
      </c>
      <c r="C17" s="9" t="s">
        <v>194</v>
      </c>
      <c r="D17" s="9" t="s">
        <v>195</v>
      </c>
      <c r="E17" s="9" t="s">
        <v>196</v>
      </c>
      <c r="F17" s="9" t="s">
        <v>205</v>
      </c>
      <c r="G17" s="9" t="s">
        <v>198</v>
      </c>
      <c r="H17" s="9" t="n">
        <v>300</v>
      </c>
      <c r="I17" s="29" t="n">
        <v>0.25</v>
      </c>
      <c r="J17" s="9" t="n">
        <v>1</v>
      </c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21" t="str">
        <f aca="false">IF(COUNT(K17:T17)=0,"SOURCE EMPTY / INDUSTRIAL ONLY",IF(MIN(K17:T17)=1,"SERVICE READY","HOLD"))</f>
        <v>SOURCE EMPTY / INDUSTRIAL ONLY</v>
      </c>
      <c r="V17" s="9" t="n">
        <f aca="false">IF(U17="SERVICE READY",1,0)</f>
        <v>0</v>
      </c>
      <c r="W17" s="6"/>
      <c r="X17" s="6"/>
      <c r="Y17" s="6"/>
      <c r="Z17" s="6"/>
    </row>
    <row r="18" customFormat="false" ht="15" hidden="false" customHeight="false" outlineLevel="0" collapsed="false">
      <c r="A18" s="9" t="s">
        <v>216</v>
      </c>
      <c r="B18" s="9" t="s">
        <v>193</v>
      </c>
      <c r="C18" s="9" t="s">
        <v>194</v>
      </c>
      <c r="D18" s="9" t="s">
        <v>195</v>
      </c>
      <c r="E18" s="9" t="s">
        <v>196</v>
      </c>
      <c r="F18" s="9" t="s">
        <v>207</v>
      </c>
      <c r="G18" s="9" t="s">
        <v>201</v>
      </c>
      <c r="H18" s="9" t="n">
        <v>300</v>
      </c>
      <c r="I18" s="29" t="n">
        <v>0.25</v>
      </c>
      <c r="J18" s="9" t="n">
        <v>1</v>
      </c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21" t="str">
        <f aca="false">IF(COUNT(K18:T18)=0,"SOURCE EMPTY / INDUSTRIAL ONLY",IF(MIN(K18:T18)=1,"SERVICE READY","HOLD"))</f>
        <v>SOURCE EMPTY / INDUSTRIAL ONLY</v>
      </c>
      <c r="V18" s="9" t="n">
        <f aca="false">IF(U18="SERVICE READY",1,0)</f>
        <v>0</v>
      </c>
      <c r="W18" s="6"/>
      <c r="X18" s="6"/>
      <c r="Y18" s="6"/>
      <c r="Z18" s="6"/>
    </row>
    <row r="19" customFormat="false" ht="15" hidden="false" customHeight="false" outlineLevel="0" collapsed="false">
      <c r="A19" s="9" t="s">
        <v>217</v>
      </c>
      <c r="B19" s="9" t="s">
        <v>193</v>
      </c>
      <c r="C19" s="9" t="s">
        <v>194</v>
      </c>
      <c r="D19" s="9" t="s">
        <v>195</v>
      </c>
      <c r="E19" s="9" t="s">
        <v>196</v>
      </c>
      <c r="F19" s="9" t="s">
        <v>209</v>
      </c>
      <c r="G19" s="9" t="s">
        <v>198</v>
      </c>
      <c r="H19" s="9" t="n">
        <v>300</v>
      </c>
      <c r="I19" s="29" t="n">
        <v>0.25</v>
      </c>
      <c r="J19" s="9" t="n">
        <v>1</v>
      </c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21" t="str">
        <f aca="false">IF(COUNT(K19:T19)=0,"SOURCE EMPTY / INDUSTRIAL ONLY",IF(MIN(K19:T19)=1,"SERVICE READY","HOLD"))</f>
        <v>SOURCE EMPTY / INDUSTRIAL ONLY</v>
      </c>
      <c r="V19" s="9" t="n">
        <f aca="false">IF(U19="SERVICE READY",1,0)</f>
        <v>0</v>
      </c>
      <c r="W19" s="6"/>
      <c r="X19" s="6"/>
      <c r="Y19" s="6"/>
      <c r="Z19" s="6"/>
    </row>
    <row r="20" customFormat="false" ht="15" hidden="false" customHeight="false" outlineLevel="0" collapsed="false">
      <c r="A20" s="9" t="s">
        <v>218</v>
      </c>
      <c r="B20" s="9" t="s">
        <v>193</v>
      </c>
      <c r="C20" s="9" t="s">
        <v>194</v>
      </c>
      <c r="D20" s="9" t="s">
        <v>195</v>
      </c>
      <c r="E20" s="9" t="s">
        <v>196</v>
      </c>
      <c r="F20" s="9" t="s">
        <v>211</v>
      </c>
      <c r="G20" s="9" t="s">
        <v>201</v>
      </c>
      <c r="H20" s="9" t="n">
        <v>300</v>
      </c>
      <c r="I20" s="29" t="n">
        <v>0.25</v>
      </c>
      <c r="J20" s="9" t="n">
        <v>1</v>
      </c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21" t="str">
        <f aca="false">IF(COUNT(K20:T20)=0,"SOURCE EMPTY / INDUSTRIAL ONLY",IF(MIN(K20:T20)=1,"SERVICE READY","HOLD"))</f>
        <v>SOURCE EMPTY / INDUSTRIAL ONLY</v>
      </c>
      <c r="V20" s="9" t="n">
        <f aca="false">IF(U20="SERVICE READY",1,0)</f>
        <v>0</v>
      </c>
      <c r="W20" s="6"/>
      <c r="X20" s="6"/>
      <c r="Y20" s="6"/>
      <c r="Z20" s="6"/>
    </row>
    <row r="21" customFormat="false" ht="15" hidden="false" customHeight="false" outlineLevel="0" collapsed="false">
      <c r="A21" s="9" t="s">
        <v>219</v>
      </c>
      <c r="B21" s="9" t="s">
        <v>193</v>
      </c>
      <c r="C21" s="9" t="s">
        <v>194</v>
      </c>
      <c r="D21" s="9" t="s">
        <v>195</v>
      </c>
      <c r="E21" s="9" t="s">
        <v>196</v>
      </c>
      <c r="F21" s="9" t="s">
        <v>197</v>
      </c>
      <c r="G21" s="9" t="s">
        <v>198</v>
      </c>
      <c r="H21" s="9" t="n">
        <v>300</v>
      </c>
      <c r="I21" s="29" t="n">
        <v>0.25</v>
      </c>
      <c r="J21" s="9" t="n">
        <v>1</v>
      </c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21" t="str">
        <f aca="false">IF(COUNT(K21:T21)=0,"SOURCE EMPTY / INDUSTRIAL ONLY",IF(MIN(K21:T21)=1,"SERVICE READY","HOLD"))</f>
        <v>SOURCE EMPTY / INDUSTRIAL ONLY</v>
      </c>
      <c r="V21" s="9" t="n">
        <f aca="false">IF(U21="SERVICE READY",1,0)</f>
        <v>0</v>
      </c>
      <c r="W21" s="6"/>
      <c r="X21" s="6"/>
      <c r="Y21" s="6"/>
      <c r="Z21" s="6"/>
    </row>
    <row r="22" customFormat="false" ht="15" hidden="false" customHeight="false" outlineLevel="0" collapsed="false">
      <c r="A22" s="9" t="s">
        <v>220</v>
      </c>
      <c r="B22" s="9" t="s">
        <v>193</v>
      </c>
      <c r="C22" s="9" t="s">
        <v>194</v>
      </c>
      <c r="D22" s="9" t="s">
        <v>195</v>
      </c>
      <c r="E22" s="9" t="s">
        <v>196</v>
      </c>
      <c r="F22" s="9" t="s">
        <v>200</v>
      </c>
      <c r="G22" s="9" t="s">
        <v>221</v>
      </c>
      <c r="H22" s="9" t="n">
        <v>300</v>
      </c>
      <c r="I22" s="29" t="n">
        <v>0.25</v>
      </c>
      <c r="J22" s="9" t="n">
        <v>1</v>
      </c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21" t="str">
        <f aca="false">IF(COUNT(K22:T22)=0,"SOURCE EMPTY / INDUSTRIAL ONLY",IF(MIN(K22:T22)=1,"SERVICE READY","HOLD"))</f>
        <v>SOURCE EMPTY / INDUSTRIAL ONLY</v>
      </c>
      <c r="V22" s="9" t="n">
        <f aca="false">IF(U22="SERVICE READY",1,0)</f>
        <v>0</v>
      </c>
      <c r="W22" s="6"/>
      <c r="X22" s="6"/>
      <c r="Y22" s="6"/>
      <c r="Z22" s="6"/>
    </row>
    <row r="23" customFormat="false" ht="15" hidden="false" customHeight="false" outlineLevel="0" collapsed="false">
      <c r="A23" s="9" t="s">
        <v>222</v>
      </c>
      <c r="B23" s="9" t="s">
        <v>193</v>
      </c>
      <c r="C23" s="9" t="s">
        <v>194</v>
      </c>
      <c r="D23" s="9" t="s">
        <v>195</v>
      </c>
      <c r="E23" s="9" t="s">
        <v>196</v>
      </c>
      <c r="F23" s="9" t="s">
        <v>203</v>
      </c>
      <c r="G23" s="9" t="s">
        <v>221</v>
      </c>
      <c r="H23" s="9" t="n">
        <v>300</v>
      </c>
      <c r="I23" s="29" t="n">
        <v>0.25</v>
      </c>
      <c r="J23" s="9" t="n">
        <v>1</v>
      </c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21" t="str">
        <f aca="false">IF(COUNT(K23:T23)=0,"SOURCE EMPTY / INDUSTRIAL ONLY",IF(MIN(K23:T23)=1,"SERVICE READY","HOLD"))</f>
        <v>SOURCE EMPTY / INDUSTRIAL ONLY</v>
      </c>
      <c r="V23" s="9" t="n">
        <f aca="false">IF(U23="SERVICE READY",1,0)</f>
        <v>0</v>
      </c>
      <c r="W23" s="6"/>
      <c r="X23" s="6"/>
      <c r="Y23" s="6"/>
      <c r="Z23" s="6"/>
    </row>
    <row r="24" customFormat="false" ht="15" hidden="false" customHeight="false" outlineLevel="0" collapsed="false">
      <c r="A24" s="9" t="s">
        <v>223</v>
      </c>
      <c r="B24" s="9" t="s">
        <v>193</v>
      </c>
      <c r="C24" s="9" t="s">
        <v>194</v>
      </c>
      <c r="D24" s="9" t="s">
        <v>195</v>
      </c>
      <c r="E24" s="9" t="s">
        <v>196</v>
      </c>
      <c r="F24" s="9" t="s">
        <v>205</v>
      </c>
      <c r="G24" s="9" t="s">
        <v>221</v>
      </c>
      <c r="H24" s="9" t="n">
        <v>300</v>
      </c>
      <c r="I24" s="29" t="n">
        <v>0.25</v>
      </c>
      <c r="J24" s="9" t="n">
        <v>1</v>
      </c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21" t="str">
        <f aca="false">IF(COUNT(K24:T24)=0,"SOURCE EMPTY / INDUSTRIAL ONLY",IF(MIN(K24:T24)=1,"SERVICE READY","HOLD"))</f>
        <v>SOURCE EMPTY / INDUSTRIAL ONLY</v>
      </c>
      <c r="V24" s="9" t="n">
        <f aca="false">IF(U24="SERVICE READY",1,0)</f>
        <v>0</v>
      </c>
      <c r="W24" s="6"/>
      <c r="X24" s="6"/>
      <c r="Y24" s="6"/>
      <c r="Z24" s="6"/>
    </row>
    <row r="25" customFormat="false" ht="15" hidden="false" customHeight="false" outlineLevel="0" collapsed="false">
      <c r="A25" s="9" t="s">
        <v>224</v>
      </c>
      <c r="B25" s="9" t="s">
        <v>193</v>
      </c>
      <c r="C25" s="9" t="s">
        <v>194</v>
      </c>
      <c r="D25" s="9" t="s">
        <v>195</v>
      </c>
      <c r="E25" s="9" t="s">
        <v>196</v>
      </c>
      <c r="F25" s="9" t="s">
        <v>207</v>
      </c>
      <c r="G25" s="9" t="s">
        <v>221</v>
      </c>
      <c r="H25" s="9" t="n">
        <v>300</v>
      </c>
      <c r="I25" s="29" t="n">
        <v>0.25</v>
      </c>
      <c r="J25" s="9" t="n">
        <v>1</v>
      </c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21" t="str">
        <f aca="false">IF(COUNT(K25:T25)=0,"SOURCE EMPTY / INDUSTRIAL ONLY",IF(MIN(K25:T25)=1,"SERVICE READY","HOLD"))</f>
        <v>SOURCE EMPTY / INDUSTRIAL ONLY</v>
      </c>
      <c r="V25" s="9" t="n">
        <f aca="false">IF(U25="SERVICE READY",1,0)</f>
        <v>0</v>
      </c>
      <c r="W25" s="6"/>
      <c r="X25" s="6"/>
      <c r="Y25" s="6"/>
      <c r="Z25" s="6"/>
    </row>
    <row r="26" customFormat="false" ht="15" hidden="false" customHeight="false" outlineLevel="0" collapsed="false">
      <c r="A26" s="9" t="s">
        <v>225</v>
      </c>
      <c r="B26" s="9" t="s">
        <v>193</v>
      </c>
      <c r="C26" s="9" t="s">
        <v>194</v>
      </c>
      <c r="D26" s="9" t="s">
        <v>195</v>
      </c>
      <c r="E26" s="9" t="s">
        <v>196</v>
      </c>
      <c r="F26" s="9" t="s">
        <v>209</v>
      </c>
      <c r="G26" s="9" t="s">
        <v>221</v>
      </c>
      <c r="H26" s="9" t="n">
        <v>300</v>
      </c>
      <c r="I26" s="29" t="n">
        <v>0.25</v>
      </c>
      <c r="J26" s="9" t="n">
        <v>1</v>
      </c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21" t="str">
        <f aca="false">IF(COUNT(K26:T26)=0,"SOURCE EMPTY / INDUSTRIAL ONLY",IF(MIN(K26:T26)=1,"SERVICE READY","HOLD"))</f>
        <v>SOURCE EMPTY / INDUSTRIAL ONLY</v>
      </c>
      <c r="V26" s="9" t="n">
        <f aca="false">IF(U26="SERVICE READY",1,0)</f>
        <v>0</v>
      </c>
      <c r="W26" s="6"/>
      <c r="X26" s="6"/>
      <c r="Y26" s="6"/>
      <c r="Z26" s="6"/>
    </row>
    <row r="27" customFormat="false" ht="15" hidden="false" customHeight="false" outlineLevel="0" collapsed="false">
      <c r="A27" s="9" t="s">
        <v>226</v>
      </c>
      <c r="B27" s="9" t="s">
        <v>193</v>
      </c>
      <c r="C27" s="9" t="s">
        <v>194</v>
      </c>
      <c r="D27" s="9" t="s">
        <v>195</v>
      </c>
      <c r="E27" s="9" t="s">
        <v>196</v>
      </c>
      <c r="F27" s="9" t="s">
        <v>211</v>
      </c>
      <c r="G27" s="9" t="s">
        <v>221</v>
      </c>
      <c r="H27" s="9" t="n">
        <v>300</v>
      </c>
      <c r="I27" s="29" t="n">
        <v>0.25</v>
      </c>
      <c r="J27" s="9" t="n">
        <v>1</v>
      </c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21" t="str">
        <f aca="false">IF(COUNT(K27:T27)=0,"SOURCE EMPTY / INDUSTRIAL ONLY",IF(MIN(K27:T27)=1,"SERVICE READY","HOLD"))</f>
        <v>SOURCE EMPTY / INDUSTRIAL ONLY</v>
      </c>
      <c r="V27" s="9" t="n">
        <f aca="false">IF(U27="SERVICE READY",1,0)</f>
        <v>0</v>
      </c>
      <c r="W27" s="6"/>
      <c r="X27" s="6"/>
      <c r="Y27" s="6"/>
      <c r="Z27" s="6"/>
    </row>
    <row r="28" customFormat="false" ht="15" hidden="false" customHeight="false" outlineLevel="0" collapsed="false">
      <c r="A28" s="9" t="s">
        <v>227</v>
      </c>
      <c r="B28" s="9" t="s">
        <v>193</v>
      </c>
      <c r="C28" s="9" t="s">
        <v>194</v>
      </c>
      <c r="D28" s="9" t="s">
        <v>195</v>
      </c>
      <c r="E28" s="9" t="s">
        <v>196</v>
      </c>
      <c r="F28" s="9" t="s">
        <v>197</v>
      </c>
      <c r="G28" s="9" t="s">
        <v>221</v>
      </c>
      <c r="H28" s="9" t="n">
        <v>300</v>
      </c>
      <c r="I28" s="29" t="n">
        <v>0.25</v>
      </c>
      <c r="J28" s="9" t="n">
        <v>1</v>
      </c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21" t="str">
        <f aca="false">IF(COUNT(K28:T28)=0,"SOURCE EMPTY / INDUSTRIAL ONLY",IF(MIN(K28:T28)=1,"SERVICE READY","HOLD"))</f>
        <v>SOURCE EMPTY / INDUSTRIAL ONLY</v>
      </c>
      <c r="V28" s="9" t="n">
        <f aca="false">IF(U28="SERVICE READY",1,0)</f>
        <v>0</v>
      </c>
      <c r="W28" s="6"/>
      <c r="X28" s="6"/>
      <c r="Y28" s="6"/>
      <c r="Z28" s="6"/>
    </row>
    <row r="29" customFormat="false" ht="15" hidden="false" customHeight="false" outlineLevel="0" collapsed="false">
      <c r="A29" s="9" t="s">
        <v>228</v>
      </c>
      <c r="B29" s="9" t="s">
        <v>193</v>
      </c>
      <c r="C29" s="9" t="s">
        <v>194</v>
      </c>
      <c r="D29" s="9" t="s">
        <v>195</v>
      </c>
      <c r="E29" s="9" t="s">
        <v>196</v>
      </c>
      <c r="F29" s="9" t="s">
        <v>200</v>
      </c>
      <c r="G29" s="9" t="s">
        <v>221</v>
      </c>
      <c r="H29" s="9" t="n">
        <v>300</v>
      </c>
      <c r="I29" s="29" t="n">
        <v>0.25</v>
      </c>
      <c r="J29" s="9" t="n">
        <v>1</v>
      </c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21" t="str">
        <f aca="false">IF(COUNT(K29:T29)=0,"SOURCE EMPTY / INDUSTRIAL ONLY",IF(MIN(K29:T29)=1,"SERVICE READY","HOLD"))</f>
        <v>SOURCE EMPTY / INDUSTRIAL ONLY</v>
      </c>
      <c r="V29" s="9" t="n">
        <f aca="false">IF(U29="SERVICE READY",1,0)</f>
        <v>0</v>
      </c>
      <c r="W29" s="6"/>
      <c r="X29" s="6"/>
      <c r="Y29" s="6"/>
      <c r="Z29" s="6"/>
    </row>
    <row r="30" customFormat="false" ht="15" hidden="false" customHeight="false" outlineLevel="0" collapsed="false">
      <c r="A30" s="9" t="s">
        <v>229</v>
      </c>
      <c r="B30" s="9" t="s">
        <v>193</v>
      </c>
      <c r="C30" s="9" t="s">
        <v>194</v>
      </c>
      <c r="D30" s="9" t="s">
        <v>195</v>
      </c>
      <c r="E30" s="9" t="s">
        <v>196</v>
      </c>
      <c r="F30" s="9" t="s">
        <v>203</v>
      </c>
      <c r="G30" s="9" t="s">
        <v>221</v>
      </c>
      <c r="H30" s="9" t="n">
        <v>300</v>
      </c>
      <c r="I30" s="29" t="n">
        <v>0.25</v>
      </c>
      <c r="J30" s="9" t="n">
        <v>1</v>
      </c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21" t="str">
        <f aca="false">IF(COUNT(K30:T30)=0,"SOURCE EMPTY / INDUSTRIAL ONLY",IF(MIN(K30:T30)=1,"SERVICE READY","HOLD"))</f>
        <v>SOURCE EMPTY / INDUSTRIAL ONLY</v>
      </c>
      <c r="V30" s="9" t="n">
        <f aca="false">IF(U30="SERVICE READY",1,0)</f>
        <v>0</v>
      </c>
      <c r="W30" s="6"/>
      <c r="X30" s="6"/>
      <c r="Y30" s="6"/>
      <c r="Z30" s="6"/>
    </row>
    <row r="31" customFormat="false" ht="15" hidden="false" customHeight="false" outlineLevel="0" collapsed="false">
      <c r="A31" s="9" t="s">
        <v>230</v>
      </c>
      <c r="B31" s="9" t="s">
        <v>193</v>
      </c>
      <c r="C31" s="9" t="s">
        <v>194</v>
      </c>
      <c r="D31" s="9" t="s">
        <v>195</v>
      </c>
      <c r="E31" s="9" t="s">
        <v>196</v>
      </c>
      <c r="F31" s="9" t="s">
        <v>205</v>
      </c>
      <c r="G31" s="9" t="s">
        <v>221</v>
      </c>
      <c r="H31" s="9" t="n">
        <v>300</v>
      </c>
      <c r="I31" s="29" t="n">
        <v>0.25</v>
      </c>
      <c r="J31" s="9" t="n">
        <v>1</v>
      </c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21" t="str">
        <f aca="false">IF(COUNT(K31:T31)=0,"SOURCE EMPTY / INDUSTRIAL ONLY",IF(MIN(K31:T31)=1,"SERVICE READY","HOLD"))</f>
        <v>SOURCE EMPTY / INDUSTRIAL ONLY</v>
      </c>
      <c r="V31" s="9" t="n">
        <f aca="false">IF(U31="SERVICE READY",1,0)</f>
        <v>0</v>
      </c>
      <c r="W31" s="6"/>
      <c r="X31" s="6"/>
      <c r="Y31" s="6"/>
      <c r="Z31" s="6"/>
    </row>
    <row r="32" customFormat="false" ht="15" hidden="false" customHeight="false" outlineLevel="0" collapsed="false">
      <c r="A32" s="9" t="s">
        <v>231</v>
      </c>
      <c r="B32" s="9" t="s">
        <v>193</v>
      </c>
      <c r="C32" s="9" t="s">
        <v>194</v>
      </c>
      <c r="D32" s="9" t="s">
        <v>195</v>
      </c>
      <c r="E32" s="9" t="s">
        <v>196</v>
      </c>
      <c r="F32" s="9" t="s">
        <v>207</v>
      </c>
      <c r="G32" s="9" t="s">
        <v>221</v>
      </c>
      <c r="H32" s="9" t="n">
        <v>300</v>
      </c>
      <c r="I32" s="29" t="n">
        <v>0.25</v>
      </c>
      <c r="J32" s="9" t="n">
        <v>1</v>
      </c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21" t="str">
        <f aca="false">IF(COUNT(K32:T32)=0,"SOURCE EMPTY / INDUSTRIAL ONLY",IF(MIN(K32:T32)=1,"SERVICE READY","HOLD"))</f>
        <v>SOURCE EMPTY / INDUSTRIAL ONLY</v>
      </c>
      <c r="V32" s="9" t="n">
        <f aca="false">IF(U32="SERVICE READY",1,0)</f>
        <v>0</v>
      </c>
      <c r="W32" s="6"/>
      <c r="X32" s="6"/>
      <c r="Y32" s="6"/>
      <c r="Z32" s="6"/>
    </row>
    <row r="33" customFormat="false" ht="15" hidden="false" customHeight="false" outlineLevel="0" collapsed="false">
      <c r="A33" s="9" t="s">
        <v>232</v>
      </c>
      <c r="B33" s="9" t="s">
        <v>193</v>
      </c>
      <c r="C33" s="9" t="s">
        <v>194</v>
      </c>
      <c r="D33" s="9" t="s">
        <v>195</v>
      </c>
      <c r="E33" s="9" t="s">
        <v>196</v>
      </c>
      <c r="F33" s="9" t="s">
        <v>209</v>
      </c>
      <c r="G33" s="9" t="s">
        <v>221</v>
      </c>
      <c r="H33" s="9" t="n">
        <v>300</v>
      </c>
      <c r="I33" s="29" t="n">
        <v>0.25</v>
      </c>
      <c r="J33" s="9" t="n">
        <v>1</v>
      </c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21" t="str">
        <f aca="false">IF(COUNT(K33:T33)=0,"SOURCE EMPTY / INDUSTRIAL ONLY",IF(MIN(K33:T33)=1,"SERVICE READY","HOLD"))</f>
        <v>SOURCE EMPTY / INDUSTRIAL ONLY</v>
      </c>
      <c r="V33" s="9" t="n">
        <f aca="false">IF(U33="SERVICE READY",1,0)</f>
        <v>0</v>
      </c>
      <c r="W33" s="6"/>
      <c r="X33" s="6"/>
      <c r="Y33" s="6"/>
      <c r="Z33" s="6"/>
    </row>
    <row r="34" customFormat="false" ht="15" hidden="false" customHeight="false" outlineLevel="0" collapsed="false">
      <c r="A34" s="9" t="s">
        <v>233</v>
      </c>
      <c r="B34" s="9" t="s">
        <v>193</v>
      </c>
      <c r="C34" s="9" t="s">
        <v>194</v>
      </c>
      <c r="D34" s="9" t="s">
        <v>195</v>
      </c>
      <c r="E34" s="9" t="s">
        <v>196</v>
      </c>
      <c r="F34" s="9" t="s">
        <v>211</v>
      </c>
      <c r="G34" s="9" t="s">
        <v>221</v>
      </c>
      <c r="H34" s="9" t="n">
        <v>300</v>
      </c>
      <c r="I34" s="29" t="n">
        <v>0.25</v>
      </c>
      <c r="J34" s="9" t="n">
        <v>1</v>
      </c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21" t="str">
        <f aca="false">IF(COUNT(K34:T34)=0,"SOURCE EMPTY / INDUSTRIAL ONLY",IF(MIN(K34:T34)=1,"SERVICE READY","HOLD"))</f>
        <v>SOURCE EMPTY / INDUSTRIAL ONLY</v>
      </c>
      <c r="V34" s="9" t="n">
        <f aca="false">IF(U34="SERVICE READY",1,0)</f>
        <v>0</v>
      </c>
      <c r="W34" s="6"/>
      <c r="X34" s="6"/>
      <c r="Y34" s="6"/>
      <c r="Z34" s="6"/>
    </row>
    <row r="35" customFormat="false" ht="15" hidden="false" customHeight="false" outlineLevel="0" collapsed="false">
      <c r="A35" s="9" t="s">
        <v>234</v>
      </c>
      <c r="B35" s="9" t="s">
        <v>193</v>
      </c>
      <c r="C35" s="9" t="s">
        <v>194</v>
      </c>
      <c r="D35" s="9" t="s">
        <v>195</v>
      </c>
      <c r="E35" s="9" t="s">
        <v>196</v>
      </c>
      <c r="F35" s="9" t="s">
        <v>197</v>
      </c>
      <c r="G35" s="9" t="s">
        <v>221</v>
      </c>
      <c r="H35" s="9" t="n">
        <v>300</v>
      </c>
      <c r="I35" s="29" t="n">
        <v>0.25</v>
      </c>
      <c r="J35" s="9" t="n">
        <v>1</v>
      </c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21" t="str">
        <f aca="false">IF(COUNT(K35:T35)=0,"SOURCE EMPTY / INDUSTRIAL ONLY",IF(MIN(K35:T35)=1,"SERVICE READY","HOLD"))</f>
        <v>SOURCE EMPTY / INDUSTRIAL ONLY</v>
      </c>
      <c r="V35" s="9" t="n">
        <f aca="false">IF(U35="SERVICE READY",1,0)</f>
        <v>0</v>
      </c>
      <c r="W35" s="6"/>
      <c r="X35" s="6"/>
      <c r="Y35" s="6"/>
      <c r="Z35" s="6"/>
    </row>
    <row r="36" customFormat="false" ht="15" hidden="false" customHeight="false" outlineLevel="0" collapsed="false">
      <c r="A36" s="9" t="s">
        <v>235</v>
      </c>
      <c r="B36" s="9" t="s">
        <v>193</v>
      </c>
      <c r="C36" s="9" t="s">
        <v>194</v>
      </c>
      <c r="D36" s="9" t="s">
        <v>195</v>
      </c>
      <c r="E36" s="9" t="s">
        <v>196</v>
      </c>
      <c r="F36" s="9" t="s">
        <v>200</v>
      </c>
      <c r="G36" s="9" t="s">
        <v>221</v>
      </c>
      <c r="H36" s="9" t="n">
        <v>300</v>
      </c>
      <c r="I36" s="29" t="n">
        <v>0.25</v>
      </c>
      <c r="J36" s="9" t="n">
        <v>1</v>
      </c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21" t="str">
        <f aca="false">IF(COUNT(K36:T36)=0,"SOURCE EMPTY / INDUSTRIAL ONLY",IF(MIN(K36:T36)=1,"SERVICE READY","HOLD"))</f>
        <v>SOURCE EMPTY / INDUSTRIAL ONLY</v>
      </c>
      <c r="V36" s="9" t="n">
        <f aca="false">IF(U36="SERVICE READY",1,0)</f>
        <v>0</v>
      </c>
      <c r="W36" s="6"/>
      <c r="X36" s="6"/>
      <c r="Y36" s="6"/>
      <c r="Z36" s="6"/>
    </row>
    <row r="37" customFormat="false" ht="15" hidden="false" customHeight="false" outlineLevel="0" collapsed="false">
      <c r="A37" s="9" t="s">
        <v>236</v>
      </c>
      <c r="B37" s="9" t="s">
        <v>193</v>
      </c>
      <c r="C37" s="9" t="s">
        <v>194</v>
      </c>
      <c r="D37" s="9" t="s">
        <v>195</v>
      </c>
      <c r="E37" s="9" t="s">
        <v>196</v>
      </c>
      <c r="F37" s="9" t="s">
        <v>203</v>
      </c>
      <c r="G37" s="9" t="s">
        <v>221</v>
      </c>
      <c r="H37" s="9" t="n">
        <v>300</v>
      </c>
      <c r="I37" s="29" t="n">
        <v>0.25</v>
      </c>
      <c r="J37" s="9" t="n">
        <v>1</v>
      </c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21" t="str">
        <f aca="false">IF(COUNT(K37:T37)=0,"SOURCE EMPTY / INDUSTRIAL ONLY",IF(MIN(K37:T37)=1,"SERVICE READY","HOLD"))</f>
        <v>SOURCE EMPTY / INDUSTRIAL ONLY</v>
      </c>
      <c r="V37" s="9" t="n">
        <f aca="false">IF(U37="SERVICE READY",1,0)</f>
        <v>0</v>
      </c>
      <c r="W37" s="6"/>
      <c r="X37" s="6"/>
      <c r="Y37" s="6"/>
      <c r="Z37" s="6"/>
    </row>
    <row r="38" customFormat="false" ht="15" hidden="false" customHeight="false" outlineLevel="0" collapsed="false">
      <c r="A38" s="9" t="s">
        <v>237</v>
      </c>
      <c r="B38" s="9" t="s">
        <v>193</v>
      </c>
      <c r="C38" s="9" t="s">
        <v>194</v>
      </c>
      <c r="D38" s="9" t="s">
        <v>195</v>
      </c>
      <c r="E38" s="9" t="s">
        <v>196</v>
      </c>
      <c r="F38" s="9" t="s">
        <v>205</v>
      </c>
      <c r="G38" s="9" t="s">
        <v>221</v>
      </c>
      <c r="H38" s="9" t="n">
        <v>300</v>
      </c>
      <c r="I38" s="29" t="n">
        <v>0.25</v>
      </c>
      <c r="J38" s="9" t="n">
        <v>1</v>
      </c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21" t="str">
        <f aca="false">IF(COUNT(K38:T38)=0,"SOURCE EMPTY / INDUSTRIAL ONLY",IF(MIN(K38:T38)=1,"SERVICE READY","HOLD"))</f>
        <v>SOURCE EMPTY / INDUSTRIAL ONLY</v>
      </c>
      <c r="V38" s="9" t="n">
        <f aca="false">IF(U38="SERVICE READY",1,0)</f>
        <v>0</v>
      </c>
      <c r="W38" s="6"/>
      <c r="X38" s="6"/>
      <c r="Y38" s="6"/>
      <c r="Z38" s="6"/>
    </row>
    <row r="39" customFormat="false" ht="15" hidden="false" customHeight="false" outlineLevel="0" collapsed="false">
      <c r="A39" s="9" t="s">
        <v>238</v>
      </c>
      <c r="B39" s="9" t="s">
        <v>193</v>
      </c>
      <c r="C39" s="9" t="s">
        <v>194</v>
      </c>
      <c r="D39" s="9" t="s">
        <v>195</v>
      </c>
      <c r="E39" s="9" t="s">
        <v>196</v>
      </c>
      <c r="F39" s="9" t="s">
        <v>207</v>
      </c>
      <c r="G39" s="9" t="s">
        <v>221</v>
      </c>
      <c r="H39" s="9" t="n">
        <v>300</v>
      </c>
      <c r="I39" s="29" t="n">
        <v>0.25</v>
      </c>
      <c r="J39" s="9" t="n">
        <v>1</v>
      </c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21" t="str">
        <f aca="false">IF(COUNT(K39:T39)=0,"SOURCE EMPTY / INDUSTRIAL ONLY",IF(MIN(K39:T39)=1,"SERVICE READY","HOLD"))</f>
        <v>SOURCE EMPTY / INDUSTRIAL ONLY</v>
      </c>
      <c r="V39" s="9" t="n">
        <f aca="false">IF(U39="SERVICE READY",1,0)</f>
        <v>0</v>
      </c>
      <c r="W39" s="6"/>
      <c r="X39" s="6"/>
      <c r="Y39" s="6"/>
      <c r="Z39" s="6"/>
    </row>
    <row r="40" customFormat="false" ht="15" hidden="false" customHeight="false" outlineLevel="0" collapsed="false">
      <c r="A40" s="9" t="s">
        <v>239</v>
      </c>
      <c r="B40" s="9" t="s">
        <v>193</v>
      </c>
      <c r="C40" s="9" t="s">
        <v>194</v>
      </c>
      <c r="D40" s="9" t="s">
        <v>195</v>
      </c>
      <c r="E40" s="9" t="s">
        <v>196</v>
      </c>
      <c r="F40" s="9" t="s">
        <v>209</v>
      </c>
      <c r="G40" s="9" t="s">
        <v>221</v>
      </c>
      <c r="H40" s="9" t="n">
        <v>300</v>
      </c>
      <c r="I40" s="29" t="n">
        <v>0.25</v>
      </c>
      <c r="J40" s="9" t="n">
        <v>1</v>
      </c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21" t="str">
        <f aca="false">IF(COUNT(K40:T40)=0,"SOURCE EMPTY / INDUSTRIAL ONLY",IF(MIN(K40:T40)=1,"SERVICE READY","HOLD"))</f>
        <v>SOURCE EMPTY / INDUSTRIAL ONLY</v>
      </c>
      <c r="V40" s="9" t="n">
        <f aca="false">IF(U40="SERVICE READY",1,0)</f>
        <v>0</v>
      </c>
      <c r="W40" s="6"/>
      <c r="X40" s="6"/>
      <c r="Y40" s="6"/>
      <c r="Z40" s="6"/>
    </row>
    <row r="41" customFormat="false" ht="15" hidden="false" customHeight="false" outlineLevel="0" collapsed="false">
      <c r="A41" s="9" t="s">
        <v>240</v>
      </c>
      <c r="B41" s="9" t="s">
        <v>193</v>
      </c>
      <c r="C41" s="9" t="s">
        <v>194</v>
      </c>
      <c r="D41" s="9" t="s">
        <v>195</v>
      </c>
      <c r="E41" s="9" t="s">
        <v>196</v>
      </c>
      <c r="F41" s="9" t="s">
        <v>211</v>
      </c>
      <c r="G41" s="9" t="s">
        <v>221</v>
      </c>
      <c r="H41" s="9" t="n">
        <v>300</v>
      </c>
      <c r="I41" s="29" t="n">
        <v>0.25</v>
      </c>
      <c r="J41" s="9" t="n">
        <v>1</v>
      </c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21" t="str">
        <f aca="false">IF(COUNT(K41:T41)=0,"SOURCE EMPTY / INDUSTRIAL ONLY",IF(MIN(K41:T41)=1,"SERVICE READY","HOLD"))</f>
        <v>SOURCE EMPTY / INDUSTRIAL ONLY</v>
      </c>
      <c r="V41" s="9" t="n">
        <f aca="false">IF(U41="SERVICE READY",1,0)</f>
        <v>0</v>
      </c>
      <c r="W41" s="6"/>
      <c r="X41" s="6"/>
      <c r="Y41" s="6"/>
      <c r="Z41" s="6"/>
    </row>
    <row r="42" customFormat="false" ht="15" hidden="false" customHeight="false" outlineLevel="0" collapsed="false">
      <c r="A42" s="9" t="s">
        <v>241</v>
      </c>
      <c r="B42" s="9" t="s">
        <v>193</v>
      </c>
      <c r="C42" s="9" t="s">
        <v>194</v>
      </c>
      <c r="D42" s="9" t="s">
        <v>195</v>
      </c>
      <c r="E42" s="9" t="s">
        <v>196</v>
      </c>
      <c r="F42" s="9" t="s">
        <v>197</v>
      </c>
      <c r="G42" s="9" t="s">
        <v>221</v>
      </c>
      <c r="H42" s="9" t="n">
        <v>300</v>
      </c>
      <c r="I42" s="29" t="n">
        <v>0.25</v>
      </c>
      <c r="J42" s="9" t="n">
        <v>1</v>
      </c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21" t="str">
        <f aca="false">IF(COUNT(K42:T42)=0,"SOURCE EMPTY / INDUSTRIAL ONLY",IF(MIN(K42:T42)=1,"SERVICE READY","HOLD"))</f>
        <v>SOURCE EMPTY / INDUSTRIAL ONLY</v>
      </c>
      <c r="V42" s="9" t="n">
        <f aca="false">IF(U42="SERVICE READY",1,0)</f>
        <v>0</v>
      </c>
      <c r="W42" s="6"/>
      <c r="X42" s="6"/>
      <c r="Y42" s="6"/>
      <c r="Z42" s="6"/>
    </row>
    <row r="43" customFormat="false" ht="15" hidden="false" customHeight="false" outlineLevel="0" collapsed="false">
      <c r="A43" s="9" t="s">
        <v>242</v>
      </c>
      <c r="B43" s="9" t="s">
        <v>193</v>
      </c>
      <c r="C43" s="9" t="s">
        <v>194</v>
      </c>
      <c r="D43" s="9" t="s">
        <v>195</v>
      </c>
      <c r="E43" s="9" t="s">
        <v>196</v>
      </c>
      <c r="F43" s="9" t="s">
        <v>200</v>
      </c>
      <c r="G43" s="9" t="s">
        <v>221</v>
      </c>
      <c r="H43" s="9" t="n">
        <v>300</v>
      </c>
      <c r="I43" s="29" t="n">
        <v>0.25</v>
      </c>
      <c r="J43" s="9" t="n">
        <v>1</v>
      </c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21" t="str">
        <f aca="false">IF(COUNT(K43:T43)=0,"SOURCE EMPTY / INDUSTRIAL ONLY",IF(MIN(K43:T43)=1,"SERVICE READY","HOLD"))</f>
        <v>SOURCE EMPTY / INDUSTRIAL ONLY</v>
      </c>
      <c r="V43" s="9" t="n">
        <f aca="false">IF(U43="SERVICE READY",1,0)</f>
        <v>0</v>
      </c>
      <c r="W43" s="6"/>
      <c r="X43" s="6"/>
      <c r="Y43" s="6"/>
      <c r="Z43" s="6"/>
    </row>
    <row r="44" customFormat="false" ht="15" hidden="false" customHeight="false" outlineLevel="0" collapsed="false">
      <c r="A44" s="9" t="s">
        <v>243</v>
      </c>
      <c r="B44" s="9" t="s">
        <v>193</v>
      </c>
      <c r="C44" s="9" t="s">
        <v>194</v>
      </c>
      <c r="D44" s="9" t="s">
        <v>195</v>
      </c>
      <c r="E44" s="9" t="s">
        <v>196</v>
      </c>
      <c r="F44" s="9" t="s">
        <v>203</v>
      </c>
      <c r="G44" s="9" t="s">
        <v>221</v>
      </c>
      <c r="H44" s="9" t="n">
        <v>300</v>
      </c>
      <c r="I44" s="29" t="n">
        <v>0.25</v>
      </c>
      <c r="J44" s="9" t="n">
        <v>1</v>
      </c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21" t="str">
        <f aca="false">IF(COUNT(K44:T44)=0,"SOURCE EMPTY / INDUSTRIAL ONLY",IF(MIN(K44:T44)=1,"SERVICE READY","HOLD"))</f>
        <v>SOURCE EMPTY / INDUSTRIAL ONLY</v>
      </c>
      <c r="V44" s="9" t="n">
        <f aca="false">IF(U44="SERVICE READY",1,0)</f>
        <v>0</v>
      </c>
      <c r="W44" s="6"/>
      <c r="X44" s="6"/>
      <c r="Y44" s="6"/>
      <c r="Z44" s="6"/>
    </row>
    <row r="45" customFormat="false" ht="15" hidden="false" customHeight="false" outlineLevel="0" collapsed="false">
      <c r="A45" s="9" t="s">
        <v>244</v>
      </c>
      <c r="B45" s="9" t="s">
        <v>193</v>
      </c>
      <c r="C45" s="9" t="s">
        <v>194</v>
      </c>
      <c r="D45" s="9" t="s">
        <v>195</v>
      </c>
      <c r="E45" s="9" t="s">
        <v>196</v>
      </c>
      <c r="F45" s="9" t="s">
        <v>205</v>
      </c>
      <c r="G45" s="9" t="s">
        <v>221</v>
      </c>
      <c r="H45" s="9" t="n">
        <v>300</v>
      </c>
      <c r="I45" s="29" t="n">
        <v>0.25</v>
      </c>
      <c r="J45" s="9" t="n">
        <v>1</v>
      </c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21" t="str">
        <f aca="false">IF(COUNT(K45:T45)=0,"SOURCE EMPTY / INDUSTRIAL ONLY",IF(MIN(K45:T45)=1,"SERVICE READY","HOLD"))</f>
        <v>SOURCE EMPTY / INDUSTRIAL ONLY</v>
      </c>
      <c r="V45" s="9" t="n">
        <f aca="false">IF(U45="SERVICE READY",1,0)</f>
        <v>0</v>
      </c>
      <c r="W45" s="6"/>
      <c r="X45" s="6"/>
      <c r="Y45" s="6"/>
      <c r="Z45" s="6"/>
    </row>
    <row r="46" customFormat="false" ht="15" hidden="false" customHeight="false" outlineLevel="0" collapsed="false">
      <c r="A46" s="9" t="s">
        <v>245</v>
      </c>
      <c r="B46" s="9" t="s">
        <v>193</v>
      </c>
      <c r="C46" s="9" t="s">
        <v>194</v>
      </c>
      <c r="D46" s="9" t="s">
        <v>195</v>
      </c>
      <c r="E46" s="9" t="s">
        <v>196</v>
      </c>
      <c r="F46" s="9" t="s">
        <v>207</v>
      </c>
      <c r="G46" s="9" t="s">
        <v>221</v>
      </c>
      <c r="H46" s="9" t="n">
        <v>300</v>
      </c>
      <c r="I46" s="29" t="n">
        <v>0.25</v>
      </c>
      <c r="J46" s="9" t="n">
        <v>1</v>
      </c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21" t="str">
        <f aca="false">IF(COUNT(K46:T46)=0,"SOURCE EMPTY / INDUSTRIAL ONLY",IF(MIN(K46:T46)=1,"SERVICE READY","HOLD"))</f>
        <v>SOURCE EMPTY / INDUSTRIAL ONLY</v>
      </c>
      <c r="V46" s="9" t="n">
        <f aca="false">IF(U46="SERVICE READY",1,0)</f>
        <v>0</v>
      </c>
      <c r="W46" s="6"/>
      <c r="X46" s="6"/>
      <c r="Y46" s="6"/>
      <c r="Z46" s="6"/>
    </row>
    <row r="47" customFormat="false" ht="15" hidden="false" customHeight="false" outlineLevel="0" collapsed="false">
      <c r="A47" s="9" t="s">
        <v>246</v>
      </c>
      <c r="B47" s="9" t="s">
        <v>193</v>
      </c>
      <c r="C47" s="9" t="s">
        <v>194</v>
      </c>
      <c r="D47" s="9" t="s">
        <v>195</v>
      </c>
      <c r="E47" s="9" t="s">
        <v>196</v>
      </c>
      <c r="F47" s="9" t="s">
        <v>209</v>
      </c>
      <c r="G47" s="9" t="s">
        <v>221</v>
      </c>
      <c r="H47" s="9" t="n">
        <v>300</v>
      </c>
      <c r="I47" s="29" t="n">
        <v>0.25</v>
      </c>
      <c r="J47" s="9" t="n">
        <v>1</v>
      </c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21" t="str">
        <f aca="false">IF(COUNT(K47:T47)=0,"SOURCE EMPTY / INDUSTRIAL ONLY",IF(MIN(K47:T47)=1,"SERVICE READY","HOLD"))</f>
        <v>SOURCE EMPTY / INDUSTRIAL ONLY</v>
      </c>
      <c r="V47" s="9" t="n">
        <f aca="false">IF(U47="SERVICE READY",1,0)</f>
        <v>0</v>
      </c>
      <c r="W47" s="6"/>
      <c r="X47" s="6"/>
      <c r="Y47" s="6"/>
      <c r="Z47" s="6"/>
    </row>
    <row r="48" customFormat="false" ht="15" hidden="false" customHeight="false" outlineLevel="0" collapsed="false">
      <c r="A48" s="9" t="s">
        <v>247</v>
      </c>
      <c r="B48" s="9" t="s">
        <v>193</v>
      </c>
      <c r="C48" s="9" t="s">
        <v>194</v>
      </c>
      <c r="D48" s="9" t="s">
        <v>195</v>
      </c>
      <c r="E48" s="9" t="s">
        <v>196</v>
      </c>
      <c r="F48" s="9" t="s">
        <v>211</v>
      </c>
      <c r="G48" s="9" t="s">
        <v>221</v>
      </c>
      <c r="H48" s="9" t="n">
        <v>300</v>
      </c>
      <c r="I48" s="29" t="n">
        <v>0.25</v>
      </c>
      <c r="J48" s="9" t="n">
        <v>1</v>
      </c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21" t="str">
        <f aca="false">IF(COUNT(K48:T48)=0,"SOURCE EMPTY / INDUSTRIAL ONLY",IF(MIN(K48:T48)=1,"SERVICE READY","HOLD"))</f>
        <v>SOURCE EMPTY / INDUSTRIAL ONLY</v>
      </c>
      <c r="V48" s="9" t="n">
        <f aca="false">IF(U48="SERVICE READY",1,0)</f>
        <v>0</v>
      </c>
      <c r="W48" s="6"/>
      <c r="X48" s="6"/>
      <c r="Y48" s="6"/>
      <c r="Z48" s="6"/>
    </row>
    <row r="49" customFormat="false" ht="15" hidden="false" customHeight="false" outlineLevel="0" collapsed="false">
      <c r="A49" s="9" t="s">
        <v>248</v>
      </c>
      <c r="B49" s="9" t="s">
        <v>193</v>
      </c>
      <c r="C49" s="9" t="s">
        <v>194</v>
      </c>
      <c r="D49" s="9" t="s">
        <v>195</v>
      </c>
      <c r="E49" s="9" t="s">
        <v>196</v>
      </c>
      <c r="F49" s="9" t="s">
        <v>197</v>
      </c>
      <c r="G49" s="9" t="s">
        <v>221</v>
      </c>
      <c r="H49" s="9" t="n">
        <v>300</v>
      </c>
      <c r="I49" s="29" t="n">
        <v>0.25</v>
      </c>
      <c r="J49" s="9" t="n">
        <v>1</v>
      </c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21" t="str">
        <f aca="false">IF(COUNT(K49:T49)=0,"SOURCE EMPTY / INDUSTRIAL ONLY",IF(MIN(K49:T49)=1,"SERVICE READY","HOLD"))</f>
        <v>SOURCE EMPTY / INDUSTRIAL ONLY</v>
      </c>
      <c r="V49" s="9" t="n">
        <f aca="false">IF(U49="SERVICE READY",1,0)</f>
        <v>0</v>
      </c>
      <c r="W49" s="6"/>
      <c r="X49" s="6"/>
      <c r="Y49" s="6"/>
      <c r="Z49" s="6"/>
    </row>
    <row r="50" customFormat="false" ht="15" hidden="false" customHeight="false" outlineLevel="0" collapsed="false">
      <c r="A50" s="9" t="s">
        <v>249</v>
      </c>
      <c r="B50" s="9" t="s">
        <v>193</v>
      </c>
      <c r="C50" s="9" t="s">
        <v>194</v>
      </c>
      <c r="D50" s="9" t="s">
        <v>195</v>
      </c>
      <c r="E50" s="9" t="s">
        <v>196</v>
      </c>
      <c r="F50" s="9" t="s">
        <v>200</v>
      </c>
      <c r="G50" s="9" t="s">
        <v>221</v>
      </c>
      <c r="H50" s="9" t="n">
        <v>300</v>
      </c>
      <c r="I50" s="29" t="n">
        <v>0.25</v>
      </c>
      <c r="J50" s="9" t="n">
        <v>1</v>
      </c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21" t="str">
        <f aca="false">IF(COUNT(K50:T50)=0,"SOURCE EMPTY / INDUSTRIAL ONLY",IF(MIN(K50:T50)=1,"SERVICE READY","HOLD"))</f>
        <v>SOURCE EMPTY / INDUSTRIAL ONLY</v>
      </c>
      <c r="V50" s="9" t="n">
        <f aca="false">IF(U50="SERVICE READY",1,0)</f>
        <v>0</v>
      </c>
      <c r="W50" s="6"/>
      <c r="X50" s="6"/>
      <c r="Y50" s="6"/>
      <c r="Z50" s="6"/>
    </row>
    <row r="51" customFormat="false" ht="15" hidden="false" customHeight="false" outlineLevel="0" collapsed="false">
      <c r="A51" s="9" t="s">
        <v>250</v>
      </c>
      <c r="B51" s="9" t="s">
        <v>193</v>
      </c>
      <c r="C51" s="9" t="s">
        <v>194</v>
      </c>
      <c r="D51" s="9" t="s">
        <v>195</v>
      </c>
      <c r="E51" s="9" t="s">
        <v>196</v>
      </c>
      <c r="F51" s="9" t="s">
        <v>203</v>
      </c>
      <c r="G51" s="9" t="s">
        <v>221</v>
      </c>
      <c r="H51" s="9" t="n">
        <v>300</v>
      </c>
      <c r="I51" s="29" t="n">
        <v>0.25</v>
      </c>
      <c r="J51" s="9" t="n">
        <v>1</v>
      </c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21" t="str">
        <f aca="false">IF(COUNT(K51:T51)=0,"SOURCE EMPTY / INDUSTRIAL ONLY",IF(MIN(K51:T51)=1,"SERVICE READY","HOLD"))</f>
        <v>SOURCE EMPTY / INDUSTRIAL ONLY</v>
      </c>
      <c r="V51" s="9" t="n">
        <f aca="false">IF(U51="SERVICE READY",1,0)</f>
        <v>0</v>
      </c>
      <c r="W51" s="6"/>
      <c r="X51" s="6"/>
      <c r="Y51" s="6"/>
      <c r="Z51" s="6"/>
    </row>
    <row r="52" customFormat="false" ht="15" hidden="false" customHeight="false" outlineLevel="0" collapsed="false">
      <c r="A52" s="9" t="s">
        <v>251</v>
      </c>
      <c r="B52" s="9" t="s">
        <v>193</v>
      </c>
      <c r="C52" s="9" t="s">
        <v>194</v>
      </c>
      <c r="D52" s="9" t="s">
        <v>195</v>
      </c>
      <c r="E52" s="9" t="s">
        <v>196</v>
      </c>
      <c r="F52" s="9" t="s">
        <v>205</v>
      </c>
      <c r="G52" s="9" t="s">
        <v>221</v>
      </c>
      <c r="H52" s="9" t="n">
        <v>300</v>
      </c>
      <c r="I52" s="29" t="n">
        <v>0.25</v>
      </c>
      <c r="J52" s="9" t="n">
        <v>1</v>
      </c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21" t="str">
        <f aca="false">IF(COUNT(K52:T52)=0,"SOURCE EMPTY / INDUSTRIAL ONLY",IF(MIN(K52:T52)=1,"SERVICE READY","HOLD"))</f>
        <v>SOURCE EMPTY / INDUSTRIAL ONLY</v>
      </c>
      <c r="V52" s="9" t="n">
        <f aca="false">IF(U52="SERVICE READY",1,0)</f>
        <v>0</v>
      </c>
      <c r="W52" s="6"/>
      <c r="X52" s="6"/>
      <c r="Y52" s="6"/>
      <c r="Z52" s="6"/>
    </row>
    <row r="53" customFormat="false" ht="15" hidden="false" customHeight="false" outlineLevel="0" collapsed="false">
      <c r="A53" s="9" t="s">
        <v>252</v>
      </c>
      <c r="B53" s="9" t="s">
        <v>193</v>
      </c>
      <c r="C53" s="9" t="s">
        <v>194</v>
      </c>
      <c r="D53" s="9" t="s">
        <v>195</v>
      </c>
      <c r="E53" s="9" t="s">
        <v>196</v>
      </c>
      <c r="F53" s="9" t="s">
        <v>207</v>
      </c>
      <c r="G53" s="9" t="s">
        <v>221</v>
      </c>
      <c r="H53" s="9" t="n">
        <v>300</v>
      </c>
      <c r="I53" s="29" t="n">
        <v>0.25</v>
      </c>
      <c r="J53" s="9" t="n">
        <v>1</v>
      </c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21" t="str">
        <f aca="false">IF(COUNT(K53:T53)=0,"SOURCE EMPTY / INDUSTRIAL ONLY",IF(MIN(K53:T53)=1,"SERVICE READY","HOLD"))</f>
        <v>SOURCE EMPTY / INDUSTRIAL ONLY</v>
      </c>
      <c r="V53" s="9" t="n">
        <f aca="false">IF(U53="SERVICE READY",1,0)</f>
        <v>0</v>
      </c>
      <c r="W53" s="6"/>
      <c r="X53" s="6"/>
      <c r="Y53" s="6"/>
      <c r="Z53" s="6"/>
    </row>
    <row r="54" customFormat="false" ht="15" hidden="false" customHeight="false" outlineLevel="0" collapsed="false">
      <c r="A54" s="9" t="s">
        <v>253</v>
      </c>
      <c r="B54" s="9" t="s">
        <v>193</v>
      </c>
      <c r="C54" s="9" t="s">
        <v>194</v>
      </c>
      <c r="D54" s="9" t="s">
        <v>195</v>
      </c>
      <c r="E54" s="9" t="s">
        <v>196</v>
      </c>
      <c r="F54" s="9" t="s">
        <v>209</v>
      </c>
      <c r="G54" s="9" t="s">
        <v>221</v>
      </c>
      <c r="H54" s="9" t="n">
        <v>300</v>
      </c>
      <c r="I54" s="29" t="n">
        <v>0.25</v>
      </c>
      <c r="J54" s="9" t="n">
        <v>1</v>
      </c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21" t="str">
        <f aca="false">IF(COUNT(K54:T54)=0,"SOURCE EMPTY / INDUSTRIAL ONLY",IF(MIN(K54:T54)=1,"SERVICE READY","HOLD"))</f>
        <v>SOURCE EMPTY / INDUSTRIAL ONLY</v>
      </c>
      <c r="V54" s="9" t="n">
        <f aca="false">IF(U54="SERVICE READY",1,0)</f>
        <v>0</v>
      </c>
      <c r="W54" s="6"/>
      <c r="X54" s="6"/>
      <c r="Y54" s="6"/>
      <c r="Z54" s="6"/>
    </row>
    <row r="55" customFormat="false" ht="15" hidden="false" customHeight="false" outlineLevel="0" collapsed="false">
      <c r="A55" s="9" t="s">
        <v>254</v>
      </c>
      <c r="B55" s="9" t="s">
        <v>193</v>
      </c>
      <c r="C55" s="9" t="s">
        <v>194</v>
      </c>
      <c r="D55" s="9" t="s">
        <v>195</v>
      </c>
      <c r="E55" s="9" t="s">
        <v>196</v>
      </c>
      <c r="F55" s="9" t="s">
        <v>211</v>
      </c>
      <c r="G55" s="9" t="s">
        <v>221</v>
      </c>
      <c r="H55" s="9" t="n">
        <v>300</v>
      </c>
      <c r="I55" s="29" t="n">
        <v>0.25</v>
      </c>
      <c r="J55" s="9" t="n">
        <v>1</v>
      </c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21" t="str">
        <f aca="false">IF(COUNT(K55:T55)=0,"SOURCE EMPTY / INDUSTRIAL ONLY",IF(MIN(K55:T55)=1,"SERVICE READY","HOLD"))</f>
        <v>SOURCE EMPTY / INDUSTRIAL ONLY</v>
      </c>
      <c r="V55" s="9" t="n">
        <f aca="false">IF(U55="SERVICE READY",1,0)</f>
        <v>0</v>
      </c>
      <c r="W55" s="6"/>
      <c r="X55" s="6"/>
      <c r="Y55" s="6"/>
      <c r="Z55" s="6"/>
    </row>
    <row r="56" customFormat="false" ht="15" hidden="false" customHeight="false" outlineLevel="0" collapsed="false">
      <c r="A56" s="9" t="s">
        <v>255</v>
      </c>
      <c r="B56" s="9" t="s">
        <v>193</v>
      </c>
      <c r="C56" s="9" t="s">
        <v>194</v>
      </c>
      <c r="D56" s="9" t="s">
        <v>195</v>
      </c>
      <c r="E56" s="9" t="s">
        <v>196</v>
      </c>
      <c r="F56" s="9" t="s">
        <v>197</v>
      </c>
      <c r="G56" s="9" t="s">
        <v>221</v>
      </c>
      <c r="H56" s="9" t="n">
        <v>300</v>
      </c>
      <c r="I56" s="29" t="n">
        <v>0.25</v>
      </c>
      <c r="J56" s="9" t="n">
        <v>1</v>
      </c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21" t="str">
        <f aca="false">IF(COUNT(K56:T56)=0,"SOURCE EMPTY / INDUSTRIAL ONLY",IF(MIN(K56:T56)=1,"SERVICE READY","HOLD"))</f>
        <v>SOURCE EMPTY / INDUSTRIAL ONLY</v>
      </c>
      <c r="V56" s="9" t="n">
        <f aca="false">IF(U56="SERVICE READY",1,0)</f>
        <v>0</v>
      </c>
      <c r="W56" s="6"/>
      <c r="X56" s="6"/>
      <c r="Y56" s="6"/>
      <c r="Z56" s="6"/>
    </row>
    <row r="57" customFormat="false" ht="15" hidden="false" customHeight="false" outlineLevel="0" collapsed="false">
      <c r="A57" s="9" t="s">
        <v>256</v>
      </c>
      <c r="B57" s="9" t="s">
        <v>193</v>
      </c>
      <c r="C57" s="9" t="s">
        <v>194</v>
      </c>
      <c r="D57" s="9" t="s">
        <v>195</v>
      </c>
      <c r="E57" s="9" t="s">
        <v>196</v>
      </c>
      <c r="F57" s="9" t="s">
        <v>200</v>
      </c>
      <c r="G57" s="9" t="s">
        <v>221</v>
      </c>
      <c r="H57" s="9" t="n">
        <v>300</v>
      </c>
      <c r="I57" s="29" t="n">
        <v>0.25</v>
      </c>
      <c r="J57" s="9" t="n">
        <v>1</v>
      </c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21" t="str">
        <f aca="false">IF(COUNT(K57:T57)=0,"SOURCE EMPTY / INDUSTRIAL ONLY",IF(MIN(K57:T57)=1,"SERVICE READY","HOLD"))</f>
        <v>SOURCE EMPTY / INDUSTRIAL ONLY</v>
      </c>
      <c r="V57" s="9" t="n">
        <f aca="false">IF(U57="SERVICE READY",1,0)</f>
        <v>0</v>
      </c>
      <c r="W57" s="6"/>
      <c r="X57" s="6"/>
      <c r="Y57" s="6"/>
      <c r="Z57" s="6"/>
    </row>
    <row r="58" customFormat="false" ht="15" hidden="false" customHeight="false" outlineLevel="0" collapsed="false">
      <c r="A58" s="9" t="s">
        <v>257</v>
      </c>
      <c r="B58" s="9" t="s">
        <v>193</v>
      </c>
      <c r="C58" s="9" t="s">
        <v>194</v>
      </c>
      <c r="D58" s="9" t="s">
        <v>195</v>
      </c>
      <c r="E58" s="9" t="s">
        <v>196</v>
      </c>
      <c r="F58" s="9" t="s">
        <v>203</v>
      </c>
      <c r="G58" s="9" t="s">
        <v>221</v>
      </c>
      <c r="H58" s="9" t="n">
        <v>300</v>
      </c>
      <c r="I58" s="29" t="n">
        <v>0.25</v>
      </c>
      <c r="J58" s="9" t="n">
        <v>1</v>
      </c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21" t="str">
        <f aca="false">IF(COUNT(K58:T58)=0,"SOURCE EMPTY / INDUSTRIAL ONLY",IF(MIN(K58:T58)=1,"SERVICE READY","HOLD"))</f>
        <v>SOURCE EMPTY / INDUSTRIAL ONLY</v>
      </c>
      <c r="V58" s="9" t="n">
        <f aca="false">IF(U58="SERVICE READY",1,0)</f>
        <v>0</v>
      </c>
      <c r="W58" s="6"/>
      <c r="X58" s="6"/>
      <c r="Y58" s="6"/>
      <c r="Z58" s="6"/>
    </row>
    <row r="59" customFormat="false" ht="15" hidden="false" customHeight="false" outlineLevel="0" collapsed="false">
      <c r="A59" s="9" t="s">
        <v>258</v>
      </c>
      <c r="B59" s="9" t="s">
        <v>193</v>
      </c>
      <c r="C59" s="9" t="s">
        <v>194</v>
      </c>
      <c r="D59" s="9" t="s">
        <v>195</v>
      </c>
      <c r="E59" s="9" t="s">
        <v>196</v>
      </c>
      <c r="F59" s="9" t="s">
        <v>205</v>
      </c>
      <c r="G59" s="9" t="s">
        <v>221</v>
      </c>
      <c r="H59" s="9" t="n">
        <v>300</v>
      </c>
      <c r="I59" s="29" t="n">
        <v>0.25</v>
      </c>
      <c r="J59" s="9" t="n">
        <v>0</v>
      </c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21" t="str">
        <f aca="false">IF(COUNT(K59:T59)=0,"SOURCE EMPTY / INDUSTRIAL ONLY",IF(MIN(K59:T59)=1,"SERVICE READY","HOLD"))</f>
        <v>SOURCE EMPTY / INDUSTRIAL ONLY</v>
      </c>
      <c r="V59" s="9" t="n">
        <f aca="false">IF(U59="SERVICE READY",1,0)</f>
        <v>0</v>
      </c>
      <c r="W59" s="6"/>
      <c r="X59" s="6"/>
      <c r="Y59" s="6"/>
      <c r="Z59" s="6"/>
    </row>
    <row r="60" customFormat="false" ht="15" hidden="false" customHeight="false" outlineLevel="0" collapsed="false">
      <c r="A60" s="9" t="s">
        <v>259</v>
      </c>
      <c r="B60" s="9" t="s">
        <v>193</v>
      </c>
      <c r="C60" s="9" t="s">
        <v>194</v>
      </c>
      <c r="D60" s="9" t="s">
        <v>195</v>
      </c>
      <c r="E60" s="9" t="s">
        <v>196</v>
      </c>
      <c r="F60" s="9" t="s">
        <v>207</v>
      </c>
      <c r="G60" s="9" t="s">
        <v>221</v>
      </c>
      <c r="H60" s="9" t="n">
        <v>300</v>
      </c>
      <c r="I60" s="29" t="n">
        <v>0.25</v>
      </c>
      <c r="J60" s="9" t="n">
        <v>0</v>
      </c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21" t="str">
        <f aca="false">IF(COUNT(K60:T60)=0,"SOURCE EMPTY / INDUSTRIAL ONLY",IF(MIN(K60:T60)=1,"SERVICE READY","HOLD"))</f>
        <v>SOURCE EMPTY / INDUSTRIAL ONLY</v>
      </c>
      <c r="V60" s="9" t="n">
        <f aca="false">IF(U60="SERVICE READY",1,0)</f>
        <v>0</v>
      </c>
      <c r="W60" s="6"/>
      <c r="X60" s="6"/>
      <c r="Y60" s="6"/>
      <c r="Z60" s="6"/>
    </row>
    <row r="61" customFormat="false" ht="15" hidden="false" customHeight="false" outlineLevel="0" collapsed="false">
      <c r="A61" s="9" t="s">
        <v>260</v>
      </c>
      <c r="B61" s="9" t="s">
        <v>193</v>
      </c>
      <c r="C61" s="9" t="s">
        <v>194</v>
      </c>
      <c r="D61" s="9" t="s">
        <v>195</v>
      </c>
      <c r="E61" s="9" t="s">
        <v>196</v>
      </c>
      <c r="F61" s="9" t="s">
        <v>209</v>
      </c>
      <c r="G61" s="9" t="s">
        <v>221</v>
      </c>
      <c r="H61" s="9" t="n">
        <v>300</v>
      </c>
      <c r="I61" s="29" t="n">
        <v>0.25</v>
      </c>
      <c r="J61" s="9" t="n">
        <v>0</v>
      </c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21" t="str">
        <f aca="false">IF(COUNT(K61:T61)=0,"SOURCE EMPTY / INDUSTRIAL ONLY",IF(MIN(K61:T61)=1,"SERVICE READY","HOLD"))</f>
        <v>SOURCE EMPTY / INDUSTRIAL ONLY</v>
      </c>
      <c r="V61" s="9" t="n">
        <f aca="false">IF(U61="SERVICE READY",1,0)</f>
        <v>0</v>
      </c>
      <c r="W61" s="6"/>
      <c r="X61" s="6"/>
      <c r="Y61" s="6"/>
      <c r="Z61" s="6"/>
    </row>
    <row r="62" customFormat="false" ht="15" hidden="false" customHeight="false" outlineLevel="0" collapsed="false">
      <c r="A62" s="9" t="s">
        <v>261</v>
      </c>
      <c r="B62" s="9" t="s">
        <v>193</v>
      </c>
      <c r="C62" s="9" t="s">
        <v>194</v>
      </c>
      <c r="D62" s="9" t="s">
        <v>195</v>
      </c>
      <c r="E62" s="9" t="s">
        <v>196</v>
      </c>
      <c r="F62" s="9" t="s">
        <v>211</v>
      </c>
      <c r="G62" s="9" t="s">
        <v>221</v>
      </c>
      <c r="H62" s="9" t="n">
        <v>300</v>
      </c>
      <c r="I62" s="29" t="n">
        <v>0.25</v>
      </c>
      <c r="J62" s="9" t="n">
        <v>0</v>
      </c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21" t="str">
        <f aca="false">IF(COUNT(K62:T62)=0,"SOURCE EMPTY / INDUSTRIAL ONLY",IF(MIN(K62:T62)=1,"SERVICE READY","HOLD"))</f>
        <v>SOURCE EMPTY / INDUSTRIAL ONLY</v>
      </c>
      <c r="V62" s="9" t="n">
        <f aca="false">IF(U62="SERVICE READY",1,0)</f>
        <v>0</v>
      </c>
      <c r="W62" s="6"/>
      <c r="X62" s="6"/>
      <c r="Y62" s="6"/>
      <c r="Z62" s="6"/>
    </row>
    <row r="63" customFormat="false" ht="15" hidden="false" customHeight="false" outlineLevel="0" collapsed="false">
      <c r="A63" s="9" t="s">
        <v>262</v>
      </c>
      <c r="B63" s="9" t="s">
        <v>193</v>
      </c>
      <c r="C63" s="9" t="s">
        <v>194</v>
      </c>
      <c r="D63" s="9" t="s">
        <v>195</v>
      </c>
      <c r="E63" s="9" t="s">
        <v>196</v>
      </c>
      <c r="F63" s="9" t="s">
        <v>197</v>
      </c>
      <c r="G63" s="9" t="s">
        <v>221</v>
      </c>
      <c r="H63" s="9" t="n">
        <v>300</v>
      </c>
      <c r="I63" s="29" t="n">
        <v>0.25</v>
      </c>
      <c r="J63" s="9" t="n">
        <v>0</v>
      </c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21" t="str">
        <f aca="false">IF(COUNT(K63:T63)=0,"SOURCE EMPTY / INDUSTRIAL ONLY",IF(MIN(K63:T63)=1,"SERVICE READY","HOLD"))</f>
        <v>SOURCE EMPTY / INDUSTRIAL ONLY</v>
      </c>
      <c r="V63" s="9" t="n">
        <f aca="false">IF(U63="SERVICE READY",1,0)</f>
        <v>0</v>
      </c>
      <c r="W63" s="6"/>
      <c r="X63" s="6"/>
      <c r="Y63" s="6"/>
      <c r="Z63" s="6"/>
    </row>
    <row r="64" customFormat="false" ht="15" hidden="false" customHeight="false" outlineLevel="0" collapsed="false">
      <c r="A64" s="9" t="s">
        <v>263</v>
      </c>
      <c r="B64" s="9" t="s">
        <v>193</v>
      </c>
      <c r="C64" s="9" t="s">
        <v>194</v>
      </c>
      <c r="D64" s="9" t="s">
        <v>195</v>
      </c>
      <c r="E64" s="9" t="s">
        <v>196</v>
      </c>
      <c r="F64" s="9" t="s">
        <v>200</v>
      </c>
      <c r="G64" s="9" t="s">
        <v>221</v>
      </c>
      <c r="H64" s="9" t="n">
        <v>300</v>
      </c>
      <c r="I64" s="29" t="n">
        <v>0.25</v>
      </c>
      <c r="J64" s="9" t="n">
        <v>0</v>
      </c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21" t="str">
        <f aca="false">IF(COUNT(K64:T64)=0,"SOURCE EMPTY / INDUSTRIAL ONLY",IF(MIN(K64:T64)=1,"SERVICE READY","HOLD"))</f>
        <v>SOURCE EMPTY / INDUSTRIAL ONLY</v>
      </c>
      <c r="V64" s="9" t="n">
        <f aca="false">IF(U64="SERVICE READY",1,0)</f>
        <v>0</v>
      </c>
      <c r="W64" s="6"/>
      <c r="X64" s="6"/>
      <c r="Y64" s="6"/>
      <c r="Z64" s="6"/>
    </row>
    <row r="65" customFormat="false" ht="15" hidden="false" customHeight="false" outlineLevel="0" collapsed="false">
      <c r="A65" s="9" t="s">
        <v>264</v>
      </c>
      <c r="B65" s="9" t="s">
        <v>193</v>
      </c>
      <c r="C65" s="9" t="s">
        <v>194</v>
      </c>
      <c r="D65" s="9" t="s">
        <v>195</v>
      </c>
      <c r="E65" s="9" t="s">
        <v>196</v>
      </c>
      <c r="F65" s="9" t="s">
        <v>203</v>
      </c>
      <c r="G65" s="9" t="s">
        <v>221</v>
      </c>
      <c r="H65" s="9" t="n">
        <v>300</v>
      </c>
      <c r="I65" s="29" t="n">
        <v>0.25</v>
      </c>
      <c r="J65" s="9" t="n">
        <v>0</v>
      </c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21" t="str">
        <f aca="false">IF(COUNT(K65:T65)=0,"SOURCE EMPTY / INDUSTRIAL ONLY",IF(MIN(K65:T65)=1,"SERVICE READY","HOLD"))</f>
        <v>SOURCE EMPTY / INDUSTRIAL ONLY</v>
      </c>
      <c r="V65" s="9" t="n">
        <f aca="false">IF(U65="SERVICE READY",1,0)</f>
        <v>0</v>
      </c>
      <c r="W65" s="6"/>
      <c r="X65" s="6"/>
      <c r="Y65" s="6"/>
      <c r="Z65" s="6"/>
    </row>
    <row r="66" customFormat="false" ht="15" hidden="false" customHeight="false" outlineLevel="0" collapsed="false">
      <c r="A66" s="9" t="s">
        <v>265</v>
      </c>
      <c r="B66" s="9" t="s">
        <v>193</v>
      </c>
      <c r="C66" s="9" t="s">
        <v>194</v>
      </c>
      <c r="D66" s="9" t="s">
        <v>195</v>
      </c>
      <c r="E66" s="9" t="s">
        <v>196</v>
      </c>
      <c r="F66" s="9" t="s">
        <v>205</v>
      </c>
      <c r="G66" s="9" t="s">
        <v>221</v>
      </c>
      <c r="H66" s="9" t="n">
        <v>300</v>
      </c>
      <c r="I66" s="29" t="n">
        <v>0.25</v>
      </c>
      <c r="J66" s="9" t="n">
        <v>0</v>
      </c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21" t="str">
        <f aca="false">IF(COUNT(K66:T66)=0,"SOURCE EMPTY / INDUSTRIAL ONLY",IF(MIN(K66:T66)=1,"SERVICE READY","HOLD"))</f>
        <v>SOURCE EMPTY / INDUSTRIAL ONLY</v>
      </c>
      <c r="V66" s="9" t="n">
        <f aca="false">IF(U66="SERVICE READY",1,0)</f>
        <v>0</v>
      </c>
      <c r="W66" s="6"/>
      <c r="X66" s="6"/>
      <c r="Y66" s="6"/>
      <c r="Z66" s="6"/>
    </row>
    <row r="67" customFormat="false" ht="15" hidden="false" customHeight="false" outlineLevel="0" collapsed="false">
      <c r="A67" s="9" t="s">
        <v>266</v>
      </c>
      <c r="B67" s="9" t="s">
        <v>193</v>
      </c>
      <c r="C67" s="9" t="s">
        <v>194</v>
      </c>
      <c r="D67" s="9" t="s">
        <v>195</v>
      </c>
      <c r="E67" s="9" t="s">
        <v>196</v>
      </c>
      <c r="F67" s="9" t="s">
        <v>207</v>
      </c>
      <c r="G67" s="9" t="s">
        <v>221</v>
      </c>
      <c r="H67" s="9" t="n">
        <v>300</v>
      </c>
      <c r="I67" s="29" t="n">
        <v>0.25</v>
      </c>
      <c r="J67" s="9" t="n">
        <v>0</v>
      </c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21" t="str">
        <f aca="false">IF(COUNT(K67:T67)=0,"SOURCE EMPTY / INDUSTRIAL ONLY",IF(MIN(K67:T67)=1,"SERVICE READY","HOLD"))</f>
        <v>SOURCE EMPTY / INDUSTRIAL ONLY</v>
      </c>
      <c r="V67" s="9" t="n">
        <f aca="false">IF(U67="SERVICE READY",1,0)</f>
        <v>0</v>
      </c>
      <c r="W67" s="6"/>
      <c r="X67" s="6"/>
      <c r="Y67" s="6"/>
      <c r="Z67" s="6"/>
    </row>
    <row r="68" customFormat="false" ht="15" hidden="false" customHeight="false" outlineLevel="0" collapsed="false">
      <c r="A68" s="9" t="s">
        <v>267</v>
      </c>
      <c r="B68" s="9" t="s">
        <v>193</v>
      </c>
      <c r="C68" s="9" t="s">
        <v>194</v>
      </c>
      <c r="D68" s="9" t="s">
        <v>195</v>
      </c>
      <c r="E68" s="9" t="s">
        <v>196</v>
      </c>
      <c r="F68" s="9" t="s">
        <v>209</v>
      </c>
      <c r="G68" s="9" t="s">
        <v>221</v>
      </c>
      <c r="H68" s="9" t="n">
        <v>300</v>
      </c>
      <c r="I68" s="29" t="n">
        <v>0.25</v>
      </c>
      <c r="J68" s="9" t="n">
        <v>0</v>
      </c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21" t="str">
        <f aca="false">IF(COUNT(K68:T68)=0,"SOURCE EMPTY / INDUSTRIAL ONLY",IF(MIN(K68:T68)=1,"SERVICE READY","HOLD"))</f>
        <v>SOURCE EMPTY / INDUSTRIAL ONLY</v>
      </c>
      <c r="V68" s="9" t="n">
        <f aca="false">IF(U68="SERVICE READY",1,0)</f>
        <v>0</v>
      </c>
      <c r="W68" s="6"/>
      <c r="X68" s="6"/>
      <c r="Y68" s="6"/>
      <c r="Z68" s="6"/>
    </row>
    <row r="69" customFormat="false" ht="15" hidden="false" customHeight="false" outlineLevel="0" collapsed="false">
      <c r="A69" s="9" t="s">
        <v>268</v>
      </c>
      <c r="B69" s="9" t="s">
        <v>193</v>
      </c>
      <c r="C69" s="9" t="s">
        <v>194</v>
      </c>
      <c r="D69" s="9" t="s">
        <v>195</v>
      </c>
      <c r="E69" s="9" t="s">
        <v>196</v>
      </c>
      <c r="F69" s="9" t="s">
        <v>211</v>
      </c>
      <c r="G69" s="9" t="s">
        <v>221</v>
      </c>
      <c r="H69" s="9" t="n">
        <v>300</v>
      </c>
      <c r="I69" s="29" t="n">
        <v>0.25</v>
      </c>
      <c r="J69" s="9" t="n">
        <v>0</v>
      </c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21" t="str">
        <f aca="false">IF(COUNT(K69:T69)=0,"SOURCE EMPTY / INDUSTRIAL ONLY",IF(MIN(K69:T69)=1,"SERVICE READY","HOLD"))</f>
        <v>SOURCE EMPTY / INDUSTRIAL ONLY</v>
      </c>
      <c r="V69" s="9" t="n">
        <f aca="false">IF(U69="SERVICE READY",1,0)</f>
        <v>0</v>
      </c>
      <c r="W69" s="6"/>
      <c r="X69" s="6"/>
      <c r="Y69" s="6"/>
      <c r="Z69" s="6"/>
    </row>
    <row r="70" customFormat="false" ht="15" hidden="false" customHeight="false" outlineLevel="0" collapsed="false">
      <c r="A70" s="9" t="s">
        <v>269</v>
      </c>
      <c r="B70" s="9" t="s">
        <v>193</v>
      </c>
      <c r="C70" s="9" t="s">
        <v>194</v>
      </c>
      <c r="D70" s="9" t="s">
        <v>195</v>
      </c>
      <c r="E70" s="9" t="s">
        <v>196</v>
      </c>
      <c r="F70" s="9" t="s">
        <v>197</v>
      </c>
      <c r="G70" s="9" t="s">
        <v>221</v>
      </c>
      <c r="H70" s="9" t="n">
        <v>300</v>
      </c>
      <c r="I70" s="29" t="n">
        <v>0.25</v>
      </c>
      <c r="J70" s="9" t="n">
        <v>0</v>
      </c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21" t="str">
        <f aca="false">IF(COUNT(K70:T70)=0,"SOURCE EMPTY / INDUSTRIAL ONLY",IF(MIN(K70:T70)=1,"SERVICE READY","HOLD"))</f>
        <v>SOURCE EMPTY / INDUSTRIAL ONLY</v>
      </c>
      <c r="V70" s="9" t="n">
        <f aca="false">IF(U70="SERVICE READY",1,0)</f>
        <v>0</v>
      </c>
      <c r="W70" s="6"/>
      <c r="X70" s="6"/>
      <c r="Y70" s="6"/>
      <c r="Z70" s="6"/>
    </row>
    <row r="71" customFormat="false" ht="15" hidden="false" customHeight="false" outlineLevel="0" collapsed="false">
      <c r="A71" s="9" t="s">
        <v>270</v>
      </c>
      <c r="B71" s="9" t="s">
        <v>193</v>
      </c>
      <c r="C71" s="9" t="s">
        <v>194</v>
      </c>
      <c r="D71" s="9" t="s">
        <v>195</v>
      </c>
      <c r="E71" s="9" t="s">
        <v>196</v>
      </c>
      <c r="F71" s="9" t="s">
        <v>200</v>
      </c>
      <c r="G71" s="9" t="s">
        <v>221</v>
      </c>
      <c r="H71" s="9" t="n">
        <v>300</v>
      </c>
      <c r="I71" s="29" t="n">
        <v>0.25</v>
      </c>
      <c r="J71" s="9" t="n">
        <v>0</v>
      </c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21" t="str">
        <f aca="false">IF(COUNT(K71:T71)=0,"SOURCE EMPTY / INDUSTRIAL ONLY",IF(MIN(K71:T71)=1,"SERVICE READY","HOLD"))</f>
        <v>SOURCE EMPTY / INDUSTRIAL ONLY</v>
      </c>
      <c r="V71" s="9" t="n">
        <f aca="false">IF(U71="SERVICE READY",1,0)</f>
        <v>0</v>
      </c>
      <c r="W71" s="6"/>
      <c r="X71" s="6"/>
      <c r="Y71" s="6"/>
      <c r="Z71" s="6"/>
    </row>
    <row r="72" customFormat="false" ht="15" hidden="false" customHeight="false" outlineLevel="0" collapsed="false">
      <c r="A72" s="9" t="s">
        <v>271</v>
      </c>
      <c r="B72" s="9" t="s">
        <v>193</v>
      </c>
      <c r="C72" s="9" t="s">
        <v>194</v>
      </c>
      <c r="D72" s="9" t="s">
        <v>195</v>
      </c>
      <c r="E72" s="9" t="s">
        <v>196</v>
      </c>
      <c r="F72" s="9" t="s">
        <v>203</v>
      </c>
      <c r="G72" s="9" t="s">
        <v>221</v>
      </c>
      <c r="H72" s="9" t="n">
        <v>300</v>
      </c>
      <c r="I72" s="29" t="n">
        <v>0.25</v>
      </c>
      <c r="J72" s="9" t="n">
        <v>0</v>
      </c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21" t="str">
        <f aca="false">IF(COUNT(K72:T72)=0,"SOURCE EMPTY / INDUSTRIAL ONLY",IF(MIN(K72:T72)=1,"SERVICE READY","HOLD"))</f>
        <v>SOURCE EMPTY / INDUSTRIAL ONLY</v>
      </c>
      <c r="V72" s="9" t="n">
        <f aca="false">IF(U72="SERVICE READY",1,0)</f>
        <v>0</v>
      </c>
      <c r="W72" s="6"/>
      <c r="X72" s="6"/>
      <c r="Y72" s="6"/>
      <c r="Z72" s="6"/>
    </row>
    <row r="73" customFormat="false" ht="15" hidden="false" customHeight="false" outlineLevel="0" collapsed="false">
      <c r="A73" s="9" t="s">
        <v>272</v>
      </c>
      <c r="B73" s="9" t="s">
        <v>273</v>
      </c>
      <c r="C73" s="9" t="s">
        <v>274</v>
      </c>
      <c r="D73" s="9" t="s">
        <v>195</v>
      </c>
      <c r="E73" s="9" t="s">
        <v>275</v>
      </c>
      <c r="F73" s="9" t="s">
        <v>197</v>
      </c>
      <c r="G73" s="9" t="s">
        <v>198</v>
      </c>
      <c r="H73" s="9" t="n">
        <v>1500</v>
      </c>
      <c r="I73" s="29" t="n">
        <v>1.2</v>
      </c>
      <c r="J73" s="9" t="n">
        <v>1</v>
      </c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21" t="str">
        <f aca="false">IF(COUNT(K73:T73)=0,"SOURCE EMPTY / INDUSTRIAL ONLY",IF(MIN(K73:T73)=1,"SERVICE READY","HOLD"))</f>
        <v>SOURCE EMPTY / INDUSTRIAL ONLY</v>
      </c>
      <c r="V73" s="9" t="n">
        <f aca="false">IF(U73="SERVICE READY",1,0)</f>
        <v>0</v>
      </c>
      <c r="W73" s="6"/>
      <c r="X73" s="6"/>
      <c r="Y73" s="6"/>
      <c r="Z73" s="6"/>
    </row>
    <row r="74" customFormat="false" ht="15" hidden="false" customHeight="false" outlineLevel="0" collapsed="false">
      <c r="A74" s="9" t="s">
        <v>276</v>
      </c>
      <c r="B74" s="9" t="s">
        <v>273</v>
      </c>
      <c r="C74" s="9" t="s">
        <v>274</v>
      </c>
      <c r="D74" s="9" t="s">
        <v>195</v>
      </c>
      <c r="E74" s="9" t="s">
        <v>275</v>
      </c>
      <c r="F74" s="9" t="s">
        <v>200</v>
      </c>
      <c r="G74" s="9" t="s">
        <v>201</v>
      </c>
      <c r="H74" s="9" t="n">
        <v>1500</v>
      </c>
      <c r="I74" s="29" t="n">
        <v>1.2</v>
      </c>
      <c r="J74" s="9" t="n">
        <v>1</v>
      </c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21" t="str">
        <f aca="false">IF(COUNT(K74:T74)=0,"SOURCE EMPTY / INDUSTRIAL ONLY",IF(MIN(K74:T74)=1,"SERVICE READY","HOLD"))</f>
        <v>SOURCE EMPTY / INDUSTRIAL ONLY</v>
      </c>
      <c r="V74" s="9" t="n">
        <f aca="false">IF(U74="SERVICE READY",1,0)</f>
        <v>0</v>
      </c>
      <c r="W74" s="6"/>
      <c r="X74" s="6"/>
      <c r="Y74" s="6"/>
      <c r="Z74" s="6"/>
    </row>
    <row r="75" customFormat="false" ht="15" hidden="false" customHeight="false" outlineLevel="0" collapsed="false">
      <c r="A75" s="9" t="s">
        <v>277</v>
      </c>
      <c r="B75" s="9" t="s">
        <v>273</v>
      </c>
      <c r="C75" s="9" t="s">
        <v>274</v>
      </c>
      <c r="D75" s="9" t="s">
        <v>195</v>
      </c>
      <c r="E75" s="9" t="s">
        <v>275</v>
      </c>
      <c r="F75" s="9" t="s">
        <v>203</v>
      </c>
      <c r="G75" s="9" t="s">
        <v>198</v>
      </c>
      <c r="H75" s="9" t="n">
        <v>1500</v>
      </c>
      <c r="I75" s="29" t="n">
        <v>1.2</v>
      </c>
      <c r="J75" s="9" t="n">
        <v>1</v>
      </c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21" t="str">
        <f aca="false">IF(COUNT(K75:T75)=0,"SOURCE EMPTY / INDUSTRIAL ONLY",IF(MIN(K75:T75)=1,"SERVICE READY","HOLD"))</f>
        <v>SOURCE EMPTY / INDUSTRIAL ONLY</v>
      </c>
      <c r="V75" s="9" t="n">
        <f aca="false">IF(U75="SERVICE READY",1,0)</f>
        <v>0</v>
      </c>
      <c r="W75" s="6"/>
      <c r="X75" s="6"/>
      <c r="Y75" s="6"/>
      <c r="Z75" s="6"/>
    </row>
    <row r="76" customFormat="false" ht="15" hidden="false" customHeight="false" outlineLevel="0" collapsed="false">
      <c r="A76" s="9" t="s">
        <v>278</v>
      </c>
      <c r="B76" s="9" t="s">
        <v>273</v>
      </c>
      <c r="C76" s="9" t="s">
        <v>274</v>
      </c>
      <c r="D76" s="9" t="s">
        <v>195</v>
      </c>
      <c r="E76" s="9" t="s">
        <v>275</v>
      </c>
      <c r="F76" s="9" t="s">
        <v>205</v>
      </c>
      <c r="G76" s="9" t="s">
        <v>201</v>
      </c>
      <c r="H76" s="9" t="n">
        <v>1500</v>
      </c>
      <c r="I76" s="29" t="n">
        <v>1.2</v>
      </c>
      <c r="J76" s="9" t="n">
        <v>1</v>
      </c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21" t="str">
        <f aca="false">IF(COUNT(K76:T76)=0,"SOURCE EMPTY / INDUSTRIAL ONLY",IF(MIN(K76:T76)=1,"SERVICE READY","HOLD"))</f>
        <v>SOURCE EMPTY / INDUSTRIAL ONLY</v>
      </c>
      <c r="V76" s="9" t="n">
        <f aca="false">IF(U76="SERVICE READY",1,0)</f>
        <v>0</v>
      </c>
      <c r="W76" s="6"/>
      <c r="X76" s="6"/>
      <c r="Y76" s="6"/>
      <c r="Z76" s="6"/>
    </row>
    <row r="77" customFormat="false" ht="15" hidden="false" customHeight="false" outlineLevel="0" collapsed="false">
      <c r="A77" s="9" t="s">
        <v>279</v>
      </c>
      <c r="B77" s="9" t="s">
        <v>273</v>
      </c>
      <c r="C77" s="9" t="s">
        <v>274</v>
      </c>
      <c r="D77" s="9" t="s">
        <v>195</v>
      </c>
      <c r="E77" s="9" t="s">
        <v>275</v>
      </c>
      <c r="F77" s="9" t="s">
        <v>207</v>
      </c>
      <c r="G77" s="9" t="s">
        <v>198</v>
      </c>
      <c r="H77" s="9" t="n">
        <v>1500</v>
      </c>
      <c r="I77" s="29" t="n">
        <v>1.2</v>
      </c>
      <c r="J77" s="9" t="n">
        <v>1</v>
      </c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21" t="str">
        <f aca="false">IF(COUNT(K77:T77)=0,"SOURCE EMPTY / INDUSTRIAL ONLY",IF(MIN(K77:T77)=1,"SERVICE READY","HOLD"))</f>
        <v>SOURCE EMPTY / INDUSTRIAL ONLY</v>
      </c>
      <c r="V77" s="9" t="n">
        <f aca="false">IF(U77="SERVICE READY",1,0)</f>
        <v>0</v>
      </c>
      <c r="W77" s="6"/>
      <c r="X77" s="6"/>
      <c r="Y77" s="6"/>
      <c r="Z77" s="6"/>
    </row>
    <row r="78" customFormat="false" ht="15" hidden="false" customHeight="false" outlineLevel="0" collapsed="false">
      <c r="A78" s="9" t="s">
        <v>280</v>
      </c>
      <c r="B78" s="9" t="s">
        <v>273</v>
      </c>
      <c r="C78" s="9" t="s">
        <v>274</v>
      </c>
      <c r="D78" s="9" t="s">
        <v>195</v>
      </c>
      <c r="E78" s="9" t="s">
        <v>275</v>
      </c>
      <c r="F78" s="9" t="s">
        <v>209</v>
      </c>
      <c r="G78" s="9" t="s">
        <v>201</v>
      </c>
      <c r="H78" s="9" t="n">
        <v>1500</v>
      </c>
      <c r="I78" s="29" t="n">
        <v>1.2</v>
      </c>
      <c r="J78" s="9" t="n">
        <v>1</v>
      </c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21" t="str">
        <f aca="false">IF(COUNT(K78:T78)=0,"SOURCE EMPTY / INDUSTRIAL ONLY",IF(MIN(K78:T78)=1,"SERVICE READY","HOLD"))</f>
        <v>SOURCE EMPTY / INDUSTRIAL ONLY</v>
      </c>
      <c r="V78" s="9" t="n">
        <f aca="false">IF(U78="SERVICE READY",1,0)</f>
        <v>0</v>
      </c>
      <c r="W78" s="6"/>
      <c r="X78" s="6"/>
      <c r="Y78" s="6"/>
      <c r="Z78" s="6"/>
    </row>
    <row r="79" customFormat="false" ht="15" hidden="false" customHeight="false" outlineLevel="0" collapsed="false">
      <c r="A79" s="9" t="s">
        <v>281</v>
      </c>
      <c r="B79" s="9" t="s">
        <v>273</v>
      </c>
      <c r="C79" s="9" t="s">
        <v>274</v>
      </c>
      <c r="D79" s="9" t="s">
        <v>195</v>
      </c>
      <c r="E79" s="9" t="s">
        <v>275</v>
      </c>
      <c r="F79" s="9" t="s">
        <v>211</v>
      </c>
      <c r="G79" s="9" t="s">
        <v>198</v>
      </c>
      <c r="H79" s="9" t="n">
        <v>1500</v>
      </c>
      <c r="I79" s="29" t="n">
        <v>1.2</v>
      </c>
      <c r="J79" s="9" t="n">
        <v>1</v>
      </c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21" t="str">
        <f aca="false">IF(COUNT(K79:T79)=0,"SOURCE EMPTY / INDUSTRIAL ONLY",IF(MIN(K79:T79)=1,"SERVICE READY","HOLD"))</f>
        <v>SOURCE EMPTY / INDUSTRIAL ONLY</v>
      </c>
      <c r="V79" s="9" t="n">
        <f aca="false">IF(U79="SERVICE READY",1,0)</f>
        <v>0</v>
      </c>
      <c r="W79" s="6"/>
      <c r="X79" s="6"/>
      <c r="Y79" s="6"/>
      <c r="Z79" s="6"/>
    </row>
    <row r="80" customFormat="false" ht="15" hidden="false" customHeight="false" outlineLevel="0" collapsed="false">
      <c r="A80" s="9" t="s">
        <v>282</v>
      </c>
      <c r="B80" s="9" t="s">
        <v>273</v>
      </c>
      <c r="C80" s="9" t="s">
        <v>274</v>
      </c>
      <c r="D80" s="9" t="s">
        <v>195</v>
      </c>
      <c r="E80" s="9" t="s">
        <v>275</v>
      </c>
      <c r="F80" s="9" t="s">
        <v>197</v>
      </c>
      <c r="G80" s="9" t="s">
        <v>201</v>
      </c>
      <c r="H80" s="9" t="n">
        <v>1500</v>
      </c>
      <c r="I80" s="29" t="n">
        <v>1.2</v>
      </c>
      <c r="J80" s="9" t="n">
        <v>1</v>
      </c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21" t="str">
        <f aca="false">IF(COUNT(K80:T80)=0,"SOURCE EMPTY / INDUSTRIAL ONLY",IF(MIN(K80:T80)=1,"SERVICE READY","HOLD"))</f>
        <v>SOURCE EMPTY / INDUSTRIAL ONLY</v>
      </c>
      <c r="V80" s="9" t="n">
        <f aca="false">IF(U80="SERVICE READY",1,0)</f>
        <v>0</v>
      </c>
      <c r="W80" s="6"/>
      <c r="X80" s="6"/>
      <c r="Y80" s="6"/>
      <c r="Z80" s="6"/>
    </row>
    <row r="81" customFormat="false" ht="15" hidden="false" customHeight="false" outlineLevel="0" collapsed="false">
      <c r="A81" s="9" t="s">
        <v>283</v>
      </c>
      <c r="B81" s="9" t="s">
        <v>273</v>
      </c>
      <c r="C81" s="9" t="s">
        <v>274</v>
      </c>
      <c r="D81" s="9" t="s">
        <v>195</v>
      </c>
      <c r="E81" s="9" t="s">
        <v>275</v>
      </c>
      <c r="F81" s="9" t="s">
        <v>200</v>
      </c>
      <c r="G81" s="9" t="s">
        <v>198</v>
      </c>
      <c r="H81" s="9" t="n">
        <v>1500</v>
      </c>
      <c r="I81" s="29" t="n">
        <v>1.2</v>
      </c>
      <c r="J81" s="9" t="n">
        <v>1</v>
      </c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21" t="str">
        <f aca="false">IF(COUNT(K81:T81)=0,"SOURCE EMPTY / INDUSTRIAL ONLY",IF(MIN(K81:T81)=1,"SERVICE READY","HOLD"))</f>
        <v>SOURCE EMPTY / INDUSTRIAL ONLY</v>
      </c>
      <c r="V81" s="9" t="n">
        <f aca="false">IF(U81="SERVICE READY",1,0)</f>
        <v>0</v>
      </c>
      <c r="W81" s="6"/>
      <c r="X81" s="6"/>
      <c r="Y81" s="6"/>
      <c r="Z81" s="6"/>
    </row>
    <row r="82" customFormat="false" ht="15" hidden="false" customHeight="false" outlineLevel="0" collapsed="false">
      <c r="A82" s="9" t="s">
        <v>284</v>
      </c>
      <c r="B82" s="9" t="s">
        <v>273</v>
      </c>
      <c r="C82" s="9" t="s">
        <v>274</v>
      </c>
      <c r="D82" s="9" t="s">
        <v>195</v>
      </c>
      <c r="E82" s="9" t="s">
        <v>275</v>
      </c>
      <c r="F82" s="9" t="s">
        <v>203</v>
      </c>
      <c r="G82" s="9" t="s">
        <v>201</v>
      </c>
      <c r="H82" s="9" t="n">
        <v>1500</v>
      </c>
      <c r="I82" s="29" t="n">
        <v>1.2</v>
      </c>
      <c r="J82" s="9" t="n">
        <v>1</v>
      </c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21" t="str">
        <f aca="false">IF(COUNT(K82:T82)=0,"SOURCE EMPTY / INDUSTRIAL ONLY",IF(MIN(K82:T82)=1,"SERVICE READY","HOLD"))</f>
        <v>SOURCE EMPTY / INDUSTRIAL ONLY</v>
      </c>
      <c r="V82" s="9" t="n">
        <f aca="false">IF(U82="SERVICE READY",1,0)</f>
        <v>0</v>
      </c>
      <c r="W82" s="6"/>
      <c r="X82" s="6"/>
      <c r="Y82" s="6"/>
      <c r="Z82" s="6"/>
    </row>
    <row r="83" customFormat="false" ht="15" hidden="false" customHeight="false" outlineLevel="0" collapsed="false">
      <c r="A83" s="9" t="s">
        <v>285</v>
      </c>
      <c r="B83" s="9" t="s">
        <v>273</v>
      </c>
      <c r="C83" s="9" t="s">
        <v>274</v>
      </c>
      <c r="D83" s="9" t="s">
        <v>195</v>
      </c>
      <c r="E83" s="9" t="s">
        <v>275</v>
      </c>
      <c r="F83" s="9" t="s">
        <v>205</v>
      </c>
      <c r="G83" s="9" t="s">
        <v>198</v>
      </c>
      <c r="H83" s="9" t="n">
        <v>1500</v>
      </c>
      <c r="I83" s="29" t="n">
        <v>1.2</v>
      </c>
      <c r="J83" s="9" t="n">
        <v>1</v>
      </c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21" t="str">
        <f aca="false">IF(COUNT(K83:T83)=0,"SOURCE EMPTY / INDUSTRIAL ONLY",IF(MIN(K83:T83)=1,"SERVICE READY","HOLD"))</f>
        <v>SOURCE EMPTY / INDUSTRIAL ONLY</v>
      </c>
      <c r="V83" s="9" t="n">
        <f aca="false">IF(U83="SERVICE READY",1,0)</f>
        <v>0</v>
      </c>
      <c r="W83" s="6"/>
      <c r="X83" s="6"/>
      <c r="Y83" s="6"/>
      <c r="Z83" s="6"/>
    </row>
    <row r="84" customFormat="false" ht="15" hidden="false" customHeight="false" outlineLevel="0" collapsed="false">
      <c r="A84" s="9" t="s">
        <v>286</v>
      </c>
      <c r="B84" s="9" t="s">
        <v>273</v>
      </c>
      <c r="C84" s="9" t="s">
        <v>274</v>
      </c>
      <c r="D84" s="9" t="s">
        <v>195</v>
      </c>
      <c r="E84" s="9" t="s">
        <v>275</v>
      </c>
      <c r="F84" s="9" t="s">
        <v>207</v>
      </c>
      <c r="G84" s="9" t="s">
        <v>201</v>
      </c>
      <c r="H84" s="9" t="n">
        <v>1500</v>
      </c>
      <c r="I84" s="29" t="n">
        <v>1.2</v>
      </c>
      <c r="J84" s="9" t="n">
        <v>1</v>
      </c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21" t="str">
        <f aca="false">IF(COUNT(K84:T84)=0,"SOURCE EMPTY / INDUSTRIAL ONLY",IF(MIN(K84:T84)=1,"SERVICE READY","HOLD"))</f>
        <v>SOURCE EMPTY / INDUSTRIAL ONLY</v>
      </c>
      <c r="V84" s="9" t="n">
        <f aca="false">IF(U84="SERVICE READY",1,0)</f>
        <v>0</v>
      </c>
      <c r="W84" s="6"/>
      <c r="X84" s="6"/>
      <c r="Y84" s="6"/>
      <c r="Z84" s="6"/>
    </row>
    <row r="85" customFormat="false" ht="15" hidden="false" customHeight="false" outlineLevel="0" collapsed="false">
      <c r="A85" s="9" t="s">
        <v>287</v>
      </c>
      <c r="B85" s="9" t="s">
        <v>273</v>
      </c>
      <c r="C85" s="9" t="s">
        <v>274</v>
      </c>
      <c r="D85" s="9" t="s">
        <v>195</v>
      </c>
      <c r="E85" s="9" t="s">
        <v>275</v>
      </c>
      <c r="F85" s="9" t="s">
        <v>209</v>
      </c>
      <c r="G85" s="9" t="s">
        <v>221</v>
      </c>
      <c r="H85" s="9" t="n">
        <v>1500</v>
      </c>
      <c r="I85" s="29" t="n">
        <v>1.2</v>
      </c>
      <c r="J85" s="9" t="n">
        <v>1</v>
      </c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21" t="str">
        <f aca="false">IF(COUNT(K85:T85)=0,"SOURCE EMPTY / INDUSTRIAL ONLY",IF(MIN(K85:T85)=1,"SERVICE READY","HOLD"))</f>
        <v>SOURCE EMPTY / INDUSTRIAL ONLY</v>
      </c>
      <c r="V85" s="9" t="n">
        <f aca="false">IF(U85="SERVICE READY",1,0)</f>
        <v>0</v>
      </c>
      <c r="W85" s="6"/>
      <c r="X85" s="6"/>
      <c r="Y85" s="6"/>
      <c r="Z85" s="6"/>
    </row>
    <row r="86" customFormat="false" ht="15" hidden="false" customHeight="false" outlineLevel="0" collapsed="false">
      <c r="A86" s="9" t="s">
        <v>288</v>
      </c>
      <c r="B86" s="9" t="s">
        <v>273</v>
      </c>
      <c r="C86" s="9" t="s">
        <v>274</v>
      </c>
      <c r="D86" s="9" t="s">
        <v>195</v>
      </c>
      <c r="E86" s="9" t="s">
        <v>275</v>
      </c>
      <c r="F86" s="9" t="s">
        <v>211</v>
      </c>
      <c r="G86" s="9" t="s">
        <v>221</v>
      </c>
      <c r="H86" s="9" t="n">
        <v>1500</v>
      </c>
      <c r="I86" s="29" t="n">
        <v>1.2</v>
      </c>
      <c r="J86" s="9" t="n">
        <v>1</v>
      </c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21" t="str">
        <f aca="false">IF(COUNT(K86:T86)=0,"SOURCE EMPTY / INDUSTRIAL ONLY",IF(MIN(K86:T86)=1,"SERVICE READY","HOLD"))</f>
        <v>SOURCE EMPTY / INDUSTRIAL ONLY</v>
      </c>
      <c r="V86" s="9" t="n">
        <f aca="false">IF(U86="SERVICE READY",1,0)</f>
        <v>0</v>
      </c>
      <c r="W86" s="6"/>
      <c r="X86" s="6"/>
      <c r="Y86" s="6"/>
      <c r="Z86" s="6"/>
    </row>
    <row r="87" customFormat="false" ht="15" hidden="false" customHeight="false" outlineLevel="0" collapsed="false">
      <c r="A87" s="9" t="s">
        <v>289</v>
      </c>
      <c r="B87" s="9" t="s">
        <v>273</v>
      </c>
      <c r="C87" s="9" t="s">
        <v>274</v>
      </c>
      <c r="D87" s="9" t="s">
        <v>195</v>
      </c>
      <c r="E87" s="9" t="s">
        <v>275</v>
      </c>
      <c r="F87" s="9" t="s">
        <v>197</v>
      </c>
      <c r="G87" s="9" t="s">
        <v>221</v>
      </c>
      <c r="H87" s="9" t="n">
        <v>1500</v>
      </c>
      <c r="I87" s="29" t="n">
        <v>1.2</v>
      </c>
      <c r="J87" s="9" t="n">
        <v>1</v>
      </c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21" t="str">
        <f aca="false">IF(COUNT(K87:T87)=0,"SOURCE EMPTY / INDUSTRIAL ONLY",IF(MIN(K87:T87)=1,"SERVICE READY","HOLD"))</f>
        <v>SOURCE EMPTY / INDUSTRIAL ONLY</v>
      </c>
      <c r="V87" s="9" t="n">
        <f aca="false">IF(U87="SERVICE READY",1,0)</f>
        <v>0</v>
      </c>
      <c r="W87" s="6"/>
      <c r="X87" s="6"/>
      <c r="Y87" s="6"/>
      <c r="Z87" s="6"/>
    </row>
    <row r="88" customFormat="false" ht="15" hidden="false" customHeight="false" outlineLevel="0" collapsed="false">
      <c r="A88" s="9" t="s">
        <v>290</v>
      </c>
      <c r="B88" s="9" t="s">
        <v>273</v>
      </c>
      <c r="C88" s="9" t="s">
        <v>274</v>
      </c>
      <c r="D88" s="9" t="s">
        <v>195</v>
      </c>
      <c r="E88" s="9" t="s">
        <v>275</v>
      </c>
      <c r="F88" s="9" t="s">
        <v>200</v>
      </c>
      <c r="G88" s="9" t="s">
        <v>221</v>
      </c>
      <c r="H88" s="9" t="n">
        <v>1500</v>
      </c>
      <c r="I88" s="29" t="n">
        <v>1.2</v>
      </c>
      <c r="J88" s="9" t="n">
        <v>1</v>
      </c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21" t="str">
        <f aca="false">IF(COUNT(K88:T88)=0,"SOURCE EMPTY / INDUSTRIAL ONLY",IF(MIN(K88:T88)=1,"SERVICE READY","HOLD"))</f>
        <v>SOURCE EMPTY / INDUSTRIAL ONLY</v>
      </c>
      <c r="V88" s="9" t="n">
        <f aca="false">IF(U88="SERVICE READY",1,0)</f>
        <v>0</v>
      </c>
      <c r="W88" s="6"/>
      <c r="X88" s="6"/>
      <c r="Y88" s="6"/>
      <c r="Z88" s="6"/>
    </row>
    <row r="89" customFormat="false" ht="15" hidden="false" customHeight="false" outlineLevel="0" collapsed="false">
      <c r="A89" s="9" t="s">
        <v>291</v>
      </c>
      <c r="B89" s="9" t="s">
        <v>273</v>
      </c>
      <c r="C89" s="9" t="s">
        <v>274</v>
      </c>
      <c r="D89" s="9" t="s">
        <v>195</v>
      </c>
      <c r="E89" s="9" t="s">
        <v>275</v>
      </c>
      <c r="F89" s="9" t="s">
        <v>203</v>
      </c>
      <c r="G89" s="9" t="s">
        <v>221</v>
      </c>
      <c r="H89" s="9" t="n">
        <v>1500</v>
      </c>
      <c r="I89" s="29" t="n">
        <v>1.2</v>
      </c>
      <c r="J89" s="9" t="n">
        <v>1</v>
      </c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21" t="str">
        <f aca="false">IF(COUNT(K89:T89)=0,"SOURCE EMPTY / INDUSTRIAL ONLY",IF(MIN(K89:T89)=1,"SERVICE READY","HOLD"))</f>
        <v>SOURCE EMPTY / INDUSTRIAL ONLY</v>
      </c>
      <c r="V89" s="9" t="n">
        <f aca="false">IF(U89="SERVICE READY",1,0)</f>
        <v>0</v>
      </c>
      <c r="W89" s="6"/>
      <c r="X89" s="6"/>
      <c r="Y89" s="6"/>
      <c r="Z89" s="6"/>
    </row>
    <row r="90" customFormat="false" ht="15" hidden="false" customHeight="false" outlineLevel="0" collapsed="false">
      <c r="A90" s="9" t="s">
        <v>292</v>
      </c>
      <c r="B90" s="9" t="s">
        <v>273</v>
      </c>
      <c r="C90" s="9" t="s">
        <v>274</v>
      </c>
      <c r="D90" s="9" t="s">
        <v>195</v>
      </c>
      <c r="E90" s="9" t="s">
        <v>275</v>
      </c>
      <c r="F90" s="9" t="s">
        <v>205</v>
      </c>
      <c r="G90" s="9" t="s">
        <v>221</v>
      </c>
      <c r="H90" s="9" t="n">
        <v>1500</v>
      </c>
      <c r="I90" s="29" t="n">
        <v>1.2</v>
      </c>
      <c r="J90" s="9" t="n">
        <v>1</v>
      </c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21" t="str">
        <f aca="false">IF(COUNT(K90:T90)=0,"SOURCE EMPTY / INDUSTRIAL ONLY",IF(MIN(K90:T90)=1,"SERVICE READY","HOLD"))</f>
        <v>SOURCE EMPTY / INDUSTRIAL ONLY</v>
      </c>
      <c r="V90" s="9" t="n">
        <f aca="false">IF(U90="SERVICE READY",1,0)</f>
        <v>0</v>
      </c>
      <c r="W90" s="6"/>
      <c r="X90" s="6"/>
      <c r="Y90" s="6"/>
      <c r="Z90" s="6"/>
    </row>
    <row r="91" customFormat="false" ht="15" hidden="false" customHeight="false" outlineLevel="0" collapsed="false">
      <c r="A91" s="9" t="s">
        <v>293</v>
      </c>
      <c r="B91" s="9" t="s">
        <v>273</v>
      </c>
      <c r="C91" s="9" t="s">
        <v>274</v>
      </c>
      <c r="D91" s="9" t="s">
        <v>195</v>
      </c>
      <c r="E91" s="9" t="s">
        <v>275</v>
      </c>
      <c r="F91" s="9" t="s">
        <v>207</v>
      </c>
      <c r="G91" s="9" t="s">
        <v>221</v>
      </c>
      <c r="H91" s="9" t="n">
        <v>1500</v>
      </c>
      <c r="I91" s="29" t="n">
        <v>1.2</v>
      </c>
      <c r="J91" s="9" t="n">
        <v>1</v>
      </c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21" t="str">
        <f aca="false">IF(COUNT(K91:T91)=0,"SOURCE EMPTY / INDUSTRIAL ONLY",IF(MIN(K91:T91)=1,"SERVICE READY","HOLD"))</f>
        <v>SOURCE EMPTY / INDUSTRIAL ONLY</v>
      </c>
      <c r="V91" s="9" t="n">
        <f aca="false">IF(U91="SERVICE READY",1,0)</f>
        <v>0</v>
      </c>
      <c r="W91" s="6"/>
      <c r="X91" s="6"/>
      <c r="Y91" s="6"/>
      <c r="Z91" s="6"/>
    </row>
    <row r="92" customFormat="false" ht="15" hidden="false" customHeight="false" outlineLevel="0" collapsed="false">
      <c r="A92" s="9" t="s">
        <v>294</v>
      </c>
      <c r="B92" s="9" t="s">
        <v>273</v>
      </c>
      <c r="C92" s="9" t="s">
        <v>274</v>
      </c>
      <c r="D92" s="9" t="s">
        <v>195</v>
      </c>
      <c r="E92" s="9" t="s">
        <v>275</v>
      </c>
      <c r="F92" s="9" t="s">
        <v>209</v>
      </c>
      <c r="G92" s="9" t="s">
        <v>221</v>
      </c>
      <c r="H92" s="9" t="n">
        <v>1500</v>
      </c>
      <c r="I92" s="29" t="n">
        <v>1.2</v>
      </c>
      <c r="J92" s="9" t="n">
        <v>1</v>
      </c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21" t="str">
        <f aca="false">IF(COUNT(K92:T92)=0,"SOURCE EMPTY / INDUSTRIAL ONLY",IF(MIN(K92:T92)=1,"SERVICE READY","HOLD"))</f>
        <v>SOURCE EMPTY / INDUSTRIAL ONLY</v>
      </c>
      <c r="V92" s="9" t="n">
        <f aca="false">IF(U92="SERVICE READY",1,0)</f>
        <v>0</v>
      </c>
      <c r="W92" s="6"/>
      <c r="X92" s="6"/>
      <c r="Y92" s="6"/>
      <c r="Z92" s="6"/>
    </row>
    <row r="93" customFormat="false" ht="15" hidden="false" customHeight="false" outlineLevel="0" collapsed="false">
      <c r="A93" s="9" t="s">
        <v>295</v>
      </c>
      <c r="B93" s="9" t="s">
        <v>273</v>
      </c>
      <c r="C93" s="9" t="s">
        <v>274</v>
      </c>
      <c r="D93" s="9" t="s">
        <v>195</v>
      </c>
      <c r="E93" s="9" t="s">
        <v>275</v>
      </c>
      <c r="F93" s="9" t="s">
        <v>211</v>
      </c>
      <c r="G93" s="9" t="s">
        <v>221</v>
      </c>
      <c r="H93" s="9" t="n">
        <v>1500</v>
      </c>
      <c r="I93" s="29" t="n">
        <v>1.2</v>
      </c>
      <c r="J93" s="9" t="n">
        <v>1</v>
      </c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21" t="str">
        <f aca="false">IF(COUNT(K93:T93)=0,"SOURCE EMPTY / INDUSTRIAL ONLY",IF(MIN(K93:T93)=1,"SERVICE READY","HOLD"))</f>
        <v>SOURCE EMPTY / INDUSTRIAL ONLY</v>
      </c>
      <c r="V93" s="9" t="n">
        <f aca="false">IF(U93="SERVICE READY",1,0)</f>
        <v>0</v>
      </c>
      <c r="W93" s="6"/>
      <c r="X93" s="6"/>
      <c r="Y93" s="6"/>
      <c r="Z93" s="6"/>
    </row>
    <row r="94" customFormat="false" ht="15" hidden="false" customHeight="false" outlineLevel="0" collapsed="false">
      <c r="A94" s="9" t="s">
        <v>296</v>
      </c>
      <c r="B94" s="9" t="s">
        <v>273</v>
      </c>
      <c r="C94" s="9" t="s">
        <v>274</v>
      </c>
      <c r="D94" s="9" t="s">
        <v>195</v>
      </c>
      <c r="E94" s="9" t="s">
        <v>275</v>
      </c>
      <c r="F94" s="9" t="s">
        <v>197</v>
      </c>
      <c r="G94" s="9" t="s">
        <v>221</v>
      </c>
      <c r="H94" s="9" t="n">
        <v>1500</v>
      </c>
      <c r="I94" s="29" t="n">
        <v>1.2</v>
      </c>
      <c r="J94" s="9" t="n">
        <v>1</v>
      </c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21" t="str">
        <f aca="false">IF(COUNT(K94:T94)=0,"SOURCE EMPTY / INDUSTRIAL ONLY",IF(MIN(K94:T94)=1,"SERVICE READY","HOLD"))</f>
        <v>SOURCE EMPTY / INDUSTRIAL ONLY</v>
      </c>
      <c r="V94" s="9" t="n">
        <f aca="false">IF(U94="SERVICE READY",1,0)</f>
        <v>0</v>
      </c>
      <c r="W94" s="6"/>
      <c r="X94" s="6"/>
      <c r="Y94" s="6"/>
      <c r="Z94" s="6"/>
    </row>
    <row r="95" customFormat="false" ht="15" hidden="false" customHeight="false" outlineLevel="0" collapsed="false">
      <c r="A95" s="9" t="s">
        <v>297</v>
      </c>
      <c r="B95" s="9" t="s">
        <v>273</v>
      </c>
      <c r="C95" s="9" t="s">
        <v>274</v>
      </c>
      <c r="D95" s="9" t="s">
        <v>195</v>
      </c>
      <c r="E95" s="9" t="s">
        <v>275</v>
      </c>
      <c r="F95" s="9" t="s">
        <v>200</v>
      </c>
      <c r="G95" s="9" t="s">
        <v>221</v>
      </c>
      <c r="H95" s="9" t="n">
        <v>1500</v>
      </c>
      <c r="I95" s="29" t="n">
        <v>1.2</v>
      </c>
      <c r="J95" s="9" t="n">
        <v>1</v>
      </c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21" t="str">
        <f aca="false">IF(COUNT(K95:T95)=0,"SOURCE EMPTY / INDUSTRIAL ONLY",IF(MIN(K95:T95)=1,"SERVICE READY","HOLD"))</f>
        <v>SOURCE EMPTY / INDUSTRIAL ONLY</v>
      </c>
      <c r="V95" s="9" t="n">
        <f aca="false">IF(U95="SERVICE READY",1,0)</f>
        <v>0</v>
      </c>
      <c r="W95" s="6"/>
      <c r="X95" s="6"/>
      <c r="Y95" s="6"/>
      <c r="Z95" s="6"/>
    </row>
    <row r="96" customFormat="false" ht="15" hidden="false" customHeight="false" outlineLevel="0" collapsed="false">
      <c r="A96" s="9" t="s">
        <v>298</v>
      </c>
      <c r="B96" s="9" t="s">
        <v>273</v>
      </c>
      <c r="C96" s="9" t="s">
        <v>274</v>
      </c>
      <c r="D96" s="9" t="s">
        <v>195</v>
      </c>
      <c r="E96" s="9" t="s">
        <v>275</v>
      </c>
      <c r="F96" s="9" t="s">
        <v>203</v>
      </c>
      <c r="G96" s="9" t="s">
        <v>221</v>
      </c>
      <c r="H96" s="9" t="n">
        <v>1500</v>
      </c>
      <c r="I96" s="29" t="n">
        <v>1.2</v>
      </c>
      <c r="J96" s="9" t="n">
        <v>1</v>
      </c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21" t="str">
        <f aca="false">IF(COUNT(K96:T96)=0,"SOURCE EMPTY / INDUSTRIAL ONLY",IF(MIN(K96:T96)=1,"SERVICE READY","HOLD"))</f>
        <v>SOURCE EMPTY / INDUSTRIAL ONLY</v>
      </c>
      <c r="V96" s="9" t="n">
        <f aca="false">IF(U96="SERVICE READY",1,0)</f>
        <v>0</v>
      </c>
      <c r="W96" s="6"/>
      <c r="X96" s="6"/>
      <c r="Y96" s="6"/>
      <c r="Z96" s="6"/>
    </row>
    <row r="97" customFormat="false" ht="15" hidden="false" customHeight="false" outlineLevel="0" collapsed="false">
      <c r="A97" s="9" t="s">
        <v>299</v>
      </c>
      <c r="B97" s="9" t="s">
        <v>273</v>
      </c>
      <c r="C97" s="9" t="s">
        <v>274</v>
      </c>
      <c r="D97" s="9" t="s">
        <v>195</v>
      </c>
      <c r="E97" s="9" t="s">
        <v>275</v>
      </c>
      <c r="F97" s="9" t="s">
        <v>205</v>
      </c>
      <c r="G97" s="9" t="s">
        <v>221</v>
      </c>
      <c r="H97" s="9" t="n">
        <v>1500</v>
      </c>
      <c r="I97" s="29" t="n">
        <v>1.2</v>
      </c>
      <c r="J97" s="9" t="n">
        <v>1</v>
      </c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21" t="str">
        <f aca="false">IF(COUNT(K97:T97)=0,"SOURCE EMPTY / INDUSTRIAL ONLY",IF(MIN(K97:T97)=1,"SERVICE READY","HOLD"))</f>
        <v>SOURCE EMPTY / INDUSTRIAL ONLY</v>
      </c>
      <c r="V97" s="9" t="n">
        <f aca="false">IF(U97="SERVICE READY",1,0)</f>
        <v>0</v>
      </c>
      <c r="W97" s="6"/>
      <c r="X97" s="6"/>
      <c r="Y97" s="6"/>
      <c r="Z97" s="6"/>
    </row>
    <row r="98" customFormat="false" ht="15" hidden="false" customHeight="false" outlineLevel="0" collapsed="false">
      <c r="A98" s="9" t="s">
        <v>300</v>
      </c>
      <c r="B98" s="9" t="s">
        <v>273</v>
      </c>
      <c r="C98" s="9" t="s">
        <v>274</v>
      </c>
      <c r="D98" s="9" t="s">
        <v>195</v>
      </c>
      <c r="E98" s="9" t="s">
        <v>275</v>
      </c>
      <c r="F98" s="9" t="s">
        <v>207</v>
      </c>
      <c r="G98" s="9" t="s">
        <v>221</v>
      </c>
      <c r="H98" s="9" t="n">
        <v>1500</v>
      </c>
      <c r="I98" s="29" t="n">
        <v>1.2</v>
      </c>
      <c r="J98" s="9" t="n">
        <v>1</v>
      </c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21" t="str">
        <f aca="false">IF(COUNT(K98:T98)=0,"SOURCE EMPTY / INDUSTRIAL ONLY",IF(MIN(K98:T98)=1,"SERVICE READY","HOLD"))</f>
        <v>SOURCE EMPTY / INDUSTRIAL ONLY</v>
      </c>
      <c r="V98" s="9" t="n">
        <f aca="false">IF(U98="SERVICE READY",1,0)</f>
        <v>0</v>
      </c>
      <c r="W98" s="6"/>
      <c r="X98" s="6"/>
      <c r="Y98" s="6"/>
      <c r="Z98" s="6"/>
    </row>
    <row r="99" customFormat="false" ht="15" hidden="false" customHeight="false" outlineLevel="0" collapsed="false">
      <c r="A99" s="9" t="s">
        <v>301</v>
      </c>
      <c r="B99" s="9" t="s">
        <v>273</v>
      </c>
      <c r="C99" s="9" t="s">
        <v>274</v>
      </c>
      <c r="D99" s="9" t="s">
        <v>195</v>
      </c>
      <c r="E99" s="9" t="s">
        <v>275</v>
      </c>
      <c r="F99" s="9" t="s">
        <v>209</v>
      </c>
      <c r="G99" s="9" t="s">
        <v>221</v>
      </c>
      <c r="H99" s="9" t="n">
        <v>1500</v>
      </c>
      <c r="I99" s="29" t="n">
        <v>1.2</v>
      </c>
      <c r="J99" s="9" t="n">
        <v>1</v>
      </c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21" t="str">
        <f aca="false">IF(COUNT(K99:T99)=0,"SOURCE EMPTY / INDUSTRIAL ONLY",IF(MIN(K99:T99)=1,"SERVICE READY","HOLD"))</f>
        <v>SOURCE EMPTY / INDUSTRIAL ONLY</v>
      </c>
      <c r="V99" s="9" t="n">
        <f aca="false">IF(U99="SERVICE READY",1,0)</f>
        <v>0</v>
      </c>
      <c r="W99" s="6"/>
      <c r="X99" s="6"/>
      <c r="Y99" s="6"/>
      <c r="Z99" s="6"/>
    </row>
    <row r="100" customFormat="false" ht="15" hidden="false" customHeight="false" outlineLevel="0" collapsed="false">
      <c r="A100" s="9" t="s">
        <v>302</v>
      </c>
      <c r="B100" s="9" t="s">
        <v>273</v>
      </c>
      <c r="C100" s="9" t="s">
        <v>274</v>
      </c>
      <c r="D100" s="9" t="s">
        <v>195</v>
      </c>
      <c r="E100" s="9" t="s">
        <v>275</v>
      </c>
      <c r="F100" s="9" t="s">
        <v>211</v>
      </c>
      <c r="G100" s="9" t="s">
        <v>221</v>
      </c>
      <c r="H100" s="9" t="n">
        <v>1500</v>
      </c>
      <c r="I100" s="29" t="n">
        <v>1.2</v>
      </c>
      <c r="J100" s="9" t="n">
        <v>1</v>
      </c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21" t="str">
        <f aca="false">IF(COUNT(K100:T100)=0,"SOURCE EMPTY / INDUSTRIAL ONLY",IF(MIN(K100:T100)=1,"SERVICE READY","HOLD"))</f>
        <v>SOURCE EMPTY / INDUSTRIAL ONLY</v>
      </c>
      <c r="V100" s="9" t="n">
        <f aca="false">IF(U100="SERVICE READY",1,0)</f>
        <v>0</v>
      </c>
      <c r="W100" s="6"/>
      <c r="X100" s="6"/>
      <c r="Y100" s="6"/>
      <c r="Z100" s="6"/>
    </row>
    <row r="101" customFormat="false" ht="15" hidden="false" customHeight="false" outlineLevel="0" collapsed="false">
      <c r="A101" s="9" t="s">
        <v>303</v>
      </c>
      <c r="B101" s="9" t="s">
        <v>273</v>
      </c>
      <c r="C101" s="9" t="s">
        <v>274</v>
      </c>
      <c r="D101" s="9" t="s">
        <v>195</v>
      </c>
      <c r="E101" s="9" t="s">
        <v>275</v>
      </c>
      <c r="F101" s="9" t="s">
        <v>197</v>
      </c>
      <c r="G101" s="9" t="s">
        <v>221</v>
      </c>
      <c r="H101" s="9" t="n">
        <v>1500</v>
      </c>
      <c r="I101" s="29" t="n">
        <v>1.2</v>
      </c>
      <c r="J101" s="9" t="n">
        <v>1</v>
      </c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21" t="str">
        <f aca="false">IF(COUNT(K101:T101)=0,"SOURCE EMPTY / INDUSTRIAL ONLY",IF(MIN(K101:T101)=1,"SERVICE READY","HOLD"))</f>
        <v>SOURCE EMPTY / INDUSTRIAL ONLY</v>
      </c>
      <c r="V101" s="9" t="n">
        <f aca="false">IF(U101="SERVICE READY",1,0)</f>
        <v>0</v>
      </c>
      <c r="W101" s="6"/>
      <c r="X101" s="6"/>
      <c r="Y101" s="6"/>
      <c r="Z101" s="6"/>
    </row>
    <row r="102" customFormat="false" ht="15" hidden="false" customHeight="false" outlineLevel="0" collapsed="false">
      <c r="A102" s="9" t="s">
        <v>304</v>
      </c>
      <c r="B102" s="9" t="s">
        <v>273</v>
      </c>
      <c r="C102" s="9" t="s">
        <v>274</v>
      </c>
      <c r="D102" s="9" t="s">
        <v>195</v>
      </c>
      <c r="E102" s="9" t="s">
        <v>275</v>
      </c>
      <c r="F102" s="9" t="s">
        <v>200</v>
      </c>
      <c r="G102" s="9" t="s">
        <v>221</v>
      </c>
      <c r="H102" s="9" t="n">
        <v>1500</v>
      </c>
      <c r="I102" s="29" t="n">
        <v>1.2</v>
      </c>
      <c r="J102" s="9" t="n">
        <v>1</v>
      </c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21" t="str">
        <f aca="false">IF(COUNT(K102:T102)=0,"SOURCE EMPTY / INDUSTRIAL ONLY",IF(MIN(K102:T102)=1,"SERVICE READY","HOLD"))</f>
        <v>SOURCE EMPTY / INDUSTRIAL ONLY</v>
      </c>
      <c r="V102" s="9" t="n">
        <f aca="false">IF(U102="SERVICE READY",1,0)</f>
        <v>0</v>
      </c>
      <c r="W102" s="6"/>
      <c r="X102" s="6"/>
      <c r="Y102" s="6"/>
      <c r="Z102" s="6"/>
    </row>
    <row r="103" customFormat="false" ht="15" hidden="false" customHeight="false" outlineLevel="0" collapsed="false">
      <c r="A103" s="9" t="s">
        <v>305</v>
      </c>
      <c r="B103" s="9" t="s">
        <v>273</v>
      </c>
      <c r="C103" s="9" t="s">
        <v>274</v>
      </c>
      <c r="D103" s="9" t="s">
        <v>195</v>
      </c>
      <c r="E103" s="9" t="s">
        <v>275</v>
      </c>
      <c r="F103" s="9" t="s">
        <v>203</v>
      </c>
      <c r="G103" s="9" t="s">
        <v>221</v>
      </c>
      <c r="H103" s="9" t="n">
        <v>1500</v>
      </c>
      <c r="I103" s="29" t="n">
        <v>1.2</v>
      </c>
      <c r="J103" s="9" t="n">
        <v>1</v>
      </c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21" t="str">
        <f aca="false">IF(COUNT(K103:T103)=0,"SOURCE EMPTY / INDUSTRIAL ONLY",IF(MIN(K103:T103)=1,"SERVICE READY","HOLD"))</f>
        <v>SOURCE EMPTY / INDUSTRIAL ONLY</v>
      </c>
      <c r="V103" s="9" t="n">
        <f aca="false">IF(U103="SERVICE READY",1,0)</f>
        <v>0</v>
      </c>
      <c r="W103" s="6"/>
      <c r="X103" s="6"/>
      <c r="Y103" s="6"/>
      <c r="Z103" s="6"/>
    </row>
    <row r="104" customFormat="false" ht="15" hidden="false" customHeight="false" outlineLevel="0" collapsed="false">
      <c r="A104" s="9" t="s">
        <v>306</v>
      </c>
      <c r="B104" s="9" t="s">
        <v>273</v>
      </c>
      <c r="C104" s="9" t="s">
        <v>274</v>
      </c>
      <c r="D104" s="9" t="s">
        <v>195</v>
      </c>
      <c r="E104" s="9" t="s">
        <v>275</v>
      </c>
      <c r="F104" s="9" t="s">
        <v>205</v>
      </c>
      <c r="G104" s="9" t="s">
        <v>221</v>
      </c>
      <c r="H104" s="9" t="n">
        <v>1500</v>
      </c>
      <c r="I104" s="29" t="n">
        <v>1.2</v>
      </c>
      <c r="J104" s="9" t="n">
        <v>1</v>
      </c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21" t="str">
        <f aca="false">IF(COUNT(K104:T104)=0,"SOURCE EMPTY / INDUSTRIAL ONLY",IF(MIN(K104:T104)=1,"SERVICE READY","HOLD"))</f>
        <v>SOURCE EMPTY / INDUSTRIAL ONLY</v>
      </c>
      <c r="V104" s="9" t="n">
        <f aca="false">IF(U104="SERVICE READY",1,0)</f>
        <v>0</v>
      </c>
      <c r="W104" s="6"/>
      <c r="X104" s="6"/>
      <c r="Y104" s="6"/>
      <c r="Z104" s="6"/>
    </row>
    <row r="105" customFormat="false" ht="15" hidden="false" customHeight="false" outlineLevel="0" collapsed="false">
      <c r="A105" s="9" t="s">
        <v>307</v>
      </c>
      <c r="B105" s="9" t="s">
        <v>273</v>
      </c>
      <c r="C105" s="9" t="s">
        <v>274</v>
      </c>
      <c r="D105" s="9" t="s">
        <v>195</v>
      </c>
      <c r="E105" s="9" t="s">
        <v>275</v>
      </c>
      <c r="F105" s="9" t="s">
        <v>207</v>
      </c>
      <c r="G105" s="9" t="s">
        <v>221</v>
      </c>
      <c r="H105" s="9" t="n">
        <v>1500</v>
      </c>
      <c r="I105" s="29" t="n">
        <v>1.2</v>
      </c>
      <c r="J105" s="9" t="n">
        <v>1</v>
      </c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21" t="str">
        <f aca="false">IF(COUNT(K105:T105)=0,"SOURCE EMPTY / INDUSTRIAL ONLY",IF(MIN(K105:T105)=1,"SERVICE READY","HOLD"))</f>
        <v>SOURCE EMPTY / INDUSTRIAL ONLY</v>
      </c>
      <c r="V105" s="9" t="n">
        <f aca="false">IF(U105="SERVICE READY",1,0)</f>
        <v>0</v>
      </c>
      <c r="W105" s="6"/>
      <c r="X105" s="6"/>
      <c r="Y105" s="6"/>
      <c r="Z105" s="6"/>
    </row>
    <row r="106" customFormat="false" ht="15" hidden="false" customHeight="false" outlineLevel="0" collapsed="false">
      <c r="A106" s="9" t="s">
        <v>308</v>
      </c>
      <c r="B106" s="9" t="s">
        <v>273</v>
      </c>
      <c r="C106" s="9" t="s">
        <v>274</v>
      </c>
      <c r="D106" s="9" t="s">
        <v>195</v>
      </c>
      <c r="E106" s="9" t="s">
        <v>275</v>
      </c>
      <c r="F106" s="9" t="s">
        <v>209</v>
      </c>
      <c r="G106" s="9" t="s">
        <v>221</v>
      </c>
      <c r="H106" s="9" t="n">
        <v>1500</v>
      </c>
      <c r="I106" s="29" t="n">
        <v>1.2</v>
      </c>
      <c r="J106" s="9" t="n">
        <v>1</v>
      </c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21" t="str">
        <f aca="false">IF(COUNT(K106:T106)=0,"SOURCE EMPTY / INDUSTRIAL ONLY",IF(MIN(K106:T106)=1,"SERVICE READY","HOLD"))</f>
        <v>SOURCE EMPTY / INDUSTRIAL ONLY</v>
      </c>
      <c r="V106" s="9" t="n">
        <f aca="false">IF(U106="SERVICE READY",1,0)</f>
        <v>0</v>
      </c>
      <c r="W106" s="6"/>
      <c r="X106" s="6"/>
      <c r="Y106" s="6"/>
      <c r="Z106" s="6"/>
    </row>
    <row r="107" customFormat="false" ht="15" hidden="false" customHeight="false" outlineLevel="0" collapsed="false">
      <c r="A107" s="9" t="s">
        <v>309</v>
      </c>
      <c r="B107" s="9" t="s">
        <v>273</v>
      </c>
      <c r="C107" s="9" t="s">
        <v>274</v>
      </c>
      <c r="D107" s="9" t="s">
        <v>195</v>
      </c>
      <c r="E107" s="9" t="s">
        <v>275</v>
      </c>
      <c r="F107" s="9" t="s">
        <v>211</v>
      </c>
      <c r="G107" s="9" t="s">
        <v>221</v>
      </c>
      <c r="H107" s="9" t="n">
        <v>1500</v>
      </c>
      <c r="I107" s="29" t="n">
        <v>1.2</v>
      </c>
      <c r="J107" s="9" t="n">
        <v>1</v>
      </c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21" t="str">
        <f aca="false">IF(COUNT(K107:T107)=0,"SOURCE EMPTY / INDUSTRIAL ONLY",IF(MIN(K107:T107)=1,"SERVICE READY","HOLD"))</f>
        <v>SOURCE EMPTY / INDUSTRIAL ONLY</v>
      </c>
      <c r="V107" s="9" t="n">
        <f aca="false">IF(U107="SERVICE READY",1,0)</f>
        <v>0</v>
      </c>
      <c r="W107" s="6"/>
      <c r="X107" s="6"/>
      <c r="Y107" s="6"/>
      <c r="Z107" s="6"/>
    </row>
    <row r="108" customFormat="false" ht="15" hidden="false" customHeight="false" outlineLevel="0" collapsed="false">
      <c r="A108" s="9" t="s">
        <v>310</v>
      </c>
      <c r="B108" s="9" t="s">
        <v>273</v>
      </c>
      <c r="C108" s="9" t="s">
        <v>274</v>
      </c>
      <c r="D108" s="9" t="s">
        <v>195</v>
      </c>
      <c r="E108" s="9" t="s">
        <v>275</v>
      </c>
      <c r="F108" s="9" t="s">
        <v>197</v>
      </c>
      <c r="G108" s="9" t="s">
        <v>221</v>
      </c>
      <c r="H108" s="9" t="n">
        <v>1500</v>
      </c>
      <c r="I108" s="29" t="n">
        <v>1.2</v>
      </c>
      <c r="J108" s="9" t="n">
        <v>1</v>
      </c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21" t="str">
        <f aca="false">IF(COUNT(K108:T108)=0,"SOURCE EMPTY / INDUSTRIAL ONLY",IF(MIN(K108:T108)=1,"SERVICE READY","HOLD"))</f>
        <v>SOURCE EMPTY / INDUSTRIAL ONLY</v>
      </c>
      <c r="V108" s="9" t="n">
        <f aca="false">IF(U108="SERVICE READY",1,0)</f>
        <v>0</v>
      </c>
      <c r="W108" s="6"/>
      <c r="X108" s="6"/>
      <c r="Y108" s="6"/>
      <c r="Z108" s="6"/>
    </row>
    <row r="109" customFormat="false" ht="15" hidden="false" customHeight="false" outlineLevel="0" collapsed="false">
      <c r="A109" s="9" t="s">
        <v>311</v>
      </c>
      <c r="B109" s="9" t="s">
        <v>273</v>
      </c>
      <c r="C109" s="9" t="s">
        <v>274</v>
      </c>
      <c r="D109" s="9" t="s">
        <v>195</v>
      </c>
      <c r="E109" s="9" t="s">
        <v>275</v>
      </c>
      <c r="F109" s="9" t="s">
        <v>200</v>
      </c>
      <c r="G109" s="9" t="s">
        <v>221</v>
      </c>
      <c r="H109" s="9" t="n">
        <v>1500</v>
      </c>
      <c r="I109" s="29" t="n">
        <v>1.2</v>
      </c>
      <c r="J109" s="9" t="n">
        <v>0</v>
      </c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21" t="str">
        <f aca="false">IF(COUNT(K109:T109)=0,"SOURCE EMPTY / INDUSTRIAL ONLY",IF(MIN(K109:T109)=1,"SERVICE READY","HOLD"))</f>
        <v>SOURCE EMPTY / INDUSTRIAL ONLY</v>
      </c>
      <c r="V109" s="9" t="n">
        <f aca="false">IF(U109="SERVICE READY",1,0)</f>
        <v>0</v>
      </c>
      <c r="W109" s="6"/>
      <c r="X109" s="6"/>
      <c r="Y109" s="6"/>
      <c r="Z109" s="6"/>
    </row>
    <row r="110" customFormat="false" ht="15" hidden="false" customHeight="false" outlineLevel="0" collapsed="false">
      <c r="A110" s="9" t="s">
        <v>312</v>
      </c>
      <c r="B110" s="9" t="s">
        <v>273</v>
      </c>
      <c r="C110" s="9" t="s">
        <v>274</v>
      </c>
      <c r="D110" s="9" t="s">
        <v>195</v>
      </c>
      <c r="E110" s="9" t="s">
        <v>275</v>
      </c>
      <c r="F110" s="9" t="s">
        <v>203</v>
      </c>
      <c r="G110" s="9" t="s">
        <v>221</v>
      </c>
      <c r="H110" s="9" t="n">
        <v>1500</v>
      </c>
      <c r="I110" s="29" t="n">
        <v>1.2</v>
      </c>
      <c r="J110" s="9" t="n">
        <v>0</v>
      </c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21" t="str">
        <f aca="false">IF(COUNT(K110:T110)=0,"SOURCE EMPTY / INDUSTRIAL ONLY",IF(MIN(K110:T110)=1,"SERVICE READY","HOLD"))</f>
        <v>SOURCE EMPTY / INDUSTRIAL ONLY</v>
      </c>
      <c r="V110" s="9" t="n">
        <f aca="false">IF(U110="SERVICE READY",1,0)</f>
        <v>0</v>
      </c>
      <c r="W110" s="6"/>
      <c r="X110" s="6"/>
      <c r="Y110" s="6"/>
      <c r="Z110" s="6"/>
    </row>
    <row r="111" customFormat="false" ht="15" hidden="false" customHeight="false" outlineLevel="0" collapsed="false">
      <c r="A111" s="9" t="s">
        <v>313</v>
      </c>
      <c r="B111" s="9" t="s">
        <v>273</v>
      </c>
      <c r="C111" s="9" t="s">
        <v>274</v>
      </c>
      <c r="D111" s="9" t="s">
        <v>195</v>
      </c>
      <c r="E111" s="9" t="s">
        <v>275</v>
      </c>
      <c r="F111" s="9" t="s">
        <v>205</v>
      </c>
      <c r="G111" s="9" t="s">
        <v>221</v>
      </c>
      <c r="H111" s="9" t="n">
        <v>1500</v>
      </c>
      <c r="I111" s="29" t="n">
        <v>1.2</v>
      </c>
      <c r="J111" s="9" t="n">
        <v>0</v>
      </c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21" t="str">
        <f aca="false">IF(COUNT(K111:T111)=0,"SOURCE EMPTY / INDUSTRIAL ONLY",IF(MIN(K111:T111)=1,"SERVICE READY","HOLD"))</f>
        <v>SOURCE EMPTY / INDUSTRIAL ONLY</v>
      </c>
      <c r="V111" s="9" t="n">
        <f aca="false">IF(U111="SERVICE READY",1,0)</f>
        <v>0</v>
      </c>
      <c r="W111" s="6"/>
      <c r="X111" s="6"/>
      <c r="Y111" s="6"/>
      <c r="Z111" s="6"/>
    </row>
    <row r="112" customFormat="false" ht="15" hidden="false" customHeight="false" outlineLevel="0" collapsed="false">
      <c r="A112" s="9" t="s">
        <v>314</v>
      </c>
      <c r="B112" s="9" t="s">
        <v>273</v>
      </c>
      <c r="C112" s="9" t="s">
        <v>274</v>
      </c>
      <c r="D112" s="9" t="s">
        <v>195</v>
      </c>
      <c r="E112" s="9" t="s">
        <v>275</v>
      </c>
      <c r="F112" s="9" t="s">
        <v>207</v>
      </c>
      <c r="G112" s="9" t="s">
        <v>221</v>
      </c>
      <c r="H112" s="9" t="n">
        <v>1500</v>
      </c>
      <c r="I112" s="29" t="n">
        <v>1.2</v>
      </c>
      <c r="J112" s="9" t="n">
        <v>0</v>
      </c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21" t="str">
        <f aca="false">IF(COUNT(K112:T112)=0,"SOURCE EMPTY / INDUSTRIAL ONLY",IF(MIN(K112:T112)=1,"SERVICE READY","HOLD"))</f>
        <v>SOURCE EMPTY / INDUSTRIAL ONLY</v>
      </c>
      <c r="V112" s="9" t="n">
        <f aca="false">IF(U112="SERVICE READY",1,0)</f>
        <v>0</v>
      </c>
      <c r="W112" s="6"/>
      <c r="X112" s="6"/>
      <c r="Y112" s="6"/>
      <c r="Z112" s="6"/>
    </row>
    <row r="113" customFormat="false" ht="15" hidden="false" customHeight="false" outlineLevel="0" collapsed="false">
      <c r="A113" s="9" t="s">
        <v>315</v>
      </c>
      <c r="B113" s="9" t="s">
        <v>273</v>
      </c>
      <c r="C113" s="9" t="s">
        <v>274</v>
      </c>
      <c r="D113" s="9" t="s">
        <v>195</v>
      </c>
      <c r="E113" s="9" t="s">
        <v>275</v>
      </c>
      <c r="F113" s="9" t="s">
        <v>209</v>
      </c>
      <c r="G113" s="9" t="s">
        <v>221</v>
      </c>
      <c r="H113" s="9" t="n">
        <v>1500</v>
      </c>
      <c r="I113" s="29" t="n">
        <v>1.2</v>
      </c>
      <c r="J113" s="9" t="n">
        <v>0</v>
      </c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21" t="str">
        <f aca="false">IF(COUNT(K113:T113)=0,"SOURCE EMPTY / INDUSTRIAL ONLY",IF(MIN(K113:T113)=1,"SERVICE READY","HOLD"))</f>
        <v>SOURCE EMPTY / INDUSTRIAL ONLY</v>
      </c>
      <c r="V113" s="9" t="n">
        <f aca="false">IF(U113="SERVICE READY",1,0)</f>
        <v>0</v>
      </c>
      <c r="W113" s="6"/>
      <c r="X113" s="6"/>
      <c r="Y113" s="6"/>
      <c r="Z113" s="6"/>
    </row>
    <row r="114" customFormat="false" ht="15" hidden="false" customHeight="false" outlineLevel="0" collapsed="false">
      <c r="A114" s="9" t="s">
        <v>316</v>
      </c>
      <c r="B114" s="9" t="s">
        <v>273</v>
      </c>
      <c r="C114" s="9" t="s">
        <v>274</v>
      </c>
      <c r="D114" s="9" t="s">
        <v>195</v>
      </c>
      <c r="E114" s="9" t="s">
        <v>275</v>
      </c>
      <c r="F114" s="9" t="s">
        <v>211</v>
      </c>
      <c r="G114" s="9" t="s">
        <v>221</v>
      </c>
      <c r="H114" s="9" t="n">
        <v>1500</v>
      </c>
      <c r="I114" s="29" t="n">
        <v>1.2</v>
      </c>
      <c r="J114" s="9" t="n">
        <v>0</v>
      </c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21" t="str">
        <f aca="false">IF(COUNT(K114:T114)=0,"SOURCE EMPTY / INDUSTRIAL ONLY",IF(MIN(K114:T114)=1,"SERVICE READY","HOLD"))</f>
        <v>SOURCE EMPTY / INDUSTRIAL ONLY</v>
      </c>
      <c r="V114" s="9" t="n">
        <f aca="false">IF(U114="SERVICE READY",1,0)</f>
        <v>0</v>
      </c>
      <c r="W114" s="6"/>
      <c r="X114" s="6"/>
      <c r="Y114" s="6"/>
      <c r="Z114" s="6"/>
    </row>
    <row r="115" customFormat="false" ht="15" hidden="false" customHeight="false" outlineLevel="0" collapsed="false">
      <c r="A115" s="9" t="s">
        <v>317</v>
      </c>
      <c r="B115" s="9" t="s">
        <v>273</v>
      </c>
      <c r="C115" s="9" t="s">
        <v>274</v>
      </c>
      <c r="D115" s="9" t="s">
        <v>195</v>
      </c>
      <c r="E115" s="9" t="s">
        <v>275</v>
      </c>
      <c r="F115" s="9" t="s">
        <v>197</v>
      </c>
      <c r="G115" s="9" t="s">
        <v>221</v>
      </c>
      <c r="H115" s="9" t="n">
        <v>1500</v>
      </c>
      <c r="I115" s="29" t="n">
        <v>1.2</v>
      </c>
      <c r="J115" s="9" t="n">
        <v>0</v>
      </c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21" t="str">
        <f aca="false">IF(COUNT(K115:T115)=0,"SOURCE EMPTY / INDUSTRIAL ONLY",IF(MIN(K115:T115)=1,"SERVICE READY","HOLD"))</f>
        <v>SOURCE EMPTY / INDUSTRIAL ONLY</v>
      </c>
      <c r="V115" s="9" t="n">
        <f aca="false">IF(U115="SERVICE READY",1,0)</f>
        <v>0</v>
      </c>
      <c r="W115" s="6"/>
      <c r="X115" s="6"/>
      <c r="Y115" s="6"/>
      <c r="Z115" s="6"/>
    </row>
    <row r="116" customFormat="false" ht="15" hidden="false" customHeight="false" outlineLevel="0" collapsed="false">
      <c r="A116" s="9" t="s">
        <v>318</v>
      </c>
      <c r="B116" s="9" t="s">
        <v>273</v>
      </c>
      <c r="C116" s="9" t="s">
        <v>274</v>
      </c>
      <c r="D116" s="9" t="s">
        <v>195</v>
      </c>
      <c r="E116" s="9" t="s">
        <v>275</v>
      </c>
      <c r="F116" s="9" t="s">
        <v>200</v>
      </c>
      <c r="G116" s="9" t="s">
        <v>221</v>
      </c>
      <c r="H116" s="9" t="n">
        <v>1500</v>
      </c>
      <c r="I116" s="29" t="n">
        <v>1.2</v>
      </c>
      <c r="J116" s="9" t="n">
        <v>0</v>
      </c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21" t="str">
        <f aca="false">IF(COUNT(K116:T116)=0,"SOURCE EMPTY / INDUSTRIAL ONLY",IF(MIN(K116:T116)=1,"SERVICE READY","HOLD"))</f>
        <v>SOURCE EMPTY / INDUSTRIAL ONLY</v>
      </c>
      <c r="V116" s="9" t="n">
        <f aca="false">IF(U116="SERVICE READY",1,0)</f>
        <v>0</v>
      </c>
      <c r="W116" s="6"/>
      <c r="X116" s="6"/>
      <c r="Y116" s="6"/>
      <c r="Z116" s="6"/>
    </row>
    <row r="117" customFormat="false" ht="15" hidden="false" customHeight="false" outlineLevel="0" collapsed="false">
      <c r="A117" s="9" t="s">
        <v>319</v>
      </c>
      <c r="B117" s="9" t="s">
        <v>273</v>
      </c>
      <c r="C117" s="9" t="s">
        <v>274</v>
      </c>
      <c r="D117" s="9" t="s">
        <v>195</v>
      </c>
      <c r="E117" s="9" t="s">
        <v>275</v>
      </c>
      <c r="F117" s="9" t="s">
        <v>203</v>
      </c>
      <c r="G117" s="9" t="s">
        <v>221</v>
      </c>
      <c r="H117" s="9" t="n">
        <v>1500</v>
      </c>
      <c r="I117" s="29" t="n">
        <v>1.2</v>
      </c>
      <c r="J117" s="9" t="n">
        <v>0</v>
      </c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21" t="str">
        <f aca="false">IF(COUNT(K117:T117)=0,"SOURCE EMPTY / INDUSTRIAL ONLY",IF(MIN(K117:T117)=1,"SERVICE READY","HOLD"))</f>
        <v>SOURCE EMPTY / INDUSTRIAL ONLY</v>
      </c>
      <c r="V117" s="9" t="n">
        <f aca="false">IF(U117="SERVICE READY",1,0)</f>
        <v>0</v>
      </c>
      <c r="W117" s="6"/>
      <c r="X117" s="6"/>
      <c r="Y117" s="6"/>
      <c r="Z117" s="6"/>
    </row>
    <row r="118" customFormat="false" ht="15" hidden="false" customHeight="false" outlineLevel="0" collapsed="false">
      <c r="A118" s="9" t="s">
        <v>320</v>
      </c>
      <c r="B118" s="9" t="s">
        <v>321</v>
      </c>
      <c r="C118" s="9" t="s">
        <v>322</v>
      </c>
      <c r="D118" s="9" t="s">
        <v>195</v>
      </c>
      <c r="E118" s="9" t="s">
        <v>323</v>
      </c>
      <c r="F118" s="9" t="s">
        <v>197</v>
      </c>
      <c r="G118" s="9" t="s">
        <v>198</v>
      </c>
      <c r="H118" s="9" t="n">
        <v>2250</v>
      </c>
      <c r="I118" s="29" t="n">
        <v>1.5</v>
      </c>
      <c r="J118" s="9" t="n">
        <v>1</v>
      </c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21" t="str">
        <f aca="false">IF(COUNT(K118:T118)=0,"SOURCE EMPTY / INDUSTRIAL ONLY",IF(MIN(K118:T118)=1,"SERVICE READY","HOLD"))</f>
        <v>SOURCE EMPTY / INDUSTRIAL ONLY</v>
      </c>
      <c r="V118" s="9" t="n">
        <f aca="false">IF(U118="SERVICE READY",1,0)</f>
        <v>0</v>
      </c>
      <c r="W118" s="6"/>
      <c r="X118" s="6"/>
      <c r="Y118" s="6"/>
      <c r="Z118" s="6"/>
    </row>
    <row r="119" customFormat="false" ht="15" hidden="false" customHeight="false" outlineLevel="0" collapsed="false">
      <c r="A119" s="9" t="s">
        <v>324</v>
      </c>
      <c r="B119" s="9" t="s">
        <v>321</v>
      </c>
      <c r="C119" s="9" t="s">
        <v>322</v>
      </c>
      <c r="D119" s="9" t="s">
        <v>195</v>
      </c>
      <c r="E119" s="9" t="s">
        <v>323</v>
      </c>
      <c r="F119" s="9" t="s">
        <v>200</v>
      </c>
      <c r="G119" s="9" t="s">
        <v>201</v>
      </c>
      <c r="H119" s="9" t="n">
        <v>2250</v>
      </c>
      <c r="I119" s="29" t="n">
        <v>1.5</v>
      </c>
      <c r="J119" s="9" t="n">
        <v>1</v>
      </c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21" t="str">
        <f aca="false">IF(COUNT(K119:T119)=0,"SOURCE EMPTY / INDUSTRIAL ONLY",IF(MIN(K119:T119)=1,"SERVICE READY","HOLD"))</f>
        <v>SOURCE EMPTY / INDUSTRIAL ONLY</v>
      </c>
      <c r="V119" s="9" t="n">
        <f aca="false">IF(U119="SERVICE READY",1,0)</f>
        <v>0</v>
      </c>
      <c r="W119" s="6"/>
      <c r="X119" s="6"/>
      <c r="Y119" s="6"/>
      <c r="Z119" s="6"/>
    </row>
    <row r="120" customFormat="false" ht="15" hidden="false" customHeight="false" outlineLevel="0" collapsed="false">
      <c r="A120" s="9" t="s">
        <v>325</v>
      </c>
      <c r="B120" s="9" t="s">
        <v>321</v>
      </c>
      <c r="C120" s="9" t="s">
        <v>322</v>
      </c>
      <c r="D120" s="9" t="s">
        <v>195</v>
      </c>
      <c r="E120" s="9" t="s">
        <v>323</v>
      </c>
      <c r="F120" s="9" t="s">
        <v>203</v>
      </c>
      <c r="G120" s="9" t="s">
        <v>198</v>
      </c>
      <c r="H120" s="9" t="n">
        <v>2250</v>
      </c>
      <c r="I120" s="29" t="n">
        <v>1.5</v>
      </c>
      <c r="J120" s="9" t="n">
        <v>1</v>
      </c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21" t="str">
        <f aca="false">IF(COUNT(K120:T120)=0,"SOURCE EMPTY / INDUSTRIAL ONLY",IF(MIN(K120:T120)=1,"SERVICE READY","HOLD"))</f>
        <v>SOURCE EMPTY / INDUSTRIAL ONLY</v>
      </c>
      <c r="V120" s="9" t="n">
        <f aca="false">IF(U120="SERVICE READY",1,0)</f>
        <v>0</v>
      </c>
      <c r="W120" s="6"/>
      <c r="X120" s="6"/>
      <c r="Y120" s="6"/>
      <c r="Z120" s="6"/>
    </row>
    <row r="121" customFormat="false" ht="15" hidden="false" customHeight="false" outlineLevel="0" collapsed="false">
      <c r="A121" s="9" t="s">
        <v>326</v>
      </c>
      <c r="B121" s="9" t="s">
        <v>321</v>
      </c>
      <c r="C121" s="9" t="s">
        <v>322</v>
      </c>
      <c r="D121" s="9" t="s">
        <v>195</v>
      </c>
      <c r="E121" s="9" t="s">
        <v>323</v>
      </c>
      <c r="F121" s="9" t="s">
        <v>205</v>
      </c>
      <c r="G121" s="9" t="s">
        <v>201</v>
      </c>
      <c r="H121" s="9" t="n">
        <v>2250</v>
      </c>
      <c r="I121" s="29" t="n">
        <v>1.5</v>
      </c>
      <c r="J121" s="9" t="n">
        <v>1</v>
      </c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21" t="str">
        <f aca="false">IF(COUNT(K121:T121)=0,"SOURCE EMPTY / INDUSTRIAL ONLY",IF(MIN(K121:T121)=1,"SERVICE READY","HOLD"))</f>
        <v>SOURCE EMPTY / INDUSTRIAL ONLY</v>
      </c>
      <c r="V121" s="9" t="n">
        <f aca="false">IF(U121="SERVICE READY",1,0)</f>
        <v>0</v>
      </c>
      <c r="W121" s="6"/>
      <c r="X121" s="6"/>
      <c r="Y121" s="6"/>
      <c r="Z121" s="6"/>
    </row>
    <row r="122" customFormat="false" ht="15" hidden="false" customHeight="false" outlineLevel="0" collapsed="false">
      <c r="A122" s="9" t="s">
        <v>327</v>
      </c>
      <c r="B122" s="9" t="s">
        <v>321</v>
      </c>
      <c r="C122" s="9" t="s">
        <v>322</v>
      </c>
      <c r="D122" s="9" t="s">
        <v>195</v>
      </c>
      <c r="E122" s="9" t="s">
        <v>323</v>
      </c>
      <c r="F122" s="9" t="s">
        <v>207</v>
      </c>
      <c r="G122" s="9" t="s">
        <v>198</v>
      </c>
      <c r="H122" s="9" t="n">
        <v>2250</v>
      </c>
      <c r="I122" s="29" t="n">
        <v>1.5</v>
      </c>
      <c r="J122" s="9" t="n">
        <v>1</v>
      </c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21" t="str">
        <f aca="false">IF(COUNT(K122:T122)=0,"SOURCE EMPTY / INDUSTRIAL ONLY",IF(MIN(K122:T122)=1,"SERVICE READY","HOLD"))</f>
        <v>SOURCE EMPTY / INDUSTRIAL ONLY</v>
      </c>
      <c r="V122" s="9" t="n">
        <f aca="false">IF(U122="SERVICE READY",1,0)</f>
        <v>0</v>
      </c>
      <c r="W122" s="6"/>
      <c r="X122" s="6"/>
      <c r="Y122" s="6"/>
      <c r="Z122" s="6"/>
    </row>
    <row r="123" customFormat="false" ht="15" hidden="false" customHeight="false" outlineLevel="0" collapsed="false">
      <c r="A123" s="9" t="s">
        <v>328</v>
      </c>
      <c r="B123" s="9" t="s">
        <v>321</v>
      </c>
      <c r="C123" s="9" t="s">
        <v>322</v>
      </c>
      <c r="D123" s="9" t="s">
        <v>195</v>
      </c>
      <c r="E123" s="9" t="s">
        <v>323</v>
      </c>
      <c r="F123" s="9" t="s">
        <v>209</v>
      </c>
      <c r="G123" s="9" t="s">
        <v>201</v>
      </c>
      <c r="H123" s="9" t="n">
        <v>2250</v>
      </c>
      <c r="I123" s="29" t="n">
        <v>1.5</v>
      </c>
      <c r="J123" s="9" t="n">
        <v>1</v>
      </c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21" t="str">
        <f aca="false">IF(COUNT(K123:T123)=0,"SOURCE EMPTY / INDUSTRIAL ONLY",IF(MIN(K123:T123)=1,"SERVICE READY","HOLD"))</f>
        <v>SOURCE EMPTY / INDUSTRIAL ONLY</v>
      </c>
      <c r="V123" s="9" t="n">
        <f aca="false">IF(U123="SERVICE READY",1,0)</f>
        <v>0</v>
      </c>
      <c r="W123" s="6"/>
      <c r="X123" s="6"/>
      <c r="Y123" s="6"/>
      <c r="Z123" s="6"/>
    </row>
    <row r="124" customFormat="false" ht="15" hidden="false" customHeight="false" outlineLevel="0" collapsed="false">
      <c r="A124" s="9" t="s">
        <v>329</v>
      </c>
      <c r="B124" s="9" t="s">
        <v>321</v>
      </c>
      <c r="C124" s="9" t="s">
        <v>322</v>
      </c>
      <c r="D124" s="9" t="s">
        <v>195</v>
      </c>
      <c r="E124" s="9" t="s">
        <v>323</v>
      </c>
      <c r="F124" s="9" t="s">
        <v>211</v>
      </c>
      <c r="G124" s="9" t="s">
        <v>198</v>
      </c>
      <c r="H124" s="9" t="n">
        <v>2250</v>
      </c>
      <c r="I124" s="29" t="n">
        <v>1.5</v>
      </c>
      <c r="J124" s="9" t="n">
        <v>1</v>
      </c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21" t="str">
        <f aca="false">IF(COUNT(K124:T124)=0,"SOURCE EMPTY / INDUSTRIAL ONLY",IF(MIN(K124:T124)=1,"SERVICE READY","HOLD"))</f>
        <v>SOURCE EMPTY / INDUSTRIAL ONLY</v>
      </c>
      <c r="V124" s="9" t="n">
        <f aca="false">IF(U124="SERVICE READY",1,0)</f>
        <v>0</v>
      </c>
      <c r="W124" s="6"/>
      <c r="X124" s="6"/>
      <c r="Y124" s="6"/>
      <c r="Z124" s="6"/>
    </row>
    <row r="125" customFormat="false" ht="15" hidden="false" customHeight="false" outlineLevel="0" collapsed="false">
      <c r="A125" s="9" t="s">
        <v>330</v>
      </c>
      <c r="B125" s="9" t="s">
        <v>321</v>
      </c>
      <c r="C125" s="9" t="s">
        <v>322</v>
      </c>
      <c r="D125" s="9" t="s">
        <v>195</v>
      </c>
      <c r="E125" s="9" t="s">
        <v>323</v>
      </c>
      <c r="F125" s="9" t="s">
        <v>197</v>
      </c>
      <c r="G125" s="9" t="s">
        <v>201</v>
      </c>
      <c r="H125" s="9" t="n">
        <v>2250</v>
      </c>
      <c r="I125" s="29" t="n">
        <v>1.5</v>
      </c>
      <c r="J125" s="9" t="n">
        <v>1</v>
      </c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21" t="str">
        <f aca="false">IF(COUNT(K125:T125)=0,"SOURCE EMPTY / INDUSTRIAL ONLY",IF(MIN(K125:T125)=1,"SERVICE READY","HOLD"))</f>
        <v>SOURCE EMPTY / INDUSTRIAL ONLY</v>
      </c>
      <c r="V125" s="9" t="n">
        <f aca="false">IF(U125="SERVICE READY",1,0)</f>
        <v>0</v>
      </c>
      <c r="W125" s="6"/>
      <c r="X125" s="6"/>
      <c r="Y125" s="6"/>
      <c r="Z125" s="6"/>
    </row>
    <row r="126" customFormat="false" ht="15" hidden="false" customHeight="false" outlineLevel="0" collapsed="false">
      <c r="A126" s="9" t="s">
        <v>331</v>
      </c>
      <c r="B126" s="9" t="s">
        <v>321</v>
      </c>
      <c r="C126" s="9" t="s">
        <v>322</v>
      </c>
      <c r="D126" s="9" t="s">
        <v>195</v>
      </c>
      <c r="E126" s="9" t="s">
        <v>323</v>
      </c>
      <c r="F126" s="9" t="s">
        <v>200</v>
      </c>
      <c r="G126" s="9" t="s">
        <v>198</v>
      </c>
      <c r="H126" s="9" t="n">
        <v>2250</v>
      </c>
      <c r="I126" s="29" t="n">
        <v>1.5</v>
      </c>
      <c r="J126" s="9" t="n">
        <v>1</v>
      </c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21" t="str">
        <f aca="false">IF(COUNT(K126:T126)=0,"SOURCE EMPTY / INDUSTRIAL ONLY",IF(MIN(K126:T126)=1,"SERVICE READY","HOLD"))</f>
        <v>SOURCE EMPTY / INDUSTRIAL ONLY</v>
      </c>
      <c r="V126" s="9" t="n">
        <f aca="false">IF(U126="SERVICE READY",1,0)</f>
        <v>0</v>
      </c>
      <c r="W126" s="6"/>
      <c r="X126" s="6"/>
      <c r="Y126" s="6"/>
      <c r="Z126" s="6"/>
    </row>
    <row r="127" customFormat="false" ht="15" hidden="false" customHeight="false" outlineLevel="0" collapsed="false">
      <c r="A127" s="9" t="s">
        <v>332</v>
      </c>
      <c r="B127" s="9" t="s">
        <v>321</v>
      </c>
      <c r="C127" s="9" t="s">
        <v>322</v>
      </c>
      <c r="D127" s="9" t="s">
        <v>195</v>
      </c>
      <c r="E127" s="9" t="s">
        <v>323</v>
      </c>
      <c r="F127" s="9" t="s">
        <v>203</v>
      </c>
      <c r="G127" s="9" t="s">
        <v>201</v>
      </c>
      <c r="H127" s="9" t="n">
        <v>2250</v>
      </c>
      <c r="I127" s="29" t="n">
        <v>1.5</v>
      </c>
      <c r="J127" s="9" t="n">
        <v>1</v>
      </c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21" t="str">
        <f aca="false">IF(COUNT(K127:T127)=0,"SOURCE EMPTY / INDUSTRIAL ONLY",IF(MIN(K127:T127)=1,"SERVICE READY","HOLD"))</f>
        <v>SOURCE EMPTY / INDUSTRIAL ONLY</v>
      </c>
      <c r="V127" s="9" t="n">
        <f aca="false">IF(U127="SERVICE READY",1,0)</f>
        <v>0</v>
      </c>
      <c r="W127" s="6"/>
      <c r="X127" s="6"/>
      <c r="Y127" s="6"/>
      <c r="Z127" s="6"/>
    </row>
    <row r="128" customFormat="false" ht="15" hidden="false" customHeight="false" outlineLevel="0" collapsed="false">
      <c r="A128" s="9" t="s">
        <v>333</v>
      </c>
      <c r="B128" s="9" t="s">
        <v>321</v>
      </c>
      <c r="C128" s="9" t="s">
        <v>322</v>
      </c>
      <c r="D128" s="9" t="s">
        <v>195</v>
      </c>
      <c r="E128" s="9" t="s">
        <v>323</v>
      </c>
      <c r="F128" s="9" t="s">
        <v>205</v>
      </c>
      <c r="G128" s="9" t="s">
        <v>198</v>
      </c>
      <c r="H128" s="9" t="n">
        <v>2250</v>
      </c>
      <c r="I128" s="29" t="n">
        <v>1.5</v>
      </c>
      <c r="J128" s="9" t="n">
        <v>1</v>
      </c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21" t="str">
        <f aca="false">IF(COUNT(K128:T128)=0,"SOURCE EMPTY / INDUSTRIAL ONLY",IF(MIN(K128:T128)=1,"SERVICE READY","HOLD"))</f>
        <v>SOURCE EMPTY / INDUSTRIAL ONLY</v>
      </c>
      <c r="V128" s="9" t="n">
        <f aca="false">IF(U128="SERVICE READY",1,0)</f>
        <v>0</v>
      </c>
      <c r="W128" s="6"/>
      <c r="X128" s="6"/>
      <c r="Y128" s="6"/>
      <c r="Z128" s="6"/>
    </row>
    <row r="129" customFormat="false" ht="15" hidden="false" customHeight="false" outlineLevel="0" collapsed="false">
      <c r="A129" s="9" t="s">
        <v>334</v>
      </c>
      <c r="B129" s="9" t="s">
        <v>321</v>
      </c>
      <c r="C129" s="9" t="s">
        <v>322</v>
      </c>
      <c r="D129" s="9" t="s">
        <v>195</v>
      </c>
      <c r="E129" s="9" t="s">
        <v>323</v>
      </c>
      <c r="F129" s="9" t="s">
        <v>207</v>
      </c>
      <c r="G129" s="9" t="s">
        <v>201</v>
      </c>
      <c r="H129" s="9" t="n">
        <v>2250</v>
      </c>
      <c r="I129" s="29" t="n">
        <v>1.5</v>
      </c>
      <c r="J129" s="9" t="n">
        <v>1</v>
      </c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21" t="str">
        <f aca="false">IF(COUNT(K129:T129)=0,"SOURCE EMPTY / INDUSTRIAL ONLY",IF(MIN(K129:T129)=1,"SERVICE READY","HOLD"))</f>
        <v>SOURCE EMPTY / INDUSTRIAL ONLY</v>
      </c>
      <c r="V129" s="9" t="n">
        <f aca="false">IF(U129="SERVICE READY",1,0)</f>
        <v>0</v>
      </c>
      <c r="W129" s="6"/>
      <c r="X129" s="6"/>
      <c r="Y129" s="6"/>
      <c r="Z129" s="6"/>
    </row>
    <row r="130" customFormat="false" ht="15" hidden="false" customHeight="false" outlineLevel="0" collapsed="false">
      <c r="A130" s="9" t="s">
        <v>335</v>
      </c>
      <c r="B130" s="9" t="s">
        <v>321</v>
      </c>
      <c r="C130" s="9" t="s">
        <v>322</v>
      </c>
      <c r="D130" s="9" t="s">
        <v>195</v>
      </c>
      <c r="E130" s="9" t="s">
        <v>323</v>
      </c>
      <c r="F130" s="9" t="s">
        <v>209</v>
      </c>
      <c r="G130" s="9" t="s">
        <v>198</v>
      </c>
      <c r="H130" s="9" t="n">
        <v>2250</v>
      </c>
      <c r="I130" s="29" t="n">
        <v>1.5</v>
      </c>
      <c r="J130" s="9" t="n">
        <v>1</v>
      </c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21" t="str">
        <f aca="false">IF(COUNT(K130:T130)=0,"SOURCE EMPTY / INDUSTRIAL ONLY",IF(MIN(K130:T130)=1,"SERVICE READY","HOLD"))</f>
        <v>SOURCE EMPTY / INDUSTRIAL ONLY</v>
      </c>
      <c r="V130" s="9" t="n">
        <f aca="false">IF(U130="SERVICE READY",1,0)</f>
        <v>0</v>
      </c>
      <c r="W130" s="6"/>
      <c r="X130" s="6"/>
      <c r="Y130" s="6"/>
      <c r="Z130" s="6"/>
    </row>
    <row r="131" customFormat="false" ht="15" hidden="false" customHeight="false" outlineLevel="0" collapsed="false">
      <c r="A131" s="9" t="s">
        <v>336</v>
      </c>
      <c r="B131" s="9" t="s">
        <v>321</v>
      </c>
      <c r="C131" s="9" t="s">
        <v>322</v>
      </c>
      <c r="D131" s="9" t="s">
        <v>195</v>
      </c>
      <c r="E131" s="9" t="s">
        <v>323</v>
      </c>
      <c r="F131" s="9" t="s">
        <v>211</v>
      </c>
      <c r="G131" s="9" t="s">
        <v>201</v>
      </c>
      <c r="H131" s="9" t="n">
        <v>2250</v>
      </c>
      <c r="I131" s="29" t="n">
        <v>1.5</v>
      </c>
      <c r="J131" s="9" t="n">
        <v>1</v>
      </c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21" t="str">
        <f aca="false">IF(COUNT(K131:T131)=0,"SOURCE EMPTY / INDUSTRIAL ONLY",IF(MIN(K131:T131)=1,"SERVICE READY","HOLD"))</f>
        <v>SOURCE EMPTY / INDUSTRIAL ONLY</v>
      </c>
      <c r="V131" s="9" t="n">
        <f aca="false">IF(U131="SERVICE READY",1,0)</f>
        <v>0</v>
      </c>
      <c r="W131" s="6"/>
      <c r="X131" s="6"/>
      <c r="Y131" s="6"/>
      <c r="Z131" s="6"/>
    </row>
    <row r="132" customFormat="false" ht="15" hidden="false" customHeight="false" outlineLevel="0" collapsed="false">
      <c r="A132" s="9" t="s">
        <v>337</v>
      </c>
      <c r="B132" s="9" t="s">
        <v>321</v>
      </c>
      <c r="C132" s="9" t="s">
        <v>322</v>
      </c>
      <c r="D132" s="9" t="s">
        <v>195</v>
      </c>
      <c r="E132" s="9" t="s">
        <v>323</v>
      </c>
      <c r="F132" s="9" t="s">
        <v>197</v>
      </c>
      <c r="G132" s="9" t="s">
        <v>198</v>
      </c>
      <c r="H132" s="9" t="n">
        <v>2250</v>
      </c>
      <c r="I132" s="29" t="n">
        <v>1.5</v>
      </c>
      <c r="J132" s="9" t="n">
        <v>1</v>
      </c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21" t="str">
        <f aca="false">IF(COUNT(K132:T132)=0,"SOURCE EMPTY / INDUSTRIAL ONLY",IF(MIN(K132:T132)=1,"SERVICE READY","HOLD"))</f>
        <v>SOURCE EMPTY / INDUSTRIAL ONLY</v>
      </c>
      <c r="V132" s="9" t="n">
        <f aca="false">IF(U132="SERVICE READY",1,0)</f>
        <v>0</v>
      </c>
      <c r="W132" s="6"/>
      <c r="X132" s="6"/>
      <c r="Y132" s="6"/>
      <c r="Z132" s="6"/>
    </row>
    <row r="133" customFormat="false" ht="15" hidden="false" customHeight="false" outlineLevel="0" collapsed="false">
      <c r="A133" s="9" t="s">
        <v>338</v>
      </c>
      <c r="B133" s="9" t="s">
        <v>321</v>
      </c>
      <c r="C133" s="9" t="s">
        <v>322</v>
      </c>
      <c r="D133" s="9" t="s">
        <v>195</v>
      </c>
      <c r="E133" s="9" t="s">
        <v>323</v>
      </c>
      <c r="F133" s="9" t="s">
        <v>200</v>
      </c>
      <c r="G133" s="9" t="s">
        <v>221</v>
      </c>
      <c r="H133" s="9" t="n">
        <v>2250</v>
      </c>
      <c r="I133" s="29" t="n">
        <v>1.5</v>
      </c>
      <c r="J133" s="9" t="n">
        <v>1</v>
      </c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21" t="str">
        <f aca="false">IF(COUNT(K133:T133)=0,"SOURCE EMPTY / INDUSTRIAL ONLY",IF(MIN(K133:T133)=1,"SERVICE READY","HOLD"))</f>
        <v>SOURCE EMPTY / INDUSTRIAL ONLY</v>
      </c>
      <c r="V133" s="9" t="n">
        <f aca="false">IF(U133="SERVICE READY",1,0)</f>
        <v>0</v>
      </c>
      <c r="W133" s="6"/>
      <c r="X133" s="6"/>
      <c r="Y133" s="6"/>
      <c r="Z133" s="6"/>
    </row>
    <row r="134" customFormat="false" ht="15" hidden="false" customHeight="false" outlineLevel="0" collapsed="false">
      <c r="A134" s="9" t="s">
        <v>339</v>
      </c>
      <c r="B134" s="9" t="s">
        <v>321</v>
      </c>
      <c r="C134" s="9" t="s">
        <v>322</v>
      </c>
      <c r="D134" s="9" t="s">
        <v>195</v>
      </c>
      <c r="E134" s="9" t="s">
        <v>323</v>
      </c>
      <c r="F134" s="9" t="s">
        <v>203</v>
      </c>
      <c r="G134" s="9" t="s">
        <v>221</v>
      </c>
      <c r="H134" s="9" t="n">
        <v>2250</v>
      </c>
      <c r="I134" s="29" t="n">
        <v>1.5</v>
      </c>
      <c r="J134" s="9" t="n">
        <v>1</v>
      </c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21" t="str">
        <f aca="false">IF(COUNT(K134:T134)=0,"SOURCE EMPTY / INDUSTRIAL ONLY",IF(MIN(K134:T134)=1,"SERVICE READY","HOLD"))</f>
        <v>SOURCE EMPTY / INDUSTRIAL ONLY</v>
      </c>
      <c r="V134" s="9" t="n">
        <f aca="false">IF(U134="SERVICE READY",1,0)</f>
        <v>0</v>
      </c>
      <c r="W134" s="6"/>
      <c r="X134" s="6"/>
      <c r="Y134" s="6"/>
      <c r="Z134" s="6"/>
    </row>
    <row r="135" customFormat="false" ht="15" hidden="false" customHeight="false" outlineLevel="0" collapsed="false">
      <c r="A135" s="9" t="s">
        <v>340</v>
      </c>
      <c r="B135" s="9" t="s">
        <v>321</v>
      </c>
      <c r="C135" s="9" t="s">
        <v>322</v>
      </c>
      <c r="D135" s="9" t="s">
        <v>195</v>
      </c>
      <c r="E135" s="9" t="s">
        <v>323</v>
      </c>
      <c r="F135" s="9" t="s">
        <v>205</v>
      </c>
      <c r="G135" s="9" t="s">
        <v>221</v>
      </c>
      <c r="H135" s="9" t="n">
        <v>2250</v>
      </c>
      <c r="I135" s="29" t="n">
        <v>1.5</v>
      </c>
      <c r="J135" s="9" t="n">
        <v>1</v>
      </c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21" t="str">
        <f aca="false">IF(COUNT(K135:T135)=0,"SOURCE EMPTY / INDUSTRIAL ONLY",IF(MIN(K135:T135)=1,"SERVICE READY","HOLD"))</f>
        <v>SOURCE EMPTY / INDUSTRIAL ONLY</v>
      </c>
      <c r="V135" s="9" t="n">
        <f aca="false">IF(U135="SERVICE READY",1,0)</f>
        <v>0</v>
      </c>
      <c r="W135" s="6"/>
      <c r="X135" s="6"/>
      <c r="Y135" s="6"/>
      <c r="Z135" s="6"/>
    </row>
    <row r="136" customFormat="false" ht="15" hidden="false" customHeight="false" outlineLevel="0" collapsed="false">
      <c r="A136" s="9" t="s">
        <v>341</v>
      </c>
      <c r="B136" s="9" t="s">
        <v>321</v>
      </c>
      <c r="C136" s="9" t="s">
        <v>322</v>
      </c>
      <c r="D136" s="9" t="s">
        <v>195</v>
      </c>
      <c r="E136" s="9" t="s">
        <v>323</v>
      </c>
      <c r="F136" s="9" t="s">
        <v>207</v>
      </c>
      <c r="G136" s="9" t="s">
        <v>221</v>
      </c>
      <c r="H136" s="9" t="n">
        <v>2250</v>
      </c>
      <c r="I136" s="29" t="n">
        <v>1.5</v>
      </c>
      <c r="J136" s="9" t="n">
        <v>1</v>
      </c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21" t="str">
        <f aca="false">IF(COUNT(K136:T136)=0,"SOURCE EMPTY / INDUSTRIAL ONLY",IF(MIN(K136:T136)=1,"SERVICE READY","HOLD"))</f>
        <v>SOURCE EMPTY / INDUSTRIAL ONLY</v>
      </c>
      <c r="V136" s="9" t="n">
        <f aca="false">IF(U136="SERVICE READY",1,0)</f>
        <v>0</v>
      </c>
      <c r="W136" s="6"/>
      <c r="X136" s="6"/>
      <c r="Y136" s="6"/>
      <c r="Z136" s="6"/>
    </row>
    <row r="137" customFormat="false" ht="15" hidden="false" customHeight="false" outlineLevel="0" collapsed="false">
      <c r="A137" s="9" t="s">
        <v>342</v>
      </c>
      <c r="B137" s="9" t="s">
        <v>321</v>
      </c>
      <c r="C137" s="9" t="s">
        <v>322</v>
      </c>
      <c r="D137" s="9" t="s">
        <v>195</v>
      </c>
      <c r="E137" s="9" t="s">
        <v>323</v>
      </c>
      <c r="F137" s="9" t="s">
        <v>209</v>
      </c>
      <c r="G137" s="9" t="s">
        <v>221</v>
      </c>
      <c r="H137" s="9" t="n">
        <v>2250</v>
      </c>
      <c r="I137" s="29" t="n">
        <v>1.5</v>
      </c>
      <c r="J137" s="9" t="n">
        <v>1</v>
      </c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21" t="str">
        <f aca="false">IF(COUNT(K137:T137)=0,"SOURCE EMPTY / INDUSTRIAL ONLY",IF(MIN(K137:T137)=1,"SERVICE READY","HOLD"))</f>
        <v>SOURCE EMPTY / INDUSTRIAL ONLY</v>
      </c>
      <c r="V137" s="9" t="n">
        <f aca="false">IF(U137="SERVICE READY",1,0)</f>
        <v>0</v>
      </c>
      <c r="W137" s="6"/>
      <c r="X137" s="6"/>
      <c r="Y137" s="6"/>
      <c r="Z137" s="6"/>
    </row>
    <row r="138" customFormat="false" ht="15" hidden="false" customHeight="false" outlineLevel="0" collapsed="false">
      <c r="A138" s="9" t="s">
        <v>343</v>
      </c>
      <c r="B138" s="9" t="s">
        <v>321</v>
      </c>
      <c r="C138" s="9" t="s">
        <v>322</v>
      </c>
      <c r="D138" s="9" t="s">
        <v>195</v>
      </c>
      <c r="E138" s="9" t="s">
        <v>323</v>
      </c>
      <c r="F138" s="9" t="s">
        <v>211</v>
      </c>
      <c r="G138" s="9" t="s">
        <v>221</v>
      </c>
      <c r="H138" s="9" t="n">
        <v>2250</v>
      </c>
      <c r="I138" s="29" t="n">
        <v>1.5</v>
      </c>
      <c r="J138" s="9" t="n">
        <v>1</v>
      </c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21" t="str">
        <f aca="false">IF(COUNT(K138:T138)=0,"SOURCE EMPTY / INDUSTRIAL ONLY",IF(MIN(K138:T138)=1,"SERVICE READY","HOLD"))</f>
        <v>SOURCE EMPTY / INDUSTRIAL ONLY</v>
      </c>
      <c r="V138" s="9" t="n">
        <f aca="false">IF(U138="SERVICE READY",1,0)</f>
        <v>0</v>
      </c>
      <c r="W138" s="6"/>
      <c r="X138" s="6"/>
      <c r="Y138" s="6"/>
      <c r="Z138" s="6"/>
    </row>
    <row r="139" customFormat="false" ht="15" hidden="false" customHeight="false" outlineLevel="0" collapsed="false">
      <c r="A139" s="9" t="s">
        <v>344</v>
      </c>
      <c r="B139" s="9" t="s">
        <v>321</v>
      </c>
      <c r="C139" s="9" t="s">
        <v>322</v>
      </c>
      <c r="D139" s="9" t="s">
        <v>195</v>
      </c>
      <c r="E139" s="9" t="s">
        <v>323</v>
      </c>
      <c r="F139" s="9" t="s">
        <v>197</v>
      </c>
      <c r="G139" s="9" t="s">
        <v>221</v>
      </c>
      <c r="H139" s="9" t="n">
        <v>2250</v>
      </c>
      <c r="I139" s="29" t="n">
        <v>1.5</v>
      </c>
      <c r="J139" s="9" t="n">
        <v>1</v>
      </c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21" t="str">
        <f aca="false">IF(COUNT(K139:T139)=0,"SOURCE EMPTY / INDUSTRIAL ONLY",IF(MIN(K139:T139)=1,"SERVICE READY","HOLD"))</f>
        <v>SOURCE EMPTY / INDUSTRIAL ONLY</v>
      </c>
      <c r="V139" s="9" t="n">
        <f aca="false">IF(U139="SERVICE READY",1,0)</f>
        <v>0</v>
      </c>
      <c r="W139" s="6"/>
      <c r="X139" s="6"/>
      <c r="Y139" s="6"/>
      <c r="Z139" s="6"/>
    </row>
    <row r="140" customFormat="false" ht="15" hidden="false" customHeight="false" outlineLevel="0" collapsed="false">
      <c r="A140" s="9" t="s">
        <v>345</v>
      </c>
      <c r="B140" s="9" t="s">
        <v>321</v>
      </c>
      <c r="C140" s="9" t="s">
        <v>322</v>
      </c>
      <c r="D140" s="9" t="s">
        <v>195</v>
      </c>
      <c r="E140" s="9" t="s">
        <v>323</v>
      </c>
      <c r="F140" s="9" t="s">
        <v>200</v>
      </c>
      <c r="G140" s="9" t="s">
        <v>221</v>
      </c>
      <c r="H140" s="9" t="n">
        <v>2250</v>
      </c>
      <c r="I140" s="29" t="n">
        <v>1.5</v>
      </c>
      <c r="J140" s="9" t="n">
        <v>1</v>
      </c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21" t="str">
        <f aca="false">IF(COUNT(K140:T140)=0,"SOURCE EMPTY / INDUSTRIAL ONLY",IF(MIN(K140:T140)=1,"SERVICE READY","HOLD"))</f>
        <v>SOURCE EMPTY / INDUSTRIAL ONLY</v>
      </c>
      <c r="V140" s="9" t="n">
        <f aca="false">IF(U140="SERVICE READY",1,0)</f>
        <v>0</v>
      </c>
      <c r="W140" s="6"/>
      <c r="X140" s="6"/>
      <c r="Y140" s="6"/>
      <c r="Z140" s="6"/>
    </row>
    <row r="141" customFormat="false" ht="15" hidden="false" customHeight="false" outlineLevel="0" collapsed="false">
      <c r="A141" s="9" t="s">
        <v>346</v>
      </c>
      <c r="B141" s="9" t="s">
        <v>321</v>
      </c>
      <c r="C141" s="9" t="s">
        <v>322</v>
      </c>
      <c r="D141" s="9" t="s">
        <v>195</v>
      </c>
      <c r="E141" s="9" t="s">
        <v>323</v>
      </c>
      <c r="F141" s="9" t="s">
        <v>203</v>
      </c>
      <c r="G141" s="9" t="s">
        <v>221</v>
      </c>
      <c r="H141" s="9" t="n">
        <v>2250</v>
      </c>
      <c r="I141" s="29" t="n">
        <v>1.5</v>
      </c>
      <c r="J141" s="9" t="n">
        <v>1</v>
      </c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21" t="str">
        <f aca="false">IF(COUNT(K141:T141)=0,"SOURCE EMPTY / INDUSTRIAL ONLY",IF(MIN(K141:T141)=1,"SERVICE READY","HOLD"))</f>
        <v>SOURCE EMPTY / INDUSTRIAL ONLY</v>
      </c>
      <c r="V141" s="9" t="n">
        <f aca="false">IF(U141="SERVICE READY",1,0)</f>
        <v>0</v>
      </c>
      <c r="W141" s="6"/>
      <c r="X141" s="6"/>
      <c r="Y141" s="6"/>
      <c r="Z141" s="6"/>
    </row>
    <row r="142" customFormat="false" ht="15" hidden="false" customHeight="false" outlineLevel="0" collapsed="false">
      <c r="A142" s="9" t="s">
        <v>347</v>
      </c>
      <c r="B142" s="9" t="s">
        <v>321</v>
      </c>
      <c r="C142" s="9" t="s">
        <v>322</v>
      </c>
      <c r="D142" s="9" t="s">
        <v>195</v>
      </c>
      <c r="E142" s="9" t="s">
        <v>323</v>
      </c>
      <c r="F142" s="9" t="s">
        <v>205</v>
      </c>
      <c r="G142" s="9" t="s">
        <v>221</v>
      </c>
      <c r="H142" s="9" t="n">
        <v>2250</v>
      </c>
      <c r="I142" s="29" t="n">
        <v>1.5</v>
      </c>
      <c r="J142" s="9" t="n">
        <v>1</v>
      </c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21" t="str">
        <f aca="false">IF(COUNT(K142:T142)=0,"SOURCE EMPTY / INDUSTRIAL ONLY",IF(MIN(K142:T142)=1,"SERVICE READY","HOLD"))</f>
        <v>SOURCE EMPTY / INDUSTRIAL ONLY</v>
      </c>
      <c r="V142" s="9" t="n">
        <f aca="false">IF(U142="SERVICE READY",1,0)</f>
        <v>0</v>
      </c>
      <c r="W142" s="6"/>
      <c r="X142" s="6"/>
      <c r="Y142" s="6"/>
      <c r="Z142" s="6"/>
    </row>
    <row r="143" customFormat="false" ht="15" hidden="false" customHeight="false" outlineLevel="0" collapsed="false">
      <c r="A143" s="9" t="s">
        <v>348</v>
      </c>
      <c r="B143" s="9" t="s">
        <v>321</v>
      </c>
      <c r="C143" s="9" t="s">
        <v>322</v>
      </c>
      <c r="D143" s="9" t="s">
        <v>195</v>
      </c>
      <c r="E143" s="9" t="s">
        <v>323</v>
      </c>
      <c r="F143" s="9" t="s">
        <v>207</v>
      </c>
      <c r="G143" s="9" t="s">
        <v>221</v>
      </c>
      <c r="H143" s="9" t="n">
        <v>2250</v>
      </c>
      <c r="I143" s="29" t="n">
        <v>1.5</v>
      </c>
      <c r="J143" s="9" t="n">
        <v>1</v>
      </c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21" t="str">
        <f aca="false">IF(COUNT(K143:T143)=0,"SOURCE EMPTY / INDUSTRIAL ONLY",IF(MIN(K143:T143)=1,"SERVICE READY","HOLD"))</f>
        <v>SOURCE EMPTY / INDUSTRIAL ONLY</v>
      </c>
      <c r="V143" s="9" t="n">
        <f aca="false">IF(U143="SERVICE READY",1,0)</f>
        <v>0</v>
      </c>
      <c r="W143" s="6"/>
      <c r="X143" s="6"/>
      <c r="Y143" s="6"/>
      <c r="Z143" s="6"/>
    </row>
    <row r="144" customFormat="false" ht="15" hidden="false" customHeight="false" outlineLevel="0" collapsed="false">
      <c r="A144" s="9" t="s">
        <v>349</v>
      </c>
      <c r="B144" s="9" t="s">
        <v>321</v>
      </c>
      <c r="C144" s="9" t="s">
        <v>322</v>
      </c>
      <c r="D144" s="9" t="s">
        <v>195</v>
      </c>
      <c r="E144" s="9" t="s">
        <v>323</v>
      </c>
      <c r="F144" s="9" t="s">
        <v>209</v>
      </c>
      <c r="G144" s="9" t="s">
        <v>221</v>
      </c>
      <c r="H144" s="9" t="n">
        <v>2250</v>
      </c>
      <c r="I144" s="29" t="n">
        <v>1.5</v>
      </c>
      <c r="J144" s="9" t="n">
        <v>1</v>
      </c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21" t="str">
        <f aca="false">IF(COUNT(K144:T144)=0,"SOURCE EMPTY / INDUSTRIAL ONLY",IF(MIN(K144:T144)=1,"SERVICE READY","HOLD"))</f>
        <v>SOURCE EMPTY / INDUSTRIAL ONLY</v>
      </c>
      <c r="V144" s="9" t="n">
        <f aca="false">IF(U144="SERVICE READY",1,0)</f>
        <v>0</v>
      </c>
      <c r="W144" s="6"/>
      <c r="X144" s="6"/>
      <c r="Y144" s="6"/>
      <c r="Z144" s="6"/>
    </row>
    <row r="145" customFormat="false" ht="15" hidden="false" customHeight="false" outlineLevel="0" collapsed="false">
      <c r="A145" s="9" t="s">
        <v>350</v>
      </c>
      <c r="B145" s="9" t="s">
        <v>321</v>
      </c>
      <c r="C145" s="9" t="s">
        <v>322</v>
      </c>
      <c r="D145" s="9" t="s">
        <v>195</v>
      </c>
      <c r="E145" s="9" t="s">
        <v>323</v>
      </c>
      <c r="F145" s="9" t="s">
        <v>211</v>
      </c>
      <c r="G145" s="9" t="s">
        <v>221</v>
      </c>
      <c r="H145" s="9" t="n">
        <v>2250</v>
      </c>
      <c r="I145" s="29" t="n">
        <v>1.5</v>
      </c>
      <c r="J145" s="9" t="n">
        <v>1</v>
      </c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21" t="str">
        <f aca="false">IF(COUNT(K145:T145)=0,"SOURCE EMPTY / INDUSTRIAL ONLY",IF(MIN(K145:T145)=1,"SERVICE READY","HOLD"))</f>
        <v>SOURCE EMPTY / INDUSTRIAL ONLY</v>
      </c>
      <c r="V145" s="9" t="n">
        <f aca="false">IF(U145="SERVICE READY",1,0)</f>
        <v>0</v>
      </c>
      <c r="W145" s="6"/>
      <c r="X145" s="6"/>
      <c r="Y145" s="6"/>
      <c r="Z145" s="6"/>
    </row>
    <row r="146" customFormat="false" ht="15" hidden="false" customHeight="false" outlineLevel="0" collapsed="false">
      <c r="A146" s="9" t="s">
        <v>351</v>
      </c>
      <c r="B146" s="9" t="s">
        <v>321</v>
      </c>
      <c r="C146" s="9" t="s">
        <v>322</v>
      </c>
      <c r="D146" s="9" t="s">
        <v>195</v>
      </c>
      <c r="E146" s="9" t="s">
        <v>323</v>
      </c>
      <c r="F146" s="9" t="s">
        <v>197</v>
      </c>
      <c r="G146" s="9" t="s">
        <v>221</v>
      </c>
      <c r="H146" s="9" t="n">
        <v>2250</v>
      </c>
      <c r="I146" s="29" t="n">
        <v>1.5</v>
      </c>
      <c r="J146" s="9" t="n">
        <v>1</v>
      </c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21" t="str">
        <f aca="false">IF(COUNT(K146:T146)=0,"SOURCE EMPTY / INDUSTRIAL ONLY",IF(MIN(K146:T146)=1,"SERVICE READY","HOLD"))</f>
        <v>SOURCE EMPTY / INDUSTRIAL ONLY</v>
      </c>
      <c r="V146" s="9" t="n">
        <f aca="false">IF(U146="SERVICE READY",1,0)</f>
        <v>0</v>
      </c>
      <c r="W146" s="6"/>
      <c r="X146" s="6"/>
      <c r="Y146" s="6"/>
      <c r="Z146" s="6"/>
    </row>
    <row r="147" customFormat="false" ht="15" hidden="false" customHeight="false" outlineLevel="0" collapsed="false">
      <c r="A147" s="9" t="s">
        <v>352</v>
      </c>
      <c r="B147" s="9" t="s">
        <v>321</v>
      </c>
      <c r="C147" s="9" t="s">
        <v>322</v>
      </c>
      <c r="D147" s="9" t="s">
        <v>195</v>
      </c>
      <c r="E147" s="9" t="s">
        <v>323</v>
      </c>
      <c r="F147" s="9" t="s">
        <v>200</v>
      </c>
      <c r="G147" s="9" t="s">
        <v>221</v>
      </c>
      <c r="H147" s="9" t="n">
        <v>2250</v>
      </c>
      <c r="I147" s="29" t="n">
        <v>1.5</v>
      </c>
      <c r="J147" s="9" t="n">
        <v>1</v>
      </c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21" t="str">
        <f aca="false">IF(COUNT(K147:T147)=0,"SOURCE EMPTY / INDUSTRIAL ONLY",IF(MIN(K147:T147)=1,"SERVICE READY","HOLD"))</f>
        <v>SOURCE EMPTY / INDUSTRIAL ONLY</v>
      </c>
      <c r="V147" s="9" t="n">
        <f aca="false">IF(U147="SERVICE READY",1,0)</f>
        <v>0</v>
      </c>
      <c r="W147" s="6"/>
      <c r="X147" s="6"/>
      <c r="Y147" s="6"/>
      <c r="Z147" s="6"/>
    </row>
    <row r="148" customFormat="false" ht="15" hidden="false" customHeight="false" outlineLevel="0" collapsed="false">
      <c r="A148" s="9" t="s">
        <v>353</v>
      </c>
      <c r="B148" s="9" t="s">
        <v>321</v>
      </c>
      <c r="C148" s="9" t="s">
        <v>322</v>
      </c>
      <c r="D148" s="9" t="s">
        <v>195</v>
      </c>
      <c r="E148" s="9" t="s">
        <v>323</v>
      </c>
      <c r="F148" s="9" t="s">
        <v>203</v>
      </c>
      <c r="G148" s="9" t="s">
        <v>221</v>
      </c>
      <c r="H148" s="9" t="n">
        <v>2250</v>
      </c>
      <c r="I148" s="29" t="n">
        <v>1.5</v>
      </c>
      <c r="J148" s="9" t="n">
        <v>1</v>
      </c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21" t="str">
        <f aca="false">IF(COUNT(K148:T148)=0,"SOURCE EMPTY / INDUSTRIAL ONLY",IF(MIN(K148:T148)=1,"SERVICE READY","HOLD"))</f>
        <v>SOURCE EMPTY / INDUSTRIAL ONLY</v>
      </c>
      <c r="V148" s="9" t="n">
        <f aca="false">IF(U148="SERVICE READY",1,0)</f>
        <v>0</v>
      </c>
      <c r="W148" s="6"/>
      <c r="X148" s="6"/>
      <c r="Y148" s="6"/>
      <c r="Z148" s="6"/>
    </row>
    <row r="149" customFormat="false" ht="15" hidden="false" customHeight="false" outlineLevel="0" collapsed="false">
      <c r="A149" s="9" t="s">
        <v>354</v>
      </c>
      <c r="B149" s="9" t="s">
        <v>321</v>
      </c>
      <c r="C149" s="9" t="s">
        <v>322</v>
      </c>
      <c r="D149" s="9" t="s">
        <v>195</v>
      </c>
      <c r="E149" s="9" t="s">
        <v>323</v>
      </c>
      <c r="F149" s="9" t="s">
        <v>205</v>
      </c>
      <c r="G149" s="9" t="s">
        <v>221</v>
      </c>
      <c r="H149" s="9" t="n">
        <v>2250</v>
      </c>
      <c r="I149" s="29" t="n">
        <v>1.5</v>
      </c>
      <c r="J149" s="9" t="n">
        <v>1</v>
      </c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21" t="str">
        <f aca="false">IF(COUNT(K149:T149)=0,"SOURCE EMPTY / INDUSTRIAL ONLY",IF(MIN(K149:T149)=1,"SERVICE READY","HOLD"))</f>
        <v>SOURCE EMPTY / INDUSTRIAL ONLY</v>
      </c>
      <c r="V149" s="9" t="n">
        <f aca="false">IF(U149="SERVICE READY",1,0)</f>
        <v>0</v>
      </c>
      <c r="W149" s="6"/>
      <c r="X149" s="6"/>
      <c r="Y149" s="6"/>
      <c r="Z149" s="6"/>
    </row>
    <row r="150" customFormat="false" ht="15" hidden="false" customHeight="false" outlineLevel="0" collapsed="false">
      <c r="A150" s="9" t="s">
        <v>355</v>
      </c>
      <c r="B150" s="9" t="s">
        <v>321</v>
      </c>
      <c r="C150" s="9" t="s">
        <v>322</v>
      </c>
      <c r="D150" s="9" t="s">
        <v>195</v>
      </c>
      <c r="E150" s="9" t="s">
        <v>323</v>
      </c>
      <c r="F150" s="9" t="s">
        <v>207</v>
      </c>
      <c r="G150" s="9" t="s">
        <v>221</v>
      </c>
      <c r="H150" s="9" t="n">
        <v>2250</v>
      </c>
      <c r="I150" s="29" t="n">
        <v>1.5</v>
      </c>
      <c r="J150" s="9" t="n">
        <v>1</v>
      </c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21" t="str">
        <f aca="false">IF(COUNT(K150:T150)=0,"SOURCE EMPTY / INDUSTRIAL ONLY",IF(MIN(K150:T150)=1,"SERVICE READY","HOLD"))</f>
        <v>SOURCE EMPTY / INDUSTRIAL ONLY</v>
      </c>
      <c r="V150" s="9" t="n">
        <f aca="false">IF(U150="SERVICE READY",1,0)</f>
        <v>0</v>
      </c>
      <c r="W150" s="6"/>
      <c r="X150" s="6"/>
      <c r="Y150" s="6"/>
      <c r="Z150" s="6"/>
    </row>
    <row r="151" customFormat="false" ht="15" hidden="false" customHeight="false" outlineLevel="0" collapsed="false">
      <c r="A151" s="9" t="s">
        <v>356</v>
      </c>
      <c r="B151" s="9" t="s">
        <v>321</v>
      </c>
      <c r="C151" s="9" t="s">
        <v>322</v>
      </c>
      <c r="D151" s="9" t="s">
        <v>195</v>
      </c>
      <c r="E151" s="9" t="s">
        <v>323</v>
      </c>
      <c r="F151" s="9" t="s">
        <v>209</v>
      </c>
      <c r="G151" s="9" t="s">
        <v>221</v>
      </c>
      <c r="H151" s="9" t="n">
        <v>2250</v>
      </c>
      <c r="I151" s="29" t="n">
        <v>1.5</v>
      </c>
      <c r="J151" s="9" t="n">
        <v>1</v>
      </c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21" t="str">
        <f aca="false">IF(COUNT(K151:T151)=0,"SOURCE EMPTY / INDUSTRIAL ONLY",IF(MIN(K151:T151)=1,"SERVICE READY","HOLD"))</f>
        <v>SOURCE EMPTY / INDUSTRIAL ONLY</v>
      </c>
      <c r="V151" s="9" t="n">
        <f aca="false">IF(U151="SERVICE READY",1,0)</f>
        <v>0</v>
      </c>
      <c r="W151" s="6"/>
      <c r="X151" s="6"/>
      <c r="Y151" s="6"/>
      <c r="Z151" s="6"/>
    </row>
    <row r="152" customFormat="false" ht="15" hidden="false" customHeight="false" outlineLevel="0" collapsed="false">
      <c r="A152" s="9" t="s">
        <v>357</v>
      </c>
      <c r="B152" s="9" t="s">
        <v>321</v>
      </c>
      <c r="C152" s="9" t="s">
        <v>322</v>
      </c>
      <c r="D152" s="9" t="s">
        <v>195</v>
      </c>
      <c r="E152" s="9" t="s">
        <v>323</v>
      </c>
      <c r="F152" s="9" t="s">
        <v>211</v>
      </c>
      <c r="G152" s="9" t="s">
        <v>221</v>
      </c>
      <c r="H152" s="9" t="n">
        <v>2250</v>
      </c>
      <c r="I152" s="29" t="n">
        <v>1.5</v>
      </c>
      <c r="J152" s="9" t="n">
        <v>1</v>
      </c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21" t="str">
        <f aca="false">IF(COUNT(K152:T152)=0,"SOURCE EMPTY / INDUSTRIAL ONLY",IF(MIN(K152:T152)=1,"SERVICE READY","HOLD"))</f>
        <v>SOURCE EMPTY / INDUSTRIAL ONLY</v>
      </c>
      <c r="V152" s="9" t="n">
        <f aca="false">IF(U152="SERVICE READY",1,0)</f>
        <v>0</v>
      </c>
      <c r="W152" s="6"/>
      <c r="X152" s="6"/>
      <c r="Y152" s="6"/>
      <c r="Z152" s="6"/>
    </row>
    <row r="153" customFormat="false" ht="15" hidden="false" customHeight="false" outlineLevel="0" collapsed="false">
      <c r="A153" s="9" t="s">
        <v>358</v>
      </c>
      <c r="B153" s="9" t="s">
        <v>321</v>
      </c>
      <c r="C153" s="9" t="s">
        <v>322</v>
      </c>
      <c r="D153" s="9" t="s">
        <v>195</v>
      </c>
      <c r="E153" s="9" t="s">
        <v>323</v>
      </c>
      <c r="F153" s="9" t="s">
        <v>197</v>
      </c>
      <c r="G153" s="9" t="s">
        <v>221</v>
      </c>
      <c r="H153" s="9" t="n">
        <v>2250</v>
      </c>
      <c r="I153" s="29" t="n">
        <v>1.5</v>
      </c>
      <c r="J153" s="9" t="n">
        <v>1</v>
      </c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21" t="str">
        <f aca="false">IF(COUNT(K153:T153)=0,"SOURCE EMPTY / INDUSTRIAL ONLY",IF(MIN(K153:T153)=1,"SERVICE READY","HOLD"))</f>
        <v>SOURCE EMPTY / INDUSTRIAL ONLY</v>
      </c>
      <c r="V153" s="9" t="n">
        <f aca="false">IF(U153="SERVICE READY",1,0)</f>
        <v>0</v>
      </c>
      <c r="W153" s="6"/>
      <c r="X153" s="6"/>
      <c r="Y153" s="6"/>
      <c r="Z153" s="6"/>
    </row>
    <row r="154" customFormat="false" ht="15" hidden="false" customHeight="false" outlineLevel="0" collapsed="false">
      <c r="A154" s="9" t="s">
        <v>359</v>
      </c>
      <c r="B154" s="9" t="s">
        <v>321</v>
      </c>
      <c r="C154" s="9" t="s">
        <v>322</v>
      </c>
      <c r="D154" s="9" t="s">
        <v>195</v>
      </c>
      <c r="E154" s="9" t="s">
        <v>323</v>
      </c>
      <c r="F154" s="9" t="s">
        <v>200</v>
      </c>
      <c r="G154" s="9" t="s">
        <v>221</v>
      </c>
      <c r="H154" s="9" t="n">
        <v>2250</v>
      </c>
      <c r="I154" s="29" t="n">
        <v>1.5</v>
      </c>
      <c r="J154" s="9" t="n">
        <v>1</v>
      </c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21" t="str">
        <f aca="false">IF(COUNT(K154:T154)=0,"SOURCE EMPTY / INDUSTRIAL ONLY",IF(MIN(K154:T154)=1,"SERVICE READY","HOLD"))</f>
        <v>SOURCE EMPTY / INDUSTRIAL ONLY</v>
      </c>
      <c r="V154" s="9" t="n">
        <f aca="false">IF(U154="SERVICE READY",1,0)</f>
        <v>0</v>
      </c>
      <c r="W154" s="6"/>
      <c r="X154" s="6"/>
      <c r="Y154" s="6"/>
      <c r="Z154" s="6"/>
    </row>
    <row r="155" customFormat="false" ht="15" hidden="false" customHeight="false" outlineLevel="0" collapsed="false">
      <c r="A155" s="9" t="s">
        <v>360</v>
      </c>
      <c r="B155" s="9" t="s">
        <v>321</v>
      </c>
      <c r="C155" s="9" t="s">
        <v>322</v>
      </c>
      <c r="D155" s="9" t="s">
        <v>195</v>
      </c>
      <c r="E155" s="9" t="s">
        <v>323</v>
      </c>
      <c r="F155" s="9" t="s">
        <v>203</v>
      </c>
      <c r="G155" s="9" t="s">
        <v>221</v>
      </c>
      <c r="H155" s="9" t="n">
        <v>2250</v>
      </c>
      <c r="I155" s="29" t="n">
        <v>1.5</v>
      </c>
      <c r="J155" s="9" t="n">
        <v>1</v>
      </c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21" t="str">
        <f aca="false">IF(COUNT(K155:T155)=0,"SOURCE EMPTY / INDUSTRIAL ONLY",IF(MIN(K155:T155)=1,"SERVICE READY","HOLD"))</f>
        <v>SOURCE EMPTY / INDUSTRIAL ONLY</v>
      </c>
      <c r="V155" s="9" t="n">
        <f aca="false">IF(U155="SERVICE READY",1,0)</f>
        <v>0</v>
      </c>
      <c r="W155" s="6"/>
      <c r="X155" s="6"/>
      <c r="Y155" s="6"/>
      <c r="Z155" s="6"/>
    </row>
    <row r="156" customFormat="false" ht="15" hidden="false" customHeight="false" outlineLevel="0" collapsed="false">
      <c r="A156" s="9" t="s">
        <v>361</v>
      </c>
      <c r="B156" s="9" t="s">
        <v>321</v>
      </c>
      <c r="C156" s="9" t="s">
        <v>322</v>
      </c>
      <c r="D156" s="9" t="s">
        <v>195</v>
      </c>
      <c r="E156" s="9" t="s">
        <v>323</v>
      </c>
      <c r="F156" s="9" t="s">
        <v>205</v>
      </c>
      <c r="G156" s="9" t="s">
        <v>221</v>
      </c>
      <c r="H156" s="9" t="n">
        <v>2250</v>
      </c>
      <c r="I156" s="29" t="n">
        <v>1.5</v>
      </c>
      <c r="J156" s="9" t="n">
        <v>1</v>
      </c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21" t="str">
        <f aca="false">IF(COUNT(K156:T156)=0,"SOURCE EMPTY / INDUSTRIAL ONLY",IF(MIN(K156:T156)=1,"SERVICE READY","HOLD"))</f>
        <v>SOURCE EMPTY / INDUSTRIAL ONLY</v>
      </c>
      <c r="V156" s="9" t="n">
        <f aca="false">IF(U156="SERVICE READY",1,0)</f>
        <v>0</v>
      </c>
      <c r="W156" s="6"/>
      <c r="X156" s="6"/>
      <c r="Y156" s="6"/>
      <c r="Z156" s="6"/>
    </row>
    <row r="157" customFormat="false" ht="15" hidden="false" customHeight="false" outlineLevel="0" collapsed="false">
      <c r="A157" s="9" t="s">
        <v>362</v>
      </c>
      <c r="B157" s="9" t="s">
        <v>321</v>
      </c>
      <c r="C157" s="9" t="s">
        <v>322</v>
      </c>
      <c r="D157" s="9" t="s">
        <v>195</v>
      </c>
      <c r="E157" s="9" t="s">
        <v>323</v>
      </c>
      <c r="F157" s="9" t="s">
        <v>207</v>
      </c>
      <c r="G157" s="9" t="s">
        <v>221</v>
      </c>
      <c r="H157" s="9" t="n">
        <v>2250</v>
      </c>
      <c r="I157" s="29" t="n">
        <v>1.5</v>
      </c>
      <c r="J157" s="9" t="n">
        <v>1</v>
      </c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21" t="str">
        <f aca="false">IF(COUNT(K157:T157)=0,"SOURCE EMPTY / INDUSTRIAL ONLY",IF(MIN(K157:T157)=1,"SERVICE READY","HOLD"))</f>
        <v>SOURCE EMPTY / INDUSTRIAL ONLY</v>
      </c>
      <c r="V157" s="9" t="n">
        <f aca="false">IF(U157="SERVICE READY",1,0)</f>
        <v>0</v>
      </c>
      <c r="W157" s="6"/>
      <c r="X157" s="6"/>
      <c r="Y157" s="6"/>
      <c r="Z157" s="6"/>
    </row>
    <row r="158" customFormat="false" ht="15" hidden="false" customHeight="false" outlineLevel="0" collapsed="false">
      <c r="A158" s="9" t="s">
        <v>363</v>
      </c>
      <c r="B158" s="9" t="s">
        <v>321</v>
      </c>
      <c r="C158" s="9" t="s">
        <v>322</v>
      </c>
      <c r="D158" s="9" t="s">
        <v>195</v>
      </c>
      <c r="E158" s="9" t="s">
        <v>323</v>
      </c>
      <c r="F158" s="9" t="s">
        <v>209</v>
      </c>
      <c r="G158" s="9" t="s">
        <v>221</v>
      </c>
      <c r="H158" s="9" t="n">
        <v>2250</v>
      </c>
      <c r="I158" s="29" t="n">
        <v>1.5</v>
      </c>
      <c r="J158" s="9" t="n">
        <v>1</v>
      </c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21" t="str">
        <f aca="false">IF(COUNT(K158:T158)=0,"SOURCE EMPTY / INDUSTRIAL ONLY",IF(MIN(K158:T158)=1,"SERVICE READY","HOLD"))</f>
        <v>SOURCE EMPTY / INDUSTRIAL ONLY</v>
      </c>
      <c r="V158" s="9" t="n">
        <f aca="false">IF(U158="SERVICE READY",1,0)</f>
        <v>0</v>
      </c>
      <c r="W158" s="6"/>
      <c r="X158" s="6"/>
      <c r="Y158" s="6"/>
      <c r="Z158" s="6"/>
    </row>
    <row r="159" customFormat="false" ht="15" hidden="false" customHeight="false" outlineLevel="0" collapsed="false">
      <c r="A159" s="9" t="s">
        <v>364</v>
      </c>
      <c r="B159" s="9" t="s">
        <v>321</v>
      </c>
      <c r="C159" s="9" t="s">
        <v>322</v>
      </c>
      <c r="D159" s="9" t="s">
        <v>195</v>
      </c>
      <c r="E159" s="9" t="s">
        <v>323</v>
      </c>
      <c r="F159" s="9" t="s">
        <v>211</v>
      </c>
      <c r="G159" s="9" t="s">
        <v>221</v>
      </c>
      <c r="H159" s="9" t="n">
        <v>2250</v>
      </c>
      <c r="I159" s="29" t="n">
        <v>1.5</v>
      </c>
      <c r="J159" s="9" t="n">
        <v>1</v>
      </c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21" t="str">
        <f aca="false">IF(COUNT(K159:T159)=0,"SOURCE EMPTY / INDUSTRIAL ONLY",IF(MIN(K159:T159)=1,"SERVICE READY","HOLD"))</f>
        <v>SOURCE EMPTY / INDUSTRIAL ONLY</v>
      </c>
      <c r="V159" s="9" t="n">
        <f aca="false">IF(U159="SERVICE READY",1,0)</f>
        <v>0</v>
      </c>
      <c r="W159" s="6"/>
      <c r="X159" s="6"/>
      <c r="Y159" s="6"/>
      <c r="Z159" s="6"/>
    </row>
    <row r="160" customFormat="false" ht="15" hidden="false" customHeight="false" outlineLevel="0" collapsed="false">
      <c r="A160" s="9" t="s">
        <v>365</v>
      </c>
      <c r="B160" s="9" t="s">
        <v>321</v>
      </c>
      <c r="C160" s="9" t="s">
        <v>322</v>
      </c>
      <c r="D160" s="9" t="s">
        <v>195</v>
      </c>
      <c r="E160" s="9" t="s">
        <v>323</v>
      </c>
      <c r="F160" s="9" t="s">
        <v>197</v>
      </c>
      <c r="G160" s="9" t="s">
        <v>221</v>
      </c>
      <c r="H160" s="9" t="n">
        <v>2250</v>
      </c>
      <c r="I160" s="29" t="n">
        <v>1.5</v>
      </c>
      <c r="J160" s="9" t="n">
        <v>1</v>
      </c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21" t="str">
        <f aca="false">IF(COUNT(K160:T160)=0,"SOURCE EMPTY / INDUSTRIAL ONLY",IF(MIN(K160:T160)=1,"SERVICE READY","HOLD"))</f>
        <v>SOURCE EMPTY / INDUSTRIAL ONLY</v>
      </c>
      <c r="V160" s="9" t="n">
        <f aca="false">IF(U160="SERVICE READY",1,0)</f>
        <v>0</v>
      </c>
      <c r="W160" s="6"/>
      <c r="X160" s="6"/>
      <c r="Y160" s="6"/>
      <c r="Z160" s="6"/>
    </row>
    <row r="161" customFormat="false" ht="15" hidden="false" customHeight="false" outlineLevel="0" collapsed="false">
      <c r="A161" s="9" t="s">
        <v>366</v>
      </c>
      <c r="B161" s="9" t="s">
        <v>321</v>
      </c>
      <c r="C161" s="9" t="s">
        <v>322</v>
      </c>
      <c r="D161" s="9" t="s">
        <v>195</v>
      </c>
      <c r="E161" s="9" t="s">
        <v>323</v>
      </c>
      <c r="F161" s="9" t="s">
        <v>200</v>
      </c>
      <c r="G161" s="9" t="s">
        <v>221</v>
      </c>
      <c r="H161" s="9" t="n">
        <v>2250</v>
      </c>
      <c r="I161" s="29" t="n">
        <v>1.5</v>
      </c>
      <c r="J161" s="9" t="n">
        <v>1</v>
      </c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21" t="str">
        <f aca="false">IF(COUNT(K161:T161)=0,"SOURCE EMPTY / INDUSTRIAL ONLY",IF(MIN(K161:T161)=1,"SERVICE READY","HOLD"))</f>
        <v>SOURCE EMPTY / INDUSTRIAL ONLY</v>
      </c>
      <c r="V161" s="9" t="n">
        <f aca="false">IF(U161="SERVICE READY",1,0)</f>
        <v>0</v>
      </c>
      <c r="W161" s="6"/>
      <c r="X161" s="6"/>
      <c r="Y161" s="6"/>
      <c r="Z161" s="6"/>
    </row>
    <row r="162" customFormat="false" ht="15" hidden="false" customHeight="false" outlineLevel="0" collapsed="false">
      <c r="A162" s="9" t="s">
        <v>367</v>
      </c>
      <c r="B162" s="9" t="s">
        <v>321</v>
      </c>
      <c r="C162" s="9" t="s">
        <v>322</v>
      </c>
      <c r="D162" s="9" t="s">
        <v>195</v>
      </c>
      <c r="E162" s="9" t="s">
        <v>323</v>
      </c>
      <c r="F162" s="9" t="s">
        <v>203</v>
      </c>
      <c r="G162" s="9" t="s">
        <v>221</v>
      </c>
      <c r="H162" s="9" t="n">
        <v>2250</v>
      </c>
      <c r="I162" s="29" t="n">
        <v>1.5</v>
      </c>
      <c r="J162" s="9" t="n">
        <v>1</v>
      </c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21" t="str">
        <f aca="false">IF(COUNT(K162:T162)=0,"SOURCE EMPTY / INDUSTRIAL ONLY",IF(MIN(K162:T162)=1,"SERVICE READY","HOLD"))</f>
        <v>SOURCE EMPTY / INDUSTRIAL ONLY</v>
      </c>
      <c r="V162" s="9" t="n">
        <f aca="false">IF(U162="SERVICE READY",1,0)</f>
        <v>0</v>
      </c>
      <c r="W162" s="6"/>
      <c r="X162" s="6"/>
      <c r="Y162" s="6"/>
      <c r="Z162" s="6"/>
    </row>
    <row r="163" customFormat="false" ht="15" hidden="false" customHeight="false" outlineLevel="0" collapsed="false">
      <c r="A163" s="9" t="s">
        <v>368</v>
      </c>
      <c r="B163" s="9" t="s">
        <v>321</v>
      </c>
      <c r="C163" s="9" t="s">
        <v>322</v>
      </c>
      <c r="D163" s="9" t="s">
        <v>195</v>
      </c>
      <c r="E163" s="9" t="s">
        <v>323</v>
      </c>
      <c r="F163" s="9" t="s">
        <v>205</v>
      </c>
      <c r="G163" s="9" t="s">
        <v>221</v>
      </c>
      <c r="H163" s="9" t="n">
        <v>2250</v>
      </c>
      <c r="I163" s="29" t="n">
        <v>1.5</v>
      </c>
      <c r="J163" s="9" t="n">
        <v>1</v>
      </c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21" t="str">
        <f aca="false">IF(COUNT(K163:T163)=0,"SOURCE EMPTY / INDUSTRIAL ONLY",IF(MIN(K163:T163)=1,"SERVICE READY","HOLD"))</f>
        <v>SOURCE EMPTY / INDUSTRIAL ONLY</v>
      </c>
      <c r="V163" s="9" t="n">
        <f aca="false">IF(U163="SERVICE READY",1,0)</f>
        <v>0</v>
      </c>
      <c r="W163" s="6"/>
      <c r="X163" s="6"/>
      <c r="Y163" s="6"/>
      <c r="Z163" s="6"/>
    </row>
    <row r="164" customFormat="false" ht="15" hidden="false" customHeight="false" outlineLevel="0" collapsed="false">
      <c r="A164" s="9" t="s">
        <v>369</v>
      </c>
      <c r="B164" s="9" t="s">
        <v>321</v>
      </c>
      <c r="C164" s="9" t="s">
        <v>322</v>
      </c>
      <c r="D164" s="9" t="s">
        <v>195</v>
      </c>
      <c r="E164" s="9" t="s">
        <v>323</v>
      </c>
      <c r="F164" s="9" t="s">
        <v>207</v>
      </c>
      <c r="G164" s="9" t="s">
        <v>221</v>
      </c>
      <c r="H164" s="9" t="n">
        <v>2250</v>
      </c>
      <c r="I164" s="29" t="n">
        <v>1.5</v>
      </c>
      <c r="J164" s="9" t="n">
        <v>1</v>
      </c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21" t="str">
        <f aca="false">IF(COUNT(K164:T164)=0,"SOURCE EMPTY / INDUSTRIAL ONLY",IF(MIN(K164:T164)=1,"SERVICE READY","HOLD"))</f>
        <v>SOURCE EMPTY / INDUSTRIAL ONLY</v>
      </c>
      <c r="V164" s="9" t="n">
        <f aca="false">IF(U164="SERVICE READY",1,0)</f>
        <v>0</v>
      </c>
      <c r="W164" s="6"/>
      <c r="X164" s="6"/>
      <c r="Y164" s="6"/>
      <c r="Z164" s="6"/>
    </row>
    <row r="165" customFormat="false" ht="15" hidden="false" customHeight="false" outlineLevel="0" collapsed="false">
      <c r="A165" s="9" t="s">
        <v>370</v>
      </c>
      <c r="B165" s="9" t="s">
        <v>321</v>
      </c>
      <c r="C165" s="9" t="s">
        <v>322</v>
      </c>
      <c r="D165" s="9" t="s">
        <v>195</v>
      </c>
      <c r="E165" s="9" t="s">
        <v>323</v>
      </c>
      <c r="F165" s="9" t="s">
        <v>209</v>
      </c>
      <c r="G165" s="9" t="s">
        <v>221</v>
      </c>
      <c r="H165" s="9" t="n">
        <v>2250</v>
      </c>
      <c r="I165" s="29" t="n">
        <v>1.5</v>
      </c>
      <c r="J165" s="9" t="n">
        <v>1</v>
      </c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21" t="str">
        <f aca="false">IF(COUNT(K165:T165)=0,"SOURCE EMPTY / INDUSTRIAL ONLY",IF(MIN(K165:T165)=1,"SERVICE READY","HOLD"))</f>
        <v>SOURCE EMPTY / INDUSTRIAL ONLY</v>
      </c>
      <c r="V165" s="9" t="n">
        <f aca="false">IF(U165="SERVICE READY",1,0)</f>
        <v>0</v>
      </c>
      <c r="W165" s="6"/>
      <c r="X165" s="6"/>
      <c r="Y165" s="6"/>
      <c r="Z165" s="6"/>
    </row>
    <row r="166" customFormat="false" ht="15" hidden="false" customHeight="false" outlineLevel="0" collapsed="false">
      <c r="A166" s="9" t="s">
        <v>371</v>
      </c>
      <c r="B166" s="9" t="s">
        <v>321</v>
      </c>
      <c r="C166" s="9" t="s">
        <v>322</v>
      </c>
      <c r="D166" s="9" t="s">
        <v>195</v>
      </c>
      <c r="E166" s="9" t="s">
        <v>323</v>
      </c>
      <c r="F166" s="9" t="s">
        <v>211</v>
      </c>
      <c r="G166" s="9" t="s">
        <v>221</v>
      </c>
      <c r="H166" s="9" t="n">
        <v>2250</v>
      </c>
      <c r="I166" s="29" t="n">
        <v>1.5</v>
      </c>
      <c r="J166" s="9" t="n">
        <v>1</v>
      </c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21" t="str">
        <f aca="false">IF(COUNT(K166:T166)=0,"SOURCE EMPTY / INDUSTRIAL ONLY",IF(MIN(K166:T166)=1,"SERVICE READY","HOLD"))</f>
        <v>SOURCE EMPTY / INDUSTRIAL ONLY</v>
      </c>
      <c r="V166" s="9" t="n">
        <f aca="false">IF(U166="SERVICE READY",1,0)</f>
        <v>0</v>
      </c>
      <c r="W166" s="6"/>
      <c r="X166" s="6"/>
      <c r="Y166" s="6"/>
      <c r="Z166" s="6"/>
    </row>
    <row r="167" customFormat="false" ht="15" hidden="false" customHeight="false" outlineLevel="0" collapsed="false">
      <c r="A167" s="9" t="s">
        <v>372</v>
      </c>
      <c r="B167" s="9" t="s">
        <v>321</v>
      </c>
      <c r="C167" s="9" t="s">
        <v>322</v>
      </c>
      <c r="D167" s="9" t="s">
        <v>195</v>
      </c>
      <c r="E167" s="9" t="s">
        <v>323</v>
      </c>
      <c r="F167" s="9" t="s">
        <v>197</v>
      </c>
      <c r="G167" s="9" t="s">
        <v>221</v>
      </c>
      <c r="H167" s="9" t="n">
        <v>2250</v>
      </c>
      <c r="I167" s="29" t="n">
        <v>1.5</v>
      </c>
      <c r="J167" s="9" t="n">
        <v>1</v>
      </c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21" t="str">
        <f aca="false">IF(COUNT(K167:T167)=0,"SOURCE EMPTY / INDUSTRIAL ONLY",IF(MIN(K167:T167)=1,"SERVICE READY","HOLD"))</f>
        <v>SOURCE EMPTY / INDUSTRIAL ONLY</v>
      </c>
      <c r="V167" s="9" t="n">
        <f aca="false">IF(U167="SERVICE READY",1,0)</f>
        <v>0</v>
      </c>
      <c r="W167" s="6"/>
      <c r="X167" s="6"/>
      <c r="Y167" s="6"/>
      <c r="Z167" s="6"/>
    </row>
    <row r="168" customFormat="false" ht="15" hidden="false" customHeight="false" outlineLevel="0" collapsed="false">
      <c r="A168" s="9" t="s">
        <v>373</v>
      </c>
      <c r="B168" s="9" t="s">
        <v>321</v>
      </c>
      <c r="C168" s="9" t="s">
        <v>322</v>
      </c>
      <c r="D168" s="9" t="s">
        <v>195</v>
      </c>
      <c r="E168" s="9" t="s">
        <v>323</v>
      </c>
      <c r="F168" s="9" t="s">
        <v>200</v>
      </c>
      <c r="G168" s="9" t="s">
        <v>221</v>
      </c>
      <c r="H168" s="9" t="n">
        <v>2250</v>
      </c>
      <c r="I168" s="29" t="n">
        <v>1.5</v>
      </c>
      <c r="J168" s="9" t="n">
        <v>0</v>
      </c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21" t="str">
        <f aca="false">IF(COUNT(K168:T168)=0,"SOURCE EMPTY / INDUSTRIAL ONLY",IF(MIN(K168:T168)=1,"SERVICE READY","HOLD"))</f>
        <v>SOURCE EMPTY / INDUSTRIAL ONLY</v>
      </c>
      <c r="V168" s="9" t="n">
        <f aca="false">IF(U168="SERVICE READY",1,0)</f>
        <v>0</v>
      </c>
      <c r="W168" s="6"/>
      <c r="X168" s="6"/>
      <c r="Y168" s="6"/>
      <c r="Z168" s="6"/>
    </row>
    <row r="169" customFormat="false" ht="15" hidden="false" customHeight="false" outlineLevel="0" collapsed="false">
      <c r="A169" s="9" t="s">
        <v>374</v>
      </c>
      <c r="B169" s="9" t="s">
        <v>321</v>
      </c>
      <c r="C169" s="9" t="s">
        <v>322</v>
      </c>
      <c r="D169" s="9" t="s">
        <v>195</v>
      </c>
      <c r="E169" s="9" t="s">
        <v>323</v>
      </c>
      <c r="F169" s="9" t="s">
        <v>203</v>
      </c>
      <c r="G169" s="9" t="s">
        <v>221</v>
      </c>
      <c r="H169" s="9" t="n">
        <v>2250</v>
      </c>
      <c r="I169" s="29" t="n">
        <v>1.5</v>
      </c>
      <c r="J169" s="9" t="n">
        <v>0</v>
      </c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21" t="str">
        <f aca="false">IF(COUNT(K169:T169)=0,"SOURCE EMPTY / INDUSTRIAL ONLY",IF(MIN(K169:T169)=1,"SERVICE READY","HOLD"))</f>
        <v>SOURCE EMPTY / INDUSTRIAL ONLY</v>
      </c>
      <c r="V169" s="9" t="n">
        <f aca="false">IF(U169="SERVICE READY",1,0)</f>
        <v>0</v>
      </c>
      <c r="W169" s="6"/>
      <c r="X169" s="6"/>
      <c r="Y169" s="6"/>
      <c r="Z169" s="6"/>
    </row>
    <row r="170" customFormat="false" ht="15" hidden="false" customHeight="false" outlineLevel="0" collapsed="false">
      <c r="A170" s="9" t="s">
        <v>375</v>
      </c>
      <c r="B170" s="9" t="s">
        <v>321</v>
      </c>
      <c r="C170" s="9" t="s">
        <v>322</v>
      </c>
      <c r="D170" s="9" t="s">
        <v>195</v>
      </c>
      <c r="E170" s="9" t="s">
        <v>323</v>
      </c>
      <c r="F170" s="9" t="s">
        <v>205</v>
      </c>
      <c r="G170" s="9" t="s">
        <v>221</v>
      </c>
      <c r="H170" s="9" t="n">
        <v>2250</v>
      </c>
      <c r="I170" s="29" t="n">
        <v>1.5</v>
      </c>
      <c r="J170" s="9" t="n">
        <v>0</v>
      </c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21" t="str">
        <f aca="false">IF(COUNT(K170:T170)=0,"SOURCE EMPTY / INDUSTRIAL ONLY",IF(MIN(K170:T170)=1,"SERVICE READY","HOLD"))</f>
        <v>SOURCE EMPTY / INDUSTRIAL ONLY</v>
      </c>
      <c r="V170" s="9" t="n">
        <f aca="false">IF(U170="SERVICE READY",1,0)</f>
        <v>0</v>
      </c>
      <c r="W170" s="6"/>
      <c r="X170" s="6"/>
      <c r="Y170" s="6"/>
      <c r="Z170" s="6"/>
    </row>
    <row r="171" customFormat="false" ht="15" hidden="false" customHeight="false" outlineLevel="0" collapsed="false">
      <c r="A171" s="9" t="s">
        <v>376</v>
      </c>
      <c r="B171" s="9" t="s">
        <v>321</v>
      </c>
      <c r="C171" s="9" t="s">
        <v>322</v>
      </c>
      <c r="D171" s="9" t="s">
        <v>195</v>
      </c>
      <c r="E171" s="9" t="s">
        <v>323</v>
      </c>
      <c r="F171" s="9" t="s">
        <v>207</v>
      </c>
      <c r="G171" s="9" t="s">
        <v>221</v>
      </c>
      <c r="H171" s="9" t="n">
        <v>2250</v>
      </c>
      <c r="I171" s="29" t="n">
        <v>1.5</v>
      </c>
      <c r="J171" s="9" t="n">
        <v>0</v>
      </c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21" t="str">
        <f aca="false">IF(COUNT(K171:T171)=0,"SOURCE EMPTY / INDUSTRIAL ONLY",IF(MIN(K171:T171)=1,"SERVICE READY","HOLD"))</f>
        <v>SOURCE EMPTY / INDUSTRIAL ONLY</v>
      </c>
      <c r="V171" s="9" t="n">
        <f aca="false">IF(U171="SERVICE READY",1,0)</f>
        <v>0</v>
      </c>
      <c r="W171" s="6"/>
      <c r="X171" s="6"/>
      <c r="Y171" s="6"/>
      <c r="Z171" s="6"/>
    </row>
    <row r="172" customFormat="false" ht="15" hidden="false" customHeight="false" outlineLevel="0" collapsed="false">
      <c r="A172" s="9" t="s">
        <v>377</v>
      </c>
      <c r="B172" s="9" t="s">
        <v>321</v>
      </c>
      <c r="C172" s="9" t="s">
        <v>322</v>
      </c>
      <c r="D172" s="9" t="s">
        <v>195</v>
      </c>
      <c r="E172" s="9" t="s">
        <v>323</v>
      </c>
      <c r="F172" s="9" t="s">
        <v>209</v>
      </c>
      <c r="G172" s="9" t="s">
        <v>221</v>
      </c>
      <c r="H172" s="9" t="n">
        <v>2250</v>
      </c>
      <c r="I172" s="29" t="n">
        <v>1.5</v>
      </c>
      <c r="J172" s="9" t="n">
        <v>0</v>
      </c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21" t="str">
        <f aca="false">IF(COUNT(K172:T172)=0,"SOURCE EMPTY / INDUSTRIAL ONLY",IF(MIN(K172:T172)=1,"SERVICE READY","HOLD"))</f>
        <v>SOURCE EMPTY / INDUSTRIAL ONLY</v>
      </c>
      <c r="V172" s="9" t="n">
        <f aca="false">IF(U172="SERVICE READY",1,0)</f>
        <v>0</v>
      </c>
      <c r="W172" s="6"/>
      <c r="X172" s="6"/>
      <c r="Y172" s="6"/>
      <c r="Z172" s="6"/>
    </row>
    <row r="173" customFormat="false" ht="15" hidden="false" customHeight="false" outlineLevel="0" collapsed="false">
      <c r="A173" s="9" t="s">
        <v>378</v>
      </c>
      <c r="B173" s="9" t="s">
        <v>321</v>
      </c>
      <c r="C173" s="9" t="s">
        <v>322</v>
      </c>
      <c r="D173" s="9" t="s">
        <v>195</v>
      </c>
      <c r="E173" s="9" t="s">
        <v>323</v>
      </c>
      <c r="F173" s="9" t="s">
        <v>211</v>
      </c>
      <c r="G173" s="9" t="s">
        <v>221</v>
      </c>
      <c r="H173" s="9" t="n">
        <v>2250</v>
      </c>
      <c r="I173" s="29" t="n">
        <v>1.5</v>
      </c>
      <c r="J173" s="9" t="n">
        <v>0</v>
      </c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21" t="str">
        <f aca="false">IF(COUNT(K173:T173)=0,"SOURCE EMPTY / INDUSTRIAL ONLY",IF(MIN(K173:T173)=1,"SERVICE READY","HOLD"))</f>
        <v>SOURCE EMPTY / INDUSTRIAL ONLY</v>
      </c>
      <c r="V173" s="9" t="n">
        <f aca="false">IF(U173="SERVICE READY",1,0)</f>
        <v>0</v>
      </c>
      <c r="W173" s="6"/>
      <c r="X173" s="6"/>
      <c r="Y173" s="6"/>
      <c r="Z173" s="6"/>
    </row>
    <row r="174" customFormat="false" ht="15" hidden="false" customHeight="false" outlineLevel="0" collapsed="false">
      <c r="A174" s="9" t="s">
        <v>379</v>
      </c>
      <c r="B174" s="9" t="s">
        <v>321</v>
      </c>
      <c r="C174" s="9" t="s">
        <v>322</v>
      </c>
      <c r="D174" s="9" t="s">
        <v>195</v>
      </c>
      <c r="E174" s="9" t="s">
        <v>323</v>
      </c>
      <c r="F174" s="9" t="s">
        <v>197</v>
      </c>
      <c r="G174" s="9" t="s">
        <v>221</v>
      </c>
      <c r="H174" s="9" t="n">
        <v>2250</v>
      </c>
      <c r="I174" s="29" t="n">
        <v>1.5</v>
      </c>
      <c r="J174" s="9" t="n">
        <v>0</v>
      </c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21" t="str">
        <f aca="false">IF(COUNT(K174:T174)=0,"SOURCE EMPTY / INDUSTRIAL ONLY",IF(MIN(K174:T174)=1,"SERVICE READY","HOLD"))</f>
        <v>SOURCE EMPTY / INDUSTRIAL ONLY</v>
      </c>
      <c r="V174" s="9" t="n">
        <f aca="false">IF(U174="SERVICE READY",1,0)</f>
        <v>0</v>
      </c>
      <c r="W174" s="6"/>
      <c r="X174" s="6"/>
      <c r="Y174" s="6"/>
      <c r="Z174" s="6"/>
    </row>
    <row r="175" customFormat="false" ht="15" hidden="false" customHeight="false" outlineLevel="0" collapsed="false">
      <c r="A175" s="9" t="s">
        <v>380</v>
      </c>
      <c r="B175" s="9" t="s">
        <v>321</v>
      </c>
      <c r="C175" s="9" t="s">
        <v>322</v>
      </c>
      <c r="D175" s="9" t="s">
        <v>195</v>
      </c>
      <c r="E175" s="9" t="s">
        <v>323</v>
      </c>
      <c r="F175" s="9" t="s">
        <v>200</v>
      </c>
      <c r="G175" s="9" t="s">
        <v>221</v>
      </c>
      <c r="H175" s="9" t="n">
        <v>2250</v>
      </c>
      <c r="I175" s="29" t="n">
        <v>1.5</v>
      </c>
      <c r="J175" s="9" t="n">
        <v>0</v>
      </c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21" t="str">
        <f aca="false">IF(COUNT(K175:T175)=0,"SOURCE EMPTY / INDUSTRIAL ONLY",IF(MIN(K175:T175)=1,"SERVICE READY","HOLD"))</f>
        <v>SOURCE EMPTY / INDUSTRIAL ONLY</v>
      </c>
      <c r="V175" s="9" t="n">
        <f aca="false">IF(U175="SERVICE READY",1,0)</f>
        <v>0</v>
      </c>
      <c r="W175" s="6"/>
      <c r="X175" s="6"/>
      <c r="Y175" s="6"/>
      <c r="Z175" s="6"/>
    </row>
    <row r="176" customFormat="false" ht="15" hidden="false" customHeight="false" outlineLevel="0" collapsed="false">
      <c r="A176" s="9" t="s">
        <v>381</v>
      </c>
      <c r="B176" s="9" t="s">
        <v>321</v>
      </c>
      <c r="C176" s="9" t="s">
        <v>322</v>
      </c>
      <c r="D176" s="9" t="s">
        <v>195</v>
      </c>
      <c r="E176" s="9" t="s">
        <v>323</v>
      </c>
      <c r="F176" s="9" t="s">
        <v>203</v>
      </c>
      <c r="G176" s="9" t="s">
        <v>221</v>
      </c>
      <c r="H176" s="9" t="n">
        <v>2250</v>
      </c>
      <c r="I176" s="29" t="n">
        <v>1.5</v>
      </c>
      <c r="J176" s="9" t="n">
        <v>0</v>
      </c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21" t="str">
        <f aca="false">IF(COUNT(K176:T176)=0,"SOURCE EMPTY / INDUSTRIAL ONLY",IF(MIN(K176:T176)=1,"SERVICE READY","HOLD"))</f>
        <v>SOURCE EMPTY / INDUSTRIAL ONLY</v>
      </c>
      <c r="V176" s="9" t="n">
        <f aca="false">IF(U176="SERVICE READY",1,0)</f>
        <v>0</v>
      </c>
      <c r="W176" s="6"/>
      <c r="X176" s="6"/>
      <c r="Y176" s="6"/>
      <c r="Z176" s="6"/>
    </row>
    <row r="177" customFormat="false" ht="15" hidden="false" customHeight="false" outlineLevel="0" collapsed="false">
      <c r="A177" s="9" t="s">
        <v>382</v>
      </c>
      <c r="B177" s="9" t="s">
        <v>321</v>
      </c>
      <c r="C177" s="9" t="s">
        <v>322</v>
      </c>
      <c r="D177" s="9" t="s">
        <v>195</v>
      </c>
      <c r="E177" s="9" t="s">
        <v>323</v>
      </c>
      <c r="F177" s="9" t="s">
        <v>205</v>
      </c>
      <c r="G177" s="9" t="s">
        <v>221</v>
      </c>
      <c r="H177" s="9" t="n">
        <v>2250</v>
      </c>
      <c r="I177" s="29" t="n">
        <v>1.5</v>
      </c>
      <c r="J177" s="9" t="n">
        <v>0</v>
      </c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21" t="str">
        <f aca="false">IF(COUNT(K177:T177)=0,"SOURCE EMPTY / INDUSTRIAL ONLY",IF(MIN(K177:T177)=1,"SERVICE READY","HOLD"))</f>
        <v>SOURCE EMPTY / INDUSTRIAL ONLY</v>
      </c>
      <c r="V177" s="9" t="n">
        <f aca="false">IF(U177="SERVICE READY",1,0)</f>
        <v>0</v>
      </c>
      <c r="W177" s="6"/>
      <c r="X177" s="6"/>
      <c r="Y177" s="6"/>
      <c r="Z177" s="6"/>
    </row>
    <row r="178" customFormat="false" ht="15" hidden="false" customHeight="false" outlineLevel="0" collapsed="false">
      <c r="A178" s="9" t="s">
        <v>383</v>
      </c>
      <c r="B178" s="9" t="s">
        <v>321</v>
      </c>
      <c r="C178" s="9" t="s">
        <v>322</v>
      </c>
      <c r="D178" s="9" t="s">
        <v>195</v>
      </c>
      <c r="E178" s="9" t="s">
        <v>323</v>
      </c>
      <c r="F178" s="9" t="s">
        <v>207</v>
      </c>
      <c r="G178" s="9" t="s">
        <v>221</v>
      </c>
      <c r="H178" s="9" t="n">
        <v>2250</v>
      </c>
      <c r="I178" s="29" t="n">
        <v>1.5</v>
      </c>
      <c r="J178" s="9" t="n">
        <v>0</v>
      </c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21" t="str">
        <f aca="false">IF(COUNT(K178:T178)=0,"SOURCE EMPTY / INDUSTRIAL ONLY",IF(MIN(K178:T178)=1,"SERVICE READY","HOLD"))</f>
        <v>SOURCE EMPTY / INDUSTRIAL ONLY</v>
      </c>
      <c r="V178" s="9" t="n">
        <f aca="false">IF(U178="SERVICE READY",1,0)</f>
        <v>0</v>
      </c>
      <c r="W178" s="6"/>
      <c r="X178" s="6"/>
      <c r="Y178" s="6"/>
      <c r="Z178" s="6"/>
    </row>
    <row r="179" customFormat="false" ht="15" hidden="false" customHeight="false" outlineLevel="0" collapsed="false">
      <c r="A179" s="9" t="s">
        <v>384</v>
      </c>
      <c r="B179" s="9" t="s">
        <v>321</v>
      </c>
      <c r="C179" s="9" t="s">
        <v>322</v>
      </c>
      <c r="D179" s="9" t="s">
        <v>195</v>
      </c>
      <c r="E179" s="9" t="s">
        <v>323</v>
      </c>
      <c r="F179" s="9" t="s">
        <v>209</v>
      </c>
      <c r="G179" s="9" t="s">
        <v>221</v>
      </c>
      <c r="H179" s="9" t="n">
        <v>2250</v>
      </c>
      <c r="I179" s="29" t="n">
        <v>1.5</v>
      </c>
      <c r="J179" s="9" t="n">
        <v>0</v>
      </c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21" t="str">
        <f aca="false">IF(COUNT(K179:T179)=0,"SOURCE EMPTY / INDUSTRIAL ONLY",IF(MIN(K179:T179)=1,"SERVICE READY","HOLD"))</f>
        <v>SOURCE EMPTY / INDUSTRIAL ONLY</v>
      </c>
      <c r="V179" s="9" t="n">
        <f aca="false">IF(U179="SERVICE READY",1,0)</f>
        <v>0</v>
      </c>
      <c r="W179" s="6"/>
      <c r="X179" s="6"/>
      <c r="Y179" s="6"/>
      <c r="Z179" s="6"/>
    </row>
    <row r="180" customFormat="false" ht="15" hidden="false" customHeight="false" outlineLevel="0" collapsed="false">
      <c r="A180" s="9" t="s">
        <v>385</v>
      </c>
      <c r="B180" s="9" t="s">
        <v>321</v>
      </c>
      <c r="C180" s="9" t="s">
        <v>322</v>
      </c>
      <c r="D180" s="9" t="s">
        <v>195</v>
      </c>
      <c r="E180" s="9" t="s">
        <v>323</v>
      </c>
      <c r="F180" s="9" t="s">
        <v>211</v>
      </c>
      <c r="G180" s="9" t="s">
        <v>221</v>
      </c>
      <c r="H180" s="9" t="n">
        <v>2250</v>
      </c>
      <c r="I180" s="29" t="n">
        <v>1.5</v>
      </c>
      <c r="J180" s="9" t="n">
        <v>0</v>
      </c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21" t="str">
        <f aca="false">IF(COUNT(K180:T180)=0,"SOURCE EMPTY / INDUSTRIAL ONLY",IF(MIN(K180:T180)=1,"SERVICE READY","HOLD"))</f>
        <v>SOURCE EMPTY / INDUSTRIAL ONLY</v>
      </c>
      <c r="V180" s="9" t="n">
        <f aca="false">IF(U180="SERVICE READY",1,0)</f>
        <v>0</v>
      </c>
      <c r="W180" s="6"/>
      <c r="X180" s="6"/>
      <c r="Y180" s="6"/>
      <c r="Z180" s="6"/>
    </row>
    <row r="181" customFormat="false" ht="15" hidden="false" customHeight="false" outlineLevel="0" collapsed="false">
      <c r="A181" s="9" t="s">
        <v>386</v>
      </c>
      <c r="B181" s="9" t="s">
        <v>321</v>
      </c>
      <c r="C181" s="9" t="s">
        <v>322</v>
      </c>
      <c r="D181" s="9" t="s">
        <v>195</v>
      </c>
      <c r="E181" s="9" t="s">
        <v>323</v>
      </c>
      <c r="F181" s="9" t="s">
        <v>197</v>
      </c>
      <c r="G181" s="9" t="s">
        <v>221</v>
      </c>
      <c r="H181" s="9" t="n">
        <v>2250</v>
      </c>
      <c r="I181" s="29" t="n">
        <v>1.5</v>
      </c>
      <c r="J181" s="9" t="n">
        <v>0</v>
      </c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21" t="str">
        <f aca="false">IF(COUNT(K181:T181)=0,"SOURCE EMPTY / INDUSTRIAL ONLY",IF(MIN(K181:T181)=1,"SERVICE READY","HOLD"))</f>
        <v>SOURCE EMPTY / INDUSTRIAL ONLY</v>
      </c>
      <c r="V181" s="9" t="n">
        <f aca="false">IF(U181="SERVICE READY",1,0)</f>
        <v>0</v>
      </c>
      <c r="W181" s="6"/>
      <c r="X181" s="6"/>
      <c r="Y181" s="6"/>
      <c r="Z181" s="6"/>
    </row>
    <row r="182" customFormat="false" ht="15" hidden="false" customHeight="false" outlineLevel="0" collapsed="false">
      <c r="A182" s="9" t="s">
        <v>387</v>
      </c>
      <c r="B182" s="9" t="s">
        <v>388</v>
      </c>
      <c r="C182" s="9" t="s">
        <v>389</v>
      </c>
      <c r="D182" s="9" t="s">
        <v>195</v>
      </c>
      <c r="E182" s="9" t="s">
        <v>196</v>
      </c>
      <c r="F182" s="9" t="s">
        <v>197</v>
      </c>
      <c r="G182" s="9" t="s">
        <v>198</v>
      </c>
      <c r="H182" s="9" t="n">
        <v>900</v>
      </c>
      <c r="I182" s="29" t="n">
        <v>0.9</v>
      </c>
      <c r="J182" s="9" t="n">
        <v>1</v>
      </c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21" t="str">
        <f aca="false">IF(COUNT(K182:T182)=0,"SOURCE EMPTY / INDUSTRIAL ONLY",IF(MIN(K182:T182)=1,"SERVICE READY","HOLD"))</f>
        <v>SOURCE EMPTY / INDUSTRIAL ONLY</v>
      </c>
      <c r="V182" s="9" t="n">
        <f aca="false">IF(U182="SERVICE READY",1,0)</f>
        <v>0</v>
      </c>
      <c r="W182" s="6"/>
      <c r="X182" s="6"/>
      <c r="Y182" s="6"/>
      <c r="Z182" s="6"/>
    </row>
    <row r="183" customFormat="false" ht="15" hidden="false" customHeight="false" outlineLevel="0" collapsed="false">
      <c r="A183" s="9" t="s">
        <v>390</v>
      </c>
      <c r="B183" s="9" t="s">
        <v>388</v>
      </c>
      <c r="C183" s="9" t="s">
        <v>389</v>
      </c>
      <c r="D183" s="9" t="s">
        <v>195</v>
      </c>
      <c r="E183" s="9" t="s">
        <v>196</v>
      </c>
      <c r="F183" s="9" t="s">
        <v>200</v>
      </c>
      <c r="G183" s="9" t="s">
        <v>201</v>
      </c>
      <c r="H183" s="9" t="n">
        <v>900</v>
      </c>
      <c r="I183" s="29" t="n">
        <v>0.9</v>
      </c>
      <c r="J183" s="9" t="n">
        <v>1</v>
      </c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21" t="str">
        <f aca="false">IF(COUNT(K183:T183)=0,"SOURCE EMPTY / INDUSTRIAL ONLY",IF(MIN(K183:T183)=1,"SERVICE READY","HOLD"))</f>
        <v>SOURCE EMPTY / INDUSTRIAL ONLY</v>
      </c>
      <c r="V183" s="9" t="n">
        <f aca="false">IF(U183="SERVICE READY",1,0)</f>
        <v>0</v>
      </c>
      <c r="W183" s="6"/>
      <c r="X183" s="6"/>
      <c r="Y183" s="6"/>
      <c r="Z183" s="6"/>
    </row>
    <row r="184" customFormat="false" ht="15" hidden="false" customHeight="false" outlineLevel="0" collapsed="false">
      <c r="A184" s="9" t="s">
        <v>391</v>
      </c>
      <c r="B184" s="9" t="s">
        <v>388</v>
      </c>
      <c r="C184" s="9" t="s">
        <v>389</v>
      </c>
      <c r="D184" s="9" t="s">
        <v>195</v>
      </c>
      <c r="E184" s="9" t="s">
        <v>196</v>
      </c>
      <c r="F184" s="9" t="s">
        <v>203</v>
      </c>
      <c r="G184" s="9" t="s">
        <v>198</v>
      </c>
      <c r="H184" s="9" t="n">
        <v>900</v>
      </c>
      <c r="I184" s="29" t="n">
        <v>0.9</v>
      </c>
      <c r="J184" s="9" t="n">
        <v>1</v>
      </c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21" t="str">
        <f aca="false">IF(COUNT(K184:T184)=0,"SOURCE EMPTY / INDUSTRIAL ONLY",IF(MIN(K184:T184)=1,"SERVICE READY","HOLD"))</f>
        <v>SOURCE EMPTY / INDUSTRIAL ONLY</v>
      </c>
      <c r="V184" s="9" t="n">
        <f aca="false">IF(U184="SERVICE READY",1,0)</f>
        <v>0</v>
      </c>
      <c r="W184" s="6"/>
      <c r="X184" s="6"/>
      <c r="Y184" s="6"/>
      <c r="Z184" s="6"/>
    </row>
    <row r="185" customFormat="false" ht="15" hidden="false" customHeight="false" outlineLevel="0" collapsed="false">
      <c r="A185" s="9" t="s">
        <v>392</v>
      </c>
      <c r="B185" s="9" t="s">
        <v>388</v>
      </c>
      <c r="C185" s="9" t="s">
        <v>389</v>
      </c>
      <c r="D185" s="9" t="s">
        <v>195</v>
      </c>
      <c r="E185" s="9" t="s">
        <v>196</v>
      </c>
      <c r="F185" s="9" t="s">
        <v>205</v>
      </c>
      <c r="G185" s="9" t="s">
        <v>201</v>
      </c>
      <c r="H185" s="9" t="n">
        <v>900</v>
      </c>
      <c r="I185" s="29" t="n">
        <v>0.9</v>
      </c>
      <c r="J185" s="9" t="n">
        <v>1</v>
      </c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21" t="str">
        <f aca="false">IF(COUNT(K185:T185)=0,"SOURCE EMPTY / INDUSTRIAL ONLY",IF(MIN(K185:T185)=1,"SERVICE READY","HOLD"))</f>
        <v>SOURCE EMPTY / INDUSTRIAL ONLY</v>
      </c>
      <c r="V185" s="9" t="n">
        <f aca="false">IF(U185="SERVICE READY",1,0)</f>
        <v>0</v>
      </c>
      <c r="W185" s="6"/>
      <c r="X185" s="6"/>
      <c r="Y185" s="6"/>
      <c r="Z185" s="6"/>
    </row>
    <row r="186" customFormat="false" ht="15" hidden="false" customHeight="false" outlineLevel="0" collapsed="false">
      <c r="A186" s="9" t="s">
        <v>393</v>
      </c>
      <c r="B186" s="9" t="s">
        <v>388</v>
      </c>
      <c r="C186" s="9" t="s">
        <v>389</v>
      </c>
      <c r="D186" s="9" t="s">
        <v>195</v>
      </c>
      <c r="E186" s="9" t="s">
        <v>196</v>
      </c>
      <c r="F186" s="9" t="s">
        <v>207</v>
      </c>
      <c r="G186" s="9" t="s">
        <v>198</v>
      </c>
      <c r="H186" s="9" t="n">
        <v>900</v>
      </c>
      <c r="I186" s="29" t="n">
        <v>0.9</v>
      </c>
      <c r="J186" s="9" t="n">
        <v>1</v>
      </c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21" t="str">
        <f aca="false">IF(COUNT(K186:T186)=0,"SOURCE EMPTY / INDUSTRIAL ONLY",IF(MIN(K186:T186)=1,"SERVICE READY","HOLD"))</f>
        <v>SOURCE EMPTY / INDUSTRIAL ONLY</v>
      </c>
      <c r="V186" s="9" t="n">
        <f aca="false">IF(U186="SERVICE READY",1,0)</f>
        <v>0</v>
      </c>
      <c r="W186" s="6"/>
      <c r="X186" s="6"/>
      <c r="Y186" s="6"/>
      <c r="Z186" s="6"/>
    </row>
    <row r="187" customFormat="false" ht="15" hidden="false" customHeight="false" outlineLevel="0" collapsed="false">
      <c r="A187" s="9" t="s">
        <v>394</v>
      </c>
      <c r="B187" s="9" t="s">
        <v>388</v>
      </c>
      <c r="C187" s="9" t="s">
        <v>389</v>
      </c>
      <c r="D187" s="9" t="s">
        <v>195</v>
      </c>
      <c r="E187" s="9" t="s">
        <v>196</v>
      </c>
      <c r="F187" s="9" t="s">
        <v>209</v>
      </c>
      <c r="G187" s="9" t="s">
        <v>201</v>
      </c>
      <c r="H187" s="9" t="n">
        <v>900</v>
      </c>
      <c r="I187" s="29" t="n">
        <v>0.9</v>
      </c>
      <c r="J187" s="9" t="n">
        <v>1</v>
      </c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21" t="str">
        <f aca="false">IF(COUNT(K187:T187)=0,"SOURCE EMPTY / INDUSTRIAL ONLY",IF(MIN(K187:T187)=1,"SERVICE READY","HOLD"))</f>
        <v>SOURCE EMPTY / INDUSTRIAL ONLY</v>
      </c>
      <c r="V187" s="9" t="n">
        <f aca="false">IF(U187="SERVICE READY",1,0)</f>
        <v>0</v>
      </c>
      <c r="W187" s="6"/>
      <c r="X187" s="6"/>
      <c r="Y187" s="6"/>
      <c r="Z187" s="6"/>
    </row>
    <row r="188" customFormat="false" ht="15" hidden="false" customHeight="false" outlineLevel="0" collapsed="false">
      <c r="A188" s="9" t="s">
        <v>395</v>
      </c>
      <c r="B188" s="9" t="s">
        <v>388</v>
      </c>
      <c r="C188" s="9" t="s">
        <v>389</v>
      </c>
      <c r="D188" s="9" t="s">
        <v>195</v>
      </c>
      <c r="E188" s="9" t="s">
        <v>196</v>
      </c>
      <c r="F188" s="9" t="s">
        <v>211</v>
      </c>
      <c r="G188" s="9" t="s">
        <v>198</v>
      </c>
      <c r="H188" s="9" t="n">
        <v>900</v>
      </c>
      <c r="I188" s="29" t="n">
        <v>0.9</v>
      </c>
      <c r="J188" s="9" t="n">
        <v>1</v>
      </c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21" t="str">
        <f aca="false">IF(COUNT(K188:T188)=0,"SOURCE EMPTY / INDUSTRIAL ONLY",IF(MIN(K188:T188)=1,"SERVICE READY","HOLD"))</f>
        <v>SOURCE EMPTY / INDUSTRIAL ONLY</v>
      </c>
      <c r="V188" s="9" t="n">
        <f aca="false">IF(U188="SERVICE READY",1,0)</f>
        <v>0</v>
      </c>
      <c r="W188" s="6"/>
      <c r="X188" s="6"/>
      <c r="Y188" s="6"/>
      <c r="Z188" s="6"/>
    </row>
    <row r="189" customFormat="false" ht="15" hidden="false" customHeight="false" outlineLevel="0" collapsed="false">
      <c r="A189" s="9" t="s">
        <v>396</v>
      </c>
      <c r="B189" s="9" t="s">
        <v>388</v>
      </c>
      <c r="C189" s="9" t="s">
        <v>389</v>
      </c>
      <c r="D189" s="9" t="s">
        <v>195</v>
      </c>
      <c r="E189" s="9" t="s">
        <v>196</v>
      </c>
      <c r="F189" s="9" t="s">
        <v>197</v>
      </c>
      <c r="G189" s="9" t="s">
        <v>201</v>
      </c>
      <c r="H189" s="9" t="n">
        <v>900</v>
      </c>
      <c r="I189" s="29" t="n">
        <v>0.9</v>
      </c>
      <c r="J189" s="9" t="n">
        <v>1</v>
      </c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21" t="str">
        <f aca="false">IF(COUNT(K189:T189)=0,"SOURCE EMPTY / INDUSTRIAL ONLY",IF(MIN(K189:T189)=1,"SERVICE READY","HOLD"))</f>
        <v>SOURCE EMPTY / INDUSTRIAL ONLY</v>
      </c>
      <c r="V189" s="9" t="n">
        <f aca="false">IF(U189="SERVICE READY",1,0)</f>
        <v>0</v>
      </c>
      <c r="W189" s="6"/>
      <c r="X189" s="6"/>
      <c r="Y189" s="6"/>
      <c r="Z189" s="6"/>
    </row>
    <row r="190" customFormat="false" ht="15" hidden="false" customHeight="false" outlineLevel="0" collapsed="false">
      <c r="A190" s="9" t="s">
        <v>397</v>
      </c>
      <c r="B190" s="9" t="s">
        <v>388</v>
      </c>
      <c r="C190" s="9" t="s">
        <v>389</v>
      </c>
      <c r="D190" s="9" t="s">
        <v>195</v>
      </c>
      <c r="E190" s="9" t="s">
        <v>196</v>
      </c>
      <c r="F190" s="9" t="s">
        <v>200</v>
      </c>
      <c r="G190" s="9" t="s">
        <v>198</v>
      </c>
      <c r="H190" s="9" t="n">
        <v>900</v>
      </c>
      <c r="I190" s="29" t="n">
        <v>0.9</v>
      </c>
      <c r="J190" s="9" t="n">
        <v>1</v>
      </c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21" t="str">
        <f aca="false">IF(COUNT(K190:T190)=0,"SOURCE EMPTY / INDUSTRIAL ONLY",IF(MIN(K190:T190)=1,"SERVICE READY","HOLD"))</f>
        <v>SOURCE EMPTY / INDUSTRIAL ONLY</v>
      </c>
      <c r="V190" s="9" t="n">
        <f aca="false">IF(U190="SERVICE READY",1,0)</f>
        <v>0</v>
      </c>
      <c r="W190" s="6"/>
      <c r="X190" s="6"/>
      <c r="Y190" s="6"/>
      <c r="Z190" s="6"/>
    </row>
    <row r="191" customFormat="false" ht="15" hidden="false" customHeight="false" outlineLevel="0" collapsed="false">
      <c r="A191" s="9" t="s">
        <v>398</v>
      </c>
      <c r="B191" s="9" t="s">
        <v>388</v>
      </c>
      <c r="C191" s="9" t="s">
        <v>389</v>
      </c>
      <c r="D191" s="9" t="s">
        <v>195</v>
      </c>
      <c r="E191" s="9" t="s">
        <v>196</v>
      </c>
      <c r="F191" s="9" t="s">
        <v>203</v>
      </c>
      <c r="G191" s="9" t="s">
        <v>201</v>
      </c>
      <c r="H191" s="9" t="n">
        <v>900</v>
      </c>
      <c r="I191" s="29" t="n">
        <v>0.9</v>
      </c>
      <c r="J191" s="9" t="n">
        <v>1</v>
      </c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21" t="str">
        <f aca="false">IF(COUNT(K191:T191)=0,"SOURCE EMPTY / INDUSTRIAL ONLY",IF(MIN(K191:T191)=1,"SERVICE READY","HOLD"))</f>
        <v>SOURCE EMPTY / INDUSTRIAL ONLY</v>
      </c>
      <c r="V191" s="9" t="n">
        <f aca="false">IF(U191="SERVICE READY",1,0)</f>
        <v>0</v>
      </c>
      <c r="W191" s="6"/>
      <c r="X191" s="6"/>
      <c r="Y191" s="6"/>
      <c r="Z191" s="6"/>
    </row>
    <row r="192" customFormat="false" ht="15" hidden="false" customHeight="false" outlineLevel="0" collapsed="false">
      <c r="A192" s="9" t="s">
        <v>399</v>
      </c>
      <c r="B192" s="9" t="s">
        <v>388</v>
      </c>
      <c r="C192" s="9" t="s">
        <v>389</v>
      </c>
      <c r="D192" s="9" t="s">
        <v>195</v>
      </c>
      <c r="E192" s="9" t="s">
        <v>196</v>
      </c>
      <c r="F192" s="9" t="s">
        <v>205</v>
      </c>
      <c r="G192" s="9" t="s">
        <v>198</v>
      </c>
      <c r="H192" s="9" t="n">
        <v>900</v>
      </c>
      <c r="I192" s="29" t="n">
        <v>0.9</v>
      </c>
      <c r="J192" s="9" t="n">
        <v>1</v>
      </c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21" t="str">
        <f aca="false">IF(COUNT(K192:T192)=0,"SOURCE EMPTY / INDUSTRIAL ONLY",IF(MIN(K192:T192)=1,"SERVICE READY","HOLD"))</f>
        <v>SOURCE EMPTY / INDUSTRIAL ONLY</v>
      </c>
      <c r="V192" s="9" t="n">
        <f aca="false">IF(U192="SERVICE READY",1,0)</f>
        <v>0</v>
      </c>
      <c r="W192" s="6"/>
      <c r="X192" s="6"/>
      <c r="Y192" s="6"/>
      <c r="Z192" s="6"/>
    </row>
    <row r="193" customFormat="false" ht="15" hidden="false" customHeight="false" outlineLevel="0" collapsed="false">
      <c r="A193" s="9" t="s">
        <v>400</v>
      </c>
      <c r="B193" s="9" t="s">
        <v>388</v>
      </c>
      <c r="C193" s="9" t="s">
        <v>389</v>
      </c>
      <c r="D193" s="9" t="s">
        <v>195</v>
      </c>
      <c r="E193" s="9" t="s">
        <v>196</v>
      </c>
      <c r="F193" s="9" t="s">
        <v>207</v>
      </c>
      <c r="G193" s="9" t="s">
        <v>201</v>
      </c>
      <c r="H193" s="9" t="n">
        <v>900</v>
      </c>
      <c r="I193" s="29" t="n">
        <v>0.9</v>
      </c>
      <c r="J193" s="9" t="n">
        <v>1</v>
      </c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21" t="str">
        <f aca="false">IF(COUNT(K193:T193)=0,"SOURCE EMPTY / INDUSTRIAL ONLY",IF(MIN(K193:T193)=1,"SERVICE READY","HOLD"))</f>
        <v>SOURCE EMPTY / INDUSTRIAL ONLY</v>
      </c>
      <c r="V193" s="9" t="n">
        <f aca="false">IF(U193="SERVICE READY",1,0)</f>
        <v>0</v>
      </c>
      <c r="W193" s="6"/>
      <c r="X193" s="6"/>
      <c r="Y193" s="6"/>
      <c r="Z193" s="6"/>
    </row>
    <row r="194" customFormat="false" ht="15" hidden="false" customHeight="false" outlineLevel="0" collapsed="false">
      <c r="A194" s="9" t="s">
        <v>401</v>
      </c>
      <c r="B194" s="9" t="s">
        <v>388</v>
      </c>
      <c r="C194" s="9" t="s">
        <v>389</v>
      </c>
      <c r="D194" s="9" t="s">
        <v>195</v>
      </c>
      <c r="E194" s="9" t="s">
        <v>196</v>
      </c>
      <c r="F194" s="9" t="s">
        <v>209</v>
      </c>
      <c r="G194" s="9" t="s">
        <v>198</v>
      </c>
      <c r="H194" s="9" t="n">
        <v>900</v>
      </c>
      <c r="I194" s="29" t="n">
        <v>0.9</v>
      </c>
      <c r="J194" s="9" t="n">
        <v>1</v>
      </c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21" t="str">
        <f aca="false">IF(COUNT(K194:T194)=0,"SOURCE EMPTY / INDUSTRIAL ONLY",IF(MIN(K194:T194)=1,"SERVICE READY","HOLD"))</f>
        <v>SOURCE EMPTY / INDUSTRIAL ONLY</v>
      </c>
      <c r="V194" s="9" t="n">
        <f aca="false">IF(U194="SERVICE READY",1,0)</f>
        <v>0</v>
      </c>
      <c r="W194" s="6"/>
      <c r="X194" s="6"/>
      <c r="Y194" s="6"/>
      <c r="Z194" s="6"/>
    </row>
    <row r="195" customFormat="false" ht="15" hidden="false" customHeight="false" outlineLevel="0" collapsed="false">
      <c r="A195" s="9" t="s">
        <v>402</v>
      </c>
      <c r="B195" s="9" t="s">
        <v>388</v>
      </c>
      <c r="C195" s="9" t="s">
        <v>389</v>
      </c>
      <c r="D195" s="9" t="s">
        <v>195</v>
      </c>
      <c r="E195" s="9" t="s">
        <v>196</v>
      </c>
      <c r="F195" s="9" t="s">
        <v>211</v>
      </c>
      <c r="G195" s="9" t="s">
        <v>201</v>
      </c>
      <c r="H195" s="9" t="n">
        <v>900</v>
      </c>
      <c r="I195" s="29" t="n">
        <v>0.9</v>
      </c>
      <c r="J195" s="9" t="n">
        <v>1</v>
      </c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21" t="str">
        <f aca="false">IF(COUNT(K195:T195)=0,"SOURCE EMPTY / INDUSTRIAL ONLY",IF(MIN(K195:T195)=1,"SERVICE READY","HOLD"))</f>
        <v>SOURCE EMPTY / INDUSTRIAL ONLY</v>
      </c>
      <c r="V195" s="9" t="n">
        <f aca="false">IF(U195="SERVICE READY",1,0)</f>
        <v>0</v>
      </c>
      <c r="W195" s="6"/>
      <c r="X195" s="6"/>
      <c r="Y195" s="6"/>
      <c r="Z195" s="6"/>
    </row>
    <row r="196" customFormat="false" ht="15" hidden="false" customHeight="false" outlineLevel="0" collapsed="false">
      <c r="A196" s="9" t="s">
        <v>403</v>
      </c>
      <c r="B196" s="9" t="s">
        <v>388</v>
      </c>
      <c r="C196" s="9" t="s">
        <v>389</v>
      </c>
      <c r="D196" s="9" t="s">
        <v>195</v>
      </c>
      <c r="E196" s="9" t="s">
        <v>196</v>
      </c>
      <c r="F196" s="9" t="s">
        <v>197</v>
      </c>
      <c r="G196" s="9" t="s">
        <v>198</v>
      </c>
      <c r="H196" s="9" t="n">
        <v>900</v>
      </c>
      <c r="I196" s="29" t="n">
        <v>0.9</v>
      </c>
      <c r="J196" s="9" t="n">
        <v>1</v>
      </c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21" t="str">
        <f aca="false">IF(COUNT(K196:T196)=0,"SOURCE EMPTY / INDUSTRIAL ONLY",IF(MIN(K196:T196)=1,"SERVICE READY","HOLD"))</f>
        <v>SOURCE EMPTY / INDUSTRIAL ONLY</v>
      </c>
      <c r="V196" s="9" t="n">
        <f aca="false">IF(U196="SERVICE READY",1,0)</f>
        <v>0</v>
      </c>
      <c r="W196" s="6"/>
      <c r="X196" s="6"/>
      <c r="Y196" s="6"/>
      <c r="Z196" s="6"/>
    </row>
    <row r="197" customFormat="false" ht="15" hidden="false" customHeight="false" outlineLevel="0" collapsed="false">
      <c r="A197" s="9" t="s">
        <v>404</v>
      </c>
      <c r="B197" s="9" t="s">
        <v>388</v>
      </c>
      <c r="C197" s="9" t="s">
        <v>389</v>
      </c>
      <c r="D197" s="9" t="s">
        <v>195</v>
      </c>
      <c r="E197" s="9" t="s">
        <v>196</v>
      </c>
      <c r="F197" s="9" t="s">
        <v>200</v>
      </c>
      <c r="G197" s="9" t="s">
        <v>201</v>
      </c>
      <c r="H197" s="9" t="n">
        <v>900</v>
      </c>
      <c r="I197" s="29" t="n">
        <v>0.9</v>
      </c>
      <c r="J197" s="9" t="n">
        <v>1</v>
      </c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21" t="str">
        <f aca="false">IF(COUNT(K197:T197)=0,"SOURCE EMPTY / INDUSTRIAL ONLY",IF(MIN(K197:T197)=1,"SERVICE READY","HOLD"))</f>
        <v>SOURCE EMPTY / INDUSTRIAL ONLY</v>
      </c>
      <c r="V197" s="9" t="n">
        <f aca="false">IF(U197="SERVICE READY",1,0)</f>
        <v>0</v>
      </c>
      <c r="W197" s="6"/>
      <c r="X197" s="6"/>
      <c r="Y197" s="6"/>
      <c r="Z197" s="6"/>
    </row>
    <row r="198" customFormat="false" ht="15" hidden="false" customHeight="false" outlineLevel="0" collapsed="false">
      <c r="A198" s="9" t="s">
        <v>405</v>
      </c>
      <c r="B198" s="9" t="s">
        <v>388</v>
      </c>
      <c r="C198" s="9" t="s">
        <v>389</v>
      </c>
      <c r="D198" s="9" t="s">
        <v>195</v>
      </c>
      <c r="E198" s="9" t="s">
        <v>196</v>
      </c>
      <c r="F198" s="9" t="s">
        <v>203</v>
      </c>
      <c r="G198" s="9" t="s">
        <v>198</v>
      </c>
      <c r="H198" s="9" t="n">
        <v>900</v>
      </c>
      <c r="I198" s="29" t="n">
        <v>0.9</v>
      </c>
      <c r="J198" s="9" t="n">
        <v>1</v>
      </c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21" t="str">
        <f aca="false">IF(COUNT(K198:T198)=0,"SOURCE EMPTY / INDUSTRIAL ONLY",IF(MIN(K198:T198)=1,"SERVICE READY","HOLD"))</f>
        <v>SOURCE EMPTY / INDUSTRIAL ONLY</v>
      </c>
      <c r="V198" s="9" t="n">
        <f aca="false">IF(U198="SERVICE READY",1,0)</f>
        <v>0</v>
      </c>
      <c r="W198" s="6"/>
      <c r="X198" s="6"/>
      <c r="Y198" s="6"/>
      <c r="Z198" s="6"/>
    </row>
    <row r="199" customFormat="false" ht="15" hidden="false" customHeight="false" outlineLevel="0" collapsed="false">
      <c r="A199" s="9" t="s">
        <v>406</v>
      </c>
      <c r="B199" s="9" t="s">
        <v>388</v>
      </c>
      <c r="C199" s="9" t="s">
        <v>389</v>
      </c>
      <c r="D199" s="9" t="s">
        <v>195</v>
      </c>
      <c r="E199" s="9" t="s">
        <v>196</v>
      </c>
      <c r="F199" s="9" t="s">
        <v>205</v>
      </c>
      <c r="G199" s="9" t="s">
        <v>201</v>
      </c>
      <c r="H199" s="9" t="n">
        <v>900</v>
      </c>
      <c r="I199" s="29" t="n">
        <v>0.9</v>
      </c>
      <c r="J199" s="9" t="n">
        <v>1</v>
      </c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21" t="str">
        <f aca="false">IF(COUNT(K199:T199)=0,"SOURCE EMPTY / INDUSTRIAL ONLY",IF(MIN(K199:T199)=1,"SERVICE READY","HOLD"))</f>
        <v>SOURCE EMPTY / INDUSTRIAL ONLY</v>
      </c>
      <c r="V199" s="9" t="n">
        <f aca="false">IF(U199="SERVICE READY",1,0)</f>
        <v>0</v>
      </c>
      <c r="W199" s="6"/>
      <c r="X199" s="6"/>
      <c r="Y199" s="6"/>
      <c r="Z199" s="6"/>
    </row>
    <row r="200" customFormat="false" ht="15" hidden="false" customHeight="false" outlineLevel="0" collapsed="false">
      <c r="A200" s="9" t="s">
        <v>407</v>
      </c>
      <c r="B200" s="9" t="s">
        <v>388</v>
      </c>
      <c r="C200" s="9" t="s">
        <v>389</v>
      </c>
      <c r="D200" s="9" t="s">
        <v>195</v>
      </c>
      <c r="E200" s="9" t="s">
        <v>196</v>
      </c>
      <c r="F200" s="9" t="s">
        <v>207</v>
      </c>
      <c r="G200" s="9" t="s">
        <v>198</v>
      </c>
      <c r="H200" s="9" t="n">
        <v>900</v>
      </c>
      <c r="I200" s="29" t="n">
        <v>0.9</v>
      </c>
      <c r="J200" s="9" t="n">
        <v>1</v>
      </c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21" t="str">
        <f aca="false">IF(COUNT(K200:T200)=0,"SOURCE EMPTY / INDUSTRIAL ONLY",IF(MIN(K200:T200)=1,"SERVICE READY","HOLD"))</f>
        <v>SOURCE EMPTY / INDUSTRIAL ONLY</v>
      </c>
      <c r="V200" s="9" t="n">
        <f aca="false">IF(U200="SERVICE READY",1,0)</f>
        <v>0</v>
      </c>
      <c r="W200" s="6"/>
      <c r="X200" s="6"/>
      <c r="Y200" s="6"/>
      <c r="Z200" s="6"/>
    </row>
    <row r="201" customFormat="false" ht="15" hidden="false" customHeight="false" outlineLevel="0" collapsed="false">
      <c r="A201" s="9" t="s">
        <v>408</v>
      </c>
      <c r="B201" s="9" t="s">
        <v>388</v>
      </c>
      <c r="C201" s="9" t="s">
        <v>389</v>
      </c>
      <c r="D201" s="9" t="s">
        <v>195</v>
      </c>
      <c r="E201" s="9" t="s">
        <v>196</v>
      </c>
      <c r="F201" s="9" t="s">
        <v>209</v>
      </c>
      <c r="G201" s="9" t="s">
        <v>201</v>
      </c>
      <c r="H201" s="9" t="n">
        <v>900</v>
      </c>
      <c r="I201" s="29" t="n">
        <v>0.9</v>
      </c>
      <c r="J201" s="9" t="n">
        <v>1</v>
      </c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21" t="str">
        <f aca="false">IF(COUNT(K201:T201)=0,"SOURCE EMPTY / INDUSTRIAL ONLY",IF(MIN(K201:T201)=1,"SERVICE READY","HOLD"))</f>
        <v>SOURCE EMPTY / INDUSTRIAL ONLY</v>
      </c>
      <c r="V201" s="9" t="n">
        <f aca="false">IF(U201="SERVICE READY",1,0)</f>
        <v>0</v>
      </c>
      <c r="W201" s="6"/>
      <c r="X201" s="6"/>
      <c r="Y201" s="6"/>
      <c r="Z201" s="6"/>
    </row>
    <row r="202" customFormat="false" ht="15" hidden="false" customHeight="false" outlineLevel="0" collapsed="false">
      <c r="A202" s="9" t="s">
        <v>409</v>
      </c>
      <c r="B202" s="9" t="s">
        <v>388</v>
      </c>
      <c r="C202" s="9" t="s">
        <v>389</v>
      </c>
      <c r="D202" s="9" t="s">
        <v>195</v>
      </c>
      <c r="E202" s="9" t="s">
        <v>196</v>
      </c>
      <c r="F202" s="9" t="s">
        <v>211</v>
      </c>
      <c r="G202" s="9" t="s">
        <v>198</v>
      </c>
      <c r="H202" s="9" t="n">
        <v>900</v>
      </c>
      <c r="I202" s="29" t="n">
        <v>0.9</v>
      </c>
      <c r="J202" s="9" t="n">
        <v>1</v>
      </c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21" t="str">
        <f aca="false">IF(COUNT(K202:T202)=0,"SOURCE EMPTY / INDUSTRIAL ONLY",IF(MIN(K202:T202)=1,"SERVICE READY","HOLD"))</f>
        <v>SOURCE EMPTY / INDUSTRIAL ONLY</v>
      </c>
      <c r="V202" s="9" t="n">
        <f aca="false">IF(U202="SERVICE READY",1,0)</f>
        <v>0</v>
      </c>
      <c r="W202" s="6"/>
      <c r="X202" s="6"/>
      <c r="Y202" s="6"/>
      <c r="Z202" s="6"/>
    </row>
    <row r="203" customFormat="false" ht="15" hidden="false" customHeight="false" outlineLevel="0" collapsed="false">
      <c r="A203" s="9" t="s">
        <v>410</v>
      </c>
      <c r="B203" s="9" t="s">
        <v>388</v>
      </c>
      <c r="C203" s="9" t="s">
        <v>389</v>
      </c>
      <c r="D203" s="9" t="s">
        <v>195</v>
      </c>
      <c r="E203" s="9" t="s">
        <v>196</v>
      </c>
      <c r="F203" s="9" t="s">
        <v>197</v>
      </c>
      <c r="G203" s="9" t="s">
        <v>201</v>
      </c>
      <c r="H203" s="9" t="n">
        <v>900</v>
      </c>
      <c r="I203" s="29" t="n">
        <v>0.9</v>
      </c>
      <c r="J203" s="9" t="n">
        <v>1</v>
      </c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21" t="str">
        <f aca="false">IF(COUNT(K203:T203)=0,"SOURCE EMPTY / INDUSTRIAL ONLY",IF(MIN(K203:T203)=1,"SERVICE READY","HOLD"))</f>
        <v>SOURCE EMPTY / INDUSTRIAL ONLY</v>
      </c>
      <c r="V203" s="9" t="n">
        <f aca="false">IF(U203="SERVICE READY",1,0)</f>
        <v>0</v>
      </c>
      <c r="W203" s="6"/>
      <c r="X203" s="6"/>
      <c r="Y203" s="6"/>
      <c r="Z203" s="6"/>
    </row>
    <row r="204" customFormat="false" ht="15" hidden="false" customHeight="false" outlineLevel="0" collapsed="false">
      <c r="A204" s="9" t="s">
        <v>411</v>
      </c>
      <c r="B204" s="9" t="s">
        <v>388</v>
      </c>
      <c r="C204" s="9" t="s">
        <v>389</v>
      </c>
      <c r="D204" s="9" t="s">
        <v>195</v>
      </c>
      <c r="E204" s="9" t="s">
        <v>196</v>
      </c>
      <c r="F204" s="9" t="s">
        <v>200</v>
      </c>
      <c r="G204" s="9" t="s">
        <v>198</v>
      </c>
      <c r="H204" s="9" t="n">
        <v>900</v>
      </c>
      <c r="I204" s="29" t="n">
        <v>0.9</v>
      </c>
      <c r="J204" s="9" t="n">
        <v>1</v>
      </c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21" t="str">
        <f aca="false">IF(COUNT(K204:T204)=0,"SOURCE EMPTY / INDUSTRIAL ONLY",IF(MIN(K204:T204)=1,"SERVICE READY","HOLD"))</f>
        <v>SOURCE EMPTY / INDUSTRIAL ONLY</v>
      </c>
      <c r="V204" s="9" t="n">
        <f aca="false">IF(U204="SERVICE READY",1,0)</f>
        <v>0</v>
      </c>
      <c r="W204" s="6"/>
      <c r="X204" s="6"/>
      <c r="Y204" s="6"/>
      <c r="Z204" s="6"/>
    </row>
    <row r="205" customFormat="false" ht="15" hidden="false" customHeight="false" outlineLevel="0" collapsed="false">
      <c r="A205" s="9" t="s">
        <v>412</v>
      </c>
      <c r="B205" s="9" t="s">
        <v>388</v>
      </c>
      <c r="C205" s="9" t="s">
        <v>389</v>
      </c>
      <c r="D205" s="9" t="s">
        <v>195</v>
      </c>
      <c r="E205" s="9" t="s">
        <v>196</v>
      </c>
      <c r="F205" s="9" t="s">
        <v>203</v>
      </c>
      <c r="G205" s="9" t="s">
        <v>201</v>
      </c>
      <c r="H205" s="9" t="n">
        <v>900</v>
      </c>
      <c r="I205" s="29" t="n">
        <v>0.9</v>
      </c>
      <c r="J205" s="9" t="n">
        <v>1</v>
      </c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21" t="str">
        <f aca="false">IF(COUNT(K205:T205)=0,"SOURCE EMPTY / INDUSTRIAL ONLY",IF(MIN(K205:T205)=1,"SERVICE READY","HOLD"))</f>
        <v>SOURCE EMPTY / INDUSTRIAL ONLY</v>
      </c>
      <c r="V205" s="9" t="n">
        <f aca="false">IF(U205="SERVICE READY",1,0)</f>
        <v>0</v>
      </c>
      <c r="W205" s="6"/>
      <c r="X205" s="6"/>
      <c r="Y205" s="6"/>
      <c r="Z205" s="6"/>
    </row>
    <row r="206" customFormat="false" ht="15" hidden="false" customHeight="false" outlineLevel="0" collapsed="false">
      <c r="A206" s="9" t="s">
        <v>413</v>
      </c>
      <c r="B206" s="9" t="s">
        <v>388</v>
      </c>
      <c r="C206" s="9" t="s">
        <v>389</v>
      </c>
      <c r="D206" s="9" t="s">
        <v>195</v>
      </c>
      <c r="E206" s="9" t="s">
        <v>196</v>
      </c>
      <c r="F206" s="9" t="s">
        <v>205</v>
      </c>
      <c r="G206" s="9" t="s">
        <v>198</v>
      </c>
      <c r="H206" s="9" t="n">
        <v>900</v>
      </c>
      <c r="I206" s="29" t="n">
        <v>0.9</v>
      </c>
      <c r="J206" s="9" t="n">
        <v>1</v>
      </c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21" t="str">
        <f aca="false">IF(COUNT(K206:T206)=0,"SOURCE EMPTY / INDUSTRIAL ONLY",IF(MIN(K206:T206)=1,"SERVICE READY","HOLD"))</f>
        <v>SOURCE EMPTY / INDUSTRIAL ONLY</v>
      </c>
      <c r="V206" s="9" t="n">
        <f aca="false">IF(U206="SERVICE READY",1,0)</f>
        <v>0</v>
      </c>
      <c r="W206" s="6"/>
      <c r="X206" s="6"/>
      <c r="Y206" s="6"/>
      <c r="Z206" s="6"/>
    </row>
    <row r="207" customFormat="false" ht="15" hidden="false" customHeight="false" outlineLevel="0" collapsed="false">
      <c r="A207" s="9" t="s">
        <v>414</v>
      </c>
      <c r="B207" s="9" t="s">
        <v>388</v>
      </c>
      <c r="C207" s="9" t="s">
        <v>389</v>
      </c>
      <c r="D207" s="9" t="s">
        <v>195</v>
      </c>
      <c r="E207" s="9" t="s">
        <v>196</v>
      </c>
      <c r="F207" s="9" t="s">
        <v>207</v>
      </c>
      <c r="G207" s="9" t="s">
        <v>201</v>
      </c>
      <c r="H207" s="9" t="n">
        <v>900</v>
      </c>
      <c r="I207" s="29" t="n">
        <v>0.9</v>
      </c>
      <c r="J207" s="9" t="n">
        <v>1</v>
      </c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21" t="str">
        <f aca="false">IF(COUNT(K207:T207)=0,"SOURCE EMPTY / INDUSTRIAL ONLY",IF(MIN(K207:T207)=1,"SERVICE READY","HOLD"))</f>
        <v>SOURCE EMPTY / INDUSTRIAL ONLY</v>
      </c>
      <c r="V207" s="9" t="n">
        <f aca="false">IF(U207="SERVICE READY",1,0)</f>
        <v>0</v>
      </c>
      <c r="W207" s="6"/>
      <c r="X207" s="6"/>
      <c r="Y207" s="6"/>
      <c r="Z207" s="6"/>
    </row>
    <row r="208" customFormat="false" ht="15" hidden="false" customHeight="false" outlineLevel="0" collapsed="false">
      <c r="A208" s="9" t="s">
        <v>415</v>
      </c>
      <c r="B208" s="9" t="s">
        <v>388</v>
      </c>
      <c r="C208" s="9" t="s">
        <v>389</v>
      </c>
      <c r="D208" s="9" t="s">
        <v>195</v>
      </c>
      <c r="E208" s="9" t="s">
        <v>196</v>
      </c>
      <c r="F208" s="9" t="s">
        <v>209</v>
      </c>
      <c r="G208" s="9" t="s">
        <v>198</v>
      </c>
      <c r="H208" s="9" t="n">
        <v>900</v>
      </c>
      <c r="I208" s="29" t="n">
        <v>0.9</v>
      </c>
      <c r="J208" s="9" t="n">
        <v>1</v>
      </c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21" t="str">
        <f aca="false">IF(COUNT(K208:T208)=0,"SOURCE EMPTY / INDUSTRIAL ONLY",IF(MIN(K208:T208)=1,"SERVICE READY","HOLD"))</f>
        <v>SOURCE EMPTY / INDUSTRIAL ONLY</v>
      </c>
      <c r="V208" s="9" t="n">
        <f aca="false">IF(U208="SERVICE READY",1,0)</f>
        <v>0</v>
      </c>
      <c r="W208" s="6"/>
      <c r="X208" s="6"/>
      <c r="Y208" s="6"/>
      <c r="Z208" s="6"/>
    </row>
    <row r="209" customFormat="false" ht="15" hidden="false" customHeight="false" outlineLevel="0" collapsed="false">
      <c r="A209" s="9" t="s">
        <v>416</v>
      </c>
      <c r="B209" s="9" t="s">
        <v>388</v>
      </c>
      <c r="C209" s="9" t="s">
        <v>389</v>
      </c>
      <c r="D209" s="9" t="s">
        <v>195</v>
      </c>
      <c r="E209" s="9" t="s">
        <v>196</v>
      </c>
      <c r="F209" s="9" t="s">
        <v>211</v>
      </c>
      <c r="G209" s="9" t="s">
        <v>201</v>
      </c>
      <c r="H209" s="9" t="n">
        <v>900</v>
      </c>
      <c r="I209" s="29" t="n">
        <v>0.9</v>
      </c>
      <c r="J209" s="9" t="n">
        <v>1</v>
      </c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21" t="str">
        <f aca="false">IF(COUNT(K209:T209)=0,"SOURCE EMPTY / INDUSTRIAL ONLY",IF(MIN(K209:T209)=1,"SERVICE READY","HOLD"))</f>
        <v>SOURCE EMPTY / INDUSTRIAL ONLY</v>
      </c>
      <c r="V209" s="9" t="n">
        <f aca="false">IF(U209="SERVICE READY",1,0)</f>
        <v>0</v>
      </c>
      <c r="W209" s="6"/>
      <c r="X209" s="6"/>
      <c r="Y209" s="6"/>
      <c r="Z209" s="6"/>
    </row>
    <row r="210" customFormat="false" ht="15" hidden="false" customHeight="false" outlineLevel="0" collapsed="false">
      <c r="A210" s="9" t="s">
        <v>417</v>
      </c>
      <c r="B210" s="9" t="s">
        <v>388</v>
      </c>
      <c r="C210" s="9" t="s">
        <v>389</v>
      </c>
      <c r="D210" s="9" t="s">
        <v>195</v>
      </c>
      <c r="E210" s="9" t="s">
        <v>196</v>
      </c>
      <c r="F210" s="9" t="s">
        <v>197</v>
      </c>
      <c r="G210" s="9" t="s">
        <v>198</v>
      </c>
      <c r="H210" s="9" t="n">
        <v>900</v>
      </c>
      <c r="I210" s="29" t="n">
        <v>0.9</v>
      </c>
      <c r="J210" s="9" t="n">
        <v>1</v>
      </c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21" t="str">
        <f aca="false">IF(COUNT(K210:T210)=0,"SOURCE EMPTY / INDUSTRIAL ONLY",IF(MIN(K210:T210)=1,"SERVICE READY","HOLD"))</f>
        <v>SOURCE EMPTY / INDUSTRIAL ONLY</v>
      </c>
      <c r="V210" s="9" t="n">
        <f aca="false">IF(U210="SERVICE READY",1,0)</f>
        <v>0</v>
      </c>
      <c r="W210" s="6"/>
      <c r="X210" s="6"/>
      <c r="Y210" s="6"/>
      <c r="Z210" s="6"/>
    </row>
    <row r="211" customFormat="false" ht="15" hidden="false" customHeight="false" outlineLevel="0" collapsed="false">
      <c r="A211" s="9" t="s">
        <v>418</v>
      </c>
      <c r="B211" s="9" t="s">
        <v>388</v>
      </c>
      <c r="C211" s="9" t="s">
        <v>389</v>
      </c>
      <c r="D211" s="9" t="s">
        <v>195</v>
      </c>
      <c r="E211" s="9" t="s">
        <v>196</v>
      </c>
      <c r="F211" s="9" t="s">
        <v>200</v>
      </c>
      <c r="G211" s="9" t="s">
        <v>201</v>
      </c>
      <c r="H211" s="9" t="n">
        <v>900</v>
      </c>
      <c r="I211" s="29" t="n">
        <v>0.9</v>
      </c>
      <c r="J211" s="9" t="n">
        <v>1</v>
      </c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21" t="str">
        <f aca="false">IF(COUNT(K211:T211)=0,"SOURCE EMPTY / INDUSTRIAL ONLY",IF(MIN(K211:T211)=1,"SERVICE READY","HOLD"))</f>
        <v>SOURCE EMPTY / INDUSTRIAL ONLY</v>
      </c>
      <c r="V211" s="9" t="n">
        <f aca="false">IF(U211="SERVICE READY",1,0)</f>
        <v>0</v>
      </c>
      <c r="W211" s="6"/>
      <c r="X211" s="6"/>
      <c r="Y211" s="6"/>
      <c r="Z211" s="6"/>
    </row>
    <row r="212" customFormat="false" ht="15" hidden="false" customHeight="false" outlineLevel="0" collapsed="false">
      <c r="A212" s="9" t="s">
        <v>419</v>
      </c>
      <c r="B212" s="9" t="s">
        <v>388</v>
      </c>
      <c r="C212" s="9" t="s">
        <v>389</v>
      </c>
      <c r="D212" s="9" t="s">
        <v>195</v>
      </c>
      <c r="E212" s="9" t="s">
        <v>196</v>
      </c>
      <c r="F212" s="9" t="s">
        <v>203</v>
      </c>
      <c r="G212" s="9" t="s">
        <v>221</v>
      </c>
      <c r="H212" s="9" t="n">
        <v>900</v>
      </c>
      <c r="I212" s="29" t="n">
        <v>0.9</v>
      </c>
      <c r="J212" s="9" t="n">
        <v>1</v>
      </c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21" t="str">
        <f aca="false">IF(COUNT(K212:T212)=0,"SOURCE EMPTY / INDUSTRIAL ONLY",IF(MIN(K212:T212)=1,"SERVICE READY","HOLD"))</f>
        <v>SOURCE EMPTY / INDUSTRIAL ONLY</v>
      </c>
      <c r="V212" s="9" t="n">
        <f aca="false">IF(U212="SERVICE READY",1,0)</f>
        <v>0</v>
      </c>
      <c r="W212" s="6"/>
      <c r="X212" s="6"/>
      <c r="Y212" s="6"/>
      <c r="Z212" s="6"/>
    </row>
    <row r="213" customFormat="false" ht="15" hidden="false" customHeight="false" outlineLevel="0" collapsed="false">
      <c r="A213" s="9" t="s">
        <v>420</v>
      </c>
      <c r="B213" s="9" t="s">
        <v>388</v>
      </c>
      <c r="C213" s="9" t="s">
        <v>389</v>
      </c>
      <c r="D213" s="9" t="s">
        <v>195</v>
      </c>
      <c r="E213" s="9" t="s">
        <v>196</v>
      </c>
      <c r="F213" s="9" t="s">
        <v>205</v>
      </c>
      <c r="G213" s="9" t="s">
        <v>221</v>
      </c>
      <c r="H213" s="9" t="n">
        <v>900</v>
      </c>
      <c r="I213" s="29" t="n">
        <v>0.9</v>
      </c>
      <c r="J213" s="9" t="n">
        <v>1</v>
      </c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21" t="str">
        <f aca="false">IF(COUNT(K213:T213)=0,"SOURCE EMPTY / INDUSTRIAL ONLY",IF(MIN(K213:T213)=1,"SERVICE READY","HOLD"))</f>
        <v>SOURCE EMPTY / INDUSTRIAL ONLY</v>
      </c>
      <c r="V213" s="9" t="n">
        <f aca="false">IF(U213="SERVICE READY",1,0)</f>
        <v>0</v>
      </c>
      <c r="W213" s="6"/>
      <c r="X213" s="6"/>
      <c r="Y213" s="6"/>
      <c r="Z213" s="6"/>
    </row>
    <row r="214" customFormat="false" ht="15" hidden="false" customHeight="false" outlineLevel="0" collapsed="false">
      <c r="A214" s="9" t="s">
        <v>421</v>
      </c>
      <c r="B214" s="9" t="s">
        <v>388</v>
      </c>
      <c r="C214" s="9" t="s">
        <v>389</v>
      </c>
      <c r="D214" s="9" t="s">
        <v>195</v>
      </c>
      <c r="E214" s="9" t="s">
        <v>196</v>
      </c>
      <c r="F214" s="9" t="s">
        <v>207</v>
      </c>
      <c r="G214" s="9" t="s">
        <v>221</v>
      </c>
      <c r="H214" s="9" t="n">
        <v>900</v>
      </c>
      <c r="I214" s="29" t="n">
        <v>0.9</v>
      </c>
      <c r="J214" s="9" t="n">
        <v>1</v>
      </c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21" t="str">
        <f aca="false">IF(COUNT(K214:T214)=0,"SOURCE EMPTY / INDUSTRIAL ONLY",IF(MIN(K214:T214)=1,"SERVICE READY","HOLD"))</f>
        <v>SOURCE EMPTY / INDUSTRIAL ONLY</v>
      </c>
      <c r="V214" s="9" t="n">
        <f aca="false">IF(U214="SERVICE READY",1,0)</f>
        <v>0</v>
      </c>
      <c r="W214" s="6"/>
      <c r="X214" s="6"/>
      <c r="Y214" s="6"/>
      <c r="Z214" s="6"/>
    </row>
    <row r="215" customFormat="false" ht="15" hidden="false" customHeight="false" outlineLevel="0" collapsed="false">
      <c r="A215" s="9" t="s">
        <v>422</v>
      </c>
      <c r="B215" s="9" t="s">
        <v>388</v>
      </c>
      <c r="C215" s="9" t="s">
        <v>389</v>
      </c>
      <c r="D215" s="9" t="s">
        <v>195</v>
      </c>
      <c r="E215" s="9" t="s">
        <v>196</v>
      </c>
      <c r="F215" s="9" t="s">
        <v>209</v>
      </c>
      <c r="G215" s="9" t="s">
        <v>221</v>
      </c>
      <c r="H215" s="9" t="n">
        <v>900</v>
      </c>
      <c r="I215" s="29" t="n">
        <v>0.9</v>
      </c>
      <c r="J215" s="9" t="n">
        <v>1</v>
      </c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21" t="str">
        <f aca="false">IF(COUNT(K215:T215)=0,"SOURCE EMPTY / INDUSTRIAL ONLY",IF(MIN(K215:T215)=1,"SERVICE READY","HOLD"))</f>
        <v>SOURCE EMPTY / INDUSTRIAL ONLY</v>
      </c>
      <c r="V215" s="9" t="n">
        <f aca="false">IF(U215="SERVICE READY",1,0)</f>
        <v>0</v>
      </c>
      <c r="W215" s="6"/>
      <c r="X215" s="6"/>
      <c r="Y215" s="6"/>
      <c r="Z215" s="6"/>
    </row>
    <row r="216" customFormat="false" ht="15" hidden="false" customHeight="false" outlineLevel="0" collapsed="false">
      <c r="A216" s="9" t="s">
        <v>423</v>
      </c>
      <c r="B216" s="9" t="s">
        <v>388</v>
      </c>
      <c r="C216" s="9" t="s">
        <v>389</v>
      </c>
      <c r="D216" s="9" t="s">
        <v>195</v>
      </c>
      <c r="E216" s="9" t="s">
        <v>196</v>
      </c>
      <c r="F216" s="9" t="s">
        <v>211</v>
      </c>
      <c r="G216" s="9" t="s">
        <v>221</v>
      </c>
      <c r="H216" s="9" t="n">
        <v>900</v>
      </c>
      <c r="I216" s="29" t="n">
        <v>0.9</v>
      </c>
      <c r="J216" s="9" t="n">
        <v>1</v>
      </c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21" t="str">
        <f aca="false">IF(COUNT(K216:T216)=0,"SOURCE EMPTY / INDUSTRIAL ONLY",IF(MIN(K216:T216)=1,"SERVICE READY","HOLD"))</f>
        <v>SOURCE EMPTY / INDUSTRIAL ONLY</v>
      </c>
      <c r="V216" s="9" t="n">
        <f aca="false">IF(U216="SERVICE READY",1,0)</f>
        <v>0</v>
      </c>
      <c r="W216" s="6"/>
      <c r="X216" s="6"/>
      <c r="Y216" s="6"/>
      <c r="Z216" s="6"/>
    </row>
    <row r="217" customFormat="false" ht="15" hidden="false" customHeight="false" outlineLevel="0" collapsed="false">
      <c r="A217" s="9" t="s">
        <v>424</v>
      </c>
      <c r="B217" s="9" t="s">
        <v>388</v>
      </c>
      <c r="C217" s="9" t="s">
        <v>389</v>
      </c>
      <c r="D217" s="9" t="s">
        <v>195</v>
      </c>
      <c r="E217" s="9" t="s">
        <v>196</v>
      </c>
      <c r="F217" s="9" t="s">
        <v>197</v>
      </c>
      <c r="G217" s="9" t="s">
        <v>221</v>
      </c>
      <c r="H217" s="9" t="n">
        <v>900</v>
      </c>
      <c r="I217" s="29" t="n">
        <v>0.9</v>
      </c>
      <c r="J217" s="9" t="n">
        <v>1</v>
      </c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21" t="str">
        <f aca="false">IF(COUNT(K217:T217)=0,"SOURCE EMPTY / INDUSTRIAL ONLY",IF(MIN(K217:T217)=1,"SERVICE READY","HOLD"))</f>
        <v>SOURCE EMPTY / INDUSTRIAL ONLY</v>
      </c>
      <c r="V217" s="9" t="n">
        <f aca="false">IF(U217="SERVICE READY",1,0)</f>
        <v>0</v>
      </c>
      <c r="W217" s="6"/>
      <c r="X217" s="6"/>
      <c r="Y217" s="6"/>
      <c r="Z217" s="6"/>
    </row>
    <row r="218" customFormat="false" ht="15" hidden="false" customHeight="false" outlineLevel="0" collapsed="false">
      <c r="A218" s="9" t="s">
        <v>425</v>
      </c>
      <c r="B218" s="9" t="s">
        <v>388</v>
      </c>
      <c r="C218" s="9" t="s">
        <v>389</v>
      </c>
      <c r="D218" s="9" t="s">
        <v>195</v>
      </c>
      <c r="E218" s="9" t="s">
        <v>196</v>
      </c>
      <c r="F218" s="9" t="s">
        <v>200</v>
      </c>
      <c r="G218" s="9" t="s">
        <v>221</v>
      </c>
      <c r="H218" s="9" t="n">
        <v>900</v>
      </c>
      <c r="I218" s="29" t="n">
        <v>0.9</v>
      </c>
      <c r="J218" s="9" t="n">
        <v>1</v>
      </c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21" t="str">
        <f aca="false">IF(COUNT(K218:T218)=0,"SOURCE EMPTY / INDUSTRIAL ONLY",IF(MIN(K218:T218)=1,"SERVICE READY","HOLD"))</f>
        <v>SOURCE EMPTY / INDUSTRIAL ONLY</v>
      </c>
      <c r="V218" s="9" t="n">
        <f aca="false">IF(U218="SERVICE READY",1,0)</f>
        <v>0</v>
      </c>
      <c r="W218" s="6"/>
      <c r="X218" s="6"/>
      <c r="Y218" s="6"/>
      <c r="Z218" s="6"/>
    </row>
    <row r="219" customFormat="false" ht="15" hidden="false" customHeight="false" outlineLevel="0" collapsed="false">
      <c r="A219" s="9" t="s">
        <v>426</v>
      </c>
      <c r="B219" s="9" t="s">
        <v>388</v>
      </c>
      <c r="C219" s="9" t="s">
        <v>389</v>
      </c>
      <c r="D219" s="9" t="s">
        <v>195</v>
      </c>
      <c r="E219" s="9" t="s">
        <v>196</v>
      </c>
      <c r="F219" s="9" t="s">
        <v>203</v>
      </c>
      <c r="G219" s="9" t="s">
        <v>221</v>
      </c>
      <c r="H219" s="9" t="n">
        <v>900</v>
      </c>
      <c r="I219" s="29" t="n">
        <v>0.9</v>
      </c>
      <c r="J219" s="9" t="n">
        <v>1</v>
      </c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21" t="str">
        <f aca="false">IF(COUNT(K219:T219)=0,"SOURCE EMPTY / INDUSTRIAL ONLY",IF(MIN(K219:T219)=1,"SERVICE READY","HOLD"))</f>
        <v>SOURCE EMPTY / INDUSTRIAL ONLY</v>
      </c>
      <c r="V219" s="9" t="n">
        <f aca="false">IF(U219="SERVICE READY",1,0)</f>
        <v>0</v>
      </c>
      <c r="W219" s="6"/>
      <c r="X219" s="6"/>
      <c r="Y219" s="6"/>
      <c r="Z219" s="6"/>
    </row>
    <row r="220" customFormat="false" ht="15" hidden="false" customHeight="false" outlineLevel="0" collapsed="false">
      <c r="A220" s="9" t="s">
        <v>427</v>
      </c>
      <c r="B220" s="9" t="s">
        <v>388</v>
      </c>
      <c r="C220" s="9" t="s">
        <v>389</v>
      </c>
      <c r="D220" s="9" t="s">
        <v>195</v>
      </c>
      <c r="E220" s="9" t="s">
        <v>196</v>
      </c>
      <c r="F220" s="9" t="s">
        <v>205</v>
      </c>
      <c r="G220" s="9" t="s">
        <v>221</v>
      </c>
      <c r="H220" s="9" t="n">
        <v>900</v>
      </c>
      <c r="I220" s="29" t="n">
        <v>0.9</v>
      </c>
      <c r="J220" s="9" t="n">
        <v>1</v>
      </c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21" t="str">
        <f aca="false">IF(COUNT(K220:T220)=0,"SOURCE EMPTY / INDUSTRIAL ONLY",IF(MIN(K220:T220)=1,"SERVICE READY","HOLD"))</f>
        <v>SOURCE EMPTY / INDUSTRIAL ONLY</v>
      </c>
      <c r="V220" s="9" t="n">
        <f aca="false">IF(U220="SERVICE READY",1,0)</f>
        <v>0</v>
      </c>
      <c r="W220" s="6"/>
      <c r="X220" s="6"/>
      <c r="Y220" s="6"/>
      <c r="Z220" s="6"/>
    </row>
    <row r="221" customFormat="false" ht="15" hidden="false" customHeight="false" outlineLevel="0" collapsed="false">
      <c r="A221" s="9" t="s">
        <v>428</v>
      </c>
      <c r="B221" s="9" t="s">
        <v>388</v>
      </c>
      <c r="C221" s="9" t="s">
        <v>389</v>
      </c>
      <c r="D221" s="9" t="s">
        <v>195</v>
      </c>
      <c r="E221" s="9" t="s">
        <v>196</v>
      </c>
      <c r="F221" s="9" t="s">
        <v>207</v>
      </c>
      <c r="G221" s="9" t="s">
        <v>221</v>
      </c>
      <c r="H221" s="9" t="n">
        <v>900</v>
      </c>
      <c r="I221" s="29" t="n">
        <v>0.9</v>
      </c>
      <c r="J221" s="9" t="n">
        <v>1</v>
      </c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21" t="str">
        <f aca="false">IF(COUNT(K221:T221)=0,"SOURCE EMPTY / INDUSTRIAL ONLY",IF(MIN(K221:T221)=1,"SERVICE READY","HOLD"))</f>
        <v>SOURCE EMPTY / INDUSTRIAL ONLY</v>
      </c>
      <c r="V221" s="9" t="n">
        <f aca="false">IF(U221="SERVICE READY",1,0)</f>
        <v>0</v>
      </c>
      <c r="W221" s="6"/>
      <c r="X221" s="6"/>
      <c r="Y221" s="6"/>
      <c r="Z221" s="6"/>
    </row>
    <row r="222" customFormat="false" ht="15" hidden="false" customHeight="false" outlineLevel="0" collapsed="false">
      <c r="A222" s="9" t="s">
        <v>429</v>
      </c>
      <c r="B222" s="9" t="s">
        <v>388</v>
      </c>
      <c r="C222" s="9" t="s">
        <v>389</v>
      </c>
      <c r="D222" s="9" t="s">
        <v>195</v>
      </c>
      <c r="E222" s="9" t="s">
        <v>196</v>
      </c>
      <c r="F222" s="9" t="s">
        <v>209</v>
      </c>
      <c r="G222" s="9" t="s">
        <v>221</v>
      </c>
      <c r="H222" s="9" t="n">
        <v>900</v>
      </c>
      <c r="I222" s="29" t="n">
        <v>0.9</v>
      </c>
      <c r="J222" s="9" t="n">
        <v>1</v>
      </c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21" t="str">
        <f aca="false">IF(COUNT(K222:T222)=0,"SOURCE EMPTY / INDUSTRIAL ONLY",IF(MIN(K222:T222)=1,"SERVICE READY","HOLD"))</f>
        <v>SOURCE EMPTY / INDUSTRIAL ONLY</v>
      </c>
      <c r="V222" s="9" t="n">
        <f aca="false">IF(U222="SERVICE READY",1,0)</f>
        <v>0</v>
      </c>
      <c r="W222" s="6"/>
      <c r="X222" s="6"/>
      <c r="Y222" s="6"/>
      <c r="Z222" s="6"/>
    </row>
    <row r="223" customFormat="false" ht="15" hidden="false" customHeight="false" outlineLevel="0" collapsed="false">
      <c r="A223" s="9" t="s">
        <v>430</v>
      </c>
      <c r="B223" s="9" t="s">
        <v>388</v>
      </c>
      <c r="C223" s="9" t="s">
        <v>389</v>
      </c>
      <c r="D223" s="9" t="s">
        <v>195</v>
      </c>
      <c r="E223" s="9" t="s">
        <v>196</v>
      </c>
      <c r="F223" s="9" t="s">
        <v>211</v>
      </c>
      <c r="G223" s="9" t="s">
        <v>221</v>
      </c>
      <c r="H223" s="9" t="n">
        <v>900</v>
      </c>
      <c r="I223" s="29" t="n">
        <v>0.9</v>
      </c>
      <c r="J223" s="9" t="n">
        <v>1</v>
      </c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21" t="str">
        <f aca="false">IF(COUNT(K223:T223)=0,"SOURCE EMPTY / INDUSTRIAL ONLY",IF(MIN(K223:T223)=1,"SERVICE READY","HOLD"))</f>
        <v>SOURCE EMPTY / INDUSTRIAL ONLY</v>
      </c>
      <c r="V223" s="9" t="n">
        <f aca="false">IF(U223="SERVICE READY",1,0)</f>
        <v>0</v>
      </c>
      <c r="W223" s="6"/>
      <c r="X223" s="6"/>
      <c r="Y223" s="6"/>
      <c r="Z223" s="6"/>
    </row>
    <row r="224" customFormat="false" ht="15" hidden="false" customHeight="false" outlineLevel="0" collapsed="false">
      <c r="A224" s="9" t="s">
        <v>431</v>
      </c>
      <c r="B224" s="9" t="s">
        <v>388</v>
      </c>
      <c r="C224" s="9" t="s">
        <v>389</v>
      </c>
      <c r="D224" s="9" t="s">
        <v>195</v>
      </c>
      <c r="E224" s="9" t="s">
        <v>196</v>
      </c>
      <c r="F224" s="9" t="s">
        <v>197</v>
      </c>
      <c r="G224" s="9" t="s">
        <v>221</v>
      </c>
      <c r="H224" s="9" t="n">
        <v>900</v>
      </c>
      <c r="I224" s="29" t="n">
        <v>0.9</v>
      </c>
      <c r="J224" s="9" t="n">
        <v>1</v>
      </c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21" t="str">
        <f aca="false">IF(COUNT(K224:T224)=0,"SOURCE EMPTY / INDUSTRIAL ONLY",IF(MIN(K224:T224)=1,"SERVICE READY","HOLD"))</f>
        <v>SOURCE EMPTY / INDUSTRIAL ONLY</v>
      </c>
      <c r="V224" s="9" t="n">
        <f aca="false">IF(U224="SERVICE READY",1,0)</f>
        <v>0</v>
      </c>
      <c r="W224" s="6"/>
      <c r="X224" s="6"/>
      <c r="Y224" s="6"/>
      <c r="Z224" s="6"/>
    </row>
    <row r="225" customFormat="false" ht="15" hidden="false" customHeight="false" outlineLevel="0" collapsed="false">
      <c r="A225" s="9" t="s">
        <v>432</v>
      </c>
      <c r="B225" s="9" t="s">
        <v>388</v>
      </c>
      <c r="C225" s="9" t="s">
        <v>389</v>
      </c>
      <c r="D225" s="9" t="s">
        <v>195</v>
      </c>
      <c r="E225" s="9" t="s">
        <v>196</v>
      </c>
      <c r="F225" s="9" t="s">
        <v>200</v>
      </c>
      <c r="G225" s="9" t="s">
        <v>221</v>
      </c>
      <c r="H225" s="9" t="n">
        <v>900</v>
      </c>
      <c r="I225" s="29" t="n">
        <v>0.9</v>
      </c>
      <c r="J225" s="9" t="n">
        <v>1</v>
      </c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21" t="str">
        <f aca="false">IF(COUNT(K225:T225)=0,"SOURCE EMPTY / INDUSTRIAL ONLY",IF(MIN(K225:T225)=1,"SERVICE READY","HOLD"))</f>
        <v>SOURCE EMPTY / INDUSTRIAL ONLY</v>
      </c>
      <c r="V225" s="9" t="n">
        <f aca="false">IF(U225="SERVICE READY",1,0)</f>
        <v>0</v>
      </c>
      <c r="W225" s="6"/>
      <c r="X225" s="6"/>
      <c r="Y225" s="6"/>
      <c r="Z225" s="6"/>
    </row>
    <row r="226" customFormat="false" ht="15" hidden="false" customHeight="false" outlineLevel="0" collapsed="false">
      <c r="A226" s="9" t="s">
        <v>433</v>
      </c>
      <c r="B226" s="9" t="s">
        <v>388</v>
      </c>
      <c r="C226" s="9" t="s">
        <v>389</v>
      </c>
      <c r="D226" s="9" t="s">
        <v>195</v>
      </c>
      <c r="E226" s="9" t="s">
        <v>196</v>
      </c>
      <c r="F226" s="9" t="s">
        <v>203</v>
      </c>
      <c r="G226" s="9" t="s">
        <v>221</v>
      </c>
      <c r="H226" s="9" t="n">
        <v>900</v>
      </c>
      <c r="I226" s="29" t="n">
        <v>0.9</v>
      </c>
      <c r="J226" s="9" t="n">
        <v>1</v>
      </c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21" t="str">
        <f aca="false">IF(COUNT(K226:T226)=0,"SOURCE EMPTY / INDUSTRIAL ONLY",IF(MIN(K226:T226)=1,"SERVICE READY","HOLD"))</f>
        <v>SOURCE EMPTY / INDUSTRIAL ONLY</v>
      </c>
      <c r="V226" s="9" t="n">
        <f aca="false">IF(U226="SERVICE READY",1,0)</f>
        <v>0</v>
      </c>
      <c r="W226" s="6"/>
      <c r="X226" s="6"/>
      <c r="Y226" s="6"/>
      <c r="Z226" s="6"/>
    </row>
    <row r="227" customFormat="false" ht="15" hidden="false" customHeight="false" outlineLevel="0" collapsed="false">
      <c r="A227" s="9" t="s">
        <v>434</v>
      </c>
      <c r="B227" s="9" t="s">
        <v>388</v>
      </c>
      <c r="C227" s="9" t="s">
        <v>389</v>
      </c>
      <c r="D227" s="9" t="s">
        <v>195</v>
      </c>
      <c r="E227" s="9" t="s">
        <v>196</v>
      </c>
      <c r="F227" s="9" t="s">
        <v>205</v>
      </c>
      <c r="G227" s="9" t="s">
        <v>221</v>
      </c>
      <c r="H227" s="9" t="n">
        <v>900</v>
      </c>
      <c r="I227" s="29" t="n">
        <v>0.9</v>
      </c>
      <c r="J227" s="9" t="n">
        <v>1</v>
      </c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21" t="str">
        <f aca="false">IF(COUNT(K227:T227)=0,"SOURCE EMPTY / INDUSTRIAL ONLY",IF(MIN(K227:T227)=1,"SERVICE READY","HOLD"))</f>
        <v>SOURCE EMPTY / INDUSTRIAL ONLY</v>
      </c>
      <c r="V227" s="9" t="n">
        <f aca="false">IF(U227="SERVICE READY",1,0)</f>
        <v>0</v>
      </c>
      <c r="W227" s="6"/>
      <c r="X227" s="6"/>
      <c r="Y227" s="6"/>
      <c r="Z227" s="6"/>
    </row>
    <row r="228" customFormat="false" ht="15" hidden="false" customHeight="false" outlineLevel="0" collapsed="false">
      <c r="A228" s="9" t="s">
        <v>435</v>
      </c>
      <c r="B228" s="9" t="s">
        <v>388</v>
      </c>
      <c r="C228" s="9" t="s">
        <v>389</v>
      </c>
      <c r="D228" s="9" t="s">
        <v>195</v>
      </c>
      <c r="E228" s="9" t="s">
        <v>196</v>
      </c>
      <c r="F228" s="9" t="s">
        <v>207</v>
      </c>
      <c r="G228" s="9" t="s">
        <v>221</v>
      </c>
      <c r="H228" s="9" t="n">
        <v>900</v>
      </c>
      <c r="I228" s="29" t="n">
        <v>0.9</v>
      </c>
      <c r="J228" s="9" t="n">
        <v>1</v>
      </c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21" t="str">
        <f aca="false">IF(COUNT(K228:T228)=0,"SOURCE EMPTY / INDUSTRIAL ONLY",IF(MIN(K228:T228)=1,"SERVICE READY","HOLD"))</f>
        <v>SOURCE EMPTY / INDUSTRIAL ONLY</v>
      </c>
      <c r="V228" s="9" t="n">
        <f aca="false">IF(U228="SERVICE READY",1,0)</f>
        <v>0</v>
      </c>
      <c r="W228" s="6"/>
      <c r="X228" s="6"/>
      <c r="Y228" s="6"/>
      <c r="Z228" s="6"/>
    </row>
    <row r="229" customFormat="false" ht="15" hidden="false" customHeight="false" outlineLevel="0" collapsed="false">
      <c r="A229" s="9" t="s">
        <v>436</v>
      </c>
      <c r="B229" s="9" t="s">
        <v>388</v>
      </c>
      <c r="C229" s="9" t="s">
        <v>389</v>
      </c>
      <c r="D229" s="9" t="s">
        <v>195</v>
      </c>
      <c r="E229" s="9" t="s">
        <v>196</v>
      </c>
      <c r="F229" s="9" t="s">
        <v>209</v>
      </c>
      <c r="G229" s="9" t="s">
        <v>221</v>
      </c>
      <c r="H229" s="9" t="n">
        <v>900</v>
      </c>
      <c r="I229" s="29" t="n">
        <v>0.9</v>
      </c>
      <c r="J229" s="9" t="n">
        <v>1</v>
      </c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21" t="str">
        <f aca="false">IF(COUNT(K229:T229)=0,"SOURCE EMPTY / INDUSTRIAL ONLY",IF(MIN(K229:T229)=1,"SERVICE READY","HOLD"))</f>
        <v>SOURCE EMPTY / INDUSTRIAL ONLY</v>
      </c>
      <c r="V229" s="9" t="n">
        <f aca="false">IF(U229="SERVICE READY",1,0)</f>
        <v>0</v>
      </c>
      <c r="W229" s="6"/>
      <c r="X229" s="6"/>
      <c r="Y229" s="6"/>
      <c r="Z229" s="6"/>
    </row>
    <row r="230" customFormat="false" ht="15" hidden="false" customHeight="false" outlineLevel="0" collapsed="false">
      <c r="A230" s="9" t="s">
        <v>437</v>
      </c>
      <c r="B230" s="9" t="s">
        <v>388</v>
      </c>
      <c r="C230" s="9" t="s">
        <v>389</v>
      </c>
      <c r="D230" s="9" t="s">
        <v>195</v>
      </c>
      <c r="E230" s="9" t="s">
        <v>196</v>
      </c>
      <c r="F230" s="9" t="s">
        <v>211</v>
      </c>
      <c r="G230" s="9" t="s">
        <v>221</v>
      </c>
      <c r="H230" s="9" t="n">
        <v>900</v>
      </c>
      <c r="I230" s="29" t="n">
        <v>0.9</v>
      </c>
      <c r="J230" s="9" t="n">
        <v>1</v>
      </c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21" t="str">
        <f aca="false">IF(COUNT(K230:T230)=0,"SOURCE EMPTY / INDUSTRIAL ONLY",IF(MIN(K230:T230)=1,"SERVICE READY","HOLD"))</f>
        <v>SOURCE EMPTY / INDUSTRIAL ONLY</v>
      </c>
      <c r="V230" s="9" t="n">
        <f aca="false">IF(U230="SERVICE READY",1,0)</f>
        <v>0</v>
      </c>
      <c r="W230" s="6"/>
      <c r="X230" s="6"/>
      <c r="Y230" s="6"/>
      <c r="Z230" s="6"/>
    </row>
    <row r="231" customFormat="false" ht="15" hidden="false" customHeight="false" outlineLevel="0" collapsed="false">
      <c r="A231" s="9" t="s">
        <v>438</v>
      </c>
      <c r="B231" s="9" t="s">
        <v>388</v>
      </c>
      <c r="C231" s="9" t="s">
        <v>389</v>
      </c>
      <c r="D231" s="9" t="s">
        <v>195</v>
      </c>
      <c r="E231" s="9" t="s">
        <v>196</v>
      </c>
      <c r="F231" s="9" t="s">
        <v>197</v>
      </c>
      <c r="G231" s="9" t="s">
        <v>221</v>
      </c>
      <c r="H231" s="9" t="n">
        <v>900</v>
      </c>
      <c r="I231" s="29" t="n">
        <v>0.9</v>
      </c>
      <c r="J231" s="9" t="n">
        <v>1</v>
      </c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21" t="str">
        <f aca="false">IF(COUNT(K231:T231)=0,"SOURCE EMPTY / INDUSTRIAL ONLY",IF(MIN(K231:T231)=1,"SERVICE READY","HOLD"))</f>
        <v>SOURCE EMPTY / INDUSTRIAL ONLY</v>
      </c>
      <c r="V231" s="9" t="n">
        <f aca="false">IF(U231="SERVICE READY",1,0)</f>
        <v>0</v>
      </c>
      <c r="W231" s="6"/>
      <c r="X231" s="6"/>
      <c r="Y231" s="6"/>
      <c r="Z231" s="6"/>
    </row>
    <row r="232" customFormat="false" ht="15" hidden="false" customHeight="false" outlineLevel="0" collapsed="false">
      <c r="A232" s="9" t="s">
        <v>439</v>
      </c>
      <c r="B232" s="9" t="s">
        <v>388</v>
      </c>
      <c r="C232" s="9" t="s">
        <v>389</v>
      </c>
      <c r="D232" s="9" t="s">
        <v>195</v>
      </c>
      <c r="E232" s="9" t="s">
        <v>196</v>
      </c>
      <c r="F232" s="9" t="s">
        <v>200</v>
      </c>
      <c r="G232" s="9" t="s">
        <v>221</v>
      </c>
      <c r="H232" s="9" t="n">
        <v>900</v>
      </c>
      <c r="I232" s="29" t="n">
        <v>0.9</v>
      </c>
      <c r="J232" s="9" t="n">
        <v>1</v>
      </c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21" t="str">
        <f aca="false">IF(COUNT(K232:T232)=0,"SOURCE EMPTY / INDUSTRIAL ONLY",IF(MIN(K232:T232)=1,"SERVICE READY","HOLD"))</f>
        <v>SOURCE EMPTY / INDUSTRIAL ONLY</v>
      </c>
      <c r="V232" s="9" t="n">
        <f aca="false">IF(U232="SERVICE READY",1,0)</f>
        <v>0</v>
      </c>
      <c r="W232" s="6"/>
      <c r="X232" s="6"/>
      <c r="Y232" s="6"/>
      <c r="Z232" s="6"/>
    </row>
    <row r="233" customFormat="false" ht="15" hidden="false" customHeight="false" outlineLevel="0" collapsed="false">
      <c r="A233" s="9" t="s">
        <v>440</v>
      </c>
      <c r="B233" s="9" t="s">
        <v>388</v>
      </c>
      <c r="C233" s="9" t="s">
        <v>389</v>
      </c>
      <c r="D233" s="9" t="s">
        <v>195</v>
      </c>
      <c r="E233" s="9" t="s">
        <v>196</v>
      </c>
      <c r="F233" s="9" t="s">
        <v>203</v>
      </c>
      <c r="G233" s="9" t="s">
        <v>221</v>
      </c>
      <c r="H233" s="9" t="n">
        <v>900</v>
      </c>
      <c r="I233" s="29" t="n">
        <v>0.9</v>
      </c>
      <c r="J233" s="9" t="n">
        <v>1</v>
      </c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21" t="str">
        <f aca="false">IF(COUNT(K233:T233)=0,"SOURCE EMPTY / INDUSTRIAL ONLY",IF(MIN(K233:T233)=1,"SERVICE READY","HOLD"))</f>
        <v>SOURCE EMPTY / INDUSTRIAL ONLY</v>
      </c>
      <c r="V233" s="9" t="n">
        <f aca="false">IF(U233="SERVICE READY",1,0)</f>
        <v>0</v>
      </c>
      <c r="W233" s="6"/>
      <c r="X233" s="6"/>
      <c r="Y233" s="6"/>
      <c r="Z233" s="6"/>
    </row>
    <row r="234" customFormat="false" ht="15" hidden="false" customHeight="false" outlineLevel="0" collapsed="false">
      <c r="A234" s="9" t="s">
        <v>441</v>
      </c>
      <c r="B234" s="9" t="s">
        <v>388</v>
      </c>
      <c r="C234" s="9" t="s">
        <v>389</v>
      </c>
      <c r="D234" s="9" t="s">
        <v>195</v>
      </c>
      <c r="E234" s="9" t="s">
        <v>196</v>
      </c>
      <c r="F234" s="9" t="s">
        <v>205</v>
      </c>
      <c r="G234" s="9" t="s">
        <v>221</v>
      </c>
      <c r="H234" s="9" t="n">
        <v>900</v>
      </c>
      <c r="I234" s="29" t="n">
        <v>0.9</v>
      </c>
      <c r="J234" s="9" t="n">
        <v>1</v>
      </c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21" t="str">
        <f aca="false">IF(COUNT(K234:T234)=0,"SOURCE EMPTY / INDUSTRIAL ONLY",IF(MIN(K234:T234)=1,"SERVICE READY","HOLD"))</f>
        <v>SOURCE EMPTY / INDUSTRIAL ONLY</v>
      </c>
      <c r="V234" s="9" t="n">
        <f aca="false">IF(U234="SERVICE READY",1,0)</f>
        <v>0</v>
      </c>
      <c r="W234" s="6"/>
      <c r="X234" s="6"/>
      <c r="Y234" s="6"/>
      <c r="Z234" s="6"/>
    </row>
    <row r="235" customFormat="false" ht="15" hidden="false" customHeight="false" outlineLevel="0" collapsed="false">
      <c r="A235" s="9" t="s">
        <v>442</v>
      </c>
      <c r="B235" s="9" t="s">
        <v>388</v>
      </c>
      <c r="C235" s="9" t="s">
        <v>389</v>
      </c>
      <c r="D235" s="9" t="s">
        <v>195</v>
      </c>
      <c r="E235" s="9" t="s">
        <v>196</v>
      </c>
      <c r="F235" s="9" t="s">
        <v>207</v>
      </c>
      <c r="G235" s="9" t="s">
        <v>221</v>
      </c>
      <c r="H235" s="9" t="n">
        <v>900</v>
      </c>
      <c r="I235" s="29" t="n">
        <v>0.9</v>
      </c>
      <c r="J235" s="9" t="n">
        <v>1</v>
      </c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21" t="str">
        <f aca="false">IF(COUNT(K235:T235)=0,"SOURCE EMPTY / INDUSTRIAL ONLY",IF(MIN(K235:T235)=1,"SERVICE READY","HOLD"))</f>
        <v>SOURCE EMPTY / INDUSTRIAL ONLY</v>
      </c>
      <c r="V235" s="9" t="n">
        <f aca="false">IF(U235="SERVICE READY",1,0)</f>
        <v>0</v>
      </c>
      <c r="W235" s="6"/>
      <c r="X235" s="6"/>
      <c r="Y235" s="6"/>
      <c r="Z235" s="6"/>
    </row>
    <row r="236" customFormat="false" ht="15" hidden="false" customHeight="false" outlineLevel="0" collapsed="false">
      <c r="A236" s="9" t="s">
        <v>443</v>
      </c>
      <c r="B236" s="9" t="s">
        <v>388</v>
      </c>
      <c r="C236" s="9" t="s">
        <v>389</v>
      </c>
      <c r="D236" s="9" t="s">
        <v>195</v>
      </c>
      <c r="E236" s="9" t="s">
        <v>196</v>
      </c>
      <c r="F236" s="9" t="s">
        <v>209</v>
      </c>
      <c r="G236" s="9" t="s">
        <v>221</v>
      </c>
      <c r="H236" s="9" t="n">
        <v>900</v>
      </c>
      <c r="I236" s="29" t="n">
        <v>0.9</v>
      </c>
      <c r="J236" s="9" t="n">
        <v>1</v>
      </c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21" t="str">
        <f aca="false">IF(COUNT(K236:T236)=0,"SOURCE EMPTY / INDUSTRIAL ONLY",IF(MIN(K236:T236)=1,"SERVICE READY","HOLD"))</f>
        <v>SOURCE EMPTY / INDUSTRIAL ONLY</v>
      </c>
      <c r="V236" s="9" t="n">
        <f aca="false">IF(U236="SERVICE READY",1,0)</f>
        <v>0</v>
      </c>
      <c r="W236" s="6"/>
      <c r="X236" s="6"/>
      <c r="Y236" s="6"/>
      <c r="Z236" s="6"/>
    </row>
    <row r="237" customFormat="false" ht="15" hidden="false" customHeight="false" outlineLevel="0" collapsed="false">
      <c r="A237" s="9" t="s">
        <v>444</v>
      </c>
      <c r="B237" s="9" t="s">
        <v>388</v>
      </c>
      <c r="C237" s="9" t="s">
        <v>389</v>
      </c>
      <c r="D237" s="9" t="s">
        <v>195</v>
      </c>
      <c r="E237" s="9" t="s">
        <v>196</v>
      </c>
      <c r="F237" s="9" t="s">
        <v>211</v>
      </c>
      <c r="G237" s="9" t="s">
        <v>221</v>
      </c>
      <c r="H237" s="9" t="n">
        <v>900</v>
      </c>
      <c r="I237" s="29" t="n">
        <v>0.9</v>
      </c>
      <c r="J237" s="9" t="n">
        <v>1</v>
      </c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21" t="str">
        <f aca="false">IF(COUNT(K237:T237)=0,"SOURCE EMPTY / INDUSTRIAL ONLY",IF(MIN(K237:T237)=1,"SERVICE READY","HOLD"))</f>
        <v>SOURCE EMPTY / INDUSTRIAL ONLY</v>
      </c>
      <c r="V237" s="9" t="n">
        <f aca="false">IF(U237="SERVICE READY",1,0)</f>
        <v>0</v>
      </c>
      <c r="W237" s="6"/>
      <c r="X237" s="6"/>
      <c r="Y237" s="6"/>
      <c r="Z237" s="6"/>
    </row>
    <row r="238" customFormat="false" ht="15" hidden="false" customHeight="false" outlineLevel="0" collapsed="false">
      <c r="A238" s="9" t="s">
        <v>445</v>
      </c>
      <c r="B238" s="9" t="s">
        <v>388</v>
      </c>
      <c r="C238" s="9" t="s">
        <v>389</v>
      </c>
      <c r="D238" s="9" t="s">
        <v>195</v>
      </c>
      <c r="E238" s="9" t="s">
        <v>196</v>
      </c>
      <c r="F238" s="9" t="s">
        <v>197</v>
      </c>
      <c r="G238" s="9" t="s">
        <v>221</v>
      </c>
      <c r="H238" s="9" t="n">
        <v>900</v>
      </c>
      <c r="I238" s="29" t="n">
        <v>0.9</v>
      </c>
      <c r="J238" s="9" t="n">
        <v>1</v>
      </c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21" t="str">
        <f aca="false">IF(COUNT(K238:T238)=0,"SOURCE EMPTY / INDUSTRIAL ONLY",IF(MIN(K238:T238)=1,"SERVICE READY","HOLD"))</f>
        <v>SOURCE EMPTY / INDUSTRIAL ONLY</v>
      </c>
      <c r="V238" s="9" t="n">
        <f aca="false">IF(U238="SERVICE READY",1,0)</f>
        <v>0</v>
      </c>
      <c r="W238" s="6"/>
      <c r="X238" s="6"/>
      <c r="Y238" s="6"/>
      <c r="Z238" s="6"/>
    </row>
    <row r="239" customFormat="false" ht="15" hidden="false" customHeight="false" outlineLevel="0" collapsed="false">
      <c r="A239" s="9" t="s">
        <v>446</v>
      </c>
      <c r="B239" s="9" t="s">
        <v>388</v>
      </c>
      <c r="C239" s="9" t="s">
        <v>389</v>
      </c>
      <c r="D239" s="9" t="s">
        <v>195</v>
      </c>
      <c r="E239" s="9" t="s">
        <v>196</v>
      </c>
      <c r="F239" s="9" t="s">
        <v>200</v>
      </c>
      <c r="G239" s="9" t="s">
        <v>221</v>
      </c>
      <c r="H239" s="9" t="n">
        <v>900</v>
      </c>
      <c r="I239" s="29" t="n">
        <v>0.9</v>
      </c>
      <c r="J239" s="9" t="n">
        <v>1</v>
      </c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21" t="str">
        <f aca="false">IF(COUNT(K239:T239)=0,"SOURCE EMPTY / INDUSTRIAL ONLY",IF(MIN(K239:T239)=1,"SERVICE READY","HOLD"))</f>
        <v>SOURCE EMPTY / INDUSTRIAL ONLY</v>
      </c>
      <c r="V239" s="9" t="n">
        <f aca="false">IF(U239="SERVICE READY",1,0)</f>
        <v>0</v>
      </c>
      <c r="W239" s="6"/>
      <c r="X239" s="6"/>
      <c r="Y239" s="6"/>
      <c r="Z239" s="6"/>
    </row>
    <row r="240" customFormat="false" ht="15" hidden="false" customHeight="false" outlineLevel="0" collapsed="false">
      <c r="A240" s="9" t="s">
        <v>447</v>
      </c>
      <c r="B240" s="9" t="s">
        <v>388</v>
      </c>
      <c r="C240" s="9" t="s">
        <v>389</v>
      </c>
      <c r="D240" s="9" t="s">
        <v>195</v>
      </c>
      <c r="E240" s="9" t="s">
        <v>196</v>
      </c>
      <c r="F240" s="9" t="s">
        <v>203</v>
      </c>
      <c r="G240" s="9" t="s">
        <v>221</v>
      </c>
      <c r="H240" s="9" t="n">
        <v>900</v>
      </c>
      <c r="I240" s="29" t="n">
        <v>0.9</v>
      </c>
      <c r="J240" s="9" t="n">
        <v>1</v>
      </c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21" t="str">
        <f aca="false">IF(COUNT(K240:T240)=0,"SOURCE EMPTY / INDUSTRIAL ONLY",IF(MIN(K240:T240)=1,"SERVICE READY","HOLD"))</f>
        <v>SOURCE EMPTY / INDUSTRIAL ONLY</v>
      </c>
      <c r="V240" s="9" t="n">
        <f aca="false">IF(U240="SERVICE READY",1,0)</f>
        <v>0</v>
      </c>
      <c r="W240" s="6"/>
      <c r="X240" s="6"/>
      <c r="Y240" s="6"/>
      <c r="Z240" s="6"/>
    </row>
    <row r="241" customFormat="false" ht="15" hidden="false" customHeight="false" outlineLevel="0" collapsed="false">
      <c r="A241" s="9" t="s">
        <v>448</v>
      </c>
      <c r="B241" s="9" t="s">
        <v>388</v>
      </c>
      <c r="C241" s="9" t="s">
        <v>389</v>
      </c>
      <c r="D241" s="9" t="s">
        <v>195</v>
      </c>
      <c r="E241" s="9" t="s">
        <v>196</v>
      </c>
      <c r="F241" s="9" t="s">
        <v>205</v>
      </c>
      <c r="G241" s="9" t="s">
        <v>221</v>
      </c>
      <c r="H241" s="9" t="n">
        <v>900</v>
      </c>
      <c r="I241" s="29" t="n">
        <v>0.9</v>
      </c>
      <c r="J241" s="9" t="n">
        <v>1</v>
      </c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21" t="str">
        <f aca="false">IF(COUNT(K241:T241)=0,"SOURCE EMPTY / INDUSTRIAL ONLY",IF(MIN(K241:T241)=1,"SERVICE READY","HOLD"))</f>
        <v>SOURCE EMPTY / INDUSTRIAL ONLY</v>
      </c>
      <c r="V241" s="9" t="n">
        <f aca="false">IF(U241="SERVICE READY",1,0)</f>
        <v>0</v>
      </c>
      <c r="W241" s="6"/>
      <c r="X241" s="6"/>
      <c r="Y241" s="6"/>
      <c r="Z241" s="6"/>
    </row>
    <row r="242" customFormat="false" ht="15" hidden="false" customHeight="false" outlineLevel="0" collapsed="false">
      <c r="A242" s="9" t="s">
        <v>449</v>
      </c>
      <c r="B242" s="9" t="s">
        <v>388</v>
      </c>
      <c r="C242" s="9" t="s">
        <v>389</v>
      </c>
      <c r="D242" s="9" t="s">
        <v>195</v>
      </c>
      <c r="E242" s="9" t="s">
        <v>196</v>
      </c>
      <c r="F242" s="9" t="s">
        <v>207</v>
      </c>
      <c r="G242" s="9" t="s">
        <v>221</v>
      </c>
      <c r="H242" s="9" t="n">
        <v>900</v>
      </c>
      <c r="I242" s="29" t="n">
        <v>0.9</v>
      </c>
      <c r="J242" s="9" t="n">
        <v>1</v>
      </c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21" t="str">
        <f aca="false">IF(COUNT(K242:T242)=0,"SOURCE EMPTY / INDUSTRIAL ONLY",IF(MIN(K242:T242)=1,"SERVICE READY","HOLD"))</f>
        <v>SOURCE EMPTY / INDUSTRIAL ONLY</v>
      </c>
      <c r="V242" s="9" t="n">
        <f aca="false">IF(U242="SERVICE READY",1,0)</f>
        <v>0</v>
      </c>
      <c r="W242" s="6"/>
      <c r="X242" s="6"/>
      <c r="Y242" s="6"/>
      <c r="Z242" s="6"/>
    </row>
    <row r="243" customFormat="false" ht="15" hidden="false" customHeight="false" outlineLevel="0" collapsed="false">
      <c r="A243" s="9" t="s">
        <v>450</v>
      </c>
      <c r="B243" s="9" t="s">
        <v>388</v>
      </c>
      <c r="C243" s="9" t="s">
        <v>389</v>
      </c>
      <c r="D243" s="9" t="s">
        <v>195</v>
      </c>
      <c r="E243" s="9" t="s">
        <v>196</v>
      </c>
      <c r="F243" s="9" t="s">
        <v>209</v>
      </c>
      <c r="G243" s="9" t="s">
        <v>221</v>
      </c>
      <c r="H243" s="9" t="n">
        <v>900</v>
      </c>
      <c r="I243" s="29" t="n">
        <v>0.9</v>
      </c>
      <c r="J243" s="9" t="n">
        <v>1</v>
      </c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21" t="str">
        <f aca="false">IF(COUNT(K243:T243)=0,"SOURCE EMPTY / INDUSTRIAL ONLY",IF(MIN(K243:T243)=1,"SERVICE READY","HOLD"))</f>
        <v>SOURCE EMPTY / INDUSTRIAL ONLY</v>
      </c>
      <c r="V243" s="9" t="n">
        <f aca="false">IF(U243="SERVICE READY",1,0)</f>
        <v>0</v>
      </c>
      <c r="W243" s="6"/>
      <c r="X243" s="6"/>
      <c r="Y243" s="6"/>
      <c r="Z243" s="6"/>
    </row>
    <row r="244" customFormat="false" ht="15" hidden="false" customHeight="false" outlineLevel="0" collapsed="false">
      <c r="A244" s="9" t="s">
        <v>451</v>
      </c>
      <c r="B244" s="9" t="s">
        <v>388</v>
      </c>
      <c r="C244" s="9" t="s">
        <v>389</v>
      </c>
      <c r="D244" s="9" t="s">
        <v>195</v>
      </c>
      <c r="E244" s="9" t="s">
        <v>196</v>
      </c>
      <c r="F244" s="9" t="s">
        <v>211</v>
      </c>
      <c r="G244" s="9" t="s">
        <v>221</v>
      </c>
      <c r="H244" s="9" t="n">
        <v>900</v>
      </c>
      <c r="I244" s="29" t="n">
        <v>0.9</v>
      </c>
      <c r="J244" s="9" t="n">
        <v>1</v>
      </c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21" t="str">
        <f aca="false">IF(COUNT(K244:T244)=0,"SOURCE EMPTY / INDUSTRIAL ONLY",IF(MIN(K244:T244)=1,"SERVICE READY","HOLD"))</f>
        <v>SOURCE EMPTY / INDUSTRIAL ONLY</v>
      </c>
      <c r="V244" s="9" t="n">
        <f aca="false">IF(U244="SERVICE READY",1,0)</f>
        <v>0</v>
      </c>
      <c r="W244" s="6"/>
      <c r="X244" s="6"/>
      <c r="Y244" s="6"/>
      <c r="Z244" s="6"/>
    </row>
    <row r="245" customFormat="false" ht="15" hidden="false" customHeight="false" outlineLevel="0" collapsed="false">
      <c r="A245" s="9" t="s">
        <v>452</v>
      </c>
      <c r="B245" s="9" t="s">
        <v>388</v>
      </c>
      <c r="C245" s="9" t="s">
        <v>389</v>
      </c>
      <c r="D245" s="9" t="s">
        <v>195</v>
      </c>
      <c r="E245" s="9" t="s">
        <v>196</v>
      </c>
      <c r="F245" s="9" t="s">
        <v>197</v>
      </c>
      <c r="G245" s="9" t="s">
        <v>221</v>
      </c>
      <c r="H245" s="9" t="n">
        <v>900</v>
      </c>
      <c r="I245" s="29" t="n">
        <v>0.9</v>
      </c>
      <c r="J245" s="9" t="n">
        <v>1</v>
      </c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21" t="str">
        <f aca="false">IF(COUNT(K245:T245)=0,"SOURCE EMPTY / INDUSTRIAL ONLY",IF(MIN(K245:T245)=1,"SERVICE READY","HOLD"))</f>
        <v>SOURCE EMPTY / INDUSTRIAL ONLY</v>
      </c>
      <c r="V245" s="9" t="n">
        <f aca="false">IF(U245="SERVICE READY",1,0)</f>
        <v>0</v>
      </c>
      <c r="W245" s="6"/>
      <c r="X245" s="6"/>
      <c r="Y245" s="6"/>
      <c r="Z245" s="6"/>
    </row>
    <row r="246" customFormat="false" ht="15" hidden="false" customHeight="false" outlineLevel="0" collapsed="false">
      <c r="A246" s="9" t="s">
        <v>453</v>
      </c>
      <c r="B246" s="9" t="s">
        <v>388</v>
      </c>
      <c r="C246" s="9" t="s">
        <v>389</v>
      </c>
      <c r="D246" s="9" t="s">
        <v>195</v>
      </c>
      <c r="E246" s="9" t="s">
        <v>196</v>
      </c>
      <c r="F246" s="9" t="s">
        <v>200</v>
      </c>
      <c r="G246" s="9" t="s">
        <v>221</v>
      </c>
      <c r="H246" s="9" t="n">
        <v>900</v>
      </c>
      <c r="I246" s="29" t="n">
        <v>0.9</v>
      </c>
      <c r="J246" s="9" t="n">
        <v>1</v>
      </c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21" t="str">
        <f aca="false">IF(COUNT(K246:T246)=0,"SOURCE EMPTY / INDUSTRIAL ONLY",IF(MIN(K246:T246)=1,"SERVICE READY","HOLD"))</f>
        <v>SOURCE EMPTY / INDUSTRIAL ONLY</v>
      </c>
      <c r="V246" s="9" t="n">
        <f aca="false">IF(U246="SERVICE READY",1,0)</f>
        <v>0</v>
      </c>
      <c r="W246" s="6"/>
      <c r="X246" s="6"/>
      <c r="Y246" s="6"/>
      <c r="Z246" s="6"/>
    </row>
    <row r="247" customFormat="false" ht="15" hidden="false" customHeight="false" outlineLevel="0" collapsed="false">
      <c r="A247" s="9" t="s">
        <v>454</v>
      </c>
      <c r="B247" s="9" t="s">
        <v>388</v>
      </c>
      <c r="C247" s="9" t="s">
        <v>389</v>
      </c>
      <c r="D247" s="9" t="s">
        <v>195</v>
      </c>
      <c r="E247" s="9" t="s">
        <v>196</v>
      </c>
      <c r="F247" s="9" t="s">
        <v>203</v>
      </c>
      <c r="G247" s="9" t="s">
        <v>221</v>
      </c>
      <c r="H247" s="9" t="n">
        <v>900</v>
      </c>
      <c r="I247" s="29" t="n">
        <v>0.9</v>
      </c>
      <c r="J247" s="9" t="n">
        <v>1</v>
      </c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21" t="str">
        <f aca="false">IF(COUNT(K247:T247)=0,"SOURCE EMPTY / INDUSTRIAL ONLY",IF(MIN(K247:T247)=1,"SERVICE READY","HOLD"))</f>
        <v>SOURCE EMPTY / INDUSTRIAL ONLY</v>
      </c>
      <c r="V247" s="9" t="n">
        <f aca="false">IF(U247="SERVICE READY",1,0)</f>
        <v>0</v>
      </c>
      <c r="W247" s="6"/>
      <c r="X247" s="6"/>
      <c r="Y247" s="6"/>
      <c r="Z247" s="6"/>
    </row>
    <row r="248" customFormat="false" ht="15" hidden="false" customHeight="false" outlineLevel="0" collapsed="false">
      <c r="A248" s="9" t="s">
        <v>455</v>
      </c>
      <c r="B248" s="9" t="s">
        <v>388</v>
      </c>
      <c r="C248" s="9" t="s">
        <v>389</v>
      </c>
      <c r="D248" s="9" t="s">
        <v>195</v>
      </c>
      <c r="E248" s="9" t="s">
        <v>196</v>
      </c>
      <c r="F248" s="9" t="s">
        <v>205</v>
      </c>
      <c r="G248" s="9" t="s">
        <v>221</v>
      </c>
      <c r="H248" s="9" t="n">
        <v>900</v>
      </c>
      <c r="I248" s="29" t="n">
        <v>0.9</v>
      </c>
      <c r="J248" s="9" t="n">
        <v>1</v>
      </c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21" t="str">
        <f aca="false">IF(COUNT(K248:T248)=0,"SOURCE EMPTY / INDUSTRIAL ONLY",IF(MIN(K248:T248)=1,"SERVICE READY","HOLD"))</f>
        <v>SOURCE EMPTY / INDUSTRIAL ONLY</v>
      </c>
      <c r="V248" s="9" t="n">
        <f aca="false">IF(U248="SERVICE READY",1,0)</f>
        <v>0</v>
      </c>
      <c r="W248" s="6"/>
      <c r="X248" s="6"/>
      <c r="Y248" s="6"/>
      <c r="Z248" s="6"/>
    </row>
    <row r="249" customFormat="false" ht="15" hidden="false" customHeight="false" outlineLevel="0" collapsed="false">
      <c r="A249" s="9" t="s">
        <v>456</v>
      </c>
      <c r="B249" s="9" t="s">
        <v>388</v>
      </c>
      <c r="C249" s="9" t="s">
        <v>389</v>
      </c>
      <c r="D249" s="9" t="s">
        <v>195</v>
      </c>
      <c r="E249" s="9" t="s">
        <v>196</v>
      </c>
      <c r="F249" s="9" t="s">
        <v>207</v>
      </c>
      <c r="G249" s="9" t="s">
        <v>221</v>
      </c>
      <c r="H249" s="9" t="n">
        <v>900</v>
      </c>
      <c r="I249" s="29" t="n">
        <v>0.9</v>
      </c>
      <c r="J249" s="9" t="n">
        <v>1</v>
      </c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21" t="str">
        <f aca="false">IF(COUNT(K249:T249)=0,"SOURCE EMPTY / INDUSTRIAL ONLY",IF(MIN(K249:T249)=1,"SERVICE READY","HOLD"))</f>
        <v>SOURCE EMPTY / INDUSTRIAL ONLY</v>
      </c>
      <c r="V249" s="9" t="n">
        <f aca="false">IF(U249="SERVICE READY",1,0)</f>
        <v>0</v>
      </c>
      <c r="W249" s="6"/>
      <c r="X249" s="6"/>
      <c r="Y249" s="6"/>
      <c r="Z249" s="6"/>
    </row>
    <row r="250" customFormat="false" ht="15" hidden="false" customHeight="false" outlineLevel="0" collapsed="false">
      <c r="A250" s="9" t="s">
        <v>457</v>
      </c>
      <c r="B250" s="9" t="s">
        <v>388</v>
      </c>
      <c r="C250" s="9" t="s">
        <v>389</v>
      </c>
      <c r="D250" s="9" t="s">
        <v>195</v>
      </c>
      <c r="E250" s="9" t="s">
        <v>196</v>
      </c>
      <c r="F250" s="9" t="s">
        <v>209</v>
      </c>
      <c r="G250" s="9" t="s">
        <v>221</v>
      </c>
      <c r="H250" s="9" t="n">
        <v>900</v>
      </c>
      <c r="I250" s="29" t="n">
        <v>0.9</v>
      </c>
      <c r="J250" s="9" t="n">
        <v>1</v>
      </c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21" t="str">
        <f aca="false">IF(COUNT(K250:T250)=0,"SOURCE EMPTY / INDUSTRIAL ONLY",IF(MIN(K250:T250)=1,"SERVICE READY","HOLD"))</f>
        <v>SOURCE EMPTY / INDUSTRIAL ONLY</v>
      </c>
      <c r="V250" s="9" t="n">
        <f aca="false">IF(U250="SERVICE READY",1,0)</f>
        <v>0</v>
      </c>
      <c r="W250" s="6"/>
      <c r="X250" s="6"/>
      <c r="Y250" s="6"/>
      <c r="Z250" s="6"/>
    </row>
    <row r="251" customFormat="false" ht="15" hidden="false" customHeight="false" outlineLevel="0" collapsed="false">
      <c r="A251" s="9" t="s">
        <v>458</v>
      </c>
      <c r="B251" s="9" t="s">
        <v>388</v>
      </c>
      <c r="C251" s="9" t="s">
        <v>389</v>
      </c>
      <c r="D251" s="9" t="s">
        <v>195</v>
      </c>
      <c r="E251" s="9" t="s">
        <v>196</v>
      </c>
      <c r="F251" s="9" t="s">
        <v>211</v>
      </c>
      <c r="G251" s="9" t="s">
        <v>221</v>
      </c>
      <c r="H251" s="9" t="n">
        <v>900</v>
      </c>
      <c r="I251" s="29" t="n">
        <v>0.9</v>
      </c>
      <c r="J251" s="9" t="n">
        <v>1</v>
      </c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21" t="str">
        <f aca="false">IF(COUNT(K251:T251)=0,"SOURCE EMPTY / INDUSTRIAL ONLY",IF(MIN(K251:T251)=1,"SERVICE READY","HOLD"))</f>
        <v>SOURCE EMPTY / INDUSTRIAL ONLY</v>
      </c>
      <c r="V251" s="9" t="n">
        <f aca="false">IF(U251="SERVICE READY",1,0)</f>
        <v>0</v>
      </c>
      <c r="W251" s="6"/>
      <c r="X251" s="6"/>
      <c r="Y251" s="6"/>
      <c r="Z251" s="6"/>
    </row>
    <row r="252" customFormat="false" ht="15" hidden="false" customHeight="false" outlineLevel="0" collapsed="false">
      <c r="A252" s="9" t="s">
        <v>459</v>
      </c>
      <c r="B252" s="9" t="s">
        <v>388</v>
      </c>
      <c r="C252" s="9" t="s">
        <v>389</v>
      </c>
      <c r="D252" s="9" t="s">
        <v>195</v>
      </c>
      <c r="E252" s="9" t="s">
        <v>196</v>
      </c>
      <c r="F252" s="9" t="s">
        <v>197</v>
      </c>
      <c r="G252" s="9" t="s">
        <v>221</v>
      </c>
      <c r="H252" s="9" t="n">
        <v>900</v>
      </c>
      <c r="I252" s="29" t="n">
        <v>0.9</v>
      </c>
      <c r="J252" s="9" t="n">
        <v>1</v>
      </c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21" t="str">
        <f aca="false">IF(COUNT(K252:T252)=0,"SOURCE EMPTY / INDUSTRIAL ONLY",IF(MIN(K252:T252)=1,"SERVICE READY","HOLD"))</f>
        <v>SOURCE EMPTY / INDUSTRIAL ONLY</v>
      </c>
      <c r="V252" s="9" t="n">
        <f aca="false">IF(U252="SERVICE READY",1,0)</f>
        <v>0</v>
      </c>
      <c r="W252" s="6"/>
      <c r="X252" s="6"/>
      <c r="Y252" s="6"/>
      <c r="Z252" s="6"/>
    </row>
    <row r="253" customFormat="false" ht="15" hidden="false" customHeight="false" outlineLevel="0" collapsed="false">
      <c r="A253" s="9" t="s">
        <v>460</v>
      </c>
      <c r="B253" s="9" t="s">
        <v>388</v>
      </c>
      <c r="C253" s="9" t="s">
        <v>389</v>
      </c>
      <c r="D253" s="9" t="s">
        <v>195</v>
      </c>
      <c r="E253" s="9" t="s">
        <v>196</v>
      </c>
      <c r="F253" s="9" t="s">
        <v>200</v>
      </c>
      <c r="G253" s="9" t="s">
        <v>221</v>
      </c>
      <c r="H253" s="9" t="n">
        <v>900</v>
      </c>
      <c r="I253" s="29" t="n">
        <v>0.9</v>
      </c>
      <c r="J253" s="9" t="n">
        <v>1</v>
      </c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21" t="str">
        <f aca="false">IF(COUNT(K253:T253)=0,"SOURCE EMPTY / INDUSTRIAL ONLY",IF(MIN(K253:T253)=1,"SERVICE READY","HOLD"))</f>
        <v>SOURCE EMPTY / INDUSTRIAL ONLY</v>
      </c>
      <c r="V253" s="9" t="n">
        <f aca="false">IF(U253="SERVICE READY",1,0)</f>
        <v>0</v>
      </c>
      <c r="W253" s="6"/>
      <c r="X253" s="6"/>
      <c r="Y253" s="6"/>
      <c r="Z253" s="6"/>
    </row>
    <row r="254" customFormat="false" ht="15" hidden="false" customHeight="false" outlineLevel="0" collapsed="false">
      <c r="A254" s="9" t="s">
        <v>461</v>
      </c>
      <c r="B254" s="9" t="s">
        <v>388</v>
      </c>
      <c r="C254" s="9" t="s">
        <v>389</v>
      </c>
      <c r="D254" s="9" t="s">
        <v>195</v>
      </c>
      <c r="E254" s="9" t="s">
        <v>196</v>
      </c>
      <c r="F254" s="9" t="s">
        <v>203</v>
      </c>
      <c r="G254" s="9" t="s">
        <v>221</v>
      </c>
      <c r="H254" s="9" t="n">
        <v>900</v>
      </c>
      <c r="I254" s="29" t="n">
        <v>0.9</v>
      </c>
      <c r="J254" s="9" t="n">
        <v>1</v>
      </c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21" t="str">
        <f aca="false">IF(COUNT(K254:T254)=0,"SOURCE EMPTY / INDUSTRIAL ONLY",IF(MIN(K254:T254)=1,"SERVICE READY","HOLD"))</f>
        <v>SOURCE EMPTY / INDUSTRIAL ONLY</v>
      </c>
      <c r="V254" s="9" t="n">
        <f aca="false">IF(U254="SERVICE READY",1,0)</f>
        <v>0</v>
      </c>
      <c r="W254" s="6"/>
      <c r="X254" s="6"/>
      <c r="Y254" s="6"/>
      <c r="Z254" s="6"/>
    </row>
    <row r="255" customFormat="false" ht="15" hidden="false" customHeight="false" outlineLevel="0" collapsed="false">
      <c r="A255" s="9" t="s">
        <v>462</v>
      </c>
      <c r="B255" s="9" t="s">
        <v>388</v>
      </c>
      <c r="C255" s="9" t="s">
        <v>389</v>
      </c>
      <c r="D255" s="9" t="s">
        <v>195</v>
      </c>
      <c r="E255" s="9" t="s">
        <v>196</v>
      </c>
      <c r="F255" s="9" t="s">
        <v>205</v>
      </c>
      <c r="G255" s="9" t="s">
        <v>221</v>
      </c>
      <c r="H255" s="9" t="n">
        <v>900</v>
      </c>
      <c r="I255" s="29" t="n">
        <v>0.9</v>
      </c>
      <c r="J255" s="9" t="n">
        <v>1</v>
      </c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21" t="str">
        <f aca="false">IF(COUNT(K255:T255)=0,"SOURCE EMPTY / INDUSTRIAL ONLY",IF(MIN(K255:T255)=1,"SERVICE READY","HOLD"))</f>
        <v>SOURCE EMPTY / INDUSTRIAL ONLY</v>
      </c>
      <c r="V255" s="9" t="n">
        <f aca="false">IF(U255="SERVICE READY",1,0)</f>
        <v>0</v>
      </c>
      <c r="W255" s="6"/>
      <c r="X255" s="6"/>
      <c r="Y255" s="6"/>
      <c r="Z255" s="6"/>
    </row>
    <row r="256" customFormat="false" ht="15" hidden="false" customHeight="false" outlineLevel="0" collapsed="false">
      <c r="A256" s="9" t="s">
        <v>463</v>
      </c>
      <c r="B256" s="9" t="s">
        <v>388</v>
      </c>
      <c r="C256" s="9" t="s">
        <v>389</v>
      </c>
      <c r="D256" s="9" t="s">
        <v>195</v>
      </c>
      <c r="E256" s="9" t="s">
        <v>196</v>
      </c>
      <c r="F256" s="9" t="s">
        <v>207</v>
      </c>
      <c r="G256" s="9" t="s">
        <v>221</v>
      </c>
      <c r="H256" s="9" t="n">
        <v>900</v>
      </c>
      <c r="I256" s="29" t="n">
        <v>0.9</v>
      </c>
      <c r="J256" s="9" t="n">
        <v>1</v>
      </c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21" t="str">
        <f aca="false">IF(COUNT(K256:T256)=0,"SOURCE EMPTY / INDUSTRIAL ONLY",IF(MIN(K256:T256)=1,"SERVICE READY","HOLD"))</f>
        <v>SOURCE EMPTY / INDUSTRIAL ONLY</v>
      </c>
      <c r="V256" s="9" t="n">
        <f aca="false">IF(U256="SERVICE READY",1,0)</f>
        <v>0</v>
      </c>
      <c r="W256" s="6"/>
      <c r="X256" s="6"/>
      <c r="Y256" s="6"/>
      <c r="Z256" s="6"/>
    </row>
    <row r="257" customFormat="false" ht="15" hidden="false" customHeight="false" outlineLevel="0" collapsed="false">
      <c r="A257" s="9" t="s">
        <v>464</v>
      </c>
      <c r="B257" s="9" t="s">
        <v>388</v>
      </c>
      <c r="C257" s="9" t="s">
        <v>389</v>
      </c>
      <c r="D257" s="9" t="s">
        <v>195</v>
      </c>
      <c r="E257" s="9" t="s">
        <v>196</v>
      </c>
      <c r="F257" s="9" t="s">
        <v>209</v>
      </c>
      <c r="G257" s="9" t="s">
        <v>221</v>
      </c>
      <c r="H257" s="9" t="n">
        <v>900</v>
      </c>
      <c r="I257" s="29" t="n">
        <v>0.9</v>
      </c>
      <c r="J257" s="9" t="n">
        <v>1</v>
      </c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21" t="str">
        <f aca="false">IF(COUNT(K257:T257)=0,"SOURCE EMPTY / INDUSTRIAL ONLY",IF(MIN(K257:T257)=1,"SERVICE READY","HOLD"))</f>
        <v>SOURCE EMPTY / INDUSTRIAL ONLY</v>
      </c>
      <c r="V257" s="9" t="n">
        <f aca="false">IF(U257="SERVICE READY",1,0)</f>
        <v>0</v>
      </c>
      <c r="W257" s="6"/>
      <c r="X257" s="6"/>
      <c r="Y257" s="6"/>
      <c r="Z257" s="6"/>
    </row>
    <row r="258" customFormat="false" ht="15" hidden="false" customHeight="false" outlineLevel="0" collapsed="false">
      <c r="A258" s="9" t="s">
        <v>465</v>
      </c>
      <c r="B258" s="9" t="s">
        <v>388</v>
      </c>
      <c r="C258" s="9" t="s">
        <v>389</v>
      </c>
      <c r="D258" s="9" t="s">
        <v>195</v>
      </c>
      <c r="E258" s="9" t="s">
        <v>196</v>
      </c>
      <c r="F258" s="9" t="s">
        <v>211</v>
      </c>
      <c r="G258" s="9" t="s">
        <v>221</v>
      </c>
      <c r="H258" s="9" t="n">
        <v>900</v>
      </c>
      <c r="I258" s="29" t="n">
        <v>0.9</v>
      </c>
      <c r="J258" s="9" t="n">
        <v>1</v>
      </c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21" t="str">
        <f aca="false">IF(COUNT(K258:T258)=0,"SOURCE EMPTY / INDUSTRIAL ONLY",IF(MIN(K258:T258)=1,"SERVICE READY","HOLD"))</f>
        <v>SOURCE EMPTY / INDUSTRIAL ONLY</v>
      </c>
      <c r="V258" s="9" t="n">
        <f aca="false">IF(U258="SERVICE READY",1,0)</f>
        <v>0</v>
      </c>
      <c r="W258" s="6"/>
      <c r="X258" s="6"/>
      <c r="Y258" s="6"/>
      <c r="Z258" s="6"/>
    </row>
    <row r="259" customFormat="false" ht="15" hidden="false" customHeight="false" outlineLevel="0" collapsed="false">
      <c r="A259" s="9" t="s">
        <v>466</v>
      </c>
      <c r="B259" s="9" t="s">
        <v>388</v>
      </c>
      <c r="C259" s="9" t="s">
        <v>389</v>
      </c>
      <c r="D259" s="9" t="s">
        <v>195</v>
      </c>
      <c r="E259" s="9" t="s">
        <v>196</v>
      </c>
      <c r="F259" s="9" t="s">
        <v>197</v>
      </c>
      <c r="G259" s="9" t="s">
        <v>221</v>
      </c>
      <c r="H259" s="9" t="n">
        <v>900</v>
      </c>
      <c r="I259" s="29" t="n">
        <v>0.9</v>
      </c>
      <c r="J259" s="9" t="n">
        <v>1</v>
      </c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21" t="str">
        <f aca="false">IF(COUNT(K259:T259)=0,"SOURCE EMPTY / INDUSTRIAL ONLY",IF(MIN(K259:T259)=1,"SERVICE READY","HOLD"))</f>
        <v>SOURCE EMPTY / INDUSTRIAL ONLY</v>
      </c>
      <c r="V259" s="9" t="n">
        <f aca="false">IF(U259="SERVICE READY",1,0)</f>
        <v>0</v>
      </c>
      <c r="W259" s="6"/>
      <c r="X259" s="6"/>
      <c r="Y259" s="6"/>
      <c r="Z259" s="6"/>
    </row>
    <row r="260" customFormat="false" ht="15" hidden="false" customHeight="false" outlineLevel="0" collapsed="false">
      <c r="A260" s="9" t="s">
        <v>467</v>
      </c>
      <c r="B260" s="9" t="s">
        <v>388</v>
      </c>
      <c r="C260" s="9" t="s">
        <v>389</v>
      </c>
      <c r="D260" s="9" t="s">
        <v>195</v>
      </c>
      <c r="E260" s="9" t="s">
        <v>196</v>
      </c>
      <c r="F260" s="9" t="s">
        <v>200</v>
      </c>
      <c r="G260" s="9" t="s">
        <v>221</v>
      </c>
      <c r="H260" s="9" t="n">
        <v>900</v>
      </c>
      <c r="I260" s="29" t="n">
        <v>0.9</v>
      </c>
      <c r="J260" s="9" t="n">
        <v>1</v>
      </c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21" t="str">
        <f aca="false">IF(COUNT(K260:T260)=0,"SOURCE EMPTY / INDUSTRIAL ONLY",IF(MIN(K260:T260)=1,"SERVICE READY","HOLD"))</f>
        <v>SOURCE EMPTY / INDUSTRIAL ONLY</v>
      </c>
      <c r="V260" s="9" t="n">
        <f aca="false">IF(U260="SERVICE READY",1,0)</f>
        <v>0</v>
      </c>
      <c r="W260" s="6"/>
      <c r="X260" s="6"/>
      <c r="Y260" s="6"/>
      <c r="Z260" s="6"/>
    </row>
    <row r="261" customFormat="false" ht="15" hidden="false" customHeight="false" outlineLevel="0" collapsed="false">
      <c r="A261" s="9" t="s">
        <v>468</v>
      </c>
      <c r="B261" s="9" t="s">
        <v>388</v>
      </c>
      <c r="C261" s="9" t="s">
        <v>389</v>
      </c>
      <c r="D261" s="9" t="s">
        <v>195</v>
      </c>
      <c r="E261" s="9" t="s">
        <v>196</v>
      </c>
      <c r="F261" s="9" t="s">
        <v>203</v>
      </c>
      <c r="G261" s="9" t="s">
        <v>221</v>
      </c>
      <c r="H261" s="9" t="n">
        <v>900</v>
      </c>
      <c r="I261" s="29" t="n">
        <v>0.9</v>
      </c>
      <c r="J261" s="9" t="n">
        <v>1</v>
      </c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21" t="str">
        <f aca="false">IF(COUNT(K261:T261)=0,"SOURCE EMPTY / INDUSTRIAL ONLY",IF(MIN(K261:T261)=1,"SERVICE READY","HOLD"))</f>
        <v>SOURCE EMPTY / INDUSTRIAL ONLY</v>
      </c>
      <c r="V261" s="9" t="n">
        <f aca="false">IF(U261="SERVICE READY",1,0)</f>
        <v>0</v>
      </c>
      <c r="W261" s="6"/>
      <c r="X261" s="6"/>
      <c r="Y261" s="6"/>
      <c r="Z261" s="6"/>
    </row>
    <row r="262" customFormat="false" ht="15" hidden="false" customHeight="false" outlineLevel="0" collapsed="false">
      <c r="A262" s="9" t="s">
        <v>469</v>
      </c>
      <c r="B262" s="9" t="s">
        <v>388</v>
      </c>
      <c r="C262" s="9" t="s">
        <v>389</v>
      </c>
      <c r="D262" s="9" t="s">
        <v>195</v>
      </c>
      <c r="E262" s="9" t="s">
        <v>196</v>
      </c>
      <c r="F262" s="9" t="s">
        <v>205</v>
      </c>
      <c r="G262" s="9" t="s">
        <v>221</v>
      </c>
      <c r="H262" s="9" t="n">
        <v>900</v>
      </c>
      <c r="I262" s="29" t="n">
        <v>0.9</v>
      </c>
      <c r="J262" s="9" t="n">
        <v>1</v>
      </c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21" t="str">
        <f aca="false">IF(COUNT(K262:T262)=0,"SOURCE EMPTY / INDUSTRIAL ONLY",IF(MIN(K262:T262)=1,"SERVICE READY","HOLD"))</f>
        <v>SOURCE EMPTY / INDUSTRIAL ONLY</v>
      </c>
      <c r="V262" s="9" t="n">
        <f aca="false">IF(U262="SERVICE READY",1,0)</f>
        <v>0</v>
      </c>
      <c r="W262" s="6"/>
      <c r="X262" s="6"/>
      <c r="Y262" s="6"/>
      <c r="Z262" s="6"/>
    </row>
    <row r="263" customFormat="false" ht="15" hidden="false" customHeight="false" outlineLevel="0" collapsed="false">
      <c r="A263" s="9" t="s">
        <v>470</v>
      </c>
      <c r="B263" s="9" t="s">
        <v>388</v>
      </c>
      <c r="C263" s="9" t="s">
        <v>389</v>
      </c>
      <c r="D263" s="9" t="s">
        <v>195</v>
      </c>
      <c r="E263" s="9" t="s">
        <v>196</v>
      </c>
      <c r="F263" s="9" t="s">
        <v>207</v>
      </c>
      <c r="G263" s="9" t="s">
        <v>221</v>
      </c>
      <c r="H263" s="9" t="n">
        <v>900</v>
      </c>
      <c r="I263" s="29" t="n">
        <v>0.9</v>
      </c>
      <c r="J263" s="9" t="n">
        <v>1</v>
      </c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21" t="str">
        <f aca="false">IF(COUNT(K263:T263)=0,"SOURCE EMPTY / INDUSTRIAL ONLY",IF(MIN(K263:T263)=1,"SERVICE READY","HOLD"))</f>
        <v>SOURCE EMPTY / INDUSTRIAL ONLY</v>
      </c>
      <c r="V263" s="9" t="n">
        <f aca="false">IF(U263="SERVICE READY",1,0)</f>
        <v>0</v>
      </c>
      <c r="W263" s="6"/>
      <c r="X263" s="6"/>
      <c r="Y263" s="6"/>
      <c r="Z263" s="6"/>
    </row>
    <row r="264" customFormat="false" ht="15" hidden="false" customHeight="false" outlineLevel="0" collapsed="false">
      <c r="A264" s="9" t="s">
        <v>471</v>
      </c>
      <c r="B264" s="9" t="s">
        <v>388</v>
      </c>
      <c r="C264" s="9" t="s">
        <v>389</v>
      </c>
      <c r="D264" s="9" t="s">
        <v>195</v>
      </c>
      <c r="E264" s="9" t="s">
        <v>196</v>
      </c>
      <c r="F264" s="9" t="s">
        <v>209</v>
      </c>
      <c r="G264" s="9" t="s">
        <v>221</v>
      </c>
      <c r="H264" s="9" t="n">
        <v>900</v>
      </c>
      <c r="I264" s="29" t="n">
        <v>0.9</v>
      </c>
      <c r="J264" s="9" t="n">
        <v>1</v>
      </c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21" t="str">
        <f aca="false">IF(COUNT(K264:T264)=0,"SOURCE EMPTY / INDUSTRIAL ONLY",IF(MIN(K264:T264)=1,"SERVICE READY","HOLD"))</f>
        <v>SOURCE EMPTY / INDUSTRIAL ONLY</v>
      </c>
      <c r="V264" s="9" t="n">
        <f aca="false">IF(U264="SERVICE READY",1,0)</f>
        <v>0</v>
      </c>
      <c r="W264" s="6"/>
      <c r="X264" s="6"/>
      <c r="Y264" s="6"/>
      <c r="Z264" s="6"/>
    </row>
    <row r="265" customFormat="false" ht="15" hidden="false" customHeight="false" outlineLevel="0" collapsed="false">
      <c r="A265" s="9" t="s">
        <v>472</v>
      </c>
      <c r="B265" s="9" t="s">
        <v>388</v>
      </c>
      <c r="C265" s="9" t="s">
        <v>389</v>
      </c>
      <c r="D265" s="9" t="s">
        <v>195</v>
      </c>
      <c r="E265" s="9" t="s">
        <v>196</v>
      </c>
      <c r="F265" s="9" t="s">
        <v>211</v>
      </c>
      <c r="G265" s="9" t="s">
        <v>221</v>
      </c>
      <c r="H265" s="9" t="n">
        <v>900</v>
      </c>
      <c r="I265" s="29" t="n">
        <v>0.9</v>
      </c>
      <c r="J265" s="9" t="n">
        <v>1</v>
      </c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21" t="str">
        <f aca="false">IF(COUNT(K265:T265)=0,"SOURCE EMPTY / INDUSTRIAL ONLY",IF(MIN(K265:T265)=1,"SERVICE READY","HOLD"))</f>
        <v>SOURCE EMPTY / INDUSTRIAL ONLY</v>
      </c>
      <c r="V265" s="9" t="n">
        <f aca="false">IF(U265="SERVICE READY",1,0)</f>
        <v>0</v>
      </c>
      <c r="W265" s="6"/>
      <c r="X265" s="6"/>
      <c r="Y265" s="6"/>
      <c r="Z265" s="6"/>
    </row>
    <row r="266" customFormat="false" ht="15" hidden="false" customHeight="false" outlineLevel="0" collapsed="false">
      <c r="A266" s="9" t="s">
        <v>473</v>
      </c>
      <c r="B266" s="9" t="s">
        <v>388</v>
      </c>
      <c r="C266" s="9" t="s">
        <v>389</v>
      </c>
      <c r="D266" s="9" t="s">
        <v>195</v>
      </c>
      <c r="E266" s="9" t="s">
        <v>196</v>
      </c>
      <c r="F266" s="9" t="s">
        <v>197</v>
      </c>
      <c r="G266" s="9" t="s">
        <v>221</v>
      </c>
      <c r="H266" s="9" t="n">
        <v>900</v>
      </c>
      <c r="I266" s="29" t="n">
        <v>0.9</v>
      </c>
      <c r="J266" s="9" t="n">
        <v>1</v>
      </c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21" t="str">
        <f aca="false">IF(COUNT(K266:T266)=0,"SOURCE EMPTY / INDUSTRIAL ONLY",IF(MIN(K266:T266)=1,"SERVICE READY","HOLD"))</f>
        <v>SOURCE EMPTY / INDUSTRIAL ONLY</v>
      </c>
      <c r="V266" s="9" t="n">
        <f aca="false">IF(U266="SERVICE READY",1,0)</f>
        <v>0</v>
      </c>
      <c r="W266" s="6"/>
      <c r="X266" s="6"/>
      <c r="Y266" s="6"/>
      <c r="Z266" s="6"/>
    </row>
    <row r="267" customFormat="false" ht="15" hidden="false" customHeight="false" outlineLevel="0" collapsed="false">
      <c r="A267" s="9" t="s">
        <v>474</v>
      </c>
      <c r="B267" s="9" t="s">
        <v>388</v>
      </c>
      <c r="C267" s="9" t="s">
        <v>389</v>
      </c>
      <c r="D267" s="9" t="s">
        <v>195</v>
      </c>
      <c r="E267" s="9" t="s">
        <v>196</v>
      </c>
      <c r="F267" s="9" t="s">
        <v>200</v>
      </c>
      <c r="G267" s="9" t="s">
        <v>221</v>
      </c>
      <c r="H267" s="9" t="n">
        <v>900</v>
      </c>
      <c r="I267" s="29" t="n">
        <v>0.9</v>
      </c>
      <c r="J267" s="9" t="n">
        <v>1</v>
      </c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21" t="str">
        <f aca="false">IF(COUNT(K267:T267)=0,"SOURCE EMPTY / INDUSTRIAL ONLY",IF(MIN(K267:T267)=1,"SERVICE READY","HOLD"))</f>
        <v>SOURCE EMPTY / INDUSTRIAL ONLY</v>
      </c>
      <c r="V267" s="9" t="n">
        <f aca="false">IF(U267="SERVICE READY",1,0)</f>
        <v>0</v>
      </c>
      <c r="W267" s="6"/>
      <c r="X267" s="6"/>
      <c r="Y267" s="6"/>
      <c r="Z267" s="6"/>
    </row>
    <row r="268" customFormat="false" ht="15" hidden="false" customHeight="false" outlineLevel="0" collapsed="false">
      <c r="A268" s="9" t="s">
        <v>475</v>
      </c>
      <c r="B268" s="9" t="s">
        <v>388</v>
      </c>
      <c r="C268" s="9" t="s">
        <v>389</v>
      </c>
      <c r="D268" s="9" t="s">
        <v>195</v>
      </c>
      <c r="E268" s="9" t="s">
        <v>196</v>
      </c>
      <c r="F268" s="9" t="s">
        <v>203</v>
      </c>
      <c r="G268" s="9" t="s">
        <v>221</v>
      </c>
      <c r="H268" s="9" t="n">
        <v>900</v>
      </c>
      <c r="I268" s="29" t="n">
        <v>0.9</v>
      </c>
      <c r="J268" s="9" t="n">
        <v>1</v>
      </c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21" t="str">
        <f aca="false">IF(COUNT(K268:T268)=0,"SOURCE EMPTY / INDUSTRIAL ONLY",IF(MIN(K268:T268)=1,"SERVICE READY","HOLD"))</f>
        <v>SOURCE EMPTY / INDUSTRIAL ONLY</v>
      </c>
      <c r="V268" s="9" t="n">
        <f aca="false">IF(U268="SERVICE READY",1,0)</f>
        <v>0</v>
      </c>
      <c r="W268" s="6"/>
      <c r="X268" s="6"/>
      <c r="Y268" s="6"/>
      <c r="Z268" s="6"/>
    </row>
    <row r="269" customFormat="false" ht="15" hidden="false" customHeight="false" outlineLevel="0" collapsed="false">
      <c r="A269" s="9" t="s">
        <v>476</v>
      </c>
      <c r="B269" s="9" t="s">
        <v>388</v>
      </c>
      <c r="C269" s="9" t="s">
        <v>389</v>
      </c>
      <c r="D269" s="9" t="s">
        <v>195</v>
      </c>
      <c r="E269" s="9" t="s">
        <v>196</v>
      </c>
      <c r="F269" s="9" t="s">
        <v>205</v>
      </c>
      <c r="G269" s="9" t="s">
        <v>221</v>
      </c>
      <c r="H269" s="9" t="n">
        <v>900</v>
      </c>
      <c r="I269" s="29" t="n">
        <v>0.9</v>
      </c>
      <c r="J269" s="9" t="n">
        <v>1</v>
      </c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21" t="str">
        <f aca="false">IF(COUNT(K269:T269)=0,"SOURCE EMPTY / INDUSTRIAL ONLY",IF(MIN(K269:T269)=1,"SERVICE READY","HOLD"))</f>
        <v>SOURCE EMPTY / INDUSTRIAL ONLY</v>
      </c>
      <c r="V269" s="9" t="n">
        <f aca="false">IF(U269="SERVICE READY",1,0)</f>
        <v>0</v>
      </c>
      <c r="W269" s="6"/>
      <c r="X269" s="6"/>
      <c r="Y269" s="6"/>
      <c r="Z269" s="6"/>
    </row>
    <row r="270" customFormat="false" ht="15" hidden="false" customHeight="false" outlineLevel="0" collapsed="false">
      <c r="A270" s="9" t="s">
        <v>477</v>
      </c>
      <c r="B270" s="9" t="s">
        <v>388</v>
      </c>
      <c r="C270" s="9" t="s">
        <v>389</v>
      </c>
      <c r="D270" s="9" t="s">
        <v>195</v>
      </c>
      <c r="E270" s="9" t="s">
        <v>196</v>
      </c>
      <c r="F270" s="9" t="s">
        <v>207</v>
      </c>
      <c r="G270" s="9" t="s">
        <v>221</v>
      </c>
      <c r="H270" s="9" t="n">
        <v>900</v>
      </c>
      <c r="I270" s="29" t="n">
        <v>0.9</v>
      </c>
      <c r="J270" s="9" t="n">
        <v>1</v>
      </c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21" t="str">
        <f aca="false">IF(COUNT(K270:T270)=0,"SOURCE EMPTY / INDUSTRIAL ONLY",IF(MIN(K270:T270)=1,"SERVICE READY","HOLD"))</f>
        <v>SOURCE EMPTY / INDUSTRIAL ONLY</v>
      </c>
      <c r="V270" s="9" t="n">
        <f aca="false">IF(U270="SERVICE READY",1,0)</f>
        <v>0</v>
      </c>
      <c r="W270" s="6"/>
      <c r="X270" s="6"/>
      <c r="Y270" s="6"/>
      <c r="Z270" s="6"/>
    </row>
    <row r="271" customFormat="false" ht="15" hidden="false" customHeight="false" outlineLevel="0" collapsed="false">
      <c r="A271" s="9" t="s">
        <v>478</v>
      </c>
      <c r="B271" s="9" t="s">
        <v>388</v>
      </c>
      <c r="C271" s="9" t="s">
        <v>389</v>
      </c>
      <c r="D271" s="9" t="s">
        <v>195</v>
      </c>
      <c r="E271" s="9" t="s">
        <v>196</v>
      </c>
      <c r="F271" s="9" t="s">
        <v>209</v>
      </c>
      <c r="G271" s="9" t="s">
        <v>221</v>
      </c>
      <c r="H271" s="9" t="n">
        <v>900</v>
      </c>
      <c r="I271" s="29" t="n">
        <v>0.9</v>
      </c>
      <c r="J271" s="9" t="n">
        <v>0</v>
      </c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21" t="str">
        <f aca="false">IF(COUNT(K271:T271)=0,"SOURCE EMPTY / INDUSTRIAL ONLY",IF(MIN(K271:T271)=1,"SERVICE READY","HOLD"))</f>
        <v>SOURCE EMPTY / INDUSTRIAL ONLY</v>
      </c>
      <c r="V271" s="9" t="n">
        <f aca="false">IF(U271="SERVICE READY",1,0)</f>
        <v>0</v>
      </c>
      <c r="W271" s="6"/>
      <c r="X271" s="6"/>
      <c r="Y271" s="6"/>
      <c r="Z271" s="6"/>
    </row>
    <row r="272" customFormat="false" ht="15" hidden="false" customHeight="false" outlineLevel="0" collapsed="false">
      <c r="A272" s="9" t="s">
        <v>479</v>
      </c>
      <c r="B272" s="9" t="s">
        <v>388</v>
      </c>
      <c r="C272" s="9" t="s">
        <v>389</v>
      </c>
      <c r="D272" s="9" t="s">
        <v>195</v>
      </c>
      <c r="E272" s="9" t="s">
        <v>196</v>
      </c>
      <c r="F272" s="9" t="s">
        <v>211</v>
      </c>
      <c r="G272" s="9" t="s">
        <v>221</v>
      </c>
      <c r="H272" s="9" t="n">
        <v>900</v>
      </c>
      <c r="I272" s="29" t="n">
        <v>0.9</v>
      </c>
      <c r="J272" s="9" t="n">
        <v>0</v>
      </c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21" t="str">
        <f aca="false">IF(COUNT(K272:T272)=0,"SOURCE EMPTY / INDUSTRIAL ONLY",IF(MIN(K272:T272)=1,"SERVICE READY","HOLD"))</f>
        <v>SOURCE EMPTY / INDUSTRIAL ONLY</v>
      </c>
      <c r="V272" s="9" t="n">
        <f aca="false">IF(U272="SERVICE READY",1,0)</f>
        <v>0</v>
      </c>
      <c r="W272" s="6"/>
      <c r="X272" s="6"/>
      <c r="Y272" s="6"/>
      <c r="Z272" s="6"/>
    </row>
    <row r="273" customFormat="false" ht="15" hidden="false" customHeight="false" outlineLevel="0" collapsed="false">
      <c r="A273" s="9" t="s">
        <v>480</v>
      </c>
      <c r="B273" s="9" t="s">
        <v>388</v>
      </c>
      <c r="C273" s="9" t="s">
        <v>389</v>
      </c>
      <c r="D273" s="9" t="s">
        <v>195</v>
      </c>
      <c r="E273" s="9" t="s">
        <v>196</v>
      </c>
      <c r="F273" s="9" t="s">
        <v>197</v>
      </c>
      <c r="G273" s="9" t="s">
        <v>221</v>
      </c>
      <c r="H273" s="9" t="n">
        <v>900</v>
      </c>
      <c r="I273" s="29" t="n">
        <v>0.9</v>
      </c>
      <c r="J273" s="9" t="n">
        <v>0</v>
      </c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21" t="str">
        <f aca="false">IF(COUNT(K273:T273)=0,"SOURCE EMPTY / INDUSTRIAL ONLY",IF(MIN(K273:T273)=1,"SERVICE READY","HOLD"))</f>
        <v>SOURCE EMPTY / INDUSTRIAL ONLY</v>
      </c>
      <c r="V273" s="9" t="n">
        <f aca="false">IF(U273="SERVICE READY",1,0)</f>
        <v>0</v>
      </c>
      <c r="W273" s="6"/>
      <c r="X273" s="6"/>
      <c r="Y273" s="6"/>
      <c r="Z273" s="6"/>
    </row>
    <row r="274" customFormat="false" ht="15" hidden="false" customHeight="false" outlineLevel="0" collapsed="false">
      <c r="A274" s="9" t="s">
        <v>481</v>
      </c>
      <c r="B274" s="9" t="s">
        <v>388</v>
      </c>
      <c r="C274" s="9" t="s">
        <v>389</v>
      </c>
      <c r="D274" s="9" t="s">
        <v>195</v>
      </c>
      <c r="E274" s="9" t="s">
        <v>196</v>
      </c>
      <c r="F274" s="9" t="s">
        <v>200</v>
      </c>
      <c r="G274" s="9" t="s">
        <v>221</v>
      </c>
      <c r="H274" s="9" t="n">
        <v>900</v>
      </c>
      <c r="I274" s="29" t="n">
        <v>0.9</v>
      </c>
      <c r="J274" s="9" t="n">
        <v>0</v>
      </c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21" t="str">
        <f aca="false">IF(COUNT(K274:T274)=0,"SOURCE EMPTY / INDUSTRIAL ONLY",IF(MIN(K274:T274)=1,"SERVICE READY","HOLD"))</f>
        <v>SOURCE EMPTY / INDUSTRIAL ONLY</v>
      </c>
      <c r="V274" s="9" t="n">
        <f aca="false">IF(U274="SERVICE READY",1,0)</f>
        <v>0</v>
      </c>
      <c r="W274" s="6"/>
      <c r="X274" s="6"/>
      <c r="Y274" s="6"/>
      <c r="Z274" s="6"/>
    </row>
    <row r="275" customFormat="false" ht="15" hidden="false" customHeight="false" outlineLevel="0" collapsed="false">
      <c r="A275" s="9" t="s">
        <v>482</v>
      </c>
      <c r="B275" s="9" t="s">
        <v>388</v>
      </c>
      <c r="C275" s="9" t="s">
        <v>389</v>
      </c>
      <c r="D275" s="9" t="s">
        <v>195</v>
      </c>
      <c r="E275" s="9" t="s">
        <v>196</v>
      </c>
      <c r="F275" s="9" t="s">
        <v>203</v>
      </c>
      <c r="G275" s="9" t="s">
        <v>221</v>
      </c>
      <c r="H275" s="9" t="n">
        <v>900</v>
      </c>
      <c r="I275" s="29" t="n">
        <v>0.9</v>
      </c>
      <c r="J275" s="9" t="n">
        <v>0</v>
      </c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21" t="str">
        <f aca="false">IF(COUNT(K275:T275)=0,"SOURCE EMPTY / INDUSTRIAL ONLY",IF(MIN(K275:T275)=1,"SERVICE READY","HOLD"))</f>
        <v>SOURCE EMPTY / INDUSTRIAL ONLY</v>
      </c>
      <c r="V275" s="9" t="n">
        <f aca="false">IF(U275="SERVICE READY",1,0)</f>
        <v>0</v>
      </c>
      <c r="W275" s="6"/>
      <c r="X275" s="6"/>
      <c r="Y275" s="6"/>
      <c r="Z275" s="6"/>
    </row>
    <row r="276" customFormat="false" ht="15" hidden="false" customHeight="false" outlineLevel="0" collapsed="false">
      <c r="A276" s="9" t="s">
        <v>483</v>
      </c>
      <c r="B276" s="9" t="s">
        <v>388</v>
      </c>
      <c r="C276" s="9" t="s">
        <v>389</v>
      </c>
      <c r="D276" s="9" t="s">
        <v>195</v>
      </c>
      <c r="E276" s="9" t="s">
        <v>196</v>
      </c>
      <c r="F276" s="9" t="s">
        <v>205</v>
      </c>
      <c r="G276" s="9" t="s">
        <v>221</v>
      </c>
      <c r="H276" s="9" t="n">
        <v>900</v>
      </c>
      <c r="I276" s="29" t="n">
        <v>0.9</v>
      </c>
      <c r="J276" s="9" t="n">
        <v>0</v>
      </c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21" t="str">
        <f aca="false">IF(COUNT(K276:T276)=0,"SOURCE EMPTY / INDUSTRIAL ONLY",IF(MIN(K276:T276)=1,"SERVICE READY","HOLD"))</f>
        <v>SOURCE EMPTY / INDUSTRIAL ONLY</v>
      </c>
      <c r="V276" s="9" t="n">
        <f aca="false">IF(U276="SERVICE READY",1,0)</f>
        <v>0</v>
      </c>
      <c r="W276" s="6"/>
      <c r="X276" s="6"/>
      <c r="Y276" s="6"/>
      <c r="Z276" s="6"/>
    </row>
    <row r="277" customFormat="false" ht="15" hidden="false" customHeight="false" outlineLevel="0" collapsed="false">
      <c r="A277" s="9" t="s">
        <v>484</v>
      </c>
      <c r="B277" s="9" t="s">
        <v>388</v>
      </c>
      <c r="C277" s="9" t="s">
        <v>389</v>
      </c>
      <c r="D277" s="9" t="s">
        <v>195</v>
      </c>
      <c r="E277" s="9" t="s">
        <v>196</v>
      </c>
      <c r="F277" s="9" t="s">
        <v>207</v>
      </c>
      <c r="G277" s="9" t="s">
        <v>221</v>
      </c>
      <c r="H277" s="9" t="n">
        <v>900</v>
      </c>
      <c r="I277" s="29" t="n">
        <v>0.9</v>
      </c>
      <c r="J277" s="9" t="n">
        <v>0</v>
      </c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21" t="str">
        <f aca="false">IF(COUNT(K277:T277)=0,"SOURCE EMPTY / INDUSTRIAL ONLY",IF(MIN(K277:T277)=1,"SERVICE READY","HOLD"))</f>
        <v>SOURCE EMPTY / INDUSTRIAL ONLY</v>
      </c>
      <c r="V277" s="9" t="n">
        <f aca="false">IF(U277="SERVICE READY",1,0)</f>
        <v>0</v>
      </c>
      <c r="W277" s="6"/>
      <c r="X277" s="6"/>
      <c r="Y277" s="6"/>
      <c r="Z277" s="6"/>
    </row>
    <row r="278" customFormat="false" ht="15" hidden="false" customHeight="false" outlineLevel="0" collapsed="false">
      <c r="A278" s="9" t="s">
        <v>485</v>
      </c>
      <c r="B278" s="9" t="s">
        <v>388</v>
      </c>
      <c r="C278" s="9" t="s">
        <v>389</v>
      </c>
      <c r="D278" s="9" t="s">
        <v>195</v>
      </c>
      <c r="E278" s="9" t="s">
        <v>196</v>
      </c>
      <c r="F278" s="9" t="s">
        <v>209</v>
      </c>
      <c r="G278" s="9" t="s">
        <v>221</v>
      </c>
      <c r="H278" s="9" t="n">
        <v>900</v>
      </c>
      <c r="I278" s="29" t="n">
        <v>0.9</v>
      </c>
      <c r="J278" s="9" t="n">
        <v>0</v>
      </c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21" t="str">
        <f aca="false">IF(COUNT(K278:T278)=0,"SOURCE EMPTY / INDUSTRIAL ONLY",IF(MIN(K278:T278)=1,"SERVICE READY","HOLD"))</f>
        <v>SOURCE EMPTY / INDUSTRIAL ONLY</v>
      </c>
      <c r="V278" s="9" t="n">
        <f aca="false">IF(U278="SERVICE READY",1,0)</f>
        <v>0</v>
      </c>
      <c r="W278" s="6"/>
      <c r="X278" s="6"/>
      <c r="Y278" s="6"/>
      <c r="Z278" s="6"/>
    </row>
    <row r="279" customFormat="false" ht="15" hidden="false" customHeight="false" outlineLevel="0" collapsed="false">
      <c r="A279" s="9" t="s">
        <v>486</v>
      </c>
      <c r="B279" s="9" t="s">
        <v>388</v>
      </c>
      <c r="C279" s="9" t="s">
        <v>389</v>
      </c>
      <c r="D279" s="9" t="s">
        <v>195</v>
      </c>
      <c r="E279" s="9" t="s">
        <v>196</v>
      </c>
      <c r="F279" s="9" t="s">
        <v>211</v>
      </c>
      <c r="G279" s="9" t="s">
        <v>221</v>
      </c>
      <c r="H279" s="9" t="n">
        <v>900</v>
      </c>
      <c r="I279" s="29" t="n">
        <v>0.9</v>
      </c>
      <c r="J279" s="9" t="n">
        <v>0</v>
      </c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21" t="str">
        <f aca="false">IF(COUNT(K279:T279)=0,"SOURCE EMPTY / INDUSTRIAL ONLY",IF(MIN(K279:T279)=1,"SERVICE READY","HOLD"))</f>
        <v>SOURCE EMPTY / INDUSTRIAL ONLY</v>
      </c>
      <c r="V279" s="9" t="n">
        <f aca="false">IF(U279="SERVICE READY",1,0)</f>
        <v>0</v>
      </c>
      <c r="W279" s="6"/>
      <c r="X279" s="6"/>
      <c r="Y279" s="6"/>
      <c r="Z279" s="6"/>
    </row>
    <row r="280" customFormat="false" ht="15" hidden="false" customHeight="false" outlineLevel="0" collapsed="false">
      <c r="A280" s="9" t="s">
        <v>487</v>
      </c>
      <c r="B280" s="9" t="s">
        <v>388</v>
      </c>
      <c r="C280" s="9" t="s">
        <v>389</v>
      </c>
      <c r="D280" s="9" t="s">
        <v>195</v>
      </c>
      <c r="E280" s="9" t="s">
        <v>196</v>
      </c>
      <c r="F280" s="9" t="s">
        <v>197</v>
      </c>
      <c r="G280" s="9" t="s">
        <v>221</v>
      </c>
      <c r="H280" s="9" t="n">
        <v>900</v>
      </c>
      <c r="I280" s="29" t="n">
        <v>0.9</v>
      </c>
      <c r="J280" s="9" t="n">
        <v>0</v>
      </c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21" t="str">
        <f aca="false">IF(COUNT(K280:T280)=0,"SOURCE EMPTY / INDUSTRIAL ONLY",IF(MIN(K280:T280)=1,"SERVICE READY","HOLD"))</f>
        <v>SOURCE EMPTY / INDUSTRIAL ONLY</v>
      </c>
      <c r="V280" s="9" t="n">
        <f aca="false">IF(U280="SERVICE READY",1,0)</f>
        <v>0</v>
      </c>
      <c r="W280" s="6"/>
      <c r="X280" s="6"/>
      <c r="Y280" s="6"/>
      <c r="Z280" s="6"/>
    </row>
    <row r="281" customFormat="false" ht="15" hidden="false" customHeight="false" outlineLevel="0" collapsed="false">
      <c r="A281" s="9" t="s">
        <v>488</v>
      </c>
      <c r="B281" s="9" t="s">
        <v>388</v>
      </c>
      <c r="C281" s="9" t="s">
        <v>389</v>
      </c>
      <c r="D281" s="9" t="s">
        <v>195</v>
      </c>
      <c r="E281" s="9" t="s">
        <v>196</v>
      </c>
      <c r="F281" s="9" t="s">
        <v>200</v>
      </c>
      <c r="G281" s="9" t="s">
        <v>221</v>
      </c>
      <c r="H281" s="9" t="n">
        <v>900</v>
      </c>
      <c r="I281" s="29" t="n">
        <v>0.9</v>
      </c>
      <c r="J281" s="9" t="n">
        <v>0</v>
      </c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21" t="str">
        <f aca="false">IF(COUNT(K281:T281)=0,"SOURCE EMPTY / INDUSTRIAL ONLY",IF(MIN(K281:T281)=1,"SERVICE READY","HOLD"))</f>
        <v>SOURCE EMPTY / INDUSTRIAL ONLY</v>
      </c>
      <c r="V281" s="9" t="n">
        <f aca="false">IF(U281="SERVICE READY",1,0)</f>
        <v>0</v>
      </c>
      <c r="W281" s="6"/>
      <c r="X281" s="6"/>
      <c r="Y281" s="6"/>
      <c r="Z281" s="6"/>
    </row>
    <row r="282" customFormat="false" ht="15" hidden="false" customHeight="false" outlineLevel="0" collapsed="false">
      <c r="A282" s="9" t="s">
        <v>489</v>
      </c>
      <c r="B282" s="9" t="s">
        <v>388</v>
      </c>
      <c r="C282" s="9" t="s">
        <v>389</v>
      </c>
      <c r="D282" s="9" t="s">
        <v>195</v>
      </c>
      <c r="E282" s="9" t="s">
        <v>196</v>
      </c>
      <c r="F282" s="9" t="s">
        <v>203</v>
      </c>
      <c r="G282" s="9" t="s">
        <v>221</v>
      </c>
      <c r="H282" s="9" t="n">
        <v>900</v>
      </c>
      <c r="I282" s="29" t="n">
        <v>0.9</v>
      </c>
      <c r="J282" s="9" t="n">
        <v>0</v>
      </c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21" t="str">
        <f aca="false">IF(COUNT(K282:T282)=0,"SOURCE EMPTY / INDUSTRIAL ONLY",IF(MIN(K282:T282)=1,"SERVICE READY","HOLD"))</f>
        <v>SOURCE EMPTY / INDUSTRIAL ONLY</v>
      </c>
      <c r="V282" s="9" t="n">
        <f aca="false">IF(U282="SERVICE READY",1,0)</f>
        <v>0</v>
      </c>
      <c r="W282" s="6"/>
      <c r="X282" s="6"/>
      <c r="Y282" s="6"/>
      <c r="Z282" s="6"/>
    </row>
    <row r="283" customFormat="false" ht="15" hidden="false" customHeight="false" outlineLevel="0" collapsed="false">
      <c r="A283" s="9" t="s">
        <v>490</v>
      </c>
      <c r="B283" s="9" t="s">
        <v>388</v>
      </c>
      <c r="C283" s="9" t="s">
        <v>389</v>
      </c>
      <c r="D283" s="9" t="s">
        <v>195</v>
      </c>
      <c r="E283" s="9" t="s">
        <v>196</v>
      </c>
      <c r="F283" s="9" t="s">
        <v>205</v>
      </c>
      <c r="G283" s="9" t="s">
        <v>221</v>
      </c>
      <c r="H283" s="9" t="n">
        <v>900</v>
      </c>
      <c r="I283" s="29" t="n">
        <v>0.9</v>
      </c>
      <c r="J283" s="9" t="n">
        <v>0</v>
      </c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21" t="str">
        <f aca="false">IF(COUNT(K283:T283)=0,"SOURCE EMPTY / INDUSTRIAL ONLY",IF(MIN(K283:T283)=1,"SERVICE READY","HOLD"))</f>
        <v>SOURCE EMPTY / INDUSTRIAL ONLY</v>
      </c>
      <c r="V283" s="9" t="n">
        <f aca="false">IF(U283="SERVICE READY",1,0)</f>
        <v>0</v>
      </c>
      <c r="W283" s="6"/>
      <c r="X283" s="6"/>
      <c r="Y283" s="6"/>
      <c r="Z283" s="6"/>
    </row>
    <row r="284" customFormat="false" ht="15" hidden="false" customHeight="false" outlineLevel="0" collapsed="false">
      <c r="A284" s="9" t="s">
        <v>491</v>
      </c>
      <c r="B284" s="9" t="s">
        <v>388</v>
      </c>
      <c r="C284" s="9" t="s">
        <v>389</v>
      </c>
      <c r="D284" s="9" t="s">
        <v>195</v>
      </c>
      <c r="E284" s="9" t="s">
        <v>196</v>
      </c>
      <c r="F284" s="9" t="s">
        <v>207</v>
      </c>
      <c r="G284" s="9" t="s">
        <v>221</v>
      </c>
      <c r="H284" s="9" t="n">
        <v>900</v>
      </c>
      <c r="I284" s="29" t="n">
        <v>0.9</v>
      </c>
      <c r="J284" s="9" t="n">
        <v>0</v>
      </c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21" t="str">
        <f aca="false">IF(COUNT(K284:T284)=0,"SOURCE EMPTY / INDUSTRIAL ONLY",IF(MIN(K284:T284)=1,"SERVICE READY","HOLD"))</f>
        <v>SOURCE EMPTY / INDUSTRIAL ONLY</v>
      </c>
      <c r="V284" s="9" t="n">
        <f aca="false">IF(U284="SERVICE READY",1,0)</f>
        <v>0</v>
      </c>
      <c r="W284" s="6"/>
      <c r="X284" s="6"/>
      <c r="Y284" s="6"/>
      <c r="Z284" s="6"/>
    </row>
    <row r="285" customFormat="false" ht="15" hidden="false" customHeight="false" outlineLevel="0" collapsed="false">
      <c r="A285" s="9" t="s">
        <v>492</v>
      </c>
      <c r="B285" s="9" t="s">
        <v>388</v>
      </c>
      <c r="C285" s="9" t="s">
        <v>389</v>
      </c>
      <c r="D285" s="9" t="s">
        <v>195</v>
      </c>
      <c r="E285" s="9" t="s">
        <v>196</v>
      </c>
      <c r="F285" s="9" t="s">
        <v>209</v>
      </c>
      <c r="G285" s="9" t="s">
        <v>221</v>
      </c>
      <c r="H285" s="9" t="n">
        <v>900</v>
      </c>
      <c r="I285" s="29" t="n">
        <v>0.9</v>
      </c>
      <c r="J285" s="9" t="n">
        <v>0</v>
      </c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21" t="str">
        <f aca="false">IF(COUNT(K285:T285)=0,"SOURCE EMPTY / INDUSTRIAL ONLY",IF(MIN(K285:T285)=1,"SERVICE READY","HOLD"))</f>
        <v>SOURCE EMPTY / INDUSTRIAL ONLY</v>
      </c>
      <c r="V285" s="9" t="n">
        <f aca="false">IF(U285="SERVICE READY",1,0)</f>
        <v>0</v>
      </c>
      <c r="W285" s="6"/>
      <c r="X285" s="6"/>
      <c r="Y285" s="6"/>
      <c r="Z285" s="6"/>
    </row>
    <row r="286" customFormat="false" ht="15" hidden="false" customHeight="false" outlineLevel="0" collapsed="false">
      <c r="A286" s="9" t="s">
        <v>493</v>
      </c>
      <c r="B286" s="9" t="s">
        <v>388</v>
      </c>
      <c r="C286" s="9" t="s">
        <v>389</v>
      </c>
      <c r="D286" s="9" t="s">
        <v>195</v>
      </c>
      <c r="E286" s="9" t="s">
        <v>196</v>
      </c>
      <c r="F286" s="9" t="s">
        <v>211</v>
      </c>
      <c r="G286" s="9" t="s">
        <v>221</v>
      </c>
      <c r="H286" s="9" t="n">
        <v>900</v>
      </c>
      <c r="I286" s="29" t="n">
        <v>0.9</v>
      </c>
      <c r="J286" s="9" t="n">
        <v>0</v>
      </c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21" t="str">
        <f aca="false">IF(COUNT(K286:T286)=0,"SOURCE EMPTY / INDUSTRIAL ONLY",IF(MIN(K286:T286)=1,"SERVICE READY","HOLD"))</f>
        <v>SOURCE EMPTY / INDUSTRIAL ONLY</v>
      </c>
      <c r="V286" s="9" t="n">
        <f aca="false">IF(U286="SERVICE READY",1,0)</f>
        <v>0</v>
      </c>
      <c r="W286" s="6"/>
      <c r="X286" s="6"/>
      <c r="Y286" s="6"/>
      <c r="Z286" s="6"/>
    </row>
    <row r="287" customFormat="false" ht="15" hidden="false" customHeight="false" outlineLevel="0" collapsed="false">
      <c r="A287" s="9" t="s">
        <v>494</v>
      </c>
      <c r="B287" s="9" t="s">
        <v>388</v>
      </c>
      <c r="C287" s="9" t="s">
        <v>389</v>
      </c>
      <c r="D287" s="9" t="s">
        <v>195</v>
      </c>
      <c r="E287" s="9" t="s">
        <v>196</v>
      </c>
      <c r="F287" s="9" t="s">
        <v>197</v>
      </c>
      <c r="G287" s="9" t="s">
        <v>221</v>
      </c>
      <c r="H287" s="9" t="n">
        <v>900</v>
      </c>
      <c r="I287" s="29" t="n">
        <v>0.9</v>
      </c>
      <c r="J287" s="9" t="n">
        <v>0</v>
      </c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21" t="str">
        <f aca="false">IF(COUNT(K287:T287)=0,"SOURCE EMPTY / INDUSTRIAL ONLY",IF(MIN(K287:T287)=1,"SERVICE READY","HOLD"))</f>
        <v>SOURCE EMPTY / INDUSTRIAL ONLY</v>
      </c>
      <c r="V287" s="9" t="n">
        <f aca="false">IF(U287="SERVICE READY",1,0)</f>
        <v>0</v>
      </c>
      <c r="W287" s="6"/>
      <c r="X287" s="6"/>
      <c r="Y287" s="6"/>
      <c r="Z287" s="6"/>
    </row>
    <row r="288" customFormat="false" ht="15" hidden="false" customHeight="false" outlineLevel="0" collapsed="false">
      <c r="A288" s="9" t="s">
        <v>495</v>
      </c>
      <c r="B288" s="9" t="s">
        <v>388</v>
      </c>
      <c r="C288" s="9" t="s">
        <v>389</v>
      </c>
      <c r="D288" s="9" t="s">
        <v>195</v>
      </c>
      <c r="E288" s="9" t="s">
        <v>196</v>
      </c>
      <c r="F288" s="9" t="s">
        <v>200</v>
      </c>
      <c r="G288" s="9" t="s">
        <v>221</v>
      </c>
      <c r="H288" s="9" t="n">
        <v>900</v>
      </c>
      <c r="I288" s="29" t="n">
        <v>0.9</v>
      </c>
      <c r="J288" s="9" t="n">
        <v>0</v>
      </c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21" t="str">
        <f aca="false">IF(COUNT(K288:T288)=0,"SOURCE EMPTY / INDUSTRIAL ONLY",IF(MIN(K288:T288)=1,"SERVICE READY","HOLD"))</f>
        <v>SOURCE EMPTY / INDUSTRIAL ONLY</v>
      </c>
      <c r="V288" s="9" t="n">
        <f aca="false">IF(U288="SERVICE READY",1,0)</f>
        <v>0</v>
      </c>
      <c r="W288" s="6"/>
      <c r="X288" s="6"/>
      <c r="Y288" s="6"/>
      <c r="Z288" s="6"/>
    </row>
    <row r="289" customFormat="false" ht="15" hidden="false" customHeight="false" outlineLevel="0" collapsed="false">
      <c r="A289" s="9" t="s">
        <v>496</v>
      </c>
      <c r="B289" s="9" t="s">
        <v>388</v>
      </c>
      <c r="C289" s="9" t="s">
        <v>389</v>
      </c>
      <c r="D289" s="9" t="s">
        <v>195</v>
      </c>
      <c r="E289" s="9" t="s">
        <v>196</v>
      </c>
      <c r="F289" s="9" t="s">
        <v>203</v>
      </c>
      <c r="G289" s="9" t="s">
        <v>221</v>
      </c>
      <c r="H289" s="9" t="n">
        <v>900</v>
      </c>
      <c r="I289" s="29" t="n">
        <v>0.9</v>
      </c>
      <c r="J289" s="9" t="n">
        <v>0</v>
      </c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21" t="str">
        <f aca="false">IF(COUNT(K289:T289)=0,"SOURCE EMPTY / INDUSTRIAL ONLY",IF(MIN(K289:T289)=1,"SERVICE READY","HOLD"))</f>
        <v>SOURCE EMPTY / INDUSTRIAL ONLY</v>
      </c>
      <c r="V289" s="9" t="n">
        <f aca="false">IF(U289="SERVICE READY",1,0)</f>
        <v>0</v>
      </c>
      <c r="W289" s="6"/>
      <c r="X289" s="6"/>
      <c r="Y289" s="6"/>
      <c r="Z289" s="6"/>
    </row>
    <row r="290" customFormat="false" ht="15" hidden="false" customHeight="false" outlineLevel="0" collapsed="false">
      <c r="A290" s="9" t="s">
        <v>497</v>
      </c>
      <c r="B290" s="9" t="s">
        <v>388</v>
      </c>
      <c r="C290" s="9" t="s">
        <v>389</v>
      </c>
      <c r="D290" s="9" t="s">
        <v>195</v>
      </c>
      <c r="E290" s="9" t="s">
        <v>196</v>
      </c>
      <c r="F290" s="9" t="s">
        <v>205</v>
      </c>
      <c r="G290" s="9" t="s">
        <v>221</v>
      </c>
      <c r="H290" s="9" t="n">
        <v>900</v>
      </c>
      <c r="I290" s="29" t="n">
        <v>0.9</v>
      </c>
      <c r="J290" s="9" t="n">
        <v>0</v>
      </c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21" t="str">
        <f aca="false">IF(COUNT(K290:T290)=0,"SOURCE EMPTY / INDUSTRIAL ONLY",IF(MIN(K290:T290)=1,"SERVICE READY","HOLD"))</f>
        <v>SOURCE EMPTY / INDUSTRIAL ONLY</v>
      </c>
      <c r="V290" s="9" t="n">
        <f aca="false">IF(U290="SERVICE READY",1,0)</f>
        <v>0</v>
      </c>
      <c r="W290" s="6"/>
      <c r="X290" s="6"/>
      <c r="Y290" s="6"/>
      <c r="Z290" s="6"/>
    </row>
    <row r="291" customFormat="false" ht="15" hidden="false" customHeight="false" outlineLevel="0" collapsed="false">
      <c r="A291" s="9" t="s">
        <v>498</v>
      </c>
      <c r="B291" s="9" t="s">
        <v>388</v>
      </c>
      <c r="C291" s="9" t="s">
        <v>389</v>
      </c>
      <c r="D291" s="9" t="s">
        <v>195</v>
      </c>
      <c r="E291" s="9" t="s">
        <v>196</v>
      </c>
      <c r="F291" s="9" t="s">
        <v>207</v>
      </c>
      <c r="G291" s="9" t="s">
        <v>221</v>
      </c>
      <c r="H291" s="9" t="n">
        <v>900</v>
      </c>
      <c r="I291" s="29" t="n">
        <v>0.9</v>
      </c>
      <c r="J291" s="9" t="n">
        <v>0</v>
      </c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21" t="str">
        <f aca="false">IF(COUNT(K291:T291)=0,"SOURCE EMPTY / INDUSTRIAL ONLY",IF(MIN(K291:T291)=1,"SERVICE READY","HOLD"))</f>
        <v>SOURCE EMPTY / INDUSTRIAL ONLY</v>
      </c>
      <c r="V291" s="9" t="n">
        <f aca="false">IF(U291="SERVICE READY",1,0)</f>
        <v>0</v>
      </c>
      <c r="W291" s="6"/>
      <c r="X291" s="6"/>
      <c r="Y291" s="6"/>
      <c r="Z291" s="6"/>
    </row>
    <row r="292" customFormat="false" ht="15" hidden="false" customHeight="false" outlineLevel="0" collapsed="false">
      <c r="A292" s="9" t="s">
        <v>499</v>
      </c>
      <c r="B292" s="9" t="s">
        <v>388</v>
      </c>
      <c r="C292" s="9" t="s">
        <v>389</v>
      </c>
      <c r="D292" s="9" t="s">
        <v>195</v>
      </c>
      <c r="E292" s="9" t="s">
        <v>196</v>
      </c>
      <c r="F292" s="9" t="s">
        <v>209</v>
      </c>
      <c r="G292" s="9" t="s">
        <v>221</v>
      </c>
      <c r="H292" s="9" t="n">
        <v>900</v>
      </c>
      <c r="I292" s="29" t="n">
        <v>0.9</v>
      </c>
      <c r="J292" s="9" t="n">
        <v>0</v>
      </c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21" t="str">
        <f aca="false">IF(COUNT(K292:T292)=0,"SOURCE EMPTY / INDUSTRIAL ONLY",IF(MIN(K292:T292)=1,"SERVICE READY","HOLD"))</f>
        <v>SOURCE EMPTY / INDUSTRIAL ONLY</v>
      </c>
      <c r="V292" s="9" t="n">
        <f aca="false">IF(U292="SERVICE READY",1,0)</f>
        <v>0</v>
      </c>
      <c r="W292" s="6"/>
      <c r="X292" s="6"/>
      <c r="Y292" s="6"/>
      <c r="Z292" s="6"/>
    </row>
    <row r="293" customFormat="false" ht="15" hidden="false" customHeight="false" outlineLevel="0" collapsed="false">
      <c r="A293" s="9" t="s">
        <v>500</v>
      </c>
      <c r="B293" s="9" t="s">
        <v>388</v>
      </c>
      <c r="C293" s="9" t="s">
        <v>389</v>
      </c>
      <c r="D293" s="9" t="s">
        <v>195</v>
      </c>
      <c r="E293" s="9" t="s">
        <v>196</v>
      </c>
      <c r="F293" s="9" t="s">
        <v>211</v>
      </c>
      <c r="G293" s="9" t="s">
        <v>221</v>
      </c>
      <c r="H293" s="9" t="n">
        <v>900</v>
      </c>
      <c r="I293" s="29" t="n">
        <v>0.9</v>
      </c>
      <c r="J293" s="9" t="n">
        <v>0</v>
      </c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21" t="str">
        <f aca="false">IF(COUNT(K293:T293)=0,"SOURCE EMPTY / INDUSTRIAL ONLY",IF(MIN(K293:T293)=1,"SERVICE READY","HOLD"))</f>
        <v>SOURCE EMPTY / INDUSTRIAL ONLY</v>
      </c>
      <c r="V293" s="9" t="n">
        <f aca="false">IF(U293="SERVICE READY",1,0)</f>
        <v>0</v>
      </c>
      <c r="W293" s="6"/>
      <c r="X293" s="6"/>
      <c r="Y293" s="6"/>
      <c r="Z293" s="6"/>
    </row>
    <row r="294" customFormat="false" ht="15" hidden="false" customHeight="false" outlineLevel="0" collapsed="false">
      <c r="A294" s="9" t="s">
        <v>501</v>
      </c>
      <c r="B294" s="9" t="s">
        <v>388</v>
      </c>
      <c r="C294" s="9" t="s">
        <v>389</v>
      </c>
      <c r="D294" s="9" t="s">
        <v>195</v>
      </c>
      <c r="E294" s="9" t="s">
        <v>196</v>
      </c>
      <c r="F294" s="9" t="s">
        <v>197</v>
      </c>
      <c r="G294" s="9" t="s">
        <v>221</v>
      </c>
      <c r="H294" s="9" t="n">
        <v>900</v>
      </c>
      <c r="I294" s="29" t="n">
        <v>0.9</v>
      </c>
      <c r="J294" s="9" t="n">
        <v>0</v>
      </c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21" t="str">
        <f aca="false">IF(COUNT(K294:T294)=0,"SOURCE EMPTY / INDUSTRIAL ONLY",IF(MIN(K294:T294)=1,"SERVICE READY","HOLD"))</f>
        <v>SOURCE EMPTY / INDUSTRIAL ONLY</v>
      </c>
      <c r="V294" s="9" t="n">
        <f aca="false">IF(U294="SERVICE READY",1,0)</f>
        <v>0</v>
      </c>
      <c r="W294" s="6"/>
      <c r="X294" s="6"/>
      <c r="Y294" s="6"/>
      <c r="Z294" s="6"/>
    </row>
    <row r="295" customFormat="false" ht="15" hidden="false" customHeight="false" outlineLevel="0" collapsed="false">
      <c r="A295" s="9" t="s">
        <v>502</v>
      </c>
      <c r="B295" s="9" t="s">
        <v>388</v>
      </c>
      <c r="C295" s="9" t="s">
        <v>389</v>
      </c>
      <c r="D295" s="9" t="s">
        <v>195</v>
      </c>
      <c r="E295" s="9" t="s">
        <v>196</v>
      </c>
      <c r="F295" s="9" t="s">
        <v>200</v>
      </c>
      <c r="G295" s="9" t="s">
        <v>221</v>
      </c>
      <c r="H295" s="9" t="n">
        <v>900</v>
      </c>
      <c r="I295" s="29" t="n">
        <v>0.9</v>
      </c>
      <c r="J295" s="9" t="n">
        <v>0</v>
      </c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21" t="str">
        <f aca="false">IF(COUNT(K295:T295)=0,"SOURCE EMPTY / INDUSTRIAL ONLY",IF(MIN(K295:T295)=1,"SERVICE READY","HOLD"))</f>
        <v>SOURCE EMPTY / INDUSTRIAL ONLY</v>
      </c>
      <c r="V295" s="9" t="n">
        <f aca="false">IF(U295="SERVICE READY",1,0)</f>
        <v>0</v>
      </c>
      <c r="W295" s="6"/>
      <c r="X295" s="6"/>
      <c r="Y295" s="6"/>
      <c r="Z295" s="6"/>
    </row>
    <row r="296" customFormat="false" ht="15" hidden="false" customHeight="false" outlineLevel="0" collapsed="false">
      <c r="A296" s="9" t="s">
        <v>503</v>
      </c>
      <c r="B296" s="9" t="s">
        <v>504</v>
      </c>
      <c r="C296" s="9" t="s">
        <v>505</v>
      </c>
      <c r="D296" s="9" t="s">
        <v>195</v>
      </c>
      <c r="E296" s="9" t="s">
        <v>323</v>
      </c>
      <c r="F296" s="9" t="s">
        <v>197</v>
      </c>
      <c r="G296" s="9" t="s">
        <v>198</v>
      </c>
      <c r="H296" s="9" t="n">
        <v>1000</v>
      </c>
      <c r="I296" s="29" t="n">
        <v>0.8</v>
      </c>
      <c r="J296" s="9" t="n">
        <v>1</v>
      </c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21" t="str">
        <f aca="false">IF(COUNT(K296:T296)=0,"SOURCE EMPTY / INDUSTRIAL ONLY",IF(MIN(K296:T296)=1,"SERVICE READY","HOLD"))</f>
        <v>SOURCE EMPTY / INDUSTRIAL ONLY</v>
      </c>
      <c r="V296" s="9" t="n">
        <f aca="false">IF(U296="SERVICE READY",1,0)</f>
        <v>0</v>
      </c>
      <c r="W296" s="6"/>
      <c r="X296" s="6"/>
      <c r="Y296" s="6"/>
      <c r="Z296" s="6"/>
    </row>
    <row r="297" customFormat="false" ht="15" hidden="false" customHeight="false" outlineLevel="0" collapsed="false">
      <c r="A297" s="9" t="s">
        <v>506</v>
      </c>
      <c r="B297" s="9" t="s">
        <v>504</v>
      </c>
      <c r="C297" s="9" t="s">
        <v>505</v>
      </c>
      <c r="D297" s="9" t="s">
        <v>195</v>
      </c>
      <c r="E297" s="9" t="s">
        <v>323</v>
      </c>
      <c r="F297" s="9" t="s">
        <v>200</v>
      </c>
      <c r="G297" s="9" t="s">
        <v>201</v>
      </c>
      <c r="H297" s="9" t="n">
        <v>1000</v>
      </c>
      <c r="I297" s="29" t="n">
        <v>0.8</v>
      </c>
      <c r="J297" s="9" t="n">
        <v>1</v>
      </c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21" t="str">
        <f aca="false">IF(COUNT(K297:T297)=0,"SOURCE EMPTY / INDUSTRIAL ONLY",IF(MIN(K297:T297)=1,"SERVICE READY","HOLD"))</f>
        <v>SOURCE EMPTY / INDUSTRIAL ONLY</v>
      </c>
      <c r="V297" s="9" t="n">
        <f aca="false">IF(U297="SERVICE READY",1,0)</f>
        <v>0</v>
      </c>
      <c r="W297" s="6"/>
      <c r="X297" s="6"/>
      <c r="Y297" s="6"/>
      <c r="Z297" s="6"/>
    </row>
    <row r="298" customFormat="false" ht="15" hidden="false" customHeight="false" outlineLevel="0" collapsed="false">
      <c r="A298" s="9" t="s">
        <v>507</v>
      </c>
      <c r="B298" s="9" t="s">
        <v>504</v>
      </c>
      <c r="C298" s="9" t="s">
        <v>505</v>
      </c>
      <c r="D298" s="9" t="s">
        <v>195</v>
      </c>
      <c r="E298" s="9" t="s">
        <v>323</v>
      </c>
      <c r="F298" s="9" t="s">
        <v>203</v>
      </c>
      <c r="G298" s="9" t="s">
        <v>198</v>
      </c>
      <c r="H298" s="9" t="n">
        <v>1000</v>
      </c>
      <c r="I298" s="29" t="n">
        <v>0.8</v>
      </c>
      <c r="J298" s="9" t="n">
        <v>1</v>
      </c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21" t="str">
        <f aca="false">IF(COUNT(K298:T298)=0,"SOURCE EMPTY / INDUSTRIAL ONLY",IF(MIN(K298:T298)=1,"SERVICE READY","HOLD"))</f>
        <v>SOURCE EMPTY / INDUSTRIAL ONLY</v>
      </c>
      <c r="V298" s="9" t="n">
        <f aca="false">IF(U298="SERVICE READY",1,0)</f>
        <v>0</v>
      </c>
      <c r="W298" s="6"/>
      <c r="X298" s="6"/>
      <c r="Y298" s="6"/>
      <c r="Z298" s="6"/>
    </row>
    <row r="299" customFormat="false" ht="15" hidden="false" customHeight="false" outlineLevel="0" collapsed="false">
      <c r="A299" s="9" t="s">
        <v>508</v>
      </c>
      <c r="B299" s="9" t="s">
        <v>504</v>
      </c>
      <c r="C299" s="9" t="s">
        <v>505</v>
      </c>
      <c r="D299" s="9" t="s">
        <v>195</v>
      </c>
      <c r="E299" s="9" t="s">
        <v>323</v>
      </c>
      <c r="F299" s="9" t="s">
        <v>205</v>
      </c>
      <c r="G299" s="9" t="s">
        <v>201</v>
      </c>
      <c r="H299" s="9" t="n">
        <v>1000</v>
      </c>
      <c r="I299" s="29" t="n">
        <v>0.8</v>
      </c>
      <c r="J299" s="9" t="n">
        <v>1</v>
      </c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21" t="str">
        <f aca="false">IF(COUNT(K299:T299)=0,"SOURCE EMPTY / INDUSTRIAL ONLY",IF(MIN(K299:T299)=1,"SERVICE READY","HOLD"))</f>
        <v>SOURCE EMPTY / INDUSTRIAL ONLY</v>
      </c>
      <c r="V299" s="9" t="n">
        <f aca="false">IF(U299="SERVICE READY",1,0)</f>
        <v>0</v>
      </c>
      <c r="W299" s="6"/>
      <c r="X299" s="6"/>
      <c r="Y299" s="6"/>
      <c r="Z299" s="6"/>
    </row>
    <row r="300" customFormat="false" ht="15" hidden="false" customHeight="false" outlineLevel="0" collapsed="false">
      <c r="A300" s="9" t="s">
        <v>509</v>
      </c>
      <c r="B300" s="9" t="s">
        <v>504</v>
      </c>
      <c r="C300" s="9" t="s">
        <v>505</v>
      </c>
      <c r="D300" s="9" t="s">
        <v>195</v>
      </c>
      <c r="E300" s="9" t="s">
        <v>323</v>
      </c>
      <c r="F300" s="9" t="s">
        <v>207</v>
      </c>
      <c r="G300" s="9" t="s">
        <v>198</v>
      </c>
      <c r="H300" s="9" t="n">
        <v>1000</v>
      </c>
      <c r="I300" s="29" t="n">
        <v>0.8</v>
      </c>
      <c r="J300" s="9" t="n">
        <v>1</v>
      </c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21" t="str">
        <f aca="false">IF(COUNT(K300:T300)=0,"SOURCE EMPTY / INDUSTRIAL ONLY",IF(MIN(K300:T300)=1,"SERVICE READY","HOLD"))</f>
        <v>SOURCE EMPTY / INDUSTRIAL ONLY</v>
      </c>
      <c r="V300" s="9" t="n">
        <f aca="false">IF(U300="SERVICE READY",1,0)</f>
        <v>0</v>
      </c>
      <c r="W300" s="6"/>
      <c r="X300" s="6"/>
      <c r="Y300" s="6"/>
      <c r="Z300" s="6"/>
    </row>
    <row r="301" customFormat="false" ht="15" hidden="false" customHeight="false" outlineLevel="0" collapsed="false">
      <c r="A301" s="9" t="s">
        <v>510</v>
      </c>
      <c r="B301" s="9" t="s">
        <v>504</v>
      </c>
      <c r="C301" s="9" t="s">
        <v>505</v>
      </c>
      <c r="D301" s="9" t="s">
        <v>195</v>
      </c>
      <c r="E301" s="9" t="s">
        <v>323</v>
      </c>
      <c r="F301" s="9" t="s">
        <v>209</v>
      </c>
      <c r="G301" s="9" t="s">
        <v>201</v>
      </c>
      <c r="H301" s="9" t="n">
        <v>1000</v>
      </c>
      <c r="I301" s="29" t="n">
        <v>0.8</v>
      </c>
      <c r="J301" s="9" t="n">
        <v>1</v>
      </c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21" t="str">
        <f aca="false">IF(COUNT(K301:T301)=0,"SOURCE EMPTY / INDUSTRIAL ONLY",IF(MIN(K301:T301)=1,"SERVICE READY","HOLD"))</f>
        <v>SOURCE EMPTY / INDUSTRIAL ONLY</v>
      </c>
      <c r="V301" s="9" t="n">
        <f aca="false">IF(U301="SERVICE READY",1,0)</f>
        <v>0</v>
      </c>
      <c r="W301" s="6"/>
      <c r="X301" s="6"/>
      <c r="Y301" s="6"/>
      <c r="Z301" s="6"/>
    </row>
    <row r="302" customFormat="false" ht="15" hidden="false" customHeight="false" outlineLevel="0" collapsed="false">
      <c r="A302" s="9" t="s">
        <v>511</v>
      </c>
      <c r="B302" s="9" t="s">
        <v>504</v>
      </c>
      <c r="C302" s="9" t="s">
        <v>505</v>
      </c>
      <c r="D302" s="9" t="s">
        <v>195</v>
      </c>
      <c r="E302" s="9" t="s">
        <v>323</v>
      </c>
      <c r="F302" s="9" t="s">
        <v>211</v>
      </c>
      <c r="G302" s="9" t="s">
        <v>198</v>
      </c>
      <c r="H302" s="9" t="n">
        <v>1000</v>
      </c>
      <c r="I302" s="29" t="n">
        <v>0.8</v>
      </c>
      <c r="J302" s="9" t="n">
        <v>1</v>
      </c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21" t="str">
        <f aca="false">IF(COUNT(K302:T302)=0,"SOURCE EMPTY / INDUSTRIAL ONLY",IF(MIN(K302:T302)=1,"SERVICE READY","HOLD"))</f>
        <v>SOURCE EMPTY / INDUSTRIAL ONLY</v>
      </c>
      <c r="V302" s="9" t="n">
        <f aca="false">IF(U302="SERVICE READY",1,0)</f>
        <v>0</v>
      </c>
      <c r="W302" s="6"/>
      <c r="X302" s="6"/>
      <c r="Y302" s="6"/>
      <c r="Z302" s="6"/>
    </row>
    <row r="303" customFormat="false" ht="15" hidden="false" customHeight="false" outlineLevel="0" collapsed="false">
      <c r="A303" s="9" t="s">
        <v>512</v>
      </c>
      <c r="B303" s="9" t="s">
        <v>504</v>
      </c>
      <c r="C303" s="9" t="s">
        <v>505</v>
      </c>
      <c r="D303" s="9" t="s">
        <v>195</v>
      </c>
      <c r="E303" s="9" t="s">
        <v>323</v>
      </c>
      <c r="F303" s="9" t="s">
        <v>197</v>
      </c>
      <c r="G303" s="9" t="s">
        <v>201</v>
      </c>
      <c r="H303" s="9" t="n">
        <v>1000</v>
      </c>
      <c r="I303" s="29" t="n">
        <v>0.8</v>
      </c>
      <c r="J303" s="9" t="n">
        <v>1</v>
      </c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21" t="str">
        <f aca="false">IF(COUNT(K303:T303)=0,"SOURCE EMPTY / INDUSTRIAL ONLY",IF(MIN(K303:T303)=1,"SERVICE READY","HOLD"))</f>
        <v>SOURCE EMPTY / INDUSTRIAL ONLY</v>
      </c>
      <c r="V303" s="9" t="n">
        <f aca="false">IF(U303="SERVICE READY",1,0)</f>
        <v>0</v>
      </c>
      <c r="W303" s="6"/>
      <c r="X303" s="6"/>
      <c r="Y303" s="6"/>
      <c r="Z303" s="6"/>
    </row>
    <row r="304" customFormat="false" ht="15" hidden="false" customHeight="false" outlineLevel="0" collapsed="false">
      <c r="A304" s="9" t="s">
        <v>513</v>
      </c>
      <c r="B304" s="9" t="s">
        <v>504</v>
      </c>
      <c r="C304" s="9" t="s">
        <v>505</v>
      </c>
      <c r="D304" s="9" t="s">
        <v>195</v>
      </c>
      <c r="E304" s="9" t="s">
        <v>323</v>
      </c>
      <c r="F304" s="9" t="s">
        <v>200</v>
      </c>
      <c r="G304" s="9" t="s">
        <v>198</v>
      </c>
      <c r="H304" s="9" t="n">
        <v>1000</v>
      </c>
      <c r="I304" s="29" t="n">
        <v>0.8</v>
      </c>
      <c r="J304" s="9" t="n">
        <v>1</v>
      </c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21" t="str">
        <f aca="false">IF(COUNT(K304:T304)=0,"SOURCE EMPTY / INDUSTRIAL ONLY",IF(MIN(K304:T304)=1,"SERVICE READY","HOLD"))</f>
        <v>SOURCE EMPTY / INDUSTRIAL ONLY</v>
      </c>
      <c r="V304" s="9" t="n">
        <f aca="false">IF(U304="SERVICE READY",1,0)</f>
        <v>0</v>
      </c>
      <c r="W304" s="6"/>
      <c r="X304" s="6"/>
      <c r="Y304" s="6"/>
      <c r="Z304" s="6"/>
    </row>
    <row r="305" customFormat="false" ht="15" hidden="false" customHeight="false" outlineLevel="0" collapsed="false">
      <c r="A305" s="9" t="s">
        <v>514</v>
      </c>
      <c r="B305" s="9" t="s">
        <v>504</v>
      </c>
      <c r="C305" s="9" t="s">
        <v>505</v>
      </c>
      <c r="D305" s="9" t="s">
        <v>195</v>
      </c>
      <c r="E305" s="9" t="s">
        <v>323</v>
      </c>
      <c r="F305" s="9" t="s">
        <v>203</v>
      </c>
      <c r="G305" s="9" t="s">
        <v>201</v>
      </c>
      <c r="H305" s="9" t="n">
        <v>1000</v>
      </c>
      <c r="I305" s="29" t="n">
        <v>0.8</v>
      </c>
      <c r="J305" s="9" t="n">
        <v>1</v>
      </c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21" t="str">
        <f aca="false">IF(COUNT(K305:T305)=0,"SOURCE EMPTY / INDUSTRIAL ONLY",IF(MIN(K305:T305)=1,"SERVICE READY","HOLD"))</f>
        <v>SOURCE EMPTY / INDUSTRIAL ONLY</v>
      </c>
      <c r="V305" s="9" t="n">
        <f aca="false">IF(U305="SERVICE READY",1,0)</f>
        <v>0</v>
      </c>
      <c r="W305" s="6"/>
      <c r="X305" s="6"/>
      <c r="Y305" s="6"/>
      <c r="Z305" s="6"/>
    </row>
    <row r="306" customFormat="false" ht="15" hidden="false" customHeight="false" outlineLevel="0" collapsed="false">
      <c r="A306" s="9" t="s">
        <v>515</v>
      </c>
      <c r="B306" s="9" t="s">
        <v>504</v>
      </c>
      <c r="C306" s="9" t="s">
        <v>505</v>
      </c>
      <c r="D306" s="9" t="s">
        <v>195</v>
      </c>
      <c r="E306" s="9" t="s">
        <v>323</v>
      </c>
      <c r="F306" s="9" t="s">
        <v>205</v>
      </c>
      <c r="G306" s="9" t="s">
        <v>198</v>
      </c>
      <c r="H306" s="9" t="n">
        <v>1000</v>
      </c>
      <c r="I306" s="29" t="n">
        <v>0.8</v>
      </c>
      <c r="J306" s="9" t="n">
        <v>1</v>
      </c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21" t="str">
        <f aca="false">IF(COUNT(K306:T306)=0,"SOURCE EMPTY / INDUSTRIAL ONLY",IF(MIN(K306:T306)=1,"SERVICE READY","HOLD"))</f>
        <v>SOURCE EMPTY / INDUSTRIAL ONLY</v>
      </c>
      <c r="V306" s="9" t="n">
        <f aca="false">IF(U306="SERVICE READY",1,0)</f>
        <v>0</v>
      </c>
      <c r="W306" s="6"/>
      <c r="X306" s="6"/>
      <c r="Y306" s="6"/>
      <c r="Z306" s="6"/>
    </row>
    <row r="307" customFormat="false" ht="15" hidden="false" customHeight="false" outlineLevel="0" collapsed="false">
      <c r="A307" s="9" t="s">
        <v>516</v>
      </c>
      <c r="B307" s="9" t="s">
        <v>504</v>
      </c>
      <c r="C307" s="9" t="s">
        <v>505</v>
      </c>
      <c r="D307" s="9" t="s">
        <v>195</v>
      </c>
      <c r="E307" s="9" t="s">
        <v>323</v>
      </c>
      <c r="F307" s="9" t="s">
        <v>207</v>
      </c>
      <c r="G307" s="9" t="s">
        <v>201</v>
      </c>
      <c r="H307" s="9" t="n">
        <v>1000</v>
      </c>
      <c r="I307" s="29" t="n">
        <v>0.8</v>
      </c>
      <c r="J307" s="9" t="n">
        <v>1</v>
      </c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21" t="str">
        <f aca="false">IF(COUNT(K307:T307)=0,"SOURCE EMPTY / INDUSTRIAL ONLY",IF(MIN(K307:T307)=1,"SERVICE READY","HOLD"))</f>
        <v>SOURCE EMPTY / INDUSTRIAL ONLY</v>
      </c>
      <c r="V307" s="9" t="n">
        <f aca="false">IF(U307="SERVICE READY",1,0)</f>
        <v>0</v>
      </c>
      <c r="W307" s="6"/>
      <c r="X307" s="6"/>
      <c r="Y307" s="6"/>
      <c r="Z307" s="6"/>
    </row>
    <row r="308" customFormat="false" ht="15" hidden="false" customHeight="false" outlineLevel="0" collapsed="false">
      <c r="A308" s="9" t="s">
        <v>517</v>
      </c>
      <c r="B308" s="9" t="s">
        <v>504</v>
      </c>
      <c r="C308" s="9" t="s">
        <v>505</v>
      </c>
      <c r="D308" s="9" t="s">
        <v>195</v>
      </c>
      <c r="E308" s="9" t="s">
        <v>323</v>
      </c>
      <c r="F308" s="9" t="s">
        <v>209</v>
      </c>
      <c r="G308" s="9" t="s">
        <v>198</v>
      </c>
      <c r="H308" s="9" t="n">
        <v>1000</v>
      </c>
      <c r="I308" s="29" t="n">
        <v>0.8</v>
      </c>
      <c r="J308" s="9" t="n">
        <v>1</v>
      </c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21" t="str">
        <f aca="false">IF(COUNT(K308:T308)=0,"SOURCE EMPTY / INDUSTRIAL ONLY",IF(MIN(K308:T308)=1,"SERVICE READY","HOLD"))</f>
        <v>SOURCE EMPTY / INDUSTRIAL ONLY</v>
      </c>
      <c r="V308" s="9" t="n">
        <f aca="false">IF(U308="SERVICE READY",1,0)</f>
        <v>0</v>
      </c>
      <c r="W308" s="6"/>
      <c r="X308" s="6"/>
      <c r="Y308" s="6"/>
      <c r="Z308" s="6"/>
    </row>
    <row r="309" customFormat="false" ht="15" hidden="false" customHeight="false" outlineLevel="0" collapsed="false">
      <c r="A309" s="9" t="s">
        <v>518</v>
      </c>
      <c r="B309" s="9" t="s">
        <v>504</v>
      </c>
      <c r="C309" s="9" t="s">
        <v>505</v>
      </c>
      <c r="D309" s="9" t="s">
        <v>195</v>
      </c>
      <c r="E309" s="9" t="s">
        <v>323</v>
      </c>
      <c r="F309" s="9" t="s">
        <v>211</v>
      </c>
      <c r="G309" s="9" t="s">
        <v>201</v>
      </c>
      <c r="H309" s="9" t="n">
        <v>1000</v>
      </c>
      <c r="I309" s="29" t="n">
        <v>0.8</v>
      </c>
      <c r="J309" s="9" t="n">
        <v>1</v>
      </c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21" t="str">
        <f aca="false">IF(COUNT(K309:T309)=0,"SOURCE EMPTY / INDUSTRIAL ONLY",IF(MIN(K309:T309)=1,"SERVICE READY","HOLD"))</f>
        <v>SOURCE EMPTY / INDUSTRIAL ONLY</v>
      </c>
      <c r="V309" s="9" t="n">
        <f aca="false">IF(U309="SERVICE READY",1,0)</f>
        <v>0</v>
      </c>
      <c r="W309" s="6"/>
      <c r="X309" s="6"/>
      <c r="Y309" s="6"/>
      <c r="Z309" s="6"/>
    </row>
    <row r="310" customFormat="false" ht="15" hidden="false" customHeight="false" outlineLevel="0" collapsed="false">
      <c r="A310" s="9" t="s">
        <v>519</v>
      </c>
      <c r="B310" s="9" t="s">
        <v>504</v>
      </c>
      <c r="C310" s="9" t="s">
        <v>505</v>
      </c>
      <c r="D310" s="9" t="s">
        <v>195</v>
      </c>
      <c r="E310" s="9" t="s">
        <v>323</v>
      </c>
      <c r="F310" s="9" t="s">
        <v>197</v>
      </c>
      <c r="G310" s="9" t="s">
        <v>198</v>
      </c>
      <c r="H310" s="9" t="n">
        <v>1000</v>
      </c>
      <c r="I310" s="29" t="n">
        <v>0.8</v>
      </c>
      <c r="J310" s="9" t="n">
        <v>1</v>
      </c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21" t="str">
        <f aca="false">IF(COUNT(K310:T310)=0,"SOURCE EMPTY / INDUSTRIAL ONLY",IF(MIN(K310:T310)=1,"SERVICE READY","HOLD"))</f>
        <v>SOURCE EMPTY / INDUSTRIAL ONLY</v>
      </c>
      <c r="V310" s="9" t="n">
        <f aca="false">IF(U310="SERVICE READY",1,0)</f>
        <v>0</v>
      </c>
      <c r="W310" s="6"/>
      <c r="X310" s="6"/>
      <c r="Y310" s="6"/>
      <c r="Z310" s="6"/>
    </row>
    <row r="311" customFormat="false" ht="15" hidden="false" customHeight="false" outlineLevel="0" collapsed="false">
      <c r="A311" s="9" t="s">
        <v>520</v>
      </c>
      <c r="B311" s="9" t="s">
        <v>504</v>
      </c>
      <c r="C311" s="9" t="s">
        <v>505</v>
      </c>
      <c r="D311" s="9" t="s">
        <v>195</v>
      </c>
      <c r="E311" s="9" t="s">
        <v>323</v>
      </c>
      <c r="F311" s="9" t="s">
        <v>200</v>
      </c>
      <c r="G311" s="9" t="s">
        <v>221</v>
      </c>
      <c r="H311" s="9" t="n">
        <v>1000</v>
      </c>
      <c r="I311" s="29" t="n">
        <v>0.8</v>
      </c>
      <c r="J311" s="9" t="n">
        <v>1</v>
      </c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21" t="str">
        <f aca="false">IF(COUNT(K311:T311)=0,"SOURCE EMPTY / INDUSTRIAL ONLY",IF(MIN(K311:T311)=1,"SERVICE READY","HOLD"))</f>
        <v>SOURCE EMPTY / INDUSTRIAL ONLY</v>
      </c>
      <c r="V311" s="9" t="n">
        <f aca="false">IF(U311="SERVICE READY",1,0)</f>
        <v>0</v>
      </c>
      <c r="W311" s="6"/>
      <c r="X311" s="6"/>
      <c r="Y311" s="6"/>
      <c r="Z311" s="6"/>
    </row>
    <row r="312" customFormat="false" ht="15" hidden="false" customHeight="false" outlineLevel="0" collapsed="false">
      <c r="A312" s="9" t="s">
        <v>521</v>
      </c>
      <c r="B312" s="9" t="s">
        <v>504</v>
      </c>
      <c r="C312" s="9" t="s">
        <v>505</v>
      </c>
      <c r="D312" s="9" t="s">
        <v>195</v>
      </c>
      <c r="E312" s="9" t="s">
        <v>323</v>
      </c>
      <c r="F312" s="9" t="s">
        <v>203</v>
      </c>
      <c r="G312" s="9" t="s">
        <v>221</v>
      </c>
      <c r="H312" s="9" t="n">
        <v>1000</v>
      </c>
      <c r="I312" s="29" t="n">
        <v>0.8</v>
      </c>
      <c r="J312" s="9" t="n">
        <v>1</v>
      </c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21" t="str">
        <f aca="false">IF(COUNT(K312:T312)=0,"SOURCE EMPTY / INDUSTRIAL ONLY",IF(MIN(K312:T312)=1,"SERVICE READY","HOLD"))</f>
        <v>SOURCE EMPTY / INDUSTRIAL ONLY</v>
      </c>
      <c r="V312" s="9" t="n">
        <f aca="false">IF(U312="SERVICE READY",1,0)</f>
        <v>0</v>
      </c>
      <c r="W312" s="6"/>
      <c r="X312" s="6"/>
      <c r="Y312" s="6"/>
      <c r="Z312" s="6"/>
    </row>
    <row r="313" customFormat="false" ht="15" hidden="false" customHeight="false" outlineLevel="0" collapsed="false">
      <c r="A313" s="9" t="s">
        <v>522</v>
      </c>
      <c r="B313" s="9" t="s">
        <v>504</v>
      </c>
      <c r="C313" s="9" t="s">
        <v>505</v>
      </c>
      <c r="D313" s="9" t="s">
        <v>195</v>
      </c>
      <c r="E313" s="9" t="s">
        <v>323</v>
      </c>
      <c r="F313" s="9" t="s">
        <v>205</v>
      </c>
      <c r="G313" s="9" t="s">
        <v>221</v>
      </c>
      <c r="H313" s="9" t="n">
        <v>1000</v>
      </c>
      <c r="I313" s="29" t="n">
        <v>0.8</v>
      </c>
      <c r="J313" s="9" t="n">
        <v>1</v>
      </c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21" t="str">
        <f aca="false">IF(COUNT(K313:T313)=0,"SOURCE EMPTY / INDUSTRIAL ONLY",IF(MIN(K313:T313)=1,"SERVICE READY","HOLD"))</f>
        <v>SOURCE EMPTY / INDUSTRIAL ONLY</v>
      </c>
      <c r="V313" s="9" t="n">
        <f aca="false">IF(U313="SERVICE READY",1,0)</f>
        <v>0</v>
      </c>
      <c r="W313" s="6"/>
      <c r="X313" s="6"/>
      <c r="Y313" s="6"/>
      <c r="Z313" s="6"/>
    </row>
    <row r="314" customFormat="false" ht="15" hidden="false" customHeight="false" outlineLevel="0" collapsed="false">
      <c r="A314" s="9" t="s">
        <v>523</v>
      </c>
      <c r="B314" s="9" t="s">
        <v>504</v>
      </c>
      <c r="C314" s="9" t="s">
        <v>505</v>
      </c>
      <c r="D314" s="9" t="s">
        <v>195</v>
      </c>
      <c r="E314" s="9" t="s">
        <v>323</v>
      </c>
      <c r="F314" s="9" t="s">
        <v>207</v>
      </c>
      <c r="G314" s="9" t="s">
        <v>221</v>
      </c>
      <c r="H314" s="9" t="n">
        <v>1000</v>
      </c>
      <c r="I314" s="29" t="n">
        <v>0.8</v>
      </c>
      <c r="J314" s="9" t="n">
        <v>1</v>
      </c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21" t="str">
        <f aca="false">IF(COUNT(K314:T314)=0,"SOURCE EMPTY / INDUSTRIAL ONLY",IF(MIN(K314:T314)=1,"SERVICE READY","HOLD"))</f>
        <v>SOURCE EMPTY / INDUSTRIAL ONLY</v>
      </c>
      <c r="V314" s="9" t="n">
        <f aca="false">IF(U314="SERVICE READY",1,0)</f>
        <v>0</v>
      </c>
      <c r="W314" s="6"/>
      <c r="X314" s="6"/>
      <c r="Y314" s="6"/>
      <c r="Z314" s="6"/>
    </row>
    <row r="315" customFormat="false" ht="15" hidden="false" customHeight="false" outlineLevel="0" collapsed="false">
      <c r="A315" s="9" t="s">
        <v>524</v>
      </c>
      <c r="B315" s="9" t="s">
        <v>504</v>
      </c>
      <c r="C315" s="9" t="s">
        <v>505</v>
      </c>
      <c r="D315" s="9" t="s">
        <v>195</v>
      </c>
      <c r="E315" s="9" t="s">
        <v>323</v>
      </c>
      <c r="F315" s="9" t="s">
        <v>209</v>
      </c>
      <c r="G315" s="9" t="s">
        <v>221</v>
      </c>
      <c r="H315" s="9" t="n">
        <v>1000</v>
      </c>
      <c r="I315" s="29" t="n">
        <v>0.8</v>
      </c>
      <c r="J315" s="9" t="n">
        <v>1</v>
      </c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21" t="str">
        <f aca="false">IF(COUNT(K315:T315)=0,"SOURCE EMPTY / INDUSTRIAL ONLY",IF(MIN(K315:T315)=1,"SERVICE READY","HOLD"))</f>
        <v>SOURCE EMPTY / INDUSTRIAL ONLY</v>
      </c>
      <c r="V315" s="9" t="n">
        <f aca="false">IF(U315="SERVICE READY",1,0)</f>
        <v>0</v>
      </c>
      <c r="W315" s="6"/>
      <c r="X315" s="6"/>
      <c r="Y315" s="6"/>
      <c r="Z315" s="6"/>
    </row>
    <row r="316" customFormat="false" ht="15" hidden="false" customHeight="false" outlineLevel="0" collapsed="false">
      <c r="A316" s="9" t="s">
        <v>525</v>
      </c>
      <c r="B316" s="9" t="s">
        <v>504</v>
      </c>
      <c r="C316" s="9" t="s">
        <v>505</v>
      </c>
      <c r="D316" s="9" t="s">
        <v>195</v>
      </c>
      <c r="E316" s="9" t="s">
        <v>323</v>
      </c>
      <c r="F316" s="9" t="s">
        <v>211</v>
      </c>
      <c r="G316" s="9" t="s">
        <v>221</v>
      </c>
      <c r="H316" s="9" t="n">
        <v>1000</v>
      </c>
      <c r="I316" s="29" t="n">
        <v>0.8</v>
      </c>
      <c r="J316" s="9" t="n">
        <v>1</v>
      </c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21" t="str">
        <f aca="false">IF(COUNT(K316:T316)=0,"SOURCE EMPTY / INDUSTRIAL ONLY",IF(MIN(K316:T316)=1,"SERVICE READY","HOLD"))</f>
        <v>SOURCE EMPTY / INDUSTRIAL ONLY</v>
      </c>
      <c r="V316" s="9" t="n">
        <f aca="false">IF(U316="SERVICE READY",1,0)</f>
        <v>0</v>
      </c>
      <c r="W316" s="6"/>
      <c r="X316" s="6"/>
      <c r="Y316" s="6"/>
      <c r="Z316" s="6"/>
    </row>
    <row r="317" customFormat="false" ht="15" hidden="false" customHeight="false" outlineLevel="0" collapsed="false">
      <c r="A317" s="9" t="s">
        <v>526</v>
      </c>
      <c r="B317" s="9" t="s">
        <v>504</v>
      </c>
      <c r="C317" s="9" t="s">
        <v>505</v>
      </c>
      <c r="D317" s="9" t="s">
        <v>195</v>
      </c>
      <c r="E317" s="9" t="s">
        <v>323</v>
      </c>
      <c r="F317" s="9" t="s">
        <v>197</v>
      </c>
      <c r="G317" s="9" t="s">
        <v>221</v>
      </c>
      <c r="H317" s="9" t="n">
        <v>1000</v>
      </c>
      <c r="I317" s="29" t="n">
        <v>0.8</v>
      </c>
      <c r="J317" s="9" t="n">
        <v>1</v>
      </c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21" t="str">
        <f aca="false">IF(COUNT(K317:T317)=0,"SOURCE EMPTY / INDUSTRIAL ONLY",IF(MIN(K317:T317)=1,"SERVICE READY","HOLD"))</f>
        <v>SOURCE EMPTY / INDUSTRIAL ONLY</v>
      </c>
      <c r="V317" s="9" t="n">
        <f aca="false">IF(U317="SERVICE READY",1,0)</f>
        <v>0</v>
      </c>
      <c r="W317" s="6"/>
      <c r="X317" s="6"/>
      <c r="Y317" s="6"/>
      <c r="Z317" s="6"/>
    </row>
    <row r="318" customFormat="false" ht="15" hidden="false" customHeight="false" outlineLevel="0" collapsed="false">
      <c r="A318" s="9" t="s">
        <v>527</v>
      </c>
      <c r="B318" s="9" t="s">
        <v>504</v>
      </c>
      <c r="C318" s="9" t="s">
        <v>505</v>
      </c>
      <c r="D318" s="9" t="s">
        <v>195</v>
      </c>
      <c r="E318" s="9" t="s">
        <v>323</v>
      </c>
      <c r="F318" s="9" t="s">
        <v>200</v>
      </c>
      <c r="G318" s="9" t="s">
        <v>221</v>
      </c>
      <c r="H318" s="9" t="n">
        <v>1000</v>
      </c>
      <c r="I318" s="29" t="n">
        <v>0.8</v>
      </c>
      <c r="J318" s="9" t="n">
        <v>1</v>
      </c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21" t="str">
        <f aca="false">IF(COUNT(K318:T318)=0,"SOURCE EMPTY / INDUSTRIAL ONLY",IF(MIN(K318:T318)=1,"SERVICE READY","HOLD"))</f>
        <v>SOURCE EMPTY / INDUSTRIAL ONLY</v>
      </c>
      <c r="V318" s="9" t="n">
        <f aca="false">IF(U318="SERVICE READY",1,0)</f>
        <v>0</v>
      </c>
      <c r="W318" s="6"/>
      <c r="X318" s="6"/>
      <c r="Y318" s="6"/>
      <c r="Z318" s="6"/>
    </row>
    <row r="319" customFormat="false" ht="15" hidden="false" customHeight="false" outlineLevel="0" collapsed="false">
      <c r="A319" s="9" t="s">
        <v>528</v>
      </c>
      <c r="B319" s="9" t="s">
        <v>504</v>
      </c>
      <c r="C319" s="9" t="s">
        <v>505</v>
      </c>
      <c r="D319" s="9" t="s">
        <v>195</v>
      </c>
      <c r="E319" s="9" t="s">
        <v>323</v>
      </c>
      <c r="F319" s="9" t="s">
        <v>203</v>
      </c>
      <c r="G319" s="9" t="s">
        <v>221</v>
      </c>
      <c r="H319" s="9" t="n">
        <v>1000</v>
      </c>
      <c r="I319" s="29" t="n">
        <v>0.8</v>
      </c>
      <c r="J319" s="9" t="n">
        <v>1</v>
      </c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21" t="str">
        <f aca="false">IF(COUNT(K319:T319)=0,"SOURCE EMPTY / INDUSTRIAL ONLY",IF(MIN(K319:T319)=1,"SERVICE READY","HOLD"))</f>
        <v>SOURCE EMPTY / INDUSTRIAL ONLY</v>
      </c>
      <c r="V319" s="9" t="n">
        <f aca="false">IF(U319="SERVICE READY",1,0)</f>
        <v>0</v>
      </c>
      <c r="W319" s="6"/>
      <c r="X319" s="6"/>
      <c r="Y319" s="6"/>
      <c r="Z319" s="6"/>
    </row>
    <row r="320" customFormat="false" ht="15" hidden="false" customHeight="false" outlineLevel="0" collapsed="false">
      <c r="A320" s="9" t="s">
        <v>529</v>
      </c>
      <c r="B320" s="9" t="s">
        <v>504</v>
      </c>
      <c r="C320" s="9" t="s">
        <v>505</v>
      </c>
      <c r="D320" s="9" t="s">
        <v>195</v>
      </c>
      <c r="E320" s="9" t="s">
        <v>323</v>
      </c>
      <c r="F320" s="9" t="s">
        <v>205</v>
      </c>
      <c r="G320" s="9" t="s">
        <v>221</v>
      </c>
      <c r="H320" s="9" t="n">
        <v>1000</v>
      </c>
      <c r="I320" s="29" t="n">
        <v>0.8</v>
      </c>
      <c r="J320" s="9" t="n">
        <v>1</v>
      </c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21" t="str">
        <f aca="false">IF(COUNT(K320:T320)=0,"SOURCE EMPTY / INDUSTRIAL ONLY",IF(MIN(K320:T320)=1,"SERVICE READY","HOLD"))</f>
        <v>SOURCE EMPTY / INDUSTRIAL ONLY</v>
      </c>
      <c r="V320" s="9" t="n">
        <f aca="false">IF(U320="SERVICE READY",1,0)</f>
        <v>0</v>
      </c>
      <c r="W320" s="6"/>
      <c r="X320" s="6"/>
      <c r="Y320" s="6"/>
      <c r="Z320" s="6"/>
    </row>
    <row r="321" customFormat="false" ht="15" hidden="false" customHeight="false" outlineLevel="0" collapsed="false">
      <c r="A321" s="9" t="s">
        <v>530</v>
      </c>
      <c r="B321" s="9" t="s">
        <v>504</v>
      </c>
      <c r="C321" s="9" t="s">
        <v>505</v>
      </c>
      <c r="D321" s="9" t="s">
        <v>195</v>
      </c>
      <c r="E321" s="9" t="s">
        <v>323</v>
      </c>
      <c r="F321" s="9" t="s">
        <v>207</v>
      </c>
      <c r="G321" s="9" t="s">
        <v>221</v>
      </c>
      <c r="H321" s="9" t="n">
        <v>1000</v>
      </c>
      <c r="I321" s="29" t="n">
        <v>0.8</v>
      </c>
      <c r="J321" s="9" t="n">
        <v>1</v>
      </c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21" t="str">
        <f aca="false">IF(COUNT(K321:T321)=0,"SOURCE EMPTY / INDUSTRIAL ONLY",IF(MIN(K321:T321)=1,"SERVICE READY","HOLD"))</f>
        <v>SOURCE EMPTY / INDUSTRIAL ONLY</v>
      </c>
      <c r="V321" s="9" t="n">
        <f aca="false">IF(U321="SERVICE READY",1,0)</f>
        <v>0</v>
      </c>
      <c r="W321" s="6"/>
      <c r="X321" s="6"/>
      <c r="Y321" s="6"/>
      <c r="Z321" s="6"/>
    </row>
    <row r="322" customFormat="false" ht="15" hidden="false" customHeight="false" outlineLevel="0" collapsed="false">
      <c r="A322" s="9" t="s">
        <v>531</v>
      </c>
      <c r="B322" s="9" t="s">
        <v>504</v>
      </c>
      <c r="C322" s="9" t="s">
        <v>505</v>
      </c>
      <c r="D322" s="9" t="s">
        <v>195</v>
      </c>
      <c r="E322" s="9" t="s">
        <v>323</v>
      </c>
      <c r="F322" s="9" t="s">
        <v>209</v>
      </c>
      <c r="G322" s="9" t="s">
        <v>221</v>
      </c>
      <c r="H322" s="9" t="n">
        <v>1000</v>
      </c>
      <c r="I322" s="29" t="n">
        <v>0.8</v>
      </c>
      <c r="J322" s="9" t="n">
        <v>1</v>
      </c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21" t="str">
        <f aca="false">IF(COUNT(K322:T322)=0,"SOURCE EMPTY / INDUSTRIAL ONLY",IF(MIN(K322:T322)=1,"SERVICE READY","HOLD"))</f>
        <v>SOURCE EMPTY / INDUSTRIAL ONLY</v>
      </c>
      <c r="V322" s="9" t="n">
        <f aca="false">IF(U322="SERVICE READY",1,0)</f>
        <v>0</v>
      </c>
      <c r="W322" s="6"/>
      <c r="X322" s="6"/>
      <c r="Y322" s="6"/>
      <c r="Z322" s="6"/>
    </row>
    <row r="323" customFormat="false" ht="15" hidden="false" customHeight="false" outlineLevel="0" collapsed="false">
      <c r="A323" s="9" t="s">
        <v>532</v>
      </c>
      <c r="B323" s="9" t="s">
        <v>504</v>
      </c>
      <c r="C323" s="9" t="s">
        <v>505</v>
      </c>
      <c r="D323" s="9" t="s">
        <v>195</v>
      </c>
      <c r="E323" s="9" t="s">
        <v>323</v>
      </c>
      <c r="F323" s="9" t="s">
        <v>211</v>
      </c>
      <c r="G323" s="9" t="s">
        <v>221</v>
      </c>
      <c r="H323" s="9" t="n">
        <v>1000</v>
      </c>
      <c r="I323" s="29" t="n">
        <v>0.8</v>
      </c>
      <c r="J323" s="9" t="n">
        <v>1</v>
      </c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21" t="str">
        <f aca="false">IF(COUNT(K323:T323)=0,"SOURCE EMPTY / INDUSTRIAL ONLY",IF(MIN(K323:T323)=1,"SERVICE READY","HOLD"))</f>
        <v>SOURCE EMPTY / INDUSTRIAL ONLY</v>
      </c>
      <c r="V323" s="9" t="n">
        <f aca="false">IF(U323="SERVICE READY",1,0)</f>
        <v>0</v>
      </c>
      <c r="W323" s="6"/>
      <c r="X323" s="6"/>
      <c r="Y323" s="6"/>
      <c r="Z323" s="6"/>
    </row>
    <row r="324" customFormat="false" ht="15" hidden="false" customHeight="false" outlineLevel="0" collapsed="false">
      <c r="A324" s="9" t="s">
        <v>533</v>
      </c>
      <c r="B324" s="9" t="s">
        <v>504</v>
      </c>
      <c r="C324" s="9" t="s">
        <v>505</v>
      </c>
      <c r="D324" s="9" t="s">
        <v>195</v>
      </c>
      <c r="E324" s="9" t="s">
        <v>323</v>
      </c>
      <c r="F324" s="9" t="s">
        <v>197</v>
      </c>
      <c r="G324" s="9" t="s">
        <v>221</v>
      </c>
      <c r="H324" s="9" t="n">
        <v>1000</v>
      </c>
      <c r="I324" s="29" t="n">
        <v>0.8</v>
      </c>
      <c r="J324" s="9" t="n">
        <v>1</v>
      </c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21" t="str">
        <f aca="false">IF(COUNT(K324:T324)=0,"SOURCE EMPTY / INDUSTRIAL ONLY",IF(MIN(K324:T324)=1,"SERVICE READY","HOLD"))</f>
        <v>SOURCE EMPTY / INDUSTRIAL ONLY</v>
      </c>
      <c r="V324" s="9" t="n">
        <f aca="false">IF(U324="SERVICE READY",1,0)</f>
        <v>0</v>
      </c>
      <c r="W324" s="6"/>
      <c r="X324" s="6"/>
      <c r="Y324" s="6"/>
      <c r="Z324" s="6"/>
    </row>
    <row r="325" customFormat="false" ht="15" hidden="false" customHeight="false" outlineLevel="0" collapsed="false">
      <c r="A325" s="9" t="s">
        <v>534</v>
      </c>
      <c r="B325" s="9" t="s">
        <v>504</v>
      </c>
      <c r="C325" s="9" t="s">
        <v>505</v>
      </c>
      <c r="D325" s="9" t="s">
        <v>195</v>
      </c>
      <c r="E325" s="9" t="s">
        <v>323</v>
      </c>
      <c r="F325" s="9" t="s">
        <v>200</v>
      </c>
      <c r="G325" s="9" t="s">
        <v>221</v>
      </c>
      <c r="H325" s="9" t="n">
        <v>1000</v>
      </c>
      <c r="I325" s="29" t="n">
        <v>0.8</v>
      </c>
      <c r="J325" s="9" t="n">
        <v>1</v>
      </c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21" t="str">
        <f aca="false">IF(COUNT(K325:T325)=0,"SOURCE EMPTY / INDUSTRIAL ONLY",IF(MIN(K325:T325)=1,"SERVICE READY","HOLD"))</f>
        <v>SOURCE EMPTY / INDUSTRIAL ONLY</v>
      </c>
      <c r="V325" s="9" t="n">
        <f aca="false">IF(U325="SERVICE READY",1,0)</f>
        <v>0</v>
      </c>
      <c r="W325" s="6"/>
      <c r="X325" s="6"/>
      <c r="Y325" s="6"/>
      <c r="Z325" s="6"/>
    </row>
    <row r="326" customFormat="false" ht="15" hidden="false" customHeight="false" outlineLevel="0" collapsed="false">
      <c r="A326" s="9" t="s">
        <v>535</v>
      </c>
      <c r="B326" s="9" t="s">
        <v>504</v>
      </c>
      <c r="C326" s="9" t="s">
        <v>505</v>
      </c>
      <c r="D326" s="9" t="s">
        <v>195</v>
      </c>
      <c r="E326" s="9" t="s">
        <v>323</v>
      </c>
      <c r="F326" s="9" t="s">
        <v>203</v>
      </c>
      <c r="G326" s="9" t="s">
        <v>221</v>
      </c>
      <c r="H326" s="9" t="n">
        <v>1000</v>
      </c>
      <c r="I326" s="29" t="n">
        <v>0.8</v>
      </c>
      <c r="J326" s="9" t="n">
        <v>1</v>
      </c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21" t="str">
        <f aca="false">IF(COUNT(K326:T326)=0,"SOURCE EMPTY / INDUSTRIAL ONLY",IF(MIN(K326:T326)=1,"SERVICE READY","HOLD"))</f>
        <v>SOURCE EMPTY / INDUSTRIAL ONLY</v>
      </c>
      <c r="V326" s="9" t="n">
        <f aca="false">IF(U326="SERVICE READY",1,0)</f>
        <v>0</v>
      </c>
      <c r="W326" s="6"/>
      <c r="X326" s="6"/>
      <c r="Y326" s="6"/>
      <c r="Z326" s="6"/>
    </row>
    <row r="327" customFormat="false" ht="15" hidden="false" customHeight="false" outlineLevel="0" collapsed="false">
      <c r="A327" s="9" t="s">
        <v>536</v>
      </c>
      <c r="B327" s="9" t="s">
        <v>504</v>
      </c>
      <c r="C327" s="9" t="s">
        <v>505</v>
      </c>
      <c r="D327" s="9" t="s">
        <v>195</v>
      </c>
      <c r="E327" s="9" t="s">
        <v>323</v>
      </c>
      <c r="F327" s="9" t="s">
        <v>205</v>
      </c>
      <c r="G327" s="9" t="s">
        <v>221</v>
      </c>
      <c r="H327" s="9" t="n">
        <v>1000</v>
      </c>
      <c r="I327" s="29" t="n">
        <v>0.8</v>
      </c>
      <c r="J327" s="9" t="n">
        <v>1</v>
      </c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21" t="str">
        <f aca="false">IF(COUNT(K327:T327)=0,"SOURCE EMPTY / INDUSTRIAL ONLY",IF(MIN(K327:T327)=1,"SERVICE READY","HOLD"))</f>
        <v>SOURCE EMPTY / INDUSTRIAL ONLY</v>
      </c>
      <c r="V327" s="9" t="n">
        <f aca="false">IF(U327="SERVICE READY",1,0)</f>
        <v>0</v>
      </c>
      <c r="W327" s="6"/>
      <c r="X327" s="6"/>
      <c r="Y327" s="6"/>
      <c r="Z327" s="6"/>
    </row>
    <row r="328" customFormat="false" ht="15" hidden="false" customHeight="false" outlineLevel="0" collapsed="false">
      <c r="A328" s="9" t="s">
        <v>537</v>
      </c>
      <c r="B328" s="9" t="s">
        <v>504</v>
      </c>
      <c r="C328" s="9" t="s">
        <v>505</v>
      </c>
      <c r="D328" s="9" t="s">
        <v>195</v>
      </c>
      <c r="E328" s="9" t="s">
        <v>323</v>
      </c>
      <c r="F328" s="9" t="s">
        <v>207</v>
      </c>
      <c r="G328" s="9" t="s">
        <v>221</v>
      </c>
      <c r="H328" s="9" t="n">
        <v>1000</v>
      </c>
      <c r="I328" s="29" t="n">
        <v>0.8</v>
      </c>
      <c r="J328" s="9" t="n">
        <v>1</v>
      </c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21" t="str">
        <f aca="false">IF(COUNT(K328:T328)=0,"SOURCE EMPTY / INDUSTRIAL ONLY",IF(MIN(K328:T328)=1,"SERVICE READY","HOLD"))</f>
        <v>SOURCE EMPTY / INDUSTRIAL ONLY</v>
      </c>
      <c r="V328" s="9" t="n">
        <f aca="false">IF(U328="SERVICE READY",1,0)</f>
        <v>0</v>
      </c>
      <c r="W328" s="6"/>
      <c r="X328" s="6"/>
      <c r="Y328" s="6"/>
      <c r="Z328" s="6"/>
    </row>
    <row r="329" customFormat="false" ht="15" hidden="false" customHeight="false" outlineLevel="0" collapsed="false">
      <c r="A329" s="9" t="s">
        <v>538</v>
      </c>
      <c r="B329" s="9" t="s">
        <v>504</v>
      </c>
      <c r="C329" s="9" t="s">
        <v>505</v>
      </c>
      <c r="D329" s="9" t="s">
        <v>195</v>
      </c>
      <c r="E329" s="9" t="s">
        <v>323</v>
      </c>
      <c r="F329" s="9" t="s">
        <v>209</v>
      </c>
      <c r="G329" s="9" t="s">
        <v>221</v>
      </c>
      <c r="H329" s="9" t="n">
        <v>1000</v>
      </c>
      <c r="I329" s="29" t="n">
        <v>0.8</v>
      </c>
      <c r="J329" s="9" t="n">
        <v>1</v>
      </c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21" t="str">
        <f aca="false">IF(COUNT(K329:T329)=0,"SOURCE EMPTY / INDUSTRIAL ONLY",IF(MIN(K329:T329)=1,"SERVICE READY","HOLD"))</f>
        <v>SOURCE EMPTY / INDUSTRIAL ONLY</v>
      </c>
      <c r="V329" s="9" t="n">
        <f aca="false">IF(U329="SERVICE READY",1,0)</f>
        <v>0</v>
      </c>
      <c r="W329" s="6"/>
      <c r="X329" s="6"/>
      <c r="Y329" s="6"/>
      <c r="Z329" s="6"/>
    </row>
    <row r="330" customFormat="false" ht="15" hidden="false" customHeight="false" outlineLevel="0" collapsed="false">
      <c r="A330" s="9" t="s">
        <v>539</v>
      </c>
      <c r="B330" s="9" t="s">
        <v>504</v>
      </c>
      <c r="C330" s="9" t="s">
        <v>505</v>
      </c>
      <c r="D330" s="9" t="s">
        <v>195</v>
      </c>
      <c r="E330" s="9" t="s">
        <v>323</v>
      </c>
      <c r="F330" s="9" t="s">
        <v>211</v>
      </c>
      <c r="G330" s="9" t="s">
        <v>221</v>
      </c>
      <c r="H330" s="9" t="n">
        <v>1000</v>
      </c>
      <c r="I330" s="29" t="n">
        <v>0.8</v>
      </c>
      <c r="J330" s="9" t="n">
        <v>1</v>
      </c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21" t="str">
        <f aca="false">IF(COUNT(K330:T330)=0,"SOURCE EMPTY / INDUSTRIAL ONLY",IF(MIN(K330:T330)=1,"SERVICE READY","HOLD"))</f>
        <v>SOURCE EMPTY / INDUSTRIAL ONLY</v>
      </c>
      <c r="V330" s="9" t="n">
        <f aca="false">IF(U330="SERVICE READY",1,0)</f>
        <v>0</v>
      </c>
      <c r="W330" s="6"/>
      <c r="X330" s="6"/>
      <c r="Y330" s="6"/>
      <c r="Z330" s="6"/>
    </row>
    <row r="331" customFormat="false" ht="15" hidden="false" customHeight="false" outlineLevel="0" collapsed="false">
      <c r="A331" s="9" t="s">
        <v>540</v>
      </c>
      <c r="B331" s="9" t="s">
        <v>504</v>
      </c>
      <c r="C331" s="9" t="s">
        <v>505</v>
      </c>
      <c r="D331" s="9" t="s">
        <v>195</v>
      </c>
      <c r="E331" s="9" t="s">
        <v>323</v>
      </c>
      <c r="F331" s="9" t="s">
        <v>197</v>
      </c>
      <c r="G331" s="9" t="s">
        <v>221</v>
      </c>
      <c r="H331" s="9" t="n">
        <v>1000</v>
      </c>
      <c r="I331" s="29" t="n">
        <v>0.8</v>
      </c>
      <c r="J331" s="9" t="n">
        <v>1</v>
      </c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21" t="str">
        <f aca="false">IF(COUNT(K331:T331)=0,"SOURCE EMPTY / INDUSTRIAL ONLY",IF(MIN(K331:T331)=1,"SERVICE READY","HOLD"))</f>
        <v>SOURCE EMPTY / INDUSTRIAL ONLY</v>
      </c>
      <c r="V331" s="9" t="n">
        <f aca="false">IF(U331="SERVICE READY",1,0)</f>
        <v>0</v>
      </c>
      <c r="W331" s="6"/>
      <c r="X331" s="6"/>
      <c r="Y331" s="6"/>
      <c r="Z331" s="6"/>
    </row>
    <row r="332" customFormat="false" ht="15" hidden="false" customHeight="false" outlineLevel="0" collapsed="false">
      <c r="A332" s="9" t="s">
        <v>541</v>
      </c>
      <c r="B332" s="9" t="s">
        <v>504</v>
      </c>
      <c r="C332" s="9" t="s">
        <v>505</v>
      </c>
      <c r="D332" s="9" t="s">
        <v>195</v>
      </c>
      <c r="E332" s="9" t="s">
        <v>323</v>
      </c>
      <c r="F332" s="9" t="s">
        <v>200</v>
      </c>
      <c r="G332" s="9" t="s">
        <v>221</v>
      </c>
      <c r="H332" s="9" t="n">
        <v>1000</v>
      </c>
      <c r="I332" s="29" t="n">
        <v>0.8</v>
      </c>
      <c r="J332" s="9" t="n">
        <v>1</v>
      </c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21" t="str">
        <f aca="false">IF(COUNT(K332:T332)=0,"SOURCE EMPTY / INDUSTRIAL ONLY",IF(MIN(K332:T332)=1,"SERVICE READY","HOLD"))</f>
        <v>SOURCE EMPTY / INDUSTRIAL ONLY</v>
      </c>
      <c r="V332" s="9" t="n">
        <f aca="false">IF(U332="SERVICE READY",1,0)</f>
        <v>0</v>
      </c>
      <c r="W332" s="6"/>
      <c r="X332" s="6"/>
      <c r="Y332" s="6"/>
      <c r="Z332" s="6"/>
    </row>
    <row r="333" customFormat="false" ht="15" hidden="false" customHeight="false" outlineLevel="0" collapsed="false">
      <c r="A333" s="9" t="s">
        <v>542</v>
      </c>
      <c r="B333" s="9" t="s">
        <v>504</v>
      </c>
      <c r="C333" s="9" t="s">
        <v>505</v>
      </c>
      <c r="D333" s="9" t="s">
        <v>195</v>
      </c>
      <c r="E333" s="9" t="s">
        <v>323</v>
      </c>
      <c r="F333" s="9" t="s">
        <v>203</v>
      </c>
      <c r="G333" s="9" t="s">
        <v>221</v>
      </c>
      <c r="H333" s="9" t="n">
        <v>1000</v>
      </c>
      <c r="I333" s="29" t="n">
        <v>0.8</v>
      </c>
      <c r="J333" s="9" t="n">
        <v>1</v>
      </c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21" t="str">
        <f aca="false">IF(COUNT(K333:T333)=0,"SOURCE EMPTY / INDUSTRIAL ONLY",IF(MIN(K333:T333)=1,"SERVICE READY","HOLD"))</f>
        <v>SOURCE EMPTY / INDUSTRIAL ONLY</v>
      </c>
      <c r="V333" s="9" t="n">
        <f aca="false">IF(U333="SERVICE READY",1,0)</f>
        <v>0</v>
      </c>
      <c r="W333" s="6"/>
      <c r="X333" s="6"/>
      <c r="Y333" s="6"/>
      <c r="Z333" s="6"/>
    </row>
    <row r="334" customFormat="false" ht="15" hidden="false" customHeight="false" outlineLevel="0" collapsed="false">
      <c r="A334" s="9" t="s">
        <v>543</v>
      </c>
      <c r="B334" s="9" t="s">
        <v>504</v>
      </c>
      <c r="C334" s="9" t="s">
        <v>505</v>
      </c>
      <c r="D334" s="9" t="s">
        <v>195</v>
      </c>
      <c r="E334" s="9" t="s">
        <v>323</v>
      </c>
      <c r="F334" s="9" t="s">
        <v>205</v>
      </c>
      <c r="G334" s="9" t="s">
        <v>221</v>
      </c>
      <c r="H334" s="9" t="n">
        <v>1000</v>
      </c>
      <c r="I334" s="29" t="n">
        <v>0.8</v>
      </c>
      <c r="J334" s="9" t="n">
        <v>1</v>
      </c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21" t="str">
        <f aca="false">IF(COUNT(K334:T334)=0,"SOURCE EMPTY / INDUSTRIAL ONLY",IF(MIN(K334:T334)=1,"SERVICE READY","HOLD"))</f>
        <v>SOURCE EMPTY / INDUSTRIAL ONLY</v>
      </c>
      <c r="V334" s="9" t="n">
        <f aca="false">IF(U334="SERVICE READY",1,0)</f>
        <v>0</v>
      </c>
      <c r="W334" s="6"/>
      <c r="X334" s="6"/>
      <c r="Y334" s="6"/>
      <c r="Z334" s="6"/>
    </row>
    <row r="335" customFormat="false" ht="15" hidden="false" customHeight="false" outlineLevel="0" collapsed="false">
      <c r="A335" s="9" t="s">
        <v>544</v>
      </c>
      <c r="B335" s="9" t="s">
        <v>504</v>
      </c>
      <c r="C335" s="9" t="s">
        <v>505</v>
      </c>
      <c r="D335" s="9" t="s">
        <v>195</v>
      </c>
      <c r="E335" s="9" t="s">
        <v>323</v>
      </c>
      <c r="F335" s="9" t="s">
        <v>207</v>
      </c>
      <c r="G335" s="9" t="s">
        <v>221</v>
      </c>
      <c r="H335" s="9" t="n">
        <v>1000</v>
      </c>
      <c r="I335" s="29" t="n">
        <v>0.8</v>
      </c>
      <c r="J335" s="9" t="n">
        <v>1</v>
      </c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21" t="str">
        <f aca="false">IF(COUNT(K335:T335)=0,"SOURCE EMPTY / INDUSTRIAL ONLY",IF(MIN(K335:T335)=1,"SERVICE READY","HOLD"))</f>
        <v>SOURCE EMPTY / INDUSTRIAL ONLY</v>
      </c>
      <c r="V335" s="9" t="n">
        <f aca="false">IF(U335="SERVICE READY",1,0)</f>
        <v>0</v>
      </c>
      <c r="W335" s="6"/>
      <c r="X335" s="6"/>
      <c r="Y335" s="6"/>
      <c r="Z335" s="6"/>
    </row>
    <row r="336" customFormat="false" ht="15" hidden="false" customHeight="false" outlineLevel="0" collapsed="false">
      <c r="A336" s="9" t="s">
        <v>545</v>
      </c>
      <c r="B336" s="9" t="s">
        <v>504</v>
      </c>
      <c r="C336" s="9" t="s">
        <v>505</v>
      </c>
      <c r="D336" s="9" t="s">
        <v>195</v>
      </c>
      <c r="E336" s="9" t="s">
        <v>323</v>
      </c>
      <c r="F336" s="9" t="s">
        <v>209</v>
      </c>
      <c r="G336" s="9" t="s">
        <v>221</v>
      </c>
      <c r="H336" s="9" t="n">
        <v>1000</v>
      </c>
      <c r="I336" s="29" t="n">
        <v>0.8</v>
      </c>
      <c r="J336" s="9" t="n">
        <v>1</v>
      </c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21" t="str">
        <f aca="false">IF(COUNT(K336:T336)=0,"SOURCE EMPTY / INDUSTRIAL ONLY",IF(MIN(K336:T336)=1,"SERVICE READY","HOLD"))</f>
        <v>SOURCE EMPTY / INDUSTRIAL ONLY</v>
      </c>
      <c r="V336" s="9" t="n">
        <f aca="false">IF(U336="SERVICE READY",1,0)</f>
        <v>0</v>
      </c>
      <c r="W336" s="6"/>
      <c r="X336" s="6"/>
      <c r="Y336" s="6"/>
      <c r="Z336" s="6"/>
    </row>
    <row r="337" customFormat="false" ht="15" hidden="false" customHeight="false" outlineLevel="0" collapsed="false">
      <c r="A337" s="9" t="s">
        <v>546</v>
      </c>
      <c r="B337" s="9" t="s">
        <v>504</v>
      </c>
      <c r="C337" s="9" t="s">
        <v>505</v>
      </c>
      <c r="D337" s="9" t="s">
        <v>195</v>
      </c>
      <c r="E337" s="9" t="s">
        <v>323</v>
      </c>
      <c r="F337" s="9" t="s">
        <v>211</v>
      </c>
      <c r="G337" s="9" t="s">
        <v>221</v>
      </c>
      <c r="H337" s="9" t="n">
        <v>1000</v>
      </c>
      <c r="I337" s="29" t="n">
        <v>0.8</v>
      </c>
      <c r="J337" s="9" t="n">
        <v>1</v>
      </c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21" t="str">
        <f aca="false">IF(COUNT(K337:T337)=0,"SOURCE EMPTY / INDUSTRIAL ONLY",IF(MIN(K337:T337)=1,"SERVICE READY","HOLD"))</f>
        <v>SOURCE EMPTY / INDUSTRIAL ONLY</v>
      </c>
      <c r="V337" s="9" t="n">
        <f aca="false">IF(U337="SERVICE READY",1,0)</f>
        <v>0</v>
      </c>
      <c r="W337" s="6"/>
      <c r="X337" s="6"/>
      <c r="Y337" s="6"/>
      <c r="Z337" s="6"/>
    </row>
    <row r="338" customFormat="false" ht="15" hidden="false" customHeight="false" outlineLevel="0" collapsed="false">
      <c r="A338" s="9" t="s">
        <v>547</v>
      </c>
      <c r="B338" s="9" t="s">
        <v>504</v>
      </c>
      <c r="C338" s="9" t="s">
        <v>505</v>
      </c>
      <c r="D338" s="9" t="s">
        <v>195</v>
      </c>
      <c r="E338" s="9" t="s">
        <v>323</v>
      </c>
      <c r="F338" s="9" t="s">
        <v>197</v>
      </c>
      <c r="G338" s="9" t="s">
        <v>221</v>
      </c>
      <c r="H338" s="9" t="n">
        <v>1000</v>
      </c>
      <c r="I338" s="29" t="n">
        <v>0.8</v>
      </c>
      <c r="J338" s="9" t="n">
        <v>1</v>
      </c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21" t="str">
        <f aca="false">IF(COUNT(K338:T338)=0,"SOURCE EMPTY / INDUSTRIAL ONLY",IF(MIN(K338:T338)=1,"SERVICE READY","HOLD"))</f>
        <v>SOURCE EMPTY / INDUSTRIAL ONLY</v>
      </c>
      <c r="V338" s="9" t="n">
        <f aca="false">IF(U338="SERVICE READY",1,0)</f>
        <v>0</v>
      </c>
      <c r="W338" s="6"/>
      <c r="X338" s="6"/>
      <c r="Y338" s="6"/>
      <c r="Z338" s="6"/>
    </row>
    <row r="339" customFormat="false" ht="15" hidden="false" customHeight="false" outlineLevel="0" collapsed="false">
      <c r="A339" s="9" t="s">
        <v>548</v>
      </c>
      <c r="B339" s="9" t="s">
        <v>504</v>
      </c>
      <c r="C339" s="9" t="s">
        <v>505</v>
      </c>
      <c r="D339" s="9" t="s">
        <v>195</v>
      </c>
      <c r="E339" s="9" t="s">
        <v>323</v>
      </c>
      <c r="F339" s="9" t="s">
        <v>200</v>
      </c>
      <c r="G339" s="9" t="s">
        <v>221</v>
      </c>
      <c r="H339" s="9" t="n">
        <v>1000</v>
      </c>
      <c r="I339" s="29" t="n">
        <v>0.8</v>
      </c>
      <c r="J339" s="9" t="n">
        <v>1</v>
      </c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21" t="str">
        <f aca="false">IF(COUNT(K339:T339)=0,"SOURCE EMPTY / INDUSTRIAL ONLY",IF(MIN(K339:T339)=1,"SERVICE READY","HOLD"))</f>
        <v>SOURCE EMPTY / INDUSTRIAL ONLY</v>
      </c>
      <c r="V339" s="9" t="n">
        <f aca="false">IF(U339="SERVICE READY",1,0)</f>
        <v>0</v>
      </c>
      <c r="W339" s="6"/>
      <c r="X339" s="6"/>
      <c r="Y339" s="6"/>
      <c r="Z339" s="6"/>
    </row>
    <row r="340" customFormat="false" ht="15" hidden="false" customHeight="false" outlineLevel="0" collapsed="false">
      <c r="A340" s="9" t="s">
        <v>549</v>
      </c>
      <c r="B340" s="9" t="s">
        <v>504</v>
      </c>
      <c r="C340" s="9" t="s">
        <v>505</v>
      </c>
      <c r="D340" s="9" t="s">
        <v>195</v>
      </c>
      <c r="E340" s="9" t="s">
        <v>323</v>
      </c>
      <c r="F340" s="9" t="s">
        <v>203</v>
      </c>
      <c r="G340" s="9" t="s">
        <v>221</v>
      </c>
      <c r="H340" s="9" t="n">
        <v>1000</v>
      </c>
      <c r="I340" s="29" t="n">
        <v>0.8</v>
      </c>
      <c r="J340" s="9" t="n">
        <v>1</v>
      </c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21" t="str">
        <f aca="false">IF(COUNT(K340:T340)=0,"SOURCE EMPTY / INDUSTRIAL ONLY",IF(MIN(K340:T340)=1,"SERVICE READY","HOLD"))</f>
        <v>SOURCE EMPTY / INDUSTRIAL ONLY</v>
      </c>
      <c r="V340" s="9" t="n">
        <f aca="false">IF(U340="SERVICE READY",1,0)</f>
        <v>0</v>
      </c>
      <c r="W340" s="6"/>
      <c r="X340" s="6"/>
      <c r="Y340" s="6"/>
      <c r="Z340" s="6"/>
    </row>
    <row r="341" customFormat="false" ht="15" hidden="false" customHeight="false" outlineLevel="0" collapsed="false">
      <c r="A341" s="9" t="s">
        <v>550</v>
      </c>
      <c r="B341" s="9" t="s">
        <v>504</v>
      </c>
      <c r="C341" s="9" t="s">
        <v>505</v>
      </c>
      <c r="D341" s="9" t="s">
        <v>195</v>
      </c>
      <c r="E341" s="9" t="s">
        <v>323</v>
      </c>
      <c r="F341" s="9" t="s">
        <v>205</v>
      </c>
      <c r="G341" s="9" t="s">
        <v>221</v>
      </c>
      <c r="H341" s="9" t="n">
        <v>1000</v>
      </c>
      <c r="I341" s="29" t="n">
        <v>0.8</v>
      </c>
      <c r="J341" s="9" t="n">
        <v>1</v>
      </c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21" t="str">
        <f aca="false">IF(COUNT(K341:T341)=0,"SOURCE EMPTY / INDUSTRIAL ONLY",IF(MIN(K341:T341)=1,"SERVICE READY","HOLD"))</f>
        <v>SOURCE EMPTY / INDUSTRIAL ONLY</v>
      </c>
      <c r="V341" s="9" t="n">
        <f aca="false">IF(U341="SERVICE READY",1,0)</f>
        <v>0</v>
      </c>
      <c r="W341" s="6"/>
      <c r="X341" s="6"/>
      <c r="Y341" s="6"/>
      <c r="Z341" s="6"/>
    </row>
    <row r="342" customFormat="false" ht="15" hidden="false" customHeight="false" outlineLevel="0" collapsed="false">
      <c r="A342" s="9" t="s">
        <v>551</v>
      </c>
      <c r="B342" s="9" t="s">
        <v>504</v>
      </c>
      <c r="C342" s="9" t="s">
        <v>505</v>
      </c>
      <c r="D342" s="9" t="s">
        <v>195</v>
      </c>
      <c r="E342" s="9" t="s">
        <v>323</v>
      </c>
      <c r="F342" s="9" t="s">
        <v>207</v>
      </c>
      <c r="G342" s="9" t="s">
        <v>221</v>
      </c>
      <c r="H342" s="9" t="n">
        <v>1000</v>
      </c>
      <c r="I342" s="29" t="n">
        <v>0.8</v>
      </c>
      <c r="J342" s="9" t="n">
        <v>1</v>
      </c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21" t="str">
        <f aca="false">IF(COUNT(K342:T342)=0,"SOURCE EMPTY / INDUSTRIAL ONLY",IF(MIN(K342:T342)=1,"SERVICE READY","HOLD"))</f>
        <v>SOURCE EMPTY / INDUSTRIAL ONLY</v>
      </c>
      <c r="V342" s="9" t="n">
        <f aca="false">IF(U342="SERVICE READY",1,0)</f>
        <v>0</v>
      </c>
      <c r="W342" s="6"/>
      <c r="X342" s="6"/>
      <c r="Y342" s="6"/>
      <c r="Z342" s="6"/>
    </row>
    <row r="343" customFormat="false" ht="15" hidden="false" customHeight="false" outlineLevel="0" collapsed="false">
      <c r="A343" s="9" t="s">
        <v>552</v>
      </c>
      <c r="B343" s="9" t="s">
        <v>504</v>
      </c>
      <c r="C343" s="9" t="s">
        <v>505</v>
      </c>
      <c r="D343" s="9" t="s">
        <v>195</v>
      </c>
      <c r="E343" s="9" t="s">
        <v>323</v>
      </c>
      <c r="F343" s="9" t="s">
        <v>209</v>
      </c>
      <c r="G343" s="9" t="s">
        <v>221</v>
      </c>
      <c r="H343" s="9" t="n">
        <v>1000</v>
      </c>
      <c r="I343" s="29" t="n">
        <v>0.8</v>
      </c>
      <c r="J343" s="9" t="n">
        <v>1</v>
      </c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21" t="str">
        <f aca="false">IF(COUNT(K343:T343)=0,"SOURCE EMPTY / INDUSTRIAL ONLY",IF(MIN(K343:T343)=1,"SERVICE READY","HOLD"))</f>
        <v>SOURCE EMPTY / INDUSTRIAL ONLY</v>
      </c>
      <c r="V343" s="9" t="n">
        <f aca="false">IF(U343="SERVICE READY",1,0)</f>
        <v>0</v>
      </c>
      <c r="W343" s="6"/>
      <c r="X343" s="6"/>
      <c r="Y343" s="6"/>
      <c r="Z343" s="6"/>
    </row>
    <row r="344" customFormat="false" ht="15" hidden="false" customHeight="false" outlineLevel="0" collapsed="false">
      <c r="A344" s="9" t="s">
        <v>553</v>
      </c>
      <c r="B344" s="9" t="s">
        <v>504</v>
      </c>
      <c r="C344" s="9" t="s">
        <v>505</v>
      </c>
      <c r="D344" s="9" t="s">
        <v>195</v>
      </c>
      <c r="E344" s="9" t="s">
        <v>323</v>
      </c>
      <c r="F344" s="9" t="s">
        <v>211</v>
      </c>
      <c r="G344" s="9" t="s">
        <v>221</v>
      </c>
      <c r="H344" s="9" t="n">
        <v>1000</v>
      </c>
      <c r="I344" s="29" t="n">
        <v>0.8</v>
      </c>
      <c r="J344" s="9" t="n">
        <v>1</v>
      </c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21" t="str">
        <f aca="false">IF(COUNT(K344:T344)=0,"SOURCE EMPTY / INDUSTRIAL ONLY",IF(MIN(K344:T344)=1,"SERVICE READY","HOLD"))</f>
        <v>SOURCE EMPTY / INDUSTRIAL ONLY</v>
      </c>
      <c r="V344" s="9" t="n">
        <f aca="false">IF(U344="SERVICE READY",1,0)</f>
        <v>0</v>
      </c>
      <c r="W344" s="6"/>
      <c r="X344" s="6"/>
      <c r="Y344" s="6"/>
      <c r="Z344" s="6"/>
    </row>
    <row r="345" customFormat="false" ht="15" hidden="false" customHeight="false" outlineLevel="0" collapsed="false">
      <c r="A345" s="9" t="s">
        <v>554</v>
      </c>
      <c r="B345" s="9" t="s">
        <v>504</v>
      </c>
      <c r="C345" s="9" t="s">
        <v>505</v>
      </c>
      <c r="D345" s="9" t="s">
        <v>195</v>
      </c>
      <c r="E345" s="9" t="s">
        <v>323</v>
      </c>
      <c r="F345" s="9" t="s">
        <v>197</v>
      </c>
      <c r="G345" s="9" t="s">
        <v>221</v>
      </c>
      <c r="H345" s="9" t="n">
        <v>1000</v>
      </c>
      <c r="I345" s="29" t="n">
        <v>0.8</v>
      </c>
      <c r="J345" s="9" t="n">
        <v>1</v>
      </c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21" t="str">
        <f aca="false">IF(COUNT(K345:T345)=0,"SOURCE EMPTY / INDUSTRIAL ONLY",IF(MIN(K345:T345)=1,"SERVICE READY","HOLD"))</f>
        <v>SOURCE EMPTY / INDUSTRIAL ONLY</v>
      </c>
      <c r="V345" s="9" t="n">
        <f aca="false">IF(U345="SERVICE READY",1,0)</f>
        <v>0</v>
      </c>
      <c r="W345" s="6"/>
      <c r="X345" s="6"/>
      <c r="Y345" s="6"/>
      <c r="Z345" s="6"/>
    </row>
    <row r="346" customFormat="false" ht="15" hidden="false" customHeight="false" outlineLevel="0" collapsed="false">
      <c r="A346" s="9" t="s">
        <v>555</v>
      </c>
      <c r="B346" s="9" t="s">
        <v>504</v>
      </c>
      <c r="C346" s="9" t="s">
        <v>505</v>
      </c>
      <c r="D346" s="9" t="s">
        <v>195</v>
      </c>
      <c r="E346" s="9" t="s">
        <v>323</v>
      </c>
      <c r="F346" s="9" t="s">
        <v>200</v>
      </c>
      <c r="G346" s="9" t="s">
        <v>221</v>
      </c>
      <c r="H346" s="9" t="n">
        <v>1000</v>
      </c>
      <c r="I346" s="29" t="n">
        <v>0.8</v>
      </c>
      <c r="J346" s="9" t="n">
        <v>0</v>
      </c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21" t="str">
        <f aca="false">IF(COUNT(K346:T346)=0,"SOURCE EMPTY / INDUSTRIAL ONLY",IF(MIN(K346:T346)=1,"SERVICE READY","HOLD"))</f>
        <v>SOURCE EMPTY / INDUSTRIAL ONLY</v>
      </c>
      <c r="V346" s="9" t="n">
        <f aca="false">IF(U346="SERVICE READY",1,0)</f>
        <v>0</v>
      </c>
      <c r="W346" s="6"/>
      <c r="X346" s="6"/>
      <c r="Y346" s="6"/>
      <c r="Z346" s="6"/>
    </row>
    <row r="347" customFormat="false" ht="15" hidden="false" customHeight="false" outlineLevel="0" collapsed="false">
      <c r="A347" s="9" t="s">
        <v>556</v>
      </c>
      <c r="B347" s="9" t="s">
        <v>504</v>
      </c>
      <c r="C347" s="9" t="s">
        <v>505</v>
      </c>
      <c r="D347" s="9" t="s">
        <v>195</v>
      </c>
      <c r="E347" s="9" t="s">
        <v>323</v>
      </c>
      <c r="F347" s="9" t="s">
        <v>203</v>
      </c>
      <c r="G347" s="9" t="s">
        <v>221</v>
      </c>
      <c r="H347" s="9" t="n">
        <v>1000</v>
      </c>
      <c r="I347" s="29" t="n">
        <v>0.8</v>
      </c>
      <c r="J347" s="9" t="n">
        <v>0</v>
      </c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21" t="str">
        <f aca="false">IF(COUNT(K347:T347)=0,"SOURCE EMPTY / INDUSTRIAL ONLY",IF(MIN(K347:T347)=1,"SERVICE READY","HOLD"))</f>
        <v>SOURCE EMPTY / INDUSTRIAL ONLY</v>
      </c>
      <c r="V347" s="9" t="n">
        <f aca="false">IF(U347="SERVICE READY",1,0)</f>
        <v>0</v>
      </c>
      <c r="W347" s="6"/>
      <c r="X347" s="6"/>
      <c r="Y347" s="6"/>
      <c r="Z347" s="6"/>
    </row>
    <row r="348" customFormat="false" ht="15" hidden="false" customHeight="false" outlineLevel="0" collapsed="false">
      <c r="A348" s="9" t="s">
        <v>557</v>
      </c>
      <c r="B348" s="9" t="s">
        <v>504</v>
      </c>
      <c r="C348" s="9" t="s">
        <v>505</v>
      </c>
      <c r="D348" s="9" t="s">
        <v>195</v>
      </c>
      <c r="E348" s="9" t="s">
        <v>323</v>
      </c>
      <c r="F348" s="9" t="s">
        <v>205</v>
      </c>
      <c r="G348" s="9" t="s">
        <v>221</v>
      </c>
      <c r="H348" s="9" t="n">
        <v>1000</v>
      </c>
      <c r="I348" s="29" t="n">
        <v>0.8</v>
      </c>
      <c r="J348" s="9" t="n">
        <v>0</v>
      </c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21" t="str">
        <f aca="false">IF(COUNT(K348:T348)=0,"SOURCE EMPTY / INDUSTRIAL ONLY",IF(MIN(K348:T348)=1,"SERVICE READY","HOLD"))</f>
        <v>SOURCE EMPTY / INDUSTRIAL ONLY</v>
      </c>
      <c r="V348" s="9" t="n">
        <f aca="false">IF(U348="SERVICE READY",1,0)</f>
        <v>0</v>
      </c>
      <c r="W348" s="6"/>
      <c r="X348" s="6"/>
      <c r="Y348" s="6"/>
      <c r="Z348" s="6"/>
    </row>
    <row r="349" customFormat="false" ht="15" hidden="false" customHeight="false" outlineLevel="0" collapsed="false">
      <c r="A349" s="9" t="s">
        <v>558</v>
      </c>
      <c r="B349" s="9" t="s">
        <v>504</v>
      </c>
      <c r="C349" s="9" t="s">
        <v>505</v>
      </c>
      <c r="D349" s="9" t="s">
        <v>195</v>
      </c>
      <c r="E349" s="9" t="s">
        <v>323</v>
      </c>
      <c r="F349" s="9" t="s">
        <v>207</v>
      </c>
      <c r="G349" s="9" t="s">
        <v>221</v>
      </c>
      <c r="H349" s="9" t="n">
        <v>1000</v>
      </c>
      <c r="I349" s="29" t="n">
        <v>0.8</v>
      </c>
      <c r="J349" s="9" t="n">
        <v>0</v>
      </c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21" t="str">
        <f aca="false">IF(COUNT(K349:T349)=0,"SOURCE EMPTY / INDUSTRIAL ONLY",IF(MIN(K349:T349)=1,"SERVICE READY","HOLD"))</f>
        <v>SOURCE EMPTY / INDUSTRIAL ONLY</v>
      </c>
      <c r="V349" s="9" t="n">
        <f aca="false">IF(U349="SERVICE READY",1,0)</f>
        <v>0</v>
      </c>
      <c r="W349" s="6"/>
      <c r="X349" s="6"/>
      <c r="Y349" s="6"/>
      <c r="Z349" s="6"/>
    </row>
    <row r="350" customFormat="false" ht="15" hidden="false" customHeight="false" outlineLevel="0" collapsed="false">
      <c r="A350" s="9" t="s">
        <v>559</v>
      </c>
      <c r="B350" s="9" t="s">
        <v>504</v>
      </c>
      <c r="C350" s="9" t="s">
        <v>505</v>
      </c>
      <c r="D350" s="9" t="s">
        <v>195</v>
      </c>
      <c r="E350" s="9" t="s">
        <v>323</v>
      </c>
      <c r="F350" s="9" t="s">
        <v>209</v>
      </c>
      <c r="G350" s="9" t="s">
        <v>221</v>
      </c>
      <c r="H350" s="9" t="n">
        <v>1000</v>
      </c>
      <c r="I350" s="29" t="n">
        <v>0.8</v>
      </c>
      <c r="J350" s="9" t="n">
        <v>0</v>
      </c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21" t="str">
        <f aca="false">IF(COUNT(K350:T350)=0,"SOURCE EMPTY / INDUSTRIAL ONLY",IF(MIN(K350:T350)=1,"SERVICE READY","HOLD"))</f>
        <v>SOURCE EMPTY / INDUSTRIAL ONLY</v>
      </c>
      <c r="V350" s="9" t="n">
        <f aca="false">IF(U350="SERVICE READY",1,0)</f>
        <v>0</v>
      </c>
      <c r="W350" s="6"/>
      <c r="X350" s="6"/>
      <c r="Y350" s="6"/>
      <c r="Z350" s="6"/>
    </row>
    <row r="351" customFormat="false" ht="15" hidden="false" customHeight="false" outlineLevel="0" collapsed="false">
      <c r="A351" s="9" t="s">
        <v>560</v>
      </c>
      <c r="B351" s="9" t="s">
        <v>504</v>
      </c>
      <c r="C351" s="9" t="s">
        <v>505</v>
      </c>
      <c r="D351" s="9" t="s">
        <v>195</v>
      </c>
      <c r="E351" s="9" t="s">
        <v>323</v>
      </c>
      <c r="F351" s="9" t="s">
        <v>211</v>
      </c>
      <c r="G351" s="9" t="s">
        <v>221</v>
      </c>
      <c r="H351" s="9" t="n">
        <v>1000</v>
      </c>
      <c r="I351" s="29" t="n">
        <v>0.8</v>
      </c>
      <c r="J351" s="9" t="n">
        <v>0</v>
      </c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21" t="str">
        <f aca="false">IF(COUNT(K351:T351)=0,"SOURCE EMPTY / INDUSTRIAL ONLY",IF(MIN(K351:T351)=1,"SERVICE READY","HOLD"))</f>
        <v>SOURCE EMPTY / INDUSTRIAL ONLY</v>
      </c>
      <c r="V351" s="9" t="n">
        <f aca="false">IF(U351="SERVICE READY",1,0)</f>
        <v>0</v>
      </c>
      <c r="W351" s="6"/>
      <c r="X351" s="6"/>
      <c r="Y351" s="6"/>
      <c r="Z351" s="6"/>
    </row>
    <row r="352" customFormat="false" ht="15" hidden="false" customHeight="false" outlineLevel="0" collapsed="false">
      <c r="A352" s="9" t="s">
        <v>561</v>
      </c>
      <c r="B352" s="9" t="s">
        <v>504</v>
      </c>
      <c r="C352" s="9" t="s">
        <v>505</v>
      </c>
      <c r="D352" s="9" t="s">
        <v>195</v>
      </c>
      <c r="E352" s="9" t="s">
        <v>323</v>
      </c>
      <c r="F352" s="9" t="s">
        <v>197</v>
      </c>
      <c r="G352" s="9" t="s">
        <v>221</v>
      </c>
      <c r="H352" s="9" t="n">
        <v>1000</v>
      </c>
      <c r="I352" s="29" t="n">
        <v>0.8</v>
      </c>
      <c r="J352" s="9" t="n">
        <v>0</v>
      </c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21" t="str">
        <f aca="false">IF(COUNT(K352:T352)=0,"SOURCE EMPTY / INDUSTRIAL ONLY",IF(MIN(K352:T352)=1,"SERVICE READY","HOLD"))</f>
        <v>SOURCE EMPTY / INDUSTRIAL ONLY</v>
      </c>
      <c r="V352" s="9" t="n">
        <f aca="false">IF(U352="SERVICE READY",1,0)</f>
        <v>0</v>
      </c>
      <c r="W352" s="6"/>
      <c r="X352" s="6"/>
      <c r="Y352" s="6"/>
      <c r="Z352" s="6"/>
    </row>
    <row r="353" customFormat="false" ht="15" hidden="false" customHeight="false" outlineLevel="0" collapsed="false">
      <c r="A353" s="9" t="s">
        <v>562</v>
      </c>
      <c r="B353" s="9" t="s">
        <v>504</v>
      </c>
      <c r="C353" s="9" t="s">
        <v>505</v>
      </c>
      <c r="D353" s="9" t="s">
        <v>195</v>
      </c>
      <c r="E353" s="9" t="s">
        <v>323</v>
      </c>
      <c r="F353" s="9" t="s">
        <v>200</v>
      </c>
      <c r="G353" s="9" t="s">
        <v>221</v>
      </c>
      <c r="H353" s="9" t="n">
        <v>1000</v>
      </c>
      <c r="I353" s="29" t="n">
        <v>0.8</v>
      </c>
      <c r="J353" s="9" t="n">
        <v>0</v>
      </c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21" t="str">
        <f aca="false">IF(COUNT(K353:T353)=0,"SOURCE EMPTY / INDUSTRIAL ONLY",IF(MIN(K353:T353)=1,"SERVICE READY","HOLD"))</f>
        <v>SOURCE EMPTY / INDUSTRIAL ONLY</v>
      </c>
      <c r="V353" s="9" t="n">
        <f aca="false">IF(U353="SERVICE READY",1,0)</f>
        <v>0</v>
      </c>
      <c r="W353" s="6"/>
      <c r="X353" s="6"/>
      <c r="Y353" s="6"/>
      <c r="Z353" s="6"/>
    </row>
    <row r="354" customFormat="false" ht="15" hidden="false" customHeight="false" outlineLevel="0" collapsed="false">
      <c r="A354" s="9" t="s">
        <v>563</v>
      </c>
      <c r="B354" s="9" t="s">
        <v>504</v>
      </c>
      <c r="C354" s="9" t="s">
        <v>505</v>
      </c>
      <c r="D354" s="9" t="s">
        <v>195</v>
      </c>
      <c r="E354" s="9" t="s">
        <v>323</v>
      </c>
      <c r="F354" s="9" t="s">
        <v>203</v>
      </c>
      <c r="G354" s="9" t="s">
        <v>221</v>
      </c>
      <c r="H354" s="9" t="n">
        <v>1000</v>
      </c>
      <c r="I354" s="29" t="n">
        <v>0.8</v>
      </c>
      <c r="J354" s="9" t="n">
        <v>0</v>
      </c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21" t="str">
        <f aca="false">IF(COUNT(K354:T354)=0,"SOURCE EMPTY / INDUSTRIAL ONLY",IF(MIN(K354:T354)=1,"SERVICE READY","HOLD"))</f>
        <v>SOURCE EMPTY / INDUSTRIAL ONLY</v>
      </c>
      <c r="V354" s="9" t="n">
        <f aca="false">IF(U354="SERVICE READY",1,0)</f>
        <v>0</v>
      </c>
      <c r="W354" s="6"/>
      <c r="X354" s="6"/>
      <c r="Y354" s="6"/>
      <c r="Z354" s="6"/>
    </row>
    <row r="355" customFormat="false" ht="15" hidden="false" customHeight="false" outlineLevel="0" collapsed="false">
      <c r="A355" s="9" t="s">
        <v>564</v>
      </c>
      <c r="B355" s="9" t="s">
        <v>504</v>
      </c>
      <c r="C355" s="9" t="s">
        <v>505</v>
      </c>
      <c r="D355" s="9" t="s">
        <v>195</v>
      </c>
      <c r="E355" s="9" t="s">
        <v>323</v>
      </c>
      <c r="F355" s="9" t="s">
        <v>205</v>
      </c>
      <c r="G355" s="9" t="s">
        <v>221</v>
      </c>
      <c r="H355" s="9" t="n">
        <v>1000</v>
      </c>
      <c r="I355" s="29" t="n">
        <v>0.8</v>
      </c>
      <c r="J355" s="9" t="n">
        <v>0</v>
      </c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21" t="str">
        <f aca="false">IF(COUNT(K355:T355)=0,"SOURCE EMPTY / INDUSTRIAL ONLY",IF(MIN(K355:T355)=1,"SERVICE READY","HOLD"))</f>
        <v>SOURCE EMPTY / INDUSTRIAL ONLY</v>
      </c>
      <c r="V355" s="9" t="n">
        <f aca="false">IF(U355="SERVICE READY",1,0)</f>
        <v>0</v>
      </c>
      <c r="W355" s="6"/>
      <c r="X355" s="6"/>
      <c r="Y355" s="6"/>
      <c r="Z355" s="6"/>
    </row>
    <row r="356" customFormat="false" ht="15" hidden="false" customHeight="false" outlineLevel="0" collapsed="false">
      <c r="A356" s="9" t="s">
        <v>565</v>
      </c>
      <c r="B356" s="9" t="s">
        <v>504</v>
      </c>
      <c r="C356" s="9" t="s">
        <v>505</v>
      </c>
      <c r="D356" s="9" t="s">
        <v>195</v>
      </c>
      <c r="E356" s="9" t="s">
        <v>323</v>
      </c>
      <c r="F356" s="9" t="s">
        <v>207</v>
      </c>
      <c r="G356" s="9" t="s">
        <v>221</v>
      </c>
      <c r="H356" s="9" t="n">
        <v>1000</v>
      </c>
      <c r="I356" s="29" t="n">
        <v>0.8</v>
      </c>
      <c r="J356" s="9" t="n">
        <v>0</v>
      </c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21" t="str">
        <f aca="false">IF(COUNT(K356:T356)=0,"SOURCE EMPTY / INDUSTRIAL ONLY",IF(MIN(K356:T356)=1,"SERVICE READY","HOLD"))</f>
        <v>SOURCE EMPTY / INDUSTRIAL ONLY</v>
      </c>
      <c r="V356" s="9" t="n">
        <f aca="false">IF(U356="SERVICE READY",1,0)</f>
        <v>0</v>
      </c>
      <c r="W356" s="6"/>
      <c r="X356" s="6"/>
      <c r="Y356" s="6"/>
      <c r="Z356" s="6"/>
    </row>
    <row r="357" customFormat="false" ht="15" hidden="false" customHeight="false" outlineLevel="0" collapsed="false">
      <c r="A357" s="9" t="s">
        <v>566</v>
      </c>
      <c r="B357" s="9" t="s">
        <v>504</v>
      </c>
      <c r="C357" s="9" t="s">
        <v>505</v>
      </c>
      <c r="D357" s="9" t="s">
        <v>195</v>
      </c>
      <c r="E357" s="9" t="s">
        <v>323</v>
      </c>
      <c r="F357" s="9" t="s">
        <v>209</v>
      </c>
      <c r="G357" s="9" t="s">
        <v>221</v>
      </c>
      <c r="H357" s="9" t="n">
        <v>1000</v>
      </c>
      <c r="I357" s="29" t="n">
        <v>0.8</v>
      </c>
      <c r="J357" s="9" t="n">
        <v>0</v>
      </c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21" t="str">
        <f aca="false">IF(COUNT(K357:T357)=0,"SOURCE EMPTY / INDUSTRIAL ONLY",IF(MIN(K357:T357)=1,"SERVICE READY","HOLD"))</f>
        <v>SOURCE EMPTY / INDUSTRIAL ONLY</v>
      </c>
      <c r="V357" s="9" t="n">
        <f aca="false">IF(U357="SERVICE READY",1,0)</f>
        <v>0</v>
      </c>
      <c r="W357" s="6"/>
      <c r="X357" s="6"/>
      <c r="Y357" s="6"/>
      <c r="Z357" s="6"/>
    </row>
    <row r="358" customFormat="false" ht="15" hidden="false" customHeight="false" outlineLevel="0" collapsed="false">
      <c r="A358" s="9" t="s">
        <v>567</v>
      </c>
      <c r="B358" s="9" t="s">
        <v>504</v>
      </c>
      <c r="C358" s="9" t="s">
        <v>505</v>
      </c>
      <c r="D358" s="9" t="s">
        <v>195</v>
      </c>
      <c r="E358" s="9" t="s">
        <v>323</v>
      </c>
      <c r="F358" s="9" t="s">
        <v>211</v>
      </c>
      <c r="G358" s="9" t="s">
        <v>221</v>
      </c>
      <c r="H358" s="9" t="n">
        <v>1000</v>
      </c>
      <c r="I358" s="29" t="n">
        <v>0.8</v>
      </c>
      <c r="J358" s="9" t="n">
        <v>0</v>
      </c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21" t="str">
        <f aca="false">IF(COUNT(K358:T358)=0,"SOURCE EMPTY / INDUSTRIAL ONLY",IF(MIN(K358:T358)=1,"SERVICE READY","HOLD"))</f>
        <v>SOURCE EMPTY / INDUSTRIAL ONLY</v>
      </c>
      <c r="V358" s="9" t="n">
        <f aca="false">IF(U358="SERVICE READY",1,0)</f>
        <v>0</v>
      </c>
      <c r="W358" s="6"/>
      <c r="X358" s="6"/>
      <c r="Y358" s="6"/>
      <c r="Z358" s="6"/>
    </row>
    <row r="359" customFormat="false" ht="15" hidden="false" customHeight="false" outlineLevel="0" collapsed="false">
      <c r="A359" s="9" t="s">
        <v>568</v>
      </c>
      <c r="B359" s="9" t="s">
        <v>504</v>
      </c>
      <c r="C359" s="9" t="s">
        <v>505</v>
      </c>
      <c r="D359" s="9" t="s">
        <v>195</v>
      </c>
      <c r="E359" s="9" t="s">
        <v>323</v>
      </c>
      <c r="F359" s="9" t="s">
        <v>197</v>
      </c>
      <c r="G359" s="9" t="s">
        <v>221</v>
      </c>
      <c r="H359" s="9" t="n">
        <v>1000</v>
      </c>
      <c r="I359" s="29" t="n">
        <v>0.8</v>
      </c>
      <c r="J359" s="9" t="n">
        <v>0</v>
      </c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21" t="str">
        <f aca="false">IF(COUNT(K359:T359)=0,"SOURCE EMPTY / INDUSTRIAL ONLY",IF(MIN(K359:T359)=1,"SERVICE READY","HOLD"))</f>
        <v>SOURCE EMPTY / INDUSTRIAL ONLY</v>
      </c>
      <c r="V359" s="9" t="n">
        <f aca="false">IF(U359="SERVICE READY",1,0)</f>
        <v>0</v>
      </c>
      <c r="W359" s="6"/>
      <c r="X359" s="6"/>
      <c r="Y359" s="6"/>
      <c r="Z359" s="6"/>
    </row>
    <row r="360" customFormat="false" ht="15" hidden="false" customHeight="false" outlineLevel="0" collapsed="false">
      <c r="A360" s="9" t="s">
        <v>569</v>
      </c>
      <c r="B360" s="9" t="s">
        <v>570</v>
      </c>
      <c r="C360" s="9" t="s">
        <v>571</v>
      </c>
      <c r="D360" s="9" t="s">
        <v>195</v>
      </c>
      <c r="E360" s="9" t="s">
        <v>323</v>
      </c>
      <c r="F360" s="9" t="s">
        <v>197</v>
      </c>
      <c r="G360" s="9" t="s">
        <v>198</v>
      </c>
      <c r="H360" s="9" t="n">
        <v>375</v>
      </c>
      <c r="I360" s="29" t="n">
        <v>0.3</v>
      </c>
      <c r="J360" s="9" t="n">
        <v>1</v>
      </c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21" t="str">
        <f aca="false">IF(COUNT(K360:T360)=0,"SOURCE EMPTY / INDUSTRIAL ONLY",IF(MIN(K360:T360)=1,"SERVICE READY","HOLD"))</f>
        <v>SOURCE EMPTY / INDUSTRIAL ONLY</v>
      </c>
      <c r="V360" s="9" t="n">
        <f aca="false">IF(U360="SERVICE READY",1,0)</f>
        <v>0</v>
      </c>
      <c r="W360" s="6"/>
      <c r="X360" s="6"/>
      <c r="Y360" s="6"/>
      <c r="Z360" s="6"/>
    </row>
    <row r="361" customFormat="false" ht="15" hidden="false" customHeight="false" outlineLevel="0" collapsed="false">
      <c r="A361" s="9" t="s">
        <v>572</v>
      </c>
      <c r="B361" s="9" t="s">
        <v>570</v>
      </c>
      <c r="C361" s="9" t="s">
        <v>571</v>
      </c>
      <c r="D361" s="9" t="s">
        <v>195</v>
      </c>
      <c r="E361" s="9" t="s">
        <v>323</v>
      </c>
      <c r="F361" s="9" t="s">
        <v>200</v>
      </c>
      <c r="G361" s="9" t="s">
        <v>201</v>
      </c>
      <c r="H361" s="9" t="n">
        <v>375</v>
      </c>
      <c r="I361" s="29" t="n">
        <v>0.3</v>
      </c>
      <c r="J361" s="9" t="n">
        <v>1</v>
      </c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21" t="str">
        <f aca="false">IF(COUNT(K361:T361)=0,"SOURCE EMPTY / INDUSTRIAL ONLY",IF(MIN(K361:T361)=1,"SERVICE READY","HOLD"))</f>
        <v>SOURCE EMPTY / INDUSTRIAL ONLY</v>
      </c>
      <c r="V361" s="9" t="n">
        <f aca="false">IF(U361="SERVICE READY",1,0)</f>
        <v>0</v>
      </c>
      <c r="W361" s="6"/>
      <c r="X361" s="6"/>
      <c r="Y361" s="6"/>
      <c r="Z361" s="6"/>
    </row>
    <row r="362" customFormat="false" ht="15" hidden="false" customHeight="false" outlineLevel="0" collapsed="false">
      <c r="A362" s="9" t="s">
        <v>573</v>
      </c>
      <c r="B362" s="9" t="s">
        <v>570</v>
      </c>
      <c r="C362" s="9" t="s">
        <v>571</v>
      </c>
      <c r="D362" s="9" t="s">
        <v>195</v>
      </c>
      <c r="E362" s="9" t="s">
        <v>323</v>
      </c>
      <c r="F362" s="9" t="s">
        <v>203</v>
      </c>
      <c r="G362" s="9" t="s">
        <v>198</v>
      </c>
      <c r="H362" s="9" t="n">
        <v>375</v>
      </c>
      <c r="I362" s="29" t="n">
        <v>0.3</v>
      </c>
      <c r="J362" s="9" t="n">
        <v>1</v>
      </c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21" t="str">
        <f aca="false">IF(COUNT(K362:T362)=0,"SOURCE EMPTY / INDUSTRIAL ONLY",IF(MIN(K362:T362)=1,"SERVICE READY","HOLD"))</f>
        <v>SOURCE EMPTY / INDUSTRIAL ONLY</v>
      </c>
      <c r="V362" s="9" t="n">
        <f aca="false">IF(U362="SERVICE READY",1,0)</f>
        <v>0</v>
      </c>
      <c r="W362" s="6"/>
      <c r="X362" s="6"/>
      <c r="Y362" s="6"/>
      <c r="Z362" s="6"/>
    </row>
    <row r="363" customFormat="false" ht="15" hidden="false" customHeight="false" outlineLevel="0" collapsed="false">
      <c r="A363" s="9" t="s">
        <v>574</v>
      </c>
      <c r="B363" s="9" t="s">
        <v>570</v>
      </c>
      <c r="C363" s="9" t="s">
        <v>571</v>
      </c>
      <c r="D363" s="9" t="s">
        <v>195</v>
      </c>
      <c r="E363" s="9" t="s">
        <v>323</v>
      </c>
      <c r="F363" s="9" t="s">
        <v>205</v>
      </c>
      <c r="G363" s="9" t="s">
        <v>201</v>
      </c>
      <c r="H363" s="9" t="n">
        <v>375</v>
      </c>
      <c r="I363" s="29" t="n">
        <v>0.3</v>
      </c>
      <c r="J363" s="9" t="n">
        <v>1</v>
      </c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21" t="str">
        <f aca="false">IF(COUNT(K363:T363)=0,"SOURCE EMPTY / INDUSTRIAL ONLY",IF(MIN(K363:T363)=1,"SERVICE READY","HOLD"))</f>
        <v>SOURCE EMPTY / INDUSTRIAL ONLY</v>
      </c>
      <c r="V363" s="9" t="n">
        <f aca="false">IF(U363="SERVICE READY",1,0)</f>
        <v>0</v>
      </c>
      <c r="W363" s="6"/>
      <c r="X363" s="6"/>
      <c r="Y363" s="6"/>
      <c r="Z363" s="6"/>
    </row>
    <row r="364" customFormat="false" ht="15" hidden="false" customHeight="false" outlineLevel="0" collapsed="false">
      <c r="A364" s="9" t="s">
        <v>575</v>
      </c>
      <c r="B364" s="9" t="s">
        <v>570</v>
      </c>
      <c r="C364" s="9" t="s">
        <v>571</v>
      </c>
      <c r="D364" s="9" t="s">
        <v>195</v>
      </c>
      <c r="E364" s="9" t="s">
        <v>323</v>
      </c>
      <c r="F364" s="9" t="s">
        <v>207</v>
      </c>
      <c r="G364" s="9" t="s">
        <v>198</v>
      </c>
      <c r="H364" s="9" t="n">
        <v>375</v>
      </c>
      <c r="I364" s="29" t="n">
        <v>0.3</v>
      </c>
      <c r="J364" s="9" t="n">
        <v>1</v>
      </c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21" t="str">
        <f aca="false">IF(COUNT(K364:T364)=0,"SOURCE EMPTY / INDUSTRIAL ONLY",IF(MIN(K364:T364)=1,"SERVICE READY","HOLD"))</f>
        <v>SOURCE EMPTY / INDUSTRIAL ONLY</v>
      </c>
      <c r="V364" s="9" t="n">
        <f aca="false">IF(U364="SERVICE READY",1,0)</f>
        <v>0</v>
      </c>
      <c r="W364" s="6"/>
      <c r="X364" s="6"/>
      <c r="Y364" s="6"/>
      <c r="Z364" s="6"/>
    </row>
    <row r="365" customFormat="false" ht="15" hidden="false" customHeight="false" outlineLevel="0" collapsed="false">
      <c r="A365" s="9" t="s">
        <v>576</v>
      </c>
      <c r="B365" s="9" t="s">
        <v>570</v>
      </c>
      <c r="C365" s="9" t="s">
        <v>571</v>
      </c>
      <c r="D365" s="9" t="s">
        <v>195</v>
      </c>
      <c r="E365" s="9" t="s">
        <v>323</v>
      </c>
      <c r="F365" s="9" t="s">
        <v>209</v>
      </c>
      <c r="G365" s="9" t="s">
        <v>201</v>
      </c>
      <c r="H365" s="9" t="n">
        <v>375</v>
      </c>
      <c r="I365" s="29" t="n">
        <v>0.3</v>
      </c>
      <c r="J365" s="9" t="n">
        <v>1</v>
      </c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21" t="str">
        <f aca="false">IF(COUNT(K365:T365)=0,"SOURCE EMPTY / INDUSTRIAL ONLY",IF(MIN(K365:T365)=1,"SERVICE READY","HOLD"))</f>
        <v>SOURCE EMPTY / INDUSTRIAL ONLY</v>
      </c>
      <c r="V365" s="9" t="n">
        <f aca="false">IF(U365="SERVICE READY",1,0)</f>
        <v>0</v>
      </c>
      <c r="W365" s="6"/>
      <c r="X365" s="6"/>
      <c r="Y365" s="6"/>
      <c r="Z365" s="6"/>
    </row>
    <row r="366" customFormat="false" ht="15" hidden="false" customHeight="false" outlineLevel="0" collapsed="false">
      <c r="A366" s="9" t="s">
        <v>577</v>
      </c>
      <c r="B366" s="9" t="s">
        <v>570</v>
      </c>
      <c r="C366" s="9" t="s">
        <v>571</v>
      </c>
      <c r="D366" s="9" t="s">
        <v>195</v>
      </c>
      <c r="E366" s="9" t="s">
        <v>323</v>
      </c>
      <c r="F366" s="9" t="s">
        <v>211</v>
      </c>
      <c r="G366" s="9" t="s">
        <v>198</v>
      </c>
      <c r="H366" s="9" t="n">
        <v>375</v>
      </c>
      <c r="I366" s="29" t="n">
        <v>0.3</v>
      </c>
      <c r="J366" s="9" t="n">
        <v>1</v>
      </c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21" t="str">
        <f aca="false">IF(COUNT(K366:T366)=0,"SOURCE EMPTY / INDUSTRIAL ONLY",IF(MIN(K366:T366)=1,"SERVICE READY","HOLD"))</f>
        <v>SOURCE EMPTY / INDUSTRIAL ONLY</v>
      </c>
      <c r="V366" s="9" t="n">
        <f aca="false">IF(U366="SERVICE READY",1,0)</f>
        <v>0</v>
      </c>
      <c r="W366" s="6"/>
      <c r="X366" s="6"/>
      <c r="Y366" s="6"/>
      <c r="Z366" s="6"/>
    </row>
    <row r="367" customFormat="false" ht="15" hidden="false" customHeight="false" outlineLevel="0" collapsed="false">
      <c r="A367" s="9" t="s">
        <v>578</v>
      </c>
      <c r="B367" s="9" t="s">
        <v>570</v>
      </c>
      <c r="C367" s="9" t="s">
        <v>571</v>
      </c>
      <c r="D367" s="9" t="s">
        <v>195</v>
      </c>
      <c r="E367" s="9" t="s">
        <v>323</v>
      </c>
      <c r="F367" s="9" t="s">
        <v>197</v>
      </c>
      <c r="G367" s="9" t="s">
        <v>201</v>
      </c>
      <c r="H367" s="9" t="n">
        <v>375</v>
      </c>
      <c r="I367" s="29" t="n">
        <v>0.3</v>
      </c>
      <c r="J367" s="9" t="n">
        <v>1</v>
      </c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21" t="str">
        <f aca="false">IF(COUNT(K367:T367)=0,"SOURCE EMPTY / INDUSTRIAL ONLY",IF(MIN(K367:T367)=1,"SERVICE READY","HOLD"))</f>
        <v>SOURCE EMPTY / INDUSTRIAL ONLY</v>
      </c>
      <c r="V367" s="9" t="n">
        <f aca="false">IF(U367="SERVICE READY",1,0)</f>
        <v>0</v>
      </c>
      <c r="W367" s="6"/>
      <c r="X367" s="6"/>
      <c r="Y367" s="6"/>
      <c r="Z367" s="6"/>
    </row>
    <row r="368" customFormat="false" ht="15" hidden="false" customHeight="false" outlineLevel="0" collapsed="false">
      <c r="A368" s="9" t="s">
        <v>579</v>
      </c>
      <c r="B368" s="9" t="s">
        <v>570</v>
      </c>
      <c r="C368" s="9" t="s">
        <v>571</v>
      </c>
      <c r="D368" s="9" t="s">
        <v>195</v>
      </c>
      <c r="E368" s="9" t="s">
        <v>323</v>
      </c>
      <c r="F368" s="9" t="s">
        <v>200</v>
      </c>
      <c r="G368" s="9" t="s">
        <v>198</v>
      </c>
      <c r="H368" s="9" t="n">
        <v>375</v>
      </c>
      <c r="I368" s="29" t="n">
        <v>0.3</v>
      </c>
      <c r="J368" s="9" t="n">
        <v>1</v>
      </c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21" t="str">
        <f aca="false">IF(COUNT(K368:T368)=0,"SOURCE EMPTY / INDUSTRIAL ONLY",IF(MIN(K368:T368)=1,"SERVICE READY","HOLD"))</f>
        <v>SOURCE EMPTY / INDUSTRIAL ONLY</v>
      </c>
      <c r="V368" s="9" t="n">
        <f aca="false">IF(U368="SERVICE READY",1,0)</f>
        <v>0</v>
      </c>
      <c r="W368" s="6"/>
      <c r="X368" s="6"/>
      <c r="Y368" s="6"/>
      <c r="Z368" s="6"/>
    </row>
    <row r="369" customFormat="false" ht="15" hidden="false" customHeight="false" outlineLevel="0" collapsed="false">
      <c r="A369" s="9" t="s">
        <v>580</v>
      </c>
      <c r="B369" s="9" t="s">
        <v>570</v>
      </c>
      <c r="C369" s="9" t="s">
        <v>571</v>
      </c>
      <c r="D369" s="9" t="s">
        <v>195</v>
      </c>
      <c r="E369" s="9" t="s">
        <v>323</v>
      </c>
      <c r="F369" s="9" t="s">
        <v>203</v>
      </c>
      <c r="G369" s="9" t="s">
        <v>201</v>
      </c>
      <c r="H369" s="9" t="n">
        <v>375</v>
      </c>
      <c r="I369" s="29" t="n">
        <v>0.3</v>
      </c>
      <c r="J369" s="9" t="n">
        <v>1</v>
      </c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21" t="str">
        <f aca="false">IF(COUNT(K369:T369)=0,"SOURCE EMPTY / INDUSTRIAL ONLY",IF(MIN(K369:T369)=1,"SERVICE READY","HOLD"))</f>
        <v>SOURCE EMPTY / INDUSTRIAL ONLY</v>
      </c>
      <c r="V369" s="9" t="n">
        <f aca="false">IF(U369="SERVICE READY",1,0)</f>
        <v>0</v>
      </c>
      <c r="W369" s="6"/>
      <c r="X369" s="6"/>
      <c r="Y369" s="6"/>
      <c r="Z369" s="6"/>
    </row>
    <row r="370" customFormat="false" ht="15" hidden="false" customHeight="false" outlineLevel="0" collapsed="false">
      <c r="A370" s="9" t="s">
        <v>581</v>
      </c>
      <c r="B370" s="9" t="s">
        <v>570</v>
      </c>
      <c r="C370" s="9" t="s">
        <v>571</v>
      </c>
      <c r="D370" s="9" t="s">
        <v>195</v>
      </c>
      <c r="E370" s="9" t="s">
        <v>323</v>
      </c>
      <c r="F370" s="9" t="s">
        <v>205</v>
      </c>
      <c r="G370" s="9" t="s">
        <v>198</v>
      </c>
      <c r="H370" s="9" t="n">
        <v>375</v>
      </c>
      <c r="I370" s="29" t="n">
        <v>0.3</v>
      </c>
      <c r="J370" s="9" t="n">
        <v>1</v>
      </c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21" t="str">
        <f aca="false">IF(COUNT(K370:T370)=0,"SOURCE EMPTY / INDUSTRIAL ONLY",IF(MIN(K370:T370)=1,"SERVICE READY","HOLD"))</f>
        <v>SOURCE EMPTY / INDUSTRIAL ONLY</v>
      </c>
      <c r="V370" s="9" t="n">
        <f aca="false">IF(U370="SERVICE READY",1,0)</f>
        <v>0</v>
      </c>
      <c r="W370" s="6"/>
      <c r="X370" s="6"/>
      <c r="Y370" s="6"/>
      <c r="Z370" s="6"/>
    </row>
    <row r="371" customFormat="false" ht="15" hidden="false" customHeight="false" outlineLevel="0" collapsed="false">
      <c r="A371" s="9" t="s">
        <v>582</v>
      </c>
      <c r="B371" s="9" t="s">
        <v>570</v>
      </c>
      <c r="C371" s="9" t="s">
        <v>571</v>
      </c>
      <c r="D371" s="9" t="s">
        <v>195</v>
      </c>
      <c r="E371" s="9" t="s">
        <v>323</v>
      </c>
      <c r="F371" s="9" t="s">
        <v>207</v>
      </c>
      <c r="G371" s="9" t="s">
        <v>201</v>
      </c>
      <c r="H371" s="9" t="n">
        <v>375</v>
      </c>
      <c r="I371" s="29" t="n">
        <v>0.3</v>
      </c>
      <c r="J371" s="9" t="n">
        <v>1</v>
      </c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21" t="str">
        <f aca="false">IF(COUNT(K371:T371)=0,"SOURCE EMPTY / INDUSTRIAL ONLY",IF(MIN(K371:T371)=1,"SERVICE READY","HOLD"))</f>
        <v>SOURCE EMPTY / INDUSTRIAL ONLY</v>
      </c>
      <c r="V371" s="9" t="n">
        <f aca="false">IF(U371="SERVICE READY",1,0)</f>
        <v>0</v>
      </c>
      <c r="W371" s="6"/>
      <c r="X371" s="6"/>
      <c r="Y371" s="6"/>
      <c r="Z371" s="6"/>
    </row>
    <row r="372" customFormat="false" ht="15" hidden="false" customHeight="false" outlineLevel="0" collapsed="false">
      <c r="A372" s="9" t="s">
        <v>583</v>
      </c>
      <c r="B372" s="9" t="s">
        <v>570</v>
      </c>
      <c r="C372" s="9" t="s">
        <v>571</v>
      </c>
      <c r="D372" s="9" t="s">
        <v>195</v>
      </c>
      <c r="E372" s="9" t="s">
        <v>323</v>
      </c>
      <c r="F372" s="9" t="s">
        <v>209</v>
      </c>
      <c r="G372" s="9" t="s">
        <v>221</v>
      </c>
      <c r="H372" s="9" t="n">
        <v>375</v>
      </c>
      <c r="I372" s="29" t="n">
        <v>0.3</v>
      </c>
      <c r="J372" s="9" t="n">
        <v>1</v>
      </c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21" t="str">
        <f aca="false">IF(COUNT(K372:T372)=0,"SOURCE EMPTY / INDUSTRIAL ONLY",IF(MIN(K372:T372)=1,"SERVICE READY","HOLD"))</f>
        <v>SOURCE EMPTY / INDUSTRIAL ONLY</v>
      </c>
      <c r="V372" s="9" t="n">
        <f aca="false">IF(U372="SERVICE READY",1,0)</f>
        <v>0</v>
      </c>
      <c r="W372" s="6"/>
      <c r="X372" s="6"/>
      <c r="Y372" s="6"/>
      <c r="Z372" s="6"/>
    </row>
    <row r="373" customFormat="false" ht="15" hidden="false" customHeight="false" outlineLevel="0" collapsed="false">
      <c r="A373" s="9" t="s">
        <v>584</v>
      </c>
      <c r="B373" s="9" t="s">
        <v>570</v>
      </c>
      <c r="C373" s="9" t="s">
        <v>571</v>
      </c>
      <c r="D373" s="9" t="s">
        <v>195</v>
      </c>
      <c r="E373" s="9" t="s">
        <v>323</v>
      </c>
      <c r="F373" s="9" t="s">
        <v>211</v>
      </c>
      <c r="G373" s="9" t="s">
        <v>221</v>
      </c>
      <c r="H373" s="9" t="n">
        <v>375</v>
      </c>
      <c r="I373" s="29" t="n">
        <v>0.3</v>
      </c>
      <c r="J373" s="9" t="n">
        <v>1</v>
      </c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21" t="str">
        <f aca="false">IF(COUNT(K373:T373)=0,"SOURCE EMPTY / INDUSTRIAL ONLY",IF(MIN(K373:T373)=1,"SERVICE READY","HOLD"))</f>
        <v>SOURCE EMPTY / INDUSTRIAL ONLY</v>
      </c>
      <c r="V373" s="9" t="n">
        <f aca="false">IF(U373="SERVICE READY",1,0)</f>
        <v>0</v>
      </c>
      <c r="W373" s="6"/>
      <c r="X373" s="6"/>
      <c r="Y373" s="6"/>
      <c r="Z373" s="6"/>
    </row>
    <row r="374" customFormat="false" ht="15" hidden="false" customHeight="false" outlineLevel="0" collapsed="false">
      <c r="A374" s="9" t="s">
        <v>585</v>
      </c>
      <c r="B374" s="9" t="s">
        <v>570</v>
      </c>
      <c r="C374" s="9" t="s">
        <v>571</v>
      </c>
      <c r="D374" s="9" t="s">
        <v>195</v>
      </c>
      <c r="E374" s="9" t="s">
        <v>323</v>
      </c>
      <c r="F374" s="9" t="s">
        <v>197</v>
      </c>
      <c r="G374" s="9" t="s">
        <v>221</v>
      </c>
      <c r="H374" s="9" t="n">
        <v>375</v>
      </c>
      <c r="I374" s="29" t="n">
        <v>0.3</v>
      </c>
      <c r="J374" s="9" t="n">
        <v>1</v>
      </c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21" t="str">
        <f aca="false">IF(COUNT(K374:T374)=0,"SOURCE EMPTY / INDUSTRIAL ONLY",IF(MIN(K374:T374)=1,"SERVICE READY","HOLD"))</f>
        <v>SOURCE EMPTY / INDUSTRIAL ONLY</v>
      </c>
      <c r="V374" s="9" t="n">
        <f aca="false">IF(U374="SERVICE READY",1,0)</f>
        <v>0</v>
      </c>
      <c r="W374" s="6"/>
      <c r="X374" s="6"/>
      <c r="Y374" s="6"/>
      <c r="Z374" s="6"/>
    </row>
    <row r="375" customFormat="false" ht="15" hidden="false" customHeight="false" outlineLevel="0" collapsed="false">
      <c r="A375" s="9" t="s">
        <v>586</v>
      </c>
      <c r="B375" s="9" t="s">
        <v>570</v>
      </c>
      <c r="C375" s="9" t="s">
        <v>571</v>
      </c>
      <c r="D375" s="9" t="s">
        <v>195</v>
      </c>
      <c r="E375" s="9" t="s">
        <v>323</v>
      </c>
      <c r="F375" s="9" t="s">
        <v>200</v>
      </c>
      <c r="G375" s="9" t="s">
        <v>221</v>
      </c>
      <c r="H375" s="9" t="n">
        <v>375</v>
      </c>
      <c r="I375" s="29" t="n">
        <v>0.3</v>
      </c>
      <c r="J375" s="9" t="n">
        <v>1</v>
      </c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21" t="str">
        <f aca="false">IF(COUNT(K375:T375)=0,"SOURCE EMPTY / INDUSTRIAL ONLY",IF(MIN(K375:T375)=1,"SERVICE READY","HOLD"))</f>
        <v>SOURCE EMPTY / INDUSTRIAL ONLY</v>
      </c>
      <c r="V375" s="9" t="n">
        <f aca="false">IF(U375="SERVICE READY",1,0)</f>
        <v>0</v>
      </c>
      <c r="W375" s="6"/>
      <c r="X375" s="6"/>
      <c r="Y375" s="6"/>
      <c r="Z375" s="6"/>
    </row>
    <row r="376" customFormat="false" ht="15" hidden="false" customHeight="false" outlineLevel="0" collapsed="false">
      <c r="A376" s="9" t="s">
        <v>587</v>
      </c>
      <c r="B376" s="9" t="s">
        <v>570</v>
      </c>
      <c r="C376" s="9" t="s">
        <v>571</v>
      </c>
      <c r="D376" s="9" t="s">
        <v>195</v>
      </c>
      <c r="E376" s="9" t="s">
        <v>323</v>
      </c>
      <c r="F376" s="9" t="s">
        <v>203</v>
      </c>
      <c r="G376" s="9" t="s">
        <v>221</v>
      </c>
      <c r="H376" s="9" t="n">
        <v>375</v>
      </c>
      <c r="I376" s="29" t="n">
        <v>0.3</v>
      </c>
      <c r="J376" s="9" t="n">
        <v>1</v>
      </c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21" t="str">
        <f aca="false">IF(COUNT(K376:T376)=0,"SOURCE EMPTY / INDUSTRIAL ONLY",IF(MIN(K376:T376)=1,"SERVICE READY","HOLD"))</f>
        <v>SOURCE EMPTY / INDUSTRIAL ONLY</v>
      </c>
      <c r="V376" s="9" t="n">
        <f aca="false">IF(U376="SERVICE READY",1,0)</f>
        <v>0</v>
      </c>
      <c r="W376" s="6"/>
      <c r="X376" s="6"/>
      <c r="Y376" s="6"/>
      <c r="Z376" s="6"/>
    </row>
    <row r="377" customFormat="false" ht="15" hidden="false" customHeight="false" outlineLevel="0" collapsed="false">
      <c r="A377" s="9" t="s">
        <v>588</v>
      </c>
      <c r="B377" s="9" t="s">
        <v>570</v>
      </c>
      <c r="C377" s="9" t="s">
        <v>571</v>
      </c>
      <c r="D377" s="9" t="s">
        <v>195</v>
      </c>
      <c r="E377" s="9" t="s">
        <v>323</v>
      </c>
      <c r="F377" s="9" t="s">
        <v>205</v>
      </c>
      <c r="G377" s="9" t="s">
        <v>221</v>
      </c>
      <c r="H377" s="9" t="n">
        <v>375</v>
      </c>
      <c r="I377" s="29" t="n">
        <v>0.3</v>
      </c>
      <c r="J377" s="9" t="n">
        <v>1</v>
      </c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21" t="str">
        <f aca="false">IF(COUNT(K377:T377)=0,"SOURCE EMPTY / INDUSTRIAL ONLY",IF(MIN(K377:T377)=1,"SERVICE READY","HOLD"))</f>
        <v>SOURCE EMPTY / INDUSTRIAL ONLY</v>
      </c>
      <c r="V377" s="9" t="n">
        <f aca="false">IF(U377="SERVICE READY",1,0)</f>
        <v>0</v>
      </c>
      <c r="W377" s="6"/>
      <c r="X377" s="6"/>
      <c r="Y377" s="6"/>
      <c r="Z377" s="6"/>
    </row>
    <row r="378" customFormat="false" ht="15" hidden="false" customHeight="false" outlineLevel="0" collapsed="false">
      <c r="A378" s="9" t="s">
        <v>589</v>
      </c>
      <c r="B378" s="9" t="s">
        <v>570</v>
      </c>
      <c r="C378" s="9" t="s">
        <v>571</v>
      </c>
      <c r="D378" s="9" t="s">
        <v>195</v>
      </c>
      <c r="E378" s="9" t="s">
        <v>323</v>
      </c>
      <c r="F378" s="9" t="s">
        <v>207</v>
      </c>
      <c r="G378" s="9" t="s">
        <v>221</v>
      </c>
      <c r="H378" s="9" t="n">
        <v>375</v>
      </c>
      <c r="I378" s="29" t="n">
        <v>0.3</v>
      </c>
      <c r="J378" s="9" t="n">
        <v>1</v>
      </c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21" t="str">
        <f aca="false">IF(COUNT(K378:T378)=0,"SOURCE EMPTY / INDUSTRIAL ONLY",IF(MIN(K378:T378)=1,"SERVICE READY","HOLD"))</f>
        <v>SOURCE EMPTY / INDUSTRIAL ONLY</v>
      </c>
      <c r="V378" s="9" t="n">
        <f aca="false">IF(U378="SERVICE READY",1,0)</f>
        <v>0</v>
      </c>
      <c r="W378" s="6"/>
      <c r="X378" s="6"/>
      <c r="Y378" s="6"/>
      <c r="Z378" s="6"/>
    </row>
    <row r="379" customFormat="false" ht="15" hidden="false" customHeight="false" outlineLevel="0" collapsed="false">
      <c r="A379" s="9" t="s">
        <v>590</v>
      </c>
      <c r="B379" s="9" t="s">
        <v>570</v>
      </c>
      <c r="C379" s="9" t="s">
        <v>571</v>
      </c>
      <c r="D379" s="9" t="s">
        <v>195</v>
      </c>
      <c r="E379" s="9" t="s">
        <v>323</v>
      </c>
      <c r="F379" s="9" t="s">
        <v>209</v>
      </c>
      <c r="G379" s="9" t="s">
        <v>221</v>
      </c>
      <c r="H379" s="9" t="n">
        <v>375</v>
      </c>
      <c r="I379" s="29" t="n">
        <v>0.3</v>
      </c>
      <c r="J379" s="9" t="n">
        <v>1</v>
      </c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21" t="str">
        <f aca="false">IF(COUNT(K379:T379)=0,"SOURCE EMPTY / INDUSTRIAL ONLY",IF(MIN(K379:T379)=1,"SERVICE READY","HOLD"))</f>
        <v>SOURCE EMPTY / INDUSTRIAL ONLY</v>
      </c>
      <c r="V379" s="9" t="n">
        <f aca="false">IF(U379="SERVICE READY",1,0)</f>
        <v>0</v>
      </c>
      <c r="W379" s="6"/>
      <c r="X379" s="6"/>
      <c r="Y379" s="6"/>
      <c r="Z379" s="6"/>
    </row>
    <row r="380" customFormat="false" ht="15" hidden="false" customHeight="false" outlineLevel="0" collapsed="false">
      <c r="A380" s="9" t="s">
        <v>591</v>
      </c>
      <c r="B380" s="9" t="s">
        <v>570</v>
      </c>
      <c r="C380" s="9" t="s">
        <v>571</v>
      </c>
      <c r="D380" s="9" t="s">
        <v>195</v>
      </c>
      <c r="E380" s="9" t="s">
        <v>323</v>
      </c>
      <c r="F380" s="9" t="s">
        <v>211</v>
      </c>
      <c r="G380" s="9" t="s">
        <v>221</v>
      </c>
      <c r="H380" s="9" t="n">
        <v>375</v>
      </c>
      <c r="I380" s="29" t="n">
        <v>0.3</v>
      </c>
      <c r="J380" s="9" t="n">
        <v>1</v>
      </c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21" t="str">
        <f aca="false">IF(COUNT(K380:T380)=0,"SOURCE EMPTY / INDUSTRIAL ONLY",IF(MIN(K380:T380)=1,"SERVICE READY","HOLD"))</f>
        <v>SOURCE EMPTY / INDUSTRIAL ONLY</v>
      </c>
      <c r="V380" s="9" t="n">
        <f aca="false">IF(U380="SERVICE READY",1,0)</f>
        <v>0</v>
      </c>
      <c r="W380" s="6"/>
      <c r="X380" s="6"/>
      <c r="Y380" s="6"/>
      <c r="Z380" s="6"/>
    </row>
    <row r="381" customFormat="false" ht="15" hidden="false" customHeight="false" outlineLevel="0" collapsed="false">
      <c r="A381" s="9" t="s">
        <v>592</v>
      </c>
      <c r="B381" s="9" t="s">
        <v>570</v>
      </c>
      <c r="C381" s="9" t="s">
        <v>571</v>
      </c>
      <c r="D381" s="9" t="s">
        <v>195</v>
      </c>
      <c r="E381" s="9" t="s">
        <v>323</v>
      </c>
      <c r="F381" s="9" t="s">
        <v>197</v>
      </c>
      <c r="G381" s="9" t="s">
        <v>221</v>
      </c>
      <c r="H381" s="9" t="n">
        <v>375</v>
      </c>
      <c r="I381" s="29" t="n">
        <v>0.3</v>
      </c>
      <c r="J381" s="9" t="n">
        <v>1</v>
      </c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21" t="str">
        <f aca="false">IF(COUNT(K381:T381)=0,"SOURCE EMPTY / INDUSTRIAL ONLY",IF(MIN(K381:T381)=1,"SERVICE READY","HOLD"))</f>
        <v>SOURCE EMPTY / INDUSTRIAL ONLY</v>
      </c>
      <c r="V381" s="9" t="n">
        <f aca="false">IF(U381="SERVICE READY",1,0)</f>
        <v>0</v>
      </c>
      <c r="W381" s="6"/>
      <c r="X381" s="6"/>
      <c r="Y381" s="6"/>
      <c r="Z381" s="6"/>
    </row>
    <row r="382" customFormat="false" ht="15" hidden="false" customHeight="false" outlineLevel="0" collapsed="false">
      <c r="A382" s="9" t="s">
        <v>593</v>
      </c>
      <c r="B382" s="9" t="s">
        <v>570</v>
      </c>
      <c r="C382" s="9" t="s">
        <v>571</v>
      </c>
      <c r="D382" s="9" t="s">
        <v>195</v>
      </c>
      <c r="E382" s="9" t="s">
        <v>323</v>
      </c>
      <c r="F382" s="9" t="s">
        <v>200</v>
      </c>
      <c r="G382" s="9" t="s">
        <v>221</v>
      </c>
      <c r="H382" s="9" t="n">
        <v>375</v>
      </c>
      <c r="I382" s="29" t="n">
        <v>0.3</v>
      </c>
      <c r="J382" s="9" t="n">
        <v>1</v>
      </c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21" t="str">
        <f aca="false">IF(COUNT(K382:T382)=0,"SOURCE EMPTY / INDUSTRIAL ONLY",IF(MIN(K382:T382)=1,"SERVICE READY","HOLD"))</f>
        <v>SOURCE EMPTY / INDUSTRIAL ONLY</v>
      </c>
      <c r="V382" s="9" t="n">
        <f aca="false">IF(U382="SERVICE READY",1,0)</f>
        <v>0</v>
      </c>
      <c r="W382" s="6"/>
      <c r="X382" s="6"/>
      <c r="Y382" s="6"/>
      <c r="Z382" s="6"/>
    </row>
    <row r="383" customFormat="false" ht="15" hidden="false" customHeight="false" outlineLevel="0" collapsed="false">
      <c r="A383" s="9" t="s">
        <v>594</v>
      </c>
      <c r="B383" s="9" t="s">
        <v>570</v>
      </c>
      <c r="C383" s="9" t="s">
        <v>571</v>
      </c>
      <c r="D383" s="9" t="s">
        <v>195</v>
      </c>
      <c r="E383" s="9" t="s">
        <v>323</v>
      </c>
      <c r="F383" s="9" t="s">
        <v>203</v>
      </c>
      <c r="G383" s="9" t="s">
        <v>221</v>
      </c>
      <c r="H383" s="9" t="n">
        <v>375</v>
      </c>
      <c r="I383" s="29" t="n">
        <v>0.3</v>
      </c>
      <c r="J383" s="9" t="n">
        <v>1</v>
      </c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21" t="str">
        <f aca="false">IF(COUNT(K383:T383)=0,"SOURCE EMPTY / INDUSTRIAL ONLY",IF(MIN(K383:T383)=1,"SERVICE READY","HOLD"))</f>
        <v>SOURCE EMPTY / INDUSTRIAL ONLY</v>
      </c>
      <c r="V383" s="9" t="n">
        <f aca="false">IF(U383="SERVICE READY",1,0)</f>
        <v>0</v>
      </c>
      <c r="W383" s="6"/>
      <c r="X383" s="6"/>
      <c r="Y383" s="6"/>
      <c r="Z383" s="6"/>
    </row>
    <row r="384" customFormat="false" ht="15" hidden="false" customHeight="false" outlineLevel="0" collapsed="false">
      <c r="A384" s="9" t="s">
        <v>595</v>
      </c>
      <c r="B384" s="9" t="s">
        <v>570</v>
      </c>
      <c r="C384" s="9" t="s">
        <v>571</v>
      </c>
      <c r="D384" s="9" t="s">
        <v>195</v>
      </c>
      <c r="E384" s="9" t="s">
        <v>323</v>
      </c>
      <c r="F384" s="9" t="s">
        <v>205</v>
      </c>
      <c r="G384" s="9" t="s">
        <v>221</v>
      </c>
      <c r="H384" s="9" t="n">
        <v>375</v>
      </c>
      <c r="I384" s="29" t="n">
        <v>0.3</v>
      </c>
      <c r="J384" s="9" t="n">
        <v>1</v>
      </c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21" t="str">
        <f aca="false">IF(COUNT(K384:T384)=0,"SOURCE EMPTY / INDUSTRIAL ONLY",IF(MIN(K384:T384)=1,"SERVICE READY","HOLD"))</f>
        <v>SOURCE EMPTY / INDUSTRIAL ONLY</v>
      </c>
      <c r="V384" s="9" t="n">
        <f aca="false">IF(U384="SERVICE READY",1,0)</f>
        <v>0</v>
      </c>
      <c r="W384" s="6"/>
      <c r="X384" s="6"/>
      <c r="Y384" s="6"/>
      <c r="Z384" s="6"/>
    </row>
    <row r="385" customFormat="false" ht="15" hidden="false" customHeight="false" outlineLevel="0" collapsed="false">
      <c r="A385" s="9" t="s">
        <v>596</v>
      </c>
      <c r="B385" s="9" t="s">
        <v>570</v>
      </c>
      <c r="C385" s="9" t="s">
        <v>571</v>
      </c>
      <c r="D385" s="9" t="s">
        <v>195</v>
      </c>
      <c r="E385" s="9" t="s">
        <v>323</v>
      </c>
      <c r="F385" s="9" t="s">
        <v>207</v>
      </c>
      <c r="G385" s="9" t="s">
        <v>221</v>
      </c>
      <c r="H385" s="9" t="n">
        <v>375</v>
      </c>
      <c r="I385" s="29" t="n">
        <v>0.3</v>
      </c>
      <c r="J385" s="9" t="n">
        <v>1</v>
      </c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21" t="str">
        <f aca="false">IF(COUNT(K385:T385)=0,"SOURCE EMPTY / INDUSTRIAL ONLY",IF(MIN(K385:T385)=1,"SERVICE READY","HOLD"))</f>
        <v>SOURCE EMPTY / INDUSTRIAL ONLY</v>
      </c>
      <c r="V385" s="9" t="n">
        <f aca="false">IF(U385="SERVICE READY",1,0)</f>
        <v>0</v>
      </c>
      <c r="W385" s="6"/>
      <c r="X385" s="6"/>
      <c r="Y385" s="6"/>
      <c r="Z385" s="6"/>
    </row>
    <row r="386" customFormat="false" ht="15" hidden="false" customHeight="false" outlineLevel="0" collapsed="false">
      <c r="A386" s="9" t="s">
        <v>597</v>
      </c>
      <c r="B386" s="9" t="s">
        <v>570</v>
      </c>
      <c r="C386" s="9" t="s">
        <v>571</v>
      </c>
      <c r="D386" s="9" t="s">
        <v>195</v>
      </c>
      <c r="E386" s="9" t="s">
        <v>323</v>
      </c>
      <c r="F386" s="9" t="s">
        <v>209</v>
      </c>
      <c r="G386" s="9" t="s">
        <v>221</v>
      </c>
      <c r="H386" s="9" t="n">
        <v>375</v>
      </c>
      <c r="I386" s="29" t="n">
        <v>0.3</v>
      </c>
      <c r="J386" s="9" t="n">
        <v>1</v>
      </c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21" t="str">
        <f aca="false">IF(COUNT(K386:T386)=0,"SOURCE EMPTY / INDUSTRIAL ONLY",IF(MIN(K386:T386)=1,"SERVICE READY","HOLD"))</f>
        <v>SOURCE EMPTY / INDUSTRIAL ONLY</v>
      </c>
      <c r="V386" s="9" t="n">
        <f aca="false">IF(U386="SERVICE READY",1,0)</f>
        <v>0</v>
      </c>
      <c r="W386" s="6"/>
      <c r="X386" s="6"/>
      <c r="Y386" s="6"/>
      <c r="Z386" s="6"/>
    </row>
    <row r="387" customFormat="false" ht="15" hidden="false" customHeight="false" outlineLevel="0" collapsed="false">
      <c r="A387" s="9" t="s">
        <v>598</v>
      </c>
      <c r="B387" s="9" t="s">
        <v>570</v>
      </c>
      <c r="C387" s="9" t="s">
        <v>571</v>
      </c>
      <c r="D387" s="9" t="s">
        <v>195</v>
      </c>
      <c r="E387" s="9" t="s">
        <v>323</v>
      </c>
      <c r="F387" s="9" t="s">
        <v>211</v>
      </c>
      <c r="G387" s="9" t="s">
        <v>221</v>
      </c>
      <c r="H387" s="9" t="n">
        <v>375</v>
      </c>
      <c r="I387" s="29" t="n">
        <v>0.3</v>
      </c>
      <c r="J387" s="9" t="n">
        <v>1</v>
      </c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21" t="str">
        <f aca="false">IF(COUNT(K387:T387)=0,"SOURCE EMPTY / INDUSTRIAL ONLY",IF(MIN(K387:T387)=1,"SERVICE READY","HOLD"))</f>
        <v>SOURCE EMPTY / INDUSTRIAL ONLY</v>
      </c>
      <c r="V387" s="9" t="n">
        <f aca="false">IF(U387="SERVICE READY",1,0)</f>
        <v>0</v>
      </c>
      <c r="W387" s="6"/>
      <c r="X387" s="6"/>
      <c r="Y387" s="6"/>
      <c r="Z387" s="6"/>
    </row>
    <row r="388" customFormat="false" ht="15" hidden="false" customHeight="false" outlineLevel="0" collapsed="false">
      <c r="A388" s="9" t="s">
        <v>599</v>
      </c>
      <c r="B388" s="9" t="s">
        <v>570</v>
      </c>
      <c r="C388" s="9" t="s">
        <v>571</v>
      </c>
      <c r="D388" s="9" t="s">
        <v>195</v>
      </c>
      <c r="E388" s="9" t="s">
        <v>323</v>
      </c>
      <c r="F388" s="9" t="s">
        <v>197</v>
      </c>
      <c r="G388" s="9" t="s">
        <v>221</v>
      </c>
      <c r="H388" s="9" t="n">
        <v>375</v>
      </c>
      <c r="I388" s="29" t="n">
        <v>0.3</v>
      </c>
      <c r="J388" s="9" t="n">
        <v>1</v>
      </c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21" t="str">
        <f aca="false">IF(COUNT(K388:T388)=0,"SOURCE EMPTY / INDUSTRIAL ONLY",IF(MIN(K388:T388)=1,"SERVICE READY","HOLD"))</f>
        <v>SOURCE EMPTY / INDUSTRIAL ONLY</v>
      </c>
      <c r="V388" s="9" t="n">
        <f aca="false">IF(U388="SERVICE READY",1,0)</f>
        <v>0</v>
      </c>
      <c r="W388" s="6"/>
      <c r="X388" s="6"/>
      <c r="Y388" s="6"/>
      <c r="Z388" s="6"/>
    </row>
    <row r="389" customFormat="false" ht="15" hidden="false" customHeight="false" outlineLevel="0" collapsed="false">
      <c r="A389" s="9" t="s">
        <v>600</v>
      </c>
      <c r="B389" s="9" t="s">
        <v>570</v>
      </c>
      <c r="C389" s="9" t="s">
        <v>571</v>
      </c>
      <c r="D389" s="9" t="s">
        <v>195</v>
      </c>
      <c r="E389" s="9" t="s">
        <v>323</v>
      </c>
      <c r="F389" s="9" t="s">
        <v>200</v>
      </c>
      <c r="G389" s="9" t="s">
        <v>221</v>
      </c>
      <c r="H389" s="9" t="n">
        <v>375</v>
      </c>
      <c r="I389" s="29" t="n">
        <v>0.3</v>
      </c>
      <c r="J389" s="9" t="n">
        <v>1</v>
      </c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21" t="str">
        <f aca="false">IF(COUNT(K389:T389)=0,"SOURCE EMPTY / INDUSTRIAL ONLY",IF(MIN(K389:T389)=1,"SERVICE READY","HOLD"))</f>
        <v>SOURCE EMPTY / INDUSTRIAL ONLY</v>
      </c>
      <c r="V389" s="9" t="n">
        <f aca="false">IF(U389="SERVICE READY",1,0)</f>
        <v>0</v>
      </c>
      <c r="W389" s="6"/>
      <c r="X389" s="6"/>
      <c r="Y389" s="6"/>
      <c r="Z389" s="6"/>
    </row>
    <row r="390" customFormat="false" ht="15" hidden="false" customHeight="false" outlineLevel="0" collapsed="false">
      <c r="A390" s="9" t="s">
        <v>601</v>
      </c>
      <c r="B390" s="9" t="s">
        <v>570</v>
      </c>
      <c r="C390" s="9" t="s">
        <v>571</v>
      </c>
      <c r="D390" s="9" t="s">
        <v>195</v>
      </c>
      <c r="E390" s="9" t="s">
        <v>323</v>
      </c>
      <c r="F390" s="9" t="s">
        <v>203</v>
      </c>
      <c r="G390" s="9" t="s">
        <v>221</v>
      </c>
      <c r="H390" s="9" t="n">
        <v>375</v>
      </c>
      <c r="I390" s="29" t="n">
        <v>0.3</v>
      </c>
      <c r="J390" s="9" t="n">
        <v>1</v>
      </c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21" t="str">
        <f aca="false">IF(COUNT(K390:T390)=0,"SOURCE EMPTY / INDUSTRIAL ONLY",IF(MIN(K390:T390)=1,"SERVICE READY","HOLD"))</f>
        <v>SOURCE EMPTY / INDUSTRIAL ONLY</v>
      </c>
      <c r="V390" s="9" t="n">
        <f aca="false">IF(U390="SERVICE READY",1,0)</f>
        <v>0</v>
      </c>
      <c r="W390" s="6"/>
      <c r="X390" s="6"/>
      <c r="Y390" s="6"/>
      <c r="Z390" s="6"/>
    </row>
    <row r="391" customFormat="false" ht="15" hidden="false" customHeight="false" outlineLevel="0" collapsed="false">
      <c r="A391" s="9" t="s">
        <v>602</v>
      </c>
      <c r="B391" s="9" t="s">
        <v>570</v>
      </c>
      <c r="C391" s="9" t="s">
        <v>571</v>
      </c>
      <c r="D391" s="9" t="s">
        <v>195</v>
      </c>
      <c r="E391" s="9" t="s">
        <v>323</v>
      </c>
      <c r="F391" s="9" t="s">
        <v>205</v>
      </c>
      <c r="G391" s="9" t="s">
        <v>221</v>
      </c>
      <c r="H391" s="9" t="n">
        <v>375</v>
      </c>
      <c r="I391" s="29" t="n">
        <v>0.3</v>
      </c>
      <c r="J391" s="9" t="n">
        <v>1</v>
      </c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21" t="str">
        <f aca="false">IF(COUNT(K391:T391)=0,"SOURCE EMPTY / INDUSTRIAL ONLY",IF(MIN(K391:T391)=1,"SERVICE READY","HOLD"))</f>
        <v>SOURCE EMPTY / INDUSTRIAL ONLY</v>
      </c>
      <c r="V391" s="9" t="n">
        <f aca="false">IF(U391="SERVICE READY",1,0)</f>
        <v>0</v>
      </c>
      <c r="W391" s="6"/>
      <c r="X391" s="6"/>
      <c r="Y391" s="6"/>
      <c r="Z391" s="6"/>
    </row>
    <row r="392" customFormat="false" ht="15" hidden="false" customHeight="false" outlineLevel="0" collapsed="false">
      <c r="A392" s="9" t="s">
        <v>603</v>
      </c>
      <c r="B392" s="9" t="s">
        <v>570</v>
      </c>
      <c r="C392" s="9" t="s">
        <v>571</v>
      </c>
      <c r="D392" s="9" t="s">
        <v>195</v>
      </c>
      <c r="E392" s="9" t="s">
        <v>323</v>
      </c>
      <c r="F392" s="9" t="s">
        <v>207</v>
      </c>
      <c r="G392" s="9" t="s">
        <v>221</v>
      </c>
      <c r="H392" s="9" t="n">
        <v>375</v>
      </c>
      <c r="I392" s="29" t="n">
        <v>0.3</v>
      </c>
      <c r="J392" s="9" t="n">
        <v>1</v>
      </c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21" t="str">
        <f aca="false">IF(COUNT(K392:T392)=0,"SOURCE EMPTY / INDUSTRIAL ONLY",IF(MIN(K392:T392)=1,"SERVICE READY","HOLD"))</f>
        <v>SOURCE EMPTY / INDUSTRIAL ONLY</v>
      </c>
      <c r="V392" s="9" t="n">
        <f aca="false">IF(U392="SERVICE READY",1,0)</f>
        <v>0</v>
      </c>
      <c r="W392" s="6"/>
      <c r="X392" s="6"/>
      <c r="Y392" s="6"/>
      <c r="Z392" s="6"/>
    </row>
    <row r="393" customFormat="false" ht="15" hidden="false" customHeight="false" outlineLevel="0" collapsed="false">
      <c r="A393" s="9" t="s">
        <v>604</v>
      </c>
      <c r="B393" s="9" t="s">
        <v>570</v>
      </c>
      <c r="C393" s="9" t="s">
        <v>571</v>
      </c>
      <c r="D393" s="9" t="s">
        <v>195</v>
      </c>
      <c r="E393" s="9" t="s">
        <v>323</v>
      </c>
      <c r="F393" s="9" t="s">
        <v>209</v>
      </c>
      <c r="G393" s="9" t="s">
        <v>221</v>
      </c>
      <c r="H393" s="9" t="n">
        <v>375</v>
      </c>
      <c r="I393" s="29" t="n">
        <v>0.3</v>
      </c>
      <c r="J393" s="9" t="n">
        <v>1</v>
      </c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21" t="str">
        <f aca="false">IF(COUNT(K393:T393)=0,"SOURCE EMPTY / INDUSTRIAL ONLY",IF(MIN(K393:T393)=1,"SERVICE READY","HOLD"))</f>
        <v>SOURCE EMPTY / INDUSTRIAL ONLY</v>
      </c>
      <c r="V393" s="9" t="n">
        <f aca="false">IF(U393="SERVICE READY",1,0)</f>
        <v>0</v>
      </c>
      <c r="W393" s="6"/>
      <c r="X393" s="6"/>
      <c r="Y393" s="6"/>
      <c r="Z393" s="6"/>
    </row>
    <row r="394" customFormat="false" ht="15" hidden="false" customHeight="false" outlineLevel="0" collapsed="false">
      <c r="A394" s="9" t="s">
        <v>605</v>
      </c>
      <c r="B394" s="9" t="s">
        <v>570</v>
      </c>
      <c r="C394" s="9" t="s">
        <v>571</v>
      </c>
      <c r="D394" s="9" t="s">
        <v>195</v>
      </c>
      <c r="E394" s="9" t="s">
        <v>323</v>
      </c>
      <c r="F394" s="9" t="s">
        <v>211</v>
      </c>
      <c r="G394" s="9" t="s">
        <v>221</v>
      </c>
      <c r="H394" s="9" t="n">
        <v>375</v>
      </c>
      <c r="I394" s="29" t="n">
        <v>0.3</v>
      </c>
      <c r="J394" s="9" t="n">
        <v>1</v>
      </c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21" t="str">
        <f aca="false">IF(COUNT(K394:T394)=0,"SOURCE EMPTY / INDUSTRIAL ONLY",IF(MIN(K394:T394)=1,"SERVICE READY","HOLD"))</f>
        <v>SOURCE EMPTY / INDUSTRIAL ONLY</v>
      </c>
      <c r="V394" s="9" t="n">
        <f aca="false">IF(U394="SERVICE READY",1,0)</f>
        <v>0</v>
      </c>
      <c r="W394" s="6"/>
      <c r="X394" s="6"/>
      <c r="Y394" s="6"/>
      <c r="Z394" s="6"/>
    </row>
    <row r="395" customFormat="false" ht="15" hidden="false" customHeight="false" outlineLevel="0" collapsed="false">
      <c r="A395" s="9" t="s">
        <v>606</v>
      </c>
      <c r="B395" s="9" t="s">
        <v>570</v>
      </c>
      <c r="C395" s="9" t="s">
        <v>571</v>
      </c>
      <c r="D395" s="9" t="s">
        <v>195</v>
      </c>
      <c r="E395" s="9" t="s">
        <v>323</v>
      </c>
      <c r="F395" s="9" t="s">
        <v>197</v>
      </c>
      <c r="G395" s="9" t="s">
        <v>221</v>
      </c>
      <c r="H395" s="9" t="n">
        <v>375</v>
      </c>
      <c r="I395" s="29" t="n">
        <v>0.3</v>
      </c>
      <c r="J395" s="9" t="n">
        <v>1</v>
      </c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21" t="str">
        <f aca="false">IF(COUNT(K395:T395)=0,"SOURCE EMPTY / INDUSTRIAL ONLY",IF(MIN(K395:T395)=1,"SERVICE READY","HOLD"))</f>
        <v>SOURCE EMPTY / INDUSTRIAL ONLY</v>
      </c>
      <c r="V395" s="9" t="n">
        <f aca="false">IF(U395="SERVICE READY",1,0)</f>
        <v>0</v>
      </c>
      <c r="W395" s="6"/>
      <c r="X395" s="6"/>
      <c r="Y395" s="6"/>
      <c r="Z395" s="6"/>
    </row>
    <row r="396" customFormat="false" ht="15" hidden="false" customHeight="false" outlineLevel="0" collapsed="false">
      <c r="A396" s="9" t="s">
        <v>607</v>
      </c>
      <c r="B396" s="9" t="s">
        <v>570</v>
      </c>
      <c r="C396" s="9" t="s">
        <v>571</v>
      </c>
      <c r="D396" s="9" t="s">
        <v>195</v>
      </c>
      <c r="E396" s="9" t="s">
        <v>323</v>
      </c>
      <c r="F396" s="9" t="s">
        <v>200</v>
      </c>
      <c r="G396" s="9" t="s">
        <v>221</v>
      </c>
      <c r="H396" s="9" t="n">
        <v>375</v>
      </c>
      <c r="I396" s="29" t="n">
        <v>0.3</v>
      </c>
      <c r="J396" s="9" t="n">
        <v>0</v>
      </c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21" t="str">
        <f aca="false">IF(COUNT(K396:T396)=0,"SOURCE EMPTY / INDUSTRIAL ONLY",IF(MIN(K396:T396)=1,"SERVICE READY","HOLD"))</f>
        <v>SOURCE EMPTY / INDUSTRIAL ONLY</v>
      </c>
      <c r="V396" s="9" t="n">
        <f aca="false">IF(U396="SERVICE READY",1,0)</f>
        <v>0</v>
      </c>
      <c r="W396" s="6"/>
      <c r="X396" s="6"/>
      <c r="Y396" s="6"/>
      <c r="Z396" s="6"/>
    </row>
    <row r="397" customFormat="false" ht="15" hidden="false" customHeight="false" outlineLevel="0" collapsed="false">
      <c r="A397" s="9" t="s">
        <v>608</v>
      </c>
      <c r="B397" s="9" t="s">
        <v>570</v>
      </c>
      <c r="C397" s="9" t="s">
        <v>571</v>
      </c>
      <c r="D397" s="9" t="s">
        <v>195</v>
      </c>
      <c r="E397" s="9" t="s">
        <v>323</v>
      </c>
      <c r="F397" s="9" t="s">
        <v>203</v>
      </c>
      <c r="G397" s="9" t="s">
        <v>221</v>
      </c>
      <c r="H397" s="9" t="n">
        <v>375</v>
      </c>
      <c r="I397" s="29" t="n">
        <v>0.3</v>
      </c>
      <c r="J397" s="9" t="n">
        <v>0</v>
      </c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21" t="str">
        <f aca="false">IF(COUNT(K397:T397)=0,"SOURCE EMPTY / INDUSTRIAL ONLY",IF(MIN(K397:T397)=1,"SERVICE READY","HOLD"))</f>
        <v>SOURCE EMPTY / INDUSTRIAL ONLY</v>
      </c>
      <c r="V397" s="9" t="n">
        <f aca="false">IF(U397="SERVICE READY",1,0)</f>
        <v>0</v>
      </c>
      <c r="W397" s="6"/>
      <c r="X397" s="6"/>
      <c r="Y397" s="6"/>
      <c r="Z397" s="6"/>
    </row>
    <row r="398" customFormat="false" ht="15" hidden="false" customHeight="false" outlineLevel="0" collapsed="false">
      <c r="A398" s="9" t="s">
        <v>609</v>
      </c>
      <c r="B398" s="9" t="s">
        <v>570</v>
      </c>
      <c r="C398" s="9" t="s">
        <v>571</v>
      </c>
      <c r="D398" s="9" t="s">
        <v>195</v>
      </c>
      <c r="E398" s="9" t="s">
        <v>323</v>
      </c>
      <c r="F398" s="9" t="s">
        <v>205</v>
      </c>
      <c r="G398" s="9" t="s">
        <v>221</v>
      </c>
      <c r="H398" s="9" t="n">
        <v>375</v>
      </c>
      <c r="I398" s="29" t="n">
        <v>0.3</v>
      </c>
      <c r="J398" s="9" t="n">
        <v>0</v>
      </c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21" t="str">
        <f aca="false">IF(COUNT(K398:T398)=0,"SOURCE EMPTY / INDUSTRIAL ONLY",IF(MIN(K398:T398)=1,"SERVICE READY","HOLD"))</f>
        <v>SOURCE EMPTY / INDUSTRIAL ONLY</v>
      </c>
      <c r="V398" s="9" t="n">
        <f aca="false">IF(U398="SERVICE READY",1,0)</f>
        <v>0</v>
      </c>
      <c r="W398" s="6"/>
      <c r="X398" s="6"/>
      <c r="Y398" s="6"/>
      <c r="Z398" s="6"/>
    </row>
    <row r="399" customFormat="false" ht="15" hidden="false" customHeight="false" outlineLevel="0" collapsed="false">
      <c r="A399" s="9" t="s">
        <v>610</v>
      </c>
      <c r="B399" s="9" t="s">
        <v>570</v>
      </c>
      <c r="C399" s="9" t="s">
        <v>571</v>
      </c>
      <c r="D399" s="9" t="s">
        <v>195</v>
      </c>
      <c r="E399" s="9" t="s">
        <v>323</v>
      </c>
      <c r="F399" s="9" t="s">
        <v>207</v>
      </c>
      <c r="G399" s="9" t="s">
        <v>221</v>
      </c>
      <c r="H399" s="9" t="n">
        <v>375</v>
      </c>
      <c r="I399" s="29" t="n">
        <v>0.3</v>
      </c>
      <c r="J399" s="9" t="n">
        <v>0</v>
      </c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21" t="str">
        <f aca="false">IF(COUNT(K399:T399)=0,"SOURCE EMPTY / INDUSTRIAL ONLY",IF(MIN(K399:T399)=1,"SERVICE READY","HOLD"))</f>
        <v>SOURCE EMPTY / INDUSTRIAL ONLY</v>
      </c>
      <c r="V399" s="9" t="n">
        <f aca="false">IF(U399="SERVICE READY",1,0)</f>
        <v>0</v>
      </c>
      <c r="W399" s="6"/>
      <c r="X399" s="6"/>
      <c r="Y399" s="6"/>
      <c r="Z399" s="6"/>
    </row>
    <row r="400" customFormat="false" ht="15" hidden="false" customHeight="false" outlineLevel="0" collapsed="false">
      <c r="A400" s="9" t="s">
        <v>611</v>
      </c>
      <c r="B400" s="9" t="s">
        <v>570</v>
      </c>
      <c r="C400" s="9" t="s">
        <v>571</v>
      </c>
      <c r="D400" s="9" t="s">
        <v>195</v>
      </c>
      <c r="E400" s="9" t="s">
        <v>323</v>
      </c>
      <c r="F400" s="9" t="s">
        <v>209</v>
      </c>
      <c r="G400" s="9" t="s">
        <v>221</v>
      </c>
      <c r="H400" s="9" t="n">
        <v>375</v>
      </c>
      <c r="I400" s="29" t="n">
        <v>0.3</v>
      </c>
      <c r="J400" s="9" t="n">
        <v>0</v>
      </c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21" t="str">
        <f aca="false">IF(COUNT(K400:T400)=0,"SOURCE EMPTY / INDUSTRIAL ONLY",IF(MIN(K400:T400)=1,"SERVICE READY","HOLD"))</f>
        <v>SOURCE EMPTY / INDUSTRIAL ONLY</v>
      </c>
      <c r="V400" s="9" t="n">
        <f aca="false">IF(U400="SERVICE READY",1,0)</f>
        <v>0</v>
      </c>
      <c r="W400" s="6"/>
      <c r="X400" s="6"/>
      <c r="Y400" s="6"/>
      <c r="Z400" s="6"/>
    </row>
    <row r="401" customFormat="false" ht="15" hidden="false" customHeight="false" outlineLevel="0" collapsed="false">
      <c r="A401" s="9" t="s">
        <v>612</v>
      </c>
      <c r="B401" s="9" t="s">
        <v>570</v>
      </c>
      <c r="C401" s="9" t="s">
        <v>571</v>
      </c>
      <c r="D401" s="9" t="s">
        <v>195</v>
      </c>
      <c r="E401" s="9" t="s">
        <v>323</v>
      </c>
      <c r="F401" s="9" t="s">
        <v>211</v>
      </c>
      <c r="G401" s="9" t="s">
        <v>221</v>
      </c>
      <c r="H401" s="9" t="n">
        <v>375</v>
      </c>
      <c r="I401" s="29" t="n">
        <v>0.3</v>
      </c>
      <c r="J401" s="9" t="n">
        <v>0</v>
      </c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21" t="str">
        <f aca="false">IF(COUNT(K401:T401)=0,"SOURCE EMPTY / INDUSTRIAL ONLY",IF(MIN(K401:T401)=1,"SERVICE READY","HOLD"))</f>
        <v>SOURCE EMPTY / INDUSTRIAL ONLY</v>
      </c>
      <c r="V401" s="9" t="n">
        <f aca="false">IF(U401="SERVICE READY",1,0)</f>
        <v>0</v>
      </c>
      <c r="W401" s="6"/>
      <c r="X401" s="6"/>
      <c r="Y401" s="6"/>
      <c r="Z401" s="6"/>
    </row>
    <row r="402" customFormat="false" ht="15" hidden="false" customHeight="false" outlineLevel="0" collapsed="false">
      <c r="A402" s="9" t="s">
        <v>613</v>
      </c>
      <c r="B402" s="9" t="s">
        <v>570</v>
      </c>
      <c r="C402" s="9" t="s">
        <v>571</v>
      </c>
      <c r="D402" s="9" t="s">
        <v>195</v>
      </c>
      <c r="E402" s="9" t="s">
        <v>323</v>
      </c>
      <c r="F402" s="9" t="s">
        <v>197</v>
      </c>
      <c r="G402" s="9" t="s">
        <v>221</v>
      </c>
      <c r="H402" s="9" t="n">
        <v>375</v>
      </c>
      <c r="I402" s="29" t="n">
        <v>0.3</v>
      </c>
      <c r="J402" s="9" t="n">
        <v>0</v>
      </c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21" t="str">
        <f aca="false">IF(COUNT(K402:T402)=0,"SOURCE EMPTY / INDUSTRIAL ONLY",IF(MIN(K402:T402)=1,"SERVICE READY","HOLD"))</f>
        <v>SOURCE EMPTY / INDUSTRIAL ONLY</v>
      </c>
      <c r="V402" s="9" t="n">
        <f aca="false">IF(U402="SERVICE READY",1,0)</f>
        <v>0</v>
      </c>
      <c r="W402" s="6"/>
      <c r="X402" s="6"/>
      <c r="Y402" s="6"/>
      <c r="Z402" s="6"/>
    </row>
    <row r="403" customFormat="false" ht="15" hidden="false" customHeight="false" outlineLevel="0" collapsed="false">
      <c r="A403" s="9" t="s">
        <v>614</v>
      </c>
      <c r="B403" s="9" t="s">
        <v>570</v>
      </c>
      <c r="C403" s="9" t="s">
        <v>571</v>
      </c>
      <c r="D403" s="9" t="s">
        <v>195</v>
      </c>
      <c r="E403" s="9" t="s">
        <v>323</v>
      </c>
      <c r="F403" s="9" t="s">
        <v>200</v>
      </c>
      <c r="G403" s="9" t="s">
        <v>221</v>
      </c>
      <c r="H403" s="9" t="n">
        <v>375</v>
      </c>
      <c r="I403" s="29" t="n">
        <v>0.3</v>
      </c>
      <c r="J403" s="9" t="n">
        <v>0</v>
      </c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21" t="str">
        <f aca="false">IF(COUNT(K403:T403)=0,"SOURCE EMPTY / INDUSTRIAL ONLY",IF(MIN(K403:T403)=1,"SERVICE READY","HOLD"))</f>
        <v>SOURCE EMPTY / INDUSTRIAL ONLY</v>
      </c>
      <c r="V403" s="9" t="n">
        <f aca="false">IF(U403="SERVICE READY",1,0)</f>
        <v>0</v>
      </c>
      <c r="W403" s="6"/>
      <c r="X403" s="6"/>
      <c r="Y403" s="6"/>
      <c r="Z403" s="6"/>
    </row>
    <row r="404" customFormat="false" ht="15" hidden="false" customHeight="false" outlineLevel="0" collapsed="false">
      <c r="A404" s="9" t="s">
        <v>615</v>
      </c>
      <c r="B404" s="9" t="s">
        <v>570</v>
      </c>
      <c r="C404" s="9" t="s">
        <v>571</v>
      </c>
      <c r="D404" s="9" t="s">
        <v>195</v>
      </c>
      <c r="E404" s="9" t="s">
        <v>323</v>
      </c>
      <c r="F404" s="9" t="s">
        <v>203</v>
      </c>
      <c r="G404" s="9" t="s">
        <v>221</v>
      </c>
      <c r="H404" s="9" t="n">
        <v>375</v>
      </c>
      <c r="I404" s="29" t="n">
        <v>0.3</v>
      </c>
      <c r="J404" s="9" t="n">
        <v>0</v>
      </c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21" t="str">
        <f aca="false">IF(COUNT(K404:T404)=0,"SOURCE EMPTY / INDUSTRIAL ONLY",IF(MIN(K404:T404)=1,"SERVICE READY","HOLD"))</f>
        <v>SOURCE EMPTY / INDUSTRIAL ONLY</v>
      </c>
      <c r="V404" s="9" t="n">
        <f aca="false">IF(U404="SERVICE READY",1,0)</f>
        <v>0</v>
      </c>
      <c r="W404" s="6"/>
      <c r="X404" s="6"/>
      <c r="Y404" s="6"/>
      <c r="Z404" s="6"/>
    </row>
    <row r="405" customFormat="false" ht="15" hidden="false" customHeight="false" outlineLevel="0" collapsed="false">
      <c r="A405" s="9" t="s">
        <v>616</v>
      </c>
      <c r="B405" s="9" t="s">
        <v>617</v>
      </c>
      <c r="C405" s="9" t="s">
        <v>618</v>
      </c>
      <c r="D405" s="9" t="s">
        <v>619</v>
      </c>
      <c r="E405" s="9" t="s">
        <v>275</v>
      </c>
      <c r="F405" s="9" t="s">
        <v>197</v>
      </c>
      <c r="G405" s="9" t="s">
        <v>198</v>
      </c>
      <c r="H405" s="9" t="n">
        <v>910</v>
      </c>
      <c r="I405" s="29" t="n">
        <v>1.2</v>
      </c>
      <c r="J405" s="9" t="n">
        <v>1</v>
      </c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21" t="str">
        <f aca="false">IF(COUNT(K405:T405)=0,"SOURCE EMPTY / INDUSTRIAL ONLY",IF(MIN(K405:T405)=1,"SERVICE READY","HOLD"))</f>
        <v>SOURCE EMPTY / INDUSTRIAL ONLY</v>
      </c>
      <c r="V405" s="9" t="n">
        <f aca="false">IF(U405="SERVICE READY",1,0)</f>
        <v>0</v>
      </c>
      <c r="W405" s="6"/>
      <c r="X405" s="6"/>
      <c r="Y405" s="6"/>
      <c r="Z405" s="6"/>
    </row>
    <row r="406" customFormat="false" ht="15" hidden="false" customHeight="false" outlineLevel="0" collapsed="false">
      <c r="A406" s="9" t="s">
        <v>620</v>
      </c>
      <c r="B406" s="9" t="s">
        <v>617</v>
      </c>
      <c r="C406" s="9" t="s">
        <v>618</v>
      </c>
      <c r="D406" s="9" t="s">
        <v>619</v>
      </c>
      <c r="E406" s="9" t="s">
        <v>275</v>
      </c>
      <c r="F406" s="9" t="s">
        <v>200</v>
      </c>
      <c r="G406" s="9" t="s">
        <v>201</v>
      </c>
      <c r="H406" s="9" t="n">
        <v>910</v>
      </c>
      <c r="I406" s="29" t="n">
        <v>1.2</v>
      </c>
      <c r="J406" s="9" t="n">
        <v>1</v>
      </c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21" t="str">
        <f aca="false">IF(COUNT(K406:T406)=0,"SOURCE EMPTY / INDUSTRIAL ONLY",IF(MIN(K406:T406)=1,"SERVICE READY","HOLD"))</f>
        <v>SOURCE EMPTY / INDUSTRIAL ONLY</v>
      </c>
      <c r="V406" s="9" t="n">
        <f aca="false">IF(U406="SERVICE READY",1,0)</f>
        <v>0</v>
      </c>
      <c r="W406" s="6"/>
      <c r="X406" s="6"/>
      <c r="Y406" s="6"/>
      <c r="Z406" s="6"/>
    </row>
    <row r="407" customFormat="false" ht="15" hidden="false" customHeight="false" outlineLevel="0" collapsed="false">
      <c r="A407" s="9" t="s">
        <v>621</v>
      </c>
      <c r="B407" s="9" t="s">
        <v>617</v>
      </c>
      <c r="C407" s="9" t="s">
        <v>618</v>
      </c>
      <c r="D407" s="9" t="s">
        <v>619</v>
      </c>
      <c r="E407" s="9" t="s">
        <v>275</v>
      </c>
      <c r="F407" s="9" t="s">
        <v>203</v>
      </c>
      <c r="G407" s="9" t="s">
        <v>198</v>
      </c>
      <c r="H407" s="9" t="n">
        <v>910</v>
      </c>
      <c r="I407" s="29" t="n">
        <v>1.2</v>
      </c>
      <c r="J407" s="9" t="n">
        <v>1</v>
      </c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21" t="str">
        <f aca="false">IF(COUNT(K407:T407)=0,"SOURCE EMPTY / INDUSTRIAL ONLY",IF(MIN(K407:T407)=1,"SERVICE READY","HOLD"))</f>
        <v>SOURCE EMPTY / INDUSTRIAL ONLY</v>
      </c>
      <c r="V407" s="9" t="n">
        <f aca="false">IF(U407="SERVICE READY",1,0)</f>
        <v>0</v>
      </c>
      <c r="W407" s="6"/>
      <c r="X407" s="6"/>
      <c r="Y407" s="6"/>
      <c r="Z407" s="6"/>
    </row>
    <row r="408" customFormat="false" ht="15" hidden="false" customHeight="false" outlineLevel="0" collapsed="false">
      <c r="A408" s="9" t="s">
        <v>622</v>
      </c>
      <c r="B408" s="9" t="s">
        <v>617</v>
      </c>
      <c r="C408" s="9" t="s">
        <v>618</v>
      </c>
      <c r="D408" s="9" t="s">
        <v>619</v>
      </c>
      <c r="E408" s="9" t="s">
        <v>275</v>
      </c>
      <c r="F408" s="9" t="s">
        <v>205</v>
      </c>
      <c r="G408" s="9" t="s">
        <v>201</v>
      </c>
      <c r="H408" s="9" t="n">
        <v>910</v>
      </c>
      <c r="I408" s="29" t="n">
        <v>1.2</v>
      </c>
      <c r="J408" s="9" t="n">
        <v>1</v>
      </c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21" t="str">
        <f aca="false">IF(COUNT(K408:T408)=0,"SOURCE EMPTY / INDUSTRIAL ONLY",IF(MIN(K408:T408)=1,"SERVICE READY","HOLD"))</f>
        <v>SOURCE EMPTY / INDUSTRIAL ONLY</v>
      </c>
      <c r="V408" s="9" t="n">
        <f aca="false">IF(U408="SERVICE READY",1,0)</f>
        <v>0</v>
      </c>
      <c r="W408" s="6"/>
      <c r="X408" s="6"/>
      <c r="Y408" s="6"/>
      <c r="Z408" s="6"/>
    </row>
    <row r="409" customFormat="false" ht="15" hidden="false" customHeight="false" outlineLevel="0" collapsed="false">
      <c r="A409" s="9" t="s">
        <v>623</v>
      </c>
      <c r="B409" s="9" t="s">
        <v>617</v>
      </c>
      <c r="C409" s="9" t="s">
        <v>618</v>
      </c>
      <c r="D409" s="9" t="s">
        <v>619</v>
      </c>
      <c r="E409" s="9" t="s">
        <v>275</v>
      </c>
      <c r="F409" s="9" t="s">
        <v>207</v>
      </c>
      <c r="G409" s="9" t="s">
        <v>198</v>
      </c>
      <c r="H409" s="9" t="n">
        <v>910</v>
      </c>
      <c r="I409" s="29" t="n">
        <v>1.2</v>
      </c>
      <c r="J409" s="9" t="n">
        <v>1</v>
      </c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21" t="str">
        <f aca="false">IF(COUNT(K409:T409)=0,"SOURCE EMPTY / INDUSTRIAL ONLY",IF(MIN(K409:T409)=1,"SERVICE READY","HOLD"))</f>
        <v>SOURCE EMPTY / INDUSTRIAL ONLY</v>
      </c>
      <c r="V409" s="9" t="n">
        <f aca="false">IF(U409="SERVICE READY",1,0)</f>
        <v>0</v>
      </c>
      <c r="W409" s="6"/>
      <c r="X409" s="6"/>
      <c r="Y409" s="6"/>
      <c r="Z409" s="6"/>
    </row>
    <row r="410" customFormat="false" ht="15" hidden="false" customHeight="false" outlineLevel="0" collapsed="false">
      <c r="A410" s="9" t="s">
        <v>624</v>
      </c>
      <c r="B410" s="9" t="s">
        <v>617</v>
      </c>
      <c r="C410" s="9" t="s">
        <v>618</v>
      </c>
      <c r="D410" s="9" t="s">
        <v>619</v>
      </c>
      <c r="E410" s="9" t="s">
        <v>275</v>
      </c>
      <c r="F410" s="9" t="s">
        <v>209</v>
      </c>
      <c r="G410" s="9" t="s">
        <v>201</v>
      </c>
      <c r="H410" s="9" t="n">
        <v>910</v>
      </c>
      <c r="I410" s="29" t="n">
        <v>1.2</v>
      </c>
      <c r="J410" s="9" t="n">
        <v>1</v>
      </c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21" t="str">
        <f aca="false">IF(COUNT(K410:T410)=0,"SOURCE EMPTY / INDUSTRIAL ONLY",IF(MIN(K410:T410)=1,"SERVICE READY","HOLD"))</f>
        <v>SOURCE EMPTY / INDUSTRIAL ONLY</v>
      </c>
      <c r="V410" s="9" t="n">
        <f aca="false">IF(U410="SERVICE READY",1,0)</f>
        <v>0</v>
      </c>
      <c r="W410" s="6"/>
      <c r="X410" s="6"/>
      <c r="Y410" s="6"/>
      <c r="Z410" s="6"/>
    </row>
    <row r="411" customFormat="false" ht="15" hidden="false" customHeight="false" outlineLevel="0" collapsed="false">
      <c r="A411" s="9" t="s">
        <v>625</v>
      </c>
      <c r="B411" s="9" t="s">
        <v>617</v>
      </c>
      <c r="C411" s="9" t="s">
        <v>618</v>
      </c>
      <c r="D411" s="9" t="s">
        <v>619</v>
      </c>
      <c r="E411" s="9" t="s">
        <v>275</v>
      </c>
      <c r="F411" s="9" t="s">
        <v>211</v>
      </c>
      <c r="G411" s="9" t="s">
        <v>198</v>
      </c>
      <c r="H411" s="9" t="n">
        <v>910</v>
      </c>
      <c r="I411" s="29" t="n">
        <v>1.2</v>
      </c>
      <c r="J411" s="9" t="n">
        <v>1</v>
      </c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21" t="str">
        <f aca="false">IF(COUNT(K411:T411)=0,"SOURCE EMPTY / INDUSTRIAL ONLY",IF(MIN(K411:T411)=1,"SERVICE READY","HOLD"))</f>
        <v>SOURCE EMPTY / INDUSTRIAL ONLY</v>
      </c>
      <c r="V411" s="9" t="n">
        <f aca="false">IF(U411="SERVICE READY",1,0)</f>
        <v>0</v>
      </c>
      <c r="W411" s="6"/>
      <c r="X411" s="6"/>
      <c r="Y411" s="6"/>
      <c r="Z411" s="6"/>
    </row>
    <row r="412" customFormat="false" ht="15" hidden="false" customHeight="false" outlineLevel="0" collapsed="false">
      <c r="A412" s="9" t="s">
        <v>626</v>
      </c>
      <c r="B412" s="9" t="s">
        <v>617</v>
      </c>
      <c r="C412" s="9" t="s">
        <v>618</v>
      </c>
      <c r="D412" s="9" t="s">
        <v>619</v>
      </c>
      <c r="E412" s="9" t="s">
        <v>275</v>
      </c>
      <c r="F412" s="9" t="s">
        <v>197</v>
      </c>
      <c r="G412" s="9" t="s">
        <v>201</v>
      </c>
      <c r="H412" s="9" t="n">
        <v>910</v>
      </c>
      <c r="I412" s="29" t="n">
        <v>1.2</v>
      </c>
      <c r="J412" s="9" t="n">
        <v>1</v>
      </c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21" t="str">
        <f aca="false">IF(COUNT(K412:T412)=0,"SOURCE EMPTY / INDUSTRIAL ONLY",IF(MIN(K412:T412)=1,"SERVICE READY","HOLD"))</f>
        <v>SOURCE EMPTY / INDUSTRIAL ONLY</v>
      </c>
      <c r="V412" s="9" t="n">
        <f aca="false">IF(U412="SERVICE READY",1,0)</f>
        <v>0</v>
      </c>
      <c r="W412" s="6"/>
      <c r="X412" s="6"/>
      <c r="Y412" s="6"/>
      <c r="Z412" s="6"/>
    </row>
    <row r="413" customFormat="false" ht="15" hidden="false" customHeight="false" outlineLevel="0" collapsed="false">
      <c r="A413" s="9" t="s">
        <v>627</v>
      </c>
      <c r="B413" s="9" t="s">
        <v>617</v>
      </c>
      <c r="C413" s="9" t="s">
        <v>618</v>
      </c>
      <c r="D413" s="9" t="s">
        <v>619</v>
      </c>
      <c r="E413" s="9" t="s">
        <v>275</v>
      </c>
      <c r="F413" s="9" t="s">
        <v>200</v>
      </c>
      <c r="G413" s="9" t="s">
        <v>198</v>
      </c>
      <c r="H413" s="9" t="n">
        <v>910</v>
      </c>
      <c r="I413" s="29" t="n">
        <v>1.2</v>
      </c>
      <c r="J413" s="9" t="n">
        <v>1</v>
      </c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21" t="str">
        <f aca="false">IF(COUNT(K413:T413)=0,"SOURCE EMPTY / INDUSTRIAL ONLY",IF(MIN(K413:T413)=1,"SERVICE READY","HOLD"))</f>
        <v>SOURCE EMPTY / INDUSTRIAL ONLY</v>
      </c>
      <c r="V413" s="9" t="n">
        <f aca="false">IF(U413="SERVICE READY",1,0)</f>
        <v>0</v>
      </c>
      <c r="W413" s="6"/>
      <c r="X413" s="6"/>
      <c r="Y413" s="6"/>
      <c r="Z413" s="6"/>
    </row>
    <row r="414" customFormat="false" ht="15" hidden="false" customHeight="false" outlineLevel="0" collapsed="false">
      <c r="A414" s="9" t="s">
        <v>628</v>
      </c>
      <c r="B414" s="9" t="s">
        <v>617</v>
      </c>
      <c r="C414" s="9" t="s">
        <v>618</v>
      </c>
      <c r="D414" s="9" t="s">
        <v>619</v>
      </c>
      <c r="E414" s="9" t="s">
        <v>275</v>
      </c>
      <c r="F414" s="9" t="s">
        <v>203</v>
      </c>
      <c r="G414" s="9" t="s">
        <v>201</v>
      </c>
      <c r="H414" s="9" t="n">
        <v>910</v>
      </c>
      <c r="I414" s="29" t="n">
        <v>1.2</v>
      </c>
      <c r="J414" s="9" t="n">
        <v>1</v>
      </c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21" t="str">
        <f aca="false">IF(COUNT(K414:T414)=0,"SOURCE EMPTY / INDUSTRIAL ONLY",IF(MIN(K414:T414)=1,"SERVICE READY","HOLD"))</f>
        <v>SOURCE EMPTY / INDUSTRIAL ONLY</v>
      </c>
      <c r="V414" s="9" t="n">
        <f aca="false">IF(U414="SERVICE READY",1,0)</f>
        <v>0</v>
      </c>
      <c r="W414" s="6"/>
      <c r="X414" s="6"/>
      <c r="Y414" s="6"/>
      <c r="Z414" s="6"/>
    </row>
    <row r="415" customFormat="false" ht="15" hidden="false" customHeight="false" outlineLevel="0" collapsed="false">
      <c r="A415" s="9" t="s">
        <v>629</v>
      </c>
      <c r="B415" s="9" t="s">
        <v>617</v>
      </c>
      <c r="C415" s="9" t="s">
        <v>618</v>
      </c>
      <c r="D415" s="9" t="s">
        <v>619</v>
      </c>
      <c r="E415" s="9" t="s">
        <v>275</v>
      </c>
      <c r="F415" s="9" t="s">
        <v>205</v>
      </c>
      <c r="G415" s="9" t="s">
        <v>198</v>
      </c>
      <c r="H415" s="9" t="n">
        <v>910</v>
      </c>
      <c r="I415" s="29" t="n">
        <v>1.2</v>
      </c>
      <c r="J415" s="9" t="n">
        <v>1</v>
      </c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21" t="str">
        <f aca="false">IF(COUNT(K415:T415)=0,"SOURCE EMPTY / INDUSTRIAL ONLY",IF(MIN(K415:T415)=1,"SERVICE READY","HOLD"))</f>
        <v>SOURCE EMPTY / INDUSTRIAL ONLY</v>
      </c>
      <c r="V415" s="9" t="n">
        <f aca="false">IF(U415="SERVICE READY",1,0)</f>
        <v>0</v>
      </c>
      <c r="W415" s="6"/>
      <c r="X415" s="6"/>
      <c r="Y415" s="6"/>
      <c r="Z415" s="6"/>
    </row>
    <row r="416" customFormat="false" ht="15" hidden="false" customHeight="false" outlineLevel="0" collapsed="false">
      <c r="A416" s="9" t="s">
        <v>630</v>
      </c>
      <c r="B416" s="9" t="s">
        <v>617</v>
      </c>
      <c r="C416" s="9" t="s">
        <v>618</v>
      </c>
      <c r="D416" s="9" t="s">
        <v>619</v>
      </c>
      <c r="E416" s="9" t="s">
        <v>275</v>
      </c>
      <c r="F416" s="9" t="s">
        <v>207</v>
      </c>
      <c r="G416" s="9" t="s">
        <v>201</v>
      </c>
      <c r="H416" s="9" t="n">
        <v>910</v>
      </c>
      <c r="I416" s="29" t="n">
        <v>1.2</v>
      </c>
      <c r="J416" s="9" t="n">
        <v>1</v>
      </c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21" t="str">
        <f aca="false">IF(COUNT(K416:T416)=0,"SOURCE EMPTY / INDUSTRIAL ONLY",IF(MIN(K416:T416)=1,"SERVICE READY","HOLD"))</f>
        <v>SOURCE EMPTY / INDUSTRIAL ONLY</v>
      </c>
      <c r="V416" s="9" t="n">
        <f aca="false">IF(U416="SERVICE READY",1,0)</f>
        <v>0</v>
      </c>
      <c r="W416" s="6"/>
      <c r="X416" s="6"/>
      <c r="Y416" s="6"/>
      <c r="Z416" s="6"/>
    </row>
    <row r="417" customFormat="false" ht="15" hidden="false" customHeight="false" outlineLevel="0" collapsed="false">
      <c r="A417" s="9" t="s">
        <v>631</v>
      </c>
      <c r="B417" s="9" t="s">
        <v>617</v>
      </c>
      <c r="C417" s="9" t="s">
        <v>618</v>
      </c>
      <c r="D417" s="9" t="s">
        <v>619</v>
      </c>
      <c r="E417" s="9" t="s">
        <v>275</v>
      </c>
      <c r="F417" s="9" t="s">
        <v>209</v>
      </c>
      <c r="G417" s="9" t="s">
        <v>198</v>
      </c>
      <c r="H417" s="9" t="n">
        <v>910</v>
      </c>
      <c r="I417" s="29" t="n">
        <v>1.2</v>
      </c>
      <c r="J417" s="9" t="n">
        <v>1</v>
      </c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21" t="str">
        <f aca="false">IF(COUNT(K417:T417)=0,"SOURCE EMPTY / INDUSTRIAL ONLY",IF(MIN(K417:T417)=1,"SERVICE READY","HOLD"))</f>
        <v>SOURCE EMPTY / INDUSTRIAL ONLY</v>
      </c>
      <c r="V417" s="9" t="n">
        <f aca="false">IF(U417="SERVICE READY",1,0)</f>
        <v>0</v>
      </c>
      <c r="W417" s="6"/>
      <c r="X417" s="6"/>
      <c r="Y417" s="6"/>
      <c r="Z417" s="6"/>
    </row>
    <row r="418" customFormat="false" ht="15" hidden="false" customHeight="false" outlineLevel="0" collapsed="false">
      <c r="A418" s="9" t="s">
        <v>632</v>
      </c>
      <c r="B418" s="9" t="s">
        <v>617</v>
      </c>
      <c r="C418" s="9" t="s">
        <v>618</v>
      </c>
      <c r="D418" s="9" t="s">
        <v>619</v>
      </c>
      <c r="E418" s="9" t="s">
        <v>275</v>
      </c>
      <c r="F418" s="9" t="s">
        <v>211</v>
      </c>
      <c r="G418" s="9" t="s">
        <v>201</v>
      </c>
      <c r="H418" s="9" t="n">
        <v>910</v>
      </c>
      <c r="I418" s="29" t="n">
        <v>1.2</v>
      </c>
      <c r="J418" s="9" t="n">
        <v>1</v>
      </c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21" t="str">
        <f aca="false">IF(COUNT(K418:T418)=0,"SOURCE EMPTY / INDUSTRIAL ONLY",IF(MIN(K418:T418)=1,"SERVICE READY","HOLD"))</f>
        <v>SOURCE EMPTY / INDUSTRIAL ONLY</v>
      </c>
      <c r="V418" s="9" t="n">
        <f aca="false">IF(U418="SERVICE READY",1,0)</f>
        <v>0</v>
      </c>
      <c r="W418" s="6"/>
      <c r="X418" s="6"/>
      <c r="Y418" s="6"/>
      <c r="Z418" s="6"/>
    </row>
    <row r="419" customFormat="false" ht="15" hidden="false" customHeight="false" outlineLevel="0" collapsed="false">
      <c r="A419" s="9" t="s">
        <v>633</v>
      </c>
      <c r="B419" s="9" t="s">
        <v>617</v>
      </c>
      <c r="C419" s="9" t="s">
        <v>618</v>
      </c>
      <c r="D419" s="9" t="s">
        <v>619</v>
      </c>
      <c r="E419" s="9" t="s">
        <v>275</v>
      </c>
      <c r="F419" s="9" t="s">
        <v>197</v>
      </c>
      <c r="G419" s="9" t="s">
        <v>198</v>
      </c>
      <c r="H419" s="9" t="n">
        <v>910</v>
      </c>
      <c r="I419" s="29" t="n">
        <v>1.2</v>
      </c>
      <c r="J419" s="9" t="n">
        <v>1</v>
      </c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21" t="str">
        <f aca="false">IF(COUNT(K419:T419)=0,"SOURCE EMPTY / INDUSTRIAL ONLY",IF(MIN(K419:T419)=1,"SERVICE READY","HOLD"))</f>
        <v>SOURCE EMPTY / INDUSTRIAL ONLY</v>
      </c>
      <c r="V419" s="9" t="n">
        <f aca="false">IF(U419="SERVICE READY",1,0)</f>
        <v>0</v>
      </c>
      <c r="W419" s="6"/>
      <c r="X419" s="6"/>
      <c r="Y419" s="6"/>
      <c r="Z419" s="6"/>
    </row>
    <row r="420" customFormat="false" ht="15" hidden="false" customHeight="false" outlineLevel="0" collapsed="false">
      <c r="A420" s="9" t="s">
        <v>634</v>
      </c>
      <c r="B420" s="9" t="s">
        <v>617</v>
      </c>
      <c r="C420" s="9" t="s">
        <v>618</v>
      </c>
      <c r="D420" s="9" t="s">
        <v>619</v>
      </c>
      <c r="E420" s="9" t="s">
        <v>275</v>
      </c>
      <c r="F420" s="9" t="s">
        <v>200</v>
      </c>
      <c r="G420" s="9" t="s">
        <v>201</v>
      </c>
      <c r="H420" s="9" t="n">
        <v>910</v>
      </c>
      <c r="I420" s="29" t="n">
        <v>1.2</v>
      </c>
      <c r="J420" s="9" t="n">
        <v>1</v>
      </c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21" t="str">
        <f aca="false">IF(COUNT(K420:T420)=0,"SOURCE EMPTY / INDUSTRIAL ONLY",IF(MIN(K420:T420)=1,"SERVICE READY","HOLD"))</f>
        <v>SOURCE EMPTY / INDUSTRIAL ONLY</v>
      </c>
      <c r="V420" s="9" t="n">
        <f aca="false">IF(U420="SERVICE READY",1,0)</f>
        <v>0</v>
      </c>
      <c r="W420" s="6"/>
      <c r="X420" s="6"/>
      <c r="Y420" s="6"/>
      <c r="Z420" s="6"/>
    </row>
    <row r="421" customFormat="false" ht="15" hidden="false" customHeight="false" outlineLevel="0" collapsed="false">
      <c r="A421" s="9" t="s">
        <v>635</v>
      </c>
      <c r="B421" s="9" t="s">
        <v>617</v>
      </c>
      <c r="C421" s="9" t="s">
        <v>618</v>
      </c>
      <c r="D421" s="9" t="s">
        <v>619</v>
      </c>
      <c r="E421" s="9" t="s">
        <v>275</v>
      </c>
      <c r="F421" s="9" t="s">
        <v>203</v>
      </c>
      <c r="G421" s="9" t="s">
        <v>198</v>
      </c>
      <c r="H421" s="9" t="n">
        <v>910</v>
      </c>
      <c r="I421" s="29" t="n">
        <v>1.2</v>
      </c>
      <c r="J421" s="9" t="n">
        <v>1</v>
      </c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21" t="str">
        <f aca="false">IF(COUNT(K421:T421)=0,"SOURCE EMPTY / INDUSTRIAL ONLY",IF(MIN(K421:T421)=1,"SERVICE READY","HOLD"))</f>
        <v>SOURCE EMPTY / INDUSTRIAL ONLY</v>
      </c>
      <c r="V421" s="9" t="n">
        <f aca="false">IF(U421="SERVICE READY",1,0)</f>
        <v>0</v>
      </c>
      <c r="W421" s="6"/>
      <c r="X421" s="6"/>
      <c r="Y421" s="6"/>
      <c r="Z421" s="6"/>
    </row>
    <row r="422" customFormat="false" ht="15" hidden="false" customHeight="false" outlineLevel="0" collapsed="false">
      <c r="A422" s="9" t="s">
        <v>636</v>
      </c>
      <c r="B422" s="9" t="s">
        <v>617</v>
      </c>
      <c r="C422" s="9" t="s">
        <v>618</v>
      </c>
      <c r="D422" s="9" t="s">
        <v>619</v>
      </c>
      <c r="E422" s="9" t="s">
        <v>275</v>
      </c>
      <c r="F422" s="9" t="s">
        <v>205</v>
      </c>
      <c r="G422" s="9" t="s">
        <v>201</v>
      </c>
      <c r="H422" s="9" t="n">
        <v>910</v>
      </c>
      <c r="I422" s="29" t="n">
        <v>1.2</v>
      </c>
      <c r="J422" s="9" t="n">
        <v>1</v>
      </c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21" t="str">
        <f aca="false">IF(COUNT(K422:T422)=0,"SOURCE EMPTY / INDUSTRIAL ONLY",IF(MIN(K422:T422)=1,"SERVICE READY","HOLD"))</f>
        <v>SOURCE EMPTY / INDUSTRIAL ONLY</v>
      </c>
      <c r="V422" s="9" t="n">
        <f aca="false">IF(U422="SERVICE READY",1,0)</f>
        <v>0</v>
      </c>
      <c r="W422" s="6"/>
      <c r="X422" s="6"/>
      <c r="Y422" s="6"/>
      <c r="Z422" s="6"/>
    </row>
    <row r="423" customFormat="false" ht="15" hidden="false" customHeight="false" outlineLevel="0" collapsed="false">
      <c r="A423" s="9" t="s">
        <v>637</v>
      </c>
      <c r="B423" s="9" t="s">
        <v>617</v>
      </c>
      <c r="C423" s="9" t="s">
        <v>618</v>
      </c>
      <c r="D423" s="9" t="s">
        <v>619</v>
      </c>
      <c r="E423" s="9" t="s">
        <v>275</v>
      </c>
      <c r="F423" s="9" t="s">
        <v>207</v>
      </c>
      <c r="G423" s="9" t="s">
        <v>198</v>
      </c>
      <c r="H423" s="9" t="n">
        <v>910</v>
      </c>
      <c r="I423" s="29" t="n">
        <v>1.2</v>
      </c>
      <c r="J423" s="9" t="n">
        <v>1</v>
      </c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21" t="str">
        <f aca="false">IF(COUNT(K423:T423)=0,"SOURCE EMPTY / INDUSTRIAL ONLY",IF(MIN(K423:T423)=1,"SERVICE READY","HOLD"))</f>
        <v>SOURCE EMPTY / INDUSTRIAL ONLY</v>
      </c>
      <c r="V423" s="9" t="n">
        <f aca="false">IF(U423="SERVICE READY",1,0)</f>
        <v>0</v>
      </c>
      <c r="W423" s="6"/>
      <c r="X423" s="6"/>
      <c r="Y423" s="6"/>
      <c r="Z423" s="6"/>
    </row>
    <row r="424" customFormat="false" ht="15" hidden="false" customHeight="false" outlineLevel="0" collapsed="false">
      <c r="A424" s="9" t="s">
        <v>638</v>
      </c>
      <c r="B424" s="9" t="s">
        <v>617</v>
      </c>
      <c r="C424" s="9" t="s">
        <v>618</v>
      </c>
      <c r="D424" s="9" t="s">
        <v>619</v>
      </c>
      <c r="E424" s="9" t="s">
        <v>275</v>
      </c>
      <c r="F424" s="9" t="s">
        <v>209</v>
      </c>
      <c r="G424" s="9" t="s">
        <v>201</v>
      </c>
      <c r="H424" s="9" t="n">
        <v>910</v>
      </c>
      <c r="I424" s="29" t="n">
        <v>1.2</v>
      </c>
      <c r="J424" s="9" t="n">
        <v>1</v>
      </c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21" t="str">
        <f aca="false">IF(COUNT(K424:T424)=0,"SOURCE EMPTY / INDUSTRIAL ONLY",IF(MIN(K424:T424)=1,"SERVICE READY","HOLD"))</f>
        <v>SOURCE EMPTY / INDUSTRIAL ONLY</v>
      </c>
      <c r="V424" s="9" t="n">
        <f aca="false">IF(U424="SERVICE READY",1,0)</f>
        <v>0</v>
      </c>
      <c r="W424" s="6"/>
      <c r="X424" s="6"/>
      <c r="Y424" s="6"/>
      <c r="Z424" s="6"/>
    </row>
    <row r="425" customFormat="false" ht="15" hidden="false" customHeight="false" outlineLevel="0" collapsed="false">
      <c r="A425" s="9" t="s">
        <v>639</v>
      </c>
      <c r="B425" s="9" t="s">
        <v>617</v>
      </c>
      <c r="C425" s="9" t="s">
        <v>618</v>
      </c>
      <c r="D425" s="9" t="s">
        <v>619</v>
      </c>
      <c r="E425" s="9" t="s">
        <v>275</v>
      </c>
      <c r="F425" s="9" t="s">
        <v>211</v>
      </c>
      <c r="G425" s="9" t="s">
        <v>198</v>
      </c>
      <c r="H425" s="9" t="n">
        <v>910</v>
      </c>
      <c r="I425" s="29" t="n">
        <v>1.2</v>
      </c>
      <c r="J425" s="9" t="n">
        <v>1</v>
      </c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21" t="str">
        <f aca="false">IF(COUNT(K425:T425)=0,"SOURCE EMPTY / INDUSTRIAL ONLY",IF(MIN(K425:T425)=1,"SERVICE READY","HOLD"))</f>
        <v>SOURCE EMPTY / INDUSTRIAL ONLY</v>
      </c>
      <c r="V425" s="9" t="n">
        <f aca="false">IF(U425="SERVICE READY",1,0)</f>
        <v>0</v>
      </c>
      <c r="W425" s="6"/>
      <c r="X425" s="6"/>
      <c r="Y425" s="6"/>
      <c r="Z425" s="6"/>
    </row>
    <row r="426" customFormat="false" ht="15" hidden="false" customHeight="false" outlineLevel="0" collapsed="false">
      <c r="A426" s="9" t="s">
        <v>640</v>
      </c>
      <c r="B426" s="9" t="s">
        <v>617</v>
      </c>
      <c r="C426" s="9" t="s">
        <v>618</v>
      </c>
      <c r="D426" s="9" t="s">
        <v>619</v>
      </c>
      <c r="E426" s="9" t="s">
        <v>275</v>
      </c>
      <c r="F426" s="9" t="s">
        <v>197</v>
      </c>
      <c r="G426" s="9" t="s">
        <v>201</v>
      </c>
      <c r="H426" s="9" t="n">
        <v>910</v>
      </c>
      <c r="I426" s="29" t="n">
        <v>1.2</v>
      </c>
      <c r="J426" s="9" t="n">
        <v>1</v>
      </c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21" t="str">
        <f aca="false">IF(COUNT(K426:T426)=0,"SOURCE EMPTY / INDUSTRIAL ONLY",IF(MIN(K426:T426)=1,"SERVICE READY","HOLD"))</f>
        <v>SOURCE EMPTY / INDUSTRIAL ONLY</v>
      </c>
      <c r="V426" s="9" t="n">
        <f aca="false">IF(U426="SERVICE READY",1,0)</f>
        <v>0</v>
      </c>
      <c r="W426" s="6"/>
      <c r="X426" s="6"/>
      <c r="Y426" s="6"/>
      <c r="Z426" s="6"/>
    </row>
    <row r="427" customFormat="false" ht="15" hidden="false" customHeight="false" outlineLevel="0" collapsed="false">
      <c r="A427" s="9" t="s">
        <v>641</v>
      </c>
      <c r="B427" s="9" t="s">
        <v>617</v>
      </c>
      <c r="C427" s="9" t="s">
        <v>618</v>
      </c>
      <c r="D427" s="9" t="s">
        <v>619</v>
      </c>
      <c r="E427" s="9" t="s">
        <v>275</v>
      </c>
      <c r="F427" s="9" t="s">
        <v>200</v>
      </c>
      <c r="G427" s="9" t="s">
        <v>198</v>
      </c>
      <c r="H427" s="9" t="n">
        <v>910</v>
      </c>
      <c r="I427" s="29" t="n">
        <v>1.2</v>
      </c>
      <c r="J427" s="9" t="n">
        <v>1</v>
      </c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21" t="str">
        <f aca="false">IF(COUNT(K427:T427)=0,"SOURCE EMPTY / INDUSTRIAL ONLY",IF(MIN(K427:T427)=1,"SERVICE READY","HOLD"))</f>
        <v>SOURCE EMPTY / INDUSTRIAL ONLY</v>
      </c>
      <c r="V427" s="9" t="n">
        <f aca="false">IF(U427="SERVICE READY",1,0)</f>
        <v>0</v>
      </c>
      <c r="W427" s="6"/>
      <c r="X427" s="6"/>
      <c r="Y427" s="6"/>
      <c r="Z427" s="6"/>
    </row>
    <row r="428" customFormat="false" ht="15" hidden="false" customHeight="false" outlineLevel="0" collapsed="false">
      <c r="A428" s="9" t="s">
        <v>642</v>
      </c>
      <c r="B428" s="9" t="s">
        <v>617</v>
      </c>
      <c r="C428" s="9" t="s">
        <v>618</v>
      </c>
      <c r="D428" s="9" t="s">
        <v>619</v>
      </c>
      <c r="E428" s="9" t="s">
        <v>275</v>
      </c>
      <c r="F428" s="9" t="s">
        <v>203</v>
      </c>
      <c r="G428" s="9" t="s">
        <v>201</v>
      </c>
      <c r="H428" s="9" t="n">
        <v>910</v>
      </c>
      <c r="I428" s="29" t="n">
        <v>1.2</v>
      </c>
      <c r="J428" s="9" t="n">
        <v>1</v>
      </c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21" t="str">
        <f aca="false">IF(COUNT(K428:T428)=0,"SOURCE EMPTY / INDUSTRIAL ONLY",IF(MIN(K428:T428)=1,"SERVICE READY","HOLD"))</f>
        <v>SOURCE EMPTY / INDUSTRIAL ONLY</v>
      </c>
      <c r="V428" s="9" t="n">
        <f aca="false">IF(U428="SERVICE READY",1,0)</f>
        <v>0</v>
      </c>
      <c r="W428" s="6"/>
      <c r="X428" s="6"/>
      <c r="Y428" s="6"/>
      <c r="Z428" s="6"/>
    </row>
    <row r="429" customFormat="false" ht="15" hidden="false" customHeight="false" outlineLevel="0" collapsed="false">
      <c r="A429" s="9" t="s">
        <v>643</v>
      </c>
      <c r="B429" s="9" t="s">
        <v>617</v>
      </c>
      <c r="C429" s="9" t="s">
        <v>618</v>
      </c>
      <c r="D429" s="9" t="s">
        <v>619</v>
      </c>
      <c r="E429" s="9" t="s">
        <v>275</v>
      </c>
      <c r="F429" s="9" t="s">
        <v>205</v>
      </c>
      <c r="G429" s="9" t="s">
        <v>198</v>
      </c>
      <c r="H429" s="9" t="n">
        <v>910</v>
      </c>
      <c r="I429" s="29" t="n">
        <v>1.2</v>
      </c>
      <c r="J429" s="9" t="n">
        <v>1</v>
      </c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21" t="str">
        <f aca="false">IF(COUNT(K429:T429)=0,"SOURCE EMPTY / INDUSTRIAL ONLY",IF(MIN(K429:T429)=1,"SERVICE READY","HOLD"))</f>
        <v>SOURCE EMPTY / INDUSTRIAL ONLY</v>
      </c>
      <c r="V429" s="9" t="n">
        <f aca="false">IF(U429="SERVICE READY",1,0)</f>
        <v>0</v>
      </c>
      <c r="W429" s="6"/>
      <c r="X429" s="6"/>
      <c r="Y429" s="6"/>
      <c r="Z429" s="6"/>
    </row>
    <row r="430" customFormat="false" ht="15" hidden="false" customHeight="false" outlineLevel="0" collapsed="false">
      <c r="A430" s="9" t="s">
        <v>644</v>
      </c>
      <c r="B430" s="9" t="s">
        <v>617</v>
      </c>
      <c r="C430" s="9" t="s">
        <v>618</v>
      </c>
      <c r="D430" s="9" t="s">
        <v>619</v>
      </c>
      <c r="E430" s="9" t="s">
        <v>275</v>
      </c>
      <c r="F430" s="9" t="s">
        <v>207</v>
      </c>
      <c r="G430" s="9" t="s">
        <v>201</v>
      </c>
      <c r="H430" s="9" t="n">
        <v>910</v>
      </c>
      <c r="I430" s="29" t="n">
        <v>1.2</v>
      </c>
      <c r="J430" s="9" t="n">
        <v>1</v>
      </c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21" t="str">
        <f aca="false">IF(COUNT(K430:T430)=0,"SOURCE EMPTY / INDUSTRIAL ONLY",IF(MIN(K430:T430)=1,"SERVICE READY","HOLD"))</f>
        <v>SOURCE EMPTY / INDUSTRIAL ONLY</v>
      </c>
      <c r="V430" s="9" t="n">
        <f aca="false">IF(U430="SERVICE READY",1,0)</f>
        <v>0</v>
      </c>
      <c r="W430" s="6"/>
      <c r="X430" s="6"/>
      <c r="Y430" s="6"/>
      <c r="Z430" s="6"/>
    </row>
    <row r="431" customFormat="false" ht="15" hidden="false" customHeight="false" outlineLevel="0" collapsed="false">
      <c r="A431" s="9" t="s">
        <v>645</v>
      </c>
      <c r="B431" s="9" t="s">
        <v>617</v>
      </c>
      <c r="C431" s="9" t="s">
        <v>618</v>
      </c>
      <c r="D431" s="9" t="s">
        <v>619</v>
      </c>
      <c r="E431" s="9" t="s">
        <v>275</v>
      </c>
      <c r="F431" s="9" t="s">
        <v>209</v>
      </c>
      <c r="G431" s="9" t="s">
        <v>198</v>
      </c>
      <c r="H431" s="9" t="n">
        <v>910</v>
      </c>
      <c r="I431" s="29" t="n">
        <v>1.2</v>
      </c>
      <c r="J431" s="9" t="n">
        <v>1</v>
      </c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21" t="str">
        <f aca="false">IF(COUNT(K431:T431)=0,"SOURCE EMPTY / INDUSTRIAL ONLY",IF(MIN(K431:T431)=1,"SERVICE READY","HOLD"))</f>
        <v>SOURCE EMPTY / INDUSTRIAL ONLY</v>
      </c>
      <c r="V431" s="9" t="n">
        <f aca="false">IF(U431="SERVICE READY",1,0)</f>
        <v>0</v>
      </c>
      <c r="W431" s="6"/>
      <c r="X431" s="6"/>
      <c r="Y431" s="6"/>
      <c r="Z431" s="6"/>
    </row>
    <row r="432" customFormat="false" ht="15" hidden="false" customHeight="false" outlineLevel="0" collapsed="false">
      <c r="A432" s="9" t="s">
        <v>646</v>
      </c>
      <c r="B432" s="9" t="s">
        <v>617</v>
      </c>
      <c r="C432" s="9" t="s">
        <v>618</v>
      </c>
      <c r="D432" s="9" t="s">
        <v>619</v>
      </c>
      <c r="E432" s="9" t="s">
        <v>275</v>
      </c>
      <c r="F432" s="9" t="s">
        <v>211</v>
      </c>
      <c r="G432" s="9" t="s">
        <v>201</v>
      </c>
      <c r="H432" s="9" t="n">
        <v>910</v>
      </c>
      <c r="I432" s="29" t="n">
        <v>1.2</v>
      </c>
      <c r="J432" s="9" t="n">
        <v>1</v>
      </c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21" t="str">
        <f aca="false">IF(COUNT(K432:T432)=0,"SOURCE EMPTY / INDUSTRIAL ONLY",IF(MIN(K432:T432)=1,"SERVICE READY","HOLD"))</f>
        <v>SOURCE EMPTY / INDUSTRIAL ONLY</v>
      </c>
      <c r="V432" s="9" t="n">
        <f aca="false">IF(U432="SERVICE READY",1,0)</f>
        <v>0</v>
      </c>
      <c r="W432" s="6"/>
      <c r="X432" s="6"/>
      <c r="Y432" s="6"/>
      <c r="Z432" s="6"/>
    </row>
    <row r="433" customFormat="false" ht="15" hidden="false" customHeight="false" outlineLevel="0" collapsed="false">
      <c r="A433" s="9" t="s">
        <v>647</v>
      </c>
      <c r="B433" s="9" t="s">
        <v>617</v>
      </c>
      <c r="C433" s="9" t="s">
        <v>618</v>
      </c>
      <c r="D433" s="9" t="s">
        <v>619</v>
      </c>
      <c r="E433" s="9" t="s">
        <v>275</v>
      </c>
      <c r="F433" s="9" t="s">
        <v>197</v>
      </c>
      <c r="G433" s="9" t="s">
        <v>198</v>
      </c>
      <c r="H433" s="9" t="n">
        <v>910</v>
      </c>
      <c r="I433" s="29" t="n">
        <v>1.2</v>
      </c>
      <c r="J433" s="9" t="n">
        <v>1</v>
      </c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21" t="str">
        <f aca="false">IF(COUNT(K433:T433)=0,"SOURCE EMPTY / INDUSTRIAL ONLY",IF(MIN(K433:T433)=1,"SERVICE READY","HOLD"))</f>
        <v>SOURCE EMPTY / INDUSTRIAL ONLY</v>
      </c>
      <c r="V433" s="9" t="n">
        <f aca="false">IF(U433="SERVICE READY",1,0)</f>
        <v>0</v>
      </c>
      <c r="W433" s="6"/>
      <c r="X433" s="6"/>
      <c r="Y433" s="6"/>
      <c r="Z433" s="6"/>
    </row>
    <row r="434" customFormat="false" ht="15" hidden="false" customHeight="false" outlineLevel="0" collapsed="false">
      <c r="A434" s="9" t="s">
        <v>648</v>
      </c>
      <c r="B434" s="9" t="s">
        <v>617</v>
      </c>
      <c r="C434" s="9" t="s">
        <v>618</v>
      </c>
      <c r="D434" s="9" t="s">
        <v>619</v>
      </c>
      <c r="E434" s="9" t="s">
        <v>275</v>
      </c>
      <c r="F434" s="9" t="s">
        <v>200</v>
      </c>
      <c r="G434" s="9" t="s">
        <v>201</v>
      </c>
      <c r="H434" s="9" t="n">
        <v>910</v>
      </c>
      <c r="I434" s="29" t="n">
        <v>1.2</v>
      </c>
      <c r="J434" s="9" t="n">
        <v>1</v>
      </c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21" t="str">
        <f aca="false">IF(COUNT(K434:T434)=0,"SOURCE EMPTY / INDUSTRIAL ONLY",IF(MIN(K434:T434)=1,"SERVICE READY","HOLD"))</f>
        <v>SOURCE EMPTY / INDUSTRIAL ONLY</v>
      </c>
      <c r="V434" s="9" t="n">
        <f aca="false">IF(U434="SERVICE READY",1,0)</f>
        <v>0</v>
      </c>
      <c r="W434" s="6"/>
      <c r="X434" s="6"/>
      <c r="Y434" s="6"/>
      <c r="Z434" s="6"/>
    </row>
    <row r="435" customFormat="false" ht="15" hidden="false" customHeight="false" outlineLevel="0" collapsed="false">
      <c r="A435" s="9" t="s">
        <v>649</v>
      </c>
      <c r="B435" s="9" t="s">
        <v>617</v>
      </c>
      <c r="C435" s="9" t="s">
        <v>618</v>
      </c>
      <c r="D435" s="9" t="s">
        <v>619</v>
      </c>
      <c r="E435" s="9" t="s">
        <v>275</v>
      </c>
      <c r="F435" s="9" t="s">
        <v>203</v>
      </c>
      <c r="G435" s="9" t="s">
        <v>198</v>
      </c>
      <c r="H435" s="9" t="n">
        <v>910</v>
      </c>
      <c r="I435" s="29" t="n">
        <v>1.2</v>
      </c>
      <c r="J435" s="9" t="n">
        <v>1</v>
      </c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21" t="str">
        <f aca="false">IF(COUNT(K435:T435)=0,"SOURCE EMPTY / INDUSTRIAL ONLY",IF(MIN(K435:T435)=1,"SERVICE READY","HOLD"))</f>
        <v>SOURCE EMPTY / INDUSTRIAL ONLY</v>
      </c>
      <c r="V435" s="9" t="n">
        <f aca="false">IF(U435="SERVICE READY",1,0)</f>
        <v>0</v>
      </c>
      <c r="W435" s="6"/>
      <c r="X435" s="6"/>
      <c r="Y435" s="6"/>
      <c r="Z435" s="6"/>
    </row>
    <row r="436" customFormat="false" ht="15" hidden="false" customHeight="false" outlineLevel="0" collapsed="false">
      <c r="A436" s="9" t="s">
        <v>650</v>
      </c>
      <c r="B436" s="9" t="s">
        <v>617</v>
      </c>
      <c r="C436" s="9" t="s">
        <v>618</v>
      </c>
      <c r="D436" s="9" t="s">
        <v>619</v>
      </c>
      <c r="E436" s="9" t="s">
        <v>275</v>
      </c>
      <c r="F436" s="9" t="s">
        <v>205</v>
      </c>
      <c r="G436" s="9" t="s">
        <v>201</v>
      </c>
      <c r="H436" s="9" t="n">
        <v>910</v>
      </c>
      <c r="I436" s="29" t="n">
        <v>1.2</v>
      </c>
      <c r="J436" s="9" t="n">
        <v>1</v>
      </c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21" t="str">
        <f aca="false">IF(COUNT(K436:T436)=0,"SOURCE EMPTY / INDUSTRIAL ONLY",IF(MIN(K436:T436)=1,"SERVICE READY","HOLD"))</f>
        <v>SOURCE EMPTY / INDUSTRIAL ONLY</v>
      </c>
      <c r="V436" s="9" t="n">
        <f aca="false">IF(U436="SERVICE READY",1,0)</f>
        <v>0</v>
      </c>
      <c r="W436" s="6"/>
      <c r="X436" s="6"/>
      <c r="Y436" s="6"/>
      <c r="Z436" s="6"/>
    </row>
    <row r="437" customFormat="false" ht="15" hidden="false" customHeight="false" outlineLevel="0" collapsed="false">
      <c r="A437" s="9" t="s">
        <v>651</v>
      </c>
      <c r="B437" s="9" t="s">
        <v>617</v>
      </c>
      <c r="C437" s="9" t="s">
        <v>618</v>
      </c>
      <c r="D437" s="9" t="s">
        <v>619</v>
      </c>
      <c r="E437" s="9" t="s">
        <v>275</v>
      </c>
      <c r="F437" s="9" t="s">
        <v>207</v>
      </c>
      <c r="G437" s="9" t="s">
        <v>198</v>
      </c>
      <c r="H437" s="9" t="n">
        <v>910</v>
      </c>
      <c r="I437" s="29" t="n">
        <v>1.2</v>
      </c>
      <c r="J437" s="9" t="n">
        <v>1</v>
      </c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21" t="str">
        <f aca="false">IF(COUNT(K437:T437)=0,"SOURCE EMPTY / INDUSTRIAL ONLY",IF(MIN(K437:T437)=1,"SERVICE READY","HOLD"))</f>
        <v>SOURCE EMPTY / INDUSTRIAL ONLY</v>
      </c>
      <c r="V437" s="9" t="n">
        <f aca="false">IF(U437="SERVICE READY",1,0)</f>
        <v>0</v>
      </c>
      <c r="W437" s="6"/>
      <c r="X437" s="6"/>
      <c r="Y437" s="6"/>
      <c r="Z437" s="6"/>
    </row>
    <row r="438" customFormat="false" ht="15" hidden="false" customHeight="false" outlineLevel="0" collapsed="false">
      <c r="A438" s="9" t="s">
        <v>652</v>
      </c>
      <c r="B438" s="9" t="s">
        <v>617</v>
      </c>
      <c r="C438" s="9" t="s">
        <v>618</v>
      </c>
      <c r="D438" s="9" t="s">
        <v>619</v>
      </c>
      <c r="E438" s="9" t="s">
        <v>275</v>
      </c>
      <c r="F438" s="9" t="s">
        <v>209</v>
      </c>
      <c r="G438" s="9" t="s">
        <v>201</v>
      </c>
      <c r="H438" s="9" t="n">
        <v>910</v>
      </c>
      <c r="I438" s="29" t="n">
        <v>1.2</v>
      </c>
      <c r="J438" s="9" t="n">
        <v>1</v>
      </c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21" t="str">
        <f aca="false">IF(COUNT(K438:T438)=0,"SOURCE EMPTY / INDUSTRIAL ONLY",IF(MIN(K438:T438)=1,"SERVICE READY","HOLD"))</f>
        <v>SOURCE EMPTY / INDUSTRIAL ONLY</v>
      </c>
      <c r="V438" s="9" t="n">
        <f aca="false">IF(U438="SERVICE READY",1,0)</f>
        <v>0</v>
      </c>
      <c r="W438" s="6"/>
      <c r="X438" s="6"/>
      <c r="Y438" s="6"/>
      <c r="Z438" s="6"/>
    </row>
    <row r="439" customFormat="false" ht="15" hidden="false" customHeight="false" outlineLevel="0" collapsed="false">
      <c r="A439" s="9" t="s">
        <v>653</v>
      </c>
      <c r="B439" s="9" t="s">
        <v>617</v>
      </c>
      <c r="C439" s="9" t="s">
        <v>618</v>
      </c>
      <c r="D439" s="9" t="s">
        <v>619</v>
      </c>
      <c r="E439" s="9" t="s">
        <v>275</v>
      </c>
      <c r="F439" s="9" t="s">
        <v>211</v>
      </c>
      <c r="G439" s="9" t="s">
        <v>221</v>
      </c>
      <c r="H439" s="9" t="n">
        <v>910</v>
      </c>
      <c r="I439" s="29" t="n">
        <v>1.2</v>
      </c>
      <c r="J439" s="9" t="n">
        <v>1</v>
      </c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21" t="str">
        <f aca="false">IF(COUNT(K439:T439)=0,"SOURCE EMPTY / INDUSTRIAL ONLY",IF(MIN(K439:T439)=1,"SERVICE READY","HOLD"))</f>
        <v>SOURCE EMPTY / INDUSTRIAL ONLY</v>
      </c>
      <c r="V439" s="9" t="n">
        <f aca="false">IF(U439="SERVICE READY",1,0)</f>
        <v>0</v>
      </c>
      <c r="W439" s="6"/>
      <c r="X439" s="6"/>
      <c r="Y439" s="6"/>
      <c r="Z439" s="6"/>
    </row>
    <row r="440" customFormat="false" ht="15" hidden="false" customHeight="false" outlineLevel="0" collapsed="false">
      <c r="A440" s="9" t="s">
        <v>654</v>
      </c>
      <c r="B440" s="9" t="s">
        <v>617</v>
      </c>
      <c r="C440" s="9" t="s">
        <v>618</v>
      </c>
      <c r="D440" s="9" t="s">
        <v>619</v>
      </c>
      <c r="E440" s="9" t="s">
        <v>275</v>
      </c>
      <c r="F440" s="9" t="s">
        <v>197</v>
      </c>
      <c r="G440" s="9" t="s">
        <v>221</v>
      </c>
      <c r="H440" s="9" t="n">
        <v>910</v>
      </c>
      <c r="I440" s="29" t="n">
        <v>1.2</v>
      </c>
      <c r="J440" s="9" t="n">
        <v>1</v>
      </c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21" t="str">
        <f aca="false">IF(COUNT(K440:T440)=0,"SOURCE EMPTY / INDUSTRIAL ONLY",IF(MIN(K440:T440)=1,"SERVICE READY","HOLD"))</f>
        <v>SOURCE EMPTY / INDUSTRIAL ONLY</v>
      </c>
      <c r="V440" s="9" t="n">
        <f aca="false">IF(U440="SERVICE READY",1,0)</f>
        <v>0</v>
      </c>
      <c r="W440" s="6"/>
      <c r="X440" s="6"/>
      <c r="Y440" s="6"/>
      <c r="Z440" s="6"/>
    </row>
    <row r="441" customFormat="false" ht="15" hidden="false" customHeight="false" outlineLevel="0" collapsed="false">
      <c r="A441" s="9" t="s">
        <v>655</v>
      </c>
      <c r="B441" s="9" t="s">
        <v>617</v>
      </c>
      <c r="C441" s="9" t="s">
        <v>618</v>
      </c>
      <c r="D441" s="9" t="s">
        <v>619</v>
      </c>
      <c r="E441" s="9" t="s">
        <v>275</v>
      </c>
      <c r="F441" s="9" t="s">
        <v>200</v>
      </c>
      <c r="G441" s="9" t="s">
        <v>221</v>
      </c>
      <c r="H441" s="9" t="n">
        <v>910</v>
      </c>
      <c r="I441" s="29" t="n">
        <v>1.2</v>
      </c>
      <c r="J441" s="9" t="n">
        <v>1</v>
      </c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21" t="str">
        <f aca="false">IF(COUNT(K441:T441)=0,"SOURCE EMPTY / INDUSTRIAL ONLY",IF(MIN(K441:T441)=1,"SERVICE READY","HOLD"))</f>
        <v>SOURCE EMPTY / INDUSTRIAL ONLY</v>
      </c>
      <c r="V441" s="9" t="n">
        <f aca="false">IF(U441="SERVICE READY",1,0)</f>
        <v>0</v>
      </c>
      <c r="W441" s="6"/>
      <c r="X441" s="6"/>
      <c r="Y441" s="6"/>
      <c r="Z441" s="6"/>
    </row>
    <row r="442" customFormat="false" ht="15" hidden="false" customHeight="false" outlineLevel="0" collapsed="false">
      <c r="A442" s="9" t="s">
        <v>656</v>
      </c>
      <c r="B442" s="9" t="s">
        <v>617</v>
      </c>
      <c r="C442" s="9" t="s">
        <v>618</v>
      </c>
      <c r="D442" s="9" t="s">
        <v>619</v>
      </c>
      <c r="E442" s="9" t="s">
        <v>275</v>
      </c>
      <c r="F442" s="9" t="s">
        <v>203</v>
      </c>
      <c r="G442" s="9" t="s">
        <v>221</v>
      </c>
      <c r="H442" s="9" t="n">
        <v>910</v>
      </c>
      <c r="I442" s="29" t="n">
        <v>1.2</v>
      </c>
      <c r="J442" s="9" t="n">
        <v>1</v>
      </c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21" t="str">
        <f aca="false">IF(COUNT(K442:T442)=0,"SOURCE EMPTY / INDUSTRIAL ONLY",IF(MIN(K442:T442)=1,"SERVICE READY","HOLD"))</f>
        <v>SOURCE EMPTY / INDUSTRIAL ONLY</v>
      </c>
      <c r="V442" s="9" t="n">
        <f aca="false">IF(U442="SERVICE READY",1,0)</f>
        <v>0</v>
      </c>
      <c r="W442" s="6"/>
      <c r="X442" s="6"/>
      <c r="Y442" s="6"/>
      <c r="Z442" s="6"/>
    </row>
    <row r="443" customFormat="false" ht="15" hidden="false" customHeight="false" outlineLevel="0" collapsed="false">
      <c r="A443" s="9" t="s">
        <v>657</v>
      </c>
      <c r="B443" s="9" t="s">
        <v>617</v>
      </c>
      <c r="C443" s="9" t="s">
        <v>618</v>
      </c>
      <c r="D443" s="9" t="s">
        <v>619</v>
      </c>
      <c r="E443" s="9" t="s">
        <v>275</v>
      </c>
      <c r="F443" s="9" t="s">
        <v>205</v>
      </c>
      <c r="G443" s="9" t="s">
        <v>221</v>
      </c>
      <c r="H443" s="9" t="n">
        <v>910</v>
      </c>
      <c r="I443" s="29" t="n">
        <v>1.2</v>
      </c>
      <c r="J443" s="9" t="n">
        <v>1</v>
      </c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21" t="str">
        <f aca="false">IF(COUNT(K443:T443)=0,"SOURCE EMPTY / INDUSTRIAL ONLY",IF(MIN(K443:T443)=1,"SERVICE READY","HOLD"))</f>
        <v>SOURCE EMPTY / INDUSTRIAL ONLY</v>
      </c>
      <c r="V443" s="9" t="n">
        <f aca="false">IF(U443="SERVICE READY",1,0)</f>
        <v>0</v>
      </c>
      <c r="W443" s="6"/>
      <c r="X443" s="6"/>
      <c r="Y443" s="6"/>
      <c r="Z443" s="6"/>
    </row>
    <row r="444" customFormat="false" ht="15" hidden="false" customHeight="false" outlineLevel="0" collapsed="false">
      <c r="A444" s="9" t="s">
        <v>658</v>
      </c>
      <c r="B444" s="9" t="s">
        <v>617</v>
      </c>
      <c r="C444" s="9" t="s">
        <v>618</v>
      </c>
      <c r="D444" s="9" t="s">
        <v>619</v>
      </c>
      <c r="E444" s="9" t="s">
        <v>275</v>
      </c>
      <c r="F444" s="9" t="s">
        <v>207</v>
      </c>
      <c r="G444" s="9" t="s">
        <v>221</v>
      </c>
      <c r="H444" s="9" t="n">
        <v>910</v>
      </c>
      <c r="I444" s="29" t="n">
        <v>1.2</v>
      </c>
      <c r="J444" s="9" t="n">
        <v>1</v>
      </c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21" t="str">
        <f aca="false">IF(COUNT(K444:T444)=0,"SOURCE EMPTY / INDUSTRIAL ONLY",IF(MIN(K444:T444)=1,"SERVICE READY","HOLD"))</f>
        <v>SOURCE EMPTY / INDUSTRIAL ONLY</v>
      </c>
      <c r="V444" s="9" t="n">
        <f aca="false">IF(U444="SERVICE READY",1,0)</f>
        <v>0</v>
      </c>
      <c r="W444" s="6"/>
      <c r="X444" s="6"/>
      <c r="Y444" s="6"/>
      <c r="Z444" s="6"/>
    </row>
    <row r="445" customFormat="false" ht="15" hidden="false" customHeight="false" outlineLevel="0" collapsed="false">
      <c r="A445" s="9" t="s">
        <v>659</v>
      </c>
      <c r="B445" s="9" t="s">
        <v>617</v>
      </c>
      <c r="C445" s="9" t="s">
        <v>618</v>
      </c>
      <c r="D445" s="9" t="s">
        <v>619</v>
      </c>
      <c r="E445" s="9" t="s">
        <v>275</v>
      </c>
      <c r="F445" s="9" t="s">
        <v>209</v>
      </c>
      <c r="G445" s="9" t="s">
        <v>221</v>
      </c>
      <c r="H445" s="9" t="n">
        <v>910</v>
      </c>
      <c r="I445" s="29" t="n">
        <v>1.2</v>
      </c>
      <c r="J445" s="9" t="n">
        <v>1</v>
      </c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21" t="str">
        <f aca="false">IF(COUNT(K445:T445)=0,"SOURCE EMPTY / INDUSTRIAL ONLY",IF(MIN(K445:T445)=1,"SERVICE READY","HOLD"))</f>
        <v>SOURCE EMPTY / INDUSTRIAL ONLY</v>
      </c>
      <c r="V445" s="9" t="n">
        <f aca="false">IF(U445="SERVICE READY",1,0)</f>
        <v>0</v>
      </c>
      <c r="W445" s="6"/>
      <c r="X445" s="6"/>
      <c r="Y445" s="6"/>
      <c r="Z445" s="6"/>
    </row>
    <row r="446" customFormat="false" ht="15" hidden="false" customHeight="false" outlineLevel="0" collapsed="false">
      <c r="A446" s="9" t="s">
        <v>660</v>
      </c>
      <c r="B446" s="9" t="s">
        <v>617</v>
      </c>
      <c r="C446" s="9" t="s">
        <v>618</v>
      </c>
      <c r="D446" s="9" t="s">
        <v>619</v>
      </c>
      <c r="E446" s="9" t="s">
        <v>275</v>
      </c>
      <c r="F446" s="9" t="s">
        <v>211</v>
      </c>
      <c r="G446" s="9" t="s">
        <v>221</v>
      </c>
      <c r="H446" s="9" t="n">
        <v>910</v>
      </c>
      <c r="I446" s="29" t="n">
        <v>1.2</v>
      </c>
      <c r="J446" s="9" t="n">
        <v>1</v>
      </c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21" t="str">
        <f aca="false">IF(COUNT(K446:T446)=0,"SOURCE EMPTY / INDUSTRIAL ONLY",IF(MIN(K446:T446)=1,"SERVICE READY","HOLD"))</f>
        <v>SOURCE EMPTY / INDUSTRIAL ONLY</v>
      </c>
      <c r="V446" s="9" t="n">
        <f aca="false">IF(U446="SERVICE READY",1,0)</f>
        <v>0</v>
      </c>
      <c r="W446" s="6"/>
      <c r="X446" s="6"/>
      <c r="Y446" s="6"/>
      <c r="Z446" s="6"/>
    </row>
    <row r="447" customFormat="false" ht="15" hidden="false" customHeight="false" outlineLevel="0" collapsed="false">
      <c r="A447" s="9" t="s">
        <v>661</v>
      </c>
      <c r="B447" s="9" t="s">
        <v>617</v>
      </c>
      <c r="C447" s="9" t="s">
        <v>618</v>
      </c>
      <c r="D447" s="9" t="s">
        <v>619</v>
      </c>
      <c r="E447" s="9" t="s">
        <v>275</v>
      </c>
      <c r="F447" s="9" t="s">
        <v>197</v>
      </c>
      <c r="G447" s="9" t="s">
        <v>221</v>
      </c>
      <c r="H447" s="9" t="n">
        <v>910</v>
      </c>
      <c r="I447" s="29" t="n">
        <v>1.2</v>
      </c>
      <c r="J447" s="9" t="n">
        <v>1</v>
      </c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21" t="str">
        <f aca="false">IF(COUNT(K447:T447)=0,"SOURCE EMPTY / INDUSTRIAL ONLY",IF(MIN(K447:T447)=1,"SERVICE READY","HOLD"))</f>
        <v>SOURCE EMPTY / INDUSTRIAL ONLY</v>
      </c>
      <c r="V447" s="9" t="n">
        <f aca="false">IF(U447="SERVICE READY",1,0)</f>
        <v>0</v>
      </c>
      <c r="W447" s="6"/>
      <c r="X447" s="6"/>
      <c r="Y447" s="6"/>
      <c r="Z447" s="6"/>
    </row>
    <row r="448" customFormat="false" ht="15" hidden="false" customHeight="false" outlineLevel="0" collapsed="false">
      <c r="A448" s="9" t="s">
        <v>662</v>
      </c>
      <c r="B448" s="9" t="s">
        <v>617</v>
      </c>
      <c r="C448" s="9" t="s">
        <v>618</v>
      </c>
      <c r="D448" s="9" t="s">
        <v>619</v>
      </c>
      <c r="E448" s="9" t="s">
        <v>275</v>
      </c>
      <c r="F448" s="9" t="s">
        <v>200</v>
      </c>
      <c r="G448" s="9" t="s">
        <v>221</v>
      </c>
      <c r="H448" s="9" t="n">
        <v>910</v>
      </c>
      <c r="I448" s="29" t="n">
        <v>1.2</v>
      </c>
      <c r="J448" s="9" t="n">
        <v>1</v>
      </c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21" t="str">
        <f aca="false">IF(COUNT(K448:T448)=0,"SOURCE EMPTY / INDUSTRIAL ONLY",IF(MIN(K448:T448)=1,"SERVICE READY","HOLD"))</f>
        <v>SOURCE EMPTY / INDUSTRIAL ONLY</v>
      </c>
      <c r="V448" s="9" t="n">
        <f aca="false">IF(U448="SERVICE READY",1,0)</f>
        <v>0</v>
      </c>
      <c r="W448" s="6"/>
      <c r="X448" s="6"/>
      <c r="Y448" s="6"/>
      <c r="Z448" s="6"/>
    </row>
    <row r="449" customFormat="false" ht="15" hidden="false" customHeight="false" outlineLevel="0" collapsed="false">
      <c r="A449" s="9" t="s">
        <v>663</v>
      </c>
      <c r="B449" s="9" t="s">
        <v>617</v>
      </c>
      <c r="C449" s="9" t="s">
        <v>618</v>
      </c>
      <c r="D449" s="9" t="s">
        <v>619</v>
      </c>
      <c r="E449" s="9" t="s">
        <v>275</v>
      </c>
      <c r="F449" s="9" t="s">
        <v>203</v>
      </c>
      <c r="G449" s="9" t="s">
        <v>221</v>
      </c>
      <c r="H449" s="9" t="n">
        <v>910</v>
      </c>
      <c r="I449" s="29" t="n">
        <v>1.2</v>
      </c>
      <c r="J449" s="9" t="n">
        <v>1</v>
      </c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21" t="str">
        <f aca="false">IF(COUNT(K449:T449)=0,"SOURCE EMPTY / INDUSTRIAL ONLY",IF(MIN(K449:T449)=1,"SERVICE READY","HOLD"))</f>
        <v>SOURCE EMPTY / INDUSTRIAL ONLY</v>
      </c>
      <c r="V449" s="9" t="n">
        <f aca="false">IF(U449="SERVICE READY",1,0)</f>
        <v>0</v>
      </c>
      <c r="W449" s="6"/>
      <c r="X449" s="6"/>
      <c r="Y449" s="6"/>
      <c r="Z449" s="6"/>
    </row>
    <row r="450" customFormat="false" ht="15" hidden="false" customHeight="false" outlineLevel="0" collapsed="false">
      <c r="A450" s="9" t="s">
        <v>664</v>
      </c>
      <c r="B450" s="9" t="s">
        <v>617</v>
      </c>
      <c r="C450" s="9" t="s">
        <v>618</v>
      </c>
      <c r="D450" s="9" t="s">
        <v>619</v>
      </c>
      <c r="E450" s="9" t="s">
        <v>275</v>
      </c>
      <c r="F450" s="9" t="s">
        <v>205</v>
      </c>
      <c r="G450" s="9" t="s">
        <v>221</v>
      </c>
      <c r="H450" s="9" t="n">
        <v>910</v>
      </c>
      <c r="I450" s="29" t="n">
        <v>1.2</v>
      </c>
      <c r="J450" s="9" t="n">
        <v>1</v>
      </c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21" t="str">
        <f aca="false">IF(COUNT(K450:T450)=0,"SOURCE EMPTY / INDUSTRIAL ONLY",IF(MIN(K450:T450)=1,"SERVICE READY","HOLD"))</f>
        <v>SOURCE EMPTY / INDUSTRIAL ONLY</v>
      </c>
      <c r="V450" s="9" t="n">
        <f aca="false">IF(U450="SERVICE READY",1,0)</f>
        <v>0</v>
      </c>
      <c r="W450" s="6"/>
      <c r="X450" s="6"/>
      <c r="Y450" s="6"/>
      <c r="Z450" s="6"/>
    </row>
    <row r="451" customFormat="false" ht="15" hidden="false" customHeight="false" outlineLevel="0" collapsed="false">
      <c r="A451" s="9" t="s">
        <v>665</v>
      </c>
      <c r="B451" s="9" t="s">
        <v>617</v>
      </c>
      <c r="C451" s="9" t="s">
        <v>618</v>
      </c>
      <c r="D451" s="9" t="s">
        <v>619</v>
      </c>
      <c r="E451" s="9" t="s">
        <v>275</v>
      </c>
      <c r="F451" s="9" t="s">
        <v>207</v>
      </c>
      <c r="G451" s="9" t="s">
        <v>221</v>
      </c>
      <c r="H451" s="9" t="n">
        <v>910</v>
      </c>
      <c r="I451" s="29" t="n">
        <v>1.2</v>
      </c>
      <c r="J451" s="9" t="n">
        <v>1</v>
      </c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21" t="str">
        <f aca="false">IF(COUNT(K451:T451)=0,"SOURCE EMPTY / INDUSTRIAL ONLY",IF(MIN(K451:T451)=1,"SERVICE READY","HOLD"))</f>
        <v>SOURCE EMPTY / INDUSTRIAL ONLY</v>
      </c>
      <c r="V451" s="9" t="n">
        <f aca="false">IF(U451="SERVICE READY",1,0)</f>
        <v>0</v>
      </c>
      <c r="W451" s="6"/>
      <c r="X451" s="6"/>
      <c r="Y451" s="6"/>
      <c r="Z451" s="6"/>
    </row>
    <row r="452" customFormat="false" ht="15" hidden="false" customHeight="false" outlineLevel="0" collapsed="false">
      <c r="A452" s="9" t="s">
        <v>666</v>
      </c>
      <c r="B452" s="9" t="s">
        <v>617</v>
      </c>
      <c r="C452" s="9" t="s">
        <v>618</v>
      </c>
      <c r="D452" s="9" t="s">
        <v>619</v>
      </c>
      <c r="E452" s="9" t="s">
        <v>275</v>
      </c>
      <c r="F452" s="9" t="s">
        <v>209</v>
      </c>
      <c r="G452" s="9" t="s">
        <v>221</v>
      </c>
      <c r="H452" s="9" t="n">
        <v>910</v>
      </c>
      <c r="I452" s="29" t="n">
        <v>1.2</v>
      </c>
      <c r="J452" s="9" t="n">
        <v>1</v>
      </c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21" t="str">
        <f aca="false">IF(COUNT(K452:T452)=0,"SOURCE EMPTY / INDUSTRIAL ONLY",IF(MIN(K452:T452)=1,"SERVICE READY","HOLD"))</f>
        <v>SOURCE EMPTY / INDUSTRIAL ONLY</v>
      </c>
      <c r="V452" s="9" t="n">
        <f aca="false">IF(U452="SERVICE READY",1,0)</f>
        <v>0</v>
      </c>
      <c r="W452" s="6"/>
      <c r="X452" s="6"/>
      <c r="Y452" s="6"/>
      <c r="Z452" s="6"/>
    </row>
    <row r="453" customFormat="false" ht="15" hidden="false" customHeight="false" outlineLevel="0" collapsed="false">
      <c r="A453" s="9" t="s">
        <v>667</v>
      </c>
      <c r="B453" s="9" t="s">
        <v>617</v>
      </c>
      <c r="C453" s="9" t="s">
        <v>618</v>
      </c>
      <c r="D453" s="9" t="s">
        <v>619</v>
      </c>
      <c r="E453" s="9" t="s">
        <v>275</v>
      </c>
      <c r="F453" s="9" t="s">
        <v>211</v>
      </c>
      <c r="G453" s="9" t="s">
        <v>221</v>
      </c>
      <c r="H453" s="9" t="n">
        <v>910</v>
      </c>
      <c r="I453" s="29" t="n">
        <v>1.2</v>
      </c>
      <c r="J453" s="9" t="n">
        <v>1</v>
      </c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21" t="str">
        <f aca="false">IF(COUNT(K453:T453)=0,"SOURCE EMPTY / INDUSTRIAL ONLY",IF(MIN(K453:T453)=1,"SERVICE READY","HOLD"))</f>
        <v>SOURCE EMPTY / INDUSTRIAL ONLY</v>
      </c>
      <c r="V453" s="9" t="n">
        <f aca="false">IF(U453="SERVICE READY",1,0)</f>
        <v>0</v>
      </c>
      <c r="W453" s="6"/>
      <c r="X453" s="6"/>
      <c r="Y453" s="6"/>
      <c r="Z453" s="6"/>
    </row>
    <row r="454" customFormat="false" ht="15" hidden="false" customHeight="false" outlineLevel="0" collapsed="false">
      <c r="A454" s="9" t="s">
        <v>668</v>
      </c>
      <c r="B454" s="9" t="s">
        <v>617</v>
      </c>
      <c r="C454" s="9" t="s">
        <v>618</v>
      </c>
      <c r="D454" s="9" t="s">
        <v>619</v>
      </c>
      <c r="E454" s="9" t="s">
        <v>275</v>
      </c>
      <c r="F454" s="9" t="s">
        <v>197</v>
      </c>
      <c r="G454" s="9" t="s">
        <v>221</v>
      </c>
      <c r="H454" s="9" t="n">
        <v>910</v>
      </c>
      <c r="I454" s="29" t="n">
        <v>1.2</v>
      </c>
      <c r="J454" s="9" t="n">
        <v>1</v>
      </c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21" t="str">
        <f aca="false">IF(COUNT(K454:T454)=0,"SOURCE EMPTY / INDUSTRIAL ONLY",IF(MIN(K454:T454)=1,"SERVICE READY","HOLD"))</f>
        <v>SOURCE EMPTY / INDUSTRIAL ONLY</v>
      </c>
      <c r="V454" s="9" t="n">
        <f aca="false">IF(U454="SERVICE READY",1,0)</f>
        <v>0</v>
      </c>
      <c r="W454" s="6"/>
      <c r="X454" s="6"/>
      <c r="Y454" s="6"/>
      <c r="Z454" s="6"/>
    </row>
    <row r="455" customFormat="false" ht="15" hidden="false" customHeight="false" outlineLevel="0" collapsed="false">
      <c r="A455" s="9" t="s">
        <v>669</v>
      </c>
      <c r="B455" s="9" t="s">
        <v>617</v>
      </c>
      <c r="C455" s="9" t="s">
        <v>618</v>
      </c>
      <c r="D455" s="9" t="s">
        <v>619</v>
      </c>
      <c r="E455" s="9" t="s">
        <v>275</v>
      </c>
      <c r="F455" s="9" t="s">
        <v>200</v>
      </c>
      <c r="G455" s="9" t="s">
        <v>221</v>
      </c>
      <c r="H455" s="9" t="n">
        <v>910</v>
      </c>
      <c r="I455" s="29" t="n">
        <v>1.2</v>
      </c>
      <c r="J455" s="9" t="n">
        <v>1</v>
      </c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21" t="str">
        <f aca="false">IF(COUNT(K455:T455)=0,"SOURCE EMPTY / INDUSTRIAL ONLY",IF(MIN(K455:T455)=1,"SERVICE READY","HOLD"))</f>
        <v>SOURCE EMPTY / INDUSTRIAL ONLY</v>
      </c>
      <c r="V455" s="9" t="n">
        <f aca="false">IF(U455="SERVICE READY",1,0)</f>
        <v>0</v>
      </c>
      <c r="W455" s="6"/>
      <c r="X455" s="6"/>
      <c r="Y455" s="6"/>
      <c r="Z455" s="6"/>
    </row>
    <row r="456" customFormat="false" ht="15" hidden="false" customHeight="false" outlineLevel="0" collapsed="false">
      <c r="A456" s="9" t="s">
        <v>670</v>
      </c>
      <c r="B456" s="9" t="s">
        <v>617</v>
      </c>
      <c r="C456" s="9" t="s">
        <v>618</v>
      </c>
      <c r="D456" s="9" t="s">
        <v>619</v>
      </c>
      <c r="E456" s="9" t="s">
        <v>275</v>
      </c>
      <c r="F456" s="9" t="s">
        <v>203</v>
      </c>
      <c r="G456" s="9" t="s">
        <v>221</v>
      </c>
      <c r="H456" s="9" t="n">
        <v>910</v>
      </c>
      <c r="I456" s="29" t="n">
        <v>1.2</v>
      </c>
      <c r="J456" s="9" t="n">
        <v>1</v>
      </c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21" t="str">
        <f aca="false">IF(COUNT(K456:T456)=0,"SOURCE EMPTY / INDUSTRIAL ONLY",IF(MIN(K456:T456)=1,"SERVICE READY","HOLD"))</f>
        <v>SOURCE EMPTY / INDUSTRIAL ONLY</v>
      </c>
      <c r="V456" s="9" t="n">
        <f aca="false">IF(U456="SERVICE READY",1,0)</f>
        <v>0</v>
      </c>
      <c r="W456" s="6"/>
      <c r="X456" s="6"/>
      <c r="Y456" s="6"/>
      <c r="Z456" s="6"/>
    </row>
    <row r="457" customFormat="false" ht="15" hidden="false" customHeight="false" outlineLevel="0" collapsed="false">
      <c r="A457" s="9" t="s">
        <v>671</v>
      </c>
      <c r="B457" s="9" t="s">
        <v>617</v>
      </c>
      <c r="C457" s="9" t="s">
        <v>618</v>
      </c>
      <c r="D457" s="9" t="s">
        <v>619</v>
      </c>
      <c r="E457" s="9" t="s">
        <v>275</v>
      </c>
      <c r="F457" s="9" t="s">
        <v>205</v>
      </c>
      <c r="G457" s="9" t="s">
        <v>221</v>
      </c>
      <c r="H457" s="9" t="n">
        <v>910</v>
      </c>
      <c r="I457" s="29" t="n">
        <v>1.2</v>
      </c>
      <c r="J457" s="9" t="n">
        <v>1</v>
      </c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21" t="str">
        <f aca="false">IF(COUNT(K457:T457)=0,"SOURCE EMPTY / INDUSTRIAL ONLY",IF(MIN(K457:T457)=1,"SERVICE READY","HOLD"))</f>
        <v>SOURCE EMPTY / INDUSTRIAL ONLY</v>
      </c>
      <c r="V457" s="9" t="n">
        <f aca="false">IF(U457="SERVICE READY",1,0)</f>
        <v>0</v>
      </c>
      <c r="W457" s="6"/>
      <c r="X457" s="6"/>
      <c r="Y457" s="6"/>
      <c r="Z457" s="6"/>
    </row>
    <row r="458" customFormat="false" ht="15" hidden="false" customHeight="false" outlineLevel="0" collapsed="false">
      <c r="A458" s="9" t="s">
        <v>672</v>
      </c>
      <c r="B458" s="9" t="s">
        <v>617</v>
      </c>
      <c r="C458" s="9" t="s">
        <v>618</v>
      </c>
      <c r="D458" s="9" t="s">
        <v>619</v>
      </c>
      <c r="E458" s="9" t="s">
        <v>275</v>
      </c>
      <c r="F458" s="9" t="s">
        <v>207</v>
      </c>
      <c r="G458" s="9" t="s">
        <v>221</v>
      </c>
      <c r="H458" s="9" t="n">
        <v>910</v>
      </c>
      <c r="I458" s="29" t="n">
        <v>1.2</v>
      </c>
      <c r="J458" s="9" t="n">
        <v>1</v>
      </c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21" t="str">
        <f aca="false">IF(COUNT(K458:T458)=0,"SOURCE EMPTY / INDUSTRIAL ONLY",IF(MIN(K458:T458)=1,"SERVICE READY","HOLD"))</f>
        <v>SOURCE EMPTY / INDUSTRIAL ONLY</v>
      </c>
      <c r="V458" s="9" t="n">
        <f aca="false">IF(U458="SERVICE READY",1,0)</f>
        <v>0</v>
      </c>
      <c r="W458" s="6"/>
      <c r="X458" s="6"/>
      <c r="Y458" s="6"/>
      <c r="Z458" s="6"/>
    </row>
    <row r="459" customFormat="false" ht="15" hidden="false" customHeight="false" outlineLevel="0" collapsed="false">
      <c r="A459" s="9" t="s">
        <v>673</v>
      </c>
      <c r="B459" s="9" t="s">
        <v>617</v>
      </c>
      <c r="C459" s="9" t="s">
        <v>618</v>
      </c>
      <c r="D459" s="9" t="s">
        <v>619</v>
      </c>
      <c r="E459" s="9" t="s">
        <v>275</v>
      </c>
      <c r="F459" s="9" t="s">
        <v>209</v>
      </c>
      <c r="G459" s="9" t="s">
        <v>221</v>
      </c>
      <c r="H459" s="9" t="n">
        <v>910</v>
      </c>
      <c r="I459" s="29" t="n">
        <v>1.2</v>
      </c>
      <c r="J459" s="9" t="n">
        <v>1</v>
      </c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21" t="str">
        <f aca="false">IF(COUNT(K459:T459)=0,"SOURCE EMPTY / INDUSTRIAL ONLY",IF(MIN(K459:T459)=1,"SERVICE READY","HOLD"))</f>
        <v>SOURCE EMPTY / INDUSTRIAL ONLY</v>
      </c>
      <c r="V459" s="9" t="n">
        <f aca="false">IF(U459="SERVICE READY",1,0)</f>
        <v>0</v>
      </c>
      <c r="W459" s="6"/>
      <c r="X459" s="6"/>
      <c r="Y459" s="6"/>
      <c r="Z459" s="6"/>
    </row>
    <row r="460" customFormat="false" ht="15" hidden="false" customHeight="false" outlineLevel="0" collapsed="false">
      <c r="A460" s="9" t="s">
        <v>674</v>
      </c>
      <c r="B460" s="9" t="s">
        <v>617</v>
      </c>
      <c r="C460" s="9" t="s">
        <v>618</v>
      </c>
      <c r="D460" s="9" t="s">
        <v>619</v>
      </c>
      <c r="E460" s="9" t="s">
        <v>275</v>
      </c>
      <c r="F460" s="9" t="s">
        <v>211</v>
      </c>
      <c r="G460" s="9" t="s">
        <v>221</v>
      </c>
      <c r="H460" s="9" t="n">
        <v>910</v>
      </c>
      <c r="I460" s="29" t="n">
        <v>1.2</v>
      </c>
      <c r="J460" s="9" t="n">
        <v>1</v>
      </c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21" t="str">
        <f aca="false">IF(COUNT(K460:T460)=0,"SOURCE EMPTY / INDUSTRIAL ONLY",IF(MIN(K460:T460)=1,"SERVICE READY","HOLD"))</f>
        <v>SOURCE EMPTY / INDUSTRIAL ONLY</v>
      </c>
      <c r="V460" s="9" t="n">
        <f aca="false">IF(U460="SERVICE READY",1,0)</f>
        <v>0</v>
      </c>
      <c r="W460" s="6"/>
      <c r="X460" s="6"/>
      <c r="Y460" s="6"/>
      <c r="Z460" s="6"/>
    </row>
    <row r="461" customFormat="false" ht="15" hidden="false" customHeight="false" outlineLevel="0" collapsed="false">
      <c r="A461" s="9" t="s">
        <v>675</v>
      </c>
      <c r="B461" s="9" t="s">
        <v>617</v>
      </c>
      <c r="C461" s="9" t="s">
        <v>618</v>
      </c>
      <c r="D461" s="9" t="s">
        <v>619</v>
      </c>
      <c r="E461" s="9" t="s">
        <v>275</v>
      </c>
      <c r="F461" s="9" t="s">
        <v>197</v>
      </c>
      <c r="G461" s="9" t="s">
        <v>221</v>
      </c>
      <c r="H461" s="9" t="n">
        <v>910</v>
      </c>
      <c r="I461" s="29" t="n">
        <v>1.2</v>
      </c>
      <c r="J461" s="9" t="n">
        <v>1</v>
      </c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21" t="str">
        <f aca="false">IF(COUNT(K461:T461)=0,"SOURCE EMPTY / INDUSTRIAL ONLY",IF(MIN(K461:T461)=1,"SERVICE READY","HOLD"))</f>
        <v>SOURCE EMPTY / INDUSTRIAL ONLY</v>
      </c>
      <c r="V461" s="9" t="n">
        <f aca="false">IF(U461="SERVICE READY",1,0)</f>
        <v>0</v>
      </c>
      <c r="W461" s="6"/>
      <c r="X461" s="6"/>
      <c r="Y461" s="6"/>
      <c r="Z461" s="6"/>
    </row>
    <row r="462" customFormat="false" ht="15" hidden="false" customHeight="false" outlineLevel="0" collapsed="false">
      <c r="A462" s="9" t="s">
        <v>676</v>
      </c>
      <c r="B462" s="9" t="s">
        <v>617</v>
      </c>
      <c r="C462" s="9" t="s">
        <v>618</v>
      </c>
      <c r="D462" s="9" t="s">
        <v>619</v>
      </c>
      <c r="E462" s="9" t="s">
        <v>275</v>
      </c>
      <c r="F462" s="9" t="s">
        <v>200</v>
      </c>
      <c r="G462" s="9" t="s">
        <v>221</v>
      </c>
      <c r="H462" s="9" t="n">
        <v>910</v>
      </c>
      <c r="I462" s="29" t="n">
        <v>1.2</v>
      </c>
      <c r="J462" s="9" t="n">
        <v>1</v>
      </c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21" t="str">
        <f aca="false">IF(COUNT(K462:T462)=0,"SOURCE EMPTY / INDUSTRIAL ONLY",IF(MIN(K462:T462)=1,"SERVICE READY","HOLD"))</f>
        <v>SOURCE EMPTY / INDUSTRIAL ONLY</v>
      </c>
      <c r="V462" s="9" t="n">
        <f aca="false">IF(U462="SERVICE READY",1,0)</f>
        <v>0</v>
      </c>
      <c r="W462" s="6"/>
      <c r="X462" s="6"/>
      <c r="Y462" s="6"/>
      <c r="Z462" s="6"/>
    </row>
    <row r="463" customFormat="false" ht="15" hidden="false" customHeight="false" outlineLevel="0" collapsed="false">
      <c r="A463" s="9" t="s">
        <v>677</v>
      </c>
      <c r="B463" s="9" t="s">
        <v>617</v>
      </c>
      <c r="C463" s="9" t="s">
        <v>618</v>
      </c>
      <c r="D463" s="9" t="s">
        <v>619</v>
      </c>
      <c r="E463" s="9" t="s">
        <v>275</v>
      </c>
      <c r="F463" s="9" t="s">
        <v>203</v>
      </c>
      <c r="G463" s="9" t="s">
        <v>221</v>
      </c>
      <c r="H463" s="9" t="n">
        <v>910</v>
      </c>
      <c r="I463" s="29" t="n">
        <v>1.2</v>
      </c>
      <c r="J463" s="9" t="n">
        <v>1</v>
      </c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21" t="str">
        <f aca="false">IF(COUNT(K463:T463)=0,"SOURCE EMPTY / INDUSTRIAL ONLY",IF(MIN(K463:T463)=1,"SERVICE READY","HOLD"))</f>
        <v>SOURCE EMPTY / INDUSTRIAL ONLY</v>
      </c>
      <c r="V463" s="9" t="n">
        <f aca="false">IF(U463="SERVICE READY",1,0)</f>
        <v>0</v>
      </c>
      <c r="W463" s="6"/>
      <c r="X463" s="6"/>
      <c r="Y463" s="6"/>
      <c r="Z463" s="6"/>
    </row>
    <row r="464" customFormat="false" ht="15" hidden="false" customHeight="false" outlineLevel="0" collapsed="false">
      <c r="A464" s="9" t="s">
        <v>678</v>
      </c>
      <c r="B464" s="9" t="s">
        <v>617</v>
      </c>
      <c r="C464" s="9" t="s">
        <v>618</v>
      </c>
      <c r="D464" s="9" t="s">
        <v>619</v>
      </c>
      <c r="E464" s="9" t="s">
        <v>275</v>
      </c>
      <c r="F464" s="9" t="s">
        <v>205</v>
      </c>
      <c r="G464" s="9" t="s">
        <v>221</v>
      </c>
      <c r="H464" s="9" t="n">
        <v>910</v>
      </c>
      <c r="I464" s="29" t="n">
        <v>1.2</v>
      </c>
      <c r="J464" s="9" t="n">
        <v>1</v>
      </c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21" t="str">
        <f aca="false">IF(COUNT(K464:T464)=0,"SOURCE EMPTY / INDUSTRIAL ONLY",IF(MIN(K464:T464)=1,"SERVICE READY","HOLD"))</f>
        <v>SOURCE EMPTY / INDUSTRIAL ONLY</v>
      </c>
      <c r="V464" s="9" t="n">
        <f aca="false">IF(U464="SERVICE READY",1,0)</f>
        <v>0</v>
      </c>
      <c r="W464" s="6"/>
      <c r="X464" s="6"/>
      <c r="Y464" s="6"/>
      <c r="Z464" s="6"/>
    </row>
    <row r="465" customFormat="false" ht="15" hidden="false" customHeight="false" outlineLevel="0" collapsed="false">
      <c r="A465" s="9" t="s">
        <v>679</v>
      </c>
      <c r="B465" s="9" t="s">
        <v>617</v>
      </c>
      <c r="C465" s="9" t="s">
        <v>618</v>
      </c>
      <c r="D465" s="9" t="s">
        <v>619</v>
      </c>
      <c r="E465" s="9" t="s">
        <v>275</v>
      </c>
      <c r="F465" s="9" t="s">
        <v>207</v>
      </c>
      <c r="G465" s="9" t="s">
        <v>221</v>
      </c>
      <c r="H465" s="9" t="n">
        <v>910</v>
      </c>
      <c r="I465" s="29" t="n">
        <v>1.2</v>
      </c>
      <c r="J465" s="9" t="n">
        <v>1</v>
      </c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21" t="str">
        <f aca="false">IF(COUNT(K465:T465)=0,"SOURCE EMPTY / INDUSTRIAL ONLY",IF(MIN(K465:T465)=1,"SERVICE READY","HOLD"))</f>
        <v>SOURCE EMPTY / INDUSTRIAL ONLY</v>
      </c>
      <c r="V465" s="9" t="n">
        <f aca="false">IF(U465="SERVICE READY",1,0)</f>
        <v>0</v>
      </c>
      <c r="W465" s="6"/>
      <c r="X465" s="6"/>
      <c r="Y465" s="6"/>
      <c r="Z465" s="6"/>
    </row>
    <row r="466" customFormat="false" ht="15" hidden="false" customHeight="false" outlineLevel="0" collapsed="false">
      <c r="A466" s="9" t="s">
        <v>680</v>
      </c>
      <c r="B466" s="9" t="s">
        <v>617</v>
      </c>
      <c r="C466" s="9" t="s">
        <v>618</v>
      </c>
      <c r="D466" s="9" t="s">
        <v>619</v>
      </c>
      <c r="E466" s="9" t="s">
        <v>275</v>
      </c>
      <c r="F466" s="9" t="s">
        <v>209</v>
      </c>
      <c r="G466" s="9" t="s">
        <v>221</v>
      </c>
      <c r="H466" s="9" t="n">
        <v>910</v>
      </c>
      <c r="I466" s="29" t="n">
        <v>1.2</v>
      </c>
      <c r="J466" s="9" t="n">
        <v>1</v>
      </c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21" t="str">
        <f aca="false">IF(COUNT(K466:T466)=0,"SOURCE EMPTY / INDUSTRIAL ONLY",IF(MIN(K466:T466)=1,"SERVICE READY","HOLD"))</f>
        <v>SOURCE EMPTY / INDUSTRIAL ONLY</v>
      </c>
      <c r="V466" s="9" t="n">
        <f aca="false">IF(U466="SERVICE READY",1,0)</f>
        <v>0</v>
      </c>
      <c r="W466" s="6"/>
      <c r="X466" s="6"/>
      <c r="Y466" s="6"/>
      <c r="Z466" s="6"/>
    </row>
    <row r="467" customFormat="false" ht="15" hidden="false" customHeight="false" outlineLevel="0" collapsed="false">
      <c r="A467" s="9" t="s">
        <v>681</v>
      </c>
      <c r="B467" s="9" t="s">
        <v>617</v>
      </c>
      <c r="C467" s="9" t="s">
        <v>618</v>
      </c>
      <c r="D467" s="9" t="s">
        <v>619</v>
      </c>
      <c r="E467" s="9" t="s">
        <v>275</v>
      </c>
      <c r="F467" s="9" t="s">
        <v>211</v>
      </c>
      <c r="G467" s="9" t="s">
        <v>221</v>
      </c>
      <c r="H467" s="9" t="n">
        <v>910</v>
      </c>
      <c r="I467" s="29" t="n">
        <v>1.2</v>
      </c>
      <c r="J467" s="9" t="n">
        <v>1</v>
      </c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21" t="str">
        <f aca="false">IF(COUNT(K467:T467)=0,"SOURCE EMPTY / INDUSTRIAL ONLY",IF(MIN(K467:T467)=1,"SERVICE READY","HOLD"))</f>
        <v>SOURCE EMPTY / INDUSTRIAL ONLY</v>
      </c>
      <c r="V467" s="9" t="n">
        <f aca="false">IF(U467="SERVICE READY",1,0)</f>
        <v>0</v>
      </c>
      <c r="W467" s="6"/>
      <c r="X467" s="6"/>
      <c r="Y467" s="6"/>
      <c r="Z467" s="6"/>
    </row>
    <row r="468" customFormat="false" ht="15" hidden="false" customHeight="false" outlineLevel="0" collapsed="false">
      <c r="A468" s="9" t="s">
        <v>682</v>
      </c>
      <c r="B468" s="9" t="s">
        <v>617</v>
      </c>
      <c r="C468" s="9" t="s">
        <v>618</v>
      </c>
      <c r="D468" s="9" t="s">
        <v>619</v>
      </c>
      <c r="E468" s="9" t="s">
        <v>275</v>
      </c>
      <c r="F468" s="9" t="s">
        <v>197</v>
      </c>
      <c r="G468" s="9" t="s">
        <v>221</v>
      </c>
      <c r="H468" s="9" t="n">
        <v>910</v>
      </c>
      <c r="I468" s="29" t="n">
        <v>1.2</v>
      </c>
      <c r="J468" s="9" t="n">
        <v>1</v>
      </c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21" t="str">
        <f aca="false">IF(COUNT(K468:T468)=0,"SOURCE EMPTY / INDUSTRIAL ONLY",IF(MIN(K468:T468)=1,"SERVICE READY","HOLD"))</f>
        <v>SOURCE EMPTY / INDUSTRIAL ONLY</v>
      </c>
      <c r="V468" s="9" t="n">
        <f aca="false">IF(U468="SERVICE READY",1,0)</f>
        <v>0</v>
      </c>
      <c r="W468" s="6"/>
      <c r="X468" s="6"/>
      <c r="Y468" s="6"/>
      <c r="Z468" s="6"/>
    </row>
    <row r="469" customFormat="false" ht="15" hidden="false" customHeight="false" outlineLevel="0" collapsed="false">
      <c r="A469" s="9" t="s">
        <v>683</v>
      </c>
      <c r="B469" s="9" t="s">
        <v>617</v>
      </c>
      <c r="C469" s="9" t="s">
        <v>618</v>
      </c>
      <c r="D469" s="9" t="s">
        <v>619</v>
      </c>
      <c r="E469" s="9" t="s">
        <v>275</v>
      </c>
      <c r="F469" s="9" t="s">
        <v>200</v>
      </c>
      <c r="G469" s="9" t="s">
        <v>221</v>
      </c>
      <c r="H469" s="9" t="n">
        <v>910</v>
      </c>
      <c r="I469" s="29" t="n">
        <v>1.2</v>
      </c>
      <c r="J469" s="9" t="n">
        <v>1</v>
      </c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21" t="str">
        <f aca="false">IF(COUNT(K469:T469)=0,"SOURCE EMPTY / INDUSTRIAL ONLY",IF(MIN(K469:T469)=1,"SERVICE READY","HOLD"))</f>
        <v>SOURCE EMPTY / INDUSTRIAL ONLY</v>
      </c>
      <c r="V469" s="9" t="n">
        <f aca="false">IF(U469="SERVICE READY",1,0)</f>
        <v>0</v>
      </c>
      <c r="W469" s="6"/>
      <c r="X469" s="6"/>
      <c r="Y469" s="6"/>
      <c r="Z469" s="6"/>
    </row>
    <row r="470" customFormat="false" ht="15" hidden="false" customHeight="false" outlineLevel="0" collapsed="false">
      <c r="A470" s="9" t="s">
        <v>684</v>
      </c>
      <c r="B470" s="9" t="s">
        <v>617</v>
      </c>
      <c r="C470" s="9" t="s">
        <v>618</v>
      </c>
      <c r="D470" s="9" t="s">
        <v>619</v>
      </c>
      <c r="E470" s="9" t="s">
        <v>275</v>
      </c>
      <c r="F470" s="9" t="s">
        <v>203</v>
      </c>
      <c r="G470" s="9" t="s">
        <v>221</v>
      </c>
      <c r="H470" s="9" t="n">
        <v>910</v>
      </c>
      <c r="I470" s="29" t="n">
        <v>1.2</v>
      </c>
      <c r="J470" s="9" t="n">
        <v>1</v>
      </c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21" t="str">
        <f aca="false">IF(COUNT(K470:T470)=0,"SOURCE EMPTY / INDUSTRIAL ONLY",IF(MIN(K470:T470)=1,"SERVICE READY","HOLD"))</f>
        <v>SOURCE EMPTY / INDUSTRIAL ONLY</v>
      </c>
      <c r="V470" s="9" t="n">
        <f aca="false">IF(U470="SERVICE READY",1,0)</f>
        <v>0</v>
      </c>
      <c r="W470" s="6"/>
      <c r="X470" s="6"/>
      <c r="Y470" s="6"/>
      <c r="Z470" s="6"/>
    </row>
    <row r="471" customFormat="false" ht="15" hidden="false" customHeight="false" outlineLevel="0" collapsed="false">
      <c r="A471" s="9" t="s">
        <v>685</v>
      </c>
      <c r="B471" s="9" t="s">
        <v>617</v>
      </c>
      <c r="C471" s="9" t="s">
        <v>618</v>
      </c>
      <c r="D471" s="9" t="s">
        <v>619</v>
      </c>
      <c r="E471" s="9" t="s">
        <v>275</v>
      </c>
      <c r="F471" s="9" t="s">
        <v>205</v>
      </c>
      <c r="G471" s="9" t="s">
        <v>221</v>
      </c>
      <c r="H471" s="9" t="n">
        <v>910</v>
      </c>
      <c r="I471" s="29" t="n">
        <v>1.2</v>
      </c>
      <c r="J471" s="9" t="n">
        <v>1</v>
      </c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21" t="str">
        <f aca="false">IF(COUNT(K471:T471)=0,"SOURCE EMPTY / INDUSTRIAL ONLY",IF(MIN(K471:T471)=1,"SERVICE READY","HOLD"))</f>
        <v>SOURCE EMPTY / INDUSTRIAL ONLY</v>
      </c>
      <c r="V471" s="9" t="n">
        <f aca="false">IF(U471="SERVICE READY",1,0)</f>
        <v>0</v>
      </c>
      <c r="W471" s="6"/>
      <c r="X471" s="6"/>
      <c r="Y471" s="6"/>
      <c r="Z471" s="6"/>
    </row>
    <row r="472" customFormat="false" ht="15" hidden="false" customHeight="false" outlineLevel="0" collapsed="false">
      <c r="A472" s="9" t="s">
        <v>686</v>
      </c>
      <c r="B472" s="9" t="s">
        <v>617</v>
      </c>
      <c r="C472" s="9" t="s">
        <v>618</v>
      </c>
      <c r="D472" s="9" t="s">
        <v>619</v>
      </c>
      <c r="E472" s="9" t="s">
        <v>275</v>
      </c>
      <c r="F472" s="9" t="s">
        <v>207</v>
      </c>
      <c r="G472" s="9" t="s">
        <v>221</v>
      </c>
      <c r="H472" s="9" t="n">
        <v>910</v>
      </c>
      <c r="I472" s="29" t="n">
        <v>1.2</v>
      </c>
      <c r="J472" s="9" t="n">
        <v>1</v>
      </c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21" t="str">
        <f aca="false">IF(COUNT(K472:T472)=0,"SOURCE EMPTY / INDUSTRIAL ONLY",IF(MIN(K472:T472)=1,"SERVICE READY","HOLD"))</f>
        <v>SOURCE EMPTY / INDUSTRIAL ONLY</v>
      </c>
      <c r="V472" s="9" t="n">
        <f aca="false">IF(U472="SERVICE READY",1,0)</f>
        <v>0</v>
      </c>
      <c r="W472" s="6"/>
      <c r="X472" s="6"/>
      <c r="Y472" s="6"/>
      <c r="Z472" s="6"/>
    </row>
    <row r="473" customFormat="false" ht="15" hidden="false" customHeight="false" outlineLevel="0" collapsed="false">
      <c r="A473" s="9" t="s">
        <v>687</v>
      </c>
      <c r="B473" s="9" t="s">
        <v>617</v>
      </c>
      <c r="C473" s="9" t="s">
        <v>618</v>
      </c>
      <c r="D473" s="9" t="s">
        <v>619</v>
      </c>
      <c r="E473" s="9" t="s">
        <v>275</v>
      </c>
      <c r="F473" s="9" t="s">
        <v>209</v>
      </c>
      <c r="G473" s="9" t="s">
        <v>221</v>
      </c>
      <c r="H473" s="9" t="n">
        <v>910</v>
      </c>
      <c r="I473" s="29" t="n">
        <v>1.2</v>
      </c>
      <c r="J473" s="9" t="n">
        <v>1</v>
      </c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21" t="str">
        <f aca="false">IF(COUNT(K473:T473)=0,"SOURCE EMPTY / INDUSTRIAL ONLY",IF(MIN(K473:T473)=1,"SERVICE READY","HOLD"))</f>
        <v>SOURCE EMPTY / INDUSTRIAL ONLY</v>
      </c>
      <c r="V473" s="9" t="n">
        <f aca="false">IF(U473="SERVICE READY",1,0)</f>
        <v>0</v>
      </c>
      <c r="W473" s="6"/>
      <c r="X473" s="6"/>
      <c r="Y473" s="6"/>
      <c r="Z473" s="6"/>
    </row>
    <row r="474" customFormat="false" ht="15" hidden="false" customHeight="false" outlineLevel="0" collapsed="false">
      <c r="A474" s="9" t="s">
        <v>688</v>
      </c>
      <c r="B474" s="9" t="s">
        <v>617</v>
      </c>
      <c r="C474" s="9" t="s">
        <v>618</v>
      </c>
      <c r="D474" s="9" t="s">
        <v>619</v>
      </c>
      <c r="E474" s="9" t="s">
        <v>275</v>
      </c>
      <c r="F474" s="9" t="s">
        <v>211</v>
      </c>
      <c r="G474" s="9" t="s">
        <v>221</v>
      </c>
      <c r="H474" s="9" t="n">
        <v>910</v>
      </c>
      <c r="I474" s="29" t="n">
        <v>1.2</v>
      </c>
      <c r="J474" s="9" t="n">
        <v>1</v>
      </c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21" t="str">
        <f aca="false">IF(COUNT(K474:T474)=0,"SOURCE EMPTY / INDUSTRIAL ONLY",IF(MIN(K474:T474)=1,"SERVICE READY","HOLD"))</f>
        <v>SOURCE EMPTY / INDUSTRIAL ONLY</v>
      </c>
      <c r="V474" s="9" t="n">
        <f aca="false">IF(U474="SERVICE READY",1,0)</f>
        <v>0</v>
      </c>
      <c r="W474" s="6"/>
      <c r="X474" s="6"/>
      <c r="Y474" s="6"/>
      <c r="Z474" s="6"/>
    </row>
    <row r="475" customFormat="false" ht="15" hidden="false" customHeight="false" outlineLevel="0" collapsed="false">
      <c r="A475" s="9" t="s">
        <v>689</v>
      </c>
      <c r="B475" s="9" t="s">
        <v>617</v>
      </c>
      <c r="C475" s="9" t="s">
        <v>618</v>
      </c>
      <c r="D475" s="9" t="s">
        <v>619</v>
      </c>
      <c r="E475" s="9" t="s">
        <v>275</v>
      </c>
      <c r="F475" s="9" t="s">
        <v>197</v>
      </c>
      <c r="G475" s="9" t="s">
        <v>221</v>
      </c>
      <c r="H475" s="9" t="n">
        <v>910</v>
      </c>
      <c r="I475" s="29" t="n">
        <v>1.2</v>
      </c>
      <c r="J475" s="9" t="n">
        <v>1</v>
      </c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21" t="str">
        <f aca="false">IF(COUNT(K475:T475)=0,"SOURCE EMPTY / INDUSTRIAL ONLY",IF(MIN(K475:T475)=1,"SERVICE READY","HOLD"))</f>
        <v>SOURCE EMPTY / INDUSTRIAL ONLY</v>
      </c>
      <c r="V475" s="9" t="n">
        <f aca="false">IF(U475="SERVICE READY",1,0)</f>
        <v>0</v>
      </c>
      <c r="W475" s="6"/>
      <c r="X475" s="6"/>
      <c r="Y475" s="6"/>
      <c r="Z475" s="6"/>
    </row>
    <row r="476" customFormat="false" ht="15" hidden="false" customHeight="false" outlineLevel="0" collapsed="false">
      <c r="A476" s="9" t="s">
        <v>690</v>
      </c>
      <c r="B476" s="9" t="s">
        <v>617</v>
      </c>
      <c r="C476" s="9" t="s">
        <v>618</v>
      </c>
      <c r="D476" s="9" t="s">
        <v>619</v>
      </c>
      <c r="E476" s="9" t="s">
        <v>275</v>
      </c>
      <c r="F476" s="9" t="s">
        <v>200</v>
      </c>
      <c r="G476" s="9" t="s">
        <v>221</v>
      </c>
      <c r="H476" s="9" t="n">
        <v>910</v>
      </c>
      <c r="I476" s="29" t="n">
        <v>1.2</v>
      </c>
      <c r="J476" s="9" t="n">
        <v>1</v>
      </c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21" t="str">
        <f aca="false">IF(COUNT(K476:T476)=0,"SOURCE EMPTY / INDUSTRIAL ONLY",IF(MIN(K476:T476)=1,"SERVICE READY","HOLD"))</f>
        <v>SOURCE EMPTY / INDUSTRIAL ONLY</v>
      </c>
      <c r="V476" s="9" t="n">
        <f aca="false">IF(U476="SERVICE READY",1,0)</f>
        <v>0</v>
      </c>
      <c r="W476" s="6"/>
      <c r="X476" s="6"/>
      <c r="Y476" s="6"/>
      <c r="Z476" s="6"/>
    </row>
    <row r="477" customFormat="false" ht="15" hidden="false" customHeight="false" outlineLevel="0" collapsed="false">
      <c r="A477" s="9" t="s">
        <v>691</v>
      </c>
      <c r="B477" s="9" t="s">
        <v>617</v>
      </c>
      <c r="C477" s="9" t="s">
        <v>618</v>
      </c>
      <c r="D477" s="9" t="s">
        <v>619</v>
      </c>
      <c r="E477" s="9" t="s">
        <v>275</v>
      </c>
      <c r="F477" s="9" t="s">
        <v>203</v>
      </c>
      <c r="G477" s="9" t="s">
        <v>221</v>
      </c>
      <c r="H477" s="9" t="n">
        <v>910</v>
      </c>
      <c r="I477" s="29" t="n">
        <v>1.2</v>
      </c>
      <c r="J477" s="9" t="n">
        <v>1</v>
      </c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21" t="str">
        <f aca="false">IF(COUNT(K477:T477)=0,"SOURCE EMPTY / INDUSTRIAL ONLY",IF(MIN(K477:T477)=1,"SERVICE READY","HOLD"))</f>
        <v>SOURCE EMPTY / INDUSTRIAL ONLY</v>
      </c>
      <c r="V477" s="9" t="n">
        <f aca="false">IF(U477="SERVICE READY",1,0)</f>
        <v>0</v>
      </c>
      <c r="W477" s="6"/>
      <c r="X477" s="6"/>
      <c r="Y477" s="6"/>
      <c r="Z477" s="6"/>
    </row>
    <row r="478" customFormat="false" ht="15" hidden="false" customHeight="false" outlineLevel="0" collapsed="false">
      <c r="A478" s="9" t="s">
        <v>692</v>
      </c>
      <c r="B478" s="9" t="s">
        <v>617</v>
      </c>
      <c r="C478" s="9" t="s">
        <v>618</v>
      </c>
      <c r="D478" s="9" t="s">
        <v>619</v>
      </c>
      <c r="E478" s="9" t="s">
        <v>275</v>
      </c>
      <c r="F478" s="9" t="s">
        <v>205</v>
      </c>
      <c r="G478" s="9" t="s">
        <v>221</v>
      </c>
      <c r="H478" s="9" t="n">
        <v>910</v>
      </c>
      <c r="I478" s="29" t="n">
        <v>1.2</v>
      </c>
      <c r="J478" s="9" t="n">
        <v>1</v>
      </c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21" t="str">
        <f aca="false">IF(COUNT(K478:T478)=0,"SOURCE EMPTY / INDUSTRIAL ONLY",IF(MIN(K478:T478)=1,"SERVICE READY","HOLD"))</f>
        <v>SOURCE EMPTY / INDUSTRIAL ONLY</v>
      </c>
      <c r="V478" s="9" t="n">
        <f aca="false">IF(U478="SERVICE READY",1,0)</f>
        <v>0</v>
      </c>
      <c r="W478" s="6"/>
      <c r="X478" s="6"/>
      <c r="Y478" s="6"/>
      <c r="Z478" s="6"/>
    </row>
    <row r="479" customFormat="false" ht="15" hidden="false" customHeight="false" outlineLevel="0" collapsed="false">
      <c r="A479" s="9" t="s">
        <v>693</v>
      </c>
      <c r="B479" s="9" t="s">
        <v>617</v>
      </c>
      <c r="C479" s="9" t="s">
        <v>618</v>
      </c>
      <c r="D479" s="9" t="s">
        <v>619</v>
      </c>
      <c r="E479" s="9" t="s">
        <v>275</v>
      </c>
      <c r="F479" s="9" t="s">
        <v>207</v>
      </c>
      <c r="G479" s="9" t="s">
        <v>221</v>
      </c>
      <c r="H479" s="9" t="n">
        <v>910</v>
      </c>
      <c r="I479" s="29" t="n">
        <v>1.2</v>
      </c>
      <c r="J479" s="9" t="n">
        <v>1</v>
      </c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21" t="str">
        <f aca="false">IF(COUNT(K479:T479)=0,"SOURCE EMPTY / INDUSTRIAL ONLY",IF(MIN(K479:T479)=1,"SERVICE READY","HOLD"))</f>
        <v>SOURCE EMPTY / INDUSTRIAL ONLY</v>
      </c>
      <c r="V479" s="9" t="n">
        <f aca="false">IF(U479="SERVICE READY",1,0)</f>
        <v>0</v>
      </c>
      <c r="W479" s="6"/>
      <c r="X479" s="6"/>
      <c r="Y479" s="6"/>
      <c r="Z479" s="6"/>
    </row>
    <row r="480" customFormat="false" ht="15" hidden="false" customHeight="false" outlineLevel="0" collapsed="false">
      <c r="A480" s="9" t="s">
        <v>694</v>
      </c>
      <c r="B480" s="9" t="s">
        <v>617</v>
      </c>
      <c r="C480" s="9" t="s">
        <v>618</v>
      </c>
      <c r="D480" s="9" t="s">
        <v>619</v>
      </c>
      <c r="E480" s="9" t="s">
        <v>275</v>
      </c>
      <c r="F480" s="9" t="s">
        <v>209</v>
      </c>
      <c r="G480" s="9" t="s">
        <v>221</v>
      </c>
      <c r="H480" s="9" t="n">
        <v>910</v>
      </c>
      <c r="I480" s="29" t="n">
        <v>1.2</v>
      </c>
      <c r="J480" s="9" t="n">
        <v>1</v>
      </c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21" t="str">
        <f aca="false">IF(COUNT(K480:T480)=0,"SOURCE EMPTY / INDUSTRIAL ONLY",IF(MIN(K480:T480)=1,"SERVICE READY","HOLD"))</f>
        <v>SOURCE EMPTY / INDUSTRIAL ONLY</v>
      </c>
      <c r="V480" s="9" t="n">
        <f aca="false">IF(U480="SERVICE READY",1,0)</f>
        <v>0</v>
      </c>
      <c r="W480" s="6"/>
      <c r="X480" s="6"/>
      <c r="Y480" s="6"/>
      <c r="Z480" s="6"/>
    </row>
    <row r="481" customFormat="false" ht="15" hidden="false" customHeight="false" outlineLevel="0" collapsed="false">
      <c r="A481" s="9" t="s">
        <v>695</v>
      </c>
      <c r="B481" s="9" t="s">
        <v>617</v>
      </c>
      <c r="C481" s="9" t="s">
        <v>618</v>
      </c>
      <c r="D481" s="9" t="s">
        <v>619</v>
      </c>
      <c r="E481" s="9" t="s">
        <v>275</v>
      </c>
      <c r="F481" s="9" t="s">
        <v>211</v>
      </c>
      <c r="G481" s="9" t="s">
        <v>221</v>
      </c>
      <c r="H481" s="9" t="n">
        <v>910</v>
      </c>
      <c r="I481" s="29" t="n">
        <v>1.2</v>
      </c>
      <c r="J481" s="9" t="n">
        <v>1</v>
      </c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21" t="str">
        <f aca="false">IF(COUNT(K481:T481)=0,"SOURCE EMPTY / INDUSTRIAL ONLY",IF(MIN(K481:T481)=1,"SERVICE READY","HOLD"))</f>
        <v>SOURCE EMPTY / INDUSTRIAL ONLY</v>
      </c>
      <c r="V481" s="9" t="n">
        <f aca="false">IF(U481="SERVICE READY",1,0)</f>
        <v>0</v>
      </c>
      <c r="W481" s="6"/>
      <c r="X481" s="6"/>
      <c r="Y481" s="6"/>
      <c r="Z481" s="6"/>
    </row>
    <row r="482" customFormat="false" ht="15" hidden="false" customHeight="false" outlineLevel="0" collapsed="false">
      <c r="A482" s="9" t="s">
        <v>696</v>
      </c>
      <c r="B482" s="9" t="s">
        <v>617</v>
      </c>
      <c r="C482" s="9" t="s">
        <v>618</v>
      </c>
      <c r="D482" s="9" t="s">
        <v>619</v>
      </c>
      <c r="E482" s="9" t="s">
        <v>275</v>
      </c>
      <c r="F482" s="9" t="s">
        <v>197</v>
      </c>
      <c r="G482" s="9" t="s">
        <v>221</v>
      </c>
      <c r="H482" s="9" t="n">
        <v>910</v>
      </c>
      <c r="I482" s="29" t="n">
        <v>1.2</v>
      </c>
      <c r="J482" s="9" t="n">
        <v>1</v>
      </c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21" t="str">
        <f aca="false">IF(COUNT(K482:T482)=0,"SOURCE EMPTY / INDUSTRIAL ONLY",IF(MIN(K482:T482)=1,"SERVICE READY","HOLD"))</f>
        <v>SOURCE EMPTY / INDUSTRIAL ONLY</v>
      </c>
      <c r="V482" s="9" t="n">
        <f aca="false">IF(U482="SERVICE READY",1,0)</f>
        <v>0</v>
      </c>
      <c r="W482" s="6"/>
      <c r="X482" s="6"/>
      <c r="Y482" s="6"/>
      <c r="Z482" s="6"/>
    </row>
    <row r="483" customFormat="false" ht="15" hidden="false" customHeight="false" outlineLevel="0" collapsed="false">
      <c r="A483" s="9" t="s">
        <v>697</v>
      </c>
      <c r="B483" s="9" t="s">
        <v>617</v>
      </c>
      <c r="C483" s="9" t="s">
        <v>618</v>
      </c>
      <c r="D483" s="9" t="s">
        <v>619</v>
      </c>
      <c r="E483" s="9" t="s">
        <v>275</v>
      </c>
      <c r="F483" s="9" t="s">
        <v>200</v>
      </c>
      <c r="G483" s="9" t="s">
        <v>221</v>
      </c>
      <c r="H483" s="9" t="n">
        <v>910</v>
      </c>
      <c r="I483" s="29" t="n">
        <v>1.2</v>
      </c>
      <c r="J483" s="9" t="n">
        <v>1</v>
      </c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21" t="str">
        <f aca="false">IF(COUNT(K483:T483)=0,"SOURCE EMPTY / INDUSTRIAL ONLY",IF(MIN(K483:T483)=1,"SERVICE READY","HOLD"))</f>
        <v>SOURCE EMPTY / INDUSTRIAL ONLY</v>
      </c>
      <c r="V483" s="9" t="n">
        <f aca="false">IF(U483="SERVICE READY",1,0)</f>
        <v>0</v>
      </c>
      <c r="W483" s="6"/>
      <c r="X483" s="6"/>
      <c r="Y483" s="6"/>
      <c r="Z483" s="6"/>
    </row>
    <row r="484" customFormat="false" ht="15" hidden="false" customHeight="false" outlineLevel="0" collapsed="false">
      <c r="A484" s="9" t="s">
        <v>698</v>
      </c>
      <c r="B484" s="9" t="s">
        <v>617</v>
      </c>
      <c r="C484" s="9" t="s">
        <v>618</v>
      </c>
      <c r="D484" s="9" t="s">
        <v>619</v>
      </c>
      <c r="E484" s="9" t="s">
        <v>275</v>
      </c>
      <c r="F484" s="9" t="s">
        <v>203</v>
      </c>
      <c r="G484" s="9" t="s">
        <v>221</v>
      </c>
      <c r="H484" s="9" t="n">
        <v>910</v>
      </c>
      <c r="I484" s="29" t="n">
        <v>1.2</v>
      </c>
      <c r="J484" s="9" t="n">
        <v>1</v>
      </c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21" t="str">
        <f aca="false">IF(COUNT(K484:T484)=0,"SOURCE EMPTY / INDUSTRIAL ONLY",IF(MIN(K484:T484)=1,"SERVICE READY","HOLD"))</f>
        <v>SOURCE EMPTY / INDUSTRIAL ONLY</v>
      </c>
      <c r="V484" s="9" t="n">
        <f aca="false">IF(U484="SERVICE READY",1,0)</f>
        <v>0</v>
      </c>
      <c r="W484" s="6"/>
      <c r="X484" s="6"/>
      <c r="Y484" s="6"/>
      <c r="Z484" s="6"/>
    </row>
    <row r="485" customFormat="false" ht="15" hidden="false" customHeight="false" outlineLevel="0" collapsed="false">
      <c r="A485" s="9" t="s">
        <v>699</v>
      </c>
      <c r="B485" s="9" t="s">
        <v>617</v>
      </c>
      <c r="C485" s="9" t="s">
        <v>618</v>
      </c>
      <c r="D485" s="9" t="s">
        <v>619</v>
      </c>
      <c r="E485" s="9" t="s">
        <v>275</v>
      </c>
      <c r="F485" s="9" t="s">
        <v>205</v>
      </c>
      <c r="G485" s="9" t="s">
        <v>221</v>
      </c>
      <c r="H485" s="9" t="n">
        <v>910</v>
      </c>
      <c r="I485" s="29" t="n">
        <v>1.2</v>
      </c>
      <c r="J485" s="9" t="n">
        <v>1</v>
      </c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21" t="str">
        <f aca="false">IF(COUNT(K485:T485)=0,"SOURCE EMPTY / INDUSTRIAL ONLY",IF(MIN(K485:T485)=1,"SERVICE READY","HOLD"))</f>
        <v>SOURCE EMPTY / INDUSTRIAL ONLY</v>
      </c>
      <c r="V485" s="9" t="n">
        <f aca="false">IF(U485="SERVICE READY",1,0)</f>
        <v>0</v>
      </c>
      <c r="W485" s="6"/>
      <c r="X485" s="6"/>
      <c r="Y485" s="6"/>
      <c r="Z485" s="6"/>
    </row>
    <row r="486" customFormat="false" ht="15" hidden="false" customHeight="false" outlineLevel="0" collapsed="false">
      <c r="A486" s="9" t="s">
        <v>700</v>
      </c>
      <c r="B486" s="9" t="s">
        <v>617</v>
      </c>
      <c r="C486" s="9" t="s">
        <v>618</v>
      </c>
      <c r="D486" s="9" t="s">
        <v>619</v>
      </c>
      <c r="E486" s="9" t="s">
        <v>275</v>
      </c>
      <c r="F486" s="9" t="s">
        <v>207</v>
      </c>
      <c r="G486" s="9" t="s">
        <v>221</v>
      </c>
      <c r="H486" s="9" t="n">
        <v>910</v>
      </c>
      <c r="I486" s="29" t="n">
        <v>1.2</v>
      </c>
      <c r="J486" s="9" t="n">
        <v>1</v>
      </c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21" t="str">
        <f aca="false">IF(COUNT(K486:T486)=0,"SOURCE EMPTY / INDUSTRIAL ONLY",IF(MIN(K486:T486)=1,"SERVICE READY","HOLD"))</f>
        <v>SOURCE EMPTY / INDUSTRIAL ONLY</v>
      </c>
      <c r="V486" s="9" t="n">
        <f aca="false">IF(U486="SERVICE READY",1,0)</f>
        <v>0</v>
      </c>
      <c r="W486" s="6"/>
      <c r="X486" s="6"/>
      <c r="Y486" s="6"/>
      <c r="Z486" s="6"/>
    </row>
    <row r="487" customFormat="false" ht="15" hidden="false" customHeight="false" outlineLevel="0" collapsed="false">
      <c r="A487" s="9" t="s">
        <v>701</v>
      </c>
      <c r="B487" s="9" t="s">
        <v>617</v>
      </c>
      <c r="C487" s="9" t="s">
        <v>618</v>
      </c>
      <c r="D487" s="9" t="s">
        <v>619</v>
      </c>
      <c r="E487" s="9" t="s">
        <v>275</v>
      </c>
      <c r="F487" s="9" t="s">
        <v>209</v>
      </c>
      <c r="G487" s="9" t="s">
        <v>221</v>
      </c>
      <c r="H487" s="9" t="n">
        <v>910</v>
      </c>
      <c r="I487" s="29" t="n">
        <v>1.2</v>
      </c>
      <c r="J487" s="9" t="n">
        <v>1</v>
      </c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21" t="str">
        <f aca="false">IF(COUNT(K487:T487)=0,"SOURCE EMPTY / INDUSTRIAL ONLY",IF(MIN(K487:T487)=1,"SERVICE READY","HOLD"))</f>
        <v>SOURCE EMPTY / INDUSTRIAL ONLY</v>
      </c>
      <c r="V487" s="9" t="n">
        <f aca="false">IF(U487="SERVICE READY",1,0)</f>
        <v>0</v>
      </c>
      <c r="W487" s="6"/>
      <c r="X487" s="6"/>
      <c r="Y487" s="6"/>
      <c r="Z487" s="6"/>
    </row>
    <row r="488" customFormat="false" ht="15" hidden="false" customHeight="false" outlineLevel="0" collapsed="false">
      <c r="A488" s="9" t="s">
        <v>702</v>
      </c>
      <c r="B488" s="9" t="s">
        <v>617</v>
      </c>
      <c r="C488" s="9" t="s">
        <v>618</v>
      </c>
      <c r="D488" s="9" t="s">
        <v>619</v>
      </c>
      <c r="E488" s="9" t="s">
        <v>275</v>
      </c>
      <c r="F488" s="9" t="s">
        <v>211</v>
      </c>
      <c r="G488" s="9" t="s">
        <v>221</v>
      </c>
      <c r="H488" s="9" t="n">
        <v>910</v>
      </c>
      <c r="I488" s="29" t="n">
        <v>1.2</v>
      </c>
      <c r="J488" s="9" t="n">
        <v>1</v>
      </c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21" t="str">
        <f aca="false">IF(COUNT(K488:T488)=0,"SOURCE EMPTY / INDUSTRIAL ONLY",IF(MIN(K488:T488)=1,"SERVICE READY","HOLD"))</f>
        <v>SOURCE EMPTY / INDUSTRIAL ONLY</v>
      </c>
      <c r="V488" s="9" t="n">
        <f aca="false">IF(U488="SERVICE READY",1,0)</f>
        <v>0</v>
      </c>
      <c r="W488" s="6"/>
      <c r="X488" s="6"/>
      <c r="Y488" s="6"/>
      <c r="Z488" s="6"/>
    </row>
    <row r="489" customFormat="false" ht="15" hidden="false" customHeight="false" outlineLevel="0" collapsed="false">
      <c r="A489" s="9" t="s">
        <v>703</v>
      </c>
      <c r="B489" s="9" t="s">
        <v>617</v>
      </c>
      <c r="C489" s="9" t="s">
        <v>618</v>
      </c>
      <c r="D489" s="9" t="s">
        <v>619</v>
      </c>
      <c r="E489" s="9" t="s">
        <v>275</v>
      </c>
      <c r="F489" s="9" t="s">
        <v>197</v>
      </c>
      <c r="G489" s="9" t="s">
        <v>221</v>
      </c>
      <c r="H489" s="9" t="n">
        <v>910</v>
      </c>
      <c r="I489" s="29" t="n">
        <v>1.2</v>
      </c>
      <c r="J489" s="9" t="n">
        <v>1</v>
      </c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21" t="str">
        <f aca="false">IF(COUNT(K489:T489)=0,"SOURCE EMPTY / INDUSTRIAL ONLY",IF(MIN(K489:T489)=1,"SERVICE READY","HOLD"))</f>
        <v>SOURCE EMPTY / INDUSTRIAL ONLY</v>
      </c>
      <c r="V489" s="9" t="n">
        <f aca="false">IF(U489="SERVICE READY",1,0)</f>
        <v>0</v>
      </c>
      <c r="W489" s="6"/>
      <c r="X489" s="6"/>
      <c r="Y489" s="6"/>
      <c r="Z489" s="6"/>
    </row>
    <row r="490" customFormat="false" ht="15" hidden="false" customHeight="false" outlineLevel="0" collapsed="false">
      <c r="A490" s="9" t="s">
        <v>704</v>
      </c>
      <c r="B490" s="9" t="s">
        <v>617</v>
      </c>
      <c r="C490" s="9" t="s">
        <v>618</v>
      </c>
      <c r="D490" s="9" t="s">
        <v>619</v>
      </c>
      <c r="E490" s="9" t="s">
        <v>275</v>
      </c>
      <c r="F490" s="9" t="s">
        <v>200</v>
      </c>
      <c r="G490" s="9" t="s">
        <v>221</v>
      </c>
      <c r="H490" s="9" t="n">
        <v>910</v>
      </c>
      <c r="I490" s="29" t="n">
        <v>1.2</v>
      </c>
      <c r="J490" s="9" t="n">
        <v>1</v>
      </c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21" t="str">
        <f aca="false">IF(COUNT(K490:T490)=0,"SOURCE EMPTY / INDUSTRIAL ONLY",IF(MIN(K490:T490)=1,"SERVICE READY","HOLD"))</f>
        <v>SOURCE EMPTY / INDUSTRIAL ONLY</v>
      </c>
      <c r="V490" s="9" t="n">
        <f aca="false">IF(U490="SERVICE READY",1,0)</f>
        <v>0</v>
      </c>
      <c r="W490" s="6"/>
      <c r="X490" s="6"/>
      <c r="Y490" s="6"/>
      <c r="Z490" s="6"/>
    </row>
    <row r="491" customFormat="false" ht="15" hidden="false" customHeight="false" outlineLevel="0" collapsed="false">
      <c r="A491" s="9" t="s">
        <v>705</v>
      </c>
      <c r="B491" s="9" t="s">
        <v>617</v>
      </c>
      <c r="C491" s="9" t="s">
        <v>618</v>
      </c>
      <c r="D491" s="9" t="s">
        <v>619</v>
      </c>
      <c r="E491" s="9" t="s">
        <v>275</v>
      </c>
      <c r="F491" s="9" t="s">
        <v>203</v>
      </c>
      <c r="G491" s="9" t="s">
        <v>221</v>
      </c>
      <c r="H491" s="9" t="n">
        <v>910</v>
      </c>
      <c r="I491" s="29" t="n">
        <v>1.2</v>
      </c>
      <c r="J491" s="9" t="n">
        <v>1</v>
      </c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21" t="str">
        <f aca="false">IF(COUNT(K491:T491)=0,"SOURCE EMPTY / INDUSTRIAL ONLY",IF(MIN(K491:T491)=1,"SERVICE READY","HOLD"))</f>
        <v>SOURCE EMPTY / INDUSTRIAL ONLY</v>
      </c>
      <c r="V491" s="9" t="n">
        <f aca="false">IF(U491="SERVICE READY",1,0)</f>
        <v>0</v>
      </c>
      <c r="W491" s="6"/>
      <c r="X491" s="6"/>
      <c r="Y491" s="6"/>
      <c r="Z491" s="6"/>
    </row>
    <row r="492" customFormat="false" ht="15" hidden="false" customHeight="false" outlineLevel="0" collapsed="false">
      <c r="A492" s="9" t="s">
        <v>706</v>
      </c>
      <c r="B492" s="9" t="s">
        <v>617</v>
      </c>
      <c r="C492" s="9" t="s">
        <v>618</v>
      </c>
      <c r="D492" s="9" t="s">
        <v>619</v>
      </c>
      <c r="E492" s="9" t="s">
        <v>275</v>
      </c>
      <c r="F492" s="9" t="s">
        <v>205</v>
      </c>
      <c r="G492" s="9" t="s">
        <v>221</v>
      </c>
      <c r="H492" s="9" t="n">
        <v>910</v>
      </c>
      <c r="I492" s="29" t="n">
        <v>1.2</v>
      </c>
      <c r="J492" s="9" t="n">
        <v>1</v>
      </c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21" t="str">
        <f aca="false">IF(COUNT(K492:T492)=0,"SOURCE EMPTY / INDUSTRIAL ONLY",IF(MIN(K492:T492)=1,"SERVICE READY","HOLD"))</f>
        <v>SOURCE EMPTY / INDUSTRIAL ONLY</v>
      </c>
      <c r="V492" s="9" t="n">
        <f aca="false">IF(U492="SERVICE READY",1,0)</f>
        <v>0</v>
      </c>
      <c r="W492" s="6"/>
      <c r="X492" s="6"/>
      <c r="Y492" s="6"/>
      <c r="Z492" s="6"/>
    </row>
    <row r="493" customFormat="false" ht="15" hidden="false" customHeight="false" outlineLevel="0" collapsed="false">
      <c r="A493" s="9" t="s">
        <v>707</v>
      </c>
      <c r="B493" s="9" t="s">
        <v>617</v>
      </c>
      <c r="C493" s="9" t="s">
        <v>618</v>
      </c>
      <c r="D493" s="9" t="s">
        <v>619</v>
      </c>
      <c r="E493" s="9" t="s">
        <v>275</v>
      </c>
      <c r="F493" s="9" t="s">
        <v>207</v>
      </c>
      <c r="G493" s="9" t="s">
        <v>221</v>
      </c>
      <c r="H493" s="9" t="n">
        <v>910</v>
      </c>
      <c r="I493" s="29" t="n">
        <v>1.2</v>
      </c>
      <c r="J493" s="9" t="n">
        <v>1</v>
      </c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21" t="str">
        <f aca="false">IF(COUNT(K493:T493)=0,"SOURCE EMPTY / INDUSTRIAL ONLY",IF(MIN(K493:T493)=1,"SERVICE READY","HOLD"))</f>
        <v>SOURCE EMPTY / INDUSTRIAL ONLY</v>
      </c>
      <c r="V493" s="9" t="n">
        <f aca="false">IF(U493="SERVICE READY",1,0)</f>
        <v>0</v>
      </c>
      <c r="W493" s="6"/>
      <c r="X493" s="6"/>
      <c r="Y493" s="6"/>
      <c r="Z493" s="6"/>
    </row>
    <row r="494" customFormat="false" ht="15" hidden="false" customHeight="false" outlineLevel="0" collapsed="false">
      <c r="A494" s="9" t="s">
        <v>708</v>
      </c>
      <c r="B494" s="9" t="s">
        <v>617</v>
      </c>
      <c r="C494" s="9" t="s">
        <v>618</v>
      </c>
      <c r="D494" s="9" t="s">
        <v>619</v>
      </c>
      <c r="E494" s="9" t="s">
        <v>275</v>
      </c>
      <c r="F494" s="9" t="s">
        <v>209</v>
      </c>
      <c r="G494" s="9" t="s">
        <v>221</v>
      </c>
      <c r="H494" s="9" t="n">
        <v>910</v>
      </c>
      <c r="I494" s="29" t="n">
        <v>1.2</v>
      </c>
      <c r="J494" s="9" t="n">
        <v>1</v>
      </c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21" t="str">
        <f aca="false">IF(COUNT(K494:T494)=0,"SOURCE EMPTY / INDUSTRIAL ONLY",IF(MIN(K494:T494)=1,"SERVICE READY","HOLD"))</f>
        <v>SOURCE EMPTY / INDUSTRIAL ONLY</v>
      </c>
      <c r="V494" s="9" t="n">
        <f aca="false">IF(U494="SERVICE READY",1,0)</f>
        <v>0</v>
      </c>
      <c r="W494" s="6"/>
      <c r="X494" s="6"/>
      <c r="Y494" s="6"/>
      <c r="Z494" s="6"/>
    </row>
    <row r="495" customFormat="false" ht="15" hidden="false" customHeight="false" outlineLevel="0" collapsed="false">
      <c r="A495" s="9" t="s">
        <v>709</v>
      </c>
      <c r="B495" s="9" t="s">
        <v>617</v>
      </c>
      <c r="C495" s="9" t="s">
        <v>618</v>
      </c>
      <c r="D495" s="9" t="s">
        <v>619</v>
      </c>
      <c r="E495" s="9" t="s">
        <v>275</v>
      </c>
      <c r="F495" s="9" t="s">
        <v>211</v>
      </c>
      <c r="G495" s="9" t="s">
        <v>221</v>
      </c>
      <c r="H495" s="9" t="n">
        <v>910</v>
      </c>
      <c r="I495" s="29" t="n">
        <v>1.2</v>
      </c>
      <c r="J495" s="9" t="n">
        <v>1</v>
      </c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21" t="str">
        <f aca="false">IF(COUNT(K495:T495)=0,"SOURCE EMPTY / INDUSTRIAL ONLY",IF(MIN(K495:T495)=1,"SERVICE READY","HOLD"))</f>
        <v>SOURCE EMPTY / INDUSTRIAL ONLY</v>
      </c>
      <c r="V495" s="9" t="n">
        <f aca="false">IF(U495="SERVICE READY",1,0)</f>
        <v>0</v>
      </c>
      <c r="W495" s="6"/>
      <c r="X495" s="6"/>
      <c r="Y495" s="6"/>
      <c r="Z495" s="6"/>
    </row>
    <row r="496" customFormat="false" ht="15" hidden="false" customHeight="false" outlineLevel="0" collapsed="false">
      <c r="A496" s="9" t="s">
        <v>710</v>
      </c>
      <c r="B496" s="9" t="s">
        <v>617</v>
      </c>
      <c r="C496" s="9" t="s">
        <v>618</v>
      </c>
      <c r="D496" s="9" t="s">
        <v>619</v>
      </c>
      <c r="E496" s="9" t="s">
        <v>275</v>
      </c>
      <c r="F496" s="9" t="s">
        <v>197</v>
      </c>
      <c r="G496" s="9" t="s">
        <v>221</v>
      </c>
      <c r="H496" s="9" t="n">
        <v>910</v>
      </c>
      <c r="I496" s="29" t="n">
        <v>1.2</v>
      </c>
      <c r="J496" s="9" t="n">
        <v>1</v>
      </c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21" t="str">
        <f aca="false">IF(COUNT(K496:T496)=0,"SOURCE EMPTY / INDUSTRIAL ONLY",IF(MIN(K496:T496)=1,"SERVICE READY","HOLD"))</f>
        <v>SOURCE EMPTY / INDUSTRIAL ONLY</v>
      </c>
      <c r="V496" s="9" t="n">
        <f aca="false">IF(U496="SERVICE READY",1,0)</f>
        <v>0</v>
      </c>
      <c r="W496" s="6"/>
      <c r="X496" s="6"/>
      <c r="Y496" s="6"/>
      <c r="Z496" s="6"/>
    </row>
    <row r="497" customFormat="false" ht="15" hidden="false" customHeight="false" outlineLevel="0" collapsed="false">
      <c r="A497" s="9" t="s">
        <v>711</v>
      </c>
      <c r="B497" s="9" t="s">
        <v>617</v>
      </c>
      <c r="C497" s="9" t="s">
        <v>618</v>
      </c>
      <c r="D497" s="9" t="s">
        <v>619</v>
      </c>
      <c r="E497" s="9" t="s">
        <v>275</v>
      </c>
      <c r="F497" s="9" t="s">
        <v>200</v>
      </c>
      <c r="G497" s="9" t="s">
        <v>221</v>
      </c>
      <c r="H497" s="9" t="n">
        <v>910</v>
      </c>
      <c r="I497" s="29" t="n">
        <v>1.2</v>
      </c>
      <c r="J497" s="9" t="n">
        <v>1</v>
      </c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21" t="str">
        <f aca="false">IF(COUNT(K497:T497)=0,"SOURCE EMPTY / INDUSTRIAL ONLY",IF(MIN(K497:T497)=1,"SERVICE READY","HOLD"))</f>
        <v>SOURCE EMPTY / INDUSTRIAL ONLY</v>
      </c>
      <c r="V497" s="9" t="n">
        <f aca="false">IF(U497="SERVICE READY",1,0)</f>
        <v>0</v>
      </c>
      <c r="W497" s="6"/>
      <c r="X497" s="6"/>
      <c r="Y497" s="6"/>
      <c r="Z497" s="6"/>
    </row>
    <row r="498" customFormat="false" ht="15" hidden="false" customHeight="false" outlineLevel="0" collapsed="false">
      <c r="A498" s="9" t="s">
        <v>712</v>
      </c>
      <c r="B498" s="9" t="s">
        <v>617</v>
      </c>
      <c r="C498" s="9" t="s">
        <v>618</v>
      </c>
      <c r="D498" s="9" t="s">
        <v>619</v>
      </c>
      <c r="E498" s="9" t="s">
        <v>275</v>
      </c>
      <c r="F498" s="9" t="s">
        <v>203</v>
      </c>
      <c r="G498" s="9" t="s">
        <v>221</v>
      </c>
      <c r="H498" s="9" t="n">
        <v>910</v>
      </c>
      <c r="I498" s="29" t="n">
        <v>1.2</v>
      </c>
      <c r="J498" s="9" t="n">
        <v>1</v>
      </c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21" t="str">
        <f aca="false">IF(COUNT(K498:T498)=0,"SOURCE EMPTY / INDUSTRIAL ONLY",IF(MIN(K498:T498)=1,"SERVICE READY","HOLD"))</f>
        <v>SOURCE EMPTY / INDUSTRIAL ONLY</v>
      </c>
      <c r="V498" s="9" t="n">
        <f aca="false">IF(U498="SERVICE READY",1,0)</f>
        <v>0</v>
      </c>
      <c r="W498" s="6"/>
      <c r="X498" s="6"/>
      <c r="Y498" s="6"/>
      <c r="Z498" s="6"/>
    </row>
    <row r="499" customFormat="false" ht="15" hidden="false" customHeight="false" outlineLevel="0" collapsed="false">
      <c r="A499" s="9" t="s">
        <v>713</v>
      </c>
      <c r="B499" s="9" t="s">
        <v>617</v>
      </c>
      <c r="C499" s="9" t="s">
        <v>618</v>
      </c>
      <c r="D499" s="9" t="s">
        <v>619</v>
      </c>
      <c r="E499" s="9" t="s">
        <v>275</v>
      </c>
      <c r="F499" s="9" t="s">
        <v>205</v>
      </c>
      <c r="G499" s="9" t="s">
        <v>221</v>
      </c>
      <c r="H499" s="9" t="n">
        <v>910</v>
      </c>
      <c r="I499" s="29" t="n">
        <v>1.2</v>
      </c>
      <c r="J499" s="9" t="n">
        <v>1</v>
      </c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21" t="str">
        <f aca="false">IF(COUNT(K499:T499)=0,"SOURCE EMPTY / INDUSTRIAL ONLY",IF(MIN(K499:T499)=1,"SERVICE READY","HOLD"))</f>
        <v>SOURCE EMPTY / INDUSTRIAL ONLY</v>
      </c>
      <c r="V499" s="9" t="n">
        <f aca="false">IF(U499="SERVICE READY",1,0)</f>
        <v>0</v>
      </c>
      <c r="W499" s="6"/>
      <c r="X499" s="6"/>
      <c r="Y499" s="6"/>
      <c r="Z499" s="6"/>
    </row>
    <row r="500" customFormat="false" ht="15" hidden="false" customHeight="false" outlineLevel="0" collapsed="false">
      <c r="A500" s="9" t="s">
        <v>714</v>
      </c>
      <c r="B500" s="9" t="s">
        <v>617</v>
      </c>
      <c r="C500" s="9" t="s">
        <v>618</v>
      </c>
      <c r="D500" s="9" t="s">
        <v>619</v>
      </c>
      <c r="E500" s="9" t="s">
        <v>275</v>
      </c>
      <c r="F500" s="9" t="s">
        <v>207</v>
      </c>
      <c r="G500" s="9" t="s">
        <v>221</v>
      </c>
      <c r="H500" s="9" t="n">
        <v>910</v>
      </c>
      <c r="I500" s="29" t="n">
        <v>1.2</v>
      </c>
      <c r="J500" s="9" t="n">
        <v>1</v>
      </c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21" t="str">
        <f aca="false">IF(COUNT(K500:T500)=0,"SOURCE EMPTY / INDUSTRIAL ONLY",IF(MIN(K500:T500)=1,"SERVICE READY","HOLD"))</f>
        <v>SOURCE EMPTY / INDUSTRIAL ONLY</v>
      </c>
      <c r="V500" s="9" t="n">
        <f aca="false">IF(U500="SERVICE READY",1,0)</f>
        <v>0</v>
      </c>
      <c r="W500" s="6"/>
      <c r="X500" s="6"/>
      <c r="Y500" s="6"/>
      <c r="Z500" s="6"/>
    </row>
    <row r="501" customFormat="false" ht="15" hidden="false" customHeight="false" outlineLevel="0" collapsed="false">
      <c r="A501" s="9" t="s">
        <v>715</v>
      </c>
      <c r="B501" s="9" t="s">
        <v>617</v>
      </c>
      <c r="C501" s="9" t="s">
        <v>618</v>
      </c>
      <c r="D501" s="9" t="s">
        <v>619</v>
      </c>
      <c r="E501" s="9" t="s">
        <v>275</v>
      </c>
      <c r="F501" s="9" t="s">
        <v>209</v>
      </c>
      <c r="G501" s="9" t="s">
        <v>221</v>
      </c>
      <c r="H501" s="9" t="n">
        <v>910</v>
      </c>
      <c r="I501" s="29" t="n">
        <v>1.2</v>
      </c>
      <c r="J501" s="9" t="n">
        <v>1</v>
      </c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21" t="str">
        <f aca="false">IF(COUNT(K501:T501)=0,"SOURCE EMPTY / INDUSTRIAL ONLY",IF(MIN(K501:T501)=1,"SERVICE READY","HOLD"))</f>
        <v>SOURCE EMPTY / INDUSTRIAL ONLY</v>
      </c>
      <c r="V501" s="9" t="n">
        <f aca="false">IF(U501="SERVICE READY",1,0)</f>
        <v>0</v>
      </c>
      <c r="W501" s="6"/>
      <c r="X501" s="6"/>
      <c r="Y501" s="6"/>
      <c r="Z501" s="6"/>
    </row>
    <row r="502" customFormat="false" ht="15" hidden="false" customHeight="false" outlineLevel="0" collapsed="false">
      <c r="A502" s="9" t="s">
        <v>716</v>
      </c>
      <c r="B502" s="9" t="s">
        <v>617</v>
      </c>
      <c r="C502" s="9" t="s">
        <v>618</v>
      </c>
      <c r="D502" s="9" t="s">
        <v>619</v>
      </c>
      <c r="E502" s="9" t="s">
        <v>275</v>
      </c>
      <c r="F502" s="9" t="s">
        <v>211</v>
      </c>
      <c r="G502" s="9" t="s">
        <v>221</v>
      </c>
      <c r="H502" s="9" t="n">
        <v>910</v>
      </c>
      <c r="I502" s="29" t="n">
        <v>1.2</v>
      </c>
      <c r="J502" s="9" t="n">
        <v>1</v>
      </c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21" t="str">
        <f aca="false">IF(COUNT(K502:T502)=0,"SOURCE EMPTY / INDUSTRIAL ONLY",IF(MIN(K502:T502)=1,"SERVICE READY","HOLD"))</f>
        <v>SOURCE EMPTY / INDUSTRIAL ONLY</v>
      </c>
      <c r="V502" s="9" t="n">
        <f aca="false">IF(U502="SERVICE READY",1,0)</f>
        <v>0</v>
      </c>
      <c r="W502" s="6"/>
      <c r="X502" s="6"/>
      <c r="Y502" s="6"/>
      <c r="Z502" s="6"/>
    </row>
    <row r="503" customFormat="false" ht="15" hidden="false" customHeight="false" outlineLevel="0" collapsed="false">
      <c r="A503" s="9" t="s">
        <v>717</v>
      </c>
      <c r="B503" s="9" t="s">
        <v>617</v>
      </c>
      <c r="C503" s="9" t="s">
        <v>618</v>
      </c>
      <c r="D503" s="9" t="s">
        <v>619</v>
      </c>
      <c r="E503" s="9" t="s">
        <v>275</v>
      </c>
      <c r="F503" s="9" t="s">
        <v>197</v>
      </c>
      <c r="G503" s="9" t="s">
        <v>221</v>
      </c>
      <c r="H503" s="9" t="n">
        <v>910</v>
      </c>
      <c r="I503" s="29" t="n">
        <v>1.2</v>
      </c>
      <c r="J503" s="9" t="n">
        <v>1</v>
      </c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21" t="str">
        <f aca="false">IF(COUNT(K503:T503)=0,"SOURCE EMPTY / INDUSTRIAL ONLY",IF(MIN(K503:T503)=1,"SERVICE READY","HOLD"))</f>
        <v>SOURCE EMPTY / INDUSTRIAL ONLY</v>
      </c>
      <c r="V503" s="9" t="n">
        <f aca="false">IF(U503="SERVICE READY",1,0)</f>
        <v>0</v>
      </c>
      <c r="W503" s="6"/>
      <c r="X503" s="6"/>
      <c r="Y503" s="6"/>
      <c r="Z503" s="6"/>
    </row>
    <row r="504" customFormat="false" ht="15" hidden="false" customHeight="false" outlineLevel="0" collapsed="false">
      <c r="A504" s="9" t="s">
        <v>718</v>
      </c>
      <c r="B504" s="9" t="s">
        <v>617</v>
      </c>
      <c r="C504" s="9" t="s">
        <v>618</v>
      </c>
      <c r="D504" s="9" t="s">
        <v>619</v>
      </c>
      <c r="E504" s="9" t="s">
        <v>275</v>
      </c>
      <c r="F504" s="9" t="s">
        <v>200</v>
      </c>
      <c r="G504" s="9" t="s">
        <v>221</v>
      </c>
      <c r="H504" s="9" t="n">
        <v>910</v>
      </c>
      <c r="I504" s="29" t="n">
        <v>1.2</v>
      </c>
      <c r="J504" s="9" t="n">
        <v>1</v>
      </c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21" t="str">
        <f aca="false">IF(COUNT(K504:T504)=0,"SOURCE EMPTY / INDUSTRIAL ONLY",IF(MIN(K504:T504)=1,"SERVICE READY","HOLD"))</f>
        <v>SOURCE EMPTY / INDUSTRIAL ONLY</v>
      </c>
      <c r="V504" s="9" t="n">
        <f aca="false">IF(U504="SERVICE READY",1,0)</f>
        <v>0</v>
      </c>
      <c r="W504" s="6"/>
      <c r="X504" s="6"/>
      <c r="Y504" s="6"/>
      <c r="Z504" s="6"/>
    </row>
    <row r="505" customFormat="false" ht="15" hidden="false" customHeight="false" outlineLevel="0" collapsed="false">
      <c r="A505" s="9" t="s">
        <v>719</v>
      </c>
      <c r="B505" s="9" t="s">
        <v>617</v>
      </c>
      <c r="C505" s="9" t="s">
        <v>618</v>
      </c>
      <c r="D505" s="9" t="s">
        <v>619</v>
      </c>
      <c r="E505" s="9" t="s">
        <v>275</v>
      </c>
      <c r="F505" s="9" t="s">
        <v>203</v>
      </c>
      <c r="G505" s="9" t="s">
        <v>221</v>
      </c>
      <c r="H505" s="9" t="n">
        <v>910</v>
      </c>
      <c r="I505" s="29" t="n">
        <v>1.2</v>
      </c>
      <c r="J505" s="9" t="n">
        <v>1</v>
      </c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21" t="str">
        <f aca="false">IF(COUNT(K505:T505)=0,"SOURCE EMPTY / INDUSTRIAL ONLY",IF(MIN(K505:T505)=1,"SERVICE READY","HOLD"))</f>
        <v>SOURCE EMPTY / INDUSTRIAL ONLY</v>
      </c>
      <c r="V505" s="9" t="n">
        <f aca="false">IF(U505="SERVICE READY",1,0)</f>
        <v>0</v>
      </c>
      <c r="W505" s="6"/>
      <c r="X505" s="6"/>
      <c r="Y505" s="6"/>
      <c r="Z505" s="6"/>
    </row>
    <row r="506" customFormat="false" ht="15" hidden="false" customHeight="false" outlineLevel="0" collapsed="false">
      <c r="A506" s="9" t="s">
        <v>720</v>
      </c>
      <c r="B506" s="9" t="s">
        <v>617</v>
      </c>
      <c r="C506" s="9" t="s">
        <v>618</v>
      </c>
      <c r="D506" s="9" t="s">
        <v>619</v>
      </c>
      <c r="E506" s="9" t="s">
        <v>275</v>
      </c>
      <c r="F506" s="9" t="s">
        <v>205</v>
      </c>
      <c r="G506" s="9" t="s">
        <v>221</v>
      </c>
      <c r="H506" s="9" t="n">
        <v>910</v>
      </c>
      <c r="I506" s="29" t="n">
        <v>1.2</v>
      </c>
      <c r="J506" s="9" t="n">
        <v>1</v>
      </c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21" t="str">
        <f aca="false">IF(COUNT(K506:T506)=0,"SOURCE EMPTY / INDUSTRIAL ONLY",IF(MIN(K506:T506)=1,"SERVICE READY","HOLD"))</f>
        <v>SOURCE EMPTY / INDUSTRIAL ONLY</v>
      </c>
      <c r="V506" s="9" t="n">
        <f aca="false">IF(U506="SERVICE READY",1,0)</f>
        <v>0</v>
      </c>
      <c r="W506" s="6"/>
      <c r="X506" s="6"/>
      <c r="Y506" s="6"/>
      <c r="Z506" s="6"/>
    </row>
    <row r="507" customFormat="false" ht="15" hidden="false" customHeight="false" outlineLevel="0" collapsed="false">
      <c r="A507" s="9" t="s">
        <v>721</v>
      </c>
      <c r="B507" s="9" t="s">
        <v>617</v>
      </c>
      <c r="C507" s="9" t="s">
        <v>618</v>
      </c>
      <c r="D507" s="9" t="s">
        <v>619</v>
      </c>
      <c r="E507" s="9" t="s">
        <v>275</v>
      </c>
      <c r="F507" s="9" t="s">
        <v>207</v>
      </c>
      <c r="G507" s="9" t="s">
        <v>221</v>
      </c>
      <c r="H507" s="9" t="n">
        <v>910</v>
      </c>
      <c r="I507" s="29" t="n">
        <v>1.2</v>
      </c>
      <c r="J507" s="9" t="n">
        <v>1</v>
      </c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21" t="str">
        <f aca="false">IF(COUNT(K507:T507)=0,"SOURCE EMPTY / INDUSTRIAL ONLY",IF(MIN(K507:T507)=1,"SERVICE READY","HOLD"))</f>
        <v>SOURCE EMPTY / INDUSTRIAL ONLY</v>
      </c>
      <c r="V507" s="9" t="n">
        <f aca="false">IF(U507="SERVICE READY",1,0)</f>
        <v>0</v>
      </c>
      <c r="W507" s="6"/>
      <c r="X507" s="6"/>
      <c r="Y507" s="6"/>
      <c r="Z507" s="6"/>
    </row>
    <row r="508" customFormat="false" ht="15" hidden="false" customHeight="false" outlineLevel="0" collapsed="false">
      <c r="A508" s="9" t="s">
        <v>722</v>
      </c>
      <c r="B508" s="9" t="s">
        <v>617</v>
      </c>
      <c r="C508" s="9" t="s">
        <v>618</v>
      </c>
      <c r="D508" s="9" t="s">
        <v>619</v>
      </c>
      <c r="E508" s="9" t="s">
        <v>275</v>
      </c>
      <c r="F508" s="9" t="s">
        <v>209</v>
      </c>
      <c r="G508" s="9" t="s">
        <v>221</v>
      </c>
      <c r="H508" s="9" t="n">
        <v>910</v>
      </c>
      <c r="I508" s="29" t="n">
        <v>1.2</v>
      </c>
      <c r="J508" s="9" t="n">
        <v>1</v>
      </c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21" t="str">
        <f aca="false">IF(COUNT(K508:T508)=0,"SOURCE EMPTY / INDUSTRIAL ONLY",IF(MIN(K508:T508)=1,"SERVICE READY","HOLD"))</f>
        <v>SOURCE EMPTY / INDUSTRIAL ONLY</v>
      </c>
      <c r="V508" s="9" t="n">
        <f aca="false">IF(U508="SERVICE READY",1,0)</f>
        <v>0</v>
      </c>
      <c r="W508" s="6"/>
      <c r="X508" s="6"/>
      <c r="Y508" s="6"/>
      <c r="Z508" s="6"/>
    </row>
    <row r="509" customFormat="false" ht="15" hidden="false" customHeight="false" outlineLevel="0" collapsed="false">
      <c r="A509" s="9" t="s">
        <v>723</v>
      </c>
      <c r="B509" s="9" t="s">
        <v>617</v>
      </c>
      <c r="C509" s="9" t="s">
        <v>618</v>
      </c>
      <c r="D509" s="9" t="s">
        <v>619</v>
      </c>
      <c r="E509" s="9" t="s">
        <v>275</v>
      </c>
      <c r="F509" s="9" t="s">
        <v>211</v>
      </c>
      <c r="G509" s="9" t="s">
        <v>221</v>
      </c>
      <c r="H509" s="9" t="n">
        <v>910</v>
      </c>
      <c r="I509" s="29" t="n">
        <v>1.2</v>
      </c>
      <c r="J509" s="9" t="n">
        <v>1</v>
      </c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21" t="str">
        <f aca="false">IF(COUNT(K509:T509)=0,"SOURCE EMPTY / INDUSTRIAL ONLY",IF(MIN(K509:T509)=1,"SERVICE READY","HOLD"))</f>
        <v>SOURCE EMPTY / INDUSTRIAL ONLY</v>
      </c>
      <c r="V509" s="9" t="n">
        <f aca="false">IF(U509="SERVICE READY",1,0)</f>
        <v>0</v>
      </c>
      <c r="W509" s="6"/>
      <c r="X509" s="6"/>
      <c r="Y509" s="6"/>
      <c r="Z509" s="6"/>
    </row>
    <row r="510" customFormat="false" ht="15" hidden="false" customHeight="false" outlineLevel="0" collapsed="false">
      <c r="A510" s="9" t="s">
        <v>724</v>
      </c>
      <c r="B510" s="9" t="s">
        <v>617</v>
      </c>
      <c r="C510" s="9" t="s">
        <v>618</v>
      </c>
      <c r="D510" s="9" t="s">
        <v>619</v>
      </c>
      <c r="E510" s="9" t="s">
        <v>275</v>
      </c>
      <c r="F510" s="9" t="s">
        <v>197</v>
      </c>
      <c r="G510" s="9" t="s">
        <v>221</v>
      </c>
      <c r="H510" s="9" t="n">
        <v>910</v>
      </c>
      <c r="I510" s="29" t="n">
        <v>1.2</v>
      </c>
      <c r="J510" s="9" t="n">
        <v>1</v>
      </c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21" t="str">
        <f aca="false">IF(COUNT(K510:T510)=0,"SOURCE EMPTY / INDUSTRIAL ONLY",IF(MIN(K510:T510)=1,"SERVICE READY","HOLD"))</f>
        <v>SOURCE EMPTY / INDUSTRIAL ONLY</v>
      </c>
      <c r="V510" s="9" t="n">
        <f aca="false">IF(U510="SERVICE READY",1,0)</f>
        <v>0</v>
      </c>
      <c r="W510" s="6"/>
      <c r="X510" s="6"/>
      <c r="Y510" s="6"/>
      <c r="Z510" s="6"/>
    </row>
    <row r="511" customFormat="false" ht="15" hidden="false" customHeight="false" outlineLevel="0" collapsed="false">
      <c r="A511" s="9" t="s">
        <v>725</v>
      </c>
      <c r="B511" s="9" t="s">
        <v>617</v>
      </c>
      <c r="C511" s="9" t="s">
        <v>618</v>
      </c>
      <c r="D511" s="9" t="s">
        <v>619</v>
      </c>
      <c r="E511" s="9" t="s">
        <v>275</v>
      </c>
      <c r="F511" s="9" t="s">
        <v>200</v>
      </c>
      <c r="G511" s="9" t="s">
        <v>221</v>
      </c>
      <c r="H511" s="9" t="n">
        <v>910</v>
      </c>
      <c r="I511" s="29" t="n">
        <v>1.2</v>
      </c>
      <c r="J511" s="9" t="n">
        <v>0</v>
      </c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21" t="str">
        <f aca="false">IF(COUNT(K511:T511)=0,"SOURCE EMPTY / INDUSTRIAL ONLY",IF(MIN(K511:T511)=1,"SERVICE READY","HOLD"))</f>
        <v>SOURCE EMPTY / INDUSTRIAL ONLY</v>
      </c>
      <c r="V511" s="9" t="n">
        <f aca="false">IF(U511="SERVICE READY",1,0)</f>
        <v>0</v>
      </c>
      <c r="W511" s="6"/>
      <c r="X511" s="6"/>
      <c r="Y511" s="6"/>
      <c r="Z511" s="6"/>
    </row>
    <row r="512" customFormat="false" ht="15" hidden="false" customHeight="false" outlineLevel="0" collapsed="false">
      <c r="A512" s="9" t="s">
        <v>726</v>
      </c>
      <c r="B512" s="9" t="s">
        <v>617</v>
      </c>
      <c r="C512" s="9" t="s">
        <v>618</v>
      </c>
      <c r="D512" s="9" t="s">
        <v>619</v>
      </c>
      <c r="E512" s="9" t="s">
        <v>275</v>
      </c>
      <c r="F512" s="9" t="s">
        <v>203</v>
      </c>
      <c r="G512" s="9" t="s">
        <v>221</v>
      </c>
      <c r="H512" s="9" t="n">
        <v>910</v>
      </c>
      <c r="I512" s="29" t="n">
        <v>1.2</v>
      </c>
      <c r="J512" s="9" t="n">
        <v>0</v>
      </c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21" t="str">
        <f aca="false">IF(COUNT(K512:T512)=0,"SOURCE EMPTY / INDUSTRIAL ONLY",IF(MIN(K512:T512)=1,"SERVICE READY","HOLD"))</f>
        <v>SOURCE EMPTY / INDUSTRIAL ONLY</v>
      </c>
      <c r="V512" s="9" t="n">
        <f aca="false">IF(U512="SERVICE READY",1,0)</f>
        <v>0</v>
      </c>
      <c r="W512" s="6"/>
      <c r="X512" s="6"/>
      <c r="Y512" s="6"/>
      <c r="Z512" s="6"/>
    </row>
    <row r="513" customFormat="false" ht="15" hidden="false" customHeight="false" outlineLevel="0" collapsed="false">
      <c r="A513" s="9" t="s">
        <v>727</v>
      </c>
      <c r="B513" s="9" t="s">
        <v>617</v>
      </c>
      <c r="C513" s="9" t="s">
        <v>618</v>
      </c>
      <c r="D513" s="9" t="s">
        <v>619</v>
      </c>
      <c r="E513" s="9" t="s">
        <v>275</v>
      </c>
      <c r="F513" s="9" t="s">
        <v>205</v>
      </c>
      <c r="G513" s="9" t="s">
        <v>221</v>
      </c>
      <c r="H513" s="9" t="n">
        <v>910</v>
      </c>
      <c r="I513" s="29" t="n">
        <v>1.2</v>
      </c>
      <c r="J513" s="9" t="n">
        <v>0</v>
      </c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21" t="str">
        <f aca="false">IF(COUNT(K513:T513)=0,"SOURCE EMPTY / INDUSTRIAL ONLY",IF(MIN(K513:T513)=1,"SERVICE READY","HOLD"))</f>
        <v>SOURCE EMPTY / INDUSTRIAL ONLY</v>
      </c>
      <c r="V513" s="9" t="n">
        <f aca="false">IF(U513="SERVICE READY",1,0)</f>
        <v>0</v>
      </c>
      <c r="W513" s="6"/>
      <c r="X513" s="6"/>
      <c r="Y513" s="6"/>
      <c r="Z513" s="6"/>
    </row>
    <row r="514" customFormat="false" ht="15" hidden="false" customHeight="false" outlineLevel="0" collapsed="false">
      <c r="A514" s="9" t="s">
        <v>728</v>
      </c>
      <c r="B514" s="9" t="s">
        <v>617</v>
      </c>
      <c r="C514" s="9" t="s">
        <v>618</v>
      </c>
      <c r="D514" s="9" t="s">
        <v>619</v>
      </c>
      <c r="E514" s="9" t="s">
        <v>275</v>
      </c>
      <c r="F514" s="9" t="s">
        <v>207</v>
      </c>
      <c r="G514" s="9" t="s">
        <v>221</v>
      </c>
      <c r="H514" s="9" t="n">
        <v>910</v>
      </c>
      <c r="I514" s="29" t="n">
        <v>1.2</v>
      </c>
      <c r="J514" s="9" t="n">
        <v>0</v>
      </c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21" t="str">
        <f aca="false">IF(COUNT(K514:T514)=0,"SOURCE EMPTY / INDUSTRIAL ONLY",IF(MIN(K514:T514)=1,"SERVICE READY","HOLD"))</f>
        <v>SOURCE EMPTY / INDUSTRIAL ONLY</v>
      </c>
      <c r="V514" s="9" t="n">
        <f aca="false">IF(U514="SERVICE READY",1,0)</f>
        <v>0</v>
      </c>
      <c r="W514" s="6"/>
      <c r="X514" s="6"/>
      <c r="Y514" s="6"/>
      <c r="Z514" s="6"/>
    </row>
    <row r="515" customFormat="false" ht="15" hidden="false" customHeight="false" outlineLevel="0" collapsed="false">
      <c r="A515" s="9" t="s">
        <v>729</v>
      </c>
      <c r="B515" s="9" t="s">
        <v>617</v>
      </c>
      <c r="C515" s="9" t="s">
        <v>618</v>
      </c>
      <c r="D515" s="9" t="s">
        <v>619</v>
      </c>
      <c r="E515" s="9" t="s">
        <v>275</v>
      </c>
      <c r="F515" s="9" t="s">
        <v>209</v>
      </c>
      <c r="G515" s="9" t="s">
        <v>221</v>
      </c>
      <c r="H515" s="9" t="n">
        <v>910</v>
      </c>
      <c r="I515" s="29" t="n">
        <v>1.2</v>
      </c>
      <c r="J515" s="9" t="n">
        <v>0</v>
      </c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21" t="str">
        <f aca="false">IF(COUNT(K515:T515)=0,"SOURCE EMPTY / INDUSTRIAL ONLY",IF(MIN(K515:T515)=1,"SERVICE READY","HOLD"))</f>
        <v>SOURCE EMPTY / INDUSTRIAL ONLY</v>
      </c>
      <c r="V515" s="9" t="n">
        <f aca="false">IF(U515="SERVICE READY",1,0)</f>
        <v>0</v>
      </c>
      <c r="W515" s="6"/>
      <c r="X515" s="6"/>
      <c r="Y515" s="6"/>
      <c r="Z515" s="6"/>
    </row>
    <row r="516" customFormat="false" ht="15" hidden="false" customHeight="false" outlineLevel="0" collapsed="false">
      <c r="A516" s="9" t="s">
        <v>730</v>
      </c>
      <c r="B516" s="9" t="s">
        <v>617</v>
      </c>
      <c r="C516" s="9" t="s">
        <v>618</v>
      </c>
      <c r="D516" s="9" t="s">
        <v>619</v>
      </c>
      <c r="E516" s="9" t="s">
        <v>275</v>
      </c>
      <c r="F516" s="9" t="s">
        <v>211</v>
      </c>
      <c r="G516" s="9" t="s">
        <v>221</v>
      </c>
      <c r="H516" s="9" t="n">
        <v>910</v>
      </c>
      <c r="I516" s="29" t="n">
        <v>1.2</v>
      </c>
      <c r="J516" s="9" t="n">
        <v>0</v>
      </c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21" t="str">
        <f aca="false">IF(COUNT(K516:T516)=0,"SOURCE EMPTY / INDUSTRIAL ONLY",IF(MIN(K516:T516)=1,"SERVICE READY","HOLD"))</f>
        <v>SOURCE EMPTY / INDUSTRIAL ONLY</v>
      </c>
      <c r="V516" s="9" t="n">
        <f aca="false">IF(U516="SERVICE READY",1,0)</f>
        <v>0</v>
      </c>
      <c r="W516" s="6"/>
      <c r="X516" s="6"/>
      <c r="Y516" s="6"/>
      <c r="Z516" s="6"/>
    </row>
    <row r="517" customFormat="false" ht="15" hidden="false" customHeight="false" outlineLevel="0" collapsed="false">
      <c r="A517" s="9" t="s">
        <v>731</v>
      </c>
      <c r="B517" s="9" t="s">
        <v>617</v>
      </c>
      <c r="C517" s="9" t="s">
        <v>618</v>
      </c>
      <c r="D517" s="9" t="s">
        <v>619</v>
      </c>
      <c r="E517" s="9" t="s">
        <v>275</v>
      </c>
      <c r="F517" s="9" t="s">
        <v>197</v>
      </c>
      <c r="G517" s="9" t="s">
        <v>221</v>
      </c>
      <c r="H517" s="9" t="n">
        <v>910</v>
      </c>
      <c r="I517" s="29" t="n">
        <v>1.2</v>
      </c>
      <c r="J517" s="9" t="n">
        <v>0</v>
      </c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21" t="str">
        <f aca="false">IF(COUNT(K517:T517)=0,"SOURCE EMPTY / INDUSTRIAL ONLY",IF(MIN(K517:T517)=1,"SERVICE READY","HOLD"))</f>
        <v>SOURCE EMPTY / INDUSTRIAL ONLY</v>
      </c>
      <c r="V517" s="9" t="n">
        <f aca="false">IF(U517="SERVICE READY",1,0)</f>
        <v>0</v>
      </c>
      <c r="W517" s="6"/>
      <c r="X517" s="6"/>
      <c r="Y517" s="6"/>
      <c r="Z517" s="6"/>
    </row>
    <row r="518" customFormat="false" ht="15" hidden="false" customHeight="false" outlineLevel="0" collapsed="false">
      <c r="A518" s="9" t="s">
        <v>732</v>
      </c>
      <c r="B518" s="9" t="s">
        <v>617</v>
      </c>
      <c r="C518" s="9" t="s">
        <v>618</v>
      </c>
      <c r="D518" s="9" t="s">
        <v>619</v>
      </c>
      <c r="E518" s="9" t="s">
        <v>275</v>
      </c>
      <c r="F518" s="9" t="s">
        <v>200</v>
      </c>
      <c r="G518" s="9" t="s">
        <v>221</v>
      </c>
      <c r="H518" s="9" t="n">
        <v>910</v>
      </c>
      <c r="I518" s="29" t="n">
        <v>1.2</v>
      </c>
      <c r="J518" s="9" t="n">
        <v>0</v>
      </c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21" t="str">
        <f aca="false">IF(COUNT(K518:T518)=0,"SOURCE EMPTY / INDUSTRIAL ONLY",IF(MIN(K518:T518)=1,"SERVICE READY","HOLD"))</f>
        <v>SOURCE EMPTY / INDUSTRIAL ONLY</v>
      </c>
      <c r="V518" s="9" t="n">
        <f aca="false">IF(U518="SERVICE READY",1,0)</f>
        <v>0</v>
      </c>
      <c r="W518" s="6"/>
      <c r="X518" s="6"/>
      <c r="Y518" s="6"/>
      <c r="Z518" s="6"/>
    </row>
    <row r="519" customFormat="false" ht="15" hidden="false" customHeight="false" outlineLevel="0" collapsed="false">
      <c r="A519" s="9" t="s">
        <v>733</v>
      </c>
      <c r="B519" s="9" t="s">
        <v>617</v>
      </c>
      <c r="C519" s="9" t="s">
        <v>618</v>
      </c>
      <c r="D519" s="9" t="s">
        <v>619</v>
      </c>
      <c r="E519" s="9" t="s">
        <v>275</v>
      </c>
      <c r="F519" s="9" t="s">
        <v>203</v>
      </c>
      <c r="G519" s="9" t="s">
        <v>221</v>
      </c>
      <c r="H519" s="9" t="n">
        <v>910</v>
      </c>
      <c r="I519" s="29" t="n">
        <v>1.2</v>
      </c>
      <c r="J519" s="9" t="n">
        <v>0</v>
      </c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21" t="str">
        <f aca="false">IF(COUNT(K519:T519)=0,"SOURCE EMPTY / INDUSTRIAL ONLY",IF(MIN(K519:T519)=1,"SERVICE READY","HOLD"))</f>
        <v>SOURCE EMPTY / INDUSTRIAL ONLY</v>
      </c>
      <c r="V519" s="9" t="n">
        <f aca="false">IF(U519="SERVICE READY",1,0)</f>
        <v>0</v>
      </c>
      <c r="W519" s="6"/>
      <c r="X519" s="6"/>
      <c r="Y519" s="6"/>
      <c r="Z519" s="6"/>
    </row>
    <row r="520" customFormat="false" ht="15" hidden="false" customHeight="false" outlineLevel="0" collapsed="false">
      <c r="A520" s="9" t="s">
        <v>734</v>
      </c>
      <c r="B520" s="9" t="s">
        <v>617</v>
      </c>
      <c r="C520" s="9" t="s">
        <v>618</v>
      </c>
      <c r="D520" s="9" t="s">
        <v>619</v>
      </c>
      <c r="E520" s="9" t="s">
        <v>275</v>
      </c>
      <c r="F520" s="9" t="s">
        <v>205</v>
      </c>
      <c r="G520" s="9" t="s">
        <v>221</v>
      </c>
      <c r="H520" s="9" t="n">
        <v>910</v>
      </c>
      <c r="I520" s="29" t="n">
        <v>1.2</v>
      </c>
      <c r="J520" s="9" t="n">
        <v>0</v>
      </c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21" t="str">
        <f aca="false">IF(COUNT(K520:T520)=0,"SOURCE EMPTY / INDUSTRIAL ONLY",IF(MIN(K520:T520)=1,"SERVICE READY","HOLD"))</f>
        <v>SOURCE EMPTY / INDUSTRIAL ONLY</v>
      </c>
      <c r="V520" s="9" t="n">
        <f aca="false">IF(U520="SERVICE READY",1,0)</f>
        <v>0</v>
      </c>
      <c r="W520" s="6"/>
      <c r="X520" s="6"/>
      <c r="Y520" s="6"/>
      <c r="Z520" s="6"/>
    </row>
    <row r="521" customFormat="false" ht="15" hidden="false" customHeight="false" outlineLevel="0" collapsed="false">
      <c r="A521" s="9" t="s">
        <v>735</v>
      </c>
      <c r="B521" s="9" t="s">
        <v>617</v>
      </c>
      <c r="C521" s="9" t="s">
        <v>618</v>
      </c>
      <c r="D521" s="9" t="s">
        <v>619</v>
      </c>
      <c r="E521" s="9" t="s">
        <v>275</v>
      </c>
      <c r="F521" s="9" t="s">
        <v>207</v>
      </c>
      <c r="G521" s="9" t="s">
        <v>221</v>
      </c>
      <c r="H521" s="9" t="n">
        <v>910</v>
      </c>
      <c r="I521" s="29" t="n">
        <v>1.2</v>
      </c>
      <c r="J521" s="9" t="n">
        <v>0</v>
      </c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21" t="str">
        <f aca="false">IF(COUNT(K521:T521)=0,"SOURCE EMPTY / INDUSTRIAL ONLY",IF(MIN(K521:T521)=1,"SERVICE READY","HOLD"))</f>
        <v>SOURCE EMPTY / INDUSTRIAL ONLY</v>
      </c>
      <c r="V521" s="9" t="n">
        <f aca="false">IF(U521="SERVICE READY",1,0)</f>
        <v>0</v>
      </c>
      <c r="W521" s="6"/>
      <c r="X521" s="6"/>
      <c r="Y521" s="6"/>
      <c r="Z521" s="6"/>
    </row>
    <row r="522" customFormat="false" ht="15" hidden="false" customHeight="false" outlineLevel="0" collapsed="false">
      <c r="A522" s="9" t="s">
        <v>736</v>
      </c>
      <c r="B522" s="9" t="s">
        <v>617</v>
      </c>
      <c r="C522" s="9" t="s">
        <v>618</v>
      </c>
      <c r="D522" s="9" t="s">
        <v>619</v>
      </c>
      <c r="E522" s="9" t="s">
        <v>275</v>
      </c>
      <c r="F522" s="9" t="s">
        <v>209</v>
      </c>
      <c r="G522" s="9" t="s">
        <v>221</v>
      </c>
      <c r="H522" s="9" t="n">
        <v>910</v>
      </c>
      <c r="I522" s="29" t="n">
        <v>1.2</v>
      </c>
      <c r="J522" s="9" t="n">
        <v>0</v>
      </c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21" t="str">
        <f aca="false">IF(COUNT(K522:T522)=0,"SOURCE EMPTY / INDUSTRIAL ONLY",IF(MIN(K522:T522)=1,"SERVICE READY","HOLD"))</f>
        <v>SOURCE EMPTY / INDUSTRIAL ONLY</v>
      </c>
      <c r="V522" s="9" t="n">
        <f aca="false">IF(U522="SERVICE READY",1,0)</f>
        <v>0</v>
      </c>
      <c r="W522" s="6"/>
      <c r="X522" s="6"/>
      <c r="Y522" s="6"/>
      <c r="Z522" s="6"/>
    </row>
    <row r="523" customFormat="false" ht="15" hidden="false" customHeight="false" outlineLevel="0" collapsed="false">
      <c r="A523" s="9" t="s">
        <v>737</v>
      </c>
      <c r="B523" s="9" t="s">
        <v>617</v>
      </c>
      <c r="C523" s="9" t="s">
        <v>618</v>
      </c>
      <c r="D523" s="9" t="s">
        <v>619</v>
      </c>
      <c r="E523" s="9" t="s">
        <v>275</v>
      </c>
      <c r="F523" s="9" t="s">
        <v>211</v>
      </c>
      <c r="G523" s="9" t="s">
        <v>221</v>
      </c>
      <c r="H523" s="9" t="n">
        <v>910</v>
      </c>
      <c r="I523" s="29" t="n">
        <v>1.2</v>
      </c>
      <c r="J523" s="9" t="n">
        <v>0</v>
      </c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21" t="str">
        <f aca="false">IF(COUNT(K523:T523)=0,"SOURCE EMPTY / INDUSTRIAL ONLY",IF(MIN(K523:T523)=1,"SERVICE READY","HOLD"))</f>
        <v>SOURCE EMPTY / INDUSTRIAL ONLY</v>
      </c>
      <c r="V523" s="9" t="n">
        <f aca="false">IF(U523="SERVICE READY",1,0)</f>
        <v>0</v>
      </c>
      <c r="W523" s="6"/>
      <c r="X523" s="6"/>
      <c r="Y523" s="6"/>
      <c r="Z523" s="6"/>
    </row>
    <row r="524" customFormat="false" ht="15" hidden="false" customHeight="false" outlineLevel="0" collapsed="false">
      <c r="A524" s="9" t="s">
        <v>738</v>
      </c>
      <c r="B524" s="9" t="s">
        <v>617</v>
      </c>
      <c r="C524" s="9" t="s">
        <v>618</v>
      </c>
      <c r="D524" s="9" t="s">
        <v>619</v>
      </c>
      <c r="E524" s="9" t="s">
        <v>275</v>
      </c>
      <c r="F524" s="9" t="s">
        <v>197</v>
      </c>
      <c r="G524" s="9" t="s">
        <v>221</v>
      </c>
      <c r="H524" s="9" t="n">
        <v>910</v>
      </c>
      <c r="I524" s="29" t="n">
        <v>1.2</v>
      </c>
      <c r="J524" s="9" t="n">
        <v>0</v>
      </c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21" t="str">
        <f aca="false">IF(COUNT(K524:T524)=0,"SOURCE EMPTY / INDUSTRIAL ONLY",IF(MIN(K524:T524)=1,"SERVICE READY","HOLD"))</f>
        <v>SOURCE EMPTY / INDUSTRIAL ONLY</v>
      </c>
      <c r="V524" s="9" t="n">
        <f aca="false">IF(U524="SERVICE READY",1,0)</f>
        <v>0</v>
      </c>
      <c r="W524" s="6"/>
      <c r="X524" s="6"/>
      <c r="Y524" s="6"/>
      <c r="Z524" s="6"/>
    </row>
    <row r="525" customFormat="false" ht="15" hidden="false" customHeight="false" outlineLevel="0" collapsed="false">
      <c r="A525" s="9" t="s">
        <v>739</v>
      </c>
      <c r="B525" s="9" t="s">
        <v>617</v>
      </c>
      <c r="C525" s="9" t="s">
        <v>618</v>
      </c>
      <c r="D525" s="9" t="s">
        <v>619</v>
      </c>
      <c r="E525" s="9" t="s">
        <v>275</v>
      </c>
      <c r="F525" s="9" t="s">
        <v>200</v>
      </c>
      <c r="G525" s="9" t="s">
        <v>221</v>
      </c>
      <c r="H525" s="9" t="n">
        <v>910</v>
      </c>
      <c r="I525" s="29" t="n">
        <v>1.2</v>
      </c>
      <c r="J525" s="9" t="n">
        <v>0</v>
      </c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21" t="str">
        <f aca="false">IF(COUNT(K525:T525)=0,"SOURCE EMPTY / INDUSTRIAL ONLY",IF(MIN(K525:T525)=1,"SERVICE READY","HOLD"))</f>
        <v>SOURCE EMPTY / INDUSTRIAL ONLY</v>
      </c>
      <c r="V525" s="9" t="n">
        <f aca="false">IF(U525="SERVICE READY",1,0)</f>
        <v>0</v>
      </c>
      <c r="W525" s="6"/>
      <c r="X525" s="6"/>
      <c r="Y525" s="6"/>
      <c r="Z525" s="6"/>
    </row>
    <row r="526" customFormat="false" ht="15" hidden="false" customHeight="false" outlineLevel="0" collapsed="false">
      <c r="A526" s="9" t="s">
        <v>740</v>
      </c>
      <c r="B526" s="9" t="s">
        <v>617</v>
      </c>
      <c r="C526" s="9" t="s">
        <v>618</v>
      </c>
      <c r="D526" s="9" t="s">
        <v>619</v>
      </c>
      <c r="E526" s="9" t="s">
        <v>275</v>
      </c>
      <c r="F526" s="9" t="s">
        <v>203</v>
      </c>
      <c r="G526" s="9" t="s">
        <v>221</v>
      </c>
      <c r="H526" s="9" t="n">
        <v>910</v>
      </c>
      <c r="I526" s="29" t="n">
        <v>1.2</v>
      </c>
      <c r="J526" s="9" t="n">
        <v>0</v>
      </c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21" t="str">
        <f aca="false">IF(COUNT(K526:T526)=0,"SOURCE EMPTY / INDUSTRIAL ONLY",IF(MIN(K526:T526)=1,"SERVICE READY","HOLD"))</f>
        <v>SOURCE EMPTY / INDUSTRIAL ONLY</v>
      </c>
      <c r="V526" s="9" t="n">
        <f aca="false">IF(U526="SERVICE READY",1,0)</f>
        <v>0</v>
      </c>
      <c r="W526" s="6"/>
      <c r="X526" s="6"/>
      <c r="Y526" s="6"/>
      <c r="Z526" s="6"/>
    </row>
    <row r="527" customFormat="false" ht="15" hidden="false" customHeight="false" outlineLevel="0" collapsed="false">
      <c r="A527" s="9" t="s">
        <v>741</v>
      </c>
      <c r="B527" s="9" t="s">
        <v>617</v>
      </c>
      <c r="C527" s="9" t="s">
        <v>618</v>
      </c>
      <c r="D527" s="9" t="s">
        <v>619</v>
      </c>
      <c r="E527" s="9" t="s">
        <v>275</v>
      </c>
      <c r="F527" s="9" t="s">
        <v>205</v>
      </c>
      <c r="G527" s="9" t="s">
        <v>221</v>
      </c>
      <c r="H527" s="9" t="n">
        <v>910</v>
      </c>
      <c r="I527" s="29" t="n">
        <v>1.2</v>
      </c>
      <c r="J527" s="9" t="n">
        <v>0</v>
      </c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21" t="str">
        <f aca="false">IF(COUNT(K527:T527)=0,"SOURCE EMPTY / INDUSTRIAL ONLY",IF(MIN(K527:T527)=1,"SERVICE READY","HOLD"))</f>
        <v>SOURCE EMPTY / INDUSTRIAL ONLY</v>
      </c>
      <c r="V527" s="9" t="n">
        <f aca="false">IF(U527="SERVICE READY",1,0)</f>
        <v>0</v>
      </c>
      <c r="W527" s="6"/>
      <c r="X527" s="6"/>
      <c r="Y527" s="6"/>
      <c r="Z527" s="6"/>
    </row>
    <row r="528" customFormat="false" ht="15" hidden="false" customHeight="false" outlineLevel="0" collapsed="false">
      <c r="A528" s="9" t="s">
        <v>742</v>
      </c>
      <c r="B528" s="9" t="s">
        <v>617</v>
      </c>
      <c r="C528" s="9" t="s">
        <v>618</v>
      </c>
      <c r="D528" s="9" t="s">
        <v>619</v>
      </c>
      <c r="E528" s="9" t="s">
        <v>275</v>
      </c>
      <c r="F528" s="9" t="s">
        <v>207</v>
      </c>
      <c r="G528" s="9" t="s">
        <v>221</v>
      </c>
      <c r="H528" s="9" t="n">
        <v>910</v>
      </c>
      <c r="I528" s="29" t="n">
        <v>1.2</v>
      </c>
      <c r="J528" s="9" t="n">
        <v>0</v>
      </c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21" t="str">
        <f aca="false">IF(COUNT(K528:T528)=0,"SOURCE EMPTY / INDUSTRIAL ONLY",IF(MIN(K528:T528)=1,"SERVICE READY","HOLD"))</f>
        <v>SOURCE EMPTY / INDUSTRIAL ONLY</v>
      </c>
      <c r="V528" s="9" t="n">
        <f aca="false">IF(U528="SERVICE READY",1,0)</f>
        <v>0</v>
      </c>
      <c r="W528" s="6"/>
      <c r="X528" s="6"/>
      <c r="Y528" s="6"/>
      <c r="Z528" s="6"/>
    </row>
    <row r="529" customFormat="false" ht="15" hidden="false" customHeight="false" outlineLevel="0" collapsed="false">
      <c r="A529" s="9" t="s">
        <v>743</v>
      </c>
      <c r="B529" s="9" t="s">
        <v>617</v>
      </c>
      <c r="C529" s="9" t="s">
        <v>618</v>
      </c>
      <c r="D529" s="9" t="s">
        <v>619</v>
      </c>
      <c r="E529" s="9" t="s">
        <v>275</v>
      </c>
      <c r="F529" s="9" t="s">
        <v>209</v>
      </c>
      <c r="G529" s="9" t="s">
        <v>221</v>
      </c>
      <c r="H529" s="9" t="n">
        <v>910</v>
      </c>
      <c r="I529" s="29" t="n">
        <v>1.2</v>
      </c>
      <c r="J529" s="9" t="n">
        <v>0</v>
      </c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21" t="str">
        <f aca="false">IF(COUNT(K529:T529)=0,"SOURCE EMPTY / INDUSTRIAL ONLY",IF(MIN(K529:T529)=1,"SERVICE READY","HOLD"))</f>
        <v>SOURCE EMPTY / INDUSTRIAL ONLY</v>
      </c>
      <c r="V529" s="9" t="n">
        <f aca="false">IF(U529="SERVICE READY",1,0)</f>
        <v>0</v>
      </c>
      <c r="W529" s="6"/>
      <c r="X529" s="6"/>
      <c r="Y529" s="6"/>
      <c r="Z529" s="6"/>
    </row>
    <row r="530" customFormat="false" ht="15" hidden="false" customHeight="false" outlineLevel="0" collapsed="false">
      <c r="A530" s="9" t="s">
        <v>744</v>
      </c>
      <c r="B530" s="9" t="s">
        <v>617</v>
      </c>
      <c r="C530" s="9" t="s">
        <v>618</v>
      </c>
      <c r="D530" s="9" t="s">
        <v>619</v>
      </c>
      <c r="E530" s="9" t="s">
        <v>275</v>
      </c>
      <c r="F530" s="9" t="s">
        <v>211</v>
      </c>
      <c r="G530" s="9" t="s">
        <v>221</v>
      </c>
      <c r="H530" s="9" t="n">
        <v>910</v>
      </c>
      <c r="I530" s="29" t="n">
        <v>1.2</v>
      </c>
      <c r="J530" s="9" t="n">
        <v>0</v>
      </c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21" t="str">
        <f aca="false">IF(COUNT(K530:T530)=0,"SOURCE EMPTY / INDUSTRIAL ONLY",IF(MIN(K530:T530)=1,"SERVICE READY","HOLD"))</f>
        <v>SOURCE EMPTY / INDUSTRIAL ONLY</v>
      </c>
      <c r="V530" s="9" t="n">
        <f aca="false">IF(U530="SERVICE READY",1,0)</f>
        <v>0</v>
      </c>
      <c r="W530" s="6"/>
      <c r="X530" s="6"/>
      <c r="Y530" s="6"/>
      <c r="Z530" s="6"/>
    </row>
    <row r="531" customFormat="false" ht="15" hidden="false" customHeight="false" outlineLevel="0" collapsed="false">
      <c r="A531" s="9" t="s">
        <v>745</v>
      </c>
      <c r="B531" s="9" t="s">
        <v>617</v>
      </c>
      <c r="C531" s="9" t="s">
        <v>618</v>
      </c>
      <c r="D531" s="9" t="s">
        <v>619</v>
      </c>
      <c r="E531" s="9" t="s">
        <v>275</v>
      </c>
      <c r="F531" s="9" t="s">
        <v>197</v>
      </c>
      <c r="G531" s="9" t="s">
        <v>221</v>
      </c>
      <c r="H531" s="9" t="n">
        <v>910</v>
      </c>
      <c r="I531" s="29" t="n">
        <v>1.2</v>
      </c>
      <c r="J531" s="9" t="n">
        <v>0</v>
      </c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21" t="str">
        <f aca="false">IF(COUNT(K531:T531)=0,"SOURCE EMPTY / INDUSTRIAL ONLY",IF(MIN(K531:T531)=1,"SERVICE READY","HOLD"))</f>
        <v>SOURCE EMPTY / INDUSTRIAL ONLY</v>
      </c>
      <c r="V531" s="9" t="n">
        <f aca="false">IF(U531="SERVICE READY",1,0)</f>
        <v>0</v>
      </c>
      <c r="W531" s="6"/>
      <c r="X531" s="6"/>
      <c r="Y531" s="6"/>
      <c r="Z531" s="6"/>
    </row>
    <row r="532" customFormat="false" ht="15" hidden="false" customHeight="false" outlineLevel="0" collapsed="false">
      <c r="A532" s="9" t="s">
        <v>746</v>
      </c>
      <c r="B532" s="9" t="s">
        <v>617</v>
      </c>
      <c r="C532" s="9" t="s">
        <v>618</v>
      </c>
      <c r="D532" s="9" t="s">
        <v>619</v>
      </c>
      <c r="E532" s="9" t="s">
        <v>275</v>
      </c>
      <c r="F532" s="9" t="s">
        <v>200</v>
      </c>
      <c r="G532" s="9" t="s">
        <v>221</v>
      </c>
      <c r="H532" s="9" t="n">
        <v>910</v>
      </c>
      <c r="I532" s="29" t="n">
        <v>1.2</v>
      </c>
      <c r="J532" s="9" t="n">
        <v>0</v>
      </c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21" t="str">
        <f aca="false">IF(COUNT(K532:T532)=0,"SOURCE EMPTY / INDUSTRIAL ONLY",IF(MIN(K532:T532)=1,"SERVICE READY","HOLD"))</f>
        <v>SOURCE EMPTY / INDUSTRIAL ONLY</v>
      </c>
      <c r="V532" s="9" t="n">
        <f aca="false">IF(U532="SERVICE READY",1,0)</f>
        <v>0</v>
      </c>
      <c r="W532" s="6"/>
      <c r="X532" s="6"/>
      <c r="Y532" s="6"/>
      <c r="Z532" s="6"/>
    </row>
    <row r="533" customFormat="false" ht="15" hidden="false" customHeight="false" outlineLevel="0" collapsed="false">
      <c r="A533" s="9" t="s">
        <v>747</v>
      </c>
      <c r="B533" s="9" t="s">
        <v>617</v>
      </c>
      <c r="C533" s="9" t="s">
        <v>618</v>
      </c>
      <c r="D533" s="9" t="s">
        <v>619</v>
      </c>
      <c r="E533" s="9" t="s">
        <v>275</v>
      </c>
      <c r="F533" s="9" t="s">
        <v>203</v>
      </c>
      <c r="G533" s="9" t="s">
        <v>221</v>
      </c>
      <c r="H533" s="9" t="n">
        <v>910</v>
      </c>
      <c r="I533" s="29" t="n">
        <v>1.2</v>
      </c>
      <c r="J533" s="9" t="n">
        <v>0</v>
      </c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21" t="str">
        <f aca="false">IF(COUNT(K533:T533)=0,"SOURCE EMPTY / INDUSTRIAL ONLY",IF(MIN(K533:T533)=1,"SERVICE READY","HOLD"))</f>
        <v>SOURCE EMPTY / INDUSTRIAL ONLY</v>
      </c>
      <c r="V533" s="9" t="n">
        <f aca="false">IF(U533="SERVICE READY",1,0)</f>
        <v>0</v>
      </c>
      <c r="W533" s="6"/>
      <c r="X533" s="6"/>
      <c r="Y533" s="6"/>
      <c r="Z533" s="6"/>
    </row>
    <row r="534" customFormat="false" ht="15" hidden="false" customHeight="false" outlineLevel="0" collapsed="false">
      <c r="A534" s="9" t="s">
        <v>748</v>
      </c>
      <c r="B534" s="9" t="s">
        <v>617</v>
      </c>
      <c r="C534" s="9" t="s">
        <v>618</v>
      </c>
      <c r="D534" s="9" t="s">
        <v>619</v>
      </c>
      <c r="E534" s="9" t="s">
        <v>275</v>
      </c>
      <c r="F534" s="9" t="s">
        <v>205</v>
      </c>
      <c r="G534" s="9" t="s">
        <v>221</v>
      </c>
      <c r="H534" s="9" t="n">
        <v>910</v>
      </c>
      <c r="I534" s="29" t="n">
        <v>1.2</v>
      </c>
      <c r="J534" s="9" t="n">
        <v>0</v>
      </c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21" t="str">
        <f aca="false">IF(COUNT(K534:T534)=0,"SOURCE EMPTY / INDUSTRIAL ONLY",IF(MIN(K534:T534)=1,"SERVICE READY","HOLD"))</f>
        <v>SOURCE EMPTY / INDUSTRIAL ONLY</v>
      </c>
      <c r="V534" s="9" t="n">
        <f aca="false">IF(U534="SERVICE READY",1,0)</f>
        <v>0</v>
      </c>
      <c r="W534" s="6"/>
      <c r="X534" s="6"/>
      <c r="Y534" s="6"/>
      <c r="Z534" s="6"/>
    </row>
    <row r="535" customFormat="false" ht="15" hidden="false" customHeight="false" outlineLevel="0" collapsed="false">
      <c r="A535" s="9" t="s">
        <v>749</v>
      </c>
      <c r="B535" s="9" t="s">
        <v>617</v>
      </c>
      <c r="C535" s="9" t="s">
        <v>618</v>
      </c>
      <c r="D535" s="9" t="s">
        <v>619</v>
      </c>
      <c r="E535" s="9" t="s">
        <v>275</v>
      </c>
      <c r="F535" s="9" t="s">
        <v>207</v>
      </c>
      <c r="G535" s="9" t="s">
        <v>221</v>
      </c>
      <c r="H535" s="9" t="n">
        <v>910</v>
      </c>
      <c r="I535" s="29" t="n">
        <v>1.2</v>
      </c>
      <c r="J535" s="9" t="n">
        <v>0</v>
      </c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21" t="str">
        <f aca="false">IF(COUNT(K535:T535)=0,"SOURCE EMPTY / INDUSTRIAL ONLY",IF(MIN(K535:T535)=1,"SERVICE READY","HOLD"))</f>
        <v>SOURCE EMPTY / INDUSTRIAL ONLY</v>
      </c>
      <c r="V535" s="9" t="n">
        <f aca="false">IF(U535="SERVICE READY",1,0)</f>
        <v>0</v>
      </c>
      <c r="W535" s="6"/>
      <c r="X535" s="6"/>
      <c r="Y535" s="6"/>
      <c r="Z535" s="6"/>
    </row>
    <row r="536" customFormat="false" ht="15" hidden="false" customHeight="false" outlineLevel="0" collapsed="false">
      <c r="A536" s="9" t="s">
        <v>750</v>
      </c>
      <c r="B536" s="9" t="s">
        <v>617</v>
      </c>
      <c r="C536" s="9" t="s">
        <v>618</v>
      </c>
      <c r="D536" s="9" t="s">
        <v>619</v>
      </c>
      <c r="E536" s="9" t="s">
        <v>275</v>
      </c>
      <c r="F536" s="9" t="s">
        <v>209</v>
      </c>
      <c r="G536" s="9" t="s">
        <v>221</v>
      </c>
      <c r="H536" s="9" t="n">
        <v>910</v>
      </c>
      <c r="I536" s="29" t="n">
        <v>1.2</v>
      </c>
      <c r="J536" s="9" t="n">
        <v>0</v>
      </c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21" t="str">
        <f aca="false">IF(COUNT(K536:T536)=0,"SOURCE EMPTY / INDUSTRIAL ONLY",IF(MIN(K536:T536)=1,"SERVICE READY","HOLD"))</f>
        <v>SOURCE EMPTY / INDUSTRIAL ONLY</v>
      </c>
      <c r="V536" s="9" t="n">
        <f aca="false">IF(U536="SERVICE READY",1,0)</f>
        <v>0</v>
      </c>
      <c r="W536" s="6"/>
      <c r="X536" s="6"/>
      <c r="Y536" s="6"/>
      <c r="Z536" s="6"/>
    </row>
    <row r="537" customFormat="false" ht="15" hidden="false" customHeight="false" outlineLevel="0" collapsed="false">
      <c r="A537" s="9" t="s">
        <v>751</v>
      </c>
      <c r="B537" s="9" t="s">
        <v>617</v>
      </c>
      <c r="C537" s="9" t="s">
        <v>618</v>
      </c>
      <c r="D537" s="9" t="s">
        <v>619</v>
      </c>
      <c r="E537" s="9" t="s">
        <v>275</v>
      </c>
      <c r="F537" s="9" t="s">
        <v>211</v>
      </c>
      <c r="G537" s="9" t="s">
        <v>221</v>
      </c>
      <c r="H537" s="9" t="n">
        <v>910</v>
      </c>
      <c r="I537" s="29" t="n">
        <v>1.2</v>
      </c>
      <c r="J537" s="9" t="n">
        <v>0</v>
      </c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21" t="str">
        <f aca="false">IF(COUNT(K537:T537)=0,"SOURCE EMPTY / INDUSTRIAL ONLY",IF(MIN(K537:T537)=1,"SERVICE READY","HOLD"))</f>
        <v>SOURCE EMPTY / INDUSTRIAL ONLY</v>
      </c>
      <c r="V537" s="9" t="n">
        <f aca="false">IF(U537="SERVICE READY",1,0)</f>
        <v>0</v>
      </c>
      <c r="W537" s="6"/>
      <c r="X537" s="6"/>
      <c r="Y537" s="6"/>
      <c r="Z537" s="6"/>
    </row>
    <row r="538" customFormat="false" ht="15" hidden="false" customHeight="false" outlineLevel="0" collapsed="false">
      <c r="A538" s="9" t="s">
        <v>752</v>
      </c>
      <c r="B538" s="9" t="s">
        <v>617</v>
      </c>
      <c r="C538" s="9" t="s">
        <v>618</v>
      </c>
      <c r="D538" s="9" t="s">
        <v>619</v>
      </c>
      <c r="E538" s="9" t="s">
        <v>275</v>
      </c>
      <c r="F538" s="9" t="s">
        <v>197</v>
      </c>
      <c r="G538" s="9" t="s">
        <v>221</v>
      </c>
      <c r="H538" s="9" t="n">
        <v>910</v>
      </c>
      <c r="I538" s="29" t="n">
        <v>1.2</v>
      </c>
      <c r="J538" s="9" t="n">
        <v>0</v>
      </c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21" t="str">
        <f aca="false">IF(COUNT(K538:T538)=0,"SOURCE EMPTY / INDUSTRIAL ONLY",IF(MIN(K538:T538)=1,"SERVICE READY","HOLD"))</f>
        <v>SOURCE EMPTY / INDUSTRIAL ONLY</v>
      </c>
      <c r="V538" s="9" t="n">
        <f aca="false">IF(U538="SERVICE READY",1,0)</f>
        <v>0</v>
      </c>
      <c r="W538" s="6"/>
      <c r="X538" s="6"/>
      <c r="Y538" s="6"/>
      <c r="Z538" s="6"/>
    </row>
    <row r="539" customFormat="false" ht="15" hidden="false" customHeight="false" outlineLevel="0" collapsed="false">
      <c r="A539" s="9" t="s">
        <v>753</v>
      </c>
      <c r="B539" s="9" t="s">
        <v>617</v>
      </c>
      <c r="C539" s="9" t="s">
        <v>618</v>
      </c>
      <c r="D539" s="9" t="s">
        <v>619</v>
      </c>
      <c r="E539" s="9" t="s">
        <v>275</v>
      </c>
      <c r="F539" s="9" t="s">
        <v>200</v>
      </c>
      <c r="G539" s="9" t="s">
        <v>221</v>
      </c>
      <c r="H539" s="9" t="n">
        <v>910</v>
      </c>
      <c r="I539" s="29" t="n">
        <v>1.2</v>
      </c>
      <c r="J539" s="9" t="n">
        <v>0</v>
      </c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21" t="str">
        <f aca="false">IF(COUNT(K539:T539)=0,"SOURCE EMPTY / INDUSTRIAL ONLY",IF(MIN(K539:T539)=1,"SERVICE READY","HOLD"))</f>
        <v>SOURCE EMPTY / INDUSTRIAL ONLY</v>
      </c>
      <c r="V539" s="9" t="n">
        <f aca="false">IF(U539="SERVICE READY",1,0)</f>
        <v>0</v>
      </c>
      <c r="W539" s="6"/>
      <c r="X539" s="6"/>
      <c r="Y539" s="6"/>
      <c r="Z539" s="6"/>
    </row>
    <row r="540" customFormat="false" ht="15" hidden="false" customHeight="false" outlineLevel="0" collapsed="false">
      <c r="A540" s="9" t="s">
        <v>754</v>
      </c>
      <c r="B540" s="9" t="s">
        <v>617</v>
      </c>
      <c r="C540" s="9" t="s">
        <v>618</v>
      </c>
      <c r="D540" s="9" t="s">
        <v>619</v>
      </c>
      <c r="E540" s="9" t="s">
        <v>275</v>
      </c>
      <c r="F540" s="9" t="s">
        <v>203</v>
      </c>
      <c r="G540" s="9" t="s">
        <v>221</v>
      </c>
      <c r="H540" s="9" t="n">
        <v>910</v>
      </c>
      <c r="I540" s="29" t="n">
        <v>1.2</v>
      </c>
      <c r="J540" s="9" t="n">
        <v>0</v>
      </c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21" t="str">
        <f aca="false">IF(COUNT(K540:T540)=0,"SOURCE EMPTY / INDUSTRIAL ONLY",IF(MIN(K540:T540)=1,"SERVICE READY","HOLD"))</f>
        <v>SOURCE EMPTY / INDUSTRIAL ONLY</v>
      </c>
      <c r="V540" s="9" t="n">
        <f aca="false">IF(U540="SERVICE READY",1,0)</f>
        <v>0</v>
      </c>
      <c r="W540" s="6"/>
      <c r="X540" s="6"/>
      <c r="Y540" s="6"/>
      <c r="Z540" s="6"/>
    </row>
    <row r="541" customFormat="false" ht="15" hidden="false" customHeight="false" outlineLevel="0" collapsed="false">
      <c r="A541" s="9" t="s">
        <v>755</v>
      </c>
      <c r="B541" s="9" t="s">
        <v>617</v>
      </c>
      <c r="C541" s="9" t="s">
        <v>618</v>
      </c>
      <c r="D541" s="9" t="s">
        <v>619</v>
      </c>
      <c r="E541" s="9" t="s">
        <v>275</v>
      </c>
      <c r="F541" s="9" t="s">
        <v>205</v>
      </c>
      <c r="G541" s="9" t="s">
        <v>221</v>
      </c>
      <c r="H541" s="9" t="n">
        <v>910</v>
      </c>
      <c r="I541" s="29" t="n">
        <v>1.2</v>
      </c>
      <c r="J541" s="9" t="n">
        <v>0</v>
      </c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21" t="str">
        <f aca="false">IF(COUNT(K541:T541)=0,"SOURCE EMPTY / INDUSTRIAL ONLY",IF(MIN(K541:T541)=1,"SERVICE READY","HOLD"))</f>
        <v>SOURCE EMPTY / INDUSTRIAL ONLY</v>
      </c>
      <c r="V541" s="9" t="n">
        <f aca="false">IF(U541="SERVICE READY",1,0)</f>
        <v>0</v>
      </c>
      <c r="W541" s="6"/>
      <c r="X541" s="6"/>
      <c r="Y541" s="6"/>
      <c r="Z541" s="6"/>
    </row>
    <row r="542" customFormat="false" ht="15" hidden="false" customHeight="false" outlineLevel="0" collapsed="false">
      <c r="A542" s="9" t="s">
        <v>756</v>
      </c>
      <c r="B542" s="9" t="s">
        <v>617</v>
      </c>
      <c r="C542" s="9" t="s">
        <v>618</v>
      </c>
      <c r="D542" s="9" t="s">
        <v>619</v>
      </c>
      <c r="E542" s="9" t="s">
        <v>275</v>
      </c>
      <c r="F542" s="9" t="s">
        <v>207</v>
      </c>
      <c r="G542" s="9" t="s">
        <v>221</v>
      </c>
      <c r="H542" s="9" t="n">
        <v>910</v>
      </c>
      <c r="I542" s="29" t="n">
        <v>1.2</v>
      </c>
      <c r="J542" s="9" t="n">
        <v>0</v>
      </c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21" t="str">
        <f aca="false">IF(COUNT(K542:T542)=0,"SOURCE EMPTY / INDUSTRIAL ONLY",IF(MIN(K542:T542)=1,"SERVICE READY","HOLD"))</f>
        <v>SOURCE EMPTY / INDUSTRIAL ONLY</v>
      </c>
      <c r="V542" s="9" t="n">
        <f aca="false">IF(U542="SERVICE READY",1,0)</f>
        <v>0</v>
      </c>
      <c r="W542" s="6"/>
      <c r="X542" s="6"/>
      <c r="Y542" s="6"/>
      <c r="Z542" s="6"/>
    </row>
    <row r="543" customFormat="false" ht="15" hidden="false" customHeight="false" outlineLevel="0" collapsed="false">
      <c r="A543" s="9" t="s">
        <v>757</v>
      </c>
      <c r="B543" s="9" t="s">
        <v>617</v>
      </c>
      <c r="C543" s="9" t="s">
        <v>618</v>
      </c>
      <c r="D543" s="9" t="s">
        <v>619</v>
      </c>
      <c r="E543" s="9" t="s">
        <v>275</v>
      </c>
      <c r="F543" s="9" t="s">
        <v>209</v>
      </c>
      <c r="G543" s="9" t="s">
        <v>221</v>
      </c>
      <c r="H543" s="9" t="n">
        <v>910</v>
      </c>
      <c r="I543" s="29" t="n">
        <v>1.2</v>
      </c>
      <c r="J543" s="9" t="n">
        <v>0</v>
      </c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21" t="str">
        <f aca="false">IF(COUNT(K543:T543)=0,"SOURCE EMPTY / INDUSTRIAL ONLY",IF(MIN(K543:T543)=1,"SERVICE READY","HOLD"))</f>
        <v>SOURCE EMPTY / INDUSTRIAL ONLY</v>
      </c>
      <c r="V543" s="9" t="n">
        <f aca="false">IF(U543="SERVICE READY",1,0)</f>
        <v>0</v>
      </c>
      <c r="W543" s="6"/>
      <c r="X543" s="6"/>
      <c r="Y543" s="6"/>
      <c r="Z543" s="6"/>
    </row>
    <row r="544" customFormat="false" ht="15" hidden="false" customHeight="false" outlineLevel="0" collapsed="false">
      <c r="A544" s="9" t="s">
        <v>758</v>
      </c>
      <c r="B544" s="9" t="s">
        <v>617</v>
      </c>
      <c r="C544" s="9" t="s">
        <v>618</v>
      </c>
      <c r="D544" s="9" t="s">
        <v>619</v>
      </c>
      <c r="E544" s="9" t="s">
        <v>275</v>
      </c>
      <c r="F544" s="9" t="s">
        <v>211</v>
      </c>
      <c r="G544" s="9" t="s">
        <v>221</v>
      </c>
      <c r="H544" s="9" t="n">
        <v>910</v>
      </c>
      <c r="I544" s="29" t="n">
        <v>1.2</v>
      </c>
      <c r="J544" s="9" t="n">
        <v>0</v>
      </c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21" t="str">
        <f aca="false">IF(COUNT(K544:T544)=0,"SOURCE EMPTY / INDUSTRIAL ONLY",IF(MIN(K544:T544)=1,"SERVICE READY","HOLD"))</f>
        <v>SOURCE EMPTY / INDUSTRIAL ONLY</v>
      </c>
      <c r="V544" s="9" t="n">
        <f aca="false">IF(U544="SERVICE READY",1,0)</f>
        <v>0</v>
      </c>
      <c r="W544" s="6"/>
      <c r="X544" s="6"/>
      <c r="Y544" s="6"/>
      <c r="Z544" s="6"/>
    </row>
    <row r="545" customFormat="false" ht="15" hidden="false" customHeight="false" outlineLevel="0" collapsed="false">
      <c r="A545" s="9" t="s">
        <v>759</v>
      </c>
      <c r="B545" s="9" t="s">
        <v>617</v>
      </c>
      <c r="C545" s="9" t="s">
        <v>618</v>
      </c>
      <c r="D545" s="9" t="s">
        <v>619</v>
      </c>
      <c r="E545" s="9" t="s">
        <v>275</v>
      </c>
      <c r="F545" s="9" t="s">
        <v>197</v>
      </c>
      <c r="G545" s="9" t="s">
        <v>221</v>
      </c>
      <c r="H545" s="9" t="n">
        <v>910</v>
      </c>
      <c r="I545" s="29" t="n">
        <v>1.2</v>
      </c>
      <c r="J545" s="9" t="n">
        <v>0</v>
      </c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21" t="str">
        <f aca="false">IF(COUNT(K545:T545)=0,"SOURCE EMPTY / INDUSTRIAL ONLY",IF(MIN(K545:T545)=1,"SERVICE READY","HOLD"))</f>
        <v>SOURCE EMPTY / INDUSTRIAL ONLY</v>
      </c>
      <c r="V545" s="9" t="n">
        <f aca="false">IF(U545="SERVICE READY",1,0)</f>
        <v>0</v>
      </c>
      <c r="W545" s="6"/>
      <c r="X545" s="6"/>
      <c r="Y545" s="6"/>
      <c r="Z545" s="6"/>
    </row>
    <row r="546" customFormat="false" ht="15" hidden="false" customHeight="false" outlineLevel="0" collapsed="false">
      <c r="A546" s="9" t="s">
        <v>760</v>
      </c>
      <c r="B546" s="9" t="s">
        <v>617</v>
      </c>
      <c r="C546" s="9" t="s">
        <v>618</v>
      </c>
      <c r="D546" s="9" t="s">
        <v>619</v>
      </c>
      <c r="E546" s="9" t="s">
        <v>275</v>
      </c>
      <c r="F546" s="9" t="s">
        <v>200</v>
      </c>
      <c r="G546" s="9" t="s">
        <v>221</v>
      </c>
      <c r="H546" s="9" t="n">
        <v>910</v>
      </c>
      <c r="I546" s="29" t="n">
        <v>1.2</v>
      </c>
      <c r="J546" s="9" t="n">
        <v>0</v>
      </c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21" t="str">
        <f aca="false">IF(COUNT(K546:T546)=0,"SOURCE EMPTY / INDUSTRIAL ONLY",IF(MIN(K546:T546)=1,"SERVICE READY","HOLD"))</f>
        <v>SOURCE EMPTY / INDUSTRIAL ONLY</v>
      </c>
      <c r="V546" s="9" t="n">
        <f aca="false">IF(U546="SERVICE READY",1,0)</f>
        <v>0</v>
      </c>
      <c r="W546" s="6"/>
      <c r="X546" s="6"/>
      <c r="Y546" s="6"/>
      <c r="Z546" s="6"/>
    </row>
    <row r="547" customFormat="false" ht="15" hidden="false" customHeight="false" outlineLevel="0" collapsed="false">
      <c r="A547" s="9" t="s">
        <v>761</v>
      </c>
      <c r="B547" s="9" t="s">
        <v>617</v>
      </c>
      <c r="C547" s="9" t="s">
        <v>618</v>
      </c>
      <c r="D547" s="9" t="s">
        <v>619</v>
      </c>
      <c r="E547" s="9" t="s">
        <v>275</v>
      </c>
      <c r="F547" s="9" t="s">
        <v>203</v>
      </c>
      <c r="G547" s="9" t="s">
        <v>221</v>
      </c>
      <c r="H547" s="9" t="n">
        <v>910</v>
      </c>
      <c r="I547" s="29" t="n">
        <v>1.2</v>
      </c>
      <c r="J547" s="9" t="n">
        <v>0</v>
      </c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21" t="str">
        <f aca="false">IF(COUNT(K547:T547)=0,"SOURCE EMPTY / INDUSTRIAL ONLY",IF(MIN(K547:T547)=1,"SERVICE READY","HOLD"))</f>
        <v>SOURCE EMPTY / INDUSTRIAL ONLY</v>
      </c>
      <c r="V547" s="9" t="n">
        <f aca="false">IF(U547="SERVICE READY",1,0)</f>
        <v>0</v>
      </c>
      <c r="W547" s="6"/>
      <c r="X547" s="6"/>
      <c r="Y547" s="6"/>
      <c r="Z547" s="6"/>
    </row>
    <row r="548" customFormat="false" ht="15" hidden="false" customHeight="false" outlineLevel="0" collapsed="false">
      <c r="A548" s="9" t="s">
        <v>762</v>
      </c>
      <c r="B548" s="9" t="s">
        <v>617</v>
      </c>
      <c r="C548" s="9" t="s">
        <v>618</v>
      </c>
      <c r="D548" s="9" t="s">
        <v>619</v>
      </c>
      <c r="E548" s="9" t="s">
        <v>275</v>
      </c>
      <c r="F548" s="9" t="s">
        <v>205</v>
      </c>
      <c r="G548" s="9" t="s">
        <v>221</v>
      </c>
      <c r="H548" s="9" t="n">
        <v>910</v>
      </c>
      <c r="I548" s="29" t="n">
        <v>1.2</v>
      </c>
      <c r="J548" s="9" t="n">
        <v>0</v>
      </c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21" t="str">
        <f aca="false">IF(COUNT(K548:T548)=0,"SOURCE EMPTY / INDUSTRIAL ONLY",IF(MIN(K548:T548)=1,"SERVICE READY","HOLD"))</f>
        <v>SOURCE EMPTY / INDUSTRIAL ONLY</v>
      </c>
      <c r="V548" s="9" t="n">
        <f aca="false">IF(U548="SERVICE READY",1,0)</f>
        <v>0</v>
      </c>
      <c r="W548" s="6"/>
      <c r="X548" s="6"/>
      <c r="Y548" s="6"/>
      <c r="Z548" s="6"/>
    </row>
    <row r="549" customFormat="false" ht="15" hidden="false" customHeight="false" outlineLevel="0" collapsed="false">
      <c r="A549" s="9" t="s">
        <v>763</v>
      </c>
      <c r="B549" s="9" t="s">
        <v>617</v>
      </c>
      <c r="C549" s="9" t="s">
        <v>618</v>
      </c>
      <c r="D549" s="9" t="s">
        <v>619</v>
      </c>
      <c r="E549" s="9" t="s">
        <v>275</v>
      </c>
      <c r="F549" s="9" t="s">
        <v>207</v>
      </c>
      <c r="G549" s="9" t="s">
        <v>221</v>
      </c>
      <c r="H549" s="9" t="n">
        <v>910</v>
      </c>
      <c r="I549" s="29" t="n">
        <v>1.2</v>
      </c>
      <c r="J549" s="9" t="n">
        <v>0</v>
      </c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21" t="str">
        <f aca="false">IF(COUNT(K549:T549)=0,"SOURCE EMPTY / INDUSTRIAL ONLY",IF(MIN(K549:T549)=1,"SERVICE READY","HOLD"))</f>
        <v>SOURCE EMPTY / INDUSTRIAL ONLY</v>
      </c>
      <c r="V549" s="9" t="n">
        <f aca="false">IF(U549="SERVICE READY",1,0)</f>
        <v>0</v>
      </c>
      <c r="W549" s="6"/>
      <c r="X549" s="6"/>
      <c r="Y549" s="6"/>
      <c r="Z549" s="6"/>
    </row>
    <row r="550" customFormat="false" ht="15" hidden="false" customHeight="false" outlineLevel="0" collapsed="false">
      <c r="A550" s="9" t="s">
        <v>764</v>
      </c>
      <c r="B550" s="9" t="s">
        <v>617</v>
      </c>
      <c r="C550" s="9" t="s">
        <v>618</v>
      </c>
      <c r="D550" s="9" t="s">
        <v>619</v>
      </c>
      <c r="E550" s="9" t="s">
        <v>275</v>
      </c>
      <c r="F550" s="9" t="s">
        <v>209</v>
      </c>
      <c r="G550" s="9" t="s">
        <v>221</v>
      </c>
      <c r="H550" s="9" t="n">
        <v>910</v>
      </c>
      <c r="I550" s="29" t="n">
        <v>1.2</v>
      </c>
      <c r="J550" s="9" t="n">
        <v>0</v>
      </c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21" t="str">
        <f aca="false">IF(COUNT(K550:T550)=0,"SOURCE EMPTY / INDUSTRIAL ONLY",IF(MIN(K550:T550)=1,"SERVICE READY","HOLD"))</f>
        <v>SOURCE EMPTY / INDUSTRIAL ONLY</v>
      </c>
      <c r="V550" s="9" t="n">
        <f aca="false">IF(U550="SERVICE READY",1,0)</f>
        <v>0</v>
      </c>
      <c r="W550" s="6"/>
      <c r="X550" s="6"/>
      <c r="Y550" s="6"/>
      <c r="Z550" s="6"/>
    </row>
    <row r="551" customFormat="false" ht="15" hidden="false" customHeight="false" outlineLevel="0" collapsed="false">
      <c r="A551" s="9" t="s">
        <v>765</v>
      </c>
      <c r="B551" s="9" t="s">
        <v>617</v>
      </c>
      <c r="C551" s="9" t="s">
        <v>618</v>
      </c>
      <c r="D551" s="9" t="s">
        <v>619</v>
      </c>
      <c r="E551" s="9" t="s">
        <v>275</v>
      </c>
      <c r="F551" s="9" t="s">
        <v>211</v>
      </c>
      <c r="G551" s="9" t="s">
        <v>221</v>
      </c>
      <c r="H551" s="9" t="n">
        <v>910</v>
      </c>
      <c r="I551" s="29" t="n">
        <v>1.2</v>
      </c>
      <c r="J551" s="9" t="n">
        <v>0</v>
      </c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21" t="str">
        <f aca="false">IF(COUNT(K551:T551)=0,"SOURCE EMPTY / INDUSTRIAL ONLY",IF(MIN(K551:T551)=1,"SERVICE READY","HOLD"))</f>
        <v>SOURCE EMPTY / INDUSTRIAL ONLY</v>
      </c>
      <c r="V551" s="9" t="n">
        <f aca="false">IF(U551="SERVICE READY",1,0)</f>
        <v>0</v>
      </c>
      <c r="W551" s="6"/>
      <c r="X551" s="6"/>
      <c r="Y551" s="6"/>
      <c r="Z551" s="6"/>
    </row>
    <row r="552" customFormat="false" ht="15" hidden="false" customHeight="false" outlineLevel="0" collapsed="false">
      <c r="A552" s="9" t="s">
        <v>766</v>
      </c>
      <c r="B552" s="9" t="s">
        <v>617</v>
      </c>
      <c r="C552" s="9" t="s">
        <v>618</v>
      </c>
      <c r="D552" s="9" t="s">
        <v>619</v>
      </c>
      <c r="E552" s="9" t="s">
        <v>275</v>
      </c>
      <c r="F552" s="9" t="s">
        <v>197</v>
      </c>
      <c r="G552" s="9" t="s">
        <v>221</v>
      </c>
      <c r="H552" s="9" t="n">
        <v>910</v>
      </c>
      <c r="I552" s="29" t="n">
        <v>1.2</v>
      </c>
      <c r="J552" s="9" t="n">
        <v>0</v>
      </c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21" t="str">
        <f aca="false">IF(COUNT(K552:T552)=0,"SOURCE EMPTY / INDUSTRIAL ONLY",IF(MIN(K552:T552)=1,"SERVICE READY","HOLD"))</f>
        <v>SOURCE EMPTY / INDUSTRIAL ONLY</v>
      </c>
      <c r="V552" s="9" t="n">
        <f aca="false">IF(U552="SERVICE READY",1,0)</f>
        <v>0</v>
      </c>
      <c r="W552" s="6"/>
      <c r="X552" s="6"/>
      <c r="Y552" s="6"/>
      <c r="Z552" s="6"/>
    </row>
    <row r="553" customFormat="false" ht="15" hidden="false" customHeight="false" outlineLevel="0" collapsed="false">
      <c r="A553" s="9" t="s">
        <v>767</v>
      </c>
      <c r="B553" s="9" t="s">
        <v>617</v>
      </c>
      <c r="C553" s="9" t="s">
        <v>618</v>
      </c>
      <c r="D553" s="9" t="s">
        <v>619</v>
      </c>
      <c r="E553" s="9" t="s">
        <v>275</v>
      </c>
      <c r="F553" s="9" t="s">
        <v>200</v>
      </c>
      <c r="G553" s="9" t="s">
        <v>221</v>
      </c>
      <c r="H553" s="9" t="n">
        <v>910</v>
      </c>
      <c r="I553" s="29" t="n">
        <v>1.2</v>
      </c>
      <c r="J553" s="9" t="n">
        <v>0</v>
      </c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21" t="str">
        <f aca="false">IF(COUNT(K553:T553)=0,"SOURCE EMPTY / INDUSTRIAL ONLY",IF(MIN(K553:T553)=1,"SERVICE READY","HOLD"))</f>
        <v>SOURCE EMPTY / INDUSTRIAL ONLY</v>
      </c>
      <c r="V553" s="9" t="n">
        <f aca="false">IF(U553="SERVICE READY",1,0)</f>
        <v>0</v>
      </c>
      <c r="W553" s="6"/>
      <c r="X553" s="6"/>
      <c r="Y553" s="6"/>
      <c r="Z553" s="6"/>
    </row>
    <row r="554" customFormat="false" ht="15" hidden="false" customHeight="false" outlineLevel="0" collapsed="false">
      <c r="A554" s="9" t="s">
        <v>768</v>
      </c>
      <c r="B554" s="9" t="s">
        <v>617</v>
      </c>
      <c r="C554" s="9" t="s">
        <v>618</v>
      </c>
      <c r="D554" s="9" t="s">
        <v>619</v>
      </c>
      <c r="E554" s="9" t="s">
        <v>275</v>
      </c>
      <c r="F554" s="9" t="s">
        <v>203</v>
      </c>
      <c r="G554" s="9" t="s">
        <v>221</v>
      </c>
      <c r="H554" s="9" t="n">
        <v>910</v>
      </c>
      <c r="I554" s="29" t="n">
        <v>1.2</v>
      </c>
      <c r="J554" s="9" t="n">
        <v>0</v>
      </c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21" t="str">
        <f aca="false">IF(COUNT(K554:T554)=0,"SOURCE EMPTY / INDUSTRIAL ONLY",IF(MIN(K554:T554)=1,"SERVICE READY","HOLD"))</f>
        <v>SOURCE EMPTY / INDUSTRIAL ONLY</v>
      </c>
      <c r="V554" s="9" t="n">
        <f aca="false">IF(U554="SERVICE READY",1,0)</f>
        <v>0</v>
      </c>
      <c r="W554" s="6"/>
      <c r="X554" s="6"/>
      <c r="Y554" s="6"/>
      <c r="Z554" s="6"/>
    </row>
    <row r="555" customFormat="false" ht="15" hidden="false" customHeight="false" outlineLevel="0" collapsed="false">
      <c r="A555" s="9" t="s">
        <v>769</v>
      </c>
      <c r="B555" s="9" t="s">
        <v>617</v>
      </c>
      <c r="C555" s="9" t="s">
        <v>618</v>
      </c>
      <c r="D555" s="9" t="s">
        <v>619</v>
      </c>
      <c r="E555" s="9" t="s">
        <v>275</v>
      </c>
      <c r="F555" s="9" t="s">
        <v>205</v>
      </c>
      <c r="G555" s="9" t="s">
        <v>221</v>
      </c>
      <c r="H555" s="9" t="n">
        <v>910</v>
      </c>
      <c r="I555" s="29" t="n">
        <v>1.2</v>
      </c>
      <c r="J555" s="9" t="n">
        <v>0</v>
      </c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21" t="str">
        <f aca="false">IF(COUNT(K555:T555)=0,"SOURCE EMPTY / INDUSTRIAL ONLY",IF(MIN(K555:T555)=1,"SERVICE READY","HOLD"))</f>
        <v>SOURCE EMPTY / INDUSTRIAL ONLY</v>
      </c>
      <c r="V555" s="9" t="n">
        <f aca="false">IF(U555="SERVICE READY",1,0)</f>
        <v>0</v>
      </c>
      <c r="W555" s="6"/>
      <c r="X555" s="6"/>
      <c r="Y555" s="6"/>
      <c r="Z555" s="6"/>
    </row>
    <row r="556" customFormat="false" ht="15" hidden="false" customHeight="false" outlineLevel="0" collapsed="false">
      <c r="A556" s="9" t="s">
        <v>770</v>
      </c>
      <c r="B556" s="9" t="s">
        <v>771</v>
      </c>
      <c r="C556" s="9" t="s">
        <v>772</v>
      </c>
      <c r="D556" s="9" t="s">
        <v>619</v>
      </c>
      <c r="E556" s="9" t="s">
        <v>773</v>
      </c>
      <c r="F556" s="9" t="s">
        <v>197</v>
      </c>
      <c r="G556" s="9" t="s">
        <v>198</v>
      </c>
      <c r="H556" s="9" t="n">
        <v>1300</v>
      </c>
      <c r="I556" s="29" t="n">
        <v>1.8</v>
      </c>
      <c r="J556" s="9" t="n">
        <v>1</v>
      </c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21" t="str">
        <f aca="false">IF(COUNT(K556:T556)=0,"SOURCE EMPTY / INDUSTRIAL ONLY",IF(MIN(K556:T556)=1,"SERVICE READY","HOLD"))</f>
        <v>SOURCE EMPTY / INDUSTRIAL ONLY</v>
      </c>
      <c r="V556" s="9" t="n">
        <f aca="false">IF(U556="SERVICE READY",1,0)</f>
        <v>0</v>
      </c>
      <c r="W556" s="6"/>
      <c r="X556" s="6"/>
      <c r="Y556" s="6"/>
      <c r="Z556" s="6"/>
    </row>
    <row r="557" customFormat="false" ht="15" hidden="false" customHeight="false" outlineLevel="0" collapsed="false">
      <c r="A557" s="9" t="s">
        <v>774</v>
      </c>
      <c r="B557" s="9" t="s">
        <v>771</v>
      </c>
      <c r="C557" s="9" t="s">
        <v>772</v>
      </c>
      <c r="D557" s="9" t="s">
        <v>619</v>
      </c>
      <c r="E557" s="9" t="s">
        <v>773</v>
      </c>
      <c r="F557" s="9" t="s">
        <v>200</v>
      </c>
      <c r="G557" s="9" t="s">
        <v>201</v>
      </c>
      <c r="H557" s="9" t="n">
        <v>1300</v>
      </c>
      <c r="I557" s="29" t="n">
        <v>1.8</v>
      </c>
      <c r="J557" s="9" t="n">
        <v>1</v>
      </c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21" t="str">
        <f aca="false">IF(COUNT(K557:T557)=0,"SOURCE EMPTY / INDUSTRIAL ONLY",IF(MIN(K557:T557)=1,"SERVICE READY","HOLD"))</f>
        <v>SOURCE EMPTY / INDUSTRIAL ONLY</v>
      </c>
      <c r="V557" s="9" t="n">
        <f aca="false">IF(U557="SERVICE READY",1,0)</f>
        <v>0</v>
      </c>
      <c r="W557" s="6"/>
      <c r="X557" s="6"/>
      <c r="Y557" s="6"/>
      <c r="Z557" s="6"/>
    </row>
    <row r="558" customFormat="false" ht="15" hidden="false" customHeight="false" outlineLevel="0" collapsed="false">
      <c r="A558" s="9" t="s">
        <v>775</v>
      </c>
      <c r="B558" s="9" t="s">
        <v>771</v>
      </c>
      <c r="C558" s="9" t="s">
        <v>772</v>
      </c>
      <c r="D558" s="9" t="s">
        <v>619</v>
      </c>
      <c r="E558" s="9" t="s">
        <v>773</v>
      </c>
      <c r="F558" s="9" t="s">
        <v>203</v>
      </c>
      <c r="G558" s="9" t="s">
        <v>198</v>
      </c>
      <c r="H558" s="9" t="n">
        <v>1300</v>
      </c>
      <c r="I558" s="29" t="n">
        <v>1.8</v>
      </c>
      <c r="J558" s="9" t="n">
        <v>1</v>
      </c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21" t="str">
        <f aca="false">IF(COUNT(K558:T558)=0,"SOURCE EMPTY / INDUSTRIAL ONLY",IF(MIN(K558:T558)=1,"SERVICE READY","HOLD"))</f>
        <v>SOURCE EMPTY / INDUSTRIAL ONLY</v>
      </c>
      <c r="V558" s="9" t="n">
        <f aca="false">IF(U558="SERVICE READY",1,0)</f>
        <v>0</v>
      </c>
      <c r="W558" s="6"/>
      <c r="X558" s="6"/>
      <c r="Y558" s="6"/>
      <c r="Z558" s="6"/>
    </row>
    <row r="559" customFormat="false" ht="15" hidden="false" customHeight="false" outlineLevel="0" collapsed="false">
      <c r="A559" s="9" t="s">
        <v>776</v>
      </c>
      <c r="B559" s="9" t="s">
        <v>771</v>
      </c>
      <c r="C559" s="9" t="s">
        <v>772</v>
      </c>
      <c r="D559" s="9" t="s">
        <v>619</v>
      </c>
      <c r="E559" s="9" t="s">
        <v>773</v>
      </c>
      <c r="F559" s="9" t="s">
        <v>205</v>
      </c>
      <c r="G559" s="9" t="s">
        <v>201</v>
      </c>
      <c r="H559" s="9" t="n">
        <v>1300</v>
      </c>
      <c r="I559" s="29" t="n">
        <v>1.8</v>
      </c>
      <c r="J559" s="9" t="n">
        <v>1</v>
      </c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21" t="str">
        <f aca="false">IF(COUNT(K559:T559)=0,"SOURCE EMPTY / INDUSTRIAL ONLY",IF(MIN(K559:T559)=1,"SERVICE READY","HOLD"))</f>
        <v>SOURCE EMPTY / INDUSTRIAL ONLY</v>
      </c>
      <c r="V559" s="9" t="n">
        <f aca="false">IF(U559="SERVICE READY",1,0)</f>
        <v>0</v>
      </c>
      <c r="W559" s="6"/>
      <c r="X559" s="6"/>
      <c r="Y559" s="6"/>
      <c r="Z559" s="6"/>
    </row>
    <row r="560" customFormat="false" ht="15" hidden="false" customHeight="false" outlineLevel="0" collapsed="false">
      <c r="A560" s="9" t="s">
        <v>777</v>
      </c>
      <c r="B560" s="9" t="s">
        <v>771</v>
      </c>
      <c r="C560" s="9" t="s">
        <v>772</v>
      </c>
      <c r="D560" s="9" t="s">
        <v>619</v>
      </c>
      <c r="E560" s="9" t="s">
        <v>773</v>
      </c>
      <c r="F560" s="9" t="s">
        <v>207</v>
      </c>
      <c r="G560" s="9" t="s">
        <v>198</v>
      </c>
      <c r="H560" s="9" t="n">
        <v>1300</v>
      </c>
      <c r="I560" s="29" t="n">
        <v>1.8</v>
      </c>
      <c r="J560" s="9" t="n">
        <v>1</v>
      </c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21" t="str">
        <f aca="false">IF(COUNT(K560:T560)=0,"SOURCE EMPTY / INDUSTRIAL ONLY",IF(MIN(K560:T560)=1,"SERVICE READY","HOLD"))</f>
        <v>SOURCE EMPTY / INDUSTRIAL ONLY</v>
      </c>
      <c r="V560" s="9" t="n">
        <f aca="false">IF(U560="SERVICE READY",1,0)</f>
        <v>0</v>
      </c>
      <c r="W560" s="6"/>
      <c r="X560" s="6"/>
      <c r="Y560" s="6"/>
      <c r="Z560" s="6"/>
    </row>
    <row r="561" customFormat="false" ht="15" hidden="false" customHeight="false" outlineLevel="0" collapsed="false">
      <c r="A561" s="9" t="s">
        <v>778</v>
      </c>
      <c r="B561" s="9" t="s">
        <v>771</v>
      </c>
      <c r="C561" s="9" t="s">
        <v>772</v>
      </c>
      <c r="D561" s="9" t="s">
        <v>619</v>
      </c>
      <c r="E561" s="9" t="s">
        <v>773</v>
      </c>
      <c r="F561" s="9" t="s">
        <v>209</v>
      </c>
      <c r="G561" s="9" t="s">
        <v>201</v>
      </c>
      <c r="H561" s="9" t="n">
        <v>1300</v>
      </c>
      <c r="I561" s="29" t="n">
        <v>1.8</v>
      </c>
      <c r="J561" s="9" t="n">
        <v>1</v>
      </c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21" t="str">
        <f aca="false">IF(COUNT(K561:T561)=0,"SOURCE EMPTY / INDUSTRIAL ONLY",IF(MIN(K561:T561)=1,"SERVICE READY","HOLD"))</f>
        <v>SOURCE EMPTY / INDUSTRIAL ONLY</v>
      </c>
      <c r="V561" s="9" t="n">
        <f aca="false">IF(U561="SERVICE READY",1,0)</f>
        <v>0</v>
      </c>
      <c r="W561" s="6"/>
      <c r="X561" s="6"/>
      <c r="Y561" s="6"/>
      <c r="Z561" s="6"/>
    </row>
    <row r="562" customFormat="false" ht="15" hidden="false" customHeight="false" outlineLevel="0" collapsed="false">
      <c r="A562" s="9" t="s">
        <v>779</v>
      </c>
      <c r="B562" s="9" t="s">
        <v>771</v>
      </c>
      <c r="C562" s="9" t="s">
        <v>772</v>
      </c>
      <c r="D562" s="9" t="s">
        <v>619</v>
      </c>
      <c r="E562" s="9" t="s">
        <v>773</v>
      </c>
      <c r="F562" s="9" t="s">
        <v>211</v>
      </c>
      <c r="G562" s="9" t="s">
        <v>198</v>
      </c>
      <c r="H562" s="9" t="n">
        <v>1300</v>
      </c>
      <c r="I562" s="29" t="n">
        <v>1.8</v>
      </c>
      <c r="J562" s="9" t="n">
        <v>1</v>
      </c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21" t="str">
        <f aca="false">IF(COUNT(K562:T562)=0,"SOURCE EMPTY / INDUSTRIAL ONLY",IF(MIN(K562:T562)=1,"SERVICE READY","HOLD"))</f>
        <v>SOURCE EMPTY / INDUSTRIAL ONLY</v>
      </c>
      <c r="V562" s="9" t="n">
        <f aca="false">IF(U562="SERVICE READY",1,0)</f>
        <v>0</v>
      </c>
      <c r="W562" s="6"/>
      <c r="X562" s="6"/>
      <c r="Y562" s="6"/>
      <c r="Z562" s="6"/>
    </row>
    <row r="563" customFormat="false" ht="15" hidden="false" customHeight="false" outlineLevel="0" collapsed="false">
      <c r="A563" s="9" t="s">
        <v>780</v>
      </c>
      <c r="B563" s="9" t="s">
        <v>771</v>
      </c>
      <c r="C563" s="9" t="s">
        <v>772</v>
      </c>
      <c r="D563" s="9" t="s">
        <v>619</v>
      </c>
      <c r="E563" s="9" t="s">
        <v>773</v>
      </c>
      <c r="F563" s="9" t="s">
        <v>197</v>
      </c>
      <c r="G563" s="9" t="s">
        <v>201</v>
      </c>
      <c r="H563" s="9" t="n">
        <v>1300</v>
      </c>
      <c r="I563" s="29" t="n">
        <v>1.8</v>
      </c>
      <c r="J563" s="9" t="n">
        <v>1</v>
      </c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21" t="str">
        <f aca="false">IF(COUNT(K563:T563)=0,"SOURCE EMPTY / INDUSTRIAL ONLY",IF(MIN(K563:T563)=1,"SERVICE READY","HOLD"))</f>
        <v>SOURCE EMPTY / INDUSTRIAL ONLY</v>
      </c>
      <c r="V563" s="9" t="n">
        <f aca="false">IF(U563="SERVICE READY",1,0)</f>
        <v>0</v>
      </c>
      <c r="W563" s="6"/>
      <c r="X563" s="6"/>
      <c r="Y563" s="6"/>
      <c r="Z563" s="6"/>
    </row>
    <row r="564" customFormat="false" ht="15" hidden="false" customHeight="false" outlineLevel="0" collapsed="false">
      <c r="A564" s="9" t="s">
        <v>781</v>
      </c>
      <c r="B564" s="9" t="s">
        <v>771</v>
      </c>
      <c r="C564" s="9" t="s">
        <v>772</v>
      </c>
      <c r="D564" s="9" t="s">
        <v>619</v>
      </c>
      <c r="E564" s="9" t="s">
        <v>773</v>
      </c>
      <c r="F564" s="9" t="s">
        <v>200</v>
      </c>
      <c r="G564" s="9" t="s">
        <v>198</v>
      </c>
      <c r="H564" s="9" t="n">
        <v>1300</v>
      </c>
      <c r="I564" s="29" t="n">
        <v>1.8</v>
      </c>
      <c r="J564" s="9" t="n">
        <v>1</v>
      </c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21" t="str">
        <f aca="false">IF(COUNT(K564:T564)=0,"SOURCE EMPTY / INDUSTRIAL ONLY",IF(MIN(K564:T564)=1,"SERVICE READY","HOLD"))</f>
        <v>SOURCE EMPTY / INDUSTRIAL ONLY</v>
      </c>
      <c r="V564" s="9" t="n">
        <f aca="false">IF(U564="SERVICE READY",1,0)</f>
        <v>0</v>
      </c>
      <c r="W564" s="6"/>
      <c r="X564" s="6"/>
      <c r="Y564" s="6"/>
      <c r="Z564" s="6"/>
    </row>
    <row r="565" customFormat="false" ht="15" hidden="false" customHeight="false" outlineLevel="0" collapsed="false">
      <c r="A565" s="9" t="s">
        <v>782</v>
      </c>
      <c r="B565" s="9" t="s">
        <v>771</v>
      </c>
      <c r="C565" s="9" t="s">
        <v>772</v>
      </c>
      <c r="D565" s="9" t="s">
        <v>619</v>
      </c>
      <c r="E565" s="9" t="s">
        <v>773</v>
      </c>
      <c r="F565" s="9" t="s">
        <v>203</v>
      </c>
      <c r="G565" s="9" t="s">
        <v>201</v>
      </c>
      <c r="H565" s="9" t="n">
        <v>1300</v>
      </c>
      <c r="I565" s="29" t="n">
        <v>1.8</v>
      </c>
      <c r="J565" s="9" t="n">
        <v>1</v>
      </c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21" t="str">
        <f aca="false">IF(COUNT(K565:T565)=0,"SOURCE EMPTY / INDUSTRIAL ONLY",IF(MIN(K565:T565)=1,"SERVICE READY","HOLD"))</f>
        <v>SOURCE EMPTY / INDUSTRIAL ONLY</v>
      </c>
      <c r="V565" s="9" t="n">
        <f aca="false">IF(U565="SERVICE READY",1,0)</f>
        <v>0</v>
      </c>
      <c r="W565" s="6"/>
      <c r="X565" s="6"/>
      <c r="Y565" s="6"/>
      <c r="Z565" s="6"/>
    </row>
    <row r="566" customFormat="false" ht="15" hidden="false" customHeight="false" outlineLevel="0" collapsed="false">
      <c r="A566" s="9" t="s">
        <v>783</v>
      </c>
      <c r="B566" s="9" t="s">
        <v>771</v>
      </c>
      <c r="C566" s="9" t="s">
        <v>772</v>
      </c>
      <c r="D566" s="9" t="s">
        <v>619</v>
      </c>
      <c r="E566" s="9" t="s">
        <v>773</v>
      </c>
      <c r="F566" s="9" t="s">
        <v>205</v>
      </c>
      <c r="G566" s="9" t="s">
        <v>198</v>
      </c>
      <c r="H566" s="9" t="n">
        <v>1300</v>
      </c>
      <c r="I566" s="29" t="n">
        <v>1.8</v>
      </c>
      <c r="J566" s="9" t="n">
        <v>1</v>
      </c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21" t="str">
        <f aca="false">IF(COUNT(K566:T566)=0,"SOURCE EMPTY / INDUSTRIAL ONLY",IF(MIN(K566:T566)=1,"SERVICE READY","HOLD"))</f>
        <v>SOURCE EMPTY / INDUSTRIAL ONLY</v>
      </c>
      <c r="V566" s="9" t="n">
        <f aca="false">IF(U566="SERVICE READY",1,0)</f>
        <v>0</v>
      </c>
      <c r="W566" s="6"/>
      <c r="X566" s="6"/>
      <c r="Y566" s="6"/>
      <c r="Z566" s="6"/>
    </row>
    <row r="567" customFormat="false" ht="15" hidden="false" customHeight="false" outlineLevel="0" collapsed="false">
      <c r="A567" s="9" t="s">
        <v>784</v>
      </c>
      <c r="B567" s="9" t="s">
        <v>771</v>
      </c>
      <c r="C567" s="9" t="s">
        <v>772</v>
      </c>
      <c r="D567" s="9" t="s">
        <v>619</v>
      </c>
      <c r="E567" s="9" t="s">
        <v>773</v>
      </c>
      <c r="F567" s="9" t="s">
        <v>207</v>
      </c>
      <c r="G567" s="9" t="s">
        <v>201</v>
      </c>
      <c r="H567" s="9" t="n">
        <v>1300</v>
      </c>
      <c r="I567" s="29" t="n">
        <v>1.8</v>
      </c>
      <c r="J567" s="9" t="n">
        <v>1</v>
      </c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21" t="str">
        <f aca="false">IF(COUNT(K567:T567)=0,"SOURCE EMPTY / INDUSTRIAL ONLY",IF(MIN(K567:T567)=1,"SERVICE READY","HOLD"))</f>
        <v>SOURCE EMPTY / INDUSTRIAL ONLY</v>
      </c>
      <c r="V567" s="9" t="n">
        <f aca="false">IF(U567="SERVICE READY",1,0)</f>
        <v>0</v>
      </c>
      <c r="W567" s="6"/>
      <c r="X567" s="6"/>
      <c r="Y567" s="6"/>
      <c r="Z567" s="6"/>
    </row>
    <row r="568" customFormat="false" ht="15" hidden="false" customHeight="false" outlineLevel="0" collapsed="false">
      <c r="A568" s="9" t="s">
        <v>785</v>
      </c>
      <c r="B568" s="9" t="s">
        <v>771</v>
      </c>
      <c r="C568" s="9" t="s">
        <v>772</v>
      </c>
      <c r="D568" s="9" t="s">
        <v>619</v>
      </c>
      <c r="E568" s="9" t="s">
        <v>773</v>
      </c>
      <c r="F568" s="9" t="s">
        <v>209</v>
      </c>
      <c r="G568" s="9" t="s">
        <v>198</v>
      </c>
      <c r="H568" s="9" t="n">
        <v>1300</v>
      </c>
      <c r="I568" s="29" t="n">
        <v>1.8</v>
      </c>
      <c r="J568" s="9" t="n">
        <v>1</v>
      </c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21" t="str">
        <f aca="false">IF(COUNT(K568:T568)=0,"SOURCE EMPTY / INDUSTRIAL ONLY",IF(MIN(K568:T568)=1,"SERVICE READY","HOLD"))</f>
        <v>SOURCE EMPTY / INDUSTRIAL ONLY</v>
      </c>
      <c r="V568" s="9" t="n">
        <f aca="false">IF(U568="SERVICE READY",1,0)</f>
        <v>0</v>
      </c>
      <c r="W568" s="6"/>
      <c r="X568" s="6"/>
      <c r="Y568" s="6"/>
      <c r="Z568" s="6"/>
    </row>
    <row r="569" customFormat="false" ht="15" hidden="false" customHeight="false" outlineLevel="0" collapsed="false">
      <c r="A569" s="9" t="s">
        <v>786</v>
      </c>
      <c r="B569" s="9" t="s">
        <v>771</v>
      </c>
      <c r="C569" s="9" t="s">
        <v>772</v>
      </c>
      <c r="D569" s="9" t="s">
        <v>619</v>
      </c>
      <c r="E569" s="9" t="s">
        <v>773</v>
      </c>
      <c r="F569" s="9" t="s">
        <v>211</v>
      </c>
      <c r="G569" s="9" t="s">
        <v>201</v>
      </c>
      <c r="H569" s="9" t="n">
        <v>1300</v>
      </c>
      <c r="I569" s="29" t="n">
        <v>1.8</v>
      </c>
      <c r="J569" s="9" t="n">
        <v>1</v>
      </c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21" t="str">
        <f aca="false">IF(COUNT(K569:T569)=0,"SOURCE EMPTY / INDUSTRIAL ONLY",IF(MIN(K569:T569)=1,"SERVICE READY","HOLD"))</f>
        <v>SOURCE EMPTY / INDUSTRIAL ONLY</v>
      </c>
      <c r="V569" s="9" t="n">
        <f aca="false">IF(U569="SERVICE READY",1,0)</f>
        <v>0</v>
      </c>
      <c r="W569" s="6"/>
      <c r="X569" s="6"/>
      <c r="Y569" s="6"/>
      <c r="Z569" s="6"/>
    </row>
    <row r="570" customFormat="false" ht="15" hidden="false" customHeight="false" outlineLevel="0" collapsed="false">
      <c r="A570" s="9" t="s">
        <v>787</v>
      </c>
      <c r="B570" s="9" t="s">
        <v>771</v>
      </c>
      <c r="C570" s="9" t="s">
        <v>772</v>
      </c>
      <c r="D570" s="9" t="s">
        <v>619</v>
      </c>
      <c r="E570" s="9" t="s">
        <v>773</v>
      </c>
      <c r="F570" s="9" t="s">
        <v>197</v>
      </c>
      <c r="G570" s="9" t="s">
        <v>198</v>
      </c>
      <c r="H570" s="9" t="n">
        <v>1300</v>
      </c>
      <c r="I570" s="29" t="n">
        <v>1.8</v>
      </c>
      <c r="J570" s="9" t="n">
        <v>1</v>
      </c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21" t="str">
        <f aca="false">IF(COUNT(K570:T570)=0,"SOURCE EMPTY / INDUSTRIAL ONLY",IF(MIN(K570:T570)=1,"SERVICE READY","HOLD"))</f>
        <v>SOURCE EMPTY / INDUSTRIAL ONLY</v>
      </c>
      <c r="V570" s="9" t="n">
        <f aca="false">IF(U570="SERVICE READY",1,0)</f>
        <v>0</v>
      </c>
      <c r="W570" s="6"/>
      <c r="X570" s="6"/>
      <c r="Y570" s="6"/>
      <c r="Z570" s="6"/>
    </row>
    <row r="571" customFormat="false" ht="15" hidden="false" customHeight="false" outlineLevel="0" collapsed="false">
      <c r="A571" s="9" t="s">
        <v>788</v>
      </c>
      <c r="B571" s="9" t="s">
        <v>771</v>
      </c>
      <c r="C571" s="9" t="s">
        <v>772</v>
      </c>
      <c r="D571" s="9" t="s">
        <v>619</v>
      </c>
      <c r="E571" s="9" t="s">
        <v>773</v>
      </c>
      <c r="F571" s="9" t="s">
        <v>200</v>
      </c>
      <c r="G571" s="9" t="s">
        <v>201</v>
      </c>
      <c r="H571" s="9" t="n">
        <v>1300</v>
      </c>
      <c r="I571" s="29" t="n">
        <v>1.8</v>
      </c>
      <c r="J571" s="9" t="n">
        <v>1</v>
      </c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21" t="str">
        <f aca="false">IF(COUNT(K571:T571)=0,"SOURCE EMPTY / INDUSTRIAL ONLY",IF(MIN(K571:T571)=1,"SERVICE READY","HOLD"))</f>
        <v>SOURCE EMPTY / INDUSTRIAL ONLY</v>
      </c>
      <c r="V571" s="9" t="n">
        <f aca="false">IF(U571="SERVICE READY",1,0)</f>
        <v>0</v>
      </c>
      <c r="W571" s="6"/>
      <c r="X571" s="6"/>
      <c r="Y571" s="6"/>
      <c r="Z571" s="6"/>
    </row>
    <row r="572" customFormat="false" ht="15" hidden="false" customHeight="false" outlineLevel="0" collapsed="false">
      <c r="A572" s="9" t="s">
        <v>789</v>
      </c>
      <c r="B572" s="9" t="s">
        <v>771</v>
      </c>
      <c r="C572" s="9" t="s">
        <v>772</v>
      </c>
      <c r="D572" s="9" t="s">
        <v>619</v>
      </c>
      <c r="E572" s="9" t="s">
        <v>773</v>
      </c>
      <c r="F572" s="9" t="s">
        <v>203</v>
      </c>
      <c r="G572" s="9" t="s">
        <v>198</v>
      </c>
      <c r="H572" s="9" t="n">
        <v>1300</v>
      </c>
      <c r="I572" s="29" t="n">
        <v>1.8</v>
      </c>
      <c r="J572" s="9" t="n">
        <v>1</v>
      </c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21" t="str">
        <f aca="false">IF(COUNT(K572:T572)=0,"SOURCE EMPTY / INDUSTRIAL ONLY",IF(MIN(K572:T572)=1,"SERVICE READY","HOLD"))</f>
        <v>SOURCE EMPTY / INDUSTRIAL ONLY</v>
      </c>
      <c r="V572" s="9" t="n">
        <f aca="false">IF(U572="SERVICE READY",1,0)</f>
        <v>0</v>
      </c>
      <c r="W572" s="6"/>
      <c r="X572" s="6"/>
      <c r="Y572" s="6"/>
      <c r="Z572" s="6"/>
    </row>
    <row r="573" customFormat="false" ht="15" hidden="false" customHeight="false" outlineLevel="0" collapsed="false">
      <c r="A573" s="9" t="s">
        <v>790</v>
      </c>
      <c r="B573" s="9" t="s">
        <v>771</v>
      </c>
      <c r="C573" s="9" t="s">
        <v>772</v>
      </c>
      <c r="D573" s="9" t="s">
        <v>619</v>
      </c>
      <c r="E573" s="9" t="s">
        <v>773</v>
      </c>
      <c r="F573" s="9" t="s">
        <v>205</v>
      </c>
      <c r="G573" s="9" t="s">
        <v>201</v>
      </c>
      <c r="H573" s="9" t="n">
        <v>1300</v>
      </c>
      <c r="I573" s="29" t="n">
        <v>1.8</v>
      </c>
      <c r="J573" s="9" t="n">
        <v>1</v>
      </c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21" t="str">
        <f aca="false">IF(COUNT(K573:T573)=0,"SOURCE EMPTY / INDUSTRIAL ONLY",IF(MIN(K573:T573)=1,"SERVICE READY","HOLD"))</f>
        <v>SOURCE EMPTY / INDUSTRIAL ONLY</v>
      </c>
      <c r="V573" s="9" t="n">
        <f aca="false">IF(U573="SERVICE READY",1,0)</f>
        <v>0</v>
      </c>
      <c r="W573" s="6"/>
      <c r="X573" s="6"/>
      <c r="Y573" s="6"/>
      <c r="Z573" s="6"/>
    </row>
    <row r="574" customFormat="false" ht="15" hidden="false" customHeight="false" outlineLevel="0" collapsed="false">
      <c r="A574" s="9" t="s">
        <v>791</v>
      </c>
      <c r="B574" s="9" t="s">
        <v>771</v>
      </c>
      <c r="C574" s="9" t="s">
        <v>772</v>
      </c>
      <c r="D574" s="9" t="s">
        <v>619</v>
      </c>
      <c r="E574" s="9" t="s">
        <v>773</v>
      </c>
      <c r="F574" s="9" t="s">
        <v>207</v>
      </c>
      <c r="G574" s="9" t="s">
        <v>198</v>
      </c>
      <c r="H574" s="9" t="n">
        <v>1300</v>
      </c>
      <c r="I574" s="29" t="n">
        <v>1.8</v>
      </c>
      <c r="J574" s="9" t="n">
        <v>1</v>
      </c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21" t="str">
        <f aca="false">IF(COUNT(K574:T574)=0,"SOURCE EMPTY / INDUSTRIAL ONLY",IF(MIN(K574:T574)=1,"SERVICE READY","HOLD"))</f>
        <v>SOURCE EMPTY / INDUSTRIAL ONLY</v>
      </c>
      <c r="V574" s="9" t="n">
        <f aca="false">IF(U574="SERVICE READY",1,0)</f>
        <v>0</v>
      </c>
      <c r="W574" s="6"/>
      <c r="X574" s="6"/>
      <c r="Y574" s="6"/>
      <c r="Z574" s="6"/>
    </row>
    <row r="575" customFormat="false" ht="15" hidden="false" customHeight="false" outlineLevel="0" collapsed="false">
      <c r="A575" s="9" t="s">
        <v>792</v>
      </c>
      <c r="B575" s="9" t="s">
        <v>771</v>
      </c>
      <c r="C575" s="9" t="s">
        <v>772</v>
      </c>
      <c r="D575" s="9" t="s">
        <v>619</v>
      </c>
      <c r="E575" s="9" t="s">
        <v>773</v>
      </c>
      <c r="F575" s="9" t="s">
        <v>209</v>
      </c>
      <c r="G575" s="9" t="s">
        <v>201</v>
      </c>
      <c r="H575" s="9" t="n">
        <v>1300</v>
      </c>
      <c r="I575" s="29" t="n">
        <v>1.8</v>
      </c>
      <c r="J575" s="9" t="n">
        <v>1</v>
      </c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21" t="str">
        <f aca="false">IF(COUNT(K575:T575)=0,"SOURCE EMPTY / INDUSTRIAL ONLY",IF(MIN(K575:T575)=1,"SERVICE READY","HOLD"))</f>
        <v>SOURCE EMPTY / INDUSTRIAL ONLY</v>
      </c>
      <c r="V575" s="9" t="n">
        <f aca="false">IF(U575="SERVICE READY",1,0)</f>
        <v>0</v>
      </c>
      <c r="W575" s="6"/>
      <c r="X575" s="6"/>
      <c r="Y575" s="6"/>
      <c r="Z575" s="6"/>
    </row>
    <row r="576" customFormat="false" ht="15" hidden="false" customHeight="false" outlineLevel="0" collapsed="false">
      <c r="A576" s="9" t="s">
        <v>793</v>
      </c>
      <c r="B576" s="9" t="s">
        <v>771</v>
      </c>
      <c r="C576" s="9" t="s">
        <v>772</v>
      </c>
      <c r="D576" s="9" t="s">
        <v>619</v>
      </c>
      <c r="E576" s="9" t="s">
        <v>773</v>
      </c>
      <c r="F576" s="9" t="s">
        <v>211</v>
      </c>
      <c r="G576" s="9" t="s">
        <v>198</v>
      </c>
      <c r="H576" s="9" t="n">
        <v>1300</v>
      </c>
      <c r="I576" s="29" t="n">
        <v>1.8</v>
      </c>
      <c r="J576" s="9" t="n">
        <v>1</v>
      </c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21" t="str">
        <f aca="false">IF(COUNT(K576:T576)=0,"SOURCE EMPTY / INDUSTRIAL ONLY",IF(MIN(K576:T576)=1,"SERVICE READY","HOLD"))</f>
        <v>SOURCE EMPTY / INDUSTRIAL ONLY</v>
      </c>
      <c r="V576" s="9" t="n">
        <f aca="false">IF(U576="SERVICE READY",1,0)</f>
        <v>0</v>
      </c>
      <c r="W576" s="6"/>
      <c r="X576" s="6"/>
      <c r="Y576" s="6"/>
      <c r="Z576" s="6"/>
    </row>
    <row r="577" customFormat="false" ht="15" hidden="false" customHeight="false" outlineLevel="0" collapsed="false">
      <c r="A577" s="9" t="s">
        <v>794</v>
      </c>
      <c r="B577" s="9" t="s">
        <v>771</v>
      </c>
      <c r="C577" s="9" t="s">
        <v>772</v>
      </c>
      <c r="D577" s="9" t="s">
        <v>619</v>
      </c>
      <c r="E577" s="9" t="s">
        <v>773</v>
      </c>
      <c r="F577" s="9" t="s">
        <v>197</v>
      </c>
      <c r="G577" s="9" t="s">
        <v>201</v>
      </c>
      <c r="H577" s="9" t="n">
        <v>1300</v>
      </c>
      <c r="I577" s="29" t="n">
        <v>1.8</v>
      </c>
      <c r="J577" s="9" t="n">
        <v>1</v>
      </c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21" t="str">
        <f aca="false">IF(COUNT(K577:T577)=0,"SOURCE EMPTY / INDUSTRIAL ONLY",IF(MIN(K577:T577)=1,"SERVICE READY","HOLD"))</f>
        <v>SOURCE EMPTY / INDUSTRIAL ONLY</v>
      </c>
      <c r="V577" s="9" t="n">
        <f aca="false">IF(U577="SERVICE READY",1,0)</f>
        <v>0</v>
      </c>
      <c r="W577" s="6"/>
      <c r="X577" s="6"/>
      <c r="Y577" s="6"/>
      <c r="Z577" s="6"/>
    </row>
    <row r="578" customFormat="false" ht="15" hidden="false" customHeight="false" outlineLevel="0" collapsed="false">
      <c r="A578" s="9" t="s">
        <v>795</v>
      </c>
      <c r="B578" s="9" t="s">
        <v>771</v>
      </c>
      <c r="C578" s="9" t="s">
        <v>772</v>
      </c>
      <c r="D578" s="9" t="s">
        <v>619</v>
      </c>
      <c r="E578" s="9" t="s">
        <v>773</v>
      </c>
      <c r="F578" s="9" t="s">
        <v>200</v>
      </c>
      <c r="G578" s="9" t="s">
        <v>198</v>
      </c>
      <c r="H578" s="9" t="n">
        <v>1300</v>
      </c>
      <c r="I578" s="29" t="n">
        <v>1.8</v>
      </c>
      <c r="J578" s="9" t="n">
        <v>1</v>
      </c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21" t="str">
        <f aca="false">IF(COUNT(K578:T578)=0,"SOURCE EMPTY / INDUSTRIAL ONLY",IF(MIN(K578:T578)=1,"SERVICE READY","HOLD"))</f>
        <v>SOURCE EMPTY / INDUSTRIAL ONLY</v>
      </c>
      <c r="V578" s="9" t="n">
        <f aca="false">IF(U578="SERVICE READY",1,0)</f>
        <v>0</v>
      </c>
      <c r="W578" s="6"/>
      <c r="X578" s="6"/>
      <c r="Y578" s="6"/>
      <c r="Z578" s="6"/>
    </row>
    <row r="579" customFormat="false" ht="15" hidden="false" customHeight="false" outlineLevel="0" collapsed="false">
      <c r="A579" s="9" t="s">
        <v>796</v>
      </c>
      <c r="B579" s="9" t="s">
        <v>771</v>
      </c>
      <c r="C579" s="9" t="s">
        <v>772</v>
      </c>
      <c r="D579" s="9" t="s">
        <v>619</v>
      </c>
      <c r="E579" s="9" t="s">
        <v>773</v>
      </c>
      <c r="F579" s="9" t="s">
        <v>203</v>
      </c>
      <c r="G579" s="9" t="s">
        <v>201</v>
      </c>
      <c r="H579" s="9" t="n">
        <v>1300</v>
      </c>
      <c r="I579" s="29" t="n">
        <v>1.8</v>
      </c>
      <c r="J579" s="9" t="n">
        <v>1</v>
      </c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21" t="str">
        <f aca="false">IF(COUNT(K579:T579)=0,"SOURCE EMPTY / INDUSTRIAL ONLY",IF(MIN(K579:T579)=1,"SERVICE READY","HOLD"))</f>
        <v>SOURCE EMPTY / INDUSTRIAL ONLY</v>
      </c>
      <c r="V579" s="9" t="n">
        <f aca="false">IF(U579="SERVICE READY",1,0)</f>
        <v>0</v>
      </c>
      <c r="W579" s="6"/>
      <c r="X579" s="6"/>
      <c r="Y579" s="6"/>
      <c r="Z579" s="6"/>
    </row>
    <row r="580" customFormat="false" ht="15" hidden="false" customHeight="false" outlineLevel="0" collapsed="false">
      <c r="A580" s="9" t="s">
        <v>797</v>
      </c>
      <c r="B580" s="9" t="s">
        <v>771</v>
      </c>
      <c r="C580" s="9" t="s">
        <v>772</v>
      </c>
      <c r="D580" s="9" t="s">
        <v>619</v>
      </c>
      <c r="E580" s="9" t="s">
        <v>773</v>
      </c>
      <c r="F580" s="9" t="s">
        <v>205</v>
      </c>
      <c r="G580" s="9" t="s">
        <v>198</v>
      </c>
      <c r="H580" s="9" t="n">
        <v>1300</v>
      </c>
      <c r="I580" s="29" t="n">
        <v>1.8</v>
      </c>
      <c r="J580" s="9" t="n">
        <v>1</v>
      </c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21" t="str">
        <f aca="false">IF(COUNT(K580:T580)=0,"SOURCE EMPTY / INDUSTRIAL ONLY",IF(MIN(K580:T580)=1,"SERVICE READY","HOLD"))</f>
        <v>SOURCE EMPTY / INDUSTRIAL ONLY</v>
      </c>
      <c r="V580" s="9" t="n">
        <f aca="false">IF(U580="SERVICE READY",1,0)</f>
        <v>0</v>
      </c>
      <c r="W580" s="6"/>
      <c r="X580" s="6"/>
      <c r="Y580" s="6"/>
      <c r="Z580" s="6"/>
    </row>
    <row r="581" customFormat="false" ht="15" hidden="false" customHeight="false" outlineLevel="0" collapsed="false">
      <c r="A581" s="9" t="s">
        <v>798</v>
      </c>
      <c r="B581" s="9" t="s">
        <v>771</v>
      </c>
      <c r="C581" s="9" t="s">
        <v>772</v>
      </c>
      <c r="D581" s="9" t="s">
        <v>619</v>
      </c>
      <c r="E581" s="9" t="s">
        <v>773</v>
      </c>
      <c r="F581" s="9" t="s">
        <v>207</v>
      </c>
      <c r="G581" s="9" t="s">
        <v>201</v>
      </c>
      <c r="H581" s="9" t="n">
        <v>1300</v>
      </c>
      <c r="I581" s="29" t="n">
        <v>1.8</v>
      </c>
      <c r="J581" s="9" t="n">
        <v>1</v>
      </c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21" t="str">
        <f aca="false">IF(COUNT(K581:T581)=0,"SOURCE EMPTY / INDUSTRIAL ONLY",IF(MIN(K581:T581)=1,"SERVICE READY","HOLD"))</f>
        <v>SOURCE EMPTY / INDUSTRIAL ONLY</v>
      </c>
      <c r="V581" s="9" t="n">
        <f aca="false">IF(U581="SERVICE READY",1,0)</f>
        <v>0</v>
      </c>
      <c r="W581" s="6"/>
      <c r="X581" s="6"/>
      <c r="Y581" s="6"/>
      <c r="Z581" s="6"/>
    </row>
    <row r="582" customFormat="false" ht="15" hidden="false" customHeight="false" outlineLevel="0" collapsed="false">
      <c r="A582" s="9" t="s">
        <v>799</v>
      </c>
      <c r="B582" s="9" t="s">
        <v>771</v>
      </c>
      <c r="C582" s="9" t="s">
        <v>772</v>
      </c>
      <c r="D582" s="9" t="s">
        <v>619</v>
      </c>
      <c r="E582" s="9" t="s">
        <v>773</v>
      </c>
      <c r="F582" s="9" t="s">
        <v>209</v>
      </c>
      <c r="G582" s="9" t="s">
        <v>198</v>
      </c>
      <c r="H582" s="9" t="n">
        <v>1300</v>
      </c>
      <c r="I582" s="29" t="n">
        <v>1.8</v>
      </c>
      <c r="J582" s="9" t="n">
        <v>1</v>
      </c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21" t="str">
        <f aca="false">IF(COUNT(K582:T582)=0,"SOURCE EMPTY / INDUSTRIAL ONLY",IF(MIN(K582:T582)=1,"SERVICE READY","HOLD"))</f>
        <v>SOURCE EMPTY / INDUSTRIAL ONLY</v>
      </c>
      <c r="V582" s="9" t="n">
        <f aca="false">IF(U582="SERVICE READY",1,0)</f>
        <v>0</v>
      </c>
      <c r="W582" s="6"/>
      <c r="X582" s="6"/>
      <c r="Y582" s="6"/>
      <c r="Z582" s="6"/>
    </row>
    <row r="583" customFormat="false" ht="15" hidden="false" customHeight="false" outlineLevel="0" collapsed="false">
      <c r="A583" s="9" t="s">
        <v>800</v>
      </c>
      <c r="B583" s="9" t="s">
        <v>771</v>
      </c>
      <c r="C583" s="9" t="s">
        <v>772</v>
      </c>
      <c r="D583" s="9" t="s">
        <v>619</v>
      </c>
      <c r="E583" s="9" t="s">
        <v>773</v>
      </c>
      <c r="F583" s="9" t="s">
        <v>211</v>
      </c>
      <c r="G583" s="9" t="s">
        <v>201</v>
      </c>
      <c r="H583" s="9" t="n">
        <v>1300</v>
      </c>
      <c r="I583" s="29" t="n">
        <v>1.8</v>
      </c>
      <c r="J583" s="9" t="n">
        <v>1</v>
      </c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21" t="str">
        <f aca="false">IF(COUNT(K583:T583)=0,"SOURCE EMPTY / INDUSTRIAL ONLY",IF(MIN(K583:T583)=1,"SERVICE READY","HOLD"))</f>
        <v>SOURCE EMPTY / INDUSTRIAL ONLY</v>
      </c>
      <c r="V583" s="9" t="n">
        <f aca="false">IF(U583="SERVICE READY",1,0)</f>
        <v>0</v>
      </c>
      <c r="W583" s="6"/>
      <c r="X583" s="6"/>
      <c r="Y583" s="6"/>
      <c r="Z583" s="6"/>
    </row>
    <row r="584" customFormat="false" ht="15" hidden="false" customHeight="false" outlineLevel="0" collapsed="false">
      <c r="A584" s="9" t="s">
        <v>801</v>
      </c>
      <c r="B584" s="9" t="s">
        <v>771</v>
      </c>
      <c r="C584" s="9" t="s">
        <v>772</v>
      </c>
      <c r="D584" s="9" t="s">
        <v>619</v>
      </c>
      <c r="E584" s="9" t="s">
        <v>773</v>
      </c>
      <c r="F584" s="9" t="s">
        <v>197</v>
      </c>
      <c r="G584" s="9" t="s">
        <v>198</v>
      </c>
      <c r="H584" s="9" t="n">
        <v>1300</v>
      </c>
      <c r="I584" s="29" t="n">
        <v>1.8</v>
      </c>
      <c r="J584" s="9" t="n">
        <v>1</v>
      </c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21" t="str">
        <f aca="false">IF(COUNT(K584:T584)=0,"SOURCE EMPTY / INDUSTRIAL ONLY",IF(MIN(K584:T584)=1,"SERVICE READY","HOLD"))</f>
        <v>SOURCE EMPTY / INDUSTRIAL ONLY</v>
      </c>
      <c r="V584" s="9" t="n">
        <f aca="false">IF(U584="SERVICE READY",1,0)</f>
        <v>0</v>
      </c>
      <c r="W584" s="6"/>
      <c r="X584" s="6"/>
      <c r="Y584" s="6"/>
      <c r="Z584" s="6"/>
    </row>
    <row r="585" customFormat="false" ht="15" hidden="false" customHeight="false" outlineLevel="0" collapsed="false">
      <c r="A585" s="9" t="s">
        <v>802</v>
      </c>
      <c r="B585" s="9" t="s">
        <v>771</v>
      </c>
      <c r="C585" s="9" t="s">
        <v>772</v>
      </c>
      <c r="D585" s="9" t="s">
        <v>619</v>
      </c>
      <c r="E585" s="9" t="s">
        <v>773</v>
      </c>
      <c r="F585" s="9" t="s">
        <v>200</v>
      </c>
      <c r="G585" s="9" t="s">
        <v>201</v>
      </c>
      <c r="H585" s="9" t="n">
        <v>1300</v>
      </c>
      <c r="I585" s="29" t="n">
        <v>1.8</v>
      </c>
      <c r="J585" s="9" t="n">
        <v>1</v>
      </c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21" t="str">
        <f aca="false">IF(COUNT(K585:T585)=0,"SOURCE EMPTY / INDUSTRIAL ONLY",IF(MIN(K585:T585)=1,"SERVICE READY","HOLD"))</f>
        <v>SOURCE EMPTY / INDUSTRIAL ONLY</v>
      </c>
      <c r="V585" s="9" t="n">
        <f aca="false">IF(U585="SERVICE READY",1,0)</f>
        <v>0</v>
      </c>
      <c r="W585" s="6"/>
      <c r="X585" s="6"/>
      <c r="Y585" s="6"/>
      <c r="Z585" s="6"/>
    </row>
    <row r="586" customFormat="false" ht="15" hidden="false" customHeight="false" outlineLevel="0" collapsed="false">
      <c r="A586" s="9" t="s">
        <v>803</v>
      </c>
      <c r="B586" s="9" t="s">
        <v>771</v>
      </c>
      <c r="C586" s="9" t="s">
        <v>772</v>
      </c>
      <c r="D586" s="9" t="s">
        <v>619</v>
      </c>
      <c r="E586" s="9" t="s">
        <v>773</v>
      </c>
      <c r="F586" s="9" t="s">
        <v>203</v>
      </c>
      <c r="G586" s="9" t="s">
        <v>221</v>
      </c>
      <c r="H586" s="9" t="n">
        <v>1300</v>
      </c>
      <c r="I586" s="29" t="n">
        <v>1.8</v>
      </c>
      <c r="J586" s="9" t="n">
        <v>1</v>
      </c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21" t="str">
        <f aca="false">IF(COUNT(K586:T586)=0,"SOURCE EMPTY / INDUSTRIAL ONLY",IF(MIN(K586:T586)=1,"SERVICE READY","HOLD"))</f>
        <v>SOURCE EMPTY / INDUSTRIAL ONLY</v>
      </c>
      <c r="V586" s="9" t="n">
        <f aca="false">IF(U586="SERVICE READY",1,0)</f>
        <v>0</v>
      </c>
      <c r="W586" s="6"/>
      <c r="X586" s="6"/>
      <c r="Y586" s="6"/>
      <c r="Z586" s="6"/>
    </row>
    <row r="587" customFormat="false" ht="15" hidden="false" customHeight="false" outlineLevel="0" collapsed="false">
      <c r="A587" s="9" t="s">
        <v>804</v>
      </c>
      <c r="B587" s="9" t="s">
        <v>771</v>
      </c>
      <c r="C587" s="9" t="s">
        <v>772</v>
      </c>
      <c r="D587" s="9" t="s">
        <v>619</v>
      </c>
      <c r="E587" s="9" t="s">
        <v>773</v>
      </c>
      <c r="F587" s="9" t="s">
        <v>205</v>
      </c>
      <c r="G587" s="9" t="s">
        <v>221</v>
      </c>
      <c r="H587" s="9" t="n">
        <v>1300</v>
      </c>
      <c r="I587" s="29" t="n">
        <v>1.8</v>
      </c>
      <c r="J587" s="9" t="n">
        <v>1</v>
      </c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21" t="str">
        <f aca="false">IF(COUNT(K587:T587)=0,"SOURCE EMPTY / INDUSTRIAL ONLY",IF(MIN(K587:T587)=1,"SERVICE READY","HOLD"))</f>
        <v>SOURCE EMPTY / INDUSTRIAL ONLY</v>
      </c>
      <c r="V587" s="9" t="n">
        <f aca="false">IF(U587="SERVICE READY",1,0)</f>
        <v>0</v>
      </c>
      <c r="W587" s="6"/>
      <c r="X587" s="6"/>
      <c r="Y587" s="6"/>
      <c r="Z587" s="6"/>
    </row>
    <row r="588" customFormat="false" ht="15" hidden="false" customHeight="false" outlineLevel="0" collapsed="false">
      <c r="A588" s="9" t="s">
        <v>805</v>
      </c>
      <c r="B588" s="9" t="s">
        <v>771</v>
      </c>
      <c r="C588" s="9" t="s">
        <v>772</v>
      </c>
      <c r="D588" s="9" t="s">
        <v>619</v>
      </c>
      <c r="E588" s="9" t="s">
        <v>773</v>
      </c>
      <c r="F588" s="9" t="s">
        <v>207</v>
      </c>
      <c r="G588" s="9" t="s">
        <v>221</v>
      </c>
      <c r="H588" s="9" t="n">
        <v>1300</v>
      </c>
      <c r="I588" s="29" t="n">
        <v>1.8</v>
      </c>
      <c r="J588" s="9" t="n">
        <v>1</v>
      </c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21" t="str">
        <f aca="false">IF(COUNT(K588:T588)=0,"SOURCE EMPTY / INDUSTRIAL ONLY",IF(MIN(K588:T588)=1,"SERVICE READY","HOLD"))</f>
        <v>SOURCE EMPTY / INDUSTRIAL ONLY</v>
      </c>
      <c r="V588" s="9" t="n">
        <f aca="false">IF(U588="SERVICE READY",1,0)</f>
        <v>0</v>
      </c>
      <c r="W588" s="6"/>
      <c r="X588" s="6"/>
      <c r="Y588" s="6"/>
      <c r="Z588" s="6"/>
    </row>
    <row r="589" customFormat="false" ht="15" hidden="false" customHeight="false" outlineLevel="0" collapsed="false">
      <c r="A589" s="9" t="s">
        <v>806</v>
      </c>
      <c r="B589" s="9" t="s">
        <v>771</v>
      </c>
      <c r="C589" s="9" t="s">
        <v>772</v>
      </c>
      <c r="D589" s="9" t="s">
        <v>619</v>
      </c>
      <c r="E589" s="9" t="s">
        <v>773</v>
      </c>
      <c r="F589" s="9" t="s">
        <v>209</v>
      </c>
      <c r="G589" s="9" t="s">
        <v>221</v>
      </c>
      <c r="H589" s="9" t="n">
        <v>1300</v>
      </c>
      <c r="I589" s="29" t="n">
        <v>1.8</v>
      </c>
      <c r="J589" s="9" t="n">
        <v>1</v>
      </c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21" t="str">
        <f aca="false">IF(COUNT(K589:T589)=0,"SOURCE EMPTY / INDUSTRIAL ONLY",IF(MIN(K589:T589)=1,"SERVICE READY","HOLD"))</f>
        <v>SOURCE EMPTY / INDUSTRIAL ONLY</v>
      </c>
      <c r="V589" s="9" t="n">
        <f aca="false">IF(U589="SERVICE READY",1,0)</f>
        <v>0</v>
      </c>
      <c r="W589" s="6"/>
      <c r="X589" s="6"/>
      <c r="Y589" s="6"/>
      <c r="Z589" s="6"/>
    </row>
    <row r="590" customFormat="false" ht="15" hidden="false" customHeight="false" outlineLevel="0" collapsed="false">
      <c r="A590" s="9" t="s">
        <v>807</v>
      </c>
      <c r="B590" s="9" t="s">
        <v>771</v>
      </c>
      <c r="C590" s="9" t="s">
        <v>772</v>
      </c>
      <c r="D590" s="9" t="s">
        <v>619</v>
      </c>
      <c r="E590" s="9" t="s">
        <v>773</v>
      </c>
      <c r="F590" s="9" t="s">
        <v>211</v>
      </c>
      <c r="G590" s="9" t="s">
        <v>221</v>
      </c>
      <c r="H590" s="9" t="n">
        <v>1300</v>
      </c>
      <c r="I590" s="29" t="n">
        <v>1.8</v>
      </c>
      <c r="J590" s="9" t="n">
        <v>1</v>
      </c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21" t="str">
        <f aca="false">IF(COUNT(K590:T590)=0,"SOURCE EMPTY / INDUSTRIAL ONLY",IF(MIN(K590:T590)=1,"SERVICE READY","HOLD"))</f>
        <v>SOURCE EMPTY / INDUSTRIAL ONLY</v>
      </c>
      <c r="V590" s="9" t="n">
        <f aca="false">IF(U590="SERVICE READY",1,0)</f>
        <v>0</v>
      </c>
      <c r="W590" s="6"/>
      <c r="X590" s="6"/>
      <c r="Y590" s="6"/>
      <c r="Z590" s="6"/>
    </row>
    <row r="591" customFormat="false" ht="15" hidden="false" customHeight="false" outlineLevel="0" collapsed="false">
      <c r="A591" s="9" t="s">
        <v>808</v>
      </c>
      <c r="B591" s="9" t="s">
        <v>771</v>
      </c>
      <c r="C591" s="9" t="s">
        <v>772</v>
      </c>
      <c r="D591" s="9" t="s">
        <v>619</v>
      </c>
      <c r="E591" s="9" t="s">
        <v>773</v>
      </c>
      <c r="F591" s="9" t="s">
        <v>197</v>
      </c>
      <c r="G591" s="9" t="s">
        <v>221</v>
      </c>
      <c r="H591" s="9" t="n">
        <v>1300</v>
      </c>
      <c r="I591" s="29" t="n">
        <v>1.8</v>
      </c>
      <c r="J591" s="9" t="n">
        <v>1</v>
      </c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21" t="str">
        <f aca="false">IF(COUNT(K591:T591)=0,"SOURCE EMPTY / INDUSTRIAL ONLY",IF(MIN(K591:T591)=1,"SERVICE READY","HOLD"))</f>
        <v>SOURCE EMPTY / INDUSTRIAL ONLY</v>
      </c>
      <c r="V591" s="9" t="n">
        <f aca="false">IF(U591="SERVICE READY",1,0)</f>
        <v>0</v>
      </c>
      <c r="W591" s="6"/>
      <c r="X591" s="6"/>
      <c r="Y591" s="6"/>
      <c r="Z591" s="6"/>
    </row>
    <row r="592" customFormat="false" ht="15" hidden="false" customHeight="false" outlineLevel="0" collapsed="false">
      <c r="A592" s="9" t="s">
        <v>809</v>
      </c>
      <c r="B592" s="9" t="s">
        <v>771</v>
      </c>
      <c r="C592" s="9" t="s">
        <v>772</v>
      </c>
      <c r="D592" s="9" t="s">
        <v>619</v>
      </c>
      <c r="E592" s="9" t="s">
        <v>773</v>
      </c>
      <c r="F592" s="9" t="s">
        <v>200</v>
      </c>
      <c r="G592" s="9" t="s">
        <v>221</v>
      </c>
      <c r="H592" s="9" t="n">
        <v>1300</v>
      </c>
      <c r="I592" s="29" t="n">
        <v>1.8</v>
      </c>
      <c r="J592" s="9" t="n">
        <v>1</v>
      </c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21" t="str">
        <f aca="false">IF(COUNT(K592:T592)=0,"SOURCE EMPTY / INDUSTRIAL ONLY",IF(MIN(K592:T592)=1,"SERVICE READY","HOLD"))</f>
        <v>SOURCE EMPTY / INDUSTRIAL ONLY</v>
      </c>
      <c r="V592" s="9" t="n">
        <f aca="false">IF(U592="SERVICE READY",1,0)</f>
        <v>0</v>
      </c>
      <c r="W592" s="6"/>
      <c r="X592" s="6"/>
      <c r="Y592" s="6"/>
      <c r="Z592" s="6"/>
    </row>
    <row r="593" customFormat="false" ht="15" hidden="false" customHeight="false" outlineLevel="0" collapsed="false">
      <c r="A593" s="9" t="s">
        <v>810</v>
      </c>
      <c r="B593" s="9" t="s">
        <v>771</v>
      </c>
      <c r="C593" s="9" t="s">
        <v>772</v>
      </c>
      <c r="D593" s="9" t="s">
        <v>619</v>
      </c>
      <c r="E593" s="9" t="s">
        <v>773</v>
      </c>
      <c r="F593" s="9" t="s">
        <v>203</v>
      </c>
      <c r="G593" s="9" t="s">
        <v>221</v>
      </c>
      <c r="H593" s="9" t="n">
        <v>1300</v>
      </c>
      <c r="I593" s="29" t="n">
        <v>1.8</v>
      </c>
      <c r="J593" s="9" t="n">
        <v>1</v>
      </c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21" t="str">
        <f aca="false">IF(COUNT(K593:T593)=0,"SOURCE EMPTY / INDUSTRIAL ONLY",IF(MIN(K593:T593)=1,"SERVICE READY","HOLD"))</f>
        <v>SOURCE EMPTY / INDUSTRIAL ONLY</v>
      </c>
      <c r="V593" s="9" t="n">
        <f aca="false">IF(U593="SERVICE READY",1,0)</f>
        <v>0</v>
      </c>
      <c r="W593" s="6"/>
      <c r="X593" s="6"/>
      <c r="Y593" s="6"/>
      <c r="Z593" s="6"/>
    </row>
    <row r="594" customFormat="false" ht="15" hidden="false" customHeight="false" outlineLevel="0" collapsed="false">
      <c r="A594" s="9" t="s">
        <v>811</v>
      </c>
      <c r="B594" s="9" t="s">
        <v>771</v>
      </c>
      <c r="C594" s="9" t="s">
        <v>772</v>
      </c>
      <c r="D594" s="9" t="s">
        <v>619</v>
      </c>
      <c r="E594" s="9" t="s">
        <v>773</v>
      </c>
      <c r="F594" s="9" t="s">
        <v>205</v>
      </c>
      <c r="G594" s="9" t="s">
        <v>221</v>
      </c>
      <c r="H594" s="9" t="n">
        <v>1300</v>
      </c>
      <c r="I594" s="29" t="n">
        <v>1.8</v>
      </c>
      <c r="J594" s="9" t="n">
        <v>1</v>
      </c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21" t="str">
        <f aca="false">IF(COUNT(K594:T594)=0,"SOURCE EMPTY / INDUSTRIAL ONLY",IF(MIN(K594:T594)=1,"SERVICE READY","HOLD"))</f>
        <v>SOURCE EMPTY / INDUSTRIAL ONLY</v>
      </c>
      <c r="V594" s="9" t="n">
        <f aca="false">IF(U594="SERVICE READY",1,0)</f>
        <v>0</v>
      </c>
      <c r="W594" s="6"/>
      <c r="X594" s="6"/>
      <c r="Y594" s="6"/>
      <c r="Z594" s="6"/>
    </row>
    <row r="595" customFormat="false" ht="15" hidden="false" customHeight="false" outlineLevel="0" collapsed="false">
      <c r="A595" s="9" t="s">
        <v>812</v>
      </c>
      <c r="B595" s="9" t="s">
        <v>771</v>
      </c>
      <c r="C595" s="9" t="s">
        <v>772</v>
      </c>
      <c r="D595" s="9" t="s">
        <v>619</v>
      </c>
      <c r="E595" s="9" t="s">
        <v>773</v>
      </c>
      <c r="F595" s="9" t="s">
        <v>207</v>
      </c>
      <c r="G595" s="9" t="s">
        <v>221</v>
      </c>
      <c r="H595" s="9" t="n">
        <v>1300</v>
      </c>
      <c r="I595" s="29" t="n">
        <v>1.8</v>
      </c>
      <c r="J595" s="9" t="n">
        <v>1</v>
      </c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21" t="str">
        <f aca="false">IF(COUNT(K595:T595)=0,"SOURCE EMPTY / INDUSTRIAL ONLY",IF(MIN(K595:T595)=1,"SERVICE READY","HOLD"))</f>
        <v>SOURCE EMPTY / INDUSTRIAL ONLY</v>
      </c>
      <c r="V595" s="9" t="n">
        <f aca="false">IF(U595="SERVICE READY",1,0)</f>
        <v>0</v>
      </c>
      <c r="W595" s="6"/>
      <c r="X595" s="6"/>
      <c r="Y595" s="6"/>
      <c r="Z595" s="6"/>
    </row>
    <row r="596" customFormat="false" ht="15" hidden="false" customHeight="false" outlineLevel="0" collapsed="false">
      <c r="A596" s="9" t="s">
        <v>813</v>
      </c>
      <c r="B596" s="9" t="s">
        <v>771</v>
      </c>
      <c r="C596" s="9" t="s">
        <v>772</v>
      </c>
      <c r="D596" s="9" t="s">
        <v>619</v>
      </c>
      <c r="E596" s="9" t="s">
        <v>773</v>
      </c>
      <c r="F596" s="9" t="s">
        <v>209</v>
      </c>
      <c r="G596" s="9" t="s">
        <v>221</v>
      </c>
      <c r="H596" s="9" t="n">
        <v>1300</v>
      </c>
      <c r="I596" s="29" t="n">
        <v>1.8</v>
      </c>
      <c r="J596" s="9" t="n">
        <v>1</v>
      </c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21" t="str">
        <f aca="false">IF(COUNT(K596:T596)=0,"SOURCE EMPTY / INDUSTRIAL ONLY",IF(MIN(K596:T596)=1,"SERVICE READY","HOLD"))</f>
        <v>SOURCE EMPTY / INDUSTRIAL ONLY</v>
      </c>
      <c r="V596" s="9" t="n">
        <f aca="false">IF(U596="SERVICE READY",1,0)</f>
        <v>0</v>
      </c>
      <c r="W596" s="6"/>
      <c r="X596" s="6"/>
      <c r="Y596" s="6"/>
      <c r="Z596" s="6"/>
    </row>
    <row r="597" customFormat="false" ht="15" hidden="false" customHeight="false" outlineLevel="0" collapsed="false">
      <c r="A597" s="9" t="s">
        <v>814</v>
      </c>
      <c r="B597" s="9" t="s">
        <v>771</v>
      </c>
      <c r="C597" s="9" t="s">
        <v>772</v>
      </c>
      <c r="D597" s="9" t="s">
        <v>619</v>
      </c>
      <c r="E597" s="9" t="s">
        <v>773</v>
      </c>
      <c r="F597" s="9" t="s">
        <v>211</v>
      </c>
      <c r="G597" s="9" t="s">
        <v>221</v>
      </c>
      <c r="H597" s="9" t="n">
        <v>1300</v>
      </c>
      <c r="I597" s="29" t="n">
        <v>1.8</v>
      </c>
      <c r="J597" s="9" t="n">
        <v>1</v>
      </c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21" t="str">
        <f aca="false">IF(COUNT(K597:T597)=0,"SOURCE EMPTY / INDUSTRIAL ONLY",IF(MIN(K597:T597)=1,"SERVICE READY","HOLD"))</f>
        <v>SOURCE EMPTY / INDUSTRIAL ONLY</v>
      </c>
      <c r="V597" s="9" t="n">
        <f aca="false">IF(U597="SERVICE READY",1,0)</f>
        <v>0</v>
      </c>
      <c r="W597" s="6"/>
      <c r="X597" s="6"/>
      <c r="Y597" s="6"/>
      <c r="Z597" s="6"/>
    </row>
    <row r="598" customFormat="false" ht="15" hidden="false" customHeight="false" outlineLevel="0" collapsed="false">
      <c r="A598" s="9" t="s">
        <v>815</v>
      </c>
      <c r="B598" s="9" t="s">
        <v>771</v>
      </c>
      <c r="C598" s="9" t="s">
        <v>772</v>
      </c>
      <c r="D598" s="9" t="s">
        <v>619</v>
      </c>
      <c r="E598" s="9" t="s">
        <v>773</v>
      </c>
      <c r="F598" s="9" t="s">
        <v>197</v>
      </c>
      <c r="G598" s="9" t="s">
        <v>221</v>
      </c>
      <c r="H598" s="9" t="n">
        <v>1300</v>
      </c>
      <c r="I598" s="29" t="n">
        <v>1.8</v>
      </c>
      <c r="J598" s="9" t="n">
        <v>1</v>
      </c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21" t="str">
        <f aca="false">IF(COUNT(K598:T598)=0,"SOURCE EMPTY / INDUSTRIAL ONLY",IF(MIN(K598:T598)=1,"SERVICE READY","HOLD"))</f>
        <v>SOURCE EMPTY / INDUSTRIAL ONLY</v>
      </c>
      <c r="V598" s="9" t="n">
        <f aca="false">IF(U598="SERVICE READY",1,0)</f>
        <v>0</v>
      </c>
      <c r="W598" s="6"/>
      <c r="X598" s="6"/>
      <c r="Y598" s="6"/>
      <c r="Z598" s="6"/>
    </row>
    <row r="599" customFormat="false" ht="15" hidden="false" customHeight="false" outlineLevel="0" collapsed="false">
      <c r="A599" s="9" t="s">
        <v>816</v>
      </c>
      <c r="B599" s="9" t="s">
        <v>771</v>
      </c>
      <c r="C599" s="9" t="s">
        <v>772</v>
      </c>
      <c r="D599" s="9" t="s">
        <v>619</v>
      </c>
      <c r="E599" s="9" t="s">
        <v>773</v>
      </c>
      <c r="F599" s="9" t="s">
        <v>200</v>
      </c>
      <c r="G599" s="9" t="s">
        <v>221</v>
      </c>
      <c r="H599" s="9" t="n">
        <v>1300</v>
      </c>
      <c r="I599" s="29" t="n">
        <v>1.8</v>
      </c>
      <c r="J599" s="9" t="n">
        <v>1</v>
      </c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21" t="str">
        <f aca="false">IF(COUNT(K599:T599)=0,"SOURCE EMPTY / INDUSTRIAL ONLY",IF(MIN(K599:T599)=1,"SERVICE READY","HOLD"))</f>
        <v>SOURCE EMPTY / INDUSTRIAL ONLY</v>
      </c>
      <c r="V599" s="9" t="n">
        <f aca="false">IF(U599="SERVICE READY",1,0)</f>
        <v>0</v>
      </c>
      <c r="W599" s="6"/>
      <c r="X599" s="6"/>
      <c r="Y599" s="6"/>
      <c r="Z599" s="6"/>
    </row>
    <row r="600" customFormat="false" ht="15" hidden="false" customHeight="false" outlineLevel="0" collapsed="false">
      <c r="A600" s="9" t="s">
        <v>817</v>
      </c>
      <c r="B600" s="9" t="s">
        <v>771</v>
      </c>
      <c r="C600" s="9" t="s">
        <v>772</v>
      </c>
      <c r="D600" s="9" t="s">
        <v>619</v>
      </c>
      <c r="E600" s="9" t="s">
        <v>773</v>
      </c>
      <c r="F600" s="9" t="s">
        <v>203</v>
      </c>
      <c r="G600" s="9" t="s">
        <v>221</v>
      </c>
      <c r="H600" s="9" t="n">
        <v>1300</v>
      </c>
      <c r="I600" s="29" t="n">
        <v>1.8</v>
      </c>
      <c r="J600" s="9" t="n">
        <v>1</v>
      </c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21" t="str">
        <f aca="false">IF(COUNT(K600:T600)=0,"SOURCE EMPTY / INDUSTRIAL ONLY",IF(MIN(K600:T600)=1,"SERVICE READY","HOLD"))</f>
        <v>SOURCE EMPTY / INDUSTRIAL ONLY</v>
      </c>
      <c r="V600" s="9" t="n">
        <f aca="false">IF(U600="SERVICE READY",1,0)</f>
        <v>0</v>
      </c>
      <c r="W600" s="6"/>
      <c r="X600" s="6"/>
      <c r="Y600" s="6"/>
      <c r="Z600" s="6"/>
    </row>
    <row r="601" customFormat="false" ht="15" hidden="false" customHeight="false" outlineLevel="0" collapsed="false">
      <c r="A601" s="9" t="s">
        <v>818</v>
      </c>
      <c r="B601" s="9" t="s">
        <v>771</v>
      </c>
      <c r="C601" s="9" t="s">
        <v>772</v>
      </c>
      <c r="D601" s="9" t="s">
        <v>619</v>
      </c>
      <c r="E601" s="9" t="s">
        <v>773</v>
      </c>
      <c r="F601" s="9" t="s">
        <v>205</v>
      </c>
      <c r="G601" s="9" t="s">
        <v>221</v>
      </c>
      <c r="H601" s="9" t="n">
        <v>1300</v>
      </c>
      <c r="I601" s="29" t="n">
        <v>1.8</v>
      </c>
      <c r="J601" s="9" t="n">
        <v>1</v>
      </c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21" t="str">
        <f aca="false">IF(COUNT(K601:T601)=0,"SOURCE EMPTY / INDUSTRIAL ONLY",IF(MIN(K601:T601)=1,"SERVICE READY","HOLD"))</f>
        <v>SOURCE EMPTY / INDUSTRIAL ONLY</v>
      </c>
      <c r="V601" s="9" t="n">
        <f aca="false">IF(U601="SERVICE READY",1,0)</f>
        <v>0</v>
      </c>
      <c r="W601" s="6"/>
      <c r="X601" s="6"/>
      <c r="Y601" s="6"/>
      <c r="Z601" s="6"/>
    </row>
    <row r="602" customFormat="false" ht="15" hidden="false" customHeight="false" outlineLevel="0" collapsed="false">
      <c r="A602" s="9" t="s">
        <v>819</v>
      </c>
      <c r="B602" s="9" t="s">
        <v>771</v>
      </c>
      <c r="C602" s="9" t="s">
        <v>772</v>
      </c>
      <c r="D602" s="9" t="s">
        <v>619</v>
      </c>
      <c r="E602" s="9" t="s">
        <v>773</v>
      </c>
      <c r="F602" s="9" t="s">
        <v>207</v>
      </c>
      <c r="G602" s="9" t="s">
        <v>221</v>
      </c>
      <c r="H602" s="9" t="n">
        <v>1300</v>
      </c>
      <c r="I602" s="29" t="n">
        <v>1.8</v>
      </c>
      <c r="J602" s="9" t="n">
        <v>1</v>
      </c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21" t="str">
        <f aca="false">IF(COUNT(K602:T602)=0,"SOURCE EMPTY / INDUSTRIAL ONLY",IF(MIN(K602:T602)=1,"SERVICE READY","HOLD"))</f>
        <v>SOURCE EMPTY / INDUSTRIAL ONLY</v>
      </c>
      <c r="V602" s="9" t="n">
        <f aca="false">IF(U602="SERVICE READY",1,0)</f>
        <v>0</v>
      </c>
      <c r="W602" s="6"/>
      <c r="X602" s="6"/>
      <c r="Y602" s="6"/>
      <c r="Z602" s="6"/>
    </row>
    <row r="603" customFormat="false" ht="15" hidden="false" customHeight="false" outlineLevel="0" collapsed="false">
      <c r="A603" s="9" t="s">
        <v>820</v>
      </c>
      <c r="B603" s="9" t="s">
        <v>771</v>
      </c>
      <c r="C603" s="9" t="s">
        <v>772</v>
      </c>
      <c r="D603" s="9" t="s">
        <v>619</v>
      </c>
      <c r="E603" s="9" t="s">
        <v>773</v>
      </c>
      <c r="F603" s="9" t="s">
        <v>209</v>
      </c>
      <c r="G603" s="9" t="s">
        <v>221</v>
      </c>
      <c r="H603" s="9" t="n">
        <v>1300</v>
      </c>
      <c r="I603" s="29" t="n">
        <v>1.8</v>
      </c>
      <c r="J603" s="9" t="n">
        <v>1</v>
      </c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21" t="str">
        <f aca="false">IF(COUNT(K603:T603)=0,"SOURCE EMPTY / INDUSTRIAL ONLY",IF(MIN(K603:T603)=1,"SERVICE READY","HOLD"))</f>
        <v>SOURCE EMPTY / INDUSTRIAL ONLY</v>
      </c>
      <c r="V603" s="9" t="n">
        <f aca="false">IF(U603="SERVICE READY",1,0)</f>
        <v>0</v>
      </c>
      <c r="W603" s="6"/>
      <c r="X603" s="6"/>
      <c r="Y603" s="6"/>
      <c r="Z603" s="6"/>
    </row>
    <row r="604" customFormat="false" ht="15" hidden="false" customHeight="false" outlineLevel="0" collapsed="false">
      <c r="A604" s="9" t="s">
        <v>821</v>
      </c>
      <c r="B604" s="9" t="s">
        <v>771</v>
      </c>
      <c r="C604" s="9" t="s">
        <v>772</v>
      </c>
      <c r="D604" s="9" t="s">
        <v>619</v>
      </c>
      <c r="E604" s="9" t="s">
        <v>773</v>
      </c>
      <c r="F604" s="9" t="s">
        <v>211</v>
      </c>
      <c r="G604" s="9" t="s">
        <v>221</v>
      </c>
      <c r="H604" s="9" t="n">
        <v>1300</v>
      </c>
      <c r="I604" s="29" t="n">
        <v>1.8</v>
      </c>
      <c r="J604" s="9" t="n">
        <v>1</v>
      </c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21" t="str">
        <f aca="false">IF(COUNT(K604:T604)=0,"SOURCE EMPTY / INDUSTRIAL ONLY",IF(MIN(K604:T604)=1,"SERVICE READY","HOLD"))</f>
        <v>SOURCE EMPTY / INDUSTRIAL ONLY</v>
      </c>
      <c r="V604" s="9" t="n">
        <f aca="false">IF(U604="SERVICE READY",1,0)</f>
        <v>0</v>
      </c>
      <c r="W604" s="6"/>
      <c r="X604" s="6"/>
      <c r="Y604" s="6"/>
      <c r="Z604" s="6"/>
    </row>
    <row r="605" customFormat="false" ht="15" hidden="false" customHeight="false" outlineLevel="0" collapsed="false">
      <c r="A605" s="9" t="s">
        <v>822</v>
      </c>
      <c r="B605" s="9" t="s">
        <v>771</v>
      </c>
      <c r="C605" s="9" t="s">
        <v>772</v>
      </c>
      <c r="D605" s="9" t="s">
        <v>619</v>
      </c>
      <c r="E605" s="9" t="s">
        <v>773</v>
      </c>
      <c r="F605" s="9" t="s">
        <v>197</v>
      </c>
      <c r="G605" s="9" t="s">
        <v>221</v>
      </c>
      <c r="H605" s="9" t="n">
        <v>1300</v>
      </c>
      <c r="I605" s="29" t="n">
        <v>1.8</v>
      </c>
      <c r="J605" s="9" t="n">
        <v>1</v>
      </c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21" t="str">
        <f aca="false">IF(COUNT(K605:T605)=0,"SOURCE EMPTY / INDUSTRIAL ONLY",IF(MIN(K605:T605)=1,"SERVICE READY","HOLD"))</f>
        <v>SOURCE EMPTY / INDUSTRIAL ONLY</v>
      </c>
      <c r="V605" s="9" t="n">
        <f aca="false">IF(U605="SERVICE READY",1,0)</f>
        <v>0</v>
      </c>
      <c r="W605" s="6"/>
      <c r="X605" s="6"/>
      <c r="Y605" s="6"/>
      <c r="Z605" s="6"/>
    </row>
    <row r="606" customFormat="false" ht="15" hidden="false" customHeight="false" outlineLevel="0" collapsed="false">
      <c r="A606" s="9" t="s">
        <v>823</v>
      </c>
      <c r="B606" s="9" t="s">
        <v>771</v>
      </c>
      <c r="C606" s="9" t="s">
        <v>772</v>
      </c>
      <c r="D606" s="9" t="s">
        <v>619</v>
      </c>
      <c r="E606" s="9" t="s">
        <v>773</v>
      </c>
      <c r="F606" s="9" t="s">
        <v>200</v>
      </c>
      <c r="G606" s="9" t="s">
        <v>221</v>
      </c>
      <c r="H606" s="9" t="n">
        <v>1300</v>
      </c>
      <c r="I606" s="29" t="n">
        <v>1.8</v>
      </c>
      <c r="J606" s="9" t="n">
        <v>1</v>
      </c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21" t="str">
        <f aca="false">IF(COUNT(K606:T606)=0,"SOURCE EMPTY / INDUSTRIAL ONLY",IF(MIN(K606:T606)=1,"SERVICE READY","HOLD"))</f>
        <v>SOURCE EMPTY / INDUSTRIAL ONLY</v>
      </c>
      <c r="V606" s="9" t="n">
        <f aca="false">IF(U606="SERVICE READY",1,0)</f>
        <v>0</v>
      </c>
      <c r="W606" s="6"/>
      <c r="X606" s="6"/>
      <c r="Y606" s="6"/>
      <c r="Z606" s="6"/>
    </row>
    <row r="607" customFormat="false" ht="15" hidden="false" customHeight="false" outlineLevel="0" collapsed="false">
      <c r="A607" s="9" t="s">
        <v>824</v>
      </c>
      <c r="B607" s="9" t="s">
        <v>771</v>
      </c>
      <c r="C607" s="9" t="s">
        <v>772</v>
      </c>
      <c r="D607" s="9" t="s">
        <v>619</v>
      </c>
      <c r="E607" s="9" t="s">
        <v>773</v>
      </c>
      <c r="F607" s="9" t="s">
        <v>203</v>
      </c>
      <c r="G607" s="9" t="s">
        <v>221</v>
      </c>
      <c r="H607" s="9" t="n">
        <v>1300</v>
      </c>
      <c r="I607" s="29" t="n">
        <v>1.8</v>
      </c>
      <c r="J607" s="9" t="n">
        <v>1</v>
      </c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21" t="str">
        <f aca="false">IF(COUNT(K607:T607)=0,"SOURCE EMPTY / INDUSTRIAL ONLY",IF(MIN(K607:T607)=1,"SERVICE READY","HOLD"))</f>
        <v>SOURCE EMPTY / INDUSTRIAL ONLY</v>
      </c>
      <c r="V607" s="9" t="n">
        <f aca="false">IF(U607="SERVICE READY",1,0)</f>
        <v>0</v>
      </c>
      <c r="W607" s="6"/>
      <c r="X607" s="6"/>
      <c r="Y607" s="6"/>
      <c r="Z607" s="6"/>
    </row>
    <row r="608" customFormat="false" ht="15" hidden="false" customHeight="false" outlineLevel="0" collapsed="false">
      <c r="A608" s="9" t="s">
        <v>825</v>
      </c>
      <c r="B608" s="9" t="s">
        <v>771</v>
      </c>
      <c r="C608" s="9" t="s">
        <v>772</v>
      </c>
      <c r="D608" s="9" t="s">
        <v>619</v>
      </c>
      <c r="E608" s="9" t="s">
        <v>773</v>
      </c>
      <c r="F608" s="9" t="s">
        <v>205</v>
      </c>
      <c r="G608" s="9" t="s">
        <v>221</v>
      </c>
      <c r="H608" s="9" t="n">
        <v>1300</v>
      </c>
      <c r="I608" s="29" t="n">
        <v>1.8</v>
      </c>
      <c r="J608" s="9" t="n">
        <v>1</v>
      </c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21" t="str">
        <f aca="false">IF(COUNT(K608:T608)=0,"SOURCE EMPTY / INDUSTRIAL ONLY",IF(MIN(K608:T608)=1,"SERVICE READY","HOLD"))</f>
        <v>SOURCE EMPTY / INDUSTRIAL ONLY</v>
      </c>
      <c r="V608" s="9" t="n">
        <f aca="false">IF(U608="SERVICE READY",1,0)</f>
        <v>0</v>
      </c>
      <c r="W608" s="6"/>
      <c r="X608" s="6"/>
      <c r="Y608" s="6"/>
      <c r="Z608" s="6"/>
    </row>
    <row r="609" customFormat="false" ht="15" hidden="false" customHeight="false" outlineLevel="0" collapsed="false">
      <c r="A609" s="9" t="s">
        <v>826</v>
      </c>
      <c r="B609" s="9" t="s">
        <v>771</v>
      </c>
      <c r="C609" s="9" t="s">
        <v>772</v>
      </c>
      <c r="D609" s="9" t="s">
        <v>619</v>
      </c>
      <c r="E609" s="9" t="s">
        <v>773</v>
      </c>
      <c r="F609" s="9" t="s">
        <v>207</v>
      </c>
      <c r="G609" s="9" t="s">
        <v>221</v>
      </c>
      <c r="H609" s="9" t="n">
        <v>1300</v>
      </c>
      <c r="I609" s="29" t="n">
        <v>1.8</v>
      </c>
      <c r="J609" s="9" t="n">
        <v>1</v>
      </c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21" t="str">
        <f aca="false">IF(COUNT(K609:T609)=0,"SOURCE EMPTY / INDUSTRIAL ONLY",IF(MIN(K609:T609)=1,"SERVICE READY","HOLD"))</f>
        <v>SOURCE EMPTY / INDUSTRIAL ONLY</v>
      </c>
      <c r="V609" s="9" t="n">
        <f aca="false">IF(U609="SERVICE READY",1,0)</f>
        <v>0</v>
      </c>
      <c r="W609" s="6"/>
      <c r="X609" s="6"/>
      <c r="Y609" s="6"/>
      <c r="Z609" s="6"/>
    </row>
    <row r="610" customFormat="false" ht="15" hidden="false" customHeight="false" outlineLevel="0" collapsed="false">
      <c r="A610" s="9" t="s">
        <v>827</v>
      </c>
      <c r="B610" s="9" t="s">
        <v>771</v>
      </c>
      <c r="C610" s="9" t="s">
        <v>772</v>
      </c>
      <c r="D610" s="9" t="s">
        <v>619</v>
      </c>
      <c r="E610" s="9" t="s">
        <v>773</v>
      </c>
      <c r="F610" s="9" t="s">
        <v>209</v>
      </c>
      <c r="G610" s="9" t="s">
        <v>221</v>
      </c>
      <c r="H610" s="9" t="n">
        <v>1300</v>
      </c>
      <c r="I610" s="29" t="n">
        <v>1.8</v>
      </c>
      <c r="J610" s="9" t="n">
        <v>1</v>
      </c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21" t="str">
        <f aca="false">IF(COUNT(K610:T610)=0,"SOURCE EMPTY / INDUSTRIAL ONLY",IF(MIN(K610:T610)=1,"SERVICE READY","HOLD"))</f>
        <v>SOURCE EMPTY / INDUSTRIAL ONLY</v>
      </c>
      <c r="V610" s="9" t="n">
        <f aca="false">IF(U610="SERVICE READY",1,0)</f>
        <v>0</v>
      </c>
      <c r="W610" s="6"/>
      <c r="X610" s="6"/>
      <c r="Y610" s="6"/>
      <c r="Z610" s="6"/>
    </row>
    <row r="611" customFormat="false" ht="15" hidden="false" customHeight="false" outlineLevel="0" collapsed="false">
      <c r="A611" s="9" t="s">
        <v>828</v>
      </c>
      <c r="B611" s="9" t="s">
        <v>771</v>
      </c>
      <c r="C611" s="9" t="s">
        <v>772</v>
      </c>
      <c r="D611" s="9" t="s">
        <v>619</v>
      </c>
      <c r="E611" s="9" t="s">
        <v>773</v>
      </c>
      <c r="F611" s="9" t="s">
        <v>211</v>
      </c>
      <c r="G611" s="9" t="s">
        <v>221</v>
      </c>
      <c r="H611" s="9" t="n">
        <v>1300</v>
      </c>
      <c r="I611" s="29" t="n">
        <v>1.8</v>
      </c>
      <c r="J611" s="9" t="n">
        <v>1</v>
      </c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21" t="str">
        <f aca="false">IF(COUNT(K611:T611)=0,"SOURCE EMPTY / INDUSTRIAL ONLY",IF(MIN(K611:T611)=1,"SERVICE READY","HOLD"))</f>
        <v>SOURCE EMPTY / INDUSTRIAL ONLY</v>
      </c>
      <c r="V611" s="9" t="n">
        <f aca="false">IF(U611="SERVICE READY",1,0)</f>
        <v>0</v>
      </c>
      <c r="W611" s="6"/>
      <c r="X611" s="6"/>
      <c r="Y611" s="6"/>
      <c r="Z611" s="6"/>
    </row>
    <row r="612" customFormat="false" ht="15" hidden="false" customHeight="false" outlineLevel="0" collapsed="false">
      <c r="A612" s="9" t="s">
        <v>829</v>
      </c>
      <c r="B612" s="9" t="s">
        <v>771</v>
      </c>
      <c r="C612" s="9" t="s">
        <v>772</v>
      </c>
      <c r="D612" s="9" t="s">
        <v>619</v>
      </c>
      <c r="E612" s="9" t="s">
        <v>773</v>
      </c>
      <c r="F612" s="9" t="s">
        <v>197</v>
      </c>
      <c r="G612" s="9" t="s">
        <v>221</v>
      </c>
      <c r="H612" s="9" t="n">
        <v>1300</v>
      </c>
      <c r="I612" s="29" t="n">
        <v>1.8</v>
      </c>
      <c r="J612" s="9" t="n">
        <v>1</v>
      </c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21" t="str">
        <f aca="false">IF(COUNT(K612:T612)=0,"SOURCE EMPTY / INDUSTRIAL ONLY",IF(MIN(K612:T612)=1,"SERVICE READY","HOLD"))</f>
        <v>SOURCE EMPTY / INDUSTRIAL ONLY</v>
      </c>
      <c r="V612" s="9" t="n">
        <f aca="false">IF(U612="SERVICE READY",1,0)</f>
        <v>0</v>
      </c>
      <c r="W612" s="6"/>
      <c r="X612" s="6"/>
      <c r="Y612" s="6"/>
      <c r="Z612" s="6"/>
    </row>
    <row r="613" customFormat="false" ht="15" hidden="false" customHeight="false" outlineLevel="0" collapsed="false">
      <c r="A613" s="9" t="s">
        <v>830</v>
      </c>
      <c r="B613" s="9" t="s">
        <v>771</v>
      </c>
      <c r="C613" s="9" t="s">
        <v>772</v>
      </c>
      <c r="D613" s="9" t="s">
        <v>619</v>
      </c>
      <c r="E613" s="9" t="s">
        <v>773</v>
      </c>
      <c r="F613" s="9" t="s">
        <v>200</v>
      </c>
      <c r="G613" s="9" t="s">
        <v>221</v>
      </c>
      <c r="H613" s="9" t="n">
        <v>1300</v>
      </c>
      <c r="I613" s="29" t="n">
        <v>1.8</v>
      </c>
      <c r="J613" s="9" t="n">
        <v>1</v>
      </c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21" t="str">
        <f aca="false">IF(COUNT(K613:T613)=0,"SOURCE EMPTY / INDUSTRIAL ONLY",IF(MIN(K613:T613)=1,"SERVICE READY","HOLD"))</f>
        <v>SOURCE EMPTY / INDUSTRIAL ONLY</v>
      </c>
      <c r="V613" s="9" t="n">
        <f aca="false">IF(U613="SERVICE READY",1,0)</f>
        <v>0</v>
      </c>
      <c r="W613" s="6"/>
      <c r="X613" s="6"/>
      <c r="Y613" s="6"/>
      <c r="Z613" s="6"/>
    </row>
    <row r="614" customFormat="false" ht="15" hidden="false" customHeight="false" outlineLevel="0" collapsed="false">
      <c r="A614" s="9" t="s">
        <v>831</v>
      </c>
      <c r="B614" s="9" t="s">
        <v>771</v>
      </c>
      <c r="C614" s="9" t="s">
        <v>772</v>
      </c>
      <c r="D614" s="9" t="s">
        <v>619</v>
      </c>
      <c r="E614" s="9" t="s">
        <v>773</v>
      </c>
      <c r="F614" s="9" t="s">
        <v>203</v>
      </c>
      <c r="G614" s="9" t="s">
        <v>221</v>
      </c>
      <c r="H614" s="9" t="n">
        <v>1300</v>
      </c>
      <c r="I614" s="29" t="n">
        <v>1.8</v>
      </c>
      <c r="J614" s="9" t="n">
        <v>1</v>
      </c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21" t="str">
        <f aca="false">IF(COUNT(K614:T614)=0,"SOURCE EMPTY / INDUSTRIAL ONLY",IF(MIN(K614:T614)=1,"SERVICE READY","HOLD"))</f>
        <v>SOURCE EMPTY / INDUSTRIAL ONLY</v>
      </c>
      <c r="V614" s="9" t="n">
        <f aca="false">IF(U614="SERVICE READY",1,0)</f>
        <v>0</v>
      </c>
      <c r="W614" s="6"/>
      <c r="X614" s="6"/>
      <c r="Y614" s="6"/>
      <c r="Z614" s="6"/>
    </row>
    <row r="615" customFormat="false" ht="15" hidden="false" customHeight="false" outlineLevel="0" collapsed="false">
      <c r="A615" s="9" t="s">
        <v>832</v>
      </c>
      <c r="B615" s="9" t="s">
        <v>771</v>
      </c>
      <c r="C615" s="9" t="s">
        <v>772</v>
      </c>
      <c r="D615" s="9" t="s">
        <v>619</v>
      </c>
      <c r="E615" s="9" t="s">
        <v>773</v>
      </c>
      <c r="F615" s="9" t="s">
        <v>205</v>
      </c>
      <c r="G615" s="9" t="s">
        <v>221</v>
      </c>
      <c r="H615" s="9" t="n">
        <v>1300</v>
      </c>
      <c r="I615" s="29" t="n">
        <v>1.8</v>
      </c>
      <c r="J615" s="9" t="n">
        <v>1</v>
      </c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21" t="str">
        <f aca="false">IF(COUNT(K615:T615)=0,"SOURCE EMPTY / INDUSTRIAL ONLY",IF(MIN(K615:T615)=1,"SERVICE READY","HOLD"))</f>
        <v>SOURCE EMPTY / INDUSTRIAL ONLY</v>
      </c>
      <c r="V615" s="9" t="n">
        <f aca="false">IF(U615="SERVICE READY",1,0)</f>
        <v>0</v>
      </c>
      <c r="W615" s="6"/>
      <c r="X615" s="6"/>
      <c r="Y615" s="6"/>
      <c r="Z615" s="6"/>
    </row>
    <row r="616" customFormat="false" ht="15" hidden="false" customHeight="false" outlineLevel="0" collapsed="false">
      <c r="A616" s="9" t="s">
        <v>833</v>
      </c>
      <c r="B616" s="9" t="s">
        <v>771</v>
      </c>
      <c r="C616" s="9" t="s">
        <v>772</v>
      </c>
      <c r="D616" s="9" t="s">
        <v>619</v>
      </c>
      <c r="E616" s="9" t="s">
        <v>773</v>
      </c>
      <c r="F616" s="9" t="s">
        <v>207</v>
      </c>
      <c r="G616" s="9" t="s">
        <v>221</v>
      </c>
      <c r="H616" s="9" t="n">
        <v>1300</v>
      </c>
      <c r="I616" s="29" t="n">
        <v>1.8</v>
      </c>
      <c r="J616" s="9" t="n">
        <v>1</v>
      </c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21" t="str">
        <f aca="false">IF(COUNT(K616:T616)=0,"SOURCE EMPTY / INDUSTRIAL ONLY",IF(MIN(K616:T616)=1,"SERVICE READY","HOLD"))</f>
        <v>SOURCE EMPTY / INDUSTRIAL ONLY</v>
      </c>
      <c r="V616" s="9" t="n">
        <f aca="false">IF(U616="SERVICE READY",1,0)</f>
        <v>0</v>
      </c>
      <c r="W616" s="6"/>
      <c r="X616" s="6"/>
      <c r="Y616" s="6"/>
      <c r="Z616" s="6"/>
    </row>
    <row r="617" customFormat="false" ht="15" hidden="false" customHeight="false" outlineLevel="0" collapsed="false">
      <c r="A617" s="9" t="s">
        <v>834</v>
      </c>
      <c r="B617" s="9" t="s">
        <v>771</v>
      </c>
      <c r="C617" s="9" t="s">
        <v>772</v>
      </c>
      <c r="D617" s="9" t="s">
        <v>619</v>
      </c>
      <c r="E617" s="9" t="s">
        <v>773</v>
      </c>
      <c r="F617" s="9" t="s">
        <v>209</v>
      </c>
      <c r="G617" s="9" t="s">
        <v>221</v>
      </c>
      <c r="H617" s="9" t="n">
        <v>1300</v>
      </c>
      <c r="I617" s="29" t="n">
        <v>1.8</v>
      </c>
      <c r="J617" s="9" t="n">
        <v>1</v>
      </c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21" t="str">
        <f aca="false">IF(COUNT(K617:T617)=0,"SOURCE EMPTY / INDUSTRIAL ONLY",IF(MIN(K617:T617)=1,"SERVICE READY","HOLD"))</f>
        <v>SOURCE EMPTY / INDUSTRIAL ONLY</v>
      </c>
      <c r="V617" s="9" t="n">
        <f aca="false">IF(U617="SERVICE READY",1,0)</f>
        <v>0</v>
      </c>
      <c r="W617" s="6"/>
      <c r="X617" s="6"/>
      <c r="Y617" s="6"/>
      <c r="Z617" s="6"/>
    </row>
    <row r="618" customFormat="false" ht="15" hidden="false" customHeight="false" outlineLevel="0" collapsed="false">
      <c r="A618" s="9" t="s">
        <v>835</v>
      </c>
      <c r="B618" s="9" t="s">
        <v>771</v>
      </c>
      <c r="C618" s="9" t="s">
        <v>772</v>
      </c>
      <c r="D618" s="9" t="s">
        <v>619</v>
      </c>
      <c r="E618" s="9" t="s">
        <v>773</v>
      </c>
      <c r="F618" s="9" t="s">
        <v>211</v>
      </c>
      <c r="G618" s="9" t="s">
        <v>221</v>
      </c>
      <c r="H618" s="9" t="n">
        <v>1300</v>
      </c>
      <c r="I618" s="29" t="n">
        <v>1.8</v>
      </c>
      <c r="J618" s="9" t="n">
        <v>1</v>
      </c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21" t="str">
        <f aca="false">IF(COUNT(K618:T618)=0,"SOURCE EMPTY / INDUSTRIAL ONLY",IF(MIN(K618:T618)=1,"SERVICE READY","HOLD"))</f>
        <v>SOURCE EMPTY / INDUSTRIAL ONLY</v>
      </c>
      <c r="V618" s="9" t="n">
        <f aca="false">IF(U618="SERVICE READY",1,0)</f>
        <v>0</v>
      </c>
      <c r="W618" s="6"/>
      <c r="X618" s="6"/>
      <c r="Y618" s="6"/>
      <c r="Z618" s="6"/>
    </row>
    <row r="619" customFormat="false" ht="15" hidden="false" customHeight="false" outlineLevel="0" collapsed="false">
      <c r="A619" s="9" t="s">
        <v>836</v>
      </c>
      <c r="B619" s="9" t="s">
        <v>771</v>
      </c>
      <c r="C619" s="9" t="s">
        <v>772</v>
      </c>
      <c r="D619" s="9" t="s">
        <v>619</v>
      </c>
      <c r="E619" s="9" t="s">
        <v>773</v>
      </c>
      <c r="F619" s="9" t="s">
        <v>197</v>
      </c>
      <c r="G619" s="9" t="s">
        <v>221</v>
      </c>
      <c r="H619" s="9" t="n">
        <v>1300</v>
      </c>
      <c r="I619" s="29" t="n">
        <v>1.8</v>
      </c>
      <c r="J619" s="9" t="n">
        <v>1</v>
      </c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21" t="str">
        <f aca="false">IF(COUNT(K619:T619)=0,"SOURCE EMPTY / INDUSTRIAL ONLY",IF(MIN(K619:T619)=1,"SERVICE READY","HOLD"))</f>
        <v>SOURCE EMPTY / INDUSTRIAL ONLY</v>
      </c>
      <c r="V619" s="9" t="n">
        <f aca="false">IF(U619="SERVICE READY",1,0)</f>
        <v>0</v>
      </c>
      <c r="W619" s="6"/>
      <c r="X619" s="6"/>
      <c r="Y619" s="6"/>
      <c r="Z619" s="6"/>
    </row>
    <row r="620" customFormat="false" ht="15" hidden="false" customHeight="false" outlineLevel="0" collapsed="false">
      <c r="A620" s="9" t="s">
        <v>837</v>
      </c>
      <c r="B620" s="9" t="s">
        <v>771</v>
      </c>
      <c r="C620" s="9" t="s">
        <v>772</v>
      </c>
      <c r="D620" s="9" t="s">
        <v>619</v>
      </c>
      <c r="E620" s="9" t="s">
        <v>773</v>
      </c>
      <c r="F620" s="9" t="s">
        <v>200</v>
      </c>
      <c r="G620" s="9" t="s">
        <v>221</v>
      </c>
      <c r="H620" s="9" t="n">
        <v>1300</v>
      </c>
      <c r="I620" s="29" t="n">
        <v>1.8</v>
      </c>
      <c r="J620" s="9" t="n">
        <v>1</v>
      </c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21" t="str">
        <f aca="false">IF(COUNT(K620:T620)=0,"SOURCE EMPTY / INDUSTRIAL ONLY",IF(MIN(K620:T620)=1,"SERVICE READY","HOLD"))</f>
        <v>SOURCE EMPTY / INDUSTRIAL ONLY</v>
      </c>
      <c r="V620" s="9" t="n">
        <f aca="false">IF(U620="SERVICE READY",1,0)</f>
        <v>0</v>
      </c>
      <c r="W620" s="6"/>
      <c r="X620" s="6"/>
      <c r="Y620" s="6"/>
      <c r="Z620" s="6"/>
    </row>
    <row r="621" customFormat="false" ht="15" hidden="false" customHeight="false" outlineLevel="0" collapsed="false">
      <c r="A621" s="9" t="s">
        <v>838</v>
      </c>
      <c r="B621" s="9" t="s">
        <v>771</v>
      </c>
      <c r="C621" s="9" t="s">
        <v>772</v>
      </c>
      <c r="D621" s="9" t="s">
        <v>619</v>
      </c>
      <c r="E621" s="9" t="s">
        <v>773</v>
      </c>
      <c r="F621" s="9" t="s">
        <v>203</v>
      </c>
      <c r="G621" s="9" t="s">
        <v>221</v>
      </c>
      <c r="H621" s="9" t="n">
        <v>1300</v>
      </c>
      <c r="I621" s="29" t="n">
        <v>1.8</v>
      </c>
      <c r="J621" s="9" t="n">
        <v>1</v>
      </c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21" t="str">
        <f aca="false">IF(COUNT(K621:T621)=0,"SOURCE EMPTY / INDUSTRIAL ONLY",IF(MIN(K621:T621)=1,"SERVICE READY","HOLD"))</f>
        <v>SOURCE EMPTY / INDUSTRIAL ONLY</v>
      </c>
      <c r="V621" s="9" t="n">
        <f aca="false">IF(U621="SERVICE READY",1,0)</f>
        <v>0</v>
      </c>
      <c r="W621" s="6"/>
      <c r="X621" s="6"/>
      <c r="Y621" s="6"/>
      <c r="Z621" s="6"/>
    </row>
    <row r="622" customFormat="false" ht="15" hidden="false" customHeight="false" outlineLevel="0" collapsed="false">
      <c r="A622" s="9" t="s">
        <v>839</v>
      </c>
      <c r="B622" s="9" t="s">
        <v>771</v>
      </c>
      <c r="C622" s="9" t="s">
        <v>772</v>
      </c>
      <c r="D622" s="9" t="s">
        <v>619</v>
      </c>
      <c r="E622" s="9" t="s">
        <v>773</v>
      </c>
      <c r="F622" s="9" t="s">
        <v>205</v>
      </c>
      <c r="G622" s="9" t="s">
        <v>221</v>
      </c>
      <c r="H622" s="9" t="n">
        <v>1300</v>
      </c>
      <c r="I622" s="29" t="n">
        <v>1.8</v>
      </c>
      <c r="J622" s="9" t="n">
        <v>1</v>
      </c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21" t="str">
        <f aca="false">IF(COUNT(K622:T622)=0,"SOURCE EMPTY / INDUSTRIAL ONLY",IF(MIN(K622:T622)=1,"SERVICE READY","HOLD"))</f>
        <v>SOURCE EMPTY / INDUSTRIAL ONLY</v>
      </c>
      <c r="V622" s="9" t="n">
        <f aca="false">IF(U622="SERVICE READY",1,0)</f>
        <v>0</v>
      </c>
      <c r="W622" s="6"/>
      <c r="X622" s="6"/>
      <c r="Y622" s="6"/>
      <c r="Z622" s="6"/>
    </row>
    <row r="623" customFormat="false" ht="15" hidden="false" customHeight="false" outlineLevel="0" collapsed="false">
      <c r="A623" s="9" t="s">
        <v>840</v>
      </c>
      <c r="B623" s="9" t="s">
        <v>771</v>
      </c>
      <c r="C623" s="9" t="s">
        <v>772</v>
      </c>
      <c r="D623" s="9" t="s">
        <v>619</v>
      </c>
      <c r="E623" s="9" t="s">
        <v>773</v>
      </c>
      <c r="F623" s="9" t="s">
        <v>207</v>
      </c>
      <c r="G623" s="9" t="s">
        <v>221</v>
      </c>
      <c r="H623" s="9" t="n">
        <v>1300</v>
      </c>
      <c r="I623" s="29" t="n">
        <v>1.8</v>
      </c>
      <c r="J623" s="9" t="n">
        <v>1</v>
      </c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21" t="str">
        <f aca="false">IF(COUNT(K623:T623)=0,"SOURCE EMPTY / INDUSTRIAL ONLY",IF(MIN(K623:T623)=1,"SERVICE READY","HOLD"))</f>
        <v>SOURCE EMPTY / INDUSTRIAL ONLY</v>
      </c>
      <c r="V623" s="9" t="n">
        <f aca="false">IF(U623="SERVICE READY",1,0)</f>
        <v>0</v>
      </c>
      <c r="W623" s="6"/>
      <c r="X623" s="6"/>
      <c r="Y623" s="6"/>
      <c r="Z623" s="6"/>
    </row>
    <row r="624" customFormat="false" ht="15" hidden="false" customHeight="false" outlineLevel="0" collapsed="false">
      <c r="A624" s="9" t="s">
        <v>841</v>
      </c>
      <c r="B624" s="9" t="s">
        <v>771</v>
      </c>
      <c r="C624" s="9" t="s">
        <v>772</v>
      </c>
      <c r="D624" s="9" t="s">
        <v>619</v>
      </c>
      <c r="E624" s="9" t="s">
        <v>773</v>
      </c>
      <c r="F624" s="9" t="s">
        <v>209</v>
      </c>
      <c r="G624" s="9" t="s">
        <v>221</v>
      </c>
      <c r="H624" s="9" t="n">
        <v>1300</v>
      </c>
      <c r="I624" s="29" t="n">
        <v>1.8</v>
      </c>
      <c r="J624" s="9" t="n">
        <v>1</v>
      </c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21" t="str">
        <f aca="false">IF(COUNT(K624:T624)=0,"SOURCE EMPTY / INDUSTRIAL ONLY",IF(MIN(K624:T624)=1,"SERVICE READY","HOLD"))</f>
        <v>SOURCE EMPTY / INDUSTRIAL ONLY</v>
      </c>
      <c r="V624" s="9" t="n">
        <f aca="false">IF(U624="SERVICE READY",1,0)</f>
        <v>0</v>
      </c>
      <c r="W624" s="6"/>
      <c r="X624" s="6"/>
      <c r="Y624" s="6"/>
      <c r="Z624" s="6"/>
    </row>
    <row r="625" customFormat="false" ht="15" hidden="false" customHeight="false" outlineLevel="0" collapsed="false">
      <c r="A625" s="9" t="s">
        <v>842</v>
      </c>
      <c r="B625" s="9" t="s">
        <v>771</v>
      </c>
      <c r="C625" s="9" t="s">
        <v>772</v>
      </c>
      <c r="D625" s="9" t="s">
        <v>619</v>
      </c>
      <c r="E625" s="9" t="s">
        <v>773</v>
      </c>
      <c r="F625" s="9" t="s">
        <v>211</v>
      </c>
      <c r="G625" s="9" t="s">
        <v>221</v>
      </c>
      <c r="H625" s="9" t="n">
        <v>1300</v>
      </c>
      <c r="I625" s="29" t="n">
        <v>1.8</v>
      </c>
      <c r="J625" s="9" t="n">
        <v>1</v>
      </c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21" t="str">
        <f aca="false">IF(COUNT(K625:T625)=0,"SOURCE EMPTY / INDUSTRIAL ONLY",IF(MIN(K625:T625)=1,"SERVICE READY","HOLD"))</f>
        <v>SOURCE EMPTY / INDUSTRIAL ONLY</v>
      </c>
      <c r="V625" s="9" t="n">
        <f aca="false">IF(U625="SERVICE READY",1,0)</f>
        <v>0</v>
      </c>
      <c r="W625" s="6"/>
      <c r="X625" s="6"/>
      <c r="Y625" s="6"/>
      <c r="Z625" s="6"/>
    </row>
    <row r="626" customFormat="false" ht="15" hidden="false" customHeight="false" outlineLevel="0" collapsed="false">
      <c r="A626" s="9" t="s">
        <v>843</v>
      </c>
      <c r="B626" s="9" t="s">
        <v>771</v>
      </c>
      <c r="C626" s="9" t="s">
        <v>772</v>
      </c>
      <c r="D626" s="9" t="s">
        <v>619</v>
      </c>
      <c r="E626" s="9" t="s">
        <v>773</v>
      </c>
      <c r="F626" s="9" t="s">
        <v>197</v>
      </c>
      <c r="G626" s="9" t="s">
        <v>221</v>
      </c>
      <c r="H626" s="9" t="n">
        <v>1300</v>
      </c>
      <c r="I626" s="29" t="n">
        <v>1.8</v>
      </c>
      <c r="J626" s="9" t="n">
        <v>1</v>
      </c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21" t="str">
        <f aca="false">IF(COUNT(K626:T626)=0,"SOURCE EMPTY / INDUSTRIAL ONLY",IF(MIN(K626:T626)=1,"SERVICE READY","HOLD"))</f>
        <v>SOURCE EMPTY / INDUSTRIAL ONLY</v>
      </c>
      <c r="V626" s="9" t="n">
        <f aca="false">IF(U626="SERVICE READY",1,0)</f>
        <v>0</v>
      </c>
      <c r="W626" s="6"/>
      <c r="X626" s="6"/>
      <c r="Y626" s="6"/>
      <c r="Z626" s="6"/>
    </row>
    <row r="627" customFormat="false" ht="15" hidden="false" customHeight="false" outlineLevel="0" collapsed="false">
      <c r="A627" s="9" t="s">
        <v>844</v>
      </c>
      <c r="B627" s="9" t="s">
        <v>771</v>
      </c>
      <c r="C627" s="9" t="s">
        <v>772</v>
      </c>
      <c r="D627" s="9" t="s">
        <v>619</v>
      </c>
      <c r="E627" s="9" t="s">
        <v>773</v>
      </c>
      <c r="F627" s="9" t="s">
        <v>200</v>
      </c>
      <c r="G627" s="9" t="s">
        <v>221</v>
      </c>
      <c r="H627" s="9" t="n">
        <v>1300</v>
      </c>
      <c r="I627" s="29" t="n">
        <v>1.8</v>
      </c>
      <c r="J627" s="9" t="n">
        <v>1</v>
      </c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21" t="str">
        <f aca="false">IF(COUNT(K627:T627)=0,"SOURCE EMPTY / INDUSTRIAL ONLY",IF(MIN(K627:T627)=1,"SERVICE READY","HOLD"))</f>
        <v>SOURCE EMPTY / INDUSTRIAL ONLY</v>
      </c>
      <c r="V627" s="9" t="n">
        <f aca="false">IF(U627="SERVICE READY",1,0)</f>
        <v>0</v>
      </c>
      <c r="W627" s="6"/>
      <c r="X627" s="6"/>
      <c r="Y627" s="6"/>
      <c r="Z627" s="6"/>
    </row>
    <row r="628" customFormat="false" ht="15" hidden="false" customHeight="false" outlineLevel="0" collapsed="false">
      <c r="A628" s="9" t="s">
        <v>845</v>
      </c>
      <c r="B628" s="9" t="s">
        <v>771</v>
      </c>
      <c r="C628" s="9" t="s">
        <v>772</v>
      </c>
      <c r="D628" s="9" t="s">
        <v>619</v>
      </c>
      <c r="E628" s="9" t="s">
        <v>773</v>
      </c>
      <c r="F628" s="9" t="s">
        <v>203</v>
      </c>
      <c r="G628" s="9" t="s">
        <v>221</v>
      </c>
      <c r="H628" s="9" t="n">
        <v>1300</v>
      </c>
      <c r="I628" s="29" t="n">
        <v>1.8</v>
      </c>
      <c r="J628" s="9" t="n">
        <v>1</v>
      </c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21" t="str">
        <f aca="false">IF(COUNT(K628:T628)=0,"SOURCE EMPTY / INDUSTRIAL ONLY",IF(MIN(K628:T628)=1,"SERVICE READY","HOLD"))</f>
        <v>SOURCE EMPTY / INDUSTRIAL ONLY</v>
      </c>
      <c r="V628" s="9" t="n">
        <f aca="false">IF(U628="SERVICE READY",1,0)</f>
        <v>0</v>
      </c>
      <c r="W628" s="6"/>
      <c r="X628" s="6"/>
      <c r="Y628" s="6"/>
      <c r="Z628" s="6"/>
    </row>
    <row r="629" customFormat="false" ht="15" hidden="false" customHeight="false" outlineLevel="0" collapsed="false">
      <c r="A629" s="9" t="s">
        <v>846</v>
      </c>
      <c r="B629" s="9" t="s">
        <v>771</v>
      </c>
      <c r="C629" s="9" t="s">
        <v>772</v>
      </c>
      <c r="D629" s="9" t="s">
        <v>619</v>
      </c>
      <c r="E629" s="9" t="s">
        <v>773</v>
      </c>
      <c r="F629" s="9" t="s">
        <v>205</v>
      </c>
      <c r="G629" s="9" t="s">
        <v>221</v>
      </c>
      <c r="H629" s="9" t="n">
        <v>1300</v>
      </c>
      <c r="I629" s="29" t="n">
        <v>1.8</v>
      </c>
      <c r="J629" s="9" t="n">
        <v>1</v>
      </c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21" t="str">
        <f aca="false">IF(COUNT(K629:T629)=0,"SOURCE EMPTY / INDUSTRIAL ONLY",IF(MIN(K629:T629)=1,"SERVICE READY","HOLD"))</f>
        <v>SOURCE EMPTY / INDUSTRIAL ONLY</v>
      </c>
      <c r="V629" s="9" t="n">
        <f aca="false">IF(U629="SERVICE READY",1,0)</f>
        <v>0</v>
      </c>
      <c r="W629" s="6"/>
      <c r="X629" s="6"/>
      <c r="Y629" s="6"/>
      <c r="Z629" s="6"/>
    </row>
    <row r="630" customFormat="false" ht="15" hidden="false" customHeight="false" outlineLevel="0" collapsed="false">
      <c r="A630" s="9" t="s">
        <v>847</v>
      </c>
      <c r="B630" s="9" t="s">
        <v>771</v>
      </c>
      <c r="C630" s="9" t="s">
        <v>772</v>
      </c>
      <c r="D630" s="9" t="s">
        <v>619</v>
      </c>
      <c r="E630" s="9" t="s">
        <v>773</v>
      </c>
      <c r="F630" s="9" t="s">
        <v>207</v>
      </c>
      <c r="G630" s="9" t="s">
        <v>221</v>
      </c>
      <c r="H630" s="9" t="n">
        <v>1300</v>
      </c>
      <c r="I630" s="29" t="n">
        <v>1.8</v>
      </c>
      <c r="J630" s="9" t="n">
        <v>1</v>
      </c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21" t="str">
        <f aca="false">IF(COUNT(K630:T630)=0,"SOURCE EMPTY / INDUSTRIAL ONLY",IF(MIN(K630:T630)=1,"SERVICE READY","HOLD"))</f>
        <v>SOURCE EMPTY / INDUSTRIAL ONLY</v>
      </c>
      <c r="V630" s="9" t="n">
        <f aca="false">IF(U630="SERVICE READY",1,0)</f>
        <v>0</v>
      </c>
      <c r="W630" s="6"/>
      <c r="X630" s="6"/>
      <c r="Y630" s="6"/>
      <c r="Z630" s="6"/>
    </row>
    <row r="631" customFormat="false" ht="15" hidden="false" customHeight="false" outlineLevel="0" collapsed="false">
      <c r="A631" s="9" t="s">
        <v>848</v>
      </c>
      <c r="B631" s="9" t="s">
        <v>771</v>
      </c>
      <c r="C631" s="9" t="s">
        <v>772</v>
      </c>
      <c r="D631" s="9" t="s">
        <v>619</v>
      </c>
      <c r="E631" s="9" t="s">
        <v>773</v>
      </c>
      <c r="F631" s="9" t="s">
        <v>209</v>
      </c>
      <c r="G631" s="9" t="s">
        <v>221</v>
      </c>
      <c r="H631" s="9" t="n">
        <v>1300</v>
      </c>
      <c r="I631" s="29" t="n">
        <v>1.8</v>
      </c>
      <c r="J631" s="9" t="n">
        <v>1</v>
      </c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21" t="str">
        <f aca="false">IF(COUNT(K631:T631)=0,"SOURCE EMPTY / INDUSTRIAL ONLY",IF(MIN(K631:T631)=1,"SERVICE READY","HOLD"))</f>
        <v>SOURCE EMPTY / INDUSTRIAL ONLY</v>
      </c>
      <c r="V631" s="9" t="n">
        <f aca="false">IF(U631="SERVICE READY",1,0)</f>
        <v>0</v>
      </c>
      <c r="W631" s="6"/>
      <c r="X631" s="6"/>
      <c r="Y631" s="6"/>
      <c r="Z631" s="6"/>
    </row>
    <row r="632" customFormat="false" ht="15" hidden="false" customHeight="false" outlineLevel="0" collapsed="false">
      <c r="A632" s="9" t="s">
        <v>849</v>
      </c>
      <c r="B632" s="9" t="s">
        <v>771</v>
      </c>
      <c r="C632" s="9" t="s">
        <v>772</v>
      </c>
      <c r="D632" s="9" t="s">
        <v>619</v>
      </c>
      <c r="E632" s="9" t="s">
        <v>773</v>
      </c>
      <c r="F632" s="9" t="s">
        <v>211</v>
      </c>
      <c r="G632" s="9" t="s">
        <v>221</v>
      </c>
      <c r="H632" s="9" t="n">
        <v>1300</v>
      </c>
      <c r="I632" s="29" t="n">
        <v>1.8</v>
      </c>
      <c r="J632" s="9" t="n">
        <v>0</v>
      </c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21" t="str">
        <f aca="false">IF(COUNT(K632:T632)=0,"SOURCE EMPTY / INDUSTRIAL ONLY",IF(MIN(K632:T632)=1,"SERVICE READY","HOLD"))</f>
        <v>SOURCE EMPTY / INDUSTRIAL ONLY</v>
      </c>
      <c r="V632" s="9" t="n">
        <f aca="false">IF(U632="SERVICE READY",1,0)</f>
        <v>0</v>
      </c>
      <c r="W632" s="6"/>
      <c r="X632" s="6"/>
      <c r="Y632" s="6"/>
      <c r="Z632" s="6"/>
    </row>
    <row r="633" customFormat="false" ht="15" hidden="false" customHeight="false" outlineLevel="0" collapsed="false">
      <c r="A633" s="9" t="s">
        <v>850</v>
      </c>
      <c r="B633" s="9" t="s">
        <v>771</v>
      </c>
      <c r="C633" s="9" t="s">
        <v>772</v>
      </c>
      <c r="D633" s="9" t="s">
        <v>619</v>
      </c>
      <c r="E633" s="9" t="s">
        <v>773</v>
      </c>
      <c r="F633" s="9" t="s">
        <v>197</v>
      </c>
      <c r="G633" s="9" t="s">
        <v>221</v>
      </c>
      <c r="H633" s="9" t="n">
        <v>1300</v>
      </c>
      <c r="I633" s="29" t="n">
        <v>1.8</v>
      </c>
      <c r="J633" s="9" t="n">
        <v>0</v>
      </c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21" t="str">
        <f aca="false">IF(COUNT(K633:T633)=0,"SOURCE EMPTY / INDUSTRIAL ONLY",IF(MIN(K633:T633)=1,"SERVICE READY","HOLD"))</f>
        <v>SOURCE EMPTY / INDUSTRIAL ONLY</v>
      </c>
      <c r="V633" s="9" t="n">
        <f aca="false">IF(U633="SERVICE READY",1,0)</f>
        <v>0</v>
      </c>
      <c r="W633" s="6"/>
      <c r="X633" s="6"/>
      <c r="Y633" s="6"/>
      <c r="Z633" s="6"/>
    </row>
    <row r="634" customFormat="false" ht="15" hidden="false" customHeight="false" outlineLevel="0" collapsed="false">
      <c r="A634" s="9" t="s">
        <v>851</v>
      </c>
      <c r="B634" s="9" t="s">
        <v>771</v>
      </c>
      <c r="C634" s="9" t="s">
        <v>772</v>
      </c>
      <c r="D634" s="9" t="s">
        <v>619</v>
      </c>
      <c r="E634" s="9" t="s">
        <v>773</v>
      </c>
      <c r="F634" s="9" t="s">
        <v>200</v>
      </c>
      <c r="G634" s="9" t="s">
        <v>221</v>
      </c>
      <c r="H634" s="9" t="n">
        <v>1300</v>
      </c>
      <c r="I634" s="29" t="n">
        <v>1.8</v>
      </c>
      <c r="J634" s="9" t="n">
        <v>0</v>
      </c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21" t="str">
        <f aca="false">IF(COUNT(K634:T634)=0,"SOURCE EMPTY / INDUSTRIAL ONLY",IF(MIN(K634:T634)=1,"SERVICE READY","HOLD"))</f>
        <v>SOURCE EMPTY / INDUSTRIAL ONLY</v>
      </c>
      <c r="V634" s="9" t="n">
        <f aca="false">IF(U634="SERVICE READY",1,0)</f>
        <v>0</v>
      </c>
      <c r="W634" s="6"/>
      <c r="X634" s="6"/>
      <c r="Y634" s="6"/>
      <c r="Z634" s="6"/>
    </row>
    <row r="635" customFormat="false" ht="15" hidden="false" customHeight="false" outlineLevel="0" collapsed="false">
      <c r="A635" s="9" t="s">
        <v>852</v>
      </c>
      <c r="B635" s="9" t="s">
        <v>771</v>
      </c>
      <c r="C635" s="9" t="s">
        <v>772</v>
      </c>
      <c r="D635" s="9" t="s">
        <v>619</v>
      </c>
      <c r="E635" s="9" t="s">
        <v>773</v>
      </c>
      <c r="F635" s="9" t="s">
        <v>203</v>
      </c>
      <c r="G635" s="9" t="s">
        <v>221</v>
      </c>
      <c r="H635" s="9" t="n">
        <v>1300</v>
      </c>
      <c r="I635" s="29" t="n">
        <v>1.8</v>
      </c>
      <c r="J635" s="9" t="n">
        <v>0</v>
      </c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21" t="str">
        <f aca="false">IF(COUNT(K635:T635)=0,"SOURCE EMPTY / INDUSTRIAL ONLY",IF(MIN(K635:T635)=1,"SERVICE READY","HOLD"))</f>
        <v>SOURCE EMPTY / INDUSTRIAL ONLY</v>
      </c>
      <c r="V635" s="9" t="n">
        <f aca="false">IF(U635="SERVICE READY",1,0)</f>
        <v>0</v>
      </c>
      <c r="W635" s="6"/>
      <c r="X635" s="6"/>
      <c r="Y635" s="6"/>
      <c r="Z635" s="6"/>
    </row>
    <row r="636" customFormat="false" ht="15" hidden="false" customHeight="false" outlineLevel="0" collapsed="false">
      <c r="A636" s="9" t="s">
        <v>853</v>
      </c>
      <c r="B636" s="9" t="s">
        <v>771</v>
      </c>
      <c r="C636" s="9" t="s">
        <v>772</v>
      </c>
      <c r="D636" s="9" t="s">
        <v>619</v>
      </c>
      <c r="E636" s="9" t="s">
        <v>773</v>
      </c>
      <c r="F636" s="9" t="s">
        <v>205</v>
      </c>
      <c r="G636" s="9" t="s">
        <v>221</v>
      </c>
      <c r="H636" s="9" t="n">
        <v>1300</v>
      </c>
      <c r="I636" s="29" t="n">
        <v>1.8</v>
      </c>
      <c r="J636" s="9" t="n">
        <v>0</v>
      </c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21" t="str">
        <f aca="false">IF(COUNT(K636:T636)=0,"SOURCE EMPTY / INDUSTRIAL ONLY",IF(MIN(K636:T636)=1,"SERVICE READY","HOLD"))</f>
        <v>SOURCE EMPTY / INDUSTRIAL ONLY</v>
      </c>
      <c r="V636" s="9" t="n">
        <f aca="false">IF(U636="SERVICE READY",1,0)</f>
        <v>0</v>
      </c>
      <c r="W636" s="6"/>
      <c r="X636" s="6"/>
      <c r="Y636" s="6"/>
      <c r="Z636" s="6"/>
    </row>
    <row r="637" customFormat="false" ht="15" hidden="false" customHeight="false" outlineLevel="0" collapsed="false">
      <c r="A637" s="9" t="s">
        <v>854</v>
      </c>
      <c r="B637" s="9" t="s">
        <v>771</v>
      </c>
      <c r="C637" s="9" t="s">
        <v>772</v>
      </c>
      <c r="D637" s="9" t="s">
        <v>619</v>
      </c>
      <c r="E637" s="9" t="s">
        <v>773</v>
      </c>
      <c r="F637" s="9" t="s">
        <v>207</v>
      </c>
      <c r="G637" s="9" t="s">
        <v>221</v>
      </c>
      <c r="H637" s="9" t="n">
        <v>1300</v>
      </c>
      <c r="I637" s="29" t="n">
        <v>1.8</v>
      </c>
      <c r="J637" s="9" t="n">
        <v>0</v>
      </c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21" t="str">
        <f aca="false">IF(COUNT(K637:T637)=0,"SOURCE EMPTY / INDUSTRIAL ONLY",IF(MIN(K637:T637)=1,"SERVICE READY","HOLD"))</f>
        <v>SOURCE EMPTY / INDUSTRIAL ONLY</v>
      </c>
      <c r="V637" s="9" t="n">
        <f aca="false">IF(U637="SERVICE READY",1,0)</f>
        <v>0</v>
      </c>
      <c r="W637" s="6"/>
      <c r="X637" s="6"/>
      <c r="Y637" s="6"/>
      <c r="Z637" s="6"/>
    </row>
    <row r="638" customFormat="false" ht="15" hidden="false" customHeight="false" outlineLevel="0" collapsed="false">
      <c r="A638" s="9" t="s">
        <v>855</v>
      </c>
      <c r="B638" s="9" t="s">
        <v>771</v>
      </c>
      <c r="C638" s="9" t="s">
        <v>772</v>
      </c>
      <c r="D638" s="9" t="s">
        <v>619</v>
      </c>
      <c r="E638" s="9" t="s">
        <v>773</v>
      </c>
      <c r="F638" s="9" t="s">
        <v>209</v>
      </c>
      <c r="G638" s="9" t="s">
        <v>221</v>
      </c>
      <c r="H638" s="9" t="n">
        <v>1300</v>
      </c>
      <c r="I638" s="29" t="n">
        <v>1.8</v>
      </c>
      <c r="J638" s="9" t="n">
        <v>0</v>
      </c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21" t="str">
        <f aca="false">IF(COUNT(K638:T638)=0,"SOURCE EMPTY / INDUSTRIAL ONLY",IF(MIN(K638:T638)=1,"SERVICE READY","HOLD"))</f>
        <v>SOURCE EMPTY / INDUSTRIAL ONLY</v>
      </c>
      <c r="V638" s="9" t="n">
        <f aca="false">IF(U638="SERVICE READY",1,0)</f>
        <v>0</v>
      </c>
      <c r="W638" s="6"/>
      <c r="X638" s="6"/>
      <c r="Y638" s="6"/>
      <c r="Z638" s="6"/>
    </row>
    <row r="639" customFormat="false" ht="15" hidden="false" customHeight="false" outlineLevel="0" collapsed="false">
      <c r="A639" s="9" t="s">
        <v>856</v>
      </c>
      <c r="B639" s="9" t="s">
        <v>771</v>
      </c>
      <c r="C639" s="9" t="s">
        <v>772</v>
      </c>
      <c r="D639" s="9" t="s">
        <v>619</v>
      </c>
      <c r="E639" s="9" t="s">
        <v>773</v>
      </c>
      <c r="F639" s="9" t="s">
        <v>211</v>
      </c>
      <c r="G639" s="9" t="s">
        <v>221</v>
      </c>
      <c r="H639" s="9" t="n">
        <v>1300</v>
      </c>
      <c r="I639" s="29" t="n">
        <v>1.8</v>
      </c>
      <c r="J639" s="9" t="n">
        <v>0</v>
      </c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21" t="str">
        <f aca="false">IF(COUNT(K639:T639)=0,"SOURCE EMPTY / INDUSTRIAL ONLY",IF(MIN(K639:T639)=1,"SERVICE READY","HOLD"))</f>
        <v>SOURCE EMPTY / INDUSTRIAL ONLY</v>
      </c>
      <c r="V639" s="9" t="n">
        <f aca="false">IF(U639="SERVICE READY",1,0)</f>
        <v>0</v>
      </c>
      <c r="W639" s="6"/>
      <c r="X639" s="6"/>
      <c r="Y639" s="6"/>
      <c r="Z639" s="6"/>
    </row>
    <row r="640" customFormat="false" ht="15" hidden="false" customHeight="false" outlineLevel="0" collapsed="false">
      <c r="A640" s="9" t="s">
        <v>857</v>
      </c>
      <c r="B640" s="9" t="s">
        <v>771</v>
      </c>
      <c r="C640" s="9" t="s">
        <v>772</v>
      </c>
      <c r="D640" s="9" t="s">
        <v>619</v>
      </c>
      <c r="E640" s="9" t="s">
        <v>773</v>
      </c>
      <c r="F640" s="9" t="s">
        <v>197</v>
      </c>
      <c r="G640" s="9" t="s">
        <v>221</v>
      </c>
      <c r="H640" s="9" t="n">
        <v>1300</v>
      </c>
      <c r="I640" s="29" t="n">
        <v>1.8</v>
      </c>
      <c r="J640" s="9" t="n">
        <v>0</v>
      </c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21" t="str">
        <f aca="false">IF(COUNT(K640:T640)=0,"SOURCE EMPTY / INDUSTRIAL ONLY",IF(MIN(K640:T640)=1,"SERVICE READY","HOLD"))</f>
        <v>SOURCE EMPTY / INDUSTRIAL ONLY</v>
      </c>
      <c r="V640" s="9" t="n">
        <f aca="false">IF(U640="SERVICE READY",1,0)</f>
        <v>0</v>
      </c>
      <c r="W640" s="6"/>
      <c r="X640" s="6"/>
      <c r="Y640" s="6"/>
      <c r="Z640" s="6"/>
    </row>
    <row r="641" customFormat="false" ht="15" hidden="false" customHeight="false" outlineLevel="0" collapsed="false">
      <c r="A641" s="9" t="s">
        <v>858</v>
      </c>
      <c r="B641" s="9" t="s">
        <v>771</v>
      </c>
      <c r="C641" s="9" t="s">
        <v>772</v>
      </c>
      <c r="D641" s="9" t="s">
        <v>619</v>
      </c>
      <c r="E641" s="9" t="s">
        <v>773</v>
      </c>
      <c r="F641" s="9" t="s">
        <v>200</v>
      </c>
      <c r="G641" s="9" t="s">
        <v>221</v>
      </c>
      <c r="H641" s="9" t="n">
        <v>1300</v>
      </c>
      <c r="I641" s="29" t="n">
        <v>1.8</v>
      </c>
      <c r="J641" s="9" t="n">
        <v>0</v>
      </c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21" t="str">
        <f aca="false">IF(COUNT(K641:T641)=0,"SOURCE EMPTY / INDUSTRIAL ONLY",IF(MIN(K641:T641)=1,"SERVICE READY","HOLD"))</f>
        <v>SOURCE EMPTY / INDUSTRIAL ONLY</v>
      </c>
      <c r="V641" s="9" t="n">
        <f aca="false">IF(U641="SERVICE READY",1,0)</f>
        <v>0</v>
      </c>
      <c r="W641" s="6"/>
      <c r="X641" s="6"/>
      <c r="Y641" s="6"/>
      <c r="Z641" s="6"/>
    </row>
    <row r="642" customFormat="false" ht="15" hidden="false" customHeight="false" outlineLevel="0" collapsed="false">
      <c r="A642" s="9" t="s">
        <v>859</v>
      </c>
      <c r="B642" s="9" t="s">
        <v>771</v>
      </c>
      <c r="C642" s="9" t="s">
        <v>772</v>
      </c>
      <c r="D642" s="9" t="s">
        <v>619</v>
      </c>
      <c r="E642" s="9" t="s">
        <v>773</v>
      </c>
      <c r="F642" s="9" t="s">
        <v>203</v>
      </c>
      <c r="G642" s="9" t="s">
        <v>221</v>
      </c>
      <c r="H642" s="9" t="n">
        <v>1300</v>
      </c>
      <c r="I642" s="29" t="n">
        <v>1.8</v>
      </c>
      <c r="J642" s="9" t="n">
        <v>0</v>
      </c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21" t="str">
        <f aca="false">IF(COUNT(K642:T642)=0,"SOURCE EMPTY / INDUSTRIAL ONLY",IF(MIN(K642:T642)=1,"SERVICE READY","HOLD"))</f>
        <v>SOURCE EMPTY / INDUSTRIAL ONLY</v>
      </c>
      <c r="V642" s="9" t="n">
        <f aca="false">IF(U642="SERVICE READY",1,0)</f>
        <v>0</v>
      </c>
      <c r="W642" s="6"/>
      <c r="X642" s="6"/>
      <c r="Y642" s="6"/>
      <c r="Z642" s="6"/>
    </row>
    <row r="643" customFormat="false" ht="15" hidden="false" customHeight="false" outlineLevel="0" collapsed="false">
      <c r="A643" s="9" t="s">
        <v>860</v>
      </c>
      <c r="B643" s="9" t="s">
        <v>771</v>
      </c>
      <c r="C643" s="9" t="s">
        <v>772</v>
      </c>
      <c r="D643" s="9" t="s">
        <v>619</v>
      </c>
      <c r="E643" s="9" t="s">
        <v>773</v>
      </c>
      <c r="F643" s="9" t="s">
        <v>205</v>
      </c>
      <c r="G643" s="9" t="s">
        <v>221</v>
      </c>
      <c r="H643" s="9" t="n">
        <v>1300</v>
      </c>
      <c r="I643" s="29" t="n">
        <v>1.8</v>
      </c>
      <c r="J643" s="9" t="n">
        <v>0</v>
      </c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21" t="str">
        <f aca="false">IF(COUNT(K643:T643)=0,"SOURCE EMPTY / INDUSTRIAL ONLY",IF(MIN(K643:T643)=1,"SERVICE READY","HOLD"))</f>
        <v>SOURCE EMPTY / INDUSTRIAL ONLY</v>
      </c>
      <c r="V643" s="9" t="n">
        <f aca="false">IF(U643="SERVICE READY",1,0)</f>
        <v>0</v>
      </c>
      <c r="W643" s="6"/>
      <c r="X643" s="6"/>
      <c r="Y643" s="6"/>
      <c r="Z643" s="6"/>
    </row>
    <row r="644" customFormat="false" ht="15" hidden="false" customHeight="false" outlineLevel="0" collapsed="false">
      <c r="A644" s="9" t="s">
        <v>861</v>
      </c>
      <c r="B644" s="9" t="s">
        <v>771</v>
      </c>
      <c r="C644" s="9" t="s">
        <v>772</v>
      </c>
      <c r="D644" s="9" t="s">
        <v>619</v>
      </c>
      <c r="E644" s="9" t="s">
        <v>773</v>
      </c>
      <c r="F644" s="9" t="s">
        <v>207</v>
      </c>
      <c r="G644" s="9" t="s">
        <v>221</v>
      </c>
      <c r="H644" s="9" t="n">
        <v>1300</v>
      </c>
      <c r="I644" s="29" t="n">
        <v>1.8</v>
      </c>
      <c r="J644" s="9" t="n">
        <v>0</v>
      </c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21" t="str">
        <f aca="false">IF(COUNT(K644:T644)=0,"SOURCE EMPTY / INDUSTRIAL ONLY",IF(MIN(K644:T644)=1,"SERVICE READY","HOLD"))</f>
        <v>SOURCE EMPTY / INDUSTRIAL ONLY</v>
      </c>
      <c r="V644" s="9" t="n">
        <f aca="false">IF(U644="SERVICE READY",1,0)</f>
        <v>0</v>
      </c>
      <c r="W644" s="6"/>
      <c r="X644" s="6"/>
      <c r="Y644" s="6"/>
      <c r="Z644" s="6"/>
    </row>
    <row r="645" customFormat="false" ht="15" hidden="false" customHeight="false" outlineLevel="0" collapsed="false">
      <c r="A645" s="9" t="s">
        <v>862</v>
      </c>
      <c r="B645" s="9" t="s">
        <v>771</v>
      </c>
      <c r="C645" s="9" t="s">
        <v>772</v>
      </c>
      <c r="D645" s="9" t="s">
        <v>619</v>
      </c>
      <c r="E645" s="9" t="s">
        <v>773</v>
      </c>
      <c r="F645" s="9" t="s">
        <v>209</v>
      </c>
      <c r="G645" s="9" t="s">
        <v>221</v>
      </c>
      <c r="H645" s="9" t="n">
        <v>1300</v>
      </c>
      <c r="I645" s="29" t="n">
        <v>1.8</v>
      </c>
      <c r="J645" s="9" t="n">
        <v>0</v>
      </c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21" t="str">
        <f aca="false">IF(COUNT(K645:T645)=0,"SOURCE EMPTY / INDUSTRIAL ONLY",IF(MIN(K645:T645)=1,"SERVICE READY","HOLD"))</f>
        <v>SOURCE EMPTY / INDUSTRIAL ONLY</v>
      </c>
      <c r="V645" s="9" t="n">
        <f aca="false">IF(U645="SERVICE READY",1,0)</f>
        <v>0</v>
      </c>
      <c r="W645" s="6"/>
      <c r="X645" s="6"/>
      <c r="Y645" s="6"/>
      <c r="Z645" s="6"/>
    </row>
    <row r="646" customFormat="false" ht="15" hidden="false" customHeight="false" outlineLevel="0" collapsed="false">
      <c r="A646" s="9" t="s">
        <v>863</v>
      </c>
      <c r="B646" s="9" t="s">
        <v>771</v>
      </c>
      <c r="C646" s="9" t="s">
        <v>772</v>
      </c>
      <c r="D646" s="9" t="s">
        <v>619</v>
      </c>
      <c r="E646" s="9" t="s">
        <v>773</v>
      </c>
      <c r="F646" s="9" t="s">
        <v>211</v>
      </c>
      <c r="G646" s="9" t="s">
        <v>221</v>
      </c>
      <c r="H646" s="9" t="n">
        <v>1300</v>
      </c>
      <c r="I646" s="29" t="n">
        <v>1.8</v>
      </c>
      <c r="J646" s="9" t="n">
        <v>0</v>
      </c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21" t="str">
        <f aca="false">IF(COUNT(K646:T646)=0,"SOURCE EMPTY / INDUSTRIAL ONLY",IF(MIN(K646:T646)=1,"SERVICE READY","HOLD"))</f>
        <v>SOURCE EMPTY / INDUSTRIAL ONLY</v>
      </c>
      <c r="V646" s="9" t="n">
        <f aca="false">IF(U646="SERVICE READY",1,0)</f>
        <v>0</v>
      </c>
      <c r="W646" s="6"/>
      <c r="X646" s="6"/>
      <c r="Y646" s="6"/>
      <c r="Z646" s="6"/>
    </row>
    <row r="647" customFormat="false" ht="15" hidden="false" customHeight="false" outlineLevel="0" collapsed="false">
      <c r="A647" s="9" t="s">
        <v>864</v>
      </c>
      <c r="B647" s="9" t="s">
        <v>771</v>
      </c>
      <c r="C647" s="9" t="s">
        <v>772</v>
      </c>
      <c r="D647" s="9" t="s">
        <v>619</v>
      </c>
      <c r="E647" s="9" t="s">
        <v>773</v>
      </c>
      <c r="F647" s="9" t="s">
        <v>197</v>
      </c>
      <c r="G647" s="9" t="s">
        <v>221</v>
      </c>
      <c r="H647" s="9" t="n">
        <v>1300</v>
      </c>
      <c r="I647" s="29" t="n">
        <v>1.8</v>
      </c>
      <c r="J647" s="9" t="n">
        <v>0</v>
      </c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21" t="str">
        <f aca="false">IF(COUNT(K647:T647)=0,"SOURCE EMPTY / INDUSTRIAL ONLY",IF(MIN(K647:T647)=1,"SERVICE READY","HOLD"))</f>
        <v>SOURCE EMPTY / INDUSTRIAL ONLY</v>
      </c>
      <c r="V647" s="9" t="n">
        <f aca="false">IF(U647="SERVICE READY",1,0)</f>
        <v>0</v>
      </c>
      <c r="W647" s="6"/>
      <c r="X647" s="6"/>
      <c r="Y647" s="6"/>
      <c r="Z647" s="6"/>
    </row>
    <row r="648" customFormat="false" ht="15" hidden="false" customHeight="false" outlineLevel="0" collapsed="false">
      <c r="A648" s="9" t="s">
        <v>865</v>
      </c>
      <c r="B648" s="9" t="s">
        <v>771</v>
      </c>
      <c r="C648" s="9" t="s">
        <v>772</v>
      </c>
      <c r="D648" s="9" t="s">
        <v>619</v>
      </c>
      <c r="E648" s="9" t="s">
        <v>773</v>
      </c>
      <c r="F648" s="9" t="s">
        <v>200</v>
      </c>
      <c r="G648" s="9" t="s">
        <v>221</v>
      </c>
      <c r="H648" s="9" t="n">
        <v>1300</v>
      </c>
      <c r="I648" s="29" t="n">
        <v>1.8</v>
      </c>
      <c r="J648" s="9" t="n">
        <v>0</v>
      </c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21" t="str">
        <f aca="false">IF(COUNT(K648:T648)=0,"SOURCE EMPTY / INDUSTRIAL ONLY",IF(MIN(K648:T648)=1,"SERVICE READY","HOLD"))</f>
        <v>SOURCE EMPTY / INDUSTRIAL ONLY</v>
      </c>
      <c r="V648" s="9" t="n">
        <f aca="false">IF(U648="SERVICE READY",1,0)</f>
        <v>0</v>
      </c>
      <c r="W648" s="6"/>
      <c r="X648" s="6"/>
      <c r="Y648" s="6"/>
      <c r="Z648" s="6"/>
    </row>
    <row r="649" customFormat="false" ht="15" hidden="false" customHeight="false" outlineLevel="0" collapsed="false">
      <c r="A649" s="9" t="s">
        <v>866</v>
      </c>
      <c r="B649" s="9" t="s">
        <v>771</v>
      </c>
      <c r="C649" s="9" t="s">
        <v>772</v>
      </c>
      <c r="D649" s="9" t="s">
        <v>619</v>
      </c>
      <c r="E649" s="9" t="s">
        <v>773</v>
      </c>
      <c r="F649" s="9" t="s">
        <v>203</v>
      </c>
      <c r="G649" s="9" t="s">
        <v>221</v>
      </c>
      <c r="H649" s="9" t="n">
        <v>1300</v>
      </c>
      <c r="I649" s="29" t="n">
        <v>1.8</v>
      </c>
      <c r="J649" s="9" t="n">
        <v>0</v>
      </c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21" t="str">
        <f aca="false">IF(COUNT(K649:T649)=0,"SOURCE EMPTY / INDUSTRIAL ONLY",IF(MIN(K649:T649)=1,"SERVICE READY","HOLD"))</f>
        <v>SOURCE EMPTY / INDUSTRIAL ONLY</v>
      </c>
      <c r="V649" s="9" t="n">
        <f aca="false">IF(U649="SERVICE READY",1,0)</f>
        <v>0</v>
      </c>
      <c r="W649" s="6"/>
      <c r="X649" s="6"/>
      <c r="Y649" s="6"/>
      <c r="Z649" s="6"/>
    </row>
    <row r="650" customFormat="false" ht="15" hidden="false" customHeight="false" outlineLevel="0" collapsed="false">
      <c r="A650" s="9" t="s">
        <v>867</v>
      </c>
      <c r="B650" s="9" t="s">
        <v>771</v>
      </c>
      <c r="C650" s="9" t="s">
        <v>772</v>
      </c>
      <c r="D650" s="9" t="s">
        <v>619</v>
      </c>
      <c r="E650" s="9" t="s">
        <v>773</v>
      </c>
      <c r="F650" s="9" t="s">
        <v>205</v>
      </c>
      <c r="G650" s="9" t="s">
        <v>221</v>
      </c>
      <c r="H650" s="9" t="n">
        <v>1300</v>
      </c>
      <c r="I650" s="29" t="n">
        <v>1.8</v>
      </c>
      <c r="J650" s="9" t="n">
        <v>0</v>
      </c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21" t="str">
        <f aca="false">IF(COUNT(K650:T650)=0,"SOURCE EMPTY / INDUSTRIAL ONLY",IF(MIN(K650:T650)=1,"SERVICE READY","HOLD"))</f>
        <v>SOURCE EMPTY / INDUSTRIAL ONLY</v>
      </c>
      <c r="V650" s="9" t="n">
        <f aca="false">IF(U650="SERVICE READY",1,0)</f>
        <v>0</v>
      </c>
      <c r="W650" s="6"/>
      <c r="X650" s="6"/>
      <c r="Y650" s="6"/>
      <c r="Z650" s="6"/>
    </row>
    <row r="651" customFormat="false" ht="15" hidden="false" customHeight="false" outlineLevel="0" collapsed="false">
      <c r="A651" s="9" t="s">
        <v>868</v>
      </c>
      <c r="B651" s="9" t="s">
        <v>771</v>
      </c>
      <c r="C651" s="9" t="s">
        <v>772</v>
      </c>
      <c r="D651" s="9" t="s">
        <v>619</v>
      </c>
      <c r="E651" s="9" t="s">
        <v>773</v>
      </c>
      <c r="F651" s="9" t="s">
        <v>207</v>
      </c>
      <c r="G651" s="9" t="s">
        <v>221</v>
      </c>
      <c r="H651" s="9" t="n">
        <v>1300</v>
      </c>
      <c r="I651" s="29" t="n">
        <v>1.8</v>
      </c>
      <c r="J651" s="9" t="n">
        <v>0</v>
      </c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21" t="str">
        <f aca="false">IF(COUNT(K651:T651)=0,"SOURCE EMPTY / INDUSTRIAL ONLY",IF(MIN(K651:T651)=1,"SERVICE READY","HOLD"))</f>
        <v>SOURCE EMPTY / INDUSTRIAL ONLY</v>
      </c>
      <c r="V651" s="9" t="n">
        <f aca="false">IF(U651="SERVICE READY",1,0)</f>
        <v>0</v>
      </c>
      <c r="W651" s="6"/>
      <c r="X651" s="6"/>
      <c r="Y651" s="6"/>
      <c r="Z651" s="6"/>
    </row>
    <row r="652" customFormat="false" ht="15" hidden="false" customHeight="false" outlineLevel="0" collapsed="false">
      <c r="A652" s="9" t="s">
        <v>869</v>
      </c>
      <c r="B652" s="9" t="s">
        <v>771</v>
      </c>
      <c r="C652" s="9" t="s">
        <v>772</v>
      </c>
      <c r="D652" s="9" t="s">
        <v>619</v>
      </c>
      <c r="E652" s="9" t="s">
        <v>773</v>
      </c>
      <c r="F652" s="9" t="s">
        <v>209</v>
      </c>
      <c r="G652" s="9" t="s">
        <v>221</v>
      </c>
      <c r="H652" s="9" t="n">
        <v>1300</v>
      </c>
      <c r="I652" s="29" t="n">
        <v>1.8</v>
      </c>
      <c r="J652" s="9" t="n">
        <v>0</v>
      </c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21" t="str">
        <f aca="false">IF(COUNT(K652:T652)=0,"SOURCE EMPTY / INDUSTRIAL ONLY",IF(MIN(K652:T652)=1,"SERVICE READY","HOLD"))</f>
        <v>SOURCE EMPTY / INDUSTRIAL ONLY</v>
      </c>
      <c r="V652" s="9" t="n">
        <f aca="false">IF(U652="SERVICE READY",1,0)</f>
        <v>0</v>
      </c>
      <c r="W652" s="6"/>
      <c r="X652" s="6"/>
      <c r="Y652" s="6"/>
      <c r="Z652" s="6"/>
    </row>
    <row r="653" customFormat="false" ht="15" hidden="false" customHeight="false" outlineLevel="0" collapsed="false">
      <c r="A653" s="9" t="s">
        <v>870</v>
      </c>
      <c r="B653" s="9" t="s">
        <v>771</v>
      </c>
      <c r="C653" s="9" t="s">
        <v>772</v>
      </c>
      <c r="D653" s="9" t="s">
        <v>619</v>
      </c>
      <c r="E653" s="9" t="s">
        <v>773</v>
      </c>
      <c r="F653" s="9" t="s">
        <v>211</v>
      </c>
      <c r="G653" s="9" t="s">
        <v>221</v>
      </c>
      <c r="H653" s="9" t="n">
        <v>1300</v>
      </c>
      <c r="I653" s="29" t="n">
        <v>1.8</v>
      </c>
      <c r="J653" s="9" t="n">
        <v>0</v>
      </c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21" t="str">
        <f aca="false">IF(COUNT(K653:T653)=0,"SOURCE EMPTY / INDUSTRIAL ONLY",IF(MIN(K653:T653)=1,"SERVICE READY","HOLD"))</f>
        <v>SOURCE EMPTY / INDUSTRIAL ONLY</v>
      </c>
      <c r="V653" s="9" t="n">
        <f aca="false">IF(U653="SERVICE READY",1,0)</f>
        <v>0</v>
      </c>
      <c r="W653" s="6"/>
      <c r="X653" s="6"/>
      <c r="Y653" s="6"/>
      <c r="Z653" s="6"/>
    </row>
    <row r="654" customFormat="false" ht="15" hidden="false" customHeight="false" outlineLevel="0" collapsed="false">
      <c r="A654" s="9" t="s">
        <v>871</v>
      </c>
      <c r="B654" s="9" t="s">
        <v>771</v>
      </c>
      <c r="C654" s="9" t="s">
        <v>772</v>
      </c>
      <c r="D654" s="9" t="s">
        <v>619</v>
      </c>
      <c r="E654" s="9" t="s">
        <v>773</v>
      </c>
      <c r="F654" s="9" t="s">
        <v>197</v>
      </c>
      <c r="G654" s="9" t="s">
        <v>221</v>
      </c>
      <c r="H654" s="9" t="n">
        <v>1300</v>
      </c>
      <c r="I654" s="29" t="n">
        <v>1.8</v>
      </c>
      <c r="J654" s="9" t="n">
        <v>0</v>
      </c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21" t="str">
        <f aca="false">IF(COUNT(K654:T654)=0,"SOURCE EMPTY / INDUSTRIAL ONLY",IF(MIN(K654:T654)=1,"SERVICE READY","HOLD"))</f>
        <v>SOURCE EMPTY / INDUSTRIAL ONLY</v>
      </c>
      <c r="V654" s="9" t="n">
        <f aca="false">IF(U654="SERVICE READY",1,0)</f>
        <v>0</v>
      </c>
      <c r="W654" s="6"/>
      <c r="X654" s="6"/>
      <c r="Y654" s="6"/>
      <c r="Z654" s="6"/>
    </row>
    <row r="655" customFormat="false" ht="15" hidden="false" customHeight="false" outlineLevel="0" collapsed="false">
      <c r="A655" s="9" t="s">
        <v>872</v>
      </c>
      <c r="B655" s="9" t="s">
        <v>771</v>
      </c>
      <c r="C655" s="9" t="s">
        <v>772</v>
      </c>
      <c r="D655" s="9" t="s">
        <v>619</v>
      </c>
      <c r="E655" s="9" t="s">
        <v>773</v>
      </c>
      <c r="F655" s="9" t="s">
        <v>200</v>
      </c>
      <c r="G655" s="9" t="s">
        <v>221</v>
      </c>
      <c r="H655" s="9" t="n">
        <v>1300</v>
      </c>
      <c r="I655" s="29" t="n">
        <v>1.8</v>
      </c>
      <c r="J655" s="9" t="n">
        <v>0</v>
      </c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21" t="str">
        <f aca="false">IF(COUNT(K655:T655)=0,"SOURCE EMPTY / INDUSTRIAL ONLY",IF(MIN(K655:T655)=1,"SERVICE READY","HOLD"))</f>
        <v>SOURCE EMPTY / INDUSTRIAL ONLY</v>
      </c>
      <c r="V655" s="9" t="n">
        <f aca="false">IF(U655="SERVICE READY",1,0)</f>
        <v>0</v>
      </c>
      <c r="W655" s="6"/>
      <c r="X655" s="6"/>
      <c r="Y655" s="6"/>
      <c r="Z655" s="6"/>
    </row>
    <row r="656" customFormat="false" ht="15" hidden="false" customHeight="false" outlineLevel="0" collapsed="false">
      <c r="A656" s="9" t="s">
        <v>873</v>
      </c>
      <c r="B656" s="9" t="s">
        <v>771</v>
      </c>
      <c r="C656" s="9" t="s">
        <v>772</v>
      </c>
      <c r="D656" s="9" t="s">
        <v>619</v>
      </c>
      <c r="E656" s="9" t="s">
        <v>773</v>
      </c>
      <c r="F656" s="9" t="s">
        <v>203</v>
      </c>
      <c r="G656" s="9" t="s">
        <v>221</v>
      </c>
      <c r="H656" s="9" t="n">
        <v>1300</v>
      </c>
      <c r="I656" s="29" t="n">
        <v>1.8</v>
      </c>
      <c r="J656" s="9" t="n">
        <v>0</v>
      </c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21" t="str">
        <f aca="false">IF(COUNT(K656:T656)=0,"SOURCE EMPTY / INDUSTRIAL ONLY",IF(MIN(K656:T656)=1,"SERVICE READY","HOLD"))</f>
        <v>SOURCE EMPTY / INDUSTRIAL ONLY</v>
      </c>
      <c r="V656" s="9" t="n">
        <f aca="false">IF(U656="SERVICE READY",1,0)</f>
        <v>0</v>
      </c>
      <c r="W656" s="6"/>
      <c r="X656" s="6"/>
      <c r="Y656" s="6"/>
      <c r="Z656" s="6"/>
    </row>
    <row r="657" customFormat="false" ht="15" hidden="false" customHeight="false" outlineLevel="0" collapsed="false">
      <c r="A657" s="9" t="s">
        <v>874</v>
      </c>
      <c r="B657" s="9" t="s">
        <v>771</v>
      </c>
      <c r="C657" s="9" t="s">
        <v>772</v>
      </c>
      <c r="D657" s="9" t="s">
        <v>619</v>
      </c>
      <c r="E657" s="9" t="s">
        <v>773</v>
      </c>
      <c r="F657" s="9" t="s">
        <v>205</v>
      </c>
      <c r="G657" s="9" t="s">
        <v>221</v>
      </c>
      <c r="H657" s="9" t="n">
        <v>1300</v>
      </c>
      <c r="I657" s="29" t="n">
        <v>1.8</v>
      </c>
      <c r="J657" s="9" t="n">
        <v>0</v>
      </c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21" t="str">
        <f aca="false">IF(COUNT(K657:T657)=0,"SOURCE EMPTY / INDUSTRIAL ONLY",IF(MIN(K657:T657)=1,"SERVICE READY","HOLD"))</f>
        <v>SOURCE EMPTY / INDUSTRIAL ONLY</v>
      </c>
      <c r="V657" s="9" t="n">
        <f aca="false">IF(U657="SERVICE READY",1,0)</f>
        <v>0</v>
      </c>
      <c r="W657" s="6"/>
      <c r="X657" s="6"/>
      <c r="Y657" s="6"/>
      <c r="Z657" s="6"/>
    </row>
    <row r="658" customFormat="false" ht="15" hidden="false" customHeight="false" outlineLevel="0" collapsed="false">
      <c r="A658" s="9" t="s">
        <v>875</v>
      </c>
      <c r="B658" s="9" t="s">
        <v>771</v>
      </c>
      <c r="C658" s="9" t="s">
        <v>772</v>
      </c>
      <c r="D658" s="9" t="s">
        <v>619</v>
      </c>
      <c r="E658" s="9" t="s">
        <v>773</v>
      </c>
      <c r="F658" s="9" t="s">
        <v>207</v>
      </c>
      <c r="G658" s="9" t="s">
        <v>221</v>
      </c>
      <c r="H658" s="9" t="n">
        <v>1300</v>
      </c>
      <c r="I658" s="29" t="n">
        <v>1.8</v>
      </c>
      <c r="J658" s="9" t="n">
        <v>0</v>
      </c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21" t="str">
        <f aca="false">IF(COUNT(K658:T658)=0,"SOURCE EMPTY / INDUSTRIAL ONLY",IF(MIN(K658:T658)=1,"SERVICE READY","HOLD"))</f>
        <v>SOURCE EMPTY / INDUSTRIAL ONLY</v>
      </c>
      <c r="V658" s="9" t="n">
        <f aca="false">IF(U658="SERVICE READY",1,0)</f>
        <v>0</v>
      </c>
      <c r="W658" s="6"/>
      <c r="X658" s="6"/>
      <c r="Y658" s="6"/>
      <c r="Z658" s="6"/>
    </row>
    <row r="659" customFormat="false" ht="15" hidden="false" customHeight="false" outlineLevel="0" collapsed="false">
      <c r="A659" s="9" t="s">
        <v>876</v>
      </c>
      <c r="B659" s="9" t="s">
        <v>771</v>
      </c>
      <c r="C659" s="9" t="s">
        <v>772</v>
      </c>
      <c r="D659" s="9" t="s">
        <v>619</v>
      </c>
      <c r="E659" s="9" t="s">
        <v>773</v>
      </c>
      <c r="F659" s="9" t="s">
        <v>209</v>
      </c>
      <c r="G659" s="9" t="s">
        <v>221</v>
      </c>
      <c r="H659" s="9" t="n">
        <v>1300</v>
      </c>
      <c r="I659" s="29" t="n">
        <v>1.8</v>
      </c>
      <c r="J659" s="9" t="n">
        <v>0</v>
      </c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21" t="str">
        <f aca="false">IF(COUNT(K659:T659)=0,"SOURCE EMPTY / INDUSTRIAL ONLY",IF(MIN(K659:T659)=1,"SERVICE READY","HOLD"))</f>
        <v>SOURCE EMPTY / INDUSTRIAL ONLY</v>
      </c>
      <c r="V659" s="9" t="n">
        <f aca="false">IF(U659="SERVICE READY",1,0)</f>
        <v>0</v>
      </c>
      <c r="W659" s="6"/>
      <c r="X659" s="6"/>
      <c r="Y659" s="6"/>
      <c r="Z659" s="6"/>
    </row>
    <row r="660" customFormat="false" ht="15" hidden="false" customHeight="false" outlineLevel="0" collapsed="false">
      <c r="A660" s="9" t="s">
        <v>877</v>
      </c>
      <c r="B660" s="9" t="s">
        <v>771</v>
      </c>
      <c r="C660" s="9" t="s">
        <v>772</v>
      </c>
      <c r="D660" s="9" t="s">
        <v>619</v>
      </c>
      <c r="E660" s="9" t="s">
        <v>773</v>
      </c>
      <c r="F660" s="9" t="s">
        <v>211</v>
      </c>
      <c r="G660" s="9" t="s">
        <v>221</v>
      </c>
      <c r="H660" s="9" t="n">
        <v>1300</v>
      </c>
      <c r="I660" s="29" t="n">
        <v>1.8</v>
      </c>
      <c r="J660" s="9" t="n">
        <v>0</v>
      </c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21" t="str">
        <f aca="false">IF(COUNT(K660:T660)=0,"SOURCE EMPTY / INDUSTRIAL ONLY",IF(MIN(K660:T660)=1,"SERVICE READY","HOLD"))</f>
        <v>SOURCE EMPTY / INDUSTRIAL ONLY</v>
      </c>
      <c r="V660" s="9" t="n">
        <f aca="false">IF(U660="SERVICE READY",1,0)</f>
        <v>0</v>
      </c>
      <c r="W660" s="6"/>
      <c r="X660" s="6"/>
      <c r="Y660" s="6"/>
      <c r="Z660" s="6"/>
    </row>
    <row r="661" customFormat="false" ht="15" hidden="false" customHeight="false" outlineLevel="0" collapsed="false">
      <c r="A661" s="9" t="s">
        <v>878</v>
      </c>
      <c r="B661" s="9" t="s">
        <v>771</v>
      </c>
      <c r="C661" s="9" t="s">
        <v>772</v>
      </c>
      <c r="D661" s="9" t="s">
        <v>619</v>
      </c>
      <c r="E661" s="9" t="s">
        <v>773</v>
      </c>
      <c r="F661" s="9" t="s">
        <v>197</v>
      </c>
      <c r="G661" s="9" t="s">
        <v>221</v>
      </c>
      <c r="H661" s="9" t="n">
        <v>1300</v>
      </c>
      <c r="I661" s="29" t="n">
        <v>1.8</v>
      </c>
      <c r="J661" s="9" t="n">
        <v>0</v>
      </c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21" t="str">
        <f aca="false">IF(COUNT(K661:T661)=0,"SOURCE EMPTY / INDUSTRIAL ONLY",IF(MIN(K661:T661)=1,"SERVICE READY","HOLD"))</f>
        <v>SOURCE EMPTY / INDUSTRIAL ONLY</v>
      </c>
      <c r="V661" s="9" t="n">
        <f aca="false">IF(U661="SERVICE READY",1,0)</f>
        <v>0</v>
      </c>
      <c r="W661" s="6"/>
      <c r="X661" s="6"/>
      <c r="Y661" s="6"/>
      <c r="Z661" s="6"/>
    </row>
    <row r="662" customFormat="false" ht="15" hidden="false" customHeight="false" outlineLevel="0" collapsed="false">
      <c r="A662" s="9" t="s">
        <v>879</v>
      </c>
      <c r="B662" s="9" t="s">
        <v>771</v>
      </c>
      <c r="C662" s="9" t="s">
        <v>772</v>
      </c>
      <c r="D662" s="9" t="s">
        <v>619</v>
      </c>
      <c r="E662" s="9" t="s">
        <v>773</v>
      </c>
      <c r="F662" s="9" t="s">
        <v>200</v>
      </c>
      <c r="G662" s="9" t="s">
        <v>221</v>
      </c>
      <c r="H662" s="9" t="n">
        <v>1300</v>
      </c>
      <c r="I662" s="29" t="n">
        <v>1.8</v>
      </c>
      <c r="J662" s="9" t="n">
        <v>0</v>
      </c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21" t="str">
        <f aca="false">IF(COUNT(K662:T662)=0,"SOURCE EMPTY / INDUSTRIAL ONLY",IF(MIN(K662:T662)=1,"SERVICE READY","HOLD"))</f>
        <v>SOURCE EMPTY / INDUSTRIAL ONLY</v>
      </c>
      <c r="V662" s="9" t="n">
        <f aca="false">IF(U662="SERVICE READY",1,0)</f>
        <v>0</v>
      </c>
      <c r="W662" s="6"/>
      <c r="X662" s="6"/>
      <c r="Y662" s="6"/>
      <c r="Z662" s="6"/>
    </row>
    <row r="663" customFormat="false" ht="15" hidden="false" customHeight="false" outlineLevel="0" collapsed="false">
      <c r="A663" s="9" t="s">
        <v>880</v>
      </c>
      <c r="B663" s="9" t="s">
        <v>771</v>
      </c>
      <c r="C663" s="9" t="s">
        <v>772</v>
      </c>
      <c r="D663" s="9" t="s">
        <v>619</v>
      </c>
      <c r="E663" s="9" t="s">
        <v>773</v>
      </c>
      <c r="F663" s="9" t="s">
        <v>203</v>
      </c>
      <c r="G663" s="9" t="s">
        <v>221</v>
      </c>
      <c r="H663" s="9" t="n">
        <v>1300</v>
      </c>
      <c r="I663" s="29" t="n">
        <v>1.8</v>
      </c>
      <c r="J663" s="9" t="n">
        <v>0</v>
      </c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21" t="str">
        <f aca="false">IF(COUNT(K663:T663)=0,"SOURCE EMPTY / INDUSTRIAL ONLY",IF(MIN(K663:T663)=1,"SERVICE READY","HOLD"))</f>
        <v>SOURCE EMPTY / INDUSTRIAL ONLY</v>
      </c>
      <c r="V663" s="9" t="n">
        <f aca="false">IF(U663="SERVICE READY",1,0)</f>
        <v>0</v>
      </c>
      <c r="W663" s="6"/>
      <c r="X663" s="6"/>
      <c r="Y663" s="6"/>
      <c r="Z663" s="6"/>
    </row>
    <row r="664" customFormat="false" ht="15" hidden="false" customHeight="false" outlineLevel="0" collapsed="false">
      <c r="A664" s="9" t="s">
        <v>881</v>
      </c>
      <c r="B664" s="9" t="s">
        <v>882</v>
      </c>
      <c r="C664" s="9" t="s">
        <v>883</v>
      </c>
      <c r="D664" s="9" t="s">
        <v>619</v>
      </c>
      <c r="E664" s="9" t="s">
        <v>773</v>
      </c>
      <c r="F664" s="9" t="s">
        <v>197</v>
      </c>
      <c r="G664" s="9" t="s">
        <v>198</v>
      </c>
      <c r="H664" s="9" t="n">
        <v>1040</v>
      </c>
      <c r="I664" s="29" t="n">
        <v>1.4</v>
      </c>
      <c r="J664" s="9" t="n">
        <v>1</v>
      </c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21" t="str">
        <f aca="false">IF(COUNT(K664:T664)=0,"SOURCE EMPTY / INDUSTRIAL ONLY",IF(MIN(K664:T664)=1,"SERVICE READY","HOLD"))</f>
        <v>SOURCE EMPTY / INDUSTRIAL ONLY</v>
      </c>
      <c r="V664" s="9" t="n">
        <f aca="false">IF(U664="SERVICE READY",1,0)</f>
        <v>0</v>
      </c>
      <c r="W664" s="6"/>
      <c r="X664" s="6"/>
      <c r="Y664" s="6"/>
      <c r="Z664" s="6"/>
    </row>
    <row r="665" customFormat="false" ht="15" hidden="false" customHeight="false" outlineLevel="0" collapsed="false">
      <c r="A665" s="9" t="s">
        <v>884</v>
      </c>
      <c r="B665" s="9" t="s">
        <v>882</v>
      </c>
      <c r="C665" s="9" t="s">
        <v>883</v>
      </c>
      <c r="D665" s="9" t="s">
        <v>619</v>
      </c>
      <c r="E665" s="9" t="s">
        <v>773</v>
      </c>
      <c r="F665" s="9" t="s">
        <v>200</v>
      </c>
      <c r="G665" s="9" t="s">
        <v>201</v>
      </c>
      <c r="H665" s="9" t="n">
        <v>1040</v>
      </c>
      <c r="I665" s="29" t="n">
        <v>1.4</v>
      </c>
      <c r="J665" s="9" t="n">
        <v>1</v>
      </c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21" t="str">
        <f aca="false">IF(COUNT(K665:T665)=0,"SOURCE EMPTY / INDUSTRIAL ONLY",IF(MIN(K665:T665)=1,"SERVICE READY","HOLD"))</f>
        <v>SOURCE EMPTY / INDUSTRIAL ONLY</v>
      </c>
      <c r="V665" s="9" t="n">
        <f aca="false">IF(U665="SERVICE READY",1,0)</f>
        <v>0</v>
      </c>
      <c r="W665" s="6"/>
      <c r="X665" s="6"/>
      <c r="Y665" s="6"/>
      <c r="Z665" s="6"/>
    </row>
    <row r="666" customFormat="false" ht="15" hidden="false" customHeight="false" outlineLevel="0" collapsed="false">
      <c r="A666" s="9" t="s">
        <v>885</v>
      </c>
      <c r="B666" s="9" t="s">
        <v>882</v>
      </c>
      <c r="C666" s="9" t="s">
        <v>883</v>
      </c>
      <c r="D666" s="9" t="s">
        <v>619</v>
      </c>
      <c r="E666" s="9" t="s">
        <v>773</v>
      </c>
      <c r="F666" s="9" t="s">
        <v>203</v>
      </c>
      <c r="G666" s="9" t="s">
        <v>198</v>
      </c>
      <c r="H666" s="9" t="n">
        <v>1040</v>
      </c>
      <c r="I666" s="29" t="n">
        <v>1.4</v>
      </c>
      <c r="J666" s="9" t="n">
        <v>1</v>
      </c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21" t="str">
        <f aca="false">IF(COUNT(K666:T666)=0,"SOURCE EMPTY / INDUSTRIAL ONLY",IF(MIN(K666:T666)=1,"SERVICE READY","HOLD"))</f>
        <v>SOURCE EMPTY / INDUSTRIAL ONLY</v>
      </c>
      <c r="V666" s="9" t="n">
        <f aca="false">IF(U666="SERVICE READY",1,0)</f>
        <v>0</v>
      </c>
      <c r="W666" s="6"/>
      <c r="X666" s="6"/>
      <c r="Y666" s="6"/>
      <c r="Z666" s="6"/>
    </row>
    <row r="667" customFormat="false" ht="15" hidden="false" customHeight="false" outlineLevel="0" collapsed="false">
      <c r="A667" s="9" t="s">
        <v>886</v>
      </c>
      <c r="B667" s="9" t="s">
        <v>882</v>
      </c>
      <c r="C667" s="9" t="s">
        <v>883</v>
      </c>
      <c r="D667" s="9" t="s">
        <v>619</v>
      </c>
      <c r="E667" s="9" t="s">
        <v>773</v>
      </c>
      <c r="F667" s="9" t="s">
        <v>205</v>
      </c>
      <c r="G667" s="9" t="s">
        <v>201</v>
      </c>
      <c r="H667" s="9" t="n">
        <v>1040</v>
      </c>
      <c r="I667" s="29" t="n">
        <v>1.4</v>
      </c>
      <c r="J667" s="9" t="n">
        <v>1</v>
      </c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21" t="str">
        <f aca="false">IF(COUNT(K667:T667)=0,"SOURCE EMPTY / INDUSTRIAL ONLY",IF(MIN(K667:T667)=1,"SERVICE READY","HOLD"))</f>
        <v>SOURCE EMPTY / INDUSTRIAL ONLY</v>
      </c>
      <c r="V667" s="9" t="n">
        <f aca="false">IF(U667="SERVICE READY",1,0)</f>
        <v>0</v>
      </c>
      <c r="W667" s="6"/>
      <c r="X667" s="6"/>
      <c r="Y667" s="6"/>
      <c r="Z667" s="6"/>
    </row>
    <row r="668" customFormat="false" ht="15" hidden="false" customHeight="false" outlineLevel="0" collapsed="false">
      <c r="A668" s="9" t="s">
        <v>887</v>
      </c>
      <c r="B668" s="9" t="s">
        <v>882</v>
      </c>
      <c r="C668" s="9" t="s">
        <v>883</v>
      </c>
      <c r="D668" s="9" t="s">
        <v>619</v>
      </c>
      <c r="E668" s="9" t="s">
        <v>773</v>
      </c>
      <c r="F668" s="9" t="s">
        <v>207</v>
      </c>
      <c r="G668" s="9" t="s">
        <v>198</v>
      </c>
      <c r="H668" s="9" t="n">
        <v>1040</v>
      </c>
      <c r="I668" s="29" t="n">
        <v>1.4</v>
      </c>
      <c r="J668" s="9" t="n">
        <v>1</v>
      </c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21" t="str">
        <f aca="false">IF(COUNT(K668:T668)=0,"SOURCE EMPTY / INDUSTRIAL ONLY",IF(MIN(K668:T668)=1,"SERVICE READY","HOLD"))</f>
        <v>SOURCE EMPTY / INDUSTRIAL ONLY</v>
      </c>
      <c r="V668" s="9" t="n">
        <f aca="false">IF(U668="SERVICE READY",1,0)</f>
        <v>0</v>
      </c>
      <c r="W668" s="6"/>
      <c r="X668" s="6"/>
      <c r="Y668" s="6"/>
      <c r="Z668" s="6"/>
    </row>
    <row r="669" customFormat="false" ht="15" hidden="false" customHeight="false" outlineLevel="0" collapsed="false">
      <c r="A669" s="9" t="s">
        <v>888</v>
      </c>
      <c r="B669" s="9" t="s">
        <v>882</v>
      </c>
      <c r="C669" s="9" t="s">
        <v>883</v>
      </c>
      <c r="D669" s="9" t="s">
        <v>619</v>
      </c>
      <c r="E669" s="9" t="s">
        <v>773</v>
      </c>
      <c r="F669" s="9" t="s">
        <v>209</v>
      </c>
      <c r="G669" s="9" t="s">
        <v>201</v>
      </c>
      <c r="H669" s="9" t="n">
        <v>1040</v>
      </c>
      <c r="I669" s="29" t="n">
        <v>1.4</v>
      </c>
      <c r="J669" s="9" t="n">
        <v>1</v>
      </c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21" t="str">
        <f aca="false">IF(COUNT(K669:T669)=0,"SOURCE EMPTY / INDUSTRIAL ONLY",IF(MIN(K669:T669)=1,"SERVICE READY","HOLD"))</f>
        <v>SOURCE EMPTY / INDUSTRIAL ONLY</v>
      </c>
      <c r="V669" s="9" t="n">
        <f aca="false">IF(U669="SERVICE READY",1,0)</f>
        <v>0</v>
      </c>
      <c r="W669" s="6"/>
      <c r="X669" s="6"/>
      <c r="Y669" s="6"/>
      <c r="Z669" s="6"/>
    </row>
    <row r="670" customFormat="false" ht="15" hidden="false" customHeight="false" outlineLevel="0" collapsed="false">
      <c r="A670" s="9" t="s">
        <v>889</v>
      </c>
      <c r="B670" s="9" t="s">
        <v>882</v>
      </c>
      <c r="C670" s="9" t="s">
        <v>883</v>
      </c>
      <c r="D670" s="9" t="s">
        <v>619</v>
      </c>
      <c r="E670" s="9" t="s">
        <v>773</v>
      </c>
      <c r="F670" s="9" t="s">
        <v>211</v>
      </c>
      <c r="G670" s="9" t="s">
        <v>198</v>
      </c>
      <c r="H670" s="9" t="n">
        <v>1040</v>
      </c>
      <c r="I670" s="29" t="n">
        <v>1.4</v>
      </c>
      <c r="J670" s="9" t="n">
        <v>1</v>
      </c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21" t="str">
        <f aca="false">IF(COUNT(K670:T670)=0,"SOURCE EMPTY / INDUSTRIAL ONLY",IF(MIN(K670:T670)=1,"SERVICE READY","HOLD"))</f>
        <v>SOURCE EMPTY / INDUSTRIAL ONLY</v>
      </c>
      <c r="V670" s="9" t="n">
        <f aca="false">IF(U670="SERVICE READY",1,0)</f>
        <v>0</v>
      </c>
      <c r="W670" s="6"/>
      <c r="X670" s="6"/>
      <c r="Y670" s="6"/>
      <c r="Z670" s="6"/>
    </row>
    <row r="671" customFormat="false" ht="15" hidden="false" customHeight="false" outlineLevel="0" collapsed="false">
      <c r="A671" s="9" t="s">
        <v>890</v>
      </c>
      <c r="B671" s="9" t="s">
        <v>882</v>
      </c>
      <c r="C671" s="9" t="s">
        <v>883</v>
      </c>
      <c r="D671" s="9" t="s">
        <v>619</v>
      </c>
      <c r="E671" s="9" t="s">
        <v>773</v>
      </c>
      <c r="F671" s="9" t="s">
        <v>197</v>
      </c>
      <c r="G671" s="9" t="s">
        <v>201</v>
      </c>
      <c r="H671" s="9" t="n">
        <v>1040</v>
      </c>
      <c r="I671" s="29" t="n">
        <v>1.4</v>
      </c>
      <c r="J671" s="9" t="n">
        <v>1</v>
      </c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21" t="str">
        <f aca="false">IF(COUNT(K671:T671)=0,"SOURCE EMPTY / INDUSTRIAL ONLY",IF(MIN(K671:T671)=1,"SERVICE READY","HOLD"))</f>
        <v>SOURCE EMPTY / INDUSTRIAL ONLY</v>
      </c>
      <c r="V671" s="9" t="n">
        <f aca="false">IF(U671="SERVICE READY",1,0)</f>
        <v>0</v>
      </c>
      <c r="W671" s="6"/>
      <c r="X671" s="6"/>
      <c r="Y671" s="6"/>
      <c r="Z671" s="6"/>
    </row>
    <row r="672" customFormat="false" ht="15" hidden="false" customHeight="false" outlineLevel="0" collapsed="false">
      <c r="A672" s="9" t="s">
        <v>891</v>
      </c>
      <c r="B672" s="9" t="s">
        <v>882</v>
      </c>
      <c r="C672" s="9" t="s">
        <v>883</v>
      </c>
      <c r="D672" s="9" t="s">
        <v>619</v>
      </c>
      <c r="E672" s="9" t="s">
        <v>773</v>
      </c>
      <c r="F672" s="9" t="s">
        <v>200</v>
      </c>
      <c r="G672" s="9" t="s">
        <v>198</v>
      </c>
      <c r="H672" s="9" t="n">
        <v>1040</v>
      </c>
      <c r="I672" s="29" t="n">
        <v>1.4</v>
      </c>
      <c r="J672" s="9" t="n">
        <v>1</v>
      </c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21" t="str">
        <f aca="false">IF(COUNT(K672:T672)=0,"SOURCE EMPTY / INDUSTRIAL ONLY",IF(MIN(K672:T672)=1,"SERVICE READY","HOLD"))</f>
        <v>SOURCE EMPTY / INDUSTRIAL ONLY</v>
      </c>
      <c r="V672" s="9" t="n">
        <f aca="false">IF(U672="SERVICE READY",1,0)</f>
        <v>0</v>
      </c>
      <c r="W672" s="6"/>
      <c r="X672" s="6"/>
      <c r="Y672" s="6"/>
      <c r="Z672" s="6"/>
    </row>
    <row r="673" customFormat="false" ht="15" hidden="false" customHeight="false" outlineLevel="0" collapsed="false">
      <c r="A673" s="9" t="s">
        <v>892</v>
      </c>
      <c r="B673" s="9" t="s">
        <v>882</v>
      </c>
      <c r="C673" s="9" t="s">
        <v>883</v>
      </c>
      <c r="D673" s="9" t="s">
        <v>619</v>
      </c>
      <c r="E673" s="9" t="s">
        <v>773</v>
      </c>
      <c r="F673" s="9" t="s">
        <v>203</v>
      </c>
      <c r="G673" s="9" t="s">
        <v>201</v>
      </c>
      <c r="H673" s="9" t="n">
        <v>1040</v>
      </c>
      <c r="I673" s="29" t="n">
        <v>1.4</v>
      </c>
      <c r="J673" s="9" t="n">
        <v>1</v>
      </c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21" t="str">
        <f aca="false">IF(COUNT(K673:T673)=0,"SOURCE EMPTY / INDUSTRIAL ONLY",IF(MIN(K673:T673)=1,"SERVICE READY","HOLD"))</f>
        <v>SOURCE EMPTY / INDUSTRIAL ONLY</v>
      </c>
      <c r="V673" s="9" t="n">
        <f aca="false">IF(U673="SERVICE READY",1,0)</f>
        <v>0</v>
      </c>
      <c r="W673" s="6"/>
      <c r="X673" s="6"/>
      <c r="Y673" s="6"/>
      <c r="Z673" s="6"/>
    </row>
    <row r="674" customFormat="false" ht="15" hidden="false" customHeight="false" outlineLevel="0" collapsed="false">
      <c r="A674" s="9" t="s">
        <v>893</v>
      </c>
      <c r="B674" s="9" t="s">
        <v>882</v>
      </c>
      <c r="C674" s="9" t="s">
        <v>883</v>
      </c>
      <c r="D674" s="9" t="s">
        <v>619</v>
      </c>
      <c r="E674" s="9" t="s">
        <v>773</v>
      </c>
      <c r="F674" s="9" t="s">
        <v>205</v>
      </c>
      <c r="G674" s="9" t="s">
        <v>198</v>
      </c>
      <c r="H674" s="9" t="n">
        <v>1040</v>
      </c>
      <c r="I674" s="29" t="n">
        <v>1.4</v>
      </c>
      <c r="J674" s="9" t="n">
        <v>1</v>
      </c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21" t="str">
        <f aca="false">IF(COUNT(K674:T674)=0,"SOURCE EMPTY / INDUSTRIAL ONLY",IF(MIN(K674:T674)=1,"SERVICE READY","HOLD"))</f>
        <v>SOURCE EMPTY / INDUSTRIAL ONLY</v>
      </c>
      <c r="V674" s="9" t="n">
        <f aca="false">IF(U674="SERVICE READY",1,0)</f>
        <v>0</v>
      </c>
      <c r="W674" s="6"/>
      <c r="X674" s="6"/>
      <c r="Y674" s="6"/>
      <c r="Z674" s="6"/>
    </row>
    <row r="675" customFormat="false" ht="15" hidden="false" customHeight="false" outlineLevel="0" collapsed="false">
      <c r="A675" s="9" t="s">
        <v>894</v>
      </c>
      <c r="B675" s="9" t="s">
        <v>882</v>
      </c>
      <c r="C675" s="9" t="s">
        <v>883</v>
      </c>
      <c r="D675" s="9" t="s">
        <v>619</v>
      </c>
      <c r="E675" s="9" t="s">
        <v>773</v>
      </c>
      <c r="F675" s="9" t="s">
        <v>207</v>
      </c>
      <c r="G675" s="9" t="s">
        <v>201</v>
      </c>
      <c r="H675" s="9" t="n">
        <v>1040</v>
      </c>
      <c r="I675" s="29" t="n">
        <v>1.4</v>
      </c>
      <c r="J675" s="9" t="n">
        <v>1</v>
      </c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21" t="str">
        <f aca="false">IF(COUNT(K675:T675)=0,"SOURCE EMPTY / INDUSTRIAL ONLY",IF(MIN(K675:T675)=1,"SERVICE READY","HOLD"))</f>
        <v>SOURCE EMPTY / INDUSTRIAL ONLY</v>
      </c>
      <c r="V675" s="9" t="n">
        <f aca="false">IF(U675="SERVICE READY",1,0)</f>
        <v>0</v>
      </c>
      <c r="W675" s="6"/>
      <c r="X675" s="6"/>
      <c r="Y675" s="6"/>
      <c r="Z675" s="6"/>
    </row>
    <row r="676" customFormat="false" ht="15" hidden="false" customHeight="false" outlineLevel="0" collapsed="false">
      <c r="A676" s="9" t="s">
        <v>895</v>
      </c>
      <c r="B676" s="9" t="s">
        <v>882</v>
      </c>
      <c r="C676" s="9" t="s">
        <v>883</v>
      </c>
      <c r="D676" s="9" t="s">
        <v>619</v>
      </c>
      <c r="E676" s="9" t="s">
        <v>773</v>
      </c>
      <c r="F676" s="9" t="s">
        <v>209</v>
      </c>
      <c r="G676" s="9" t="s">
        <v>198</v>
      </c>
      <c r="H676" s="9" t="n">
        <v>1040</v>
      </c>
      <c r="I676" s="29" t="n">
        <v>1.4</v>
      </c>
      <c r="J676" s="9" t="n">
        <v>1</v>
      </c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21" t="str">
        <f aca="false">IF(COUNT(K676:T676)=0,"SOURCE EMPTY / INDUSTRIAL ONLY",IF(MIN(K676:T676)=1,"SERVICE READY","HOLD"))</f>
        <v>SOURCE EMPTY / INDUSTRIAL ONLY</v>
      </c>
      <c r="V676" s="9" t="n">
        <f aca="false">IF(U676="SERVICE READY",1,0)</f>
        <v>0</v>
      </c>
      <c r="W676" s="6"/>
      <c r="X676" s="6"/>
      <c r="Y676" s="6"/>
      <c r="Z676" s="6"/>
    </row>
    <row r="677" customFormat="false" ht="15" hidden="false" customHeight="false" outlineLevel="0" collapsed="false">
      <c r="A677" s="9" t="s">
        <v>896</v>
      </c>
      <c r="B677" s="9" t="s">
        <v>882</v>
      </c>
      <c r="C677" s="9" t="s">
        <v>883</v>
      </c>
      <c r="D677" s="9" t="s">
        <v>619</v>
      </c>
      <c r="E677" s="9" t="s">
        <v>773</v>
      </c>
      <c r="F677" s="9" t="s">
        <v>211</v>
      </c>
      <c r="G677" s="9" t="s">
        <v>201</v>
      </c>
      <c r="H677" s="9" t="n">
        <v>1040</v>
      </c>
      <c r="I677" s="29" t="n">
        <v>1.4</v>
      </c>
      <c r="J677" s="9" t="n">
        <v>1</v>
      </c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21" t="str">
        <f aca="false">IF(COUNT(K677:T677)=0,"SOURCE EMPTY / INDUSTRIAL ONLY",IF(MIN(K677:T677)=1,"SERVICE READY","HOLD"))</f>
        <v>SOURCE EMPTY / INDUSTRIAL ONLY</v>
      </c>
      <c r="V677" s="9" t="n">
        <f aca="false">IF(U677="SERVICE READY",1,0)</f>
        <v>0</v>
      </c>
      <c r="W677" s="6"/>
      <c r="X677" s="6"/>
      <c r="Y677" s="6"/>
      <c r="Z677" s="6"/>
    </row>
    <row r="678" customFormat="false" ht="15" hidden="false" customHeight="false" outlineLevel="0" collapsed="false">
      <c r="A678" s="9" t="s">
        <v>897</v>
      </c>
      <c r="B678" s="9" t="s">
        <v>882</v>
      </c>
      <c r="C678" s="9" t="s">
        <v>883</v>
      </c>
      <c r="D678" s="9" t="s">
        <v>619</v>
      </c>
      <c r="E678" s="9" t="s">
        <v>773</v>
      </c>
      <c r="F678" s="9" t="s">
        <v>197</v>
      </c>
      <c r="G678" s="9" t="s">
        <v>198</v>
      </c>
      <c r="H678" s="9" t="n">
        <v>1040</v>
      </c>
      <c r="I678" s="29" t="n">
        <v>1.4</v>
      </c>
      <c r="J678" s="9" t="n">
        <v>1</v>
      </c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21" t="str">
        <f aca="false">IF(COUNT(K678:T678)=0,"SOURCE EMPTY / INDUSTRIAL ONLY",IF(MIN(K678:T678)=1,"SERVICE READY","HOLD"))</f>
        <v>SOURCE EMPTY / INDUSTRIAL ONLY</v>
      </c>
      <c r="V678" s="9" t="n">
        <f aca="false">IF(U678="SERVICE READY",1,0)</f>
        <v>0</v>
      </c>
      <c r="W678" s="6"/>
      <c r="X678" s="6"/>
      <c r="Y678" s="6"/>
      <c r="Z678" s="6"/>
    </row>
    <row r="679" customFormat="false" ht="15" hidden="false" customHeight="false" outlineLevel="0" collapsed="false">
      <c r="A679" s="9" t="s">
        <v>898</v>
      </c>
      <c r="B679" s="9" t="s">
        <v>882</v>
      </c>
      <c r="C679" s="9" t="s">
        <v>883</v>
      </c>
      <c r="D679" s="9" t="s">
        <v>619</v>
      </c>
      <c r="E679" s="9" t="s">
        <v>773</v>
      </c>
      <c r="F679" s="9" t="s">
        <v>200</v>
      </c>
      <c r="G679" s="9" t="s">
        <v>201</v>
      </c>
      <c r="H679" s="9" t="n">
        <v>1040</v>
      </c>
      <c r="I679" s="29" t="n">
        <v>1.4</v>
      </c>
      <c r="J679" s="9" t="n">
        <v>1</v>
      </c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21" t="str">
        <f aca="false">IF(COUNT(K679:T679)=0,"SOURCE EMPTY / INDUSTRIAL ONLY",IF(MIN(K679:T679)=1,"SERVICE READY","HOLD"))</f>
        <v>SOURCE EMPTY / INDUSTRIAL ONLY</v>
      </c>
      <c r="V679" s="9" t="n">
        <f aca="false">IF(U679="SERVICE READY",1,0)</f>
        <v>0</v>
      </c>
      <c r="W679" s="6"/>
      <c r="X679" s="6"/>
      <c r="Y679" s="6"/>
      <c r="Z679" s="6"/>
    </row>
    <row r="680" customFormat="false" ht="15" hidden="false" customHeight="false" outlineLevel="0" collapsed="false">
      <c r="A680" s="9" t="s">
        <v>899</v>
      </c>
      <c r="B680" s="9" t="s">
        <v>882</v>
      </c>
      <c r="C680" s="9" t="s">
        <v>883</v>
      </c>
      <c r="D680" s="9" t="s">
        <v>619</v>
      </c>
      <c r="E680" s="9" t="s">
        <v>773</v>
      </c>
      <c r="F680" s="9" t="s">
        <v>203</v>
      </c>
      <c r="G680" s="9" t="s">
        <v>198</v>
      </c>
      <c r="H680" s="9" t="n">
        <v>1040</v>
      </c>
      <c r="I680" s="29" t="n">
        <v>1.4</v>
      </c>
      <c r="J680" s="9" t="n">
        <v>1</v>
      </c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21" t="str">
        <f aca="false">IF(COUNT(K680:T680)=0,"SOURCE EMPTY / INDUSTRIAL ONLY",IF(MIN(K680:T680)=1,"SERVICE READY","HOLD"))</f>
        <v>SOURCE EMPTY / INDUSTRIAL ONLY</v>
      </c>
      <c r="V680" s="9" t="n">
        <f aca="false">IF(U680="SERVICE READY",1,0)</f>
        <v>0</v>
      </c>
      <c r="W680" s="6"/>
      <c r="X680" s="6"/>
      <c r="Y680" s="6"/>
      <c r="Z680" s="6"/>
    </row>
    <row r="681" customFormat="false" ht="15" hidden="false" customHeight="false" outlineLevel="0" collapsed="false">
      <c r="A681" s="9" t="s">
        <v>900</v>
      </c>
      <c r="B681" s="9" t="s">
        <v>882</v>
      </c>
      <c r="C681" s="9" t="s">
        <v>883</v>
      </c>
      <c r="D681" s="9" t="s">
        <v>619</v>
      </c>
      <c r="E681" s="9" t="s">
        <v>773</v>
      </c>
      <c r="F681" s="9" t="s">
        <v>205</v>
      </c>
      <c r="G681" s="9" t="s">
        <v>201</v>
      </c>
      <c r="H681" s="9" t="n">
        <v>1040</v>
      </c>
      <c r="I681" s="29" t="n">
        <v>1.4</v>
      </c>
      <c r="J681" s="9" t="n">
        <v>1</v>
      </c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21" t="str">
        <f aca="false">IF(COUNT(K681:T681)=0,"SOURCE EMPTY / INDUSTRIAL ONLY",IF(MIN(K681:T681)=1,"SERVICE READY","HOLD"))</f>
        <v>SOURCE EMPTY / INDUSTRIAL ONLY</v>
      </c>
      <c r="V681" s="9" t="n">
        <f aca="false">IF(U681="SERVICE READY",1,0)</f>
        <v>0</v>
      </c>
      <c r="W681" s="6"/>
      <c r="X681" s="6"/>
      <c r="Y681" s="6"/>
      <c r="Z681" s="6"/>
    </row>
    <row r="682" customFormat="false" ht="15" hidden="false" customHeight="false" outlineLevel="0" collapsed="false">
      <c r="A682" s="9" t="s">
        <v>901</v>
      </c>
      <c r="B682" s="9" t="s">
        <v>882</v>
      </c>
      <c r="C682" s="9" t="s">
        <v>883</v>
      </c>
      <c r="D682" s="9" t="s">
        <v>619</v>
      </c>
      <c r="E682" s="9" t="s">
        <v>773</v>
      </c>
      <c r="F682" s="9" t="s">
        <v>207</v>
      </c>
      <c r="G682" s="9" t="s">
        <v>198</v>
      </c>
      <c r="H682" s="9" t="n">
        <v>1040</v>
      </c>
      <c r="I682" s="29" t="n">
        <v>1.4</v>
      </c>
      <c r="J682" s="9" t="n">
        <v>1</v>
      </c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21" t="str">
        <f aca="false">IF(COUNT(K682:T682)=0,"SOURCE EMPTY / INDUSTRIAL ONLY",IF(MIN(K682:T682)=1,"SERVICE READY","HOLD"))</f>
        <v>SOURCE EMPTY / INDUSTRIAL ONLY</v>
      </c>
      <c r="V682" s="9" t="n">
        <f aca="false">IF(U682="SERVICE READY",1,0)</f>
        <v>0</v>
      </c>
      <c r="W682" s="6"/>
      <c r="X682" s="6"/>
      <c r="Y682" s="6"/>
      <c r="Z682" s="6"/>
    </row>
    <row r="683" customFormat="false" ht="15" hidden="false" customHeight="false" outlineLevel="0" collapsed="false">
      <c r="A683" s="9" t="s">
        <v>902</v>
      </c>
      <c r="B683" s="9" t="s">
        <v>882</v>
      </c>
      <c r="C683" s="9" t="s">
        <v>883</v>
      </c>
      <c r="D683" s="9" t="s">
        <v>619</v>
      </c>
      <c r="E683" s="9" t="s">
        <v>773</v>
      </c>
      <c r="F683" s="9" t="s">
        <v>209</v>
      </c>
      <c r="G683" s="9" t="s">
        <v>201</v>
      </c>
      <c r="H683" s="9" t="n">
        <v>1040</v>
      </c>
      <c r="I683" s="29" t="n">
        <v>1.4</v>
      </c>
      <c r="J683" s="9" t="n">
        <v>1</v>
      </c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21" t="str">
        <f aca="false">IF(COUNT(K683:T683)=0,"SOURCE EMPTY / INDUSTRIAL ONLY",IF(MIN(K683:T683)=1,"SERVICE READY","HOLD"))</f>
        <v>SOURCE EMPTY / INDUSTRIAL ONLY</v>
      </c>
      <c r="V683" s="9" t="n">
        <f aca="false">IF(U683="SERVICE READY",1,0)</f>
        <v>0</v>
      </c>
      <c r="W683" s="6"/>
      <c r="X683" s="6"/>
      <c r="Y683" s="6"/>
      <c r="Z683" s="6"/>
    </row>
    <row r="684" customFormat="false" ht="15" hidden="false" customHeight="false" outlineLevel="0" collapsed="false">
      <c r="A684" s="9" t="s">
        <v>903</v>
      </c>
      <c r="B684" s="9" t="s">
        <v>882</v>
      </c>
      <c r="C684" s="9" t="s">
        <v>883</v>
      </c>
      <c r="D684" s="9" t="s">
        <v>619</v>
      </c>
      <c r="E684" s="9" t="s">
        <v>773</v>
      </c>
      <c r="F684" s="9" t="s">
        <v>211</v>
      </c>
      <c r="G684" s="9" t="s">
        <v>198</v>
      </c>
      <c r="H684" s="9" t="n">
        <v>1040</v>
      </c>
      <c r="I684" s="29" t="n">
        <v>1.4</v>
      </c>
      <c r="J684" s="9" t="n">
        <v>1</v>
      </c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21" t="str">
        <f aca="false">IF(COUNT(K684:T684)=0,"SOURCE EMPTY / INDUSTRIAL ONLY",IF(MIN(K684:T684)=1,"SERVICE READY","HOLD"))</f>
        <v>SOURCE EMPTY / INDUSTRIAL ONLY</v>
      </c>
      <c r="V684" s="9" t="n">
        <f aca="false">IF(U684="SERVICE READY",1,0)</f>
        <v>0</v>
      </c>
      <c r="W684" s="6"/>
      <c r="X684" s="6"/>
      <c r="Y684" s="6"/>
      <c r="Z684" s="6"/>
    </row>
    <row r="685" customFormat="false" ht="15" hidden="false" customHeight="false" outlineLevel="0" collapsed="false">
      <c r="A685" s="9" t="s">
        <v>904</v>
      </c>
      <c r="B685" s="9" t="s">
        <v>882</v>
      </c>
      <c r="C685" s="9" t="s">
        <v>883</v>
      </c>
      <c r="D685" s="9" t="s">
        <v>619</v>
      </c>
      <c r="E685" s="9" t="s">
        <v>773</v>
      </c>
      <c r="F685" s="9" t="s">
        <v>197</v>
      </c>
      <c r="G685" s="9" t="s">
        <v>201</v>
      </c>
      <c r="H685" s="9" t="n">
        <v>1040</v>
      </c>
      <c r="I685" s="29" t="n">
        <v>1.4</v>
      </c>
      <c r="J685" s="9" t="n">
        <v>1</v>
      </c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21" t="str">
        <f aca="false">IF(COUNT(K685:T685)=0,"SOURCE EMPTY / INDUSTRIAL ONLY",IF(MIN(K685:T685)=1,"SERVICE READY","HOLD"))</f>
        <v>SOURCE EMPTY / INDUSTRIAL ONLY</v>
      </c>
      <c r="V685" s="9" t="n">
        <f aca="false">IF(U685="SERVICE READY",1,0)</f>
        <v>0</v>
      </c>
      <c r="W685" s="6"/>
      <c r="X685" s="6"/>
      <c r="Y685" s="6"/>
      <c r="Z685" s="6"/>
    </row>
    <row r="686" customFormat="false" ht="15" hidden="false" customHeight="false" outlineLevel="0" collapsed="false">
      <c r="A686" s="9" t="s">
        <v>905</v>
      </c>
      <c r="B686" s="9" t="s">
        <v>882</v>
      </c>
      <c r="C686" s="9" t="s">
        <v>883</v>
      </c>
      <c r="D686" s="9" t="s">
        <v>619</v>
      </c>
      <c r="E686" s="9" t="s">
        <v>773</v>
      </c>
      <c r="F686" s="9" t="s">
        <v>200</v>
      </c>
      <c r="G686" s="9" t="s">
        <v>198</v>
      </c>
      <c r="H686" s="9" t="n">
        <v>1040</v>
      </c>
      <c r="I686" s="29" t="n">
        <v>1.4</v>
      </c>
      <c r="J686" s="9" t="n">
        <v>1</v>
      </c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21" t="str">
        <f aca="false">IF(COUNT(K686:T686)=0,"SOURCE EMPTY / INDUSTRIAL ONLY",IF(MIN(K686:T686)=1,"SERVICE READY","HOLD"))</f>
        <v>SOURCE EMPTY / INDUSTRIAL ONLY</v>
      </c>
      <c r="V686" s="9" t="n">
        <f aca="false">IF(U686="SERVICE READY",1,0)</f>
        <v>0</v>
      </c>
      <c r="W686" s="6"/>
      <c r="X686" s="6"/>
      <c r="Y686" s="6"/>
      <c r="Z686" s="6"/>
    </row>
    <row r="687" customFormat="false" ht="15" hidden="false" customHeight="false" outlineLevel="0" collapsed="false">
      <c r="A687" s="9" t="s">
        <v>906</v>
      </c>
      <c r="B687" s="9" t="s">
        <v>882</v>
      </c>
      <c r="C687" s="9" t="s">
        <v>883</v>
      </c>
      <c r="D687" s="9" t="s">
        <v>619</v>
      </c>
      <c r="E687" s="9" t="s">
        <v>773</v>
      </c>
      <c r="F687" s="9" t="s">
        <v>203</v>
      </c>
      <c r="G687" s="9" t="s">
        <v>201</v>
      </c>
      <c r="H687" s="9" t="n">
        <v>1040</v>
      </c>
      <c r="I687" s="29" t="n">
        <v>1.4</v>
      </c>
      <c r="J687" s="9" t="n">
        <v>1</v>
      </c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21" t="str">
        <f aca="false">IF(COUNT(K687:T687)=0,"SOURCE EMPTY / INDUSTRIAL ONLY",IF(MIN(K687:T687)=1,"SERVICE READY","HOLD"))</f>
        <v>SOURCE EMPTY / INDUSTRIAL ONLY</v>
      </c>
      <c r="V687" s="9" t="n">
        <f aca="false">IF(U687="SERVICE READY",1,0)</f>
        <v>0</v>
      </c>
      <c r="W687" s="6"/>
      <c r="X687" s="6"/>
      <c r="Y687" s="6"/>
      <c r="Z687" s="6"/>
    </row>
    <row r="688" customFormat="false" ht="15" hidden="false" customHeight="false" outlineLevel="0" collapsed="false">
      <c r="A688" s="9" t="s">
        <v>907</v>
      </c>
      <c r="B688" s="9" t="s">
        <v>882</v>
      </c>
      <c r="C688" s="9" t="s">
        <v>883</v>
      </c>
      <c r="D688" s="9" t="s">
        <v>619</v>
      </c>
      <c r="E688" s="9" t="s">
        <v>773</v>
      </c>
      <c r="F688" s="9" t="s">
        <v>205</v>
      </c>
      <c r="G688" s="9" t="s">
        <v>198</v>
      </c>
      <c r="H688" s="9" t="n">
        <v>1040</v>
      </c>
      <c r="I688" s="29" t="n">
        <v>1.4</v>
      </c>
      <c r="J688" s="9" t="n">
        <v>1</v>
      </c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21" t="str">
        <f aca="false">IF(COUNT(K688:T688)=0,"SOURCE EMPTY / INDUSTRIAL ONLY",IF(MIN(K688:T688)=1,"SERVICE READY","HOLD"))</f>
        <v>SOURCE EMPTY / INDUSTRIAL ONLY</v>
      </c>
      <c r="V688" s="9" t="n">
        <f aca="false">IF(U688="SERVICE READY",1,0)</f>
        <v>0</v>
      </c>
      <c r="W688" s="6"/>
      <c r="X688" s="6"/>
      <c r="Y688" s="6"/>
      <c r="Z688" s="6"/>
    </row>
    <row r="689" customFormat="false" ht="15" hidden="false" customHeight="false" outlineLevel="0" collapsed="false">
      <c r="A689" s="9" t="s">
        <v>908</v>
      </c>
      <c r="B689" s="9" t="s">
        <v>882</v>
      </c>
      <c r="C689" s="9" t="s">
        <v>883</v>
      </c>
      <c r="D689" s="9" t="s">
        <v>619</v>
      </c>
      <c r="E689" s="9" t="s">
        <v>773</v>
      </c>
      <c r="F689" s="9" t="s">
        <v>207</v>
      </c>
      <c r="G689" s="9" t="s">
        <v>201</v>
      </c>
      <c r="H689" s="9" t="n">
        <v>1040</v>
      </c>
      <c r="I689" s="29" t="n">
        <v>1.4</v>
      </c>
      <c r="J689" s="9" t="n">
        <v>1</v>
      </c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21" t="str">
        <f aca="false">IF(COUNT(K689:T689)=0,"SOURCE EMPTY / INDUSTRIAL ONLY",IF(MIN(K689:T689)=1,"SERVICE READY","HOLD"))</f>
        <v>SOURCE EMPTY / INDUSTRIAL ONLY</v>
      </c>
      <c r="V689" s="9" t="n">
        <f aca="false">IF(U689="SERVICE READY",1,0)</f>
        <v>0</v>
      </c>
      <c r="W689" s="6"/>
      <c r="X689" s="6"/>
      <c r="Y689" s="6"/>
      <c r="Z689" s="6"/>
    </row>
    <row r="690" customFormat="false" ht="15" hidden="false" customHeight="false" outlineLevel="0" collapsed="false">
      <c r="A690" s="9" t="s">
        <v>909</v>
      </c>
      <c r="B690" s="9" t="s">
        <v>882</v>
      </c>
      <c r="C690" s="9" t="s">
        <v>883</v>
      </c>
      <c r="D690" s="9" t="s">
        <v>619</v>
      </c>
      <c r="E690" s="9" t="s">
        <v>773</v>
      </c>
      <c r="F690" s="9" t="s">
        <v>209</v>
      </c>
      <c r="G690" s="9" t="s">
        <v>198</v>
      </c>
      <c r="H690" s="9" t="n">
        <v>1040</v>
      </c>
      <c r="I690" s="29" t="n">
        <v>1.4</v>
      </c>
      <c r="J690" s="9" t="n">
        <v>1</v>
      </c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21" t="str">
        <f aca="false">IF(COUNT(K690:T690)=0,"SOURCE EMPTY / INDUSTRIAL ONLY",IF(MIN(K690:T690)=1,"SERVICE READY","HOLD"))</f>
        <v>SOURCE EMPTY / INDUSTRIAL ONLY</v>
      </c>
      <c r="V690" s="9" t="n">
        <f aca="false">IF(U690="SERVICE READY",1,0)</f>
        <v>0</v>
      </c>
      <c r="W690" s="6"/>
      <c r="X690" s="6"/>
      <c r="Y690" s="6"/>
      <c r="Z690" s="6"/>
    </row>
    <row r="691" customFormat="false" ht="15" hidden="false" customHeight="false" outlineLevel="0" collapsed="false">
      <c r="A691" s="9" t="s">
        <v>910</v>
      </c>
      <c r="B691" s="9" t="s">
        <v>882</v>
      </c>
      <c r="C691" s="9" t="s">
        <v>883</v>
      </c>
      <c r="D691" s="9" t="s">
        <v>619</v>
      </c>
      <c r="E691" s="9" t="s">
        <v>773</v>
      </c>
      <c r="F691" s="9" t="s">
        <v>211</v>
      </c>
      <c r="G691" s="9" t="s">
        <v>201</v>
      </c>
      <c r="H691" s="9" t="n">
        <v>1040</v>
      </c>
      <c r="I691" s="29" t="n">
        <v>1.4</v>
      </c>
      <c r="J691" s="9" t="n">
        <v>1</v>
      </c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21" t="str">
        <f aca="false">IF(COUNT(K691:T691)=0,"SOURCE EMPTY / INDUSTRIAL ONLY",IF(MIN(K691:T691)=1,"SERVICE READY","HOLD"))</f>
        <v>SOURCE EMPTY / INDUSTRIAL ONLY</v>
      </c>
      <c r="V691" s="9" t="n">
        <f aca="false">IF(U691="SERVICE READY",1,0)</f>
        <v>0</v>
      </c>
      <c r="W691" s="6"/>
      <c r="X691" s="6"/>
      <c r="Y691" s="6"/>
      <c r="Z691" s="6"/>
    </row>
    <row r="692" customFormat="false" ht="15" hidden="false" customHeight="false" outlineLevel="0" collapsed="false">
      <c r="A692" s="9" t="s">
        <v>911</v>
      </c>
      <c r="B692" s="9" t="s">
        <v>882</v>
      </c>
      <c r="C692" s="9" t="s">
        <v>883</v>
      </c>
      <c r="D692" s="9" t="s">
        <v>619</v>
      </c>
      <c r="E692" s="9" t="s">
        <v>773</v>
      </c>
      <c r="F692" s="9" t="s">
        <v>197</v>
      </c>
      <c r="G692" s="9" t="s">
        <v>198</v>
      </c>
      <c r="H692" s="9" t="n">
        <v>1040</v>
      </c>
      <c r="I692" s="29" t="n">
        <v>1.4</v>
      </c>
      <c r="J692" s="9" t="n">
        <v>1</v>
      </c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21" t="str">
        <f aca="false">IF(COUNT(K692:T692)=0,"SOURCE EMPTY / INDUSTRIAL ONLY",IF(MIN(K692:T692)=1,"SERVICE READY","HOLD"))</f>
        <v>SOURCE EMPTY / INDUSTRIAL ONLY</v>
      </c>
      <c r="V692" s="9" t="n">
        <f aca="false">IF(U692="SERVICE READY",1,0)</f>
        <v>0</v>
      </c>
      <c r="W692" s="6"/>
      <c r="X692" s="6"/>
      <c r="Y692" s="6"/>
      <c r="Z692" s="6"/>
    </row>
    <row r="693" customFormat="false" ht="15" hidden="false" customHeight="false" outlineLevel="0" collapsed="false">
      <c r="A693" s="9" t="s">
        <v>912</v>
      </c>
      <c r="B693" s="9" t="s">
        <v>882</v>
      </c>
      <c r="C693" s="9" t="s">
        <v>883</v>
      </c>
      <c r="D693" s="9" t="s">
        <v>619</v>
      </c>
      <c r="E693" s="9" t="s">
        <v>773</v>
      </c>
      <c r="F693" s="9" t="s">
        <v>200</v>
      </c>
      <c r="G693" s="9" t="s">
        <v>201</v>
      </c>
      <c r="H693" s="9" t="n">
        <v>1040</v>
      </c>
      <c r="I693" s="29" t="n">
        <v>1.4</v>
      </c>
      <c r="J693" s="9" t="n">
        <v>1</v>
      </c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21" t="str">
        <f aca="false">IF(COUNT(K693:T693)=0,"SOURCE EMPTY / INDUSTRIAL ONLY",IF(MIN(K693:T693)=1,"SERVICE READY","HOLD"))</f>
        <v>SOURCE EMPTY / INDUSTRIAL ONLY</v>
      </c>
      <c r="V693" s="9" t="n">
        <f aca="false">IF(U693="SERVICE READY",1,0)</f>
        <v>0</v>
      </c>
      <c r="W693" s="6"/>
      <c r="X693" s="6"/>
      <c r="Y693" s="6"/>
      <c r="Z693" s="6"/>
    </row>
    <row r="694" customFormat="false" ht="15" hidden="false" customHeight="false" outlineLevel="0" collapsed="false">
      <c r="A694" s="9" t="s">
        <v>913</v>
      </c>
      <c r="B694" s="9" t="s">
        <v>882</v>
      </c>
      <c r="C694" s="9" t="s">
        <v>883</v>
      </c>
      <c r="D694" s="9" t="s">
        <v>619</v>
      </c>
      <c r="E694" s="9" t="s">
        <v>773</v>
      </c>
      <c r="F694" s="9" t="s">
        <v>203</v>
      </c>
      <c r="G694" s="9" t="s">
        <v>198</v>
      </c>
      <c r="H694" s="9" t="n">
        <v>1040</v>
      </c>
      <c r="I694" s="29" t="n">
        <v>1.4</v>
      </c>
      <c r="J694" s="9" t="n">
        <v>1</v>
      </c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21" t="str">
        <f aca="false">IF(COUNT(K694:T694)=0,"SOURCE EMPTY / INDUSTRIAL ONLY",IF(MIN(K694:T694)=1,"SERVICE READY","HOLD"))</f>
        <v>SOURCE EMPTY / INDUSTRIAL ONLY</v>
      </c>
      <c r="V694" s="9" t="n">
        <f aca="false">IF(U694="SERVICE READY",1,0)</f>
        <v>0</v>
      </c>
      <c r="W694" s="6"/>
      <c r="X694" s="6"/>
      <c r="Y694" s="6"/>
      <c r="Z694" s="6"/>
    </row>
    <row r="695" customFormat="false" ht="15" hidden="false" customHeight="false" outlineLevel="0" collapsed="false">
      <c r="A695" s="9" t="s">
        <v>914</v>
      </c>
      <c r="B695" s="9" t="s">
        <v>882</v>
      </c>
      <c r="C695" s="9" t="s">
        <v>883</v>
      </c>
      <c r="D695" s="9" t="s">
        <v>619</v>
      </c>
      <c r="E695" s="9" t="s">
        <v>773</v>
      </c>
      <c r="F695" s="9" t="s">
        <v>205</v>
      </c>
      <c r="G695" s="9" t="s">
        <v>201</v>
      </c>
      <c r="H695" s="9" t="n">
        <v>1040</v>
      </c>
      <c r="I695" s="29" t="n">
        <v>1.4</v>
      </c>
      <c r="J695" s="9" t="n">
        <v>1</v>
      </c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21" t="str">
        <f aca="false">IF(COUNT(K695:T695)=0,"SOURCE EMPTY / INDUSTRIAL ONLY",IF(MIN(K695:T695)=1,"SERVICE READY","HOLD"))</f>
        <v>SOURCE EMPTY / INDUSTRIAL ONLY</v>
      </c>
      <c r="V695" s="9" t="n">
        <f aca="false">IF(U695="SERVICE READY",1,0)</f>
        <v>0</v>
      </c>
      <c r="W695" s="6"/>
      <c r="X695" s="6"/>
      <c r="Y695" s="6"/>
      <c r="Z695" s="6"/>
    </row>
    <row r="696" customFormat="false" ht="15" hidden="false" customHeight="false" outlineLevel="0" collapsed="false">
      <c r="A696" s="9" t="s">
        <v>915</v>
      </c>
      <c r="B696" s="9" t="s">
        <v>882</v>
      </c>
      <c r="C696" s="9" t="s">
        <v>883</v>
      </c>
      <c r="D696" s="9" t="s">
        <v>619</v>
      </c>
      <c r="E696" s="9" t="s">
        <v>773</v>
      </c>
      <c r="F696" s="9" t="s">
        <v>207</v>
      </c>
      <c r="G696" s="9" t="s">
        <v>198</v>
      </c>
      <c r="H696" s="9" t="n">
        <v>1040</v>
      </c>
      <c r="I696" s="29" t="n">
        <v>1.4</v>
      </c>
      <c r="J696" s="9" t="n">
        <v>1</v>
      </c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21" t="str">
        <f aca="false">IF(COUNT(K696:T696)=0,"SOURCE EMPTY / INDUSTRIAL ONLY",IF(MIN(K696:T696)=1,"SERVICE READY","HOLD"))</f>
        <v>SOURCE EMPTY / INDUSTRIAL ONLY</v>
      </c>
      <c r="V696" s="9" t="n">
        <f aca="false">IF(U696="SERVICE READY",1,0)</f>
        <v>0</v>
      </c>
      <c r="W696" s="6"/>
      <c r="X696" s="6"/>
      <c r="Y696" s="6"/>
      <c r="Z696" s="6"/>
    </row>
    <row r="697" customFormat="false" ht="15" hidden="false" customHeight="false" outlineLevel="0" collapsed="false">
      <c r="A697" s="9" t="s">
        <v>916</v>
      </c>
      <c r="B697" s="9" t="s">
        <v>882</v>
      </c>
      <c r="C697" s="9" t="s">
        <v>883</v>
      </c>
      <c r="D697" s="9" t="s">
        <v>619</v>
      </c>
      <c r="E697" s="9" t="s">
        <v>773</v>
      </c>
      <c r="F697" s="9" t="s">
        <v>209</v>
      </c>
      <c r="G697" s="9" t="s">
        <v>201</v>
      </c>
      <c r="H697" s="9" t="n">
        <v>1040</v>
      </c>
      <c r="I697" s="29" t="n">
        <v>1.4</v>
      </c>
      <c r="J697" s="9" t="n">
        <v>1</v>
      </c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21" t="str">
        <f aca="false">IF(COUNT(K697:T697)=0,"SOURCE EMPTY / INDUSTRIAL ONLY",IF(MIN(K697:T697)=1,"SERVICE READY","HOLD"))</f>
        <v>SOURCE EMPTY / INDUSTRIAL ONLY</v>
      </c>
      <c r="V697" s="9" t="n">
        <f aca="false">IF(U697="SERVICE READY",1,0)</f>
        <v>0</v>
      </c>
      <c r="W697" s="6"/>
      <c r="X697" s="6"/>
      <c r="Y697" s="6"/>
      <c r="Z697" s="6"/>
    </row>
    <row r="698" customFormat="false" ht="15" hidden="false" customHeight="false" outlineLevel="0" collapsed="false">
      <c r="A698" s="9" t="s">
        <v>917</v>
      </c>
      <c r="B698" s="9" t="s">
        <v>882</v>
      </c>
      <c r="C698" s="9" t="s">
        <v>883</v>
      </c>
      <c r="D698" s="9" t="s">
        <v>619</v>
      </c>
      <c r="E698" s="9" t="s">
        <v>773</v>
      </c>
      <c r="F698" s="9" t="s">
        <v>211</v>
      </c>
      <c r="G698" s="9" t="s">
        <v>221</v>
      </c>
      <c r="H698" s="9" t="n">
        <v>1040</v>
      </c>
      <c r="I698" s="29" t="n">
        <v>1.4</v>
      </c>
      <c r="J698" s="9" t="n">
        <v>1</v>
      </c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21" t="str">
        <f aca="false">IF(COUNT(K698:T698)=0,"SOURCE EMPTY / INDUSTRIAL ONLY",IF(MIN(K698:T698)=1,"SERVICE READY","HOLD"))</f>
        <v>SOURCE EMPTY / INDUSTRIAL ONLY</v>
      </c>
      <c r="V698" s="9" t="n">
        <f aca="false">IF(U698="SERVICE READY",1,0)</f>
        <v>0</v>
      </c>
      <c r="W698" s="6"/>
      <c r="X698" s="6"/>
      <c r="Y698" s="6"/>
      <c r="Z698" s="6"/>
    </row>
    <row r="699" customFormat="false" ht="15" hidden="false" customHeight="false" outlineLevel="0" collapsed="false">
      <c r="A699" s="9" t="s">
        <v>918</v>
      </c>
      <c r="B699" s="9" t="s">
        <v>882</v>
      </c>
      <c r="C699" s="9" t="s">
        <v>883</v>
      </c>
      <c r="D699" s="9" t="s">
        <v>619</v>
      </c>
      <c r="E699" s="9" t="s">
        <v>773</v>
      </c>
      <c r="F699" s="9" t="s">
        <v>197</v>
      </c>
      <c r="G699" s="9" t="s">
        <v>221</v>
      </c>
      <c r="H699" s="9" t="n">
        <v>1040</v>
      </c>
      <c r="I699" s="29" t="n">
        <v>1.4</v>
      </c>
      <c r="J699" s="9" t="n">
        <v>1</v>
      </c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21" t="str">
        <f aca="false">IF(COUNT(K699:T699)=0,"SOURCE EMPTY / INDUSTRIAL ONLY",IF(MIN(K699:T699)=1,"SERVICE READY","HOLD"))</f>
        <v>SOURCE EMPTY / INDUSTRIAL ONLY</v>
      </c>
      <c r="V699" s="9" t="n">
        <f aca="false">IF(U699="SERVICE READY",1,0)</f>
        <v>0</v>
      </c>
      <c r="W699" s="6"/>
      <c r="X699" s="6"/>
      <c r="Y699" s="6"/>
      <c r="Z699" s="6"/>
    </row>
    <row r="700" customFormat="false" ht="15" hidden="false" customHeight="false" outlineLevel="0" collapsed="false">
      <c r="A700" s="9" t="s">
        <v>919</v>
      </c>
      <c r="B700" s="9" t="s">
        <v>882</v>
      </c>
      <c r="C700" s="9" t="s">
        <v>883</v>
      </c>
      <c r="D700" s="9" t="s">
        <v>619</v>
      </c>
      <c r="E700" s="9" t="s">
        <v>773</v>
      </c>
      <c r="F700" s="9" t="s">
        <v>200</v>
      </c>
      <c r="G700" s="9" t="s">
        <v>221</v>
      </c>
      <c r="H700" s="9" t="n">
        <v>1040</v>
      </c>
      <c r="I700" s="29" t="n">
        <v>1.4</v>
      </c>
      <c r="J700" s="9" t="n">
        <v>1</v>
      </c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21" t="str">
        <f aca="false">IF(COUNT(K700:T700)=0,"SOURCE EMPTY / INDUSTRIAL ONLY",IF(MIN(K700:T700)=1,"SERVICE READY","HOLD"))</f>
        <v>SOURCE EMPTY / INDUSTRIAL ONLY</v>
      </c>
      <c r="V700" s="9" t="n">
        <f aca="false">IF(U700="SERVICE READY",1,0)</f>
        <v>0</v>
      </c>
      <c r="W700" s="6"/>
      <c r="X700" s="6"/>
      <c r="Y700" s="6"/>
      <c r="Z700" s="6"/>
    </row>
    <row r="701" customFormat="false" ht="15" hidden="false" customHeight="false" outlineLevel="0" collapsed="false">
      <c r="A701" s="9" t="s">
        <v>920</v>
      </c>
      <c r="B701" s="9" t="s">
        <v>882</v>
      </c>
      <c r="C701" s="9" t="s">
        <v>883</v>
      </c>
      <c r="D701" s="9" t="s">
        <v>619</v>
      </c>
      <c r="E701" s="9" t="s">
        <v>773</v>
      </c>
      <c r="F701" s="9" t="s">
        <v>203</v>
      </c>
      <c r="G701" s="9" t="s">
        <v>221</v>
      </c>
      <c r="H701" s="9" t="n">
        <v>1040</v>
      </c>
      <c r="I701" s="29" t="n">
        <v>1.4</v>
      </c>
      <c r="J701" s="9" t="n">
        <v>1</v>
      </c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21" t="str">
        <f aca="false">IF(COUNT(K701:T701)=0,"SOURCE EMPTY / INDUSTRIAL ONLY",IF(MIN(K701:T701)=1,"SERVICE READY","HOLD"))</f>
        <v>SOURCE EMPTY / INDUSTRIAL ONLY</v>
      </c>
      <c r="V701" s="9" t="n">
        <f aca="false">IF(U701="SERVICE READY",1,0)</f>
        <v>0</v>
      </c>
      <c r="W701" s="6"/>
      <c r="X701" s="6"/>
      <c r="Y701" s="6"/>
      <c r="Z701" s="6"/>
    </row>
    <row r="702" customFormat="false" ht="15" hidden="false" customHeight="false" outlineLevel="0" collapsed="false">
      <c r="A702" s="9" t="s">
        <v>921</v>
      </c>
      <c r="B702" s="9" t="s">
        <v>882</v>
      </c>
      <c r="C702" s="9" t="s">
        <v>883</v>
      </c>
      <c r="D702" s="9" t="s">
        <v>619</v>
      </c>
      <c r="E702" s="9" t="s">
        <v>773</v>
      </c>
      <c r="F702" s="9" t="s">
        <v>205</v>
      </c>
      <c r="G702" s="9" t="s">
        <v>221</v>
      </c>
      <c r="H702" s="9" t="n">
        <v>1040</v>
      </c>
      <c r="I702" s="29" t="n">
        <v>1.4</v>
      </c>
      <c r="J702" s="9" t="n">
        <v>1</v>
      </c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21" t="str">
        <f aca="false">IF(COUNT(K702:T702)=0,"SOURCE EMPTY / INDUSTRIAL ONLY",IF(MIN(K702:T702)=1,"SERVICE READY","HOLD"))</f>
        <v>SOURCE EMPTY / INDUSTRIAL ONLY</v>
      </c>
      <c r="V702" s="9" t="n">
        <f aca="false">IF(U702="SERVICE READY",1,0)</f>
        <v>0</v>
      </c>
      <c r="W702" s="6"/>
      <c r="X702" s="6"/>
      <c r="Y702" s="6"/>
      <c r="Z702" s="6"/>
    </row>
    <row r="703" customFormat="false" ht="15" hidden="false" customHeight="false" outlineLevel="0" collapsed="false">
      <c r="A703" s="9" t="s">
        <v>922</v>
      </c>
      <c r="B703" s="9" t="s">
        <v>882</v>
      </c>
      <c r="C703" s="9" t="s">
        <v>883</v>
      </c>
      <c r="D703" s="9" t="s">
        <v>619</v>
      </c>
      <c r="E703" s="9" t="s">
        <v>773</v>
      </c>
      <c r="F703" s="9" t="s">
        <v>207</v>
      </c>
      <c r="G703" s="9" t="s">
        <v>221</v>
      </c>
      <c r="H703" s="9" t="n">
        <v>1040</v>
      </c>
      <c r="I703" s="29" t="n">
        <v>1.4</v>
      </c>
      <c r="J703" s="9" t="n">
        <v>1</v>
      </c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21" t="str">
        <f aca="false">IF(COUNT(K703:T703)=0,"SOURCE EMPTY / INDUSTRIAL ONLY",IF(MIN(K703:T703)=1,"SERVICE READY","HOLD"))</f>
        <v>SOURCE EMPTY / INDUSTRIAL ONLY</v>
      </c>
      <c r="V703" s="9" t="n">
        <f aca="false">IF(U703="SERVICE READY",1,0)</f>
        <v>0</v>
      </c>
      <c r="W703" s="6"/>
      <c r="X703" s="6"/>
      <c r="Y703" s="6"/>
      <c r="Z703" s="6"/>
    </row>
    <row r="704" customFormat="false" ht="15" hidden="false" customHeight="false" outlineLevel="0" collapsed="false">
      <c r="A704" s="9" t="s">
        <v>923</v>
      </c>
      <c r="B704" s="9" t="s">
        <v>882</v>
      </c>
      <c r="C704" s="9" t="s">
        <v>883</v>
      </c>
      <c r="D704" s="9" t="s">
        <v>619</v>
      </c>
      <c r="E704" s="9" t="s">
        <v>773</v>
      </c>
      <c r="F704" s="9" t="s">
        <v>209</v>
      </c>
      <c r="G704" s="9" t="s">
        <v>221</v>
      </c>
      <c r="H704" s="9" t="n">
        <v>1040</v>
      </c>
      <c r="I704" s="29" t="n">
        <v>1.4</v>
      </c>
      <c r="J704" s="9" t="n">
        <v>1</v>
      </c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21" t="str">
        <f aca="false">IF(COUNT(K704:T704)=0,"SOURCE EMPTY / INDUSTRIAL ONLY",IF(MIN(K704:T704)=1,"SERVICE READY","HOLD"))</f>
        <v>SOURCE EMPTY / INDUSTRIAL ONLY</v>
      </c>
      <c r="V704" s="9" t="n">
        <f aca="false">IF(U704="SERVICE READY",1,0)</f>
        <v>0</v>
      </c>
      <c r="W704" s="6"/>
      <c r="X704" s="6"/>
      <c r="Y704" s="6"/>
      <c r="Z704" s="6"/>
    </row>
    <row r="705" customFormat="false" ht="15" hidden="false" customHeight="false" outlineLevel="0" collapsed="false">
      <c r="A705" s="9" t="s">
        <v>924</v>
      </c>
      <c r="B705" s="9" t="s">
        <v>882</v>
      </c>
      <c r="C705" s="9" t="s">
        <v>883</v>
      </c>
      <c r="D705" s="9" t="s">
        <v>619</v>
      </c>
      <c r="E705" s="9" t="s">
        <v>773</v>
      </c>
      <c r="F705" s="9" t="s">
        <v>211</v>
      </c>
      <c r="G705" s="9" t="s">
        <v>221</v>
      </c>
      <c r="H705" s="9" t="n">
        <v>1040</v>
      </c>
      <c r="I705" s="29" t="n">
        <v>1.4</v>
      </c>
      <c r="J705" s="9" t="n">
        <v>1</v>
      </c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21" t="str">
        <f aca="false">IF(COUNT(K705:T705)=0,"SOURCE EMPTY / INDUSTRIAL ONLY",IF(MIN(K705:T705)=1,"SERVICE READY","HOLD"))</f>
        <v>SOURCE EMPTY / INDUSTRIAL ONLY</v>
      </c>
      <c r="V705" s="9" t="n">
        <f aca="false">IF(U705="SERVICE READY",1,0)</f>
        <v>0</v>
      </c>
      <c r="W705" s="6"/>
      <c r="X705" s="6"/>
      <c r="Y705" s="6"/>
      <c r="Z705" s="6"/>
    </row>
    <row r="706" customFormat="false" ht="15" hidden="false" customHeight="false" outlineLevel="0" collapsed="false">
      <c r="A706" s="9" t="s">
        <v>925</v>
      </c>
      <c r="B706" s="9" t="s">
        <v>882</v>
      </c>
      <c r="C706" s="9" t="s">
        <v>883</v>
      </c>
      <c r="D706" s="9" t="s">
        <v>619</v>
      </c>
      <c r="E706" s="9" t="s">
        <v>773</v>
      </c>
      <c r="F706" s="9" t="s">
        <v>197</v>
      </c>
      <c r="G706" s="9" t="s">
        <v>221</v>
      </c>
      <c r="H706" s="9" t="n">
        <v>1040</v>
      </c>
      <c r="I706" s="29" t="n">
        <v>1.4</v>
      </c>
      <c r="J706" s="9" t="n">
        <v>1</v>
      </c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21" t="str">
        <f aca="false">IF(COUNT(K706:T706)=0,"SOURCE EMPTY / INDUSTRIAL ONLY",IF(MIN(K706:T706)=1,"SERVICE READY","HOLD"))</f>
        <v>SOURCE EMPTY / INDUSTRIAL ONLY</v>
      </c>
      <c r="V706" s="9" t="n">
        <f aca="false">IF(U706="SERVICE READY",1,0)</f>
        <v>0</v>
      </c>
      <c r="W706" s="6"/>
      <c r="X706" s="6"/>
      <c r="Y706" s="6"/>
      <c r="Z706" s="6"/>
    </row>
    <row r="707" customFormat="false" ht="15" hidden="false" customHeight="false" outlineLevel="0" collapsed="false">
      <c r="A707" s="9" t="s">
        <v>926</v>
      </c>
      <c r="B707" s="9" t="s">
        <v>882</v>
      </c>
      <c r="C707" s="9" t="s">
        <v>883</v>
      </c>
      <c r="D707" s="9" t="s">
        <v>619</v>
      </c>
      <c r="E707" s="9" t="s">
        <v>773</v>
      </c>
      <c r="F707" s="9" t="s">
        <v>200</v>
      </c>
      <c r="G707" s="9" t="s">
        <v>221</v>
      </c>
      <c r="H707" s="9" t="n">
        <v>1040</v>
      </c>
      <c r="I707" s="29" t="n">
        <v>1.4</v>
      </c>
      <c r="J707" s="9" t="n">
        <v>1</v>
      </c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21" t="str">
        <f aca="false">IF(COUNT(K707:T707)=0,"SOURCE EMPTY / INDUSTRIAL ONLY",IF(MIN(K707:T707)=1,"SERVICE READY","HOLD"))</f>
        <v>SOURCE EMPTY / INDUSTRIAL ONLY</v>
      </c>
      <c r="V707" s="9" t="n">
        <f aca="false">IF(U707="SERVICE READY",1,0)</f>
        <v>0</v>
      </c>
      <c r="W707" s="6"/>
      <c r="X707" s="6"/>
      <c r="Y707" s="6"/>
      <c r="Z707" s="6"/>
    </row>
    <row r="708" customFormat="false" ht="15" hidden="false" customHeight="false" outlineLevel="0" collapsed="false">
      <c r="A708" s="9" t="s">
        <v>927</v>
      </c>
      <c r="B708" s="9" t="s">
        <v>882</v>
      </c>
      <c r="C708" s="9" t="s">
        <v>883</v>
      </c>
      <c r="D708" s="9" t="s">
        <v>619</v>
      </c>
      <c r="E708" s="9" t="s">
        <v>773</v>
      </c>
      <c r="F708" s="9" t="s">
        <v>203</v>
      </c>
      <c r="G708" s="9" t="s">
        <v>221</v>
      </c>
      <c r="H708" s="9" t="n">
        <v>1040</v>
      </c>
      <c r="I708" s="29" t="n">
        <v>1.4</v>
      </c>
      <c r="J708" s="9" t="n">
        <v>1</v>
      </c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21" t="str">
        <f aca="false">IF(COUNT(K708:T708)=0,"SOURCE EMPTY / INDUSTRIAL ONLY",IF(MIN(K708:T708)=1,"SERVICE READY","HOLD"))</f>
        <v>SOURCE EMPTY / INDUSTRIAL ONLY</v>
      </c>
      <c r="V708" s="9" t="n">
        <f aca="false">IF(U708="SERVICE READY",1,0)</f>
        <v>0</v>
      </c>
      <c r="W708" s="6"/>
      <c r="X708" s="6"/>
      <c r="Y708" s="6"/>
      <c r="Z708" s="6"/>
    </row>
    <row r="709" customFormat="false" ht="15" hidden="false" customHeight="false" outlineLevel="0" collapsed="false">
      <c r="A709" s="9" t="s">
        <v>928</v>
      </c>
      <c r="B709" s="9" t="s">
        <v>882</v>
      </c>
      <c r="C709" s="9" t="s">
        <v>883</v>
      </c>
      <c r="D709" s="9" t="s">
        <v>619</v>
      </c>
      <c r="E709" s="9" t="s">
        <v>773</v>
      </c>
      <c r="F709" s="9" t="s">
        <v>205</v>
      </c>
      <c r="G709" s="9" t="s">
        <v>221</v>
      </c>
      <c r="H709" s="9" t="n">
        <v>1040</v>
      </c>
      <c r="I709" s="29" t="n">
        <v>1.4</v>
      </c>
      <c r="J709" s="9" t="n">
        <v>1</v>
      </c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21" t="str">
        <f aca="false">IF(COUNT(K709:T709)=0,"SOURCE EMPTY / INDUSTRIAL ONLY",IF(MIN(K709:T709)=1,"SERVICE READY","HOLD"))</f>
        <v>SOURCE EMPTY / INDUSTRIAL ONLY</v>
      </c>
      <c r="V709" s="9" t="n">
        <f aca="false">IF(U709="SERVICE READY",1,0)</f>
        <v>0</v>
      </c>
      <c r="W709" s="6"/>
      <c r="X709" s="6"/>
      <c r="Y709" s="6"/>
      <c r="Z709" s="6"/>
    </row>
    <row r="710" customFormat="false" ht="15" hidden="false" customHeight="false" outlineLevel="0" collapsed="false">
      <c r="A710" s="9" t="s">
        <v>929</v>
      </c>
      <c r="B710" s="9" t="s">
        <v>882</v>
      </c>
      <c r="C710" s="9" t="s">
        <v>883</v>
      </c>
      <c r="D710" s="9" t="s">
        <v>619</v>
      </c>
      <c r="E710" s="9" t="s">
        <v>773</v>
      </c>
      <c r="F710" s="9" t="s">
        <v>207</v>
      </c>
      <c r="G710" s="9" t="s">
        <v>221</v>
      </c>
      <c r="H710" s="9" t="n">
        <v>1040</v>
      </c>
      <c r="I710" s="29" t="n">
        <v>1.4</v>
      </c>
      <c r="J710" s="9" t="n">
        <v>1</v>
      </c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21" t="str">
        <f aca="false">IF(COUNT(K710:T710)=0,"SOURCE EMPTY / INDUSTRIAL ONLY",IF(MIN(K710:T710)=1,"SERVICE READY","HOLD"))</f>
        <v>SOURCE EMPTY / INDUSTRIAL ONLY</v>
      </c>
      <c r="V710" s="9" t="n">
        <f aca="false">IF(U710="SERVICE READY",1,0)</f>
        <v>0</v>
      </c>
      <c r="W710" s="6"/>
      <c r="X710" s="6"/>
      <c r="Y710" s="6"/>
      <c r="Z710" s="6"/>
    </row>
    <row r="711" customFormat="false" ht="15" hidden="false" customHeight="false" outlineLevel="0" collapsed="false">
      <c r="A711" s="9" t="s">
        <v>930</v>
      </c>
      <c r="B711" s="9" t="s">
        <v>882</v>
      </c>
      <c r="C711" s="9" t="s">
        <v>883</v>
      </c>
      <c r="D711" s="9" t="s">
        <v>619</v>
      </c>
      <c r="E711" s="9" t="s">
        <v>773</v>
      </c>
      <c r="F711" s="9" t="s">
        <v>209</v>
      </c>
      <c r="G711" s="9" t="s">
        <v>221</v>
      </c>
      <c r="H711" s="9" t="n">
        <v>1040</v>
      </c>
      <c r="I711" s="29" t="n">
        <v>1.4</v>
      </c>
      <c r="J711" s="9" t="n">
        <v>1</v>
      </c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21" t="str">
        <f aca="false">IF(COUNT(K711:T711)=0,"SOURCE EMPTY / INDUSTRIAL ONLY",IF(MIN(K711:T711)=1,"SERVICE READY","HOLD"))</f>
        <v>SOURCE EMPTY / INDUSTRIAL ONLY</v>
      </c>
      <c r="V711" s="9" t="n">
        <f aca="false">IF(U711="SERVICE READY",1,0)</f>
        <v>0</v>
      </c>
      <c r="W711" s="6"/>
      <c r="X711" s="6"/>
      <c r="Y711" s="6"/>
      <c r="Z711" s="6"/>
    </row>
    <row r="712" customFormat="false" ht="15" hidden="false" customHeight="false" outlineLevel="0" collapsed="false">
      <c r="A712" s="9" t="s">
        <v>931</v>
      </c>
      <c r="B712" s="9" t="s">
        <v>882</v>
      </c>
      <c r="C712" s="9" t="s">
        <v>883</v>
      </c>
      <c r="D712" s="9" t="s">
        <v>619</v>
      </c>
      <c r="E712" s="9" t="s">
        <v>773</v>
      </c>
      <c r="F712" s="9" t="s">
        <v>211</v>
      </c>
      <c r="G712" s="9" t="s">
        <v>221</v>
      </c>
      <c r="H712" s="9" t="n">
        <v>1040</v>
      </c>
      <c r="I712" s="29" t="n">
        <v>1.4</v>
      </c>
      <c r="J712" s="9" t="n">
        <v>1</v>
      </c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21" t="str">
        <f aca="false">IF(COUNT(K712:T712)=0,"SOURCE EMPTY / INDUSTRIAL ONLY",IF(MIN(K712:T712)=1,"SERVICE READY","HOLD"))</f>
        <v>SOURCE EMPTY / INDUSTRIAL ONLY</v>
      </c>
      <c r="V712" s="9" t="n">
        <f aca="false">IF(U712="SERVICE READY",1,0)</f>
        <v>0</v>
      </c>
      <c r="W712" s="6"/>
      <c r="X712" s="6"/>
      <c r="Y712" s="6"/>
      <c r="Z712" s="6"/>
    </row>
    <row r="713" customFormat="false" ht="15" hidden="false" customHeight="false" outlineLevel="0" collapsed="false">
      <c r="A713" s="9" t="s">
        <v>932</v>
      </c>
      <c r="B713" s="9" t="s">
        <v>882</v>
      </c>
      <c r="C713" s="9" t="s">
        <v>883</v>
      </c>
      <c r="D713" s="9" t="s">
        <v>619</v>
      </c>
      <c r="E713" s="9" t="s">
        <v>773</v>
      </c>
      <c r="F713" s="9" t="s">
        <v>197</v>
      </c>
      <c r="G713" s="9" t="s">
        <v>221</v>
      </c>
      <c r="H713" s="9" t="n">
        <v>1040</v>
      </c>
      <c r="I713" s="29" t="n">
        <v>1.4</v>
      </c>
      <c r="J713" s="9" t="n">
        <v>1</v>
      </c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21" t="str">
        <f aca="false">IF(COUNT(K713:T713)=0,"SOURCE EMPTY / INDUSTRIAL ONLY",IF(MIN(K713:T713)=1,"SERVICE READY","HOLD"))</f>
        <v>SOURCE EMPTY / INDUSTRIAL ONLY</v>
      </c>
      <c r="V713" s="9" t="n">
        <f aca="false">IF(U713="SERVICE READY",1,0)</f>
        <v>0</v>
      </c>
      <c r="W713" s="6"/>
      <c r="X713" s="6"/>
      <c r="Y713" s="6"/>
      <c r="Z713" s="6"/>
    </row>
    <row r="714" customFormat="false" ht="15" hidden="false" customHeight="false" outlineLevel="0" collapsed="false">
      <c r="A714" s="9" t="s">
        <v>933</v>
      </c>
      <c r="B714" s="9" t="s">
        <v>882</v>
      </c>
      <c r="C714" s="9" t="s">
        <v>883</v>
      </c>
      <c r="D714" s="9" t="s">
        <v>619</v>
      </c>
      <c r="E714" s="9" t="s">
        <v>773</v>
      </c>
      <c r="F714" s="9" t="s">
        <v>200</v>
      </c>
      <c r="G714" s="9" t="s">
        <v>221</v>
      </c>
      <c r="H714" s="9" t="n">
        <v>1040</v>
      </c>
      <c r="I714" s="29" t="n">
        <v>1.4</v>
      </c>
      <c r="J714" s="9" t="n">
        <v>1</v>
      </c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21" t="str">
        <f aca="false">IF(COUNT(K714:T714)=0,"SOURCE EMPTY / INDUSTRIAL ONLY",IF(MIN(K714:T714)=1,"SERVICE READY","HOLD"))</f>
        <v>SOURCE EMPTY / INDUSTRIAL ONLY</v>
      </c>
      <c r="V714" s="9" t="n">
        <f aca="false">IF(U714="SERVICE READY",1,0)</f>
        <v>0</v>
      </c>
      <c r="W714" s="6"/>
      <c r="X714" s="6"/>
      <c r="Y714" s="6"/>
      <c r="Z714" s="6"/>
    </row>
    <row r="715" customFormat="false" ht="15" hidden="false" customHeight="false" outlineLevel="0" collapsed="false">
      <c r="A715" s="9" t="s">
        <v>934</v>
      </c>
      <c r="B715" s="9" t="s">
        <v>882</v>
      </c>
      <c r="C715" s="9" t="s">
        <v>883</v>
      </c>
      <c r="D715" s="9" t="s">
        <v>619</v>
      </c>
      <c r="E715" s="9" t="s">
        <v>773</v>
      </c>
      <c r="F715" s="9" t="s">
        <v>203</v>
      </c>
      <c r="G715" s="9" t="s">
        <v>221</v>
      </c>
      <c r="H715" s="9" t="n">
        <v>1040</v>
      </c>
      <c r="I715" s="29" t="n">
        <v>1.4</v>
      </c>
      <c r="J715" s="9" t="n">
        <v>1</v>
      </c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21" t="str">
        <f aca="false">IF(COUNT(K715:T715)=0,"SOURCE EMPTY / INDUSTRIAL ONLY",IF(MIN(K715:T715)=1,"SERVICE READY","HOLD"))</f>
        <v>SOURCE EMPTY / INDUSTRIAL ONLY</v>
      </c>
      <c r="V715" s="9" t="n">
        <f aca="false">IF(U715="SERVICE READY",1,0)</f>
        <v>0</v>
      </c>
      <c r="W715" s="6"/>
      <c r="X715" s="6"/>
      <c r="Y715" s="6"/>
      <c r="Z715" s="6"/>
    </row>
    <row r="716" customFormat="false" ht="15" hidden="false" customHeight="false" outlineLevel="0" collapsed="false">
      <c r="A716" s="9" t="s">
        <v>935</v>
      </c>
      <c r="B716" s="9" t="s">
        <v>882</v>
      </c>
      <c r="C716" s="9" t="s">
        <v>883</v>
      </c>
      <c r="D716" s="9" t="s">
        <v>619</v>
      </c>
      <c r="E716" s="9" t="s">
        <v>773</v>
      </c>
      <c r="F716" s="9" t="s">
        <v>205</v>
      </c>
      <c r="G716" s="9" t="s">
        <v>221</v>
      </c>
      <c r="H716" s="9" t="n">
        <v>1040</v>
      </c>
      <c r="I716" s="29" t="n">
        <v>1.4</v>
      </c>
      <c r="J716" s="9" t="n">
        <v>1</v>
      </c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21" t="str">
        <f aca="false">IF(COUNT(K716:T716)=0,"SOURCE EMPTY / INDUSTRIAL ONLY",IF(MIN(K716:T716)=1,"SERVICE READY","HOLD"))</f>
        <v>SOURCE EMPTY / INDUSTRIAL ONLY</v>
      </c>
      <c r="V716" s="9" t="n">
        <f aca="false">IF(U716="SERVICE READY",1,0)</f>
        <v>0</v>
      </c>
      <c r="W716" s="6"/>
      <c r="X716" s="6"/>
      <c r="Y716" s="6"/>
      <c r="Z716" s="6"/>
    </row>
    <row r="717" customFormat="false" ht="15" hidden="false" customHeight="false" outlineLevel="0" collapsed="false">
      <c r="A717" s="9" t="s">
        <v>936</v>
      </c>
      <c r="B717" s="9" t="s">
        <v>882</v>
      </c>
      <c r="C717" s="9" t="s">
        <v>883</v>
      </c>
      <c r="D717" s="9" t="s">
        <v>619</v>
      </c>
      <c r="E717" s="9" t="s">
        <v>773</v>
      </c>
      <c r="F717" s="9" t="s">
        <v>207</v>
      </c>
      <c r="G717" s="9" t="s">
        <v>221</v>
      </c>
      <c r="H717" s="9" t="n">
        <v>1040</v>
      </c>
      <c r="I717" s="29" t="n">
        <v>1.4</v>
      </c>
      <c r="J717" s="9" t="n">
        <v>1</v>
      </c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21" t="str">
        <f aca="false">IF(COUNT(K717:T717)=0,"SOURCE EMPTY / INDUSTRIAL ONLY",IF(MIN(K717:T717)=1,"SERVICE READY","HOLD"))</f>
        <v>SOURCE EMPTY / INDUSTRIAL ONLY</v>
      </c>
      <c r="V717" s="9" t="n">
        <f aca="false">IF(U717="SERVICE READY",1,0)</f>
        <v>0</v>
      </c>
      <c r="W717" s="6"/>
      <c r="X717" s="6"/>
      <c r="Y717" s="6"/>
      <c r="Z717" s="6"/>
    </row>
    <row r="718" customFormat="false" ht="15" hidden="false" customHeight="false" outlineLevel="0" collapsed="false">
      <c r="A718" s="9" t="s">
        <v>937</v>
      </c>
      <c r="B718" s="9" t="s">
        <v>882</v>
      </c>
      <c r="C718" s="9" t="s">
        <v>883</v>
      </c>
      <c r="D718" s="9" t="s">
        <v>619</v>
      </c>
      <c r="E718" s="9" t="s">
        <v>773</v>
      </c>
      <c r="F718" s="9" t="s">
        <v>209</v>
      </c>
      <c r="G718" s="9" t="s">
        <v>221</v>
      </c>
      <c r="H718" s="9" t="n">
        <v>1040</v>
      </c>
      <c r="I718" s="29" t="n">
        <v>1.4</v>
      </c>
      <c r="J718" s="9" t="n">
        <v>1</v>
      </c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21" t="str">
        <f aca="false">IF(COUNT(K718:T718)=0,"SOURCE EMPTY / INDUSTRIAL ONLY",IF(MIN(K718:T718)=1,"SERVICE READY","HOLD"))</f>
        <v>SOURCE EMPTY / INDUSTRIAL ONLY</v>
      </c>
      <c r="V718" s="9" t="n">
        <f aca="false">IF(U718="SERVICE READY",1,0)</f>
        <v>0</v>
      </c>
      <c r="W718" s="6"/>
      <c r="X718" s="6"/>
      <c r="Y718" s="6"/>
      <c r="Z718" s="6"/>
    </row>
    <row r="719" customFormat="false" ht="15" hidden="false" customHeight="false" outlineLevel="0" collapsed="false">
      <c r="A719" s="9" t="s">
        <v>938</v>
      </c>
      <c r="B719" s="9" t="s">
        <v>882</v>
      </c>
      <c r="C719" s="9" t="s">
        <v>883</v>
      </c>
      <c r="D719" s="9" t="s">
        <v>619</v>
      </c>
      <c r="E719" s="9" t="s">
        <v>773</v>
      </c>
      <c r="F719" s="9" t="s">
        <v>211</v>
      </c>
      <c r="G719" s="9" t="s">
        <v>221</v>
      </c>
      <c r="H719" s="9" t="n">
        <v>1040</v>
      </c>
      <c r="I719" s="29" t="n">
        <v>1.4</v>
      </c>
      <c r="J719" s="9" t="n">
        <v>1</v>
      </c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21" t="str">
        <f aca="false">IF(COUNT(K719:T719)=0,"SOURCE EMPTY / INDUSTRIAL ONLY",IF(MIN(K719:T719)=1,"SERVICE READY","HOLD"))</f>
        <v>SOURCE EMPTY / INDUSTRIAL ONLY</v>
      </c>
      <c r="V719" s="9" t="n">
        <f aca="false">IF(U719="SERVICE READY",1,0)</f>
        <v>0</v>
      </c>
      <c r="W719" s="6"/>
      <c r="X719" s="6"/>
      <c r="Y719" s="6"/>
      <c r="Z719" s="6"/>
    </row>
    <row r="720" customFormat="false" ht="15" hidden="false" customHeight="false" outlineLevel="0" collapsed="false">
      <c r="A720" s="9" t="s">
        <v>939</v>
      </c>
      <c r="B720" s="9" t="s">
        <v>882</v>
      </c>
      <c r="C720" s="9" t="s">
        <v>883</v>
      </c>
      <c r="D720" s="9" t="s">
        <v>619</v>
      </c>
      <c r="E720" s="9" t="s">
        <v>773</v>
      </c>
      <c r="F720" s="9" t="s">
        <v>197</v>
      </c>
      <c r="G720" s="9" t="s">
        <v>221</v>
      </c>
      <c r="H720" s="9" t="n">
        <v>1040</v>
      </c>
      <c r="I720" s="29" t="n">
        <v>1.4</v>
      </c>
      <c r="J720" s="9" t="n">
        <v>1</v>
      </c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21" t="str">
        <f aca="false">IF(COUNT(K720:T720)=0,"SOURCE EMPTY / INDUSTRIAL ONLY",IF(MIN(K720:T720)=1,"SERVICE READY","HOLD"))</f>
        <v>SOURCE EMPTY / INDUSTRIAL ONLY</v>
      </c>
      <c r="V720" s="9" t="n">
        <f aca="false">IF(U720="SERVICE READY",1,0)</f>
        <v>0</v>
      </c>
      <c r="W720" s="6"/>
      <c r="X720" s="6"/>
      <c r="Y720" s="6"/>
      <c r="Z720" s="6"/>
    </row>
    <row r="721" customFormat="false" ht="15" hidden="false" customHeight="false" outlineLevel="0" collapsed="false">
      <c r="A721" s="9" t="s">
        <v>940</v>
      </c>
      <c r="B721" s="9" t="s">
        <v>882</v>
      </c>
      <c r="C721" s="9" t="s">
        <v>883</v>
      </c>
      <c r="D721" s="9" t="s">
        <v>619</v>
      </c>
      <c r="E721" s="9" t="s">
        <v>773</v>
      </c>
      <c r="F721" s="9" t="s">
        <v>200</v>
      </c>
      <c r="G721" s="9" t="s">
        <v>221</v>
      </c>
      <c r="H721" s="9" t="n">
        <v>1040</v>
      </c>
      <c r="I721" s="29" t="n">
        <v>1.4</v>
      </c>
      <c r="J721" s="9" t="n">
        <v>1</v>
      </c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21" t="str">
        <f aca="false">IF(COUNT(K721:T721)=0,"SOURCE EMPTY / INDUSTRIAL ONLY",IF(MIN(K721:T721)=1,"SERVICE READY","HOLD"))</f>
        <v>SOURCE EMPTY / INDUSTRIAL ONLY</v>
      </c>
      <c r="V721" s="9" t="n">
        <f aca="false">IF(U721="SERVICE READY",1,0)</f>
        <v>0</v>
      </c>
      <c r="W721" s="6"/>
      <c r="X721" s="6"/>
      <c r="Y721" s="6"/>
      <c r="Z721" s="6"/>
    </row>
    <row r="722" customFormat="false" ht="15" hidden="false" customHeight="false" outlineLevel="0" collapsed="false">
      <c r="A722" s="9" t="s">
        <v>941</v>
      </c>
      <c r="B722" s="9" t="s">
        <v>882</v>
      </c>
      <c r="C722" s="9" t="s">
        <v>883</v>
      </c>
      <c r="D722" s="9" t="s">
        <v>619</v>
      </c>
      <c r="E722" s="9" t="s">
        <v>773</v>
      </c>
      <c r="F722" s="9" t="s">
        <v>203</v>
      </c>
      <c r="G722" s="9" t="s">
        <v>221</v>
      </c>
      <c r="H722" s="9" t="n">
        <v>1040</v>
      </c>
      <c r="I722" s="29" t="n">
        <v>1.4</v>
      </c>
      <c r="J722" s="9" t="n">
        <v>1</v>
      </c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21" t="str">
        <f aca="false">IF(COUNT(K722:T722)=0,"SOURCE EMPTY / INDUSTRIAL ONLY",IF(MIN(K722:T722)=1,"SERVICE READY","HOLD"))</f>
        <v>SOURCE EMPTY / INDUSTRIAL ONLY</v>
      </c>
      <c r="V722" s="9" t="n">
        <f aca="false">IF(U722="SERVICE READY",1,0)</f>
        <v>0</v>
      </c>
      <c r="W722" s="6"/>
      <c r="X722" s="6"/>
      <c r="Y722" s="6"/>
      <c r="Z722" s="6"/>
    </row>
    <row r="723" customFormat="false" ht="15" hidden="false" customHeight="false" outlineLevel="0" collapsed="false">
      <c r="A723" s="9" t="s">
        <v>942</v>
      </c>
      <c r="B723" s="9" t="s">
        <v>882</v>
      </c>
      <c r="C723" s="9" t="s">
        <v>883</v>
      </c>
      <c r="D723" s="9" t="s">
        <v>619</v>
      </c>
      <c r="E723" s="9" t="s">
        <v>773</v>
      </c>
      <c r="F723" s="9" t="s">
        <v>205</v>
      </c>
      <c r="G723" s="9" t="s">
        <v>221</v>
      </c>
      <c r="H723" s="9" t="n">
        <v>1040</v>
      </c>
      <c r="I723" s="29" t="n">
        <v>1.4</v>
      </c>
      <c r="J723" s="9" t="n">
        <v>1</v>
      </c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21" t="str">
        <f aca="false">IF(COUNT(K723:T723)=0,"SOURCE EMPTY / INDUSTRIAL ONLY",IF(MIN(K723:T723)=1,"SERVICE READY","HOLD"))</f>
        <v>SOURCE EMPTY / INDUSTRIAL ONLY</v>
      </c>
      <c r="V723" s="9" t="n">
        <f aca="false">IF(U723="SERVICE READY",1,0)</f>
        <v>0</v>
      </c>
      <c r="W723" s="6"/>
      <c r="X723" s="6"/>
      <c r="Y723" s="6"/>
      <c r="Z723" s="6"/>
    </row>
    <row r="724" customFormat="false" ht="15" hidden="false" customHeight="false" outlineLevel="0" collapsed="false">
      <c r="A724" s="9" t="s">
        <v>943</v>
      </c>
      <c r="B724" s="9" t="s">
        <v>882</v>
      </c>
      <c r="C724" s="9" t="s">
        <v>883</v>
      </c>
      <c r="D724" s="9" t="s">
        <v>619</v>
      </c>
      <c r="E724" s="9" t="s">
        <v>773</v>
      </c>
      <c r="F724" s="9" t="s">
        <v>207</v>
      </c>
      <c r="G724" s="9" t="s">
        <v>221</v>
      </c>
      <c r="H724" s="9" t="n">
        <v>1040</v>
      </c>
      <c r="I724" s="29" t="n">
        <v>1.4</v>
      </c>
      <c r="J724" s="9" t="n">
        <v>1</v>
      </c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21" t="str">
        <f aca="false">IF(COUNT(K724:T724)=0,"SOURCE EMPTY / INDUSTRIAL ONLY",IF(MIN(K724:T724)=1,"SERVICE READY","HOLD"))</f>
        <v>SOURCE EMPTY / INDUSTRIAL ONLY</v>
      </c>
      <c r="V724" s="9" t="n">
        <f aca="false">IF(U724="SERVICE READY",1,0)</f>
        <v>0</v>
      </c>
      <c r="W724" s="6"/>
      <c r="X724" s="6"/>
      <c r="Y724" s="6"/>
      <c r="Z724" s="6"/>
    </row>
    <row r="725" customFormat="false" ht="15" hidden="false" customHeight="false" outlineLevel="0" collapsed="false">
      <c r="A725" s="9" t="s">
        <v>944</v>
      </c>
      <c r="B725" s="9" t="s">
        <v>882</v>
      </c>
      <c r="C725" s="9" t="s">
        <v>883</v>
      </c>
      <c r="D725" s="9" t="s">
        <v>619</v>
      </c>
      <c r="E725" s="9" t="s">
        <v>773</v>
      </c>
      <c r="F725" s="9" t="s">
        <v>209</v>
      </c>
      <c r="G725" s="9" t="s">
        <v>221</v>
      </c>
      <c r="H725" s="9" t="n">
        <v>1040</v>
      </c>
      <c r="I725" s="29" t="n">
        <v>1.4</v>
      </c>
      <c r="J725" s="9" t="n">
        <v>1</v>
      </c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21" t="str">
        <f aca="false">IF(COUNT(K725:T725)=0,"SOURCE EMPTY / INDUSTRIAL ONLY",IF(MIN(K725:T725)=1,"SERVICE READY","HOLD"))</f>
        <v>SOURCE EMPTY / INDUSTRIAL ONLY</v>
      </c>
      <c r="V725" s="9" t="n">
        <f aca="false">IF(U725="SERVICE READY",1,0)</f>
        <v>0</v>
      </c>
      <c r="W725" s="6"/>
      <c r="X725" s="6"/>
      <c r="Y725" s="6"/>
      <c r="Z725" s="6"/>
    </row>
    <row r="726" customFormat="false" ht="15" hidden="false" customHeight="false" outlineLevel="0" collapsed="false">
      <c r="A726" s="9" t="s">
        <v>945</v>
      </c>
      <c r="B726" s="9" t="s">
        <v>882</v>
      </c>
      <c r="C726" s="9" t="s">
        <v>883</v>
      </c>
      <c r="D726" s="9" t="s">
        <v>619</v>
      </c>
      <c r="E726" s="9" t="s">
        <v>773</v>
      </c>
      <c r="F726" s="9" t="s">
        <v>211</v>
      </c>
      <c r="G726" s="9" t="s">
        <v>221</v>
      </c>
      <c r="H726" s="9" t="n">
        <v>1040</v>
      </c>
      <c r="I726" s="29" t="n">
        <v>1.4</v>
      </c>
      <c r="J726" s="9" t="n">
        <v>1</v>
      </c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21" t="str">
        <f aca="false">IF(COUNT(K726:T726)=0,"SOURCE EMPTY / INDUSTRIAL ONLY",IF(MIN(K726:T726)=1,"SERVICE READY","HOLD"))</f>
        <v>SOURCE EMPTY / INDUSTRIAL ONLY</v>
      </c>
      <c r="V726" s="9" t="n">
        <f aca="false">IF(U726="SERVICE READY",1,0)</f>
        <v>0</v>
      </c>
      <c r="W726" s="6"/>
      <c r="X726" s="6"/>
      <c r="Y726" s="6"/>
      <c r="Z726" s="6"/>
    </row>
    <row r="727" customFormat="false" ht="15" hidden="false" customHeight="false" outlineLevel="0" collapsed="false">
      <c r="A727" s="9" t="s">
        <v>946</v>
      </c>
      <c r="B727" s="9" t="s">
        <v>882</v>
      </c>
      <c r="C727" s="9" t="s">
        <v>883</v>
      </c>
      <c r="D727" s="9" t="s">
        <v>619</v>
      </c>
      <c r="E727" s="9" t="s">
        <v>773</v>
      </c>
      <c r="F727" s="9" t="s">
        <v>197</v>
      </c>
      <c r="G727" s="9" t="s">
        <v>221</v>
      </c>
      <c r="H727" s="9" t="n">
        <v>1040</v>
      </c>
      <c r="I727" s="29" t="n">
        <v>1.4</v>
      </c>
      <c r="J727" s="9" t="n">
        <v>1</v>
      </c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21" t="str">
        <f aca="false">IF(COUNT(K727:T727)=0,"SOURCE EMPTY / INDUSTRIAL ONLY",IF(MIN(K727:T727)=1,"SERVICE READY","HOLD"))</f>
        <v>SOURCE EMPTY / INDUSTRIAL ONLY</v>
      </c>
      <c r="V727" s="9" t="n">
        <f aca="false">IF(U727="SERVICE READY",1,0)</f>
        <v>0</v>
      </c>
      <c r="W727" s="6"/>
      <c r="X727" s="6"/>
      <c r="Y727" s="6"/>
      <c r="Z727" s="6"/>
    </row>
    <row r="728" customFormat="false" ht="15" hidden="false" customHeight="false" outlineLevel="0" collapsed="false">
      <c r="A728" s="9" t="s">
        <v>947</v>
      </c>
      <c r="B728" s="9" t="s">
        <v>882</v>
      </c>
      <c r="C728" s="9" t="s">
        <v>883</v>
      </c>
      <c r="D728" s="9" t="s">
        <v>619</v>
      </c>
      <c r="E728" s="9" t="s">
        <v>773</v>
      </c>
      <c r="F728" s="9" t="s">
        <v>200</v>
      </c>
      <c r="G728" s="9" t="s">
        <v>221</v>
      </c>
      <c r="H728" s="9" t="n">
        <v>1040</v>
      </c>
      <c r="I728" s="29" t="n">
        <v>1.4</v>
      </c>
      <c r="J728" s="9" t="n">
        <v>1</v>
      </c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21" t="str">
        <f aca="false">IF(COUNT(K728:T728)=0,"SOURCE EMPTY / INDUSTRIAL ONLY",IF(MIN(K728:T728)=1,"SERVICE READY","HOLD"))</f>
        <v>SOURCE EMPTY / INDUSTRIAL ONLY</v>
      </c>
      <c r="V728" s="9" t="n">
        <f aca="false">IF(U728="SERVICE READY",1,0)</f>
        <v>0</v>
      </c>
      <c r="W728" s="6"/>
      <c r="X728" s="6"/>
      <c r="Y728" s="6"/>
      <c r="Z728" s="6"/>
    </row>
    <row r="729" customFormat="false" ht="15" hidden="false" customHeight="false" outlineLevel="0" collapsed="false">
      <c r="A729" s="9" t="s">
        <v>948</v>
      </c>
      <c r="B729" s="9" t="s">
        <v>882</v>
      </c>
      <c r="C729" s="9" t="s">
        <v>883</v>
      </c>
      <c r="D729" s="9" t="s">
        <v>619</v>
      </c>
      <c r="E729" s="9" t="s">
        <v>773</v>
      </c>
      <c r="F729" s="9" t="s">
        <v>203</v>
      </c>
      <c r="G729" s="9" t="s">
        <v>221</v>
      </c>
      <c r="H729" s="9" t="n">
        <v>1040</v>
      </c>
      <c r="I729" s="29" t="n">
        <v>1.4</v>
      </c>
      <c r="J729" s="9" t="n">
        <v>1</v>
      </c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21" t="str">
        <f aca="false">IF(COUNT(K729:T729)=0,"SOURCE EMPTY / INDUSTRIAL ONLY",IF(MIN(K729:T729)=1,"SERVICE READY","HOLD"))</f>
        <v>SOURCE EMPTY / INDUSTRIAL ONLY</v>
      </c>
      <c r="V729" s="9" t="n">
        <f aca="false">IF(U729="SERVICE READY",1,0)</f>
        <v>0</v>
      </c>
      <c r="W729" s="6"/>
      <c r="X729" s="6"/>
      <c r="Y729" s="6"/>
      <c r="Z729" s="6"/>
    </row>
    <row r="730" customFormat="false" ht="15" hidden="false" customHeight="false" outlineLevel="0" collapsed="false">
      <c r="A730" s="9" t="s">
        <v>949</v>
      </c>
      <c r="B730" s="9" t="s">
        <v>882</v>
      </c>
      <c r="C730" s="9" t="s">
        <v>883</v>
      </c>
      <c r="D730" s="9" t="s">
        <v>619</v>
      </c>
      <c r="E730" s="9" t="s">
        <v>773</v>
      </c>
      <c r="F730" s="9" t="s">
        <v>205</v>
      </c>
      <c r="G730" s="9" t="s">
        <v>221</v>
      </c>
      <c r="H730" s="9" t="n">
        <v>1040</v>
      </c>
      <c r="I730" s="29" t="n">
        <v>1.4</v>
      </c>
      <c r="J730" s="9" t="n">
        <v>1</v>
      </c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21" t="str">
        <f aca="false">IF(COUNT(K730:T730)=0,"SOURCE EMPTY / INDUSTRIAL ONLY",IF(MIN(K730:T730)=1,"SERVICE READY","HOLD"))</f>
        <v>SOURCE EMPTY / INDUSTRIAL ONLY</v>
      </c>
      <c r="V730" s="9" t="n">
        <f aca="false">IF(U730="SERVICE READY",1,0)</f>
        <v>0</v>
      </c>
      <c r="W730" s="6"/>
      <c r="X730" s="6"/>
      <c r="Y730" s="6"/>
      <c r="Z730" s="6"/>
    </row>
    <row r="731" customFormat="false" ht="15" hidden="false" customHeight="false" outlineLevel="0" collapsed="false">
      <c r="A731" s="9" t="s">
        <v>950</v>
      </c>
      <c r="B731" s="9" t="s">
        <v>882</v>
      </c>
      <c r="C731" s="9" t="s">
        <v>883</v>
      </c>
      <c r="D731" s="9" t="s">
        <v>619</v>
      </c>
      <c r="E731" s="9" t="s">
        <v>773</v>
      </c>
      <c r="F731" s="9" t="s">
        <v>207</v>
      </c>
      <c r="G731" s="9" t="s">
        <v>221</v>
      </c>
      <c r="H731" s="9" t="n">
        <v>1040</v>
      </c>
      <c r="I731" s="29" t="n">
        <v>1.4</v>
      </c>
      <c r="J731" s="9" t="n">
        <v>1</v>
      </c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21" t="str">
        <f aca="false">IF(COUNT(K731:T731)=0,"SOURCE EMPTY / INDUSTRIAL ONLY",IF(MIN(K731:T731)=1,"SERVICE READY","HOLD"))</f>
        <v>SOURCE EMPTY / INDUSTRIAL ONLY</v>
      </c>
      <c r="V731" s="9" t="n">
        <f aca="false">IF(U731="SERVICE READY",1,0)</f>
        <v>0</v>
      </c>
      <c r="W731" s="6"/>
      <c r="X731" s="6"/>
      <c r="Y731" s="6"/>
      <c r="Z731" s="6"/>
    </row>
    <row r="732" customFormat="false" ht="15" hidden="false" customHeight="false" outlineLevel="0" collapsed="false">
      <c r="A732" s="9" t="s">
        <v>951</v>
      </c>
      <c r="B732" s="9" t="s">
        <v>882</v>
      </c>
      <c r="C732" s="9" t="s">
        <v>883</v>
      </c>
      <c r="D732" s="9" t="s">
        <v>619</v>
      </c>
      <c r="E732" s="9" t="s">
        <v>773</v>
      </c>
      <c r="F732" s="9" t="s">
        <v>209</v>
      </c>
      <c r="G732" s="9" t="s">
        <v>221</v>
      </c>
      <c r="H732" s="9" t="n">
        <v>1040</v>
      </c>
      <c r="I732" s="29" t="n">
        <v>1.4</v>
      </c>
      <c r="J732" s="9" t="n">
        <v>1</v>
      </c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21" t="str">
        <f aca="false">IF(COUNT(K732:T732)=0,"SOURCE EMPTY / INDUSTRIAL ONLY",IF(MIN(K732:T732)=1,"SERVICE READY","HOLD"))</f>
        <v>SOURCE EMPTY / INDUSTRIAL ONLY</v>
      </c>
      <c r="V732" s="9" t="n">
        <f aca="false">IF(U732="SERVICE READY",1,0)</f>
        <v>0</v>
      </c>
      <c r="W732" s="6"/>
      <c r="X732" s="6"/>
      <c r="Y732" s="6"/>
      <c r="Z732" s="6"/>
    </row>
    <row r="733" customFormat="false" ht="15" hidden="false" customHeight="false" outlineLevel="0" collapsed="false">
      <c r="A733" s="9" t="s">
        <v>952</v>
      </c>
      <c r="B733" s="9" t="s">
        <v>882</v>
      </c>
      <c r="C733" s="9" t="s">
        <v>883</v>
      </c>
      <c r="D733" s="9" t="s">
        <v>619</v>
      </c>
      <c r="E733" s="9" t="s">
        <v>773</v>
      </c>
      <c r="F733" s="9" t="s">
        <v>211</v>
      </c>
      <c r="G733" s="9" t="s">
        <v>221</v>
      </c>
      <c r="H733" s="9" t="n">
        <v>1040</v>
      </c>
      <c r="I733" s="29" t="n">
        <v>1.4</v>
      </c>
      <c r="J733" s="9" t="n">
        <v>1</v>
      </c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21" t="str">
        <f aca="false">IF(COUNT(K733:T733)=0,"SOURCE EMPTY / INDUSTRIAL ONLY",IF(MIN(K733:T733)=1,"SERVICE READY","HOLD"))</f>
        <v>SOURCE EMPTY / INDUSTRIAL ONLY</v>
      </c>
      <c r="V733" s="9" t="n">
        <f aca="false">IF(U733="SERVICE READY",1,0)</f>
        <v>0</v>
      </c>
      <c r="W733" s="6"/>
      <c r="X733" s="6"/>
      <c r="Y733" s="6"/>
      <c r="Z733" s="6"/>
    </row>
    <row r="734" customFormat="false" ht="15" hidden="false" customHeight="false" outlineLevel="0" collapsed="false">
      <c r="A734" s="9" t="s">
        <v>953</v>
      </c>
      <c r="B734" s="9" t="s">
        <v>882</v>
      </c>
      <c r="C734" s="9" t="s">
        <v>883</v>
      </c>
      <c r="D734" s="9" t="s">
        <v>619</v>
      </c>
      <c r="E734" s="9" t="s">
        <v>773</v>
      </c>
      <c r="F734" s="9" t="s">
        <v>197</v>
      </c>
      <c r="G734" s="9" t="s">
        <v>221</v>
      </c>
      <c r="H734" s="9" t="n">
        <v>1040</v>
      </c>
      <c r="I734" s="29" t="n">
        <v>1.4</v>
      </c>
      <c r="J734" s="9" t="n">
        <v>1</v>
      </c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21" t="str">
        <f aca="false">IF(COUNT(K734:T734)=0,"SOURCE EMPTY / INDUSTRIAL ONLY",IF(MIN(K734:T734)=1,"SERVICE READY","HOLD"))</f>
        <v>SOURCE EMPTY / INDUSTRIAL ONLY</v>
      </c>
      <c r="V734" s="9" t="n">
        <f aca="false">IF(U734="SERVICE READY",1,0)</f>
        <v>0</v>
      </c>
      <c r="W734" s="6"/>
      <c r="X734" s="6"/>
      <c r="Y734" s="6"/>
      <c r="Z734" s="6"/>
    </row>
    <row r="735" customFormat="false" ht="15" hidden="false" customHeight="false" outlineLevel="0" collapsed="false">
      <c r="A735" s="9" t="s">
        <v>954</v>
      </c>
      <c r="B735" s="9" t="s">
        <v>882</v>
      </c>
      <c r="C735" s="9" t="s">
        <v>883</v>
      </c>
      <c r="D735" s="9" t="s">
        <v>619</v>
      </c>
      <c r="E735" s="9" t="s">
        <v>773</v>
      </c>
      <c r="F735" s="9" t="s">
        <v>200</v>
      </c>
      <c r="G735" s="9" t="s">
        <v>221</v>
      </c>
      <c r="H735" s="9" t="n">
        <v>1040</v>
      </c>
      <c r="I735" s="29" t="n">
        <v>1.4</v>
      </c>
      <c r="J735" s="9" t="n">
        <v>1</v>
      </c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21" t="str">
        <f aca="false">IF(COUNT(K735:T735)=0,"SOURCE EMPTY / INDUSTRIAL ONLY",IF(MIN(K735:T735)=1,"SERVICE READY","HOLD"))</f>
        <v>SOURCE EMPTY / INDUSTRIAL ONLY</v>
      </c>
      <c r="V735" s="9" t="n">
        <f aca="false">IF(U735="SERVICE READY",1,0)</f>
        <v>0</v>
      </c>
      <c r="W735" s="6"/>
      <c r="X735" s="6"/>
      <c r="Y735" s="6"/>
      <c r="Z735" s="6"/>
    </row>
    <row r="736" customFormat="false" ht="15" hidden="false" customHeight="false" outlineLevel="0" collapsed="false">
      <c r="A736" s="9" t="s">
        <v>955</v>
      </c>
      <c r="B736" s="9" t="s">
        <v>882</v>
      </c>
      <c r="C736" s="9" t="s">
        <v>883</v>
      </c>
      <c r="D736" s="9" t="s">
        <v>619</v>
      </c>
      <c r="E736" s="9" t="s">
        <v>773</v>
      </c>
      <c r="F736" s="9" t="s">
        <v>203</v>
      </c>
      <c r="G736" s="9" t="s">
        <v>221</v>
      </c>
      <c r="H736" s="9" t="n">
        <v>1040</v>
      </c>
      <c r="I736" s="29" t="n">
        <v>1.4</v>
      </c>
      <c r="J736" s="9" t="n">
        <v>1</v>
      </c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21" t="str">
        <f aca="false">IF(COUNT(K736:T736)=0,"SOURCE EMPTY / INDUSTRIAL ONLY",IF(MIN(K736:T736)=1,"SERVICE READY","HOLD"))</f>
        <v>SOURCE EMPTY / INDUSTRIAL ONLY</v>
      </c>
      <c r="V736" s="9" t="n">
        <f aca="false">IF(U736="SERVICE READY",1,0)</f>
        <v>0</v>
      </c>
      <c r="W736" s="6"/>
      <c r="X736" s="6"/>
      <c r="Y736" s="6"/>
      <c r="Z736" s="6"/>
    </row>
    <row r="737" customFormat="false" ht="15" hidden="false" customHeight="false" outlineLevel="0" collapsed="false">
      <c r="A737" s="9" t="s">
        <v>956</v>
      </c>
      <c r="B737" s="9" t="s">
        <v>882</v>
      </c>
      <c r="C737" s="9" t="s">
        <v>883</v>
      </c>
      <c r="D737" s="9" t="s">
        <v>619</v>
      </c>
      <c r="E737" s="9" t="s">
        <v>773</v>
      </c>
      <c r="F737" s="9" t="s">
        <v>205</v>
      </c>
      <c r="G737" s="9" t="s">
        <v>221</v>
      </c>
      <c r="H737" s="9" t="n">
        <v>1040</v>
      </c>
      <c r="I737" s="29" t="n">
        <v>1.4</v>
      </c>
      <c r="J737" s="9" t="n">
        <v>1</v>
      </c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21" t="str">
        <f aca="false">IF(COUNT(K737:T737)=0,"SOURCE EMPTY / INDUSTRIAL ONLY",IF(MIN(K737:T737)=1,"SERVICE READY","HOLD"))</f>
        <v>SOURCE EMPTY / INDUSTRIAL ONLY</v>
      </c>
      <c r="V737" s="9" t="n">
        <f aca="false">IF(U737="SERVICE READY",1,0)</f>
        <v>0</v>
      </c>
      <c r="W737" s="6"/>
      <c r="X737" s="6"/>
      <c r="Y737" s="6"/>
      <c r="Z737" s="6"/>
    </row>
    <row r="738" customFormat="false" ht="15" hidden="false" customHeight="false" outlineLevel="0" collapsed="false">
      <c r="A738" s="9" t="s">
        <v>957</v>
      </c>
      <c r="B738" s="9" t="s">
        <v>882</v>
      </c>
      <c r="C738" s="9" t="s">
        <v>883</v>
      </c>
      <c r="D738" s="9" t="s">
        <v>619</v>
      </c>
      <c r="E738" s="9" t="s">
        <v>773</v>
      </c>
      <c r="F738" s="9" t="s">
        <v>207</v>
      </c>
      <c r="G738" s="9" t="s">
        <v>221</v>
      </c>
      <c r="H738" s="9" t="n">
        <v>1040</v>
      </c>
      <c r="I738" s="29" t="n">
        <v>1.4</v>
      </c>
      <c r="J738" s="9" t="n">
        <v>1</v>
      </c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21" t="str">
        <f aca="false">IF(COUNT(K738:T738)=0,"SOURCE EMPTY / INDUSTRIAL ONLY",IF(MIN(K738:T738)=1,"SERVICE READY","HOLD"))</f>
        <v>SOURCE EMPTY / INDUSTRIAL ONLY</v>
      </c>
      <c r="V738" s="9" t="n">
        <f aca="false">IF(U738="SERVICE READY",1,0)</f>
        <v>0</v>
      </c>
      <c r="W738" s="6"/>
      <c r="X738" s="6"/>
      <c r="Y738" s="6"/>
      <c r="Z738" s="6"/>
    </row>
    <row r="739" customFormat="false" ht="15" hidden="false" customHeight="false" outlineLevel="0" collapsed="false">
      <c r="A739" s="9" t="s">
        <v>958</v>
      </c>
      <c r="B739" s="9" t="s">
        <v>882</v>
      </c>
      <c r="C739" s="9" t="s">
        <v>883</v>
      </c>
      <c r="D739" s="9" t="s">
        <v>619</v>
      </c>
      <c r="E739" s="9" t="s">
        <v>773</v>
      </c>
      <c r="F739" s="9" t="s">
        <v>209</v>
      </c>
      <c r="G739" s="9" t="s">
        <v>221</v>
      </c>
      <c r="H739" s="9" t="n">
        <v>1040</v>
      </c>
      <c r="I739" s="29" t="n">
        <v>1.4</v>
      </c>
      <c r="J739" s="9" t="n">
        <v>1</v>
      </c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21" t="str">
        <f aca="false">IF(COUNT(K739:T739)=0,"SOURCE EMPTY / INDUSTRIAL ONLY",IF(MIN(K739:T739)=1,"SERVICE READY","HOLD"))</f>
        <v>SOURCE EMPTY / INDUSTRIAL ONLY</v>
      </c>
      <c r="V739" s="9" t="n">
        <f aca="false">IF(U739="SERVICE READY",1,0)</f>
        <v>0</v>
      </c>
      <c r="W739" s="6"/>
      <c r="X739" s="6"/>
      <c r="Y739" s="6"/>
      <c r="Z739" s="6"/>
    </row>
    <row r="740" customFormat="false" ht="15" hidden="false" customHeight="false" outlineLevel="0" collapsed="false">
      <c r="A740" s="9" t="s">
        <v>959</v>
      </c>
      <c r="B740" s="9" t="s">
        <v>882</v>
      </c>
      <c r="C740" s="9" t="s">
        <v>883</v>
      </c>
      <c r="D740" s="9" t="s">
        <v>619</v>
      </c>
      <c r="E740" s="9" t="s">
        <v>773</v>
      </c>
      <c r="F740" s="9" t="s">
        <v>211</v>
      </c>
      <c r="G740" s="9" t="s">
        <v>221</v>
      </c>
      <c r="H740" s="9" t="n">
        <v>1040</v>
      </c>
      <c r="I740" s="29" t="n">
        <v>1.4</v>
      </c>
      <c r="J740" s="9" t="n">
        <v>1</v>
      </c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21" t="str">
        <f aca="false">IF(COUNT(K740:T740)=0,"SOURCE EMPTY / INDUSTRIAL ONLY",IF(MIN(K740:T740)=1,"SERVICE READY","HOLD"))</f>
        <v>SOURCE EMPTY / INDUSTRIAL ONLY</v>
      </c>
      <c r="V740" s="9" t="n">
        <f aca="false">IF(U740="SERVICE READY",1,0)</f>
        <v>0</v>
      </c>
      <c r="W740" s="6"/>
      <c r="X740" s="6"/>
      <c r="Y740" s="6"/>
      <c r="Z740" s="6"/>
    </row>
    <row r="741" customFormat="false" ht="15" hidden="false" customHeight="false" outlineLevel="0" collapsed="false">
      <c r="A741" s="9" t="s">
        <v>960</v>
      </c>
      <c r="B741" s="9" t="s">
        <v>882</v>
      </c>
      <c r="C741" s="9" t="s">
        <v>883</v>
      </c>
      <c r="D741" s="9" t="s">
        <v>619</v>
      </c>
      <c r="E741" s="9" t="s">
        <v>773</v>
      </c>
      <c r="F741" s="9" t="s">
        <v>197</v>
      </c>
      <c r="G741" s="9" t="s">
        <v>221</v>
      </c>
      <c r="H741" s="9" t="n">
        <v>1040</v>
      </c>
      <c r="I741" s="29" t="n">
        <v>1.4</v>
      </c>
      <c r="J741" s="9" t="n">
        <v>1</v>
      </c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21" t="str">
        <f aca="false">IF(COUNT(K741:T741)=0,"SOURCE EMPTY / INDUSTRIAL ONLY",IF(MIN(K741:T741)=1,"SERVICE READY","HOLD"))</f>
        <v>SOURCE EMPTY / INDUSTRIAL ONLY</v>
      </c>
      <c r="V741" s="9" t="n">
        <f aca="false">IF(U741="SERVICE READY",1,0)</f>
        <v>0</v>
      </c>
      <c r="W741" s="6"/>
      <c r="X741" s="6"/>
      <c r="Y741" s="6"/>
      <c r="Z741" s="6"/>
    </row>
    <row r="742" customFormat="false" ht="15" hidden="false" customHeight="false" outlineLevel="0" collapsed="false">
      <c r="A742" s="9" t="s">
        <v>961</v>
      </c>
      <c r="B742" s="9" t="s">
        <v>882</v>
      </c>
      <c r="C742" s="9" t="s">
        <v>883</v>
      </c>
      <c r="D742" s="9" t="s">
        <v>619</v>
      </c>
      <c r="E742" s="9" t="s">
        <v>773</v>
      </c>
      <c r="F742" s="9" t="s">
        <v>200</v>
      </c>
      <c r="G742" s="9" t="s">
        <v>221</v>
      </c>
      <c r="H742" s="9" t="n">
        <v>1040</v>
      </c>
      <c r="I742" s="29" t="n">
        <v>1.4</v>
      </c>
      <c r="J742" s="9" t="n">
        <v>1</v>
      </c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21" t="str">
        <f aca="false">IF(COUNT(K742:T742)=0,"SOURCE EMPTY / INDUSTRIAL ONLY",IF(MIN(K742:T742)=1,"SERVICE READY","HOLD"))</f>
        <v>SOURCE EMPTY / INDUSTRIAL ONLY</v>
      </c>
      <c r="V742" s="9" t="n">
        <f aca="false">IF(U742="SERVICE READY",1,0)</f>
        <v>0</v>
      </c>
      <c r="W742" s="6"/>
      <c r="X742" s="6"/>
      <c r="Y742" s="6"/>
      <c r="Z742" s="6"/>
    </row>
    <row r="743" customFormat="false" ht="15" hidden="false" customHeight="false" outlineLevel="0" collapsed="false">
      <c r="A743" s="9" t="s">
        <v>962</v>
      </c>
      <c r="B743" s="9" t="s">
        <v>882</v>
      </c>
      <c r="C743" s="9" t="s">
        <v>883</v>
      </c>
      <c r="D743" s="9" t="s">
        <v>619</v>
      </c>
      <c r="E743" s="9" t="s">
        <v>773</v>
      </c>
      <c r="F743" s="9" t="s">
        <v>203</v>
      </c>
      <c r="G743" s="9" t="s">
        <v>221</v>
      </c>
      <c r="H743" s="9" t="n">
        <v>1040</v>
      </c>
      <c r="I743" s="29" t="n">
        <v>1.4</v>
      </c>
      <c r="J743" s="9" t="n">
        <v>1</v>
      </c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21" t="str">
        <f aca="false">IF(COUNT(K743:T743)=0,"SOURCE EMPTY / INDUSTRIAL ONLY",IF(MIN(K743:T743)=1,"SERVICE READY","HOLD"))</f>
        <v>SOURCE EMPTY / INDUSTRIAL ONLY</v>
      </c>
      <c r="V743" s="9" t="n">
        <f aca="false">IF(U743="SERVICE READY",1,0)</f>
        <v>0</v>
      </c>
      <c r="W743" s="6"/>
      <c r="X743" s="6"/>
      <c r="Y743" s="6"/>
      <c r="Z743" s="6"/>
    </row>
    <row r="744" customFormat="false" ht="15" hidden="false" customHeight="false" outlineLevel="0" collapsed="false">
      <c r="A744" s="9" t="s">
        <v>963</v>
      </c>
      <c r="B744" s="9" t="s">
        <v>882</v>
      </c>
      <c r="C744" s="9" t="s">
        <v>883</v>
      </c>
      <c r="D744" s="9" t="s">
        <v>619</v>
      </c>
      <c r="E744" s="9" t="s">
        <v>773</v>
      </c>
      <c r="F744" s="9" t="s">
        <v>205</v>
      </c>
      <c r="G744" s="9" t="s">
        <v>221</v>
      </c>
      <c r="H744" s="9" t="n">
        <v>1040</v>
      </c>
      <c r="I744" s="29" t="n">
        <v>1.4</v>
      </c>
      <c r="J744" s="9" t="n">
        <v>1</v>
      </c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21" t="str">
        <f aca="false">IF(COUNT(K744:T744)=0,"SOURCE EMPTY / INDUSTRIAL ONLY",IF(MIN(K744:T744)=1,"SERVICE READY","HOLD"))</f>
        <v>SOURCE EMPTY / INDUSTRIAL ONLY</v>
      </c>
      <c r="V744" s="9" t="n">
        <f aca="false">IF(U744="SERVICE READY",1,0)</f>
        <v>0</v>
      </c>
      <c r="W744" s="6"/>
      <c r="X744" s="6"/>
      <c r="Y744" s="6"/>
      <c r="Z744" s="6"/>
    </row>
    <row r="745" customFormat="false" ht="15" hidden="false" customHeight="false" outlineLevel="0" collapsed="false">
      <c r="A745" s="9" t="s">
        <v>964</v>
      </c>
      <c r="B745" s="9" t="s">
        <v>882</v>
      </c>
      <c r="C745" s="9" t="s">
        <v>883</v>
      </c>
      <c r="D745" s="9" t="s">
        <v>619</v>
      </c>
      <c r="E745" s="9" t="s">
        <v>773</v>
      </c>
      <c r="F745" s="9" t="s">
        <v>207</v>
      </c>
      <c r="G745" s="9" t="s">
        <v>221</v>
      </c>
      <c r="H745" s="9" t="n">
        <v>1040</v>
      </c>
      <c r="I745" s="29" t="n">
        <v>1.4</v>
      </c>
      <c r="J745" s="9" t="n">
        <v>1</v>
      </c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21" t="str">
        <f aca="false">IF(COUNT(K745:T745)=0,"SOURCE EMPTY / INDUSTRIAL ONLY",IF(MIN(K745:T745)=1,"SERVICE READY","HOLD"))</f>
        <v>SOURCE EMPTY / INDUSTRIAL ONLY</v>
      </c>
      <c r="V745" s="9" t="n">
        <f aca="false">IF(U745="SERVICE READY",1,0)</f>
        <v>0</v>
      </c>
      <c r="W745" s="6"/>
      <c r="X745" s="6"/>
      <c r="Y745" s="6"/>
      <c r="Z745" s="6"/>
    </row>
    <row r="746" customFormat="false" ht="15" hidden="false" customHeight="false" outlineLevel="0" collapsed="false">
      <c r="A746" s="9" t="s">
        <v>965</v>
      </c>
      <c r="B746" s="9" t="s">
        <v>882</v>
      </c>
      <c r="C746" s="9" t="s">
        <v>883</v>
      </c>
      <c r="D746" s="9" t="s">
        <v>619</v>
      </c>
      <c r="E746" s="9" t="s">
        <v>773</v>
      </c>
      <c r="F746" s="9" t="s">
        <v>209</v>
      </c>
      <c r="G746" s="9" t="s">
        <v>221</v>
      </c>
      <c r="H746" s="9" t="n">
        <v>1040</v>
      </c>
      <c r="I746" s="29" t="n">
        <v>1.4</v>
      </c>
      <c r="J746" s="9" t="n">
        <v>1</v>
      </c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21" t="str">
        <f aca="false">IF(COUNT(K746:T746)=0,"SOURCE EMPTY / INDUSTRIAL ONLY",IF(MIN(K746:T746)=1,"SERVICE READY","HOLD"))</f>
        <v>SOURCE EMPTY / INDUSTRIAL ONLY</v>
      </c>
      <c r="V746" s="9" t="n">
        <f aca="false">IF(U746="SERVICE READY",1,0)</f>
        <v>0</v>
      </c>
      <c r="W746" s="6"/>
      <c r="X746" s="6"/>
      <c r="Y746" s="6"/>
      <c r="Z746" s="6"/>
    </row>
    <row r="747" customFormat="false" ht="15" hidden="false" customHeight="false" outlineLevel="0" collapsed="false">
      <c r="A747" s="9" t="s">
        <v>966</v>
      </c>
      <c r="B747" s="9" t="s">
        <v>882</v>
      </c>
      <c r="C747" s="9" t="s">
        <v>883</v>
      </c>
      <c r="D747" s="9" t="s">
        <v>619</v>
      </c>
      <c r="E747" s="9" t="s">
        <v>773</v>
      </c>
      <c r="F747" s="9" t="s">
        <v>211</v>
      </c>
      <c r="G747" s="9" t="s">
        <v>221</v>
      </c>
      <c r="H747" s="9" t="n">
        <v>1040</v>
      </c>
      <c r="I747" s="29" t="n">
        <v>1.4</v>
      </c>
      <c r="J747" s="9" t="n">
        <v>1</v>
      </c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21" t="str">
        <f aca="false">IF(COUNT(K747:T747)=0,"SOURCE EMPTY / INDUSTRIAL ONLY",IF(MIN(K747:T747)=1,"SERVICE READY","HOLD"))</f>
        <v>SOURCE EMPTY / INDUSTRIAL ONLY</v>
      </c>
      <c r="V747" s="9" t="n">
        <f aca="false">IF(U747="SERVICE READY",1,0)</f>
        <v>0</v>
      </c>
      <c r="W747" s="6"/>
      <c r="X747" s="6"/>
      <c r="Y747" s="6"/>
      <c r="Z747" s="6"/>
    </row>
    <row r="748" customFormat="false" ht="15" hidden="false" customHeight="false" outlineLevel="0" collapsed="false">
      <c r="A748" s="9" t="s">
        <v>967</v>
      </c>
      <c r="B748" s="9" t="s">
        <v>882</v>
      </c>
      <c r="C748" s="9" t="s">
        <v>883</v>
      </c>
      <c r="D748" s="9" t="s">
        <v>619</v>
      </c>
      <c r="E748" s="9" t="s">
        <v>773</v>
      </c>
      <c r="F748" s="9" t="s">
        <v>197</v>
      </c>
      <c r="G748" s="9" t="s">
        <v>221</v>
      </c>
      <c r="H748" s="9" t="n">
        <v>1040</v>
      </c>
      <c r="I748" s="29" t="n">
        <v>1.4</v>
      </c>
      <c r="J748" s="9" t="n">
        <v>1</v>
      </c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21" t="str">
        <f aca="false">IF(COUNT(K748:T748)=0,"SOURCE EMPTY / INDUSTRIAL ONLY",IF(MIN(K748:T748)=1,"SERVICE READY","HOLD"))</f>
        <v>SOURCE EMPTY / INDUSTRIAL ONLY</v>
      </c>
      <c r="V748" s="9" t="n">
        <f aca="false">IF(U748="SERVICE READY",1,0)</f>
        <v>0</v>
      </c>
      <c r="W748" s="6"/>
      <c r="X748" s="6"/>
      <c r="Y748" s="6"/>
      <c r="Z748" s="6"/>
    </row>
    <row r="749" customFormat="false" ht="15" hidden="false" customHeight="false" outlineLevel="0" collapsed="false">
      <c r="A749" s="9" t="s">
        <v>968</v>
      </c>
      <c r="B749" s="9" t="s">
        <v>882</v>
      </c>
      <c r="C749" s="9" t="s">
        <v>883</v>
      </c>
      <c r="D749" s="9" t="s">
        <v>619</v>
      </c>
      <c r="E749" s="9" t="s">
        <v>773</v>
      </c>
      <c r="F749" s="9" t="s">
        <v>200</v>
      </c>
      <c r="G749" s="9" t="s">
        <v>221</v>
      </c>
      <c r="H749" s="9" t="n">
        <v>1040</v>
      </c>
      <c r="I749" s="29" t="n">
        <v>1.4</v>
      </c>
      <c r="J749" s="9" t="n">
        <v>1</v>
      </c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21" t="str">
        <f aca="false">IF(COUNT(K749:T749)=0,"SOURCE EMPTY / INDUSTRIAL ONLY",IF(MIN(K749:T749)=1,"SERVICE READY","HOLD"))</f>
        <v>SOURCE EMPTY / INDUSTRIAL ONLY</v>
      </c>
      <c r="V749" s="9" t="n">
        <f aca="false">IF(U749="SERVICE READY",1,0)</f>
        <v>0</v>
      </c>
      <c r="W749" s="6"/>
      <c r="X749" s="6"/>
      <c r="Y749" s="6"/>
      <c r="Z749" s="6"/>
    </row>
    <row r="750" customFormat="false" ht="15" hidden="false" customHeight="false" outlineLevel="0" collapsed="false">
      <c r="A750" s="9" t="s">
        <v>969</v>
      </c>
      <c r="B750" s="9" t="s">
        <v>882</v>
      </c>
      <c r="C750" s="9" t="s">
        <v>883</v>
      </c>
      <c r="D750" s="9" t="s">
        <v>619</v>
      </c>
      <c r="E750" s="9" t="s">
        <v>773</v>
      </c>
      <c r="F750" s="9" t="s">
        <v>203</v>
      </c>
      <c r="G750" s="9" t="s">
        <v>221</v>
      </c>
      <c r="H750" s="9" t="n">
        <v>1040</v>
      </c>
      <c r="I750" s="29" t="n">
        <v>1.4</v>
      </c>
      <c r="J750" s="9" t="n">
        <v>1</v>
      </c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21" t="str">
        <f aca="false">IF(COUNT(K750:T750)=0,"SOURCE EMPTY / INDUSTRIAL ONLY",IF(MIN(K750:T750)=1,"SERVICE READY","HOLD"))</f>
        <v>SOURCE EMPTY / INDUSTRIAL ONLY</v>
      </c>
      <c r="V750" s="9" t="n">
        <f aca="false">IF(U750="SERVICE READY",1,0)</f>
        <v>0</v>
      </c>
      <c r="W750" s="6"/>
      <c r="X750" s="6"/>
      <c r="Y750" s="6"/>
      <c r="Z750" s="6"/>
    </row>
    <row r="751" customFormat="false" ht="15" hidden="false" customHeight="false" outlineLevel="0" collapsed="false">
      <c r="A751" s="9" t="s">
        <v>970</v>
      </c>
      <c r="B751" s="9" t="s">
        <v>882</v>
      </c>
      <c r="C751" s="9" t="s">
        <v>883</v>
      </c>
      <c r="D751" s="9" t="s">
        <v>619</v>
      </c>
      <c r="E751" s="9" t="s">
        <v>773</v>
      </c>
      <c r="F751" s="9" t="s">
        <v>205</v>
      </c>
      <c r="G751" s="9" t="s">
        <v>221</v>
      </c>
      <c r="H751" s="9" t="n">
        <v>1040</v>
      </c>
      <c r="I751" s="29" t="n">
        <v>1.4</v>
      </c>
      <c r="J751" s="9" t="n">
        <v>1</v>
      </c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21" t="str">
        <f aca="false">IF(COUNT(K751:T751)=0,"SOURCE EMPTY / INDUSTRIAL ONLY",IF(MIN(K751:T751)=1,"SERVICE READY","HOLD"))</f>
        <v>SOURCE EMPTY / INDUSTRIAL ONLY</v>
      </c>
      <c r="V751" s="9" t="n">
        <f aca="false">IF(U751="SERVICE READY",1,0)</f>
        <v>0</v>
      </c>
      <c r="W751" s="6"/>
      <c r="X751" s="6"/>
      <c r="Y751" s="6"/>
      <c r="Z751" s="6"/>
    </row>
    <row r="752" customFormat="false" ht="15" hidden="false" customHeight="false" outlineLevel="0" collapsed="false">
      <c r="A752" s="9" t="s">
        <v>971</v>
      </c>
      <c r="B752" s="9" t="s">
        <v>882</v>
      </c>
      <c r="C752" s="9" t="s">
        <v>883</v>
      </c>
      <c r="D752" s="9" t="s">
        <v>619</v>
      </c>
      <c r="E752" s="9" t="s">
        <v>773</v>
      </c>
      <c r="F752" s="9" t="s">
        <v>207</v>
      </c>
      <c r="G752" s="9" t="s">
        <v>221</v>
      </c>
      <c r="H752" s="9" t="n">
        <v>1040</v>
      </c>
      <c r="I752" s="29" t="n">
        <v>1.4</v>
      </c>
      <c r="J752" s="9" t="n">
        <v>1</v>
      </c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21" t="str">
        <f aca="false">IF(COUNT(K752:T752)=0,"SOURCE EMPTY / INDUSTRIAL ONLY",IF(MIN(K752:T752)=1,"SERVICE READY","HOLD"))</f>
        <v>SOURCE EMPTY / INDUSTRIAL ONLY</v>
      </c>
      <c r="V752" s="9" t="n">
        <f aca="false">IF(U752="SERVICE READY",1,0)</f>
        <v>0</v>
      </c>
      <c r="W752" s="6"/>
      <c r="X752" s="6"/>
      <c r="Y752" s="6"/>
      <c r="Z752" s="6"/>
    </row>
    <row r="753" customFormat="false" ht="15" hidden="false" customHeight="false" outlineLevel="0" collapsed="false">
      <c r="A753" s="9" t="s">
        <v>972</v>
      </c>
      <c r="B753" s="9" t="s">
        <v>882</v>
      </c>
      <c r="C753" s="9" t="s">
        <v>883</v>
      </c>
      <c r="D753" s="9" t="s">
        <v>619</v>
      </c>
      <c r="E753" s="9" t="s">
        <v>773</v>
      </c>
      <c r="F753" s="9" t="s">
        <v>209</v>
      </c>
      <c r="G753" s="9" t="s">
        <v>221</v>
      </c>
      <c r="H753" s="9" t="n">
        <v>1040</v>
      </c>
      <c r="I753" s="29" t="n">
        <v>1.4</v>
      </c>
      <c r="J753" s="9" t="n">
        <v>1</v>
      </c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21" t="str">
        <f aca="false">IF(COUNT(K753:T753)=0,"SOURCE EMPTY / INDUSTRIAL ONLY",IF(MIN(K753:T753)=1,"SERVICE READY","HOLD"))</f>
        <v>SOURCE EMPTY / INDUSTRIAL ONLY</v>
      </c>
      <c r="V753" s="9" t="n">
        <f aca="false">IF(U753="SERVICE READY",1,0)</f>
        <v>0</v>
      </c>
      <c r="W753" s="6"/>
      <c r="X753" s="6"/>
      <c r="Y753" s="6"/>
      <c r="Z753" s="6"/>
    </row>
    <row r="754" customFormat="false" ht="15" hidden="false" customHeight="false" outlineLevel="0" collapsed="false">
      <c r="A754" s="9" t="s">
        <v>973</v>
      </c>
      <c r="B754" s="9" t="s">
        <v>882</v>
      </c>
      <c r="C754" s="9" t="s">
        <v>883</v>
      </c>
      <c r="D754" s="9" t="s">
        <v>619</v>
      </c>
      <c r="E754" s="9" t="s">
        <v>773</v>
      </c>
      <c r="F754" s="9" t="s">
        <v>211</v>
      </c>
      <c r="G754" s="9" t="s">
        <v>221</v>
      </c>
      <c r="H754" s="9" t="n">
        <v>1040</v>
      </c>
      <c r="I754" s="29" t="n">
        <v>1.4</v>
      </c>
      <c r="J754" s="9" t="n">
        <v>1</v>
      </c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21" t="str">
        <f aca="false">IF(COUNT(K754:T754)=0,"SOURCE EMPTY / INDUSTRIAL ONLY",IF(MIN(K754:T754)=1,"SERVICE READY","HOLD"))</f>
        <v>SOURCE EMPTY / INDUSTRIAL ONLY</v>
      </c>
      <c r="V754" s="9" t="n">
        <f aca="false">IF(U754="SERVICE READY",1,0)</f>
        <v>0</v>
      </c>
      <c r="W754" s="6"/>
      <c r="X754" s="6"/>
      <c r="Y754" s="6"/>
      <c r="Z754" s="6"/>
    </row>
    <row r="755" customFormat="false" ht="15" hidden="false" customHeight="false" outlineLevel="0" collapsed="false">
      <c r="A755" s="9" t="s">
        <v>974</v>
      </c>
      <c r="B755" s="9" t="s">
        <v>882</v>
      </c>
      <c r="C755" s="9" t="s">
        <v>883</v>
      </c>
      <c r="D755" s="9" t="s">
        <v>619</v>
      </c>
      <c r="E755" s="9" t="s">
        <v>773</v>
      </c>
      <c r="F755" s="9" t="s">
        <v>197</v>
      </c>
      <c r="G755" s="9" t="s">
        <v>221</v>
      </c>
      <c r="H755" s="9" t="n">
        <v>1040</v>
      </c>
      <c r="I755" s="29" t="n">
        <v>1.4</v>
      </c>
      <c r="J755" s="9" t="n">
        <v>1</v>
      </c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21" t="str">
        <f aca="false">IF(COUNT(K755:T755)=0,"SOURCE EMPTY / INDUSTRIAL ONLY",IF(MIN(K755:T755)=1,"SERVICE READY","HOLD"))</f>
        <v>SOURCE EMPTY / INDUSTRIAL ONLY</v>
      </c>
      <c r="V755" s="9" t="n">
        <f aca="false">IF(U755="SERVICE READY",1,0)</f>
        <v>0</v>
      </c>
      <c r="W755" s="6"/>
      <c r="X755" s="6"/>
      <c r="Y755" s="6"/>
      <c r="Z755" s="6"/>
    </row>
    <row r="756" customFormat="false" ht="15" hidden="false" customHeight="false" outlineLevel="0" collapsed="false">
      <c r="A756" s="9" t="s">
        <v>975</v>
      </c>
      <c r="B756" s="9" t="s">
        <v>882</v>
      </c>
      <c r="C756" s="9" t="s">
        <v>883</v>
      </c>
      <c r="D756" s="9" t="s">
        <v>619</v>
      </c>
      <c r="E756" s="9" t="s">
        <v>773</v>
      </c>
      <c r="F756" s="9" t="s">
        <v>200</v>
      </c>
      <c r="G756" s="9" t="s">
        <v>221</v>
      </c>
      <c r="H756" s="9" t="n">
        <v>1040</v>
      </c>
      <c r="I756" s="29" t="n">
        <v>1.4</v>
      </c>
      <c r="J756" s="9" t="n">
        <v>1</v>
      </c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21" t="str">
        <f aca="false">IF(COUNT(K756:T756)=0,"SOURCE EMPTY / INDUSTRIAL ONLY",IF(MIN(K756:T756)=1,"SERVICE READY","HOLD"))</f>
        <v>SOURCE EMPTY / INDUSTRIAL ONLY</v>
      </c>
      <c r="V756" s="9" t="n">
        <f aca="false">IF(U756="SERVICE READY",1,0)</f>
        <v>0</v>
      </c>
      <c r="W756" s="6"/>
      <c r="X756" s="6"/>
      <c r="Y756" s="6"/>
      <c r="Z756" s="6"/>
    </row>
    <row r="757" customFormat="false" ht="15" hidden="false" customHeight="false" outlineLevel="0" collapsed="false">
      <c r="A757" s="9" t="s">
        <v>976</v>
      </c>
      <c r="B757" s="9" t="s">
        <v>882</v>
      </c>
      <c r="C757" s="9" t="s">
        <v>883</v>
      </c>
      <c r="D757" s="9" t="s">
        <v>619</v>
      </c>
      <c r="E757" s="9" t="s">
        <v>773</v>
      </c>
      <c r="F757" s="9" t="s">
        <v>203</v>
      </c>
      <c r="G757" s="9" t="s">
        <v>221</v>
      </c>
      <c r="H757" s="9" t="n">
        <v>1040</v>
      </c>
      <c r="I757" s="29" t="n">
        <v>1.4</v>
      </c>
      <c r="J757" s="9" t="n">
        <v>1</v>
      </c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21" t="str">
        <f aca="false">IF(COUNT(K757:T757)=0,"SOURCE EMPTY / INDUSTRIAL ONLY",IF(MIN(K757:T757)=1,"SERVICE READY","HOLD"))</f>
        <v>SOURCE EMPTY / INDUSTRIAL ONLY</v>
      </c>
      <c r="V757" s="9" t="n">
        <f aca="false">IF(U757="SERVICE READY",1,0)</f>
        <v>0</v>
      </c>
      <c r="W757" s="6"/>
      <c r="X757" s="6"/>
      <c r="Y757" s="6"/>
      <c r="Z757" s="6"/>
    </row>
    <row r="758" customFormat="false" ht="15" hidden="false" customHeight="false" outlineLevel="0" collapsed="false">
      <c r="A758" s="9" t="s">
        <v>977</v>
      </c>
      <c r="B758" s="9" t="s">
        <v>882</v>
      </c>
      <c r="C758" s="9" t="s">
        <v>883</v>
      </c>
      <c r="D758" s="9" t="s">
        <v>619</v>
      </c>
      <c r="E758" s="9" t="s">
        <v>773</v>
      </c>
      <c r="F758" s="9" t="s">
        <v>205</v>
      </c>
      <c r="G758" s="9" t="s">
        <v>221</v>
      </c>
      <c r="H758" s="9" t="n">
        <v>1040</v>
      </c>
      <c r="I758" s="29" t="n">
        <v>1.4</v>
      </c>
      <c r="J758" s="9" t="n">
        <v>1</v>
      </c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21" t="str">
        <f aca="false">IF(COUNT(K758:T758)=0,"SOURCE EMPTY / INDUSTRIAL ONLY",IF(MIN(K758:T758)=1,"SERVICE READY","HOLD"))</f>
        <v>SOURCE EMPTY / INDUSTRIAL ONLY</v>
      </c>
      <c r="V758" s="9" t="n">
        <f aca="false">IF(U758="SERVICE READY",1,0)</f>
        <v>0</v>
      </c>
      <c r="W758" s="6"/>
      <c r="X758" s="6"/>
      <c r="Y758" s="6"/>
      <c r="Z758" s="6"/>
    </row>
    <row r="759" customFormat="false" ht="15" hidden="false" customHeight="false" outlineLevel="0" collapsed="false">
      <c r="A759" s="9" t="s">
        <v>978</v>
      </c>
      <c r="B759" s="9" t="s">
        <v>882</v>
      </c>
      <c r="C759" s="9" t="s">
        <v>883</v>
      </c>
      <c r="D759" s="9" t="s">
        <v>619</v>
      </c>
      <c r="E759" s="9" t="s">
        <v>773</v>
      </c>
      <c r="F759" s="9" t="s">
        <v>207</v>
      </c>
      <c r="G759" s="9" t="s">
        <v>221</v>
      </c>
      <c r="H759" s="9" t="n">
        <v>1040</v>
      </c>
      <c r="I759" s="29" t="n">
        <v>1.4</v>
      </c>
      <c r="J759" s="9" t="n">
        <v>1</v>
      </c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21" t="str">
        <f aca="false">IF(COUNT(K759:T759)=0,"SOURCE EMPTY / INDUSTRIAL ONLY",IF(MIN(K759:T759)=1,"SERVICE READY","HOLD"))</f>
        <v>SOURCE EMPTY / INDUSTRIAL ONLY</v>
      </c>
      <c r="V759" s="9" t="n">
        <f aca="false">IF(U759="SERVICE READY",1,0)</f>
        <v>0</v>
      </c>
      <c r="W759" s="6"/>
      <c r="X759" s="6"/>
      <c r="Y759" s="6"/>
      <c r="Z759" s="6"/>
    </row>
    <row r="760" customFormat="false" ht="15" hidden="false" customHeight="false" outlineLevel="0" collapsed="false">
      <c r="A760" s="9" t="s">
        <v>979</v>
      </c>
      <c r="B760" s="9" t="s">
        <v>882</v>
      </c>
      <c r="C760" s="9" t="s">
        <v>883</v>
      </c>
      <c r="D760" s="9" t="s">
        <v>619</v>
      </c>
      <c r="E760" s="9" t="s">
        <v>773</v>
      </c>
      <c r="F760" s="9" t="s">
        <v>209</v>
      </c>
      <c r="G760" s="9" t="s">
        <v>221</v>
      </c>
      <c r="H760" s="9" t="n">
        <v>1040</v>
      </c>
      <c r="I760" s="29" t="n">
        <v>1.4</v>
      </c>
      <c r="J760" s="9" t="n">
        <v>1</v>
      </c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21" t="str">
        <f aca="false">IF(COUNT(K760:T760)=0,"SOURCE EMPTY / INDUSTRIAL ONLY",IF(MIN(K760:T760)=1,"SERVICE READY","HOLD"))</f>
        <v>SOURCE EMPTY / INDUSTRIAL ONLY</v>
      </c>
      <c r="V760" s="9" t="n">
        <f aca="false">IF(U760="SERVICE READY",1,0)</f>
        <v>0</v>
      </c>
      <c r="W760" s="6"/>
      <c r="X760" s="6"/>
      <c r="Y760" s="6"/>
      <c r="Z760" s="6"/>
    </row>
    <row r="761" customFormat="false" ht="15" hidden="false" customHeight="false" outlineLevel="0" collapsed="false">
      <c r="A761" s="9" t="s">
        <v>980</v>
      </c>
      <c r="B761" s="9" t="s">
        <v>882</v>
      </c>
      <c r="C761" s="9" t="s">
        <v>883</v>
      </c>
      <c r="D761" s="9" t="s">
        <v>619</v>
      </c>
      <c r="E761" s="9" t="s">
        <v>773</v>
      </c>
      <c r="F761" s="9" t="s">
        <v>211</v>
      </c>
      <c r="G761" s="9" t="s">
        <v>221</v>
      </c>
      <c r="H761" s="9" t="n">
        <v>1040</v>
      </c>
      <c r="I761" s="29" t="n">
        <v>1.4</v>
      </c>
      <c r="J761" s="9" t="n">
        <v>1</v>
      </c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21" t="str">
        <f aca="false">IF(COUNT(K761:T761)=0,"SOURCE EMPTY / INDUSTRIAL ONLY",IF(MIN(K761:T761)=1,"SERVICE READY","HOLD"))</f>
        <v>SOURCE EMPTY / INDUSTRIAL ONLY</v>
      </c>
      <c r="V761" s="9" t="n">
        <f aca="false">IF(U761="SERVICE READY",1,0)</f>
        <v>0</v>
      </c>
      <c r="W761" s="6"/>
      <c r="X761" s="6"/>
      <c r="Y761" s="6"/>
      <c r="Z761" s="6"/>
    </row>
    <row r="762" customFormat="false" ht="15" hidden="false" customHeight="false" outlineLevel="0" collapsed="false">
      <c r="A762" s="9" t="s">
        <v>981</v>
      </c>
      <c r="B762" s="9" t="s">
        <v>882</v>
      </c>
      <c r="C762" s="9" t="s">
        <v>883</v>
      </c>
      <c r="D762" s="9" t="s">
        <v>619</v>
      </c>
      <c r="E762" s="9" t="s">
        <v>773</v>
      </c>
      <c r="F762" s="9" t="s">
        <v>197</v>
      </c>
      <c r="G762" s="9" t="s">
        <v>221</v>
      </c>
      <c r="H762" s="9" t="n">
        <v>1040</v>
      </c>
      <c r="I762" s="29" t="n">
        <v>1.4</v>
      </c>
      <c r="J762" s="9" t="n">
        <v>0</v>
      </c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21" t="str">
        <f aca="false">IF(COUNT(K762:T762)=0,"SOURCE EMPTY / INDUSTRIAL ONLY",IF(MIN(K762:T762)=1,"SERVICE READY","HOLD"))</f>
        <v>SOURCE EMPTY / INDUSTRIAL ONLY</v>
      </c>
      <c r="V762" s="9" t="n">
        <f aca="false">IF(U762="SERVICE READY",1,0)</f>
        <v>0</v>
      </c>
      <c r="W762" s="6"/>
      <c r="X762" s="6"/>
      <c r="Y762" s="6"/>
      <c r="Z762" s="6"/>
    </row>
    <row r="763" customFormat="false" ht="15" hidden="false" customHeight="false" outlineLevel="0" collapsed="false">
      <c r="A763" s="9" t="s">
        <v>982</v>
      </c>
      <c r="B763" s="9" t="s">
        <v>882</v>
      </c>
      <c r="C763" s="9" t="s">
        <v>883</v>
      </c>
      <c r="D763" s="9" t="s">
        <v>619</v>
      </c>
      <c r="E763" s="9" t="s">
        <v>773</v>
      </c>
      <c r="F763" s="9" t="s">
        <v>200</v>
      </c>
      <c r="G763" s="9" t="s">
        <v>221</v>
      </c>
      <c r="H763" s="9" t="n">
        <v>1040</v>
      </c>
      <c r="I763" s="29" t="n">
        <v>1.4</v>
      </c>
      <c r="J763" s="9" t="n">
        <v>0</v>
      </c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21" t="str">
        <f aca="false">IF(COUNT(K763:T763)=0,"SOURCE EMPTY / INDUSTRIAL ONLY",IF(MIN(K763:T763)=1,"SERVICE READY","HOLD"))</f>
        <v>SOURCE EMPTY / INDUSTRIAL ONLY</v>
      </c>
      <c r="V763" s="9" t="n">
        <f aca="false">IF(U763="SERVICE READY",1,0)</f>
        <v>0</v>
      </c>
      <c r="W763" s="6"/>
      <c r="X763" s="6"/>
      <c r="Y763" s="6"/>
      <c r="Z763" s="6"/>
    </row>
    <row r="764" customFormat="false" ht="15" hidden="false" customHeight="false" outlineLevel="0" collapsed="false">
      <c r="A764" s="9" t="s">
        <v>983</v>
      </c>
      <c r="B764" s="9" t="s">
        <v>882</v>
      </c>
      <c r="C764" s="9" t="s">
        <v>883</v>
      </c>
      <c r="D764" s="9" t="s">
        <v>619</v>
      </c>
      <c r="E764" s="9" t="s">
        <v>773</v>
      </c>
      <c r="F764" s="9" t="s">
        <v>203</v>
      </c>
      <c r="G764" s="9" t="s">
        <v>221</v>
      </c>
      <c r="H764" s="9" t="n">
        <v>1040</v>
      </c>
      <c r="I764" s="29" t="n">
        <v>1.4</v>
      </c>
      <c r="J764" s="9" t="n">
        <v>0</v>
      </c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21" t="str">
        <f aca="false">IF(COUNT(K764:T764)=0,"SOURCE EMPTY / INDUSTRIAL ONLY",IF(MIN(K764:T764)=1,"SERVICE READY","HOLD"))</f>
        <v>SOURCE EMPTY / INDUSTRIAL ONLY</v>
      </c>
      <c r="V764" s="9" t="n">
        <f aca="false">IF(U764="SERVICE READY",1,0)</f>
        <v>0</v>
      </c>
      <c r="W764" s="6"/>
      <c r="X764" s="6"/>
      <c r="Y764" s="6"/>
      <c r="Z764" s="6"/>
    </row>
    <row r="765" customFormat="false" ht="15" hidden="false" customHeight="false" outlineLevel="0" collapsed="false">
      <c r="A765" s="9" t="s">
        <v>984</v>
      </c>
      <c r="B765" s="9" t="s">
        <v>882</v>
      </c>
      <c r="C765" s="9" t="s">
        <v>883</v>
      </c>
      <c r="D765" s="9" t="s">
        <v>619</v>
      </c>
      <c r="E765" s="9" t="s">
        <v>773</v>
      </c>
      <c r="F765" s="9" t="s">
        <v>205</v>
      </c>
      <c r="G765" s="9" t="s">
        <v>221</v>
      </c>
      <c r="H765" s="9" t="n">
        <v>1040</v>
      </c>
      <c r="I765" s="29" t="n">
        <v>1.4</v>
      </c>
      <c r="J765" s="9" t="n">
        <v>0</v>
      </c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21" t="str">
        <f aca="false">IF(COUNT(K765:T765)=0,"SOURCE EMPTY / INDUSTRIAL ONLY",IF(MIN(K765:T765)=1,"SERVICE READY","HOLD"))</f>
        <v>SOURCE EMPTY / INDUSTRIAL ONLY</v>
      </c>
      <c r="V765" s="9" t="n">
        <f aca="false">IF(U765="SERVICE READY",1,0)</f>
        <v>0</v>
      </c>
      <c r="W765" s="6"/>
      <c r="X765" s="6"/>
      <c r="Y765" s="6"/>
      <c r="Z765" s="6"/>
    </row>
    <row r="766" customFormat="false" ht="15" hidden="false" customHeight="false" outlineLevel="0" collapsed="false">
      <c r="A766" s="9" t="s">
        <v>985</v>
      </c>
      <c r="B766" s="9" t="s">
        <v>882</v>
      </c>
      <c r="C766" s="9" t="s">
        <v>883</v>
      </c>
      <c r="D766" s="9" t="s">
        <v>619</v>
      </c>
      <c r="E766" s="9" t="s">
        <v>773</v>
      </c>
      <c r="F766" s="9" t="s">
        <v>207</v>
      </c>
      <c r="G766" s="9" t="s">
        <v>221</v>
      </c>
      <c r="H766" s="9" t="n">
        <v>1040</v>
      </c>
      <c r="I766" s="29" t="n">
        <v>1.4</v>
      </c>
      <c r="J766" s="9" t="n">
        <v>0</v>
      </c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21" t="str">
        <f aca="false">IF(COUNT(K766:T766)=0,"SOURCE EMPTY / INDUSTRIAL ONLY",IF(MIN(K766:T766)=1,"SERVICE READY","HOLD"))</f>
        <v>SOURCE EMPTY / INDUSTRIAL ONLY</v>
      </c>
      <c r="V766" s="9" t="n">
        <f aca="false">IF(U766="SERVICE READY",1,0)</f>
        <v>0</v>
      </c>
      <c r="W766" s="6"/>
      <c r="X766" s="6"/>
      <c r="Y766" s="6"/>
      <c r="Z766" s="6"/>
    </row>
    <row r="767" customFormat="false" ht="15" hidden="false" customHeight="false" outlineLevel="0" collapsed="false">
      <c r="A767" s="9" t="s">
        <v>986</v>
      </c>
      <c r="B767" s="9" t="s">
        <v>882</v>
      </c>
      <c r="C767" s="9" t="s">
        <v>883</v>
      </c>
      <c r="D767" s="9" t="s">
        <v>619</v>
      </c>
      <c r="E767" s="9" t="s">
        <v>773</v>
      </c>
      <c r="F767" s="9" t="s">
        <v>209</v>
      </c>
      <c r="G767" s="9" t="s">
        <v>221</v>
      </c>
      <c r="H767" s="9" t="n">
        <v>1040</v>
      </c>
      <c r="I767" s="29" t="n">
        <v>1.4</v>
      </c>
      <c r="J767" s="9" t="n">
        <v>0</v>
      </c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21" t="str">
        <f aca="false">IF(COUNT(K767:T767)=0,"SOURCE EMPTY / INDUSTRIAL ONLY",IF(MIN(K767:T767)=1,"SERVICE READY","HOLD"))</f>
        <v>SOURCE EMPTY / INDUSTRIAL ONLY</v>
      </c>
      <c r="V767" s="9" t="n">
        <f aca="false">IF(U767="SERVICE READY",1,0)</f>
        <v>0</v>
      </c>
      <c r="W767" s="6"/>
      <c r="X767" s="6"/>
      <c r="Y767" s="6"/>
      <c r="Z767" s="6"/>
    </row>
    <row r="768" customFormat="false" ht="15" hidden="false" customHeight="false" outlineLevel="0" collapsed="false">
      <c r="A768" s="9" t="s">
        <v>987</v>
      </c>
      <c r="B768" s="9" t="s">
        <v>882</v>
      </c>
      <c r="C768" s="9" t="s">
        <v>883</v>
      </c>
      <c r="D768" s="9" t="s">
        <v>619</v>
      </c>
      <c r="E768" s="9" t="s">
        <v>773</v>
      </c>
      <c r="F768" s="9" t="s">
        <v>211</v>
      </c>
      <c r="G768" s="9" t="s">
        <v>221</v>
      </c>
      <c r="H768" s="9" t="n">
        <v>1040</v>
      </c>
      <c r="I768" s="29" t="n">
        <v>1.4</v>
      </c>
      <c r="J768" s="9" t="n">
        <v>0</v>
      </c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21" t="str">
        <f aca="false">IF(COUNT(K768:T768)=0,"SOURCE EMPTY / INDUSTRIAL ONLY",IF(MIN(K768:T768)=1,"SERVICE READY","HOLD"))</f>
        <v>SOURCE EMPTY / INDUSTRIAL ONLY</v>
      </c>
      <c r="V768" s="9" t="n">
        <f aca="false">IF(U768="SERVICE READY",1,0)</f>
        <v>0</v>
      </c>
      <c r="W768" s="6"/>
      <c r="X768" s="6"/>
      <c r="Y768" s="6"/>
      <c r="Z768" s="6"/>
    </row>
    <row r="769" customFormat="false" ht="15" hidden="false" customHeight="false" outlineLevel="0" collapsed="false">
      <c r="A769" s="9" t="s">
        <v>988</v>
      </c>
      <c r="B769" s="9" t="s">
        <v>882</v>
      </c>
      <c r="C769" s="9" t="s">
        <v>883</v>
      </c>
      <c r="D769" s="9" t="s">
        <v>619</v>
      </c>
      <c r="E769" s="9" t="s">
        <v>773</v>
      </c>
      <c r="F769" s="9" t="s">
        <v>197</v>
      </c>
      <c r="G769" s="9" t="s">
        <v>221</v>
      </c>
      <c r="H769" s="9" t="n">
        <v>1040</v>
      </c>
      <c r="I769" s="29" t="n">
        <v>1.4</v>
      </c>
      <c r="J769" s="9" t="n">
        <v>0</v>
      </c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21" t="str">
        <f aca="false">IF(COUNT(K769:T769)=0,"SOURCE EMPTY / INDUSTRIAL ONLY",IF(MIN(K769:T769)=1,"SERVICE READY","HOLD"))</f>
        <v>SOURCE EMPTY / INDUSTRIAL ONLY</v>
      </c>
      <c r="V769" s="9" t="n">
        <f aca="false">IF(U769="SERVICE READY",1,0)</f>
        <v>0</v>
      </c>
      <c r="W769" s="6"/>
      <c r="X769" s="6"/>
      <c r="Y769" s="6"/>
      <c r="Z769" s="6"/>
    </row>
    <row r="770" customFormat="false" ht="15" hidden="false" customHeight="false" outlineLevel="0" collapsed="false">
      <c r="A770" s="9" t="s">
        <v>989</v>
      </c>
      <c r="B770" s="9" t="s">
        <v>882</v>
      </c>
      <c r="C770" s="9" t="s">
        <v>883</v>
      </c>
      <c r="D770" s="9" t="s">
        <v>619</v>
      </c>
      <c r="E770" s="9" t="s">
        <v>773</v>
      </c>
      <c r="F770" s="9" t="s">
        <v>200</v>
      </c>
      <c r="G770" s="9" t="s">
        <v>221</v>
      </c>
      <c r="H770" s="9" t="n">
        <v>1040</v>
      </c>
      <c r="I770" s="29" t="n">
        <v>1.4</v>
      </c>
      <c r="J770" s="9" t="n">
        <v>0</v>
      </c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21" t="str">
        <f aca="false">IF(COUNT(K770:T770)=0,"SOURCE EMPTY / INDUSTRIAL ONLY",IF(MIN(K770:T770)=1,"SERVICE READY","HOLD"))</f>
        <v>SOURCE EMPTY / INDUSTRIAL ONLY</v>
      </c>
      <c r="V770" s="9" t="n">
        <f aca="false">IF(U770="SERVICE READY",1,0)</f>
        <v>0</v>
      </c>
      <c r="W770" s="6"/>
      <c r="X770" s="6"/>
      <c r="Y770" s="6"/>
      <c r="Z770" s="6"/>
    </row>
    <row r="771" customFormat="false" ht="15" hidden="false" customHeight="false" outlineLevel="0" collapsed="false">
      <c r="A771" s="9" t="s">
        <v>990</v>
      </c>
      <c r="B771" s="9" t="s">
        <v>882</v>
      </c>
      <c r="C771" s="9" t="s">
        <v>883</v>
      </c>
      <c r="D771" s="9" t="s">
        <v>619</v>
      </c>
      <c r="E771" s="9" t="s">
        <v>773</v>
      </c>
      <c r="F771" s="9" t="s">
        <v>203</v>
      </c>
      <c r="G771" s="9" t="s">
        <v>221</v>
      </c>
      <c r="H771" s="9" t="n">
        <v>1040</v>
      </c>
      <c r="I771" s="29" t="n">
        <v>1.4</v>
      </c>
      <c r="J771" s="9" t="n">
        <v>0</v>
      </c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21" t="str">
        <f aca="false">IF(COUNT(K771:T771)=0,"SOURCE EMPTY / INDUSTRIAL ONLY",IF(MIN(K771:T771)=1,"SERVICE READY","HOLD"))</f>
        <v>SOURCE EMPTY / INDUSTRIAL ONLY</v>
      </c>
      <c r="V771" s="9" t="n">
        <f aca="false">IF(U771="SERVICE READY",1,0)</f>
        <v>0</v>
      </c>
      <c r="W771" s="6"/>
      <c r="X771" s="6"/>
      <c r="Y771" s="6"/>
      <c r="Z771" s="6"/>
    </row>
    <row r="772" customFormat="false" ht="15" hidden="false" customHeight="false" outlineLevel="0" collapsed="false">
      <c r="A772" s="9" t="s">
        <v>991</v>
      </c>
      <c r="B772" s="9" t="s">
        <v>882</v>
      </c>
      <c r="C772" s="9" t="s">
        <v>883</v>
      </c>
      <c r="D772" s="9" t="s">
        <v>619</v>
      </c>
      <c r="E772" s="9" t="s">
        <v>773</v>
      </c>
      <c r="F772" s="9" t="s">
        <v>205</v>
      </c>
      <c r="G772" s="9" t="s">
        <v>221</v>
      </c>
      <c r="H772" s="9" t="n">
        <v>1040</v>
      </c>
      <c r="I772" s="29" t="n">
        <v>1.4</v>
      </c>
      <c r="J772" s="9" t="n">
        <v>0</v>
      </c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21" t="str">
        <f aca="false">IF(COUNT(K772:T772)=0,"SOURCE EMPTY / INDUSTRIAL ONLY",IF(MIN(K772:T772)=1,"SERVICE READY","HOLD"))</f>
        <v>SOURCE EMPTY / INDUSTRIAL ONLY</v>
      </c>
      <c r="V772" s="9" t="n">
        <f aca="false">IF(U772="SERVICE READY",1,0)</f>
        <v>0</v>
      </c>
      <c r="W772" s="6"/>
      <c r="X772" s="6"/>
      <c r="Y772" s="6"/>
      <c r="Z772" s="6"/>
    </row>
    <row r="773" customFormat="false" ht="15" hidden="false" customHeight="false" outlineLevel="0" collapsed="false">
      <c r="A773" s="9" t="s">
        <v>992</v>
      </c>
      <c r="B773" s="9" t="s">
        <v>882</v>
      </c>
      <c r="C773" s="9" t="s">
        <v>883</v>
      </c>
      <c r="D773" s="9" t="s">
        <v>619</v>
      </c>
      <c r="E773" s="9" t="s">
        <v>773</v>
      </c>
      <c r="F773" s="9" t="s">
        <v>207</v>
      </c>
      <c r="G773" s="9" t="s">
        <v>221</v>
      </c>
      <c r="H773" s="9" t="n">
        <v>1040</v>
      </c>
      <c r="I773" s="29" t="n">
        <v>1.4</v>
      </c>
      <c r="J773" s="9" t="n">
        <v>0</v>
      </c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21" t="str">
        <f aca="false">IF(COUNT(K773:T773)=0,"SOURCE EMPTY / INDUSTRIAL ONLY",IF(MIN(K773:T773)=1,"SERVICE READY","HOLD"))</f>
        <v>SOURCE EMPTY / INDUSTRIAL ONLY</v>
      </c>
      <c r="V773" s="9" t="n">
        <f aca="false">IF(U773="SERVICE READY",1,0)</f>
        <v>0</v>
      </c>
      <c r="W773" s="6"/>
      <c r="X773" s="6"/>
      <c r="Y773" s="6"/>
      <c r="Z773" s="6"/>
    </row>
    <row r="774" customFormat="false" ht="15" hidden="false" customHeight="false" outlineLevel="0" collapsed="false">
      <c r="A774" s="9" t="s">
        <v>993</v>
      </c>
      <c r="B774" s="9" t="s">
        <v>882</v>
      </c>
      <c r="C774" s="9" t="s">
        <v>883</v>
      </c>
      <c r="D774" s="9" t="s">
        <v>619</v>
      </c>
      <c r="E774" s="9" t="s">
        <v>773</v>
      </c>
      <c r="F774" s="9" t="s">
        <v>209</v>
      </c>
      <c r="G774" s="9" t="s">
        <v>221</v>
      </c>
      <c r="H774" s="9" t="n">
        <v>1040</v>
      </c>
      <c r="I774" s="29" t="n">
        <v>1.4</v>
      </c>
      <c r="J774" s="9" t="n">
        <v>0</v>
      </c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21" t="str">
        <f aca="false">IF(COUNT(K774:T774)=0,"SOURCE EMPTY / INDUSTRIAL ONLY",IF(MIN(K774:T774)=1,"SERVICE READY","HOLD"))</f>
        <v>SOURCE EMPTY / INDUSTRIAL ONLY</v>
      </c>
      <c r="V774" s="9" t="n">
        <f aca="false">IF(U774="SERVICE READY",1,0)</f>
        <v>0</v>
      </c>
      <c r="W774" s="6"/>
      <c r="X774" s="6"/>
      <c r="Y774" s="6"/>
      <c r="Z774" s="6"/>
    </row>
    <row r="775" customFormat="false" ht="15" hidden="false" customHeight="false" outlineLevel="0" collapsed="false">
      <c r="A775" s="9" t="s">
        <v>994</v>
      </c>
      <c r="B775" s="9" t="s">
        <v>882</v>
      </c>
      <c r="C775" s="9" t="s">
        <v>883</v>
      </c>
      <c r="D775" s="9" t="s">
        <v>619</v>
      </c>
      <c r="E775" s="9" t="s">
        <v>773</v>
      </c>
      <c r="F775" s="9" t="s">
        <v>211</v>
      </c>
      <c r="G775" s="9" t="s">
        <v>221</v>
      </c>
      <c r="H775" s="9" t="n">
        <v>1040</v>
      </c>
      <c r="I775" s="29" t="n">
        <v>1.4</v>
      </c>
      <c r="J775" s="9" t="n">
        <v>0</v>
      </c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21" t="str">
        <f aca="false">IF(COUNT(K775:T775)=0,"SOURCE EMPTY / INDUSTRIAL ONLY",IF(MIN(K775:T775)=1,"SERVICE READY","HOLD"))</f>
        <v>SOURCE EMPTY / INDUSTRIAL ONLY</v>
      </c>
      <c r="V775" s="9" t="n">
        <f aca="false">IF(U775="SERVICE READY",1,0)</f>
        <v>0</v>
      </c>
      <c r="W775" s="6"/>
      <c r="X775" s="6"/>
      <c r="Y775" s="6"/>
      <c r="Z775" s="6"/>
    </row>
    <row r="776" customFormat="false" ht="15" hidden="false" customHeight="false" outlineLevel="0" collapsed="false">
      <c r="A776" s="9" t="s">
        <v>995</v>
      </c>
      <c r="B776" s="9" t="s">
        <v>882</v>
      </c>
      <c r="C776" s="9" t="s">
        <v>883</v>
      </c>
      <c r="D776" s="9" t="s">
        <v>619</v>
      </c>
      <c r="E776" s="9" t="s">
        <v>773</v>
      </c>
      <c r="F776" s="9" t="s">
        <v>197</v>
      </c>
      <c r="G776" s="9" t="s">
        <v>221</v>
      </c>
      <c r="H776" s="9" t="n">
        <v>1040</v>
      </c>
      <c r="I776" s="29" t="n">
        <v>1.4</v>
      </c>
      <c r="J776" s="9" t="n">
        <v>0</v>
      </c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21" t="str">
        <f aca="false">IF(COUNT(K776:T776)=0,"SOURCE EMPTY / INDUSTRIAL ONLY",IF(MIN(K776:T776)=1,"SERVICE READY","HOLD"))</f>
        <v>SOURCE EMPTY / INDUSTRIAL ONLY</v>
      </c>
      <c r="V776" s="9" t="n">
        <f aca="false">IF(U776="SERVICE READY",1,0)</f>
        <v>0</v>
      </c>
      <c r="W776" s="6"/>
      <c r="X776" s="6"/>
      <c r="Y776" s="6"/>
      <c r="Z776" s="6"/>
    </row>
    <row r="777" customFormat="false" ht="15" hidden="false" customHeight="false" outlineLevel="0" collapsed="false">
      <c r="A777" s="9" t="s">
        <v>996</v>
      </c>
      <c r="B777" s="9" t="s">
        <v>882</v>
      </c>
      <c r="C777" s="9" t="s">
        <v>883</v>
      </c>
      <c r="D777" s="9" t="s">
        <v>619</v>
      </c>
      <c r="E777" s="9" t="s">
        <v>773</v>
      </c>
      <c r="F777" s="9" t="s">
        <v>200</v>
      </c>
      <c r="G777" s="9" t="s">
        <v>221</v>
      </c>
      <c r="H777" s="9" t="n">
        <v>1040</v>
      </c>
      <c r="I777" s="29" t="n">
        <v>1.4</v>
      </c>
      <c r="J777" s="9" t="n">
        <v>0</v>
      </c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21" t="str">
        <f aca="false">IF(COUNT(K777:T777)=0,"SOURCE EMPTY / INDUSTRIAL ONLY",IF(MIN(K777:T777)=1,"SERVICE READY","HOLD"))</f>
        <v>SOURCE EMPTY / INDUSTRIAL ONLY</v>
      </c>
      <c r="V777" s="9" t="n">
        <f aca="false">IF(U777="SERVICE READY",1,0)</f>
        <v>0</v>
      </c>
      <c r="W777" s="6"/>
      <c r="X777" s="6"/>
      <c r="Y777" s="6"/>
      <c r="Z777" s="6"/>
    </row>
    <row r="778" customFormat="false" ht="15" hidden="false" customHeight="false" outlineLevel="0" collapsed="false">
      <c r="A778" s="9" t="s">
        <v>997</v>
      </c>
      <c r="B778" s="9" t="s">
        <v>882</v>
      </c>
      <c r="C778" s="9" t="s">
        <v>883</v>
      </c>
      <c r="D778" s="9" t="s">
        <v>619</v>
      </c>
      <c r="E778" s="9" t="s">
        <v>773</v>
      </c>
      <c r="F778" s="9" t="s">
        <v>203</v>
      </c>
      <c r="G778" s="9" t="s">
        <v>221</v>
      </c>
      <c r="H778" s="9" t="n">
        <v>1040</v>
      </c>
      <c r="I778" s="29" t="n">
        <v>1.4</v>
      </c>
      <c r="J778" s="9" t="n">
        <v>0</v>
      </c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21" t="str">
        <f aca="false">IF(COUNT(K778:T778)=0,"SOURCE EMPTY / INDUSTRIAL ONLY",IF(MIN(K778:T778)=1,"SERVICE READY","HOLD"))</f>
        <v>SOURCE EMPTY / INDUSTRIAL ONLY</v>
      </c>
      <c r="V778" s="9" t="n">
        <f aca="false">IF(U778="SERVICE READY",1,0)</f>
        <v>0</v>
      </c>
      <c r="W778" s="6"/>
      <c r="X778" s="6"/>
      <c r="Y778" s="6"/>
      <c r="Z778" s="6"/>
    </row>
    <row r="779" customFormat="false" ht="15" hidden="false" customHeight="false" outlineLevel="0" collapsed="false">
      <c r="A779" s="9" t="s">
        <v>998</v>
      </c>
      <c r="B779" s="9" t="s">
        <v>882</v>
      </c>
      <c r="C779" s="9" t="s">
        <v>883</v>
      </c>
      <c r="D779" s="9" t="s">
        <v>619</v>
      </c>
      <c r="E779" s="9" t="s">
        <v>773</v>
      </c>
      <c r="F779" s="9" t="s">
        <v>205</v>
      </c>
      <c r="G779" s="9" t="s">
        <v>221</v>
      </c>
      <c r="H779" s="9" t="n">
        <v>1040</v>
      </c>
      <c r="I779" s="29" t="n">
        <v>1.4</v>
      </c>
      <c r="J779" s="9" t="n">
        <v>0</v>
      </c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21" t="str">
        <f aca="false">IF(COUNT(K779:T779)=0,"SOURCE EMPTY / INDUSTRIAL ONLY",IF(MIN(K779:T779)=1,"SERVICE READY","HOLD"))</f>
        <v>SOURCE EMPTY / INDUSTRIAL ONLY</v>
      </c>
      <c r="V779" s="9" t="n">
        <f aca="false">IF(U779="SERVICE READY",1,0)</f>
        <v>0</v>
      </c>
      <c r="W779" s="6"/>
      <c r="X779" s="6"/>
      <c r="Y779" s="6"/>
      <c r="Z779" s="6"/>
    </row>
    <row r="780" customFormat="false" ht="15" hidden="false" customHeight="false" outlineLevel="0" collapsed="false">
      <c r="A780" s="9" t="s">
        <v>999</v>
      </c>
      <c r="B780" s="9" t="s">
        <v>882</v>
      </c>
      <c r="C780" s="9" t="s">
        <v>883</v>
      </c>
      <c r="D780" s="9" t="s">
        <v>619</v>
      </c>
      <c r="E780" s="9" t="s">
        <v>773</v>
      </c>
      <c r="F780" s="9" t="s">
        <v>207</v>
      </c>
      <c r="G780" s="9" t="s">
        <v>221</v>
      </c>
      <c r="H780" s="9" t="n">
        <v>1040</v>
      </c>
      <c r="I780" s="29" t="n">
        <v>1.4</v>
      </c>
      <c r="J780" s="9" t="n">
        <v>0</v>
      </c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21" t="str">
        <f aca="false">IF(COUNT(K780:T780)=0,"SOURCE EMPTY / INDUSTRIAL ONLY",IF(MIN(K780:T780)=1,"SERVICE READY","HOLD"))</f>
        <v>SOURCE EMPTY / INDUSTRIAL ONLY</v>
      </c>
      <c r="V780" s="9" t="n">
        <f aca="false">IF(U780="SERVICE READY",1,0)</f>
        <v>0</v>
      </c>
      <c r="W780" s="6"/>
      <c r="X780" s="6"/>
      <c r="Y780" s="6"/>
      <c r="Z780" s="6"/>
    </row>
    <row r="781" customFormat="false" ht="15" hidden="false" customHeight="false" outlineLevel="0" collapsed="false">
      <c r="A781" s="9" t="s">
        <v>1000</v>
      </c>
      <c r="B781" s="9" t="s">
        <v>882</v>
      </c>
      <c r="C781" s="9" t="s">
        <v>883</v>
      </c>
      <c r="D781" s="9" t="s">
        <v>619</v>
      </c>
      <c r="E781" s="9" t="s">
        <v>773</v>
      </c>
      <c r="F781" s="9" t="s">
        <v>209</v>
      </c>
      <c r="G781" s="9" t="s">
        <v>221</v>
      </c>
      <c r="H781" s="9" t="n">
        <v>1040</v>
      </c>
      <c r="I781" s="29" t="n">
        <v>1.4</v>
      </c>
      <c r="J781" s="9" t="n">
        <v>0</v>
      </c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21" t="str">
        <f aca="false">IF(COUNT(K781:T781)=0,"SOURCE EMPTY / INDUSTRIAL ONLY",IF(MIN(K781:T781)=1,"SERVICE READY","HOLD"))</f>
        <v>SOURCE EMPTY / INDUSTRIAL ONLY</v>
      </c>
      <c r="V781" s="9" t="n">
        <f aca="false">IF(U781="SERVICE READY",1,0)</f>
        <v>0</v>
      </c>
      <c r="W781" s="6"/>
      <c r="X781" s="6"/>
      <c r="Y781" s="6"/>
      <c r="Z781" s="6"/>
    </row>
    <row r="782" customFormat="false" ht="15" hidden="false" customHeight="false" outlineLevel="0" collapsed="false">
      <c r="A782" s="9" t="s">
        <v>1001</v>
      </c>
      <c r="B782" s="9" t="s">
        <v>882</v>
      </c>
      <c r="C782" s="9" t="s">
        <v>883</v>
      </c>
      <c r="D782" s="9" t="s">
        <v>619</v>
      </c>
      <c r="E782" s="9" t="s">
        <v>773</v>
      </c>
      <c r="F782" s="9" t="s">
        <v>211</v>
      </c>
      <c r="G782" s="9" t="s">
        <v>221</v>
      </c>
      <c r="H782" s="9" t="n">
        <v>1040</v>
      </c>
      <c r="I782" s="29" t="n">
        <v>1.4</v>
      </c>
      <c r="J782" s="9" t="n">
        <v>0</v>
      </c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21" t="str">
        <f aca="false">IF(COUNT(K782:T782)=0,"SOURCE EMPTY / INDUSTRIAL ONLY",IF(MIN(K782:T782)=1,"SERVICE READY","HOLD"))</f>
        <v>SOURCE EMPTY / INDUSTRIAL ONLY</v>
      </c>
      <c r="V782" s="9" t="n">
        <f aca="false">IF(U782="SERVICE READY",1,0)</f>
        <v>0</v>
      </c>
      <c r="W782" s="6"/>
      <c r="X782" s="6"/>
      <c r="Y782" s="6"/>
      <c r="Z782" s="6"/>
    </row>
    <row r="783" customFormat="false" ht="15" hidden="false" customHeight="false" outlineLevel="0" collapsed="false">
      <c r="A783" s="9" t="s">
        <v>1002</v>
      </c>
      <c r="B783" s="9" t="s">
        <v>882</v>
      </c>
      <c r="C783" s="9" t="s">
        <v>883</v>
      </c>
      <c r="D783" s="9" t="s">
        <v>619</v>
      </c>
      <c r="E783" s="9" t="s">
        <v>773</v>
      </c>
      <c r="F783" s="9" t="s">
        <v>197</v>
      </c>
      <c r="G783" s="9" t="s">
        <v>221</v>
      </c>
      <c r="H783" s="9" t="n">
        <v>1040</v>
      </c>
      <c r="I783" s="29" t="n">
        <v>1.4</v>
      </c>
      <c r="J783" s="9" t="n">
        <v>0</v>
      </c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21" t="str">
        <f aca="false">IF(COUNT(K783:T783)=0,"SOURCE EMPTY / INDUSTRIAL ONLY",IF(MIN(K783:T783)=1,"SERVICE READY","HOLD"))</f>
        <v>SOURCE EMPTY / INDUSTRIAL ONLY</v>
      </c>
      <c r="V783" s="9" t="n">
        <f aca="false">IF(U783="SERVICE READY",1,0)</f>
        <v>0</v>
      </c>
      <c r="W783" s="6"/>
      <c r="X783" s="6"/>
      <c r="Y783" s="6"/>
      <c r="Z783" s="6"/>
    </row>
    <row r="784" customFormat="false" ht="15" hidden="false" customHeight="false" outlineLevel="0" collapsed="false">
      <c r="A784" s="9" t="s">
        <v>1003</v>
      </c>
      <c r="B784" s="9" t="s">
        <v>882</v>
      </c>
      <c r="C784" s="9" t="s">
        <v>883</v>
      </c>
      <c r="D784" s="9" t="s">
        <v>619</v>
      </c>
      <c r="E784" s="9" t="s">
        <v>773</v>
      </c>
      <c r="F784" s="9" t="s">
        <v>200</v>
      </c>
      <c r="G784" s="9" t="s">
        <v>221</v>
      </c>
      <c r="H784" s="9" t="n">
        <v>1040</v>
      </c>
      <c r="I784" s="29" t="n">
        <v>1.4</v>
      </c>
      <c r="J784" s="9" t="n">
        <v>0</v>
      </c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21" t="str">
        <f aca="false">IF(COUNT(K784:T784)=0,"SOURCE EMPTY / INDUSTRIAL ONLY",IF(MIN(K784:T784)=1,"SERVICE READY","HOLD"))</f>
        <v>SOURCE EMPTY / INDUSTRIAL ONLY</v>
      </c>
      <c r="V784" s="9" t="n">
        <f aca="false">IF(U784="SERVICE READY",1,0)</f>
        <v>0</v>
      </c>
      <c r="W784" s="6"/>
      <c r="X784" s="6"/>
      <c r="Y784" s="6"/>
      <c r="Z784" s="6"/>
    </row>
    <row r="785" customFormat="false" ht="15" hidden="false" customHeight="false" outlineLevel="0" collapsed="false">
      <c r="A785" s="9" t="s">
        <v>1004</v>
      </c>
      <c r="B785" s="9" t="s">
        <v>882</v>
      </c>
      <c r="C785" s="9" t="s">
        <v>883</v>
      </c>
      <c r="D785" s="9" t="s">
        <v>619</v>
      </c>
      <c r="E785" s="9" t="s">
        <v>773</v>
      </c>
      <c r="F785" s="9" t="s">
        <v>203</v>
      </c>
      <c r="G785" s="9" t="s">
        <v>221</v>
      </c>
      <c r="H785" s="9" t="n">
        <v>1040</v>
      </c>
      <c r="I785" s="29" t="n">
        <v>1.4</v>
      </c>
      <c r="J785" s="9" t="n">
        <v>0</v>
      </c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21" t="str">
        <f aca="false">IF(COUNT(K785:T785)=0,"SOURCE EMPTY / INDUSTRIAL ONLY",IF(MIN(K785:T785)=1,"SERVICE READY","HOLD"))</f>
        <v>SOURCE EMPTY / INDUSTRIAL ONLY</v>
      </c>
      <c r="V785" s="9" t="n">
        <f aca="false">IF(U785="SERVICE READY",1,0)</f>
        <v>0</v>
      </c>
      <c r="W785" s="6"/>
      <c r="X785" s="6"/>
      <c r="Y785" s="6"/>
      <c r="Z785" s="6"/>
    </row>
    <row r="786" customFormat="false" ht="15" hidden="false" customHeight="false" outlineLevel="0" collapsed="false">
      <c r="A786" s="9" t="s">
        <v>1005</v>
      </c>
      <c r="B786" s="9" t="s">
        <v>882</v>
      </c>
      <c r="C786" s="9" t="s">
        <v>883</v>
      </c>
      <c r="D786" s="9" t="s">
        <v>619</v>
      </c>
      <c r="E786" s="9" t="s">
        <v>773</v>
      </c>
      <c r="F786" s="9" t="s">
        <v>205</v>
      </c>
      <c r="G786" s="9" t="s">
        <v>221</v>
      </c>
      <c r="H786" s="9" t="n">
        <v>1040</v>
      </c>
      <c r="I786" s="29" t="n">
        <v>1.4</v>
      </c>
      <c r="J786" s="9" t="n">
        <v>0</v>
      </c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21" t="str">
        <f aca="false">IF(COUNT(K786:T786)=0,"SOURCE EMPTY / INDUSTRIAL ONLY",IF(MIN(K786:T786)=1,"SERVICE READY","HOLD"))</f>
        <v>SOURCE EMPTY / INDUSTRIAL ONLY</v>
      </c>
      <c r="V786" s="9" t="n">
        <f aca="false">IF(U786="SERVICE READY",1,0)</f>
        <v>0</v>
      </c>
      <c r="W786" s="6"/>
      <c r="X786" s="6"/>
      <c r="Y786" s="6"/>
      <c r="Z786" s="6"/>
    </row>
    <row r="787" customFormat="false" ht="15" hidden="false" customHeight="false" outlineLevel="0" collapsed="false">
      <c r="A787" s="9" t="s">
        <v>1006</v>
      </c>
      <c r="B787" s="9" t="s">
        <v>882</v>
      </c>
      <c r="C787" s="9" t="s">
        <v>883</v>
      </c>
      <c r="D787" s="9" t="s">
        <v>619</v>
      </c>
      <c r="E787" s="9" t="s">
        <v>773</v>
      </c>
      <c r="F787" s="9" t="s">
        <v>207</v>
      </c>
      <c r="G787" s="9" t="s">
        <v>221</v>
      </c>
      <c r="H787" s="9" t="n">
        <v>1040</v>
      </c>
      <c r="I787" s="29" t="n">
        <v>1.4</v>
      </c>
      <c r="J787" s="9" t="n">
        <v>0</v>
      </c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21" t="str">
        <f aca="false">IF(COUNT(K787:T787)=0,"SOURCE EMPTY / INDUSTRIAL ONLY",IF(MIN(K787:T787)=1,"SERVICE READY","HOLD"))</f>
        <v>SOURCE EMPTY / INDUSTRIAL ONLY</v>
      </c>
      <c r="V787" s="9" t="n">
        <f aca="false">IF(U787="SERVICE READY",1,0)</f>
        <v>0</v>
      </c>
      <c r="W787" s="6"/>
      <c r="X787" s="6"/>
      <c r="Y787" s="6"/>
      <c r="Z787" s="6"/>
    </row>
    <row r="788" customFormat="false" ht="15" hidden="false" customHeight="false" outlineLevel="0" collapsed="false">
      <c r="A788" s="9" t="s">
        <v>1007</v>
      </c>
      <c r="B788" s="9" t="s">
        <v>882</v>
      </c>
      <c r="C788" s="9" t="s">
        <v>883</v>
      </c>
      <c r="D788" s="9" t="s">
        <v>619</v>
      </c>
      <c r="E788" s="9" t="s">
        <v>773</v>
      </c>
      <c r="F788" s="9" t="s">
        <v>209</v>
      </c>
      <c r="G788" s="9" t="s">
        <v>221</v>
      </c>
      <c r="H788" s="9" t="n">
        <v>1040</v>
      </c>
      <c r="I788" s="29" t="n">
        <v>1.4</v>
      </c>
      <c r="J788" s="9" t="n">
        <v>0</v>
      </c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21" t="str">
        <f aca="false">IF(COUNT(K788:T788)=0,"SOURCE EMPTY / INDUSTRIAL ONLY",IF(MIN(K788:T788)=1,"SERVICE READY","HOLD"))</f>
        <v>SOURCE EMPTY / INDUSTRIAL ONLY</v>
      </c>
      <c r="V788" s="9" t="n">
        <f aca="false">IF(U788="SERVICE READY",1,0)</f>
        <v>0</v>
      </c>
      <c r="W788" s="6"/>
      <c r="X788" s="6"/>
      <c r="Y788" s="6"/>
      <c r="Z788" s="6"/>
    </row>
    <row r="789" customFormat="false" ht="15" hidden="false" customHeight="false" outlineLevel="0" collapsed="false">
      <c r="A789" s="9" t="s">
        <v>1008</v>
      </c>
      <c r="B789" s="9" t="s">
        <v>882</v>
      </c>
      <c r="C789" s="9" t="s">
        <v>883</v>
      </c>
      <c r="D789" s="9" t="s">
        <v>619</v>
      </c>
      <c r="E789" s="9" t="s">
        <v>773</v>
      </c>
      <c r="F789" s="9" t="s">
        <v>211</v>
      </c>
      <c r="G789" s="9" t="s">
        <v>221</v>
      </c>
      <c r="H789" s="9" t="n">
        <v>1040</v>
      </c>
      <c r="I789" s="29" t="n">
        <v>1.4</v>
      </c>
      <c r="J789" s="9" t="n">
        <v>0</v>
      </c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21" t="str">
        <f aca="false">IF(COUNT(K789:T789)=0,"SOURCE EMPTY / INDUSTRIAL ONLY",IF(MIN(K789:T789)=1,"SERVICE READY","HOLD"))</f>
        <v>SOURCE EMPTY / INDUSTRIAL ONLY</v>
      </c>
      <c r="V789" s="9" t="n">
        <f aca="false">IF(U789="SERVICE READY",1,0)</f>
        <v>0</v>
      </c>
      <c r="W789" s="6"/>
      <c r="X789" s="6"/>
      <c r="Y789" s="6"/>
      <c r="Z789" s="6"/>
    </row>
    <row r="790" customFormat="false" ht="15" hidden="false" customHeight="false" outlineLevel="0" collapsed="false">
      <c r="A790" s="9" t="s">
        <v>1009</v>
      </c>
      <c r="B790" s="9" t="s">
        <v>882</v>
      </c>
      <c r="C790" s="9" t="s">
        <v>883</v>
      </c>
      <c r="D790" s="9" t="s">
        <v>619</v>
      </c>
      <c r="E790" s="9" t="s">
        <v>773</v>
      </c>
      <c r="F790" s="9" t="s">
        <v>197</v>
      </c>
      <c r="G790" s="9" t="s">
        <v>221</v>
      </c>
      <c r="H790" s="9" t="n">
        <v>1040</v>
      </c>
      <c r="I790" s="29" t="n">
        <v>1.4</v>
      </c>
      <c r="J790" s="9" t="n">
        <v>0</v>
      </c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21" t="str">
        <f aca="false">IF(COUNT(K790:T790)=0,"SOURCE EMPTY / INDUSTRIAL ONLY",IF(MIN(K790:T790)=1,"SERVICE READY","HOLD"))</f>
        <v>SOURCE EMPTY / INDUSTRIAL ONLY</v>
      </c>
      <c r="V790" s="9" t="n">
        <f aca="false">IF(U790="SERVICE READY",1,0)</f>
        <v>0</v>
      </c>
      <c r="W790" s="6"/>
      <c r="X790" s="6"/>
      <c r="Y790" s="6"/>
      <c r="Z790" s="6"/>
    </row>
    <row r="791" customFormat="false" ht="15" hidden="false" customHeight="false" outlineLevel="0" collapsed="false">
      <c r="A791" s="9" t="s">
        <v>1010</v>
      </c>
      <c r="B791" s="9" t="s">
        <v>882</v>
      </c>
      <c r="C791" s="9" t="s">
        <v>883</v>
      </c>
      <c r="D791" s="9" t="s">
        <v>619</v>
      </c>
      <c r="E791" s="9" t="s">
        <v>773</v>
      </c>
      <c r="F791" s="9" t="s">
        <v>200</v>
      </c>
      <c r="G791" s="9" t="s">
        <v>221</v>
      </c>
      <c r="H791" s="9" t="n">
        <v>1040</v>
      </c>
      <c r="I791" s="29" t="n">
        <v>1.4</v>
      </c>
      <c r="J791" s="9" t="n">
        <v>0</v>
      </c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21" t="str">
        <f aca="false">IF(COUNT(K791:T791)=0,"SOURCE EMPTY / INDUSTRIAL ONLY",IF(MIN(K791:T791)=1,"SERVICE READY","HOLD"))</f>
        <v>SOURCE EMPTY / INDUSTRIAL ONLY</v>
      </c>
      <c r="V791" s="9" t="n">
        <f aca="false">IF(U791="SERVICE READY",1,0)</f>
        <v>0</v>
      </c>
      <c r="W791" s="6"/>
      <c r="X791" s="6"/>
      <c r="Y791" s="6"/>
      <c r="Z791" s="6"/>
    </row>
    <row r="792" customFormat="false" ht="15" hidden="false" customHeight="false" outlineLevel="0" collapsed="false">
      <c r="A792" s="9" t="s">
        <v>1011</v>
      </c>
      <c r="B792" s="9" t="s">
        <v>882</v>
      </c>
      <c r="C792" s="9" t="s">
        <v>883</v>
      </c>
      <c r="D792" s="9" t="s">
        <v>619</v>
      </c>
      <c r="E792" s="9" t="s">
        <v>773</v>
      </c>
      <c r="F792" s="9" t="s">
        <v>203</v>
      </c>
      <c r="G792" s="9" t="s">
        <v>221</v>
      </c>
      <c r="H792" s="9" t="n">
        <v>1040</v>
      </c>
      <c r="I792" s="29" t="n">
        <v>1.4</v>
      </c>
      <c r="J792" s="9" t="n">
        <v>0</v>
      </c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21" t="str">
        <f aca="false">IF(COUNT(K792:T792)=0,"SOURCE EMPTY / INDUSTRIAL ONLY",IF(MIN(K792:T792)=1,"SERVICE READY","HOLD"))</f>
        <v>SOURCE EMPTY / INDUSTRIAL ONLY</v>
      </c>
      <c r="V792" s="9" t="n">
        <f aca="false">IF(U792="SERVICE READY",1,0)</f>
        <v>0</v>
      </c>
      <c r="W792" s="6"/>
      <c r="X792" s="6"/>
      <c r="Y792" s="6"/>
      <c r="Z792" s="6"/>
    </row>
    <row r="793" customFormat="false" ht="15" hidden="false" customHeight="false" outlineLevel="0" collapsed="false">
      <c r="A793" s="9" t="s">
        <v>1012</v>
      </c>
      <c r="B793" s="9" t="s">
        <v>882</v>
      </c>
      <c r="C793" s="9" t="s">
        <v>883</v>
      </c>
      <c r="D793" s="9" t="s">
        <v>619</v>
      </c>
      <c r="E793" s="9" t="s">
        <v>773</v>
      </c>
      <c r="F793" s="9" t="s">
        <v>205</v>
      </c>
      <c r="G793" s="9" t="s">
        <v>221</v>
      </c>
      <c r="H793" s="9" t="n">
        <v>1040</v>
      </c>
      <c r="I793" s="29" t="n">
        <v>1.4</v>
      </c>
      <c r="J793" s="9" t="n">
        <v>0</v>
      </c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21" t="str">
        <f aca="false">IF(COUNT(K793:T793)=0,"SOURCE EMPTY / INDUSTRIAL ONLY",IF(MIN(K793:T793)=1,"SERVICE READY","HOLD"))</f>
        <v>SOURCE EMPTY / INDUSTRIAL ONLY</v>
      </c>
      <c r="V793" s="9" t="n">
        <f aca="false">IF(U793="SERVICE READY",1,0)</f>
        <v>0</v>
      </c>
      <c r="W793" s="6"/>
      <c r="X793" s="6"/>
      <c r="Y793" s="6"/>
      <c r="Z793" s="6"/>
    </row>
    <row r="794" customFormat="false" ht="15" hidden="false" customHeight="false" outlineLevel="0" collapsed="false">
      <c r="A794" s="9" t="s">
        <v>1013</v>
      </c>
      <c r="B794" s="9" t="s">
        <v>882</v>
      </c>
      <c r="C794" s="9" t="s">
        <v>883</v>
      </c>
      <c r="D794" s="9" t="s">
        <v>619</v>
      </c>
      <c r="E794" s="9" t="s">
        <v>773</v>
      </c>
      <c r="F794" s="9" t="s">
        <v>207</v>
      </c>
      <c r="G794" s="9" t="s">
        <v>221</v>
      </c>
      <c r="H794" s="9" t="n">
        <v>1040</v>
      </c>
      <c r="I794" s="29" t="n">
        <v>1.4</v>
      </c>
      <c r="J794" s="9" t="n">
        <v>0</v>
      </c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21" t="str">
        <f aca="false">IF(COUNT(K794:T794)=0,"SOURCE EMPTY / INDUSTRIAL ONLY",IF(MIN(K794:T794)=1,"SERVICE READY","HOLD"))</f>
        <v>SOURCE EMPTY / INDUSTRIAL ONLY</v>
      </c>
      <c r="V794" s="9" t="n">
        <f aca="false">IF(U794="SERVICE READY",1,0)</f>
        <v>0</v>
      </c>
      <c r="W794" s="6"/>
      <c r="X794" s="6"/>
      <c r="Y794" s="6"/>
      <c r="Z794" s="6"/>
    </row>
    <row r="795" customFormat="false" ht="15" hidden="false" customHeight="false" outlineLevel="0" collapsed="false">
      <c r="A795" s="9" t="s">
        <v>1014</v>
      </c>
      <c r="B795" s="9" t="s">
        <v>882</v>
      </c>
      <c r="C795" s="9" t="s">
        <v>883</v>
      </c>
      <c r="D795" s="9" t="s">
        <v>619</v>
      </c>
      <c r="E795" s="9" t="s">
        <v>773</v>
      </c>
      <c r="F795" s="9" t="s">
        <v>209</v>
      </c>
      <c r="G795" s="9" t="s">
        <v>221</v>
      </c>
      <c r="H795" s="9" t="n">
        <v>1040</v>
      </c>
      <c r="I795" s="29" t="n">
        <v>1.4</v>
      </c>
      <c r="J795" s="9" t="n">
        <v>0</v>
      </c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21" t="str">
        <f aca="false">IF(COUNT(K795:T795)=0,"SOURCE EMPTY / INDUSTRIAL ONLY",IF(MIN(K795:T795)=1,"SERVICE READY","HOLD"))</f>
        <v>SOURCE EMPTY / INDUSTRIAL ONLY</v>
      </c>
      <c r="V795" s="9" t="n">
        <f aca="false">IF(U795="SERVICE READY",1,0)</f>
        <v>0</v>
      </c>
      <c r="W795" s="6"/>
      <c r="X795" s="6"/>
      <c r="Y795" s="6"/>
      <c r="Z795" s="6"/>
    </row>
    <row r="796" customFormat="false" ht="15" hidden="false" customHeight="false" outlineLevel="0" collapsed="false">
      <c r="A796" s="9" t="s">
        <v>1015</v>
      </c>
      <c r="B796" s="9" t="s">
        <v>882</v>
      </c>
      <c r="C796" s="9" t="s">
        <v>883</v>
      </c>
      <c r="D796" s="9" t="s">
        <v>619</v>
      </c>
      <c r="E796" s="9" t="s">
        <v>773</v>
      </c>
      <c r="F796" s="9" t="s">
        <v>211</v>
      </c>
      <c r="G796" s="9" t="s">
        <v>221</v>
      </c>
      <c r="H796" s="9" t="n">
        <v>1040</v>
      </c>
      <c r="I796" s="29" t="n">
        <v>1.4</v>
      </c>
      <c r="J796" s="9" t="n">
        <v>0</v>
      </c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21" t="str">
        <f aca="false">IF(COUNT(K796:T796)=0,"SOURCE EMPTY / INDUSTRIAL ONLY",IF(MIN(K796:T796)=1,"SERVICE READY","HOLD"))</f>
        <v>SOURCE EMPTY / INDUSTRIAL ONLY</v>
      </c>
      <c r="V796" s="9" t="n">
        <f aca="false">IF(U796="SERVICE READY",1,0)</f>
        <v>0</v>
      </c>
      <c r="W796" s="6"/>
      <c r="X796" s="6"/>
      <c r="Y796" s="6"/>
      <c r="Z796" s="6"/>
    </row>
    <row r="797" customFormat="false" ht="15" hidden="false" customHeight="false" outlineLevel="0" collapsed="false">
      <c r="A797" s="9" t="s">
        <v>1016</v>
      </c>
      <c r="B797" s="9" t="s">
        <v>882</v>
      </c>
      <c r="C797" s="9" t="s">
        <v>883</v>
      </c>
      <c r="D797" s="9" t="s">
        <v>619</v>
      </c>
      <c r="E797" s="9" t="s">
        <v>773</v>
      </c>
      <c r="F797" s="9" t="s">
        <v>197</v>
      </c>
      <c r="G797" s="9" t="s">
        <v>221</v>
      </c>
      <c r="H797" s="9" t="n">
        <v>1040</v>
      </c>
      <c r="I797" s="29" t="n">
        <v>1.4</v>
      </c>
      <c r="J797" s="9" t="n">
        <v>0</v>
      </c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21" t="str">
        <f aca="false">IF(COUNT(K797:T797)=0,"SOURCE EMPTY / INDUSTRIAL ONLY",IF(MIN(K797:T797)=1,"SERVICE READY","HOLD"))</f>
        <v>SOURCE EMPTY / INDUSTRIAL ONLY</v>
      </c>
      <c r="V797" s="9" t="n">
        <f aca="false">IF(U797="SERVICE READY",1,0)</f>
        <v>0</v>
      </c>
      <c r="W797" s="6"/>
      <c r="X797" s="6"/>
      <c r="Y797" s="6"/>
      <c r="Z797" s="6"/>
    </row>
    <row r="798" customFormat="false" ht="15" hidden="false" customHeight="false" outlineLevel="0" collapsed="false">
      <c r="A798" s="9" t="s">
        <v>1017</v>
      </c>
      <c r="B798" s="9" t="s">
        <v>882</v>
      </c>
      <c r="C798" s="9" t="s">
        <v>883</v>
      </c>
      <c r="D798" s="9" t="s">
        <v>619</v>
      </c>
      <c r="E798" s="9" t="s">
        <v>773</v>
      </c>
      <c r="F798" s="9" t="s">
        <v>200</v>
      </c>
      <c r="G798" s="9" t="s">
        <v>221</v>
      </c>
      <c r="H798" s="9" t="n">
        <v>1040</v>
      </c>
      <c r="I798" s="29" t="n">
        <v>1.4</v>
      </c>
      <c r="J798" s="9" t="n">
        <v>0</v>
      </c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21" t="str">
        <f aca="false">IF(COUNT(K798:T798)=0,"SOURCE EMPTY / INDUSTRIAL ONLY",IF(MIN(K798:T798)=1,"SERVICE READY","HOLD"))</f>
        <v>SOURCE EMPTY / INDUSTRIAL ONLY</v>
      </c>
      <c r="V798" s="9" t="n">
        <f aca="false">IF(U798="SERVICE READY",1,0)</f>
        <v>0</v>
      </c>
      <c r="W798" s="6"/>
      <c r="X798" s="6"/>
      <c r="Y798" s="6"/>
      <c r="Z798" s="6"/>
    </row>
    <row r="799" customFormat="false" ht="15" hidden="false" customHeight="false" outlineLevel="0" collapsed="false">
      <c r="A799" s="9" t="s">
        <v>1018</v>
      </c>
      <c r="B799" s="9" t="s">
        <v>882</v>
      </c>
      <c r="C799" s="9" t="s">
        <v>883</v>
      </c>
      <c r="D799" s="9" t="s">
        <v>619</v>
      </c>
      <c r="E799" s="9" t="s">
        <v>773</v>
      </c>
      <c r="F799" s="9" t="s">
        <v>203</v>
      </c>
      <c r="G799" s="9" t="s">
        <v>221</v>
      </c>
      <c r="H799" s="9" t="n">
        <v>1040</v>
      </c>
      <c r="I799" s="29" t="n">
        <v>1.4</v>
      </c>
      <c r="J799" s="9" t="n">
        <v>0</v>
      </c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21" t="str">
        <f aca="false">IF(COUNT(K799:T799)=0,"SOURCE EMPTY / INDUSTRIAL ONLY",IF(MIN(K799:T799)=1,"SERVICE READY","HOLD"))</f>
        <v>SOURCE EMPTY / INDUSTRIAL ONLY</v>
      </c>
      <c r="V799" s="9" t="n">
        <f aca="false">IF(U799="SERVICE READY",1,0)</f>
        <v>0</v>
      </c>
      <c r="W799" s="6"/>
      <c r="X799" s="6"/>
      <c r="Y799" s="6"/>
      <c r="Z799" s="6"/>
    </row>
    <row r="800" customFormat="false" ht="15" hidden="false" customHeight="false" outlineLevel="0" collapsed="false">
      <c r="A800" s="9" t="s">
        <v>1019</v>
      </c>
      <c r="B800" s="9" t="s">
        <v>882</v>
      </c>
      <c r="C800" s="9" t="s">
        <v>883</v>
      </c>
      <c r="D800" s="9" t="s">
        <v>619</v>
      </c>
      <c r="E800" s="9" t="s">
        <v>773</v>
      </c>
      <c r="F800" s="9" t="s">
        <v>205</v>
      </c>
      <c r="G800" s="9" t="s">
        <v>221</v>
      </c>
      <c r="H800" s="9" t="n">
        <v>1040</v>
      </c>
      <c r="I800" s="29" t="n">
        <v>1.4</v>
      </c>
      <c r="J800" s="9" t="n">
        <v>0</v>
      </c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21" t="str">
        <f aca="false">IF(COUNT(K800:T800)=0,"SOURCE EMPTY / INDUSTRIAL ONLY",IF(MIN(K800:T800)=1,"SERVICE READY","HOLD"))</f>
        <v>SOURCE EMPTY / INDUSTRIAL ONLY</v>
      </c>
      <c r="V800" s="9" t="n">
        <f aca="false">IF(U800="SERVICE READY",1,0)</f>
        <v>0</v>
      </c>
      <c r="W800" s="6"/>
      <c r="X800" s="6"/>
      <c r="Y800" s="6"/>
      <c r="Z800" s="6"/>
    </row>
    <row r="801" customFormat="false" ht="15" hidden="false" customHeight="false" outlineLevel="0" collapsed="false">
      <c r="A801" s="9" t="s">
        <v>1020</v>
      </c>
      <c r="B801" s="9" t="s">
        <v>882</v>
      </c>
      <c r="C801" s="9" t="s">
        <v>883</v>
      </c>
      <c r="D801" s="9" t="s">
        <v>619</v>
      </c>
      <c r="E801" s="9" t="s">
        <v>773</v>
      </c>
      <c r="F801" s="9" t="s">
        <v>207</v>
      </c>
      <c r="G801" s="9" t="s">
        <v>221</v>
      </c>
      <c r="H801" s="9" t="n">
        <v>1040</v>
      </c>
      <c r="I801" s="29" t="n">
        <v>1.4</v>
      </c>
      <c r="J801" s="9" t="n">
        <v>0</v>
      </c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21" t="str">
        <f aca="false">IF(COUNT(K801:T801)=0,"SOURCE EMPTY / INDUSTRIAL ONLY",IF(MIN(K801:T801)=1,"SERVICE READY","HOLD"))</f>
        <v>SOURCE EMPTY / INDUSTRIAL ONLY</v>
      </c>
      <c r="V801" s="9" t="n">
        <f aca="false">IF(U801="SERVICE READY",1,0)</f>
        <v>0</v>
      </c>
      <c r="W801" s="6"/>
      <c r="X801" s="6"/>
      <c r="Y801" s="6"/>
      <c r="Z801" s="6"/>
    </row>
    <row r="802" customFormat="false" ht="15" hidden="false" customHeight="false" outlineLevel="0" collapsed="false">
      <c r="A802" s="9" t="s">
        <v>1021</v>
      </c>
      <c r="B802" s="9" t="s">
        <v>882</v>
      </c>
      <c r="C802" s="9" t="s">
        <v>883</v>
      </c>
      <c r="D802" s="9" t="s">
        <v>619</v>
      </c>
      <c r="E802" s="9" t="s">
        <v>773</v>
      </c>
      <c r="F802" s="9" t="s">
        <v>209</v>
      </c>
      <c r="G802" s="9" t="s">
        <v>221</v>
      </c>
      <c r="H802" s="9" t="n">
        <v>1040</v>
      </c>
      <c r="I802" s="29" t="n">
        <v>1.4</v>
      </c>
      <c r="J802" s="9" t="n">
        <v>0</v>
      </c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21" t="str">
        <f aca="false">IF(COUNT(K802:T802)=0,"SOURCE EMPTY / INDUSTRIAL ONLY",IF(MIN(K802:T802)=1,"SERVICE READY","HOLD"))</f>
        <v>SOURCE EMPTY / INDUSTRIAL ONLY</v>
      </c>
      <c r="V802" s="9" t="n">
        <f aca="false">IF(U802="SERVICE READY",1,0)</f>
        <v>0</v>
      </c>
      <c r="W802" s="6"/>
      <c r="X802" s="6"/>
      <c r="Y802" s="6"/>
      <c r="Z802" s="6"/>
    </row>
    <row r="803" customFormat="false" ht="15" hidden="false" customHeight="false" outlineLevel="0" collapsed="false">
      <c r="A803" s="9" t="s">
        <v>1022</v>
      </c>
      <c r="B803" s="9" t="s">
        <v>882</v>
      </c>
      <c r="C803" s="9" t="s">
        <v>883</v>
      </c>
      <c r="D803" s="9" t="s">
        <v>619</v>
      </c>
      <c r="E803" s="9" t="s">
        <v>773</v>
      </c>
      <c r="F803" s="9" t="s">
        <v>211</v>
      </c>
      <c r="G803" s="9" t="s">
        <v>221</v>
      </c>
      <c r="H803" s="9" t="n">
        <v>1040</v>
      </c>
      <c r="I803" s="29" t="n">
        <v>1.4</v>
      </c>
      <c r="J803" s="9" t="n">
        <v>0</v>
      </c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21" t="str">
        <f aca="false">IF(COUNT(K803:T803)=0,"SOURCE EMPTY / INDUSTRIAL ONLY",IF(MIN(K803:T803)=1,"SERVICE READY","HOLD"))</f>
        <v>SOURCE EMPTY / INDUSTRIAL ONLY</v>
      </c>
      <c r="V803" s="9" t="n">
        <f aca="false">IF(U803="SERVICE READY",1,0)</f>
        <v>0</v>
      </c>
      <c r="W803" s="6"/>
      <c r="X803" s="6"/>
      <c r="Y803" s="6"/>
      <c r="Z803" s="6"/>
    </row>
    <row r="804" customFormat="false" ht="15" hidden="false" customHeight="false" outlineLevel="0" collapsed="false">
      <c r="A804" s="9" t="s">
        <v>1023</v>
      </c>
      <c r="B804" s="9" t="s">
        <v>1024</v>
      </c>
      <c r="C804" s="9" t="s">
        <v>1025</v>
      </c>
      <c r="D804" s="9" t="s">
        <v>619</v>
      </c>
      <c r="E804" s="9" t="s">
        <v>275</v>
      </c>
      <c r="F804" s="9" t="s">
        <v>197</v>
      </c>
      <c r="G804" s="9" t="s">
        <v>198</v>
      </c>
      <c r="H804" s="9" t="n">
        <v>910</v>
      </c>
      <c r="I804" s="29" t="n">
        <v>1.2</v>
      </c>
      <c r="J804" s="9" t="n">
        <v>1</v>
      </c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21" t="str">
        <f aca="false">IF(COUNT(K804:T804)=0,"SOURCE EMPTY / INDUSTRIAL ONLY",IF(MIN(K804:T804)=1,"SERVICE READY","HOLD"))</f>
        <v>SOURCE EMPTY / INDUSTRIAL ONLY</v>
      </c>
      <c r="V804" s="9" t="n">
        <f aca="false">IF(U804="SERVICE READY",1,0)</f>
        <v>0</v>
      </c>
      <c r="W804" s="6"/>
      <c r="X804" s="6"/>
      <c r="Y804" s="6"/>
      <c r="Z804" s="6"/>
    </row>
    <row r="805" customFormat="false" ht="15" hidden="false" customHeight="false" outlineLevel="0" collapsed="false">
      <c r="A805" s="9" t="s">
        <v>1026</v>
      </c>
      <c r="B805" s="9" t="s">
        <v>1024</v>
      </c>
      <c r="C805" s="9" t="s">
        <v>1025</v>
      </c>
      <c r="D805" s="9" t="s">
        <v>619</v>
      </c>
      <c r="E805" s="9" t="s">
        <v>275</v>
      </c>
      <c r="F805" s="9" t="s">
        <v>200</v>
      </c>
      <c r="G805" s="9" t="s">
        <v>201</v>
      </c>
      <c r="H805" s="9" t="n">
        <v>910</v>
      </c>
      <c r="I805" s="29" t="n">
        <v>1.2</v>
      </c>
      <c r="J805" s="9" t="n">
        <v>1</v>
      </c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21" t="str">
        <f aca="false">IF(COUNT(K805:T805)=0,"SOURCE EMPTY / INDUSTRIAL ONLY",IF(MIN(K805:T805)=1,"SERVICE READY","HOLD"))</f>
        <v>SOURCE EMPTY / INDUSTRIAL ONLY</v>
      </c>
      <c r="V805" s="9" t="n">
        <f aca="false">IF(U805="SERVICE READY",1,0)</f>
        <v>0</v>
      </c>
      <c r="W805" s="6"/>
      <c r="X805" s="6"/>
      <c r="Y805" s="6"/>
      <c r="Z805" s="6"/>
    </row>
    <row r="806" customFormat="false" ht="15" hidden="false" customHeight="false" outlineLevel="0" collapsed="false">
      <c r="A806" s="9" t="s">
        <v>1027</v>
      </c>
      <c r="B806" s="9" t="s">
        <v>1024</v>
      </c>
      <c r="C806" s="9" t="s">
        <v>1025</v>
      </c>
      <c r="D806" s="9" t="s">
        <v>619</v>
      </c>
      <c r="E806" s="9" t="s">
        <v>275</v>
      </c>
      <c r="F806" s="9" t="s">
        <v>203</v>
      </c>
      <c r="G806" s="9" t="s">
        <v>198</v>
      </c>
      <c r="H806" s="9" t="n">
        <v>910</v>
      </c>
      <c r="I806" s="29" t="n">
        <v>1.2</v>
      </c>
      <c r="J806" s="9" t="n">
        <v>1</v>
      </c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21" t="str">
        <f aca="false">IF(COUNT(K806:T806)=0,"SOURCE EMPTY / INDUSTRIAL ONLY",IF(MIN(K806:T806)=1,"SERVICE READY","HOLD"))</f>
        <v>SOURCE EMPTY / INDUSTRIAL ONLY</v>
      </c>
      <c r="V806" s="9" t="n">
        <f aca="false">IF(U806="SERVICE READY",1,0)</f>
        <v>0</v>
      </c>
      <c r="W806" s="6"/>
      <c r="X806" s="6"/>
      <c r="Y806" s="6"/>
      <c r="Z806" s="6"/>
    </row>
    <row r="807" customFormat="false" ht="15" hidden="false" customHeight="false" outlineLevel="0" collapsed="false">
      <c r="A807" s="9" t="s">
        <v>1028</v>
      </c>
      <c r="B807" s="9" t="s">
        <v>1024</v>
      </c>
      <c r="C807" s="9" t="s">
        <v>1025</v>
      </c>
      <c r="D807" s="9" t="s">
        <v>619</v>
      </c>
      <c r="E807" s="9" t="s">
        <v>275</v>
      </c>
      <c r="F807" s="9" t="s">
        <v>205</v>
      </c>
      <c r="G807" s="9" t="s">
        <v>201</v>
      </c>
      <c r="H807" s="9" t="n">
        <v>910</v>
      </c>
      <c r="I807" s="29" t="n">
        <v>1.2</v>
      </c>
      <c r="J807" s="9" t="n">
        <v>1</v>
      </c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21" t="str">
        <f aca="false">IF(COUNT(K807:T807)=0,"SOURCE EMPTY / INDUSTRIAL ONLY",IF(MIN(K807:T807)=1,"SERVICE READY","HOLD"))</f>
        <v>SOURCE EMPTY / INDUSTRIAL ONLY</v>
      </c>
      <c r="V807" s="9" t="n">
        <f aca="false">IF(U807="SERVICE READY",1,0)</f>
        <v>0</v>
      </c>
      <c r="W807" s="6"/>
      <c r="X807" s="6"/>
      <c r="Y807" s="6"/>
      <c r="Z807" s="6"/>
    </row>
    <row r="808" customFormat="false" ht="15" hidden="false" customHeight="false" outlineLevel="0" collapsed="false">
      <c r="A808" s="9" t="s">
        <v>1029</v>
      </c>
      <c r="B808" s="9" t="s">
        <v>1024</v>
      </c>
      <c r="C808" s="9" t="s">
        <v>1025</v>
      </c>
      <c r="D808" s="9" t="s">
        <v>619</v>
      </c>
      <c r="E808" s="9" t="s">
        <v>275</v>
      </c>
      <c r="F808" s="9" t="s">
        <v>207</v>
      </c>
      <c r="G808" s="9" t="s">
        <v>198</v>
      </c>
      <c r="H808" s="9" t="n">
        <v>910</v>
      </c>
      <c r="I808" s="29" t="n">
        <v>1.2</v>
      </c>
      <c r="J808" s="9" t="n">
        <v>1</v>
      </c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21" t="str">
        <f aca="false">IF(COUNT(K808:T808)=0,"SOURCE EMPTY / INDUSTRIAL ONLY",IF(MIN(K808:T808)=1,"SERVICE READY","HOLD"))</f>
        <v>SOURCE EMPTY / INDUSTRIAL ONLY</v>
      </c>
      <c r="V808" s="9" t="n">
        <f aca="false">IF(U808="SERVICE READY",1,0)</f>
        <v>0</v>
      </c>
      <c r="W808" s="6"/>
      <c r="X808" s="6"/>
      <c r="Y808" s="6"/>
      <c r="Z808" s="6"/>
    </row>
    <row r="809" customFormat="false" ht="15" hidden="false" customHeight="false" outlineLevel="0" collapsed="false">
      <c r="A809" s="9" t="s">
        <v>1030</v>
      </c>
      <c r="B809" s="9" t="s">
        <v>1024</v>
      </c>
      <c r="C809" s="9" t="s">
        <v>1025</v>
      </c>
      <c r="D809" s="9" t="s">
        <v>619</v>
      </c>
      <c r="E809" s="9" t="s">
        <v>275</v>
      </c>
      <c r="F809" s="9" t="s">
        <v>209</v>
      </c>
      <c r="G809" s="9" t="s">
        <v>201</v>
      </c>
      <c r="H809" s="9" t="n">
        <v>910</v>
      </c>
      <c r="I809" s="29" t="n">
        <v>1.2</v>
      </c>
      <c r="J809" s="9" t="n">
        <v>1</v>
      </c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21" t="str">
        <f aca="false">IF(COUNT(K809:T809)=0,"SOURCE EMPTY / INDUSTRIAL ONLY",IF(MIN(K809:T809)=1,"SERVICE READY","HOLD"))</f>
        <v>SOURCE EMPTY / INDUSTRIAL ONLY</v>
      </c>
      <c r="V809" s="9" t="n">
        <f aca="false">IF(U809="SERVICE READY",1,0)</f>
        <v>0</v>
      </c>
      <c r="W809" s="6"/>
      <c r="X809" s="6"/>
      <c r="Y809" s="6"/>
      <c r="Z809" s="6"/>
    </row>
    <row r="810" customFormat="false" ht="15" hidden="false" customHeight="false" outlineLevel="0" collapsed="false">
      <c r="A810" s="9" t="s">
        <v>1031</v>
      </c>
      <c r="B810" s="9" t="s">
        <v>1024</v>
      </c>
      <c r="C810" s="9" t="s">
        <v>1025</v>
      </c>
      <c r="D810" s="9" t="s">
        <v>619</v>
      </c>
      <c r="E810" s="9" t="s">
        <v>275</v>
      </c>
      <c r="F810" s="9" t="s">
        <v>211</v>
      </c>
      <c r="G810" s="9" t="s">
        <v>198</v>
      </c>
      <c r="H810" s="9" t="n">
        <v>910</v>
      </c>
      <c r="I810" s="29" t="n">
        <v>1.2</v>
      </c>
      <c r="J810" s="9" t="n">
        <v>1</v>
      </c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21" t="str">
        <f aca="false">IF(COUNT(K810:T810)=0,"SOURCE EMPTY / INDUSTRIAL ONLY",IF(MIN(K810:T810)=1,"SERVICE READY","HOLD"))</f>
        <v>SOURCE EMPTY / INDUSTRIAL ONLY</v>
      </c>
      <c r="V810" s="9" t="n">
        <f aca="false">IF(U810="SERVICE READY",1,0)</f>
        <v>0</v>
      </c>
      <c r="W810" s="6"/>
      <c r="X810" s="6"/>
      <c r="Y810" s="6"/>
      <c r="Z810" s="6"/>
    </row>
    <row r="811" customFormat="false" ht="15" hidden="false" customHeight="false" outlineLevel="0" collapsed="false">
      <c r="A811" s="9" t="s">
        <v>1032</v>
      </c>
      <c r="B811" s="9" t="s">
        <v>1024</v>
      </c>
      <c r="C811" s="9" t="s">
        <v>1025</v>
      </c>
      <c r="D811" s="9" t="s">
        <v>619</v>
      </c>
      <c r="E811" s="9" t="s">
        <v>275</v>
      </c>
      <c r="F811" s="9" t="s">
        <v>197</v>
      </c>
      <c r="G811" s="9" t="s">
        <v>201</v>
      </c>
      <c r="H811" s="9" t="n">
        <v>910</v>
      </c>
      <c r="I811" s="29" t="n">
        <v>1.2</v>
      </c>
      <c r="J811" s="9" t="n">
        <v>1</v>
      </c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21" t="str">
        <f aca="false">IF(COUNT(K811:T811)=0,"SOURCE EMPTY / INDUSTRIAL ONLY",IF(MIN(K811:T811)=1,"SERVICE READY","HOLD"))</f>
        <v>SOURCE EMPTY / INDUSTRIAL ONLY</v>
      </c>
      <c r="V811" s="9" t="n">
        <f aca="false">IF(U811="SERVICE READY",1,0)</f>
        <v>0</v>
      </c>
      <c r="W811" s="6"/>
      <c r="X811" s="6"/>
      <c r="Y811" s="6"/>
      <c r="Z811" s="6"/>
    </row>
    <row r="812" customFormat="false" ht="15" hidden="false" customHeight="false" outlineLevel="0" collapsed="false">
      <c r="A812" s="9" t="s">
        <v>1033</v>
      </c>
      <c r="B812" s="9" t="s">
        <v>1024</v>
      </c>
      <c r="C812" s="9" t="s">
        <v>1025</v>
      </c>
      <c r="D812" s="9" t="s">
        <v>619</v>
      </c>
      <c r="E812" s="9" t="s">
        <v>275</v>
      </c>
      <c r="F812" s="9" t="s">
        <v>200</v>
      </c>
      <c r="G812" s="9" t="s">
        <v>198</v>
      </c>
      <c r="H812" s="9" t="n">
        <v>910</v>
      </c>
      <c r="I812" s="29" t="n">
        <v>1.2</v>
      </c>
      <c r="J812" s="9" t="n">
        <v>1</v>
      </c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21" t="str">
        <f aca="false">IF(COUNT(K812:T812)=0,"SOURCE EMPTY / INDUSTRIAL ONLY",IF(MIN(K812:T812)=1,"SERVICE READY","HOLD"))</f>
        <v>SOURCE EMPTY / INDUSTRIAL ONLY</v>
      </c>
      <c r="V812" s="9" t="n">
        <f aca="false">IF(U812="SERVICE READY",1,0)</f>
        <v>0</v>
      </c>
      <c r="W812" s="6"/>
      <c r="X812" s="6"/>
      <c r="Y812" s="6"/>
      <c r="Z812" s="6"/>
    </row>
    <row r="813" customFormat="false" ht="15" hidden="false" customHeight="false" outlineLevel="0" collapsed="false">
      <c r="A813" s="9" t="s">
        <v>1034</v>
      </c>
      <c r="B813" s="9" t="s">
        <v>1024</v>
      </c>
      <c r="C813" s="9" t="s">
        <v>1025</v>
      </c>
      <c r="D813" s="9" t="s">
        <v>619</v>
      </c>
      <c r="E813" s="9" t="s">
        <v>275</v>
      </c>
      <c r="F813" s="9" t="s">
        <v>203</v>
      </c>
      <c r="G813" s="9" t="s">
        <v>201</v>
      </c>
      <c r="H813" s="9" t="n">
        <v>910</v>
      </c>
      <c r="I813" s="29" t="n">
        <v>1.2</v>
      </c>
      <c r="J813" s="9" t="n">
        <v>1</v>
      </c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21" t="str">
        <f aca="false">IF(COUNT(K813:T813)=0,"SOURCE EMPTY / INDUSTRIAL ONLY",IF(MIN(K813:T813)=1,"SERVICE READY","HOLD"))</f>
        <v>SOURCE EMPTY / INDUSTRIAL ONLY</v>
      </c>
      <c r="V813" s="9" t="n">
        <f aca="false">IF(U813="SERVICE READY",1,0)</f>
        <v>0</v>
      </c>
      <c r="W813" s="6"/>
      <c r="X813" s="6"/>
      <c r="Y813" s="6"/>
      <c r="Z813" s="6"/>
    </row>
    <row r="814" customFormat="false" ht="15" hidden="false" customHeight="false" outlineLevel="0" collapsed="false">
      <c r="A814" s="9" t="s">
        <v>1035</v>
      </c>
      <c r="B814" s="9" t="s">
        <v>1024</v>
      </c>
      <c r="C814" s="9" t="s">
        <v>1025</v>
      </c>
      <c r="D814" s="9" t="s">
        <v>619</v>
      </c>
      <c r="E814" s="9" t="s">
        <v>275</v>
      </c>
      <c r="F814" s="9" t="s">
        <v>205</v>
      </c>
      <c r="G814" s="9" t="s">
        <v>198</v>
      </c>
      <c r="H814" s="9" t="n">
        <v>910</v>
      </c>
      <c r="I814" s="29" t="n">
        <v>1.2</v>
      </c>
      <c r="J814" s="9" t="n">
        <v>1</v>
      </c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21" t="str">
        <f aca="false">IF(COUNT(K814:T814)=0,"SOURCE EMPTY / INDUSTRIAL ONLY",IF(MIN(K814:T814)=1,"SERVICE READY","HOLD"))</f>
        <v>SOURCE EMPTY / INDUSTRIAL ONLY</v>
      </c>
      <c r="V814" s="9" t="n">
        <f aca="false">IF(U814="SERVICE READY",1,0)</f>
        <v>0</v>
      </c>
      <c r="W814" s="6"/>
      <c r="X814" s="6"/>
      <c r="Y814" s="6"/>
      <c r="Z814" s="6"/>
    </row>
    <row r="815" customFormat="false" ht="15" hidden="false" customHeight="false" outlineLevel="0" collapsed="false">
      <c r="A815" s="9" t="s">
        <v>1036</v>
      </c>
      <c r="B815" s="9" t="s">
        <v>1024</v>
      </c>
      <c r="C815" s="9" t="s">
        <v>1025</v>
      </c>
      <c r="D815" s="9" t="s">
        <v>619</v>
      </c>
      <c r="E815" s="9" t="s">
        <v>275</v>
      </c>
      <c r="F815" s="9" t="s">
        <v>207</v>
      </c>
      <c r="G815" s="9" t="s">
        <v>201</v>
      </c>
      <c r="H815" s="9" t="n">
        <v>910</v>
      </c>
      <c r="I815" s="29" t="n">
        <v>1.2</v>
      </c>
      <c r="J815" s="9" t="n">
        <v>1</v>
      </c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21" t="str">
        <f aca="false">IF(COUNT(K815:T815)=0,"SOURCE EMPTY / INDUSTRIAL ONLY",IF(MIN(K815:T815)=1,"SERVICE READY","HOLD"))</f>
        <v>SOURCE EMPTY / INDUSTRIAL ONLY</v>
      </c>
      <c r="V815" s="9" t="n">
        <f aca="false">IF(U815="SERVICE READY",1,0)</f>
        <v>0</v>
      </c>
      <c r="W815" s="6"/>
      <c r="X815" s="6"/>
      <c r="Y815" s="6"/>
      <c r="Z815" s="6"/>
    </row>
    <row r="816" customFormat="false" ht="15" hidden="false" customHeight="false" outlineLevel="0" collapsed="false">
      <c r="A816" s="9" t="s">
        <v>1037</v>
      </c>
      <c r="B816" s="9" t="s">
        <v>1024</v>
      </c>
      <c r="C816" s="9" t="s">
        <v>1025</v>
      </c>
      <c r="D816" s="9" t="s">
        <v>619</v>
      </c>
      <c r="E816" s="9" t="s">
        <v>275</v>
      </c>
      <c r="F816" s="9" t="s">
        <v>209</v>
      </c>
      <c r="G816" s="9" t="s">
        <v>198</v>
      </c>
      <c r="H816" s="9" t="n">
        <v>910</v>
      </c>
      <c r="I816" s="29" t="n">
        <v>1.2</v>
      </c>
      <c r="J816" s="9" t="n">
        <v>1</v>
      </c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21" t="str">
        <f aca="false">IF(COUNT(K816:T816)=0,"SOURCE EMPTY / INDUSTRIAL ONLY",IF(MIN(K816:T816)=1,"SERVICE READY","HOLD"))</f>
        <v>SOURCE EMPTY / INDUSTRIAL ONLY</v>
      </c>
      <c r="V816" s="9" t="n">
        <f aca="false">IF(U816="SERVICE READY",1,0)</f>
        <v>0</v>
      </c>
      <c r="W816" s="6"/>
      <c r="X816" s="6"/>
      <c r="Y816" s="6"/>
      <c r="Z816" s="6"/>
    </row>
    <row r="817" customFormat="false" ht="15" hidden="false" customHeight="false" outlineLevel="0" collapsed="false">
      <c r="A817" s="9" t="s">
        <v>1038</v>
      </c>
      <c r="B817" s="9" t="s">
        <v>1024</v>
      </c>
      <c r="C817" s="9" t="s">
        <v>1025</v>
      </c>
      <c r="D817" s="9" t="s">
        <v>619</v>
      </c>
      <c r="E817" s="9" t="s">
        <v>275</v>
      </c>
      <c r="F817" s="9" t="s">
        <v>211</v>
      </c>
      <c r="G817" s="9" t="s">
        <v>201</v>
      </c>
      <c r="H817" s="9" t="n">
        <v>910</v>
      </c>
      <c r="I817" s="29" t="n">
        <v>1.2</v>
      </c>
      <c r="J817" s="9" t="n">
        <v>1</v>
      </c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21" t="str">
        <f aca="false">IF(COUNT(K817:T817)=0,"SOURCE EMPTY / INDUSTRIAL ONLY",IF(MIN(K817:T817)=1,"SERVICE READY","HOLD"))</f>
        <v>SOURCE EMPTY / INDUSTRIAL ONLY</v>
      </c>
      <c r="V817" s="9" t="n">
        <f aca="false">IF(U817="SERVICE READY",1,0)</f>
        <v>0</v>
      </c>
      <c r="W817" s="6"/>
      <c r="X817" s="6"/>
      <c r="Y817" s="6"/>
      <c r="Z817" s="6"/>
    </row>
    <row r="818" customFormat="false" ht="15" hidden="false" customHeight="false" outlineLevel="0" collapsed="false">
      <c r="A818" s="9" t="s">
        <v>1039</v>
      </c>
      <c r="B818" s="9" t="s">
        <v>1024</v>
      </c>
      <c r="C818" s="9" t="s">
        <v>1025</v>
      </c>
      <c r="D818" s="9" t="s">
        <v>619</v>
      </c>
      <c r="E818" s="9" t="s">
        <v>275</v>
      </c>
      <c r="F818" s="9" t="s">
        <v>197</v>
      </c>
      <c r="G818" s="9" t="s">
        <v>198</v>
      </c>
      <c r="H818" s="9" t="n">
        <v>910</v>
      </c>
      <c r="I818" s="29" t="n">
        <v>1.2</v>
      </c>
      <c r="J818" s="9" t="n">
        <v>1</v>
      </c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21" t="str">
        <f aca="false">IF(COUNT(K818:T818)=0,"SOURCE EMPTY / INDUSTRIAL ONLY",IF(MIN(K818:T818)=1,"SERVICE READY","HOLD"))</f>
        <v>SOURCE EMPTY / INDUSTRIAL ONLY</v>
      </c>
      <c r="V818" s="9" t="n">
        <f aca="false">IF(U818="SERVICE READY",1,0)</f>
        <v>0</v>
      </c>
      <c r="W818" s="6"/>
      <c r="X818" s="6"/>
      <c r="Y818" s="6"/>
      <c r="Z818" s="6"/>
    </row>
    <row r="819" customFormat="false" ht="15" hidden="false" customHeight="false" outlineLevel="0" collapsed="false">
      <c r="A819" s="9" t="s">
        <v>1040</v>
      </c>
      <c r="B819" s="9" t="s">
        <v>1024</v>
      </c>
      <c r="C819" s="9" t="s">
        <v>1025</v>
      </c>
      <c r="D819" s="9" t="s">
        <v>619</v>
      </c>
      <c r="E819" s="9" t="s">
        <v>275</v>
      </c>
      <c r="F819" s="9" t="s">
        <v>200</v>
      </c>
      <c r="G819" s="9" t="s">
        <v>201</v>
      </c>
      <c r="H819" s="9" t="n">
        <v>910</v>
      </c>
      <c r="I819" s="29" t="n">
        <v>1.2</v>
      </c>
      <c r="J819" s="9" t="n">
        <v>1</v>
      </c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21" t="str">
        <f aca="false">IF(COUNT(K819:T819)=0,"SOURCE EMPTY / INDUSTRIAL ONLY",IF(MIN(K819:T819)=1,"SERVICE READY","HOLD"))</f>
        <v>SOURCE EMPTY / INDUSTRIAL ONLY</v>
      </c>
      <c r="V819" s="9" t="n">
        <f aca="false">IF(U819="SERVICE READY",1,0)</f>
        <v>0</v>
      </c>
      <c r="W819" s="6"/>
      <c r="X819" s="6"/>
      <c r="Y819" s="6"/>
      <c r="Z819" s="6"/>
    </row>
    <row r="820" customFormat="false" ht="15" hidden="false" customHeight="false" outlineLevel="0" collapsed="false">
      <c r="A820" s="9" t="s">
        <v>1041</v>
      </c>
      <c r="B820" s="9" t="s">
        <v>1024</v>
      </c>
      <c r="C820" s="9" t="s">
        <v>1025</v>
      </c>
      <c r="D820" s="9" t="s">
        <v>619</v>
      </c>
      <c r="E820" s="9" t="s">
        <v>275</v>
      </c>
      <c r="F820" s="9" t="s">
        <v>203</v>
      </c>
      <c r="G820" s="9" t="s">
        <v>198</v>
      </c>
      <c r="H820" s="9" t="n">
        <v>910</v>
      </c>
      <c r="I820" s="29" t="n">
        <v>1.2</v>
      </c>
      <c r="J820" s="9" t="n">
        <v>1</v>
      </c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21" t="str">
        <f aca="false">IF(COUNT(K820:T820)=0,"SOURCE EMPTY / INDUSTRIAL ONLY",IF(MIN(K820:T820)=1,"SERVICE READY","HOLD"))</f>
        <v>SOURCE EMPTY / INDUSTRIAL ONLY</v>
      </c>
      <c r="V820" s="9" t="n">
        <f aca="false">IF(U820="SERVICE READY",1,0)</f>
        <v>0</v>
      </c>
      <c r="W820" s="6"/>
      <c r="X820" s="6"/>
      <c r="Y820" s="6"/>
      <c r="Z820" s="6"/>
    </row>
    <row r="821" customFormat="false" ht="15" hidden="false" customHeight="false" outlineLevel="0" collapsed="false">
      <c r="A821" s="9" t="s">
        <v>1042</v>
      </c>
      <c r="B821" s="9" t="s">
        <v>1024</v>
      </c>
      <c r="C821" s="9" t="s">
        <v>1025</v>
      </c>
      <c r="D821" s="9" t="s">
        <v>619</v>
      </c>
      <c r="E821" s="9" t="s">
        <v>275</v>
      </c>
      <c r="F821" s="9" t="s">
        <v>205</v>
      </c>
      <c r="G821" s="9" t="s">
        <v>201</v>
      </c>
      <c r="H821" s="9" t="n">
        <v>910</v>
      </c>
      <c r="I821" s="29" t="n">
        <v>1.2</v>
      </c>
      <c r="J821" s="9" t="n">
        <v>1</v>
      </c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21" t="str">
        <f aca="false">IF(COUNT(K821:T821)=0,"SOURCE EMPTY / INDUSTRIAL ONLY",IF(MIN(K821:T821)=1,"SERVICE READY","HOLD"))</f>
        <v>SOURCE EMPTY / INDUSTRIAL ONLY</v>
      </c>
      <c r="V821" s="9" t="n">
        <f aca="false">IF(U821="SERVICE READY",1,0)</f>
        <v>0</v>
      </c>
      <c r="W821" s="6"/>
      <c r="X821" s="6"/>
      <c r="Y821" s="6"/>
      <c r="Z821" s="6"/>
    </row>
    <row r="822" customFormat="false" ht="15" hidden="false" customHeight="false" outlineLevel="0" collapsed="false">
      <c r="A822" s="9" t="s">
        <v>1043</v>
      </c>
      <c r="B822" s="9" t="s">
        <v>1024</v>
      </c>
      <c r="C822" s="9" t="s">
        <v>1025</v>
      </c>
      <c r="D822" s="9" t="s">
        <v>619</v>
      </c>
      <c r="E822" s="9" t="s">
        <v>275</v>
      </c>
      <c r="F822" s="9" t="s">
        <v>207</v>
      </c>
      <c r="G822" s="9" t="s">
        <v>198</v>
      </c>
      <c r="H822" s="9" t="n">
        <v>910</v>
      </c>
      <c r="I822" s="29" t="n">
        <v>1.2</v>
      </c>
      <c r="J822" s="9" t="n">
        <v>1</v>
      </c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21" t="str">
        <f aca="false">IF(COUNT(K822:T822)=0,"SOURCE EMPTY / INDUSTRIAL ONLY",IF(MIN(K822:T822)=1,"SERVICE READY","HOLD"))</f>
        <v>SOURCE EMPTY / INDUSTRIAL ONLY</v>
      </c>
      <c r="V822" s="9" t="n">
        <f aca="false">IF(U822="SERVICE READY",1,0)</f>
        <v>0</v>
      </c>
      <c r="W822" s="6"/>
      <c r="X822" s="6"/>
      <c r="Y822" s="6"/>
      <c r="Z822" s="6"/>
    </row>
    <row r="823" customFormat="false" ht="15" hidden="false" customHeight="false" outlineLevel="0" collapsed="false">
      <c r="A823" s="9" t="s">
        <v>1044</v>
      </c>
      <c r="B823" s="9" t="s">
        <v>1024</v>
      </c>
      <c r="C823" s="9" t="s">
        <v>1025</v>
      </c>
      <c r="D823" s="9" t="s">
        <v>619</v>
      </c>
      <c r="E823" s="9" t="s">
        <v>275</v>
      </c>
      <c r="F823" s="9" t="s">
        <v>209</v>
      </c>
      <c r="G823" s="9" t="s">
        <v>201</v>
      </c>
      <c r="H823" s="9" t="n">
        <v>910</v>
      </c>
      <c r="I823" s="29" t="n">
        <v>1.2</v>
      </c>
      <c r="J823" s="9" t="n">
        <v>1</v>
      </c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21" t="str">
        <f aca="false">IF(COUNT(K823:T823)=0,"SOURCE EMPTY / INDUSTRIAL ONLY",IF(MIN(K823:T823)=1,"SERVICE READY","HOLD"))</f>
        <v>SOURCE EMPTY / INDUSTRIAL ONLY</v>
      </c>
      <c r="V823" s="9" t="n">
        <f aca="false">IF(U823="SERVICE READY",1,0)</f>
        <v>0</v>
      </c>
      <c r="W823" s="6"/>
      <c r="X823" s="6"/>
      <c r="Y823" s="6"/>
      <c r="Z823" s="6"/>
    </row>
    <row r="824" customFormat="false" ht="15" hidden="false" customHeight="false" outlineLevel="0" collapsed="false">
      <c r="A824" s="9" t="s">
        <v>1045</v>
      </c>
      <c r="B824" s="9" t="s">
        <v>1024</v>
      </c>
      <c r="C824" s="9" t="s">
        <v>1025</v>
      </c>
      <c r="D824" s="9" t="s">
        <v>619</v>
      </c>
      <c r="E824" s="9" t="s">
        <v>275</v>
      </c>
      <c r="F824" s="9" t="s">
        <v>211</v>
      </c>
      <c r="G824" s="9" t="s">
        <v>198</v>
      </c>
      <c r="H824" s="9" t="n">
        <v>910</v>
      </c>
      <c r="I824" s="29" t="n">
        <v>1.2</v>
      </c>
      <c r="J824" s="9" t="n">
        <v>1</v>
      </c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21" t="str">
        <f aca="false">IF(COUNT(K824:T824)=0,"SOURCE EMPTY / INDUSTRIAL ONLY",IF(MIN(K824:T824)=1,"SERVICE READY","HOLD"))</f>
        <v>SOURCE EMPTY / INDUSTRIAL ONLY</v>
      </c>
      <c r="V824" s="9" t="n">
        <f aca="false">IF(U824="SERVICE READY",1,0)</f>
        <v>0</v>
      </c>
      <c r="W824" s="6"/>
      <c r="X824" s="6"/>
      <c r="Y824" s="6"/>
      <c r="Z824" s="6"/>
    </row>
    <row r="825" customFormat="false" ht="15" hidden="false" customHeight="false" outlineLevel="0" collapsed="false">
      <c r="A825" s="9" t="s">
        <v>1046</v>
      </c>
      <c r="B825" s="9" t="s">
        <v>1024</v>
      </c>
      <c r="C825" s="9" t="s">
        <v>1025</v>
      </c>
      <c r="D825" s="9" t="s">
        <v>619</v>
      </c>
      <c r="E825" s="9" t="s">
        <v>275</v>
      </c>
      <c r="F825" s="9" t="s">
        <v>197</v>
      </c>
      <c r="G825" s="9" t="s">
        <v>201</v>
      </c>
      <c r="H825" s="9" t="n">
        <v>910</v>
      </c>
      <c r="I825" s="29" t="n">
        <v>1.2</v>
      </c>
      <c r="J825" s="9" t="n">
        <v>1</v>
      </c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21" t="str">
        <f aca="false">IF(COUNT(K825:T825)=0,"SOURCE EMPTY / INDUSTRIAL ONLY",IF(MIN(K825:T825)=1,"SERVICE READY","HOLD"))</f>
        <v>SOURCE EMPTY / INDUSTRIAL ONLY</v>
      </c>
      <c r="V825" s="9" t="n">
        <f aca="false">IF(U825="SERVICE READY",1,0)</f>
        <v>0</v>
      </c>
      <c r="W825" s="6"/>
      <c r="X825" s="6"/>
      <c r="Y825" s="6"/>
      <c r="Z825" s="6"/>
    </row>
    <row r="826" customFormat="false" ht="15" hidden="false" customHeight="false" outlineLevel="0" collapsed="false">
      <c r="A826" s="9" t="s">
        <v>1047</v>
      </c>
      <c r="B826" s="9" t="s">
        <v>1024</v>
      </c>
      <c r="C826" s="9" t="s">
        <v>1025</v>
      </c>
      <c r="D826" s="9" t="s">
        <v>619</v>
      </c>
      <c r="E826" s="9" t="s">
        <v>275</v>
      </c>
      <c r="F826" s="9" t="s">
        <v>200</v>
      </c>
      <c r="G826" s="9" t="s">
        <v>198</v>
      </c>
      <c r="H826" s="9" t="n">
        <v>910</v>
      </c>
      <c r="I826" s="29" t="n">
        <v>1.2</v>
      </c>
      <c r="J826" s="9" t="n">
        <v>1</v>
      </c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21" t="str">
        <f aca="false">IF(COUNT(K826:T826)=0,"SOURCE EMPTY / INDUSTRIAL ONLY",IF(MIN(K826:T826)=1,"SERVICE READY","HOLD"))</f>
        <v>SOURCE EMPTY / INDUSTRIAL ONLY</v>
      </c>
      <c r="V826" s="9" t="n">
        <f aca="false">IF(U826="SERVICE READY",1,0)</f>
        <v>0</v>
      </c>
      <c r="W826" s="6"/>
      <c r="X826" s="6"/>
      <c r="Y826" s="6"/>
      <c r="Z826" s="6"/>
    </row>
    <row r="827" customFormat="false" ht="15" hidden="false" customHeight="false" outlineLevel="0" collapsed="false">
      <c r="A827" s="9" t="s">
        <v>1048</v>
      </c>
      <c r="B827" s="9" t="s">
        <v>1024</v>
      </c>
      <c r="C827" s="9" t="s">
        <v>1025</v>
      </c>
      <c r="D827" s="9" t="s">
        <v>619</v>
      </c>
      <c r="E827" s="9" t="s">
        <v>275</v>
      </c>
      <c r="F827" s="9" t="s">
        <v>203</v>
      </c>
      <c r="G827" s="9" t="s">
        <v>201</v>
      </c>
      <c r="H827" s="9" t="n">
        <v>910</v>
      </c>
      <c r="I827" s="29" t="n">
        <v>1.2</v>
      </c>
      <c r="J827" s="9" t="n">
        <v>1</v>
      </c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21" t="str">
        <f aca="false">IF(COUNT(K827:T827)=0,"SOURCE EMPTY / INDUSTRIAL ONLY",IF(MIN(K827:T827)=1,"SERVICE READY","HOLD"))</f>
        <v>SOURCE EMPTY / INDUSTRIAL ONLY</v>
      </c>
      <c r="V827" s="9" t="n">
        <f aca="false">IF(U827="SERVICE READY",1,0)</f>
        <v>0</v>
      </c>
      <c r="W827" s="6"/>
      <c r="X827" s="6"/>
      <c r="Y827" s="6"/>
      <c r="Z827" s="6"/>
    </row>
    <row r="828" customFormat="false" ht="15" hidden="false" customHeight="false" outlineLevel="0" collapsed="false">
      <c r="A828" s="9" t="s">
        <v>1049</v>
      </c>
      <c r="B828" s="9" t="s">
        <v>1024</v>
      </c>
      <c r="C828" s="9" t="s">
        <v>1025</v>
      </c>
      <c r="D828" s="9" t="s">
        <v>619</v>
      </c>
      <c r="E828" s="9" t="s">
        <v>275</v>
      </c>
      <c r="F828" s="9" t="s">
        <v>205</v>
      </c>
      <c r="G828" s="9" t="s">
        <v>198</v>
      </c>
      <c r="H828" s="9" t="n">
        <v>910</v>
      </c>
      <c r="I828" s="29" t="n">
        <v>1.2</v>
      </c>
      <c r="J828" s="9" t="n">
        <v>1</v>
      </c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21" t="str">
        <f aca="false">IF(COUNT(K828:T828)=0,"SOURCE EMPTY / INDUSTRIAL ONLY",IF(MIN(K828:T828)=1,"SERVICE READY","HOLD"))</f>
        <v>SOURCE EMPTY / INDUSTRIAL ONLY</v>
      </c>
      <c r="V828" s="9" t="n">
        <f aca="false">IF(U828="SERVICE READY",1,0)</f>
        <v>0</v>
      </c>
      <c r="W828" s="6"/>
      <c r="X828" s="6"/>
      <c r="Y828" s="6"/>
      <c r="Z828" s="6"/>
    </row>
    <row r="829" customFormat="false" ht="15" hidden="false" customHeight="false" outlineLevel="0" collapsed="false">
      <c r="A829" s="9" t="s">
        <v>1050</v>
      </c>
      <c r="B829" s="9" t="s">
        <v>1024</v>
      </c>
      <c r="C829" s="9" t="s">
        <v>1025</v>
      </c>
      <c r="D829" s="9" t="s">
        <v>619</v>
      </c>
      <c r="E829" s="9" t="s">
        <v>275</v>
      </c>
      <c r="F829" s="9" t="s">
        <v>207</v>
      </c>
      <c r="G829" s="9" t="s">
        <v>201</v>
      </c>
      <c r="H829" s="9" t="n">
        <v>910</v>
      </c>
      <c r="I829" s="29" t="n">
        <v>1.2</v>
      </c>
      <c r="J829" s="9" t="n">
        <v>1</v>
      </c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21" t="str">
        <f aca="false">IF(COUNT(K829:T829)=0,"SOURCE EMPTY / INDUSTRIAL ONLY",IF(MIN(K829:T829)=1,"SERVICE READY","HOLD"))</f>
        <v>SOURCE EMPTY / INDUSTRIAL ONLY</v>
      </c>
      <c r="V829" s="9" t="n">
        <f aca="false">IF(U829="SERVICE READY",1,0)</f>
        <v>0</v>
      </c>
      <c r="W829" s="6"/>
      <c r="X829" s="6"/>
      <c r="Y829" s="6"/>
      <c r="Z829" s="6"/>
    </row>
    <row r="830" customFormat="false" ht="15" hidden="false" customHeight="false" outlineLevel="0" collapsed="false">
      <c r="A830" s="9" t="s">
        <v>1051</v>
      </c>
      <c r="B830" s="9" t="s">
        <v>1024</v>
      </c>
      <c r="C830" s="9" t="s">
        <v>1025</v>
      </c>
      <c r="D830" s="9" t="s">
        <v>619</v>
      </c>
      <c r="E830" s="9" t="s">
        <v>275</v>
      </c>
      <c r="F830" s="9" t="s">
        <v>209</v>
      </c>
      <c r="G830" s="9" t="s">
        <v>198</v>
      </c>
      <c r="H830" s="9" t="n">
        <v>910</v>
      </c>
      <c r="I830" s="29" t="n">
        <v>1.2</v>
      </c>
      <c r="J830" s="9" t="n">
        <v>1</v>
      </c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21" t="str">
        <f aca="false">IF(COUNT(K830:T830)=0,"SOURCE EMPTY / INDUSTRIAL ONLY",IF(MIN(K830:T830)=1,"SERVICE READY","HOLD"))</f>
        <v>SOURCE EMPTY / INDUSTRIAL ONLY</v>
      </c>
      <c r="V830" s="9" t="n">
        <f aca="false">IF(U830="SERVICE READY",1,0)</f>
        <v>0</v>
      </c>
      <c r="W830" s="6"/>
      <c r="X830" s="6"/>
      <c r="Y830" s="6"/>
      <c r="Z830" s="6"/>
    </row>
    <row r="831" customFormat="false" ht="15" hidden="false" customHeight="false" outlineLevel="0" collapsed="false">
      <c r="A831" s="9" t="s">
        <v>1052</v>
      </c>
      <c r="B831" s="9" t="s">
        <v>1024</v>
      </c>
      <c r="C831" s="9" t="s">
        <v>1025</v>
      </c>
      <c r="D831" s="9" t="s">
        <v>619</v>
      </c>
      <c r="E831" s="9" t="s">
        <v>275</v>
      </c>
      <c r="F831" s="9" t="s">
        <v>211</v>
      </c>
      <c r="G831" s="9" t="s">
        <v>221</v>
      </c>
      <c r="H831" s="9" t="n">
        <v>910</v>
      </c>
      <c r="I831" s="29" t="n">
        <v>1.2</v>
      </c>
      <c r="J831" s="9" t="n">
        <v>1</v>
      </c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21" t="str">
        <f aca="false">IF(COUNT(K831:T831)=0,"SOURCE EMPTY / INDUSTRIAL ONLY",IF(MIN(K831:T831)=1,"SERVICE READY","HOLD"))</f>
        <v>SOURCE EMPTY / INDUSTRIAL ONLY</v>
      </c>
      <c r="V831" s="9" t="n">
        <f aca="false">IF(U831="SERVICE READY",1,0)</f>
        <v>0</v>
      </c>
      <c r="W831" s="6"/>
      <c r="X831" s="6"/>
      <c r="Y831" s="6"/>
      <c r="Z831" s="6"/>
    </row>
    <row r="832" customFormat="false" ht="15" hidden="false" customHeight="false" outlineLevel="0" collapsed="false">
      <c r="A832" s="9" t="s">
        <v>1053</v>
      </c>
      <c r="B832" s="9" t="s">
        <v>1024</v>
      </c>
      <c r="C832" s="9" t="s">
        <v>1025</v>
      </c>
      <c r="D832" s="9" t="s">
        <v>619</v>
      </c>
      <c r="E832" s="9" t="s">
        <v>275</v>
      </c>
      <c r="F832" s="9" t="s">
        <v>197</v>
      </c>
      <c r="G832" s="9" t="s">
        <v>221</v>
      </c>
      <c r="H832" s="9" t="n">
        <v>910</v>
      </c>
      <c r="I832" s="29" t="n">
        <v>1.2</v>
      </c>
      <c r="J832" s="9" t="n">
        <v>1</v>
      </c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21" t="str">
        <f aca="false">IF(COUNT(K832:T832)=0,"SOURCE EMPTY / INDUSTRIAL ONLY",IF(MIN(K832:T832)=1,"SERVICE READY","HOLD"))</f>
        <v>SOURCE EMPTY / INDUSTRIAL ONLY</v>
      </c>
      <c r="V832" s="9" t="n">
        <f aca="false">IF(U832="SERVICE READY",1,0)</f>
        <v>0</v>
      </c>
      <c r="W832" s="6"/>
      <c r="X832" s="6"/>
      <c r="Y832" s="6"/>
      <c r="Z832" s="6"/>
    </row>
    <row r="833" customFormat="false" ht="15" hidden="false" customHeight="false" outlineLevel="0" collapsed="false">
      <c r="A833" s="9" t="s">
        <v>1054</v>
      </c>
      <c r="B833" s="9" t="s">
        <v>1024</v>
      </c>
      <c r="C833" s="9" t="s">
        <v>1025</v>
      </c>
      <c r="D833" s="9" t="s">
        <v>619</v>
      </c>
      <c r="E833" s="9" t="s">
        <v>275</v>
      </c>
      <c r="F833" s="9" t="s">
        <v>200</v>
      </c>
      <c r="G833" s="9" t="s">
        <v>221</v>
      </c>
      <c r="H833" s="9" t="n">
        <v>910</v>
      </c>
      <c r="I833" s="29" t="n">
        <v>1.2</v>
      </c>
      <c r="J833" s="9" t="n">
        <v>1</v>
      </c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21" t="str">
        <f aca="false">IF(COUNT(K833:T833)=0,"SOURCE EMPTY / INDUSTRIAL ONLY",IF(MIN(K833:T833)=1,"SERVICE READY","HOLD"))</f>
        <v>SOURCE EMPTY / INDUSTRIAL ONLY</v>
      </c>
      <c r="V833" s="9" t="n">
        <f aca="false">IF(U833="SERVICE READY",1,0)</f>
        <v>0</v>
      </c>
      <c r="W833" s="6"/>
      <c r="X833" s="6"/>
      <c r="Y833" s="6"/>
      <c r="Z833" s="6"/>
    </row>
    <row r="834" customFormat="false" ht="15" hidden="false" customHeight="false" outlineLevel="0" collapsed="false">
      <c r="A834" s="9" t="s">
        <v>1055</v>
      </c>
      <c r="B834" s="9" t="s">
        <v>1024</v>
      </c>
      <c r="C834" s="9" t="s">
        <v>1025</v>
      </c>
      <c r="D834" s="9" t="s">
        <v>619</v>
      </c>
      <c r="E834" s="9" t="s">
        <v>275</v>
      </c>
      <c r="F834" s="9" t="s">
        <v>203</v>
      </c>
      <c r="G834" s="9" t="s">
        <v>221</v>
      </c>
      <c r="H834" s="9" t="n">
        <v>910</v>
      </c>
      <c r="I834" s="29" t="n">
        <v>1.2</v>
      </c>
      <c r="J834" s="9" t="n">
        <v>1</v>
      </c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21" t="str">
        <f aca="false">IF(COUNT(K834:T834)=0,"SOURCE EMPTY / INDUSTRIAL ONLY",IF(MIN(K834:T834)=1,"SERVICE READY","HOLD"))</f>
        <v>SOURCE EMPTY / INDUSTRIAL ONLY</v>
      </c>
      <c r="V834" s="9" t="n">
        <f aca="false">IF(U834="SERVICE READY",1,0)</f>
        <v>0</v>
      </c>
      <c r="W834" s="6"/>
      <c r="X834" s="6"/>
      <c r="Y834" s="6"/>
      <c r="Z834" s="6"/>
    </row>
    <row r="835" customFormat="false" ht="15" hidden="false" customHeight="false" outlineLevel="0" collapsed="false">
      <c r="A835" s="9" t="s">
        <v>1056</v>
      </c>
      <c r="B835" s="9" t="s">
        <v>1024</v>
      </c>
      <c r="C835" s="9" t="s">
        <v>1025</v>
      </c>
      <c r="D835" s="9" t="s">
        <v>619</v>
      </c>
      <c r="E835" s="9" t="s">
        <v>275</v>
      </c>
      <c r="F835" s="9" t="s">
        <v>205</v>
      </c>
      <c r="G835" s="9" t="s">
        <v>221</v>
      </c>
      <c r="H835" s="9" t="n">
        <v>910</v>
      </c>
      <c r="I835" s="29" t="n">
        <v>1.2</v>
      </c>
      <c r="J835" s="9" t="n">
        <v>1</v>
      </c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21" t="str">
        <f aca="false">IF(COUNT(K835:T835)=0,"SOURCE EMPTY / INDUSTRIAL ONLY",IF(MIN(K835:T835)=1,"SERVICE READY","HOLD"))</f>
        <v>SOURCE EMPTY / INDUSTRIAL ONLY</v>
      </c>
      <c r="V835" s="9" t="n">
        <f aca="false">IF(U835="SERVICE READY",1,0)</f>
        <v>0</v>
      </c>
      <c r="W835" s="6"/>
      <c r="X835" s="6"/>
      <c r="Y835" s="6"/>
      <c r="Z835" s="6"/>
    </row>
    <row r="836" customFormat="false" ht="15" hidden="false" customHeight="false" outlineLevel="0" collapsed="false">
      <c r="A836" s="9" t="s">
        <v>1057</v>
      </c>
      <c r="B836" s="9" t="s">
        <v>1024</v>
      </c>
      <c r="C836" s="9" t="s">
        <v>1025</v>
      </c>
      <c r="D836" s="9" t="s">
        <v>619</v>
      </c>
      <c r="E836" s="9" t="s">
        <v>275</v>
      </c>
      <c r="F836" s="9" t="s">
        <v>207</v>
      </c>
      <c r="G836" s="9" t="s">
        <v>221</v>
      </c>
      <c r="H836" s="9" t="n">
        <v>910</v>
      </c>
      <c r="I836" s="29" t="n">
        <v>1.2</v>
      </c>
      <c r="J836" s="9" t="n">
        <v>1</v>
      </c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21" t="str">
        <f aca="false">IF(COUNT(K836:T836)=0,"SOURCE EMPTY / INDUSTRIAL ONLY",IF(MIN(K836:T836)=1,"SERVICE READY","HOLD"))</f>
        <v>SOURCE EMPTY / INDUSTRIAL ONLY</v>
      </c>
      <c r="V836" s="9" t="n">
        <f aca="false">IF(U836="SERVICE READY",1,0)</f>
        <v>0</v>
      </c>
      <c r="W836" s="6"/>
      <c r="X836" s="6"/>
      <c r="Y836" s="6"/>
      <c r="Z836" s="6"/>
    </row>
    <row r="837" customFormat="false" ht="15" hidden="false" customHeight="false" outlineLevel="0" collapsed="false">
      <c r="A837" s="9" t="s">
        <v>1058</v>
      </c>
      <c r="B837" s="9" t="s">
        <v>1024</v>
      </c>
      <c r="C837" s="9" t="s">
        <v>1025</v>
      </c>
      <c r="D837" s="9" t="s">
        <v>619</v>
      </c>
      <c r="E837" s="9" t="s">
        <v>275</v>
      </c>
      <c r="F837" s="9" t="s">
        <v>209</v>
      </c>
      <c r="G837" s="9" t="s">
        <v>221</v>
      </c>
      <c r="H837" s="9" t="n">
        <v>910</v>
      </c>
      <c r="I837" s="29" t="n">
        <v>1.2</v>
      </c>
      <c r="J837" s="9" t="n">
        <v>1</v>
      </c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21" t="str">
        <f aca="false">IF(COUNT(K837:T837)=0,"SOURCE EMPTY / INDUSTRIAL ONLY",IF(MIN(K837:T837)=1,"SERVICE READY","HOLD"))</f>
        <v>SOURCE EMPTY / INDUSTRIAL ONLY</v>
      </c>
      <c r="V837" s="9" t="n">
        <f aca="false">IF(U837="SERVICE READY",1,0)</f>
        <v>0</v>
      </c>
      <c r="W837" s="6"/>
      <c r="X837" s="6"/>
      <c r="Y837" s="6"/>
      <c r="Z837" s="6"/>
    </row>
    <row r="838" customFormat="false" ht="15" hidden="false" customHeight="false" outlineLevel="0" collapsed="false">
      <c r="A838" s="9" t="s">
        <v>1059</v>
      </c>
      <c r="B838" s="9" t="s">
        <v>1024</v>
      </c>
      <c r="C838" s="9" t="s">
        <v>1025</v>
      </c>
      <c r="D838" s="9" t="s">
        <v>619</v>
      </c>
      <c r="E838" s="9" t="s">
        <v>275</v>
      </c>
      <c r="F838" s="9" t="s">
        <v>211</v>
      </c>
      <c r="G838" s="9" t="s">
        <v>221</v>
      </c>
      <c r="H838" s="9" t="n">
        <v>910</v>
      </c>
      <c r="I838" s="29" t="n">
        <v>1.2</v>
      </c>
      <c r="J838" s="9" t="n">
        <v>1</v>
      </c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21" t="str">
        <f aca="false">IF(COUNT(K838:T838)=0,"SOURCE EMPTY / INDUSTRIAL ONLY",IF(MIN(K838:T838)=1,"SERVICE READY","HOLD"))</f>
        <v>SOURCE EMPTY / INDUSTRIAL ONLY</v>
      </c>
      <c r="V838" s="9" t="n">
        <f aca="false">IF(U838="SERVICE READY",1,0)</f>
        <v>0</v>
      </c>
      <c r="W838" s="6"/>
      <c r="X838" s="6"/>
      <c r="Y838" s="6"/>
      <c r="Z838" s="6"/>
    </row>
    <row r="839" customFormat="false" ht="15" hidden="false" customHeight="false" outlineLevel="0" collapsed="false">
      <c r="A839" s="9" t="s">
        <v>1060</v>
      </c>
      <c r="B839" s="9" t="s">
        <v>1024</v>
      </c>
      <c r="C839" s="9" t="s">
        <v>1025</v>
      </c>
      <c r="D839" s="9" t="s">
        <v>619</v>
      </c>
      <c r="E839" s="9" t="s">
        <v>275</v>
      </c>
      <c r="F839" s="9" t="s">
        <v>197</v>
      </c>
      <c r="G839" s="9" t="s">
        <v>221</v>
      </c>
      <c r="H839" s="9" t="n">
        <v>910</v>
      </c>
      <c r="I839" s="29" t="n">
        <v>1.2</v>
      </c>
      <c r="J839" s="9" t="n">
        <v>1</v>
      </c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21" t="str">
        <f aca="false">IF(COUNT(K839:T839)=0,"SOURCE EMPTY / INDUSTRIAL ONLY",IF(MIN(K839:T839)=1,"SERVICE READY","HOLD"))</f>
        <v>SOURCE EMPTY / INDUSTRIAL ONLY</v>
      </c>
      <c r="V839" s="9" t="n">
        <f aca="false">IF(U839="SERVICE READY",1,0)</f>
        <v>0</v>
      </c>
      <c r="W839" s="6"/>
      <c r="X839" s="6"/>
      <c r="Y839" s="6"/>
      <c r="Z839" s="6"/>
    </row>
    <row r="840" customFormat="false" ht="15" hidden="false" customHeight="false" outlineLevel="0" collapsed="false">
      <c r="A840" s="9" t="s">
        <v>1061</v>
      </c>
      <c r="B840" s="9" t="s">
        <v>1024</v>
      </c>
      <c r="C840" s="9" t="s">
        <v>1025</v>
      </c>
      <c r="D840" s="9" t="s">
        <v>619</v>
      </c>
      <c r="E840" s="9" t="s">
        <v>275</v>
      </c>
      <c r="F840" s="9" t="s">
        <v>200</v>
      </c>
      <c r="G840" s="9" t="s">
        <v>221</v>
      </c>
      <c r="H840" s="9" t="n">
        <v>910</v>
      </c>
      <c r="I840" s="29" t="n">
        <v>1.2</v>
      </c>
      <c r="J840" s="9" t="n">
        <v>1</v>
      </c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21" t="str">
        <f aca="false">IF(COUNT(K840:T840)=0,"SOURCE EMPTY / INDUSTRIAL ONLY",IF(MIN(K840:T840)=1,"SERVICE READY","HOLD"))</f>
        <v>SOURCE EMPTY / INDUSTRIAL ONLY</v>
      </c>
      <c r="V840" s="9" t="n">
        <f aca="false">IF(U840="SERVICE READY",1,0)</f>
        <v>0</v>
      </c>
      <c r="W840" s="6"/>
      <c r="X840" s="6"/>
      <c r="Y840" s="6"/>
      <c r="Z840" s="6"/>
    </row>
    <row r="841" customFormat="false" ht="15" hidden="false" customHeight="false" outlineLevel="0" collapsed="false">
      <c r="A841" s="9" t="s">
        <v>1062</v>
      </c>
      <c r="B841" s="9" t="s">
        <v>1024</v>
      </c>
      <c r="C841" s="9" t="s">
        <v>1025</v>
      </c>
      <c r="D841" s="9" t="s">
        <v>619</v>
      </c>
      <c r="E841" s="9" t="s">
        <v>275</v>
      </c>
      <c r="F841" s="9" t="s">
        <v>203</v>
      </c>
      <c r="G841" s="9" t="s">
        <v>221</v>
      </c>
      <c r="H841" s="9" t="n">
        <v>910</v>
      </c>
      <c r="I841" s="29" t="n">
        <v>1.2</v>
      </c>
      <c r="J841" s="9" t="n">
        <v>1</v>
      </c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21" t="str">
        <f aca="false">IF(COUNT(K841:T841)=0,"SOURCE EMPTY / INDUSTRIAL ONLY",IF(MIN(K841:T841)=1,"SERVICE READY","HOLD"))</f>
        <v>SOURCE EMPTY / INDUSTRIAL ONLY</v>
      </c>
      <c r="V841" s="9" t="n">
        <f aca="false">IF(U841="SERVICE READY",1,0)</f>
        <v>0</v>
      </c>
      <c r="W841" s="6"/>
      <c r="X841" s="6"/>
      <c r="Y841" s="6"/>
      <c r="Z841" s="6"/>
    </row>
    <row r="842" customFormat="false" ht="15" hidden="false" customHeight="false" outlineLevel="0" collapsed="false">
      <c r="A842" s="9" t="s">
        <v>1063</v>
      </c>
      <c r="B842" s="9" t="s">
        <v>1024</v>
      </c>
      <c r="C842" s="9" t="s">
        <v>1025</v>
      </c>
      <c r="D842" s="9" t="s">
        <v>619</v>
      </c>
      <c r="E842" s="9" t="s">
        <v>275</v>
      </c>
      <c r="F842" s="9" t="s">
        <v>205</v>
      </c>
      <c r="G842" s="9" t="s">
        <v>221</v>
      </c>
      <c r="H842" s="9" t="n">
        <v>910</v>
      </c>
      <c r="I842" s="29" t="n">
        <v>1.2</v>
      </c>
      <c r="J842" s="9" t="n">
        <v>1</v>
      </c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21" t="str">
        <f aca="false">IF(COUNT(K842:T842)=0,"SOURCE EMPTY / INDUSTRIAL ONLY",IF(MIN(K842:T842)=1,"SERVICE READY","HOLD"))</f>
        <v>SOURCE EMPTY / INDUSTRIAL ONLY</v>
      </c>
      <c r="V842" s="9" t="n">
        <f aca="false">IF(U842="SERVICE READY",1,0)</f>
        <v>0</v>
      </c>
      <c r="W842" s="6"/>
      <c r="X842" s="6"/>
      <c r="Y842" s="6"/>
      <c r="Z842" s="6"/>
    </row>
    <row r="843" customFormat="false" ht="15" hidden="false" customHeight="false" outlineLevel="0" collapsed="false">
      <c r="A843" s="9" t="s">
        <v>1064</v>
      </c>
      <c r="B843" s="9" t="s">
        <v>1024</v>
      </c>
      <c r="C843" s="9" t="s">
        <v>1025</v>
      </c>
      <c r="D843" s="9" t="s">
        <v>619</v>
      </c>
      <c r="E843" s="9" t="s">
        <v>275</v>
      </c>
      <c r="F843" s="9" t="s">
        <v>207</v>
      </c>
      <c r="G843" s="9" t="s">
        <v>221</v>
      </c>
      <c r="H843" s="9" t="n">
        <v>910</v>
      </c>
      <c r="I843" s="29" t="n">
        <v>1.2</v>
      </c>
      <c r="J843" s="9" t="n">
        <v>1</v>
      </c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21" t="str">
        <f aca="false">IF(COUNT(K843:T843)=0,"SOURCE EMPTY / INDUSTRIAL ONLY",IF(MIN(K843:T843)=1,"SERVICE READY","HOLD"))</f>
        <v>SOURCE EMPTY / INDUSTRIAL ONLY</v>
      </c>
      <c r="V843" s="9" t="n">
        <f aca="false">IF(U843="SERVICE READY",1,0)</f>
        <v>0</v>
      </c>
      <c r="W843" s="6"/>
      <c r="X843" s="6"/>
      <c r="Y843" s="6"/>
      <c r="Z843" s="6"/>
    </row>
    <row r="844" customFormat="false" ht="15" hidden="false" customHeight="false" outlineLevel="0" collapsed="false">
      <c r="A844" s="9" t="s">
        <v>1065</v>
      </c>
      <c r="B844" s="9" t="s">
        <v>1024</v>
      </c>
      <c r="C844" s="9" t="s">
        <v>1025</v>
      </c>
      <c r="D844" s="9" t="s">
        <v>619</v>
      </c>
      <c r="E844" s="9" t="s">
        <v>275</v>
      </c>
      <c r="F844" s="9" t="s">
        <v>209</v>
      </c>
      <c r="G844" s="9" t="s">
        <v>221</v>
      </c>
      <c r="H844" s="9" t="n">
        <v>910</v>
      </c>
      <c r="I844" s="29" t="n">
        <v>1.2</v>
      </c>
      <c r="J844" s="9" t="n">
        <v>1</v>
      </c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21" t="str">
        <f aca="false">IF(COUNT(K844:T844)=0,"SOURCE EMPTY / INDUSTRIAL ONLY",IF(MIN(K844:T844)=1,"SERVICE READY","HOLD"))</f>
        <v>SOURCE EMPTY / INDUSTRIAL ONLY</v>
      </c>
      <c r="V844" s="9" t="n">
        <f aca="false">IF(U844="SERVICE READY",1,0)</f>
        <v>0</v>
      </c>
      <c r="W844" s="6"/>
      <c r="X844" s="6"/>
      <c r="Y844" s="6"/>
      <c r="Z844" s="6"/>
    </row>
    <row r="845" customFormat="false" ht="15" hidden="false" customHeight="false" outlineLevel="0" collapsed="false">
      <c r="A845" s="9" t="s">
        <v>1066</v>
      </c>
      <c r="B845" s="9" t="s">
        <v>1024</v>
      </c>
      <c r="C845" s="9" t="s">
        <v>1025</v>
      </c>
      <c r="D845" s="9" t="s">
        <v>619</v>
      </c>
      <c r="E845" s="9" t="s">
        <v>275</v>
      </c>
      <c r="F845" s="9" t="s">
        <v>211</v>
      </c>
      <c r="G845" s="9" t="s">
        <v>221</v>
      </c>
      <c r="H845" s="9" t="n">
        <v>910</v>
      </c>
      <c r="I845" s="29" t="n">
        <v>1.2</v>
      </c>
      <c r="J845" s="9" t="n">
        <v>1</v>
      </c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21" t="str">
        <f aca="false">IF(COUNT(K845:T845)=0,"SOURCE EMPTY / INDUSTRIAL ONLY",IF(MIN(K845:T845)=1,"SERVICE READY","HOLD"))</f>
        <v>SOURCE EMPTY / INDUSTRIAL ONLY</v>
      </c>
      <c r="V845" s="9" t="n">
        <f aca="false">IF(U845="SERVICE READY",1,0)</f>
        <v>0</v>
      </c>
      <c r="W845" s="6"/>
      <c r="X845" s="6"/>
      <c r="Y845" s="6"/>
      <c r="Z845" s="6"/>
    </row>
    <row r="846" customFormat="false" ht="15" hidden="false" customHeight="false" outlineLevel="0" collapsed="false">
      <c r="A846" s="9" t="s">
        <v>1067</v>
      </c>
      <c r="B846" s="9" t="s">
        <v>1024</v>
      </c>
      <c r="C846" s="9" t="s">
        <v>1025</v>
      </c>
      <c r="D846" s="9" t="s">
        <v>619</v>
      </c>
      <c r="E846" s="9" t="s">
        <v>275</v>
      </c>
      <c r="F846" s="9" t="s">
        <v>197</v>
      </c>
      <c r="G846" s="9" t="s">
        <v>221</v>
      </c>
      <c r="H846" s="9" t="n">
        <v>910</v>
      </c>
      <c r="I846" s="29" t="n">
        <v>1.2</v>
      </c>
      <c r="J846" s="9" t="n">
        <v>1</v>
      </c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21" t="str">
        <f aca="false">IF(COUNT(K846:T846)=0,"SOURCE EMPTY / INDUSTRIAL ONLY",IF(MIN(K846:T846)=1,"SERVICE READY","HOLD"))</f>
        <v>SOURCE EMPTY / INDUSTRIAL ONLY</v>
      </c>
      <c r="V846" s="9" t="n">
        <f aca="false">IF(U846="SERVICE READY",1,0)</f>
        <v>0</v>
      </c>
      <c r="W846" s="6"/>
      <c r="X846" s="6"/>
      <c r="Y846" s="6"/>
      <c r="Z846" s="6"/>
    </row>
    <row r="847" customFormat="false" ht="15" hidden="false" customHeight="false" outlineLevel="0" collapsed="false">
      <c r="A847" s="9" t="s">
        <v>1068</v>
      </c>
      <c r="B847" s="9" t="s">
        <v>1024</v>
      </c>
      <c r="C847" s="9" t="s">
        <v>1025</v>
      </c>
      <c r="D847" s="9" t="s">
        <v>619</v>
      </c>
      <c r="E847" s="9" t="s">
        <v>275</v>
      </c>
      <c r="F847" s="9" t="s">
        <v>200</v>
      </c>
      <c r="G847" s="9" t="s">
        <v>221</v>
      </c>
      <c r="H847" s="9" t="n">
        <v>910</v>
      </c>
      <c r="I847" s="29" t="n">
        <v>1.2</v>
      </c>
      <c r="J847" s="9" t="n">
        <v>1</v>
      </c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21" t="str">
        <f aca="false">IF(COUNT(K847:T847)=0,"SOURCE EMPTY / INDUSTRIAL ONLY",IF(MIN(K847:T847)=1,"SERVICE READY","HOLD"))</f>
        <v>SOURCE EMPTY / INDUSTRIAL ONLY</v>
      </c>
      <c r="V847" s="9" t="n">
        <f aca="false">IF(U847="SERVICE READY",1,0)</f>
        <v>0</v>
      </c>
      <c r="W847" s="6"/>
      <c r="X847" s="6"/>
      <c r="Y847" s="6"/>
      <c r="Z847" s="6"/>
    </row>
    <row r="848" customFormat="false" ht="15" hidden="false" customHeight="false" outlineLevel="0" collapsed="false">
      <c r="A848" s="9" t="s">
        <v>1069</v>
      </c>
      <c r="B848" s="9" t="s">
        <v>1024</v>
      </c>
      <c r="C848" s="9" t="s">
        <v>1025</v>
      </c>
      <c r="D848" s="9" t="s">
        <v>619</v>
      </c>
      <c r="E848" s="9" t="s">
        <v>275</v>
      </c>
      <c r="F848" s="9" t="s">
        <v>203</v>
      </c>
      <c r="G848" s="9" t="s">
        <v>221</v>
      </c>
      <c r="H848" s="9" t="n">
        <v>910</v>
      </c>
      <c r="I848" s="29" t="n">
        <v>1.2</v>
      </c>
      <c r="J848" s="9" t="n">
        <v>1</v>
      </c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21" t="str">
        <f aca="false">IF(COUNT(K848:T848)=0,"SOURCE EMPTY / INDUSTRIAL ONLY",IF(MIN(K848:T848)=1,"SERVICE READY","HOLD"))</f>
        <v>SOURCE EMPTY / INDUSTRIAL ONLY</v>
      </c>
      <c r="V848" s="9" t="n">
        <f aca="false">IF(U848="SERVICE READY",1,0)</f>
        <v>0</v>
      </c>
      <c r="W848" s="6"/>
      <c r="X848" s="6"/>
      <c r="Y848" s="6"/>
      <c r="Z848" s="6"/>
    </row>
    <row r="849" customFormat="false" ht="15" hidden="false" customHeight="false" outlineLevel="0" collapsed="false">
      <c r="A849" s="9" t="s">
        <v>1070</v>
      </c>
      <c r="B849" s="9" t="s">
        <v>1024</v>
      </c>
      <c r="C849" s="9" t="s">
        <v>1025</v>
      </c>
      <c r="D849" s="9" t="s">
        <v>619</v>
      </c>
      <c r="E849" s="9" t="s">
        <v>275</v>
      </c>
      <c r="F849" s="9" t="s">
        <v>205</v>
      </c>
      <c r="G849" s="9" t="s">
        <v>221</v>
      </c>
      <c r="H849" s="9" t="n">
        <v>910</v>
      </c>
      <c r="I849" s="29" t="n">
        <v>1.2</v>
      </c>
      <c r="J849" s="9" t="n">
        <v>1</v>
      </c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21" t="str">
        <f aca="false">IF(COUNT(K849:T849)=0,"SOURCE EMPTY / INDUSTRIAL ONLY",IF(MIN(K849:T849)=1,"SERVICE READY","HOLD"))</f>
        <v>SOURCE EMPTY / INDUSTRIAL ONLY</v>
      </c>
      <c r="V849" s="9" t="n">
        <f aca="false">IF(U849="SERVICE READY",1,0)</f>
        <v>0</v>
      </c>
      <c r="W849" s="6"/>
      <c r="X849" s="6"/>
      <c r="Y849" s="6"/>
      <c r="Z849" s="6"/>
    </row>
    <row r="850" customFormat="false" ht="15" hidden="false" customHeight="false" outlineLevel="0" collapsed="false">
      <c r="A850" s="9" t="s">
        <v>1071</v>
      </c>
      <c r="B850" s="9" t="s">
        <v>1024</v>
      </c>
      <c r="C850" s="9" t="s">
        <v>1025</v>
      </c>
      <c r="D850" s="9" t="s">
        <v>619</v>
      </c>
      <c r="E850" s="9" t="s">
        <v>275</v>
      </c>
      <c r="F850" s="9" t="s">
        <v>207</v>
      </c>
      <c r="G850" s="9" t="s">
        <v>221</v>
      </c>
      <c r="H850" s="9" t="n">
        <v>910</v>
      </c>
      <c r="I850" s="29" t="n">
        <v>1.2</v>
      </c>
      <c r="J850" s="9" t="n">
        <v>1</v>
      </c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21" t="str">
        <f aca="false">IF(COUNT(K850:T850)=0,"SOURCE EMPTY / INDUSTRIAL ONLY",IF(MIN(K850:T850)=1,"SERVICE READY","HOLD"))</f>
        <v>SOURCE EMPTY / INDUSTRIAL ONLY</v>
      </c>
      <c r="V850" s="9" t="n">
        <f aca="false">IF(U850="SERVICE READY",1,0)</f>
        <v>0</v>
      </c>
      <c r="W850" s="6"/>
      <c r="X850" s="6"/>
      <c r="Y850" s="6"/>
      <c r="Z850" s="6"/>
    </row>
    <row r="851" customFormat="false" ht="15" hidden="false" customHeight="false" outlineLevel="0" collapsed="false">
      <c r="A851" s="9" t="s">
        <v>1072</v>
      </c>
      <c r="B851" s="9" t="s">
        <v>1024</v>
      </c>
      <c r="C851" s="9" t="s">
        <v>1025</v>
      </c>
      <c r="D851" s="9" t="s">
        <v>619</v>
      </c>
      <c r="E851" s="9" t="s">
        <v>275</v>
      </c>
      <c r="F851" s="9" t="s">
        <v>209</v>
      </c>
      <c r="G851" s="9" t="s">
        <v>221</v>
      </c>
      <c r="H851" s="9" t="n">
        <v>910</v>
      </c>
      <c r="I851" s="29" t="n">
        <v>1.2</v>
      </c>
      <c r="J851" s="9" t="n">
        <v>1</v>
      </c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21" t="str">
        <f aca="false">IF(COUNT(K851:T851)=0,"SOURCE EMPTY / INDUSTRIAL ONLY",IF(MIN(K851:T851)=1,"SERVICE READY","HOLD"))</f>
        <v>SOURCE EMPTY / INDUSTRIAL ONLY</v>
      </c>
      <c r="V851" s="9" t="n">
        <f aca="false">IF(U851="SERVICE READY",1,0)</f>
        <v>0</v>
      </c>
      <c r="W851" s="6"/>
      <c r="X851" s="6"/>
      <c r="Y851" s="6"/>
      <c r="Z851" s="6"/>
    </row>
    <row r="852" customFormat="false" ht="15" hidden="false" customHeight="false" outlineLevel="0" collapsed="false">
      <c r="A852" s="9" t="s">
        <v>1073</v>
      </c>
      <c r="B852" s="9" t="s">
        <v>1024</v>
      </c>
      <c r="C852" s="9" t="s">
        <v>1025</v>
      </c>
      <c r="D852" s="9" t="s">
        <v>619</v>
      </c>
      <c r="E852" s="9" t="s">
        <v>275</v>
      </c>
      <c r="F852" s="9" t="s">
        <v>211</v>
      </c>
      <c r="G852" s="9" t="s">
        <v>221</v>
      </c>
      <c r="H852" s="9" t="n">
        <v>910</v>
      </c>
      <c r="I852" s="29" t="n">
        <v>1.2</v>
      </c>
      <c r="J852" s="9" t="n">
        <v>1</v>
      </c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21" t="str">
        <f aca="false">IF(COUNT(K852:T852)=0,"SOURCE EMPTY / INDUSTRIAL ONLY",IF(MIN(K852:T852)=1,"SERVICE READY","HOLD"))</f>
        <v>SOURCE EMPTY / INDUSTRIAL ONLY</v>
      </c>
      <c r="V852" s="9" t="n">
        <f aca="false">IF(U852="SERVICE READY",1,0)</f>
        <v>0</v>
      </c>
      <c r="W852" s="6"/>
      <c r="X852" s="6"/>
      <c r="Y852" s="6"/>
      <c r="Z852" s="6"/>
    </row>
    <row r="853" customFormat="false" ht="15" hidden="false" customHeight="false" outlineLevel="0" collapsed="false">
      <c r="A853" s="9" t="s">
        <v>1074</v>
      </c>
      <c r="B853" s="9" t="s">
        <v>1024</v>
      </c>
      <c r="C853" s="9" t="s">
        <v>1025</v>
      </c>
      <c r="D853" s="9" t="s">
        <v>619</v>
      </c>
      <c r="E853" s="9" t="s">
        <v>275</v>
      </c>
      <c r="F853" s="9" t="s">
        <v>197</v>
      </c>
      <c r="G853" s="9" t="s">
        <v>221</v>
      </c>
      <c r="H853" s="9" t="n">
        <v>910</v>
      </c>
      <c r="I853" s="29" t="n">
        <v>1.2</v>
      </c>
      <c r="J853" s="9" t="n">
        <v>1</v>
      </c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21" t="str">
        <f aca="false">IF(COUNT(K853:T853)=0,"SOURCE EMPTY / INDUSTRIAL ONLY",IF(MIN(K853:T853)=1,"SERVICE READY","HOLD"))</f>
        <v>SOURCE EMPTY / INDUSTRIAL ONLY</v>
      </c>
      <c r="V853" s="9" t="n">
        <f aca="false">IF(U853="SERVICE READY",1,0)</f>
        <v>0</v>
      </c>
      <c r="W853" s="6"/>
      <c r="X853" s="6"/>
      <c r="Y853" s="6"/>
      <c r="Z853" s="6"/>
    </row>
    <row r="854" customFormat="false" ht="15" hidden="false" customHeight="false" outlineLevel="0" collapsed="false">
      <c r="A854" s="9" t="s">
        <v>1075</v>
      </c>
      <c r="B854" s="9" t="s">
        <v>1024</v>
      </c>
      <c r="C854" s="9" t="s">
        <v>1025</v>
      </c>
      <c r="D854" s="9" t="s">
        <v>619</v>
      </c>
      <c r="E854" s="9" t="s">
        <v>275</v>
      </c>
      <c r="F854" s="9" t="s">
        <v>200</v>
      </c>
      <c r="G854" s="9" t="s">
        <v>221</v>
      </c>
      <c r="H854" s="9" t="n">
        <v>910</v>
      </c>
      <c r="I854" s="29" t="n">
        <v>1.2</v>
      </c>
      <c r="J854" s="9" t="n">
        <v>1</v>
      </c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21" t="str">
        <f aca="false">IF(COUNT(K854:T854)=0,"SOURCE EMPTY / INDUSTRIAL ONLY",IF(MIN(K854:T854)=1,"SERVICE READY","HOLD"))</f>
        <v>SOURCE EMPTY / INDUSTRIAL ONLY</v>
      </c>
      <c r="V854" s="9" t="n">
        <f aca="false">IF(U854="SERVICE READY",1,0)</f>
        <v>0</v>
      </c>
      <c r="W854" s="6"/>
      <c r="X854" s="6"/>
      <c r="Y854" s="6"/>
      <c r="Z854" s="6"/>
    </row>
    <row r="855" customFormat="false" ht="15" hidden="false" customHeight="false" outlineLevel="0" collapsed="false">
      <c r="A855" s="9" t="s">
        <v>1076</v>
      </c>
      <c r="B855" s="9" t="s">
        <v>1024</v>
      </c>
      <c r="C855" s="9" t="s">
        <v>1025</v>
      </c>
      <c r="D855" s="9" t="s">
        <v>619</v>
      </c>
      <c r="E855" s="9" t="s">
        <v>275</v>
      </c>
      <c r="F855" s="9" t="s">
        <v>203</v>
      </c>
      <c r="G855" s="9" t="s">
        <v>221</v>
      </c>
      <c r="H855" s="9" t="n">
        <v>910</v>
      </c>
      <c r="I855" s="29" t="n">
        <v>1.2</v>
      </c>
      <c r="J855" s="9" t="n">
        <v>1</v>
      </c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21" t="str">
        <f aca="false">IF(COUNT(K855:T855)=0,"SOURCE EMPTY / INDUSTRIAL ONLY",IF(MIN(K855:T855)=1,"SERVICE READY","HOLD"))</f>
        <v>SOURCE EMPTY / INDUSTRIAL ONLY</v>
      </c>
      <c r="V855" s="9" t="n">
        <f aca="false">IF(U855="SERVICE READY",1,0)</f>
        <v>0</v>
      </c>
      <c r="W855" s="6"/>
      <c r="X855" s="6"/>
      <c r="Y855" s="6"/>
      <c r="Z855" s="6"/>
    </row>
    <row r="856" customFormat="false" ht="15" hidden="false" customHeight="false" outlineLevel="0" collapsed="false">
      <c r="A856" s="9" t="s">
        <v>1077</v>
      </c>
      <c r="B856" s="9" t="s">
        <v>1024</v>
      </c>
      <c r="C856" s="9" t="s">
        <v>1025</v>
      </c>
      <c r="D856" s="9" t="s">
        <v>619</v>
      </c>
      <c r="E856" s="9" t="s">
        <v>275</v>
      </c>
      <c r="F856" s="9" t="s">
        <v>205</v>
      </c>
      <c r="G856" s="9" t="s">
        <v>221</v>
      </c>
      <c r="H856" s="9" t="n">
        <v>910</v>
      </c>
      <c r="I856" s="29" t="n">
        <v>1.2</v>
      </c>
      <c r="J856" s="9" t="n">
        <v>1</v>
      </c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21" t="str">
        <f aca="false">IF(COUNT(K856:T856)=0,"SOURCE EMPTY / INDUSTRIAL ONLY",IF(MIN(K856:T856)=1,"SERVICE READY","HOLD"))</f>
        <v>SOURCE EMPTY / INDUSTRIAL ONLY</v>
      </c>
      <c r="V856" s="9" t="n">
        <f aca="false">IF(U856="SERVICE READY",1,0)</f>
        <v>0</v>
      </c>
      <c r="W856" s="6"/>
      <c r="X856" s="6"/>
      <c r="Y856" s="6"/>
      <c r="Z856" s="6"/>
    </row>
    <row r="857" customFormat="false" ht="15" hidden="false" customHeight="false" outlineLevel="0" collapsed="false">
      <c r="A857" s="9" t="s">
        <v>1078</v>
      </c>
      <c r="B857" s="9" t="s">
        <v>1024</v>
      </c>
      <c r="C857" s="9" t="s">
        <v>1025</v>
      </c>
      <c r="D857" s="9" t="s">
        <v>619</v>
      </c>
      <c r="E857" s="9" t="s">
        <v>275</v>
      </c>
      <c r="F857" s="9" t="s">
        <v>207</v>
      </c>
      <c r="G857" s="9" t="s">
        <v>221</v>
      </c>
      <c r="H857" s="9" t="n">
        <v>910</v>
      </c>
      <c r="I857" s="29" t="n">
        <v>1.2</v>
      </c>
      <c r="J857" s="9" t="n">
        <v>1</v>
      </c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21" t="str">
        <f aca="false">IF(COUNT(K857:T857)=0,"SOURCE EMPTY / INDUSTRIAL ONLY",IF(MIN(K857:T857)=1,"SERVICE READY","HOLD"))</f>
        <v>SOURCE EMPTY / INDUSTRIAL ONLY</v>
      </c>
      <c r="V857" s="9" t="n">
        <f aca="false">IF(U857="SERVICE READY",1,0)</f>
        <v>0</v>
      </c>
      <c r="W857" s="6"/>
      <c r="X857" s="6"/>
      <c r="Y857" s="6"/>
      <c r="Z857" s="6"/>
    </row>
    <row r="858" customFormat="false" ht="15" hidden="false" customHeight="false" outlineLevel="0" collapsed="false">
      <c r="A858" s="9" t="s">
        <v>1079</v>
      </c>
      <c r="B858" s="9" t="s">
        <v>1024</v>
      </c>
      <c r="C858" s="9" t="s">
        <v>1025</v>
      </c>
      <c r="D858" s="9" t="s">
        <v>619</v>
      </c>
      <c r="E858" s="9" t="s">
        <v>275</v>
      </c>
      <c r="F858" s="9" t="s">
        <v>209</v>
      </c>
      <c r="G858" s="9" t="s">
        <v>221</v>
      </c>
      <c r="H858" s="9" t="n">
        <v>910</v>
      </c>
      <c r="I858" s="29" t="n">
        <v>1.2</v>
      </c>
      <c r="J858" s="9" t="n">
        <v>1</v>
      </c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21" t="str">
        <f aca="false">IF(COUNT(K858:T858)=0,"SOURCE EMPTY / INDUSTRIAL ONLY",IF(MIN(K858:T858)=1,"SERVICE READY","HOLD"))</f>
        <v>SOURCE EMPTY / INDUSTRIAL ONLY</v>
      </c>
      <c r="V858" s="9" t="n">
        <f aca="false">IF(U858="SERVICE READY",1,0)</f>
        <v>0</v>
      </c>
      <c r="W858" s="6"/>
      <c r="X858" s="6"/>
      <c r="Y858" s="6"/>
      <c r="Z858" s="6"/>
    </row>
    <row r="859" customFormat="false" ht="15" hidden="false" customHeight="false" outlineLevel="0" collapsed="false">
      <c r="A859" s="9" t="s">
        <v>1080</v>
      </c>
      <c r="B859" s="9" t="s">
        <v>1024</v>
      </c>
      <c r="C859" s="9" t="s">
        <v>1025</v>
      </c>
      <c r="D859" s="9" t="s">
        <v>619</v>
      </c>
      <c r="E859" s="9" t="s">
        <v>275</v>
      </c>
      <c r="F859" s="9" t="s">
        <v>211</v>
      </c>
      <c r="G859" s="9" t="s">
        <v>221</v>
      </c>
      <c r="H859" s="9" t="n">
        <v>910</v>
      </c>
      <c r="I859" s="29" t="n">
        <v>1.2</v>
      </c>
      <c r="J859" s="9" t="n">
        <v>1</v>
      </c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21" t="str">
        <f aca="false">IF(COUNT(K859:T859)=0,"SOURCE EMPTY / INDUSTRIAL ONLY",IF(MIN(K859:T859)=1,"SERVICE READY","HOLD"))</f>
        <v>SOURCE EMPTY / INDUSTRIAL ONLY</v>
      </c>
      <c r="V859" s="9" t="n">
        <f aca="false">IF(U859="SERVICE READY",1,0)</f>
        <v>0</v>
      </c>
      <c r="W859" s="6"/>
      <c r="X859" s="6"/>
      <c r="Y859" s="6"/>
      <c r="Z859" s="6"/>
    </row>
    <row r="860" customFormat="false" ht="15" hidden="false" customHeight="false" outlineLevel="0" collapsed="false">
      <c r="A860" s="9" t="s">
        <v>1081</v>
      </c>
      <c r="B860" s="9" t="s">
        <v>1024</v>
      </c>
      <c r="C860" s="9" t="s">
        <v>1025</v>
      </c>
      <c r="D860" s="9" t="s">
        <v>619</v>
      </c>
      <c r="E860" s="9" t="s">
        <v>275</v>
      </c>
      <c r="F860" s="9" t="s">
        <v>197</v>
      </c>
      <c r="G860" s="9" t="s">
        <v>221</v>
      </c>
      <c r="H860" s="9" t="n">
        <v>910</v>
      </c>
      <c r="I860" s="29" t="n">
        <v>1.2</v>
      </c>
      <c r="J860" s="9" t="n">
        <v>1</v>
      </c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21" t="str">
        <f aca="false">IF(COUNT(K860:T860)=0,"SOURCE EMPTY / INDUSTRIAL ONLY",IF(MIN(K860:T860)=1,"SERVICE READY","HOLD"))</f>
        <v>SOURCE EMPTY / INDUSTRIAL ONLY</v>
      </c>
      <c r="V860" s="9" t="n">
        <f aca="false">IF(U860="SERVICE READY",1,0)</f>
        <v>0</v>
      </c>
      <c r="W860" s="6"/>
      <c r="X860" s="6"/>
      <c r="Y860" s="6"/>
      <c r="Z860" s="6"/>
    </row>
    <row r="861" customFormat="false" ht="15" hidden="false" customHeight="false" outlineLevel="0" collapsed="false">
      <c r="A861" s="9" t="s">
        <v>1082</v>
      </c>
      <c r="B861" s="9" t="s">
        <v>1024</v>
      </c>
      <c r="C861" s="9" t="s">
        <v>1025</v>
      </c>
      <c r="D861" s="9" t="s">
        <v>619</v>
      </c>
      <c r="E861" s="9" t="s">
        <v>275</v>
      </c>
      <c r="F861" s="9" t="s">
        <v>200</v>
      </c>
      <c r="G861" s="9" t="s">
        <v>221</v>
      </c>
      <c r="H861" s="9" t="n">
        <v>910</v>
      </c>
      <c r="I861" s="29" t="n">
        <v>1.2</v>
      </c>
      <c r="J861" s="9" t="n">
        <v>1</v>
      </c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21" t="str">
        <f aca="false">IF(COUNT(K861:T861)=0,"SOURCE EMPTY / INDUSTRIAL ONLY",IF(MIN(K861:T861)=1,"SERVICE READY","HOLD"))</f>
        <v>SOURCE EMPTY / INDUSTRIAL ONLY</v>
      </c>
      <c r="V861" s="9" t="n">
        <f aca="false">IF(U861="SERVICE READY",1,0)</f>
        <v>0</v>
      </c>
      <c r="W861" s="6"/>
      <c r="X861" s="6"/>
      <c r="Y861" s="6"/>
      <c r="Z861" s="6"/>
    </row>
    <row r="862" customFormat="false" ht="15" hidden="false" customHeight="false" outlineLevel="0" collapsed="false">
      <c r="A862" s="9" t="s">
        <v>1083</v>
      </c>
      <c r="B862" s="9" t="s">
        <v>1024</v>
      </c>
      <c r="C862" s="9" t="s">
        <v>1025</v>
      </c>
      <c r="D862" s="9" t="s">
        <v>619</v>
      </c>
      <c r="E862" s="9" t="s">
        <v>275</v>
      </c>
      <c r="F862" s="9" t="s">
        <v>203</v>
      </c>
      <c r="G862" s="9" t="s">
        <v>221</v>
      </c>
      <c r="H862" s="9" t="n">
        <v>910</v>
      </c>
      <c r="I862" s="29" t="n">
        <v>1.2</v>
      </c>
      <c r="J862" s="9" t="n">
        <v>1</v>
      </c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21" t="str">
        <f aca="false">IF(COUNT(K862:T862)=0,"SOURCE EMPTY / INDUSTRIAL ONLY",IF(MIN(K862:T862)=1,"SERVICE READY","HOLD"))</f>
        <v>SOURCE EMPTY / INDUSTRIAL ONLY</v>
      </c>
      <c r="V862" s="9" t="n">
        <f aca="false">IF(U862="SERVICE READY",1,0)</f>
        <v>0</v>
      </c>
      <c r="W862" s="6"/>
      <c r="X862" s="6"/>
      <c r="Y862" s="6"/>
      <c r="Z862" s="6"/>
    </row>
    <row r="863" customFormat="false" ht="15" hidden="false" customHeight="false" outlineLevel="0" collapsed="false">
      <c r="A863" s="9" t="s">
        <v>1084</v>
      </c>
      <c r="B863" s="9" t="s">
        <v>1024</v>
      </c>
      <c r="C863" s="9" t="s">
        <v>1025</v>
      </c>
      <c r="D863" s="9" t="s">
        <v>619</v>
      </c>
      <c r="E863" s="9" t="s">
        <v>275</v>
      </c>
      <c r="F863" s="9" t="s">
        <v>205</v>
      </c>
      <c r="G863" s="9" t="s">
        <v>221</v>
      </c>
      <c r="H863" s="9" t="n">
        <v>910</v>
      </c>
      <c r="I863" s="29" t="n">
        <v>1.2</v>
      </c>
      <c r="J863" s="9" t="n">
        <v>1</v>
      </c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21" t="str">
        <f aca="false">IF(COUNT(K863:T863)=0,"SOURCE EMPTY / INDUSTRIAL ONLY",IF(MIN(K863:T863)=1,"SERVICE READY","HOLD"))</f>
        <v>SOURCE EMPTY / INDUSTRIAL ONLY</v>
      </c>
      <c r="V863" s="9" t="n">
        <f aca="false">IF(U863="SERVICE READY",1,0)</f>
        <v>0</v>
      </c>
      <c r="W863" s="6"/>
      <c r="X863" s="6"/>
      <c r="Y863" s="6"/>
      <c r="Z863" s="6"/>
    </row>
    <row r="864" customFormat="false" ht="15" hidden="false" customHeight="false" outlineLevel="0" collapsed="false">
      <c r="A864" s="9" t="s">
        <v>1085</v>
      </c>
      <c r="B864" s="9" t="s">
        <v>1024</v>
      </c>
      <c r="C864" s="9" t="s">
        <v>1025</v>
      </c>
      <c r="D864" s="9" t="s">
        <v>619</v>
      </c>
      <c r="E864" s="9" t="s">
        <v>275</v>
      </c>
      <c r="F864" s="9" t="s">
        <v>207</v>
      </c>
      <c r="G864" s="9" t="s">
        <v>221</v>
      </c>
      <c r="H864" s="9" t="n">
        <v>910</v>
      </c>
      <c r="I864" s="29" t="n">
        <v>1.2</v>
      </c>
      <c r="J864" s="9" t="n">
        <v>1</v>
      </c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21" t="str">
        <f aca="false">IF(COUNT(K864:T864)=0,"SOURCE EMPTY / INDUSTRIAL ONLY",IF(MIN(K864:T864)=1,"SERVICE READY","HOLD"))</f>
        <v>SOURCE EMPTY / INDUSTRIAL ONLY</v>
      </c>
      <c r="V864" s="9" t="n">
        <f aca="false">IF(U864="SERVICE READY",1,0)</f>
        <v>0</v>
      </c>
      <c r="W864" s="6"/>
      <c r="X864" s="6"/>
      <c r="Y864" s="6"/>
      <c r="Z864" s="6"/>
    </row>
    <row r="865" customFormat="false" ht="15" hidden="false" customHeight="false" outlineLevel="0" collapsed="false">
      <c r="A865" s="9" t="s">
        <v>1086</v>
      </c>
      <c r="B865" s="9" t="s">
        <v>1024</v>
      </c>
      <c r="C865" s="9" t="s">
        <v>1025</v>
      </c>
      <c r="D865" s="9" t="s">
        <v>619</v>
      </c>
      <c r="E865" s="9" t="s">
        <v>275</v>
      </c>
      <c r="F865" s="9" t="s">
        <v>209</v>
      </c>
      <c r="G865" s="9" t="s">
        <v>221</v>
      </c>
      <c r="H865" s="9" t="n">
        <v>910</v>
      </c>
      <c r="I865" s="29" t="n">
        <v>1.2</v>
      </c>
      <c r="J865" s="9" t="n">
        <v>1</v>
      </c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21" t="str">
        <f aca="false">IF(COUNT(K865:T865)=0,"SOURCE EMPTY / INDUSTRIAL ONLY",IF(MIN(K865:T865)=1,"SERVICE READY","HOLD"))</f>
        <v>SOURCE EMPTY / INDUSTRIAL ONLY</v>
      </c>
      <c r="V865" s="9" t="n">
        <f aca="false">IF(U865="SERVICE READY",1,0)</f>
        <v>0</v>
      </c>
      <c r="W865" s="6"/>
      <c r="X865" s="6"/>
      <c r="Y865" s="6"/>
      <c r="Z865" s="6"/>
    </row>
    <row r="866" customFormat="false" ht="15" hidden="false" customHeight="false" outlineLevel="0" collapsed="false">
      <c r="A866" s="9" t="s">
        <v>1087</v>
      </c>
      <c r="B866" s="9" t="s">
        <v>1024</v>
      </c>
      <c r="C866" s="9" t="s">
        <v>1025</v>
      </c>
      <c r="D866" s="9" t="s">
        <v>619</v>
      </c>
      <c r="E866" s="9" t="s">
        <v>275</v>
      </c>
      <c r="F866" s="9" t="s">
        <v>211</v>
      </c>
      <c r="G866" s="9" t="s">
        <v>221</v>
      </c>
      <c r="H866" s="9" t="n">
        <v>910</v>
      </c>
      <c r="I866" s="29" t="n">
        <v>1.2</v>
      </c>
      <c r="J866" s="9" t="n">
        <v>1</v>
      </c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21" t="str">
        <f aca="false">IF(COUNT(K866:T866)=0,"SOURCE EMPTY / INDUSTRIAL ONLY",IF(MIN(K866:T866)=1,"SERVICE READY","HOLD"))</f>
        <v>SOURCE EMPTY / INDUSTRIAL ONLY</v>
      </c>
      <c r="V866" s="9" t="n">
        <f aca="false">IF(U866="SERVICE READY",1,0)</f>
        <v>0</v>
      </c>
      <c r="W866" s="6"/>
      <c r="X866" s="6"/>
      <c r="Y866" s="6"/>
      <c r="Z866" s="6"/>
    </row>
    <row r="867" customFormat="false" ht="15" hidden="false" customHeight="false" outlineLevel="0" collapsed="false">
      <c r="A867" s="9" t="s">
        <v>1088</v>
      </c>
      <c r="B867" s="9" t="s">
        <v>1024</v>
      </c>
      <c r="C867" s="9" t="s">
        <v>1025</v>
      </c>
      <c r="D867" s="9" t="s">
        <v>619</v>
      </c>
      <c r="E867" s="9" t="s">
        <v>275</v>
      </c>
      <c r="F867" s="9" t="s">
        <v>197</v>
      </c>
      <c r="G867" s="9" t="s">
        <v>221</v>
      </c>
      <c r="H867" s="9" t="n">
        <v>910</v>
      </c>
      <c r="I867" s="29" t="n">
        <v>1.2</v>
      </c>
      <c r="J867" s="9" t="n">
        <v>1</v>
      </c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21" t="str">
        <f aca="false">IF(COUNT(K867:T867)=0,"SOURCE EMPTY / INDUSTRIAL ONLY",IF(MIN(K867:T867)=1,"SERVICE READY","HOLD"))</f>
        <v>SOURCE EMPTY / INDUSTRIAL ONLY</v>
      </c>
      <c r="V867" s="9" t="n">
        <f aca="false">IF(U867="SERVICE READY",1,0)</f>
        <v>0</v>
      </c>
      <c r="W867" s="6"/>
      <c r="X867" s="6"/>
      <c r="Y867" s="6"/>
      <c r="Z867" s="6"/>
    </row>
    <row r="868" customFormat="false" ht="15" hidden="false" customHeight="false" outlineLevel="0" collapsed="false">
      <c r="A868" s="9" t="s">
        <v>1089</v>
      </c>
      <c r="B868" s="9" t="s">
        <v>1024</v>
      </c>
      <c r="C868" s="9" t="s">
        <v>1025</v>
      </c>
      <c r="D868" s="9" t="s">
        <v>619</v>
      </c>
      <c r="E868" s="9" t="s">
        <v>275</v>
      </c>
      <c r="F868" s="9" t="s">
        <v>200</v>
      </c>
      <c r="G868" s="9" t="s">
        <v>221</v>
      </c>
      <c r="H868" s="9" t="n">
        <v>910</v>
      </c>
      <c r="I868" s="29" t="n">
        <v>1.2</v>
      </c>
      <c r="J868" s="9" t="n">
        <v>1</v>
      </c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21" t="str">
        <f aca="false">IF(COUNT(K868:T868)=0,"SOURCE EMPTY / INDUSTRIAL ONLY",IF(MIN(K868:T868)=1,"SERVICE READY","HOLD"))</f>
        <v>SOURCE EMPTY / INDUSTRIAL ONLY</v>
      </c>
      <c r="V868" s="9" t="n">
        <f aca="false">IF(U868="SERVICE READY",1,0)</f>
        <v>0</v>
      </c>
      <c r="W868" s="6"/>
      <c r="X868" s="6"/>
      <c r="Y868" s="6"/>
      <c r="Z868" s="6"/>
    </row>
    <row r="869" customFormat="false" ht="15" hidden="false" customHeight="false" outlineLevel="0" collapsed="false">
      <c r="A869" s="9" t="s">
        <v>1090</v>
      </c>
      <c r="B869" s="9" t="s">
        <v>1024</v>
      </c>
      <c r="C869" s="9" t="s">
        <v>1025</v>
      </c>
      <c r="D869" s="9" t="s">
        <v>619</v>
      </c>
      <c r="E869" s="9" t="s">
        <v>275</v>
      </c>
      <c r="F869" s="9" t="s">
        <v>203</v>
      </c>
      <c r="G869" s="9" t="s">
        <v>221</v>
      </c>
      <c r="H869" s="9" t="n">
        <v>910</v>
      </c>
      <c r="I869" s="29" t="n">
        <v>1.2</v>
      </c>
      <c r="J869" s="9" t="n">
        <v>1</v>
      </c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21" t="str">
        <f aca="false">IF(COUNT(K869:T869)=0,"SOURCE EMPTY / INDUSTRIAL ONLY",IF(MIN(K869:T869)=1,"SERVICE READY","HOLD"))</f>
        <v>SOURCE EMPTY / INDUSTRIAL ONLY</v>
      </c>
      <c r="V869" s="9" t="n">
        <f aca="false">IF(U869="SERVICE READY",1,0)</f>
        <v>0</v>
      </c>
      <c r="W869" s="6"/>
      <c r="X869" s="6"/>
      <c r="Y869" s="6"/>
      <c r="Z869" s="6"/>
    </row>
    <row r="870" customFormat="false" ht="15" hidden="false" customHeight="false" outlineLevel="0" collapsed="false">
      <c r="A870" s="9" t="s">
        <v>1091</v>
      </c>
      <c r="B870" s="9" t="s">
        <v>1024</v>
      </c>
      <c r="C870" s="9" t="s">
        <v>1025</v>
      </c>
      <c r="D870" s="9" t="s">
        <v>619</v>
      </c>
      <c r="E870" s="9" t="s">
        <v>275</v>
      </c>
      <c r="F870" s="9" t="s">
        <v>205</v>
      </c>
      <c r="G870" s="9" t="s">
        <v>221</v>
      </c>
      <c r="H870" s="9" t="n">
        <v>910</v>
      </c>
      <c r="I870" s="29" t="n">
        <v>1.2</v>
      </c>
      <c r="J870" s="9" t="n">
        <v>1</v>
      </c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21" t="str">
        <f aca="false">IF(COUNT(K870:T870)=0,"SOURCE EMPTY / INDUSTRIAL ONLY",IF(MIN(K870:T870)=1,"SERVICE READY","HOLD"))</f>
        <v>SOURCE EMPTY / INDUSTRIAL ONLY</v>
      </c>
      <c r="V870" s="9" t="n">
        <f aca="false">IF(U870="SERVICE READY",1,0)</f>
        <v>0</v>
      </c>
      <c r="W870" s="6"/>
      <c r="X870" s="6"/>
      <c r="Y870" s="6"/>
      <c r="Z870" s="6"/>
    </row>
    <row r="871" customFormat="false" ht="15" hidden="false" customHeight="false" outlineLevel="0" collapsed="false">
      <c r="A871" s="9" t="s">
        <v>1092</v>
      </c>
      <c r="B871" s="9" t="s">
        <v>1024</v>
      </c>
      <c r="C871" s="9" t="s">
        <v>1025</v>
      </c>
      <c r="D871" s="9" t="s">
        <v>619</v>
      </c>
      <c r="E871" s="9" t="s">
        <v>275</v>
      </c>
      <c r="F871" s="9" t="s">
        <v>207</v>
      </c>
      <c r="G871" s="9" t="s">
        <v>221</v>
      </c>
      <c r="H871" s="9" t="n">
        <v>910</v>
      </c>
      <c r="I871" s="29" t="n">
        <v>1.2</v>
      </c>
      <c r="J871" s="9" t="n">
        <v>1</v>
      </c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21" t="str">
        <f aca="false">IF(COUNT(K871:T871)=0,"SOURCE EMPTY / INDUSTRIAL ONLY",IF(MIN(K871:T871)=1,"SERVICE READY","HOLD"))</f>
        <v>SOURCE EMPTY / INDUSTRIAL ONLY</v>
      </c>
      <c r="V871" s="9" t="n">
        <f aca="false">IF(U871="SERVICE READY",1,0)</f>
        <v>0</v>
      </c>
      <c r="W871" s="6"/>
      <c r="X871" s="6"/>
      <c r="Y871" s="6"/>
      <c r="Z871" s="6"/>
    </row>
    <row r="872" customFormat="false" ht="15" hidden="false" customHeight="false" outlineLevel="0" collapsed="false">
      <c r="A872" s="9" t="s">
        <v>1093</v>
      </c>
      <c r="B872" s="9" t="s">
        <v>1024</v>
      </c>
      <c r="C872" s="9" t="s">
        <v>1025</v>
      </c>
      <c r="D872" s="9" t="s">
        <v>619</v>
      </c>
      <c r="E872" s="9" t="s">
        <v>275</v>
      </c>
      <c r="F872" s="9" t="s">
        <v>209</v>
      </c>
      <c r="G872" s="9" t="s">
        <v>221</v>
      </c>
      <c r="H872" s="9" t="n">
        <v>910</v>
      </c>
      <c r="I872" s="29" t="n">
        <v>1.2</v>
      </c>
      <c r="J872" s="9" t="n">
        <v>1</v>
      </c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21" t="str">
        <f aca="false">IF(COUNT(K872:T872)=0,"SOURCE EMPTY / INDUSTRIAL ONLY",IF(MIN(K872:T872)=1,"SERVICE READY","HOLD"))</f>
        <v>SOURCE EMPTY / INDUSTRIAL ONLY</v>
      </c>
      <c r="V872" s="9" t="n">
        <f aca="false">IF(U872="SERVICE READY",1,0)</f>
        <v>0</v>
      </c>
      <c r="W872" s="6"/>
      <c r="X872" s="6"/>
      <c r="Y872" s="6"/>
      <c r="Z872" s="6"/>
    </row>
    <row r="873" customFormat="false" ht="15" hidden="false" customHeight="false" outlineLevel="0" collapsed="false">
      <c r="A873" s="9" t="s">
        <v>1094</v>
      </c>
      <c r="B873" s="9" t="s">
        <v>1024</v>
      </c>
      <c r="C873" s="9" t="s">
        <v>1025</v>
      </c>
      <c r="D873" s="9" t="s">
        <v>619</v>
      </c>
      <c r="E873" s="9" t="s">
        <v>275</v>
      </c>
      <c r="F873" s="9" t="s">
        <v>211</v>
      </c>
      <c r="G873" s="9" t="s">
        <v>221</v>
      </c>
      <c r="H873" s="9" t="n">
        <v>910</v>
      </c>
      <c r="I873" s="29" t="n">
        <v>1.2</v>
      </c>
      <c r="J873" s="9" t="n">
        <v>1</v>
      </c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21" t="str">
        <f aca="false">IF(COUNT(K873:T873)=0,"SOURCE EMPTY / INDUSTRIAL ONLY",IF(MIN(K873:T873)=1,"SERVICE READY","HOLD"))</f>
        <v>SOURCE EMPTY / INDUSTRIAL ONLY</v>
      </c>
      <c r="V873" s="9" t="n">
        <f aca="false">IF(U873="SERVICE READY",1,0)</f>
        <v>0</v>
      </c>
      <c r="W873" s="6"/>
      <c r="X873" s="6"/>
      <c r="Y873" s="6"/>
      <c r="Z873" s="6"/>
    </row>
    <row r="874" customFormat="false" ht="15" hidden="false" customHeight="false" outlineLevel="0" collapsed="false">
      <c r="A874" s="9" t="s">
        <v>1095</v>
      </c>
      <c r="B874" s="9" t="s">
        <v>1024</v>
      </c>
      <c r="C874" s="9" t="s">
        <v>1025</v>
      </c>
      <c r="D874" s="9" t="s">
        <v>619</v>
      </c>
      <c r="E874" s="9" t="s">
        <v>275</v>
      </c>
      <c r="F874" s="9" t="s">
        <v>197</v>
      </c>
      <c r="G874" s="9" t="s">
        <v>221</v>
      </c>
      <c r="H874" s="9" t="n">
        <v>910</v>
      </c>
      <c r="I874" s="29" t="n">
        <v>1.2</v>
      </c>
      <c r="J874" s="9" t="n">
        <v>1</v>
      </c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21" t="str">
        <f aca="false">IF(COUNT(K874:T874)=0,"SOURCE EMPTY / INDUSTRIAL ONLY",IF(MIN(K874:T874)=1,"SERVICE READY","HOLD"))</f>
        <v>SOURCE EMPTY / INDUSTRIAL ONLY</v>
      </c>
      <c r="V874" s="9" t="n">
        <f aca="false">IF(U874="SERVICE READY",1,0)</f>
        <v>0</v>
      </c>
      <c r="W874" s="6"/>
      <c r="X874" s="6"/>
      <c r="Y874" s="6"/>
      <c r="Z874" s="6"/>
    </row>
    <row r="875" customFormat="false" ht="15" hidden="false" customHeight="false" outlineLevel="0" collapsed="false">
      <c r="A875" s="9" t="s">
        <v>1096</v>
      </c>
      <c r="B875" s="9" t="s">
        <v>1024</v>
      </c>
      <c r="C875" s="9" t="s">
        <v>1025</v>
      </c>
      <c r="D875" s="9" t="s">
        <v>619</v>
      </c>
      <c r="E875" s="9" t="s">
        <v>275</v>
      </c>
      <c r="F875" s="9" t="s">
        <v>200</v>
      </c>
      <c r="G875" s="9" t="s">
        <v>221</v>
      </c>
      <c r="H875" s="9" t="n">
        <v>910</v>
      </c>
      <c r="I875" s="29" t="n">
        <v>1.2</v>
      </c>
      <c r="J875" s="9" t="n">
        <v>1</v>
      </c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21" t="str">
        <f aca="false">IF(COUNT(K875:T875)=0,"SOURCE EMPTY / INDUSTRIAL ONLY",IF(MIN(K875:T875)=1,"SERVICE READY","HOLD"))</f>
        <v>SOURCE EMPTY / INDUSTRIAL ONLY</v>
      </c>
      <c r="V875" s="9" t="n">
        <f aca="false">IF(U875="SERVICE READY",1,0)</f>
        <v>0</v>
      </c>
      <c r="W875" s="6"/>
      <c r="X875" s="6"/>
      <c r="Y875" s="6"/>
      <c r="Z875" s="6"/>
    </row>
    <row r="876" customFormat="false" ht="15" hidden="false" customHeight="false" outlineLevel="0" collapsed="false">
      <c r="A876" s="9" t="s">
        <v>1097</v>
      </c>
      <c r="B876" s="9" t="s">
        <v>1024</v>
      </c>
      <c r="C876" s="9" t="s">
        <v>1025</v>
      </c>
      <c r="D876" s="9" t="s">
        <v>619</v>
      </c>
      <c r="E876" s="9" t="s">
        <v>275</v>
      </c>
      <c r="F876" s="9" t="s">
        <v>203</v>
      </c>
      <c r="G876" s="9" t="s">
        <v>221</v>
      </c>
      <c r="H876" s="9" t="n">
        <v>910</v>
      </c>
      <c r="I876" s="29" t="n">
        <v>1.2</v>
      </c>
      <c r="J876" s="9" t="n">
        <v>1</v>
      </c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21" t="str">
        <f aca="false">IF(COUNT(K876:T876)=0,"SOURCE EMPTY / INDUSTRIAL ONLY",IF(MIN(K876:T876)=1,"SERVICE READY","HOLD"))</f>
        <v>SOURCE EMPTY / INDUSTRIAL ONLY</v>
      </c>
      <c r="V876" s="9" t="n">
        <f aca="false">IF(U876="SERVICE READY",1,0)</f>
        <v>0</v>
      </c>
      <c r="W876" s="6"/>
      <c r="X876" s="6"/>
      <c r="Y876" s="6"/>
      <c r="Z876" s="6"/>
    </row>
    <row r="877" customFormat="false" ht="15" hidden="false" customHeight="false" outlineLevel="0" collapsed="false">
      <c r="A877" s="9" t="s">
        <v>1098</v>
      </c>
      <c r="B877" s="9" t="s">
        <v>1024</v>
      </c>
      <c r="C877" s="9" t="s">
        <v>1025</v>
      </c>
      <c r="D877" s="9" t="s">
        <v>619</v>
      </c>
      <c r="E877" s="9" t="s">
        <v>275</v>
      </c>
      <c r="F877" s="9" t="s">
        <v>205</v>
      </c>
      <c r="G877" s="9" t="s">
        <v>221</v>
      </c>
      <c r="H877" s="9" t="n">
        <v>910</v>
      </c>
      <c r="I877" s="29" t="n">
        <v>1.2</v>
      </c>
      <c r="J877" s="9" t="n">
        <v>1</v>
      </c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21" t="str">
        <f aca="false">IF(COUNT(K877:T877)=0,"SOURCE EMPTY / INDUSTRIAL ONLY",IF(MIN(K877:T877)=1,"SERVICE READY","HOLD"))</f>
        <v>SOURCE EMPTY / INDUSTRIAL ONLY</v>
      </c>
      <c r="V877" s="9" t="n">
        <f aca="false">IF(U877="SERVICE READY",1,0)</f>
        <v>0</v>
      </c>
      <c r="W877" s="6"/>
      <c r="X877" s="6"/>
      <c r="Y877" s="6"/>
      <c r="Z877" s="6"/>
    </row>
    <row r="878" customFormat="false" ht="15" hidden="false" customHeight="false" outlineLevel="0" collapsed="false">
      <c r="A878" s="9" t="s">
        <v>1099</v>
      </c>
      <c r="B878" s="9" t="s">
        <v>1024</v>
      </c>
      <c r="C878" s="9" t="s">
        <v>1025</v>
      </c>
      <c r="D878" s="9" t="s">
        <v>619</v>
      </c>
      <c r="E878" s="9" t="s">
        <v>275</v>
      </c>
      <c r="F878" s="9" t="s">
        <v>207</v>
      </c>
      <c r="G878" s="9" t="s">
        <v>221</v>
      </c>
      <c r="H878" s="9" t="n">
        <v>910</v>
      </c>
      <c r="I878" s="29" t="n">
        <v>1.2</v>
      </c>
      <c r="J878" s="9" t="n">
        <v>1</v>
      </c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21" t="str">
        <f aca="false">IF(COUNT(K878:T878)=0,"SOURCE EMPTY / INDUSTRIAL ONLY",IF(MIN(K878:T878)=1,"SERVICE READY","HOLD"))</f>
        <v>SOURCE EMPTY / INDUSTRIAL ONLY</v>
      </c>
      <c r="V878" s="9" t="n">
        <f aca="false">IF(U878="SERVICE READY",1,0)</f>
        <v>0</v>
      </c>
      <c r="W878" s="6"/>
      <c r="X878" s="6"/>
      <c r="Y878" s="6"/>
      <c r="Z878" s="6"/>
    </row>
    <row r="879" customFormat="false" ht="15" hidden="false" customHeight="false" outlineLevel="0" collapsed="false">
      <c r="A879" s="9" t="s">
        <v>1100</v>
      </c>
      <c r="B879" s="9" t="s">
        <v>1024</v>
      </c>
      <c r="C879" s="9" t="s">
        <v>1025</v>
      </c>
      <c r="D879" s="9" t="s">
        <v>619</v>
      </c>
      <c r="E879" s="9" t="s">
        <v>275</v>
      </c>
      <c r="F879" s="9" t="s">
        <v>209</v>
      </c>
      <c r="G879" s="9" t="s">
        <v>221</v>
      </c>
      <c r="H879" s="9" t="n">
        <v>910</v>
      </c>
      <c r="I879" s="29" t="n">
        <v>1.2</v>
      </c>
      <c r="J879" s="9" t="n">
        <v>1</v>
      </c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21" t="str">
        <f aca="false">IF(COUNT(K879:T879)=0,"SOURCE EMPTY / INDUSTRIAL ONLY",IF(MIN(K879:T879)=1,"SERVICE READY","HOLD"))</f>
        <v>SOURCE EMPTY / INDUSTRIAL ONLY</v>
      </c>
      <c r="V879" s="9" t="n">
        <f aca="false">IF(U879="SERVICE READY",1,0)</f>
        <v>0</v>
      </c>
      <c r="W879" s="6"/>
      <c r="X879" s="6"/>
      <c r="Y879" s="6"/>
      <c r="Z879" s="6"/>
    </row>
    <row r="880" customFormat="false" ht="15" hidden="false" customHeight="false" outlineLevel="0" collapsed="false">
      <c r="A880" s="9" t="s">
        <v>1101</v>
      </c>
      <c r="B880" s="9" t="s">
        <v>1024</v>
      </c>
      <c r="C880" s="9" t="s">
        <v>1025</v>
      </c>
      <c r="D880" s="9" t="s">
        <v>619</v>
      </c>
      <c r="E880" s="9" t="s">
        <v>275</v>
      </c>
      <c r="F880" s="9" t="s">
        <v>211</v>
      </c>
      <c r="G880" s="9" t="s">
        <v>221</v>
      </c>
      <c r="H880" s="9" t="n">
        <v>910</v>
      </c>
      <c r="I880" s="29" t="n">
        <v>1.2</v>
      </c>
      <c r="J880" s="9" t="n">
        <v>1</v>
      </c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21" t="str">
        <f aca="false">IF(COUNT(K880:T880)=0,"SOURCE EMPTY / INDUSTRIAL ONLY",IF(MIN(K880:T880)=1,"SERVICE READY","HOLD"))</f>
        <v>SOURCE EMPTY / INDUSTRIAL ONLY</v>
      </c>
      <c r="V880" s="9" t="n">
        <f aca="false">IF(U880="SERVICE READY",1,0)</f>
        <v>0</v>
      </c>
      <c r="W880" s="6"/>
      <c r="X880" s="6"/>
      <c r="Y880" s="6"/>
      <c r="Z880" s="6"/>
    </row>
    <row r="881" customFormat="false" ht="15" hidden="false" customHeight="false" outlineLevel="0" collapsed="false">
      <c r="A881" s="9" t="s">
        <v>1102</v>
      </c>
      <c r="B881" s="9" t="s">
        <v>1024</v>
      </c>
      <c r="C881" s="9" t="s">
        <v>1025</v>
      </c>
      <c r="D881" s="9" t="s">
        <v>619</v>
      </c>
      <c r="E881" s="9" t="s">
        <v>275</v>
      </c>
      <c r="F881" s="9" t="s">
        <v>197</v>
      </c>
      <c r="G881" s="9" t="s">
        <v>221</v>
      </c>
      <c r="H881" s="9" t="n">
        <v>910</v>
      </c>
      <c r="I881" s="29" t="n">
        <v>1.2</v>
      </c>
      <c r="J881" s="9" t="n">
        <v>1</v>
      </c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21" t="str">
        <f aca="false">IF(COUNT(K881:T881)=0,"SOURCE EMPTY / INDUSTRIAL ONLY",IF(MIN(K881:T881)=1,"SERVICE READY","HOLD"))</f>
        <v>SOURCE EMPTY / INDUSTRIAL ONLY</v>
      </c>
      <c r="V881" s="9" t="n">
        <f aca="false">IF(U881="SERVICE READY",1,0)</f>
        <v>0</v>
      </c>
      <c r="W881" s="6"/>
      <c r="X881" s="6"/>
      <c r="Y881" s="6"/>
      <c r="Z881" s="6"/>
    </row>
    <row r="882" customFormat="false" ht="15" hidden="false" customHeight="false" outlineLevel="0" collapsed="false">
      <c r="A882" s="9" t="s">
        <v>1103</v>
      </c>
      <c r="B882" s="9" t="s">
        <v>1024</v>
      </c>
      <c r="C882" s="9" t="s">
        <v>1025</v>
      </c>
      <c r="D882" s="9" t="s">
        <v>619</v>
      </c>
      <c r="E882" s="9" t="s">
        <v>275</v>
      </c>
      <c r="F882" s="9" t="s">
        <v>200</v>
      </c>
      <c r="G882" s="9" t="s">
        <v>221</v>
      </c>
      <c r="H882" s="9" t="n">
        <v>910</v>
      </c>
      <c r="I882" s="29" t="n">
        <v>1.2</v>
      </c>
      <c r="J882" s="9" t="n">
        <v>1</v>
      </c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21" t="str">
        <f aca="false">IF(COUNT(K882:T882)=0,"SOURCE EMPTY / INDUSTRIAL ONLY",IF(MIN(K882:T882)=1,"SERVICE READY","HOLD"))</f>
        <v>SOURCE EMPTY / INDUSTRIAL ONLY</v>
      </c>
      <c r="V882" s="9" t="n">
        <f aca="false">IF(U882="SERVICE READY",1,0)</f>
        <v>0</v>
      </c>
      <c r="W882" s="6"/>
      <c r="X882" s="6"/>
      <c r="Y882" s="6"/>
      <c r="Z882" s="6"/>
    </row>
    <row r="883" customFormat="false" ht="15" hidden="false" customHeight="false" outlineLevel="0" collapsed="false">
      <c r="A883" s="9" t="s">
        <v>1104</v>
      </c>
      <c r="B883" s="9" t="s">
        <v>1024</v>
      </c>
      <c r="C883" s="9" t="s">
        <v>1025</v>
      </c>
      <c r="D883" s="9" t="s">
        <v>619</v>
      </c>
      <c r="E883" s="9" t="s">
        <v>275</v>
      </c>
      <c r="F883" s="9" t="s">
        <v>203</v>
      </c>
      <c r="G883" s="9" t="s">
        <v>221</v>
      </c>
      <c r="H883" s="9" t="n">
        <v>910</v>
      </c>
      <c r="I883" s="29" t="n">
        <v>1.2</v>
      </c>
      <c r="J883" s="9" t="n">
        <v>1</v>
      </c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21" t="str">
        <f aca="false">IF(COUNT(K883:T883)=0,"SOURCE EMPTY / INDUSTRIAL ONLY",IF(MIN(K883:T883)=1,"SERVICE READY","HOLD"))</f>
        <v>SOURCE EMPTY / INDUSTRIAL ONLY</v>
      </c>
      <c r="V883" s="9" t="n">
        <f aca="false">IF(U883="SERVICE READY",1,0)</f>
        <v>0</v>
      </c>
      <c r="W883" s="6"/>
      <c r="X883" s="6"/>
      <c r="Y883" s="6"/>
      <c r="Z883" s="6"/>
    </row>
    <row r="884" customFormat="false" ht="15" hidden="false" customHeight="false" outlineLevel="0" collapsed="false">
      <c r="A884" s="9" t="s">
        <v>1105</v>
      </c>
      <c r="B884" s="9" t="s">
        <v>1024</v>
      </c>
      <c r="C884" s="9" t="s">
        <v>1025</v>
      </c>
      <c r="D884" s="9" t="s">
        <v>619</v>
      </c>
      <c r="E884" s="9" t="s">
        <v>275</v>
      </c>
      <c r="F884" s="9" t="s">
        <v>205</v>
      </c>
      <c r="G884" s="9" t="s">
        <v>221</v>
      </c>
      <c r="H884" s="9" t="n">
        <v>910</v>
      </c>
      <c r="I884" s="29" t="n">
        <v>1.2</v>
      </c>
      <c r="J884" s="9" t="n">
        <v>0</v>
      </c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21" t="str">
        <f aca="false">IF(COUNT(K884:T884)=0,"SOURCE EMPTY / INDUSTRIAL ONLY",IF(MIN(K884:T884)=1,"SERVICE READY","HOLD"))</f>
        <v>SOURCE EMPTY / INDUSTRIAL ONLY</v>
      </c>
      <c r="V884" s="9" t="n">
        <f aca="false">IF(U884="SERVICE READY",1,0)</f>
        <v>0</v>
      </c>
      <c r="W884" s="6"/>
      <c r="X884" s="6"/>
      <c r="Y884" s="6"/>
      <c r="Z884" s="6"/>
    </row>
    <row r="885" customFormat="false" ht="15" hidden="false" customHeight="false" outlineLevel="0" collapsed="false">
      <c r="A885" s="9" t="s">
        <v>1106</v>
      </c>
      <c r="B885" s="9" t="s">
        <v>1024</v>
      </c>
      <c r="C885" s="9" t="s">
        <v>1025</v>
      </c>
      <c r="D885" s="9" t="s">
        <v>619</v>
      </c>
      <c r="E885" s="9" t="s">
        <v>275</v>
      </c>
      <c r="F885" s="9" t="s">
        <v>207</v>
      </c>
      <c r="G885" s="9" t="s">
        <v>221</v>
      </c>
      <c r="H885" s="9" t="n">
        <v>910</v>
      </c>
      <c r="I885" s="29" t="n">
        <v>1.2</v>
      </c>
      <c r="J885" s="9" t="n">
        <v>0</v>
      </c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21" t="str">
        <f aca="false">IF(COUNT(K885:T885)=0,"SOURCE EMPTY / INDUSTRIAL ONLY",IF(MIN(K885:T885)=1,"SERVICE READY","HOLD"))</f>
        <v>SOURCE EMPTY / INDUSTRIAL ONLY</v>
      </c>
      <c r="V885" s="9" t="n">
        <f aca="false">IF(U885="SERVICE READY",1,0)</f>
        <v>0</v>
      </c>
      <c r="W885" s="6"/>
      <c r="X885" s="6"/>
      <c r="Y885" s="6"/>
      <c r="Z885" s="6"/>
    </row>
    <row r="886" customFormat="false" ht="15" hidden="false" customHeight="false" outlineLevel="0" collapsed="false">
      <c r="A886" s="9" t="s">
        <v>1107</v>
      </c>
      <c r="B886" s="9" t="s">
        <v>1024</v>
      </c>
      <c r="C886" s="9" t="s">
        <v>1025</v>
      </c>
      <c r="D886" s="9" t="s">
        <v>619</v>
      </c>
      <c r="E886" s="9" t="s">
        <v>275</v>
      </c>
      <c r="F886" s="9" t="s">
        <v>209</v>
      </c>
      <c r="G886" s="9" t="s">
        <v>221</v>
      </c>
      <c r="H886" s="9" t="n">
        <v>910</v>
      </c>
      <c r="I886" s="29" t="n">
        <v>1.2</v>
      </c>
      <c r="J886" s="9" t="n">
        <v>0</v>
      </c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21" t="str">
        <f aca="false">IF(COUNT(K886:T886)=0,"SOURCE EMPTY / INDUSTRIAL ONLY",IF(MIN(K886:T886)=1,"SERVICE READY","HOLD"))</f>
        <v>SOURCE EMPTY / INDUSTRIAL ONLY</v>
      </c>
      <c r="V886" s="9" t="n">
        <f aca="false">IF(U886="SERVICE READY",1,0)</f>
        <v>0</v>
      </c>
      <c r="W886" s="6"/>
      <c r="X886" s="6"/>
      <c r="Y886" s="6"/>
      <c r="Z886" s="6"/>
    </row>
    <row r="887" customFormat="false" ht="15" hidden="false" customHeight="false" outlineLevel="0" collapsed="false">
      <c r="A887" s="9" t="s">
        <v>1108</v>
      </c>
      <c r="B887" s="9" t="s">
        <v>1024</v>
      </c>
      <c r="C887" s="9" t="s">
        <v>1025</v>
      </c>
      <c r="D887" s="9" t="s">
        <v>619</v>
      </c>
      <c r="E887" s="9" t="s">
        <v>275</v>
      </c>
      <c r="F887" s="9" t="s">
        <v>211</v>
      </c>
      <c r="G887" s="9" t="s">
        <v>221</v>
      </c>
      <c r="H887" s="9" t="n">
        <v>910</v>
      </c>
      <c r="I887" s="29" t="n">
        <v>1.2</v>
      </c>
      <c r="J887" s="9" t="n">
        <v>0</v>
      </c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21" t="str">
        <f aca="false">IF(COUNT(K887:T887)=0,"SOURCE EMPTY / INDUSTRIAL ONLY",IF(MIN(K887:T887)=1,"SERVICE READY","HOLD"))</f>
        <v>SOURCE EMPTY / INDUSTRIAL ONLY</v>
      </c>
      <c r="V887" s="9" t="n">
        <f aca="false">IF(U887="SERVICE READY",1,0)</f>
        <v>0</v>
      </c>
      <c r="W887" s="6"/>
      <c r="X887" s="6"/>
      <c r="Y887" s="6"/>
      <c r="Z887" s="6"/>
    </row>
    <row r="888" customFormat="false" ht="15" hidden="false" customHeight="false" outlineLevel="0" collapsed="false">
      <c r="A888" s="9" t="s">
        <v>1109</v>
      </c>
      <c r="B888" s="9" t="s">
        <v>1024</v>
      </c>
      <c r="C888" s="9" t="s">
        <v>1025</v>
      </c>
      <c r="D888" s="9" t="s">
        <v>619</v>
      </c>
      <c r="E888" s="9" t="s">
        <v>275</v>
      </c>
      <c r="F888" s="9" t="s">
        <v>197</v>
      </c>
      <c r="G888" s="9" t="s">
        <v>221</v>
      </c>
      <c r="H888" s="9" t="n">
        <v>910</v>
      </c>
      <c r="I888" s="29" t="n">
        <v>1.2</v>
      </c>
      <c r="J888" s="9" t="n">
        <v>0</v>
      </c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21" t="str">
        <f aca="false">IF(COUNT(K888:T888)=0,"SOURCE EMPTY / INDUSTRIAL ONLY",IF(MIN(K888:T888)=1,"SERVICE READY","HOLD"))</f>
        <v>SOURCE EMPTY / INDUSTRIAL ONLY</v>
      </c>
      <c r="V888" s="9" t="n">
        <f aca="false">IF(U888="SERVICE READY",1,0)</f>
        <v>0</v>
      </c>
      <c r="W888" s="6"/>
      <c r="X888" s="6"/>
      <c r="Y888" s="6"/>
      <c r="Z888" s="6"/>
    </row>
    <row r="889" customFormat="false" ht="15" hidden="false" customHeight="false" outlineLevel="0" collapsed="false">
      <c r="A889" s="9" t="s">
        <v>1110</v>
      </c>
      <c r="B889" s="9" t="s">
        <v>1024</v>
      </c>
      <c r="C889" s="9" t="s">
        <v>1025</v>
      </c>
      <c r="D889" s="9" t="s">
        <v>619</v>
      </c>
      <c r="E889" s="9" t="s">
        <v>275</v>
      </c>
      <c r="F889" s="9" t="s">
        <v>200</v>
      </c>
      <c r="G889" s="9" t="s">
        <v>221</v>
      </c>
      <c r="H889" s="9" t="n">
        <v>910</v>
      </c>
      <c r="I889" s="29" t="n">
        <v>1.2</v>
      </c>
      <c r="J889" s="9" t="n">
        <v>0</v>
      </c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21" t="str">
        <f aca="false">IF(COUNT(K889:T889)=0,"SOURCE EMPTY / INDUSTRIAL ONLY",IF(MIN(K889:T889)=1,"SERVICE READY","HOLD"))</f>
        <v>SOURCE EMPTY / INDUSTRIAL ONLY</v>
      </c>
      <c r="V889" s="9" t="n">
        <f aca="false">IF(U889="SERVICE READY",1,0)</f>
        <v>0</v>
      </c>
      <c r="W889" s="6"/>
      <c r="X889" s="6"/>
      <c r="Y889" s="6"/>
      <c r="Z889" s="6"/>
    </row>
    <row r="890" customFormat="false" ht="15" hidden="false" customHeight="false" outlineLevel="0" collapsed="false">
      <c r="A890" s="9" t="s">
        <v>1111</v>
      </c>
      <c r="B890" s="9" t="s">
        <v>1024</v>
      </c>
      <c r="C890" s="9" t="s">
        <v>1025</v>
      </c>
      <c r="D890" s="9" t="s">
        <v>619</v>
      </c>
      <c r="E890" s="9" t="s">
        <v>275</v>
      </c>
      <c r="F890" s="9" t="s">
        <v>203</v>
      </c>
      <c r="G890" s="9" t="s">
        <v>221</v>
      </c>
      <c r="H890" s="9" t="n">
        <v>910</v>
      </c>
      <c r="I890" s="29" t="n">
        <v>1.2</v>
      </c>
      <c r="J890" s="9" t="n">
        <v>0</v>
      </c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21" t="str">
        <f aca="false">IF(COUNT(K890:T890)=0,"SOURCE EMPTY / INDUSTRIAL ONLY",IF(MIN(K890:T890)=1,"SERVICE READY","HOLD"))</f>
        <v>SOURCE EMPTY / INDUSTRIAL ONLY</v>
      </c>
      <c r="V890" s="9" t="n">
        <f aca="false">IF(U890="SERVICE READY",1,0)</f>
        <v>0</v>
      </c>
      <c r="W890" s="6"/>
      <c r="X890" s="6"/>
      <c r="Y890" s="6"/>
      <c r="Z890" s="6"/>
    </row>
    <row r="891" customFormat="false" ht="15" hidden="false" customHeight="false" outlineLevel="0" collapsed="false">
      <c r="A891" s="9" t="s">
        <v>1112</v>
      </c>
      <c r="B891" s="9" t="s">
        <v>1024</v>
      </c>
      <c r="C891" s="9" t="s">
        <v>1025</v>
      </c>
      <c r="D891" s="9" t="s">
        <v>619</v>
      </c>
      <c r="E891" s="9" t="s">
        <v>275</v>
      </c>
      <c r="F891" s="9" t="s">
        <v>205</v>
      </c>
      <c r="G891" s="9" t="s">
        <v>221</v>
      </c>
      <c r="H891" s="9" t="n">
        <v>910</v>
      </c>
      <c r="I891" s="29" t="n">
        <v>1.2</v>
      </c>
      <c r="J891" s="9" t="n">
        <v>0</v>
      </c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21" t="str">
        <f aca="false">IF(COUNT(K891:T891)=0,"SOURCE EMPTY / INDUSTRIAL ONLY",IF(MIN(K891:T891)=1,"SERVICE READY","HOLD"))</f>
        <v>SOURCE EMPTY / INDUSTRIAL ONLY</v>
      </c>
      <c r="V891" s="9" t="n">
        <f aca="false">IF(U891="SERVICE READY",1,0)</f>
        <v>0</v>
      </c>
      <c r="W891" s="6"/>
      <c r="X891" s="6"/>
      <c r="Y891" s="6"/>
      <c r="Z891" s="6"/>
    </row>
    <row r="892" customFormat="false" ht="15" hidden="false" customHeight="false" outlineLevel="0" collapsed="false">
      <c r="A892" s="9" t="s">
        <v>1113</v>
      </c>
      <c r="B892" s="9" t="s">
        <v>1024</v>
      </c>
      <c r="C892" s="9" t="s">
        <v>1025</v>
      </c>
      <c r="D892" s="9" t="s">
        <v>619</v>
      </c>
      <c r="E892" s="9" t="s">
        <v>275</v>
      </c>
      <c r="F892" s="9" t="s">
        <v>207</v>
      </c>
      <c r="G892" s="9" t="s">
        <v>221</v>
      </c>
      <c r="H892" s="9" t="n">
        <v>910</v>
      </c>
      <c r="I892" s="29" t="n">
        <v>1.2</v>
      </c>
      <c r="J892" s="9" t="n">
        <v>0</v>
      </c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21" t="str">
        <f aca="false">IF(COUNT(K892:T892)=0,"SOURCE EMPTY / INDUSTRIAL ONLY",IF(MIN(K892:T892)=1,"SERVICE READY","HOLD"))</f>
        <v>SOURCE EMPTY / INDUSTRIAL ONLY</v>
      </c>
      <c r="V892" s="9" t="n">
        <f aca="false">IF(U892="SERVICE READY",1,0)</f>
        <v>0</v>
      </c>
      <c r="W892" s="6"/>
      <c r="X892" s="6"/>
      <c r="Y892" s="6"/>
      <c r="Z892" s="6"/>
    </row>
    <row r="893" customFormat="false" ht="15" hidden="false" customHeight="false" outlineLevel="0" collapsed="false">
      <c r="A893" s="9" t="s">
        <v>1114</v>
      </c>
      <c r="B893" s="9" t="s">
        <v>1024</v>
      </c>
      <c r="C893" s="9" t="s">
        <v>1025</v>
      </c>
      <c r="D893" s="9" t="s">
        <v>619</v>
      </c>
      <c r="E893" s="9" t="s">
        <v>275</v>
      </c>
      <c r="F893" s="9" t="s">
        <v>209</v>
      </c>
      <c r="G893" s="9" t="s">
        <v>221</v>
      </c>
      <c r="H893" s="9" t="n">
        <v>910</v>
      </c>
      <c r="I893" s="29" t="n">
        <v>1.2</v>
      </c>
      <c r="J893" s="9" t="n">
        <v>0</v>
      </c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21" t="str">
        <f aca="false">IF(COUNT(K893:T893)=0,"SOURCE EMPTY / INDUSTRIAL ONLY",IF(MIN(K893:T893)=1,"SERVICE READY","HOLD"))</f>
        <v>SOURCE EMPTY / INDUSTRIAL ONLY</v>
      </c>
      <c r="V893" s="9" t="n">
        <f aca="false">IF(U893="SERVICE READY",1,0)</f>
        <v>0</v>
      </c>
      <c r="W893" s="6"/>
      <c r="X893" s="6"/>
      <c r="Y893" s="6"/>
      <c r="Z893" s="6"/>
    </row>
    <row r="894" customFormat="false" ht="15" hidden="false" customHeight="false" outlineLevel="0" collapsed="false">
      <c r="A894" s="9" t="s">
        <v>1115</v>
      </c>
      <c r="B894" s="9" t="s">
        <v>1024</v>
      </c>
      <c r="C894" s="9" t="s">
        <v>1025</v>
      </c>
      <c r="D894" s="9" t="s">
        <v>619</v>
      </c>
      <c r="E894" s="9" t="s">
        <v>275</v>
      </c>
      <c r="F894" s="9" t="s">
        <v>211</v>
      </c>
      <c r="G894" s="9" t="s">
        <v>221</v>
      </c>
      <c r="H894" s="9" t="n">
        <v>910</v>
      </c>
      <c r="I894" s="29" t="n">
        <v>1.2</v>
      </c>
      <c r="J894" s="9" t="n">
        <v>0</v>
      </c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21" t="str">
        <f aca="false">IF(COUNT(K894:T894)=0,"SOURCE EMPTY / INDUSTRIAL ONLY",IF(MIN(K894:T894)=1,"SERVICE READY","HOLD"))</f>
        <v>SOURCE EMPTY / INDUSTRIAL ONLY</v>
      </c>
      <c r="V894" s="9" t="n">
        <f aca="false">IF(U894="SERVICE READY",1,0)</f>
        <v>0</v>
      </c>
      <c r="W894" s="6"/>
      <c r="X894" s="6"/>
      <c r="Y894" s="6"/>
      <c r="Z894" s="6"/>
    </row>
    <row r="895" customFormat="false" ht="15" hidden="false" customHeight="false" outlineLevel="0" collapsed="false">
      <c r="A895" s="9" t="s">
        <v>1116</v>
      </c>
      <c r="B895" s="9" t="s">
        <v>1024</v>
      </c>
      <c r="C895" s="9" t="s">
        <v>1025</v>
      </c>
      <c r="D895" s="9" t="s">
        <v>619</v>
      </c>
      <c r="E895" s="9" t="s">
        <v>275</v>
      </c>
      <c r="F895" s="9" t="s">
        <v>197</v>
      </c>
      <c r="G895" s="9" t="s">
        <v>221</v>
      </c>
      <c r="H895" s="9" t="n">
        <v>910</v>
      </c>
      <c r="I895" s="29" t="n">
        <v>1.2</v>
      </c>
      <c r="J895" s="9" t="n">
        <v>0</v>
      </c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21" t="str">
        <f aca="false">IF(COUNT(K895:T895)=0,"SOURCE EMPTY / INDUSTRIAL ONLY",IF(MIN(K895:T895)=1,"SERVICE READY","HOLD"))</f>
        <v>SOURCE EMPTY / INDUSTRIAL ONLY</v>
      </c>
      <c r="V895" s="9" t="n">
        <f aca="false">IF(U895="SERVICE READY",1,0)</f>
        <v>0</v>
      </c>
      <c r="W895" s="6"/>
      <c r="X895" s="6"/>
      <c r="Y895" s="6"/>
      <c r="Z895" s="6"/>
    </row>
    <row r="896" customFormat="false" ht="15" hidden="false" customHeight="false" outlineLevel="0" collapsed="false">
      <c r="A896" s="9" t="s">
        <v>1117</v>
      </c>
      <c r="B896" s="9" t="s">
        <v>1024</v>
      </c>
      <c r="C896" s="9" t="s">
        <v>1025</v>
      </c>
      <c r="D896" s="9" t="s">
        <v>619</v>
      </c>
      <c r="E896" s="9" t="s">
        <v>275</v>
      </c>
      <c r="F896" s="9" t="s">
        <v>200</v>
      </c>
      <c r="G896" s="9" t="s">
        <v>221</v>
      </c>
      <c r="H896" s="9" t="n">
        <v>910</v>
      </c>
      <c r="I896" s="29" t="n">
        <v>1.2</v>
      </c>
      <c r="J896" s="9" t="n">
        <v>0</v>
      </c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21" t="str">
        <f aca="false">IF(COUNT(K896:T896)=0,"SOURCE EMPTY / INDUSTRIAL ONLY",IF(MIN(K896:T896)=1,"SERVICE READY","HOLD"))</f>
        <v>SOURCE EMPTY / INDUSTRIAL ONLY</v>
      </c>
      <c r="V896" s="9" t="n">
        <f aca="false">IF(U896="SERVICE READY",1,0)</f>
        <v>0</v>
      </c>
      <c r="W896" s="6"/>
      <c r="X896" s="6"/>
      <c r="Y896" s="6"/>
      <c r="Z896" s="6"/>
    </row>
    <row r="897" customFormat="false" ht="15" hidden="false" customHeight="false" outlineLevel="0" collapsed="false">
      <c r="A897" s="9" t="s">
        <v>1118</v>
      </c>
      <c r="B897" s="9" t="s">
        <v>1024</v>
      </c>
      <c r="C897" s="9" t="s">
        <v>1025</v>
      </c>
      <c r="D897" s="9" t="s">
        <v>619</v>
      </c>
      <c r="E897" s="9" t="s">
        <v>275</v>
      </c>
      <c r="F897" s="9" t="s">
        <v>203</v>
      </c>
      <c r="G897" s="9" t="s">
        <v>221</v>
      </c>
      <c r="H897" s="9" t="n">
        <v>910</v>
      </c>
      <c r="I897" s="29" t="n">
        <v>1.2</v>
      </c>
      <c r="J897" s="9" t="n">
        <v>0</v>
      </c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21" t="str">
        <f aca="false">IF(COUNT(K897:T897)=0,"SOURCE EMPTY / INDUSTRIAL ONLY",IF(MIN(K897:T897)=1,"SERVICE READY","HOLD"))</f>
        <v>SOURCE EMPTY / INDUSTRIAL ONLY</v>
      </c>
      <c r="V897" s="9" t="n">
        <f aca="false">IF(U897="SERVICE READY",1,0)</f>
        <v>0</v>
      </c>
      <c r="W897" s="6"/>
      <c r="X897" s="6"/>
      <c r="Y897" s="6"/>
      <c r="Z897" s="6"/>
    </row>
    <row r="898" customFormat="false" ht="15" hidden="false" customHeight="false" outlineLevel="0" collapsed="false">
      <c r="A898" s="9" t="s">
        <v>1119</v>
      </c>
      <c r="B898" s="9" t="s">
        <v>1024</v>
      </c>
      <c r="C898" s="9" t="s">
        <v>1025</v>
      </c>
      <c r="D898" s="9" t="s">
        <v>619</v>
      </c>
      <c r="E898" s="9" t="s">
        <v>275</v>
      </c>
      <c r="F898" s="9" t="s">
        <v>205</v>
      </c>
      <c r="G898" s="9" t="s">
        <v>221</v>
      </c>
      <c r="H898" s="9" t="n">
        <v>910</v>
      </c>
      <c r="I898" s="29" t="n">
        <v>1.2</v>
      </c>
      <c r="J898" s="9" t="n">
        <v>0</v>
      </c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21" t="str">
        <f aca="false">IF(COUNT(K898:T898)=0,"SOURCE EMPTY / INDUSTRIAL ONLY",IF(MIN(K898:T898)=1,"SERVICE READY","HOLD"))</f>
        <v>SOURCE EMPTY / INDUSTRIAL ONLY</v>
      </c>
      <c r="V898" s="9" t="n">
        <f aca="false">IF(U898="SERVICE READY",1,0)</f>
        <v>0</v>
      </c>
      <c r="W898" s="6"/>
      <c r="X898" s="6"/>
      <c r="Y898" s="6"/>
      <c r="Z898" s="6"/>
    </row>
    <row r="899" customFormat="false" ht="15" hidden="false" customHeight="false" outlineLevel="0" collapsed="false">
      <c r="A899" s="9" t="s">
        <v>1120</v>
      </c>
      <c r="B899" s="9" t="s">
        <v>1024</v>
      </c>
      <c r="C899" s="9" t="s">
        <v>1025</v>
      </c>
      <c r="D899" s="9" t="s">
        <v>619</v>
      </c>
      <c r="E899" s="9" t="s">
        <v>275</v>
      </c>
      <c r="F899" s="9" t="s">
        <v>207</v>
      </c>
      <c r="G899" s="9" t="s">
        <v>221</v>
      </c>
      <c r="H899" s="9" t="n">
        <v>910</v>
      </c>
      <c r="I899" s="29" t="n">
        <v>1.2</v>
      </c>
      <c r="J899" s="9" t="n">
        <v>0</v>
      </c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21" t="str">
        <f aca="false">IF(COUNT(K899:T899)=0,"SOURCE EMPTY / INDUSTRIAL ONLY",IF(MIN(K899:T899)=1,"SERVICE READY","HOLD"))</f>
        <v>SOURCE EMPTY / INDUSTRIAL ONLY</v>
      </c>
      <c r="V899" s="9" t="n">
        <f aca="false">IF(U899="SERVICE READY",1,0)</f>
        <v>0</v>
      </c>
      <c r="W899" s="6"/>
      <c r="X899" s="6"/>
      <c r="Y899" s="6"/>
      <c r="Z899" s="6"/>
    </row>
    <row r="900" customFormat="false" ht="15" hidden="false" customHeight="false" outlineLevel="0" collapsed="false">
      <c r="A900" s="9" t="s">
        <v>1121</v>
      </c>
      <c r="B900" s="9" t="s">
        <v>1024</v>
      </c>
      <c r="C900" s="9" t="s">
        <v>1025</v>
      </c>
      <c r="D900" s="9" t="s">
        <v>619</v>
      </c>
      <c r="E900" s="9" t="s">
        <v>275</v>
      </c>
      <c r="F900" s="9" t="s">
        <v>209</v>
      </c>
      <c r="G900" s="9" t="s">
        <v>221</v>
      </c>
      <c r="H900" s="9" t="n">
        <v>910</v>
      </c>
      <c r="I900" s="29" t="n">
        <v>1.2</v>
      </c>
      <c r="J900" s="9" t="n">
        <v>0</v>
      </c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21" t="str">
        <f aca="false">IF(COUNT(K900:T900)=0,"SOURCE EMPTY / INDUSTRIAL ONLY",IF(MIN(K900:T900)=1,"SERVICE READY","HOLD"))</f>
        <v>SOURCE EMPTY / INDUSTRIAL ONLY</v>
      </c>
      <c r="V900" s="9" t="n">
        <f aca="false">IF(U900="SERVICE READY",1,0)</f>
        <v>0</v>
      </c>
      <c r="W900" s="6"/>
      <c r="X900" s="6"/>
      <c r="Y900" s="6"/>
      <c r="Z900" s="6"/>
    </row>
    <row r="901" customFormat="false" ht="15" hidden="false" customHeight="false" outlineLevel="0" collapsed="false">
      <c r="A901" s="9" t="s">
        <v>1122</v>
      </c>
      <c r="B901" s="9" t="s">
        <v>1024</v>
      </c>
      <c r="C901" s="9" t="s">
        <v>1025</v>
      </c>
      <c r="D901" s="9" t="s">
        <v>619</v>
      </c>
      <c r="E901" s="9" t="s">
        <v>275</v>
      </c>
      <c r="F901" s="9" t="s">
        <v>211</v>
      </c>
      <c r="G901" s="9" t="s">
        <v>221</v>
      </c>
      <c r="H901" s="9" t="n">
        <v>910</v>
      </c>
      <c r="I901" s="29" t="n">
        <v>1.2</v>
      </c>
      <c r="J901" s="9" t="n">
        <v>0</v>
      </c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21" t="str">
        <f aca="false">IF(COUNT(K901:T901)=0,"SOURCE EMPTY / INDUSTRIAL ONLY",IF(MIN(K901:T901)=1,"SERVICE READY","HOLD"))</f>
        <v>SOURCE EMPTY / INDUSTRIAL ONLY</v>
      </c>
      <c r="V901" s="9" t="n">
        <f aca="false">IF(U901="SERVICE READY",1,0)</f>
        <v>0</v>
      </c>
      <c r="W901" s="6"/>
      <c r="X901" s="6"/>
      <c r="Y901" s="6"/>
      <c r="Z901" s="6"/>
    </row>
    <row r="902" customFormat="false" ht="15" hidden="false" customHeight="false" outlineLevel="0" collapsed="false">
      <c r="A902" s="9" t="s">
        <v>1123</v>
      </c>
      <c r="B902" s="9" t="s">
        <v>1024</v>
      </c>
      <c r="C902" s="9" t="s">
        <v>1025</v>
      </c>
      <c r="D902" s="9" t="s">
        <v>619</v>
      </c>
      <c r="E902" s="9" t="s">
        <v>275</v>
      </c>
      <c r="F902" s="9" t="s">
        <v>197</v>
      </c>
      <c r="G902" s="9" t="s">
        <v>221</v>
      </c>
      <c r="H902" s="9" t="n">
        <v>910</v>
      </c>
      <c r="I902" s="29" t="n">
        <v>1.2</v>
      </c>
      <c r="J902" s="9" t="n">
        <v>0</v>
      </c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21" t="str">
        <f aca="false">IF(COUNT(K902:T902)=0,"SOURCE EMPTY / INDUSTRIAL ONLY",IF(MIN(K902:T902)=1,"SERVICE READY","HOLD"))</f>
        <v>SOURCE EMPTY / INDUSTRIAL ONLY</v>
      </c>
      <c r="V902" s="9" t="n">
        <f aca="false">IF(U902="SERVICE READY",1,0)</f>
        <v>0</v>
      </c>
      <c r="W902" s="6"/>
      <c r="X902" s="6"/>
      <c r="Y902" s="6"/>
      <c r="Z902" s="6"/>
    </row>
    <row r="903" customFormat="false" ht="15" hidden="false" customHeight="false" outlineLevel="0" collapsed="false">
      <c r="A903" s="9" t="s">
        <v>1124</v>
      </c>
      <c r="B903" s="9" t="s">
        <v>1024</v>
      </c>
      <c r="C903" s="9" t="s">
        <v>1025</v>
      </c>
      <c r="D903" s="9" t="s">
        <v>619</v>
      </c>
      <c r="E903" s="9" t="s">
        <v>275</v>
      </c>
      <c r="F903" s="9" t="s">
        <v>200</v>
      </c>
      <c r="G903" s="9" t="s">
        <v>221</v>
      </c>
      <c r="H903" s="9" t="n">
        <v>910</v>
      </c>
      <c r="I903" s="29" t="n">
        <v>1.2</v>
      </c>
      <c r="J903" s="9" t="n">
        <v>0</v>
      </c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21" t="str">
        <f aca="false">IF(COUNT(K903:T903)=0,"SOURCE EMPTY / INDUSTRIAL ONLY",IF(MIN(K903:T903)=1,"SERVICE READY","HOLD"))</f>
        <v>SOURCE EMPTY / INDUSTRIAL ONLY</v>
      </c>
      <c r="V903" s="9" t="n">
        <f aca="false">IF(U903="SERVICE READY",1,0)</f>
        <v>0</v>
      </c>
      <c r="W903" s="6"/>
      <c r="X903" s="6"/>
      <c r="Y903" s="6"/>
      <c r="Z903" s="6"/>
    </row>
    <row r="904" customFormat="false" ht="15" hidden="false" customHeight="false" outlineLevel="0" collapsed="false">
      <c r="A904" s="9" t="s">
        <v>1125</v>
      </c>
      <c r="B904" s="9" t="s">
        <v>1024</v>
      </c>
      <c r="C904" s="9" t="s">
        <v>1025</v>
      </c>
      <c r="D904" s="9" t="s">
        <v>619</v>
      </c>
      <c r="E904" s="9" t="s">
        <v>275</v>
      </c>
      <c r="F904" s="9" t="s">
        <v>203</v>
      </c>
      <c r="G904" s="9" t="s">
        <v>221</v>
      </c>
      <c r="H904" s="9" t="n">
        <v>910</v>
      </c>
      <c r="I904" s="29" t="n">
        <v>1.2</v>
      </c>
      <c r="J904" s="9" t="n">
        <v>0</v>
      </c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21" t="str">
        <f aca="false">IF(COUNT(K904:T904)=0,"SOURCE EMPTY / INDUSTRIAL ONLY",IF(MIN(K904:T904)=1,"SERVICE READY","HOLD"))</f>
        <v>SOURCE EMPTY / INDUSTRIAL ONLY</v>
      </c>
      <c r="V904" s="9" t="n">
        <f aca="false">IF(U904="SERVICE READY",1,0)</f>
        <v>0</v>
      </c>
      <c r="W904" s="6"/>
      <c r="X904" s="6"/>
      <c r="Y904" s="6"/>
      <c r="Z904" s="6"/>
    </row>
    <row r="905" customFormat="false" ht="15" hidden="false" customHeight="false" outlineLevel="0" collapsed="false">
      <c r="A905" s="9" t="s">
        <v>1126</v>
      </c>
      <c r="B905" s="9" t="s">
        <v>1024</v>
      </c>
      <c r="C905" s="9" t="s">
        <v>1025</v>
      </c>
      <c r="D905" s="9" t="s">
        <v>619</v>
      </c>
      <c r="E905" s="9" t="s">
        <v>275</v>
      </c>
      <c r="F905" s="9" t="s">
        <v>205</v>
      </c>
      <c r="G905" s="9" t="s">
        <v>221</v>
      </c>
      <c r="H905" s="9" t="n">
        <v>910</v>
      </c>
      <c r="I905" s="29" t="n">
        <v>1.2</v>
      </c>
      <c r="J905" s="9" t="n">
        <v>0</v>
      </c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21" t="str">
        <f aca="false">IF(COUNT(K905:T905)=0,"SOURCE EMPTY / INDUSTRIAL ONLY",IF(MIN(K905:T905)=1,"SERVICE READY","HOLD"))</f>
        <v>SOURCE EMPTY / INDUSTRIAL ONLY</v>
      </c>
      <c r="V905" s="9" t="n">
        <f aca="false">IF(U905="SERVICE READY",1,0)</f>
        <v>0</v>
      </c>
      <c r="W905" s="6"/>
      <c r="X905" s="6"/>
      <c r="Y905" s="6"/>
      <c r="Z905" s="6"/>
    </row>
    <row r="906" customFormat="false" ht="15" hidden="false" customHeight="false" outlineLevel="0" collapsed="false">
      <c r="A906" s="9" t="s">
        <v>1127</v>
      </c>
      <c r="B906" s="9" t="s">
        <v>1024</v>
      </c>
      <c r="C906" s="9" t="s">
        <v>1025</v>
      </c>
      <c r="D906" s="9" t="s">
        <v>619</v>
      </c>
      <c r="E906" s="9" t="s">
        <v>275</v>
      </c>
      <c r="F906" s="9" t="s">
        <v>207</v>
      </c>
      <c r="G906" s="9" t="s">
        <v>221</v>
      </c>
      <c r="H906" s="9" t="n">
        <v>910</v>
      </c>
      <c r="I906" s="29" t="n">
        <v>1.2</v>
      </c>
      <c r="J906" s="9" t="n">
        <v>0</v>
      </c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21" t="str">
        <f aca="false">IF(COUNT(K906:T906)=0,"SOURCE EMPTY / INDUSTRIAL ONLY",IF(MIN(K906:T906)=1,"SERVICE READY","HOLD"))</f>
        <v>SOURCE EMPTY / INDUSTRIAL ONLY</v>
      </c>
      <c r="V906" s="9" t="n">
        <f aca="false">IF(U906="SERVICE READY",1,0)</f>
        <v>0</v>
      </c>
      <c r="W906" s="6"/>
      <c r="X906" s="6"/>
      <c r="Y906" s="6"/>
      <c r="Z906" s="6"/>
    </row>
    <row r="907" customFormat="false" ht="15" hidden="false" customHeight="false" outlineLevel="0" collapsed="false">
      <c r="A907" s="9" t="s">
        <v>1128</v>
      </c>
      <c r="B907" s="9" t="s">
        <v>1024</v>
      </c>
      <c r="C907" s="9" t="s">
        <v>1025</v>
      </c>
      <c r="D907" s="9" t="s">
        <v>619</v>
      </c>
      <c r="E907" s="9" t="s">
        <v>275</v>
      </c>
      <c r="F907" s="9" t="s">
        <v>209</v>
      </c>
      <c r="G907" s="9" t="s">
        <v>221</v>
      </c>
      <c r="H907" s="9" t="n">
        <v>910</v>
      </c>
      <c r="I907" s="29" t="n">
        <v>1.2</v>
      </c>
      <c r="J907" s="9" t="n">
        <v>0</v>
      </c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21" t="str">
        <f aca="false">IF(COUNT(K907:T907)=0,"SOURCE EMPTY / INDUSTRIAL ONLY",IF(MIN(K907:T907)=1,"SERVICE READY","HOLD"))</f>
        <v>SOURCE EMPTY / INDUSTRIAL ONLY</v>
      </c>
      <c r="V907" s="9" t="n">
        <f aca="false">IF(U907="SERVICE READY",1,0)</f>
        <v>0</v>
      </c>
      <c r="W907" s="6"/>
      <c r="X907" s="6"/>
      <c r="Y907" s="6"/>
      <c r="Z907" s="6"/>
    </row>
    <row r="908" customFormat="false" ht="15" hidden="false" customHeight="false" outlineLevel="0" collapsed="false">
      <c r="A908" s="9" t="s">
        <v>1129</v>
      </c>
      <c r="B908" s="9" t="s">
        <v>1024</v>
      </c>
      <c r="C908" s="9" t="s">
        <v>1025</v>
      </c>
      <c r="D908" s="9" t="s">
        <v>619</v>
      </c>
      <c r="E908" s="9" t="s">
        <v>275</v>
      </c>
      <c r="F908" s="9" t="s">
        <v>211</v>
      </c>
      <c r="G908" s="9" t="s">
        <v>221</v>
      </c>
      <c r="H908" s="9" t="n">
        <v>910</v>
      </c>
      <c r="I908" s="29" t="n">
        <v>1.2</v>
      </c>
      <c r="J908" s="9" t="n">
        <v>0</v>
      </c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21" t="str">
        <f aca="false">IF(COUNT(K908:T908)=0,"SOURCE EMPTY / INDUSTRIAL ONLY",IF(MIN(K908:T908)=1,"SERVICE READY","HOLD"))</f>
        <v>SOURCE EMPTY / INDUSTRIAL ONLY</v>
      </c>
      <c r="V908" s="9" t="n">
        <f aca="false">IF(U908="SERVICE READY",1,0)</f>
        <v>0</v>
      </c>
      <c r="W908" s="6"/>
      <c r="X908" s="6"/>
      <c r="Y908" s="6"/>
      <c r="Z908" s="6"/>
    </row>
    <row r="909" customFormat="false" ht="15" hidden="false" customHeight="false" outlineLevel="0" collapsed="false">
      <c r="A909" s="9" t="s">
        <v>1130</v>
      </c>
      <c r="B909" s="9" t="s">
        <v>1024</v>
      </c>
      <c r="C909" s="9" t="s">
        <v>1025</v>
      </c>
      <c r="D909" s="9" t="s">
        <v>619</v>
      </c>
      <c r="E909" s="9" t="s">
        <v>275</v>
      </c>
      <c r="F909" s="9" t="s">
        <v>197</v>
      </c>
      <c r="G909" s="9" t="s">
        <v>221</v>
      </c>
      <c r="H909" s="9" t="n">
        <v>910</v>
      </c>
      <c r="I909" s="29" t="n">
        <v>1.2</v>
      </c>
      <c r="J909" s="9" t="n">
        <v>0</v>
      </c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21" t="str">
        <f aca="false">IF(COUNT(K909:T909)=0,"SOURCE EMPTY / INDUSTRIAL ONLY",IF(MIN(K909:T909)=1,"SERVICE READY","HOLD"))</f>
        <v>SOURCE EMPTY / INDUSTRIAL ONLY</v>
      </c>
      <c r="V909" s="9" t="n">
        <f aca="false">IF(U909="SERVICE READY",1,0)</f>
        <v>0</v>
      </c>
      <c r="W909" s="6"/>
      <c r="X909" s="6"/>
      <c r="Y909" s="6"/>
      <c r="Z909" s="6"/>
    </row>
    <row r="910" customFormat="false" ht="15" hidden="false" customHeight="false" outlineLevel="0" collapsed="false">
      <c r="A910" s="9" t="s">
        <v>1131</v>
      </c>
      <c r="B910" s="9" t="s">
        <v>1024</v>
      </c>
      <c r="C910" s="9" t="s">
        <v>1025</v>
      </c>
      <c r="D910" s="9" t="s">
        <v>619</v>
      </c>
      <c r="E910" s="9" t="s">
        <v>275</v>
      </c>
      <c r="F910" s="9" t="s">
        <v>200</v>
      </c>
      <c r="G910" s="9" t="s">
        <v>221</v>
      </c>
      <c r="H910" s="9" t="n">
        <v>910</v>
      </c>
      <c r="I910" s="29" t="n">
        <v>1.2</v>
      </c>
      <c r="J910" s="9" t="n">
        <v>0</v>
      </c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21" t="str">
        <f aca="false">IF(COUNT(K910:T910)=0,"SOURCE EMPTY / INDUSTRIAL ONLY",IF(MIN(K910:T910)=1,"SERVICE READY","HOLD"))</f>
        <v>SOURCE EMPTY / INDUSTRIAL ONLY</v>
      </c>
      <c r="V910" s="9" t="n">
        <f aca="false">IF(U910="SERVICE READY",1,0)</f>
        <v>0</v>
      </c>
      <c r="W910" s="6"/>
      <c r="X910" s="6"/>
      <c r="Y910" s="6"/>
      <c r="Z910" s="6"/>
    </row>
    <row r="911" customFormat="false" ht="15" hidden="false" customHeight="false" outlineLevel="0" collapsed="false">
      <c r="A911" s="9" t="s">
        <v>1132</v>
      </c>
      <c r="B911" s="9" t="s">
        <v>1024</v>
      </c>
      <c r="C911" s="9" t="s">
        <v>1025</v>
      </c>
      <c r="D911" s="9" t="s">
        <v>619</v>
      </c>
      <c r="E911" s="9" t="s">
        <v>275</v>
      </c>
      <c r="F911" s="9" t="s">
        <v>203</v>
      </c>
      <c r="G911" s="9" t="s">
        <v>221</v>
      </c>
      <c r="H911" s="9" t="n">
        <v>910</v>
      </c>
      <c r="I911" s="29" t="n">
        <v>1.2</v>
      </c>
      <c r="J911" s="9" t="n">
        <v>0</v>
      </c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21" t="str">
        <f aca="false">IF(COUNT(K911:T911)=0,"SOURCE EMPTY / INDUSTRIAL ONLY",IF(MIN(K911:T911)=1,"SERVICE READY","HOLD"))</f>
        <v>SOURCE EMPTY / INDUSTRIAL ONLY</v>
      </c>
      <c r="V911" s="9" t="n">
        <f aca="false">IF(U911="SERVICE READY",1,0)</f>
        <v>0</v>
      </c>
      <c r="W911" s="6"/>
      <c r="X911" s="6"/>
      <c r="Y911" s="6"/>
      <c r="Z911" s="6"/>
    </row>
    <row r="912" customFormat="false" ht="15" hidden="false" customHeight="false" outlineLevel="0" collapsed="false">
      <c r="A912" s="9" t="s">
        <v>1133</v>
      </c>
      <c r="B912" s="9" t="s">
        <v>1024</v>
      </c>
      <c r="C912" s="9" t="s">
        <v>1025</v>
      </c>
      <c r="D912" s="9" t="s">
        <v>619</v>
      </c>
      <c r="E912" s="9" t="s">
        <v>275</v>
      </c>
      <c r="F912" s="9" t="s">
        <v>205</v>
      </c>
      <c r="G912" s="9" t="s">
        <v>221</v>
      </c>
      <c r="H912" s="9" t="n">
        <v>910</v>
      </c>
      <c r="I912" s="29" t="n">
        <v>1.2</v>
      </c>
      <c r="J912" s="9" t="n">
        <v>0</v>
      </c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21" t="str">
        <f aca="false">IF(COUNT(K912:T912)=0,"SOURCE EMPTY / INDUSTRIAL ONLY",IF(MIN(K912:T912)=1,"SERVICE READY","HOLD"))</f>
        <v>SOURCE EMPTY / INDUSTRIAL ONLY</v>
      </c>
      <c r="V912" s="9" t="n">
        <f aca="false">IF(U912="SERVICE READY",1,0)</f>
        <v>0</v>
      </c>
      <c r="W912" s="6"/>
      <c r="X912" s="6"/>
      <c r="Y912" s="6"/>
      <c r="Z912" s="6"/>
    </row>
    <row r="913" customFormat="false" ht="15" hidden="false" customHeight="false" outlineLevel="0" collapsed="false">
      <c r="A913" s="9" t="s">
        <v>1134</v>
      </c>
      <c r="B913" s="9" t="s">
        <v>1024</v>
      </c>
      <c r="C913" s="9" t="s">
        <v>1025</v>
      </c>
      <c r="D913" s="9" t="s">
        <v>619</v>
      </c>
      <c r="E913" s="9" t="s">
        <v>275</v>
      </c>
      <c r="F913" s="9" t="s">
        <v>207</v>
      </c>
      <c r="G913" s="9" t="s">
        <v>221</v>
      </c>
      <c r="H913" s="9" t="n">
        <v>910</v>
      </c>
      <c r="I913" s="29" t="n">
        <v>1.2</v>
      </c>
      <c r="J913" s="9" t="n">
        <v>0</v>
      </c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21" t="str">
        <f aca="false">IF(COUNT(K913:T913)=0,"SOURCE EMPTY / INDUSTRIAL ONLY",IF(MIN(K913:T913)=1,"SERVICE READY","HOLD"))</f>
        <v>SOURCE EMPTY / INDUSTRIAL ONLY</v>
      </c>
      <c r="V913" s="9" t="n">
        <f aca="false">IF(U913="SERVICE READY",1,0)</f>
        <v>0</v>
      </c>
      <c r="W913" s="6"/>
      <c r="X913" s="6"/>
      <c r="Y913" s="6"/>
      <c r="Z913" s="6"/>
    </row>
    <row r="914" customFormat="false" ht="15" hidden="false" customHeight="false" outlineLevel="0" collapsed="false">
      <c r="A914" s="9" t="s">
        <v>1135</v>
      </c>
      <c r="B914" s="9" t="s">
        <v>1024</v>
      </c>
      <c r="C914" s="9" t="s">
        <v>1025</v>
      </c>
      <c r="D914" s="9" t="s">
        <v>619</v>
      </c>
      <c r="E914" s="9" t="s">
        <v>275</v>
      </c>
      <c r="F914" s="9" t="s">
        <v>209</v>
      </c>
      <c r="G914" s="9" t="s">
        <v>221</v>
      </c>
      <c r="H914" s="9" t="n">
        <v>910</v>
      </c>
      <c r="I914" s="29" t="n">
        <v>1.2</v>
      </c>
      <c r="J914" s="9" t="n">
        <v>0</v>
      </c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21" t="str">
        <f aca="false">IF(COUNT(K914:T914)=0,"SOURCE EMPTY / INDUSTRIAL ONLY",IF(MIN(K914:T914)=1,"SERVICE READY","HOLD"))</f>
        <v>SOURCE EMPTY / INDUSTRIAL ONLY</v>
      </c>
      <c r="V914" s="9" t="n">
        <f aca="false">IF(U914="SERVICE READY",1,0)</f>
        <v>0</v>
      </c>
      <c r="W914" s="6"/>
      <c r="X914" s="6"/>
      <c r="Y914" s="6"/>
      <c r="Z914" s="6"/>
    </row>
    <row r="915" customFormat="false" ht="15" hidden="false" customHeight="false" outlineLevel="0" collapsed="false">
      <c r="A915" s="9" t="s">
        <v>1136</v>
      </c>
      <c r="B915" s="9" t="s">
        <v>1024</v>
      </c>
      <c r="C915" s="9" t="s">
        <v>1025</v>
      </c>
      <c r="D915" s="9" t="s">
        <v>619</v>
      </c>
      <c r="E915" s="9" t="s">
        <v>275</v>
      </c>
      <c r="F915" s="9" t="s">
        <v>211</v>
      </c>
      <c r="G915" s="9" t="s">
        <v>221</v>
      </c>
      <c r="H915" s="9" t="n">
        <v>910</v>
      </c>
      <c r="I915" s="29" t="n">
        <v>1.2</v>
      </c>
      <c r="J915" s="9" t="n">
        <v>0</v>
      </c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21" t="str">
        <f aca="false">IF(COUNT(K915:T915)=0,"SOURCE EMPTY / INDUSTRIAL ONLY",IF(MIN(K915:T915)=1,"SERVICE READY","HOLD"))</f>
        <v>SOURCE EMPTY / INDUSTRIAL ONLY</v>
      </c>
      <c r="V915" s="9" t="n">
        <f aca="false">IF(U915="SERVICE READY",1,0)</f>
        <v>0</v>
      </c>
      <c r="W915" s="6"/>
      <c r="X915" s="6"/>
      <c r="Y915" s="6"/>
      <c r="Z915" s="6"/>
    </row>
    <row r="916" customFormat="false" ht="15" hidden="false" customHeight="false" outlineLevel="0" collapsed="false">
      <c r="A916" s="9" t="s">
        <v>1137</v>
      </c>
      <c r="B916" s="9" t="s">
        <v>1024</v>
      </c>
      <c r="C916" s="9" t="s">
        <v>1025</v>
      </c>
      <c r="D916" s="9" t="s">
        <v>619</v>
      </c>
      <c r="E916" s="9" t="s">
        <v>275</v>
      </c>
      <c r="F916" s="9" t="s">
        <v>197</v>
      </c>
      <c r="G916" s="9" t="s">
        <v>221</v>
      </c>
      <c r="H916" s="9" t="n">
        <v>910</v>
      </c>
      <c r="I916" s="29" t="n">
        <v>1.2</v>
      </c>
      <c r="J916" s="9" t="n">
        <v>0</v>
      </c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21" t="str">
        <f aca="false">IF(COUNT(K916:T916)=0,"SOURCE EMPTY / INDUSTRIAL ONLY",IF(MIN(K916:T916)=1,"SERVICE READY","HOLD"))</f>
        <v>SOURCE EMPTY / INDUSTRIAL ONLY</v>
      </c>
      <c r="V916" s="9" t="n">
        <f aca="false">IF(U916="SERVICE READY",1,0)</f>
        <v>0</v>
      </c>
      <c r="W916" s="6"/>
      <c r="X916" s="6"/>
      <c r="Y916" s="6"/>
      <c r="Z916" s="6"/>
    </row>
    <row r="917" customFormat="false" ht="15" hidden="false" customHeight="false" outlineLevel="0" collapsed="false">
      <c r="A917" s="9" t="s">
        <v>1138</v>
      </c>
      <c r="B917" s="9" t="s">
        <v>1024</v>
      </c>
      <c r="C917" s="9" t="s">
        <v>1025</v>
      </c>
      <c r="D917" s="9" t="s">
        <v>619</v>
      </c>
      <c r="E917" s="9" t="s">
        <v>275</v>
      </c>
      <c r="F917" s="9" t="s">
        <v>200</v>
      </c>
      <c r="G917" s="9" t="s">
        <v>221</v>
      </c>
      <c r="H917" s="9" t="n">
        <v>910</v>
      </c>
      <c r="I917" s="29" t="n">
        <v>1.2</v>
      </c>
      <c r="J917" s="9" t="n">
        <v>0</v>
      </c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21" t="str">
        <f aca="false">IF(COUNT(K917:T917)=0,"SOURCE EMPTY / INDUSTRIAL ONLY",IF(MIN(K917:T917)=1,"SERVICE READY","HOLD"))</f>
        <v>SOURCE EMPTY / INDUSTRIAL ONLY</v>
      </c>
      <c r="V917" s="9" t="n">
        <f aca="false">IF(U917="SERVICE READY",1,0)</f>
        <v>0</v>
      </c>
      <c r="W917" s="6"/>
      <c r="X917" s="6"/>
      <c r="Y917" s="6"/>
      <c r="Z917" s="6"/>
    </row>
    <row r="918" customFormat="false" ht="15" hidden="false" customHeight="false" outlineLevel="0" collapsed="false">
      <c r="A918" s="9" t="s">
        <v>1139</v>
      </c>
      <c r="B918" s="9" t="s">
        <v>1140</v>
      </c>
      <c r="C918" s="9" t="s">
        <v>1141</v>
      </c>
      <c r="D918" s="9" t="s">
        <v>619</v>
      </c>
      <c r="E918" s="9" t="s">
        <v>773</v>
      </c>
      <c r="F918" s="9" t="s">
        <v>197</v>
      </c>
      <c r="G918" s="9" t="s">
        <v>198</v>
      </c>
      <c r="H918" s="9" t="n">
        <v>1170</v>
      </c>
      <c r="I918" s="29" t="n">
        <v>1</v>
      </c>
      <c r="J918" s="9" t="n">
        <v>1</v>
      </c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21" t="str">
        <f aca="false">IF(COUNT(K918:T918)=0,"SOURCE EMPTY / INDUSTRIAL ONLY",IF(MIN(K918:T918)=1,"SERVICE READY","HOLD"))</f>
        <v>SOURCE EMPTY / INDUSTRIAL ONLY</v>
      </c>
      <c r="V918" s="9" t="n">
        <f aca="false">IF(U918="SERVICE READY",1,0)</f>
        <v>0</v>
      </c>
      <c r="W918" s="6"/>
      <c r="X918" s="6"/>
      <c r="Y918" s="6"/>
      <c r="Z918" s="6"/>
    </row>
    <row r="919" customFormat="false" ht="15" hidden="false" customHeight="false" outlineLevel="0" collapsed="false">
      <c r="A919" s="9" t="s">
        <v>1142</v>
      </c>
      <c r="B919" s="9" t="s">
        <v>1140</v>
      </c>
      <c r="C919" s="9" t="s">
        <v>1141</v>
      </c>
      <c r="D919" s="9" t="s">
        <v>619</v>
      </c>
      <c r="E919" s="9" t="s">
        <v>773</v>
      </c>
      <c r="F919" s="9" t="s">
        <v>200</v>
      </c>
      <c r="G919" s="9" t="s">
        <v>201</v>
      </c>
      <c r="H919" s="9" t="n">
        <v>1170</v>
      </c>
      <c r="I919" s="29" t="n">
        <v>1</v>
      </c>
      <c r="J919" s="9" t="n">
        <v>1</v>
      </c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21" t="str">
        <f aca="false">IF(COUNT(K919:T919)=0,"SOURCE EMPTY / INDUSTRIAL ONLY",IF(MIN(K919:T919)=1,"SERVICE READY","HOLD"))</f>
        <v>SOURCE EMPTY / INDUSTRIAL ONLY</v>
      </c>
      <c r="V919" s="9" t="n">
        <f aca="false">IF(U919="SERVICE READY",1,0)</f>
        <v>0</v>
      </c>
      <c r="W919" s="6"/>
      <c r="X919" s="6"/>
      <c r="Y919" s="6"/>
      <c r="Z919" s="6"/>
    </row>
    <row r="920" customFormat="false" ht="15" hidden="false" customHeight="false" outlineLevel="0" collapsed="false">
      <c r="A920" s="9" t="s">
        <v>1143</v>
      </c>
      <c r="B920" s="9" t="s">
        <v>1140</v>
      </c>
      <c r="C920" s="9" t="s">
        <v>1141</v>
      </c>
      <c r="D920" s="9" t="s">
        <v>619</v>
      </c>
      <c r="E920" s="9" t="s">
        <v>773</v>
      </c>
      <c r="F920" s="9" t="s">
        <v>203</v>
      </c>
      <c r="G920" s="9" t="s">
        <v>198</v>
      </c>
      <c r="H920" s="9" t="n">
        <v>1170</v>
      </c>
      <c r="I920" s="29" t="n">
        <v>1</v>
      </c>
      <c r="J920" s="9" t="n">
        <v>1</v>
      </c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21" t="str">
        <f aca="false">IF(COUNT(K920:T920)=0,"SOURCE EMPTY / INDUSTRIAL ONLY",IF(MIN(K920:T920)=1,"SERVICE READY","HOLD"))</f>
        <v>SOURCE EMPTY / INDUSTRIAL ONLY</v>
      </c>
      <c r="V920" s="9" t="n">
        <f aca="false">IF(U920="SERVICE READY",1,0)</f>
        <v>0</v>
      </c>
      <c r="W920" s="6"/>
      <c r="X920" s="6"/>
      <c r="Y920" s="6"/>
      <c r="Z920" s="6"/>
    </row>
    <row r="921" customFormat="false" ht="15" hidden="false" customHeight="false" outlineLevel="0" collapsed="false">
      <c r="A921" s="9" t="s">
        <v>1144</v>
      </c>
      <c r="B921" s="9" t="s">
        <v>1140</v>
      </c>
      <c r="C921" s="9" t="s">
        <v>1141</v>
      </c>
      <c r="D921" s="9" t="s">
        <v>619</v>
      </c>
      <c r="E921" s="9" t="s">
        <v>773</v>
      </c>
      <c r="F921" s="9" t="s">
        <v>205</v>
      </c>
      <c r="G921" s="9" t="s">
        <v>201</v>
      </c>
      <c r="H921" s="9" t="n">
        <v>1170</v>
      </c>
      <c r="I921" s="29" t="n">
        <v>1</v>
      </c>
      <c r="J921" s="9" t="n">
        <v>1</v>
      </c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21" t="str">
        <f aca="false">IF(COUNT(K921:T921)=0,"SOURCE EMPTY / INDUSTRIAL ONLY",IF(MIN(K921:T921)=1,"SERVICE READY","HOLD"))</f>
        <v>SOURCE EMPTY / INDUSTRIAL ONLY</v>
      </c>
      <c r="V921" s="9" t="n">
        <f aca="false">IF(U921="SERVICE READY",1,0)</f>
        <v>0</v>
      </c>
      <c r="W921" s="6"/>
      <c r="X921" s="6"/>
      <c r="Y921" s="6"/>
      <c r="Z921" s="6"/>
    </row>
    <row r="922" customFormat="false" ht="15" hidden="false" customHeight="false" outlineLevel="0" collapsed="false">
      <c r="A922" s="9" t="s">
        <v>1145</v>
      </c>
      <c r="B922" s="9" t="s">
        <v>1140</v>
      </c>
      <c r="C922" s="9" t="s">
        <v>1141</v>
      </c>
      <c r="D922" s="9" t="s">
        <v>619</v>
      </c>
      <c r="E922" s="9" t="s">
        <v>773</v>
      </c>
      <c r="F922" s="9" t="s">
        <v>207</v>
      </c>
      <c r="G922" s="9" t="s">
        <v>198</v>
      </c>
      <c r="H922" s="9" t="n">
        <v>1170</v>
      </c>
      <c r="I922" s="29" t="n">
        <v>1</v>
      </c>
      <c r="J922" s="9" t="n">
        <v>1</v>
      </c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21" t="str">
        <f aca="false">IF(COUNT(K922:T922)=0,"SOURCE EMPTY / INDUSTRIAL ONLY",IF(MIN(K922:T922)=1,"SERVICE READY","HOLD"))</f>
        <v>SOURCE EMPTY / INDUSTRIAL ONLY</v>
      </c>
      <c r="V922" s="9" t="n">
        <f aca="false">IF(U922="SERVICE READY",1,0)</f>
        <v>0</v>
      </c>
      <c r="W922" s="6"/>
      <c r="X922" s="6"/>
      <c r="Y922" s="6"/>
      <c r="Z922" s="6"/>
    </row>
    <row r="923" customFormat="false" ht="15" hidden="false" customHeight="false" outlineLevel="0" collapsed="false">
      <c r="A923" s="9" t="s">
        <v>1146</v>
      </c>
      <c r="B923" s="9" t="s">
        <v>1140</v>
      </c>
      <c r="C923" s="9" t="s">
        <v>1141</v>
      </c>
      <c r="D923" s="9" t="s">
        <v>619</v>
      </c>
      <c r="E923" s="9" t="s">
        <v>773</v>
      </c>
      <c r="F923" s="9" t="s">
        <v>209</v>
      </c>
      <c r="G923" s="9" t="s">
        <v>201</v>
      </c>
      <c r="H923" s="9" t="n">
        <v>1170</v>
      </c>
      <c r="I923" s="29" t="n">
        <v>1</v>
      </c>
      <c r="J923" s="9" t="n">
        <v>1</v>
      </c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21" t="str">
        <f aca="false">IF(COUNT(K923:T923)=0,"SOURCE EMPTY / INDUSTRIAL ONLY",IF(MIN(K923:T923)=1,"SERVICE READY","HOLD"))</f>
        <v>SOURCE EMPTY / INDUSTRIAL ONLY</v>
      </c>
      <c r="V923" s="9" t="n">
        <f aca="false">IF(U923="SERVICE READY",1,0)</f>
        <v>0</v>
      </c>
      <c r="W923" s="6"/>
      <c r="X923" s="6"/>
      <c r="Y923" s="6"/>
      <c r="Z923" s="6"/>
    </row>
    <row r="924" customFormat="false" ht="15" hidden="false" customHeight="false" outlineLevel="0" collapsed="false">
      <c r="A924" s="9" t="s">
        <v>1147</v>
      </c>
      <c r="B924" s="9" t="s">
        <v>1140</v>
      </c>
      <c r="C924" s="9" t="s">
        <v>1141</v>
      </c>
      <c r="D924" s="9" t="s">
        <v>619</v>
      </c>
      <c r="E924" s="9" t="s">
        <v>773</v>
      </c>
      <c r="F924" s="9" t="s">
        <v>211</v>
      </c>
      <c r="G924" s="9" t="s">
        <v>198</v>
      </c>
      <c r="H924" s="9" t="n">
        <v>1170</v>
      </c>
      <c r="I924" s="29" t="n">
        <v>1</v>
      </c>
      <c r="J924" s="9" t="n">
        <v>1</v>
      </c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21" t="str">
        <f aca="false">IF(COUNT(K924:T924)=0,"SOURCE EMPTY / INDUSTRIAL ONLY",IF(MIN(K924:T924)=1,"SERVICE READY","HOLD"))</f>
        <v>SOURCE EMPTY / INDUSTRIAL ONLY</v>
      </c>
      <c r="V924" s="9" t="n">
        <f aca="false">IF(U924="SERVICE READY",1,0)</f>
        <v>0</v>
      </c>
      <c r="W924" s="6"/>
      <c r="X924" s="6"/>
      <c r="Y924" s="6"/>
      <c r="Z924" s="6"/>
    </row>
    <row r="925" customFormat="false" ht="15" hidden="false" customHeight="false" outlineLevel="0" collapsed="false">
      <c r="A925" s="9" t="s">
        <v>1148</v>
      </c>
      <c r="B925" s="9" t="s">
        <v>1140</v>
      </c>
      <c r="C925" s="9" t="s">
        <v>1141</v>
      </c>
      <c r="D925" s="9" t="s">
        <v>619</v>
      </c>
      <c r="E925" s="9" t="s">
        <v>773</v>
      </c>
      <c r="F925" s="9" t="s">
        <v>197</v>
      </c>
      <c r="G925" s="9" t="s">
        <v>201</v>
      </c>
      <c r="H925" s="9" t="n">
        <v>1170</v>
      </c>
      <c r="I925" s="29" t="n">
        <v>1</v>
      </c>
      <c r="J925" s="9" t="n">
        <v>1</v>
      </c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21" t="str">
        <f aca="false">IF(COUNT(K925:T925)=0,"SOURCE EMPTY / INDUSTRIAL ONLY",IF(MIN(K925:T925)=1,"SERVICE READY","HOLD"))</f>
        <v>SOURCE EMPTY / INDUSTRIAL ONLY</v>
      </c>
      <c r="V925" s="9" t="n">
        <f aca="false">IF(U925="SERVICE READY",1,0)</f>
        <v>0</v>
      </c>
      <c r="W925" s="6"/>
      <c r="X925" s="6"/>
      <c r="Y925" s="6"/>
      <c r="Z925" s="6"/>
    </row>
    <row r="926" customFormat="false" ht="15" hidden="false" customHeight="false" outlineLevel="0" collapsed="false">
      <c r="A926" s="9" t="s">
        <v>1149</v>
      </c>
      <c r="B926" s="9" t="s">
        <v>1140</v>
      </c>
      <c r="C926" s="9" t="s">
        <v>1141</v>
      </c>
      <c r="D926" s="9" t="s">
        <v>619</v>
      </c>
      <c r="E926" s="9" t="s">
        <v>773</v>
      </c>
      <c r="F926" s="9" t="s">
        <v>200</v>
      </c>
      <c r="G926" s="9" t="s">
        <v>221</v>
      </c>
      <c r="H926" s="9" t="n">
        <v>1170</v>
      </c>
      <c r="I926" s="29" t="n">
        <v>1</v>
      </c>
      <c r="J926" s="9" t="n">
        <v>1</v>
      </c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21" t="str">
        <f aca="false">IF(COUNT(K926:T926)=0,"SOURCE EMPTY / INDUSTRIAL ONLY",IF(MIN(K926:T926)=1,"SERVICE READY","HOLD"))</f>
        <v>SOURCE EMPTY / INDUSTRIAL ONLY</v>
      </c>
      <c r="V926" s="9" t="n">
        <f aca="false">IF(U926="SERVICE READY",1,0)</f>
        <v>0</v>
      </c>
      <c r="W926" s="6"/>
      <c r="X926" s="6"/>
      <c r="Y926" s="6"/>
      <c r="Z926" s="6"/>
    </row>
    <row r="927" customFormat="false" ht="15" hidden="false" customHeight="false" outlineLevel="0" collapsed="false">
      <c r="A927" s="9" t="s">
        <v>1150</v>
      </c>
      <c r="B927" s="9" t="s">
        <v>1140</v>
      </c>
      <c r="C927" s="9" t="s">
        <v>1141</v>
      </c>
      <c r="D927" s="9" t="s">
        <v>619</v>
      </c>
      <c r="E927" s="9" t="s">
        <v>773</v>
      </c>
      <c r="F927" s="9" t="s">
        <v>203</v>
      </c>
      <c r="G927" s="9" t="s">
        <v>221</v>
      </c>
      <c r="H927" s="9" t="n">
        <v>1170</v>
      </c>
      <c r="I927" s="29" t="n">
        <v>1</v>
      </c>
      <c r="J927" s="9" t="n">
        <v>1</v>
      </c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21" t="str">
        <f aca="false">IF(COUNT(K927:T927)=0,"SOURCE EMPTY / INDUSTRIAL ONLY",IF(MIN(K927:T927)=1,"SERVICE READY","HOLD"))</f>
        <v>SOURCE EMPTY / INDUSTRIAL ONLY</v>
      </c>
      <c r="V927" s="9" t="n">
        <f aca="false">IF(U927="SERVICE READY",1,0)</f>
        <v>0</v>
      </c>
      <c r="W927" s="6"/>
      <c r="X927" s="6"/>
      <c r="Y927" s="6"/>
      <c r="Z927" s="6"/>
    </row>
    <row r="928" customFormat="false" ht="15" hidden="false" customHeight="false" outlineLevel="0" collapsed="false">
      <c r="A928" s="9" t="s">
        <v>1151</v>
      </c>
      <c r="B928" s="9" t="s">
        <v>1140</v>
      </c>
      <c r="C928" s="9" t="s">
        <v>1141</v>
      </c>
      <c r="D928" s="9" t="s">
        <v>619</v>
      </c>
      <c r="E928" s="9" t="s">
        <v>773</v>
      </c>
      <c r="F928" s="9" t="s">
        <v>205</v>
      </c>
      <c r="G928" s="9" t="s">
        <v>221</v>
      </c>
      <c r="H928" s="9" t="n">
        <v>1170</v>
      </c>
      <c r="I928" s="29" t="n">
        <v>1</v>
      </c>
      <c r="J928" s="9" t="n">
        <v>1</v>
      </c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21" t="str">
        <f aca="false">IF(COUNT(K928:T928)=0,"SOURCE EMPTY / INDUSTRIAL ONLY",IF(MIN(K928:T928)=1,"SERVICE READY","HOLD"))</f>
        <v>SOURCE EMPTY / INDUSTRIAL ONLY</v>
      </c>
      <c r="V928" s="9" t="n">
        <f aca="false">IF(U928="SERVICE READY",1,0)</f>
        <v>0</v>
      </c>
      <c r="W928" s="6"/>
      <c r="X928" s="6"/>
      <c r="Y928" s="6"/>
      <c r="Z928" s="6"/>
    </row>
    <row r="929" customFormat="false" ht="15" hidden="false" customHeight="false" outlineLevel="0" collapsed="false">
      <c r="A929" s="9" t="s">
        <v>1152</v>
      </c>
      <c r="B929" s="9" t="s">
        <v>1140</v>
      </c>
      <c r="C929" s="9" t="s">
        <v>1141</v>
      </c>
      <c r="D929" s="9" t="s">
        <v>619</v>
      </c>
      <c r="E929" s="9" t="s">
        <v>773</v>
      </c>
      <c r="F929" s="9" t="s">
        <v>207</v>
      </c>
      <c r="G929" s="9" t="s">
        <v>221</v>
      </c>
      <c r="H929" s="9" t="n">
        <v>1170</v>
      </c>
      <c r="I929" s="29" t="n">
        <v>1</v>
      </c>
      <c r="J929" s="9" t="n">
        <v>1</v>
      </c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21" t="str">
        <f aca="false">IF(COUNT(K929:T929)=0,"SOURCE EMPTY / INDUSTRIAL ONLY",IF(MIN(K929:T929)=1,"SERVICE READY","HOLD"))</f>
        <v>SOURCE EMPTY / INDUSTRIAL ONLY</v>
      </c>
      <c r="V929" s="9" t="n">
        <f aca="false">IF(U929="SERVICE READY",1,0)</f>
        <v>0</v>
      </c>
      <c r="W929" s="6"/>
      <c r="X929" s="6"/>
      <c r="Y929" s="6"/>
      <c r="Z929" s="6"/>
    </row>
    <row r="930" customFormat="false" ht="15" hidden="false" customHeight="false" outlineLevel="0" collapsed="false">
      <c r="A930" s="9" t="s">
        <v>1153</v>
      </c>
      <c r="B930" s="9" t="s">
        <v>1140</v>
      </c>
      <c r="C930" s="9" t="s">
        <v>1141</v>
      </c>
      <c r="D930" s="9" t="s">
        <v>619</v>
      </c>
      <c r="E930" s="9" t="s">
        <v>773</v>
      </c>
      <c r="F930" s="9" t="s">
        <v>209</v>
      </c>
      <c r="G930" s="9" t="s">
        <v>221</v>
      </c>
      <c r="H930" s="9" t="n">
        <v>1170</v>
      </c>
      <c r="I930" s="29" t="n">
        <v>1</v>
      </c>
      <c r="J930" s="9" t="n">
        <v>1</v>
      </c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21" t="str">
        <f aca="false">IF(COUNT(K930:T930)=0,"SOURCE EMPTY / INDUSTRIAL ONLY",IF(MIN(K930:T930)=1,"SERVICE READY","HOLD"))</f>
        <v>SOURCE EMPTY / INDUSTRIAL ONLY</v>
      </c>
      <c r="V930" s="9" t="n">
        <f aca="false">IF(U930="SERVICE READY",1,0)</f>
        <v>0</v>
      </c>
      <c r="W930" s="6"/>
      <c r="X930" s="6"/>
      <c r="Y930" s="6"/>
      <c r="Z930" s="6"/>
    </row>
    <row r="931" customFormat="false" ht="15" hidden="false" customHeight="false" outlineLevel="0" collapsed="false">
      <c r="A931" s="9" t="s">
        <v>1154</v>
      </c>
      <c r="B931" s="9" t="s">
        <v>1140</v>
      </c>
      <c r="C931" s="9" t="s">
        <v>1141</v>
      </c>
      <c r="D931" s="9" t="s">
        <v>619</v>
      </c>
      <c r="E931" s="9" t="s">
        <v>773</v>
      </c>
      <c r="F931" s="9" t="s">
        <v>211</v>
      </c>
      <c r="G931" s="9" t="s">
        <v>221</v>
      </c>
      <c r="H931" s="9" t="n">
        <v>1170</v>
      </c>
      <c r="I931" s="29" t="n">
        <v>1</v>
      </c>
      <c r="J931" s="9" t="n">
        <v>1</v>
      </c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21" t="str">
        <f aca="false">IF(COUNT(K931:T931)=0,"SOURCE EMPTY / INDUSTRIAL ONLY",IF(MIN(K931:T931)=1,"SERVICE READY","HOLD"))</f>
        <v>SOURCE EMPTY / INDUSTRIAL ONLY</v>
      </c>
      <c r="V931" s="9" t="n">
        <f aca="false">IF(U931="SERVICE READY",1,0)</f>
        <v>0</v>
      </c>
      <c r="W931" s="6"/>
      <c r="X931" s="6"/>
      <c r="Y931" s="6"/>
      <c r="Z931" s="6"/>
    </row>
    <row r="932" customFormat="false" ht="15" hidden="false" customHeight="false" outlineLevel="0" collapsed="false">
      <c r="A932" s="9" t="s">
        <v>1155</v>
      </c>
      <c r="B932" s="9" t="s">
        <v>1140</v>
      </c>
      <c r="C932" s="9" t="s">
        <v>1141</v>
      </c>
      <c r="D932" s="9" t="s">
        <v>619</v>
      </c>
      <c r="E932" s="9" t="s">
        <v>773</v>
      </c>
      <c r="F932" s="9" t="s">
        <v>197</v>
      </c>
      <c r="G932" s="9" t="s">
        <v>221</v>
      </c>
      <c r="H932" s="9" t="n">
        <v>1170</v>
      </c>
      <c r="I932" s="29" t="n">
        <v>1</v>
      </c>
      <c r="J932" s="9" t="n">
        <v>1</v>
      </c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21" t="str">
        <f aca="false">IF(COUNT(K932:T932)=0,"SOURCE EMPTY / INDUSTRIAL ONLY",IF(MIN(K932:T932)=1,"SERVICE READY","HOLD"))</f>
        <v>SOURCE EMPTY / INDUSTRIAL ONLY</v>
      </c>
      <c r="V932" s="9" t="n">
        <f aca="false">IF(U932="SERVICE READY",1,0)</f>
        <v>0</v>
      </c>
      <c r="W932" s="6"/>
      <c r="X932" s="6"/>
      <c r="Y932" s="6"/>
      <c r="Z932" s="6"/>
    </row>
    <row r="933" customFormat="false" ht="15" hidden="false" customHeight="false" outlineLevel="0" collapsed="false">
      <c r="A933" s="9" t="s">
        <v>1156</v>
      </c>
      <c r="B933" s="9" t="s">
        <v>1140</v>
      </c>
      <c r="C933" s="9" t="s">
        <v>1141</v>
      </c>
      <c r="D933" s="9" t="s">
        <v>619</v>
      </c>
      <c r="E933" s="9" t="s">
        <v>773</v>
      </c>
      <c r="F933" s="9" t="s">
        <v>200</v>
      </c>
      <c r="G933" s="9" t="s">
        <v>221</v>
      </c>
      <c r="H933" s="9" t="n">
        <v>1170</v>
      </c>
      <c r="I933" s="29" t="n">
        <v>1</v>
      </c>
      <c r="J933" s="9" t="n">
        <v>1</v>
      </c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21" t="str">
        <f aca="false">IF(COUNT(K933:T933)=0,"SOURCE EMPTY / INDUSTRIAL ONLY",IF(MIN(K933:T933)=1,"SERVICE READY","HOLD"))</f>
        <v>SOURCE EMPTY / INDUSTRIAL ONLY</v>
      </c>
      <c r="V933" s="9" t="n">
        <f aca="false">IF(U933="SERVICE READY",1,0)</f>
        <v>0</v>
      </c>
      <c r="W933" s="6"/>
      <c r="X933" s="6"/>
      <c r="Y933" s="6"/>
      <c r="Z933" s="6"/>
    </row>
    <row r="934" customFormat="false" ht="15" hidden="false" customHeight="false" outlineLevel="0" collapsed="false">
      <c r="A934" s="9" t="s">
        <v>1157</v>
      </c>
      <c r="B934" s="9" t="s">
        <v>1140</v>
      </c>
      <c r="C934" s="9" t="s">
        <v>1141</v>
      </c>
      <c r="D934" s="9" t="s">
        <v>619</v>
      </c>
      <c r="E934" s="9" t="s">
        <v>773</v>
      </c>
      <c r="F934" s="9" t="s">
        <v>203</v>
      </c>
      <c r="G934" s="9" t="s">
        <v>221</v>
      </c>
      <c r="H934" s="9" t="n">
        <v>1170</v>
      </c>
      <c r="I934" s="29" t="n">
        <v>1</v>
      </c>
      <c r="J934" s="9" t="n">
        <v>1</v>
      </c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21" t="str">
        <f aca="false">IF(COUNT(K934:T934)=0,"SOURCE EMPTY / INDUSTRIAL ONLY",IF(MIN(K934:T934)=1,"SERVICE READY","HOLD"))</f>
        <v>SOURCE EMPTY / INDUSTRIAL ONLY</v>
      </c>
      <c r="V934" s="9" t="n">
        <f aca="false">IF(U934="SERVICE READY",1,0)</f>
        <v>0</v>
      </c>
      <c r="W934" s="6"/>
      <c r="X934" s="6"/>
      <c r="Y934" s="6"/>
      <c r="Z934" s="6"/>
    </row>
    <row r="935" customFormat="false" ht="15" hidden="false" customHeight="false" outlineLevel="0" collapsed="false">
      <c r="A935" s="9" t="s">
        <v>1158</v>
      </c>
      <c r="B935" s="9" t="s">
        <v>1140</v>
      </c>
      <c r="C935" s="9" t="s">
        <v>1141</v>
      </c>
      <c r="D935" s="9" t="s">
        <v>619</v>
      </c>
      <c r="E935" s="9" t="s">
        <v>773</v>
      </c>
      <c r="F935" s="9" t="s">
        <v>205</v>
      </c>
      <c r="G935" s="9" t="s">
        <v>221</v>
      </c>
      <c r="H935" s="9" t="n">
        <v>1170</v>
      </c>
      <c r="I935" s="29" t="n">
        <v>1</v>
      </c>
      <c r="J935" s="9" t="n">
        <v>1</v>
      </c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21" t="str">
        <f aca="false">IF(COUNT(K935:T935)=0,"SOURCE EMPTY / INDUSTRIAL ONLY",IF(MIN(K935:T935)=1,"SERVICE READY","HOLD"))</f>
        <v>SOURCE EMPTY / INDUSTRIAL ONLY</v>
      </c>
      <c r="V935" s="9" t="n">
        <f aca="false">IF(U935="SERVICE READY",1,0)</f>
        <v>0</v>
      </c>
      <c r="W935" s="6"/>
      <c r="X935" s="6"/>
      <c r="Y935" s="6"/>
      <c r="Z935" s="6"/>
    </row>
    <row r="936" customFormat="false" ht="15" hidden="false" customHeight="false" outlineLevel="0" collapsed="false">
      <c r="A936" s="9" t="s">
        <v>1159</v>
      </c>
      <c r="B936" s="9" t="s">
        <v>1140</v>
      </c>
      <c r="C936" s="9" t="s">
        <v>1141</v>
      </c>
      <c r="D936" s="9" t="s">
        <v>619</v>
      </c>
      <c r="E936" s="9" t="s">
        <v>773</v>
      </c>
      <c r="F936" s="9" t="s">
        <v>207</v>
      </c>
      <c r="G936" s="9" t="s">
        <v>221</v>
      </c>
      <c r="H936" s="9" t="n">
        <v>1170</v>
      </c>
      <c r="I936" s="29" t="n">
        <v>1</v>
      </c>
      <c r="J936" s="9" t="n">
        <v>1</v>
      </c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21" t="str">
        <f aca="false">IF(COUNT(K936:T936)=0,"SOURCE EMPTY / INDUSTRIAL ONLY",IF(MIN(K936:T936)=1,"SERVICE READY","HOLD"))</f>
        <v>SOURCE EMPTY / INDUSTRIAL ONLY</v>
      </c>
      <c r="V936" s="9" t="n">
        <f aca="false">IF(U936="SERVICE READY",1,0)</f>
        <v>0</v>
      </c>
      <c r="W936" s="6"/>
      <c r="X936" s="6"/>
      <c r="Y936" s="6"/>
      <c r="Z936" s="6"/>
    </row>
    <row r="937" customFormat="false" ht="15" hidden="false" customHeight="false" outlineLevel="0" collapsed="false">
      <c r="A937" s="9" t="s">
        <v>1160</v>
      </c>
      <c r="B937" s="9" t="s">
        <v>1140</v>
      </c>
      <c r="C937" s="9" t="s">
        <v>1141</v>
      </c>
      <c r="D937" s="9" t="s">
        <v>619</v>
      </c>
      <c r="E937" s="9" t="s">
        <v>773</v>
      </c>
      <c r="F937" s="9" t="s">
        <v>209</v>
      </c>
      <c r="G937" s="9" t="s">
        <v>221</v>
      </c>
      <c r="H937" s="9" t="n">
        <v>1170</v>
      </c>
      <c r="I937" s="29" t="n">
        <v>1</v>
      </c>
      <c r="J937" s="9" t="n">
        <v>1</v>
      </c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21" t="str">
        <f aca="false">IF(COUNT(K937:T937)=0,"SOURCE EMPTY / INDUSTRIAL ONLY",IF(MIN(K937:T937)=1,"SERVICE READY","HOLD"))</f>
        <v>SOURCE EMPTY / INDUSTRIAL ONLY</v>
      </c>
      <c r="V937" s="9" t="n">
        <f aca="false">IF(U937="SERVICE READY",1,0)</f>
        <v>0</v>
      </c>
      <c r="W937" s="6"/>
      <c r="X937" s="6"/>
      <c r="Y937" s="6"/>
      <c r="Z937" s="6"/>
    </row>
    <row r="938" customFormat="false" ht="15" hidden="false" customHeight="false" outlineLevel="0" collapsed="false">
      <c r="A938" s="9" t="s">
        <v>1161</v>
      </c>
      <c r="B938" s="9" t="s">
        <v>1140</v>
      </c>
      <c r="C938" s="9" t="s">
        <v>1141</v>
      </c>
      <c r="D938" s="9" t="s">
        <v>619</v>
      </c>
      <c r="E938" s="9" t="s">
        <v>773</v>
      </c>
      <c r="F938" s="9" t="s">
        <v>211</v>
      </c>
      <c r="G938" s="9" t="s">
        <v>221</v>
      </c>
      <c r="H938" s="9" t="n">
        <v>1170</v>
      </c>
      <c r="I938" s="29" t="n">
        <v>1</v>
      </c>
      <c r="J938" s="9" t="n">
        <v>1</v>
      </c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21" t="str">
        <f aca="false">IF(COUNT(K938:T938)=0,"SOURCE EMPTY / INDUSTRIAL ONLY",IF(MIN(K938:T938)=1,"SERVICE READY","HOLD"))</f>
        <v>SOURCE EMPTY / INDUSTRIAL ONLY</v>
      </c>
      <c r="V938" s="9" t="n">
        <f aca="false">IF(U938="SERVICE READY",1,0)</f>
        <v>0</v>
      </c>
      <c r="W938" s="6"/>
      <c r="X938" s="6"/>
      <c r="Y938" s="6"/>
      <c r="Z938" s="6"/>
    </row>
    <row r="939" customFormat="false" ht="15" hidden="false" customHeight="false" outlineLevel="0" collapsed="false">
      <c r="A939" s="9" t="s">
        <v>1162</v>
      </c>
      <c r="B939" s="9" t="s">
        <v>1140</v>
      </c>
      <c r="C939" s="9" t="s">
        <v>1141</v>
      </c>
      <c r="D939" s="9" t="s">
        <v>619</v>
      </c>
      <c r="E939" s="9" t="s">
        <v>773</v>
      </c>
      <c r="F939" s="9" t="s">
        <v>197</v>
      </c>
      <c r="G939" s="9" t="s">
        <v>221</v>
      </c>
      <c r="H939" s="9" t="n">
        <v>1170</v>
      </c>
      <c r="I939" s="29" t="n">
        <v>1</v>
      </c>
      <c r="J939" s="9" t="n">
        <v>1</v>
      </c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21" t="str">
        <f aca="false">IF(COUNT(K939:T939)=0,"SOURCE EMPTY / INDUSTRIAL ONLY",IF(MIN(K939:T939)=1,"SERVICE READY","HOLD"))</f>
        <v>SOURCE EMPTY / INDUSTRIAL ONLY</v>
      </c>
      <c r="V939" s="9" t="n">
        <f aca="false">IF(U939="SERVICE READY",1,0)</f>
        <v>0</v>
      </c>
      <c r="W939" s="6"/>
      <c r="X939" s="6"/>
      <c r="Y939" s="6"/>
      <c r="Z939" s="6"/>
    </row>
    <row r="940" customFormat="false" ht="15" hidden="false" customHeight="false" outlineLevel="0" collapsed="false">
      <c r="A940" s="9" t="s">
        <v>1163</v>
      </c>
      <c r="B940" s="9" t="s">
        <v>1140</v>
      </c>
      <c r="C940" s="9" t="s">
        <v>1141</v>
      </c>
      <c r="D940" s="9" t="s">
        <v>619</v>
      </c>
      <c r="E940" s="9" t="s">
        <v>773</v>
      </c>
      <c r="F940" s="9" t="s">
        <v>200</v>
      </c>
      <c r="G940" s="9" t="s">
        <v>221</v>
      </c>
      <c r="H940" s="9" t="n">
        <v>1170</v>
      </c>
      <c r="I940" s="29" t="n">
        <v>1</v>
      </c>
      <c r="J940" s="9" t="n">
        <v>1</v>
      </c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21" t="str">
        <f aca="false">IF(COUNT(K940:T940)=0,"SOURCE EMPTY / INDUSTRIAL ONLY",IF(MIN(K940:T940)=1,"SERVICE READY","HOLD"))</f>
        <v>SOURCE EMPTY / INDUSTRIAL ONLY</v>
      </c>
      <c r="V940" s="9" t="n">
        <f aca="false">IF(U940="SERVICE READY",1,0)</f>
        <v>0</v>
      </c>
      <c r="W940" s="6"/>
      <c r="X940" s="6"/>
      <c r="Y940" s="6"/>
      <c r="Z940" s="6"/>
    </row>
    <row r="941" customFormat="false" ht="15" hidden="false" customHeight="false" outlineLevel="0" collapsed="false">
      <c r="A941" s="9" t="s">
        <v>1164</v>
      </c>
      <c r="B941" s="9" t="s">
        <v>1140</v>
      </c>
      <c r="C941" s="9" t="s">
        <v>1141</v>
      </c>
      <c r="D941" s="9" t="s">
        <v>619</v>
      </c>
      <c r="E941" s="9" t="s">
        <v>773</v>
      </c>
      <c r="F941" s="9" t="s">
        <v>203</v>
      </c>
      <c r="G941" s="9" t="s">
        <v>221</v>
      </c>
      <c r="H941" s="9" t="n">
        <v>1170</v>
      </c>
      <c r="I941" s="29" t="n">
        <v>1</v>
      </c>
      <c r="J941" s="9" t="n">
        <v>1</v>
      </c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21" t="str">
        <f aca="false">IF(COUNT(K941:T941)=0,"SOURCE EMPTY / INDUSTRIAL ONLY",IF(MIN(K941:T941)=1,"SERVICE READY","HOLD"))</f>
        <v>SOURCE EMPTY / INDUSTRIAL ONLY</v>
      </c>
      <c r="V941" s="9" t="n">
        <f aca="false">IF(U941="SERVICE READY",1,0)</f>
        <v>0</v>
      </c>
      <c r="W941" s="6"/>
      <c r="X941" s="6"/>
      <c r="Y941" s="6"/>
      <c r="Z941" s="6"/>
    </row>
    <row r="942" customFormat="false" ht="15" hidden="false" customHeight="false" outlineLevel="0" collapsed="false">
      <c r="A942" s="9" t="s">
        <v>1165</v>
      </c>
      <c r="B942" s="9" t="s">
        <v>1140</v>
      </c>
      <c r="C942" s="9" t="s">
        <v>1141</v>
      </c>
      <c r="D942" s="9" t="s">
        <v>619</v>
      </c>
      <c r="E942" s="9" t="s">
        <v>773</v>
      </c>
      <c r="F942" s="9" t="s">
        <v>205</v>
      </c>
      <c r="G942" s="9" t="s">
        <v>221</v>
      </c>
      <c r="H942" s="9" t="n">
        <v>1170</v>
      </c>
      <c r="I942" s="29" t="n">
        <v>1</v>
      </c>
      <c r="J942" s="9" t="n">
        <v>1</v>
      </c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21" t="str">
        <f aca="false">IF(COUNT(K942:T942)=0,"SOURCE EMPTY / INDUSTRIAL ONLY",IF(MIN(K942:T942)=1,"SERVICE READY","HOLD"))</f>
        <v>SOURCE EMPTY / INDUSTRIAL ONLY</v>
      </c>
      <c r="V942" s="9" t="n">
        <f aca="false">IF(U942="SERVICE READY",1,0)</f>
        <v>0</v>
      </c>
      <c r="W942" s="6"/>
      <c r="X942" s="6"/>
      <c r="Y942" s="6"/>
      <c r="Z942" s="6"/>
    </row>
    <row r="943" customFormat="false" ht="15" hidden="false" customHeight="false" outlineLevel="0" collapsed="false">
      <c r="A943" s="9" t="s">
        <v>1166</v>
      </c>
      <c r="B943" s="9" t="s">
        <v>1140</v>
      </c>
      <c r="C943" s="9" t="s">
        <v>1141</v>
      </c>
      <c r="D943" s="9" t="s">
        <v>619</v>
      </c>
      <c r="E943" s="9" t="s">
        <v>773</v>
      </c>
      <c r="F943" s="9" t="s">
        <v>207</v>
      </c>
      <c r="G943" s="9" t="s">
        <v>221</v>
      </c>
      <c r="H943" s="9" t="n">
        <v>1170</v>
      </c>
      <c r="I943" s="29" t="n">
        <v>1</v>
      </c>
      <c r="J943" s="9" t="n">
        <v>1</v>
      </c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21" t="str">
        <f aca="false">IF(COUNT(K943:T943)=0,"SOURCE EMPTY / INDUSTRIAL ONLY",IF(MIN(K943:T943)=1,"SERVICE READY","HOLD"))</f>
        <v>SOURCE EMPTY / INDUSTRIAL ONLY</v>
      </c>
      <c r="V943" s="9" t="n">
        <f aca="false">IF(U943="SERVICE READY",1,0)</f>
        <v>0</v>
      </c>
      <c r="W943" s="6"/>
      <c r="X943" s="6"/>
      <c r="Y943" s="6"/>
      <c r="Z943" s="6"/>
    </row>
    <row r="944" customFormat="false" ht="15" hidden="false" customHeight="false" outlineLevel="0" collapsed="false">
      <c r="A944" s="9" t="s">
        <v>1167</v>
      </c>
      <c r="B944" s="9" t="s">
        <v>1140</v>
      </c>
      <c r="C944" s="9" t="s">
        <v>1141</v>
      </c>
      <c r="D944" s="9" t="s">
        <v>619</v>
      </c>
      <c r="E944" s="9" t="s">
        <v>773</v>
      </c>
      <c r="F944" s="9" t="s">
        <v>209</v>
      </c>
      <c r="G944" s="9" t="s">
        <v>221</v>
      </c>
      <c r="H944" s="9" t="n">
        <v>1170</v>
      </c>
      <c r="I944" s="29" t="n">
        <v>1</v>
      </c>
      <c r="J944" s="9" t="n">
        <v>1</v>
      </c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21" t="str">
        <f aca="false">IF(COUNT(K944:T944)=0,"SOURCE EMPTY / INDUSTRIAL ONLY",IF(MIN(K944:T944)=1,"SERVICE READY","HOLD"))</f>
        <v>SOURCE EMPTY / INDUSTRIAL ONLY</v>
      </c>
      <c r="V944" s="9" t="n">
        <f aca="false">IF(U944="SERVICE READY",1,0)</f>
        <v>0</v>
      </c>
      <c r="W944" s="6"/>
      <c r="X944" s="6"/>
      <c r="Y944" s="6"/>
      <c r="Z944" s="6"/>
    </row>
    <row r="945" customFormat="false" ht="15" hidden="false" customHeight="false" outlineLevel="0" collapsed="false">
      <c r="A945" s="9" t="s">
        <v>1168</v>
      </c>
      <c r="B945" s="9" t="s">
        <v>1140</v>
      </c>
      <c r="C945" s="9" t="s">
        <v>1141</v>
      </c>
      <c r="D945" s="9" t="s">
        <v>619</v>
      </c>
      <c r="E945" s="9" t="s">
        <v>773</v>
      </c>
      <c r="F945" s="9" t="s">
        <v>211</v>
      </c>
      <c r="G945" s="9" t="s">
        <v>221</v>
      </c>
      <c r="H945" s="9" t="n">
        <v>1170</v>
      </c>
      <c r="I945" s="29" t="n">
        <v>1</v>
      </c>
      <c r="J945" s="9" t="n">
        <v>1</v>
      </c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21" t="str">
        <f aca="false">IF(COUNT(K945:T945)=0,"SOURCE EMPTY / INDUSTRIAL ONLY",IF(MIN(K945:T945)=1,"SERVICE READY","HOLD"))</f>
        <v>SOURCE EMPTY / INDUSTRIAL ONLY</v>
      </c>
      <c r="V945" s="9" t="n">
        <f aca="false">IF(U945="SERVICE READY",1,0)</f>
        <v>0</v>
      </c>
      <c r="W945" s="6"/>
      <c r="X945" s="6"/>
      <c r="Y945" s="6"/>
      <c r="Z945" s="6"/>
    </row>
    <row r="946" customFormat="false" ht="15" hidden="false" customHeight="false" outlineLevel="0" collapsed="false">
      <c r="A946" s="9" t="s">
        <v>1169</v>
      </c>
      <c r="B946" s="9" t="s">
        <v>1140</v>
      </c>
      <c r="C946" s="9" t="s">
        <v>1141</v>
      </c>
      <c r="D946" s="9" t="s">
        <v>619</v>
      </c>
      <c r="E946" s="9" t="s">
        <v>773</v>
      </c>
      <c r="F946" s="9" t="s">
        <v>197</v>
      </c>
      <c r="G946" s="9" t="s">
        <v>221</v>
      </c>
      <c r="H946" s="9" t="n">
        <v>1170</v>
      </c>
      <c r="I946" s="29" t="n">
        <v>1</v>
      </c>
      <c r="J946" s="9" t="n">
        <v>1</v>
      </c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21" t="str">
        <f aca="false">IF(COUNT(K946:T946)=0,"SOURCE EMPTY / INDUSTRIAL ONLY",IF(MIN(K946:T946)=1,"SERVICE READY","HOLD"))</f>
        <v>SOURCE EMPTY / INDUSTRIAL ONLY</v>
      </c>
      <c r="V946" s="9" t="n">
        <f aca="false">IF(U946="SERVICE READY",1,0)</f>
        <v>0</v>
      </c>
      <c r="W946" s="6"/>
      <c r="X946" s="6"/>
      <c r="Y946" s="6"/>
      <c r="Z946" s="6"/>
    </row>
    <row r="947" customFormat="false" ht="15" hidden="false" customHeight="false" outlineLevel="0" collapsed="false">
      <c r="A947" s="9" t="s">
        <v>1170</v>
      </c>
      <c r="B947" s="9" t="s">
        <v>1140</v>
      </c>
      <c r="C947" s="9" t="s">
        <v>1141</v>
      </c>
      <c r="D947" s="9" t="s">
        <v>619</v>
      </c>
      <c r="E947" s="9" t="s">
        <v>773</v>
      </c>
      <c r="F947" s="9" t="s">
        <v>200</v>
      </c>
      <c r="G947" s="9" t="s">
        <v>221</v>
      </c>
      <c r="H947" s="9" t="n">
        <v>1170</v>
      </c>
      <c r="I947" s="29" t="n">
        <v>1</v>
      </c>
      <c r="J947" s="9" t="n">
        <v>1</v>
      </c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21" t="str">
        <f aca="false">IF(COUNT(K947:T947)=0,"SOURCE EMPTY / INDUSTRIAL ONLY",IF(MIN(K947:T947)=1,"SERVICE READY","HOLD"))</f>
        <v>SOURCE EMPTY / INDUSTRIAL ONLY</v>
      </c>
      <c r="V947" s="9" t="n">
        <f aca="false">IF(U947="SERVICE READY",1,0)</f>
        <v>0</v>
      </c>
      <c r="W947" s="6"/>
      <c r="X947" s="6"/>
      <c r="Y947" s="6"/>
      <c r="Z947" s="6"/>
    </row>
    <row r="948" customFormat="false" ht="15" hidden="false" customHeight="false" outlineLevel="0" collapsed="false">
      <c r="A948" s="9" t="s">
        <v>1171</v>
      </c>
      <c r="B948" s="9" t="s">
        <v>1140</v>
      </c>
      <c r="C948" s="9" t="s">
        <v>1141</v>
      </c>
      <c r="D948" s="9" t="s">
        <v>619</v>
      </c>
      <c r="E948" s="9" t="s">
        <v>773</v>
      </c>
      <c r="F948" s="9" t="s">
        <v>203</v>
      </c>
      <c r="G948" s="9" t="s">
        <v>221</v>
      </c>
      <c r="H948" s="9" t="n">
        <v>1170</v>
      </c>
      <c r="I948" s="29" t="n">
        <v>1</v>
      </c>
      <c r="J948" s="9" t="n">
        <v>1</v>
      </c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21" t="str">
        <f aca="false">IF(COUNT(K948:T948)=0,"SOURCE EMPTY / INDUSTRIAL ONLY",IF(MIN(K948:T948)=1,"SERVICE READY","HOLD"))</f>
        <v>SOURCE EMPTY / INDUSTRIAL ONLY</v>
      </c>
      <c r="V948" s="9" t="n">
        <f aca="false">IF(U948="SERVICE READY",1,0)</f>
        <v>0</v>
      </c>
      <c r="W948" s="6"/>
      <c r="X948" s="6"/>
      <c r="Y948" s="6"/>
      <c r="Z948" s="6"/>
    </row>
    <row r="949" customFormat="false" ht="15" hidden="false" customHeight="false" outlineLevel="0" collapsed="false">
      <c r="A949" s="9" t="s">
        <v>1172</v>
      </c>
      <c r="B949" s="9" t="s">
        <v>1140</v>
      </c>
      <c r="C949" s="9" t="s">
        <v>1141</v>
      </c>
      <c r="D949" s="9" t="s">
        <v>619</v>
      </c>
      <c r="E949" s="9" t="s">
        <v>773</v>
      </c>
      <c r="F949" s="9" t="s">
        <v>205</v>
      </c>
      <c r="G949" s="9" t="s">
        <v>221</v>
      </c>
      <c r="H949" s="9" t="n">
        <v>1170</v>
      </c>
      <c r="I949" s="29" t="n">
        <v>1</v>
      </c>
      <c r="J949" s="9" t="n">
        <v>1</v>
      </c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21" t="str">
        <f aca="false">IF(COUNT(K949:T949)=0,"SOURCE EMPTY / INDUSTRIAL ONLY",IF(MIN(K949:T949)=1,"SERVICE READY","HOLD"))</f>
        <v>SOURCE EMPTY / INDUSTRIAL ONLY</v>
      </c>
      <c r="V949" s="9" t="n">
        <f aca="false">IF(U949="SERVICE READY",1,0)</f>
        <v>0</v>
      </c>
      <c r="W949" s="6"/>
      <c r="X949" s="6"/>
      <c r="Y949" s="6"/>
      <c r="Z949" s="6"/>
    </row>
    <row r="950" customFormat="false" ht="15" hidden="false" customHeight="false" outlineLevel="0" collapsed="false">
      <c r="A950" s="9" t="s">
        <v>1173</v>
      </c>
      <c r="B950" s="9" t="s">
        <v>1140</v>
      </c>
      <c r="C950" s="9" t="s">
        <v>1141</v>
      </c>
      <c r="D950" s="9" t="s">
        <v>619</v>
      </c>
      <c r="E950" s="9" t="s">
        <v>773</v>
      </c>
      <c r="F950" s="9" t="s">
        <v>207</v>
      </c>
      <c r="G950" s="9" t="s">
        <v>221</v>
      </c>
      <c r="H950" s="9" t="n">
        <v>1170</v>
      </c>
      <c r="I950" s="29" t="n">
        <v>1</v>
      </c>
      <c r="J950" s="9" t="n">
        <v>1</v>
      </c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21" t="str">
        <f aca="false">IF(COUNT(K950:T950)=0,"SOURCE EMPTY / INDUSTRIAL ONLY",IF(MIN(K950:T950)=1,"SERVICE READY","HOLD"))</f>
        <v>SOURCE EMPTY / INDUSTRIAL ONLY</v>
      </c>
      <c r="V950" s="9" t="n">
        <f aca="false">IF(U950="SERVICE READY",1,0)</f>
        <v>0</v>
      </c>
      <c r="W950" s="6"/>
      <c r="X950" s="6"/>
      <c r="Y950" s="6"/>
      <c r="Z950" s="6"/>
    </row>
    <row r="951" customFormat="false" ht="15" hidden="false" customHeight="false" outlineLevel="0" collapsed="false">
      <c r="A951" s="9" t="s">
        <v>1174</v>
      </c>
      <c r="B951" s="9" t="s">
        <v>1140</v>
      </c>
      <c r="C951" s="9" t="s">
        <v>1141</v>
      </c>
      <c r="D951" s="9" t="s">
        <v>619</v>
      </c>
      <c r="E951" s="9" t="s">
        <v>773</v>
      </c>
      <c r="F951" s="9" t="s">
        <v>209</v>
      </c>
      <c r="G951" s="9" t="s">
        <v>221</v>
      </c>
      <c r="H951" s="9" t="n">
        <v>1170</v>
      </c>
      <c r="I951" s="29" t="n">
        <v>1</v>
      </c>
      <c r="J951" s="9" t="n">
        <v>1</v>
      </c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21" t="str">
        <f aca="false">IF(COUNT(K951:T951)=0,"SOURCE EMPTY / INDUSTRIAL ONLY",IF(MIN(K951:T951)=1,"SERVICE READY","HOLD"))</f>
        <v>SOURCE EMPTY / INDUSTRIAL ONLY</v>
      </c>
      <c r="V951" s="9" t="n">
        <f aca="false">IF(U951="SERVICE READY",1,0)</f>
        <v>0</v>
      </c>
      <c r="W951" s="6"/>
      <c r="X951" s="6"/>
      <c r="Y951" s="6"/>
      <c r="Z951" s="6"/>
    </row>
    <row r="952" customFormat="false" ht="15" hidden="false" customHeight="false" outlineLevel="0" collapsed="false">
      <c r="A952" s="9" t="s">
        <v>1175</v>
      </c>
      <c r="B952" s="9" t="s">
        <v>1140</v>
      </c>
      <c r="C952" s="9" t="s">
        <v>1141</v>
      </c>
      <c r="D952" s="9" t="s">
        <v>619</v>
      </c>
      <c r="E952" s="9" t="s">
        <v>773</v>
      </c>
      <c r="F952" s="9" t="s">
        <v>211</v>
      </c>
      <c r="G952" s="9" t="s">
        <v>221</v>
      </c>
      <c r="H952" s="9" t="n">
        <v>1170</v>
      </c>
      <c r="I952" s="29" t="n">
        <v>1</v>
      </c>
      <c r="J952" s="9" t="n">
        <v>1</v>
      </c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21" t="str">
        <f aca="false">IF(COUNT(K952:T952)=0,"SOURCE EMPTY / INDUSTRIAL ONLY",IF(MIN(K952:T952)=1,"SERVICE READY","HOLD"))</f>
        <v>SOURCE EMPTY / INDUSTRIAL ONLY</v>
      </c>
      <c r="V952" s="9" t="n">
        <f aca="false">IF(U952="SERVICE READY",1,0)</f>
        <v>0</v>
      </c>
      <c r="W952" s="6"/>
      <c r="X952" s="6"/>
      <c r="Y952" s="6"/>
      <c r="Z952" s="6"/>
    </row>
    <row r="953" customFormat="false" ht="15" hidden="false" customHeight="false" outlineLevel="0" collapsed="false">
      <c r="A953" s="9" t="s">
        <v>1176</v>
      </c>
      <c r="B953" s="9" t="s">
        <v>1140</v>
      </c>
      <c r="C953" s="9" t="s">
        <v>1141</v>
      </c>
      <c r="D953" s="9" t="s">
        <v>619</v>
      </c>
      <c r="E953" s="9" t="s">
        <v>773</v>
      </c>
      <c r="F953" s="9" t="s">
        <v>197</v>
      </c>
      <c r="G953" s="9" t="s">
        <v>221</v>
      </c>
      <c r="H953" s="9" t="n">
        <v>1170</v>
      </c>
      <c r="I953" s="29" t="n">
        <v>1</v>
      </c>
      <c r="J953" s="9" t="n">
        <v>1</v>
      </c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21" t="str">
        <f aca="false">IF(COUNT(K953:T953)=0,"SOURCE EMPTY / INDUSTRIAL ONLY",IF(MIN(K953:T953)=1,"SERVICE READY","HOLD"))</f>
        <v>SOURCE EMPTY / INDUSTRIAL ONLY</v>
      </c>
      <c r="V953" s="9" t="n">
        <f aca="false">IF(U953="SERVICE READY",1,0)</f>
        <v>0</v>
      </c>
      <c r="W953" s="6"/>
      <c r="X953" s="6"/>
      <c r="Y953" s="6"/>
      <c r="Z953" s="6"/>
    </row>
    <row r="954" customFormat="false" ht="15" hidden="false" customHeight="false" outlineLevel="0" collapsed="false">
      <c r="A954" s="9" t="s">
        <v>1177</v>
      </c>
      <c r="B954" s="9" t="s">
        <v>1140</v>
      </c>
      <c r="C954" s="9" t="s">
        <v>1141</v>
      </c>
      <c r="D954" s="9" t="s">
        <v>619</v>
      </c>
      <c r="E954" s="9" t="s">
        <v>773</v>
      </c>
      <c r="F954" s="9" t="s">
        <v>200</v>
      </c>
      <c r="G954" s="9" t="s">
        <v>221</v>
      </c>
      <c r="H954" s="9" t="n">
        <v>1170</v>
      </c>
      <c r="I954" s="29" t="n">
        <v>1</v>
      </c>
      <c r="J954" s="9" t="n">
        <v>1</v>
      </c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21" t="str">
        <f aca="false">IF(COUNT(K954:T954)=0,"SOURCE EMPTY / INDUSTRIAL ONLY",IF(MIN(K954:T954)=1,"SERVICE READY","HOLD"))</f>
        <v>SOURCE EMPTY / INDUSTRIAL ONLY</v>
      </c>
      <c r="V954" s="9" t="n">
        <f aca="false">IF(U954="SERVICE READY",1,0)</f>
        <v>0</v>
      </c>
      <c r="W954" s="6"/>
      <c r="X954" s="6"/>
      <c r="Y954" s="6"/>
      <c r="Z954" s="6"/>
    </row>
    <row r="955" customFormat="false" ht="15" hidden="false" customHeight="false" outlineLevel="0" collapsed="false">
      <c r="A955" s="9" t="s">
        <v>1178</v>
      </c>
      <c r="B955" s="9" t="s">
        <v>1140</v>
      </c>
      <c r="C955" s="9" t="s">
        <v>1141</v>
      </c>
      <c r="D955" s="9" t="s">
        <v>619</v>
      </c>
      <c r="E955" s="9" t="s">
        <v>773</v>
      </c>
      <c r="F955" s="9" t="s">
        <v>203</v>
      </c>
      <c r="G955" s="9" t="s">
        <v>221</v>
      </c>
      <c r="H955" s="9" t="n">
        <v>1170</v>
      </c>
      <c r="I955" s="29" t="n">
        <v>1</v>
      </c>
      <c r="J955" s="9" t="n">
        <v>1</v>
      </c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21" t="str">
        <f aca="false">IF(COUNT(K955:T955)=0,"SOURCE EMPTY / INDUSTRIAL ONLY",IF(MIN(K955:T955)=1,"SERVICE READY","HOLD"))</f>
        <v>SOURCE EMPTY / INDUSTRIAL ONLY</v>
      </c>
      <c r="V955" s="9" t="n">
        <f aca="false">IF(U955="SERVICE READY",1,0)</f>
        <v>0</v>
      </c>
      <c r="W955" s="6"/>
      <c r="X955" s="6"/>
      <c r="Y955" s="6"/>
      <c r="Z955" s="6"/>
    </row>
    <row r="956" customFormat="false" ht="15" hidden="false" customHeight="false" outlineLevel="0" collapsed="false">
      <c r="A956" s="9" t="s">
        <v>1179</v>
      </c>
      <c r="B956" s="9" t="s">
        <v>1140</v>
      </c>
      <c r="C956" s="9" t="s">
        <v>1141</v>
      </c>
      <c r="D956" s="9" t="s">
        <v>619</v>
      </c>
      <c r="E956" s="9" t="s">
        <v>773</v>
      </c>
      <c r="F956" s="9" t="s">
        <v>205</v>
      </c>
      <c r="G956" s="9" t="s">
        <v>221</v>
      </c>
      <c r="H956" s="9" t="n">
        <v>1170</v>
      </c>
      <c r="I956" s="29" t="n">
        <v>1</v>
      </c>
      <c r="J956" s="9" t="n">
        <v>1</v>
      </c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21" t="str">
        <f aca="false">IF(COUNT(K956:T956)=0,"SOURCE EMPTY / INDUSTRIAL ONLY",IF(MIN(K956:T956)=1,"SERVICE READY","HOLD"))</f>
        <v>SOURCE EMPTY / INDUSTRIAL ONLY</v>
      </c>
      <c r="V956" s="9" t="n">
        <f aca="false">IF(U956="SERVICE READY",1,0)</f>
        <v>0</v>
      </c>
      <c r="W956" s="6"/>
      <c r="X956" s="6"/>
      <c r="Y956" s="6"/>
      <c r="Z956" s="6"/>
    </row>
    <row r="957" customFormat="false" ht="15" hidden="false" customHeight="false" outlineLevel="0" collapsed="false">
      <c r="A957" s="9" t="s">
        <v>1180</v>
      </c>
      <c r="B957" s="9" t="s">
        <v>1140</v>
      </c>
      <c r="C957" s="9" t="s">
        <v>1141</v>
      </c>
      <c r="D957" s="9" t="s">
        <v>619</v>
      </c>
      <c r="E957" s="9" t="s">
        <v>773</v>
      </c>
      <c r="F957" s="9" t="s">
        <v>207</v>
      </c>
      <c r="G957" s="9" t="s">
        <v>221</v>
      </c>
      <c r="H957" s="9" t="n">
        <v>1170</v>
      </c>
      <c r="I957" s="29" t="n">
        <v>1</v>
      </c>
      <c r="J957" s="9" t="n">
        <v>1</v>
      </c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21" t="str">
        <f aca="false">IF(COUNT(K957:T957)=0,"SOURCE EMPTY / INDUSTRIAL ONLY",IF(MIN(K957:T957)=1,"SERVICE READY","HOLD"))</f>
        <v>SOURCE EMPTY / INDUSTRIAL ONLY</v>
      </c>
      <c r="V957" s="9" t="n">
        <f aca="false">IF(U957="SERVICE READY",1,0)</f>
        <v>0</v>
      </c>
      <c r="W957" s="6"/>
      <c r="X957" s="6"/>
      <c r="Y957" s="6"/>
      <c r="Z957" s="6"/>
    </row>
    <row r="958" customFormat="false" ht="15" hidden="false" customHeight="false" outlineLevel="0" collapsed="false">
      <c r="A958" s="9" t="s">
        <v>1181</v>
      </c>
      <c r="B958" s="9" t="s">
        <v>1140</v>
      </c>
      <c r="C958" s="9" t="s">
        <v>1141</v>
      </c>
      <c r="D958" s="9" t="s">
        <v>619</v>
      </c>
      <c r="E958" s="9" t="s">
        <v>773</v>
      </c>
      <c r="F958" s="9" t="s">
        <v>209</v>
      </c>
      <c r="G958" s="9" t="s">
        <v>221</v>
      </c>
      <c r="H958" s="9" t="n">
        <v>1170</v>
      </c>
      <c r="I958" s="29" t="n">
        <v>1</v>
      </c>
      <c r="J958" s="9" t="n">
        <v>1</v>
      </c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21" t="str">
        <f aca="false">IF(COUNT(K958:T958)=0,"SOURCE EMPTY / INDUSTRIAL ONLY",IF(MIN(K958:T958)=1,"SERVICE READY","HOLD"))</f>
        <v>SOURCE EMPTY / INDUSTRIAL ONLY</v>
      </c>
      <c r="V958" s="9" t="n">
        <f aca="false">IF(U958="SERVICE READY",1,0)</f>
        <v>0</v>
      </c>
      <c r="W958" s="6"/>
      <c r="X958" s="6"/>
      <c r="Y958" s="6"/>
      <c r="Z958" s="6"/>
    </row>
    <row r="959" customFormat="false" ht="15" hidden="false" customHeight="false" outlineLevel="0" collapsed="false">
      <c r="A959" s="9" t="s">
        <v>1182</v>
      </c>
      <c r="B959" s="9" t="s">
        <v>1140</v>
      </c>
      <c r="C959" s="9" t="s">
        <v>1141</v>
      </c>
      <c r="D959" s="9" t="s">
        <v>619</v>
      </c>
      <c r="E959" s="9" t="s">
        <v>773</v>
      </c>
      <c r="F959" s="9" t="s">
        <v>211</v>
      </c>
      <c r="G959" s="9" t="s">
        <v>221</v>
      </c>
      <c r="H959" s="9" t="n">
        <v>1170</v>
      </c>
      <c r="I959" s="29" t="n">
        <v>1</v>
      </c>
      <c r="J959" s="9" t="n">
        <v>1</v>
      </c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21" t="str">
        <f aca="false">IF(COUNT(K959:T959)=0,"SOURCE EMPTY / INDUSTRIAL ONLY",IF(MIN(K959:T959)=1,"SERVICE READY","HOLD"))</f>
        <v>SOURCE EMPTY / INDUSTRIAL ONLY</v>
      </c>
      <c r="V959" s="9" t="n">
        <f aca="false">IF(U959="SERVICE READY",1,0)</f>
        <v>0</v>
      </c>
      <c r="W959" s="6"/>
      <c r="X959" s="6"/>
      <c r="Y959" s="6"/>
      <c r="Z959" s="6"/>
    </row>
    <row r="960" customFormat="false" ht="15" hidden="false" customHeight="false" outlineLevel="0" collapsed="false">
      <c r="A960" s="9" t="s">
        <v>1183</v>
      </c>
      <c r="B960" s="9" t="s">
        <v>1140</v>
      </c>
      <c r="C960" s="9" t="s">
        <v>1141</v>
      </c>
      <c r="D960" s="9" t="s">
        <v>619</v>
      </c>
      <c r="E960" s="9" t="s">
        <v>773</v>
      </c>
      <c r="F960" s="9" t="s">
        <v>197</v>
      </c>
      <c r="G960" s="9" t="s">
        <v>221</v>
      </c>
      <c r="H960" s="9" t="n">
        <v>1170</v>
      </c>
      <c r="I960" s="29" t="n">
        <v>1</v>
      </c>
      <c r="J960" s="9" t="n">
        <v>1</v>
      </c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21" t="str">
        <f aca="false">IF(COUNT(K960:T960)=0,"SOURCE EMPTY / INDUSTRIAL ONLY",IF(MIN(K960:T960)=1,"SERVICE READY","HOLD"))</f>
        <v>SOURCE EMPTY / INDUSTRIAL ONLY</v>
      </c>
      <c r="V960" s="9" t="n">
        <f aca="false">IF(U960="SERVICE READY",1,0)</f>
        <v>0</v>
      </c>
      <c r="W960" s="6"/>
      <c r="X960" s="6"/>
      <c r="Y960" s="6"/>
      <c r="Z960" s="6"/>
    </row>
    <row r="961" customFormat="false" ht="15" hidden="false" customHeight="false" outlineLevel="0" collapsed="false">
      <c r="A961" s="9" t="s">
        <v>1184</v>
      </c>
      <c r="B961" s="9" t="s">
        <v>1140</v>
      </c>
      <c r="C961" s="9" t="s">
        <v>1141</v>
      </c>
      <c r="D961" s="9" t="s">
        <v>619</v>
      </c>
      <c r="E961" s="9" t="s">
        <v>773</v>
      </c>
      <c r="F961" s="9" t="s">
        <v>200</v>
      </c>
      <c r="G961" s="9" t="s">
        <v>221</v>
      </c>
      <c r="H961" s="9" t="n">
        <v>1170</v>
      </c>
      <c r="I961" s="29" t="n">
        <v>1</v>
      </c>
      <c r="J961" s="9" t="n">
        <v>1</v>
      </c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21" t="str">
        <f aca="false">IF(COUNT(K961:T961)=0,"SOURCE EMPTY / INDUSTRIAL ONLY",IF(MIN(K961:T961)=1,"SERVICE READY","HOLD"))</f>
        <v>SOURCE EMPTY / INDUSTRIAL ONLY</v>
      </c>
      <c r="V961" s="9" t="n">
        <f aca="false">IF(U961="SERVICE READY",1,0)</f>
        <v>0</v>
      </c>
      <c r="W961" s="6"/>
      <c r="X961" s="6"/>
      <c r="Y961" s="6"/>
      <c r="Z961" s="6"/>
    </row>
    <row r="962" customFormat="false" ht="15" hidden="false" customHeight="false" outlineLevel="0" collapsed="false">
      <c r="A962" s="9" t="s">
        <v>1185</v>
      </c>
      <c r="B962" s="9" t="s">
        <v>1140</v>
      </c>
      <c r="C962" s="9" t="s">
        <v>1141</v>
      </c>
      <c r="D962" s="9" t="s">
        <v>619</v>
      </c>
      <c r="E962" s="9" t="s">
        <v>773</v>
      </c>
      <c r="F962" s="9" t="s">
        <v>203</v>
      </c>
      <c r="G962" s="9" t="s">
        <v>221</v>
      </c>
      <c r="H962" s="9" t="n">
        <v>1170</v>
      </c>
      <c r="I962" s="29" t="n">
        <v>1</v>
      </c>
      <c r="J962" s="9" t="n">
        <v>1</v>
      </c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21" t="str">
        <f aca="false">IF(COUNT(K962:T962)=0,"SOURCE EMPTY / INDUSTRIAL ONLY",IF(MIN(K962:T962)=1,"SERVICE READY","HOLD"))</f>
        <v>SOURCE EMPTY / INDUSTRIAL ONLY</v>
      </c>
      <c r="V962" s="9" t="n">
        <f aca="false">IF(U962="SERVICE READY",1,0)</f>
        <v>0</v>
      </c>
      <c r="W962" s="6"/>
      <c r="X962" s="6"/>
      <c r="Y962" s="6"/>
      <c r="Z962" s="6"/>
    </row>
    <row r="963" customFormat="false" ht="15" hidden="false" customHeight="false" outlineLevel="0" collapsed="false">
      <c r="A963" s="9" t="s">
        <v>1186</v>
      </c>
      <c r="B963" s="9" t="s">
        <v>1140</v>
      </c>
      <c r="C963" s="9" t="s">
        <v>1141</v>
      </c>
      <c r="D963" s="9" t="s">
        <v>619</v>
      </c>
      <c r="E963" s="9" t="s">
        <v>773</v>
      </c>
      <c r="F963" s="9" t="s">
        <v>205</v>
      </c>
      <c r="G963" s="9" t="s">
        <v>221</v>
      </c>
      <c r="H963" s="9" t="n">
        <v>1170</v>
      </c>
      <c r="I963" s="29" t="n">
        <v>1</v>
      </c>
      <c r="J963" s="9" t="n">
        <v>1</v>
      </c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21" t="str">
        <f aca="false">IF(COUNT(K963:T963)=0,"SOURCE EMPTY / INDUSTRIAL ONLY",IF(MIN(K963:T963)=1,"SERVICE READY","HOLD"))</f>
        <v>SOURCE EMPTY / INDUSTRIAL ONLY</v>
      </c>
      <c r="V963" s="9" t="n">
        <f aca="false">IF(U963="SERVICE READY",1,0)</f>
        <v>0</v>
      </c>
      <c r="W963" s="6"/>
      <c r="X963" s="6"/>
      <c r="Y963" s="6"/>
      <c r="Z963" s="6"/>
    </row>
    <row r="964" customFormat="false" ht="15" hidden="false" customHeight="false" outlineLevel="0" collapsed="false">
      <c r="A964" s="9" t="s">
        <v>1187</v>
      </c>
      <c r="B964" s="9" t="s">
        <v>1140</v>
      </c>
      <c r="C964" s="9" t="s">
        <v>1141</v>
      </c>
      <c r="D964" s="9" t="s">
        <v>619</v>
      </c>
      <c r="E964" s="9" t="s">
        <v>773</v>
      </c>
      <c r="F964" s="9" t="s">
        <v>207</v>
      </c>
      <c r="G964" s="9" t="s">
        <v>221</v>
      </c>
      <c r="H964" s="9" t="n">
        <v>1170</v>
      </c>
      <c r="I964" s="29" t="n">
        <v>1</v>
      </c>
      <c r="J964" s="9" t="n">
        <v>1</v>
      </c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21" t="str">
        <f aca="false">IF(COUNT(K964:T964)=0,"SOURCE EMPTY / INDUSTRIAL ONLY",IF(MIN(K964:T964)=1,"SERVICE READY","HOLD"))</f>
        <v>SOURCE EMPTY / INDUSTRIAL ONLY</v>
      </c>
      <c r="V964" s="9" t="n">
        <f aca="false">IF(U964="SERVICE READY",1,0)</f>
        <v>0</v>
      </c>
      <c r="W964" s="6"/>
      <c r="X964" s="6"/>
      <c r="Y964" s="6"/>
      <c r="Z964" s="6"/>
    </row>
    <row r="965" customFormat="false" ht="15" hidden="false" customHeight="false" outlineLevel="0" collapsed="false">
      <c r="A965" s="9" t="s">
        <v>1188</v>
      </c>
      <c r="B965" s="9" t="s">
        <v>1140</v>
      </c>
      <c r="C965" s="9" t="s">
        <v>1141</v>
      </c>
      <c r="D965" s="9" t="s">
        <v>619</v>
      </c>
      <c r="E965" s="9" t="s">
        <v>773</v>
      </c>
      <c r="F965" s="9" t="s">
        <v>209</v>
      </c>
      <c r="G965" s="9" t="s">
        <v>221</v>
      </c>
      <c r="H965" s="9" t="n">
        <v>1170</v>
      </c>
      <c r="I965" s="29" t="n">
        <v>1</v>
      </c>
      <c r="J965" s="9" t="n">
        <v>1</v>
      </c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21" t="str">
        <f aca="false">IF(COUNT(K965:T965)=0,"SOURCE EMPTY / INDUSTRIAL ONLY",IF(MIN(K965:T965)=1,"SERVICE READY","HOLD"))</f>
        <v>SOURCE EMPTY / INDUSTRIAL ONLY</v>
      </c>
      <c r="V965" s="9" t="n">
        <f aca="false">IF(U965="SERVICE READY",1,0)</f>
        <v>0</v>
      </c>
      <c r="W965" s="6"/>
      <c r="X965" s="6"/>
      <c r="Y965" s="6"/>
      <c r="Z965" s="6"/>
    </row>
    <row r="966" customFormat="false" ht="15" hidden="false" customHeight="false" outlineLevel="0" collapsed="false">
      <c r="A966" s="9" t="s">
        <v>1189</v>
      </c>
      <c r="B966" s="9" t="s">
        <v>1140</v>
      </c>
      <c r="C966" s="9" t="s">
        <v>1141</v>
      </c>
      <c r="D966" s="9" t="s">
        <v>619</v>
      </c>
      <c r="E966" s="9" t="s">
        <v>773</v>
      </c>
      <c r="F966" s="9" t="s">
        <v>211</v>
      </c>
      <c r="G966" s="9" t="s">
        <v>221</v>
      </c>
      <c r="H966" s="9" t="n">
        <v>1170</v>
      </c>
      <c r="I966" s="29" t="n">
        <v>1</v>
      </c>
      <c r="J966" s="9" t="n">
        <v>1</v>
      </c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21" t="str">
        <f aca="false">IF(COUNT(K966:T966)=0,"SOURCE EMPTY / INDUSTRIAL ONLY",IF(MIN(K966:T966)=1,"SERVICE READY","HOLD"))</f>
        <v>SOURCE EMPTY / INDUSTRIAL ONLY</v>
      </c>
      <c r="V966" s="9" t="n">
        <f aca="false">IF(U966="SERVICE READY",1,0)</f>
        <v>0</v>
      </c>
      <c r="W966" s="6"/>
      <c r="X966" s="6"/>
      <c r="Y966" s="6"/>
      <c r="Z966" s="6"/>
    </row>
    <row r="967" customFormat="false" ht="15" hidden="false" customHeight="false" outlineLevel="0" collapsed="false">
      <c r="A967" s="9" t="s">
        <v>1190</v>
      </c>
      <c r="B967" s="9" t="s">
        <v>1140</v>
      </c>
      <c r="C967" s="9" t="s">
        <v>1141</v>
      </c>
      <c r="D967" s="9" t="s">
        <v>619</v>
      </c>
      <c r="E967" s="9" t="s">
        <v>773</v>
      </c>
      <c r="F967" s="9" t="s">
        <v>197</v>
      </c>
      <c r="G967" s="9" t="s">
        <v>221</v>
      </c>
      <c r="H967" s="9" t="n">
        <v>1170</v>
      </c>
      <c r="I967" s="29" t="n">
        <v>1</v>
      </c>
      <c r="J967" s="9" t="n">
        <v>1</v>
      </c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21" t="str">
        <f aca="false">IF(COUNT(K967:T967)=0,"SOURCE EMPTY / INDUSTRIAL ONLY",IF(MIN(K967:T967)=1,"SERVICE READY","HOLD"))</f>
        <v>SOURCE EMPTY / INDUSTRIAL ONLY</v>
      </c>
      <c r="V967" s="9" t="n">
        <f aca="false">IF(U967="SERVICE READY",1,0)</f>
        <v>0</v>
      </c>
      <c r="W967" s="6"/>
      <c r="X967" s="6"/>
      <c r="Y967" s="6"/>
      <c r="Z967" s="6"/>
    </row>
    <row r="968" customFormat="false" ht="15" hidden="false" customHeight="false" outlineLevel="0" collapsed="false">
      <c r="A968" s="9" t="s">
        <v>1191</v>
      </c>
      <c r="B968" s="9" t="s">
        <v>1140</v>
      </c>
      <c r="C968" s="9" t="s">
        <v>1141</v>
      </c>
      <c r="D968" s="9" t="s">
        <v>619</v>
      </c>
      <c r="E968" s="9" t="s">
        <v>773</v>
      </c>
      <c r="F968" s="9" t="s">
        <v>200</v>
      </c>
      <c r="G968" s="9" t="s">
        <v>221</v>
      </c>
      <c r="H968" s="9" t="n">
        <v>1170</v>
      </c>
      <c r="I968" s="29" t="n">
        <v>1</v>
      </c>
      <c r="J968" s="9" t="n">
        <v>0</v>
      </c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21" t="str">
        <f aca="false">IF(COUNT(K968:T968)=0,"SOURCE EMPTY / INDUSTRIAL ONLY",IF(MIN(K968:T968)=1,"SERVICE READY","HOLD"))</f>
        <v>SOURCE EMPTY / INDUSTRIAL ONLY</v>
      </c>
      <c r="V968" s="9" t="n">
        <f aca="false">IF(U968="SERVICE READY",1,0)</f>
        <v>0</v>
      </c>
      <c r="W968" s="6"/>
      <c r="X968" s="6"/>
      <c r="Y968" s="6"/>
      <c r="Z968" s="6"/>
    </row>
    <row r="969" customFormat="false" ht="15" hidden="false" customHeight="false" outlineLevel="0" collapsed="false">
      <c r="A969" s="9" t="s">
        <v>1192</v>
      </c>
      <c r="B969" s="9" t="s">
        <v>1140</v>
      </c>
      <c r="C969" s="9" t="s">
        <v>1141</v>
      </c>
      <c r="D969" s="9" t="s">
        <v>619</v>
      </c>
      <c r="E969" s="9" t="s">
        <v>773</v>
      </c>
      <c r="F969" s="9" t="s">
        <v>203</v>
      </c>
      <c r="G969" s="9" t="s">
        <v>221</v>
      </c>
      <c r="H969" s="9" t="n">
        <v>1170</v>
      </c>
      <c r="I969" s="29" t="n">
        <v>1</v>
      </c>
      <c r="J969" s="9" t="n">
        <v>0</v>
      </c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21" t="str">
        <f aca="false">IF(COUNT(K969:T969)=0,"SOURCE EMPTY / INDUSTRIAL ONLY",IF(MIN(K969:T969)=1,"SERVICE READY","HOLD"))</f>
        <v>SOURCE EMPTY / INDUSTRIAL ONLY</v>
      </c>
      <c r="V969" s="9" t="n">
        <f aca="false">IF(U969="SERVICE READY",1,0)</f>
        <v>0</v>
      </c>
      <c r="W969" s="6"/>
      <c r="X969" s="6"/>
      <c r="Y969" s="6"/>
      <c r="Z969" s="6"/>
    </row>
    <row r="970" customFormat="false" ht="15" hidden="false" customHeight="false" outlineLevel="0" collapsed="false">
      <c r="A970" s="9" t="s">
        <v>1193</v>
      </c>
      <c r="B970" s="9" t="s">
        <v>1140</v>
      </c>
      <c r="C970" s="9" t="s">
        <v>1141</v>
      </c>
      <c r="D970" s="9" t="s">
        <v>619</v>
      </c>
      <c r="E970" s="9" t="s">
        <v>773</v>
      </c>
      <c r="F970" s="9" t="s">
        <v>205</v>
      </c>
      <c r="G970" s="9" t="s">
        <v>221</v>
      </c>
      <c r="H970" s="9" t="n">
        <v>1170</v>
      </c>
      <c r="I970" s="29" t="n">
        <v>1</v>
      </c>
      <c r="J970" s="9" t="n">
        <v>0</v>
      </c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21" t="str">
        <f aca="false">IF(COUNT(K970:T970)=0,"SOURCE EMPTY / INDUSTRIAL ONLY",IF(MIN(K970:T970)=1,"SERVICE READY","HOLD"))</f>
        <v>SOURCE EMPTY / INDUSTRIAL ONLY</v>
      </c>
      <c r="V970" s="9" t="n">
        <f aca="false">IF(U970="SERVICE READY",1,0)</f>
        <v>0</v>
      </c>
      <c r="W970" s="6"/>
      <c r="X970" s="6"/>
      <c r="Y970" s="6"/>
      <c r="Z970" s="6"/>
    </row>
    <row r="971" customFormat="false" ht="15" hidden="false" customHeight="false" outlineLevel="0" collapsed="false">
      <c r="A971" s="9" t="s">
        <v>1194</v>
      </c>
      <c r="B971" s="9" t="s">
        <v>1140</v>
      </c>
      <c r="C971" s="9" t="s">
        <v>1141</v>
      </c>
      <c r="D971" s="9" t="s">
        <v>619</v>
      </c>
      <c r="E971" s="9" t="s">
        <v>773</v>
      </c>
      <c r="F971" s="9" t="s">
        <v>207</v>
      </c>
      <c r="G971" s="9" t="s">
        <v>221</v>
      </c>
      <c r="H971" s="9" t="n">
        <v>1170</v>
      </c>
      <c r="I971" s="29" t="n">
        <v>1</v>
      </c>
      <c r="J971" s="9" t="n">
        <v>0</v>
      </c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21" t="str">
        <f aca="false">IF(COUNT(K971:T971)=0,"SOURCE EMPTY / INDUSTRIAL ONLY",IF(MIN(K971:T971)=1,"SERVICE READY","HOLD"))</f>
        <v>SOURCE EMPTY / INDUSTRIAL ONLY</v>
      </c>
      <c r="V971" s="9" t="n">
        <f aca="false">IF(U971="SERVICE READY",1,0)</f>
        <v>0</v>
      </c>
      <c r="W971" s="6"/>
      <c r="X971" s="6"/>
      <c r="Y971" s="6"/>
      <c r="Z971" s="6"/>
    </row>
    <row r="972" customFormat="false" ht="15" hidden="false" customHeight="false" outlineLevel="0" collapsed="false">
      <c r="A972" s="9" t="s">
        <v>1195</v>
      </c>
      <c r="B972" s="9" t="s">
        <v>1140</v>
      </c>
      <c r="C972" s="9" t="s">
        <v>1141</v>
      </c>
      <c r="D972" s="9" t="s">
        <v>619</v>
      </c>
      <c r="E972" s="9" t="s">
        <v>773</v>
      </c>
      <c r="F972" s="9" t="s">
        <v>209</v>
      </c>
      <c r="G972" s="9" t="s">
        <v>221</v>
      </c>
      <c r="H972" s="9" t="n">
        <v>1170</v>
      </c>
      <c r="I972" s="29" t="n">
        <v>1</v>
      </c>
      <c r="J972" s="9" t="n">
        <v>0</v>
      </c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21" t="str">
        <f aca="false">IF(COUNT(K972:T972)=0,"SOURCE EMPTY / INDUSTRIAL ONLY",IF(MIN(K972:T972)=1,"SERVICE READY","HOLD"))</f>
        <v>SOURCE EMPTY / INDUSTRIAL ONLY</v>
      </c>
      <c r="V972" s="9" t="n">
        <f aca="false">IF(U972="SERVICE READY",1,0)</f>
        <v>0</v>
      </c>
      <c r="W972" s="6"/>
      <c r="X972" s="6"/>
      <c r="Y972" s="6"/>
      <c r="Z972" s="6"/>
    </row>
    <row r="973" customFormat="false" ht="15" hidden="false" customHeight="false" outlineLevel="0" collapsed="false">
      <c r="A973" s="9" t="s">
        <v>1196</v>
      </c>
      <c r="B973" s="9" t="s">
        <v>1140</v>
      </c>
      <c r="C973" s="9" t="s">
        <v>1141</v>
      </c>
      <c r="D973" s="9" t="s">
        <v>619</v>
      </c>
      <c r="E973" s="9" t="s">
        <v>773</v>
      </c>
      <c r="F973" s="9" t="s">
        <v>211</v>
      </c>
      <c r="G973" s="9" t="s">
        <v>221</v>
      </c>
      <c r="H973" s="9" t="n">
        <v>1170</v>
      </c>
      <c r="I973" s="29" t="n">
        <v>1</v>
      </c>
      <c r="J973" s="9" t="n">
        <v>0</v>
      </c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21" t="str">
        <f aca="false">IF(COUNT(K973:T973)=0,"SOURCE EMPTY / INDUSTRIAL ONLY",IF(MIN(K973:T973)=1,"SERVICE READY","HOLD"))</f>
        <v>SOURCE EMPTY / INDUSTRIAL ONLY</v>
      </c>
      <c r="V973" s="9" t="n">
        <f aca="false">IF(U973="SERVICE READY",1,0)</f>
        <v>0</v>
      </c>
      <c r="W973" s="6"/>
      <c r="X973" s="6"/>
      <c r="Y973" s="6"/>
      <c r="Z973" s="6"/>
    </row>
    <row r="974" customFormat="false" ht="15" hidden="false" customHeight="false" outlineLevel="0" collapsed="false">
      <c r="A974" s="9" t="s">
        <v>1197</v>
      </c>
      <c r="B974" s="9" t="s">
        <v>1140</v>
      </c>
      <c r="C974" s="9" t="s">
        <v>1141</v>
      </c>
      <c r="D974" s="9" t="s">
        <v>619</v>
      </c>
      <c r="E974" s="9" t="s">
        <v>773</v>
      </c>
      <c r="F974" s="9" t="s">
        <v>197</v>
      </c>
      <c r="G974" s="9" t="s">
        <v>221</v>
      </c>
      <c r="H974" s="9" t="n">
        <v>1170</v>
      </c>
      <c r="I974" s="29" t="n">
        <v>1</v>
      </c>
      <c r="J974" s="9" t="n">
        <v>0</v>
      </c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21" t="str">
        <f aca="false">IF(COUNT(K974:T974)=0,"SOURCE EMPTY / INDUSTRIAL ONLY",IF(MIN(K974:T974)=1,"SERVICE READY","HOLD"))</f>
        <v>SOURCE EMPTY / INDUSTRIAL ONLY</v>
      </c>
      <c r="V974" s="9" t="n">
        <f aca="false">IF(U974="SERVICE READY",1,0)</f>
        <v>0</v>
      </c>
      <c r="W974" s="6"/>
      <c r="X974" s="6"/>
      <c r="Y974" s="6"/>
      <c r="Z974" s="6"/>
    </row>
    <row r="975" customFormat="false" ht="15" hidden="false" customHeight="false" outlineLevel="0" collapsed="false">
      <c r="A975" s="9" t="s">
        <v>1198</v>
      </c>
      <c r="B975" s="9" t="s">
        <v>1140</v>
      </c>
      <c r="C975" s="9" t="s">
        <v>1141</v>
      </c>
      <c r="D975" s="9" t="s">
        <v>619</v>
      </c>
      <c r="E975" s="9" t="s">
        <v>773</v>
      </c>
      <c r="F975" s="9" t="s">
        <v>200</v>
      </c>
      <c r="G975" s="9" t="s">
        <v>221</v>
      </c>
      <c r="H975" s="9" t="n">
        <v>1170</v>
      </c>
      <c r="I975" s="29" t="n">
        <v>1</v>
      </c>
      <c r="J975" s="9" t="n">
        <v>0</v>
      </c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21" t="str">
        <f aca="false">IF(COUNT(K975:T975)=0,"SOURCE EMPTY / INDUSTRIAL ONLY",IF(MIN(K975:T975)=1,"SERVICE READY","HOLD"))</f>
        <v>SOURCE EMPTY / INDUSTRIAL ONLY</v>
      </c>
      <c r="V975" s="9" t="n">
        <f aca="false">IF(U975="SERVICE READY",1,0)</f>
        <v>0</v>
      </c>
      <c r="W975" s="6"/>
      <c r="X975" s="6"/>
      <c r="Y975" s="6"/>
      <c r="Z975" s="6"/>
    </row>
    <row r="976" customFormat="false" ht="15" hidden="false" customHeight="false" outlineLevel="0" collapsed="false">
      <c r="A976" s="9" t="s">
        <v>1199</v>
      </c>
      <c r="B976" s="9" t="s">
        <v>1140</v>
      </c>
      <c r="C976" s="9" t="s">
        <v>1141</v>
      </c>
      <c r="D976" s="9" t="s">
        <v>619</v>
      </c>
      <c r="E976" s="9" t="s">
        <v>773</v>
      </c>
      <c r="F976" s="9" t="s">
        <v>203</v>
      </c>
      <c r="G976" s="9" t="s">
        <v>221</v>
      </c>
      <c r="H976" s="9" t="n">
        <v>1170</v>
      </c>
      <c r="I976" s="29" t="n">
        <v>1</v>
      </c>
      <c r="J976" s="9" t="n">
        <v>0</v>
      </c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21" t="str">
        <f aca="false">IF(COUNT(K976:T976)=0,"SOURCE EMPTY / INDUSTRIAL ONLY",IF(MIN(K976:T976)=1,"SERVICE READY","HOLD"))</f>
        <v>SOURCE EMPTY / INDUSTRIAL ONLY</v>
      </c>
      <c r="V976" s="9" t="n">
        <f aca="false">IF(U976="SERVICE READY",1,0)</f>
        <v>0</v>
      </c>
      <c r="W976" s="6"/>
      <c r="X976" s="6"/>
      <c r="Y976" s="6"/>
      <c r="Z976" s="6"/>
    </row>
    <row r="977" customFormat="false" ht="15" hidden="false" customHeight="false" outlineLevel="0" collapsed="false">
      <c r="A977" s="9" t="s">
        <v>1200</v>
      </c>
      <c r="B977" s="9" t="s">
        <v>1140</v>
      </c>
      <c r="C977" s="9" t="s">
        <v>1141</v>
      </c>
      <c r="D977" s="9" t="s">
        <v>619</v>
      </c>
      <c r="E977" s="9" t="s">
        <v>773</v>
      </c>
      <c r="F977" s="9" t="s">
        <v>205</v>
      </c>
      <c r="G977" s="9" t="s">
        <v>221</v>
      </c>
      <c r="H977" s="9" t="n">
        <v>1170</v>
      </c>
      <c r="I977" s="29" t="n">
        <v>1</v>
      </c>
      <c r="J977" s="9" t="n">
        <v>0</v>
      </c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21" t="str">
        <f aca="false">IF(COUNT(K977:T977)=0,"SOURCE EMPTY / INDUSTRIAL ONLY",IF(MIN(K977:T977)=1,"SERVICE READY","HOLD"))</f>
        <v>SOURCE EMPTY / INDUSTRIAL ONLY</v>
      </c>
      <c r="V977" s="9" t="n">
        <f aca="false">IF(U977="SERVICE READY",1,0)</f>
        <v>0</v>
      </c>
      <c r="W977" s="6"/>
      <c r="X977" s="6"/>
      <c r="Y977" s="6"/>
      <c r="Z977" s="6"/>
    </row>
    <row r="978" customFormat="false" ht="15" hidden="false" customHeight="false" outlineLevel="0" collapsed="false">
      <c r="A978" s="9" t="s">
        <v>1201</v>
      </c>
      <c r="B978" s="9" t="s">
        <v>1140</v>
      </c>
      <c r="C978" s="9" t="s">
        <v>1141</v>
      </c>
      <c r="D978" s="9" t="s">
        <v>619</v>
      </c>
      <c r="E978" s="9" t="s">
        <v>773</v>
      </c>
      <c r="F978" s="9" t="s">
        <v>207</v>
      </c>
      <c r="G978" s="9" t="s">
        <v>221</v>
      </c>
      <c r="H978" s="9" t="n">
        <v>1170</v>
      </c>
      <c r="I978" s="29" t="n">
        <v>1</v>
      </c>
      <c r="J978" s="9" t="n">
        <v>0</v>
      </c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21" t="str">
        <f aca="false">IF(COUNT(K978:T978)=0,"SOURCE EMPTY / INDUSTRIAL ONLY",IF(MIN(K978:T978)=1,"SERVICE READY","HOLD"))</f>
        <v>SOURCE EMPTY / INDUSTRIAL ONLY</v>
      </c>
      <c r="V978" s="9" t="n">
        <f aca="false">IF(U978="SERVICE READY",1,0)</f>
        <v>0</v>
      </c>
      <c r="W978" s="6"/>
      <c r="X978" s="6"/>
      <c r="Y978" s="6"/>
      <c r="Z978" s="6"/>
    </row>
    <row r="979" customFormat="false" ht="15" hidden="false" customHeight="false" outlineLevel="0" collapsed="false">
      <c r="A979" s="9" t="s">
        <v>1202</v>
      </c>
      <c r="B979" s="9" t="s">
        <v>1140</v>
      </c>
      <c r="C979" s="9" t="s">
        <v>1141</v>
      </c>
      <c r="D979" s="9" t="s">
        <v>619</v>
      </c>
      <c r="E979" s="9" t="s">
        <v>773</v>
      </c>
      <c r="F979" s="9" t="s">
        <v>209</v>
      </c>
      <c r="G979" s="9" t="s">
        <v>221</v>
      </c>
      <c r="H979" s="9" t="n">
        <v>1170</v>
      </c>
      <c r="I979" s="29" t="n">
        <v>1</v>
      </c>
      <c r="J979" s="9" t="n">
        <v>0</v>
      </c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21" t="str">
        <f aca="false">IF(COUNT(K979:T979)=0,"SOURCE EMPTY / INDUSTRIAL ONLY",IF(MIN(K979:T979)=1,"SERVICE READY","HOLD"))</f>
        <v>SOURCE EMPTY / INDUSTRIAL ONLY</v>
      </c>
      <c r="V979" s="9" t="n">
        <f aca="false">IF(U979="SERVICE READY",1,0)</f>
        <v>0</v>
      </c>
      <c r="W979" s="6"/>
      <c r="X979" s="6"/>
      <c r="Y979" s="6"/>
      <c r="Z979" s="6"/>
    </row>
    <row r="980" customFormat="false" ht="15" hidden="false" customHeight="false" outlineLevel="0" collapsed="false">
      <c r="A980" s="9" t="s">
        <v>1203</v>
      </c>
      <c r="B980" s="9" t="s">
        <v>1140</v>
      </c>
      <c r="C980" s="9" t="s">
        <v>1141</v>
      </c>
      <c r="D980" s="9" t="s">
        <v>619</v>
      </c>
      <c r="E980" s="9" t="s">
        <v>773</v>
      </c>
      <c r="F980" s="9" t="s">
        <v>211</v>
      </c>
      <c r="G980" s="9" t="s">
        <v>221</v>
      </c>
      <c r="H980" s="9" t="n">
        <v>1170</v>
      </c>
      <c r="I980" s="29" t="n">
        <v>1</v>
      </c>
      <c r="J980" s="9" t="n">
        <v>0</v>
      </c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21" t="str">
        <f aca="false">IF(COUNT(K980:T980)=0,"SOURCE EMPTY / INDUSTRIAL ONLY",IF(MIN(K980:T980)=1,"SERVICE READY","HOLD"))</f>
        <v>SOURCE EMPTY / INDUSTRIAL ONLY</v>
      </c>
      <c r="V980" s="9" t="n">
        <f aca="false">IF(U980="SERVICE READY",1,0)</f>
        <v>0</v>
      </c>
      <c r="W980" s="6"/>
      <c r="X980" s="6"/>
      <c r="Y980" s="6"/>
      <c r="Z980" s="6"/>
    </row>
    <row r="981" customFormat="false" ht="15" hidden="false" customHeight="false" outlineLevel="0" collapsed="false">
      <c r="A981" s="9" t="s">
        <v>1204</v>
      </c>
      <c r="B981" s="9" t="s">
        <v>1140</v>
      </c>
      <c r="C981" s="9" t="s">
        <v>1141</v>
      </c>
      <c r="D981" s="9" t="s">
        <v>619</v>
      </c>
      <c r="E981" s="9" t="s">
        <v>773</v>
      </c>
      <c r="F981" s="9" t="s">
        <v>197</v>
      </c>
      <c r="G981" s="9" t="s">
        <v>221</v>
      </c>
      <c r="H981" s="9" t="n">
        <v>1170</v>
      </c>
      <c r="I981" s="29" t="n">
        <v>1</v>
      </c>
      <c r="J981" s="9" t="n">
        <v>0</v>
      </c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21" t="str">
        <f aca="false">IF(COUNT(K981:T981)=0,"SOURCE EMPTY / INDUSTRIAL ONLY",IF(MIN(K981:T981)=1,"SERVICE READY","HOLD"))</f>
        <v>SOURCE EMPTY / INDUSTRIAL ONLY</v>
      </c>
      <c r="V981" s="9" t="n">
        <f aca="false">IF(U981="SERVICE READY",1,0)</f>
        <v>0</v>
      </c>
      <c r="W981" s="6"/>
      <c r="X981" s="6"/>
      <c r="Y981" s="6"/>
      <c r="Z981" s="6"/>
    </row>
    <row r="982" customFormat="false" ht="15" hidden="false" customHeight="false" outlineLevel="0" collapsed="false">
      <c r="A982" s="9" t="s">
        <v>1205</v>
      </c>
      <c r="B982" s="9" t="s">
        <v>1140</v>
      </c>
      <c r="C982" s="9" t="s">
        <v>1141</v>
      </c>
      <c r="D982" s="9" t="s">
        <v>619</v>
      </c>
      <c r="E982" s="9" t="s">
        <v>773</v>
      </c>
      <c r="F982" s="9" t="s">
        <v>200</v>
      </c>
      <c r="G982" s="9" t="s">
        <v>221</v>
      </c>
      <c r="H982" s="9" t="n">
        <v>1170</v>
      </c>
      <c r="I982" s="29" t="n">
        <v>1</v>
      </c>
      <c r="J982" s="9" t="n">
        <v>0</v>
      </c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21" t="str">
        <f aca="false">IF(COUNT(K982:T982)=0,"SOURCE EMPTY / INDUSTRIAL ONLY",IF(MIN(K982:T982)=1,"SERVICE READY","HOLD"))</f>
        <v>SOURCE EMPTY / INDUSTRIAL ONLY</v>
      </c>
      <c r="V982" s="9" t="n">
        <f aca="false">IF(U982="SERVICE READY",1,0)</f>
        <v>0</v>
      </c>
      <c r="W982" s="6"/>
      <c r="X982" s="6"/>
      <c r="Y982" s="6"/>
      <c r="Z982" s="6"/>
    </row>
    <row r="983" customFormat="false" ht="15" hidden="false" customHeight="false" outlineLevel="0" collapsed="false">
      <c r="A983" s="9" t="s">
        <v>1206</v>
      </c>
      <c r="B983" s="9" t="s">
        <v>1140</v>
      </c>
      <c r="C983" s="9" t="s">
        <v>1141</v>
      </c>
      <c r="D983" s="9" t="s">
        <v>619</v>
      </c>
      <c r="E983" s="9" t="s">
        <v>773</v>
      </c>
      <c r="F983" s="9" t="s">
        <v>203</v>
      </c>
      <c r="G983" s="9" t="s">
        <v>221</v>
      </c>
      <c r="H983" s="9" t="n">
        <v>1170</v>
      </c>
      <c r="I983" s="29" t="n">
        <v>1</v>
      </c>
      <c r="J983" s="9" t="n">
        <v>0</v>
      </c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21" t="str">
        <f aca="false">IF(COUNT(K983:T983)=0,"SOURCE EMPTY / INDUSTRIAL ONLY",IF(MIN(K983:T983)=1,"SERVICE READY","HOLD"))</f>
        <v>SOURCE EMPTY / INDUSTRIAL ONLY</v>
      </c>
      <c r="V983" s="9" t="n">
        <f aca="false">IF(U983="SERVICE READY",1,0)</f>
        <v>0</v>
      </c>
      <c r="W983" s="6"/>
      <c r="X983" s="6"/>
      <c r="Y983" s="6"/>
      <c r="Z983" s="6"/>
    </row>
    <row r="984" customFormat="false" ht="15" hidden="false" customHeight="false" outlineLevel="0" collapsed="false">
      <c r="A984" s="9" t="s">
        <v>1207</v>
      </c>
      <c r="B984" s="9" t="s">
        <v>1140</v>
      </c>
      <c r="C984" s="9" t="s">
        <v>1141</v>
      </c>
      <c r="D984" s="9" t="s">
        <v>619</v>
      </c>
      <c r="E984" s="9" t="s">
        <v>773</v>
      </c>
      <c r="F984" s="9" t="s">
        <v>205</v>
      </c>
      <c r="G984" s="9" t="s">
        <v>221</v>
      </c>
      <c r="H984" s="9" t="n">
        <v>1170</v>
      </c>
      <c r="I984" s="29" t="n">
        <v>1</v>
      </c>
      <c r="J984" s="9" t="n">
        <v>0</v>
      </c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21" t="str">
        <f aca="false">IF(COUNT(K984:T984)=0,"SOURCE EMPTY / INDUSTRIAL ONLY",IF(MIN(K984:T984)=1,"SERVICE READY","HOLD"))</f>
        <v>SOURCE EMPTY / INDUSTRIAL ONLY</v>
      </c>
      <c r="V984" s="9" t="n">
        <f aca="false">IF(U984="SERVICE READY",1,0)</f>
        <v>0</v>
      </c>
      <c r="W984" s="6"/>
      <c r="X984" s="6"/>
      <c r="Y984" s="6"/>
      <c r="Z984" s="6"/>
    </row>
    <row r="985" customFormat="false" ht="15" hidden="false" customHeight="false" outlineLevel="0" collapsed="false">
      <c r="A985" s="9" t="s">
        <v>1208</v>
      </c>
      <c r="B985" s="9" t="s">
        <v>1140</v>
      </c>
      <c r="C985" s="9" t="s">
        <v>1141</v>
      </c>
      <c r="D985" s="9" t="s">
        <v>619</v>
      </c>
      <c r="E985" s="9" t="s">
        <v>773</v>
      </c>
      <c r="F985" s="9" t="s">
        <v>207</v>
      </c>
      <c r="G985" s="9" t="s">
        <v>221</v>
      </c>
      <c r="H985" s="9" t="n">
        <v>1170</v>
      </c>
      <c r="I985" s="29" t="n">
        <v>1</v>
      </c>
      <c r="J985" s="9" t="n">
        <v>0</v>
      </c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21" t="str">
        <f aca="false">IF(COUNT(K985:T985)=0,"SOURCE EMPTY / INDUSTRIAL ONLY",IF(MIN(K985:T985)=1,"SERVICE READY","HOLD"))</f>
        <v>SOURCE EMPTY / INDUSTRIAL ONLY</v>
      </c>
      <c r="V985" s="9" t="n">
        <f aca="false">IF(U985="SERVICE READY",1,0)</f>
        <v>0</v>
      </c>
      <c r="W985" s="6"/>
      <c r="X985" s="6"/>
      <c r="Y985" s="6"/>
      <c r="Z985" s="6"/>
    </row>
    <row r="986" customFormat="false" ht="15" hidden="false" customHeight="false" outlineLevel="0" collapsed="false">
      <c r="A986" s="9" t="s">
        <v>1209</v>
      </c>
      <c r="B986" s="9" t="s">
        <v>1140</v>
      </c>
      <c r="C986" s="9" t="s">
        <v>1141</v>
      </c>
      <c r="D986" s="9" t="s">
        <v>619</v>
      </c>
      <c r="E986" s="9" t="s">
        <v>773</v>
      </c>
      <c r="F986" s="9" t="s">
        <v>209</v>
      </c>
      <c r="G986" s="9" t="s">
        <v>221</v>
      </c>
      <c r="H986" s="9" t="n">
        <v>1170</v>
      </c>
      <c r="I986" s="29" t="n">
        <v>1</v>
      </c>
      <c r="J986" s="9" t="n">
        <v>0</v>
      </c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21" t="str">
        <f aca="false">IF(COUNT(K986:T986)=0,"SOURCE EMPTY / INDUSTRIAL ONLY",IF(MIN(K986:T986)=1,"SERVICE READY","HOLD"))</f>
        <v>SOURCE EMPTY / INDUSTRIAL ONLY</v>
      </c>
      <c r="V986" s="9" t="n">
        <f aca="false">IF(U986="SERVICE READY",1,0)</f>
        <v>0</v>
      </c>
      <c r="W986" s="6"/>
      <c r="X986" s="6"/>
      <c r="Y986" s="6"/>
      <c r="Z986" s="6"/>
    </row>
    <row r="987" customFormat="false" ht="15" hidden="false" customHeight="false" outlineLevel="0" collapsed="false">
      <c r="A987" s="9" t="s">
        <v>1210</v>
      </c>
      <c r="B987" s="9" t="s">
        <v>1140</v>
      </c>
      <c r="C987" s="9" t="s">
        <v>1141</v>
      </c>
      <c r="D987" s="9" t="s">
        <v>619</v>
      </c>
      <c r="E987" s="9" t="s">
        <v>773</v>
      </c>
      <c r="F987" s="9" t="s">
        <v>211</v>
      </c>
      <c r="G987" s="9" t="s">
        <v>221</v>
      </c>
      <c r="H987" s="9" t="n">
        <v>1170</v>
      </c>
      <c r="I987" s="29" t="n">
        <v>1</v>
      </c>
      <c r="J987" s="9" t="n">
        <v>0</v>
      </c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21" t="str">
        <f aca="false">IF(COUNT(K987:T987)=0,"SOURCE EMPTY / INDUSTRIAL ONLY",IF(MIN(K987:T987)=1,"SERVICE READY","HOLD"))</f>
        <v>SOURCE EMPTY / INDUSTRIAL ONLY</v>
      </c>
      <c r="V987" s="9" t="n">
        <f aca="false">IF(U987="SERVICE READY",1,0)</f>
        <v>0</v>
      </c>
      <c r="W987" s="6"/>
      <c r="X987" s="6"/>
      <c r="Y987" s="6"/>
      <c r="Z987" s="6"/>
    </row>
    <row r="988" customFormat="false" ht="15" hidden="false" customHeight="false" outlineLevel="0" collapsed="false">
      <c r="A988" s="9" t="s">
        <v>1211</v>
      </c>
      <c r="B988" s="9" t="s">
        <v>1140</v>
      </c>
      <c r="C988" s="9" t="s">
        <v>1141</v>
      </c>
      <c r="D988" s="9" t="s">
        <v>619</v>
      </c>
      <c r="E988" s="9" t="s">
        <v>773</v>
      </c>
      <c r="F988" s="9" t="s">
        <v>197</v>
      </c>
      <c r="G988" s="9" t="s">
        <v>221</v>
      </c>
      <c r="H988" s="9" t="n">
        <v>1170</v>
      </c>
      <c r="I988" s="29" t="n">
        <v>1</v>
      </c>
      <c r="J988" s="9" t="n">
        <v>0</v>
      </c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21" t="str">
        <f aca="false">IF(COUNT(K988:T988)=0,"SOURCE EMPTY / INDUSTRIAL ONLY",IF(MIN(K988:T988)=1,"SERVICE READY","HOLD"))</f>
        <v>SOURCE EMPTY / INDUSTRIAL ONLY</v>
      </c>
      <c r="V988" s="9" t="n">
        <f aca="false">IF(U988="SERVICE READY",1,0)</f>
        <v>0</v>
      </c>
      <c r="W988" s="6"/>
      <c r="X988" s="6"/>
      <c r="Y988" s="6"/>
      <c r="Z988" s="6"/>
    </row>
    <row r="989" customFormat="false" ht="15" hidden="false" customHeight="false" outlineLevel="0" collapsed="false">
      <c r="A989" s="9" t="s">
        <v>1212</v>
      </c>
      <c r="B989" s="9" t="s">
        <v>1213</v>
      </c>
      <c r="C989" s="9" t="s">
        <v>1214</v>
      </c>
      <c r="D989" s="9" t="s">
        <v>1215</v>
      </c>
      <c r="E989" s="9" t="s">
        <v>275</v>
      </c>
      <c r="F989" s="9" t="s">
        <v>197</v>
      </c>
      <c r="G989" s="9" t="s">
        <v>198</v>
      </c>
      <c r="H989" s="9" t="n">
        <v>2700</v>
      </c>
      <c r="I989" s="29" t="n">
        <v>8</v>
      </c>
      <c r="J989" s="9" t="n">
        <v>1</v>
      </c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21" t="str">
        <f aca="false">IF(COUNT(K989:T989)=0,"SOURCE EMPTY / INDUSTRIAL ONLY",IF(MIN(K989:T989)=1,"SERVICE READY","HOLD"))</f>
        <v>SOURCE EMPTY / INDUSTRIAL ONLY</v>
      </c>
      <c r="V989" s="9" t="n">
        <f aca="false">IF(U989="SERVICE READY",1,0)</f>
        <v>0</v>
      </c>
      <c r="W989" s="6"/>
      <c r="X989" s="6"/>
      <c r="Y989" s="6"/>
      <c r="Z989" s="6"/>
    </row>
    <row r="990" customFormat="false" ht="15" hidden="false" customHeight="false" outlineLevel="0" collapsed="false">
      <c r="A990" s="9" t="s">
        <v>1216</v>
      </c>
      <c r="B990" s="9" t="s">
        <v>1213</v>
      </c>
      <c r="C990" s="9" t="s">
        <v>1214</v>
      </c>
      <c r="D990" s="9" t="s">
        <v>1215</v>
      </c>
      <c r="E990" s="9" t="s">
        <v>275</v>
      </c>
      <c r="F990" s="9" t="s">
        <v>200</v>
      </c>
      <c r="G990" s="9" t="s">
        <v>201</v>
      </c>
      <c r="H990" s="9" t="n">
        <v>2700</v>
      </c>
      <c r="I990" s="29" t="n">
        <v>8</v>
      </c>
      <c r="J990" s="9" t="n">
        <v>1</v>
      </c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21" t="str">
        <f aca="false">IF(COUNT(K990:T990)=0,"SOURCE EMPTY / INDUSTRIAL ONLY",IF(MIN(K990:T990)=1,"SERVICE READY","HOLD"))</f>
        <v>SOURCE EMPTY / INDUSTRIAL ONLY</v>
      </c>
      <c r="V990" s="9" t="n">
        <f aca="false">IF(U990="SERVICE READY",1,0)</f>
        <v>0</v>
      </c>
      <c r="W990" s="6"/>
      <c r="X990" s="6"/>
      <c r="Y990" s="6"/>
      <c r="Z990" s="6"/>
    </row>
    <row r="991" customFormat="false" ht="15" hidden="false" customHeight="false" outlineLevel="0" collapsed="false">
      <c r="A991" s="9" t="s">
        <v>1217</v>
      </c>
      <c r="B991" s="9" t="s">
        <v>1213</v>
      </c>
      <c r="C991" s="9" t="s">
        <v>1214</v>
      </c>
      <c r="D991" s="9" t="s">
        <v>1215</v>
      </c>
      <c r="E991" s="9" t="s">
        <v>275</v>
      </c>
      <c r="F991" s="9" t="s">
        <v>203</v>
      </c>
      <c r="G991" s="9" t="s">
        <v>198</v>
      </c>
      <c r="H991" s="9" t="n">
        <v>2700</v>
      </c>
      <c r="I991" s="29" t="n">
        <v>8</v>
      </c>
      <c r="J991" s="9" t="n">
        <v>1</v>
      </c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21" t="str">
        <f aca="false">IF(COUNT(K991:T991)=0,"SOURCE EMPTY / INDUSTRIAL ONLY",IF(MIN(K991:T991)=1,"SERVICE READY","HOLD"))</f>
        <v>SOURCE EMPTY / INDUSTRIAL ONLY</v>
      </c>
      <c r="V991" s="9" t="n">
        <f aca="false">IF(U991="SERVICE READY",1,0)</f>
        <v>0</v>
      </c>
      <c r="W991" s="6"/>
      <c r="X991" s="6"/>
      <c r="Y991" s="6"/>
      <c r="Z991" s="6"/>
    </row>
    <row r="992" customFormat="false" ht="15" hidden="false" customHeight="false" outlineLevel="0" collapsed="false">
      <c r="A992" s="9" t="s">
        <v>1218</v>
      </c>
      <c r="B992" s="9" t="s">
        <v>1213</v>
      </c>
      <c r="C992" s="9" t="s">
        <v>1214</v>
      </c>
      <c r="D992" s="9" t="s">
        <v>1215</v>
      </c>
      <c r="E992" s="9" t="s">
        <v>275</v>
      </c>
      <c r="F992" s="9" t="s">
        <v>205</v>
      </c>
      <c r="G992" s="9" t="s">
        <v>201</v>
      </c>
      <c r="H992" s="9" t="n">
        <v>2700</v>
      </c>
      <c r="I992" s="29" t="n">
        <v>8</v>
      </c>
      <c r="J992" s="9" t="n">
        <v>1</v>
      </c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21" t="str">
        <f aca="false">IF(COUNT(K992:T992)=0,"SOURCE EMPTY / INDUSTRIAL ONLY",IF(MIN(K992:T992)=1,"SERVICE READY","HOLD"))</f>
        <v>SOURCE EMPTY / INDUSTRIAL ONLY</v>
      </c>
      <c r="V992" s="9" t="n">
        <f aca="false">IF(U992="SERVICE READY",1,0)</f>
        <v>0</v>
      </c>
      <c r="W992" s="6"/>
      <c r="X992" s="6"/>
      <c r="Y992" s="6"/>
      <c r="Z992" s="6"/>
    </row>
    <row r="993" customFormat="false" ht="15" hidden="false" customHeight="false" outlineLevel="0" collapsed="false">
      <c r="A993" s="9" t="s">
        <v>1219</v>
      </c>
      <c r="B993" s="9" t="s">
        <v>1213</v>
      </c>
      <c r="C993" s="9" t="s">
        <v>1214</v>
      </c>
      <c r="D993" s="9" t="s">
        <v>1215</v>
      </c>
      <c r="E993" s="9" t="s">
        <v>275</v>
      </c>
      <c r="F993" s="9" t="s">
        <v>207</v>
      </c>
      <c r="G993" s="9" t="s">
        <v>198</v>
      </c>
      <c r="H993" s="9" t="n">
        <v>2700</v>
      </c>
      <c r="I993" s="29" t="n">
        <v>8</v>
      </c>
      <c r="J993" s="9" t="n">
        <v>1</v>
      </c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21" t="str">
        <f aca="false">IF(COUNT(K993:T993)=0,"SOURCE EMPTY / INDUSTRIAL ONLY",IF(MIN(K993:T993)=1,"SERVICE READY","HOLD"))</f>
        <v>SOURCE EMPTY / INDUSTRIAL ONLY</v>
      </c>
      <c r="V993" s="9" t="n">
        <f aca="false">IF(U993="SERVICE READY",1,0)</f>
        <v>0</v>
      </c>
      <c r="W993" s="6"/>
      <c r="X993" s="6"/>
      <c r="Y993" s="6"/>
      <c r="Z993" s="6"/>
    </row>
    <row r="994" customFormat="false" ht="15" hidden="false" customHeight="false" outlineLevel="0" collapsed="false">
      <c r="A994" s="9" t="s">
        <v>1220</v>
      </c>
      <c r="B994" s="9" t="s">
        <v>1213</v>
      </c>
      <c r="C994" s="9" t="s">
        <v>1214</v>
      </c>
      <c r="D994" s="9" t="s">
        <v>1215</v>
      </c>
      <c r="E994" s="9" t="s">
        <v>275</v>
      </c>
      <c r="F994" s="9" t="s">
        <v>209</v>
      </c>
      <c r="G994" s="9" t="s">
        <v>201</v>
      </c>
      <c r="H994" s="9" t="n">
        <v>2700</v>
      </c>
      <c r="I994" s="29" t="n">
        <v>8</v>
      </c>
      <c r="J994" s="9" t="n">
        <v>1</v>
      </c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21" t="str">
        <f aca="false">IF(COUNT(K994:T994)=0,"SOURCE EMPTY / INDUSTRIAL ONLY",IF(MIN(K994:T994)=1,"SERVICE READY","HOLD"))</f>
        <v>SOURCE EMPTY / INDUSTRIAL ONLY</v>
      </c>
      <c r="V994" s="9" t="n">
        <f aca="false">IF(U994="SERVICE READY",1,0)</f>
        <v>0</v>
      </c>
      <c r="W994" s="6"/>
      <c r="X994" s="6"/>
      <c r="Y994" s="6"/>
      <c r="Z994" s="6"/>
    </row>
    <row r="995" customFormat="false" ht="15" hidden="false" customHeight="false" outlineLevel="0" collapsed="false">
      <c r="A995" s="9" t="s">
        <v>1221</v>
      </c>
      <c r="B995" s="9" t="s">
        <v>1213</v>
      </c>
      <c r="C995" s="9" t="s">
        <v>1214</v>
      </c>
      <c r="D995" s="9" t="s">
        <v>1215</v>
      </c>
      <c r="E995" s="9" t="s">
        <v>275</v>
      </c>
      <c r="F995" s="9" t="s">
        <v>211</v>
      </c>
      <c r="G995" s="9" t="s">
        <v>198</v>
      </c>
      <c r="H995" s="9" t="n">
        <v>2700</v>
      </c>
      <c r="I995" s="29" t="n">
        <v>8</v>
      </c>
      <c r="J995" s="9" t="n">
        <v>1</v>
      </c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21" t="str">
        <f aca="false">IF(COUNT(K995:T995)=0,"SOURCE EMPTY / INDUSTRIAL ONLY",IF(MIN(K995:T995)=1,"SERVICE READY","HOLD"))</f>
        <v>SOURCE EMPTY / INDUSTRIAL ONLY</v>
      </c>
      <c r="V995" s="9" t="n">
        <f aca="false">IF(U995="SERVICE READY",1,0)</f>
        <v>0</v>
      </c>
      <c r="W995" s="6"/>
      <c r="X995" s="6"/>
      <c r="Y995" s="6"/>
      <c r="Z995" s="6"/>
    </row>
    <row r="996" customFormat="false" ht="15" hidden="false" customHeight="false" outlineLevel="0" collapsed="false">
      <c r="A996" s="9" t="s">
        <v>1222</v>
      </c>
      <c r="B996" s="9" t="s">
        <v>1213</v>
      </c>
      <c r="C996" s="9" t="s">
        <v>1214</v>
      </c>
      <c r="D996" s="9" t="s">
        <v>1215</v>
      </c>
      <c r="E996" s="9" t="s">
        <v>275</v>
      </c>
      <c r="F996" s="9" t="s">
        <v>197</v>
      </c>
      <c r="G996" s="9" t="s">
        <v>201</v>
      </c>
      <c r="H996" s="9" t="n">
        <v>2700</v>
      </c>
      <c r="I996" s="29" t="n">
        <v>8</v>
      </c>
      <c r="J996" s="9" t="n">
        <v>1</v>
      </c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21" t="str">
        <f aca="false">IF(COUNT(K996:T996)=0,"SOURCE EMPTY / INDUSTRIAL ONLY",IF(MIN(K996:T996)=1,"SERVICE READY","HOLD"))</f>
        <v>SOURCE EMPTY / INDUSTRIAL ONLY</v>
      </c>
      <c r="V996" s="9" t="n">
        <f aca="false">IF(U996="SERVICE READY",1,0)</f>
        <v>0</v>
      </c>
      <c r="W996" s="6"/>
      <c r="X996" s="6"/>
      <c r="Y996" s="6"/>
      <c r="Z996" s="6"/>
    </row>
    <row r="997" customFormat="false" ht="15" hidden="false" customHeight="false" outlineLevel="0" collapsed="false">
      <c r="A997" s="9" t="s">
        <v>1223</v>
      </c>
      <c r="B997" s="9" t="s">
        <v>1213</v>
      </c>
      <c r="C997" s="9" t="s">
        <v>1214</v>
      </c>
      <c r="D997" s="9" t="s">
        <v>1215</v>
      </c>
      <c r="E997" s="9" t="s">
        <v>275</v>
      </c>
      <c r="F997" s="9" t="s">
        <v>200</v>
      </c>
      <c r="G997" s="9" t="s">
        <v>198</v>
      </c>
      <c r="H997" s="9" t="n">
        <v>2700</v>
      </c>
      <c r="I997" s="29" t="n">
        <v>8</v>
      </c>
      <c r="J997" s="9" t="n">
        <v>1</v>
      </c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21" t="str">
        <f aca="false">IF(COUNT(K997:T997)=0,"SOURCE EMPTY / INDUSTRIAL ONLY",IF(MIN(K997:T997)=1,"SERVICE READY","HOLD"))</f>
        <v>SOURCE EMPTY / INDUSTRIAL ONLY</v>
      </c>
      <c r="V997" s="9" t="n">
        <f aca="false">IF(U997="SERVICE READY",1,0)</f>
        <v>0</v>
      </c>
      <c r="W997" s="6"/>
      <c r="X997" s="6"/>
      <c r="Y997" s="6"/>
      <c r="Z997" s="6"/>
    </row>
    <row r="998" customFormat="false" ht="15" hidden="false" customHeight="false" outlineLevel="0" collapsed="false">
      <c r="A998" s="9" t="s">
        <v>1224</v>
      </c>
      <c r="B998" s="9" t="s">
        <v>1213</v>
      </c>
      <c r="C998" s="9" t="s">
        <v>1214</v>
      </c>
      <c r="D998" s="9" t="s">
        <v>1215</v>
      </c>
      <c r="E998" s="9" t="s">
        <v>275</v>
      </c>
      <c r="F998" s="9" t="s">
        <v>203</v>
      </c>
      <c r="G998" s="9" t="s">
        <v>201</v>
      </c>
      <c r="H998" s="9" t="n">
        <v>2700</v>
      </c>
      <c r="I998" s="29" t="n">
        <v>8</v>
      </c>
      <c r="J998" s="9" t="n">
        <v>1</v>
      </c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21" t="str">
        <f aca="false">IF(COUNT(K998:T998)=0,"SOURCE EMPTY / INDUSTRIAL ONLY",IF(MIN(K998:T998)=1,"SERVICE READY","HOLD"))</f>
        <v>SOURCE EMPTY / INDUSTRIAL ONLY</v>
      </c>
      <c r="V998" s="9" t="n">
        <f aca="false">IF(U998="SERVICE READY",1,0)</f>
        <v>0</v>
      </c>
      <c r="W998" s="6"/>
      <c r="X998" s="6"/>
      <c r="Y998" s="6"/>
      <c r="Z998" s="6"/>
    </row>
    <row r="999" customFormat="false" ht="15" hidden="false" customHeight="false" outlineLevel="0" collapsed="false">
      <c r="A999" s="9" t="s">
        <v>1225</v>
      </c>
      <c r="B999" s="9" t="s">
        <v>1213</v>
      </c>
      <c r="C999" s="9" t="s">
        <v>1214</v>
      </c>
      <c r="D999" s="9" t="s">
        <v>1215</v>
      </c>
      <c r="E999" s="9" t="s">
        <v>275</v>
      </c>
      <c r="F999" s="9" t="s">
        <v>205</v>
      </c>
      <c r="G999" s="9" t="s">
        <v>198</v>
      </c>
      <c r="H999" s="9" t="n">
        <v>2700</v>
      </c>
      <c r="I999" s="29" t="n">
        <v>8</v>
      </c>
      <c r="J999" s="9" t="n">
        <v>1</v>
      </c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21" t="str">
        <f aca="false">IF(COUNT(K999:T999)=0,"SOURCE EMPTY / INDUSTRIAL ONLY",IF(MIN(K999:T999)=1,"SERVICE READY","HOLD"))</f>
        <v>SOURCE EMPTY / INDUSTRIAL ONLY</v>
      </c>
      <c r="V999" s="9" t="n">
        <f aca="false">IF(U999="SERVICE READY",1,0)</f>
        <v>0</v>
      </c>
      <c r="W999" s="6"/>
      <c r="X999" s="6"/>
      <c r="Y999" s="6"/>
      <c r="Z999" s="6"/>
    </row>
    <row r="1000" customFormat="false" ht="15" hidden="false" customHeight="false" outlineLevel="0" collapsed="false">
      <c r="A1000" s="9" t="s">
        <v>1226</v>
      </c>
      <c r="B1000" s="9" t="s">
        <v>1213</v>
      </c>
      <c r="C1000" s="9" t="s">
        <v>1214</v>
      </c>
      <c r="D1000" s="9" t="s">
        <v>1215</v>
      </c>
      <c r="E1000" s="9" t="s">
        <v>275</v>
      </c>
      <c r="F1000" s="9" t="s">
        <v>207</v>
      </c>
      <c r="G1000" s="9" t="s">
        <v>201</v>
      </c>
      <c r="H1000" s="9" t="n">
        <v>2700</v>
      </c>
      <c r="I1000" s="29" t="n">
        <v>8</v>
      </c>
      <c r="J1000" s="9" t="n">
        <v>1</v>
      </c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21" t="str">
        <f aca="false">IF(COUNT(K1000:T1000)=0,"SOURCE EMPTY / INDUSTRIAL ONLY",IF(MIN(K1000:T1000)=1,"SERVICE READY","HOLD"))</f>
        <v>SOURCE EMPTY / INDUSTRIAL ONLY</v>
      </c>
      <c r="V1000" s="9" t="n">
        <f aca="false">IF(U1000="SERVICE READY",1,0)</f>
        <v>0</v>
      </c>
      <c r="W1000" s="6"/>
      <c r="X1000" s="6"/>
      <c r="Y1000" s="6"/>
      <c r="Z1000" s="6"/>
    </row>
    <row r="1001" customFormat="false" ht="15" hidden="false" customHeight="false" outlineLevel="0" collapsed="false">
      <c r="A1001" s="9" t="s">
        <v>1227</v>
      </c>
      <c r="B1001" s="9" t="s">
        <v>1213</v>
      </c>
      <c r="C1001" s="9" t="s">
        <v>1214</v>
      </c>
      <c r="D1001" s="9" t="s">
        <v>1215</v>
      </c>
      <c r="E1001" s="9" t="s">
        <v>275</v>
      </c>
      <c r="F1001" s="9" t="s">
        <v>209</v>
      </c>
      <c r="G1001" s="9" t="s">
        <v>198</v>
      </c>
      <c r="H1001" s="9" t="n">
        <v>2700</v>
      </c>
      <c r="I1001" s="29" t="n">
        <v>8</v>
      </c>
      <c r="J1001" s="9" t="n">
        <v>1</v>
      </c>
      <c r="K1001" s="30"/>
      <c r="L1001" s="30"/>
      <c r="M1001" s="30"/>
      <c r="N1001" s="30"/>
      <c r="O1001" s="30"/>
      <c r="P1001" s="30"/>
      <c r="Q1001" s="30"/>
      <c r="R1001" s="30"/>
      <c r="S1001" s="30"/>
      <c r="T1001" s="30"/>
      <c r="U1001" s="21" t="str">
        <f aca="false">IF(COUNT(K1001:T1001)=0,"SOURCE EMPTY / INDUSTRIAL ONLY",IF(MIN(K1001:T1001)=1,"SERVICE READY","HOLD"))</f>
        <v>SOURCE EMPTY / INDUSTRIAL ONLY</v>
      </c>
      <c r="V1001" s="9" t="n">
        <f aca="false">IF(U1001="SERVICE READY",1,0)</f>
        <v>0</v>
      </c>
      <c r="W1001" s="6"/>
      <c r="X1001" s="6"/>
      <c r="Y1001" s="6"/>
      <c r="Z1001" s="6"/>
    </row>
    <row r="1002" customFormat="false" ht="15" hidden="false" customHeight="false" outlineLevel="0" collapsed="false">
      <c r="A1002" s="9" t="s">
        <v>1228</v>
      </c>
      <c r="B1002" s="9" t="s">
        <v>1213</v>
      </c>
      <c r="C1002" s="9" t="s">
        <v>1214</v>
      </c>
      <c r="D1002" s="9" t="s">
        <v>1215</v>
      </c>
      <c r="E1002" s="9" t="s">
        <v>275</v>
      </c>
      <c r="F1002" s="9" t="s">
        <v>211</v>
      </c>
      <c r="G1002" s="9" t="s">
        <v>201</v>
      </c>
      <c r="H1002" s="9" t="n">
        <v>2700</v>
      </c>
      <c r="I1002" s="29" t="n">
        <v>8</v>
      </c>
      <c r="J1002" s="9" t="n">
        <v>1</v>
      </c>
      <c r="K1002" s="30"/>
      <c r="L1002" s="30"/>
      <c r="M1002" s="30"/>
      <c r="N1002" s="30"/>
      <c r="O1002" s="30"/>
      <c r="P1002" s="30"/>
      <c r="Q1002" s="30"/>
      <c r="R1002" s="30"/>
      <c r="S1002" s="30"/>
      <c r="T1002" s="30"/>
      <c r="U1002" s="21" t="str">
        <f aca="false">IF(COUNT(K1002:T1002)=0,"SOURCE EMPTY / INDUSTRIAL ONLY",IF(MIN(K1002:T1002)=1,"SERVICE READY","HOLD"))</f>
        <v>SOURCE EMPTY / INDUSTRIAL ONLY</v>
      </c>
      <c r="V1002" s="9" t="n">
        <f aca="false">IF(U1002="SERVICE READY",1,0)</f>
        <v>0</v>
      </c>
      <c r="W1002" s="6"/>
      <c r="X1002" s="6"/>
      <c r="Y1002" s="6"/>
      <c r="Z1002" s="6"/>
    </row>
    <row r="1003" customFormat="false" ht="15" hidden="false" customHeight="false" outlineLevel="0" collapsed="false">
      <c r="A1003" s="9" t="s">
        <v>1229</v>
      </c>
      <c r="B1003" s="9" t="s">
        <v>1213</v>
      </c>
      <c r="C1003" s="9" t="s">
        <v>1214</v>
      </c>
      <c r="D1003" s="9" t="s">
        <v>1215</v>
      </c>
      <c r="E1003" s="9" t="s">
        <v>275</v>
      </c>
      <c r="F1003" s="9" t="s">
        <v>197</v>
      </c>
      <c r="G1003" s="9" t="s">
        <v>198</v>
      </c>
      <c r="H1003" s="9" t="n">
        <v>2700</v>
      </c>
      <c r="I1003" s="29" t="n">
        <v>8</v>
      </c>
      <c r="J1003" s="9" t="n">
        <v>1</v>
      </c>
      <c r="K1003" s="30"/>
      <c r="L1003" s="30"/>
      <c r="M1003" s="30"/>
      <c r="N1003" s="30"/>
      <c r="O1003" s="30"/>
      <c r="P1003" s="30"/>
      <c r="Q1003" s="30"/>
      <c r="R1003" s="30"/>
      <c r="S1003" s="30"/>
      <c r="T1003" s="30"/>
      <c r="U1003" s="21" t="str">
        <f aca="false">IF(COUNT(K1003:T1003)=0,"SOURCE EMPTY / INDUSTRIAL ONLY",IF(MIN(K1003:T1003)=1,"SERVICE READY","HOLD"))</f>
        <v>SOURCE EMPTY / INDUSTRIAL ONLY</v>
      </c>
      <c r="V1003" s="9" t="n">
        <f aca="false">IF(U1003="SERVICE READY",1,0)</f>
        <v>0</v>
      </c>
      <c r="W1003" s="6"/>
      <c r="X1003" s="6"/>
      <c r="Y1003" s="6"/>
      <c r="Z1003" s="6"/>
    </row>
    <row r="1004" customFormat="false" ht="15" hidden="false" customHeight="false" outlineLevel="0" collapsed="false">
      <c r="A1004" s="9" t="s">
        <v>1230</v>
      </c>
      <c r="B1004" s="9" t="s">
        <v>1213</v>
      </c>
      <c r="C1004" s="9" t="s">
        <v>1214</v>
      </c>
      <c r="D1004" s="9" t="s">
        <v>1215</v>
      </c>
      <c r="E1004" s="9" t="s">
        <v>275</v>
      </c>
      <c r="F1004" s="9" t="s">
        <v>200</v>
      </c>
      <c r="G1004" s="9" t="s">
        <v>201</v>
      </c>
      <c r="H1004" s="9" t="n">
        <v>2700</v>
      </c>
      <c r="I1004" s="29" t="n">
        <v>8</v>
      </c>
      <c r="J1004" s="9" t="n">
        <v>1</v>
      </c>
      <c r="K1004" s="30"/>
      <c r="L1004" s="30"/>
      <c r="M1004" s="30"/>
      <c r="N1004" s="30"/>
      <c r="O1004" s="30"/>
      <c r="P1004" s="30"/>
      <c r="Q1004" s="30"/>
      <c r="R1004" s="30"/>
      <c r="S1004" s="30"/>
      <c r="T1004" s="30"/>
      <c r="U1004" s="21" t="str">
        <f aca="false">IF(COUNT(K1004:T1004)=0,"SOURCE EMPTY / INDUSTRIAL ONLY",IF(MIN(K1004:T1004)=1,"SERVICE READY","HOLD"))</f>
        <v>SOURCE EMPTY / INDUSTRIAL ONLY</v>
      </c>
      <c r="V1004" s="9" t="n">
        <f aca="false">IF(U1004="SERVICE READY",1,0)</f>
        <v>0</v>
      </c>
      <c r="W1004" s="6"/>
      <c r="X1004" s="6"/>
      <c r="Y1004" s="6"/>
      <c r="Z1004" s="6"/>
    </row>
    <row r="1005" customFormat="false" ht="15" hidden="false" customHeight="false" outlineLevel="0" collapsed="false">
      <c r="A1005" s="9" t="s">
        <v>1231</v>
      </c>
      <c r="B1005" s="9" t="s">
        <v>1213</v>
      </c>
      <c r="C1005" s="9" t="s">
        <v>1214</v>
      </c>
      <c r="D1005" s="9" t="s">
        <v>1215</v>
      </c>
      <c r="E1005" s="9" t="s">
        <v>275</v>
      </c>
      <c r="F1005" s="9" t="s">
        <v>203</v>
      </c>
      <c r="G1005" s="9" t="s">
        <v>198</v>
      </c>
      <c r="H1005" s="9" t="n">
        <v>2700</v>
      </c>
      <c r="I1005" s="29" t="n">
        <v>8</v>
      </c>
      <c r="J1005" s="9" t="n">
        <v>1</v>
      </c>
      <c r="K1005" s="30"/>
      <c r="L1005" s="30"/>
      <c r="M1005" s="30"/>
      <c r="N1005" s="30"/>
      <c r="O1005" s="30"/>
      <c r="P1005" s="30"/>
      <c r="Q1005" s="30"/>
      <c r="R1005" s="30"/>
      <c r="S1005" s="30"/>
      <c r="T1005" s="30"/>
      <c r="U1005" s="21" t="str">
        <f aca="false">IF(COUNT(K1005:T1005)=0,"SOURCE EMPTY / INDUSTRIAL ONLY",IF(MIN(K1005:T1005)=1,"SERVICE READY","HOLD"))</f>
        <v>SOURCE EMPTY / INDUSTRIAL ONLY</v>
      </c>
      <c r="V1005" s="9" t="n">
        <f aca="false">IF(U1005="SERVICE READY",1,0)</f>
        <v>0</v>
      </c>
      <c r="W1005" s="6"/>
      <c r="X1005" s="6"/>
      <c r="Y1005" s="6"/>
      <c r="Z1005" s="6"/>
    </row>
    <row r="1006" customFormat="false" ht="15" hidden="false" customHeight="false" outlineLevel="0" collapsed="false">
      <c r="A1006" s="9" t="s">
        <v>1232</v>
      </c>
      <c r="B1006" s="9" t="s">
        <v>1213</v>
      </c>
      <c r="C1006" s="9" t="s">
        <v>1214</v>
      </c>
      <c r="D1006" s="9" t="s">
        <v>1215</v>
      </c>
      <c r="E1006" s="9" t="s">
        <v>275</v>
      </c>
      <c r="F1006" s="9" t="s">
        <v>205</v>
      </c>
      <c r="G1006" s="9" t="s">
        <v>201</v>
      </c>
      <c r="H1006" s="9" t="n">
        <v>2700</v>
      </c>
      <c r="I1006" s="29" t="n">
        <v>8</v>
      </c>
      <c r="J1006" s="9" t="n">
        <v>1</v>
      </c>
      <c r="K1006" s="30"/>
      <c r="L1006" s="30"/>
      <c r="M1006" s="30"/>
      <c r="N1006" s="30"/>
      <c r="O1006" s="30"/>
      <c r="P1006" s="30"/>
      <c r="Q1006" s="30"/>
      <c r="R1006" s="30"/>
      <c r="S1006" s="30"/>
      <c r="T1006" s="30"/>
      <c r="U1006" s="21" t="str">
        <f aca="false">IF(COUNT(K1006:T1006)=0,"SOURCE EMPTY / INDUSTRIAL ONLY",IF(MIN(K1006:T1006)=1,"SERVICE READY","HOLD"))</f>
        <v>SOURCE EMPTY / INDUSTRIAL ONLY</v>
      </c>
      <c r="V1006" s="9" t="n">
        <f aca="false">IF(U1006="SERVICE READY",1,0)</f>
        <v>0</v>
      </c>
      <c r="W1006" s="6"/>
      <c r="X1006" s="6"/>
      <c r="Y1006" s="6"/>
      <c r="Z1006" s="6"/>
    </row>
    <row r="1007" customFormat="false" ht="15" hidden="false" customHeight="false" outlineLevel="0" collapsed="false">
      <c r="A1007" s="9" t="s">
        <v>1233</v>
      </c>
      <c r="B1007" s="9" t="s">
        <v>1213</v>
      </c>
      <c r="C1007" s="9" t="s">
        <v>1214</v>
      </c>
      <c r="D1007" s="9" t="s">
        <v>1215</v>
      </c>
      <c r="E1007" s="9" t="s">
        <v>275</v>
      </c>
      <c r="F1007" s="9" t="s">
        <v>207</v>
      </c>
      <c r="G1007" s="9" t="s">
        <v>198</v>
      </c>
      <c r="H1007" s="9" t="n">
        <v>2700</v>
      </c>
      <c r="I1007" s="29" t="n">
        <v>8</v>
      </c>
      <c r="J1007" s="9" t="n">
        <v>1</v>
      </c>
      <c r="K1007" s="30"/>
      <c r="L1007" s="30"/>
      <c r="M1007" s="30"/>
      <c r="N1007" s="30"/>
      <c r="O1007" s="30"/>
      <c r="P1007" s="30"/>
      <c r="Q1007" s="30"/>
      <c r="R1007" s="30"/>
      <c r="S1007" s="30"/>
      <c r="T1007" s="30"/>
      <c r="U1007" s="21" t="str">
        <f aca="false">IF(COUNT(K1007:T1007)=0,"SOURCE EMPTY / INDUSTRIAL ONLY",IF(MIN(K1007:T1007)=1,"SERVICE READY","HOLD"))</f>
        <v>SOURCE EMPTY / INDUSTRIAL ONLY</v>
      </c>
      <c r="V1007" s="9" t="n">
        <f aca="false">IF(U1007="SERVICE READY",1,0)</f>
        <v>0</v>
      </c>
      <c r="W1007" s="6"/>
      <c r="X1007" s="6"/>
      <c r="Y1007" s="6"/>
      <c r="Z1007" s="6"/>
    </row>
    <row r="1008" customFormat="false" ht="15" hidden="false" customHeight="false" outlineLevel="0" collapsed="false">
      <c r="A1008" s="9" t="s">
        <v>1234</v>
      </c>
      <c r="B1008" s="9" t="s">
        <v>1213</v>
      </c>
      <c r="C1008" s="9" t="s">
        <v>1214</v>
      </c>
      <c r="D1008" s="9" t="s">
        <v>1215</v>
      </c>
      <c r="E1008" s="9" t="s">
        <v>275</v>
      </c>
      <c r="F1008" s="9" t="s">
        <v>209</v>
      </c>
      <c r="G1008" s="9" t="s">
        <v>221</v>
      </c>
      <c r="H1008" s="9" t="n">
        <v>2700</v>
      </c>
      <c r="I1008" s="29" t="n">
        <v>8</v>
      </c>
      <c r="J1008" s="9" t="n">
        <v>1</v>
      </c>
      <c r="K1008" s="30"/>
      <c r="L1008" s="30"/>
      <c r="M1008" s="30"/>
      <c r="N1008" s="30"/>
      <c r="O1008" s="30"/>
      <c r="P1008" s="30"/>
      <c r="Q1008" s="30"/>
      <c r="R1008" s="30"/>
      <c r="S1008" s="30"/>
      <c r="T1008" s="30"/>
      <c r="U1008" s="21" t="str">
        <f aca="false">IF(COUNT(K1008:T1008)=0,"SOURCE EMPTY / INDUSTRIAL ONLY",IF(MIN(K1008:T1008)=1,"SERVICE READY","HOLD"))</f>
        <v>SOURCE EMPTY / INDUSTRIAL ONLY</v>
      </c>
      <c r="V1008" s="9" t="n">
        <f aca="false">IF(U1008="SERVICE READY",1,0)</f>
        <v>0</v>
      </c>
      <c r="W1008" s="6"/>
      <c r="X1008" s="6"/>
      <c r="Y1008" s="6"/>
      <c r="Z1008" s="6"/>
    </row>
    <row r="1009" customFormat="false" ht="15" hidden="false" customHeight="false" outlineLevel="0" collapsed="false">
      <c r="A1009" s="9" t="s">
        <v>1235</v>
      </c>
      <c r="B1009" s="9" t="s">
        <v>1213</v>
      </c>
      <c r="C1009" s="9" t="s">
        <v>1214</v>
      </c>
      <c r="D1009" s="9" t="s">
        <v>1215</v>
      </c>
      <c r="E1009" s="9" t="s">
        <v>275</v>
      </c>
      <c r="F1009" s="9" t="s">
        <v>211</v>
      </c>
      <c r="G1009" s="9" t="s">
        <v>221</v>
      </c>
      <c r="H1009" s="9" t="n">
        <v>2700</v>
      </c>
      <c r="I1009" s="29" t="n">
        <v>8</v>
      </c>
      <c r="J1009" s="9" t="n">
        <v>1</v>
      </c>
      <c r="K1009" s="30"/>
      <c r="L1009" s="30"/>
      <c r="M1009" s="30"/>
      <c r="N1009" s="30"/>
      <c r="O1009" s="30"/>
      <c r="P1009" s="30"/>
      <c r="Q1009" s="30"/>
      <c r="R1009" s="30"/>
      <c r="S1009" s="30"/>
      <c r="T1009" s="30"/>
      <c r="U1009" s="21" t="str">
        <f aca="false">IF(COUNT(K1009:T1009)=0,"SOURCE EMPTY / INDUSTRIAL ONLY",IF(MIN(K1009:T1009)=1,"SERVICE READY","HOLD"))</f>
        <v>SOURCE EMPTY / INDUSTRIAL ONLY</v>
      </c>
      <c r="V1009" s="9" t="n">
        <f aca="false">IF(U1009="SERVICE READY",1,0)</f>
        <v>0</v>
      </c>
      <c r="W1009" s="6"/>
      <c r="X1009" s="6"/>
      <c r="Y1009" s="6"/>
      <c r="Z1009" s="6"/>
    </row>
    <row r="1010" customFormat="false" ht="15" hidden="false" customHeight="false" outlineLevel="0" collapsed="false">
      <c r="A1010" s="9" t="s">
        <v>1236</v>
      </c>
      <c r="B1010" s="9" t="s">
        <v>1213</v>
      </c>
      <c r="C1010" s="9" t="s">
        <v>1214</v>
      </c>
      <c r="D1010" s="9" t="s">
        <v>1215</v>
      </c>
      <c r="E1010" s="9" t="s">
        <v>275</v>
      </c>
      <c r="F1010" s="9" t="s">
        <v>197</v>
      </c>
      <c r="G1010" s="9" t="s">
        <v>221</v>
      </c>
      <c r="H1010" s="9" t="n">
        <v>2700</v>
      </c>
      <c r="I1010" s="29" t="n">
        <v>8</v>
      </c>
      <c r="J1010" s="9" t="n">
        <v>1</v>
      </c>
      <c r="K1010" s="30"/>
      <c r="L1010" s="30"/>
      <c r="M1010" s="30"/>
      <c r="N1010" s="30"/>
      <c r="O1010" s="30"/>
      <c r="P1010" s="30"/>
      <c r="Q1010" s="30"/>
      <c r="R1010" s="30"/>
      <c r="S1010" s="30"/>
      <c r="T1010" s="30"/>
      <c r="U1010" s="21" t="str">
        <f aca="false">IF(COUNT(K1010:T1010)=0,"SOURCE EMPTY / INDUSTRIAL ONLY",IF(MIN(K1010:T1010)=1,"SERVICE READY","HOLD"))</f>
        <v>SOURCE EMPTY / INDUSTRIAL ONLY</v>
      </c>
      <c r="V1010" s="9" t="n">
        <f aca="false">IF(U1010="SERVICE READY",1,0)</f>
        <v>0</v>
      </c>
      <c r="W1010" s="6"/>
      <c r="X1010" s="6"/>
      <c r="Y1010" s="6"/>
      <c r="Z1010" s="6"/>
    </row>
    <row r="1011" customFormat="false" ht="15" hidden="false" customHeight="false" outlineLevel="0" collapsed="false">
      <c r="A1011" s="9" t="s">
        <v>1237</v>
      </c>
      <c r="B1011" s="9" t="s">
        <v>1213</v>
      </c>
      <c r="C1011" s="9" t="s">
        <v>1214</v>
      </c>
      <c r="D1011" s="9" t="s">
        <v>1215</v>
      </c>
      <c r="E1011" s="9" t="s">
        <v>275</v>
      </c>
      <c r="F1011" s="9" t="s">
        <v>200</v>
      </c>
      <c r="G1011" s="9" t="s">
        <v>221</v>
      </c>
      <c r="H1011" s="9" t="n">
        <v>2700</v>
      </c>
      <c r="I1011" s="29" t="n">
        <v>8</v>
      </c>
      <c r="J1011" s="9" t="n">
        <v>1</v>
      </c>
      <c r="K1011" s="30"/>
      <c r="L1011" s="30"/>
      <c r="M1011" s="30"/>
      <c r="N1011" s="30"/>
      <c r="O1011" s="30"/>
      <c r="P1011" s="30"/>
      <c r="Q1011" s="30"/>
      <c r="R1011" s="30"/>
      <c r="S1011" s="30"/>
      <c r="T1011" s="30"/>
      <c r="U1011" s="21" t="str">
        <f aca="false">IF(COUNT(K1011:T1011)=0,"SOURCE EMPTY / INDUSTRIAL ONLY",IF(MIN(K1011:T1011)=1,"SERVICE READY","HOLD"))</f>
        <v>SOURCE EMPTY / INDUSTRIAL ONLY</v>
      </c>
      <c r="V1011" s="9" t="n">
        <f aca="false">IF(U1011="SERVICE READY",1,0)</f>
        <v>0</v>
      </c>
      <c r="W1011" s="6"/>
      <c r="X1011" s="6"/>
      <c r="Y1011" s="6"/>
      <c r="Z1011" s="6"/>
    </row>
    <row r="1012" customFormat="false" ht="15" hidden="false" customHeight="false" outlineLevel="0" collapsed="false">
      <c r="A1012" s="9" t="s">
        <v>1238</v>
      </c>
      <c r="B1012" s="9" t="s">
        <v>1213</v>
      </c>
      <c r="C1012" s="9" t="s">
        <v>1214</v>
      </c>
      <c r="D1012" s="9" t="s">
        <v>1215</v>
      </c>
      <c r="E1012" s="9" t="s">
        <v>275</v>
      </c>
      <c r="F1012" s="9" t="s">
        <v>203</v>
      </c>
      <c r="G1012" s="9" t="s">
        <v>221</v>
      </c>
      <c r="H1012" s="9" t="n">
        <v>2700</v>
      </c>
      <c r="I1012" s="29" t="n">
        <v>8</v>
      </c>
      <c r="J1012" s="9" t="n">
        <v>1</v>
      </c>
      <c r="K1012" s="30"/>
      <c r="L1012" s="30"/>
      <c r="M1012" s="30"/>
      <c r="N1012" s="30"/>
      <c r="O1012" s="30"/>
      <c r="P1012" s="30"/>
      <c r="Q1012" s="30"/>
      <c r="R1012" s="30"/>
      <c r="S1012" s="30"/>
      <c r="T1012" s="30"/>
      <c r="U1012" s="21" t="str">
        <f aca="false">IF(COUNT(K1012:T1012)=0,"SOURCE EMPTY / INDUSTRIAL ONLY",IF(MIN(K1012:T1012)=1,"SERVICE READY","HOLD"))</f>
        <v>SOURCE EMPTY / INDUSTRIAL ONLY</v>
      </c>
      <c r="V1012" s="9" t="n">
        <f aca="false">IF(U1012="SERVICE READY",1,0)</f>
        <v>0</v>
      </c>
      <c r="W1012" s="6"/>
      <c r="X1012" s="6"/>
      <c r="Y1012" s="6"/>
      <c r="Z1012" s="6"/>
    </row>
    <row r="1013" customFormat="false" ht="15" hidden="false" customHeight="false" outlineLevel="0" collapsed="false">
      <c r="A1013" s="9" t="s">
        <v>1239</v>
      </c>
      <c r="B1013" s="9" t="s">
        <v>1213</v>
      </c>
      <c r="C1013" s="9" t="s">
        <v>1214</v>
      </c>
      <c r="D1013" s="9" t="s">
        <v>1215</v>
      </c>
      <c r="E1013" s="9" t="s">
        <v>275</v>
      </c>
      <c r="F1013" s="9" t="s">
        <v>205</v>
      </c>
      <c r="G1013" s="9" t="s">
        <v>221</v>
      </c>
      <c r="H1013" s="9" t="n">
        <v>2700</v>
      </c>
      <c r="I1013" s="29" t="n">
        <v>8</v>
      </c>
      <c r="J1013" s="9" t="n">
        <v>1</v>
      </c>
      <c r="K1013" s="30"/>
      <c r="L1013" s="30"/>
      <c r="M1013" s="30"/>
      <c r="N1013" s="30"/>
      <c r="O1013" s="30"/>
      <c r="P1013" s="30"/>
      <c r="Q1013" s="30"/>
      <c r="R1013" s="30"/>
      <c r="S1013" s="30"/>
      <c r="T1013" s="30"/>
      <c r="U1013" s="21" t="str">
        <f aca="false">IF(COUNT(K1013:T1013)=0,"SOURCE EMPTY / INDUSTRIAL ONLY",IF(MIN(K1013:T1013)=1,"SERVICE READY","HOLD"))</f>
        <v>SOURCE EMPTY / INDUSTRIAL ONLY</v>
      </c>
      <c r="V1013" s="9" t="n">
        <f aca="false">IF(U1013="SERVICE READY",1,0)</f>
        <v>0</v>
      </c>
      <c r="W1013" s="6"/>
      <c r="X1013" s="6"/>
      <c r="Y1013" s="6"/>
      <c r="Z1013" s="6"/>
    </row>
    <row r="1014" customFormat="false" ht="15" hidden="false" customHeight="false" outlineLevel="0" collapsed="false">
      <c r="A1014" s="9" t="s">
        <v>1240</v>
      </c>
      <c r="B1014" s="9" t="s">
        <v>1213</v>
      </c>
      <c r="C1014" s="9" t="s">
        <v>1214</v>
      </c>
      <c r="D1014" s="9" t="s">
        <v>1215</v>
      </c>
      <c r="E1014" s="9" t="s">
        <v>275</v>
      </c>
      <c r="F1014" s="9" t="s">
        <v>207</v>
      </c>
      <c r="G1014" s="9" t="s">
        <v>221</v>
      </c>
      <c r="H1014" s="9" t="n">
        <v>2700</v>
      </c>
      <c r="I1014" s="29" t="n">
        <v>8</v>
      </c>
      <c r="J1014" s="9" t="n">
        <v>1</v>
      </c>
      <c r="K1014" s="30"/>
      <c r="L1014" s="30"/>
      <c r="M1014" s="30"/>
      <c r="N1014" s="30"/>
      <c r="O1014" s="30"/>
      <c r="P1014" s="30"/>
      <c r="Q1014" s="30"/>
      <c r="R1014" s="30"/>
      <c r="S1014" s="30"/>
      <c r="T1014" s="30"/>
      <c r="U1014" s="21" t="str">
        <f aca="false">IF(COUNT(K1014:T1014)=0,"SOURCE EMPTY / INDUSTRIAL ONLY",IF(MIN(K1014:T1014)=1,"SERVICE READY","HOLD"))</f>
        <v>SOURCE EMPTY / INDUSTRIAL ONLY</v>
      </c>
      <c r="V1014" s="9" t="n">
        <f aca="false">IF(U1014="SERVICE READY",1,0)</f>
        <v>0</v>
      </c>
      <c r="W1014" s="6"/>
      <c r="X1014" s="6"/>
      <c r="Y1014" s="6"/>
      <c r="Z1014" s="6"/>
    </row>
    <row r="1015" customFormat="false" ht="15" hidden="false" customHeight="false" outlineLevel="0" collapsed="false">
      <c r="A1015" s="9" t="s">
        <v>1241</v>
      </c>
      <c r="B1015" s="9" t="s">
        <v>1213</v>
      </c>
      <c r="C1015" s="9" t="s">
        <v>1214</v>
      </c>
      <c r="D1015" s="9" t="s">
        <v>1215</v>
      </c>
      <c r="E1015" s="9" t="s">
        <v>275</v>
      </c>
      <c r="F1015" s="9" t="s">
        <v>209</v>
      </c>
      <c r="G1015" s="9" t="s">
        <v>221</v>
      </c>
      <c r="H1015" s="9" t="n">
        <v>2700</v>
      </c>
      <c r="I1015" s="29" t="n">
        <v>8</v>
      </c>
      <c r="J1015" s="9" t="n">
        <v>1</v>
      </c>
      <c r="K1015" s="30"/>
      <c r="L1015" s="30"/>
      <c r="M1015" s="30"/>
      <c r="N1015" s="30"/>
      <c r="O1015" s="30"/>
      <c r="P1015" s="30"/>
      <c r="Q1015" s="30"/>
      <c r="R1015" s="30"/>
      <c r="S1015" s="30"/>
      <c r="T1015" s="30"/>
      <c r="U1015" s="21" t="str">
        <f aca="false">IF(COUNT(K1015:T1015)=0,"SOURCE EMPTY / INDUSTRIAL ONLY",IF(MIN(K1015:T1015)=1,"SERVICE READY","HOLD"))</f>
        <v>SOURCE EMPTY / INDUSTRIAL ONLY</v>
      </c>
      <c r="V1015" s="9" t="n">
        <f aca="false">IF(U1015="SERVICE READY",1,0)</f>
        <v>0</v>
      </c>
      <c r="W1015" s="6"/>
      <c r="X1015" s="6"/>
      <c r="Y1015" s="6"/>
      <c r="Z1015" s="6"/>
    </row>
    <row r="1016" customFormat="false" ht="15" hidden="false" customHeight="false" outlineLevel="0" collapsed="false">
      <c r="A1016" s="9" t="s">
        <v>1242</v>
      </c>
      <c r="B1016" s="9" t="s">
        <v>1213</v>
      </c>
      <c r="C1016" s="9" t="s">
        <v>1214</v>
      </c>
      <c r="D1016" s="9" t="s">
        <v>1215</v>
      </c>
      <c r="E1016" s="9" t="s">
        <v>275</v>
      </c>
      <c r="F1016" s="9" t="s">
        <v>211</v>
      </c>
      <c r="G1016" s="9" t="s">
        <v>221</v>
      </c>
      <c r="H1016" s="9" t="n">
        <v>2700</v>
      </c>
      <c r="I1016" s="29" t="n">
        <v>8</v>
      </c>
      <c r="J1016" s="9" t="n">
        <v>1</v>
      </c>
      <c r="K1016" s="30"/>
      <c r="L1016" s="30"/>
      <c r="M1016" s="30"/>
      <c r="N1016" s="30"/>
      <c r="O1016" s="30"/>
      <c r="P1016" s="30"/>
      <c r="Q1016" s="30"/>
      <c r="R1016" s="30"/>
      <c r="S1016" s="30"/>
      <c r="T1016" s="30"/>
      <c r="U1016" s="21" t="str">
        <f aca="false">IF(COUNT(K1016:T1016)=0,"SOURCE EMPTY / INDUSTRIAL ONLY",IF(MIN(K1016:T1016)=1,"SERVICE READY","HOLD"))</f>
        <v>SOURCE EMPTY / INDUSTRIAL ONLY</v>
      </c>
      <c r="V1016" s="9" t="n">
        <f aca="false">IF(U1016="SERVICE READY",1,0)</f>
        <v>0</v>
      </c>
      <c r="W1016" s="6"/>
      <c r="X1016" s="6"/>
      <c r="Y1016" s="6"/>
      <c r="Z1016" s="6"/>
    </row>
    <row r="1017" customFormat="false" ht="15" hidden="false" customHeight="false" outlineLevel="0" collapsed="false">
      <c r="A1017" s="9" t="s">
        <v>1243</v>
      </c>
      <c r="B1017" s="9" t="s">
        <v>1213</v>
      </c>
      <c r="C1017" s="9" t="s">
        <v>1214</v>
      </c>
      <c r="D1017" s="9" t="s">
        <v>1215</v>
      </c>
      <c r="E1017" s="9" t="s">
        <v>275</v>
      </c>
      <c r="F1017" s="9" t="s">
        <v>197</v>
      </c>
      <c r="G1017" s="9" t="s">
        <v>221</v>
      </c>
      <c r="H1017" s="9" t="n">
        <v>2700</v>
      </c>
      <c r="I1017" s="29" t="n">
        <v>8</v>
      </c>
      <c r="J1017" s="9" t="n">
        <v>1</v>
      </c>
      <c r="K1017" s="30"/>
      <c r="L1017" s="30"/>
      <c r="M1017" s="30"/>
      <c r="N1017" s="30"/>
      <c r="O1017" s="30"/>
      <c r="P1017" s="30"/>
      <c r="Q1017" s="30"/>
      <c r="R1017" s="30"/>
      <c r="S1017" s="30"/>
      <c r="T1017" s="30"/>
      <c r="U1017" s="21" t="str">
        <f aca="false">IF(COUNT(K1017:T1017)=0,"SOURCE EMPTY / INDUSTRIAL ONLY",IF(MIN(K1017:T1017)=1,"SERVICE READY","HOLD"))</f>
        <v>SOURCE EMPTY / INDUSTRIAL ONLY</v>
      </c>
      <c r="V1017" s="9" t="n">
        <f aca="false">IF(U1017="SERVICE READY",1,0)</f>
        <v>0</v>
      </c>
      <c r="W1017" s="6"/>
      <c r="X1017" s="6"/>
      <c r="Y1017" s="6"/>
      <c r="Z1017" s="6"/>
    </row>
    <row r="1018" customFormat="false" ht="15" hidden="false" customHeight="false" outlineLevel="0" collapsed="false">
      <c r="A1018" s="9" t="s">
        <v>1244</v>
      </c>
      <c r="B1018" s="9" t="s">
        <v>1213</v>
      </c>
      <c r="C1018" s="9" t="s">
        <v>1214</v>
      </c>
      <c r="D1018" s="9" t="s">
        <v>1215</v>
      </c>
      <c r="E1018" s="9" t="s">
        <v>275</v>
      </c>
      <c r="F1018" s="9" t="s">
        <v>200</v>
      </c>
      <c r="G1018" s="9" t="s">
        <v>221</v>
      </c>
      <c r="H1018" s="9" t="n">
        <v>2700</v>
      </c>
      <c r="I1018" s="29" t="n">
        <v>8</v>
      </c>
      <c r="J1018" s="9" t="n">
        <v>1</v>
      </c>
      <c r="K1018" s="30"/>
      <c r="L1018" s="30"/>
      <c r="M1018" s="30"/>
      <c r="N1018" s="30"/>
      <c r="O1018" s="30"/>
      <c r="P1018" s="30"/>
      <c r="Q1018" s="30"/>
      <c r="R1018" s="30"/>
      <c r="S1018" s="30"/>
      <c r="T1018" s="30"/>
      <c r="U1018" s="21" t="str">
        <f aca="false">IF(COUNT(K1018:T1018)=0,"SOURCE EMPTY / INDUSTRIAL ONLY",IF(MIN(K1018:T1018)=1,"SERVICE READY","HOLD"))</f>
        <v>SOURCE EMPTY / INDUSTRIAL ONLY</v>
      </c>
      <c r="V1018" s="9" t="n">
        <f aca="false">IF(U1018="SERVICE READY",1,0)</f>
        <v>0</v>
      </c>
      <c r="W1018" s="6"/>
      <c r="X1018" s="6"/>
      <c r="Y1018" s="6"/>
      <c r="Z1018" s="6"/>
    </row>
    <row r="1019" customFormat="false" ht="15" hidden="false" customHeight="false" outlineLevel="0" collapsed="false">
      <c r="A1019" s="9" t="s">
        <v>1245</v>
      </c>
      <c r="B1019" s="9" t="s">
        <v>1213</v>
      </c>
      <c r="C1019" s="9" t="s">
        <v>1214</v>
      </c>
      <c r="D1019" s="9" t="s">
        <v>1215</v>
      </c>
      <c r="E1019" s="9" t="s">
        <v>275</v>
      </c>
      <c r="F1019" s="9" t="s">
        <v>203</v>
      </c>
      <c r="G1019" s="9" t="s">
        <v>221</v>
      </c>
      <c r="H1019" s="9" t="n">
        <v>2700</v>
      </c>
      <c r="I1019" s="29" t="n">
        <v>8</v>
      </c>
      <c r="J1019" s="9" t="n">
        <v>1</v>
      </c>
      <c r="K1019" s="30"/>
      <c r="L1019" s="30"/>
      <c r="M1019" s="30"/>
      <c r="N1019" s="30"/>
      <c r="O1019" s="30"/>
      <c r="P1019" s="30"/>
      <c r="Q1019" s="30"/>
      <c r="R1019" s="30"/>
      <c r="S1019" s="30"/>
      <c r="T1019" s="30"/>
      <c r="U1019" s="21" t="str">
        <f aca="false">IF(COUNT(K1019:T1019)=0,"SOURCE EMPTY / INDUSTRIAL ONLY",IF(MIN(K1019:T1019)=1,"SERVICE READY","HOLD"))</f>
        <v>SOURCE EMPTY / INDUSTRIAL ONLY</v>
      </c>
      <c r="V1019" s="9" t="n">
        <f aca="false">IF(U1019="SERVICE READY",1,0)</f>
        <v>0</v>
      </c>
      <c r="W1019" s="6"/>
      <c r="X1019" s="6"/>
      <c r="Y1019" s="6"/>
      <c r="Z1019" s="6"/>
    </row>
    <row r="1020" customFormat="false" ht="15" hidden="false" customHeight="false" outlineLevel="0" collapsed="false">
      <c r="A1020" s="9" t="s">
        <v>1246</v>
      </c>
      <c r="B1020" s="9" t="s">
        <v>1213</v>
      </c>
      <c r="C1020" s="9" t="s">
        <v>1214</v>
      </c>
      <c r="D1020" s="9" t="s">
        <v>1215</v>
      </c>
      <c r="E1020" s="9" t="s">
        <v>275</v>
      </c>
      <c r="F1020" s="9" t="s">
        <v>205</v>
      </c>
      <c r="G1020" s="9" t="s">
        <v>221</v>
      </c>
      <c r="H1020" s="9" t="n">
        <v>2700</v>
      </c>
      <c r="I1020" s="29" t="n">
        <v>8</v>
      </c>
      <c r="J1020" s="9" t="n">
        <v>1</v>
      </c>
      <c r="K1020" s="30"/>
      <c r="L1020" s="30"/>
      <c r="M1020" s="30"/>
      <c r="N1020" s="30"/>
      <c r="O1020" s="30"/>
      <c r="P1020" s="30"/>
      <c r="Q1020" s="30"/>
      <c r="R1020" s="30"/>
      <c r="S1020" s="30"/>
      <c r="T1020" s="30"/>
      <c r="U1020" s="21" t="str">
        <f aca="false">IF(COUNT(K1020:T1020)=0,"SOURCE EMPTY / INDUSTRIAL ONLY",IF(MIN(K1020:T1020)=1,"SERVICE READY","HOLD"))</f>
        <v>SOURCE EMPTY / INDUSTRIAL ONLY</v>
      </c>
      <c r="V1020" s="9" t="n">
        <f aca="false">IF(U1020="SERVICE READY",1,0)</f>
        <v>0</v>
      </c>
      <c r="W1020" s="6"/>
      <c r="X1020" s="6"/>
      <c r="Y1020" s="6"/>
      <c r="Z1020" s="6"/>
    </row>
    <row r="1021" customFormat="false" ht="15" hidden="false" customHeight="false" outlineLevel="0" collapsed="false">
      <c r="A1021" s="9" t="s">
        <v>1247</v>
      </c>
      <c r="B1021" s="9" t="s">
        <v>1213</v>
      </c>
      <c r="C1021" s="9" t="s">
        <v>1214</v>
      </c>
      <c r="D1021" s="9" t="s">
        <v>1215</v>
      </c>
      <c r="E1021" s="9" t="s">
        <v>275</v>
      </c>
      <c r="F1021" s="9" t="s">
        <v>207</v>
      </c>
      <c r="G1021" s="9" t="s">
        <v>221</v>
      </c>
      <c r="H1021" s="9" t="n">
        <v>2700</v>
      </c>
      <c r="I1021" s="29" t="n">
        <v>8</v>
      </c>
      <c r="J1021" s="9" t="n">
        <v>1</v>
      </c>
      <c r="K1021" s="30"/>
      <c r="L1021" s="30"/>
      <c r="M1021" s="30"/>
      <c r="N1021" s="30"/>
      <c r="O1021" s="30"/>
      <c r="P1021" s="30"/>
      <c r="Q1021" s="30"/>
      <c r="R1021" s="30"/>
      <c r="S1021" s="30"/>
      <c r="T1021" s="30"/>
      <c r="U1021" s="21" t="str">
        <f aca="false">IF(COUNT(K1021:T1021)=0,"SOURCE EMPTY / INDUSTRIAL ONLY",IF(MIN(K1021:T1021)=1,"SERVICE READY","HOLD"))</f>
        <v>SOURCE EMPTY / INDUSTRIAL ONLY</v>
      </c>
      <c r="V1021" s="9" t="n">
        <f aca="false">IF(U1021="SERVICE READY",1,0)</f>
        <v>0</v>
      </c>
      <c r="W1021" s="6"/>
      <c r="X1021" s="6"/>
      <c r="Y1021" s="6"/>
      <c r="Z1021" s="6"/>
    </row>
    <row r="1022" customFormat="false" ht="15" hidden="false" customHeight="false" outlineLevel="0" collapsed="false">
      <c r="A1022" s="9" t="s">
        <v>1248</v>
      </c>
      <c r="B1022" s="9" t="s">
        <v>1213</v>
      </c>
      <c r="C1022" s="9" t="s">
        <v>1214</v>
      </c>
      <c r="D1022" s="9" t="s">
        <v>1215</v>
      </c>
      <c r="E1022" s="9" t="s">
        <v>275</v>
      </c>
      <c r="F1022" s="9" t="s">
        <v>209</v>
      </c>
      <c r="G1022" s="9" t="s">
        <v>221</v>
      </c>
      <c r="H1022" s="9" t="n">
        <v>2700</v>
      </c>
      <c r="I1022" s="29" t="n">
        <v>8</v>
      </c>
      <c r="J1022" s="9" t="n">
        <v>1</v>
      </c>
      <c r="K1022" s="30"/>
      <c r="L1022" s="30"/>
      <c r="M1022" s="30"/>
      <c r="N1022" s="30"/>
      <c r="O1022" s="30"/>
      <c r="P1022" s="30"/>
      <c r="Q1022" s="30"/>
      <c r="R1022" s="30"/>
      <c r="S1022" s="30"/>
      <c r="T1022" s="30"/>
      <c r="U1022" s="21" t="str">
        <f aca="false">IF(COUNT(K1022:T1022)=0,"SOURCE EMPTY / INDUSTRIAL ONLY",IF(MIN(K1022:T1022)=1,"SERVICE READY","HOLD"))</f>
        <v>SOURCE EMPTY / INDUSTRIAL ONLY</v>
      </c>
      <c r="V1022" s="9" t="n">
        <f aca="false">IF(U1022="SERVICE READY",1,0)</f>
        <v>0</v>
      </c>
      <c r="W1022" s="6"/>
      <c r="X1022" s="6"/>
      <c r="Y1022" s="6"/>
      <c r="Z1022" s="6"/>
    </row>
    <row r="1023" customFormat="false" ht="15" hidden="false" customHeight="false" outlineLevel="0" collapsed="false">
      <c r="A1023" s="9" t="s">
        <v>1249</v>
      </c>
      <c r="B1023" s="9" t="s">
        <v>1213</v>
      </c>
      <c r="C1023" s="9" t="s">
        <v>1214</v>
      </c>
      <c r="D1023" s="9" t="s">
        <v>1215</v>
      </c>
      <c r="E1023" s="9" t="s">
        <v>275</v>
      </c>
      <c r="F1023" s="9" t="s">
        <v>211</v>
      </c>
      <c r="G1023" s="9" t="s">
        <v>221</v>
      </c>
      <c r="H1023" s="9" t="n">
        <v>2700</v>
      </c>
      <c r="I1023" s="29" t="n">
        <v>8</v>
      </c>
      <c r="J1023" s="9" t="n">
        <v>1</v>
      </c>
      <c r="K1023" s="30"/>
      <c r="L1023" s="30"/>
      <c r="M1023" s="30"/>
      <c r="N1023" s="30"/>
      <c r="O1023" s="30"/>
      <c r="P1023" s="30"/>
      <c r="Q1023" s="30"/>
      <c r="R1023" s="30"/>
      <c r="S1023" s="30"/>
      <c r="T1023" s="30"/>
      <c r="U1023" s="21" t="str">
        <f aca="false">IF(COUNT(K1023:T1023)=0,"SOURCE EMPTY / INDUSTRIAL ONLY",IF(MIN(K1023:T1023)=1,"SERVICE READY","HOLD"))</f>
        <v>SOURCE EMPTY / INDUSTRIAL ONLY</v>
      </c>
      <c r="V1023" s="9" t="n">
        <f aca="false">IF(U1023="SERVICE READY",1,0)</f>
        <v>0</v>
      </c>
      <c r="W1023" s="6"/>
      <c r="X1023" s="6"/>
      <c r="Y1023" s="6"/>
      <c r="Z1023" s="6"/>
    </row>
    <row r="1024" customFormat="false" ht="15" hidden="false" customHeight="false" outlineLevel="0" collapsed="false">
      <c r="A1024" s="9" t="s">
        <v>1250</v>
      </c>
      <c r="B1024" s="9" t="s">
        <v>1213</v>
      </c>
      <c r="C1024" s="9" t="s">
        <v>1214</v>
      </c>
      <c r="D1024" s="9" t="s">
        <v>1215</v>
      </c>
      <c r="E1024" s="9" t="s">
        <v>275</v>
      </c>
      <c r="F1024" s="9" t="s">
        <v>197</v>
      </c>
      <c r="G1024" s="9" t="s">
        <v>221</v>
      </c>
      <c r="H1024" s="9" t="n">
        <v>2700</v>
      </c>
      <c r="I1024" s="29" t="n">
        <v>8</v>
      </c>
      <c r="J1024" s="9" t="n">
        <v>1</v>
      </c>
      <c r="K1024" s="30"/>
      <c r="L1024" s="30"/>
      <c r="M1024" s="30"/>
      <c r="N1024" s="30"/>
      <c r="O1024" s="30"/>
      <c r="P1024" s="30"/>
      <c r="Q1024" s="30"/>
      <c r="R1024" s="30"/>
      <c r="S1024" s="30"/>
      <c r="T1024" s="30"/>
      <c r="U1024" s="21" t="str">
        <f aca="false">IF(COUNT(K1024:T1024)=0,"SOURCE EMPTY / INDUSTRIAL ONLY",IF(MIN(K1024:T1024)=1,"SERVICE READY","HOLD"))</f>
        <v>SOURCE EMPTY / INDUSTRIAL ONLY</v>
      </c>
      <c r="V1024" s="9" t="n">
        <f aca="false">IF(U1024="SERVICE READY",1,0)</f>
        <v>0</v>
      </c>
      <c r="W1024" s="6"/>
      <c r="X1024" s="6"/>
      <c r="Y1024" s="6"/>
      <c r="Z1024" s="6"/>
    </row>
    <row r="1025" customFormat="false" ht="15" hidden="false" customHeight="false" outlineLevel="0" collapsed="false">
      <c r="A1025" s="9" t="s">
        <v>1251</v>
      </c>
      <c r="B1025" s="9" t="s">
        <v>1213</v>
      </c>
      <c r="C1025" s="9" t="s">
        <v>1214</v>
      </c>
      <c r="D1025" s="9" t="s">
        <v>1215</v>
      </c>
      <c r="E1025" s="9" t="s">
        <v>275</v>
      </c>
      <c r="F1025" s="9" t="s">
        <v>200</v>
      </c>
      <c r="G1025" s="9" t="s">
        <v>221</v>
      </c>
      <c r="H1025" s="9" t="n">
        <v>2700</v>
      </c>
      <c r="I1025" s="29" t="n">
        <v>8</v>
      </c>
      <c r="J1025" s="9" t="n">
        <v>1</v>
      </c>
      <c r="K1025" s="30"/>
      <c r="L1025" s="30"/>
      <c r="M1025" s="30"/>
      <c r="N1025" s="30"/>
      <c r="O1025" s="30"/>
      <c r="P1025" s="30"/>
      <c r="Q1025" s="30"/>
      <c r="R1025" s="30"/>
      <c r="S1025" s="30"/>
      <c r="T1025" s="30"/>
      <c r="U1025" s="21" t="str">
        <f aca="false">IF(COUNT(K1025:T1025)=0,"SOURCE EMPTY / INDUSTRIAL ONLY",IF(MIN(K1025:T1025)=1,"SERVICE READY","HOLD"))</f>
        <v>SOURCE EMPTY / INDUSTRIAL ONLY</v>
      </c>
      <c r="V1025" s="9" t="n">
        <f aca="false">IF(U1025="SERVICE READY",1,0)</f>
        <v>0</v>
      </c>
      <c r="W1025" s="6"/>
      <c r="X1025" s="6"/>
      <c r="Y1025" s="6"/>
      <c r="Z1025" s="6"/>
    </row>
    <row r="1026" customFormat="false" ht="15" hidden="false" customHeight="false" outlineLevel="0" collapsed="false">
      <c r="A1026" s="9" t="s">
        <v>1252</v>
      </c>
      <c r="B1026" s="9" t="s">
        <v>1213</v>
      </c>
      <c r="C1026" s="9" t="s">
        <v>1214</v>
      </c>
      <c r="D1026" s="9" t="s">
        <v>1215</v>
      </c>
      <c r="E1026" s="9" t="s">
        <v>275</v>
      </c>
      <c r="F1026" s="9" t="s">
        <v>203</v>
      </c>
      <c r="G1026" s="9" t="s">
        <v>221</v>
      </c>
      <c r="H1026" s="9" t="n">
        <v>2700</v>
      </c>
      <c r="I1026" s="29" t="n">
        <v>8</v>
      </c>
      <c r="J1026" s="9" t="n">
        <v>1</v>
      </c>
      <c r="K1026" s="30"/>
      <c r="L1026" s="30"/>
      <c r="M1026" s="30"/>
      <c r="N1026" s="30"/>
      <c r="O1026" s="30"/>
      <c r="P1026" s="30"/>
      <c r="Q1026" s="30"/>
      <c r="R1026" s="30"/>
      <c r="S1026" s="30"/>
      <c r="T1026" s="30"/>
      <c r="U1026" s="21" t="str">
        <f aca="false">IF(COUNT(K1026:T1026)=0,"SOURCE EMPTY / INDUSTRIAL ONLY",IF(MIN(K1026:T1026)=1,"SERVICE READY","HOLD"))</f>
        <v>SOURCE EMPTY / INDUSTRIAL ONLY</v>
      </c>
      <c r="V1026" s="9" t="n">
        <f aca="false">IF(U1026="SERVICE READY",1,0)</f>
        <v>0</v>
      </c>
      <c r="W1026" s="6"/>
      <c r="X1026" s="6"/>
      <c r="Y1026" s="6"/>
      <c r="Z1026" s="6"/>
    </row>
    <row r="1027" customFormat="false" ht="15" hidden="false" customHeight="false" outlineLevel="0" collapsed="false">
      <c r="A1027" s="9" t="s">
        <v>1253</v>
      </c>
      <c r="B1027" s="9" t="s">
        <v>1213</v>
      </c>
      <c r="C1027" s="9" t="s">
        <v>1214</v>
      </c>
      <c r="D1027" s="9" t="s">
        <v>1215</v>
      </c>
      <c r="E1027" s="9" t="s">
        <v>275</v>
      </c>
      <c r="F1027" s="9" t="s">
        <v>205</v>
      </c>
      <c r="G1027" s="9" t="s">
        <v>221</v>
      </c>
      <c r="H1027" s="9" t="n">
        <v>2700</v>
      </c>
      <c r="I1027" s="29" t="n">
        <v>8</v>
      </c>
      <c r="J1027" s="9" t="n">
        <v>1</v>
      </c>
      <c r="K1027" s="30"/>
      <c r="L1027" s="30"/>
      <c r="M1027" s="30"/>
      <c r="N1027" s="30"/>
      <c r="O1027" s="30"/>
      <c r="P1027" s="30"/>
      <c r="Q1027" s="30"/>
      <c r="R1027" s="30"/>
      <c r="S1027" s="30"/>
      <c r="T1027" s="30"/>
      <c r="U1027" s="21" t="str">
        <f aca="false">IF(COUNT(K1027:T1027)=0,"SOURCE EMPTY / INDUSTRIAL ONLY",IF(MIN(K1027:T1027)=1,"SERVICE READY","HOLD"))</f>
        <v>SOURCE EMPTY / INDUSTRIAL ONLY</v>
      </c>
      <c r="V1027" s="9" t="n">
        <f aca="false">IF(U1027="SERVICE READY",1,0)</f>
        <v>0</v>
      </c>
      <c r="W1027" s="6"/>
      <c r="X1027" s="6"/>
      <c r="Y1027" s="6"/>
      <c r="Z1027" s="6"/>
    </row>
    <row r="1028" customFormat="false" ht="15" hidden="false" customHeight="false" outlineLevel="0" collapsed="false">
      <c r="A1028" s="9" t="s">
        <v>1254</v>
      </c>
      <c r="B1028" s="9" t="s">
        <v>1213</v>
      </c>
      <c r="C1028" s="9" t="s">
        <v>1214</v>
      </c>
      <c r="D1028" s="9" t="s">
        <v>1215</v>
      </c>
      <c r="E1028" s="9" t="s">
        <v>275</v>
      </c>
      <c r="F1028" s="9" t="s">
        <v>207</v>
      </c>
      <c r="G1028" s="9" t="s">
        <v>221</v>
      </c>
      <c r="H1028" s="9" t="n">
        <v>2700</v>
      </c>
      <c r="I1028" s="29" t="n">
        <v>8</v>
      </c>
      <c r="J1028" s="9" t="n">
        <v>1</v>
      </c>
      <c r="K1028" s="30"/>
      <c r="L1028" s="30"/>
      <c r="M1028" s="30"/>
      <c r="N1028" s="30"/>
      <c r="O1028" s="30"/>
      <c r="P1028" s="30"/>
      <c r="Q1028" s="30"/>
      <c r="R1028" s="30"/>
      <c r="S1028" s="30"/>
      <c r="T1028" s="30"/>
      <c r="U1028" s="21" t="str">
        <f aca="false">IF(COUNT(K1028:T1028)=0,"SOURCE EMPTY / INDUSTRIAL ONLY",IF(MIN(K1028:T1028)=1,"SERVICE READY","HOLD"))</f>
        <v>SOURCE EMPTY / INDUSTRIAL ONLY</v>
      </c>
      <c r="V1028" s="9" t="n">
        <f aca="false">IF(U1028="SERVICE READY",1,0)</f>
        <v>0</v>
      </c>
      <c r="W1028" s="6"/>
      <c r="X1028" s="6"/>
      <c r="Y1028" s="6"/>
      <c r="Z1028" s="6"/>
    </row>
    <row r="1029" customFormat="false" ht="15" hidden="false" customHeight="false" outlineLevel="0" collapsed="false">
      <c r="A1029" s="9" t="s">
        <v>1255</v>
      </c>
      <c r="B1029" s="9" t="s">
        <v>1213</v>
      </c>
      <c r="C1029" s="9" t="s">
        <v>1214</v>
      </c>
      <c r="D1029" s="9" t="s">
        <v>1215</v>
      </c>
      <c r="E1029" s="9" t="s">
        <v>275</v>
      </c>
      <c r="F1029" s="9" t="s">
        <v>209</v>
      </c>
      <c r="G1029" s="9" t="s">
        <v>221</v>
      </c>
      <c r="H1029" s="9" t="n">
        <v>2700</v>
      </c>
      <c r="I1029" s="29" t="n">
        <v>8</v>
      </c>
      <c r="J1029" s="9" t="n">
        <v>1</v>
      </c>
      <c r="K1029" s="30"/>
      <c r="L1029" s="30"/>
      <c r="M1029" s="30"/>
      <c r="N1029" s="30"/>
      <c r="O1029" s="30"/>
      <c r="P1029" s="30"/>
      <c r="Q1029" s="30"/>
      <c r="R1029" s="30"/>
      <c r="S1029" s="30"/>
      <c r="T1029" s="30"/>
      <c r="U1029" s="21" t="str">
        <f aca="false">IF(COUNT(K1029:T1029)=0,"SOURCE EMPTY / INDUSTRIAL ONLY",IF(MIN(K1029:T1029)=1,"SERVICE READY","HOLD"))</f>
        <v>SOURCE EMPTY / INDUSTRIAL ONLY</v>
      </c>
      <c r="V1029" s="9" t="n">
        <f aca="false">IF(U1029="SERVICE READY",1,0)</f>
        <v>0</v>
      </c>
      <c r="W1029" s="6"/>
      <c r="X1029" s="6"/>
      <c r="Y1029" s="6"/>
      <c r="Z1029" s="6"/>
    </row>
    <row r="1030" customFormat="false" ht="15" hidden="false" customHeight="false" outlineLevel="0" collapsed="false">
      <c r="A1030" s="9" t="s">
        <v>1256</v>
      </c>
      <c r="B1030" s="9" t="s">
        <v>1213</v>
      </c>
      <c r="C1030" s="9" t="s">
        <v>1214</v>
      </c>
      <c r="D1030" s="9" t="s">
        <v>1215</v>
      </c>
      <c r="E1030" s="9" t="s">
        <v>275</v>
      </c>
      <c r="F1030" s="9" t="s">
        <v>211</v>
      </c>
      <c r="G1030" s="9" t="s">
        <v>221</v>
      </c>
      <c r="H1030" s="9" t="n">
        <v>2700</v>
      </c>
      <c r="I1030" s="29" t="n">
        <v>8</v>
      </c>
      <c r="J1030" s="9" t="n">
        <v>1</v>
      </c>
      <c r="K1030" s="30"/>
      <c r="L1030" s="30"/>
      <c r="M1030" s="30"/>
      <c r="N1030" s="30"/>
      <c r="O1030" s="30"/>
      <c r="P1030" s="30"/>
      <c r="Q1030" s="30"/>
      <c r="R1030" s="30"/>
      <c r="S1030" s="30"/>
      <c r="T1030" s="30"/>
      <c r="U1030" s="21" t="str">
        <f aca="false">IF(COUNT(K1030:T1030)=0,"SOURCE EMPTY / INDUSTRIAL ONLY",IF(MIN(K1030:T1030)=1,"SERVICE READY","HOLD"))</f>
        <v>SOURCE EMPTY / INDUSTRIAL ONLY</v>
      </c>
      <c r="V1030" s="9" t="n">
        <f aca="false">IF(U1030="SERVICE READY",1,0)</f>
        <v>0</v>
      </c>
      <c r="W1030" s="6"/>
      <c r="X1030" s="6"/>
      <c r="Y1030" s="6"/>
      <c r="Z1030" s="6"/>
    </row>
    <row r="1031" customFormat="false" ht="15" hidden="false" customHeight="false" outlineLevel="0" collapsed="false">
      <c r="A1031" s="9" t="s">
        <v>1257</v>
      </c>
      <c r="B1031" s="9" t="s">
        <v>1213</v>
      </c>
      <c r="C1031" s="9" t="s">
        <v>1214</v>
      </c>
      <c r="D1031" s="9" t="s">
        <v>1215</v>
      </c>
      <c r="E1031" s="9" t="s">
        <v>275</v>
      </c>
      <c r="F1031" s="9" t="s">
        <v>197</v>
      </c>
      <c r="G1031" s="9" t="s">
        <v>221</v>
      </c>
      <c r="H1031" s="9" t="n">
        <v>2700</v>
      </c>
      <c r="I1031" s="29" t="n">
        <v>8</v>
      </c>
      <c r="J1031" s="9" t="n">
        <v>1</v>
      </c>
      <c r="K1031" s="30"/>
      <c r="L1031" s="30"/>
      <c r="M1031" s="30"/>
      <c r="N1031" s="30"/>
      <c r="O1031" s="30"/>
      <c r="P1031" s="30"/>
      <c r="Q1031" s="30"/>
      <c r="R1031" s="30"/>
      <c r="S1031" s="30"/>
      <c r="T1031" s="30"/>
      <c r="U1031" s="21" t="str">
        <f aca="false">IF(COUNT(K1031:T1031)=0,"SOURCE EMPTY / INDUSTRIAL ONLY",IF(MIN(K1031:T1031)=1,"SERVICE READY","HOLD"))</f>
        <v>SOURCE EMPTY / INDUSTRIAL ONLY</v>
      </c>
      <c r="V1031" s="9" t="n">
        <f aca="false">IF(U1031="SERVICE READY",1,0)</f>
        <v>0</v>
      </c>
      <c r="W1031" s="6"/>
      <c r="X1031" s="6"/>
      <c r="Y1031" s="6"/>
      <c r="Z1031" s="6"/>
    </row>
    <row r="1032" customFormat="false" ht="15" hidden="false" customHeight="false" outlineLevel="0" collapsed="false">
      <c r="A1032" s="9" t="s">
        <v>1258</v>
      </c>
      <c r="B1032" s="9" t="s">
        <v>1213</v>
      </c>
      <c r="C1032" s="9" t="s">
        <v>1214</v>
      </c>
      <c r="D1032" s="9" t="s">
        <v>1215</v>
      </c>
      <c r="E1032" s="9" t="s">
        <v>275</v>
      </c>
      <c r="F1032" s="9" t="s">
        <v>200</v>
      </c>
      <c r="G1032" s="9" t="s">
        <v>221</v>
      </c>
      <c r="H1032" s="9" t="n">
        <v>2700</v>
      </c>
      <c r="I1032" s="29" t="n">
        <v>8</v>
      </c>
      <c r="J1032" s="9" t="n">
        <v>1</v>
      </c>
      <c r="K1032" s="30"/>
      <c r="L1032" s="30"/>
      <c r="M1032" s="30"/>
      <c r="N1032" s="30"/>
      <c r="O1032" s="30"/>
      <c r="P1032" s="30"/>
      <c r="Q1032" s="30"/>
      <c r="R1032" s="30"/>
      <c r="S1032" s="30"/>
      <c r="T1032" s="30"/>
      <c r="U1032" s="21" t="str">
        <f aca="false">IF(COUNT(K1032:T1032)=0,"SOURCE EMPTY / INDUSTRIAL ONLY",IF(MIN(K1032:T1032)=1,"SERVICE READY","HOLD"))</f>
        <v>SOURCE EMPTY / INDUSTRIAL ONLY</v>
      </c>
      <c r="V1032" s="9" t="n">
        <f aca="false">IF(U1032="SERVICE READY",1,0)</f>
        <v>0</v>
      </c>
      <c r="W1032" s="6"/>
      <c r="X1032" s="6"/>
      <c r="Y1032" s="6"/>
      <c r="Z1032" s="6"/>
    </row>
    <row r="1033" customFormat="false" ht="15" hidden="false" customHeight="false" outlineLevel="0" collapsed="false">
      <c r="A1033" s="9" t="s">
        <v>1259</v>
      </c>
      <c r="B1033" s="9" t="s">
        <v>1213</v>
      </c>
      <c r="C1033" s="9" t="s">
        <v>1214</v>
      </c>
      <c r="D1033" s="9" t="s">
        <v>1215</v>
      </c>
      <c r="E1033" s="9" t="s">
        <v>275</v>
      </c>
      <c r="F1033" s="9" t="s">
        <v>203</v>
      </c>
      <c r="G1033" s="9" t="s">
        <v>221</v>
      </c>
      <c r="H1033" s="9" t="n">
        <v>2700</v>
      </c>
      <c r="I1033" s="29" t="n">
        <v>8</v>
      </c>
      <c r="J1033" s="9" t="n">
        <v>1</v>
      </c>
      <c r="K1033" s="30"/>
      <c r="L1033" s="30"/>
      <c r="M1033" s="30"/>
      <c r="N1033" s="30"/>
      <c r="O1033" s="30"/>
      <c r="P1033" s="30"/>
      <c r="Q1033" s="30"/>
      <c r="R1033" s="30"/>
      <c r="S1033" s="30"/>
      <c r="T1033" s="30"/>
      <c r="U1033" s="21" t="str">
        <f aca="false">IF(COUNT(K1033:T1033)=0,"SOURCE EMPTY / INDUSTRIAL ONLY",IF(MIN(K1033:T1033)=1,"SERVICE READY","HOLD"))</f>
        <v>SOURCE EMPTY / INDUSTRIAL ONLY</v>
      </c>
      <c r="V1033" s="9" t="n">
        <f aca="false">IF(U1033="SERVICE READY",1,0)</f>
        <v>0</v>
      </c>
      <c r="W1033" s="6"/>
      <c r="X1033" s="6"/>
      <c r="Y1033" s="6"/>
      <c r="Z1033" s="6"/>
    </row>
    <row r="1034" customFormat="false" ht="15" hidden="false" customHeight="false" outlineLevel="0" collapsed="false">
      <c r="A1034" s="9" t="s">
        <v>1260</v>
      </c>
      <c r="B1034" s="9" t="s">
        <v>1213</v>
      </c>
      <c r="C1034" s="9" t="s">
        <v>1214</v>
      </c>
      <c r="D1034" s="9" t="s">
        <v>1215</v>
      </c>
      <c r="E1034" s="9" t="s">
        <v>275</v>
      </c>
      <c r="F1034" s="9" t="s">
        <v>205</v>
      </c>
      <c r="G1034" s="9" t="s">
        <v>221</v>
      </c>
      <c r="H1034" s="9" t="n">
        <v>2700</v>
      </c>
      <c r="I1034" s="29" t="n">
        <v>8</v>
      </c>
      <c r="J1034" s="9" t="n">
        <v>1</v>
      </c>
      <c r="K1034" s="30"/>
      <c r="L1034" s="30"/>
      <c r="M1034" s="30"/>
      <c r="N1034" s="30"/>
      <c r="O1034" s="30"/>
      <c r="P1034" s="30"/>
      <c r="Q1034" s="30"/>
      <c r="R1034" s="30"/>
      <c r="S1034" s="30"/>
      <c r="T1034" s="30"/>
      <c r="U1034" s="21" t="str">
        <f aca="false">IF(COUNT(K1034:T1034)=0,"SOURCE EMPTY / INDUSTRIAL ONLY",IF(MIN(K1034:T1034)=1,"SERVICE READY","HOLD"))</f>
        <v>SOURCE EMPTY / INDUSTRIAL ONLY</v>
      </c>
      <c r="V1034" s="9" t="n">
        <f aca="false">IF(U1034="SERVICE READY",1,0)</f>
        <v>0</v>
      </c>
      <c r="W1034" s="6"/>
      <c r="X1034" s="6"/>
      <c r="Y1034" s="6"/>
      <c r="Z1034" s="6"/>
    </row>
    <row r="1035" customFormat="false" ht="15" hidden="false" customHeight="false" outlineLevel="0" collapsed="false">
      <c r="A1035" s="9" t="s">
        <v>1261</v>
      </c>
      <c r="B1035" s="9" t="s">
        <v>1213</v>
      </c>
      <c r="C1035" s="9" t="s">
        <v>1214</v>
      </c>
      <c r="D1035" s="9" t="s">
        <v>1215</v>
      </c>
      <c r="E1035" s="9" t="s">
        <v>275</v>
      </c>
      <c r="F1035" s="9" t="s">
        <v>207</v>
      </c>
      <c r="G1035" s="9" t="s">
        <v>221</v>
      </c>
      <c r="H1035" s="9" t="n">
        <v>2700</v>
      </c>
      <c r="I1035" s="29" t="n">
        <v>8</v>
      </c>
      <c r="J1035" s="9" t="n">
        <v>1</v>
      </c>
      <c r="K1035" s="30"/>
      <c r="L1035" s="30"/>
      <c r="M1035" s="30"/>
      <c r="N1035" s="30"/>
      <c r="O1035" s="30"/>
      <c r="P1035" s="30"/>
      <c r="Q1035" s="30"/>
      <c r="R1035" s="30"/>
      <c r="S1035" s="30"/>
      <c r="T1035" s="30"/>
      <c r="U1035" s="21" t="str">
        <f aca="false">IF(COUNT(K1035:T1035)=0,"SOURCE EMPTY / INDUSTRIAL ONLY",IF(MIN(K1035:T1035)=1,"SERVICE READY","HOLD"))</f>
        <v>SOURCE EMPTY / INDUSTRIAL ONLY</v>
      </c>
      <c r="V1035" s="9" t="n">
        <f aca="false">IF(U1035="SERVICE READY",1,0)</f>
        <v>0</v>
      </c>
      <c r="W1035" s="6"/>
      <c r="X1035" s="6"/>
      <c r="Y1035" s="6"/>
      <c r="Z1035" s="6"/>
    </row>
    <row r="1036" customFormat="false" ht="15" hidden="false" customHeight="false" outlineLevel="0" collapsed="false">
      <c r="A1036" s="9" t="s">
        <v>1262</v>
      </c>
      <c r="B1036" s="9" t="s">
        <v>1213</v>
      </c>
      <c r="C1036" s="9" t="s">
        <v>1214</v>
      </c>
      <c r="D1036" s="9" t="s">
        <v>1215</v>
      </c>
      <c r="E1036" s="9" t="s">
        <v>275</v>
      </c>
      <c r="F1036" s="9" t="s">
        <v>209</v>
      </c>
      <c r="G1036" s="9" t="s">
        <v>221</v>
      </c>
      <c r="H1036" s="9" t="n">
        <v>2700</v>
      </c>
      <c r="I1036" s="29" t="n">
        <v>8</v>
      </c>
      <c r="J1036" s="9" t="n">
        <v>0</v>
      </c>
      <c r="K1036" s="30"/>
      <c r="L1036" s="30"/>
      <c r="M1036" s="30"/>
      <c r="N1036" s="30"/>
      <c r="O1036" s="30"/>
      <c r="P1036" s="30"/>
      <c r="Q1036" s="30"/>
      <c r="R1036" s="30"/>
      <c r="S1036" s="30"/>
      <c r="T1036" s="30"/>
      <c r="U1036" s="21" t="str">
        <f aca="false">IF(COUNT(K1036:T1036)=0,"SOURCE EMPTY / INDUSTRIAL ONLY",IF(MIN(K1036:T1036)=1,"SERVICE READY","HOLD"))</f>
        <v>SOURCE EMPTY / INDUSTRIAL ONLY</v>
      </c>
      <c r="V1036" s="9" t="n">
        <f aca="false">IF(U1036="SERVICE READY",1,0)</f>
        <v>0</v>
      </c>
      <c r="W1036" s="6"/>
      <c r="X1036" s="6"/>
      <c r="Y1036" s="6"/>
      <c r="Z1036" s="6"/>
    </row>
    <row r="1037" customFormat="false" ht="15" hidden="false" customHeight="false" outlineLevel="0" collapsed="false">
      <c r="A1037" s="9" t="s">
        <v>1263</v>
      </c>
      <c r="B1037" s="9" t="s">
        <v>1213</v>
      </c>
      <c r="C1037" s="9" t="s">
        <v>1214</v>
      </c>
      <c r="D1037" s="9" t="s">
        <v>1215</v>
      </c>
      <c r="E1037" s="9" t="s">
        <v>275</v>
      </c>
      <c r="F1037" s="9" t="s">
        <v>211</v>
      </c>
      <c r="G1037" s="9" t="s">
        <v>221</v>
      </c>
      <c r="H1037" s="9" t="n">
        <v>2700</v>
      </c>
      <c r="I1037" s="29" t="n">
        <v>8</v>
      </c>
      <c r="J1037" s="9" t="n">
        <v>0</v>
      </c>
      <c r="K1037" s="30"/>
      <c r="L1037" s="30"/>
      <c r="M1037" s="30"/>
      <c r="N1037" s="30"/>
      <c r="O1037" s="30"/>
      <c r="P1037" s="30"/>
      <c r="Q1037" s="30"/>
      <c r="R1037" s="30"/>
      <c r="S1037" s="30"/>
      <c r="T1037" s="30"/>
      <c r="U1037" s="21" t="str">
        <f aca="false">IF(COUNT(K1037:T1037)=0,"SOURCE EMPTY / INDUSTRIAL ONLY",IF(MIN(K1037:T1037)=1,"SERVICE READY","HOLD"))</f>
        <v>SOURCE EMPTY / INDUSTRIAL ONLY</v>
      </c>
      <c r="V1037" s="9" t="n">
        <f aca="false">IF(U1037="SERVICE READY",1,0)</f>
        <v>0</v>
      </c>
      <c r="W1037" s="6"/>
      <c r="X1037" s="6"/>
      <c r="Y1037" s="6"/>
      <c r="Z1037" s="6"/>
    </row>
    <row r="1038" customFormat="false" ht="15" hidden="false" customHeight="false" outlineLevel="0" collapsed="false">
      <c r="A1038" s="9" t="s">
        <v>1264</v>
      </c>
      <c r="B1038" s="9" t="s">
        <v>1213</v>
      </c>
      <c r="C1038" s="9" t="s">
        <v>1214</v>
      </c>
      <c r="D1038" s="9" t="s">
        <v>1215</v>
      </c>
      <c r="E1038" s="9" t="s">
        <v>275</v>
      </c>
      <c r="F1038" s="9" t="s">
        <v>197</v>
      </c>
      <c r="G1038" s="9" t="s">
        <v>221</v>
      </c>
      <c r="H1038" s="9" t="n">
        <v>2700</v>
      </c>
      <c r="I1038" s="29" t="n">
        <v>8</v>
      </c>
      <c r="J1038" s="9" t="n">
        <v>0</v>
      </c>
      <c r="K1038" s="30"/>
      <c r="L1038" s="30"/>
      <c r="M1038" s="30"/>
      <c r="N1038" s="30"/>
      <c r="O1038" s="30"/>
      <c r="P1038" s="30"/>
      <c r="Q1038" s="30"/>
      <c r="R1038" s="30"/>
      <c r="S1038" s="30"/>
      <c r="T1038" s="30"/>
      <c r="U1038" s="21" t="str">
        <f aca="false">IF(COUNT(K1038:T1038)=0,"SOURCE EMPTY / INDUSTRIAL ONLY",IF(MIN(K1038:T1038)=1,"SERVICE READY","HOLD"))</f>
        <v>SOURCE EMPTY / INDUSTRIAL ONLY</v>
      </c>
      <c r="V1038" s="9" t="n">
        <f aca="false">IF(U1038="SERVICE READY",1,0)</f>
        <v>0</v>
      </c>
      <c r="W1038" s="6"/>
      <c r="X1038" s="6"/>
      <c r="Y1038" s="6"/>
      <c r="Z1038" s="6"/>
    </row>
    <row r="1039" customFormat="false" ht="15" hidden="false" customHeight="false" outlineLevel="0" collapsed="false">
      <c r="A1039" s="9" t="s">
        <v>1265</v>
      </c>
      <c r="B1039" s="9" t="s">
        <v>1213</v>
      </c>
      <c r="C1039" s="9" t="s">
        <v>1214</v>
      </c>
      <c r="D1039" s="9" t="s">
        <v>1215</v>
      </c>
      <c r="E1039" s="9" t="s">
        <v>275</v>
      </c>
      <c r="F1039" s="9" t="s">
        <v>200</v>
      </c>
      <c r="G1039" s="9" t="s">
        <v>221</v>
      </c>
      <c r="H1039" s="9" t="n">
        <v>2700</v>
      </c>
      <c r="I1039" s="29" t="n">
        <v>8</v>
      </c>
      <c r="J1039" s="9" t="n">
        <v>0</v>
      </c>
      <c r="K1039" s="30"/>
      <c r="L1039" s="30"/>
      <c r="M1039" s="30"/>
      <c r="N1039" s="30"/>
      <c r="O1039" s="30"/>
      <c r="P1039" s="30"/>
      <c r="Q1039" s="30"/>
      <c r="R1039" s="30"/>
      <c r="S1039" s="30"/>
      <c r="T1039" s="30"/>
      <c r="U1039" s="21" t="str">
        <f aca="false">IF(COUNT(K1039:T1039)=0,"SOURCE EMPTY / INDUSTRIAL ONLY",IF(MIN(K1039:T1039)=1,"SERVICE READY","HOLD"))</f>
        <v>SOURCE EMPTY / INDUSTRIAL ONLY</v>
      </c>
      <c r="V1039" s="9" t="n">
        <f aca="false">IF(U1039="SERVICE READY",1,0)</f>
        <v>0</v>
      </c>
      <c r="W1039" s="6"/>
      <c r="X1039" s="6"/>
      <c r="Y1039" s="6"/>
      <c r="Z1039" s="6"/>
    </row>
    <row r="1040" customFormat="false" ht="15" hidden="false" customHeight="false" outlineLevel="0" collapsed="false">
      <c r="A1040" s="9" t="s">
        <v>1266</v>
      </c>
      <c r="B1040" s="9" t="s">
        <v>1213</v>
      </c>
      <c r="C1040" s="9" t="s">
        <v>1214</v>
      </c>
      <c r="D1040" s="9" t="s">
        <v>1215</v>
      </c>
      <c r="E1040" s="9" t="s">
        <v>275</v>
      </c>
      <c r="F1040" s="9" t="s">
        <v>203</v>
      </c>
      <c r="G1040" s="9" t="s">
        <v>221</v>
      </c>
      <c r="H1040" s="9" t="n">
        <v>2700</v>
      </c>
      <c r="I1040" s="29" t="n">
        <v>8</v>
      </c>
      <c r="J1040" s="9" t="n">
        <v>0</v>
      </c>
      <c r="K1040" s="30"/>
      <c r="L1040" s="30"/>
      <c r="M1040" s="30"/>
      <c r="N1040" s="30"/>
      <c r="O1040" s="30"/>
      <c r="P1040" s="30"/>
      <c r="Q1040" s="30"/>
      <c r="R1040" s="30"/>
      <c r="S1040" s="30"/>
      <c r="T1040" s="30"/>
      <c r="U1040" s="21" t="str">
        <f aca="false">IF(COUNT(K1040:T1040)=0,"SOURCE EMPTY / INDUSTRIAL ONLY",IF(MIN(K1040:T1040)=1,"SERVICE READY","HOLD"))</f>
        <v>SOURCE EMPTY / INDUSTRIAL ONLY</v>
      </c>
      <c r="V1040" s="9" t="n">
        <f aca="false">IF(U1040="SERVICE READY",1,0)</f>
        <v>0</v>
      </c>
      <c r="W1040" s="6"/>
      <c r="X1040" s="6"/>
      <c r="Y1040" s="6"/>
      <c r="Z1040" s="6"/>
    </row>
    <row r="1041" customFormat="false" ht="15" hidden="false" customHeight="false" outlineLevel="0" collapsed="false">
      <c r="A1041" s="9" t="s">
        <v>1267</v>
      </c>
      <c r="B1041" s="9" t="s">
        <v>1213</v>
      </c>
      <c r="C1041" s="9" t="s">
        <v>1214</v>
      </c>
      <c r="D1041" s="9" t="s">
        <v>1215</v>
      </c>
      <c r="E1041" s="9" t="s">
        <v>275</v>
      </c>
      <c r="F1041" s="9" t="s">
        <v>205</v>
      </c>
      <c r="G1041" s="9" t="s">
        <v>221</v>
      </c>
      <c r="H1041" s="9" t="n">
        <v>2700</v>
      </c>
      <c r="I1041" s="29" t="n">
        <v>8</v>
      </c>
      <c r="J1041" s="9" t="n">
        <v>0</v>
      </c>
      <c r="K1041" s="30"/>
      <c r="L1041" s="30"/>
      <c r="M1041" s="30"/>
      <c r="N1041" s="30"/>
      <c r="O1041" s="30"/>
      <c r="P1041" s="30"/>
      <c r="Q1041" s="30"/>
      <c r="R1041" s="30"/>
      <c r="S1041" s="30"/>
      <c r="T1041" s="30"/>
      <c r="U1041" s="21" t="str">
        <f aca="false">IF(COUNT(K1041:T1041)=0,"SOURCE EMPTY / INDUSTRIAL ONLY",IF(MIN(K1041:T1041)=1,"SERVICE READY","HOLD"))</f>
        <v>SOURCE EMPTY / INDUSTRIAL ONLY</v>
      </c>
      <c r="V1041" s="9" t="n">
        <f aca="false">IF(U1041="SERVICE READY",1,0)</f>
        <v>0</v>
      </c>
      <c r="W1041" s="6"/>
      <c r="X1041" s="6"/>
      <c r="Y1041" s="6"/>
      <c r="Z1041" s="6"/>
    </row>
    <row r="1042" customFormat="false" ht="15" hidden="false" customHeight="false" outlineLevel="0" collapsed="false">
      <c r="A1042" s="9" t="s">
        <v>1268</v>
      </c>
      <c r="B1042" s="9" t="s">
        <v>1213</v>
      </c>
      <c r="C1042" s="9" t="s">
        <v>1214</v>
      </c>
      <c r="D1042" s="9" t="s">
        <v>1215</v>
      </c>
      <c r="E1042" s="9" t="s">
        <v>275</v>
      </c>
      <c r="F1042" s="9" t="s">
        <v>207</v>
      </c>
      <c r="G1042" s="9" t="s">
        <v>221</v>
      </c>
      <c r="H1042" s="9" t="n">
        <v>2700</v>
      </c>
      <c r="I1042" s="29" t="n">
        <v>8</v>
      </c>
      <c r="J1042" s="9" t="n">
        <v>0</v>
      </c>
      <c r="K1042" s="30"/>
      <c r="L1042" s="30"/>
      <c r="M1042" s="30"/>
      <c r="N1042" s="30"/>
      <c r="O1042" s="30"/>
      <c r="P1042" s="30"/>
      <c r="Q1042" s="30"/>
      <c r="R1042" s="30"/>
      <c r="S1042" s="30"/>
      <c r="T1042" s="30"/>
      <c r="U1042" s="21" t="str">
        <f aca="false">IF(COUNT(K1042:T1042)=0,"SOURCE EMPTY / INDUSTRIAL ONLY",IF(MIN(K1042:T1042)=1,"SERVICE READY","HOLD"))</f>
        <v>SOURCE EMPTY / INDUSTRIAL ONLY</v>
      </c>
      <c r="V1042" s="9" t="n">
        <f aca="false">IF(U1042="SERVICE READY",1,0)</f>
        <v>0</v>
      </c>
      <c r="W1042" s="6"/>
      <c r="X1042" s="6"/>
      <c r="Y1042" s="6"/>
      <c r="Z1042" s="6"/>
    </row>
    <row r="1043" customFormat="false" ht="15" hidden="false" customHeight="false" outlineLevel="0" collapsed="false">
      <c r="A1043" s="9" t="s">
        <v>1269</v>
      </c>
      <c r="B1043" s="9" t="s">
        <v>1213</v>
      </c>
      <c r="C1043" s="9" t="s">
        <v>1214</v>
      </c>
      <c r="D1043" s="9" t="s">
        <v>1215</v>
      </c>
      <c r="E1043" s="9" t="s">
        <v>275</v>
      </c>
      <c r="F1043" s="9" t="s">
        <v>209</v>
      </c>
      <c r="G1043" s="9" t="s">
        <v>221</v>
      </c>
      <c r="H1043" s="9" t="n">
        <v>2700</v>
      </c>
      <c r="I1043" s="29" t="n">
        <v>8</v>
      </c>
      <c r="J1043" s="9" t="n">
        <v>0</v>
      </c>
      <c r="K1043" s="30"/>
      <c r="L1043" s="30"/>
      <c r="M1043" s="30"/>
      <c r="N1043" s="30"/>
      <c r="O1043" s="30"/>
      <c r="P1043" s="30"/>
      <c r="Q1043" s="30"/>
      <c r="R1043" s="30"/>
      <c r="S1043" s="30"/>
      <c r="T1043" s="30"/>
      <c r="U1043" s="21" t="str">
        <f aca="false">IF(COUNT(K1043:T1043)=0,"SOURCE EMPTY / INDUSTRIAL ONLY",IF(MIN(K1043:T1043)=1,"SERVICE READY","HOLD"))</f>
        <v>SOURCE EMPTY / INDUSTRIAL ONLY</v>
      </c>
      <c r="V1043" s="9" t="n">
        <f aca="false">IF(U1043="SERVICE READY",1,0)</f>
        <v>0</v>
      </c>
      <c r="W1043" s="6"/>
      <c r="X1043" s="6"/>
      <c r="Y1043" s="6"/>
      <c r="Z1043" s="6"/>
    </row>
    <row r="1044" customFormat="false" ht="15" hidden="false" customHeight="false" outlineLevel="0" collapsed="false">
      <c r="A1044" s="9" t="s">
        <v>1270</v>
      </c>
      <c r="B1044" s="9" t="s">
        <v>1213</v>
      </c>
      <c r="C1044" s="9" t="s">
        <v>1214</v>
      </c>
      <c r="D1044" s="9" t="s">
        <v>1215</v>
      </c>
      <c r="E1044" s="9" t="s">
        <v>275</v>
      </c>
      <c r="F1044" s="9" t="s">
        <v>211</v>
      </c>
      <c r="G1044" s="9" t="s">
        <v>221</v>
      </c>
      <c r="H1044" s="9" t="n">
        <v>2700</v>
      </c>
      <c r="I1044" s="29" t="n">
        <v>8</v>
      </c>
      <c r="J1044" s="9" t="n">
        <v>0</v>
      </c>
      <c r="K1044" s="30"/>
      <c r="L1044" s="30"/>
      <c r="M1044" s="30"/>
      <c r="N1044" s="30"/>
      <c r="O1044" s="30"/>
      <c r="P1044" s="30"/>
      <c r="Q1044" s="30"/>
      <c r="R1044" s="30"/>
      <c r="S1044" s="30"/>
      <c r="T1044" s="30"/>
      <c r="U1044" s="21" t="str">
        <f aca="false">IF(COUNT(K1044:T1044)=0,"SOURCE EMPTY / INDUSTRIAL ONLY",IF(MIN(K1044:T1044)=1,"SERVICE READY","HOLD"))</f>
        <v>SOURCE EMPTY / INDUSTRIAL ONLY</v>
      </c>
      <c r="V1044" s="9" t="n">
        <f aca="false">IF(U1044="SERVICE READY",1,0)</f>
        <v>0</v>
      </c>
      <c r="W1044" s="6"/>
      <c r="X1044" s="6"/>
      <c r="Y1044" s="6"/>
      <c r="Z1044" s="6"/>
    </row>
    <row r="1045" customFormat="false" ht="15" hidden="false" customHeight="false" outlineLevel="0" collapsed="false">
      <c r="A1045" s="9" t="s">
        <v>1271</v>
      </c>
      <c r="B1045" s="9" t="s">
        <v>1213</v>
      </c>
      <c r="C1045" s="9" t="s">
        <v>1214</v>
      </c>
      <c r="D1045" s="9" t="s">
        <v>1215</v>
      </c>
      <c r="E1045" s="9" t="s">
        <v>275</v>
      </c>
      <c r="F1045" s="9" t="s">
        <v>197</v>
      </c>
      <c r="G1045" s="9" t="s">
        <v>221</v>
      </c>
      <c r="H1045" s="9" t="n">
        <v>2700</v>
      </c>
      <c r="I1045" s="29" t="n">
        <v>8</v>
      </c>
      <c r="J1045" s="9" t="n">
        <v>0</v>
      </c>
      <c r="K1045" s="30"/>
      <c r="L1045" s="30"/>
      <c r="M1045" s="30"/>
      <c r="N1045" s="30"/>
      <c r="O1045" s="30"/>
      <c r="P1045" s="30"/>
      <c r="Q1045" s="30"/>
      <c r="R1045" s="30"/>
      <c r="S1045" s="30"/>
      <c r="T1045" s="30"/>
      <c r="U1045" s="21" t="str">
        <f aca="false">IF(COUNT(K1045:T1045)=0,"SOURCE EMPTY / INDUSTRIAL ONLY",IF(MIN(K1045:T1045)=1,"SERVICE READY","HOLD"))</f>
        <v>SOURCE EMPTY / INDUSTRIAL ONLY</v>
      </c>
      <c r="V1045" s="9" t="n">
        <f aca="false">IF(U1045="SERVICE READY",1,0)</f>
        <v>0</v>
      </c>
      <c r="W1045" s="6"/>
      <c r="X1045" s="6"/>
      <c r="Y1045" s="6"/>
      <c r="Z1045" s="6"/>
    </row>
    <row r="1046" customFormat="false" ht="15" hidden="false" customHeight="false" outlineLevel="0" collapsed="false">
      <c r="A1046" s="9" t="s">
        <v>1272</v>
      </c>
      <c r="B1046" s="9" t="s">
        <v>1213</v>
      </c>
      <c r="C1046" s="9" t="s">
        <v>1214</v>
      </c>
      <c r="D1046" s="9" t="s">
        <v>1215</v>
      </c>
      <c r="E1046" s="9" t="s">
        <v>275</v>
      </c>
      <c r="F1046" s="9" t="s">
        <v>200</v>
      </c>
      <c r="G1046" s="9" t="s">
        <v>221</v>
      </c>
      <c r="H1046" s="9" t="n">
        <v>2700</v>
      </c>
      <c r="I1046" s="29" t="n">
        <v>8</v>
      </c>
      <c r="J1046" s="9" t="n">
        <v>0</v>
      </c>
      <c r="K1046" s="30"/>
      <c r="L1046" s="30"/>
      <c r="M1046" s="30"/>
      <c r="N1046" s="30"/>
      <c r="O1046" s="30"/>
      <c r="P1046" s="30"/>
      <c r="Q1046" s="30"/>
      <c r="R1046" s="30"/>
      <c r="S1046" s="30"/>
      <c r="T1046" s="30"/>
      <c r="U1046" s="21" t="str">
        <f aca="false">IF(COUNT(K1046:T1046)=0,"SOURCE EMPTY / INDUSTRIAL ONLY",IF(MIN(K1046:T1046)=1,"SERVICE READY","HOLD"))</f>
        <v>SOURCE EMPTY / INDUSTRIAL ONLY</v>
      </c>
      <c r="V1046" s="9" t="n">
        <f aca="false">IF(U1046="SERVICE READY",1,0)</f>
        <v>0</v>
      </c>
      <c r="W1046" s="6"/>
      <c r="X1046" s="6"/>
      <c r="Y1046" s="6"/>
      <c r="Z1046" s="6"/>
    </row>
    <row r="1047" customFormat="false" ht="15" hidden="false" customHeight="false" outlineLevel="0" collapsed="false">
      <c r="A1047" s="9" t="s">
        <v>1273</v>
      </c>
      <c r="B1047" s="9" t="s">
        <v>1213</v>
      </c>
      <c r="C1047" s="9" t="s">
        <v>1214</v>
      </c>
      <c r="D1047" s="9" t="s">
        <v>1215</v>
      </c>
      <c r="E1047" s="9" t="s">
        <v>275</v>
      </c>
      <c r="F1047" s="9" t="s">
        <v>203</v>
      </c>
      <c r="G1047" s="9" t="s">
        <v>221</v>
      </c>
      <c r="H1047" s="9" t="n">
        <v>2700</v>
      </c>
      <c r="I1047" s="29" t="n">
        <v>8</v>
      </c>
      <c r="J1047" s="9" t="n">
        <v>0</v>
      </c>
      <c r="K1047" s="30"/>
      <c r="L1047" s="30"/>
      <c r="M1047" s="30"/>
      <c r="N1047" s="30"/>
      <c r="O1047" s="30"/>
      <c r="P1047" s="30"/>
      <c r="Q1047" s="30"/>
      <c r="R1047" s="30"/>
      <c r="S1047" s="30"/>
      <c r="T1047" s="30"/>
      <c r="U1047" s="21" t="str">
        <f aca="false">IF(COUNT(K1047:T1047)=0,"SOURCE EMPTY / INDUSTRIAL ONLY",IF(MIN(K1047:T1047)=1,"SERVICE READY","HOLD"))</f>
        <v>SOURCE EMPTY / INDUSTRIAL ONLY</v>
      </c>
      <c r="V1047" s="9" t="n">
        <f aca="false">IF(U1047="SERVICE READY",1,0)</f>
        <v>0</v>
      </c>
      <c r="W1047" s="6"/>
      <c r="X1047" s="6"/>
      <c r="Y1047" s="6"/>
      <c r="Z1047" s="6"/>
    </row>
    <row r="1048" customFormat="false" ht="15" hidden="false" customHeight="false" outlineLevel="0" collapsed="false">
      <c r="A1048" s="9" t="s">
        <v>1274</v>
      </c>
      <c r="B1048" s="9" t="s">
        <v>1213</v>
      </c>
      <c r="C1048" s="9" t="s">
        <v>1214</v>
      </c>
      <c r="D1048" s="9" t="s">
        <v>1215</v>
      </c>
      <c r="E1048" s="9" t="s">
        <v>275</v>
      </c>
      <c r="F1048" s="9" t="s">
        <v>205</v>
      </c>
      <c r="G1048" s="9" t="s">
        <v>221</v>
      </c>
      <c r="H1048" s="9" t="n">
        <v>2700</v>
      </c>
      <c r="I1048" s="29" t="n">
        <v>8</v>
      </c>
      <c r="J1048" s="9" t="n">
        <v>0</v>
      </c>
      <c r="K1048" s="30"/>
      <c r="L1048" s="30"/>
      <c r="M1048" s="30"/>
      <c r="N1048" s="30"/>
      <c r="O1048" s="30"/>
      <c r="P1048" s="30"/>
      <c r="Q1048" s="30"/>
      <c r="R1048" s="30"/>
      <c r="S1048" s="30"/>
      <c r="T1048" s="30"/>
      <c r="U1048" s="21" t="str">
        <f aca="false">IF(COUNT(K1048:T1048)=0,"SOURCE EMPTY / INDUSTRIAL ONLY",IF(MIN(K1048:T1048)=1,"SERVICE READY","HOLD"))</f>
        <v>SOURCE EMPTY / INDUSTRIAL ONLY</v>
      </c>
      <c r="V1048" s="9" t="n">
        <f aca="false">IF(U1048="SERVICE READY",1,0)</f>
        <v>0</v>
      </c>
      <c r="W1048" s="6"/>
      <c r="X1048" s="6"/>
      <c r="Y1048" s="6"/>
      <c r="Z1048" s="6"/>
    </row>
    <row r="1049" customFormat="false" ht="15" hidden="false" customHeight="false" outlineLevel="0" collapsed="false">
      <c r="A1049" s="9" t="s">
        <v>1275</v>
      </c>
      <c r="B1049" s="9" t="s">
        <v>1213</v>
      </c>
      <c r="C1049" s="9" t="s">
        <v>1214</v>
      </c>
      <c r="D1049" s="9" t="s">
        <v>1215</v>
      </c>
      <c r="E1049" s="9" t="s">
        <v>275</v>
      </c>
      <c r="F1049" s="9" t="s">
        <v>207</v>
      </c>
      <c r="G1049" s="9" t="s">
        <v>221</v>
      </c>
      <c r="H1049" s="9" t="n">
        <v>2700</v>
      </c>
      <c r="I1049" s="29" t="n">
        <v>8</v>
      </c>
      <c r="J1049" s="9" t="n">
        <v>0</v>
      </c>
      <c r="K1049" s="30"/>
      <c r="L1049" s="30"/>
      <c r="M1049" s="30"/>
      <c r="N1049" s="30"/>
      <c r="O1049" s="30"/>
      <c r="P1049" s="30"/>
      <c r="Q1049" s="30"/>
      <c r="R1049" s="30"/>
      <c r="S1049" s="30"/>
      <c r="T1049" s="30"/>
      <c r="U1049" s="21" t="str">
        <f aca="false">IF(COUNT(K1049:T1049)=0,"SOURCE EMPTY / INDUSTRIAL ONLY",IF(MIN(K1049:T1049)=1,"SERVICE READY","HOLD"))</f>
        <v>SOURCE EMPTY / INDUSTRIAL ONLY</v>
      </c>
      <c r="V1049" s="9" t="n">
        <f aca="false">IF(U1049="SERVICE READY",1,0)</f>
        <v>0</v>
      </c>
      <c r="W1049" s="6"/>
      <c r="X1049" s="6"/>
      <c r="Y1049" s="6"/>
      <c r="Z1049" s="6"/>
    </row>
    <row r="1050" customFormat="false" ht="15" hidden="false" customHeight="false" outlineLevel="0" collapsed="false">
      <c r="A1050" s="9" t="s">
        <v>1276</v>
      </c>
      <c r="B1050" s="9" t="s">
        <v>1213</v>
      </c>
      <c r="C1050" s="9" t="s">
        <v>1214</v>
      </c>
      <c r="D1050" s="9" t="s">
        <v>1215</v>
      </c>
      <c r="E1050" s="9" t="s">
        <v>275</v>
      </c>
      <c r="F1050" s="9" t="s">
        <v>209</v>
      </c>
      <c r="G1050" s="9" t="s">
        <v>221</v>
      </c>
      <c r="H1050" s="9" t="n">
        <v>2700</v>
      </c>
      <c r="I1050" s="29" t="n">
        <v>8</v>
      </c>
      <c r="J1050" s="9" t="n">
        <v>0</v>
      </c>
      <c r="K1050" s="30"/>
      <c r="L1050" s="30"/>
      <c r="M1050" s="30"/>
      <c r="N1050" s="30"/>
      <c r="O1050" s="30"/>
      <c r="P1050" s="30"/>
      <c r="Q1050" s="30"/>
      <c r="R1050" s="30"/>
      <c r="S1050" s="30"/>
      <c r="T1050" s="30"/>
      <c r="U1050" s="21" t="str">
        <f aca="false">IF(COUNT(K1050:T1050)=0,"SOURCE EMPTY / INDUSTRIAL ONLY",IF(MIN(K1050:T1050)=1,"SERVICE READY","HOLD"))</f>
        <v>SOURCE EMPTY / INDUSTRIAL ONLY</v>
      </c>
      <c r="V1050" s="9" t="n">
        <f aca="false">IF(U1050="SERVICE READY",1,0)</f>
        <v>0</v>
      </c>
      <c r="W1050" s="6"/>
      <c r="X1050" s="6"/>
      <c r="Y1050" s="6"/>
      <c r="Z1050" s="6"/>
    </row>
    <row r="1051" customFormat="false" ht="15" hidden="false" customHeight="false" outlineLevel="0" collapsed="false">
      <c r="A1051" s="9" t="s">
        <v>1277</v>
      </c>
      <c r="B1051" s="9" t="s">
        <v>1213</v>
      </c>
      <c r="C1051" s="9" t="s">
        <v>1214</v>
      </c>
      <c r="D1051" s="9" t="s">
        <v>1215</v>
      </c>
      <c r="E1051" s="9" t="s">
        <v>275</v>
      </c>
      <c r="F1051" s="9" t="s">
        <v>211</v>
      </c>
      <c r="G1051" s="9" t="s">
        <v>221</v>
      </c>
      <c r="H1051" s="9" t="n">
        <v>2700</v>
      </c>
      <c r="I1051" s="29" t="n">
        <v>8</v>
      </c>
      <c r="J1051" s="9" t="n">
        <v>0</v>
      </c>
      <c r="K1051" s="30"/>
      <c r="L1051" s="30"/>
      <c r="M1051" s="30"/>
      <c r="N1051" s="30"/>
      <c r="O1051" s="30"/>
      <c r="P1051" s="30"/>
      <c r="Q1051" s="30"/>
      <c r="R1051" s="30"/>
      <c r="S1051" s="30"/>
      <c r="T1051" s="30"/>
      <c r="U1051" s="21" t="str">
        <f aca="false">IF(COUNT(K1051:T1051)=0,"SOURCE EMPTY / INDUSTRIAL ONLY",IF(MIN(K1051:T1051)=1,"SERVICE READY","HOLD"))</f>
        <v>SOURCE EMPTY / INDUSTRIAL ONLY</v>
      </c>
      <c r="V1051" s="9" t="n">
        <f aca="false">IF(U1051="SERVICE READY",1,0)</f>
        <v>0</v>
      </c>
      <c r="W1051" s="6"/>
      <c r="X1051" s="6"/>
      <c r="Y1051" s="6"/>
      <c r="Z1051" s="6"/>
    </row>
    <row r="1052" customFormat="false" ht="15" hidden="false" customHeight="false" outlineLevel="0" collapsed="false">
      <c r="A1052" s="9" t="s">
        <v>1278</v>
      </c>
      <c r="B1052" s="9" t="s">
        <v>1213</v>
      </c>
      <c r="C1052" s="9" t="s">
        <v>1214</v>
      </c>
      <c r="D1052" s="9" t="s">
        <v>1215</v>
      </c>
      <c r="E1052" s="9" t="s">
        <v>275</v>
      </c>
      <c r="F1052" s="9" t="s">
        <v>197</v>
      </c>
      <c r="G1052" s="9" t="s">
        <v>221</v>
      </c>
      <c r="H1052" s="9" t="n">
        <v>2700</v>
      </c>
      <c r="I1052" s="29" t="n">
        <v>8</v>
      </c>
      <c r="J1052" s="9" t="n">
        <v>0</v>
      </c>
      <c r="K1052" s="30"/>
      <c r="L1052" s="30"/>
      <c r="M1052" s="30"/>
      <c r="N1052" s="30"/>
      <c r="O1052" s="30"/>
      <c r="P1052" s="30"/>
      <c r="Q1052" s="30"/>
      <c r="R1052" s="30"/>
      <c r="S1052" s="30"/>
      <c r="T1052" s="30"/>
      <c r="U1052" s="21" t="str">
        <f aca="false">IF(COUNT(K1052:T1052)=0,"SOURCE EMPTY / INDUSTRIAL ONLY",IF(MIN(K1052:T1052)=1,"SERVICE READY","HOLD"))</f>
        <v>SOURCE EMPTY / INDUSTRIAL ONLY</v>
      </c>
      <c r="V1052" s="9" t="n">
        <f aca="false">IF(U1052="SERVICE READY",1,0)</f>
        <v>0</v>
      </c>
      <c r="W1052" s="6"/>
      <c r="X1052" s="6"/>
      <c r="Y1052" s="6"/>
      <c r="Z1052" s="6"/>
    </row>
    <row r="1053" customFormat="false" ht="15" hidden="false" customHeight="false" outlineLevel="0" collapsed="false">
      <c r="A1053" s="9" t="s">
        <v>1279</v>
      </c>
      <c r="B1053" s="9" t="s">
        <v>1213</v>
      </c>
      <c r="C1053" s="9" t="s">
        <v>1214</v>
      </c>
      <c r="D1053" s="9" t="s">
        <v>1215</v>
      </c>
      <c r="E1053" s="9" t="s">
        <v>275</v>
      </c>
      <c r="F1053" s="9" t="s">
        <v>200</v>
      </c>
      <c r="G1053" s="9" t="s">
        <v>221</v>
      </c>
      <c r="H1053" s="9" t="n">
        <v>2700</v>
      </c>
      <c r="I1053" s="29" t="n">
        <v>8</v>
      </c>
      <c r="J1053" s="9" t="n">
        <v>0</v>
      </c>
      <c r="K1053" s="30"/>
      <c r="L1053" s="30"/>
      <c r="M1053" s="30"/>
      <c r="N1053" s="30"/>
      <c r="O1053" s="30"/>
      <c r="P1053" s="30"/>
      <c r="Q1053" s="30"/>
      <c r="R1053" s="30"/>
      <c r="S1053" s="30"/>
      <c r="T1053" s="30"/>
      <c r="U1053" s="21" t="str">
        <f aca="false">IF(COUNT(K1053:T1053)=0,"SOURCE EMPTY / INDUSTRIAL ONLY",IF(MIN(K1053:T1053)=1,"SERVICE READY","HOLD"))</f>
        <v>SOURCE EMPTY / INDUSTRIAL ONLY</v>
      </c>
      <c r="V1053" s="9" t="n">
        <f aca="false">IF(U1053="SERVICE READY",1,0)</f>
        <v>0</v>
      </c>
      <c r="W1053" s="6"/>
      <c r="X1053" s="6"/>
      <c r="Y1053" s="6"/>
      <c r="Z1053" s="6"/>
    </row>
    <row r="1054" customFormat="false" ht="15" hidden="false" customHeight="false" outlineLevel="0" collapsed="false">
      <c r="A1054" s="9" t="s">
        <v>1280</v>
      </c>
      <c r="B1054" s="9" t="s">
        <v>1213</v>
      </c>
      <c r="C1054" s="9" t="s">
        <v>1214</v>
      </c>
      <c r="D1054" s="9" t="s">
        <v>1215</v>
      </c>
      <c r="E1054" s="9" t="s">
        <v>275</v>
      </c>
      <c r="F1054" s="9" t="s">
        <v>203</v>
      </c>
      <c r="G1054" s="9" t="s">
        <v>221</v>
      </c>
      <c r="H1054" s="9" t="n">
        <v>2700</v>
      </c>
      <c r="I1054" s="29" t="n">
        <v>8</v>
      </c>
      <c r="J1054" s="9" t="n">
        <v>0</v>
      </c>
      <c r="K1054" s="30"/>
      <c r="L1054" s="30"/>
      <c r="M1054" s="30"/>
      <c r="N1054" s="30"/>
      <c r="O1054" s="30"/>
      <c r="P1054" s="30"/>
      <c r="Q1054" s="30"/>
      <c r="R1054" s="30"/>
      <c r="S1054" s="30"/>
      <c r="T1054" s="30"/>
      <c r="U1054" s="21" t="str">
        <f aca="false">IF(COUNT(K1054:T1054)=0,"SOURCE EMPTY / INDUSTRIAL ONLY",IF(MIN(K1054:T1054)=1,"SERVICE READY","HOLD"))</f>
        <v>SOURCE EMPTY / INDUSTRIAL ONLY</v>
      </c>
      <c r="V1054" s="9" t="n">
        <f aca="false">IF(U1054="SERVICE READY",1,0)</f>
        <v>0</v>
      </c>
      <c r="W1054" s="6"/>
      <c r="X1054" s="6"/>
      <c r="Y1054" s="6"/>
      <c r="Z1054" s="6"/>
    </row>
    <row r="1055" customFormat="false" ht="15" hidden="false" customHeight="false" outlineLevel="0" collapsed="false">
      <c r="A1055" s="9" t="s">
        <v>1281</v>
      </c>
      <c r="B1055" s="9" t="s">
        <v>1213</v>
      </c>
      <c r="C1055" s="9" t="s">
        <v>1214</v>
      </c>
      <c r="D1055" s="9" t="s">
        <v>1215</v>
      </c>
      <c r="E1055" s="9" t="s">
        <v>275</v>
      </c>
      <c r="F1055" s="9" t="s">
        <v>205</v>
      </c>
      <c r="G1055" s="9" t="s">
        <v>221</v>
      </c>
      <c r="H1055" s="9" t="n">
        <v>2700</v>
      </c>
      <c r="I1055" s="29" t="n">
        <v>8</v>
      </c>
      <c r="J1055" s="9" t="n">
        <v>0</v>
      </c>
      <c r="K1055" s="30"/>
      <c r="L1055" s="30"/>
      <c r="M1055" s="30"/>
      <c r="N1055" s="30"/>
      <c r="O1055" s="30"/>
      <c r="P1055" s="30"/>
      <c r="Q1055" s="30"/>
      <c r="R1055" s="30"/>
      <c r="S1055" s="30"/>
      <c r="T1055" s="30"/>
      <c r="U1055" s="21" t="str">
        <f aca="false">IF(COUNT(K1055:T1055)=0,"SOURCE EMPTY / INDUSTRIAL ONLY",IF(MIN(K1055:T1055)=1,"SERVICE READY","HOLD"))</f>
        <v>SOURCE EMPTY / INDUSTRIAL ONLY</v>
      </c>
      <c r="V1055" s="9" t="n">
        <f aca="false">IF(U1055="SERVICE READY",1,0)</f>
        <v>0</v>
      </c>
      <c r="W1055" s="6"/>
      <c r="X1055" s="6"/>
      <c r="Y1055" s="6"/>
      <c r="Z1055" s="6"/>
    </row>
    <row r="1056" customFormat="false" ht="15" hidden="false" customHeight="false" outlineLevel="0" collapsed="false">
      <c r="A1056" s="9" t="s">
        <v>1282</v>
      </c>
      <c r="B1056" s="9" t="s">
        <v>1213</v>
      </c>
      <c r="C1056" s="9" t="s">
        <v>1214</v>
      </c>
      <c r="D1056" s="9" t="s">
        <v>1215</v>
      </c>
      <c r="E1056" s="9" t="s">
        <v>275</v>
      </c>
      <c r="F1056" s="9" t="s">
        <v>207</v>
      </c>
      <c r="G1056" s="9" t="s">
        <v>221</v>
      </c>
      <c r="H1056" s="9" t="n">
        <v>2700</v>
      </c>
      <c r="I1056" s="29" t="n">
        <v>8</v>
      </c>
      <c r="J1056" s="9" t="n">
        <v>0</v>
      </c>
      <c r="K1056" s="30"/>
      <c r="L1056" s="30"/>
      <c r="M1056" s="30"/>
      <c r="N1056" s="30"/>
      <c r="O1056" s="30"/>
      <c r="P1056" s="30"/>
      <c r="Q1056" s="30"/>
      <c r="R1056" s="30"/>
      <c r="S1056" s="30"/>
      <c r="T1056" s="30"/>
      <c r="U1056" s="21" t="str">
        <f aca="false">IF(COUNT(K1056:T1056)=0,"SOURCE EMPTY / INDUSTRIAL ONLY",IF(MIN(K1056:T1056)=1,"SERVICE READY","HOLD"))</f>
        <v>SOURCE EMPTY / INDUSTRIAL ONLY</v>
      </c>
      <c r="V1056" s="9" t="n">
        <f aca="false">IF(U1056="SERVICE READY",1,0)</f>
        <v>0</v>
      </c>
      <c r="W1056" s="6"/>
      <c r="X1056" s="6"/>
      <c r="Y1056" s="6"/>
      <c r="Z1056" s="6"/>
    </row>
    <row r="1057" customFormat="false" ht="15" hidden="false" customHeight="false" outlineLevel="0" collapsed="false">
      <c r="A1057" s="9" t="s">
        <v>1283</v>
      </c>
      <c r="B1057" s="9" t="s">
        <v>1213</v>
      </c>
      <c r="C1057" s="9" t="s">
        <v>1214</v>
      </c>
      <c r="D1057" s="9" t="s">
        <v>1215</v>
      </c>
      <c r="E1057" s="9" t="s">
        <v>275</v>
      </c>
      <c r="F1057" s="9" t="s">
        <v>209</v>
      </c>
      <c r="G1057" s="9" t="s">
        <v>221</v>
      </c>
      <c r="H1057" s="9" t="n">
        <v>2700</v>
      </c>
      <c r="I1057" s="29" t="n">
        <v>8</v>
      </c>
      <c r="J1057" s="9" t="n">
        <v>0</v>
      </c>
      <c r="K1057" s="30"/>
      <c r="L1057" s="30"/>
      <c r="M1057" s="30"/>
      <c r="N1057" s="30"/>
      <c r="O1057" s="30"/>
      <c r="P1057" s="30"/>
      <c r="Q1057" s="30"/>
      <c r="R1057" s="30"/>
      <c r="S1057" s="30"/>
      <c r="T1057" s="30"/>
      <c r="U1057" s="21" t="str">
        <f aca="false">IF(COUNT(K1057:T1057)=0,"SOURCE EMPTY / INDUSTRIAL ONLY",IF(MIN(K1057:T1057)=1,"SERVICE READY","HOLD"))</f>
        <v>SOURCE EMPTY / INDUSTRIAL ONLY</v>
      </c>
      <c r="V1057" s="9" t="n">
        <f aca="false">IF(U1057="SERVICE READY",1,0)</f>
        <v>0</v>
      </c>
      <c r="W1057" s="6"/>
      <c r="X1057" s="6"/>
      <c r="Y1057" s="6"/>
      <c r="Z1057" s="6"/>
    </row>
    <row r="1058" customFormat="false" ht="15" hidden="false" customHeight="false" outlineLevel="0" collapsed="false">
      <c r="A1058" s="9" t="s">
        <v>1284</v>
      </c>
      <c r="B1058" s="9" t="s">
        <v>1213</v>
      </c>
      <c r="C1058" s="9" t="s">
        <v>1214</v>
      </c>
      <c r="D1058" s="9" t="s">
        <v>1215</v>
      </c>
      <c r="E1058" s="9" t="s">
        <v>275</v>
      </c>
      <c r="F1058" s="9" t="s">
        <v>211</v>
      </c>
      <c r="G1058" s="9" t="s">
        <v>221</v>
      </c>
      <c r="H1058" s="9" t="n">
        <v>2700</v>
      </c>
      <c r="I1058" s="29" t="n">
        <v>8</v>
      </c>
      <c r="J1058" s="9" t="n">
        <v>0</v>
      </c>
      <c r="K1058" s="30"/>
      <c r="L1058" s="30"/>
      <c r="M1058" s="30"/>
      <c r="N1058" s="30"/>
      <c r="O1058" s="30"/>
      <c r="P1058" s="30"/>
      <c r="Q1058" s="30"/>
      <c r="R1058" s="30"/>
      <c r="S1058" s="30"/>
      <c r="T1058" s="30"/>
      <c r="U1058" s="21" t="str">
        <f aca="false">IF(COUNT(K1058:T1058)=0,"SOURCE EMPTY / INDUSTRIAL ONLY",IF(MIN(K1058:T1058)=1,"SERVICE READY","HOLD"))</f>
        <v>SOURCE EMPTY / INDUSTRIAL ONLY</v>
      </c>
      <c r="V1058" s="9" t="n">
        <f aca="false">IF(U1058="SERVICE READY",1,0)</f>
        <v>0</v>
      </c>
      <c r="W1058" s="6"/>
      <c r="X1058" s="6"/>
      <c r="Y1058" s="6"/>
      <c r="Z1058" s="6"/>
    </row>
    <row r="1059" customFormat="false" ht="15" hidden="false" customHeight="false" outlineLevel="0" collapsed="false">
      <c r="A1059" s="9" t="s">
        <v>1285</v>
      </c>
      <c r="B1059" s="9" t="s">
        <v>1213</v>
      </c>
      <c r="C1059" s="9" t="s">
        <v>1214</v>
      </c>
      <c r="D1059" s="9" t="s">
        <v>1215</v>
      </c>
      <c r="E1059" s="9" t="s">
        <v>275</v>
      </c>
      <c r="F1059" s="9" t="s">
        <v>197</v>
      </c>
      <c r="G1059" s="9" t="s">
        <v>221</v>
      </c>
      <c r="H1059" s="9" t="n">
        <v>2700</v>
      </c>
      <c r="I1059" s="29" t="n">
        <v>8</v>
      </c>
      <c r="J1059" s="9" t="n">
        <v>0</v>
      </c>
      <c r="K1059" s="30"/>
      <c r="L1059" s="30"/>
      <c r="M1059" s="30"/>
      <c r="N1059" s="30"/>
      <c r="O1059" s="30"/>
      <c r="P1059" s="30"/>
      <c r="Q1059" s="30"/>
      <c r="R1059" s="30"/>
      <c r="S1059" s="30"/>
      <c r="T1059" s="30"/>
      <c r="U1059" s="21" t="str">
        <f aca="false">IF(COUNT(K1059:T1059)=0,"SOURCE EMPTY / INDUSTRIAL ONLY",IF(MIN(K1059:T1059)=1,"SERVICE READY","HOLD"))</f>
        <v>SOURCE EMPTY / INDUSTRIAL ONLY</v>
      </c>
      <c r="V1059" s="9" t="n">
        <f aca="false">IF(U1059="SERVICE READY",1,0)</f>
        <v>0</v>
      </c>
      <c r="W1059" s="6"/>
      <c r="X1059" s="6"/>
      <c r="Y1059" s="6"/>
      <c r="Z1059" s="6"/>
    </row>
    <row r="1060" customFormat="false" ht="15" hidden="false" customHeight="false" outlineLevel="0" collapsed="false">
      <c r="A1060" s="9" t="s">
        <v>1286</v>
      </c>
      <c r="B1060" s="9" t="s">
        <v>1213</v>
      </c>
      <c r="C1060" s="9" t="s">
        <v>1214</v>
      </c>
      <c r="D1060" s="9" t="s">
        <v>1215</v>
      </c>
      <c r="E1060" s="9" t="s">
        <v>275</v>
      </c>
      <c r="F1060" s="9" t="s">
        <v>200</v>
      </c>
      <c r="G1060" s="9" t="s">
        <v>221</v>
      </c>
      <c r="H1060" s="9" t="n">
        <v>2700</v>
      </c>
      <c r="I1060" s="29" t="n">
        <v>8</v>
      </c>
      <c r="J1060" s="9" t="n">
        <v>0</v>
      </c>
      <c r="K1060" s="30"/>
      <c r="L1060" s="30"/>
      <c r="M1060" s="30"/>
      <c r="N1060" s="30"/>
      <c r="O1060" s="30"/>
      <c r="P1060" s="30"/>
      <c r="Q1060" s="30"/>
      <c r="R1060" s="30"/>
      <c r="S1060" s="30"/>
      <c r="T1060" s="30"/>
      <c r="U1060" s="21" t="str">
        <f aca="false">IF(COUNT(K1060:T1060)=0,"SOURCE EMPTY / INDUSTRIAL ONLY",IF(MIN(K1060:T1060)=1,"SERVICE READY","HOLD"))</f>
        <v>SOURCE EMPTY / INDUSTRIAL ONLY</v>
      </c>
      <c r="V1060" s="9" t="n">
        <f aca="false">IF(U1060="SERVICE READY",1,0)</f>
        <v>0</v>
      </c>
      <c r="W1060" s="6"/>
      <c r="X1060" s="6"/>
      <c r="Y1060" s="6"/>
      <c r="Z1060" s="6"/>
    </row>
    <row r="1061" customFormat="false" ht="15" hidden="false" customHeight="false" outlineLevel="0" collapsed="false">
      <c r="A1061" s="9" t="s">
        <v>1287</v>
      </c>
      <c r="B1061" s="9" t="s">
        <v>1288</v>
      </c>
      <c r="C1061" s="9" t="s">
        <v>1289</v>
      </c>
      <c r="D1061" s="9" t="s">
        <v>1215</v>
      </c>
      <c r="E1061" s="9" t="s">
        <v>275</v>
      </c>
      <c r="F1061" s="9" t="s">
        <v>197</v>
      </c>
      <c r="G1061" s="9" t="s">
        <v>198</v>
      </c>
      <c r="H1061" s="9" t="n">
        <v>1050</v>
      </c>
      <c r="I1061" s="29" t="n">
        <v>2.5</v>
      </c>
      <c r="J1061" s="9" t="n">
        <v>1</v>
      </c>
      <c r="K1061" s="30"/>
      <c r="L1061" s="30"/>
      <c r="M1061" s="30"/>
      <c r="N1061" s="30"/>
      <c r="O1061" s="30"/>
      <c r="P1061" s="30"/>
      <c r="Q1061" s="30"/>
      <c r="R1061" s="30"/>
      <c r="S1061" s="30"/>
      <c r="T1061" s="30"/>
      <c r="U1061" s="21" t="str">
        <f aca="false">IF(COUNT(K1061:T1061)=0,"SOURCE EMPTY / INDUSTRIAL ONLY",IF(MIN(K1061:T1061)=1,"SERVICE READY","HOLD"))</f>
        <v>SOURCE EMPTY / INDUSTRIAL ONLY</v>
      </c>
      <c r="V1061" s="9" t="n">
        <f aca="false">IF(U1061="SERVICE READY",1,0)</f>
        <v>0</v>
      </c>
      <c r="W1061" s="6"/>
      <c r="X1061" s="6"/>
      <c r="Y1061" s="6"/>
      <c r="Z1061" s="6"/>
    </row>
    <row r="1062" customFormat="false" ht="15" hidden="false" customHeight="false" outlineLevel="0" collapsed="false">
      <c r="A1062" s="9" t="s">
        <v>1290</v>
      </c>
      <c r="B1062" s="9" t="s">
        <v>1288</v>
      </c>
      <c r="C1062" s="9" t="s">
        <v>1289</v>
      </c>
      <c r="D1062" s="9" t="s">
        <v>1215</v>
      </c>
      <c r="E1062" s="9" t="s">
        <v>275</v>
      </c>
      <c r="F1062" s="9" t="s">
        <v>200</v>
      </c>
      <c r="G1062" s="9" t="s">
        <v>201</v>
      </c>
      <c r="H1062" s="9" t="n">
        <v>1050</v>
      </c>
      <c r="I1062" s="29" t="n">
        <v>2.5</v>
      </c>
      <c r="J1062" s="9" t="n">
        <v>1</v>
      </c>
      <c r="K1062" s="30"/>
      <c r="L1062" s="30"/>
      <c r="M1062" s="30"/>
      <c r="N1062" s="30"/>
      <c r="O1062" s="30"/>
      <c r="P1062" s="30"/>
      <c r="Q1062" s="30"/>
      <c r="R1062" s="30"/>
      <c r="S1062" s="30"/>
      <c r="T1062" s="30"/>
      <c r="U1062" s="21" t="str">
        <f aca="false">IF(COUNT(K1062:T1062)=0,"SOURCE EMPTY / INDUSTRIAL ONLY",IF(MIN(K1062:T1062)=1,"SERVICE READY","HOLD"))</f>
        <v>SOURCE EMPTY / INDUSTRIAL ONLY</v>
      </c>
      <c r="V1062" s="9" t="n">
        <f aca="false">IF(U1062="SERVICE READY",1,0)</f>
        <v>0</v>
      </c>
      <c r="W1062" s="6"/>
      <c r="X1062" s="6"/>
      <c r="Y1062" s="6"/>
      <c r="Z1062" s="6"/>
    </row>
    <row r="1063" customFormat="false" ht="15" hidden="false" customHeight="false" outlineLevel="0" collapsed="false">
      <c r="A1063" s="9" t="s">
        <v>1291</v>
      </c>
      <c r="B1063" s="9" t="s">
        <v>1288</v>
      </c>
      <c r="C1063" s="9" t="s">
        <v>1289</v>
      </c>
      <c r="D1063" s="9" t="s">
        <v>1215</v>
      </c>
      <c r="E1063" s="9" t="s">
        <v>275</v>
      </c>
      <c r="F1063" s="9" t="s">
        <v>203</v>
      </c>
      <c r="G1063" s="9" t="s">
        <v>198</v>
      </c>
      <c r="H1063" s="9" t="n">
        <v>1050</v>
      </c>
      <c r="I1063" s="29" t="n">
        <v>2.5</v>
      </c>
      <c r="J1063" s="9" t="n">
        <v>1</v>
      </c>
      <c r="K1063" s="30"/>
      <c r="L1063" s="30"/>
      <c r="M1063" s="30"/>
      <c r="N1063" s="30"/>
      <c r="O1063" s="30"/>
      <c r="P1063" s="30"/>
      <c r="Q1063" s="30"/>
      <c r="R1063" s="30"/>
      <c r="S1063" s="30"/>
      <c r="T1063" s="30"/>
      <c r="U1063" s="21" t="str">
        <f aca="false">IF(COUNT(K1063:T1063)=0,"SOURCE EMPTY / INDUSTRIAL ONLY",IF(MIN(K1063:T1063)=1,"SERVICE READY","HOLD"))</f>
        <v>SOURCE EMPTY / INDUSTRIAL ONLY</v>
      </c>
      <c r="V1063" s="9" t="n">
        <f aca="false">IF(U1063="SERVICE READY",1,0)</f>
        <v>0</v>
      </c>
      <c r="W1063" s="6"/>
      <c r="X1063" s="6"/>
      <c r="Y1063" s="6"/>
      <c r="Z1063" s="6"/>
    </row>
    <row r="1064" customFormat="false" ht="15" hidden="false" customHeight="false" outlineLevel="0" collapsed="false">
      <c r="A1064" s="9" t="s">
        <v>1292</v>
      </c>
      <c r="B1064" s="9" t="s">
        <v>1288</v>
      </c>
      <c r="C1064" s="9" t="s">
        <v>1289</v>
      </c>
      <c r="D1064" s="9" t="s">
        <v>1215</v>
      </c>
      <c r="E1064" s="9" t="s">
        <v>275</v>
      </c>
      <c r="F1064" s="9" t="s">
        <v>205</v>
      </c>
      <c r="G1064" s="9" t="s">
        <v>201</v>
      </c>
      <c r="H1064" s="9" t="n">
        <v>1050</v>
      </c>
      <c r="I1064" s="29" t="n">
        <v>2.5</v>
      </c>
      <c r="J1064" s="9" t="n">
        <v>1</v>
      </c>
      <c r="K1064" s="30"/>
      <c r="L1064" s="30"/>
      <c r="M1064" s="30"/>
      <c r="N1064" s="30"/>
      <c r="O1064" s="30"/>
      <c r="P1064" s="30"/>
      <c r="Q1064" s="30"/>
      <c r="R1064" s="30"/>
      <c r="S1064" s="30"/>
      <c r="T1064" s="30"/>
      <c r="U1064" s="21" t="str">
        <f aca="false">IF(COUNT(K1064:T1064)=0,"SOURCE EMPTY / INDUSTRIAL ONLY",IF(MIN(K1064:T1064)=1,"SERVICE READY","HOLD"))</f>
        <v>SOURCE EMPTY / INDUSTRIAL ONLY</v>
      </c>
      <c r="V1064" s="9" t="n">
        <f aca="false">IF(U1064="SERVICE READY",1,0)</f>
        <v>0</v>
      </c>
      <c r="W1064" s="6"/>
      <c r="X1064" s="6"/>
      <c r="Y1064" s="6"/>
      <c r="Z1064" s="6"/>
    </row>
    <row r="1065" customFormat="false" ht="15" hidden="false" customHeight="false" outlineLevel="0" collapsed="false">
      <c r="A1065" s="9" t="s">
        <v>1293</v>
      </c>
      <c r="B1065" s="9" t="s">
        <v>1288</v>
      </c>
      <c r="C1065" s="9" t="s">
        <v>1289</v>
      </c>
      <c r="D1065" s="9" t="s">
        <v>1215</v>
      </c>
      <c r="E1065" s="9" t="s">
        <v>275</v>
      </c>
      <c r="F1065" s="9" t="s">
        <v>207</v>
      </c>
      <c r="G1065" s="9" t="s">
        <v>198</v>
      </c>
      <c r="H1065" s="9" t="n">
        <v>1050</v>
      </c>
      <c r="I1065" s="29" t="n">
        <v>2.5</v>
      </c>
      <c r="J1065" s="9" t="n">
        <v>1</v>
      </c>
      <c r="K1065" s="30"/>
      <c r="L1065" s="30"/>
      <c r="M1065" s="30"/>
      <c r="N1065" s="30"/>
      <c r="O1065" s="30"/>
      <c r="P1065" s="30"/>
      <c r="Q1065" s="30"/>
      <c r="R1065" s="30"/>
      <c r="S1065" s="30"/>
      <c r="T1065" s="30"/>
      <c r="U1065" s="21" t="str">
        <f aca="false">IF(COUNT(K1065:T1065)=0,"SOURCE EMPTY / INDUSTRIAL ONLY",IF(MIN(K1065:T1065)=1,"SERVICE READY","HOLD"))</f>
        <v>SOURCE EMPTY / INDUSTRIAL ONLY</v>
      </c>
      <c r="V1065" s="9" t="n">
        <f aca="false">IF(U1065="SERVICE READY",1,0)</f>
        <v>0</v>
      </c>
      <c r="W1065" s="6"/>
      <c r="X1065" s="6"/>
      <c r="Y1065" s="6"/>
      <c r="Z1065" s="6"/>
    </row>
    <row r="1066" customFormat="false" ht="15" hidden="false" customHeight="false" outlineLevel="0" collapsed="false">
      <c r="A1066" s="9" t="s">
        <v>1294</v>
      </c>
      <c r="B1066" s="9" t="s">
        <v>1288</v>
      </c>
      <c r="C1066" s="9" t="s">
        <v>1289</v>
      </c>
      <c r="D1066" s="9" t="s">
        <v>1215</v>
      </c>
      <c r="E1066" s="9" t="s">
        <v>275</v>
      </c>
      <c r="F1066" s="9" t="s">
        <v>209</v>
      </c>
      <c r="G1066" s="9" t="s">
        <v>201</v>
      </c>
      <c r="H1066" s="9" t="n">
        <v>1050</v>
      </c>
      <c r="I1066" s="29" t="n">
        <v>2.5</v>
      </c>
      <c r="J1066" s="9" t="n">
        <v>1</v>
      </c>
      <c r="K1066" s="30"/>
      <c r="L1066" s="30"/>
      <c r="M1066" s="30"/>
      <c r="N1066" s="30"/>
      <c r="O1066" s="30"/>
      <c r="P1066" s="30"/>
      <c r="Q1066" s="30"/>
      <c r="R1066" s="30"/>
      <c r="S1066" s="30"/>
      <c r="T1066" s="30"/>
      <c r="U1066" s="21" t="str">
        <f aca="false">IF(COUNT(K1066:T1066)=0,"SOURCE EMPTY / INDUSTRIAL ONLY",IF(MIN(K1066:T1066)=1,"SERVICE READY","HOLD"))</f>
        <v>SOURCE EMPTY / INDUSTRIAL ONLY</v>
      </c>
      <c r="V1066" s="9" t="n">
        <f aca="false">IF(U1066="SERVICE READY",1,0)</f>
        <v>0</v>
      </c>
      <c r="W1066" s="6"/>
      <c r="X1066" s="6"/>
      <c r="Y1066" s="6"/>
      <c r="Z1066" s="6"/>
    </row>
    <row r="1067" customFormat="false" ht="15" hidden="false" customHeight="false" outlineLevel="0" collapsed="false">
      <c r="A1067" s="9" t="s">
        <v>1295</v>
      </c>
      <c r="B1067" s="9" t="s">
        <v>1288</v>
      </c>
      <c r="C1067" s="9" t="s">
        <v>1289</v>
      </c>
      <c r="D1067" s="9" t="s">
        <v>1215</v>
      </c>
      <c r="E1067" s="9" t="s">
        <v>275</v>
      </c>
      <c r="F1067" s="9" t="s">
        <v>211</v>
      </c>
      <c r="G1067" s="9" t="s">
        <v>198</v>
      </c>
      <c r="H1067" s="9" t="n">
        <v>1050</v>
      </c>
      <c r="I1067" s="29" t="n">
        <v>2.5</v>
      </c>
      <c r="J1067" s="9" t="n">
        <v>1</v>
      </c>
      <c r="K1067" s="30"/>
      <c r="L1067" s="30"/>
      <c r="M1067" s="30"/>
      <c r="N1067" s="30"/>
      <c r="O1067" s="30"/>
      <c r="P1067" s="30"/>
      <c r="Q1067" s="30"/>
      <c r="R1067" s="30"/>
      <c r="S1067" s="30"/>
      <c r="T1067" s="30"/>
      <c r="U1067" s="21" t="str">
        <f aca="false">IF(COUNT(K1067:T1067)=0,"SOURCE EMPTY / INDUSTRIAL ONLY",IF(MIN(K1067:T1067)=1,"SERVICE READY","HOLD"))</f>
        <v>SOURCE EMPTY / INDUSTRIAL ONLY</v>
      </c>
      <c r="V1067" s="9" t="n">
        <f aca="false">IF(U1067="SERVICE READY",1,0)</f>
        <v>0</v>
      </c>
      <c r="W1067" s="6"/>
      <c r="X1067" s="6"/>
      <c r="Y1067" s="6"/>
      <c r="Z1067" s="6"/>
    </row>
    <row r="1068" customFormat="false" ht="15" hidden="false" customHeight="false" outlineLevel="0" collapsed="false">
      <c r="A1068" s="9" t="s">
        <v>1296</v>
      </c>
      <c r="B1068" s="9" t="s">
        <v>1288</v>
      </c>
      <c r="C1068" s="9" t="s">
        <v>1289</v>
      </c>
      <c r="D1068" s="9" t="s">
        <v>1215</v>
      </c>
      <c r="E1068" s="9" t="s">
        <v>275</v>
      </c>
      <c r="F1068" s="9" t="s">
        <v>197</v>
      </c>
      <c r="G1068" s="9" t="s">
        <v>201</v>
      </c>
      <c r="H1068" s="9" t="n">
        <v>1050</v>
      </c>
      <c r="I1068" s="29" t="n">
        <v>2.5</v>
      </c>
      <c r="J1068" s="9" t="n">
        <v>1</v>
      </c>
      <c r="K1068" s="30"/>
      <c r="L1068" s="30"/>
      <c r="M1068" s="30"/>
      <c r="N1068" s="30"/>
      <c r="O1068" s="30"/>
      <c r="P1068" s="30"/>
      <c r="Q1068" s="30"/>
      <c r="R1068" s="30"/>
      <c r="S1068" s="30"/>
      <c r="T1068" s="30"/>
      <c r="U1068" s="21" t="str">
        <f aca="false">IF(COUNT(K1068:T1068)=0,"SOURCE EMPTY / INDUSTRIAL ONLY",IF(MIN(K1068:T1068)=1,"SERVICE READY","HOLD"))</f>
        <v>SOURCE EMPTY / INDUSTRIAL ONLY</v>
      </c>
      <c r="V1068" s="9" t="n">
        <f aca="false">IF(U1068="SERVICE READY",1,0)</f>
        <v>0</v>
      </c>
      <c r="W1068" s="6"/>
      <c r="X1068" s="6"/>
      <c r="Y1068" s="6"/>
      <c r="Z1068" s="6"/>
    </row>
    <row r="1069" customFormat="false" ht="15" hidden="false" customHeight="false" outlineLevel="0" collapsed="false">
      <c r="A1069" s="9" t="s">
        <v>1297</v>
      </c>
      <c r="B1069" s="9" t="s">
        <v>1288</v>
      </c>
      <c r="C1069" s="9" t="s">
        <v>1289</v>
      </c>
      <c r="D1069" s="9" t="s">
        <v>1215</v>
      </c>
      <c r="E1069" s="9" t="s">
        <v>275</v>
      </c>
      <c r="F1069" s="9" t="s">
        <v>200</v>
      </c>
      <c r="G1069" s="9" t="s">
        <v>198</v>
      </c>
      <c r="H1069" s="9" t="n">
        <v>1050</v>
      </c>
      <c r="I1069" s="29" t="n">
        <v>2.5</v>
      </c>
      <c r="J1069" s="9" t="n">
        <v>1</v>
      </c>
      <c r="K1069" s="30"/>
      <c r="L1069" s="30"/>
      <c r="M1069" s="30"/>
      <c r="N1069" s="30"/>
      <c r="O1069" s="30"/>
      <c r="P1069" s="30"/>
      <c r="Q1069" s="30"/>
      <c r="R1069" s="30"/>
      <c r="S1069" s="30"/>
      <c r="T1069" s="30"/>
      <c r="U1069" s="21" t="str">
        <f aca="false">IF(COUNT(K1069:T1069)=0,"SOURCE EMPTY / INDUSTRIAL ONLY",IF(MIN(K1069:T1069)=1,"SERVICE READY","HOLD"))</f>
        <v>SOURCE EMPTY / INDUSTRIAL ONLY</v>
      </c>
      <c r="V1069" s="9" t="n">
        <f aca="false">IF(U1069="SERVICE READY",1,0)</f>
        <v>0</v>
      </c>
      <c r="W1069" s="6"/>
      <c r="X1069" s="6"/>
      <c r="Y1069" s="6"/>
      <c r="Z1069" s="6"/>
    </row>
    <row r="1070" customFormat="false" ht="15" hidden="false" customHeight="false" outlineLevel="0" collapsed="false">
      <c r="A1070" s="9" t="s">
        <v>1298</v>
      </c>
      <c r="B1070" s="9" t="s">
        <v>1288</v>
      </c>
      <c r="C1070" s="9" t="s">
        <v>1289</v>
      </c>
      <c r="D1070" s="9" t="s">
        <v>1215</v>
      </c>
      <c r="E1070" s="9" t="s">
        <v>275</v>
      </c>
      <c r="F1070" s="9" t="s">
        <v>203</v>
      </c>
      <c r="G1070" s="9" t="s">
        <v>201</v>
      </c>
      <c r="H1070" s="9" t="n">
        <v>1050</v>
      </c>
      <c r="I1070" s="29" t="n">
        <v>2.5</v>
      </c>
      <c r="J1070" s="9" t="n">
        <v>1</v>
      </c>
      <c r="K1070" s="30"/>
      <c r="L1070" s="30"/>
      <c r="M1070" s="30"/>
      <c r="N1070" s="30"/>
      <c r="O1070" s="30"/>
      <c r="P1070" s="30"/>
      <c r="Q1070" s="30"/>
      <c r="R1070" s="30"/>
      <c r="S1070" s="30"/>
      <c r="T1070" s="30"/>
      <c r="U1070" s="21" t="str">
        <f aca="false">IF(COUNT(K1070:T1070)=0,"SOURCE EMPTY / INDUSTRIAL ONLY",IF(MIN(K1070:T1070)=1,"SERVICE READY","HOLD"))</f>
        <v>SOURCE EMPTY / INDUSTRIAL ONLY</v>
      </c>
      <c r="V1070" s="9" t="n">
        <f aca="false">IF(U1070="SERVICE READY",1,0)</f>
        <v>0</v>
      </c>
      <c r="W1070" s="6"/>
      <c r="X1070" s="6"/>
      <c r="Y1070" s="6"/>
      <c r="Z1070" s="6"/>
    </row>
    <row r="1071" customFormat="false" ht="15" hidden="false" customHeight="false" outlineLevel="0" collapsed="false">
      <c r="A1071" s="9" t="s">
        <v>1299</v>
      </c>
      <c r="B1071" s="9" t="s">
        <v>1288</v>
      </c>
      <c r="C1071" s="9" t="s">
        <v>1289</v>
      </c>
      <c r="D1071" s="9" t="s">
        <v>1215</v>
      </c>
      <c r="E1071" s="9" t="s">
        <v>275</v>
      </c>
      <c r="F1071" s="9" t="s">
        <v>205</v>
      </c>
      <c r="G1071" s="9" t="s">
        <v>198</v>
      </c>
      <c r="H1071" s="9" t="n">
        <v>1050</v>
      </c>
      <c r="I1071" s="29" t="n">
        <v>2.5</v>
      </c>
      <c r="J1071" s="9" t="n">
        <v>1</v>
      </c>
      <c r="K1071" s="30"/>
      <c r="L1071" s="30"/>
      <c r="M1071" s="30"/>
      <c r="N1071" s="30"/>
      <c r="O1071" s="30"/>
      <c r="P1071" s="30"/>
      <c r="Q1071" s="30"/>
      <c r="R1071" s="30"/>
      <c r="S1071" s="30"/>
      <c r="T1071" s="30"/>
      <c r="U1071" s="21" t="str">
        <f aca="false">IF(COUNT(K1071:T1071)=0,"SOURCE EMPTY / INDUSTRIAL ONLY",IF(MIN(K1071:T1071)=1,"SERVICE READY","HOLD"))</f>
        <v>SOURCE EMPTY / INDUSTRIAL ONLY</v>
      </c>
      <c r="V1071" s="9" t="n">
        <f aca="false">IF(U1071="SERVICE READY",1,0)</f>
        <v>0</v>
      </c>
      <c r="W1071" s="6"/>
      <c r="X1071" s="6"/>
      <c r="Y1071" s="6"/>
      <c r="Z1071" s="6"/>
    </row>
    <row r="1072" customFormat="false" ht="15" hidden="false" customHeight="false" outlineLevel="0" collapsed="false">
      <c r="A1072" s="9" t="s">
        <v>1300</v>
      </c>
      <c r="B1072" s="9" t="s">
        <v>1288</v>
      </c>
      <c r="C1072" s="9" t="s">
        <v>1289</v>
      </c>
      <c r="D1072" s="9" t="s">
        <v>1215</v>
      </c>
      <c r="E1072" s="9" t="s">
        <v>275</v>
      </c>
      <c r="F1072" s="9" t="s">
        <v>207</v>
      </c>
      <c r="G1072" s="9" t="s">
        <v>201</v>
      </c>
      <c r="H1072" s="9" t="n">
        <v>1050</v>
      </c>
      <c r="I1072" s="29" t="n">
        <v>2.5</v>
      </c>
      <c r="J1072" s="9" t="n">
        <v>1</v>
      </c>
      <c r="K1072" s="30"/>
      <c r="L1072" s="30"/>
      <c r="M1072" s="30"/>
      <c r="N1072" s="30"/>
      <c r="O1072" s="30"/>
      <c r="P1072" s="30"/>
      <c r="Q1072" s="30"/>
      <c r="R1072" s="30"/>
      <c r="S1072" s="30"/>
      <c r="T1072" s="30"/>
      <c r="U1072" s="21" t="str">
        <f aca="false">IF(COUNT(K1072:T1072)=0,"SOURCE EMPTY / INDUSTRIAL ONLY",IF(MIN(K1072:T1072)=1,"SERVICE READY","HOLD"))</f>
        <v>SOURCE EMPTY / INDUSTRIAL ONLY</v>
      </c>
      <c r="V1072" s="9" t="n">
        <f aca="false">IF(U1072="SERVICE READY",1,0)</f>
        <v>0</v>
      </c>
      <c r="W1072" s="6"/>
      <c r="X1072" s="6"/>
      <c r="Y1072" s="6"/>
      <c r="Z1072" s="6"/>
    </row>
    <row r="1073" customFormat="false" ht="15" hidden="false" customHeight="false" outlineLevel="0" collapsed="false">
      <c r="A1073" s="9" t="s">
        <v>1301</v>
      </c>
      <c r="B1073" s="9" t="s">
        <v>1288</v>
      </c>
      <c r="C1073" s="9" t="s">
        <v>1289</v>
      </c>
      <c r="D1073" s="9" t="s">
        <v>1215</v>
      </c>
      <c r="E1073" s="9" t="s">
        <v>275</v>
      </c>
      <c r="F1073" s="9" t="s">
        <v>209</v>
      </c>
      <c r="G1073" s="9" t="s">
        <v>198</v>
      </c>
      <c r="H1073" s="9" t="n">
        <v>1050</v>
      </c>
      <c r="I1073" s="29" t="n">
        <v>2.5</v>
      </c>
      <c r="J1073" s="9" t="n">
        <v>1</v>
      </c>
      <c r="K1073" s="30"/>
      <c r="L1073" s="30"/>
      <c r="M1073" s="30"/>
      <c r="N1073" s="30"/>
      <c r="O1073" s="30"/>
      <c r="P1073" s="30"/>
      <c r="Q1073" s="30"/>
      <c r="R1073" s="30"/>
      <c r="S1073" s="30"/>
      <c r="T1073" s="30"/>
      <c r="U1073" s="21" t="str">
        <f aca="false">IF(COUNT(K1073:T1073)=0,"SOURCE EMPTY / INDUSTRIAL ONLY",IF(MIN(K1073:T1073)=1,"SERVICE READY","HOLD"))</f>
        <v>SOURCE EMPTY / INDUSTRIAL ONLY</v>
      </c>
      <c r="V1073" s="9" t="n">
        <f aca="false">IF(U1073="SERVICE READY",1,0)</f>
        <v>0</v>
      </c>
      <c r="W1073" s="6"/>
      <c r="X1073" s="6"/>
      <c r="Y1073" s="6"/>
      <c r="Z1073" s="6"/>
    </row>
    <row r="1074" customFormat="false" ht="15" hidden="false" customHeight="false" outlineLevel="0" collapsed="false">
      <c r="A1074" s="9" t="s">
        <v>1302</v>
      </c>
      <c r="B1074" s="9" t="s">
        <v>1288</v>
      </c>
      <c r="C1074" s="9" t="s">
        <v>1289</v>
      </c>
      <c r="D1074" s="9" t="s">
        <v>1215</v>
      </c>
      <c r="E1074" s="9" t="s">
        <v>275</v>
      </c>
      <c r="F1074" s="9" t="s">
        <v>211</v>
      </c>
      <c r="G1074" s="9" t="s">
        <v>201</v>
      </c>
      <c r="H1074" s="9" t="n">
        <v>1050</v>
      </c>
      <c r="I1074" s="29" t="n">
        <v>2.5</v>
      </c>
      <c r="J1074" s="9" t="n">
        <v>1</v>
      </c>
      <c r="K1074" s="30"/>
      <c r="L1074" s="30"/>
      <c r="M1074" s="30"/>
      <c r="N1074" s="30"/>
      <c r="O1074" s="30"/>
      <c r="P1074" s="30"/>
      <c r="Q1074" s="30"/>
      <c r="R1074" s="30"/>
      <c r="S1074" s="30"/>
      <c r="T1074" s="30"/>
      <c r="U1074" s="21" t="str">
        <f aca="false">IF(COUNT(K1074:T1074)=0,"SOURCE EMPTY / INDUSTRIAL ONLY",IF(MIN(K1074:T1074)=1,"SERVICE READY","HOLD"))</f>
        <v>SOURCE EMPTY / INDUSTRIAL ONLY</v>
      </c>
      <c r="V1074" s="9" t="n">
        <f aca="false">IF(U1074="SERVICE READY",1,0)</f>
        <v>0</v>
      </c>
      <c r="W1074" s="6"/>
      <c r="X1074" s="6"/>
      <c r="Y1074" s="6"/>
      <c r="Z1074" s="6"/>
    </row>
    <row r="1075" customFormat="false" ht="15" hidden="false" customHeight="false" outlineLevel="0" collapsed="false">
      <c r="A1075" s="9" t="s">
        <v>1303</v>
      </c>
      <c r="B1075" s="9" t="s">
        <v>1288</v>
      </c>
      <c r="C1075" s="9" t="s">
        <v>1289</v>
      </c>
      <c r="D1075" s="9" t="s">
        <v>1215</v>
      </c>
      <c r="E1075" s="9" t="s">
        <v>275</v>
      </c>
      <c r="F1075" s="9" t="s">
        <v>197</v>
      </c>
      <c r="G1075" s="9" t="s">
        <v>198</v>
      </c>
      <c r="H1075" s="9" t="n">
        <v>1050</v>
      </c>
      <c r="I1075" s="29" t="n">
        <v>2.5</v>
      </c>
      <c r="J1075" s="9" t="n">
        <v>1</v>
      </c>
      <c r="K1075" s="30"/>
      <c r="L1075" s="30"/>
      <c r="M1075" s="30"/>
      <c r="N1075" s="30"/>
      <c r="O1075" s="30"/>
      <c r="P1075" s="30"/>
      <c r="Q1075" s="30"/>
      <c r="R1075" s="30"/>
      <c r="S1075" s="30"/>
      <c r="T1075" s="30"/>
      <c r="U1075" s="21" t="str">
        <f aca="false">IF(COUNT(K1075:T1075)=0,"SOURCE EMPTY / INDUSTRIAL ONLY",IF(MIN(K1075:T1075)=1,"SERVICE READY","HOLD"))</f>
        <v>SOURCE EMPTY / INDUSTRIAL ONLY</v>
      </c>
      <c r="V1075" s="9" t="n">
        <f aca="false">IF(U1075="SERVICE READY",1,0)</f>
        <v>0</v>
      </c>
      <c r="W1075" s="6"/>
      <c r="X1075" s="6"/>
      <c r="Y1075" s="6"/>
      <c r="Z1075" s="6"/>
    </row>
    <row r="1076" customFormat="false" ht="15" hidden="false" customHeight="false" outlineLevel="0" collapsed="false">
      <c r="A1076" s="9" t="s">
        <v>1304</v>
      </c>
      <c r="B1076" s="9" t="s">
        <v>1288</v>
      </c>
      <c r="C1076" s="9" t="s">
        <v>1289</v>
      </c>
      <c r="D1076" s="9" t="s">
        <v>1215</v>
      </c>
      <c r="E1076" s="9" t="s">
        <v>275</v>
      </c>
      <c r="F1076" s="9" t="s">
        <v>200</v>
      </c>
      <c r="G1076" s="9" t="s">
        <v>201</v>
      </c>
      <c r="H1076" s="9" t="n">
        <v>1050</v>
      </c>
      <c r="I1076" s="29" t="n">
        <v>2.5</v>
      </c>
      <c r="J1076" s="9" t="n">
        <v>1</v>
      </c>
      <c r="K1076" s="30"/>
      <c r="L1076" s="30"/>
      <c r="M1076" s="30"/>
      <c r="N1076" s="30"/>
      <c r="O1076" s="30"/>
      <c r="P1076" s="30"/>
      <c r="Q1076" s="30"/>
      <c r="R1076" s="30"/>
      <c r="S1076" s="30"/>
      <c r="T1076" s="30"/>
      <c r="U1076" s="21" t="str">
        <f aca="false">IF(COUNT(K1076:T1076)=0,"SOURCE EMPTY / INDUSTRIAL ONLY",IF(MIN(K1076:T1076)=1,"SERVICE READY","HOLD"))</f>
        <v>SOURCE EMPTY / INDUSTRIAL ONLY</v>
      </c>
      <c r="V1076" s="9" t="n">
        <f aca="false">IF(U1076="SERVICE READY",1,0)</f>
        <v>0</v>
      </c>
      <c r="W1076" s="6"/>
      <c r="X1076" s="6"/>
      <c r="Y1076" s="6"/>
      <c r="Z1076" s="6"/>
    </row>
    <row r="1077" customFormat="false" ht="15" hidden="false" customHeight="false" outlineLevel="0" collapsed="false">
      <c r="A1077" s="9" t="s">
        <v>1305</v>
      </c>
      <c r="B1077" s="9" t="s">
        <v>1288</v>
      </c>
      <c r="C1077" s="9" t="s">
        <v>1289</v>
      </c>
      <c r="D1077" s="9" t="s">
        <v>1215</v>
      </c>
      <c r="E1077" s="9" t="s">
        <v>275</v>
      </c>
      <c r="F1077" s="9" t="s">
        <v>203</v>
      </c>
      <c r="G1077" s="9" t="s">
        <v>198</v>
      </c>
      <c r="H1077" s="9" t="n">
        <v>1050</v>
      </c>
      <c r="I1077" s="29" t="n">
        <v>2.5</v>
      </c>
      <c r="J1077" s="9" t="n">
        <v>1</v>
      </c>
      <c r="K1077" s="30"/>
      <c r="L1077" s="30"/>
      <c r="M1077" s="30"/>
      <c r="N1077" s="30"/>
      <c r="O1077" s="30"/>
      <c r="P1077" s="30"/>
      <c r="Q1077" s="30"/>
      <c r="R1077" s="30"/>
      <c r="S1077" s="30"/>
      <c r="T1077" s="30"/>
      <c r="U1077" s="21" t="str">
        <f aca="false">IF(COUNT(K1077:T1077)=0,"SOURCE EMPTY / INDUSTRIAL ONLY",IF(MIN(K1077:T1077)=1,"SERVICE READY","HOLD"))</f>
        <v>SOURCE EMPTY / INDUSTRIAL ONLY</v>
      </c>
      <c r="V1077" s="9" t="n">
        <f aca="false">IF(U1077="SERVICE READY",1,0)</f>
        <v>0</v>
      </c>
      <c r="W1077" s="6"/>
      <c r="X1077" s="6"/>
      <c r="Y1077" s="6"/>
      <c r="Z1077" s="6"/>
    </row>
    <row r="1078" customFormat="false" ht="15" hidden="false" customHeight="false" outlineLevel="0" collapsed="false">
      <c r="A1078" s="9" t="s">
        <v>1306</v>
      </c>
      <c r="B1078" s="9" t="s">
        <v>1288</v>
      </c>
      <c r="C1078" s="9" t="s">
        <v>1289</v>
      </c>
      <c r="D1078" s="9" t="s">
        <v>1215</v>
      </c>
      <c r="E1078" s="9" t="s">
        <v>275</v>
      </c>
      <c r="F1078" s="9" t="s">
        <v>205</v>
      </c>
      <c r="G1078" s="9" t="s">
        <v>201</v>
      </c>
      <c r="H1078" s="9" t="n">
        <v>1050</v>
      </c>
      <c r="I1078" s="29" t="n">
        <v>2.5</v>
      </c>
      <c r="J1078" s="9" t="n">
        <v>1</v>
      </c>
      <c r="K1078" s="30"/>
      <c r="L1078" s="30"/>
      <c r="M1078" s="30"/>
      <c r="N1078" s="30"/>
      <c r="O1078" s="30"/>
      <c r="P1078" s="30"/>
      <c r="Q1078" s="30"/>
      <c r="R1078" s="30"/>
      <c r="S1078" s="30"/>
      <c r="T1078" s="30"/>
      <c r="U1078" s="21" t="str">
        <f aca="false">IF(COUNT(K1078:T1078)=0,"SOURCE EMPTY / INDUSTRIAL ONLY",IF(MIN(K1078:T1078)=1,"SERVICE READY","HOLD"))</f>
        <v>SOURCE EMPTY / INDUSTRIAL ONLY</v>
      </c>
      <c r="V1078" s="9" t="n">
        <f aca="false">IF(U1078="SERVICE READY",1,0)</f>
        <v>0</v>
      </c>
      <c r="W1078" s="6"/>
      <c r="X1078" s="6"/>
      <c r="Y1078" s="6"/>
      <c r="Z1078" s="6"/>
    </row>
    <row r="1079" customFormat="false" ht="15" hidden="false" customHeight="false" outlineLevel="0" collapsed="false">
      <c r="A1079" s="9" t="s">
        <v>1307</v>
      </c>
      <c r="B1079" s="9" t="s">
        <v>1288</v>
      </c>
      <c r="C1079" s="9" t="s">
        <v>1289</v>
      </c>
      <c r="D1079" s="9" t="s">
        <v>1215</v>
      </c>
      <c r="E1079" s="9" t="s">
        <v>275</v>
      </c>
      <c r="F1079" s="9" t="s">
        <v>207</v>
      </c>
      <c r="G1079" s="9" t="s">
        <v>198</v>
      </c>
      <c r="H1079" s="9" t="n">
        <v>1050</v>
      </c>
      <c r="I1079" s="29" t="n">
        <v>2.5</v>
      </c>
      <c r="J1079" s="9" t="n">
        <v>1</v>
      </c>
      <c r="K1079" s="30"/>
      <c r="L1079" s="30"/>
      <c r="M1079" s="30"/>
      <c r="N1079" s="30"/>
      <c r="O1079" s="30"/>
      <c r="P1079" s="30"/>
      <c r="Q1079" s="30"/>
      <c r="R1079" s="30"/>
      <c r="S1079" s="30"/>
      <c r="T1079" s="30"/>
      <c r="U1079" s="21" t="str">
        <f aca="false">IF(COUNT(K1079:T1079)=0,"SOURCE EMPTY / INDUSTRIAL ONLY",IF(MIN(K1079:T1079)=1,"SERVICE READY","HOLD"))</f>
        <v>SOURCE EMPTY / INDUSTRIAL ONLY</v>
      </c>
      <c r="V1079" s="9" t="n">
        <f aca="false">IF(U1079="SERVICE READY",1,0)</f>
        <v>0</v>
      </c>
      <c r="W1079" s="6"/>
      <c r="X1079" s="6"/>
      <c r="Y1079" s="6"/>
      <c r="Z1079" s="6"/>
    </row>
    <row r="1080" customFormat="false" ht="15" hidden="false" customHeight="false" outlineLevel="0" collapsed="false">
      <c r="A1080" s="9" t="s">
        <v>1308</v>
      </c>
      <c r="B1080" s="9" t="s">
        <v>1288</v>
      </c>
      <c r="C1080" s="9" t="s">
        <v>1289</v>
      </c>
      <c r="D1080" s="9" t="s">
        <v>1215</v>
      </c>
      <c r="E1080" s="9" t="s">
        <v>275</v>
      </c>
      <c r="F1080" s="9" t="s">
        <v>209</v>
      </c>
      <c r="G1080" s="9" t="s">
        <v>221</v>
      </c>
      <c r="H1080" s="9" t="n">
        <v>1050</v>
      </c>
      <c r="I1080" s="29" t="n">
        <v>2.5</v>
      </c>
      <c r="J1080" s="9" t="n">
        <v>1</v>
      </c>
      <c r="K1080" s="30"/>
      <c r="L1080" s="30"/>
      <c r="M1080" s="30"/>
      <c r="N1080" s="30"/>
      <c r="O1080" s="30"/>
      <c r="P1080" s="30"/>
      <c r="Q1080" s="30"/>
      <c r="R1080" s="30"/>
      <c r="S1080" s="30"/>
      <c r="T1080" s="30"/>
      <c r="U1080" s="21" t="str">
        <f aca="false">IF(COUNT(K1080:T1080)=0,"SOURCE EMPTY / INDUSTRIAL ONLY",IF(MIN(K1080:T1080)=1,"SERVICE READY","HOLD"))</f>
        <v>SOURCE EMPTY / INDUSTRIAL ONLY</v>
      </c>
      <c r="V1080" s="9" t="n">
        <f aca="false">IF(U1080="SERVICE READY",1,0)</f>
        <v>0</v>
      </c>
      <c r="W1080" s="6"/>
      <c r="X1080" s="6"/>
      <c r="Y1080" s="6"/>
      <c r="Z1080" s="6"/>
    </row>
    <row r="1081" customFormat="false" ht="15" hidden="false" customHeight="false" outlineLevel="0" collapsed="false">
      <c r="A1081" s="9" t="s">
        <v>1309</v>
      </c>
      <c r="B1081" s="9" t="s">
        <v>1288</v>
      </c>
      <c r="C1081" s="9" t="s">
        <v>1289</v>
      </c>
      <c r="D1081" s="9" t="s">
        <v>1215</v>
      </c>
      <c r="E1081" s="9" t="s">
        <v>275</v>
      </c>
      <c r="F1081" s="9" t="s">
        <v>211</v>
      </c>
      <c r="G1081" s="9" t="s">
        <v>221</v>
      </c>
      <c r="H1081" s="9" t="n">
        <v>1050</v>
      </c>
      <c r="I1081" s="29" t="n">
        <v>2.5</v>
      </c>
      <c r="J1081" s="9" t="n">
        <v>1</v>
      </c>
      <c r="K1081" s="30"/>
      <c r="L1081" s="30"/>
      <c r="M1081" s="30"/>
      <c r="N1081" s="30"/>
      <c r="O1081" s="30"/>
      <c r="P1081" s="30"/>
      <c r="Q1081" s="30"/>
      <c r="R1081" s="30"/>
      <c r="S1081" s="30"/>
      <c r="T1081" s="30"/>
      <c r="U1081" s="21" t="str">
        <f aca="false">IF(COUNT(K1081:T1081)=0,"SOURCE EMPTY / INDUSTRIAL ONLY",IF(MIN(K1081:T1081)=1,"SERVICE READY","HOLD"))</f>
        <v>SOURCE EMPTY / INDUSTRIAL ONLY</v>
      </c>
      <c r="V1081" s="9" t="n">
        <f aca="false">IF(U1081="SERVICE READY",1,0)</f>
        <v>0</v>
      </c>
      <c r="W1081" s="6"/>
      <c r="X1081" s="6"/>
      <c r="Y1081" s="6"/>
      <c r="Z1081" s="6"/>
    </row>
    <row r="1082" customFormat="false" ht="15" hidden="false" customHeight="false" outlineLevel="0" collapsed="false">
      <c r="A1082" s="9" t="s">
        <v>1310</v>
      </c>
      <c r="B1082" s="9" t="s">
        <v>1288</v>
      </c>
      <c r="C1082" s="9" t="s">
        <v>1289</v>
      </c>
      <c r="D1082" s="9" t="s">
        <v>1215</v>
      </c>
      <c r="E1082" s="9" t="s">
        <v>275</v>
      </c>
      <c r="F1082" s="9" t="s">
        <v>197</v>
      </c>
      <c r="G1082" s="9" t="s">
        <v>221</v>
      </c>
      <c r="H1082" s="9" t="n">
        <v>1050</v>
      </c>
      <c r="I1082" s="29" t="n">
        <v>2.5</v>
      </c>
      <c r="J1082" s="9" t="n">
        <v>1</v>
      </c>
      <c r="K1082" s="30"/>
      <c r="L1082" s="30"/>
      <c r="M1082" s="30"/>
      <c r="N1082" s="30"/>
      <c r="O1082" s="30"/>
      <c r="P1082" s="30"/>
      <c r="Q1082" s="30"/>
      <c r="R1082" s="30"/>
      <c r="S1082" s="30"/>
      <c r="T1082" s="30"/>
      <c r="U1082" s="21" t="str">
        <f aca="false">IF(COUNT(K1082:T1082)=0,"SOURCE EMPTY / INDUSTRIAL ONLY",IF(MIN(K1082:T1082)=1,"SERVICE READY","HOLD"))</f>
        <v>SOURCE EMPTY / INDUSTRIAL ONLY</v>
      </c>
      <c r="V1082" s="9" t="n">
        <f aca="false">IF(U1082="SERVICE READY",1,0)</f>
        <v>0</v>
      </c>
      <c r="W1082" s="6"/>
      <c r="X1082" s="6"/>
      <c r="Y1082" s="6"/>
      <c r="Z1082" s="6"/>
    </row>
    <row r="1083" customFormat="false" ht="15" hidden="false" customHeight="false" outlineLevel="0" collapsed="false">
      <c r="A1083" s="9" t="s">
        <v>1311</v>
      </c>
      <c r="B1083" s="9" t="s">
        <v>1288</v>
      </c>
      <c r="C1083" s="9" t="s">
        <v>1289</v>
      </c>
      <c r="D1083" s="9" t="s">
        <v>1215</v>
      </c>
      <c r="E1083" s="9" t="s">
        <v>275</v>
      </c>
      <c r="F1083" s="9" t="s">
        <v>200</v>
      </c>
      <c r="G1083" s="9" t="s">
        <v>221</v>
      </c>
      <c r="H1083" s="9" t="n">
        <v>1050</v>
      </c>
      <c r="I1083" s="29" t="n">
        <v>2.5</v>
      </c>
      <c r="J1083" s="9" t="n">
        <v>1</v>
      </c>
      <c r="K1083" s="30"/>
      <c r="L1083" s="30"/>
      <c r="M1083" s="30"/>
      <c r="N1083" s="30"/>
      <c r="O1083" s="30"/>
      <c r="P1083" s="30"/>
      <c r="Q1083" s="30"/>
      <c r="R1083" s="30"/>
      <c r="S1083" s="30"/>
      <c r="T1083" s="30"/>
      <c r="U1083" s="21" t="str">
        <f aca="false">IF(COUNT(K1083:T1083)=0,"SOURCE EMPTY / INDUSTRIAL ONLY",IF(MIN(K1083:T1083)=1,"SERVICE READY","HOLD"))</f>
        <v>SOURCE EMPTY / INDUSTRIAL ONLY</v>
      </c>
      <c r="V1083" s="9" t="n">
        <f aca="false">IF(U1083="SERVICE READY",1,0)</f>
        <v>0</v>
      </c>
      <c r="W1083" s="6"/>
      <c r="X1083" s="6"/>
      <c r="Y1083" s="6"/>
      <c r="Z1083" s="6"/>
    </row>
    <row r="1084" customFormat="false" ht="15" hidden="false" customHeight="false" outlineLevel="0" collapsed="false">
      <c r="A1084" s="9" t="s">
        <v>1312</v>
      </c>
      <c r="B1084" s="9" t="s">
        <v>1288</v>
      </c>
      <c r="C1084" s="9" t="s">
        <v>1289</v>
      </c>
      <c r="D1084" s="9" t="s">
        <v>1215</v>
      </c>
      <c r="E1084" s="9" t="s">
        <v>275</v>
      </c>
      <c r="F1084" s="9" t="s">
        <v>203</v>
      </c>
      <c r="G1084" s="9" t="s">
        <v>221</v>
      </c>
      <c r="H1084" s="9" t="n">
        <v>1050</v>
      </c>
      <c r="I1084" s="29" t="n">
        <v>2.5</v>
      </c>
      <c r="J1084" s="9" t="n">
        <v>1</v>
      </c>
      <c r="K1084" s="30"/>
      <c r="L1084" s="30"/>
      <c r="M1084" s="30"/>
      <c r="N1084" s="30"/>
      <c r="O1084" s="30"/>
      <c r="P1084" s="30"/>
      <c r="Q1084" s="30"/>
      <c r="R1084" s="30"/>
      <c r="S1084" s="30"/>
      <c r="T1084" s="30"/>
      <c r="U1084" s="21" t="str">
        <f aca="false">IF(COUNT(K1084:T1084)=0,"SOURCE EMPTY / INDUSTRIAL ONLY",IF(MIN(K1084:T1084)=1,"SERVICE READY","HOLD"))</f>
        <v>SOURCE EMPTY / INDUSTRIAL ONLY</v>
      </c>
      <c r="V1084" s="9" t="n">
        <f aca="false">IF(U1084="SERVICE READY",1,0)</f>
        <v>0</v>
      </c>
      <c r="W1084" s="6"/>
      <c r="X1084" s="6"/>
      <c r="Y1084" s="6"/>
      <c r="Z1084" s="6"/>
    </row>
    <row r="1085" customFormat="false" ht="15" hidden="false" customHeight="false" outlineLevel="0" collapsed="false">
      <c r="A1085" s="9" t="s">
        <v>1313</v>
      </c>
      <c r="B1085" s="9" t="s">
        <v>1288</v>
      </c>
      <c r="C1085" s="9" t="s">
        <v>1289</v>
      </c>
      <c r="D1085" s="9" t="s">
        <v>1215</v>
      </c>
      <c r="E1085" s="9" t="s">
        <v>275</v>
      </c>
      <c r="F1085" s="9" t="s">
        <v>205</v>
      </c>
      <c r="G1085" s="9" t="s">
        <v>221</v>
      </c>
      <c r="H1085" s="9" t="n">
        <v>1050</v>
      </c>
      <c r="I1085" s="29" t="n">
        <v>2.5</v>
      </c>
      <c r="J1085" s="9" t="n">
        <v>1</v>
      </c>
      <c r="K1085" s="30"/>
      <c r="L1085" s="30"/>
      <c r="M1085" s="30"/>
      <c r="N1085" s="30"/>
      <c r="O1085" s="30"/>
      <c r="P1085" s="30"/>
      <c r="Q1085" s="30"/>
      <c r="R1085" s="30"/>
      <c r="S1085" s="30"/>
      <c r="T1085" s="30"/>
      <c r="U1085" s="21" t="str">
        <f aca="false">IF(COUNT(K1085:T1085)=0,"SOURCE EMPTY / INDUSTRIAL ONLY",IF(MIN(K1085:T1085)=1,"SERVICE READY","HOLD"))</f>
        <v>SOURCE EMPTY / INDUSTRIAL ONLY</v>
      </c>
      <c r="V1085" s="9" t="n">
        <f aca="false">IF(U1085="SERVICE READY",1,0)</f>
        <v>0</v>
      </c>
      <c r="W1085" s="6"/>
      <c r="X1085" s="6"/>
      <c r="Y1085" s="6"/>
      <c r="Z1085" s="6"/>
    </row>
    <row r="1086" customFormat="false" ht="15" hidden="false" customHeight="false" outlineLevel="0" collapsed="false">
      <c r="A1086" s="9" t="s">
        <v>1314</v>
      </c>
      <c r="B1086" s="9" t="s">
        <v>1288</v>
      </c>
      <c r="C1086" s="9" t="s">
        <v>1289</v>
      </c>
      <c r="D1086" s="9" t="s">
        <v>1215</v>
      </c>
      <c r="E1086" s="9" t="s">
        <v>275</v>
      </c>
      <c r="F1086" s="9" t="s">
        <v>207</v>
      </c>
      <c r="G1086" s="9" t="s">
        <v>221</v>
      </c>
      <c r="H1086" s="9" t="n">
        <v>1050</v>
      </c>
      <c r="I1086" s="29" t="n">
        <v>2.5</v>
      </c>
      <c r="J1086" s="9" t="n">
        <v>1</v>
      </c>
      <c r="K1086" s="30"/>
      <c r="L1086" s="30"/>
      <c r="M1086" s="30"/>
      <c r="N1086" s="30"/>
      <c r="O1086" s="30"/>
      <c r="P1086" s="30"/>
      <c r="Q1086" s="30"/>
      <c r="R1086" s="30"/>
      <c r="S1086" s="30"/>
      <c r="T1086" s="30"/>
      <c r="U1086" s="21" t="str">
        <f aca="false">IF(COUNT(K1086:T1086)=0,"SOURCE EMPTY / INDUSTRIAL ONLY",IF(MIN(K1086:T1086)=1,"SERVICE READY","HOLD"))</f>
        <v>SOURCE EMPTY / INDUSTRIAL ONLY</v>
      </c>
      <c r="V1086" s="9" t="n">
        <f aca="false">IF(U1086="SERVICE READY",1,0)</f>
        <v>0</v>
      </c>
      <c r="W1086" s="6"/>
      <c r="X1086" s="6"/>
      <c r="Y1086" s="6"/>
      <c r="Z1086" s="6"/>
    </row>
    <row r="1087" customFormat="false" ht="15" hidden="false" customHeight="false" outlineLevel="0" collapsed="false">
      <c r="A1087" s="9" t="s">
        <v>1315</v>
      </c>
      <c r="B1087" s="9" t="s">
        <v>1288</v>
      </c>
      <c r="C1087" s="9" t="s">
        <v>1289</v>
      </c>
      <c r="D1087" s="9" t="s">
        <v>1215</v>
      </c>
      <c r="E1087" s="9" t="s">
        <v>275</v>
      </c>
      <c r="F1087" s="9" t="s">
        <v>209</v>
      </c>
      <c r="G1087" s="9" t="s">
        <v>221</v>
      </c>
      <c r="H1087" s="9" t="n">
        <v>1050</v>
      </c>
      <c r="I1087" s="29" t="n">
        <v>2.5</v>
      </c>
      <c r="J1087" s="9" t="n">
        <v>1</v>
      </c>
      <c r="K1087" s="30"/>
      <c r="L1087" s="30"/>
      <c r="M1087" s="30"/>
      <c r="N1087" s="30"/>
      <c r="O1087" s="30"/>
      <c r="P1087" s="30"/>
      <c r="Q1087" s="30"/>
      <c r="R1087" s="30"/>
      <c r="S1087" s="30"/>
      <c r="T1087" s="30"/>
      <c r="U1087" s="21" t="str">
        <f aca="false">IF(COUNT(K1087:T1087)=0,"SOURCE EMPTY / INDUSTRIAL ONLY",IF(MIN(K1087:T1087)=1,"SERVICE READY","HOLD"))</f>
        <v>SOURCE EMPTY / INDUSTRIAL ONLY</v>
      </c>
      <c r="V1087" s="9" t="n">
        <f aca="false">IF(U1087="SERVICE READY",1,0)</f>
        <v>0</v>
      </c>
      <c r="W1087" s="6"/>
      <c r="X1087" s="6"/>
      <c r="Y1087" s="6"/>
      <c r="Z1087" s="6"/>
    </row>
    <row r="1088" customFormat="false" ht="15" hidden="false" customHeight="false" outlineLevel="0" collapsed="false">
      <c r="A1088" s="9" t="s">
        <v>1316</v>
      </c>
      <c r="B1088" s="9" t="s">
        <v>1288</v>
      </c>
      <c r="C1088" s="9" t="s">
        <v>1289</v>
      </c>
      <c r="D1088" s="9" t="s">
        <v>1215</v>
      </c>
      <c r="E1088" s="9" t="s">
        <v>275</v>
      </c>
      <c r="F1088" s="9" t="s">
        <v>211</v>
      </c>
      <c r="G1088" s="9" t="s">
        <v>221</v>
      </c>
      <c r="H1088" s="9" t="n">
        <v>1050</v>
      </c>
      <c r="I1088" s="29" t="n">
        <v>2.5</v>
      </c>
      <c r="J1088" s="9" t="n">
        <v>1</v>
      </c>
      <c r="K1088" s="30"/>
      <c r="L1088" s="30"/>
      <c r="M1088" s="30"/>
      <c r="N1088" s="30"/>
      <c r="O1088" s="30"/>
      <c r="P1088" s="30"/>
      <c r="Q1088" s="30"/>
      <c r="R1088" s="30"/>
      <c r="S1088" s="30"/>
      <c r="T1088" s="30"/>
      <c r="U1088" s="21" t="str">
        <f aca="false">IF(COUNT(K1088:T1088)=0,"SOURCE EMPTY / INDUSTRIAL ONLY",IF(MIN(K1088:T1088)=1,"SERVICE READY","HOLD"))</f>
        <v>SOURCE EMPTY / INDUSTRIAL ONLY</v>
      </c>
      <c r="V1088" s="9" t="n">
        <f aca="false">IF(U1088="SERVICE READY",1,0)</f>
        <v>0</v>
      </c>
      <c r="W1088" s="6"/>
      <c r="X1088" s="6"/>
      <c r="Y1088" s="6"/>
      <c r="Z1088" s="6"/>
    </row>
    <row r="1089" customFormat="false" ht="15" hidden="false" customHeight="false" outlineLevel="0" collapsed="false">
      <c r="A1089" s="9" t="s">
        <v>1317</v>
      </c>
      <c r="B1089" s="9" t="s">
        <v>1288</v>
      </c>
      <c r="C1089" s="9" t="s">
        <v>1289</v>
      </c>
      <c r="D1089" s="9" t="s">
        <v>1215</v>
      </c>
      <c r="E1089" s="9" t="s">
        <v>275</v>
      </c>
      <c r="F1089" s="9" t="s">
        <v>197</v>
      </c>
      <c r="G1089" s="9" t="s">
        <v>221</v>
      </c>
      <c r="H1089" s="9" t="n">
        <v>1050</v>
      </c>
      <c r="I1089" s="29" t="n">
        <v>2.5</v>
      </c>
      <c r="J1089" s="9" t="n">
        <v>1</v>
      </c>
      <c r="K1089" s="30"/>
      <c r="L1089" s="30"/>
      <c r="M1089" s="30"/>
      <c r="N1089" s="30"/>
      <c r="O1089" s="30"/>
      <c r="P1089" s="30"/>
      <c r="Q1089" s="30"/>
      <c r="R1089" s="30"/>
      <c r="S1089" s="30"/>
      <c r="T1089" s="30"/>
      <c r="U1089" s="21" t="str">
        <f aca="false">IF(COUNT(K1089:T1089)=0,"SOURCE EMPTY / INDUSTRIAL ONLY",IF(MIN(K1089:T1089)=1,"SERVICE READY","HOLD"))</f>
        <v>SOURCE EMPTY / INDUSTRIAL ONLY</v>
      </c>
      <c r="V1089" s="9" t="n">
        <f aca="false">IF(U1089="SERVICE READY",1,0)</f>
        <v>0</v>
      </c>
      <c r="W1089" s="6"/>
      <c r="X1089" s="6"/>
      <c r="Y1089" s="6"/>
      <c r="Z1089" s="6"/>
    </row>
    <row r="1090" customFormat="false" ht="15" hidden="false" customHeight="false" outlineLevel="0" collapsed="false">
      <c r="A1090" s="9" t="s">
        <v>1318</v>
      </c>
      <c r="B1090" s="9" t="s">
        <v>1288</v>
      </c>
      <c r="C1090" s="9" t="s">
        <v>1289</v>
      </c>
      <c r="D1090" s="9" t="s">
        <v>1215</v>
      </c>
      <c r="E1090" s="9" t="s">
        <v>275</v>
      </c>
      <c r="F1090" s="9" t="s">
        <v>200</v>
      </c>
      <c r="G1090" s="9" t="s">
        <v>221</v>
      </c>
      <c r="H1090" s="9" t="n">
        <v>1050</v>
      </c>
      <c r="I1090" s="29" t="n">
        <v>2.5</v>
      </c>
      <c r="J1090" s="9" t="n">
        <v>1</v>
      </c>
      <c r="K1090" s="30"/>
      <c r="L1090" s="30"/>
      <c r="M1090" s="30"/>
      <c r="N1090" s="30"/>
      <c r="O1090" s="30"/>
      <c r="P1090" s="30"/>
      <c r="Q1090" s="30"/>
      <c r="R1090" s="30"/>
      <c r="S1090" s="30"/>
      <c r="T1090" s="30"/>
      <c r="U1090" s="21" t="str">
        <f aca="false">IF(COUNT(K1090:T1090)=0,"SOURCE EMPTY / INDUSTRIAL ONLY",IF(MIN(K1090:T1090)=1,"SERVICE READY","HOLD"))</f>
        <v>SOURCE EMPTY / INDUSTRIAL ONLY</v>
      </c>
      <c r="V1090" s="9" t="n">
        <f aca="false">IF(U1090="SERVICE READY",1,0)</f>
        <v>0</v>
      </c>
      <c r="W1090" s="6"/>
      <c r="X1090" s="6"/>
      <c r="Y1090" s="6"/>
      <c r="Z1090" s="6"/>
    </row>
    <row r="1091" customFormat="false" ht="15" hidden="false" customHeight="false" outlineLevel="0" collapsed="false">
      <c r="A1091" s="9" t="s">
        <v>1319</v>
      </c>
      <c r="B1091" s="9" t="s">
        <v>1288</v>
      </c>
      <c r="C1091" s="9" t="s">
        <v>1289</v>
      </c>
      <c r="D1091" s="9" t="s">
        <v>1215</v>
      </c>
      <c r="E1091" s="9" t="s">
        <v>275</v>
      </c>
      <c r="F1091" s="9" t="s">
        <v>203</v>
      </c>
      <c r="G1091" s="9" t="s">
        <v>221</v>
      </c>
      <c r="H1091" s="9" t="n">
        <v>1050</v>
      </c>
      <c r="I1091" s="29" t="n">
        <v>2.5</v>
      </c>
      <c r="J1091" s="9" t="n">
        <v>1</v>
      </c>
      <c r="K1091" s="30"/>
      <c r="L1091" s="30"/>
      <c r="M1091" s="30"/>
      <c r="N1091" s="30"/>
      <c r="O1091" s="30"/>
      <c r="P1091" s="30"/>
      <c r="Q1091" s="30"/>
      <c r="R1091" s="30"/>
      <c r="S1091" s="30"/>
      <c r="T1091" s="30"/>
      <c r="U1091" s="21" t="str">
        <f aca="false">IF(COUNT(K1091:T1091)=0,"SOURCE EMPTY / INDUSTRIAL ONLY",IF(MIN(K1091:T1091)=1,"SERVICE READY","HOLD"))</f>
        <v>SOURCE EMPTY / INDUSTRIAL ONLY</v>
      </c>
      <c r="V1091" s="9" t="n">
        <f aca="false">IF(U1091="SERVICE READY",1,0)</f>
        <v>0</v>
      </c>
      <c r="W1091" s="6"/>
      <c r="X1091" s="6"/>
      <c r="Y1091" s="6"/>
      <c r="Z1091" s="6"/>
    </row>
    <row r="1092" customFormat="false" ht="15" hidden="false" customHeight="false" outlineLevel="0" collapsed="false">
      <c r="A1092" s="9" t="s">
        <v>1320</v>
      </c>
      <c r="B1092" s="9" t="s">
        <v>1288</v>
      </c>
      <c r="C1092" s="9" t="s">
        <v>1289</v>
      </c>
      <c r="D1092" s="9" t="s">
        <v>1215</v>
      </c>
      <c r="E1092" s="9" t="s">
        <v>275</v>
      </c>
      <c r="F1092" s="9" t="s">
        <v>205</v>
      </c>
      <c r="G1092" s="9" t="s">
        <v>221</v>
      </c>
      <c r="H1092" s="9" t="n">
        <v>1050</v>
      </c>
      <c r="I1092" s="29" t="n">
        <v>2.5</v>
      </c>
      <c r="J1092" s="9" t="n">
        <v>1</v>
      </c>
      <c r="K1092" s="30"/>
      <c r="L1092" s="30"/>
      <c r="M1092" s="30"/>
      <c r="N1092" s="30"/>
      <c r="O1092" s="30"/>
      <c r="P1092" s="30"/>
      <c r="Q1092" s="30"/>
      <c r="R1092" s="30"/>
      <c r="S1092" s="30"/>
      <c r="T1092" s="30"/>
      <c r="U1092" s="21" t="str">
        <f aca="false">IF(COUNT(K1092:T1092)=0,"SOURCE EMPTY / INDUSTRIAL ONLY",IF(MIN(K1092:T1092)=1,"SERVICE READY","HOLD"))</f>
        <v>SOURCE EMPTY / INDUSTRIAL ONLY</v>
      </c>
      <c r="V1092" s="9" t="n">
        <f aca="false">IF(U1092="SERVICE READY",1,0)</f>
        <v>0</v>
      </c>
      <c r="W1092" s="6"/>
      <c r="X1092" s="6"/>
      <c r="Y1092" s="6"/>
      <c r="Z1092" s="6"/>
    </row>
    <row r="1093" customFormat="false" ht="15" hidden="false" customHeight="false" outlineLevel="0" collapsed="false">
      <c r="A1093" s="9" t="s">
        <v>1321</v>
      </c>
      <c r="B1093" s="9" t="s">
        <v>1288</v>
      </c>
      <c r="C1093" s="9" t="s">
        <v>1289</v>
      </c>
      <c r="D1093" s="9" t="s">
        <v>1215</v>
      </c>
      <c r="E1093" s="9" t="s">
        <v>275</v>
      </c>
      <c r="F1093" s="9" t="s">
        <v>207</v>
      </c>
      <c r="G1093" s="9" t="s">
        <v>221</v>
      </c>
      <c r="H1093" s="9" t="n">
        <v>1050</v>
      </c>
      <c r="I1093" s="29" t="n">
        <v>2.5</v>
      </c>
      <c r="J1093" s="9" t="n">
        <v>1</v>
      </c>
      <c r="K1093" s="30"/>
      <c r="L1093" s="30"/>
      <c r="M1093" s="30"/>
      <c r="N1093" s="30"/>
      <c r="O1093" s="30"/>
      <c r="P1093" s="30"/>
      <c r="Q1093" s="30"/>
      <c r="R1093" s="30"/>
      <c r="S1093" s="30"/>
      <c r="T1093" s="30"/>
      <c r="U1093" s="21" t="str">
        <f aca="false">IF(COUNT(K1093:T1093)=0,"SOURCE EMPTY / INDUSTRIAL ONLY",IF(MIN(K1093:T1093)=1,"SERVICE READY","HOLD"))</f>
        <v>SOURCE EMPTY / INDUSTRIAL ONLY</v>
      </c>
      <c r="V1093" s="9" t="n">
        <f aca="false">IF(U1093="SERVICE READY",1,0)</f>
        <v>0</v>
      </c>
      <c r="W1093" s="6"/>
      <c r="X1093" s="6"/>
      <c r="Y1093" s="6"/>
      <c r="Z1093" s="6"/>
    </row>
    <row r="1094" customFormat="false" ht="15" hidden="false" customHeight="false" outlineLevel="0" collapsed="false">
      <c r="A1094" s="9" t="s">
        <v>1322</v>
      </c>
      <c r="B1094" s="9" t="s">
        <v>1288</v>
      </c>
      <c r="C1094" s="9" t="s">
        <v>1289</v>
      </c>
      <c r="D1094" s="9" t="s">
        <v>1215</v>
      </c>
      <c r="E1094" s="9" t="s">
        <v>275</v>
      </c>
      <c r="F1094" s="9" t="s">
        <v>209</v>
      </c>
      <c r="G1094" s="9" t="s">
        <v>221</v>
      </c>
      <c r="H1094" s="9" t="n">
        <v>1050</v>
      </c>
      <c r="I1094" s="29" t="n">
        <v>2.5</v>
      </c>
      <c r="J1094" s="9" t="n">
        <v>1</v>
      </c>
      <c r="K1094" s="30"/>
      <c r="L1094" s="30"/>
      <c r="M1094" s="30"/>
      <c r="N1094" s="30"/>
      <c r="O1094" s="30"/>
      <c r="P1094" s="30"/>
      <c r="Q1094" s="30"/>
      <c r="R1094" s="30"/>
      <c r="S1094" s="30"/>
      <c r="T1094" s="30"/>
      <c r="U1094" s="21" t="str">
        <f aca="false">IF(COUNT(K1094:T1094)=0,"SOURCE EMPTY / INDUSTRIAL ONLY",IF(MIN(K1094:T1094)=1,"SERVICE READY","HOLD"))</f>
        <v>SOURCE EMPTY / INDUSTRIAL ONLY</v>
      </c>
      <c r="V1094" s="9" t="n">
        <f aca="false">IF(U1094="SERVICE READY",1,0)</f>
        <v>0</v>
      </c>
      <c r="W1094" s="6"/>
      <c r="X1094" s="6"/>
      <c r="Y1094" s="6"/>
      <c r="Z1094" s="6"/>
    </row>
    <row r="1095" customFormat="false" ht="15" hidden="false" customHeight="false" outlineLevel="0" collapsed="false">
      <c r="A1095" s="9" t="s">
        <v>1323</v>
      </c>
      <c r="B1095" s="9" t="s">
        <v>1288</v>
      </c>
      <c r="C1095" s="9" t="s">
        <v>1289</v>
      </c>
      <c r="D1095" s="9" t="s">
        <v>1215</v>
      </c>
      <c r="E1095" s="9" t="s">
        <v>275</v>
      </c>
      <c r="F1095" s="9" t="s">
        <v>211</v>
      </c>
      <c r="G1095" s="9" t="s">
        <v>221</v>
      </c>
      <c r="H1095" s="9" t="n">
        <v>1050</v>
      </c>
      <c r="I1095" s="29" t="n">
        <v>2.5</v>
      </c>
      <c r="J1095" s="9" t="n">
        <v>1</v>
      </c>
      <c r="K1095" s="30"/>
      <c r="L1095" s="30"/>
      <c r="M1095" s="30"/>
      <c r="N1095" s="30"/>
      <c r="O1095" s="30"/>
      <c r="P1095" s="30"/>
      <c r="Q1095" s="30"/>
      <c r="R1095" s="30"/>
      <c r="S1095" s="30"/>
      <c r="T1095" s="30"/>
      <c r="U1095" s="21" t="str">
        <f aca="false">IF(COUNT(K1095:T1095)=0,"SOURCE EMPTY / INDUSTRIAL ONLY",IF(MIN(K1095:T1095)=1,"SERVICE READY","HOLD"))</f>
        <v>SOURCE EMPTY / INDUSTRIAL ONLY</v>
      </c>
      <c r="V1095" s="9" t="n">
        <f aca="false">IF(U1095="SERVICE READY",1,0)</f>
        <v>0</v>
      </c>
      <c r="W1095" s="6"/>
      <c r="X1095" s="6"/>
      <c r="Y1095" s="6"/>
      <c r="Z1095" s="6"/>
    </row>
    <row r="1096" customFormat="false" ht="15" hidden="false" customHeight="false" outlineLevel="0" collapsed="false">
      <c r="A1096" s="9" t="s">
        <v>1324</v>
      </c>
      <c r="B1096" s="9" t="s">
        <v>1288</v>
      </c>
      <c r="C1096" s="9" t="s">
        <v>1289</v>
      </c>
      <c r="D1096" s="9" t="s">
        <v>1215</v>
      </c>
      <c r="E1096" s="9" t="s">
        <v>275</v>
      </c>
      <c r="F1096" s="9" t="s">
        <v>197</v>
      </c>
      <c r="G1096" s="9" t="s">
        <v>221</v>
      </c>
      <c r="H1096" s="9" t="n">
        <v>1050</v>
      </c>
      <c r="I1096" s="29" t="n">
        <v>2.5</v>
      </c>
      <c r="J1096" s="9" t="n">
        <v>1</v>
      </c>
      <c r="K1096" s="30"/>
      <c r="L1096" s="30"/>
      <c r="M1096" s="30"/>
      <c r="N1096" s="30"/>
      <c r="O1096" s="30"/>
      <c r="P1096" s="30"/>
      <c r="Q1096" s="30"/>
      <c r="R1096" s="30"/>
      <c r="S1096" s="30"/>
      <c r="T1096" s="30"/>
      <c r="U1096" s="21" t="str">
        <f aca="false">IF(COUNT(K1096:T1096)=0,"SOURCE EMPTY / INDUSTRIAL ONLY",IF(MIN(K1096:T1096)=1,"SERVICE READY","HOLD"))</f>
        <v>SOURCE EMPTY / INDUSTRIAL ONLY</v>
      </c>
      <c r="V1096" s="9" t="n">
        <f aca="false">IF(U1096="SERVICE READY",1,0)</f>
        <v>0</v>
      </c>
      <c r="W1096" s="6"/>
      <c r="X1096" s="6"/>
      <c r="Y1096" s="6"/>
      <c r="Z1096" s="6"/>
    </row>
    <row r="1097" customFormat="false" ht="15" hidden="false" customHeight="false" outlineLevel="0" collapsed="false">
      <c r="A1097" s="9" t="s">
        <v>1325</v>
      </c>
      <c r="B1097" s="9" t="s">
        <v>1288</v>
      </c>
      <c r="C1097" s="9" t="s">
        <v>1289</v>
      </c>
      <c r="D1097" s="9" t="s">
        <v>1215</v>
      </c>
      <c r="E1097" s="9" t="s">
        <v>275</v>
      </c>
      <c r="F1097" s="9" t="s">
        <v>200</v>
      </c>
      <c r="G1097" s="9" t="s">
        <v>221</v>
      </c>
      <c r="H1097" s="9" t="n">
        <v>1050</v>
      </c>
      <c r="I1097" s="29" t="n">
        <v>2.5</v>
      </c>
      <c r="J1097" s="9" t="n">
        <v>1</v>
      </c>
      <c r="K1097" s="30"/>
      <c r="L1097" s="30"/>
      <c r="M1097" s="30"/>
      <c r="N1097" s="30"/>
      <c r="O1097" s="30"/>
      <c r="P1097" s="30"/>
      <c r="Q1097" s="30"/>
      <c r="R1097" s="30"/>
      <c r="S1097" s="30"/>
      <c r="T1097" s="30"/>
      <c r="U1097" s="21" t="str">
        <f aca="false">IF(COUNT(K1097:T1097)=0,"SOURCE EMPTY / INDUSTRIAL ONLY",IF(MIN(K1097:T1097)=1,"SERVICE READY","HOLD"))</f>
        <v>SOURCE EMPTY / INDUSTRIAL ONLY</v>
      </c>
      <c r="V1097" s="9" t="n">
        <f aca="false">IF(U1097="SERVICE READY",1,0)</f>
        <v>0</v>
      </c>
      <c r="W1097" s="6"/>
      <c r="X1097" s="6"/>
      <c r="Y1097" s="6"/>
      <c r="Z1097" s="6"/>
    </row>
    <row r="1098" customFormat="false" ht="15" hidden="false" customHeight="false" outlineLevel="0" collapsed="false">
      <c r="A1098" s="9" t="s">
        <v>1326</v>
      </c>
      <c r="B1098" s="9" t="s">
        <v>1288</v>
      </c>
      <c r="C1098" s="9" t="s">
        <v>1289</v>
      </c>
      <c r="D1098" s="9" t="s">
        <v>1215</v>
      </c>
      <c r="E1098" s="9" t="s">
        <v>275</v>
      </c>
      <c r="F1098" s="9" t="s">
        <v>203</v>
      </c>
      <c r="G1098" s="9" t="s">
        <v>221</v>
      </c>
      <c r="H1098" s="9" t="n">
        <v>1050</v>
      </c>
      <c r="I1098" s="29" t="n">
        <v>2.5</v>
      </c>
      <c r="J1098" s="9" t="n">
        <v>1</v>
      </c>
      <c r="K1098" s="30"/>
      <c r="L1098" s="30"/>
      <c r="M1098" s="30"/>
      <c r="N1098" s="30"/>
      <c r="O1098" s="30"/>
      <c r="P1098" s="30"/>
      <c r="Q1098" s="30"/>
      <c r="R1098" s="30"/>
      <c r="S1098" s="30"/>
      <c r="T1098" s="30"/>
      <c r="U1098" s="21" t="str">
        <f aca="false">IF(COUNT(K1098:T1098)=0,"SOURCE EMPTY / INDUSTRIAL ONLY",IF(MIN(K1098:T1098)=1,"SERVICE READY","HOLD"))</f>
        <v>SOURCE EMPTY / INDUSTRIAL ONLY</v>
      </c>
      <c r="V1098" s="9" t="n">
        <f aca="false">IF(U1098="SERVICE READY",1,0)</f>
        <v>0</v>
      </c>
      <c r="W1098" s="6"/>
      <c r="X1098" s="6"/>
      <c r="Y1098" s="6"/>
      <c r="Z1098" s="6"/>
    </row>
    <row r="1099" customFormat="false" ht="15" hidden="false" customHeight="false" outlineLevel="0" collapsed="false">
      <c r="A1099" s="9" t="s">
        <v>1327</v>
      </c>
      <c r="B1099" s="9" t="s">
        <v>1288</v>
      </c>
      <c r="C1099" s="9" t="s">
        <v>1289</v>
      </c>
      <c r="D1099" s="9" t="s">
        <v>1215</v>
      </c>
      <c r="E1099" s="9" t="s">
        <v>275</v>
      </c>
      <c r="F1099" s="9" t="s">
        <v>205</v>
      </c>
      <c r="G1099" s="9" t="s">
        <v>221</v>
      </c>
      <c r="H1099" s="9" t="n">
        <v>1050</v>
      </c>
      <c r="I1099" s="29" t="n">
        <v>2.5</v>
      </c>
      <c r="J1099" s="9" t="n">
        <v>1</v>
      </c>
      <c r="K1099" s="30"/>
      <c r="L1099" s="30"/>
      <c r="M1099" s="30"/>
      <c r="N1099" s="30"/>
      <c r="O1099" s="30"/>
      <c r="P1099" s="30"/>
      <c r="Q1099" s="30"/>
      <c r="R1099" s="30"/>
      <c r="S1099" s="30"/>
      <c r="T1099" s="30"/>
      <c r="U1099" s="21" t="str">
        <f aca="false">IF(COUNT(K1099:T1099)=0,"SOURCE EMPTY / INDUSTRIAL ONLY",IF(MIN(K1099:T1099)=1,"SERVICE READY","HOLD"))</f>
        <v>SOURCE EMPTY / INDUSTRIAL ONLY</v>
      </c>
      <c r="V1099" s="9" t="n">
        <f aca="false">IF(U1099="SERVICE READY",1,0)</f>
        <v>0</v>
      </c>
      <c r="W1099" s="6"/>
      <c r="X1099" s="6"/>
      <c r="Y1099" s="6"/>
      <c r="Z1099" s="6"/>
    </row>
    <row r="1100" customFormat="false" ht="15" hidden="false" customHeight="false" outlineLevel="0" collapsed="false">
      <c r="A1100" s="9" t="s">
        <v>1328</v>
      </c>
      <c r="B1100" s="9" t="s">
        <v>1288</v>
      </c>
      <c r="C1100" s="9" t="s">
        <v>1289</v>
      </c>
      <c r="D1100" s="9" t="s">
        <v>1215</v>
      </c>
      <c r="E1100" s="9" t="s">
        <v>275</v>
      </c>
      <c r="F1100" s="9" t="s">
        <v>207</v>
      </c>
      <c r="G1100" s="9" t="s">
        <v>221</v>
      </c>
      <c r="H1100" s="9" t="n">
        <v>1050</v>
      </c>
      <c r="I1100" s="29" t="n">
        <v>2.5</v>
      </c>
      <c r="J1100" s="9" t="n">
        <v>1</v>
      </c>
      <c r="K1100" s="30"/>
      <c r="L1100" s="30"/>
      <c r="M1100" s="30"/>
      <c r="N1100" s="30"/>
      <c r="O1100" s="30"/>
      <c r="P1100" s="30"/>
      <c r="Q1100" s="30"/>
      <c r="R1100" s="30"/>
      <c r="S1100" s="30"/>
      <c r="T1100" s="30"/>
      <c r="U1100" s="21" t="str">
        <f aca="false">IF(COUNT(K1100:T1100)=0,"SOURCE EMPTY / INDUSTRIAL ONLY",IF(MIN(K1100:T1100)=1,"SERVICE READY","HOLD"))</f>
        <v>SOURCE EMPTY / INDUSTRIAL ONLY</v>
      </c>
      <c r="V1100" s="9" t="n">
        <f aca="false">IF(U1100="SERVICE READY",1,0)</f>
        <v>0</v>
      </c>
      <c r="W1100" s="6"/>
      <c r="X1100" s="6"/>
      <c r="Y1100" s="6"/>
      <c r="Z1100" s="6"/>
    </row>
    <row r="1101" customFormat="false" ht="15" hidden="false" customHeight="false" outlineLevel="0" collapsed="false">
      <c r="A1101" s="9" t="s">
        <v>1329</v>
      </c>
      <c r="B1101" s="9" t="s">
        <v>1288</v>
      </c>
      <c r="C1101" s="9" t="s">
        <v>1289</v>
      </c>
      <c r="D1101" s="9" t="s">
        <v>1215</v>
      </c>
      <c r="E1101" s="9" t="s">
        <v>275</v>
      </c>
      <c r="F1101" s="9" t="s">
        <v>209</v>
      </c>
      <c r="G1101" s="9" t="s">
        <v>221</v>
      </c>
      <c r="H1101" s="9" t="n">
        <v>1050</v>
      </c>
      <c r="I1101" s="29" t="n">
        <v>2.5</v>
      </c>
      <c r="J1101" s="9" t="n">
        <v>1</v>
      </c>
      <c r="K1101" s="30"/>
      <c r="L1101" s="30"/>
      <c r="M1101" s="30"/>
      <c r="N1101" s="30"/>
      <c r="O1101" s="30"/>
      <c r="P1101" s="30"/>
      <c r="Q1101" s="30"/>
      <c r="R1101" s="30"/>
      <c r="S1101" s="30"/>
      <c r="T1101" s="30"/>
      <c r="U1101" s="21" t="str">
        <f aca="false">IF(COUNT(K1101:T1101)=0,"SOURCE EMPTY / INDUSTRIAL ONLY",IF(MIN(K1101:T1101)=1,"SERVICE READY","HOLD"))</f>
        <v>SOURCE EMPTY / INDUSTRIAL ONLY</v>
      </c>
      <c r="V1101" s="9" t="n">
        <f aca="false">IF(U1101="SERVICE READY",1,0)</f>
        <v>0</v>
      </c>
      <c r="W1101" s="6"/>
      <c r="X1101" s="6"/>
      <c r="Y1101" s="6"/>
      <c r="Z1101" s="6"/>
    </row>
    <row r="1102" customFormat="false" ht="15" hidden="false" customHeight="false" outlineLevel="0" collapsed="false">
      <c r="A1102" s="9" t="s">
        <v>1330</v>
      </c>
      <c r="B1102" s="9" t="s">
        <v>1288</v>
      </c>
      <c r="C1102" s="9" t="s">
        <v>1289</v>
      </c>
      <c r="D1102" s="9" t="s">
        <v>1215</v>
      </c>
      <c r="E1102" s="9" t="s">
        <v>275</v>
      </c>
      <c r="F1102" s="9" t="s">
        <v>211</v>
      </c>
      <c r="G1102" s="9" t="s">
        <v>221</v>
      </c>
      <c r="H1102" s="9" t="n">
        <v>1050</v>
      </c>
      <c r="I1102" s="29" t="n">
        <v>2.5</v>
      </c>
      <c r="J1102" s="9" t="n">
        <v>1</v>
      </c>
      <c r="K1102" s="30"/>
      <c r="L1102" s="30"/>
      <c r="M1102" s="30"/>
      <c r="N1102" s="30"/>
      <c r="O1102" s="30"/>
      <c r="P1102" s="30"/>
      <c r="Q1102" s="30"/>
      <c r="R1102" s="30"/>
      <c r="S1102" s="30"/>
      <c r="T1102" s="30"/>
      <c r="U1102" s="21" t="str">
        <f aca="false">IF(COUNT(K1102:T1102)=0,"SOURCE EMPTY / INDUSTRIAL ONLY",IF(MIN(K1102:T1102)=1,"SERVICE READY","HOLD"))</f>
        <v>SOURCE EMPTY / INDUSTRIAL ONLY</v>
      </c>
      <c r="V1102" s="9" t="n">
        <f aca="false">IF(U1102="SERVICE READY",1,0)</f>
        <v>0</v>
      </c>
      <c r="W1102" s="6"/>
      <c r="X1102" s="6"/>
      <c r="Y1102" s="6"/>
      <c r="Z1102" s="6"/>
    </row>
    <row r="1103" customFormat="false" ht="15" hidden="false" customHeight="false" outlineLevel="0" collapsed="false">
      <c r="A1103" s="9" t="s">
        <v>1331</v>
      </c>
      <c r="B1103" s="9" t="s">
        <v>1288</v>
      </c>
      <c r="C1103" s="9" t="s">
        <v>1289</v>
      </c>
      <c r="D1103" s="9" t="s">
        <v>1215</v>
      </c>
      <c r="E1103" s="9" t="s">
        <v>275</v>
      </c>
      <c r="F1103" s="9" t="s">
        <v>197</v>
      </c>
      <c r="G1103" s="9" t="s">
        <v>221</v>
      </c>
      <c r="H1103" s="9" t="n">
        <v>1050</v>
      </c>
      <c r="I1103" s="29" t="n">
        <v>2.5</v>
      </c>
      <c r="J1103" s="9" t="n">
        <v>1</v>
      </c>
      <c r="K1103" s="30"/>
      <c r="L1103" s="30"/>
      <c r="M1103" s="30"/>
      <c r="N1103" s="30"/>
      <c r="O1103" s="30"/>
      <c r="P1103" s="30"/>
      <c r="Q1103" s="30"/>
      <c r="R1103" s="30"/>
      <c r="S1103" s="30"/>
      <c r="T1103" s="30"/>
      <c r="U1103" s="21" t="str">
        <f aca="false">IF(COUNT(K1103:T1103)=0,"SOURCE EMPTY / INDUSTRIAL ONLY",IF(MIN(K1103:T1103)=1,"SERVICE READY","HOLD"))</f>
        <v>SOURCE EMPTY / INDUSTRIAL ONLY</v>
      </c>
      <c r="V1103" s="9" t="n">
        <f aca="false">IF(U1103="SERVICE READY",1,0)</f>
        <v>0</v>
      </c>
      <c r="W1103" s="6"/>
      <c r="X1103" s="6"/>
      <c r="Y1103" s="6"/>
      <c r="Z1103" s="6"/>
    </row>
    <row r="1104" customFormat="false" ht="15" hidden="false" customHeight="false" outlineLevel="0" collapsed="false">
      <c r="A1104" s="9" t="s">
        <v>1332</v>
      </c>
      <c r="B1104" s="9" t="s">
        <v>1288</v>
      </c>
      <c r="C1104" s="9" t="s">
        <v>1289</v>
      </c>
      <c r="D1104" s="9" t="s">
        <v>1215</v>
      </c>
      <c r="E1104" s="9" t="s">
        <v>275</v>
      </c>
      <c r="F1104" s="9" t="s">
        <v>200</v>
      </c>
      <c r="G1104" s="9" t="s">
        <v>221</v>
      </c>
      <c r="H1104" s="9" t="n">
        <v>1050</v>
      </c>
      <c r="I1104" s="29" t="n">
        <v>2.5</v>
      </c>
      <c r="J1104" s="9" t="n">
        <v>1</v>
      </c>
      <c r="K1104" s="30"/>
      <c r="L1104" s="30"/>
      <c r="M1104" s="30"/>
      <c r="N1104" s="30"/>
      <c r="O1104" s="30"/>
      <c r="P1104" s="30"/>
      <c r="Q1104" s="30"/>
      <c r="R1104" s="30"/>
      <c r="S1104" s="30"/>
      <c r="T1104" s="30"/>
      <c r="U1104" s="21" t="str">
        <f aca="false">IF(COUNT(K1104:T1104)=0,"SOURCE EMPTY / INDUSTRIAL ONLY",IF(MIN(K1104:T1104)=1,"SERVICE READY","HOLD"))</f>
        <v>SOURCE EMPTY / INDUSTRIAL ONLY</v>
      </c>
      <c r="V1104" s="9" t="n">
        <f aca="false">IF(U1104="SERVICE READY",1,0)</f>
        <v>0</v>
      </c>
      <c r="W1104" s="6"/>
      <c r="X1104" s="6"/>
      <c r="Y1104" s="6"/>
      <c r="Z1104" s="6"/>
    </row>
    <row r="1105" customFormat="false" ht="15" hidden="false" customHeight="false" outlineLevel="0" collapsed="false">
      <c r="A1105" s="9" t="s">
        <v>1333</v>
      </c>
      <c r="B1105" s="9" t="s">
        <v>1288</v>
      </c>
      <c r="C1105" s="9" t="s">
        <v>1289</v>
      </c>
      <c r="D1105" s="9" t="s">
        <v>1215</v>
      </c>
      <c r="E1105" s="9" t="s">
        <v>275</v>
      </c>
      <c r="F1105" s="9" t="s">
        <v>203</v>
      </c>
      <c r="G1105" s="9" t="s">
        <v>221</v>
      </c>
      <c r="H1105" s="9" t="n">
        <v>1050</v>
      </c>
      <c r="I1105" s="29" t="n">
        <v>2.5</v>
      </c>
      <c r="J1105" s="9" t="n">
        <v>1</v>
      </c>
      <c r="K1105" s="30"/>
      <c r="L1105" s="30"/>
      <c r="M1105" s="30"/>
      <c r="N1105" s="30"/>
      <c r="O1105" s="30"/>
      <c r="P1105" s="30"/>
      <c r="Q1105" s="30"/>
      <c r="R1105" s="30"/>
      <c r="S1105" s="30"/>
      <c r="T1105" s="30"/>
      <c r="U1105" s="21" t="str">
        <f aca="false">IF(COUNT(K1105:T1105)=0,"SOURCE EMPTY / INDUSTRIAL ONLY",IF(MIN(K1105:T1105)=1,"SERVICE READY","HOLD"))</f>
        <v>SOURCE EMPTY / INDUSTRIAL ONLY</v>
      </c>
      <c r="V1105" s="9" t="n">
        <f aca="false">IF(U1105="SERVICE READY",1,0)</f>
        <v>0</v>
      </c>
      <c r="W1105" s="6"/>
      <c r="X1105" s="6"/>
      <c r="Y1105" s="6"/>
      <c r="Z1105" s="6"/>
    </row>
    <row r="1106" customFormat="false" ht="15" hidden="false" customHeight="false" outlineLevel="0" collapsed="false">
      <c r="A1106" s="9" t="s">
        <v>1334</v>
      </c>
      <c r="B1106" s="9" t="s">
        <v>1288</v>
      </c>
      <c r="C1106" s="9" t="s">
        <v>1289</v>
      </c>
      <c r="D1106" s="9" t="s">
        <v>1215</v>
      </c>
      <c r="E1106" s="9" t="s">
        <v>275</v>
      </c>
      <c r="F1106" s="9" t="s">
        <v>205</v>
      </c>
      <c r="G1106" s="9" t="s">
        <v>221</v>
      </c>
      <c r="H1106" s="9" t="n">
        <v>1050</v>
      </c>
      <c r="I1106" s="29" t="n">
        <v>2.5</v>
      </c>
      <c r="J1106" s="9" t="n">
        <v>1</v>
      </c>
      <c r="K1106" s="30"/>
      <c r="L1106" s="30"/>
      <c r="M1106" s="30"/>
      <c r="N1106" s="30"/>
      <c r="O1106" s="30"/>
      <c r="P1106" s="30"/>
      <c r="Q1106" s="30"/>
      <c r="R1106" s="30"/>
      <c r="S1106" s="30"/>
      <c r="T1106" s="30"/>
      <c r="U1106" s="21" t="str">
        <f aca="false">IF(COUNT(K1106:T1106)=0,"SOURCE EMPTY / INDUSTRIAL ONLY",IF(MIN(K1106:T1106)=1,"SERVICE READY","HOLD"))</f>
        <v>SOURCE EMPTY / INDUSTRIAL ONLY</v>
      </c>
      <c r="V1106" s="9" t="n">
        <f aca="false">IF(U1106="SERVICE READY",1,0)</f>
        <v>0</v>
      </c>
      <c r="W1106" s="6"/>
      <c r="X1106" s="6"/>
      <c r="Y1106" s="6"/>
      <c r="Z1106" s="6"/>
    </row>
    <row r="1107" customFormat="false" ht="15" hidden="false" customHeight="false" outlineLevel="0" collapsed="false">
      <c r="A1107" s="9" t="s">
        <v>1335</v>
      </c>
      <c r="B1107" s="9" t="s">
        <v>1288</v>
      </c>
      <c r="C1107" s="9" t="s">
        <v>1289</v>
      </c>
      <c r="D1107" s="9" t="s">
        <v>1215</v>
      </c>
      <c r="E1107" s="9" t="s">
        <v>275</v>
      </c>
      <c r="F1107" s="9" t="s">
        <v>207</v>
      </c>
      <c r="G1107" s="9" t="s">
        <v>221</v>
      </c>
      <c r="H1107" s="9" t="n">
        <v>1050</v>
      </c>
      <c r="I1107" s="29" t="n">
        <v>2.5</v>
      </c>
      <c r="J1107" s="9" t="n">
        <v>1</v>
      </c>
      <c r="K1107" s="30"/>
      <c r="L1107" s="30"/>
      <c r="M1107" s="30"/>
      <c r="N1107" s="30"/>
      <c r="O1107" s="30"/>
      <c r="P1107" s="30"/>
      <c r="Q1107" s="30"/>
      <c r="R1107" s="30"/>
      <c r="S1107" s="30"/>
      <c r="T1107" s="30"/>
      <c r="U1107" s="21" t="str">
        <f aca="false">IF(COUNT(K1107:T1107)=0,"SOURCE EMPTY / INDUSTRIAL ONLY",IF(MIN(K1107:T1107)=1,"SERVICE READY","HOLD"))</f>
        <v>SOURCE EMPTY / INDUSTRIAL ONLY</v>
      </c>
      <c r="V1107" s="9" t="n">
        <f aca="false">IF(U1107="SERVICE READY",1,0)</f>
        <v>0</v>
      </c>
      <c r="W1107" s="6"/>
      <c r="X1107" s="6"/>
      <c r="Y1107" s="6"/>
      <c r="Z1107" s="6"/>
    </row>
    <row r="1108" customFormat="false" ht="15" hidden="false" customHeight="false" outlineLevel="0" collapsed="false">
      <c r="A1108" s="9" t="s">
        <v>1336</v>
      </c>
      <c r="B1108" s="9" t="s">
        <v>1288</v>
      </c>
      <c r="C1108" s="9" t="s">
        <v>1289</v>
      </c>
      <c r="D1108" s="9" t="s">
        <v>1215</v>
      </c>
      <c r="E1108" s="9" t="s">
        <v>275</v>
      </c>
      <c r="F1108" s="9" t="s">
        <v>209</v>
      </c>
      <c r="G1108" s="9" t="s">
        <v>221</v>
      </c>
      <c r="H1108" s="9" t="n">
        <v>1050</v>
      </c>
      <c r="I1108" s="29" t="n">
        <v>2.5</v>
      </c>
      <c r="J1108" s="9" t="n">
        <v>1</v>
      </c>
      <c r="K1108" s="30"/>
      <c r="L1108" s="30"/>
      <c r="M1108" s="30"/>
      <c r="N1108" s="30"/>
      <c r="O1108" s="30"/>
      <c r="P1108" s="30"/>
      <c r="Q1108" s="30"/>
      <c r="R1108" s="30"/>
      <c r="S1108" s="30"/>
      <c r="T1108" s="30"/>
      <c r="U1108" s="21" t="str">
        <f aca="false">IF(COUNT(K1108:T1108)=0,"SOURCE EMPTY / INDUSTRIAL ONLY",IF(MIN(K1108:T1108)=1,"SERVICE READY","HOLD"))</f>
        <v>SOURCE EMPTY / INDUSTRIAL ONLY</v>
      </c>
      <c r="V1108" s="9" t="n">
        <f aca="false">IF(U1108="SERVICE READY",1,0)</f>
        <v>0</v>
      </c>
      <c r="W1108" s="6"/>
      <c r="X1108" s="6"/>
      <c r="Y1108" s="6"/>
      <c r="Z1108" s="6"/>
    </row>
    <row r="1109" customFormat="false" ht="15" hidden="false" customHeight="false" outlineLevel="0" collapsed="false">
      <c r="A1109" s="9" t="s">
        <v>1337</v>
      </c>
      <c r="B1109" s="9" t="s">
        <v>1288</v>
      </c>
      <c r="C1109" s="9" t="s">
        <v>1289</v>
      </c>
      <c r="D1109" s="9" t="s">
        <v>1215</v>
      </c>
      <c r="E1109" s="9" t="s">
        <v>275</v>
      </c>
      <c r="F1109" s="9" t="s">
        <v>211</v>
      </c>
      <c r="G1109" s="9" t="s">
        <v>221</v>
      </c>
      <c r="H1109" s="9" t="n">
        <v>1050</v>
      </c>
      <c r="I1109" s="29" t="n">
        <v>2.5</v>
      </c>
      <c r="J1109" s="9" t="n">
        <v>1</v>
      </c>
      <c r="K1109" s="30"/>
      <c r="L1109" s="30"/>
      <c r="M1109" s="30"/>
      <c r="N1109" s="30"/>
      <c r="O1109" s="30"/>
      <c r="P1109" s="30"/>
      <c r="Q1109" s="30"/>
      <c r="R1109" s="30"/>
      <c r="S1109" s="30"/>
      <c r="T1109" s="30"/>
      <c r="U1109" s="21" t="str">
        <f aca="false">IF(COUNT(K1109:T1109)=0,"SOURCE EMPTY / INDUSTRIAL ONLY",IF(MIN(K1109:T1109)=1,"SERVICE READY","HOLD"))</f>
        <v>SOURCE EMPTY / INDUSTRIAL ONLY</v>
      </c>
      <c r="V1109" s="9" t="n">
        <f aca="false">IF(U1109="SERVICE READY",1,0)</f>
        <v>0</v>
      </c>
      <c r="W1109" s="6"/>
      <c r="X1109" s="6"/>
      <c r="Y1109" s="6"/>
      <c r="Z1109" s="6"/>
    </row>
    <row r="1110" customFormat="false" ht="15" hidden="false" customHeight="false" outlineLevel="0" collapsed="false">
      <c r="A1110" s="9" t="s">
        <v>1338</v>
      </c>
      <c r="B1110" s="9" t="s">
        <v>1288</v>
      </c>
      <c r="C1110" s="9" t="s">
        <v>1289</v>
      </c>
      <c r="D1110" s="9" t="s">
        <v>1215</v>
      </c>
      <c r="E1110" s="9" t="s">
        <v>275</v>
      </c>
      <c r="F1110" s="9" t="s">
        <v>197</v>
      </c>
      <c r="G1110" s="9" t="s">
        <v>221</v>
      </c>
      <c r="H1110" s="9" t="n">
        <v>1050</v>
      </c>
      <c r="I1110" s="29" t="n">
        <v>2.5</v>
      </c>
      <c r="J1110" s="9" t="n">
        <v>1</v>
      </c>
      <c r="K1110" s="30"/>
      <c r="L1110" s="30"/>
      <c r="M1110" s="30"/>
      <c r="N1110" s="30"/>
      <c r="O1110" s="30"/>
      <c r="P1110" s="30"/>
      <c r="Q1110" s="30"/>
      <c r="R1110" s="30"/>
      <c r="S1110" s="30"/>
      <c r="T1110" s="30"/>
      <c r="U1110" s="21" t="str">
        <f aca="false">IF(COUNT(K1110:T1110)=0,"SOURCE EMPTY / INDUSTRIAL ONLY",IF(MIN(K1110:T1110)=1,"SERVICE READY","HOLD"))</f>
        <v>SOURCE EMPTY / INDUSTRIAL ONLY</v>
      </c>
      <c r="V1110" s="9" t="n">
        <f aca="false">IF(U1110="SERVICE READY",1,0)</f>
        <v>0</v>
      </c>
      <c r="W1110" s="6"/>
      <c r="X1110" s="6"/>
      <c r="Y1110" s="6"/>
      <c r="Z1110" s="6"/>
    </row>
    <row r="1111" customFormat="false" ht="15" hidden="false" customHeight="false" outlineLevel="0" collapsed="false">
      <c r="A1111" s="9" t="s">
        <v>1339</v>
      </c>
      <c r="B1111" s="9" t="s">
        <v>1288</v>
      </c>
      <c r="C1111" s="9" t="s">
        <v>1289</v>
      </c>
      <c r="D1111" s="9" t="s">
        <v>1215</v>
      </c>
      <c r="E1111" s="9" t="s">
        <v>275</v>
      </c>
      <c r="F1111" s="9" t="s">
        <v>200</v>
      </c>
      <c r="G1111" s="9" t="s">
        <v>221</v>
      </c>
      <c r="H1111" s="9" t="n">
        <v>1050</v>
      </c>
      <c r="I1111" s="29" t="n">
        <v>2.5</v>
      </c>
      <c r="J1111" s="9" t="n">
        <v>1</v>
      </c>
      <c r="K1111" s="30"/>
      <c r="L1111" s="30"/>
      <c r="M1111" s="30"/>
      <c r="N1111" s="30"/>
      <c r="O1111" s="30"/>
      <c r="P1111" s="30"/>
      <c r="Q1111" s="30"/>
      <c r="R1111" s="30"/>
      <c r="S1111" s="30"/>
      <c r="T1111" s="30"/>
      <c r="U1111" s="21" t="str">
        <f aca="false">IF(COUNT(K1111:T1111)=0,"SOURCE EMPTY / INDUSTRIAL ONLY",IF(MIN(K1111:T1111)=1,"SERVICE READY","HOLD"))</f>
        <v>SOURCE EMPTY / INDUSTRIAL ONLY</v>
      </c>
      <c r="V1111" s="9" t="n">
        <f aca="false">IF(U1111="SERVICE READY",1,0)</f>
        <v>0</v>
      </c>
      <c r="W1111" s="6"/>
      <c r="X1111" s="6"/>
      <c r="Y1111" s="6"/>
      <c r="Z1111" s="6"/>
    </row>
    <row r="1112" customFormat="false" ht="15" hidden="false" customHeight="false" outlineLevel="0" collapsed="false">
      <c r="A1112" s="9" t="s">
        <v>1340</v>
      </c>
      <c r="B1112" s="9" t="s">
        <v>1288</v>
      </c>
      <c r="C1112" s="9" t="s">
        <v>1289</v>
      </c>
      <c r="D1112" s="9" t="s">
        <v>1215</v>
      </c>
      <c r="E1112" s="9" t="s">
        <v>275</v>
      </c>
      <c r="F1112" s="9" t="s">
        <v>203</v>
      </c>
      <c r="G1112" s="9" t="s">
        <v>221</v>
      </c>
      <c r="H1112" s="9" t="n">
        <v>1050</v>
      </c>
      <c r="I1112" s="29" t="n">
        <v>2.5</v>
      </c>
      <c r="J1112" s="9" t="n">
        <v>1</v>
      </c>
      <c r="K1112" s="30"/>
      <c r="L1112" s="30"/>
      <c r="M1112" s="30"/>
      <c r="N1112" s="30"/>
      <c r="O1112" s="30"/>
      <c r="P1112" s="30"/>
      <c r="Q1112" s="30"/>
      <c r="R1112" s="30"/>
      <c r="S1112" s="30"/>
      <c r="T1112" s="30"/>
      <c r="U1112" s="21" t="str">
        <f aca="false">IF(COUNT(K1112:T1112)=0,"SOURCE EMPTY / INDUSTRIAL ONLY",IF(MIN(K1112:T1112)=1,"SERVICE READY","HOLD"))</f>
        <v>SOURCE EMPTY / INDUSTRIAL ONLY</v>
      </c>
      <c r="V1112" s="9" t="n">
        <f aca="false">IF(U1112="SERVICE READY",1,0)</f>
        <v>0</v>
      </c>
      <c r="W1112" s="6"/>
      <c r="X1112" s="6"/>
      <c r="Y1112" s="6"/>
      <c r="Z1112" s="6"/>
    </row>
    <row r="1113" customFormat="false" ht="15" hidden="false" customHeight="false" outlineLevel="0" collapsed="false">
      <c r="A1113" s="9" t="s">
        <v>1341</v>
      </c>
      <c r="B1113" s="9" t="s">
        <v>1288</v>
      </c>
      <c r="C1113" s="9" t="s">
        <v>1289</v>
      </c>
      <c r="D1113" s="9" t="s">
        <v>1215</v>
      </c>
      <c r="E1113" s="9" t="s">
        <v>275</v>
      </c>
      <c r="F1113" s="9" t="s">
        <v>205</v>
      </c>
      <c r="G1113" s="9" t="s">
        <v>221</v>
      </c>
      <c r="H1113" s="9" t="n">
        <v>1050</v>
      </c>
      <c r="I1113" s="29" t="n">
        <v>2.5</v>
      </c>
      <c r="J1113" s="9" t="n">
        <v>1</v>
      </c>
      <c r="K1113" s="30"/>
      <c r="L1113" s="30"/>
      <c r="M1113" s="30"/>
      <c r="N1113" s="30"/>
      <c r="O1113" s="30"/>
      <c r="P1113" s="30"/>
      <c r="Q1113" s="30"/>
      <c r="R1113" s="30"/>
      <c r="S1113" s="30"/>
      <c r="T1113" s="30"/>
      <c r="U1113" s="21" t="str">
        <f aca="false">IF(COUNT(K1113:T1113)=0,"SOURCE EMPTY / INDUSTRIAL ONLY",IF(MIN(K1113:T1113)=1,"SERVICE READY","HOLD"))</f>
        <v>SOURCE EMPTY / INDUSTRIAL ONLY</v>
      </c>
      <c r="V1113" s="9" t="n">
        <f aca="false">IF(U1113="SERVICE READY",1,0)</f>
        <v>0</v>
      </c>
      <c r="W1113" s="6"/>
      <c r="X1113" s="6"/>
      <c r="Y1113" s="6"/>
      <c r="Z1113" s="6"/>
    </row>
    <row r="1114" customFormat="false" ht="15" hidden="false" customHeight="false" outlineLevel="0" collapsed="false">
      <c r="A1114" s="9" t="s">
        <v>1342</v>
      </c>
      <c r="B1114" s="9" t="s">
        <v>1288</v>
      </c>
      <c r="C1114" s="9" t="s">
        <v>1289</v>
      </c>
      <c r="D1114" s="9" t="s">
        <v>1215</v>
      </c>
      <c r="E1114" s="9" t="s">
        <v>275</v>
      </c>
      <c r="F1114" s="9" t="s">
        <v>207</v>
      </c>
      <c r="G1114" s="9" t="s">
        <v>221</v>
      </c>
      <c r="H1114" s="9" t="n">
        <v>1050</v>
      </c>
      <c r="I1114" s="29" t="n">
        <v>2.5</v>
      </c>
      <c r="J1114" s="9" t="n">
        <v>1</v>
      </c>
      <c r="K1114" s="30"/>
      <c r="L1114" s="30"/>
      <c r="M1114" s="30"/>
      <c r="N1114" s="30"/>
      <c r="O1114" s="30"/>
      <c r="P1114" s="30"/>
      <c r="Q1114" s="30"/>
      <c r="R1114" s="30"/>
      <c r="S1114" s="30"/>
      <c r="T1114" s="30"/>
      <c r="U1114" s="21" t="str">
        <f aca="false">IF(COUNT(K1114:T1114)=0,"SOURCE EMPTY / INDUSTRIAL ONLY",IF(MIN(K1114:T1114)=1,"SERVICE READY","HOLD"))</f>
        <v>SOURCE EMPTY / INDUSTRIAL ONLY</v>
      </c>
      <c r="V1114" s="9" t="n">
        <f aca="false">IF(U1114="SERVICE READY",1,0)</f>
        <v>0</v>
      </c>
      <c r="W1114" s="6"/>
      <c r="X1114" s="6"/>
      <c r="Y1114" s="6"/>
      <c r="Z1114" s="6"/>
    </row>
    <row r="1115" customFormat="false" ht="15" hidden="false" customHeight="false" outlineLevel="0" collapsed="false">
      <c r="A1115" s="9" t="s">
        <v>1343</v>
      </c>
      <c r="B1115" s="9" t="s">
        <v>1288</v>
      </c>
      <c r="C1115" s="9" t="s">
        <v>1289</v>
      </c>
      <c r="D1115" s="9" t="s">
        <v>1215</v>
      </c>
      <c r="E1115" s="9" t="s">
        <v>275</v>
      </c>
      <c r="F1115" s="9" t="s">
        <v>209</v>
      </c>
      <c r="G1115" s="9" t="s">
        <v>221</v>
      </c>
      <c r="H1115" s="9" t="n">
        <v>1050</v>
      </c>
      <c r="I1115" s="29" t="n">
        <v>2.5</v>
      </c>
      <c r="J1115" s="9" t="n">
        <v>1</v>
      </c>
      <c r="K1115" s="30"/>
      <c r="L1115" s="30"/>
      <c r="M1115" s="30"/>
      <c r="N1115" s="30"/>
      <c r="O1115" s="30"/>
      <c r="P1115" s="30"/>
      <c r="Q1115" s="30"/>
      <c r="R1115" s="30"/>
      <c r="S1115" s="30"/>
      <c r="T1115" s="30"/>
      <c r="U1115" s="21" t="str">
        <f aca="false">IF(COUNT(K1115:T1115)=0,"SOURCE EMPTY / INDUSTRIAL ONLY",IF(MIN(K1115:T1115)=1,"SERVICE READY","HOLD"))</f>
        <v>SOURCE EMPTY / INDUSTRIAL ONLY</v>
      </c>
      <c r="V1115" s="9" t="n">
        <f aca="false">IF(U1115="SERVICE READY",1,0)</f>
        <v>0</v>
      </c>
      <c r="W1115" s="6"/>
      <c r="X1115" s="6"/>
      <c r="Y1115" s="6"/>
      <c r="Z1115" s="6"/>
    </row>
    <row r="1116" customFormat="false" ht="15" hidden="false" customHeight="false" outlineLevel="0" collapsed="false">
      <c r="A1116" s="9" t="s">
        <v>1344</v>
      </c>
      <c r="B1116" s="9" t="s">
        <v>1288</v>
      </c>
      <c r="C1116" s="9" t="s">
        <v>1289</v>
      </c>
      <c r="D1116" s="9" t="s">
        <v>1215</v>
      </c>
      <c r="E1116" s="9" t="s">
        <v>275</v>
      </c>
      <c r="F1116" s="9" t="s">
        <v>211</v>
      </c>
      <c r="G1116" s="9" t="s">
        <v>221</v>
      </c>
      <c r="H1116" s="9" t="n">
        <v>1050</v>
      </c>
      <c r="I1116" s="29" t="n">
        <v>2.5</v>
      </c>
      <c r="J1116" s="9" t="n">
        <v>0</v>
      </c>
      <c r="K1116" s="30"/>
      <c r="L1116" s="30"/>
      <c r="M1116" s="30"/>
      <c r="N1116" s="30"/>
      <c r="O1116" s="30"/>
      <c r="P1116" s="30"/>
      <c r="Q1116" s="30"/>
      <c r="R1116" s="30"/>
      <c r="S1116" s="30"/>
      <c r="T1116" s="30"/>
      <c r="U1116" s="21" t="str">
        <f aca="false">IF(COUNT(K1116:T1116)=0,"SOURCE EMPTY / INDUSTRIAL ONLY",IF(MIN(K1116:T1116)=1,"SERVICE READY","HOLD"))</f>
        <v>SOURCE EMPTY / INDUSTRIAL ONLY</v>
      </c>
      <c r="V1116" s="9" t="n">
        <f aca="false">IF(U1116="SERVICE READY",1,0)</f>
        <v>0</v>
      </c>
      <c r="W1116" s="6"/>
      <c r="X1116" s="6"/>
      <c r="Y1116" s="6"/>
      <c r="Z1116" s="6"/>
    </row>
    <row r="1117" customFormat="false" ht="15" hidden="false" customHeight="false" outlineLevel="0" collapsed="false">
      <c r="A1117" s="9" t="s">
        <v>1345</v>
      </c>
      <c r="B1117" s="9" t="s">
        <v>1288</v>
      </c>
      <c r="C1117" s="9" t="s">
        <v>1289</v>
      </c>
      <c r="D1117" s="9" t="s">
        <v>1215</v>
      </c>
      <c r="E1117" s="9" t="s">
        <v>275</v>
      </c>
      <c r="F1117" s="9" t="s">
        <v>197</v>
      </c>
      <c r="G1117" s="9" t="s">
        <v>221</v>
      </c>
      <c r="H1117" s="9" t="n">
        <v>1050</v>
      </c>
      <c r="I1117" s="29" t="n">
        <v>2.5</v>
      </c>
      <c r="J1117" s="9" t="n">
        <v>0</v>
      </c>
      <c r="K1117" s="30"/>
      <c r="L1117" s="30"/>
      <c r="M1117" s="30"/>
      <c r="N1117" s="30"/>
      <c r="O1117" s="30"/>
      <c r="P1117" s="30"/>
      <c r="Q1117" s="30"/>
      <c r="R1117" s="30"/>
      <c r="S1117" s="30"/>
      <c r="T1117" s="30"/>
      <c r="U1117" s="21" t="str">
        <f aca="false">IF(COUNT(K1117:T1117)=0,"SOURCE EMPTY / INDUSTRIAL ONLY",IF(MIN(K1117:T1117)=1,"SERVICE READY","HOLD"))</f>
        <v>SOURCE EMPTY / INDUSTRIAL ONLY</v>
      </c>
      <c r="V1117" s="9" t="n">
        <f aca="false">IF(U1117="SERVICE READY",1,0)</f>
        <v>0</v>
      </c>
      <c r="W1117" s="6"/>
      <c r="X1117" s="6"/>
      <c r="Y1117" s="6"/>
      <c r="Z1117" s="6"/>
    </row>
    <row r="1118" customFormat="false" ht="15" hidden="false" customHeight="false" outlineLevel="0" collapsed="false">
      <c r="A1118" s="9" t="s">
        <v>1346</v>
      </c>
      <c r="B1118" s="9" t="s">
        <v>1288</v>
      </c>
      <c r="C1118" s="9" t="s">
        <v>1289</v>
      </c>
      <c r="D1118" s="9" t="s">
        <v>1215</v>
      </c>
      <c r="E1118" s="9" t="s">
        <v>275</v>
      </c>
      <c r="F1118" s="9" t="s">
        <v>200</v>
      </c>
      <c r="G1118" s="9" t="s">
        <v>221</v>
      </c>
      <c r="H1118" s="9" t="n">
        <v>1050</v>
      </c>
      <c r="I1118" s="29" t="n">
        <v>2.5</v>
      </c>
      <c r="J1118" s="9" t="n">
        <v>0</v>
      </c>
      <c r="K1118" s="30"/>
      <c r="L1118" s="30"/>
      <c r="M1118" s="30"/>
      <c r="N1118" s="30"/>
      <c r="O1118" s="30"/>
      <c r="P1118" s="30"/>
      <c r="Q1118" s="30"/>
      <c r="R1118" s="30"/>
      <c r="S1118" s="30"/>
      <c r="T1118" s="30"/>
      <c r="U1118" s="21" t="str">
        <f aca="false">IF(COUNT(K1118:T1118)=0,"SOURCE EMPTY / INDUSTRIAL ONLY",IF(MIN(K1118:T1118)=1,"SERVICE READY","HOLD"))</f>
        <v>SOURCE EMPTY / INDUSTRIAL ONLY</v>
      </c>
      <c r="V1118" s="9" t="n">
        <f aca="false">IF(U1118="SERVICE READY",1,0)</f>
        <v>0</v>
      </c>
      <c r="W1118" s="6"/>
      <c r="X1118" s="6"/>
      <c r="Y1118" s="6"/>
      <c r="Z1118" s="6"/>
    </row>
    <row r="1119" customFormat="false" ht="15" hidden="false" customHeight="false" outlineLevel="0" collapsed="false">
      <c r="A1119" s="9" t="s">
        <v>1347</v>
      </c>
      <c r="B1119" s="9" t="s">
        <v>1288</v>
      </c>
      <c r="C1119" s="9" t="s">
        <v>1289</v>
      </c>
      <c r="D1119" s="9" t="s">
        <v>1215</v>
      </c>
      <c r="E1119" s="9" t="s">
        <v>275</v>
      </c>
      <c r="F1119" s="9" t="s">
        <v>203</v>
      </c>
      <c r="G1119" s="9" t="s">
        <v>221</v>
      </c>
      <c r="H1119" s="9" t="n">
        <v>1050</v>
      </c>
      <c r="I1119" s="29" t="n">
        <v>2.5</v>
      </c>
      <c r="J1119" s="9" t="n">
        <v>0</v>
      </c>
      <c r="K1119" s="30"/>
      <c r="L1119" s="30"/>
      <c r="M1119" s="30"/>
      <c r="N1119" s="30"/>
      <c r="O1119" s="30"/>
      <c r="P1119" s="30"/>
      <c r="Q1119" s="30"/>
      <c r="R1119" s="30"/>
      <c r="S1119" s="30"/>
      <c r="T1119" s="30"/>
      <c r="U1119" s="21" t="str">
        <f aca="false">IF(COUNT(K1119:T1119)=0,"SOURCE EMPTY / INDUSTRIAL ONLY",IF(MIN(K1119:T1119)=1,"SERVICE READY","HOLD"))</f>
        <v>SOURCE EMPTY / INDUSTRIAL ONLY</v>
      </c>
      <c r="V1119" s="9" t="n">
        <f aca="false">IF(U1119="SERVICE READY",1,0)</f>
        <v>0</v>
      </c>
      <c r="W1119" s="6"/>
      <c r="X1119" s="6"/>
      <c r="Y1119" s="6"/>
      <c r="Z1119" s="6"/>
    </row>
    <row r="1120" customFormat="false" ht="15" hidden="false" customHeight="false" outlineLevel="0" collapsed="false">
      <c r="A1120" s="9" t="s">
        <v>1348</v>
      </c>
      <c r="B1120" s="9" t="s">
        <v>1288</v>
      </c>
      <c r="C1120" s="9" t="s">
        <v>1289</v>
      </c>
      <c r="D1120" s="9" t="s">
        <v>1215</v>
      </c>
      <c r="E1120" s="9" t="s">
        <v>275</v>
      </c>
      <c r="F1120" s="9" t="s">
        <v>205</v>
      </c>
      <c r="G1120" s="9" t="s">
        <v>221</v>
      </c>
      <c r="H1120" s="9" t="n">
        <v>1050</v>
      </c>
      <c r="I1120" s="29" t="n">
        <v>2.5</v>
      </c>
      <c r="J1120" s="9" t="n">
        <v>0</v>
      </c>
      <c r="K1120" s="30"/>
      <c r="L1120" s="30"/>
      <c r="M1120" s="30"/>
      <c r="N1120" s="30"/>
      <c r="O1120" s="30"/>
      <c r="P1120" s="30"/>
      <c r="Q1120" s="30"/>
      <c r="R1120" s="30"/>
      <c r="S1120" s="30"/>
      <c r="T1120" s="30"/>
      <c r="U1120" s="21" t="str">
        <f aca="false">IF(COUNT(K1120:T1120)=0,"SOURCE EMPTY / INDUSTRIAL ONLY",IF(MIN(K1120:T1120)=1,"SERVICE READY","HOLD"))</f>
        <v>SOURCE EMPTY / INDUSTRIAL ONLY</v>
      </c>
      <c r="V1120" s="9" t="n">
        <f aca="false">IF(U1120="SERVICE READY",1,0)</f>
        <v>0</v>
      </c>
      <c r="W1120" s="6"/>
      <c r="X1120" s="6"/>
      <c r="Y1120" s="6"/>
      <c r="Z1120" s="6"/>
    </row>
    <row r="1121" customFormat="false" ht="15" hidden="false" customHeight="false" outlineLevel="0" collapsed="false">
      <c r="A1121" s="9" t="s">
        <v>1349</v>
      </c>
      <c r="B1121" s="9" t="s">
        <v>1288</v>
      </c>
      <c r="C1121" s="9" t="s">
        <v>1289</v>
      </c>
      <c r="D1121" s="9" t="s">
        <v>1215</v>
      </c>
      <c r="E1121" s="9" t="s">
        <v>275</v>
      </c>
      <c r="F1121" s="9" t="s">
        <v>207</v>
      </c>
      <c r="G1121" s="9" t="s">
        <v>221</v>
      </c>
      <c r="H1121" s="9" t="n">
        <v>1050</v>
      </c>
      <c r="I1121" s="29" t="n">
        <v>2.5</v>
      </c>
      <c r="J1121" s="9" t="n">
        <v>0</v>
      </c>
      <c r="K1121" s="30"/>
      <c r="L1121" s="30"/>
      <c r="M1121" s="30"/>
      <c r="N1121" s="30"/>
      <c r="O1121" s="30"/>
      <c r="P1121" s="30"/>
      <c r="Q1121" s="30"/>
      <c r="R1121" s="30"/>
      <c r="S1121" s="30"/>
      <c r="T1121" s="30"/>
      <c r="U1121" s="21" t="str">
        <f aca="false">IF(COUNT(K1121:T1121)=0,"SOURCE EMPTY / INDUSTRIAL ONLY",IF(MIN(K1121:T1121)=1,"SERVICE READY","HOLD"))</f>
        <v>SOURCE EMPTY / INDUSTRIAL ONLY</v>
      </c>
      <c r="V1121" s="9" t="n">
        <f aca="false">IF(U1121="SERVICE READY",1,0)</f>
        <v>0</v>
      </c>
      <c r="W1121" s="6"/>
      <c r="X1121" s="6"/>
      <c r="Y1121" s="6"/>
      <c r="Z1121" s="6"/>
    </row>
    <row r="1122" customFormat="false" ht="15" hidden="false" customHeight="false" outlineLevel="0" collapsed="false">
      <c r="A1122" s="9" t="s">
        <v>1350</v>
      </c>
      <c r="B1122" s="9" t="s">
        <v>1288</v>
      </c>
      <c r="C1122" s="9" t="s">
        <v>1289</v>
      </c>
      <c r="D1122" s="9" t="s">
        <v>1215</v>
      </c>
      <c r="E1122" s="9" t="s">
        <v>275</v>
      </c>
      <c r="F1122" s="9" t="s">
        <v>209</v>
      </c>
      <c r="G1122" s="9" t="s">
        <v>221</v>
      </c>
      <c r="H1122" s="9" t="n">
        <v>1050</v>
      </c>
      <c r="I1122" s="29" t="n">
        <v>2.5</v>
      </c>
      <c r="J1122" s="9" t="n">
        <v>0</v>
      </c>
      <c r="K1122" s="30"/>
      <c r="L1122" s="30"/>
      <c r="M1122" s="30"/>
      <c r="N1122" s="30"/>
      <c r="O1122" s="30"/>
      <c r="P1122" s="30"/>
      <c r="Q1122" s="30"/>
      <c r="R1122" s="30"/>
      <c r="S1122" s="30"/>
      <c r="T1122" s="30"/>
      <c r="U1122" s="21" t="str">
        <f aca="false">IF(COUNT(K1122:T1122)=0,"SOURCE EMPTY / INDUSTRIAL ONLY",IF(MIN(K1122:T1122)=1,"SERVICE READY","HOLD"))</f>
        <v>SOURCE EMPTY / INDUSTRIAL ONLY</v>
      </c>
      <c r="V1122" s="9" t="n">
        <f aca="false">IF(U1122="SERVICE READY",1,0)</f>
        <v>0</v>
      </c>
      <c r="W1122" s="6"/>
      <c r="X1122" s="6"/>
      <c r="Y1122" s="6"/>
      <c r="Z1122" s="6"/>
    </row>
    <row r="1123" customFormat="false" ht="15" hidden="false" customHeight="false" outlineLevel="0" collapsed="false">
      <c r="A1123" s="9" t="s">
        <v>1351</v>
      </c>
      <c r="B1123" s="9" t="s">
        <v>1288</v>
      </c>
      <c r="C1123" s="9" t="s">
        <v>1289</v>
      </c>
      <c r="D1123" s="9" t="s">
        <v>1215</v>
      </c>
      <c r="E1123" s="9" t="s">
        <v>275</v>
      </c>
      <c r="F1123" s="9" t="s">
        <v>211</v>
      </c>
      <c r="G1123" s="9" t="s">
        <v>221</v>
      </c>
      <c r="H1123" s="9" t="n">
        <v>1050</v>
      </c>
      <c r="I1123" s="29" t="n">
        <v>2.5</v>
      </c>
      <c r="J1123" s="9" t="n">
        <v>0</v>
      </c>
      <c r="K1123" s="30"/>
      <c r="L1123" s="30"/>
      <c r="M1123" s="30"/>
      <c r="N1123" s="30"/>
      <c r="O1123" s="30"/>
      <c r="P1123" s="30"/>
      <c r="Q1123" s="30"/>
      <c r="R1123" s="30"/>
      <c r="S1123" s="30"/>
      <c r="T1123" s="30"/>
      <c r="U1123" s="21" t="str">
        <f aca="false">IF(COUNT(K1123:T1123)=0,"SOURCE EMPTY / INDUSTRIAL ONLY",IF(MIN(K1123:T1123)=1,"SERVICE READY","HOLD"))</f>
        <v>SOURCE EMPTY / INDUSTRIAL ONLY</v>
      </c>
      <c r="V1123" s="9" t="n">
        <f aca="false">IF(U1123="SERVICE READY",1,0)</f>
        <v>0</v>
      </c>
      <c r="W1123" s="6"/>
      <c r="X1123" s="6"/>
      <c r="Y1123" s="6"/>
      <c r="Z1123" s="6"/>
    </row>
    <row r="1124" customFormat="false" ht="15" hidden="false" customHeight="false" outlineLevel="0" collapsed="false">
      <c r="A1124" s="9" t="s">
        <v>1352</v>
      </c>
      <c r="B1124" s="9" t="s">
        <v>1288</v>
      </c>
      <c r="C1124" s="9" t="s">
        <v>1289</v>
      </c>
      <c r="D1124" s="9" t="s">
        <v>1215</v>
      </c>
      <c r="E1124" s="9" t="s">
        <v>275</v>
      </c>
      <c r="F1124" s="9" t="s">
        <v>197</v>
      </c>
      <c r="G1124" s="9" t="s">
        <v>221</v>
      </c>
      <c r="H1124" s="9" t="n">
        <v>1050</v>
      </c>
      <c r="I1124" s="29" t="n">
        <v>2.5</v>
      </c>
      <c r="J1124" s="9" t="n">
        <v>0</v>
      </c>
      <c r="K1124" s="30"/>
      <c r="L1124" s="30"/>
      <c r="M1124" s="30"/>
      <c r="N1124" s="30"/>
      <c r="O1124" s="30"/>
      <c r="P1124" s="30"/>
      <c r="Q1124" s="30"/>
      <c r="R1124" s="30"/>
      <c r="S1124" s="30"/>
      <c r="T1124" s="30"/>
      <c r="U1124" s="21" t="str">
        <f aca="false">IF(COUNT(K1124:T1124)=0,"SOURCE EMPTY / INDUSTRIAL ONLY",IF(MIN(K1124:T1124)=1,"SERVICE READY","HOLD"))</f>
        <v>SOURCE EMPTY / INDUSTRIAL ONLY</v>
      </c>
      <c r="V1124" s="9" t="n">
        <f aca="false">IF(U1124="SERVICE READY",1,0)</f>
        <v>0</v>
      </c>
      <c r="W1124" s="6"/>
      <c r="X1124" s="6"/>
      <c r="Y1124" s="6"/>
      <c r="Z1124" s="6"/>
    </row>
    <row r="1125" customFormat="false" ht="15" hidden="false" customHeight="false" outlineLevel="0" collapsed="false">
      <c r="A1125" s="9" t="s">
        <v>1353</v>
      </c>
      <c r="B1125" s="9" t="s">
        <v>1288</v>
      </c>
      <c r="C1125" s="9" t="s">
        <v>1289</v>
      </c>
      <c r="D1125" s="9" t="s">
        <v>1215</v>
      </c>
      <c r="E1125" s="9" t="s">
        <v>275</v>
      </c>
      <c r="F1125" s="9" t="s">
        <v>200</v>
      </c>
      <c r="G1125" s="9" t="s">
        <v>221</v>
      </c>
      <c r="H1125" s="9" t="n">
        <v>1050</v>
      </c>
      <c r="I1125" s="29" t="n">
        <v>2.5</v>
      </c>
      <c r="J1125" s="9" t="n">
        <v>0</v>
      </c>
      <c r="K1125" s="30"/>
      <c r="L1125" s="30"/>
      <c r="M1125" s="30"/>
      <c r="N1125" s="30"/>
      <c r="O1125" s="30"/>
      <c r="P1125" s="30"/>
      <c r="Q1125" s="30"/>
      <c r="R1125" s="30"/>
      <c r="S1125" s="30"/>
      <c r="T1125" s="30"/>
      <c r="U1125" s="21" t="str">
        <f aca="false">IF(COUNT(K1125:T1125)=0,"SOURCE EMPTY / INDUSTRIAL ONLY",IF(MIN(K1125:T1125)=1,"SERVICE READY","HOLD"))</f>
        <v>SOURCE EMPTY / INDUSTRIAL ONLY</v>
      </c>
      <c r="V1125" s="9" t="n">
        <f aca="false">IF(U1125="SERVICE READY",1,0)</f>
        <v>0</v>
      </c>
      <c r="W1125" s="6"/>
      <c r="X1125" s="6"/>
      <c r="Y1125" s="6"/>
      <c r="Z1125" s="6"/>
    </row>
    <row r="1126" customFormat="false" ht="15" hidden="false" customHeight="false" outlineLevel="0" collapsed="false">
      <c r="A1126" s="9" t="s">
        <v>1354</v>
      </c>
      <c r="B1126" s="9" t="s">
        <v>1288</v>
      </c>
      <c r="C1126" s="9" t="s">
        <v>1289</v>
      </c>
      <c r="D1126" s="9" t="s">
        <v>1215</v>
      </c>
      <c r="E1126" s="9" t="s">
        <v>275</v>
      </c>
      <c r="F1126" s="9" t="s">
        <v>203</v>
      </c>
      <c r="G1126" s="9" t="s">
        <v>221</v>
      </c>
      <c r="H1126" s="9" t="n">
        <v>1050</v>
      </c>
      <c r="I1126" s="29" t="n">
        <v>2.5</v>
      </c>
      <c r="J1126" s="9" t="n">
        <v>0</v>
      </c>
      <c r="K1126" s="30"/>
      <c r="L1126" s="30"/>
      <c r="M1126" s="30"/>
      <c r="N1126" s="30"/>
      <c r="O1126" s="30"/>
      <c r="P1126" s="30"/>
      <c r="Q1126" s="30"/>
      <c r="R1126" s="30"/>
      <c r="S1126" s="30"/>
      <c r="T1126" s="30"/>
      <c r="U1126" s="21" t="str">
        <f aca="false">IF(COUNT(K1126:T1126)=0,"SOURCE EMPTY / INDUSTRIAL ONLY",IF(MIN(K1126:T1126)=1,"SERVICE READY","HOLD"))</f>
        <v>SOURCE EMPTY / INDUSTRIAL ONLY</v>
      </c>
      <c r="V1126" s="9" t="n">
        <f aca="false">IF(U1126="SERVICE READY",1,0)</f>
        <v>0</v>
      </c>
      <c r="W1126" s="6"/>
      <c r="X1126" s="6"/>
      <c r="Y1126" s="6"/>
      <c r="Z1126" s="6"/>
    </row>
    <row r="1127" customFormat="false" ht="15" hidden="false" customHeight="false" outlineLevel="0" collapsed="false">
      <c r="A1127" s="9" t="s">
        <v>1355</v>
      </c>
      <c r="B1127" s="9" t="s">
        <v>1288</v>
      </c>
      <c r="C1127" s="9" t="s">
        <v>1289</v>
      </c>
      <c r="D1127" s="9" t="s">
        <v>1215</v>
      </c>
      <c r="E1127" s="9" t="s">
        <v>275</v>
      </c>
      <c r="F1127" s="9" t="s">
        <v>205</v>
      </c>
      <c r="G1127" s="9" t="s">
        <v>221</v>
      </c>
      <c r="H1127" s="9" t="n">
        <v>1050</v>
      </c>
      <c r="I1127" s="29" t="n">
        <v>2.5</v>
      </c>
      <c r="J1127" s="9" t="n">
        <v>0</v>
      </c>
      <c r="K1127" s="30"/>
      <c r="L1127" s="30"/>
      <c r="M1127" s="30"/>
      <c r="N1127" s="30"/>
      <c r="O1127" s="30"/>
      <c r="P1127" s="30"/>
      <c r="Q1127" s="30"/>
      <c r="R1127" s="30"/>
      <c r="S1127" s="30"/>
      <c r="T1127" s="30"/>
      <c r="U1127" s="21" t="str">
        <f aca="false">IF(COUNT(K1127:T1127)=0,"SOURCE EMPTY / INDUSTRIAL ONLY",IF(MIN(K1127:T1127)=1,"SERVICE READY","HOLD"))</f>
        <v>SOURCE EMPTY / INDUSTRIAL ONLY</v>
      </c>
      <c r="V1127" s="9" t="n">
        <f aca="false">IF(U1127="SERVICE READY",1,0)</f>
        <v>0</v>
      </c>
      <c r="W1127" s="6"/>
      <c r="X1127" s="6"/>
      <c r="Y1127" s="6"/>
      <c r="Z1127" s="6"/>
    </row>
    <row r="1128" customFormat="false" ht="15" hidden="false" customHeight="false" outlineLevel="0" collapsed="false">
      <c r="A1128" s="9" t="s">
        <v>1356</v>
      </c>
      <c r="B1128" s="9" t="s">
        <v>1288</v>
      </c>
      <c r="C1128" s="9" t="s">
        <v>1289</v>
      </c>
      <c r="D1128" s="9" t="s">
        <v>1215</v>
      </c>
      <c r="E1128" s="9" t="s">
        <v>275</v>
      </c>
      <c r="F1128" s="9" t="s">
        <v>207</v>
      </c>
      <c r="G1128" s="9" t="s">
        <v>221</v>
      </c>
      <c r="H1128" s="9" t="n">
        <v>1050</v>
      </c>
      <c r="I1128" s="29" t="n">
        <v>2.5</v>
      </c>
      <c r="J1128" s="9" t="n">
        <v>0</v>
      </c>
      <c r="K1128" s="30"/>
      <c r="L1128" s="30"/>
      <c r="M1128" s="30"/>
      <c r="N1128" s="30"/>
      <c r="O1128" s="30"/>
      <c r="P1128" s="30"/>
      <c r="Q1128" s="30"/>
      <c r="R1128" s="30"/>
      <c r="S1128" s="30"/>
      <c r="T1128" s="30"/>
      <c r="U1128" s="21" t="str">
        <f aca="false">IF(COUNT(K1128:T1128)=0,"SOURCE EMPTY / INDUSTRIAL ONLY",IF(MIN(K1128:T1128)=1,"SERVICE READY","HOLD"))</f>
        <v>SOURCE EMPTY / INDUSTRIAL ONLY</v>
      </c>
      <c r="V1128" s="9" t="n">
        <f aca="false">IF(U1128="SERVICE READY",1,0)</f>
        <v>0</v>
      </c>
      <c r="W1128" s="6"/>
      <c r="X1128" s="6"/>
      <c r="Y1128" s="6"/>
      <c r="Z1128" s="6"/>
    </row>
    <row r="1129" customFormat="false" ht="15" hidden="false" customHeight="false" outlineLevel="0" collapsed="false">
      <c r="A1129" s="9" t="s">
        <v>1357</v>
      </c>
      <c r="B1129" s="9" t="s">
        <v>1288</v>
      </c>
      <c r="C1129" s="9" t="s">
        <v>1289</v>
      </c>
      <c r="D1129" s="9" t="s">
        <v>1215</v>
      </c>
      <c r="E1129" s="9" t="s">
        <v>275</v>
      </c>
      <c r="F1129" s="9" t="s">
        <v>209</v>
      </c>
      <c r="G1129" s="9" t="s">
        <v>221</v>
      </c>
      <c r="H1129" s="9" t="n">
        <v>1050</v>
      </c>
      <c r="I1129" s="29" t="n">
        <v>2.5</v>
      </c>
      <c r="J1129" s="9" t="n">
        <v>0</v>
      </c>
      <c r="K1129" s="30"/>
      <c r="L1129" s="30"/>
      <c r="M1129" s="30"/>
      <c r="N1129" s="30"/>
      <c r="O1129" s="30"/>
      <c r="P1129" s="30"/>
      <c r="Q1129" s="30"/>
      <c r="R1129" s="30"/>
      <c r="S1129" s="30"/>
      <c r="T1129" s="30"/>
      <c r="U1129" s="21" t="str">
        <f aca="false">IF(COUNT(K1129:T1129)=0,"SOURCE EMPTY / INDUSTRIAL ONLY",IF(MIN(K1129:T1129)=1,"SERVICE READY","HOLD"))</f>
        <v>SOURCE EMPTY / INDUSTRIAL ONLY</v>
      </c>
      <c r="V1129" s="9" t="n">
        <f aca="false">IF(U1129="SERVICE READY",1,0)</f>
        <v>0</v>
      </c>
      <c r="W1129" s="6"/>
      <c r="X1129" s="6"/>
      <c r="Y1129" s="6"/>
      <c r="Z1129" s="6"/>
    </row>
    <row r="1130" customFormat="false" ht="15" hidden="false" customHeight="false" outlineLevel="0" collapsed="false">
      <c r="A1130" s="9" t="s">
        <v>1358</v>
      </c>
      <c r="B1130" s="9" t="s">
        <v>1288</v>
      </c>
      <c r="C1130" s="9" t="s">
        <v>1289</v>
      </c>
      <c r="D1130" s="9" t="s">
        <v>1215</v>
      </c>
      <c r="E1130" s="9" t="s">
        <v>275</v>
      </c>
      <c r="F1130" s="9" t="s">
        <v>211</v>
      </c>
      <c r="G1130" s="9" t="s">
        <v>221</v>
      </c>
      <c r="H1130" s="9" t="n">
        <v>1050</v>
      </c>
      <c r="I1130" s="29" t="n">
        <v>2.5</v>
      </c>
      <c r="J1130" s="9" t="n">
        <v>0</v>
      </c>
      <c r="K1130" s="30"/>
      <c r="L1130" s="30"/>
      <c r="M1130" s="30"/>
      <c r="N1130" s="30"/>
      <c r="O1130" s="30"/>
      <c r="P1130" s="30"/>
      <c r="Q1130" s="30"/>
      <c r="R1130" s="30"/>
      <c r="S1130" s="30"/>
      <c r="T1130" s="30"/>
      <c r="U1130" s="21" t="str">
        <f aca="false">IF(COUNT(K1130:T1130)=0,"SOURCE EMPTY / INDUSTRIAL ONLY",IF(MIN(K1130:T1130)=1,"SERVICE READY","HOLD"))</f>
        <v>SOURCE EMPTY / INDUSTRIAL ONLY</v>
      </c>
      <c r="V1130" s="9" t="n">
        <f aca="false">IF(U1130="SERVICE READY",1,0)</f>
        <v>0</v>
      </c>
      <c r="W1130" s="6"/>
      <c r="X1130" s="6"/>
      <c r="Y1130" s="6"/>
      <c r="Z1130" s="6"/>
    </row>
    <row r="1131" customFormat="false" ht="15" hidden="false" customHeight="false" outlineLevel="0" collapsed="false">
      <c r="A1131" s="9" t="s">
        <v>1359</v>
      </c>
      <c r="B1131" s="9" t="s">
        <v>1288</v>
      </c>
      <c r="C1131" s="9" t="s">
        <v>1289</v>
      </c>
      <c r="D1131" s="9" t="s">
        <v>1215</v>
      </c>
      <c r="E1131" s="9" t="s">
        <v>275</v>
      </c>
      <c r="F1131" s="9" t="s">
        <v>197</v>
      </c>
      <c r="G1131" s="9" t="s">
        <v>221</v>
      </c>
      <c r="H1131" s="9" t="n">
        <v>1050</v>
      </c>
      <c r="I1131" s="29" t="n">
        <v>2.5</v>
      </c>
      <c r="J1131" s="9" t="n">
        <v>0</v>
      </c>
      <c r="K1131" s="30"/>
      <c r="L1131" s="30"/>
      <c r="M1131" s="30"/>
      <c r="N1131" s="30"/>
      <c r="O1131" s="30"/>
      <c r="P1131" s="30"/>
      <c r="Q1131" s="30"/>
      <c r="R1131" s="30"/>
      <c r="S1131" s="30"/>
      <c r="T1131" s="30"/>
      <c r="U1131" s="21" t="str">
        <f aca="false">IF(COUNT(K1131:T1131)=0,"SOURCE EMPTY / INDUSTRIAL ONLY",IF(MIN(K1131:T1131)=1,"SERVICE READY","HOLD"))</f>
        <v>SOURCE EMPTY / INDUSTRIAL ONLY</v>
      </c>
      <c r="V1131" s="9" t="n">
        <f aca="false">IF(U1131="SERVICE READY",1,0)</f>
        <v>0</v>
      </c>
      <c r="W1131" s="6"/>
      <c r="X1131" s="6"/>
      <c r="Y1131" s="6"/>
      <c r="Z1131" s="6"/>
    </row>
    <row r="1132" customFormat="false" ht="15" hidden="false" customHeight="false" outlineLevel="0" collapsed="false">
      <c r="A1132" s="9" t="s">
        <v>1360</v>
      </c>
      <c r="B1132" s="9" t="s">
        <v>1288</v>
      </c>
      <c r="C1132" s="9" t="s">
        <v>1289</v>
      </c>
      <c r="D1132" s="9" t="s">
        <v>1215</v>
      </c>
      <c r="E1132" s="9" t="s">
        <v>275</v>
      </c>
      <c r="F1132" s="9" t="s">
        <v>200</v>
      </c>
      <c r="G1132" s="9" t="s">
        <v>221</v>
      </c>
      <c r="H1132" s="9" t="n">
        <v>1050</v>
      </c>
      <c r="I1132" s="29" t="n">
        <v>2.5</v>
      </c>
      <c r="J1132" s="9" t="n">
        <v>0</v>
      </c>
      <c r="K1132" s="30"/>
      <c r="L1132" s="30"/>
      <c r="M1132" s="30"/>
      <c r="N1132" s="30"/>
      <c r="O1132" s="30"/>
      <c r="P1132" s="30"/>
      <c r="Q1132" s="30"/>
      <c r="R1132" s="30"/>
      <c r="S1132" s="30"/>
      <c r="T1132" s="30"/>
      <c r="U1132" s="21" t="str">
        <f aca="false">IF(COUNT(K1132:T1132)=0,"SOURCE EMPTY / INDUSTRIAL ONLY",IF(MIN(K1132:T1132)=1,"SERVICE READY","HOLD"))</f>
        <v>SOURCE EMPTY / INDUSTRIAL ONLY</v>
      </c>
      <c r="V1132" s="9" t="n">
        <f aca="false">IF(U1132="SERVICE READY",1,0)</f>
        <v>0</v>
      </c>
      <c r="W1132" s="6"/>
      <c r="X1132" s="6"/>
      <c r="Y1132" s="6"/>
      <c r="Z1132" s="6"/>
    </row>
    <row r="1133" customFormat="false" ht="15" hidden="false" customHeight="false" outlineLevel="0" collapsed="false">
      <c r="A1133" s="9" t="s">
        <v>1361</v>
      </c>
      <c r="B1133" s="9" t="s">
        <v>1288</v>
      </c>
      <c r="C1133" s="9" t="s">
        <v>1289</v>
      </c>
      <c r="D1133" s="9" t="s">
        <v>1215</v>
      </c>
      <c r="E1133" s="9" t="s">
        <v>275</v>
      </c>
      <c r="F1133" s="9" t="s">
        <v>203</v>
      </c>
      <c r="G1133" s="9" t="s">
        <v>221</v>
      </c>
      <c r="H1133" s="9" t="n">
        <v>1050</v>
      </c>
      <c r="I1133" s="29" t="n">
        <v>2.5</v>
      </c>
      <c r="J1133" s="9" t="n">
        <v>0</v>
      </c>
      <c r="K1133" s="30"/>
      <c r="L1133" s="30"/>
      <c r="M1133" s="30"/>
      <c r="N1133" s="30"/>
      <c r="O1133" s="30"/>
      <c r="P1133" s="30"/>
      <c r="Q1133" s="30"/>
      <c r="R1133" s="30"/>
      <c r="S1133" s="30"/>
      <c r="T1133" s="30"/>
      <c r="U1133" s="21" t="str">
        <f aca="false">IF(COUNT(K1133:T1133)=0,"SOURCE EMPTY / INDUSTRIAL ONLY",IF(MIN(K1133:T1133)=1,"SERVICE READY","HOLD"))</f>
        <v>SOURCE EMPTY / INDUSTRIAL ONLY</v>
      </c>
      <c r="V1133" s="9" t="n">
        <f aca="false">IF(U1133="SERVICE READY",1,0)</f>
        <v>0</v>
      </c>
      <c r="W1133" s="6"/>
      <c r="X1133" s="6"/>
      <c r="Y1133" s="6"/>
      <c r="Z1133" s="6"/>
    </row>
    <row r="1134" customFormat="false" ht="15" hidden="false" customHeight="false" outlineLevel="0" collapsed="false">
      <c r="A1134" s="9" t="s">
        <v>1362</v>
      </c>
      <c r="B1134" s="9" t="s">
        <v>1288</v>
      </c>
      <c r="C1134" s="9" t="s">
        <v>1289</v>
      </c>
      <c r="D1134" s="9" t="s">
        <v>1215</v>
      </c>
      <c r="E1134" s="9" t="s">
        <v>275</v>
      </c>
      <c r="F1134" s="9" t="s">
        <v>205</v>
      </c>
      <c r="G1134" s="9" t="s">
        <v>221</v>
      </c>
      <c r="H1134" s="9" t="n">
        <v>1050</v>
      </c>
      <c r="I1134" s="29" t="n">
        <v>2.5</v>
      </c>
      <c r="J1134" s="9" t="n">
        <v>0</v>
      </c>
      <c r="K1134" s="30"/>
      <c r="L1134" s="30"/>
      <c r="M1134" s="30"/>
      <c r="N1134" s="30"/>
      <c r="O1134" s="30"/>
      <c r="P1134" s="30"/>
      <c r="Q1134" s="30"/>
      <c r="R1134" s="30"/>
      <c r="S1134" s="30"/>
      <c r="T1134" s="30"/>
      <c r="U1134" s="21" t="str">
        <f aca="false">IF(COUNT(K1134:T1134)=0,"SOURCE EMPTY / INDUSTRIAL ONLY",IF(MIN(K1134:T1134)=1,"SERVICE READY","HOLD"))</f>
        <v>SOURCE EMPTY / INDUSTRIAL ONLY</v>
      </c>
      <c r="V1134" s="9" t="n">
        <f aca="false">IF(U1134="SERVICE READY",1,0)</f>
        <v>0</v>
      </c>
      <c r="W1134" s="6"/>
      <c r="X1134" s="6"/>
      <c r="Y1134" s="6"/>
      <c r="Z1134" s="6"/>
    </row>
    <row r="1135" customFormat="false" ht="15" hidden="false" customHeight="false" outlineLevel="0" collapsed="false">
      <c r="A1135" s="9" t="s">
        <v>1363</v>
      </c>
      <c r="B1135" s="9" t="s">
        <v>1288</v>
      </c>
      <c r="C1135" s="9" t="s">
        <v>1289</v>
      </c>
      <c r="D1135" s="9" t="s">
        <v>1215</v>
      </c>
      <c r="E1135" s="9" t="s">
        <v>275</v>
      </c>
      <c r="F1135" s="9" t="s">
        <v>207</v>
      </c>
      <c r="G1135" s="9" t="s">
        <v>221</v>
      </c>
      <c r="H1135" s="9" t="n">
        <v>1050</v>
      </c>
      <c r="I1135" s="29" t="n">
        <v>2.5</v>
      </c>
      <c r="J1135" s="9" t="n">
        <v>0</v>
      </c>
      <c r="K1135" s="30"/>
      <c r="L1135" s="30"/>
      <c r="M1135" s="30"/>
      <c r="N1135" s="30"/>
      <c r="O1135" s="30"/>
      <c r="P1135" s="30"/>
      <c r="Q1135" s="30"/>
      <c r="R1135" s="30"/>
      <c r="S1135" s="30"/>
      <c r="T1135" s="30"/>
      <c r="U1135" s="21" t="str">
        <f aca="false">IF(COUNT(K1135:T1135)=0,"SOURCE EMPTY / INDUSTRIAL ONLY",IF(MIN(K1135:T1135)=1,"SERVICE READY","HOLD"))</f>
        <v>SOURCE EMPTY / INDUSTRIAL ONLY</v>
      </c>
      <c r="V1135" s="9" t="n">
        <f aca="false">IF(U1135="SERVICE READY",1,0)</f>
        <v>0</v>
      </c>
      <c r="W1135" s="6"/>
      <c r="X1135" s="6"/>
      <c r="Y1135" s="6"/>
      <c r="Z1135" s="6"/>
    </row>
    <row r="1136" customFormat="false" ht="15" hidden="false" customHeight="false" outlineLevel="0" collapsed="false">
      <c r="A1136" s="9" t="s">
        <v>1364</v>
      </c>
      <c r="B1136" s="9" t="s">
        <v>1288</v>
      </c>
      <c r="C1136" s="9" t="s">
        <v>1289</v>
      </c>
      <c r="D1136" s="9" t="s">
        <v>1215</v>
      </c>
      <c r="E1136" s="9" t="s">
        <v>275</v>
      </c>
      <c r="F1136" s="9" t="s">
        <v>209</v>
      </c>
      <c r="G1136" s="9" t="s">
        <v>221</v>
      </c>
      <c r="H1136" s="9" t="n">
        <v>1050</v>
      </c>
      <c r="I1136" s="29" t="n">
        <v>2.5</v>
      </c>
      <c r="J1136" s="9" t="n">
        <v>0</v>
      </c>
      <c r="K1136" s="30"/>
      <c r="L1136" s="30"/>
      <c r="M1136" s="30"/>
      <c r="N1136" s="30"/>
      <c r="O1136" s="30"/>
      <c r="P1136" s="30"/>
      <c r="Q1136" s="30"/>
      <c r="R1136" s="30"/>
      <c r="S1136" s="30"/>
      <c r="T1136" s="30"/>
      <c r="U1136" s="21" t="str">
        <f aca="false">IF(COUNT(K1136:T1136)=0,"SOURCE EMPTY / INDUSTRIAL ONLY",IF(MIN(K1136:T1136)=1,"SERVICE READY","HOLD"))</f>
        <v>SOURCE EMPTY / INDUSTRIAL ONLY</v>
      </c>
      <c r="V1136" s="9" t="n">
        <f aca="false">IF(U1136="SERVICE READY",1,0)</f>
        <v>0</v>
      </c>
      <c r="W1136" s="6"/>
      <c r="X1136" s="6"/>
      <c r="Y1136" s="6"/>
      <c r="Z1136" s="6"/>
    </row>
    <row r="1137" customFormat="false" ht="15" hidden="false" customHeight="false" outlineLevel="0" collapsed="false">
      <c r="A1137" s="9" t="s">
        <v>1365</v>
      </c>
      <c r="B1137" s="9" t="s">
        <v>1288</v>
      </c>
      <c r="C1137" s="9" t="s">
        <v>1289</v>
      </c>
      <c r="D1137" s="9" t="s">
        <v>1215</v>
      </c>
      <c r="E1137" s="9" t="s">
        <v>275</v>
      </c>
      <c r="F1137" s="9" t="s">
        <v>211</v>
      </c>
      <c r="G1137" s="9" t="s">
        <v>221</v>
      </c>
      <c r="H1137" s="9" t="n">
        <v>1050</v>
      </c>
      <c r="I1137" s="29" t="n">
        <v>2.5</v>
      </c>
      <c r="J1137" s="9" t="n">
        <v>0</v>
      </c>
      <c r="K1137" s="30"/>
      <c r="L1137" s="30"/>
      <c r="M1137" s="30"/>
      <c r="N1137" s="30"/>
      <c r="O1137" s="30"/>
      <c r="P1137" s="30"/>
      <c r="Q1137" s="30"/>
      <c r="R1137" s="30"/>
      <c r="S1137" s="30"/>
      <c r="T1137" s="30"/>
      <c r="U1137" s="21" t="str">
        <f aca="false">IF(COUNT(K1137:T1137)=0,"SOURCE EMPTY / INDUSTRIAL ONLY",IF(MIN(K1137:T1137)=1,"SERVICE READY","HOLD"))</f>
        <v>SOURCE EMPTY / INDUSTRIAL ONLY</v>
      </c>
      <c r="V1137" s="9" t="n">
        <f aca="false">IF(U1137="SERVICE READY",1,0)</f>
        <v>0</v>
      </c>
      <c r="W1137" s="6"/>
      <c r="X1137" s="6"/>
      <c r="Y1137" s="6"/>
      <c r="Z1137" s="6"/>
    </row>
    <row r="1138" customFormat="false" ht="15" hidden="false" customHeight="false" outlineLevel="0" collapsed="false">
      <c r="A1138" s="9" t="s">
        <v>1366</v>
      </c>
      <c r="B1138" s="9" t="s">
        <v>1288</v>
      </c>
      <c r="C1138" s="9" t="s">
        <v>1289</v>
      </c>
      <c r="D1138" s="9" t="s">
        <v>1215</v>
      </c>
      <c r="E1138" s="9" t="s">
        <v>275</v>
      </c>
      <c r="F1138" s="9" t="s">
        <v>197</v>
      </c>
      <c r="G1138" s="9" t="s">
        <v>221</v>
      </c>
      <c r="H1138" s="9" t="n">
        <v>1050</v>
      </c>
      <c r="I1138" s="29" t="n">
        <v>2.5</v>
      </c>
      <c r="J1138" s="9" t="n">
        <v>0</v>
      </c>
      <c r="K1138" s="30"/>
      <c r="L1138" s="30"/>
      <c r="M1138" s="30"/>
      <c r="N1138" s="30"/>
      <c r="O1138" s="30"/>
      <c r="P1138" s="30"/>
      <c r="Q1138" s="30"/>
      <c r="R1138" s="30"/>
      <c r="S1138" s="30"/>
      <c r="T1138" s="30"/>
      <c r="U1138" s="21" t="str">
        <f aca="false">IF(COUNT(K1138:T1138)=0,"SOURCE EMPTY / INDUSTRIAL ONLY",IF(MIN(K1138:T1138)=1,"SERVICE READY","HOLD"))</f>
        <v>SOURCE EMPTY / INDUSTRIAL ONLY</v>
      </c>
      <c r="V1138" s="9" t="n">
        <f aca="false">IF(U1138="SERVICE READY",1,0)</f>
        <v>0</v>
      </c>
      <c r="W1138" s="6"/>
      <c r="X1138" s="6"/>
      <c r="Y1138" s="6"/>
      <c r="Z1138" s="6"/>
    </row>
    <row r="1139" customFormat="false" ht="15" hidden="false" customHeight="false" outlineLevel="0" collapsed="false">
      <c r="A1139" s="9" t="s">
        <v>1367</v>
      </c>
      <c r="B1139" s="9" t="s">
        <v>1288</v>
      </c>
      <c r="C1139" s="9" t="s">
        <v>1289</v>
      </c>
      <c r="D1139" s="9" t="s">
        <v>1215</v>
      </c>
      <c r="E1139" s="9" t="s">
        <v>275</v>
      </c>
      <c r="F1139" s="9" t="s">
        <v>200</v>
      </c>
      <c r="G1139" s="9" t="s">
        <v>221</v>
      </c>
      <c r="H1139" s="9" t="n">
        <v>1050</v>
      </c>
      <c r="I1139" s="29" t="n">
        <v>2.5</v>
      </c>
      <c r="J1139" s="9" t="n">
        <v>0</v>
      </c>
      <c r="K1139" s="30"/>
      <c r="L1139" s="30"/>
      <c r="M1139" s="30"/>
      <c r="N1139" s="30"/>
      <c r="O1139" s="30"/>
      <c r="P1139" s="30"/>
      <c r="Q1139" s="30"/>
      <c r="R1139" s="30"/>
      <c r="S1139" s="30"/>
      <c r="T1139" s="30"/>
      <c r="U1139" s="21" t="str">
        <f aca="false">IF(COUNT(K1139:T1139)=0,"SOURCE EMPTY / INDUSTRIAL ONLY",IF(MIN(K1139:T1139)=1,"SERVICE READY","HOLD"))</f>
        <v>SOURCE EMPTY / INDUSTRIAL ONLY</v>
      </c>
      <c r="V1139" s="9" t="n">
        <f aca="false">IF(U1139="SERVICE READY",1,0)</f>
        <v>0</v>
      </c>
      <c r="W1139" s="6"/>
      <c r="X1139" s="6"/>
      <c r="Y1139" s="6"/>
      <c r="Z1139" s="6"/>
    </row>
    <row r="1140" customFormat="false" ht="15" hidden="false" customHeight="false" outlineLevel="0" collapsed="false">
      <c r="A1140" s="9" t="s">
        <v>1368</v>
      </c>
      <c r="B1140" s="9" t="s">
        <v>1288</v>
      </c>
      <c r="C1140" s="9" t="s">
        <v>1289</v>
      </c>
      <c r="D1140" s="9" t="s">
        <v>1215</v>
      </c>
      <c r="E1140" s="9" t="s">
        <v>275</v>
      </c>
      <c r="F1140" s="9" t="s">
        <v>203</v>
      </c>
      <c r="G1140" s="9" t="s">
        <v>221</v>
      </c>
      <c r="H1140" s="9" t="n">
        <v>1050</v>
      </c>
      <c r="I1140" s="29" t="n">
        <v>2.5</v>
      </c>
      <c r="J1140" s="9" t="n">
        <v>0</v>
      </c>
      <c r="K1140" s="30"/>
      <c r="L1140" s="30"/>
      <c r="M1140" s="30"/>
      <c r="N1140" s="30"/>
      <c r="O1140" s="30"/>
      <c r="P1140" s="30"/>
      <c r="Q1140" s="30"/>
      <c r="R1140" s="30"/>
      <c r="S1140" s="30"/>
      <c r="T1140" s="30"/>
      <c r="U1140" s="21" t="str">
        <f aca="false">IF(COUNT(K1140:T1140)=0,"SOURCE EMPTY / INDUSTRIAL ONLY",IF(MIN(K1140:T1140)=1,"SERVICE READY","HOLD"))</f>
        <v>SOURCE EMPTY / INDUSTRIAL ONLY</v>
      </c>
      <c r="V1140" s="9" t="n">
        <f aca="false">IF(U1140="SERVICE READY",1,0)</f>
        <v>0</v>
      </c>
      <c r="W1140" s="6"/>
      <c r="X1140" s="6"/>
      <c r="Y1140" s="6"/>
      <c r="Z1140" s="6"/>
    </row>
    <row r="1141" customFormat="false" ht="15" hidden="false" customHeight="false" outlineLevel="0" collapsed="false">
      <c r="A1141" s="9" t="s">
        <v>1369</v>
      </c>
      <c r="B1141" s="9" t="s">
        <v>1288</v>
      </c>
      <c r="C1141" s="9" t="s">
        <v>1289</v>
      </c>
      <c r="D1141" s="9" t="s">
        <v>1215</v>
      </c>
      <c r="E1141" s="9" t="s">
        <v>275</v>
      </c>
      <c r="F1141" s="9" t="s">
        <v>205</v>
      </c>
      <c r="G1141" s="9" t="s">
        <v>221</v>
      </c>
      <c r="H1141" s="9" t="n">
        <v>1050</v>
      </c>
      <c r="I1141" s="29" t="n">
        <v>2.5</v>
      </c>
      <c r="J1141" s="9" t="n">
        <v>0</v>
      </c>
      <c r="K1141" s="30"/>
      <c r="L1141" s="30"/>
      <c r="M1141" s="30"/>
      <c r="N1141" s="30"/>
      <c r="O1141" s="30"/>
      <c r="P1141" s="30"/>
      <c r="Q1141" s="30"/>
      <c r="R1141" s="30"/>
      <c r="S1141" s="30"/>
      <c r="T1141" s="30"/>
      <c r="U1141" s="21" t="str">
        <f aca="false">IF(COUNT(K1141:T1141)=0,"SOURCE EMPTY / INDUSTRIAL ONLY",IF(MIN(K1141:T1141)=1,"SERVICE READY","HOLD"))</f>
        <v>SOURCE EMPTY / INDUSTRIAL ONLY</v>
      </c>
      <c r="V1141" s="9" t="n">
        <f aca="false">IF(U1141="SERVICE READY",1,0)</f>
        <v>0</v>
      </c>
      <c r="W1141" s="6"/>
      <c r="X1141" s="6"/>
      <c r="Y1141" s="6"/>
      <c r="Z1141" s="6"/>
    </row>
    <row r="1142" customFormat="false" ht="15" hidden="false" customHeight="false" outlineLevel="0" collapsed="false">
      <c r="A1142" s="9" t="s">
        <v>1370</v>
      </c>
      <c r="B1142" s="9" t="s">
        <v>1288</v>
      </c>
      <c r="C1142" s="9" t="s">
        <v>1289</v>
      </c>
      <c r="D1142" s="9" t="s">
        <v>1215</v>
      </c>
      <c r="E1142" s="9" t="s">
        <v>275</v>
      </c>
      <c r="F1142" s="9" t="s">
        <v>207</v>
      </c>
      <c r="G1142" s="9" t="s">
        <v>221</v>
      </c>
      <c r="H1142" s="9" t="n">
        <v>1050</v>
      </c>
      <c r="I1142" s="29" t="n">
        <v>2.5</v>
      </c>
      <c r="J1142" s="9" t="n">
        <v>0</v>
      </c>
      <c r="K1142" s="30"/>
      <c r="L1142" s="30"/>
      <c r="M1142" s="30"/>
      <c r="N1142" s="30"/>
      <c r="O1142" s="30"/>
      <c r="P1142" s="30"/>
      <c r="Q1142" s="30"/>
      <c r="R1142" s="30"/>
      <c r="S1142" s="30"/>
      <c r="T1142" s="30"/>
      <c r="U1142" s="21" t="str">
        <f aca="false">IF(COUNT(K1142:T1142)=0,"SOURCE EMPTY / INDUSTRIAL ONLY",IF(MIN(K1142:T1142)=1,"SERVICE READY","HOLD"))</f>
        <v>SOURCE EMPTY / INDUSTRIAL ONLY</v>
      </c>
      <c r="V1142" s="9" t="n">
        <f aca="false">IF(U1142="SERVICE READY",1,0)</f>
        <v>0</v>
      </c>
      <c r="W1142" s="6"/>
      <c r="X1142" s="6"/>
      <c r="Y1142" s="6"/>
      <c r="Z1142" s="6"/>
    </row>
    <row r="1143" customFormat="false" ht="15" hidden="false" customHeight="false" outlineLevel="0" collapsed="false">
      <c r="A1143" s="9" t="s">
        <v>1371</v>
      </c>
      <c r="B1143" s="9" t="s">
        <v>1288</v>
      </c>
      <c r="C1143" s="9" t="s">
        <v>1289</v>
      </c>
      <c r="D1143" s="9" t="s">
        <v>1215</v>
      </c>
      <c r="E1143" s="9" t="s">
        <v>275</v>
      </c>
      <c r="F1143" s="9" t="s">
        <v>209</v>
      </c>
      <c r="G1143" s="9" t="s">
        <v>221</v>
      </c>
      <c r="H1143" s="9" t="n">
        <v>1050</v>
      </c>
      <c r="I1143" s="29" t="n">
        <v>2.5</v>
      </c>
      <c r="J1143" s="9" t="n">
        <v>0</v>
      </c>
      <c r="K1143" s="30"/>
      <c r="L1143" s="30"/>
      <c r="M1143" s="30"/>
      <c r="N1143" s="30"/>
      <c r="O1143" s="30"/>
      <c r="P1143" s="30"/>
      <c r="Q1143" s="30"/>
      <c r="R1143" s="30"/>
      <c r="S1143" s="30"/>
      <c r="T1143" s="30"/>
      <c r="U1143" s="21" t="str">
        <f aca="false">IF(COUNT(K1143:T1143)=0,"SOURCE EMPTY / INDUSTRIAL ONLY",IF(MIN(K1143:T1143)=1,"SERVICE READY","HOLD"))</f>
        <v>SOURCE EMPTY / INDUSTRIAL ONLY</v>
      </c>
      <c r="V1143" s="9" t="n">
        <f aca="false">IF(U1143="SERVICE READY",1,0)</f>
        <v>0</v>
      </c>
      <c r="W1143" s="6"/>
      <c r="X1143" s="6"/>
      <c r="Y1143" s="6"/>
      <c r="Z1143" s="6"/>
    </row>
    <row r="1144" customFormat="false" ht="15" hidden="false" customHeight="false" outlineLevel="0" collapsed="false">
      <c r="A1144" s="9" t="s">
        <v>1372</v>
      </c>
      <c r="B1144" s="9" t="s">
        <v>1288</v>
      </c>
      <c r="C1144" s="9" t="s">
        <v>1289</v>
      </c>
      <c r="D1144" s="9" t="s">
        <v>1215</v>
      </c>
      <c r="E1144" s="9" t="s">
        <v>275</v>
      </c>
      <c r="F1144" s="9" t="s">
        <v>211</v>
      </c>
      <c r="G1144" s="9" t="s">
        <v>221</v>
      </c>
      <c r="H1144" s="9" t="n">
        <v>1050</v>
      </c>
      <c r="I1144" s="29" t="n">
        <v>2.5</v>
      </c>
      <c r="J1144" s="9" t="n">
        <v>0</v>
      </c>
      <c r="K1144" s="30"/>
      <c r="L1144" s="30"/>
      <c r="M1144" s="30"/>
      <c r="N1144" s="30"/>
      <c r="O1144" s="30"/>
      <c r="P1144" s="30"/>
      <c r="Q1144" s="30"/>
      <c r="R1144" s="30"/>
      <c r="S1144" s="30"/>
      <c r="T1144" s="30"/>
      <c r="U1144" s="21" t="str">
        <f aca="false">IF(COUNT(K1144:T1144)=0,"SOURCE EMPTY / INDUSTRIAL ONLY",IF(MIN(K1144:T1144)=1,"SERVICE READY","HOLD"))</f>
        <v>SOURCE EMPTY / INDUSTRIAL ONLY</v>
      </c>
      <c r="V1144" s="9" t="n">
        <f aca="false">IF(U1144="SERVICE READY",1,0)</f>
        <v>0</v>
      </c>
      <c r="W1144" s="6"/>
      <c r="X1144" s="6"/>
      <c r="Y1144" s="6"/>
      <c r="Z1144" s="6"/>
    </row>
    <row r="1145" customFormat="false" ht="15" hidden="false" customHeight="false" outlineLevel="0" collapsed="false">
      <c r="A1145" s="9" t="s">
        <v>1373</v>
      </c>
      <c r="B1145" s="9" t="s">
        <v>1374</v>
      </c>
      <c r="C1145" s="9" t="s">
        <v>1375</v>
      </c>
      <c r="D1145" s="9" t="s">
        <v>1215</v>
      </c>
      <c r="E1145" s="9" t="s">
        <v>773</v>
      </c>
      <c r="F1145" s="9" t="s">
        <v>197</v>
      </c>
      <c r="G1145" s="9" t="s">
        <v>198</v>
      </c>
      <c r="H1145" s="9" t="n">
        <v>1800</v>
      </c>
      <c r="I1145" s="29" t="n">
        <v>6</v>
      </c>
      <c r="J1145" s="9" t="n">
        <v>1</v>
      </c>
      <c r="K1145" s="30"/>
      <c r="L1145" s="30"/>
      <c r="M1145" s="30"/>
      <c r="N1145" s="30"/>
      <c r="O1145" s="30"/>
      <c r="P1145" s="30"/>
      <c r="Q1145" s="30"/>
      <c r="R1145" s="30"/>
      <c r="S1145" s="30"/>
      <c r="T1145" s="30"/>
      <c r="U1145" s="21" t="str">
        <f aca="false">IF(COUNT(K1145:T1145)=0,"SOURCE EMPTY / INDUSTRIAL ONLY",IF(MIN(K1145:T1145)=1,"SERVICE READY","HOLD"))</f>
        <v>SOURCE EMPTY / INDUSTRIAL ONLY</v>
      </c>
      <c r="V1145" s="9" t="n">
        <f aca="false">IF(U1145="SERVICE READY",1,0)</f>
        <v>0</v>
      </c>
      <c r="W1145" s="6"/>
      <c r="X1145" s="6"/>
      <c r="Y1145" s="6"/>
      <c r="Z1145" s="6"/>
    </row>
    <row r="1146" customFormat="false" ht="15" hidden="false" customHeight="false" outlineLevel="0" collapsed="false">
      <c r="A1146" s="9" t="s">
        <v>1376</v>
      </c>
      <c r="B1146" s="9" t="s">
        <v>1374</v>
      </c>
      <c r="C1146" s="9" t="s">
        <v>1375</v>
      </c>
      <c r="D1146" s="9" t="s">
        <v>1215</v>
      </c>
      <c r="E1146" s="9" t="s">
        <v>773</v>
      </c>
      <c r="F1146" s="9" t="s">
        <v>200</v>
      </c>
      <c r="G1146" s="9" t="s">
        <v>201</v>
      </c>
      <c r="H1146" s="9" t="n">
        <v>1800</v>
      </c>
      <c r="I1146" s="29" t="n">
        <v>6</v>
      </c>
      <c r="J1146" s="9" t="n">
        <v>1</v>
      </c>
      <c r="K1146" s="30"/>
      <c r="L1146" s="30"/>
      <c r="M1146" s="30"/>
      <c r="N1146" s="30"/>
      <c r="O1146" s="30"/>
      <c r="P1146" s="30"/>
      <c r="Q1146" s="30"/>
      <c r="R1146" s="30"/>
      <c r="S1146" s="30"/>
      <c r="T1146" s="30"/>
      <c r="U1146" s="21" t="str">
        <f aca="false">IF(COUNT(K1146:T1146)=0,"SOURCE EMPTY / INDUSTRIAL ONLY",IF(MIN(K1146:T1146)=1,"SERVICE READY","HOLD"))</f>
        <v>SOURCE EMPTY / INDUSTRIAL ONLY</v>
      </c>
      <c r="V1146" s="9" t="n">
        <f aca="false">IF(U1146="SERVICE READY",1,0)</f>
        <v>0</v>
      </c>
      <c r="W1146" s="6"/>
      <c r="X1146" s="6"/>
      <c r="Y1146" s="6"/>
      <c r="Z1146" s="6"/>
    </row>
    <row r="1147" customFormat="false" ht="15" hidden="false" customHeight="false" outlineLevel="0" collapsed="false">
      <c r="A1147" s="9" t="s">
        <v>1377</v>
      </c>
      <c r="B1147" s="9" t="s">
        <v>1374</v>
      </c>
      <c r="C1147" s="9" t="s">
        <v>1375</v>
      </c>
      <c r="D1147" s="9" t="s">
        <v>1215</v>
      </c>
      <c r="E1147" s="9" t="s">
        <v>773</v>
      </c>
      <c r="F1147" s="9" t="s">
        <v>203</v>
      </c>
      <c r="G1147" s="9" t="s">
        <v>198</v>
      </c>
      <c r="H1147" s="9" t="n">
        <v>1800</v>
      </c>
      <c r="I1147" s="29" t="n">
        <v>6</v>
      </c>
      <c r="J1147" s="9" t="n">
        <v>1</v>
      </c>
      <c r="K1147" s="30"/>
      <c r="L1147" s="30"/>
      <c r="M1147" s="30"/>
      <c r="N1147" s="30"/>
      <c r="O1147" s="30"/>
      <c r="P1147" s="30"/>
      <c r="Q1147" s="30"/>
      <c r="R1147" s="30"/>
      <c r="S1147" s="30"/>
      <c r="T1147" s="30"/>
      <c r="U1147" s="21" t="str">
        <f aca="false">IF(COUNT(K1147:T1147)=0,"SOURCE EMPTY / INDUSTRIAL ONLY",IF(MIN(K1147:T1147)=1,"SERVICE READY","HOLD"))</f>
        <v>SOURCE EMPTY / INDUSTRIAL ONLY</v>
      </c>
      <c r="V1147" s="9" t="n">
        <f aca="false">IF(U1147="SERVICE READY",1,0)</f>
        <v>0</v>
      </c>
      <c r="W1147" s="6"/>
      <c r="X1147" s="6"/>
      <c r="Y1147" s="6"/>
      <c r="Z1147" s="6"/>
    </row>
    <row r="1148" customFormat="false" ht="15" hidden="false" customHeight="false" outlineLevel="0" collapsed="false">
      <c r="A1148" s="9" t="s">
        <v>1378</v>
      </c>
      <c r="B1148" s="9" t="s">
        <v>1374</v>
      </c>
      <c r="C1148" s="9" t="s">
        <v>1375</v>
      </c>
      <c r="D1148" s="9" t="s">
        <v>1215</v>
      </c>
      <c r="E1148" s="9" t="s">
        <v>773</v>
      </c>
      <c r="F1148" s="9" t="s">
        <v>205</v>
      </c>
      <c r="G1148" s="9" t="s">
        <v>201</v>
      </c>
      <c r="H1148" s="9" t="n">
        <v>1800</v>
      </c>
      <c r="I1148" s="29" t="n">
        <v>6</v>
      </c>
      <c r="J1148" s="9" t="n">
        <v>1</v>
      </c>
      <c r="K1148" s="30"/>
      <c r="L1148" s="30"/>
      <c r="M1148" s="30"/>
      <c r="N1148" s="30"/>
      <c r="O1148" s="30"/>
      <c r="P1148" s="30"/>
      <c r="Q1148" s="30"/>
      <c r="R1148" s="30"/>
      <c r="S1148" s="30"/>
      <c r="T1148" s="30"/>
      <c r="U1148" s="21" t="str">
        <f aca="false">IF(COUNT(K1148:T1148)=0,"SOURCE EMPTY / INDUSTRIAL ONLY",IF(MIN(K1148:T1148)=1,"SERVICE READY","HOLD"))</f>
        <v>SOURCE EMPTY / INDUSTRIAL ONLY</v>
      </c>
      <c r="V1148" s="9" t="n">
        <f aca="false">IF(U1148="SERVICE READY",1,0)</f>
        <v>0</v>
      </c>
      <c r="W1148" s="6"/>
      <c r="X1148" s="6"/>
      <c r="Y1148" s="6"/>
      <c r="Z1148" s="6"/>
    </row>
    <row r="1149" customFormat="false" ht="15" hidden="false" customHeight="false" outlineLevel="0" collapsed="false">
      <c r="A1149" s="9" t="s">
        <v>1379</v>
      </c>
      <c r="B1149" s="9" t="s">
        <v>1374</v>
      </c>
      <c r="C1149" s="9" t="s">
        <v>1375</v>
      </c>
      <c r="D1149" s="9" t="s">
        <v>1215</v>
      </c>
      <c r="E1149" s="9" t="s">
        <v>773</v>
      </c>
      <c r="F1149" s="9" t="s">
        <v>207</v>
      </c>
      <c r="G1149" s="9" t="s">
        <v>198</v>
      </c>
      <c r="H1149" s="9" t="n">
        <v>1800</v>
      </c>
      <c r="I1149" s="29" t="n">
        <v>6</v>
      </c>
      <c r="J1149" s="9" t="n">
        <v>1</v>
      </c>
      <c r="K1149" s="30"/>
      <c r="L1149" s="30"/>
      <c r="M1149" s="30"/>
      <c r="N1149" s="30"/>
      <c r="O1149" s="30"/>
      <c r="P1149" s="30"/>
      <c r="Q1149" s="30"/>
      <c r="R1149" s="30"/>
      <c r="S1149" s="30"/>
      <c r="T1149" s="30"/>
      <c r="U1149" s="21" t="str">
        <f aca="false">IF(COUNT(K1149:T1149)=0,"SOURCE EMPTY / INDUSTRIAL ONLY",IF(MIN(K1149:T1149)=1,"SERVICE READY","HOLD"))</f>
        <v>SOURCE EMPTY / INDUSTRIAL ONLY</v>
      </c>
      <c r="V1149" s="9" t="n">
        <f aca="false">IF(U1149="SERVICE READY",1,0)</f>
        <v>0</v>
      </c>
      <c r="W1149" s="6"/>
      <c r="X1149" s="6"/>
      <c r="Y1149" s="6"/>
      <c r="Z1149" s="6"/>
    </row>
    <row r="1150" customFormat="false" ht="15" hidden="false" customHeight="false" outlineLevel="0" collapsed="false">
      <c r="A1150" s="9" t="s">
        <v>1380</v>
      </c>
      <c r="B1150" s="9" t="s">
        <v>1374</v>
      </c>
      <c r="C1150" s="9" t="s">
        <v>1375</v>
      </c>
      <c r="D1150" s="9" t="s">
        <v>1215</v>
      </c>
      <c r="E1150" s="9" t="s">
        <v>773</v>
      </c>
      <c r="F1150" s="9" t="s">
        <v>209</v>
      </c>
      <c r="G1150" s="9" t="s">
        <v>201</v>
      </c>
      <c r="H1150" s="9" t="n">
        <v>1800</v>
      </c>
      <c r="I1150" s="29" t="n">
        <v>6</v>
      </c>
      <c r="J1150" s="9" t="n">
        <v>1</v>
      </c>
      <c r="K1150" s="30"/>
      <c r="L1150" s="30"/>
      <c r="M1150" s="30"/>
      <c r="N1150" s="30"/>
      <c r="O1150" s="30"/>
      <c r="P1150" s="30"/>
      <c r="Q1150" s="30"/>
      <c r="R1150" s="30"/>
      <c r="S1150" s="30"/>
      <c r="T1150" s="30"/>
      <c r="U1150" s="21" t="str">
        <f aca="false">IF(COUNT(K1150:T1150)=0,"SOURCE EMPTY / INDUSTRIAL ONLY",IF(MIN(K1150:T1150)=1,"SERVICE READY","HOLD"))</f>
        <v>SOURCE EMPTY / INDUSTRIAL ONLY</v>
      </c>
      <c r="V1150" s="9" t="n">
        <f aca="false">IF(U1150="SERVICE READY",1,0)</f>
        <v>0</v>
      </c>
      <c r="W1150" s="6"/>
      <c r="X1150" s="6"/>
      <c r="Y1150" s="6"/>
      <c r="Z1150" s="6"/>
    </row>
    <row r="1151" customFormat="false" ht="15" hidden="false" customHeight="false" outlineLevel="0" collapsed="false">
      <c r="A1151" s="9" t="s">
        <v>1381</v>
      </c>
      <c r="B1151" s="9" t="s">
        <v>1374</v>
      </c>
      <c r="C1151" s="9" t="s">
        <v>1375</v>
      </c>
      <c r="D1151" s="9" t="s">
        <v>1215</v>
      </c>
      <c r="E1151" s="9" t="s">
        <v>773</v>
      </c>
      <c r="F1151" s="9" t="s">
        <v>211</v>
      </c>
      <c r="G1151" s="9" t="s">
        <v>221</v>
      </c>
      <c r="H1151" s="9" t="n">
        <v>1800</v>
      </c>
      <c r="I1151" s="29" t="n">
        <v>6</v>
      </c>
      <c r="J1151" s="9" t="n">
        <v>1</v>
      </c>
      <c r="K1151" s="30"/>
      <c r="L1151" s="30"/>
      <c r="M1151" s="30"/>
      <c r="N1151" s="30"/>
      <c r="O1151" s="30"/>
      <c r="P1151" s="30"/>
      <c r="Q1151" s="30"/>
      <c r="R1151" s="30"/>
      <c r="S1151" s="30"/>
      <c r="T1151" s="30"/>
      <c r="U1151" s="21" t="str">
        <f aca="false">IF(COUNT(K1151:T1151)=0,"SOURCE EMPTY / INDUSTRIAL ONLY",IF(MIN(K1151:T1151)=1,"SERVICE READY","HOLD"))</f>
        <v>SOURCE EMPTY / INDUSTRIAL ONLY</v>
      </c>
      <c r="V1151" s="9" t="n">
        <f aca="false">IF(U1151="SERVICE READY",1,0)</f>
        <v>0</v>
      </c>
      <c r="W1151" s="6"/>
      <c r="X1151" s="6"/>
      <c r="Y1151" s="6"/>
      <c r="Z1151" s="6"/>
    </row>
    <row r="1152" customFormat="false" ht="15" hidden="false" customHeight="false" outlineLevel="0" collapsed="false">
      <c r="A1152" s="9" t="s">
        <v>1382</v>
      </c>
      <c r="B1152" s="9" t="s">
        <v>1374</v>
      </c>
      <c r="C1152" s="9" t="s">
        <v>1375</v>
      </c>
      <c r="D1152" s="9" t="s">
        <v>1215</v>
      </c>
      <c r="E1152" s="9" t="s">
        <v>773</v>
      </c>
      <c r="F1152" s="9" t="s">
        <v>197</v>
      </c>
      <c r="G1152" s="9" t="s">
        <v>221</v>
      </c>
      <c r="H1152" s="9" t="n">
        <v>1800</v>
      </c>
      <c r="I1152" s="29" t="n">
        <v>6</v>
      </c>
      <c r="J1152" s="9" t="n">
        <v>1</v>
      </c>
      <c r="K1152" s="30"/>
      <c r="L1152" s="30"/>
      <c r="M1152" s="30"/>
      <c r="N1152" s="30"/>
      <c r="O1152" s="30"/>
      <c r="P1152" s="30"/>
      <c r="Q1152" s="30"/>
      <c r="R1152" s="30"/>
      <c r="S1152" s="30"/>
      <c r="T1152" s="30"/>
      <c r="U1152" s="21" t="str">
        <f aca="false">IF(COUNT(K1152:T1152)=0,"SOURCE EMPTY / INDUSTRIAL ONLY",IF(MIN(K1152:T1152)=1,"SERVICE READY","HOLD"))</f>
        <v>SOURCE EMPTY / INDUSTRIAL ONLY</v>
      </c>
      <c r="V1152" s="9" t="n">
        <f aca="false">IF(U1152="SERVICE READY",1,0)</f>
        <v>0</v>
      </c>
      <c r="W1152" s="6"/>
      <c r="X1152" s="6"/>
      <c r="Y1152" s="6"/>
      <c r="Z1152" s="6"/>
    </row>
    <row r="1153" customFormat="false" ht="15" hidden="false" customHeight="false" outlineLevel="0" collapsed="false">
      <c r="A1153" s="9" t="s">
        <v>1383</v>
      </c>
      <c r="B1153" s="9" t="s">
        <v>1374</v>
      </c>
      <c r="C1153" s="9" t="s">
        <v>1375</v>
      </c>
      <c r="D1153" s="9" t="s">
        <v>1215</v>
      </c>
      <c r="E1153" s="9" t="s">
        <v>773</v>
      </c>
      <c r="F1153" s="9" t="s">
        <v>200</v>
      </c>
      <c r="G1153" s="9" t="s">
        <v>221</v>
      </c>
      <c r="H1153" s="9" t="n">
        <v>1800</v>
      </c>
      <c r="I1153" s="29" t="n">
        <v>6</v>
      </c>
      <c r="J1153" s="9" t="n">
        <v>1</v>
      </c>
      <c r="K1153" s="30"/>
      <c r="L1153" s="30"/>
      <c r="M1153" s="30"/>
      <c r="N1153" s="30"/>
      <c r="O1153" s="30"/>
      <c r="P1153" s="30"/>
      <c r="Q1153" s="30"/>
      <c r="R1153" s="30"/>
      <c r="S1153" s="30"/>
      <c r="T1153" s="30"/>
      <c r="U1153" s="21" t="str">
        <f aca="false">IF(COUNT(K1153:T1153)=0,"SOURCE EMPTY / INDUSTRIAL ONLY",IF(MIN(K1153:T1153)=1,"SERVICE READY","HOLD"))</f>
        <v>SOURCE EMPTY / INDUSTRIAL ONLY</v>
      </c>
      <c r="V1153" s="9" t="n">
        <f aca="false">IF(U1153="SERVICE READY",1,0)</f>
        <v>0</v>
      </c>
      <c r="W1153" s="6"/>
      <c r="X1153" s="6"/>
      <c r="Y1153" s="6"/>
      <c r="Z1153" s="6"/>
    </row>
    <row r="1154" customFormat="false" ht="15" hidden="false" customHeight="false" outlineLevel="0" collapsed="false">
      <c r="A1154" s="9" t="s">
        <v>1384</v>
      </c>
      <c r="B1154" s="9" t="s">
        <v>1374</v>
      </c>
      <c r="C1154" s="9" t="s">
        <v>1375</v>
      </c>
      <c r="D1154" s="9" t="s">
        <v>1215</v>
      </c>
      <c r="E1154" s="9" t="s">
        <v>773</v>
      </c>
      <c r="F1154" s="9" t="s">
        <v>203</v>
      </c>
      <c r="G1154" s="9" t="s">
        <v>221</v>
      </c>
      <c r="H1154" s="9" t="n">
        <v>1800</v>
      </c>
      <c r="I1154" s="29" t="n">
        <v>6</v>
      </c>
      <c r="J1154" s="9" t="n">
        <v>1</v>
      </c>
      <c r="K1154" s="30"/>
      <c r="L1154" s="30"/>
      <c r="M1154" s="30"/>
      <c r="N1154" s="30"/>
      <c r="O1154" s="30"/>
      <c r="P1154" s="30"/>
      <c r="Q1154" s="30"/>
      <c r="R1154" s="30"/>
      <c r="S1154" s="30"/>
      <c r="T1154" s="30"/>
      <c r="U1154" s="21" t="str">
        <f aca="false">IF(COUNT(K1154:T1154)=0,"SOURCE EMPTY / INDUSTRIAL ONLY",IF(MIN(K1154:T1154)=1,"SERVICE READY","HOLD"))</f>
        <v>SOURCE EMPTY / INDUSTRIAL ONLY</v>
      </c>
      <c r="V1154" s="9" t="n">
        <f aca="false">IF(U1154="SERVICE READY",1,0)</f>
        <v>0</v>
      </c>
      <c r="W1154" s="6"/>
      <c r="X1154" s="6"/>
      <c r="Y1154" s="6"/>
      <c r="Z1154" s="6"/>
    </row>
    <row r="1155" customFormat="false" ht="15" hidden="false" customHeight="false" outlineLevel="0" collapsed="false">
      <c r="A1155" s="9" t="s">
        <v>1385</v>
      </c>
      <c r="B1155" s="9" t="s">
        <v>1374</v>
      </c>
      <c r="C1155" s="9" t="s">
        <v>1375</v>
      </c>
      <c r="D1155" s="9" t="s">
        <v>1215</v>
      </c>
      <c r="E1155" s="9" t="s">
        <v>773</v>
      </c>
      <c r="F1155" s="9" t="s">
        <v>205</v>
      </c>
      <c r="G1155" s="9" t="s">
        <v>221</v>
      </c>
      <c r="H1155" s="9" t="n">
        <v>1800</v>
      </c>
      <c r="I1155" s="29" t="n">
        <v>6</v>
      </c>
      <c r="J1155" s="9" t="n">
        <v>1</v>
      </c>
      <c r="K1155" s="30"/>
      <c r="L1155" s="30"/>
      <c r="M1155" s="30"/>
      <c r="N1155" s="30"/>
      <c r="O1155" s="30"/>
      <c r="P1155" s="30"/>
      <c r="Q1155" s="30"/>
      <c r="R1155" s="30"/>
      <c r="S1155" s="30"/>
      <c r="T1155" s="30"/>
      <c r="U1155" s="21" t="str">
        <f aca="false">IF(COUNT(K1155:T1155)=0,"SOURCE EMPTY / INDUSTRIAL ONLY",IF(MIN(K1155:T1155)=1,"SERVICE READY","HOLD"))</f>
        <v>SOURCE EMPTY / INDUSTRIAL ONLY</v>
      </c>
      <c r="V1155" s="9" t="n">
        <f aca="false">IF(U1155="SERVICE READY",1,0)</f>
        <v>0</v>
      </c>
      <c r="W1155" s="6"/>
      <c r="X1155" s="6"/>
      <c r="Y1155" s="6"/>
      <c r="Z1155" s="6"/>
    </row>
    <row r="1156" customFormat="false" ht="15" hidden="false" customHeight="false" outlineLevel="0" collapsed="false">
      <c r="A1156" s="9" t="s">
        <v>1386</v>
      </c>
      <c r="B1156" s="9" t="s">
        <v>1374</v>
      </c>
      <c r="C1156" s="9" t="s">
        <v>1375</v>
      </c>
      <c r="D1156" s="9" t="s">
        <v>1215</v>
      </c>
      <c r="E1156" s="9" t="s">
        <v>773</v>
      </c>
      <c r="F1156" s="9" t="s">
        <v>207</v>
      </c>
      <c r="G1156" s="9" t="s">
        <v>221</v>
      </c>
      <c r="H1156" s="9" t="n">
        <v>1800</v>
      </c>
      <c r="I1156" s="29" t="n">
        <v>6</v>
      </c>
      <c r="J1156" s="9" t="n">
        <v>1</v>
      </c>
      <c r="K1156" s="30"/>
      <c r="L1156" s="30"/>
      <c r="M1156" s="30"/>
      <c r="N1156" s="30"/>
      <c r="O1156" s="30"/>
      <c r="P1156" s="30"/>
      <c r="Q1156" s="30"/>
      <c r="R1156" s="30"/>
      <c r="S1156" s="30"/>
      <c r="T1156" s="30"/>
      <c r="U1156" s="21" t="str">
        <f aca="false">IF(COUNT(K1156:T1156)=0,"SOURCE EMPTY / INDUSTRIAL ONLY",IF(MIN(K1156:T1156)=1,"SERVICE READY","HOLD"))</f>
        <v>SOURCE EMPTY / INDUSTRIAL ONLY</v>
      </c>
      <c r="V1156" s="9" t="n">
        <f aca="false">IF(U1156="SERVICE READY",1,0)</f>
        <v>0</v>
      </c>
      <c r="W1156" s="6"/>
      <c r="X1156" s="6"/>
      <c r="Y1156" s="6"/>
      <c r="Z1156" s="6"/>
    </row>
    <row r="1157" customFormat="false" ht="15" hidden="false" customHeight="false" outlineLevel="0" collapsed="false">
      <c r="A1157" s="9" t="s">
        <v>1387</v>
      </c>
      <c r="B1157" s="9" t="s">
        <v>1374</v>
      </c>
      <c r="C1157" s="9" t="s">
        <v>1375</v>
      </c>
      <c r="D1157" s="9" t="s">
        <v>1215</v>
      </c>
      <c r="E1157" s="9" t="s">
        <v>773</v>
      </c>
      <c r="F1157" s="9" t="s">
        <v>209</v>
      </c>
      <c r="G1157" s="9" t="s">
        <v>221</v>
      </c>
      <c r="H1157" s="9" t="n">
        <v>1800</v>
      </c>
      <c r="I1157" s="29" t="n">
        <v>6</v>
      </c>
      <c r="J1157" s="9" t="n">
        <v>1</v>
      </c>
      <c r="K1157" s="30"/>
      <c r="L1157" s="30"/>
      <c r="M1157" s="30"/>
      <c r="N1157" s="30"/>
      <c r="O1157" s="30"/>
      <c r="P1157" s="30"/>
      <c r="Q1157" s="30"/>
      <c r="R1157" s="30"/>
      <c r="S1157" s="30"/>
      <c r="T1157" s="30"/>
      <c r="U1157" s="21" t="str">
        <f aca="false">IF(COUNT(K1157:T1157)=0,"SOURCE EMPTY / INDUSTRIAL ONLY",IF(MIN(K1157:T1157)=1,"SERVICE READY","HOLD"))</f>
        <v>SOURCE EMPTY / INDUSTRIAL ONLY</v>
      </c>
      <c r="V1157" s="9" t="n">
        <f aca="false">IF(U1157="SERVICE READY",1,0)</f>
        <v>0</v>
      </c>
      <c r="W1157" s="6"/>
      <c r="X1157" s="6"/>
      <c r="Y1157" s="6"/>
      <c r="Z1157" s="6"/>
    </row>
    <row r="1158" customFormat="false" ht="15" hidden="false" customHeight="false" outlineLevel="0" collapsed="false">
      <c r="A1158" s="9" t="s">
        <v>1388</v>
      </c>
      <c r="B1158" s="9" t="s">
        <v>1374</v>
      </c>
      <c r="C1158" s="9" t="s">
        <v>1375</v>
      </c>
      <c r="D1158" s="9" t="s">
        <v>1215</v>
      </c>
      <c r="E1158" s="9" t="s">
        <v>773</v>
      </c>
      <c r="F1158" s="9" t="s">
        <v>211</v>
      </c>
      <c r="G1158" s="9" t="s">
        <v>221</v>
      </c>
      <c r="H1158" s="9" t="n">
        <v>1800</v>
      </c>
      <c r="I1158" s="29" t="n">
        <v>6</v>
      </c>
      <c r="J1158" s="9" t="n">
        <v>1</v>
      </c>
      <c r="K1158" s="30"/>
      <c r="L1158" s="30"/>
      <c r="M1158" s="30"/>
      <c r="N1158" s="30"/>
      <c r="O1158" s="30"/>
      <c r="P1158" s="30"/>
      <c r="Q1158" s="30"/>
      <c r="R1158" s="30"/>
      <c r="S1158" s="30"/>
      <c r="T1158" s="30"/>
      <c r="U1158" s="21" t="str">
        <f aca="false">IF(COUNT(K1158:T1158)=0,"SOURCE EMPTY / INDUSTRIAL ONLY",IF(MIN(K1158:T1158)=1,"SERVICE READY","HOLD"))</f>
        <v>SOURCE EMPTY / INDUSTRIAL ONLY</v>
      </c>
      <c r="V1158" s="9" t="n">
        <f aca="false">IF(U1158="SERVICE READY",1,0)</f>
        <v>0</v>
      </c>
      <c r="W1158" s="6"/>
      <c r="X1158" s="6"/>
      <c r="Y1158" s="6"/>
      <c r="Z1158" s="6"/>
    </row>
    <row r="1159" customFormat="false" ht="15" hidden="false" customHeight="false" outlineLevel="0" collapsed="false">
      <c r="A1159" s="9" t="s">
        <v>1389</v>
      </c>
      <c r="B1159" s="9" t="s">
        <v>1374</v>
      </c>
      <c r="C1159" s="9" t="s">
        <v>1375</v>
      </c>
      <c r="D1159" s="9" t="s">
        <v>1215</v>
      </c>
      <c r="E1159" s="9" t="s">
        <v>773</v>
      </c>
      <c r="F1159" s="9" t="s">
        <v>197</v>
      </c>
      <c r="G1159" s="9" t="s">
        <v>221</v>
      </c>
      <c r="H1159" s="9" t="n">
        <v>1800</v>
      </c>
      <c r="I1159" s="29" t="n">
        <v>6</v>
      </c>
      <c r="J1159" s="9" t="n">
        <v>1</v>
      </c>
      <c r="K1159" s="30"/>
      <c r="L1159" s="30"/>
      <c r="M1159" s="30"/>
      <c r="N1159" s="30"/>
      <c r="O1159" s="30"/>
      <c r="P1159" s="30"/>
      <c r="Q1159" s="30"/>
      <c r="R1159" s="30"/>
      <c r="S1159" s="30"/>
      <c r="T1159" s="30"/>
      <c r="U1159" s="21" t="str">
        <f aca="false">IF(COUNT(K1159:T1159)=0,"SOURCE EMPTY / INDUSTRIAL ONLY",IF(MIN(K1159:T1159)=1,"SERVICE READY","HOLD"))</f>
        <v>SOURCE EMPTY / INDUSTRIAL ONLY</v>
      </c>
      <c r="V1159" s="9" t="n">
        <f aca="false">IF(U1159="SERVICE READY",1,0)</f>
        <v>0</v>
      </c>
      <c r="W1159" s="6"/>
      <c r="X1159" s="6"/>
      <c r="Y1159" s="6"/>
      <c r="Z1159" s="6"/>
    </row>
    <row r="1160" customFormat="false" ht="15" hidden="false" customHeight="false" outlineLevel="0" collapsed="false">
      <c r="A1160" s="9" t="s">
        <v>1390</v>
      </c>
      <c r="B1160" s="9" t="s">
        <v>1374</v>
      </c>
      <c r="C1160" s="9" t="s">
        <v>1375</v>
      </c>
      <c r="D1160" s="9" t="s">
        <v>1215</v>
      </c>
      <c r="E1160" s="9" t="s">
        <v>773</v>
      </c>
      <c r="F1160" s="9" t="s">
        <v>200</v>
      </c>
      <c r="G1160" s="9" t="s">
        <v>221</v>
      </c>
      <c r="H1160" s="9" t="n">
        <v>1800</v>
      </c>
      <c r="I1160" s="29" t="n">
        <v>6</v>
      </c>
      <c r="J1160" s="9" t="n">
        <v>1</v>
      </c>
      <c r="K1160" s="30"/>
      <c r="L1160" s="30"/>
      <c r="M1160" s="30"/>
      <c r="N1160" s="30"/>
      <c r="O1160" s="30"/>
      <c r="P1160" s="30"/>
      <c r="Q1160" s="30"/>
      <c r="R1160" s="30"/>
      <c r="S1160" s="30"/>
      <c r="T1160" s="30"/>
      <c r="U1160" s="21" t="str">
        <f aca="false">IF(COUNT(K1160:T1160)=0,"SOURCE EMPTY / INDUSTRIAL ONLY",IF(MIN(K1160:T1160)=1,"SERVICE READY","HOLD"))</f>
        <v>SOURCE EMPTY / INDUSTRIAL ONLY</v>
      </c>
      <c r="V1160" s="9" t="n">
        <f aca="false">IF(U1160="SERVICE READY",1,0)</f>
        <v>0</v>
      </c>
      <c r="W1160" s="6"/>
      <c r="X1160" s="6"/>
      <c r="Y1160" s="6"/>
      <c r="Z1160" s="6"/>
    </row>
    <row r="1161" customFormat="false" ht="15" hidden="false" customHeight="false" outlineLevel="0" collapsed="false">
      <c r="A1161" s="9" t="s">
        <v>1391</v>
      </c>
      <c r="B1161" s="9" t="s">
        <v>1374</v>
      </c>
      <c r="C1161" s="9" t="s">
        <v>1375</v>
      </c>
      <c r="D1161" s="9" t="s">
        <v>1215</v>
      </c>
      <c r="E1161" s="9" t="s">
        <v>773</v>
      </c>
      <c r="F1161" s="9" t="s">
        <v>203</v>
      </c>
      <c r="G1161" s="9" t="s">
        <v>221</v>
      </c>
      <c r="H1161" s="9" t="n">
        <v>1800</v>
      </c>
      <c r="I1161" s="29" t="n">
        <v>6</v>
      </c>
      <c r="J1161" s="9" t="n">
        <v>1</v>
      </c>
      <c r="K1161" s="30"/>
      <c r="L1161" s="30"/>
      <c r="M1161" s="30"/>
      <c r="N1161" s="30"/>
      <c r="O1161" s="30"/>
      <c r="P1161" s="30"/>
      <c r="Q1161" s="30"/>
      <c r="R1161" s="30"/>
      <c r="S1161" s="30"/>
      <c r="T1161" s="30"/>
      <c r="U1161" s="21" t="str">
        <f aca="false">IF(COUNT(K1161:T1161)=0,"SOURCE EMPTY / INDUSTRIAL ONLY",IF(MIN(K1161:T1161)=1,"SERVICE READY","HOLD"))</f>
        <v>SOURCE EMPTY / INDUSTRIAL ONLY</v>
      </c>
      <c r="V1161" s="9" t="n">
        <f aca="false">IF(U1161="SERVICE READY",1,0)</f>
        <v>0</v>
      </c>
      <c r="W1161" s="6"/>
      <c r="X1161" s="6"/>
      <c r="Y1161" s="6"/>
      <c r="Z1161" s="6"/>
    </row>
    <row r="1162" customFormat="false" ht="15" hidden="false" customHeight="false" outlineLevel="0" collapsed="false">
      <c r="A1162" s="9" t="s">
        <v>1392</v>
      </c>
      <c r="B1162" s="9" t="s">
        <v>1374</v>
      </c>
      <c r="C1162" s="9" t="s">
        <v>1375</v>
      </c>
      <c r="D1162" s="9" t="s">
        <v>1215</v>
      </c>
      <c r="E1162" s="9" t="s">
        <v>773</v>
      </c>
      <c r="F1162" s="9" t="s">
        <v>205</v>
      </c>
      <c r="G1162" s="9" t="s">
        <v>221</v>
      </c>
      <c r="H1162" s="9" t="n">
        <v>1800</v>
      </c>
      <c r="I1162" s="29" t="n">
        <v>6</v>
      </c>
      <c r="J1162" s="9" t="n">
        <v>1</v>
      </c>
      <c r="K1162" s="30"/>
      <c r="L1162" s="30"/>
      <c r="M1162" s="30"/>
      <c r="N1162" s="30"/>
      <c r="O1162" s="30"/>
      <c r="P1162" s="30"/>
      <c r="Q1162" s="30"/>
      <c r="R1162" s="30"/>
      <c r="S1162" s="30"/>
      <c r="T1162" s="30"/>
      <c r="U1162" s="21" t="str">
        <f aca="false">IF(COUNT(K1162:T1162)=0,"SOURCE EMPTY / INDUSTRIAL ONLY",IF(MIN(K1162:T1162)=1,"SERVICE READY","HOLD"))</f>
        <v>SOURCE EMPTY / INDUSTRIAL ONLY</v>
      </c>
      <c r="V1162" s="9" t="n">
        <f aca="false">IF(U1162="SERVICE READY",1,0)</f>
        <v>0</v>
      </c>
      <c r="W1162" s="6"/>
      <c r="X1162" s="6"/>
      <c r="Y1162" s="6"/>
      <c r="Z1162" s="6"/>
    </row>
    <row r="1163" customFormat="false" ht="15" hidden="false" customHeight="false" outlineLevel="0" collapsed="false">
      <c r="A1163" s="9" t="s">
        <v>1393</v>
      </c>
      <c r="B1163" s="9" t="s">
        <v>1374</v>
      </c>
      <c r="C1163" s="9" t="s">
        <v>1375</v>
      </c>
      <c r="D1163" s="9" t="s">
        <v>1215</v>
      </c>
      <c r="E1163" s="9" t="s">
        <v>773</v>
      </c>
      <c r="F1163" s="9" t="s">
        <v>207</v>
      </c>
      <c r="G1163" s="9" t="s">
        <v>221</v>
      </c>
      <c r="H1163" s="9" t="n">
        <v>1800</v>
      </c>
      <c r="I1163" s="29" t="n">
        <v>6</v>
      </c>
      <c r="J1163" s="9" t="n">
        <v>1</v>
      </c>
      <c r="K1163" s="30"/>
      <c r="L1163" s="30"/>
      <c r="M1163" s="30"/>
      <c r="N1163" s="30"/>
      <c r="O1163" s="30"/>
      <c r="P1163" s="30"/>
      <c r="Q1163" s="30"/>
      <c r="R1163" s="30"/>
      <c r="S1163" s="30"/>
      <c r="T1163" s="30"/>
      <c r="U1163" s="21" t="str">
        <f aca="false">IF(COUNT(K1163:T1163)=0,"SOURCE EMPTY / INDUSTRIAL ONLY",IF(MIN(K1163:T1163)=1,"SERVICE READY","HOLD"))</f>
        <v>SOURCE EMPTY / INDUSTRIAL ONLY</v>
      </c>
      <c r="V1163" s="9" t="n">
        <f aca="false">IF(U1163="SERVICE READY",1,0)</f>
        <v>0</v>
      </c>
      <c r="W1163" s="6"/>
      <c r="X1163" s="6"/>
      <c r="Y1163" s="6"/>
      <c r="Z1163" s="6"/>
    </row>
    <row r="1164" customFormat="false" ht="15" hidden="false" customHeight="false" outlineLevel="0" collapsed="false">
      <c r="A1164" s="9" t="s">
        <v>1394</v>
      </c>
      <c r="B1164" s="9" t="s">
        <v>1374</v>
      </c>
      <c r="C1164" s="9" t="s">
        <v>1375</v>
      </c>
      <c r="D1164" s="9" t="s">
        <v>1215</v>
      </c>
      <c r="E1164" s="9" t="s">
        <v>773</v>
      </c>
      <c r="F1164" s="9" t="s">
        <v>209</v>
      </c>
      <c r="G1164" s="9" t="s">
        <v>221</v>
      </c>
      <c r="H1164" s="9" t="n">
        <v>1800</v>
      </c>
      <c r="I1164" s="29" t="n">
        <v>6</v>
      </c>
      <c r="J1164" s="9" t="n">
        <v>1</v>
      </c>
      <c r="K1164" s="30"/>
      <c r="L1164" s="30"/>
      <c r="M1164" s="30"/>
      <c r="N1164" s="30"/>
      <c r="O1164" s="30"/>
      <c r="P1164" s="30"/>
      <c r="Q1164" s="30"/>
      <c r="R1164" s="30"/>
      <c r="S1164" s="30"/>
      <c r="T1164" s="30"/>
      <c r="U1164" s="21" t="str">
        <f aca="false">IF(COUNT(K1164:T1164)=0,"SOURCE EMPTY / INDUSTRIAL ONLY",IF(MIN(K1164:T1164)=1,"SERVICE READY","HOLD"))</f>
        <v>SOURCE EMPTY / INDUSTRIAL ONLY</v>
      </c>
      <c r="V1164" s="9" t="n">
        <f aca="false">IF(U1164="SERVICE READY",1,0)</f>
        <v>0</v>
      </c>
      <c r="W1164" s="6"/>
      <c r="X1164" s="6"/>
      <c r="Y1164" s="6"/>
      <c r="Z1164" s="6"/>
    </row>
    <row r="1165" customFormat="false" ht="15" hidden="false" customHeight="false" outlineLevel="0" collapsed="false">
      <c r="A1165" s="9" t="s">
        <v>1395</v>
      </c>
      <c r="B1165" s="9" t="s">
        <v>1374</v>
      </c>
      <c r="C1165" s="9" t="s">
        <v>1375</v>
      </c>
      <c r="D1165" s="9" t="s">
        <v>1215</v>
      </c>
      <c r="E1165" s="9" t="s">
        <v>773</v>
      </c>
      <c r="F1165" s="9" t="s">
        <v>211</v>
      </c>
      <c r="G1165" s="9" t="s">
        <v>221</v>
      </c>
      <c r="H1165" s="9" t="n">
        <v>1800</v>
      </c>
      <c r="I1165" s="29" t="n">
        <v>6</v>
      </c>
      <c r="J1165" s="9" t="n">
        <v>1</v>
      </c>
      <c r="K1165" s="30"/>
      <c r="L1165" s="30"/>
      <c r="M1165" s="30"/>
      <c r="N1165" s="30"/>
      <c r="O1165" s="30"/>
      <c r="P1165" s="30"/>
      <c r="Q1165" s="30"/>
      <c r="R1165" s="30"/>
      <c r="S1165" s="30"/>
      <c r="T1165" s="30"/>
      <c r="U1165" s="21" t="str">
        <f aca="false">IF(COUNT(K1165:T1165)=0,"SOURCE EMPTY / INDUSTRIAL ONLY",IF(MIN(K1165:T1165)=1,"SERVICE READY","HOLD"))</f>
        <v>SOURCE EMPTY / INDUSTRIAL ONLY</v>
      </c>
      <c r="V1165" s="9" t="n">
        <f aca="false">IF(U1165="SERVICE READY",1,0)</f>
        <v>0</v>
      </c>
      <c r="W1165" s="6"/>
      <c r="X1165" s="6"/>
      <c r="Y1165" s="6"/>
      <c r="Z1165" s="6"/>
    </row>
    <row r="1166" customFormat="false" ht="15" hidden="false" customHeight="false" outlineLevel="0" collapsed="false">
      <c r="A1166" s="9" t="s">
        <v>1396</v>
      </c>
      <c r="B1166" s="9" t="s">
        <v>1374</v>
      </c>
      <c r="C1166" s="9" t="s">
        <v>1375</v>
      </c>
      <c r="D1166" s="9" t="s">
        <v>1215</v>
      </c>
      <c r="E1166" s="9" t="s">
        <v>773</v>
      </c>
      <c r="F1166" s="9" t="s">
        <v>197</v>
      </c>
      <c r="G1166" s="9" t="s">
        <v>221</v>
      </c>
      <c r="H1166" s="9" t="n">
        <v>1800</v>
      </c>
      <c r="I1166" s="29" t="n">
        <v>6</v>
      </c>
      <c r="J1166" s="9" t="n">
        <v>1</v>
      </c>
      <c r="K1166" s="30"/>
      <c r="L1166" s="30"/>
      <c r="M1166" s="30"/>
      <c r="N1166" s="30"/>
      <c r="O1166" s="30"/>
      <c r="P1166" s="30"/>
      <c r="Q1166" s="30"/>
      <c r="R1166" s="30"/>
      <c r="S1166" s="30"/>
      <c r="T1166" s="30"/>
      <c r="U1166" s="21" t="str">
        <f aca="false">IF(COUNT(K1166:T1166)=0,"SOURCE EMPTY / INDUSTRIAL ONLY",IF(MIN(K1166:T1166)=1,"SERVICE READY","HOLD"))</f>
        <v>SOURCE EMPTY / INDUSTRIAL ONLY</v>
      </c>
      <c r="V1166" s="9" t="n">
        <f aca="false">IF(U1166="SERVICE READY",1,0)</f>
        <v>0</v>
      </c>
      <c r="W1166" s="6"/>
      <c r="X1166" s="6"/>
      <c r="Y1166" s="6"/>
      <c r="Z1166" s="6"/>
    </row>
    <row r="1167" customFormat="false" ht="15" hidden="false" customHeight="false" outlineLevel="0" collapsed="false">
      <c r="A1167" s="9" t="s">
        <v>1397</v>
      </c>
      <c r="B1167" s="9" t="s">
        <v>1374</v>
      </c>
      <c r="C1167" s="9" t="s">
        <v>1375</v>
      </c>
      <c r="D1167" s="9" t="s">
        <v>1215</v>
      </c>
      <c r="E1167" s="9" t="s">
        <v>773</v>
      </c>
      <c r="F1167" s="9" t="s">
        <v>200</v>
      </c>
      <c r="G1167" s="9" t="s">
        <v>221</v>
      </c>
      <c r="H1167" s="9" t="n">
        <v>1800</v>
      </c>
      <c r="I1167" s="29" t="n">
        <v>6</v>
      </c>
      <c r="J1167" s="9" t="n">
        <v>1</v>
      </c>
      <c r="K1167" s="30"/>
      <c r="L1167" s="30"/>
      <c r="M1167" s="30"/>
      <c r="N1167" s="30"/>
      <c r="O1167" s="30"/>
      <c r="P1167" s="30"/>
      <c r="Q1167" s="30"/>
      <c r="R1167" s="30"/>
      <c r="S1167" s="30"/>
      <c r="T1167" s="30"/>
      <c r="U1167" s="21" t="str">
        <f aca="false">IF(COUNT(K1167:T1167)=0,"SOURCE EMPTY / INDUSTRIAL ONLY",IF(MIN(K1167:T1167)=1,"SERVICE READY","HOLD"))</f>
        <v>SOURCE EMPTY / INDUSTRIAL ONLY</v>
      </c>
      <c r="V1167" s="9" t="n">
        <f aca="false">IF(U1167="SERVICE READY",1,0)</f>
        <v>0</v>
      </c>
      <c r="W1167" s="6"/>
      <c r="X1167" s="6"/>
      <c r="Y1167" s="6"/>
      <c r="Z1167" s="6"/>
    </row>
    <row r="1168" customFormat="false" ht="15" hidden="false" customHeight="false" outlineLevel="0" collapsed="false">
      <c r="A1168" s="9" t="s">
        <v>1398</v>
      </c>
      <c r="B1168" s="9" t="s">
        <v>1374</v>
      </c>
      <c r="C1168" s="9" t="s">
        <v>1375</v>
      </c>
      <c r="D1168" s="9" t="s">
        <v>1215</v>
      </c>
      <c r="E1168" s="9" t="s">
        <v>773</v>
      </c>
      <c r="F1168" s="9" t="s">
        <v>203</v>
      </c>
      <c r="G1168" s="9" t="s">
        <v>221</v>
      </c>
      <c r="H1168" s="9" t="n">
        <v>1800</v>
      </c>
      <c r="I1168" s="29" t="n">
        <v>6</v>
      </c>
      <c r="J1168" s="9" t="n">
        <v>1</v>
      </c>
      <c r="K1168" s="30"/>
      <c r="L1168" s="30"/>
      <c r="M1168" s="30"/>
      <c r="N1168" s="30"/>
      <c r="O1168" s="30"/>
      <c r="P1168" s="30"/>
      <c r="Q1168" s="30"/>
      <c r="R1168" s="30"/>
      <c r="S1168" s="30"/>
      <c r="T1168" s="30"/>
      <c r="U1168" s="21" t="str">
        <f aca="false">IF(COUNT(K1168:T1168)=0,"SOURCE EMPTY / INDUSTRIAL ONLY",IF(MIN(K1168:T1168)=1,"SERVICE READY","HOLD"))</f>
        <v>SOURCE EMPTY / INDUSTRIAL ONLY</v>
      </c>
      <c r="V1168" s="9" t="n">
        <f aca="false">IF(U1168="SERVICE READY",1,0)</f>
        <v>0</v>
      </c>
      <c r="W1168" s="6"/>
      <c r="X1168" s="6"/>
      <c r="Y1168" s="6"/>
      <c r="Z1168" s="6"/>
    </row>
    <row r="1169" customFormat="false" ht="15" hidden="false" customHeight="false" outlineLevel="0" collapsed="false">
      <c r="A1169" s="9" t="s">
        <v>1399</v>
      </c>
      <c r="B1169" s="9" t="s">
        <v>1374</v>
      </c>
      <c r="C1169" s="9" t="s">
        <v>1375</v>
      </c>
      <c r="D1169" s="9" t="s">
        <v>1215</v>
      </c>
      <c r="E1169" s="9" t="s">
        <v>773</v>
      </c>
      <c r="F1169" s="9" t="s">
        <v>205</v>
      </c>
      <c r="G1169" s="9" t="s">
        <v>221</v>
      </c>
      <c r="H1169" s="9" t="n">
        <v>1800</v>
      </c>
      <c r="I1169" s="29" t="n">
        <v>6</v>
      </c>
      <c r="J1169" s="9" t="n">
        <v>1</v>
      </c>
      <c r="K1169" s="30"/>
      <c r="L1169" s="30"/>
      <c r="M1169" s="30"/>
      <c r="N1169" s="30"/>
      <c r="O1169" s="30"/>
      <c r="P1169" s="30"/>
      <c r="Q1169" s="30"/>
      <c r="R1169" s="30"/>
      <c r="S1169" s="30"/>
      <c r="T1169" s="30"/>
      <c r="U1169" s="21" t="str">
        <f aca="false">IF(COUNT(K1169:T1169)=0,"SOURCE EMPTY / INDUSTRIAL ONLY",IF(MIN(K1169:T1169)=1,"SERVICE READY","HOLD"))</f>
        <v>SOURCE EMPTY / INDUSTRIAL ONLY</v>
      </c>
      <c r="V1169" s="9" t="n">
        <f aca="false">IF(U1169="SERVICE READY",1,0)</f>
        <v>0</v>
      </c>
      <c r="W1169" s="6"/>
      <c r="X1169" s="6"/>
      <c r="Y1169" s="6"/>
      <c r="Z1169" s="6"/>
    </row>
    <row r="1170" customFormat="false" ht="15" hidden="false" customHeight="false" outlineLevel="0" collapsed="false">
      <c r="A1170" s="9" t="s">
        <v>1400</v>
      </c>
      <c r="B1170" s="9" t="s">
        <v>1374</v>
      </c>
      <c r="C1170" s="9" t="s">
        <v>1375</v>
      </c>
      <c r="D1170" s="9" t="s">
        <v>1215</v>
      </c>
      <c r="E1170" s="9" t="s">
        <v>773</v>
      </c>
      <c r="F1170" s="9" t="s">
        <v>207</v>
      </c>
      <c r="G1170" s="9" t="s">
        <v>221</v>
      </c>
      <c r="H1170" s="9" t="n">
        <v>1800</v>
      </c>
      <c r="I1170" s="29" t="n">
        <v>6</v>
      </c>
      <c r="J1170" s="9" t="n">
        <v>1</v>
      </c>
      <c r="K1170" s="30"/>
      <c r="L1170" s="30"/>
      <c r="M1170" s="30"/>
      <c r="N1170" s="30"/>
      <c r="O1170" s="30"/>
      <c r="P1170" s="30"/>
      <c r="Q1170" s="30"/>
      <c r="R1170" s="30"/>
      <c r="S1170" s="30"/>
      <c r="T1170" s="30"/>
      <c r="U1170" s="21" t="str">
        <f aca="false">IF(COUNT(K1170:T1170)=0,"SOURCE EMPTY / INDUSTRIAL ONLY",IF(MIN(K1170:T1170)=1,"SERVICE READY","HOLD"))</f>
        <v>SOURCE EMPTY / INDUSTRIAL ONLY</v>
      </c>
      <c r="V1170" s="9" t="n">
        <f aca="false">IF(U1170="SERVICE READY",1,0)</f>
        <v>0</v>
      </c>
      <c r="W1170" s="6"/>
      <c r="X1170" s="6"/>
      <c r="Y1170" s="6"/>
      <c r="Z1170" s="6"/>
    </row>
    <row r="1171" customFormat="false" ht="15" hidden="false" customHeight="false" outlineLevel="0" collapsed="false">
      <c r="A1171" s="9" t="s">
        <v>1401</v>
      </c>
      <c r="B1171" s="9" t="s">
        <v>1374</v>
      </c>
      <c r="C1171" s="9" t="s">
        <v>1375</v>
      </c>
      <c r="D1171" s="9" t="s">
        <v>1215</v>
      </c>
      <c r="E1171" s="9" t="s">
        <v>773</v>
      </c>
      <c r="F1171" s="9" t="s">
        <v>209</v>
      </c>
      <c r="G1171" s="9" t="s">
        <v>221</v>
      </c>
      <c r="H1171" s="9" t="n">
        <v>1800</v>
      </c>
      <c r="I1171" s="29" t="n">
        <v>6</v>
      </c>
      <c r="J1171" s="9" t="n">
        <v>1</v>
      </c>
      <c r="K1171" s="30"/>
      <c r="L1171" s="30"/>
      <c r="M1171" s="30"/>
      <c r="N1171" s="30"/>
      <c r="O1171" s="30"/>
      <c r="P1171" s="30"/>
      <c r="Q1171" s="30"/>
      <c r="R1171" s="30"/>
      <c r="S1171" s="30"/>
      <c r="T1171" s="30"/>
      <c r="U1171" s="21" t="str">
        <f aca="false">IF(COUNT(K1171:T1171)=0,"SOURCE EMPTY / INDUSTRIAL ONLY",IF(MIN(K1171:T1171)=1,"SERVICE READY","HOLD"))</f>
        <v>SOURCE EMPTY / INDUSTRIAL ONLY</v>
      </c>
      <c r="V1171" s="9" t="n">
        <f aca="false">IF(U1171="SERVICE READY",1,0)</f>
        <v>0</v>
      </c>
      <c r="W1171" s="6"/>
      <c r="X1171" s="6"/>
      <c r="Y1171" s="6"/>
      <c r="Z1171" s="6"/>
    </row>
    <row r="1172" customFormat="false" ht="15" hidden="false" customHeight="false" outlineLevel="0" collapsed="false">
      <c r="A1172" s="9" t="s">
        <v>1402</v>
      </c>
      <c r="B1172" s="9" t="s">
        <v>1374</v>
      </c>
      <c r="C1172" s="9" t="s">
        <v>1375</v>
      </c>
      <c r="D1172" s="9" t="s">
        <v>1215</v>
      </c>
      <c r="E1172" s="9" t="s">
        <v>773</v>
      </c>
      <c r="F1172" s="9" t="s">
        <v>211</v>
      </c>
      <c r="G1172" s="9" t="s">
        <v>221</v>
      </c>
      <c r="H1172" s="9" t="n">
        <v>1800</v>
      </c>
      <c r="I1172" s="29" t="n">
        <v>6</v>
      </c>
      <c r="J1172" s="9" t="n">
        <v>1</v>
      </c>
      <c r="K1172" s="30"/>
      <c r="L1172" s="30"/>
      <c r="M1172" s="30"/>
      <c r="N1172" s="30"/>
      <c r="O1172" s="30"/>
      <c r="P1172" s="30"/>
      <c r="Q1172" s="30"/>
      <c r="R1172" s="30"/>
      <c r="S1172" s="30"/>
      <c r="T1172" s="30"/>
      <c r="U1172" s="21" t="str">
        <f aca="false">IF(COUNT(K1172:T1172)=0,"SOURCE EMPTY / INDUSTRIAL ONLY",IF(MIN(K1172:T1172)=1,"SERVICE READY","HOLD"))</f>
        <v>SOURCE EMPTY / INDUSTRIAL ONLY</v>
      </c>
      <c r="V1172" s="9" t="n">
        <f aca="false">IF(U1172="SERVICE READY",1,0)</f>
        <v>0</v>
      </c>
      <c r="W1172" s="6"/>
      <c r="X1172" s="6"/>
      <c r="Y1172" s="6"/>
      <c r="Z1172" s="6"/>
    </row>
    <row r="1173" customFormat="false" ht="15" hidden="false" customHeight="false" outlineLevel="0" collapsed="false">
      <c r="A1173" s="9" t="s">
        <v>1403</v>
      </c>
      <c r="B1173" s="9" t="s">
        <v>1374</v>
      </c>
      <c r="C1173" s="9" t="s">
        <v>1375</v>
      </c>
      <c r="D1173" s="9" t="s">
        <v>1215</v>
      </c>
      <c r="E1173" s="9" t="s">
        <v>773</v>
      </c>
      <c r="F1173" s="9" t="s">
        <v>197</v>
      </c>
      <c r="G1173" s="9" t="s">
        <v>221</v>
      </c>
      <c r="H1173" s="9" t="n">
        <v>1800</v>
      </c>
      <c r="I1173" s="29" t="n">
        <v>6</v>
      </c>
      <c r="J1173" s="9" t="n">
        <v>1</v>
      </c>
      <c r="K1173" s="30"/>
      <c r="L1173" s="30"/>
      <c r="M1173" s="30"/>
      <c r="N1173" s="30"/>
      <c r="O1173" s="30"/>
      <c r="P1173" s="30"/>
      <c r="Q1173" s="30"/>
      <c r="R1173" s="30"/>
      <c r="S1173" s="30"/>
      <c r="T1173" s="30"/>
      <c r="U1173" s="21" t="str">
        <f aca="false">IF(COUNT(K1173:T1173)=0,"SOURCE EMPTY / INDUSTRIAL ONLY",IF(MIN(K1173:T1173)=1,"SERVICE READY","HOLD"))</f>
        <v>SOURCE EMPTY / INDUSTRIAL ONLY</v>
      </c>
      <c r="V1173" s="9" t="n">
        <f aca="false">IF(U1173="SERVICE READY",1,0)</f>
        <v>0</v>
      </c>
      <c r="W1173" s="6"/>
      <c r="X1173" s="6"/>
      <c r="Y1173" s="6"/>
      <c r="Z1173" s="6"/>
    </row>
    <row r="1174" customFormat="false" ht="15" hidden="false" customHeight="false" outlineLevel="0" collapsed="false">
      <c r="A1174" s="9" t="s">
        <v>1404</v>
      </c>
      <c r="B1174" s="9" t="s">
        <v>1374</v>
      </c>
      <c r="C1174" s="9" t="s">
        <v>1375</v>
      </c>
      <c r="D1174" s="9" t="s">
        <v>1215</v>
      </c>
      <c r="E1174" s="9" t="s">
        <v>773</v>
      </c>
      <c r="F1174" s="9" t="s">
        <v>200</v>
      </c>
      <c r="G1174" s="9" t="s">
        <v>221</v>
      </c>
      <c r="H1174" s="9" t="n">
        <v>1800</v>
      </c>
      <c r="I1174" s="29" t="n">
        <v>6</v>
      </c>
      <c r="J1174" s="9" t="n">
        <v>1</v>
      </c>
      <c r="K1174" s="30"/>
      <c r="L1174" s="30"/>
      <c r="M1174" s="30"/>
      <c r="N1174" s="30"/>
      <c r="O1174" s="30"/>
      <c r="P1174" s="30"/>
      <c r="Q1174" s="30"/>
      <c r="R1174" s="30"/>
      <c r="S1174" s="30"/>
      <c r="T1174" s="30"/>
      <c r="U1174" s="21" t="str">
        <f aca="false">IF(COUNT(K1174:T1174)=0,"SOURCE EMPTY / INDUSTRIAL ONLY",IF(MIN(K1174:T1174)=1,"SERVICE READY","HOLD"))</f>
        <v>SOURCE EMPTY / INDUSTRIAL ONLY</v>
      </c>
      <c r="V1174" s="9" t="n">
        <f aca="false">IF(U1174="SERVICE READY",1,0)</f>
        <v>0</v>
      </c>
      <c r="W1174" s="6"/>
      <c r="X1174" s="6"/>
      <c r="Y1174" s="6"/>
      <c r="Z1174" s="6"/>
    </row>
    <row r="1175" customFormat="false" ht="15" hidden="false" customHeight="false" outlineLevel="0" collapsed="false">
      <c r="A1175" s="9" t="s">
        <v>1405</v>
      </c>
      <c r="B1175" s="9" t="s">
        <v>1374</v>
      </c>
      <c r="C1175" s="9" t="s">
        <v>1375</v>
      </c>
      <c r="D1175" s="9" t="s">
        <v>1215</v>
      </c>
      <c r="E1175" s="9" t="s">
        <v>773</v>
      </c>
      <c r="F1175" s="9" t="s">
        <v>203</v>
      </c>
      <c r="G1175" s="9" t="s">
        <v>221</v>
      </c>
      <c r="H1175" s="9" t="n">
        <v>1800</v>
      </c>
      <c r="I1175" s="29" t="n">
        <v>6</v>
      </c>
      <c r="J1175" s="9" t="n">
        <v>1</v>
      </c>
      <c r="K1175" s="30"/>
      <c r="L1175" s="30"/>
      <c r="M1175" s="30"/>
      <c r="N1175" s="30"/>
      <c r="O1175" s="30"/>
      <c r="P1175" s="30"/>
      <c r="Q1175" s="30"/>
      <c r="R1175" s="30"/>
      <c r="S1175" s="30"/>
      <c r="T1175" s="30"/>
      <c r="U1175" s="21" t="str">
        <f aca="false">IF(COUNT(K1175:T1175)=0,"SOURCE EMPTY / INDUSTRIAL ONLY",IF(MIN(K1175:T1175)=1,"SERVICE READY","HOLD"))</f>
        <v>SOURCE EMPTY / INDUSTRIAL ONLY</v>
      </c>
      <c r="V1175" s="9" t="n">
        <f aca="false">IF(U1175="SERVICE READY",1,0)</f>
        <v>0</v>
      </c>
      <c r="W1175" s="6"/>
      <c r="X1175" s="6"/>
      <c r="Y1175" s="6"/>
      <c r="Z1175" s="6"/>
    </row>
    <row r="1176" customFormat="false" ht="15" hidden="false" customHeight="false" outlineLevel="0" collapsed="false">
      <c r="A1176" s="9" t="s">
        <v>1406</v>
      </c>
      <c r="B1176" s="9" t="s">
        <v>1374</v>
      </c>
      <c r="C1176" s="9" t="s">
        <v>1375</v>
      </c>
      <c r="D1176" s="9" t="s">
        <v>1215</v>
      </c>
      <c r="E1176" s="9" t="s">
        <v>773</v>
      </c>
      <c r="F1176" s="9" t="s">
        <v>205</v>
      </c>
      <c r="G1176" s="9" t="s">
        <v>221</v>
      </c>
      <c r="H1176" s="9" t="n">
        <v>1800</v>
      </c>
      <c r="I1176" s="29" t="n">
        <v>6</v>
      </c>
      <c r="J1176" s="9" t="n">
        <v>1</v>
      </c>
      <c r="K1176" s="30"/>
      <c r="L1176" s="30"/>
      <c r="M1176" s="30"/>
      <c r="N1176" s="30"/>
      <c r="O1176" s="30"/>
      <c r="P1176" s="30"/>
      <c r="Q1176" s="30"/>
      <c r="R1176" s="30"/>
      <c r="S1176" s="30"/>
      <c r="T1176" s="30"/>
      <c r="U1176" s="21" t="str">
        <f aca="false">IF(COUNT(K1176:T1176)=0,"SOURCE EMPTY / INDUSTRIAL ONLY",IF(MIN(K1176:T1176)=1,"SERVICE READY","HOLD"))</f>
        <v>SOURCE EMPTY / INDUSTRIAL ONLY</v>
      </c>
      <c r="V1176" s="9" t="n">
        <f aca="false">IF(U1176="SERVICE READY",1,0)</f>
        <v>0</v>
      </c>
      <c r="W1176" s="6"/>
      <c r="X1176" s="6"/>
      <c r="Y1176" s="6"/>
      <c r="Z1176" s="6"/>
    </row>
    <row r="1177" customFormat="false" ht="15" hidden="false" customHeight="false" outlineLevel="0" collapsed="false">
      <c r="A1177" s="9" t="s">
        <v>1407</v>
      </c>
      <c r="B1177" s="9" t="s">
        <v>1374</v>
      </c>
      <c r="C1177" s="9" t="s">
        <v>1375</v>
      </c>
      <c r="D1177" s="9" t="s">
        <v>1215</v>
      </c>
      <c r="E1177" s="9" t="s">
        <v>773</v>
      </c>
      <c r="F1177" s="9" t="s">
        <v>207</v>
      </c>
      <c r="G1177" s="9" t="s">
        <v>221</v>
      </c>
      <c r="H1177" s="9" t="n">
        <v>1800</v>
      </c>
      <c r="I1177" s="29" t="n">
        <v>6</v>
      </c>
      <c r="J1177" s="9" t="n">
        <v>1</v>
      </c>
      <c r="K1177" s="30"/>
      <c r="L1177" s="30"/>
      <c r="M1177" s="30"/>
      <c r="N1177" s="30"/>
      <c r="O1177" s="30"/>
      <c r="P1177" s="30"/>
      <c r="Q1177" s="30"/>
      <c r="R1177" s="30"/>
      <c r="S1177" s="30"/>
      <c r="T1177" s="30"/>
      <c r="U1177" s="21" t="str">
        <f aca="false">IF(COUNT(K1177:T1177)=0,"SOURCE EMPTY / INDUSTRIAL ONLY",IF(MIN(K1177:T1177)=1,"SERVICE READY","HOLD"))</f>
        <v>SOURCE EMPTY / INDUSTRIAL ONLY</v>
      </c>
      <c r="V1177" s="9" t="n">
        <f aca="false">IF(U1177="SERVICE READY",1,0)</f>
        <v>0</v>
      </c>
      <c r="W1177" s="6"/>
      <c r="X1177" s="6"/>
      <c r="Y1177" s="6"/>
      <c r="Z1177" s="6"/>
    </row>
    <row r="1178" customFormat="false" ht="15" hidden="false" customHeight="false" outlineLevel="0" collapsed="false">
      <c r="A1178" s="9" t="s">
        <v>1408</v>
      </c>
      <c r="B1178" s="9" t="s">
        <v>1374</v>
      </c>
      <c r="C1178" s="9" t="s">
        <v>1375</v>
      </c>
      <c r="D1178" s="9" t="s">
        <v>1215</v>
      </c>
      <c r="E1178" s="9" t="s">
        <v>773</v>
      </c>
      <c r="F1178" s="9" t="s">
        <v>209</v>
      </c>
      <c r="G1178" s="9" t="s">
        <v>221</v>
      </c>
      <c r="H1178" s="9" t="n">
        <v>1800</v>
      </c>
      <c r="I1178" s="29" t="n">
        <v>6</v>
      </c>
      <c r="J1178" s="9" t="n">
        <v>1</v>
      </c>
      <c r="K1178" s="30"/>
      <c r="L1178" s="30"/>
      <c r="M1178" s="30"/>
      <c r="N1178" s="30"/>
      <c r="O1178" s="30"/>
      <c r="P1178" s="30"/>
      <c r="Q1178" s="30"/>
      <c r="R1178" s="30"/>
      <c r="S1178" s="30"/>
      <c r="T1178" s="30"/>
      <c r="U1178" s="21" t="str">
        <f aca="false">IF(COUNT(K1178:T1178)=0,"SOURCE EMPTY / INDUSTRIAL ONLY",IF(MIN(K1178:T1178)=1,"SERVICE READY","HOLD"))</f>
        <v>SOURCE EMPTY / INDUSTRIAL ONLY</v>
      </c>
      <c r="V1178" s="9" t="n">
        <f aca="false">IF(U1178="SERVICE READY",1,0)</f>
        <v>0</v>
      </c>
      <c r="W1178" s="6"/>
      <c r="X1178" s="6"/>
      <c r="Y1178" s="6"/>
      <c r="Z1178" s="6"/>
    </row>
    <row r="1179" customFormat="false" ht="15" hidden="false" customHeight="false" outlineLevel="0" collapsed="false">
      <c r="A1179" s="9" t="s">
        <v>1409</v>
      </c>
      <c r="B1179" s="9" t="s">
        <v>1374</v>
      </c>
      <c r="C1179" s="9" t="s">
        <v>1375</v>
      </c>
      <c r="D1179" s="9" t="s">
        <v>1215</v>
      </c>
      <c r="E1179" s="9" t="s">
        <v>773</v>
      </c>
      <c r="F1179" s="9" t="s">
        <v>211</v>
      </c>
      <c r="G1179" s="9" t="s">
        <v>221</v>
      </c>
      <c r="H1179" s="9" t="n">
        <v>1800</v>
      </c>
      <c r="I1179" s="29" t="n">
        <v>6</v>
      </c>
      <c r="J1179" s="9" t="n">
        <v>0</v>
      </c>
      <c r="K1179" s="30"/>
      <c r="L1179" s="30"/>
      <c r="M1179" s="30"/>
      <c r="N1179" s="30"/>
      <c r="O1179" s="30"/>
      <c r="P1179" s="30"/>
      <c r="Q1179" s="30"/>
      <c r="R1179" s="30"/>
      <c r="S1179" s="30"/>
      <c r="T1179" s="30"/>
      <c r="U1179" s="21" t="str">
        <f aca="false">IF(COUNT(K1179:T1179)=0,"SOURCE EMPTY / INDUSTRIAL ONLY",IF(MIN(K1179:T1179)=1,"SERVICE READY","HOLD"))</f>
        <v>SOURCE EMPTY / INDUSTRIAL ONLY</v>
      </c>
      <c r="V1179" s="9" t="n">
        <f aca="false">IF(U1179="SERVICE READY",1,0)</f>
        <v>0</v>
      </c>
      <c r="W1179" s="6"/>
      <c r="X1179" s="6"/>
      <c r="Y1179" s="6"/>
      <c r="Z1179" s="6"/>
    </row>
    <row r="1180" customFormat="false" ht="15" hidden="false" customHeight="false" outlineLevel="0" collapsed="false">
      <c r="A1180" s="9" t="s">
        <v>1410</v>
      </c>
      <c r="B1180" s="9" t="s">
        <v>1374</v>
      </c>
      <c r="C1180" s="9" t="s">
        <v>1375</v>
      </c>
      <c r="D1180" s="9" t="s">
        <v>1215</v>
      </c>
      <c r="E1180" s="9" t="s">
        <v>773</v>
      </c>
      <c r="F1180" s="9" t="s">
        <v>197</v>
      </c>
      <c r="G1180" s="9" t="s">
        <v>221</v>
      </c>
      <c r="H1180" s="9" t="n">
        <v>1800</v>
      </c>
      <c r="I1180" s="29" t="n">
        <v>6</v>
      </c>
      <c r="J1180" s="9" t="n">
        <v>0</v>
      </c>
      <c r="K1180" s="30"/>
      <c r="L1180" s="30"/>
      <c r="M1180" s="30"/>
      <c r="N1180" s="30"/>
      <c r="O1180" s="30"/>
      <c r="P1180" s="30"/>
      <c r="Q1180" s="30"/>
      <c r="R1180" s="30"/>
      <c r="S1180" s="30"/>
      <c r="T1180" s="30"/>
      <c r="U1180" s="21" t="str">
        <f aca="false">IF(COUNT(K1180:T1180)=0,"SOURCE EMPTY / INDUSTRIAL ONLY",IF(MIN(K1180:T1180)=1,"SERVICE READY","HOLD"))</f>
        <v>SOURCE EMPTY / INDUSTRIAL ONLY</v>
      </c>
      <c r="V1180" s="9" t="n">
        <f aca="false">IF(U1180="SERVICE READY",1,0)</f>
        <v>0</v>
      </c>
      <c r="W1180" s="6"/>
      <c r="X1180" s="6"/>
      <c r="Y1180" s="6"/>
      <c r="Z1180" s="6"/>
    </row>
    <row r="1181" customFormat="false" ht="15" hidden="false" customHeight="false" outlineLevel="0" collapsed="false">
      <c r="A1181" s="9" t="s">
        <v>1411</v>
      </c>
      <c r="B1181" s="9" t="s">
        <v>1374</v>
      </c>
      <c r="C1181" s="9" t="s">
        <v>1375</v>
      </c>
      <c r="D1181" s="9" t="s">
        <v>1215</v>
      </c>
      <c r="E1181" s="9" t="s">
        <v>773</v>
      </c>
      <c r="F1181" s="9" t="s">
        <v>200</v>
      </c>
      <c r="G1181" s="9" t="s">
        <v>221</v>
      </c>
      <c r="H1181" s="9" t="n">
        <v>1800</v>
      </c>
      <c r="I1181" s="29" t="n">
        <v>6</v>
      </c>
      <c r="J1181" s="9" t="n">
        <v>0</v>
      </c>
      <c r="K1181" s="30"/>
      <c r="L1181" s="30"/>
      <c r="M1181" s="30"/>
      <c r="N1181" s="30"/>
      <c r="O1181" s="30"/>
      <c r="P1181" s="30"/>
      <c r="Q1181" s="30"/>
      <c r="R1181" s="30"/>
      <c r="S1181" s="30"/>
      <c r="T1181" s="30"/>
      <c r="U1181" s="21" t="str">
        <f aca="false">IF(COUNT(K1181:T1181)=0,"SOURCE EMPTY / INDUSTRIAL ONLY",IF(MIN(K1181:T1181)=1,"SERVICE READY","HOLD"))</f>
        <v>SOURCE EMPTY / INDUSTRIAL ONLY</v>
      </c>
      <c r="V1181" s="9" t="n">
        <f aca="false">IF(U1181="SERVICE READY",1,0)</f>
        <v>0</v>
      </c>
      <c r="W1181" s="6"/>
      <c r="X1181" s="6"/>
      <c r="Y1181" s="6"/>
      <c r="Z1181" s="6"/>
    </row>
    <row r="1182" customFormat="false" ht="15" hidden="false" customHeight="false" outlineLevel="0" collapsed="false">
      <c r="A1182" s="9" t="s">
        <v>1412</v>
      </c>
      <c r="B1182" s="9" t="s">
        <v>1374</v>
      </c>
      <c r="C1182" s="9" t="s">
        <v>1375</v>
      </c>
      <c r="D1182" s="9" t="s">
        <v>1215</v>
      </c>
      <c r="E1182" s="9" t="s">
        <v>773</v>
      </c>
      <c r="F1182" s="9" t="s">
        <v>203</v>
      </c>
      <c r="G1182" s="9" t="s">
        <v>221</v>
      </c>
      <c r="H1182" s="9" t="n">
        <v>1800</v>
      </c>
      <c r="I1182" s="29" t="n">
        <v>6</v>
      </c>
      <c r="J1182" s="9" t="n">
        <v>0</v>
      </c>
      <c r="K1182" s="30"/>
      <c r="L1182" s="30"/>
      <c r="M1182" s="30"/>
      <c r="N1182" s="30"/>
      <c r="O1182" s="30"/>
      <c r="P1182" s="30"/>
      <c r="Q1182" s="30"/>
      <c r="R1182" s="30"/>
      <c r="S1182" s="30"/>
      <c r="T1182" s="30"/>
      <c r="U1182" s="21" t="str">
        <f aca="false">IF(COUNT(K1182:T1182)=0,"SOURCE EMPTY / INDUSTRIAL ONLY",IF(MIN(K1182:T1182)=1,"SERVICE READY","HOLD"))</f>
        <v>SOURCE EMPTY / INDUSTRIAL ONLY</v>
      </c>
      <c r="V1182" s="9" t="n">
        <f aca="false">IF(U1182="SERVICE READY",1,0)</f>
        <v>0</v>
      </c>
      <c r="W1182" s="6"/>
      <c r="X1182" s="6"/>
      <c r="Y1182" s="6"/>
      <c r="Z1182" s="6"/>
    </row>
    <row r="1183" customFormat="false" ht="15" hidden="false" customHeight="false" outlineLevel="0" collapsed="false">
      <c r="A1183" s="9" t="s">
        <v>1413</v>
      </c>
      <c r="B1183" s="9" t="s">
        <v>1374</v>
      </c>
      <c r="C1183" s="9" t="s">
        <v>1375</v>
      </c>
      <c r="D1183" s="9" t="s">
        <v>1215</v>
      </c>
      <c r="E1183" s="9" t="s">
        <v>773</v>
      </c>
      <c r="F1183" s="9" t="s">
        <v>205</v>
      </c>
      <c r="G1183" s="9" t="s">
        <v>221</v>
      </c>
      <c r="H1183" s="9" t="n">
        <v>1800</v>
      </c>
      <c r="I1183" s="29" t="n">
        <v>6</v>
      </c>
      <c r="J1183" s="9" t="n">
        <v>0</v>
      </c>
      <c r="K1183" s="30"/>
      <c r="L1183" s="30"/>
      <c r="M1183" s="30"/>
      <c r="N1183" s="30"/>
      <c r="O1183" s="30"/>
      <c r="P1183" s="30"/>
      <c r="Q1183" s="30"/>
      <c r="R1183" s="30"/>
      <c r="S1183" s="30"/>
      <c r="T1183" s="30"/>
      <c r="U1183" s="21" t="str">
        <f aca="false">IF(COUNT(K1183:T1183)=0,"SOURCE EMPTY / INDUSTRIAL ONLY",IF(MIN(K1183:T1183)=1,"SERVICE READY","HOLD"))</f>
        <v>SOURCE EMPTY / INDUSTRIAL ONLY</v>
      </c>
      <c r="V1183" s="9" t="n">
        <f aca="false">IF(U1183="SERVICE READY",1,0)</f>
        <v>0</v>
      </c>
      <c r="W1183" s="6"/>
      <c r="X1183" s="6"/>
      <c r="Y1183" s="6"/>
      <c r="Z1183" s="6"/>
    </row>
    <row r="1184" customFormat="false" ht="15" hidden="false" customHeight="false" outlineLevel="0" collapsed="false">
      <c r="A1184" s="9" t="s">
        <v>1414</v>
      </c>
      <c r="B1184" s="9" t="s">
        <v>1374</v>
      </c>
      <c r="C1184" s="9" t="s">
        <v>1375</v>
      </c>
      <c r="D1184" s="9" t="s">
        <v>1215</v>
      </c>
      <c r="E1184" s="9" t="s">
        <v>773</v>
      </c>
      <c r="F1184" s="9" t="s">
        <v>207</v>
      </c>
      <c r="G1184" s="9" t="s">
        <v>221</v>
      </c>
      <c r="H1184" s="9" t="n">
        <v>1800</v>
      </c>
      <c r="I1184" s="29" t="n">
        <v>6</v>
      </c>
      <c r="J1184" s="9" t="n">
        <v>0</v>
      </c>
      <c r="K1184" s="30"/>
      <c r="L1184" s="30"/>
      <c r="M1184" s="30"/>
      <c r="N1184" s="30"/>
      <c r="O1184" s="30"/>
      <c r="P1184" s="30"/>
      <c r="Q1184" s="30"/>
      <c r="R1184" s="30"/>
      <c r="S1184" s="30"/>
      <c r="T1184" s="30"/>
      <c r="U1184" s="21" t="str">
        <f aca="false">IF(COUNT(K1184:T1184)=0,"SOURCE EMPTY / INDUSTRIAL ONLY",IF(MIN(K1184:T1184)=1,"SERVICE READY","HOLD"))</f>
        <v>SOURCE EMPTY / INDUSTRIAL ONLY</v>
      </c>
      <c r="V1184" s="9" t="n">
        <f aca="false">IF(U1184="SERVICE READY",1,0)</f>
        <v>0</v>
      </c>
      <c r="W1184" s="6"/>
      <c r="X1184" s="6"/>
      <c r="Y1184" s="6"/>
      <c r="Z1184" s="6"/>
    </row>
    <row r="1185" customFormat="false" ht="15" hidden="false" customHeight="false" outlineLevel="0" collapsed="false">
      <c r="A1185" s="9" t="s">
        <v>1415</v>
      </c>
      <c r="B1185" s="9" t="s">
        <v>1374</v>
      </c>
      <c r="C1185" s="9" t="s">
        <v>1375</v>
      </c>
      <c r="D1185" s="9" t="s">
        <v>1215</v>
      </c>
      <c r="E1185" s="9" t="s">
        <v>773</v>
      </c>
      <c r="F1185" s="9" t="s">
        <v>209</v>
      </c>
      <c r="G1185" s="9" t="s">
        <v>221</v>
      </c>
      <c r="H1185" s="9" t="n">
        <v>1800</v>
      </c>
      <c r="I1185" s="29" t="n">
        <v>6</v>
      </c>
      <c r="J1185" s="9" t="n">
        <v>0</v>
      </c>
      <c r="K1185" s="30"/>
      <c r="L1185" s="30"/>
      <c r="M1185" s="30"/>
      <c r="N1185" s="30"/>
      <c r="O1185" s="30"/>
      <c r="P1185" s="30"/>
      <c r="Q1185" s="30"/>
      <c r="R1185" s="30"/>
      <c r="S1185" s="30"/>
      <c r="T1185" s="30"/>
      <c r="U1185" s="21" t="str">
        <f aca="false">IF(COUNT(K1185:T1185)=0,"SOURCE EMPTY / INDUSTRIAL ONLY",IF(MIN(K1185:T1185)=1,"SERVICE READY","HOLD"))</f>
        <v>SOURCE EMPTY / INDUSTRIAL ONLY</v>
      </c>
      <c r="V1185" s="9" t="n">
        <f aca="false">IF(U1185="SERVICE READY",1,0)</f>
        <v>0</v>
      </c>
      <c r="W1185" s="6"/>
      <c r="X1185" s="6"/>
      <c r="Y1185" s="6"/>
      <c r="Z1185" s="6"/>
    </row>
    <row r="1186" customFormat="false" ht="15" hidden="false" customHeight="false" outlineLevel="0" collapsed="false">
      <c r="A1186" s="9" t="s">
        <v>1416</v>
      </c>
      <c r="B1186" s="9" t="s">
        <v>1374</v>
      </c>
      <c r="C1186" s="9" t="s">
        <v>1375</v>
      </c>
      <c r="D1186" s="9" t="s">
        <v>1215</v>
      </c>
      <c r="E1186" s="9" t="s">
        <v>773</v>
      </c>
      <c r="F1186" s="9" t="s">
        <v>211</v>
      </c>
      <c r="G1186" s="9" t="s">
        <v>221</v>
      </c>
      <c r="H1186" s="9" t="n">
        <v>1800</v>
      </c>
      <c r="I1186" s="29" t="n">
        <v>6</v>
      </c>
      <c r="J1186" s="9" t="n">
        <v>0</v>
      </c>
      <c r="K1186" s="30"/>
      <c r="L1186" s="30"/>
      <c r="M1186" s="30"/>
      <c r="N1186" s="30"/>
      <c r="O1186" s="30"/>
      <c r="P1186" s="30"/>
      <c r="Q1186" s="30"/>
      <c r="R1186" s="30"/>
      <c r="S1186" s="30"/>
      <c r="T1186" s="30"/>
      <c r="U1186" s="21" t="str">
        <f aca="false">IF(COUNT(K1186:T1186)=0,"SOURCE EMPTY / INDUSTRIAL ONLY",IF(MIN(K1186:T1186)=1,"SERVICE READY","HOLD"))</f>
        <v>SOURCE EMPTY / INDUSTRIAL ONLY</v>
      </c>
      <c r="V1186" s="9" t="n">
        <f aca="false">IF(U1186="SERVICE READY",1,0)</f>
        <v>0</v>
      </c>
      <c r="W1186" s="6"/>
      <c r="X1186" s="6"/>
      <c r="Y1186" s="6"/>
      <c r="Z1186" s="6"/>
    </row>
    <row r="1187" customFormat="false" ht="15" hidden="false" customHeight="false" outlineLevel="0" collapsed="false">
      <c r="A1187" s="9" t="s">
        <v>1417</v>
      </c>
      <c r="B1187" s="9" t="s">
        <v>1374</v>
      </c>
      <c r="C1187" s="9" t="s">
        <v>1375</v>
      </c>
      <c r="D1187" s="9" t="s">
        <v>1215</v>
      </c>
      <c r="E1187" s="9" t="s">
        <v>773</v>
      </c>
      <c r="F1187" s="9" t="s">
        <v>197</v>
      </c>
      <c r="G1187" s="9" t="s">
        <v>221</v>
      </c>
      <c r="H1187" s="9" t="n">
        <v>1800</v>
      </c>
      <c r="I1187" s="29" t="n">
        <v>6</v>
      </c>
      <c r="J1187" s="9" t="n">
        <v>0</v>
      </c>
      <c r="K1187" s="30"/>
      <c r="L1187" s="30"/>
      <c r="M1187" s="30"/>
      <c r="N1187" s="30"/>
      <c r="O1187" s="30"/>
      <c r="P1187" s="30"/>
      <c r="Q1187" s="30"/>
      <c r="R1187" s="30"/>
      <c r="S1187" s="30"/>
      <c r="T1187" s="30"/>
      <c r="U1187" s="21" t="str">
        <f aca="false">IF(COUNT(K1187:T1187)=0,"SOURCE EMPTY / INDUSTRIAL ONLY",IF(MIN(K1187:T1187)=1,"SERVICE READY","HOLD"))</f>
        <v>SOURCE EMPTY / INDUSTRIAL ONLY</v>
      </c>
      <c r="V1187" s="9" t="n">
        <f aca="false">IF(U1187="SERVICE READY",1,0)</f>
        <v>0</v>
      </c>
      <c r="W1187" s="6"/>
      <c r="X1187" s="6"/>
      <c r="Y1187" s="6"/>
      <c r="Z1187" s="6"/>
    </row>
    <row r="1188" customFormat="false" ht="15" hidden="false" customHeight="false" outlineLevel="0" collapsed="false">
      <c r="A1188" s="9" t="s">
        <v>1418</v>
      </c>
      <c r="B1188" s="9" t="s">
        <v>1374</v>
      </c>
      <c r="C1188" s="9" t="s">
        <v>1375</v>
      </c>
      <c r="D1188" s="9" t="s">
        <v>1215</v>
      </c>
      <c r="E1188" s="9" t="s">
        <v>773</v>
      </c>
      <c r="F1188" s="9" t="s">
        <v>200</v>
      </c>
      <c r="G1188" s="9" t="s">
        <v>221</v>
      </c>
      <c r="H1188" s="9" t="n">
        <v>1800</v>
      </c>
      <c r="I1188" s="29" t="n">
        <v>6</v>
      </c>
      <c r="J1188" s="9" t="n">
        <v>0</v>
      </c>
      <c r="K1188" s="30"/>
      <c r="L1188" s="30"/>
      <c r="M1188" s="30"/>
      <c r="N1188" s="30"/>
      <c r="O1188" s="30"/>
      <c r="P1188" s="30"/>
      <c r="Q1188" s="30"/>
      <c r="R1188" s="30"/>
      <c r="S1188" s="30"/>
      <c r="T1188" s="30"/>
      <c r="U1188" s="21" t="str">
        <f aca="false">IF(COUNT(K1188:T1188)=0,"SOURCE EMPTY / INDUSTRIAL ONLY",IF(MIN(K1188:T1188)=1,"SERVICE READY","HOLD"))</f>
        <v>SOURCE EMPTY / INDUSTRIAL ONLY</v>
      </c>
      <c r="V1188" s="9" t="n">
        <f aca="false">IF(U1188="SERVICE READY",1,0)</f>
        <v>0</v>
      </c>
      <c r="W1188" s="6"/>
      <c r="X1188" s="6"/>
      <c r="Y1188" s="6"/>
      <c r="Z1188" s="6"/>
    </row>
    <row r="1189" customFormat="false" ht="15" hidden="false" customHeight="false" outlineLevel="0" collapsed="false">
      <c r="A1189" s="9" t="s">
        <v>1419</v>
      </c>
      <c r="B1189" s="9" t="s">
        <v>1374</v>
      </c>
      <c r="C1189" s="9" t="s">
        <v>1375</v>
      </c>
      <c r="D1189" s="9" t="s">
        <v>1215</v>
      </c>
      <c r="E1189" s="9" t="s">
        <v>773</v>
      </c>
      <c r="F1189" s="9" t="s">
        <v>203</v>
      </c>
      <c r="G1189" s="9" t="s">
        <v>221</v>
      </c>
      <c r="H1189" s="9" t="n">
        <v>1800</v>
      </c>
      <c r="I1189" s="29" t="n">
        <v>6</v>
      </c>
      <c r="J1189" s="9" t="n">
        <v>0</v>
      </c>
      <c r="K1189" s="30"/>
      <c r="L1189" s="30"/>
      <c r="M1189" s="30"/>
      <c r="N1189" s="30"/>
      <c r="O1189" s="30"/>
      <c r="P1189" s="30"/>
      <c r="Q1189" s="30"/>
      <c r="R1189" s="30"/>
      <c r="S1189" s="30"/>
      <c r="T1189" s="30"/>
      <c r="U1189" s="21" t="str">
        <f aca="false">IF(COUNT(K1189:T1189)=0,"SOURCE EMPTY / INDUSTRIAL ONLY",IF(MIN(K1189:T1189)=1,"SERVICE READY","HOLD"))</f>
        <v>SOURCE EMPTY / INDUSTRIAL ONLY</v>
      </c>
      <c r="V1189" s="9" t="n">
        <f aca="false">IF(U1189="SERVICE READY",1,0)</f>
        <v>0</v>
      </c>
      <c r="W1189" s="6"/>
      <c r="X1189" s="6"/>
      <c r="Y1189" s="6"/>
      <c r="Z1189" s="6"/>
    </row>
    <row r="1190" customFormat="false" ht="15" hidden="false" customHeight="false" outlineLevel="0" collapsed="false">
      <c r="A1190" s="9" t="s">
        <v>1420</v>
      </c>
      <c r="B1190" s="9" t="s">
        <v>1374</v>
      </c>
      <c r="C1190" s="9" t="s">
        <v>1375</v>
      </c>
      <c r="D1190" s="9" t="s">
        <v>1215</v>
      </c>
      <c r="E1190" s="9" t="s">
        <v>773</v>
      </c>
      <c r="F1190" s="9" t="s">
        <v>205</v>
      </c>
      <c r="G1190" s="9" t="s">
        <v>221</v>
      </c>
      <c r="H1190" s="9" t="n">
        <v>1800</v>
      </c>
      <c r="I1190" s="29" t="n">
        <v>6</v>
      </c>
      <c r="J1190" s="9" t="n">
        <v>0</v>
      </c>
      <c r="K1190" s="30"/>
      <c r="L1190" s="30"/>
      <c r="M1190" s="30"/>
      <c r="N1190" s="30"/>
      <c r="O1190" s="30"/>
      <c r="P1190" s="30"/>
      <c r="Q1190" s="30"/>
      <c r="R1190" s="30"/>
      <c r="S1190" s="30"/>
      <c r="T1190" s="30"/>
      <c r="U1190" s="21" t="str">
        <f aca="false">IF(COUNT(K1190:T1190)=0,"SOURCE EMPTY / INDUSTRIAL ONLY",IF(MIN(K1190:T1190)=1,"SERVICE READY","HOLD"))</f>
        <v>SOURCE EMPTY / INDUSTRIAL ONLY</v>
      </c>
      <c r="V1190" s="9" t="n">
        <f aca="false">IF(U1190="SERVICE READY",1,0)</f>
        <v>0</v>
      </c>
      <c r="W1190" s="6"/>
      <c r="X1190" s="6"/>
      <c r="Y1190" s="6"/>
      <c r="Z1190" s="6"/>
    </row>
    <row r="1191" customFormat="false" ht="15" hidden="false" customHeight="false" outlineLevel="0" collapsed="false">
      <c r="A1191" s="9" t="s">
        <v>1421</v>
      </c>
      <c r="B1191" s="9" t="s">
        <v>1374</v>
      </c>
      <c r="C1191" s="9" t="s">
        <v>1375</v>
      </c>
      <c r="D1191" s="9" t="s">
        <v>1215</v>
      </c>
      <c r="E1191" s="9" t="s">
        <v>773</v>
      </c>
      <c r="F1191" s="9" t="s">
        <v>207</v>
      </c>
      <c r="G1191" s="9" t="s">
        <v>221</v>
      </c>
      <c r="H1191" s="9" t="n">
        <v>1800</v>
      </c>
      <c r="I1191" s="29" t="n">
        <v>6</v>
      </c>
      <c r="J1191" s="9" t="n">
        <v>0</v>
      </c>
      <c r="K1191" s="30"/>
      <c r="L1191" s="30"/>
      <c r="M1191" s="30"/>
      <c r="N1191" s="30"/>
      <c r="O1191" s="30"/>
      <c r="P1191" s="30"/>
      <c r="Q1191" s="30"/>
      <c r="R1191" s="30"/>
      <c r="S1191" s="30"/>
      <c r="T1191" s="30"/>
      <c r="U1191" s="21" t="str">
        <f aca="false">IF(COUNT(K1191:T1191)=0,"SOURCE EMPTY / INDUSTRIAL ONLY",IF(MIN(K1191:T1191)=1,"SERVICE READY","HOLD"))</f>
        <v>SOURCE EMPTY / INDUSTRIAL ONLY</v>
      </c>
      <c r="V1191" s="9" t="n">
        <f aca="false">IF(U1191="SERVICE READY",1,0)</f>
        <v>0</v>
      </c>
      <c r="W1191" s="6"/>
      <c r="X1191" s="6"/>
      <c r="Y1191" s="6"/>
      <c r="Z1191" s="6"/>
    </row>
    <row r="1192" customFormat="false" ht="15" hidden="false" customHeight="false" outlineLevel="0" collapsed="false">
      <c r="A1192" s="9" t="s">
        <v>1422</v>
      </c>
      <c r="B1192" s="9" t="s">
        <v>1374</v>
      </c>
      <c r="C1192" s="9" t="s">
        <v>1375</v>
      </c>
      <c r="D1192" s="9" t="s">
        <v>1215</v>
      </c>
      <c r="E1192" s="9" t="s">
        <v>773</v>
      </c>
      <c r="F1192" s="9" t="s">
        <v>209</v>
      </c>
      <c r="G1192" s="9" t="s">
        <v>221</v>
      </c>
      <c r="H1192" s="9" t="n">
        <v>1800</v>
      </c>
      <c r="I1192" s="29" t="n">
        <v>6</v>
      </c>
      <c r="J1192" s="9" t="n">
        <v>0</v>
      </c>
      <c r="K1192" s="30"/>
      <c r="L1192" s="30"/>
      <c r="M1192" s="30"/>
      <c r="N1192" s="30"/>
      <c r="O1192" s="30"/>
      <c r="P1192" s="30"/>
      <c r="Q1192" s="30"/>
      <c r="R1192" s="30"/>
      <c r="S1192" s="30"/>
      <c r="T1192" s="30"/>
      <c r="U1192" s="21" t="str">
        <f aca="false">IF(COUNT(K1192:T1192)=0,"SOURCE EMPTY / INDUSTRIAL ONLY",IF(MIN(K1192:T1192)=1,"SERVICE READY","HOLD"))</f>
        <v>SOURCE EMPTY / INDUSTRIAL ONLY</v>
      </c>
      <c r="V1192" s="9" t="n">
        <f aca="false">IF(U1192="SERVICE READY",1,0)</f>
        <v>0</v>
      </c>
      <c r="W1192" s="6"/>
      <c r="X1192" s="6"/>
      <c r="Y1192" s="6"/>
      <c r="Z1192" s="6"/>
    </row>
    <row r="1193" customFormat="false" ht="15" hidden="false" customHeight="false" outlineLevel="0" collapsed="false">
      <c r="A1193" s="9" t="s">
        <v>1423</v>
      </c>
      <c r="B1193" s="9" t="s">
        <v>1374</v>
      </c>
      <c r="C1193" s="9" t="s">
        <v>1375</v>
      </c>
      <c r="D1193" s="9" t="s">
        <v>1215</v>
      </c>
      <c r="E1193" s="9" t="s">
        <v>773</v>
      </c>
      <c r="F1193" s="9" t="s">
        <v>211</v>
      </c>
      <c r="G1193" s="9" t="s">
        <v>221</v>
      </c>
      <c r="H1193" s="9" t="n">
        <v>1800</v>
      </c>
      <c r="I1193" s="29" t="n">
        <v>6</v>
      </c>
      <c r="J1193" s="9" t="n">
        <v>0</v>
      </c>
      <c r="K1193" s="30"/>
      <c r="L1193" s="30"/>
      <c r="M1193" s="30"/>
      <c r="N1193" s="30"/>
      <c r="O1193" s="30"/>
      <c r="P1193" s="30"/>
      <c r="Q1193" s="30"/>
      <c r="R1193" s="30"/>
      <c r="S1193" s="30"/>
      <c r="T1193" s="30"/>
      <c r="U1193" s="21" t="str">
        <f aca="false">IF(COUNT(K1193:T1193)=0,"SOURCE EMPTY / INDUSTRIAL ONLY",IF(MIN(K1193:T1193)=1,"SERVICE READY","HOLD"))</f>
        <v>SOURCE EMPTY / INDUSTRIAL ONLY</v>
      </c>
      <c r="V1193" s="9" t="n">
        <f aca="false">IF(U1193="SERVICE READY",1,0)</f>
        <v>0</v>
      </c>
      <c r="W1193" s="6"/>
      <c r="X1193" s="6"/>
      <c r="Y1193" s="6"/>
      <c r="Z1193" s="6"/>
    </row>
    <row r="1194" customFormat="false" ht="15" hidden="false" customHeight="false" outlineLevel="0" collapsed="false">
      <c r="A1194" s="9" t="s">
        <v>1424</v>
      </c>
      <c r="B1194" s="9" t="s">
        <v>1374</v>
      </c>
      <c r="C1194" s="9" t="s">
        <v>1375</v>
      </c>
      <c r="D1194" s="9" t="s">
        <v>1215</v>
      </c>
      <c r="E1194" s="9" t="s">
        <v>773</v>
      </c>
      <c r="F1194" s="9" t="s">
        <v>197</v>
      </c>
      <c r="G1194" s="9" t="s">
        <v>221</v>
      </c>
      <c r="H1194" s="9" t="n">
        <v>1800</v>
      </c>
      <c r="I1194" s="29" t="n">
        <v>6</v>
      </c>
      <c r="J1194" s="9" t="n">
        <v>0</v>
      </c>
      <c r="K1194" s="30"/>
      <c r="L1194" s="30"/>
      <c r="M1194" s="30"/>
      <c r="N1194" s="30"/>
      <c r="O1194" s="30"/>
      <c r="P1194" s="30"/>
      <c r="Q1194" s="30"/>
      <c r="R1194" s="30"/>
      <c r="S1194" s="30"/>
      <c r="T1194" s="30"/>
      <c r="U1194" s="21" t="str">
        <f aca="false">IF(COUNT(K1194:T1194)=0,"SOURCE EMPTY / INDUSTRIAL ONLY",IF(MIN(K1194:T1194)=1,"SERVICE READY","HOLD"))</f>
        <v>SOURCE EMPTY / INDUSTRIAL ONLY</v>
      </c>
      <c r="V1194" s="9" t="n">
        <f aca="false">IF(U1194="SERVICE READY",1,0)</f>
        <v>0</v>
      </c>
      <c r="W1194" s="6"/>
      <c r="X1194" s="6"/>
      <c r="Y1194" s="6"/>
      <c r="Z1194" s="6"/>
    </row>
    <row r="1195" customFormat="false" ht="15" hidden="false" customHeight="false" outlineLevel="0" collapsed="false">
      <c r="A1195" s="9" t="s">
        <v>1425</v>
      </c>
      <c r="B1195" s="9" t="s">
        <v>1374</v>
      </c>
      <c r="C1195" s="9" t="s">
        <v>1375</v>
      </c>
      <c r="D1195" s="9" t="s">
        <v>1215</v>
      </c>
      <c r="E1195" s="9" t="s">
        <v>773</v>
      </c>
      <c r="F1195" s="9" t="s">
        <v>200</v>
      </c>
      <c r="G1195" s="9" t="s">
        <v>221</v>
      </c>
      <c r="H1195" s="9" t="n">
        <v>1800</v>
      </c>
      <c r="I1195" s="29" t="n">
        <v>6</v>
      </c>
      <c r="J1195" s="9" t="n">
        <v>0</v>
      </c>
      <c r="K1195" s="30"/>
      <c r="L1195" s="30"/>
      <c r="M1195" s="30"/>
      <c r="N1195" s="30"/>
      <c r="O1195" s="30"/>
      <c r="P1195" s="30"/>
      <c r="Q1195" s="30"/>
      <c r="R1195" s="30"/>
      <c r="S1195" s="30"/>
      <c r="T1195" s="30"/>
      <c r="U1195" s="21" t="str">
        <f aca="false">IF(COUNT(K1195:T1195)=0,"SOURCE EMPTY / INDUSTRIAL ONLY",IF(MIN(K1195:T1195)=1,"SERVICE READY","HOLD"))</f>
        <v>SOURCE EMPTY / INDUSTRIAL ONLY</v>
      </c>
      <c r="V1195" s="9" t="n">
        <f aca="false">IF(U1195="SERVICE READY",1,0)</f>
        <v>0</v>
      </c>
      <c r="W1195" s="6"/>
      <c r="X1195" s="6"/>
      <c r="Y1195" s="6"/>
      <c r="Z1195" s="6"/>
    </row>
    <row r="1196" customFormat="false" ht="15" hidden="false" customHeight="false" outlineLevel="0" collapsed="false">
      <c r="A1196" s="9" t="s">
        <v>1426</v>
      </c>
      <c r="B1196" s="9" t="s">
        <v>1427</v>
      </c>
      <c r="C1196" s="9" t="s">
        <v>1428</v>
      </c>
      <c r="D1196" s="9" t="s">
        <v>1215</v>
      </c>
      <c r="E1196" s="9" t="s">
        <v>275</v>
      </c>
      <c r="F1196" s="9" t="s">
        <v>197</v>
      </c>
      <c r="G1196" s="9" t="s">
        <v>198</v>
      </c>
      <c r="H1196" s="9" t="n">
        <v>1350</v>
      </c>
      <c r="I1196" s="29" t="n">
        <v>3</v>
      </c>
      <c r="J1196" s="9" t="n">
        <v>1</v>
      </c>
      <c r="K1196" s="30"/>
      <c r="L1196" s="30"/>
      <c r="M1196" s="30"/>
      <c r="N1196" s="30"/>
      <c r="O1196" s="30"/>
      <c r="P1196" s="30"/>
      <c r="Q1196" s="30"/>
      <c r="R1196" s="30"/>
      <c r="S1196" s="30"/>
      <c r="T1196" s="30"/>
      <c r="U1196" s="21" t="str">
        <f aca="false">IF(COUNT(K1196:T1196)=0,"SOURCE EMPTY / INDUSTRIAL ONLY",IF(MIN(K1196:T1196)=1,"SERVICE READY","HOLD"))</f>
        <v>SOURCE EMPTY / INDUSTRIAL ONLY</v>
      </c>
      <c r="V1196" s="9" t="n">
        <f aca="false">IF(U1196="SERVICE READY",1,0)</f>
        <v>0</v>
      </c>
      <c r="W1196" s="6"/>
      <c r="X1196" s="6"/>
      <c r="Y1196" s="6"/>
      <c r="Z1196" s="6"/>
    </row>
    <row r="1197" customFormat="false" ht="15" hidden="false" customHeight="false" outlineLevel="0" collapsed="false">
      <c r="A1197" s="9" t="s">
        <v>1429</v>
      </c>
      <c r="B1197" s="9" t="s">
        <v>1427</v>
      </c>
      <c r="C1197" s="9" t="s">
        <v>1428</v>
      </c>
      <c r="D1197" s="9" t="s">
        <v>1215</v>
      </c>
      <c r="E1197" s="9" t="s">
        <v>275</v>
      </c>
      <c r="F1197" s="9" t="s">
        <v>200</v>
      </c>
      <c r="G1197" s="9" t="s">
        <v>201</v>
      </c>
      <c r="H1197" s="9" t="n">
        <v>1350</v>
      </c>
      <c r="I1197" s="29" t="n">
        <v>3</v>
      </c>
      <c r="J1197" s="9" t="n">
        <v>1</v>
      </c>
      <c r="K1197" s="30"/>
      <c r="L1197" s="30"/>
      <c r="M1197" s="30"/>
      <c r="N1197" s="30"/>
      <c r="O1197" s="30"/>
      <c r="P1197" s="30"/>
      <c r="Q1197" s="30"/>
      <c r="R1197" s="30"/>
      <c r="S1197" s="30"/>
      <c r="T1197" s="30"/>
      <c r="U1197" s="21" t="str">
        <f aca="false">IF(COUNT(K1197:T1197)=0,"SOURCE EMPTY / INDUSTRIAL ONLY",IF(MIN(K1197:T1197)=1,"SERVICE READY","HOLD"))</f>
        <v>SOURCE EMPTY / INDUSTRIAL ONLY</v>
      </c>
      <c r="V1197" s="9" t="n">
        <f aca="false">IF(U1197="SERVICE READY",1,0)</f>
        <v>0</v>
      </c>
      <c r="W1197" s="6"/>
      <c r="X1197" s="6"/>
      <c r="Y1197" s="6"/>
      <c r="Z1197" s="6"/>
    </row>
    <row r="1198" customFormat="false" ht="15" hidden="false" customHeight="false" outlineLevel="0" collapsed="false">
      <c r="A1198" s="9" t="s">
        <v>1430</v>
      </c>
      <c r="B1198" s="9" t="s">
        <v>1427</v>
      </c>
      <c r="C1198" s="9" t="s">
        <v>1428</v>
      </c>
      <c r="D1198" s="9" t="s">
        <v>1215</v>
      </c>
      <c r="E1198" s="9" t="s">
        <v>275</v>
      </c>
      <c r="F1198" s="9" t="s">
        <v>203</v>
      </c>
      <c r="G1198" s="9" t="s">
        <v>198</v>
      </c>
      <c r="H1198" s="9" t="n">
        <v>1350</v>
      </c>
      <c r="I1198" s="29" t="n">
        <v>3</v>
      </c>
      <c r="J1198" s="9" t="n">
        <v>1</v>
      </c>
      <c r="K1198" s="30"/>
      <c r="L1198" s="30"/>
      <c r="M1198" s="30"/>
      <c r="N1198" s="30"/>
      <c r="O1198" s="30"/>
      <c r="P1198" s="30"/>
      <c r="Q1198" s="30"/>
      <c r="R1198" s="30"/>
      <c r="S1198" s="30"/>
      <c r="T1198" s="30"/>
      <c r="U1198" s="21" t="str">
        <f aca="false">IF(COUNT(K1198:T1198)=0,"SOURCE EMPTY / INDUSTRIAL ONLY",IF(MIN(K1198:T1198)=1,"SERVICE READY","HOLD"))</f>
        <v>SOURCE EMPTY / INDUSTRIAL ONLY</v>
      </c>
      <c r="V1198" s="9" t="n">
        <f aca="false">IF(U1198="SERVICE READY",1,0)</f>
        <v>0</v>
      </c>
      <c r="W1198" s="6"/>
      <c r="X1198" s="6"/>
      <c r="Y1198" s="6"/>
      <c r="Z1198" s="6"/>
    </row>
    <row r="1199" customFormat="false" ht="15" hidden="false" customHeight="false" outlineLevel="0" collapsed="false">
      <c r="A1199" s="9" t="s">
        <v>1431</v>
      </c>
      <c r="B1199" s="9" t="s">
        <v>1427</v>
      </c>
      <c r="C1199" s="9" t="s">
        <v>1428</v>
      </c>
      <c r="D1199" s="9" t="s">
        <v>1215</v>
      </c>
      <c r="E1199" s="9" t="s">
        <v>275</v>
      </c>
      <c r="F1199" s="9" t="s">
        <v>205</v>
      </c>
      <c r="G1199" s="9" t="s">
        <v>201</v>
      </c>
      <c r="H1199" s="9" t="n">
        <v>1350</v>
      </c>
      <c r="I1199" s="29" t="n">
        <v>3</v>
      </c>
      <c r="J1199" s="9" t="n">
        <v>1</v>
      </c>
      <c r="K1199" s="30"/>
      <c r="L1199" s="30"/>
      <c r="M1199" s="30"/>
      <c r="N1199" s="30"/>
      <c r="O1199" s="30"/>
      <c r="P1199" s="30"/>
      <c r="Q1199" s="30"/>
      <c r="R1199" s="30"/>
      <c r="S1199" s="30"/>
      <c r="T1199" s="30"/>
      <c r="U1199" s="21" t="str">
        <f aca="false">IF(COUNT(K1199:T1199)=0,"SOURCE EMPTY / INDUSTRIAL ONLY",IF(MIN(K1199:T1199)=1,"SERVICE READY","HOLD"))</f>
        <v>SOURCE EMPTY / INDUSTRIAL ONLY</v>
      </c>
      <c r="V1199" s="9" t="n">
        <f aca="false">IF(U1199="SERVICE READY",1,0)</f>
        <v>0</v>
      </c>
      <c r="W1199" s="6"/>
      <c r="X1199" s="6"/>
      <c r="Y1199" s="6"/>
      <c r="Z1199" s="6"/>
    </row>
    <row r="1200" customFormat="false" ht="15" hidden="false" customHeight="false" outlineLevel="0" collapsed="false">
      <c r="A1200" s="9" t="s">
        <v>1432</v>
      </c>
      <c r="B1200" s="9" t="s">
        <v>1427</v>
      </c>
      <c r="C1200" s="9" t="s">
        <v>1428</v>
      </c>
      <c r="D1200" s="9" t="s">
        <v>1215</v>
      </c>
      <c r="E1200" s="9" t="s">
        <v>275</v>
      </c>
      <c r="F1200" s="9" t="s">
        <v>207</v>
      </c>
      <c r="G1200" s="9" t="s">
        <v>198</v>
      </c>
      <c r="H1200" s="9" t="n">
        <v>1350</v>
      </c>
      <c r="I1200" s="29" t="n">
        <v>3</v>
      </c>
      <c r="J1200" s="9" t="n">
        <v>1</v>
      </c>
      <c r="K1200" s="30"/>
      <c r="L1200" s="30"/>
      <c r="M1200" s="30"/>
      <c r="N1200" s="30"/>
      <c r="O1200" s="30"/>
      <c r="P1200" s="30"/>
      <c r="Q1200" s="30"/>
      <c r="R1200" s="30"/>
      <c r="S1200" s="30"/>
      <c r="T1200" s="30"/>
      <c r="U1200" s="21" t="str">
        <f aca="false">IF(COUNT(K1200:T1200)=0,"SOURCE EMPTY / INDUSTRIAL ONLY",IF(MIN(K1200:T1200)=1,"SERVICE READY","HOLD"))</f>
        <v>SOURCE EMPTY / INDUSTRIAL ONLY</v>
      </c>
      <c r="V1200" s="9" t="n">
        <f aca="false">IF(U1200="SERVICE READY",1,0)</f>
        <v>0</v>
      </c>
      <c r="W1200" s="6"/>
      <c r="X1200" s="6"/>
      <c r="Y1200" s="6"/>
      <c r="Z1200" s="6"/>
    </row>
    <row r="1201" customFormat="false" ht="15" hidden="false" customHeight="false" outlineLevel="0" collapsed="false">
      <c r="A1201" s="9" t="s">
        <v>1433</v>
      </c>
      <c r="B1201" s="9" t="s">
        <v>1427</v>
      </c>
      <c r="C1201" s="9" t="s">
        <v>1428</v>
      </c>
      <c r="D1201" s="9" t="s">
        <v>1215</v>
      </c>
      <c r="E1201" s="9" t="s">
        <v>275</v>
      </c>
      <c r="F1201" s="9" t="s">
        <v>209</v>
      </c>
      <c r="G1201" s="9" t="s">
        <v>201</v>
      </c>
      <c r="H1201" s="9" t="n">
        <v>1350</v>
      </c>
      <c r="I1201" s="29" t="n">
        <v>3</v>
      </c>
      <c r="J1201" s="9" t="n">
        <v>1</v>
      </c>
      <c r="K1201" s="30"/>
      <c r="L1201" s="30"/>
      <c r="M1201" s="30"/>
      <c r="N1201" s="30"/>
      <c r="O1201" s="30"/>
      <c r="P1201" s="30"/>
      <c r="Q1201" s="30"/>
      <c r="R1201" s="30"/>
      <c r="S1201" s="30"/>
      <c r="T1201" s="30"/>
      <c r="U1201" s="21" t="str">
        <f aca="false">IF(COUNT(K1201:T1201)=0,"SOURCE EMPTY / INDUSTRIAL ONLY",IF(MIN(K1201:T1201)=1,"SERVICE READY","HOLD"))</f>
        <v>SOURCE EMPTY / INDUSTRIAL ONLY</v>
      </c>
      <c r="V1201" s="9" t="n">
        <f aca="false">IF(U1201="SERVICE READY",1,0)</f>
        <v>0</v>
      </c>
      <c r="W1201" s="6"/>
      <c r="X1201" s="6"/>
      <c r="Y1201" s="6"/>
      <c r="Z1201" s="6"/>
    </row>
    <row r="1202" customFormat="false" ht="15" hidden="false" customHeight="false" outlineLevel="0" collapsed="false">
      <c r="A1202" s="9" t="s">
        <v>1434</v>
      </c>
      <c r="B1202" s="9" t="s">
        <v>1427</v>
      </c>
      <c r="C1202" s="9" t="s">
        <v>1428</v>
      </c>
      <c r="D1202" s="9" t="s">
        <v>1215</v>
      </c>
      <c r="E1202" s="9" t="s">
        <v>275</v>
      </c>
      <c r="F1202" s="9" t="s">
        <v>211</v>
      </c>
      <c r="G1202" s="9" t="s">
        <v>198</v>
      </c>
      <c r="H1202" s="9" t="n">
        <v>1350</v>
      </c>
      <c r="I1202" s="29" t="n">
        <v>3</v>
      </c>
      <c r="J1202" s="9" t="n">
        <v>1</v>
      </c>
      <c r="K1202" s="30"/>
      <c r="L1202" s="30"/>
      <c r="M1202" s="30"/>
      <c r="N1202" s="30"/>
      <c r="O1202" s="30"/>
      <c r="P1202" s="30"/>
      <c r="Q1202" s="30"/>
      <c r="R1202" s="30"/>
      <c r="S1202" s="30"/>
      <c r="T1202" s="30"/>
      <c r="U1202" s="21" t="str">
        <f aca="false">IF(COUNT(K1202:T1202)=0,"SOURCE EMPTY / INDUSTRIAL ONLY",IF(MIN(K1202:T1202)=1,"SERVICE READY","HOLD"))</f>
        <v>SOURCE EMPTY / INDUSTRIAL ONLY</v>
      </c>
      <c r="V1202" s="9" t="n">
        <f aca="false">IF(U1202="SERVICE READY",1,0)</f>
        <v>0</v>
      </c>
      <c r="W1202" s="6"/>
      <c r="X1202" s="6"/>
      <c r="Y1202" s="6"/>
      <c r="Z1202" s="6"/>
    </row>
    <row r="1203" customFormat="false" ht="15" hidden="false" customHeight="false" outlineLevel="0" collapsed="false">
      <c r="A1203" s="9" t="s">
        <v>1435</v>
      </c>
      <c r="B1203" s="9" t="s">
        <v>1427</v>
      </c>
      <c r="C1203" s="9" t="s">
        <v>1428</v>
      </c>
      <c r="D1203" s="9" t="s">
        <v>1215</v>
      </c>
      <c r="E1203" s="9" t="s">
        <v>275</v>
      </c>
      <c r="F1203" s="9" t="s">
        <v>197</v>
      </c>
      <c r="G1203" s="9" t="s">
        <v>201</v>
      </c>
      <c r="H1203" s="9" t="n">
        <v>1350</v>
      </c>
      <c r="I1203" s="29" t="n">
        <v>3</v>
      </c>
      <c r="J1203" s="9" t="n">
        <v>1</v>
      </c>
      <c r="K1203" s="30"/>
      <c r="L1203" s="30"/>
      <c r="M1203" s="30"/>
      <c r="N1203" s="30"/>
      <c r="O1203" s="30"/>
      <c r="P1203" s="30"/>
      <c r="Q1203" s="30"/>
      <c r="R1203" s="30"/>
      <c r="S1203" s="30"/>
      <c r="T1203" s="30"/>
      <c r="U1203" s="21" t="str">
        <f aca="false">IF(COUNT(K1203:T1203)=0,"SOURCE EMPTY / INDUSTRIAL ONLY",IF(MIN(K1203:T1203)=1,"SERVICE READY","HOLD"))</f>
        <v>SOURCE EMPTY / INDUSTRIAL ONLY</v>
      </c>
      <c r="V1203" s="9" t="n">
        <f aca="false">IF(U1203="SERVICE READY",1,0)</f>
        <v>0</v>
      </c>
      <c r="W1203" s="6"/>
      <c r="X1203" s="6"/>
      <c r="Y1203" s="6"/>
      <c r="Z1203" s="6"/>
    </row>
    <row r="1204" customFormat="false" ht="15" hidden="false" customHeight="false" outlineLevel="0" collapsed="false">
      <c r="A1204" s="9" t="s">
        <v>1436</v>
      </c>
      <c r="B1204" s="9" t="s">
        <v>1427</v>
      </c>
      <c r="C1204" s="9" t="s">
        <v>1428</v>
      </c>
      <c r="D1204" s="9" t="s">
        <v>1215</v>
      </c>
      <c r="E1204" s="9" t="s">
        <v>275</v>
      </c>
      <c r="F1204" s="9" t="s">
        <v>200</v>
      </c>
      <c r="G1204" s="9" t="s">
        <v>198</v>
      </c>
      <c r="H1204" s="9" t="n">
        <v>1350</v>
      </c>
      <c r="I1204" s="29" t="n">
        <v>3</v>
      </c>
      <c r="J1204" s="9" t="n">
        <v>1</v>
      </c>
      <c r="K1204" s="30"/>
      <c r="L1204" s="30"/>
      <c r="M1204" s="30"/>
      <c r="N1204" s="30"/>
      <c r="O1204" s="30"/>
      <c r="P1204" s="30"/>
      <c r="Q1204" s="30"/>
      <c r="R1204" s="30"/>
      <c r="S1204" s="30"/>
      <c r="T1204" s="30"/>
      <c r="U1204" s="21" t="str">
        <f aca="false">IF(COUNT(K1204:T1204)=0,"SOURCE EMPTY / INDUSTRIAL ONLY",IF(MIN(K1204:T1204)=1,"SERVICE READY","HOLD"))</f>
        <v>SOURCE EMPTY / INDUSTRIAL ONLY</v>
      </c>
      <c r="V1204" s="9" t="n">
        <f aca="false">IF(U1204="SERVICE READY",1,0)</f>
        <v>0</v>
      </c>
      <c r="W1204" s="6"/>
      <c r="X1204" s="6"/>
      <c r="Y1204" s="6"/>
      <c r="Z1204" s="6"/>
    </row>
    <row r="1205" customFormat="false" ht="15" hidden="false" customHeight="false" outlineLevel="0" collapsed="false">
      <c r="A1205" s="9" t="s">
        <v>1437</v>
      </c>
      <c r="B1205" s="9" t="s">
        <v>1427</v>
      </c>
      <c r="C1205" s="9" t="s">
        <v>1428</v>
      </c>
      <c r="D1205" s="9" t="s">
        <v>1215</v>
      </c>
      <c r="E1205" s="9" t="s">
        <v>275</v>
      </c>
      <c r="F1205" s="9" t="s">
        <v>203</v>
      </c>
      <c r="G1205" s="9" t="s">
        <v>201</v>
      </c>
      <c r="H1205" s="9" t="n">
        <v>1350</v>
      </c>
      <c r="I1205" s="29" t="n">
        <v>3</v>
      </c>
      <c r="J1205" s="9" t="n">
        <v>1</v>
      </c>
      <c r="K1205" s="30"/>
      <c r="L1205" s="30"/>
      <c r="M1205" s="30"/>
      <c r="N1205" s="30"/>
      <c r="O1205" s="30"/>
      <c r="P1205" s="30"/>
      <c r="Q1205" s="30"/>
      <c r="R1205" s="30"/>
      <c r="S1205" s="30"/>
      <c r="T1205" s="30"/>
      <c r="U1205" s="21" t="str">
        <f aca="false">IF(COUNT(K1205:T1205)=0,"SOURCE EMPTY / INDUSTRIAL ONLY",IF(MIN(K1205:T1205)=1,"SERVICE READY","HOLD"))</f>
        <v>SOURCE EMPTY / INDUSTRIAL ONLY</v>
      </c>
      <c r="V1205" s="9" t="n">
        <f aca="false">IF(U1205="SERVICE READY",1,0)</f>
        <v>0</v>
      </c>
      <c r="W1205" s="6"/>
      <c r="X1205" s="6"/>
      <c r="Y1205" s="6"/>
      <c r="Z1205" s="6"/>
    </row>
    <row r="1206" customFormat="false" ht="15" hidden="false" customHeight="false" outlineLevel="0" collapsed="false">
      <c r="A1206" s="9" t="s">
        <v>1438</v>
      </c>
      <c r="B1206" s="9" t="s">
        <v>1427</v>
      </c>
      <c r="C1206" s="9" t="s">
        <v>1428</v>
      </c>
      <c r="D1206" s="9" t="s">
        <v>1215</v>
      </c>
      <c r="E1206" s="9" t="s">
        <v>275</v>
      </c>
      <c r="F1206" s="9" t="s">
        <v>205</v>
      </c>
      <c r="G1206" s="9" t="s">
        <v>198</v>
      </c>
      <c r="H1206" s="9" t="n">
        <v>1350</v>
      </c>
      <c r="I1206" s="29" t="n">
        <v>3</v>
      </c>
      <c r="J1206" s="9" t="n">
        <v>1</v>
      </c>
      <c r="K1206" s="30"/>
      <c r="L1206" s="30"/>
      <c r="M1206" s="30"/>
      <c r="N1206" s="30"/>
      <c r="O1206" s="30"/>
      <c r="P1206" s="30"/>
      <c r="Q1206" s="30"/>
      <c r="R1206" s="30"/>
      <c r="S1206" s="30"/>
      <c r="T1206" s="30"/>
      <c r="U1206" s="21" t="str">
        <f aca="false">IF(COUNT(K1206:T1206)=0,"SOURCE EMPTY / INDUSTRIAL ONLY",IF(MIN(K1206:T1206)=1,"SERVICE READY","HOLD"))</f>
        <v>SOURCE EMPTY / INDUSTRIAL ONLY</v>
      </c>
      <c r="V1206" s="9" t="n">
        <f aca="false">IF(U1206="SERVICE READY",1,0)</f>
        <v>0</v>
      </c>
      <c r="W1206" s="6"/>
      <c r="X1206" s="6"/>
      <c r="Y1206" s="6"/>
      <c r="Z1206" s="6"/>
    </row>
    <row r="1207" customFormat="false" ht="15" hidden="false" customHeight="false" outlineLevel="0" collapsed="false">
      <c r="A1207" s="9" t="s">
        <v>1439</v>
      </c>
      <c r="B1207" s="9" t="s">
        <v>1427</v>
      </c>
      <c r="C1207" s="9" t="s">
        <v>1428</v>
      </c>
      <c r="D1207" s="9" t="s">
        <v>1215</v>
      </c>
      <c r="E1207" s="9" t="s">
        <v>275</v>
      </c>
      <c r="F1207" s="9" t="s">
        <v>207</v>
      </c>
      <c r="G1207" s="9" t="s">
        <v>201</v>
      </c>
      <c r="H1207" s="9" t="n">
        <v>1350</v>
      </c>
      <c r="I1207" s="29" t="n">
        <v>3</v>
      </c>
      <c r="J1207" s="9" t="n">
        <v>1</v>
      </c>
      <c r="K1207" s="30"/>
      <c r="L1207" s="30"/>
      <c r="M1207" s="30"/>
      <c r="N1207" s="30"/>
      <c r="O1207" s="30"/>
      <c r="P1207" s="30"/>
      <c r="Q1207" s="30"/>
      <c r="R1207" s="30"/>
      <c r="S1207" s="30"/>
      <c r="T1207" s="30"/>
      <c r="U1207" s="21" t="str">
        <f aca="false">IF(COUNT(K1207:T1207)=0,"SOURCE EMPTY / INDUSTRIAL ONLY",IF(MIN(K1207:T1207)=1,"SERVICE READY","HOLD"))</f>
        <v>SOURCE EMPTY / INDUSTRIAL ONLY</v>
      </c>
      <c r="V1207" s="9" t="n">
        <f aca="false">IF(U1207="SERVICE READY",1,0)</f>
        <v>0</v>
      </c>
      <c r="W1207" s="6"/>
      <c r="X1207" s="6"/>
      <c r="Y1207" s="6"/>
      <c r="Z1207" s="6"/>
    </row>
    <row r="1208" customFormat="false" ht="15" hidden="false" customHeight="false" outlineLevel="0" collapsed="false">
      <c r="A1208" s="9" t="s">
        <v>1440</v>
      </c>
      <c r="B1208" s="9" t="s">
        <v>1427</v>
      </c>
      <c r="C1208" s="9" t="s">
        <v>1428</v>
      </c>
      <c r="D1208" s="9" t="s">
        <v>1215</v>
      </c>
      <c r="E1208" s="9" t="s">
        <v>275</v>
      </c>
      <c r="F1208" s="9" t="s">
        <v>209</v>
      </c>
      <c r="G1208" s="9" t="s">
        <v>198</v>
      </c>
      <c r="H1208" s="9" t="n">
        <v>1350</v>
      </c>
      <c r="I1208" s="29" t="n">
        <v>3</v>
      </c>
      <c r="J1208" s="9" t="n">
        <v>1</v>
      </c>
      <c r="K1208" s="30"/>
      <c r="L1208" s="30"/>
      <c r="M1208" s="30"/>
      <c r="N1208" s="30"/>
      <c r="O1208" s="30"/>
      <c r="P1208" s="30"/>
      <c r="Q1208" s="30"/>
      <c r="R1208" s="30"/>
      <c r="S1208" s="30"/>
      <c r="T1208" s="30"/>
      <c r="U1208" s="21" t="str">
        <f aca="false">IF(COUNT(K1208:T1208)=0,"SOURCE EMPTY / INDUSTRIAL ONLY",IF(MIN(K1208:T1208)=1,"SERVICE READY","HOLD"))</f>
        <v>SOURCE EMPTY / INDUSTRIAL ONLY</v>
      </c>
      <c r="V1208" s="9" t="n">
        <f aca="false">IF(U1208="SERVICE READY",1,0)</f>
        <v>0</v>
      </c>
      <c r="W1208" s="6"/>
      <c r="X1208" s="6"/>
      <c r="Y1208" s="6"/>
      <c r="Z1208" s="6"/>
    </row>
    <row r="1209" customFormat="false" ht="15" hidden="false" customHeight="false" outlineLevel="0" collapsed="false">
      <c r="A1209" s="9" t="s">
        <v>1441</v>
      </c>
      <c r="B1209" s="9" t="s">
        <v>1427</v>
      </c>
      <c r="C1209" s="9" t="s">
        <v>1428</v>
      </c>
      <c r="D1209" s="9" t="s">
        <v>1215</v>
      </c>
      <c r="E1209" s="9" t="s">
        <v>275</v>
      </c>
      <c r="F1209" s="9" t="s">
        <v>211</v>
      </c>
      <c r="G1209" s="9" t="s">
        <v>201</v>
      </c>
      <c r="H1209" s="9" t="n">
        <v>1350</v>
      </c>
      <c r="I1209" s="29" t="n">
        <v>3</v>
      </c>
      <c r="J1209" s="9" t="n">
        <v>1</v>
      </c>
      <c r="K1209" s="30"/>
      <c r="L1209" s="30"/>
      <c r="M1209" s="30"/>
      <c r="N1209" s="30"/>
      <c r="O1209" s="30"/>
      <c r="P1209" s="30"/>
      <c r="Q1209" s="30"/>
      <c r="R1209" s="30"/>
      <c r="S1209" s="30"/>
      <c r="T1209" s="30"/>
      <c r="U1209" s="21" t="str">
        <f aca="false">IF(COUNT(K1209:T1209)=0,"SOURCE EMPTY / INDUSTRIAL ONLY",IF(MIN(K1209:T1209)=1,"SERVICE READY","HOLD"))</f>
        <v>SOURCE EMPTY / INDUSTRIAL ONLY</v>
      </c>
      <c r="V1209" s="9" t="n">
        <f aca="false">IF(U1209="SERVICE READY",1,0)</f>
        <v>0</v>
      </c>
      <c r="W1209" s="6"/>
      <c r="X1209" s="6"/>
      <c r="Y1209" s="6"/>
      <c r="Z1209" s="6"/>
    </row>
    <row r="1210" customFormat="false" ht="15" hidden="false" customHeight="false" outlineLevel="0" collapsed="false">
      <c r="A1210" s="9" t="s">
        <v>1442</v>
      </c>
      <c r="B1210" s="9" t="s">
        <v>1427</v>
      </c>
      <c r="C1210" s="9" t="s">
        <v>1428</v>
      </c>
      <c r="D1210" s="9" t="s">
        <v>1215</v>
      </c>
      <c r="E1210" s="9" t="s">
        <v>275</v>
      </c>
      <c r="F1210" s="9" t="s">
        <v>197</v>
      </c>
      <c r="G1210" s="9" t="s">
        <v>198</v>
      </c>
      <c r="H1210" s="9" t="n">
        <v>1350</v>
      </c>
      <c r="I1210" s="29" t="n">
        <v>3</v>
      </c>
      <c r="J1210" s="9" t="n">
        <v>1</v>
      </c>
      <c r="K1210" s="30"/>
      <c r="L1210" s="30"/>
      <c r="M1210" s="30"/>
      <c r="N1210" s="30"/>
      <c r="O1210" s="30"/>
      <c r="P1210" s="30"/>
      <c r="Q1210" s="30"/>
      <c r="R1210" s="30"/>
      <c r="S1210" s="30"/>
      <c r="T1210" s="30"/>
      <c r="U1210" s="21" t="str">
        <f aca="false">IF(COUNT(K1210:T1210)=0,"SOURCE EMPTY / INDUSTRIAL ONLY",IF(MIN(K1210:T1210)=1,"SERVICE READY","HOLD"))</f>
        <v>SOURCE EMPTY / INDUSTRIAL ONLY</v>
      </c>
      <c r="V1210" s="9" t="n">
        <f aca="false">IF(U1210="SERVICE READY",1,0)</f>
        <v>0</v>
      </c>
      <c r="W1210" s="6"/>
      <c r="X1210" s="6"/>
      <c r="Y1210" s="6"/>
      <c r="Z1210" s="6"/>
    </row>
    <row r="1211" customFormat="false" ht="15" hidden="false" customHeight="false" outlineLevel="0" collapsed="false">
      <c r="A1211" s="9" t="s">
        <v>1443</v>
      </c>
      <c r="B1211" s="9" t="s">
        <v>1427</v>
      </c>
      <c r="C1211" s="9" t="s">
        <v>1428</v>
      </c>
      <c r="D1211" s="9" t="s">
        <v>1215</v>
      </c>
      <c r="E1211" s="9" t="s">
        <v>275</v>
      </c>
      <c r="F1211" s="9" t="s">
        <v>200</v>
      </c>
      <c r="G1211" s="9" t="s">
        <v>201</v>
      </c>
      <c r="H1211" s="9" t="n">
        <v>1350</v>
      </c>
      <c r="I1211" s="29" t="n">
        <v>3</v>
      </c>
      <c r="J1211" s="9" t="n">
        <v>1</v>
      </c>
      <c r="K1211" s="30"/>
      <c r="L1211" s="30"/>
      <c r="M1211" s="30"/>
      <c r="N1211" s="30"/>
      <c r="O1211" s="30"/>
      <c r="P1211" s="30"/>
      <c r="Q1211" s="30"/>
      <c r="R1211" s="30"/>
      <c r="S1211" s="30"/>
      <c r="T1211" s="30"/>
      <c r="U1211" s="21" t="str">
        <f aca="false">IF(COUNT(K1211:T1211)=0,"SOURCE EMPTY / INDUSTRIAL ONLY",IF(MIN(K1211:T1211)=1,"SERVICE READY","HOLD"))</f>
        <v>SOURCE EMPTY / INDUSTRIAL ONLY</v>
      </c>
      <c r="V1211" s="9" t="n">
        <f aca="false">IF(U1211="SERVICE READY",1,0)</f>
        <v>0</v>
      </c>
      <c r="W1211" s="6"/>
      <c r="X1211" s="6"/>
      <c r="Y1211" s="6"/>
      <c r="Z1211" s="6"/>
    </row>
    <row r="1212" customFormat="false" ht="15" hidden="false" customHeight="false" outlineLevel="0" collapsed="false">
      <c r="A1212" s="9" t="s">
        <v>1444</v>
      </c>
      <c r="B1212" s="9" t="s">
        <v>1427</v>
      </c>
      <c r="C1212" s="9" t="s">
        <v>1428</v>
      </c>
      <c r="D1212" s="9" t="s">
        <v>1215</v>
      </c>
      <c r="E1212" s="9" t="s">
        <v>275</v>
      </c>
      <c r="F1212" s="9" t="s">
        <v>203</v>
      </c>
      <c r="G1212" s="9" t="s">
        <v>198</v>
      </c>
      <c r="H1212" s="9" t="n">
        <v>1350</v>
      </c>
      <c r="I1212" s="29" t="n">
        <v>3</v>
      </c>
      <c r="J1212" s="9" t="n">
        <v>1</v>
      </c>
      <c r="K1212" s="30"/>
      <c r="L1212" s="30"/>
      <c r="M1212" s="30"/>
      <c r="N1212" s="30"/>
      <c r="O1212" s="30"/>
      <c r="P1212" s="30"/>
      <c r="Q1212" s="30"/>
      <c r="R1212" s="30"/>
      <c r="S1212" s="30"/>
      <c r="T1212" s="30"/>
      <c r="U1212" s="21" t="str">
        <f aca="false">IF(COUNT(K1212:T1212)=0,"SOURCE EMPTY / INDUSTRIAL ONLY",IF(MIN(K1212:T1212)=1,"SERVICE READY","HOLD"))</f>
        <v>SOURCE EMPTY / INDUSTRIAL ONLY</v>
      </c>
      <c r="V1212" s="9" t="n">
        <f aca="false">IF(U1212="SERVICE READY",1,0)</f>
        <v>0</v>
      </c>
      <c r="W1212" s="6"/>
      <c r="X1212" s="6"/>
      <c r="Y1212" s="6"/>
      <c r="Z1212" s="6"/>
    </row>
    <row r="1213" customFormat="false" ht="15" hidden="false" customHeight="false" outlineLevel="0" collapsed="false">
      <c r="A1213" s="9" t="s">
        <v>1445</v>
      </c>
      <c r="B1213" s="9" t="s">
        <v>1427</v>
      </c>
      <c r="C1213" s="9" t="s">
        <v>1428</v>
      </c>
      <c r="D1213" s="9" t="s">
        <v>1215</v>
      </c>
      <c r="E1213" s="9" t="s">
        <v>275</v>
      </c>
      <c r="F1213" s="9" t="s">
        <v>205</v>
      </c>
      <c r="G1213" s="9" t="s">
        <v>201</v>
      </c>
      <c r="H1213" s="9" t="n">
        <v>1350</v>
      </c>
      <c r="I1213" s="29" t="n">
        <v>3</v>
      </c>
      <c r="J1213" s="9" t="n">
        <v>1</v>
      </c>
      <c r="K1213" s="30"/>
      <c r="L1213" s="30"/>
      <c r="M1213" s="30"/>
      <c r="N1213" s="30"/>
      <c r="O1213" s="30"/>
      <c r="P1213" s="30"/>
      <c r="Q1213" s="30"/>
      <c r="R1213" s="30"/>
      <c r="S1213" s="30"/>
      <c r="T1213" s="30"/>
      <c r="U1213" s="21" t="str">
        <f aca="false">IF(COUNT(K1213:T1213)=0,"SOURCE EMPTY / INDUSTRIAL ONLY",IF(MIN(K1213:T1213)=1,"SERVICE READY","HOLD"))</f>
        <v>SOURCE EMPTY / INDUSTRIAL ONLY</v>
      </c>
      <c r="V1213" s="9" t="n">
        <f aca="false">IF(U1213="SERVICE READY",1,0)</f>
        <v>0</v>
      </c>
      <c r="W1213" s="6"/>
      <c r="X1213" s="6"/>
      <c r="Y1213" s="6"/>
      <c r="Z1213" s="6"/>
    </row>
    <row r="1214" customFormat="false" ht="15" hidden="false" customHeight="false" outlineLevel="0" collapsed="false">
      <c r="A1214" s="9" t="s">
        <v>1446</v>
      </c>
      <c r="B1214" s="9" t="s">
        <v>1427</v>
      </c>
      <c r="C1214" s="9" t="s">
        <v>1428</v>
      </c>
      <c r="D1214" s="9" t="s">
        <v>1215</v>
      </c>
      <c r="E1214" s="9" t="s">
        <v>275</v>
      </c>
      <c r="F1214" s="9" t="s">
        <v>207</v>
      </c>
      <c r="G1214" s="9" t="s">
        <v>198</v>
      </c>
      <c r="H1214" s="9" t="n">
        <v>1350</v>
      </c>
      <c r="I1214" s="29" t="n">
        <v>3</v>
      </c>
      <c r="J1214" s="9" t="n">
        <v>1</v>
      </c>
      <c r="K1214" s="30"/>
      <c r="L1214" s="30"/>
      <c r="M1214" s="30"/>
      <c r="N1214" s="30"/>
      <c r="O1214" s="30"/>
      <c r="P1214" s="30"/>
      <c r="Q1214" s="30"/>
      <c r="R1214" s="30"/>
      <c r="S1214" s="30"/>
      <c r="T1214" s="30"/>
      <c r="U1214" s="21" t="str">
        <f aca="false">IF(COUNT(K1214:T1214)=0,"SOURCE EMPTY / INDUSTRIAL ONLY",IF(MIN(K1214:T1214)=1,"SERVICE READY","HOLD"))</f>
        <v>SOURCE EMPTY / INDUSTRIAL ONLY</v>
      </c>
      <c r="V1214" s="9" t="n">
        <f aca="false">IF(U1214="SERVICE READY",1,0)</f>
        <v>0</v>
      </c>
      <c r="W1214" s="6"/>
      <c r="X1214" s="6"/>
      <c r="Y1214" s="6"/>
      <c r="Z1214" s="6"/>
    </row>
    <row r="1215" customFormat="false" ht="15" hidden="false" customHeight="false" outlineLevel="0" collapsed="false">
      <c r="A1215" s="9" t="s">
        <v>1447</v>
      </c>
      <c r="B1215" s="9" t="s">
        <v>1427</v>
      </c>
      <c r="C1215" s="9" t="s">
        <v>1428</v>
      </c>
      <c r="D1215" s="9" t="s">
        <v>1215</v>
      </c>
      <c r="E1215" s="9" t="s">
        <v>275</v>
      </c>
      <c r="F1215" s="9" t="s">
        <v>209</v>
      </c>
      <c r="G1215" s="9" t="s">
        <v>201</v>
      </c>
      <c r="H1215" s="9" t="n">
        <v>1350</v>
      </c>
      <c r="I1215" s="29" t="n">
        <v>3</v>
      </c>
      <c r="J1215" s="9" t="n">
        <v>1</v>
      </c>
      <c r="K1215" s="30"/>
      <c r="L1215" s="30"/>
      <c r="M1215" s="30"/>
      <c r="N1215" s="30"/>
      <c r="O1215" s="30"/>
      <c r="P1215" s="30"/>
      <c r="Q1215" s="30"/>
      <c r="R1215" s="30"/>
      <c r="S1215" s="30"/>
      <c r="T1215" s="30"/>
      <c r="U1215" s="21" t="str">
        <f aca="false">IF(COUNT(K1215:T1215)=0,"SOURCE EMPTY / INDUSTRIAL ONLY",IF(MIN(K1215:T1215)=1,"SERVICE READY","HOLD"))</f>
        <v>SOURCE EMPTY / INDUSTRIAL ONLY</v>
      </c>
      <c r="V1215" s="9" t="n">
        <f aca="false">IF(U1215="SERVICE READY",1,0)</f>
        <v>0</v>
      </c>
      <c r="W1215" s="6"/>
      <c r="X1215" s="6"/>
      <c r="Y1215" s="6"/>
      <c r="Z1215" s="6"/>
    </row>
    <row r="1216" customFormat="false" ht="15" hidden="false" customHeight="false" outlineLevel="0" collapsed="false">
      <c r="A1216" s="9" t="s">
        <v>1448</v>
      </c>
      <c r="B1216" s="9" t="s">
        <v>1427</v>
      </c>
      <c r="C1216" s="9" t="s">
        <v>1428</v>
      </c>
      <c r="D1216" s="9" t="s">
        <v>1215</v>
      </c>
      <c r="E1216" s="9" t="s">
        <v>275</v>
      </c>
      <c r="F1216" s="9" t="s">
        <v>211</v>
      </c>
      <c r="G1216" s="9" t="s">
        <v>198</v>
      </c>
      <c r="H1216" s="9" t="n">
        <v>1350</v>
      </c>
      <c r="I1216" s="29" t="n">
        <v>3</v>
      </c>
      <c r="J1216" s="9" t="n">
        <v>1</v>
      </c>
      <c r="K1216" s="30"/>
      <c r="L1216" s="30"/>
      <c r="M1216" s="30"/>
      <c r="N1216" s="30"/>
      <c r="O1216" s="30"/>
      <c r="P1216" s="30"/>
      <c r="Q1216" s="30"/>
      <c r="R1216" s="30"/>
      <c r="S1216" s="30"/>
      <c r="T1216" s="30"/>
      <c r="U1216" s="21" t="str">
        <f aca="false">IF(COUNT(K1216:T1216)=0,"SOURCE EMPTY / INDUSTRIAL ONLY",IF(MIN(K1216:T1216)=1,"SERVICE READY","HOLD"))</f>
        <v>SOURCE EMPTY / INDUSTRIAL ONLY</v>
      </c>
      <c r="V1216" s="9" t="n">
        <f aca="false">IF(U1216="SERVICE READY",1,0)</f>
        <v>0</v>
      </c>
      <c r="W1216" s="6"/>
      <c r="X1216" s="6"/>
      <c r="Y1216" s="6"/>
      <c r="Z1216" s="6"/>
    </row>
    <row r="1217" customFormat="false" ht="15" hidden="false" customHeight="false" outlineLevel="0" collapsed="false">
      <c r="A1217" s="9" t="s">
        <v>1449</v>
      </c>
      <c r="B1217" s="9" t="s">
        <v>1427</v>
      </c>
      <c r="C1217" s="9" t="s">
        <v>1428</v>
      </c>
      <c r="D1217" s="9" t="s">
        <v>1215</v>
      </c>
      <c r="E1217" s="9" t="s">
        <v>275</v>
      </c>
      <c r="F1217" s="9" t="s">
        <v>197</v>
      </c>
      <c r="G1217" s="9" t="s">
        <v>201</v>
      </c>
      <c r="H1217" s="9" t="n">
        <v>1350</v>
      </c>
      <c r="I1217" s="29" t="n">
        <v>3</v>
      </c>
      <c r="J1217" s="9" t="n">
        <v>1</v>
      </c>
      <c r="K1217" s="30"/>
      <c r="L1217" s="30"/>
      <c r="M1217" s="30"/>
      <c r="N1217" s="30"/>
      <c r="O1217" s="30"/>
      <c r="P1217" s="30"/>
      <c r="Q1217" s="30"/>
      <c r="R1217" s="30"/>
      <c r="S1217" s="30"/>
      <c r="T1217" s="30"/>
      <c r="U1217" s="21" t="str">
        <f aca="false">IF(COUNT(K1217:T1217)=0,"SOURCE EMPTY / INDUSTRIAL ONLY",IF(MIN(K1217:T1217)=1,"SERVICE READY","HOLD"))</f>
        <v>SOURCE EMPTY / INDUSTRIAL ONLY</v>
      </c>
      <c r="V1217" s="9" t="n">
        <f aca="false">IF(U1217="SERVICE READY",1,0)</f>
        <v>0</v>
      </c>
      <c r="W1217" s="6"/>
      <c r="X1217" s="6"/>
      <c r="Y1217" s="6"/>
      <c r="Z1217" s="6"/>
    </row>
    <row r="1218" customFormat="false" ht="15" hidden="false" customHeight="false" outlineLevel="0" collapsed="false">
      <c r="A1218" s="9" t="s">
        <v>1450</v>
      </c>
      <c r="B1218" s="9" t="s">
        <v>1427</v>
      </c>
      <c r="C1218" s="9" t="s">
        <v>1428</v>
      </c>
      <c r="D1218" s="9" t="s">
        <v>1215</v>
      </c>
      <c r="E1218" s="9" t="s">
        <v>275</v>
      </c>
      <c r="F1218" s="9" t="s">
        <v>200</v>
      </c>
      <c r="G1218" s="9" t="s">
        <v>198</v>
      </c>
      <c r="H1218" s="9" t="n">
        <v>1350</v>
      </c>
      <c r="I1218" s="29" t="n">
        <v>3</v>
      </c>
      <c r="J1218" s="9" t="n">
        <v>1</v>
      </c>
      <c r="K1218" s="30"/>
      <c r="L1218" s="30"/>
      <c r="M1218" s="30"/>
      <c r="N1218" s="30"/>
      <c r="O1218" s="30"/>
      <c r="P1218" s="30"/>
      <c r="Q1218" s="30"/>
      <c r="R1218" s="30"/>
      <c r="S1218" s="30"/>
      <c r="T1218" s="30"/>
      <c r="U1218" s="21" t="str">
        <f aca="false">IF(COUNT(K1218:T1218)=0,"SOURCE EMPTY / INDUSTRIAL ONLY",IF(MIN(K1218:T1218)=1,"SERVICE READY","HOLD"))</f>
        <v>SOURCE EMPTY / INDUSTRIAL ONLY</v>
      </c>
      <c r="V1218" s="9" t="n">
        <f aca="false">IF(U1218="SERVICE READY",1,0)</f>
        <v>0</v>
      </c>
      <c r="W1218" s="6"/>
      <c r="X1218" s="6"/>
      <c r="Y1218" s="6"/>
      <c r="Z1218" s="6"/>
    </row>
    <row r="1219" customFormat="false" ht="15" hidden="false" customHeight="false" outlineLevel="0" collapsed="false">
      <c r="A1219" s="9" t="s">
        <v>1451</v>
      </c>
      <c r="B1219" s="9" t="s">
        <v>1427</v>
      </c>
      <c r="C1219" s="9" t="s">
        <v>1428</v>
      </c>
      <c r="D1219" s="9" t="s">
        <v>1215</v>
      </c>
      <c r="E1219" s="9" t="s">
        <v>275</v>
      </c>
      <c r="F1219" s="9" t="s">
        <v>203</v>
      </c>
      <c r="G1219" s="9" t="s">
        <v>201</v>
      </c>
      <c r="H1219" s="9" t="n">
        <v>1350</v>
      </c>
      <c r="I1219" s="29" t="n">
        <v>3</v>
      </c>
      <c r="J1219" s="9" t="n">
        <v>1</v>
      </c>
      <c r="K1219" s="30"/>
      <c r="L1219" s="30"/>
      <c r="M1219" s="30"/>
      <c r="N1219" s="30"/>
      <c r="O1219" s="30"/>
      <c r="P1219" s="30"/>
      <c r="Q1219" s="30"/>
      <c r="R1219" s="30"/>
      <c r="S1219" s="30"/>
      <c r="T1219" s="30"/>
      <c r="U1219" s="21" t="str">
        <f aca="false">IF(COUNT(K1219:T1219)=0,"SOURCE EMPTY / INDUSTRIAL ONLY",IF(MIN(K1219:T1219)=1,"SERVICE READY","HOLD"))</f>
        <v>SOURCE EMPTY / INDUSTRIAL ONLY</v>
      </c>
      <c r="V1219" s="9" t="n">
        <f aca="false">IF(U1219="SERVICE READY",1,0)</f>
        <v>0</v>
      </c>
      <c r="W1219" s="6"/>
      <c r="X1219" s="6"/>
      <c r="Y1219" s="6"/>
      <c r="Z1219" s="6"/>
    </row>
    <row r="1220" customFormat="false" ht="15" hidden="false" customHeight="false" outlineLevel="0" collapsed="false">
      <c r="A1220" s="9" t="s">
        <v>1452</v>
      </c>
      <c r="B1220" s="9" t="s">
        <v>1427</v>
      </c>
      <c r="C1220" s="9" t="s">
        <v>1428</v>
      </c>
      <c r="D1220" s="9" t="s">
        <v>1215</v>
      </c>
      <c r="E1220" s="9" t="s">
        <v>275</v>
      </c>
      <c r="F1220" s="9" t="s">
        <v>205</v>
      </c>
      <c r="G1220" s="9" t="s">
        <v>198</v>
      </c>
      <c r="H1220" s="9" t="n">
        <v>1350</v>
      </c>
      <c r="I1220" s="29" t="n">
        <v>3</v>
      </c>
      <c r="J1220" s="9" t="n">
        <v>1</v>
      </c>
      <c r="K1220" s="30"/>
      <c r="L1220" s="30"/>
      <c r="M1220" s="30"/>
      <c r="N1220" s="30"/>
      <c r="O1220" s="30"/>
      <c r="P1220" s="30"/>
      <c r="Q1220" s="30"/>
      <c r="R1220" s="30"/>
      <c r="S1220" s="30"/>
      <c r="T1220" s="30"/>
      <c r="U1220" s="21" t="str">
        <f aca="false">IF(COUNT(K1220:T1220)=0,"SOURCE EMPTY / INDUSTRIAL ONLY",IF(MIN(K1220:T1220)=1,"SERVICE READY","HOLD"))</f>
        <v>SOURCE EMPTY / INDUSTRIAL ONLY</v>
      </c>
      <c r="V1220" s="9" t="n">
        <f aca="false">IF(U1220="SERVICE READY",1,0)</f>
        <v>0</v>
      </c>
      <c r="W1220" s="6"/>
      <c r="X1220" s="6"/>
      <c r="Y1220" s="6"/>
      <c r="Z1220" s="6"/>
    </row>
    <row r="1221" customFormat="false" ht="15" hidden="false" customHeight="false" outlineLevel="0" collapsed="false">
      <c r="A1221" s="9" t="s">
        <v>1453</v>
      </c>
      <c r="B1221" s="9" t="s">
        <v>1427</v>
      </c>
      <c r="C1221" s="9" t="s">
        <v>1428</v>
      </c>
      <c r="D1221" s="9" t="s">
        <v>1215</v>
      </c>
      <c r="E1221" s="9" t="s">
        <v>275</v>
      </c>
      <c r="F1221" s="9" t="s">
        <v>207</v>
      </c>
      <c r="G1221" s="9" t="s">
        <v>201</v>
      </c>
      <c r="H1221" s="9" t="n">
        <v>1350</v>
      </c>
      <c r="I1221" s="29" t="n">
        <v>3</v>
      </c>
      <c r="J1221" s="9" t="n">
        <v>1</v>
      </c>
      <c r="K1221" s="30"/>
      <c r="L1221" s="30"/>
      <c r="M1221" s="30"/>
      <c r="N1221" s="30"/>
      <c r="O1221" s="30"/>
      <c r="P1221" s="30"/>
      <c r="Q1221" s="30"/>
      <c r="R1221" s="30"/>
      <c r="S1221" s="30"/>
      <c r="T1221" s="30"/>
      <c r="U1221" s="21" t="str">
        <f aca="false">IF(COUNT(K1221:T1221)=0,"SOURCE EMPTY / INDUSTRIAL ONLY",IF(MIN(K1221:T1221)=1,"SERVICE READY","HOLD"))</f>
        <v>SOURCE EMPTY / INDUSTRIAL ONLY</v>
      </c>
      <c r="V1221" s="9" t="n">
        <f aca="false">IF(U1221="SERVICE READY",1,0)</f>
        <v>0</v>
      </c>
      <c r="W1221" s="6"/>
      <c r="X1221" s="6"/>
      <c r="Y1221" s="6"/>
      <c r="Z1221" s="6"/>
    </row>
    <row r="1222" customFormat="false" ht="15" hidden="false" customHeight="false" outlineLevel="0" collapsed="false">
      <c r="A1222" s="9" t="s">
        <v>1454</v>
      </c>
      <c r="B1222" s="9" t="s">
        <v>1427</v>
      </c>
      <c r="C1222" s="9" t="s">
        <v>1428</v>
      </c>
      <c r="D1222" s="9" t="s">
        <v>1215</v>
      </c>
      <c r="E1222" s="9" t="s">
        <v>275</v>
      </c>
      <c r="F1222" s="9" t="s">
        <v>209</v>
      </c>
      <c r="G1222" s="9" t="s">
        <v>198</v>
      </c>
      <c r="H1222" s="9" t="n">
        <v>1350</v>
      </c>
      <c r="I1222" s="29" t="n">
        <v>3</v>
      </c>
      <c r="J1222" s="9" t="n">
        <v>1</v>
      </c>
      <c r="K1222" s="30"/>
      <c r="L1222" s="30"/>
      <c r="M1222" s="30"/>
      <c r="N1222" s="30"/>
      <c r="O1222" s="30"/>
      <c r="P1222" s="30"/>
      <c r="Q1222" s="30"/>
      <c r="R1222" s="30"/>
      <c r="S1222" s="30"/>
      <c r="T1222" s="30"/>
      <c r="U1222" s="21" t="str">
        <f aca="false">IF(COUNT(K1222:T1222)=0,"SOURCE EMPTY / INDUSTRIAL ONLY",IF(MIN(K1222:T1222)=1,"SERVICE READY","HOLD"))</f>
        <v>SOURCE EMPTY / INDUSTRIAL ONLY</v>
      </c>
      <c r="V1222" s="9" t="n">
        <f aca="false">IF(U1222="SERVICE READY",1,0)</f>
        <v>0</v>
      </c>
      <c r="W1222" s="6"/>
      <c r="X1222" s="6"/>
      <c r="Y1222" s="6"/>
      <c r="Z1222" s="6"/>
    </row>
    <row r="1223" customFormat="false" ht="15" hidden="false" customHeight="false" outlineLevel="0" collapsed="false">
      <c r="A1223" s="9" t="s">
        <v>1455</v>
      </c>
      <c r="B1223" s="9" t="s">
        <v>1427</v>
      </c>
      <c r="C1223" s="9" t="s">
        <v>1428</v>
      </c>
      <c r="D1223" s="9" t="s">
        <v>1215</v>
      </c>
      <c r="E1223" s="9" t="s">
        <v>275</v>
      </c>
      <c r="F1223" s="9" t="s">
        <v>211</v>
      </c>
      <c r="G1223" s="9" t="s">
        <v>201</v>
      </c>
      <c r="H1223" s="9" t="n">
        <v>1350</v>
      </c>
      <c r="I1223" s="29" t="n">
        <v>3</v>
      </c>
      <c r="J1223" s="9" t="n">
        <v>1</v>
      </c>
      <c r="K1223" s="30"/>
      <c r="L1223" s="30"/>
      <c r="M1223" s="30"/>
      <c r="N1223" s="30"/>
      <c r="O1223" s="30"/>
      <c r="P1223" s="30"/>
      <c r="Q1223" s="30"/>
      <c r="R1223" s="30"/>
      <c r="S1223" s="30"/>
      <c r="T1223" s="30"/>
      <c r="U1223" s="21" t="str">
        <f aca="false">IF(COUNT(K1223:T1223)=0,"SOURCE EMPTY / INDUSTRIAL ONLY",IF(MIN(K1223:T1223)=1,"SERVICE READY","HOLD"))</f>
        <v>SOURCE EMPTY / INDUSTRIAL ONLY</v>
      </c>
      <c r="V1223" s="9" t="n">
        <f aca="false">IF(U1223="SERVICE READY",1,0)</f>
        <v>0</v>
      </c>
      <c r="W1223" s="6"/>
      <c r="X1223" s="6"/>
      <c r="Y1223" s="6"/>
      <c r="Z1223" s="6"/>
    </row>
    <row r="1224" customFormat="false" ht="15" hidden="false" customHeight="false" outlineLevel="0" collapsed="false">
      <c r="A1224" s="9" t="s">
        <v>1456</v>
      </c>
      <c r="B1224" s="9" t="s">
        <v>1427</v>
      </c>
      <c r="C1224" s="9" t="s">
        <v>1428</v>
      </c>
      <c r="D1224" s="9" t="s">
        <v>1215</v>
      </c>
      <c r="E1224" s="9" t="s">
        <v>275</v>
      </c>
      <c r="F1224" s="9" t="s">
        <v>197</v>
      </c>
      <c r="G1224" s="9" t="s">
        <v>198</v>
      </c>
      <c r="H1224" s="9" t="n">
        <v>1350</v>
      </c>
      <c r="I1224" s="29" t="n">
        <v>3</v>
      </c>
      <c r="J1224" s="9" t="n">
        <v>1</v>
      </c>
      <c r="K1224" s="30"/>
      <c r="L1224" s="30"/>
      <c r="M1224" s="30"/>
      <c r="N1224" s="30"/>
      <c r="O1224" s="30"/>
      <c r="P1224" s="30"/>
      <c r="Q1224" s="30"/>
      <c r="R1224" s="30"/>
      <c r="S1224" s="30"/>
      <c r="T1224" s="30"/>
      <c r="U1224" s="21" t="str">
        <f aca="false">IF(COUNT(K1224:T1224)=0,"SOURCE EMPTY / INDUSTRIAL ONLY",IF(MIN(K1224:T1224)=1,"SERVICE READY","HOLD"))</f>
        <v>SOURCE EMPTY / INDUSTRIAL ONLY</v>
      </c>
      <c r="V1224" s="9" t="n">
        <f aca="false">IF(U1224="SERVICE READY",1,0)</f>
        <v>0</v>
      </c>
      <c r="W1224" s="6"/>
      <c r="X1224" s="6"/>
      <c r="Y1224" s="6"/>
      <c r="Z1224" s="6"/>
    </row>
    <row r="1225" customFormat="false" ht="15" hidden="false" customHeight="false" outlineLevel="0" collapsed="false">
      <c r="A1225" s="9" t="s">
        <v>1457</v>
      </c>
      <c r="B1225" s="9" t="s">
        <v>1427</v>
      </c>
      <c r="C1225" s="9" t="s">
        <v>1428</v>
      </c>
      <c r="D1225" s="9" t="s">
        <v>1215</v>
      </c>
      <c r="E1225" s="9" t="s">
        <v>275</v>
      </c>
      <c r="F1225" s="9" t="s">
        <v>200</v>
      </c>
      <c r="G1225" s="9" t="s">
        <v>201</v>
      </c>
      <c r="H1225" s="9" t="n">
        <v>1350</v>
      </c>
      <c r="I1225" s="29" t="n">
        <v>3</v>
      </c>
      <c r="J1225" s="9" t="n">
        <v>1</v>
      </c>
      <c r="K1225" s="30"/>
      <c r="L1225" s="30"/>
      <c r="M1225" s="30"/>
      <c r="N1225" s="30"/>
      <c r="O1225" s="30"/>
      <c r="P1225" s="30"/>
      <c r="Q1225" s="30"/>
      <c r="R1225" s="30"/>
      <c r="S1225" s="30"/>
      <c r="T1225" s="30"/>
      <c r="U1225" s="21" t="str">
        <f aca="false">IF(COUNT(K1225:T1225)=0,"SOURCE EMPTY / INDUSTRIAL ONLY",IF(MIN(K1225:T1225)=1,"SERVICE READY","HOLD"))</f>
        <v>SOURCE EMPTY / INDUSTRIAL ONLY</v>
      </c>
      <c r="V1225" s="9" t="n">
        <f aca="false">IF(U1225="SERVICE READY",1,0)</f>
        <v>0</v>
      </c>
      <c r="W1225" s="6"/>
      <c r="X1225" s="6"/>
      <c r="Y1225" s="6"/>
      <c r="Z1225" s="6"/>
    </row>
    <row r="1226" customFormat="false" ht="15" hidden="false" customHeight="false" outlineLevel="0" collapsed="false">
      <c r="A1226" s="9" t="s">
        <v>1458</v>
      </c>
      <c r="B1226" s="9" t="s">
        <v>1427</v>
      </c>
      <c r="C1226" s="9" t="s">
        <v>1428</v>
      </c>
      <c r="D1226" s="9" t="s">
        <v>1215</v>
      </c>
      <c r="E1226" s="9" t="s">
        <v>275</v>
      </c>
      <c r="F1226" s="9" t="s">
        <v>203</v>
      </c>
      <c r="G1226" s="9" t="s">
        <v>221</v>
      </c>
      <c r="H1226" s="9" t="n">
        <v>1350</v>
      </c>
      <c r="I1226" s="29" t="n">
        <v>3</v>
      </c>
      <c r="J1226" s="9" t="n">
        <v>1</v>
      </c>
      <c r="K1226" s="30"/>
      <c r="L1226" s="30"/>
      <c r="M1226" s="30"/>
      <c r="N1226" s="30"/>
      <c r="O1226" s="30"/>
      <c r="P1226" s="30"/>
      <c r="Q1226" s="30"/>
      <c r="R1226" s="30"/>
      <c r="S1226" s="30"/>
      <c r="T1226" s="30"/>
      <c r="U1226" s="21" t="str">
        <f aca="false">IF(COUNT(K1226:T1226)=0,"SOURCE EMPTY / INDUSTRIAL ONLY",IF(MIN(K1226:T1226)=1,"SERVICE READY","HOLD"))</f>
        <v>SOURCE EMPTY / INDUSTRIAL ONLY</v>
      </c>
      <c r="V1226" s="9" t="n">
        <f aca="false">IF(U1226="SERVICE READY",1,0)</f>
        <v>0</v>
      </c>
      <c r="W1226" s="6"/>
      <c r="X1226" s="6"/>
      <c r="Y1226" s="6"/>
      <c r="Z1226" s="6"/>
    </row>
    <row r="1227" customFormat="false" ht="15" hidden="false" customHeight="false" outlineLevel="0" collapsed="false">
      <c r="A1227" s="9" t="s">
        <v>1459</v>
      </c>
      <c r="B1227" s="9" t="s">
        <v>1427</v>
      </c>
      <c r="C1227" s="9" t="s">
        <v>1428</v>
      </c>
      <c r="D1227" s="9" t="s">
        <v>1215</v>
      </c>
      <c r="E1227" s="9" t="s">
        <v>275</v>
      </c>
      <c r="F1227" s="9" t="s">
        <v>205</v>
      </c>
      <c r="G1227" s="9" t="s">
        <v>221</v>
      </c>
      <c r="H1227" s="9" t="n">
        <v>1350</v>
      </c>
      <c r="I1227" s="29" t="n">
        <v>3</v>
      </c>
      <c r="J1227" s="9" t="n">
        <v>1</v>
      </c>
      <c r="K1227" s="30"/>
      <c r="L1227" s="30"/>
      <c r="M1227" s="30"/>
      <c r="N1227" s="30"/>
      <c r="O1227" s="30"/>
      <c r="P1227" s="30"/>
      <c r="Q1227" s="30"/>
      <c r="R1227" s="30"/>
      <c r="S1227" s="30"/>
      <c r="T1227" s="30"/>
      <c r="U1227" s="21" t="str">
        <f aca="false">IF(COUNT(K1227:T1227)=0,"SOURCE EMPTY / INDUSTRIAL ONLY",IF(MIN(K1227:T1227)=1,"SERVICE READY","HOLD"))</f>
        <v>SOURCE EMPTY / INDUSTRIAL ONLY</v>
      </c>
      <c r="V1227" s="9" t="n">
        <f aca="false">IF(U1227="SERVICE READY",1,0)</f>
        <v>0</v>
      </c>
      <c r="W1227" s="6"/>
      <c r="X1227" s="6"/>
      <c r="Y1227" s="6"/>
      <c r="Z1227" s="6"/>
    </row>
    <row r="1228" customFormat="false" ht="15" hidden="false" customHeight="false" outlineLevel="0" collapsed="false">
      <c r="A1228" s="9" t="s">
        <v>1460</v>
      </c>
      <c r="B1228" s="9" t="s">
        <v>1427</v>
      </c>
      <c r="C1228" s="9" t="s">
        <v>1428</v>
      </c>
      <c r="D1228" s="9" t="s">
        <v>1215</v>
      </c>
      <c r="E1228" s="9" t="s">
        <v>275</v>
      </c>
      <c r="F1228" s="9" t="s">
        <v>207</v>
      </c>
      <c r="G1228" s="9" t="s">
        <v>221</v>
      </c>
      <c r="H1228" s="9" t="n">
        <v>1350</v>
      </c>
      <c r="I1228" s="29" t="n">
        <v>3</v>
      </c>
      <c r="J1228" s="9" t="n">
        <v>1</v>
      </c>
      <c r="K1228" s="30"/>
      <c r="L1228" s="30"/>
      <c r="M1228" s="30"/>
      <c r="N1228" s="30"/>
      <c r="O1228" s="30"/>
      <c r="P1228" s="30"/>
      <c r="Q1228" s="30"/>
      <c r="R1228" s="30"/>
      <c r="S1228" s="30"/>
      <c r="T1228" s="30"/>
      <c r="U1228" s="21" t="str">
        <f aca="false">IF(COUNT(K1228:T1228)=0,"SOURCE EMPTY / INDUSTRIAL ONLY",IF(MIN(K1228:T1228)=1,"SERVICE READY","HOLD"))</f>
        <v>SOURCE EMPTY / INDUSTRIAL ONLY</v>
      </c>
      <c r="V1228" s="9" t="n">
        <f aca="false">IF(U1228="SERVICE READY",1,0)</f>
        <v>0</v>
      </c>
      <c r="W1228" s="6"/>
      <c r="X1228" s="6"/>
      <c r="Y1228" s="6"/>
      <c r="Z1228" s="6"/>
    </row>
    <row r="1229" customFormat="false" ht="15" hidden="false" customHeight="false" outlineLevel="0" collapsed="false">
      <c r="A1229" s="9" t="s">
        <v>1461</v>
      </c>
      <c r="B1229" s="9" t="s">
        <v>1427</v>
      </c>
      <c r="C1229" s="9" t="s">
        <v>1428</v>
      </c>
      <c r="D1229" s="9" t="s">
        <v>1215</v>
      </c>
      <c r="E1229" s="9" t="s">
        <v>275</v>
      </c>
      <c r="F1229" s="9" t="s">
        <v>209</v>
      </c>
      <c r="G1229" s="9" t="s">
        <v>221</v>
      </c>
      <c r="H1229" s="9" t="n">
        <v>1350</v>
      </c>
      <c r="I1229" s="29" t="n">
        <v>3</v>
      </c>
      <c r="J1229" s="9" t="n">
        <v>1</v>
      </c>
      <c r="K1229" s="30"/>
      <c r="L1229" s="30"/>
      <c r="M1229" s="30"/>
      <c r="N1229" s="30"/>
      <c r="O1229" s="30"/>
      <c r="P1229" s="30"/>
      <c r="Q1229" s="30"/>
      <c r="R1229" s="30"/>
      <c r="S1229" s="30"/>
      <c r="T1229" s="30"/>
      <c r="U1229" s="21" t="str">
        <f aca="false">IF(COUNT(K1229:T1229)=0,"SOURCE EMPTY / INDUSTRIAL ONLY",IF(MIN(K1229:T1229)=1,"SERVICE READY","HOLD"))</f>
        <v>SOURCE EMPTY / INDUSTRIAL ONLY</v>
      </c>
      <c r="V1229" s="9" t="n">
        <f aca="false">IF(U1229="SERVICE READY",1,0)</f>
        <v>0</v>
      </c>
      <c r="W1229" s="6"/>
      <c r="X1229" s="6"/>
      <c r="Y1229" s="6"/>
      <c r="Z1229" s="6"/>
    </row>
    <row r="1230" customFormat="false" ht="15" hidden="false" customHeight="false" outlineLevel="0" collapsed="false">
      <c r="A1230" s="9" t="s">
        <v>1462</v>
      </c>
      <c r="B1230" s="9" t="s">
        <v>1427</v>
      </c>
      <c r="C1230" s="9" t="s">
        <v>1428</v>
      </c>
      <c r="D1230" s="9" t="s">
        <v>1215</v>
      </c>
      <c r="E1230" s="9" t="s">
        <v>275</v>
      </c>
      <c r="F1230" s="9" t="s">
        <v>211</v>
      </c>
      <c r="G1230" s="9" t="s">
        <v>221</v>
      </c>
      <c r="H1230" s="9" t="n">
        <v>1350</v>
      </c>
      <c r="I1230" s="29" t="n">
        <v>3</v>
      </c>
      <c r="J1230" s="9" t="n">
        <v>1</v>
      </c>
      <c r="K1230" s="30"/>
      <c r="L1230" s="30"/>
      <c r="M1230" s="30"/>
      <c r="N1230" s="30"/>
      <c r="O1230" s="30"/>
      <c r="P1230" s="30"/>
      <c r="Q1230" s="30"/>
      <c r="R1230" s="30"/>
      <c r="S1230" s="30"/>
      <c r="T1230" s="30"/>
      <c r="U1230" s="21" t="str">
        <f aca="false">IF(COUNT(K1230:T1230)=0,"SOURCE EMPTY / INDUSTRIAL ONLY",IF(MIN(K1230:T1230)=1,"SERVICE READY","HOLD"))</f>
        <v>SOURCE EMPTY / INDUSTRIAL ONLY</v>
      </c>
      <c r="V1230" s="9" t="n">
        <f aca="false">IF(U1230="SERVICE READY",1,0)</f>
        <v>0</v>
      </c>
      <c r="W1230" s="6"/>
      <c r="X1230" s="6"/>
      <c r="Y1230" s="6"/>
      <c r="Z1230" s="6"/>
    </row>
    <row r="1231" customFormat="false" ht="15" hidden="false" customHeight="false" outlineLevel="0" collapsed="false">
      <c r="A1231" s="9" t="s">
        <v>1463</v>
      </c>
      <c r="B1231" s="9" t="s">
        <v>1427</v>
      </c>
      <c r="C1231" s="9" t="s">
        <v>1428</v>
      </c>
      <c r="D1231" s="9" t="s">
        <v>1215</v>
      </c>
      <c r="E1231" s="9" t="s">
        <v>275</v>
      </c>
      <c r="F1231" s="9" t="s">
        <v>197</v>
      </c>
      <c r="G1231" s="9" t="s">
        <v>221</v>
      </c>
      <c r="H1231" s="9" t="n">
        <v>1350</v>
      </c>
      <c r="I1231" s="29" t="n">
        <v>3</v>
      </c>
      <c r="J1231" s="9" t="n">
        <v>1</v>
      </c>
      <c r="K1231" s="30"/>
      <c r="L1231" s="30"/>
      <c r="M1231" s="30"/>
      <c r="N1231" s="30"/>
      <c r="O1231" s="30"/>
      <c r="P1231" s="30"/>
      <c r="Q1231" s="30"/>
      <c r="R1231" s="30"/>
      <c r="S1231" s="30"/>
      <c r="T1231" s="30"/>
      <c r="U1231" s="21" t="str">
        <f aca="false">IF(COUNT(K1231:T1231)=0,"SOURCE EMPTY / INDUSTRIAL ONLY",IF(MIN(K1231:T1231)=1,"SERVICE READY","HOLD"))</f>
        <v>SOURCE EMPTY / INDUSTRIAL ONLY</v>
      </c>
      <c r="V1231" s="9" t="n">
        <f aca="false">IF(U1231="SERVICE READY",1,0)</f>
        <v>0</v>
      </c>
      <c r="W1231" s="6"/>
      <c r="X1231" s="6"/>
      <c r="Y1231" s="6"/>
      <c r="Z1231" s="6"/>
    </row>
    <row r="1232" customFormat="false" ht="15" hidden="false" customHeight="false" outlineLevel="0" collapsed="false">
      <c r="A1232" s="9" t="s">
        <v>1464</v>
      </c>
      <c r="B1232" s="9" t="s">
        <v>1427</v>
      </c>
      <c r="C1232" s="9" t="s">
        <v>1428</v>
      </c>
      <c r="D1232" s="9" t="s">
        <v>1215</v>
      </c>
      <c r="E1232" s="9" t="s">
        <v>275</v>
      </c>
      <c r="F1232" s="9" t="s">
        <v>200</v>
      </c>
      <c r="G1232" s="9" t="s">
        <v>221</v>
      </c>
      <c r="H1232" s="9" t="n">
        <v>1350</v>
      </c>
      <c r="I1232" s="29" t="n">
        <v>3</v>
      </c>
      <c r="J1232" s="9" t="n">
        <v>1</v>
      </c>
      <c r="K1232" s="30"/>
      <c r="L1232" s="30"/>
      <c r="M1232" s="30"/>
      <c r="N1232" s="30"/>
      <c r="O1232" s="30"/>
      <c r="P1232" s="30"/>
      <c r="Q1232" s="30"/>
      <c r="R1232" s="30"/>
      <c r="S1232" s="30"/>
      <c r="T1232" s="30"/>
      <c r="U1232" s="21" t="str">
        <f aca="false">IF(COUNT(K1232:T1232)=0,"SOURCE EMPTY / INDUSTRIAL ONLY",IF(MIN(K1232:T1232)=1,"SERVICE READY","HOLD"))</f>
        <v>SOURCE EMPTY / INDUSTRIAL ONLY</v>
      </c>
      <c r="V1232" s="9" t="n">
        <f aca="false">IF(U1232="SERVICE READY",1,0)</f>
        <v>0</v>
      </c>
      <c r="W1232" s="6"/>
      <c r="X1232" s="6"/>
      <c r="Y1232" s="6"/>
      <c r="Z1232" s="6"/>
    </row>
    <row r="1233" customFormat="false" ht="15" hidden="false" customHeight="false" outlineLevel="0" collapsed="false">
      <c r="A1233" s="9" t="s">
        <v>1465</v>
      </c>
      <c r="B1233" s="9" t="s">
        <v>1427</v>
      </c>
      <c r="C1233" s="9" t="s">
        <v>1428</v>
      </c>
      <c r="D1233" s="9" t="s">
        <v>1215</v>
      </c>
      <c r="E1233" s="9" t="s">
        <v>275</v>
      </c>
      <c r="F1233" s="9" t="s">
        <v>203</v>
      </c>
      <c r="G1233" s="9" t="s">
        <v>221</v>
      </c>
      <c r="H1233" s="9" t="n">
        <v>1350</v>
      </c>
      <c r="I1233" s="29" t="n">
        <v>3</v>
      </c>
      <c r="J1233" s="9" t="n">
        <v>1</v>
      </c>
      <c r="K1233" s="30"/>
      <c r="L1233" s="30"/>
      <c r="M1233" s="30"/>
      <c r="N1233" s="30"/>
      <c r="O1233" s="30"/>
      <c r="P1233" s="30"/>
      <c r="Q1233" s="30"/>
      <c r="R1233" s="30"/>
      <c r="S1233" s="30"/>
      <c r="T1233" s="30"/>
      <c r="U1233" s="21" t="str">
        <f aca="false">IF(COUNT(K1233:T1233)=0,"SOURCE EMPTY / INDUSTRIAL ONLY",IF(MIN(K1233:T1233)=1,"SERVICE READY","HOLD"))</f>
        <v>SOURCE EMPTY / INDUSTRIAL ONLY</v>
      </c>
      <c r="V1233" s="9" t="n">
        <f aca="false">IF(U1233="SERVICE READY",1,0)</f>
        <v>0</v>
      </c>
      <c r="W1233" s="6"/>
      <c r="X1233" s="6"/>
      <c r="Y1233" s="6"/>
      <c r="Z1233" s="6"/>
    </row>
    <row r="1234" customFormat="false" ht="15" hidden="false" customHeight="false" outlineLevel="0" collapsed="false">
      <c r="A1234" s="9" t="s">
        <v>1466</v>
      </c>
      <c r="B1234" s="9" t="s">
        <v>1427</v>
      </c>
      <c r="C1234" s="9" t="s">
        <v>1428</v>
      </c>
      <c r="D1234" s="9" t="s">
        <v>1215</v>
      </c>
      <c r="E1234" s="9" t="s">
        <v>275</v>
      </c>
      <c r="F1234" s="9" t="s">
        <v>205</v>
      </c>
      <c r="G1234" s="9" t="s">
        <v>221</v>
      </c>
      <c r="H1234" s="9" t="n">
        <v>1350</v>
      </c>
      <c r="I1234" s="29" t="n">
        <v>3</v>
      </c>
      <c r="J1234" s="9" t="n">
        <v>1</v>
      </c>
      <c r="K1234" s="30"/>
      <c r="L1234" s="30"/>
      <c r="M1234" s="30"/>
      <c r="N1234" s="30"/>
      <c r="O1234" s="30"/>
      <c r="P1234" s="30"/>
      <c r="Q1234" s="30"/>
      <c r="R1234" s="30"/>
      <c r="S1234" s="30"/>
      <c r="T1234" s="30"/>
      <c r="U1234" s="21" t="str">
        <f aca="false">IF(COUNT(K1234:T1234)=0,"SOURCE EMPTY / INDUSTRIAL ONLY",IF(MIN(K1234:T1234)=1,"SERVICE READY","HOLD"))</f>
        <v>SOURCE EMPTY / INDUSTRIAL ONLY</v>
      </c>
      <c r="V1234" s="9" t="n">
        <f aca="false">IF(U1234="SERVICE READY",1,0)</f>
        <v>0</v>
      </c>
      <c r="W1234" s="6"/>
      <c r="X1234" s="6"/>
      <c r="Y1234" s="6"/>
      <c r="Z1234" s="6"/>
    </row>
    <row r="1235" customFormat="false" ht="15" hidden="false" customHeight="false" outlineLevel="0" collapsed="false">
      <c r="A1235" s="9" t="s">
        <v>1467</v>
      </c>
      <c r="B1235" s="9" t="s">
        <v>1427</v>
      </c>
      <c r="C1235" s="9" t="s">
        <v>1428</v>
      </c>
      <c r="D1235" s="9" t="s">
        <v>1215</v>
      </c>
      <c r="E1235" s="9" t="s">
        <v>275</v>
      </c>
      <c r="F1235" s="9" t="s">
        <v>207</v>
      </c>
      <c r="G1235" s="9" t="s">
        <v>221</v>
      </c>
      <c r="H1235" s="9" t="n">
        <v>1350</v>
      </c>
      <c r="I1235" s="29" t="n">
        <v>3</v>
      </c>
      <c r="J1235" s="9" t="n">
        <v>1</v>
      </c>
      <c r="K1235" s="30"/>
      <c r="L1235" s="30"/>
      <c r="M1235" s="30"/>
      <c r="N1235" s="30"/>
      <c r="O1235" s="30"/>
      <c r="P1235" s="30"/>
      <c r="Q1235" s="30"/>
      <c r="R1235" s="30"/>
      <c r="S1235" s="30"/>
      <c r="T1235" s="30"/>
      <c r="U1235" s="21" t="str">
        <f aca="false">IF(COUNT(K1235:T1235)=0,"SOURCE EMPTY / INDUSTRIAL ONLY",IF(MIN(K1235:T1235)=1,"SERVICE READY","HOLD"))</f>
        <v>SOURCE EMPTY / INDUSTRIAL ONLY</v>
      </c>
      <c r="V1235" s="9" t="n">
        <f aca="false">IF(U1235="SERVICE READY",1,0)</f>
        <v>0</v>
      </c>
      <c r="W1235" s="6"/>
      <c r="X1235" s="6"/>
      <c r="Y1235" s="6"/>
      <c r="Z1235" s="6"/>
    </row>
    <row r="1236" customFormat="false" ht="15" hidden="false" customHeight="false" outlineLevel="0" collapsed="false">
      <c r="A1236" s="9" t="s">
        <v>1468</v>
      </c>
      <c r="B1236" s="9" t="s">
        <v>1427</v>
      </c>
      <c r="C1236" s="9" t="s">
        <v>1428</v>
      </c>
      <c r="D1236" s="9" t="s">
        <v>1215</v>
      </c>
      <c r="E1236" s="9" t="s">
        <v>275</v>
      </c>
      <c r="F1236" s="9" t="s">
        <v>209</v>
      </c>
      <c r="G1236" s="9" t="s">
        <v>221</v>
      </c>
      <c r="H1236" s="9" t="n">
        <v>1350</v>
      </c>
      <c r="I1236" s="29" t="n">
        <v>3</v>
      </c>
      <c r="J1236" s="9" t="n">
        <v>1</v>
      </c>
      <c r="K1236" s="30"/>
      <c r="L1236" s="30"/>
      <c r="M1236" s="30"/>
      <c r="N1236" s="30"/>
      <c r="O1236" s="30"/>
      <c r="P1236" s="30"/>
      <c r="Q1236" s="30"/>
      <c r="R1236" s="30"/>
      <c r="S1236" s="30"/>
      <c r="T1236" s="30"/>
      <c r="U1236" s="21" t="str">
        <f aca="false">IF(COUNT(K1236:T1236)=0,"SOURCE EMPTY / INDUSTRIAL ONLY",IF(MIN(K1236:T1236)=1,"SERVICE READY","HOLD"))</f>
        <v>SOURCE EMPTY / INDUSTRIAL ONLY</v>
      </c>
      <c r="V1236" s="9" t="n">
        <f aca="false">IF(U1236="SERVICE READY",1,0)</f>
        <v>0</v>
      </c>
      <c r="W1236" s="6"/>
      <c r="X1236" s="6"/>
      <c r="Y1236" s="6"/>
      <c r="Z1236" s="6"/>
    </row>
    <row r="1237" customFormat="false" ht="15" hidden="false" customHeight="false" outlineLevel="0" collapsed="false">
      <c r="A1237" s="9" t="s">
        <v>1469</v>
      </c>
      <c r="B1237" s="9" t="s">
        <v>1427</v>
      </c>
      <c r="C1237" s="9" t="s">
        <v>1428</v>
      </c>
      <c r="D1237" s="9" t="s">
        <v>1215</v>
      </c>
      <c r="E1237" s="9" t="s">
        <v>275</v>
      </c>
      <c r="F1237" s="9" t="s">
        <v>211</v>
      </c>
      <c r="G1237" s="9" t="s">
        <v>221</v>
      </c>
      <c r="H1237" s="9" t="n">
        <v>1350</v>
      </c>
      <c r="I1237" s="29" t="n">
        <v>3</v>
      </c>
      <c r="J1237" s="9" t="n">
        <v>1</v>
      </c>
      <c r="K1237" s="30"/>
      <c r="L1237" s="30"/>
      <c r="M1237" s="30"/>
      <c r="N1237" s="30"/>
      <c r="O1237" s="30"/>
      <c r="P1237" s="30"/>
      <c r="Q1237" s="30"/>
      <c r="R1237" s="30"/>
      <c r="S1237" s="30"/>
      <c r="T1237" s="30"/>
      <c r="U1237" s="21" t="str">
        <f aca="false">IF(COUNT(K1237:T1237)=0,"SOURCE EMPTY / INDUSTRIAL ONLY",IF(MIN(K1237:T1237)=1,"SERVICE READY","HOLD"))</f>
        <v>SOURCE EMPTY / INDUSTRIAL ONLY</v>
      </c>
      <c r="V1237" s="9" t="n">
        <f aca="false">IF(U1237="SERVICE READY",1,0)</f>
        <v>0</v>
      </c>
      <c r="W1237" s="6"/>
      <c r="X1237" s="6"/>
      <c r="Y1237" s="6"/>
      <c r="Z1237" s="6"/>
    </row>
    <row r="1238" customFormat="false" ht="15" hidden="false" customHeight="false" outlineLevel="0" collapsed="false">
      <c r="A1238" s="9" t="s">
        <v>1470</v>
      </c>
      <c r="B1238" s="9" t="s">
        <v>1427</v>
      </c>
      <c r="C1238" s="9" t="s">
        <v>1428</v>
      </c>
      <c r="D1238" s="9" t="s">
        <v>1215</v>
      </c>
      <c r="E1238" s="9" t="s">
        <v>275</v>
      </c>
      <c r="F1238" s="9" t="s">
        <v>197</v>
      </c>
      <c r="G1238" s="9" t="s">
        <v>221</v>
      </c>
      <c r="H1238" s="9" t="n">
        <v>1350</v>
      </c>
      <c r="I1238" s="29" t="n">
        <v>3</v>
      </c>
      <c r="J1238" s="9" t="n">
        <v>1</v>
      </c>
      <c r="K1238" s="30"/>
      <c r="L1238" s="30"/>
      <c r="M1238" s="30"/>
      <c r="N1238" s="30"/>
      <c r="O1238" s="30"/>
      <c r="P1238" s="30"/>
      <c r="Q1238" s="30"/>
      <c r="R1238" s="30"/>
      <c r="S1238" s="30"/>
      <c r="T1238" s="30"/>
      <c r="U1238" s="21" t="str">
        <f aca="false">IF(COUNT(K1238:T1238)=0,"SOURCE EMPTY / INDUSTRIAL ONLY",IF(MIN(K1238:T1238)=1,"SERVICE READY","HOLD"))</f>
        <v>SOURCE EMPTY / INDUSTRIAL ONLY</v>
      </c>
      <c r="V1238" s="9" t="n">
        <f aca="false">IF(U1238="SERVICE READY",1,0)</f>
        <v>0</v>
      </c>
      <c r="W1238" s="6"/>
      <c r="X1238" s="6"/>
      <c r="Y1238" s="6"/>
      <c r="Z1238" s="6"/>
    </row>
    <row r="1239" customFormat="false" ht="15" hidden="false" customHeight="false" outlineLevel="0" collapsed="false">
      <c r="A1239" s="9" t="s">
        <v>1471</v>
      </c>
      <c r="B1239" s="9" t="s">
        <v>1427</v>
      </c>
      <c r="C1239" s="9" t="s">
        <v>1428</v>
      </c>
      <c r="D1239" s="9" t="s">
        <v>1215</v>
      </c>
      <c r="E1239" s="9" t="s">
        <v>275</v>
      </c>
      <c r="F1239" s="9" t="s">
        <v>200</v>
      </c>
      <c r="G1239" s="9" t="s">
        <v>221</v>
      </c>
      <c r="H1239" s="9" t="n">
        <v>1350</v>
      </c>
      <c r="I1239" s="29" t="n">
        <v>3</v>
      </c>
      <c r="J1239" s="9" t="n">
        <v>1</v>
      </c>
      <c r="K1239" s="30"/>
      <c r="L1239" s="30"/>
      <c r="M1239" s="30"/>
      <c r="N1239" s="30"/>
      <c r="O1239" s="30"/>
      <c r="P1239" s="30"/>
      <c r="Q1239" s="30"/>
      <c r="R1239" s="30"/>
      <c r="S1239" s="30"/>
      <c r="T1239" s="30"/>
      <c r="U1239" s="21" t="str">
        <f aca="false">IF(COUNT(K1239:T1239)=0,"SOURCE EMPTY / INDUSTRIAL ONLY",IF(MIN(K1239:T1239)=1,"SERVICE READY","HOLD"))</f>
        <v>SOURCE EMPTY / INDUSTRIAL ONLY</v>
      </c>
      <c r="V1239" s="9" t="n">
        <f aca="false">IF(U1239="SERVICE READY",1,0)</f>
        <v>0</v>
      </c>
      <c r="W1239" s="6"/>
      <c r="X1239" s="6"/>
      <c r="Y1239" s="6"/>
      <c r="Z1239" s="6"/>
    </row>
    <row r="1240" customFormat="false" ht="15" hidden="false" customHeight="false" outlineLevel="0" collapsed="false">
      <c r="A1240" s="9" t="s">
        <v>1472</v>
      </c>
      <c r="B1240" s="9" t="s">
        <v>1427</v>
      </c>
      <c r="C1240" s="9" t="s">
        <v>1428</v>
      </c>
      <c r="D1240" s="9" t="s">
        <v>1215</v>
      </c>
      <c r="E1240" s="9" t="s">
        <v>275</v>
      </c>
      <c r="F1240" s="9" t="s">
        <v>203</v>
      </c>
      <c r="G1240" s="9" t="s">
        <v>221</v>
      </c>
      <c r="H1240" s="9" t="n">
        <v>1350</v>
      </c>
      <c r="I1240" s="29" t="n">
        <v>3</v>
      </c>
      <c r="J1240" s="9" t="n">
        <v>1</v>
      </c>
      <c r="K1240" s="30"/>
      <c r="L1240" s="30"/>
      <c r="M1240" s="30"/>
      <c r="N1240" s="30"/>
      <c r="O1240" s="30"/>
      <c r="P1240" s="30"/>
      <c r="Q1240" s="30"/>
      <c r="R1240" s="30"/>
      <c r="S1240" s="30"/>
      <c r="T1240" s="30"/>
      <c r="U1240" s="21" t="str">
        <f aca="false">IF(COUNT(K1240:T1240)=0,"SOURCE EMPTY / INDUSTRIAL ONLY",IF(MIN(K1240:T1240)=1,"SERVICE READY","HOLD"))</f>
        <v>SOURCE EMPTY / INDUSTRIAL ONLY</v>
      </c>
      <c r="V1240" s="9" t="n">
        <f aca="false">IF(U1240="SERVICE READY",1,0)</f>
        <v>0</v>
      </c>
      <c r="W1240" s="6"/>
      <c r="X1240" s="6"/>
      <c r="Y1240" s="6"/>
      <c r="Z1240" s="6"/>
    </row>
    <row r="1241" customFormat="false" ht="15" hidden="false" customHeight="false" outlineLevel="0" collapsed="false">
      <c r="A1241" s="9" t="s">
        <v>1473</v>
      </c>
      <c r="B1241" s="9" t="s">
        <v>1427</v>
      </c>
      <c r="C1241" s="9" t="s">
        <v>1428</v>
      </c>
      <c r="D1241" s="9" t="s">
        <v>1215</v>
      </c>
      <c r="E1241" s="9" t="s">
        <v>275</v>
      </c>
      <c r="F1241" s="9" t="s">
        <v>205</v>
      </c>
      <c r="G1241" s="9" t="s">
        <v>221</v>
      </c>
      <c r="H1241" s="9" t="n">
        <v>1350</v>
      </c>
      <c r="I1241" s="29" t="n">
        <v>3</v>
      </c>
      <c r="J1241" s="9" t="n">
        <v>1</v>
      </c>
      <c r="K1241" s="30"/>
      <c r="L1241" s="30"/>
      <c r="M1241" s="30"/>
      <c r="N1241" s="30"/>
      <c r="O1241" s="30"/>
      <c r="P1241" s="30"/>
      <c r="Q1241" s="30"/>
      <c r="R1241" s="30"/>
      <c r="S1241" s="30"/>
      <c r="T1241" s="30"/>
      <c r="U1241" s="21" t="str">
        <f aca="false">IF(COUNT(K1241:T1241)=0,"SOURCE EMPTY / INDUSTRIAL ONLY",IF(MIN(K1241:T1241)=1,"SERVICE READY","HOLD"))</f>
        <v>SOURCE EMPTY / INDUSTRIAL ONLY</v>
      </c>
      <c r="V1241" s="9" t="n">
        <f aca="false">IF(U1241="SERVICE READY",1,0)</f>
        <v>0</v>
      </c>
      <c r="W1241" s="6"/>
      <c r="X1241" s="6"/>
      <c r="Y1241" s="6"/>
      <c r="Z1241" s="6"/>
    </row>
    <row r="1242" customFormat="false" ht="15" hidden="false" customHeight="false" outlineLevel="0" collapsed="false">
      <c r="A1242" s="9" t="s">
        <v>1474</v>
      </c>
      <c r="B1242" s="9" t="s">
        <v>1427</v>
      </c>
      <c r="C1242" s="9" t="s">
        <v>1428</v>
      </c>
      <c r="D1242" s="9" t="s">
        <v>1215</v>
      </c>
      <c r="E1242" s="9" t="s">
        <v>275</v>
      </c>
      <c r="F1242" s="9" t="s">
        <v>207</v>
      </c>
      <c r="G1242" s="9" t="s">
        <v>221</v>
      </c>
      <c r="H1242" s="9" t="n">
        <v>1350</v>
      </c>
      <c r="I1242" s="29" t="n">
        <v>3</v>
      </c>
      <c r="J1242" s="9" t="n">
        <v>1</v>
      </c>
      <c r="K1242" s="30"/>
      <c r="L1242" s="30"/>
      <c r="M1242" s="30"/>
      <c r="N1242" s="30"/>
      <c r="O1242" s="30"/>
      <c r="P1242" s="30"/>
      <c r="Q1242" s="30"/>
      <c r="R1242" s="30"/>
      <c r="S1242" s="30"/>
      <c r="T1242" s="30"/>
      <c r="U1242" s="21" t="str">
        <f aca="false">IF(COUNT(K1242:T1242)=0,"SOURCE EMPTY / INDUSTRIAL ONLY",IF(MIN(K1242:T1242)=1,"SERVICE READY","HOLD"))</f>
        <v>SOURCE EMPTY / INDUSTRIAL ONLY</v>
      </c>
      <c r="V1242" s="9" t="n">
        <f aca="false">IF(U1242="SERVICE READY",1,0)</f>
        <v>0</v>
      </c>
      <c r="W1242" s="6"/>
      <c r="X1242" s="6"/>
      <c r="Y1242" s="6"/>
      <c r="Z1242" s="6"/>
    </row>
    <row r="1243" customFormat="false" ht="15" hidden="false" customHeight="false" outlineLevel="0" collapsed="false">
      <c r="A1243" s="9" t="s">
        <v>1475</v>
      </c>
      <c r="B1243" s="9" t="s">
        <v>1427</v>
      </c>
      <c r="C1243" s="9" t="s">
        <v>1428</v>
      </c>
      <c r="D1243" s="9" t="s">
        <v>1215</v>
      </c>
      <c r="E1243" s="9" t="s">
        <v>275</v>
      </c>
      <c r="F1243" s="9" t="s">
        <v>209</v>
      </c>
      <c r="G1243" s="9" t="s">
        <v>221</v>
      </c>
      <c r="H1243" s="9" t="n">
        <v>1350</v>
      </c>
      <c r="I1243" s="29" t="n">
        <v>3</v>
      </c>
      <c r="J1243" s="9" t="n">
        <v>1</v>
      </c>
      <c r="K1243" s="30"/>
      <c r="L1243" s="30"/>
      <c r="M1243" s="30"/>
      <c r="N1243" s="30"/>
      <c r="O1243" s="30"/>
      <c r="P1243" s="30"/>
      <c r="Q1243" s="30"/>
      <c r="R1243" s="30"/>
      <c r="S1243" s="30"/>
      <c r="T1243" s="30"/>
      <c r="U1243" s="21" t="str">
        <f aca="false">IF(COUNT(K1243:T1243)=0,"SOURCE EMPTY / INDUSTRIAL ONLY",IF(MIN(K1243:T1243)=1,"SERVICE READY","HOLD"))</f>
        <v>SOURCE EMPTY / INDUSTRIAL ONLY</v>
      </c>
      <c r="V1243" s="9" t="n">
        <f aca="false">IF(U1243="SERVICE READY",1,0)</f>
        <v>0</v>
      </c>
      <c r="W1243" s="6"/>
      <c r="X1243" s="6"/>
      <c r="Y1243" s="6"/>
      <c r="Z1243" s="6"/>
    </row>
    <row r="1244" customFormat="false" ht="15" hidden="false" customHeight="false" outlineLevel="0" collapsed="false">
      <c r="A1244" s="9" t="s">
        <v>1476</v>
      </c>
      <c r="B1244" s="9" t="s">
        <v>1427</v>
      </c>
      <c r="C1244" s="9" t="s">
        <v>1428</v>
      </c>
      <c r="D1244" s="9" t="s">
        <v>1215</v>
      </c>
      <c r="E1244" s="9" t="s">
        <v>275</v>
      </c>
      <c r="F1244" s="9" t="s">
        <v>211</v>
      </c>
      <c r="G1244" s="9" t="s">
        <v>221</v>
      </c>
      <c r="H1244" s="9" t="n">
        <v>1350</v>
      </c>
      <c r="I1244" s="29" t="n">
        <v>3</v>
      </c>
      <c r="J1244" s="9" t="n">
        <v>1</v>
      </c>
      <c r="K1244" s="30"/>
      <c r="L1244" s="30"/>
      <c r="M1244" s="30"/>
      <c r="N1244" s="30"/>
      <c r="O1244" s="30"/>
      <c r="P1244" s="30"/>
      <c r="Q1244" s="30"/>
      <c r="R1244" s="30"/>
      <c r="S1244" s="30"/>
      <c r="T1244" s="30"/>
      <c r="U1244" s="21" t="str">
        <f aca="false">IF(COUNT(K1244:T1244)=0,"SOURCE EMPTY / INDUSTRIAL ONLY",IF(MIN(K1244:T1244)=1,"SERVICE READY","HOLD"))</f>
        <v>SOURCE EMPTY / INDUSTRIAL ONLY</v>
      </c>
      <c r="V1244" s="9" t="n">
        <f aca="false">IF(U1244="SERVICE READY",1,0)</f>
        <v>0</v>
      </c>
      <c r="W1244" s="6"/>
      <c r="X1244" s="6"/>
      <c r="Y1244" s="6"/>
      <c r="Z1244" s="6"/>
    </row>
    <row r="1245" customFormat="false" ht="15" hidden="false" customHeight="false" outlineLevel="0" collapsed="false">
      <c r="A1245" s="9" t="s">
        <v>1477</v>
      </c>
      <c r="B1245" s="9" t="s">
        <v>1427</v>
      </c>
      <c r="C1245" s="9" t="s">
        <v>1428</v>
      </c>
      <c r="D1245" s="9" t="s">
        <v>1215</v>
      </c>
      <c r="E1245" s="9" t="s">
        <v>275</v>
      </c>
      <c r="F1245" s="9" t="s">
        <v>197</v>
      </c>
      <c r="G1245" s="9" t="s">
        <v>221</v>
      </c>
      <c r="H1245" s="9" t="n">
        <v>1350</v>
      </c>
      <c r="I1245" s="29" t="n">
        <v>3</v>
      </c>
      <c r="J1245" s="9" t="n">
        <v>1</v>
      </c>
      <c r="K1245" s="30"/>
      <c r="L1245" s="30"/>
      <c r="M1245" s="30"/>
      <c r="N1245" s="30"/>
      <c r="O1245" s="30"/>
      <c r="P1245" s="30"/>
      <c r="Q1245" s="30"/>
      <c r="R1245" s="30"/>
      <c r="S1245" s="30"/>
      <c r="T1245" s="30"/>
      <c r="U1245" s="21" t="str">
        <f aca="false">IF(COUNT(K1245:T1245)=0,"SOURCE EMPTY / INDUSTRIAL ONLY",IF(MIN(K1245:T1245)=1,"SERVICE READY","HOLD"))</f>
        <v>SOURCE EMPTY / INDUSTRIAL ONLY</v>
      </c>
      <c r="V1245" s="9" t="n">
        <f aca="false">IF(U1245="SERVICE READY",1,0)</f>
        <v>0</v>
      </c>
      <c r="W1245" s="6"/>
      <c r="X1245" s="6"/>
      <c r="Y1245" s="6"/>
      <c r="Z1245" s="6"/>
    </row>
    <row r="1246" customFormat="false" ht="15" hidden="false" customHeight="false" outlineLevel="0" collapsed="false">
      <c r="A1246" s="9" t="s">
        <v>1478</v>
      </c>
      <c r="B1246" s="9" t="s">
        <v>1427</v>
      </c>
      <c r="C1246" s="9" t="s">
        <v>1428</v>
      </c>
      <c r="D1246" s="9" t="s">
        <v>1215</v>
      </c>
      <c r="E1246" s="9" t="s">
        <v>275</v>
      </c>
      <c r="F1246" s="9" t="s">
        <v>200</v>
      </c>
      <c r="G1246" s="9" t="s">
        <v>221</v>
      </c>
      <c r="H1246" s="9" t="n">
        <v>1350</v>
      </c>
      <c r="I1246" s="29" t="n">
        <v>3</v>
      </c>
      <c r="J1246" s="9" t="n">
        <v>1</v>
      </c>
      <c r="K1246" s="30"/>
      <c r="L1246" s="30"/>
      <c r="M1246" s="30"/>
      <c r="N1246" s="30"/>
      <c r="O1246" s="30"/>
      <c r="P1246" s="30"/>
      <c r="Q1246" s="30"/>
      <c r="R1246" s="30"/>
      <c r="S1246" s="30"/>
      <c r="T1246" s="30"/>
      <c r="U1246" s="21" t="str">
        <f aca="false">IF(COUNT(K1246:T1246)=0,"SOURCE EMPTY / INDUSTRIAL ONLY",IF(MIN(K1246:T1246)=1,"SERVICE READY","HOLD"))</f>
        <v>SOURCE EMPTY / INDUSTRIAL ONLY</v>
      </c>
      <c r="V1246" s="9" t="n">
        <f aca="false">IF(U1246="SERVICE READY",1,0)</f>
        <v>0</v>
      </c>
      <c r="W1246" s="6"/>
      <c r="X1246" s="6"/>
      <c r="Y1246" s="6"/>
      <c r="Z1246" s="6"/>
    </row>
    <row r="1247" customFormat="false" ht="15" hidden="false" customHeight="false" outlineLevel="0" collapsed="false">
      <c r="A1247" s="9" t="s">
        <v>1479</v>
      </c>
      <c r="B1247" s="9" t="s">
        <v>1427</v>
      </c>
      <c r="C1247" s="9" t="s">
        <v>1428</v>
      </c>
      <c r="D1247" s="9" t="s">
        <v>1215</v>
      </c>
      <c r="E1247" s="9" t="s">
        <v>275</v>
      </c>
      <c r="F1247" s="9" t="s">
        <v>203</v>
      </c>
      <c r="G1247" s="9" t="s">
        <v>221</v>
      </c>
      <c r="H1247" s="9" t="n">
        <v>1350</v>
      </c>
      <c r="I1247" s="29" t="n">
        <v>3</v>
      </c>
      <c r="J1247" s="9" t="n">
        <v>1</v>
      </c>
      <c r="K1247" s="30"/>
      <c r="L1247" s="30"/>
      <c r="M1247" s="30"/>
      <c r="N1247" s="30"/>
      <c r="O1247" s="30"/>
      <c r="P1247" s="30"/>
      <c r="Q1247" s="30"/>
      <c r="R1247" s="30"/>
      <c r="S1247" s="30"/>
      <c r="T1247" s="30"/>
      <c r="U1247" s="21" t="str">
        <f aca="false">IF(COUNT(K1247:T1247)=0,"SOURCE EMPTY / INDUSTRIAL ONLY",IF(MIN(K1247:T1247)=1,"SERVICE READY","HOLD"))</f>
        <v>SOURCE EMPTY / INDUSTRIAL ONLY</v>
      </c>
      <c r="V1247" s="9" t="n">
        <f aca="false">IF(U1247="SERVICE READY",1,0)</f>
        <v>0</v>
      </c>
      <c r="W1247" s="6"/>
      <c r="X1247" s="6"/>
      <c r="Y1247" s="6"/>
      <c r="Z1247" s="6"/>
    </row>
    <row r="1248" customFormat="false" ht="15" hidden="false" customHeight="false" outlineLevel="0" collapsed="false">
      <c r="A1248" s="9" t="s">
        <v>1480</v>
      </c>
      <c r="B1248" s="9" t="s">
        <v>1427</v>
      </c>
      <c r="C1248" s="9" t="s">
        <v>1428</v>
      </c>
      <c r="D1248" s="9" t="s">
        <v>1215</v>
      </c>
      <c r="E1248" s="9" t="s">
        <v>275</v>
      </c>
      <c r="F1248" s="9" t="s">
        <v>205</v>
      </c>
      <c r="G1248" s="9" t="s">
        <v>221</v>
      </c>
      <c r="H1248" s="9" t="n">
        <v>1350</v>
      </c>
      <c r="I1248" s="29" t="n">
        <v>3</v>
      </c>
      <c r="J1248" s="9" t="n">
        <v>1</v>
      </c>
      <c r="K1248" s="30"/>
      <c r="L1248" s="30"/>
      <c r="M1248" s="30"/>
      <c r="N1248" s="30"/>
      <c r="O1248" s="30"/>
      <c r="P1248" s="30"/>
      <c r="Q1248" s="30"/>
      <c r="R1248" s="30"/>
      <c r="S1248" s="30"/>
      <c r="T1248" s="30"/>
      <c r="U1248" s="21" t="str">
        <f aca="false">IF(COUNT(K1248:T1248)=0,"SOURCE EMPTY / INDUSTRIAL ONLY",IF(MIN(K1248:T1248)=1,"SERVICE READY","HOLD"))</f>
        <v>SOURCE EMPTY / INDUSTRIAL ONLY</v>
      </c>
      <c r="V1248" s="9" t="n">
        <f aca="false">IF(U1248="SERVICE READY",1,0)</f>
        <v>0</v>
      </c>
      <c r="W1248" s="6"/>
      <c r="X1248" s="6"/>
      <c r="Y1248" s="6"/>
      <c r="Z1248" s="6"/>
    </row>
    <row r="1249" customFormat="false" ht="15" hidden="false" customHeight="false" outlineLevel="0" collapsed="false">
      <c r="A1249" s="9" t="s">
        <v>1481</v>
      </c>
      <c r="B1249" s="9" t="s">
        <v>1427</v>
      </c>
      <c r="C1249" s="9" t="s">
        <v>1428</v>
      </c>
      <c r="D1249" s="9" t="s">
        <v>1215</v>
      </c>
      <c r="E1249" s="9" t="s">
        <v>275</v>
      </c>
      <c r="F1249" s="9" t="s">
        <v>207</v>
      </c>
      <c r="G1249" s="9" t="s">
        <v>221</v>
      </c>
      <c r="H1249" s="9" t="n">
        <v>1350</v>
      </c>
      <c r="I1249" s="29" t="n">
        <v>3</v>
      </c>
      <c r="J1249" s="9" t="n">
        <v>1</v>
      </c>
      <c r="K1249" s="30"/>
      <c r="L1249" s="30"/>
      <c r="M1249" s="30"/>
      <c r="N1249" s="30"/>
      <c r="O1249" s="30"/>
      <c r="P1249" s="30"/>
      <c r="Q1249" s="30"/>
      <c r="R1249" s="30"/>
      <c r="S1249" s="30"/>
      <c r="T1249" s="30"/>
      <c r="U1249" s="21" t="str">
        <f aca="false">IF(COUNT(K1249:T1249)=0,"SOURCE EMPTY / INDUSTRIAL ONLY",IF(MIN(K1249:T1249)=1,"SERVICE READY","HOLD"))</f>
        <v>SOURCE EMPTY / INDUSTRIAL ONLY</v>
      </c>
      <c r="V1249" s="9" t="n">
        <f aca="false">IF(U1249="SERVICE READY",1,0)</f>
        <v>0</v>
      </c>
      <c r="W1249" s="6"/>
      <c r="X1249" s="6"/>
      <c r="Y1249" s="6"/>
      <c r="Z1249" s="6"/>
    </row>
    <row r="1250" customFormat="false" ht="15" hidden="false" customHeight="false" outlineLevel="0" collapsed="false">
      <c r="A1250" s="9" t="s">
        <v>1482</v>
      </c>
      <c r="B1250" s="9" t="s">
        <v>1427</v>
      </c>
      <c r="C1250" s="9" t="s">
        <v>1428</v>
      </c>
      <c r="D1250" s="9" t="s">
        <v>1215</v>
      </c>
      <c r="E1250" s="9" t="s">
        <v>275</v>
      </c>
      <c r="F1250" s="9" t="s">
        <v>209</v>
      </c>
      <c r="G1250" s="9" t="s">
        <v>221</v>
      </c>
      <c r="H1250" s="9" t="n">
        <v>1350</v>
      </c>
      <c r="I1250" s="29" t="n">
        <v>3</v>
      </c>
      <c r="J1250" s="9" t="n">
        <v>1</v>
      </c>
      <c r="K1250" s="30"/>
      <c r="L1250" s="30"/>
      <c r="M1250" s="30"/>
      <c r="N1250" s="30"/>
      <c r="O1250" s="30"/>
      <c r="P1250" s="30"/>
      <c r="Q1250" s="30"/>
      <c r="R1250" s="30"/>
      <c r="S1250" s="30"/>
      <c r="T1250" s="30"/>
      <c r="U1250" s="21" t="str">
        <f aca="false">IF(COUNT(K1250:T1250)=0,"SOURCE EMPTY / INDUSTRIAL ONLY",IF(MIN(K1250:T1250)=1,"SERVICE READY","HOLD"))</f>
        <v>SOURCE EMPTY / INDUSTRIAL ONLY</v>
      </c>
      <c r="V1250" s="9" t="n">
        <f aca="false">IF(U1250="SERVICE READY",1,0)</f>
        <v>0</v>
      </c>
      <c r="W1250" s="6"/>
      <c r="X1250" s="6"/>
      <c r="Y1250" s="6"/>
      <c r="Z1250" s="6"/>
    </row>
    <row r="1251" customFormat="false" ht="15" hidden="false" customHeight="false" outlineLevel="0" collapsed="false">
      <c r="A1251" s="9" t="s">
        <v>1483</v>
      </c>
      <c r="B1251" s="9" t="s">
        <v>1427</v>
      </c>
      <c r="C1251" s="9" t="s">
        <v>1428</v>
      </c>
      <c r="D1251" s="9" t="s">
        <v>1215</v>
      </c>
      <c r="E1251" s="9" t="s">
        <v>275</v>
      </c>
      <c r="F1251" s="9" t="s">
        <v>211</v>
      </c>
      <c r="G1251" s="9" t="s">
        <v>221</v>
      </c>
      <c r="H1251" s="9" t="n">
        <v>1350</v>
      </c>
      <c r="I1251" s="29" t="n">
        <v>3</v>
      </c>
      <c r="J1251" s="9" t="n">
        <v>1</v>
      </c>
      <c r="K1251" s="30"/>
      <c r="L1251" s="30"/>
      <c r="M1251" s="30"/>
      <c r="N1251" s="30"/>
      <c r="O1251" s="30"/>
      <c r="P1251" s="30"/>
      <c r="Q1251" s="30"/>
      <c r="R1251" s="30"/>
      <c r="S1251" s="30"/>
      <c r="T1251" s="30"/>
      <c r="U1251" s="21" t="str">
        <f aca="false">IF(COUNT(K1251:T1251)=0,"SOURCE EMPTY / INDUSTRIAL ONLY",IF(MIN(K1251:T1251)=1,"SERVICE READY","HOLD"))</f>
        <v>SOURCE EMPTY / INDUSTRIAL ONLY</v>
      </c>
      <c r="V1251" s="9" t="n">
        <f aca="false">IF(U1251="SERVICE READY",1,0)</f>
        <v>0</v>
      </c>
      <c r="W1251" s="6"/>
      <c r="X1251" s="6"/>
      <c r="Y1251" s="6"/>
      <c r="Z1251" s="6"/>
    </row>
    <row r="1252" customFormat="false" ht="15" hidden="false" customHeight="false" outlineLevel="0" collapsed="false">
      <c r="A1252" s="9" t="s">
        <v>1484</v>
      </c>
      <c r="B1252" s="9" t="s">
        <v>1427</v>
      </c>
      <c r="C1252" s="9" t="s">
        <v>1428</v>
      </c>
      <c r="D1252" s="9" t="s">
        <v>1215</v>
      </c>
      <c r="E1252" s="9" t="s">
        <v>275</v>
      </c>
      <c r="F1252" s="9" t="s">
        <v>197</v>
      </c>
      <c r="G1252" s="9" t="s">
        <v>221</v>
      </c>
      <c r="H1252" s="9" t="n">
        <v>1350</v>
      </c>
      <c r="I1252" s="29" t="n">
        <v>3</v>
      </c>
      <c r="J1252" s="9" t="n">
        <v>1</v>
      </c>
      <c r="K1252" s="30"/>
      <c r="L1252" s="30"/>
      <c r="M1252" s="30"/>
      <c r="N1252" s="30"/>
      <c r="O1252" s="30"/>
      <c r="P1252" s="30"/>
      <c r="Q1252" s="30"/>
      <c r="R1252" s="30"/>
      <c r="S1252" s="30"/>
      <c r="T1252" s="30"/>
      <c r="U1252" s="21" t="str">
        <f aca="false">IF(COUNT(K1252:T1252)=0,"SOURCE EMPTY / INDUSTRIAL ONLY",IF(MIN(K1252:T1252)=1,"SERVICE READY","HOLD"))</f>
        <v>SOURCE EMPTY / INDUSTRIAL ONLY</v>
      </c>
      <c r="V1252" s="9" t="n">
        <f aca="false">IF(U1252="SERVICE READY",1,0)</f>
        <v>0</v>
      </c>
      <c r="W1252" s="6"/>
      <c r="X1252" s="6"/>
      <c r="Y1252" s="6"/>
      <c r="Z1252" s="6"/>
    </row>
    <row r="1253" customFormat="false" ht="15" hidden="false" customHeight="false" outlineLevel="0" collapsed="false">
      <c r="A1253" s="9" t="s">
        <v>1485</v>
      </c>
      <c r="B1253" s="9" t="s">
        <v>1427</v>
      </c>
      <c r="C1253" s="9" t="s">
        <v>1428</v>
      </c>
      <c r="D1253" s="9" t="s">
        <v>1215</v>
      </c>
      <c r="E1253" s="9" t="s">
        <v>275</v>
      </c>
      <c r="F1253" s="9" t="s">
        <v>200</v>
      </c>
      <c r="G1253" s="9" t="s">
        <v>221</v>
      </c>
      <c r="H1253" s="9" t="n">
        <v>1350</v>
      </c>
      <c r="I1253" s="29" t="n">
        <v>3</v>
      </c>
      <c r="J1253" s="9" t="n">
        <v>1</v>
      </c>
      <c r="K1253" s="30"/>
      <c r="L1253" s="30"/>
      <c r="M1253" s="30"/>
      <c r="N1253" s="30"/>
      <c r="O1253" s="30"/>
      <c r="P1253" s="30"/>
      <c r="Q1253" s="30"/>
      <c r="R1253" s="30"/>
      <c r="S1253" s="30"/>
      <c r="T1253" s="30"/>
      <c r="U1253" s="21" t="str">
        <f aca="false">IF(COUNT(K1253:T1253)=0,"SOURCE EMPTY / INDUSTRIAL ONLY",IF(MIN(K1253:T1253)=1,"SERVICE READY","HOLD"))</f>
        <v>SOURCE EMPTY / INDUSTRIAL ONLY</v>
      </c>
      <c r="V1253" s="9" t="n">
        <f aca="false">IF(U1253="SERVICE READY",1,0)</f>
        <v>0</v>
      </c>
      <c r="W1253" s="6"/>
      <c r="X1253" s="6"/>
      <c r="Y1253" s="6"/>
      <c r="Z1253" s="6"/>
    </row>
    <row r="1254" customFormat="false" ht="15" hidden="false" customHeight="false" outlineLevel="0" collapsed="false">
      <c r="A1254" s="9" t="s">
        <v>1486</v>
      </c>
      <c r="B1254" s="9" t="s">
        <v>1427</v>
      </c>
      <c r="C1254" s="9" t="s">
        <v>1428</v>
      </c>
      <c r="D1254" s="9" t="s">
        <v>1215</v>
      </c>
      <c r="E1254" s="9" t="s">
        <v>275</v>
      </c>
      <c r="F1254" s="9" t="s">
        <v>203</v>
      </c>
      <c r="G1254" s="9" t="s">
        <v>221</v>
      </c>
      <c r="H1254" s="9" t="n">
        <v>1350</v>
      </c>
      <c r="I1254" s="29" t="n">
        <v>3</v>
      </c>
      <c r="J1254" s="9" t="n">
        <v>1</v>
      </c>
      <c r="K1254" s="30"/>
      <c r="L1254" s="30"/>
      <c r="M1254" s="30"/>
      <c r="N1254" s="30"/>
      <c r="O1254" s="30"/>
      <c r="P1254" s="30"/>
      <c r="Q1254" s="30"/>
      <c r="R1254" s="30"/>
      <c r="S1254" s="30"/>
      <c r="T1254" s="30"/>
      <c r="U1254" s="21" t="str">
        <f aca="false">IF(COUNT(K1254:T1254)=0,"SOURCE EMPTY / INDUSTRIAL ONLY",IF(MIN(K1254:T1254)=1,"SERVICE READY","HOLD"))</f>
        <v>SOURCE EMPTY / INDUSTRIAL ONLY</v>
      </c>
      <c r="V1254" s="9" t="n">
        <f aca="false">IF(U1254="SERVICE READY",1,0)</f>
        <v>0</v>
      </c>
      <c r="W1254" s="6"/>
      <c r="X1254" s="6"/>
      <c r="Y1254" s="6"/>
      <c r="Z1254" s="6"/>
    </row>
    <row r="1255" customFormat="false" ht="15" hidden="false" customHeight="false" outlineLevel="0" collapsed="false">
      <c r="A1255" s="9" t="s">
        <v>1487</v>
      </c>
      <c r="B1255" s="9" t="s">
        <v>1427</v>
      </c>
      <c r="C1255" s="9" t="s">
        <v>1428</v>
      </c>
      <c r="D1255" s="9" t="s">
        <v>1215</v>
      </c>
      <c r="E1255" s="9" t="s">
        <v>275</v>
      </c>
      <c r="F1255" s="9" t="s">
        <v>205</v>
      </c>
      <c r="G1255" s="9" t="s">
        <v>221</v>
      </c>
      <c r="H1255" s="9" t="n">
        <v>1350</v>
      </c>
      <c r="I1255" s="29" t="n">
        <v>3</v>
      </c>
      <c r="J1255" s="9" t="n">
        <v>1</v>
      </c>
      <c r="K1255" s="30"/>
      <c r="L1255" s="30"/>
      <c r="M1255" s="30"/>
      <c r="N1255" s="30"/>
      <c r="O1255" s="30"/>
      <c r="P1255" s="30"/>
      <c r="Q1255" s="30"/>
      <c r="R1255" s="30"/>
      <c r="S1255" s="30"/>
      <c r="T1255" s="30"/>
      <c r="U1255" s="21" t="str">
        <f aca="false">IF(COUNT(K1255:T1255)=0,"SOURCE EMPTY / INDUSTRIAL ONLY",IF(MIN(K1255:T1255)=1,"SERVICE READY","HOLD"))</f>
        <v>SOURCE EMPTY / INDUSTRIAL ONLY</v>
      </c>
      <c r="V1255" s="9" t="n">
        <f aca="false">IF(U1255="SERVICE READY",1,0)</f>
        <v>0</v>
      </c>
      <c r="W1255" s="6"/>
      <c r="X1255" s="6"/>
      <c r="Y1255" s="6"/>
      <c r="Z1255" s="6"/>
    </row>
    <row r="1256" customFormat="false" ht="15" hidden="false" customHeight="false" outlineLevel="0" collapsed="false">
      <c r="A1256" s="9" t="s">
        <v>1488</v>
      </c>
      <c r="B1256" s="9" t="s">
        <v>1427</v>
      </c>
      <c r="C1256" s="9" t="s">
        <v>1428</v>
      </c>
      <c r="D1256" s="9" t="s">
        <v>1215</v>
      </c>
      <c r="E1256" s="9" t="s">
        <v>275</v>
      </c>
      <c r="F1256" s="9" t="s">
        <v>207</v>
      </c>
      <c r="G1256" s="9" t="s">
        <v>221</v>
      </c>
      <c r="H1256" s="9" t="n">
        <v>1350</v>
      </c>
      <c r="I1256" s="29" t="n">
        <v>3</v>
      </c>
      <c r="J1256" s="9" t="n">
        <v>1</v>
      </c>
      <c r="K1256" s="30"/>
      <c r="L1256" s="30"/>
      <c r="M1256" s="30"/>
      <c r="N1256" s="30"/>
      <c r="O1256" s="30"/>
      <c r="P1256" s="30"/>
      <c r="Q1256" s="30"/>
      <c r="R1256" s="30"/>
      <c r="S1256" s="30"/>
      <c r="T1256" s="30"/>
      <c r="U1256" s="21" t="str">
        <f aca="false">IF(COUNT(K1256:T1256)=0,"SOURCE EMPTY / INDUSTRIAL ONLY",IF(MIN(K1256:T1256)=1,"SERVICE READY","HOLD"))</f>
        <v>SOURCE EMPTY / INDUSTRIAL ONLY</v>
      </c>
      <c r="V1256" s="9" t="n">
        <f aca="false">IF(U1256="SERVICE READY",1,0)</f>
        <v>0</v>
      </c>
      <c r="W1256" s="6"/>
      <c r="X1256" s="6"/>
      <c r="Y1256" s="6"/>
      <c r="Z1256" s="6"/>
    </row>
    <row r="1257" customFormat="false" ht="15" hidden="false" customHeight="false" outlineLevel="0" collapsed="false">
      <c r="A1257" s="9" t="s">
        <v>1489</v>
      </c>
      <c r="B1257" s="9" t="s">
        <v>1427</v>
      </c>
      <c r="C1257" s="9" t="s">
        <v>1428</v>
      </c>
      <c r="D1257" s="9" t="s">
        <v>1215</v>
      </c>
      <c r="E1257" s="9" t="s">
        <v>275</v>
      </c>
      <c r="F1257" s="9" t="s">
        <v>209</v>
      </c>
      <c r="G1257" s="9" t="s">
        <v>221</v>
      </c>
      <c r="H1257" s="9" t="n">
        <v>1350</v>
      </c>
      <c r="I1257" s="29" t="n">
        <v>3</v>
      </c>
      <c r="J1257" s="9" t="n">
        <v>1</v>
      </c>
      <c r="K1257" s="30"/>
      <c r="L1257" s="30"/>
      <c r="M1257" s="30"/>
      <c r="N1257" s="30"/>
      <c r="O1257" s="30"/>
      <c r="P1257" s="30"/>
      <c r="Q1257" s="30"/>
      <c r="R1257" s="30"/>
      <c r="S1257" s="30"/>
      <c r="T1257" s="30"/>
      <c r="U1257" s="21" t="str">
        <f aca="false">IF(COUNT(K1257:T1257)=0,"SOURCE EMPTY / INDUSTRIAL ONLY",IF(MIN(K1257:T1257)=1,"SERVICE READY","HOLD"))</f>
        <v>SOURCE EMPTY / INDUSTRIAL ONLY</v>
      </c>
      <c r="V1257" s="9" t="n">
        <f aca="false">IF(U1257="SERVICE READY",1,0)</f>
        <v>0</v>
      </c>
      <c r="W1257" s="6"/>
      <c r="X1257" s="6"/>
      <c r="Y1257" s="6"/>
      <c r="Z1257" s="6"/>
    </row>
    <row r="1258" customFormat="false" ht="15" hidden="false" customHeight="false" outlineLevel="0" collapsed="false">
      <c r="A1258" s="9" t="s">
        <v>1490</v>
      </c>
      <c r="B1258" s="9" t="s">
        <v>1427</v>
      </c>
      <c r="C1258" s="9" t="s">
        <v>1428</v>
      </c>
      <c r="D1258" s="9" t="s">
        <v>1215</v>
      </c>
      <c r="E1258" s="9" t="s">
        <v>275</v>
      </c>
      <c r="F1258" s="9" t="s">
        <v>211</v>
      </c>
      <c r="G1258" s="9" t="s">
        <v>221</v>
      </c>
      <c r="H1258" s="9" t="n">
        <v>1350</v>
      </c>
      <c r="I1258" s="29" t="n">
        <v>3</v>
      </c>
      <c r="J1258" s="9" t="n">
        <v>1</v>
      </c>
      <c r="K1258" s="30"/>
      <c r="L1258" s="30"/>
      <c r="M1258" s="30"/>
      <c r="N1258" s="30"/>
      <c r="O1258" s="30"/>
      <c r="P1258" s="30"/>
      <c r="Q1258" s="30"/>
      <c r="R1258" s="30"/>
      <c r="S1258" s="30"/>
      <c r="T1258" s="30"/>
      <c r="U1258" s="21" t="str">
        <f aca="false">IF(COUNT(K1258:T1258)=0,"SOURCE EMPTY / INDUSTRIAL ONLY",IF(MIN(K1258:T1258)=1,"SERVICE READY","HOLD"))</f>
        <v>SOURCE EMPTY / INDUSTRIAL ONLY</v>
      </c>
      <c r="V1258" s="9" t="n">
        <f aca="false">IF(U1258="SERVICE READY",1,0)</f>
        <v>0</v>
      </c>
      <c r="W1258" s="6"/>
      <c r="X1258" s="6"/>
      <c r="Y1258" s="6"/>
      <c r="Z1258" s="6"/>
    </row>
    <row r="1259" customFormat="false" ht="15" hidden="false" customHeight="false" outlineLevel="0" collapsed="false">
      <c r="A1259" s="9" t="s">
        <v>1491</v>
      </c>
      <c r="B1259" s="9" t="s">
        <v>1427</v>
      </c>
      <c r="C1259" s="9" t="s">
        <v>1428</v>
      </c>
      <c r="D1259" s="9" t="s">
        <v>1215</v>
      </c>
      <c r="E1259" s="9" t="s">
        <v>275</v>
      </c>
      <c r="F1259" s="9" t="s">
        <v>197</v>
      </c>
      <c r="G1259" s="9" t="s">
        <v>221</v>
      </c>
      <c r="H1259" s="9" t="n">
        <v>1350</v>
      </c>
      <c r="I1259" s="29" t="n">
        <v>3</v>
      </c>
      <c r="J1259" s="9" t="n">
        <v>1</v>
      </c>
      <c r="K1259" s="30"/>
      <c r="L1259" s="30"/>
      <c r="M1259" s="30"/>
      <c r="N1259" s="30"/>
      <c r="O1259" s="30"/>
      <c r="P1259" s="30"/>
      <c r="Q1259" s="30"/>
      <c r="R1259" s="30"/>
      <c r="S1259" s="30"/>
      <c r="T1259" s="30"/>
      <c r="U1259" s="21" t="str">
        <f aca="false">IF(COUNT(K1259:T1259)=0,"SOURCE EMPTY / INDUSTRIAL ONLY",IF(MIN(K1259:T1259)=1,"SERVICE READY","HOLD"))</f>
        <v>SOURCE EMPTY / INDUSTRIAL ONLY</v>
      </c>
      <c r="V1259" s="9" t="n">
        <f aca="false">IF(U1259="SERVICE READY",1,0)</f>
        <v>0</v>
      </c>
      <c r="W1259" s="6"/>
      <c r="X1259" s="6"/>
      <c r="Y1259" s="6"/>
      <c r="Z1259" s="6"/>
    </row>
    <row r="1260" customFormat="false" ht="15" hidden="false" customHeight="false" outlineLevel="0" collapsed="false">
      <c r="A1260" s="9" t="s">
        <v>1492</v>
      </c>
      <c r="B1260" s="9" t="s">
        <v>1427</v>
      </c>
      <c r="C1260" s="9" t="s">
        <v>1428</v>
      </c>
      <c r="D1260" s="9" t="s">
        <v>1215</v>
      </c>
      <c r="E1260" s="9" t="s">
        <v>275</v>
      </c>
      <c r="F1260" s="9" t="s">
        <v>200</v>
      </c>
      <c r="G1260" s="9" t="s">
        <v>221</v>
      </c>
      <c r="H1260" s="9" t="n">
        <v>1350</v>
      </c>
      <c r="I1260" s="29" t="n">
        <v>3</v>
      </c>
      <c r="J1260" s="9" t="n">
        <v>1</v>
      </c>
      <c r="K1260" s="30"/>
      <c r="L1260" s="30"/>
      <c r="M1260" s="30"/>
      <c r="N1260" s="30"/>
      <c r="O1260" s="30"/>
      <c r="P1260" s="30"/>
      <c r="Q1260" s="30"/>
      <c r="R1260" s="30"/>
      <c r="S1260" s="30"/>
      <c r="T1260" s="30"/>
      <c r="U1260" s="21" t="str">
        <f aca="false">IF(COUNT(K1260:T1260)=0,"SOURCE EMPTY / INDUSTRIAL ONLY",IF(MIN(K1260:T1260)=1,"SERVICE READY","HOLD"))</f>
        <v>SOURCE EMPTY / INDUSTRIAL ONLY</v>
      </c>
      <c r="V1260" s="9" t="n">
        <f aca="false">IF(U1260="SERVICE READY",1,0)</f>
        <v>0</v>
      </c>
      <c r="W1260" s="6"/>
      <c r="X1260" s="6"/>
      <c r="Y1260" s="6"/>
      <c r="Z1260" s="6"/>
    </row>
    <row r="1261" customFormat="false" ht="15" hidden="false" customHeight="false" outlineLevel="0" collapsed="false">
      <c r="A1261" s="9" t="s">
        <v>1493</v>
      </c>
      <c r="B1261" s="9" t="s">
        <v>1427</v>
      </c>
      <c r="C1261" s="9" t="s">
        <v>1428</v>
      </c>
      <c r="D1261" s="9" t="s">
        <v>1215</v>
      </c>
      <c r="E1261" s="9" t="s">
        <v>275</v>
      </c>
      <c r="F1261" s="9" t="s">
        <v>203</v>
      </c>
      <c r="G1261" s="9" t="s">
        <v>221</v>
      </c>
      <c r="H1261" s="9" t="n">
        <v>1350</v>
      </c>
      <c r="I1261" s="29" t="n">
        <v>3</v>
      </c>
      <c r="J1261" s="9" t="n">
        <v>1</v>
      </c>
      <c r="K1261" s="30"/>
      <c r="L1261" s="30"/>
      <c r="M1261" s="30"/>
      <c r="N1261" s="30"/>
      <c r="O1261" s="30"/>
      <c r="P1261" s="30"/>
      <c r="Q1261" s="30"/>
      <c r="R1261" s="30"/>
      <c r="S1261" s="30"/>
      <c r="T1261" s="30"/>
      <c r="U1261" s="21" t="str">
        <f aca="false">IF(COUNT(K1261:T1261)=0,"SOURCE EMPTY / INDUSTRIAL ONLY",IF(MIN(K1261:T1261)=1,"SERVICE READY","HOLD"))</f>
        <v>SOURCE EMPTY / INDUSTRIAL ONLY</v>
      </c>
      <c r="V1261" s="9" t="n">
        <f aca="false">IF(U1261="SERVICE READY",1,0)</f>
        <v>0</v>
      </c>
      <c r="W1261" s="6"/>
      <c r="X1261" s="6"/>
      <c r="Y1261" s="6"/>
      <c r="Z1261" s="6"/>
    </row>
    <row r="1262" customFormat="false" ht="15" hidden="false" customHeight="false" outlineLevel="0" collapsed="false">
      <c r="A1262" s="9" t="s">
        <v>1494</v>
      </c>
      <c r="B1262" s="9" t="s">
        <v>1427</v>
      </c>
      <c r="C1262" s="9" t="s">
        <v>1428</v>
      </c>
      <c r="D1262" s="9" t="s">
        <v>1215</v>
      </c>
      <c r="E1262" s="9" t="s">
        <v>275</v>
      </c>
      <c r="F1262" s="9" t="s">
        <v>205</v>
      </c>
      <c r="G1262" s="9" t="s">
        <v>221</v>
      </c>
      <c r="H1262" s="9" t="n">
        <v>1350</v>
      </c>
      <c r="I1262" s="29" t="n">
        <v>3</v>
      </c>
      <c r="J1262" s="9" t="n">
        <v>1</v>
      </c>
      <c r="K1262" s="30"/>
      <c r="L1262" s="30"/>
      <c r="M1262" s="30"/>
      <c r="N1262" s="30"/>
      <c r="O1262" s="30"/>
      <c r="P1262" s="30"/>
      <c r="Q1262" s="30"/>
      <c r="R1262" s="30"/>
      <c r="S1262" s="30"/>
      <c r="T1262" s="30"/>
      <c r="U1262" s="21" t="str">
        <f aca="false">IF(COUNT(K1262:T1262)=0,"SOURCE EMPTY / INDUSTRIAL ONLY",IF(MIN(K1262:T1262)=1,"SERVICE READY","HOLD"))</f>
        <v>SOURCE EMPTY / INDUSTRIAL ONLY</v>
      </c>
      <c r="V1262" s="9" t="n">
        <f aca="false">IF(U1262="SERVICE READY",1,0)</f>
        <v>0</v>
      </c>
      <c r="W1262" s="6"/>
      <c r="X1262" s="6"/>
      <c r="Y1262" s="6"/>
      <c r="Z1262" s="6"/>
    </row>
    <row r="1263" customFormat="false" ht="15" hidden="false" customHeight="false" outlineLevel="0" collapsed="false">
      <c r="A1263" s="9" t="s">
        <v>1495</v>
      </c>
      <c r="B1263" s="9" t="s">
        <v>1427</v>
      </c>
      <c r="C1263" s="9" t="s">
        <v>1428</v>
      </c>
      <c r="D1263" s="9" t="s">
        <v>1215</v>
      </c>
      <c r="E1263" s="9" t="s">
        <v>275</v>
      </c>
      <c r="F1263" s="9" t="s">
        <v>207</v>
      </c>
      <c r="G1263" s="9" t="s">
        <v>221</v>
      </c>
      <c r="H1263" s="9" t="n">
        <v>1350</v>
      </c>
      <c r="I1263" s="29" t="n">
        <v>3</v>
      </c>
      <c r="J1263" s="9" t="n">
        <v>1</v>
      </c>
      <c r="K1263" s="30"/>
      <c r="L1263" s="30"/>
      <c r="M1263" s="30"/>
      <c r="N1263" s="30"/>
      <c r="O1263" s="30"/>
      <c r="P1263" s="30"/>
      <c r="Q1263" s="30"/>
      <c r="R1263" s="30"/>
      <c r="S1263" s="30"/>
      <c r="T1263" s="30"/>
      <c r="U1263" s="21" t="str">
        <f aca="false">IF(COUNT(K1263:T1263)=0,"SOURCE EMPTY / INDUSTRIAL ONLY",IF(MIN(K1263:T1263)=1,"SERVICE READY","HOLD"))</f>
        <v>SOURCE EMPTY / INDUSTRIAL ONLY</v>
      </c>
      <c r="V1263" s="9" t="n">
        <f aca="false">IF(U1263="SERVICE READY",1,0)</f>
        <v>0</v>
      </c>
      <c r="W1263" s="6"/>
      <c r="X1263" s="6"/>
      <c r="Y1263" s="6"/>
      <c r="Z1263" s="6"/>
    </row>
    <row r="1264" customFormat="false" ht="15" hidden="false" customHeight="false" outlineLevel="0" collapsed="false">
      <c r="A1264" s="9" t="s">
        <v>1496</v>
      </c>
      <c r="B1264" s="9" t="s">
        <v>1427</v>
      </c>
      <c r="C1264" s="9" t="s">
        <v>1428</v>
      </c>
      <c r="D1264" s="9" t="s">
        <v>1215</v>
      </c>
      <c r="E1264" s="9" t="s">
        <v>275</v>
      </c>
      <c r="F1264" s="9" t="s">
        <v>209</v>
      </c>
      <c r="G1264" s="9" t="s">
        <v>221</v>
      </c>
      <c r="H1264" s="9" t="n">
        <v>1350</v>
      </c>
      <c r="I1264" s="29" t="n">
        <v>3</v>
      </c>
      <c r="J1264" s="9" t="n">
        <v>1</v>
      </c>
      <c r="K1264" s="30"/>
      <c r="L1264" s="30"/>
      <c r="M1264" s="30"/>
      <c r="N1264" s="30"/>
      <c r="O1264" s="30"/>
      <c r="P1264" s="30"/>
      <c r="Q1264" s="30"/>
      <c r="R1264" s="30"/>
      <c r="S1264" s="30"/>
      <c r="T1264" s="30"/>
      <c r="U1264" s="21" t="str">
        <f aca="false">IF(COUNT(K1264:T1264)=0,"SOURCE EMPTY / INDUSTRIAL ONLY",IF(MIN(K1264:T1264)=1,"SERVICE READY","HOLD"))</f>
        <v>SOURCE EMPTY / INDUSTRIAL ONLY</v>
      </c>
      <c r="V1264" s="9" t="n">
        <f aca="false">IF(U1264="SERVICE READY",1,0)</f>
        <v>0</v>
      </c>
      <c r="W1264" s="6"/>
      <c r="X1264" s="6"/>
      <c r="Y1264" s="6"/>
      <c r="Z1264" s="6"/>
    </row>
    <row r="1265" customFormat="false" ht="15" hidden="false" customHeight="false" outlineLevel="0" collapsed="false">
      <c r="A1265" s="9" t="s">
        <v>1497</v>
      </c>
      <c r="B1265" s="9" t="s">
        <v>1427</v>
      </c>
      <c r="C1265" s="9" t="s">
        <v>1428</v>
      </c>
      <c r="D1265" s="9" t="s">
        <v>1215</v>
      </c>
      <c r="E1265" s="9" t="s">
        <v>275</v>
      </c>
      <c r="F1265" s="9" t="s">
        <v>211</v>
      </c>
      <c r="G1265" s="9" t="s">
        <v>221</v>
      </c>
      <c r="H1265" s="9" t="n">
        <v>1350</v>
      </c>
      <c r="I1265" s="29" t="n">
        <v>3</v>
      </c>
      <c r="J1265" s="9" t="n">
        <v>1</v>
      </c>
      <c r="K1265" s="30"/>
      <c r="L1265" s="30"/>
      <c r="M1265" s="30"/>
      <c r="N1265" s="30"/>
      <c r="O1265" s="30"/>
      <c r="P1265" s="30"/>
      <c r="Q1265" s="30"/>
      <c r="R1265" s="30"/>
      <c r="S1265" s="30"/>
      <c r="T1265" s="30"/>
      <c r="U1265" s="21" t="str">
        <f aca="false">IF(COUNT(K1265:T1265)=0,"SOURCE EMPTY / INDUSTRIAL ONLY",IF(MIN(K1265:T1265)=1,"SERVICE READY","HOLD"))</f>
        <v>SOURCE EMPTY / INDUSTRIAL ONLY</v>
      </c>
      <c r="V1265" s="9" t="n">
        <f aca="false">IF(U1265="SERVICE READY",1,0)</f>
        <v>0</v>
      </c>
      <c r="W1265" s="6"/>
      <c r="X1265" s="6"/>
      <c r="Y1265" s="6"/>
      <c r="Z1265" s="6"/>
    </row>
    <row r="1266" customFormat="false" ht="15" hidden="false" customHeight="false" outlineLevel="0" collapsed="false">
      <c r="A1266" s="9" t="s">
        <v>1498</v>
      </c>
      <c r="B1266" s="9" t="s">
        <v>1427</v>
      </c>
      <c r="C1266" s="9" t="s">
        <v>1428</v>
      </c>
      <c r="D1266" s="9" t="s">
        <v>1215</v>
      </c>
      <c r="E1266" s="9" t="s">
        <v>275</v>
      </c>
      <c r="F1266" s="9" t="s">
        <v>197</v>
      </c>
      <c r="G1266" s="9" t="s">
        <v>221</v>
      </c>
      <c r="H1266" s="9" t="n">
        <v>1350</v>
      </c>
      <c r="I1266" s="29" t="n">
        <v>3</v>
      </c>
      <c r="J1266" s="9" t="n">
        <v>1</v>
      </c>
      <c r="K1266" s="30"/>
      <c r="L1266" s="30"/>
      <c r="M1266" s="30"/>
      <c r="N1266" s="30"/>
      <c r="O1266" s="30"/>
      <c r="P1266" s="30"/>
      <c r="Q1266" s="30"/>
      <c r="R1266" s="30"/>
      <c r="S1266" s="30"/>
      <c r="T1266" s="30"/>
      <c r="U1266" s="21" t="str">
        <f aca="false">IF(COUNT(K1266:T1266)=0,"SOURCE EMPTY / INDUSTRIAL ONLY",IF(MIN(K1266:T1266)=1,"SERVICE READY","HOLD"))</f>
        <v>SOURCE EMPTY / INDUSTRIAL ONLY</v>
      </c>
      <c r="V1266" s="9" t="n">
        <f aca="false">IF(U1266="SERVICE READY",1,0)</f>
        <v>0</v>
      </c>
      <c r="W1266" s="6"/>
      <c r="X1266" s="6"/>
      <c r="Y1266" s="6"/>
      <c r="Z1266" s="6"/>
    </row>
    <row r="1267" customFormat="false" ht="15" hidden="false" customHeight="false" outlineLevel="0" collapsed="false">
      <c r="A1267" s="9" t="s">
        <v>1499</v>
      </c>
      <c r="B1267" s="9" t="s">
        <v>1427</v>
      </c>
      <c r="C1267" s="9" t="s">
        <v>1428</v>
      </c>
      <c r="D1267" s="9" t="s">
        <v>1215</v>
      </c>
      <c r="E1267" s="9" t="s">
        <v>275</v>
      </c>
      <c r="F1267" s="9" t="s">
        <v>200</v>
      </c>
      <c r="G1267" s="9" t="s">
        <v>221</v>
      </c>
      <c r="H1267" s="9" t="n">
        <v>1350</v>
      </c>
      <c r="I1267" s="29" t="n">
        <v>3</v>
      </c>
      <c r="J1267" s="9" t="n">
        <v>1</v>
      </c>
      <c r="K1267" s="30"/>
      <c r="L1267" s="30"/>
      <c r="M1267" s="30"/>
      <c r="N1267" s="30"/>
      <c r="O1267" s="30"/>
      <c r="P1267" s="30"/>
      <c r="Q1267" s="30"/>
      <c r="R1267" s="30"/>
      <c r="S1267" s="30"/>
      <c r="T1267" s="30"/>
      <c r="U1267" s="21" t="str">
        <f aca="false">IF(COUNT(K1267:T1267)=0,"SOURCE EMPTY / INDUSTRIAL ONLY",IF(MIN(K1267:T1267)=1,"SERVICE READY","HOLD"))</f>
        <v>SOURCE EMPTY / INDUSTRIAL ONLY</v>
      </c>
      <c r="V1267" s="9" t="n">
        <f aca="false">IF(U1267="SERVICE READY",1,0)</f>
        <v>0</v>
      </c>
      <c r="W1267" s="6"/>
      <c r="X1267" s="6"/>
      <c r="Y1267" s="6"/>
      <c r="Z1267" s="6"/>
    </row>
    <row r="1268" customFormat="false" ht="15" hidden="false" customHeight="false" outlineLevel="0" collapsed="false">
      <c r="A1268" s="9" t="s">
        <v>1500</v>
      </c>
      <c r="B1268" s="9" t="s">
        <v>1427</v>
      </c>
      <c r="C1268" s="9" t="s">
        <v>1428</v>
      </c>
      <c r="D1268" s="9" t="s">
        <v>1215</v>
      </c>
      <c r="E1268" s="9" t="s">
        <v>275</v>
      </c>
      <c r="F1268" s="9" t="s">
        <v>203</v>
      </c>
      <c r="G1268" s="9" t="s">
        <v>221</v>
      </c>
      <c r="H1268" s="9" t="n">
        <v>1350</v>
      </c>
      <c r="I1268" s="29" t="n">
        <v>3</v>
      </c>
      <c r="J1268" s="9" t="n">
        <v>1</v>
      </c>
      <c r="K1268" s="30"/>
      <c r="L1268" s="30"/>
      <c r="M1268" s="30"/>
      <c r="N1268" s="30"/>
      <c r="O1268" s="30"/>
      <c r="P1268" s="30"/>
      <c r="Q1268" s="30"/>
      <c r="R1268" s="30"/>
      <c r="S1268" s="30"/>
      <c r="T1268" s="30"/>
      <c r="U1268" s="21" t="str">
        <f aca="false">IF(COUNT(K1268:T1268)=0,"SOURCE EMPTY / INDUSTRIAL ONLY",IF(MIN(K1268:T1268)=1,"SERVICE READY","HOLD"))</f>
        <v>SOURCE EMPTY / INDUSTRIAL ONLY</v>
      </c>
      <c r="V1268" s="9" t="n">
        <f aca="false">IF(U1268="SERVICE READY",1,0)</f>
        <v>0</v>
      </c>
      <c r="W1268" s="6"/>
      <c r="X1268" s="6"/>
      <c r="Y1268" s="6"/>
      <c r="Z1268" s="6"/>
    </row>
    <row r="1269" customFormat="false" ht="15" hidden="false" customHeight="false" outlineLevel="0" collapsed="false">
      <c r="A1269" s="9" t="s">
        <v>1501</v>
      </c>
      <c r="B1269" s="9" t="s">
        <v>1427</v>
      </c>
      <c r="C1269" s="9" t="s">
        <v>1428</v>
      </c>
      <c r="D1269" s="9" t="s">
        <v>1215</v>
      </c>
      <c r="E1269" s="9" t="s">
        <v>275</v>
      </c>
      <c r="F1269" s="9" t="s">
        <v>205</v>
      </c>
      <c r="G1269" s="9" t="s">
        <v>221</v>
      </c>
      <c r="H1269" s="9" t="n">
        <v>1350</v>
      </c>
      <c r="I1269" s="29" t="n">
        <v>3</v>
      </c>
      <c r="J1269" s="9" t="n">
        <v>1</v>
      </c>
      <c r="K1269" s="30"/>
      <c r="L1269" s="30"/>
      <c r="M1269" s="30"/>
      <c r="N1269" s="30"/>
      <c r="O1269" s="30"/>
      <c r="P1269" s="30"/>
      <c r="Q1269" s="30"/>
      <c r="R1269" s="30"/>
      <c r="S1269" s="30"/>
      <c r="T1269" s="30"/>
      <c r="U1269" s="21" t="str">
        <f aca="false">IF(COUNT(K1269:T1269)=0,"SOURCE EMPTY / INDUSTRIAL ONLY",IF(MIN(K1269:T1269)=1,"SERVICE READY","HOLD"))</f>
        <v>SOURCE EMPTY / INDUSTRIAL ONLY</v>
      </c>
      <c r="V1269" s="9" t="n">
        <f aca="false">IF(U1269="SERVICE READY",1,0)</f>
        <v>0</v>
      </c>
      <c r="W1269" s="6"/>
      <c r="X1269" s="6"/>
      <c r="Y1269" s="6"/>
      <c r="Z1269" s="6"/>
    </row>
    <row r="1270" customFormat="false" ht="15" hidden="false" customHeight="false" outlineLevel="0" collapsed="false">
      <c r="A1270" s="9" t="s">
        <v>1502</v>
      </c>
      <c r="B1270" s="9" t="s">
        <v>1427</v>
      </c>
      <c r="C1270" s="9" t="s">
        <v>1428</v>
      </c>
      <c r="D1270" s="9" t="s">
        <v>1215</v>
      </c>
      <c r="E1270" s="9" t="s">
        <v>275</v>
      </c>
      <c r="F1270" s="9" t="s">
        <v>207</v>
      </c>
      <c r="G1270" s="9" t="s">
        <v>221</v>
      </c>
      <c r="H1270" s="9" t="n">
        <v>1350</v>
      </c>
      <c r="I1270" s="29" t="n">
        <v>3</v>
      </c>
      <c r="J1270" s="9" t="n">
        <v>1</v>
      </c>
      <c r="K1270" s="30"/>
      <c r="L1270" s="30"/>
      <c r="M1270" s="30"/>
      <c r="N1270" s="30"/>
      <c r="O1270" s="30"/>
      <c r="P1270" s="30"/>
      <c r="Q1270" s="30"/>
      <c r="R1270" s="30"/>
      <c r="S1270" s="30"/>
      <c r="T1270" s="30"/>
      <c r="U1270" s="21" t="str">
        <f aca="false">IF(COUNT(K1270:T1270)=0,"SOURCE EMPTY / INDUSTRIAL ONLY",IF(MIN(K1270:T1270)=1,"SERVICE READY","HOLD"))</f>
        <v>SOURCE EMPTY / INDUSTRIAL ONLY</v>
      </c>
      <c r="V1270" s="9" t="n">
        <f aca="false">IF(U1270="SERVICE READY",1,0)</f>
        <v>0</v>
      </c>
      <c r="W1270" s="6"/>
      <c r="X1270" s="6"/>
      <c r="Y1270" s="6"/>
      <c r="Z1270" s="6"/>
    </row>
    <row r="1271" customFormat="false" ht="15" hidden="false" customHeight="false" outlineLevel="0" collapsed="false">
      <c r="A1271" s="9" t="s">
        <v>1503</v>
      </c>
      <c r="B1271" s="9" t="s">
        <v>1427</v>
      </c>
      <c r="C1271" s="9" t="s">
        <v>1428</v>
      </c>
      <c r="D1271" s="9" t="s">
        <v>1215</v>
      </c>
      <c r="E1271" s="9" t="s">
        <v>275</v>
      </c>
      <c r="F1271" s="9" t="s">
        <v>209</v>
      </c>
      <c r="G1271" s="9" t="s">
        <v>221</v>
      </c>
      <c r="H1271" s="9" t="n">
        <v>1350</v>
      </c>
      <c r="I1271" s="29" t="n">
        <v>3</v>
      </c>
      <c r="J1271" s="9" t="n">
        <v>1</v>
      </c>
      <c r="K1271" s="30"/>
      <c r="L1271" s="30"/>
      <c r="M1271" s="30"/>
      <c r="N1271" s="30"/>
      <c r="O1271" s="30"/>
      <c r="P1271" s="30"/>
      <c r="Q1271" s="30"/>
      <c r="R1271" s="30"/>
      <c r="S1271" s="30"/>
      <c r="T1271" s="30"/>
      <c r="U1271" s="21" t="str">
        <f aca="false">IF(COUNT(K1271:T1271)=0,"SOURCE EMPTY / INDUSTRIAL ONLY",IF(MIN(K1271:T1271)=1,"SERVICE READY","HOLD"))</f>
        <v>SOURCE EMPTY / INDUSTRIAL ONLY</v>
      </c>
      <c r="V1271" s="9" t="n">
        <f aca="false">IF(U1271="SERVICE READY",1,0)</f>
        <v>0</v>
      </c>
      <c r="W1271" s="6"/>
      <c r="X1271" s="6"/>
      <c r="Y1271" s="6"/>
      <c r="Z1271" s="6"/>
    </row>
    <row r="1272" customFormat="false" ht="15" hidden="false" customHeight="false" outlineLevel="0" collapsed="false">
      <c r="A1272" s="9" t="s">
        <v>1504</v>
      </c>
      <c r="B1272" s="9" t="s">
        <v>1427</v>
      </c>
      <c r="C1272" s="9" t="s">
        <v>1428</v>
      </c>
      <c r="D1272" s="9" t="s">
        <v>1215</v>
      </c>
      <c r="E1272" s="9" t="s">
        <v>275</v>
      </c>
      <c r="F1272" s="9" t="s">
        <v>211</v>
      </c>
      <c r="G1272" s="9" t="s">
        <v>221</v>
      </c>
      <c r="H1272" s="9" t="n">
        <v>1350</v>
      </c>
      <c r="I1272" s="29" t="n">
        <v>3</v>
      </c>
      <c r="J1272" s="9" t="n">
        <v>1</v>
      </c>
      <c r="K1272" s="30"/>
      <c r="L1272" s="30"/>
      <c r="M1272" s="30"/>
      <c r="N1272" s="30"/>
      <c r="O1272" s="30"/>
      <c r="P1272" s="30"/>
      <c r="Q1272" s="30"/>
      <c r="R1272" s="30"/>
      <c r="S1272" s="30"/>
      <c r="T1272" s="30"/>
      <c r="U1272" s="21" t="str">
        <f aca="false">IF(COUNT(K1272:T1272)=0,"SOURCE EMPTY / INDUSTRIAL ONLY",IF(MIN(K1272:T1272)=1,"SERVICE READY","HOLD"))</f>
        <v>SOURCE EMPTY / INDUSTRIAL ONLY</v>
      </c>
      <c r="V1272" s="9" t="n">
        <f aca="false">IF(U1272="SERVICE READY",1,0)</f>
        <v>0</v>
      </c>
      <c r="W1272" s="6"/>
      <c r="X1272" s="6"/>
      <c r="Y1272" s="6"/>
      <c r="Z1272" s="6"/>
    </row>
    <row r="1273" customFormat="false" ht="15" hidden="false" customHeight="false" outlineLevel="0" collapsed="false">
      <c r="A1273" s="9" t="s">
        <v>1505</v>
      </c>
      <c r="B1273" s="9" t="s">
        <v>1427</v>
      </c>
      <c r="C1273" s="9" t="s">
        <v>1428</v>
      </c>
      <c r="D1273" s="9" t="s">
        <v>1215</v>
      </c>
      <c r="E1273" s="9" t="s">
        <v>275</v>
      </c>
      <c r="F1273" s="9" t="s">
        <v>197</v>
      </c>
      <c r="G1273" s="9" t="s">
        <v>221</v>
      </c>
      <c r="H1273" s="9" t="n">
        <v>1350</v>
      </c>
      <c r="I1273" s="29" t="n">
        <v>3</v>
      </c>
      <c r="J1273" s="9" t="n">
        <v>1</v>
      </c>
      <c r="K1273" s="30"/>
      <c r="L1273" s="30"/>
      <c r="M1273" s="30"/>
      <c r="N1273" s="30"/>
      <c r="O1273" s="30"/>
      <c r="P1273" s="30"/>
      <c r="Q1273" s="30"/>
      <c r="R1273" s="30"/>
      <c r="S1273" s="30"/>
      <c r="T1273" s="30"/>
      <c r="U1273" s="21" t="str">
        <f aca="false">IF(COUNT(K1273:T1273)=0,"SOURCE EMPTY / INDUSTRIAL ONLY",IF(MIN(K1273:T1273)=1,"SERVICE READY","HOLD"))</f>
        <v>SOURCE EMPTY / INDUSTRIAL ONLY</v>
      </c>
      <c r="V1273" s="9" t="n">
        <f aca="false">IF(U1273="SERVICE READY",1,0)</f>
        <v>0</v>
      </c>
      <c r="W1273" s="6"/>
      <c r="X1273" s="6"/>
      <c r="Y1273" s="6"/>
      <c r="Z1273" s="6"/>
    </row>
    <row r="1274" customFormat="false" ht="15" hidden="false" customHeight="false" outlineLevel="0" collapsed="false">
      <c r="A1274" s="9" t="s">
        <v>1506</v>
      </c>
      <c r="B1274" s="9" t="s">
        <v>1427</v>
      </c>
      <c r="C1274" s="9" t="s">
        <v>1428</v>
      </c>
      <c r="D1274" s="9" t="s">
        <v>1215</v>
      </c>
      <c r="E1274" s="9" t="s">
        <v>275</v>
      </c>
      <c r="F1274" s="9" t="s">
        <v>200</v>
      </c>
      <c r="G1274" s="9" t="s">
        <v>221</v>
      </c>
      <c r="H1274" s="9" t="n">
        <v>1350</v>
      </c>
      <c r="I1274" s="29" t="n">
        <v>3</v>
      </c>
      <c r="J1274" s="9" t="n">
        <v>1</v>
      </c>
      <c r="K1274" s="30"/>
      <c r="L1274" s="30"/>
      <c r="M1274" s="30"/>
      <c r="N1274" s="30"/>
      <c r="O1274" s="30"/>
      <c r="P1274" s="30"/>
      <c r="Q1274" s="30"/>
      <c r="R1274" s="30"/>
      <c r="S1274" s="30"/>
      <c r="T1274" s="30"/>
      <c r="U1274" s="21" t="str">
        <f aca="false">IF(COUNT(K1274:T1274)=0,"SOURCE EMPTY / INDUSTRIAL ONLY",IF(MIN(K1274:T1274)=1,"SERVICE READY","HOLD"))</f>
        <v>SOURCE EMPTY / INDUSTRIAL ONLY</v>
      </c>
      <c r="V1274" s="9" t="n">
        <f aca="false">IF(U1274="SERVICE READY",1,0)</f>
        <v>0</v>
      </c>
      <c r="W1274" s="6"/>
      <c r="X1274" s="6"/>
      <c r="Y1274" s="6"/>
      <c r="Z1274" s="6"/>
    </row>
    <row r="1275" customFormat="false" ht="15" hidden="false" customHeight="false" outlineLevel="0" collapsed="false">
      <c r="A1275" s="9" t="s">
        <v>1507</v>
      </c>
      <c r="B1275" s="9" t="s">
        <v>1427</v>
      </c>
      <c r="C1275" s="9" t="s">
        <v>1428</v>
      </c>
      <c r="D1275" s="9" t="s">
        <v>1215</v>
      </c>
      <c r="E1275" s="9" t="s">
        <v>275</v>
      </c>
      <c r="F1275" s="9" t="s">
        <v>203</v>
      </c>
      <c r="G1275" s="9" t="s">
        <v>221</v>
      </c>
      <c r="H1275" s="9" t="n">
        <v>1350</v>
      </c>
      <c r="I1275" s="29" t="n">
        <v>3</v>
      </c>
      <c r="J1275" s="9" t="n">
        <v>1</v>
      </c>
      <c r="K1275" s="30"/>
      <c r="L1275" s="30"/>
      <c r="M1275" s="30"/>
      <c r="N1275" s="30"/>
      <c r="O1275" s="30"/>
      <c r="P1275" s="30"/>
      <c r="Q1275" s="30"/>
      <c r="R1275" s="30"/>
      <c r="S1275" s="30"/>
      <c r="T1275" s="30"/>
      <c r="U1275" s="21" t="str">
        <f aca="false">IF(COUNT(K1275:T1275)=0,"SOURCE EMPTY / INDUSTRIAL ONLY",IF(MIN(K1275:T1275)=1,"SERVICE READY","HOLD"))</f>
        <v>SOURCE EMPTY / INDUSTRIAL ONLY</v>
      </c>
      <c r="V1275" s="9" t="n">
        <f aca="false">IF(U1275="SERVICE READY",1,0)</f>
        <v>0</v>
      </c>
      <c r="W1275" s="6"/>
      <c r="X1275" s="6"/>
      <c r="Y1275" s="6"/>
      <c r="Z1275" s="6"/>
    </row>
    <row r="1276" customFormat="false" ht="15" hidden="false" customHeight="false" outlineLevel="0" collapsed="false">
      <c r="A1276" s="9" t="s">
        <v>1508</v>
      </c>
      <c r="B1276" s="9" t="s">
        <v>1427</v>
      </c>
      <c r="C1276" s="9" t="s">
        <v>1428</v>
      </c>
      <c r="D1276" s="9" t="s">
        <v>1215</v>
      </c>
      <c r="E1276" s="9" t="s">
        <v>275</v>
      </c>
      <c r="F1276" s="9" t="s">
        <v>205</v>
      </c>
      <c r="G1276" s="9" t="s">
        <v>221</v>
      </c>
      <c r="H1276" s="9" t="n">
        <v>1350</v>
      </c>
      <c r="I1276" s="29" t="n">
        <v>3</v>
      </c>
      <c r="J1276" s="9" t="n">
        <v>1</v>
      </c>
      <c r="K1276" s="30"/>
      <c r="L1276" s="30"/>
      <c r="M1276" s="30"/>
      <c r="N1276" s="30"/>
      <c r="O1276" s="30"/>
      <c r="P1276" s="30"/>
      <c r="Q1276" s="30"/>
      <c r="R1276" s="30"/>
      <c r="S1276" s="30"/>
      <c r="T1276" s="30"/>
      <c r="U1276" s="21" t="str">
        <f aca="false">IF(COUNT(K1276:T1276)=0,"SOURCE EMPTY / INDUSTRIAL ONLY",IF(MIN(K1276:T1276)=1,"SERVICE READY","HOLD"))</f>
        <v>SOURCE EMPTY / INDUSTRIAL ONLY</v>
      </c>
      <c r="V1276" s="9" t="n">
        <f aca="false">IF(U1276="SERVICE READY",1,0)</f>
        <v>0</v>
      </c>
      <c r="W1276" s="6"/>
      <c r="X1276" s="6"/>
      <c r="Y1276" s="6"/>
      <c r="Z1276" s="6"/>
    </row>
    <row r="1277" customFormat="false" ht="15" hidden="false" customHeight="false" outlineLevel="0" collapsed="false">
      <c r="A1277" s="9" t="s">
        <v>1509</v>
      </c>
      <c r="B1277" s="9" t="s">
        <v>1427</v>
      </c>
      <c r="C1277" s="9" t="s">
        <v>1428</v>
      </c>
      <c r="D1277" s="9" t="s">
        <v>1215</v>
      </c>
      <c r="E1277" s="9" t="s">
        <v>275</v>
      </c>
      <c r="F1277" s="9" t="s">
        <v>207</v>
      </c>
      <c r="G1277" s="9" t="s">
        <v>221</v>
      </c>
      <c r="H1277" s="9" t="n">
        <v>1350</v>
      </c>
      <c r="I1277" s="29" t="n">
        <v>3</v>
      </c>
      <c r="J1277" s="9" t="n">
        <v>1</v>
      </c>
      <c r="K1277" s="30"/>
      <c r="L1277" s="30"/>
      <c r="M1277" s="30"/>
      <c r="N1277" s="30"/>
      <c r="O1277" s="30"/>
      <c r="P1277" s="30"/>
      <c r="Q1277" s="30"/>
      <c r="R1277" s="30"/>
      <c r="S1277" s="30"/>
      <c r="T1277" s="30"/>
      <c r="U1277" s="21" t="str">
        <f aca="false">IF(COUNT(K1277:T1277)=0,"SOURCE EMPTY / INDUSTRIAL ONLY",IF(MIN(K1277:T1277)=1,"SERVICE READY","HOLD"))</f>
        <v>SOURCE EMPTY / INDUSTRIAL ONLY</v>
      </c>
      <c r="V1277" s="9" t="n">
        <f aca="false">IF(U1277="SERVICE READY",1,0)</f>
        <v>0</v>
      </c>
      <c r="W1277" s="6"/>
      <c r="X1277" s="6"/>
      <c r="Y1277" s="6"/>
      <c r="Z1277" s="6"/>
    </row>
    <row r="1278" customFormat="false" ht="15" hidden="false" customHeight="false" outlineLevel="0" collapsed="false">
      <c r="A1278" s="9" t="s">
        <v>1510</v>
      </c>
      <c r="B1278" s="9" t="s">
        <v>1427</v>
      </c>
      <c r="C1278" s="9" t="s">
        <v>1428</v>
      </c>
      <c r="D1278" s="9" t="s">
        <v>1215</v>
      </c>
      <c r="E1278" s="9" t="s">
        <v>275</v>
      </c>
      <c r="F1278" s="9" t="s">
        <v>209</v>
      </c>
      <c r="G1278" s="9" t="s">
        <v>221</v>
      </c>
      <c r="H1278" s="9" t="n">
        <v>1350</v>
      </c>
      <c r="I1278" s="29" t="n">
        <v>3</v>
      </c>
      <c r="J1278" s="9" t="n">
        <v>1</v>
      </c>
      <c r="K1278" s="30"/>
      <c r="L1278" s="30"/>
      <c r="M1278" s="30"/>
      <c r="N1278" s="30"/>
      <c r="O1278" s="30"/>
      <c r="P1278" s="30"/>
      <c r="Q1278" s="30"/>
      <c r="R1278" s="30"/>
      <c r="S1278" s="30"/>
      <c r="T1278" s="30"/>
      <c r="U1278" s="21" t="str">
        <f aca="false">IF(COUNT(K1278:T1278)=0,"SOURCE EMPTY / INDUSTRIAL ONLY",IF(MIN(K1278:T1278)=1,"SERVICE READY","HOLD"))</f>
        <v>SOURCE EMPTY / INDUSTRIAL ONLY</v>
      </c>
      <c r="V1278" s="9" t="n">
        <f aca="false">IF(U1278="SERVICE READY",1,0)</f>
        <v>0</v>
      </c>
      <c r="W1278" s="6"/>
      <c r="X1278" s="6"/>
      <c r="Y1278" s="6"/>
      <c r="Z1278" s="6"/>
    </row>
    <row r="1279" customFormat="false" ht="15" hidden="false" customHeight="false" outlineLevel="0" collapsed="false">
      <c r="A1279" s="9" t="s">
        <v>1511</v>
      </c>
      <c r="B1279" s="9" t="s">
        <v>1427</v>
      </c>
      <c r="C1279" s="9" t="s">
        <v>1428</v>
      </c>
      <c r="D1279" s="9" t="s">
        <v>1215</v>
      </c>
      <c r="E1279" s="9" t="s">
        <v>275</v>
      </c>
      <c r="F1279" s="9" t="s">
        <v>211</v>
      </c>
      <c r="G1279" s="9" t="s">
        <v>221</v>
      </c>
      <c r="H1279" s="9" t="n">
        <v>1350</v>
      </c>
      <c r="I1279" s="29" t="n">
        <v>3</v>
      </c>
      <c r="J1279" s="9" t="n">
        <v>1</v>
      </c>
      <c r="K1279" s="30"/>
      <c r="L1279" s="30"/>
      <c r="M1279" s="30"/>
      <c r="N1279" s="30"/>
      <c r="O1279" s="30"/>
      <c r="P1279" s="30"/>
      <c r="Q1279" s="30"/>
      <c r="R1279" s="30"/>
      <c r="S1279" s="30"/>
      <c r="T1279" s="30"/>
      <c r="U1279" s="21" t="str">
        <f aca="false">IF(COUNT(K1279:T1279)=0,"SOURCE EMPTY / INDUSTRIAL ONLY",IF(MIN(K1279:T1279)=1,"SERVICE READY","HOLD"))</f>
        <v>SOURCE EMPTY / INDUSTRIAL ONLY</v>
      </c>
      <c r="V1279" s="9" t="n">
        <f aca="false">IF(U1279="SERVICE READY",1,0)</f>
        <v>0</v>
      </c>
      <c r="W1279" s="6"/>
      <c r="X1279" s="6"/>
      <c r="Y1279" s="6"/>
      <c r="Z1279" s="6"/>
    </row>
    <row r="1280" customFormat="false" ht="15" hidden="false" customHeight="false" outlineLevel="0" collapsed="false">
      <c r="A1280" s="9" t="s">
        <v>1512</v>
      </c>
      <c r="B1280" s="9" t="s">
        <v>1427</v>
      </c>
      <c r="C1280" s="9" t="s">
        <v>1428</v>
      </c>
      <c r="D1280" s="9" t="s">
        <v>1215</v>
      </c>
      <c r="E1280" s="9" t="s">
        <v>275</v>
      </c>
      <c r="F1280" s="9" t="s">
        <v>197</v>
      </c>
      <c r="G1280" s="9" t="s">
        <v>221</v>
      </c>
      <c r="H1280" s="9" t="n">
        <v>1350</v>
      </c>
      <c r="I1280" s="29" t="n">
        <v>3</v>
      </c>
      <c r="J1280" s="9" t="n">
        <v>1</v>
      </c>
      <c r="K1280" s="30"/>
      <c r="L1280" s="30"/>
      <c r="M1280" s="30"/>
      <c r="N1280" s="30"/>
      <c r="O1280" s="30"/>
      <c r="P1280" s="30"/>
      <c r="Q1280" s="30"/>
      <c r="R1280" s="30"/>
      <c r="S1280" s="30"/>
      <c r="T1280" s="30"/>
      <c r="U1280" s="21" t="str">
        <f aca="false">IF(COUNT(K1280:T1280)=0,"SOURCE EMPTY / INDUSTRIAL ONLY",IF(MIN(K1280:T1280)=1,"SERVICE READY","HOLD"))</f>
        <v>SOURCE EMPTY / INDUSTRIAL ONLY</v>
      </c>
      <c r="V1280" s="9" t="n">
        <f aca="false">IF(U1280="SERVICE READY",1,0)</f>
        <v>0</v>
      </c>
      <c r="W1280" s="6"/>
      <c r="X1280" s="6"/>
      <c r="Y1280" s="6"/>
      <c r="Z1280" s="6"/>
    </row>
    <row r="1281" customFormat="false" ht="15" hidden="false" customHeight="false" outlineLevel="0" collapsed="false">
      <c r="A1281" s="9" t="s">
        <v>1513</v>
      </c>
      <c r="B1281" s="9" t="s">
        <v>1427</v>
      </c>
      <c r="C1281" s="9" t="s">
        <v>1428</v>
      </c>
      <c r="D1281" s="9" t="s">
        <v>1215</v>
      </c>
      <c r="E1281" s="9" t="s">
        <v>275</v>
      </c>
      <c r="F1281" s="9" t="s">
        <v>200</v>
      </c>
      <c r="G1281" s="9" t="s">
        <v>221</v>
      </c>
      <c r="H1281" s="9" t="n">
        <v>1350</v>
      </c>
      <c r="I1281" s="29" t="n">
        <v>3</v>
      </c>
      <c r="J1281" s="9" t="n">
        <v>1</v>
      </c>
      <c r="K1281" s="30"/>
      <c r="L1281" s="30"/>
      <c r="M1281" s="30"/>
      <c r="N1281" s="30"/>
      <c r="O1281" s="30"/>
      <c r="P1281" s="30"/>
      <c r="Q1281" s="30"/>
      <c r="R1281" s="30"/>
      <c r="S1281" s="30"/>
      <c r="T1281" s="30"/>
      <c r="U1281" s="21" t="str">
        <f aca="false">IF(COUNT(K1281:T1281)=0,"SOURCE EMPTY / INDUSTRIAL ONLY",IF(MIN(K1281:T1281)=1,"SERVICE READY","HOLD"))</f>
        <v>SOURCE EMPTY / INDUSTRIAL ONLY</v>
      </c>
      <c r="V1281" s="9" t="n">
        <f aca="false">IF(U1281="SERVICE READY",1,0)</f>
        <v>0</v>
      </c>
      <c r="W1281" s="6"/>
      <c r="X1281" s="6"/>
      <c r="Y1281" s="6"/>
      <c r="Z1281" s="6"/>
    </row>
    <row r="1282" customFormat="false" ht="15" hidden="false" customHeight="false" outlineLevel="0" collapsed="false">
      <c r="A1282" s="9" t="s">
        <v>1514</v>
      </c>
      <c r="B1282" s="9" t="s">
        <v>1427</v>
      </c>
      <c r="C1282" s="9" t="s">
        <v>1428</v>
      </c>
      <c r="D1282" s="9" t="s">
        <v>1215</v>
      </c>
      <c r="E1282" s="9" t="s">
        <v>275</v>
      </c>
      <c r="F1282" s="9" t="s">
        <v>203</v>
      </c>
      <c r="G1282" s="9" t="s">
        <v>221</v>
      </c>
      <c r="H1282" s="9" t="n">
        <v>1350</v>
      </c>
      <c r="I1282" s="29" t="n">
        <v>3</v>
      </c>
      <c r="J1282" s="9" t="n">
        <v>1</v>
      </c>
      <c r="K1282" s="30"/>
      <c r="L1282" s="30"/>
      <c r="M1282" s="30"/>
      <c r="N1282" s="30"/>
      <c r="O1282" s="30"/>
      <c r="P1282" s="30"/>
      <c r="Q1282" s="30"/>
      <c r="R1282" s="30"/>
      <c r="S1282" s="30"/>
      <c r="T1282" s="30"/>
      <c r="U1282" s="21" t="str">
        <f aca="false">IF(COUNT(K1282:T1282)=0,"SOURCE EMPTY / INDUSTRIAL ONLY",IF(MIN(K1282:T1282)=1,"SERVICE READY","HOLD"))</f>
        <v>SOURCE EMPTY / INDUSTRIAL ONLY</v>
      </c>
      <c r="V1282" s="9" t="n">
        <f aca="false">IF(U1282="SERVICE READY",1,0)</f>
        <v>0</v>
      </c>
      <c r="W1282" s="6"/>
      <c r="X1282" s="6"/>
      <c r="Y1282" s="6"/>
      <c r="Z1282" s="6"/>
    </row>
    <row r="1283" customFormat="false" ht="15" hidden="false" customHeight="false" outlineLevel="0" collapsed="false">
      <c r="A1283" s="9" t="s">
        <v>1515</v>
      </c>
      <c r="B1283" s="9" t="s">
        <v>1427</v>
      </c>
      <c r="C1283" s="9" t="s">
        <v>1428</v>
      </c>
      <c r="D1283" s="9" t="s">
        <v>1215</v>
      </c>
      <c r="E1283" s="9" t="s">
        <v>275</v>
      </c>
      <c r="F1283" s="9" t="s">
        <v>205</v>
      </c>
      <c r="G1283" s="9" t="s">
        <v>221</v>
      </c>
      <c r="H1283" s="9" t="n">
        <v>1350</v>
      </c>
      <c r="I1283" s="29" t="n">
        <v>3</v>
      </c>
      <c r="J1283" s="9" t="n">
        <v>1</v>
      </c>
      <c r="K1283" s="30"/>
      <c r="L1283" s="30"/>
      <c r="M1283" s="30"/>
      <c r="N1283" s="30"/>
      <c r="O1283" s="30"/>
      <c r="P1283" s="30"/>
      <c r="Q1283" s="30"/>
      <c r="R1283" s="30"/>
      <c r="S1283" s="30"/>
      <c r="T1283" s="30"/>
      <c r="U1283" s="21" t="str">
        <f aca="false">IF(COUNT(K1283:T1283)=0,"SOURCE EMPTY / INDUSTRIAL ONLY",IF(MIN(K1283:T1283)=1,"SERVICE READY","HOLD"))</f>
        <v>SOURCE EMPTY / INDUSTRIAL ONLY</v>
      </c>
      <c r="V1283" s="9" t="n">
        <f aca="false">IF(U1283="SERVICE READY",1,0)</f>
        <v>0</v>
      </c>
      <c r="W1283" s="6"/>
      <c r="X1283" s="6"/>
      <c r="Y1283" s="6"/>
      <c r="Z1283" s="6"/>
    </row>
    <row r="1284" customFormat="false" ht="15" hidden="false" customHeight="false" outlineLevel="0" collapsed="false">
      <c r="A1284" s="9" t="s">
        <v>1516</v>
      </c>
      <c r="B1284" s="9" t="s">
        <v>1427</v>
      </c>
      <c r="C1284" s="9" t="s">
        <v>1428</v>
      </c>
      <c r="D1284" s="9" t="s">
        <v>1215</v>
      </c>
      <c r="E1284" s="9" t="s">
        <v>275</v>
      </c>
      <c r="F1284" s="9" t="s">
        <v>207</v>
      </c>
      <c r="G1284" s="9" t="s">
        <v>221</v>
      </c>
      <c r="H1284" s="9" t="n">
        <v>1350</v>
      </c>
      <c r="I1284" s="29" t="n">
        <v>3</v>
      </c>
      <c r="J1284" s="9" t="n">
        <v>0</v>
      </c>
      <c r="K1284" s="30"/>
      <c r="L1284" s="30"/>
      <c r="M1284" s="30"/>
      <c r="N1284" s="30"/>
      <c r="O1284" s="30"/>
      <c r="P1284" s="30"/>
      <c r="Q1284" s="30"/>
      <c r="R1284" s="30"/>
      <c r="S1284" s="30"/>
      <c r="T1284" s="30"/>
      <c r="U1284" s="21" t="str">
        <f aca="false">IF(COUNT(K1284:T1284)=0,"SOURCE EMPTY / INDUSTRIAL ONLY",IF(MIN(K1284:T1284)=1,"SERVICE READY","HOLD"))</f>
        <v>SOURCE EMPTY / INDUSTRIAL ONLY</v>
      </c>
      <c r="V1284" s="9" t="n">
        <f aca="false">IF(U1284="SERVICE READY",1,0)</f>
        <v>0</v>
      </c>
      <c r="W1284" s="6"/>
      <c r="X1284" s="6"/>
      <c r="Y1284" s="6"/>
      <c r="Z1284" s="6"/>
    </row>
    <row r="1285" customFormat="false" ht="15" hidden="false" customHeight="false" outlineLevel="0" collapsed="false">
      <c r="A1285" s="9" t="s">
        <v>1517</v>
      </c>
      <c r="B1285" s="9" t="s">
        <v>1427</v>
      </c>
      <c r="C1285" s="9" t="s">
        <v>1428</v>
      </c>
      <c r="D1285" s="9" t="s">
        <v>1215</v>
      </c>
      <c r="E1285" s="9" t="s">
        <v>275</v>
      </c>
      <c r="F1285" s="9" t="s">
        <v>209</v>
      </c>
      <c r="G1285" s="9" t="s">
        <v>221</v>
      </c>
      <c r="H1285" s="9" t="n">
        <v>1350</v>
      </c>
      <c r="I1285" s="29" t="n">
        <v>3</v>
      </c>
      <c r="J1285" s="9" t="n">
        <v>0</v>
      </c>
      <c r="K1285" s="30"/>
      <c r="L1285" s="30"/>
      <c r="M1285" s="30"/>
      <c r="N1285" s="30"/>
      <c r="O1285" s="30"/>
      <c r="P1285" s="30"/>
      <c r="Q1285" s="30"/>
      <c r="R1285" s="30"/>
      <c r="S1285" s="30"/>
      <c r="T1285" s="30"/>
      <c r="U1285" s="21" t="str">
        <f aca="false">IF(COUNT(K1285:T1285)=0,"SOURCE EMPTY / INDUSTRIAL ONLY",IF(MIN(K1285:T1285)=1,"SERVICE READY","HOLD"))</f>
        <v>SOURCE EMPTY / INDUSTRIAL ONLY</v>
      </c>
      <c r="V1285" s="9" t="n">
        <f aca="false">IF(U1285="SERVICE READY",1,0)</f>
        <v>0</v>
      </c>
      <c r="W1285" s="6"/>
      <c r="X1285" s="6"/>
      <c r="Y1285" s="6"/>
      <c r="Z1285" s="6"/>
    </row>
    <row r="1286" customFormat="false" ht="15" hidden="false" customHeight="false" outlineLevel="0" collapsed="false">
      <c r="A1286" s="9" t="s">
        <v>1518</v>
      </c>
      <c r="B1286" s="9" t="s">
        <v>1427</v>
      </c>
      <c r="C1286" s="9" t="s">
        <v>1428</v>
      </c>
      <c r="D1286" s="9" t="s">
        <v>1215</v>
      </c>
      <c r="E1286" s="9" t="s">
        <v>275</v>
      </c>
      <c r="F1286" s="9" t="s">
        <v>211</v>
      </c>
      <c r="G1286" s="9" t="s">
        <v>221</v>
      </c>
      <c r="H1286" s="9" t="n">
        <v>1350</v>
      </c>
      <c r="I1286" s="29" t="n">
        <v>3</v>
      </c>
      <c r="J1286" s="9" t="n">
        <v>0</v>
      </c>
      <c r="K1286" s="30"/>
      <c r="L1286" s="30"/>
      <c r="M1286" s="30"/>
      <c r="N1286" s="30"/>
      <c r="O1286" s="30"/>
      <c r="P1286" s="30"/>
      <c r="Q1286" s="30"/>
      <c r="R1286" s="30"/>
      <c r="S1286" s="30"/>
      <c r="T1286" s="30"/>
      <c r="U1286" s="21" t="str">
        <f aca="false">IF(COUNT(K1286:T1286)=0,"SOURCE EMPTY / INDUSTRIAL ONLY",IF(MIN(K1286:T1286)=1,"SERVICE READY","HOLD"))</f>
        <v>SOURCE EMPTY / INDUSTRIAL ONLY</v>
      </c>
      <c r="V1286" s="9" t="n">
        <f aca="false">IF(U1286="SERVICE READY",1,0)</f>
        <v>0</v>
      </c>
      <c r="W1286" s="6"/>
      <c r="X1286" s="6"/>
      <c r="Y1286" s="6"/>
      <c r="Z1286" s="6"/>
    </row>
    <row r="1287" customFormat="false" ht="15" hidden="false" customHeight="false" outlineLevel="0" collapsed="false">
      <c r="A1287" s="9" t="s">
        <v>1519</v>
      </c>
      <c r="B1287" s="9" t="s">
        <v>1427</v>
      </c>
      <c r="C1287" s="9" t="s">
        <v>1428</v>
      </c>
      <c r="D1287" s="9" t="s">
        <v>1215</v>
      </c>
      <c r="E1287" s="9" t="s">
        <v>275</v>
      </c>
      <c r="F1287" s="9" t="s">
        <v>197</v>
      </c>
      <c r="G1287" s="9" t="s">
        <v>221</v>
      </c>
      <c r="H1287" s="9" t="n">
        <v>1350</v>
      </c>
      <c r="I1287" s="29" t="n">
        <v>3</v>
      </c>
      <c r="J1287" s="9" t="n">
        <v>0</v>
      </c>
      <c r="K1287" s="30"/>
      <c r="L1287" s="30"/>
      <c r="M1287" s="30"/>
      <c r="N1287" s="30"/>
      <c r="O1287" s="30"/>
      <c r="P1287" s="30"/>
      <c r="Q1287" s="30"/>
      <c r="R1287" s="30"/>
      <c r="S1287" s="30"/>
      <c r="T1287" s="30"/>
      <c r="U1287" s="21" t="str">
        <f aca="false">IF(COUNT(K1287:T1287)=0,"SOURCE EMPTY / INDUSTRIAL ONLY",IF(MIN(K1287:T1287)=1,"SERVICE READY","HOLD"))</f>
        <v>SOURCE EMPTY / INDUSTRIAL ONLY</v>
      </c>
      <c r="V1287" s="9" t="n">
        <f aca="false">IF(U1287="SERVICE READY",1,0)</f>
        <v>0</v>
      </c>
      <c r="W1287" s="6"/>
      <c r="X1287" s="6"/>
      <c r="Y1287" s="6"/>
      <c r="Z1287" s="6"/>
    </row>
    <row r="1288" customFormat="false" ht="15" hidden="false" customHeight="false" outlineLevel="0" collapsed="false">
      <c r="A1288" s="9" t="s">
        <v>1520</v>
      </c>
      <c r="B1288" s="9" t="s">
        <v>1427</v>
      </c>
      <c r="C1288" s="9" t="s">
        <v>1428</v>
      </c>
      <c r="D1288" s="9" t="s">
        <v>1215</v>
      </c>
      <c r="E1288" s="9" t="s">
        <v>275</v>
      </c>
      <c r="F1288" s="9" t="s">
        <v>200</v>
      </c>
      <c r="G1288" s="9" t="s">
        <v>221</v>
      </c>
      <c r="H1288" s="9" t="n">
        <v>1350</v>
      </c>
      <c r="I1288" s="29" t="n">
        <v>3</v>
      </c>
      <c r="J1288" s="9" t="n">
        <v>0</v>
      </c>
      <c r="K1288" s="30"/>
      <c r="L1288" s="30"/>
      <c r="M1288" s="30"/>
      <c r="N1288" s="30"/>
      <c r="O1288" s="30"/>
      <c r="P1288" s="30"/>
      <c r="Q1288" s="30"/>
      <c r="R1288" s="30"/>
      <c r="S1288" s="30"/>
      <c r="T1288" s="30"/>
      <c r="U1288" s="21" t="str">
        <f aca="false">IF(COUNT(K1288:T1288)=0,"SOURCE EMPTY / INDUSTRIAL ONLY",IF(MIN(K1288:T1288)=1,"SERVICE READY","HOLD"))</f>
        <v>SOURCE EMPTY / INDUSTRIAL ONLY</v>
      </c>
      <c r="V1288" s="9" t="n">
        <f aca="false">IF(U1288="SERVICE READY",1,0)</f>
        <v>0</v>
      </c>
      <c r="W1288" s="6"/>
      <c r="X1288" s="6"/>
      <c r="Y1288" s="6"/>
      <c r="Z1288" s="6"/>
    </row>
    <row r="1289" customFormat="false" ht="15" hidden="false" customHeight="false" outlineLevel="0" collapsed="false">
      <c r="A1289" s="9" t="s">
        <v>1521</v>
      </c>
      <c r="B1289" s="9" t="s">
        <v>1427</v>
      </c>
      <c r="C1289" s="9" t="s">
        <v>1428</v>
      </c>
      <c r="D1289" s="9" t="s">
        <v>1215</v>
      </c>
      <c r="E1289" s="9" t="s">
        <v>275</v>
      </c>
      <c r="F1289" s="9" t="s">
        <v>203</v>
      </c>
      <c r="G1289" s="9" t="s">
        <v>221</v>
      </c>
      <c r="H1289" s="9" t="n">
        <v>1350</v>
      </c>
      <c r="I1289" s="29" t="n">
        <v>3</v>
      </c>
      <c r="J1289" s="9" t="n">
        <v>0</v>
      </c>
      <c r="K1289" s="30"/>
      <c r="L1289" s="30"/>
      <c r="M1289" s="30"/>
      <c r="N1289" s="30"/>
      <c r="O1289" s="30"/>
      <c r="P1289" s="30"/>
      <c r="Q1289" s="30"/>
      <c r="R1289" s="30"/>
      <c r="S1289" s="30"/>
      <c r="T1289" s="30"/>
      <c r="U1289" s="21" t="str">
        <f aca="false">IF(COUNT(K1289:T1289)=0,"SOURCE EMPTY / INDUSTRIAL ONLY",IF(MIN(K1289:T1289)=1,"SERVICE READY","HOLD"))</f>
        <v>SOURCE EMPTY / INDUSTRIAL ONLY</v>
      </c>
      <c r="V1289" s="9" t="n">
        <f aca="false">IF(U1289="SERVICE READY",1,0)</f>
        <v>0</v>
      </c>
      <c r="W1289" s="6"/>
      <c r="X1289" s="6"/>
      <c r="Y1289" s="6"/>
      <c r="Z1289" s="6"/>
    </row>
    <row r="1290" customFormat="false" ht="15" hidden="false" customHeight="false" outlineLevel="0" collapsed="false">
      <c r="A1290" s="9" t="s">
        <v>1522</v>
      </c>
      <c r="B1290" s="9" t="s">
        <v>1427</v>
      </c>
      <c r="C1290" s="9" t="s">
        <v>1428</v>
      </c>
      <c r="D1290" s="9" t="s">
        <v>1215</v>
      </c>
      <c r="E1290" s="9" t="s">
        <v>275</v>
      </c>
      <c r="F1290" s="9" t="s">
        <v>205</v>
      </c>
      <c r="G1290" s="9" t="s">
        <v>221</v>
      </c>
      <c r="H1290" s="9" t="n">
        <v>1350</v>
      </c>
      <c r="I1290" s="29" t="n">
        <v>3</v>
      </c>
      <c r="J1290" s="9" t="n">
        <v>0</v>
      </c>
      <c r="K1290" s="30"/>
      <c r="L1290" s="30"/>
      <c r="M1290" s="30"/>
      <c r="N1290" s="30"/>
      <c r="O1290" s="30"/>
      <c r="P1290" s="30"/>
      <c r="Q1290" s="30"/>
      <c r="R1290" s="30"/>
      <c r="S1290" s="30"/>
      <c r="T1290" s="30"/>
      <c r="U1290" s="21" t="str">
        <f aca="false">IF(COUNT(K1290:T1290)=0,"SOURCE EMPTY / INDUSTRIAL ONLY",IF(MIN(K1290:T1290)=1,"SERVICE READY","HOLD"))</f>
        <v>SOURCE EMPTY / INDUSTRIAL ONLY</v>
      </c>
      <c r="V1290" s="9" t="n">
        <f aca="false">IF(U1290="SERVICE READY",1,0)</f>
        <v>0</v>
      </c>
      <c r="W1290" s="6"/>
      <c r="X1290" s="6"/>
      <c r="Y1290" s="6"/>
      <c r="Z1290" s="6"/>
    </row>
    <row r="1291" customFormat="false" ht="15" hidden="false" customHeight="false" outlineLevel="0" collapsed="false">
      <c r="A1291" s="9" t="s">
        <v>1523</v>
      </c>
      <c r="B1291" s="9" t="s">
        <v>1427</v>
      </c>
      <c r="C1291" s="9" t="s">
        <v>1428</v>
      </c>
      <c r="D1291" s="9" t="s">
        <v>1215</v>
      </c>
      <c r="E1291" s="9" t="s">
        <v>275</v>
      </c>
      <c r="F1291" s="9" t="s">
        <v>207</v>
      </c>
      <c r="G1291" s="9" t="s">
        <v>221</v>
      </c>
      <c r="H1291" s="9" t="n">
        <v>1350</v>
      </c>
      <c r="I1291" s="29" t="n">
        <v>3</v>
      </c>
      <c r="J1291" s="9" t="n">
        <v>0</v>
      </c>
      <c r="K1291" s="30"/>
      <c r="L1291" s="30"/>
      <c r="M1291" s="30"/>
      <c r="N1291" s="30"/>
      <c r="O1291" s="30"/>
      <c r="P1291" s="30"/>
      <c r="Q1291" s="30"/>
      <c r="R1291" s="30"/>
      <c r="S1291" s="30"/>
      <c r="T1291" s="30"/>
      <c r="U1291" s="21" t="str">
        <f aca="false">IF(COUNT(K1291:T1291)=0,"SOURCE EMPTY / INDUSTRIAL ONLY",IF(MIN(K1291:T1291)=1,"SERVICE READY","HOLD"))</f>
        <v>SOURCE EMPTY / INDUSTRIAL ONLY</v>
      </c>
      <c r="V1291" s="9" t="n">
        <f aca="false">IF(U1291="SERVICE READY",1,0)</f>
        <v>0</v>
      </c>
      <c r="W1291" s="6"/>
      <c r="X1291" s="6"/>
      <c r="Y1291" s="6"/>
      <c r="Z1291" s="6"/>
    </row>
    <row r="1292" customFormat="false" ht="15" hidden="false" customHeight="false" outlineLevel="0" collapsed="false">
      <c r="A1292" s="9" t="s">
        <v>1524</v>
      </c>
      <c r="B1292" s="9" t="s">
        <v>1427</v>
      </c>
      <c r="C1292" s="9" t="s">
        <v>1428</v>
      </c>
      <c r="D1292" s="9" t="s">
        <v>1215</v>
      </c>
      <c r="E1292" s="9" t="s">
        <v>275</v>
      </c>
      <c r="F1292" s="9" t="s">
        <v>209</v>
      </c>
      <c r="G1292" s="9" t="s">
        <v>221</v>
      </c>
      <c r="H1292" s="9" t="n">
        <v>1350</v>
      </c>
      <c r="I1292" s="29" t="n">
        <v>3</v>
      </c>
      <c r="J1292" s="9" t="n">
        <v>0</v>
      </c>
      <c r="K1292" s="30"/>
      <c r="L1292" s="30"/>
      <c r="M1292" s="30"/>
      <c r="N1292" s="30"/>
      <c r="O1292" s="30"/>
      <c r="P1292" s="30"/>
      <c r="Q1292" s="30"/>
      <c r="R1292" s="30"/>
      <c r="S1292" s="30"/>
      <c r="T1292" s="30"/>
      <c r="U1292" s="21" t="str">
        <f aca="false">IF(COUNT(K1292:T1292)=0,"SOURCE EMPTY / INDUSTRIAL ONLY",IF(MIN(K1292:T1292)=1,"SERVICE READY","HOLD"))</f>
        <v>SOURCE EMPTY / INDUSTRIAL ONLY</v>
      </c>
      <c r="V1292" s="9" t="n">
        <f aca="false">IF(U1292="SERVICE READY",1,0)</f>
        <v>0</v>
      </c>
      <c r="W1292" s="6"/>
      <c r="X1292" s="6"/>
      <c r="Y1292" s="6"/>
      <c r="Z1292" s="6"/>
    </row>
    <row r="1293" customFormat="false" ht="15" hidden="false" customHeight="false" outlineLevel="0" collapsed="false">
      <c r="A1293" s="9" t="s">
        <v>1525</v>
      </c>
      <c r="B1293" s="9" t="s">
        <v>1427</v>
      </c>
      <c r="C1293" s="9" t="s">
        <v>1428</v>
      </c>
      <c r="D1293" s="9" t="s">
        <v>1215</v>
      </c>
      <c r="E1293" s="9" t="s">
        <v>275</v>
      </c>
      <c r="F1293" s="9" t="s">
        <v>211</v>
      </c>
      <c r="G1293" s="9" t="s">
        <v>221</v>
      </c>
      <c r="H1293" s="9" t="n">
        <v>1350</v>
      </c>
      <c r="I1293" s="29" t="n">
        <v>3</v>
      </c>
      <c r="J1293" s="9" t="n">
        <v>0</v>
      </c>
      <c r="K1293" s="30"/>
      <c r="L1293" s="30"/>
      <c r="M1293" s="30"/>
      <c r="N1293" s="30"/>
      <c r="O1293" s="30"/>
      <c r="P1293" s="30"/>
      <c r="Q1293" s="30"/>
      <c r="R1293" s="30"/>
      <c r="S1293" s="30"/>
      <c r="T1293" s="30"/>
      <c r="U1293" s="21" t="str">
        <f aca="false">IF(COUNT(K1293:T1293)=0,"SOURCE EMPTY / INDUSTRIAL ONLY",IF(MIN(K1293:T1293)=1,"SERVICE READY","HOLD"))</f>
        <v>SOURCE EMPTY / INDUSTRIAL ONLY</v>
      </c>
      <c r="V1293" s="9" t="n">
        <f aca="false">IF(U1293="SERVICE READY",1,0)</f>
        <v>0</v>
      </c>
      <c r="W1293" s="6"/>
      <c r="X1293" s="6"/>
      <c r="Y1293" s="6"/>
      <c r="Z1293" s="6"/>
    </row>
    <row r="1294" customFormat="false" ht="15" hidden="false" customHeight="false" outlineLevel="0" collapsed="false">
      <c r="A1294" s="9" t="s">
        <v>1526</v>
      </c>
      <c r="B1294" s="9" t="s">
        <v>1427</v>
      </c>
      <c r="C1294" s="9" t="s">
        <v>1428</v>
      </c>
      <c r="D1294" s="9" t="s">
        <v>1215</v>
      </c>
      <c r="E1294" s="9" t="s">
        <v>275</v>
      </c>
      <c r="F1294" s="9" t="s">
        <v>197</v>
      </c>
      <c r="G1294" s="9" t="s">
        <v>221</v>
      </c>
      <c r="H1294" s="9" t="n">
        <v>1350</v>
      </c>
      <c r="I1294" s="29" t="n">
        <v>3</v>
      </c>
      <c r="J1294" s="9" t="n">
        <v>0</v>
      </c>
      <c r="K1294" s="30"/>
      <c r="L1294" s="30"/>
      <c r="M1294" s="30"/>
      <c r="N1294" s="30"/>
      <c r="O1294" s="30"/>
      <c r="P1294" s="30"/>
      <c r="Q1294" s="30"/>
      <c r="R1294" s="30"/>
      <c r="S1294" s="30"/>
      <c r="T1294" s="30"/>
      <c r="U1294" s="21" t="str">
        <f aca="false">IF(COUNT(K1294:T1294)=0,"SOURCE EMPTY / INDUSTRIAL ONLY",IF(MIN(K1294:T1294)=1,"SERVICE READY","HOLD"))</f>
        <v>SOURCE EMPTY / INDUSTRIAL ONLY</v>
      </c>
      <c r="V1294" s="9" t="n">
        <f aca="false">IF(U1294="SERVICE READY",1,0)</f>
        <v>0</v>
      </c>
      <c r="W1294" s="6"/>
      <c r="X1294" s="6"/>
      <c r="Y1294" s="6"/>
      <c r="Z1294" s="6"/>
    </row>
    <row r="1295" customFormat="false" ht="15" hidden="false" customHeight="false" outlineLevel="0" collapsed="false">
      <c r="A1295" s="9" t="s">
        <v>1527</v>
      </c>
      <c r="B1295" s="9" t="s">
        <v>1427</v>
      </c>
      <c r="C1295" s="9" t="s">
        <v>1428</v>
      </c>
      <c r="D1295" s="9" t="s">
        <v>1215</v>
      </c>
      <c r="E1295" s="9" t="s">
        <v>275</v>
      </c>
      <c r="F1295" s="9" t="s">
        <v>200</v>
      </c>
      <c r="G1295" s="9" t="s">
        <v>221</v>
      </c>
      <c r="H1295" s="9" t="n">
        <v>1350</v>
      </c>
      <c r="I1295" s="29" t="n">
        <v>3</v>
      </c>
      <c r="J1295" s="9" t="n">
        <v>0</v>
      </c>
      <c r="K1295" s="30"/>
      <c r="L1295" s="30"/>
      <c r="M1295" s="30"/>
      <c r="N1295" s="30"/>
      <c r="O1295" s="30"/>
      <c r="P1295" s="30"/>
      <c r="Q1295" s="30"/>
      <c r="R1295" s="30"/>
      <c r="S1295" s="30"/>
      <c r="T1295" s="30"/>
      <c r="U1295" s="21" t="str">
        <f aca="false">IF(COUNT(K1295:T1295)=0,"SOURCE EMPTY / INDUSTRIAL ONLY",IF(MIN(K1295:T1295)=1,"SERVICE READY","HOLD"))</f>
        <v>SOURCE EMPTY / INDUSTRIAL ONLY</v>
      </c>
      <c r="V1295" s="9" t="n">
        <f aca="false">IF(U1295="SERVICE READY",1,0)</f>
        <v>0</v>
      </c>
      <c r="W1295" s="6"/>
      <c r="X1295" s="6"/>
      <c r="Y1295" s="6"/>
      <c r="Z1295" s="6"/>
    </row>
    <row r="1296" customFormat="false" ht="15" hidden="false" customHeight="false" outlineLevel="0" collapsed="false">
      <c r="A1296" s="9" t="s">
        <v>1528</v>
      </c>
      <c r="B1296" s="9" t="s">
        <v>1427</v>
      </c>
      <c r="C1296" s="9" t="s">
        <v>1428</v>
      </c>
      <c r="D1296" s="9" t="s">
        <v>1215</v>
      </c>
      <c r="E1296" s="9" t="s">
        <v>275</v>
      </c>
      <c r="F1296" s="9" t="s">
        <v>203</v>
      </c>
      <c r="G1296" s="9" t="s">
        <v>221</v>
      </c>
      <c r="H1296" s="9" t="n">
        <v>1350</v>
      </c>
      <c r="I1296" s="29" t="n">
        <v>3</v>
      </c>
      <c r="J1296" s="9" t="n">
        <v>0</v>
      </c>
      <c r="K1296" s="30"/>
      <c r="L1296" s="30"/>
      <c r="M1296" s="30"/>
      <c r="N1296" s="30"/>
      <c r="O1296" s="30"/>
      <c r="P1296" s="30"/>
      <c r="Q1296" s="30"/>
      <c r="R1296" s="30"/>
      <c r="S1296" s="30"/>
      <c r="T1296" s="30"/>
      <c r="U1296" s="21" t="str">
        <f aca="false">IF(COUNT(K1296:T1296)=0,"SOURCE EMPTY / INDUSTRIAL ONLY",IF(MIN(K1296:T1296)=1,"SERVICE READY","HOLD"))</f>
        <v>SOURCE EMPTY / INDUSTRIAL ONLY</v>
      </c>
      <c r="V1296" s="9" t="n">
        <f aca="false">IF(U1296="SERVICE READY",1,0)</f>
        <v>0</v>
      </c>
      <c r="W1296" s="6"/>
      <c r="X1296" s="6"/>
      <c r="Y1296" s="6"/>
      <c r="Z1296" s="6"/>
    </row>
    <row r="1297" customFormat="false" ht="15" hidden="false" customHeight="false" outlineLevel="0" collapsed="false">
      <c r="A1297" s="9" t="s">
        <v>1529</v>
      </c>
      <c r="B1297" s="9" t="s">
        <v>1427</v>
      </c>
      <c r="C1297" s="9" t="s">
        <v>1428</v>
      </c>
      <c r="D1297" s="9" t="s">
        <v>1215</v>
      </c>
      <c r="E1297" s="9" t="s">
        <v>275</v>
      </c>
      <c r="F1297" s="9" t="s">
        <v>205</v>
      </c>
      <c r="G1297" s="9" t="s">
        <v>221</v>
      </c>
      <c r="H1297" s="9" t="n">
        <v>1350</v>
      </c>
      <c r="I1297" s="29" t="n">
        <v>3</v>
      </c>
      <c r="J1297" s="9" t="n">
        <v>0</v>
      </c>
      <c r="K1297" s="30"/>
      <c r="L1297" s="30"/>
      <c r="M1297" s="30"/>
      <c r="N1297" s="30"/>
      <c r="O1297" s="30"/>
      <c r="P1297" s="30"/>
      <c r="Q1297" s="30"/>
      <c r="R1297" s="30"/>
      <c r="S1297" s="30"/>
      <c r="T1297" s="30"/>
      <c r="U1297" s="21" t="str">
        <f aca="false">IF(COUNT(K1297:T1297)=0,"SOURCE EMPTY / INDUSTRIAL ONLY",IF(MIN(K1297:T1297)=1,"SERVICE READY","HOLD"))</f>
        <v>SOURCE EMPTY / INDUSTRIAL ONLY</v>
      </c>
      <c r="V1297" s="9" t="n">
        <f aca="false">IF(U1297="SERVICE READY",1,0)</f>
        <v>0</v>
      </c>
      <c r="W1297" s="6"/>
      <c r="X1297" s="6"/>
      <c r="Y1297" s="6"/>
      <c r="Z1297" s="6"/>
    </row>
    <row r="1298" customFormat="false" ht="15" hidden="false" customHeight="false" outlineLevel="0" collapsed="false">
      <c r="A1298" s="9" t="s">
        <v>1530</v>
      </c>
      <c r="B1298" s="9" t="s">
        <v>1427</v>
      </c>
      <c r="C1298" s="9" t="s">
        <v>1428</v>
      </c>
      <c r="D1298" s="9" t="s">
        <v>1215</v>
      </c>
      <c r="E1298" s="9" t="s">
        <v>275</v>
      </c>
      <c r="F1298" s="9" t="s">
        <v>207</v>
      </c>
      <c r="G1298" s="9" t="s">
        <v>221</v>
      </c>
      <c r="H1298" s="9" t="n">
        <v>1350</v>
      </c>
      <c r="I1298" s="29" t="n">
        <v>3</v>
      </c>
      <c r="J1298" s="9" t="n">
        <v>0</v>
      </c>
      <c r="K1298" s="30"/>
      <c r="L1298" s="30"/>
      <c r="M1298" s="30"/>
      <c r="N1298" s="30"/>
      <c r="O1298" s="30"/>
      <c r="P1298" s="30"/>
      <c r="Q1298" s="30"/>
      <c r="R1298" s="30"/>
      <c r="S1298" s="30"/>
      <c r="T1298" s="30"/>
      <c r="U1298" s="21" t="str">
        <f aca="false">IF(COUNT(K1298:T1298)=0,"SOURCE EMPTY / INDUSTRIAL ONLY",IF(MIN(K1298:T1298)=1,"SERVICE READY","HOLD"))</f>
        <v>SOURCE EMPTY / INDUSTRIAL ONLY</v>
      </c>
      <c r="V1298" s="9" t="n">
        <f aca="false">IF(U1298="SERVICE READY",1,0)</f>
        <v>0</v>
      </c>
      <c r="W1298" s="6"/>
      <c r="X1298" s="6"/>
      <c r="Y1298" s="6"/>
      <c r="Z1298" s="6"/>
    </row>
    <row r="1299" customFormat="false" ht="15" hidden="false" customHeight="false" outlineLevel="0" collapsed="false">
      <c r="A1299" s="9" t="s">
        <v>1531</v>
      </c>
      <c r="B1299" s="9" t="s">
        <v>1427</v>
      </c>
      <c r="C1299" s="9" t="s">
        <v>1428</v>
      </c>
      <c r="D1299" s="9" t="s">
        <v>1215</v>
      </c>
      <c r="E1299" s="9" t="s">
        <v>275</v>
      </c>
      <c r="F1299" s="9" t="s">
        <v>209</v>
      </c>
      <c r="G1299" s="9" t="s">
        <v>221</v>
      </c>
      <c r="H1299" s="9" t="n">
        <v>1350</v>
      </c>
      <c r="I1299" s="29" t="n">
        <v>3</v>
      </c>
      <c r="J1299" s="9" t="n">
        <v>0</v>
      </c>
      <c r="K1299" s="30"/>
      <c r="L1299" s="30"/>
      <c r="M1299" s="30"/>
      <c r="N1299" s="30"/>
      <c r="O1299" s="30"/>
      <c r="P1299" s="30"/>
      <c r="Q1299" s="30"/>
      <c r="R1299" s="30"/>
      <c r="S1299" s="30"/>
      <c r="T1299" s="30"/>
      <c r="U1299" s="21" t="str">
        <f aca="false">IF(COUNT(K1299:T1299)=0,"SOURCE EMPTY / INDUSTRIAL ONLY",IF(MIN(K1299:T1299)=1,"SERVICE READY","HOLD"))</f>
        <v>SOURCE EMPTY / INDUSTRIAL ONLY</v>
      </c>
      <c r="V1299" s="9" t="n">
        <f aca="false">IF(U1299="SERVICE READY",1,0)</f>
        <v>0</v>
      </c>
      <c r="W1299" s="6"/>
      <c r="X1299" s="6"/>
      <c r="Y1299" s="6"/>
      <c r="Z1299" s="6"/>
    </row>
    <row r="1300" customFormat="false" ht="15" hidden="false" customHeight="false" outlineLevel="0" collapsed="false">
      <c r="A1300" s="9" t="s">
        <v>1532</v>
      </c>
      <c r="B1300" s="9" t="s">
        <v>1427</v>
      </c>
      <c r="C1300" s="9" t="s">
        <v>1428</v>
      </c>
      <c r="D1300" s="9" t="s">
        <v>1215</v>
      </c>
      <c r="E1300" s="9" t="s">
        <v>275</v>
      </c>
      <c r="F1300" s="9" t="s">
        <v>211</v>
      </c>
      <c r="G1300" s="9" t="s">
        <v>221</v>
      </c>
      <c r="H1300" s="9" t="n">
        <v>1350</v>
      </c>
      <c r="I1300" s="29" t="n">
        <v>3</v>
      </c>
      <c r="J1300" s="9" t="n">
        <v>0</v>
      </c>
      <c r="K1300" s="30"/>
      <c r="L1300" s="30"/>
      <c r="M1300" s="30"/>
      <c r="N1300" s="30"/>
      <c r="O1300" s="30"/>
      <c r="P1300" s="30"/>
      <c r="Q1300" s="30"/>
      <c r="R1300" s="30"/>
      <c r="S1300" s="30"/>
      <c r="T1300" s="30"/>
      <c r="U1300" s="21" t="str">
        <f aca="false">IF(COUNT(K1300:T1300)=0,"SOURCE EMPTY / INDUSTRIAL ONLY",IF(MIN(K1300:T1300)=1,"SERVICE READY","HOLD"))</f>
        <v>SOURCE EMPTY / INDUSTRIAL ONLY</v>
      </c>
      <c r="V1300" s="9" t="n">
        <f aca="false">IF(U1300="SERVICE READY",1,0)</f>
        <v>0</v>
      </c>
      <c r="W1300" s="6"/>
      <c r="X1300" s="6"/>
      <c r="Y1300" s="6"/>
      <c r="Z1300" s="6"/>
    </row>
    <row r="1301" customFormat="false" ht="15" hidden="false" customHeight="false" outlineLevel="0" collapsed="false">
      <c r="A1301" s="9" t="s">
        <v>1533</v>
      </c>
      <c r="B1301" s="9" t="s">
        <v>1427</v>
      </c>
      <c r="C1301" s="9" t="s">
        <v>1428</v>
      </c>
      <c r="D1301" s="9" t="s">
        <v>1215</v>
      </c>
      <c r="E1301" s="9" t="s">
        <v>275</v>
      </c>
      <c r="F1301" s="9" t="s">
        <v>197</v>
      </c>
      <c r="G1301" s="9" t="s">
        <v>221</v>
      </c>
      <c r="H1301" s="9" t="n">
        <v>1350</v>
      </c>
      <c r="I1301" s="29" t="n">
        <v>3</v>
      </c>
      <c r="J1301" s="9" t="n">
        <v>0</v>
      </c>
      <c r="K1301" s="30"/>
      <c r="L1301" s="30"/>
      <c r="M1301" s="30"/>
      <c r="N1301" s="30"/>
      <c r="O1301" s="30"/>
      <c r="P1301" s="30"/>
      <c r="Q1301" s="30"/>
      <c r="R1301" s="30"/>
      <c r="S1301" s="30"/>
      <c r="T1301" s="30"/>
      <c r="U1301" s="21" t="str">
        <f aca="false">IF(COUNT(K1301:T1301)=0,"SOURCE EMPTY / INDUSTRIAL ONLY",IF(MIN(K1301:T1301)=1,"SERVICE READY","HOLD"))</f>
        <v>SOURCE EMPTY / INDUSTRIAL ONLY</v>
      </c>
      <c r="V1301" s="9" t="n">
        <f aca="false">IF(U1301="SERVICE READY",1,0)</f>
        <v>0</v>
      </c>
      <c r="W1301" s="6"/>
      <c r="X1301" s="6"/>
      <c r="Y1301" s="6"/>
      <c r="Z1301" s="6"/>
    </row>
    <row r="1302" customFormat="false" ht="15" hidden="false" customHeight="false" outlineLevel="0" collapsed="false">
      <c r="A1302" s="9" t="s">
        <v>1534</v>
      </c>
      <c r="B1302" s="9" t="s">
        <v>1427</v>
      </c>
      <c r="C1302" s="9" t="s">
        <v>1428</v>
      </c>
      <c r="D1302" s="9" t="s">
        <v>1215</v>
      </c>
      <c r="E1302" s="9" t="s">
        <v>275</v>
      </c>
      <c r="F1302" s="9" t="s">
        <v>200</v>
      </c>
      <c r="G1302" s="9" t="s">
        <v>221</v>
      </c>
      <c r="H1302" s="9" t="n">
        <v>1350</v>
      </c>
      <c r="I1302" s="29" t="n">
        <v>3</v>
      </c>
      <c r="J1302" s="9" t="n">
        <v>0</v>
      </c>
      <c r="K1302" s="30"/>
      <c r="L1302" s="30"/>
      <c r="M1302" s="30"/>
      <c r="N1302" s="30"/>
      <c r="O1302" s="30"/>
      <c r="P1302" s="30"/>
      <c r="Q1302" s="30"/>
      <c r="R1302" s="30"/>
      <c r="S1302" s="30"/>
      <c r="T1302" s="30"/>
      <c r="U1302" s="21" t="str">
        <f aca="false">IF(COUNT(K1302:T1302)=0,"SOURCE EMPTY / INDUSTRIAL ONLY",IF(MIN(K1302:T1302)=1,"SERVICE READY","HOLD"))</f>
        <v>SOURCE EMPTY / INDUSTRIAL ONLY</v>
      </c>
      <c r="V1302" s="9" t="n">
        <f aca="false">IF(U1302="SERVICE READY",1,0)</f>
        <v>0</v>
      </c>
      <c r="W1302" s="6"/>
      <c r="X1302" s="6"/>
      <c r="Y1302" s="6"/>
      <c r="Z1302" s="6"/>
    </row>
    <row r="1303" customFormat="false" ht="15" hidden="false" customHeight="false" outlineLevel="0" collapsed="false">
      <c r="A1303" s="9" t="s">
        <v>1535</v>
      </c>
      <c r="B1303" s="9" t="s">
        <v>1427</v>
      </c>
      <c r="C1303" s="9" t="s">
        <v>1428</v>
      </c>
      <c r="D1303" s="9" t="s">
        <v>1215</v>
      </c>
      <c r="E1303" s="9" t="s">
        <v>275</v>
      </c>
      <c r="F1303" s="9" t="s">
        <v>203</v>
      </c>
      <c r="G1303" s="9" t="s">
        <v>221</v>
      </c>
      <c r="H1303" s="9" t="n">
        <v>1350</v>
      </c>
      <c r="I1303" s="29" t="n">
        <v>3</v>
      </c>
      <c r="J1303" s="9" t="n">
        <v>0</v>
      </c>
      <c r="K1303" s="30"/>
      <c r="L1303" s="30"/>
      <c r="M1303" s="30"/>
      <c r="N1303" s="30"/>
      <c r="O1303" s="30"/>
      <c r="P1303" s="30"/>
      <c r="Q1303" s="30"/>
      <c r="R1303" s="30"/>
      <c r="S1303" s="30"/>
      <c r="T1303" s="30"/>
      <c r="U1303" s="21" t="str">
        <f aca="false">IF(COUNT(K1303:T1303)=0,"SOURCE EMPTY / INDUSTRIAL ONLY",IF(MIN(K1303:T1303)=1,"SERVICE READY","HOLD"))</f>
        <v>SOURCE EMPTY / INDUSTRIAL ONLY</v>
      </c>
      <c r="V1303" s="9" t="n">
        <f aca="false">IF(U1303="SERVICE READY",1,0)</f>
        <v>0</v>
      </c>
      <c r="W1303" s="6"/>
      <c r="X1303" s="6"/>
      <c r="Y1303" s="6"/>
      <c r="Z1303" s="6"/>
    </row>
    <row r="1304" customFormat="false" ht="15" hidden="false" customHeight="false" outlineLevel="0" collapsed="false">
      <c r="A1304" s="9" t="s">
        <v>1536</v>
      </c>
      <c r="B1304" s="9" t="s">
        <v>1427</v>
      </c>
      <c r="C1304" s="9" t="s">
        <v>1428</v>
      </c>
      <c r="D1304" s="9" t="s">
        <v>1215</v>
      </c>
      <c r="E1304" s="9" t="s">
        <v>275</v>
      </c>
      <c r="F1304" s="9" t="s">
        <v>205</v>
      </c>
      <c r="G1304" s="9" t="s">
        <v>221</v>
      </c>
      <c r="H1304" s="9" t="n">
        <v>1350</v>
      </c>
      <c r="I1304" s="29" t="n">
        <v>3</v>
      </c>
      <c r="J1304" s="9" t="n">
        <v>0</v>
      </c>
      <c r="K1304" s="30"/>
      <c r="L1304" s="30"/>
      <c r="M1304" s="30"/>
      <c r="N1304" s="30"/>
      <c r="O1304" s="30"/>
      <c r="P1304" s="30"/>
      <c r="Q1304" s="30"/>
      <c r="R1304" s="30"/>
      <c r="S1304" s="30"/>
      <c r="T1304" s="30"/>
      <c r="U1304" s="21" t="str">
        <f aca="false">IF(COUNT(K1304:T1304)=0,"SOURCE EMPTY / INDUSTRIAL ONLY",IF(MIN(K1304:T1304)=1,"SERVICE READY","HOLD"))</f>
        <v>SOURCE EMPTY / INDUSTRIAL ONLY</v>
      </c>
      <c r="V1304" s="9" t="n">
        <f aca="false">IF(U1304="SERVICE READY",1,0)</f>
        <v>0</v>
      </c>
      <c r="W1304" s="6"/>
      <c r="X1304" s="6"/>
      <c r="Y1304" s="6"/>
      <c r="Z1304" s="6"/>
    </row>
    <row r="1305" customFormat="false" ht="15" hidden="false" customHeight="false" outlineLevel="0" collapsed="false">
      <c r="A1305" s="9" t="s">
        <v>1537</v>
      </c>
      <c r="B1305" s="9" t="s">
        <v>1427</v>
      </c>
      <c r="C1305" s="9" t="s">
        <v>1428</v>
      </c>
      <c r="D1305" s="9" t="s">
        <v>1215</v>
      </c>
      <c r="E1305" s="9" t="s">
        <v>275</v>
      </c>
      <c r="F1305" s="9" t="s">
        <v>207</v>
      </c>
      <c r="G1305" s="9" t="s">
        <v>221</v>
      </c>
      <c r="H1305" s="9" t="n">
        <v>1350</v>
      </c>
      <c r="I1305" s="29" t="n">
        <v>3</v>
      </c>
      <c r="J1305" s="9" t="n">
        <v>0</v>
      </c>
      <c r="K1305" s="30"/>
      <c r="L1305" s="30"/>
      <c r="M1305" s="30"/>
      <c r="N1305" s="30"/>
      <c r="O1305" s="30"/>
      <c r="P1305" s="30"/>
      <c r="Q1305" s="30"/>
      <c r="R1305" s="30"/>
      <c r="S1305" s="30"/>
      <c r="T1305" s="30"/>
      <c r="U1305" s="21" t="str">
        <f aca="false">IF(COUNT(K1305:T1305)=0,"SOURCE EMPTY / INDUSTRIAL ONLY",IF(MIN(K1305:T1305)=1,"SERVICE READY","HOLD"))</f>
        <v>SOURCE EMPTY / INDUSTRIAL ONLY</v>
      </c>
      <c r="V1305" s="9" t="n">
        <f aca="false">IF(U1305="SERVICE READY",1,0)</f>
        <v>0</v>
      </c>
      <c r="W1305" s="6"/>
      <c r="X1305" s="6"/>
      <c r="Y1305" s="6"/>
      <c r="Z1305" s="6"/>
    </row>
    <row r="1306" customFormat="false" ht="15" hidden="false" customHeight="false" outlineLevel="0" collapsed="false">
      <c r="A1306" s="9" t="s">
        <v>1538</v>
      </c>
      <c r="B1306" s="9" t="s">
        <v>1427</v>
      </c>
      <c r="C1306" s="9" t="s">
        <v>1428</v>
      </c>
      <c r="D1306" s="9" t="s">
        <v>1215</v>
      </c>
      <c r="E1306" s="9" t="s">
        <v>275</v>
      </c>
      <c r="F1306" s="9" t="s">
        <v>209</v>
      </c>
      <c r="G1306" s="9" t="s">
        <v>221</v>
      </c>
      <c r="H1306" s="9" t="n">
        <v>1350</v>
      </c>
      <c r="I1306" s="29" t="n">
        <v>3</v>
      </c>
      <c r="J1306" s="9" t="n">
        <v>0</v>
      </c>
      <c r="K1306" s="30"/>
      <c r="L1306" s="30"/>
      <c r="M1306" s="30"/>
      <c r="N1306" s="30"/>
      <c r="O1306" s="30"/>
      <c r="P1306" s="30"/>
      <c r="Q1306" s="30"/>
      <c r="R1306" s="30"/>
      <c r="S1306" s="30"/>
      <c r="T1306" s="30"/>
      <c r="U1306" s="21" t="str">
        <f aca="false">IF(COUNT(K1306:T1306)=0,"SOURCE EMPTY / INDUSTRIAL ONLY",IF(MIN(K1306:T1306)=1,"SERVICE READY","HOLD"))</f>
        <v>SOURCE EMPTY / INDUSTRIAL ONLY</v>
      </c>
      <c r="V1306" s="9" t="n">
        <f aca="false">IF(U1306="SERVICE READY",1,0)</f>
        <v>0</v>
      </c>
      <c r="W1306" s="6"/>
      <c r="X1306" s="6"/>
      <c r="Y1306" s="6"/>
      <c r="Z1306" s="6"/>
    </row>
    <row r="1307" customFormat="false" ht="15" hidden="false" customHeight="false" outlineLevel="0" collapsed="false">
      <c r="A1307" s="9" t="s">
        <v>1539</v>
      </c>
      <c r="B1307" s="9" t="s">
        <v>1427</v>
      </c>
      <c r="C1307" s="9" t="s">
        <v>1428</v>
      </c>
      <c r="D1307" s="9" t="s">
        <v>1215</v>
      </c>
      <c r="E1307" s="9" t="s">
        <v>275</v>
      </c>
      <c r="F1307" s="9" t="s">
        <v>211</v>
      </c>
      <c r="G1307" s="9" t="s">
        <v>221</v>
      </c>
      <c r="H1307" s="9" t="n">
        <v>1350</v>
      </c>
      <c r="I1307" s="29" t="n">
        <v>3</v>
      </c>
      <c r="J1307" s="9" t="n">
        <v>0</v>
      </c>
      <c r="K1307" s="30"/>
      <c r="L1307" s="30"/>
      <c r="M1307" s="30"/>
      <c r="N1307" s="30"/>
      <c r="O1307" s="30"/>
      <c r="P1307" s="30"/>
      <c r="Q1307" s="30"/>
      <c r="R1307" s="30"/>
      <c r="S1307" s="30"/>
      <c r="T1307" s="30"/>
      <c r="U1307" s="21" t="str">
        <f aca="false">IF(COUNT(K1307:T1307)=0,"SOURCE EMPTY / INDUSTRIAL ONLY",IF(MIN(K1307:T1307)=1,"SERVICE READY","HOLD"))</f>
        <v>SOURCE EMPTY / INDUSTRIAL ONLY</v>
      </c>
      <c r="V1307" s="9" t="n">
        <f aca="false">IF(U1307="SERVICE READY",1,0)</f>
        <v>0</v>
      </c>
      <c r="W1307" s="6"/>
      <c r="X1307" s="6"/>
      <c r="Y1307" s="6"/>
      <c r="Z1307" s="6"/>
    </row>
    <row r="1308" customFormat="false" ht="15" hidden="false" customHeight="false" outlineLevel="0" collapsed="false">
      <c r="A1308" s="9" t="s">
        <v>1540</v>
      </c>
      <c r="B1308" s="9" t="s">
        <v>1427</v>
      </c>
      <c r="C1308" s="9" t="s">
        <v>1428</v>
      </c>
      <c r="D1308" s="9" t="s">
        <v>1215</v>
      </c>
      <c r="E1308" s="9" t="s">
        <v>275</v>
      </c>
      <c r="F1308" s="9" t="s">
        <v>197</v>
      </c>
      <c r="G1308" s="9" t="s">
        <v>221</v>
      </c>
      <c r="H1308" s="9" t="n">
        <v>1350</v>
      </c>
      <c r="I1308" s="29" t="n">
        <v>3</v>
      </c>
      <c r="J1308" s="9" t="n">
        <v>0</v>
      </c>
      <c r="K1308" s="30"/>
      <c r="L1308" s="30"/>
      <c r="M1308" s="30"/>
      <c r="N1308" s="30"/>
      <c r="O1308" s="30"/>
      <c r="P1308" s="30"/>
      <c r="Q1308" s="30"/>
      <c r="R1308" s="30"/>
      <c r="S1308" s="30"/>
      <c r="T1308" s="30"/>
      <c r="U1308" s="21" t="str">
        <f aca="false">IF(COUNT(K1308:T1308)=0,"SOURCE EMPTY / INDUSTRIAL ONLY",IF(MIN(K1308:T1308)=1,"SERVICE READY","HOLD"))</f>
        <v>SOURCE EMPTY / INDUSTRIAL ONLY</v>
      </c>
      <c r="V1308" s="9" t="n">
        <f aca="false">IF(U1308="SERVICE READY",1,0)</f>
        <v>0</v>
      </c>
      <c r="W1308" s="6"/>
      <c r="X1308" s="6"/>
      <c r="Y1308" s="6"/>
      <c r="Z1308" s="6"/>
    </row>
    <row r="1309" customFormat="false" ht="15" hidden="false" customHeight="false" outlineLevel="0" collapsed="false">
      <c r="A1309" s="9" t="s">
        <v>1541</v>
      </c>
      <c r="B1309" s="9" t="s">
        <v>1427</v>
      </c>
      <c r="C1309" s="9" t="s">
        <v>1428</v>
      </c>
      <c r="D1309" s="9" t="s">
        <v>1215</v>
      </c>
      <c r="E1309" s="9" t="s">
        <v>275</v>
      </c>
      <c r="F1309" s="9" t="s">
        <v>200</v>
      </c>
      <c r="G1309" s="9" t="s">
        <v>221</v>
      </c>
      <c r="H1309" s="9" t="n">
        <v>1350</v>
      </c>
      <c r="I1309" s="29" t="n">
        <v>3</v>
      </c>
      <c r="J1309" s="9" t="n">
        <v>0</v>
      </c>
      <c r="K1309" s="30"/>
      <c r="L1309" s="30"/>
      <c r="M1309" s="30"/>
      <c r="N1309" s="30"/>
      <c r="O1309" s="30"/>
      <c r="P1309" s="30"/>
      <c r="Q1309" s="30"/>
      <c r="R1309" s="30"/>
      <c r="S1309" s="30"/>
      <c r="T1309" s="30"/>
      <c r="U1309" s="21" t="str">
        <f aca="false">IF(COUNT(K1309:T1309)=0,"SOURCE EMPTY / INDUSTRIAL ONLY",IF(MIN(K1309:T1309)=1,"SERVICE READY","HOLD"))</f>
        <v>SOURCE EMPTY / INDUSTRIAL ONLY</v>
      </c>
      <c r="V1309" s="9" t="n">
        <f aca="false">IF(U1309="SERVICE READY",1,0)</f>
        <v>0</v>
      </c>
      <c r="W1309" s="6"/>
      <c r="X1309" s="6"/>
      <c r="Y1309" s="6"/>
      <c r="Z1309" s="6"/>
    </row>
    <row r="1310" customFormat="false" ht="15" hidden="false" customHeight="false" outlineLevel="0" collapsed="false">
      <c r="A1310" s="9" t="s">
        <v>1542</v>
      </c>
      <c r="B1310" s="9" t="s">
        <v>1427</v>
      </c>
      <c r="C1310" s="9" t="s">
        <v>1428</v>
      </c>
      <c r="D1310" s="9" t="s">
        <v>1215</v>
      </c>
      <c r="E1310" s="9" t="s">
        <v>275</v>
      </c>
      <c r="F1310" s="9" t="s">
        <v>203</v>
      </c>
      <c r="G1310" s="9" t="s">
        <v>221</v>
      </c>
      <c r="H1310" s="9" t="n">
        <v>1350</v>
      </c>
      <c r="I1310" s="29" t="n">
        <v>3</v>
      </c>
      <c r="J1310" s="9" t="n">
        <v>0</v>
      </c>
      <c r="K1310" s="30"/>
      <c r="L1310" s="30"/>
      <c r="M1310" s="30"/>
      <c r="N1310" s="30"/>
      <c r="O1310" s="30"/>
      <c r="P1310" s="30"/>
      <c r="Q1310" s="30"/>
      <c r="R1310" s="30"/>
      <c r="S1310" s="30"/>
      <c r="T1310" s="30"/>
      <c r="U1310" s="21" t="str">
        <f aca="false">IF(COUNT(K1310:T1310)=0,"SOURCE EMPTY / INDUSTRIAL ONLY",IF(MIN(K1310:T1310)=1,"SERVICE READY","HOLD"))</f>
        <v>SOURCE EMPTY / INDUSTRIAL ONLY</v>
      </c>
      <c r="V1310" s="9" t="n">
        <f aca="false">IF(U1310="SERVICE READY",1,0)</f>
        <v>0</v>
      </c>
      <c r="W1310" s="6"/>
      <c r="X1310" s="6"/>
      <c r="Y1310" s="6"/>
      <c r="Z1310" s="6"/>
    </row>
    <row r="1311" customFormat="false" ht="15" hidden="false" customHeight="false" outlineLevel="0" collapsed="false">
      <c r="A1311" s="9" t="s">
        <v>1543</v>
      </c>
      <c r="B1311" s="9" t="s">
        <v>1427</v>
      </c>
      <c r="C1311" s="9" t="s">
        <v>1428</v>
      </c>
      <c r="D1311" s="9" t="s">
        <v>1215</v>
      </c>
      <c r="E1311" s="9" t="s">
        <v>275</v>
      </c>
      <c r="F1311" s="9" t="s">
        <v>205</v>
      </c>
      <c r="G1311" s="9" t="s">
        <v>221</v>
      </c>
      <c r="H1311" s="9" t="n">
        <v>1350</v>
      </c>
      <c r="I1311" s="29" t="n">
        <v>3</v>
      </c>
      <c r="J1311" s="9" t="n">
        <v>0</v>
      </c>
      <c r="K1311" s="30"/>
      <c r="L1311" s="30"/>
      <c r="M1311" s="30"/>
      <c r="N1311" s="30"/>
      <c r="O1311" s="30"/>
      <c r="P1311" s="30"/>
      <c r="Q1311" s="30"/>
      <c r="R1311" s="30"/>
      <c r="S1311" s="30"/>
      <c r="T1311" s="30"/>
      <c r="U1311" s="21" t="str">
        <f aca="false">IF(COUNT(K1311:T1311)=0,"SOURCE EMPTY / INDUSTRIAL ONLY",IF(MIN(K1311:T1311)=1,"SERVICE READY","HOLD"))</f>
        <v>SOURCE EMPTY / INDUSTRIAL ONLY</v>
      </c>
      <c r="V1311" s="9" t="n">
        <f aca="false">IF(U1311="SERVICE READY",1,0)</f>
        <v>0</v>
      </c>
      <c r="W1311" s="6"/>
      <c r="X1311" s="6"/>
      <c r="Y1311" s="6"/>
      <c r="Z1311" s="6"/>
    </row>
    <row r="1312" customFormat="false" ht="15" hidden="false" customHeight="false" outlineLevel="0" collapsed="false">
      <c r="A1312" s="9" t="s">
        <v>1544</v>
      </c>
      <c r="B1312" s="9" t="s">
        <v>1427</v>
      </c>
      <c r="C1312" s="9" t="s">
        <v>1428</v>
      </c>
      <c r="D1312" s="9" t="s">
        <v>1215</v>
      </c>
      <c r="E1312" s="9" t="s">
        <v>275</v>
      </c>
      <c r="F1312" s="9" t="s">
        <v>207</v>
      </c>
      <c r="G1312" s="9" t="s">
        <v>221</v>
      </c>
      <c r="H1312" s="9" t="n">
        <v>1350</v>
      </c>
      <c r="I1312" s="29" t="n">
        <v>3</v>
      </c>
      <c r="J1312" s="9" t="n">
        <v>0</v>
      </c>
      <c r="K1312" s="30"/>
      <c r="L1312" s="30"/>
      <c r="M1312" s="30"/>
      <c r="N1312" s="30"/>
      <c r="O1312" s="30"/>
      <c r="P1312" s="30"/>
      <c r="Q1312" s="30"/>
      <c r="R1312" s="30"/>
      <c r="S1312" s="30"/>
      <c r="T1312" s="30"/>
      <c r="U1312" s="21" t="str">
        <f aca="false">IF(COUNT(K1312:T1312)=0,"SOURCE EMPTY / INDUSTRIAL ONLY",IF(MIN(K1312:T1312)=1,"SERVICE READY","HOLD"))</f>
        <v>SOURCE EMPTY / INDUSTRIAL ONLY</v>
      </c>
      <c r="V1312" s="9" t="n">
        <f aca="false">IF(U1312="SERVICE READY",1,0)</f>
        <v>0</v>
      </c>
      <c r="W1312" s="6"/>
      <c r="X1312" s="6"/>
      <c r="Y1312" s="6"/>
      <c r="Z1312" s="6"/>
    </row>
    <row r="1313" customFormat="false" ht="15" hidden="false" customHeight="false" outlineLevel="0" collapsed="false">
      <c r="A1313" s="9" t="s">
        <v>1545</v>
      </c>
      <c r="B1313" s="9" t="s">
        <v>1427</v>
      </c>
      <c r="C1313" s="9" t="s">
        <v>1428</v>
      </c>
      <c r="D1313" s="9" t="s">
        <v>1215</v>
      </c>
      <c r="E1313" s="9" t="s">
        <v>275</v>
      </c>
      <c r="F1313" s="9" t="s">
        <v>209</v>
      </c>
      <c r="G1313" s="9" t="s">
        <v>221</v>
      </c>
      <c r="H1313" s="9" t="n">
        <v>1350</v>
      </c>
      <c r="I1313" s="29" t="n">
        <v>3</v>
      </c>
      <c r="J1313" s="9" t="n">
        <v>0</v>
      </c>
      <c r="K1313" s="30"/>
      <c r="L1313" s="30"/>
      <c r="M1313" s="30"/>
      <c r="N1313" s="30"/>
      <c r="O1313" s="30"/>
      <c r="P1313" s="30"/>
      <c r="Q1313" s="30"/>
      <c r="R1313" s="30"/>
      <c r="S1313" s="30"/>
      <c r="T1313" s="30"/>
      <c r="U1313" s="21" t="str">
        <f aca="false">IF(COUNT(K1313:T1313)=0,"SOURCE EMPTY / INDUSTRIAL ONLY",IF(MIN(K1313:T1313)=1,"SERVICE READY","HOLD"))</f>
        <v>SOURCE EMPTY / INDUSTRIAL ONLY</v>
      </c>
      <c r="V1313" s="9" t="n">
        <f aca="false">IF(U1313="SERVICE READY",1,0)</f>
        <v>0</v>
      </c>
      <c r="W1313" s="6"/>
      <c r="X1313" s="6"/>
      <c r="Y1313" s="6"/>
      <c r="Z1313" s="6"/>
    </row>
    <row r="1314" customFormat="false" ht="15" hidden="false" customHeight="false" outlineLevel="0" collapsed="false">
      <c r="A1314" s="9" t="s">
        <v>1546</v>
      </c>
      <c r="B1314" s="9" t="s">
        <v>1427</v>
      </c>
      <c r="C1314" s="9" t="s">
        <v>1428</v>
      </c>
      <c r="D1314" s="9" t="s">
        <v>1215</v>
      </c>
      <c r="E1314" s="9" t="s">
        <v>275</v>
      </c>
      <c r="F1314" s="9" t="s">
        <v>211</v>
      </c>
      <c r="G1314" s="9" t="s">
        <v>221</v>
      </c>
      <c r="H1314" s="9" t="n">
        <v>1350</v>
      </c>
      <c r="I1314" s="29" t="n">
        <v>3</v>
      </c>
      <c r="J1314" s="9" t="n">
        <v>0</v>
      </c>
      <c r="K1314" s="30"/>
      <c r="L1314" s="30"/>
      <c r="M1314" s="30"/>
      <c r="N1314" s="30"/>
      <c r="O1314" s="30"/>
      <c r="P1314" s="30"/>
      <c r="Q1314" s="30"/>
      <c r="R1314" s="30"/>
      <c r="S1314" s="30"/>
      <c r="T1314" s="30"/>
      <c r="U1314" s="21" t="str">
        <f aca="false">IF(COUNT(K1314:T1314)=0,"SOURCE EMPTY / INDUSTRIAL ONLY",IF(MIN(K1314:T1314)=1,"SERVICE READY","HOLD"))</f>
        <v>SOURCE EMPTY / INDUSTRIAL ONLY</v>
      </c>
      <c r="V1314" s="9" t="n">
        <f aca="false">IF(U1314="SERVICE READY",1,0)</f>
        <v>0</v>
      </c>
      <c r="W1314" s="6"/>
      <c r="X1314" s="6"/>
      <c r="Y1314" s="6"/>
      <c r="Z1314" s="6"/>
    </row>
    <row r="1315" customFormat="false" ht="15" hidden="false" customHeight="false" outlineLevel="0" collapsed="false">
      <c r="A1315" s="9" t="s">
        <v>1547</v>
      </c>
      <c r="B1315" s="9" t="s">
        <v>1427</v>
      </c>
      <c r="C1315" s="9" t="s">
        <v>1428</v>
      </c>
      <c r="D1315" s="9" t="s">
        <v>1215</v>
      </c>
      <c r="E1315" s="9" t="s">
        <v>275</v>
      </c>
      <c r="F1315" s="9" t="s">
        <v>197</v>
      </c>
      <c r="G1315" s="9" t="s">
        <v>221</v>
      </c>
      <c r="H1315" s="9" t="n">
        <v>1350</v>
      </c>
      <c r="I1315" s="29" t="n">
        <v>3</v>
      </c>
      <c r="J1315" s="9" t="n">
        <v>0</v>
      </c>
      <c r="K1315" s="30"/>
      <c r="L1315" s="30"/>
      <c r="M1315" s="30"/>
      <c r="N1315" s="30"/>
      <c r="O1315" s="30"/>
      <c r="P1315" s="30"/>
      <c r="Q1315" s="30"/>
      <c r="R1315" s="30"/>
      <c r="S1315" s="30"/>
      <c r="T1315" s="30"/>
      <c r="U1315" s="21" t="str">
        <f aca="false">IF(COUNT(K1315:T1315)=0,"SOURCE EMPTY / INDUSTRIAL ONLY",IF(MIN(K1315:T1315)=1,"SERVICE READY","HOLD"))</f>
        <v>SOURCE EMPTY / INDUSTRIAL ONLY</v>
      </c>
      <c r="V1315" s="9" t="n">
        <f aca="false">IF(U1315="SERVICE READY",1,0)</f>
        <v>0</v>
      </c>
      <c r="W1315" s="6"/>
      <c r="X1315" s="6"/>
      <c r="Y1315" s="6"/>
      <c r="Z1315" s="6"/>
    </row>
    <row r="1316" customFormat="false" ht="15" hidden="false" customHeight="false" outlineLevel="0" collapsed="false">
      <c r="A1316" s="9" t="s">
        <v>1548</v>
      </c>
      <c r="B1316" s="9" t="s">
        <v>1427</v>
      </c>
      <c r="C1316" s="9" t="s">
        <v>1428</v>
      </c>
      <c r="D1316" s="9" t="s">
        <v>1215</v>
      </c>
      <c r="E1316" s="9" t="s">
        <v>275</v>
      </c>
      <c r="F1316" s="9" t="s">
        <v>200</v>
      </c>
      <c r="G1316" s="9" t="s">
        <v>221</v>
      </c>
      <c r="H1316" s="9" t="n">
        <v>1350</v>
      </c>
      <c r="I1316" s="29" t="n">
        <v>3</v>
      </c>
      <c r="J1316" s="9" t="n">
        <v>0</v>
      </c>
      <c r="K1316" s="30"/>
      <c r="L1316" s="30"/>
      <c r="M1316" s="30"/>
      <c r="N1316" s="30"/>
      <c r="O1316" s="30"/>
      <c r="P1316" s="30"/>
      <c r="Q1316" s="30"/>
      <c r="R1316" s="30"/>
      <c r="S1316" s="30"/>
      <c r="T1316" s="30"/>
      <c r="U1316" s="21" t="str">
        <f aca="false">IF(COUNT(K1316:T1316)=0,"SOURCE EMPTY / INDUSTRIAL ONLY",IF(MIN(K1316:T1316)=1,"SERVICE READY","HOLD"))</f>
        <v>SOURCE EMPTY / INDUSTRIAL ONLY</v>
      </c>
      <c r="V1316" s="9" t="n">
        <f aca="false">IF(U1316="SERVICE READY",1,0)</f>
        <v>0</v>
      </c>
      <c r="W1316" s="6"/>
      <c r="X1316" s="6"/>
      <c r="Y1316" s="6"/>
      <c r="Z1316" s="6"/>
    </row>
    <row r="1317" customFormat="false" ht="15" hidden="false" customHeight="false" outlineLevel="0" collapsed="false">
      <c r="A1317" s="9" t="s">
        <v>1549</v>
      </c>
      <c r="B1317" s="9" t="s">
        <v>1427</v>
      </c>
      <c r="C1317" s="9" t="s">
        <v>1428</v>
      </c>
      <c r="D1317" s="9" t="s">
        <v>1215</v>
      </c>
      <c r="E1317" s="9" t="s">
        <v>275</v>
      </c>
      <c r="F1317" s="9" t="s">
        <v>203</v>
      </c>
      <c r="G1317" s="9" t="s">
        <v>221</v>
      </c>
      <c r="H1317" s="9" t="n">
        <v>1350</v>
      </c>
      <c r="I1317" s="29" t="n">
        <v>3</v>
      </c>
      <c r="J1317" s="9" t="n">
        <v>0</v>
      </c>
      <c r="K1317" s="30"/>
      <c r="L1317" s="30"/>
      <c r="M1317" s="30"/>
      <c r="N1317" s="30"/>
      <c r="O1317" s="30"/>
      <c r="P1317" s="30"/>
      <c r="Q1317" s="30"/>
      <c r="R1317" s="30"/>
      <c r="S1317" s="30"/>
      <c r="T1317" s="30"/>
      <c r="U1317" s="21" t="str">
        <f aca="false">IF(COUNT(K1317:T1317)=0,"SOURCE EMPTY / INDUSTRIAL ONLY",IF(MIN(K1317:T1317)=1,"SERVICE READY","HOLD"))</f>
        <v>SOURCE EMPTY / INDUSTRIAL ONLY</v>
      </c>
      <c r="V1317" s="9" t="n">
        <f aca="false">IF(U1317="SERVICE READY",1,0)</f>
        <v>0</v>
      </c>
      <c r="W1317" s="6"/>
      <c r="X1317" s="6"/>
      <c r="Y1317" s="6"/>
      <c r="Z1317" s="6"/>
    </row>
    <row r="1318" customFormat="false" ht="15" hidden="false" customHeight="false" outlineLevel="0" collapsed="false">
      <c r="A1318" s="9" t="s">
        <v>1550</v>
      </c>
      <c r="B1318" s="9" t="s">
        <v>1427</v>
      </c>
      <c r="C1318" s="9" t="s">
        <v>1428</v>
      </c>
      <c r="D1318" s="9" t="s">
        <v>1215</v>
      </c>
      <c r="E1318" s="9" t="s">
        <v>275</v>
      </c>
      <c r="F1318" s="9" t="s">
        <v>205</v>
      </c>
      <c r="G1318" s="9" t="s">
        <v>221</v>
      </c>
      <c r="H1318" s="9" t="n">
        <v>1350</v>
      </c>
      <c r="I1318" s="29" t="n">
        <v>3</v>
      </c>
      <c r="J1318" s="9" t="n">
        <v>0</v>
      </c>
      <c r="K1318" s="30"/>
      <c r="L1318" s="30"/>
      <c r="M1318" s="30"/>
      <c r="N1318" s="30"/>
      <c r="O1318" s="30"/>
      <c r="P1318" s="30"/>
      <c r="Q1318" s="30"/>
      <c r="R1318" s="30"/>
      <c r="S1318" s="30"/>
      <c r="T1318" s="30"/>
      <c r="U1318" s="21" t="str">
        <f aca="false">IF(COUNT(K1318:T1318)=0,"SOURCE EMPTY / INDUSTRIAL ONLY",IF(MIN(K1318:T1318)=1,"SERVICE READY","HOLD"))</f>
        <v>SOURCE EMPTY / INDUSTRIAL ONLY</v>
      </c>
      <c r="V1318" s="9" t="n">
        <f aca="false">IF(U1318="SERVICE READY",1,0)</f>
        <v>0</v>
      </c>
      <c r="W1318" s="6"/>
      <c r="X1318" s="6"/>
      <c r="Y1318" s="6"/>
      <c r="Z1318" s="6"/>
    </row>
    <row r="1319" customFormat="false" ht="15" hidden="false" customHeight="false" outlineLevel="0" collapsed="false">
      <c r="A1319" s="9" t="s">
        <v>1551</v>
      </c>
      <c r="B1319" s="9" t="s">
        <v>1427</v>
      </c>
      <c r="C1319" s="9" t="s">
        <v>1428</v>
      </c>
      <c r="D1319" s="9" t="s">
        <v>1215</v>
      </c>
      <c r="E1319" s="9" t="s">
        <v>275</v>
      </c>
      <c r="F1319" s="9" t="s">
        <v>207</v>
      </c>
      <c r="G1319" s="9" t="s">
        <v>221</v>
      </c>
      <c r="H1319" s="9" t="n">
        <v>1350</v>
      </c>
      <c r="I1319" s="29" t="n">
        <v>3</v>
      </c>
      <c r="J1319" s="9" t="n">
        <v>0</v>
      </c>
      <c r="K1319" s="30"/>
      <c r="L1319" s="30"/>
      <c r="M1319" s="30"/>
      <c r="N1319" s="30"/>
      <c r="O1319" s="30"/>
      <c r="P1319" s="30"/>
      <c r="Q1319" s="30"/>
      <c r="R1319" s="30"/>
      <c r="S1319" s="30"/>
      <c r="T1319" s="30"/>
      <c r="U1319" s="21" t="str">
        <f aca="false">IF(COUNT(K1319:T1319)=0,"SOURCE EMPTY / INDUSTRIAL ONLY",IF(MIN(K1319:T1319)=1,"SERVICE READY","HOLD"))</f>
        <v>SOURCE EMPTY / INDUSTRIAL ONLY</v>
      </c>
      <c r="V1319" s="9" t="n">
        <f aca="false">IF(U1319="SERVICE READY",1,0)</f>
        <v>0</v>
      </c>
      <c r="W1319" s="6"/>
      <c r="X1319" s="6"/>
      <c r="Y1319" s="6"/>
      <c r="Z1319" s="6"/>
    </row>
    <row r="1320" customFormat="false" ht="15" hidden="false" customHeight="false" outlineLevel="0" collapsed="false">
      <c r="A1320" s="9" t="s">
        <v>1552</v>
      </c>
      <c r="B1320" s="9" t="s">
        <v>1427</v>
      </c>
      <c r="C1320" s="9" t="s">
        <v>1428</v>
      </c>
      <c r="D1320" s="9" t="s">
        <v>1215</v>
      </c>
      <c r="E1320" s="9" t="s">
        <v>275</v>
      </c>
      <c r="F1320" s="9" t="s">
        <v>209</v>
      </c>
      <c r="G1320" s="9" t="s">
        <v>221</v>
      </c>
      <c r="H1320" s="9" t="n">
        <v>1350</v>
      </c>
      <c r="I1320" s="29" t="n">
        <v>3</v>
      </c>
      <c r="J1320" s="9" t="n">
        <v>0</v>
      </c>
      <c r="K1320" s="30"/>
      <c r="L1320" s="30"/>
      <c r="M1320" s="30"/>
      <c r="N1320" s="30"/>
      <c r="O1320" s="30"/>
      <c r="P1320" s="30"/>
      <c r="Q1320" s="30"/>
      <c r="R1320" s="30"/>
      <c r="S1320" s="30"/>
      <c r="T1320" s="30"/>
      <c r="U1320" s="21" t="str">
        <f aca="false">IF(COUNT(K1320:T1320)=0,"SOURCE EMPTY / INDUSTRIAL ONLY",IF(MIN(K1320:T1320)=1,"SERVICE READY","HOLD"))</f>
        <v>SOURCE EMPTY / INDUSTRIAL ONLY</v>
      </c>
      <c r="V1320" s="9" t="n">
        <f aca="false">IF(U1320="SERVICE READY",1,0)</f>
        <v>0</v>
      </c>
      <c r="W1320" s="6"/>
      <c r="X1320" s="6"/>
      <c r="Y1320" s="6"/>
      <c r="Z1320" s="6"/>
    </row>
    <row r="1321" customFormat="false" ht="15" hidden="false" customHeight="false" outlineLevel="0" collapsed="false">
      <c r="A1321" s="9" t="s">
        <v>1553</v>
      </c>
      <c r="B1321" s="9" t="s">
        <v>1427</v>
      </c>
      <c r="C1321" s="9" t="s">
        <v>1428</v>
      </c>
      <c r="D1321" s="9" t="s">
        <v>1215</v>
      </c>
      <c r="E1321" s="9" t="s">
        <v>275</v>
      </c>
      <c r="F1321" s="9" t="s">
        <v>211</v>
      </c>
      <c r="G1321" s="9" t="s">
        <v>221</v>
      </c>
      <c r="H1321" s="9" t="n">
        <v>1350</v>
      </c>
      <c r="I1321" s="29" t="n">
        <v>3</v>
      </c>
      <c r="J1321" s="9" t="n">
        <v>0</v>
      </c>
      <c r="K1321" s="30"/>
      <c r="L1321" s="30"/>
      <c r="M1321" s="30"/>
      <c r="N1321" s="30"/>
      <c r="O1321" s="30"/>
      <c r="P1321" s="30"/>
      <c r="Q1321" s="30"/>
      <c r="R1321" s="30"/>
      <c r="S1321" s="30"/>
      <c r="T1321" s="30"/>
      <c r="U1321" s="21" t="str">
        <f aca="false">IF(COUNT(K1321:T1321)=0,"SOURCE EMPTY / INDUSTRIAL ONLY",IF(MIN(K1321:T1321)=1,"SERVICE READY","HOLD"))</f>
        <v>SOURCE EMPTY / INDUSTRIAL ONLY</v>
      </c>
      <c r="V1321" s="9" t="n">
        <f aca="false">IF(U1321="SERVICE READY",1,0)</f>
        <v>0</v>
      </c>
      <c r="W1321" s="6"/>
      <c r="X1321" s="6"/>
      <c r="Y1321" s="6"/>
      <c r="Z1321" s="6"/>
    </row>
    <row r="1322" customFormat="false" ht="15" hidden="false" customHeight="false" outlineLevel="0" collapsed="false">
      <c r="A1322" s="9" t="s">
        <v>1554</v>
      </c>
      <c r="B1322" s="9" t="s">
        <v>1427</v>
      </c>
      <c r="C1322" s="9" t="s">
        <v>1428</v>
      </c>
      <c r="D1322" s="9" t="s">
        <v>1215</v>
      </c>
      <c r="E1322" s="9" t="s">
        <v>275</v>
      </c>
      <c r="F1322" s="9" t="s">
        <v>197</v>
      </c>
      <c r="G1322" s="9" t="s">
        <v>221</v>
      </c>
      <c r="H1322" s="9" t="n">
        <v>1350</v>
      </c>
      <c r="I1322" s="29" t="n">
        <v>3</v>
      </c>
      <c r="J1322" s="9" t="n">
        <v>0</v>
      </c>
      <c r="K1322" s="30"/>
      <c r="L1322" s="30"/>
      <c r="M1322" s="30"/>
      <c r="N1322" s="30"/>
      <c r="O1322" s="30"/>
      <c r="P1322" s="30"/>
      <c r="Q1322" s="30"/>
      <c r="R1322" s="30"/>
      <c r="S1322" s="30"/>
      <c r="T1322" s="30"/>
      <c r="U1322" s="21" t="str">
        <f aca="false">IF(COUNT(K1322:T1322)=0,"SOURCE EMPTY / INDUSTRIAL ONLY",IF(MIN(K1322:T1322)=1,"SERVICE READY","HOLD"))</f>
        <v>SOURCE EMPTY / INDUSTRIAL ONLY</v>
      </c>
      <c r="V1322" s="9" t="n">
        <f aca="false">IF(U1322="SERVICE READY",1,0)</f>
        <v>0</v>
      </c>
      <c r="W1322" s="6"/>
      <c r="X1322" s="6"/>
      <c r="Y1322" s="6"/>
      <c r="Z1322" s="6"/>
    </row>
    <row r="1323" customFormat="false" ht="15" hidden="false" customHeight="false" outlineLevel="0" collapsed="false">
      <c r="A1323" s="9" t="s">
        <v>1555</v>
      </c>
      <c r="B1323" s="9" t="s">
        <v>1427</v>
      </c>
      <c r="C1323" s="9" t="s">
        <v>1428</v>
      </c>
      <c r="D1323" s="9" t="s">
        <v>1215</v>
      </c>
      <c r="E1323" s="9" t="s">
        <v>275</v>
      </c>
      <c r="F1323" s="9" t="s">
        <v>200</v>
      </c>
      <c r="G1323" s="9" t="s">
        <v>221</v>
      </c>
      <c r="H1323" s="9" t="n">
        <v>1350</v>
      </c>
      <c r="I1323" s="29" t="n">
        <v>3</v>
      </c>
      <c r="J1323" s="9" t="n">
        <v>0</v>
      </c>
      <c r="K1323" s="30"/>
      <c r="L1323" s="30"/>
      <c r="M1323" s="30"/>
      <c r="N1323" s="30"/>
      <c r="O1323" s="30"/>
      <c r="P1323" s="30"/>
      <c r="Q1323" s="30"/>
      <c r="R1323" s="30"/>
      <c r="S1323" s="30"/>
      <c r="T1323" s="30"/>
      <c r="U1323" s="21" t="str">
        <f aca="false">IF(COUNT(K1323:T1323)=0,"SOURCE EMPTY / INDUSTRIAL ONLY",IF(MIN(K1323:T1323)=1,"SERVICE READY","HOLD"))</f>
        <v>SOURCE EMPTY / INDUSTRIAL ONLY</v>
      </c>
      <c r="V1323" s="9" t="n">
        <f aca="false">IF(U1323="SERVICE READY",1,0)</f>
        <v>0</v>
      </c>
      <c r="W1323" s="6"/>
      <c r="X1323" s="6"/>
      <c r="Y1323" s="6"/>
      <c r="Z1323" s="6"/>
    </row>
    <row r="1324" customFormat="false" ht="15" hidden="false" customHeight="false" outlineLevel="0" collapsed="false">
      <c r="A1324" s="9" t="s">
        <v>1556</v>
      </c>
      <c r="B1324" s="9" t="s">
        <v>1427</v>
      </c>
      <c r="C1324" s="9" t="s">
        <v>1428</v>
      </c>
      <c r="D1324" s="9" t="s">
        <v>1215</v>
      </c>
      <c r="E1324" s="9" t="s">
        <v>275</v>
      </c>
      <c r="F1324" s="9" t="s">
        <v>203</v>
      </c>
      <c r="G1324" s="9" t="s">
        <v>221</v>
      </c>
      <c r="H1324" s="9" t="n">
        <v>1350</v>
      </c>
      <c r="I1324" s="29" t="n">
        <v>3</v>
      </c>
      <c r="J1324" s="9" t="n">
        <v>0</v>
      </c>
      <c r="K1324" s="30"/>
      <c r="L1324" s="30"/>
      <c r="M1324" s="30"/>
      <c r="N1324" s="30"/>
      <c r="O1324" s="30"/>
      <c r="P1324" s="30"/>
      <c r="Q1324" s="30"/>
      <c r="R1324" s="30"/>
      <c r="S1324" s="30"/>
      <c r="T1324" s="30"/>
      <c r="U1324" s="21" t="str">
        <f aca="false">IF(COUNT(K1324:T1324)=0,"SOURCE EMPTY / INDUSTRIAL ONLY",IF(MIN(K1324:T1324)=1,"SERVICE READY","HOLD"))</f>
        <v>SOURCE EMPTY / INDUSTRIAL ONLY</v>
      </c>
      <c r="V1324" s="9" t="n">
        <f aca="false">IF(U1324="SERVICE READY",1,0)</f>
        <v>0</v>
      </c>
      <c r="W1324" s="6"/>
      <c r="X1324" s="6"/>
      <c r="Y1324" s="6"/>
      <c r="Z1324" s="6"/>
    </row>
    <row r="1325" customFormat="false" ht="15" hidden="false" customHeight="false" outlineLevel="0" collapsed="false">
      <c r="A1325" s="9" t="s">
        <v>1557</v>
      </c>
      <c r="B1325" s="9" t="s">
        <v>1427</v>
      </c>
      <c r="C1325" s="9" t="s">
        <v>1428</v>
      </c>
      <c r="D1325" s="9" t="s">
        <v>1215</v>
      </c>
      <c r="E1325" s="9" t="s">
        <v>275</v>
      </c>
      <c r="F1325" s="9" t="s">
        <v>205</v>
      </c>
      <c r="G1325" s="9" t="s">
        <v>221</v>
      </c>
      <c r="H1325" s="9" t="n">
        <v>1350</v>
      </c>
      <c r="I1325" s="29" t="n">
        <v>3</v>
      </c>
      <c r="J1325" s="9" t="n">
        <v>0</v>
      </c>
      <c r="K1325" s="30"/>
      <c r="L1325" s="30"/>
      <c r="M1325" s="30"/>
      <c r="N1325" s="30"/>
      <c r="O1325" s="30"/>
      <c r="P1325" s="30"/>
      <c r="Q1325" s="30"/>
      <c r="R1325" s="30"/>
      <c r="S1325" s="30"/>
      <c r="T1325" s="30"/>
      <c r="U1325" s="21" t="str">
        <f aca="false">IF(COUNT(K1325:T1325)=0,"SOURCE EMPTY / INDUSTRIAL ONLY",IF(MIN(K1325:T1325)=1,"SERVICE READY","HOLD"))</f>
        <v>SOURCE EMPTY / INDUSTRIAL ONLY</v>
      </c>
      <c r="V1325" s="9" t="n">
        <f aca="false">IF(U1325="SERVICE READY",1,0)</f>
        <v>0</v>
      </c>
      <c r="W1325" s="6"/>
      <c r="X1325" s="6"/>
      <c r="Y1325" s="6"/>
      <c r="Z1325" s="6"/>
    </row>
    <row r="1326" customFormat="false" ht="15" hidden="false" customHeight="false" outlineLevel="0" collapsed="false">
      <c r="A1326" s="9" t="s">
        <v>1558</v>
      </c>
      <c r="B1326" s="9" t="s">
        <v>1427</v>
      </c>
      <c r="C1326" s="9" t="s">
        <v>1428</v>
      </c>
      <c r="D1326" s="9" t="s">
        <v>1215</v>
      </c>
      <c r="E1326" s="9" t="s">
        <v>275</v>
      </c>
      <c r="F1326" s="9" t="s">
        <v>207</v>
      </c>
      <c r="G1326" s="9" t="s">
        <v>221</v>
      </c>
      <c r="H1326" s="9" t="n">
        <v>1350</v>
      </c>
      <c r="I1326" s="29" t="n">
        <v>3</v>
      </c>
      <c r="J1326" s="9" t="n">
        <v>0</v>
      </c>
      <c r="K1326" s="30"/>
      <c r="L1326" s="30"/>
      <c r="M1326" s="30"/>
      <c r="N1326" s="30"/>
      <c r="O1326" s="30"/>
      <c r="P1326" s="30"/>
      <c r="Q1326" s="30"/>
      <c r="R1326" s="30"/>
      <c r="S1326" s="30"/>
      <c r="T1326" s="30"/>
      <c r="U1326" s="21" t="str">
        <f aca="false">IF(COUNT(K1326:T1326)=0,"SOURCE EMPTY / INDUSTRIAL ONLY",IF(MIN(K1326:T1326)=1,"SERVICE READY","HOLD"))</f>
        <v>SOURCE EMPTY / INDUSTRIAL ONLY</v>
      </c>
      <c r="V1326" s="9" t="n">
        <f aca="false">IF(U1326="SERVICE READY",1,0)</f>
        <v>0</v>
      </c>
      <c r="W1326" s="6"/>
      <c r="X1326" s="6"/>
      <c r="Y1326" s="6"/>
      <c r="Z1326" s="6"/>
    </row>
    <row r="1327" customFormat="false" ht="15" hidden="false" customHeight="false" outlineLevel="0" collapsed="false">
      <c r="A1327" s="9" t="s">
        <v>1559</v>
      </c>
      <c r="B1327" s="9" t="s">
        <v>1427</v>
      </c>
      <c r="C1327" s="9" t="s">
        <v>1428</v>
      </c>
      <c r="D1327" s="9" t="s">
        <v>1215</v>
      </c>
      <c r="E1327" s="9" t="s">
        <v>275</v>
      </c>
      <c r="F1327" s="9" t="s">
        <v>209</v>
      </c>
      <c r="G1327" s="9" t="s">
        <v>221</v>
      </c>
      <c r="H1327" s="9" t="n">
        <v>1350</v>
      </c>
      <c r="I1327" s="29" t="n">
        <v>3</v>
      </c>
      <c r="J1327" s="9" t="n">
        <v>0</v>
      </c>
      <c r="K1327" s="30"/>
      <c r="L1327" s="30"/>
      <c r="M1327" s="30"/>
      <c r="N1327" s="30"/>
      <c r="O1327" s="30"/>
      <c r="P1327" s="30"/>
      <c r="Q1327" s="30"/>
      <c r="R1327" s="30"/>
      <c r="S1327" s="30"/>
      <c r="T1327" s="30"/>
      <c r="U1327" s="21" t="str">
        <f aca="false">IF(COUNT(K1327:T1327)=0,"SOURCE EMPTY / INDUSTRIAL ONLY",IF(MIN(K1327:T1327)=1,"SERVICE READY","HOLD"))</f>
        <v>SOURCE EMPTY / INDUSTRIAL ONLY</v>
      </c>
      <c r="V1327" s="9" t="n">
        <f aca="false">IF(U1327="SERVICE READY",1,0)</f>
        <v>0</v>
      </c>
      <c r="W1327" s="6"/>
      <c r="X1327" s="6"/>
      <c r="Y1327" s="6"/>
      <c r="Z1327" s="6"/>
    </row>
    <row r="1328" customFormat="false" ht="15" hidden="false" customHeight="false" outlineLevel="0" collapsed="false">
      <c r="A1328" s="9" t="s">
        <v>1560</v>
      </c>
      <c r="B1328" s="9" t="s">
        <v>1427</v>
      </c>
      <c r="C1328" s="9" t="s">
        <v>1428</v>
      </c>
      <c r="D1328" s="9" t="s">
        <v>1215</v>
      </c>
      <c r="E1328" s="9" t="s">
        <v>275</v>
      </c>
      <c r="F1328" s="9" t="s">
        <v>211</v>
      </c>
      <c r="G1328" s="9" t="s">
        <v>221</v>
      </c>
      <c r="H1328" s="9" t="n">
        <v>1350</v>
      </c>
      <c r="I1328" s="29" t="n">
        <v>3</v>
      </c>
      <c r="J1328" s="9" t="n">
        <v>0</v>
      </c>
      <c r="K1328" s="30"/>
      <c r="L1328" s="30"/>
      <c r="M1328" s="30"/>
      <c r="N1328" s="30"/>
      <c r="O1328" s="30"/>
      <c r="P1328" s="30"/>
      <c r="Q1328" s="30"/>
      <c r="R1328" s="30"/>
      <c r="S1328" s="30"/>
      <c r="T1328" s="30"/>
      <c r="U1328" s="21" t="str">
        <f aca="false">IF(COUNT(K1328:T1328)=0,"SOURCE EMPTY / INDUSTRIAL ONLY",IF(MIN(K1328:T1328)=1,"SERVICE READY","HOLD"))</f>
        <v>SOURCE EMPTY / INDUSTRIAL ONLY</v>
      </c>
      <c r="V1328" s="9" t="n">
        <f aca="false">IF(U1328="SERVICE READY",1,0)</f>
        <v>0</v>
      </c>
      <c r="W1328" s="6"/>
      <c r="X1328" s="6"/>
      <c r="Y1328" s="6"/>
      <c r="Z1328" s="6"/>
    </row>
    <row r="1329" customFormat="false" ht="15" hidden="false" customHeight="false" outlineLevel="0" collapsed="false">
      <c r="A1329" s="9" t="s">
        <v>1561</v>
      </c>
      <c r="B1329" s="9" t="s">
        <v>1427</v>
      </c>
      <c r="C1329" s="9" t="s">
        <v>1428</v>
      </c>
      <c r="D1329" s="9" t="s">
        <v>1215</v>
      </c>
      <c r="E1329" s="9" t="s">
        <v>275</v>
      </c>
      <c r="F1329" s="9" t="s">
        <v>197</v>
      </c>
      <c r="G1329" s="9" t="s">
        <v>221</v>
      </c>
      <c r="H1329" s="9" t="n">
        <v>1350</v>
      </c>
      <c r="I1329" s="29" t="n">
        <v>3</v>
      </c>
      <c r="J1329" s="9" t="n">
        <v>0</v>
      </c>
      <c r="K1329" s="30"/>
      <c r="L1329" s="30"/>
      <c r="M1329" s="30"/>
      <c r="N1329" s="30"/>
      <c r="O1329" s="30"/>
      <c r="P1329" s="30"/>
      <c r="Q1329" s="30"/>
      <c r="R1329" s="30"/>
      <c r="S1329" s="30"/>
      <c r="T1329" s="30"/>
      <c r="U1329" s="21" t="str">
        <f aca="false">IF(COUNT(K1329:T1329)=0,"SOURCE EMPTY / INDUSTRIAL ONLY",IF(MIN(K1329:T1329)=1,"SERVICE READY","HOLD"))</f>
        <v>SOURCE EMPTY / INDUSTRIAL ONLY</v>
      </c>
      <c r="V1329" s="9" t="n">
        <f aca="false">IF(U1329="SERVICE READY",1,0)</f>
        <v>0</v>
      </c>
      <c r="W1329" s="6"/>
      <c r="X1329" s="6"/>
      <c r="Y1329" s="6"/>
      <c r="Z1329" s="6"/>
    </row>
    <row r="1330" customFormat="false" ht="15" hidden="false" customHeight="false" outlineLevel="0" collapsed="false">
      <c r="A1330" s="9" t="s">
        <v>1562</v>
      </c>
      <c r="B1330" s="9" t="s">
        <v>1563</v>
      </c>
      <c r="C1330" s="9" t="s">
        <v>1564</v>
      </c>
      <c r="D1330" s="9" t="s">
        <v>1215</v>
      </c>
      <c r="E1330" s="9" t="s">
        <v>196</v>
      </c>
      <c r="F1330" s="9" t="s">
        <v>197</v>
      </c>
      <c r="G1330" s="9" t="s">
        <v>198</v>
      </c>
      <c r="H1330" s="9" t="n">
        <v>540</v>
      </c>
      <c r="I1330" s="29" t="n">
        <v>1.2</v>
      </c>
      <c r="J1330" s="9" t="n">
        <v>1</v>
      </c>
      <c r="K1330" s="30"/>
      <c r="L1330" s="30"/>
      <c r="M1330" s="30"/>
      <c r="N1330" s="30"/>
      <c r="O1330" s="30"/>
      <c r="P1330" s="30"/>
      <c r="Q1330" s="30"/>
      <c r="R1330" s="30"/>
      <c r="S1330" s="30"/>
      <c r="T1330" s="30"/>
      <c r="U1330" s="21" t="str">
        <f aca="false">IF(COUNT(K1330:T1330)=0,"SOURCE EMPTY / INDUSTRIAL ONLY",IF(MIN(K1330:T1330)=1,"SERVICE READY","HOLD"))</f>
        <v>SOURCE EMPTY / INDUSTRIAL ONLY</v>
      </c>
      <c r="V1330" s="9" t="n">
        <f aca="false">IF(U1330="SERVICE READY",1,0)</f>
        <v>0</v>
      </c>
      <c r="W1330" s="6"/>
      <c r="X1330" s="6"/>
      <c r="Y1330" s="6"/>
      <c r="Z1330" s="6"/>
    </row>
    <row r="1331" customFormat="false" ht="15" hidden="false" customHeight="false" outlineLevel="0" collapsed="false">
      <c r="A1331" s="9" t="s">
        <v>1565</v>
      </c>
      <c r="B1331" s="9" t="s">
        <v>1563</v>
      </c>
      <c r="C1331" s="9" t="s">
        <v>1564</v>
      </c>
      <c r="D1331" s="9" t="s">
        <v>1215</v>
      </c>
      <c r="E1331" s="9" t="s">
        <v>196</v>
      </c>
      <c r="F1331" s="9" t="s">
        <v>200</v>
      </c>
      <c r="G1331" s="9" t="s">
        <v>201</v>
      </c>
      <c r="H1331" s="9" t="n">
        <v>540</v>
      </c>
      <c r="I1331" s="29" t="n">
        <v>1.2</v>
      </c>
      <c r="J1331" s="9" t="n">
        <v>1</v>
      </c>
      <c r="K1331" s="30"/>
      <c r="L1331" s="30"/>
      <c r="M1331" s="30"/>
      <c r="N1331" s="30"/>
      <c r="O1331" s="30"/>
      <c r="P1331" s="30"/>
      <c r="Q1331" s="30"/>
      <c r="R1331" s="30"/>
      <c r="S1331" s="30"/>
      <c r="T1331" s="30"/>
      <c r="U1331" s="21" t="str">
        <f aca="false">IF(COUNT(K1331:T1331)=0,"SOURCE EMPTY / INDUSTRIAL ONLY",IF(MIN(K1331:T1331)=1,"SERVICE READY","HOLD"))</f>
        <v>SOURCE EMPTY / INDUSTRIAL ONLY</v>
      </c>
      <c r="V1331" s="9" t="n">
        <f aca="false">IF(U1331="SERVICE READY",1,0)</f>
        <v>0</v>
      </c>
      <c r="W1331" s="6"/>
      <c r="X1331" s="6"/>
      <c r="Y1331" s="6"/>
      <c r="Z1331" s="6"/>
    </row>
    <row r="1332" customFormat="false" ht="15" hidden="false" customHeight="false" outlineLevel="0" collapsed="false">
      <c r="A1332" s="9" t="s">
        <v>1566</v>
      </c>
      <c r="B1332" s="9" t="s">
        <v>1563</v>
      </c>
      <c r="C1332" s="9" t="s">
        <v>1564</v>
      </c>
      <c r="D1332" s="9" t="s">
        <v>1215</v>
      </c>
      <c r="E1332" s="9" t="s">
        <v>196</v>
      </c>
      <c r="F1332" s="9" t="s">
        <v>203</v>
      </c>
      <c r="G1332" s="9" t="s">
        <v>198</v>
      </c>
      <c r="H1332" s="9" t="n">
        <v>540</v>
      </c>
      <c r="I1332" s="29" t="n">
        <v>1.2</v>
      </c>
      <c r="J1332" s="9" t="n">
        <v>1</v>
      </c>
      <c r="K1332" s="30"/>
      <c r="L1332" s="30"/>
      <c r="M1332" s="30"/>
      <c r="N1332" s="30"/>
      <c r="O1332" s="30"/>
      <c r="P1332" s="30"/>
      <c r="Q1332" s="30"/>
      <c r="R1332" s="30"/>
      <c r="S1332" s="30"/>
      <c r="T1332" s="30"/>
      <c r="U1332" s="21" t="str">
        <f aca="false">IF(COUNT(K1332:T1332)=0,"SOURCE EMPTY / INDUSTRIAL ONLY",IF(MIN(K1332:T1332)=1,"SERVICE READY","HOLD"))</f>
        <v>SOURCE EMPTY / INDUSTRIAL ONLY</v>
      </c>
      <c r="V1332" s="9" t="n">
        <f aca="false">IF(U1332="SERVICE READY",1,0)</f>
        <v>0</v>
      </c>
      <c r="W1332" s="6"/>
      <c r="X1332" s="6"/>
      <c r="Y1332" s="6"/>
      <c r="Z1332" s="6"/>
    </row>
    <row r="1333" customFormat="false" ht="15" hidden="false" customHeight="false" outlineLevel="0" collapsed="false">
      <c r="A1333" s="9" t="s">
        <v>1567</v>
      </c>
      <c r="B1333" s="9" t="s">
        <v>1563</v>
      </c>
      <c r="C1333" s="9" t="s">
        <v>1564</v>
      </c>
      <c r="D1333" s="9" t="s">
        <v>1215</v>
      </c>
      <c r="E1333" s="9" t="s">
        <v>196</v>
      </c>
      <c r="F1333" s="9" t="s">
        <v>205</v>
      </c>
      <c r="G1333" s="9" t="s">
        <v>201</v>
      </c>
      <c r="H1333" s="9" t="n">
        <v>540</v>
      </c>
      <c r="I1333" s="29" t="n">
        <v>1.2</v>
      </c>
      <c r="J1333" s="9" t="n">
        <v>1</v>
      </c>
      <c r="K1333" s="30"/>
      <c r="L1333" s="30"/>
      <c r="M1333" s="30"/>
      <c r="N1333" s="30"/>
      <c r="O1333" s="30"/>
      <c r="P1333" s="30"/>
      <c r="Q1333" s="30"/>
      <c r="R1333" s="30"/>
      <c r="S1333" s="30"/>
      <c r="T1333" s="30"/>
      <c r="U1333" s="21" t="str">
        <f aca="false">IF(COUNT(K1333:T1333)=0,"SOURCE EMPTY / INDUSTRIAL ONLY",IF(MIN(K1333:T1333)=1,"SERVICE READY","HOLD"))</f>
        <v>SOURCE EMPTY / INDUSTRIAL ONLY</v>
      </c>
      <c r="V1333" s="9" t="n">
        <f aca="false">IF(U1333="SERVICE READY",1,0)</f>
        <v>0</v>
      </c>
      <c r="W1333" s="6"/>
      <c r="X1333" s="6"/>
      <c r="Y1333" s="6"/>
      <c r="Z1333" s="6"/>
    </row>
    <row r="1334" customFormat="false" ht="15" hidden="false" customHeight="false" outlineLevel="0" collapsed="false">
      <c r="A1334" s="9" t="s">
        <v>1568</v>
      </c>
      <c r="B1334" s="9" t="s">
        <v>1563</v>
      </c>
      <c r="C1334" s="9" t="s">
        <v>1564</v>
      </c>
      <c r="D1334" s="9" t="s">
        <v>1215</v>
      </c>
      <c r="E1334" s="9" t="s">
        <v>196</v>
      </c>
      <c r="F1334" s="9" t="s">
        <v>207</v>
      </c>
      <c r="G1334" s="9" t="s">
        <v>198</v>
      </c>
      <c r="H1334" s="9" t="n">
        <v>540</v>
      </c>
      <c r="I1334" s="29" t="n">
        <v>1.2</v>
      </c>
      <c r="J1334" s="9" t="n">
        <v>1</v>
      </c>
      <c r="K1334" s="30"/>
      <c r="L1334" s="30"/>
      <c r="M1334" s="30"/>
      <c r="N1334" s="30"/>
      <c r="O1334" s="30"/>
      <c r="P1334" s="30"/>
      <c r="Q1334" s="30"/>
      <c r="R1334" s="30"/>
      <c r="S1334" s="30"/>
      <c r="T1334" s="30"/>
      <c r="U1334" s="21" t="str">
        <f aca="false">IF(COUNT(K1334:T1334)=0,"SOURCE EMPTY / INDUSTRIAL ONLY",IF(MIN(K1334:T1334)=1,"SERVICE READY","HOLD"))</f>
        <v>SOURCE EMPTY / INDUSTRIAL ONLY</v>
      </c>
      <c r="V1334" s="9" t="n">
        <f aca="false">IF(U1334="SERVICE READY",1,0)</f>
        <v>0</v>
      </c>
      <c r="W1334" s="6"/>
      <c r="X1334" s="6"/>
      <c r="Y1334" s="6"/>
      <c r="Z1334" s="6"/>
    </row>
    <row r="1335" customFormat="false" ht="15" hidden="false" customHeight="false" outlineLevel="0" collapsed="false">
      <c r="A1335" s="9" t="s">
        <v>1569</v>
      </c>
      <c r="B1335" s="9" t="s">
        <v>1563</v>
      </c>
      <c r="C1335" s="9" t="s">
        <v>1564</v>
      </c>
      <c r="D1335" s="9" t="s">
        <v>1215</v>
      </c>
      <c r="E1335" s="9" t="s">
        <v>196</v>
      </c>
      <c r="F1335" s="9" t="s">
        <v>209</v>
      </c>
      <c r="G1335" s="9" t="s">
        <v>201</v>
      </c>
      <c r="H1335" s="9" t="n">
        <v>540</v>
      </c>
      <c r="I1335" s="29" t="n">
        <v>1.2</v>
      </c>
      <c r="J1335" s="9" t="n">
        <v>1</v>
      </c>
      <c r="K1335" s="30"/>
      <c r="L1335" s="30"/>
      <c r="M1335" s="30"/>
      <c r="N1335" s="30"/>
      <c r="O1335" s="30"/>
      <c r="P1335" s="30"/>
      <c r="Q1335" s="30"/>
      <c r="R1335" s="30"/>
      <c r="S1335" s="30"/>
      <c r="T1335" s="30"/>
      <c r="U1335" s="21" t="str">
        <f aca="false">IF(COUNT(K1335:T1335)=0,"SOURCE EMPTY / INDUSTRIAL ONLY",IF(MIN(K1335:T1335)=1,"SERVICE READY","HOLD"))</f>
        <v>SOURCE EMPTY / INDUSTRIAL ONLY</v>
      </c>
      <c r="V1335" s="9" t="n">
        <f aca="false">IF(U1335="SERVICE READY",1,0)</f>
        <v>0</v>
      </c>
      <c r="W1335" s="6"/>
      <c r="X1335" s="6"/>
      <c r="Y1335" s="6"/>
      <c r="Z1335" s="6"/>
    </row>
    <row r="1336" customFormat="false" ht="15" hidden="false" customHeight="false" outlineLevel="0" collapsed="false">
      <c r="A1336" s="9" t="s">
        <v>1570</v>
      </c>
      <c r="B1336" s="9" t="s">
        <v>1563</v>
      </c>
      <c r="C1336" s="9" t="s">
        <v>1564</v>
      </c>
      <c r="D1336" s="9" t="s">
        <v>1215</v>
      </c>
      <c r="E1336" s="9" t="s">
        <v>196</v>
      </c>
      <c r="F1336" s="9" t="s">
        <v>211</v>
      </c>
      <c r="G1336" s="9" t="s">
        <v>198</v>
      </c>
      <c r="H1336" s="9" t="n">
        <v>540</v>
      </c>
      <c r="I1336" s="29" t="n">
        <v>1.2</v>
      </c>
      <c r="J1336" s="9" t="n">
        <v>1</v>
      </c>
      <c r="K1336" s="30"/>
      <c r="L1336" s="30"/>
      <c r="M1336" s="30"/>
      <c r="N1336" s="30"/>
      <c r="O1336" s="30"/>
      <c r="P1336" s="30"/>
      <c r="Q1336" s="30"/>
      <c r="R1336" s="30"/>
      <c r="S1336" s="30"/>
      <c r="T1336" s="30"/>
      <c r="U1336" s="21" t="str">
        <f aca="false">IF(COUNT(K1336:T1336)=0,"SOURCE EMPTY / INDUSTRIAL ONLY",IF(MIN(K1336:T1336)=1,"SERVICE READY","HOLD"))</f>
        <v>SOURCE EMPTY / INDUSTRIAL ONLY</v>
      </c>
      <c r="V1336" s="9" t="n">
        <f aca="false">IF(U1336="SERVICE READY",1,0)</f>
        <v>0</v>
      </c>
      <c r="W1336" s="6"/>
      <c r="X1336" s="6"/>
      <c r="Y1336" s="6"/>
      <c r="Z1336" s="6"/>
    </row>
    <row r="1337" customFormat="false" ht="15" hidden="false" customHeight="false" outlineLevel="0" collapsed="false">
      <c r="A1337" s="9" t="s">
        <v>1571</v>
      </c>
      <c r="B1337" s="9" t="s">
        <v>1563</v>
      </c>
      <c r="C1337" s="9" t="s">
        <v>1564</v>
      </c>
      <c r="D1337" s="9" t="s">
        <v>1215</v>
      </c>
      <c r="E1337" s="9" t="s">
        <v>196</v>
      </c>
      <c r="F1337" s="9" t="s">
        <v>197</v>
      </c>
      <c r="G1337" s="9" t="s">
        <v>201</v>
      </c>
      <c r="H1337" s="9" t="n">
        <v>540</v>
      </c>
      <c r="I1337" s="29" t="n">
        <v>1.2</v>
      </c>
      <c r="J1337" s="9" t="n">
        <v>1</v>
      </c>
      <c r="K1337" s="30"/>
      <c r="L1337" s="30"/>
      <c r="M1337" s="30"/>
      <c r="N1337" s="30"/>
      <c r="O1337" s="30"/>
      <c r="P1337" s="30"/>
      <c r="Q1337" s="30"/>
      <c r="R1337" s="30"/>
      <c r="S1337" s="30"/>
      <c r="T1337" s="30"/>
      <c r="U1337" s="21" t="str">
        <f aca="false">IF(COUNT(K1337:T1337)=0,"SOURCE EMPTY / INDUSTRIAL ONLY",IF(MIN(K1337:T1337)=1,"SERVICE READY","HOLD"))</f>
        <v>SOURCE EMPTY / INDUSTRIAL ONLY</v>
      </c>
      <c r="V1337" s="9" t="n">
        <f aca="false">IF(U1337="SERVICE READY",1,0)</f>
        <v>0</v>
      </c>
      <c r="W1337" s="6"/>
      <c r="X1337" s="6"/>
      <c r="Y1337" s="6"/>
      <c r="Z1337" s="6"/>
    </row>
    <row r="1338" customFormat="false" ht="15" hidden="false" customHeight="false" outlineLevel="0" collapsed="false">
      <c r="A1338" s="9" t="s">
        <v>1572</v>
      </c>
      <c r="B1338" s="9" t="s">
        <v>1563</v>
      </c>
      <c r="C1338" s="9" t="s">
        <v>1564</v>
      </c>
      <c r="D1338" s="9" t="s">
        <v>1215</v>
      </c>
      <c r="E1338" s="9" t="s">
        <v>196</v>
      </c>
      <c r="F1338" s="9" t="s">
        <v>200</v>
      </c>
      <c r="G1338" s="9" t="s">
        <v>198</v>
      </c>
      <c r="H1338" s="9" t="n">
        <v>540</v>
      </c>
      <c r="I1338" s="29" t="n">
        <v>1.2</v>
      </c>
      <c r="J1338" s="9" t="n">
        <v>1</v>
      </c>
      <c r="K1338" s="30"/>
      <c r="L1338" s="30"/>
      <c r="M1338" s="30"/>
      <c r="N1338" s="30"/>
      <c r="O1338" s="30"/>
      <c r="P1338" s="30"/>
      <c r="Q1338" s="30"/>
      <c r="R1338" s="30"/>
      <c r="S1338" s="30"/>
      <c r="T1338" s="30"/>
      <c r="U1338" s="21" t="str">
        <f aca="false">IF(COUNT(K1338:T1338)=0,"SOURCE EMPTY / INDUSTRIAL ONLY",IF(MIN(K1338:T1338)=1,"SERVICE READY","HOLD"))</f>
        <v>SOURCE EMPTY / INDUSTRIAL ONLY</v>
      </c>
      <c r="V1338" s="9" t="n">
        <f aca="false">IF(U1338="SERVICE READY",1,0)</f>
        <v>0</v>
      </c>
      <c r="W1338" s="6"/>
      <c r="X1338" s="6"/>
      <c r="Y1338" s="6"/>
      <c r="Z1338" s="6"/>
    </row>
    <row r="1339" customFormat="false" ht="15" hidden="false" customHeight="false" outlineLevel="0" collapsed="false">
      <c r="A1339" s="9" t="s">
        <v>1573</v>
      </c>
      <c r="B1339" s="9" t="s">
        <v>1563</v>
      </c>
      <c r="C1339" s="9" t="s">
        <v>1564</v>
      </c>
      <c r="D1339" s="9" t="s">
        <v>1215</v>
      </c>
      <c r="E1339" s="9" t="s">
        <v>196</v>
      </c>
      <c r="F1339" s="9" t="s">
        <v>203</v>
      </c>
      <c r="G1339" s="9" t="s">
        <v>201</v>
      </c>
      <c r="H1339" s="9" t="n">
        <v>540</v>
      </c>
      <c r="I1339" s="29" t="n">
        <v>1.2</v>
      </c>
      <c r="J1339" s="9" t="n">
        <v>1</v>
      </c>
      <c r="K1339" s="30"/>
      <c r="L1339" s="30"/>
      <c r="M1339" s="30"/>
      <c r="N1339" s="30"/>
      <c r="O1339" s="30"/>
      <c r="P1339" s="30"/>
      <c r="Q1339" s="30"/>
      <c r="R1339" s="30"/>
      <c r="S1339" s="30"/>
      <c r="T1339" s="30"/>
      <c r="U1339" s="21" t="str">
        <f aca="false">IF(COUNT(K1339:T1339)=0,"SOURCE EMPTY / INDUSTRIAL ONLY",IF(MIN(K1339:T1339)=1,"SERVICE READY","HOLD"))</f>
        <v>SOURCE EMPTY / INDUSTRIAL ONLY</v>
      </c>
      <c r="V1339" s="9" t="n">
        <f aca="false">IF(U1339="SERVICE READY",1,0)</f>
        <v>0</v>
      </c>
      <c r="W1339" s="6"/>
      <c r="X1339" s="6"/>
      <c r="Y1339" s="6"/>
      <c r="Z1339" s="6"/>
    </row>
    <row r="1340" customFormat="false" ht="15" hidden="false" customHeight="false" outlineLevel="0" collapsed="false">
      <c r="A1340" s="9" t="s">
        <v>1574</v>
      </c>
      <c r="B1340" s="9" t="s">
        <v>1563</v>
      </c>
      <c r="C1340" s="9" t="s">
        <v>1564</v>
      </c>
      <c r="D1340" s="9" t="s">
        <v>1215</v>
      </c>
      <c r="E1340" s="9" t="s">
        <v>196</v>
      </c>
      <c r="F1340" s="9" t="s">
        <v>205</v>
      </c>
      <c r="G1340" s="9" t="s">
        <v>198</v>
      </c>
      <c r="H1340" s="9" t="n">
        <v>540</v>
      </c>
      <c r="I1340" s="29" t="n">
        <v>1.2</v>
      </c>
      <c r="J1340" s="9" t="n">
        <v>1</v>
      </c>
      <c r="K1340" s="30"/>
      <c r="L1340" s="30"/>
      <c r="M1340" s="30"/>
      <c r="N1340" s="30"/>
      <c r="O1340" s="30"/>
      <c r="P1340" s="30"/>
      <c r="Q1340" s="30"/>
      <c r="R1340" s="30"/>
      <c r="S1340" s="30"/>
      <c r="T1340" s="30"/>
      <c r="U1340" s="21" t="str">
        <f aca="false">IF(COUNT(K1340:T1340)=0,"SOURCE EMPTY / INDUSTRIAL ONLY",IF(MIN(K1340:T1340)=1,"SERVICE READY","HOLD"))</f>
        <v>SOURCE EMPTY / INDUSTRIAL ONLY</v>
      </c>
      <c r="V1340" s="9" t="n">
        <f aca="false">IF(U1340="SERVICE READY",1,0)</f>
        <v>0</v>
      </c>
      <c r="W1340" s="6"/>
      <c r="X1340" s="6"/>
      <c r="Y1340" s="6"/>
      <c r="Z1340" s="6"/>
    </row>
    <row r="1341" customFormat="false" ht="15" hidden="false" customHeight="false" outlineLevel="0" collapsed="false">
      <c r="A1341" s="9" t="s">
        <v>1575</v>
      </c>
      <c r="B1341" s="9" t="s">
        <v>1563</v>
      </c>
      <c r="C1341" s="9" t="s">
        <v>1564</v>
      </c>
      <c r="D1341" s="9" t="s">
        <v>1215</v>
      </c>
      <c r="E1341" s="9" t="s">
        <v>196</v>
      </c>
      <c r="F1341" s="9" t="s">
        <v>207</v>
      </c>
      <c r="G1341" s="9" t="s">
        <v>201</v>
      </c>
      <c r="H1341" s="9" t="n">
        <v>540</v>
      </c>
      <c r="I1341" s="29" t="n">
        <v>1.2</v>
      </c>
      <c r="J1341" s="9" t="n">
        <v>1</v>
      </c>
      <c r="K1341" s="30"/>
      <c r="L1341" s="30"/>
      <c r="M1341" s="30"/>
      <c r="N1341" s="30"/>
      <c r="O1341" s="30"/>
      <c r="P1341" s="30"/>
      <c r="Q1341" s="30"/>
      <c r="R1341" s="30"/>
      <c r="S1341" s="30"/>
      <c r="T1341" s="30"/>
      <c r="U1341" s="21" t="str">
        <f aca="false">IF(COUNT(K1341:T1341)=0,"SOURCE EMPTY / INDUSTRIAL ONLY",IF(MIN(K1341:T1341)=1,"SERVICE READY","HOLD"))</f>
        <v>SOURCE EMPTY / INDUSTRIAL ONLY</v>
      </c>
      <c r="V1341" s="9" t="n">
        <f aca="false">IF(U1341="SERVICE READY",1,0)</f>
        <v>0</v>
      </c>
      <c r="W1341" s="6"/>
      <c r="X1341" s="6"/>
      <c r="Y1341" s="6"/>
      <c r="Z1341" s="6"/>
    </row>
    <row r="1342" customFormat="false" ht="15" hidden="false" customHeight="false" outlineLevel="0" collapsed="false">
      <c r="A1342" s="9" t="s">
        <v>1576</v>
      </c>
      <c r="B1342" s="9" t="s">
        <v>1563</v>
      </c>
      <c r="C1342" s="9" t="s">
        <v>1564</v>
      </c>
      <c r="D1342" s="9" t="s">
        <v>1215</v>
      </c>
      <c r="E1342" s="9" t="s">
        <v>196</v>
      </c>
      <c r="F1342" s="9" t="s">
        <v>209</v>
      </c>
      <c r="G1342" s="9" t="s">
        <v>198</v>
      </c>
      <c r="H1342" s="9" t="n">
        <v>540</v>
      </c>
      <c r="I1342" s="29" t="n">
        <v>1.2</v>
      </c>
      <c r="J1342" s="9" t="n">
        <v>1</v>
      </c>
      <c r="K1342" s="30"/>
      <c r="L1342" s="30"/>
      <c r="M1342" s="30"/>
      <c r="N1342" s="30"/>
      <c r="O1342" s="30"/>
      <c r="P1342" s="30"/>
      <c r="Q1342" s="30"/>
      <c r="R1342" s="30"/>
      <c r="S1342" s="30"/>
      <c r="T1342" s="30"/>
      <c r="U1342" s="21" t="str">
        <f aca="false">IF(COUNT(K1342:T1342)=0,"SOURCE EMPTY / INDUSTRIAL ONLY",IF(MIN(K1342:T1342)=1,"SERVICE READY","HOLD"))</f>
        <v>SOURCE EMPTY / INDUSTRIAL ONLY</v>
      </c>
      <c r="V1342" s="9" t="n">
        <f aca="false">IF(U1342="SERVICE READY",1,0)</f>
        <v>0</v>
      </c>
      <c r="W1342" s="6"/>
      <c r="X1342" s="6"/>
      <c r="Y1342" s="6"/>
      <c r="Z1342" s="6"/>
    </row>
    <row r="1343" customFormat="false" ht="15" hidden="false" customHeight="false" outlineLevel="0" collapsed="false">
      <c r="A1343" s="9" t="s">
        <v>1577</v>
      </c>
      <c r="B1343" s="9" t="s">
        <v>1563</v>
      </c>
      <c r="C1343" s="9" t="s">
        <v>1564</v>
      </c>
      <c r="D1343" s="9" t="s">
        <v>1215</v>
      </c>
      <c r="E1343" s="9" t="s">
        <v>196</v>
      </c>
      <c r="F1343" s="9" t="s">
        <v>211</v>
      </c>
      <c r="G1343" s="9" t="s">
        <v>201</v>
      </c>
      <c r="H1343" s="9" t="n">
        <v>540</v>
      </c>
      <c r="I1343" s="29" t="n">
        <v>1.2</v>
      </c>
      <c r="J1343" s="9" t="n">
        <v>1</v>
      </c>
      <c r="K1343" s="30"/>
      <c r="L1343" s="30"/>
      <c r="M1343" s="30"/>
      <c r="N1343" s="30"/>
      <c r="O1343" s="30"/>
      <c r="P1343" s="30"/>
      <c r="Q1343" s="30"/>
      <c r="R1343" s="30"/>
      <c r="S1343" s="30"/>
      <c r="T1343" s="30"/>
      <c r="U1343" s="21" t="str">
        <f aca="false">IF(COUNT(K1343:T1343)=0,"SOURCE EMPTY / INDUSTRIAL ONLY",IF(MIN(K1343:T1343)=1,"SERVICE READY","HOLD"))</f>
        <v>SOURCE EMPTY / INDUSTRIAL ONLY</v>
      </c>
      <c r="V1343" s="9" t="n">
        <f aca="false">IF(U1343="SERVICE READY",1,0)</f>
        <v>0</v>
      </c>
      <c r="W1343" s="6"/>
      <c r="X1343" s="6"/>
      <c r="Y1343" s="6"/>
      <c r="Z1343" s="6"/>
    </row>
    <row r="1344" customFormat="false" ht="15" hidden="false" customHeight="false" outlineLevel="0" collapsed="false">
      <c r="A1344" s="9" t="s">
        <v>1578</v>
      </c>
      <c r="B1344" s="9" t="s">
        <v>1563</v>
      </c>
      <c r="C1344" s="9" t="s">
        <v>1564</v>
      </c>
      <c r="D1344" s="9" t="s">
        <v>1215</v>
      </c>
      <c r="E1344" s="9" t="s">
        <v>196</v>
      </c>
      <c r="F1344" s="9" t="s">
        <v>197</v>
      </c>
      <c r="G1344" s="9" t="s">
        <v>198</v>
      </c>
      <c r="H1344" s="9" t="n">
        <v>540</v>
      </c>
      <c r="I1344" s="29" t="n">
        <v>1.2</v>
      </c>
      <c r="J1344" s="9" t="n">
        <v>1</v>
      </c>
      <c r="K1344" s="30"/>
      <c r="L1344" s="30"/>
      <c r="M1344" s="30"/>
      <c r="N1344" s="30"/>
      <c r="O1344" s="30"/>
      <c r="P1344" s="30"/>
      <c r="Q1344" s="30"/>
      <c r="R1344" s="30"/>
      <c r="S1344" s="30"/>
      <c r="T1344" s="30"/>
      <c r="U1344" s="21" t="str">
        <f aca="false">IF(COUNT(K1344:T1344)=0,"SOURCE EMPTY / INDUSTRIAL ONLY",IF(MIN(K1344:T1344)=1,"SERVICE READY","HOLD"))</f>
        <v>SOURCE EMPTY / INDUSTRIAL ONLY</v>
      </c>
      <c r="V1344" s="9" t="n">
        <f aca="false">IF(U1344="SERVICE READY",1,0)</f>
        <v>0</v>
      </c>
      <c r="W1344" s="6"/>
      <c r="X1344" s="6"/>
      <c r="Y1344" s="6"/>
      <c r="Z1344" s="6"/>
    </row>
    <row r="1345" customFormat="false" ht="15" hidden="false" customHeight="false" outlineLevel="0" collapsed="false">
      <c r="A1345" s="9" t="s">
        <v>1579</v>
      </c>
      <c r="B1345" s="9" t="s">
        <v>1563</v>
      </c>
      <c r="C1345" s="9" t="s">
        <v>1564</v>
      </c>
      <c r="D1345" s="9" t="s">
        <v>1215</v>
      </c>
      <c r="E1345" s="9" t="s">
        <v>196</v>
      </c>
      <c r="F1345" s="9" t="s">
        <v>200</v>
      </c>
      <c r="G1345" s="9" t="s">
        <v>201</v>
      </c>
      <c r="H1345" s="9" t="n">
        <v>540</v>
      </c>
      <c r="I1345" s="29" t="n">
        <v>1.2</v>
      </c>
      <c r="J1345" s="9" t="n">
        <v>1</v>
      </c>
      <c r="K1345" s="30"/>
      <c r="L1345" s="30"/>
      <c r="M1345" s="30"/>
      <c r="N1345" s="30"/>
      <c r="O1345" s="30"/>
      <c r="P1345" s="30"/>
      <c r="Q1345" s="30"/>
      <c r="R1345" s="30"/>
      <c r="S1345" s="30"/>
      <c r="T1345" s="30"/>
      <c r="U1345" s="21" t="str">
        <f aca="false">IF(COUNT(K1345:T1345)=0,"SOURCE EMPTY / INDUSTRIAL ONLY",IF(MIN(K1345:T1345)=1,"SERVICE READY","HOLD"))</f>
        <v>SOURCE EMPTY / INDUSTRIAL ONLY</v>
      </c>
      <c r="V1345" s="9" t="n">
        <f aca="false">IF(U1345="SERVICE READY",1,0)</f>
        <v>0</v>
      </c>
      <c r="W1345" s="6"/>
      <c r="X1345" s="6"/>
      <c r="Y1345" s="6"/>
      <c r="Z1345" s="6"/>
    </row>
    <row r="1346" customFormat="false" ht="15" hidden="false" customHeight="false" outlineLevel="0" collapsed="false">
      <c r="A1346" s="9" t="s">
        <v>1580</v>
      </c>
      <c r="B1346" s="9" t="s">
        <v>1563</v>
      </c>
      <c r="C1346" s="9" t="s">
        <v>1564</v>
      </c>
      <c r="D1346" s="9" t="s">
        <v>1215</v>
      </c>
      <c r="E1346" s="9" t="s">
        <v>196</v>
      </c>
      <c r="F1346" s="9" t="s">
        <v>203</v>
      </c>
      <c r="G1346" s="9" t="s">
        <v>198</v>
      </c>
      <c r="H1346" s="9" t="n">
        <v>540</v>
      </c>
      <c r="I1346" s="29" t="n">
        <v>1.2</v>
      </c>
      <c r="J1346" s="9" t="n">
        <v>1</v>
      </c>
      <c r="K1346" s="30"/>
      <c r="L1346" s="30"/>
      <c r="M1346" s="30"/>
      <c r="N1346" s="30"/>
      <c r="O1346" s="30"/>
      <c r="P1346" s="30"/>
      <c r="Q1346" s="30"/>
      <c r="R1346" s="30"/>
      <c r="S1346" s="30"/>
      <c r="T1346" s="30"/>
      <c r="U1346" s="21" t="str">
        <f aca="false">IF(COUNT(K1346:T1346)=0,"SOURCE EMPTY / INDUSTRIAL ONLY",IF(MIN(K1346:T1346)=1,"SERVICE READY","HOLD"))</f>
        <v>SOURCE EMPTY / INDUSTRIAL ONLY</v>
      </c>
      <c r="V1346" s="9" t="n">
        <f aca="false">IF(U1346="SERVICE READY",1,0)</f>
        <v>0</v>
      </c>
      <c r="W1346" s="6"/>
      <c r="X1346" s="6"/>
      <c r="Y1346" s="6"/>
      <c r="Z1346" s="6"/>
    </row>
    <row r="1347" customFormat="false" ht="15" hidden="false" customHeight="false" outlineLevel="0" collapsed="false">
      <c r="A1347" s="9" t="s">
        <v>1581</v>
      </c>
      <c r="B1347" s="9" t="s">
        <v>1563</v>
      </c>
      <c r="C1347" s="9" t="s">
        <v>1564</v>
      </c>
      <c r="D1347" s="9" t="s">
        <v>1215</v>
      </c>
      <c r="E1347" s="9" t="s">
        <v>196</v>
      </c>
      <c r="F1347" s="9" t="s">
        <v>205</v>
      </c>
      <c r="G1347" s="9" t="s">
        <v>201</v>
      </c>
      <c r="H1347" s="9" t="n">
        <v>540</v>
      </c>
      <c r="I1347" s="29" t="n">
        <v>1.2</v>
      </c>
      <c r="J1347" s="9" t="n">
        <v>1</v>
      </c>
      <c r="K1347" s="30"/>
      <c r="L1347" s="30"/>
      <c r="M1347" s="30"/>
      <c r="N1347" s="30"/>
      <c r="O1347" s="30"/>
      <c r="P1347" s="30"/>
      <c r="Q1347" s="30"/>
      <c r="R1347" s="30"/>
      <c r="S1347" s="30"/>
      <c r="T1347" s="30"/>
      <c r="U1347" s="21" t="str">
        <f aca="false">IF(COUNT(K1347:T1347)=0,"SOURCE EMPTY / INDUSTRIAL ONLY",IF(MIN(K1347:T1347)=1,"SERVICE READY","HOLD"))</f>
        <v>SOURCE EMPTY / INDUSTRIAL ONLY</v>
      </c>
      <c r="V1347" s="9" t="n">
        <f aca="false">IF(U1347="SERVICE READY",1,0)</f>
        <v>0</v>
      </c>
      <c r="W1347" s="6"/>
      <c r="X1347" s="6"/>
      <c r="Y1347" s="6"/>
      <c r="Z1347" s="6"/>
    </row>
    <row r="1348" customFormat="false" ht="15" hidden="false" customHeight="false" outlineLevel="0" collapsed="false">
      <c r="A1348" s="9" t="s">
        <v>1582</v>
      </c>
      <c r="B1348" s="9" t="s">
        <v>1563</v>
      </c>
      <c r="C1348" s="9" t="s">
        <v>1564</v>
      </c>
      <c r="D1348" s="9" t="s">
        <v>1215</v>
      </c>
      <c r="E1348" s="9" t="s">
        <v>196</v>
      </c>
      <c r="F1348" s="9" t="s">
        <v>207</v>
      </c>
      <c r="G1348" s="9" t="s">
        <v>198</v>
      </c>
      <c r="H1348" s="9" t="n">
        <v>540</v>
      </c>
      <c r="I1348" s="29" t="n">
        <v>1.2</v>
      </c>
      <c r="J1348" s="9" t="n">
        <v>1</v>
      </c>
      <c r="K1348" s="30"/>
      <c r="L1348" s="30"/>
      <c r="M1348" s="30"/>
      <c r="N1348" s="30"/>
      <c r="O1348" s="30"/>
      <c r="P1348" s="30"/>
      <c r="Q1348" s="30"/>
      <c r="R1348" s="30"/>
      <c r="S1348" s="30"/>
      <c r="T1348" s="30"/>
      <c r="U1348" s="21" t="str">
        <f aca="false">IF(COUNT(K1348:T1348)=0,"SOURCE EMPTY / INDUSTRIAL ONLY",IF(MIN(K1348:T1348)=1,"SERVICE READY","HOLD"))</f>
        <v>SOURCE EMPTY / INDUSTRIAL ONLY</v>
      </c>
      <c r="V1348" s="9" t="n">
        <f aca="false">IF(U1348="SERVICE READY",1,0)</f>
        <v>0</v>
      </c>
      <c r="W1348" s="6"/>
      <c r="X1348" s="6"/>
      <c r="Y1348" s="6"/>
      <c r="Z1348" s="6"/>
    </row>
    <row r="1349" customFormat="false" ht="15" hidden="false" customHeight="false" outlineLevel="0" collapsed="false">
      <c r="A1349" s="9" t="s">
        <v>1583</v>
      </c>
      <c r="B1349" s="9" t="s">
        <v>1563</v>
      </c>
      <c r="C1349" s="9" t="s">
        <v>1564</v>
      </c>
      <c r="D1349" s="9" t="s">
        <v>1215</v>
      </c>
      <c r="E1349" s="9" t="s">
        <v>196</v>
      </c>
      <c r="F1349" s="9" t="s">
        <v>209</v>
      </c>
      <c r="G1349" s="9" t="s">
        <v>221</v>
      </c>
      <c r="H1349" s="9" t="n">
        <v>540</v>
      </c>
      <c r="I1349" s="29" t="n">
        <v>1.2</v>
      </c>
      <c r="J1349" s="9" t="n">
        <v>1</v>
      </c>
      <c r="K1349" s="30"/>
      <c r="L1349" s="30"/>
      <c r="M1349" s="30"/>
      <c r="N1349" s="30"/>
      <c r="O1349" s="30"/>
      <c r="P1349" s="30"/>
      <c r="Q1349" s="30"/>
      <c r="R1349" s="30"/>
      <c r="S1349" s="30"/>
      <c r="T1349" s="30"/>
      <c r="U1349" s="21" t="str">
        <f aca="false">IF(COUNT(K1349:T1349)=0,"SOURCE EMPTY / INDUSTRIAL ONLY",IF(MIN(K1349:T1349)=1,"SERVICE READY","HOLD"))</f>
        <v>SOURCE EMPTY / INDUSTRIAL ONLY</v>
      </c>
      <c r="V1349" s="9" t="n">
        <f aca="false">IF(U1349="SERVICE READY",1,0)</f>
        <v>0</v>
      </c>
      <c r="W1349" s="6"/>
      <c r="X1349" s="6"/>
      <c r="Y1349" s="6"/>
      <c r="Z1349" s="6"/>
    </row>
    <row r="1350" customFormat="false" ht="15" hidden="false" customHeight="false" outlineLevel="0" collapsed="false">
      <c r="A1350" s="9" t="s">
        <v>1584</v>
      </c>
      <c r="B1350" s="9" t="s">
        <v>1563</v>
      </c>
      <c r="C1350" s="9" t="s">
        <v>1564</v>
      </c>
      <c r="D1350" s="9" t="s">
        <v>1215</v>
      </c>
      <c r="E1350" s="9" t="s">
        <v>196</v>
      </c>
      <c r="F1350" s="9" t="s">
        <v>211</v>
      </c>
      <c r="G1350" s="9" t="s">
        <v>221</v>
      </c>
      <c r="H1350" s="9" t="n">
        <v>540</v>
      </c>
      <c r="I1350" s="29" t="n">
        <v>1.2</v>
      </c>
      <c r="J1350" s="9" t="n">
        <v>1</v>
      </c>
      <c r="K1350" s="30"/>
      <c r="L1350" s="30"/>
      <c r="M1350" s="30"/>
      <c r="N1350" s="30"/>
      <c r="O1350" s="30"/>
      <c r="P1350" s="30"/>
      <c r="Q1350" s="30"/>
      <c r="R1350" s="30"/>
      <c r="S1350" s="30"/>
      <c r="T1350" s="30"/>
      <c r="U1350" s="21" t="str">
        <f aca="false">IF(COUNT(K1350:T1350)=0,"SOURCE EMPTY / INDUSTRIAL ONLY",IF(MIN(K1350:T1350)=1,"SERVICE READY","HOLD"))</f>
        <v>SOURCE EMPTY / INDUSTRIAL ONLY</v>
      </c>
      <c r="V1350" s="9" t="n">
        <f aca="false">IF(U1350="SERVICE READY",1,0)</f>
        <v>0</v>
      </c>
      <c r="W1350" s="6"/>
      <c r="X1350" s="6"/>
      <c r="Y1350" s="6"/>
      <c r="Z1350" s="6"/>
    </row>
    <row r="1351" customFormat="false" ht="15" hidden="false" customHeight="false" outlineLevel="0" collapsed="false">
      <c r="A1351" s="9" t="s">
        <v>1585</v>
      </c>
      <c r="B1351" s="9" t="s">
        <v>1563</v>
      </c>
      <c r="C1351" s="9" t="s">
        <v>1564</v>
      </c>
      <c r="D1351" s="9" t="s">
        <v>1215</v>
      </c>
      <c r="E1351" s="9" t="s">
        <v>196</v>
      </c>
      <c r="F1351" s="9" t="s">
        <v>197</v>
      </c>
      <c r="G1351" s="9" t="s">
        <v>221</v>
      </c>
      <c r="H1351" s="9" t="n">
        <v>540</v>
      </c>
      <c r="I1351" s="29" t="n">
        <v>1.2</v>
      </c>
      <c r="J1351" s="9" t="n">
        <v>1</v>
      </c>
      <c r="K1351" s="30"/>
      <c r="L1351" s="30"/>
      <c r="M1351" s="30"/>
      <c r="N1351" s="30"/>
      <c r="O1351" s="30"/>
      <c r="P1351" s="30"/>
      <c r="Q1351" s="30"/>
      <c r="R1351" s="30"/>
      <c r="S1351" s="30"/>
      <c r="T1351" s="30"/>
      <c r="U1351" s="21" t="str">
        <f aca="false">IF(COUNT(K1351:T1351)=0,"SOURCE EMPTY / INDUSTRIAL ONLY",IF(MIN(K1351:T1351)=1,"SERVICE READY","HOLD"))</f>
        <v>SOURCE EMPTY / INDUSTRIAL ONLY</v>
      </c>
      <c r="V1351" s="9" t="n">
        <f aca="false">IF(U1351="SERVICE READY",1,0)</f>
        <v>0</v>
      </c>
      <c r="W1351" s="6"/>
      <c r="X1351" s="6"/>
      <c r="Y1351" s="6"/>
      <c r="Z1351" s="6"/>
    </row>
    <row r="1352" customFormat="false" ht="15" hidden="false" customHeight="false" outlineLevel="0" collapsed="false">
      <c r="A1352" s="9" t="s">
        <v>1586</v>
      </c>
      <c r="B1352" s="9" t="s">
        <v>1563</v>
      </c>
      <c r="C1352" s="9" t="s">
        <v>1564</v>
      </c>
      <c r="D1352" s="9" t="s">
        <v>1215</v>
      </c>
      <c r="E1352" s="9" t="s">
        <v>196</v>
      </c>
      <c r="F1352" s="9" t="s">
        <v>200</v>
      </c>
      <c r="G1352" s="9" t="s">
        <v>221</v>
      </c>
      <c r="H1352" s="9" t="n">
        <v>540</v>
      </c>
      <c r="I1352" s="29" t="n">
        <v>1.2</v>
      </c>
      <c r="J1352" s="9" t="n">
        <v>1</v>
      </c>
      <c r="K1352" s="30"/>
      <c r="L1352" s="30"/>
      <c r="M1352" s="30"/>
      <c r="N1352" s="30"/>
      <c r="O1352" s="30"/>
      <c r="P1352" s="30"/>
      <c r="Q1352" s="30"/>
      <c r="R1352" s="30"/>
      <c r="S1352" s="30"/>
      <c r="T1352" s="30"/>
      <c r="U1352" s="21" t="str">
        <f aca="false">IF(COUNT(K1352:T1352)=0,"SOURCE EMPTY / INDUSTRIAL ONLY",IF(MIN(K1352:T1352)=1,"SERVICE READY","HOLD"))</f>
        <v>SOURCE EMPTY / INDUSTRIAL ONLY</v>
      </c>
      <c r="V1352" s="9" t="n">
        <f aca="false">IF(U1352="SERVICE READY",1,0)</f>
        <v>0</v>
      </c>
      <c r="W1352" s="6"/>
      <c r="X1352" s="6"/>
      <c r="Y1352" s="6"/>
      <c r="Z1352" s="6"/>
    </row>
    <row r="1353" customFormat="false" ht="15" hidden="false" customHeight="false" outlineLevel="0" collapsed="false">
      <c r="A1353" s="9" t="s">
        <v>1587</v>
      </c>
      <c r="B1353" s="9" t="s">
        <v>1563</v>
      </c>
      <c r="C1353" s="9" t="s">
        <v>1564</v>
      </c>
      <c r="D1353" s="9" t="s">
        <v>1215</v>
      </c>
      <c r="E1353" s="9" t="s">
        <v>196</v>
      </c>
      <c r="F1353" s="9" t="s">
        <v>203</v>
      </c>
      <c r="G1353" s="9" t="s">
        <v>221</v>
      </c>
      <c r="H1353" s="9" t="n">
        <v>540</v>
      </c>
      <c r="I1353" s="29" t="n">
        <v>1.2</v>
      </c>
      <c r="J1353" s="9" t="n">
        <v>1</v>
      </c>
      <c r="K1353" s="30"/>
      <c r="L1353" s="30"/>
      <c r="M1353" s="30"/>
      <c r="N1353" s="30"/>
      <c r="O1353" s="30"/>
      <c r="P1353" s="30"/>
      <c r="Q1353" s="30"/>
      <c r="R1353" s="30"/>
      <c r="S1353" s="30"/>
      <c r="T1353" s="30"/>
      <c r="U1353" s="21" t="str">
        <f aca="false">IF(COUNT(K1353:T1353)=0,"SOURCE EMPTY / INDUSTRIAL ONLY",IF(MIN(K1353:T1353)=1,"SERVICE READY","HOLD"))</f>
        <v>SOURCE EMPTY / INDUSTRIAL ONLY</v>
      </c>
      <c r="V1353" s="9" t="n">
        <f aca="false">IF(U1353="SERVICE READY",1,0)</f>
        <v>0</v>
      </c>
      <c r="W1353" s="6"/>
      <c r="X1353" s="6"/>
      <c r="Y1353" s="6"/>
      <c r="Z1353" s="6"/>
    </row>
    <row r="1354" customFormat="false" ht="15" hidden="false" customHeight="false" outlineLevel="0" collapsed="false">
      <c r="A1354" s="9" t="s">
        <v>1588</v>
      </c>
      <c r="B1354" s="9" t="s">
        <v>1563</v>
      </c>
      <c r="C1354" s="9" t="s">
        <v>1564</v>
      </c>
      <c r="D1354" s="9" t="s">
        <v>1215</v>
      </c>
      <c r="E1354" s="9" t="s">
        <v>196</v>
      </c>
      <c r="F1354" s="9" t="s">
        <v>205</v>
      </c>
      <c r="G1354" s="9" t="s">
        <v>221</v>
      </c>
      <c r="H1354" s="9" t="n">
        <v>540</v>
      </c>
      <c r="I1354" s="29" t="n">
        <v>1.2</v>
      </c>
      <c r="J1354" s="9" t="n">
        <v>1</v>
      </c>
      <c r="K1354" s="30"/>
      <c r="L1354" s="30"/>
      <c r="M1354" s="30"/>
      <c r="N1354" s="30"/>
      <c r="O1354" s="30"/>
      <c r="P1354" s="30"/>
      <c r="Q1354" s="30"/>
      <c r="R1354" s="30"/>
      <c r="S1354" s="30"/>
      <c r="T1354" s="30"/>
      <c r="U1354" s="21" t="str">
        <f aca="false">IF(COUNT(K1354:T1354)=0,"SOURCE EMPTY / INDUSTRIAL ONLY",IF(MIN(K1354:T1354)=1,"SERVICE READY","HOLD"))</f>
        <v>SOURCE EMPTY / INDUSTRIAL ONLY</v>
      </c>
      <c r="V1354" s="9" t="n">
        <f aca="false">IF(U1354="SERVICE READY",1,0)</f>
        <v>0</v>
      </c>
      <c r="W1354" s="6"/>
      <c r="X1354" s="6"/>
      <c r="Y1354" s="6"/>
      <c r="Z1354" s="6"/>
    </row>
    <row r="1355" customFormat="false" ht="15" hidden="false" customHeight="false" outlineLevel="0" collapsed="false">
      <c r="A1355" s="9" t="s">
        <v>1589</v>
      </c>
      <c r="B1355" s="9" t="s">
        <v>1563</v>
      </c>
      <c r="C1355" s="9" t="s">
        <v>1564</v>
      </c>
      <c r="D1355" s="9" t="s">
        <v>1215</v>
      </c>
      <c r="E1355" s="9" t="s">
        <v>196</v>
      </c>
      <c r="F1355" s="9" t="s">
        <v>207</v>
      </c>
      <c r="G1355" s="9" t="s">
        <v>221</v>
      </c>
      <c r="H1355" s="9" t="n">
        <v>540</v>
      </c>
      <c r="I1355" s="29" t="n">
        <v>1.2</v>
      </c>
      <c r="J1355" s="9" t="n">
        <v>1</v>
      </c>
      <c r="K1355" s="30"/>
      <c r="L1355" s="30"/>
      <c r="M1355" s="30"/>
      <c r="N1355" s="30"/>
      <c r="O1355" s="30"/>
      <c r="P1355" s="30"/>
      <c r="Q1355" s="30"/>
      <c r="R1355" s="30"/>
      <c r="S1355" s="30"/>
      <c r="T1355" s="30"/>
      <c r="U1355" s="21" t="str">
        <f aca="false">IF(COUNT(K1355:T1355)=0,"SOURCE EMPTY / INDUSTRIAL ONLY",IF(MIN(K1355:T1355)=1,"SERVICE READY","HOLD"))</f>
        <v>SOURCE EMPTY / INDUSTRIAL ONLY</v>
      </c>
      <c r="V1355" s="9" t="n">
        <f aca="false">IF(U1355="SERVICE READY",1,0)</f>
        <v>0</v>
      </c>
      <c r="W1355" s="6"/>
      <c r="X1355" s="6"/>
      <c r="Y1355" s="6"/>
      <c r="Z1355" s="6"/>
    </row>
    <row r="1356" customFormat="false" ht="15" hidden="false" customHeight="false" outlineLevel="0" collapsed="false">
      <c r="A1356" s="9" t="s">
        <v>1590</v>
      </c>
      <c r="B1356" s="9" t="s">
        <v>1563</v>
      </c>
      <c r="C1356" s="9" t="s">
        <v>1564</v>
      </c>
      <c r="D1356" s="9" t="s">
        <v>1215</v>
      </c>
      <c r="E1356" s="9" t="s">
        <v>196</v>
      </c>
      <c r="F1356" s="9" t="s">
        <v>209</v>
      </c>
      <c r="G1356" s="9" t="s">
        <v>221</v>
      </c>
      <c r="H1356" s="9" t="n">
        <v>540</v>
      </c>
      <c r="I1356" s="29" t="n">
        <v>1.2</v>
      </c>
      <c r="J1356" s="9" t="n">
        <v>1</v>
      </c>
      <c r="K1356" s="30"/>
      <c r="L1356" s="30"/>
      <c r="M1356" s="30"/>
      <c r="N1356" s="30"/>
      <c r="O1356" s="30"/>
      <c r="P1356" s="30"/>
      <c r="Q1356" s="30"/>
      <c r="R1356" s="30"/>
      <c r="S1356" s="30"/>
      <c r="T1356" s="30"/>
      <c r="U1356" s="21" t="str">
        <f aca="false">IF(COUNT(K1356:T1356)=0,"SOURCE EMPTY / INDUSTRIAL ONLY",IF(MIN(K1356:T1356)=1,"SERVICE READY","HOLD"))</f>
        <v>SOURCE EMPTY / INDUSTRIAL ONLY</v>
      </c>
      <c r="V1356" s="9" t="n">
        <f aca="false">IF(U1356="SERVICE READY",1,0)</f>
        <v>0</v>
      </c>
      <c r="W1356" s="6"/>
      <c r="X1356" s="6"/>
      <c r="Y1356" s="6"/>
      <c r="Z1356" s="6"/>
    </row>
    <row r="1357" customFormat="false" ht="15" hidden="false" customHeight="false" outlineLevel="0" collapsed="false">
      <c r="A1357" s="9" t="s">
        <v>1591</v>
      </c>
      <c r="B1357" s="9" t="s">
        <v>1563</v>
      </c>
      <c r="C1357" s="9" t="s">
        <v>1564</v>
      </c>
      <c r="D1357" s="9" t="s">
        <v>1215</v>
      </c>
      <c r="E1357" s="9" t="s">
        <v>196</v>
      </c>
      <c r="F1357" s="9" t="s">
        <v>211</v>
      </c>
      <c r="G1357" s="9" t="s">
        <v>221</v>
      </c>
      <c r="H1357" s="9" t="n">
        <v>540</v>
      </c>
      <c r="I1357" s="29" t="n">
        <v>1.2</v>
      </c>
      <c r="J1357" s="9" t="n">
        <v>1</v>
      </c>
      <c r="K1357" s="30"/>
      <c r="L1357" s="30"/>
      <c r="M1357" s="30"/>
      <c r="N1357" s="30"/>
      <c r="O1357" s="30"/>
      <c r="P1357" s="30"/>
      <c r="Q1357" s="30"/>
      <c r="R1357" s="30"/>
      <c r="S1357" s="30"/>
      <c r="T1357" s="30"/>
      <c r="U1357" s="21" t="str">
        <f aca="false">IF(COUNT(K1357:T1357)=0,"SOURCE EMPTY / INDUSTRIAL ONLY",IF(MIN(K1357:T1357)=1,"SERVICE READY","HOLD"))</f>
        <v>SOURCE EMPTY / INDUSTRIAL ONLY</v>
      </c>
      <c r="V1357" s="9" t="n">
        <f aca="false">IF(U1357="SERVICE READY",1,0)</f>
        <v>0</v>
      </c>
      <c r="W1357" s="6"/>
      <c r="X1357" s="6"/>
      <c r="Y1357" s="6"/>
      <c r="Z1357" s="6"/>
    </row>
    <row r="1358" customFormat="false" ht="15" hidden="false" customHeight="false" outlineLevel="0" collapsed="false">
      <c r="A1358" s="9" t="s">
        <v>1592</v>
      </c>
      <c r="B1358" s="9" t="s">
        <v>1563</v>
      </c>
      <c r="C1358" s="9" t="s">
        <v>1564</v>
      </c>
      <c r="D1358" s="9" t="s">
        <v>1215</v>
      </c>
      <c r="E1358" s="9" t="s">
        <v>196</v>
      </c>
      <c r="F1358" s="9" t="s">
        <v>197</v>
      </c>
      <c r="G1358" s="9" t="s">
        <v>221</v>
      </c>
      <c r="H1358" s="9" t="n">
        <v>540</v>
      </c>
      <c r="I1358" s="29" t="n">
        <v>1.2</v>
      </c>
      <c r="J1358" s="9" t="n">
        <v>1</v>
      </c>
      <c r="K1358" s="30"/>
      <c r="L1358" s="30"/>
      <c r="M1358" s="30"/>
      <c r="N1358" s="30"/>
      <c r="O1358" s="30"/>
      <c r="P1358" s="30"/>
      <c r="Q1358" s="30"/>
      <c r="R1358" s="30"/>
      <c r="S1358" s="30"/>
      <c r="T1358" s="30"/>
      <c r="U1358" s="21" t="str">
        <f aca="false">IF(COUNT(K1358:T1358)=0,"SOURCE EMPTY / INDUSTRIAL ONLY",IF(MIN(K1358:T1358)=1,"SERVICE READY","HOLD"))</f>
        <v>SOURCE EMPTY / INDUSTRIAL ONLY</v>
      </c>
      <c r="V1358" s="9" t="n">
        <f aca="false">IF(U1358="SERVICE READY",1,0)</f>
        <v>0</v>
      </c>
      <c r="W1358" s="6"/>
      <c r="X1358" s="6"/>
      <c r="Y1358" s="6"/>
      <c r="Z1358" s="6"/>
    </row>
    <row r="1359" customFormat="false" ht="15" hidden="false" customHeight="false" outlineLevel="0" collapsed="false">
      <c r="A1359" s="9" t="s">
        <v>1593</v>
      </c>
      <c r="B1359" s="9" t="s">
        <v>1563</v>
      </c>
      <c r="C1359" s="9" t="s">
        <v>1564</v>
      </c>
      <c r="D1359" s="9" t="s">
        <v>1215</v>
      </c>
      <c r="E1359" s="9" t="s">
        <v>196</v>
      </c>
      <c r="F1359" s="9" t="s">
        <v>200</v>
      </c>
      <c r="G1359" s="9" t="s">
        <v>221</v>
      </c>
      <c r="H1359" s="9" t="n">
        <v>540</v>
      </c>
      <c r="I1359" s="29" t="n">
        <v>1.2</v>
      </c>
      <c r="J1359" s="9" t="n">
        <v>1</v>
      </c>
      <c r="K1359" s="30"/>
      <c r="L1359" s="30"/>
      <c r="M1359" s="30"/>
      <c r="N1359" s="30"/>
      <c r="O1359" s="30"/>
      <c r="P1359" s="30"/>
      <c r="Q1359" s="30"/>
      <c r="R1359" s="30"/>
      <c r="S1359" s="30"/>
      <c r="T1359" s="30"/>
      <c r="U1359" s="21" t="str">
        <f aca="false">IF(COUNT(K1359:T1359)=0,"SOURCE EMPTY / INDUSTRIAL ONLY",IF(MIN(K1359:T1359)=1,"SERVICE READY","HOLD"))</f>
        <v>SOURCE EMPTY / INDUSTRIAL ONLY</v>
      </c>
      <c r="V1359" s="9" t="n">
        <f aca="false">IF(U1359="SERVICE READY",1,0)</f>
        <v>0</v>
      </c>
      <c r="W1359" s="6"/>
      <c r="X1359" s="6"/>
      <c r="Y1359" s="6"/>
      <c r="Z1359" s="6"/>
    </row>
    <row r="1360" customFormat="false" ht="15" hidden="false" customHeight="false" outlineLevel="0" collapsed="false">
      <c r="A1360" s="9" t="s">
        <v>1594</v>
      </c>
      <c r="B1360" s="9" t="s">
        <v>1563</v>
      </c>
      <c r="C1360" s="9" t="s">
        <v>1564</v>
      </c>
      <c r="D1360" s="9" t="s">
        <v>1215</v>
      </c>
      <c r="E1360" s="9" t="s">
        <v>196</v>
      </c>
      <c r="F1360" s="9" t="s">
        <v>203</v>
      </c>
      <c r="G1360" s="9" t="s">
        <v>221</v>
      </c>
      <c r="H1360" s="9" t="n">
        <v>540</v>
      </c>
      <c r="I1360" s="29" t="n">
        <v>1.2</v>
      </c>
      <c r="J1360" s="9" t="n">
        <v>1</v>
      </c>
      <c r="K1360" s="30"/>
      <c r="L1360" s="30"/>
      <c r="M1360" s="30"/>
      <c r="N1360" s="30"/>
      <c r="O1360" s="30"/>
      <c r="P1360" s="30"/>
      <c r="Q1360" s="30"/>
      <c r="R1360" s="30"/>
      <c r="S1360" s="30"/>
      <c r="T1360" s="30"/>
      <c r="U1360" s="21" t="str">
        <f aca="false">IF(COUNT(K1360:T1360)=0,"SOURCE EMPTY / INDUSTRIAL ONLY",IF(MIN(K1360:T1360)=1,"SERVICE READY","HOLD"))</f>
        <v>SOURCE EMPTY / INDUSTRIAL ONLY</v>
      </c>
      <c r="V1360" s="9" t="n">
        <f aca="false">IF(U1360="SERVICE READY",1,0)</f>
        <v>0</v>
      </c>
      <c r="W1360" s="6"/>
      <c r="X1360" s="6"/>
      <c r="Y1360" s="6"/>
      <c r="Z1360" s="6"/>
    </row>
    <row r="1361" customFormat="false" ht="15" hidden="false" customHeight="false" outlineLevel="0" collapsed="false">
      <c r="A1361" s="9" t="s">
        <v>1595</v>
      </c>
      <c r="B1361" s="9" t="s">
        <v>1563</v>
      </c>
      <c r="C1361" s="9" t="s">
        <v>1564</v>
      </c>
      <c r="D1361" s="9" t="s">
        <v>1215</v>
      </c>
      <c r="E1361" s="9" t="s">
        <v>196</v>
      </c>
      <c r="F1361" s="9" t="s">
        <v>205</v>
      </c>
      <c r="G1361" s="9" t="s">
        <v>221</v>
      </c>
      <c r="H1361" s="9" t="n">
        <v>540</v>
      </c>
      <c r="I1361" s="29" t="n">
        <v>1.2</v>
      </c>
      <c r="J1361" s="9" t="n">
        <v>1</v>
      </c>
      <c r="K1361" s="30"/>
      <c r="L1361" s="30"/>
      <c r="M1361" s="30"/>
      <c r="N1361" s="30"/>
      <c r="O1361" s="30"/>
      <c r="P1361" s="30"/>
      <c r="Q1361" s="30"/>
      <c r="R1361" s="30"/>
      <c r="S1361" s="30"/>
      <c r="T1361" s="30"/>
      <c r="U1361" s="21" t="str">
        <f aca="false">IF(COUNT(K1361:T1361)=0,"SOURCE EMPTY / INDUSTRIAL ONLY",IF(MIN(K1361:T1361)=1,"SERVICE READY","HOLD"))</f>
        <v>SOURCE EMPTY / INDUSTRIAL ONLY</v>
      </c>
      <c r="V1361" s="9" t="n">
        <f aca="false">IF(U1361="SERVICE READY",1,0)</f>
        <v>0</v>
      </c>
      <c r="W1361" s="6"/>
      <c r="X1361" s="6"/>
      <c r="Y1361" s="6"/>
      <c r="Z1361" s="6"/>
    </row>
    <row r="1362" customFormat="false" ht="15" hidden="false" customHeight="false" outlineLevel="0" collapsed="false">
      <c r="A1362" s="9" t="s">
        <v>1596</v>
      </c>
      <c r="B1362" s="9" t="s">
        <v>1563</v>
      </c>
      <c r="C1362" s="9" t="s">
        <v>1564</v>
      </c>
      <c r="D1362" s="9" t="s">
        <v>1215</v>
      </c>
      <c r="E1362" s="9" t="s">
        <v>196</v>
      </c>
      <c r="F1362" s="9" t="s">
        <v>207</v>
      </c>
      <c r="G1362" s="9" t="s">
        <v>221</v>
      </c>
      <c r="H1362" s="9" t="n">
        <v>540</v>
      </c>
      <c r="I1362" s="29" t="n">
        <v>1.2</v>
      </c>
      <c r="J1362" s="9" t="n">
        <v>1</v>
      </c>
      <c r="K1362" s="30"/>
      <c r="L1362" s="30"/>
      <c r="M1362" s="30"/>
      <c r="N1362" s="30"/>
      <c r="O1362" s="30"/>
      <c r="P1362" s="30"/>
      <c r="Q1362" s="30"/>
      <c r="R1362" s="30"/>
      <c r="S1362" s="30"/>
      <c r="T1362" s="30"/>
      <c r="U1362" s="21" t="str">
        <f aca="false">IF(COUNT(K1362:T1362)=0,"SOURCE EMPTY / INDUSTRIAL ONLY",IF(MIN(K1362:T1362)=1,"SERVICE READY","HOLD"))</f>
        <v>SOURCE EMPTY / INDUSTRIAL ONLY</v>
      </c>
      <c r="V1362" s="9" t="n">
        <f aca="false">IF(U1362="SERVICE READY",1,0)</f>
        <v>0</v>
      </c>
      <c r="W1362" s="6"/>
      <c r="X1362" s="6"/>
      <c r="Y1362" s="6"/>
      <c r="Z1362" s="6"/>
    </row>
    <row r="1363" customFormat="false" ht="15" hidden="false" customHeight="false" outlineLevel="0" collapsed="false">
      <c r="A1363" s="9" t="s">
        <v>1597</v>
      </c>
      <c r="B1363" s="9" t="s">
        <v>1563</v>
      </c>
      <c r="C1363" s="9" t="s">
        <v>1564</v>
      </c>
      <c r="D1363" s="9" t="s">
        <v>1215</v>
      </c>
      <c r="E1363" s="9" t="s">
        <v>196</v>
      </c>
      <c r="F1363" s="9" t="s">
        <v>209</v>
      </c>
      <c r="G1363" s="9" t="s">
        <v>221</v>
      </c>
      <c r="H1363" s="9" t="n">
        <v>540</v>
      </c>
      <c r="I1363" s="29" t="n">
        <v>1.2</v>
      </c>
      <c r="J1363" s="9" t="n">
        <v>1</v>
      </c>
      <c r="K1363" s="30"/>
      <c r="L1363" s="30"/>
      <c r="M1363" s="30"/>
      <c r="N1363" s="30"/>
      <c r="O1363" s="30"/>
      <c r="P1363" s="30"/>
      <c r="Q1363" s="30"/>
      <c r="R1363" s="30"/>
      <c r="S1363" s="30"/>
      <c r="T1363" s="30"/>
      <c r="U1363" s="21" t="str">
        <f aca="false">IF(COUNT(K1363:T1363)=0,"SOURCE EMPTY / INDUSTRIAL ONLY",IF(MIN(K1363:T1363)=1,"SERVICE READY","HOLD"))</f>
        <v>SOURCE EMPTY / INDUSTRIAL ONLY</v>
      </c>
      <c r="V1363" s="9" t="n">
        <f aca="false">IF(U1363="SERVICE READY",1,0)</f>
        <v>0</v>
      </c>
      <c r="W1363" s="6"/>
      <c r="X1363" s="6"/>
      <c r="Y1363" s="6"/>
      <c r="Z1363" s="6"/>
    </row>
    <row r="1364" customFormat="false" ht="15" hidden="false" customHeight="false" outlineLevel="0" collapsed="false">
      <c r="A1364" s="9" t="s">
        <v>1598</v>
      </c>
      <c r="B1364" s="9" t="s">
        <v>1563</v>
      </c>
      <c r="C1364" s="9" t="s">
        <v>1564</v>
      </c>
      <c r="D1364" s="9" t="s">
        <v>1215</v>
      </c>
      <c r="E1364" s="9" t="s">
        <v>196</v>
      </c>
      <c r="F1364" s="9" t="s">
        <v>211</v>
      </c>
      <c r="G1364" s="9" t="s">
        <v>221</v>
      </c>
      <c r="H1364" s="9" t="n">
        <v>540</v>
      </c>
      <c r="I1364" s="29" t="n">
        <v>1.2</v>
      </c>
      <c r="J1364" s="9" t="n">
        <v>1</v>
      </c>
      <c r="K1364" s="30"/>
      <c r="L1364" s="30"/>
      <c r="M1364" s="30"/>
      <c r="N1364" s="30"/>
      <c r="O1364" s="30"/>
      <c r="P1364" s="30"/>
      <c r="Q1364" s="30"/>
      <c r="R1364" s="30"/>
      <c r="S1364" s="30"/>
      <c r="T1364" s="30"/>
      <c r="U1364" s="21" t="str">
        <f aca="false">IF(COUNT(K1364:T1364)=0,"SOURCE EMPTY / INDUSTRIAL ONLY",IF(MIN(K1364:T1364)=1,"SERVICE READY","HOLD"))</f>
        <v>SOURCE EMPTY / INDUSTRIAL ONLY</v>
      </c>
      <c r="V1364" s="9" t="n">
        <f aca="false">IF(U1364="SERVICE READY",1,0)</f>
        <v>0</v>
      </c>
      <c r="W1364" s="6"/>
      <c r="X1364" s="6"/>
      <c r="Y1364" s="6"/>
      <c r="Z1364" s="6"/>
    </row>
    <row r="1365" customFormat="false" ht="15" hidden="false" customHeight="false" outlineLevel="0" collapsed="false">
      <c r="A1365" s="9" t="s">
        <v>1599</v>
      </c>
      <c r="B1365" s="9" t="s">
        <v>1563</v>
      </c>
      <c r="C1365" s="9" t="s">
        <v>1564</v>
      </c>
      <c r="D1365" s="9" t="s">
        <v>1215</v>
      </c>
      <c r="E1365" s="9" t="s">
        <v>196</v>
      </c>
      <c r="F1365" s="9" t="s">
        <v>197</v>
      </c>
      <c r="G1365" s="9" t="s">
        <v>221</v>
      </c>
      <c r="H1365" s="9" t="n">
        <v>540</v>
      </c>
      <c r="I1365" s="29" t="n">
        <v>1.2</v>
      </c>
      <c r="J1365" s="9" t="n">
        <v>1</v>
      </c>
      <c r="K1365" s="30"/>
      <c r="L1365" s="30"/>
      <c r="M1365" s="30"/>
      <c r="N1365" s="30"/>
      <c r="O1365" s="30"/>
      <c r="P1365" s="30"/>
      <c r="Q1365" s="30"/>
      <c r="R1365" s="30"/>
      <c r="S1365" s="30"/>
      <c r="T1365" s="30"/>
      <c r="U1365" s="21" t="str">
        <f aca="false">IF(COUNT(K1365:T1365)=0,"SOURCE EMPTY / INDUSTRIAL ONLY",IF(MIN(K1365:T1365)=1,"SERVICE READY","HOLD"))</f>
        <v>SOURCE EMPTY / INDUSTRIAL ONLY</v>
      </c>
      <c r="V1365" s="9" t="n">
        <f aca="false">IF(U1365="SERVICE READY",1,0)</f>
        <v>0</v>
      </c>
      <c r="W1365" s="6"/>
      <c r="X1365" s="6"/>
      <c r="Y1365" s="6"/>
      <c r="Z1365" s="6"/>
    </row>
    <row r="1366" customFormat="false" ht="15" hidden="false" customHeight="false" outlineLevel="0" collapsed="false">
      <c r="A1366" s="9" t="s">
        <v>1600</v>
      </c>
      <c r="B1366" s="9" t="s">
        <v>1563</v>
      </c>
      <c r="C1366" s="9" t="s">
        <v>1564</v>
      </c>
      <c r="D1366" s="9" t="s">
        <v>1215</v>
      </c>
      <c r="E1366" s="9" t="s">
        <v>196</v>
      </c>
      <c r="F1366" s="9" t="s">
        <v>200</v>
      </c>
      <c r="G1366" s="9" t="s">
        <v>221</v>
      </c>
      <c r="H1366" s="9" t="n">
        <v>540</v>
      </c>
      <c r="I1366" s="29" t="n">
        <v>1.2</v>
      </c>
      <c r="J1366" s="9" t="n">
        <v>1</v>
      </c>
      <c r="K1366" s="30"/>
      <c r="L1366" s="30"/>
      <c r="M1366" s="30"/>
      <c r="N1366" s="30"/>
      <c r="O1366" s="30"/>
      <c r="P1366" s="30"/>
      <c r="Q1366" s="30"/>
      <c r="R1366" s="30"/>
      <c r="S1366" s="30"/>
      <c r="T1366" s="30"/>
      <c r="U1366" s="21" t="str">
        <f aca="false">IF(COUNT(K1366:T1366)=0,"SOURCE EMPTY / INDUSTRIAL ONLY",IF(MIN(K1366:T1366)=1,"SERVICE READY","HOLD"))</f>
        <v>SOURCE EMPTY / INDUSTRIAL ONLY</v>
      </c>
      <c r="V1366" s="9" t="n">
        <f aca="false">IF(U1366="SERVICE READY",1,0)</f>
        <v>0</v>
      </c>
      <c r="W1366" s="6"/>
      <c r="X1366" s="6"/>
      <c r="Y1366" s="6"/>
      <c r="Z1366" s="6"/>
    </row>
    <row r="1367" customFormat="false" ht="15" hidden="false" customHeight="false" outlineLevel="0" collapsed="false">
      <c r="A1367" s="9" t="s">
        <v>1601</v>
      </c>
      <c r="B1367" s="9" t="s">
        <v>1563</v>
      </c>
      <c r="C1367" s="9" t="s">
        <v>1564</v>
      </c>
      <c r="D1367" s="9" t="s">
        <v>1215</v>
      </c>
      <c r="E1367" s="9" t="s">
        <v>196</v>
      </c>
      <c r="F1367" s="9" t="s">
        <v>203</v>
      </c>
      <c r="G1367" s="9" t="s">
        <v>221</v>
      </c>
      <c r="H1367" s="9" t="n">
        <v>540</v>
      </c>
      <c r="I1367" s="29" t="n">
        <v>1.2</v>
      </c>
      <c r="J1367" s="9" t="n">
        <v>1</v>
      </c>
      <c r="K1367" s="30"/>
      <c r="L1367" s="30"/>
      <c r="M1367" s="30"/>
      <c r="N1367" s="30"/>
      <c r="O1367" s="30"/>
      <c r="P1367" s="30"/>
      <c r="Q1367" s="30"/>
      <c r="R1367" s="30"/>
      <c r="S1367" s="30"/>
      <c r="T1367" s="30"/>
      <c r="U1367" s="21" t="str">
        <f aca="false">IF(COUNT(K1367:T1367)=0,"SOURCE EMPTY / INDUSTRIAL ONLY",IF(MIN(K1367:T1367)=1,"SERVICE READY","HOLD"))</f>
        <v>SOURCE EMPTY / INDUSTRIAL ONLY</v>
      </c>
      <c r="V1367" s="9" t="n">
        <f aca="false">IF(U1367="SERVICE READY",1,0)</f>
        <v>0</v>
      </c>
      <c r="W1367" s="6"/>
      <c r="X1367" s="6"/>
      <c r="Y1367" s="6"/>
      <c r="Z1367" s="6"/>
    </row>
    <row r="1368" customFormat="false" ht="15" hidden="false" customHeight="false" outlineLevel="0" collapsed="false">
      <c r="A1368" s="9" t="s">
        <v>1602</v>
      </c>
      <c r="B1368" s="9" t="s">
        <v>1563</v>
      </c>
      <c r="C1368" s="9" t="s">
        <v>1564</v>
      </c>
      <c r="D1368" s="9" t="s">
        <v>1215</v>
      </c>
      <c r="E1368" s="9" t="s">
        <v>196</v>
      </c>
      <c r="F1368" s="9" t="s">
        <v>205</v>
      </c>
      <c r="G1368" s="9" t="s">
        <v>221</v>
      </c>
      <c r="H1368" s="9" t="n">
        <v>540</v>
      </c>
      <c r="I1368" s="29" t="n">
        <v>1.2</v>
      </c>
      <c r="J1368" s="9" t="n">
        <v>1</v>
      </c>
      <c r="K1368" s="30"/>
      <c r="L1368" s="30"/>
      <c r="M1368" s="30"/>
      <c r="N1368" s="30"/>
      <c r="O1368" s="30"/>
      <c r="P1368" s="30"/>
      <c r="Q1368" s="30"/>
      <c r="R1368" s="30"/>
      <c r="S1368" s="30"/>
      <c r="T1368" s="30"/>
      <c r="U1368" s="21" t="str">
        <f aca="false">IF(COUNT(K1368:T1368)=0,"SOURCE EMPTY / INDUSTRIAL ONLY",IF(MIN(K1368:T1368)=1,"SERVICE READY","HOLD"))</f>
        <v>SOURCE EMPTY / INDUSTRIAL ONLY</v>
      </c>
      <c r="V1368" s="9" t="n">
        <f aca="false">IF(U1368="SERVICE READY",1,0)</f>
        <v>0</v>
      </c>
      <c r="W1368" s="6"/>
      <c r="X1368" s="6"/>
      <c r="Y1368" s="6"/>
      <c r="Z1368" s="6"/>
    </row>
    <row r="1369" customFormat="false" ht="15" hidden="false" customHeight="false" outlineLevel="0" collapsed="false">
      <c r="A1369" s="9" t="s">
        <v>1603</v>
      </c>
      <c r="B1369" s="9" t="s">
        <v>1563</v>
      </c>
      <c r="C1369" s="9" t="s">
        <v>1564</v>
      </c>
      <c r="D1369" s="9" t="s">
        <v>1215</v>
      </c>
      <c r="E1369" s="9" t="s">
        <v>196</v>
      </c>
      <c r="F1369" s="9" t="s">
        <v>207</v>
      </c>
      <c r="G1369" s="9" t="s">
        <v>221</v>
      </c>
      <c r="H1369" s="9" t="n">
        <v>540</v>
      </c>
      <c r="I1369" s="29" t="n">
        <v>1.2</v>
      </c>
      <c r="J1369" s="9" t="n">
        <v>1</v>
      </c>
      <c r="K1369" s="30"/>
      <c r="L1369" s="30"/>
      <c r="M1369" s="30"/>
      <c r="N1369" s="30"/>
      <c r="O1369" s="30"/>
      <c r="P1369" s="30"/>
      <c r="Q1369" s="30"/>
      <c r="R1369" s="30"/>
      <c r="S1369" s="30"/>
      <c r="T1369" s="30"/>
      <c r="U1369" s="21" t="str">
        <f aca="false">IF(COUNT(K1369:T1369)=0,"SOURCE EMPTY / INDUSTRIAL ONLY",IF(MIN(K1369:T1369)=1,"SERVICE READY","HOLD"))</f>
        <v>SOURCE EMPTY / INDUSTRIAL ONLY</v>
      </c>
      <c r="V1369" s="9" t="n">
        <f aca="false">IF(U1369="SERVICE READY",1,0)</f>
        <v>0</v>
      </c>
      <c r="W1369" s="6"/>
      <c r="X1369" s="6"/>
      <c r="Y1369" s="6"/>
      <c r="Z1369" s="6"/>
    </row>
    <row r="1370" customFormat="false" ht="15" hidden="false" customHeight="false" outlineLevel="0" collapsed="false">
      <c r="A1370" s="9" t="s">
        <v>1604</v>
      </c>
      <c r="B1370" s="9" t="s">
        <v>1563</v>
      </c>
      <c r="C1370" s="9" t="s">
        <v>1564</v>
      </c>
      <c r="D1370" s="9" t="s">
        <v>1215</v>
      </c>
      <c r="E1370" s="9" t="s">
        <v>196</v>
      </c>
      <c r="F1370" s="9" t="s">
        <v>209</v>
      </c>
      <c r="G1370" s="9" t="s">
        <v>221</v>
      </c>
      <c r="H1370" s="9" t="n">
        <v>540</v>
      </c>
      <c r="I1370" s="29" t="n">
        <v>1.2</v>
      </c>
      <c r="J1370" s="9" t="n">
        <v>1</v>
      </c>
      <c r="K1370" s="30"/>
      <c r="L1370" s="30"/>
      <c r="M1370" s="30"/>
      <c r="N1370" s="30"/>
      <c r="O1370" s="30"/>
      <c r="P1370" s="30"/>
      <c r="Q1370" s="30"/>
      <c r="R1370" s="30"/>
      <c r="S1370" s="30"/>
      <c r="T1370" s="30"/>
      <c r="U1370" s="21" t="str">
        <f aca="false">IF(COUNT(K1370:T1370)=0,"SOURCE EMPTY / INDUSTRIAL ONLY",IF(MIN(K1370:T1370)=1,"SERVICE READY","HOLD"))</f>
        <v>SOURCE EMPTY / INDUSTRIAL ONLY</v>
      </c>
      <c r="V1370" s="9" t="n">
        <f aca="false">IF(U1370="SERVICE READY",1,0)</f>
        <v>0</v>
      </c>
      <c r="W1370" s="6"/>
      <c r="X1370" s="6"/>
      <c r="Y1370" s="6"/>
      <c r="Z1370" s="6"/>
    </row>
    <row r="1371" customFormat="false" ht="15" hidden="false" customHeight="false" outlineLevel="0" collapsed="false">
      <c r="A1371" s="9" t="s">
        <v>1605</v>
      </c>
      <c r="B1371" s="9" t="s">
        <v>1563</v>
      </c>
      <c r="C1371" s="9" t="s">
        <v>1564</v>
      </c>
      <c r="D1371" s="9" t="s">
        <v>1215</v>
      </c>
      <c r="E1371" s="9" t="s">
        <v>196</v>
      </c>
      <c r="F1371" s="9" t="s">
        <v>211</v>
      </c>
      <c r="G1371" s="9" t="s">
        <v>221</v>
      </c>
      <c r="H1371" s="9" t="n">
        <v>540</v>
      </c>
      <c r="I1371" s="29" t="n">
        <v>1.2</v>
      </c>
      <c r="J1371" s="9" t="n">
        <v>1</v>
      </c>
      <c r="K1371" s="30"/>
      <c r="L1371" s="30"/>
      <c r="M1371" s="30"/>
      <c r="N1371" s="30"/>
      <c r="O1371" s="30"/>
      <c r="P1371" s="30"/>
      <c r="Q1371" s="30"/>
      <c r="R1371" s="30"/>
      <c r="S1371" s="30"/>
      <c r="T1371" s="30"/>
      <c r="U1371" s="21" t="str">
        <f aca="false">IF(COUNT(K1371:T1371)=0,"SOURCE EMPTY / INDUSTRIAL ONLY",IF(MIN(K1371:T1371)=1,"SERVICE READY","HOLD"))</f>
        <v>SOURCE EMPTY / INDUSTRIAL ONLY</v>
      </c>
      <c r="V1371" s="9" t="n">
        <f aca="false">IF(U1371="SERVICE READY",1,0)</f>
        <v>0</v>
      </c>
      <c r="W1371" s="6"/>
      <c r="X1371" s="6"/>
      <c r="Y1371" s="6"/>
      <c r="Z1371" s="6"/>
    </row>
    <row r="1372" customFormat="false" ht="15" hidden="false" customHeight="false" outlineLevel="0" collapsed="false">
      <c r="A1372" s="9" t="s">
        <v>1606</v>
      </c>
      <c r="B1372" s="9" t="s">
        <v>1563</v>
      </c>
      <c r="C1372" s="9" t="s">
        <v>1564</v>
      </c>
      <c r="D1372" s="9" t="s">
        <v>1215</v>
      </c>
      <c r="E1372" s="9" t="s">
        <v>196</v>
      </c>
      <c r="F1372" s="9" t="s">
        <v>197</v>
      </c>
      <c r="G1372" s="9" t="s">
        <v>221</v>
      </c>
      <c r="H1372" s="9" t="n">
        <v>540</v>
      </c>
      <c r="I1372" s="29" t="n">
        <v>1.2</v>
      </c>
      <c r="J1372" s="9" t="n">
        <v>1</v>
      </c>
      <c r="K1372" s="30"/>
      <c r="L1372" s="30"/>
      <c r="M1372" s="30"/>
      <c r="N1372" s="30"/>
      <c r="O1372" s="30"/>
      <c r="P1372" s="30"/>
      <c r="Q1372" s="30"/>
      <c r="R1372" s="30"/>
      <c r="S1372" s="30"/>
      <c r="T1372" s="30"/>
      <c r="U1372" s="21" t="str">
        <f aca="false">IF(COUNT(K1372:T1372)=0,"SOURCE EMPTY / INDUSTRIAL ONLY",IF(MIN(K1372:T1372)=1,"SERVICE READY","HOLD"))</f>
        <v>SOURCE EMPTY / INDUSTRIAL ONLY</v>
      </c>
      <c r="V1372" s="9" t="n">
        <f aca="false">IF(U1372="SERVICE READY",1,0)</f>
        <v>0</v>
      </c>
      <c r="W1372" s="6"/>
      <c r="X1372" s="6"/>
      <c r="Y1372" s="6"/>
      <c r="Z1372" s="6"/>
    </row>
    <row r="1373" customFormat="false" ht="15" hidden="false" customHeight="false" outlineLevel="0" collapsed="false">
      <c r="A1373" s="9" t="s">
        <v>1607</v>
      </c>
      <c r="B1373" s="9" t="s">
        <v>1563</v>
      </c>
      <c r="C1373" s="9" t="s">
        <v>1564</v>
      </c>
      <c r="D1373" s="9" t="s">
        <v>1215</v>
      </c>
      <c r="E1373" s="9" t="s">
        <v>196</v>
      </c>
      <c r="F1373" s="9" t="s">
        <v>200</v>
      </c>
      <c r="G1373" s="9" t="s">
        <v>221</v>
      </c>
      <c r="H1373" s="9" t="n">
        <v>540</v>
      </c>
      <c r="I1373" s="29" t="n">
        <v>1.2</v>
      </c>
      <c r="J1373" s="9" t="n">
        <v>1</v>
      </c>
      <c r="K1373" s="30"/>
      <c r="L1373" s="30"/>
      <c r="M1373" s="30"/>
      <c r="N1373" s="30"/>
      <c r="O1373" s="30"/>
      <c r="P1373" s="30"/>
      <c r="Q1373" s="30"/>
      <c r="R1373" s="30"/>
      <c r="S1373" s="30"/>
      <c r="T1373" s="30"/>
      <c r="U1373" s="21" t="str">
        <f aca="false">IF(COUNT(K1373:T1373)=0,"SOURCE EMPTY / INDUSTRIAL ONLY",IF(MIN(K1373:T1373)=1,"SERVICE READY","HOLD"))</f>
        <v>SOURCE EMPTY / INDUSTRIAL ONLY</v>
      </c>
      <c r="V1373" s="9" t="n">
        <f aca="false">IF(U1373="SERVICE READY",1,0)</f>
        <v>0</v>
      </c>
      <c r="W1373" s="6"/>
      <c r="X1373" s="6"/>
      <c r="Y1373" s="6"/>
      <c r="Z1373" s="6"/>
    </row>
    <row r="1374" customFormat="false" ht="15" hidden="false" customHeight="false" outlineLevel="0" collapsed="false">
      <c r="A1374" s="9" t="s">
        <v>1608</v>
      </c>
      <c r="B1374" s="9" t="s">
        <v>1563</v>
      </c>
      <c r="C1374" s="9" t="s">
        <v>1564</v>
      </c>
      <c r="D1374" s="9" t="s">
        <v>1215</v>
      </c>
      <c r="E1374" s="9" t="s">
        <v>196</v>
      </c>
      <c r="F1374" s="9" t="s">
        <v>203</v>
      </c>
      <c r="G1374" s="9" t="s">
        <v>221</v>
      </c>
      <c r="H1374" s="9" t="n">
        <v>540</v>
      </c>
      <c r="I1374" s="29" t="n">
        <v>1.2</v>
      </c>
      <c r="J1374" s="9" t="n">
        <v>1</v>
      </c>
      <c r="K1374" s="30"/>
      <c r="L1374" s="30"/>
      <c r="M1374" s="30"/>
      <c r="N1374" s="30"/>
      <c r="O1374" s="30"/>
      <c r="P1374" s="30"/>
      <c r="Q1374" s="30"/>
      <c r="R1374" s="30"/>
      <c r="S1374" s="30"/>
      <c r="T1374" s="30"/>
      <c r="U1374" s="21" t="str">
        <f aca="false">IF(COUNT(K1374:T1374)=0,"SOURCE EMPTY / INDUSTRIAL ONLY",IF(MIN(K1374:T1374)=1,"SERVICE READY","HOLD"))</f>
        <v>SOURCE EMPTY / INDUSTRIAL ONLY</v>
      </c>
      <c r="V1374" s="9" t="n">
        <f aca="false">IF(U1374="SERVICE READY",1,0)</f>
        <v>0</v>
      </c>
      <c r="W1374" s="6"/>
      <c r="X1374" s="6"/>
      <c r="Y1374" s="6"/>
      <c r="Z1374" s="6"/>
    </row>
    <row r="1375" customFormat="false" ht="15" hidden="false" customHeight="false" outlineLevel="0" collapsed="false">
      <c r="A1375" s="9" t="s">
        <v>1609</v>
      </c>
      <c r="B1375" s="9" t="s">
        <v>1563</v>
      </c>
      <c r="C1375" s="9" t="s">
        <v>1564</v>
      </c>
      <c r="D1375" s="9" t="s">
        <v>1215</v>
      </c>
      <c r="E1375" s="9" t="s">
        <v>196</v>
      </c>
      <c r="F1375" s="9" t="s">
        <v>205</v>
      </c>
      <c r="G1375" s="9" t="s">
        <v>221</v>
      </c>
      <c r="H1375" s="9" t="n">
        <v>540</v>
      </c>
      <c r="I1375" s="29" t="n">
        <v>1.2</v>
      </c>
      <c r="J1375" s="9" t="n">
        <v>1</v>
      </c>
      <c r="K1375" s="30"/>
      <c r="L1375" s="30"/>
      <c r="M1375" s="30"/>
      <c r="N1375" s="30"/>
      <c r="O1375" s="30"/>
      <c r="P1375" s="30"/>
      <c r="Q1375" s="30"/>
      <c r="R1375" s="30"/>
      <c r="S1375" s="30"/>
      <c r="T1375" s="30"/>
      <c r="U1375" s="21" t="str">
        <f aca="false">IF(COUNT(K1375:T1375)=0,"SOURCE EMPTY / INDUSTRIAL ONLY",IF(MIN(K1375:T1375)=1,"SERVICE READY","HOLD"))</f>
        <v>SOURCE EMPTY / INDUSTRIAL ONLY</v>
      </c>
      <c r="V1375" s="9" t="n">
        <f aca="false">IF(U1375="SERVICE READY",1,0)</f>
        <v>0</v>
      </c>
      <c r="W1375" s="6"/>
      <c r="X1375" s="6"/>
      <c r="Y1375" s="6"/>
      <c r="Z1375" s="6"/>
    </row>
    <row r="1376" customFormat="false" ht="15" hidden="false" customHeight="false" outlineLevel="0" collapsed="false">
      <c r="A1376" s="9" t="s">
        <v>1610</v>
      </c>
      <c r="B1376" s="9" t="s">
        <v>1563</v>
      </c>
      <c r="C1376" s="9" t="s">
        <v>1564</v>
      </c>
      <c r="D1376" s="9" t="s">
        <v>1215</v>
      </c>
      <c r="E1376" s="9" t="s">
        <v>196</v>
      </c>
      <c r="F1376" s="9" t="s">
        <v>207</v>
      </c>
      <c r="G1376" s="9" t="s">
        <v>221</v>
      </c>
      <c r="H1376" s="9" t="n">
        <v>540</v>
      </c>
      <c r="I1376" s="29" t="n">
        <v>1.2</v>
      </c>
      <c r="J1376" s="9" t="n">
        <v>1</v>
      </c>
      <c r="K1376" s="30"/>
      <c r="L1376" s="30"/>
      <c r="M1376" s="30"/>
      <c r="N1376" s="30"/>
      <c r="O1376" s="30"/>
      <c r="P1376" s="30"/>
      <c r="Q1376" s="30"/>
      <c r="R1376" s="30"/>
      <c r="S1376" s="30"/>
      <c r="T1376" s="30"/>
      <c r="U1376" s="21" t="str">
        <f aca="false">IF(COUNT(K1376:T1376)=0,"SOURCE EMPTY / INDUSTRIAL ONLY",IF(MIN(K1376:T1376)=1,"SERVICE READY","HOLD"))</f>
        <v>SOURCE EMPTY / INDUSTRIAL ONLY</v>
      </c>
      <c r="V1376" s="9" t="n">
        <f aca="false">IF(U1376="SERVICE READY",1,0)</f>
        <v>0</v>
      </c>
      <c r="W1376" s="6"/>
      <c r="X1376" s="6"/>
      <c r="Y1376" s="6"/>
      <c r="Z1376" s="6"/>
    </row>
    <row r="1377" customFormat="false" ht="15" hidden="false" customHeight="false" outlineLevel="0" collapsed="false">
      <c r="A1377" s="9" t="s">
        <v>1611</v>
      </c>
      <c r="B1377" s="9" t="s">
        <v>1563</v>
      </c>
      <c r="C1377" s="9" t="s">
        <v>1564</v>
      </c>
      <c r="D1377" s="9" t="s">
        <v>1215</v>
      </c>
      <c r="E1377" s="9" t="s">
        <v>196</v>
      </c>
      <c r="F1377" s="9" t="s">
        <v>209</v>
      </c>
      <c r="G1377" s="9" t="s">
        <v>221</v>
      </c>
      <c r="H1377" s="9" t="n">
        <v>540</v>
      </c>
      <c r="I1377" s="29" t="n">
        <v>1.2</v>
      </c>
      <c r="J1377" s="9" t="n">
        <v>1</v>
      </c>
      <c r="K1377" s="30"/>
      <c r="L1377" s="30"/>
      <c r="M1377" s="30"/>
      <c r="N1377" s="30"/>
      <c r="O1377" s="30"/>
      <c r="P1377" s="30"/>
      <c r="Q1377" s="30"/>
      <c r="R1377" s="30"/>
      <c r="S1377" s="30"/>
      <c r="T1377" s="30"/>
      <c r="U1377" s="21" t="str">
        <f aca="false">IF(COUNT(K1377:T1377)=0,"SOURCE EMPTY / INDUSTRIAL ONLY",IF(MIN(K1377:T1377)=1,"SERVICE READY","HOLD"))</f>
        <v>SOURCE EMPTY / INDUSTRIAL ONLY</v>
      </c>
      <c r="V1377" s="9" t="n">
        <f aca="false">IF(U1377="SERVICE READY",1,0)</f>
        <v>0</v>
      </c>
      <c r="W1377" s="6"/>
      <c r="X1377" s="6"/>
      <c r="Y1377" s="6"/>
      <c r="Z1377" s="6"/>
    </row>
    <row r="1378" customFormat="false" ht="15" hidden="false" customHeight="false" outlineLevel="0" collapsed="false">
      <c r="A1378" s="9" t="s">
        <v>1612</v>
      </c>
      <c r="B1378" s="9" t="s">
        <v>1563</v>
      </c>
      <c r="C1378" s="9" t="s">
        <v>1564</v>
      </c>
      <c r="D1378" s="9" t="s">
        <v>1215</v>
      </c>
      <c r="E1378" s="9" t="s">
        <v>196</v>
      </c>
      <c r="F1378" s="9" t="s">
        <v>211</v>
      </c>
      <c r="G1378" s="9" t="s">
        <v>221</v>
      </c>
      <c r="H1378" s="9" t="n">
        <v>540</v>
      </c>
      <c r="I1378" s="29" t="n">
        <v>1.2</v>
      </c>
      <c r="J1378" s="9" t="n">
        <v>1</v>
      </c>
      <c r="K1378" s="30"/>
      <c r="L1378" s="30"/>
      <c r="M1378" s="30"/>
      <c r="N1378" s="30"/>
      <c r="O1378" s="30"/>
      <c r="P1378" s="30"/>
      <c r="Q1378" s="30"/>
      <c r="R1378" s="30"/>
      <c r="S1378" s="30"/>
      <c r="T1378" s="30"/>
      <c r="U1378" s="21" t="str">
        <f aca="false">IF(COUNT(K1378:T1378)=0,"SOURCE EMPTY / INDUSTRIAL ONLY",IF(MIN(K1378:T1378)=1,"SERVICE READY","HOLD"))</f>
        <v>SOURCE EMPTY / INDUSTRIAL ONLY</v>
      </c>
      <c r="V1378" s="9" t="n">
        <f aca="false">IF(U1378="SERVICE READY",1,0)</f>
        <v>0</v>
      </c>
      <c r="W1378" s="6"/>
      <c r="X1378" s="6"/>
      <c r="Y1378" s="6"/>
      <c r="Z1378" s="6"/>
    </row>
    <row r="1379" customFormat="false" ht="15" hidden="false" customHeight="false" outlineLevel="0" collapsed="false">
      <c r="A1379" s="9" t="s">
        <v>1613</v>
      </c>
      <c r="B1379" s="9" t="s">
        <v>1563</v>
      </c>
      <c r="C1379" s="9" t="s">
        <v>1564</v>
      </c>
      <c r="D1379" s="9" t="s">
        <v>1215</v>
      </c>
      <c r="E1379" s="9" t="s">
        <v>196</v>
      </c>
      <c r="F1379" s="9" t="s">
        <v>197</v>
      </c>
      <c r="G1379" s="9" t="s">
        <v>221</v>
      </c>
      <c r="H1379" s="9" t="n">
        <v>540</v>
      </c>
      <c r="I1379" s="29" t="n">
        <v>1.2</v>
      </c>
      <c r="J1379" s="9" t="n">
        <v>1</v>
      </c>
      <c r="K1379" s="30"/>
      <c r="L1379" s="30"/>
      <c r="M1379" s="30"/>
      <c r="N1379" s="30"/>
      <c r="O1379" s="30"/>
      <c r="P1379" s="30"/>
      <c r="Q1379" s="30"/>
      <c r="R1379" s="30"/>
      <c r="S1379" s="30"/>
      <c r="T1379" s="30"/>
      <c r="U1379" s="21" t="str">
        <f aca="false">IF(COUNT(K1379:T1379)=0,"SOURCE EMPTY / INDUSTRIAL ONLY",IF(MIN(K1379:T1379)=1,"SERVICE READY","HOLD"))</f>
        <v>SOURCE EMPTY / INDUSTRIAL ONLY</v>
      </c>
      <c r="V1379" s="9" t="n">
        <f aca="false">IF(U1379="SERVICE READY",1,0)</f>
        <v>0</v>
      </c>
      <c r="W1379" s="6"/>
      <c r="X1379" s="6"/>
      <c r="Y1379" s="6"/>
      <c r="Z1379" s="6"/>
    </row>
    <row r="1380" customFormat="false" ht="15" hidden="false" customHeight="false" outlineLevel="0" collapsed="false">
      <c r="A1380" s="9" t="s">
        <v>1614</v>
      </c>
      <c r="B1380" s="9" t="s">
        <v>1563</v>
      </c>
      <c r="C1380" s="9" t="s">
        <v>1564</v>
      </c>
      <c r="D1380" s="9" t="s">
        <v>1215</v>
      </c>
      <c r="E1380" s="9" t="s">
        <v>196</v>
      </c>
      <c r="F1380" s="9" t="s">
        <v>200</v>
      </c>
      <c r="G1380" s="9" t="s">
        <v>221</v>
      </c>
      <c r="H1380" s="9" t="n">
        <v>540</v>
      </c>
      <c r="I1380" s="29" t="n">
        <v>1.2</v>
      </c>
      <c r="J1380" s="9" t="n">
        <v>1</v>
      </c>
      <c r="K1380" s="30"/>
      <c r="L1380" s="30"/>
      <c r="M1380" s="30"/>
      <c r="N1380" s="30"/>
      <c r="O1380" s="30"/>
      <c r="P1380" s="30"/>
      <c r="Q1380" s="30"/>
      <c r="R1380" s="30"/>
      <c r="S1380" s="30"/>
      <c r="T1380" s="30"/>
      <c r="U1380" s="21" t="str">
        <f aca="false">IF(COUNT(K1380:T1380)=0,"SOURCE EMPTY / INDUSTRIAL ONLY",IF(MIN(K1380:T1380)=1,"SERVICE READY","HOLD"))</f>
        <v>SOURCE EMPTY / INDUSTRIAL ONLY</v>
      </c>
      <c r="V1380" s="9" t="n">
        <f aca="false">IF(U1380="SERVICE READY",1,0)</f>
        <v>0</v>
      </c>
      <c r="W1380" s="6"/>
      <c r="X1380" s="6"/>
      <c r="Y1380" s="6"/>
      <c r="Z1380" s="6"/>
    </row>
    <row r="1381" customFormat="false" ht="15" hidden="false" customHeight="false" outlineLevel="0" collapsed="false">
      <c r="A1381" s="9" t="s">
        <v>1615</v>
      </c>
      <c r="B1381" s="9" t="s">
        <v>1563</v>
      </c>
      <c r="C1381" s="9" t="s">
        <v>1564</v>
      </c>
      <c r="D1381" s="9" t="s">
        <v>1215</v>
      </c>
      <c r="E1381" s="9" t="s">
        <v>196</v>
      </c>
      <c r="F1381" s="9" t="s">
        <v>203</v>
      </c>
      <c r="G1381" s="9" t="s">
        <v>221</v>
      </c>
      <c r="H1381" s="9" t="n">
        <v>540</v>
      </c>
      <c r="I1381" s="29" t="n">
        <v>1.2</v>
      </c>
      <c r="J1381" s="9" t="n">
        <v>1</v>
      </c>
      <c r="K1381" s="30"/>
      <c r="L1381" s="30"/>
      <c r="M1381" s="30"/>
      <c r="N1381" s="30"/>
      <c r="O1381" s="30"/>
      <c r="P1381" s="30"/>
      <c r="Q1381" s="30"/>
      <c r="R1381" s="30"/>
      <c r="S1381" s="30"/>
      <c r="T1381" s="30"/>
      <c r="U1381" s="21" t="str">
        <f aca="false">IF(COUNT(K1381:T1381)=0,"SOURCE EMPTY / INDUSTRIAL ONLY",IF(MIN(K1381:T1381)=1,"SERVICE READY","HOLD"))</f>
        <v>SOURCE EMPTY / INDUSTRIAL ONLY</v>
      </c>
      <c r="V1381" s="9" t="n">
        <f aca="false">IF(U1381="SERVICE READY",1,0)</f>
        <v>0</v>
      </c>
      <c r="W1381" s="6"/>
      <c r="X1381" s="6"/>
      <c r="Y1381" s="6"/>
      <c r="Z1381" s="6"/>
    </row>
    <row r="1382" customFormat="false" ht="15" hidden="false" customHeight="false" outlineLevel="0" collapsed="false">
      <c r="A1382" s="9" t="s">
        <v>1616</v>
      </c>
      <c r="B1382" s="9" t="s">
        <v>1563</v>
      </c>
      <c r="C1382" s="9" t="s">
        <v>1564</v>
      </c>
      <c r="D1382" s="9" t="s">
        <v>1215</v>
      </c>
      <c r="E1382" s="9" t="s">
        <v>196</v>
      </c>
      <c r="F1382" s="9" t="s">
        <v>205</v>
      </c>
      <c r="G1382" s="9" t="s">
        <v>221</v>
      </c>
      <c r="H1382" s="9" t="n">
        <v>540</v>
      </c>
      <c r="I1382" s="29" t="n">
        <v>1.2</v>
      </c>
      <c r="J1382" s="9" t="n">
        <v>1</v>
      </c>
      <c r="K1382" s="30"/>
      <c r="L1382" s="30"/>
      <c r="M1382" s="30"/>
      <c r="N1382" s="30"/>
      <c r="O1382" s="30"/>
      <c r="P1382" s="30"/>
      <c r="Q1382" s="30"/>
      <c r="R1382" s="30"/>
      <c r="S1382" s="30"/>
      <c r="T1382" s="30"/>
      <c r="U1382" s="21" t="str">
        <f aca="false">IF(COUNT(K1382:T1382)=0,"SOURCE EMPTY / INDUSTRIAL ONLY",IF(MIN(K1382:T1382)=1,"SERVICE READY","HOLD"))</f>
        <v>SOURCE EMPTY / INDUSTRIAL ONLY</v>
      </c>
      <c r="V1382" s="9" t="n">
        <f aca="false">IF(U1382="SERVICE READY",1,0)</f>
        <v>0</v>
      </c>
      <c r="W1382" s="6"/>
      <c r="X1382" s="6"/>
      <c r="Y1382" s="6"/>
      <c r="Z1382" s="6"/>
    </row>
    <row r="1383" customFormat="false" ht="15" hidden="false" customHeight="false" outlineLevel="0" collapsed="false">
      <c r="A1383" s="9" t="s">
        <v>1617</v>
      </c>
      <c r="B1383" s="9" t="s">
        <v>1563</v>
      </c>
      <c r="C1383" s="9" t="s">
        <v>1564</v>
      </c>
      <c r="D1383" s="9" t="s">
        <v>1215</v>
      </c>
      <c r="E1383" s="9" t="s">
        <v>196</v>
      </c>
      <c r="F1383" s="9" t="s">
        <v>207</v>
      </c>
      <c r="G1383" s="9" t="s">
        <v>221</v>
      </c>
      <c r="H1383" s="9" t="n">
        <v>540</v>
      </c>
      <c r="I1383" s="29" t="n">
        <v>1.2</v>
      </c>
      <c r="J1383" s="9" t="n">
        <v>1</v>
      </c>
      <c r="K1383" s="30"/>
      <c r="L1383" s="30"/>
      <c r="M1383" s="30"/>
      <c r="N1383" s="30"/>
      <c r="O1383" s="30"/>
      <c r="P1383" s="30"/>
      <c r="Q1383" s="30"/>
      <c r="R1383" s="30"/>
      <c r="S1383" s="30"/>
      <c r="T1383" s="30"/>
      <c r="U1383" s="21" t="str">
        <f aca="false">IF(COUNT(K1383:T1383)=0,"SOURCE EMPTY / INDUSTRIAL ONLY",IF(MIN(K1383:T1383)=1,"SERVICE READY","HOLD"))</f>
        <v>SOURCE EMPTY / INDUSTRIAL ONLY</v>
      </c>
      <c r="V1383" s="9" t="n">
        <f aca="false">IF(U1383="SERVICE READY",1,0)</f>
        <v>0</v>
      </c>
      <c r="W1383" s="6"/>
      <c r="X1383" s="6"/>
      <c r="Y1383" s="6"/>
      <c r="Z1383" s="6"/>
    </row>
    <row r="1384" customFormat="false" ht="15" hidden="false" customHeight="false" outlineLevel="0" collapsed="false">
      <c r="A1384" s="9" t="s">
        <v>1618</v>
      </c>
      <c r="B1384" s="9" t="s">
        <v>1563</v>
      </c>
      <c r="C1384" s="9" t="s">
        <v>1564</v>
      </c>
      <c r="D1384" s="9" t="s">
        <v>1215</v>
      </c>
      <c r="E1384" s="9" t="s">
        <v>196</v>
      </c>
      <c r="F1384" s="9" t="s">
        <v>209</v>
      </c>
      <c r="G1384" s="9" t="s">
        <v>221</v>
      </c>
      <c r="H1384" s="9" t="n">
        <v>540</v>
      </c>
      <c r="I1384" s="29" t="n">
        <v>1.2</v>
      </c>
      <c r="J1384" s="9" t="n">
        <v>1</v>
      </c>
      <c r="K1384" s="30"/>
      <c r="L1384" s="30"/>
      <c r="M1384" s="30"/>
      <c r="N1384" s="30"/>
      <c r="O1384" s="30"/>
      <c r="P1384" s="30"/>
      <c r="Q1384" s="30"/>
      <c r="R1384" s="30"/>
      <c r="S1384" s="30"/>
      <c r="T1384" s="30"/>
      <c r="U1384" s="21" t="str">
        <f aca="false">IF(COUNT(K1384:T1384)=0,"SOURCE EMPTY / INDUSTRIAL ONLY",IF(MIN(K1384:T1384)=1,"SERVICE READY","HOLD"))</f>
        <v>SOURCE EMPTY / INDUSTRIAL ONLY</v>
      </c>
      <c r="V1384" s="9" t="n">
        <f aca="false">IF(U1384="SERVICE READY",1,0)</f>
        <v>0</v>
      </c>
      <c r="W1384" s="6"/>
      <c r="X1384" s="6"/>
      <c r="Y1384" s="6"/>
      <c r="Z1384" s="6"/>
    </row>
    <row r="1385" customFormat="false" ht="15" hidden="false" customHeight="false" outlineLevel="0" collapsed="false">
      <c r="A1385" s="9" t="s">
        <v>1619</v>
      </c>
      <c r="B1385" s="9" t="s">
        <v>1563</v>
      </c>
      <c r="C1385" s="9" t="s">
        <v>1564</v>
      </c>
      <c r="D1385" s="9" t="s">
        <v>1215</v>
      </c>
      <c r="E1385" s="9" t="s">
        <v>196</v>
      </c>
      <c r="F1385" s="9" t="s">
        <v>211</v>
      </c>
      <c r="G1385" s="9" t="s">
        <v>221</v>
      </c>
      <c r="H1385" s="9" t="n">
        <v>540</v>
      </c>
      <c r="I1385" s="29" t="n">
        <v>1.2</v>
      </c>
      <c r="J1385" s="9" t="n">
        <v>1</v>
      </c>
      <c r="K1385" s="30"/>
      <c r="L1385" s="30"/>
      <c r="M1385" s="30"/>
      <c r="N1385" s="30"/>
      <c r="O1385" s="30"/>
      <c r="P1385" s="30"/>
      <c r="Q1385" s="30"/>
      <c r="R1385" s="30"/>
      <c r="S1385" s="30"/>
      <c r="T1385" s="30"/>
      <c r="U1385" s="21" t="str">
        <f aca="false">IF(COUNT(K1385:T1385)=0,"SOURCE EMPTY / INDUSTRIAL ONLY",IF(MIN(K1385:T1385)=1,"SERVICE READY","HOLD"))</f>
        <v>SOURCE EMPTY / INDUSTRIAL ONLY</v>
      </c>
      <c r="V1385" s="9" t="n">
        <f aca="false">IF(U1385="SERVICE READY",1,0)</f>
        <v>0</v>
      </c>
      <c r="W1385" s="6"/>
      <c r="X1385" s="6"/>
      <c r="Y1385" s="6"/>
      <c r="Z1385" s="6"/>
    </row>
    <row r="1386" customFormat="false" ht="15" hidden="false" customHeight="false" outlineLevel="0" collapsed="false">
      <c r="A1386" s="9" t="s">
        <v>1620</v>
      </c>
      <c r="B1386" s="9" t="s">
        <v>1563</v>
      </c>
      <c r="C1386" s="9" t="s">
        <v>1564</v>
      </c>
      <c r="D1386" s="9" t="s">
        <v>1215</v>
      </c>
      <c r="E1386" s="9" t="s">
        <v>196</v>
      </c>
      <c r="F1386" s="9" t="s">
        <v>197</v>
      </c>
      <c r="G1386" s="9" t="s">
        <v>221</v>
      </c>
      <c r="H1386" s="9" t="n">
        <v>540</v>
      </c>
      <c r="I1386" s="29" t="n">
        <v>1.2</v>
      </c>
      <c r="J1386" s="9" t="n">
        <v>1</v>
      </c>
      <c r="K1386" s="30"/>
      <c r="L1386" s="30"/>
      <c r="M1386" s="30"/>
      <c r="N1386" s="30"/>
      <c r="O1386" s="30"/>
      <c r="P1386" s="30"/>
      <c r="Q1386" s="30"/>
      <c r="R1386" s="30"/>
      <c r="S1386" s="30"/>
      <c r="T1386" s="30"/>
      <c r="U1386" s="21" t="str">
        <f aca="false">IF(COUNT(K1386:T1386)=0,"SOURCE EMPTY / INDUSTRIAL ONLY",IF(MIN(K1386:T1386)=1,"SERVICE READY","HOLD"))</f>
        <v>SOURCE EMPTY / INDUSTRIAL ONLY</v>
      </c>
      <c r="V1386" s="9" t="n">
        <f aca="false">IF(U1386="SERVICE READY",1,0)</f>
        <v>0</v>
      </c>
      <c r="W1386" s="6"/>
      <c r="X1386" s="6"/>
      <c r="Y1386" s="6"/>
      <c r="Z1386" s="6"/>
    </row>
    <row r="1387" customFormat="false" ht="15" hidden="false" customHeight="false" outlineLevel="0" collapsed="false">
      <c r="A1387" s="9" t="s">
        <v>1621</v>
      </c>
      <c r="B1387" s="9" t="s">
        <v>1563</v>
      </c>
      <c r="C1387" s="9" t="s">
        <v>1564</v>
      </c>
      <c r="D1387" s="9" t="s">
        <v>1215</v>
      </c>
      <c r="E1387" s="9" t="s">
        <v>196</v>
      </c>
      <c r="F1387" s="9" t="s">
        <v>200</v>
      </c>
      <c r="G1387" s="9" t="s">
        <v>221</v>
      </c>
      <c r="H1387" s="9" t="n">
        <v>540</v>
      </c>
      <c r="I1387" s="29" t="n">
        <v>1.2</v>
      </c>
      <c r="J1387" s="9" t="n">
        <v>1</v>
      </c>
      <c r="K1387" s="30"/>
      <c r="L1387" s="30"/>
      <c r="M1387" s="30"/>
      <c r="N1387" s="30"/>
      <c r="O1387" s="30"/>
      <c r="P1387" s="30"/>
      <c r="Q1387" s="30"/>
      <c r="R1387" s="30"/>
      <c r="S1387" s="30"/>
      <c r="T1387" s="30"/>
      <c r="U1387" s="21" t="str">
        <f aca="false">IF(COUNT(K1387:T1387)=0,"SOURCE EMPTY / INDUSTRIAL ONLY",IF(MIN(K1387:T1387)=1,"SERVICE READY","HOLD"))</f>
        <v>SOURCE EMPTY / INDUSTRIAL ONLY</v>
      </c>
      <c r="V1387" s="9" t="n">
        <f aca="false">IF(U1387="SERVICE READY",1,0)</f>
        <v>0</v>
      </c>
      <c r="W1387" s="6"/>
      <c r="X1387" s="6"/>
      <c r="Y1387" s="6"/>
      <c r="Z1387" s="6"/>
    </row>
    <row r="1388" customFormat="false" ht="15" hidden="false" customHeight="false" outlineLevel="0" collapsed="false">
      <c r="A1388" s="9" t="s">
        <v>1622</v>
      </c>
      <c r="B1388" s="9" t="s">
        <v>1563</v>
      </c>
      <c r="C1388" s="9" t="s">
        <v>1564</v>
      </c>
      <c r="D1388" s="9" t="s">
        <v>1215</v>
      </c>
      <c r="E1388" s="9" t="s">
        <v>196</v>
      </c>
      <c r="F1388" s="9" t="s">
        <v>203</v>
      </c>
      <c r="G1388" s="9" t="s">
        <v>221</v>
      </c>
      <c r="H1388" s="9" t="n">
        <v>540</v>
      </c>
      <c r="I1388" s="29" t="n">
        <v>1.2</v>
      </c>
      <c r="J1388" s="9" t="n">
        <v>1</v>
      </c>
      <c r="K1388" s="30"/>
      <c r="L1388" s="30"/>
      <c r="M1388" s="30"/>
      <c r="N1388" s="30"/>
      <c r="O1388" s="30"/>
      <c r="P1388" s="30"/>
      <c r="Q1388" s="30"/>
      <c r="R1388" s="30"/>
      <c r="S1388" s="30"/>
      <c r="T1388" s="30"/>
      <c r="U1388" s="21" t="str">
        <f aca="false">IF(COUNT(K1388:T1388)=0,"SOURCE EMPTY / INDUSTRIAL ONLY",IF(MIN(K1388:T1388)=1,"SERVICE READY","HOLD"))</f>
        <v>SOURCE EMPTY / INDUSTRIAL ONLY</v>
      </c>
      <c r="V1388" s="9" t="n">
        <f aca="false">IF(U1388="SERVICE READY",1,0)</f>
        <v>0</v>
      </c>
      <c r="W1388" s="6"/>
      <c r="X1388" s="6"/>
      <c r="Y1388" s="6"/>
      <c r="Z1388" s="6"/>
    </row>
    <row r="1389" customFormat="false" ht="15" hidden="false" customHeight="false" outlineLevel="0" collapsed="false">
      <c r="A1389" s="9" t="s">
        <v>1623</v>
      </c>
      <c r="B1389" s="9" t="s">
        <v>1563</v>
      </c>
      <c r="C1389" s="9" t="s">
        <v>1564</v>
      </c>
      <c r="D1389" s="9" t="s">
        <v>1215</v>
      </c>
      <c r="E1389" s="9" t="s">
        <v>196</v>
      </c>
      <c r="F1389" s="9" t="s">
        <v>205</v>
      </c>
      <c r="G1389" s="9" t="s">
        <v>221</v>
      </c>
      <c r="H1389" s="9" t="n">
        <v>540</v>
      </c>
      <c r="I1389" s="29" t="n">
        <v>1.2</v>
      </c>
      <c r="J1389" s="9" t="n">
        <v>1</v>
      </c>
      <c r="K1389" s="30"/>
      <c r="L1389" s="30"/>
      <c r="M1389" s="30"/>
      <c r="N1389" s="30"/>
      <c r="O1389" s="30"/>
      <c r="P1389" s="30"/>
      <c r="Q1389" s="30"/>
      <c r="R1389" s="30"/>
      <c r="S1389" s="30"/>
      <c r="T1389" s="30"/>
      <c r="U1389" s="21" t="str">
        <f aca="false">IF(COUNT(K1389:T1389)=0,"SOURCE EMPTY / INDUSTRIAL ONLY",IF(MIN(K1389:T1389)=1,"SERVICE READY","HOLD"))</f>
        <v>SOURCE EMPTY / INDUSTRIAL ONLY</v>
      </c>
      <c r="V1389" s="9" t="n">
        <f aca="false">IF(U1389="SERVICE READY",1,0)</f>
        <v>0</v>
      </c>
      <c r="W1389" s="6"/>
      <c r="X1389" s="6"/>
      <c r="Y1389" s="6"/>
      <c r="Z1389" s="6"/>
    </row>
    <row r="1390" customFormat="false" ht="15" hidden="false" customHeight="false" outlineLevel="0" collapsed="false">
      <c r="A1390" s="9" t="s">
        <v>1624</v>
      </c>
      <c r="B1390" s="9" t="s">
        <v>1563</v>
      </c>
      <c r="C1390" s="9" t="s">
        <v>1564</v>
      </c>
      <c r="D1390" s="9" t="s">
        <v>1215</v>
      </c>
      <c r="E1390" s="9" t="s">
        <v>196</v>
      </c>
      <c r="F1390" s="9" t="s">
        <v>207</v>
      </c>
      <c r="G1390" s="9" t="s">
        <v>221</v>
      </c>
      <c r="H1390" s="9" t="n">
        <v>540</v>
      </c>
      <c r="I1390" s="29" t="n">
        <v>1.2</v>
      </c>
      <c r="J1390" s="9" t="n">
        <v>1</v>
      </c>
      <c r="K1390" s="30"/>
      <c r="L1390" s="30"/>
      <c r="M1390" s="30"/>
      <c r="N1390" s="30"/>
      <c r="O1390" s="30"/>
      <c r="P1390" s="30"/>
      <c r="Q1390" s="30"/>
      <c r="R1390" s="30"/>
      <c r="S1390" s="30"/>
      <c r="T1390" s="30"/>
      <c r="U1390" s="21" t="str">
        <f aca="false">IF(COUNT(K1390:T1390)=0,"SOURCE EMPTY / INDUSTRIAL ONLY",IF(MIN(K1390:T1390)=1,"SERVICE READY","HOLD"))</f>
        <v>SOURCE EMPTY / INDUSTRIAL ONLY</v>
      </c>
      <c r="V1390" s="9" t="n">
        <f aca="false">IF(U1390="SERVICE READY",1,0)</f>
        <v>0</v>
      </c>
      <c r="W1390" s="6"/>
      <c r="X1390" s="6"/>
      <c r="Y1390" s="6"/>
      <c r="Z1390" s="6"/>
    </row>
    <row r="1391" customFormat="false" ht="15" hidden="false" customHeight="false" outlineLevel="0" collapsed="false">
      <c r="A1391" s="9" t="s">
        <v>1625</v>
      </c>
      <c r="B1391" s="9" t="s">
        <v>1563</v>
      </c>
      <c r="C1391" s="9" t="s">
        <v>1564</v>
      </c>
      <c r="D1391" s="9" t="s">
        <v>1215</v>
      </c>
      <c r="E1391" s="9" t="s">
        <v>196</v>
      </c>
      <c r="F1391" s="9" t="s">
        <v>209</v>
      </c>
      <c r="G1391" s="9" t="s">
        <v>221</v>
      </c>
      <c r="H1391" s="9" t="n">
        <v>540</v>
      </c>
      <c r="I1391" s="29" t="n">
        <v>1.2</v>
      </c>
      <c r="J1391" s="9" t="n">
        <v>0</v>
      </c>
      <c r="K1391" s="30"/>
      <c r="L1391" s="30"/>
      <c r="M1391" s="30"/>
      <c r="N1391" s="30"/>
      <c r="O1391" s="30"/>
      <c r="P1391" s="30"/>
      <c r="Q1391" s="30"/>
      <c r="R1391" s="30"/>
      <c r="S1391" s="30"/>
      <c r="T1391" s="30"/>
      <c r="U1391" s="21" t="str">
        <f aca="false">IF(COUNT(K1391:T1391)=0,"SOURCE EMPTY / INDUSTRIAL ONLY",IF(MIN(K1391:T1391)=1,"SERVICE READY","HOLD"))</f>
        <v>SOURCE EMPTY / INDUSTRIAL ONLY</v>
      </c>
      <c r="V1391" s="9" t="n">
        <f aca="false">IF(U1391="SERVICE READY",1,0)</f>
        <v>0</v>
      </c>
      <c r="W1391" s="6"/>
      <c r="X1391" s="6"/>
      <c r="Y1391" s="6"/>
      <c r="Z1391" s="6"/>
    </row>
    <row r="1392" customFormat="false" ht="15" hidden="false" customHeight="false" outlineLevel="0" collapsed="false">
      <c r="A1392" s="9" t="s">
        <v>1626</v>
      </c>
      <c r="B1392" s="9" t="s">
        <v>1563</v>
      </c>
      <c r="C1392" s="9" t="s">
        <v>1564</v>
      </c>
      <c r="D1392" s="9" t="s">
        <v>1215</v>
      </c>
      <c r="E1392" s="9" t="s">
        <v>196</v>
      </c>
      <c r="F1392" s="9" t="s">
        <v>211</v>
      </c>
      <c r="G1392" s="9" t="s">
        <v>221</v>
      </c>
      <c r="H1392" s="9" t="n">
        <v>540</v>
      </c>
      <c r="I1392" s="29" t="n">
        <v>1.2</v>
      </c>
      <c r="J1392" s="9" t="n">
        <v>0</v>
      </c>
      <c r="K1392" s="30"/>
      <c r="L1392" s="30"/>
      <c r="M1392" s="30"/>
      <c r="N1392" s="30"/>
      <c r="O1392" s="30"/>
      <c r="P1392" s="30"/>
      <c r="Q1392" s="30"/>
      <c r="R1392" s="30"/>
      <c r="S1392" s="30"/>
      <c r="T1392" s="30"/>
      <c r="U1392" s="21" t="str">
        <f aca="false">IF(COUNT(K1392:T1392)=0,"SOURCE EMPTY / INDUSTRIAL ONLY",IF(MIN(K1392:T1392)=1,"SERVICE READY","HOLD"))</f>
        <v>SOURCE EMPTY / INDUSTRIAL ONLY</v>
      </c>
      <c r="V1392" s="9" t="n">
        <f aca="false">IF(U1392="SERVICE READY",1,0)</f>
        <v>0</v>
      </c>
      <c r="W1392" s="6"/>
      <c r="X1392" s="6"/>
      <c r="Y1392" s="6"/>
      <c r="Z1392" s="6"/>
    </row>
    <row r="1393" customFormat="false" ht="15" hidden="false" customHeight="false" outlineLevel="0" collapsed="false">
      <c r="A1393" s="9" t="s">
        <v>1627</v>
      </c>
      <c r="B1393" s="9" t="s">
        <v>1563</v>
      </c>
      <c r="C1393" s="9" t="s">
        <v>1564</v>
      </c>
      <c r="D1393" s="9" t="s">
        <v>1215</v>
      </c>
      <c r="E1393" s="9" t="s">
        <v>196</v>
      </c>
      <c r="F1393" s="9" t="s">
        <v>197</v>
      </c>
      <c r="G1393" s="9" t="s">
        <v>221</v>
      </c>
      <c r="H1393" s="9" t="n">
        <v>540</v>
      </c>
      <c r="I1393" s="29" t="n">
        <v>1.2</v>
      </c>
      <c r="J1393" s="9" t="n">
        <v>0</v>
      </c>
      <c r="K1393" s="30"/>
      <c r="L1393" s="30"/>
      <c r="M1393" s="30"/>
      <c r="N1393" s="30"/>
      <c r="O1393" s="30"/>
      <c r="P1393" s="30"/>
      <c r="Q1393" s="30"/>
      <c r="R1393" s="30"/>
      <c r="S1393" s="30"/>
      <c r="T1393" s="30"/>
      <c r="U1393" s="21" t="str">
        <f aca="false">IF(COUNT(K1393:T1393)=0,"SOURCE EMPTY / INDUSTRIAL ONLY",IF(MIN(K1393:T1393)=1,"SERVICE READY","HOLD"))</f>
        <v>SOURCE EMPTY / INDUSTRIAL ONLY</v>
      </c>
      <c r="V1393" s="9" t="n">
        <f aca="false">IF(U1393="SERVICE READY",1,0)</f>
        <v>0</v>
      </c>
      <c r="W1393" s="6"/>
      <c r="X1393" s="6"/>
      <c r="Y1393" s="6"/>
      <c r="Z1393" s="6"/>
    </row>
    <row r="1394" customFormat="false" ht="15" hidden="false" customHeight="false" outlineLevel="0" collapsed="false">
      <c r="A1394" s="9" t="s">
        <v>1628</v>
      </c>
      <c r="B1394" s="9" t="s">
        <v>1563</v>
      </c>
      <c r="C1394" s="9" t="s">
        <v>1564</v>
      </c>
      <c r="D1394" s="9" t="s">
        <v>1215</v>
      </c>
      <c r="E1394" s="9" t="s">
        <v>196</v>
      </c>
      <c r="F1394" s="9" t="s">
        <v>200</v>
      </c>
      <c r="G1394" s="9" t="s">
        <v>221</v>
      </c>
      <c r="H1394" s="9" t="n">
        <v>540</v>
      </c>
      <c r="I1394" s="29" t="n">
        <v>1.2</v>
      </c>
      <c r="J1394" s="9" t="n">
        <v>0</v>
      </c>
      <c r="K1394" s="30"/>
      <c r="L1394" s="30"/>
      <c r="M1394" s="30"/>
      <c r="N1394" s="30"/>
      <c r="O1394" s="30"/>
      <c r="P1394" s="30"/>
      <c r="Q1394" s="30"/>
      <c r="R1394" s="30"/>
      <c r="S1394" s="30"/>
      <c r="T1394" s="30"/>
      <c r="U1394" s="21" t="str">
        <f aca="false">IF(COUNT(K1394:T1394)=0,"SOURCE EMPTY / INDUSTRIAL ONLY",IF(MIN(K1394:T1394)=1,"SERVICE READY","HOLD"))</f>
        <v>SOURCE EMPTY / INDUSTRIAL ONLY</v>
      </c>
      <c r="V1394" s="9" t="n">
        <f aca="false">IF(U1394="SERVICE READY",1,0)</f>
        <v>0</v>
      </c>
      <c r="W1394" s="6"/>
      <c r="X1394" s="6"/>
      <c r="Y1394" s="6"/>
      <c r="Z1394" s="6"/>
    </row>
    <row r="1395" customFormat="false" ht="15" hidden="false" customHeight="false" outlineLevel="0" collapsed="false">
      <c r="A1395" s="9" t="s">
        <v>1629</v>
      </c>
      <c r="B1395" s="9" t="s">
        <v>1563</v>
      </c>
      <c r="C1395" s="9" t="s">
        <v>1564</v>
      </c>
      <c r="D1395" s="9" t="s">
        <v>1215</v>
      </c>
      <c r="E1395" s="9" t="s">
        <v>196</v>
      </c>
      <c r="F1395" s="9" t="s">
        <v>203</v>
      </c>
      <c r="G1395" s="9" t="s">
        <v>221</v>
      </c>
      <c r="H1395" s="9" t="n">
        <v>540</v>
      </c>
      <c r="I1395" s="29" t="n">
        <v>1.2</v>
      </c>
      <c r="J1395" s="9" t="n">
        <v>0</v>
      </c>
      <c r="K1395" s="30"/>
      <c r="L1395" s="30"/>
      <c r="M1395" s="30"/>
      <c r="N1395" s="30"/>
      <c r="O1395" s="30"/>
      <c r="P1395" s="30"/>
      <c r="Q1395" s="30"/>
      <c r="R1395" s="30"/>
      <c r="S1395" s="30"/>
      <c r="T1395" s="30"/>
      <c r="U1395" s="21" t="str">
        <f aca="false">IF(COUNT(K1395:T1395)=0,"SOURCE EMPTY / INDUSTRIAL ONLY",IF(MIN(K1395:T1395)=1,"SERVICE READY","HOLD"))</f>
        <v>SOURCE EMPTY / INDUSTRIAL ONLY</v>
      </c>
      <c r="V1395" s="9" t="n">
        <f aca="false">IF(U1395="SERVICE READY",1,0)</f>
        <v>0</v>
      </c>
      <c r="W1395" s="6"/>
      <c r="X1395" s="6"/>
      <c r="Y1395" s="6"/>
      <c r="Z1395" s="6"/>
    </row>
    <row r="1396" customFormat="false" ht="15" hidden="false" customHeight="false" outlineLevel="0" collapsed="false">
      <c r="A1396" s="9" t="s">
        <v>1630</v>
      </c>
      <c r="B1396" s="9" t="s">
        <v>1563</v>
      </c>
      <c r="C1396" s="9" t="s">
        <v>1564</v>
      </c>
      <c r="D1396" s="9" t="s">
        <v>1215</v>
      </c>
      <c r="E1396" s="9" t="s">
        <v>196</v>
      </c>
      <c r="F1396" s="9" t="s">
        <v>205</v>
      </c>
      <c r="G1396" s="9" t="s">
        <v>221</v>
      </c>
      <c r="H1396" s="9" t="n">
        <v>540</v>
      </c>
      <c r="I1396" s="29" t="n">
        <v>1.2</v>
      </c>
      <c r="J1396" s="9" t="n">
        <v>0</v>
      </c>
      <c r="K1396" s="30"/>
      <c r="L1396" s="30"/>
      <c r="M1396" s="30"/>
      <c r="N1396" s="30"/>
      <c r="O1396" s="30"/>
      <c r="P1396" s="30"/>
      <c r="Q1396" s="30"/>
      <c r="R1396" s="30"/>
      <c r="S1396" s="30"/>
      <c r="T1396" s="30"/>
      <c r="U1396" s="21" t="str">
        <f aca="false">IF(COUNT(K1396:T1396)=0,"SOURCE EMPTY / INDUSTRIAL ONLY",IF(MIN(K1396:T1396)=1,"SERVICE READY","HOLD"))</f>
        <v>SOURCE EMPTY / INDUSTRIAL ONLY</v>
      </c>
      <c r="V1396" s="9" t="n">
        <f aca="false">IF(U1396="SERVICE READY",1,0)</f>
        <v>0</v>
      </c>
      <c r="W1396" s="6"/>
      <c r="X1396" s="6"/>
      <c r="Y1396" s="6"/>
      <c r="Z1396" s="6"/>
    </row>
    <row r="1397" customFormat="false" ht="15" hidden="false" customHeight="false" outlineLevel="0" collapsed="false">
      <c r="A1397" s="9" t="s">
        <v>1631</v>
      </c>
      <c r="B1397" s="9" t="s">
        <v>1563</v>
      </c>
      <c r="C1397" s="9" t="s">
        <v>1564</v>
      </c>
      <c r="D1397" s="9" t="s">
        <v>1215</v>
      </c>
      <c r="E1397" s="9" t="s">
        <v>196</v>
      </c>
      <c r="F1397" s="9" t="s">
        <v>207</v>
      </c>
      <c r="G1397" s="9" t="s">
        <v>221</v>
      </c>
      <c r="H1397" s="9" t="n">
        <v>540</v>
      </c>
      <c r="I1397" s="29" t="n">
        <v>1.2</v>
      </c>
      <c r="J1397" s="9" t="n">
        <v>0</v>
      </c>
      <c r="K1397" s="30"/>
      <c r="L1397" s="30"/>
      <c r="M1397" s="30"/>
      <c r="N1397" s="30"/>
      <c r="O1397" s="30"/>
      <c r="P1397" s="30"/>
      <c r="Q1397" s="30"/>
      <c r="R1397" s="30"/>
      <c r="S1397" s="30"/>
      <c r="T1397" s="30"/>
      <c r="U1397" s="21" t="str">
        <f aca="false">IF(COUNT(K1397:T1397)=0,"SOURCE EMPTY / INDUSTRIAL ONLY",IF(MIN(K1397:T1397)=1,"SERVICE READY","HOLD"))</f>
        <v>SOURCE EMPTY / INDUSTRIAL ONLY</v>
      </c>
      <c r="V1397" s="9" t="n">
        <f aca="false">IF(U1397="SERVICE READY",1,0)</f>
        <v>0</v>
      </c>
      <c r="W1397" s="6"/>
      <c r="X1397" s="6"/>
      <c r="Y1397" s="6"/>
      <c r="Z1397" s="6"/>
    </row>
    <row r="1398" customFormat="false" ht="15" hidden="false" customHeight="false" outlineLevel="0" collapsed="false">
      <c r="A1398" s="9" t="s">
        <v>1632</v>
      </c>
      <c r="B1398" s="9" t="s">
        <v>1563</v>
      </c>
      <c r="C1398" s="9" t="s">
        <v>1564</v>
      </c>
      <c r="D1398" s="9" t="s">
        <v>1215</v>
      </c>
      <c r="E1398" s="9" t="s">
        <v>196</v>
      </c>
      <c r="F1398" s="9" t="s">
        <v>209</v>
      </c>
      <c r="G1398" s="9" t="s">
        <v>221</v>
      </c>
      <c r="H1398" s="9" t="n">
        <v>540</v>
      </c>
      <c r="I1398" s="29" t="n">
        <v>1.2</v>
      </c>
      <c r="J1398" s="9" t="n">
        <v>0</v>
      </c>
      <c r="K1398" s="30"/>
      <c r="L1398" s="30"/>
      <c r="M1398" s="30"/>
      <c r="N1398" s="30"/>
      <c r="O1398" s="30"/>
      <c r="P1398" s="30"/>
      <c r="Q1398" s="30"/>
      <c r="R1398" s="30"/>
      <c r="S1398" s="30"/>
      <c r="T1398" s="30"/>
      <c r="U1398" s="21" t="str">
        <f aca="false">IF(COUNT(K1398:T1398)=0,"SOURCE EMPTY / INDUSTRIAL ONLY",IF(MIN(K1398:T1398)=1,"SERVICE READY","HOLD"))</f>
        <v>SOURCE EMPTY / INDUSTRIAL ONLY</v>
      </c>
      <c r="V1398" s="9" t="n">
        <f aca="false">IF(U1398="SERVICE READY",1,0)</f>
        <v>0</v>
      </c>
      <c r="W1398" s="6"/>
      <c r="X1398" s="6"/>
      <c r="Y1398" s="6"/>
      <c r="Z1398" s="6"/>
    </row>
    <row r="1399" customFormat="false" ht="15" hidden="false" customHeight="false" outlineLevel="0" collapsed="false">
      <c r="A1399" s="9" t="s">
        <v>1633</v>
      </c>
      <c r="B1399" s="9" t="s">
        <v>1563</v>
      </c>
      <c r="C1399" s="9" t="s">
        <v>1564</v>
      </c>
      <c r="D1399" s="9" t="s">
        <v>1215</v>
      </c>
      <c r="E1399" s="9" t="s">
        <v>196</v>
      </c>
      <c r="F1399" s="9" t="s">
        <v>211</v>
      </c>
      <c r="G1399" s="9" t="s">
        <v>221</v>
      </c>
      <c r="H1399" s="9" t="n">
        <v>540</v>
      </c>
      <c r="I1399" s="29" t="n">
        <v>1.2</v>
      </c>
      <c r="J1399" s="9" t="n">
        <v>0</v>
      </c>
      <c r="K1399" s="30"/>
      <c r="L1399" s="30"/>
      <c r="M1399" s="30"/>
      <c r="N1399" s="30"/>
      <c r="O1399" s="30"/>
      <c r="P1399" s="30"/>
      <c r="Q1399" s="30"/>
      <c r="R1399" s="30"/>
      <c r="S1399" s="30"/>
      <c r="T1399" s="30"/>
      <c r="U1399" s="21" t="str">
        <f aca="false">IF(COUNT(K1399:T1399)=0,"SOURCE EMPTY / INDUSTRIAL ONLY",IF(MIN(K1399:T1399)=1,"SERVICE READY","HOLD"))</f>
        <v>SOURCE EMPTY / INDUSTRIAL ONLY</v>
      </c>
      <c r="V1399" s="9" t="n">
        <f aca="false">IF(U1399="SERVICE READY",1,0)</f>
        <v>0</v>
      </c>
      <c r="W1399" s="6"/>
      <c r="X1399" s="6"/>
      <c r="Y1399" s="6"/>
      <c r="Z1399" s="6"/>
    </row>
    <row r="1400" customFormat="false" ht="15" hidden="false" customHeight="false" outlineLevel="0" collapsed="false">
      <c r="A1400" s="9" t="s">
        <v>1634</v>
      </c>
      <c r="B1400" s="9" t="s">
        <v>1563</v>
      </c>
      <c r="C1400" s="9" t="s">
        <v>1564</v>
      </c>
      <c r="D1400" s="9" t="s">
        <v>1215</v>
      </c>
      <c r="E1400" s="9" t="s">
        <v>196</v>
      </c>
      <c r="F1400" s="9" t="s">
        <v>197</v>
      </c>
      <c r="G1400" s="9" t="s">
        <v>221</v>
      </c>
      <c r="H1400" s="9" t="n">
        <v>540</v>
      </c>
      <c r="I1400" s="29" t="n">
        <v>1.2</v>
      </c>
      <c r="J1400" s="9" t="n">
        <v>0</v>
      </c>
      <c r="K1400" s="30"/>
      <c r="L1400" s="30"/>
      <c r="M1400" s="30"/>
      <c r="N1400" s="30"/>
      <c r="O1400" s="30"/>
      <c r="P1400" s="30"/>
      <c r="Q1400" s="30"/>
      <c r="R1400" s="30"/>
      <c r="S1400" s="30"/>
      <c r="T1400" s="30"/>
      <c r="U1400" s="21" t="str">
        <f aca="false">IF(COUNT(K1400:T1400)=0,"SOURCE EMPTY / INDUSTRIAL ONLY",IF(MIN(K1400:T1400)=1,"SERVICE READY","HOLD"))</f>
        <v>SOURCE EMPTY / INDUSTRIAL ONLY</v>
      </c>
      <c r="V1400" s="9" t="n">
        <f aca="false">IF(U1400="SERVICE READY",1,0)</f>
        <v>0</v>
      </c>
      <c r="W1400" s="6"/>
      <c r="X1400" s="6"/>
      <c r="Y1400" s="6"/>
      <c r="Z1400" s="6"/>
    </row>
    <row r="1401" customFormat="false" ht="15" hidden="false" customHeight="false" outlineLevel="0" collapsed="false">
      <c r="A1401" s="9" t="s">
        <v>1635</v>
      </c>
      <c r="B1401" s="9" t="s">
        <v>1563</v>
      </c>
      <c r="C1401" s="9" t="s">
        <v>1564</v>
      </c>
      <c r="D1401" s="9" t="s">
        <v>1215</v>
      </c>
      <c r="E1401" s="9" t="s">
        <v>196</v>
      </c>
      <c r="F1401" s="9" t="s">
        <v>200</v>
      </c>
      <c r="G1401" s="9" t="s">
        <v>221</v>
      </c>
      <c r="H1401" s="9" t="n">
        <v>540</v>
      </c>
      <c r="I1401" s="29" t="n">
        <v>1.2</v>
      </c>
      <c r="J1401" s="9" t="n">
        <v>0</v>
      </c>
      <c r="K1401" s="30"/>
      <c r="L1401" s="30"/>
      <c r="M1401" s="30"/>
      <c r="N1401" s="30"/>
      <c r="O1401" s="30"/>
      <c r="P1401" s="30"/>
      <c r="Q1401" s="30"/>
      <c r="R1401" s="30"/>
      <c r="S1401" s="30"/>
      <c r="T1401" s="30"/>
      <c r="U1401" s="21" t="str">
        <f aca="false">IF(COUNT(K1401:T1401)=0,"SOURCE EMPTY / INDUSTRIAL ONLY",IF(MIN(K1401:T1401)=1,"SERVICE READY","HOLD"))</f>
        <v>SOURCE EMPTY / INDUSTRIAL ONLY</v>
      </c>
      <c r="V1401" s="9" t="n">
        <f aca="false">IF(U1401="SERVICE READY",1,0)</f>
        <v>0</v>
      </c>
      <c r="W1401" s="6"/>
      <c r="X1401" s="6"/>
      <c r="Y1401" s="6"/>
      <c r="Z1401" s="6"/>
    </row>
    <row r="1402" customFormat="false" ht="15" hidden="false" customHeight="false" outlineLevel="0" collapsed="false">
      <c r="A1402" s="9" t="s">
        <v>1636</v>
      </c>
      <c r="B1402" s="9" t="s">
        <v>1563</v>
      </c>
      <c r="C1402" s="9" t="s">
        <v>1564</v>
      </c>
      <c r="D1402" s="9" t="s">
        <v>1215</v>
      </c>
      <c r="E1402" s="9" t="s">
        <v>196</v>
      </c>
      <c r="F1402" s="9" t="s">
        <v>203</v>
      </c>
      <c r="G1402" s="9" t="s">
        <v>221</v>
      </c>
      <c r="H1402" s="9" t="n">
        <v>540</v>
      </c>
      <c r="I1402" s="29" t="n">
        <v>1.2</v>
      </c>
      <c r="J1402" s="9" t="n">
        <v>0</v>
      </c>
      <c r="K1402" s="30"/>
      <c r="L1402" s="30"/>
      <c r="M1402" s="30"/>
      <c r="N1402" s="30"/>
      <c r="O1402" s="30"/>
      <c r="P1402" s="30"/>
      <c r="Q1402" s="30"/>
      <c r="R1402" s="30"/>
      <c r="S1402" s="30"/>
      <c r="T1402" s="30"/>
      <c r="U1402" s="21" t="str">
        <f aca="false">IF(COUNT(K1402:T1402)=0,"SOURCE EMPTY / INDUSTRIAL ONLY",IF(MIN(K1402:T1402)=1,"SERVICE READY","HOLD"))</f>
        <v>SOURCE EMPTY / INDUSTRIAL ONLY</v>
      </c>
      <c r="V1402" s="9" t="n">
        <f aca="false">IF(U1402="SERVICE READY",1,0)</f>
        <v>0</v>
      </c>
      <c r="W1402" s="6"/>
      <c r="X1402" s="6"/>
      <c r="Y1402" s="6"/>
      <c r="Z1402" s="6"/>
    </row>
    <row r="1403" customFormat="false" ht="15" hidden="false" customHeight="false" outlineLevel="0" collapsed="false">
      <c r="A1403" s="9" t="s">
        <v>1637</v>
      </c>
      <c r="B1403" s="9" t="s">
        <v>1563</v>
      </c>
      <c r="C1403" s="9" t="s">
        <v>1564</v>
      </c>
      <c r="D1403" s="9" t="s">
        <v>1215</v>
      </c>
      <c r="E1403" s="9" t="s">
        <v>196</v>
      </c>
      <c r="F1403" s="9" t="s">
        <v>205</v>
      </c>
      <c r="G1403" s="9" t="s">
        <v>221</v>
      </c>
      <c r="H1403" s="9" t="n">
        <v>540</v>
      </c>
      <c r="I1403" s="29" t="n">
        <v>1.2</v>
      </c>
      <c r="J1403" s="9" t="n">
        <v>0</v>
      </c>
      <c r="K1403" s="30"/>
      <c r="L1403" s="30"/>
      <c r="M1403" s="30"/>
      <c r="N1403" s="30"/>
      <c r="O1403" s="30"/>
      <c r="P1403" s="30"/>
      <c r="Q1403" s="30"/>
      <c r="R1403" s="30"/>
      <c r="S1403" s="30"/>
      <c r="T1403" s="30"/>
      <c r="U1403" s="21" t="str">
        <f aca="false">IF(COUNT(K1403:T1403)=0,"SOURCE EMPTY / INDUSTRIAL ONLY",IF(MIN(K1403:T1403)=1,"SERVICE READY","HOLD"))</f>
        <v>SOURCE EMPTY / INDUSTRIAL ONLY</v>
      </c>
      <c r="V1403" s="9" t="n">
        <f aca="false">IF(U1403="SERVICE READY",1,0)</f>
        <v>0</v>
      </c>
      <c r="W1403" s="6"/>
      <c r="X1403" s="6"/>
      <c r="Y1403" s="6"/>
      <c r="Z1403" s="6"/>
    </row>
    <row r="1404" customFormat="false" ht="15" hidden="false" customHeight="false" outlineLevel="0" collapsed="false">
      <c r="A1404" s="9" t="s">
        <v>1638</v>
      </c>
      <c r="B1404" s="9" t="s">
        <v>1563</v>
      </c>
      <c r="C1404" s="9" t="s">
        <v>1564</v>
      </c>
      <c r="D1404" s="9" t="s">
        <v>1215</v>
      </c>
      <c r="E1404" s="9" t="s">
        <v>196</v>
      </c>
      <c r="F1404" s="9" t="s">
        <v>207</v>
      </c>
      <c r="G1404" s="9" t="s">
        <v>221</v>
      </c>
      <c r="H1404" s="9" t="n">
        <v>540</v>
      </c>
      <c r="I1404" s="29" t="n">
        <v>1.2</v>
      </c>
      <c r="J1404" s="9" t="n">
        <v>0</v>
      </c>
      <c r="K1404" s="30"/>
      <c r="L1404" s="30"/>
      <c r="M1404" s="30"/>
      <c r="N1404" s="30"/>
      <c r="O1404" s="30"/>
      <c r="P1404" s="30"/>
      <c r="Q1404" s="30"/>
      <c r="R1404" s="30"/>
      <c r="S1404" s="30"/>
      <c r="T1404" s="30"/>
      <c r="U1404" s="21" t="str">
        <f aca="false">IF(COUNT(K1404:T1404)=0,"SOURCE EMPTY / INDUSTRIAL ONLY",IF(MIN(K1404:T1404)=1,"SERVICE READY","HOLD"))</f>
        <v>SOURCE EMPTY / INDUSTRIAL ONLY</v>
      </c>
      <c r="V1404" s="9" t="n">
        <f aca="false">IF(U1404="SERVICE READY",1,0)</f>
        <v>0</v>
      </c>
      <c r="W1404" s="6"/>
      <c r="X1404" s="6"/>
      <c r="Y1404" s="6"/>
      <c r="Z1404" s="6"/>
    </row>
    <row r="1405" customFormat="false" ht="15" hidden="false" customHeight="false" outlineLevel="0" collapsed="false">
      <c r="A1405" s="9" t="s">
        <v>1639</v>
      </c>
      <c r="B1405" s="9" t="s">
        <v>1563</v>
      </c>
      <c r="C1405" s="9" t="s">
        <v>1564</v>
      </c>
      <c r="D1405" s="9" t="s">
        <v>1215</v>
      </c>
      <c r="E1405" s="9" t="s">
        <v>196</v>
      </c>
      <c r="F1405" s="9" t="s">
        <v>209</v>
      </c>
      <c r="G1405" s="9" t="s">
        <v>221</v>
      </c>
      <c r="H1405" s="9" t="n">
        <v>540</v>
      </c>
      <c r="I1405" s="29" t="n">
        <v>1.2</v>
      </c>
      <c r="J1405" s="9" t="n">
        <v>0</v>
      </c>
      <c r="K1405" s="30"/>
      <c r="L1405" s="30"/>
      <c r="M1405" s="30"/>
      <c r="N1405" s="30"/>
      <c r="O1405" s="30"/>
      <c r="P1405" s="30"/>
      <c r="Q1405" s="30"/>
      <c r="R1405" s="30"/>
      <c r="S1405" s="30"/>
      <c r="T1405" s="30"/>
      <c r="U1405" s="21" t="str">
        <f aca="false">IF(COUNT(K1405:T1405)=0,"SOURCE EMPTY / INDUSTRIAL ONLY",IF(MIN(K1405:T1405)=1,"SERVICE READY","HOLD"))</f>
        <v>SOURCE EMPTY / INDUSTRIAL ONLY</v>
      </c>
      <c r="V1405" s="9" t="n">
        <f aca="false">IF(U1405="SERVICE READY",1,0)</f>
        <v>0</v>
      </c>
      <c r="W1405" s="6"/>
      <c r="X1405" s="6"/>
      <c r="Y1405" s="6"/>
      <c r="Z1405" s="6"/>
    </row>
    <row r="1406" customFormat="false" ht="15" hidden="false" customHeight="false" outlineLevel="0" collapsed="false">
      <c r="A1406" s="9" t="s">
        <v>1640</v>
      </c>
      <c r="B1406" s="9" t="s">
        <v>1563</v>
      </c>
      <c r="C1406" s="9" t="s">
        <v>1564</v>
      </c>
      <c r="D1406" s="9" t="s">
        <v>1215</v>
      </c>
      <c r="E1406" s="9" t="s">
        <v>196</v>
      </c>
      <c r="F1406" s="9" t="s">
        <v>211</v>
      </c>
      <c r="G1406" s="9" t="s">
        <v>221</v>
      </c>
      <c r="H1406" s="9" t="n">
        <v>540</v>
      </c>
      <c r="I1406" s="29" t="n">
        <v>1.2</v>
      </c>
      <c r="J1406" s="9" t="n">
        <v>0</v>
      </c>
      <c r="K1406" s="30"/>
      <c r="L1406" s="30"/>
      <c r="M1406" s="30"/>
      <c r="N1406" s="30"/>
      <c r="O1406" s="30"/>
      <c r="P1406" s="30"/>
      <c r="Q1406" s="30"/>
      <c r="R1406" s="30"/>
      <c r="S1406" s="30"/>
      <c r="T1406" s="30"/>
      <c r="U1406" s="21" t="str">
        <f aca="false">IF(COUNT(K1406:T1406)=0,"SOURCE EMPTY / INDUSTRIAL ONLY",IF(MIN(K1406:T1406)=1,"SERVICE READY","HOLD"))</f>
        <v>SOURCE EMPTY / INDUSTRIAL ONLY</v>
      </c>
      <c r="V1406" s="9" t="n">
        <f aca="false">IF(U1406="SERVICE READY",1,0)</f>
        <v>0</v>
      </c>
      <c r="W1406" s="6"/>
      <c r="X1406" s="6"/>
      <c r="Y1406" s="6"/>
      <c r="Z1406" s="6"/>
    </row>
    <row r="1407" customFormat="false" ht="15" hidden="false" customHeight="false" outlineLevel="0" collapsed="false">
      <c r="A1407" s="9" t="s">
        <v>1641</v>
      </c>
      <c r="B1407" s="9" t="s">
        <v>1563</v>
      </c>
      <c r="C1407" s="9" t="s">
        <v>1564</v>
      </c>
      <c r="D1407" s="9" t="s">
        <v>1215</v>
      </c>
      <c r="E1407" s="9" t="s">
        <v>196</v>
      </c>
      <c r="F1407" s="9" t="s">
        <v>197</v>
      </c>
      <c r="G1407" s="9" t="s">
        <v>221</v>
      </c>
      <c r="H1407" s="9" t="n">
        <v>540</v>
      </c>
      <c r="I1407" s="29" t="n">
        <v>1.2</v>
      </c>
      <c r="J1407" s="9" t="n">
        <v>0</v>
      </c>
      <c r="K1407" s="30"/>
      <c r="L1407" s="30"/>
      <c r="M1407" s="30"/>
      <c r="N1407" s="30"/>
      <c r="O1407" s="30"/>
      <c r="P1407" s="30"/>
      <c r="Q1407" s="30"/>
      <c r="R1407" s="30"/>
      <c r="S1407" s="30"/>
      <c r="T1407" s="30"/>
      <c r="U1407" s="21" t="str">
        <f aca="false">IF(COUNT(K1407:T1407)=0,"SOURCE EMPTY / INDUSTRIAL ONLY",IF(MIN(K1407:T1407)=1,"SERVICE READY","HOLD"))</f>
        <v>SOURCE EMPTY / INDUSTRIAL ONLY</v>
      </c>
      <c r="V1407" s="9" t="n">
        <f aca="false">IF(U1407="SERVICE READY",1,0)</f>
        <v>0</v>
      </c>
      <c r="W1407" s="6"/>
      <c r="X1407" s="6"/>
      <c r="Y1407" s="6"/>
      <c r="Z1407" s="6"/>
    </row>
    <row r="1408" customFormat="false" ht="15" hidden="false" customHeight="false" outlineLevel="0" collapsed="false">
      <c r="A1408" s="9" t="s">
        <v>1642</v>
      </c>
      <c r="B1408" s="9" t="s">
        <v>1563</v>
      </c>
      <c r="C1408" s="9" t="s">
        <v>1564</v>
      </c>
      <c r="D1408" s="9" t="s">
        <v>1215</v>
      </c>
      <c r="E1408" s="9" t="s">
        <v>196</v>
      </c>
      <c r="F1408" s="9" t="s">
        <v>200</v>
      </c>
      <c r="G1408" s="9" t="s">
        <v>221</v>
      </c>
      <c r="H1408" s="9" t="n">
        <v>540</v>
      </c>
      <c r="I1408" s="29" t="n">
        <v>1.2</v>
      </c>
      <c r="J1408" s="9" t="n">
        <v>0</v>
      </c>
      <c r="K1408" s="30"/>
      <c r="L1408" s="30"/>
      <c r="M1408" s="30"/>
      <c r="N1408" s="30"/>
      <c r="O1408" s="30"/>
      <c r="P1408" s="30"/>
      <c r="Q1408" s="30"/>
      <c r="R1408" s="30"/>
      <c r="S1408" s="30"/>
      <c r="T1408" s="30"/>
      <c r="U1408" s="21" t="str">
        <f aca="false">IF(COUNT(K1408:T1408)=0,"SOURCE EMPTY / INDUSTRIAL ONLY",IF(MIN(K1408:T1408)=1,"SERVICE READY","HOLD"))</f>
        <v>SOURCE EMPTY / INDUSTRIAL ONLY</v>
      </c>
      <c r="V1408" s="9" t="n">
        <f aca="false">IF(U1408="SERVICE READY",1,0)</f>
        <v>0</v>
      </c>
      <c r="W1408" s="6"/>
      <c r="X1408" s="6"/>
      <c r="Y1408" s="6"/>
      <c r="Z1408" s="6"/>
    </row>
    <row r="1409" customFormat="false" ht="15" hidden="false" customHeight="false" outlineLevel="0" collapsed="false">
      <c r="A1409" s="9" t="s">
        <v>1643</v>
      </c>
      <c r="B1409" s="9" t="s">
        <v>1563</v>
      </c>
      <c r="C1409" s="9" t="s">
        <v>1564</v>
      </c>
      <c r="D1409" s="9" t="s">
        <v>1215</v>
      </c>
      <c r="E1409" s="9" t="s">
        <v>196</v>
      </c>
      <c r="F1409" s="9" t="s">
        <v>203</v>
      </c>
      <c r="G1409" s="9" t="s">
        <v>221</v>
      </c>
      <c r="H1409" s="9" t="n">
        <v>540</v>
      </c>
      <c r="I1409" s="29" t="n">
        <v>1.2</v>
      </c>
      <c r="J1409" s="9" t="n">
        <v>0</v>
      </c>
      <c r="K1409" s="30"/>
      <c r="L1409" s="30"/>
      <c r="M1409" s="30"/>
      <c r="N1409" s="30"/>
      <c r="O1409" s="30"/>
      <c r="P1409" s="30"/>
      <c r="Q1409" s="30"/>
      <c r="R1409" s="30"/>
      <c r="S1409" s="30"/>
      <c r="T1409" s="30"/>
      <c r="U1409" s="21" t="str">
        <f aca="false">IF(COUNT(K1409:T1409)=0,"SOURCE EMPTY / INDUSTRIAL ONLY",IF(MIN(K1409:T1409)=1,"SERVICE READY","HOLD"))</f>
        <v>SOURCE EMPTY / INDUSTRIAL ONLY</v>
      </c>
      <c r="V1409" s="9" t="n">
        <f aca="false">IF(U1409="SERVICE READY",1,0)</f>
        <v>0</v>
      </c>
      <c r="W1409" s="6"/>
      <c r="X1409" s="6"/>
      <c r="Y1409" s="6"/>
      <c r="Z1409" s="6"/>
    </row>
    <row r="1410" customFormat="false" ht="15" hidden="false" customHeight="false" outlineLevel="0" collapsed="false">
      <c r="A1410" s="9" t="s">
        <v>1644</v>
      </c>
      <c r="B1410" s="9" t="s">
        <v>1563</v>
      </c>
      <c r="C1410" s="9" t="s">
        <v>1564</v>
      </c>
      <c r="D1410" s="9" t="s">
        <v>1215</v>
      </c>
      <c r="E1410" s="9" t="s">
        <v>196</v>
      </c>
      <c r="F1410" s="9" t="s">
        <v>205</v>
      </c>
      <c r="G1410" s="9" t="s">
        <v>221</v>
      </c>
      <c r="H1410" s="9" t="n">
        <v>540</v>
      </c>
      <c r="I1410" s="29" t="n">
        <v>1.2</v>
      </c>
      <c r="J1410" s="9" t="n">
        <v>0</v>
      </c>
      <c r="K1410" s="30"/>
      <c r="L1410" s="30"/>
      <c r="M1410" s="30"/>
      <c r="N1410" s="30"/>
      <c r="O1410" s="30"/>
      <c r="P1410" s="30"/>
      <c r="Q1410" s="30"/>
      <c r="R1410" s="30"/>
      <c r="S1410" s="30"/>
      <c r="T1410" s="30"/>
      <c r="U1410" s="21" t="str">
        <f aca="false">IF(COUNT(K1410:T1410)=0,"SOURCE EMPTY / INDUSTRIAL ONLY",IF(MIN(K1410:T1410)=1,"SERVICE READY","HOLD"))</f>
        <v>SOURCE EMPTY / INDUSTRIAL ONLY</v>
      </c>
      <c r="V1410" s="9" t="n">
        <f aca="false">IF(U1410="SERVICE READY",1,0)</f>
        <v>0</v>
      </c>
      <c r="W1410" s="6"/>
      <c r="X1410" s="6"/>
      <c r="Y1410" s="6"/>
      <c r="Z1410" s="6"/>
    </row>
    <row r="1411" customFormat="false" ht="15" hidden="false" customHeight="false" outlineLevel="0" collapsed="false">
      <c r="A1411" s="9" t="s">
        <v>1645</v>
      </c>
      <c r="B1411" s="9" t="s">
        <v>1563</v>
      </c>
      <c r="C1411" s="9" t="s">
        <v>1564</v>
      </c>
      <c r="D1411" s="9" t="s">
        <v>1215</v>
      </c>
      <c r="E1411" s="9" t="s">
        <v>196</v>
      </c>
      <c r="F1411" s="9" t="s">
        <v>207</v>
      </c>
      <c r="G1411" s="9" t="s">
        <v>221</v>
      </c>
      <c r="H1411" s="9" t="n">
        <v>540</v>
      </c>
      <c r="I1411" s="29" t="n">
        <v>1.2</v>
      </c>
      <c r="J1411" s="9" t="n">
        <v>0</v>
      </c>
      <c r="K1411" s="30"/>
      <c r="L1411" s="30"/>
      <c r="M1411" s="30"/>
      <c r="N1411" s="30"/>
      <c r="O1411" s="30"/>
      <c r="P1411" s="30"/>
      <c r="Q1411" s="30"/>
      <c r="R1411" s="30"/>
      <c r="S1411" s="30"/>
      <c r="T1411" s="30"/>
      <c r="U1411" s="21" t="str">
        <f aca="false">IF(COUNT(K1411:T1411)=0,"SOURCE EMPTY / INDUSTRIAL ONLY",IF(MIN(K1411:T1411)=1,"SERVICE READY","HOLD"))</f>
        <v>SOURCE EMPTY / INDUSTRIAL ONLY</v>
      </c>
      <c r="V1411" s="9" t="n">
        <f aca="false">IF(U1411="SERVICE READY",1,0)</f>
        <v>0</v>
      </c>
      <c r="W1411" s="6"/>
      <c r="X1411" s="6"/>
      <c r="Y1411" s="6"/>
      <c r="Z1411" s="6"/>
    </row>
    <row r="1412" customFormat="false" ht="15" hidden="false" customHeight="false" outlineLevel="0" collapsed="false">
      <c r="A1412" s="9" t="s">
        <v>1646</v>
      </c>
      <c r="B1412" s="9" t="s">
        <v>1563</v>
      </c>
      <c r="C1412" s="9" t="s">
        <v>1564</v>
      </c>
      <c r="D1412" s="9" t="s">
        <v>1215</v>
      </c>
      <c r="E1412" s="9" t="s">
        <v>196</v>
      </c>
      <c r="F1412" s="9" t="s">
        <v>209</v>
      </c>
      <c r="G1412" s="9" t="s">
        <v>221</v>
      </c>
      <c r="H1412" s="9" t="n">
        <v>540</v>
      </c>
      <c r="I1412" s="29" t="n">
        <v>1.2</v>
      </c>
      <c r="J1412" s="9" t="n">
        <v>0</v>
      </c>
      <c r="K1412" s="30"/>
      <c r="L1412" s="30"/>
      <c r="M1412" s="30"/>
      <c r="N1412" s="30"/>
      <c r="O1412" s="30"/>
      <c r="P1412" s="30"/>
      <c r="Q1412" s="30"/>
      <c r="R1412" s="30"/>
      <c r="S1412" s="30"/>
      <c r="T1412" s="30"/>
      <c r="U1412" s="21" t="str">
        <f aca="false">IF(COUNT(K1412:T1412)=0,"SOURCE EMPTY / INDUSTRIAL ONLY",IF(MIN(K1412:T1412)=1,"SERVICE READY","HOLD"))</f>
        <v>SOURCE EMPTY / INDUSTRIAL ONLY</v>
      </c>
      <c r="V1412" s="9" t="n">
        <f aca="false">IF(U1412="SERVICE READY",1,0)</f>
        <v>0</v>
      </c>
      <c r="W1412" s="6"/>
      <c r="X1412" s="6"/>
      <c r="Y1412" s="6"/>
      <c r="Z1412" s="6"/>
    </row>
    <row r="1413" customFormat="false" ht="15" hidden="false" customHeight="false" outlineLevel="0" collapsed="false">
      <c r="A1413" s="9" t="s">
        <v>1647</v>
      </c>
      <c r="B1413" s="9" t="s">
        <v>1563</v>
      </c>
      <c r="C1413" s="9" t="s">
        <v>1564</v>
      </c>
      <c r="D1413" s="9" t="s">
        <v>1215</v>
      </c>
      <c r="E1413" s="9" t="s">
        <v>196</v>
      </c>
      <c r="F1413" s="9" t="s">
        <v>211</v>
      </c>
      <c r="G1413" s="9" t="s">
        <v>221</v>
      </c>
      <c r="H1413" s="9" t="n">
        <v>540</v>
      </c>
      <c r="I1413" s="29" t="n">
        <v>1.2</v>
      </c>
      <c r="J1413" s="9" t="n">
        <v>0</v>
      </c>
      <c r="K1413" s="30"/>
      <c r="L1413" s="30"/>
      <c r="M1413" s="30"/>
      <c r="N1413" s="30"/>
      <c r="O1413" s="30"/>
      <c r="P1413" s="30"/>
      <c r="Q1413" s="30"/>
      <c r="R1413" s="30"/>
      <c r="S1413" s="30"/>
      <c r="T1413" s="30"/>
      <c r="U1413" s="21" t="str">
        <f aca="false">IF(COUNT(K1413:T1413)=0,"SOURCE EMPTY / INDUSTRIAL ONLY",IF(MIN(K1413:T1413)=1,"SERVICE READY","HOLD"))</f>
        <v>SOURCE EMPTY / INDUSTRIAL ONLY</v>
      </c>
      <c r="V1413" s="9" t="n">
        <f aca="false">IF(U1413="SERVICE READY",1,0)</f>
        <v>0</v>
      </c>
      <c r="W1413" s="6"/>
      <c r="X1413" s="6"/>
      <c r="Y1413" s="6"/>
      <c r="Z1413" s="6"/>
    </row>
    <row r="1414" customFormat="false" ht="15" hidden="false" customHeight="false" outlineLevel="0" collapsed="false">
      <c r="A1414" s="9" t="s">
        <v>1648</v>
      </c>
      <c r="B1414" s="9" t="s">
        <v>1563</v>
      </c>
      <c r="C1414" s="9" t="s">
        <v>1564</v>
      </c>
      <c r="D1414" s="9" t="s">
        <v>1215</v>
      </c>
      <c r="E1414" s="9" t="s">
        <v>196</v>
      </c>
      <c r="F1414" s="9" t="s">
        <v>197</v>
      </c>
      <c r="G1414" s="9" t="s">
        <v>221</v>
      </c>
      <c r="H1414" s="9" t="n">
        <v>540</v>
      </c>
      <c r="I1414" s="29" t="n">
        <v>1.2</v>
      </c>
      <c r="J1414" s="9" t="n">
        <v>0</v>
      </c>
      <c r="K1414" s="30"/>
      <c r="L1414" s="30"/>
      <c r="M1414" s="30"/>
      <c r="N1414" s="30"/>
      <c r="O1414" s="30"/>
      <c r="P1414" s="30"/>
      <c r="Q1414" s="30"/>
      <c r="R1414" s="30"/>
      <c r="S1414" s="30"/>
      <c r="T1414" s="30"/>
      <c r="U1414" s="21" t="str">
        <f aca="false">IF(COUNT(K1414:T1414)=0,"SOURCE EMPTY / INDUSTRIAL ONLY",IF(MIN(K1414:T1414)=1,"SERVICE READY","HOLD"))</f>
        <v>SOURCE EMPTY / INDUSTRIAL ONLY</v>
      </c>
      <c r="V1414" s="9" t="n">
        <f aca="false">IF(U1414="SERVICE READY",1,0)</f>
        <v>0</v>
      </c>
      <c r="W1414" s="6"/>
      <c r="X1414" s="6"/>
      <c r="Y1414" s="6"/>
      <c r="Z1414" s="6"/>
    </row>
    <row r="1415" customFormat="false" ht="15" hidden="false" customHeight="false" outlineLevel="0" collapsed="false">
      <c r="A1415" s="9" t="s">
        <v>1649</v>
      </c>
      <c r="B1415" s="9" t="s">
        <v>1563</v>
      </c>
      <c r="C1415" s="9" t="s">
        <v>1564</v>
      </c>
      <c r="D1415" s="9" t="s">
        <v>1215</v>
      </c>
      <c r="E1415" s="9" t="s">
        <v>196</v>
      </c>
      <c r="F1415" s="9" t="s">
        <v>200</v>
      </c>
      <c r="G1415" s="9" t="s">
        <v>221</v>
      </c>
      <c r="H1415" s="9" t="n">
        <v>540</v>
      </c>
      <c r="I1415" s="29" t="n">
        <v>1.2</v>
      </c>
      <c r="J1415" s="9" t="n">
        <v>0</v>
      </c>
      <c r="K1415" s="30"/>
      <c r="L1415" s="30"/>
      <c r="M1415" s="30"/>
      <c r="N1415" s="30"/>
      <c r="O1415" s="30"/>
      <c r="P1415" s="30"/>
      <c r="Q1415" s="30"/>
      <c r="R1415" s="30"/>
      <c r="S1415" s="30"/>
      <c r="T1415" s="30"/>
      <c r="U1415" s="21" t="str">
        <f aca="false">IF(COUNT(K1415:T1415)=0,"SOURCE EMPTY / INDUSTRIAL ONLY",IF(MIN(K1415:T1415)=1,"SERVICE READY","HOLD"))</f>
        <v>SOURCE EMPTY / INDUSTRIAL ONLY</v>
      </c>
      <c r="V1415" s="9" t="n">
        <f aca="false">IF(U1415="SERVICE READY",1,0)</f>
        <v>0</v>
      </c>
      <c r="W1415" s="6"/>
      <c r="X1415" s="6"/>
      <c r="Y1415" s="6"/>
      <c r="Z1415" s="6"/>
    </row>
    <row r="1416" customFormat="false" ht="15" hidden="false" customHeight="false" outlineLevel="0" collapsed="false">
      <c r="A1416" s="9" t="s">
        <v>1650</v>
      </c>
      <c r="B1416" s="9" t="s">
        <v>1563</v>
      </c>
      <c r="C1416" s="9" t="s">
        <v>1564</v>
      </c>
      <c r="D1416" s="9" t="s">
        <v>1215</v>
      </c>
      <c r="E1416" s="9" t="s">
        <v>196</v>
      </c>
      <c r="F1416" s="9" t="s">
        <v>203</v>
      </c>
      <c r="G1416" s="9" t="s">
        <v>221</v>
      </c>
      <c r="H1416" s="9" t="n">
        <v>540</v>
      </c>
      <c r="I1416" s="29" t="n">
        <v>1.2</v>
      </c>
      <c r="J1416" s="9" t="n">
        <v>0</v>
      </c>
      <c r="K1416" s="30"/>
      <c r="L1416" s="30"/>
      <c r="M1416" s="30"/>
      <c r="N1416" s="30"/>
      <c r="O1416" s="30"/>
      <c r="P1416" s="30"/>
      <c r="Q1416" s="30"/>
      <c r="R1416" s="30"/>
      <c r="S1416" s="30"/>
      <c r="T1416" s="30"/>
      <c r="U1416" s="21" t="str">
        <f aca="false">IF(COUNT(K1416:T1416)=0,"SOURCE EMPTY / INDUSTRIAL ONLY",IF(MIN(K1416:T1416)=1,"SERVICE READY","HOLD"))</f>
        <v>SOURCE EMPTY / INDUSTRIAL ONLY</v>
      </c>
      <c r="V1416" s="9" t="n">
        <f aca="false">IF(U1416="SERVICE READY",1,0)</f>
        <v>0</v>
      </c>
      <c r="W1416" s="6"/>
      <c r="X1416" s="6"/>
      <c r="Y1416" s="6"/>
      <c r="Z1416" s="6"/>
    </row>
    <row r="1417" customFormat="false" ht="15" hidden="false" customHeight="false" outlineLevel="0" collapsed="false">
      <c r="A1417" s="9" t="s">
        <v>1651</v>
      </c>
      <c r="B1417" s="9" t="s">
        <v>1563</v>
      </c>
      <c r="C1417" s="9" t="s">
        <v>1564</v>
      </c>
      <c r="D1417" s="9" t="s">
        <v>1215</v>
      </c>
      <c r="E1417" s="9" t="s">
        <v>196</v>
      </c>
      <c r="F1417" s="9" t="s">
        <v>205</v>
      </c>
      <c r="G1417" s="9" t="s">
        <v>221</v>
      </c>
      <c r="H1417" s="9" t="n">
        <v>540</v>
      </c>
      <c r="I1417" s="29" t="n">
        <v>1.2</v>
      </c>
      <c r="J1417" s="9" t="n">
        <v>0</v>
      </c>
      <c r="K1417" s="30"/>
      <c r="L1417" s="30"/>
      <c r="M1417" s="30"/>
      <c r="N1417" s="30"/>
      <c r="O1417" s="30"/>
      <c r="P1417" s="30"/>
      <c r="Q1417" s="30"/>
      <c r="R1417" s="30"/>
      <c r="S1417" s="30"/>
      <c r="T1417" s="30"/>
      <c r="U1417" s="21" t="str">
        <f aca="false">IF(COUNT(K1417:T1417)=0,"SOURCE EMPTY / INDUSTRIAL ONLY",IF(MIN(K1417:T1417)=1,"SERVICE READY","HOLD"))</f>
        <v>SOURCE EMPTY / INDUSTRIAL ONLY</v>
      </c>
      <c r="V1417" s="9" t="n">
        <f aca="false">IF(U1417="SERVICE READY",1,0)</f>
        <v>0</v>
      </c>
      <c r="W1417" s="6"/>
      <c r="X1417" s="6"/>
      <c r="Y1417" s="6"/>
      <c r="Z1417" s="6"/>
    </row>
    <row r="1418" customFormat="false" ht="15" hidden="false" customHeight="false" outlineLevel="0" collapsed="false">
      <c r="A1418" s="9" t="s">
        <v>1652</v>
      </c>
      <c r="B1418" s="9" t="s">
        <v>1563</v>
      </c>
      <c r="C1418" s="9" t="s">
        <v>1564</v>
      </c>
      <c r="D1418" s="9" t="s">
        <v>1215</v>
      </c>
      <c r="E1418" s="9" t="s">
        <v>196</v>
      </c>
      <c r="F1418" s="9" t="s">
        <v>207</v>
      </c>
      <c r="G1418" s="9" t="s">
        <v>221</v>
      </c>
      <c r="H1418" s="9" t="n">
        <v>540</v>
      </c>
      <c r="I1418" s="29" t="n">
        <v>1.2</v>
      </c>
      <c r="J1418" s="9" t="n">
        <v>0</v>
      </c>
      <c r="K1418" s="30"/>
      <c r="L1418" s="30"/>
      <c r="M1418" s="30"/>
      <c r="N1418" s="30"/>
      <c r="O1418" s="30"/>
      <c r="P1418" s="30"/>
      <c r="Q1418" s="30"/>
      <c r="R1418" s="30"/>
      <c r="S1418" s="30"/>
      <c r="T1418" s="30"/>
      <c r="U1418" s="21" t="str">
        <f aca="false">IF(COUNT(K1418:T1418)=0,"SOURCE EMPTY / INDUSTRIAL ONLY",IF(MIN(K1418:T1418)=1,"SERVICE READY","HOLD"))</f>
        <v>SOURCE EMPTY / INDUSTRIAL ONLY</v>
      </c>
      <c r="V1418" s="9" t="n">
        <f aca="false">IF(U1418="SERVICE READY",1,0)</f>
        <v>0</v>
      </c>
      <c r="W1418" s="6"/>
      <c r="X1418" s="6"/>
      <c r="Y1418" s="6"/>
      <c r="Z1418" s="6"/>
    </row>
    <row r="1419" customFormat="false" ht="15" hidden="false" customHeight="false" outlineLevel="0" collapsed="false">
      <c r="A1419" s="9" t="s">
        <v>1653</v>
      </c>
      <c r="B1419" s="9" t="s">
        <v>1563</v>
      </c>
      <c r="C1419" s="9" t="s">
        <v>1564</v>
      </c>
      <c r="D1419" s="9" t="s">
        <v>1215</v>
      </c>
      <c r="E1419" s="9" t="s">
        <v>196</v>
      </c>
      <c r="F1419" s="9" t="s">
        <v>209</v>
      </c>
      <c r="G1419" s="9" t="s">
        <v>221</v>
      </c>
      <c r="H1419" s="9" t="n">
        <v>540</v>
      </c>
      <c r="I1419" s="29" t="n">
        <v>1.2</v>
      </c>
      <c r="J1419" s="9" t="n">
        <v>0</v>
      </c>
      <c r="K1419" s="30"/>
      <c r="L1419" s="30"/>
      <c r="M1419" s="30"/>
      <c r="N1419" s="30"/>
      <c r="O1419" s="30"/>
      <c r="P1419" s="30"/>
      <c r="Q1419" s="30"/>
      <c r="R1419" s="30"/>
      <c r="S1419" s="30"/>
      <c r="T1419" s="30"/>
      <c r="U1419" s="21" t="str">
        <f aca="false">IF(COUNT(K1419:T1419)=0,"SOURCE EMPTY / INDUSTRIAL ONLY",IF(MIN(K1419:T1419)=1,"SERVICE READY","HOLD"))</f>
        <v>SOURCE EMPTY / INDUSTRIAL ONLY</v>
      </c>
      <c r="V1419" s="9" t="n">
        <f aca="false">IF(U1419="SERVICE READY",1,0)</f>
        <v>0</v>
      </c>
      <c r="W1419" s="6"/>
      <c r="X1419" s="6"/>
      <c r="Y1419" s="6"/>
      <c r="Z1419" s="6"/>
    </row>
    <row r="1420" customFormat="false" ht="15" hidden="false" customHeight="false" outlineLevel="0" collapsed="false">
      <c r="A1420" s="9" t="s">
        <v>1654</v>
      </c>
      <c r="B1420" s="9" t="s">
        <v>1563</v>
      </c>
      <c r="C1420" s="9" t="s">
        <v>1564</v>
      </c>
      <c r="D1420" s="9" t="s">
        <v>1215</v>
      </c>
      <c r="E1420" s="9" t="s">
        <v>196</v>
      </c>
      <c r="F1420" s="9" t="s">
        <v>211</v>
      </c>
      <c r="G1420" s="9" t="s">
        <v>221</v>
      </c>
      <c r="H1420" s="9" t="n">
        <v>540</v>
      </c>
      <c r="I1420" s="29" t="n">
        <v>1.2</v>
      </c>
      <c r="J1420" s="9" t="n">
        <v>0</v>
      </c>
      <c r="K1420" s="30"/>
      <c r="L1420" s="30"/>
      <c r="M1420" s="30"/>
      <c r="N1420" s="30"/>
      <c r="O1420" s="30"/>
      <c r="P1420" s="30"/>
      <c r="Q1420" s="30"/>
      <c r="R1420" s="30"/>
      <c r="S1420" s="30"/>
      <c r="T1420" s="30"/>
      <c r="U1420" s="21" t="str">
        <f aca="false">IF(COUNT(K1420:T1420)=0,"SOURCE EMPTY / INDUSTRIAL ONLY",IF(MIN(K1420:T1420)=1,"SERVICE READY","HOLD"))</f>
        <v>SOURCE EMPTY / INDUSTRIAL ONLY</v>
      </c>
      <c r="V1420" s="9" t="n">
        <f aca="false">IF(U1420="SERVICE READY",1,0)</f>
        <v>0</v>
      </c>
      <c r="W1420" s="6"/>
      <c r="X1420" s="6"/>
      <c r="Y1420" s="6"/>
      <c r="Z1420" s="6"/>
    </row>
    <row r="1421" customFormat="false" ht="15" hidden="false" customHeight="false" outlineLevel="0" collapsed="false">
      <c r="A1421" s="9" t="s">
        <v>1655</v>
      </c>
      <c r="B1421" s="9" t="s">
        <v>1563</v>
      </c>
      <c r="C1421" s="9" t="s">
        <v>1564</v>
      </c>
      <c r="D1421" s="9" t="s">
        <v>1215</v>
      </c>
      <c r="E1421" s="9" t="s">
        <v>196</v>
      </c>
      <c r="F1421" s="9" t="s">
        <v>197</v>
      </c>
      <c r="G1421" s="9" t="s">
        <v>221</v>
      </c>
      <c r="H1421" s="9" t="n">
        <v>540</v>
      </c>
      <c r="I1421" s="29" t="n">
        <v>1.2</v>
      </c>
      <c r="J1421" s="9" t="n">
        <v>0</v>
      </c>
      <c r="K1421" s="30"/>
      <c r="L1421" s="30"/>
      <c r="M1421" s="30"/>
      <c r="N1421" s="30"/>
      <c r="O1421" s="30"/>
      <c r="P1421" s="30"/>
      <c r="Q1421" s="30"/>
      <c r="R1421" s="30"/>
      <c r="S1421" s="30"/>
      <c r="T1421" s="30"/>
      <c r="U1421" s="21" t="str">
        <f aca="false">IF(COUNT(K1421:T1421)=0,"SOURCE EMPTY / INDUSTRIAL ONLY",IF(MIN(K1421:T1421)=1,"SERVICE READY","HOLD"))</f>
        <v>SOURCE EMPTY / INDUSTRIAL ONLY</v>
      </c>
      <c r="V1421" s="9" t="n">
        <f aca="false">IF(U1421="SERVICE READY",1,0)</f>
        <v>0</v>
      </c>
      <c r="W1421" s="6"/>
      <c r="X1421" s="6"/>
      <c r="Y1421" s="6"/>
      <c r="Z1421" s="6"/>
    </row>
    <row r="1422" customFormat="false" ht="15" hidden="false" customHeight="false" outlineLevel="0" collapsed="false">
      <c r="A1422" s="9" t="s">
        <v>1656</v>
      </c>
      <c r="B1422" s="9" t="s">
        <v>1563</v>
      </c>
      <c r="C1422" s="9" t="s">
        <v>1564</v>
      </c>
      <c r="D1422" s="9" t="s">
        <v>1215</v>
      </c>
      <c r="E1422" s="9" t="s">
        <v>196</v>
      </c>
      <c r="F1422" s="9" t="s">
        <v>200</v>
      </c>
      <c r="G1422" s="9" t="s">
        <v>221</v>
      </c>
      <c r="H1422" s="9" t="n">
        <v>540</v>
      </c>
      <c r="I1422" s="29" t="n">
        <v>1.2</v>
      </c>
      <c r="J1422" s="9" t="n">
        <v>0</v>
      </c>
      <c r="K1422" s="30"/>
      <c r="L1422" s="30"/>
      <c r="M1422" s="30"/>
      <c r="N1422" s="30"/>
      <c r="O1422" s="30"/>
      <c r="P1422" s="30"/>
      <c r="Q1422" s="30"/>
      <c r="R1422" s="30"/>
      <c r="S1422" s="30"/>
      <c r="T1422" s="30"/>
      <c r="U1422" s="21" t="str">
        <f aca="false">IF(COUNT(K1422:T1422)=0,"SOURCE EMPTY / INDUSTRIAL ONLY",IF(MIN(K1422:T1422)=1,"SERVICE READY","HOLD"))</f>
        <v>SOURCE EMPTY / INDUSTRIAL ONLY</v>
      </c>
      <c r="V1422" s="9" t="n">
        <f aca="false">IF(U1422="SERVICE READY",1,0)</f>
        <v>0</v>
      </c>
      <c r="W1422" s="6"/>
      <c r="X1422" s="6"/>
      <c r="Y1422" s="6"/>
      <c r="Z1422" s="6"/>
    </row>
    <row r="1423" customFormat="false" ht="15" hidden="false" customHeight="false" outlineLevel="0" collapsed="false">
      <c r="A1423" s="9" t="s">
        <v>1657</v>
      </c>
      <c r="B1423" s="9" t="s">
        <v>1658</v>
      </c>
      <c r="C1423" s="9" t="s">
        <v>1659</v>
      </c>
      <c r="D1423" s="9" t="s">
        <v>1215</v>
      </c>
      <c r="E1423" s="9" t="s">
        <v>1660</v>
      </c>
      <c r="F1423" s="9" t="s">
        <v>197</v>
      </c>
      <c r="G1423" s="9" t="s">
        <v>198</v>
      </c>
      <c r="H1423" s="9" t="n">
        <v>900</v>
      </c>
      <c r="I1423" s="29" t="n">
        <v>2.5</v>
      </c>
      <c r="J1423" s="9" t="n">
        <v>1</v>
      </c>
      <c r="K1423" s="30"/>
      <c r="L1423" s="30"/>
      <c r="M1423" s="30"/>
      <c r="N1423" s="30"/>
      <c r="O1423" s="30"/>
      <c r="P1423" s="30"/>
      <c r="Q1423" s="30"/>
      <c r="R1423" s="30"/>
      <c r="S1423" s="30"/>
      <c r="T1423" s="30"/>
      <c r="U1423" s="21" t="str">
        <f aca="false">IF(COUNT(K1423:T1423)=0,"SOURCE EMPTY / INDUSTRIAL ONLY",IF(MIN(K1423:T1423)=1,"SERVICE READY","HOLD"))</f>
        <v>SOURCE EMPTY / INDUSTRIAL ONLY</v>
      </c>
      <c r="V1423" s="9" t="n">
        <f aca="false">IF(U1423="SERVICE READY",1,0)</f>
        <v>0</v>
      </c>
      <c r="W1423" s="6"/>
      <c r="X1423" s="6"/>
      <c r="Y1423" s="6"/>
      <c r="Z1423" s="6"/>
    </row>
    <row r="1424" customFormat="false" ht="15" hidden="false" customHeight="false" outlineLevel="0" collapsed="false">
      <c r="A1424" s="9" t="s">
        <v>1661</v>
      </c>
      <c r="B1424" s="9" t="s">
        <v>1658</v>
      </c>
      <c r="C1424" s="9" t="s">
        <v>1659</v>
      </c>
      <c r="D1424" s="9" t="s">
        <v>1215</v>
      </c>
      <c r="E1424" s="9" t="s">
        <v>1660</v>
      </c>
      <c r="F1424" s="9" t="s">
        <v>200</v>
      </c>
      <c r="G1424" s="9" t="s">
        <v>201</v>
      </c>
      <c r="H1424" s="9" t="n">
        <v>900</v>
      </c>
      <c r="I1424" s="29" t="n">
        <v>2.5</v>
      </c>
      <c r="J1424" s="9" t="n">
        <v>1</v>
      </c>
      <c r="K1424" s="30"/>
      <c r="L1424" s="30"/>
      <c r="M1424" s="30"/>
      <c r="N1424" s="30"/>
      <c r="O1424" s="30"/>
      <c r="P1424" s="30"/>
      <c r="Q1424" s="30"/>
      <c r="R1424" s="30"/>
      <c r="S1424" s="30"/>
      <c r="T1424" s="30"/>
      <c r="U1424" s="21" t="str">
        <f aca="false">IF(COUNT(K1424:T1424)=0,"SOURCE EMPTY / INDUSTRIAL ONLY",IF(MIN(K1424:T1424)=1,"SERVICE READY","HOLD"))</f>
        <v>SOURCE EMPTY / INDUSTRIAL ONLY</v>
      </c>
      <c r="V1424" s="9" t="n">
        <f aca="false">IF(U1424="SERVICE READY",1,0)</f>
        <v>0</v>
      </c>
      <c r="W1424" s="6"/>
      <c r="X1424" s="6"/>
      <c r="Y1424" s="6"/>
      <c r="Z1424" s="6"/>
    </row>
    <row r="1425" customFormat="false" ht="15" hidden="false" customHeight="false" outlineLevel="0" collapsed="false">
      <c r="A1425" s="9" t="s">
        <v>1662</v>
      </c>
      <c r="B1425" s="9" t="s">
        <v>1658</v>
      </c>
      <c r="C1425" s="9" t="s">
        <v>1659</v>
      </c>
      <c r="D1425" s="9" t="s">
        <v>1215</v>
      </c>
      <c r="E1425" s="9" t="s">
        <v>1660</v>
      </c>
      <c r="F1425" s="9" t="s">
        <v>203</v>
      </c>
      <c r="G1425" s="9" t="s">
        <v>198</v>
      </c>
      <c r="H1425" s="9" t="n">
        <v>900</v>
      </c>
      <c r="I1425" s="29" t="n">
        <v>2.5</v>
      </c>
      <c r="J1425" s="9" t="n">
        <v>1</v>
      </c>
      <c r="K1425" s="30"/>
      <c r="L1425" s="30"/>
      <c r="M1425" s="30"/>
      <c r="N1425" s="30"/>
      <c r="O1425" s="30"/>
      <c r="P1425" s="30"/>
      <c r="Q1425" s="30"/>
      <c r="R1425" s="30"/>
      <c r="S1425" s="30"/>
      <c r="T1425" s="30"/>
      <c r="U1425" s="21" t="str">
        <f aca="false">IF(COUNT(K1425:T1425)=0,"SOURCE EMPTY / INDUSTRIAL ONLY",IF(MIN(K1425:T1425)=1,"SERVICE READY","HOLD"))</f>
        <v>SOURCE EMPTY / INDUSTRIAL ONLY</v>
      </c>
      <c r="V1425" s="9" t="n">
        <f aca="false">IF(U1425="SERVICE READY",1,0)</f>
        <v>0</v>
      </c>
      <c r="W1425" s="6"/>
      <c r="X1425" s="6"/>
      <c r="Y1425" s="6"/>
      <c r="Z1425" s="6"/>
    </row>
    <row r="1426" customFormat="false" ht="15" hidden="false" customHeight="false" outlineLevel="0" collapsed="false">
      <c r="A1426" s="9" t="s">
        <v>1663</v>
      </c>
      <c r="B1426" s="9" t="s">
        <v>1658</v>
      </c>
      <c r="C1426" s="9" t="s">
        <v>1659</v>
      </c>
      <c r="D1426" s="9" t="s">
        <v>1215</v>
      </c>
      <c r="E1426" s="9" t="s">
        <v>1660</v>
      </c>
      <c r="F1426" s="9" t="s">
        <v>205</v>
      </c>
      <c r="G1426" s="9" t="s">
        <v>201</v>
      </c>
      <c r="H1426" s="9" t="n">
        <v>900</v>
      </c>
      <c r="I1426" s="29" t="n">
        <v>2.5</v>
      </c>
      <c r="J1426" s="9" t="n">
        <v>1</v>
      </c>
      <c r="K1426" s="30"/>
      <c r="L1426" s="30"/>
      <c r="M1426" s="30"/>
      <c r="N1426" s="30"/>
      <c r="O1426" s="30"/>
      <c r="P1426" s="30"/>
      <c r="Q1426" s="30"/>
      <c r="R1426" s="30"/>
      <c r="S1426" s="30"/>
      <c r="T1426" s="30"/>
      <c r="U1426" s="21" t="str">
        <f aca="false">IF(COUNT(K1426:T1426)=0,"SOURCE EMPTY / INDUSTRIAL ONLY",IF(MIN(K1426:T1426)=1,"SERVICE READY","HOLD"))</f>
        <v>SOURCE EMPTY / INDUSTRIAL ONLY</v>
      </c>
      <c r="V1426" s="9" t="n">
        <f aca="false">IF(U1426="SERVICE READY",1,0)</f>
        <v>0</v>
      </c>
      <c r="W1426" s="6"/>
      <c r="X1426" s="6"/>
      <c r="Y1426" s="6"/>
      <c r="Z1426" s="6"/>
    </row>
    <row r="1427" customFormat="false" ht="15" hidden="false" customHeight="false" outlineLevel="0" collapsed="false">
      <c r="A1427" s="9" t="s">
        <v>1664</v>
      </c>
      <c r="B1427" s="9" t="s">
        <v>1658</v>
      </c>
      <c r="C1427" s="9" t="s">
        <v>1659</v>
      </c>
      <c r="D1427" s="9" t="s">
        <v>1215</v>
      </c>
      <c r="E1427" s="9" t="s">
        <v>1660</v>
      </c>
      <c r="F1427" s="9" t="s">
        <v>207</v>
      </c>
      <c r="G1427" s="9" t="s">
        <v>198</v>
      </c>
      <c r="H1427" s="9" t="n">
        <v>900</v>
      </c>
      <c r="I1427" s="29" t="n">
        <v>2.5</v>
      </c>
      <c r="J1427" s="9" t="n">
        <v>1</v>
      </c>
      <c r="K1427" s="30"/>
      <c r="L1427" s="30"/>
      <c r="M1427" s="30"/>
      <c r="N1427" s="30"/>
      <c r="O1427" s="30"/>
      <c r="P1427" s="30"/>
      <c r="Q1427" s="30"/>
      <c r="R1427" s="30"/>
      <c r="S1427" s="30"/>
      <c r="T1427" s="30"/>
      <c r="U1427" s="21" t="str">
        <f aca="false">IF(COUNT(K1427:T1427)=0,"SOURCE EMPTY / INDUSTRIAL ONLY",IF(MIN(K1427:T1427)=1,"SERVICE READY","HOLD"))</f>
        <v>SOURCE EMPTY / INDUSTRIAL ONLY</v>
      </c>
      <c r="V1427" s="9" t="n">
        <f aca="false">IF(U1427="SERVICE READY",1,0)</f>
        <v>0</v>
      </c>
      <c r="W1427" s="6"/>
      <c r="X1427" s="6"/>
      <c r="Y1427" s="6"/>
      <c r="Z1427" s="6"/>
    </row>
    <row r="1428" customFormat="false" ht="15" hidden="false" customHeight="false" outlineLevel="0" collapsed="false">
      <c r="A1428" s="9" t="s">
        <v>1665</v>
      </c>
      <c r="B1428" s="9" t="s">
        <v>1658</v>
      </c>
      <c r="C1428" s="9" t="s">
        <v>1659</v>
      </c>
      <c r="D1428" s="9" t="s">
        <v>1215</v>
      </c>
      <c r="E1428" s="9" t="s">
        <v>1660</v>
      </c>
      <c r="F1428" s="9" t="s">
        <v>209</v>
      </c>
      <c r="G1428" s="9" t="s">
        <v>201</v>
      </c>
      <c r="H1428" s="9" t="n">
        <v>900</v>
      </c>
      <c r="I1428" s="29" t="n">
        <v>2.5</v>
      </c>
      <c r="J1428" s="9" t="n">
        <v>1</v>
      </c>
      <c r="K1428" s="30"/>
      <c r="L1428" s="30"/>
      <c r="M1428" s="30"/>
      <c r="N1428" s="30"/>
      <c r="O1428" s="30"/>
      <c r="P1428" s="30"/>
      <c r="Q1428" s="30"/>
      <c r="R1428" s="30"/>
      <c r="S1428" s="30"/>
      <c r="T1428" s="30"/>
      <c r="U1428" s="21" t="str">
        <f aca="false">IF(COUNT(K1428:T1428)=0,"SOURCE EMPTY / INDUSTRIAL ONLY",IF(MIN(K1428:T1428)=1,"SERVICE READY","HOLD"))</f>
        <v>SOURCE EMPTY / INDUSTRIAL ONLY</v>
      </c>
      <c r="V1428" s="9" t="n">
        <f aca="false">IF(U1428="SERVICE READY",1,0)</f>
        <v>0</v>
      </c>
      <c r="W1428" s="6"/>
      <c r="X1428" s="6"/>
      <c r="Y1428" s="6"/>
      <c r="Z1428" s="6"/>
    </row>
    <row r="1429" customFormat="false" ht="15" hidden="false" customHeight="false" outlineLevel="0" collapsed="false">
      <c r="A1429" s="9" t="s">
        <v>1666</v>
      </c>
      <c r="B1429" s="9" t="s">
        <v>1658</v>
      </c>
      <c r="C1429" s="9" t="s">
        <v>1659</v>
      </c>
      <c r="D1429" s="9" t="s">
        <v>1215</v>
      </c>
      <c r="E1429" s="9" t="s">
        <v>1660</v>
      </c>
      <c r="F1429" s="9" t="s">
        <v>211</v>
      </c>
      <c r="G1429" s="9" t="s">
        <v>198</v>
      </c>
      <c r="H1429" s="9" t="n">
        <v>900</v>
      </c>
      <c r="I1429" s="29" t="n">
        <v>2.5</v>
      </c>
      <c r="J1429" s="9" t="n">
        <v>1</v>
      </c>
      <c r="K1429" s="30"/>
      <c r="L1429" s="30"/>
      <c r="M1429" s="30"/>
      <c r="N1429" s="30"/>
      <c r="O1429" s="30"/>
      <c r="P1429" s="30"/>
      <c r="Q1429" s="30"/>
      <c r="R1429" s="30"/>
      <c r="S1429" s="30"/>
      <c r="T1429" s="30"/>
      <c r="U1429" s="21" t="str">
        <f aca="false">IF(COUNT(K1429:T1429)=0,"SOURCE EMPTY / INDUSTRIAL ONLY",IF(MIN(K1429:T1429)=1,"SERVICE READY","HOLD"))</f>
        <v>SOURCE EMPTY / INDUSTRIAL ONLY</v>
      </c>
      <c r="V1429" s="9" t="n">
        <f aca="false">IF(U1429="SERVICE READY",1,0)</f>
        <v>0</v>
      </c>
      <c r="W1429" s="6"/>
      <c r="X1429" s="6"/>
      <c r="Y1429" s="6"/>
      <c r="Z1429" s="6"/>
    </row>
    <row r="1430" customFormat="false" ht="15" hidden="false" customHeight="false" outlineLevel="0" collapsed="false">
      <c r="A1430" s="9" t="s">
        <v>1667</v>
      </c>
      <c r="B1430" s="9" t="s">
        <v>1658</v>
      </c>
      <c r="C1430" s="9" t="s">
        <v>1659</v>
      </c>
      <c r="D1430" s="9" t="s">
        <v>1215</v>
      </c>
      <c r="E1430" s="9" t="s">
        <v>1660</v>
      </c>
      <c r="F1430" s="9" t="s">
        <v>197</v>
      </c>
      <c r="G1430" s="9" t="s">
        <v>201</v>
      </c>
      <c r="H1430" s="9" t="n">
        <v>900</v>
      </c>
      <c r="I1430" s="29" t="n">
        <v>2.5</v>
      </c>
      <c r="J1430" s="9" t="n">
        <v>1</v>
      </c>
      <c r="K1430" s="30"/>
      <c r="L1430" s="30"/>
      <c r="M1430" s="30"/>
      <c r="N1430" s="30"/>
      <c r="O1430" s="30"/>
      <c r="P1430" s="30"/>
      <c r="Q1430" s="30"/>
      <c r="R1430" s="30"/>
      <c r="S1430" s="30"/>
      <c r="T1430" s="30"/>
      <c r="U1430" s="21" t="str">
        <f aca="false">IF(COUNT(K1430:T1430)=0,"SOURCE EMPTY / INDUSTRIAL ONLY",IF(MIN(K1430:T1430)=1,"SERVICE READY","HOLD"))</f>
        <v>SOURCE EMPTY / INDUSTRIAL ONLY</v>
      </c>
      <c r="V1430" s="9" t="n">
        <f aca="false">IF(U1430="SERVICE READY",1,0)</f>
        <v>0</v>
      </c>
      <c r="W1430" s="6"/>
      <c r="X1430" s="6"/>
      <c r="Y1430" s="6"/>
      <c r="Z1430" s="6"/>
    </row>
    <row r="1431" customFormat="false" ht="15" hidden="false" customHeight="false" outlineLevel="0" collapsed="false">
      <c r="A1431" s="9" t="s">
        <v>1668</v>
      </c>
      <c r="B1431" s="9" t="s">
        <v>1658</v>
      </c>
      <c r="C1431" s="9" t="s">
        <v>1659</v>
      </c>
      <c r="D1431" s="9" t="s">
        <v>1215</v>
      </c>
      <c r="E1431" s="9" t="s">
        <v>1660</v>
      </c>
      <c r="F1431" s="9" t="s">
        <v>200</v>
      </c>
      <c r="G1431" s="9" t="s">
        <v>198</v>
      </c>
      <c r="H1431" s="9" t="n">
        <v>900</v>
      </c>
      <c r="I1431" s="29" t="n">
        <v>2.5</v>
      </c>
      <c r="J1431" s="9" t="n">
        <v>1</v>
      </c>
      <c r="K1431" s="30"/>
      <c r="L1431" s="30"/>
      <c r="M1431" s="30"/>
      <c r="N1431" s="30"/>
      <c r="O1431" s="30"/>
      <c r="P1431" s="30"/>
      <c r="Q1431" s="30"/>
      <c r="R1431" s="30"/>
      <c r="S1431" s="30"/>
      <c r="T1431" s="30"/>
      <c r="U1431" s="21" t="str">
        <f aca="false">IF(COUNT(K1431:T1431)=0,"SOURCE EMPTY / INDUSTRIAL ONLY",IF(MIN(K1431:T1431)=1,"SERVICE READY","HOLD"))</f>
        <v>SOURCE EMPTY / INDUSTRIAL ONLY</v>
      </c>
      <c r="V1431" s="9" t="n">
        <f aca="false">IF(U1431="SERVICE READY",1,0)</f>
        <v>0</v>
      </c>
      <c r="W1431" s="6"/>
      <c r="X1431" s="6"/>
      <c r="Y1431" s="6"/>
      <c r="Z1431" s="6"/>
    </row>
    <row r="1432" customFormat="false" ht="15" hidden="false" customHeight="false" outlineLevel="0" collapsed="false">
      <c r="A1432" s="9" t="s">
        <v>1669</v>
      </c>
      <c r="B1432" s="9" t="s">
        <v>1658</v>
      </c>
      <c r="C1432" s="9" t="s">
        <v>1659</v>
      </c>
      <c r="D1432" s="9" t="s">
        <v>1215</v>
      </c>
      <c r="E1432" s="9" t="s">
        <v>1660</v>
      </c>
      <c r="F1432" s="9" t="s">
        <v>203</v>
      </c>
      <c r="G1432" s="9" t="s">
        <v>201</v>
      </c>
      <c r="H1432" s="9" t="n">
        <v>900</v>
      </c>
      <c r="I1432" s="29" t="n">
        <v>2.5</v>
      </c>
      <c r="J1432" s="9" t="n">
        <v>1</v>
      </c>
      <c r="K1432" s="30"/>
      <c r="L1432" s="30"/>
      <c r="M1432" s="30"/>
      <c r="N1432" s="30"/>
      <c r="O1432" s="30"/>
      <c r="P1432" s="30"/>
      <c r="Q1432" s="30"/>
      <c r="R1432" s="30"/>
      <c r="S1432" s="30"/>
      <c r="T1432" s="30"/>
      <c r="U1432" s="21" t="str">
        <f aca="false">IF(COUNT(K1432:T1432)=0,"SOURCE EMPTY / INDUSTRIAL ONLY",IF(MIN(K1432:T1432)=1,"SERVICE READY","HOLD"))</f>
        <v>SOURCE EMPTY / INDUSTRIAL ONLY</v>
      </c>
      <c r="V1432" s="9" t="n">
        <f aca="false">IF(U1432="SERVICE READY",1,0)</f>
        <v>0</v>
      </c>
      <c r="W1432" s="6"/>
      <c r="X1432" s="6"/>
      <c r="Y1432" s="6"/>
      <c r="Z1432" s="6"/>
    </row>
    <row r="1433" customFormat="false" ht="15" hidden="false" customHeight="false" outlineLevel="0" collapsed="false">
      <c r="A1433" s="9" t="s">
        <v>1670</v>
      </c>
      <c r="B1433" s="9" t="s">
        <v>1658</v>
      </c>
      <c r="C1433" s="9" t="s">
        <v>1659</v>
      </c>
      <c r="D1433" s="9" t="s">
        <v>1215</v>
      </c>
      <c r="E1433" s="9" t="s">
        <v>1660</v>
      </c>
      <c r="F1433" s="9" t="s">
        <v>205</v>
      </c>
      <c r="G1433" s="9" t="s">
        <v>198</v>
      </c>
      <c r="H1433" s="9" t="n">
        <v>900</v>
      </c>
      <c r="I1433" s="29" t="n">
        <v>2.5</v>
      </c>
      <c r="J1433" s="9" t="n">
        <v>1</v>
      </c>
      <c r="K1433" s="30"/>
      <c r="L1433" s="30"/>
      <c r="M1433" s="30"/>
      <c r="N1433" s="30"/>
      <c r="O1433" s="30"/>
      <c r="P1433" s="30"/>
      <c r="Q1433" s="30"/>
      <c r="R1433" s="30"/>
      <c r="S1433" s="30"/>
      <c r="T1433" s="30"/>
      <c r="U1433" s="21" t="str">
        <f aca="false">IF(COUNT(K1433:T1433)=0,"SOURCE EMPTY / INDUSTRIAL ONLY",IF(MIN(K1433:T1433)=1,"SERVICE READY","HOLD"))</f>
        <v>SOURCE EMPTY / INDUSTRIAL ONLY</v>
      </c>
      <c r="V1433" s="9" t="n">
        <f aca="false">IF(U1433="SERVICE READY",1,0)</f>
        <v>0</v>
      </c>
      <c r="W1433" s="6"/>
      <c r="X1433" s="6"/>
      <c r="Y1433" s="6"/>
      <c r="Z1433" s="6"/>
    </row>
    <row r="1434" customFormat="false" ht="15" hidden="false" customHeight="false" outlineLevel="0" collapsed="false">
      <c r="A1434" s="9" t="s">
        <v>1671</v>
      </c>
      <c r="B1434" s="9" t="s">
        <v>1658</v>
      </c>
      <c r="C1434" s="9" t="s">
        <v>1659</v>
      </c>
      <c r="D1434" s="9" t="s">
        <v>1215</v>
      </c>
      <c r="E1434" s="9" t="s">
        <v>1660</v>
      </c>
      <c r="F1434" s="9" t="s">
        <v>207</v>
      </c>
      <c r="G1434" s="9" t="s">
        <v>201</v>
      </c>
      <c r="H1434" s="9" t="n">
        <v>900</v>
      </c>
      <c r="I1434" s="29" t="n">
        <v>2.5</v>
      </c>
      <c r="J1434" s="9" t="n">
        <v>1</v>
      </c>
      <c r="K1434" s="30"/>
      <c r="L1434" s="30"/>
      <c r="M1434" s="30"/>
      <c r="N1434" s="30"/>
      <c r="O1434" s="30"/>
      <c r="P1434" s="30"/>
      <c r="Q1434" s="30"/>
      <c r="R1434" s="30"/>
      <c r="S1434" s="30"/>
      <c r="T1434" s="30"/>
      <c r="U1434" s="21" t="str">
        <f aca="false">IF(COUNT(K1434:T1434)=0,"SOURCE EMPTY / INDUSTRIAL ONLY",IF(MIN(K1434:T1434)=1,"SERVICE READY","HOLD"))</f>
        <v>SOURCE EMPTY / INDUSTRIAL ONLY</v>
      </c>
      <c r="V1434" s="9" t="n">
        <f aca="false">IF(U1434="SERVICE READY",1,0)</f>
        <v>0</v>
      </c>
      <c r="W1434" s="6"/>
      <c r="X1434" s="6"/>
      <c r="Y1434" s="6"/>
      <c r="Z1434" s="6"/>
    </row>
    <row r="1435" customFormat="false" ht="15" hidden="false" customHeight="false" outlineLevel="0" collapsed="false">
      <c r="A1435" s="9" t="s">
        <v>1672</v>
      </c>
      <c r="B1435" s="9" t="s">
        <v>1658</v>
      </c>
      <c r="C1435" s="9" t="s">
        <v>1659</v>
      </c>
      <c r="D1435" s="9" t="s">
        <v>1215</v>
      </c>
      <c r="E1435" s="9" t="s">
        <v>1660</v>
      </c>
      <c r="F1435" s="9" t="s">
        <v>209</v>
      </c>
      <c r="G1435" s="9" t="s">
        <v>198</v>
      </c>
      <c r="H1435" s="9" t="n">
        <v>900</v>
      </c>
      <c r="I1435" s="29" t="n">
        <v>2.5</v>
      </c>
      <c r="J1435" s="9" t="n">
        <v>1</v>
      </c>
      <c r="K1435" s="30"/>
      <c r="L1435" s="30"/>
      <c r="M1435" s="30"/>
      <c r="N1435" s="30"/>
      <c r="O1435" s="30"/>
      <c r="P1435" s="30"/>
      <c r="Q1435" s="30"/>
      <c r="R1435" s="30"/>
      <c r="S1435" s="30"/>
      <c r="T1435" s="30"/>
      <c r="U1435" s="21" t="str">
        <f aca="false">IF(COUNT(K1435:T1435)=0,"SOURCE EMPTY / INDUSTRIAL ONLY",IF(MIN(K1435:T1435)=1,"SERVICE READY","HOLD"))</f>
        <v>SOURCE EMPTY / INDUSTRIAL ONLY</v>
      </c>
      <c r="V1435" s="9" t="n">
        <f aca="false">IF(U1435="SERVICE READY",1,0)</f>
        <v>0</v>
      </c>
      <c r="W1435" s="6"/>
      <c r="X1435" s="6"/>
      <c r="Y1435" s="6"/>
      <c r="Z1435" s="6"/>
    </row>
    <row r="1436" customFormat="false" ht="15" hidden="false" customHeight="false" outlineLevel="0" collapsed="false">
      <c r="A1436" s="9" t="s">
        <v>1673</v>
      </c>
      <c r="B1436" s="9" t="s">
        <v>1658</v>
      </c>
      <c r="C1436" s="9" t="s">
        <v>1659</v>
      </c>
      <c r="D1436" s="9" t="s">
        <v>1215</v>
      </c>
      <c r="E1436" s="9" t="s">
        <v>1660</v>
      </c>
      <c r="F1436" s="9" t="s">
        <v>211</v>
      </c>
      <c r="G1436" s="9" t="s">
        <v>201</v>
      </c>
      <c r="H1436" s="9" t="n">
        <v>900</v>
      </c>
      <c r="I1436" s="29" t="n">
        <v>2.5</v>
      </c>
      <c r="J1436" s="9" t="n">
        <v>1</v>
      </c>
      <c r="K1436" s="30"/>
      <c r="L1436" s="30"/>
      <c r="M1436" s="30"/>
      <c r="N1436" s="30"/>
      <c r="O1436" s="30"/>
      <c r="P1436" s="30"/>
      <c r="Q1436" s="30"/>
      <c r="R1436" s="30"/>
      <c r="S1436" s="30"/>
      <c r="T1436" s="30"/>
      <c r="U1436" s="21" t="str">
        <f aca="false">IF(COUNT(K1436:T1436)=0,"SOURCE EMPTY / INDUSTRIAL ONLY",IF(MIN(K1436:T1436)=1,"SERVICE READY","HOLD"))</f>
        <v>SOURCE EMPTY / INDUSTRIAL ONLY</v>
      </c>
      <c r="V1436" s="9" t="n">
        <f aca="false">IF(U1436="SERVICE READY",1,0)</f>
        <v>0</v>
      </c>
      <c r="W1436" s="6"/>
      <c r="X1436" s="6"/>
      <c r="Y1436" s="6"/>
      <c r="Z1436" s="6"/>
    </row>
    <row r="1437" customFormat="false" ht="15" hidden="false" customHeight="false" outlineLevel="0" collapsed="false">
      <c r="A1437" s="9" t="s">
        <v>1674</v>
      </c>
      <c r="B1437" s="9" t="s">
        <v>1658</v>
      </c>
      <c r="C1437" s="9" t="s">
        <v>1659</v>
      </c>
      <c r="D1437" s="9" t="s">
        <v>1215</v>
      </c>
      <c r="E1437" s="9" t="s">
        <v>1660</v>
      </c>
      <c r="F1437" s="9" t="s">
        <v>197</v>
      </c>
      <c r="G1437" s="9" t="s">
        <v>198</v>
      </c>
      <c r="H1437" s="9" t="n">
        <v>900</v>
      </c>
      <c r="I1437" s="29" t="n">
        <v>2.5</v>
      </c>
      <c r="J1437" s="9" t="n">
        <v>1</v>
      </c>
      <c r="K1437" s="30"/>
      <c r="L1437" s="30"/>
      <c r="M1437" s="30"/>
      <c r="N1437" s="30"/>
      <c r="O1437" s="30"/>
      <c r="P1437" s="30"/>
      <c r="Q1437" s="30"/>
      <c r="R1437" s="30"/>
      <c r="S1437" s="30"/>
      <c r="T1437" s="30"/>
      <c r="U1437" s="21" t="str">
        <f aca="false">IF(COUNT(K1437:T1437)=0,"SOURCE EMPTY / INDUSTRIAL ONLY",IF(MIN(K1437:T1437)=1,"SERVICE READY","HOLD"))</f>
        <v>SOURCE EMPTY / INDUSTRIAL ONLY</v>
      </c>
      <c r="V1437" s="9" t="n">
        <f aca="false">IF(U1437="SERVICE READY",1,0)</f>
        <v>0</v>
      </c>
      <c r="W1437" s="6"/>
      <c r="X1437" s="6"/>
      <c r="Y1437" s="6"/>
      <c r="Z1437" s="6"/>
    </row>
    <row r="1438" customFormat="false" ht="15" hidden="false" customHeight="false" outlineLevel="0" collapsed="false">
      <c r="A1438" s="9" t="s">
        <v>1675</v>
      </c>
      <c r="B1438" s="9" t="s">
        <v>1658</v>
      </c>
      <c r="C1438" s="9" t="s">
        <v>1659</v>
      </c>
      <c r="D1438" s="9" t="s">
        <v>1215</v>
      </c>
      <c r="E1438" s="9" t="s">
        <v>1660</v>
      </c>
      <c r="F1438" s="9" t="s">
        <v>200</v>
      </c>
      <c r="G1438" s="9" t="s">
        <v>201</v>
      </c>
      <c r="H1438" s="9" t="n">
        <v>900</v>
      </c>
      <c r="I1438" s="29" t="n">
        <v>2.5</v>
      </c>
      <c r="J1438" s="9" t="n">
        <v>1</v>
      </c>
      <c r="K1438" s="30"/>
      <c r="L1438" s="30"/>
      <c r="M1438" s="30"/>
      <c r="N1438" s="30"/>
      <c r="O1438" s="30"/>
      <c r="P1438" s="30"/>
      <c r="Q1438" s="30"/>
      <c r="R1438" s="30"/>
      <c r="S1438" s="30"/>
      <c r="T1438" s="30"/>
      <c r="U1438" s="21" t="str">
        <f aca="false">IF(COUNT(K1438:T1438)=0,"SOURCE EMPTY / INDUSTRIAL ONLY",IF(MIN(K1438:T1438)=1,"SERVICE READY","HOLD"))</f>
        <v>SOURCE EMPTY / INDUSTRIAL ONLY</v>
      </c>
      <c r="V1438" s="9" t="n">
        <f aca="false">IF(U1438="SERVICE READY",1,0)</f>
        <v>0</v>
      </c>
      <c r="W1438" s="6"/>
      <c r="X1438" s="6"/>
      <c r="Y1438" s="6"/>
      <c r="Z1438" s="6"/>
    </row>
    <row r="1439" customFormat="false" ht="15" hidden="false" customHeight="false" outlineLevel="0" collapsed="false">
      <c r="A1439" s="9" t="s">
        <v>1676</v>
      </c>
      <c r="B1439" s="9" t="s">
        <v>1658</v>
      </c>
      <c r="C1439" s="9" t="s">
        <v>1659</v>
      </c>
      <c r="D1439" s="9" t="s">
        <v>1215</v>
      </c>
      <c r="E1439" s="9" t="s">
        <v>1660</v>
      </c>
      <c r="F1439" s="9" t="s">
        <v>203</v>
      </c>
      <c r="G1439" s="9" t="s">
        <v>198</v>
      </c>
      <c r="H1439" s="9" t="n">
        <v>900</v>
      </c>
      <c r="I1439" s="29" t="n">
        <v>2.5</v>
      </c>
      <c r="J1439" s="9" t="n">
        <v>1</v>
      </c>
      <c r="K1439" s="30"/>
      <c r="L1439" s="30"/>
      <c r="M1439" s="30"/>
      <c r="N1439" s="30"/>
      <c r="O1439" s="30"/>
      <c r="P1439" s="30"/>
      <c r="Q1439" s="30"/>
      <c r="R1439" s="30"/>
      <c r="S1439" s="30"/>
      <c r="T1439" s="30"/>
      <c r="U1439" s="21" t="str">
        <f aca="false">IF(COUNT(K1439:T1439)=0,"SOURCE EMPTY / INDUSTRIAL ONLY",IF(MIN(K1439:T1439)=1,"SERVICE READY","HOLD"))</f>
        <v>SOURCE EMPTY / INDUSTRIAL ONLY</v>
      </c>
      <c r="V1439" s="9" t="n">
        <f aca="false">IF(U1439="SERVICE READY",1,0)</f>
        <v>0</v>
      </c>
      <c r="W1439" s="6"/>
      <c r="X1439" s="6"/>
      <c r="Y1439" s="6"/>
      <c r="Z1439" s="6"/>
    </row>
    <row r="1440" customFormat="false" ht="15" hidden="false" customHeight="false" outlineLevel="0" collapsed="false">
      <c r="A1440" s="9" t="s">
        <v>1677</v>
      </c>
      <c r="B1440" s="9" t="s">
        <v>1658</v>
      </c>
      <c r="C1440" s="9" t="s">
        <v>1659</v>
      </c>
      <c r="D1440" s="9" t="s">
        <v>1215</v>
      </c>
      <c r="E1440" s="9" t="s">
        <v>1660</v>
      </c>
      <c r="F1440" s="9" t="s">
        <v>205</v>
      </c>
      <c r="G1440" s="9" t="s">
        <v>221</v>
      </c>
      <c r="H1440" s="9" t="n">
        <v>900</v>
      </c>
      <c r="I1440" s="29" t="n">
        <v>2.5</v>
      </c>
      <c r="J1440" s="9" t="n">
        <v>1</v>
      </c>
      <c r="K1440" s="30"/>
      <c r="L1440" s="30"/>
      <c r="M1440" s="30"/>
      <c r="N1440" s="30"/>
      <c r="O1440" s="30"/>
      <c r="P1440" s="30"/>
      <c r="Q1440" s="30"/>
      <c r="R1440" s="30"/>
      <c r="S1440" s="30"/>
      <c r="T1440" s="30"/>
      <c r="U1440" s="21" t="str">
        <f aca="false">IF(COUNT(K1440:T1440)=0,"SOURCE EMPTY / INDUSTRIAL ONLY",IF(MIN(K1440:T1440)=1,"SERVICE READY","HOLD"))</f>
        <v>SOURCE EMPTY / INDUSTRIAL ONLY</v>
      </c>
      <c r="V1440" s="9" t="n">
        <f aca="false">IF(U1440="SERVICE READY",1,0)</f>
        <v>0</v>
      </c>
      <c r="W1440" s="6"/>
      <c r="X1440" s="6"/>
      <c r="Y1440" s="6"/>
      <c r="Z1440" s="6"/>
    </row>
    <row r="1441" customFormat="false" ht="15" hidden="false" customHeight="false" outlineLevel="0" collapsed="false">
      <c r="A1441" s="9" t="s">
        <v>1678</v>
      </c>
      <c r="B1441" s="9" t="s">
        <v>1658</v>
      </c>
      <c r="C1441" s="9" t="s">
        <v>1659</v>
      </c>
      <c r="D1441" s="9" t="s">
        <v>1215</v>
      </c>
      <c r="E1441" s="9" t="s">
        <v>1660</v>
      </c>
      <c r="F1441" s="9" t="s">
        <v>207</v>
      </c>
      <c r="G1441" s="9" t="s">
        <v>221</v>
      </c>
      <c r="H1441" s="9" t="n">
        <v>900</v>
      </c>
      <c r="I1441" s="29" t="n">
        <v>2.5</v>
      </c>
      <c r="J1441" s="9" t="n">
        <v>1</v>
      </c>
      <c r="K1441" s="30"/>
      <c r="L1441" s="30"/>
      <c r="M1441" s="30"/>
      <c r="N1441" s="30"/>
      <c r="O1441" s="30"/>
      <c r="P1441" s="30"/>
      <c r="Q1441" s="30"/>
      <c r="R1441" s="30"/>
      <c r="S1441" s="30"/>
      <c r="T1441" s="30"/>
      <c r="U1441" s="21" t="str">
        <f aca="false">IF(COUNT(K1441:T1441)=0,"SOURCE EMPTY / INDUSTRIAL ONLY",IF(MIN(K1441:T1441)=1,"SERVICE READY","HOLD"))</f>
        <v>SOURCE EMPTY / INDUSTRIAL ONLY</v>
      </c>
      <c r="V1441" s="9" t="n">
        <f aca="false">IF(U1441="SERVICE READY",1,0)</f>
        <v>0</v>
      </c>
      <c r="W1441" s="6"/>
      <c r="X1441" s="6"/>
      <c r="Y1441" s="6"/>
      <c r="Z1441" s="6"/>
    </row>
    <row r="1442" customFormat="false" ht="15" hidden="false" customHeight="false" outlineLevel="0" collapsed="false">
      <c r="A1442" s="9" t="s">
        <v>1679</v>
      </c>
      <c r="B1442" s="9" t="s">
        <v>1658</v>
      </c>
      <c r="C1442" s="9" t="s">
        <v>1659</v>
      </c>
      <c r="D1442" s="9" t="s">
        <v>1215</v>
      </c>
      <c r="E1442" s="9" t="s">
        <v>1660</v>
      </c>
      <c r="F1442" s="9" t="s">
        <v>209</v>
      </c>
      <c r="G1442" s="9" t="s">
        <v>221</v>
      </c>
      <c r="H1442" s="9" t="n">
        <v>900</v>
      </c>
      <c r="I1442" s="29" t="n">
        <v>2.5</v>
      </c>
      <c r="J1442" s="9" t="n">
        <v>1</v>
      </c>
      <c r="K1442" s="30"/>
      <c r="L1442" s="30"/>
      <c r="M1442" s="30"/>
      <c r="N1442" s="30"/>
      <c r="O1442" s="30"/>
      <c r="P1442" s="30"/>
      <c r="Q1442" s="30"/>
      <c r="R1442" s="30"/>
      <c r="S1442" s="30"/>
      <c r="T1442" s="30"/>
      <c r="U1442" s="21" t="str">
        <f aca="false">IF(COUNT(K1442:T1442)=0,"SOURCE EMPTY / INDUSTRIAL ONLY",IF(MIN(K1442:T1442)=1,"SERVICE READY","HOLD"))</f>
        <v>SOURCE EMPTY / INDUSTRIAL ONLY</v>
      </c>
      <c r="V1442" s="9" t="n">
        <f aca="false">IF(U1442="SERVICE READY",1,0)</f>
        <v>0</v>
      </c>
      <c r="W1442" s="6"/>
      <c r="X1442" s="6"/>
      <c r="Y1442" s="6"/>
      <c r="Z1442" s="6"/>
    </row>
    <row r="1443" customFormat="false" ht="15" hidden="false" customHeight="false" outlineLevel="0" collapsed="false">
      <c r="A1443" s="9" t="s">
        <v>1680</v>
      </c>
      <c r="B1443" s="9" t="s">
        <v>1658</v>
      </c>
      <c r="C1443" s="9" t="s">
        <v>1659</v>
      </c>
      <c r="D1443" s="9" t="s">
        <v>1215</v>
      </c>
      <c r="E1443" s="9" t="s">
        <v>1660</v>
      </c>
      <c r="F1443" s="9" t="s">
        <v>211</v>
      </c>
      <c r="G1443" s="9" t="s">
        <v>221</v>
      </c>
      <c r="H1443" s="9" t="n">
        <v>900</v>
      </c>
      <c r="I1443" s="29" t="n">
        <v>2.5</v>
      </c>
      <c r="J1443" s="9" t="n">
        <v>1</v>
      </c>
      <c r="K1443" s="30"/>
      <c r="L1443" s="30"/>
      <c r="M1443" s="30"/>
      <c r="N1443" s="30"/>
      <c r="O1443" s="30"/>
      <c r="P1443" s="30"/>
      <c r="Q1443" s="30"/>
      <c r="R1443" s="30"/>
      <c r="S1443" s="30"/>
      <c r="T1443" s="30"/>
      <c r="U1443" s="21" t="str">
        <f aca="false">IF(COUNT(K1443:T1443)=0,"SOURCE EMPTY / INDUSTRIAL ONLY",IF(MIN(K1443:T1443)=1,"SERVICE READY","HOLD"))</f>
        <v>SOURCE EMPTY / INDUSTRIAL ONLY</v>
      </c>
      <c r="V1443" s="9" t="n">
        <f aca="false">IF(U1443="SERVICE READY",1,0)</f>
        <v>0</v>
      </c>
      <c r="W1443" s="6"/>
      <c r="X1443" s="6"/>
      <c r="Y1443" s="6"/>
      <c r="Z1443" s="6"/>
    </row>
    <row r="1444" customFormat="false" ht="15" hidden="false" customHeight="false" outlineLevel="0" collapsed="false">
      <c r="A1444" s="9" t="s">
        <v>1681</v>
      </c>
      <c r="B1444" s="9" t="s">
        <v>1658</v>
      </c>
      <c r="C1444" s="9" t="s">
        <v>1659</v>
      </c>
      <c r="D1444" s="9" t="s">
        <v>1215</v>
      </c>
      <c r="E1444" s="9" t="s">
        <v>1660</v>
      </c>
      <c r="F1444" s="9" t="s">
        <v>197</v>
      </c>
      <c r="G1444" s="9" t="s">
        <v>221</v>
      </c>
      <c r="H1444" s="9" t="n">
        <v>900</v>
      </c>
      <c r="I1444" s="29" t="n">
        <v>2.5</v>
      </c>
      <c r="J1444" s="9" t="n">
        <v>1</v>
      </c>
      <c r="K1444" s="30"/>
      <c r="L1444" s="30"/>
      <c r="M1444" s="30"/>
      <c r="N1444" s="30"/>
      <c r="O1444" s="30"/>
      <c r="P1444" s="30"/>
      <c r="Q1444" s="30"/>
      <c r="R1444" s="30"/>
      <c r="S1444" s="30"/>
      <c r="T1444" s="30"/>
      <c r="U1444" s="21" t="str">
        <f aca="false">IF(COUNT(K1444:T1444)=0,"SOURCE EMPTY / INDUSTRIAL ONLY",IF(MIN(K1444:T1444)=1,"SERVICE READY","HOLD"))</f>
        <v>SOURCE EMPTY / INDUSTRIAL ONLY</v>
      </c>
      <c r="V1444" s="9" t="n">
        <f aca="false">IF(U1444="SERVICE READY",1,0)</f>
        <v>0</v>
      </c>
      <c r="W1444" s="6"/>
      <c r="X1444" s="6"/>
      <c r="Y1444" s="6"/>
      <c r="Z1444" s="6"/>
    </row>
    <row r="1445" customFormat="false" ht="15" hidden="false" customHeight="false" outlineLevel="0" collapsed="false">
      <c r="A1445" s="9" t="s">
        <v>1682</v>
      </c>
      <c r="B1445" s="9" t="s">
        <v>1658</v>
      </c>
      <c r="C1445" s="9" t="s">
        <v>1659</v>
      </c>
      <c r="D1445" s="9" t="s">
        <v>1215</v>
      </c>
      <c r="E1445" s="9" t="s">
        <v>1660</v>
      </c>
      <c r="F1445" s="9" t="s">
        <v>200</v>
      </c>
      <c r="G1445" s="9" t="s">
        <v>221</v>
      </c>
      <c r="H1445" s="9" t="n">
        <v>900</v>
      </c>
      <c r="I1445" s="29" t="n">
        <v>2.5</v>
      </c>
      <c r="J1445" s="9" t="n">
        <v>1</v>
      </c>
      <c r="K1445" s="30"/>
      <c r="L1445" s="30"/>
      <c r="M1445" s="30"/>
      <c r="N1445" s="30"/>
      <c r="O1445" s="30"/>
      <c r="P1445" s="30"/>
      <c r="Q1445" s="30"/>
      <c r="R1445" s="30"/>
      <c r="S1445" s="30"/>
      <c r="T1445" s="30"/>
      <c r="U1445" s="21" t="str">
        <f aca="false">IF(COUNT(K1445:T1445)=0,"SOURCE EMPTY / INDUSTRIAL ONLY",IF(MIN(K1445:T1445)=1,"SERVICE READY","HOLD"))</f>
        <v>SOURCE EMPTY / INDUSTRIAL ONLY</v>
      </c>
      <c r="V1445" s="9" t="n">
        <f aca="false">IF(U1445="SERVICE READY",1,0)</f>
        <v>0</v>
      </c>
      <c r="W1445" s="6"/>
      <c r="X1445" s="6"/>
      <c r="Y1445" s="6"/>
      <c r="Z1445" s="6"/>
    </row>
    <row r="1446" customFormat="false" ht="15" hidden="false" customHeight="false" outlineLevel="0" collapsed="false">
      <c r="A1446" s="9" t="s">
        <v>1683</v>
      </c>
      <c r="B1446" s="9" t="s">
        <v>1658</v>
      </c>
      <c r="C1446" s="9" t="s">
        <v>1659</v>
      </c>
      <c r="D1446" s="9" t="s">
        <v>1215</v>
      </c>
      <c r="E1446" s="9" t="s">
        <v>1660</v>
      </c>
      <c r="F1446" s="9" t="s">
        <v>203</v>
      </c>
      <c r="G1446" s="9" t="s">
        <v>221</v>
      </c>
      <c r="H1446" s="9" t="n">
        <v>900</v>
      </c>
      <c r="I1446" s="29" t="n">
        <v>2.5</v>
      </c>
      <c r="J1446" s="9" t="n">
        <v>1</v>
      </c>
      <c r="K1446" s="30"/>
      <c r="L1446" s="30"/>
      <c r="M1446" s="30"/>
      <c r="N1446" s="30"/>
      <c r="O1446" s="30"/>
      <c r="P1446" s="30"/>
      <c r="Q1446" s="30"/>
      <c r="R1446" s="30"/>
      <c r="S1446" s="30"/>
      <c r="T1446" s="30"/>
      <c r="U1446" s="21" t="str">
        <f aca="false">IF(COUNT(K1446:T1446)=0,"SOURCE EMPTY / INDUSTRIAL ONLY",IF(MIN(K1446:T1446)=1,"SERVICE READY","HOLD"))</f>
        <v>SOURCE EMPTY / INDUSTRIAL ONLY</v>
      </c>
      <c r="V1446" s="9" t="n">
        <f aca="false">IF(U1446="SERVICE READY",1,0)</f>
        <v>0</v>
      </c>
      <c r="W1446" s="6"/>
      <c r="X1446" s="6"/>
      <c r="Y1446" s="6"/>
      <c r="Z1446" s="6"/>
    </row>
    <row r="1447" customFormat="false" ht="15" hidden="false" customHeight="false" outlineLevel="0" collapsed="false">
      <c r="A1447" s="9" t="s">
        <v>1684</v>
      </c>
      <c r="B1447" s="9" t="s">
        <v>1658</v>
      </c>
      <c r="C1447" s="9" t="s">
        <v>1659</v>
      </c>
      <c r="D1447" s="9" t="s">
        <v>1215</v>
      </c>
      <c r="E1447" s="9" t="s">
        <v>1660</v>
      </c>
      <c r="F1447" s="9" t="s">
        <v>205</v>
      </c>
      <c r="G1447" s="9" t="s">
        <v>221</v>
      </c>
      <c r="H1447" s="9" t="n">
        <v>900</v>
      </c>
      <c r="I1447" s="29" t="n">
        <v>2.5</v>
      </c>
      <c r="J1447" s="9" t="n">
        <v>1</v>
      </c>
      <c r="K1447" s="30"/>
      <c r="L1447" s="30"/>
      <c r="M1447" s="30"/>
      <c r="N1447" s="30"/>
      <c r="O1447" s="30"/>
      <c r="P1447" s="30"/>
      <c r="Q1447" s="30"/>
      <c r="R1447" s="30"/>
      <c r="S1447" s="30"/>
      <c r="T1447" s="30"/>
      <c r="U1447" s="21" t="str">
        <f aca="false">IF(COUNT(K1447:T1447)=0,"SOURCE EMPTY / INDUSTRIAL ONLY",IF(MIN(K1447:T1447)=1,"SERVICE READY","HOLD"))</f>
        <v>SOURCE EMPTY / INDUSTRIAL ONLY</v>
      </c>
      <c r="V1447" s="9" t="n">
        <f aca="false">IF(U1447="SERVICE READY",1,0)</f>
        <v>0</v>
      </c>
      <c r="W1447" s="6"/>
      <c r="X1447" s="6"/>
      <c r="Y1447" s="6"/>
      <c r="Z1447" s="6"/>
    </row>
    <row r="1448" customFormat="false" ht="15" hidden="false" customHeight="false" outlineLevel="0" collapsed="false">
      <c r="A1448" s="9" t="s">
        <v>1685</v>
      </c>
      <c r="B1448" s="9" t="s">
        <v>1658</v>
      </c>
      <c r="C1448" s="9" t="s">
        <v>1659</v>
      </c>
      <c r="D1448" s="9" t="s">
        <v>1215</v>
      </c>
      <c r="E1448" s="9" t="s">
        <v>1660</v>
      </c>
      <c r="F1448" s="9" t="s">
        <v>207</v>
      </c>
      <c r="G1448" s="9" t="s">
        <v>221</v>
      </c>
      <c r="H1448" s="9" t="n">
        <v>900</v>
      </c>
      <c r="I1448" s="29" t="n">
        <v>2.5</v>
      </c>
      <c r="J1448" s="9" t="n">
        <v>1</v>
      </c>
      <c r="K1448" s="30"/>
      <c r="L1448" s="30"/>
      <c r="M1448" s="30"/>
      <c r="N1448" s="30"/>
      <c r="O1448" s="30"/>
      <c r="P1448" s="30"/>
      <c r="Q1448" s="30"/>
      <c r="R1448" s="30"/>
      <c r="S1448" s="30"/>
      <c r="T1448" s="30"/>
      <c r="U1448" s="21" t="str">
        <f aca="false">IF(COUNT(K1448:T1448)=0,"SOURCE EMPTY / INDUSTRIAL ONLY",IF(MIN(K1448:T1448)=1,"SERVICE READY","HOLD"))</f>
        <v>SOURCE EMPTY / INDUSTRIAL ONLY</v>
      </c>
      <c r="V1448" s="9" t="n">
        <f aca="false">IF(U1448="SERVICE READY",1,0)</f>
        <v>0</v>
      </c>
      <c r="W1448" s="6"/>
      <c r="X1448" s="6"/>
      <c r="Y1448" s="6"/>
      <c r="Z1448" s="6"/>
    </row>
    <row r="1449" customFormat="false" ht="15" hidden="false" customHeight="false" outlineLevel="0" collapsed="false">
      <c r="A1449" s="9" t="s">
        <v>1686</v>
      </c>
      <c r="B1449" s="9" t="s">
        <v>1658</v>
      </c>
      <c r="C1449" s="9" t="s">
        <v>1659</v>
      </c>
      <c r="D1449" s="9" t="s">
        <v>1215</v>
      </c>
      <c r="E1449" s="9" t="s">
        <v>1660</v>
      </c>
      <c r="F1449" s="9" t="s">
        <v>209</v>
      </c>
      <c r="G1449" s="9" t="s">
        <v>221</v>
      </c>
      <c r="H1449" s="9" t="n">
        <v>900</v>
      </c>
      <c r="I1449" s="29" t="n">
        <v>2.5</v>
      </c>
      <c r="J1449" s="9" t="n">
        <v>1</v>
      </c>
      <c r="K1449" s="30"/>
      <c r="L1449" s="30"/>
      <c r="M1449" s="30"/>
      <c r="N1449" s="30"/>
      <c r="O1449" s="30"/>
      <c r="P1449" s="30"/>
      <c r="Q1449" s="30"/>
      <c r="R1449" s="30"/>
      <c r="S1449" s="30"/>
      <c r="T1449" s="30"/>
      <c r="U1449" s="21" t="str">
        <f aca="false">IF(COUNT(K1449:T1449)=0,"SOURCE EMPTY / INDUSTRIAL ONLY",IF(MIN(K1449:T1449)=1,"SERVICE READY","HOLD"))</f>
        <v>SOURCE EMPTY / INDUSTRIAL ONLY</v>
      </c>
      <c r="V1449" s="9" t="n">
        <f aca="false">IF(U1449="SERVICE READY",1,0)</f>
        <v>0</v>
      </c>
      <c r="W1449" s="6"/>
      <c r="X1449" s="6"/>
      <c r="Y1449" s="6"/>
      <c r="Z1449" s="6"/>
    </row>
    <row r="1450" customFormat="false" ht="15" hidden="false" customHeight="false" outlineLevel="0" collapsed="false">
      <c r="A1450" s="9" t="s">
        <v>1687</v>
      </c>
      <c r="B1450" s="9" t="s">
        <v>1658</v>
      </c>
      <c r="C1450" s="9" t="s">
        <v>1659</v>
      </c>
      <c r="D1450" s="9" t="s">
        <v>1215</v>
      </c>
      <c r="E1450" s="9" t="s">
        <v>1660</v>
      </c>
      <c r="F1450" s="9" t="s">
        <v>211</v>
      </c>
      <c r="G1450" s="9" t="s">
        <v>221</v>
      </c>
      <c r="H1450" s="9" t="n">
        <v>900</v>
      </c>
      <c r="I1450" s="29" t="n">
        <v>2.5</v>
      </c>
      <c r="J1450" s="9" t="n">
        <v>1</v>
      </c>
      <c r="K1450" s="30"/>
      <c r="L1450" s="30"/>
      <c r="M1450" s="30"/>
      <c r="N1450" s="30"/>
      <c r="O1450" s="30"/>
      <c r="P1450" s="30"/>
      <c r="Q1450" s="30"/>
      <c r="R1450" s="30"/>
      <c r="S1450" s="30"/>
      <c r="T1450" s="30"/>
      <c r="U1450" s="21" t="str">
        <f aca="false">IF(COUNT(K1450:T1450)=0,"SOURCE EMPTY / INDUSTRIAL ONLY",IF(MIN(K1450:T1450)=1,"SERVICE READY","HOLD"))</f>
        <v>SOURCE EMPTY / INDUSTRIAL ONLY</v>
      </c>
      <c r="V1450" s="9" t="n">
        <f aca="false">IF(U1450="SERVICE READY",1,0)</f>
        <v>0</v>
      </c>
      <c r="W1450" s="6"/>
      <c r="X1450" s="6"/>
      <c r="Y1450" s="6"/>
      <c r="Z1450" s="6"/>
    </row>
    <row r="1451" customFormat="false" ht="15" hidden="false" customHeight="false" outlineLevel="0" collapsed="false">
      <c r="A1451" s="9" t="s">
        <v>1688</v>
      </c>
      <c r="B1451" s="9" t="s">
        <v>1658</v>
      </c>
      <c r="C1451" s="9" t="s">
        <v>1659</v>
      </c>
      <c r="D1451" s="9" t="s">
        <v>1215</v>
      </c>
      <c r="E1451" s="9" t="s">
        <v>1660</v>
      </c>
      <c r="F1451" s="9" t="s">
        <v>197</v>
      </c>
      <c r="G1451" s="9" t="s">
        <v>221</v>
      </c>
      <c r="H1451" s="9" t="n">
        <v>900</v>
      </c>
      <c r="I1451" s="29" t="n">
        <v>2.5</v>
      </c>
      <c r="J1451" s="9" t="n">
        <v>1</v>
      </c>
      <c r="K1451" s="30"/>
      <c r="L1451" s="30"/>
      <c r="M1451" s="30"/>
      <c r="N1451" s="30"/>
      <c r="O1451" s="30"/>
      <c r="P1451" s="30"/>
      <c r="Q1451" s="30"/>
      <c r="R1451" s="30"/>
      <c r="S1451" s="30"/>
      <c r="T1451" s="30"/>
      <c r="U1451" s="21" t="str">
        <f aca="false">IF(COUNT(K1451:T1451)=0,"SOURCE EMPTY / INDUSTRIAL ONLY",IF(MIN(K1451:T1451)=1,"SERVICE READY","HOLD"))</f>
        <v>SOURCE EMPTY / INDUSTRIAL ONLY</v>
      </c>
      <c r="V1451" s="9" t="n">
        <f aca="false">IF(U1451="SERVICE READY",1,0)</f>
        <v>0</v>
      </c>
      <c r="W1451" s="6"/>
      <c r="X1451" s="6"/>
      <c r="Y1451" s="6"/>
      <c r="Z1451" s="6"/>
    </row>
    <row r="1452" customFormat="false" ht="15" hidden="false" customHeight="false" outlineLevel="0" collapsed="false">
      <c r="A1452" s="9" t="s">
        <v>1689</v>
      </c>
      <c r="B1452" s="9" t="s">
        <v>1658</v>
      </c>
      <c r="C1452" s="9" t="s">
        <v>1659</v>
      </c>
      <c r="D1452" s="9" t="s">
        <v>1215</v>
      </c>
      <c r="E1452" s="9" t="s">
        <v>1660</v>
      </c>
      <c r="F1452" s="9" t="s">
        <v>200</v>
      </c>
      <c r="G1452" s="9" t="s">
        <v>221</v>
      </c>
      <c r="H1452" s="9" t="n">
        <v>900</v>
      </c>
      <c r="I1452" s="29" t="n">
        <v>2.5</v>
      </c>
      <c r="J1452" s="9" t="n">
        <v>1</v>
      </c>
      <c r="K1452" s="30"/>
      <c r="L1452" s="30"/>
      <c r="M1452" s="30"/>
      <c r="N1452" s="30"/>
      <c r="O1452" s="30"/>
      <c r="P1452" s="30"/>
      <c r="Q1452" s="30"/>
      <c r="R1452" s="30"/>
      <c r="S1452" s="30"/>
      <c r="T1452" s="30"/>
      <c r="U1452" s="21" t="str">
        <f aca="false">IF(COUNT(K1452:T1452)=0,"SOURCE EMPTY / INDUSTRIAL ONLY",IF(MIN(K1452:T1452)=1,"SERVICE READY","HOLD"))</f>
        <v>SOURCE EMPTY / INDUSTRIAL ONLY</v>
      </c>
      <c r="V1452" s="9" t="n">
        <f aca="false">IF(U1452="SERVICE READY",1,0)</f>
        <v>0</v>
      </c>
      <c r="W1452" s="6"/>
      <c r="X1452" s="6"/>
      <c r="Y1452" s="6"/>
      <c r="Z1452" s="6"/>
    </row>
    <row r="1453" customFormat="false" ht="15" hidden="false" customHeight="false" outlineLevel="0" collapsed="false">
      <c r="A1453" s="9" t="s">
        <v>1690</v>
      </c>
      <c r="B1453" s="9" t="s">
        <v>1658</v>
      </c>
      <c r="C1453" s="9" t="s">
        <v>1659</v>
      </c>
      <c r="D1453" s="9" t="s">
        <v>1215</v>
      </c>
      <c r="E1453" s="9" t="s">
        <v>1660</v>
      </c>
      <c r="F1453" s="9" t="s">
        <v>203</v>
      </c>
      <c r="G1453" s="9" t="s">
        <v>221</v>
      </c>
      <c r="H1453" s="9" t="n">
        <v>900</v>
      </c>
      <c r="I1453" s="29" t="n">
        <v>2.5</v>
      </c>
      <c r="J1453" s="9" t="n">
        <v>1</v>
      </c>
      <c r="K1453" s="30"/>
      <c r="L1453" s="30"/>
      <c r="M1453" s="30"/>
      <c r="N1453" s="30"/>
      <c r="O1453" s="30"/>
      <c r="P1453" s="30"/>
      <c r="Q1453" s="30"/>
      <c r="R1453" s="30"/>
      <c r="S1453" s="30"/>
      <c r="T1453" s="30"/>
      <c r="U1453" s="21" t="str">
        <f aca="false">IF(COUNT(K1453:T1453)=0,"SOURCE EMPTY / INDUSTRIAL ONLY",IF(MIN(K1453:T1453)=1,"SERVICE READY","HOLD"))</f>
        <v>SOURCE EMPTY / INDUSTRIAL ONLY</v>
      </c>
      <c r="V1453" s="9" t="n">
        <f aca="false">IF(U1453="SERVICE READY",1,0)</f>
        <v>0</v>
      </c>
      <c r="W1453" s="6"/>
      <c r="X1453" s="6"/>
      <c r="Y1453" s="6"/>
      <c r="Z1453" s="6"/>
    </row>
    <row r="1454" customFormat="false" ht="15" hidden="false" customHeight="false" outlineLevel="0" collapsed="false">
      <c r="A1454" s="9" t="s">
        <v>1691</v>
      </c>
      <c r="B1454" s="9" t="s">
        <v>1658</v>
      </c>
      <c r="C1454" s="9" t="s">
        <v>1659</v>
      </c>
      <c r="D1454" s="9" t="s">
        <v>1215</v>
      </c>
      <c r="E1454" s="9" t="s">
        <v>1660</v>
      </c>
      <c r="F1454" s="9" t="s">
        <v>205</v>
      </c>
      <c r="G1454" s="9" t="s">
        <v>221</v>
      </c>
      <c r="H1454" s="9" t="n">
        <v>900</v>
      </c>
      <c r="I1454" s="29" t="n">
        <v>2.5</v>
      </c>
      <c r="J1454" s="9" t="n">
        <v>1</v>
      </c>
      <c r="K1454" s="30"/>
      <c r="L1454" s="30"/>
      <c r="M1454" s="30"/>
      <c r="N1454" s="30"/>
      <c r="O1454" s="30"/>
      <c r="P1454" s="30"/>
      <c r="Q1454" s="30"/>
      <c r="R1454" s="30"/>
      <c r="S1454" s="30"/>
      <c r="T1454" s="30"/>
      <c r="U1454" s="21" t="str">
        <f aca="false">IF(COUNT(K1454:T1454)=0,"SOURCE EMPTY / INDUSTRIAL ONLY",IF(MIN(K1454:T1454)=1,"SERVICE READY","HOLD"))</f>
        <v>SOURCE EMPTY / INDUSTRIAL ONLY</v>
      </c>
      <c r="V1454" s="9" t="n">
        <f aca="false">IF(U1454="SERVICE READY",1,0)</f>
        <v>0</v>
      </c>
      <c r="W1454" s="6"/>
      <c r="X1454" s="6"/>
      <c r="Y1454" s="6"/>
      <c r="Z1454" s="6"/>
    </row>
    <row r="1455" customFormat="false" ht="15" hidden="false" customHeight="false" outlineLevel="0" collapsed="false">
      <c r="A1455" s="9" t="s">
        <v>1692</v>
      </c>
      <c r="B1455" s="9" t="s">
        <v>1658</v>
      </c>
      <c r="C1455" s="9" t="s">
        <v>1659</v>
      </c>
      <c r="D1455" s="9" t="s">
        <v>1215</v>
      </c>
      <c r="E1455" s="9" t="s">
        <v>1660</v>
      </c>
      <c r="F1455" s="9" t="s">
        <v>207</v>
      </c>
      <c r="G1455" s="9" t="s">
        <v>221</v>
      </c>
      <c r="H1455" s="9" t="n">
        <v>900</v>
      </c>
      <c r="I1455" s="29" t="n">
        <v>2.5</v>
      </c>
      <c r="J1455" s="9" t="n">
        <v>1</v>
      </c>
      <c r="K1455" s="30"/>
      <c r="L1455" s="30"/>
      <c r="M1455" s="30"/>
      <c r="N1455" s="30"/>
      <c r="O1455" s="30"/>
      <c r="P1455" s="30"/>
      <c r="Q1455" s="30"/>
      <c r="R1455" s="30"/>
      <c r="S1455" s="30"/>
      <c r="T1455" s="30"/>
      <c r="U1455" s="21" t="str">
        <f aca="false">IF(COUNT(K1455:T1455)=0,"SOURCE EMPTY / INDUSTRIAL ONLY",IF(MIN(K1455:T1455)=1,"SERVICE READY","HOLD"))</f>
        <v>SOURCE EMPTY / INDUSTRIAL ONLY</v>
      </c>
      <c r="V1455" s="9" t="n">
        <f aca="false">IF(U1455="SERVICE READY",1,0)</f>
        <v>0</v>
      </c>
      <c r="W1455" s="6"/>
      <c r="X1455" s="6"/>
      <c r="Y1455" s="6"/>
      <c r="Z1455" s="6"/>
    </row>
    <row r="1456" customFormat="false" ht="15" hidden="false" customHeight="false" outlineLevel="0" collapsed="false">
      <c r="A1456" s="9" t="s">
        <v>1693</v>
      </c>
      <c r="B1456" s="9" t="s">
        <v>1658</v>
      </c>
      <c r="C1456" s="9" t="s">
        <v>1659</v>
      </c>
      <c r="D1456" s="9" t="s">
        <v>1215</v>
      </c>
      <c r="E1456" s="9" t="s">
        <v>1660</v>
      </c>
      <c r="F1456" s="9" t="s">
        <v>209</v>
      </c>
      <c r="G1456" s="9" t="s">
        <v>221</v>
      </c>
      <c r="H1456" s="9" t="n">
        <v>900</v>
      </c>
      <c r="I1456" s="29" t="n">
        <v>2.5</v>
      </c>
      <c r="J1456" s="9" t="n">
        <v>1</v>
      </c>
      <c r="K1456" s="30"/>
      <c r="L1456" s="30"/>
      <c r="M1456" s="30"/>
      <c r="N1456" s="30"/>
      <c r="O1456" s="30"/>
      <c r="P1456" s="30"/>
      <c r="Q1456" s="30"/>
      <c r="R1456" s="30"/>
      <c r="S1456" s="30"/>
      <c r="T1456" s="30"/>
      <c r="U1456" s="21" t="str">
        <f aca="false">IF(COUNT(K1456:T1456)=0,"SOURCE EMPTY / INDUSTRIAL ONLY",IF(MIN(K1456:T1456)=1,"SERVICE READY","HOLD"))</f>
        <v>SOURCE EMPTY / INDUSTRIAL ONLY</v>
      </c>
      <c r="V1456" s="9" t="n">
        <f aca="false">IF(U1456="SERVICE READY",1,0)</f>
        <v>0</v>
      </c>
      <c r="W1456" s="6"/>
      <c r="X1456" s="6"/>
      <c r="Y1456" s="6"/>
      <c r="Z1456" s="6"/>
    </row>
    <row r="1457" customFormat="false" ht="15" hidden="false" customHeight="false" outlineLevel="0" collapsed="false">
      <c r="A1457" s="9" t="s">
        <v>1694</v>
      </c>
      <c r="B1457" s="9" t="s">
        <v>1658</v>
      </c>
      <c r="C1457" s="9" t="s">
        <v>1659</v>
      </c>
      <c r="D1457" s="9" t="s">
        <v>1215</v>
      </c>
      <c r="E1457" s="9" t="s">
        <v>1660</v>
      </c>
      <c r="F1457" s="9" t="s">
        <v>211</v>
      </c>
      <c r="G1457" s="9" t="s">
        <v>221</v>
      </c>
      <c r="H1457" s="9" t="n">
        <v>900</v>
      </c>
      <c r="I1457" s="29" t="n">
        <v>2.5</v>
      </c>
      <c r="J1457" s="9" t="n">
        <v>1</v>
      </c>
      <c r="K1457" s="30"/>
      <c r="L1457" s="30"/>
      <c r="M1457" s="30"/>
      <c r="N1457" s="30"/>
      <c r="O1457" s="30"/>
      <c r="P1457" s="30"/>
      <c r="Q1457" s="30"/>
      <c r="R1457" s="30"/>
      <c r="S1457" s="30"/>
      <c r="T1457" s="30"/>
      <c r="U1457" s="21" t="str">
        <f aca="false">IF(COUNT(K1457:T1457)=0,"SOURCE EMPTY / INDUSTRIAL ONLY",IF(MIN(K1457:T1457)=1,"SERVICE READY","HOLD"))</f>
        <v>SOURCE EMPTY / INDUSTRIAL ONLY</v>
      </c>
      <c r="V1457" s="9" t="n">
        <f aca="false">IF(U1457="SERVICE READY",1,0)</f>
        <v>0</v>
      </c>
      <c r="W1457" s="6"/>
      <c r="X1457" s="6"/>
      <c r="Y1457" s="6"/>
      <c r="Z1457" s="6"/>
    </row>
    <row r="1458" customFormat="false" ht="15" hidden="false" customHeight="false" outlineLevel="0" collapsed="false">
      <c r="A1458" s="9" t="s">
        <v>1695</v>
      </c>
      <c r="B1458" s="9" t="s">
        <v>1658</v>
      </c>
      <c r="C1458" s="9" t="s">
        <v>1659</v>
      </c>
      <c r="D1458" s="9" t="s">
        <v>1215</v>
      </c>
      <c r="E1458" s="9" t="s">
        <v>1660</v>
      </c>
      <c r="F1458" s="9" t="s">
        <v>197</v>
      </c>
      <c r="G1458" s="9" t="s">
        <v>221</v>
      </c>
      <c r="H1458" s="9" t="n">
        <v>900</v>
      </c>
      <c r="I1458" s="29" t="n">
        <v>2.5</v>
      </c>
      <c r="J1458" s="9" t="n">
        <v>1</v>
      </c>
      <c r="K1458" s="30"/>
      <c r="L1458" s="30"/>
      <c r="M1458" s="30"/>
      <c r="N1458" s="30"/>
      <c r="O1458" s="30"/>
      <c r="P1458" s="30"/>
      <c r="Q1458" s="30"/>
      <c r="R1458" s="30"/>
      <c r="S1458" s="30"/>
      <c r="T1458" s="30"/>
      <c r="U1458" s="21" t="str">
        <f aca="false">IF(COUNT(K1458:T1458)=0,"SOURCE EMPTY / INDUSTRIAL ONLY",IF(MIN(K1458:T1458)=1,"SERVICE READY","HOLD"))</f>
        <v>SOURCE EMPTY / INDUSTRIAL ONLY</v>
      </c>
      <c r="V1458" s="9" t="n">
        <f aca="false">IF(U1458="SERVICE READY",1,0)</f>
        <v>0</v>
      </c>
      <c r="W1458" s="6"/>
      <c r="X1458" s="6"/>
      <c r="Y1458" s="6"/>
      <c r="Z1458" s="6"/>
    </row>
    <row r="1459" customFormat="false" ht="15" hidden="false" customHeight="false" outlineLevel="0" collapsed="false">
      <c r="A1459" s="9" t="s">
        <v>1696</v>
      </c>
      <c r="B1459" s="9" t="s">
        <v>1658</v>
      </c>
      <c r="C1459" s="9" t="s">
        <v>1659</v>
      </c>
      <c r="D1459" s="9" t="s">
        <v>1215</v>
      </c>
      <c r="E1459" s="9" t="s">
        <v>1660</v>
      </c>
      <c r="F1459" s="9" t="s">
        <v>200</v>
      </c>
      <c r="G1459" s="9" t="s">
        <v>221</v>
      </c>
      <c r="H1459" s="9" t="n">
        <v>900</v>
      </c>
      <c r="I1459" s="29" t="n">
        <v>2.5</v>
      </c>
      <c r="J1459" s="9" t="n">
        <v>1</v>
      </c>
      <c r="K1459" s="30"/>
      <c r="L1459" s="30"/>
      <c r="M1459" s="30"/>
      <c r="N1459" s="30"/>
      <c r="O1459" s="30"/>
      <c r="P1459" s="30"/>
      <c r="Q1459" s="30"/>
      <c r="R1459" s="30"/>
      <c r="S1459" s="30"/>
      <c r="T1459" s="30"/>
      <c r="U1459" s="21" t="str">
        <f aca="false">IF(COUNT(K1459:T1459)=0,"SOURCE EMPTY / INDUSTRIAL ONLY",IF(MIN(K1459:T1459)=1,"SERVICE READY","HOLD"))</f>
        <v>SOURCE EMPTY / INDUSTRIAL ONLY</v>
      </c>
      <c r="V1459" s="9" t="n">
        <f aca="false">IF(U1459="SERVICE READY",1,0)</f>
        <v>0</v>
      </c>
      <c r="W1459" s="6"/>
      <c r="X1459" s="6"/>
      <c r="Y1459" s="6"/>
      <c r="Z1459" s="6"/>
    </row>
    <row r="1460" customFormat="false" ht="15" hidden="false" customHeight="false" outlineLevel="0" collapsed="false">
      <c r="A1460" s="9" t="s">
        <v>1697</v>
      </c>
      <c r="B1460" s="9" t="s">
        <v>1658</v>
      </c>
      <c r="C1460" s="9" t="s">
        <v>1659</v>
      </c>
      <c r="D1460" s="9" t="s">
        <v>1215</v>
      </c>
      <c r="E1460" s="9" t="s">
        <v>1660</v>
      </c>
      <c r="F1460" s="9" t="s">
        <v>203</v>
      </c>
      <c r="G1460" s="9" t="s">
        <v>221</v>
      </c>
      <c r="H1460" s="9" t="n">
        <v>900</v>
      </c>
      <c r="I1460" s="29" t="n">
        <v>2.5</v>
      </c>
      <c r="J1460" s="9" t="n">
        <v>1</v>
      </c>
      <c r="K1460" s="30"/>
      <c r="L1460" s="30"/>
      <c r="M1460" s="30"/>
      <c r="N1460" s="30"/>
      <c r="O1460" s="30"/>
      <c r="P1460" s="30"/>
      <c r="Q1460" s="30"/>
      <c r="R1460" s="30"/>
      <c r="S1460" s="30"/>
      <c r="T1460" s="30"/>
      <c r="U1460" s="21" t="str">
        <f aca="false">IF(COUNT(K1460:T1460)=0,"SOURCE EMPTY / INDUSTRIAL ONLY",IF(MIN(K1460:T1460)=1,"SERVICE READY","HOLD"))</f>
        <v>SOURCE EMPTY / INDUSTRIAL ONLY</v>
      </c>
      <c r="V1460" s="9" t="n">
        <f aca="false">IF(U1460="SERVICE READY",1,0)</f>
        <v>0</v>
      </c>
      <c r="W1460" s="6"/>
      <c r="X1460" s="6"/>
      <c r="Y1460" s="6"/>
      <c r="Z1460" s="6"/>
    </row>
    <row r="1461" customFormat="false" ht="15" hidden="false" customHeight="false" outlineLevel="0" collapsed="false">
      <c r="A1461" s="9" t="s">
        <v>1698</v>
      </c>
      <c r="B1461" s="9" t="s">
        <v>1658</v>
      </c>
      <c r="C1461" s="9" t="s">
        <v>1659</v>
      </c>
      <c r="D1461" s="9" t="s">
        <v>1215</v>
      </c>
      <c r="E1461" s="9" t="s">
        <v>1660</v>
      </c>
      <c r="F1461" s="9" t="s">
        <v>205</v>
      </c>
      <c r="G1461" s="9" t="s">
        <v>221</v>
      </c>
      <c r="H1461" s="9" t="n">
        <v>900</v>
      </c>
      <c r="I1461" s="29" t="n">
        <v>2.5</v>
      </c>
      <c r="J1461" s="9" t="n">
        <v>1</v>
      </c>
      <c r="K1461" s="30"/>
      <c r="L1461" s="30"/>
      <c r="M1461" s="30"/>
      <c r="N1461" s="30"/>
      <c r="O1461" s="30"/>
      <c r="P1461" s="30"/>
      <c r="Q1461" s="30"/>
      <c r="R1461" s="30"/>
      <c r="S1461" s="30"/>
      <c r="T1461" s="30"/>
      <c r="U1461" s="21" t="str">
        <f aca="false">IF(COUNT(K1461:T1461)=0,"SOURCE EMPTY / INDUSTRIAL ONLY",IF(MIN(K1461:T1461)=1,"SERVICE READY","HOLD"))</f>
        <v>SOURCE EMPTY / INDUSTRIAL ONLY</v>
      </c>
      <c r="V1461" s="9" t="n">
        <f aca="false">IF(U1461="SERVICE READY",1,0)</f>
        <v>0</v>
      </c>
      <c r="W1461" s="6"/>
      <c r="X1461" s="6"/>
      <c r="Y1461" s="6"/>
      <c r="Z1461" s="6"/>
    </row>
    <row r="1462" customFormat="false" ht="15" hidden="false" customHeight="false" outlineLevel="0" collapsed="false">
      <c r="A1462" s="9" t="s">
        <v>1699</v>
      </c>
      <c r="B1462" s="9" t="s">
        <v>1658</v>
      </c>
      <c r="C1462" s="9" t="s">
        <v>1659</v>
      </c>
      <c r="D1462" s="9" t="s">
        <v>1215</v>
      </c>
      <c r="E1462" s="9" t="s">
        <v>1660</v>
      </c>
      <c r="F1462" s="9" t="s">
        <v>207</v>
      </c>
      <c r="G1462" s="9" t="s">
        <v>221</v>
      </c>
      <c r="H1462" s="9" t="n">
        <v>900</v>
      </c>
      <c r="I1462" s="29" t="n">
        <v>2.5</v>
      </c>
      <c r="J1462" s="9" t="n">
        <v>1</v>
      </c>
      <c r="K1462" s="30"/>
      <c r="L1462" s="30"/>
      <c r="M1462" s="30"/>
      <c r="N1462" s="30"/>
      <c r="O1462" s="30"/>
      <c r="P1462" s="30"/>
      <c r="Q1462" s="30"/>
      <c r="R1462" s="30"/>
      <c r="S1462" s="30"/>
      <c r="T1462" s="30"/>
      <c r="U1462" s="21" t="str">
        <f aca="false">IF(COUNT(K1462:T1462)=0,"SOURCE EMPTY / INDUSTRIAL ONLY",IF(MIN(K1462:T1462)=1,"SERVICE READY","HOLD"))</f>
        <v>SOURCE EMPTY / INDUSTRIAL ONLY</v>
      </c>
      <c r="V1462" s="9" t="n">
        <f aca="false">IF(U1462="SERVICE READY",1,0)</f>
        <v>0</v>
      </c>
      <c r="W1462" s="6"/>
      <c r="X1462" s="6"/>
      <c r="Y1462" s="6"/>
      <c r="Z1462" s="6"/>
    </row>
    <row r="1463" customFormat="false" ht="15" hidden="false" customHeight="false" outlineLevel="0" collapsed="false">
      <c r="A1463" s="9" t="s">
        <v>1700</v>
      </c>
      <c r="B1463" s="9" t="s">
        <v>1658</v>
      </c>
      <c r="C1463" s="9" t="s">
        <v>1659</v>
      </c>
      <c r="D1463" s="9" t="s">
        <v>1215</v>
      </c>
      <c r="E1463" s="9" t="s">
        <v>1660</v>
      </c>
      <c r="F1463" s="9" t="s">
        <v>209</v>
      </c>
      <c r="G1463" s="9" t="s">
        <v>221</v>
      </c>
      <c r="H1463" s="9" t="n">
        <v>900</v>
      </c>
      <c r="I1463" s="29" t="n">
        <v>2.5</v>
      </c>
      <c r="J1463" s="9" t="n">
        <v>1</v>
      </c>
      <c r="K1463" s="30"/>
      <c r="L1463" s="30"/>
      <c r="M1463" s="30"/>
      <c r="N1463" s="30"/>
      <c r="O1463" s="30"/>
      <c r="P1463" s="30"/>
      <c r="Q1463" s="30"/>
      <c r="R1463" s="30"/>
      <c r="S1463" s="30"/>
      <c r="T1463" s="30"/>
      <c r="U1463" s="21" t="str">
        <f aca="false">IF(COUNT(K1463:T1463)=0,"SOURCE EMPTY / INDUSTRIAL ONLY",IF(MIN(K1463:T1463)=1,"SERVICE READY","HOLD"))</f>
        <v>SOURCE EMPTY / INDUSTRIAL ONLY</v>
      </c>
      <c r="V1463" s="9" t="n">
        <f aca="false">IF(U1463="SERVICE READY",1,0)</f>
        <v>0</v>
      </c>
      <c r="W1463" s="6"/>
      <c r="X1463" s="6"/>
      <c r="Y1463" s="6"/>
      <c r="Z1463" s="6"/>
    </row>
    <row r="1464" customFormat="false" ht="15" hidden="false" customHeight="false" outlineLevel="0" collapsed="false">
      <c r="A1464" s="9" t="s">
        <v>1701</v>
      </c>
      <c r="B1464" s="9" t="s">
        <v>1658</v>
      </c>
      <c r="C1464" s="9" t="s">
        <v>1659</v>
      </c>
      <c r="D1464" s="9" t="s">
        <v>1215</v>
      </c>
      <c r="E1464" s="9" t="s">
        <v>1660</v>
      </c>
      <c r="F1464" s="9" t="s">
        <v>211</v>
      </c>
      <c r="G1464" s="9" t="s">
        <v>221</v>
      </c>
      <c r="H1464" s="9" t="n">
        <v>900</v>
      </c>
      <c r="I1464" s="29" t="n">
        <v>2.5</v>
      </c>
      <c r="J1464" s="9" t="n">
        <v>1</v>
      </c>
      <c r="K1464" s="30"/>
      <c r="L1464" s="30"/>
      <c r="M1464" s="30"/>
      <c r="N1464" s="30"/>
      <c r="O1464" s="30"/>
      <c r="P1464" s="30"/>
      <c r="Q1464" s="30"/>
      <c r="R1464" s="30"/>
      <c r="S1464" s="30"/>
      <c r="T1464" s="30"/>
      <c r="U1464" s="21" t="str">
        <f aca="false">IF(COUNT(K1464:T1464)=0,"SOURCE EMPTY / INDUSTRIAL ONLY",IF(MIN(K1464:T1464)=1,"SERVICE READY","HOLD"))</f>
        <v>SOURCE EMPTY / INDUSTRIAL ONLY</v>
      </c>
      <c r="V1464" s="9" t="n">
        <f aca="false">IF(U1464="SERVICE READY",1,0)</f>
        <v>0</v>
      </c>
      <c r="W1464" s="6"/>
      <c r="X1464" s="6"/>
      <c r="Y1464" s="6"/>
      <c r="Z1464" s="6"/>
    </row>
    <row r="1465" customFormat="false" ht="15" hidden="false" customHeight="false" outlineLevel="0" collapsed="false">
      <c r="A1465" s="9" t="s">
        <v>1702</v>
      </c>
      <c r="B1465" s="9" t="s">
        <v>1658</v>
      </c>
      <c r="C1465" s="9" t="s">
        <v>1659</v>
      </c>
      <c r="D1465" s="9" t="s">
        <v>1215</v>
      </c>
      <c r="E1465" s="9" t="s">
        <v>1660</v>
      </c>
      <c r="F1465" s="9" t="s">
        <v>197</v>
      </c>
      <c r="G1465" s="9" t="s">
        <v>221</v>
      </c>
      <c r="H1465" s="9" t="n">
        <v>900</v>
      </c>
      <c r="I1465" s="29" t="n">
        <v>2.5</v>
      </c>
      <c r="J1465" s="9" t="n">
        <v>1</v>
      </c>
      <c r="K1465" s="30"/>
      <c r="L1465" s="30"/>
      <c r="M1465" s="30"/>
      <c r="N1465" s="30"/>
      <c r="O1465" s="30"/>
      <c r="P1465" s="30"/>
      <c r="Q1465" s="30"/>
      <c r="R1465" s="30"/>
      <c r="S1465" s="30"/>
      <c r="T1465" s="30"/>
      <c r="U1465" s="21" t="str">
        <f aca="false">IF(COUNT(K1465:T1465)=0,"SOURCE EMPTY / INDUSTRIAL ONLY",IF(MIN(K1465:T1465)=1,"SERVICE READY","HOLD"))</f>
        <v>SOURCE EMPTY / INDUSTRIAL ONLY</v>
      </c>
      <c r="V1465" s="9" t="n">
        <f aca="false">IF(U1465="SERVICE READY",1,0)</f>
        <v>0</v>
      </c>
      <c r="W1465" s="6"/>
      <c r="X1465" s="6"/>
      <c r="Y1465" s="6"/>
      <c r="Z1465" s="6"/>
    </row>
    <row r="1466" customFormat="false" ht="15" hidden="false" customHeight="false" outlineLevel="0" collapsed="false">
      <c r="A1466" s="9" t="s">
        <v>1703</v>
      </c>
      <c r="B1466" s="9" t="s">
        <v>1658</v>
      </c>
      <c r="C1466" s="9" t="s">
        <v>1659</v>
      </c>
      <c r="D1466" s="9" t="s">
        <v>1215</v>
      </c>
      <c r="E1466" s="9" t="s">
        <v>1660</v>
      </c>
      <c r="F1466" s="9" t="s">
        <v>200</v>
      </c>
      <c r="G1466" s="9" t="s">
        <v>221</v>
      </c>
      <c r="H1466" s="9" t="n">
        <v>900</v>
      </c>
      <c r="I1466" s="29" t="n">
        <v>2.5</v>
      </c>
      <c r="J1466" s="9" t="n">
        <v>1</v>
      </c>
      <c r="K1466" s="30"/>
      <c r="L1466" s="30"/>
      <c r="M1466" s="30"/>
      <c r="N1466" s="30"/>
      <c r="O1466" s="30"/>
      <c r="P1466" s="30"/>
      <c r="Q1466" s="30"/>
      <c r="R1466" s="30"/>
      <c r="S1466" s="30"/>
      <c r="T1466" s="30"/>
      <c r="U1466" s="21" t="str">
        <f aca="false">IF(COUNT(K1466:T1466)=0,"SOURCE EMPTY / INDUSTRIAL ONLY",IF(MIN(K1466:T1466)=1,"SERVICE READY","HOLD"))</f>
        <v>SOURCE EMPTY / INDUSTRIAL ONLY</v>
      </c>
      <c r="V1466" s="9" t="n">
        <f aca="false">IF(U1466="SERVICE READY",1,0)</f>
        <v>0</v>
      </c>
      <c r="W1466" s="6"/>
      <c r="X1466" s="6"/>
      <c r="Y1466" s="6"/>
      <c r="Z1466" s="6"/>
    </row>
    <row r="1467" customFormat="false" ht="15" hidden="false" customHeight="false" outlineLevel="0" collapsed="false">
      <c r="A1467" s="9" t="s">
        <v>1704</v>
      </c>
      <c r="B1467" s="9" t="s">
        <v>1658</v>
      </c>
      <c r="C1467" s="9" t="s">
        <v>1659</v>
      </c>
      <c r="D1467" s="9" t="s">
        <v>1215</v>
      </c>
      <c r="E1467" s="9" t="s">
        <v>1660</v>
      </c>
      <c r="F1467" s="9" t="s">
        <v>203</v>
      </c>
      <c r="G1467" s="9" t="s">
        <v>221</v>
      </c>
      <c r="H1467" s="9" t="n">
        <v>900</v>
      </c>
      <c r="I1467" s="29" t="n">
        <v>2.5</v>
      </c>
      <c r="J1467" s="9" t="n">
        <v>1</v>
      </c>
      <c r="K1467" s="30"/>
      <c r="L1467" s="30"/>
      <c r="M1467" s="30"/>
      <c r="N1467" s="30"/>
      <c r="O1467" s="30"/>
      <c r="P1467" s="30"/>
      <c r="Q1467" s="30"/>
      <c r="R1467" s="30"/>
      <c r="S1467" s="30"/>
      <c r="T1467" s="30"/>
      <c r="U1467" s="21" t="str">
        <f aca="false">IF(COUNT(K1467:T1467)=0,"SOURCE EMPTY / INDUSTRIAL ONLY",IF(MIN(K1467:T1467)=1,"SERVICE READY","HOLD"))</f>
        <v>SOURCE EMPTY / INDUSTRIAL ONLY</v>
      </c>
      <c r="V1467" s="9" t="n">
        <f aca="false">IF(U1467="SERVICE READY",1,0)</f>
        <v>0</v>
      </c>
      <c r="W1467" s="6"/>
      <c r="X1467" s="6"/>
      <c r="Y1467" s="6"/>
      <c r="Z1467" s="6"/>
    </row>
    <row r="1468" customFormat="false" ht="15" hidden="false" customHeight="false" outlineLevel="0" collapsed="false">
      <c r="A1468" s="9" t="s">
        <v>1705</v>
      </c>
      <c r="B1468" s="9" t="s">
        <v>1658</v>
      </c>
      <c r="C1468" s="9" t="s">
        <v>1659</v>
      </c>
      <c r="D1468" s="9" t="s">
        <v>1215</v>
      </c>
      <c r="E1468" s="9" t="s">
        <v>1660</v>
      </c>
      <c r="F1468" s="9" t="s">
        <v>205</v>
      </c>
      <c r="G1468" s="9" t="s">
        <v>221</v>
      </c>
      <c r="H1468" s="9" t="n">
        <v>900</v>
      </c>
      <c r="I1468" s="29" t="n">
        <v>2.5</v>
      </c>
      <c r="J1468" s="9" t="n">
        <v>1</v>
      </c>
      <c r="K1468" s="30"/>
      <c r="L1468" s="30"/>
      <c r="M1468" s="30"/>
      <c r="N1468" s="30"/>
      <c r="O1468" s="30"/>
      <c r="P1468" s="30"/>
      <c r="Q1468" s="30"/>
      <c r="R1468" s="30"/>
      <c r="S1468" s="30"/>
      <c r="T1468" s="30"/>
      <c r="U1468" s="21" t="str">
        <f aca="false">IF(COUNT(K1468:T1468)=0,"SOURCE EMPTY / INDUSTRIAL ONLY",IF(MIN(K1468:T1468)=1,"SERVICE READY","HOLD"))</f>
        <v>SOURCE EMPTY / INDUSTRIAL ONLY</v>
      </c>
      <c r="V1468" s="9" t="n">
        <f aca="false">IF(U1468="SERVICE READY",1,0)</f>
        <v>0</v>
      </c>
      <c r="W1468" s="6"/>
      <c r="X1468" s="6"/>
      <c r="Y1468" s="6"/>
      <c r="Z1468" s="6"/>
    </row>
    <row r="1469" customFormat="false" ht="15" hidden="false" customHeight="false" outlineLevel="0" collapsed="false">
      <c r="A1469" s="9" t="s">
        <v>1706</v>
      </c>
      <c r="B1469" s="9" t="s">
        <v>1658</v>
      </c>
      <c r="C1469" s="9" t="s">
        <v>1659</v>
      </c>
      <c r="D1469" s="9" t="s">
        <v>1215</v>
      </c>
      <c r="E1469" s="9" t="s">
        <v>1660</v>
      </c>
      <c r="F1469" s="9" t="s">
        <v>207</v>
      </c>
      <c r="G1469" s="9" t="s">
        <v>221</v>
      </c>
      <c r="H1469" s="9" t="n">
        <v>900</v>
      </c>
      <c r="I1469" s="29" t="n">
        <v>2.5</v>
      </c>
      <c r="J1469" s="9" t="n">
        <v>1</v>
      </c>
      <c r="K1469" s="30"/>
      <c r="L1469" s="30"/>
      <c r="M1469" s="30"/>
      <c r="N1469" s="30"/>
      <c r="O1469" s="30"/>
      <c r="P1469" s="30"/>
      <c r="Q1469" s="30"/>
      <c r="R1469" s="30"/>
      <c r="S1469" s="30"/>
      <c r="T1469" s="30"/>
      <c r="U1469" s="21" t="str">
        <f aca="false">IF(COUNT(K1469:T1469)=0,"SOURCE EMPTY / INDUSTRIAL ONLY",IF(MIN(K1469:T1469)=1,"SERVICE READY","HOLD"))</f>
        <v>SOURCE EMPTY / INDUSTRIAL ONLY</v>
      </c>
      <c r="V1469" s="9" t="n">
        <f aca="false">IF(U1469="SERVICE READY",1,0)</f>
        <v>0</v>
      </c>
      <c r="W1469" s="6"/>
      <c r="X1469" s="6"/>
      <c r="Y1469" s="6"/>
      <c r="Z1469" s="6"/>
    </row>
    <row r="1470" customFormat="false" ht="15" hidden="false" customHeight="false" outlineLevel="0" collapsed="false">
      <c r="A1470" s="9" t="s">
        <v>1707</v>
      </c>
      <c r="B1470" s="9" t="s">
        <v>1658</v>
      </c>
      <c r="C1470" s="9" t="s">
        <v>1659</v>
      </c>
      <c r="D1470" s="9" t="s">
        <v>1215</v>
      </c>
      <c r="E1470" s="9" t="s">
        <v>1660</v>
      </c>
      <c r="F1470" s="9" t="s">
        <v>209</v>
      </c>
      <c r="G1470" s="9" t="s">
        <v>221</v>
      </c>
      <c r="H1470" s="9" t="n">
        <v>900</v>
      </c>
      <c r="I1470" s="29" t="n">
        <v>2.5</v>
      </c>
      <c r="J1470" s="9" t="n">
        <v>0</v>
      </c>
      <c r="K1470" s="30"/>
      <c r="L1470" s="30"/>
      <c r="M1470" s="30"/>
      <c r="N1470" s="30"/>
      <c r="O1470" s="30"/>
      <c r="P1470" s="30"/>
      <c r="Q1470" s="30"/>
      <c r="R1470" s="30"/>
      <c r="S1470" s="30"/>
      <c r="T1470" s="30"/>
      <c r="U1470" s="21" t="str">
        <f aca="false">IF(COUNT(K1470:T1470)=0,"SOURCE EMPTY / INDUSTRIAL ONLY",IF(MIN(K1470:T1470)=1,"SERVICE READY","HOLD"))</f>
        <v>SOURCE EMPTY / INDUSTRIAL ONLY</v>
      </c>
      <c r="V1470" s="9" t="n">
        <f aca="false">IF(U1470="SERVICE READY",1,0)</f>
        <v>0</v>
      </c>
      <c r="W1470" s="6"/>
      <c r="X1470" s="6"/>
      <c r="Y1470" s="6"/>
      <c r="Z1470" s="6"/>
    </row>
    <row r="1471" customFormat="false" ht="15" hidden="false" customHeight="false" outlineLevel="0" collapsed="false">
      <c r="A1471" s="9" t="s">
        <v>1708</v>
      </c>
      <c r="B1471" s="9" t="s">
        <v>1658</v>
      </c>
      <c r="C1471" s="9" t="s">
        <v>1659</v>
      </c>
      <c r="D1471" s="9" t="s">
        <v>1215</v>
      </c>
      <c r="E1471" s="9" t="s">
        <v>1660</v>
      </c>
      <c r="F1471" s="9" t="s">
        <v>211</v>
      </c>
      <c r="G1471" s="9" t="s">
        <v>221</v>
      </c>
      <c r="H1471" s="9" t="n">
        <v>900</v>
      </c>
      <c r="I1471" s="29" t="n">
        <v>2.5</v>
      </c>
      <c r="J1471" s="9" t="n">
        <v>0</v>
      </c>
      <c r="K1471" s="30"/>
      <c r="L1471" s="30"/>
      <c r="M1471" s="30"/>
      <c r="N1471" s="30"/>
      <c r="O1471" s="30"/>
      <c r="P1471" s="30"/>
      <c r="Q1471" s="30"/>
      <c r="R1471" s="30"/>
      <c r="S1471" s="30"/>
      <c r="T1471" s="30"/>
      <c r="U1471" s="21" t="str">
        <f aca="false">IF(COUNT(K1471:T1471)=0,"SOURCE EMPTY / INDUSTRIAL ONLY",IF(MIN(K1471:T1471)=1,"SERVICE READY","HOLD"))</f>
        <v>SOURCE EMPTY / INDUSTRIAL ONLY</v>
      </c>
      <c r="V1471" s="9" t="n">
        <f aca="false">IF(U1471="SERVICE READY",1,0)</f>
        <v>0</v>
      </c>
      <c r="W1471" s="6"/>
      <c r="X1471" s="6"/>
      <c r="Y1471" s="6"/>
      <c r="Z1471" s="6"/>
    </row>
    <row r="1472" customFormat="false" ht="15" hidden="false" customHeight="false" outlineLevel="0" collapsed="false">
      <c r="A1472" s="9" t="s">
        <v>1709</v>
      </c>
      <c r="B1472" s="9" t="s">
        <v>1658</v>
      </c>
      <c r="C1472" s="9" t="s">
        <v>1659</v>
      </c>
      <c r="D1472" s="9" t="s">
        <v>1215</v>
      </c>
      <c r="E1472" s="9" t="s">
        <v>1660</v>
      </c>
      <c r="F1472" s="9" t="s">
        <v>197</v>
      </c>
      <c r="G1472" s="9" t="s">
        <v>221</v>
      </c>
      <c r="H1472" s="9" t="n">
        <v>900</v>
      </c>
      <c r="I1472" s="29" t="n">
        <v>2.5</v>
      </c>
      <c r="J1472" s="9" t="n">
        <v>0</v>
      </c>
      <c r="K1472" s="30"/>
      <c r="L1472" s="30"/>
      <c r="M1472" s="30"/>
      <c r="N1472" s="30"/>
      <c r="O1472" s="30"/>
      <c r="P1472" s="30"/>
      <c r="Q1472" s="30"/>
      <c r="R1472" s="30"/>
      <c r="S1472" s="30"/>
      <c r="T1472" s="30"/>
      <c r="U1472" s="21" t="str">
        <f aca="false">IF(COUNT(K1472:T1472)=0,"SOURCE EMPTY / INDUSTRIAL ONLY",IF(MIN(K1472:T1472)=1,"SERVICE READY","HOLD"))</f>
        <v>SOURCE EMPTY / INDUSTRIAL ONLY</v>
      </c>
      <c r="V1472" s="9" t="n">
        <f aca="false">IF(U1472="SERVICE READY",1,0)</f>
        <v>0</v>
      </c>
      <c r="W1472" s="6"/>
      <c r="X1472" s="6"/>
      <c r="Y1472" s="6"/>
      <c r="Z1472" s="6"/>
    </row>
    <row r="1473" customFormat="false" ht="15" hidden="false" customHeight="false" outlineLevel="0" collapsed="false">
      <c r="A1473" s="9" t="s">
        <v>1710</v>
      </c>
      <c r="B1473" s="9" t="s">
        <v>1658</v>
      </c>
      <c r="C1473" s="9" t="s">
        <v>1659</v>
      </c>
      <c r="D1473" s="9" t="s">
        <v>1215</v>
      </c>
      <c r="E1473" s="9" t="s">
        <v>1660</v>
      </c>
      <c r="F1473" s="9" t="s">
        <v>200</v>
      </c>
      <c r="G1473" s="9" t="s">
        <v>221</v>
      </c>
      <c r="H1473" s="9" t="n">
        <v>900</v>
      </c>
      <c r="I1473" s="29" t="n">
        <v>2.5</v>
      </c>
      <c r="J1473" s="9" t="n">
        <v>0</v>
      </c>
      <c r="K1473" s="30"/>
      <c r="L1473" s="30"/>
      <c r="M1473" s="30"/>
      <c r="N1473" s="30"/>
      <c r="O1473" s="30"/>
      <c r="P1473" s="30"/>
      <c r="Q1473" s="30"/>
      <c r="R1473" s="30"/>
      <c r="S1473" s="30"/>
      <c r="T1473" s="30"/>
      <c r="U1473" s="21" t="str">
        <f aca="false">IF(COUNT(K1473:T1473)=0,"SOURCE EMPTY / INDUSTRIAL ONLY",IF(MIN(K1473:T1473)=1,"SERVICE READY","HOLD"))</f>
        <v>SOURCE EMPTY / INDUSTRIAL ONLY</v>
      </c>
      <c r="V1473" s="9" t="n">
        <f aca="false">IF(U1473="SERVICE READY",1,0)</f>
        <v>0</v>
      </c>
      <c r="W1473" s="6"/>
      <c r="X1473" s="6"/>
      <c r="Y1473" s="6"/>
      <c r="Z1473" s="6"/>
    </row>
    <row r="1474" customFormat="false" ht="15" hidden="false" customHeight="false" outlineLevel="0" collapsed="false">
      <c r="A1474" s="9" t="s">
        <v>1711</v>
      </c>
      <c r="B1474" s="9" t="s">
        <v>1658</v>
      </c>
      <c r="C1474" s="9" t="s">
        <v>1659</v>
      </c>
      <c r="D1474" s="9" t="s">
        <v>1215</v>
      </c>
      <c r="E1474" s="9" t="s">
        <v>1660</v>
      </c>
      <c r="F1474" s="9" t="s">
        <v>203</v>
      </c>
      <c r="G1474" s="9" t="s">
        <v>221</v>
      </c>
      <c r="H1474" s="9" t="n">
        <v>900</v>
      </c>
      <c r="I1474" s="29" t="n">
        <v>2.5</v>
      </c>
      <c r="J1474" s="9" t="n">
        <v>0</v>
      </c>
      <c r="K1474" s="30"/>
      <c r="L1474" s="30"/>
      <c r="M1474" s="30"/>
      <c r="N1474" s="30"/>
      <c r="O1474" s="30"/>
      <c r="P1474" s="30"/>
      <c r="Q1474" s="30"/>
      <c r="R1474" s="30"/>
      <c r="S1474" s="30"/>
      <c r="T1474" s="30"/>
      <c r="U1474" s="21" t="str">
        <f aca="false">IF(COUNT(K1474:T1474)=0,"SOURCE EMPTY / INDUSTRIAL ONLY",IF(MIN(K1474:T1474)=1,"SERVICE READY","HOLD"))</f>
        <v>SOURCE EMPTY / INDUSTRIAL ONLY</v>
      </c>
      <c r="V1474" s="9" t="n">
        <f aca="false">IF(U1474="SERVICE READY",1,0)</f>
        <v>0</v>
      </c>
      <c r="W1474" s="6"/>
      <c r="X1474" s="6"/>
      <c r="Y1474" s="6"/>
      <c r="Z1474" s="6"/>
    </row>
    <row r="1475" customFormat="false" ht="15" hidden="false" customHeight="false" outlineLevel="0" collapsed="false">
      <c r="A1475" s="9" t="s">
        <v>1712</v>
      </c>
      <c r="B1475" s="9" t="s">
        <v>1658</v>
      </c>
      <c r="C1475" s="9" t="s">
        <v>1659</v>
      </c>
      <c r="D1475" s="9" t="s">
        <v>1215</v>
      </c>
      <c r="E1475" s="9" t="s">
        <v>1660</v>
      </c>
      <c r="F1475" s="9" t="s">
        <v>205</v>
      </c>
      <c r="G1475" s="9" t="s">
        <v>221</v>
      </c>
      <c r="H1475" s="9" t="n">
        <v>900</v>
      </c>
      <c r="I1475" s="29" t="n">
        <v>2.5</v>
      </c>
      <c r="J1475" s="9" t="n">
        <v>0</v>
      </c>
      <c r="K1475" s="30"/>
      <c r="L1475" s="30"/>
      <c r="M1475" s="30"/>
      <c r="N1475" s="30"/>
      <c r="O1475" s="30"/>
      <c r="P1475" s="30"/>
      <c r="Q1475" s="30"/>
      <c r="R1475" s="30"/>
      <c r="S1475" s="30"/>
      <c r="T1475" s="30"/>
      <c r="U1475" s="21" t="str">
        <f aca="false">IF(COUNT(K1475:T1475)=0,"SOURCE EMPTY / INDUSTRIAL ONLY",IF(MIN(K1475:T1475)=1,"SERVICE READY","HOLD"))</f>
        <v>SOURCE EMPTY / INDUSTRIAL ONLY</v>
      </c>
      <c r="V1475" s="9" t="n">
        <f aca="false">IF(U1475="SERVICE READY",1,0)</f>
        <v>0</v>
      </c>
      <c r="W1475" s="6"/>
      <c r="X1475" s="6"/>
      <c r="Y1475" s="6"/>
      <c r="Z1475" s="6"/>
    </row>
    <row r="1476" customFormat="false" ht="15" hidden="false" customHeight="false" outlineLevel="0" collapsed="false">
      <c r="A1476" s="9" t="s">
        <v>1713</v>
      </c>
      <c r="B1476" s="9" t="s">
        <v>1658</v>
      </c>
      <c r="C1476" s="9" t="s">
        <v>1659</v>
      </c>
      <c r="D1476" s="9" t="s">
        <v>1215</v>
      </c>
      <c r="E1476" s="9" t="s">
        <v>1660</v>
      </c>
      <c r="F1476" s="9" t="s">
        <v>207</v>
      </c>
      <c r="G1476" s="9" t="s">
        <v>221</v>
      </c>
      <c r="H1476" s="9" t="n">
        <v>900</v>
      </c>
      <c r="I1476" s="29" t="n">
        <v>2.5</v>
      </c>
      <c r="J1476" s="9" t="n">
        <v>0</v>
      </c>
      <c r="K1476" s="30"/>
      <c r="L1476" s="30"/>
      <c r="M1476" s="30"/>
      <c r="N1476" s="30"/>
      <c r="O1476" s="30"/>
      <c r="P1476" s="30"/>
      <c r="Q1476" s="30"/>
      <c r="R1476" s="30"/>
      <c r="S1476" s="30"/>
      <c r="T1476" s="30"/>
      <c r="U1476" s="21" t="str">
        <f aca="false">IF(COUNT(K1476:T1476)=0,"SOURCE EMPTY / INDUSTRIAL ONLY",IF(MIN(K1476:T1476)=1,"SERVICE READY","HOLD"))</f>
        <v>SOURCE EMPTY / INDUSTRIAL ONLY</v>
      </c>
      <c r="V1476" s="9" t="n">
        <f aca="false">IF(U1476="SERVICE READY",1,0)</f>
        <v>0</v>
      </c>
      <c r="W1476" s="6"/>
      <c r="X1476" s="6"/>
      <c r="Y1476" s="6"/>
      <c r="Z1476" s="6"/>
    </row>
    <row r="1477" customFormat="false" ht="15" hidden="false" customHeight="false" outlineLevel="0" collapsed="false">
      <c r="A1477" s="9" t="s">
        <v>1714</v>
      </c>
      <c r="B1477" s="9" t="s">
        <v>1658</v>
      </c>
      <c r="C1477" s="9" t="s">
        <v>1659</v>
      </c>
      <c r="D1477" s="9" t="s">
        <v>1215</v>
      </c>
      <c r="E1477" s="9" t="s">
        <v>1660</v>
      </c>
      <c r="F1477" s="9" t="s">
        <v>209</v>
      </c>
      <c r="G1477" s="9" t="s">
        <v>221</v>
      </c>
      <c r="H1477" s="9" t="n">
        <v>900</v>
      </c>
      <c r="I1477" s="29" t="n">
        <v>2.5</v>
      </c>
      <c r="J1477" s="9" t="n">
        <v>0</v>
      </c>
      <c r="K1477" s="30"/>
      <c r="L1477" s="30"/>
      <c r="M1477" s="30"/>
      <c r="N1477" s="30"/>
      <c r="O1477" s="30"/>
      <c r="P1477" s="30"/>
      <c r="Q1477" s="30"/>
      <c r="R1477" s="30"/>
      <c r="S1477" s="30"/>
      <c r="T1477" s="30"/>
      <c r="U1477" s="21" t="str">
        <f aca="false">IF(COUNT(K1477:T1477)=0,"SOURCE EMPTY / INDUSTRIAL ONLY",IF(MIN(K1477:T1477)=1,"SERVICE READY","HOLD"))</f>
        <v>SOURCE EMPTY / INDUSTRIAL ONLY</v>
      </c>
      <c r="V1477" s="9" t="n">
        <f aca="false">IF(U1477="SERVICE READY",1,0)</f>
        <v>0</v>
      </c>
      <c r="W1477" s="6"/>
      <c r="X1477" s="6"/>
      <c r="Y1477" s="6"/>
      <c r="Z1477" s="6"/>
    </row>
    <row r="1478" customFormat="false" ht="15" hidden="false" customHeight="false" outlineLevel="0" collapsed="false">
      <c r="A1478" s="9" t="s">
        <v>1715</v>
      </c>
      <c r="B1478" s="9" t="s">
        <v>1658</v>
      </c>
      <c r="C1478" s="9" t="s">
        <v>1659</v>
      </c>
      <c r="D1478" s="9" t="s">
        <v>1215</v>
      </c>
      <c r="E1478" s="9" t="s">
        <v>1660</v>
      </c>
      <c r="F1478" s="9" t="s">
        <v>211</v>
      </c>
      <c r="G1478" s="9" t="s">
        <v>221</v>
      </c>
      <c r="H1478" s="9" t="n">
        <v>900</v>
      </c>
      <c r="I1478" s="29" t="n">
        <v>2.5</v>
      </c>
      <c r="J1478" s="9" t="n">
        <v>0</v>
      </c>
      <c r="K1478" s="30"/>
      <c r="L1478" s="30"/>
      <c r="M1478" s="30"/>
      <c r="N1478" s="30"/>
      <c r="O1478" s="30"/>
      <c r="P1478" s="30"/>
      <c r="Q1478" s="30"/>
      <c r="R1478" s="30"/>
      <c r="S1478" s="30"/>
      <c r="T1478" s="30"/>
      <c r="U1478" s="21" t="str">
        <f aca="false">IF(COUNT(K1478:T1478)=0,"SOURCE EMPTY / INDUSTRIAL ONLY",IF(MIN(K1478:T1478)=1,"SERVICE READY","HOLD"))</f>
        <v>SOURCE EMPTY / INDUSTRIAL ONLY</v>
      </c>
      <c r="V1478" s="9" t="n">
        <f aca="false">IF(U1478="SERVICE READY",1,0)</f>
        <v>0</v>
      </c>
      <c r="W1478" s="6"/>
      <c r="X1478" s="6"/>
      <c r="Y1478" s="6"/>
      <c r="Z1478" s="6"/>
    </row>
    <row r="1479" customFormat="false" ht="15" hidden="false" customHeight="false" outlineLevel="0" collapsed="false">
      <c r="A1479" s="9" t="s">
        <v>1716</v>
      </c>
      <c r="B1479" s="9" t="s">
        <v>1658</v>
      </c>
      <c r="C1479" s="9" t="s">
        <v>1659</v>
      </c>
      <c r="D1479" s="9" t="s">
        <v>1215</v>
      </c>
      <c r="E1479" s="9" t="s">
        <v>1660</v>
      </c>
      <c r="F1479" s="9" t="s">
        <v>197</v>
      </c>
      <c r="G1479" s="9" t="s">
        <v>221</v>
      </c>
      <c r="H1479" s="9" t="n">
        <v>900</v>
      </c>
      <c r="I1479" s="29" t="n">
        <v>2.5</v>
      </c>
      <c r="J1479" s="9" t="n">
        <v>0</v>
      </c>
      <c r="K1479" s="30"/>
      <c r="L1479" s="30"/>
      <c r="M1479" s="30"/>
      <c r="N1479" s="30"/>
      <c r="O1479" s="30"/>
      <c r="P1479" s="30"/>
      <c r="Q1479" s="30"/>
      <c r="R1479" s="30"/>
      <c r="S1479" s="30"/>
      <c r="T1479" s="30"/>
      <c r="U1479" s="21" t="str">
        <f aca="false">IF(COUNT(K1479:T1479)=0,"SOURCE EMPTY / INDUSTRIAL ONLY",IF(MIN(K1479:T1479)=1,"SERVICE READY","HOLD"))</f>
        <v>SOURCE EMPTY / INDUSTRIAL ONLY</v>
      </c>
      <c r="V1479" s="9" t="n">
        <f aca="false">IF(U1479="SERVICE READY",1,0)</f>
        <v>0</v>
      </c>
      <c r="W1479" s="6"/>
      <c r="X1479" s="6"/>
      <c r="Y1479" s="6"/>
      <c r="Z1479" s="6"/>
    </row>
    <row r="1480" customFormat="false" ht="15" hidden="false" customHeight="false" outlineLevel="0" collapsed="false">
      <c r="A1480" s="9" t="s">
        <v>1717</v>
      </c>
      <c r="B1480" s="9" t="s">
        <v>1658</v>
      </c>
      <c r="C1480" s="9" t="s">
        <v>1659</v>
      </c>
      <c r="D1480" s="9" t="s">
        <v>1215</v>
      </c>
      <c r="E1480" s="9" t="s">
        <v>1660</v>
      </c>
      <c r="F1480" s="9" t="s">
        <v>200</v>
      </c>
      <c r="G1480" s="9" t="s">
        <v>221</v>
      </c>
      <c r="H1480" s="9" t="n">
        <v>900</v>
      </c>
      <c r="I1480" s="29" t="n">
        <v>2.5</v>
      </c>
      <c r="J1480" s="9" t="n">
        <v>0</v>
      </c>
      <c r="K1480" s="30"/>
      <c r="L1480" s="30"/>
      <c r="M1480" s="30"/>
      <c r="N1480" s="30"/>
      <c r="O1480" s="30"/>
      <c r="P1480" s="30"/>
      <c r="Q1480" s="30"/>
      <c r="R1480" s="30"/>
      <c r="S1480" s="30"/>
      <c r="T1480" s="30"/>
      <c r="U1480" s="21" t="str">
        <f aca="false">IF(COUNT(K1480:T1480)=0,"SOURCE EMPTY / INDUSTRIAL ONLY",IF(MIN(K1480:T1480)=1,"SERVICE READY","HOLD"))</f>
        <v>SOURCE EMPTY / INDUSTRIAL ONLY</v>
      </c>
      <c r="V1480" s="9" t="n">
        <f aca="false">IF(U1480="SERVICE READY",1,0)</f>
        <v>0</v>
      </c>
      <c r="W1480" s="6"/>
      <c r="X1480" s="6"/>
      <c r="Y1480" s="6"/>
      <c r="Z1480" s="6"/>
    </row>
    <row r="1481" customFormat="false" ht="15" hidden="false" customHeight="false" outlineLevel="0" collapsed="false">
      <c r="A1481" s="9" t="s">
        <v>1718</v>
      </c>
      <c r="B1481" s="9" t="s">
        <v>1658</v>
      </c>
      <c r="C1481" s="9" t="s">
        <v>1659</v>
      </c>
      <c r="D1481" s="9" t="s">
        <v>1215</v>
      </c>
      <c r="E1481" s="9" t="s">
        <v>1660</v>
      </c>
      <c r="F1481" s="9" t="s">
        <v>203</v>
      </c>
      <c r="G1481" s="9" t="s">
        <v>221</v>
      </c>
      <c r="H1481" s="9" t="n">
        <v>900</v>
      </c>
      <c r="I1481" s="29" t="n">
        <v>2.5</v>
      </c>
      <c r="J1481" s="9" t="n">
        <v>0</v>
      </c>
      <c r="K1481" s="30"/>
      <c r="L1481" s="30"/>
      <c r="M1481" s="30"/>
      <c r="N1481" s="30"/>
      <c r="O1481" s="30"/>
      <c r="P1481" s="30"/>
      <c r="Q1481" s="30"/>
      <c r="R1481" s="30"/>
      <c r="S1481" s="30"/>
      <c r="T1481" s="30"/>
      <c r="U1481" s="21" t="str">
        <f aca="false">IF(COUNT(K1481:T1481)=0,"SOURCE EMPTY / INDUSTRIAL ONLY",IF(MIN(K1481:T1481)=1,"SERVICE READY","HOLD"))</f>
        <v>SOURCE EMPTY / INDUSTRIAL ONLY</v>
      </c>
      <c r="V1481" s="9" t="n">
        <f aca="false">IF(U1481="SERVICE READY",1,0)</f>
        <v>0</v>
      </c>
      <c r="W1481" s="6"/>
      <c r="X1481" s="6"/>
      <c r="Y1481" s="6"/>
      <c r="Z1481" s="6"/>
    </row>
    <row r="1482" customFormat="false" ht="15" hidden="false" customHeight="false" outlineLevel="0" collapsed="false">
      <c r="A1482" s="9" t="s">
        <v>1719</v>
      </c>
      <c r="B1482" s="9" t="s">
        <v>1658</v>
      </c>
      <c r="C1482" s="9" t="s">
        <v>1659</v>
      </c>
      <c r="D1482" s="9" t="s">
        <v>1215</v>
      </c>
      <c r="E1482" s="9" t="s">
        <v>1660</v>
      </c>
      <c r="F1482" s="9" t="s">
        <v>205</v>
      </c>
      <c r="G1482" s="9" t="s">
        <v>221</v>
      </c>
      <c r="H1482" s="9" t="n">
        <v>900</v>
      </c>
      <c r="I1482" s="29" t="n">
        <v>2.5</v>
      </c>
      <c r="J1482" s="9" t="n">
        <v>0</v>
      </c>
      <c r="K1482" s="30"/>
      <c r="L1482" s="30"/>
      <c r="M1482" s="30"/>
      <c r="N1482" s="30"/>
      <c r="O1482" s="30"/>
      <c r="P1482" s="30"/>
      <c r="Q1482" s="30"/>
      <c r="R1482" s="30"/>
      <c r="S1482" s="30"/>
      <c r="T1482" s="30"/>
      <c r="U1482" s="21" t="str">
        <f aca="false">IF(COUNT(K1482:T1482)=0,"SOURCE EMPTY / INDUSTRIAL ONLY",IF(MIN(K1482:T1482)=1,"SERVICE READY","HOLD"))</f>
        <v>SOURCE EMPTY / INDUSTRIAL ONLY</v>
      </c>
      <c r="V1482" s="9" t="n">
        <f aca="false">IF(U1482="SERVICE READY",1,0)</f>
        <v>0</v>
      </c>
      <c r="W1482" s="6"/>
      <c r="X1482" s="6"/>
      <c r="Y1482" s="6"/>
      <c r="Z1482" s="6"/>
    </row>
    <row r="1483" customFormat="false" ht="15" hidden="false" customHeight="false" outlineLevel="0" collapsed="false">
      <c r="A1483" s="9" t="s">
        <v>1720</v>
      </c>
      <c r="B1483" s="9" t="s">
        <v>1658</v>
      </c>
      <c r="C1483" s="9" t="s">
        <v>1659</v>
      </c>
      <c r="D1483" s="9" t="s">
        <v>1215</v>
      </c>
      <c r="E1483" s="9" t="s">
        <v>1660</v>
      </c>
      <c r="F1483" s="9" t="s">
        <v>207</v>
      </c>
      <c r="G1483" s="9" t="s">
        <v>221</v>
      </c>
      <c r="H1483" s="9" t="n">
        <v>900</v>
      </c>
      <c r="I1483" s="29" t="n">
        <v>2.5</v>
      </c>
      <c r="J1483" s="9" t="n">
        <v>0</v>
      </c>
      <c r="K1483" s="30"/>
      <c r="L1483" s="30"/>
      <c r="M1483" s="30"/>
      <c r="N1483" s="30"/>
      <c r="O1483" s="30"/>
      <c r="P1483" s="30"/>
      <c r="Q1483" s="30"/>
      <c r="R1483" s="30"/>
      <c r="S1483" s="30"/>
      <c r="T1483" s="30"/>
      <c r="U1483" s="21" t="str">
        <f aca="false">IF(COUNT(K1483:T1483)=0,"SOURCE EMPTY / INDUSTRIAL ONLY",IF(MIN(K1483:T1483)=1,"SERVICE READY","HOLD"))</f>
        <v>SOURCE EMPTY / INDUSTRIAL ONLY</v>
      </c>
      <c r="V1483" s="9" t="n">
        <f aca="false">IF(U1483="SERVICE READY",1,0)</f>
        <v>0</v>
      </c>
      <c r="W1483" s="6"/>
      <c r="X1483" s="6"/>
      <c r="Y1483" s="6"/>
      <c r="Z1483" s="6"/>
    </row>
    <row r="1484" customFormat="false" ht="15" hidden="false" customHeight="false" outlineLevel="0" collapsed="false">
      <c r="A1484" s="9" t="s">
        <v>1721</v>
      </c>
      <c r="B1484" s="9" t="s">
        <v>1658</v>
      </c>
      <c r="C1484" s="9" t="s">
        <v>1659</v>
      </c>
      <c r="D1484" s="9" t="s">
        <v>1215</v>
      </c>
      <c r="E1484" s="9" t="s">
        <v>1660</v>
      </c>
      <c r="F1484" s="9" t="s">
        <v>209</v>
      </c>
      <c r="G1484" s="9" t="s">
        <v>221</v>
      </c>
      <c r="H1484" s="9" t="n">
        <v>900</v>
      </c>
      <c r="I1484" s="29" t="n">
        <v>2.5</v>
      </c>
      <c r="J1484" s="9" t="n">
        <v>0</v>
      </c>
      <c r="K1484" s="30"/>
      <c r="L1484" s="30"/>
      <c r="M1484" s="30"/>
      <c r="N1484" s="30"/>
      <c r="O1484" s="30"/>
      <c r="P1484" s="30"/>
      <c r="Q1484" s="30"/>
      <c r="R1484" s="30"/>
      <c r="S1484" s="30"/>
      <c r="T1484" s="30"/>
      <c r="U1484" s="21" t="str">
        <f aca="false">IF(COUNT(K1484:T1484)=0,"SOURCE EMPTY / INDUSTRIAL ONLY",IF(MIN(K1484:T1484)=1,"SERVICE READY","HOLD"))</f>
        <v>SOURCE EMPTY / INDUSTRIAL ONLY</v>
      </c>
      <c r="V1484" s="9" t="n">
        <f aca="false">IF(U1484="SERVICE READY",1,0)</f>
        <v>0</v>
      </c>
      <c r="W1484" s="6"/>
      <c r="X1484" s="6"/>
      <c r="Y1484" s="6"/>
      <c r="Z1484" s="6"/>
    </row>
    <row r="1485" customFormat="false" ht="15" hidden="false" customHeight="false" outlineLevel="0" collapsed="false">
      <c r="A1485" s="9" t="s">
        <v>1722</v>
      </c>
      <c r="B1485" s="9" t="s">
        <v>1658</v>
      </c>
      <c r="C1485" s="9" t="s">
        <v>1659</v>
      </c>
      <c r="D1485" s="9" t="s">
        <v>1215</v>
      </c>
      <c r="E1485" s="9" t="s">
        <v>1660</v>
      </c>
      <c r="F1485" s="9" t="s">
        <v>211</v>
      </c>
      <c r="G1485" s="9" t="s">
        <v>221</v>
      </c>
      <c r="H1485" s="9" t="n">
        <v>900</v>
      </c>
      <c r="I1485" s="29" t="n">
        <v>2.5</v>
      </c>
      <c r="J1485" s="9" t="n">
        <v>0</v>
      </c>
      <c r="K1485" s="30"/>
      <c r="L1485" s="30"/>
      <c r="M1485" s="30"/>
      <c r="N1485" s="30"/>
      <c r="O1485" s="30"/>
      <c r="P1485" s="30"/>
      <c r="Q1485" s="30"/>
      <c r="R1485" s="30"/>
      <c r="S1485" s="30"/>
      <c r="T1485" s="30"/>
      <c r="U1485" s="21" t="str">
        <f aca="false">IF(COUNT(K1485:T1485)=0,"SOURCE EMPTY / INDUSTRIAL ONLY",IF(MIN(K1485:T1485)=1,"SERVICE READY","HOLD"))</f>
        <v>SOURCE EMPTY / INDUSTRIAL ONLY</v>
      </c>
      <c r="V1485" s="9" t="n">
        <f aca="false">IF(U1485="SERVICE READY",1,0)</f>
        <v>0</v>
      </c>
      <c r="W1485" s="6"/>
      <c r="X1485" s="6"/>
      <c r="Y1485" s="6"/>
      <c r="Z1485" s="6"/>
    </row>
    <row r="1486" customFormat="false" ht="15" hidden="false" customHeight="false" outlineLevel="0" collapsed="false">
      <c r="A1486" s="9" t="s">
        <v>1723</v>
      </c>
      <c r="B1486" s="9" t="s">
        <v>1658</v>
      </c>
      <c r="C1486" s="9" t="s">
        <v>1659</v>
      </c>
      <c r="D1486" s="9" t="s">
        <v>1215</v>
      </c>
      <c r="E1486" s="9" t="s">
        <v>1660</v>
      </c>
      <c r="F1486" s="9" t="s">
        <v>197</v>
      </c>
      <c r="G1486" s="9" t="s">
        <v>221</v>
      </c>
      <c r="H1486" s="9" t="n">
        <v>900</v>
      </c>
      <c r="I1486" s="29" t="n">
        <v>2.5</v>
      </c>
      <c r="J1486" s="9" t="n">
        <v>0</v>
      </c>
      <c r="K1486" s="30"/>
      <c r="L1486" s="30"/>
      <c r="M1486" s="30"/>
      <c r="N1486" s="30"/>
      <c r="O1486" s="30"/>
      <c r="P1486" s="30"/>
      <c r="Q1486" s="30"/>
      <c r="R1486" s="30"/>
      <c r="S1486" s="30"/>
      <c r="T1486" s="30"/>
      <c r="U1486" s="21" t="str">
        <f aca="false">IF(COUNT(K1486:T1486)=0,"SOURCE EMPTY / INDUSTRIAL ONLY",IF(MIN(K1486:T1486)=1,"SERVICE READY","HOLD"))</f>
        <v>SOURCE EMPTY / INDUSTRIAL ONLY</v>
      </c>
      <c r="V1486" s="9" t="n">
        <f aca="false">IF(U1486="SERVICE READY",1,0)</f>
        <v>0</v>
      </c>
      <c r="W1486" s="6"/>
      <c r="X1486" s="6"/>
      <c r="Y1486" s="6"/>
      <c r="Z1486" s="6"/>
    </row>
    <row r="1487" customFormat="false" ht="15" hidden="false" customHeight="false" outlineLevel="0" collapsed="false">
      <c r="A1487" s="9" t="s">
        <v>1724</v>
      </c>
      <c r="B1487" s="9" t="s">
        <v>1658</v>
      </c>
      <c r="C1487" s="9" t="s">
        <v>1659</v>
      </c>
      <c r="D1487" s="9" t="s">
        <v>1215</v>
      </c>
      <c r="E1487" s="9" t="s">
        <v>1660</v>
      </c>
      <c r="F1487" s="9" t="s">
        <v>200</v>
      </c>
      <c r="G1487" s="9" t="s">
        <v>221</v>
      </c>
      <c r="H1487" s="9" t="n">
        <v>900</v>
      </c>
      <c r="I1487" s="29" t="n">
        <v>2.5</v>
      </c>
      <c r="J1487" s="9" t="n">
        <v>0</v>
      </c>
      <c r="K1487" s="30"/>
      <c r="L1487" s="30"/>
      <c r="M1487" s="30"/>
      <c r="N1487" s="30"/>
      <c r="O1487" s="30"/>
      <c r="P1487" s="30"/>
      <c r="Q1487" s="30"/>
      <c r="R1487" s="30"/>
      <c r="S1487" s="30"/>
      <c r="T1487" s="30"/>
      <c r="U1487" s="21" t="str">
        <f aca="false">IF(COUNT(K1487:T1487)=0,"SOURCE EMPTY / INDUSTRIAL ONLY",IF(MIN(K1487:T1487)=1,"SERVICE READY","HOLD"))</f>
        <v>SOURCE EMPTY / INDUSTRIAL ONLY</v>
      </c>
      <c r="V1487" s="9" t="n">
        <f aca="false">IF(U1487="SERVICE READY",1,0)</f>
        <v>0</v>
      </c>
      <c r="W1487" s="6"/>
      <c r="X1487" s="6"/>
      <c r="Y1487" s="6"/>
      <c r="Z1487" s="6"/>
    </row>
    <row r="1488" customFormat="false" ht="15" hidden="false" customHeight="false" outlineLevel="0" collapsed="false">
      <c r="A1488" s="9" t="s">
        <v>1725</v>
      </c>
      <c r="B1488" s="9" t="s">
        <v>1658</v>
      </c>
      <c r="C1488" s="9" t="s">
        <v>1659</v>
      </c>
      <c r="D1488" s="9" t="s">
        <v>1215</v>
      </c>
      <c r="E1488" s="9" t="s">
        <v>1660</v>
      </c>
      <c r="F1488" s="9" t="s">
        <v>203</v>
      </c>
      <c r="G1488" s="9" t="s">
        <v>221</v>
      </c>
      <c r="H1488" s="9" t="n">
        <v>900</v>
      </c>
      <c r="I1488" s="29" t="n">
        <v>2.5</v>
      </c>
      <c r="J1488" s="9" t="n">
        <v>0</v>
      </c>
      <c r="K1488" s="30"/>
      <c r="L1488" s="30"/>
      <c r="M1488" s="30"/>
      <c r="N1488" s="30"/>
      <c r="O1488" s="30"/>
      <c r="P1488" s="30"/>
      <c r="Q1488" s="30"/>
      <c r="R1488" s="30"/>
      <c r="S1488" s="30"/>
      <c r="T1488" s="30"/>
      <c r="U1488" s="21" t="str">
        <f aca="false">IF(COUNT(K1488:T1488)=0,"SOURCE EMPTY / INDUSTRIAL ONLY",IF(MIN(K1488:T1488)=1,"SERVICE READY","HOLD"))</f>
        <v>SOURCE EMPTY / INDUSTRIAL ONLY</v>
      </c>
      <c r="V1488" s="9" t="n">
        <f aca="false">IF(U1488="SERVICE READY",1,0)</f>
        <v>0</v>
      </c>
      <c r="W1488" s="6"/>
      <c r="X1488" s="6"/>
      <c r="Y1488" s="6"/>
      <c r="Z1488" s="6"/>
    </row>
    <row r="1489" customFormat="false" ht="15" hidden="false" customHeight="false" outlineLevel="0" collapsed="false">
      <c r="A1489" s="9" t="s">
        <v>1726</v>
      </c>
      <c r="B1489" s="9" t="s">
        <v>1658</v>
      </c>
      <c r="C1489" s="9" t="s">
        <v>1659</v>
      </c>
      <c r="D1489" s="9" t="s">
        <v>1215</v>
      </c>
      <c r="E1489" s="9" t="s">
        <v>1660</v>
      </c>
      <c r="F1489" s="9" t="s">
        <v>205</v>
      </c>
      <c r="G1489" s="9" t="s">
        <v>221</v>
      </c>
      <c r="H1489" s="9" t="n">
        <v>900</v>
      </c>
      <c r="I1489" s="29" t="n">
        <v>2.5</v>
      </c>
      <c r="J1489" s="9" t="n">
        <v>0</v>
      </c>
      <c r="K1489" s="30"/>
      <c r="L1489" s="30"/>
      <c r="M1489" s="30"/>
      <c r="N1489" s="30"/>
      <c r="O1489" s="30"/>
      <c r="P1489" s="30"/>
      <c r="Q1489" s="30"/>
      <c r="R1489" s="30"/>
      <c r="S1489" s="30"/>
      <c r="T1489" s="30"/>
      <c r="U1489" s="21" t="str">
        <f aca="false">IF(COUNT(K1489:T1489)=0,"SOURCE EMPTY / INDUSTRIAL ONLY",IF(MIN(K1489:T1489)=1,"SERVICE READY","HOLD"))</f>
        <v>SOURCE EMPTY / INDUSTRIAL ONLY</v>
      </c>
      <c r="V1489" s="9" t="n">
        <f aca="false">IF(U1489="SERVICE READY",1,0)</f>
        <v>0</v>
      </c>
      <c r="W1489" s="6"/>
      <c r="X1489" s="6"/>
      <c r="Y1489" s="6"/>
      <c r="Z1489" s="6"/>
    </row>
    <row r="1490" customFormat="false" ht="15" hidden="false" customHeight="false" outlineLevel="0" collapsed="false">
      <c r="A1490" s="9" t="s">
        <v>1727</v>
      </c>
      <c r="B1490" s="9" t="s">
        <v>1658</v>
      </c>
      <c r="C1490" s="9" t="s">
        <v>1659</v>
      </c>
      <c r="D1490" s="9" t="s">
        <v>1215</v>
      </c>
      <c r="E1490" s="9" t="s">
        <v>1660</v>
      </c>
      <c r="F1490" s="9" t="s">
        <v>207</v>
      </c>
      <c r="G1490" s="9" t="s">
        <v>221</v>
      </c>
      <c r="H1490" s="9" t="n">
        <v>900</v>
      </c>
      <c r="I1490" s="29" t="n">
        <v>2.5</v>
      </c>
      <c r="J1490" s="9" t="n">
        <v>0</v>
      </c>
      <c r="K1490" s="30"/>
      <c r="L1490" s="30"/>
      <c r="M1490" s="30"/>
      <c r="N1490" s="30"/>
      <c r="O1490" s="30"/>
      <c r="P1490" s="30"/>
      <c r="Q1490" s="30"/>
      <c r="R1490" s="30"/>
      <c r="S1490" s="30"/>
      <c r="T1490" s="30"/>
      <c r="U1490" s="21" t="str">
        <f aca="false">IF(COUNT(K1490:T1490)=0,"SOURCE EMPTY / INDUSTRIAL ONLY",IF(MIN(K1490:T1490)=1,"SERVICE READY","HOLD"))</f>
        <v>SOURCE EMPTY / INDUSTRIAL ONLY</v>
      </c>
      <c r="V1490" s="9" t="n">
        <f aca="false">IF(U1490="SERVICE READY",1,0)</f>
        <v>0</v>
      </c>
      <c r="W1490" s="6"/>
      <c r="X1490" s="6"/>
      <c r="Y1490" s="6"/>
      <c r="Z1490" s="6"/>
    </row>
    <row r="1491" customFormat="false" ht="15" hidden="false" customHeight="false" outlineLevel="0" collapsed="false">
      <c r="A1491" s="9" t="s">
        <v>1728</v>
      </c>
      <c r="B1491" s="9" t="s">
        <v>1658</v>
      </c>
      <c r="C1491" s="9" t="s">
        <v>1659</v>
      </c>
      <c r="D1491" s="9" t="s">
        <v>1215</v>
      </c>
      <c r="E1491" s="9" t="s">
        <v>1660</v>
      </c>
      <c r="F1491" s="9" t="s">
        <v>209</v>
      </c>
      <c r="G1491" s="9" t="s">
        <v>221</v>
      </c>
      <c r="H1491" s="9" t="n">
        <v>900</v>
      </c>
      <c r="I1491" s="29" t="n">
        <v>2.5</v>
      </c>
      <c r="J1491" s="9" t="n">
        <v>0</v>
      </c>
      <c r="K1491" s="30"/>
      <c r="L1491" s="30"/>
      <c r="M1491" s="30"/>
      <c r="N1491" s="30"/>
      <c r="O1491" s="30"/>
      <c r="P1491" s="30"/>
      <c r="Q1491" s="30"/>
      <c r="R1491" s="30"/>
      <c r="S1491" s="30"/>
      <c r="T1491" s="30"/>
      <c r="U1491" s="21" t="str">
        <f aca="false">IF(COUNT(K1491:T1491)=0,"SOURCE EMPTY / INDUSTRIAL ONLY",IF(MIN(K1491:T1491)=1,"SERVICE READY","HOLD"))</f>
        <v>SOURCE EMPTY / INDUSTRIAL ONLY</v>
      </c>
      <c r="V1491" s="9" t="n">
        <f aca="false">IF(U1491="SERVICE READY",1,0)</f>
        <v>0</v>
      </c>
      <c r="W1491" s="6"/>
      <c r="X1491" s="6"/>
      <c r="Y1491" s="6"/>
      <c r="Z1491" s="6"/>
    </row>
    <row r="1492" customFormat="false" ht="15" hidden="false" customHeight="false" outlineLevel="0" collapsed="false">
      <c r="A1492" s="9" t="s">
        <v>1729</v>
      </c>
      <c r="B1492" s="9" t="s">
        <v>1658</v>
      </c>
      <c r="C1492" s="9" t="s">
        <v>1659</v>
      </c>
      <c r="D1492" s="9" t="s">
        <v>1215</v>
      </c>
      <c r="E1492" s="9" t="s">
        <v>1660</v>
      </c>
      <c r="F1492" s="9" t="s">
        <v>211</v>
      </c>
      <c r="G1492" s="9" t="s">
        <v>221</v>
      </c>
      <c r="H1492" s="9" t="n">
        <v>900</v>
      </c>
      <c r="I1492" s="29" t="n">
        <v>2.5</v>
      </c>
      <c r="J1492" s="9" t="n">
        <v>0</v>
      </c>
      <c r="K1492" s="30"/>
      <c r="L1492" s="30"/>
      <c r="M1492" s="30"/>
      <c r="N1492" s="30"/>
      <c r="O1492" s="30"/>
      <c r="P1492" s="30"/>
      <c r="Q1492" s="30"/>
      <c r="R1492" s="30"/>
      <c r="S1492" s="30"/>
      <c r="T1492" s="30"/>
      <c r="U1492" s="21" t="str">
        <f aca="false">IF(COUNT(K1492:T1492)=0,"SOURCE EMPTY / INDUSTRIAL ONLY",IF(MIN(K1492:T1492)=1,"SERVICE READY","HOLD"))</f>
        <v>SOURCE EMPTY / INDUSTRIAL ONLY</v>
      </c>
      <c r="V1492" s="9" t="n">
        <f aca="false">IF(U1492="SERVICE READY",1,0)</f>
        <v>0</v>
      </c>
      <c r="W1492" s="6"/>
      <c r="X1492" s="6"/>
      <c r="Y1492" s="6"/>
      <c r="Z1492" s="6"/>
    </row>
    <row r="1493" customFormat="false" ht="15" hidden="false" customHeight="false" outlineLevel="0" collapsed="false">
      <c r="A1493" s="9" t="s">
        <v>1730</v>
      </c>
      <c r="B1493" s="9" t="s">
        <v>1658</v>
      </c>
      <c r="C1493" s="9" t="s">
        <v>1659</v>
      </c>
      <c r="D1493" s="9" t="s">
        <v>1215</v>
      </c>
      <c r="E1493" s="9" t="s">
        <v>1660</v>
      </c>
      <c r="F1493" s="9" t="s">
        <v>197</v>
      </c>
      <c r="G1493" s="9" t="s">
        <v>221</v>
      </c>
      <c r="H1493" s="9" t="n">
        <v>900</v>
      </c>
      <c r="I1493" s="29" t="n">
        <v>2.5</v>
      </c>
      <c r="J1493" s="9" t="n">
        <v>0</v>
      </c>
      <c r="K1493" s="30"/>
      <c r="L1493" s="30"/>
      <c r="M1493" s="30"/>
      <c r="N1493" s="30"/>
      <c r="O1493" s="30"/>
      <c r="P1493" s="30"/>
      <c r="Q1493" s="30"/>
      <c r="R1493" s="30"/>
      <c r="S1493" s="30"/>
      <c r="T1493" s="30"/>
      <c r="U1493" s="21" t="str">
        <f aca="false">IF(COUNT(K1493:T1493)=0,"SOURCE EMPTY / INDUSTRIAL ONLY",IF(MIN(K1493:T1493)=1,"SERVICE READY","HOLD"))</f>
        <v>SOURCE EMPTY / INDUSTRIAL ONLY</v>
      </c>
      <c r="V1493" s="9" t="n">
        <f aca="false">IF(U1493="SERVICE READY",1,0)</f>
        <v>0</v>
      </c>
      <c r="W1493" s="6"/>
      <c r="X1493" s="6"/>
      <c r="Y1493" s="6"/>
      <c r="Z1493" s="6"/>
    </row>
    <row r="1494" customFormat="false" ht="15" hidden="false" customHeight="false" outlineLevel="0" collapsed="false">
      <c r="A1494" s="9" t="s">
        <v>1731</v>
      </c>
      <c r="B1494" s="9" t="s">
        <v>1658</v>
      </c>
      <c r="C1494" s="9" t="s">
        <v>1659</v>
      </c>
      <c r="D1494" s="9" t="s">
        <v>1215</v>
      </c>
      <c r="E1494" s="9" t="s">
        <v>1660</v>
      </c>
      <c r="F1494" s="9" t="s">
        <v>200</v>
      </c>
      <c r="G1494" s="9" t="s">
        <v>221</v>
      </c>
      <c r="H1494" s="9" t="n">
        <v>900</v>
      </c>
      <c r="I1494" s="29" t="n">
        <v>2.5</v>
      </c>
      <c r="J1494" s="9" t="n">
        <v>0</v>
      </c>
      <c r="K1494" s="30"/>
      <c r="L1494" s="30"/>
      <c r="M1494" s="30"/>
      <c r="N1494" s="30"/>
      <c r="O1494" s="30"/>
      <c r="P1494" s="30"/>
      <c r="Q1494" s="30"/>
      <c r="R1494" s="30"/>
      <c r="S1494" s="30"/>
      <c r="T1494" s="30"/>
      <c r="U1494" s="21" t="str">
        <f aca="false">IF(COUNT(K1494:T1494)=0,"SOURCE EMPTY / INDUSTRIAL ONLY",IF(MIN(K1494:T1494)=1,"SERVICE READY","HOLD"))</f>
        <v>SOURCE EMPTY / INDUSTRIAL ONLY</v>
      </c>
      <c r="V1494" s="9" t="n">
        <f aca="false">IF(U1494="SERVICE READY",1,0)</f>
        <v>0</v>
      </c>
      <c r="W1494" s="6"/>
      <c r="X1494" s="6"/>
      <c r="Y1494" s="6"/>
      <c r="Z1494" s="6"/>
    </row>
    <row r="1495" customFormat="false" ht="15" hidden="false" customHeight="false" outlineLevel="0" collapsed="false">
      <c r="A1495" s="9" t="s">
        <v>1732</v>
      </c>
      <c r="B1495" s="9" t="s">
        <v>1733</v>
      </c>
      <c r="C1495" s="9" t="s">
        <v>1734</v>
      </c>
      <c r="D1495" s="9" t="s">
        <v>1735</v>
      </c>
      <c r="E1495" s="9" t="s">
        <v>275</v>
      </c>
      <c r="F1495" s="9" t="s">
        <v>197</v>
      </c>
      <c r="G1495" s="9" t="s">
        <v>198</v>
      </c>
      <c r="H1495" s="9" t="n">
        <v>1350</v>
      </c>
      <c r="I1495" s="29" t="n">
        <v>3</v>
      </c>
      <c r="J1495" s="9" t="n">
        <v>1</v>
      </c>
      <c r="K1495" s="30"/>
      <c r="L1495" s="30"/>
      <c r="M1495" s="30"/>
      <c r="N1495" s="30"/>
      <c r="O1495" s="30"/>
      <c r="P1495" s="30"/>
      <c r="Q1495" s="30"/>
      <c r="R1495" s="30"/>
      <c r="S1495" s="30"/>
      <c r="T1495" s="30"/>
      <c r="U1495" s="21" t="str">
        <f aca="false">IF(COUNT(K1495:T1495)=0,"SOURCE EMPTY / INDUSTRIAL ONLY",IF(MIN(K1495:T1495)=1,"SERVICE READY","HOLD"))</f>
        <v>SOURCE EMPTY / INDUSTRIAL ONLY</v>
      </c>
      <c r="V1495" s="9" t="n">
        <f aca="false">IF(U1495="SERVICE READY",1,0)</f>
        <v>0</v>
      </c>
      <c r="W1495" s="6"/>
      <c r="X1495" s="6"/>
      <c r="Y1495" s="6"/>
      <c r="Z1495" s="6"/>
    </row>
    <row r="1496" customFormat="false" ht="15" hidden="false" customHeight="false" outlineLevel="0" collapsed="false">
      <c r="A1496" s="9" t="s">
        <v>1736</v>
      </c>
      <c r="B1496" s="9" t="s">
        <v>1733</v>
      </c>
      <c r="C1496" s="9" t="s">
        <v>1734</v>
      </c>
      <c r="D1496" s="9" t="s">
        <v>1735</v>
      </c>
      <c r="E1496" s="9" t="s">
        <v>275</v>
      </c>
      <c r="F1496" s="9" t="s">
        <v>200</v>
      </c>
      <c r="G1496" s="9" t="s">
        <v>201</v>
      </c>
      <c r="H1496" s="9" t="n">
        <v>1350</v>
      </c>
      <c r="I1496" s="29" t="n">
        <v>3</v>
      </c>
      <c r="J1496" s="9" t="n">
        <v>1</v>
      </c>
      <c r="K1496" s="30"/>
      <c r="L1496" s="30"/>
      <c r="M1496" s="30"/>
      <c r="N1496" s="30"/>
      <c r="O1496" s="30"/>
      <c r="P1496" s="30"/>
      <c r="Q1496" s="30"/>
      <c r="R1496" s="30"/>
      <c r="S1496" s="30"/>
      <c r="T1496" s="30"/>
      <c r="U1496" s="21" t="str">
        <f aca="false">IF(COUNT(K1496:T1496)=0,"SOURCE EMPTY / INDUSTRIAL ONLY",IF(MIN(K1496:T1496)=1,"SERVICE READY","HOLD"))</f>
        <v>SOURCE EMPTY / INDUSTRIAL ONLY</v>
      </c>
      <c r="V1496" s="9" t="n">
        <f aca="false">IF(U1496="SERVICE READY",1,0)</f>
        <v>0</v>
      </c>
      <c r="W1496" s="6"/>
      <c r="X1496" s="6"/>
      <c r="Y1496" s="6"/>
      <c r="Z1496" s="6"/>
    </row>
    <row r="1497" customFormat="false" ht="15" hidden="false" customHeight="false" outlineLevel="0" collapsed="false">
      <c r="A1497" s="9" t="s">
        <v>1737</v>
      </c>
      <c r="B1497" s="9" t="s">
        <v>1733</v>
      </c>
      <c r="C1497" s="9" t="s">
        <v>1734</v>
      </c>
      <c r="D1497" s="9" t="s">
        <v>1735</v>
      </c>
      <c r="E1497" s="9" t="s">
        <v>275</v>
      </c>
      <c r="F1497" s="9" t="s">
        <v>203</v>
      </c>
      <c r="G1497" s="9" t="s">
        <v>198</v>
      </c>
      <c r="H1497" s="9" t="n">
        <v>1350</v>
      </c>
      <c r="I1497" s="29" t="n">
        <v>3</v>
      </c>
      <c r="J1497" s="9" t="n">
        <v>1</v>
      </c>
      <c r="K1497" s="30"/>
      <c r="L1497" s="30"/>
      <c r="M1497" s="30"/>
      <c r="N1497" s="30"/>
      <c r="O1497" s="30"/>
      <c r="P1497" s="30"/>
      <c r="Q1497" s="30"/>
      <c r="R1497" s="30"/>
      <c r="S1497" s="30"/>
      <c r="T1497" s="30"/>
      <c r="U1497" s="21" t="str">
        <f aca="false">IF(COUNT(K1497:T1497)=0,"SOURCE EMPTY / INDUSTRIAL ONLY",IF(MIN(K1497:T1497)=1,"SERVICE READY","HOLD"))</f>
        <v>SOURCE EMPTY / INDUSTRIAL ONLY</v>
      </c>
      <c r="V1497" s="9" t="n">
        <f aca="false">IF(U1497="SERVICE READY",1,0)</f>
        <v>0</v>
      </c>
      <c r="W1497" s="6"/>
      <c r="X1497" s="6"/>
      <c r="Y1497" s="6"/>
      <c r="Z1497" s="6"/>
    </row>
    <row r="1498" customFormat="false" ht="15" hidden="false" customHeight="false" outlineLevel="0" collapsed="false">
      <c r="A1498" s="9" t="s">
        <v>1738</v>
      </c>
      <c r="B1498" s="9" t="s">
        <v>1733</v>
      </c>
      <c r="C1498" s="9" t="s">
        <v>1734</v>
      </c>
      <c r="D1498" s="9" t="s">
        <v>1735</v>
      </c>
      <c r="E1498" s="9" t="s">
        <v>275</v>
      </c>
      <c r="F1498" s="9" t="s">
        <v>205</v>
      </c>
      <c r="G1498" s="9" t="s">
        <v>201</v>
      </c>
      <c r="H1498" s="9" t="n">
        <v>1350</v>
      </c>
      <c r="I1498" s="29" t="n">
        <v>3</v>
      </c>
      <c r="J1498" s="9" t="n">
        <v>1</v>
      </c>
      <c r="K1498" s="30"/>
      <c r="L1498" s="30"/>
      <c r="M1498" s="30"/>
      <c r="N1498" s="30"/>
      <c r="O1498" s="30"/>
      <c r="P1498" s="30"/>
      <c r="Q1498" s="30"/>
      <c r="R1498" s="30"/>
      <c r="S1498" s="30"/>
      <c r="T1498" s="30"/>
      <c r="U1498" s="21" t="str">
        <f aca="false">IF(COUNT(K1498:T1498)=0,"SOURCE EMPTY / INDUSTRIAL ONLY",IF(MIN(K1498:T1498)=1,"SERVICE READY","HOLD"))</f>
        <v>SOURCE EMPTY / INDUSTRIAL ONLY</v>
      </c>
      <c r="V1498" s="9" t="n">
        <f aca="false">IF(U1498="SERVICE READY",1,0)</f>
        <v>0</v>
      </c>
      <c r="W1498" s="6"/>
      <c r="X1498" s="6"/>
      <c r="Y1498" s="6"/>
      <c r="Z1498" s="6"/>
    </row>
    <row r="1499" customFormat="false" ht="15" hidden="false" customHeight="false" outlineLevel="0" collapsed="false">
      <c r="A1499" s="9" t="s">
        <v>1739</v>
      </c>
      <c r="B1499" s="9" t="s">
        <v>1733</v>
      </c>
      <c r="C1499" s="9" t="s">
        <v>1734</v>
      </c>
      <c r="D1499" s="9" t="s">
        <v>1735</v>
      </c>
      <c r="E1499" s="9" t="s">
        <v>275</v>
      </c>
      <c r="F1499" s="9" t="s">
        <v>207</v>
      </c>
      <c r="G1499" s="9" t="s">
        <v>198</v>
      </c>
      <c r="H1499" s="9" t="n">
        <v>1350</v>
      </c>
      <c r="I1499" s="29" t="n">
        <v>3</v>
      </c>
      <c r="J1499" s="9" t="n">
        <v>1</v>
      </c>
      <c r="K1499" s="30"/>
      <c r="L1499" s="30"/>
      <c r="M1499" s="30"/>
      <c r="N1499" s="30"/>
      <c r="O1499" s="30"/>
      <c r="P1499" s="30"/>
      <c r="Q1499" s="30"/>
      <c r="R1499" s="30"/>
      <c r="S1499" s="30"/>
      <c r="T1499" s="30"/>
      <c r="U1499" s="21" t="str">
        <f aca="false">IF(COUNT(K1499:T1499)=0,"SOURCE EMPTY / INDUSTRIAL ONLY",IF(MIN(K1499:T1499)=1,"SERVICE READY","HOLD"))</f>
        <v>SOURCE EMPTY / INDUSTRIAL ONLY</v>
      </c>
      <c r="V1499" s="9" t="n">
        <f aca="false">IF(U1499="SERVICE READY",1,0)</f>
        <v>0</v>
      </c>
      <c r="W1499" s="6"/>
      <c r="X1499" s="6"/>
      <c r="Y1499" s="6"/>
      <c r="Z1499" s="6"/>
    </row>
    <row r="1500" customFormat="false" ht="15" hidden="false" customHeight="false" outlineLevel="0" collapsed="false">
      <c r="A1500" s="9" t="s">
        <v>1740</v>
      </c>
      <c r="B1500" s="9" t="s">
        <v>1733</v>
      </c>
      <c r="C1500" s="9" t="s">
        <v>1734</v>
      </c>
      <c r="D1500" s="9" t="s">
        <v>1735</v>
      </c>
      <c r="E1500" s="9" t="s">
        <v>275</v>
      </c>
      <c r="F1500" s="9" t="s">
        <v>209</v>
      </c>
      <c r="G1500" s="9" t="s">
        <v>201</v>
      </c>
      <c r="H1500" s="9" t="n">
        <v>1350</v>
      </c>
      <c r="I1500" s="29" t="n">
        <v>3</v>
      </c>
      <c r="J1500" s="9" t="n">
        <v>1</v>
      </c>
      <c r="K1500" s="30"/>
      <c r="L1500" s="30"/>
      <c r="M1500" s="30"/>
      <c r="N1500" s="30"/>
      <c r="O1500" s="30"/>
      <c r="P1500" s="30"/>
      <c r="Q1500" s="30"/>
      <c r="R1500" s="30"/>
      <c r="S1500" s="30"/>
      <c r="T1500" s="30"/>
      <c r="U1500" s="21" t="str">
        <f aca="false">IF(COUNT(K1500:T1500)=0,"SOURCE EMPTY / INDUSTRIAL ONLY",IF(MIN(K1500:T1500)=1,"SERVICE READY","HOLD"))</f>
        <v>SOURCE EMPTY / INDUSTRIAL ONLY</v>
      </c>
      <c r="V1500" s="9" t="n">
        <f aca="false">IF(U1500="SERVICE READY",1,0)</f>
        <v>0</v>
      </c>
      <c r="W1500" s="6"/>
      <c r="X1500" s="6"/>
      <c r="Y1500" s="6"/>
      <c r="Z1500" s="6"/>
    </row>
    <row r="1501" customFormat="false" ht="15" hidden="false" customHeight="false" outlineLevel="0" collapsed="false">
      <c r="A1501" s="9" t="s">
        <v>1741</v>
      </c>
      <c r="B1501" s="9" t="s">
        <v>1733</v>
      </c>
      <c r="C1501" s="9" t="s">
        <v>1734</v>
      </c>
      <c r="D1501" s="9" t="s">
        <v>1735</v>
      </c>
      <c r="E1501" s="9" t="s">
        <v>275</v>
      </c>
      <c r="F1501" s="9" t="s">
        <v>211</v>
      </c>
      <c r="G1501" s="9" t="s">
        <v>198</v>
      </c>
      <c r="H1501" s="9" t="n">
        <v>1350</v>
      </c>
      <c r="I1501" s="29" t="n">
        <v>3</v>
      </c>
      <c r="J1501" s="9" t="n">
        <v>1</v>
      </c>
      <c r="K1501" s="30"/>
      <c r="L1501" s="30"/>
      <c r="M1501" s="30"/>
      <c r="N1501" s="30"/>
      <c r="O1501" s="30"/>
      <c r="P1501" s="30"/>
      <c r="Q1501" s="30"/>
      <c r="R1501" s="30"/>
      <c r="S1501" s="30"/>
      <c r="T1501" s="30"/>
      <c r="U1501" s="21" t="str">
        <f aca="false">IF(COUNT(K1501:T1501)=0,"SOURCE EMPTY / INDUSTRIAL ONLY",IF(MIN(K1501:T1501)=1,"SERVICE READY","HOLD"))</f>
        <v>SOURCE EMPTY / INDUSTRIAL ONLY</v>
      </c>
      <c r="V1501" s="9" t="n">
        <f aca="false">IF(U1501="SERVICE READY",1,0)</f>
        <v>0</v>
      </c>
      <c r="W1501" s="6"/>
      <c r="X1501" s="6"/>
      <c r="Y1501" s="6"/>
      <c r="Z1501" s="6"/>
    </row>
    <row r="1502" customFormat="false" ht="15" hidden="false" customHeight="false" outlineLevel="0" collapsed="false">
      <c r="A1502" s="9" t="s">
        <v>1742</v>
      </c>
      <c r="B1502" s="9" t="s">
        <v>1733</v>
      </c>
      <c r="C1502" s="9" t="s">
        <v>1734</v>
      </c>
      <c r="D1502" s="9" t="s">
        <v>1735</v>
      </c>
      <c r="E1502" s="9" t="s">
        <v>275</v>
      </c>
      <c r="F1502" s="9" t="s">
        <v>197</v>
      </c>
      <c r="G1502" s="9" t="s">
        <v>201</v>
      </c>
      <c r="H1502" s="9" t="n">
        <v>1350</v>
      </c>
      <c r="I1502" s="29" t="n">
        <v>3</v>
      </c>
      <c r="J1502" s="9" t="n">
        <v>1</v>
      </c>
      <c r="K1502" s="30"/>
      <c r="L1502" s="30"/>
      <c r="M1502" s="30"/>
      <c r="N1502" s="30"/>
      <c r="O1502" s="30"/>
      <c r="P1502" s="30"/>
      <c r="Q1502" s="30"/>
      <c r="R1502" s="30"/>
      <c r="S1502" s="30"/>
      <c r="T1502" s="30"/>
      <c r="U1502" s="21" t="str">
        <f aca="false">IF(COUNT(K1502:T1502)=0,"SOURCE EMPTY / INDUSTRIAL ONLY",IF(MIN(K1502:T1502)=1,"SERVICE READY","HOLD"))</f>
        <v>SOURCE EMPTY / INDUSTRIAL ONLY</v>
      </c>
      <c r="V1502" s="9" t="n">
        <f aca="false">IF(U1502="SERVICE READY",1,0)</f>
        <v>0</v>
      </c>
      <c r="W1502" s="6"/>
      <c r="X1502" s="6"/>
      <c r="Y1502" s="6"/>
      <c r="Z1502" s="6"/>
    </row>
    <row r="1503" customFormat="false" ht="15" hidden="false" customHeight="false" outlineLevel="0" collapsed="false">
      <c r="A1503" s="9" t="s">
        <v>1743</v>
      </c>
      <c r="B1503" s="9" t="s">
        <v>1733</v>
      </c>
      <c r="C1503" s="9" t="s">
        <v>1734</v>
      </c>
      <c r="D1503" s="9" t="s">
        <v>1735</v>
      </c>
      <c r="E1503" s="9" t="s">
        <v>275</v>
      </c>
      <c r="F1503" s="9" t="s">
        <v>200</v>
      </c>
      <c r="G1503" s="9" t="s">
        <v>198</v>
      </c>
      <c r="H1503" s="9" t="n">
        <v>1350</v>
      </c>
      <c r="I1503" s="29" t="n">
        <v>3</v>
      </c>
      <c r="J1503" s="9" t="n">
        <v>1</v>
      </c>
      <c r="K1503" s="30"/>
      <c r="L1503" s="30"/>
      <c r="M1503" s="30"/>
      <c r="N1503" s="30"/>
      <c r="O1503" s="30"/>
      <c r="P1503" s="30"/>
      <c r="Q1503" s="30"/>
      <c r="R1503" s="30"/>
      <c r="S1503" s="30"/>
      <c r="T1503" s="30"/>
      <c r="U1503" s="21" t="str">
        <f aca="false">IF(COUNT(K1503:T1503)=0,"SOURCE EMPTY / INDUSTRIAL ONLY",IF(MIN(K1503:T1503)=1,"SERVICE READY","HOLD"))</f>
        <v>SOURCE EMPTY / INDUSTRIAL ONLY</v>
      </c>
      <c r="V1503" s="9" t="n">
        <f aca="false">IF(U1503="SERVICE READY",1,0)</f>
        <v>0</v>
      </c>
      <c r="W1503" s="6"/>
      <c r="X1503" s="6"/>
      <c r="Y1503" s="6"/>
      <c r="Z1503" s="6"/>
    </row>
    <row r="1504" customFormat="false" ht="15" hidden="false" customHeight="false" outlineLevel="0" collapsed="false">
      <c r="A1504" s="9" t="s">
        <v>1744</v>
      </c>
      <c r="B1504" s="9" t="s">
        <v>1733</v>
      </c>
      <c r="C1504" s="9" t="s">
        <v>1734</v>
      </c>
      <c r="D1504" s="9" t="s">
        <v>1735</v>
      </c>
      <c r="E1504" s="9" t="s">
        <v>275</v>
      </c>
      <c r="F1504" s="9" t="s">
        <v>203</v>
      </c>
      <c r="G1504" s="9" t="s">
        <v>201</v>
      </c>
      <c r="H1504" s="9" t="n">
        <v>1350</v>
      </c>
      <c r="I1504" s="29" t="n">
        <v>3</v>
      </c>
      <c r="J1504" s="9" t="n">
        <v>1</v>
      </c>
      <c r="K1504" s="30"/>
      <c r="L1504" s="30"/>
      <c r="M1504" s="30"/>
      <c r="N1504" s="30"/>
      <c r="O1504" s="30"/>
      <c r="P1504" s="30"/>
      <c r="Q1504" s="30"/>
      <c r="R1504" s="30"/>
      <c r="S1504" s="30"/>
      <c r="T1504" s="30"/>
      <c r="U1504" s="21" t="str">
        <f aca="false">IF(COUNT(K1504:T1504)=0,"SOURCE EMPTY / INDUSTRIAL ONLY",IF(MIN(K1504:T1504)=1,"SERVICE READY","HOLD"))</f>
        <v>SOURCE EMPTY / INDUSTRIAL ONLY</v>
      </c>
      <c r="V1504" s="9" t="n">
        <f aca="false">IF(U1504="SERVICE READY",1,0)</f>
        <v>0</v>
      </c>
      <c r="W1504" s="6"/>
      <c r="X1504" s="6"/>
      <c r="Y1504" s="6"/>
      <c r="Z1504" s="6"/>
    </row>
    <row r="1505" customFormat="false" ht="15" hidden="false" customHeight="false" outlineLevel="0" collapsed="false">
      <c r="A1505" s="9" t="s">
        <v>1745</v>
      </c>
      <c r="B1505" s="9" t="s">
        <v>1733</v>
      </c>
      <c r="C1505" s="9" t="s">
        <v>1734</v>
      </c>
      <c r="D1505" s="9" t="s">
        <v>1735</v>
      </c>
      <c r="E1505" s="9" t="s">
        <v>275</v>
      </c>
      <c r="F1505" s="9" t="s">
        <v>205</v>
      </c>
      <c r="G1505" s="9" t="s">
        <v>198</v>
      </c>
      <c r="H1505" s="9" t="n">
        <v>1350</v>
      </c>
      <c r="I1505" s="29" t="n">
        <v>3</v>
      </c>
      <c r="J1505" s="9" t="n">
        <v>1</v>
      </c>
      <c r="K1505" s="30"/>
      <c r="L1505" s="30"/>
      <c r="M1505" s="30"/>
      <c r="N1505" s="30"/>
      <c r="O1505" s="30"/>
      <c r="P1505" s="30"/>
      <c r="Q1505" s="30"/>
      <c r="R1505" s="30"/>
      <c r="S1505" s="30"/>
      <c r="T1505" s="30"/>
      <c r="U1505" s="21" t="str">
        <f aca="false">IF(COUNT(K1505:T1505)=0,"SOURCE EMPTY / INDUSTRIAL ONLY",IF(MIN(K1505:T1505)=1,"SERVICE READY","HOLD"))</f>
        <v>SOURCE EMPTY / INDUSTRIAL ONLY</v>
      </c>
      <c r="V1505" s="9" t="n">
        <f aca="false">IF(U1505="SERVICE READY",1,0)</f>
        <v>0</v>
      </c>
      <c r="W1505" s="6"/>
      <c r="X1505" s="6"/>
      <c r="Y1505" s="6"/>
      <c r="Z1505" s="6"/>
    </row>
    <row r="1506" customFormat="false" ht="15" hidden="false" customHeight="false" outlineLevel="0" collapsed="false">
      <c r="A1506" s="9" t="s">
        <v>1746</v>
      </c>
      <c r="B1506" s="9" t="s">
        <v>1733</v>
      </c>
      <c r="C1506" s="9" t="s">
        <v>1734</v>
      </c>
      <c r="D1506" s="9" t="s">
        <v>1735</v>
      </c>
      <c r="E1506" s="9" t="s">
        <v>275</v>
      </c>
      <c r="F1506" s="9" t="s">
        <v>207</v>
      </c>
      <c r="G1506" s="9" t="s">
        <v>201</v>
      </c>
      <c r="H1506" s="9" t="n">
        <v>1350</v>
      </c>
      <c r="I1506" s="29" t="n">
        <v>3</v>
      </c>
      <c r="J1506" s="9" t="n">
        <v>1</v>
      </c>
      <c r="K1506" s="30"/>
      <c r="L1506" s="30"/>
      <c r="M1506" s="30"/>
      <c r="N1506" s="30"/>
      <c r="O1506" s="30"/>
      <c r="P1506" s="30"/>
      <c r="Q1506" s="30"/>
      <c r="R1506" s="30"/>
      <c r="S1506" s="30"/>
      <c r="T1506" s="30"/>
      <c r="U1506" s="21" t="str">
        <f aca="false">IF(COUNT(K1506:T1506)=0,"SOURCE EMPTY / INDUSTRIAL ONLY",IF(MIN(K1506:T1506)=1,"SERVICE READY","HOLD"))</f>
        <v>SOURCE EMPTY / INDUSTRIAL ONLY</v>
      </c>
      <c r="V1506" s="9" t="n">
        <f aca="false">IF(U1506="SERVICE READY",1,0)</f>
        <v>0</v>
      </c>
      <c r="W1506" s="6"/>
      <c r="X1506" s="6"/>
      <c r="Y1506" s="6"/>
      <c r="Z1506" s="6"/>
    </row>
    <row r="1507" customFormat="false" ht="15" hidden="false" customHeight="false" outlineLevel="0" collapsed="false">
      <c r="A1507" s="9" t="s">
        <v>1747</v>
      </c>
      <c r="B1507" s="9" t="s">
        <v>1733</v>
      </c>
      <c r="C1507" s="9" t="s">
        <v>1734</v>
      </c>
      <c r="D1507" s="9" t="s">
        <v>1735</v>
      </c>
      <c r="E1507" s="9" t="s">
        <v>275</v>
      </c>
      <c r="F1507" s="9" t="s">
        <v>209</v>
      </c>
      <c r="G1507" s="9" t="s">
        <v>198</v>
      </c>
      <c r="H1507" s="9" t="n">
        <v>1350</v>
      </c>
      <c r="I1507" s="29" t="n">
        <v>3</v>
      </c>
      <c r="J1507" s="9" t="n">
        <v>1</v>
      </c>
      <c r="K1507" s="30"/>
      <c r="L1507" s="30"/>
      <c r="M1507" s="30"/>
      <c r="N1507" s="30"/>
      <c r="O1507" s="30"/>
      <c r="P1507" s="30"/>
      <c r="Q1507" s="30"/>
      <c r="R1507" s="30"/>
      <c r="S1507" s="30"/>
      <c r="T1507" s="30"/>
      <c r="U1507" s="21" t="str">
        <f aca="false">IF(COUNT(K1507:T1507)=0,"SOURCE EMPTY / INDUSTRIAL ONLY",IF(MIN(K1507:T1507)=1,"SERVICE READY","HOLD"))</f>
        <v>SOURCE EMPTY / INDUSTRIAL ONLY</v>
      </c>
      <c r="V1507" s="9" t="n">
        <f aca="false">IF(U1507="SERVICE READY",1,0)</f>
        <v>0</v>
      </c>
      <c r="W1507" s="6"/>
      <c r="X1507" s="6"/>
      <c r="Y1507" s="6"/>
      <c r="Z1507" s="6"/>
    </row>
    <row r="1508" customFormat="false" ht="15" hidden="false" customHeight="false" outlineLevel="0" collapsed="false">
      <c r="A1508" s="9" t="s">
        <v>1748</v>
      </c>
      <c r="B1508" s="9" t="s">
        <v>1733</v>
      </c>
      <c r="C1508" s="9" t="s">
        <v>1734</v>
      </c>
      <c r="D1508" s="9" t="s">
        <v>1735</v>
      </c>
      <c r="E1508" s="9" t="s">
        <v>275</v>
      </c>
      <c r="F1508" s="9" t="s">
        <v>211</v>
      </c>
      <c r="G1508" s="9" t="s">
        <v>201</v>
      </c>
      <c r="H1508" s="9" t="n">
        <v>1350</v>
      </c>
      <c r="I1508" s="29" t="n">
        <v>3</v>
      </c>
      <c r="J1508" s="9" t="n">
        <v>1</v>
      </c>
      <c r="K1508" s="30"/>
      <c r="L1508" s="30"/>
      <c r="M1508" s="30"/>
      <c r="N1508" s="30"/>
      <c r="O1508" s="30"/>
      <c r="P1508" s="30"/>
      <c r="Q1508" s="30"/>
      <c r="R1508" s="30"/>
      <c r="S1508" s="30"/>
      <c r="T1508" s="30"/>
      <c r="U1508" s="21" t="str">
        <f aca="false">IF(COUNT(K1508:T1508)=0,"SOURCE EMPTY / INDUSTRIAL ONLY",IF(MIN(K1508:T1508)=1,"SERVICE READY","HOLD"))</f>
        <v>SOURCE EMPTY / INDUSTRIAL ONLY</v>
      </c>
      <c r="V1508" s="9" t="n">
        <f aca="false">IF(U1508="SERVICE READY",1,0)</f>
        <v>0</v>
      </c>
      <c r="W1508" s="6"/>
      <c r="X1508" s="6"/>
      <c r="Y1508" s="6"/>
      <c r="Z1508" s="6"/>
    </row>
    <row r="1509" customFormat="false" ht="15" hidden="false" customHeight="false" outlineLevel="0" collapsed="false">
      <c r="A1509" s="9" t="s">
        <v>1749</v>
      </c>
      <c r="B1509" s="9" t="s">
        <v>1733</v>
      </c>
      <c r="C1509" s="9" t="s">
        <v>1734</v>
      </c>
      <c r="D1509" s="9" t="s">
        <v>1735</v>
      </c>
      <c r="E1509" s="9" t="s">
        <v>275</v>
      </c>
      <c r="F1509" s="9" t="s">
        <v>197</v>
      </c>
      <c r="G1509" s="9" t="s">
        <v>198</v>
      </c>
      <c r="H1509" s="9" t="n">
        <v>1350</v>
      </c>
      <c r="I1509" s="29" t="n">
        <v>3</v>
      </c>
      <c r="J1509" s="9" t="n">
        <v>1</v>
      </c>
      <c r="K1509" s="30"/>
      <c r="L1509" s="30"/>
      <c r="M1509" s="30"/>
      <c r="N1509" s="30"/>
      <c r="O1509" s="30"/>
      <c r="P1509" s="30"/>
      <c r="Q1509" s="30"/>
      <c r="R1509" s="30"/>
      <c r="S1509" s="30"/>
      <c r="T1509" s="30"/>
      <c r="U1509" s="21" t="str">
        <f aca="false">IF(COUNT(K1509:T1509)=0,"SOURCE EMPTY / INDUSTRIAL ONLY",IF(MIN(K1509:T1509)=1,"SERVICE READY","HOLD"))</f>
        <v>SOURCE EMPTY / INDUSTRIAL ONLY</v>
      </c>
      <c r="V1509" s="9" t="n">
        <f aca="false">IF(U1509="SERVICE READY",1,0)</f>
        <v>0</v>
      </c>
      <c r="W1509" s="6"/>
      <c r="X1509" s="6"/>
      <c r="Y1509" s="6"/>
      <c r="Z1509" s="6"/>
    </row>
    <row r="1510" customFormat="false" ht="15" hidden="false" customHeight="false" outlineLevel="0" collapsed="false">
      <c r="A1510" s="9" t="s">
        <v>1750</v>
      </c>
      <c r="B1510" s="9" t="s">
        <v>1733</v>
      </c>
      <c r="C1510" s="9" t="s">
        <v>1734</v>
      </c>
      <c r="D1510" s="9" t="s">
        <v>1735</v>
      </c>
      <c r="E1510" s="9" t="s">
        <v>275</v>
      </c>
      <c r="F1510" s="9" t="s">
        <v>200</v>
      </c>
      <c r="G1510" s="9" t="s">
        <v>201</v>
      </c>
      <c r="H1510" s="9" t="n">
        <v>1350</v>
      </c>
      <c r="I1510" s="29" t="n">
        <v>3</v>
      </c>
      <c r="J1510" s="9" t="n">
        <v>1</v>
      </c>
      <c r="K1510" s="30"/>
      <c r="L1510" s="30"/>
      <c r="M1510" s="30"/>
      <c r="N1510" s="30"/>
      <c r="O1510" s="30"/>
      <c r="P1510" s="30"/>
      <c r="Q1510" s="30"/>
      <c r="R1510" s="30"/>
      <c r="S1510" s="30"/>
      <c r="T1510" s="30"/>
      <c r="U1510" s="21" t="str">
        <f aca="false">IF(COUNT(K1510:T1510)=0,"SOURCE EMPTY / INDUSTRIAL ONLY",IF(MIN(K1510:T1510)=1,"SERVICE READY","HOLD"))</f>
        <v>SOURCE EMPTY / INDUSTRIAL ONLY</v>
      </c>
      <c r="V1510" s="9" t="n">
        <f aca="false">IF(U1510="SERVICE READY",1,0)</f>
        <v>0</v>
      </c>
      <c r="W1510" s="6"/>
      <c r="X1510" s="6"/>
      <c r="Y1510" s="6"/>
      <c r="Z1510" s="6"/>
    </row>
    <row r="1511" customFormat="false" ht="15" hidden="false" customHeight="false" outlineLevel="0" collapsed="false">
      <c r="A1511" s="9" t="s">
        <v>1751</v>
      </c>
      <c r="B1511" s="9" t="s">
        <v>1733</v>
      </c>
      <c r="C1511" s="9" t="s">
        <v>1734</v>
      </c>
      <c r="D1511" s="9" t="s">
        <v>1735</v>
      </c>
      <c r="E1511" s="9" t="s">
        <v>275</v>
      </c>
      <c r="F1511" s="9" t="s">
        <v>203</v>
      </c>
      <c r="G1511" s="9" t="s">
        <v>198</v>
      </c>
      <c r="H1511" s="9" t="n">
        <v>1350</v>
      </c>
      <c r="I1511" s="29" t="n">
        <v>3</v>
      </c>
      <c r="J1511" s="9" t="n">
        <v>1</v>
      </c>
      <c r="K1511" s="30"/>
      <c r="L1511" s="30"/>
      <c r="M1511" s="30"/>
      <c r="N1511" s="30"/>
      <c r="O1511" s="30"/>
      <c r="P1511" s="30"/>
      <c r="Q1511" s="30"/>
      <c r="R1511" s="30"/>
      <c r="S1511" s="30"/>
      <c r="T1511" s="30"/>
      <c r="U1511" s="21" t="str">
        <f aca="false">IF(COUNT(K1511:T1511)=0,"SOURCE EMPTY / INDUSTRIAL ONLY",IF(MIN(K1511:T1511)=1,"SERVICE READY","HOLD"))</f>
        <v>SOURCE EMPTY / INDUSTRIAL ONLY</v>
      </c>
      <c r="V1511" s="9" t="n">
        <f aca="false">IF(U1511="SERVICE READY",1,0)</f>
        <v>0</v>
      </c>
      <c r="W1511" s="6"/>
      <c r="X1511" s="6"/>
      <c r="Y1511" s="6"/>
      <c r="Z1511" s="6"/>
    </row>
    <row r="1512" customFormat="false" ht="15" hidden="false" customHeight="false" outlineLevel="0" collapsed="false">
      <c r="A1512" s="9" t="s">
        <v>1752</v>
      </c>
      <c r="B1512" s="9" t="s">
        <v>1733</v>
      </c>
      <c r="C1512" s="9" t="s">
        <v>1734</v>
      </c>
      <c r="D1512" s="9" t="s">
        <v>1735</v>
      </c>
      <c r="E1512" s="9" t="s">
        <v>275</v>
      </c>
      <c r="F1512" s="9" t="s">
        <v>205</v>
      </c>
      <c r="G1512" s="9" t="s">
        <v>201</v>
      </c>
      <c r="H1512" s="9" t="n">
        <v>1350</v>
      </c>
      <c r="I1512" s="29" t="n">
        <v>3</v>
      </c>
      <c r="J1512" s="9" t="n">
        <v>1</v>
      </c>
      <c r="K1512" s="30"/>
      <c r="L1512" s="30"/>
      <c r="M1512" s="30"/>
      <c r="N1512" s="30"/>
      <c r="O1512" s="30"/>
      <c r="P1512" s="30"/>
      <c r="Q1512" s="30"/>
      <c r="R1512" s="30"/>
      <c r="S1512" s="30"/>
      <c r="T1512" s="30"/>
      <c r="U1512" s="21" t="str">
        <f aca="false">IF(COUNT(K1512:T1512)=0,"SOURCE EMPTY / INDUSTRIAL ONLY",IF(MIN(K1512:T1512)=1,"SERVICE READY","HOLD"))</f>
        <v>SOURCE EMPTY / INDUSTRIAL ONLY</v>
      </c>
      <c r="V1512" s="9" t="n">
        <f aca="false">IF(U1512="SERVICE READY",1,0)</f>
        <v>0</v>
      </c>
      <c r="W1512" s="6"/>
      <c r="X1512" s="6"/>
      <c r="Y1512" s="6"/>
      <c r="Z1512" s="6"/>
    </row>
    <row r="1513" customFormat="false" ht="15" hidden="false" customHeight="false" outlineLevel="0" collapsed="false">
      <c r="A1513" s="9" t="s">
        <v>1753</v>
      </c>
      <c r="B1513" s="9" t="s">
        <v>1733</v>
      </c>
      <c r="C1513" s="9" t="s">
        <v>1734</v>
      </c>
      <c r="D1513" s="9" t="s">
        <v>1735</v>
      </c>
      <c r="E1513" s="9" t="s">
        <v>275</v>
      </c>
      <c r="F1513" s="9" t="s">
        <v>207</v>
      </c>
      <c r="G1513" s="9" t="s">
        <v>198</v>
      </c>
      <c r="H1513" s="9" t="n">
        <v>1350</v>
      </c>
      <c r="I1513" s="29" t="n">
        <v>3</v>
      </c>
      <c r="J1513" s="9" t="n">
        <v>1</v>
      </c>
      <c r="K1513" s="30"/>
      <c r="L1513" s="30"/>
      <c r="M1513" s="30"/>
      <c r="N1513" s="30"/>
      <c r="O1513" s="30"/>
      <c r="P1513" s="30"/>
      <c r="Q1513" s="30"/>
      <c r="R1513" s="30"/>
      <c r="S1513" s="30"/>
      <c r="T1513" s="30"/>
      <c r="U1513" s="21" t="str">
        <f aca="false">IF(COUNT(K1513:T1513)=0,"SOURCE EMPTY / INDUSTRIAL ONLY",IF(MIN(K1513:T1513)=1,"SERVICE READY","HOLD"))</f>
        <v>SOURCE EMPTY / INDUSTRIAL ONLY</v>
      </c>
      <c r="V1513" s="9" t="n">
        <f aca="false">IF(U1513="SERVICE READY",1,0)</f>
        <v>0</v>
      </c>
      <c r="W1513" s="6"/>
      <c r="X1513" s="6"/>
      <c r="Y1513" s="6"/>
      <c r="Z1513" s="6"/>
    </row>
    <row r="1514" customFormat="false" ht="15" hidden="false" customHeight="false" outlineLevel="0" collapsed="false">
      <c r="A1514" s="9" t="s">
        <v>1754</v>
      </c>
      <c r="B1514" s="9" t="s">
        <v>1733</v>
      </c>
      <c r="C1514" s="9" t="s">
        <v>1734</v>
      </c>
      <c r="D1514" s="9" t="s">
        <v>1735</v>
      </c>
      <c r="E1514" s="9" t="s">
        <v>275</v>
      </c>
      <c r="F1514" s="9" t="s">
        <v>209</v>
      </c>
      <c r="G1514" s="9" t="s">
        <v>201</v>
      </c>
      <c r="H1514" s="9" t="n">
        <v>1350</v>
      </c>
      <c r="I1514" s="29" t="n">
        <v>3</v>
      </c>
      <c r="J1514" s="9" t="n">
        <v>1</v>
      </c>
      <c r="K1514" s="30"/>
      <c r="L1514" s="30"/>
      <c r="M1514" s="30"/>
      <c r="N1514" s="30"/>
      <c r="O1514" s="30"/>
      <c r="P1514" s="30"/>
      <c r="Q1514" s="30"/>
      <c r="R1514" s="30"/>
      <c r="S1514" s="30"/>
      <c r="T1514" s="30"/>
      <c r="U1514" s="21" t="str">
        <f aca="false">IF(COUNT(K1514:T1514)=0,"SOURCE EMPTY / INDUSTRIAL ONLY",IF(MIN(K1514:T1514)=1,"SERVICE READY","HOLD"))</f>
        <v>SOURCE EMPTY / INDUSTRIAL ONLY</v>
      </c>
      <c r="V1514" s="9" t="n">
        <f aca="false">IF(U1514="SERVICE READY",1,0)</f>
        <v>0</v>
      </c>
      <c r="W1514" s="6"/>
      <c r="X1514" s="6"/>
      <c r="Y1514" s="6"/>
      <c r="Z1514" s="6"/>
    </row>
    <row r="1515" customFormat="false" ht="15" hidden="false" customHeight="false" outlineLevel="0" collapsed="false">
      <c r="A1515" s="9" t="s">
        <v>1755</v>
      </c>
      <c r="B1515" s="9" t="s">
        <v>1733</v>
      </c>
      <c r="C1515" s="9" t="s">
        <v>1734</v>
      </c>
      <c r="D1515" s="9" t="s">
        <v>1735</v>
      </c>
      <c r="E1515" s="9" t="s">
        <v>275</v>
      </c>
      <c r="F1515" s="9" t="s">
        <v>211</v>
      </c>
      <c r="G1515" s="9" t="s">
        <v>198</v>
      </c>
      <c r="H1515" s="9" t="n">
        <v>1350</v>
      </c>
      <c r="I1515" s="29" t="n">
        <v>3</v>
      </c>
      <c r="J1515" s="9" t="n">
        <v>1</v>
      </c>
      <c r="K1515" s="30"/>
      <c r="L1515" s="30"/>
      <c r="M1515" s="30"/>
      <c r="N1515" s="30"/>
      <c r="O1515" s="30"/>
      <c r="P1515" s="30"/>
      <c r="Q1515" s="30"/>
      <c r="R1515" s="30"/>
      <c r="S1515" s="30"/>
      <c r="T1515" s="30"/>
      <c r="U1515" s="21" t="str">
        <f aca="false">IF(COUNT(K1515:T1515)=0,"SOURCE EMPTY / INDUSTRIAL ONLY",IF(MIN(K1515:T1515)=1,"SERVICE READY","HOLD"))</f>
        <v>SOURCE EMPTY / INDUSTRIAL ONLY</v>
      </c>
      <c r="V1515" s="9" t="n">
        <f aca="false">IF(U1515="SERVICE READY",1,0)</f>
        <v>0</v>
      </c>
      <c r="W1515" s="6"/>
      <c r="X1515" s="6"/>
      <c r="Y1515" s="6"/>
      <c r="Z1515" s="6"/>
    </row>
    <row r="1516" customFormat="false" ht="15" hidden="false" customHeight="false" outlineLevel="0" collapsed="false">
      <c r="A1516" s="9" t="s">
        <v>1756</v>
      </c>
      <c r="B1516" s="9" t="s">
        <v>1733</v>
      </c>
      <c r="C1516" s="9" t="s">
        <v>1734</v>
      </c>
      <c r="D1516" s="9" t="s">
        <v>1735</v>
      </c>
      <c r="E1516" s="9" t="s">
        <v>275</v>
      </c>
      <c r="F1516" s="9" t="s">
        <v>197</v>
      </c>
      <c r="G1516" s="9" t="s">
        <v>201</v>
      </c>
      <c r="H1516" s="9" t="n">
        <v>1350</v>
      </c>
      <c r="I1516" s="29" t="n">
        <v>3</v>
      </c>
      <c r="J1516" s="9" t="n">
        <v>1</v>
      </c>
      <c r="K1516" s="30"/>
      <c r="L1516" s="30"/>
      <c r="M1516" s="30"/>
      <c r="N1516" s="30"/>
      <c r="O1516" s="30"/>
      <c r="P1516" s="30"/>
      <c r="Q1516" s="30"/>
      <c r="R1516" s="30"/>
      <c r="S1516" s="30"/>
      <c r="T1516" s="30"/>
      <c r="U1516" s="21" t="str">
        <f aca="false">IF(COUNT(K1516:T1516)=0,"SOURCE EMPTY / INDUSTRIAL ONLY",IF(MIN(K1516:T1516)=1,"SERVICE READY","HOLD"))</f>
        <v>SOURCE EMPTY / INDUSTRIAL ONLY</v>
      </c>
      <c r="V1516" s="9" t="n">
        <f aca="false">IF(U1516="SERVICE READY",1,0)</f>
        <v>0</v>
      </c>
      <c r="W1516" s="6"/>
      <c r="X1516" s="6"/>
      <c r="Y1516" s="6"/>
      <c r="Z1516" s="6"/>
    </row>
    <row r="1517" customFormat="false" ht="15" hidden="false" customHeight="false" outlineLevel="0" collapsed="false">
      <c r="A1517" s="9" t="s">
        <v>1757</v>
      </c>
      <c r="B1517" s="9" t="s">
        <v>1733</v>
      </c>
      <c r="C1517" s="9" t="s">
        <v>1734</v>
      </c>
      <c r="D1517" s="9" t="s">
        <v>1735</v>
      </c>
      <c r="E1517" s="9" t="s">
        <v>275</v>
      </c>
      <c r="F1517" s="9" t="s">
        <v>200</v>
      </c>
      <c r="G1517" s="9" t="s">
        <v>198</v>
      </c>
      <c r="H1517" s="9" t="n">
        <v>1350</v>
      </c>
      <c r="I1517" s="29" t="n">
        <v>3</v>
      </c>
      <c r="J1517" s="9" t="n">
        <v>1</v>
      </c>
      <c r="K1517" s="30"/>
      <c r="L1517" s="30"/>
      <c r="M1517" s="30"/>
      <c r="N1517" s="30"/>
      <c r="O1517" s="30"/>
      <c r="P1517" s="30"/>
      <c r="Q1517" s="30"/>
      <c r="R1517" s="30"/>
      <c r="S1517" s="30"/>
      <c r="T1517" s="30"/>
      <c r="U1517" s="21" t="str">
        <f aca="false">IF(COUNT(K1517:T1517)=0,"SOURCE EMPTY / INDUSTRIAL ONLY",IF(MIN(K1517:T1517)=1,"SERVICE READY","HOLD"))</f>
        <v>SOURCE EMPTY / INDUSTRIAL ONLY</v>
      </c>
      <c r="V1517" s="9" t="n">
        <f aca="false">IF(U1517="SERVICE READY",1,0)</f>
        <v>0</v>
      </c>
      <c r="W1517" s="6"/>
      <c r="X1517" s="6"/>
      <c r="Y1517" s="6"/>
      <c r="Z1517" s="6"/>
    </row>
    <row r="1518" customFormat="false" ht="15" hidden="false" customHeight="false" outlineLevel="0" collapsed="false">
      <c r="A1518" s="9" t="s">
        <v>1758</v>
      </c>
      <c r="B1518" s="9" t="s">
        <v>1733</v>
      </c>
      <c r="C1518" s="9" t="s">
        <v>1734</v>
      </c>
      <c r="D1518" s="9" t="s">
        <v>1735</v>
      </c>
      <c r="E1518" s="9" t="s">
        <v>275</v>
      </c>
      <c r="F1518" s="9" t="s">
        <v>203</v>
      </c>
      <c r="G1518" s="9" t="s">
        <v>201</v>
      </c>
      <c r="H1518" s="9" t="n">
        <v>1350</v>
      </c>
      <c r="I1518" s="29" t="n">
        <v>3</v>
      </c>
      <c r="J1518" s="9" t="n">
        <v>1</v>
      </c>
      <c r="K1518" s="30"/>
      <c r="L1518" s="30"/>
      <c r="M1518" s="30"/>
      <c r="N1518" s="30"/>
      <c r="O1518" s="30"/>
      <c r="P1518" s="30"/>
      <c r="Q1518" s="30"/>
      <c r="R1518" s="30"/>
      <c r="S1518" s="30"/>
      <c r="T1518" s="30"/>
      <c r="U1518" s="21" t="str">
        <f aca="false">IF(COUNT(K1518:T1518)=0,"SOURCE EMPTY / INDUSTRIAL ONLY",IF(MIN(K1518:T1518)=1,"SERVICE READY","HOLD"))</f>
        <v>SOURCE EMPTY / INDUSTRIAL ONLY</v>
      </c>
      <c r="V1518" s="9" t="n">
        <f aca="false">IF(U1518="SERVICE READY",1,0)</f>
        <v>0</v>
      </c>
      <c r="W1518" s="6"/>
      <c r="X1518" s="6"/>
      <c r="Y1518" s="6"/>
      <c r="Z1518" s="6"/>
    </row>
    <row r="1519" customFormat="false" ht="15" hidden="false" customHeight="false" outlineLevel="0" collapsed="false">
      <c r="A1519" s="9" t="s">
        <v>1759</v>
      </c>
      <c r="B1519" s="9" t="s">
        <v>1733</v>
      </c>
      <c r="C1519" s="9" t="s">
        <v>1734</v>
      </c>
      <c r="D1519" s="9" t="s">
        <v>1735</v>
      </c>
      <c r="E1519" s="9" t="s">
        <v>275</v>
      </c>
      <c r="F1519" s="9" t="s">
        <v>205</v>
      </c>
      <c r="G1519" s="9" t="s">
        <v>198</v>
      </c>
      <c r="H1519" s="9" t="n">
        <v>1350</v>
      </c>
      <c r="I1519" s="29" t="n">
        <v>3</v>
      </c>
      <c r="J1519" s="9" t="n">
        <v>1</v>
      </c>
      <c r="K1519" s="30"/>
      <c r="L1519" s="30"/>
      <c r="M1519" s="30"/>
      <c r="N1519" s="30"/>
      <c r="O1519" s="30"/>
      <c r="P1519" s="30"/>
      <c r="Q1519" s="30"/>
      <c r="R1519" s="30"/>
      <c r="S1519" s="30"/>
      <c r="T1519" s="30"/>
      <c r="U1519" s="21" t="str">
        <f aca="false">IF(COUNT(K1519:T1519)=0,"SOURCE EMPTY / INDUSTRIAL ONLY",IF(MIN(K1519:T1519)=1,"SERVICE READY","HOLD"))</f>
        <v>SOURCE EMPTY / INDUSTRIAL ONLY</v>
      </c>
      <c r="V1519" s="9" t="n">
        <f aca="false">IF(U1519="SERVICE READY",1,0)</f>
        <v>0</v>
      </c>
      <c r="W1519" s="6"/>
      <c r="X1519" s="6"/>
      <c r="Y1519" s="6"/>
      <c r="Z1519" s="6"/>
    </row>
    <row r="1520" customFormat="false" ht="15" hidden="false" customHeight="false" outlineLevel="0" collapsed="false">
      <c r="A1520" s="9" t="s">
        <v>1760</v>
      </c>
      <c r="B1520" s="9" t="s">
        <v>1733</v>
      </c>
      <c r="C1520" s="9" t="s">
        <v>1734</v>
      </c>
      <c r="D1520" s="9" t="s">
        <v>1735</v>
      </c>
      <c r="E1520" s="9" t="s">
        <v>275</v>
      </c>
      <c r="F1520" s="9" t="s">
        <v>207</v>
      </c>
      <c r="G1520" s="9" t="s">
        <v>201</v>
      </c>
      <c r="H1520" s="9" t="n">
        <v>1350</v>
      </c>
      <c r="I1520" s="29" t="n">
        <v>3</v>
      </c>
      <c r="J1520" s="9" t="n">
        <v>1</v>
      </c>
      <c r="K1520" s="30"/>
      <c r="L1520" s="30"/>
      <c r="M1520" s="30"/>
      <c r="N1520" s="30"/>
      <c r="O1520" s="30"/>
      <c r="P1520" s="30"/>
      <c r="Q1520" s="30"/>
      <c r="R1520" s="30"/>
      <c r="S1520" s="30"/>
      <c r="T1520" s="30"/>
      <c r="U1520" s="21" t="str">
        <f aca="false">IF(COUNT(K1520:T1520)=0,"SOURCE EMPTY / INDUSTRIAL ONLY",IF(MIN(K1520:T1520)=1,"SERVICE READY","HOLD"))</f>
        <v>SOURCE EMPTY / INDUSTRIAL ONLY</v>
      </c>
      <c r="V1520" s="9" t="n">
        <f aca="false">IF(U1520="SERVICE READY",1,0)</f>
        <v>0</v>
      </c>
      <c r="W1520" s="6"/>
      <c r="X1520" s="6"/>
      <c r="Y1520" s="6"/>
      <c r="Z1520" s="6"/>
    </row>
    <row r="1521" customFormat="false" ht="15" hidden="false" customHeight="false" outlineLevel="0" collapsed="false">
      <c r="A1521" s="9" t="s">
        <v>1761</v>
      </c>
      <c r="B1521" s="9" t="s">
        <v>1733</v>
      </c>
      <c r="C1521" s="9" t="s">
        <v>1734</v>
      </c>
      <c r="D1521" s="9" t="s">
        <v>1735</v>
      </c>
      <c r="E1521" s="9" t="s">
        <v>275</v>
      </c>
      <c r="F1521" s="9" t="s">
        <v>209</v>
      </c>
      <c r="G1521" s="9" t="s">
        <v>198</v>
      </c>
      <c r="H1521" s="9" t="n">
        <v>1350</v>
      </c>
      <c r="I1521" s="29" t="n">
        <v>3</v>
      </c>
      <c r="J1521" s="9" t="n">
        <v>1</v>
      </c>
      <c r="K1521" s="30"/>
      <c r="L1521" s="30"/>
      <c r="M1521" s="30"/>
      <c r="N1521" s="30"/>
      <c r="O1521" s="30"/>
      <c r="P1521" s="30"/>
      <c r="Q1521" s="30"/>
      <c r="R1521" s="30"/>
      <c r="S1521" s="30"/>
      <c r="T1521" s="30"/>
      <c r="U1521" s="21" t="str">
        <f aca="false">IF(COUNT(K1521:T1521)=0,"SOURCE EMPTY / INDUSTRIAL ONLY",IF(MIN(K1521:T1521)=1,"SERVICE READY","HOLD"))</f>
        <v>SOURCE EMPTY / INDUSTRIAL ONLY</v>
      </c>
      <c r="V1521" s="9" t="n">
        <f aca="false">IF(U1521="SERVICE READY",1,0)</f>
        <v>0</v>
      </c>
      <c r="W1521" s="6"/>
      <c r="X1521" s="6"/>
      <c r="Y1521" s="6"/>
      <c r="Z1521" s="6"/>
    </row>
    <row r="1522" customFormat="false" ht="15" hidden="false" customHeight="false" outlineLevel="0" collapsed="false">
      <c r="A1522" s="9" t="s">
        <v>1762</v>
      </c>
      <c r="B1522" s="9" t="s">
        <v>1733</v>
      </c>
      <c r="C1522" s="9" t="s">
        <v>1734</v>
      </c>
      <c r="D1522" s="9" t="s">
        <v>1735</v>
      </c>
      <c r="E1522" s="9" t="s">
        <v>275</v>
      </c>
      <c r="F1522" s="9" t="s">
        <v>211</v>
      </c>
      <c r="G1522" s="9" t="s">
        <v>221</v>
      </c>
      <c r="H1522" s="9" t="n">
        <v>1350</v>
      </c>
      <c r="I1522" s="29" t="n">
        <v>3</v>
      </c>
      <c r="J1522" s="9" t="n">
        <v>1</v>
      </c>
      <c r="K1522" s="30"/>
      <c r="L1522" s="30"/>
      <c r="M1522" s="30"/>
      <c r="N1522" s="30"/>
      <c r="O1522" s="30"/>
      <c r="P1522" s="30"/>
      <c r="Q1522" s="30"/>
      <c r="R1522" s="30"/>
      <c r="S1522" s="30"/>
      <c r="T1522" s="30"/>
      <c r="U1522" s="21" t="str">
        <f aca="false">IF(COUNT(K1522:T1522)=0,"SOURCE EMPTY / INDUSTRIAL ONLY",IF(MIN(K1522:T1522)=1,"SERVICE READY","HOLD"))</f>
        <v>SOURCE EMPTY / INDUSTRIAL ONLY</v>
      </c>
      <c r="V1522" s="9" t="n">
        <f aca="false">IF(U1522="SERVICE READY",1,0)</f>
        <v>0</v>
      </c>
      <c r="W1522" s="6"/>
      <c r="X1522" s="6"/>
      <c r="Y1522" s="6"/>
      <c r="Z1522" s="6"/>
    </row>
    <row r="1523" customFormat="false" ht="15" hidden="false" customHeight="false" outlineLevel="0" collapsed="false">
      <c r="A1523" s="9" t="s">
        <v>1763</v>
      </c>
      <c r="B1523" s="9" t="s">
        <v>1733</v>
      </c>
      <c r="C1523" s="9" t="s">
        <v>1734</v>
      </c>
      <c r="D1523" s="9" t="s">
        <v>1735</v>
      </c>
      <c r="E1523" s="9" t="s">
        <v>275</v>
      </c>
      <c r="F1523" s="9" t="s">
        <v>197</v>
      </c>
      <c r="G1523" s="9" t="s">
        <v>221</v>
      </c>
      <c r="H1523" s="9" t="n">
        <v>1350</v>
      </c>
      <c r="I1523" s="29" t="n">
        <v>3</v>
      </c>
      <c r="J1523" s="9" t="n">
        <v>1</v>
      </c>
      <c r="K1523" s="30"/>
      <c r="L1523" s="30"/>
      <c r="M1523" s="30"/>
      <c r="N1523" s="30"/>
      <c r="O1523" s="30"/>
      <c r="P1523" s="30"/>
      <c r="Q1523" s="30"/>
      <c r="R1523" s="30"/>
      <c r="S1523" s="30"/>
      <c r="T1523" s="30"/>
      <c r="U1523" s="21" t="str">
        <f aca="false">IF(COUNT(K1523:T1523)=0,"SOURCE EMPTY / INDUSTRIAL ONLY",IF(MIN(K1523:T1523)=1,"SERVICE READY","HOLD"))</f>
        <v>SOURCE EMPTY / INDUSTRIAL ONLY</v>
      </c>
      <c r="V1523" s="9" t="n">
        <f aca="false">IF(U1523="SERVICE READY",1,0)</f>
        <v>0</v>
      </c>
      <c r="W1523" s="6"/>
      <c r="X1523" s="6"/>
      <c r="Y1523" s="6"/>
      <c r="Z1523" s="6"/>
    </row>
    <row r="1524" customFormat="false" ht="15" hidden="false" customHeight="false" outlineLevel="0" collapsed="false">
      <c r="A1524" s="9" t="s">
        <v>1764</v>
      </c>
      <c r="B1524" s="9" t="s">
        <v>1733</v>
      </c>
      <c r="C1524" s="9" t="s">
        <v>1734</v>
      </c>
      <c r="D1524" s="9" t="s">
        <v>1735</v>
      </c>
      <c r="E1524" s="9" t="s">
        <v>275</v>
      </c>
      <c r="F1524" s="9" t="s">
        <v>200</v>
      </c>
      <c r="G1524" s="9" t="s">
        <v>221</v>
      </c>
      <c r="H1524" s="9" t="n">
        <v>1350</v>
      </c>
      <c r="I1524" s="29" t="n">
        <v>3</v>
      </c>
      <c r="J1524" s="9" t="n">
        <v>1</v>
      </c>
      <c r="K1524" s="30"/>
      <c r="L1524" s="30"/>
      <c r="M1524" s="30"/>
      <c r="N1524" s="30"/>
      <c r="O1524" s="30"/>
      <c r="P1524" s="30"/>
      <c r="Q1524" s="30"/>
      <c r="R1524" s="30"/>
      <c r="S1524" s="30"/>
      <c r="T1524" s="30"/>
      <c r="U1524" s="21" t="str">
        <f aca="false">IF(COUNT(K1524:T1524)=0,"SOURCE EMPTY / INDUSTRIAL ONLY",IF(MIN(K1524:T1524)=1,"SERVICE READY","HOLD"))</f>
        <v>SOURCE EMPTY / INDUSTRIAL ONLY</v>
      </c>
      <c r="V1524" s="9" t="n">
        <f aca="false">IF(U1524="SERVICE READY",1,0)</f>
        <v>0</v>
      </c>
      <c r="W1524" s="6"/>
      <c r="X1524" s="6"/>
      <c r="Y1524" s="6"/>
      <c r="Z1524" s="6"/>
    </row>
    <row r="1525" customFormat="false" ht="15" hidden="false" customHeight="false" outlineLevel="0" collapsed="false">
      <c r="A1525" s="9" t="s">
        <v>1765</v>
      </c>
      <c r="B1525" s="9" t="s">
        <v>1733</v>
      </c>
      <c r="C1525" s="9" t="s">
        <v>1734</v>
      </c>
      <c r="D1525" s="9" t="s">
        <v>1735</v>
      </c>
      <c r="E1525" s="9" t="s">
        <v>275</v>
      </c>
      <c r="F1525" s="9" t="s">
        <v>203</v>
      </c>
      <c r="G1525" s="9" t="s">
        <v>221</v>
      </c>
      <c r="H1525" s="9" t="n">
        <v>1350</v>
      </c>
      <c r="I1525" s="29" t="n">
        <v>3</v>
      </c>
      <c r="J1525" s="9" t="n">
        <v>1</v>
      </c>
      <c r="K1525" s="30"/>
      <c r="L1525" s="30"/>
      <c r="M1525" s="30"/>
      <c r="N1525" s="30"/>
      <c r="O1525" s="30"/>
      <c r="P1525" s="30"/>
      <c r="Q1525" s="30"/>
      <c r="R1525" s="30"/>
      <c r="S1525" s="30"/>
      <c r="T1525" s="30"/>
      <c r="U1525" s="21" t="str">
        <f aca="false">IF(COUNT(K1525:T1525)=0,"SOURCE EMPTY / INDUSTRIAL ONLY",IF(MIN(K1525:T1525)=1,"SERVICE READY","HOLD"))</f>
        <v>SOURCE EMPTY / INDUSTRIAL ONLY</v>
      </c>
      <c r="V1525" s="9" t="n">
        <f aca="false">IF(U1525="SERVICE READY",1,0)</f>
        <v>0</v>
      </c>
      <c r="W1525" s="6"/>
      <c r="X1525" s="6"/>
      <c r="Y1525" s="6"/>
      <c r="Z1525" s="6"/>
    </row>
    <row r="1526" customFormat="false" ht="15" hidden="false" customHeight="false" outlineLevel="0" collapsed="false">
      <c r="A1526" s="9" t="s">
        <v>1766</v>
      </c>
      <c r="B1526" s="9" t="s">
        <v>1733</v>
      </c>
      <c r="C1526" s="9" t="s">
        <v>1734</v>
      </c>
      <c r="D1526" s="9" t="s">
        <v>1735</v>
      </c>
      <c r="E1526" s="9" t="s">
        <v>275</v>
      </c>
      <c r="F1526" s="9" t="s">
        <v>205</v>
      </c>
      <c r="G1526" s="9" t="s">
        <v>221</v>
      </c>
      <c r="H1526" s="9" t="n">
        <v>1350</v>
      </c>
      <c r="I1526" s="29" t="n">
        <v>3</v>
      </c>
      <c r="J1526" s="9" t="n">
        <v>1</v>
      </c>
      <c r="K1526" s="30"/>
      <c r="L1526" s="30"/>
      <c r="M1526" s="30"/>
      <c r="N1526" s="30"/>
      <c r="O1526" s="30"/>
      <c r="P1526" s="30"/>
      <c r="Q1526" s="30"/>
      <c r="R1526" s="30"/>
      <c r="S1526" s="30"/>
      <c r="T1526" s="30"/>
      <c r="U1526" s="21" t="str">
        <f aca="false">IF(COUNT(K1526:T1526)=0,"SOURCE EMPTY / INDUSTRIAL ONLY",IF(MIN(K1526:T1526)=1,"SERVICE READY","HOLD"))</f>
        <v>SOURCE EMPTY / INDUSTRIAL ONLY</v>
      </c>
      <c r="V1526" s="9" t="n">
        <f aca="false">IF(U1526="SERVICE READY",1,0)</f>
        <v>0</v>
      </c>
      <c r="W1526" s="6"/>
      <c r="X1526" s="6"/>
      <c r="Y1526" s="6"/>
      <c r="Z1526" s="6"/>
    </row>
    <row r="1527" customFormat="false" ht="15" hidden="false" customHeight="false" outlineLevel="0" collapsed="false">
      <c r="A1527" s="9" t="s">
        <v>1767</v>
      </c>
      <c r="B1527" s="9" t="s">
        <v>1733</v>
      </c>
      <c r="C1527" s="9" t="s">
        <v>1734</v>
      </c>
      <c r="D1527" s="9" t="s">
        <v>1735</v>
      </c>
      <c r="E1527" s="9" t="s">
        <v>275</v>
      </c>
      <c r="F1527" s="9" t="s">
        <v>207</v>
      </c>
      <c r="G1527" s="9" t="s">
        <v>221</v>
      </c>
      <c r="H1527" s="9" t="n">
        <v>1350</v>
      </c>
      <c r="I1527" s="29" t="n">
        <v>3</v>
      </c>
      <c r="J1527" s="9" t="n">
        <v>1</v>
      </c>
      <c r="K1527" s="30"/>
      <c r="L1527" s="30"/>
      <c r="M1527" s="30"/>
      <c r="N1527" s="30"/>
      <c r="O1527" s="30"/>
      <c r="P1527" s="30"/>
      <c r="Q1527" s="30"/>
      <c r="R1527" s="30"/>
      <c r="S1527" s="30"/>
      <c r="T1527" s="30"/>
      <c r="U1527" s="21" t="str">
        <f aca="false">IF(COUNT(K1527:T1527)=0,"SOURCE EMPTY / INDUSTRIAL ONLY",IF(MIN(K1527:T1527)=1,"SERVICE READY","HOLD"))</f>
        <v>SOURCE EMPTY / INDUSTRIAL ONLY</v>
      </c>
      <c r="V1527" s="9" t="n">
        <f aca="false">IF(U1527="SERVICE READY",1,0)</f>
        <v>0</v>
      </c>
      <c r="W1527" s="6"/>
      <c r="X1527" s="6"/>
      <c r="Y1527" s="6"/>
      <c r="Z1527" s="6"/>
    </row>
    <row r="1528" customFormat="false" ht="15" hidden="false" customHeight="false" outlineLevel="0" collapsed="false">
      <c r="A1528" s="9" t="s">
        <v>1768</v>
      </c>
      <c r="B1528" s="9" t="s">
        <v>1733</v>
      </c>
      <c r="C1528" s="9" t="s">
        <v>1734</v>
      </c>
      <c r="D1528" s="9" t="s">
        <v>1735</v>
      </c>
      <c r="E1528" s="9" t="s">
        <v>275</v>
      </c>
      <c r="F1528" s="9" t="s">
        <v>209</v>
      </c>
      <c r="G1528" s="9" t="s">
        <v>221</v>
      </c>
      <c r="H1528" s="9" t="n">
        <v>1350</v>
      </c>
      <c r="I1528" s="29" t="n">
        <v>3</v>
      </c>
      <c r="J1528" s="9" t="n">
        <v>1</v>
      </c>
      <c r="K1528" s="30"/>
      <c r="L1528" s="30"/>
      <c r="M1528" s="30"/>
      <c r="N1528" s="30"/>
      <c r="O1528" s="30"/>
      <c r="P1528" s="30"/>
      <c r="Q1528" s="30"/>
      <c r="R1528" s="30"/>
      <c r="S1528" s="30"/>
      <c r="T1528" s="30"/>
      <c r="U1528" s="21" t="str">
        <f aca="false">IF(COUNT(K1528:T1528)=0,"SOURCE EMPTY / INDUSTRIAL ONLY",IF(MIN(K1528:T1528)=1,"SERVICE READY","HOLD"))</f>
        <v>SOURCE EMPTY / INDUSTRIAL ONLY</v>
      </c>
      <c r="V1528" s="9" t="n">
        <f aca="false">IF(U1528="SERVICE READY",1,0)</f>
        <v>0</v>
      </c>
      <c r="W1528" s="6"/>
      <c r="X1528" s="6"/>
      <c r="Y1528" s="6"/>
      <c r="Z1528" s="6"/>
    </row>
    <row r="1529" customFormat="false" ht="15" hidden="false" customHeight="false" outlineLevel="0" collapsed="false">
      <c r="A1529" s="9" t="s">
        <v>1769</v>
      </c>
      <c r="B1529" s="9" t="s">
        <v>1733</v>
      </c>
      <c r="C1529" s="9" t="s">
        <v>1734</v>
      </c>
      <c r="D1529" s="9" t="s">
        <v>1735</v>
      </c>
      <c r="E1529" s="9" t="s">
        <v>275</v>
      </c>
      <c r="F1529" s="9" t="s">
        <v>211</v>
      </c>
      <c r="G1529" s="9" t="s">
        <v>221</v>
      </c>
      <c r="H1529" s="9" t="n">
        <v>1350</v>
      </c>
      <c r="I1529" s="29" t="n">
        <v>3</v>
      </c>
      <c r="J1529" s="9" t="n">
        <v>1</v>
      </c>
      <c r="K1529" s="30"/>
      <c r="L1529" s="30"/>
      <c r="M1529" s="30"/>
      <c r="N1529" s="30"/>
      <c r="O1529" s="30"/>
      <c r="P1529" s="30"/>
      <c r="Q1529" s="30"/>
      <c r="R1529" s="30"/>
      <c r="S1529" s="30"/>
      <c r="T1529" s="30"/>
      <c r="U1529" s="21" t="str">
        <f aca="false">IF(COUNT(K1529:T1529)=0,"SOURCE EMPTY / INDUSTRIAL ONLY",IF(MIN(K1529:T1529)=1,"SERVICE READY","HOLD"))</f>
        <v>SOURCE EMPTY / INDUSTRIAL ONLY</v>
      </c>
      <c r="V1529" s="9" t="n">
        <f aca="false">IF(U1529="SERVICE READY",1,0)</f>
        <v>0</v>
      </c>
      <c r="W1529" s="6"/>
      <c r="X1529" s="6"/>
      <c r="Y1529" s="6"/>
      <c r="Z1529" s="6"/>
    </row>
    <row r="1530" customFormat="false" ht="15" hidden="false" customHeight="false" outlineLevel="0" collapsed="false">
      <c r="A1530" s="9" t="s">
        <v>1770</v>
      </c>
      <c r="B1530" s="9" t="s">
        <v>1733</v>
      </c>
      <c r="C1530" s="9" t="s">
        <v>1734</v>
      </c>
      <c r="D1530" s="9" t="s">
        <v>1735</v>
      </c>
      <c r="E1530" s="9" t="s">
        <v>275</v>
      </c>
      <c r="F1530" s="9" t="s">
        <v>197</v>
      </c>
      <c r="G1530" s="9" t="s">
        <v>221</v>
      </c>
      <c r="H1530" s="9" t="n">
        <v>1350</v>
      </c>
      <c r="I1530" s="29" t="n">
        <v>3</v>
      </c>
      <c r="J1530" s="9" t="n">
        <v>1</v>
      </c>
      <c r="K1530" s="30"/>
      <c r="L1530" s="30"/>
      <c r="M1530" s="30"/>
      <c r="N1530" s="30"/>
      <c r="O1530" s="30"/>
      <c r="P1530" s="30"/>
      <c r="Q1530" s="30"/>
      <c r="R1530" s="30"/>
      <c r="S1530" s="30"/>
      <c r="T1530" s="30"/>
      <c r="U1530" s="21" t="str">
        <f aca="false">IF(COUNT(K1530:T1530)=0,"SOURCE EMPTY / INDUSTRIAL ONLY",IF(MIN(K1530:T1530)=1,"SERVICE READY","HOLD"))</f>
        <v>SOURCE EMPTY / INDUSTRIAL ONLY</v>
      </c>
      <c r="V1530" s="9" t="n">
        <f aca="false">IF(U1530="SERVICE READY",1,0)</f>
        <v>0</v>
      </c>
      <c r="W1530" s="6"/>
      <c r="X1530" s="6"/>
      <c r="Y1530" s="6"/>
      <c r="Z1530" s="6"/>
    </row>
    <row r="1531" customFormat="false" ht="15" hidden="false" customHeight="false" outlineLevel="0" collapsed="false">
      <c r="A1531" s="9" t="s">
        <v>1771</v>
      </c>
      <c r="B1531" s="9" t="s">
        <v>1733</v>
      </c>
      <c r="C1531" s="9" t="s">
        <v>1734</v>
      </c>
      <c r="D1531" s="9" t="s">
        <v>1735</v>
      </c>
      <c r="E1531" s="9" t="s">
        <v>275</v>
      </c>
      <c r="F1531" s="9" t="s">
        <v>200</v>
      </c>
      <c r="G1531" s="9" t="s">
        <v>221</v>
      </c>
      <c r="H1531" s="9" t="n">
        <v>1350</v>
      </c>
      <c r="I1531" s="29" t="n">
        <v>3</v>
      </c>
      <c r="J1531" s="9" t="n">
        <v>1</v>
      </c>
      <c r="K1531" s="30"/>
      <c r="L1531" s="30"/>
      <c r="M1531" s="30"/>
      <c r="N1531" s="30"/>
      <c r="O1531" s="30"/>
      <c r="P1531" s="30"/>
      <c r="Q1531" s="30"/>
      <c r="R1531" s="30"/>
      <c r="S1531" s="30"/>
      <c r="T1531" s="30"/>
      <c r="U1531" s="21" t="str">
        <f aca="false">IF(COUNT(K1531:T1531)=0,"SOURCE EMPTY / INDUSTRIAL ONLY",IF(MIN(K1531:T1531)=1,"SERVICE READY","HOLD"))</f>
        <v>SOURCE EMPTY / INDUSTRIAL ONLY</v>
      </c>
      <c r="V1531" s="9" t="n">
        <f aca="false">IF(U1531="SERVICE READY",1,0)</f>
        <v>0</v>
      </c>
      <c r="W1531" s="6"/>
      <c r="X1531" s="6"/>
      <c r="Y1531" s="6"/>
      <c r="Z1531" s="6"/>
    </row>
    <row r="1532" customFormat="false" ht="15" hidden="false" customHeight="false" outlineLevel="0" collapsed="false">
      <c r="A1532" s="9" t="s">
        <v>1772</v>
      </c>
      <c r="B1532" s="9" t="s">
        <v>1733</v>
      </c>
      <c r="C1532" s="9" t="s">
        <v>1734</v>
      </c>
      <c r="D1532" s="9" t="s">
        <v>1735</v>
      </c>
      <c r="E1532" s="9" t="s">
        <v>275</v>
      </c>
      <c r="F1532" s="9" t="s">
        <v>203</v>
      </c>
      <c r="G1532" s="9" t="s">
        <v>221</v>
      </c>
      <c r="H1532" s="9" t="n">
        <v>1350</v>
      </c>
      <c r="I1532" s="29" t="n">
        <v>3</v>
      </c>
      <c r="J1532" s="9" t="n">
        <v>1</v>
      </c>
      <c r="K1532" s="30"/>
      <c r="L1532" s="30"/>
      <c r="M1532" s="30"/>
      <c r="N1532" s="30"/>
      <c r="O1532" s="30"/>
      <c r="P1532" s="30"/>
      <c r="Q1532" s="30"/>
      <c r="R1532" s="30"/>
      <c r="S1532" s="30"/>
      <c r="T1532" s="30"/>
      <c r="U1532" s="21" t="str">
        <f aca="false">IF(COUNT(K1532:T1532)=0,"SOURCE EMPTY / INDUSTRIAL ONLY",IF(MIN(K1532:T1532)=1,"SERVICE READY","HOLD"))</f>
        <v>SOURCE EMPTY / INDUSTRIAL ONLY</v>
      </c>
      <c r="V1532" s="9" t="n">
        <f aca="false">IF(U1532="SERVICE READY",1,0)</f>
        <v>0</v>
      </c>
      <c r="W1532" s="6"/>
      <c r="X1532" s="6"/>
      <c r="Y1532" s="6"/>
      <c r="Z1532" s="6"/>
    </row>
    <row r="1533" customFormat="false" ht="15" hidden="false" customHeight="false" outlineLevel="0" collapsed="false">
      <c r="A1533" s="9" t="s">
        <v>1773</v>
      </c>
      <c r="B1533" s="9" t="s">
        <v>1733</v>
      </c>
      <c r="C1533" s="9" t="s">
        <v>1734</v>
      </c>
      <c r="D1533" s="9" t="s">
        <v>1735</v>
      </c>
      <c r="E1533" s="9" t="s">
        <v>275</v>
      </c>
      <c r="F1533" s="9" t="s">
        <v>205</v>
      </c>
      <c r="G1533" s="9" t="s">
        <v>221</v>
      </c>
      <c r="H1533" s="9" t="n">
        <v>1350</v>
      </c>
      <c r="I1533" s="29" t="n">
        <v>3</v>
      </c>
      <c r="J1533" s="9" t="n">
        <v>1</v>
      </c>
      <c r="K1533" s="30"/>
      <c r="L1533" s="30"/>
      <c r="M1533" s="30"/>
      <c r="N1533" s="30"/>
      <c r="O1533" s="30"/>
      <c r="P1533" s="30"/>
      <c r="Q1533" s="30"/>
      <c r="R1533" s="30"/>
      <c r="S1533" s="30"/>
      <c r="T1533" s="30"/>
      <c r="U1533" s="21" t="str">
        <f aca="false">IF(COUNT(K1533:T1533)=0,"SOURCE EMPTY / INDUSTRIAL ONLY",IF(MIN(K1533:T1533)=1,"SERVICE READY","HOLD"))</f>
        <v>SOURCE EMPTY / INDUSTRIAL ONLY</v>
      </c>
      <c r="V1533" s="9" t="n">
        <f aca="false">IF(U1533="SERVICE READY",1,0)</f>
        <v>0</v>
      </c>
      <c r="W1533" s="6"/>
      <c r="X1533" s="6"/>
      <c r="Y1533" s="6"/>
      <c r="Z1533" s="6"/>
    </row>
    <row r="1534" customFormat="false" ht="15" hidden="false" customHeight="false" outlineLevel="0" collapsed="false">
      <c r="A1534" s="9" t="s">
        <v>1774</v>
      </c>
      <c r="B1534" s="9" t="s">
        <v>1733</v>
      </c>
      <c r="C1534" s="9" t="s">
        <v>1734</v>
      </c>
      <c r="D1534" s="9" t="s">
        <v>1735</v>
      </c>
      <c r="E1534" s="9" t="s">
        <v>275</v>
      </c>
      <c r="F1534" s="9" t="s">
        <v>207</v>
      </c>
      <c r="G1534" s="9" t="s">
        <v>221</v>
      </c>
      <c r="H1534" s="9" t="n">
        <v>1350</v>
      </c>
      <c r="I1534" s="29" t="n">
        <v>3</v>
      </c>
      <c r="J1534" s="9" t="n">
        <v>1</v>
      </c>
      <c r="K1534" s="30"/>
      <c r="L1534" s="30"/>
      <c r="M1534" s="30"/>
      <c r="N1534" s="30"/>
      <c r="O1534" s="30"/>
      <c r="P1534" s="30"/>
      <c r="Q1534" s="30"/>
      <c r="R1534" s="30"/>
      <c r="S1534" s="30"/>
      <c r="T1534" s="30"/>
      <c r="U1534" s="21" t="str">
        <f aca="false">IF(COUNT(K1534:T1534)=0,"SOURCE EMPTY / INDUSTRIAL ONLY",IF(MIN(K1534:T1534)=1,"SERVICE READY","HOLD"))</f>
        <v>SOURCE EMPTY / INDUSTRIAL ONLY</v>
      </c>
      <c r="V1534" s="9" t="n">
        <f aca="false">IF(U1534="SERVICE READY",1,0)</f>
        <v>0</v>
      </c>
      <c r="W1534" s="6"/>
      <c r="X1534" s="6"/>
      <c r="Y1534" s="6"/>
      <c r="Z1534" s="6"/>
    </row>
    <row r="1535" customFormat="false" ht="15" hidden="false" customHeight="false" outlineLevel="0" collapsed="false">
      <c r="A1535" s="9" t="s">
        <v>1775</v>
      </c>
      <c r="B1535" s="9" t="s">
        <v>1733</v>
      </c>
      <c r="C1535" s="9" t="s">
        <v>1734</v>
      </c>
      <c r="D1535" s="9" t="s">
        <v>1735</v>
      </c>
      <c r="E1535" s="9" t="s">
        <v>275</v>
      </c>
      <c r="F1535" s="9" t="s">
        <v>209</v>
      </c>
      <c r="G1535" s="9" t="s">
        <v>221</v>
      </c>
      <c r="H1535" s="9" t="n">
        <v>1350</v>
      </c>
      <c r="I1535" s="29" t="n">
        <v>3</v>
      </c>
      <c r="J1535" s="9" t="n">
        <v>1</v>
      </c>
      <c r="K1535" s="30"/>
      <c r="L1535" s="30"/>
      <c r="M1535" s="30"/>
      <c r="N1535" s="30"/>
      <c r="O1535" s="30"/>
      <c r="P1535" s="30"/>
      <c r="Q1535" s="30"/>
      <c r="R1535" s="30"/>
      <c r="S1535" s="30"/>
      <c r="T1535" s="30"/>
      <c r="U1535" s="21" t="str">
        <f aca="false">IF(COUNT(K1535:T1535)=0,"SOURCE EMPTY / INDUSTRIAL ONLY",IF(MIN(K1535:T1535)=1,"SERVICE READY","HOLD"))</f>
        <v>SOURCE EMPTY / INDUSTRIAL ONLY</v>
      </c>
      <c r="V1535" s="9" t="n">
        <f aca="false">IF(U1535="SERVICE READY",1,0)</f>
        <v>0</v>
      </c>
      <c r="W1535" s="6"/>
      <c r="X1535" s="6"/>
      <c r="Y1535" s="6"/>
      <c r="Z1535" s="6"/>
    </row>
    <row r="1536" customFormat="false" ht="15" hidden="false" customHeight="false" outlineLevel="0" collapsed="false">
      <c r="A1536" s="9" t="s">
        <v>1776</v>
      </c>
      <c r="B1536" s="9" t="s">
        <v>1733</v>
      </c>
      <c r="C1536" s="9" t="s">
        <v>1734</v>
      </c>
      <c r="D1536" s="9" t="s">
        <v>1735</v>
      </c>
      <c r="E1536" s="9" t="s">
        <v>275</v>
      </c>
      <c r="F1536" s="9" t="s">
        <v>211</v>
      </c>
      <c r="G1536" s="9" t="s">
        <v>221</v>
      </c>
      <c r="H1536" s="9" t="n">
        <v>1350</v>
      </c>
      <c r="I1536" s="29" t="n">
        <v>3</v>
      </c>
      <c r="J1536" s="9" t="n">
        <v>1</v>
      </c>
      <c r="K1536" s="30"/>
      <c r="L1536" s="30"/>
      <c r="M1536" s="30"/>
      <c r="N1536" s="30"/>
      <c r="O1536" s="30"/>
      <c r="P1536" s="30"/>
      <c r="Q1536" s="30"/>
      <c r="R1536" s="30"/>
      <c r="S1536" s="30"/>
      <c r="T1536" s="30"/>
      <c r="U1536" s="21" t="str">
        <f aca="false">IF(COUNT(K1536:T1536)=0,"SOURCE EMPTY / INDUSTRIAL ONLY",IF(MIN(K1536:T1536)=1,"SERVICE READY","HOLD"))</f>
        <v>SOURCE EMPTY / INDUSTRIAL ONLY</v>
      </c>
      <c r="V1536" s="9" t="n">
        <f aca="false">IF(U1536="SERVICE READY",1,0)</f>
        <v>0</v>
      </c>
      <c r="W1536" s="6"/>
      <c r="X1536" s="6"/>
      <c r="Y1536" s="6"/>
      <c r="Z1536" s="6"/>
    </row>
    <row r="1537" customFormat="false" ht="15" hidden="false" customHeight="false" outlineLevel="0" collapsed="false">
      <c r="A1537" s="9" t="s">
        <v>1777</v>
      </c>
      <c r="B1537" s="9" t="s">
        <v>1733</v>
      </c>
      <c r="C1537" s="9" t="s">
        <v>1734</v>
      </c>
      <c r="D1537" s="9" t="s">
        <v>1735</v>
      </c>
      <c r="E1537" s="9" t="s">
        <v>275</v>
      </c>
      <c r="F1537" s="9" t="s">
        <v>197</v>
      </c>
      <c r="G1537" s="9" t="s">
        <v>221</v>
      </c>
      <c r="H1537" s="9" t="n">
        <v>1350</v>
      </c>
      <c r="I1537" s="29" t="n">
        <v>3</v>
      </c>
      <c r="J1537" s="9" t="n">
        <v>1</v>
      </c>
      <c r="K1537" s="30"/>
      <c r="L1537" s="30"/>
      <c r="M1537" s="30"/>
      <c r="N1537" s="30"/>
      <c r="O1537" s="30"/>
      <c r="P1537" s="30"/>
      <c r="Q1537" s="30"/>
      <c r="R1537" s="30"/>
      <c r="S1537" s="30"/>
      <c r="T1537" s="30"/>
      <c r="U1537" s="21" t="str">
        <f aca="false">IF(COUNT(K1537:T1537)=0,"SOURCE EMPTY / INDUSTRIAL ONLY",IF(MIN(K1537:T1537)=1,"SERVICE READY","HOLD"))</f>
        <v>SOURCE EMPTY / INDUSTRIAL ONLY</v>
      </c>
      <c r="V1537" s="9" t="n">
        <f aca="false">IF(U1537="SERVICE READY",1,0)</f>
        <v>0</v>
      </c>
      <c r="W1537" s="6"/>
      <c r="X1537" s="6"/>
      <c r="Y1537" s="6"/>
      <c r="Z1537" s="6"/>
    </row>
    <row r="1538" customFormat="false" ht="15" hidden="false" customHeight="false" outlineLevel="0" collapsed="false">
      <c r="A1538" s="9" t="s">
        <v>1778</v>
      </c>
      <c r="B1538" s="9" t="s">
        <v>1733</v>
      </c>
      <c r="C1538" s="9" t="s">
        <v>1734</v>
      </c>
      <c r="D1538" s="9" t="s">
        <v>1735</v>
      </c>
      <c r="E1538" s="9" t="s">
        <v>275</v>
      </c>
      <c r="F1538" s="9" t="s">
        <v>200</v>
      </c>
      <c r="G1538" s="9" t="s">
        <v>221</v>
      </c>
      <c r="H1538" s="9" t="n">
        <v>1350</v>
      </c>
      <c r="I1538" s="29" t="n">
        <v>3</v>
      </c>
      <c r="J1538" s="9" t="n">
        <v>1</v>
      </c>
      <c r="K1538" s="30"/>
      <c r="L1538" s="30"/>
      <c r="M1538" s="30"/>
      <c r="N1538" s="30"/>
      <c r="O1538" s="30"/>
      <c r="P1538" s="30"/>
      <c r="Q1538" s="30"/>
      <c r="R1538" s="30"/>
      <c r="S1538" s="30"/>
      <c r="T1538" s="30"/>
      <c r="U1538" s="21" t="str">
        <f aca="false">IF(COUNT(K1538:T1538)=0,"SOURCE EMPTY / INDUSTRIAL ONLY",IF(MIN(K1538:T1538)=1,"SERVICE READY","HOLD"))</f>
        <v>SOURCE EMPTY / INDUSTRIAL ONLY</v>
      </c>
      <c r="V1538" s="9" t="n">
        <f aca="false">IF(U1538="SERVICE READY",1,0)</f>
        <v>0</v>
      </c>
      <c r="W1538" s="6"/>
      <c r="X1538" s="6"/>
      <c r="Y1538" s="6"/>
      <c r="Z1538" s="6"/>
    </row>
    <row r="1539" customFormat="false" ht="15" hidden="false" customHeight="false" outlineLevel="0" collapsed="false">
      <c r="A1539" s="9" t="s">
        <v>1779</v>
      </c>
      <c r="B1539" s="9" t="s">
        <v>1733</v>
      </c>
      <c r="C1539" s="9" t="s">
        <v>1734</v>
      </c>
      <c r="D1539" s="9" t="s">
        <v>1735</v>
      </c>
      <c r="E1539" s="9" t="s">
        <v>275</v>
      </c>
      <c r="F1539" s="9" t="s">
        <v>203</v>
      </c>
      <c r="G1539" s="9" t="s">
        <v>221</v>
      </c>
      <c r="H1539" s="9" t="n">
        <v>1350</v>
      </c>
      <c r="I1539" s="29" t="n">
        <v>3</v>
      </c>
      <c r="J1539" s="9" t="n">
        <v>1</v>
      </c>
      <c r="K1539" s="30"/>
      <c r="L1539" s="30"/>
      <c r="M1539" s="30"/>
      <c r="N1539" s="30"/>
      <c r="O1539" s="30"/>
      <c r="P1539" s="30"/>
      <c r="Q1539" s="30"/>
      <c r="R1539" s="30"/>
      <c r="S1539" s="30"/>
      <c r="T1539" s="30"/>
      <c r="U1539" s="21" t="str">
        <f aca="false">IF(COUNT(K1539:T1539)=0,"SOURCE EMPTY / INDUSTRIAL ONLY",IF(MIN(K1539:T1539)=1,"SERVICE READY","HOLD"))</f>
        <v>SOURCE EMPTY / INDUSTRIAL ONLY</v>
      </c>
      <c r="V1539" s="9" t="n">
        <f aca="false">IF(U1539="SERVICE READY",1,0)</f>
        <v>0</v>
      </c>
      <c r="W1539" s="6"/>
      <c r="X1539" s="6"/>
      <c r="Y1539" s="6"/>
      <c r="Z1539" s="6"/>
    </row>
    <row r="1540" customFormat="false" ht="15" hidden="false" customHeight="false" outlineLevel="0" collapsed="false">
      <c r="A1540" s="9" t="s">
        <v>1780</v>
      </c>
      <c r="B1540" s="9" t="s">
        <v>1733</v>
      </c>
      <c r="C1540" s="9" t="s">
        <v>1734</v>
      </c>
      <c r="D1540" s="9" t="s">
        <v>1735</v>
      </c>
      <c r="E1540" s="9" t="s">
        <v>275</v>
      </c>
      <c r="F1540" s="9" t="s">
        <v>205</v>
      </c>
      <c r="G1540" s="9" t="s">
        <v>221</v>
      </c>
      <c r="H1540" s="9" t="n">
        <v>1350</v>
      </c>
      <c r="I1540" s="29" t="n">
        <v>3</v>
      </c>
      <c r="J1540" s="9" t="n">
        <v>1</v>
      </c>
      <c r="K1540" s="30"/>
      <c r="L1540" s="30"/>
      <c r="M1540" s="30"/>
      <c r="N1540" s="30"/>
      <c r="O1540" s="30"/>
      <c r="P1540" s="30"/>
      <c r="Q1540" s="30"/>
      <c r="R1540" s="30"/>
      <c r="S1540" s="30"/>
      <c r="T1540" s="30"/>
      <c r="U1540" s="21" t="str">
        <f aca="false">IF(COUNT(K1540:T1540)=0,"SOURCE EMPTY / INDUSTRIAL ONLY",IF(MIN(K1540:T1540)=1,"SERVICE READY","HOLD"))</f>
        <v>SOURCE EMPTY / INDUSTRIAL ONLY</v>
      </c>
      <c r="V1540" s="9" t="n">
        <f aca="false">IF(U1540="SERVICE READY",1,0)</f>
        <v>0</v>
      </c>
      <c r="W1540" s="6"/>
      <c r="X1540" s="6"/>
      <c r="Y1540" s="6"/>
      <c r="Z1540" s="6"/>
    </row>
    <row r="1541" customFormat="false" ht="15" hidden="false" customHeight="false" outlineLevel="0" collapsed="false">
      <c r="A1541" s="9" t="s">
        <v>1781</v>
      </c>
      <c r="B1541" s="9" t="s">
        <v>1733</v>
      </c>
      <c r="C1541" s="9" t="s">
        <v>1734</v>
      </c>
      <c r="D1541" s="9" t="s">
        <v>1735</v>
      </c>
      <c r="E1541" s="9" t="s">
        <v>275</v>
      </c>
      <c r="F1541" s="9" t="s">
        <v>207</v>
      </c>
      <c r="G1541" s="9" t="s">
        <v>221</v>
      </c>
      <c r="H1541" s="9" t="n">
        <v>1350</v>
      </c>
      <c r="I1541" s="29" t="n">
        <v>3</v>
      </c>
      <c r="J1541" s="9" t="n">
        <v>1</v>
      </c>
      <c r="K1541" s="30"/>
      <c r="L1541" s="30"/>
      <c r="M1541" s="30"/>
      <c r="N1541" s="30"/>
      <c r="O1541" s="30"/>
      <c r="P1541" s="30"/>
      <c r="Q1541" s="30"/>
      <c r="R1541" s="30"/>
      <c r="S1541" s="30"/>
      <c r="T1541" s="30"/>
      <c r="U1541" s="21" t="str">
        <f aca="false">IF(COUNT(K1541:T1541)=0,"SOURCE EMPTY / INDUSTRIAL ONLY",IF(MIN(K1541:T1541)=1,"SERVICE READY","HOLD"))</f>
        <v>SOURCE EMPTY / INDUSTRIAL ONLY</v>
      </c>
      <c r="V1541" s="9" t="n">
        <f aca="false">IF(U1541="SERVICE READY",1,0)</f>
        <v>0</v>
      </c>
      <c r="W1541" s="6"/>
      <c r="X1541" s="6"/>
      <c r="Y1541" s="6"/>
      <c r="Z1541" s="6"/>
    </row>
    <row r="1542" customFormat="false" ht="15" hidden="false" customHeight="false" outlineLevel="0" collapsed="false">
      <c r="A1542" s="9" t="s">
        <v>1782</v>
      </c>
      <c r="B1542" s="9" t="s">
        <v>1733</v>
      </c>
      <c r="C1542" s="9" t="s">
        <v>1734</v>
      </c>
      <c r="D1542" s="9" t="s">
        <v>1735</v>
      </c>
      <c r="E1542" s="9" t="s">
        <v>275</v>
      </c>
      <c r="F1542" s="9" t="s">
        <v>209</v>
      </c>
      <c r="G1542" s="9" t="s">
        <v>221</v>
      </c>
      <c r="H1542" s="9" t="n">
        <v>1350</v>
      </c>
      <c r="I1542" s="29" t="n">
        <v>3</v>
      </c>
      <c r="J1542" s="9" t="n">
        <v>1</v>
      </c>
      <c r="K1542" s="30"/>
      <c r="L1542" s="30"/>
      <c r="M1542" s="30"/>
      <c r="N1542" s="30"/>
      <c r="O1542" s="30"/>
      <c r="P1542" s="30"/>
      <c r="Q1542" s="30"/>
      <c r="R1542" s="30"/>
      <c r="S1542" s="30"/>
      <c r="T1542" s="30"/>
      <c r="U1542" s="21" t="str">
        <f aca="false">IF(COUNT(K1542:T1542)=0,"SOURCE EMPTY / INDUSTRIAL ONLY",IF(MIN(K1542:T1542)=1,"SERVICE READY","HOLD"))</f>
        <v>SOURCE EMPTY / INDUSTRIAL ONLY</v>
      </c>
      <c r="V1542" s="9" t="n">
        <f aca="false">IF(U1542="SERVICE READY",1,0)</f>
        <v>0</v>
      </c>
      <c r="W1542" s="6"/>
      <c r="X1542" s="6"/>
      <c r="Y1542" s="6"/>
      <c r="Z1542" s="6"/>
    </row>
    <row r="1543" customFormat="false" ht="15" hidden="false" customHeight="false" outlineLevel="0" collapsed="false">
      <c r="A1543" s="9" t="s">
        <v>1783</v>
      </c>
      <c r="B1543" s="9" t="s">
        <v>1733</v>
      </c>
      <c r="C1543" s="9" t="s">
        <v>1734</v>
      </c>
      <c r="D1543" s="9" t="s">
        <v>1735</v>
      </c>
      <c r="E1543" s="9" t="s">
        <v>275</v>
      </c>
      <c r="F1543" s="9" t="s">
        <v>211</v>
      </c>
      <c r="G1543" s="9" t="s">
        <v>221</v>
      </c>
      <c r="H1543" s="9" t="n">
        <v>1350</v>
      </c>
      <c r="I1543" s="29" t="n">
        <v>3</v>
      </c>
      <c r="J1543" s="9" t="n">
        <v>1</v>
      </c>
      <c r="K1543" s="30"/>
      <c r="L1543" s="30"/>
      <c r="M1543" s="30"/>
      <c r="N1543" s="30"/>
      <c r="O1543" s="30"/>
      <c r="P1543" s="30"/>
      <c r="Q1543" s="30"/>
      <c r="R1543" s="30"/>
      <c r="S1543" s="30"/>
      <c r="T1543" s="30"/>
      <c r="U1543" s="21" t="str">
        <f aca="false">IF(COUNT(K1543:T1543)=0,"SOURCE EMPTY / INDUSTRIAL ONLY",IF(MIN(K1543:T1543)=1,"SERVICE READY","HOLD"))</f>
        <v>SOURCE EMPTY / INDUSTRIAL ONLY</v>
      </c>
      <c r="V1543" s="9" t="n">
        <f aca="false">IF(U1543="SERVICE READY",1,0)</f>
        <v>0</v>
      </c>
      <c r="W1543" s="6"/>
      <c r="X1543" s="6"/>
      <c r="Y1543" s="6"/>
      <c r="Z1543" s="6"/>
    </row>
    <row r="1544" customFormat="false" ht="15" hidden="false" customHeight="false" outlineLevel="0" collapsed="false">
      <c r="A1544" s="9" t="s">
        <v>1784</v>
      </c>
      <c r="B1544" s="9" t="s">
        <v>1733</v>
      </c>
      <c r="C1544" s="9" t="s">
        <v>1734</v>
      </c>
      <c r="D1544" s="9" t="s">
        <v>1735</v>
      </c>
      <c r="E1544" s="9" t="s">
        <v>275</v>
      </c>
      <c r="F1544" s="9" t="s">
        <v>197</v>
      </c>
      <c r="G1544" s="9" t="s">
        <v>221</v>
      </c>
      <c r="H1544" s="9" t="n">
        <v>1350</v>
      </c>
      <c r="I1544" s="29" t="n">
        <v>3</v>
      </c>
      <c r="J1544" s="9" t="n">
        <v>0</v>
      </c>
      <c r="K1544" s="30"/>
      <c r="L1544" s="30"/>
      <c r="M1544" s="30"/>
      <c r="N1544" s="30"/>
      <c r="O1544" s="30"/>
      <c r="P1544" s="30"/>
      <c r="Q1544" s="30"/>
      <c r="R1544" s="30"/>
      <c r="S1544" s="30"/>
      <c r="T1544" s="30"/>
      <c r="U1544" s="21" t="str">
        <f aca="false">IF(COUNT(K1544:T1544)=0,"SOURCE EMPTY / INDUSTRIAL ONLY",IF(MIN(K1544:T1544)=1,"SERVICE READY","HOLD"))</f>
        <v>SOURCE EMPTY / INDUSTRIAL ONLY</v>
      </c>
      <c r="V1544" s="9" t="n">
        <f aca="false">IF(U1544="SERVICE READY",1,0)</f>
        <v>0</v>
      </c>
      <c r="W1544" s="6"/>
      <c r="X1544" s="6"/>
      <c r="Y1544" s="6"/>
      <c r="Z1544" s="6"/>
    </row>
    <row r="1545" customFormat="false" ht="15" hidden="false" customHeight="false" outlineLevel="0" collapsed="false">
      <c r="A1545" s="9" t="s">
        <v>1785</v>
      </c>
      <c r="B1545" s="9" t="s">
        <v>1733</v>
      </c>
      <c r="C1545" s="9" t="s">
        <v>1734</v>
      </c>
      <c r="D1545" s="9" t="s">
        <v>1735</v>
      </c>
      <c r="E1545" s="9" t="s">
        <v>275</v>
      </c>
      <c r="F1545" s="9" t="s">
        <v>200</v>
      </c>
      <c r="G1545" s="9" t="s">
        <v>221</v>
      </c>
      <c r="H1545" s="9" t="n">
        <v>1350</v>
      </c>
      <c r="I1545" s="29" t="n">
        <v>3</v>
      </c>
      <c r="J1545" s="9" t="n">
        <v>0</v>
      </c>
      <c r="K1545" s="30"/>
      <c r="L1545" s="30"/>
      <c r="M1545" s="30"/>
      <c r="N1545" s="30"/>
      <c r="O1545" s="30"/>
      <c r="P1545" s="30"/>
      <c r="Q1545" s="30"/>
      <c r="R1545" s="30"/>
      <c r="S1545" s="30"/>
      <c r="T1545" s="30"/>
      <c r="U1545" s="21" t="str">
        <f aca="false">IF(COUNT(K1545:T1545)=0,"SOURCE EMPTY / INDUSTRIAL ONLY",IF(MIN(K1545:T1545)=1,"SERVICE READY","HOLD"))</f>
        <v>SOURCE EMPTY / INDUSTRIAL ONLY</v>
      </c>
      <c r="V1545" s="9" t="n">
        <f aca="false">IF(U1545="SERVICE READY",1,0)</f>
        <v>0</v>
      </c>
      <c r="W1545" s="6"/>
      <c r="X1545" s="6"/>
      <c r="Y1545" s="6"/>
      <c r="Z1545" s="6"/>
    </row>
    <row r="1546" customFormat="false" ht="15" hidden="false" customHeight="false" outlineLevel="0" collapsed="false">
      <c r="A1546" s="9" t="s">
        <v>1786</v>
      </c>
      <c r="B1546" s="9" t="s">
        <v>1733</v>
      </c>
      <c r="C1546" s="9" t="s">
        <v>1734</v>
      </c>
      <c r="D1546" s="9" t="s">
        <v>1735</v>
      </c>
      <c r="E1546" s="9" t="s">
        <v>275</v>
      </c>
      <c r="F1546" s="9" t="s">
        <v>203</v>
      </c>
      <c r="G1546" s="9" t="s">
        <v>221</v>
      </c>
      <c r="H1546" s="9" t="n">
        <v>1350</v>
      </c>
      <c r="I1546" s="29" t="n">
        <v>3</v>
      </c>
      <c r="J1546" s="9" t="n">
        <v>0</v>
      </c>
      <c r="K1546" s="30"/>
      <c r="L1546" s="30"/>
      <c r="M1546" s="30"/>
      <c r="N1546" s="30"/>
      <c r="O1546" s="30"/>
      <c r="P1546" s="30"/>
      <c r="Q1546" s="30"/>
      <c r="R1546" s="30"/>
      <c r="S1546" s="30"/>
      <c r="T1546" s="30"/>
      <c r="U1546" s="21" t="str">
        <f aca="false">IF(COUNT(K1546:T1546)=0,"SOURCE EMPTY / INDUSTRIAL ONLY",IF(MIN(K1546:T1546)=1,"SERVICE READY","HOLD"))</f>
        <v>SOURCE EMPTY / INDUSTRIAL ONLY</v>
      </c>
      <c r="V1546" s="9" t="n">
        <f aca="false">IF(U1546="SERVICE READY",1,0)</f>
        <v>0</v>
      </c>
      <c r="W1546" s="6"/>
      <c r="X1546" s="6"/>
      <c r="Y1546" s="6"/>
      <c r="Z1546" s="6"/>
    </row>
    <row r="1547" customFormat="false" ht="15" hidden="false" customHeight="false" outlineLevel="0" collapsed="false">
      <c r="A1547" s="9" t="s">
        <v>1787</v>
      </c>
      <c r="B1547" s="9" t="s">
        <v>1733</v>
      </c>
      <c r="C1547" s="9" t="s">
        <v>1734</v>
      </c>
      <c r="D1547" s="9" t="s">
        <v>1735</v>
      </c>
      <c r="E1547" s="9" t="s">
        <v>275</v>
      </c>
      <c r="F1547" s="9" t="s">
        <v>205</v>
      </c>
      <c r="G1547" s="9" t="s">
        <v>221</v>
      </c>
      <c r="H1547" s="9" t="n">
        <v>1350</v>
      </c>
      <c r="I1547" s="29" t="n">
        <v>3</v>
      </c>
      <c r="J1547" s="9" t="n">
        <v>0</v>
      </c>
      <c r="K1547" s="30"/>
      <c r="L1547" s="30"/>
      <c r="M1547" s="30"/>
      <c r="N1547" s="30"/>
      <c r="O1547" s="30"/>
      <c r="P1547" s="30"/>
      <c r="Q1547" s="30"/>
      <c r="R1547" s="30"/>
      <c r="S1547" s="30"/>
      <c r="T1547" s="30"/>
      <c r="U1547" s="21" t="str">
        <f aca="false">IF(COUNT(K1547:T1547)=0,"SOURCE EMPTY / INDUSTRIAL ONLY",IF(MIN(K1547:T1547)=1,"SERVICE READY","HOLD"))</f>
        <v>SOURCE EMPTY / INDUSTRIAL ONLY</v>
      </c>
      <c r="V1547" s="9" t="n">
        <f aca="false">IF(U1547="SERVICE READY",1,0)</f>
        <v>0</v>
      </c>
      <c r="W1547" s="6"/>
      <c r="X1547" s="6"/>
      <c r="Y1547" s="6"/>
      <c r="Z1547" s="6"/>
    </row>
    <row r="1548" customFormat="false" ht="15" hidden="false" customHeight="false" outlineLevel="0" collapsed="false">
      <c r="A1548" s="9" t="s">
        <v>1788</v>
      </c>
      <c r="B1548" s="9" t="s">
        <v>1733</v>
      </c>
      <c r="C1548" s="9" t="s">
        <v>1734</v>
      </c>
      <c r="D1548" s="9" t="s">
        <v>1735</v>
      </c>
      <c r="E1548" s="9" t="s">
        <v>275</v>
      </c>
      <c r="F1548" s="9" t="s">
        <v>207</v>
      </c>
      <c r="G1548" s="9" t="s">
        <v>221</v>
      </c>
      <c r="H1548" s="9" t="n">
        <v>1350</v>
      </c>
      <c r="I1548" s="29" t="n">
        <v>3</v>
      </c>
      <c r="J1548" s="9" t="n">
        <v>0</v>
      </c>
      <c r="K1548" s="30"/>
      <c r="L1548" s="30"/>
      <c r="M1548" s="30"/>
      <c r="N1548" s="30"/>
      <c r="O1548" s="30"/>
      <c r="P1548" s="30"/>
      <c r="Q1548" s="30"/>
      <c r="R1548" s="30"/>
      <c r="S1548" s="30"/>
      <c r="T1548" s="30"/>
      <c r="U1548" s="21" t="str">
        <f aca="false">IF(COUNT(K1548:T1548)=0,"SOURCE EMPTY / INDUSTRIAL ONLY",IF(MIN(K1548:T1548)=1,"SERVICE READY","HOLD"))</f>
        <v>SOURCE EMPTY / INDUSTRIAL ONLY</v>
      </c>
      <c r="V1548" s="9" t="n">
        <f aca="false">IF(U1548="SERVICE READY",1,0)</f>
        <v>0</v>
      </c>
      <c r="W1548" s="6"/>
      <c r="X1548" s="6"/>
      <c r="Y1548" s="6"/>
      <c r="Z1548" s="6"/>
    </row>
    <row r="1549" customFormat="false" ht="15" hidden="false" customHeight="false" outlineLevel="0" collapsed="false">
      <c r="A1549" s="9" t="s">
        <v>1789</v>
      </c>
      <c r="B1549" s="9" t="s">
        <v>1733</v>
      </c>
      <c r="C1549" s="9" t="s">
        <v>1734</v>
      </c>
      <c r="D1549" s="9" t="s">
        <v>1735</v>
      </c>
      <c r="E1549" s="9" t="s">
        <v>275</v>
      </c>
      <c r="F1549" s="9" t="s">
        <v>209</v>
      </c>
      <c r="G1549" s="9" t="s">
        <v>221</v>
      </c>
      <c r="H1549" s="9" t="n">
        <v>1350</v>
      </c>
      <c r="I1549" s="29" t="n">
        <v>3</v>
      </c>
      <c r="J1549" s="9" t="n">
        <v>0</v>
      </c>
      <c r="K1549" s="30"/>
      <c r="L1549" s="30"/>
      <c r="M1549" s="30"/>
      <c r="N1549" s="30"/>
      <c r="O1549" s="30"/>
      <c r="P1549" s="30"/>
      <c r="Q1549" s="30"/>
      <c r="R1549" s="30"/>
      <c r="S1549" s="30"/>
      <c r="T1549" s="30"/>
      <c r="U1549" s="21" t="str">
        <f aca="false">IF(COUNT(K1549:T1549)=0,"SOURCE EMPTY / INDUSTRIAL ONLY",IF(MIN(K1549:T1549)=1,"SERVICE READY","HOLD"))</f>
        <v>SOURCE EMPTY / INDUSTRIAL ONLY</v>
      </c>
      <c r="V1549" s="9" t="n">
        <f aca="false">IF(U1549="SERVICE READY",1,0)</f>
        <v>0</v>
      </c>
      <c r="W1549" s="6"/>
      <c r="X1549" s="6"/>
      <c r="Y1549" s="6"/>
      <c r="Z1549" s="6"/>
    </row>
    <row r="1550" customFormat="false" ht="15" hidden="false" customHeight="false" outlineLevel="0" collapsed="false">
      <c r="A1550" s="9" t="s">
        <v>1790</v>
      </c>
      <c r="B1550" s="9" t="s">
        <v>1733</v>
      </c>
      <c r="C1550" s="9" t="s">
        <v>1734</v>
      </c>
      <c r="D1550" s="9" t="s">
        <v>1735</v>
      </c>
      <c r="E1550" s="9" t="s">
        <v>275</v>
      </c>
      <c r="F1550" s="9" t="s">
        <v>211</v>
      </c>
      <c r="G1550" s="9" t="s">
        <v>221</v>
      </c>
      <c r="H1550" s="9" t="n">
        <v>1350</v>
      </c>
      <c r="I1550" s="29" t="n">
        <v>3</v>
      </c>
      <c r="J1550" s="9" t="n">
        <v>0</v>
      </c>
      <c r="K1550" s="30"/>
      <c r="L1550" s="30"/>
      <c r="M1550" s="30"/>
      <c r="N1550" s="30"/>
      <c r="O1550" s="30"/>
      <c r="P1550" s="30"/>
      <c r="Q1550" s="30"/>
      <c r="R1550" s="30"/>
      <c r="S1550" s="30"/>
      <c r="T1550" s="30"/>
      <c r="U1550" s="21" t="str">
        <f aca="false">IF(COUNT(K1550:T1550)=0,"SOURCE EMPTY / INDUSTRIAL ONLY",IF(MIN(K1550:T1550)=1,"SERVICE READY","HOLD"))</f>
        <v>SOURCE EMPTY / INDUSTRIAL ONLY</v>
      </c>
      <c r="V1550" s="9" t="n">
        <f aca="false">IF(U1550="SERVICE READY",1,0)</f>
        <v>0</v>
      </c>
      <c r="W1550" s="6"/>
      <c r="X1550" s="6"/>
      <c r="Y1550" s="6"/>
      <c r="Z1550" s="6"/>
    </row>
    <row r="1551" customFormat="false" ht="15" hidden="false" customHeight="false" outlineLevel="0" collapsed="false">
      <c r="A1551" s="9" t="s">
        <v>1791</v>
      </c>
      <c r="B1551" s="9" t="s">
        <v>1733</v>
      </c>
      <c r="C1551" s="9" t="s">
        <v>1734</v>
      </c>
      <c r="D1551" s="9" t="s">
        <v>1735</v>
      </c>
      <c r="E1551" s="9" t="s">
        <v>275</v>
      </c>
      <c r="F1551" s="9" t="s">
        <v>197</v>
      </c>
      <c r="G1551" s="9" t="s">
        <v>221</v>
      </c>
      <c r="H1551" s="9" t="n">
        <v>1350</v>
      </c>
      <c r="I1551" s="29" t="n">
        <v>3</v>
      </c>
      <c r="J1551" s="9" t="n">
        <v>0</v>
      </c>
      <c r="K1551" s="30"/>
      <c r="L1551" s="30"/>
      <c r="M1551" s="30"/>
      <c r="N1551" s="30"/>
      <c r="O1551" s="30"/>
      <c r="P1551" s="30"/>
      <c r="Q1551" s="30"/>
      <c r="R1551" s="30"/>
      <c r="S1551" s="30"/>
      <c r="T1551" s="30"/>
      <c r="U1551" s="21" t="str">
        <f aca="false">IF(COUNT(K1551:T1551)=0,"SOURCE EMPTY / INDUSTRIAL ONLY",IF(MIN(K1551:T1551)=1,"SERVICE READY","HOLD"))</f>
        <v>SOURCE EMPTY / INDUSTRIAL ONLY</v>
      </c>
      <c r="V1551" s="9" t="n">
        <f aca="false">IF(U1551="SERVICE READY",1,0)</f>
        <v>0</v>
      </c>
      <c r="W1551" s="6"/>
      <c r="X1551" s="6"/>
      <c r="Y1551" s="6"/>
      <c r="Z1551" s="6"/>
    </row>
    <row r="1552" customFormat="false" ht="15" hidden="false" customHeight="false" outlineLevel="0" collapsed="false">
      <c r="A1552" s="9" t="s">
        <v>1792</v>
      </c>
      <c r="B1552" s="9" t="s">
        <v>1733</v>
      </c>
      <c r="C1552" s="9" t="s">
        <v>1734</v>
      </c>
      <c r="D1552" s="9" t="s">
        <v>1735</v>
      </c>
      <c r="E1552" s="9" t="s">
        <v>275</v>
      </c>
      <c r="F1552" s="9" t="s">
        <v>200</v>
      </c>
      <c r="G1552" s="9" t="s">
        <v>221</v>
      </c>
      <c r="H1552" s="9" t="n">
        <v>1350</v>
      </c>
      <c r="I1552" s="29" t="n">
        <v>3</v>
      </c>
      <c r="J1552" s="9" t="n">
        <v>0</v>
      </c>
      <c r="K1552" s="30"/>
      <c r="L1552" s="30"/>
      <c r="M1552" s="30"/>
      <c r="N1552" s="30"/>
      <c r="O1552" s="30"/>
      <c r="P1552" s="30"/>
      <c r="Q1552" s="30"/>
      <c r="R1552" s="30"/>
      <c r="S1552" s="30"/>
      <c r="T1552" s="30"/>
      <c r="U1552" s="21" t="str">
        <f aca="false">IF(COUNT(K1552:T1552)=0,"SOURCE EMPTY / INDUSTRIAL ONLY",IF(MIN(K1552:T1552)=1,"SERVICE READY","HOLD"))</f>
        <v>SOURCE EMPTY / INDUSTRIAL ONLY</v>
      </c>
      <c r="V1552" s="9" t="n">
        <f aca="false">IF(U1552="SERVICE READY",1,0)</f>
        <v>0</v>
      </c>
      <c r="W1552" s="6"/>
      <c r="X1552" s="6"/>
      <c r="Y1552" s="6"/>
      <c r="Z1552" s="6"/>
    </row>
    <row r="1553" customFormat="false" ht="15" hidden="false" customHeight="false" outlineLevel="0" collapsed="false">
      <c r="A1553" s="9" t="s">
        <v>1793</v>
      </c>
      <c r="B1553" s="9" t="s">
        <v>1733</v>
      </c>
      <c r="C1553" s="9" t="s">
        <v>1734</v>
      </c>
      <c r="D1553" s="9" t="s">
        <v>1735</v>
      </c>
      <c r="E1553" s="9" t="s">
        <v>275</v>
      </c>
      <c r="F1553" s="9" t="s">
        <v>203</v>
      </c>
      <c r="G1553" s="9" t="s">
        <v>221</v>
      </c>
      <c r="H1553" s="9" t="n">
        <v>1350</v>
      </c>
      <c r="I1553" s="29" t="n">
        <v>3</v>
      </c>
      <c r="J1553" s="9" t="n">
        <v>0</v>
      </c>
      <c r="K1553" s="30"/>
      <c r="L1553" s="30"/>
      <c r="M1553" s="30"/>
      <c r="N1553" s="30"/>
      <c r="O1553" s="30"/>
      <c r="P1553" s="30"/>
      <c r="Q1553" s="30"/>
      <c r="R1553" s="30"/>
      <c r="S1553" s="30"/>
      <c r="T1553" s="30"/>
      <c r="U1553" s="21" t="str">
        <f aca="false">IF(COUNT(K1553:T1553)=0,"SOURCE EMPTY / INDUSTRIAL ONLY",IF(MIN(K1553:T1553)=1,"SERVICE READY","HOLD"))</f>
        <v>SOURCE EMPTY / INDUSTRIAL ONLY</v>
      </c>
      <c r="V1553" s="9" t="n">
        <f aca="false">IF(U1553="SERVICE READY",1,0)</f>
        <v>0</v>
      </c>
      <c r="W1553" s="6"/>
      <c r="X1553" s="6"/>
      <c r="Y1553" s="6"/>
      <c r="Z1553" s="6"/>
    </row>
    <row r="1554" customFormat="false" ht="15" hidden="false" customHeight="false" outlineLevel="0" collapsed="false">
      <c r="A1554" s="9" t="s">
        <v>1794</v>
      </c>
      <c r="B1554" s="9" t="s">
        <v>1733</v>
      </c>
      <c r="C1554" s="9" t="s">
        <v>1734</v>
      </c>
      <c r="D1554" s="9" t="s">
        <v>1735</v>
      </c>
      <c r="E1554" s="9" t="s">
        <v>275</v>
      </c>
      <c r="F1554" s="9" t="s">
        <v>205</v>
      </c>
      <c r="G1554" s="9" t="s">
        <v>221</v>
      </c>
      <c r="H1554" s="9" t="n">
        <v>1350</v>
      </c>
      <c r="I1554" s="29" t="n">
        <v>3</v>
      </c>
      <c r="J1554" s="9" t="n">
        <v>0</v>
      </c>
      <c r="K1554" s="30"/>
      <c r="L1554" s="30"/>
      <c r="M1554" s="30"/>
      <c r="N1554" s="30"/>
      <c r="O1554" s="30"/>
      <c r="P1554" s="30"/>
      <c r="Q1554" s="30"/>
      <c r="R1554" s="30"/>
      <c r="S1554" s="30"/>
      <c r="T1554" s="30"/>
      <c r="U1554" s="21" t="str">
        <f aca="false">IF(COUNT(K1554:T1554)=0,"SOURCE EMPTY / INDUSTRIAL ONLY",IF(MIN(K1554:T1554)=1,"SERVICE READY","HOLD"))</f>
        <v>SOURCE EMPTY / INDUSTRIAL ONLY</v>
      </c>
      <c r="V1554" s="9" t="n">
        <f aca="false">IF(U1554="SERVICE READY",1,0)</f>
        <v>0</v>
      </c>
      <c r="W1554" s="6"/>
      <c r="X1554" s="6"/>
      <c r="Y1554" s="6"/>
      <c r="Z1554" s="6"/>
    </row>
    <row r="1555" customFormat="false" ht="15" hidden="false" customHeight="false" outlineLevel="0" collapsed="false">
      <c r="A1555" s="9" t="s">
        <v>1795</v>
      </c>
      <c r="B1555" s="9" t="s">
        <v>1733</v>
      </c>
      <c r="C1555" s="9" t="s">
        <v>1734</v>
      </c>
      <c r="D1555" s="9" t="s">
        <v>1735</v>
      </c>
      <c r="E1555" s="9" t="s">
        <v>275</v>
      </c>
      <c r="F1555" s="9" t="s">
        <v>207</v>
      </c>
      <c r="G1555" s="9" t="s">
        <v>221</v>
      </c>
      <c r="H1555" s="9" t="n">
        <v>1350</v>
      </c>
      <c r="I1555" s="29" t="n">
        <v>3</v>
      </c>
      <c r="J1555" s="9" t="n">
        <v>0</v>
      </c>
      <c r="K1555" s="30"/>
      <c r="L1555" s="30"/>
      <c r="M1555" s="30"/>
      <c r="N1555" s="30"/>
      <c r="O1555" s="30"/>
      <c r="P1555" s="30"/>
      <c r="Q1555" s="30"/>
      <c r="R1555" s="30"/>
      <c r="S1555" s="30"/>
      <c r="T1555" s="30"/>
      <c r="U1555" s="21" t="str">
        <f aca="false">IF(COUNT(K1555:T1555)=0,"SOURCE EMPTY / INDUSTRIAL ONLY",IF(MIN(K1555:T1555)=1,"SERVICE READY","HOLD"))</f>
        <v>SOURCE EMPTY / INDUSTRIAL ONLY</v>
      </c>
      <c r="V1555" s="9" t="n">
        <f aca="false">IF(U1555="SERVICE READY",1,0)</f>
        <v>0</v>
      </c>
      <c r="W1555" s="6"/>
      <c r="X1555" s="6"/>
      <c r="Y1555" s="6"/>
      <c r="Z1555" s="6"/>
    </row>
    <row r="1556" customFormat="false" ht="15" hidden="false" customHeight="false" outlineLevel="0" collapsed="false">
      <c r="A1556" s="9" t="s">
        <v>1796</v>
      </c>
      <c r="B1556" s="9" t="s">
        <v>1733</v>
      </c>
      <c r="C1556" s="9" t="s">
        <v>1734</v>
      </c>
      <c r="D1556" s="9" t="s">
        <v>1735</v>
      </c>
      <c r="E1556" s="9" t="s">
        <v>275</v>
      </c>
      <c r="F1556" s="9" t="s">
        <v>209</v>
      </c>
      <c r="G1556" s="9" t="s">
        <v>221</v>
      </c>
      <c r="H1556" s="9" t="n">
        <v>1350</v>
      </c>
      <c r="I1556" s="29" t="n">
        <v>3</v>
      </c>
      <c r="J1556" s="9" t="n">
        <v>0</v>
      </c>
      <c r="K1556" s="30"/>
      <c r="L1556" s="30"/>
      <c r="M1556" s="30"/>
      <c r="N1556" s="30"/>
      <c r="O1556" s="30"/>
      <c r="P1556" s="30"/>
      <c r="Q1556" s="30"/>
      <c r="R1556" s="30"/>
      <c r="S1556" s="30"/>
      <c r="T1556" s="30"/>
      <c r="U1556" s="21" t="str">
        <f aca="false">IF(COUNT(K1556:T1556)=0,"SOURCE EMPTY / INDUSTRIAL ONLY",IF(MIN(K1556:T1556)=1,"SERVICE READY","HOLD"))</f>
        <v>SOURCE EMPTY / INDUSTRIAL ONLY</v>
      </c>
      <c r="V1556" s="9" t="n">
        <f aca="false">IF(U1556="SERVICE READY",1,0)</f>
        <v>0</v>
      </c>
      <c r="W1556" s="6"/>
      <c r="X1556" s="6"/>
      <c r="Y1556" s="6"/>
      <c r="Z1556" s="6"/>
    </row>
    <row r="1557" customFormat="false" ht="15" hidden="false" customHeight="false" outlineLevel="0" collapsed="false">
      <c r="A1557" s="9" t="s">
        <v>1797</v>
      </c>
      <c r="B1557" s="9" t="s">
        <v>1733</v>
      </c>
      <c r="C1557" s="9" t="s">
        <v>1734</v>
      </c>
      <c r="D1557" s="9" t="s">
        <v>1735</v>
      </c>
      <c r="E1557" s="9" t="s">
        <v>275</v>
      </c>
      <c r="F1557" s="9" t="s">
        <v>211</v>
      </c>
      <c r="G1557" s="9" t="s">
        <v>221</v>
      </c>
      <c r="H1557" s="9" t="n">
        <v>1350</v>
      </c>
      <c r="I1557" s="29" t="n">
        <v>3</v>
      </c>
      <c r="J1557" s="9" t="n">
        <v>0</v>
      </c>
      <c r="K1557" s="30"/>
      <c r="L1557" s="30"/>
      <c r="M1557" s="30"/>
      <c r="N1557" s="30"/>
      <c r="O1557" s="30"/>
      <c r="P1557" s="30"/>
      <c r="Q1557" s="30"/>
      <c r="R1557" s="30"/>
      <c r="S1557" s="30"/>
      <c r="T1557" s="30"/>
      <c r="U1557" s="21" t="str">
        <f aca="false">IF(COUNT(K1557:T1557)=0,"SOURCE EMPTY / INDUSTRIAL ONLY",IF(MIN(K1557:T1557)=1,"SERVICE READY","HOLD"))</f>
        <v>SOURCE EMPTY / INDUSTRIAL ONLY</v>
      </c>
      <c r="V1557" s="9" t="n">
        <f aca="false">IF(U1557="SERVICE READY",1,0)</f>
        <v>0</v>
      </c>
      <c r="W1557" s="6"/>
      <c r="X1557" s="6"/>
      <c r="Y1557" s="6"/>
      <c r="Z1557" s="6"/>
    </row>
    <row r="1558" customFormat="false" ht="15" hidden="false" customHeight="false" outlineLevel="0" collapsed="false">
      <c r="A1558" s="9" t="s">
        <v>1798</v>
      </c>
      <c r="B1558" s="9" t="s">
        <v>1733</v>
      </c>
      <c r="C1558" s="9" t="s">
        <v>1734</v>
      </c>
      <c r="D1558" s="9" t="s">
        <v>1735</v>
      </c>
      <c r="E1558" s="9" t="s">
        <v>275</v>
      </c>
      <c r="F1558" s="9" t="s">
        <v>197</v>
      </c>
      <c r="G1558" s="9" t="s">
        <v>221</v>
      </c>
      <c r="H1558" s="9" t="n">
        <v>1350</v>
      </c>
      <c r="I1558" s="29" t="n">
        <v>3</v>
      </c>
      <c r="J1558" s="9" t="n">
        <v>0</v>
      </c>
      <c r="K1558" s="30"/>
      <c r="L1558" s="30"/>
      <c r="M1558" s="30"/>
      <c r="N1558" s="30"/>
      <c r="O1558" s="30"/>
      <c r="P1558" s="30"/>
      <c r="Q1558" s="30"/>
      <c r="R1558" s="30"/>
      <c r="S1558" s="30"/>
      <c r="T1558" s="30"/>
      <c r="U1558" s="21" t="str">
        <f aca="false">IF(COUNT(K1558:T1558)=0,"SOURCE EMPTY / INDUSTRIAL ONLY",IF(MIN(K1558:T1558)=1,"SERVICE READY","HOLD"))</f>
        <v>SOURCE EMPTY / INDUSTRIAL ONLY</v>
      </c>
      <c r="V1558" s="9" t="n">
        <f aca="false">IF(U1558="SERVICE READY",1,0)</f>
        <v>0</v>
      </c>
      <c r="W1558" s="6"/>
      <c r="X1558" s="6"/>
      <c r="Y1558" s="6"/>
      <c r="Z1558" s="6"/>
    </row>
    <row r="1559" customFormat="false" ht="15" hidden="false" customHeight="false" outlineLevel="0" collapsed="false">
      <c r="A1559" s="9" t="s">
        <v>1799</v>
      </c>
      <c r="B1559" s="9" t="s">
        <v>1733</v>
      </c>
      <c r="C1559" s="9" t="s">
        <v>1734</v>
      </c>
      <c r="D1559" s="9" t="s">
        <v>1735</v>
      </c>
      <c r="E1559" s="9" t="s">
        <v>275</v>
      </c>
      <c r="F1559" s="9" t="s">
        <v>200</v>
      </c>
      <c r="G1559" s="9" t="s">
        <v>221</v>
      </c>
      <c r="H1559" s="9" t="n">
        <v>1350</v>
      </c>
      <c r="I1559" s="29" t="n">
        <v>3</v>
      </c>
      <c r="J1559" s="9" t="n">
        <v>0</v>
      </c>
      <c r="K1559" s="30"/>
      <c r="L1559" s="30"/>
      <c r="M1559" s="30"/>
      <c r="N1559" s="30"/>
      <c r="O1559" s="30"/>
      <c r="P1559" s="30"/>
      <c r="Q1559" s="30"/>
      <c r="R1559" s="30"/>
      <c r="S1559" s="30"/>
      <c r="T1559" s="30"/>
      <c r="U1559" s="21" t="str">
        <f aca="false">IF(COUNT(K1559:T1559)=0,"SOURCE EMPTY / INDUSTRIAL ONLY",IF(MIN(K1559:T1559)=1,"SERVICE READY","HOLD"))</f>
        <v>SOURCE EMPTY / INDUSTRIAL ONLY</v>
      </c>
      <c r="V1559" s="9" t="n">
        <f aca="false">IF(U1559="SERVICE READY",1,0)</f>
        <v>0</v>
      </c>
      <c r="W1559" s="6"/>
      <c r="X1559" s="6"/>
      <c r="Y1559" s="6"/>
      <c r="Z1559" s="6"/>
    </row>
    <row r="1560" customFormat="false" ht="15" hidden="false" customHeight="false" outlineLevel="0" collapsed="false">
      <c r="A1560" s="9" t="s">
        <v>1800</v>
      </c>
      <c r="B1560" s="9" t="s">
        <v>1733</v>
      </c>
      <c r="C1560" s="9" t="s">
        <v>1734</v>
      </c>
      <c r="D1560" s="9" t="s">
        <v>1735</v>
      </c>
      <c r="E1560" s="9" t="s">
        <v>275</v>
      </c>
      <c r="F1560" s="9" t="s">
        <v>203</v>
      </c>
      <c r="G1560" s="9" t="s">
        <v>221</v>
      </c>
      <c r="H1560" s="9" t="n">
        <v>1350</v>
      </c>
      <c r="I1560" s="29" t="n">
        <v>3</v>
      </c>
      <c r="J1560" s="9" t="n">
        <v>0</v>
      </c>
      <c r="K1560" s="30"/>
      <c r="L1560" s="30"/>
      <c r="M1560" s="30"/>
      <c r="N1560" s="30"/>
      <c r="O1560" s="30"/>
      <c r="P1560" s="30"/>
      <c r="Q1560" s="30"/>
      <c r="R1560" s="30"/>
      <c r="S1560" s="30"/>
      <c r="T1560" s="30"/>
      <c r="U1560" s="21" t="str">
        <f aca="false">IF(COUNT(K1560:T1560)=0,"SOURCE EMPTY / INDUSTRIAL ONLY",IF(MIN(K1560:T1560)=1,"SERVICE READY","HOLD"))</f>
        <v>SOURCE EMPTY / INDUSTRIAL ONLY</v>
      </c>
      <c r="V1560" s="9" t="n">
        <f aca="false">IF(U1560="SERVICE READY",1,0)</f>
        <v>0</v>
      </c>
      <c r="W1560" s="6"/>
      <c r="X1560" s="6"/>
      <c r="Y1560" s="6"/>
      <c r="Z1560" s="6"/>
    </row>
    <row r="1561" customFormat="false" ht="15" hidden="false" customHeight="false" outlineLevel="0" collapsed="false">
      <c r="A1561" s="9" t="s">
        <v>1801</v>
      </c>
      <c r="B1561" s="9" t="s">
        <v>1733</v>
      </c>
      <c r="C1561" s="9" t="s">
        <v>1734</v>
      </c>
      <c r="D1561" s="9" t="s">
        <v>1735</v>
      </c>
      <c r="E1561" s="9" t="s">
        <v>275</v>
      </c>
      <c r="F1561" s="9" t="s">
        <v>205</v>
      </c>
      <c r="G1561" s="9" t="s">
        <v>221</v>
      </c>
      <c r="H1561" s="9" t="n">
        <v>1350</v>
      </c>
      <c r="I1561" s="29" t="n">
        <v>3</v>
      </c>
      <c r="J1561" s="9" t="n">
        <v>0</v>
      </c>
      <c r="K1561" s="30"/>
      <c r="L1561" s="30"/>
      <c r="M1561" s="30"/>
      <c r="N1561" s="30"/>
      <c r="O1561" s="30"/>
      <c r="P1561" s="30"/>
      <c r="Q1561" s="30"/>
      <c r="R1561" s="30"/>
      <c r="S1561" s="30"/>
      <c r="T1561" s="30"/>
      <c r="U1561" s="21" t="str">
        <f aca="false">IF(COUNT(K1561:T1561)=0,"SOURCE EMPTY / INDUSTRIAL ONLY",IF(MIN(K1561:T1561)=1,"SERVICE READY","HOLD"))</f>
        <v>SOURCE EMPTY / INDUSTRIAL ONLY</v>
      </c>
      <c r="V1561" s="9" t="n">
        <f aca="false">IF(U1561="SERVICE READY",1,0)</f>
        <v>0</v>
      </c>
      <c r="W1561" s="6"/>
      <c r="X1561" s="6"/>
      <c r="Y1561" s="6"/>
      <c r="Z1561" s="6"/>
    </row>
    <row r="1562" customFormat="false" ht="15" hidden="false" customHeight="false" outlineLevel="0" collapsed="false">
      <c r="A1562" s="9" t="s">
        <v>1802</v>
      </c>
      <c r="B1562" s="9" t="s">
        <v>1733</v>
      </c>
      <c r="C1562" s="9" t="s">
        <v>1734</v>
      </c>
      <c r="D1562" s="9" t="s">
        <v>1735</v>
      </c>
      <c r="E1562" s="9" t="s">
        <v>275</v>
      </c>
      <c r="F1562" s="9" t="s">
        <v>207</v>
      </c>
      <c r="G1562" s="9" t="s">
        <v>221</v>
      </c>
      <c r="H1562" s="9" t="n">
        <v>1350</v>
      </c>
      <c r="I1562" s="29" t="n">
        <v>3</v>
      </c>
      <c r="J1562" s="9" t="n">
        <v>0</v>
      </c>
      <c r="K1562" s="30"/>
      <c r="L1562" s="30"/>
      <c r="M1562" s="30"/>
      <c r="N1562" s="30"/>
      <c r="O1562" s="30"/>
      <c r="P1562" s="30"/>
      <c r="Q1562" s="30"/>
      <c r="R1562" s="30"/>
      <c r="S1562" s="30"/>
      <c r="T1562" s="30"/>
      <c r="U1562" s="21" t="str">
        <f aca="false">IF(COUNT(K1562:T1562)=0,"SOURCE EMPTY / INDUSTRIAL ONLY",IF(MIN(K1562:T1562)=1,"SERVICE READY","HOLD"))</f>
        <v>SOURCE EMPTY / INDUSTRIAL ONLY</v>
      </c>
      <c r="V1562" s="9" t="n">
        <f aca="false">IF(U1562="SERVICE READY",1,0)</f>
        <v>0</v>
      </c>
      <c r="W1562" s="6"/>
      <c r="X1562" s="6"/>
      <c r="Y1562" s="6"/>
      <c r="Z1562" s="6"/>
    </row>
    <row r="1563" customFormat="false" ht="15" hidden="false" customHeight="false" outlineLevel="0" collapsed="false">
      <c r="A1563" s="9" t="s">
        <v>1803</v>
      </c>
      <c r="B1563" s="9" t="s">
        <v>1733</v>
      </c>
      <c r="C1563" s="9" t="s">
        <v>1734</v>
      </c>
      <c r="D1563" s="9" t="s">
        <v>1735</v>
      </c>
      <c r="E1563" s="9" t="s">
        <v>275</v>
      </c>
      <c r="F1563" s="9" t="s">
        <v>209</v>
      </c>
      <c r="G1563" s="9" t="s">
        <v>221</v>
      </c>
      <c r="H1563" s="9" t="n">
        <v>1350</v>
      </c>
      <c r="I1563" s="29" t="n">
        <v>3</v>
      </c>
      <c r="J1563" s="9" t="n">
        <v>0</v>
      </c>
      <c r="K1563" s="30"/>
      <c r="L1563" s="30"/>
      <c r="M1563" s="30"/>
      <c r="N1563" s="30"/>
      <c r="O1563" s="30"/>
      <c r="P1563" s="30"/>
      <c r="Q1563" s="30"/>
      <c r="R1563" s="30"/>
      <c r="S1563" s="30"/>
      <c r="T1563" s="30"/>
      <c r="U1563" s="21" t="str">
        <f aca="false">IF(COUNT(K1563:T1563)=0,"SOURCE EMPTY / INDUSTRIAL ONLY",IF(MIN(K1563:T1563)=1,"SERVICE READY","HOLD"))</f>
        <v>SOURCE EMPTY / INDUSTRIAL ONLY</v>
      </c>
      <c r="V1563" s="9" t="n">
        <f aca="false">IF(U1563="SERVICE READY",1,0)</f>
        <v>0</v>
      </c>
      <c r="W1563" s="6"/>
      <c r="X1563" s="6"/>
      <c r="Y1563" s="6"/>
      <c r="Z1563" s="6"/>
    </row>
    <row r="1564" customFormat="false" ht="15" hidden="false" customHeight="false" outlineLevel="0" collapsed="false">
      <c r="A1564" s="9" t="s">
        <v>1804</v>
      </c>
      <c r="B1564" s="9" t="s">
        <v>1733</v>
      </c>
      <c r="C1564" s="9" t="s">
        <v>1734</v>
      </c>
      <c r="D1564" s="9" t="s">
        <v>1735</v>
      </c>
      <c r="E1564" s="9" t="s">
        <v>275</v>
      </c>
      <c r="F1564" s="9" t="s">
        <v>211</v>
      </c>
      <c r="G1564" s="9" t="s">
        <v>221</v>
      </c>
      <c r="H1564" s="9" t="n">
        <v>1350</v>
      </c>
      <c r="I1564" s="29" t="n">
        <v>3</v>
      </c>
      <c r="J1564" s="9" t="n">
        <v>0</v>
      </c>
      <c r="K1564" s="30"/>
      <c r="L1564" s="30"/>
      <c r="M1564" s="30"/>
      <c r="N1564" s="30"/>
      <c r="O1564" s="30"/>
      <c r="P1564" s="30"/>
      <c r="Q1564" s="30"/>
      <c r="R1564" s="30"/>
      <c r="S1564" s="30"/>
      <c r="T1564" s="30"/>
      <c r="U1564" s="21" t="str">
        <f aca="false">IF(COUNT(K1564:T1564)=0,"SOURCE EMPTY / INDUSTRIAL ONLY",IF(MIN(K1564:T1564)=1,"SERVICE READY","HOLD"))</f>
        <v>SOURCE EMPTY / INDUSTRIAL ONLY</v>
      </c>
      <c r="V1564" s="9" t="n">
        <f aca="false">IF(U1564="SERVICE READY",1,0)</f>
        <v>0</v>
      </c>
      <c r="W1564" s="6"/>
      <c r="X1564" s="6"/>
      <c r="Y1564" s="6"/>
      <c r="Z1564" s="6"/>
    </row>
    <row r="1565" customFormat="false" ht="15" hidden="false" customHeight="false" outlineLevel="0" collapsed="false">
      <c r="A1565" s="9" t="s">
        <v>1805</v>
      </c>
      <c r="B1565" s="9" t="s">
        <v>1733</v>
      </c>
      <c r="C1565" s="9" t="s">
        <v>1734</v>
      </c>
      <c r="D1565" s="9" t="s">
        <v>1735</v>
      </c>
      <c r="E1565" s="9" t="s">
        <v>275</v>
      </c>
      <c r="F1565" s="9" t="s">
        <v>197</v>
      </c>
      <c r="G1565" s="9" t="s">
        <v>221</v>
      </c>
      <c r="H1565" s="9" t="n">
        <v>1350</v>
      </c>
      <c r="I1565" s="29" t="n">
        <v>3</v>
      </c>
      <c r="J1565" s="9" t="n">
        <v>0</v>
      </c>
      <c r="K1565" s="30"/>
      <c r="L1565" s="30"/>
      <c r="M1565" s="30"/>
      <c r="N1565" s="30"/>
      <c r="O1565" s="30"/>
      <c r="P1565" s="30"/>
      <c r="Q1565" s="30"/>
      <c r="R1565" s="30"/>
      <c r="S1565" s="30"/>
      <c r="T1565" s="30"/>
      <c r="U1565" s="21" t="str">
        <f aca="false">IF(COUNT(K1565:T1565)=0,"SOURCE EMPTY / INDUSTRIAL ONLY",IF(MIN(K1565:T1565)=1,"SERVICE READY","HOLD"))</f>
        <v>SOURCE EMPTY / INDUSTRIAL ONLY</v>
      </c>
      <c r="V1565" s="9" t="n">
        <f aca="false">IF(U1565="SERVICE READY",1,0)</f>
        <v>0</v>
      </c>
      <c r="W1565" s="6"/>
      <c r="X1565" s="6"/>
      <c r="Y1565" s="6"/>
      <c r="Z1565" s="6"/>
    </row>
    <row r="1566" customFormat="false" ht="15" hidden="false" customHeight="false" outlineLevel="0" collapsed="false">
      <c r="A1566" s="9" t="s">
        <v>1806</v>
      </c>
      <c r="B1566" s="9" t="s">
        <v>1733</v>
      </c>
      <c r="C1566" s="9" t="s">
        <v>1734</v>
      </c>
      <c r="D1566" s="9" t="s">
        <v>1735</v>
      </c>
      <c r="E1566" s="9" t="s">
        <v>275</v>
      </c>
      <c r="F1566" s="9" t="s">
        <v>200</v>
      </c>
      <c r="G1566" s="9" t="s">
        <v>221</v>
      </c>
      <c r="H1566" s="9" t="n">
        <v>1350</v>
      </c>
      <c r="I1566" s="29" t="n">
        <v>3</v>
      </c>
      <c r="J1566" s="9" t="n">
        <v>0</v>
      </c>
      <c r="K1566" s="30"/>
      <c r="L1566" s="30"/>
      <c r="M1566" s="30"/>
      <c r="N1566" s="30"/>
      <c r="O1566" s="30"/>
      <c r="P1566" s="30"/>
      <c r="Q1566" s="30"/>
      <c r="R1566" s="30"/>
      <c r="S1566" s="30"/>
      <c r="T1566" s="30"/>
      <c r="U1566" s="21" t="str">
        <f aca="false">IF(COUNT(K1566:T1566)=0,"SOURCE EMPTY / INDUSTRIAL ONLY",IF(MIN(K1566:T1566)=1,"SERVICE READY","HOLD"))</f>
        <v>SOURCE EMPTY / INDUSTRIAL ONLY</v>
      </c>
      <c r="V1566" s="9" t="n">
        <f aca="false">IF(U1566="SERVICE READY",1,0)</f>
        <v>0</v>
      </c>
      <c r="W1566" s="6"/>
      <c r="X1566" s="6"/>
      <c r="Y1566" s="6"/>
      <c r="Z1566" s="6"/>
    </row>
    <row r="1567" customFormat="false" ht="15" hidden="false" customHeight="false" outlineLevel="0" collapsed="false">
      <c r="A1567" s="9" t="s">
        <v>1807</v>
      </c>
      <c r="B1567" s="9" t="s">
        <v>1733</v>
      </c>
      <c r="C1567" s="9" t="s">
        <v>1734</v>
      </c>
      <c r="D1567" s="9" t="s">
        <v>1735</v>
      </c>
      <c r="E1567" s="9" t="s">
        <v>275</v>
      </c>
      <c r="F1567" s="9" t="s">
        <v>203</v>
      </c>
      <c r="G1567" s="9" t="s">
        <v>221</v>
      </c>
      <c r="H1567" s="9" t="n">
        <v>1350</v>
      </c>
      <c r="I1567" s="29" t="n">
        <v>3</v>
      </c>
      <c r="J1567" s="9" t="n">
        <v>0</v>
      </c>
      <c r="K1567" s="30"/>
      <c r="L1567" s="30"/>
      <c r="M1567" s="30"/>
      <c r="N1567" s="30"/>
      <c r="O1567" s="30"/>
      <c r="P1567" s="30"/>
      <c r="Q1567" s="30"/>
      <c r="R1567" s="30"/>
      <c r="S1567" s="30"/>
      <c r="T1567" s="30"/>
      <c r="U1567" s="21" t="str">
        <f aca="false">IF(COUNT(K1567:T1567)=0,"SOURCE EMPTY / INDUSTRIAL ONLY",IF(MIN(K1567:T1567)=1,"SERVICE READY","HOLD"))</f>
        <v>SOURCE EMPTY / INDUSTRIAL ONLY</v>
      </c>
      <c r="V1567" s="9" t="n">
        <f aca="false">IF(U1567="SERVICE READY",1,0)</f>
        <v>0</v>
      </c>
      <c r="W1567" s="6"/>
      <c r="X1567" s="6"/>
      <c r="Y1567" s="6"/>
      <c r="Z1567" s="6"/>
    </row>
    <row r="1568" customFormat="false" ht="15" hidden="false" customHeight="false" outlineLevel="0" collapsed="false">
      <c r="A1568" s="9" t="s">
        <v>1808</v>
      </c>
      <c r="B1568" s="9" t="s">
        <v>1733</v>
      </c>
      <c r="C1568" s="9" t="s">
        <v>1734</v>
      </c>
      <c r="D1568" s="9" t="s">
        <v>1735</v>
      </c>
      <c r="E1568" s="9" t="s">
        <v>275</v>
      </c>
      <c r="F1568" s="9" t="s">
        <v>205</v>
      </c>
      <c r="G1568" s="9" t="s">
        <v>221</v>
      </c>
      <c r="H1568" s="9" t="n">
        <v>1350</v>
      </c>
      <c r="I1568" s="29" t="n">
        <v>3</v>
      </c>
      <c r="J1568" s="9" t="n">
        <v>0</v>
      </c>
      <c r="K1568" s="30"/>
      <c r="L1568" s="30"/>
      <c r="M1568" s="30"/>
      <c r="N1568" s="30"/>
      <c r="O1568" s="30"/>
      <c r="P1568" s="30"/>
      <c r="Q1568" s="30"/>
      <c r="R1568" s="30"/>
      <c r="S1568" s="30"/>
      <c r="T1568" s="30"/>
      <c r="U1568" s="21" t="str">
        <f aca="false">IF(COUNT(K1568:T1568)=0,"SOURCE EMPTY / INDUSTRIAL ONLY",IF(MIN(K1568:T1568)=1,"SERVICE READY","HOLD"))</f>
        <v>SOURCE EMPTY / INDUSTRIAL ONLY</v>
      </c>
      <c r="V1568" s="9" t="n">
        <f aca="false">IF(U1568="SERVICE READY",1,0)</f>
        <v>0</v>
      </c>
      <c r="W1568" s="6"/>
      <c r="X1568" s="6"/>
      <c r="Y1568" s="6"/>
      <c r="Z1568" s="6"/>
    </row>
    <row r="1569" customFormat="false" ht="15" hidden="false" customHeight="false" outlineLevel="0" collapsed="false">
      <c r="A1569" s="9" t="s">
        <v>1809</v>
      </c>
      <c r="B1569" s="9" t="s">
        <v>1810</v>
      </c>
      <c r="C1569" s="9" t="s">
        <v>1811</v>
      </c>
      <c r="D1569" s="9" t="s">
        <v>1735</v>
      </c>
      <c r="E1569" s="9" t="s">
        <v>275</v>
      </c>
      <c r="F1569" s="9" t="s">
        <v>197</v>
      </c>
      <c r="G1569" s="9" t="s">
        <v>198</v>
      </c>
      <c r="H1569" s="9" t="n">
        <v>1050</v>
      </c>
      <c r="I1569" s="29" t="n">
        <v>2</v>
      </c>
      <c r="J1569" s="9" t="n">
        <v>1</v>
      </c>
      <c r="K1569" s="30"/>
      <c r="L1569" s="30"/>
      <c r="M1569" s="30"/>
      <c r="N1569" s="30"/>
      <c r="O1569" s="30"/>
      <c r="P1569" s="30"/>
      <c r="Q1569" s="30"/>
      <c r="R1569" s="30"/>
      <c r="S1569" s="30"/>
      <c r="T1569" s="30"/>
      <c r="U1569" s="21" t="str">
        <f aca="false">IF(COUNT(K1569:T1569)=0,"SOURCE EMPTY / INDUSTRIAL ONLY",IF(MIN(K1569:T1569)=1,"SERVICE READY","HOLD"))</f>
        <v>SOURCE EMPTY / INDUSTRIAL ONLY</v>
      </c>
      <c r="V1569" s="9" t="n">
        <f aca="false">IF(U1569="SERVICE READY",1,0)</f>
        <v>0</v>
      </c>
      <c r="W1569" s="6"/>
      <c r="X1569" s="6"/>
      <c r="Y1569" s="6"/>
      <c r="Z1569" s="6"/>
    </row>
    <row r="1570" customFormat="false" ht="15" hidden="false" customHeight="false" outlineLevel="0" collapsed="false">
      <c r="A1570" s="9" t="s">
        <v>1812</v>
      </c>
      <c r="B1570" s="9" t="s">
        <v>1810</v>
      </c>
      <c r="C1570" s="9" t="s">
        <v>1811</v>
      </c>
      <c r="D1570" s="9" t="s">
        <v>1735</v>
      </c>
      <c r="E1570" s="9" t="s">
        <v>275</v>
      </c>
      <c r="F1570" s="9" t="s">
        <v>200</v>
      </c>
      <c r="G1570" s="9" t="s">
        <v>201</v>
      </c>
      <c r="H1570" s="9" t="n">
        <v>1050</v>
      </c>
      <c r="I1570" s="29" t="n">
        <v>2</v>
      </c>
      <c r="J1570" s="9" t="n">
        <v>1</v>
      </c>
      <c r="K1570" s="30"/>
      <c r="L1570" s="30"/>
      <c r="M1570" s="30"/>
      <c r="N1570" s="30"/>
      <c r="O1570" s="30"/>
      <c r="P1570" s="30"/>
      <c r="Q1570" s="30"/>
      <c r="R1570" s="30"/>
      <c r="S1570" s="30"/>
      <c r="T1570" s="30"/>
      <c r="U1570" s="21" t="str">
        <f aca="false">IF(COUNT(K1570:T1570)=0,"SOURCE EMPTY / INDUSTRIAL ONLY",IF(MIN(K1570:T1570)=1,"SERVICE READY","HOLD"))</f>
        <v>SOURCE EMPTY / INDUSTRIAL ONLY</v>
      </c>
      <c r="V1570" s="9" t="n">
        <f aca="false">IF(U1570="SERVICE READY",1,0)</f>
        <v>0</v>
      </c>
      <c r="W1570" s="6"/>
      <c r="X1570" s="6"/>
      <c r="Y1570" s="6"/>
      <c r="Z1570" s="6"/>
    </row>
    <row r="1571" customFormat="false" ht="15" hidden="false" customHeight="false" outlineLevel="0" collapsed="false">
      <c r="A1571" s="9" t="s">
        <v>1813</v>
      </c>
      <c r="B1571" s="9" t="s">
        <v>1810</v>
      </c>
      <c r="C1571" s="9" t="s">
        <v>1811</v>
      </c>
      <c r="D1571" s="9" t="s">
        <v>1735</v>
      </c>
      <c r="E1571" s="9" t="s">
        <v>275</v>
      </c>
      <c r="F1571" s="9" t="s">
        <v>203</v>
      </c>
      <c r="G1571" s="9" t="s">
        <v>198</v>
      </c>
      <c r="H1571" s="9" t="n">
        <v>1050</v>
      </c>
      <c r="I1571" s="29" t="n">
        <v>2</v>
      </c>
      <c r="J1571" s="9" t="n">
        <v>1</v>
      </c>
      <c r="K1571" s="30"/>
      <c r="L1571" s="30"/>
      <c r="M1571" s="30"/>
      <c r="N1571" s="30"/>
      <c r="O1571" s="30"/>
      <c r="P1571" s="30"/>
      <c r="Q1571" s="30"/>
      <c r="R1571" s="30"/>
      <c r="S1571" s="30"/>
      <c r="T1571" s="30"/>
      <c r="U1571" s="21" t="str">
        <f aca="false">IF(COUNT(K1571:T1571)=0,"SOURCE EMPTY / INDUSTRIAL ONLY",IF(MIN(K1571:T1571)=1,"SERVICE READY","HOLD"))</f>
        <v>SOURCE EMPTY / INDUSTRIAL ONLY</v>
      </c>
      <c r="V1571" s="9" t="n">
        <f aca="false">IF(U1571="SERVICE READY",1,0)</f>
        <v>0</v>
      </c>
      <c r="W1571" s="6"/>
      <c r="X1571" s="6"/>
      <c r="Y1571" s="6"/>
      <c r="Z1571" s="6"/>
    </row>
    <row r="1572" customFormat="false" ht="15" hidden="false" customHeight="false" outlineLevel="0" collapsed="false">
      <c r="A1572" s="9" t="s">
        <v>1814</v>
      </c>
      <c r="B1572" s="9" t="s">
        <v>1810</v>
      </c>
      <c r="C1572" s="9" t="s">
        <v>1811</v>
      </c>
      <c r="D1572" s="9" t="s">
        <v>1735</v>
      </c>
      <c r="E1572" s="9" t="s">
        <v>275</v>
      </c>
      <c r="F1572" s="9" t="s">
        <v>205</v>
      </c>
      <c r="G1572" s="9" t="s">
        <v>201</v>
      </c>
      <c r="H1572" s="9" t="n">
        <v>1050</v>
      </c>
      <c r="I1572" s="29" t="n">
        <v>2</v>
      </c>
      <c r="J1572" s="9" t="n">
        <v>1</v>
      </c>
      <c r="K1572" s="30"/>
      <c r="L1572" s="30"/>
      <c r="M1572" s="30"/>
      <c r="N1572" s="30"/>
      <c r="O1572" s="30"/>
      <c r="P1572" s="30"/>
      <c r="Q1572" s="30"/>
      <c r="R1572" s="30"/>
      <c r="S1572" s="30"/>
      <c r="T1572" s="30"/>
      <c r="U1572" s="21" t="str">
        <f aca="false">IF(COUNT(K1572:T1572)=0,"SOURCE EMPTY / INDUSTRIAL ONLY",IF(MIN(K1572:T1572)=1,"SERVICE READY","HOLD"))</f>
        <v>SOURCE EMPTY / INDUSTRIAL ONLY</v>
      </c>
      <c r="V1572" s="9" t="n">
        <f aca="false">IF(U1572="SERVICE READY",1,0)</f>
        <v>0</v>
      </c>
      <c r="W1572" s="6"/>
      <c r="X1572" s="6"/>
      <c r="Y1572" s="6"/>
      <c r="Z1572" s="6"/>
    </row>
    <row r="1573" customFormat="false" ht="15" hidden="false" customHeight="false" outlineLevel="0" collapsed="false">
      <c r="A1573" s="9" t="s">
        <v>1815</v>
      </c>
      <c r="B1573" s="9" t="s">
        <v>1810</v>
      </c>
      <c r="C1573" s="9" t="s">
        <v>1811</v>
      </c>
      <c r="D1573" s="9" t="s">
        <v>1735</v>
      </c>
      <c r="E1573" s="9" t="s">
        <v>275</v>
      </c>
      <c r="F1573" s="9" t="s">
        <v>207</v>
      </c>
      <c r="G1573" s="9" t="s">
        <v>198</v>
      </c>
      <c r="H1573" s="9" t="n">
        <v>1050</v>
      </c>
      <c r="I1573" s="29" t="n">
        <v>2</v>
      </c>
      <c r="J1573" s="9" t="n">
        <v>1</v>
      </c>
      <c r="K1573" s="30"/>
      <c r="L1573" s="30"/>
      <c r="M1573" s="30"/>
      <c r="N1573" s="30"/>
      <c r="O1573" s="30"/>
      <c r="P1573" s="30"/>
      <c r="Q1573" s="30"/>
      <c r="R1573" s="30"/>
      <c r="S1573" s="30"/>
      <c r="T1573" s="30"/>
      <c r="U1573" s="21" t="str">
        <f aca="false">IF(COUNT(K1573:T1573)=0,"SOURCE EMPTY / INDUSTRIAL ONLY",IF(MIN(K1573:T1573)=1,"SERVICE READY","HOLD"))</f>
        <v>SOURCE EMPTY / INDUSTRIAL ONLY</v>
      </c>
      <c r="V1573" s="9" t="n">
        <f aca="false">IF(U1573="SERVICE READY",1,0)</f>
        <v>0</v>
      </c>
      <c r="W1573" s="6"/>
      <c r="X1573" s="6"/>
      <c r="Y1573" s="6"/>
      <c r="Z1573" s="6"/>
    </row>
    <row r="1574" customFormat="false" ht="15" hidden="false" customHeight="false" outlineLevel="0" collapsed="false">
      <c r="A1574" s="9" t="s">
        <v>1816</v>
      </c>
      <c r="B1574" s="9" t="s">
        <v>1810</v>
      </c>
      <c r="C1574" s="9" t="s">
        <v>1811</v>
      </c>
      <c r="D1574" s="9" t="s">
        <v>1735</v>
      </c>
      <c r="E1574" s="9" t="s">
        <v>275</v>
      </c>
      <c r="F1574" s="9" t="s">
        <v>209</v>
      </c>
      <c r="G1574" s="9" t="s">
        <v>201</v>
      </c>
      <c r="H1574" s="9" t="n">
        <v>1050</v>
      </c>
      <c r="I1574" s="29" t="n">
        <v>2</v>
      </c>
      <c r="J1574" s="9" t="n">
        <v>1</v>
      </c>
      <c r="K1574" s="30"/>
      <c r="L1574" s="30"/>
      <c r="M1574" s="30"/>
      <c r="N1574" s="30"/>
      <c r="O1574" s="30"/>
      <c r="P1574" s="30"/>
      <c r="Q1574" s="30"/>
      <c r="R1574" s="30"/>
      <c r="S1574" s="30"/>
      <c r="T1574" s="30"/>
      <c r="U1574" s="21" t="str">
        <f aca="false">IF(COUNT(K1574:T1574)=0,"SOURCE EMPTY / INDUSTRIAL ONLY",IF(MIN(K1574:T1574)=1,"SERVICE READY","HOLD"))</f>
        <v>SOURCE EMPTY / INDUSTRIAL ONLY</v>
      </c>
      <c r="V1574" s="9" t="n">
        <f aca="false">IF(U1574="SERVICE READY",1,0)</f>
        <v>0</v>
      </c>
      <c r="W1574" s="6"/>
      <c r="X1574" s="6"/>
      <c r="Y1574" s="6"/>
      <c r="Z1574" s="6"/>
    </row>
    <row r="1575" customFormat="false" ht="15" hidden="false" customHeight="false" outlineLevel="0" collapsed="false">
      <c r="A1575" s="9" t="s">
        <v>1817</v>
      </c>
      <c r="B1575" s="9" t="s">
        <v>1810</v>
      </c>
      <c r="C1575" s="9" t="s">
        <v>1811</v>
      </c>
      <c r="D1575" s="9" t="s">
        <v>1735</v>
      </c>
      <c r="E1575" s="9" t="s">
        <v>275</v>
      </c>
      <c r="F1575" s="9" t="s">
        <v>211</v>
      </c>
      <c r="G1575" s="9" t="s">
        <v>198</v>
      </c>
      <c r="H1575" s="9" t="n">
        <v>1050</v>
      </c>
      <c r="I1575" s="29" t="n">
        <v>2</v>
      </c>
      <c r="J1575" s="9" t="n">
        <v>1</v>
      </c>
      <c r="K1575" s="30"/>
      <c r="L1575" s="30"/>
      <c r="M1575" s="30"/>
      <c r="N1575" s="30"/>
      <c r="O1575" s="30"/>
      <c r="P1575" s="30"/>
      <c r="Q1575" s="30"/>
      <c r="R1575" s="30"/>
      <c r="S1575" s="30"/>
      <c r="T1575" s="30"/>
      <c r="U1575" s="21" t="str">
        <f aca="false">IF(COUNT(K1575:T1575)=0,"SOURCE EMPTY / INDUSTRIAL ONLY",IF(MIN(K1575:T1575)=1,"SERVICE READY","HOLD"))</f>
        <v>SOURCE EMPTY / INDUSTRIAL ONLY</v>
      </c>
      <c r="V1575" s="9" t="n">
        <f aca="false">IF(U1575="SERVICE READY",1,0)</f>
        <v>0</v>
      </c>
      <c r="W1575" s="6"/>
      <c r="X1575" s="6"/>
      <c r="Y1575" s="6"/>
      <c r="Z1575" s="6"/>
    </row>
    <row r="1576" customFormat="false" ht="15" hidden="false" customHeight="false" outlineLevel="0" collapsed="false">
      <c r="A1576" s="9" t="s">
        <v>1818</v>
      </c>
      <c r="B1576" s="9" t="s">
        <v>1810</v>
      </c>
      <c r="C1576" s="9" t="s">
        <v>1811</v>
      </c>
      <c r="D1576" s="9" t="s">
        <v>1735</v>
      </c>
      <c r="E1576" s="9" t="s">
        <v>275</v>
      </c>
      <c r="F1576" s="9" t="s">
        <v>197</v>
      </c>
      <c r="G1576" s="9" t="s">
        <v>201</v>
      </c>
      <c r="H1576" s="9" t="n">
        <v>1050</v>
      </c>
      <c r="I1576" s="29" t="n">
        <v>2</v>
      </c>
      <c r="J1576" s="9" t="n">
        <v>1</v>
      </c>
      <c r="K1576" s="30"/>
      <c r="L1576" s="30"/>
      <c r="M1576" s="30"/>
      <c r="N1576" s="30"/>
      <c r="O1576" s="30"/>
      <c r="P1576" s="30"/>
      <c r="Q1576" s="30"/>
      <c r="R1576" s="30"/>
      <c r="S1576" s="30"/>
      <c r="T1576" s="30"/>
      <c r="U1576" s="21" t="str">
        <f aca="false">IF(COUNT(K1576:T1576)=0,"SOURCE EMPTY / INDUSTRIAL ONLY",IF(MIN(K1576:T1576)=1,"SERVICE READY","HOLD"))</f>
        <v>SOURCE EMPTY / INDUSTRIAL ONLY</v>
      </c>
      <c r="V1576" s="9" t="n">
        <f aca="false">IF(U1576="SERVICE READY",1,0)</f>
        <v>0</v>
      </c>
      <c r="W1576" s="6"/>
      <c r="X1576" s="6"/>
      <c r="Y1576" s="6"/>
      <c r="Z1576" s="6"/>
    </row>
    <row r="1577" customFormat="false" ht="15" hidden="false" customHeight="false" outlineLevel="0" collapsed="false">
      <c r="A1577" s="9" t="s">
        <v>1819</v>
      </c>
      <c r="B1577" s="9" t="s">
        <v>1810</v>
      </c>
      <c r="C1577" s="9" t="s">
        <v>1811</v>
      </c>
      <c r="D1577" s="9" t="s">
        <v>1735</v>
      </c>
      <c r="E1577" s="9" t="s">
        <v>275</v>
      </c>
      <c r="F1577" s="9" t="s">
        <v>200</v>
      </c>
      <c r="G1577" s="9" t="s">
        <v>198</v>
      </c>
      <c r="H1577" s="9" t="n">
        <v>1050</v>
      </c>
      <c r="I1577" s="29" t="n">
        <v>2</v>
      </c>
      <c r="J1577" s="9" t="n">
        <v>1</v>
      </c>
      <c r="K1577" s="30"/>
      <c r="L1577" s="30"/>
      <c r="M1577" s="30"/>
      <c r="N1577" s="30"/>
      <c r="O1577" s="30"/>
      <c r="P1577" s="30"/>
      <c r="Q1577" s="30"/>
      <c r="R1577" s="30"/>
      <c r="S1577" s="30"/>
      <c r="T1577" s="30"/>
      <c r="U1577" s="21" t="str">
        <f aca="false">IF(COUNT(K1577:T1577)=0,"SOURCE EMPTY / INDUSTRIAL ONLY",IF(MIN(K1577:T1577)=1,"SERVICE READY","HOLD"))</f>
        <v>SOURCE EMPTY / INDUSTRIAL ONLY</v>
      </c>
      <c r="V1577" s="9" t="n">
        <f aca="false">IF(U1577="SERVICE READY",1,0)</f>
        <v>0</v>
      </c>
      <c r="W1577" s="6"/>
      <c r="X1577" s="6"/>
      <c r="Y1577" s="6"/>
      <c r="Z1577" s="6"/>
    </row>
    <row r="1578" customFormat="false" ht="15" hidden="false" customHeight="false" outlineLevel="0" collapsed="false">
      <c r="A1578" s="9" t="s">
        <v>1820</v>
      </c>
      <c r="B1578" s="9" t="s">
        <v>1810</v>
      </c>
      <c r="C1578" s="9" t="s">
        <v>1811</v>
      </c>
      <c r="D1578" s="9" t="s">
        <v>1735</v>
      </c>
      <c r="E1578" s="9" t="s">
        <v>275</v>
      </c>
      <c r="F1578" s="9" t="s">
        <v>203</v>
      </c>
      <c r="G1578" s="9" t="s">
        <v>201</v>
      </c>
      <c r="H1578" s="9" t="n">
        <v>1050</v>
      </c>
      <c r="I1578" s="29" t="n">
        <v>2</v>
      </c>
      <c r="J1578" s="9" t="n">
        <v>1</v>
      </c>
      <c r="K1578" s="30"/>
      <c r="L1578" s="30"/>
      <c r="M1578" s="30"/>
      <c r="N1578" s="30"/>
      <c r="O1578" s="30"/>
      <c r="P1578" s="30"/>
      <c r="Q1578" s="30"/>
      <c r="R1578" s="30"/>
      <c r="S1578" s="30"/>
      <c r="T1578" s="30"/>
      <c r="U1578" s="21" t="str">
        <f aca="false">IF(COUNT(K1578:T1578)=0,"SOURCE EMPTY / INDUSTRIAL ONLY",IF(MIN(K1578:T1578)=1,"SERVICE READY","HOLD"))</f>
        <v>SOURCE EMPTY / INDUSTRIAL ONLY</v>
      </c>
      <c r="V1578" s="9" t="n">
        <f aca="false">IF(U1578="SERVICE READY",1,0)</f>
        <v>0</v>
      </c>
      <c r="W1578" s="6"/>
      <c r="X1578" s="6"/>
      <c r="Y1578" s="6"/>
      <c r="Z1578" s="6"/>
    </row>
    <row r="1579" customFormat="false" ht="15" hidden="false" customHeight="false" outlineLevel="0" collapsed="false">
      <c r="A1579" s="9" t="s">
        <v>1821</v>
      </c>
      <c r="B1579" s="9" t="s">
        <v>1810</v>
      </c>
      <c r="C1579" s="9" t="s">
        <v>1811</v>
      </c>
      <c r="D1579" s="9" t="s">
        <v>1735</v>
      </c>
      <c r="E1579" s="9" t="s">
        <v>275</v>
      </c>
      <c r="F1579" s="9" t="s">
        <v>205</v>
      </c>
      <c r="G1579" s="9" t="s">
        <v>198</v>
      </c>
      <c r="H1579" s="9" t="n">
        <v>1050</v>
      </c>
      <c r="I1579" s="29" t="n">
        <v>2</v>
      </c>
      <c r="J1579" s="9" t="n">
        <v>1</v>
      </c>
      <c r="K1579" s="30"/>
      <c r="L1579" s="30"/>
      <c r="M1579" s="30"/>
      <c r="N1579" s="30"/>
      <c r="O1579" s="30"/>
      <c r="P1579" s="30"/>
      <c r="Q1579" s="30"/>
      <c r="R1579" s="30"/>
      <c r="S1579" s="30"/>
      <c r="T1579" s="30"/>
      <c r="U1579" s="21" t="str">
        <f aca="false">IF(COUNT(K1579:T1579)=0,"SOURCE EMPTY / INDUSTRIAL ONLY",IF(MIN(K1579:T1579)=1,"SERVICE READY","HOLD"))</f>
        <v>SOURCE EMPTY / INDUSTRIAL ONLY</v>
      </c>
      <c r="V1579" s="9" t="n">
        <f aca="false">IF(U1579="SERVICE READY",1,0)</f>
        <v>0</v>
      </c>
      <c r="W1579" s="6"/>
      <c r="X1579" s="6"/>
      <c r="Y1579" s="6"/>
      <c r="Z1579" s="6"/>
    </row>
    <row r="1580" customFormat="false" ht="15" hidden="false" customHeight="false" outlineLevel="0" collapsed="false">
      <c r="A1580" s="9" t="s">
        <v>1822</v>
      </c>
      <c r="B1580" s="9" t="s">
        <v>1810</v>
      </c>
      <c r="C1580" s="9" t="s">
        <v>1811</v>
      </c>
      <c r="D1580" s="9" t="s">
        <v>1735</v>
      </c>
      <c r="E1580" s="9" t="s">
        <v>275</v>
      </c>
      <c r="F1580" s="9" t="s">
        <v>207</v>
      </c>
      <c r="G1580" s="9" t="s">
        <v>201</v>
      </c>
      <c r="H1580" s="9" t="n">
        <v>1050</v>
      </c>
      <c r="I1580" s="29" t="n">
        <v>2</v>
      </c>
      <c r="J1580" s="9" t="n">
        <v>1</v>
      </c>
      <c r="K1580" s="30"/>
      <c r="L1580" s="30"/>
      <c r="M1580" s="30"/>
      <c r="N1580" s="30"/>
      <c r="O1580" s="30"/>
      <c r="P1580" s="30"/>
      <c r="Q1580" s="30"/>
      <c r="R1580" s="30"/>
      <c r="S1580" s="30"/>
      <c r="T1580" s="30"/>
      <c r="U1580" s="21" t="str">
        <f aca="false">IF(COUNT(K1580:T1580)=0,"SOURCE EMPTY / INDUSTRIAL ONLY",IF(MIN(K1580:T1580)=1,"SERVICE READY","HOLD"))</f>
        <v>SOURCE EMPTY / INDUSTRIAL ONLY</v>
      </c>
      <c r="V1580" s="9" t="n">
        <f aca="false">IF(U1580="SERVICE READY",1,0)</f>
        <v>0</v>
      </c>
      <c r="W1580" s="6"/>
      <c r="X1580" s="6"/>
      <c r="Y1580" s="6"/>
      <c r="Z1580" s="6"/>
    </row>
    <row r="1581" customFormat="false" ht="15" hidden="false" customHeight="false" outlineLevel="0" collapsed="false">
      <c r="A1581" s="9" t="s">
        <v>1823</v>
      </c>
      <c r="B1581" s="9" t="s">
        <v>1810</v>
      </c>
      <c r="C1581" s="9" t="s">
        <v>1811</v>
      </c>
      <c r="D1581" s="9" t="s">
        <v>1735</v>
      </c>
      <c r="E1581" s="9" t="s">
        <v>275</v>
      </c>
      <c r="F1581" s="9" t="s">
        <v>209</v>
      </c>
      <c r="G1581" s="9" t="s">
        <v>198</v>
      </c>
      <c r="H1581" s="9" t="n">
        <v>1050</v>
      </c>
      <c r="I1581" s="29" t="n">
        <v>2</v>
      </c>
      <c r="J1581" s="9" t="n">
        <v>1</v>
      </c>
      <c r="K1581" s="30"/>
      <c r="L1581" s="30"/>
      <c r="M1581" s="30"/>
      <c r="N1581" s="30"/>
      <c r="O1581" s="30"/>
      <c r="P1581" s="30"/>
      <c r="Q1581" s="30"/>
      <c r="R1581" s="30"/>
      <c r="S1581" s="30"/>
      <c r="T1581" s="30"/>
      <c r="U1581" s="21" t="str">
        <f aca="false">IF(COUNT(K1581:T1581)=0,"SOURCE EMPTY / INDUSTRIAL ONLY",IF(MIN(K1581:T1581)=1,"SERVICE READY","HOLD"))</f>
        <v>SOURCE EMPTY / INDUSTRIAL ONLY</v>
      </c>
      <c r="V1581" s="9" t="n">
        <f aca="false">IF(U1581="SERVICE READY",1,0)</f>
        <v>0</v>
      </c>
      <c r="W1581" s="6"/>
      <c r="X1581" s="6"/>
      <c r="Y1581" s="6"/>
      <c r="Z1581" s="6"/>
    </row>
    <row r="1582" customFormat="false" ht="15" hidden="false" customHeight="false" outlineLevel="0" collapsed="false">
      <c r="A1582" s="9" t="s">
        <v>1824</v>
      </c>
      <c r="B1582" s="9" t="s">
        <v>1810</v>
      </c>
      <c r="C1582" s="9" t="s">
        <v>1811</v>
      </c>
      <c r="D1582" s="9" t="s">
        <v>1735</v>
      </c>
      <c r="E1582" s="9" t="s">
        <v>275</v>
      </c>
      <c r="F1582" s="9" t="s">
        <v>211</v>
      </c>
      <c r="G1582" s="9" t="s">
        <v>201</v>
      </c>
      <c r="H1582" s="9" t="n">
        <v>1050</v>
      </c>
      <c r="I1582" s="29" t="n">
        <v>2</v>
      </c>
      <c r="J1582" s="9" t="n">
        <v>1</v>
      </c>
      <c r="K1582" s="30"/>
      <c r="L1582" s="30"/>
      <c r="M1582" s="30"/>
      <c r="N1582" s="30"/>
      <c r="O1582" s="30"/>
      <c r="P1582" s="30"/>
      <c r="Q1582" s="30"/>
      <c r="R1582" s="30"/>
      <c r="S1582" s="30"/>
      <c r="T1582" s="30"/>
      <c r="U1582" s="21" t="str">
        <f aca="false">IF(COUNT(K1582:T1582)=0,"SOURCE EMPTY / INDUSTRIAL ONLY",IF(MIN(K1582:T1582)=1,"SERVICE READY","HOLD"))</f>
        <v>SOURCE EMPTY / INDUSTRIAL ONLY</v>
      </c>
      <c r="V1582" s="9" t="n">
        <f aca="false">IF(U1582="SERVICE READY",1,0)</f>
        <v>0</v>
      </c>
      <c r="W1582" s="6"/>
      <c r="X1582" s="6"/>
      <c r="Y1582" s="6"/>
      <c r="Z1582" s="6"/>
    </row>
    <row r="1583" customFormat="false" ht="15" hidden="false" customHeight="false" outlineLevel="0" collapsed="false">
      <c r="A1583" s="9" t="s">
        <v>1825</v>
      </c>
      <c r="B1583" s="9" t="s">
        <v>1810</v>
      </c>
      <c r="C1583" s="9" t="s">
        <v>1811</v>
      </c>
      <c r="D1583" s="9" t="s">
        <v>1735</v>
      </c>
      <c r="E1583" s="9" t="s">
        <v>275</v>
      </c>
      <c r="F1583" s="9" t="s">
        <v>197</v>
      </c>
      <c r="G1583" s="9" t="s">
        <v>198</v>
      </c>
      <c r="H1583" s="9" t="n">
        <v>1050</v>
      </c>
      <c r="I1583" s="29" t="n">
        <v>2</v>
      </c>
      <c r="J1583" s="9" t="n">
        <v>1</v>
      </c>
      <c r="K1583" s="30"/>
      <c r="L1583" s="30"/>
      <c r="M1583" s="30"/>
      <c r="N1583" s="30"/>
      <c r="O1583" s="30"/>
      <c r="P1583" s="30"/>
      <c r="Q1583" s="30"/>
      <c r="R1583" s="30"/>
      <c r="S1583" s="30"/>
      <c r="T1583" s="30"/>
      <c r="U1583" s="21" t="str">
        <f aca="false">IF(COUNT(K1583:T1583)=0,"SOURCE EMPTY / INDUSTRIAL ONLY",IF(MIN(K1583:T1583)=1,"SERVICE READY","HOLD"))</f>
        <v>SOURCE EMPTY / INDUSTRIAL ONLY</v>
      </c>
      <c r="V1583" s="9" t="n">
        <f aca="false">IF(U1583="SERVICE READY",1,0)</f>
        <v>0</v>
      </c>
      <c r="W1583" s="6"/>
      <c r="X1583" s="6"/>
      <c r="Y1583" s="6"/>
      <c r="Z1583" s="6"/>
    </row>
    <row r="1584" customFormat="false" ht="15" hidden="false" customHeight="false" outlineLevel="0" collapsed="false">
      <c r="A1584" s="9" t="s">
        <v>1826</v>
      </c>
      <c r="B1584" s="9" t="s">
        <v>1810</v>
      </c>
      <c r="C1584" s="9" t="s">
        <v>1811</v>
      </c>
      <c r="D1584" s="9" t="s">
        <v>1735</v>
      </c>
      <c r="E1584" s="9" t="s">
        <v>275</v>
      </c>
      <c r="F1584" s="9" t="s">
        <v>200</v>
      </c>
      <c r="G1584" s="9" t="s">
        <v>201</v>
      </c>
      <c r="H1584" s="9" t="n">
        <v>1050</v>
      </c>
      <c r="I1584" s="29" t="n">
        <v>2</v>
      </c>
      <c r="J1584" s="9" t="n">
        <v>1</v>
      </c>
      <c r="K1584" s="30"/>
      <c r="L1584" s="30"/>
      <c r="M1584" s="30"/>
      <c r="N1584" s="30"/>
      <c r="O1584" s="30"/>
      <c r="P1584" s="30"/>
      <c r="Q1584" s="30"/>
      <c r="R1584" s="30"/>
      <c r="S1584" s="30"/>
      <c r="T1584" s="30"/>
      <c r="U1584" s="21" t="str">
        <f aca="false">IF(COUNT(K1584:T1584)=0,"SOURCE EMPTY / INDUSTRIAL ONLY",IF(MIN(K1584:T1584)=1,"SERVICE READY","HOLD"))</f>
        <v>SOURCE EMPTY / INDUSTRIAL ONLY</v>
      </c>
      <c r="V1584" s="9" t="n">
        <f aca="false">IF(U1584="SERVICE READY",1,0)</f>
        <v>0</v>
      </c>
      <c r="W1584" s="6"/>
      <c r="X1584" s="6"/>
      <c r="Y1584" s="6"/>
      <c r="Z1584" s="6"/>
    </row>
    <row r="1585" customFormat="false" ht="15" hidden="false" customHeight="false" outlineLevel="0" collapsed="false">
      <c r="A1585" s="9" t="s">
        <v>1827</v>
      </c>
      <c r="B1585" s="9" t="s">
        <v>1810</v>
      </c>
      <c r="C1585" s="9" t="s">
        <v>1811</v>
      </c>
      <c r="D1585" s="9" t="s">
        <v>1735</v>
      </c>
      <c r="E1585" s="9" t="s">
        <v>275</v>
      </c>
      <c r="F1585" s="9" t="s">
        <v>203</v>
      </c>
      <c r="G1585" s="9" t="s">
        <v>198</v>
      </c>
      <c r="H1585" s="9" t="n">
        <v>1050</v>
      </c>
      <c r="I1585" s="29" t="n">
        <v>2</v>
      </c>
      <c r="J1585" s="9" t="n">
        <v>1</v>
      </c>
      <c r="K1585" s="30"/>
      <c r="L1585" s="30"/>
      <c r="M1585" s="30"/>
      <c r="N1585" s="30"/>
      <c r="O1585" s="30"/>
      <c r="P1585" s="30"/>
      <c r="Q1585" s="30"/>
      <c r="R1585" s="30"/>
      <c r="S1585" s="30"/>
      <c r="T1585" s="30"/>
      <c r="U1585" s="21" t="str">
        <f aca="false">IF(COUNT(K1585:T1585)=0,"SOURCE EMPTY / INDUSTRIAL ONLY",IF(MIN(K1585:T1585)=1,"SERVICE READY","HOLD"))</f>
        <v>SOURCE EMPTY / INDUSTRIAL ONLY</v>
      </c>
      <c r="V1585" s="9" t="n">
        <f aca="false">IF(U1585="SERVICE READY",1,0)</f>
        <v>0</v>
      </c>
      <c r="W1585" s="6"/>
      <c r="X1585" s="6"/>
      <c r="Y1585" s="6"/>
      <c r="Z1585" s="6"/>
    </row>
    <row r="1586" customFormat="false" ht="15" hidden="false" customHeight="false" outlineLevel="0" collapsed="false">
      <c r="A1586" s="9" t="s">
        <v>1828</v>
      </c>
      <c r="B1586" s="9" t="s">
        <v>1810</v>
      </c>
      <c r="C1586" s="9" t="s">
        <v>1811</v>
      </c>
      <c r="D1586" s="9" t="s">
        <v>1735</v>
      </c>
      <c r="E1586" s="9" t="s">
        <v>275</v>
      </c>
      <c r="F1586" s="9" t="s">
        <v>205</v>
      </c>
      <c r="G1586" s="9" t="s">
        <v>201</v>
      </c>
      <c r="H1586" s="9" t="n">
        <v>1050</v>
      </c>
      <c r="I1586" s="29" t="n">
        <v>2</v>
      </c>
      <c r="J1586" s="9" t="n">
        <v>1</v>
      </c>
      <c r="K1586" s="30"/>
      <c r="L1586" s="30"/>
      <c r="M1586" s="30"/>
      <c r="N1586" s="30"/>
      <c r="O1586" s="30"/>
      <c r="P1586" s="30"/>
      <c r="Q1586" s="30"/>
      <c r="R1586" s="30"/>
      <c r="S1586" s="30"/>
      <c r="T1586" s="30"/>
      <c r="U1586" s="21" t="str">
        <f aca="false">IF(COUNT(K1586:T1586)=0,"SOURCE EMPTY / INDUSTRIAL ONLY",IF(MIN(K1586:T1586)=1,"SERVICE READY","HOLD"))</f>
        <v>SOURCE EMPTY / INDUSTRIAL ONLY</v>
      </c>
      <c r="V1586" s="9" t="n">
        <f aca="false">IF(U1586="SERVICE READY",1,0)</f>
        <v>0</v>
      </c>
      <c r="W1586" s="6"/>
      <c r="X1586" s="6"/>
      <c r="Y1586" s="6"/>
      <c r="Z1586" s="6"/>
    </row>
    <row r="1587" customFormat="false" ht="15" hidden="false" customHeight="false" outlineLevel="0" collapsed="false">
      <c r="A1587" s="9" t="s">
        <v>1829</v>
      </c>
      <c r="B1587" s="9" t="s">
        <v>1810</v>
      </c>
      <c r="C1587" s="9" t="s">
        <v>1811</v>
      </c>
      <c r="D1587" s="9" t="s">
        <v>1735</v>
      </c>
      <c r="E1587" s="9" t="s">
        <v>275</v>
      </c>
      <c r="F1587" s="9" t="s">
        <v>207</v>
      </c>
      <c r="G1587" s="9" t="s">
        <v>198</v>
      </c>
      <c r="H1587" s="9" t="n">
        <v>1050</v>
      </c>
      <c r="I1587" s="29" t="n">
        <v>2</v>
      </c>
      <c r="J1587" s="9" t="n">
        <v>1</v>
      </c>
      <c r="K1587" s="30"/>
      <c r="L1587" s="30"/>
      <c r="M1587" s="30"/>
      <c r="N1587" s="30"/>
      <c r="O1587" s="30"/>
      <c r="P1587" s="30"/>
      <c r="Q1587" s="30"/>
      <c r="R1587" s="30"/>
      <c r="S1587" s="30"/>
      <c r="T1587" s="30"/>
      <c r="U1587" s="21" t="str">
        <f aca="false">IF(COUNT(K1587:T1587)=0,"SOURCE EMPTY / INDUSTRIAL ONLY",IF(MIN(K1587:T1587)=1,"SERVICE READY","HOLD"))</f>
        <v>SOURCE EMPTY / INDUSTRIAL ONLY</v>
      </c>
      <c r="V1587" s="9" t="n">
        <f aca="false">IF(U1587="SERVICE READY",1,0)</f>
        <v>0</v>
      </c>
      <c r="W1587" s="6"/>
      <c r="X1587" s="6"/>
      <c r="Y1587" s="6"/>
      <c r="Z1587" s="6"/>
    </row>
    <row r="1588" customFormat="false" ht="15" hidden="false" customHeight="false" outlineLevel="0" collapsed="false">
      <c r="A1588" s="9" t="s">
        <v>1830</v>
      </c>
      <c r="B1588" s="9" t="s">
        <v>1810</v>
      </c>
      <c r="C1588" s="9" t="s">
        <v>1811</v>
      </c>
      <c r="D1588" s="9" t="s">
        <v>1735</v>
      </c>
      <c r="E1588" s="9" t="s">
        <v>275</v>
      </c>
      <c r="F1588" s="9" t="s">
        <v>209</v>
      </c>
      <c r="G1588" s="9" t="s">
        <v>201</v>
      </c>
      <c r="H1588" s="9" t="n">
        <v>1050</v>
      </c>
      <c r="I1588" s="29" t="n">
        <v>2</v>
      </c>
      <c r="J1588" s="9" t="n">
        <v>1</v>
      </c>
      <c r="K1588" s="30"/>
      <c r="L1588" s="30"/>
      <c r="M1588" s="30"/>
      <c r="N1588" s="30"/>
      <c r="O1588" s="30"/>
      <c r="P1588" s="30"/>
      <c r="Q1588" s="30"/>
      <c r="R1588" s="30"/>
      <c r="S1588" s="30"/>
      <c r="T1588" s="30"/>
      <c r="U1588" s="21" t="str">
        <f aca="false">IF(COUNT(K1588:T1588)=0,"SOURCE EMPTY / INDUSTRIAL ONLY",IF(MIN(K1588:T1588)=1,"SERVICE READY","HOLD"))</f>
        <v>SOURCE EMPTY / INDUSTRIAL ONLY</v>
      </c>
      <c r="V1588" s="9" t="n">
        <f aca="false">IF(U1588="SERVICE READY",1,0)</f>
        <v>0</v>
      </c>
      <c r="W1588" s="6"/>
      <c r="X1588" s="6"/>
      <c r="Y1588" s="6"/>
      <c r="Z1588" s="6"/>
    </row>
    <row r="1589" customFormat="false" ht="15" hidden="false" customHeight="false" outlineLevel="0" collapsed="false">
      <c r="A1589" s="9" t="s">
        <v>1831</v>
      </c>
      <c r="B1589" s="9" t="s">
        <v>1810</v>
      </c>
      <c r="C1589" s="9" t="s">
        <v>1811</v>
      </c>
      <c r="D1589" s="9" t="s">
        <v>1735</v>
      </c>
      <c r="E1589" s="9" t="s">
        <v>275</v>
      </c>
      <c r="F1589" s="9" t="s">
        <v>211</v>
      </c>
      <c r="G1589" s="9" t="s">
        <v>198</v>
      </c>
      <c r="H1589" s="9" t="n">
        <v>1050</v>
      </c>
      <c r="I1589" s="29" t="n">
        <v>2</v>
      </c>
      <c r="J1589" s="9" t="n">
        <v>1</v>
      </c>
      <c r="K1589" s="30"/>
      <c r="L1589" s="30"/>
      <c r="M1589" s="30"/>
      <c r="N1589" s="30"/>
      <c r="O1589" s="30"/>
      <c r="P1589" s="30"/>
      <c r="Q1589" s="30"/>
      <c r="R1589" s="30"/>
      <c r="S1589" s="30"/>
      <c r="T1589" s="30"/>
      <c r="U1589" s="21" t="str">
        <f aca="false">IF(COUNT(K1589:T1589)=0,"SOURCE EMPTY / INDUSTRIAL ONLY",IF(MIN(K1589:T1589)=1,"SERVICE READY","HOLD"))</f>
        <v>SOURCE EMPTY / INDUSTRIAL ONLY</v>
      </c>
      <c r="V1589" s="9" t="n">
        <f aca="false">IF(U1589="SERVICE READY",1,0)</f>
        <v>0</v>
      </c>
      <c r="W1589" s="6"/>
      <c r="X1589" s="6"/>
      <c r="Y1589" s="6"/>
      <c r="Z1589" s="6"/>
    </row>
    <row r="1590" customFormat="false" ht="15" hidden="false" customHeight="false" outlineLevel="0" collapsed="false">
      <c r="A1590" s="9" t="s">
        <v>1832</v>
      </c>
      <c r="B1590" s="9" t="s">
        <v>1810</v>
      </c>
      <c r="C1590" s="9" t="s">
        <v>1811</v>
      </c>
      <c r="D1590" s="9" t="s">
        <v>1735</v>
      </c>
      <c r="E1590" s="9" t="s">
        <v>275</v>
      </c>
      <c r="F1590" s="9" t="s">
        <v>197</v>
      </c>
      <c r="G1590" s="9" t="s">
        <v>201</v>
      </c>
      <c r="H1590" s="9" t="n">
        <v>1050</v>
      </c>
      <c r="I1590" s="29" t="n">
        <v>2</v>
      </c>
      <c r="J1590" s="9" t="n">
        <v>1</v>
      </c>
      <c r="K1590" s="30"/>
      <c r="L1590" s="30"/>
      <c r="M1590" s="30"/>
      <c r="N1590" s="30"/>
      <c r="O1590" s="30"/>
      <c r="P1590" s="30"/>
      <c r="Q1590" s="30"/>
      <c r="R1590" s="30"/>
      <c r="S1590" s="30"/>
      <c r="T1590" s="30"/>
      <c r="U1590" s="21" t="str">
        <f aca="false">IF(COUNT(K1590:T1590)=0,"SOURCE EMPTY / INDUSTRIAL ONLY",IF(MIN(K1590:T1590)=1,"SERVICE READY","HOLD"))</f>
        <v>SOURCE EMPTY / INDUSTRIAL ONLY</v>
      </c>
      <c r="V1590" s="9" t="n">
        <f aca="false">IF(U1590="SERVICE READY",1,0)</f>
        <v>0</v>
      </c>
      <c r="W1590" s="6"/>
      <c r="X1590" s="6"/>
      <c r="Y1590" s="6"/>
      <c r="Z1590" s="6"/>
    </row>
    <row r="1591" customFormat="false" ht="15" hidden="false" customHeight="false" outlineLevel="0" collapsed="false">
      <c r="A1591" s="9" t="s">
        <v>1833</v>
      </c>
      <c r="B1591" s="9" t="s">
        <v>1810</v>
      </c>
      <c r="C1591" s="9" t="s">
        <v>1811</v>
      </c>
      <c r="D1591" s="9" t="s">
        <v>1735</v>
      </c>
      <c r="E1591" s="9" t="s">
        <v>275</v>
      </c>
      <c r="F1591" s="9" t="s">
        <v>200</v>
      </c>
      <c r="G1591" s="9" t="s">
        <v>198</v>
      </c>
      <c r="H1591" s="9" t="n">
        <v>1050</v>
      </c>
      <c r="I1591" s="29" t="n">
        <v>2</v>
      </c>
      <c r="J1591" s="9" t="n">
        <v>1</v>
      </c>
      <c r="K1591" s="30"/>
      <c r="L1591" s="30"/>
      <c r="M1591" s="30"/>
      <c r="N1591" s="30"/>
      <c r="O1591" s="30"/>
      <c r="P1591" s="30"/>
      <c r="Q1591" s="30"/>
      <c r="R1591" s="30"/>
      <c r="S1591" s="30"/>
      <c r="T1591" s="30"/>
      <c r="U1591" s="21" t="str">
        <f aca="false">IF(COUNT(K1591:T1591)=0,"SOURCE EMPTY / INDUSTRIAL ONLY",IF(MIN(K1591:T1591)=1,"SERVICE READY","HOLD"))</f>
        <v>SOURCE EMPTY / INDUSTRIAL ONLY</v>
      </c>
      <c r="V1591" s="9" t="n">
        <f aca="false">IF(U1591="SERVICE READY",1,0)</f>
        <v>0</v>
      </c>
      <c r="W1591" s="6"/>
      <c r="X1591" s="6"/>
      <c r="Y1591" s="6"/>
      <c r="Z1591" s="6"/>
    </row>
    <row r="1592" customFormat="false" ht="15" hidden="false" customHeight="false" outlineLevel="0" collapsed="false">
      <c r="A1592" s="9" t="s">
        <v>1834</v>
      </c>
      <c r="B1592" s="9" t="s">
        <v>1810</v>
      </c>
      <c r="C1592" s="9" t="s">
        <v>1811</v>
      </c>
      <c r="D1592" s="9" t="s">
        <v>1735</v>
      </c>
      <c r="E1592" s="9" t="s">
        <v>275</v>
      </c>
      <c r="F1592" s="9" t="s">
        <v>203</v>
      </c>
      <c r="G1592" s="9" t="s">
        <v>201</v>
      </c>
      <c r="H1592" s="9" t="n">
        <v>1050</v>
      </c>
      <c r="I1592" s="29" t="n">
        <v>2</v>
      </c>
      <c r="J1592" s="9" t="n">
        <v>1</v>
      </c>
      <c r="K1592" s="30"/>
      <c r="L1592" s="30"/>
      <c r="M1592" s="30"/>
      <c r="N1592" s="30"/>
      <c r="O1592" s="30"/>
      <c r="P1592" s="30"/>
      <c r="Q1592" s="30"/>
      <c r="R1592" s="30"/>
      <c r="S1592" s="30"/>
      <c r="T1592" s="30"/>
      <c r="U1592" s="21" t="str">
        <f aca="false">IF(COUNT(K1592:T1592)=0,"SOURCE EMPTY / INDUSTRIAL ONLY",IF(MIN(K1592:T1592)=1,"SERVICE READY","HOLD"))</f>
        <v>SOURCE EMPTY / INDUSTRIAL ONLY</v>
      </c>
      <c r="V1592" s="9" t="n">
        <f aca="false">IF(U1592="SERVICE READY",1,0)</f>
        <v>0</v>
      </c>
      <c r="W1592" s="6"/>
      <c r="X1592" s="6"/>
      <c r="Y1592" s="6"/>
      <c r="Z1592" s="6"/>
    </row>
    <row r="1593" customFormat="false" ht="15" hidden="false" customHeight="false" outlineLevel="0" collapsed="false">
      <c r="A1593" s="9" t="s">
        <v>1835</v>
      </c>
      <c r="B1593" s="9" t="s">
        <v>1810</v>
      </c>
      <c r="C1593" s="9" t="s">
        <v>1811</v>
      </c>
      <c r="D1593" s="9" t="s">
        <v>1735</v>
      </c>
      <c r="E1593" s="9" t="s">
        <v>275</v>
      </c>
      <c r="F1593" s="9" t="s">
        <v>205</v>
      </c>
      <c r="G1593" s="9" t="s">
        <v>198</v>
      </c>
      <c r="H1593" s="9" t="n">
        <v>1050</v>
      </c>
      <c r="I1593" s="29" t="n">
        <v>2</v>
      </c>
      <c r="J1593" s="9" t="n">
        <v>1</v>
      </c>
      <c r="K1593" s="30"/>
      <c r="L1593" s="30"/>
      <c r="M1593" s="30"/>
      <c r="N1593" s="30"/>
      <c r="O1593" s="30"/>
      <c r="P1593" s="30"/>
      <c r="Q1593" s="30"/>
      <c r="R1593" s="30"/>
      <c r="S1593" s="30"/>
      <c r="T1593" s="30"/>
      <c r="U1593" s="21" t="str">
        <f aca="false">IF(COUNT(K1593:T1593)=0,"SOURCE EMPTY / INDUSTRIAL ONLY",IF(MIN(K1593:T1593)=1,"SERVICE READY","HOLD"))</f>
        <v>SOURCE EMPTY / INDUSTRIAL ONLY</v>
      </c>
      <c r="V1593" s="9" t="n">
        <f aca="false">IF(U1593="SERVICE READY",1,0)</f>
        <v>0</v>
      </c>
      <c r="W1593" s="6"/>
      <c r="X1593" s="6"/>
      <c r="Y1593" s="6"/>
      <c r="Z1593" s="6"/>
    </row>
    <row r="1594" customFormat="false" ht="15" hidden="false" customHeight="false" outlineLevel="0" collapsed="false">
      <c r="A1594" s="9" t="s">
        <v>1836</v>
      </c>
      <c r="B1594" s="9" t="s">
        <v>1810</v>
      </c>
      <c r="C1594" s="9" t="s">
        <v>1811</v>
      </c>
      <c r="D1594" s="9" t="s">
        <v>1735</v>
      </c>
      <c r="E1594" s="9" t="s">
        <v>275</v>
      </c>
      <c r="F1594" s="9" t="s">
        <v>207</v>
      </c>
      <c r="G1594" s="9" t="s">
        <v>201</v>
      </c>
      <c r="H1594" s="9" t="n">
        <v>1050</v>
      </c>
      <c r="I1594" s="29" t="n">
        <v>2</v>
      </c>
      <c r="J1594" s="9" t="n">
        <v>1</v>
      </c>
      <c r="K1594" s="30"/>
      <c r="L1594" s="30"/>
      <c r="M1594" s="30"/>
      <c r="N1594" s="30"/>
      <c r="O1594" s="30"/>
      <c r="P1594" s="30"/>
      <c r="Q1594" s="30"/>
      <c r="R1594" s="30"/>
      <c r="S1594" s="30"/>
      <c r="T1594" s="30"/>
      <c r="U1594" s="21" t="str">
        <f aca="false">IF(COUNT(K1594:T1594)=0,"SOURCE EMPTY / INDUSTRIAL ONLY",IF(MIN(K1594:T1594)=1,"SERVICE READY","HOLD"))</f>
        <v>SOURCE EMPTY / INDUSTRIAL ONLY</v>
      </c>
      <c r="V1594" s="9" t="n">
        <f aca="false">IF(U1594="SERVICE READY",1,0)</f>
        <v>0</v>
      </c>
      <c r="W1594" s="6"/>
      <c r="X1594" s="6"/>
      <c r="Y1594" s="6"/>
      <c r="Z1594" s="6"/>
    </row>
    <row r="1595" customFormat="false" ht="15" hidden="false" customHeight="false" outlineLevel="0" collapsed="false">
      <c r="A1595" s="9" t="s">
        <v>1837</v>
      </c>
      <c r="B1595" s="9" t="s">
        <v>1810</v>
      </c>
      <c r="C1595" s="9" t="s">
        <v>1811</v>
      </c>
      <c r="D1595" s="9" t="s">
        <v>1735</v>
      </c>
      <c r="E1595" s="9" t="s">
        <v>275</v>
      </c>
      <c r="F1595" s="9" t="s">
        <v>209</v>
      </c>
      <c r="G1595" s="9" t="s">
        <v>198</v>
      </c>
      <c r="H1595" s="9" t="n">
        <v>1050</v>
      </c>
      <c r="I1595" s="29" t="n">
        <v>2</v>
      </c>
      <c r="J1595" s="9" t="n">
        <v>1</v>
      </c>
      <c r="K1595" s="30"/>
      <c r="L1595" s="30"/>
      <c r="M1595" s="30"/>
      <c r="N1595" s="30"/>
      <c r="O1595" s="30"/>
      <c r="P1595" s="30"/>
      <c r="Q1595" s="30"/>
      <c r="R1595" s="30"/>
      <c r="S1595" s="30"/>
      <c r="T1595" s="30"/>
      <c r="U1595" s="21" t="str">
        <f aca="false">IF(COUNT(K1595:T1595)=0,"SOURCE EMPTY / INDUSTRIAL ONLY",IF(MIN(K1595:T1595)=1,"SERVICE READY","HOLD"))</f>
        <v>SOURCE EMPTY / INDUSTRIAL ONLY</v>
      </c>
      <c r="V1595" s="9" t="n">
        <f aca="false">IF(U1595="SERVICE READY",1,0)</f>
        <v>0</v>
      </c>
      <c r="W1595" s="6"/>
      <c r="X1595" s="6"/>
      <c r="Y1595" s="6"/>
      <c r="Z1595" s="6"/>
    </row>
    <row r="1596" customFormat="false" ht="15" hidden="false" customHeight="false" outlineLevel="0" collapsed="false">
      <c r="A1596" s="9" t="s">
        <v>1838</v>
      </c>
      <c r="B1596" s="9" t="s">
        <v>1810</v>
      </c>
      <c r="C1596" s="9" t="s">
        <v>1811</v>
      </c>
      <c r="D1596" s="9" t="s">
        <v>1735</v>
      </c>
      <c r="E1596" s="9" t="s">
        <v>275</v>
      </c>
      <c r="F1596" s="9" t="s">
        <v>211</v>
      </c>
      <c r="G1596" s="9" t="s">
        <v>201</v>
      </c>
      <c r="H1596" s="9" t="n">
        <v>1050</v>
      </c>
      <c r="I1596" s="29" t="n">
        <v>2</v>
      </c>
      <c r="J1596" s="9" t="n">
        <v>1</v>
      </c>
      <c r="K1596" s="30"/>
      <c r="L1596" s="30"/>
      <c r="M1596" s="30"/>
      <c r="N1596" s="30"/>
      <c r="O1596" s="30"/>
      <c r="P1596" s="30"/>
      <c r="Q1596" s="30"/>
      <c r="R1596" s="30"/>
      <c r="S1596" s="30"/>
      <c r="T1596" s="30"/>
      <c r="U1596" s="21" t="str">
        <f aca="false">IF(COUNT(K1596:T1596)=0,"SOURCE EMPTY / INDUSTRIAL ONLY",IF(MIN(K1596:T1596)=1,"SERVICE READY","HOLD"))</f>
        <v>SOURCE EMPTY / INDUSTRIAL ONLY</v>
      </c>
      <c r="V1596" s="9" t="n">
        <f aca="false">IF(U1596="SERVICE READY",1,0)</f>
        <v>0</v>
      </c>
      <c r="W1596" s="6"/>
      <c r="X1596" s="6"/>
      <c r="Y1596" s="6"/>
      <c r="Z1596" s="6"/>
    </row>
    <row r="1597" customFormat="false" ht="15" hidden="false" customHeight="false" outlineLevel="0" collapsed="false">
      <c r="A1597" s="9" t="s">
        <v>1839</v>
      </c>
      <c r="B1597" s="9" t="s">
        <v>1810</v>
      </c>
      <c r="C1597" s="9" t="s">
        <v>1811</v>
      </c>
      <c r="D1597" s="9" t="s">
        <v>1735</v>
      </c>
      <c r="E1597" s="9" t="s">
        <v>275</v>
      </c>
      <c r="F1597" s="9" t="s">
        <v>197</v>
      </c>
      <c r="G1597" s="9" t="s">
        <v>198</v>
      </c>
      <c r="H1597" s="9" t="n">
        <v>1050</v>
      </c>
      <c r="I1597" s="29" t="n">
        <v>2</v>
      </c>
      <c r="J1597" s="9" t="n">
        <v>1</v>
      </c>
      <c r="K1597" s="30"/>
      <c r="L1597" s="30"/>
      <c r="M1597" s="30"/>
      <c r="N1597" s="30"/>
      <c r="O1597" s="30"/>
      <c r="P1597" s="30"/>
      <c r="Q1597" s="30"/>
      <c r="R1597" s="30"/>
      <c r="S1597" s="30"/>
      <c r="T1597" s="30"/>
      <c r="U1597" s="21" t="str">
        <f aca="false">IF(COUNT(K1597:T1597)=0,"SOURCE EMPTY / INDUSTRIAL ONLY",IF(MIN(K1597:T1597)=1,"SERVICE READY","HOLD"))</f>
        <v>SOURCE EMPTY / INDUSTRIAL ONLY</v>
      </c>
      <c r="V1597" s="9" t="n">
        <f aca="false">IF(U1597="SERVICE READY",1,0)</f>
        <v>0</v>
      </c>
      <c r="W1597" s="6"/>
      <c r="X1597" s="6"/>
      <c r="Y1597" s="6"/>
      <c r="Z1597" s="6"/>
    </row>
    <row r="1598" customFormat="false" ht="15" hidden="false" customHeight="false" outlineLevel="0" collapsed="false">
      <c r="A1598" s="9" t="s">
        <v>1840</v>
      </c>
      <c r="B1598" s="9" t="s">
        <v>1810</v>
      </c>
      <c r="C1598" s="9" t="s">
        <v>1811</v>
      </c>
      <c r="D1598" s="9" t="s">
        <v>1735</v>
      </c>
      <c r="E1598" s="9" t="s">
        <v>275</v>
      </c>
      <c r="F1598" s="9" t="s">
        <v>200</v>
      </c>
      <c r="G1598" s="9" t="s">
        <v>201</v>
      </c>
      <c r="H1598" s="9" t="n">
        <v>1050</v>
      </c>
      <c r="I1598" s="29" t="n">
        <v>2</v>
      </c>
      <c r="J1598" s="9" t="n">
        <v>1</v>
      </c>
      <c r="K1598" s="30"/>
      <c r="L1598" s="30"/>
      <c r="M1598" s="30"/>
      <c r="N1598" s="30"/>
      <c r="O1598" s="30"/>
      <c r="P1598" s="30"/>
      <c r="Q1598" s="30"/>
      <c r="R1598" s="30"/>
      <c r="S1598" s="30"/>
      <c r="T1598" s="30"/>
      <c r="U1598" s="21" t="str">
        <f aca="false">IF(COUNT(K1598:T1598)=0,"SOURCE EMPTY / INDUSTRIAL ONLY",IF(MIN(K1598:T1598)=1,"SERVICE READY","HOLD"))</f>
        <v>SOURCE EMPTY / INDUSTRIAL ONLY</v>
      </c>
      <c r="V1598" s="9" t="n">
        <f aca="false">IF(U1598="SERVICE READY",1,0)</f>
        <v>0</v>
      </c>
      <c r="W1598" s="6"/>
      <c r="X1598" s="6"/>
      <c r="Y1598" s="6"/>
      <c r="Z1598" s="6"/>
    </row>
    <row r="1599" customFormat="false" ht="15" hidden="false" customHeight="false" outlineLevel="0" collapsed="false">
      <c r="A1599" s="9" t="s">
        <v>1841</v>
      </c>
      <c r="B1599" s="9" t="s">
        <v>1810</v>
      </c>
      <c r="C1599" s="9" t="s">
        <v>1811</v>
      </c>
      <c r="D1599" s="9" t="s">
        <v>1735</v>
      </c>
      <c r="E1599" s="9" t="s">
        <v>275</v>
      </c>
      <c r="F1599" s="9" t="s">
        <v>203</v>
      </c>
      <c r="G1599" s="9" t="s">
        <v>221</v>
      </c>
      <c r="H1599" s="9" t="n">
        <v>1050</v>
      </c>
      <c r="I1599" s="29" t="n">
        <v>2</v>
      </c>
      <c r="J1599" s="9" t="n">
        <v>1</v>
      </c>
      <c r="K1599" s="30"/>
      <c r="L1599" s="30"/>
      <c r="M1599" s="30"/>
      <c r="N1599" s="30"/>
      <c r="O1599" s="30"/>
      <c r="P1599" s="30"/>
      <c r="Q1599" s="30"/>
      <c r="R1599" s="30"/>
      <c r="S1599" s="30"/>
      <c r="T1599" s="30"/>
      <c r="U1599" s="21" t="str">
        <f aca="false">IF(COUNT(K1599:T1599)=0,"SOURCE EMPTY / INDUSTRIAL ONLY",IF(MIN(K1599:T1599)=1,"SERVICE READY","HOLD"))</f>
        <v>SOURCE EMPTY / INDUSTRIAL ONLY</v>
      </c>
      <c r="V1599" s="9" t="n">
        <f aca="false">IF(U1599="SERVICE READY",1,0)</f>
        <v>0</v>
      </c>
      <c r="W1599" s="6"/>
      <c r="X1599" s="6"/>
      <c r="Y1599" s="6"/>
      <c r="Z1599" s="6"/>
    </row>
    <row r="1600" customFormat="false" ht="15" hidden="false" customHeight="false" outlineLevel="0" collapsed="false">
      <c r="A1600" s="9" t="s">
        <v>1842</v>
      </c>
      <c r="B1600" s="9" t="s">
        <v>1810</v>
      </c>
      <c r="C1600" s="9" t="s">
        <v>1811</v>
      </c>
      <c r="D1600" s="9" t="s">
        <v>1735</v>
      </c>
      <c r="E1600" s="9" t="s">
        <v>275</v>
      </c>
      <c r="F1600" s="9" t="s">
        <v>205</v>
      </c>
      <c r="G1600" s="9" t="s">
        <v>221</v>
      </c>
      <c r="H1600" s="9" t="n">
        <v>1050</v>
      </c>
      <c r="I1600" s="29" t="n">
        <v>2</v>
      </c>
      <c r="J1600" s="9" t="n">
        <v>1</v>
      </c>
      <c r="K1600" s="30"/>
      <c r="L1600" s="30"/>
      <c r="M1600" s="30"/>
      <c r="N1600" s="30"/>
      <c r="O1600" s="30"/>
      <c r="P1600" s="30"/>
      <c r="Q1600" s="30"/>
      <c r="R1600" s="30"/>
      <c r="S1600" s="30"/>
      <c r="T1600" s="30"/>
      <c r="U1600" s="21" t="str">
        <f aca="false">IF(COUNT(K1600:T1600)=0,"SOURCE EMPTY / INDUSTRIAL ONLY",IF(MIN(K1600:T1600)=1,"SERVICE READY","HOLD"))</f>
        <v>SOURCE EMPTY / INDUSTRIAL ONLY</v>
      </c>
      <c r="V1600" s="9" t="n">
        <f aca="false">IF(U1600="SERVICE READY",1,0)</f>
        <v>0</v>
      </c>
      <c r="W1600" s="6"/>
      <c r="X1600" s="6"/>
      <c r="Y1600" s="6"/>
      <c r="Z1600" s="6"/>
    </row>
    <row r="1601" customFormat="false" ht="15" hidden="false" customHeight="false" outlineLevel="0" collapsed="false">
      <c r="A1601" s="9" t="s">
        <v>1843</v>
      </c>
      <c r="B1601" s="9" t="s">
        <v>1810</v>
      </c>
      <c r="C1601" s="9" t="s">
        <v>1811</v>
      </c>
      <c r="D1601" s="9" t="s">
        <v>1735</v>
      </c>
      <c r="E1601" s="9" t="s">
        <v>275</v>
      </c>
      <c r="F1601" s="9" t="s">
        <v>207</v>
      </c>
      <c r="G1601" s="9" t="s">
        <v>221</v>
      </c>
      <c r="H1601" s="9" t="n">
        <v>1050</v>
      </c>
      <c r="I1601" s="29" t="n">
        <v>2</v>
      </c>
      <c r="J1601" s="9" t="n">
        <v>1</v>
      </c>
      <c r="K1601" s="30"/>
      <c r="L1601" s="30"/>
      <c r="M1601" s="30"/>
      <c r="N1601" s="30"/>
      <c r="O1601" s="30"/>
      <c r="P1601" s="30"/>
      <c r="Q1601" s="30"/>
      <c r="R1601" s="30"/>
      <c r="S1601" s="30"/>
      <c r="T1601" s="30"/>
      <c r="U1601" s="21" t="str">
        <f aca="false">IF(COUNT(K1601:T1601)=0,"SOURCE EMPTY / INDUSTRIAL ONLY",IF(MIN(K1601:T1601)=1,"SERVICE READY","HOLD"))</f>
        <v>SOURCE EMPTY / INDUSTRIAL ONLY</v>
      </c>
      <c r="V1601" s="9" t="n">
        <f aca="false">IF(U1601="SERVICE READY",1,0)</f>
        <v>0</v>
      </c>
      <c r="W1601" s="6"/>
      <c r="X1601" s="6"/>
      <c r="Y1601" s="6"/>
      <c r="Z1601" s="6"/>
    </row>
    <row r="1602" customFormat="false" ht="15" hidden="false" customHeight="false" outlineLevel="0" collapsed="false">
      <c r="A1602" s="9" t="s">
        <v>1844</v>
      </c>
      <c r="B1602" s="9" t="s">
        <v>1810</v>
      </c>
      <c r="C1602" s="9" t="s">
        <v>1811</v>
      </c>
      <c r="D1602" s="9" t="s">
        <v>1735</v>
      </c>
      <c r="E1602" s="9" t="s">
        <v>275</v>
      </c>
      <c r="F1602" s="9" t="s">
        <v>209</v>
      </c>
      <c r="G1602" s="9" t="s">
        <v>221</v>
      </c>
      <c r="H1602" s="9" t="n">
        <v>1050</v>
      </c>
      <c r="I1602" s="29" t="n">
        <v>2</v>
      </c>
      <c r="J1602" s="9" t="n">
        <v>1</v>
      </c>
      <c r="K1602" s="30"/>
      <c r="L1602" s="30"/>
      <c r="M1602" s="30"/>
      <c r="N1602" s="30"/>
      <c r="O1602" s="30"/>
      <c r="P1602" s="30"/>
      <c r="Q1602" s="30"/>
      <c r="R1602" s="30"/>
      <c r="S1602" s="30"/>
      <c r="T1602" s="30"/>
      <c r="U1602" s="21" t="str">
        <f aca="false">IF(COUNT(K1602:T1602)=0,"SOURCE EMPTY / INDUSTRIAL ONLY",IF(MIN(K1602:T1602)=1,"SERVICE READY","HOLD"))</f>
        <v>SOURCE EMPTY / INDUSTRIAL ONLY</v>
      </c>
      <c r="V1602" s="9" t="n">
        <f aca="false">IF(U1602="SERVICE READY",1,0)</f>
        <v>0</v>
      </c>
      <c r="W1602" s="6"/>
      <c r="X1602" s="6"/>
      <c r="Y1602" s="6"/>
      <c r="Z1602" s="6"/>
    </row>
    <row r="1603" customFormat="false" ht="15" hidden="false" customHeight="false" outlineLevel="0" collapsed="false">
      <c r="A1603" s="9" t="s">
        <v>1845</v>
      </c>
      <c r="B1603" s="9" t="s">
        <v>1810</v>
      </c>
      <c r="C1603" s="9" t="s">
        <v>1811</v>
      </c>
      <c r="D1603" s="9" t="s">
        <v>1735</v>
      </c>
      <c r="E1603" s="9" t="s">
        <v>275</v>
      </c>
      <c r="F1603" s="9" t="s">
        <v>211</v>
      </c>
      <c r="G1603" s="9" t="s">
        <v>221</v>
      </c>
      <c r="H1603" s="9" t="n">
        <v>1050</v>
      </c>
      <c r="I1603" s="29" t="n">
        <v>2</v>
      </c>
      <c r="J1603" s="9" t="n">
        <v>1</v>
      </c>
      <c r="K1603" s="30"/>
      <c r="L1603" s="30"/>
      <c r="M1603" s="30"/>
      <c r="N1603" s="30"/>
      <c r="O1603" s="30"/>
      <c r="P1603" s="30"/>
      <c r="Q1603" s="30"/>
      <c r="R1603" s="30"/>
      <c r="S1603" s="30"/>
      <c r="T1603" s="30"/>
      <c r="U1603" s="21" t="str">
        <f aca="false">IF(COUNT(K1603:T1603)=0,"SOURCE EMPTY / INDUSTRIAL ONLY",IF(MIN(K1603:T1603)=1,"SERVICE READY","HOLD"))</f>
        <v>SOURCE EMPTY / INDUSTRIAL ONLY</v>
      </c>
      <c r="V1603" s="9" t="n">
        <f aca="false">IF(U1603="SERVICE READY",1,0)</f>
        <v>0</v>
      </c>
      <c r="W1603" s="6"/>
      <c r="X1603" s="6"/>
      <c r="Y1603" s="6"/>
      <c r="Z1603" s="6"/>
    </row>
    <row r="1604" customFormat="false" ht="15" hidden="false" customHeight="false" outlineLevel="0" collapsed="false">
      <c r="A1604" s="9" t="s">
        <v>1846</v>
      </c>
      <c r="B1604" s="9" t="s">
        <v>1810</v>
      </c>
      <c r="C1604" s="9" t="s">
        <v>1811</v>
      </c>
      <c r="D1604" s="9" t="s">
        <v>1735</v>
      </c>
      <c r="E1604" s="9" t="s">
        <v>275</v>
      </c>
      <c r="F1604" s="9" t="s">
        <v>197</v>
      </c>
      <c r="G1604" s="9" t="s">
        <v>221</v>
      </c>
      <c r="H1604" s="9" t="n">
        <v>1050</v>
      </c>
      <c r="I1604" s="29" t="n">
        <v>2</v>
      </c>
      <c r="J1604" s="9" t="n">
        <v>1</v>
      </c>
      <c r="K1604" s="30"/>
      <c r="L1604" s="30"/>
      <c r="M1604" s="30"/>
      <c r="N1604" s="30"/>
      <c r="O1604" s="30"/>
      <c r="P1604" s="30"/>
      <c r="Q1604" s="30"/>
      <c r="R1604" s="30"/>
      <c r="S1604" s="30"/>
      <c r="T1604" s="30"/>
      <c r="U1604" s="21" t="str">
        <f aca="false">IF(COUNT(K1604:T1604)=0,"SOURCE EMPTY / INDUSTRIAL ONLY",IF(MIN(K1604:T1604)=1,"SERVICE READY","HOLD"))</f>
        <v>SOURCE EMPTY / INDUSTRIAL ONLY</v>
      </c>
      <c r="V1604" s="9" t="n">
        <f aca="false">IF(U1604="SERVICE READY",1,0)</f>
        <v>0</v>
      </c>
      <c r="W1604" s="6"/>
      <c r="X1604" s="6"/>
      <c r="Y1604" s="6"/>
      <c r="Z1604" s="6"/>
    </row>
    <row r="1605" customFormat="false" ht="15" hidden="false" customHeight="false" outlineLevel="0" collapsed="false">
      <c r="A1605" s="9" t="s">
        <v>1847</v>
      </c>
      <c r="B1605" s="9" t="s">
        <v>1810</v>
      </c>
      <c r="C1605" s="9" t="s">
        <v>1811</v>
      </c>
      <c r="D1605" s="9" t="s">
        <v>1735</v>
      </c>
      <c r="E1605" s="9" t="s">
        <v>275</v>
      </c>
      <c r="F1605" s="9" t="s">
        <v>200</v>
      </c>
      <c r="G1605" s="9" t="s">
        <v>221</v>
      </c>
      <c r="H1605" s="9" t="n">
        <v>1050</v>
      </c>
      <c r="I1605" s="29" t="n">
        <v>2</v>
      </c>
      <c r="J1605" s="9" t="n">
        <v>1</v>
      </c>
      <c r="K1605" s="30"/>
      <c r="L1605" s="30"/>
      <c r="M1605" s="30"/>
      <c r="N1605" s="30"/>
      <c r="O1605" s="30"/>
      <c r="P1605" s="30"/>
      <c r="Q1605" s="30"/>
      <c r="R1605" s="30"/>
      <c r="S1605" s="30"/>
      <c r="T1605" s="30"/>
      <c r="U1605" s="21" t="str">
        <f aca="false">IF(COUNT(K1605:T1605)=0,"SOURCE EMPTY / INDUSTRIAL ONLY",IF(MIN(K1605:T1605)=1,"SERVICE READY","HOLD"))</f>
        <v>SOURCE EMPTY / INDUSTRIAL ONLY</v>
      </c>
      <c r="V1605" s="9" t="n">
        <f aca="false">IF(U1605="SERVICE READY",1,0)</f>
        <v>0</v>
      </c>
      <c r="W1605" s="6"/>
      <c r="X1605" s="6"/>
      <c r="Y1605" s="6"/>
      <c r="Z1605" s="6"/>
    </row>
    <row r="1606" customFormat="false" ht="15" hidden="false" customHeight="false" outlineLevel="0" collapsed="false">
      <c r="A1606" s="9" t="s">
        <v>1848</v>
      </c>
      <c r="B1606" s="9" t="s">
        <v>1810</v>
      </c>
      <c r="C1606" s="9" t="s">
        <v>1811</v>
      </c>
      <c r="D1606" s="9" t="s">
        <v>1735</v>
      </c>
      <c r="E1606" s="9" t="s">
        <v>275</v>
      </c>
      <c r="F1606" s="9" t="s">
        <v>203</v>
      </c>
      <c r="G1606" s="9" t="s">
        <v>221</v>
      </c>
      <c r="H1606" s="9" t="n">
        <v>1050</v>
      </c>
      <c r="I1606" s="29" t="n">
        <v>2</v>
      </c>
      <c r="J1606" s="9" t="n">
        <v>1</v>
      </c>
      <c r="K1606" s="30"/>
      <c r="L1606" s="30"/>
      <c r="M1606" s="30"/>
      <c r="N1606" s="30"/>
      <c r="O1606" s="30"/>
      <c r="P1606" s="30"/>
      <c r="Q1606" s="30"/>
      <c r="R1606" s="30"/>
      <c r="S1606" s="30"/>
      <c r="T1606" s="30"/>
      <c r="U1606" s="21" t="str">
        <f aca="false">IF(COUNT(K1606:T1606)=0,"SOURCE EMPTY / INDUSTRIAL ONLY",IF(MIN(K1606:T1606)=1,"SERVICE READY","HOLD"))</f>
        <v>SOURCE EMPTY / INDUSTRIAL ONLY</v>
      </c>
      <c r="V1606" s="9" t="n">
        <f aca="false">IF(U1606="SERVICE READY",1,0)</f>
        <v>0</v>
      </c>
      <c r="W1606" s="6"/>
      <c r="X1606" s="6"/>
      <c r="Y1606" s="6"/>
      <c r="Z1606" s="6"/>
    </row>
    <row r="1607" customFormat="false" ht="15" hidden="false" customHeight="false" outlineLevel="0" collapsed="false">
      <c r="A1607" s="9" t="s">
        <v>1849</v>
      </c>
      <c r="B1607" s="9" t="s">
        <v>1810</v>
      </c>
      <c r="C1607" s="9" t="s">
        <v>1811</v>
      </c>
      <c r="D1607" s="9" t="s">
        <v>1735</v>
      </c>
      <c r="E1607" s="9" t="s">
        <v>275</v>
      </c>
      <c r="F1607" s="9" t="s">
        <v>205</v>
      </c>
      <c r="G1607" s="9" t="s">
        <v>221</v>
      </c>
      <c r="H1607" s="9" t="n">
        <v>1050</v>
      </c>
      <c r="I1607" s="29" t="n">
        <v>2</v>
      </c>
      <c r="J1607" s="9" t="n">
        <v>1</v>
      </c>
      <c r="K1607" s="30"/>
      <c r="L1607" s="30"/>
      <c r="M1607" s="30"/>
      <c r="N1607" s="30"/>
      <c r="O1607" s="30"/>
      <c r="P1607" s="30"/>
      <c r="Q1607" s="30"/>
      <c r="R1607" s="30"/>
      <c r="S1607" s="30"/>
      <c r="T1607" s="30"/>
      <c r="U1607" s="21" t="str">
        <f aca="false">IF(COUNT(K1607:T1607)=0,"SOURCE EMPTY / INDUSTRIAL ONLY",IF(MIN(K1607:T1607)=1,"SERVICE READY","HOLD"))</f>
        <v>SOURCE EMPTY / INDUSTRIAL ONLY</v>
      </c>
      <c r="V1607" s="9" t="n">
        <f aca="false">IF(U1607="SERVICE READY",1,0)</f>
        <v>0</v>
      </c>
      <c r="W1607" s="6"/>
      <c r="X1607" s="6"/>
      <c r="Y1607" s="6"/>
      <c r="Z1607" s="6"/>
    </row>
    <row r="1608" customFormat="false" ht="15" hidden="false" customHeight="false" outlineLevel="0" collapsed="false">
      <c r="A1608" s="9" t="s">
        <v>1850</v>
      </c>
      <c r="B1608" s="9" t="s">
        <v>1810</v>
      </c>
      <c r="C1608" s="9" t="s">
        <v>1811</v>
      </c>
      <c r="D1608" s="9" t="s">
        <v>1735</v>
      </c>
      <c r="E1608" s="9" t="s">
        <v>275</v>
      </c>
      <c r="F1608" s="9" t="s">
        <v>207</v>
      </c>
      <c r="G1608" s="9" t="s">
        <v>221</v>
      </c>
      <c r="H1608" s="9" t="n">
        <v>1050</v>
      </c>
      <c r="I1608" s="29" t="n">
        <v>2</v>
      </c>
      <c r="J1608" s="9" t="n">
        <v>1</v>
      </c>
      <c r="K1608" s="30"/>
      <c r="L1608" s="30"/>
      <c r="M1608" s="30"/>
      <c r="N1608" s="30"/>
      <c r="O1608" s="30"/>
      <c r="P1608" s="30"/>
      <c r="Q1608" s="30"/>
      <c r="R1608" s="30"/>
      <c r="S1608" s="30"/>
      <c r="T1608" s="30"/>
      <c r="U1608" s="21" t="str">
        <f aca="false">IF(COUNT(K1608:T1608)=0,"SOURCE EMPTY / INDUSTRIAL ONLY",IF(MIN(K1608:T1608)=1,"SERVICE READY","HOLD"))</f>
        <v>SOURCE EMPTY / INDUSTRIAL ONLY</v>
      </c>
      <c r="V1608" s="9" t="n">
        <f aca="false">IF(U1608="SERVICE READY",1,0)</f>
        <v>0</v>
      </c>
      <c r="W1608" s="6"/>
      <c r="X1608" s="6"/>
      <c r="Y1608" s="6"/>
      <c r="Z1608" s="6"/>
    </row>
    <row r="1609" customFormat="false" ht="15" hidden="false" customHeight="false" outlineLevel="0" collapsed="false">
      <c r="A1609" s="9" t="s">
        <v>1851</v>
      </c>
      <c r="B1609" s="9" t="s">
        <v>1810</v>
      </c>
      <c r="C1609" s="9" t="s">
        <v>1811</v>
      </c>
      <c r="D1609" s="9" t="s">
        <v>1735</v>
      </c>
      <c r="E1609" s="9" t="s">
        <v>275</v>
      </c>
      <c r="F1609" s="9" t="s">
        <v>209</v>
      </c>
      <c r="G1609" s="9" t="s">
        <v>221</v>
      </c>
      <c r="H1609" s="9" t="n">
        <v>1050</v>
      </c>
      <c r="I1609" s="29" t="n">
        <v>2</v>
      </c>
      <c r="J1609" s="9" t="n">
        <v>1</v>
      </c>
      <c r="K1609" s="30"/>
      <c r="L1609" s="30"/>
      <c r="M1609" s="30"/>
      <c r="N1609" s="30"/>
      <c r="O1609" s="30"/>
      <c r="P1609" s="30"/>
      <c r="Q1609" s="30"/>
      <c r="R1609" s="30"/>
      <c r="S1609" s="30"/>
      <c r="T1609" s="30"/>
      <c r="U1609" s="21" t="str">
        <f aca="false">IF(COUNT(K1609:T1609)=0,"SOURCE EMPTY / INDUSTRIAL ONLY",IF(MIN(K1609:T1609)=1,"SERVICE READY","HOLD"))</f>
        <v>SOURCE EMPTY / INDUSTRIAL ONLY</v>
      </c>
      <c r="V1609" s="9" t="n">
        <f aca="false">IF(U1609="SERVICE READY",1,0)</f>
        <v>0</v>
      </c>
      <c r="W1609" s="6"/>
      <c r="X1609" s="6"/>
      <c r="Y1609" s="6"/>
      <c r="Z1609" s="6"/>
    </row>
    <row r="1610" customFormat="false" ht="15" hidden="false" customHeight="false" outlineLevel="0" collapsed="false">
      <c r="A1610" s="9" t="s">
        <v>1852</v>
      </c>
      <c r="B1610" s="9" t="s">
        <v>1810</v>
      </c>
      <c r="C1610" s="9" t="s">
        <v>1811</v>
      </c>
      <c r="D1610" s="9" t="s">
        <v>1735</v>
      </c>
      <c r="E1610" s="9" t="s">
        <v>275</v>
      </c>
      <c r="F1610" s="9" t="s">
        <v>211</v>
      </c>
      <c r="G1610" s="9" t="s">
        <v>221</v>
      </c>
      <c r="H1610" s="9" t="n">
        <v>1050</v>
      </c>
      <c r="I1610" s="29" t="n">
        <v>2</v>
      </c>
      <c r="J1610" s="9" t="n">
        <v>1</v>
      </c>
      <c r="K1610" s="30"/>
      <c r="L1610" s="30"/>
      <c r="M1610" s="30"/>
      <c r="N1610" s="30"/>
      <c r="O1610" s="30"/>
      <c r="P1610" s="30"/>
      <c r="Q1610" s="30"/>
      <c r="R1610" s="30"/>
      <c r="S1610" s="30"/>
      <c r="T1610" s="30"/>
      <c r="U1610" s="21" t="str">
        <f aca="false">IF(COUNT(K1610:T1610)=0,"SOURCE EMPTY / INDUSTRIAL ONLY",IF(MIN(K1610:T1610)=1,"SERVICE READY","HOLD"))</f>
        <v>SOURCE EMPTY / INDUSTRIAL ONLY</v>
      </c>
      <c r="V1610" s="9" t="n">
        <f aca="false">IF(U1610="SERVICE READY",1,0)</f>
        <v>0</v>
      </c>
      <c r="W1610" s="6"/>
      <c r="X1610" s="6"/>
      <c r="Y1610" s="6"/>
      <c r="Z1610" s="6"/>
    </row>
    <row r="1611" customFormat="false" ht="15" hidden="false" customHeight="false" outlineLevel="0" collapsed="false">
      <c r="A1611" s="9" t="s">
        <v>1853</v>
      </c>
      <c r="B1611" s="9" t="s">
        <v>1810</v>
      </c>
      <c r="C1611" s="9" t="s">
        <v>1811</v>
      </c>
      <c r="D1611" s="9" t="s">
        <v>1735</v>
      </c>
      <c r="E1611" s="9" t="s">
        <v>275</v>
      </c>
      <c r="F1611" s="9" t="s">
        <v>197</v>
      </c>
      <c r="G1611" s="9" t="s">
        <v>221</v>
      </c>
      <c r="H1611" s="9" t="n">
        <v>1050</v>
      </c>
      <c r="I1611" s="29" t="n">
        <v>2</v>
      </c>
      <c r="J1611" s="9" t="n">
        <v>1</v>
      </c>
      <c r="K1611" s="30"/>
      <c r="L1611" s="30"/>
      <c r="M1611" s="30"/>
      <c r="N1611" s="30"/>
      <c r="O1611" s="30"/>
      <c r="P1611" s="30"/>
      <c r="Q1611" s="30"/>
      <c r="R1611" s="30"/>
      <c r="S1611" s="30"/>
      <c r="T1611" s="30"/>
      <c r="U1611" s="21" t="str">
        <f aca="false">IF(COUNT(K1611:T1611)=0,"SOURCE EMPTY / INDUSTRIAL ONLY",IF(MIN(K1611:T1611)=1,"SERVICE READY","HOLD"))</f>
        <v>SOURCE EMPTY / INDUSTRIAL ONLY</v>
      </c>
      <c r="V1611" s="9" t="n">
        <f aca="false">IF(U1611="SERVICE READY",1,0)</f>
        <v>0</v>
      </c>
      <c r="W1611" s="6"/>
      <c r="X1611" s="6"/>
      <c r="Y1611" s="6"/>
      <c r="Z1611" s="6"/>
    </row>
    <row r="1612" customFormat="false" ht="15" hidden="false" customHeight="false" outlineLevel="0" collapsed="false">
      <c r="A1612" s="9" t="s">
        <v>1854</v>
      </c>
      <c r="B1612" s="9" t="s">
        <v>1810</v>
      </c>
      <c r="C1612" s="9" t="s">
        <v>1811</v>
      </c>
      <c r="D1612" s="9" t="s">
        <v>1735</v>
      </c>
      <c r="E1612" s="9" t="s">
        <v>275</v>
      </c>
      <c r="F1612" s="9" t="s">
        <v>200</v>
      </c>
      <c r="G1612" s="9" t="s">
        <v>221</v>
      </c>
      <c r="H1612" s="9" t="n">
        <v>1050</v>
      </c>
      <c r="I1612" s="29" t="n">
        <v>2</v>
      </c>
      <c r="J1612" s="9" t="n">
        <v>1</v>
      </c>
      <c r="K1612" s="30"/>
      <c r="L1612" s="30"/>
      <c r="M1612" s="30"/>
      <c r="N1612" s="30"/>
      <c r="O1612" s="30"/>
      <c r="P1612" s="30"/>
      <c r="Q1612" s="30"/>
      <c r="R1612" s="30"/>
      <c r="S1612" s="30"/>
      <c r="T1612" s="30"/>
      <c r="U1612" s="21" t="str">
        <f aca="false">IF(COUNT(K1612:T1612)=0,"SOURCE EMPTY / INDUSTRIAL ONLY",IF(MIN(K1612:T1612)=1,"SERVICE READY","HOLD"))</f>
        <v>SOURCE EMPTY / INDUSTRIAL ONLY</v>
      </c>
      <c r="V1612" s="9" t="n">
        <f aca="false">IF(U1612="SERVICE READY",1,0)</f>
        <v>0</v>
      </c>
      <c r="W1612" s="6"/>
      <c r="X1612" s="6"/>
      <c r="Y1612" s="6"/>
      <c r="Z1612" s="6"/>
    </row>
    <row r="1613" customFormat="false" ht="15" hidden="false" customHeight="false" outlineLevel="0" collapsed="false">
      <c r="A1613" s="9" t="s">
        <v>1855</v>
      </c>
      <c r="B1613" s="9" t="s">
        <v>1810</v>
      </c>
      <c r="C1613" s="9" t="s">
        <v>1811</v>
      </c>
      <c r="D1613" s="9" t="s">
        <v>1735</v>
      </c>
      <c r="E1613" s="9" t="s">
        <v>275</v>
      </c>
      <c r="F1613" s="9" t="s">
        <v>203</v>
      </c>
      <c r="G1613" s="9" t="s">
        <v>221</v>
      </c>
      <c r="H1613" s="9" t="n">
        <v>1050</v>
      </c>
      <c r="I1613" s="29" t="n">
        <v>2</v>
      </c>
      <c r="J1613" s="9" t="n">
        <v>1</v>
      </c>
      <c r="K1613" s="30"/>
      <c r="L1613" s="30"/>
      <c r="M1613" s="30"/>
      <c r="N1613" s="30"/>
      <c r="O1613" s="30"/>
      <c r="P1613" s="30"/>
      <c r="Q1613" s="30"/>
      <c r="R1613" s="30"/>
      <c r="S1613" s="30"/>
      <c r="T1613" s="30"/>
      <c r="U1613" s="21" t="str">
        <f aca="false">IF(COUNT(K1613:T1613)=0,"SOURCE EMPTY / INDUSTRIAL ONLY",IF(MIN(K1613:T1613)=1,"SERVICE READY","HOLD"))</f>
        <v>SOURCE EMPTY / INDUSTRIAL ONLY</v>
      </c>
      <c r="V1613" s="9" t="n">
        <f aca="false">IF(U1613="SERVICE READY",1,0)</f>
        <v>0</v>
      </c>
      <c r="W1613" s="6"/>
      <c r="X1613" s="6"/>
      <c r="Y1613" s="6"/>
      <c r="Z1613" s="6"/>
    </row>
    <row r="1614" customFormat="false" ht="15" hidden="false" customHeight="false" outlineLevel="0" collapsed="false">
      <c r="A1614" s="9" t="s">
        <v>1856</v>
      </c>
      <c r="B1614" s="9" t="s">
        <v>1810</v>
      </c>
      <c r="C1614" s="9" t="s">
        <v>1811</v>
      </c>
      <c r="D1614" s="9" t="s">
        <v>1735</v>
      </c>
      <c r="E1614" s="9" t="s">
        <v>275</v>
      </c>
      <c r="F1614" s="9" t="s">
        <v>205</v>
      </c>
      <c r="G1614" s="9" t="s">
        <v>221</v>
      </c>
      <c r="H1614" s="9" t="n">
        <v>1050</v>
      </c>
      <c r="I1614" s="29" t="n">
        <v>2</v>
      </c>
      <c r="J1614" s="9" t="n">
        <v>1</v>
      </c>
      <c r="K1614" s="30"/>
      <c r="L1614" s="30"/>
      <c r="M1614" s="30"/>
      <c r="N1614" s="30"/>
      <c r="O1614" s="30"/>
      <c r="P1614" s="30"/>
      <c r="Q1614" s="30"/>
      <c r="R1614" s="30"/>
      <c r="S1614" s="30"/>
      <c r="T1614" s="30"/>
      <c r="U1614" s="21" t="str">
        <f aca="false">IF(COUNT(K1614:T1614)=0,"SOURCE EMPTY / INDUSTRIAL ONLY",IF(MIN(K1614:T1614)=1,"SERVICE READY","HOLD"))</f>
        <v>SOURCE EMPTY / INDUSTRIAL ONLY</v>
      </c>
      <c r="V1614" s="9" t="n">
        <f aca="false">IF(U1614="SERVICE READY",1,0)</f>
        <v>0</v>
      </c>
      <c r="W1614" s="6"/>
      <c r="X1614" s="6"/>
      <c r="Y1614" s="6"/>
      <c r="Z1614" s="6"/>
    </row>
    <row r="1615" customFormat="false" ht="15" hidden="false" customHeight="false" outlineLevel="0" collapsed="false">
      <c r="A1615" s="9" t="s">
        <v>1857</v>
      </c>
      <c r="B1615" s="9" t="s">
        <v>1810</v>
      </c>
      <c r="C1615" s="9" t="s">
        <v>1811</v>
      </c>
      <c r="D1615" s="9" t="s">
        <v>1735</v>
      </c>
      <c r="E1615" s="9" t="s">
        <v>275</v>
      </c>
      <c r="F1615" s="9" t="s">
        <v>207</v>
      </c>
      <c r="G1615" s="9" t="s">
        <v>221</v>
      </c>
      <c r="H1615" s="9" t="n">
        <v>1050</v>
      </c>
      <c r="I1615" s="29" t="n">
        <v>2</v>
      </c>
      <c r="J1615" s="9" t="n">
        <v>1</v>
      </c>
      <c r="K1615" s="30"/>
      <c r="L1615" s="30"/>
      <c r="M1615" s="30"/>
      <c r="N1615" s="30"/>
      <c r="O1615" s="30"/>
      <c r="P1615" s="30"/>
      <c r="Q1615" s="30"/>
      <c r="R1615" s="30"/>
      <c r="S1615" s="30"/>
      <c r="T1615" s="30"/>
      <c r="U1615" s="21" t="str">
        <f aca="false">IF(COUNT(K1615:T1615)=0,"SOURCE EMPTY / INDUSTRIAL ONLY",IF(MIN(K1615:T1615)=1,"SERVICE READY","HOLD"))</f>
        <v>SOURCE EMPTY / INDUSTRIAL ONLY</v>
      </c>
      <c r="V1615" s="9" t="n">
        <f aca="false">IF(U1615="SERVICE READY",1,0)</f>
        <v>0</v>
      </c>
      <c r="W1615" s="6"/>
      <c r="X1615" s="6"/>
      <c r="Y1615" s="6"/>
      <c r="Z1615" s="6"/>
    </row>
    <row r="1616" customFormat="false" ht="15" hidden="false" customHeight="false" outlineLevel="0" collapsed="false">
      <c r="A1616" s="9" t="s">
        <v>1858</v>
      </c>
      <c r="B1616" s="9" t="s">
        <v>1810</v>
      </c>
      <c r="C1616" s="9" t="s">
        <v>1811</v>
      </c>
      <c r="D1616" s="9" t="s">
        <v>1735</v>
      </c>
      <c r="E1616" s="9" t="s">
        <v>275</v>
      </c>
      <c r="F1616" s="9" t="s">
        <v>209</v>
      </c>
      <c r="G1616" s="9" t="s">
        <v>221</v>
      </c>
      <c r="H1616" s="9" t="n">
        <v>1050</v>
      </c>
      <c r="I1616" s="29" t="n">
        <v>2</v>
      </c>
      <c r="J1616" s="9" t="n">
        <v>1</v>
      </c>
      <c r="K1616" s="30"/>
      <c r="L1616" s="30"/>
      <c r="M1616" s="30"/>
      <c r="N1616" s="30"/>
      <c r="O1616" s="30"/>
      <c r="P1616" s="30"/>
      <c r="Q1616" s="30"/>
      <c r="R1616" s="30"/>
      <c r="S1616" s="30"/>
      <c r="T1616" s="30"/>
      <c r="U1616" s="21" t="str">
        <f aca="false">IF(COUNT(K1616:T1616)=0,"SOURCE EMPTY / INDUSTRIAL ONLY",IF(MIN(K1616:T1616)=1,"SERVICE READY","HOLD"))</f>
        <v>SOURCE EMPTY / INDUSTRIAL ONLY</v>
      </c>
      <c r="V1616" s="9" t="n">
        <f aca="false">IF(U1616="SERVICE READY",1,0)</f>
        <v>0</v>
      </c>
      <c r="W1616" s="6"/>
      <c r="X1616" s="6"/>
      <c r="Y1616" s="6"/>
      <c r="Z1616" s="6"/>
    </row>
    <row r="1617" customFormat="false" ht="15" hidden="false" customHeight="false" outlineLevel="0" collapsed="false">
      <c r="A1617" s="9" t="s">
        <v>1859</v>
      </c>
      <c r="B1617" s="9" t="s">
        <v>1810</v>
      </c>
      <c r="C1617" s="9" t="s">
        <v>1811</v>
      </c>
      <c r="D1617" s="9" t="s">
        <v>1735</v>
      </c>
      <c r="E1617" s="9" t="s">
        <v>275</v>
      </c>
      <c r="F1617" s="9" t="s">
        <v>211</v>
      </c>
      <c r="G1617" s="9" t="s">
        <v>221</v>
      </c>
      <c r="H1617" s="9" t="n">
        <v>1050</v>
      </c>
      <c r="I1617" s="29" t="n">
        <v>2</v>
      </c>
      <c r="J1617" s="9" t="n">
        <v>1</v>
      </c>
      <c r="K1617" s="30"/>
      <c r="L1617" s="30"/>
      <c r="M1617" s="30"/>
      <c r="N1617" s="30"/>
      <c r="O1617" s="30"/>
      <c r="P1617" s="30"/>
      <c r="Q1617" s="30"/>
      <c r="R1617" s="30"/>
      <c r="S1617" s="30"/>
      <c r="T1617" s="30"/>
      <c r="U1617" s="21" t="str">
        <f aca="false">IF(COUNT(K1617:T1617)=0,"SOURCE EMPTY / INDUSTRIAL ONLY",IF(MIN(K1617:T1617)=1,"SERVICE READY","HOLD"))</f>
        <v>SOURCE EMPTY / INDUSTRIAL ONLY</v>
      </c>
      <c r="V1617" s="9" t="n">
        <f aca="false">IF(U1617="SERVICE READY",1,0)</f>
        <v>0</v>
      </c>
      <c r="W1617" s="6"/>
      <c r="X1617" s="6"/>
      <c r="Y1617" s="6"/>
      <c r="Z1617" s="6"/>
    </row>
    <row r="1618" customFormat="false" ht="15" hidden="false" customHeight="false" outlineLevel="0" collapsed="false">
      <c r="A1618" s="9" t="s">
        <v>1860</v>
      </c>
      <c r="B1618" s="9" t="s">
        <v>1810</v>
      </c>
      <c r="C1618" s="9" t="s">
        <v>1811</v>
      </c>
      <c r="D1618" s="9" t="s">
        <v>1735</v>
      </c>
      <c r="E1618" s="9" t="s">
        <v>275</v>
      </c>
      <c r="F1618" s="9" t="s">
        <v>197</v>
      </c>
      <c r="G1618" s="9" t="s">
        <v>221</v>
      </c>
      <c r="H1618" s="9" t="n">
        <v>1050</v>
      </c>
      <c r="I1618" s="29" t="n">
        <v>2</v>
      </c>
      <c r="J1618" s="9" t="n">
        <v>1</v>
      </c>
      <c r="K1618" s="30"/>
      <c r="L1618" s="30"/>
      <c r="M1618" s="30"/>
      <c r="N1618" s="30"/>
      <c r="O1618" s="30"/>
      <c r="P1618" s="30"/>
      <c r="Q1618" s="30"/>
      <c r="R1618" s="30"/>
      <c r="S1618" s="30"/>
      <c r="T1618" s="30"/>
      <c r="U1618" s="21" t="str">
        <f aca="false">IF(COUNT(K1618:T1618)=0,"SOURCE EMPTY / INDUSTRIAL ONLY",IF(MIN(K1618:T1618)=1,"SERVICE READY","HOLD"))</f>
        <v>SOURCE EMPTY / INDUSTRIAL ONLY</v>
      </c>
      <c r="V1618" s="9" t="n">
        <f aca="false">IF(U1618="SERVICE READY",1,0)</f>
        <v>0</v>
      </c>
      <c r="W1618" s="6"/>
      <c r="X1618" s="6"/>
      <c r="Y1618" s="6"/>
      <c r="Z1618" s="6"/>
    </row>
    <row r="1619" customFormat="false" ht="15" hidden="false" customHeight="false" outlineLevel="0" collapsed="false">
      <c r="A1619" s="9" t="s">
        <v>1861</v>
      </c>
      <c r="B1619" s="9" t="s">
        <v>1810</v>
      </c>
      <c r="C1619" s="9" t="s">
        <v>1811</v>
      </c>
      <c r="D1619" s="9" t="s">
        <v>1735</v>
      </c>
      <c r="E1619" s="9" t="s">
        <v>275</v>
      </c>
      <c r="F1619" s="9" t="s">
        <v>200</v>
      </c>
      <c r="G1619" s="9" t="s">
        <v>221</v>
      </c>
      <c r="H1619" s="9" t="n">
        <v>1050</v>
      </c>
      <c r="I1619" s="29" t="n">
        <v>2</v>
      </c>
      <c r="J1619" s="9" t="n">
        <v>1</v>
      </c>
      <c r="K1619" s="30"/>
      <c r="L1619" s="30"/>
      <c r="M1619" s="30"/>
      <c r="N1619" s="30"/>
      <c r="O1619" s="30"/>
      <c r="P1619" s="30"/>
      <c r="Q1619" s="30"/>
      <c r="R1619" s="30"/>
      <c r="S1619" s="30"/>
      <c r="T1619" s="30"/>
      <c r="U1619" s="21" t="str">
        <f aca="false">IF(COUNT(K1619:T1619)=0,"SOURCE EMPTY / INDUSTRIAL ONLY",IF(MIN(K1619:T1619)=1,"SERVICE READY","HOLD"))</f>
        <v>SOURCE EMPTY / INDUSTRIAL ONLY</v>
      </c>
      <c r="V1619" s="9" t="n">
        <f aca="false">IF(U1619="SERVICE READY",1,0)</f>
        <v>0</v>
      </c>
      <c r="W1619" s="6"/>
      <c r="X1619" s="6"/>
      <c r="Y1619" s="6"/>
      <c r="Z1619" s="6"/>
    </row>
    <row r="1620" customFormat="false" ht="15" hidden="false" customHeight="false" outlineLevel="0" collapsed="false">
      <c r="A1620" s="9" t="s">
        <v>1862</v>
      </c>
      <c r="B1620" s="9" t="s">
        <v>1810</v>
      </c>
      <c r="C1620" s="9" t="s">
        <v>1811</v>
      </c>
      <c r="D1620" s="9" t="s">
        <v>1735</v>
      </c>
      <c r="E1620" s="9" t="s">
        <v>275</v>
      </c>
      <c r="F1620" s="9" t="s">
        <v>203</v>
      </c>
      <c r="G1620" s="9" t="s">
        <v>221</v>
      </c>
      <c r="H1620" s="9" t="n">
        <v>1050</v>
      </c>
      <c r="I1620" s="29" t="n">
        <v>2</v>
      </c>
      <c r="J1620" s="9" t="n">
        <v>1</v>
      </c>
      <c r="K1620" s="30"/>
      <c r="L1620" s="30"/>
      <c r="M1620" s="30"/>
      <c r="N1620" s="30"/>
      <c r="O1620" s="30"/>
      <c r="P1620" s="30"/>
      <c r="Q1620" s="30"/>
      <c r="R1620" s="30"/>
      <c r="S1620" s="30"/>
      <c r="T1620" s="30"/>
      <c r="U1620" s="21" t="str">
        <f aca="false">IF(COUNT(K1620:T1620)=0,"SOURCE EMPTY / INDUSTRIAL ONLY",IF(MIN(K1620:T1620)=1,"SERVICE READY","HOLD"))</f>
        <v>SOURCE EMPTY / INDUSTRIAL ONLY</v>
      </c>
      <c r="V1620" s="9" t="n">
        <f aca="false">IF(U1620="SERVICE READY",1,0)</f>
        <v>0</v>
      </c>
      <c r="W1620" s="6"/>
      <c r="X1620" s="6"/>
      <c r="Y1620" s="6"/>
      <c r="Z1620" s="6"/>
    </row>
    <row r="1621" customFormat="false" ht="15" hidden="false" customHeight="false" outlineLevel="0" collapsed="false">
      <c r="A1621" s="9" t="s">
        <v>1863</v>
      </c>
      <c r="B1621" s="9" t="s">
        <v>1810</v>
      </c>
      <c r="C1621" s="9" t="s">
        <v>1811</v>
      </c>
      <c r="D1621" s="9" t="s">
        <v>1735</v>
      </c>
      <c r="E1621" s="9" t="s">
        <v>275</v>
      </c>
      <c r="F1621" s="9" t="s">
        <v>205</v>
      </c>
      <c r="G1621" s="9" t="s">
        <v>221</v>
      </c>
      <c r="H1621" s="9" t="n">
        <v>1050</v>
      </c>
      <c r="I1621" s="29" t="n">
        <v>2</v>
      </c>
      <c r="J1621" s="9" t="n">
        <v>1</v>
      </c>
      <c r="K1621" s="30"/>
      <c r="L1621" s="30"/>
      <c r="M1621" s="30"/>
      <c r="N1621" s="30"/>
      <c r="O1621" s="30"/>
      <c r="P1621" s="30"/>
      <c r="Q1621" s="30"/>
      <c r="R1621" s="30"/>
      <c r="S1621" s="30"/>
      <c r="T1621" s="30"/>
      <c r="U1621" s="21" t="str">
        <f aca="false">IF(COUNT(K1621:T1621)=0,"SOURCE EMPTY / INDUSTRIAL ONLY",IF(MIN(K1621:T1621)=1,"SERVICE READY","HOLD"))</f>
        <v>SOURCE EMPTY / INDUSTRIAL ONLY</v>
      </c>
      <c r="V1621" s="9" t="n">
        <f aca="false">IF(U1621="SERVICE READY",1,0)</f>
        <v>0</v>
      </c>
      <c r="W1621" s="6"/>
      <c r="X1621" s="6"/>
      <c r="Y1621" s="6"/>
      <c r="Z1621" s="6"/>
    </row>
    <row r="1622" customFormat="false" ht="15" hidden="false" customHeight="false" outlineLevel="0" collapsed="false">
      <c r="A1622" s="9" t="s">
        <v>1864</v>
      </c>
      <c r="B1622" s="9" t="s">
        <v>1810</v>
      </c>
      <c r="C1622" s="9" t="s">
        <v>1811</v>
      </c>
      <c r="D1622" s="9" t="s">
        <v>1735</v>
      </c>
      <c r="E1622" s="9" t="s">
        <v>275</v>
      </c>
      <c r="F1622" s="9" t="s">
        <v>207</v>
      </c>
      <c r="G1622" s="9" t="s">
        <v>221</v>
      </c>
      <c r="H1622" s="9" t="n">
        <v>1050</v>
      </c>
      <c r="I1622" s="29" t="n">
        <v>2</v>
      </c>
      <c r="J1622" s="9" t="n">
        <v>1</v>
      </c>
      <c r="K1622" s="30"/>
      <c r="L1622" s="30"/>
      <c r="M1622" s="30"/>
      <c r="N1622" s="30"/>
      <c r="O1622" s="30"/>
      <c r="P1622" s="30"/>
      <c r="Q1622" s="30"/>
      <c r="R1622" s="30"/>
      <c r="S1622" s="30"/>
      <c r="T1622" s="30"/>
      <c r="U1622" s="21" t="str">
        <f aca="false">IF(COUNT(K1622:T1622)=0,"SOURCE EMPTY / INDUSTRIAL ONLY",IF(MIN(K1622:T1622)=1,"SERVICE READY","HOLD"))</f>
        <v>SOURCE EMPTY / INDUSTRIAL ONLY</v>
      </c>
      <c r="V1622" s="9" t="n">
        <f aca="false">IF(U1622="SERVICE READY",1,0)</f>
        <v>0</v>
      </c>
      <c r="W1622" s="6"/>
      <c r="X1622" s="6"/>
      <c r="Y1622" s="6"/>
      <c r="Z1622" s="6"/>
    </row>
    <row r="1623" customFormat="false" ht="15" hidden="false" customHeight="false" outlineLevel="0" collapsed="false">
      <c r="A1623" s="9" t="s">
        <v>1865</v>
      </c>
      <c r="B1623" s="9" t="s">
        <v>1810</v>
      </c>
      <c r="C1623" s="9" t="s">
        <v>1811</v>
      </c>
      <c r="D1623" s="9" t="s">
        <v>1735</v>
      </c>
      <c r="E1623" s="9" t="s">
        <v>275</v>
      </c>
      <c r="F1623" s="9" t="s">
        <v>209</v>
      </c>
      <c r="G1623" s="9" t="s">
        <v>221</v>
      </c>
      <c r="H1623" s="9" t="n">
        <v>1050</v>
      </c>
      <c r="I1623" s="29" t="n">
        <v>2</v>
      </c>
      <c r="J1623" s="9" t="n">
        <v>1</v>
      </c>
      <c r="K1623" s="30"/>
      <c r="L1623" s="30"/>
      <c r="M1623" s="30"/>
      <c r="N1623" s="30"/>
      <c r="O1623" s="30"/>
      <c r="P1623" s="30"/>
      <c r="Q1623" s="30"/>
      <c r="R1623" s="30"/>
      <c r="S1623" s="30"/>
      <c r="T1623" s="30"/>
      <c r="U1623" s="21" t="str">
        <f aca="false">IF(COUNT(K1623:T1623)=0,"SOURCE EMPTY / INDUSTRIAL ONLY",IF(MIN(K1623:T1623)=1,"SERVICE READY","HOLD"))</f>
        <v>SOURCE EMPTY / INDUSTRIAL ONLY</v>
      </c>
      <c r="V1623" s="9" t="n">
        <f aca="false">IF(U1623="SERVICE READY",1,0)</f>
        <v>0</v>
      </c>
      <c r="W1623" s="6"/>
      <c r="X1623" s="6"/>
      <c r="Y1623" s="6"/>
      <c r="Z1623" s="6"/>
    </row>
    <row r="1624" customFormat="false" ht="15" hidden="false" customHeight="false" outlineLevel="0" collapsed="false">
      <c r="A1624" s="9" t="s">
        <v>1866</v>
      </c>
      <c r="B1624" s="9" t="s">
        <v>1810</v>
      </c>
      <c r="C1624" s="9" t="s">
        <v>1811</v>
      </c>
      <c r="D1624" s="9" t="s">
        <v>1735</v>
      </c>
      <c r="E1624" s="9" t="s">
        <v>275</v>
      </c>
      <c r="F1624" s="9" t="s">
        <v>211</v>
      </c>
      <c r="G1624" s="9" t="s">
        <v>221</v>
      </c>
      <c r="H1624" s="9" t="n">
        <v>1050</v>
      </c>
      <c r="I1624" s="29" t="n">
        <v>2</v>
      </c>
      <c r="J1624" s="9" t="n">
        <v>1</v>
      </c>
      <c r="K1624" s="30"/>
      <c r="L1624" s="30"/>
      <c r="M1624" s="30"/>
      <c r="N1624" s="30"/>
      <c r="O1624" s="30"/>
      <c r="P1624" s="30"/>
      <c r="Q1624" s="30"/>
      <c r="R1624" s="30"/>
      <c r="S1624" s="30"/>
      <c r="T1624" s="30"/>
      <c r="U1624" s="21" t="str">
        <f aca="false">IF(COUNT(K1624:T1624)=0,"SOURCE EMPTY / INDUSTRIAL ONLY",IF(MIN(K1624:T1624)=1,"SERVICE READY","HOLD"))</f>
        <v>SOURCE EMPTY / INDUSTRIAL ONLY</v>
      </c>
      <c r="V1624" s="9" t="n">
        <f aca="false">IF(U1624="SERVICE READY",1,0)</f>
        <v>0</v>
      </c>
      <c r="W1624" s="6"/>
      <c r="X1624" s="6"/>
      <c r="Y1624" s="6"/>
      <c r="Z1624" s="6"/>
    </row>
    <row r="1625" customFormat="false" ht="15" hidden="false" customHeight="false" outlineLevel="0" collapsed="false">
      <c r="A1625" s="9" t="s">
        <v>1867</v>
      </c>
      <c r="B1625" s="9" t="s">
        <v>1810</v>
      </c>
      <c r="C1625" s="9" t="s">
        <v>1811</v>
      </c>
      <c r="D1625" s="9" t="s">
        <v>1735</v>
      </c>
      <c r="E1625" s="9" t="s">
        <v>275</v>
      </c>
      <c r="F1625" s="9" t="s">
        <v>197</v>
      </c>
      <c r="G1625" s="9" t="s">
        <v>221</v>
      </c>
      <c r="H1625" s="9" t="n">
        <v>1050</v>
      </c>
      <c r="I1625" s="29" t="n">
        <v>2</v>
      </c>
      <c r="J1625" s="9" t="n">
        <v>0</v>
      </c>
      <c r="K1625" s="30"/>
      <c r="L1625" s="30"/>
      <c r="M1625" s="30"/>
      <c r="N1625" s="30"/>
      <c r="O1625" s="30"/>
      <c r="P1625" s="30"/>
      <c r="Q1625" s="30"/>
      <c r="R1625" s="30"/>
      <c r="S1625" s="30"/>
      <c r="T1625" s="30"/>
      <c r="U1625" s="21" t="str">
        <f aca="false">IF(COUNT(K1625:T1625)=0,"SOURCE EMPTY / INDUSTRIAL ONLY",IF(MIN(K1625:T1625)=1,"SERVICE READY","HOLD"))</f>
        <v>SOURCE EMPTY / INDUSTRIAL ONLY</v>
      </c>
      <c r="V1625" s="9" t="n">
        <f aca="false">IF(U1625="SERVICE READY",1,0)</f>
        <v>0</v>
      </c>
      <c r="W1625" s="6"/>
      <c r="X1625" s="6"/>
      <c r="Y1625" s="6"/>
      <c r="Z1625" s="6"/>
    </row>
    <row r="1626" customFormat="false" ht="15" hidden="false" customHeight="false" outlineLevel="0" collapsed="false">
      <c r="A1626" s="9" t="s">
        <v>1868</v>
      </c>
      <c r="B1626" s="9" t="s">
        <v>1810</v>
      </c>
      <c r="C1626" s="9" t="s">
        <v>1811</v>
      </c>
      <c r="D1626" s="9" t="s">
        <v>1735</v>
      </c>
      <c r="E1626" s="9" t="s">
        <v>275</v>
      </c>
      <c r="F1626" s="9" t="s">
        <v>200</v>
      </c>
      <c r="G1626" s="9" t="s">
        <v>221</v>
      </c>
      <c r="H1626" s="9" t="n">
        <v>1050</v>
      </c>
      <c r="I1626" s="29" t="n">
        <v>2</v>
      </c>
      <c r="J1626" s="9" t="n">
        <v>0</v>
      </c>
      <c r="K1626" s="30"/>
      <c r="L1626" s="30"/>
      <c r="M1626" s="30"/>
      <c r="N1626" s="30"/>
      <c r="O1626" s="30"/>
      <c r="P1626" s="30"/>
      <c r="Q1626" s="30"/>
      <c r="R1626" s="30"/>
      <c r="S1626" s="30"/>
      <c r="T1626" s="30"/>
      <c r="U1626" s="21" t="str">
        <f aca="false">IF(COUNT(K1626:T1626)=0,"SOURCE EMPTY / INDUSTRIAL ONLY",IF(MIN(K1626:T1626)=1,"SERVICE READY","HOLD"))</f>
        <v>SOURCE EMPTY / INDUSTRIAL ONLY</v>
      </c>
      <c r="V1626" s="9" t="n">
        <f aca="false">IF(U1626="SERVICE READY",1,0)</f>
        <v>0</v>
      </c>
      <c r="W1626" s="6"/>
      <c r="X1626" s="6"/>
      <c r="Y1626" s="6"/>
      <c r="Z1626" s="6"/>
    </row>
    <row r="1627" customFormat="false" ht="15" hidden="false" customHeight="false" outlineLevel="0" collapsed="false">
      <c r="A1627" s="9" t="s">
        <v>1869</v>
      </c>
      <c r="B1627" s="9" t="s">
        <v>1810</v>
      </c>
      <c r="C1627" s="9" t="s">
        <v>1811</v>
      </c>
      <c r="D1627" s="9" t="s">
        <v>1735</v>
      </c>
      <c r="E1627" s="9" t="s">
        <v>275</v>
      </c>
      <c r="F1627" s="9" t="s">
        <v>203</v>
      </c>
      <c r="G1627" s="9" t="s">
        <v>221</v>
      </c>
      <c r="H1627" s="9" t="n">
        <v>1050</v>
      </c>
      <c r="I1627" s="29" t="n">
        <v>2</v>
      </c>
      <c r="J1627" s="9" t="n">
        <v>0</v>
      </c>
      <c r="K1627" s="30"/>
      <c r="L1627" s="30"/>
      <c r="M1627" s="30"/>
      <c r="N1627" s="30"/>
      <c r="O1627" s="30"/>
      <c r="P1627" s="30"/>
      <c r="Q1627" s="30"/>
      <c r="R1627" s="30"/>
      <c r="S1627" s="30"/>
      <c r="T1627" s="30"/>
      <c r="U1627" s="21" t="str">
        <f aca="false">IF(COUNT(K1627:T1627)=0,"SOURCE EMPTY / INDUSTRIAL ONLY",IF(MIN(K1627:T1627)=1,"SERVICE READY","HOLD"))</f>
        <v>SOURCE EMPTY / INDUSTRIAL ONLY</v>
      </c>
      <c r="V1627" s="9" t="n">
        <f aca="false">IF(U1627="SERVICE READY",1,0)</f>
        <v>0</v>
      </c>
      <c r="W1627" s="6"/>
      <c r="X1627" s="6"/>
      <c r="Y1627" s="6"/>
      <c r="Z1627" s="6"/>
    </row>
    <row r="1628" customFormat="false" ht="15" hidden="false" customHeight="false" outlineLevel="0" collapsed="false">
      <c r="A1628" s="9" t="s">
        <v>1870</v>
      </c>
      <c r="B1628" s="9" t="s">
        <v>1810</v>
      </c>
      <c r="C1628" s="9" t="s">
        <v>1811</v>
      </c>
      <c r="D1628" s="9" t="s">
        <v>1735</v>
      </c>
      <c r="E1628" s="9" t="s">
        <v>275</v>
      </c>
      <c r="F1628" s="9" t="s">
        <v>205</v>
      </c>
      <c r="G1628" s="9" t="s">
        <v>221</v>
      </c>
      <c r="H1628" s="9" t="n">
        <v>1050</v>
      </c>
      <c r="I1628" s="29" t="n">
        <v>2</v>
      </c>
      <c r="J1628" s="9" t="n">
        <v>0</v>
      </c>
      <c r="K1628" s="30"/>
      <c r="L1628" s="30"/>
      <c r="M1628" s="30"/>
      <c r="N1628" s="30"/>
      <c r="O1628" s="30"/>
      <c r="P1628" s="30"/>
      <c r="Q1628" s="30"/>
      <c r="R1628" s="30"/>
      <c r="S1628" s="30"/>
      <c r="T1628" s="30"/>
      <c r="U1628" s="21" t="str">
        <f aca="false">IF(COUNT(K1628:T1628)=0,"SOURCE EMPTY / INDUSTRIAL ONLY",IF(MIN(K1628:T1628)=1,"SERVICE READY","HOLD"))</f>
        <v>SOURCE EMPTY / INDUSTRIAL ONLY</v>
      </c>
      <c r="V1628" s="9" t="n">
        <f aca="false">IF(U1628="SERVICE READY",1,0)</f>
        <v>0</v>
      </c>
      <c r="W1628" s="6"/>
      <c r="X1628" s="6"/>
      <c r="Y1628" s="6"/>
      <c r="Z1628" s="6"/>
    </row>
    <row r="1629" customFormat="false" ht="15" hidden="false" customHeight="false" outlineLevel="0" collapsed="false">
      <c r="A1629" s="9" t="s">
        <v>1871</v>
      </c>
      <c r="B1629" s="9" t="s">
        <v>1810</v>
      </c>
      <c r="C1629" s="9" t="s">
        <v>1811</v>
      </c>
      <c r="D1629" s="9" t="s">
        <v>1735</v>
      </c>
      <c r="E1629" s="9" t="s">
        <v>275</v>
      </c>
      <c r="F1629" s="9" t="s">
        <v>207</v>
      </c>
      <c r="G1629" s="9" t="s">
        <v>221</v>
      </c>
      <c r="H1629" s="9" t="n">
        <v>1050</v>
      </c>
      <c r="I1629" s="29" t="n">
        <v>2</v>
      </c>
      <c r="J1629" s="9" t="n">
        <v>0</v>
      </c>
      <c r="K1629" s="30"/>
      <c r="L1629" s="30"/>
      <c r="M1629" s="30"/>
      <c r="N1629" s="30"/>
      <c r="O1629" s="30"/>
      <c r="P1629" s="30"/>
      <c r="Q1629" s="30"/>
      <c r="R1629" s="30"/>
      <c r="S1629" s="30"/>
      <c r="T1629" s="30"/>
      <c r="U1629" s="21" t="str">
        <f aca="false">IF(COUNT(K1629:T1629)=0,"SOURCE EMPTY / INDUSTRIAL ONLY",IF(MIN(K1629:T1629)=1,"SERVICE READY","HOLD"))</f>
        <v>SOURCE EMPTY / INDUSTRIAL ONLY</v>
      </c>
      <c r="V1629" s="9" t="n">
        <f aca="false">IF(U1629="SERVICE READY",1,0)</f>
        <v>0</v>
      </c>
      <c r="W1629" s="6"/>
      <c r="X1629" s="6"/>
      <c r="Y1629" s="6"/>
      <c r="Z1629" s="6"/>
    </row>
    <row r="1630" customFormat="false" ht="15" hidden="false" customHeight="false" outlineLevel="0" collapsed="false">
      <c r="A1630" s="9" t="s">
        <v>1872</v>
      </c>
      <c r="B1630" s="9" t="s">
        <v>1810</v>
      </c>
      <c r="C1630" s="9" t="s">
        <v>1811</v>
      </c>
      <c r="D1630" s="9" t="s">
        <v>1735</v>
      </c>
      <c r="E1630" s="9" t="s">
        <v>275</v>
      </c>
      <c r="F1630" s="9" t="s">
        <v>209</v>
      </c>
      <c r="G1630" s="9" t="s">
        <v>221</v>
      </c>
      <c r="H1630" s="9" t="n">
        <v>1050</v>
      </c>
      <c r="I1630" s="29" t="n">
        <v>2</v>
      </c>
      <c r="J1630" s="9" t="n">
        <v>0</v>
      </c>
      <c r="K1630" s="30"/>
      <c r="L1630" s="30"/>
      <c r="M1630" s="30"/>
      <c r="N1630" s="30"/>
      <c r="O1630" s="30"/>
      <c r="P1630" s="30"/>
      <c r="Q1630" s="30"/>
      <c r="R1630" s="30"/>
      <c r="S1630" s="30"/>
      <c r="T1630" s="30"/>
      <c r="U1630" s="21" t="str">
        <f aca="false">IF(COUNT(K1630:T1630)=0,"SOURCE EMPTY / INDUSTRIAL ONLY",IF(MIN(K1630:T1630)=1,"SERVICE READY","HOLD"))</f>
        <v>SOURCE EMPTY / INDUSTRIAL ONLY</v>
      </c>
      <c r="V1630" s="9" t="n">
        <f aca="false">IF(U1630="SERVICE READY",1,0)</f>
        <v>0</v>
      </c>
      <c r="W1630" s="6"/>
      <c r="X1630" s="6"/>
      <c r="Y1630" s="6"/>
      <c r="Z1630" s="6"/>
    </row>
    <row r="1631" customFormat="false" ht="15" hidden="false" customHeight="false" outlineLevel="0" collapsed="false">
      <c r="A1631" s="9" t="s">
        <v>1873</v>
      </c>
      <c r="B1631" s="9" t="s">
        <v>1810</v>
      </c>
      <c r="C1631" s="9" t="s">
        <v>1811</v>
      </c>
      <c r="D1631" s="9" t="s">
        <v>1735</v>
      </c>
      <c r="E1631" s="9" t="s">
        <v>275</v>
      </c>
      <c r="F1631" s="9" t="s">
        <v>211</v>
      </c>
      <c r="G1631" s="9" t="s">
        <v>221</v>
      </c>
      <c r="H1631" s="9" t="n">
        <v>1050</v>
      </c>
      <c r="I1631" s="29" t="n">
        <v>2</v>
      </c>
      <c r="J1631" s="9" t="n">
        <v>0</v>
      </c>
      <c r="K1631" s="30"/>
      <c r="L1631" s="30"/>
      <c r="M1631" s="30"/>
      <c r="N1631" s="30"/>
      <c r="O1631" s="30"/>
      <c r="P1631" s="30"/>
      <c r="Q1631" s="30"/>
      <c r="R1631" s="30"/>
      <c r="S1631" s="30"/>
      <c r="T1631" s="30"/>
      <c r="U1631" s="21" t="str">
        <f aca="false">IF(COUNT(K1631:T1631)=0,"SOURCE EMPTY / INDUSTRIAL ONLY",IF(MIN(K1631:T1631)=1,"SERVICE READY","HOLD"))</f>
        <v>SOURCE EMPTY / INDUSTRIAL ONLY</v>
      </c>
      <c r="V1631" s="9" t="n">
        <f aca="false">IF(U1631="SERVICE READY",1,0)</f>
        <v>0</v>
      </c>
      <c r="W1631" s="6"/>
      <c r="X1631" s="6"/>
      <c r="Y1631" s="6"/>
      <c r="Z1631" s="6"/>
    </row>
    <row r="1632" customFormat="false" ht="15" hidden="false" customHeight="false" outlineLevel="0" collapsed="false">
      <c r="A1632" s="9" t="s">
        <v>1874</v>
      </c>
      <c r="B1632" s="9" t="s">
        <v>1810</v>
      </c>
      <c r="C1632" s="9" t="s">
        <v>1811</v>
      </c>
      <c r="D1632" s="9" t="s">
        <v>1735</v>
      </c>
      <c r="E1632" s="9" t="s">
        <v>275</v>
      </c>
      <c r="F1632" s="9" t="s">
        <v>197</v>
      </c>
      <c r="G1632" s="9" t="s">
        <v>221</v>
      </c>
      <c r="H1632" s="9" t="n">
        <v>1050</v>
      </c>
      <c r="I1632" s="29" t="n">
        <v>2</v>
      </c>
      <c r="J1632" s="9" t="n">
        <v>0</v>
      </c>
      <c r="K1632" s="30"/>
      <c r="L1632" s="30"/>
      <c r="M1632" s="30"/>
      <c r="N1632" s="30"/>
      <c r="O1632" s="30"/>
      <c r="P1632" s="30"/>
      <c r="Q1632" s="30"/>
      <c r="R1632" s="30"/>
      <c r="S1632" s="30"/>
      <c r="T1632" s="30"/>
      <c r="U1632" s="21" t="str">
        <f aca="false">IF(COUNT(K1632:T1632)=0,"SOURCE EMPTY / INDUSTRIAL ONLY",IF(MIN(K1632:T1632)=1,"SERVICE READY","HOLD"))</f>
        <v>SOURCE EMPTY / INDUSTRIAL ONLY</v>
      </c>
      <c r="V1632" s="9" t="n">
        <f aca="false">IF(U1632="SERVICE READY",1,0)</f>
        <v>0</v>
      </c>
      <c r="W1632" s="6"/>
      <c r="X1632" s="6"/>
      <c r="Y1632" s="6"/>
      <c r="Z1632" s="6"/>
    </row>
    <row r="1633" customFormat="false" ht="15" hidden="false" customHeight="false" outlineLevel="0" collapsed="false">
      <c r="A1633" s="9" t="s">
        <v>1875</v>
      </c>
      <c r="B1633" s="9" t="s">
        <v>1810</v>
      </c>
      <c r="C1633" s="9" t="s">
        <v>1811</v>
      </c>
      <c r="D1633" s="9" t="s">
        <v>1735</v>
      </c>
      <c r="E1633" s="9" t="s">
        <v>275</v>
      </c>
      <c r="F1633" s="9" t="s">
        <v>200</v>
      </c>
      <c r="G1633" s="9" t="s">
        <v>221</v>
      </c>
      <c r="H1633" s="9" t="n">
        <v>1050</v>
      </c>
      <c r="I1633" s="29" t="n">
        <v>2</v>
      </c>
      <c r="J1633" s="9" t="n">
        <v>0</v>
      </c>
      <c r="K1633" s="30"/>
      <c r="L1633" s="30"/>
      <c r="M1633" s="30"/>
      <c r="N1633" s="30"/>
      <c r="O1633" s="30"/>
      <c r="P1633" s="30"/>
      <c r="Q1633" s="30"/>
      <c r="R1633" s="30"/>
      <c r="S1633" s="30"/>
      <c r="T1633" s="30"/>
      <c r="U1633" s="21" t="str">
        <f aca="false">IF(COUNT(K1633:T1633)=0,"SOURCE EMPTY / INDUSTRIAL ONLY",IF(MIN(K1633:T1633)=1,"SERVICE READY","HOLD"))</f>
        <v>SOURCE EMPTY / INDUSTRIAL ONLY</v>
      </c>
      <c r="V1633" s="9" t="n">
        <f aca="false">IF(U1633="SERVICE READY",1,0)</f>
        <v>0</v>
      </c>
      <c r="W1633" s="6"/>
      <c r="X1633" s="6"/>
      <c r="Y1633" s="6"/>
      <c r="Z1633" s="6"/>
    </row>
    <row r="1634" customFormat="false" ht="15" hidden="false" customHeight="false" outlineLevel="0" collapsed="false">
      <c r="A1634" s="9" t="s">
        <v>1876</v>
      </c>
      <c r="B1634" s="9" t="s">
        <v>1810</v>
      </c>
      <c r="C1634" s="9" t="s">
        <v>1811</v>
      </c>
      <c r="D1634" s="9" t="s">
        <v>1735</v>
      </c>
      <c r="E1634" s="9" t="s">
        <v>275</v>
      </c>
      <c r="F1634" s="9" t="s">
        <v>203</v>
      </c>
      <c r="G1634" s="9" t="s">
        <v>221</v>
      </c>
      <c r="H1634" s="9" t="n">
        <v>1050</v>
      </c>
      <c r="I1634" s="29" t="n">
        <v>2</v>
      </c>
      <c r="J1634" s="9" t="n">
        <v>0</v>
      </c>
      <c r="K1634" s="30"/>
      <c r="L1634" s="30"/>
      <c r="M1634" s="30"/>
      <c r="N1634" s="30"/>
      <c r="O1634" s="30"/>
      <c r="P1634" s="30"/>
      <c r="Q1634" s="30"/>
      <c r="R1634" s="30"/>
      <c r="S1634" s="30"/>
      <c r="T1634" s="30"/>
      <c r="U1634" s="21" t="str">
        <f aca="false">IF(COUNT(K1634:T1634)=0,"SOURCE EMPTY / INDUSTRIAL ONLY",IF(MIN(K1634:T1634)=1,"SERVICE READY","HOLD"))</f>
        <v>SOURCE EMPTY / INDUSTRIAL ONLY</v>
      </c>
      <c r="V1634" s="9" t="n">
        <f aca="false">IF(U1634="SERVICE READY",1,0)</f>
        <v>0</v>
      </c>
      <c r="W1634" s="6"/>
      <c r="X1634" s="6"/>
      <c r="Y1634" s="6"/>
      <c r="Z1634" s="6"/>
    </row>
    <row r="1635" customFormat="false" ht="15" hidden="false" customHeight="false" outlineLevel="0" collapsed="false">
      <c r="A1635" s="9" t="s">
        <v>1877</v>
      </c>
      <c r="B1635" s="9" t="s">
        <v>1810</v>
      </c>
      <c r="C1635" s="9" t="s">
        <v>1811</v>
      </c>
      <c r="D1635" s="9" t="s">
        <v>1735</v>
      </c>
      <c r="E1635" s="9" t="s">
        <v>275</v>
      </c>
      <c r="F1635" s="9" t="s">
        <v>205</v>
      </c>
      <c r="G1635" s="9" t="s">
        <v>221</v>
      </c>
      <c r="H1635" s="9" t="n">
        <v>1050</v>
      </c>
      <c r="I1635" s="29" t="n">
        <v>2</v>
      </c>
      <c r="J1635" s="9" t="n">
        <v>0</v>
      </c>
      <c r="K1635" s="30"/>
      <c r="L1635" s="30"/>
      <c r="M1635" s="30"/>
      <c r="N1635" s="30"/>
      <c r="O1635" s="30"/>
      <c r="P1635" s="30"/>
      <c r="Q1635" s="30"/>
      <c r="R1635" s="30"/>
      <c r="S1635" s="30"/>
      <c r="T1635" s="30"/>
      <c r="U1635" s="21" t="str">
        <f aca="false">IF(COUNT(K1635:T1635)=0,"SOURCE EMPTY / INDUSTRIAL ONLY",IF(MIN(K1635:T1635)=1,"SERVICE READY","HOLD"))</f>
        <v>SOURCE EMPTY / INDUSTRIAL ONLY</v>
      </c>
      <c r="V1635" s="9" t="n">
        <f aca="false">IF(U1635="SERVICE READY",1,0)</f>
        <v>0</v>
      </c>
      <c r="W1635" s="6"/>
      <c r="X1635" s="6"/>
      <c r="Y1635" s="6"/>
      <c r="Z1635" s="6"/>
    </row>
    <row r="1636" customFormat="false" ht="15" hidden="false" customHeight="false" outlineLevel="0" collapsed="false">
      <c r="A1636" s="9" t="s">
        <v>1878</v>
      </c>
      <c r="B1636" s="9" t="s">
        <v>1810</v>
      </c>
      <c r="C1636" s="9" t="s">
        <v>1811</v>
      </c>
      <c r="D1636" s="9" t="s">
        <v>1735</v>
      </c>
      <c r="E1636" s="9" t="s">
        <v>275</v>
      </c>
      <c r="F1636" s="9" t="s">
        <v>207</v>
      </c>
      <c r="G1636" s="9" t="s">
        <v>221</v>
      </c>
      <c r="H1636" s="9" t="n">
        <v>1050</v>
      </c>
      <c r="I1636" s="29" t="n">
        <v>2</v>
      </c>
      <c r="J1636" s="9" t="n">
        <v>0</v>
      </c>
      <c r="K1636" s="30"/>
      <c r="L1636" s="30"/>
      <c r="M1636" s="30"/>
      <c r="N1636" s="30"/>
      <c r="O1636" s="30"/>
      <c r="P1636" s="30"/>
      <c r="Q1636" s="30"/>
      <c r="R1636" s="30"/>
      <c r="S1636" s="30"/>
      <c r="T1636" s="30"/>
      <c r="U1636" s="21" t="str">
        <f aca="false">IF(COUNT(K1636:T1636)=0,"SOURCE EMPTY / INDUSTRIAL ONLY",IF(MIN(K1636:T1636)=1,"SERVICE READY","HOLD"))</f>
        <v>SOURCE EMPTY / INDUSTRIAL ONLY</v>
      </c>
      <c r="V1636" s="9" t="n">
        <f aca="false">IF(U1636="SERVICE READY",1,0)</f>
        <v>0</v>
      </c>
      <c r="W1636" s="6"/>
      <c r="X1636" s="6"/>
      <c r="Y1636" s="6"/>
      <c r="Z1636" s="6"/>
    </row>
    <row r="1637" customFormat="false" ht="15" hidden="false" customHeight="false" outlineLevel="0" collapsed="false">
      <c r="A1637" s="9" t="s">
        <v>1879</v>
      </c>
      <c r="B1637" s="9" t="s">
        <v>1810</v>
      </c>
      <c r="C1637" s="9" t="s">
        <v>1811</v>
      </c>
      <c r="D1637" s="9" t="s">
        <v>1735</v>
      </c>
      <c r="E1637" s="9" t="s">
        <v>275</v>
      </c>
      <c r="F1637" s="9" t="s">
        <v>209</v>
      </c>
      <c r="G1637" s="9" t="s">
        <v>221</v>
      </c>
      <c r="H1637" s="9" t="n">
        <v>1050</v>
      </c>
      <c r="I1637" s="29" t="n">
        <v>2</v>
      </c>
      <c r="J1637" s="9" t="n">
        <v>0</v>
      </c>
      <c r="K1637" s="30"/>
      <c r="L1637" s="30"/>
      <c r="M1637" s="30"/>
      <c r="N1637" s="30"/>
      <c r="O1637" s="30"/>
      <c r="P1637" s="30"/>
      <c r="Q1637" s="30"/>
      <c r="R1637" s="30"/>
      <c r="S1637" s="30"/>
      <c r="T1637" s="30"/>
      <c r="U1637" s="21" t="str">
        <f aca="false">IF(COUNT(K1637:T1637)=0,"SOURCE EMPTY / INDUSTRIAL ONLY",IF(MIN(K1637:T1637)=1,"SERVICE READY","HOLD"))</f>
        <v>SOURCE EMPTY / INDUSTRIAL ONLY</v>
      </c>
      <c r="V1637" s="9" t="n">
        <f aca="false">IF(U1637="SERVICE READY",1,0)</f>
        <v>0</v>
      </c>
      <c r="W1637" s="6"/>
      <c r="X1637" s="6"/>
      <c r="Y1637" s="6"/>
      <c r="Z1637" s="6"/>
    </row>
    <row r="1638" customFormat="false" ht="15" hidden="false" customHeight="false" outlineLevel="0" collapsed="false">
      <c r="A1638" s="9" t="s">
        <v>1880</v>
      </c>
      <c r="B1638" s="9" t="s">
        <v>1810</v>
      </c>
      <c r="C1638" s="9" t="s">
        <v>1811</v>
      </c>
      <c r="D1638" s="9" t="s">
        <v>1735</v>
      </c>
      <c r="E1638" s="9" t="s">
        <v>275</v>
      </c>
      <c r="F1638" s="9" t="s">
        <v>211</v>
      </c>
      <c r="G1638" s="9" t="s">
        <v>221</v>
      </c>
      <c r="H1638" s="9" t="n">
        <v>1050</v>
      </c>
      <c r="I1638" s="29" t="n">
        <v>2</v>
      </c>
      <c r="J1638" s="9" t="n">
        <v>0</v>
      </c>
      <c r="K1638" s="30"/>
      <c r="L1638" s="30"/>
      <c r="M1638" s="30"/>
      <c r="N1638" s="30"/>
      <c r="O1638" s="30"/>
      <c r="P1638" s="30"/>
      <c r="Q1638" s="30"/>
      <c r="R1638" s="30"/>
      <c r="S1638" s="30"/>
      <c r="T1638" s="30"/>
      <c r="U1638" s="21" t="str">
        <f aca="false">IF(COUNT(K1638:T1638)=0,"SOURCE EMPTY / INDUSTRIAL ONLY",IF(MIN(K1638:T1638)=1,"SERVICE READY","HOLD"))</f>
        <v>SOURCE EMPTY / INDUSTRIAL ONLY</v>
      </c>
      <c r="V1638" s="9" t="n">
        <f aca="false">IF(U1638="SERVICE READY",1,0)</f>
        <v>0</v>
      </c>
      <c r="W1638" s="6"/>
      <c r="X1638" s="6"/>
      <c r="Y1638" s="6"/>
      <c r="Z1638" s="6"/>
    </row>
    <row r="1639" customFormat="false" ht="15" hidden="false" customHeight="false" outlineLevel="0" collapsed="false">
      <c r="A1639" s="9" t="s">
        <v>1881</v>
      </c>
      <c r="B1639" s="9" t="s">
        <v>1810</v>
      </c>
      <c r="C1639" s="9" t="s">
        <v>1811</v>
      </c>
      <c r="D1639" s="9" t="s">
        <v>1735</v>
      </c>
      <c r="E1639" s="9" t="s">
        <v>275</v>
      </c>
      <c r="F1639" s="9" t="s">
        <v>197</v>
      </c>
      <c r="G1639" s="9" t="s">
        <v>221</v>
      </c>
      <c r="H1639" s="9" t="n">
        <v>1050</v>
      </c>
      <c r="I1639" s="29" t="n">
        <v>2</v>
      </c>
      <c r="J1639" s="9" t="n">
        <v>0</v>
      </c>
      <c r="K1639" s="30"/>
      <c r="L1639" s="30"/>
      <c r="M1639" s="30"/>
      <c r="N1639" s="30"/>
      <c r="O1639" s="30"/>
      <c r="P1639" s="30"/>
      <c r="Q1639" s="30"/>
      <c r="R1639" s="30"/>
      <c r="S1639" s="30"/>
      <c r="T1639" s="30"/>
      <c r="U1639" s="21" t="str">
        <f aca="false">IF(COUNT(K1639:T1639)=0,"SOURCE EMPTY / INDUSTRIAL ONLY",IF(MIN(K1639:T1639)=1,"SERVICE READY","HOLD"))</f>
        <v>SOURCE EMPTY / INDUSTRIAL ONLY</v>
      </c>
      <c r="V1639" s="9" t="n">
        <f aca="false">IF(U1639="SERVICE READY",1,0)</f>
        <v>0</v>
      </c>
      <c r="W1639" s="6"/>
      <c r="X1639" s="6"/>
      <c r="Y1639" s="6"/>
      <c r="Z1639" s="6"/>
    </row>
    <row r="1640" customFormat="false" ht="15" hidden="false" customHeight="false" outlineLevel="0" collapsed="false">
      <c r="A1640" s="9" t="s">
        <v>1882</v>
      </c>
      <c r="B1640" s="9" t="s">
        <v>1810</v>
      </c>
      <c r="C1640" s="9" t="s">
        <v>1811</v>
      </c>
      <c r="D1640" s="9" t="s">
        <v>1735</v>
      </c>
      <c r="E1640" s="9" t="s">
        <v>275</v>
      </c>
      <c r="F1640" s="9" t="s">
        <v>200</v>
      </c>
      <c r="G1640" s="9" t="s">
        <v>221</v>
      </c>
      <c r="H1640" s="9" t="n">
        <v>1050</v>
      </c>
      <c r="I1640" s="29" t="n">
        <v>2</v>
      </c>
      <c r="J1640" s="9" t="n">
        <v>0</v>
      </c>
      <c r="K1640" s="30"/>
      <c r="L1640" s="30"/>
      <c r="M1640" s="30"/>
      <c r="N1640" s="30"/>
      <c r="O1640" s="30"/>
      <c r="P1640" s="30"/>
      <c r="Q1640" s="30"/>
      <c r="R1640" s="30"/>
      <c r="S1640" s="30"/>
      <c r="T1640" s="30"/>
      <c r="U1640" s="21" t="str">
        <f aca="false">IF(COUNT(K1640:T1640)=0,"SOURCE EMPTY / INDUSTRIAL ONLY",IF(MIN(K1640:T1640)=1,"SERVICE READY","HOLD"))</f>
        <v>SOURCE EMPTY / INDUSTRIAL ONLY</v>
      </c>
      <c r="V1640" s="9" t="n">
        <f aca="false">IF(U1640="SERVICE READY",1,0)</f>
        <v>0</v>
      </c>
      <c r="W1640" s="6"/>
      <c r="X1640" s="6"/>
      <c r="Y1640" s="6"/>
      <c r="Z1640" s="6"/>
    </row>
    <row r="1641" customFormat="false" ht="15" hidden="false" customHeight="false" outlineLevel="0" collapsed="false">
      <c r="A1641" s="9" t="s">
        <v>1883</v>
      </c>
      <c r="B1641" s="9" t="s">
        <v>1810</v>
      </c>
      <c r="C1641" s="9" t="s">
        <v>1811</v>
      </c>
      <c r="D1641" s="9" t="s">
        <v>1735</v>
      </c>
      <c r="E1641" s="9" t="s">
        <v>275</v>
      </c>
      <c r="F1641" s="9" t="s">
        <v>203</v>
      </c>
      <c r="G1641" s="9" t="s">
        <v>221</v>
      </c>
      <c r="H1641" s="9" t="n">
        <v>1050</v>
      </c>
      <c r="I1641" s="29" t="n">
        <v>2</v>
      </c>
      <c r="J1641" s="9" t="n">
        <v>0</v>
      </c>
      <c r="K1641" s="30"/>
      <c r="L1641" s="30"/>
      <c r="M1641" s="30"/>
      <c r="N1641" s="30"/>
      <c r="O1641" s="30"/>
      <c r="P1641" s="30"/>
      <c r="Q1641" s="30"/>
      <c r="R1641" s="30"/>
      <c r="S1641" s="30"/>
      <c r="T1641" s="30"/>
      <c r="U1641" s="21" t="str">
        <f aca="false">IF(COUNT(K1641:T1641)=0,"SOURCE EMPTY / INDUSTRIAL ONLY",IF(MIN(K1641:T1641)=1,"SERVICE READY","HOLD"))</f>
        <v>SOURCE EMPTY / INDUSTRIAL ONLY</v>
      </c>
      <c r="V1641" s="9" t="n">
        <f aca="false">IF(U1641="SERVICE READY",1,0)</f>
        <v>0</v>
      </c>
      <c r="W1641" s="6"/>
      <c r="X1641" s="6"/>
      <c r="Y1641" s="6"/>
      <c r="Z1641" s="6"/>
    </row>
    <row r="1642" customFormat="false" ht="15" hidden="false" customHeight="false" outlineLevel="0" collapsed="false">
      <c r="A1642" s="9" t="s">
        <v>1884</v>
      </c>
      <c r="B1642" s="9" t="s">
        <v>1810</v>
      </c>
      <c r="C1642" s="9" t="s">
        <v>1811</v>
      </c>
      <c r="D1642" s="9" t="s">
        <v>1735</v>
      </c>
      <c r="E1642" s="9" t="s">
        <v>275</v>
      </c>
      <c r="F1642" s="9" t="s">
        <v>205</v>
      </c>
      <c r="G1642" s="9" t="s">
        <v>221</v>
      </c>
      <c r="H1642" s="9" t="n">
        <v>1050</v>
      </c>
      <c r="I1642" s="29" t="n">
        <v>2</v>
      </c>
      <c r="J1642" s="9" t="n">
        <v>0</v>
      </c>
      <c r="K1642" s="30"/>
      <c r="L1642" s="30"/>
      <c r="M1642" s="30"/>
      <c r="N1642" s="30"/>
      <c r="O1642" s="30"/>
      <c r="P1642" s="30"/>
      <c r="Q1642" s="30"/>
      <c r="R1642" s="30"/>
      <c r="S1642" s="30"/>
      <c r="T1642" s="30"/>
      <c r="U1642" s="21" t="str">
        <f aca="false">IF(COUNT(K1642:T1642)=0,"SOURCE EMPTY / INDUSTRIAL ONLY",IF(MIN(K1642:T1642)=1,"SERVICE READY","HOLD"))</f>
        <v>SOURCE EMPTY / INDUSTRIAL ONLY</v>
      </c>
      <c r="V1642" s="9" t="n">
        <f aca="false">IF(U1642="SERVICE READY",1,0)</f>
        <v>0</v>
      </c>
      <c r="W1642" s="6"/>
      <c r="X1642" s="6"/>
      <c r="Y1642" s="6"/>
      <c r="Z1642" s="6"/>
    </row>
    <row r="1643" customFormat="false" ht="15" hidden="false" customHeight="false" outlineLevel="0" collapsed="false">
      <c r="A1643" s="9" t="s">
        <v>1885</v>
      </c>
      <c r="B1643" s="9" t="s">
        <v>1810</v>
      </c>
      <c r="C1643" s="9" t="s">
        <v>1811</v>
      </c>
      <c r="D1643" s="9" t="s">
        <v>1735</v>
      </c>
      <c r="E1643" s="9" t="s">
        <v>275</v>
      </c>
      <c r="F1643" s="9" t="s">
        <v>207</v>
      </c>
      <c r="G1643" s="9" t="s">
        <v>221</v>
      </c>
      <c r="H1643" s="9" t="n">
        <v>1050</v>
      </c>
      <c r="I1643" s="29" t="n">
        <v>2</v>
      </c>
      <c r="J1643" s="9" t="n">
        <v>0</v>
      </c>
      <c r="K1643" s="30"/>
      <c r="L1643" s="30"/>
      <c r="M1643" s="30"/>
      <c r="N1643" s="30"/>
      <c r="O1643" s="30"/>
      <c r="P1643" s="30"/>
      <c r="Q1643" s="30"/>
      <c r="R1643" s="30"/>
      <c r="S1643" s="30"/>
      <c r="T1643" s="30"/>
      <c r="U1643" s="21" t="str">
        <f aca="false">IF(COUNT(K1643:T1643)=0,"SOURCE EMPTY / INDUSTRIAL ONLY",IF(MIN(K1643:T1643)=1,"SERVICE READY","HOLD"))</f>
        <v>SOURCE EMPTY / INDUSTRIAL ONLY</v>
      </c>
      <c r="V1643" s="9" t="n">
        <f aca="false">IF(U1643="SERVICE READY",1,0)</f>
        <v>0</v>
      </c>
      <c r="W1643" s="6"/>
      <c r="X1643" s="6"/>
      <c r="Y1643" s="6"/>
      <c r="Z1643" s="6"/>
    </row>
    <row r="1644" customFormat="false" ht="15" hidden="false" customHeight="false" outlineLevel="0" collapsed="false">
      <c r="A1644" s="9" t="s">
        <v>1886</v>
      </c>
      <c r="B1644" s="9" t="s">
        <v>1810</v>
      </c>
      <c r="C1644" s="9" t="s">
        <v>1811</v>
      </c>
      <c r="D1644" s="9" t="s">
        <v>1735</v>
      </c>
      <c r="E1644" s="9" t="s">
        <v>275</v>
      </c>
      <c r="F1644" s="9" t="s">
        <v>209</v>
      </c>
      <c r="G1644" s="9" t="s">
        <v>221</v>
      </c>
      <c r="H1644" s="9" t="n">
        <v>1050</v>
      </c>
      <c r="I1644" s="29" t="n">
        <v>2</v>
      </c>
      <c r="J1644" s="9" t="n">
        <v>0</v>
      </c>
      <c r="K1644" s="30"/>
      <c r="L1644" s="30"/>
      <c r="M1644" s="30"/>
      <c r="N1644" s="30"/>
      <c r="O1644" s="30"/>
      <c r="P1644" s="30"/>
      <c r="Q1644" s="30"/>
      <c r="R1644" s="30"/>
      <c r="S1644" s="30"/>
      <c r="T1644" s="30"/>
      <c r="U1644" s="21" t="str">
        <f aca="false">IF(COUNT(K1644:T1644)=0,"SOURCE EMPTY / INDUSTRIAL ONLY",IF(MIN(K1644:T1644)=1,"SERVICE READY","HOLD"))</f>
        <v>SOURCE EMPTY / INDUSTRIAL ONLY</v>
      </c>
      <c r="V1644" s="9" t="n">
        <f aca="false">IF(U1644="SERVICE READY",1,0)</f>
        <v>0</v>
      </c>
      <c r="W1644" s="6"/>
      <c r="X1644" s="6"/>
      <c r="Y1644" s="6"/>
      <c r="Z1644" s="6"/>
    </row>
    <row r="1645" customFormat="false" ht="15" hidden="false" customHeight="false" outlineLevel="0" collapsed="false">
      <c r="A1645" s="9" t="s">
        <v>1887</v>
      </c>
      <c r="B1645" s="9" t="s">
        <v>1810</v>
      </c>
      <c r="C1645" s="9" t="s">
        <v>1811</v>
      </c>
      <c r="D1645" s="9" t="s">
        <v>1735</v>
      </c>
      <c r="E1645" s="9" t="s">
        <v>275</v>
      </c>
      <c r="F1645" s="9" t="s">
        <v>211</v>
      </c>
      <c r="G1645" s="9" t="s">
        <v>221</v>
      </c>
      <c r="H1645" s="9" t="n">
        <v>1050</v>
      </c>
      <c r="I1645" s="29" t="n">
        <v>2</v>
      </c>
      <c r="J1645" s="9" t="n">
        <v>0</v>
      </c>
      <c r="K1645" s="30"/>
      <c r="L1645" s="30"/>
      <c r="M1645" s="30"/>
      <c r="N1645" s="30"/>
      <c r="O1645" s="30"/>
      <c r="P1645" s="30"/>
      <c r="Q1645" s="30"/>
      <c r="R1645" s="30"/>
      <c r="S1645" s="30"/>
      <c r="T1645" s="30"/>
      <c r="U1645" s="21" t="str">
        <f aca="false">IF(COUNT(K1645:T1645)=0,"SOURCE EMPTY / INDUSTRIAL ONLY",IF(MIN(K1645:T1645)=1,"SERVICE READY","HOLD"))</f>
        <v>SOURCE EMPTY / INDUSTRIAL ONLY</v>
      </c>
      <c r="V1645" s="9" t="n">
        <f aca="false">IF(U1645="SERVICE READY",1,0)</f>
        <v>0</v>
      </c>
      <c r="W1645" s="6"/>
      <c r="X1645" s="6"/>
      <c r="Y1645" s="6"/>
      <c r="Z1645" s="6"/>
    </row>
    <row r="1646" customFormat="false" ht="15" hidden="false" customHeight="false" outlineLevel="0" collapsed="false">
      <c r="A1646" s="9" t="s">
        <v>1888</v>
      </c>
      <c r="B1646" s="9" t="s">
        <v>1810</v>
      </c>
      <c r="C1646" s="9" t="s">
        <v>1811</v>
      </c>
      <c r="D1646" s="9" t="s">
        <v>1735</v>
      </c>
      <c r="E1646" s="9" t="s">
        <v>275</v>
      </c>
      <c r="F1646" s="9" t="s">
        <v>197</v>
      </c>
      <c r="G1646" s="9" t="s">
        <v>221</v>
      </c>
      <c r="H1646" s="9" t="n">
        <v>1050</v>
      </c>
      <c r="I1646" s="29" t="n">
        <v>2</v>
      </c>
      <c r="J1646" s="9" t="n">
        <v>0</v>
      </c>
      <c r="K1646" s="30"/>
      <c r="L1646" s="30"/>
      <c r="M1646" s="30"/>
      <c r="N1646" s="30"/>
      <c r="O1646" s="30"/>
      <c r="P1646" s="30"/>
      <c r="Q1646" s="30"/>
      <c r="R1646" s="30"/>
      <c r="S1646" s="30"/>
      <c r="T1646" s="30"/>
      <c r="U1646" s="21" t="str">
        <f aca="false">IF(COUNT(K1646:T1646)=0,"SOURCE EMPTY / INDUSTRIAL ONLY",IF(MIN(K1646:T1646)=1,"SERVICE READY","HOLD"))</f>
        <v>SOURCE EMPTY / INDUSTRIAL ONLY</v>
      </c>
      <c r="V1646" s="9" t="n">
        <f aca="false">IF(U1646="SERVICE READY",1,0)</f>
        <v>0</v>
      </c>
      <c r="W1646" s="6"/>
      <c r="X1646" s="6"/>
      <c r="Y1646" s="6"/>
      <c r="Z1646" s="6"/>
    </row>
    <row r="1647" customFormat="false" ht="15" hidden="false" customHeight="false" outlineLevel="0" collapsed="false">
      <c r="A1647" s="9" t="s">
        <v>1889</v>
      </c>
      <c r="B1647" s="9" t="s">
        <v>1810</v>
      </c>
      <c r="C1647" s="9" t="s">
        <v>1811</v>
      </c>
      <c r="D1647" s="9" t="s">
        <v>1735</v>
      </c>
      <c r="E1647" s="9" t="s">
        <v>275</v>
      </c>
      <c r="F1647" s="9" t="s">
        <v>200</v>
      </c>
      <c r="G1647" s="9" t="s">
        <v>221</v>
      </c>
      <c r="H1647" s="9" t="n">
        <v>1050</v>
      </c>
      <c r="I1647" s="29" t="n">
        <v>2</v>
      </c>
      <c r="J1647" s="9" t="n">
        <v>0</v>
      </c>
      <c r="K1647" s="30"/>
      <c r="L1647" s="30"/>
      <c r="M1647" s="30"/>
      <c r="N1647" s="30"/>
      <c r="O1647" s="30"/>
      <c r="P1647" s="30"/>
      <c r="Q1647" s="30"/>
      <c r="R1647" s="30"/>
      <c r="S1647" s="30"/>
      <c r="T1647" s="30"/>
      <c r="U1647" s="21" t="str">
        <f aca="false">IF(COUNT(K1647:T1647)=0,"SOURCE EMPTY / INDUSTRIAL ONLY",IF(MIN(K1647:T1647)=1,"SERVICE READY","HOLD"))</f>
        <v>SOURCE EMPTY / INDUSTRIAL ONLY</v>
      </c>
      <c r="V1647" s="9" t="n">
        <f aca="false">IF(U1647="SERVICE READY",1,0)</f>
        <v>0</v>
      </c>
      <c r="W1647" s="6"/>
      <c r="X1647" s="6"/>
      <c r="Y1647" s="6"/>
      <c r="Z1647" s="6"/>
    </row>
    <row r="1648" customFormat="false" ht="15" hidden="false" customHeight="false" outlineLevel="0" collapsed="false">
      <c r="A1648" s="9" t="s">
        <v>1890</v>
      </c>
      <c r="B1648" s="9" t="s">
        <v>1810</v>
      </c>
      <c r="C1648" s="9" t="s">
        <v>1811</v>
      </c>
      <c r="D1648" s="9" t="s">
        <v>1735</v>
      </c>
      <c r="E1648" s="9" t="s">
        <v>275</v>
      </c>
      <c r="F1648" s="9" t="s">
        <v>203</v>
      </c>
      <c r="G1648" s="9" t="s">
        <v>221</v>
      </c>
      <c r="H1648" s="9" t="n">
        <v>1050</v>
      </c>
      <c r="I1648" s="29" t="n">
        <v>2</v>
      </c>
      <c r="J1648" s="9" t="n">
        <v>0</v>
      </c>
      <c r="K1648" s="30"/>
      <c r="L1648" s="30"/>
      <c r="M1648" s="30"/>
      <c r="N1648" s="30"/>
      <c r="O1648" s="30"/>
      <c r="P1648" s="30"/>
      <c r="Q1648" s="30"/>
      <c r="R1648" s="30"/>
      <c r="S1648" s="30"/>
      <c r="T1648" s="30"/>
      <c r="U1648" s="21" t="str">
        <f aca="false">IF(COUNT(K1648:T1648)=0,"SOURCE EMPTY / INDUSTRIAL ONLY",IF(MIN(K1648:T1648)=1,"SERVICE READY","HOLD"))</f>
        <v>SOURCE EMPTY / INDUSTRIAL ONLY</v>
      </c>
      <c r="V1648" s="9" t="n">
        <f aca="false">IF(U1648="SERVICE READY",1,0)</f>
        <v>0</v>
      </c>
      <c r="W1648" s="6"/>
      <c r="X1648" s="6"/>
      <c r="Y1648" s="6"/>
      <c r="Z1648" s="6"/>
    </row>
    <row r="1649" customFormat="false" ht="15" hidden="false" customHeight="false" outlineLevel="0" collapsed="false">
      <c r="A1649" s="9" t="s">
        <v>1891</v>
      </c>
      <c r="B1649" s="9" t="s">
        <v>1810</v>
      </c>
      <c r="C1649" s="9" t="s">
        <v>1811</v>
      </c>
      <c r="D1649" s="9" t="s">
        <v>1735</v>
      </c>
      <c r="E1649" s="9" t="s">
        <v>275</v>
      </c>
      <c r="F1649" s="9" t="s">
        <v>205</v>
      </c>
      <c r="G1649" s="9" t="s">
        <v>221</v>
      </c>
      <c r="H1649" s="9" t="n">
        <v>1050</v>
      </c>
      <c r="I1649" s="29" t="n">
        <v>2</v>
      </c>
      <c r="J1649" s="9" t="n">
        <v>0</v>
      </c>
      <c r="K1649" s="30"/>
      <c r="L1649" s="30"/>
      <c r="M1649" s="30"/>
      <c r="N1649" s="30"/>
      <c r="O1649" s="30"/>
      <c r="P1649" s="30"/>
      <c r="Q1649" s="30"/>
      <c r="R1649" s="30"/>
      <c r="S1649" s="30"/>
      <c r="T1649" s="30"/>
      <c r="U1649" s="21" t="str">
        <f aca="false">IF(COUNT(K1649:T1649)=0,"SOURCE EMPTY / INDUSTRIAL ONLY",IF(MIN(K1649:T1649)=1,"SERVICE READY","HOLD"))</f>
        <v>SOURCE EMPTY / INDUSTRIAL ONLY</v>
      </c>
      <c r="V1649" s="9" t="n">
        <f aca="false">IF(U1649="SERVICE READY",1,0)</f>
        <v>0</v>
      </c>
      <c r="W1649" s="6"/>
      <c r="X1649" s="6"/>
      <c r="Y1649" s="6"/>
      <c r="Z1649" s="6"/>
    </row>
    <row r="1650" customFormat="false" ht="15" hidden="false" customHeight="false" outlineLevel="0" collapsed="false">
      <c r="A1650" s="9" t="s">
        <v>1892</v>
      </c>
      <c r="B1650" s="9" t="s">
        <v>1810</v>
      </c>
      <c r="C1650" s="9" t="s">
        <v>1811</v>
      </c>
      <c r="D1650" s="9" t="s">
        <v>1735</v>
      </c>
      <c r="E1650" s="9" t="s">
        <v>275</v>
      </c>
      <c r="F1650" s="9" t="s">
        <v>207</v>
      </c>
      <c r="G1650" s="9" t="s">
        <v>221</v>
      </c>
      <c r="H1650" s="9" t="n">
        <v>1050</v>
      </c>
      <c r="I1650" s="29" t="n">
        <v>2</v>
      </c>
      <c r="J1650" s="9" t="n">
        <v>0</v>
      </c>
      <c r="K1650" s="30"/>
      <c r="L1650" s="30"/>
      <c r="M1650" s="30"/>
      <c r="N1650" s="30"/>
      <c r="O1650" s="30"/>
      <c r="P1650" s="30"/>
      <c r="Q1650" s="30"/>
      <c r="R1650" s="30"/>
      <c r="S1650" s="30"/>
      <c r="T1650" s="30"/>
      <c r="U1650" s="21" t="str">
        <f aca="false">IF(COUNT(K1650:T1650)=0,"SOURCE EMPTY / INDUSTRIAL ONLY",IF(MIN(K1650:T1650)=1,"SERVICE READY","HOLD"))</f>
        <v>SOURCE EMPTY / INDUSTRIAL ONLY</v>
      </c>
      <c r="V1650" s="9" t="n">
        <f aca="false">IF(U1650="SERVICE READY",1,0)</f>
        <v>0</v>
      </c>
      <c r="W1650" s="6"/>
      <c r="X1650" s="6"/>
      <c r="Y1650" s="6"/>
      <c r="Z1650" s="6"/>
    </row>
    <row r="1651" customFormat="false" ht="15" hidden="false" customHeight="false" outlineLevel="0" collapsed="false">
      <c r="A1651" s="9" t="s">
        <v>1893</v>
      </c>
      <c r="B1651" s="9" t="s">
        <v>1810</v>
      </c>
      <c r="C1651" s="9" t="s">
        <v>1811</v>
      </c>
      <c r="D1651" s="9" t="s">
        <v>1735</v>
      </c>
      <c r="E1651" s="9" t="s">
        <v>275</v>
      </c>
      <c r="F1651" s="9" t="s">
        <v>209</v>
      </c>
      <c r="G1651" s="9" t="s">
        <v>221</v>
      </c>
      <c r="H1651" s="9" t="n">
        <v>1050</v>
      </c>
      <c r="I1651" s="29" t="n">
        <v>2</v>
      </c>
      <c r="J1651" s="9" t="n">
        <v>0</v>
      </c>
      <c r="K1651" s="30"/>
      <c r="L1651" s="30"/>
      <c r="M1651" s="30"/>
      <c r="N1651" s="30"/>
      <c r="O1651" s="30"/>
      <c r="P1651" s="30"/>
      <c r="Q1651" s="30"/>
      <c r="R1651" s="30"/>
      <c r="S1651" s="30"/>
      <c r="T1651" s="30"/>
      <c r="U1651" s="21" t="str">
        <f aca="false">IF(COUNT(K1651:T1651)=0,"SOURCE EMPTY / INDUSTRIAL ONLY",IF(MIN(K1651:T1651)=1,"SERVICE READY","HOLD"))</f>
        <v>SOURCE EMPTY / INDUSTRIAL ONLY</v>
      </c>
      <c r="V1651" s="9" t="n">
        <f aca="false">IF(U1651="SERVICE READY",1,0)</f>
        <v>0</v>
      </c>
      <c r="W1651" s="6"/>
      <c r="X1651" s="6"/>
      <c r="Y1651" s="6"/>
      <c r="Z1651" s="6"/>
    </row>
    <row r="1652" customFormat="false" ht="15" hidden="false" customHeight="false" outlineLevel="0" collapsed="false">
      <c r="A1652" s="9" t="s">
        <v>1894</v>
      </c>
      <c r="B1652" s="9" t="s">
        <v>1810</v>
      </c>
      <c r="C1652" s="9" t="s">
        <v>1811</v>
      </c>
      <c r="D1652" s="9" t="s">
        <v>1735</v>
      </c>
      <c r="E1652" s="9" t="s">
        <v>275</v>
      </c>
      <c r="F1652" s="9" t="s">
        <v>211</v>
      </c>
      <c r="G1652" s="9" t="s">
        <v>221</v>
      </c>
      <c r="H1652" s="9" t="n">
        <v>1050</v>
      </c>
      <c r="I1652" s="29" t="n">
        <v>2</v>
      </c>
      <c r="J1652" s="9" t="n">
        <v>0</v>
      </c>
      <c r="K1652" s="30"/>
      <c r="L1652" s="30"/>
      <c r="M1652" s="30"/>
      <c r="N1652" s="30"/>
      <c r="O1652" s="30"/>
      <c r="P1652" s="30"/>
      <c r="Q1652" s="30"/>
      <c r="R1652" s="30"/>
      <c r="S1652" s="30"/>
      <c r="T1652" s="30"/>
      <c r="U1652" s="21" t="str">
        <f aca="false">IF(COUNT(K1652:T1652)=0,"SOURCE EMPTY / INDUSTRIAL ONLY",IF(MIN(K1652:T1652)=1,"SERVICE READY","HOLD"))</f>
        <v>SOURCE EMPTY / INDUSTRIAL ONLY</v>
      </c>
      <c r="V1652" s="9" t="n">
        <f aca="false">IF(U1652="SERVICE READY",1,0)</f>
        <v>0</v>
      </c>
      <c r="W1652" s="6"/>
      <c r="X1652" s="6"/>
      <c r="Y1652" s="6"/>
      <c r="Z1652" s="6"/>
    </row>
    <row r="1653" customFormat="false" ht="15" hidden="false" customHeight="false" outlineLevel="0" collapsed="false">
      <c r="A1653" s="9" t="s">
        <v>1895</v>
      </c>
      <c r="B1653" s="9" t="s">
        <v>1810</v>
      </c>
      <c r="C1653" s="9" t="s">
        <v>1811</v>
      </c>
      <c r="D1653" s="9" t="s">
        <v>1735</v>
      </c>
      <c r="E1653" s="9" t="s">
        <v>275</v>
      </c>
      <c r="F1653" s="9" t="s">
        <v>197</v>
      </c>
      <c r="G1653" s="9" t="s">
        <v>221</v>
      </c>
      <c r="H1653" s="9" t="n">
        <v>1050</v>
      </c>
      <c r="I1653" s="29" t="n">
        <v>2</v>
      </c>
      <c r="J1653" s="9" t="n">
        <v>0</v>
      </c>
      <c r="K1653" s="30"/>
      <c r="L1653" s="30"/>
      <c r="M1653" s="30"/>
      <c r="N1653" s="30"/>
      <c r="O1653" s="30"/>
      <c r="P1653" s="30"/>
      <c r="Q1653" s="30"/>
      <c r="R1653" s="30"/>
      <c r="S1653" s="30"/>
      <c r="T1653" s="30"/>
      <c r="U1653" s="21" t="str">
        <f aca="false">IF(COUNT(K1653:T1653)=0,"SOURCE EMPTY / INDUSTRIAL ONLY",IF(MIN(K1653:T1653)=1,"SERVICE READY","HOLD"))</f>
        <v>SOURCE EMPTY / INDUSTRIAL ONLY</v>
      </c>
      <c r="V1653" s="9" t="n">
        <f aca="false">IF(U1653="SERVICE READY",1,0)</f>
        <v>0</v>
      </c>
      <c r="W1653" s="6"/>
      <c r="X1653" s="6"/>
      <c r="Y1653" s="6"/>
      <c r="Z1653" s="6"/>
    </row>
    <row r="1654" customFormat="false" ht="15" hidden="false" customHeight="false" outlineLevel="0" collapsed="false">
      <c r="A1654" s="9" t="s">
        <v>1896</v>
      </c>
      <c r="B1654" s="9" t="s">
        <v>1810</v>
      </c>
      <c r="C1654" s="9" t="s">
        <v>1811</v>
      </c>
      <c r="D1654" s="9" t="s">
        <v>1735</v>
      </c>
      <c r="E1654" s="9" t="s">
        <v>275</v>
      </c>
      <c r="F1654" s="9" t="s">
        <v>200</v>
      </c>
      <c r="G1654" s="9" t="s">
        <v>221</v>
      </c>
      <c r="H1654" s="9" t="n">
        <v>1050</v>
      </c>
      <c r="I1654" s="29" t="n">
        <v>2</v>
      </c>
      <c r="J1654" s="9" t="n">
        <v>0</v>
      </c>
      <c r="K1654" s="30"/>
      <c r="L1654" s="30"/>
      <c r="M1654" s="30"/>
      <c r="N1654" s="30"/>
      <c r="O1654" s="30"/>
      <c r="P1654" s="30"/>
      <c r="Q1654" s="30"/>
      <c r="R1654" s="30"/>
      <c r="S1654" s="30"/>
      <c r="T1654" s="30"/>
      <c r="U1654" s="21" t="str">
        <f aca="false">IF(COUNT(K1654:T1654)=0,"SOURCE EMPTY / INDUSTRIAL ONLY",IF(MIN(K1654:T1654)=1,"SERVICE READY","HOLD"))</f>
        <v>SOURCE EMPTY / INDUSTRIAL ONLY</v>
      </c>
      <c r="V1654" s="9" t="n">
        <f aca="false">IF(U1654="SERVICE READY",1,0)</f>
        <v>0</v>
      </c>
      <c r="W1654" s="6"/>
      <c r="X1654" s="6"/>
      <c r="Y1654" s="6"/>
      <c r="Z1654" s="6"/>
    </row>
    <row r="1655" customFormat="false" ht="15" hidden="false" customHeight="false" outlineLevel="0" collapsed="false">
      <c r="A1655" s="9" t="s">
        <v>1897</v>
      </c>
      <c r="B1655" s="9" t="s">
        <v>1898</v>
      </c>
      <c r="C1655" s="9" t="s">
        <v>1899</v>
      </c>
      <c r="D1655" s="9" t="s">
        <v>1735</v>
      </c>
      <c r="E1655" s="9" t="s">
        <v>275</v>
      </c>
      <c r="F1655" s="9" t="s">
        <v>197</v>
      </c>
      <c r="G1655" s="9" t="s">
        <v>198</v>
      </c>
      <c r="H1655" s="9" t="n">
        <v>750</v>
      </c>
      <c r="I1655" s="29" t="n">
        <v>1.5</v>
      </c>
      <c r="J1655" s="9" t="n">
        <v>1</v>
      </c>
      <c r="K1655" s="30"/>
      <c r="L1655" s="30"/>
      <c r="M1655" s="30"/>
      <c r="N1655" s="30"/>
      <c r="O1655" s="30"/>
      <c r="P1655" s="30"/>
      <c r="Q1655" s="30"/>
      <c r="R1655" s="30"/>
      <c r="S1655" s="30"/>
      <c r="T1655" s="30"/>
      <c r="U1655" s="21" t="str">
        <f aca="false">IF(COUNT(K1655:T1655)=0,"SOURCE EMPTY / INDUSTRIAL ONLY",IF(MIN(K1655:T1655)=1,"SERVICE READY","HOLD"))</f>
        <v>SOURCE EMPTY / INDUSTRIAL ONLY</v>
      </c>
      <c r="V1655" s="9" t="n">
        <f aca="false">IF(U1655="SERVICE READY",1,0)</f>
        <v>0</v>
      </c>
      <c r="W1655" s="6"/>
      <c r="X1655" s="6"/>
      <c r="Y1655" s="6"/>
      <c r="Z1655" s="6"/>
    </row>
    <row r="1656" customFormat="false" ht="15" hidden="false" customHeight="false" outlineLevel="0" collapsed="false">
      <c r="A1656" s="9" t="s">
        <v>1900</v>
      </c>
      <c r="B1656" s="9" t="s">
        <v>1898</v>
      </c>
      <c r="C1656" s="9" t="s">
        <v>1899</v>
      </c>
      <c r="D1656" s="9" t="s">
        <v>1735</v>
      </c>
      <c r="E1656" s="9" t="s">
        <v>275</v>
      </c>
      <c r="F1656" s="9" t="s">
        <v>200</v>
      </c>
      <c r="G1656" s="9" t="s">
        <v>201</v>
      </c>
      <c r="H1656" s="9" t="n">
        <v>750</v>
      </c>
      <c r="I1656" s="29" t="n">
        <v>1.5</v>
      </c>
      <c r="J1656" s="9" t="n">
        <v>1</v>
      </c>
      <c r="K1656" s="30"/>
      <c r="L1656" s="30"/>
      <c r="M1656" s="30"/>
      <c r="N1656" s="30"/>
      <c r="O1656" s="30"/>
      <c r="P1656" s="30"/>
      <c r="Q1656" s="30"/>
      <c r="R1656" s="30"/>
      <c r="S1656" s="30"/>
      <c r="T1656" s="30"/>
      <c r="U1656" s="21" t="str">
        <f aca="false">IF(COUNT(K1656:T1656)=0,"SOURCE EMPTY / INDUSTRIAL ONLY",IF(MIN(K1656:T1656)=1,"SERVICE READY","HOLD"))</f>
        <v>SOURCE EMPTY / INDUSTRIAL ONLY</v>
      </c>
      <c r="V1656" s="9" t="n">
        <f aca="false">IF(U1656="SERVICE READY",1,0)</f>
        <v>0</v>
      </c>
      <c r="W1656" s="6"/>
      <c r="X1656" s="6"/>
      <c r="Y1656" s="6"/>
      <c r="Z1656" s="6"/>
    </row>
    <row r="1657" customFormat="false" ht="15" hidden="false" customHeight="false" outlineLevel="0" collapsed="false">
      <c r="A1657" s="9" t="s">
        <v>1901</v>
      </c>
      <c r="B1657" s="9" t="s">
        <v>1898</v>
      </c>
      <c r="C1657" s="9" t="s">
        <v>1899</v>
      </c>
      <c r="D1657" s="9" t="s">
        <v>1735</v>
      </c>
      <c r="E1657" s="9" t="s">
        <v>275</v>
      </c>
      <c r="F1657" s="9" t="s">
        <v>203</v>
      </c>
      <c r="G1657" s="9" t="s">
        <v>198</v>
      </c>
      <c r="H1657" s="9" t="n">
        <v>750</v>
      </c>
      <c r="I1657" s="29" t="n">
        <v>1.5</v>
      </c>
      <c r="J1657" s="9" t="n">
        <v>1</v>
      </c>
      <c r="K1657" s="30"/>
      <c r="L1657" s="30"/>
      <c r="M1657" s="30"/>
      <c r="N1657" s="30"/>
      <c r="O1657" s="30"/>
      <c r="P1657" s="30"/>
      <c r="Q1657" s="30"/>
      <c r="R1657" s="30"/>
      <c r="S1657" s="30"/>
      <c r="T1657" s="30"/>
      <c r="U1657" s="21" t="str">
        <f aca="false">IF(COUNT(K1657:T1657)=0,"SOURCE EMPTY / INDUSTRIAL ONLY",IF(MIN(K1657:T1657)=1,"SERVICE READY","HOLD"))</f>
        <v>SOURCE EMPTY / INDUSTRIAL ONLY</v>
      </c>
      <c r="V1657" s="9" t="n">
        <f aca="false">IF(U1657="SERVICE READY",1,0)</f>
        <v>0</v>
      </c>
      <c r="W1657" s="6"/>
      <c r="X1657" s="6"/>
      <c r="Y1657" s="6"/>
      <c r="Z1657" s="6"/>
    </row>
    <row r="1658" customFormat="false" ht="15" hidden="false" customHeight="false" outlineLevel="0" collapsed="false">
      <c r="A1658" s="9" t="s">
        <v>1902</v>
      </c>
      <c r="B1658" s="9" t="s">
        <v>1898</v>
      </c>
      <c r="C1658" s="9" t="s">
        <v>1899</v>
      </c>
      <c r="D1658" s="9" t="s">
        <v>1735</v>
      </c>
      <c r="E1658" s="9" t="s">
        <v>275</v>
      </c>
      <c r="F1658" s="9" t="s">
        <v>205</v>
      </c>
      <c r="G1658" s="9" t="s">
        <v>201</v>
      </c>
      <c r="H1658" s="9" t="n">
        <v>750</v>
      </c>
      <c r="I1658" s="29" t="n">
        <v>1.5</v>
      </c>
      <c r="J1658" s="9" t="n">
        <v>1</v>
      </c>
      <c r="K1658" s="30"/>
      <c r="L1658" s="30"/>
      <c r="M1658" s="30"/>
      <c r="N1658" s="30"/>
      <c r="O1658" s="30"/>
      <c r="P1658" s="30"/>
      <c r="Q1658" s="30"/>
      <c r="R1658" s="30"/>
      <c r="S1658" s="30"/>
      <c r="T1658" s="30"/>
      <c r="U1658" s="21" t="str">
        <f aca="false">IF(COUNT(K1658:T1658)=0,"SOURCE EMPTY / INDUSTRIAL ONLY",IF(MIN(K1658:T1658)=1,"SERVICE READY","HOLD"))</f>
        <v>SOURCE EMPTY / INDUSTRIAL ONLY</v>
      </c>
      <c r="V1658" s="9" t="n">
        <f aca="false">IF(U1658="SERVICE READY",1,0)</f>
        <v>0</v>
      </c>
      <c r="W1658" s="6"/>
      <c r="X1658" s="6"/>
      <c r="Y1658" s="6"/>
      <c r="Z1658" s="6"/>
    </row>
    <row r="1659" customFormat="false" ht="15" hidden="false" customHeight="false" outlineLevel="0" collapsed="false">
      <c r="A1659" s="9" t="s">
        <v>1903</v>
      </c>
      <c r="B1659" s="9" t="s">
        <v>1898</v>
      </c>
      <c r="C1659" s="9" t="s">
        <v>1899</v>
      </c>
      <c r="D1659" s="9" t="s">
        <v>1735</v>
      </c>
      <c r="E1659" s="9" t="s">
        <v>275</v>
      </c>
      <c r="F1659" s="9" t="s">
        <v>207</v>
      </c>
      <c r="G1659" s="9" t="s">
        <v>198</v>
      </c>
      <c r="H1659" s="9" t="n">
        <v>750</v>
      </c>
      <c r="I1659" s="29" t="n">
        <v>1.5</v>
      </c>
      <c r="J1659" s="9" t="n">
        <v>1</v>
      </c>
      <c r="K1659" s="30"/>
      <c r="L1659" s="30"/>
      <c r="M1659" s="30"/>
      <c r="N1659" s="30"/>
      <c r="O1659" s="30"/>
      <c r="P1659" s="30"/>
      <c r="Q1659" s="30"/>
      <c r="R1659" s="30"/>
      <c r="S1659" s="30"/>
      <c r="T1659" s="30"/>
      <c r="U1659" s="21" t="str">
        <f aca="false">IF(COUNT(K1659:T1659)=0,"SOURCE EMPTY / INDUSTRIAL ONLY",IF(MIN(K1659:T1659)=1,"SERVICE READY","HOLD"))</f>
        <v>SOURCE EMPTY / INDUSTRIAL ONLY</v>
      </c>
      <c r="V1659" s="9" t="n">
        <f aca="false">IF(U1659="SERVICE READY",1,0)</f>
        <v>0</v>
      </c>
      <c r="W1659" s="6"/>
      <c r="X1659" s="6"/>
      <c r="Y1659" s="6"/>
      <c r="Z1659" s="6"/>
    </row>
    <row r="1660" customFormat="false" ht="15" hidden="false" customHeight="false" outlineLevel="0" collapsed="false">
      <c r="A1660" s="9" t="s">
        <v>1904</v>
      </c>
      <c r="B1660" s="9" t="s">
        <v>1898</v>
      </c>
      <c r="C1660" s="9" t="s">
        <v>1899</v>
      </c>
      <c r="D1660" s="9" t="s">
        <v>1735</v>
      </c>
      <c r="E1660" s="9" t="s">
        <v>275</v>
      </c>
      <c r="F1660" s="9" t="s">
        <v>209</v>
      </c>
      <c r="G1660" s="9" t="s">
        <v>201</v>
      </c>
      <c r="H1660" s="9" t="n">
        <v>750</v>
      </c>
      <c r="I1660" s="29" t="n">
        <v>1.5</v>
      </c>
      <c r="J1660" s="9" t="n">
        <v>1</v>
      </c>
      <c r="K1660" s="30"/>
      <c r="L1660" s="30"/>
      <c r="M1660" s="30"/>
      <c r="N1660" s="30"/>
      <c r="O1660" s="30"/>
      <c r="P1660" s="30"/>
      <c r="Q1660" s="30"/>
      <c r="R1660" s="30"/>
      <c r="S1660" s="30"/>
      <c r="T1660" s="30"/>
      <c r="U1660" s="21" t="str">
        <f aca="false">IF(COUNT(K1660:T1660)=0,"SOURCE EMPTY / INDUSTRIAL ONLY",IF(MIN(K1660:T1660)=1,"SERVICE READY","HOLD"))</f>
        <v>SOURCE EMPTY / INDUSTRIAL ONLY</v>
      </c>
      <c r="V1660" s="9" t="n">
        <f aca="false">IF(U1660="SERVICE READY",1,0)</f>
        <v>0</v>
      </c>
      <c r="W1660" s="6"/>
      <c r="X1660" s="6"/>
      <c r="Y1660" s="6"/>
      <c r="Z1660" s="6"/>
    </row>
    <row r="1661" customFormat="false" ht="15" hidden="false" customHeight="false" outlineLevel="0" collapsed="false">
      <c r="A1661" s="9" t="s">
        <v>1905</v>
      </c>
      <c r="B1661" s="9" t="s">
        <v>1898</v>
      </c>
      <c r="C1661" s="9" t="s">
        <v>1899</v>
      </c>
      <c r="D1661" s="9" t="s">
        <v>1735</v>
      </c>
      <c r="E1661" s="9" t="s">
        <v>275</v>
      </c>
      <c r="F1661" s="9" t="s">
        <v>211</v>
      </c>
      <c r="G1661" s="9" t="s">
        <v>198</v>
      </c>
      <c r="H1661" s="9" t="n">
        <v>750</v>
      </c>
      <c r="I1661" s="29" t="n">
        <v>1.5</v>
      </c>
      <c r="J1661" s="9" t="n">
        <v>1</v>
      </c>
      <c r="K1661" s="30"/>
      <c r="L1661" s="30"/>
      <c r="M1661" s="30"/>
      <c r="N1661" s="30"/>
      <c r="O1661" s="30"/>
      <c r="P1661" s="30"/>
      <c r="Q1661" s="30"/>
      <c r="R1661" s="30"/>
      <c r="S1661" s="30"/>
      <c r="T1661" s="30"/>
      <c r="U1661" s="21" t="str">
        <f aca="false">IF(COUNT(K1661:T1661)=0,"SOURCE EMPTY / INDUSTRIAL ONLY",IF(MIN(K1661:T1661)=1,"SERVICE READY","HOLD"))</f>
        <v>SOURCE EMPTY / INDUSTRIAL ONLY</v>
      </c>
      <c r="V1661" s="9" t="n">
        <f aca="false">IF(U1661="SERVICE READY",1,0)</f>
        <v>0</v>
      </c>
      <c r="W1661" s="6"/>
      <c r="X1661" s="6"/>
      <c r="Y1661" s="6"/>
      <c r="Z1661" s="6"/>
    </row>
    <row r="1662" customFormat="false" ht="15" hidden="false" customHeight="false" outlineLevel="0" collapsed="false">
      <c r="A1662" s="9" t="s">
        <v>1906</v>
      </c>
      <c r="B1662" s="9" t="s">
        <v>1898</v>
      </c>
      <c r="C1662" s="9" t="s">
        <v>1899</v>
      </c>
      <c r="D1662" s="9" t="s">
        <v>1735</v>
      </c>
      <c r="E1662" s="9" t="s">
        <v>275</v>
      </c>
      <c r="F1662" s="9" t="s">
        <v>197</v>
      </c>
      <c r="G1662" s="9" t="s">
        <v>201</v>
      </c>
      <c r="H1662" s="9" t="n">
        <v>750</v>
      </c>
      <c r="I1662" s="29" t="n">
        <v>1.5</v>
      </c>
      <c r="J1662" s="9" t="n">
        <v>1</v>
      </c>
      <c r="K1662" s="30"/>
      <c r="L1662" s="30"/>
      <c r="M1662" s="30"/>
      <c r="N1662" s="30"/>
      <c r="O1662" s="30"/>
      <c r="P1662" s="30"/>
      <c r="Q1662" s="30"/>
      <c r="R1662" s="30"/>
      <c r="S1662" s="30"/>
      <c r="T1662" s="30"/>
      <c r="U1662" s="21" t="str">
        <f aca="false">IF(COUNT(K1662:T1662)=0,"SOURCE EMPTY / INDUSTRIAL ONLY",IF(MIN(K1662:T1662)=1,"SERVICE READY","HOLD"))</f>
        <v>SOURCE EMPTY / INDUSTRIAL ONLY</v>
      </c>
      <c r="V1662" s="9" t="n">
        <f aca="false">IF(U1662="SERVICE READY",1,0)</f>
        <v>0</v>
      </c>
      <c r="W1662" s="6"/>
      <c r="X1662" s="6"/>
      <c r="Y1662" s="6"/>
      <c r="Z1662" s="6"/>
    </row>
    <row r="1663" customFormat="false" ht="15" hidden="false" customHeight="false" outlineLevel="0" collapsed="false">
      <c r="A1663" s="9" t="s">
        <v>1907</v>
      </c>
      <c r="B1663" s="9" t="s">
        <v>1898</v>
      </c>
      <c r="C1663" s="9" t="s">
        <v>1899</v>
      </c>
      <c r="D1663" s="9" t="s">
        <v>1735</v>
      </c>
      <c r="E1663" s="9" t="s">
        <v>275</v>
      </c>
      <c r="F1663" s="9" t="s">
        <v>200</v>
      </c>
      <c r="G1663" s="9" t="s">
        <v>198</v>
      </c>
      <c r="H1663" s="9" t="n">
        <v>750</v>
      </c>
      <c r="I1663" s="29" t="n">
        <v>1.5</v>
      </c>
      <c r="J1663" s="9" t="n">
        <v>1</v>
      </c>
      <c r="K1663" s="30"/>
      <c r="L1663" s="30"/>
      <c r="M1663" s="30"/>
      <c r="N1663" s="30"/>
      <c r="O1663" s="30"/>
      <c r="P1663" s="30"/>
      <c r="Q1663" s="30"/>
      <c r="R1663" s="30"/>
      <c r="S1663" s="30"/>
      <c r="T1663" s="30"/>
      <c r="U1663" s="21" t="str">
        <f aca="false">IF(COUNT(K1663:T1663)=0,"SOURCE EMPTY / INDUSTRIAL ONLY",IF(MIN(K1663:T1663)=1,"SERVICE READY","HOLD"))</f>
        <v>SOURCE EMPTY / INDUSTRIAL ONLY</v>
      </c>
      <c r="V1663" s="9" t="n">
        <f aca="false">IF(U1663="SERVICE READY",1,0)</f>
        <v>0</v>
      </c>
      <c r="W1663" s="6"/>
      <c r="X1663" s="6"/>
      <c r="Y1663" s="6"/>
      <c r="Z1663" s="6"/>
    </row>
    <row r="1664" customFormat="false" ht="15" hidden="false" customHeight="false" outlineLevel="0" collapsed="false">
      <c r="A1664" s="9" t="s">
        <v>1908</v>
      </c>
      <c r="B1664" s="9" t="s">
        <v>1898</v>
      </c>
      <c r="C1664" s="9" t="s">
        <v>1899</v>
      </c>
      <c r="D1664" s="9" t="s">
        <v>1735</v>
      </c>
      <c r="E1664" s="9" t="s">
        <v>275</v>
      </c>
      <c r="F1664" s="9" t="s">
        <v>203</v>
      </c>
      <c r="G1664" s="9" t="s">
        <v>201</v>
      </c>
      <c r="H1664" s="9" t="n">
        <v>750</v>
      </c>
      <c r="I1664" s="29" t="n">
        <v>1.5</v>
      </c>
      <c r="J1664" s="9" t="n">
        <v>1</v>
      </c>
      <c r="K1664" s="30"/>
      <c r="L1664" s="30"/>
      <c r="M1664" s="30"/>
      <c r="N1664" s="30"/>
      <c r="O1664" s="30"/>
      <c r="P1664" s="30"/>
      <c r="Q1664" s="30"/>
      <c r="R1664" s="30"/>
      <c r="S1664" s="30"/>
      <c r="T1664" s="30"/>
      <c r="U1664" s="21" t="str">
        <f aca="false">IF(COUNT(K1664:T1664)=0,"SOURCE EMPTY / INDUSTRIAL ONLY",IF(MIN(K1664:T1664)=1,"SERVICE READY","HOLD"))</f>
        <v>SOURCE EMPTY / INDUSTRIAL ONLY</v>
      </c>
      <c r="V1664" s="9" t="n">
        <f aca="false">IF(U1664="SERVICE READY",1,0)</f>
        <v>0</v>
      </c>
      <c r="W1664" s="6"/>
      <c r="X1664" s="6"/>
      <c r="Y1664" s="6"/>
      <c r="Z1664" s="6"/>
    </row>
    <row r="1665" customFormat="false" ht="15" hidden="false" customHeight="false" outlineLevel="0" collapsed="false">
      <c r="A1665" s="9" t="s">
        <v>1909</v>
      </c>
      <c r="B1665" s="9" t="s">
        <v>1898</v>
      </c>
      <c r="C1665" s="9" t="s">
        <v>1899</v>
      </c>
      <c r="D1665" s="9" t="s">
        <v>1735</v>
      </c>
      <c r="E1665" s="9" t="s">
        <v>275</v>
      </c>
      <c r="F1665" s="9" t="s">
        <v>205</v>
      </c>
      <c r="G1665" s="9" t="s">
        <v>198</v>
      </c>
      <c r="H1665" s="9" t="n">
        <v>750</v>
      </c>
      <c r="I1665" s="29" t="n">
        <v>1.5</v>
      </c>
      <c r="J1665" s="9" t="n">
        <v>1</v>
      </c>
      <c r="K1665" s="30"/>
      <c r="L1665" s="30"/>
      <c r="M1665" s="30"/>
      <c r="N1665" s="30"/>
      <c r="O1665" s="30"/>
      <c r="P1665" s="30"/>
      <c r="Q1665" s="30"/>
      <c r="R1665" s="30"/>
      <c r="S1665" s="30"/>
      <c r="T1665" s="30"/>
      <c r="U1665" s="21" t="str">
        <f aca="false">IF(COUNT(K1665:T1665)=0,"SOURCE EMPTY / INDUSTRIAL ONLY",IF(MIN(K1665:T1665)=1,"SERVICE READY","HOLD"))</f>
        <v>SOURCE EMPTY / INDUSTRIAL ONLY</v>
      </c>
      <c r="V1665" s="9" t="n">
        <f aca="false">IF(U1665="SERVICE READY",1,0)</f>
        <v>0</v>
      </c>
      <c r="W1665" s="6"/>
      <c r="X1665" s="6"/>
      <c r="Y1665" s="6"/>
      <c r="Z1665" s="6"/>
    </row>
    <row r="1666" customFormat="false" ht="15" hidden="false" customHeight="false" outlineLevel="0" collapsed="false">
      <c r="A1666" s="9" t="s">
        <v>1910</v>
      </c>
      <c r="B1666" s="9" t="s">
        <v>1898</v>
      </c>
      <c r="C1666" s="9" t="s">
        <v>1899</v>
      </c>
      <c r="D1666" s="9" t="s">
        <v>1735</v>
      </c>
      <c r="E1666" s="9" t="s">
        <v>275</v>
      </c>
      <c r="F1666" s="9" t="s">
        <v>207</v>
      </c>
      <c r="G1666" s="9" t="s">
        <v>201</v>
      </c>
      <c r="H1666" s="9" t="n">
        <v>750</v>
      </c>
      <c r="I1666" s="29" t="n">
        <v>1.5</v>
      </c>
      <c r="J1666" s="9" t="n">
        <v>1</v>
      </c>
      <c r="K1666" s="30"/>
      <c r="L1666" s="30"/>
      <c r="M1666" s="30"/>
      <c r="N1666" s="30"/>
      <c r="O1666" s="30"/>
      <c r="P1666" s="30"/>
      <c r="Q1666" s="30"/>
      <c r="R1666" s="30"/>
      <c r="S1666" s="30"/>
      <c r="T1666" s="30"/>
      <c r="U1666" s="21" t="str">
        <f aca="false">IF(COUNT(K1666:T1666)=0,"SOURCE EMPTY / INDUSTRIAL ONLY",IF(MIN(K1666:T1666)=1,"SERVICE READY","HOLD"))</f>
        <v>SOURCE EMPTY / INDUSTRIAL ONLY</v>
      </c>
      <c r="V1666" s="9" t="n">
        <f aca="false">IF(U1666="SERVICE READY",1,0)</f>
        <v>0</v>
      </c>
      <c r="W1666" s="6"/>
      <c r="X1666" s="6"/>
      <c r="Y1666" s="6"/>
      <c r="Z1666" s="6"/>
    </row>
    <row r="1667" customFormat="false" ht="15" hidden="false" customHeight="false" outlineLevel="0" collapsed="false">
      <c r="A1667" s="9" t="s">
        <v>1911</v>
      </c>
      <c r="B1667" s="9" t="s">
        <v>1898</v>
      </c>
      <c r="C1667" s="9" t="s">
        <v>1899</v>
      </c>
      <c r="D1667" s="9" t="s">
        <v>1735</v>
      </c>
      <c r="E1667" s="9" t="s">
        <v>275</v>
      </c>
      <c r="F1667" s="9" t="s">
        <v>209</v>
      </c>
      <c r="G1667" s="9" t="s">
        <v>198</v>
      </c>
      <c r="H1667" s="9" t="n">
        <v>750</v>
      </c>
      <c r="I1667" s="29" t="n">
        <v>1.5</v>
      </c>
      <c r="J1667" s="9" t="n">
        <v>1</v>
      </c>
      <c r="K1667" s="30"/>
      <c r="L1667" s="30"/>
      <c r="M1667" s="30"/>
      <c r="N1667" s="30"/>
      <c r="O1667" s="30"/>
      <c r="P1667" s="30"/>
      <c r="Q1667" s="30"/>
      <c r="R1667" s="30"/>
      <c r="S1667" s="30"/>
      <c r="T1667" s="30"/>
      <c r="U1667" s="21" t="str">
        <f aca="false">IF(COUNT(K1667:T1667)=0,"SOURCE EMPTY / INDUSTRIAL ONLY",IF(MIN(K1667:T1667)=1,"SERVICE READY","HOLD"))</f>
        <v>SOURCE EMPTY / INDUSTRIAL ONLY</v>
      </c>
      <c r="V1667" s="9" t="n">
        <f aca="false">IF(U1667="SERVICE READY",1,0)</f>
        <v>0</v>
      </c>
      <c r="W1667" s="6"/>
      <c r="X1667" s="6"/>
      <c r="Y1667" s="6"/>
      <c r="Z1667" s="6"/>
    </row>
    <row r="1668" customFormat="false" ht="15" hidden="false" customHeight="false" outlineLevel="0" collapsed="false">
      <c r="A1668" s="9" t="s">
        <v>1912</v>
      </c>
      <c r="B1668" s="9" t="s">
        <v>1898</v>
      </c>
      <c r="C1668" s="9" t="s">
        <v>1899</v>
      </c>
      <c r="D1668" s="9" t="s">
        <v>1735</v>
      </c>
      <c r="E1668" s="9" t="s">
        <v>275</v>
      </c>
      <c r="F1668" s="9" t="s">
        <v>211</v>
      </c>
      <c r="G1668" s="9" t="s">
        <v>201</v>
      </c>
      <c r="H1668" s="9" t="n">
        <v>750</v>
      </c>
      <c r="I1668" s="29" t="n">
        <v>1.5</v>
      </c>
      <c r="J1668" s="9" t="n">
        <v>1</v>
      </c>
      <c r="K1668" s="30"/>
      <c r="L1668" s="30"/>
      <c r="M1668" s="30"/>
      <c r="N1668" s="30"/>
      <c r="O1668" s="30"/>
      <c r="P1668" s="30"/>
      <c r="Q1668" s="30"/>
      <c r="R1668" s="30"/>
      <c r="S1668" s="30"/>
      <c r="T1668" s="30"/>
      <c r="U1668" s="21" t="str">
        <f aca="false">IF(COUNT(K1668:T1668)=0,"SOURCE EMPTY / INDUSTRIAL ONLY",IF(MIN(K1668:T1668)=1,"SERVICE READY","HOLD"))</f>
        <v>SOURCE EMPTY / INDUSTRIAL ONLY</v>
      </c>
      <c r="V1668" s="9" t="n">
        <f aca="false">IF(U1668="SERVICE READY",1,0)</f>
        <v>0</v>
      </c>
      <c r="W1668" s="6"/>
      <c r="X1668" s="6"/>
      <c r="Y1668" s="6"/>
      <c r="Z1668" s="6"/>
    </row>
    <row r="1669" customFormat="false" ht="15" hidden="false" customHeight="false" outlineLevel="0" collapsed="false">
      <c r="A1669" s="9" t="s">
        <v>1913</v>
      </c>
      <c r="B1669" s="9" t="s">
        <v>1898</v>
      </c>
      <c r="C1669" s="9" t="s">
        <v>1899</v>
      </c>
      <c r="D1669" s="9" t="s">
        <v>1735</v>
      </c>
      <c r="E1669" s="9" t="s">
        <v>275</v>
      </c>
      <c r="F1669" s="9" t="s">
        <v>197</v>
      </c>
      <c r="G1669" s="9" t="s">
        <v>221</v>
      </c>
      <c r="H1669" s="9" t="n">
        <v>750</v>
      </c>
      <c r="I1669" s="29" t="n">
        <v>1.5</v>
      </c>
      <c r="J1669" s="9" t="n">
        <v>1</v>
      </c>
      <c r="K1669" s="30"/>
      <c r="L1669" s="30"/>
      <c r="M1669" s="30"/>
      <c r="N1669" s="30"/>
      <c r="O1669" s="30"/>
      <c r="P1669" s="30"/>
      <c r="Q1669" s="30"/>
      <c r="R1669" s="30"/>
      <c r="S1669" s="30"/>
      <c r="T1669" s="30"/>
      <c r="U1669" s="21" t="str">
        <f aca="false">IF(COUNT(K1669:T1669)=0,"SOURCE EMPTY / INDUSTRIAL ONLY",IF(MIN(K1669:T1669)=1,"SERVICE READY","HOLD"))</f>
        <v>SOURCE EMPTY / INDUSTRIAL ONLY</v>
      </c>
      <c r="V1669" s="9" t="n">
        <f aca="false">IF(U1669="SERVICE READY",1,0)</f>
        <v>0</v>
      </c>
      <c r="W1669" s="6"/>
      <c r="X1669" s="6"/>
      <c r="Y1669" s="6"/>
      <c r="Z1669" s="6"/>
    </row>
    <row r="1670" customFormat="false" ht="15" hidden="false" customHeight="false" outlineLevel="0" collapsed="false">
      <c r="A1670" s="9" t="s">
        <v>1914</v>
      </c>
      <c r="B1670" s="9" t="s">
        <v>1898</v>
      </c>
      <c r="C1670" s="9" t="s">
        <v>1899</v>
      </c>
      <c r="D1670" s="9" t="s">
        <v>1735</v>
      </c>
      <c r="E1670" s="9" t="s">
        <v>275</v>
      </c>
      <c r="F1670" s="9" t="s">
        <v>200</v>
      </c>
      <c r="G1670" s="9" t="s">
        <v>221</v>
      </c>
      <c r="H1670" s="9" t="n">
        <v>750</v>
      </c>
      <c r="I1670" s="29" t="n">
        <v>1.5</v>
      </c>
      <c r="J1670" s="9" t="n">
        <v>1</v>
      </c>
      <c r="K1670" s="30"/>
      <c r="L1670" s="30"/>
      <c r="M1670" s="30"/>
      <c r="N1670" s="30"/>
      <c r="O1670" s="30"/>
      <c r="P1670" s="30"/>
      <c r="Q1670" s="30"/>
      <c r="R1670" s="30"/>
      <c r="S1670" s="30"/>
      <c r="T1670" s="30"/>
      <c r="U1670" s="21" t="str">
        <f aca="false">IF(COUNT(K1670:T1670)=0,"SOURCE EMPTY / INDUSTRIAL ONLY",IF(MIN(K1670:T1670)=1,"SERVICE READY","HOLD"))</f>
        <v>SOURCE EMPTY / INDUSTRIAL ONLY</v>
      </c>
      <c r="V1670" s="9" t="n">
        <f aca="false">IF(U1670="SERVICE READY",1,0)</f>
        <v>0</v>
      </c>
      <c r="W1670" s="6"/>
      <c r="X1670" s="6"/>
      <c r="Y1670" s="6"/>
      <c r="Z1670" s="6"/>
    </row>
    <row r="1671" customFormat="false" ht="15" hidden="false" customHeight="false" outlineLevel="0" collapsed="false">
      <c r="A1671" s="9" t="s">
        <v>1915</v>
      </c>
      <c r="B1671" s="9" t="s">
        <v>1898</v>
      </c>
      <c r="C1671" s="9" t="s">
        <v>1899</v>
      </c>
      <c r="D1671" s="9" t="s">
        <v>1735</v>
      </c>
      <c r="E1671" s="9" t="s">
        <v>275</v>
      </c>
      <c r="F1671" s="9" t="s">
        <v>203</v>
      </c>
      <c r="G1671" s="9" t="s">
        <v>221</v>
      </c>
      <c r="H1671" s="9" t="n">
        <v>750</v>
      </c>
      <c r="I1671" s="29" t="n">
        <v>1.5</v>
      </c>
      <c r="J1671" s="9" t="n">
        <v>1</v>
      </c>
      <c r="K1671" s="30"/>
      <c r="L1671" s="30"/>
      <c r="M1671" s="30"/>
      <c r="N1671" s="30"/>
      <c r="O1671" s="30"/>
      <c r="P1671" s="30"/>
      <c r="Q1671" s="30"/>
      <c r="R1671" s="30"/>
      <c r="S1671" s="30"/>
      <c r="T1671" s="30"/>
      <c r="U1671" s="21" t="str">
        <f aca="false">IF(COUNT(K1671:T1671)=0,"SOURCE EMPTY / INDUSTRIAL ONLY",IF(MIN(K1671:T1671)=1,"SERVICE READY","HOLD"))</f>
        <v>SOURCE EMPTY / INDUSTRIAL ONLY</v>
      </c>
      <c r="V1671" s="9" t="n">
        <f aca="false">IF(U1671="SERVICE READY",1,0)</f>
        <v>0</v>
      </c>
      <c r="W1671" s="6"/>
      <c r="X1671" s="6"/>
      <c r="Y1671" s="6"/>
      <c r="Z1671" s="6"/>
    </row>
    <row r="1672" customFormat="false" ht="15" hidden="false" customHeight="false" outlineLevel="0" collapsed="false">
      <c r="A1672" s="9" t="s">
        <v>1916</v>
      </c>
      <c r="B1672" s="9" t="s">
        <v>1898</v>
      </c>
      <c r="C1672" s="9" t="s">
        <v>1899</v>
      </c>
      <c r="D1672" s="9" t="s">
        <v>1735</v>
      </c>
      <c r="E1672" s="9" t="s">
        <v>275</v>
      </c>
      <c r="F1672" s="9" t="s">
        <v>205</v>
      </c>
      <c r="G1672" s="9" t="s">
        <v>221</v>
      </c>
      <c r="H1672" s="9" t="n">
        <v>750</v>
      </c>
      <c r="I1672" s="29" t="n">
        <v>1.5</v>
      </c>
      <c r="J1672" s="9" t="n">
        <v>1</v>
      </c>
      <c r="K1672" s="30"/>
      <c r="L1672" s="30"/>
      <c r="M1672" s="30"/>
      <c r="N1672" s="30"/>
      <c r="O1672" s="30"/>
      <c r="P1672" s="30"/>
      <c r="Q1672" s="30"/>
      <c r="R1672" s="30"/>
      <c r="S1672" s="30"/>
      <c r="T1672" s="30"/>
      <c r="U1672" s="21" t="str">
        <f aca="false">IF(COUNT(K1672:T1672)=0,"SOURCE EMPTY / INDUSTRIAL ONLY",IF(MIN(K1672:T1672)=1,"SERVICE READY","HOLD"))</f>
        <v>SOURCE EMPTY / INDUSTRIAL ONLY</v>
      </c>
      <c r="V1672" s="9" t="n">
        <f aca="false">IF(U1672="SERVICE READY",1,0)</f>
        <v>0</v>
      </c>
      <c r="W1672" s="6"/>
      <c r="X1672" s="6"/>
      <c r="Y1672" s="6"/>
      <c r="Z1672" s="6"/>
    </row>
    <row r="1673" customFormat="false" ht="15" hidden="false" customHeight="false" outlineLevel="0" collapsed="false">
      <c r="A1673" s="9" t="s">
        <v>1917</v>
      </c>
      <c r="B1673" s="9" t="s">
        <v>1898</v>
      </c>
      <c r="C1673" s="9" t="s">
        <v>1899</v>
      </c>
      <c r="D1673" s="9" t="s">
        <v>1735</v>
      </c>
      <c r="E1673" s="9" t="s">
        <v>275</v>
      </c>
      <c r="F1673" s="9" t="s">
        <v>207</v>
      </c>
      <c r="G1673" s="9" t="s">
        <v>221</v>
      </c>
      <c r="H1673" s="9" t="n">
        <v>750</v>
      </c>
      <c r="I1673" s="29" t="n">
        <v>1.5</v>
      </c>
      <c r="J1673" s="9" t="n">
        <v>1</v>
      </c>
      <c r="K1673" s="30"/>
      <c r="L1673" s="30"/>
      <c r="M1673" s="30"/>
      <c r="N1673" s="30"/>
      <c r="O1673" s="30"/>
      <c r="P1673" s="30"/>
      <c r="Q1673" s="30"/>
      <c r="R1673" s="30"/>
      <c r="S1673" s="30"/>
      <c r="T1673" s="30"/>
      <c r="U1673" s="21" t="str">
        <f aca="false">IF(COUNT(K1673:T1673)=0,"SOURCE EMPTY / INDUSTRIAL ONLY",IF(MIN(K1673:T1673)=1,"SERVICE READY","HOLD"))</f>
        <v>SOURCE EMPTY / INDUSTRIAL ONLY</v>
      </c>
      <c r="V1673" s="9" t="n">
        <f aca="false">IF(U1673="SERVICE READY",1,0)</f>
        <v>0</v>
      </c>
      <c r="W1673" s="6"/>
      <c r="X1673" s="6"/>
      <c r="Y1673" s="6"/>
      <c r="Z1673" s="6"/>
    </row>
    <row r="1674" customFormat="false" ht="15" hidden="false" customHeight="false" outlineLevel="0" collapsed="false">
      <c r="A1674" s="9" t="s">
        <v>1918</v>
      </c>
      <c r="B1674" s="9" t="s">
        <v>1898</v>
      </c>
      <c r="C1674" s="9" t="s">
        <v>1899</v>
      </c>
      <c r="D1674" s="9" t="s">
        <v>1735</v>
      </c>
      <c r="E1674" s="9" t="s">
        <v>275</v>
      </c>
      <c r="F1674" s="9" t="s">
        <v>209</v>
      </c>
      <c r="G1674" s="9" t="s">
        <v>221</v>
      </c>
      <c r="H1674" s="9" t="n">
        <v>750</v>
      </c>
      <c r="I1674" s="29" t="n">
        <v>1.5</v>
      </c>
      <c r="J1674" s="9" t="n">
        <v>1</v>
      </c>
      <c r="K1674" s="30"/>
      <c r="L1674" s="30"/>
      <c r="M1674" s="30"/>
      <c r="N1674" s="30"/>
      <c r="O1674" s="30"/>
      <c r="P1674" s="30"/>
      <c r="Q1674" s="30"/>
      <c r="R1674" s="30"/>
      <c r="S1674" s="30"/>
      <c r="T1674" s="30"/>
      <c r="U1674" s="21" t="str">
        <f aca="false">IF(COUNT(K1674:T1674)=0,"SOURCE EMPTY / INDUSTRIAL ONLY",IF(MIN(K1674:T1674)=1,"SERVICE READY","HOLD"))</f>
        <v>SOURCE EMPTY / INDUSTRIAL ONLY</v>
      </c>
      <c r="V1674" s="9" t="n">
        <f aca="false">IF(U1674="SERVICE READY",1,0)</f>
        <v>0</v>
      </c>
      <c r="W1674" s="6"/>
      <c r="X1674" s="6"/>
      <c r="Y1674" s="6"/>
      <c r="Z1674" s="6"/>
    </row>
    <row r="1675" customFormat="false" ht="15" hidden="false" customHeight="false" outlineLevel="0" collapsed="false">
      <c r="A1675" s="9" t="s">
        <v>1919</v>
      </c>
      <c r="B1675" s="9" t="s">
        <v>1898</v>
      </c>
      <c r="C1675" s="9" t="s">
        <v>1899</v>
      </c>
      <c r="D1675" s="9" t="s">
        <v>1735</v>
      </c>
      <c r="E1675" s="9" t="s">
        <v>275</v>
      </c>
      <c r="F1675" s="9" t="s">
        <v>211</v>
      </c>
      <c r="G1675" s="9" t="s">
        <v>221</v>
      </c>
      <c r="H1675" s="9" t="n">
        <v>750</v>
      </c>
      <c r="I1675" s="29" t="n">
        <v>1.5</v>
      </c>
      <c r="J1675" s="9" t="n">
        <v>1</v>
      </c>
      <c r="K1675" s="30"/>
      <c r="L1675" s="30"/>
      <c r="M1675" s="30"/>
      <c r="N1675" s="30"/>
      <c r="O1675" s="30"/>
      <c r="P1675" s="30"/>
      <c r="Q1675" s="30"/>
      <c r="R1675" s="30"/>
      <c r="S1675" s="30"/>
      <c r="T1675" s="30"/>
      <c r="U1675" s="21" t="str">
        <f aca="false">IF(COUNT(K1675:T1675)=0,"SOURCE EMPTY / INDUSTRIAL ONLY",IF(MIN(K1675:T1675)=1,"SERVICE READY","HOLD"))</f>
        <v>SOURCE EMPTY / INDUSTRIAL ONLY</v>
      </c>
      <c r="V1675" s="9" t="n">
        <f aca="false">IF(U1675="SERVICE READY",1,0)</f>
        <v>0</v>
      </c>
      <c r="W1675" s="6"/>
      <c r="X1675" s="6"/>
      <c r="Y1675" s="6"/>
      <c r="Z1675" s="6"/>
    </row>
    <row r="1676" customFormat="false" ht="15" hidden="false" customHeight="false" outlineLevel="0" collapsed="false">
      <c r="A1676" s="9" t="s">
        <v>1920</v>
      </c>
      <c r="B1676" s="9" t="s">
        <v>1898</v>
      </c>
      <c r="C1676" s="9" t="s">
        <v>1899</v>
      </c>
      <c r="D1676" s="9" t="s">
        <v>1735</v>
      </c>
      <c r="E1676" s="9" t="s">
        <v>275</v>
      </c>
      <c r="F1676" s="9" t="s">
        <v>197</v>
      </c>
      <c r="G1676" s="9" t="s">
        <v>221</v>
      </c>
      <c r="H1676" s="9" t="n">
        <v>750</v>
      </c>
      <c r="I1676" s="29" t="n">
        <v>1.5</v>
      </c>
      <c r="J1676" s="9" t="n">
        <v>1</v>
      </c>
      <c r="K1676" s="30"/>
      <c r="L1676" s="30"/>
      <c r="M1676" s="30"/>
      <c r="N1676" s="30"/>
      <c r="O1676" s="30"/>
      <c r="P1676" s="30"/>
      <c r="Q1676" s="30"/>
      <c r="R1676" s="30"/>
      <c r="S1676" s="30"/>
      <c r="T1676" s="30"/>
      <c r="U1676" s="21" t="str">
        <f aca="false">IF(COUNT(K1676:T1676)=0,"SOURCE EMPTY / INDUSTRIAL ONLY",IF(MIN(K1676:T1676)=1,"SERVICE READY","HOLD"))</f>
        <v>SOURCE EMPTY / INDUSTRIAL ONLY</v>
      </c>
      <c r="V1676" s="9" t="n">
        <f aca="false">IF(U1676="SERVICE READY",1,0)</f>
        <v>0</v>
      </c>
      <c r="W1676" s="6"/>
      <c r="X1676" s="6"/>
      <c r="Y1676" s="6"/>
      <c r="Z1676" s="6"/>
    </row>
    <row r="1677" customFormat="false" ht="15" hidden="false" customHeight="false" outlineLevel="0" collapsed="false">
      <c r="A1677" s="9" t="s">
        <v>1921</v>
      </c>
      <c r="B1677" s="9" t="s">
        <v>1898</v>
      </c>
      <c r="C1677" s="9" t="s">
        <v>1899</v>
      </c>
      <c r="D1677" s="9" t="s">
        <v>1735</v>
      </c>
      <c r="E1677" s="9" t="s">
        <v>275</v>
      </c>
      <c r="F1677" s="9" t="s">
        <v>200</v>
      </c>
      <c r="G1677" s="9" t="s">
        <v>221</v>
      </c>
      <c r="H1677" s="9" t="n">
        <v>750</v>
      </c>
      <c r="I1677" s="29" t="n">
        <v>1.5</v>
      </c>
      <c r="J1677" s="9" t="n">
        <v>1</v>
      </c>
      <c r="K1677" s="30"/>
      <c r="L1677" s="30"/>
      <c r="M1677" s="30"/>
      <c r="N1677" s="30"/>
      <c r="O1677" s="30"/>
      <c r="P1677" s="30"/>
      <c r="Q1677" s="30"/>
      <c r="R1677" s="30"/>
      <c r="S1677" s="30"/>
      <c r="T1677" s="30"/>
      <c r="U1677" s="21" t="str">
        <f aca="false">IF(COUNT(K1677:T1677)=0,"SOURCE EMPTY / INDUSTRIAL ONLY",IF(MIN(K1677:T1677)=1,"SERVICE READY","HOLD"))</f>
        <v>SOURCE EMPTY / INDUSTRIAL ONLY</v>
      </c>
      <c r="V1677" s="9" t="n">
        <f aca="false">IF(U1677="SERVICE READY",1,0)</f>
        <v>0</v>
      </c>
      <c r="W1677" s="6"/>
      <c r="X1677" s="6"/>
      <c r="Y1677" s="6"/>
      <c r="Z1677" s="6"/>
    </row>
    <row r="1678" customFormat="false" ht="15" hidden="false" customHeight="false" outlineLevel="0" collapsed="false">
      <c r="A1678" s="9" t="s">
        <v>1922</v>
      </c>
      <c r="B1678" s="9" t="s">
        <v>1898</v>
      </c>
      <c r="C1678" s="9" t="s">
        <v>1899</v>
      </c>
      <c r="D1678" s="9" t="s">
        <v>1735</v>
      </c>
      <c r="E1678" s="9" t="s">
        <v>275</v>
      </c>
      <c r="F1678" s="9" t="s">
        <v>203</v>
      </c>
      <c r="G1678" s="9" t="s">
        <v>221</v>
      </c>
      <c r="H1678" s="9" t="n">
        <v>750</v>
      </c>
      <c r="I1678" s="29" t="n">
        <v>1.5</v>
      </c>
      <c r="J1678" s="9" t="n">
        <v>1</v>
      </c>
      <c r="K1678" s="30"/>
      <c r="L1678" s="30"/>
      <c r="M1678" s="30"/>
      <c r="N1678" s="30"/>
      <c r="O1678" s="30"/>
      <c r="P1678" s="30"/>
      <c r="Q1678" s="30"/>
      <c r="R1678" s="30"/>
      <c r="S1678" s="30"/>
      <c r="T1678" s="30"/>
      <c r="U1678" s="21" t="str">
        <f aca="false">IF(COUNT(K1678:T1678)=0,"SOURCE EMPTY / INDUSTRIAL ONLY",IF(MIN(K1678:T1678)=1,"SERVICE READY","HOLD"))</f>
        <v>SOURCE EMPTY / INDUSTRIAL ONLY</v>
      </c>
      <c r="V1678" s="9" t="n">
        <f aca="false">IF(U1678="SERVICE READY",1,0)</f>
        <v>0</v>
      </c>
      <c r="W1678" s="6"/>
      <c r="X1678" s="6"/>
      <c r="Y1678" s="6"/>
      <c r="Z1678" s="6"/>
    </row>
    <row r="1679" customFormat="false" ht="15" hidden="false" customHeight="false" outlineLevel="0" collapsed="false">
      <c r="A1679" s="9" t="s">
        <v>1923</v>
      </c>
      <c r="B1679" s="9" t="s">
        <v>1898</v>
      </c>
      <c r="C1679" s="9" t="s">
        <v>1899</v>
      </c>
      <c r="D1679" s="9" t="s">
        <v>1735</v>
      </c>
      <c r="E1679" s="9" t="s">
        <v>275</v>
      </c>
      <c r="F1679" s="9" t="s">
        <v>205</v>
      </c>
      <c r="G1679" s="9" t="s">
        <v>221</v>
      </c>
      <c r="H1679" s="9" t="n">
        <v>750</v>
      </c>
      <c r="I1679" s="29" t="n">
        <v>1.5</v>
      </c>
      <c r="J1679" s="9" t="n">
        <v>1</v>
      </c>
      <c r="K1679" s="30"/>
      <c r="L1679" s="30"/>
      <c r="M1679" s="30"/>
      <c r="N1679" s="30"/>
      <c r="O1679" s="30"/>
      <c r="P1679" s="30"/>
      <c r="Q1679" s="30"/>
      <c r="R1679" s="30"/>
      <c r="S1679" s="30"/>
      <c r="T1679" s="30"/>
      <c r="U1679" s="21" t="str">
        <f aca="false">IF(COUNT(K1679:T1679)=0,"SOURCE EMPTY / INDUSTRIAL ONLY",IF(MIN(K1679:T1679)=1,"SERVICE READY","HOLD"))</f>
        <v>SOURCE EMPTY / INDUSTRIAL ONLY</v>
      </c>
      <c r="V1679" s="9" t="n">
        <f aca="false">IF(U1679="SERVICE READY",1,0)</f>
        <v>0</v>
      </c>
      <c r="W1679" s="6"/>
      <c r="X1679" s="6"/>
      <c r="Y1679" s="6"/>
      <c r="Z1679" s="6"/>
    </row>
    <row r="1680" customFormat="false" ht="15" hidden="false" customHeight="false" outlineLevel="0" collapsed="false">
      <c r="A1680" s="9" t="s">
        <v>1924</v>
      </c>
      <c r="B1680" s="9" t="s">
        <v>1898</v>
      </c>
      <c r="C1680" s="9" t="s">
        <v>1899</v>
      </c>
      <c r="D1680" s="9" t="s">
        <v>1735</v>
      </c>
      <c r="E1680" s="9" t="s">
        <v>275</v>
      </c>
      <c r="F1680" s="9" t="s">
        <v>207</v>
      </c>
      <c r="G1680" s="9" t="s">
        <v>221</v>
      </c>
      <c r="H1680" s="9" t="n">
        <v>750</v>
      </c>
      <c r="I1680" s="29" t="n">
        <v>1.5</v>
      </c>
      <c r="J1680" s="9" t="n">
        <v>1</v>
      </c>
      <c r="K1680" s="30"/>
      <c r="L1680" s="30"/>
      <c r="M1680" s="30"/>
      <c r="N1680" s="30"/>
      <c r="O1680" s="30"/>
      <c r="P1680" s="30"/>
      <c r="Q1680" s="30"/>
      <c r="R1680" s="30"/>
      <c r="S1680" s="30"/>
      <c r="T1680" s="30"/>
      <c r="U1680" s="21" t="str">
        <f aca="false">IF(COUNT(K1680:T1680)=0,"SOURCE EMPTY / INDUSTRIAL ONLY",IF(MIN(K1680:T1680)=1,"SERVICE READY","HOLD"))</f>
        <v>SOURCE EMPTY / INDUSTRIAL ONLY</v>
      </c>
      <c r="V1680" s="9" t="n">
        <f aca="false">IF(U1680="SERVICE READY",1,0)</f>
        <v>0</v>
      </c>
      <c r="W1680" s="6"/>
      <c r="X1680" s="6"/>
      <c r="Y1680" s="6"/>
      <c r="Z1680" s="6"/>
    </row>
    <row r="1681" customFormat="false" ht="15" hidden="false" customHeight="false" outlineLevel="0" collapsed="false">
      <c r="A1681" s="9" t="s">
        <v>1925</v>
      </c>
      <c r="B1681" s="9" t="s">
        <v>1898</v>
      </c>
      <c r="C1681" s="9" t="s">
        <v>1899</v>
      </c>
      <c r="D1681" s="9" t="s">
        <v>1735</v>
      </c>
      <c r="E1681" s="9" t="s">
        <v>275</v>
      </c>
      <c r="F1681" s="9" t="s">
        <v>209</v>
      </c>
      <c r="G1681" s="9" t="s">
        <v>221</v>
      </c>
      <c r="H1681" s="9" t="n">
        <v>750</v>
      </c>
      <c r="I1681" s="29" t="n">
        <v>1.5</v>
      </c>
      <c r="J1681" s="9" t="n">
        <v>1</v>
      </c>
      <c r="K1681" s="30"/>
      <c r="L1681" s="30"/>
      <c r="M1681" s="30"/>
      <c r="N1681" s="30"/>
      <c r="O1681" s="30"/>
      <c r="P1681" s="30"/>
      <c r="Q1681" s="30"/>
      <c r="R1681" s="30"/>
      <c r="S1681" s="30"/>
      <c r="T1681" s="30"/>
      <c r="U1681" s="21" t="str">
        <f aca="false">IF(COUNT(K1681:T1681)=0,"SOURCE EMPTY / INDUSTRIAL ONLY",IF(MIN(K1681:T1681)=1,"SERVICE READY","HOLD"))</f>
        <v>SOURCE EMPTY / INDUSTRIAL ONLY</v>
      </c>
      <c r="V1681" s="9" t="n">
        <f aca="false">IF(U1681="SERVICE READY",1,0)</f>
        <v>0</v>
      </c>
      <c r="W1681" s="6"/>
      <c r="X1681" s="6"/>
      <c r="Y1681" s="6"/>
      <c r="Z1681" s="6"/>
    </row>
    <row r="1682" customFormat="false" ht="15" hidden="false" customHeight="false" outlineLevel="0" collapsed="false">
      <c r="A1682" s="9" t="s">
        <v>1926</v>
      </c>
      <c r="B1682" s="9" t="s">
        <v>1898</v>
      </c>
      <c r="C1682" s="9" t="s">
        <v>1899</v>
      </c>
      <c r="D1682" s="9" t="s">
        <v>1735</v>
      </c>
      <c r="E1682" s="9" t="s">
        <v>275</v>
      </c>
      <c r="F1682" s="9" t="s">
        <v>211</v>
      </c>
      <c r="G1682" s="9" t="s">
        <v>221</v>
      </c>
      <c r="H1682" s="9" t="n">
        <v>750</v>
      </c>
      <c r="I1682" s="29" t="n">
        <v>1.5</v>
      </c>
      <c r="J1682" s="9" t="n">
        <v>1</v>
      </c>
      <c r="K1682" s="30"/>
      <c r="L1682" s="30"/>
      <c r="M1682" s="30"/>
      <c r="N1682" s="30"/>
      <c r="O1682" s="30"/>
      <c r="P1682" s="30"/>
      <c r="Q1682" s="30"/>
      <c r="R1682" s="30"/>
      <c r="S1682" s="30"/>
      <c r="T1682" s="30"/>
      <c r="U1682" s="21" t="str">
        <f aca="false">IF(COUNT(K1682:T1682)=0,"SOURCE EMPTY / INDUSTRIAL ONLY",IF(MIN(K1682:T1682)=1,"SERVICE READY","HOLD"))</f>
        <v>SOURCE EMPTY / INDUSTRIAL ONLY</v>
      </c>
      <c r="V1682" s="9" t="n">
        <f aca="false">IF(U1682="SERVICE READY",1,0)</f>
        <v>0</v>
      </c>
      <c r="W1682" s="6"/>
      <c r="X1682" s="6"/>
      <c r="Y1682" s="6"/>
      <c r="Z1682" s="6"/>
    </row>
    <row r="1683" customFormat="false" ht="15" hidden="false" customHeight="false" outlineLevel="0" collapsed="false">
      <c r="A1683" s="9" t="s">
        <v>1927</v>
      </c>
      <c r="B1683" s="9" t="s">
        <v>1898</v>
      </c>
      <c r="C1683" s="9" t="s">
        <v>1899</v>
      </c>
      <c r="D1683" s="9" t="s">
        <v>1735</v>
      </c>
      <c r="E1683" s="9" t="s">
        <v>275</v>
      </c>
      <c r="F1683" s="9" t="s">
        <v>197</v>
      </c>
      <c r="G1683" s="9" t="s">
        <v>221</v>
      </c>
      <c r="H1683" s="9" t="n">
        <v>750</v>
      </c>
      <c r="I1683" s="29" t="n">
        <v>1.5</v>
      </c>
      <c r="J1683" s="9" t="n">
        <v>1</v>
      </c>
      <c r="K1683" s="30"/>
      <c r="L1683" s="30"/>
      <c r="M1683" s="30"/>
      <c r="N1683" s="30"/>
      <c r="O1683" s="30"/>
      <c r="P1683" s="30"/>
      <c r="Q1683" s="30"/>
      <c r="R1683" s="30"/>
      <c r="S1683" s="30"/>
      <c r="T1683" s="30"/>
      <c r="U1683" s="21" t="str">
        <f aca="false">IF(COUNT(K1683:T1683)=0,"SOURCE EMPTY / INDUSTRIAL ONLY",IF(MIN(K1683:T1683)=1,"SERVICE READY","HOLD"))</f>
        <v>SOURCE EMPTY / INDUSTRIAL ONLY</v>
      </c>
      <c r="V1683" s="9" t="n">
        <f aca="false">IF(U1683="SERVICE READY",1,0)</f>
        <v>0</v>
      </c>
      <c r="W1683" s="6"/>
      <c r="X1683" s="6"/>
      <c r="Y1683" s="6"/>
      <c r="Z1683" s="6"/>
    </row>
    <row r="1684" customFormat="false" ht="15" hidden="false" customHeight="false" outlineLevel="0" collapsed="false">
      <c r="A1684" s="9" t="s">
        <v>1928</v>
      </c>
      <c r="B1684" s="9" t="s">
        <v>1898</v>
      </c>
      <c r="C1684" s="9" t="s">
        <v>1899</v>
      </c>
      <c r="D1684" s="9" t="s">
        <v>1735</v>
      </c>
      <c r="E1684" s="9" t="s">
        <v>275</v>
      </c>
      <c r="F1684" s="9" t="s">
        <v>200</v>
      </c>
      <c r="G1684" s="9" t="s">
        <v>221</v>
      </c>
      <c r="H1684" s="9" t="n">
        <v>750</v>
      </c>
      <c r="I1684" s="29" t="n">
        <v>1.5</v>
      </c>
      <c r="J1684" s="9" t="n">
        <v>1</v>
      </c>
      <c r="K1684" s="30"/>
      <c r="L1684" s="30"/>
      <c r="M1684" s="30"/>
      <c r="N1684" s="30"/>
      <c r="O1684" s="30"/>
      <c r="P1684" s="30"/>
      <c r="Q1684" s="30"/>
      <c r="R1684" s="30"/>
      <c r="S1684" s="30"/>
      <c r="T1684" s="30"/>
      <c r="U1684" s="21" t="str">
        <f aca="false">IF(COUNT(K1684:T1684)=0,"SOURCE EMPTY / INDUSTRIAL ONLY",IF(MIN(K1684:T1684)=1,"SERVICE READY","HOLD"))</f>
        <v>SOURCE EMPTY / INDUSTRIAL ONLY</v>
      </c>
      <c r="V1684" s="9" t="n">
        <f aca="false">IF(U1684="SERVICE READY",1,0)</f>
        <v>0</v>
      </c>
      <c r="W1684" s="6"/>
      <c r="X1684" s="6"/>
      <c r="Y1684" s="6"/>
      <c r="Z1684" s="6"/>
    </row>
    <row r="1685" customFormat="false" ht="15" hidden="false" customHeight="false" outlineLevel="0" collapsed="false">
      <c r="A1685" s="9" t="s">
        <v>1929</v>
      </c>
      <c r="B1685" s="9" t="s">
        <v>1898</v>
      </c>
      <c r="C1685" s="9" t="s">
        <v>1899</v>
      </c>
      <c r="D1685" s="9" t="s">
        <v>1735</v>
      </c>
      <c r="E1685" s="9" t="s">
        <v>275</v>
      </c>
      <c r="F1685" s="9" t="s">
        <v>203</v>
      </c>
      <c r="G1685" s="9" t="s">
        <v>221</v>
      </c>
      <c r="H1685" s="9" t="n">
        <v>750</v>
      </c>
      <c r="I1685" s="29" t="n">
        <v>1.5</v>
      </c>
      <c r="J1685" s="9" t="n">
        <v>1</v>
      </c>
      <c r="K1685" s="30"/>
      <c r="L1685" s="30"/>
      <c r="M1685" s="30"/>
      <c r="N1685" s="30"/>
      <c r="O1685" s="30"/>
      <c r="P1685" s="30"/>
      <c r="Q1685" s="30"/>
      <c r="R1685" s="30"/>
      <c r="S1685" s="30"/>
      <c r="T1685" s="30"/>
      <c r="U1685" s="21" t="str">
        <f aca="false">IF(COUNT(K1685:T1685)=0,"SOURCE EMPTY / INDUSTRIAL ONLY",IF(MIN(K1685:T1685)=1,"SERVICE READY","HOLD"))</f>
        <v>SOURCE EMPTY / INDUSTRIAL ONLY</v>
      </c>
      <c r="V1685" s="9" t="n">
        <f aca="false">IF(U1685="SERVICE READY",1,0)</f>
        <v>0</v>
      </c>
      <c r="W1685" s="6"/>
      <c r="X1685" s="6"/>
      <c r="Y1685" s="6"/>
      <c r="Z1685" s="6"/>
    </row>
    <row r="1686" customFormat="false" ht="15" hidden="false" customHeight="false" outlineLevel="0" collapsed="false">
      <c r="A1686" s="9" t="s">
        <v>1930</v>
      </c>
      <c r="B1686" s="9" t="s">
        <v>1898</v>
      </c>
      <c r="C1686" s="9" t="s">
        <v>1899</v>
      </c>
      <c r="D1686" s="9" t="s">
        <v>1735</v>
      </c>
      <c r="E1686" s="9" t="s">
        <v>275</v>
      </c>
      <c r="F1686" s="9" t="s">
        <v>205</v>
      </c>
      <c r="G1686" s="9" t="s">
        <v>221</v>
      </c>
      <c r="H1686" s="9" t="n">
        <v>750</v>
      </c>
      <c r="I1686" s="29" t="n">
        <v>1.5</v>
      </c>
      <c r="J1686" s="9" t="n">
        <v>1</v>
      </c>
      <c r="K1686" s="30"/>
      <c r="L1686" s="30"/>
      <c r="M1686" s="30"/>
      <c r="N1686" s="30"/>
      <c r="O1686" s="30"/>
      <c r="P1686" s="30"/>
      <c r="Q1686" s="30"/>
      <c r="R1686" s="30"/>
      <c r="S1686" s="30"/>
      <c r="T1686" s="30"/>
      <c r="U1686" s="21" t="str">
        <f aca="false">IF(COUNT(K1686:T1686)=0,"SOURCE EMPTY / INDUSTRIAL ONLY",IF(MIN(K1686:T1686)=1,"SERVICE READY","HOLD"))</f>
        <v>SOURCE EMPTY / INDUSTRIAL ONLY</v>
      </c>
      <c r="V1686" s="9" t="n">
        <f aca="false">IF(U1686="SERVICE READY",1,0)</f>
        <v>0</v>
      </c>
      <c r="W1686" s="6"/>
      <c r="X1686" s="6"/>
      <c r="Y1686" s="6"/>
      <c r="Z1686" s="6"/>
    </row>
    <row r="1687" customFormat="false" ht="15" hidden="false" customHeight="false" outlineLevel="0" collapsed="false">
      <c r="A1687" s="9" t="s">
        <v>1931</v>
      </c>
      <c r="B1687" s="9" t="s">
        <v>1898</v>
      </c>
      <c r="C1687" s="9" t="s">
        <v>1899</v>
      </c>
      <c r="D1687" s="9" t="s">
        <v>1735</v>
      </c>
      <c r="E1687" s="9" t="s">
        <v>275</v>
      </c>
      <c r="F1687" s="9" t="s">
        <v>207</v>
      </c>
      <c r="G1687" s="9" t="s">
        <v>221</v>
      </c>
      <c r="H1687" s="9" t="n">
        <v>750</v>
      </c>
      <c r="I1687" s="29" t="n">
        <v>1.5</v>
      </c>
      <c r="J1687" s="9" t="n">
        <v>1</v>
      </c>
      <c r="K1687" s="30"/>
      <c r="L1687" s="30"/>
      <c r="M1687" s="30"/>
      <c r="N1687" s="30"/>
      <c r="O1687" s="30"/>
      <c r="P1687" s="30"/>
      <c r="Q1687" s="30"/>
      <c r="R1687" s="30"/>
      <c r="S1687" s="30"/>
      <c r="T1687" s="30"/>
      <c r="U1687" s="21" t="str">
        <f aca="false">IF(COUNT(K1687:T1687)=0,"SOURCE EMPTY / INDUSTRIAL ONLY",IF(MIN(K1687:T1687)=1,"SERVICE READY","HOLD"))</f>
        <v>SOURCE EMPTY / INDUSTRIAL ONLY</v>
      </c>
      <c r="V1687" s="9" t="n">
        <f aca="false">IF(U1687="SERVICE READY",1,0)</f>
        <v>0</v>
      </c>
      <c r="W1687" s="6"/>
      <c r="X1687" s="6"/>
      <c r="Y1687" s="6"/>
      <c r="Z1687" s="6"/>
    </row>
    <row r="1688" customFormat="false" ht="15" hidden="false" customHeight="false" outlineLevel="0" collapsed="false">
      <c r="A1688" s="9" t="s">
        <v>1932</v>
      </c>
      <c r="B1688" s="9" t="s">
        <v>1898</v>
      </c>
      <c r="C1688" s="9" t="s">
        <v>1899</v>
      </c>
      <c r="D1688" s="9" t="s">
        <v>1735</v>
      </c>
      <c r="E1688" s="9" t="s">
        <v>275</v>
      </c>
      <c r="F1688" s="9" t="s">
        <v>209</v>
      </c>
      <c r="G1688" s="9" t="s">
        <v>221</v>
      </c>
      <c r="H1688" s="9" t="n">
        <v>750</v>
      </c>
      <c r="I1688" s="29" t="n">
        <v>1.5</v>
      </c>
      <c r="J1688" s="9" t="n">
        <v>1</v>
      </c>
      <c r="K1688" s="30"/>
      <c r="L1688" s="30"/>
      <c r="M1688" s="30"/>
      <c r="N1688" s="30"/>
      <c r="O1688" s="30"/>
      <c r="P1688" s="30"/>
      <c r="Q1688" s="30"/>
      <c r="R1688" s="30"/>
      <c r="S1688" s="30"/>
      <c r="T1688" s="30"/>
      <c r="U1688" s="21" t="str">
        <f aca="false">IF(COUNT(K1688:T1688)=0,"SOURCE EMPTY / INDUSTRIAL ONLY",IF(MIN(K1688:T1688)=1,"SERVICE READY","HOLD"))</f>
        <v>SOURCE EMPTY / INDUSTRIAL ONLY</v>
      </c>
      <c r="V1688" s="9" t="n">
        <f aca="false">IF(U1688="SERVICE READY",1,0)</f>
        <v>0</v>
      </c>
      <c r="W1688" s="6"/>
      <c r="X1688" s="6"/>
      <c r="Y1688" s="6"/>
      <c r="Z1688" s="6"/>
    </row>
    <row r="1689" customFormat="false" ht="15" hidden="false" customHeight="false" outlineLevel="0" collapsed="false">
      <c r="A1689" s="9" t="s">
        <v>1933</v>
      </c>
      <c r="B1689" s="9" t="s">
        <v>1898</v>
      </c>
      <c r="C1689" s="9" t="s">
        <v>1899</v>
      </c>
      <c r="D1689" s="9" t="s">
        <v>1735</v>
      </c>
      <c r="E1689" s="9" t="s">
        <v>275</v>
      </c>
      <c r="F1689" s="9" t="s">
        <v>211</v>
      </c>
      <c r="G1689" s="9" t="s">
        <v>221</v>
      </c>
      <c r="H1689" s="9" t="n">
        <v>750</v>
      </c>
      <c r="I1689" s="29" t="n">
        <v>1.5</v>
      </c>
      <c r="J1689" s="9" t="n">
        <v>1</v>
      </c>
      <c r="K1689" s="30"/>
      <c r="L1689" s="30"/>
      <c r="M1689" s="30"/>
      <c r="N1689" s="30"/>
      <c r="O1689" s="30"/>
      <c r="P1689" s="30"/>
      <c r="Q1689" s="30"/>
      <c r="R1689" s="30"/>
      <c r="S1689" s="30"/>
      <c r="T1689" s="30"/>
      <c r="U1689" s="21" t="str">
        <f aca="false">IF(COUNT(K1689:T1689)=0,"SOURCE EMPTY / INDUSTRIAL ONLY",IF(MIN(K1689:T1689)=1,"SERVICE READY","HOLD"))</f>
        <v>SOURCE EMPTY / INDUSTRIAL ONLY</v>
      </c>
      <c r="V1689" s="9" t="n">
        <f aca="false">IF(U1689="SERVICE READY",1,0)</f>
        <v>0</v>
      </c>
      <c r="W1689" s="6"/>
      <c r="X1689" s="6"/>
      <c r="Y1689" s="6"/>
      <c r="Z1689" s="6"/>
    </row>
    <row r="1690" customFormat="false" ht="15" hidden="false" customHeight="false" outlineLevel="0" collapsed="false">
      <c r="A1690" s="9" t="s">
        <v>1934</v>
      </c>
      <c r="B1690" s="9" t="s">
        <v>1898</v>
      </c>
      <c r="C1690" s="9" t="s">
        <v>1899</v>
      </c>
      <c r="D1690" s="9" t="s">
        <v>1735</v>
      </c>
      <c r="E1690" s="9" t="s">
        <v>275</v>
      </c>
      <c r="F1690" s="9" t="s">
        <v>197</v>
      </c>
      <c r="G1690" s="9" t="s">
        <v>221</v>
      </c>
      <c r="H1690" s="9" t="n">
        <v>750</v>
      </c>
      <c r="I1690" s="29" t="n">
        <v>1.5</v>
      </c>
      <c r="J1690" s="9" t="n">
        <v>1</v>
      </c>
      <c r="K1690" s="30"/>
      <c r="L1690" s="30"/>
      <c r="M1690" s="30"/>
      <c r="N1690" s="30"/>
      <c r="O1690" s="30"/>
      <c r="P1690" s="30"/>
      <c r="Q1690" s="30"/>
      <c r="R1690" s="30"/>
      <c r="S1690" s="30"/>
      <c r="T1690" s="30"/>
      <c r="U1690" s="21" t="str">
        <f aca="false">IF(COUNT(K1690:T1690)=0,"SOURCE EMPTY / INDUSTRIAL ONLY",IF(MIN(K1690:T1690)=1,"SERVICE READY","HOLD"))</f>
        <v>SOURCE EMPTY / INDUSTRIAL ONLY</v>
      </c>
      <c r="V1690" s="9" t="n">
        <f aca="false">IF(U1690="SERVICE READY",1,0)</f>
        <v>0</v>
      </c>
      <c r="W1690" s="6"/>
      <c r="X1690" s="6"/>
      <c r="Y1690" s="6"/>
      <c r="Z1690" s="6"/>
    </row>
    <row r="1691" customFormat="false" ht="15" hidden="false" customHeight="false" outlineLevel="0" collapsed="false">
      <c r="A1691" s="9" t="s">
        <v>1935</v>
      </c>
      <c r="B1691" s="9" t="s">
        <v>1898</v>
      </c>
      <c r="C1691" s="9" t="s">
        <v>1899</v>
      </c>
      <c r="D1691" s="9" t="s">
        <v>1735</v>
      </c>
      <c r="E1691" s="9" t="s">
        <v>275</v>
      </c>
      <c r="F1691" s="9" t="s">
        <v>200</v>
      </c>
      <c r="G1691" s="9" t="s">
        <v>221</v>
      </c>
      <c r="H1691" s="9" t="n">
        <v>750</v>
      </c>
      <c r="I1691" s="29" t="n">
        <v>1.5</v>
      </c>
      <c r="J1691" s="9" t="n">
        <v>1</v>
      </c>
      <c r="K1691" s="30"/>
      <c r="L1691" s="30"/>
      <c r="M1691" s="30"/>
      <c r="N1691" s="30"/>
      <c r="O1691" s="30"/>
      <c r="P1691" s="30"/>
      <c r="Q1691" s="30"/>
      <c r="R1691" s="30"/>
      <c r="S1691" s="30"/>
      <c r="T1691" s="30"/>
      <c r="U1691" s="21" t="str">
        <f aca="false">IF(COUNT(K1691:T1691)=0,"SOURCE EMPTY / INDUSTRIAL ONLY",IF(MIN(K1691:T1691)=1,"SERVICE READY","HOLD"))</f>
        <v>SOURCE EMPTY / INDUSTRIAL ONLY</v>
      </c>
      <c r="V1691" s="9" t="n">
        <f aca="false">IF(U1691="SERVICE READY",1,0)</f>
        <v>0</v>
      </c>
      <c r="W1691" s="6"/>
      <c r="X1691" s="6"/>
      <c r="Y1691" s="6"/>
      <c r="Z1691" s="6"/>
    </row>
    <row r="1692" customFormat="false" ht="15" hidden="false" customHeight="false" outlineLevel="0" collapsed="false">
      <c r="A1692" s="9" t="s">
        <v>1936</v>
      </c>
      <c r="B1692" s="9" t="s">
        <v>1898</v>
      </c>
      <c r="C1692" s="9" t="s">
        <v>1899</v>
      </c>
      <c r="D1692" s="9" t="s">
        <v>1735</v>
      </c>
      <c r="E1692" s="9" t="s">
        <v>275</v>
      </c>
      <c r="F1692" s="9" t="s">
        <v>203</v>
      </c>
      <c r="G1692" s="9" t="s">
        <v>221</v>
      </c>
      <c r="H1692" s="9" t="n">
        <v>750</v>
      </c>
      <c r="I1692" s="29" t="n">
        <v>1.5</v>
      </c>
      <c r="J1692" s="9" t="n">
        <v>1</v>
      </c>
      <c r="K1692" s="30"/>
      <c r="L1692" s="30"/>
      <c r="M1692" s="30"/>
      <c r="N1692" s="30"/>
      <c r="O1692" s="30"/>
      <c r="P1692" s="30"/>
      <c r="Q1692" s="30"/>
      <c r="R1692" s="30"/>
      <c r="S1692" s="30"/>
      <c r="T1692" s="30"/>
      <c r="U1692" s="21" t="str">
        <f aca="false">IF(COUNT(K1692:T1692)=0,"SOURCE EMPTY / INDUSTRIAL ONLY",IF(MIN(K1692:T1692)=1,"SERVICE READY","HOLD"))</f>
        <v>SOURCE EMPTY / INDUSTRIAL ONLY</v>
      </c>
      <c r="V1692" s="9" t="n">
        <f aca="false">IF(U1692="SERVICE READY",1,0)</f>
        <v>0</v>
      </c>
      <c r="W1692" s="6"/>
      <c r="X1692" s="6"/>
      <c r="Y1692" s="6"/>
      <c r="Z1692" s="6"/>
    </row>
    <row r="1693" customFormat="false" ht="15" hidden="false" customHeight="false" outlineLevel="0" collapsed="false">
      <c r="A1693" s="9" t="s">
        <v>1937</v>
      </c>
      <c r="B1693" s="9" t="s">
        <v>1898</v>
      </c>
      <c r="C1693" s="9" t="s">
        <v>1899</v>
      </c>
      <c r="D1693" s="9" t="s">
        <v>1735</v>
      </c>
      <c r="E1693" s="9" t="s">
        <v>275</v>
      </c>
      <c r="F1693" s="9" t="s">
        <v>205</v>
      </c>
      <c r="G1693" s="9" t="s">
        <v>221</v>
      </c>
      <c r="H1693" s="9" t="n">
        <v>750</v>
      </c>
      <c r="I1693" s="29" t="n">
        <v>1.5</v>
      </c>
      <c r="J1693" s="9" t="n">
        <v>1</v>
      </c>
      <c r="K1693" s="30"/>
      <c r="L1693" s="30"/>
      <c r="M1693" s="30"/>
      <c r="N1693" s="30"/>
      <c r="O1693" s="30"/>
      <c r="P1693" s="30"/>
      <c r="Q1693" s="30"/>
      <c r="R1693" s="30"/>
      <c r="S1693" s="30"/>
      <c r="T1693" s="30"/>
      <c r="U1693" s="21" t="str">
        <f aca="false">IF(COUNT(K1693:T1693)=0,"SOURCE EMPTY / INDUSTRIAL ONLY",IF(MIN(K1693:T1693)=1,"SERVICE READY","HOLD"))</f>
        <v>SOURCE EMPTY / INDUSTRIAL ONLY</v>
      </c>
      <c r="V1693" s="9" t="n">
        <f aca="false">IF(U1693="SERVICE READY",1,0)</f>
        <v>0</v>
      </c>
      <c r="W1693" s="6"/>
      <c r="X1693" s="6"/>
      <c r="Y1693" s="6"/>
      <c r="Z1693" s="6"/>
    </row>
    <row r="1694" customFormat="false" ht="15" hidden="false" customHeight="false" outlineLevel="0" collapsed="false">
      <c r="A1694" s="9" t="s">
        <v>1938</v>
      </c>
      <c r="B1694" s="9" t="s">
        <v>1898</v>
      </c>
      <c r="C1694" s="9" t="s">
        <v>1899</v>
      </c>
      <c r="D1694" s="9" t="s">
        <v>1735</v>
      </c>
      <c r="E1694" s="9" t="s">
        <v>275</v>
      </c>
      <c r="F1694" s="9" t="s">
        <v>207</v>
      </c>
      <c r="G1694" s="9" t="s">
        <v>221</v>
      </c>
      <c r="H1694" s="9" t="n">
        <v>750</v>
      </c>
      <c r="I1694" s="29" t="n">
        <v>1.5</v>
      </c>
      <c r="J1694" s="9" t="n">
        <v>1</v>
      </c>
      <c r="K1694" s="30"/>
      <c r="L1694" s="30"/>
      <c r="M1694" s="30"/>
      <c r="N1694" s="30"/>
      <c r="O1694" s="30"/>
      <c r="P1694" s="30"/>
      <c r="Q1694" s="30"/>
      <c r="R1694" s="30"/>
      <c r="S1694" s="30"/>
      <c r="T1694" s="30"/>
      <c r="U1694" s="21" t="str">
        <f aca="false">IF(COUNT(K1694:T1694)=0,"SOURCE EMPTY / INDUSTRIAL ONLY",IF(MIN(K1694:T1694)=1,"SERVICE READY","HOLD"))</f>
        <v>SOURCE EMPTY / INDUSTRIAL ONLY</v>
      </c>
      <c r="V1694" s="9" t="n">
        <f aca="false">IF(U1694="SERVICE READY",1,0)</f>
        <v>0</v>
      </c>
      <c r="W1694" s="6"/>
      <c r="X1694" s="6"/>
      <c r="Y1694" s="6"/>
      <c r="Z1694" s="6"/>
    </row>
    <row r="1695" customFormat="false" ht="15" hidden="false" customHeight="false" outlineLevel="0" collapsed="false">
      <c r="A1695" s="9" t="s">
        <v>1939</v>
      </c>
      <c r="B1695" s="9" t="s">
        <v>1898</v>
      </c>
      <c r="C1695" s="9" t="s">
        <v>1899</v>
      </c>
      <c r="D1695" s="9" t="s">
        <v>1735</v>
      </c>
      <c r="E1695" s="9" t="s">
        <v>275</v>
      </c>
      <c r="F1695" s="9" t="s">
        <v>209</v>
      </c>
      <c r="G1695" s="9" t="s">
        <v>221</v>
      </c>
      <c r="H1695" s="9" t="n">
        <v>750</v>
      </c>
      <c r="I1695" s="29" t="n">
        <v>1.5</v>
      </c>
      <c r="J1695" s="9" t="n">
        <v>1</v>
      </c>
      <c r="K1695" s="30"/>
      <c r="L1695" s="30"/>
      <c r="M1695" s="30"/>
      <c r="N1695" s="30"/>
      <c r="O1695" s="30"/>
      <c r="P1695" s="30"/>
      <c r="Q1695" s="30"/>
      <c r="R1695" s="30"/>
      <c r="S1695" s="30"/>
      <c r="T1695" s="30"/>
      <c r="U1695" s="21" t="str">
        <f aca="false">IF(COUNT(K1695:T1695)=0,"SOURCE EMPTY / INDUSTRIAL ONLY",IF(MIN(K1695:T1695)=1,"SERVICE READY","HOLD"))</f>
        <v>SOURCE EMPTY / INDUSTRIAL ONLY</v>
      </c>
      <c r="V1695" s="9" t="n">
        <f aca="false">IF(U1695="SERVICE READY",1,0)</f>
        <v>0</v>
      </c>
      <c r="W1695" s="6"/>
      <c r="X1695" s="6"/>
      <c r="Y1695" s="6"/>
      <c r="Z1695" s="6"/>
    </row>
    <row r="1696" customFormat="false" ht="15" hidden="false" customHeight="false" outlineLevel="0" collapsed="false">
      <c r="A1696" s="9" t="s">
        <v>1940</v>
      </c>
      <c r="B1696" s="9" t="s">
        <v>1898</v>
      </c>
      <c r="C1696" s="9" t="s">
        <v>1899</v>
      </c>
      <c r="D1696" s="9" t="s">
        <v>1735</v>
      </c>
      <c r="E1696" s="9" t="s">
        <v>275</v>
      </c>
      <c r="F1696" s="9" t="s">
        <v>211</v>
      </c>
      <c r="G1696" s="9" t="s">
        <v>221</v>
      </c>
      <c r="H1696" s="9" t="n">
        <v>750</v>
      </c>
      <c r="I1696" s="29" t="n">
        <v>1.5</v>
      </c>
      <c r="J1696" s="9" t="n">
        <v>1</v>
      </c>
      <c r="K1696" s="30"/>
      <c r="L1696" s="30"/>
      <c r="M1696" s="30"/>
      <c r="N1696" s="30"/>
      <c r="O1696" s="30"/>
      <c r="P1696" s="30"/>
      <c r="Q1696" s="30"/>
      <c r="R1696" s="30"/>
      <c r="S1696" s="30"/>
      <c r="T1696" s="30"/>
      <c r="U1696" s="21" t="str">
        <f aca="false">IF(COUNT(K1696:T1696)=0,"SOURCE EMPTY / INDUSTRIAL ONLY",IF(MIN(K1696:T1696)=1,"SERVICE READY","HOLD"))</f>
        <v>SOURCE EMPTY / INDUSTRIAL ONLY</v>
      </c>
      <c r="V1696" s="9" t="n">
        <f aca="false">IF(U1696="SERVICE READY",1,0)</f>
        <v>0</v>
      </c>
      <c r="W1696" s="6"/>
      <c r="X1696" s="6"/>
      <c r="Y1696" s="6"/>
      <c r="Z1696" s="6"/>
    </row>
    <row r="1697" customFormat="false" ht="15" hidden="false" customHeight="false" outlineLevel="0" collapsed="false">
      <c r="A1697" s="9" t="s">
        <v>1941</v>
      </c>
      <c r="B1697" s="9" t="s">
        <v>1898</v>
      </c>
      <c r="C1697" s="9" t="s">
        <v>1899</v>
      </c>
      <c r="D1697" s="9" t="s">
        <v>1735</v>
      </c>
      <c r="E1697" s="9" t="s">
        <v>275</v>
      </c>
      <c r="F1697" s="9" t="s">
        <v>197</v>
      </c>
      <c r="G1697" s="9" t="s">
        <v>221</v>
      </c>
      <c r="H1697" s="9" t="n">
        <v>750</v>
      </c>
      <c r="I1697" s="29" t="n">
        <v>1.5</v>
      </c>
      <c r="J1697" s="9" t="n">
        <v>1</v>
      </c>
      <c r="K1697" s="30"/>
      <c r="L1697" s="30"/>
      <c r="M1697" s="30"/>
      <c r="N1697" s="30"/>
      <c r="O1697" s="30"/>
      <c r="P1697" s="30"/>
      <c r="Q1697" s="30"/>
      <c r="R1697" s="30"/>
      <c r="S1697" s="30"/>
      <c r="T1697" s="30"/>
      <c r="U1697" s="21" t="str">
        <f aca="false">IF(COUNT(K1697:T1697)=0,"SOURCE EMPTY / INDUSTRIAL ONLY",IF(MIN(K1697:T1697)=1,"SERVICE READY","HOLD"))</f>
        <v>SOURCE EMPTY / INDUSTRIAL ONLY</v>
      </c>
      <c r="V1697" s="9" t="n">
        <f aca="false">IF(U1697="SERVICE READY",1,0)</f>
        <v>0</v>
      </c>
      <c r="W1697" s="6"/>
      <c r="X1697" s="6"/>
      <c r="Y1697" s="6"/>
      <c r="Z1697" s="6"/>
    </row>
    <row r="1698" customFormat="false" ht="15" hidden="false" customHeight="false" outlineLevel="0" collapsed="false">
      <c r="A1698" s="9" t="s">
        <v>1942</v>
      </c>
      <c r="B1698" s="9" t="s">
        <v>1898</v>
      </c>
      <c r="C1698" s="9" t="s">
        <v>1899</v>
      </c>
      <c r="D1698" s="9" t="s">
        <v>1735</v>
      </c>
      <c r="E1698" s="9" t="s">
        <v>275</v>
      </c>
      <c r="F1698" s="9" t="s">
        <v>200</v>
      </c>
      <c r="G1698" s="9" t="s">
        <v>221</v>
      </c>
      <c r="H1698" s="9" t="n">
        <v>750</v>
      </c>
      <c r="I1698" s="29" t="n">
        <v>1.5</v>
      </c>
      <c r="J1698" s="9" t="n">
        <v>1</v>
      </c>
      <c r="K1698" s="30"/>
      <c r="L1698" s="30"/>
      <c r="M1698" s="30"/>
      <c r="N1698" s="30"/>
      <c r="O1698" s="30"/>
      <c r="P1698" s="30"/>
      <c r="Q1698" s="30"/>
      <c r="R1698" s="30"/>
      <c r="S1698" s="30"/>
      <c r="T1698" s="30"/>
      <c r="U1698" s="21" t="str">
        <f aca="false">IF(COUNT(K1698:T1698)=0,"SOURCE EMPTY / INDUSTRIAL ONLY",IF(MIN(K1698:T1698)=1,"SERVICE READY","HOLD"))</f>
        <v>SOURCE EMPTY / INDUSTRIAL ONLY</v>
      </c>
      <c r="V1698" s="9" t="n">
        <f aca="false">IF(U1698="SERVICE READY",1,0)</f>
        <v>0</v>
      </c>
      <c r="W1698" s="6"/>
      <c r="X1698" s="6"/>
      <c r="Y1698" s="6"/>
      <c r="Z1698" s="6"/>
    </row>
    <row r="1699" customFormat="false" ht="15" hidden="false" customHeight="false" outlineLevel="0" collapsed="false">
      <c r="A1699" s="9" t="s">
        <v>1943</v>
      </c>
      <c r="B1699" s="9" t="s">
        <v>1898</v>
      </c>
      <c r="C1699" s="9" t="s">
        <v>1899</v>
      </c>
      <c r="D1699" s="9" t="s">
        <v>1735</v>
      </c>
      <c r="E1699" s="9" t="s">
        <v>275</v>
      </c>
      <c r="F1699" s="9" t="s">
        <v>203</v>
      </c>
      <c r="G1699" s="9" t="s">
        <v>221</v>
      </c>
      <c r="H1699" s="9" t="n">
        <v>750</v>
      </c>
      <c r="I1699" s="29" t="n">
        <v>1.5</v>
      </c>
      <c r="J1699" s="9" t="n">
        <v>0</v>
      </c>
      <c r="K1699" s="30"/>
      <c r="L1699" s="30"/>
      <c r="M1699" s="30"/>
      <c r="N1699" s="30"/>
      <c r="O1699" s="30"/>
      <c r="P1699" s="30"/>
      <c r="Q1699" s="30"/>
      <c r="R1699" s="30"/>
      <c r="S1699" s="30"/>
      <c r="T1699" s="30"/>
      <c r="U1699" s="21" t="str">
        <f aca="false">IF(COUNT(K1699:T1699)=0,"SOURCE EMPTY / INDUSTRIAL ONLY",IF(MIN(K1699:T1699)=1,"SERVICE READY","HOLD"))</f>
        <v>SOURCE EMPTY / INDUSTRIAL ONLY</v>
      </c>
      <c r="V1699" s="9" t="n">
        <f aca="false">IF(U1699="SERVICE READY",1,0)</f>
        <v>0</v>
      </c>
      <c r="W1699" s="6"/>
      <c r="X1699" s="6"/>
      <c r="Y1699" s="6"/>
      <c r="Z1699" s="6"/>
    </row>
    <row r="1700" customFormat="false" ht="15" hidden="false" customHeight="false" outlineLevel="0" collapsed="false">
      <c r="A1700" s="9" t="s">
        <v>1944</v>
      </c>
      <c r="B1700" s="9" t="s">
        <v>1898</v>
      </c>
      <c r="C1700" s="9" t="s">
        <v>1899</v>
      </c>
      <c r="D1700" s="9" t="s">
        <v>1735</v>
      </c>
      <c r="E1700" s="9" t="s">
        <v>275</v>
      </c>
      <c r="F1700" s="9" t="s">
        <v>205</v>
      </c>
      <c r="G1700" s="9" t="s">
        <v>221</v>
      </c>
      <c r="H1700" s="9" t="n">
        <v>750</v>
      </c>
      <c r="I1700" s="29" t="n">
        <v>1.5</v>
      </c>
      <c r="J1700" s="9" t="n">
        <v>0</v>
      </c>
      <c r="K1700" s="30"/>
      <c r="L1700" s="30"/>
      <c r="M1700" s="30"/>
      <c r="N1700" s="30"/>
      <c r="O1700" s="30"/>
      <c r="P1700" s="30"/>
      <c r="Q1700" s="30"/>
      <c r="R1700" s="30"/>
      <c r="S1700" s="30"/>
      <c r="T1700" s="30"/>
      <c r="U1700" s="21" t="str">
        <f aca="false">IF(COUNT(K1700:T1700)=0,"SOURCE EMPTY / INDUSTRIAL ONLY",IF(MIN(K1700:T1700)=1,"SERVICE READY","HOLD"))</f>
        <v>SOURCE EMPTY / INDUSTRIAL ONLY</v>
      </c>
      <c r="V1700" s="9" t="n">
        <f aca="false">IF(U1700="SERVICE READY",1,0)</f>
        <v>0</v>
      </c>
      <c r="W1700" s="6"/>
      <c r="X1700" s="6"/>
      <c r="Y1700" s="6"/>
      <c r="Z1700" s="6"/>
    </row>
    <row r="1701" customFormat="false" ht="15" hidden="false" customHeight="false" outlineLevel="0" collapsed="false">
      <c r="A1701" s="9" t="s">
        <v>1945</v>
      </c>
      <c r="B1701" s="9" t="s">
        <v>1898</v>
      </c>
      <c r="C1701" s="9" t="s">
        <v>1899</v>
      </c>
      <c r="D1701" s="9" t="s">
        <v>1735</v>
      </c>
      <c r="E1701" s="9" t="s">
        <v>275</v>
      </c>
      <c r="F1701" s="9" t="s">
        <v>207</v>
      </c>
      <c r="G1701" s="9" t="s">
        <v>221</v>
      </c>
      <c r="H1701" s="9" t="n">
        <v>750</v>
      </c>
      <c r="I1701" s="29" t="n">
        <v>1.5</v>
      </c>
      <c r="J1701" s="9" t="n">
        <v>0</v>
      </c>
      <c r="K1701" s="30"/>
      <c r="L1701" s="30"/>
      <c r="M1701" s="30"/>
      <c r="N1701" s="30"/>
      <c r="O1701" s="30"/>
      <c r="P1701" s="30"/>
      <c r="Q1701" s="30"/>
      <c r="R1701" s="30"/>
      <c r="S1701" s="30"/>
      <c r="T1701" s="30"/>
      <c r="U1701" s="21" t="str">
        <f aca="false">IF(COUNT(K1701:T1701)=0,"SOURCE EMPTY / INDUSTRIAL ONLY",IF(MIN(K1701:T1701)=1,"SERVICE READY","HOLD"))</f>
        <v>SOURCE EMPTY / INDUSTRIAL ONLY</v>
      </c>
      <c r="V1701" s="9" t="n">
        <f aca="false">IF(U1701="SERVICE READY",1,0)</f>
        <v>0</v>
      </c>
      <c r="W1701" s="6"/>
      <c r="X1701" s="6"/>
      <c r="Y1701" s="6"/>
      <c r="Z1701" s="6"/>
    </row>
    <row r="1702" customFormat="false" ht="15" hidden="false" customHeight="false" outlineLevel="0" collapsed="false">
      <c r="A1702" s="9" t="s">
        <v>1946</v>
      </c>
      <c r="B1702" s="9" t="s">
        <v>1898</v>
      </c>
      <c r="C1702" s="9" t="s">
        <v>1899</v>
      </c>
      <c r="D1702" s="9" t="s">
        <v>1735</v>
      </c>
      <c r="E1702" s="9" t="s">
        <v>275</v>
      </c>
      <c r="F1702" s="9" t="s">
        <v>209</v>
      </c>
      <c r="G1702" s="9" t="s">
        <v>221</v>
      </c>
      <c r="H1702" s="9" t="n">
        <v>750</v>
      </c>
      <c r="I1702" s="29" t="n">
        <v>1.5</v>
      </c>
      <c r="J1702" s="9" t="n">
        <v>0</v>
      </c>
      <c r="K1702" s="30"/>
      <c r="L1702" s="30"/>
      <c r="M1702" s="30"/>
      <c r="N1702" s="30"/>
      <c r="O1702" s="30"/>
      <c r="P1702" s="30"/>
      <c r="Q1702" s="30"/>
      <c r="R1702" s="30"/>
      <c r="S1702" s="30"/>
      <c r="T1702" s="30"/>
      <c r="U1702" s="21" t="str">
        <f aca="false">IF(COUNT(K1702:T1702)=0,"SOURCE EMPTY / INDUSTRIAL ONLY",IF(MIN(K1702:T1702)=1,"SERVICE READY","HOLD"))</f>
        <v>SOURCE EMPTY / INDUSTRIAL ONLY</v>
      </c>
      <c r="V1702" s="9" t="n">
        <f aca="false">IF(U1702="SERVICE READY",1,0)</f>
        <v>0</v>
      </c>
      <c r="W1702" s="6"/>
      <c r="X1702" s="6"/>
      <c r="Y1702" s="6"/>
      <c r="Z1702" s="6"/>
    </row>
    <row r="1703" customFormat="false" ht="15" hidden="false" customHeight="false" outlineLevel="0" collapsed="false">
      <c r="A1703" s="9" t="s">
        <v>1947</v>
      </c>
      <c r="B1703" s="9" t="s">
        <v>1898</v>
      </c>
      <c r="C1703" s="9" t="s">
        <v>1899</v>
      </c>
      <c r="D1703" s="9" t="s">
        <v>1735</v>
      </c>
      <c r="E1703" s="9" t="s">
        <v>275</v>
      </c>
      <c r="F1703" s="9" t="s">
        <v>211</v>
      </c>
      <c r="G1703" s="9" t="s">
        <v>221</v>
      </c>
      <c r="H1703" s="9" t="n">
        <v>750</v>
      </c>
      <c r="I1703" s="29" t="n">
        <v>1.5</v>
      </c>
      <c r="J1703" s="9" t="n">
        <v>0</v>
      </c>
      <c r="K1703" s="30"/>
      <c r="L1703" s="30"/>
      <c r="M1703" s="30"/>
      <c r="N1703" s="30"/>
      <c r="O1703" s="30"/>
      <c r="P1703" s="30"/>
      <c r="Q1703" s="30"/>
      <c r="R1703" s="30"/>
      <c r="S1703" s="30"/>
      <c r="T1703" s="30"/>
      <c r="U1703" s="21" t="str">
        <f aca="false">IF(COUNT(K1703:T1703)=0,"SOURCE EMPTY / INDUSTRIAL ONLY",IF(MIN(K1703:T1703)=1,"SERVICE READY","HOLD"))</f>
        <v>SOURCE EMPTY / INDUSTRIAL ONLY</v>
      </c>
      <c r="V1703" s="9" t="n">
        <f aca="false">IF(U1703="SERVICE READY",1,0)</f>
        <v>0</v>
      </c>
      <c r="W1703" s="6"/>
      <c r="X1703" s="6"/>
      <c r="Y1703" s="6"/>
      <c r="Z1703" s="6"/>
    </row>
    <row r="1704" customFormat="false" ht="15" hidden="false" customHeight="false" outlineLevel="0" collapsed="false">
      <c r="A1704" s="9" t="s">
        <v>1948</v>
      </c>
      <c r="B1704" s="9" t="s">
        <v>1898</v>
      </c>
      <c r="C1704" s="9" t="s">
        <v>1899</v>
      </c>
      <c r="D1704" s="9" t="s">
        <v>1735</v>
      </c>
      <c r="E1704" s="9" t="s">
        <v>275</v>
      </c>
      <c r="F1704" s="9" t="s">
        <v>197</v>
      </c>
      <c r="G1704" s="9" t="s">
        <v>221</v>
      </c>
      <c r="H1704" s="9" t="n">
        <v>750</v>
      </c>
      <c r="I1704" s="29" t="n">
        <v>1.5</v>
      </c>
      <c r="J1704" s="9" t="n">
        <v>0</v>
      </c>
      <c r="K1704" s="30"/>
      <c r="L1704" s="30"/>
      <c r="M1704" s="30"/>
      <c r="N1704" s="30"/>
      <c r="O1704" s="30"/>
      <c r="P1704" s="30"/>
      <c r="Q1704" s="30"/>
      <c r="R1704" s="30"/>
      <c r="S1704" s="30"/>
      <c r="T1704" s="30"/>
      <c r="U1704" s="21" t="str">
        <f aca="false">IF(COUNT(K1704:T1704)=0,"SOURCE EMPTY / INDUSTRIAL ONLY",IF(MIN(K1704:T1704)=1,"SERVICE READY","HOLD"))</f>
        <v>SOURCE EMPTY / INDUSTRIAL ONLY</v>
      </c>
      <c r="V1704" s="9" t="n">
        <f aca="false">IF(U1704="SERVICE READY",1,0)</f>
        <v>0</v>
      </c>
      <c r="W1704" s="6"/>
      <c r="X1704" s="6"/>
      <c r="Y1704" s="6"/>
      <c r="Z1704" s="6"/>
    </row>
    <row r="1705" customFormat="false" ht="15" hidden="false" customHeight="false" outlineLevel="0" collapsed="false">
      <c r="A1705" s="9" t="s">
        <v>1949</v>
      </c>
      <c r="B1705" s="9" t="s">
        <v>1898</v>
      </c>
      <c r="C1705" s="9" t="s">
        <v>1899</v>
      </c>
      <c r="D1705" s="9" t="s">
        <v>1735</v>
      </c>
      <c r="E1705" s="9" t="s">
        <v>275</v>
      </c>
      <c r="F1705" s="9" t="s">
        <v>200</v>
      </c>
      <c r="G1705" s="9" t="s">
        <v>221</v>
      </c>
      <c r="H1705" s="9" t="n">
        <v>750</v>
      </c>
      <c r="I1705" s="29" t="n">
        <v>1.5</v>
      </c>
      <c r="J1705" s="9" t="n">
        <v>0</v>
      </c>
      <c r="K1705" s="30"/>
      <c r="L1705" s="30"/>
      <c r="M1705" s="30"/>
      <c r="N1705" s="30"/>
      <c r="O1705" s="30"/>
      <c r="P1705" s="30"/>
      <c r="Q1705" s="30"/>
      <c r="R1705" s="30"/>
      <c r="S1705" s="30"/>
      <c r="T1705" s="30"/>
      <c r="U1705" s="21" t="str">
        <f aca="false">IF(COUNT(K1705:T1705)=0,"SOURCE EMPTY / INDUSTRIAL ONLY",IF(MIN(K1705:T1705)=1,"SERVICE READY","HOLD"))</f>
        <v>SOURCE EMPTY / INDUSTRIAL ONLY</v>
      </c>
      <c r="V1705" s="9" t="n">
        <f aca="false">IF(U1705="SERVICE READY",1,0)</f>
        <v>0</v>
      </c>
      <c r="W1705" s="6"/>
      <c r="X1705" s="6"/>
      <c r="Y1705" s="6"/>
      <c r="Z1705" s="6"/>
    </row>
    <row r="1706" customFormat="false" ht="15" hidden="false" customHeight="false" outlineLevel="0" collapsed="false">
      <c r="A1706" s="9" t="s">
        <v>1950</v>
      </c>
      <c r="B1706" s="9" t="s">
        <v>1898</v>
      </c>
      <c r="C1706" s="9" t="s">
        <v>1899</v>
      </c>
      <c r="D1706" s="9" t="s">
        <v>1735</v>
      </c>
      <c r="E1706" s="9" t="s">
        <v>275</v>
      </c>
      <c r="F1706" s="9" t="s">
        <v>203</v>
      </c>
      <c r="G1706" s="9" t="s">
        <v>221</v>
      </c>
      <c r="H1706" s="9" t="n">
        <v>750</v>
      </c>
      <c r="I1706" s="29" t="n">
        <v>1.5</v>
      </c>
      <c r="J1706" s="9" t="n">
        <v>0</v>
      </c>
      <c r="K1706" s="30"/>
      <c r="L1706" s="30"/>
      <c r="M1706" s="30"/>
      <c r="N1706" s="30"/>
      <c r="O1706" s="30"/>
      <c r="P1706" s="30"/>
      <c r="Q1706" s="30"/>
      <c r="R1706" s="30"/>
      <c r="S1706" s="30"/>
      <c r="T1706" s="30"/>
      <c r="U1706" s="21" t="str">
        <f aca="false">IF(COUNT(K1706:T1706)=0,"SOURCE EMPTY / INDUSTRIAL ONLY",IF(MIN(K1706:T1706)=1,"SERVICE READY","HOLD"))</f>
        <v>SOURCE EMPTY / INDUSTRIAL ONLY</v>
      </c>
      <c r="V1706" s="9" t="n">
        <f aca="false">IF(U1706="SERVICE READY",1,0)</f>
        <v>0</v>
      </c>
      <c r="W1706" s="6"/>
      <c r="X1706" s="6"/>
      <c r="Y1706" s="6"/>
      <c r="Z1706" s="6"/>
    </row>
    <row r="1707" customFormat="false" ht="15" hidden="false" customHeight="false" outlineLevel="0" collapsed="false">
      <c r="A1707" s="9" t="s">
        <v>1951</v>
      </c>
      <c r="B1707" s="9" t="s">
        <v>1898</v>
      </c>
      <c r="C1707" s="9" t="s">
        <v>1899</v>
      </c>
      <c r="D1707" s="9" t="s">
        <v>1735</v>
      </c>
      <c r="E1707" s="9" t="s">
        <v>275</v>
      </c>
      <c r="F1707" s="9" t="s">
        <v>205</v>
      </c>
      <c r="G1707" s="9" t="s">
        <v>221</v>
      </c>
      <c r="H1707" s="9" t="n">
        <v>750</v>
      </c>
      <c r="I1707" s="29" t="n">
        <v>1.5</v>
      </c>
      <c r="J1707" s="9" t="n">
        <v>0</v>
      </c>
      <c r="K1707" s="30"/>
      <c r="L1707" s="30"/>
      <c r="M1707" s="30"/>
      <c r="N1707" s="30"/>
      <c r="O1707" s="30"/>
      <c r="P1707" s="30"/>
      <c r="Q1707" s="30"/>
      <c r="R1707" s="30"/>
      <c r="S1707" s="30"/>
      <c r="T1707" s="30"/>
      <c r="U1707" s="21" t="str">
        <f aca="false">IF(COUNT(K1707:T1707)=0,"SOURCE EMPTY / INDUSTRIAL ONLY",IF(MIN(K1707:T1707)=1,"SERVICE READY","HOLD"))</f>
        <v>SOURCE EMPTY / INDUSTRIAL ONLY</v>
      </c>
      <c r="V1707" s="9" t="n">
        <f aca="false">IF(U1707="SERVICE READY",1,0)</f>
        <v>0</v>
      </c>
      <c r="W1707" s="6"/>
      <c r="X1707" s="6"/>
      <c r="Y1707" s="6"/>
      <c r="Z1707" s="6"/>
    </row>
    <row r="1708" customFormat="false" ht="15" hidden="false" customHeight="false" outlineLevel="0" collapsed="false">
      <c r="A1708" s="9" t="s">
        <v>1952</v>
      </c>
      <c r="B1708" s="9" t="s">
        <v>1898</v>
      </c>
      <c r="C1708" s="9" t="s">
        <v>1899</v>
      </c>
      <c r="D1708" s="9" t="s">
        <v>1735</v>
      </c>
      <c r="E1708" s="9" t="s">
        <v>275</v>
      </c>
      <c r="F1708" s="9" t="s">
        <v>207</v>
      </c>
      <c r="G1708" s="9" t="s">
        <v>221</v>
      </c>
      <c r="H1708" s="9" t="n">
        <v>750</v>
      </c>
      <c r="I1708" s="29" t="n">
        <v>1.5</v>
      </c>
      <c r="J1708" s="9" t="n">
        <v>0</v>
      </c>
      <c r="K1708" s="30"/>
      <c r="L1708" s="30"/>
      <c r="M1708" s="30"/>
      <c r="N1708" s="30"/>
      <c r="O1708" s="30"/>
      <c r="P1708" s="30"/>
      <c r="Q1708" s="30"/>
      <c r="R1708" s="30"/>
      <c r="S1708" s="30"/>
      <c r="T1708" s="30"/>
      <c r="U1708" s="21" t="str">
        <f aca="false">IF(COUNT(K1708:T1708)=0,"SOURCE EMPTY / INDUSTRIAL ONLY",IF(MIN(K1708:T1708)=1,"SERVICE READY","HOLD"))</f>
        <v>SOURCE EMPTY / INDUSTRIAL ONLY</v>
      </c>
      <c r="V1708" s="9" t="n">
        <f aca="false">IF(U1708="SERVICE READY",1,0)</f>
        <v>0</v>
      </c>
      <c r="W1708" s="6"/>
      <c r="X1708" s="6"/>
      <c r="Y1708" s="6"/>
      <c r="Z1708" s="6"/>
    </row>
    <row r="1709" customFormat="false" ht="15" hidden="false" customHeight="false" outlineLevel="0" collapsed="false">
      <c r="A1709" s="9" t="s">
        <v>1953</v>
      </c>
      <c r="B1709" s="9" t="s">
        <v>1898</v>
      </c>
      <c r="C1709" s="9" t="s">
        <v>1899</v>
      </c>
      <c r="D1709" s="9" t="s">
        <v>1735</v>
      </c>
      <c r="E1709" s="9" t="s">
        <v>275</v>
      </c>
      <c r="F1709" s="9" t="s">
        <v>209</v>
      </c>
      <c r="G1709" s="9" t="s">
        <v>221</v>
      </c>
      <c r="H1709" s="9" t="n">
        <v>750</v>
      </c>
      <c r="I1709" s="29" t="n">
        <v>1.5</v>
      </c>
      <c r="J1709" s="9" t="n">
        <v>0</v>
      </c>
      <c r="K1709" s="30"/>
      <c r="L1709" s="30"/>
      <c r="M1709" s="30"/>
      <c r="N1709" s="30"/>
      <c r="O1709" s="30"/>
      <c r="P1709" s="30"/>
      <c r="Q1709" s="30"/>
      <c r="R1709" s="30"/>
      <c r="S1709" s="30"/>
      <c r="T1709" s="30"/>
      <c r="U1709" s="21" t="str">
        <f aca="false">IF(COUNT(K1709:T1709)=0,"SOURCE EMPTY / INDUSTRIAL ONLY",IF(MIN(K1709:T1709)=1,"SERVICE READY","HOLD"))</f>
        <v>SOURCE EMPTY / INDUSTRIAL ONLY</v>
      </c>
      <c r="V1709" s="9" t="n">
        <f aca="false">IF(U1709="SERVICE READY",1,0)</f>
        <v>0</v>
      </c>
      <c r="W1709" s="6"/>
      <c r="X1709" s="6"/>
      <c r="Y1709" s="6"/>
      <c r="Z1709" s="6"/>
    </row>
    <row r="1710" customFormat="false" ht="15" hidden="false" customHeight="false" outlineLevel="0" collapsed="false">
      <c r="A1710" s="9" t="s">
        <v>1954</v>
      </c>
      <c r="B1710" s="9" t="s">
        <v>1898</v>
      </c>
      <c r="C1710" s="9" t="s">
        <v>1899</v>
      </c>
      <c r="D1710" s="9" t="s">
        <v>1735</v>
      </c>
      <c r="E1710" s="9" t="s">
        <v>275</v>
      </c>
      <c r="F1710" s="9" t="s">
        <v>211</v>
      </c>
      <c r="G1710" s="9" t="s">
        <v>221</v>
      </c>
      <c r="H1710" s="9" t="n">
        <v>750</v>
      </c>
      <c r="I1710" s="29" t="n">
        <v>1.5</v>
      </c>
      <c r="J1710" s="9" t="n">
        <v>0</v>
      </c>
      <c r="K1710" s="30"/>
      <c r="L1710" s="30"/>
      <c r="M1710" s="30"/>
      <c r="N1710" s="30"/>
      <c r="O1710" s="30"/>
      <c r="P1710" s="30"/>
      <c r="Q1710" s="30"/>
      <c r="R1710" s="30"/>
      <c r="S1710" s="30"/>
      <c r="T1710" s="30"/>
      <c r="U1710" s="21" t="str">
        <f aca="false">IF(COUNT(K1710:T1710)=0,"SOURCE EMPTY / INDUSTRIAL ONLY",IF(MIN(K1710:T1710)=1,"SERVICE READY","HOLD"))</f>
        <v>SOURCE EMPTY / INDUSTRIAL ONLY</v>
      </c>
      <c r="V1710" s="9" t="n">
        <f aca="false">IF(U1710="SERVICE READY",1,0)</f>
        <v>0</v>
      </c>
      <c r="W1710" s="6"/>
      <c r="X1710" s="6"/>
      <c r="Y1710" s="6"/>
      <c r="Z1710" s="6"/>
    </row>
    <row r="1711" customFormat="false" ht="15" hidden="false" customHeight="false" outlineLevel="0" collapsed="false">
      <c r="A1711" s="9" t="s">
        <v>1955</v>
      </c>
      <c r="B1711" s="9" t="s">
        <v>1898</v>
      </c>
      <c r="C1711" s="9" t="s">
        <v>1899</v>
      </c>
      <c r="D1711" s="9" t="s">
        <v>1735</v>
      </c>
      <c r="E1711" s="9" t="s">
        <v>275</v>
      </c>
      <c r="F1711" s="9" t="s">
        <v>197</v>
      </c>
      <c r="G1711" s="9" t="s">
        <v>221</v>
      </c>
      <c r="H1711" s="9" t="n">
        <v>750</v>
      </c>
      <c r="I1711" s="29" t="n">
        <v>1.5</v>
      </c>
      <c r="J1711" s="9" t="n">
        <v>0</v>
      </c>
      <c r="K1711" s="30"/>
      <c r="L1711" s="30"/>
      <c r="M1711" s="30"/>
      <c r="N1711" s="30"/>
      <c r="O1711" s="30"/>
      <c r="P1711" s="30"/>
      <c r="Q1711" s="30"/>
      <c r="R1711" s="30"/>
      <c r="S1711" s="30"/>
      <c r="T1711" s="30"/>
      <c r="U1711" s="21" t="str">
        <f aca="false">IF(COUNT(K1711:T1711)=0,"SOURCE EMPTY / INDUSTRIAL ONLY",IF(MIN(K1711:T1711)=1,"SERVICE READY","HOLD"))</f>
        <v>SOURCE EMPTY / INDUSTRIAL ONLY</v>
      </c>
      <c r="V1711" s="9" t="n">
        <f aca="false">IF(U1711="SERVICE READY",1,0)</f>
        <v>0</v>
      </c>
      <c r="W1711" s="6"/>
      <c r="X1711" s="6"/>
      <c r="Y1711" s="6"/>
      <c r="Z1711" s="6"/>
    </row>
    <row r="1712" customFormat="false" ht="15" hidden="false" customHeight="false" outlineLevel="0" collapsed="false">
      <c r="A1712" s="9" t="s">
        <v>1956</v>
      </c>
      <c r="B1712" s="9" t="s">
        <v>1898</v>
      </c>
      <c r="C1712" s="9" t="s">
        <v>1899</v>
      </c>
      <c r="D1712" s="9" t="s">
        <v>1735</v>
      </c>
      <c r="E1712" s="9" t="s">
        <v>275</v>
      </c>
      <c r="F1712" s="9" t="s">
        <v>200</v>
      </c>
      <c r="G1712" s="9" t="s">
        <v>221</v>
      </c>
      <c r="H1712" s="9" t="n">
        <v>750</v>
      </c>
      <c r="I1712" s="29" t="n">
        <v>1.5</v>
      </c>
      <c r="J1712" s="9" t="n">
        <v>0</v>
      </c>
      <c r="K1712" s="30"/>
      <c r="L1712" s="30"/>
      <c r="M1712" s="30"/>
      <c r="N1712" s="30"/>
      <c r="O1712" s="30"/>
      <c r="P1712" s="30"/>
      <c r="Q1712" s="30"/>
      <c r="R1712" s="30"/>
      <c r="S1712" s="30"/>
      <c r="T1712" s="30"/>
      <c r="U1712" s="21" t="str">
        <f aca="false">IF(COUNT(K1712:T1712)=0,"SOURCE EMPTY / INDUSTRIAL ONLY",IF(MIN(K1712:T1712)=1,"SERVICE READY","HOLD"))</f>
        <v>SOURCE EMPTY / INDUSTRIAL ONLY</v>
      </c>
      <c r="V1712" s="9" t="n">
        <f aca="false">IF(U1712="SERVICE READY",1,0)</f>
        <v>0</v>
      </c>
      <c r="W1712" s="6"/>
      <c r="X1712" s="6"/>
      <c r="Y1712" s="6"/>
      <c r="Z1712" s="6"/>
    </row>
    <row r="1713" customFormat="false" ht="15" hidden="false" customHeight="false" outlineLevel="0" collapsed="false">
      <c r="A1713" s="9" t="s">
        <v>1957</v>
      </c>
      <c r="B1713" s="9" t="s">
        <v>1898</v>
      </c>
      <c r="C1713" s="9" t="s">
        <v>1899</v>
      </c>
      <c r="D1713" s="9" t="s">
        <v>1735</v>
      </c>
      <c r="E1713" s="9" t="s">
        <v>275</v>
      </c>
      <c r="F1713" s="9" t="s">
        <v>203</v>
      </c>
      <c r="G1713" s="9" t="s">
        <v>221</v>
      </c>
      <c r="H1713" s="9" t="n">
        <v>750</v>
      </c>
      <c r="I1713" s="29" t="n">
        <v>1.5</v>
      </c>
      <c r="J1713" s="9" t="n">
        <v>0</v>
      </c>
      <c r="K1713" s="30"/>
      <c r="L1713" s="30"/>
      <c r="M1713" s="30"/>
      <c r="N1713" s="30"/>
      <c r="O1713" s="30"/>
      <c r="P1713" s="30"/>
      <c r="Q1713" s="30"/>
      <c r="R1713" s="30"/>
      <c r="S1713" s="30"/>
      <c r="T1713" s="30"/>
      <c r="U1713" s="21" t="str">
        <f aca="false">IF(COUNT(K1713:T1713)=0,"SOURCE EMPTY / INDUSTRIAL ONLY",IF(MIN(K1713:T1713)=1,"SERVICE READY","HOLD"))</f>
        <v>SOURCE EMPTY / INDUSTRIAL ONLY</v>
      </c>
      <c r="V1713" s="9" t="n">
        <f aca="false">IF(U1713="SERVICE READY",1,0)</f>
        <v>0</v>
      </c>
      <c r="W1713" s="6"/>
      <c r="X1713" s="6"/>
      <c r="Y1713" s="6"/>
      <c r="Z1713" s="6"/>
    </row>
    <row r="1714" customFormat="false" ht="15" hidden="false" customHeight="false" outlineLevel="0" collapsed="false">
      <c r="A1714" s="9" t="s">
        <v>1958</v>
      </c>
      <c r="B1714" s="9" t="s">
        <v>1898</v>
      </c>
      <c r="C1714" s="9" t="s">
        <v>1899</v>
      </c>
      <c r="D1714" s="9" t="s">
        <v>1735</v>
      </c>
      <c r="E1714" s="9" t="s">
        <v>275</v>
      </c>
      <c r="F1714" s="9" t="s">
        <v>205</v>
      </c>
      <c r="G1714" s="9" t="s">
        <v>221</v>
      </c>
      <c r="H1714" s="9" t="n">
        <v>750</v>
      </c>
      <c r="I1714" s="29" t="n">
        <v>1.5</v>
      </c>
      <c r="J1714" s="9" t="n">
        <v>0</v>
      </c>
      <c r="K1714" s="30"/>
      <c r="L1714" s="30"/>
      <c r="M1714" s="30"/>
      <c r="N1714" s="30"/>
      <c r="O1714" s="30"/>
      <c r="P1714" s="30"/>
      <c r="Q1714" s="30"/>
      <c r="R1714" s="30"/>
      <c r="S1714" s="30"/>
      <c r="T1714" s="30"/>
      <c r="U1714" s="21" t="str">
        <f aca="false">IF(COUNT(K1714:T1714)=0,"SOURCE EMPTY / INDUSTRIAL ONLY",IF(MIN(K1714:T1714)=1,"SERVICE READY","HOLD"))</f>
        <v>SOURCE EMPTY / INDUSTRIAL ONLY</v>
      </c>
      <c r="V1714" s="9" t="n">
        <f aca="false">IF(U1714="SERVICE READY",1,0)</f>
        <v>0</v>
      </c>
      <c r="W1714" s="6"/>
      <c r="X1714" s="6"/>
      <c r="Y1714" s="6"/>
      <c r="Z1714" s="6"/>
    </row>
    <row r="1715" customFormat="false" ht="15" hidden="false" customHeight="false" outlineLevel="0" collapsed="false">
      <c r="A1715" s="9" t="s">
        <v>1959</v>
      </c>
      <c r="B1715" s="9" t="s">
        <v>1898</v>
      </c>
      <c r="C1715" s="9" t="s">
        <v>1899</v>
      </c>
      <c r="D1715" s="9" t="s">
        <v>1735</v>
      </c>
      <c r="E1715" s="9" t="s">
        <v>275</v>
      </c>
      <c r="F1715" s="9" t="s">
        <v>207</v>
      </c>
      <c r="G1715" s="9" t="s">
        <v>221</v>
      </c>
      <c r="H1715" s="9" t="n">
        <v>750</v>
      </c>
      <c r="I1715" s="29" t="n">
        <v>1.5</v>
      </c>
      <c r="J1715" s="9" t="n">
        <v>0</v>
      </c>
      <c r="K1715" s="30"/>
      <c r="L1715" s="30"/>
      <c r="M1715" s="30"/>
      <c r="N1715" s="30"/>
      <c r="O1715" s="30"/>
      <c r="P1715" s="30"/>
      <c r="Q1715" s="30"/>
      <c r="R1715" s="30"/>
      <c r="S1715" s="30"/>
      <c r="T1715" s="30"/>
      <c r="U1715" s="21" t="str">
        <f aca="false">IF(COUNT(K1715:T1715)=0,"SOURCE EMPTY / INDUSTRIAL ONLY",IF(MIN(K1715:T1715)=1,"SERVICE READY","HOLD"))</f>
        <v>SOURCE EMPTY / INDUSTRIAL ONLY</v>
      </c>
      <c r="V1715" s="9" t="n">
        <f aca="false">IF(U1715="SERVICE READY",1,0)</f>
        <v>0</v>
      </c>
      <c r="W1715" s="6"/>
      <c r="X1715" s="6"/>
      <c r="Y1715" s="6"/>
      <c r="Z1715" s="6"/>
    </row>
    <row r="1716" customFormat="false" ht="15" hidden="false" customHeight="false" outlineLevel="0" collapsed="false">
      <c r="A1716" s="9" t="s">
        <v>1960</v>
      </c>
      <c r="B1716" s="9" t="s">
        <v>1898</v>
      </c>
      <c r="C1716" s="9" t="s">
        <v>1899</v>
      </c>
      <c r="D1716" s="9" t="s">
        <v>1735</v>
      </c>
      <c r="E1716" s="9" t="s">
        <v>275</v>
      </c>
      <c r="F1716" s="9" t="s">
        <v>209</v>
      </c>
      <c r="G1716" s="9" t="s">
        <v>221</v>
      </c>
      <c r="H1716" s="9" t="n">
        <v>750</v>
      </c>
      <c r="I1716" s="29" t="n">
        <v>1.5</v>
      </c>
      <c r="J1716" s="9" t="n">
        <v>0</v>
      </c>
      <c r="K1716" s="30"/>
      <c r="L1716" s="30"/>
      <c r="M1716" s="30"/>
      <c r="N1716" s="30"/>
      <c r="O1716" s="30"/>
      <c r="P1716" s="30"/>
      <c r="Q1716" s="30"/>
      <c r="R1716" s="30"/>
      <c r="S1716" s="30"/>
      <c r="T1716" s="30"/>
      <c r="U1716" s="21" t="str">
        <f aca="false">IF(COUNT(K1716:T1716)=0,"SOURCE EMPTY / INDUSTRIAL ONLY",IF(MIN(K1716:T1716)=1,"SERVICE READY","HOLD"))</f>
        <v>SOURCE EMPTY / INDUSTRIAL ONLY</v>
      </c>
      <c r="V1716" s="9" t="n">
        <f aca="false">IF(U1716="SERVICE READY",1,0)</f>
        <v>0</v>
      </c>
      <c r="W1716" s="6"/>
      <c r="X1716" s="6"/>
      <c r="Y1716" s="6"/>
      <c r="Z1716" s="6"/>
    </row>
    <row r="1717" customFormat="false" ht="15" hidden="false" customHeight="false" outlineLevel="0" collapsed="false">
      <c r="A1717" s="9" t="s">
        <v>1961</v>
      </c>
      <c r="B1717" s="9" t="s">
        <v>1898</v>
      </c>
      <c r="C1717" s="9" t="s">
        <v>1899</v>
      </c>
      <c r="D1717" s="9" t="s">
        <v>1735</v>
      </c>
      <c r="E1717" s="9" t="s">
        <v>275</v>
      </c>
      <c r="F1717" s="9" t="s">
        <v>211</v>
      </c>
      <c r="G1717" s="9" t="s">
        <v>221</v>
      </c>
      <c r="H1717" s="9" t="n">
        <v>750</v>
      </c>
      <c r="I1717" s="29" t="n">
        <v>1.5</v>
      </c>
      <c r="J1717" s="9" t="n">
        <v>0</v>
      </c>
      <c r="K1717" s="30"/>
      <c r="L1717" s="30"/>
      <c r="M1717" s="30"/>
      <c r="N1717" s="30"/>
      <c r="O1717" s="30"/>
      <c r="P1717" s="30"/>
      <c r="Q1717" s="30"/>
      <c r="R1717" s="30"/>
      <c r="S1717" s="30"/>
      <c r="T1717" s="30"/>
      <c r="U1717" s="21" t="str">
        <f aca="false">IF(COUNT(K1717:T1717)=0,"SOURCE EMPTY / INDUSTRIAL ONLY",IF(MIN(K1717:T1717)=1,"SERVICE READY","HOLD"))</f>
        <v>SOURCE EMPTY / INDUSTRIAL ONLY</v>
      </c>
      <c r="V1717" s="9" t="n">
        <f aca="false">IF(U1717="SERVICE READY",1,0)</f>
        <v>0</v>
      </c>
      <c r="W1717" s="6"/>
      <c r="X1717" s="6"/>
      <c r="Y1717" s="6"/>
      <c r="Z1717" s="6"/>
    </row>
    <row r="1718" customFormat="false" ht="15" hidden="false" customHeight="false" outlineLevel="0" collapsed="false">
      <c r="A1718" s="9" t="s">
        <v>1962</v>
      </c>
      <c r="B1718" s="9" t="s">
        <v>1898</v>
      </c>
      <c r="C1718" s="9" t="s">
        <v>1899</v>
      </c>
      <c r="D1718" s="9" t="s">
        <v>1735</v>
      </c>
      <c r="E1718" s="9" t="s">
        <v>275</v>
      </c>
      <c r="F1718" s="9" t="s">
        <v>197</v>
      </c>
      <c r="G1718" s="9" t="s">
        <v>221</v>
      </c>
      <c r="H1718" s="9" t="n">
        <v>750</v>
      </c>
      <c r="I1718" s="29" t="n">
        <v>1.5</v>
      </c>
      <c r="J1718" s="9" t="n">
        <v>0</v>
      </c>
      <c r="K1718" s="30"/>
      <c r="L1718" s="30"/>
      <c r="M1718" s="30"/>
      <c r="N1718" s="30"/>
      <c r="O1718" s="30"/>
      <c r="P1718" s="30"/>
      <c r="Q1718" s="30"/>
      <c r="R1718" s="30"/>
      <c r="S1718" s="30"/>
      <c r="T1718" s="30"/>
      <c r="U1718" s="21" t="str">
        <f aca="false">IF(COUNT(K1718:T1718)=0,"SOURCE EMPTY / INDUSTRIAL ONLY",IF(MIN(K1718:T1718)=1,"SERVICE READY","HOLD"))</f>
        <v>SOURCE EMPTY / INDUSTRIAL ONLY</v>
      </c>
      <c r="V1718" s="9" t="n">
        <f aca="false">IF(U1718="SERVICE READY",1,0)</f>
        <v>0</v>
      </c>
      <c r="W1718" s="6"/>
      <c r="X1718" s="6"/>
      <c r="Y1718" s="6"/>
      <c r="Z1718" s="6"/>
    </row>
    <row r="1719" customFormat="false" ht="15" hidden="false" customHeight="false" outlineLevel="0" collapsed="false">
      <c r="A1719" s="9" t="s">
        <v>1963</v>
      </c>
      <c r="B1719" s="9" t="s">
        <v>1898</v>
      </c>
      <c r="C1719" s="9" t="s">
        <v>1899</v>
      </c>
      <c r="D1719" s="9" t="s">
        <v>1735</v>
      </c>
      <c r="E1719" s="9" t="s">
        <v>275</v>
      </c>
      <c r="F1719" s="9" t="s">
        <v>200</v>
      </c>
      <c r="G1719" s="9" t="s">
        <v>221</v>
      </c>
      <c r="H1719" s="9" t="n">
        <v>750</v>
      </c>
      <c r="I1719" s="29" t="n">
        <v>1.5</v>
      </c>
      <c r="J1719" s="9" t="n">
        <v>0</v>
      </c>
      <c r="K1719" s="30"/>
      <c r="L1719" s="30"/>
      <c r="M1719" s="30"/>
      <c r="N1719" s="30"/>
      <c r="O1719" s="30"/>
      <c r="P1719" s="30"/>
      <c r="Q1719" s="30"/>
      <c r="R1719" s="30"/>
      <c r="S1719" s="30"/>
      <c r="T1719" s="30"/>
      <c r="U1719" s="21" t="str">
        <f aca="false">IF(COUNT(K1719:T1719)=0,"SOURCE EMPTY / INDUSTRIAL ONLY",IF(MIN(K1719:T1719)=1,"SERVICE READY","HOLD"))</f>
        <v>SOURCE EMPTY / INDUSTRIAL ONLY</v>
      </c>
      <c r="V1719" s="9" t="n">
        <f aca="false">IF(U1719="SERVICE READY",1,0)</f>
        <v>0</v>
      </c>
      <c r="W1719" s="6"/>
      <c r="X1719" s="6"/>
      <c r="Y1719" s="6"/>
      <c r="Z1719" s="6"/>
    </row>
    <row r="1720" customFormat="false" ht="15" hidden="false" customHeight="false" outlineLevel="0" collapsed="false">
      <c r="A1720" s="9" t="s">
        <v>1964</v>
      </c>
      <c r="B1720" s="9" t="s">
        <v>1898</v>
      </c>
      <c r="C1720" s="9" t="s">
        <v>1899</v>
      </c>
      <c r="D1720" s="9" t="s">
        <v>1735</v>
      </c>
      <c r="E1720" s="9" t="s">
        <v>275</v>
      </c>
      <c r="F1720" s="9" t="s">
        <v>203</v>
      </c>
      <c r="G1720" s="9" t="s">
        <v>221</v>
      </c>
      <c r="H1720" s="9" t="n">
        <v>750</v>
      </c>
      <c r="I1720" s="29" t="n">
        <v>1.5</v>
      </c>
      <c r="J1720" s="9" t="n">
        <v>0</v>
      </c>
      <c r="K1720" s="30"/>
      <c r="L1720" s="30"/>
      <c r="M1720" s="30"/>
      <c r="N1720" s="30"/>
      <c r="O1720" s="30"/>
      <c r="P1720" s="30"/>
      <c r="Q1720" s="30"/>
      <c r="R1720" s="30"/>
      <c r="S1720" s="30"/>
      <c r="T1720" s="30"/>
      <c r="U1720" s="21" t="str">
        <f aca="false">IF(COUNT(K1720:T1720)=0,"SOURCE EMPTY / INDUSTRIAL ONLY",IF(MIN(K1720:T1720)=1,"SERVICE READY","HOLD"))</f>
        <v>SOURCE EMPTY / INDUSTRIAL ONLY</v>
      </c>
      <c r="V1720" s="9" t="n">
        <f aca="false">IF(U1720="SERVICE READY",1,0)</f>
        <v>0</v>
      </c>
      <c r="W1720" s="6"/>
      <c r="X1720" s="6"/>
      <c r="Y1720" s="6"/>
      <c r="Z1720" s="6"/>
    </row>
    <row r="1721" customFormat="false" ht="15" hidden="false" customHeight="false" outlineLevel="0" collapsed="false">
      <c r="A1721" s="9" t="s">
        <v>1965</v>
      </c>
      <c r="B1721" s="9" t="s">
        <v>1898</v>
      </c>
      <c r="C1721" s="9" t="s">
        <v>1899</v>
      </c>
      <c r="D1721" s="9" t="s">
        <v>1735</v>
      </c>
      <c r="E1721" s="9" t="s">
        <v>275</v>
      </c>
      <c r="F1721" s="9" t="s">
        <v>205</v>
      </c>
      <c r="G1721" s="9" t="s">
        <v>221</v>
      </c>
      <c r="H1721" s="9" t="n">
        <v>750</v>
      </c>
      <c r="I1721" s="29" t="n">
        <v>1.5</v>
      </c>
      <c r="J1721" s="9" t="n">
        <v>0</v>
      </c>
      <c r="K1721" s="30"/>
      <c r="L1721" s="30"/>
      <c r="M1721" s="30"/>
      <c r="N1721" s="30"/>
      <c r="O1721" s="30"/>
      <c r="P1721" s="30"/>
      <c r="Q1721" s="30"/>
      <c r="R1721" s="30"/>
      <c r="S1721" s="30"/>
      <c r="T1721" s="30"/>
      <c r="U1721" s="21" t="str">
        <f aca="false">IF(COUNT(K1721:T1721)=0,"SOURCE EMPTY / INDUSTRIAL ONLY",IF(MIN(K1721:T1721)=1,"SERVICE READY","HOLD"))</f>
        <v>SOURCE EMPTY / INDUSTRIAL ONLY</v>
      </c>
      <c r="V1721" s="9" t="n">
        <f aca="false">IF(U1721="SERVICE READY",1,0)</f>
        <v>0</v>
      </c>
      <c r="W1721" s="6"/>
      <c r="X1721" s="6"/>
      <c r="Y1721" s="6"/>
      <c r="Z1721" s="6"/>
    </row>
    <row r="1722" customFormat="false" ht="15" hidden="false" customHeight="false" outlineLevel="0" collapsed="false">
      <c r="A1722" s="9" t="s">
        <v>1966</v>
      </c>
      <c r="B1722" s="9" t="s">
        <v>1967</v>
      </c>
      <c r="C1722" s="9" t="s">
        <v>1968</v>
      </c>
      <c r="D1722" s="9" t="s">
        <v>1735</v>
      </c>
      <c r="E1722" s="9" t="s">
        <v>323</v>
      </c>
      <c r="F1722" s="9" t="s">
        <v>197</v>
      </c>
      <c r="G1722" s="9" t="s">
        <v>198</v>
      </c>
      <c r="H1722" s="9" t="n">
        <v>2100</v>
      </c>
      <c r="I1722" s="29" t="n">
        <v>7</v>
      </c>
      <c r="J1722" s="9" t="n">
        <v>1</v>
      </c>
      <c r="K1722" s="30"/>
      <c r="L1722" s="30"/>
      <c r="M1722" s="30"/>
      <c r="N1722" s="30"/>
      <c r="O1722" s="30"/>
      <c r="P1722" s="30"/>
      <c r="Q1722" s="30"/>
      <c r="R1722" s="30"/>
      <c r="S1722" s="30"/>
      <c r="T1722" s="30"/>
      <c r="U1722" s="21" t="str">
        <f aca="false">IF(COUNT(K1722:T1722)=0,"SOURCE EMPTY / INDUSTRIAL ONLY",IF(MIN(K1722:T1722)=1,"SERVICE READY","HOLD"))</f>
        <v>SOURCE EMPTY / INDUSTRIAL ONLY</v>
      </c>
      <c r="V1722" s="9" t="n">
        <f aca="false">IF(U1722="SERVICE READY",1,0)</f>
        <v>0</v>
      </c>
      <c r="W1722" s="6"/>
      <c r="X1722" s="6"/>
      <c r="Y1722" s="6"/>
      <c r="Z1722" s="6"/>
    </row>
    <row r="1723" customFormat="false" ht="15" hidden="false" customHeight="false" outlineLevel="0" collapsed="false">
      <c r="A1723" s="9" t="s">
        <v>1969</v>
      </c>
      <c r="B1723" s="9" t="s">
        <v>1967</v>
      </c>
      <c r="C1723" s="9" t="s">
        <v>1968</v>
      </c>
      <c r="D1723" s="9" t="s">
        <v>1735</v>
      </c>
      <c r="E1723" s="9" t="s">
        <v>323</v>
      </c>
      <c r="F1723" s="9" t="s">
        <v>200</v>
      </c>
      <c r="G1723" s="9" t="s">
        <v>201</v>
      </c>
      <c r="H1723" s="9" t="n">
        <v>2100</v>
      </c>
      <c r="I1723" s="29" t="n">
        <v>7</v>
      </c>
      <c r="J1723" s="9" t="n">
        <v>1</v>
      </c>
      <c r="K1723" s="30"/>
      <c r="L1723" s="30"/>
      <c r="M1723" s="30"/>
      <c r="N1723" s="30"/>
      <c r="O1723" s="30"/>
      <c r="P1723" s="30"/>
      <c r="Q1723" s="30"/>
      <c r="R1723" s="30"/>
      <c r="S1723" s="30"/>
      <c r="T1723" s="30"/>
      <c r="U1723" s="21" t="str">
        <f aca="false">IF(COUNT(K1723:T1723)=0,"SOURCE EMPTY / INDUSTRIAL ONLY",IF(MIN(K1723:T1723)=1,"SERVICE READY","HOLD"))</f>
        <v>SOURCE EMPTY / INDUSTRIAL ONLY</v>
      </c>
      <c r="V1723" s="9" t="n">
        <f aca="false">IF(U1723="SERVICE READY",1,0)</f>
        <v>0</v>
      </c>
      <c r="W1723" s="6"/>
      <c r="X1723" s="6"/>
      <c r="Y1723" s="6"/>
      <c r="Z1723" s="6"/>
    </row>
    <row r="1724" customFormat="false" ht="15" hidden="false" customHeight="false" outlineLevel="0" collapsed="false">
      <c r="A1724" s="9" t="s">
        <v>1970</v>
      </c>
      <c r="B1724" s="9" t="s">
        <v>1967</v>
      </c>
      <c r="C1724" s="9" t="s">
        <v>1968</v>
      </c>
      <c r="D1724" s="9" t="s">
        <v>1735</v>
      </c>
      <c r="E1724" s="9" t="s">
        <v>323</v>
      </c>
      <c r="F1724" s="9" t="s">
        <v>203</v>
      </c>
      <c r="G1724" s="9" t="s">
        <v>198</v>
      </c>
      <c r="H1724" s="9" t="n">
        <v>2100</v>
      </c>
      <c r="I1724" s="29" t="n">
        <v>7</v>
      </c>
      <c r="J1724" s="9" t="n">
        <v>1</v>
      </c>
      <c r="K1724" s="30"/>
      <c r="L1724" s="30"/>
      <c r="M1724" s="30"/>
      <c r="N1724" s="30"/>
      <c r="O1724" s="30"/>
      <c r="P1724" s="30"/>
      <c r="Q1724" s="30"/>
      <c r="R1724" s="30"/>
      <c r="S1724" s="30"/>
      <c r="T1724" s="30"/>
      <c r="U1724" s="21" t="str">
        <f aca="false">IF(COUNT(K1724:T1724)=0,"SOURCE EMPTY / INDUSTRIAL ONLY",IF(MIN(K1724:T1724)=1,"SERVICE READY","HOLD"))</f>
        <v>SOURCE EMPTY / INDUSTRIAL ONLY</v>
      </c>
      <c r="V1724" s="9" t="n">
        <f aca="false">IF(U1724="SERVICE READY",1,0)</f>
        <v>0</v>
      </c>
      <c r="W1724" s="6"/>
      <c r="X1724" s="6"/>
      <c r="Y1724" s="6"/>
      <c r="Z1724" s="6"/>
    </row>
    <row r="1725" customFormat="false" ht="15" hidden="false" customHeight="false" outlineLevel="0" collapsed="false">
      <c r="A1725" s="9" t="s">
        <v>1971</v>
      </c>
      <c r="B1725" s="9" t="s">
        <v>1967</v>
      </c>
      <c r="C1725" s="9" t="s">
        <v>1968</v>
      </c>
      <c r="D1725" s="9" t="s">
        <v>1735</v>
      </c>
      <c r="E1725" s="9" t="s">
        <v>323</v>
      </c>
      <c r="F1725" s="9" t="s">
        <v>205</v>
      </c>
      <c r="G1725" s="9" t="s">
        <v>201</v>
      </c>
      <c r="H1725" s="9" t="n">
        <v>2100</v>
      </c>
      <c r="I1725" s="29" t="n">
        <v>7</v>
      </c>
      <c r="J1725" s="9" t="n">
        <v>1</v>
      </c>
      <c r="K1725" s="30"/>
      <c r="L1725" s="30"/>
      <c r="M1725" s="30"/>
      <c r="N1725" s="30"/>
      <c r="O1725" s="30"/>
      <c r="P1725" s="30"/>
      <c r="Q1725" s="30"/>
      <c r="R1725" s="30"/>
      <c r="S1725" s="30"/>
      <c r="T1725" s="30"/>
      <c r="U1725" s="21" t="str">
        <f aca="false">IF(COUNT(K1725:T1725)=0,"SOURCE EMPTY / INDUSTRIAL ONLY",IF(MIN(K1725:T1725)=1,"SERVICE READY","HOLD"))</f>
        <v>SOURCE EMPTY / INDUSTRIAL ONLY</v>
      </c>
      <c r="V1725" s="9" t="n">
        <f aca="false">IF(U1725="SERVICE READY",1,0)</f>
        <v>0</v>
      </c>
      <c r="W1725" s="6"/>
      <c r="X1725" s="6"/>
      <c r="Y1725" s="6"/>
      <c r="Z1725" s="6"/>
    </row>
    <row r="1726" customFormat="false" ht="15" hidden="false" customHeight="false" outlineLevel="0" collapsed="false">
      <c r="A1726" s="9" t="s">
        <v>1972</v>
      </c>
      <c r="B1726" s="9" t="s">
        <v>1967</v>
      </c>
      <c r="C1726" s="9" t="s">
        <v>1968</v>
      </c>
      <c r="D1726" s="9" t="s">
        <v>1735</v>
      </c>
      <c r="E1726" s="9" t="s">
        <v>323</v>
      </c>
      <c r="F1726" s="9" t="s">
        <v>207</v>
      </c>
      <c r="G1726" s="9" t="s">
        <v>198</v>
      </c>
      <c r="H1726" s="9" t="n">
        <v>2100</v>
      </c>
      <c r="I1726" s="29" t="n">
        <v>7</v>
      </c>
      <c r="J1726" s="9" t="n">
        <v>1</v>
      </c>
      <c r="K1726" s="30"/>
      <c r="L1726" s="30"/>
      <c r="M1726" s="30"/>
      <c r="N1726" s="30"/>
      <c r="O1726" s="30"/>
      <c r="P1726" s="30"/>
      <c r="Q1726" s="30"/>
      <c r="R1726" s="30"/>
      <c r="S1726" s="30"/>
      <c r="T1726" s="30"/>
      <c r="U1726" s="21" t="str">
        <f aca="false">IF(COUNT(K1726:T1726)=0,"SOURCE EMPTY / INDUSTRIAL ONLY",IF(MIN(K1726:T1726)=1,"SERVICE READY","HOLD"))</f>
        <v>SOURCE EMPTY / INDUSTRIAL ONLY</v>
      </c>
      <c r="V1726" s="9" t="n">
        <f aca="false">IF(U1726="SERVICE READY",1,0)</f>
        <v>0</v>
      </c>
      <c r="W1726" s="6"/>
      <c r="X1726" s="6"/>
      <c r="Y1726" s="6"/>
      <c r="Z1726" s="6"/>
    </row>
    <row r="1727" customFormat="false" ht="15" hidden="false" customHeight="false" outlineLevel="0" collapsed="false">
      <c r="A1727" s="9" t="s">
        <v>1973</v>
      </c>
      <c r="B1727" s="9" t="s">
        <v>1967</v>
      </c>
      <c r="C1727" s="9" t="s">
        <v>1968</v>
      </c>
      <c r="D1727" s="9" t="s">
        <v>1735</v>
      </c>
      <c r="E1727" s="9" t="s">
        <v>323</v>
      </c>
      <c r="F1727" s="9" t="s">
        <v>209</v>
      </c>
      <c r="G1727" s="9" t="s">
        <v>201</v>
      </c>
      <c r="H1727" s="9" t="n">
        <v>2100</v>
      </c>
      <c r="I1727" s="29" t="n">
        <v>7</v>
      </c>
      <c r="J1727" s="9" t="n">
        <v>1</v>
      </c>
      <c r="K1727" s="30"/>
      <c r="L1727" s="30"/>
      <c r="M1727" s="30"/>
      <c r="N1727" s="30"/>
      <c r="O1727" s="30"/>
      <c r="P1727" s="30"/>
      <c r="Q1727" s="30"/>
      <c r="R1727" s="30"/>
      <c r="S1727" s="30"/>
      <c r="T1727" s="30"/>
      <c r="U1727" s="21" t="str">
        <f aca="false">IF(COUNT(K1727:T1727)=0,"SOURCE EMPTY / INDUSTRIAL ONLY",IF(MIN(K1727:T1727)=1,"SERVICE READY","HOLD"))</f>
        <v>SOURCE EMPTY / INDUSTRIAL ONLY</v>
      </c>
      <c r="V1727" s="9" t="n">
        <f aca="false">IF(U1727="SERVICE READY",1,0)</f>
        <v>0</v>
      </c>
      <c r="W1727" s="6"/>
      <c r="X1727" s="6"/>
      <c r="Y1727" s="6"/>
      <c r="Z1727" s="6"/>
    </row>
    <row r="1728" customFormat="false" ht="15" hidden="false" customHeight="false" outlineLevel="0" collapsed="false">
      <c r="A1728" s="9" t="s">
        <v>1974</v>
      </c>
      <c r="B1728" s="9" t="s">
        <v>1967</v>
      </c>
      <c r="C1728" s="9" t="s">
        <v>1968</v>
      </c>
      <c r="D1728" s="9" t="s">
        <v>1735</v>
      </c>
      <c r="E1728" s="9" t="s">
        <v>323</v>
      </c>
      <c r="F1728" s="9" t="s">
        <v>211</v>
      </c>
      <c r="G1728" s="9" t="s">
        <v>198</v>
      </c>
      <c r="H1728" s="9" t="n">
        <v>2100</v>
      </c>
      <c r="I1728" s="29" t="n">
        <v>7</v>
      </c>
      <c r="J1728" s="9" t="n">
        <v>1</v>
      </c>
      <c r="K1728" s="30"/>
      <c r="L1728" s="30"/>
      <c r="M1728" s="30"/>
      <c r="N1728" s="30"/>
      <c r="O1728" s="30"/>
      <c r="P1728" s="30"/>
      <c r="Q1728" s="30"/>
      <c r="R1728" s="30"/>
      <c r="S1728" s="30"/>
      <c r="T1728" s="30"/>
      <c r="U1728" s="21" t="str">
        <f aca="false">IF(COUNT(K1728:T1728)=0,"SOURCE EMPTY / INDUSTRIAL ONLY",IF(MIN(K1728:T1728)=1,"SERVICE READY","HOLD"))</f>
        <v>SOURCE EMPTY / INDUSTRIAL ONLY</v>
      </c>
      <c r="V1728" s="9" t="n">
        <f aca="false">IF(U1728="SERVICE READY",1,0)</f>
        <v>0</v>
      </c>
      <c r="W1728" s="6"/>
      <c r="X1728" s="6"/>
      <c r="Y1728" s="6"/>
      <c r="Z1728" s="6"/>
    </row>
    <row r="1729" customFormat="false" ht="15" hidden="false" customHeight="false" outlineLevel="0" collapsed="false">
      <c r="A1729" s="9" t="s">
        <v>1975</v>
      </c>
      <c r="B1729" s="9" t="s">
        <v>1967</v>
      </c>
      <c r="C1729" s="9" t="s">
        <v>1968</v>
      </c>
      <c r="D1729" s="9" t="s">
        <v>1735</v>
      </c>
      <c r="E1729" s="9" t="s">
        <v>323</v>
      </c>
      <c r="F1729" s="9" t="s">
        <v>197</v>
      </c>
      <c r="G1729" s="9" t="s">
        <v>201</v>
      </c>
      <c r="H1729" s="9" t="n">
        <v>2100</v>
      </c>
      <c r="I1729" s="29" t="n">
        <v>7</v>
      </c>
      <c r="J1729" s="9" t="n">
        <v>1</v>
      </c>
      <c r="K1729" s="30"/>
      <c r="L1729" s="30"/>
      <c r="M1729" s="30"/>
      <c r="N1729" s="30"/>
      <c r="O1729" s="30"/>
      <c r="P1729" s="30"/>
      <c r="Q1729" s="30"/>
      <c r="R1729" s="30"/>
      <c r="S1729" s="30"/>
      <c r="T1729" s="30"/>
      <c r="U1729" s="21" t="str">
        <f aca="false">IF(COUNT(K1729:T1729)=0,"SOURCE EMPTY / INDUSTRIAL ONLY",IF(MIN(K1729:T1729)=1,"SERVICE READY","HOLD"))</f>
        <v>SOURCE EMPTY / INDUSTRIAL ONLY</v>
      </c>
      <c r="V1729" s="9" t="n">
        <f aca="false">IF(U1729="SERVICE READY",1,0)</f>
        <v>0</v>
      </c>
      <c r="W1729" s="6"/>
      <c r="X1729" s="6"/>
      <c r="Y1729" s="6"/>
      <c r="Z1729" s="6"/>
    </row>
    <row r="1730" customFormat="false" ht="15" hidden="false" customHeight="false" outlineLevel="0" collapsed="false">
      <c r="A1730" s="9" t="s">
        <v>1976</v>
      </c>
      <c r="B1730" s="9" t="s">
        <v>1967</v>
      </c>
      <c r="C1730" s="9" t="s">
        <v>1968</v>
      </c>
      <c r="D1730" s="9" t="s">
        <v>1735</v>
      </c>
      <c r="E1730" s="9" t="s">
        <v>323</v>
      </c>
      <c r="F1730" s="9" t="s">
        <v>200</v>
      </c>
      <c r="G1730" s="9" t="s">
        <v>198</v>
      </c>
      <c r="H1730" s="9" t="n">
        <v>2100</v>
      </c>
      <c r="I1730" s="29" t="n">
        <v>7</v>
      </c>
      <c r="J1730" s="9" t="n">
        <v>1</v>
      </c>
      <c r="K1730" s="30"/>
      <c r="L1730" s="30"/>
      <c r="M1730" s="30"/>
      <c r="N1730" s="30"/>
      <c r="O1730" s="30"/>
      <c r="P1730" s="30"/>
      <c r="Q1730" s="30"/>
      <c r="R1730" s="30"/>
      <c r="S1730" s="30"/>
      <c r="T1730" s="30"/>
      <c r="U1730" s="21" t="str">
        <f aca="false">IF(COUNT(K1730:T1730)=0,"SOURCE EMPTY / INDUSTRIAL ONLY",IF(MIN(K1730:T1730)=1,"SERVICE READY","HOLD"))</f>
        <v>SOURCE EMPTY / INDUSTRIAL ONLY</v>
      </c>
      <c r="V1730" s="9" t="n">
        <f aca="false">IF(U1730="SERVICE READY",1,0)</f>
        <v>0</v>
      </c>
      <c r="W1730" s="6"/>
      <c r="X1730" s="6"/>
      <c r="Y1730" s="6"/>
      <c r="Z1730" s="6"/>
    </row>
    <row r="1731" customFormat="false" ht="15" hidden="false" customHeight="false" outlineLevel="0" collapsed="false">
      <c r="A1731" s="9" t="s">
        <v>1977</v>
      </c>
      <c r="B1731" s="9" t="s">
        <v>1967</v>
      </c>
      <c r="C1731" s="9" t="s">
        <v>1968</v>
      </c>
      <c r="D1731" s="9" t="s">
        <v>1735</v>
      </c>
      <c r="E1731" s="9" t="s">
        <v>323</v>
      </c>
      <c r="F1731" s="9" t="s">
        <v>203</v>
      </c>
      <c r="G1731" s="9" t="s">
        <v>201</v>
      </c>
      <c r="H1731" s="9" t="n">
        <v>2100</v>
      </c>
      <c r="I1731" s="29" t="n">
        <v>7</v>
      </c>
      <c r="J1731" s="9" t="n">
        <v>1</v>
      </c>
      <c r="K1731" s="30"/>
      <c r="L1731" s="30"/>
      <c r="M1731" s="30"/>
      <c r="N1731" s="30"/>
      <c r="O1731" s="30"/>
      <c r="P1731" s="30"/>
      <c r="Q1731" s="30"/>
      <c r="R1731" s="30"/>
      <c r="S1731" s="30"/>
      <c r="T1731" s="30"/>
      <c r="U1731" s="21" t="str">
        <f aca="false">IF(COUNT(K1731:T1731)=0,"SOURCE EMPTY / INDUSTRIAL ONLY",IF(MIN(K1731:T1731)=1,"SERVICE READY","HOLD"))</f>
        <v>SOURCE EMPTY / INDUSTRIAL ONLY</v>
      </c>
      <c r="V1731" s="9" t="n">
        <f aca="false">IF(U1731="SERVICE READY",1,0)</f>
        <v>0</v>
      </c>
      <c r="W1731" s="6"/>
      <c r="X1731" s="6"/>
      <c r="Y1731" s="6"/>
      <c r="Z1731" s="6"/>
    </row>
    <row r="1732" customFormat="false" ht="15" hidden="false" customHeight="false" outlineLevel="0" collapsed="false">
      <c r="A1732" s="9" t="s">
        <v>1978</v>
      </c>
      <c r="B1732" s="9" t="s">
        <v>1967</v>
      </c>
      <c r="C1732" s="9" t="s">
        <v>1968</v>
      </c>
      <c r="D1732" s="9" t="s">
        <v>1735</v>
      </c>
      <c r="E1732" s="9" t="s">
        <v>323</v>
      </c>
      <c r="F1732" s="9" t="s">
        <v>205</v>
      </c>
      <c r="G1732" s="9" t="s">
        <v>198</v>
      </c>
      <c r="H1732" s="9" t="n">
        <v>2100</v>
      </c>
      <c r="I1732" s="29" t="n">
        <v>7</v>
      </c>
      <c r="J1732" s="9" t="n">
        <v>1</v>
      </c>
      <c r="K1732" s="30"/>
      <c r="L1732" s="30"/>
      <c r="M1732" s="30"/>
      <c r="N1732" s="30"/>
      <c r="O1732" s="30"/>
      <c r="P1732" s="30"/>
      <c r="Q1732" s="30"/>
      <c r="R1732" s="30"/>
      <c r="S1732" s="30"/>
      <c r="T1732" s="30"/>
      <c r="U1732" s="21" t="str">
        <f aca="false">IF(COUNT(K1732:T1732)=0,"SOURCE EMPTY / INDUSTRIAL ONLY",IF(MIN(K1732:T1732)=1,"SERVICE READY","HOLD"))</f>
        <v>SOURCE EMPTY / INDUSTRIAL ONLY</v>
      </c>
      <c r="V1732" s="9" t="n">
        <f aca="false">IF(U1732="SERVICE READY",1,0)</f>
        <v>0</v>
      </c>
      <c r="W1732" s="6"/>
      <c r="X1732" s="6"/>
      <c r="Y1732" s="6"/>
      <c r="Z1732" s="6"/>
    </row>
    <row r="1733" customFormat="false" ht="15" hidden="false" customHeight="false" outlineLevel="0" collapsed="false">
      <c r="A1733" s="9" t="s">
        <v>1979</v>
      </c>
      <c r="B1733" s="9" t="s">
        <v>1967</v>
      </c>
      <c r="C1733" s="9" t="s">
        <v>1968</v>
      </c>
      <c r="D1733" s="9" t="s">
        <v>1735</v>
      </c>
      <c r="E1733" s="9" t="s">
        <v>323</v>
      </c>
      <c r="F1733" s="9" t="s">
        <v>207</v>
      </c>
      <c r="G1733" s="9" t="s">
        <v>201</v>
      </c>
      <c r="H1733" s="9" t="n">
        <v>2100</v>
      </c>
      <c r="I1733" s="29" t="n">
        <v>7</v>
      </c>
      <c r="J1733" s="9" t="n">
        <v>1</v>
      </c>
      <c r="K1733" s="30"/>
      <c r="L1733" s="30"/>
      <c r="M1733" s="30"/>
      <c r="N1733" s="30"/>
      <c r="O1733" s="30"/>
      <c r="P1733" s="30"/>
      <c r="Q1733" s="30"/>
      <c r="R1733" s="30"/>
      <c r="S1733" s="30"/>
      <c r="T1733" s="30"/>
      <c r="U1733" s="21" t="str">
        <f aca="false">IF(COUNT(K1733:T1733)=0,"SOURCE EMPTY / INDUSTRIAL ONLY",IF(MIN(K1733:T1733)=1,"SERVICE READY","HOLD"))</f>
        <v>SOURCE EMPTY / INDUSTRIAL ONLY</v>
      </c>
      <c r="V1733" s="9" t="n">
        <f aca="false">IF(U1733="SERVICE READY",1,0)</f>
        <v>0</v>
      </c>
      <c r="W1733" s="6"/>
      <c r="X1733" s="6"/>
      <c r="Y1733" s="6"/>
      <c r="Z1733" s="6"/>
    </row>
    <row r="1734" customFormat="false" ht="15" hidden="false" customHeight="false" outlineLevel="0" collapsed="false">
      <c r="A1734" s="9" t="s">
        <v>1980</v>
      </c>
      <c r="B1734" s="9" t="s">
        <v>1967</v>
      </c>
      <c r="C1734" s="9" t="s">
        <v>1968</v>
      </c>
      <c r="D1734" s="9" t="s">
        <v>1735</v>
      </c>
      <c r="E1734" s="9" t="s">
        <v>323</v>
      </c>
      <c r="F1734" s="9" t="s">
        <v>209</v>
      </c>
      <c r="G1734" s="9" t="s">
        <v>198</v>
      </c>
      <c r="H1734" s="9" t="n">
        <v>2100</v>
      </c>
      <c r="I1734" s="29" t="n">
        <v>7</v>
      </c>
      <c r="J1734" s="9" t="n">
        <v>1</v>
      </c>
      <c r="K1734" s="30"/>
      <c r="L1734" s="30"/>
      <c r="M1734" s="30"/>
      <c r="N1734" s="30"/>
      <c r="O1734" s="30"/>
      <c r="P1734" s="30"/>
      <c r="Q1734" s="30"/>
      <c r="R1734" s="30"/>
      <c r="S1734" s="30"/>
      <c r="T1734" s="30"/>
      <c r="U1734" s="21" t="str">
        <f aca="false">IF(COUNT(K1734:T1734)=0,"SOURCE EMPTY / INDUSTRIAL ONLY",IF(MIN(K1734:T1734)=1,"SERVICE READY","HOLD"))</f>
        <v>SOURCE EMPTY / INDUSTRIAL ONLY</v>
      </c>
      <c r="V1734" s="9" t="n">
        <f aca="false">IF(U1734="SERVICE READY",1,0)</f>
        <v>0</v>
      </c>
      <c r="W1734" s="6"/>
      <c r="X1734" s="6"/>
      <c r="Y1734" s="6"/>
      <c r="Z1734" s="6"/>
    </row>
    <row r="1735" customFormat="false" ht="15" hidden="false" customHeight="false" outlineLevel="0" collapsed="false">
      <c r="A1735" s="9" t="s">
        <v>1981</v>
      </c>
      <c r="B1735" s="9" t="s">
        <v>1967</v>
      </c>
      <c r="C1735" s="9" t="s">
        <v>1968</v>
      </c>
      <c r="D1735" s="9" t="s">
        <v>1735</v>
      </c>
      <c r="E1735" s="9" t="s">
        <v>323</v>
      </c>
      <c r="F1735" s="9" t="s">
        <v>211</v>
      </c>
      <c r="G1735" s="9" t="s">
        <v>201</v>
      </c>
      <c r="H1735" s="9" t="n">
        <v>2100</v>
      </c>
      <c r="I1735" s="29" t="n">
        <v>7</v>
      </c>
      <c r="J1735" s="9" t="n">
        <v>1</v>
      </c>
      <c r="K1735" s="30"/>
      <c r="L1735" s="30"/>
      <c r="M1735" s="30"/>
      <c r="N1735" s="30"/>
      <c r="O1735" s="30"/>
      <c r="P1735" s="30"/>
      <c r="Q1735" s="30"/>
      <c r="R1735" s="30"/>
      <c r="S1735" s="30"/>
      <c r="T1735" s="30"/>
      <c r="U1735" s="21" t="str">
        <f aca="false">IF(COUNT(K1735:T1735)=0,"SOURCE EMPTY / INDUSTRIAL ONLY",IF(MIN(K1735:T1735)=1,"SERVICE READY","HOLD"))</f>
        <v>SOURCE EMPTY / INDUSTRIAL ONLY</v>
      </c>
      <c r="V1735" s="9" t="n">
        <f aca="false">IF(U1735="SERVICE READY",1,0)</f>
        <v>0</v>
      </c>
      <c r="W1735" s="6"/>
      <c r="X1735" s="6"/>
      <c r="Y1735" s="6"/>
      <c r="Z1735" s="6"/>
    </row>
    <row r="1736" customFormat="false" ht="15" hidden="false" customHeight="false" outlineLevel="0" collapsed="false">
      <c r="A1736" s="9" t="s">
        <v>1982</v>
      </c>
      <c r="B1736" s="9" t="s">
        <v>1967</v>
      </c>
      <c r="C1736" s="9" t="s">
        <v>1968</v>
      </c>
      <c r="D1736" s="9" t="s">
        <v>1735</v>
      </c>
      <c r="E1736" s="9" t="s">
        <v>323</v>
      </c>
      <c r="F1736" s="9" t="s">
        <v>197</v>
      </c>
      <c r="G1736" s="9" t="s">
        <v>198</v>
      </c>
      <c r="H1736" s="9" t="n">
        <v>2100</v>
      </c>
      <c r="I1736" s="29" t="n">
        <v>7</v>
      </c>
      <c r="J1736" s="9" t="n">
        <v>1</v>
      </c>
      <c r="K1736" s="30"/>
      <c r="L1736" s="30"/>
      <c r="M1736" s="30"/>
      <c r="N1736" s="30"/>
      <c r="O1736" s="30"/>
      <c r="P1736" s="30"/>
      <c r="Q1736" s="30"/>
      <c r="R1736" s="30"/>
      <c r="S1736" s="30"/>
      <c r="T1736" s="30"/>
      <c r="U1736" s="21" t="str">
        <f aca="false">IF(COUNT(K1736:T1736)=0,"SOURCE EMPTY / INDUSTRIAL ONLY",IF(MIN(K1736:T1736)=1,"SERVICE READY","HOLD"))</f>
        <v>SOURCE EMPTY / INDUSTRIAL ONLY</v>
      </c>
      <c r="V1736" s="9" t="n">
        <f aca="false">IF(U1736="SERVICE READY",1,0)</f>
        <v>0</v>
      </c>
      <c r="W1736" s="6"/>
      <c r="X1736" s="6"/>
      <c r="Y1736" s="6"/>
      <c r="Z1736" s="6"/>
    </row>
    <row r="1737" customFormat="false" ht="15" hidden="false" customHeight="false" outlineLevel="0" collapsed="false">
      <c r="A1737" s="9" t="s">
        <v>1983</v>
      </c>
      <c r="B1737" s="9" t="s">
        <v>1967</v>
      </c>
      <c r="C1737" s="9" t="s">
        <v>1968</v>
      </c>
      <c r="D1737" s="9" t="s">
        <v>1735</v>
      </c>
      <c r="E1737" s="9" t="s">
        <v>323</v>
      </c>
      <c r="F1737" s="9" t="s">
        <v>200</v>
      </c>
      <c r="G1737" s="9" t="s">
        <v>201</v>
      </c>
      <c r="H1737" s="9" t="n">
        <v>2100</v>
      </c>
      <c r="I1737" s="29" t="n">
        <v>7</v>
      </c>
      <c r="J1737" s="9" t="n">
        <v>1</v>
      </c>
      <c r="K1737" s="30"/>
      <c r="L1737" s="30"/>
      <c r="M1737" s="30"/>
      <c r="N1737" s="30"/>
      <c r="O1737" s="30"/>
      <c r="P1737" s="30"/>
      <c r="Q1737" s="30"/>
      <c r="R1737" s="30"/>
      <c r="S1737" s="30"/>
      <c r="T1737" s="30"/>
      <c r="U1737" s="21" t="str">
        <f aca="false">IF(COUNT(K1737:T1737)=0,"SOURCE EMPTY / INDUSTRIAL ONLY",IF(MIN(K1737:T1737)=1,"SERVICE READY","HOLD"))</f>
        <v>SOURCE EMPTY / INDUSTRIAL ONLY</v>
      </c>
      <c r="V1737" s="9" t="n">
        <f aca="false">IF(U1737="SERVICE READY",1,0)</f>
        <v>0</v>
      </c>
      <c r="W1737" s="6"/>
      <c r="X1737" s="6"/>
      <c r="Y1737" s="6"/>
      <c r="Z1737" s="6"/>
    </row>
    <row r="1738" customFormat="false" ht="15" hidden="false" customHeight="false" outlineLevel="0" collapsed="false">
      <c r="A1738" s="9" t="s">
        <v>1984</v>
      </c>
      <c r="B1738" s="9" t="s">
        <v>1967</v>
      </c>
      <c r="C1738" s="9" t="s">
        <v>1968</v>
      </c>
      <c r="D1738" s="9" t="s">
        <v>1735</v>
      </c>
      <c r="E1738" s="9" t="s">
        <v>323</v>
      </c>
      <c r="F1738" s="9" t="s">
        <v>203</v>
      </c>
      <c r="G1738" s="9" t="s">
        <v>198</v>
      </c>
      <c r="H1738" s="9" t="n">
        <v>2100</v>
      </c>
      <c r="I1738" s="29" t="n">
        <v>7</v>
      </c>
      <c r="J1738" s="9" t="n">
        <v>1</v>
      </c>
      <c r="K1738" s="30"/>
      <c r="L1738" s="30"/>
      <c r="M1738" s="30"/>
      <c r="N1738" s="30"/>
      <c r="O1738" s="30"/>
      <c r="P1738" s="30"/>
      <c r="Q1738" s="30"/>
      <c r="R1738" s="30"/>
      <c r="S1738" s="30"/>
      <c r="T1738" s="30"/>
      <c r="U1738" s="21" t="str">
        <f aca="false">IF(COUNT(K1738:T1738)=0,"SOURCE EMPTY / INDUSTRIAL ONLY",IF(MIN(K1738:T1738)=1,"SERVICE READY","HOLD"))</f>
        <v>SOURCE EMPTY / INDUSTRIAL ONLY</v>
      </c>
      <c r="V1738" s="9" t="n">
        <f aca="false">IF(U1738="SERVICE READY",1,0)</f>
        <v>0</v>
      </c>
      <c r="W1738" s="6"/>
      <c r="X1738" s="6"/>
      <c r="Y1738" s="6"/>
      <c r="Z1738" s="6"/>
    </row>
    <row r="1739" customFormat="false" ht="15" hidden="false" customHeight="false" outlineLevel="0" collapsed="false">
      <c r="A1739" s="9" t="s">
        <v>1985</v>
      </c>
      <c r="B1739" s="9" t="s">
        <v>1967</v>
      </c>
      <c r="C1739" s="9" t="s">
        <v>1968</v>
      </c>
      <c r="D1739" s="9" t="s">
        <v>1735</v>
      </c>
      <c r="E1739" s="9" t="s">
        <v>323</v>
      </c>
      <c r="F1739" s="9" t="s">
        <v>205</v>
      </c>
      <c r="G1739" s="9" t="s">
        <v>201</v>
      </c>
      <c r="H1739" s="9" t="n">
        <v>2100</v>
      </c>
      <c r="I1739" s="29" t="n">
        <v>7</v>
      </c>
      <c r="J1739" s="9" t="n">
        <v>1</v>
      </c>
      <c r="K1739" s="30"/>
      <c r="L1739" s="30"/>
      <c r="M1739" s="30"/>
      <c r="N1739" s="30"/>
      <c r="O1739" s="30"/>
      <c r="P1739" s="30"/>
      <c r="Q1739" s="30"/>
      <c r="R1739" s="30"/>
      <c r="S1739" s="30"/>
      <c r="T1739" s="30"/>
      <c r="U1739" s="21" t="str">
        <f aca="false">IF(COUNT(K1739:T1739)=0,"SOURCE EMPTY / INDUSTRIAL ONLY",IF(MIN(K1739:T1739)=1,"SERVICE READY","HOLD"))</f>
        <v>SOURCE EMPTY / INDUSTRIAL ONLY</v>
      </c>
      <c r="V1739" s="9" t="n">
        <f aca="false">IF(U1739="SERVICE READY",1,0)</f>
        <v>0</v>
      </c>
      <c r="W1739" s="6"/>
      <c r="X1739" s="6"/>
      <c r="Y1739" s="6"/>
      <c r="Z1739" s="6"/>
    </row>
    <row r="1740" customFormat="false" ht="15" hidden="false" customHeight="false" outlineLevel="0" collapsed="false">
      <c r="A1740" s="9" t="s">
        <v>1986</v>
      </c>
      <c r="B1740" s="9" t="s">
        <v>1967</v>
      </c>
      <c r="C1740" s="9" t="s">
        <v>1968</v>
      </c>
      <c r="D1740" s="9" t="s">
        <v>1735</v>
      </c>
      <c r="E1740" s="9" t="s">
        <v>323</v>
      </c>
      <c r="F1740" s="9" t="s">
        <v>207</v>
      </c>
      <c r="G1740" s="9" t="s">
        <v>198</v>
      </c>
      <c r="H1740" s="9" t="n">
        <v>2100</v>
      </c>
      <c r="I1740" s="29" t="n">
        <v>7</v>
      </c>
      <c r="J1740" s="9" t="n">
        <v>1</v>
      </c>
      <c r="K1740" s="30"/>
      <c r="L1740" s="30"/>
      <c r="M1740" s="30"/>
      <c r="N1740" s="30"/>
      <c r="O1740" s="30"/>
      <c r="P1740" s="30"/>
      <c r="Q1740" s="30"/>
      <c r="R1740" s="30"/>
      <c r="S1740" s="30"/>
      <c r="T1740" s="30"/>
      <c r="U1740" s="21" t="str">
        <f aca="false">IF(COUNT(K1740:T1740)=0,"SOURCE EMPTY / INDUSTRIAL ONLY",IF(MIN(K1740:T1740)=1,"SERVICE READY","HOLD"))</f>
        <v>SOURCE EMPTY / INDUSTRIAL ONLY</v>
      </c>
      <c r="V1740" s="9" t="n">
        <f aca="false">IF(U1740="SERVICE READY",1,0)</f>
        <v>0</v>
      </c>
      <c r="W1740" s="6"/>
      <c r="X1740" s="6"/>
      <c r="Y1740" s="6"/>
      <c r="Z1740" s="6"/>
    </row>
    <row r="1741" customFormat="false" ht="15" hidden="false" customHeight="false" outlineLevel="0" collapsed="false">
      <c r="A1741" s="9" t="s">
        <v>1987</v>
      </c>
      <c r="B1741" s="9" t="s">
        <v>1967</v>
      </c>
      <c r="C1741" s="9" t="s">
        <v>1968</v>
      </c>
      <c r="D1741" s="9" t="s">
        <v>1735</v>
      </c>
      <c r="E1741" s="9" t="s">
        <v>323</v>
      </c>
      <c r="F1741" s="9" t="s">
        <v>209</v>
      </c>
      <c r="G1741" s="9" t="s">
        <v>201</v>
      </c>
      <c r="H1741" s="9" t="n">
        <v>2100</v>
      </c>
      <c r="I1741" s="29" t="n">
        <v>7</v>
      </c>
      <c r="J1741" s="9" t="n">
        <v>1</v>
      </c>
      <c r="K1741" s="30"/>
      <c r="L1741" s="30"/>
      <c r="M1741" s="30"/>
      <c r="N1741" s="30"/>
      <c r="O1741" s="30"/>
      <c r="P1741" s="30"/>
      <c r="Q1741" s="30"/>
      <c r="R1741" s="30"/>
      <c r="S1741" s="30"/>
      <c r="T1741" s="30"/>
      <c r="U1741" s="21" t="str">
        <f aca="false">IF(COUNT(K1741:T1741)=0,"SOURCE EMPTY / INDUSTRIAL ONLY",IF(MIN(K1741:T1741)=1,"SERVICE READY","HOLD"))</f>
        <v>SOURCE EMPTY / INDUSTRIAL ONLY</v>
      </c>
      <c r="V1741" s="9" t="n">
        <f aca="false">IF(U1741="SERVICE READY",1,0)</f>
        <v>0</v>
      </c>
      <c r="W1741" s="6"/>
      <c r="X1741" s="6"/>
      <c r="Y1741" s="6"/>
      <c r="Z1741" s="6"/>
    </row>
    <row r="1742" customFormat="false" ht="15" hidden="false" customHeight="false" outlineLevel="0" collapsed="false">
      <c r="A1742" s="9" t="s">
        <v>1988</v>
      </c>
      <c r="B1742" s="9" t="s">
        <v>1967</v>
      </c>
      <c r="C1742" s="9" t="s">
        <v>1968</v>
      </c>
      <c r="D1742" s="9" t="s">
        <v>1735</v>
      </c>
      <c r="E1742" s="9" t="s">
        <v>323</v>
      </c>
      <c r="F1742" s="9" t="s">
        <v>211</v>
      </c>
      <c r="G1742" s="9" t="s">
        <v>198</v>
      </c>
      <c r="H1742" s="9" t="n">
        <v>2100</v>
      </c>
      <c r="I1742" s="29" t="n">
        <v>7</v>
      </c>
      <c r="J1742" s="9" t="n">
        <v>1</v>
      </c>
      <c r="K1742" s="30"/>
      <c r="L1742" s="30"/>
      <c r="M1742" s="30"/>
      <c r="N1742" s="30"/>
      <c r="O1742" s="30"/>
      <c r="P1742" s="30"/>
      <c r="Q1742" s="30"/>
      <c r="R1742" s="30"/>
      <c r="S1742" s="30"/>
      <c r="T1742" s="30"/>
      <c r="U1742" s="21" t="str">
        <f aca="false">IF(COUNT(K1742:T1742)=0,"SOURCE EMPTY / INDUSTRIAL ONLY",IF(MIN(K1742:T1742)=1,"SERVICE READY","HOLD"))</f>
        <v>SOURCE EMPTY / INDUSTRIAL ONLY</v>
      </c>
      <c r="V1742" s="9" t="n">
        <f aca="false">IF(U1742="SERVICE READY",1,0)</f>
        <v>0</v>
      </c>
      <c r="W1742" s="6"/>
      <c r="X1742" s="6"/>
      <c r="Y1742" s="6"/>
      <c r="Z1742" s="6"/>
    </row>
    <row r="1743" customFormat="false" ht="15" hidden="false" customHeight="false" outlineLevel="0" collapsed="false">
      <c r="A1743" s="9" t="s">
        <v>1989</v>
      </c>
      <c r="B1743" s="9" t="s">
        <v>1967</v>
      </c>
      <c r="C1743" s="9" t="s">
        <v>1968</v>
      </c>
      <c r="D1743" s="9" t="s">
        <v>1735</v>
      </c>
      <c r="E1743" s="9" t="s">
        <v>323</v>
      </c>
      <c r="F1743" s="9" t="s">
        <v>197</v>
      </c>
      <c r="G1743" s="9" t="s">
        <v>221</v>
      </c>
      <c r="H1743" s="9" t="n">
        <v>2100</v>
      </c>
      <c r="I1743" s="29" t="n">
        <v>7</v>
      </c>
      <c r="J1743" s="9" t="n">
        <v>1</v>
      </c>
      <c r="K1743" s="30"/>
      <c r="L1743" s="30"/>
      <c r="M1743" s="30"/>
      <c r="N1743" s="30"/>
      <c r="O1743" s="30"/>
      <c r="P1743" s="30"/>
      <c r="Q1743" s="30"/>
      <c r="R1743" s="30"/>
      <c r="S1743" s="30"/>
      <c r="T1743" s="30"/>
      <c r="U1743" s="21" t="str">
        <f aca="false">IF(COUNT(K1743:T1743)=0,"SOURCE EMPTY / INDUSTRIAL ONLY",IF(MIN(K1743:T1743)=1,"SERVICE READY","HOLD"))</f>
        <v>SOURCE EMPTY / INDUSTRIAL ONLY</v>
      </c>
      <c r="V1743" s="9" t="n">
        <f aca="false">IF(U1743="SERVICE READY",1,0)</f>
        <v>0</v>
      </c>
      <c r="W1743" s="6"/>
      <c r="X1743" s="6"/>
      <c r="Y1743" s="6"/>
      <c r="Z1743" s="6"/>
    </row>
    <row r="1744" customFormat="false" ht="15" hidden="false" customHeight="false" outlineLevel="0" collapsed="false">
      <c r="A1744" s="9" t="s">
        <v>1990</v>
      </c>
      <c r="B1744" s="9" t="s">
        <v>1967</v>
      </c>
      <c r="C1744" s="9" t="s">
        <v>1968</v>
      </c>
      <c r="D1744" s="9" t="s">
        <v>1735</v>
      </c>
      <c r="E1744" s="9" t="s">
        <v>323</v>
      </c>
      <c r="F1744" s="9" t="s">
        <v>200</v>
      </c>
      <c r="G1744" s="9" t="s">
        <v>221</v>
      </c>
      <c r="H1744" s="9" t="n">
        <v>2100</v>
      </c>
      <c r="I1744" s="29" t="n">
        <v>7</v>
      </c>
      <c r="J1744" s="9" t="n">
        <v>1</v>
      </c>
      <c r="K1744" s="30"/>
      <c r="L1744" s="30"/>
      <c r="M1744" s="30"/>
      <c r="N1744" s="30"/>
      <c r="O1744" s="30"/>
      <c r="P1744" s="30"/>
      <c r="Q1744" s="30"/>
      <c r="R1744" s="30"/>
      <c r="S1744" s="30"/>
      <c r="T1744" s="30"/>
      <c r="U1744" s="21" t="str">
        <f aca="false">IF(COUNT(K1744:T1744)=0,"SOURCE EMPTY / INDUSTRIAL ONLY",IF(MIN(K1744:T1744)=1,"SERVICE READY","HOLD"))</f>
        <v>SOURCE EMPTY / INDUSTRIAL ONLY</v>
      </c>
      <c r="V1744" s="9" t="n">
        <f aca="false">IF(U1744="SERVICE READY",1,0)</f>
        <v>0</v>
      </c>
      <c r="W1744" s="6"/>
      <c r="X1744" s="6"/>
      <c r="Y1744" s="6"/>
      <c r="Z1744" s="6"/>
    </row>
    <row r="1745" customFormat="false" ht="15" hidden="false" customHeight="false" outlineLevel="0" collapsed="false">
      <c r="A1745" s="9" t="s">
        <v>1991</v>
      </c>
      <c r="B1745" s="9" t="s">
        <v>1967</v>
      </c>
      <c r="C1745" s="9" t="s">
        <v>1968</v>
      </c>
      <c r="D1745" s="9" t="s">
        <v>1735</v>
      </c>
      <c r="E1745" s="9" t="s">
        <v>323</v>
      </c>
      <c r="F1745" s="9" t="s">
        <v>203</v>
      </c>
      <c r="G1745" s="9" t="s">
        <v>221</v>
      </c>
      <c r="H1745" s="9" t="n">
        <v>2100</v>
      </c>
      <c r="I1745" s="29" t="n">
        <v>7</v>
      </c>
      <c r="J1745" s="9" t="n">
        <v>1</v>
      </c>
      <c r="K1745" s="30"/>
      <c r="L1745" s="30"/>
      <c r="M1745" s="30"/>
      <c r="N1745" s="30"/>
      <c r="O1745" s="30"/>
      <c r="P1745" s="30"/>
      <c r="Q1745" s="30"/>
      <c r="R1745" s="30"/>
      <c r="S1745" s="30"/>
      <c r="T1745" s="30"/>
      <c r="U1745" s="21" t="str">
        <f aca="false">IF(COUNT(K1745:T1745)=0,"SOURCE EMPTY / INDUSTRIAL ONLY",IF(MIN(K1745:T1745)=1,"SERVICE READY","HOLD"))</f>
        <v>SOURCE EMPTY / INDUSTRIAL ONLY</v>
      </c>
      <c r="V1745" s="9" t="n">
        <f aca="false">IF(U1745="SERVICE READY",1,0)</f>
        <v>0</v>
      </c>
      <c r="W1745" s="6"/>
      <c r="X1745" s="6"/>
      <c r="Y1745" s="6"/>
      <c r="Z1745" s="6"/>
    </row>
    <row r="1746" customFormat="false" ht="15" hidden="false" customHeight="false" outlineLevel="0" collapsed="false">
      <c r="A1746" s="9" t="s">
        <v>1992</v>
      </c>
      <c r="B1746" s="9" t="s">
        <v>1967</v>
      </c>
      <c r="C1746" s="9" t="s">
        <v>1968</v>
      </c>
      <c r="D1746" s="9" t="s">
        <v>1735</v>
      </c>
      <c r="E1746" s="9" t="s">
        <v>323</v>
      </c>
      <c r="F1746" s="9" t="s">
        <v>205</v>
      </c>
      <c r="G1746" s="9" t="s">
        <v>221</v>
      </c>
      <c r="H1746" s="9" t="n">
        <v>2100</v>
      </c>
      <c r="I1746" s="29" t="n">
        <v>7</v>
      </c>
      <c r="J1746" s="9" t="n">
        <v>1</v>
      </c>
      <c r="K1746" s="30"/>
      <c r="L1746" s="30"/>
      <c r="M1746" s="30"/>
      <c r="N1746" s="30"/>
      <c r="O1746" s="30"/>
      <c r="P1746" s="30"/>
      <c r="Q1746" s="30"/>
      <c r="R1746" s="30"/>
      <c r="S1746" s="30"/>
      <c r="T1746" s="30"/>
      <c r="U1746" s="21" t="str">
        <f aca="false">IF(COUNT(K1746:T1746)=0,"SOURCE EMPTY / INDUSTRIAL ONLY",IF(MIN(K1746:T1746)=1,"SERVICE READY","HOLD"))</f>
        <v>SOURCE EMPTY / INDUSTRIAL ONLY</v>
      </c>
      <c r="V1746" s="9" t="n">
        <f aca="false">IF(U1746="SERVICE READY",1,0)</f>
        <v>0</v>
      </c>
      <c r="W1746" s="6"/>
      <c r="X1746" s="6"/>
      <c r="Y1746" s="6"/>
      <c r="Z1746" s="6"/>
    </row>
    <row r="1747" customFormat="false" ht="15" hidden="false" customHeight="false" outlineLevel="0" collapsed="false">
      <c r="A1747" s="9" t="s">
        <v>1993</v>
      </c>
      <c r="B1747" s="9" t="s">
        <v>1967</v>
      </c>
      <c r="C1747" s="9" t="s">
        <v>1968</v>
      </c>
      <c r="D1747" s="9" t="s">
        <v>1735</v>
      </c>
      <c r="E1747" s="9" t="s">
        <v>323</v>
      </c>
      <c r="F1747" s="9" t="s">
        <v>207</v>
      </c>
      <c r="G1747" s="9" t="s">
        <v>221</v>
      </c>
      <c r="H1747" s="9" t="n">
        <v>2100</v>
      </c>
      <c r="I1747" s="29" t="n">
        <v>7</v>
      </c>
      <c r="J1747" s="9" t="n">
        <v>1</v>
      </c>
      <c r="K1747" s="30"/>
      <c r="L1747" s="30"/>
      <c r="M1747" s="30"/>
      <c r="N1747" s="30"/>
      <c r="O1747" s="30"/>
      <c r="P1747" s="30"/>
      <c r="Q1747" s="30"/>
      <c r="R1747" s="30"/>
      <c r="S1747" s="30"/>
      <c r="T1747" s="30"/>
      <c r="U1747" s="21" t="str">
        <f aca="false">IF(COUNT(K1747:T1747)=0,"SOURCE EMPTY / INDUSTRIAL ONLY",IF(MIN(K1747:T1747)=1,"SERVICE READY","HOLD"))</f>
        <v>SOURCE EMPTY / INDUSTRIAL ONLY</v>
      </c>
      <c r="V1747" s="9" t="n">
        <f aca="false">IF(U1747="SERVICE READY",1,0)</f>
        <v>0</v>
      </c>
      <c r="W1747" s="6"/>
      <c r="X1747" s="6"/>
      <c r="Y1747" s="6"/>
      <c r="Z1747" s="6"/>
    </row>
    <row r="1748" customFormat="false" ht="15" hidden="false" customHeight="false" outlineLevel="0" collapsed="false">
      <c r="A1748" s="9" t="s">
        <v>1994</v>
      </c>
      <c r="B1748" s="9" t="s">
        <v>1967</v>
      </c>
      <c r="C1748" s="9" t="s">
        <v>1968</v>
      </c>
      <c r="D1748" s="9" t="s">
        <v>1735</v>
      </c>
      <c r="E1748" s="9" t="s">
        <v>323</v>
      </c>
      <c r="F1748" s="9" t="s">
        <v>209</v>
      </c>
      <c r="G1748" s="9" t="s">
        <v>221</v>
      </c>
      <c r="H1748" s="9" t="n">
        <v>2100</v>
      </c>
      <c r="I1748" s="29" t="n">
        <v>7</v>
      </c>
      <c r="J1748" s="9" t="n">
        <v>1</v>
      </c>
      <c r="K1748" s="30"/>
      <c r="L1748" s="30"/>
      <c r="M1748" s="30"/>
      <c r="N1748" s="30"/>
      <c r="O1748" s="30"/>
      <c r="P1748" s="30"/>
      <c r="Q1748" s="30"/>
      <c r="R1748" s="30"/>
      <c r="S1748" s="30"/>
      <c r="T1748" s="30"/>
      <c r="U1748" s="21" t="str">
        <f aca="false">IF(COUNT(K1748:T1748)=0,"SOURCE EMPTY / INDUSTRIAL ONLY",IF(MIN(K1748:T1748)=1,"SERVICE READY","HOLD"))</f>
        <v>SOURCE EMPTY / INDUSTRIAL ONLY</v>
      </c>
      <c r="V1748" s="9" t="n">
        <f aca="false">IF(U1748="SERVICE READY",1,0)</f>
        <v>0</v>
      </c>
      <c r="W1748" s="6"/>
      <c r="X1748" s="6"/>
      <c r="Y1748" s="6"/>
      <c r="Z1748" s="6"/>
    </row>
    <row r="1749" customFormat="false" ht="15" hidden="false" customHeight="false" outlineLevel="0" collapsed="false">
      <c r="A1749" s="9" t="s">
        <v>1995</v>
      </c>
      <c r="B1749" s="9" t="s">
        <v>1967</v>
      </c>
      <c r="C1749" s="9" t="s">
        <v>1968</v>
      </c>
      <c r="D1749" s="9" t="s">
        <v>1735</v>
      </c>
      <c r="E1749" s="9" t="s">
        <v>323</v>
      </c>
      <c r="F1749" s="9" t="s">
        <v>211</v>
      </c>
      <c r="G1749" s="9" t="s">
        <v>221</v>
      </c>
      <c r="H1749" s="9" t="n">
        <v>2100</v>
      </c>
      <c r="I1749" s="29" t="n">
        <v>7</v>
      </c>
      <c r="J1749" s="9" t="n">
        <v>1</v>
      </c>
      <c r="K1749" s="30"/>
      <c r="L1749" s="30"/>
      <c r="M1749" s="30"/>
      <c r="N1749" s="30"/>
      <c r="O1749" s="30"/>
      <c r="P1749" s="30"/>
      <c r="Q1749" s="30"/>
      <c r="R1749" s="30"/>
      <c r="S1749" s="30"/>
      <c r="T1749" s="30"/>
      <c r="U1749" s="21" t="str">
        <f aca="false">IF(COUNT(K1749:T1749)=0,"SOURCE EMPTY / INDUSTRIAL ONLY",IF(MIN(K1749:T1749)=1,"SERVICE READY","HOLD"))</f>
        <v>SOURCE EMPTY / INDUSTRIAL ONLY</v>
      </c>
      <c r="V1749" s="9" t="n">
        <f aca="false">IF(U1749="SERVICE READY",1,0)</f>
        <v>0</v>
      </c>
      <c r="W1749" s="6"/>
      <c r="X1749" s="6"/>
      <c r="Y1749" s="6"/>
      <c r="Z1749" s="6"/>
    </row>
    <row r="1750" customFormat="false" ht="15" hidden="false" customHeight="false" outlineLevel="0" collapsed="false">
      <c r="A1750" s="9" t="s">
        <v>1996</v>
      </c>
      <c r="B1750" s="9" t="s">
        <v>1967</v>
      </c>
      <c r="C1750" s="9" t="s">
        <v>1968</v>
      </c>
      <c r="D1750" s="9" t="s">
        <v>1735</v>
      </c>
      <c r="E1750" s="9" t="s">
        <v>323</v>
      </c>
      <c r="F1750" s="9" t="s">
        <v>197</v>
      </c>
      <c r="G1750" s="9" t="s">
        <v>221</v>
      </c>
      <c r="H1750" s="9" t="n">
        <v>2100</v>
      </c>
      <c r="I1750" s="29" t="n">
        <v>7</v>
      </c>
      <c r="J1750" s="9" t="n">
        <v>1</v>
      </c>
      <c r="K1750" s="30"/>
      <c r="L1750" s="30"/>
      <c r="M1750" s="30"/>
      <c r="N1750" s="30"/>
      <c r="O1750" s="30"/>
      <c r="P1750" s="30"/>
      <c r="Q1750" s="30"/>
      <c r="R1750" s="30"/>
      <c r="S1750" s="30"/>
      <c r="T1750" s="30"/>
      <c r="U1750" s="21" t="str">
        <f aca="false">IF(COUNT(K1750:T1750)=0,"SOURCE EMPTY / INDUSTRIAL ONLY",IF(MIN(K1750:T1750)=1,"SERVICE READY","HOLD"))</f>
        <v>SOURCE EMPTY / INDUSTRIAL ONLY</v>
      </c>
      <c r="V1750" s="9" t="n">
        <f aca="false">IF(U1750="SERVICE READY",1,0)</f>
        <v>0</v>
      </c>
      <c r="W1750" s="6"/>
      <c r="X1750" s="6"/>
      <c r="Y1750" s="6"/>
      <c r="Z1750" s="6"/>
    </row>
    <row r="1751" customFormat="false" ht="15" hidden="false" customHeight="false" outlineLevel="0" collapsed="false">
      <c r="A1751" s="9" t="s">
        <v>1997</v>
      </c>
      <c r="B1751" s="9" t="s">
        <v>1967</v>
      </c>
      <c r="C1751" s="9" t="s">
        <v>1968</v>
      </c>
      <c r="D1751" s="9" t="s">
        <v>1735</v>
      </c>
      <c r="E1751" s="9" t="s">
        <v>323</v>
      </c>
      <c r="F1751" s="9" t="s">
        <v>200</v>
      </c>
      <c r="G1751" s="9" t="s">
        <v>221</v>
      </c>
      <c r="H1751" s="9" t="n">
        <v>2100</v>
      </c>
      <c r="I1751" s="29" t="n">
        <v>7</v>
      </c>
      <c r="J1751" s="9" t="n">
        <v>1</v>
      </c>
      <c r="K1751" s="30"/>
      <c r="L1751" s="30"/>
      <c r="M1751" s="30"/>
      <c r="N1751" s="30"/>
      <c r="O1751" s="30"/>
      <c r="P1751" s="30"/>
      <c r="Q1751" s="30"/>
      <c r="R1751" s="30"/>
      <c r="S1751" s="30"/>
      <c r="T1751" s="30"/>
      <c r="U1751" s="21" t="str">
        <f aca="false">IF(COUNT(K1751:T1751)=0,"SOURCE EMPTY / INDUSTRIAL ONLY",IF(MIN(K1751:T1751)=1,"SERVICE READY","HOLD"))</f>
        <v>SOURCE EMPTY / INDUSTRIAL ONLY</v>
      </c>
      <c r="V1751" s="9" t="n">
        <f aca="false">IF(U1751="SERVICE READY",1,0)</f>
        <v>0</v>
      </c>
      <c r="W1751" s="6"/>
      <c r="X1751" s="6"/>
      <c r="Y1751" s="6"/>
      <c r="Z1751" s="6"/>
    </row>
    <row r="1752" customFormat="false" ht="15" hidden="false" customHeight="false" outlineLevel="0" collapsed="false">
      <c r="A1752" s="9" t="s">
        <v>1998</v>
      </c>
      <c r="B1752" s="9" t="s">
        <v>1967</v>
      </c>
      <c r="C1752" s="9" t="s">
        <v>1968</v>
      </c>
      <c r="D1752" s="9" t="s">
        <v>1735</v>
      </c>
      <c r="E1752" s="9" t="s">
        <v>323</v>
      </c>
      <c r="F1752" s="9" t="s">
        <v>203</v>
      </c>
      <c r="G1752" s="9" t="s">
        <v>221</v>
      </c>
      <c r="H1752" s="9" t="n">
        <v>2100</v>
      </c>
      <c r="I1752" s="29" t="n">
        <v>7</v>
      </c>
      <c r="J1752" s="9" t="n">
        <v>1</v>
      </c>
      <c r="K1752" s="30"/>
      <c r="L1752" s="30"/>
      <c r="M1752" s="30"/>
      <c r="N1752" s="30"/>
      <c r="O1752" s="30"/>
      <c r="P1752" s="30"/>
      <c r="Q1752" s="30"/>
      <c r="R1752" s="30"/>
      <c r="S1752" s="30"/>
      <c r="T1752" s="30"/>
      <c r="U1752" s="21" t="str">
        <f aca="false">IF(COUNT(K1752:T1752)=0,"SOURCE EMPTY / INDUSTRIAL ONLY",IF(MIN(K1752:T1752)=1,"SERVICE READY","HOLD"))</f>
        <v>SOURCE EMPTY / INDUSTRIAL ONLY</v>
      </c>
      <c r="V1752" s="9" t="n">
        <f aca="false">IF(U1752="SERVICE READY",1,0)</f>
        <v>0</v>
      </c>
      <c r="W1752" s="6"/>
      <c r="X1752" s="6"/>
      <c r="Y1752" s="6"/>
      <c r="Z1752" s="6"/>
    </row>
    <row r="1753" customFormat="false" ht="15" hidden="false" customHeight="false" outlineLevel="0" collapsed="false">
      <c r="A1753" s="9" t="s">
        <v>1999</v>
      </c>
      <c r="B1753" s="9" t="s">
        <v>1967</v>
      </c>
      <c r="C1753" s="9" t="s">
        <v>1968</v>
      </c>
      <c r="D1753" s="9" t="s">
        <v>1735</v>
      </c>
      <c r="E1753" s="9" t="s">
        <v>323</v>
      </c>
      <c r="F1753" s="9" t="s">
        <v>205</v>
      </c>
      <c r="G1753" s="9" t="s">
        <v>221</v>
      </c>
      <c r="H1753" s="9" t="n">
        <v>2100</v>
      </c>
      <c r="I1753" s="29" t="n">
        <v>7</v>
      </c>
      <c r="J1753" s="9" t="n">
        <v>1</v>
      </c>
      <c r="K1753" s="30"/>
      <c r="L1753" s="30"/>
      <c r="M1753" s="30"/>
      <c r="N1753" s="30"/>
      <c r="O1753" s="30"/>
      <c r="P1753" s="30"/>
      <c r="Q1753" s="30"/>
      <c r="R1753" s="30"/>
      <c r="S1753" s="30"/>
      <c r="T1753" s="30"/>
      <c r="U1753" s="21" t="str">
        <f aca="false">IF(COUNT(K1753:T1753)=0,"SOURCE EMPTY / INDUSTRIAL ONLY",IF(MIN(K1753:T1753)=1,"SERVICE READY","HOLD"))</f>
        <v>SOURCE EMPTY / INDUSTRIAL ONLY</v>
      </c>
      <c r="V1753" s="9" t="n">
        <f aca="false">IF(U1753="SERVICE READY",1,0)</f>
        <v>0</v>
      </c>
      <c r="W1753" s="6"/>
      <c r="X1753" s="6"/>
      <c r="Y1753" s="6"/>
      <c r="Z1753" s="6"/>
    </row>
    <row r="1754" customFormat="false" ht="15" hidden="false" customHeight="false" outlineLevel="0" collapsed="false">
      <c r="A1754" s="9" t="s">
        <v>2000</v>
      </c>
      <c r="B1754" s="9" t="s">
        <v>1967</v>
      </c>
      <c r="C1754" s="9" t="s">
        <v>1968</v>
      </c>
      <c r="D1754" s="9" t="s">
        <v>1735</v>
      </c>
      <c r="E1754" s="9" t="s">
        <v>323</v>
      </c>
      <c r="F1754" s="9" t="s">
        <v>207</v>
      </c>
      <c r="G1754" s="9" t="s">
        <v>221</v>
      </c>
      <c r="H1754" s="9" t="n">
        <v>2100</v>
      </c>
      <c r="I1754" s="29" t="n">
        <v>7</v>
      </c>
      <c r="J1754" s="9" t="n">
        <v>1</v>
      </c>
      <c r="K1754" s="30"/>
      <c r="L1754" s="30"/>
      <c r="M1754" s="30"/>
      <c r="N1754" s="30"/>
      <c r="O1754" s="30"/>
      <c r="P1754" s="30"/>
      <c r="Q1754" s="30"/>
      <c r="R1754" s="30"/>
      <c r="S1754" s="30"/>
      <c r="T1754" s="30"/>
      <c r="U1754" s="21" t="str">
        <f aca="false">IF(COUNT(K1754:T1754)=0,"SOURCE EMPTY / INDUSTRIAL ONLY",IF(MIN(K1754:T1754)=1,"SERVICE READY","HOLD"))</f>
        <v>SOURCE EMPTY / INDUSTRIAL ONLY</v>
      </c>
      <c r="V1754" s="9" t="n">
        <f aca="false">IF(U1754="SERVICE READY",1,0)</f>
        <v>0</v>
      </c>
      <c r="W1754" s="6"/>
      <c r="X1754" s="6"/>
      <c r="Y1754" s="6"/>
      <c r="Z1754" s="6"/>
    </row>
    <row r="1755" customFormat="false" ht="15" hidden="false" customHeight="false" outlineLevel="0" collapsed="false">
      <c r="A1755" s="9" t="s">
        <v>2001</v>
      </c>
      <c r="B1755" s="9" t="s">
        <v>1967</v>
      </c>
      <c r="C1755" s="9" t="s">
        <v>1968</v>
      </c>
      <c r="D1755" s="9" t="s">
        <v>1735</v>
      </c>
      <c r="E1755" s="9" t="s">
        <v>323</v>
      </c>
      <c r="F1755" s="9" t="s">
        <v>209</v>
      </c>
      <c r="G1755" s="9" t="s">
        <v>221</v>
      </c>
      <c r="H1755" s="9" t="n">
        <v>2100</v>
      </c>
      <c r="I1755" s="29" t="n">
        <v>7</v>
      </c>
      <c r="J1755" s="9" t="n">
        <v>1</v>
      </c>
      <c r="K1755" s="30"/>
      <c r="L1755" s="30"/>
      <c r="M1755" s="30"/>
      <c r="N1755" s="30"/>
      <c r="O1755" s="30"/>
      <c r="P1755" s="30"/>
      <c r="Q1755" s="30"/>
      <c r="R1755" s="30"/>
      <c r="S1755" s="30"/>
      <c r="T1755" s="30"/>
      <c r="U1755" s="21" t="str">
        <f aca="false">IF(COUNT(K1755:T1755)=0,"SOURCE EMPTY / INDUSTRIAL ONLY",IF(MIN(K1755:T1755)=1,"SERVICE READY","HOLD"))</f>
        <v>SOURCE EMPTY / INDUSTRIAL ONLY</v>
      </c>
      <c r="V1755" s="9" t="n">
        <f aca="false">IF(U1755="SERVICE READY",1,0)</f>
        <v>0</v>
      </c>
      <c r="W1755" s="6"/>
      <c r="X1755" s="6"/>
      <c r="Y1755" s="6"/>
      <c r="Z1755" s="6"/>
    </row>
    <row r="1756" customFormat="false" ht="15" hidden="false" customHeight="false" outlineLevel="0" collapsed="false">
      <c r="A1756" s="9" t="s">
        <v>2002</v>
      </c>
      <c r="B1756" s="9" t="s">
        <v>1967</v>
      </c>
      <c r="C1756" s="9" t="s">
        <v>1968</v>
      </c>
      <c r="D1756" s="9" t="s">
        <v>1735</v>
      </c>
      <c r="E1756" s="9" t="s">
        <v>323</v>
      </c>
      <c r="F1756" s="9" t="s">
        <v>211</v>
      </c>
      <c r="G1756" s="9" t="s">
        <v>221</v>
      </c>
      <c r="H1756" s="9" t="n">
        <v>2100</v>
      </c>
      <c r="I1756" s="29" t="n">
        <v>7</v>
      </c>
      <c r="J1756" s="9" t="n">
        <v>1</v>
      </c>
      <c r="K1756" s="30"/>
      <c r="L1756" s="30"/>
      <c r="M1756" s="30"/>
      <c r="N1756" s="30"/>
      <c r="O1756" s="30"/>
      <c r="P1756" s="30"/>
      <c r="Q1756" s="30"/>
      <c r="R1756" s="30"/>
      <c r="S1756" s="30"/>
      <c r="T1756" s="30"/>
      <c r="U1756" s="21" t="str">
        <f aca="false">IF(COUNT(K1756:T1756)=0,"SOURCE EMPTY / INDUSTRIAL ONLY",IF(MIN(K1756:T1756)=1,"SERVICE READY","HOLD"))</f>
        <v>SOURCE EMPTY / INDUSTRIAL ONLY</v>
      </c>
      <c r="V1756" s="9" t="n">
        <f aca="false">IF(U1756="SERVICE READY",1,0)</f>
        <v>0</v>
      </c>
      <c r="W1756" s="6"/>
      <c r="X1756" s="6"/>
      <c r="Y1756" s="6"/>
      <c r="Z1756" s="6"/>
    </row>
    <row r="1757" customFormat="false" ht="15" hidden="false" customHeight="false" outlineLevel="0" collapsed="false">
      <c r="A1757" s="9" t="s">
        <v>2003</v>
      </c>
      <c r="B1757" s="9" t="s">
        <v>1967</v>
      </c>
      <c r="C1757" s="9" t="s">
        <v>1968</v>
      </c>
      <c r="D1757" s="9" t="s">
        <v>1735</v>
      </c>
      <c r="E1757" s="9" t="s">
        <v>323</v>
      </c>
      <c r="F1757" s="9" t="s">
        <v>197</v>
      </c>
      <c r="G1757" s="9" t="s">
        <v>221</v>
      </c>
      <c r="H1757" s="9" t="n">
        <v>2100</v>
      </c>
      <c r="I1757" s="29" t="n">
        <v>7</v>
      </c>
      <c r="J1757" s="9" t="n">
        <v>1</v>
      </c>
      <c r="K1757" s="30"/>
      <c r="L1757" s="30"/>
      <c r="M1757" s="30"/>
      <c r="N1757" s="30"/>
      <c r="O1757" s="30"/>
      <c r="P1757" s="30"/>
      <c r="Q1757" s="30"/>
      <c r="R1757" s="30"/>
      <c r="S1757" s="30"/>
      <c r="T1757" s="30"/>
      <c r="U1757" s="21" t="str">
        <f aca="false">IF(COUNT(K1757:T1757)=0,"SOURCE EMPTY / INDUSTRIAL ONLY",IF(MIN(K1757:T1757)=1,"SERVICE READY","HOLD"))</f>
        <v>SOURCE EMPTY / INDUSTRIAL ONLY</v>
      </c>
      <c r="V1757" s="9" t="n">
        <f aca="false">IF(U1757="SERVICE READY",1,0)</f>
        <v>0</v>
      </c>
      <c r="W1757" s="6"/>
      <c r="X1757" s="6"/>
      <c r="Y1757" s="6"/>
      <c r="Z1757" s="6"/>
    </row>
    <row r="1758" customFormat="false" ht="15" hidden="false" customHeight="false" outlineLevel="0" collapsed="false">
      <c r="A1758" s="9" t="s">
        <v>2004</v>
      </c>
      <c r="B1758" s="9" t="s">
        <v>1967</v>
      </c>
      <c r="C1758" s="9" t="s">
        <v>1968</v>
      </c>
      <c r="D1758" s="9" t="s">
        <v>1735</v>
      </c>
      <c r="E1758" s="9" t="s">
        <v>323</v>
      </c>
      <c r="F1758" s="9" t="s">
        <v>200</v>
      </c>
      <c r="G1758" s="9" t="s">
        <v>221</v>
      </c>
      <c r="H1758" s="9" t="n">
        <v>2100</v>
      </c>
      <c r="I1758" s="29" t="n">
        <v>7</v>
      </c>
      <c r="J1758" s="9" t="n">
        <v>1</v>
      </c>
      <c r="K1758" s="30"/>
      <c r="L1758" s="30"/>
      <c r="M1758" s="30"/>
      <c r="N1758" s="30"/>
      <c r="O1758" s="30"/>
      <c r="P1758" s="30"/>
      <c r="Q1758" s="30"/>
      <c r="R1758" s="30"/>
      <c r="S1758" s="30"/>
      <c r="T1758" s="30"/>
      <c r="U1758" s="21" t="str">
        <f aca="false">IF(COUNT(K1758:T1758)=0,"SOURCE EMPTY / INDUSTRIAL ONLY",IF(MIN(K1758:T1758)=1,"SERVICE READY","HOLD"))</f>
        <v>SOURCE EMPTY / INDUSTRIAL ONLY</v>
      </c>
      <c r="V1758" s="9" t="n">
        <f aca="false">IF(U1758="SERVICE READY",1,0)</f>
        <v>0</v>
      </c>
      <c r="W1758" s="6"/>
      <c r="X1758" s="6"/>
      <c r="Y1758" s="6"/>
      <c r="Z1758" s="6"/>
    </row>
    <row r="1759" customFormat="false" ht="15" hidden="false" customHeight="false" outlineLevel="0" collapsed="false">
      <c r="A1759" s="9" t="s">
        <v>2005</v>
      </c>
      <c r="B1759" s="9" t="s">
        <v>1967</v>
      </c>
      <c r="C1759" s="9" t="s">
        <v>1968</v>
      </c>
      <c r="D1759" s="9" t="s">
        <v>1735</v>
      </c>
      <c r="E1759" s="9" t="s">
        <v>323</v>
      </c>
      <c r="F1759" s="9" t="s">
        <v>203</v>
      </c>
      <c r="G1759" s="9" t="s">
        <v>221</v>
      </c>
      <c r="H1759" s="9" t="n">
        <v>2100</v>
      </c>
      <c r="I1759" s="29" t="n">
        <v>7</v>
      </c>
      <c r="J1759" s="9" t="n">
        <v>0</v>
      </c>
      <c r="K1759" s="30"/>
      <c r="L1759" s="30"/>
      <c r="M1759" s="30"/>
      <c r="N1759" s="30"/>
      <c r="O1759" s="30"/>
      <c r="P1759" s="30"/>
      <c r="Q1759" s="30"/>
      <c r="R1759" s="30"/>
      <c r="S1759" s="30"/>
      <c r="T1759" s="30"/>
      <c r="U1759" s="21" t="str">
        <f aca="false">IF(COUNT(K1759:T1759)=0,"SOURCE EMPTY / INDUSTRIAL ONLY",IF(MIN(K1759:T1759)=1,"SERVICE READY","HOLD"))</f>
        <v>SOURCE EMPTY / INDUSTRIAL ONLY</v>
      </c>
      <c r="V1759" s="9" t="n">
        <f aca="false">IF(U1759="SERVICE READY",1,0)</f>
        <v>0</v>
      </c>
      <c r="W1759" s="6"/>
      <c r="X1759" s="6"/>
      <c r="Y1759" s="6"/>
      <c r="Z1759" s="6"/>
    </row>
    <row r="1760" customFormat="false" ht="15" hidden="false" customHeight="false" outlineLevel="0" collapsed="false">
      <c r="A1760" s="9" t="s">
        <v>2006</v>
      </c>
      <c r="B1760" s="9" t="s">
        <v>1967</v>
      </c>
      <c r="C1760" s="9" t="s">
        <v>1968</v>
      </c>
      <c r="D1760" s="9" t="s">
        <v>1735</v>
      </c>
      <c r="E1760" s="9" t="s">
        <v>323</v>
      </c>
      <c r="F1760" s="9" t="s">
        <v>205</v>
      </c>
      <c r="G1760" s="9" t="s">
        <v>221</v>
      </c>
      <c r="H1760" s="9" t="n">
        <v>2100</v>
      </c>
      <c r="I1760" s="29" t="n">
        <v>7</v>
      </c>
      <c r="J1760" s="9" t="n">
        <v>0</v>
      </c>
      <c r="K1760" s="30"/>
      <c r="L1760" s="30"/>
      <c r="M1760" s="30"/>
      <c r="N1760" s="30"/>
      <c r="O1760" s="30"/>
      <c r="P1760" s="30"/>
      <c r="Q1760" s="30"/>
      <c r="R1760" s="30"/>
      <c r="S1760" s="30"/>
      <c r="T1760" s="30"/>
      <c r="U1760" s="21" t="str">
        <f aca="false">IF(COUNT(K1760:T1760)=0,"SOURCE EMPTY / INDUSTRIAL ONLY",IF(MIN(K1760:T1760)=1,"SERVICE READY","HOLD"))</f>
        <v>SOURCE EMPTY / INDUSTRIAL ONLY</v>
      </c>
      <c r="V1760" s="9" t="n">
        <f aca="false">IF(U1760="SERVICE READY",1,0)</f>
        <v>0</v>
      </c>
      <c r="W1760" s="6"/>
      <c r="X1760" s="6"/>
      <c r="Y1760" s="6"/>
      <c r="Z1760" s="6"/>
    </row>
    <row r="1761" customFormat="false" ht="15" hidden="false" customHeight="false" outlineLevel="0" collapsed="false">
      <c r="A1761" s="9" t="s">
        <v>2007</v>
      </c>
      <c r="B1761" s="9" t="s">
        <v>1967</v>
      </c>
      <c r="C1761" s="9" t="s">
        <v>1968</v>
      </c>
      <c r="D1761" s="9" t="s">
        <v>1735</v>
      </c>
      <c r="E1761" s="9" t="s">
        <v>323</v>
      </c>
      <c r="F1761" s="9" t="s">
        <v>207</v>
      </c>
      <c r="G1761" s="9" t="s">
        <v>221</v>
      </c>
      <c r="H1761" s="9" t="n">
        <v>2100</v>
      </c>
      <c r="I1761" s="29" t="n">
        <v>7</v>
      </c>
      <c r="J1761" s="9" t="n">
        <v>0</v>
      </c>
      <c r="K1761" s="30"/>
      <c r="L1761" s="30"/>
      <c r="M1761" s="30"/>
      <c r="N1761" s="30"/>
      <c r="O1761" s="30"/>
      <c r="P1761" s="30"/>
      <c r="Q1761" s="30"/>
      <c r="R1761" s="30"/>
      <c r="S1761" s="30"/>
      <c r="T1761" s="30"/>
      <c r="U1761" s="21" t="str">
        <f aca="false">IF(COUNT(K1761:T1761)=0,"SOURCE EMPTY / INDUSTRIAL ONLY",IF(MIN(K1761:T1761)=1,"SERVICE READY","HOLD"))</f>
        <v>SOURCE EMPTY / INDUSTRIAL ONLY</v>
      </c>
      <c r="V1761" s="9" t="n">
        <f aca="false">IF(U1761="SERVICE READY",1,0)</f>
        <v>0</v>
      </c>
      <c r="W1761" s="6"/>
      <c r="X1761" s="6"/>
      <c r="Y1761" s="6"/>
      <c r="Z1761" s="6"/>
    </row>
    <row r="1762" customFormat="false" ht="15" hidden="false" customHeight="false" outlineLevel="0" collapsed="false">
      <c r="A1762" s="9" t="s">
        <v>2008</v>
      </c>
      <c r="B1762" s="9" t="s">
        <v>1967</v>
      </c>
      <c r="C1762" s="9" t="s">
        <v>1968</v>
      </c>
      <c r="D1762" s="9" t="s">
        <v>1735</v>
      </c>
      <c r="E1762" s="9" t="s">
        <v>323</v>
      </c>
      <c r="F1762" s="9" t="s">
        <v>209</v>
      </c>
      <c r="G1762" s="9" t="s">
        <v>221</v>
      </c>
      <c r="H1762" s="9" t="n">
        <v>2100</v>
      </c>
      <c r="I1762" s="29" t="n">
        <v>7</v>
      </c>
      <c r="J1762" s="9" t="n">
        <v>0</v>
      </c>
      <c r="K1762" s="30"/>
      <c r="L1762" s="30"/>
      <c r="M1762" s="30"/>
      <c r="N1762" s="30"/>
      <c r="O1762" s="30"/>
      <c r="P1762" s="30"/>
      <c r="Q1762" s="30"/>
      <c r="R1762" s="30"/>
      <c r="S1762" s="30"/>
      <c r="T1762" s="30"/>
      <c r="U1762" s="21" t="str">
        <f aca="false">IF(COUNT(K1762:T1762)=0,"SOURCE EMPTY / INDUSTRIAL ONLY",IF(MIN(K1762:T1762)=1,"SERVICE READY","HOLD"))</f>
        <v>SOURCE EMPTY / INDUSTRIAL ONLY</v>
      </c>
      <c r="V1762" s="9" t="n">
        <f aca="false">IF(U1762="SERVICE READY",1,0)</f>
        <v>0</v>
      </c>
      <c r="W1762" s="6"/>
      <c r="X1762" s="6"/>
      <c r="Y1762" s="6"/>
      <c r="Z1762" s="6"/>
    </row>
    <row r="1763" customFormat="false" ht="15" hidden="false" customHeight="false" outlineLevel="0" collapsed="false">
      <c r="A1763" s="9" t="s">
        <v>2009</v>
      </c>
      <c r="B1763" s="9" t="s">
        <v>1967</v>
      </c>
      <c r="C1763" s="9" t="s">
        <v>1968</v>
      </c>
      <c r="D1763" s="9" t="s">
        <v>1735</v>
      </c>
      <c r="E1763" s="9" t="s">
        <v>323</v>
      </c>
      <c r="F1763" s="9" t="s">
        <v>211</v>
      </c>
      <c r="G1763" s="9" t="s">
        <v>221</v>
      </c>
      <c r="H1763" s="9" t="n">
        <v>2100</v>
      </c>
      <c r="I1763" s="29" t="n">
        <v>7</v>
      </c>
      <c r="J1763" s="9" t="n">
        <v>0</v>
      </c>
      <c r="K1763" s="30"/>
      <c r="L1763" s="30"/>
      <c r="M1763" s="30"/>
      <c r="N1763" s="30"/>
      <c r="O1763" s="30"/>
      <c r="P1763" s="30"/>
      <c r="Q1763" s="30"/>
      <c r="R1763" s="30"/>
      <c r="S1763" s="30"/>
      <c r="T1763" s="30"/>
      <c r="U1763" s="21" t="str">
        <f aca="false">IF(COUNT(K1763:T1763)=0,"SOURCE EMPTY / INDUSTRIAL ONLY",IF(MIN(K1763:T1763)=1,"SERVICE READY","HOLD"))</f>
        <v>SOURCE EMPTY / INDUSTRIAL ONLY</v>
      </c>
      <c r="V1763" s="9" t="n">
        <f aca="false">IF(U1763="SERVICE READY",1,0)</f>
        <v>0</v>
      </c>
      <c r="W1763" s="6"/>
      <c r="X1763" s="6"/>
      <c r="Y1763" s="6"/>
      <c r="Z1763" s="6"/>
    </row>
    <row r="1764" customFormat="false" ht="15" hidden="false" customHeight="false" outlineLevel="0" collapsed="false">
      <c r="A1764" s="9" t="s">
        <v>2010</v>
      </c>
      <c r="B1764" s="9" t="s">
        <v>1967</v>
      </c>
      <c r="C1764" s="9" t="s">
        <v>1968</v>
      </c>
      <c r="D1764" s="9" t="s">
        <v>1735</v>
      </c>
      <c r="E1764" s="9" t="s">
        <v>323</v>
      </c>
      <c r="F1764" s="9" t="s">
        <v>197</v>
      </c>
      <c r="G1764" s="9" t="s">
        <v>221</v>
      </c>
      <c r="H1764" s="9" t="n">
        <v>2100</v>
      </c>
      <c r="I1764" s="29" t="n">
        <v>7</v>
      </c>
      <c r="J1764" s="9" t="n">
        <v>0</v>
      </c>
      <c r="K1764" s="30"/>
      <c r="L1764" s="30"/>
      <c r="M1764" s="30"/>
      <c r="N1764" s="30"/>
      <c r="O1764" s="30"/>
      <c r="P1764" s="30"/>
      <c r="Q1764" s="30"/>
      <c r="R1764" s="30"/>
      <c r="S1764" s="30"/>
      <c r="T1764" s="30"/>
      <c r="U1764" s="21" t="str">
        <f aca="false">IF(COUNT(K1764:T1764)=0,"SOURCE EMPTY / INDUSTRIAL ONLY",IF(MIN(K1764:T1764)=1,"SERVICE READY","HOLD"))</f>
        <v>SOURCE EMPTY / INDUSTRIAL ONLY</v>
      </c>
      <c r="V1764" s="9" t="n">
        <f aca="false">IF(U1764="SERVICE READY",1,0)</f>
        <v>0</v>
      </c>
      <c r="W1764" s="6"/>
      <c r="X1764" s="6"/>
      <c r="Y1764" s="6"/>
      <c r="Z1764" s="6"/>
    </row>
    <row r="1765" customFormat="false" ht="15" hidden="false" customHeight="false" outlineLevel="0" collapsed="false">
      <c r="A1765" s="9" t="s">
        <v>2011</v>
      </c>
      <c r="B1765" s="9" t="s">
        <v>1967</v>
      </c>
      <c r="C1765" s="9" t="s">
        <v>1968</v>
      </c>
      <c r="D1765" s="9" t="s">
        <v>1735</v>
      </c>
      <c r="E1765" s="9" t="s">
        <v>323</v>
      </c>
      <c r="F1765" s="9" t="s">
        <v>200</v>
      </c>
      <c r="G1765" s="9" t="s">
        <v>221</v>
      </c>
      <c r="H1765" s="9" t="n">
        <v>2100</v>
      </c>
      <c r="I1765" s="29" t="n">
        <v>7</v>
      </c>
      <c r="J1765" s="9" t="n">
        <v>0</v>
      </c>
      <c r="K1765" s="30"/>
      <c r="L1765" s="30"/>
      <c r="M1765" s="30"/>
      <c r="N1765" s="30"/>
      <c r="O1765" s="30"/>
      <c r="P1765" s="30"/>
      <c r="Q1765" s="30"/>
      <c r="R1765" s="30"/>
      <c r="S1765" s="30"/>
      <c r="T1765" s="30"/>
      <c r="U1765" s="21" t="str">
        <f aca="false">IF(COUNT(K1765:T1765)=0,"SOURCE EMPTY / INDUSTRIAL ONLY",IF(MIN(K1765:T1765)=1,"SERVICE READY","HOLD"))</f>
        <v>SOURCE EMPTY / INDUSTRIAL ONLY</v>
      </c>
      <c r="V1765" s="9" t="n">
        <f aca="false">IF(U1765="SERVICE READY",1,0)</f>
        <v>0</v>
      </c>
      <c r="W1765" s="6"/>
      <c r="X1765" s="6"/>
      <c r="Y1765" s="6"/>
      <c r="Z1765" s="6"/>
    </row>
    <row r="1766" customFormat="false" ht="15" hidden="false" customHeight="false" outlineLevel="0" collapsed="false">
      <c r="A1766" s="9" t="s">
        <v>2012</v>
      </c>
      <c r="B1766" s="9" t="s">
        <v>1967</v>
      </c>
      <c r="C1766" s="9" t="s">
        <v>1968</v>
      </c>
      <c r="D1766" s="9" t="s">
        <v>1735</v>
      </c>
      <c r="E1766" s="9" t="s">
        <v>323</v>
      </c>
      <c r="F1766" s="9" t="s">
        <v>203</v>
      </c>
      <c r="G1766" s="9" t="s">
        <v>221</v>
      </c>
      <c r="H1766" s="9" t="n">
        <v>2100</v>
      </c>
      <c r="I1766" s="29" t="n">
        <v>7</v>
      </c>
      <c r="J1766" s="9" t="n">
        <v>0</v>
      </c>
      <c r="K1766" s="30"/>
      <c r="L1766" s="30"/>
      <c r="M1766" s="30"/>
      <c r="N1766" s="30"/>
      <c r="O1766" s="30"/>
      <c r="P1766" s="30"/>
      <c r="Q1766" s="30"/>
      <c r="R1766" s="30"/>
      <c r="S1766" s="30"/>
      <c r="T1766" s="30"/>
      <c r="U1766" s="21" t="str">
        <f aca="false">IF(COUNT(K1766:T1766)=0,"SOURCE EMPTY / INDUSTRIAL ONLY",IF(MIN(K1766:T1766)=1,"SERVICE READY","HOLD"))</f>
        <v>SOURCE EMPTY / INDUSTRIAL ONLY</v>
      </c>
      <c r="V1766" s="9" t="n">
        <f aca="false">IF(U1766="SERVICE READY",1,0)</f>
        <v>0</v>
      </c>
      <c r="W1766" s="6"/>
      <c r="X1766" s="6"/>
      <c r="Y1766" s="6"/>
      <c r="Z1766" s="6"/>
    </row>
    <row r="1767" customFormat="false" ht="15" hidden="false" customHeight="false" outlineLevel="0" collapsed="false">
      <c r="A1767" s="9" t="s">
        <v>2013</v>
      </c>
      <c r="B1767" s="9" t="s">
        <v>1967</v>
      </c>
      <c r="C1767" s="9" t="s">
        <v>1968</v>
      </c>
      <c r="D1767" s="9" t="s">
        <v>1735</v>
      </c>
      <c r="E1767" s="9" t="s">
        <v>323</v>
      </c>
      <c r="F1767" s="9" t="s">
        <v>205</v>
      </c>
      <c r="G1767" s="9" t="s">
        <v>221</v>
      </c>
      <c r="H1767" s="9" t="n">
        <v>2100</v>
      </c>
      <c r="I1767" s="29" t="n">
        <v>7</v>
      </c>
      <c r="J1767" s="9" t="n">
        <v>0</v>
      </c>
      <c r="K1767" s="30"/>
      <c r="L1767" s="30"/>
      <c r="M1767" s="30"/>
      <c r="N1767" s="30"/>
      <c r="O1767" s="30"/>
      <c r="P1767" s="30"/>
      <c r="Q1767" s="30"/>
      <c r="R1767" s="30"/>
      <c r="S1767" s="30"/>
      <c r="T1767" s="30"/>
      <c r="U1767" s="21" t="str">
        <f aca="false">IF(COUNT(K1767:T1767)=0,"SOURCE EMPTY / INDUSTRIAL ONLY",IF(MIN(K1767:T1767)=1,"SERVICE READY","HOLD"))</f>
        <v>SOURCE EMPTY / INDUSTRIAL ONLY</v>
      </c>
      <c r="V1767" s="9" t="n">
        <f aca="false">IF(U1767="SERVICE READY",1,0)</f>
        <v>0</v>
      </c>
      <c r="W1767" s="6"/>
      <c r="X1767" s="6"/>
      <c r="Y1767" s="6"/>
      <c r="Z1767" s="6"/>
    </row>
    <row r="1768" customFormat="false" ht="15" hidden="false" customHeight="false" outlineLevel="0" collapsed="false">
      <c r="A1768" s="9" t="s">
        <v>2014</v>
      </c>
      <c r="B1768" s="9" t="s">
        <v>1967</v>
      </c>
      <c r="C1768" s="9" t="s">
        <v>1968</v>
      </c>
      <c r="D1768" s="9" t="s">
        <v>1735</v>
      </c>
      <c r="E1768" s="9" t="s">
        <v>323</v>
      </c>
      <c r="F1768" s="9" t="s">
        <v>207</v>
      </c>
      <c r="G1768" s="9" t="s">
        <v>221</v>
      </c>
      <c r="H1768" s="9" t="n">
        <v>2100</v>
      </c>
      <c r="I1768" s="29" t="n">
        <v>7</v>
      </c>
      <c r="J1768" s="9" t="n">
        <v>0</v>
      </c>
      <c r="K1768" s="30"/>
      <c r="L1768" s="30"/>
      <c r="M1768" s="30"/>
      <c r="N1768" s="30"/>
      <c r="O1768" s="30"/>
      <c r="P1768" s="30"/>
      <c r="Q1768" s="30"/>
      <c r="R1768" s="30"/>
      <c r="S1768" s="30"/>
      <c r="T1768" s="30"/>
      <c r="U1768" s="21" t="str">
        <f aca="false">IF(COUNT(K1768:T1768)=0,"SOURCE EMPTY / INDUSTRIAL ONLY",IF(MIN(K1768:T1768)=1,"SERVICE READY","HOLD"))</f>
        <v>SOURCE EMPTY / INDUSTRIAL ONLY</v>
      </c>
      <c r="V1768" s="9" t="n">
        <f aca="false">IF(U1768="SERVICE READY",1,0)</f>
        <v>0</v>
      </c>
      <c r="W1768" s="6"/>
      <c r="X1768" s="6"/>
      <c r="Y1768" s="6"/>
      <c r="Z1768" s="6"/>
    </row>
    <row r="1769" customFormat="false" ht="15" hidden="false" customHeight="false" outlineLevel="0" collapsed="false">
      <c r="A1769" s="9" t="s">
        <v>2015</v>
      </c>
      <c r="B1769" s="9" t="s">
        <v>1967</v>
      </c>
      <c r="C1769" s="9" t="s">
        <v>1968</v>
      </c>
      <c r="D1769" s="9" t="s">
        <v>1735</v>
      </c>
      <c r="E1769" s="9" t="s">
        <v>323</v>
      </c>
      <c r="F1769" s="9" t="s">
        <v>209</v>
      </c>
      <c r="G1769" s="9" t="s">
        <v>221</v>
      </c>
      <c r="H1769" s="9" t="n">
        <v>2100</v>
      </c>
      <c r="I1769" s="29" t="n">
        <v>7</v>
      </c>
      <c r="J1769" s="9" t="n">
        <v>0</v>
      </c>
      <c r="K1769" s="30"/>
      <c r="L1769" s="30"/>
      <c r="M1769" s="30"/>
      <c r="N1769" s="30"/>
      <c r="O1769" s="30"/>
      <c r="P1769" s="30"/>
      <c r="Q1769" s="30"/>
      <c r="R1769" s="30"/>
      <c r="S1769" s="30"/>
      <c r="T1769" s="30"/>
      <c r="U1769" s="21" t="str">
        <f aca="false">IF(COUNT(K1769:T1769)=0,"SOURCE EMPTY / INDUSTRIAL ONLY",IF(MIN(K1769:T1769)=1,"SERVICE READY","HOLD"))</f>
        <v>SOURCE EMPTY / INDUSTRIAL ONLY</v>
      </c>
      <c r="V1769" s="9" t="n">
        <f aca="false">IF(U1769="SERVICE READY",1,0)</f>
        <v>0</v>
      </c>
      <c r="W1769" s="6"/>
      <c r="X1769" s="6"/>
      <c r="Y1769" s="6"/>
      <c r="Z1769" s="6"/>
    </row>
    <row r="1770" customFormat="false" ht="15" hidden="false" customHeight="false" outlineLevel="0" collapsed="false">
      <c r="A1770" s="9" t="s">
        <v>2016</v>
      </c>
      <c r="B1770" s="9" t="s">
        <v>1967</v>
      </c>
      <c r="C1770" s="9" t="s">
        <v>1968</v>
      </c>
      <c r="D1770" s="9" t="s">
        <v>1735</v>
      </c>
      <c r="E1770" s="9" t="s">
        <v>323</v>
      </c>
      <c r="F1770" s="9" t="s">
        <v>211</v>
      </c>
      <c r="G1770" s="9" t="s">
        <v>221</v>
      </c>
      <c r="H1770" s="9" t="n">
        <v>2100</v>
      </c>
      <c r="I1770" s="29" t="n">
        <v>7</v>
      </c>
      <c r="J1770" s="9" t="n">
        <v>0</v>
      </c>
      <c r="K1770" s="30"/>
      <c r="L1770" s="30"/>
      <c r="M1770" s="30"/>
      <c r="N1770" s="30"/>
      <c r="O1770" s="30"/>
      <c r="P1770" s="30"/>
      <c r="Q1770" s="30"/>
      <c r="R1770" s="30"/>
      <c r="S1770" s="30"/>
      <c r="T1770" s="30"/>
      <c r="U1770" s="21" t="str">
        <f aca="false">IF(COUNT(K1770:T1770)=0,"SOURCE EMPTY / INDUSTRIAL ONLY",IF(MIN(K1770:T1770)=1,"SERVICE READY","HOLD"))</f>
        <v>SOURCE EMPTY / INDUSTRIAL ONLY</v>
      </c>
      <c r="V1770" s="9" t="n">
        <f aca="false">IF(U1770="SERVICE READY",1,0)</f>
        <v>0</v>
      </c>
      <c r="W1770" s="6"/>
      <c r="X1770" s="6"/>
      <c r="Y1770" s="6"/>
      <c r="Z1770" s="6"/>
    </row>
    <row r="1771" customFormat="false" ht="15" hidden="false" customHeight="false" outlineLevel="0" collapsed="false">
      <c r="A1771" s="9" t="s">
        <v>2017</v>
      </c>
      <c r="B1771" s="9" t="s">
        <v>1967</v>
      </c>
      <c r="C1771" s="9" t="s">
        <v>1968</v>
      </c>
      <c r="D1771" s="9" t="s">
        <v>1735</v>
      </c>
      <c r="E1771" s="9" t="s">
        <v>323</v>
      </c>
      <c r="F1771" s="9" t="s">
        <v>197</v>
      </c>
      <c r="G1771" s="9" t="s">
        <v>221</v>
      </c>
      <c r="H1771" s="9" t="n">
        <v>2100</v>
      </c>
      <c r="I1771" s="29" t="n">
        <v>7</v>
      </c>
      <c r="J1771" s="9" t="n">
        <v>0</v>
      </c>
      <c r="K1771" s="30"/>
      <c r="L1771" s="30"/>
      <c r="M1771" s="30"/>
      <c r="N1771" s="30"/>
      <c r="O1771" s="30"/>
      <c r="P1771" s="30"/>
      <c r="Q1771" s="30"/>
      <c r="R1771" s="30"/>
      <c r="S1771" s="30"/>
      <c r="T1771" s="30"/>
      <c r="U1771" s="21" t="str">
        <f aca="false">IF(COUNT(K1771:T1771)=0,"SOURCE EMPTY / INDUSTRIAL ONLY",IF(MIN(K1771:T1771)=1,"SERVICE READY","HOLD"))</f>
        <v>SOURCE EMPTY / INDUSTRIAL ONLY</v>
      </c>
      <c r="V1771" s="9" t="n">
        <f aca="false">IF(U1771="SERVICE READY",1,0)</f>
        <v>0</v>
      </c>
      <c r="W1771" s="6"/>
      <c r="X1771" s="6"/>
      <c r="Y1771" s="6"/>
      <c r="Z1771" s="6"/>
    </row>
    <row r="1772" customFormat="false" ht="15" hidden="false" customHeight="false" outlineLevel="0" collapsed="false">
      <c r="A1772" s="9" t="s">
        <v>2018</v>
      </c>
      <c r="B1772" s="9" t="s">
        <v>1967</v>
      </c>
      <c r="C1772" s="9" t="s">
        <v>1968</v>
      </c>
      <c r="D1772" s="9" t="s">
        <v>1735</v>
      </c>
      <c r="E1772" s="9" t="s">
        <v>323</v>
      </c>
      <c r="F1772" s="9" t="s">
        <v>200</v>
      </c>
      <c r="G1772" s="9" t="s">
        <v>221</v>
      </c>
      <c r="H1772" s="9" t="n">
        <v>2100</v>
      </c>
      <c r="I1772" s="29" t="n">
        <v>7</v>
      </c>
      <c r="J1772" s="9" t="n">
        <v>0</v>
      </c>
      <c r="K1772" s="30"/>
      <c r="L1772" s="30"/>
      <c r="M1772" s="30"/>
      <c r="N1772" s="30"/>
      <c r="O1772" s="30"/>
      <c r="P1772" s="30"/>
      <c r="Q1772" s="30"/>
      <c r="R1772" s="30"/>
      <c r="S1772" s="30"/>
      <c r="T1772" s="30"/>
      <c r="U1772" s="21" t="str">
        <f aca="false">IF(COUNT(K1772:T1772)=0,"SOURCE EMPTY / INDUSTRIAL ONLY",IF(MIN(K1772:T1772)=1,"SERVICE READY","HOLD"))</f>
        <v>SOURCE EMPTY / INDUSTRIAL ONLY</v>
      </c>
      <c r="V1772" s="9" t="n">
        <f aca="false">IF(U1772="SERVICE READY",1,0)</f>
        <v>0</v>
      </c>
      <c r="W1772" s="6"/>
      <c r="X1772" s="6"/>
      <c r="Y1772" s="6"/>
      <c r="Z1772" s="6"/>
    </row>
    <row r="1773" customFormat="false" ht="15" hidden="false" customHeight="false" outlineLevel="0" collapsed="false">
      <c r="A1773" s="9" t="s">
        <v>2019</v>
      </c>
      <c r="B1773" s="9" t="s">
        <v>1967</v>
      </c>
      <c r="C1773" s="9" t="s">
        <v>1968</v>
      </c>
      <c r="D1773" s="9" t="s">
        <v>1735</v>
      </c>
      <c r="E1773" s="9" t="s">
        <v>323</v>
      </c>
      <c r="F1773" s="9" t="s">
        <v>203</v>
      </c>
      <c r="G1773" s="9" t="s">
        <v>221</v>
      </c>
      <c r="H1773" s="9" t="n">
        <v>2100</v>
      </c>
      <c r="I1773" s="29" t="n">
        <v>7</v>
      </c>
      <c r="J1773" s="9" t="n">
        <v>0</v>
      </c>
      <c r="K1773" s="30"/>
      <c r="L1773" s="30"/>
      <c r="M1773" s="30"/>
      <c r="N1773" s="30"/>
      <c r="O1773" s="30"/>
      <c r="P1773" s="30"/>
      <c r="Q1773" s="30"/>
      <c r="R1773" s="30"/>
      <c r="S1773" s="30"/>
      <c r="T1773" s="30"/>
      <c r="U1773" s="21" t="str">
        <f aca="false">IF(COUNT(K1773:T1773)=0,"SOURCE EMPTY / INDUSTRIAL ONLY",IF(MIN(K1773:T1773)=1,"SERVICE READY","HOLD"))</f>
        <v>SOURCE EMPTY / INDUSTRIAL ONLY</v>
      </c>
      <c r="V1773" s="9" t="n">
        <f aca="false">IF(U1773="SERVICE READY",1,0)</f>
        <v>0</v>
      </c>
      <c r="W1773" s="6"/>
      <c r="X1773" s="6"/>
      <c r="Y1773" s="6"/>
      <c r="Z1773" s="6"/>
    </row>
    <row r="1774" customFormat="false" ht="15" hidden="false" customHeight="false" outlineLevel="0" collapsed="false">
      <c r="A1774" s="9" t="s">
        <v>2020</v>
      </c>
      <c r="B1774" s="9" t="s">
        <v>1967</v>
      </c>
      <c r="C1774" s="9" t="s">
        <v>1968</v>
      </c>
      <c r="D1774" s="9" t="s">
        <v>1735</v>
      </c>
      <c r="E1774" s="9" t="s">
        <v>323</v>
      </c>
      <c r="F1774" s="9" t="s">
        <v>205</v>
      </c>
      <c r="G1774" s="9" t="s">
        <v>221</v>
      </c>
      <c r="H1774" s="9" t="n">
        <v>2100</v>
      </c>
      <c r="I1774" s="29" t="n">
        <v>7</v>
      </c>
      <c r="J1774" s="9" t="n">
        <v>0</v>
      </c>
      <c r="K1774" s="30"/>
      <c r="L1774" s="30"/>
      <c r="M1774" s="30"/>
      <c r="N1774" s="30"/>
      <c r="O1774" s="30"/>
      <c r="P1774" s="30"/>
      <c r="Q1774" s="30"/>
      <c r="R1774" s="30"/>
      <c r="S1774" s="30"/>
      <c r="T1774" s="30"/>
      <c r="U1774" s="21" t="str">
        <f aca="false">IF(COUNT(K1774:T1774)=0,"SOURCE EMPTY / INDUSTRIAL ONLY",IF(MIN(K1774:T1774)=1,"SERVICE READY","HOLD"))</f>
        <v>SOURCE EMPTY / INDUSTRIAL ONLY</v>
      </c>
      <c r="V1774" s="9" t="n">
        <f aca="false">IF(U1774="SERVICE READY",1,0)</f>
        <v>0</v>
      </c>
      <c r="W1774" s="6"/>
      <c r="X1774" s="6"/>
      <c r="Y1774" s="6"/>
      <c r="Z1774" s="6"/>
    </row>
    <row r="1775" customFormat="false" ht="15" hidden="false" customHeight="false" outlineLevel="0" collapsed="false">
      <c r="A1775" s="9" t="s">
        <v>2021</v>
      </c>
      <c r="B1775" s="9" t="s">
        <v>1967</v>
      </c>
      <c r="C1775" s="9" t="s">
        <v>1968</v>
      </c>
      <c r="D1775" s="9" t="s">
        <v>1735</v>
      </c>
      <c r="E1775" s="9" t="s">
        <v>323</v>
      </c>
      <c r="F1775" s="9" t="s">
        <v>207</v>
      </c>
      <c r="G1775" s="9" t="s">
        <v>221</v>
      </c>
      <c r="H1775" s="9" t="n">
        <v>2100</v>
      </c>
      <c r="I1775" s="29" t="n">
        <v>7</v>
      </c>
      <c r="J1775" s="9" t="n">
        <v>0</v>
      </c>
      <c r="K1775" s="30"/>
      <c r="L1775" s="30"/>
      <c r="M1775" s="30"/>
      <c r="N1775" s="30"/>
      <c r="O1775" s="30"/>
      <c r="P1775" s="30"/>
      <c r="Q1775" s="30"/>
      <c r="R1775" s="30"/>
      <c r="S1775" s="30"/>
      <c r="T1775" s="30"/>
      <c r="U1775" s="21" t="str">
        <f aca="false">IF(COUNT(K1775:T1775)=0,"SOURCE EMPTY / INDUSTRIAL ONLY",IF(MIN(K1775:T1775)=1,"SERVICE READY","HOLD"))</f>
        <v>SOURCE EMPTY / INDUSTRIAL ONLY</v>
      </c>
      <c r="V1775" s="9" t="n">
        <f aca="false">IF(U1775="SERVICE READY",1,0)</f>
        <v>0</v>
      </c>
      <c r="W1775" s="6"/>
      <c r="X1775" s="6"/>
      <c r="Y1775" s="6"/>
      <c r="Z1775" s="6"/>
    </row>
    <row r="1776" customFormat="false" ht="15" hidden="false" customHeight="false" outlineLevel="0" collapsed="false">
      <c r="A1776" s="9" t="s">
        <v>2022</v>
      </c>
      <c r="B1776" s="9" t="s">
        <v>1967</v>
      </c>
      <c r="C1776" s="9" t="s">
        <v>1968</v>
      </c>
      <c r="D1776" s="9" t="s">
        <v>1735</v>
      </c>
      <c r="E1776" s="9" t="s">
        <v>323</v>
      </c>
      <c r="F1776" s="9" t="s">
        <v>209</v>
      </c>
      <c r="G1776" s="9" t="s">
        <v>221</v>
      </c>
      <c r="H1776" s="9" t="n">
        <v>2100</v>
      </c>
      <c r="I1776" s="29" t="n">
        <v>7</v>
      </c>
      <c r="J1776" s="9" t="n">
        <v>0</v>
      </c>
      <c r="K1776" s="30"/>
      <c r="L1776" s="30"/>
      <c r="M1776" s="30"/>
      <c r="N1776" s="30"/>
      <c r="O1776" s="30"/>
      <c r="P1776" s="30"/>
      <c r="Q1776" s="30"/>
      <c r="R1776" s="30"/>
      <c r="S1776" s="30"/>
      <c r="T1776" s="30"/>
      <c r="U1776" s="21" t="str">
        <f aca="false">IF(COUNT(K1776:T1776)=0,"SOURCE EMPTY / INDUSTRIAL ONLY",IF(MIN(K1776:T1776)=1,"SERVICE READY","HOLD"))</f>
        <v>SOURCE EMPTY / INDUSTRIAL ONLY</v>
      </c>
      <c r="V1776" s="9" t="n">
        <f aca="false">IF(U1776="SERVICE READY",1,0)</f>
        <v>0</v>
      </c>
      <c r="W1776" s="6"/>
      <c r="X1776" s="6"/>
      <c r="Y1776" s="6"/>
      <c r="Z1776" s="6"/>
    </row>
    <row r="1777" customFormat="false" ht="15" hidden="false" customHeight="false" outlineLevel="0" collapsed="false">
      <c r="A1777" s="9" t="s">
        <v>2023</v>
      </c>
      <c r="B1777" s="9" t="s">
        <v>1967</v>
      </c>
      <c r="C1777" s="9" t="s">
        <v>1968</v>
      </c>
      <c r="D1777" s="9" t="s">
        <v>1735</v>
      </c>
      <c r="E1777" s="9" t="s">
        <v>323</v>
      </c>
      <c r="F1777" s="9" t="s">
        <v>211</v>
      </c>
      <c r="G1777" s="9" t="s">
        <v>221</v>
      </c>
      <c r="H1777" s="9" t="n">
        <v>2100</v>
      </c>
      <c r="I1777" s="29" t="n">
        <v>7</v>
      </c>
      <c r="J1777" s="9" t="n">
        <v>0</v>
      </c>
      <c r="K1777" s="30"/>
      <c r="L1777" s="30"/>
      <c r="M1777" s="30"/>
      <c r="N1777" s="30"/>
      <c r="O1777" s="30"/>
      <c r="P1777" s="30"/>
      <c r="Q1777" s="30"/>
      <c r="R1777" s="30"/>
      <c r="S1777" s="30"/>
      <c r="T1777" s="30"/>
      <c r="U1777" s="21" t="str">
        <f aca="false">IF(COUNT(K1777:T1777)=0,"SOURCE EMPTY / INDUSTRIAL ONLY",IF(MIN(K1777:T1777)=1,"SERVICE READY","HOLD"))</f>
        <v>SOURCE EMPTY / INDUSTRIAL ONLY</v>
      </c>
      <c r="V1777" s="9" t="n">
        <f aca="false">IF(U1777="SERVICE READY",1,0)</f>
        <v>0</v>
      </c>
      <c r="W1777" s="6"/>
      <c r="X1777" s="6"/>
      <c r="Y1777" s="6"/>
      <c r="Z1777" s="6"/>
    </row>
    <row r="1778" customFormat="false" ht="15" hidden="false" customHeight="false" outlineLevel="0" collapsed="false">
      <c r="A1778" s="9" t="s">
        <v>2024</v>
      </c>
      <c r="B1778" s="9" t="s">
        <v>2025</v>
      </c>
      <c r="C1778" s="9" t="s">
        <v>2026</v>
      </c>
      <c r="D1778" s="9" t="s">
        <v>1735</v>
      </c>
      <c r="E1778" s="9" t="s">
        <v>2027</v>
      </c>
      <c r="F1778" s="9" t="s">
        <v>197</v>
      </c>
      <c r="G1778" s="9" t="s">
        <v>198</v>
      </c>
      <c r="H1778" s="9" t="n">
        <v>2700</v>
      </c>
      <c r="I1778" s="29" t="n">
        <v>1.5</v>
      </c>
      <c r="J1778" s="9" t="n">
        <v>1</v>
      </c>
      <c r="K1778" s="30"/>
      <c r="L1778" s="30"/>
      <c r="M1778" s="30"/>
      <c r="N1778" s="30"/>
      <c r="O1778" s="30"/>
      <c r="P1778" s="30"/>
      <c r="Q1778" s="30"/>
      <c r="R1778" s="30"/>
      <c r="S1778" s="30"/>
      <c r="T1778" s="30"/>
      <c r="U1778" s="21" t="str">
        <f aca="false">IF(COUNT(K1778:T1778)=0,"SOURCE EMPTY / INDUSTRIAL ONLY",IF(MIN(K1778:T1778)=1,"SERVICE READY","HOLD"))</f>
        <v>SOURCE EMPTY / INDUSTRIAL ONLY</v>
      </c>
      <c r="V1778" s="9" t="n">
        <f aca="false">IF(U1778="SERVICE READY",1,0)</f>
        <v>0</v>
      </c>
      <c r="W1778" s="6"/>
      <c r="X1778" s="6"/>
      <c r="Y1778" s="6"/>
      <c r="Z1778" s="6"/>
    </row>
    <row r="1779" customFormat="false" ht="15" hidden="false" customHeight="false" outlineLevel="0" collapsed="false">
      <c r="A1779" s="9" t="s">
        <v>2028</v>
      </c>
      <c r="B1779" s="9" t="s">
        <v>2025</v>
      </c>
      <c r="C1779" s="9" t="s">
        <v>2026</v>
      </c>
      <c r="D1779" s="9" t="s">
        <v>1735</v>
      </c>
      <c r="E1779" s="9" t="s">
        <v>2027</v>
      </c>
      <c r="F1779" s="9" t="s">
        <v>200</v>
      </c>
      <c r="G1779" s="9" t="s">
        <v>201</v>
      </c>
      <c r="H1779" s="9" t="n">
        <v>2700</v>
      </c>
      <c r="I1779" s="29" t="n">
        <v>1.5</v>
      </c>
      <c r="J1779" s="9" t="n">
        <v>1</v>
      </c>
      <c r="K1779" s="30"/>
      <c r="L1779" s="30"/>
      <c r="M1779" s="30"/>
      <c r="N1779" s="30"/>
      <c r="O1779" s="30"/>
      <c r="P1779" s="30"/>
      <c r="Q1779" s="30"/>
      <c r="R1779" s="30"/>
      <c r="S1779" s="30"/>
      <c r="T1779" s="30"/>
      <c r="U1779" s="21" t="str">
        <f aca="false">IF(COUNT(K1779:T1779)=0,"SOURCE EMPTY / INDUSTRIAL ONLY",IF(MIN(K1779:T1779)=1,"SERVICE READY","HOLD"))</f>
        <v>SOURCE EMPTY / INDUSTRIAL ONLY</v>
      </c>
      <c r="V1779" s="9" t="n">
        <f aca="false">IF(U1779="SERVICE READY",1,0)</f>
        <v>0</v>
      </c>
      <c r="W1779" s="6"/>
      <c r="X1779" s="6"/>
      <c r="Y1779" s="6"/>
      <c r="Z1779" s="6"/>
    </row>
    <row r="1780" customFormat="false" ht="15" hidden="false" customHeight="false" outlineLevel="0" collapsed="false">
      <c r="A1780" s="9" t="s">
        <v>2029</v>
      </c>
      <c r="B1780" s="9" t="s">
        <v>2025</v>
      </c>
      <c r="C1780" s="9" t="s">
        <v>2026</v>
      </c>
      <c r="D1780" s="9" t="s">
        <v>1735</v>
      </c>
      <c r="E1780" s="9" t="s">
        <v>2027</v>
      </c>
      <c r="F1780" s="9" t="s">
        <v>203</v>
      </c>
      <c r="G1780" s="9" t="s">
        <v>198</v>
      </c>
      <c r="H1780" s="9" t="n">
        <v>2700</v>
      </c>
      <c r="I1780" s="29" t="n">
        <v>1.5</v>
      </c>
      <c r="J1780" s="9" t="n">
        <v>1</v>
      </c>
      <c r="K1780" s="30"/>
      <c r="L1780" s="30"/>
      <c r="M1780" s="30"/>
      <c r="N1780" s="30"/>
      <c r="O1780" s="30"/>
      <c r="P1780" s="30"/>
      <c r="Q1780" s="30"/>
      <c r="R1780" s="30"/>
      <c r="S1780" s="30"/>
      <c r="T1780" s="30"/>
      <c r="U1780" s="21" t="str">
        <f aca="false">IF(COUNT(K1780:T1780)=0,"SOURCE EMPTY / INDUSTRIAL ONLY",IF(MIN(K1780:T1780)=1,"SERVICE READY","HOLD"))</f>
        <v>SOURCE EMPTY / INDUSTRIAL ONLY</v>
      </c>
      <c r="V1780" s="9" t="n">
        <f aca="false">IF(U1780="SERVICE READY",1,0)</f>
        <v>0</v>
      </c>
      <c r="W1780" s="6"/>
      <c r="X1780" s="6"/>
      <c r="Y1780" s="6"/>
      <c r="Z1780" s="6"/>
    </row>
    <row r="1781" customFormat="false" ht="15" hidden="false" customHeight="false" outlineLevel="0" collapsed="false">
      <c r="A1781" s="9" t="s">
        <v>2030</v>
      </c>
      <c r="B1781" s="9" t="s">
        <v>2025</v>
      </c>
      <c r="C1781" s="9" t="s">
        <v>2026</v>
      </c>
      <c r="D1781" s="9" t="s">
        <v>1735</v>
      </c>
      <c r="E1781" s="9" t="s">
        <v>2027</v>
      </c>
      <c r="F1781" s="9" t="s">
        <v>205</v>
      </c>
      <c r="G1781" s="9" t="s">
        <v>201</v>
      </c>
      <c r="H1781" s="9" t="n">
        <v>2700</v>
      </c>
      <c r="I1781" s="29" t="n">
        <v>1.5</v>
      </c>
      <c r="J1781" s="9" t="n">
        <v>1</v>
      </c>
      <c r="K1781" s="30"/>
      <c r="L1781" s="30"/>
      <c r="M1781" s="30"/>
      <c r="N1781" s="30"/>
      <c r="O1781" s="30"/>
      <c r="P1781" s="30"/>
      <c r="Q1781" s="30"/>
      <c r="R1781" s="30"/>
      <c r="S1781" s="30"/>
      <c r="T1781" s="30"/>
      <c r="U1781" s="21" t="str">
        <f aca="false">IF(COUNT(K1781:T1781)=0,"SOURCE EMPTY / INDUSTRIAL ONLY",IF(MIN(K1781:T1781)=1,"SERVICE READY","HOLD"))</f>
        <v>SOURCE EMPTY / INDUSTRIAL ONLY</v>
      </c>
      <c r="V1781" s="9" t="n">
        <f aca="false">IF(U1781="SERVICE READY",1,0)</f>
        <v>0</v>
      </c>
      <c r="W1781" s="6"/>
      <c r="X1781" s="6"/>
      <c r="Y1781" s="6"/>
      <c r="Z1781" s="6"/>
    </row>
    <row r="1782" customFormat="false" ht="15" hidden="false" customHeight="false" outlineLevel="0" collapsed="false">
      <c r="A1782" s="9" t="s">
        <v>2031</v>
      </c>
      <c r="B1782" s="9" t="s">
        <v>2025</v>
      </c>
      <c r="C1782" s="9" t="s">
        <v>2026</v>
      </c>
      <c r="D1782" s="9" t="s">
        <v>1735</v>
      </c>
      <c r="E1782" s="9" t="s">
        <v>2027</v>
      </c>
      <c r="F1782" s="9" t="s">
        <v>207</v>
      </c>
      <c r="G1782" s="9" t="s">
        <v>198</v>
      </c>
      <c r="H1782" s="9" t="n">
        <v>2700</v>
      </c>
      <c r="I1782" s="29" t="n">
        <v>1.5</v>
      </c>
      <c r="J1782" s="9" t="n">
        <v>1</v>
      </c>
      <c r="K1782" s="30"/>
      <c r="L1782" s="30"/>
      <c r="M1782" s="30"/>
      <c r="N1782" s="30"/>
      <c r="O1782" s="30"/>
      <c r="P1782" s="30"/>
      <c r="Q1782" s="30"/>
      <c r="R1782" s="30"/>
      <c r="S1782" s="30"/>
      <c r="T1782" s="30"/>
      <c r="U1782" s="21" t="str">
        <f aca="false">IF(COUNT(K1782:T1782)=0,"SOURCE EMPTY / INDUSTRIAL ONLY",IF(MIN(K1782:T1782)=1,"SERVICE READY","HOLD"))</f>
        <v>SOURCE EMPTY / INDUSTRIAL ONLY</v>
      </c>
      <c r="V1782" s="9" t="n">
        <f aca="false">IF(U1782="SERVICE READY",1,0)</f>
        <v>0</v>
      </c>
      <c r="W1782" s="6"/>
      <c r="X1782" s="6"/>
      <c r="Y1782" s="6"/>
      <c r="Z1782" s="6"/>
    </row>
    <row r="1783" customFormat="false" ht="15" hidden="false" customHeight="false" outlineLevel="0" collapsed="false">
      <c r="A1783" s="9" t="s">
        <v>2032</v>
      </c>
      <c r="B1783" s="9" t="s">
        <v>2025</v>
      </c>
      <c r="C1783" s="9" t="s">
        <v>2026</v>
      </c>
      <c r="D1783" s="9" t="s">
        <v>1735</v>
      </c>
      <c r="E1783" s="9" t="s">
        <v>2027</v>
      </c>
      <c r="F1783" s="9" t="s">
        <v>209</v>
      </c>
      <c r="G1783" s="9" t="s">
        <v>201</v>
      </c>
      <c r="H1783" s="9" t="n">
        <v>2700</v>
      </c>
      <c r="I1783" s="29" t="n">
        <v>1.5</v>
      </c>
      <c r="J1783" s="9" t="n">
        <v>1</v>
      </c>
      <c r="K1783" s="30"/>
      <c r="L1783" s="30"/>
      <c r="M1783" s="30"/>
      <c r="N1783" s="30"/>
      <c r="O1783" s="30"/>
      <c r="P1783" s="30"/>
      <c r="Q1783" s="30"/>
      <c r="R1783" s="30"/>
      <c r="S1783" s="30"/>
      <c r="T1783" s="30"/>
      <c r="U1783" s="21" t="str">
        <f aca="false">IF(COUNT(K1783:T1783)=0,"SOURCE EMPTY / INDUSTRIAL ONLY",IF(MIN(K1783:T1783)=1,"SERVICE READY","HOLD"))</f>
        <v>SOURCE EMPTY / INDUSTRIAL ONLY</v>
      </c>
      <c r="V1783" s="9" t="n">
        <f aca="false">IF(U1783="SERVICE READY",1,0)</f>
        <v>0</v>
      </c>
      <c r="W1783" s="6"/>
      <c r="X1783" s="6"/>
      <c r="Y1783" s="6"/>
      <c r="Z1783" s="6"/>
    </row>
    <row r="1784" customFormat="false" ht="15" hidden="false" customHeight="false" outlineLevel="0" collapsed="false">
      <c r="A1784" s="9" t="s">
        <v>2033</v>
      </c>
      <c r="B1784" s="9" t="s">
        <v>2025</v>
      </c>
      <c r="C1784" s="9" t="s">
        <v>2026</v>
      </c>
      <c r="D1784" s="9" t="s">
        <v>1735</v>
      </c>
      <c r="E1784" s="9" t="s">
        <v>2027</v>
      </c>
      <c r="F1784" s="9" t="s">
        <v>211</v>
      </c>
      <c r="G1784" s="9" t="s">
        <v>198</v>
      </c>
      <c r="H1784" s="9" t="n">
        <v>2700</v>
      </c>
      <c r="I1784" s="29" t="n">
        <v>1.5</v>
      </c>
      <c r="J1784" s="9" t="n">
        <v>1</v>
      </c>
      <c r="K1784" s="30"/>
      <c r="L1784" s="30"/>
      <c r="M1784" s="30"/>
      <c r="N1784" s="30"/>
      <c r="O1784" s="30"/>
      <c r="P1784" s="30"/>
      <c r="Q1784" s="30"/>
      <c r="R1784" s="30"/>
      <c r="S1784" s="30"/>
      <c r="T1784" s="30"/>
      <c r="U1784" s="21" t="str">
        <f aca="false">IF(COUNT(K1784:T1784)=0,"SOURCE EMPTY / INDUSTRIAL ONLY",IF(MIN(K1784:T1784)=1,"SERVICE READY","HOLD"))</f>
        <v>SOURCE EMPTY / INDUSTRIAL ONLY</v>
      </c>
      <c r="V1784" s="9" t="n">
        <f aca="false">IF(U1784="SERVICE READY",1,0)</f>
        <v>0</v>
      </c>
      <c r="W1784" s="6"/>
      <c r="X1784" s="6"/>
      <c r="Y1784" s="6"/>
      <c r="Z1784" s="6"/>
    </row>
    <row r="1785" customFormat="false" ht="15" hidden="false" customHeight="false" outlineLevel="0" collapsed="false">
      <c r="A1785" s="9" t="s">
        <v>2034</v>
      </c>
      <c r="B1785" s="9" t="s">
        <v>2025</v>
      </c>
      <c r="C1785" s="9" t="s">
        <v>2026</v>
      </c>
      <c r="D1785" s="9" t="s">
        <v>1735</v>
      </c>
      <c r="E1785" s="9" t="s">
        <v>2027</v>
      </c>
      <c r="F1785" s="9" t="s">
        <v>197</v>
      </c>
      <c r="G1785" s="9" t="s">
        <v>201</v>
      </c>
      <c r="H1785" s="9" t="n">
        <v>2700</v>
      </c>
      <c r="I1785" s="29" t="n">
        <v>1.5</v>
      </c>
      <c r="J1785" s="9" t="n">
        <v>1</v>
      </c>
      <c r="K1785" s="30"/>
      <c r="L1785" s="30"/>
      <c r="M1785" s="30"/>
      <c r="N1785" s="30"/>
      <c r="O1785" s="30"/>
      <c r="P1785" s="30"/>
      <c r="Q1785" s="30"/>
      <c r="R1785" s="30"/>
      <c r="S1785" s="30"/>
      <c r="T1785" s="30"/>
      <c r="U1785" s="21" t="str">
        <f aca="false">IF(COUNT(K1785:T1785)=0,"SOURCE EMPTY / INDUSTRIAL ONLY",IF(MIN(K1785:T1785)=1,"SERVICE READY","HOLD"))</f>
        <v>SOURCE EMPTY / INDUSTRIAL ONLY</v>
      </c>
      <c r="V1785" s="9" t="n">
        <f aca="false">IF(U1785="SERVICE READY",1,0)</f>
        <v>0</v>
      </c>
      <c r="W1785" s="6"/>
      <c r="X1785" s="6"/>
      <c r="Y1785" s="6"/>
      <c r="Z1785" s="6"/>
    </row>
    <row r="1786" customFormat="false" ht="15" hidden="false" customHeight="false" outlineLevel="0" collapsed="false">
      <c r="A1786" s="9" t="s">
        <v>2035</v>
      </c>
      <c r="B1786" s="9" t="s">
        <v>2025</v>
      </c>
      <c r="C1786" s="9" t="s">
        <v>2026</v>
      </c>
      <c r="D1786" s="9" t="s">
        <v>1735</v>
      </c>
      <c r="E1786" s="9" t="s">
        <v>2027</v>
      </c>
      <c r="F1786" s="9" t="s">
        <v>200</v>
      </c>
      <c r="G1786" s="9" t="s">
        <v>198</v>
      </c>
      <c r="H1786" s="9" t="n">
        <v>2700</v>
      </c>
      <c r="I1786" s="29" t="n">
        <v>1.5</v>
      </c>
      <c r="J1786" s="9" t="n">
        <v>1</v>
      </c>
      <c r="K1786" s="30"/>
      <c r="L1786" s="30"/>
      <c r="M1786" s="30"/>
      <c r="N1786" s="30"/>
      <c r="O1786" s="30"/>
      <c r="P1786" s="30"/>
      <c r="Q1786" s="30"/>
      <c r="R1786" s="30"/>
      <c r="S1786" s="30"/>
      <c r="T1786" s="30"/>
      <c r="U1786" s="21" t="str">
        <f aca="false">IF(COUNT(K1786:T1786)=0,"SOURCE EMPTY / INDUSTRIAL ONLY",IF(MIN(K1786:T1786)=1,"SERVICE READY","HOLD"))</f>
        <v>SOURCE EMPTY / INDUSTRIAL ONLY</v>
      </c>
      <c r="V1786" s="9" t="n">
        <f aca="false">IF(U1786="SERVICE READY",1,0)</f>
        <v>0</v>
      </c>
      <c r="W1786" s="6"/>
      <c r="X1786" s="6"/>
      <c r="Y1786" s="6"/>
      <c r="Z1786" s="6"/>
    </row>
    <row r="1787" customFormat="false" ht="15" hidden="false" customHeight="false" outlineLevel="0" collapsed="false">
      <c r="A1787" s="9" t="s">
        <v>2036</v>
      </c>
      <c r="B1787" s="9" t="s">
        <v>2025</v>
      </c>
      <c r="C1787" s="9" t="s">
        <v>2026</v>
      </c>
      <c r="D1787" s="9" t="s">
        <v>1735</v>
      </c>
      <c r="E1787" s="9" t="s">
        <v>2027</v>
      </c>
      <c r="F1787" s="9" t="s">
        <v>203</v>
      </c>
      <c r="G1787" s="9" t="s">
        <v>201</v>
      </c>
      <c r="H1787" s="9" t="n">
        <v>2700</v>
      </c>
      <c r="I1787" s="29" t="n">
        <v>1.5</v>
      </c>
      <c r="J1787" s="9" t="n">
        <v>1</v>
      </c>
      <c r="K1787" s="30"/>
      <c r="L1787" s="30"/>
      <c r="M1787" s="30"/>
      <c r="N1787" s="30"/>
      <c r="O1787" s="30"/>
      <c r="P1787" s="30"/>
      <c r="Q1787" s="30"/>
      <c r="R1787" s="30"/>
      <c r="S1787" s="30"/>
      <c r="T1787" s="30"/>
      <c r="U1787" s="21" t="str">
        <f aca="false">IF(COUNT(K1787:T1787)=0,"SOURCE EMPTY / INDUSTRIAL ONLY",IF(MIN(K1787:T1787)=1,"SERVICE READY","HOLD"))</f>
        <v>SOURCE EMPTY / INDUSTRIAL ONLY</v>
      </c>
      <c r="V1787" s="9" t="n">
        <f aca="false">IF(U1787="SERVICE READY",1,0)</f>
        <v>0</v>
      </c>
      <c r="W1787" s="6"/>
      <c r="X1787" s="6"/>
      <c r="Y1787" s="6"/>
      <c r="Z1787" s="6"/>
    </row>
    <row r="1788" customFormat="false" ht="15" hidden="false" customHeight="false" outlineLevel="0" collapsed="false">
      <c r="A1788" s="9" t="s">
        <v>2037</v>
      </c>
      <c r="B1788" s="9" t="s">
        <v>2025</v>
      </c>
      <c r="C1788" s="9" t="s">
        <v>2026</v>
      </c>
      <c r="D1788" s="9" t="s">
        <v>1735</v>
      </c>
      <c r="E1788" s="9" t="s">
        <v>2027</v>
      </c>
      <c r="F1788" s="9" t="s">
        <v>205</v>
      </c>
      <c r="G1788" s="9" t="s">
        <v>198</v>
      </c>
      <c r="H1788" s="9" t="n">
        <v>2700</v>
      </c>
      <c r="I1788" s="29" t="n">
        <v>1.5</v>
      </c>
      <c r="J1788" s="9" t="n">
        <v>1</v>
      </c>
      <c r="K1788" s="30"/>
      <c r="L1788" s="30"/>
      <c r="M1788" s="30"/>
      <c r="N1788" s="30"/>
      <c r="O1788" s="30"/>
      <c r="P1788" s="30"/>
      <c r="Q1788" s="30"/>
      <c r="R1788" s="30"/>
      <c r="S1788" s="30"/>
      <c r="T1788" s="30"/>
      <c r="U1788" s="21" t="str">
        <f aca="false">IF(COUNT(K1788:T1788)=0,"SOURCE EMPTY / INDUSTRIAL ONLY",IF(MIN(K1788:T1788)=1,"SERVICE READY","HOLD"))</f>
        <v>SOURCE EMPTY / INDUSTRIAL ONLY</v>
      </c>
      <c r="V1788" s="9" t="n">
        <f aca="false">IF(U1788="SERVICE READY",1,0)</f>
        <v>0</v>
      </c>
      <c r="W1788" s="6"/>
      <c r="X1788" s="6"/>
      <c r="Y1788" s="6"/>
      <c r="Z1788" s="6"/>
    </row>
    <row r="1789" customFormat="false" ht="15" hidden="false" customHeight="false" outlineLevel="0" collapsed="false">
      <c r="A1789" s="9" t="s">
        <v>2038</v>
      </c>
      <c r="B1789" s="9" t="s">
        <v>2025</v>
      </c>
      <c r="C1789" s="9" t="s">
        <v>2026</v>
      </c>
      <c r="D1789" s="9" t="s">
        <v>1735</v>
      </c>
      <c r="E1789" s="9" t="s">
        <v>2027</v>
      </c>
      <c r="F1789" s="9" t="s">
        <v>207</v>
      </c>
      <c r="G1789" s="9" t="s">
        <v>201</v>
      </c>
      <c r="H1789" s="9" t="n">
        <v>2700</v>
      </c>
      <c r="I1789" s="29" t="n">
        <v>1.5</v>
      </c>
      <c r="J1789" s="9" t="n">
        <v>1</v>
      </c>
      <c r="K1789" s="30"/>
      <c r="L1789" s="30"/>
      <c r="M1789" s="30"/>
      <c r="N1789" s="30"/>
      <c r="O1789" s="30"/>
      <c r="P1789" s="30"/>
      <c r="Q1789" s="30"/>
      <c r="R1789" s="30"/>
      <c r="S1789" s="30"/>
      <c r="T1789" s="30"/>
      <c r="U1789" s="21" t="str">
        <f aca="false">IF(COUNT(K1789:T1789)=0,"SOURCE EMPTY / INDUSTRIAL ONLY",IF(MIN(K1789:T1789)=1,"SERVICE READY","HOLD"))</f>
        <v>SOURCE EMPTY / INDUSTRIAL ONLY</v>
      </c>
      <c r="V1789" s="9" t="n">
        <f aca="false">IF(U1789="SERVICE READY",1,0)</f>
        <v>0</v>
      </c>
      <c r="W1789" s="6"/>
      <c r="X1789" s="6"/>
      <c r="Y1789" s="6"/>
      <c r="Z1789" s="6"/>
    </row>
    <row r="1790" customFormat="false" ht="15" hidden="false" customHeight="false" outlineLevel="0" collapsed="false">
      <c r="A1790" s="9" t="s">
        <v>2039</v>
      </c>
      <c r="B1790" s="9" t="s">
        <v>2025</v>
      </c>
      <c r="C1790" s="9" t="s">
        <v>2026</v>
      </c>
      <c r="D1790" s="9" t="s">
        <v>1735</v>
      </c>
      <c r="E1790" s="9" t="s">
        <v>2027</v>
      </c>
      <c r="F1790" s="9" t="s">
        <v>209</v>
      </c>
      <c r="G1790" s="9" t="s">
        <v>198</v>
      </c>
      <c r="H1790" s="9" t="n">
        <v>2700</v>
      </c>
      <c r="I1790" s="29" t="n">
        <v>1.5</v>
      </c>
      <c r="J1790" s="9" t="n">
        <v>1</v>
      </c>
      <c r="K1790" s="30"/>
      <c r="L1790" s="30"/>
      <c r="M1790" s="30"/>
      <c r="N1790" s="30"/>
      <c r="O1790" s="30"/>
      <c r="P1790" s="30"/>
      <c r="Q1790" s="30"/>
      <c r="R1790" s="30"/>
      <c r="S1790" s="30"/>
      <c r="T1790" s="30"/>
      <c r="U1790" s="21" t="str">
        <f aca="false">IF(COUNT(K1790:T1790)=0,"SOURCE EMPTY / INDUSTRIAL ONLY",IF(MIN(K1790:T1790)=1,"SERVICE READY","HOLD"))</f>
        <v>SOURCE EMPTY / INDUSTRIAL ONLY</v>
      </c>
      <c r="V1790" s="9" t="n">
        <f aca="false">IF(U1790="SERVICE READY",1,0)</f>
        <v>0</v>
      </c>
      <c r="W1790" s="6"/>
      <c r="X1790" s="6"/>
      <c r="Y1790" s="6"/>
      <c r="Z1790" s="6"/>
    </row>
    <row r="1791" customFormat="false" ht="15" hidden="false" customHeight="false" outlineLevel="0" collapsed="false">
      <c r="A1791" s="9" t="s">
        <v>2040</v>
      </c>
      <c r="B1791" s="9" t="s">
        <v>2025</v>
      </c>
      <c r="C1791" s="9" t="s">
        <v>2026</v>
      </c>
      <c r="D1791" s="9" t="s">
        <v>1735</v>
      </c>
      <c r="E1791" s="9" t="s">
        <v>2027</v>
      </c>
      <c r="F1791" s="9" t="s">
        <v>211</v>
      </c>
      <c r="G1791" s="9" t="s">
        <v>201</v>
      </c>
      <c r="H1791" s="9" t="n">
        <v>2700</v>
      </c>
      <c r="I1791" s="29" t="n">
        <v>1.5</v>
      </c>
      <c r="J1791" s="9" t="n">
        <v>1</v>
      </c>
      <c r="K1791" s="30"/>
      <c r="L1791" s="30"/>
      <c r="M1791" s="30"/>
      <c r="N1791" s="30"/>
      <c r="O1791" s="30"/>
      <c r="P1791" s="30"/>
      <c r="Q1791" s="30"/>
      <c r="R1791" s="30"/>
      <c r="S1791" s="30"/>
      <c r="T1791" s="30"/>
      <c r="U1791" s="21" t="str">
        <f aca="false">IF(COUNT(K1791:T1791)=0,"SOURCE EMPTY / INDUSTRIAL ONLY",IF(MIN(K1791:T1791)=1,"SERVICE READY","HOLD"))</f>
        <v>SOURCE EMPTY / INDUSTRIAL ONLY</v>
      </c>
      <c r="V1791" s="9" t="n">
        <f aca="false">IF(U1791="SERVICE READY",1,0)</f>
        <v>0</v>
      </c>
      <c r="W1791" s="6"/>
      <c r="X1791" s="6"/>
      <c r="Y1791" s="6"/>
      <c r="Z1791" s="6"/>
    </row>
    <row r="1792" customFormat="false" ht="15" hidden="false" customHeight="false" outlineLevel="0" collapsed="false">
      <c r="A1792" s="9" t="s">
        <v>2041</v>
      </c>
      <c r="B1792" s="9" t="s">
        <v>2025</v>
      </c>
      <c r="C1792" s="9" t="s">
        <v>2026</v>
      </c>
      <c r="D1792" s="9" t="s">
        <v>1735</v>
      </c>
      <c r="E1792" s="9" t="s">
        <v>2027</v>
      </c>
      <c r="F1792" s="9" t="s">
        <v>197</v>
      </c>
      <c r="G1792" s="9" t="s">
        <v>198</v>
      </c>
      <c r="H1792" s="9" t="n">
        <v>2700</v>
      </c>
      <c r="I1792" s="29" t="n">
        <v>1.5</v>
      </c>
      <c r="J1792" s="9" t="n">
        <v>1</v>
      </c>
      <c r="K1792" s="30"/>
      <c r="L1792" s="30"/>
      <c r="M1792" s="30"/>
      <c r="N1792" s="30"/>
      <c r="O1792" s="30"/>
      <c r="P1792" s="30"/>
      <c r="Q1792" s="30"/>
      <c r="R1792" s="30"/>
      <c r="S1792" s="30"/>
      <c r="T1792" s="30"/>
      <c r="U1792" s="21" t="str">
        <f aca="false">IF(COUNT(K1792:T1792)=0,"SOURCE EMPTY / INDUSTRIAL ONLY",IF(MIN(K1792:T1792)=1,"SERVICE READY","HOLD"))</f>
        <v>SOURCE EMPTY / INDUSTRIAL ONLY</v>
      </c>
      <c r="V1792" s="9" t="n">
        <f aca="false">IF(U1792="SERVICE READY",1,0)</f>
        <v>0</v>
      </c>
      <c r="W1792" s="6"/>
      <c r="X1792" s="6"/>
      <c r="Y1792" s="6"/>
      <c r="Z1792" s="6"/>
    </row>
    <row r="1793" customFormat="false" ht="15" hidden="false" customHeight="false" outlineLevel="0" collapsed="false">
      <c r="A1793" s="9" t="s">
        <v>2042</v>
      </c>
      <c r="B1793" s="9" t="s">
        <v>2025</v>
      </c>
      <c r="C1793" s="9" t="s">
        <v>2026</v>
      </c>
      <c r="D1793" s="9" t="s">
        <v>1735</v>
      </c>
      <c r="E1793" s="9" t="s">
        <v>2027</v>
      </c>
      <c r="F1793" s="9" t="s">
        <v>200</v>
      </c>
      <c r="G1793" s="9" t="s">
        <v>221</v>
      </c>
      <c r="H1793" s="9" t="n">
        <v>2700</v>
      </c>
      <c r="I1793" s="29" t="n">
        <v>1.5</v>
      </c>
      <c r="J1793" s="9" t="n">
        <v>1</v>
      </c>
      <c r="K1793" s="30"/>
      <c r="L1793" s="30"/>
      <c r="M1793" s="30"/>
      <c r="N1793" s="30"/>
      <c r="O1793" s="30"/>
      <c r="P1793" s="30"/>
      <c r="Q1793" s="30"/>
      <c r="R1793" s="30"/>
      <c r="S1793" s="30"/>
      <c r="T1793" s="30"/>
      <c r="U1793" s="21" t="str">
        <f aca="false">IF(COUNT(K1793:T1793)=0,"SOURCE EMPTY / INDUSTRIAL ONLY",IF(MIN(K1793:T1793)=1,"SERVICE READY","HOLD"))</f>
        <v>SOURCE EMPTY / INDUSTRIAL ONLY</v>
      </c>
      <c r="V1793" s="9" t="n">
        <f aca="false">IF(U1793="SERVICE READY",1,0)</f>
        <v>0</v>
      </c>
      <c r="W1793" s="6"/>
      <c r="X1793" s="6"/>
      <c r="Y1793" s="6"/>
      <c r="Z1793" s="6"/>
    </row>
    <row r="1794" customFormat="false" ht="15" hidden="false" customHeight="false" outlineLevel="0" collapsed="false">
      <c r="A1794" s="9" t="s">
        <v>2043</v>
      </c>
      <c r="B1794" s="9" t="s">
        <v>2025</v>
      </c>
      <c r="C1794" s="9" t="s">
        <v>2026</v>
      </c>
      <c r="D1794" s="9" t="s">
        <v>1735</v>
      </c>
      <c r="E1794" s="9" t="s">
        <v>2027</v>
      </c>
      <c r="F1794" s="9" t="s">
        <v>203</v>
      </c>
      <c r="G1794" s="9" t="s">
        <v>221</v>
      </c>
      <c r="H1794" s="9" t="n">
        <v>2700</v>
      </c>
      <c r="I1794" s="29" t="n">
        <v>1.5</v>
      </c>
      <c r="J1794" s="9" t="n">
        <v>1</v>
      </c>
      <c r="K1794" s="30"/>
      <c r="L1794" s="30"/>
      <c r="M1794" s="30"/>
      <c r="N1794" s="30"/>
      <c r="O1794" s="30"/>
      <c r="P1794" s="30"/>
      <c r="Q1794" s="30"/>
      <c r="R1794" s="30"/>
      <c r="S1794" s="30"/>
      <c r="T1794" s="30"/>
      <c r="U1794" s="21" t="str">
        <f aca="false">IF(COUNT(K1794:T1794)=0,"SOURCE EMPTY / INDUSTRIAL ONLY",IF(MIN(K1794:T1794)=1,"SERVICE READY","HOLD"))</f>
        <v>SOURCE EMPTY / INDUSTRIAL ONLY</v>
      </c>
      <c r="V1794" s="9" t="n">
        <f aca="false">IF(U1794="SERVICE READY",1,0)</f>
        <v>0</v>
      </c>
      <c r="W1794" s="6"/>
      <c r="X1794" s="6"/>
      <c r="Y1794" s="6"/>
      <c r="Z1794" s="6"/>
    </row>
    <row r="1795" customFormat="false" ht="15" hidden="false" customHeight="false" outlineLevel="0" collapsed="false">
      <c r="A1795" s="9" t="s">
        <v>2044</v>
      </c>
      <c r="B1795" s="9" t="s">
        <v>2025</v>
      </c>
      <c r="C1795" s="9" t="s">
        <v>2026</v>
      </c>
      <c r="D1795" s="9" t="s">
        <v>1735</v>
      </c>
      <c r="E1795" s="9" t="s">
        <v>2027</v>
      </c>
      <c r="F1795" s="9" t="s">
        <v>205</v>
      </c>
      <c r="G1795" s="9" t="s">
        <v>221</v>
      </c>
      <c r="H1795" s="9" t="n">
        <v>2700</v>
      </c>
      <c r="I1795" s="29" t="n">
        <v>1.5</v>
      </c>
      <c r="J1795" s="9" t="n">
        <v>1</v>
      </c>
      <c r="K1795" s="30"/>
      <c r="L1795" s="30"/>
      <c r="M1795" s="30"/>
      <c r="N1795" s="30"/>
      <c r="O1795" s="30"/>
      <c r="P1795" s="30"/>
      <c r="Q1795" s="30"/>
      <c r="R1795" s="30"/>
      <c r="S1795" s="30"/>
      <c r="T1795" s="30"/>
      <c r="U1795" s="21" t="str">
        <f aca="false">IF(COUNT(K1795:T1795)=0,"SOURCE EMPTY / INDUSTRIAL ONLY",IF(MIN(K1795:T1795)=1,"SERVICE READY","HOLD"))</f>
        <v>SOURCE EMPTY / INDUSTRIAL ONLY</v>
      </c>
      <c r="V1795" s="9" t="n">
        <f aca="false">IF(U1795="SERVICE READY",1,0)</f>
        <v>0</v>
      </c>
      <c r="W1795" s="6"/>
      <c r="X1795" s="6"/>
      <c r="Y1795" s="6"/>
      <c r="Z1795" s="6"/>
    </row>
    <row r="1796" customFormat="false" ht="15" hidden="false" customHeight="false" outlineLevel="0" collapsed="false">
      <c r="A1796" s="9" t="s">
        <v>2045</v>
      </c>
      <c r="B1796" s="9" t="s">
        <v>2025</v>
      </c>
      <c r="C1796" s="9" t="s">
        <v>2026</v>
      </c>
      <c r="D1796" s="9" t="s">
        <v>1735</v>
      </c>
      <c r="E1796" s="9" t="s">
        <v>2027</v>
      </c>
      <c r="F1796" s="9" t="s">
        <v>207</v>
      </c>
      <c r="G1796" s="9" t="s">
        <v>221</v>
      </c>
      <c r="H1796" s="9" t="n">
        <v>2700</v>
      </c>
      <c r="I1796" s="29" t="n">
        <v>1.5</v>
      </c>
      <c r="J1796" s="9" t="n">
        <v>1</v>
      </c>
      <c r="K1796" s="30"/>
      <c r="L1796" s="30"/>
      <c r="M1796" s="30"/>
      <c r="N1796" s="30"/>
      <c r="O1796" s="30"/>
      <c r="P1796" s="30"/>
      <c r="Q1796" s="30"/>
      <c r="R1796" s="30"/>
      <c r="S1796" s="30"/>
      <c r="T1796" s="30"/>
      <c r="U1796" s="21" t="str">
        <f aca="false">IF(COUNT(K1796:T1796)=0,"SOURCE EMPTY / INDUSTRIAL ONLY",IF(MIN(K1796:T1796)=1,"SERVICE READY","HOLD"))</f>
        <v>SOURCE EMPTY / INDUSTRIAL ONLY</v>
      </c>
      <c r="V1796" s="9" t="n">
        <f aca="false">IF(U1796="SERVICE READY",1,0)</f>
        <v>0</v>
      </c>
      <c r="W1796" s="6"/>
      <c r="X1796" s="6"/>
      <c r="Y1796" s="6"/>
      <c r="Z1796" s="6"/>
    </row>
    <row r="1797" customFormat="false" ht="15" hidden="false" customHeight="false" outlineLevel="0" collapsed="false">
      <c r="A1797" s="9" t="s">
        <v>2046</v>
      </c>
      <c r="B1797" s="9" t="s">
        <v>2025</v>
      </c>
      <c r="C1797" s="9" t="s">
        <v>2026</v>
      </c>
      <c r="D1797" s="9" t="s">
        <v>1735</v>
      </c>
      <c r="E1797" s="9" t="s">
        <v>2027</v>
      </c>
      <c r="F1797" s="9" t="s">
        <v>209</v>
      </c>
      <c r="G1797" s="9" t="s">
        <v>221</v>
      </c>
      <c r="H1797" s="9" t="n">
        <v>2700</v>
      </c>
      <c r="I1797" s="29" t="n">
        <v>1.5</v>
      </c>
      <c r="J1797" s="9" t="n">
        <v>1</v>
      </c>
      <c r="K1797" s="30"/>
      <c r="L1797" s="30"/>
      <c r="M1797" s="30"/>
      <c r="N1797" s="30"/>
      <c r="O1797" s="30"/>
      <c r="P1797" s="30"/>
      <c r="Q1797" s="30"/>
      <c r="R1797" s="30"/>
      <c r="S1797" s="30"/>
      <c r="T1797" s="30"/>
      <c r="U1797" s="21" t="str">
        <f aca="false">IF(COUNT(K1797:T1797)=0,"SOURCE EMPTY / INDUSTRIAL ONLY",IF(MIN(K1797:T1797)=1,"SERVICE READY","HOLD"))</f>
        <v>SOURCE EMPTY / INDUSTRIAL ONLY</v>
      </c>
      <c r="V1797" s="9" t="n">
        <f aca="false">IF(U1797="SERVICE READY",1,0)</f>
        <v>0</v>
      </c>
      <c r="W1797" s="6"/>
      <c r="X1797" s="6"/>
      <c r="Y1797" s="6"/>
      <c r="Z1797" s="6"/>
    </row>
    <row r="1798" customFormat="false" ht="15" hidden="false" customHeight="false" outlineLevel="0" collapsed="false">
      <c r="A1798" s="9" t="s">
        <v>2047</v>
      </c>
      <c r="B1798" s="9" t="s">
        <v>2025</v>
      </c>
      <c r="C1798" s="9" t="s">
        <v>2026</v>
      </c>
      <c r="D1798" s="9" t="s">
        <v>1735</v>
      </c>
      <c r="E1798" s="9" t="s">
        <v>2027</v>
      </c>
      <c r="F1798" s="9" t="s">
        <v>211</v>
      </c>
      <c r="G1798" s="9" t="s">
        <v>221</v>
      </c>
      <c r="H1798" s="9" t="n">
        <v>2700</v>
      </c>
      <c r="I1798" s="29" t="n">
        <v>1.5</v>
      </c>
      <c r="J1798" s="9" t="n">
        <v>1</v>
      </c>
      <c r="K1798" s="30"/>
      <c r="L1798" s="30"/>
      <c r="M1798" s="30"/>
      <c r="N1798" s="30"/>
      <c r="O1798" s="30"/>
      <c r="P1798" s="30"/>
      <c r="Q1798" s="30"/>
      <c r="R1798" s="30"/>
      <c r="S1798" s="30"/>
      <c r="T1798" s="30"/>
      <c r="U1798" s="21" t="str">
        <f aca="false">IF(COUNT(K1798:T1798)=0,"SOURCE EMPTY / INDUSTRIAL ONLY",IF(MIN(K1798:T1798)=1,"SERVICE READY","HOLD"))</f>
        <v>SOURCE EMPTY / INDUSTRIAL ONLY</v>
      </c>
      <c r="V1798" s="9" t="n">
        <f aca="false">IF(U1798="SERVICE READY",1,0)</f>
        <v>0</v>
      </c>
      <c r="W1798" s="6"/>
      <c r="X1798" s="6"/>
      <c r="Y1798" s="6"/>
      <c r="Z1798" s="6"/>
    </row>
    <row r="1799" customFormat="false" ht="15" hidden="false" customHeight="false" outlineLevel="0" collapsed="false">
      <c r="A1799" s="9" t="s">
        <v>2048</v>
      </c>
      <c r="B1799" s="9" t="s">
        <v>2025</v>
      </c>
      <c r="C1799" s="9" t="s">
        <v>2026</v>
      </c>
      <c r="D1799" s="9" t="s">
        <v>1735</v>
      </c>
      <c r="E1799" s="9" t="s">
        <v>2027</v>
      </c>
      <c r="F1799" s="9" t="s">
        <v>197</v>
      </c>
      <c r="G1799" s="9" t="s">
        <v>221</v>
      </c>
      <c r="H1799" s="9" t="n">
        <v>2700</v>
      </c>
      <c r="I1799" s="29" t="n">
        <v>1.5</v>
      </c>
      <c r="J1799" s="9" t="n">
        <v>1</v>
      </c>
      <c r="K1799" s="30"/>
      <c r="L1799" s="30"/>
      <c r="M1799" s="30"/>
      <c r="N1799" s="30"/>
      <c r="O1799" s="30"/>
      <c r="P1799" s="30"/>
      <c r="Q1799" s="30"/>
      <c r="R1799" s="30"/>
      <c r="S1799" s="30"/>
      <c r="T1799" s="30"/>
      <c r="U1799" s="21" t="str">
        <f aca="false">IF(COUNT(K1799:T1799)=0,"SOURCE EMPTY / INDUSTRIAL ONLY",IF(MIN(K1799:T1799)=1,"SERVICE READY","HOLD"))</f>
        <v>SOURCE EMPTY / INDUSTRIAL ONLY</v>
      </c>
      <c r="V1799" s="9" t="n">
        <f aca="false">IF(U1799="SERVICE READY",1,0)</f>
        <v>0</v>
      </c>
      <c r="W1799" s="6"/>
      <c r="X1799" s="6"/>
      <c r="Y1799" s="6"/>
      <c r="Z1799" s="6"/>
    </row>
    <row r="1800" customFormat="false" ht="15" hidden="false" customHeight="false" outlineLevel="0" collapsed="false">
      <c r="A1800" s="9" t="s">
        <v>2049</v>
      </c>
      <c r="B1800" s="9" t="s">
        <v>2025</v>
      </c>
      <c r="C1800" s="9" t="s">
        <v>2026</v>
      </c>
      <c r="D1800" s="9" t="s">
        <v>1735</v>
      </c>
      <c r="E1800" s="9" t="s">
        <v>2027</v>
      </c>
      <c r="F1800" s="9" t="s">
        <v>200</v>
      </c>
      <c r="G1800" s="9" t="s">
        <v>221</v>
      </c>
      <c r="H1800" s="9" t="n">
        <v>2700</v>
      </c>
      <c r="I1800" s="29" t="n">
        <v>1.5</v>
      </c>
      <c r="J1800" s="9" t="n">
        <v>1</v>
      </c>
      <c r="K1800" s="30"/>
      <c r="L1800" s="30"/>
      <c r="M1800" s="30"/>
      <c r="N1800" s="30"/>
      <c r="O1800" s="30"/>
      <c r="P1800" s="30"/>
      <c r="Q1800" s="30"/>
      <c r="R1800" s="30"/>
      <c r="S1800" s="30"/>
      <c r="T1800" s="30"/>
      <c r="U1800" s="21" t="str">
        <f aca="false">IF(COUNT(K1800:T1800)=0,"SOURCE EMPTY / INDUSTRIAL ONLY",IF(MIN(K1800:T1800)=1,"SERVICE READY","HOLD"))</f>
        <v>SOURCE EMPTY / INDUSTRIAL ONLY</v>
      </c>
      <c r="V1800" s="9" t="n">
        <f aca="false">IF(U1800="SERVICE READY",1,0)</f>
        <v>0</v>
      </c>
      <c r="W1800" s="6"/>
      <c r="X1800" s="6"/>
      <c r="Y1800" s="6"/>
      <c r="Z1800" s="6"/>
    </row>
    <row r="1801" customFormat="false" ht="15" hidden="false" customHeight="false" outlineLevel="0" collapsed="false">
      <c r="A1801" s="9" t="s">
        <v>2050</v>
      </c>
      <c r="B1801" s="9" t="s">
        <v>2025</v>
      </c>
      <c r="C1801" s="9" t="s">
        <v>2026</v>
      </c>
      <c r="D1801" s="9" t="s">
        <v>1735</v>
      </c>
      <c r="E1801" s="9" t="s">
        <v>2027</v>
      </c>
      <c r="F1801" s="9" t="s">
        <v>203</v>
      </c>
      <c r="G1801" s="9" t="s">
        <v>221</v>
      </c>
      <c r="H1801" s="9" t="n">
        <v>2700</v>
      </c>
      <c r="I1801" s="29" t="n">
        <v>1.5</v>
      </c>
      <c r="J1801" s="9" t="n">
        <v>1</v>
      </c>
      <c r="K1801" s="30"/>
      <c r="L1801" s="30"/>
      <c r="M1801" s="30"/>
      <c r="N1801" s="30"/>
      <c r="O1801" s="30"/>
      <c r="P1801" s="30"/>
      <c r="Q1801" s="30"/>
      <c r="R1801" s="30"/>
      <c r="S1801" s="30"/>
      <c r="T1801" s="30"/>
      <c r="U1801" s="21" t="str">
        <f aca="false">IF(COUNT(K1801:T1801)=0,"SOURCE EMPTY / INDUSTRIAL ONLY",IF(MIN(K1801:T1801)=1,"SERVICE READY","HOLD"))</f>
        <v>SOURCE EMPTY / INDUSTRIAL ONLY</v>
      </c>
      <c r="V1801" s="9" t="n">
        <f aca="false">IF(U1801="SERVICE READY",1,0)</f>
        <v>0</v>
      </c>
      <c r="W1801" s="6"/>
      <c r="X1801" s="6"/>
      <c r="Y1801" s="6"/>
      <c r="Z1801" s="6"/>
    </row>
    <row r="1802" customFormat="false" ht="15" hidden="false" customHeight="false" outlineLevel="0" collapsed="false">
      <c r="A1802" s="9" t="s">
        <v>2051</v>
      </c>
      <c r="B1802" s="9" t="s">
        <v>2025</v>
      </c>
      <c r="C1802" s="9" t="s">
        <v>2026</v>
      </c>
      <c r="D1802" s="9" t="s">
        <v>1735</v>
      </c>
      <c r="E1802" s="9" t="s">
        <v>2027</v>
      </c>
      <c r="F1802" s="9" t="s">
        <v>205</v>
      </c>
      <c r="G1802" s="9" t="s">
        <v>221</v>
      </c>
      <c r="H1802" s="9" t="n">
        <v>2700</v>
      </c>
      <c r="I1802" s="29" t="n">
        <v>1.5</v>
      </c>
      <c r="J1802" s="9" t="n">
        <v>1</v>
      </c>
      <c r="K1802" s="30"/>
      <c r="L1802" s="30"/>
      <c r="M1802" s="30"/>
      <c r="N1802" s="30"/>
      <c r="O1802" s="30"/>
      <c r="P1802" s="30"/>
      <c r="Q1802" s="30"/>
      <c r="R1802" s="30"/>
      <c r="S1802" s="30"/>
      <c r="T1802" s="30"/>
      <c r="U1802" s="21" t="str">
        <f aca="false">IF(COUNT(K1802:T1802)=0,"SOURCE EMPTY / INDUSTRIAL ONLY",IF(MIN(K1802:T1802)=1,"SERVICE READY","HOLD"))</f>
        <v>SOURCE EMPTY / INDUSTRIAL ONLY</v>
      </c>
      <c r="V1802" s="9" t="n">
        <f aca="false">IF(U1802="SERVICE READY",1,0)</f>
        <v>0</v>
      </c>
      <c r="W1802" s="6"/>
      <c r="X1802" s="6"/>
      <c r="Y1802" s="6"/>
      <c r="Z1802" s="6"/>
    </row>
    <row r="1803" customFormat="false" ht="15" hidden="false" customHeight="false" outlineLevel="0" collapsed="false">
      <c r="A1803" s="9" t="s">
        <v>2052</v>
      </c>
      <c r="B1803" s="9" t="s">
        <v>2025</v>
      </c>
      <c r="C1803" s="9" t="s">
        <v>2026</v>
      </c>
      <c r="D1803" s="9" t="s">
        <v>1735</v>
      </c>
      <c r="E1803" s="9" t="s">
        <v>2027</v>
      </c>
      <c r="F1803" s="9" t="s">
        <v>207</v>
      </c>
      <c r="G1803" s="9" t="s">
        <v>221</v>
      </c>
      <c r="H1803" s="9" t="n">
        <v>2700</v>
      </c>
      <c r="I1803" s="29" t="n">
        <v>1.5</v>
      </c>
      <c r="J1803" s="9" t="n">
        <v>1</v>
      </c>
      <c r="K1803" s="30"/>
      <c r="L1803" s="30"/>
      <c r="M1803" s="30"/>
      <c r="N1803" s="30"/>
      <c r="O1803" s="30"/>
      <c r="P1803" s="30"/>
      <c r="Q1803" s="30"/>
      <c r="R1803" s="30"/>
      <c r="S1803" s="30"/>
      <c r="T1803" s="30"/>
      <c r="U1803" s="21" t="str">
        <f aca="false">IF(COUNT(K1803:T1803)=0,"SOURCE EMPTY / INDUSTRIAL ONLY",IF(MIN(K1803:T1803)=1,"SERVICE READY","HOLD"))</f>
        <v>SOURCE EMPTY / INDUSTRIAL ONLY</v>
      </c>
      <c r="V1803" s="9" t="n">
        <f aca="false">IF(U1803="SERVICE READY",1,0)</f>
        <v>0</v>
      </c>
      <c r="W1803" s="6"/>
      <c r="X1803" s="6"/>
      <c r="Y1803" s="6"/>
      <c r="Z1803" s="6"/>
    </row>
    <row r="1804" customFormat="false" ht="15" hidden="false" customHeight="false" outlineLevel="0" collapsed="false">
      <c r="A1804" s="9" t="s">
        <v>2053</v>
      </c>
      <c r="B1804" s="9" t="s">
        <v>2025</v>
      </c>
      <c r="C1804" s="9" t="s">
        <v>2026</v>
      </c>
      <c r="D1804" s="9" t="s">
        <v>1735</v>
      </c>
      <c r="E1804" s="9" t="s">
        <v>2027</v>
      </c>
      <c r="F1804" s="9" t="s">
        <v>209</v>
      </c>
      <c r="G1804" s="9" t="s">
        <v>221</v>
      </c>
      <c r="H1804" s="9" t="n">
        <v>2700</v>
      </c>
      <c r="I1804" s="29" t="n">
        <v>1.5</v>
      </c>
      <c r="J1804" s="9" t="n">
        <v>1</v>
      </c>
      <c r="K1804" s="30"/>
      <c r="L1804" s="30"/>
      <c r="M1804" s="30"/>
      <c r="N1804" s="30"/>
      <c r="O1804" s="30"/>
      <c r="P1804" s="30"/>
      <c r="Q1804" s="30"/>
      <c r="R1804" s="30"/>
      <c r="S1804" s="30"/>
      <c r="T1804" s="30"/>
      <c r="U1804" s="21" t="str">
        <f aca="false">IF(COUNT(K1804:T1804)=0,"SOURCE EMPTY / INDUSTRIAL ONLY",IF(MIN(K1804:T1804)=1,"SERVICE READY","HOLD"))</f>
        <v>SOURCE EMPTY / INDUSTRIAL ONLY</v>
      </c>
      <c r="V1804" s="9" t="n">
        <f aca="false">IF(U1804="SERVICE READY",1,0)</f>
        <v>0</v>
      </c>
      <c r="W1804" s="6"/>
      <c r="X1804" s="6"/>
      <c r="Y1804" s="6"/>
      <c r="Z1804" s="6"/>
    </row>
    <row r="1805" customFormat="false" ht="15" hidden="false" customHeight="false" outlineLevel="0" collapsed="false">
      <c r="A1805" s="9" t="s">
        <v>2054</v>
      </c>
      <c r="B1805" s="9" t="s">
        <v>2025</v>
      </c>
      <c r="C1805" s="9" t="s">
        <v>2026</v>
      </c>
      <c r="D1805" s="9" t="s">
        <v>1735</v>
      </c>
      <c r="E1805" s="9" t="s">
        <v>2027</v>
      </c>
      <c r="F1805" s="9" t="s">
        <v>211</v>
      </c>
      <c r="G1805" s="9" t="s">
        <v>221</v>
      </c>
      <c r="H1805" s="9" t="n">
        <v>2700</v>
      </c>
      <c r="I1805" s="29" t="n">
        <v>1.5</v>
      </c>
      <c r="J1805" s="9" t="n">
        <v>1</v>
      </c>
      <c r="K1805" s="30"/>
      <c r="L1805" s="30"/>
      <c r="M1805" s="30"/>
      <c r="N1805" s="30"/>
      <c r="O1805" s="30"/>
      <c r="P1805" s="30"/>
      <c r="Q1805" s="30"/>
      <c r="R1805" s="30"/>
      <c r="S1805" s="30"/>
      <c r="T1805" s="30"/>
      <c r="U1805" s="21" t="str">
        <f aca="false">IF(COUNT(K1805:T1805)=0,"SOURCE EMPTY / INDUSTRIAL ONLY",IF(MIN(K1805:T1805)=1,"SERVICE READY","HOLD"))</f>
        <v>SOURCE EMPTY / INDUSTRIAL ONLY</v>
      </c>
      <c r="V1805" s="9" t="n">
        <f aca="false">IF(U1805="SERVICE READY",1,0)</f>
        <v>0</v>
      </c>
      <c r="W1805" s="6"/>
      <c r="X1805" s="6"/>
      <c r="Y1805" s="6"/>
      <c r="Z1805" s="6"/>
    </row>
    <row r="1806" customFormat="false" ht="15" hidden="false" customHeight="false" outlineLevel="0" collapsed="false">
      <c r="A1806" s="9" t="s">
        <v>2055</v>
      </c>
      <c r="B1806" s="9" t="s">
        <v>2025</v>
      </c>
      <c r="C1806" s="9" t="s">
        <v>2026</v>
      </c>
      <c r="D1806" s="9" t="s">
        <v>1735</v>
      </c>
      <c r="E1806" s="9" t="s">
        <v>2027</v>
      </c>
      <c r="F1806" s="9" t="s">
        <v>197</v>
      </c>
      <c r="G1806" s="9" t="s">
        <v>221</v>
      </c>
      <c r="H1806" s="9" t="n">
        <v>2700</v>
      </c>
      <c r="I1806" s="29" t="n">
        <v>1.5</v>
      </c>
      <c r="J1806" s="9" t="n">
        <v>1</v>
      </c>
      <c r="K1806" s="30"/>
      <c r="L1806" s="30"/>
      <c r="M1806" s="30"/>
      <c r="N1806" s="30"/>
      <c r="O1806" s="30"/>
      <c r="P1806" s="30"/>
      <c r="Q1806" s="30"/>
      <c r="R1806" s="30"/>
      <c r="S1806" s="30"/>
      <c r="T1806" s="30"/>
      <c r="U1806" s="21" t="str">
        <f aca="false">IF(COUNT(K1806:T1806)=0,"SOURCE EMPTY / INDUSTRIAL ONLY",IF(MIN(K1806:T1806)=1,"SERVICE READY","HOLD"))</f>
        <v>SOURCE EMPTY / INDUSTRIAL ONLY</v>
      </c>
      <c r="V1806" s="9" t="n">
        <f aca="false">IF(U1806="SERVICE READY",1,0)</f>
        <v>0</v>
      </c>
      <c r="W1806" s="6"/>
      <c r="X1806" s="6"/>
      <c r="Y1806" s="6"/>
      <c r="Z1806" s="6"/>
    </row>
    <row r="1807" customFormat="false" ht="15" hidden="false" customHeight="false" outlineLevel="0" collapsed="false">
      <c r="A1807" s="9" t="s">
        <v>2056</v>
      </c>
      <c r="B1807" s="9" t="s">
        <v>2025</v>
      </c>
      <c r="C1807" s="9" t="s">
        <v>2026</v>
      </c>
      <c r="D1807" s="9" t="s">
        <v>1735</v>
      </c>
      <c r="E1807" s="9" t="s">
        <v>2027</v>
      </c>
      <c r="F1807" s="9" t="s">
        <v>200</v>
      </c>
      <c r="G1807" s="9" t="s">
        <v>221</v>
      </c>
      <c r="H1807" s="9" t="n">
        <v>2700</v>
      </c>
      <c r="I1807" s="29" t="n">
        <v>1.5</v>
      </c>
      <c r="J1807" s="9" t="n">
        <v>1</v>
      </c>
      <c r="K1807" s="30"/>
      <c r="L1807" s="30"/>
      <c r="M1807" s="30"/>
      <c r="N1807" s="30"/>
      <c r="O1807" s="30"/>
      <c r="P1807" s="30"/>
      <c r="Q1807" s="30"/>
      <c r="R1807" s="30"/>
      <c r="S1807" s="30"/>
      <c r="T1807" s="30"/>
      <c r="U1807" s="21" t="str">
        <f aca="false">IF(COUNT(K1807:T1807)=0,"SOURCE EMPTY / INDUSTRIAL ONLY",IF(MIN(K1807:T1807)=1,"SERVICE READY","HOLD"))</f>
        <v>SOURCE EMPTY / INDUSTRIAL ONLY</v>
      </c>
      <c r="V1807" s="9" t="n">
        <f aca="false">IF(U1807="SERVICE READY",1,0)</f>
        <v>0</v>
      </c>
      <c r="W1807" s="6"/>
      <c r="X1807" s="6"/>
      <c r="Y1807" s="6"/>
      <c r="Z1807" s="6"/>
    </row>
    <row r="1808" customFormat="false" ht="15" hidden="false" customHeight="false" outlineLevel="0" collapsed="false">
      <c r="A1808" s="9" t="s">
        <v>2057</v>
      </c>
      <c r="B1808" s="9" t="s">
        <v>2025</v>
      </c>
      <c r="C1808" s="9" t="s">
        <v>2026</v>
      </c>
      <c r="D1808" s="9" t="s">
        <v>1735</v>
      </c>
      <c r="E1808" s="9" t="s">
        <v>2027</v>
      </c>
      <c r="F1808" s="9" t="s">
        <v>203</v>
      </c>
      <c r="G1808" s="9" t="s">
        <v>221</v>
      </c>
      <c r="H1808" s="9" t="n">
        <v>2700</v>
      </c>
      <c r="I1808" s="29" t="n">
        <v>1.5</v>
      </c>
      <c r="J1808" s="9" t="n">
        <v>1</v>
      </c>
      <c r="K1808" s="30"/>
      <c r="L1808" s="30"/>
      <c r="M1808" s="30"/>
      <c r="N1808" s="30"/>
      <c r="O1808" s="30"/>
      <c r="P1808" s="30"/>
      <c r="Q1808" s="30"/>
      <c r="R1808" s="30"/>
      <c r="S1808" s="30"/>
      <c r="T1808" s="30"/>
      <c r="U1808" s="21" t="str">
        <f aca="false">IF(COUNT(K1808:T1808)=0,"SOURCE EMPTY / INDUSTRIAL ONLY",IF(MIN(K1808:T1808)=1,"SERVICE READY","HOLD"))</f>
        <v>SOURCE EMPTY / INDUSTRIAL ONLY</v>
      </c>
      <c r="V1808" s="9" t="n">
        <f aca="false">IF(U1808="SERVICE READY",1,0)</f>
        <v>0</v>
      </c>
      <c r="W1808" s="6"/>
      <c r="X1808" s="6"/>
      <c r="Y1808" s="6"/>
      <c r="Z1808" s="6"/>
    </row>
    <row r="1809" customFormat="false" ht="15" hidden="false" customHeight="false" outlineLevel="0" collapsed="false">
      <c r="A1809" s="9" t="s">
        <v>2058</v>
      </c>
      <c r="B1809" s="9" t="s">
        <v>2025</v>
      </c>
      <c r="C1809" s="9" t="s">
        <v>2026</v>
      </c>
      <c r="D1809" s="9" t="s">
        <v>1735</v>
      </c>
      <c r="E1809" s="9" t="s">
        <v>2027</v>
      </c>
      <c r="F1809" s="9" t="s">
        <v>205</v>
      </c>
      <c r="G1809" s="9" t="s">
        <v>221</v>
      </c>
      <c r="H1809" s="9" t="n">
        <v>2700</v>
      </c>
      <c r="I1809" s="29" t="n">
        <v>1.5</v>
      </c>
      <c r="J1809" s="9" t="n">
        <v>1</v>
      </c>
      <c r="K1809" s="30"/>
      <c r="L1809" s="30"/>
      <c r="M1809" s="30"/>
      <c r="N1809" s="30"/>
      <c r="O1809" s="30"/>
      <c r="P1809" s="30"/>
      <c r="Q1809" s="30"/>
      <c r="R1809" s="30"/>
      <c r="S1809" s="30"/>
      <c r="T1809" s="30"/>
      <c r="U1809" s="21" t="str">
        <f aca="false">IF(COUNT(K1809:T1809)=0,"SOURCE EMPTY / INDUSTRIAL ONLY",IF(MIN(K1809:T1809)=1,"SERVICE READY","HOLD"))</f>
        <v>SOURCE EMPTY / INDUSTRIAL ONLY</v>
      </c>
      <c r="V1809" s="9" t="n">
        <f aca="false">IF(U1809="SERVICE READY",1,0)</f>
        <v>0</v>
      </c>
      <c r="W1809" s="6"/>
      <c r="X1809" s="6"/>
      <c r="Y1809" s="6"/>
      <c r="Z1809" s="6"/>
    </row>
    <row r="1810" customFormat="false" ht="15" hidden="false" customHeight="false" outlineLevel="0" collapsed="false">
      <c r="A1810" s="9" t="s">
        <v>2059</v>
      </c>
      <c r="B1810" s="9" t="s">
        <v>2025</v>
      </c>
      <c r="C1810" s="9" t="s">
        <v>2026</v>
      </c>
      <c r="D1810" s="9" t="s">
        <v>1735</v>
      </c>
      <c r="E1810" s="9" t="s">
        <v>2027</v>
      </c>
      <c r="F1810" s="9" t="s">
        <v>207</v>
      </c>
      <c r="G1810" s="9" t="s">
        <v>221</v>
      </c>
      <c r="H1810" s="9" t="n">
        <v>2700</v>
      </c>
      <c r="I1810" s="29" t="n">
        <v>1.5</v>
      </c>
      <c r="J1810" s="9" t="n">
        <v>1</v>
      </c>
      <c r="K1810" s="30"/>
      <c r="L1810" s="30"/>
      <c r="M1810" s="30"/>
      <c r="N1810" s="30"/>
      <c r="O1810" s="30"/>
      <c r="P1810" s="30"/>
      <c r="Q1810" s="30"/>
      <c r="R1810" s="30"/>
      <c r="S1810" s="30"/>
      <c r="T1810" s="30"/>
      <c r="U1810" s="21" t="str">
        <f aca="false">IF(COUNT(K1810:T1810)=0,"SOURCE EMPTY / INDUSTRIAL ONLY",IF(MIN(K1810:T1810)=1,"SERVICE READY","HOLD"))</f>
        <v>SOURCE EMPTY / INDUSTRIAL ONLY</v>
      </c>
      <c r="V1810" s="9" t="n">
        <f aca="false">IF(U1810="SERVICE READY",1,0)</f>
        <v>0</v>
      </c>
      <c r="W1810" s="6"/>
      <c r="X1810" s="6"/>
      <c r="Y1810" s="6"/>
      <c r="Z1810" s="6"/>
    </row>
    <row r="1811" customFormat="false" ht="15" hidden="false" customHeight="false" outlineLevel="0" collapsed="false">
      <c r="A1811" s="9" t="s">
        <v>2060</v>
      </c>
      <c r="B1811" s="9" t="s">
        <v>2025</v>
      </c>
      <c r="C1811" s="9" t="s">
        <v>2026</v>
      </c>
      <c r="D1811" s="9" t="s">
        <v>1735</v>
      </c>
      <c r="E1811" s="9" t="s">
        <v>2027</v>
      </c>
      <c r="F1811" s="9" t="s">
        <v>209</v>
      </c>
      <c r="G1811" s="9" t="s">
        <v>221</v>
      </c>
      <c r="H1811" s="9" t="n">
        <v>2700</v>
      </c>
      <c r="I1811" s="29" t="n">
        <v>1.5</v>
      </c>
      <c r="J1811" s="9" t="n">
        <v>1</v>
      </c>
      <c r="K1811" s="30"/>
      <c r="L1811" s="30"/>
      <c r="M1811" s="30"/>
      <c r="N1811" s="30"/>
      <c r="O1811" s="30"/>
      <c r="P1811" s="30"/>
      <c r="Q1811" s="30"/>
      <c r="R1811" s="30"/>
      <c r="S1811" s="30"/>
      <c r="T1811" s="30"/>
      <c r="U1811" s="21" t="str">
        <f aca="false">IF(COUNT(K1811:T1811)=0,"SOURCE EMPTY / INDUSTRIAL ONLY",IF(MIN(K1811:T1811)=1,"SERVICE READY","HOLD"))</f>
        <v>SOURCE EMPTY / INDUSTRIAL ONLY</v>
      </c>
      <c r="V1811" s="9" t="n">
        <f aca="false">IF(U1811="SERVICE READY",1,0)</f>
        <v>0</v>
      </c>
      <c r="W1811" s="6"/>
      <c r="X1811" s="6"/>
      <c r="Y1811" s="6"/>
      <c r="Z1811" s="6"/>
    </row>
    <row r="1812" customFormat="false" ht="15" hidden="false" customHeight="false" outlineLevel="0" collapsed="false">
      <c r="A1812" s="9" t="s">
        <v>2061</v>
      </c>
      <c r="B1812" s="9" t="s">
        <v>2025</v>
      </c>
      <c r="C1812" s="9" t="s">
        <v>2026</v>
      </c>
      <c r="D1812" s="9" t="s">
        <v>1735</v>
      </c>
      <c r="E1812" s="9" t="s">
        <v>2027</v>
      </c>
      <c r="F1812" s="9" t="s">
        <v>211</v>
      </c>
      <c r="G1812" s="9" t="s">
        <v>221</v>
      </c>
      <c r="H1812" s="9" t="n">
        <v>2700</v>
      </c>
      <c r="I1812" s="29" t="n">
        <v>1.5</v>
      </c>
      <c r="J1812" s="9" t="n">
        <v>1</v>
      </c>
      <c r="K1812" s="30"/>
      <c r="L1812" s="30"/>
      <c r="M1812" s="30"/>
      <c r="N1812" s="30"/>
      <c r="O1812" s="30"/>
      <c r="P1812" s="30"/>
      <c r="Q1812" s="30"/>
      <c r="R1812" s="30"/>
      <c r="S1812" s="30"/>
      <c r="T1812" s="30"/>
      <c r="U1812" s="21" t="str">
        <f aca="false">IF(COUNT(K1812:T1812)=0,"SOURCE EMPTY / INDUSTRIAL ONLY",IF(MIN(K1812:T1812)=1,"SERVICE READY","HOLD"))</f>
        <v>SOURCE EMPTY / INDUSTRIAL ONLY</v>
      </c>
      <c r="V1812" s="9" t="n">
        <f aca="false">IF(U1812="SERVICE READY",1,0)</f>
        <v>0</v>
      </c>
      <c r="W1812" s="6"/>
      <c r="X1812" s="6"/>
      <c r="Y1812" s="6"/>
      <c r="Z1812" s="6"/>
    </row>
    <row r="1813" customFormat="false" ht="15" hidden="false" customHeight="false" outlineLevel="0" collapsed="false">
      <c r="A1813" s="9" t="s">
        <v>2062</v>
      </c>
      <c r="B1813" s="9" t="s">
        <v>2025</v>
      </c>
      <c r="C1813" s="9" t="s">
        <v>2026</v>
      </c>
      <c r="D1813" s="9" t="s">
        <v>1735</v>
      </c>
      <c r="E1813" s="9" t="s">
        <v>2027</v>
      </c>
      <c r="F1813" s="9" t="s">
        <v>197</v>
      </c>
      <c r="G1813" s="9" t="s">
        <v>221</v>
      </c>
      <c r="H1813" s="9" t="n">
        <v>2700</v>
      </c>
      <c r="I1813" s="29" t="n">
        <v>1.5</v>
      </c>
      <c r="J1813" s="9" t="n">
        <v>1</v>
      </c>
      <c r="K1813" s="30"/>
      <c r="L1813" s="30"/>
      <c r="M1813" s="30"/>
      <c r="N1813" s="30"/>
      <c r="O1813" s="30"/>
      <c r="P1813" s="30"/>
      <c r="Q1813" s="30"/>
      <c r="R1813" s="30"/>
      <c r="S1813" s="30"/>
      <c r="T1813" s="30"/>
      <c r="U1813" s="21" t="str">
        <f aca="false">IF(COUNT(K1813:T1813)=0,"SOURCE EMPTY / INDUSTRIAL ONLY",IF(MIN(K1813:T1813)=1,"SERVICE READY","HOLD"))</f>
        <v>SOURCE EMPTY / INDUSTRIAL ONLY</v>
      </c>
      <c r="V1813" s="9" t="n">
        <f aca="false">IF(U1813="SERVICE READY",1,0)</f>
        <v>0</v>
      </c>
      <c r="W1813" s="6"/>
      <c r="X1813" s="6"/>
      <c r="Y1813" s="6"/>
      <c r="Z1813" s="6"/>
    </row>
    <row r="1814" customFormat="false" ht="15" hidden="false" customHeight="false" outlineLevel="0" collapsed="false">
      <c r="A1814" s="9" t="s">
        <v>2063</v>
      </c>
      <c r="B1814" s="9" t="s">
        <v>2025</v>
      </c>
      <c r="C1814" s="9" t="s">
        <v>2026</v>
      </c>
      <c r="D1814" s="9" t="s">
        <v>1735</v>
      </c>
      <c r="E1814" s="9" t="s">
        <v>2027</v>
      </c>
      <c r="F1814" s="9" t="s">
        <v>200</v>
      </c>
      <c r="G1814" s="9" t="s">
        <v>221</v>
      </c>
      <c r="H1814" s="9" t="n">
        <v>2700</v>
      </c>
      <c r="I1814" s="29" t="n">
        <v>1.5</v>
      </c>
      <c r="J1814" s="9" t="n">
        <v>1</v>
      </c>
      <c r="K1814" s="30"/>
      <c r="L1814" s="30"/>
      <c r="M1814" s="30"/>
      <c r="N1814" s="30"/>
      <c r="O1814" s="30"/>
      <c r="P1814" s="30"/>
      <c r="Q1814" s="30"/>
      <c r="R1814" s="30"/>
      <c r="S1814" s="30"/>
      <c r="T1814" s="30"/>
      <c r="U1814" s="21" t="str">
        <f aca="false">IF(COUNT(K1814:T1814)=0,"SOURCE EMPTY / INDUSTRIAL ONLY",IF(MIN(K1814:T1814)=1,"SERVICE READY","HOLD"))</f>
        <v>SOURCE EMPTY / INDUSTRIAL ONLY</v>
      </c>
      <c r="V1814" s="9" t="n">
        <f aca="false">IF(U1814="SERVICE READY",1,0)</f>
        <v>0</v>
      </c>
      <c r="W1814" s="6"/>
      <c r="X1814" s="6"/>
      <c r="Y1814" s="6"/>
      <c r="Z1814" s="6"/>
    </row>
    <row r="1815" customFormat="false" ht="15" hidden="false" customHeight="false" outlineLevel="0" collapsed="false">
      <c r="A1815" s="9" t="s">
        <v>2064</v>
      </c>
      <c r="B1815" s="9" t="s">
        <v>2025</v>
      </c>
      <c r="C1815" s="9" t="s">
        <v>2026</v>
      </c>
      <c r="D1815" s="9" t="s">
        <v>1735</v>
      </c>
      <c r="E1815" s="9" t="s">
        <v>2027</v>
      </c>
      <c r="F1815" s="9" t="s">
        <v>203</v>
      </c>
      <c r="G1815" s="9" t="s">
        <v>221</v>
      </c>
      <c r="H1815" s="9" t="n">
        <v>2700</v>
      </c>
      <c r="I1815" s="29" t="n">
        <v>1.5</v>
      </c>
      <c r="J1815" s="9" t="n">
        <v>1</v>
      </c>
      <c r="K1815" s="30"/>
      <c r="L1815" s="30"/>
      <c r="M1815" s="30"/>
      <c r="N1815" s="30"/>
      <c r="O1815" s="30"/>
      <c r="P1815" s="30"/>
      <c r="Q1815" s="30"/>
      <c r="R1815" s="30"/>
      <c r="S1815" s="30"/>
      <c r="T1815" s="30"/>
      <c r="U1815" s="21" t="str">
        <f aca="false">IF(COUNT(K1815:T1815)=0,"SOURCE EMPTY / INDUSTRIAL ONLY",IF(MIN(K1815:T1815)=1,"SERVICE READY","HOLD"))</f>
        <v>SOURCE EMPTY / INDUSTRIAL ONLY</v>
      </c>
      <c r="V1815" s="9" t="n">
        <f aca="false">IF(U1815="SERVICE READY",1,0)</f>
        <v>0</v>
      </c>
      <c r="W1815" s="6"/>
      <c r="X1815" s="6"/>
      <c r="Y1815" s="6"/>
      <c r="Z1815" s="6"/>
    </row>
    <row r="1816" customFormat="false" ht="15" hidden="false" customHeight="false" outlineLevel="0" collapsed="false">
      <c r="A1816" s="9" t="s">
        <v>2065</v>
      </c>
      <c r="B1816" s="9" t="s">
        <v>2025</v>
      </c>
      <c r="C1816" s="9" t="s">
        <v>2026</v>
      </c>
      <c r="D1816" s="9" t="s">
        <v>1735</v>
      </c>
      <c r="E1816" s="9" t="s">
        <v>2027</v>
      </c>
      <c r="F1816" s="9" t="s">
        <v>205</v>
      </c>
      <c r="G1816" s="9" t="s">
        <v>221</v>
      </c>
      <c r="H1816" s="9" t="n">
        <v>2700</v>
      </c>
      <c r="I1816" s="29" t="n">
        <v>1.5</v>
      </c>
      <c r="J1816" s="9" t="n">
        <v>1</v>
      </c>
      <c r="K1816" s="30"/>
      <c r="L1816" s="30"/>
      <c r="M1816" s="30"/>
      <c r="N1816" s="30"/>
      <c r="O1816" s="30"/>
      <c r="P1816" s="30"/>
      <c r="Q1816" s="30"/>
      <c r="R1816" s="30"/>
      <c r="S1816" s="30"/>
      <c r="T1816" s="30"/>
      <c r="U1816" s="21" t="str">
        <f aca="false">IF(COUNT(K1816:T1816)=0,"SOURCE EMPTY / INDUSTRIAL ONLY",IF(MIN(K1816:T1816)=1,"SERVICE READY","HOLD"))</f>
        <v>SOURCE EMPTY / INDUSTRIAL ONLY</v>
      </c>
      <c r="V1816" s="9" t="n">
        <f aca="false">IF(U1816="SERVICE READY",1,0)</f>
        <v>0</v>
      </c>
      <c r="W1816" s="6"/>
      <c r="X1816" s="6"/>
      <c r="Y1816" s="6"/>
      <c r="Z1816" s="6"/>
    </row>
    <row r="1817" customFormat="false" ht="15" hidden="false" customHeight="false" outlineLevel="0" collapsed="false">
      <c r="A1817" s="9" t="s">
        <v>2066</v>
      </c>
      <c r="B1817" s="9" t="s">
        <v>2025</v>
      </c>
      <c r="C1817" s="9" t="s">
        <v>2026</v>
      </c>
      <c r="D1817" s="9" t="s">
        <v>1735</v>
      </c>
      <c r="E1817" s="9" t="s">
        <v>2027</v>
      </c>
      <c r="F1817" s="9" t="s">
        <v>207</v>
      </c>
      <c r="G1817" s="9" t="s">
        <v>221</v>
      </c>
      <c r="H1817" s="9" t="n">
        <v>2700</v>
      </c>
      <c r="I1817" s="29" t="n">
        <v>1.5</v>
      </c>
      <c r="J1817" s="9" t="n">
        <v>1</v>
      </c>
      <c r="K1817" s="30"/>
      <c r="L1817" s="30"/>
      <c r="M1817" s="30"/>
      <c r="N1817" s="30"/>
      <c r="O1817" s="30"/>
      <c r="P1817" s="30"/>
      <c r="Q1817" s="30"/>
      <c r="R1817" s="30"/>
      <c r="S1817" s="30"/>
      <c r="T1817" s="30"/>
      <c r="U1817" s="21" t="str">
        <f aca="false">IF(COUNT(K1817:T1817)=0,"SOURCE EMPTY / INDUSTRIAL ONLY",IF(MIN(K1817:T1817)=1,"SERVICE READY","HOLD"))</f>
        <v>SOURCE EMPTY / INDUSTRIAL ONLY</v>
      </c>
      <c r="V1817" s="9" t="n">
        <f aca="false">IF(U1817="SERVICE READY",1,0)</f>
        <v>0</v>
      </c>
      <c r="W1817" s="6"/>
      <c r="X1817" s="6"/>
      <c r="Y1817" s="6"/>
      <c r="Z1817" s="6"/>
    </row>
    <row r="1818" customFormat="false" ht="15" hidden="false" customHeight="false" outlineLevel="0" collapsed="false">
      <c r="A1818" s="9" t="s">
        <v>2067</v>
      </c>
      <c r="B1818" s="9" t="s">
        <v>2025</v>
      </c>
      <c r="C1818" s="9" t="s">
        <v>2026</v>
      </c>
      <c r="D1818" s="9" t="s">
        <v>1735</v>
      </c>
      <c r="E1818" s="9" t="s">
        <v>2027</v>
      </c>
      <c r="F1818" s="9" t="s">
        <v>209</v>
      </c>
      <c r="G1818" s="9" t="s">
        <v>221</v>
      </c>
      <c r="H1818" s="9" t="n">
        <v>2700</v>
      </c>
      <c r="I1818" s="29" t="n">
        <v>1.5</v>
      </c>
      <c r="J1818" s="9" t="n">
        <v>1</v>
      </c>
      <c r="K1818" s="30"/>
      <c r="L1818" s="30"/>
      <c r="M1818" s="30"/>
      <c r="N1818" s="30"/>
      <c r="O1818" s="30"/>
      <c r="P1818" s="30"/>
      <c r="Q1818" s="30"/>
      <c r="R1818" s="30"/>
      <c r="S1818" s="30"/>
      <c r="T1818" s="30"/>
      <c r="U1818" s="21" t="str">
        <f aca="false">IF(COUNT(K1818:T1818)=0,"SOURCE EMPTY / INDUSTRIAL ONLY",IF(MIN(K1818:T1818)=1,"SERVICE READY","HOLD"))</f>
        <v>SOURCE EMPTY / INDUSTRIAL ONLY</v>
      </c>
      <c r="V1818" s="9" t="n">
        <f aca="false">IF(U1818="SERVICE READY",1,0)</f>
        <v>0</v>
      </c>
      <c r="W1818" s="6"/>
      <c r="X1818" s="6"/>
      <c r="Y1818" s="6"/>
      <c r="Z1818" s="6"/>
    </row>
    <row r="1819" customFormat="false" ht="15" hidden="false" customHeight="false" outlineLevel="0" collapsed="false">
      <c r="A1819" s="9" t="s">
        <v>2068</v>
      </c>
      <c r="B1819" s="9" t="s">
        <v>2025</v>
      </c>
      <c r="C1819" s="9" t="s">
        <v>2026</v>
      </c>
      <c r="D1819" s="9" t="s">
        <v>1735</v>
      </c>
      <c r="E1819" s="9" t="s">
        <v>2027</v>
      </c>
      <c r="F1819" s="9" t="s">
        <v>211</v>
      </c>
      <c r="G1819" s="9" t="s">
        <v>221</v>
      </c>
      <c r="H1819" s="9" t="n">
        <v>2700</v>
      </c>
      <c r="I1819" s="29" t="n">
        <v>1.5</v>
      </c>
      <c r="J1819" s="9" t="n">
        <v>1</v>
      </c>
      <c r="K1819" s="30"/>
      <c r="L1819" s="30"/>
      <c r="M1819" s="30"/>
      <c r="N1819" s="30"/>
      <c r="O1819" s="30"/>
      <c r="P1819" s="30"/>
      <c r="Q1819" s="30"/>
      <c r="R1819" s="30"/>
      <c r="S1819" s="30"/>
      <c r="T1819" s="30"/>
      <c r="U1819" s="21" t="str">
        <f aca="false">IF(COUNT(K1819:T1819)=0,"SOURCE EMPTY / INDUSTRIAL ONLY",IF(MIN(K1819:T1819)=1,"SERVICE READY","HOLD"))</f>
        <v>SOURCE EMPTY / INDUSTRIAL ONLY</v>
      </c>
      <c r="V1819" s="9" t="n">
        <f aca="false">IF(U1819="SERVICE READY",1,0)</f>
        <v>0</v>
      </c>
      <c r="W1819" s="6"/>
      <c r="X1819" s="6"/>
      <c r="Y1819" s="6"/>
      <c r="Z1819" s="6"/>
    </row>
    <row r="1820" customFormat="false" ht="15" hidden="false" customHeight="false" outlineLevel="0" collapsed="false">
      <c r="A1820" s="9" t="s">
        <v>2069</v>
      </c>
      <c r="B1820" s="9" t="s">
        <v>2025</v>
      </c>
      <c r="C1820" s="9" t="s">
        <v>2026</v>
      </c>
      <c r="D1820" s="9" t="s">
        <v>1735</v>
      </c>
      <c r="E1820" s="9" t="s">
        <v>2027</v>
      </c>
      <c r="F1820" s="9" t="s">
        <v>197</v>
      </c>
      <c r="G1820" s="9" t="s">
        <v>221</v>
      </c>
      <c r="H1820" s="9" t="n">
        <v>2700</v>
      </c>
      <c r="I1820" s="29" t="n">
        <v>1.5</v>
      </c>
      <c r="J1820" s="9" t="n">
        <v>1</v>
      </c>
      <c r="K1820" s="30"/>
      <c r="L1820" s="30"/>
      <c r="M1820" s="30"/>
      <c r="N1820" s="30"/>
      <c r="O1820" s="30"/>
      <c r="P1820" s="30"/>
      <c r="Q1820" s="30"/>
      <c r="R1820" s="30"/>
      <c r="S1820" s="30"/>
      <c r="T1820" s="30"/>
      <c r="U1820" s="21" t="str">
        <f aca="false">IF(COUNT(K1820:T1820)=0,"SOURCE EMPTY / INDUSTRIAL ONLY",IF(MIN(K1820:T1820)=1,"SERVICE READY","HOLD"))</f>
        <v>SOURCE EMPTY / INDUSTRIAL ONLY</v>
      </c>
      <c r="V1820" s="9" t="n">
        <f aca="false">IF(U1820="SERVICE READY",1,0)</f>
        <v>0</v>
      </c>
      <c r="W1820" s="6"/>
      <c r="X1820" s="6"/>
      <c r="Y1820" s="6"/>
      <c r="Z1820" s="6"/>
    </row>
    <row r="1821" customFormat="false" ht="15" hidden="false" customHeight="false" outlineLevel="0" collapsed="false">
      <c r="A1821" s="9" t="s">
        <v>2070</v>
      </c>
      <c r="B1821" s="9" t="s">
        <v>2025</v>
      </c>
      <c r="C1821" s="9" t="s">
        <v>2026</v>
      </c>
      <c r="D1821" s="9" t="s">
        <v>1735</v>
      </c>
      <c r="E1821" s="9" t="s">
        <v>2027</v>
      </c>
      <c r="F1821" s="9" t="s">
        <v>200</v>
      </c>
      <c r="G1821" s="9" t="s">
        <v>221</v>
      </c>
      <c r="H1821" s="9" t="n">
        <v>2700</v>
      </c>
      <c r="I1821" s="29" t="n">
        <v>1.5</v>
      </c>
      <c r="J1821" s="9" t="n">
        <v>0</v>
      </c>
      <c r="K1821" s="30"/>
      <c r="L1821" s="30"/>
      <c r="M1821" s="30"/>
      <c r="N1821" s="30"/>
      <c r="O1821" s="30"/>
      <c r="P1821" s="30"/>
      <c r="Q1821" s="30"/>
      <c r="R1821" s="30"/>
      <c r="S1821" s="30"/>
      <c r="T1821" s="30"/>
      <c r="U1821" s="21" t="str">
        <f aca="false">IF(COUNT(K1821:T1821)=0,"SOURCE EMPTY / INDUSTRIAL ONLY",IF(MIN(K1821:T1821)=1,"SERVICE READY","HOLD"))</f>
        <v>SOURCE EMPTY / INDUSTRIAL ONLY</v>
      </c>
      <c r="V1821" s="9" t="n">
        <f aca="false">IF(U1821="SERVICE READY",1,0)</f>
        <v>0</v>
      </c>
      <c r="W1821" s="6"/>
      <c r="X1821" s="6"/>
      <c r="Y1821" s="6"/>
      <c r="Z1821" s="6"/>
    </row>
    <row r="1822" customFormat="false" ht="15" hidden="false" customHeight="false" outlineLevel="0" collapsed="false">
      <c r="A1822" s="9" t="s">
        <v>2071</v>
      </c>
      <c r="B1822" s="9" t="s">
        <v>2025</v>
      </c>
      <c r="C1822" s="9" t="s">
        <v>2026</v>
      </c>
      <c r="D1822" s="9" t="s">
        <v>1735</v>
      </c>
      <c r="E1822" s="9" t="s">
        <v>2027</v>
      </c>
      <c r="F1822" s="9" t="s">
        <v>203</v>
      </c>
      <c r="G1822" s="9" t="s">
        <v>221</v>
      </c>
      <c r="H1822" s="9" t="n">
        <v>2700</v>
      </c>
      <c r="I1822" s="29" t="n">
        <v>1.5</v>
      </c>
      <c r="J1822" s="9" t="n">
        <v>0</v>
      </c>
      <c r="K1822" s="30"/>
      <c r="L1822" s="30"/>
      <c r="M1822" s="30"/>
      <c r="N1822" s="30"/>
      <c r="O1822" s="30"/>
      <c r="P1822" s="30"/>
      <c r="Q1822" s="30"/>
      <c r="R1822" s="30"/>
      <c r="S1822" s="30"/>
      <c r="T1822" s="30"/>
      <c r="U1822" s="21" t="str">
        <f aca="false">IF(COUNT(K1822:T1822)=0,"SOURCE EMPTY / INDUSTRIAL ONLY",IF(MIN(K1822:T1822)=1,"SERVICE READY","HOLD"))</f>
        <v>SOURCE EMPTY / INDUSTRIAL ONLY</v>
      </c>
      <c r="V1822" s="9" t="n">
        <f aca="false">IF(U1822="SERVICE READY",1,0)</f>
        <v>0</v>
      </c>
      <c r="W1822" s="6"/>
      <c r="X1822" s="6"/>
      <c r="Y1822" s="6"/>
      <c r="Z1822" s="6"/>
    </row>
    <row r="1823" customFormat="false" ht="15" hidden="false" customHeight="false" outlineLevel="0" collapsed="false">
      <c r="A1823" s="9" t="s">
        <v>2072</v>
      </c>
      <c r="B1823" s="9" t="s">
        <v>2025</v>
      </c>
      <c r="C1823" s="9" t="s">
        <v>2026</v>
      </c>
      <c r="D1823" s="9" t="s">
        <v>1735</v>
      </c>
      <c r="E1823" s="9" t="s">
        <v>2027</v>
      </c>
      <c r="F1823" s="9" t="s">
        <v>205</v>
      </c>
      <c r="G1823" s="9" t="s">
        <v>221</v>
      </c>
      <c r="H1823" s="9" t="n">
        <v>2700</v>
      </c>
      <c r="I1823" s="29" t="n">
        <v>1.5</v>
      </c>
      <c r="J1823" s="9" t="n">
        <v>0</v>
      </c>
      <c r="K1823" s="30"/>
      <c r="L1823" s="30"/>
      <c r="M1823" s="30"/>
      <c r="N1823" s="30"/>
      <c r="O1823" s="30"/>
      <c r="P1823" s="30"/>
      <c r="Q1823" s="30"/>
      <c r="R1823" s="30"/>
      <c r="S1823" s="30"/>
      <c r="T1823" s="30"/>
      <c r="U1823" s="21" t="str">
        <f aca="false">IF(COUNT(K1823:T1823)=0,"SOURCE EMPTY / INDUSTRIAL ONLY",IF(MIN(K1823:T1823)=1,"SERVICE READY","HOLD"))</f>
        <v>SOURCE EMPTY / INDUSTRIAL ONLY</v>
      </c>
      <c r="V1823" s="9" t="n">
        <f aca="false">IF(U1823="SERVICE READY",1,0)</f>
        <v>0</v>
      </c>
      <c r="W1823" s="6"/>
      <c r="X1823" s="6"/>
      <c r="Y1823" s="6"/>
      <c r="Z1823" s="6"/>
    </row>
    <row r="1824" customFormat="false" ht="15" hidden="false" customHeight="false" outlineLevel="0" collapsed="false">
      <c r="A1824" s="9" t="s">
        <v>2073</v>
      </c>
      <c r="B1824" s="9" t="s">
        <v>2025</v>
      </c>
      <c r="C1824" s="9" t="s">
        <v>2026</v>
      </c>
      <c r="D1824" s="9" t="s">
        <v>1735</v>
      </c>
      <c r="E1824" s="9" t="s">
        <v>2027</v>
      </c>
      <c r="F1824" s="9" t="s">
        <v>207</v>
      </c>
      <c r="G1824" s="9" t="s">
        <v>221</v>
      </c>
      <c r="H1824" s="9" t="n">
        <v>2700</v>
      </c>
      <c r="I1824" s="29" t="n">
        <v>1.5</v>
      </c>
      <c r="J1824" s="9" t="n">
        <v>0</v>
      </c>
      <c r="K1824" s="30"/>
      <c r="L1824" s="30"/>
      <c r="M1824" s="30"/>
      <c r="N1824" s="30"/>
      <c r="O1824" s="30"/>
      <c r="P1824" s="30"/>
      <c r="Q1824" s="30"/>
      <c r="R1824" s="30"/>
      <c r="S1824" s="30"/>
      <c r="T1824" s="30"/>
      <c r="U1824" s="21" t="str">
        <f aca="false">IF(COUNT(K1824:T1824)=0,"SOURCE EMPTY / INDUSTRIAL ONLY",IF(MIN(K1824:T1824)=1,"SERVICE READY","HOLD"))</f>
        <v>SOURCE EMPTY / INDUSTRIAL ONLY</v>
      </c>
      <c r="V1824" s="9" t="n">
        <f aca="false">IF(U1824="SERVICE READY",1,0)</f>
        <v>0</v>
      </c>
      <c r="W1824" s="6"/>
      <c r="X1824" s="6"/>
      <c r="Y1824" s="6"/>
      <c r="Z1824" s="6"/>
    </row>
    <row r="1825" customFormat="false" ht="15" hidden="false" customHeight="false" outlineLevel="0" collapsed="false">
      <c r="A1825" s="9" t="s">
        <v>2074</v>
      </c>
      <c r="B1825" s="9" t="s">
        <v>2025</v>
      </c>
      <c r="C1825" s="9" t="s">
        <v>2026</v>
      </c>
      <c r="D1825" s="9" t="s">
        <v>1735</v>
      </c>
      <c r="E1825" s="9" t="s">
        <v>2027</v>
      </c>
      <c r="F1825" s="9" t="s">
        <v>209</v>
      </c>
      <c r="G1825" s="9" t="s">
        <v>221</v>
      </c>
      <c r="H1825" s="9" t="n">
        <v>2700</v>
      </c>
      <c r="I1825" s="29" t="n">
        <v>1.5</v>
      </c>
      <c r="J1825" s="9" t="n">
        <v>0</v>
      </c>
      <c r="K1825" s="30"/>
      <c r="L1825" s="30"/>
      <c r="M1825" s="30"/>
      <c r="N1825" s="30"/>
      <c r="O1825" s="30"/>
      <c r="P1825" s="30"/>
      <c r="Q1825" s="30"/>
      <c r="R1825" s="30"/>
      <c r="S1825" s="30"/>
      <c r="T1825" s="30"/>
      <c r="U1825" s="21" t="str">
        <f aca="false">IF(COUNT(K1825:T1825)=0,"SOURCE EMPTY / INDUSTRIAL ONLY",IF(MIN(K1825:T1825)=1,"SERVICE READY","HOLD"))</f>
        <v>SOURCE EMPTY / INDUSTRIAL ONLY</v>
      </c>
      <c r="V1825" s="9" t="n">
        <f aca="false">IF(U1825="SERVICE READY",1,0)</f>
        <v>0</v>
      </c>
      <c r="W1825" s="6"/>
      <c r="X1825" s="6"/>
      <c r="Y1825" s="6"/>
      <c r="Z1825" s="6"/>
    </row>
    <row r="1826" customFormat="false" ht="15" hidden="false" customHeight="false" outlineLevel="0" collapsed="false">
      <c r="A1826" s="9" t="s">
        <v>2075</v>
      </c>
      <c r="B1826" s="9" t="s">
        <v>2025</v>
      </c>
      <c r="C1826" s="9" t="s">
        <v>2026</v>
      </c>
      <c r="D1826" s="9" t="s">
        <v>1735</v>
      </c>
      <c r="E1826" s="9" t="s">
        <v>2027</v>
      </c>
      <c r="F1826" s="9" t="s">
        <v>211</v>
      </c>
      <c r="G1826" s="9" t="s">
        <v>221</v>
      </c>
      <c r="H1826" s="9" t="n">
        <v>2700</v>
      </c>
      <c r="I1826" s="29" t="n">
        <v>1.5</v>
      </c>
      <c r="J1826" s="9" t="n">
        <v>0</v>
      </c>
      <c r="K1826" s="30"/>
      <c r="L1826" s="30"/>
      <c r="M1826" s="30"/>
      <c r="N1826" s="30"/>
      <c r="O1826" s="30"/>
      <c r="P1826" s="30"/>
      <c r="Q1826" s="30"/>
      <c r="R1826" s="30"/>
      <c r="S1826" s="30"/>
      <c r="T1826" s="30"/>
      <c r="U1826" s="21" t="str">
        <f aca="false">IF(COUNT(K1826:T1826)=0,"SOURCE EMPTY / INDUSTRIAL ONLY",IF(MIN(K1826:T1826)=1,"SERVICE READY","HOLD"))</f>
        <v>SOURCE EMPTY / INDUSTRIAL ONLY</v>
      </c>
      <c r="V1826" s="9" t="n">
        <f aca="false">IF(U1826="SERVICE READY",1,0)</f>
        <v>0</v>
      </c>
      <c r="W1826" s="6"/>
      <c r="X1826" s="6"/>
      <c r="Y1826" s="6"/>
      <c r="Z1826" s="6"/>
    </row>
    <row r="1827" customFormat="false" ht="15" hidden="false" customHeight="false" outlineLevel="0" collapsed="false">
      <c r="A1827" s="9" t="s">
        <v>2076</v>
      </c>
      <c r="B1827" s="9" t="s">
        <v>2025</v>
      </c>
      <c r="C1827" s="9" t="s">
        <v>2026</v>
      </c>
      <c r="D1827" s="9" t="s">
        <v>1735</v>
      </c>
      <c r="E1827" s="9" t="s">
        <v>2027</v>
      </c>
      <c r="F1827" s="9" t="s">
        <v>197</v>
      </c>
      <c r="G1827" s="9" t="s">
        <v>221</v>
      </c>
      <c r="H1827" s="9" t="n">
        <v>2700</v>
      </c>
      <c r="I1827" s="29" t="n">
        <v>1.5</v>
      </c>
      <c r="J1827" s="9" t="n">
        <v>0</v>
      </c>
      <c r="K1827" s="30"/>
      <c r="L1827" s="30"/>
      <c r="M1827" s="30"/>
      <c r="N1827" s="30"/>
      <c r="O1827" s="30"/>
      <c r="P1827" s="30"/>
      <c r="Q1827" s="30"/>
      <c r="R1827" s="30"/>
      <c r="S1827" s="30"/>
      <c r="T1827" s="30"/>
      <c r="U1827" s="21" t="str">
        <f aca="false">IF(COUNT(K1827:T1827)=0,"SOURCE EMPTY / INDUSTRIAL ONLY",IF(MIN(K1827:T1827)=1,"SERVICE READY","HOLD"))</f>
        <v>SOURCE EMPTY / INDUSTRIAL ONLY</v>
      </c>
      <c r="V1827" s="9" t="n">
        <f aca="false">IF(U1827="SERVICE READY",1,0)</f>
        <v>0</v>
      </c>
      <c r="W1827" s="6"/>
      <c r="X1827" s="6"/>
      <c r="Y1827" s="6"/>
      <c r="Z1827" s="6"/>
    </row>
    <row r="1828" customFormat="false" ht="15" hidden="false" customHeight="false" outlineLevel="0" collapsed="false">
      <c r="A1828" s="9" t="s">
        <v>2077</v>
      </c>
      <c r="B1828" s="9" t="s">
        <v>2025</v>
      </c>
      <c r="C1828" s="9" t="s">
        <v>2026</v>
      </c>
      <c r="D1828" s="9" t="s">
        <v>1735</v>
      </c>
      <c r="E1828" s="9" t="s">
        <v>2027</v>
      </c>
      <c r="F1828" s="9" t="s">
        <v>200</v>
      </c>
      <c r="G1828" s="9" t="s">
        <v>221</v>
      </c>
      <c r="H1828" s="9" t="n">
        <v>2700</v>
      </c>
      <c r="I1828" s="29" t="n">
        <v>1.5</v>
      </c>
      <c r="J1828" s="9" t="n">
        <v>0</v>
      </c>
      <c r="K1828" s="30"/>
      <c r="L1828" s="30"/>
      <c r="M1828" s="30"/>
      <c r="N1828" s="30"/>
      <c r="O1828" s="30"/>
      <c r="P1828" s="30"/>
      <c r="Q1828" s="30"/>
      <c r="R1828" s="30"/>
      <c r="S1828" s="30"/>
      <c r="T1828" s="30"/>
      <c r="U1828" s="21" t="str">
        <f aca="false">IF(COUNT(K1828:T1828)=0,"SOURCE EMPTY / INDUSTRIAL ONLY",IF(MIN(K1828:T1828)=1,"SERVICE READY","HOLD"))</f>
        <v>SOURCE EMPTY / INDUSTRIAL ONLY</v>
      </c>
      <c r="V1828" s="9" t="n">
        <f aca="false">IF(U1828="SERVICE READY",1,0)</f>
        <v>0</v>
      </c>
      <c r="W1828" s="6"/>
      <c r="X1828" s="6"/>
      <c r="Y1828" s="6"/>
      <c r="Z1828" s="6"/>
    </row>
    <row r="1829" customFormat="false" ht="15" hidden="false" customHeight="false" outlineLevel="0" collapsed="false">
      <c r="A1829" s="9" t="s">
        <v>2078</v>
      </c>
      <c r="B1829" s="9" t="s">
        <v>2025</v>
      </c>
      <c r="C1829" s="9" t="s">
        <v>2026</v>
      </c>
      <c r="D1829" s="9" t="s">
        <v>1735</v>
      </c>
      <c r="E1829" s="9" t="s">
        <v>2027</v>
      </c>
      <c r="F1829" s="9" t="s">
        <v>203</v>
      </c>
      <c r="G1829" s="9" t="s">
        <v>221</v>
      </c>
      <c r="H1829" s="9" t="n">
        <v>2700</v>
      </c>
      <c r="I1829" s="29" t="n">
        <v>1.5</v>
      </c>
      <c r="J1829" s="9" t="n">
        <v>0</v>
      </c>
      <c r="K1829" s="30"/>
      <c r="L1829" s="30"/>
      <c r="M1829" s="30"/>
      <c r="N1829" s="30"/>
      <c r="O1829" s="30"/>
      <c r="P1829" s="30"/>
      <c r="Q1829" s="30"/>
      <c r="R1829" s="30"/>
      <c r="S1829" s="30"/>
      <c r="T1829" s="30"/>
      <c r="U1829" s="21" t="str">
        <f aca="false">IF(COUNT(K1829:T1829)=0,"SOURCE EMPTY / INDUSTRIAL ONLY",IF(MIN(K1829:T1829)=1,"SERVICE READY","HOLD"))</f>
        <v>SOURCE EMPTY / INDUSTRIAL ONLY</v>
      </c>
      <c r="V1829" s="9" t="n">
        <f aca="false">IF(U1829="SERVICE READY",1,0)</f>
        <v>0</v>
      </c>
      <c r="W1829" s="6"/>
      <c r="X1829" s="6"/>
      <c r="Y1829" s="6"/>
      <c r="Z1829" s="6"/>
    </row>
    <row r="1830" customFormat="false" ht="15" hidden="false" customHeight="false" outlineLevel="0" collapsed="false">
      <c r="A1830" s="9" t="s">
        <v>2079</v>
      </c>
      <c r="B1830" s="9" t="s">
        <v>2025</v>
      </c>
      <c r="C1830" s="9" t="s">
        <v>2026</v>
      </c>
      <c r="D1830" s="9" t="s">
        <v>1735</v>
      </c>
      <c r="E1830" s="9" t="s">
        <v>2027</v>
      </c>
      <c r="F1830" s="9" t="s">
        <v>205</v>
      </c>
      <c r="G1830" s="9" t="s">
        <v>221</v>
      </c>
      <c r="H1830" s="9" t="n">
        <v>2700</v>
      </c>
      <c r="I1830" s="29" t="n">
        <v>1.5</v>
      </c>
      <c r="J1830" s="9" t="n">
        <v>0</v>
      </c>
      <c r="K1830" s="30"/>
      <c r="L1830" s="30"/>
      <c r="M1830" s="30"/>
      <c r="N1830" s="30"/>
      <c r="O1830" s="30"/>
      <c r="P1830" s="30"/>
      <c r="Q1830" s="30"/>
      <c r="R1830" s="30"/>
      <c r="S1830" s="30"/>
      <c r="T1830" s="30"/>
      <c r="U1830" s="21" t="str">
        <f aca="false">IF(COUNT(K1830:T1830)=0,"SOURCE EMPTY / INDUSTRIAL ONLY",IF(MIN(K1830:T1830)=1,"SERVICE READY","HOLD"))</f>
        <v>SOURCE EMPTY / INDUSTRIAL ONLY</v>
      </c>
      <c r="V1830" s="9" t="n">
        <f aca="false">IF(U1830="SERVICE READY",1,0)</f>
        <v>0</v>
      </c>
      <c r="W1830" s="6"/>
      <c r="X1830" s="6"/>
      <c r="Y1830" s="6"/>
      <c r="Z1830" s="6"/>
    </row>
    <row r="1831" customFormat="false" ht="15" hidden="false" customHeight="false" outlineLevel="0" collapsed="false">
      <c r="A1831" s="9" t="s">
        <v>2080</v>
      </c>
      <c r="B1831" s="9" t="s">
        <v>2025</v>
      </c>
      <c r="C1831" s="9" t="s">
        <v>2026</v>
      </c>
      <c r="D1831" s="9" t="s">
        <v>1735</v>
      </c>
      <c r="E1831" s="9" t="s">
        <v>2027</v>
      </c>
      <c r="F1831" s="9" t="s">
        <v>207</v>
      </c>
      <c r="G1831" s="9" t="s">
        <v>221</v>
      </c>
      <c r="H1831" s="9" t="n">
        <v>2700</v>
      </c>
      <c r="I1831" s="29" t="n">
        <v>1.5</v>
      </c>
      <c r="J1831" s="9" t="n">
        <v>0</v>
      </c>
      <c r="K1831" s="30"/>
      <c r="L1831" s="30"/>
      <c r="M1831" s="30"/>
      <c r="N1831" s="30"/>
      <c r="O1831" s="30"/>
      <c r="P1831" s="30"/>
      <c r="Q1831" s="30"/>
      <c r="R1831" s="30"/>
      <c r="S1831" s="30"/>
      <c r="T1831" s="30"/>
      <c r="U1831" s="21" t="str">
        <f aca="false">IF(COUNT(K1831:T1831)=0,"SOURCE EMPTY / INDUSTRIAL ONLY",IF(MIN(K1831:T1831)=1,"SERVICE READY","HOLD"))</f>
        <v>SOURCE EMPTY / INDUSTRIAL ONLY</v>
      </c>
      <c r="V1831" s="9" t="n">
        <f aca="false">IF(U1831="SERVICE READY",1,0)</f>
        <v>0</v>
      </c>
      <c r="W1831" s="6"/>
      <c r="X1831" s="6"/>
      <c r="Y1831" s="6"/>
      <c r="Z1831" s="6"/>
    </row>
    <row r="1832" customFormat="false" ht="15" hidden="false" customHeight="false" outlineLevel="0" collapsed="false">
      <c r="A1832" s="9" t="s">
        <v>2081</v>
      </c>
      <c r="B1832" s="9" t="s">
        <v>2025</v>
      </c>
      <c r="C1832" s="9" t="s">
        <v>2026</v>
      </c>
      <c r="D1832" s="9" t="s">
        <v>1735</v>
      </c>
      <c r="E1832" s="9" t="s">
        <v>2027</v>
      </c>
      <c r="F1832" s="9" t="s">
        <v>209</v>
      </c>
      <c r="G1832" s="9" t="s">
        <v>221</v>
      </c>
      <c r="H1832" s="9" t="n">
        <v>2700</v>
      </c>
      <c r="I1832" s="29" t="n">
        <v>1.5</v>
      </c>
      <c r="J1832" s="9" t="n">
        <v>0</v>
      </c>
      <c r="K1832" s="30"/>
      <c r="L1832" s="30"/>
      <c r="M1832" s="30"/>
      <c r="N1832" s="30"/>
      <c r="O1832" s="30"/>
      <c r="P1832" s="30"/>
      <c r="Q1832" s="30"/>
      <c r="R1832" s="30"/>
      <c r="S1832" s="30"/>
      <c r="T1832" s="30"/>
      <c r="U1832" s="21" t="str">
        <f aca="false">IF(COUNT(K1832:T1832)=0,"SOURCE EMPTY / INDUSTRIAL ONLY",IF(MIN(K1832:T1832)=1,"SERVICE READY","HOLD"))</f>
        <v>SOURCE EMPTY / INDUSTRIAL ONLY</v>
      </c>
      <c r="V1832" s="9" t="n">
        <f aca="false">IF(U1832="SERVICE READY",1,0)</f>
        <v>0</v>
      </c>
      <c r="W1832" s="6"/>
      <c r="X1832" s="6"/>
      <c r="Y1832" s="6"/>
      <c r="Z1832" s="6"/>
    </row>
    <row r="1833" customFormat="false" ht="15" hidden="false" customHeight="false" outlineLevel="0" collapsed="false">
      <c r="A1833" s="9" t="s">
        <v>2082</v>
      </c>
      <c r="B1833" s="9" t="s">
        <v>2025</v>
      </c>
      <c r="C1833" s="9" t="s">
        <v>2026</v>
      </c>
      <c r="D1833" s="9" t="s">
        <v>1735</v>
      </c>
      <c r="E1833" s="9" t="s">
        <v>2027</v>
      </c>
      <c r="F1833" s="9" t="s">
        <v>211</v>
      </c>
      <c r="G1833" s="9" t="s">
        <v>221</v>
      </c>
      <c r="H1833" s="9" t="n">
        <v>2700</v>
      </c>
      <c r="I1833" s="29" t="n">
        <v>1.5</v>
      </c>
      <c r="J1833" s="9" t="n">
        <v>0</v>
      </c>
      <c r="K1833" s="30"/>
      <c r="L1833" s="30"/>
      <c r="M1833" s="30"/>
      <c r="N1833" s="30"/>
      <c r="O1833" s="30"/>
      <c r="P1833" s="30"/>
      <c r="Q1833" s="30"/>
      <c r="R1833" s="30"/>
      <c r="S1833" s="30"/>
      <c r="T1833" s="30"/>
      <c r="U1833" s="21" t="str">
        <f aca="false">IF(COUNT(K1833:T1833)=0,"SOURCE EMPTY / INDUSTRIAL ONLY",IF(MIN(K1833:T1833)=1,"SERVICE READY","HOLD"))</f>
        <v>SOURCE EMPTY / INDUSTRIAL ONLY</v>
      </c>
      <c r="V1833" s="9" t="n">
        <f aca="false">IF(U1833="SERVICE READY",1,0)</f>
        <v>0</v>
      </c>
      <c r="W1833" s="6"/>
      <c r="X1833" s="6"/>
      <c r="Y1833" s="6"/>
      <c r="Z1833" s="6"/>
    </row>
    <row r="1834" customFormat="false" ht="15" hidden="false" customHeight="false" outlineLevel="0" collapsed="false">
      <c r="A1834" s="9" t="s">
        <v>2083</v>
      </c>
      <c r="B1834" s="9" t="s">
        <v>2025</v>
      </c>
      <c r="C1834" s="9" t="s">
        <v>2026</v>
      </c>
      <c r="D1834" s="9" t="s">
        <v>1735</v>
      </c>
      <c r="E1834" s="9" t="s">
        <v>2027</v>
      </c>
      <c r="F1834" s="9" t="s">
        <v>197</v>
      </c>
      <c r="G1834" s="9" t="s">
        <v>221</v>
      </c>
      <c r="H1834" s="9" t="n">
        <v>2700</v>
      </c>
      <c r="I1834" s="29" t="n">
        <v>1.5</v>
      </c>
      <c r="J1834" s="9" t="n">
        <v>0</v>
      </c>
      <c r="K1834" s="30"/>
      <c r="L1834" s="30"/>
      <c r="M1834" s="30"/>
      <c r="N1834" s="30"/>
      <c r="O1834" s="30"/>
      <c r="P1834" s="30"/>
      <c r="Q1834" s="30"/>
      <c r="R1834" s="30"/>
      <c r="S1834" s="30"/>
      <c r="T1834" s="30"/>
      <c r="U1834" s="21" t="str">
        <f aca="false">IF(COUNT(K1834:T1834)=0,"SOURCE EMPTY / INDUSTRIAL ONLY",IF(MIN(K1834:T1834)=1,"SERVICE READY","HOLD"))</f>
        <v>SOURCE EMPTY / INDUSTRIAL ONLY</v>
      </c>
      <c r="V1834" s="9" t="n">
        <f aca="false">IF(U1834="SERVICE READY",1,0)</f>
        <v>0</v>
      </c>
      <c r="W1834" s="6"/>
      <c r="X1834" s="6"/>
      <c r="Y1834" s="6"/>
      <c r="Z1834" s="6"/>
    </row>
    <row r="1835" customFormat="false" ht="15" hidden="false" customHeight="false" outlineLevel="0" collapsed="false">
      <c r="A1835" s="9" t="s">
        <v>2084</v>
      </c>
      <c r="B1835" s="9" t="s">
        <v>2025</v>
      </c>
      <c r="C1835" s="9" t="s">
        <v>2026</v>
      </c>
      <c r="D1835" s="9" t="s">
        <v>1735</v>
      </c>
      <c r="E1835" s="9" t="s">
        <v>2027</v>
      </c>
      <c r="F1835" s="9" t="s">
        <v>200</v>
      </c>
      <c r="G1835" s="9" t="s">
        <v>221</v>
      </c>
      <c r="H1835" s="9" t="n">
        <v>2700</v>
      </c>
      <c r="I1835" s="29" t="n">
        <v>1.5</v>
      </c>
      <c r="J1835" s="9" t="n">
        <v>0</v>
      </c>
      <c r="K1835" s="30"/>
      <c r="L1835" s="30"/>
      <c r="M1835" s="30"/>
      <c r="N1835" s="30"/>
      <c r="O1835" s="30"/>
      <c r="P1835" s="30"/>
      <c r="Q1835" s="30"/>
      <c r="R1835" s="30"/>
      <c r="S1835" s="30"/>
      <c r="T1835" s="30"/>
      <c r="U1835" s="21" t="str">
        <f aca="false">IF(COUNT(K1835:T1835)=0,"SOURCE EMPTY / INDUSTRIAL ONLY",IF(MIN(K1835:T1835)=1,"SERVICE READY","HOLD"))</f>
        <v>SOURCE EMPTY / INDUSTRIAL ONLY</v>
      </c>
      <c r="V1835" s="9" t="n">
        <f aca="false">IF(U1835="SERVICE READY",1,0)</f>
        <v>0</v>
      </c>
      <c r="W1835" s="6"/>
      <c r="X1835" s="6"/>
      <c r="Y1835" s="6"/>
      <c r="Z1835" s="6"/>
    </row>
    <row r="1836" customFormat="false" ht="15" hidden="false" customHeight="false" outlineLevel="0" collapsed="false">
      <c r="A1836" s="9" t="s">
        <v>2085</v>
      </c>
      <c r="B1836" s="9" t="s">
        <v>2025</v>
      </c>
      <c r="C1836" s="9" t="s">
        <v>2026</v>
      </c>
      <c r="D1836" s="9" t="s">
        <v>1735</v>
      </c>
      <c r="E1836" s="9" t="s">
        <v>2027</v>
      </c>
      <c r="F1836" s="9" t="s">
        <v>203</v>
      </c>
      <c r="G1836" s="9" t="s">
        <v>221</v>
      </c>
      <c r="H1836" s="9" t="n">
        <v>2700</v>
      </c>
      <c r="I1836" s="29" t="n">
        <v>1.5</v>
      </c>
      <c r="J1836" s="9" t="n">
        <v>0</v>
      </c>
      <c r="K1836" s="30"/>
      <c r="L1836" s="30"/>
      <c r="M1836" s="30"/>
      <c r="N1836" s="30"/>
      <c r="O1836" s="30"/>
      <c r="P1836" s="30"/>
      <c r="Q1836" s="30"/>
      <c r="R1836" s="30"/>
      <c r="S1836" s="30"/>
      <c r="T1836" s="30"/>
      <c r="U1836" s="21" t="str">
        <f aca="false">IF(COUNT(K1836:T1836)=0,"SOURCE EMPTY / INDUSTRIAL ONLY",IF(MIN(K1836:T1836)=1,"SERVICE READY","HOLD"))</f>
        <v>SOURCE EMPTY / INDUSTRIAL ONLY</v>
      </c>
      <c r="V1836" s="9" t="n">
        <f aca="false">IF(U1836="SERVICE READY",1,0)</f>
        <v>0</v>
      </c>
      <c r="W1836" s="6"/>
      <c r="X1836" s="6"/>
      <c r="Y1836" s="6"/>
      <c r="Z1836" s="6"/>
    </row>
    <row r="1837" customFormat="false" ht="15" hidden="false" customHeight="false" outlineLevel="0" collapsed="false">
      <c r="A1837" s="9" t="s">
        <v>2086</v>
      </c>
      <c r="B1837" s="9" t="s">
        <v>2025</v>
      </c>
      <c r="C1837" s="9" t="s">
        <v>2026</v>
      </c>
      <c r="D1837" s="9" t="s">
        <v>1735</v>
      </c>
      <c r="E1837" s="9" t="s">
        <v>2027</v>
      </c>
      <c r="F1837" s="9" t="s">
        <v>205</v>
      </c>
      <c r="G1837" s="9" t="s">
        <v>221</v>
      </c>
      <c r="H1837" s="9" t="n">
        <v>2700</v>
      </c>
      <c r="I1837" s="29" t="n">
        <v>1.5</v>
      </c>
      <c r="J1837" s="9" t="n">
        <v>0</v>
      </c>
      <c r="K1837" s="30"/>
      <c r="L1837" s="30"/>
      <c r="M1837" s="30"/>
      <c r="N1837" s="30"/>
      <c r="O1837" s="30"/>
      <c r="P1837" s="30"/>
      <c r="Q1837" s="30"/>
      <c r="R1837" s="30"/>
      <c r="S1837" s="30"/>
      <c r="T1837" s="30"/>
      <c r="U1837" s="21" t="str">
        <f aca="false">IF(COUNT(K1837:T1837)=0,"SOURCE EMPTY / INDUSTRIAL ONLY",IF(MIN(K1837:T1837)=1,"SERVICE READY","HOLD"))</f>
        <v>SOURCE EMPTY / INDUSTRIAL ONLY</v>
      </c>
      <c r="V1837" s="9" t="n">
        <f aca="false">IF(U1837="SERVICE READY",1,0)</f>
        <v>0</v>
      </c>
      <c r="W1837" s="6"/>
      <c r="X1837" s="6"/>
      <c r="Y1837" s="6"/>
      <c r="Z1837" s="6"/>
    </row>
    <row r="1838" customFormat="false" ht="15" hidden="false" customHeight="false" outlineLevel="0" collapsed="false">
      <c r="A1838" s="9" t="s">
        <v>2087</v>
      </c>
      <c r="B1838" s="9" t="s">
        <v>2025</v>
      </c>
      <c r="C1838" s="9" t="s">
        <v>2026</v>
      </c>
      <c r="D1838" s="9" t="s">
        <v>1735</v>
      </c>
      <c r="E1838" s="9" t="s">
        <v>2027</v>
      </c>
      <c r="F1838" s="9" t="s">
        <v>207</v>
      </c>
      <c r="G1838" s="9" t="s">
        <v>221</v>
      </c>
      <c r="H1838" s="9" t="n">
        <v>2700</v>
      </c>
      <c r="I1838" s="29" t="n">
        <v>1.5</v>
      </c>
      <c r="J1838" s="9" t="n">
        <v>0</v>
      </c>
      <c r="K1838" s="30"/>
      <c r="L1838" s="30"/>
      <c r="M1838" s="30"/>
      <c r="N1838" s="30"/>
      <c r="O1838" s="30"/>
      <c r="P1838" s="30"/>
      <c r="Q1838" s="30"/>
      <c r="R1838" s="30"/>
      <c r="S1838" s="30"/>
      <c r="T1838" s="30"/>
      <c r="U1838" s="21" t="str">
        <f aca="false">IF(COUNT(K1838:T1838)=0,"SOURCE EMPTY / INDUSTRIAL ONLY",IF(MIN(K1838:T1838)=1,"SERVICE READY","HOLD"))</f>
        <v>SOURCE EMPTY / INDUSTRIAL ONLY</v>
      </c>
      <c r="V1838" s="9" t="n">
        <f aca="false">IF(U1838="SERVICE READY",1,0)</f>
        <v>0</v>
      </c>
      <c r="W1838" s="6"/>
      <c r="X1838" s="6"/>
      <c r="Y1838" s="6"/>
      <c r="Z1838" s="6"/>
    </row>
    <row r="1839" customFormat="false" ht="15" hidden="false" customHeight="false" outlineLevel="0" collapsed="false">
      <c r="A1839" s="9" t="s">
        <v>2088</v>
      </c>
      <c r="B1839" s="9" t="s">
        <v>2025</v>
      </c>
      <c r="C1839" s="9" t="s">
        <v>2026</v>
      </c>
      <c r="D1839" s="9" t="s">
        <v>1735</v>
      </c>
      <c r="E1839" s="9" t="s">
        <v>2027</v>
      </c>
      <c r="F1839" s="9" t="s">
        <v>209</v>
      </c>
      <c r="G1839" s="9" t="s">
        <v>221</v>
      </c>
      <c r="H1839" s="9" t="n">
        <v>2700</v>
      </c>
      <c r="I1839" s="29" t="n">
        <v>1.5</v>
      </c>
      <c r="J1839" s="9" t="n">
        <v>0</v>
      </c>
      <c r="K1839" s="30"/>
      <c r="L1839" s="30"/>
      <c r="M1839" s="30"/>
      <c r="N1839" s="30"/>
      <c r="O1839" s="30"/>
      <c r="P1839" s="30"/>
      <c r="Q1839" s="30"/>
      <c r="R1839" s="30"/>
      <c r="S1839" s="30"/>
      <c r="T1839" s="30"/>
      <c r="U1839" s="21" t="str">
        <f aca="false">IF(COUNT(K1839:T1839)=0,"SOURCE EMPTY / INDUSTRIAL ONLY",IF(MIN(K1839:T1839)=1,"SERVICE READY","HOLD"))</f>
        <v>SOURCE EMPTY / INDUSTRIAL ONLY</v>
      </c>
      <c r="V1839" s="9" t="n">
        <f aca="false">IF(U1839="SERVICE READY",1,0)</f>
        <v>0</v>
      </c>
      <c r="W1839" s="6"/>
      <c r="X1839" s="6"/>
      <c r="Y1839" s="6"/>
      <c r="Z1839" s="6"/>
    </row>
    <row r="1840" customFormat="false" ht="15" hidden="false" customHeight="false" outlineLevel="0" collapsed="false">
      <c r="A1840" s="9" t="s">
        <v>2089</v>
      </c>
      <c r="B1840" s="9" t="s">
        <v>2025</v>
      </c>
      <c r="C1840" s="9" t="s">
        <v>2026</v>
      </c>
      <c r="D1840" s="9" t="s">
        <v>1735</v>
      </c>
      <c r="E1840" s="9" t="s">
        <v>2027</v>
      </c>
      <c r="F1840" s="9" t="s">
        <v>211</v>
      </c>
      <c r="G1840" s="9" t="s">
        <v>221</v>
      </c>
      <c r="H1840" s="9" t="n">
        <v>2700</v>
      </c>
      <c r="I1840" s="29" t="n">
        <v>1.5</v>
      </c>
      <c r="J1840" s="9" t="n">
        <v>0</v>
      </c>
      <c r="K1840" s="30"/>
      <c r="L1840" s="30"/>
      <c r="M1840" s="30"/>
      <c r="N1840" s="30"/>
      <c r="O1840" s="30"/>
      <c r="P1840" s="30"/>
      <c r="Q1840" s="30"/>
      <c r="R1840" s="30"/>
      <c r="S1840" s="30"/>
      <c r="T1840" s="30"/>
      <c r="U1840" s="21" t="str">
        <f aca="false">IF(COUNT(K1840:T1840)=0,"SOURCE EMPTY / INDUSTRIAL ONLY",IF(MIN(K1840:T1840)=1,"SERVICE READY","HOLD"))</f>
        <v>SOURCE EMPTY / INDUSTRIAL ONLY</v>
      </c>
      <c r="V1840" s="9" t="n">
        <f aca="false">IF(U1840="SERVICE READY",1,0)</f>
        <v>0</v>
      </c>
      <c r="W1840" s="6"/>
      <c r="X1840" s="6"/>
      <c r="Y1840" s="6"/>
      <c r="Z1840" s="6"/>
    </row>
    <row r="1841" customFormat="false" ht="15" hidden="false" customHeight="false" outlineLevel="0" collapsed="false">
      <c r="A1841" s="9" t="s">
        <v>2090</v>
      </c>
      <c r="B1841" s="9" t="s">
        <v>2025</v>
      </c>
      <c r="C1841" s="9" t="s">
        <v>2026</v>
      </c>
      <c r="D1841" s="9" t="s">
        <v>1735</v>
      </c>
      <c r="E1841" s="9" t="s">
        <v>2027</v>
      </c>
      <c r="F1841" s="9" t="s">
        <v>197</v>
      </c>
      <c r="G1841" s="9" t="s">
        <v>221</v>
      </c>
      <c r="H1841" s="9" t="n">
        <v>2700</v>
      </c>
      <c r="I1841" s="29" t="n">
        <v>1.5</v>
      </c>
      <c r="J1841" s="9" t="n">
        <v>0</v>
      </c>
      <c r="K1841" s="30"/>
      <c r="L1841" s="30"/>
      <c r="M1841" s="30"/>
      <c r="N1841" s="30"/>
      <c r="O1841" s="30"/>
      <c r="P1841" s="30"/>
      <c r="Q1841" s="30"/>
      <c r="R1841" s="30"/>
      <c r="S1841" s="30"/>
      <c r="T1841" s="30"/>
      <c r="U1841" s="21" t="str">
        <f aca="false">IF(COUNT(K1841:T1841)=0,"SOURCE EMPTY / INDUSTRIAL ONLY",IF(MIN(K1841:T1841)=1,"SERVICE READY","HOLD"))</f>
        <v>SOURCE EMPTY / INDUSTRIAL ONLY</v>
      </c>
      <c r="V1841" s="9" t="n">
        <f aca="false">IF(U1841="SERVICE READY",1,0)</f>
        <v>0</v>
      </c>
      <c r="W1841" s="6"/>
      <c r="X1841" s="6"/>
      <c r="Y1841" s="6"/>
      <c r="Z1841" s="6"/>
    </row>
    <row r="1842" customFormat="false" ht="15" hidden="false" customHeight="false" outlineLevel="0" collapsed="false">
      <c r="A1842" s="9" t="s">
        <v>2091</v>
      </c>
      <c r="B1842" s="9" t="s">
        <v>2025</v>
      </c>
      <c r="C1842" s="9" t="s">
        <v>2026</v>
      </c>
      <c r="D1842" s="9" t="s">
        <v>1735</v>
      </c>
      <c r="E1842" s="9" t="s">
        <v>2027</v>
      </c>
      <c r="F1842" s="9" t="s">
        <v>200</v>
      </c>
      <c r="G1842" s="9" t="s">
        <v>221</v>
      </c>
      <c r="H1842" s="9" t="n">
        <v>2700</v>
      </c>
      <c r="I1842" s="29" t="n">
        <v>1.5</v>
      </c>
      <c r="J1842" s="9" t="n">
        <v>0</v>
      </c>
      <c r="K1842" s="30"/>
      <c r="L1842" s="30"/>
      <c r="M1842" s="30"/>
      <c r="N1842" s="30"/>
      <c r="O1842" s="30"/>
      <c r="P1842" s="30"/>
      <c r="Q1842" s="30"/>
      <c r="R1842" s="30"/>
      <c r="S1842" s="30"/>
      <c r="T1842" s="30"/>
      <c r="U1842" s="21" t="str">
        <f aca="false">IF(COUNT(K1842:T1842)=0,"SOURCE EMPTY / INDUSTRIAL ONLY",IF(MIN(K1842:T1842)=1,"SERVICE READY","HOLD"))</f>
        <v>SOURCE EMPTY / INDUSTRIAL ONLY</v>
      </c>
      <c r="V1842" s="9" t="n">
        <f aca="false">IF(U1842="SERVICE READY",1,0)</f>
        <v>0</v>
      </c>
      <c r="W1842" s="6"/>
      <c r="X1842" s="6"/>
      <c r="Y1842" s="6"/>
      <c r="Z1842" s="6"/>
    </row>
    <row r="1843" customFormat="false" ht="15" hidden="false" customHeight="false" outlineLevel="0" collapsed="false">
      <c r="A1843" s="9" t="s">
        <v>2092</v>
      </c>
      <c r="B1843" s="9" t="s">
        <v>2093</v>
      </c>
      <c r="C1843" s="9" t="s">
        <v>2094</v>
      </c>
      <c r="D1843" s="9" t="s">
        <v>1735</v>
      </c>
      <c r="E1843" s="9" t="s">
        <v>323</v>
      </c>
      <c r="F1843" s="9" t="s">
        <v>197</v>
      </c>
      <c r="G1843" s="9" t="s">
        <v>198</v>
      </c>
      <c r="H1843" s="9" t="n">
        <v>1950</v>
      </c>
      <c r="I1843" s="29" t="n">
        <v>9</v>
      </c>
      <c r="J1843" s="9" t="n">
        <v>1</v>
      </c>
      <c r="K1843" s="30"/>
      <c r="L1843" s="30"/>
      <c r="M1843" s="30"/>
      <c r="N1843" s="30"/>
      <c r="O1843" s="30"/>
      <c r="P1843" s="30"/>
      <c r="Q1843" s="30"/>
      <c r="R1843" s="30"/>
      <c r="S1843" s="30"/>
      <c r="T1843" s="30"/>
      <c r="U1843" s="21" t="str">
        <f aca="false">IF(COUNT(K1843:T1843)=0,"SOURCE EMPTY / INDUSTRIAL ONLY",IF(MIN(K1843:T1843)=1,"SERVICE READY","HOLD"))</f>
        <v>SOURCE EMPTY / INDUSTRIAL ONLY</v>
      </c>
      <c r="V1843" s="9" t="n">
        <f aca="false">IF(U1843="SERVICE READY",1,0)</f>
        <v>0</v>
      </c>
      <c r="W1843" s="6"/>
      <c r="X1843" s="6"/>
      <c r="Y1843" s="6"/>
      <c r="Z1843" s="6"/>
    </row>
    <row r="1844" customFormat="false" ht="15" hidden="false" customHeight="false" outlineLevel="0" collapsed="false">
      <c r="A1844" s="9" t="s">
        <v>2095</v>
      </c>
      <c r="B1844" s="9" t="s">
        <v>2093</v>
      </c>
      <c r="C1844" s="9" t="s">
        <v>2094</v>
      </c>
      <c r="D1844" s="9" t="s">
        <v>1735</v>
      </c>
      <c r="E1844" s="9" t="s">
        <v>323</v>
      </c>
      <c r="F1844" s="9" t="s">
        <v>200</v>
      </c>
      <c r="G1844" s="9" t="s">
        <v>201</v>
      </c>
      <c r="H1844" s="9" t="n">
        <v>1950</v>
      </c>
      <c r="I1844" s="29" t="n">
        <v>9</v>
      </c>
      <c r="J1844" s="9" t="n">
        <v>1</v>
      </c>
      <c r="K1844" s="30"/>
      <c r="L1844" s="30"/>
      <c r="M1844" s="30"/>
      <c r="N1844" s="30"/>
      <c r="O1844" s="30"/>
      <c r="P1844" s="30"/>
      <c r="Q1844" s="30"/>
      <c r="R1844" s="30"/>
      <c r="S1844" s="30"/>
      <c r="T1844" s="30"/>
      <c r="U1844" s="21" t="str">
        <f aca="false">IF(COUNT(K1844:T1844)=0,"SOURCE EMPTY / INDUSTRIAL ONLY",IF(MIN(K1844:T1844)=1,"SERVICE READY","HOLD"))</f>
        <v>SOURCE EMPTY / INDUSTRIAL ONLY</v>
      </c>
      <c r="V1844" s="9" t="n">
        <f aca="false">IF(U1844="SERVICE READY",1,0)</f>
        <v>0</v>
      </c>
      <c r="W1844" s="6"/>
      <c r="X1844" s="6"/>
      <c r="Y1844" s="6"/>
      <c r="Z1844" s="6"/>
    </row>
    <row r="1845" customFormat="false" ht="15" hidden="false" customHeight="false" outlineLevel="0" collapsed="false">
      <c r="A1845" s="9" t="s">
        <v>2096</v>
      </c>
      <c r="B1845" s="9" t="s">
        <v>2093</v>
      </c>
      <c r="C1845" s="9" t="s">
        <v>2094</v>
      </c>
      <c r="D1845" s="9" t="s">
        <v>1735</v>
      </c>
      <c r="E1845" s="9" t="s">
        <v>323</v>
      </c>
      <c r="F1845" s="9" t="s">
        <v>203</v>
      </c>
      <c r="G1845" s="9" t="s">
        <v>198</v>
      </c>
      <c r="H1845" s="9" t="n">
        <v>1950</v>
      </c>
      <c r="I1845" s="29" t="n">
        <v>9</v>
      </c>
      <c r="J1845" s="9" t="n">
        <v>1</v>
      </c>
      <c r="K1845" s="30"/>
      <c r="L1845" s="30"/>
      <c r="M1845" s="30"/>
      <c r="N1845" s="30"/>
      <c r="O1845" s="30"/>
      <c r="P1845" s="30"/>
      <c r="Q1845" s="30"/>
      <c r="R1845" s="30"/>
      <c r="S1845" s="30"/>
      <c r="T1845" s="30"/>
      <c r="U1845" s="21" t="str">
        <f aca="false">IF(COUNT(K1845:T1845)=0,"SOURCE EMPTY / INDUSTRIAL ONLY",IF(MIN(K1845:T1845)=1,"SERVICE READY","HOLD"))</f>
        <v>SOURCE EMPTY / INDUSTRIAL ONLY</v>
      </c>
      <c r="V1845" s="9" t="n">
        <f aca="false">IF(U1845="SERVICE READY",1,0)</f>
        <v>0</v>
      </c>
      <c r="W1845" s="6"/>
      <c r="X1845" s="6"/>
      <c r="Y1845" s="6"/>
      <c r="Z1845" s="6"/>
    </row>
    <row r="1846" customFormat="false" ht="15" hidden="false" customHeight="false" outlineLevel="0" collapsed="false">
      <c r="A1846" s="9" t="s">
        <v>2097</v>
      </c>
      <c r="B1846" s="9" t="s">
        <v>2093</v>
      </c>
      <c r="C1846" s="9" t="s">
        <v>2094</v>
      </c>
      <c r="D1846" s="9" t="s">
        <v>1735</v>
      </c>
      <c r="E1846" s="9" t="s">
        <v>323</v>
      </c>
      <c r="F1846" s="9" t="s">
        <v>205</v>
      </c>
      <c r="G1846" s="9" t="s">
        <v>201</v>
      </c>
      <c r="H1846" s="9" t="n">
        <v>1950</v>
      </c>
      <c r="I1846" s="29" t="n">
        <v>9</v>
      </c>
      <c r="J1846" s="9" t="n">
        <v>1</v>
      </c>
      <c r="K1846" s="30"/>
      <c r="L1846" s="30"/>
      <c r="M1846" s="30"/>
      <c r="N1846" s="30"/>
      <c r="O1846" s="30"/>
      <c r="P1846" s="30"/>
      <c r="Q1846" s="30"/>
      <c r="R1846" s="30"/>
      <c r="S1846" s="30"/>
      <c r="T1846" s="30"/>
      <c r="U1846" s="21" t="str">
        <f aca="false">IF(COUNT(K1846:T1846)=0,"SOURCE EMPTY / INDUSTRIAL ONLY",IF(MIN(K1846:T1846)=1,"SERVICE READY","HOLD"))</f>
        <v>SOURCE EMPTY / INDUSTRIAL ONLY</v>
      </c>
      <c r="V1846" s="9" t="n">
        <f aca="false">IF(U1846="SERVICE READY",1,0)</f>
        <v>0</v>
      </c>
      <c r="W1846" s="6"/>
      <c r="X1846" s="6"/>
      <c r="Y1846" s="6"/>
      <c r="Z1846" s="6"/>
    </row>
    <row r="1847" customFormat="false" ht="15" hidden="false" customHeight="false" outlineLevel="0" collapsed="false">
      <c r="A1847" s="9" t="s">
        <v>2098</v>
      </c>
      <c r="B1847" s="9" t="s">
        <v>2093</v>
      </c>
      <c r="C1847" s="9" t="s">
        <v>2094</v>
      </c>
      <c r="D1847" s="9" t="s">
        <v>1735</v>
      </c>
      <c r="E1847" s="9" t="s">
        <v>323</v>
      </c>
      <c r="F1847" s="9" t="s">
        <v>207</v>
      </c>
      <c r="G1847" s="9" t="s">
        <v>198</v>
      </c>
      <c r="H1847" s="9" t="n">
        <v>1950</v>
      </c>
      <c r="I1847" s="29" t="n">
        <v>9</v>
      </c>
      <c r="J1847" s="9" t="n">
        <v>1</v>
      </c>
      <c r="K1847" s="30"/>
      <c r="L1847" s="30"/>
      <c r="M1847" s="30"/>
      <c r="N1847" s="30"/>
      <c r="O1847" s="30"/>
      <c r="P1847" s="30"/>
      <c r="Q1847" s="30"/>
      <c r="R1847" s="30"/>
      <c r="S1847" s="30"/>
      <c r="T1847" s="30"/>
      <c r="U1847" s="21" t="str">
        <f aca="false">IF(COUNT(K1847:T1847)=0,"SOURCE EMPTY / INDUSTRIAL ONLY",IF(MIN(K1847:T1847)=1,"SERVICE READY","HOLD"))</f>
        <v>SOURCE EMPTY / INDUSTRIAL ONLY</v>
      </c>
      <c r="V1847" s="9" t="n">
        <f aca="false">IF(U1847="SERVICE READY",1,0)</f>
        <v>0</v>
      </c>
      <c r="W1847" s="6"/>
      <c r="X1847" s="6"/>
      <c r="Y1847" s="6"/>
      <c r="Z1847" s="6"/>
    </row>
    <row r="1848" customFormat="false" ht="15" hidden="false" customHeight="false" outlineLevel="0" collapsed="false">
      <c r="A1848" s="9" t="s">
        <v>2099</v>
      </c>
      <c r="B1848" s="9" t="s">
        <v>2093</v>
      </c>
      <c r="C1848" s="9" t="s">
        <v>2094</v>
      </c>
      <c r="D1848" s="9" t="s">
        <v>1735</v>
      </c>
      <c r="E1848" s="9" t="s">
        <v>323</v>
      </c>
      <c r="F1848" s="9" t="s">
        <v>209</v>
      </c>
      <c r="G1848" s="9" t="s">
        <v>201</v>
      </c>
      <c r="H1848" s="9" t="n">
        <v>1950</v>
      </c>
      <c r="I1848" s="29" t="n">
        <v>9</v>
      </c>
      <c r="J1848" s="9" t="n">
        <v>1</v>
      </c>
      <c r="K1848" s="30"/>
      <c r="L1848" s="30"/>
      <c r="M1848" s="30"/>
      <c r="N1848" s="30"/>
      <c r="O1848" s="30"/>
      <c r="P1848" s="30"/>
      <c r="Q1848" s="30"/>
      <c r="R1848" s="30"/>
      <c r="S1848" s="30"/>
      <c r="T1848" s="30"/>
      <c r="U1848" s="21" t="str">
        <f aca="false">IF(COUNT(K1848:T1848)=0,"SOURCE EMPTY / INDUSTRIAL ONLY",IF(MIN(K1848:T1848)=1,"SERVICE READY","HOLD"))</f>
        <v>SOURCE EMPTY / INDUSTRIAL ONLY</v>
      </c>
      <c r="V1848" s="9" t="n">
        <f aca="false">IF(U1848="SERVICE READY",1,0)</f>
        <v>0</v>
      </c>
      <c r="W1848" s="6"/>
      <c r="X1848" s="6"/>
      <c r="Y1848" s="6"/>
      <c r="Z1848" s="6"/>
    </row>
    <row r="1849" customFormat="false" ht="15" hidden="false" customHeight="false" outlineLevel="0" collapsed="false">
      <c r="A1849" s="9" t="s">
        <v>2100</v>
      </c>
      <c r="B1849" s="9" t="s">
        <v>2093</v>
      </c>
      <c r="C1849" s="9" t="s">
        <v>2094</v>
      </c>
      <c r="D1849" s="9" t="s">
        <v>1735</v>
      </c>
      <c r="E1849" s="9" t="s">
        <v>323</v>
      </c>
      <c r="F1849" s="9" t="s">
        <v>211</v>
      </c>
      <c r="G1849" s="9" t="s">
        <v>198</v>
      </c>
      <c r="H1849" s="9" t="n">
        <v>1950</v>
      </c>
      <c r="I1849" s="29" t="n">
        <v>9</v>
      </c>
      <c r="J1849" s="9" t="n">
        <v>1</v>
      </c>
      <c r="K1849" s="30"/>
      <c r="L1849" s="30"/>
      <c r="M1849" s="30"/>
      <c r="N1849" s="30"/>
      <c r="O1849" s="30"/>
      <c r="P1849" s="30"/>
      <c r="Q1849" s="30"/>
      <c r="R1849" s="30"/>
      <c r="S1849" s="30"/>
      <c r="T1849" s="30"/>
      <c r="U1849" s="21" t="str">
        <f aca="false">IF(COUNT(K1849:T1849)=0,"SOURCE EMPTY / INDUSTRIAL ONLY",IF(MIN(K1849:T1849)=1,"SERVICE READY","HOLD"))</f>
        <v>SOURCE EMPTY / INDUSTRIAL ONLY</v>
      </c>
      <c r="V1849" s="9" t="n">
        <f aca="false">IF(U1849="SERVICE READY",1,0)</f>
        <v>0</v>
      </c>
      <c r="W1849" s="6"/>
      <c r="X1849" s="6"/>
      <c r="Y1849" s="6"/>
      <c r="Z1849" s="6"/>
    </row>
    <row r="1850" customFormat="false" ht="15" hidden="false" customHeight="false" outlineLevel="0" collapsed="false">
      <c r="A1850" s="9" t="s">
        <v>2101</v>
      </c>
      <c r="B1850" s="9" t="s">
        <v>2093</v>
      </c>
      <c r="C1850" s="9" t="s">
        <v>2094</v>
      </c>
      <c r="D1850" s="9" t="s">
        <v>1735</v>
      </c>
      <c r="E1850" s="9" t="s">
        <v>323</v>
      </c>
      <c r="F1850" s="9" t="s">
        <v>197</v>
      </c>
      <c r="G1850" s="9" t="s">
        <v>201</v>
      </c>
      <c r="H1850" s="9" t="n">
        <v>1950</v>
      </c>
      <c r="I1850" s="29" t="n">
        <v>9</v>
      </c>
      <c r="J1850" s="9" t="n">
        <v>1</v>
      </c>
      <c r="K1850" s="30"/>
      <c r="L1850" s="30"/>
      <c r="M1850" s="30"/>
      <c r="N1850" s="30"/>
      <c r="O1850" s="30"/>
      <c r="P1850" s="30"/>
      <c r="Q1850" s="30"/>
      <c r="R1850" s="30"/>
      <c r="S1850" s="30"/>
      <c r="T1850" s="30"/>
      <c r="U1850" s="21" t="str">
        <f aca="false">IF(COUNT(K1850:T1850)=0,"SOURCE EMPTY / INDUSTRIAL ONLY",IF(MIN(K1850:T1850)=1,"SERVICE READY","HOLD"))</f>
        <v>SOURCE EMPTY / INDUSTRIAL ONLY</v>
      </c>
      <c r="V1850" s="9" t="n">
        <f aca="false">IF(U1850="SERVICE READY",1,0)</f>
        <v>0</v>
      </c>
      <c r="W1850" s="6"/>
      <c r="X1850" s="6"/>
      <c r="Y1850" s="6"/>
      <c r="Z1850" s="6"/>
    </row>
    <row r="1851" customFormat="false" ht="15" hidden="false" customHeight="false" outlineLevel="0" collapsed="false">
      <c r="A1851" s="9" t="s">
        <v>2102</v>
      </c>
      <c r="B1851" s="9" t="s">
        <v>2093</v>
      </c>
      <c r="C1851" s="9" t="s">
        <v>2094</v>
      </c>
      <c r="D1851" s="9" t="s">
        <v>1735</v>
      </c>
      <c r="E1851" s="9" t="s">
        <v>323</v>
      </c>
      <c r="F1851" s="9" t="s">
        <v>200</v>
      </c>
      <c r="G1851" s="9" t="s">
        <v>198</v>
      </c>
      <c r="H1851" s="9" t="n">
        <v>1950</v>
      </c>
      <c r="I1851" s="29" t="n">
        <v>9</v>
      </c>
      <c r="J1851" s="9" t="n">
        <v>1</v>
      </c>
      <c r="K1851" s="30"/>
      <c r="L1851" s="30"/>
      <c r="M1851" s="30"/>
      <c r="N1851" s="30"/>
      <c r="O1851" s="30"/>
      <c r="P1851" s="30"/>
      <c r="Q1851" s="30"/>
      <c r="R1851" s="30"/>
      <c r="S1851" s="30"/>
      <c r="T1851" s="30"/>
      <c r="U1851" s="21" t="str">
        <f aca="false">IF(COUNT(K1851:T1851)=0,"SOURCE EMPTY / INDUSTRIAL ONLY",IF(MIN(K1851:T1851)=1,"SERVICE READY","HOLD"))</f>
        <v>SOURCE EMPTY / INDUSTRIAL ONLY</v>
      </c>
      <c r="V1851" s="9" t="n">
        <f aca="false">IF(U1851="SERVICE READY",1,0)</f>
        <v>0</v>
      </c>
      <c r="W1851" s="6"/>
      <c r="X1851" s="6"/>
      <c r="Y1851" s="6"/>
      <c r="Z1851" s="6"/>
    </row>
    <row r="1852" customFormat="false" ht="15" hidden="false" customHeight="false" outlineLevel="0" collapsed="false">
      <c r="A1852" s="9" t="s">
        <v>2103</v>
      </c>
      <c r="B1852" s="9" t="s">
        <v>2093</v>
      </c>
      <c r="C1852" s="9" t="s">
        <v>2094</v>
      </c>
      <c r="D1852" s="9" t="s">
        <v>1735</v>
      </c>
      <c r="E1852" s="9" t="s">
        <v>323</v>
      </c>
      <c r="F1852" s="9" t="s">
        <v>203</v>
      </c>
      <c r="G1852" s="9" t="s">
        <v>201</v>
      </c>
      <c r="H1852" s="9" t="n">
        <v>1950</v>
      </c>
      <c r="I1852" s="29" t="n">
        <v>9</v>
      </c>
      <c r="J1852" s="9" t="n">
        <v>1</v>
      </c>
      <c r="K1852" s="30"/>
      <c r="L1852" s="30"/>
      <c r="M1852" s="30"/>
      <c r="N1852" s="30"/>
      <c r="O1852" s="30"/>
      <c r="P1852" s="30"/>
      <c r="Q1852" s="30"/>
      <c r="R1852" s="30"/>
      <c r="S1852" s="30"/>
      <c r="T1852" s="30"/>
      <c r="U1852" s="21" t="str">
        <f aca="false">IF(COUNT(K1852:T1852)=0,"SOURCE EMPTY / INDUSTRIAL ONLY",IF(MIN(K1852:T1852)=1,"SERVICE READY","HOLD"))</f>
        <v>SOURCE EMPTY / INDUSTRIAL ONLY</v>
      </c>
      <c r="V1852" s="9" t="n">
        <f aca="false">IF(U1852="SERVICE READY",1,0)</f>
        <v>0</v>
      </c>
      <c r="W1852" s="6"/>
      <c r="X1852" s="6"/>
      <c r="Y1852" s="6"/>
      <c r="Z1852" s="6"/>
    </row>
    <row r="1853" customFormat="false" ht="15" hidden="false" customHeight="false" outlineLevel="0" collapsed="false">
      <c r="A1853" s="9" t="s">
        <v>2104</v>
      </c>
      <c r="B1853" s="9" t="s">
        <v>2093</v>
      </c>
      <c r="C1853" s="9" t="s">
        <v>2094</v>
      </c>
      <c r="D1853" s="9" t="s">
        <v>1735</v>
      </c>
      <c r="E1853" s="9" t="s">
        <v>323</v>
      </c>
      <c r="F1853" s="9" t="s">
        <v>205</v>
      </c>
      <c r="G1853" s="9" t="s">
        <v>198</v>
      </c>
      <c r="H1853" s="9" t="n">
        <v>1950</v>
      </c>
      <c r="I1853" s="29" t="n">
        <v>9</v>
      </c>
      <c r="J1853" s="9" t="n">
        <v>1</v>
      </c>
      <c r="K1853" s="30"/>
      <c r="L1853" s="30"/>
      <c r="M1853" s="30"/>
      <c r="N1853" s="30"/>
      <c r="O1853" s="30"/>
      <c r="P1853" s="30"/>
      <c r="Q1853" s="30"/>
      <c r="R1853" s="30"/>
      <c r="S1853" s="30"/>
      <c r="T1853" s="30"/>
      <c r="U1853" s="21" t="str">
        <f aca="false">IF(COUNT(K1853:T1853)=0,"SOURCE EMPTY / INDUSTRIAL ONLY",IF(MIN(K1853:T1853)=1,"SERVICE READY","HOLD"))</f>
        <v>SOURCE EMPTY / INDUSTRIAL ONLY</v>
      </c>
      <c r="V1853" s="9" t="n">
        <f aca="false">IF(U1853="SERVICE READY",1,0)</f>
        <v>0</v>
      </c>
      <c r="W1853" s="6"/>
      <c r="X1853" s="6"/>
      <c r="Y1853" s="6"/>
      <c r="Z1853" s="6"/>
    </row>
    <row r="1854" customFormat="false" ht="15" hidden="false" customHeight="false" outlineLevel="0" collapsed="false">
      <c r="A1854" s="9" t="s">
        <v>2105</v>
      </c>
      <c r="B1854" s="9" t="s">
        <v>2093</v>
      </c>
      <c r="C1854" s="9" t="s">
        <v>2094</v>
      </c>
      <c r="D1854" s="9" t="s">
        <v>1735</v>
      </c>
      <c r="E1854" s="9" t="s">
        <v>323</v>
      </c>
      <c r="F1854" s="9" t="s">
        <v>207</v>
      </c>
      <c r="G1854" s="9" t="s">
        <v>201</v>
      </c>
      <c r="H1854" s="9" t="n">
        <v>1950</v>
      </c>
      <c r="I1854" s="29" t="n">
        <v>9</v>
      </c>
      <c r="J1854" s="9" t="n">
        <v>1</v>
      </c>
      <c r="K1854" s="30"/>
      <c r="L1854" s="30"/>
      <c r="M1854" s="30"/>
      <c r="N1854" s="30"/>
      <c r="O1854" s="30"/>
      <c r="P1854" s="30"/>
      <c r="Q1854" s="30"/>
      <c r="R1854" s="30"/>
      <c r="S1854" s="30"/>
      <c r="T1854" s="30"/>
      <c r="U1854" s="21" t="str">
        <f aca="false">IF(COUNT(K1854:T1854)=0,"SOURCE EMPTY / INDUSTRIAL ONLY",IF(MIN(K1854:T1854)=1,"SERVICE READY","HOLD"))</f>
        <v>SOURCE EMPTY / INDUSTRIAL ONLY</v>
      </c>
      <c r="V1854" s="9" t="n">
        <f aca="false">IF(U1854="SERVICE READY",1,0)</f>
        <v>0</v>
      </c>
      <c r="W1854" s="6"/>
      <c r="X1854" s="6"/>
      <c r="Y1854" s="6"/>
      <c r="Z1854" s="6"/>
    </row>
    <row r="1855" customFormat="false" ht="15" hidden="false" customHeight="false" outlineLevel="0" collapsed="false">
      <c r="A1855" s="9" t="s">
        <v>2106</v>
      </c>
      <c r="B1855" s="9" t="s">
        <v>2093</v>
      </c>
      <c r="C1855" s="9" t="s">
        <v>2094</v>
      </c>
      <c r="D1855" s="9" t="s">
        <v>1735</v>
      </c>
      <c r="E1855" s="9" t="s">
        <v>323</v>
      </c>
      <c r="F1855" s="9" t="s">
        <v>209</v>
      </c>
      <c r="G1855" s="9" t="s">
        <v>198</v>
      </c>
      <c r="H1855" s="9" t="n">
        <v>1950</v>
      </c>
      <c r="I1855" s="29" t="n">
        <v>9</v>
      </c>
      <c r="J1855" s="9" t="n">
        <v>1</v>
      </c>
      <c r="K1855" s="30"/>
      <c r="L1855" s="30"/>
      <c r="M1855" s="30"/>
      <c r="N1855" s="30"/>
      <c r="O1855" s="30"/>
      <c r="P1855" s="30"/>
      <c r="Q1855" s="30"/>
      <c r="R1855" s="30"/>
      <c r="S1855" s="30"/>
      <c r="T1855" s="30"/>
      <c r="U1855" s="21" t="str">
        <f aca="false">IF(COUNT(K1855:T1855)=0,"SOURCE EMPTY / INDUSTRIAL ONLY",IF(MIN(K1855:T1855)=1,"SERVICE READY","HOLD"))</f>
        <v>SOURCE EMPTY / INDUSTRIAL ONLY</v>
      </c>
      <c r="V1855" s="9" t="n">
        <f aca="false">IF(U1855="SERVICE READY",1,0)</f>
        <v>0</v>
      </c>
      <c r="W1855" s="6"/>
      <c r="X1855" s="6"/>
      <c r="Y1855" s="6"/>
      <c r="Z1855" s="6"/>
    </row>
    <row r="1856" customFormat="false" ht="15" hidden="false" customHeight="false" outlineLevel="0" collapsed="false">
      <c r="A1856" s="9" t="s">
        <v>2107</v>
      </c>
      <c r="B1856" s="9" t="s">
        <v>2093</v>
      </c>
      <c r="C1856" s="9" t="s">
        <v>2094</v>
      </c>
      <c r="D1856" s="9" t="s">
        <v>1735</v>
      </c>
      <c r="E1856" s="9" t="s">
        <v>323</v>
      </c>
      <c r="F1856" s="9" t="s">
        <v>211</v>
      </c>
      <c r="G1856" s="9" t="s">
        <v>201</v>
      </c>
      <c r="H1856" s="9" t="n">
        <v>1950</v>
      </c>
      <c r="I1856" s="29" t="n">
        <v>9</v>
      </c>
      <c r="J1856" s="9" t="n">
        <v>1</v>
      </c>
      <c r="K1856" s="30"/>
      <c r="L1856" s="30"/>
      <c r="M1856" s="30"/>
      <c r="N1856" s="30"/>
      <c r="O1856" s="30"/>
      <c r="P1856" s="30"/>
      <c r="Q1856" s="30"/>
      <c r="R1856" s="30"/>
      <c r="S1856" s="30"/>
      <c r="T1856" s="30"/>
      <c r="U1856" s="21" t="str">
        <f aca="false">IF(COUNT(K1856:T1856)=0,"SOURCE EMPTY / INDUSTRIAL ONLY",IF(MIN(K1856:T1856)=1,"SERVICE READY","HOLD"))</f>
        <v>SOURCE EMPTY / INDUSTRIAL ONLY</v>
      </c>
      <c r="V1856" s="9" t="n">
        <f aca="false">IF(U1856="SERVICE READY",1,0)</f>
        <v>0</v>
      </c>
      <c r="W1856" s="6"/>
      <c r="X1856" s="6"/>
      <c r="Y1856" s="6"/>
      <c r="Z1856" s="6"/>
    </row>
    <row r="1857" customFormat="false" ht="15" hidden="false" customHeight="false" outlineLevel="0" collapsed="false">
      <c r="A1857" s="9" t="s">
        <v>2108</v>
      </c>
      <c r="B1857" s="9" t="s">
        <v>2093</v>
      </c>
      <c r="C1857" s="9" t="s">
        <v>2094</v>
      </c>
      <c r="D1857" s="9" t="s">
        <v>1735</v>
      </c>
      <c r="E1857" s="9" t="s">
        <v>323</v>
      </c>
      <c r="F1857" s="9" t="s">
        <v>197</v>
      </c>
      <c r="G1857" s="9" t="s">
        <v>198</v>
      </c>
      <c r="H1857" s="9" t="n">
        <v>1950</v>
      </c>
      <c r="I1857" s="29" t="n">
        <v>9</v>
      </c>
      <c r="J1857" s="9" t="n">
        <v>1</v>
      </c>
      <c r="K1857" s="30"/>
      <c r="L1857" s="30"/>
      <c r="M1857" s="30"/>
      <c r="N1857" s="30"/>
      <c r="O1857" s="30"/>
      <c r="P1857" s="30"/>
      <c r="Q1857" s="30"/>
      <c r="R1857" s="30"/>
      <c r="S1857" s="30"/>
      <c r="T1857" s="30"/>
      <c r="U1857" s="21" t="str">
        <f aca="false">IF(COUNT(K1857:T1857)=0,"SOURCE EMPTY / INDUSTRIAL ONLY",IF(MIN(K1857:T1857)=1,"SERVICE READY","HOLD"))</f>
        <v>SOURCE EMPTY / INDUSTRIAL ONLY</v>
      </c>
      <c r="V1857" s="9" t="n">
        <f aca="false">IF(U1857="SERVICE READY",1,0)</f>
        <v>0</v>
      </c>
      <c r="W1857" s="6"/>
      <c r="X1857" s="6"/>
      <c r="Y1857" s="6"/>
      <c r="Z1857" s="6"/>
    </row>
    <row r="1858" customFormat="false" ht="15" hidden="false" customHeight="false" outlineLevel="0" collapsed="false">
      <c r="A1858" s="9" t="s">
        <v>2109</v>
      </c>
      <c r="B1858" s="9" t="s">
        <v>2093</v>
      </c>
      <c r="C1858" s="9" t="s">
        <v>2094</v>
      </c>
      <c r="D1858" s="9" t="s">
        <v>1735</v>
      </c>
      <c r="E1858" s="9" t="s">
        <v>323</v>
      </c>
      <c r="F1858" s="9" t="s">
        <v>200</v>
      </c>
      <c r="G1858" s="9" t="s">
        <v>201</v>
      </c>
      <c r="H1858" s="9" t="n">
        <v>1950</v>
      </c>
      <c r="I1858" s="29" t="n">
        <v>9</v>
      </c>
      <c r="J1858" s="9" t="n">
        <v>1</v>
      </c>
      <c r="K1858" s="30"/>
      <c r="L1858" s="30"/>
      <c r="M1858" s="30"/>
      <c r="N1858" s="30"/>
      <c r="O1858" s="30"/>
      <c r="P1858" s="30"/>
      <c r="Q1858" s="30"/>
      <c r="R1858" s="30"/>
      <c r="S1858" s="30"/>
      <c r="T1858" s="30"/>
      <c r="U1858" s="21" t="str">
        <f aca="false">IF(COUNT(K1858:T1858)=0,"SOURCE EMPTY / INDUSTRIAL ONLY",IF(MIN(K1858:T1858)=1,"SERVICE READY","HOLD"))</f>
        <v>SOURCE EMPTY / INDUSTRIAL ONLY</v>
      </c>
      <c r="V1858" s="9" t="n">
        <f aca="false">IF(U1858="SERVICE READY",1,0)</f>
        <v>0</v>
      </c>
      <c r="W1858" s="6"/>
      <c r="X1858" s="6"/>
      <c r="Y1858" s="6"/>
      <c r="Z1858" s="6"/>
    </row>
    <row r="1859" customFormat="false" ht="15" hidden="false" customHeight="false" outlineLevel="0" collapsed="false">
      <c r="A1859" s="9" t="s">
        <v>2110</v>
      </c>
      <c r="B1859" s="9" t="s">
        <v>2093</v>
      </c>
      <c r="C1859" s="9" t="s">
        <v>2094</v>
      </c>
      <c r="D1859" s="9" t="s">
        <v>1735</v>
      </c>
      <c r="E1859" s="9" t="s">
        <v>323</v>
      </c>
      <c r="F1859" s="9" t="s">
        <v>203</v>
      </c>
      <c r="G1859" s="9" t="s">
        <v>198</v>
      </c>
      <c r="H1859" s="9" t="n">
        <v>1950</v>
      </c>
      <c r="I1859" s="29" t="n">
        <v>9</v>
      </c>
      <c r="J1859" s="9" t="n">
        <v>1</v>
      </c>
      <c r="K1859" s="30"/>
      <c r="L1859" s="30"/>
      <c r="M1859" s="30"/>
      <c r="N1859" s="30"/>
      <c r="O1859" s="30"/>
      <c r="P1859" s="30"/>
      <c r="Q1859" s="30"/>
      <c r="R1859" s="30"/>
      <c r="S1859" s="30"/>
      <c r="T1859" s="30"/>
      <c r="U1859" s="21" t="str">
        <f aca="false">IF(COUNT(K1859:T1859)=0,"SOURCE EMPTY / INDUSTRIAL ONLY",IF(MIN(K1859:T1859)=1,"SERVICE READY","HOLD"))</f>
        <v>SOURCE EMPTY / INDUSTRIAL ONLY</v>
      </c>
      <c r="V1859" s="9" t="n">
        <f aca="false">IF(U1859="SERVICE READY",1,0)</f>
        <v>0</v>
      </c>
      <c r="W1859" s="6"/>
      <c r="X1859" s="6"/>
      <c r="Y1859" s="6"/>
      <c r="Z1859" s="6"/>
    </row>
    <row r="1860" customFormat="false" ht="15" hidden="false" customHeight="false" outlineLevel="0" collapsed="false">
      <c r="A1860" s="9" t="s">
        <v>2111</v>
      </c>
      <c r="B1860" s="9" t="s">
        <v>2093</v>
      </c>
      <c r="C1860" s="9" t="s">
        <v>2094</v>
      </c>
      <c r="D1860" s="9" t="s">
        <v>1735</v>
      </c>
      <c r="E1860" s="9" t="s">
        <v>323</v>
      </c>
      <c r="F1860" s="9" t="s">
        <v>205</v>
      </c>
      <c r="G1860" s="9" t="s">
        <v>201</v>
      </c>
      <c r="H1860" s="9" t="n">
        <v>1950</v>
      </c>
      <c r="I1860" s="29" t="n">
        <v>9</v>
      </c>
      <c r="J1860" s="9" t="n">
        <v>1</v>
      </c>
      <c r="K1860" s="30"/>
      <c r="L1860" s="30"/>
      <c r="M1860" s="30"/>
      <c r="N1860" s="30"/>
      <c r="O1860" s="30"/>
      <c r="P1860" s="30"/>
      <c r="Q1860" s="30"/>
      <c r="R1860" s="30"/>
      <c r="S1860" s="30"/>
      <c r="T1860" s="30"/>
      <c r="U1860" s="21" t="str">
        <f aca="false">IF(COUNT(K1860:T1860)=0,"SOURCE EMPTY / INDUSTRIAL ONLY",IF(MIN(K1860:T1860)=1,"SERVICE READY","HOLD"))</f>
        <v>SOURCE EMPTY / INDUSTRIAL ONLY</v>
      </c>
      <c r="V1860" s="9" t="n">
        <f aca="false">IF(U1860="SERVICE READY",1,0)</f>
        <v>0</v>
      </c>
      <c r="W1860" s="6"/>
      <c r="X1860" s="6"/>
      <c r="Y1860" s="6"/>
      <c r="Z1860" s="6"/>
    </row>
    <row r="1861" customFormat="false" ht="15" hidden="false" customHeight="false" outlineLevel="0" collapsed="false">
      <c r="A1861" s="9" t="s">
        <v>2112</v>
      </c>
      <c r="B1861" s="9" t="s">
        <v>2093</v>
      </c>
      <c r="C1861" s="9" t="s">
        <v>2094</v>
      </c>
      <c r="D1861" s="9" t="s">
        <v>1735</v>
      </c>
      <c r="E1861" s="9" t="s">
        <v>323</v>
      </c>
      <c r="F1861" s="9" t="s">
        <v>207</v>
      </c>
      <c r="G1861" s="9" t="s">
        <v>198</v>
      </c>
      <c r="H1861" s="9" t="n">
        <v>1950</v>
      </c>
      <c r="I1861" s="29" t="n">
        <v>9</v>
      </c>
      <c r="J1861" s="9" t="n">
        <v>1</v>
      </c>
      <c r="K1861" s="30"/>
      <c r="L1861" s="30"/>
      <c r="M1861" s="30"/>
      <c r="N1861" s="30"/>
      <c r="O1861" s="30"/>
      <c r="P1861" s="30"/>
      <c r="Q1861" s="30"/>
      <c r="R1861" s="30"/>
      <c r="S1861" s="30"/>
      <c r="T1861" s="30"/>
      <c r="U1861" s="21" t="str">
        <f aca="false">IF(COUNT(K1861:T1861)=0,"SOURCE EMPTY / INDUSTRIAL ONLY",IF(MIN(K1861:T1861)=1,"SERVICE READY","HOLD"))</f>
        <v>SOURCE EMPTY / INDUSTRIAL ONLY</v>
      </c>
      <c r="V1861" s="9" t="n">
        <f aca="false">IF(U1861="SERVICE READY",1,0)</f>
        <v>0</v>
      </c>
      <c r="W1861" s="6"/>
      <c r="X1861" s="6"/>
      <c r="Y1861" s="6"/>
      <c r="Z1861" s="6"/>
    </row>
    <row r="1862" customFormat="false" ht="15" hidden="false" customHeight="false" outlineLevel="0" collapsed="false">
      <c r="A1862" s="9" t="s">
        <v>2113</v>
      </c>
      <c r="B1862" s="9" t="s">
        <v>2093</v>
      </c>
      <c r="C1862" s="9" t="s">
        <v>2094</v>
      </c>
      <c r="D1862" s="9" t="s">
        <v>1735</v>
      </c>
      <c r="E1862" s="9" t="s">
        <v>323</v>
      </c>
      <c r="F1862" s="9" t="s">
        <v>209</v>
      </c>
      <c r="G1862" s="9" t="s">
        <v>201</v>
      </c>
      <c r="H1862" s="9" t="n">
        <v>1950</v>
      </c>
      <c r="I1862" s="29" t="n">
        <v>9</v>
      </c>
      <c r="J1862" s="9" t="n">
        <v>1</v>
      </c>
      <c r="K1862" s="30"/>
      <c r="L1862" s="30"/>
      <c r="M1862" s="30"/>
      <c r="N1862" s="30"/>
      <c r="O1862" s="30"/>
      <c r="P1862" s="30"/>
      <c r="Q1862" s="30"/>
      <c r="R1862" s="30"/>
      <c r="S1862" s="30"/>
      <c r="T1862" s="30"/>
      <c r="U1862" s="21" t="str">
        <f aca="false">IF(COUNT(K1862:T1862)=0,"SOURCE EMPTY / INDUSTRIAL ONLY",IF(MIN(K1862:T1862)=1,"SERVICE READY","HOLD"))</f>
        <v>SOURCE EMPTY / INDUSTRIAL ONLY</v>
      </c>
      <c r="V1862" s="9" t="n">
        <f aca="false">IF(U1862="SERVICE READY",1,0)</f>
        <v>0</v>
      </c>
      <c r="W1862" s="6"/>
      <c r="X1862" s="6"/>
      <c r="Y1862" s="6"/>
      <c r="Z1862" s="6"/>
    </row>
    <row r="1863" customFormat="false" ht="15" hidden="false" customHeight="false" outlineLevel="0" collapsed="false">
      <c r="A1863" s="9" t="s">
        <v>2114</v>
      </c>
      <c r="B1863" s="9" t="s">
        <v>2093</v>
      </c>
      <c r="C1863" s="9" t="s">
        <v>2094</v>
      </c>
      <c r="D1863" s="9" t="s">
        <v>1735</v>
      </c>
      <c r="E1863" s="9" t="s">
        <v>323</v>
      </c>
      <c r="F1863" s="9" t="s">
        <v>211</v>
      </c>
      <c r="G1863" s="9" t="s">
        <v>198</v>
      </c>
      <c r="H1863" s="9" t="n">
        <v>1950</v>
      </c>
      <c r="I1863" s="29" t="n">
        <v>9</v>
      </c>
      <c r="J1863" s="9" t="n">
        <v>1</v>
      </c>
      <c r="K1863" s="30"/>
      <c r="L1863" s="30"/>
      <c r="M1863" s="30"/>
      <c r="N1863" s="30"/>
      <c r="O1863" s="30"/>
      <c r="P1863" s="30"/>
      <c r="Q1863" s="30"/>
      <c r="R1863" s="30"/>
      <c r="S1863" s="30"/>
      <c r="T1863" s="30"/>
      <c r="U1863" s="21" t="str">
        <f aca="false">IF(COUNT(K1863:T1863)=0,"SOURCE EMPTY / INDUSTRIAL ONLY",IF(MIN(K1863:T1863)=1,"SERVICE READY","HOLD"))</f>
        <v>SOURCE EMPTY / INDUSTRIAL ONLY</v>
      </c>
      <c r="V1863" s="9" t="n">
        <f aca="false">IF(U1863="SERVICE READY",1,0)</f>
        <v>0</v>
      </c>
      <c r="W1863" s="6"/>
      <c r="X1863" s="6"/>
      <c r="Y1863" s="6"/>
      <c r="Z1863" s="6"/>
    </row>
    <row r="1864" customFormat="false" ht="15" hidden="false" customHeight="false" outlineLevel="0" collapsed="false">
      <c r="A1864" s="9" t="s">
        <v>2115</v>
      </c>
      <c r="B1864" s="9" t="s">
        <v>2093</v>
      </c>
      <c r="C1864" s="9" t="s">
        <v>2094</v>
      </c>
      <c r="D1864" s="9" t="s">
        <v>1735</v>
      </c>
      <c r="E1864" s="9" t="s">
        <v>323</v>
      </c>
      <c r="F1864" s="9" t="s">
        <v>197</v>
      </c>
      <c r="G1864" s="9" t="s">
        <v>201</v>
      </c>
      <c r="H1864" s="9" t="n">
        <v>1950</v>
      </c>
      <c r="I1864" s="29" t="n">
        <v>9</v>
      </c>
      <c r="J1864" s="9" t="n">
        <v>1</v>
      </c>
      <c r="K1864" s="30"/>
      <c r="L1864" s="30"/>
      <c r="M1864" s="30"/>
      <c r="N1864" s="30"/>
      <c r="O1864" s="30"/>
      <c r="P1864" s="30"/>
      <c r="Q1864" s="30"/>
      <c r="R1864" s="30"/>
      <c r="S1864" s="30"/>
      <c r="T1864" s="30"/>
      <c r="U1864" s="21" t="str">
        <f aca="false">IF(COUNT(K1864:T1864)=0,"SOURCE EMPTY / INDUSTRIAL ONLY",IF(MIN(K1864:T1864)=1,"SERVICE READY","HOLD"))</f>
        <v>SOURCE EMPTY / INDUSTRIAL ONLY</v>
      </c>
      <c r="V1864" s="9" t="n">
        <f aca="false">IF(U1864="SERVICE READY",1,0)</f>
        <v>0</v>
      </c>
      <c r="W1864" s="6"/>
      <c r="X1864" s="6"/>
      <c r="Y1864" s="6"/>
      <c r="Z1864" s="6"/>
    </row>
    <row r="1865" customFormat="false" ht="15" hidden="false" customHeight="false" outlineLevel="0" collapsed="false">
      <c r="A1865" s="9" t="s">
        <v>2116</v>
      </c>
      <c r="B1865" s="9" t="s">
        <v>2093</v>
      </c>
      <c r="C1865" s="9" t="s">
        <v>2094</v>
      </c>
      <c r="D1865" s="9" t="s">
        <v>1735</v>
      </c>
      <c r="E1865" s="9" t="s">
        <v>323</v>
      </c>
      <c r="F1865" s="9" t="s">
        <v>200</v>
      </c>
      <c r="G1865" s="9" t="s">
        <v>198</v>
      </c>
      <c r="H1865" s="9" t="n">
        <v>1950</v>
      </c>
      <c r="I1865" s="29" t="n">
        <v>9</v>
      </c>
      <c r="J1865" s="9" t="n">
        <v>1</v>
      </c>
      <c r="K1865" s="30"/>
      <c r="L1865" s="30"/>
      <c r="M1865" s="30"/>
      <c r="N1865" s="30"/>
      <c r="O1865" s="30"/>
      <c r="P1865" s="30"/>
      <c r="Q1865" s="30"/>
      <c r="R1865" s="30"/>
      <c r="S1865" s="30"/>
      <c r="T1865" s="30"/>
      <c r="U1865" s="21" t="str">
        <f aca="false">IF(COUNT(K1865:T1865)=0,"SOURCE EMPTY / INDUSTRIAL ONLY",IF(MIN(K1865:T1865)=1,"SERVICE READY","HOLD"))</f>
        <v>SOURCE EMPTY / INDUSTRIAL ONLY</v>
      </c>
      <c r="V1865" s="9" t="n">
        <f aca="false">IF(U1865="SERVICE READY",1,0)</f>
        <v>0</v>
      </c>
      <c r="W1865" s="6"/>
      <c r="X1865" s="6"/>
      <c r="Y1865" s="6"/>
      <c r="Z1865" s="6"/>
    </row>
    <row r="1866" customFormat="false" ht="15" hidden="false" customHeight="false" outlineLevel="0" collapsed="false">
      <c r="A1866" s="9" t="s">
        <v>2117</v>
      </c>
      <c r="B1866" s="9" t="s">
        <v>2093</v>
      </c>
      <c r="C1866" s="9" t="s">
        <v>2094</v>
      </c>
      <c r="D1866" s="9" t="s">
        <v>1735</v>
      </c>
      <c r="E1866" s="9" t="s">
        <v>323</v>
      </c>
      <c r="F1866" s="9" t="s">
        <v>203</v>
      </c>
      <c r="G1866" s="9" t="s">
        <v>201</v>
      </c>
      <c r="H1866" s="9" t="n">
        <v>1950</v>
      </c>
      <c r="I1866" s="29" t="n">
        <v>9</v>
      </c>
      <c r="J1866" s="9" t="n">
        <v>1</v>
      </c>
      <c r="K1866" s="30"/>
      <c r="L1866" s="30"/>
      <c r="M1866" s="30"/>
      <c r="N1866" s="30"/>
      <c r="O1866" s="30"/>
      <c r="P1866" s="30"/>
      <c r="Q1866" s="30"/>
      <c r="R1866" s="30"/>
      <c r="S1866" s="30"/>
      <c r="T1866" s="30"/>
      <c r="U1866" s="21" t="str">
        <f aca="false">IF(COUNT(K1866:T1866)=0,"SOURCE EMPTY / INDUSTRIAL ONLY",IF(MIN(K1866:T1866)=1,"SERVICE READY","HOLD"))</f>
        <v>SOURCE EMPTY / INDUSTRIAL ONLY</v>
      </c>
      <c r="V1866" s="9" t="n">
        <f aca="false">IF(U1866="SERVICE READY",1,0)</f>
        <v>0</v>
      </c>
      <c r="W1866" s="6"/>
      <c r="X1866" s="6"/>
      <c r="Y1866" s="6"/>
      <c r="Z1866" s="6"/>
    </row>
    <row r="1867" customFormat="false" ht="15" hidden="false" customHeight="false" outlineLevel="0" collapsed="false">
      <c r="A1867" s="9" t="s">
        <v>2118</v>
      </c>
      <c r="B1867" s="9" t="s">
        <v>2093</v>
      </c>
      <c r="C1867" s="9" t="s">
        <v>2094</v>
      </c>
      <c r="D1867" s="9" t="s">
        <v>1735</v>
      </c>
      <c r="E1867" s="9" t="s">
        <v>323</v>
      </c>
      <c r="F1867" s="9" t="s">
        <v>205</v>
      </c>
      <c r="G1867" s="9" t="s">
        <v>198</v>
      </c>
      <c r="H1867" s="9" t="n">
        <v>1950</v>
      </c>
      <c r="I1867" s="29" t="n">
        <v>9</v>
      </c>
      <c r="J1867" s="9" t="n">
        <v>1</v>
      </c>
      <c r="K1867" s="30"/>
      <c r="L1867" s="30"/>
      <c r="M1867" s="30"/>
      <c r="N1867" s="30"/>
      <c r="O1867" s="30"/>
      <c r="P1867" s="30"/>
      <c r="Q1867" s="30"/>
      <c r="R1867" s="30"/>
      <c r="S1867" s="30"/>
      <c r="T1867" s="30"/>
      <c r="U1867" s="21" t="str">
        <f aca="false">IF(COUNT(K1867:T1867)=0,"SOURCE EMPTY / INDUSTRIAL ONLY",IF(MIN(K1867:T1867)=1,"SERVICE READY","HOLD"))</f>
        <v>SOURCE EMPTY / INDUSTRIAL ONLY</v>
      </c>
      <c r="V1867" s="9" t="n">
        <f aca="false">IF(U1867="SERVICE READY",1,0)</f>
        <v>0</v>
      </c>
      <c r="W1867" s="6"/>
      <c r="X1867" s="6"/>
      <c r="Y1867" s="6"/>
      <c r="Z1867" s="6"/>
    </row>
    <row r="1868" customFormat="false" ht="15" hidden="false" customHeight="false" outlineLevel="0" collapsed="false">
      <c r="A1868" s="9" t="s">
        <v>2119</v>
      </c>
      <c r="B1868" s="9" t="s">
        <v>2093</v>
      </c>
      <c r="C1868" s="9" t="s">
        <v>2094</v>
      </c>
      <c r="D1868" s="9" t="s">
        <v>1735</v>
      </c>
      <c r="E1868" s="9" t="s">
        <v>323</v>
      </c>
      <c r="F1868" s="9" t="s">
        <v>207</v>
      </c>
      <c r="G1868" s="9" t="s">
        <v>201</v>
      </c>
      <c r="H1868" s="9" t="n">
        <v>1950</v>
      </c>
      <c r="I1868" s="29" t="n">
        <v>9</v>
      </c>
      <c r="J1868" s="9" t="n">
        <v>1</v>
      </c>
      <c r="K1868" s="30"/>
      <c r="L1868" s="30"/>
      <c r="M1868" s="30"/>
      <c r="N1868" s="30"/>
      <c r="O1868" s="30"/>
      <c r="P1868" s="30"/>
      <c r="Q1868" s="30"/>
      <c r="R1868" s="30"/>
      <c r="S1868" s="30"/>
      <c r="T1868" s="30"/>
      <c r="U1868" s="21" t="str">
        <f aca="false">IF(COUNT(K1868:T1868)=0,"SOURCE EMPTY / INDUSTRIAL ONLY",IF(MIN(K1868:T1868)=1,"SERVICE READY","HOLD"))</f>
        <v>SOURCE EMPTY / INDUSTRIAL ONLY</v>
      </c>
      <c r="V1868" s="9" t="n">
        <f aca="false">IF(U1868="SERVICE READY",1,0)</f>
        <v>0</v>
      </c>
      <c r="W1868" s="6"/>
      <c r="X1868" s="6"/>
      <c r="Y1868" s="6"/>
      <c r="Z1868" s="6"/>
    </row>
    <row r="1869" customFormat="false" ht="15" hidden="false" customHeight="false" outlineLevel="0" collapsed="false">
      <c r="A1869" s="9" t="s">
        <v>2120</v>
      </c>
      <c r="B1869" s="9" t="s">
        <v>2093</v>
      </c>
      <c r="C1869" s="9" t="s">
        <v>2094</v>
      </c>
      <c r="D1869" s="9" t="s">
        <v>1735</v>
      </c>
      <c r="E1869" s="9" t="s">
        <v>323</v>
      </c>
      <c r="F1869" s="9" t="s">
        <v>209</v>
      </c>
      <c r="G1869" s="9" t="s">
        <v>198</v>
      </c>
      <c r="H1869" s="9" t="n">
        <v>1950</v>
      </c>
      <c r="I1869" s="29" t="n">
        <v>9</v>
      </c>
      <c r="J1869" s="9" t="n">
        <v>1</v>
      </c>
      <c r="K1869" s="30"/>
      <c r="L1869" s="30"/>
      <c r="M1869" s="30"/>
      <c r="N1869" s="30"/>
      <c r="O1869" s="30"/>
      <c r="P1869" s="30"/>
      <c r="Q1869" s="30"/>
      <c r="R1869" s="30"/>
      <c r="S1869" s="30"/>
      <c r="T1869" s="30"/>
      <c r="U1869" s="21" t="str">
        <f aca="false">IF(COUNT(K1869:T1869)=0,"SOURCE EMPTY / INDUSTRIAL ONLY",IF(MIN(K1869:T1869)=1,"SERVICE READY","HOLD"))</f>
        <v>SOURCE EMPTY / INDUSTRIAL ONLY</v>
      </c>
      <c r="V1869" s="9" t="n">
        <f aca="false">IF(U1869="SERVICE READY",1,0)</f>
        <v>0</v>
      </c>
      <c r="W1869" s="6"/>
      <c r="X1869" s="6"/>
      <c r="Y1869" s="6"/>
      <c r="Z1869" s="6"/>
    </row>
    <row r="1870" customFormat="false" ht="15" hidden="false" customHeight="false" outlineLevel="0" collapsed="false">
      <c r="A1870" s="9" t="s">
        <v>2121</v>
      </c>
      <c r="B1870" s="9" t="s">
        <v>2093</v>
      </c>
      <c r="C1870" s="9" t="s">
        <v>2094</v>
      </c>
      <c r="D1870" s="9" t="s">
        <v>1735</v>
      </c>
      <c r="E1870" s="9" t="s">
        <v>323</v>
      </c>
      <c r="F1870" s="9" t="s">
        <v>211</v>
      </c>
      <c r="G1870" s="9" t="s">
        <v>201</v>
      </c>
      <c r="H1870" s="9" t="n">
        <v>1950</v>
      </c>
      <c r="I1870" s="29" t="n">
        <v>9</v>
      </c>
      <c r="J1870" s="9" t="n">
        <v>1</v>
      </c>
      <c r="K1870" s="30"/>
      <c r="L1870" s="30"/>
      <c r="M1870" s="30"/>
      <c r="N1870" s="30"/>
      <c r="O1870" s="30"/>
      <c r="P1870" s="30"/>
      <c r="Q1870" s="30"/>
      <c r="R1870" s="30"/>
      <c r="S1870" s="30"/>
      <c r="T1870" s="30"/>
      <c r="U1870" s="21" t="str">
        <f aca="false">IF(COUNT(K1870:T1870)=0,"SOURCE EMPTY / INDUSTRIAL ONLY",IF(MIN(K1870:T1870)=1,"SERVICE READY","HOLD"))</f>
        <v>SOURCE EMPTY / INDUSTRIAL ONLY</v>
      </c>
      <c r="V1870" s="9" t="n">
        <f aca="false">IF(U1870="SERVICE READY",1,0)</f>
        <v>0</v>
      </c>
      <c r="W1870" s="6"/>
      <c r="X1870" s="6"/>
      <c r="Y1870" s="6"/>
      <c r="Z1870" s="6"/>
    </row>
    <row r="1871" customFormat="false" ht="15" hidden="false" customHeight="false" outlineLevel="0" collapsed="false">
      <c r="A1871" s="9" t="s">
        <v>2122</v>
      </c>
      <c r="B1871" s="9" t="s">
        <v>2093</v>
      </c>
      <c r="C1871" s="9" t="s">
        <v>2094</v>
      </c>
      <c r="D1871" s="9" t="s">
        <v>1735</v>
      </c>
      <c r="E1871" s="9" t="s">
        <v>323</v>
      </c>
      <c r="F1871" s="9" t="s">
        <v>197</v>
      </c>
      <c r="G1871" s="9" t="s">
        <v>198</v>
      </c>
      <c r="H1871" s="9" t="n">
        <v>1950</v>
      </c>
      <c r="I1871" s="29" t="n">
        <v>9</v>
      </c>
      <c r="J1871" s="9" t="n">
        <v>1</v>
      </c>
      <c r="K1871" s="30"/>
      <c r="L1871" s="30"/>
      <c r="M1871" s="30"/>
      <c r="N1871" s="30"/>
      <c r="O1871" s="30"/>
      <c r="P1871" s="30"/>
      <c r="Q1871" s="30"/>
      <c r="R1871" s="30"/>
      <c r="S1871" s="30"/>
      <c r="T1871" s="30"/>
      <c r="U1871" s="21" t="str">
        <f aca="false">IF(COUNT(K1871:T1871)=0,"SOURCE EMPTY / INDUSTRIAL ONLY",IF(MIN(K1871:T1871)=1,"SERVICE READY","HOLD"))</f>
        <v>SOURCE EMPTY / INDUSTRIAL ONLY</v>
      </c>
      <c r="V1871" s="9" t="n">
        <f aca="false">IF(U1871="SERVICE READY",1,0)</f>
        <v>0</v>
      </c>
      <c r="W1871" s="6"/>
      <c r="X1871" s="6"/>
      <c r="Y1871" s="6"/>
      <c r="Z1871" s="6"/>
    </row>
    <row r="1872" customFormat="false" ht="15" hidden="false" customHeight="false" outlineLevel="0" collapsed="false">
      <c r="A1872" s="9" t="s">
        <v>2123</v>
      </c>
      <c r="B1872" s="9" t="s">
        <v>2093</v>
      </c>
      <c r="C1872" s="9" t="s">
        <v>2094</v>
      </c>
      <c r="D1872" s="9" t="s">
        <v>1735</v>
      </c>
      <c r="E1872" s="9" t="s">
        <v>323</v>
      </c>
      <c r="F1872" s="9" t="s">
        <v>200</v>
      </c>
      <c r="G1872" s="9" t="s">
        <v>201</v>
      </c>
      <c r="H1872" s="9" t="n">
        <v>1950</v>
      </c>
      <c r="I1872" s="29" t="n">
        <v>9</v>
      </c>
      <c r="J1872" s="9" t="n">
        <v>1</v>
      </c>
      <c r="K1872" s="30"/>
      <c r="L1872" s="30"/>
      <c r="M1872" s="30"/>
      <c r="N1872" s="30"/>
      <c r="O1872" s="30"/>
      <c r="P1872" s="30"/>
      <c r="Q1872" s="30"/>
      <c r="R1872" s="30"/>
      <c r="S1872" s="30"/>
      <c r="T1872" s="30"/>
      <c r="U1872" s="21" t="str">
        <f aca="false">IF(COUNT(K1872:T1872)=0,"SOURCE EMPTY / INDUSTRIAL ONLY",IF(MIN(K1872:T1872)=1,"SERVICE READY","HOLD"))</f>
        <v>SOURCE EMPTY / INDUSTRIAL ONLY</v>
      </c>
      <c r="V1872" s="9" t="n">
        <f aca="false">IF(U1872="SERVICE READY",1,0)</f>
        <v>0</v>
      </c>
      <c r="W1872" s="6"/>
      <c r="X1872" s="6"/>
      <c r="Y1872" s="6"/>
      <c r="Z1872" s="6"/>
    </row>
    <row r="1873" customFormat="false" ht="15" hidden="false" customHeight="false" outlineLevel="0" collapsed="false">
      <c r="A1873" s="9" t="s">
        <v>2124</v>
      </c>
      <c r="B1873" s="9" t="s">
        <v>2093</v>
      </c>
      <c r="C1873" s="9" t="s">
        <v>2094</v>
      </c>
      <c r="D1873" s="9" t="s">
        <v>1735</v>
      </c>
      <c r="E1873" s="9" t="s">
        <v>323</v>
      </c>
      <c r="F1873" s="9" t="s">
        <v>203</v>
      </c>
      <c r="G1873" s="9" t="s">
        <v>221</v>
      </c>
      <c r="H1873" s="9" t="n">
        <v>1950</v>
      </c>
      <c r="I1873" s="29" t="n">
        <v>9</v>
      </c>
      <c r="J1873" s="9" t="n">
        <v>1</v>
      </c>
      <c r="K1873" s="30"/>
      <c r="L1873" s="30"/>
      <c r="M1873" s="30"/>
      <c r="N1873" s="30"/>
      <c r="O1873" s="30"/>
      <c r="P1873" s="30"/>
      <c r="Q1873" s="30"/>
      <c r="R1873" s="30"/>
      <c r="S1873" s="30"/>
      <c r="T1873" s="30"/>
      <c r="U1873" s="21" t="str">
        <f aca="false">IF(COUNT(K1873:T1873)=0,"SOURCE EMPTY / INDUSTRIAL ONLY",IF(MIN(K1873:T1873)=1,"SERVICE READY","HOLD"))</f>
        <v>SOURCE EMPTY / INDUSTRIAL ONLY</v>
      </c>
      <c r="V1873" s="9" t="n">
        <f aca="false">IF(U1873="SERVICE READY",1,0)</f>
        <v>0</v>
      </c>
      <c r="W1873" s="6"/>
      <c r="X1873" s="6"/>
      <c r="Y1873" s="6"/>
      <c r="Z1873" s="6"/>
    </row>
    <row r="1874" customFormat="false" ht="15" hidden="false" customHeight="false" outlineLevel="0" collapsed="false">
      <c r="A1874" s="9" t="s">
        <v>2125</v>
      </c>
      <c r="B1874" s="9" t="s">
        <v>2093</v>
      </c>
      <c r="C1874" s="9" t="s">
        <v>2094</v>
      </c>
      <c r="D1874" s="9" t="s">
        <v>1735</v>
      </c>
      <c r="E1874" s="9" t="s">
        <v>323</v>
      </c>
      <c r="F1874" s="9" t="s">
        <v>205</v>
      </c>
      <c r="G1874" s="9" t="s">
        <v>221</v>
      </c>
      <c r="H1874" s="9" t="n">
        <v>1950</v>
      </c>
      <c r="I1874" s="29" t="n">
        <v>9</v>
      </c>
      <c r="J1874" s="9" t="n">
        <v>1</v>
      </c>
      <c r="K1874" s="30"/>
      <c r="L1874" s="30"/>
      <c r="M1874" s="30"/>
      <c r="N1874" s="30"/>
      <c r="O1874" s="30"/>
      <c r="P1874" s="30"/>
      <c r="Q1874" s="30"/>
      <c r="R1874" s="30"/>
      <c r="S1874" s="30"/>
      <c r="T1874" s="30"/>
      <c r="U1874" s="21" t="str">
        <f aca="false">IF(COUNT(K1874:T1874)=0,"SOURCE EMPTY / INDUSTRIAL ONLY",IF(MIN(K1874:T1874)=1,"SERVICE READY","HOLD"))</f>
        <v>SOURCE EMPTY / INDUSTRIAL ONLY</v>
      </c>
      <c r="V1874" s="9" t="n">
        <f aca="false">IF(U1874="SERVICE READY",1,0)</f>
        <v>0</v>
      </c>
      <c r="W1874" s="6"/>
      <c r="X1874" s="6"/>
      <c r="Y1874" s="6"/>
      <c r="Z1874" s="6"/>
    </row>
    <row r="1875" customFormat="false" ht="15" hidden="false" customHeight="false" outlineLevel="0" collapsed="false">
      <c r="A1875" s="9" t="s">
        <v>2126</v>
      </c>
      <c r="B1875" s="9" t="s">
        <v>2093</v>
      </c>
      <c r="C1875" s="9" t="s">
        <v>2094</v>
      </c>
      <c r="D1875" s="9" t="s">
        <v>1735</v>
      </c>
      <c r="E1875" s="9" t="s">
        <v>323</v>
      </c>
      <c r="F1875" s="9" t="s">
        <v>207</v>
      </c>
      <c r="G1875" s="9" t="s">
        <v>221</v>
      </c>
      <c r="H1875" s="9" t="n">
        <v>1950</v>
      </c>
      <c r="I1875" s="29" t="n">
        <v>9</v>
      </c>
      <c r="J1875" s="9" t="n">
        <v>1</v>
      </c>
      <c r="K1875" s="30"/>
      <c r="L1875" s="30"/>
      <c r="M1875" s="30"/>
      <c r="N1875" s="30"/>
      <c r="O1875" s="30"/>
      <c r="P1875" s="30"/>
      <c r="Q1875" s="30"/>
      <c r="R1875" s="30"/>
      <c r="S1875" s="30"/>
      <c r="T1875" s="30"/>
      <c r="U1875" s="21" t="str">
        <f aca="false">IF(COUNT(K1875:T1875)=0,"SOURCE EMPTY / INDUSTRIAL ONLY",IF(MIN(K1875:T1875)=1,"SERVICE READY","HOLD"))</f>
        <v>SOURCE EMPTY / INDUSTRIAL ONLY</v>
      </c>
      <c r="V1875" s="9" t="n">
        <f aca="false">IF(U1875="SERVICE READY",1,0)</f>
        <v>0</v>
      </c>
      <c r="W1875" s="6"/>
      <c r="X1875" s="6"/>
      <c r="Y1875" s="6"/>
      <c r="Z1875" s="6"/>
    </row>
    <row r="1876" customFormat="false" ht="15" hidden="false" customHeight="false" outlineLevel="0" collapsed="false">
      <c r="A1876" s="9" t="s">
        <v>2127</v>
      </c>
      <c r="B1876" s="9" t="s">
        <v>2093</v>
      </c>
      <c r="C1876" s="9" t="s">
        <v>2094</v>
      </c>
      <c r="D1876" s="9" t="s">
        <v>1735</v>
      </c>
      <c r="E1876" s="9" t="s">
        <v>323</v>
      </c>
      <c r="F1876" s="9" t="s">
        <v>209</v>
      </c>
      <c r="G1876" s="9" t="s">
        <v>221</v>
      </c>
      <c r="H1876" s="9" t="n">
        <v>1950</v>
      </c>
      <c r="I1876" s="29" t="n">
        <v>9</v>
      </c>
      <c r="J1876" s="9" t="n">
        <v>1</v>
      </c>
      <c r="K1876" s="30"/>
      <c r="L1876" s="30"/>
      <c r="M1876" s="30"/>
      <c r="N1876" s="30"/>
      <c r="O1876" s="30"/>
      <c r="P1876" s="30"/>
      <c r="Q1876" s="30"/>
      <c r="R1876" s="30"/>
      <c r="S1876" s="30"/>
      <c r="T1876" s="30"/>
      <c r="U1876" s="21" t="str">
        <f aca="false">IF(COUNT(K1876:T1876)=0,"SOURCE EMPTY / INDUSTRIAL ONLY",IF(MIN(K1876:T1876)=1,"SERVICE READY","HOLD"))</f>
        <v>SOURCE EMPTY / INDUSTRIAL ONLY</v>
      </c>
      <c r="V1876" s="9" t="n">
        <f aca="false">IF(U1876="SERVICE READY",1,0)</f>
        <v>0</v>
      </c>
      <c r="W1876" s="6"/>
      <c r="X1876" s="6"/>
      <c r="Y1876" s="6"/>
      <c r="Z1876" s="6"/>
    </row>
    <row r="1877" customFormat="false" ht="15" hidden="false" customHeight="false" outlineLevel="0" collapsed="false">
      <c r="A1877" s="9" t="s">
        <v>2128</v>
      </c>
      <c r="B1877" s="9" t="s">
        <v>2093</v>
      </c>
      <c r="C1877" s="9" t="s">
        <v>2094</v>
      </c>
      <c r="D1877" s="9" t="s">
        <v>1735</v>
      </c>
      <c r="E1877" s="9" t="s">
        <v>323</v>
      </c>
      <c r="F1877" s="9" t="s">
        <v>211</v>
      </c>
      <c r="G1877" s="9" t="s">
        <v>221</v>
      </c>
      <c r="H1877" s="9" t="n">
        <v>1950</v>
      </c>
      <c r="I1877" s="29" t="n">
        <v>9</v>
      </c>
      <c r="J1877" s="9" t="n">
        <v>1</v>
      </c>
      <c r="K1877" s="30"/>
      <c r="L1877" s="30"/>
      <c r="M1877" s="30"/>
      <c r="N1877" s="30"/>
      <c r="O1877" s="30"/>
      <c r="P1877" s="30"/>
      <c r="Q1877" s="30"/>
      <c r="R1877" s="30"/>
      <c r="S1877" s="30"/>
      <c r="T1877" s="30"/>
      <c r="U1877" s="21" t="str">
        <f aca="false">IF(COUNT(K1877:T1877)=0,"SOURCE EMPTY / INDUSTRIAL ONLY",IF(MIN(K1877:T1877)=1,"SERVICE READY","HOLD"))</f>
        <v>SOURCE EMPTY / INDUSTRIAL ONLY</v>
      </c>
      <c r="V1877" s="9" t="n">
        <f aca="false">IF(U1877="SERVICE READY",1,0)</f>
        <v>0</v>
      </c>
      <c r="W1877" s="6"/>
      <c r="X1877" s="6"/>
      <c r="Y1877" s="6"/>
      <c r="Z1877" s="6"/>
    </row>
    <row r="1878" customFormat="false" ht="15" hidden="false" customHeight="false" outlineLevel="0" collapsed="false">
      <c r="A1878" s="9" t="s">
        <v>2129</v>
      </c>
      <c r="B1878" s="9" t="s">
        <v>2093</v>
      </c>
      <c r="C1878" s="9" t="s">
        <v>2094</v>
      </c>
      <c r="D1878" s="9" t="s">
        <v>1735</v>
      </c>
      <c r="E1878" s="9" t="s">
        <v>323</v>
      </c>
      <c r="F1878" s="9" t="s">
        <v>197</v>
      </c>
      <c r="G1878" s="9" t="s">
        <v>221</v>
      </c>
      <c r="H1878" s="9" t="n">
        <v>1950</v>
      </c>
      <c r="I1878" s="29" t="n">
        <v>9</v>
      </c>
      <c r="J1878" s="9" t="n">
        <v>1</v>
      </c>
      <c r="K1878" s="30"/>
      <c r="L1878" s="30"/>
      <c r="M1878" s="30"/>
      <c r="N1878" s="30"/>
      <c r="O1878" s="30"/>
      <c r="P1878" s="30"/>
      <c r="Q1878" s="30"/>
      <c r="R1878" s="30"/>
      <c r="S1878" s="30"/>
      <c r="T1878" s="30"/>
      <c r="U1878" s="21" t="str">
        <f aca="false">IF(COUNT(K1878:T1878)=0,"SOURCE EMPTY / INDUSTRIAL ONLY",IF(MIN(K1878:T1878)=1,"SERVICE READY","HOLD"))</f>
        <v>SOURCE EMPTY / INDUSTRIAL ONLY</v>
      </c>
      <c r="V1878" s="9" t="n">
        <f aca="false">IF(U1878="SERVICE READY",1,0)</f>
        <v>0</v>
      </c>
      <c r="W1878" s="6"/>
      <c r="X1878" s="6"/>
      <c r="Y1878" s="6"/>
      <c r="Z1878" s="6"/>
    </row>
    <row r="1879" customFormat="false" ht="15" hidden="false" customHeight="false" outlineLevel="0" collapsed="false">
      <c r="A1879" s="9" t="s">
        <v>2130</v>
      </c>
      <c r="B1879" s="9" t="s">
        <v>2093</v>
      </c>
      <c r="C1879" s="9" t="s">
        <v>2094</v>
      </c>
      <c r="D1879" s="9" t="s">
        <v>1735</v>
      </c>
      <c r="E1879" s="9" t="s">
        <v>323</v>
      </c>
      <c r="F1879" s="9" t="s">
        <v>200</v>
      </c>
      <c r="G1879" s="9" t="s">
        <v>221</v>
      </c>
      <c r="H1879" s="9" t="n">
        <v>1950</v>
      </c>
      <c r="I1879" s="29" t="n">
        <v>9</v>
      </c>
      <c r="J1879" s="9" t="n">
        <v>1</v>
      </c>
      <c r="K1879" s="30"/>
      <c r="L1879" s="30"/>
      <c r="M1879" s="30"/>
      <c r="N1879" s="30"/>
      <c r="O1879" s="30"/>
      <c r="P1879" s="30"/>
      <c r="Q1879" s="30"/>
      <c r="R1879" s="30"/>
      <c r="S1879" s="30"/>
      <c r="T1879" s="30"/>
      <c r="U1879" s="21" t="str">
        <f aca="false">IF(COUNT(K1879:T1879)=0,"SOURCE EMPTY / INDUSTRIAL ONLY",IF(MIN(K1879:T1879)=1,"SERVICE READY","HOLD"))</f>
        <v>SOURCE EMPTY / INDUSTRIAL ONLY</v>
      </c>
      <c r="V1879" s="9" t="n">
        <f aca="false">IF(U1879="SERVICE READY",1,0)</f>
        <v>0</v>
      </c>
      <c r="W1879" s="6"/>
      <c r="X1879" s="6"/>
      <c r="Y1879" s="6"/>
      <c r="Z1879" s="6"/>
    </row>
    <row r="1880" customFormat="false" ht="15" hidden="false" customHeight="false" outlineLevel="0" collapsed="false">
      <c r="A1880" s="9" t="s">
        <v>2131</v>
      </c>
      <c r="B1880" s="9" t="s">
        <v>2093</v>
      </c>
      <c r="C1880" s="9" t="s">
        <v>2094</v>
      </c>
      <c r="D1880" s="9" t="s">
        <v>1735</v>
      </c>
      <c r="E1880" s="9" t="s">
        <v>323</v>
      </c>
      <c r="F1880" s="9" t="s">
        <v>203</v>
      </c>
      <c r="G1880" s="9" t="s">
        <v>221</v>
      </c>
      <c r="H1880" s="9" t="n">
        <v>1950</v>
      </c>
      <c r="I1880" s="29" t="n">
        <v>9</v>
      </c>
      <c r="J1880" s="9" t="n">
        <v>1</v>
      </c>
      <c r="K1880" s="30"/>
      <c r="L1880" s="30"/>
      <c r="M1880" s="30"/>
      <c r="N1880" s="30"/>
      <c r="O1880" s="30"/>
      <c r="P1880" s="30"/>
      <c r="Q1880" s="30"/>
      <c r="R1880" s="30"/>
      <c r="S1880" s="30"/>
      <c r="T1880" s="30"/>
      <c r="U1880" s="21" t="str">
        <f aca="false">IF(COUNT(K1880:T1880)=0,"SOURCE EMPTY / INDUSTRIAL ONLY",IF(MIN(K1880:T1880)=1,"SERVICE READY","HOLD"))</f>
        <v>SOURCE EMPTY / INDUSTRIAL ONLY</v>
      </c>
      <c r="V1880" s="9" t="n">
        <f aca="false">IF(U1880="SERVICE READY",1,0)</f>
        <v>0</v>
      </c>
      <c r="W1880" s="6"/>
      <c r="X1880" s="6"/>
      <c r="Y1880" s="6"/>
      <c r="Z1880" s="6"/>
    </row>
    <row r="1881" customFormat="false" ht="15" hidden="false" customHeight="false" outlineLevel="0" collapsed="false">
      <c r="A1881" s="9" t="s">
        <v>2132</v>
      </c>
      <c r="B1881" s="9" t="s">
        <v>2093</v>
      </c>
      <c r="C1881" s="9" t="s">
        <v>2094</v>
      </c>
      <c r="D1881" s="9" t="s">
        <v>1735</v>
      </c>
      <c r="E1881" s="9" t="s">
        <v>323</v>
      </c>
      <c r="F1881" s="9" t="s">
        <v>205</v>
      </c>
      <c r="G1881" s="9" t="s">
        <v>221</v>
      </c>
      <c r="H1881" s="9" t="n">
        <v>1950</v>
      </c>
      <c r="I1881" s="29" t="n">
        <v>9</v>
      </c>
      <c r="J1881" s="9" t="n">
        <v>1</v>
      </c>
      <c r="K1881" s="30"/>
      <c r="L1881" s="30"/>
      <c r="M1881" s="30"/>
      <c r="N1881" s="30"/>
      <c r="O1881" s="30"/>
      <c r="P1881" s="30"/>
      <c r="Q1881" s="30"/>
      <c r="R1881" s="30"/>
      <c r="S1881" s="30"/>
      <c r="T1881" s="30"/>
      <c r="U1881" s="21" t="str">
        <f aca="false">IF(COUNT(K1881:T1881)=0,"SOURCE EMPTY / INDUSTRIAL ONLY",IF(MIN(K1881:T1881)=1,"SERVICE READY","HOLD"))</f>
        <v>SOURCE EMPTY / INDUSTRIAL ONLY</v>
      </c>
      <c r="V1881" s="9" t="n">
        <f aca="false">IF(U1881="SERVICE READY",1,0)</f>
        <v>0</v>
      </c>
      <c r="W1881" s="6"/>
      <c r="X1881" s="6"/>
      <c r="Y1881" s="6"/>
      <c r="Z1881" s="6"/>
    </row>
    <row r="1882" customFormat="false" ht="15" hidden="false" customHeight="false" outlineLevel="0" collapsed="false">
      <c r="A1882" s="9" t="s">
        <v>2133</v>
      </c>
      <c r="B1882" s="9" t="s">
        <v>2093</v>
      </c>
      <c r="C1882" s="9" t="s">
        <v>2094</v>
      </c>
      <c r="D1882" s="9" t="s">
        <v>1735</v>
      </c>
      <c r="E1882" s="9" t="s">
        <v>323</v>
      </c>
      <c r="F1882" s="9" t="s">
        <v>207</v>
      </c>
      <c r="G1882" s="9" t="s">
        <v>221</v>
      </c>
      <c r="H1882" s="9" t="n">
        <v>1950</v>
      </c>
      <c r="I1882" s="29" t="n">
        <v>9</v>
      </c>
      <c r="J1882" s="9" t="n">
        <v>1</v>
      </c>
      <c r="K1882" s="30"/>
      <c r="L1882" s="30"/>
      <c r="M1882" s="30"/>
      <c r="N1882" s="30"/>
      <c r="O1882" s="30"/>
      <c r="P1882" s="30"/>
      <c r="Q1882" s="30"/>
      <c r="R1882" s="30"/>
      <c r="S1882" s="30"/>
      <c r="T1882" s="30"/>
      <c r="U1882" s="21" t="str">
        <f aca="false">IF(COUNT(K1882:T1882)=0,"SOURCE EMPTY / INDUSTRIAL ONLY",IF(MIN(K1882:T1882)=1,"SERVICE READY","HOLD"))</f>
        <v>SOURCE EMPTY / INDUSTRIAL ONLY</v>
      </c>
      <c r="V1882" s="9" t="n">
        <f aca="false">IF(U1882="SERVICE READY",1,0)</f>
        <v>0</v>
      </c>
      <c r="W1882" s="6"/>
      <c r="X1882" s="6"/>
      <c r="Y1882" s="6"/>
      <c r="Z1882" s="6"/>
    </row>
    <row r="1883" customFormat="false" ht="15" hidden="false" customHeight="false" outlineLevel="0" collapsed="false">
      <c r="A1883" s="9" t="s">
        <v>2134</v>
      </c>
      <c r="B1883" s="9" t="s">
        <v>2093</v>
      </c>
      <c r="C1883" s="9" t="s">
        <v>2094</v>
      </c>
      <c r="D1883" s="9" t="s">
        <v>1735</v>
      </c>
      <c r="E1883" s="9" t="s">
        <v>323</v>
      </c>
      <c r="F1883" s="9" t="s">
        <v>209</v>
      </c>
      <c r="G1883" s="9" t="s">
        <v>221</v>
      </c>
      <c r="H1883" s="9" t="n">
        <v>1950</v>
      </c>
      <c r="I1883" s="29" t="n">
        <v>9</v>
      </c>
      <c r="J1883" s="9" t="n">
        <v>1</v>
      </c>
      <c r="K1883" s="30"/>
      <c r="L1883" s="30"/>
      <c r="M1883" s="30"/>
      <c r="N1883" s="30"/>
      <c r="O1883" s="30"/>
      <c r="P1883" s="30"/>
      <c r="Q1883" s="30"/>
      <c r="R1883" s="30"/>
      <c r="S1883" s="30"/>
      <c r="T1883" s="30"/>
      <c r="U1883" s="21" t="str">
        <f aca="false">IF(COUNT(K1883:T1883)=0,"SOURCE EMPTY / INDUSTRIAL ONLY",IF(MIN(K1883:T1883)=1,"SERVICE READY","HOLD"))</f>
        <v>SOURCE EMPTY / INDUSTRIAL ONLY</v>
      </c>
      <c r="V1883" s="9" t="n">
        <f aca="false">IF(U1883="SERVICE READY",1,0)</f>
        <v>0</v>
      </c>
      <c r="W1883" s="6"/>
      <c r="X1883" s="6"/>
      <c r="Y1883" s="6"/>
      <c r="Z1883" s="6"/>
    </row>
    <row r="1884" customFormat="false" ht="15" hidden="false" customHeight="false" outlineLevel="0" collapsed="false">
      <c r="A1884" s="9" t="s">
        <v>2135</v>
      </c>
      <c r="B1884" s="9" t="s">
        <v>2093</v>
      </c>
      <c r="C1884" s="9" t="s">
        <v>2094</v>
      </c>
      <c r="D1884" s="9" t="s">
        <v>1735</v>
      </c>
      <c r="E1884" s="9" t="s">
        <v>323</v>
      </c>
      <c r="F1884" s="9" t="s">
        <v>211</v>
      </c>
      <c r="G1884" s="9" t="s">
        <v>221</v>
      </c>
      <c r="H1884" s="9" t="n">
        <v>1950</v>
      </c>
      <c r="I1884" s="29" t="n">
        <v>9</v>
      </c>
      <c r="J1884" s="9" t="n">
        <v>1</v>
      </c>
      <c r="K1884" s="30"/>
      <c r="L1884" s="30"/>
      <c r="M1884" s="30"/>
      <c r="N1884" s="30"/>
      <c r="O1884" s="30"/>
      <c r="P1884" s="30"/>
      <c r="Q1884" s="30"/>
      <c r="R1884" s="30"/>
      <c r="S1884" s="30"/>
      <c r="T1884" s="30"/>
      <c r="U1884" s="21" t="str">
        <f aca="false">IF(COUNT(K1884:T1884)=0,"SOURCE EMPTY / INDUSTRIAL ONLY",IF(MIN(K1884:T1884)=1,"SERVICE READY","HOLD"))</f>
        <v>SOURCE EMPTY / INDUSTRIAL ONLY</v>
      </c>
      <c r="V1884" s="9" t="n">
        <f aca="false">IF(U1884="SERVICE READY",1,0)</f>
        <v>0</v>
      </c>
      <c r="W1884" s="6"/>
      <c r="X1884" s="6"/>
      <c r="Y1884" s="6"/>
      <c r="Z1884" s="6"/>
    </row>
    <row r="1885" customFormat="false" ht="15" hidden="false" customHeight="false" outlineLevel="0" collapsed="false">
      <c r="A1885" s="9" t="s">
        <v>2136</v>
      </c>
      <c r="B1885" s="9" t="s">
        <v>2093</v>
      </c>
      <c r="C1885" s="9" t="s">
        <v>2094</v>
      </c>
      <c r="D1885" s="9" t="s">
        <v>1735</v>
      </c>
      <c r="E1885" s="9" t="s">
        <v>323</v>
      </c>
      <c r="F1885" s="9" t="s">
        <v>197</v>
      </c>
      <c r="G1885" s="9" t="s">
        <v>221</v>
      </c>
      <c r="H1885" s="9" t="n">
        <v>1950</v>
      </c>
      <c r="I1885" s="29" t="n">
        <v>9</v>
      </c>
      <c r="J1885" s="9" t="n">
        <v>1</v>
      </c>
      <c r="K1885" s="30"/>
      <c r="L1885" s="30"/>
      <c r="M1885" s="30"/>
      <c r="N1885" s="30"/>
      <c r="O1885" s="30"/>
      <c r="P1885" s="30"/>
      <c r="Q1885" s="30"/>
      <c r="R1885" s="30"/>
      <c r="S1885" s="30"/>
      <c r="T1885" s="30"/>
      <c r="U1885" s="21" t="str">
        <f aca="false">IF(COUNT(K1885:T1885)=0,"SOURCE EMPTY / INDUSTRIAL ONLY",IF(MIN(K1885:T1885)=1,"SERVICE READY","HOLD"))</f>
        <v>SOURCE EMPTY / INDUSTRIAL ONLY</v>
      </c>
      <c r="V1885" s="9" t="n">
        <f aca="false">IF(U1885="SERVICE READY",1,0)</f>
        <v>0</v>
      </c>
      <c r="W1885" s="6"/>
      <c r="X1885" s="6"/>
      <c r="Y1885" s="6"/>
      <c r="Z1885" s="6"/>
    </row>
    <row r="1886" customFormat="false" ht="15" hidden="false" customHeight="false" outlineLevel="0" collapsed="false">
      <c r="A1886" s="9" t="s">
        <v>2137</v>
      </c>
      <c r="B1886" s="9" t="s">
        <v>2093</v>
      </c>
      <c r="C1886" s="9" t="s">
        <v>2094</v>
      </c>
      <c r="D1886" s="9" t="s">
        <v>1735</v>
      </c>
      <c r="E1886" s="9" t="s">
        <v>323</v>
      </c>
      <c r="F1886" s="9" t="s">
        <v>200</v>
      </c>
      <c r="G1886" s="9" t="s">
        <v>221</v>
      </c>
      <c r="H1886" s="9" t="n">
        <v>1950</v>
      </c>
      <c r="I1886" s="29" t="n">
        <v>9</v>
      </c>
      <c r="J1886" s="9" t="n">
        <v>1</v>
      </c>
      <c r="K1886" s="30"/>
      <c r="L1886" s="30"/>
      <c r="M1886" s="30"/>
      <c r="N1886" s="30"/>
      <c r="O1886" s="30"/>
      <c r="P1886" s="30"/>
      <c r="Q1886" s="30"/>
      <c r="R1886" s="30"/>
      <c r="S1886" s="30"/>
      <c r="T1886" s="30"/>
      <c r="U1886" s="21" t="str">
        <f aca="false">IF(COUNT(K1886:T1886)=0,"SOURCE EMPTY / INDUSTRIAL ONLY",IF(MIN(K1886:T1886)=1,"SERVICE READY","HOLD"))</f>
        <v>SOURCE EMPTY / INDUSTRIAL ONLY</v>
      </c>
      <c r="V1886" s="9" t="n">
        <f aca="false">IF(U1886="SERVICE READY",1,0)</f>
        <v>0</v>
      </c>
      <c r="W1886" s="6"/>
      <c r="X1886" s="6"/>
      <c r="Y1886" s="6"/>
      <c r="Z1886" s="6"/>
    </row>
    <row r="1887" customFormat="false" ht="15" hidden="false" customHeight="false" outlineLevel="0" collapsed="false">
      <c r="A1887" s="9" t="s">
        <v>2138</v>
      </c>
      <c r="B1887" s="9" t="s">
        <v>2093</v>
      </c>
      <c r="C1887" s="9" t="s">
        <v>2094</v>
      </c>
      <c r="D1887" s="9" t="s">
        <v>1735</v>
      </c>
      <c r="E1887" s="9" t="s">
        <v>323</v>
      </c>
      <c r="F1887" s="9" t="s">
        <v>203</v>
      </c>
      <c r="G1887" s="9" t="s">
        <v>221</v>
      </c>
      <c r="H1887" s="9" t="n">
        <v>1950</v>
      </c>
      <c r="I1887" s="29" t="n">
        <v>9</v>
      </c>
      <c r="J1887" s="9" t="n">
        <v>1</v>
      </c>
      <c r="K1887" s="30"/>
      <c r="L1887" s="30"/>
      <c r="M1887" s="30"/>
      <c r="N1887" s="30"/>
      <c r="O1887" s="30"/>
      <c r="P1887" s="30"/>
      <c r="Q1887" s="30"/>
      <c r="R1887" s="30"/>
      <c r="S1887" s="30"/>
      <c r="T1887" s="30"/>
      <c r="U1887" s="21" t="str">
        <f aca="false">IF(COUNT(K1887:T1887)=0,"SOURCE EMPTY / INDUSTRIAL ONLY",IF(MIN(K1887:T1887)=1,"SERVICE READY","HOLD"))</f>
        <v>SOURCE EMPTY / INDUSTRIAL ONLY</v>
      </c>
      <c r="V1887" s="9" t="n">
        <f aca="false">IF(U1887="SERVICE READY",1,0)</f>
        <v>0</v>
      </c>
      <c r="W1887" s="6"/>
      <c r="X1887" s="6"/>
      <c r="Y1887" s="6"/>
      <c r="Z1887" s="6"/>
    </row>
    <row r="1888" customFormat="false" ht="15" hidden="false" customHeight="false" outlineLevel="0" collapsed="false">
      <c r="A1888" s="9" t="s">
        <v>2139</v>
      </c>
      <c r="B1888" s="9" t="s">
        <v>2093</v>
      </c>
      <c r="C1888" s="9" t="s">
        <v>2094</v>
      </c>
      <c r="D1888" s="9" t="s">
        <v>1735</v>
      </c>
      <c r="E1888" s="9" t="s">
        <v>323</v>
      </c>
      <c r="F1888" s="9" t="s">
        <v>205</v>
      </c>
      <c r="G1888" s="9" t="s">
        <v>221</v>
      </c>
      <c r="H1888" s="9" t="n">
        <v>1950</v>
      </c>
      <c r="I1888" s="29" t="n">
        <v>9</v>
      </c>
      <c r="J1888" s="9" t="n">
        <v>1</v>
      </c>
      <c r="K1888" s="30"/>
      <c r="L1888" s="30"/>
      <c r="M1888" s="30"/>
      <c r="N1888" s="30"/>
      <c r="O1888" s="30"/>
      <c r="P1888" s="30"/>
      <c r="Q1888" s="30"/>
      <c r="R1888" s="30"/>
      <c r="S1888" s="30"/>
      <c r="T1888" s="30"/>
      <c r="U1888" s="21" t="str">
        <f aca="false">IF(COUNT(K1888:T1888)=0,"SOURCE EMPTY / INDUSTRIAL ONLY",IF(MIN(K1888:T1888)=1,"SERVICE READY","HOLD"))</f>
        <v>SOURCE EMPTY / INDUSTRIAL ONLY</v>
      </c>
      <c r="V1888" s="9" t="n">
        <f aca="false">IF(U1888="SERVICE READY",1,0)</f>
        <v>0</v>
      </c>
      <c r="W1888" s="6"/>
      <c r="X1888" s="6"/>
      <c r="Y1888" s="6"/>
      <c r="Z1888" s="6"/>
    </row>
    <row r="1889" customFormat="false" ht="15" hidden="false" customHeight="false" outlineLevel="0" collapsed="false">
      <c r="A1889" s="9" t="s">
        <v>2140</v>
      </c>
      <c r="B1889" s="9" t="s">
        <v>2093</v>
      </c>
      <c r="C1889" s="9" t="s">
        <v>2094</v>
      </c>
      <c r="D1889" s="9" t="s">
        <v>1735</v>
      </c>
      <c r="E1889" s="9" t="s">
        <v>323</v>
      </c>
      <c r="F1889" s="9" t="s">
        <v>207</v>
      </c>
      <c r="G1889" s="9" t="s">
        <v>221</v>
      </c>
      <c r="H1889" s="9" t="n">
        <v>1950</v>
      </c>
      <c r="I1889" s="29" t="n">
        <v>9</v>
      </c>
      <c r="J1889" s="9" t="n">
        <v>1</v>
      </c>
      <c r="K1889" s="30"/>
      <c r="L1889" s="30"/>
      <c r="M1889" s="30"/>
      <c r="N1889" s="30"/>
      <c r="O1889" s="30"/>
      <c r="P1889" s="30"/>
      <c r="Q1889" s="30"/>
      <c r="R1889" s="30"/>
      <c r="S1889" s="30"/>
      <c r="T1889" s="30"/>
      <c r="U1889" s="21" t="str">
        <f aca="false">IF(COUNT(K1889:T1889)=0,"SOURCE EMPTY / INDUSTRIAL ONLY",IF(MIN(K1889:T1889)=1,"SERVICE READY","HOLD"))</f>
        <v>SOURCE EMPTY / INDUSTRIAL ONLY</v>
      </c>
      <c r="V1889" s="9" t="n">
        <f aca="false">IF(U1889="SERVICE READY",1,0)</f>
        <v>0</v>
      </c>
      <c r="W1889" s="6"/>
      <c r="X1889" s="6"/>
      <c r="Y1889" s="6"/>
      <c r="Z1889" s="6"/>
    </row>
    <row r="1890" customFormat="false" ht="15" hidden="false" customHeight="false" outlineLevel="0" collapsed="false">
      <c r="A1890" s="9" t="s">
        <v>2141</v>
      </c>
      <c r="B1890" s="9" t="s">
        <v>2093</v>
      </c>
      <c r="C1890" s="9" t="s">
        <v>2094</v>
      </c>
      <c r="D1890" s="9" t="s">
        <v>1735</v>
      </c>
      <c r="E1890" s="9" t="s">
        <v>323</v>
      </c>
      <c r="F1890" s="9" t="s">
        <v>209</v>
      </c>
      <c r="G1890" s="9" t="s">
        <v>221</v>
      </c>
      <c r="H1890" s="9" t="n">
        <v>1950</v>
      </c>
      <c r="I1890" s="29" t="n">
        <v>9</v>
      </c>
      <c r="J1890" s="9" t="n">
        <v>1</v>
      </c>
      <c r="K1890" s="30"/>
      <c r="L1890" s="30"/>
      <c r="M1890" s="30"/>
      <c r="N1890" s="30"/>
      <c r="O1890" s="30"/>
      <c r="P1890" s="30"/>
      <c r="Q1890" s="30"/>
      <c r="R1890" s="30"/>
      <c r="S1890" s="30"/>
      <c r="T1890" s="30"/>
      <c r="U1890" s="21" t="str">
        <f aca="false">IF(COUNT(K1890:T1890)=0,"SOURCE EMPTY / INDUSTRIAL ONLY",IF(MIN(K1890:T1890)=1,"SERVICE READY","HOLD"))</f>
        <v>SOURCE EMPTY / INDUSTRIAL ONLY</v>
      </c>
      <c r="V1890" s="9" t="n">
        <f aca="false">IF(U1890="SERVICE READY",1,0)</f>
        <v>0</v>
      </c>
      <c r="W1890" s="6"/>
      <c r="X1890" s="6"/>
      <c r="Y1890" s="6"/>
      <c r="Z1890" s="6"/>
    </row>
    <row r="1891" customFormat="false" ht="15" hidden="false" customHeight="false" outlineLevel="0" collapsed="false">
      <c r="A1891" s="9" t="s">
        <v>2142</v>
      </c>
      <c r="B1891" s="9" t="s">
        <v>2093</v>
      </c>
      <c r="C1891" s="9" t="s">
        <v>2094</v>
      </c>
      <c r="D1891" s="9" t="s">
        <v>1735</v>
      </c>
      <c r="E1891" s="9" t="s">
        <v>323</v>
      </c>
      <c r="F1891" s="9" t="s">
        <v>211</v>
      </c>
      <c r="G1891" s="9" t="s">
        <v>221</v>
      </c>
      <c r="H1891" s="9" t="n">
        <v>1950</v>
      </c>
      <c r="I1891" s="29" t="n">
        <v>9</v>
      </c>
      <c r="J1891" s="9" t="n">
        <v>1</v>
      </c>
      <c r="K1891" s="30"/>
      <c r="L1891" s="30"/>
      <c r="M1891" s="30"/>
      <c r="N1891" s="30"/>
      <c r="O1891" s="30"/>
      <c r="P1891" s="30"/>
      <c r="Q1891" s="30"/>
      <c r="R1891" s="30"/>
      <c r="S1891" s="30"/>
      <c r="T1891" s="30"/>
      <c r="U1891" s="21" t="str">
        <f aca="false">IF(COUNT(K1891:T1891)=0,"SOURCE EMPTY / INDUSTRIAL ONLY",IF(MIN(K1891:T1891)=1,"SERVICE READY","HOLD"))</f>
        <v>SOURCE EMPTY / INDUSTRIAL ONLY</v>
      </c>
      <c r="V1891" s="9" t="n">
        <f aca="false">IF(U1891="SERVICE READY",1,0)</f>
        <v>0</v>
      </c>
      <c r="W1891" s="6"/>
      <c r="X1891" s="6"/>
      <c r="Y1891" s="6"/>
      <c r="Z1891" s="6"/>
    </row>
    <row r="1892" customFormat="false" ht="15" hidden="false" customHeight="false" outlineLevel="0" collapsed="false">
      <c r="A1892" s="9" t="s">
        <v>2143</v>
      </c>
      <c r="B1892" s="9" t="s">
        <v>2093</v>
      </c>
      <c r="C1892" s="9" t="s">
        <v>2094</v>
      </c>
      <c r="D1892" s="9" t="s">
        <v>1735</v>
      </c>
      <c r="E1892" s="9" t="s">
        <v>323</v>
      </c>
      <c r="F1892" s="9" t="s">
        <v>197</v>
      </c>
      <c r="G1892" s="9" t="s">
        <v>221</v>
      </c>
      <c r="H1892" s="9" t="n">
        <v>1950</v>
      </c>
      <c r="I1892" s="29" t="n">
        <v>9</v>
      </c>
      <c r="J1892" s="9" t="n">
        <v>1</v>
      </c>
      <c r="K1892" s="30"/>
      <c r="L1892" s="30"/>
      <c r="M1892" s="30"/>
      <c r="N1892" s="30"/>
      <c r="O1892" s="30"/>
      <c r="P1892" s="30"/>
      <c r="Q1892" s="30"/>
      <c r="R1892" s="30"/>
      <c r="S1892" s="30"/>
      <c r="T1892" s="30"/>
      <c r="U1892" s="21" t="str">
        <f aca="false">IF(COUNT(K1892:T1892)=0,"SOURCE EMPTY / INDUSTRIAL ONLY",IF(MIN(K1892:T1892)=1,"SERVICE READY","HOLD"))</f>
        <v>SOURCE EMPTY / INDUSTRIAL ONLY</v>
      </c>
      <c r="V1892" s="9" t="n">
        <f aca="false">IF(U1892="SERVICE READY",1,0)</f>
        <v>0</v>
      </c>
      <c r="W1892" s="6"/>
      <c r="X1892" s="6"/>
      <c r="Y1892" s="6"/>
      <c r="Z1892" s="6"/>
    </row>
    <row r="1893" customFormat="false" ht="15" hidden="false" customHeight="false" outlineLevel="0" collapsed="false">
      <c r="A1893" s="9" t="s">
        <v>2144</v>
      </c>
      <c r="B1893" s="9" t="s">
        <v>2093</v>
      </c>
      <c r="C1893" s="9" t="s">
        <v>2094</v>
      </c>
      <c r="D1893" s="9" t="s">
        <v>1735</v>
      </c>
      <c r="E1893" s="9" t="s">
        <v>323</v>
      </c>
      <c r="F1893" s="9" t="s">
        <v>200</v>
      </c>
      <c r="G1893" s="9" t="s">
        <v>221</v>
      </c>
      <c r="H1893" s="9" t="n">
        <v>1950</v>
      </c>
      <c r="I1893" s="29" t="n">
        <v>9</v>
      </c>
      <c r="J1893" s="9" t="n">
        <v>1</v>
      </c>
      <c r="K1893" s="30"/>
      <c r="L1893" s="30"/>
      <c r="M1893" s="30"/>
      <c r="N1893" s="30"/>
      <c r="O1893" s="30"/>
      <c r="P1893" s="30"/>
      <c r="Q1893" s="30"/>
      <c r="R1893" s="30"/>
      <c r="S1893" s="30"/>
      <c r="T1893" s="30"/>
      <c r="U1893" s="21" t="str">
        <f aca="false">IF(COUNT(K1893:T1893)=0,"SOURCE EMPTY / INDUSTRIAL ONLY",IF(MIN(K1893:T1893)=1,"SERVICE READY","HOLD"))</f>
        <v>SOURCE EMPTY / INDUSTRIAL ONLY</v>
      </c>
      <c r="V1893" s="9" t="n">
        <f aca="false">IF(U1893="SERVICE READY",1,0)</f>
        <v>0</v>
      </c>
      <c r="W1893" s="6"/>
      <c r="X1893" s="6"/>
      <c r="Y1893" s="6"/>
      <c r="Z1893" s="6"/>
    </row>
    <row r="1894" customFormat="false" ht="15" hidden="false" customHeight="false" outlineLevel="0" collapsed="false">
      <c r="A1894" s="9" t="s">
        <v>2145</v>
      </c>
      <c r="B1894" s="9" t="s">
        <v>2093</v>
      </c>
      <c r="C1894" s="9" t="s">
        <v>2094</v>
      </c>
      <c r="D1894" s="9" t="s">
        <v>1735</v>
      </c>
      <c r="E1894" s="9" t="s">
        <v>323</v>
      </c>
      <c r="F1894" s="9" t="s">
        <v>203</v>
      </c>
      <c r="G1894" s="9" t="s">
        <v>221</v>
      </c>
      <c r="H1894" s="9" t="n">
        <v>1950</v>
      </c>
      <c r="I1894" s="29" t="n">
        <v>9</v>
      </c>
      <c r="J1894" s="9" t="n">
        <v>1</v>
      </c>
      <c r="K1894" s="30"/>
      <c r="L1894" s="30"/>
      <c r="M1894" s="30"/>
      <c r="N1894" s="30"/>
      <c r="O1894" s="30"/>
      <c r="P1894" s="30"/>
      <c r="Q1894" s="30"/>
      <c r="R1894" s="30"/>
      <c r="S1894" s="30"/>
      <c r="T1894" s="30"/>
      <c r="U1894" s="21" t="str">
        <f aca="false">IF(COUNT(K1894:T1894)=0,"SOURCE EMPTY / INDUSTRIAL ONLY",IF(MIN(K1894:T1894)=1,"SERVICE READY","HOLD"))</f>
        <v>SOURCE EMPTY / INDUSTRIAL ONLY</v>
      </c>
      <c r="V1894" s="9" t="n">
        <f aca="false">IF(U1894="SERVICE READY",1,0)</f>
        <v>0</v>
      </c>
      <c r="W1894" s="6"/>
      <c r="X1894" s="6"/>
      <c r="Y1894" s="6"/>
      <c r="Z1894" s="6"/>
    </row>
    <row r="1895" customFormat="false" ht="15" hidden="false" customHeight="false" outlineLevel="0" collapsed="false">
      <c r="A1895" s="9" t="s">
        <v>2146</v>
      </c>
      <c r="B1895" s="9" t="s">
        <v>2093</v>
      </c>
      <c r="C1895" s="9" t="s">
        <v>2094</v>
      </c>
      <c r="D1895" s="9" t="s">
        <v>1735</v>
      </c>
      <c r="E1895" s="9" t="s">
        <v>323</v>
      </c>
      <c r="F1895" s="9" t="s">
        <v>205</v>
      </c>
      <c r="G1895" s="9" t="s">
        <v>221</v>
      </c>
      <c r="H1895" s="9" t="n">
        <v>1950</v>
      </c>
      <c r="I1895" s="29" t="n">
        <v>9</v>
      </c>
      <c r="J1895" s="9" t="n">
        <v>1</v>
      </c>
      <c r="K1895" s="30"/>
      <c r="L1895" s="30"/>
      <c r="M1895" s="30"/>
      <c r="N1895" s="30"/>
      <c r="O1895" s="30"/>
      <c r="P1895" s="30"/>
      <c r="Q1895" s="30"/>
      <c r="R1895" s="30"/>
      <c r="S1895" s="30"/>
      <c r="T1895" s="30"/>
      <c r="U1895" s="21" t="str">
        <f aca="false">IF(COUNT(K1895:T1895)=0,"SOURCE EMPTY / INDUSTRIAL ONLY",IF(MIN(K1895:T1895)=1,"SERVICE READY","HOLD"))</f>
        <v>SOURCE EMPTY / INDUSTRIAL ONLY</v>
      </c>
      <c r="V1895" s="9" t="n">
        <f aca="false">IF(U1895="SERVICE READY",1,0)</f>
        <v>0</v>
      </c>
      <c r="W1895" s="6"/>
      <c r="X1895" s="6"/>
      <c r="Y1895" s="6"/>
      <c r="Z1895" s="6"/>
    </row>
    <row r="1896" customFormat="false" ht="15" hidden="false" customHeight="false" outlineLevel="0" collapsed="false">
      <c r="A1896" s="9" t="s">
        <v>2147</v>
      </c>
      <c r="B1896" s="9" t="s">
        <v>2093</v>
      </c>
      <c r="C1896" s="9" t="s">
        <v>2094</v>
      </c>
      <c r="D1896" s="9" t="s">
        <v>1735</v>
      </c>
      <c r="E1896" s="9" t="s">
        <v>323</v>
      </c>
      <c r="F1896" s="9" t="s">
        <v>207</v>
      </c>
      <c r="G1896" s="9" t="s">
        <v>221</v>
      </c>
      <c r="H1896" s="9" t="n">
        <v>1950</v>
      </c>
      <c r="I1896" s="29" t="n">
        <v>9</v>
      </c>
      <c r="J1896" s="9" t="n">
        <v>1</v>
      </c>
      <c r="K1896" s="30"/>
      <c r="L1896" s="30"/>
      <c r="M1896" s="30"/>
      <c r="N1896" s="30"/>
      <c r="O1896" s="30"/>
      <c r="P1896" s="30"/>
      <c r="Q1896" s="30"/>
      <c r="R1896" s="30"/>
      <c r="S1896" s="30"/>
      <c r="T1896" s="30"/>
      <c r="U1896" s="21" t="str">
        <f aca="false">IF(COUNT(K1896:T1896)=0,"SOURCE EMPTY / INDUSTRIAL ONLY",IF(MIN(K1896:T1896)=1,"SERVICE READY","HOLD"))</f>
        <v>SOURCE EMPTY / INDUSTRIAL ONLY</v>
      </c>
      <c r="V1896" s="9" t="n">
        <f aca="false">IF(U1896="SERVICE READY",1,0)</f>
        <v>0</v>
      </c>
      <c r="W1896" s="6"/>
      <c r="X1896" s="6"/>
      <c r="Y1896" s="6"/>
      <c r="Z1896" s="6"/>
    </row>
    <row r="1897" customFormat="false" ht="15" hidden="false" customHeight="false" outlineLevel="0" collapsed="false">
      <c r="A1897" s="9" t="s">
        <v>2148</v>
      </c>
      <c r="B1897" s="9" t="s">
        <v>2093</v>
      </c>
      <c r="C1897" s="9" t="s">
        <v>2094</v>
      </c>
      <c r="D1897" s="9" t="s">
        <v>1735</v>
      </c>
      <c r="E1897" s="9" t="s">
        <v>323</v>
      </c>
      <c r="F1897" s="9" t="s">
        <v>209</v>
      </c>
      <c r="G1897" s="9" t="s">
        <v>221</v>
      </c>
      <c r="H1897" s="9" t="n">
        <v>1950</v>
      </c>
      <c r="I1897" s="29" t="n">
        <v>9</v>
      </c>
      <c r="J1897" s="9" t="n">
        <v>1</v>
      </c>
      <c r="K1897" s="30"/>
      <c r="L1897" s="30"/>
      <c r="M1897" s="30"/>
      <c r="N1897" s="30"/>
      <c r="O1897" s="30"/>
      <c r="P1897" s="30"/>
      <c r="Q1897" s="30"/>
      <c r="R1897" s="30"/>
      <c r="S1897" s="30"/>
      <c r="T1897" s="30"/>
      <c r="U1897" s="21" t="str">
        <f aca="false">IF(COUNT(K1897:T1897)=0,"SOURCE EMPTY / INDUSTRIAL ONLY",IF(MIN(K1897:T1897)=1,"SERVICE READY","HOLD"))</f>
        <v>SOURCE EMPTY / INDUSTRIAL ONLY</v>
      </c>
      <c r="V1897" s="9" t="n">
        <f aca="false">IF(U1897="SERVICE READY",1,0)</f>
        <v>0</v>
      </c>
      <c r="W1897" s="6"/>
      <c r="X1897" s="6"/>
      <c r="Y1897" s="6"/>
      <c r="Z1897" s="6"/>
    </row>
    <row r="1898" customFormat="false" ht="15" hidden="false" customHeight="false" outlineLevel="0" collapsed="false">
      <c r="A1898" s="9" t="s">
        <v>2149</v>
      </c>
      <c r="B1898" s="9" t="s">
        <v>2093</v>
      </c>
      <c r="C1898" s="9" t="s">
        <v>2094</v>
      </c>
      <c r="D1898" s="9" t="s">
        <v>1735</v>
      </c>
      <c r="E1898" s="9" t="s">
        <v>323</v>
      </c>
      <c r="F1898" s="9" t="s">
        <v>211</v>
      </c>
      <c r="G1898" s="9" t="s">
        <v>221</v>
      </c>
      <c r="H1898" s="9" t="n">
        <v>1950</v>
      </c>
      <c r="I1898" s="29" t="n">
        <v>9</v>
      </c>
      <c r="J1898" s="9" t="n">
        <v>1</v>
      </c>
      <c r="K1898" s="30"/>
      <c r="L1898" s="30"/>
      <c r="M1898" s="30"/>
      <c r="N1898" s="30"/>
      <c r="O1898" s="30"/>
      <c r="P1898" s="30"/>
      <c r="Q1898" s="30"/>
      <c r="R1898" s="30"/>
      <c r="S1898" s="30"/>
      <c r="T1898" s="30"/>
      <c r="U1898" s="21" t="str">
        <f aca="false">IF(COUNT(K1898:T1898)=0,"SOURCE EMPTY / INDUSTRIAL ONLY",IF(MIN(K1898:T1898)=1,"SERVICE READY","HOLD"))</f>
        <v>SOURCE EMPTY / INDUSTRIAL ONLY</v>
      </c>
      <c r="V1898" s="9" t="n">
        <f aca="false">IF(U1898="SERVICE READY",1,0)</f>
        <v>0</v>
      </c>
      <c r="W1898" s="6"/>
      <c r="X1898" s="6"/>
      <c r="Y1898" s="6"/>
      <c r="Z1898" s="6"/>
    </row>
    <row r="1899" customFormat="false" ht="15" hidden="false" customHeight="false" outlineLevel="0" collapsed="false">
      <c r="A1899" s="9" t="s">
        <v>2150</v>
      </c>
      <c r="B1899" s="9" t="s">
        <v>2093</v>
      </c>
      <c r="C1899" s="9" t="s">
        <v>2094</v>
      </c>
      <c r="D1899" s="9" t="s">
        <v>1735</v>
      </c>
      <c r="E1899" s="9" t="s">
        <v>323</v>
      </c>
      <c r="F1899" s="9" t="s">
        <v>197</v>
      </c>
      <c r="G1899" s="9" t="s">
        <v>221</v>
      </c>
      <c r="H1899" s="9" t="n">
        <v>1950</v>
      </c>
      <c r="I1899" s="29" t="n">
        <v>9</v>
      </c>
      <c r="J1899" s="9" t="n">
        <v>1</v>
      </c>
      <c r="K1899" s="30"/>
      <c r="L1899" s="30"/>
      <c r="M1899" s="30"/>
      <c r="N1899" s="30"/>
      <c r="O1899" s="30"/>
      <c r="P1899" s="30"/>
      <c r="Q1899" s="30"/>
      <c r="R1899" s="30"/>
      <c r="S1899" s="30"/>
      <c r="T1899" s="30"/>
      <c r="U1899" s="21" t="str">
        <f aca="false">IF(COUNT(K1899:T1899)=0,"SOURCE EMPTY / INDUSTRIAL ONLY",IF(MIN(K1899:T1899)=1,"SERVICE READY","HOLD"))</f>
        <v>SOURCE EMPTY / INDUSTRIAL ONLY</v>
      </c>
      <c r="V1899" s="9" t="n">
        <f aca="false">IF(U1899="SERVICE READY",1,0)</f>
        <v>0</v>
      </c>
      <c r="W1899" s="6"/>
      <c r="X1899" s="6"/>
      <c r="Y1899" s="6"/>
      <c r="Z1899" s="6"/>
    </row>
    <row r="1900" customFormat="false" ht="15" hidden="false" customHeight="false" outlineLevel="0" collapsed="false">
      <c r="A1900" s="9" t="s">
        <v>2151</v>
      </c>
      <c r="B1900" s="9" t="s">
        <v>2093</v>
      </c>
      <c r="C1900" s="9" t="s">
        <v>2094</v>
      </c>
      <c r="D1900" s="9" t="s">
        <v>1735</v>
      </c>
      <c r="E1900" s="9" t="s">
        <v>323</v>
      </c>
      <c r="F1900" s="9" t="s">
        <v>200</v>
      </c>
      <c r="G1900" s="9" t="s">
        <v>221</v>
      </c>
      <c r="H1900" s="9" t="n">
        <v>1950</v>
      </c>
      <c r="I1900" s="29" t="n">
        <v>9</v>
      </c>
      <c r="J1900" s="9" t="n">
        <v>1</v>
      </c>
      <c r="K1900" s="30"/>
      <c r="L1900" s="30"/>
      <c r="M1900" s="30"/>
      <c r="N1900" s="30"/>
      <c r="O1900" s="30"/>
      <c r="P1900" s="30"/>
      <c r="Q1900" s="30"/>
      <c r="R1900" s="30"/>
      <c r="S1900" s="30"/>
      <c r="T1900" s="30"/>
      <c r="U1900" s="21" t="str">
        <f aca="false">IF(COUNT(K1900:T1900)=0,"SOURCE EMPTY / INDUSTRIAL ONLY",IF(MIN(K1900:T1900)=1,"SERVICE READY","HOLD"))</f>
        <v>SOURCE EMPTY / INDUSTRIAL ONLY</v>
      </c>
      <c r="V1900" s="9" t="n">
        <f aca="false">IF(U1900="SERVICE READY",1,0)</f>
        <v>0</v>
      </c>
      <c r="W1900" s="6"/>
      <c r="X1900" s="6"/>
      <c r="Y1900" s="6"/>
      <c r="Z1900" s="6"/>
    </row>
    <row r="1901" customFormat="false" ht="15" hidden="false" customHeight="false" outlineLevel="0" collapsed="false">
      <c r="A1901" s="9" t="s">
        <v>2152</v>
      </c>
      <c r="B1901" s="9" t="s">
        <v>2093</v>
      </c>
      <c r="C1901" s="9" t="s">
        <v>2094</v>
      </c>
      <c r="D1901" s="9" t="s">
        <v>1735</v>
      </c>
      <c r="E1901" s="9" t="s">
        <v>323</v>
      </c>
      <c r="F1901" s="9" t="s">
        <v>203</v>
      </c>
      <c r="G1901" s="9" t="s">
        <v>221</v>
      </c>
      <c r="H1901" s="9" t="n">
        <v>1950</v>
      </c>
      <c r="I1901" s="29" t="n">
        <v>9</v>
      </c>
      <c r="J1901" s="9" t="n">
        <v>0</v>
      </c>
      <c r="K1901" s="30"/>
      <c r="L1901" s="30"/>
      <c r="M1901" s="30"/>
      <c r="N1901" s="30"/>
      <c r="O1901" s="30"/>
      <c r="P1901" s="30"/>
      <c r="Q1901" s="30"/>
      <c r="R1901" s="30"/>
      <c r="S1901" s="30"/>
      <c r="T1901" s="30"/>
      <c r="U1901" s="21" t="str">
        <f aca="false">IF(COUNT(K1901:T1901)=0,"SOURCE EMPTY / INDUSTRIAL ONLY",IF(MIN(K1901:T1901)=1,"SERVICE READY","HOLD"))</f>
        <v>SOURCE EMPTY / INDUSTRIAL ONLY</v>
      </c>
      <c r="V1901" s="9" t="n">
        <f aca="false">IF(U1901="SERVICE READY",1,0)</f>
        <v>0</v>
      </c>
      <c r="W1901" s="6"/>
      <c r="X1901" s="6"/>
      <c r="Y1901" s="6"/>
      <c r="Z1901" s="6"/>
    </row>
    <row r="1902" customFormat="false" ht="15" hidden="false" customHeight="false" outlineLevel="0" collapsed="false">
      <c r="A1902" s="9" t="s">
        <v>2153</v>
      </c>
      <c r="B1902" s="9" t="s">
        <v>2093</v>
      </c>
      <c r="C1902" s="9" t="s">
        <v>2094</v>
      </c>
      <c r="D1902" s="9" t="s">
        <v>1735</v>
      </c>
      <c r="E1902" s="9" t="s">
        <v>323</v>
      </c>
      <c r="F1902" s="9" t="s">
        <v>205</v>
      </c>
      <c r="G1902" s="9" t="s">
        <v>221</v>
      </c>
      <c r="H1902" s="9" t="n">
        <v>1950</v>
      </c>
      <c r="I1902" s="29" t="n">
        <v>9</v>
      </c>
      <c r="J1902" s="9" t="n">
        <v>0</v>
      </c>
      <c r="K1902" s="30"/>
      <c r="L1902" s="30"/>
      <c r="M1902" s="30"/>
      <c r="N1902" s="30"/>
      <c r="O1902" s="30"/>
      <c r="P1902" s="30"/>
      <c r="Q1902" s="30"/>
      <c r="R1902" s="30"/>
      <c r="S1902" s="30"/>
      <c r="T1902" s="30"/>
      <c r="U1902" s="21" t="str">
        <f aca="false">IF(COUNT(K1902:T1902)=0,"SOURCE EMPTY / INDUSTRIAL ONLY",IF(MIN(K1902:T1902)=1,"SERVICE READY","HOLD"))</f>
        <v>SOURCE EMPTY / INDUSTRIAL ONLY</v>
      </c>
      <c r="V1902" s="9" t="n">
        <f aca="false">IF(U1902="SERVICE READY",1,0)</f>
        <v>0</v>
      </c>
      <c r="W1902" s="6"/>
      <c r="X1902" s="6"/>
      <c r="Y1902" s="6"/>
      <c r="Z1902" s="6"/>
    </row>
    <row r="1903" customFormat="false" ht="15" hidden="false" customHeight="false" outlineLevel="0" collapsed="false">
      <c r="A1903" s="9" t="s">
        <v>2154</v>
      </c>
      <c r="B1903" s="9" t="s">
        <v>2093</v>
      </c>
      <c r="C1903" s="9" t="s">
        <v>2094</v>
      </c>
      <c r="D1903" s="9" t="s">
        <v>1735</v>
      </c>
      <c r="E1903" s="9" t="s">
        <v>323</v>
      </c>
      <c r="F1903" s="9" t="s">
        <v>207</v>
      </c>
      <c r="G1903" s="9" t="s">
        <v>221</v>
      </c>
      <c r="H1903" s="9" t="n">
        <v>1950</v>
      </c>
      <c r="I1903" s="29" t="n">
        <v>9</v>
      </c>
      <c r="J1903" s="9" t="n">
        <v>0</v>
      </c>
      <c r="K1903" s="30"/>
      <c r="L1903" s="30"/>
      <c r="M1903" s="30"/>
      <c r="N1903" s="30"/>
      <c r="O1903" s="30"/>
      <c r="P1903" s="30"/>
      <c r="Q1903" s="30"/>
      <c r="R1903" s="30"/>
      <c r="S1903" s="30"/>
      <c r="T1903" s="30"/>
      <c r="U1903" s="21" t="str">
        <f aca="false">IF(COUNT(K1903:T1903)=0,"SOURCE EMPTY / INDUSTRIAL ONLY",IF(MIN(K1903:T1903)=1,"SERVICE READY","HOLD"))</f>
        <v>SOURCE EMPTY / INDUSTRIAL ONLY</v>
      </c>
      <c r="V1903" s="9" t="n">
        <f aca="false">IF(U1903="SERVICE READY",1,0)</f>
        <v>0</v>
      </c>
      <c r="W1903" s="6"/>
      <c r="X1903" s="6"/>
      <c r="Y1903" s="6"/>
      <c r="Z1903" s="6"/>
    </row>
    <row r="1904" customFormat="false" ht="15" hidden="false" customHeight="false" outlineLevel="0" collapsed="false">
      <c r="A1904" s="9" t="s">
        <v>2155</v>
      </c>
      <c r="B1904" s="9" t="s">
        <v>2093</v>
      </c>
      <c r="C1904" s="9" t="s">
        <v>2094</v>
      </c>
      <c r="D1904" s="9" t="s">
        <v>1735</v>
      </c>
      <c r="E1904" s="9" t="s">
        <v>323</v>
      </c>
      <c r="F1904" s="9" t="s">
        <v>209</v>
      </c>
      <c r="G1904" s="9" t="s">
        <v>221</v>
      </c>
      <c r="H1904" s="9" t="n">
        <v>1950</v>
      </c>
      <c r="I1904" s="29" t="n">
        <v>9</v>
      </c>
      <c r="J1904" s="9" t="n">
        <v>0</v>
      </c>
      <c r="K1904" s="30"/>
      <c r="L1904" s="30"/>
      <c r="M1904" s="30"/>
      <c r="N1904" s="30"/>
      <c r="O1904" s="30"/>
      <c r="P1904" s="30"/>
      <c r="Q1904" s="30"/>
      <c r="R1904" s="30"/>
      <c r="S1904" s="30"/>
      <c r="T1904" s="30"/>
      <c r="U1904" s="21" t="str">
        <f aca="false">IF(COUNT(K1904:T1904)=0,"SOURCE EMPTY / INDUSTRIAL ONLY",IF(MIN(K1904:T1904)=1,"SERVICE READY","HOLD"))</f>
        <v>SOURCE EMPTY / INDUSTRIAL ONLY</v>
      </c>
      <c r="V1904" s="9" t="n">
        <f aca="false">IF(U1904="SERVICE READY",1,0)</f>
        <v>0</v>
      </c>
      <c r="W1904" s="6"/>
      <c r="X1904" s="6"/>
      <c r="Y1904" s="6"/>
      <c r="Z1904" s="6"/>
    </row>
    <row r="1905" customFormat="false" ht="15" hidden="false" customHeight="false" outlineLevel="0" collapsed="false">
      <c r="A1905" s="9" t="s">
        <v>2156</v>
      </c>
      <c r="B1905" s="9" t="s">
        <v>2093</v>
      </c>
      <c r="C1905" s="9" t="s">
        <v>2094</v>
      </c>
      <c r="D1905" s="9" t="s">
        <v>1735</v>
      </c>
      <c r="E1905" s="9" t="s">
        <v>323</v>
      </c>
      <c r="F1905" s="9" t="s">
        <v>211</v>
      </c>
      <c r="G1905" s="9" t="s">
        <v>221</v>
      </c>
      <c r="H1905" s="9" t="n">
        <v>1950</v>
      </c>
      <c r="I1905" s="29" t="n">
        <v>9</v>
      </c>
      <c r="J1905" s="9" t="n">
        <v>0</v>
      </c>
      <c r="K1905" s="30"/>
      <c r="L1905" s="30"/>
      <c r="M1905" s="30"/>
      <c r="N1905" s="30"/>
      <c r="O1905" s="30"/>
      <c r="P1905" s="30"/>
      <c r="Q1905" s="30"/>
      <c r="R1905" s="30"/>
      <c r="S1905" s="30"/>
      <c r="T1905" s="30"/>
      <c r="U1905" s="21" t="str">
        <f aca="false">IF(COUNT(K1905:T1905)=0,"SOURCE EMPTY / INDUSTRIAL ONLY",IF(MIN(K1905:T1905)=1,"SERVICE READY","HOLD"))</f>
        <v>SOURCE EMPTY / INDUSTRIAL ONLY</v>
      </c>
      <c r="V1905" s="9" t="n">
        <f aca="false">IF(U1905="SERVICE READY",1,0)</f>
        <v>0</v>
      </c>
      <c r="W1905" s="6"/>
      <c r="X1905" s="6"/>
      <c r="Y1905" s="6"/>
      <c r="Z1905" s="6"/>
    </row>
    <row r="1906" customFormat="false" ht="15" hidden="false" customHeight="false" outlineLevel="0" collapsed="false">
      <c r="A1906" s="9" t="s">
        <v>2157</v>
      </c>
      <c r="B1906" s="9" t="s">
        <v>2093</v>
      </c>
      <c r="C1906" s="9" t="s">
        <v>2094</v>
      </c>
      <c r="D1906" s="9" t="s">
        <v>1735</v>
      </c>
      <c r="E1906" s="9" t="s">
        <v>323</v>
      </c>
      <c r="F1906" s="9" t="s">
        <v>197</v>
      </c>
      <c r="G1906" s="9" t="s">
        <v>221</v>
      </c>
      <c r="H1906" s="9" t="n">
        <v>1950</v>
      </c>
      <c r="I1906" s="29" t="n">
        <v>9</v>
      </c>
      <c r="J1906" s="9" t="n">
        <v>0</v>
      </c>
      <c r="K1906" s="30"/>
      <c r="L1906" s="30"/>
      <c r="M1906" s="30"/>
      <c r="N1906" s="30"/>
      <c r="O1906" s="30"/>
      <c r="P1906" s="30"/>
      <c r="Q1906" s="30"/>
      <c r="R1906" s="30"/>
      <c r="S1906" s="30"/>
      <c r="T1906" s="30"/>
      <c r="U1906" s="21" t="str">
        <f aca="false">IF(COUNT(K1906:T1906)=0,"SOURCE EMPTY / INDUSTRIAL ONLY",IF(MIN(K1906:T1906)=1,"SERVICE READY","HOLD"))</f>
        <v>SOURCE EMPTY / INDUSTRIAL ONLY</v>
      </c>
      <c r="V1906" s="9" t="n">
        <f aca="false">IF(U1906="SERVICE READY",1,0)</f>
        <v>0</v>
      </c>
      <c r="W1906" s="6"/>
      <c r="X1906" s="6"/>
      <c r="Y1906" s="6"/>
      <c r="Z1906" s="6"/>
    </row>
    <row r="1907" customFormat="false" ht="15" hidden="false" customHeight="false" outlineLevel="0" collapsed="false">
      <c r="A1907" s="9" t="s">
        <v>2158</v>
      </c>
      <c r="B1907" s="9" t="s">
        <v>2093</v>
      </c>
      <c r="C1907" s="9" t="s">
        <v>2094</v>
      </c>
      <c r="D1907" s="9" t="s">
        <v>1735</v>
      </c>
      <c r="E1907" s="9" t="s">
        <v>323</v>
      </c>
      <c r="F1907" s="9" t="s">
        <v>200</v>
      </c>
      <c r="G1907" s="9" t="s">
        <v>221</v>
      </c>
      <c r="H1907" s="9" t="n">
        <v>1950</v>
      </c>
      <c r="I1907" s="29" t="n">
        <v>9</v>
      </c>
      <c r="J1907" s="9" t="n">
        <v>0</v>
      </c>
      <c r="K1907" s="30"/>
      <c r="L1907" s="30"/>
      <c r="M1907" s="30"/>
      <c r="N1907" s="30"/>
      <c r="O1907" s="30"/>
      <c r="P1907" s="30"/>
      <c r="Q1907" s="30"/>
      <c r="R1907" s="30"/>
      <c r="S1907" s="30"/>
      <c r="T1907" s="30"/>
      <c r="U1907" s="21" t="str">
        <f aca="false">IF(COUNT(K1907:T1907)=0,"SOURCE EMPTY / INDUSTRIAL ONLY",IF(MIN(K1907:T1907)=1,"SERVICE READY","HOLD"))</f>
        <v>SOURCE EMPTY / INDUSTRIAL ONLY</v>
      </c>
      <c r="V1907" s="9" t="n">
        <f aca="false">IF(U1907="SERVICE READY",1,0)</f>
        <v>0</v>
      </c>
      <c r="W1907" s="6"/>
      <c r="X1907" s="6"/>
      <c r="Y1907" s="6"/>
      <c r="Z1907" s="6"/>
    </row>
    <row r="1908" customFormat="false" ht="15" hidden="false" customHeight="false" outlineLevel="0" collapsed="false">
      <c r="A1908" s="9" t="s">
        <v>2159</v>
      </c>
      <c r="B1908" s="9" t="s">
        <v>2093</v>
      </c>
      <c r="C1908" s="9" t="s">
        <v>2094</v>
      </c>
      <c r="D1908" s="9" t="s">
        <v>1735</v>
      </c>
      <c r="E1908" s="9" t="s">
        <v>323</v>
      </c>
      <c r="F1908" s="9" t="s">
        <v>203</v>
      </c>
      <c r="G1908" s="9" t="s">
        <v>221</v>
      </c>
      <c r="H1908" s="9" t="n">
        <v>1950</v>
      </c>
      <c r="I1908" s="29" t="n">
        <v>9</v>
      </c>
      <c r="J1908" s="9" t="n">
        <v>0</v>
      </c>
      <c r="K1908" s="30"/>
      <c r="L1908" s="30"/>
      <c r="M1908" s="30"/>
      <c r="N1908" s="30"/>
      <c r="O1908" s="30"/>
      <c r="P1908" s="30"/>
      <c r="Q1908" s="30"/>
      <c r="R1908" s="30"/>
      <c r="S1908" s="30"/>
      <c r="T1908" s="30"/>
      <c r="U1908" s="21" t="str">
        <f aca="false">IF(COUNT(K1908:T1908)=0,"SOURCE EMPTY / INDUSTRIAL ONLY",IF(MIN(K1908:T1908)=1,"SERVICE READY","HOLD"))</f>
        <v>SOURCE EMPTY / INDUSTRIAL ONLY</v>
      </c>
      <c r="V1908" s="9" t="n">
        <f aca="false">IF(U1908="SERVICE READY",1,0)</f>
        <v>0</v>
      </c>
      <c r="W1908" s="6"/>
      <c r="X1908" s="6"/>
      <c r="Y1908" s="6"/>
      <c r="Z1908" s="6"/>
    </row>
    <row r="1909" customFormat="false" ht="15" hidden="false" customHeight="false" outlineLevel="0" collapsed="false">
      <c r="A1909" s="9" t="s">
        <v>2160</v>
      </c>
      <c r="B1909" s="9" t="s">
        <v>2093</v>
      </c>
      <c r="C1909" s="9" t="s">
        <v>2094</v>
      </c>
      <c r="D1909" s="9" t="s">
        <v>1735</v>
      </c>
      <c r="E1909" s="9" t="s">
        <v>323</v>
      </c>
      <c r="F1909" s="9" t="s">
        <v>205</v>
      </c>
      <c r="G1909" s="9" t="s">
        <v>221</v>
      </c>
      <c r="H1909" s="9" t="n">
        <v>1950</v>
      </c>
      <c r="I1909" s="29" t="n">
        <v>9</v>
      </c>
      <c r="J1909" s="9" t="n">
        <v>0</v>
      </c>
      <c r="K1909" s="30"/>
      <c r="L1909" s="30"/>
      <c r="M1909" s="30"/>
      <c r="N1909" s="30"/>
      <c r="O1909" s="30"/>
      <c r="P1909" s="30"/>
      <c r="Q1909" s="30"/>
      <c r="R1909" s="30"/>
      <c r="S1909" s="30"/>
      <c r="T1909" s="30"/>
      <c r="U1909" s="21" t="str">
        <f aca="false">IF(COUNT(K1909:T1909)=0,"SOURCE EMPTY / INDUSTRIAL ONLY",IF(MIN(K1909:T1909)=1,"SERVICE READY","HOLD"))</f>
        <v>SOURCE EMPTY / INDUSTRIAL ONLY</v>
      </c>
      <c r="V1909" s="9" t="n">
        <f aca="false">IF(U1909="SERVICE READY",1,0)</f>
        <v>0</v>
      </c>
      <c r="W1909" s="6"/>
      <c r="X1909" s="6"/>
      <c r="Y1909" s="6"/>
      <c r="Z1909" s="6"/>
    </row>
    <row r="1910" customFormat="false" ht="15" hidden="false" customHeight="false" outlineLevel="0" collapsed="false">
      <c r="A1910" s="9" t="s">
        <v>2161</v>
      </c>
      <c r="B1910" s="9" t="s">
        <v>2093</v>
      </c>
      <c r="C1910" s="9" t="s">
        <v>2094</v>
      </c>
      <c r="D1910" s="9" t="s">
        <v>1735</v>
      </c>
      <c r="E1910" s="9" t="s">
        <v>323</v>
      </c>
      <c r="F1910" s="9" t="s">
        <v>207</v>
      </c>
      <c r="G1910" s="9" t="s">
        <v>221</v>
      </c>
      <c r="H1910" s="9" t="n">
        <v>1950</v>
      </c>
      <c r="I1910" s="29" t="n">
        <v>9</v>
      </c>
      <c r="J1910" s="9" t="n">
        <v>0</v>
      </c>
      <c r="K1910" s="30"/>
      <c r="L1910" s="30"/>
      <c r="M1910" s="30"/>
      <c r="N1910" s="30"/>
      <c r="O1910" s="30"/>
      <c r="P1910" s="30"/>
      <c r="Q1910" s="30"/>
      <c r="R1910" s="30"/>
      <c r="S1910" s="30"/>
      <c r="T1910" s="30"/>
      <c r="U1910" s="21" t="str">
        <f aca="false">IF(COUNT(K1910:T1910)=0,"SOURCE EMPTY / INDUSTRIAL ONLY",IF(MIN(K1910:T1910)=1,"SERVICE READY","HOLD"))</f>
        <v>SOURCE EMPTY / INDUSTRIAL ONLY</v>
      </c>
      <c r="V1910" s="9" t="n">
        <f aca="false">IF(U1910="SERVICE READY",1,0)</f>
        <v>0</v>
      </c>
      <c r="W1910" s="6"/>
      <c r="X1910" s="6"/>
      <c r="Y1910" s="6"/>
      <c r="Z1910" s="6"/>
    </row>
    <row r="1911" customFormat="false" ht="15" hidden="false" customHeight="false" outlineLevel="0" collapsed="false">
      <c r="A1911" s="9" t="s">
        <v>2162</v>
      </c>
      <c r="B1911" s="9" t="s">
        <v>2093</v>
      </c>
      <c r="C1911" s="9" t="s">
        <v>2094</v>
      </c>
      <c r="D1911" s="9" t="s">
        <v>1735</v>
      </c>
      <c r="E1911" s="9" t="s">
        <v>323</v>
      </c>
      <c r="F1911" s="9" t="s">
        <v>209</v>
      </c>
      <c r="G1911" s="9" t="s">
        <v>221</v>
      </c>
      <c r="H1911" s="9" t="n">
        <v>1950</v>
      </c>
      <c r="I1911" s="29" t="n">
        <v>9</v>
      </c>
      <c r="J1911" s="9" t="n">
        <v>0</v>
      </c>
      <c r="K1911" s="30"/>
      <c r="L1911" s="30"/>
      <c r="M1911" s="30"/>
      <c r="N1911" s="30"/>
      <c r="O1911" s="30"/>
      <c r="P1911" s="30"/>
      <c r="Q1911" s="30"/>
      <c r="R1911" s="30"/>
      <c r="S1911" s="30"/>
      <c r="T1911" s="30"/>
      <c r="U1911" s="21" t="str">
        <f aca="false">IF(COUNT(K1911:T1911)=0,"SOURCE EMPTY / INDUSTRIAL ONLY",IF(MIN(K1911:T1911)=1,"SERVICE READY","HOLD"))</f>
        <v>SOURCE EMPTY / INDUSTRIAL ONLY</v>
      </c>
      <c r="V1911" s="9" t="n">
        <f aca="false">IF(U1911="SERVICE READY",1,0)</f>
        <v>0</v>
      </c>
      <c r="W1911" s="6"/>
      <c r="X1911" s="6"/>
      <c r="Y1911" s="6"/>
      <c r="Z1911" s="6"/>
    </row>
    <row r="1912" customFormat="false" ht="15" hidden="false" customHeight="false" outlineLevel="0" collapsed="false">
      <c r="A1912" s="9" t="s">
        <v>2163</v>
      </c>
      <c r="B1912" s="9" t="s">
        <v>2093</v>
      </c>
      <c r="C1912" s="9" t="s">
        <v>2094</v>
      </c>
      <c r="D1912" s="9" t="s">
        <v>1735</v>
      </c>
      <c r="E1912" s="9" t="s">
        <v>323</v>
      </c>
      <c r="F1912" s="9" t="s">
        <v>211</v>
      </c>
      <c r="G1912" s="9" t="s">
        <v>221</v>
      </c>
      <c r="H1912" s="9" t="n">
        <v>1950</v>
      </c>
      <c r="I1912" s="29" t="n">
        <v>9</v>
      </c>
      <c r="J1912" s="9" t="n">
        <v>0</v>
      </c>
      <c r="K1912" s="30"/>
      <c r="L1912" s="30"/>
      <c r="M1912" s="30"/>
      <c r="N1912" s="30"/>
      <c r="O1912" s="30"/>
      <c r="P1912" s="30"/>
      <c r="Q1912" s="30"/>
      <c r="R1912" s="30"/>
      <c r="S1912" s="30"/>
      <c r="T1912" s="30"/>
      <c r="U1912" s="21" t="str">
        <f aca="false">IF(COUNT(K1912:T1912)=0,"SOURCE EMPTY / INDUSTRIAL ONLY",IF(MIN(K1912:T1912)=1,"SERVICE READY","HOLD"))</f>
        <v>SOURCE EMPTY / INDUSTRIAL ONLY</v>
      </c>
      <c r="V1912" s="9" t="n">
        <f aca="false">IF(U1912="SERVICE READY",1,0)</f>
        <v>0</v>
      </c>
      <c r="W1912" s="6"/>
      <c r="X1912" s="6"/>
      <c r="Y1912" s="6"/>
      <c r="Z1912" s="6"/>
    </row>
    <row r="1913" customFormat="false" ht="15" hidden="false" customHeight="false" outlineLevel="0" collapsed="false">
      <c r="A1913" s="9" t="s">
        <v>2164</v>
      </c>
      <c r="B1913" s="9" t="s">
        <v>2093</v>
      </c>
      <c r="C1913" s="9" t="s">
        <v>2094</v>
      </c>
      <c r="D1913" s="9" t="s">
        <v>1735</v>
      </c>
      <c r="E1913" s="9" t="s">
        <v>323</v>
      </c>
      <c r="F1913" s="9" t="s">
        <v>197</v>
      </c>
      <c r="G1913" s="9" t="s">
        <v>221</v>
      </c>
      <c r="H1913" s="9" t="n">
        <v>1950</v>
      </c>
      <c r="I1913" s="29" t="n">
        <v>9</v>
      </c>
      <c r="J1913" s="9" t="n">
        <v>0</v>
      </c>
      <c r="K1913" s="30"/>
      <c r="L1913" s="30"/>
      <c r="M1913" s="30"/>
      <c r="N1913" s="30"/>
      <c r="O1913" s="30"/>
      <c r="P1913" s="30"/>
      <c r="Q1913" s="30"/>
      <c r="R1913" s="30"/>
      <c r="S1913" s="30"/>
      <c r="T1913" s="30"/>
      <c r="U1913" s="21" t="str">
        <f aca="false">IF(COUNT(K1913:T1913)=0,"SOURCE EMPTY / INDUSTRIAL ONLY",IF(MIN(K1913:T1913)=1,"SERVICE READY","HOLD"))</f>
        <v>SOURCE EMPTY / INDUSTRIAL ONLY</v>
      </c>
      <c r="V1913" s="9" t="n">
        <f aca="false">IF(U1913="SERVICE READY",1,0)</f>
        <v>0</v>
      </c>
      <c r="W1913" s="6"/>
      <c r="X1913" s="6"/>
      <c r="Y1913" s="6"/>
      <c r="Z1913" s="6"/>
    </row>
    <row r="1914" customFormat="false" ht="15" hidden="false" customHeight="false" outlineLevel="0" collapsed="false">
      <c r="A1914" s="9" t="s">
        <v>2165</v>
      </c>
      <c r="B1914" s="9" t="s">
        <v>2093</v>
      </c>
      <c r="C1914" s="9" t="s">
        <v>2094</v>
      </c>
      <c r="D1914" s="9" t="s">
        <v>1735</v>
      </c>
      <c r="E1914" s="9" t="s">
        <v>323</v>
      </c>
      <c r="F1914" s="9" t="s">
        <v>200</v>
      </c>
      <c r="G1914" s="9" t="s">
        <v>221</v>
      </c>
      <c r="H1914" s="9" t="n">
        <v>1950</v>
      </c>
      <c r="I1914" s="29" t="n">
        <v>9</v>
      </c>
      <c r="J1914" s="9" t="n">
        <v>0</v>
      </c>
      <c r="K1914" s="30"/>
      <c r="L1914" s="30"/>
      <c r="M1914" s="30"/>
      <c r="N1914" s="30"/>
      <c r="O1914" s="30"/>
      <c r="P1914" s="30"/>
      <c r="Q1914" s="30"/>
      <c r="R1914" s="30"/>
      <c r="S1914" s="30"/>
      <c r="T1914" s="30"/>
      <c r="U1914" s="21" t="str">
        <f aca="false">IF(COUNT(K1914:T1914)=0,"SOURCE EMPTY / INDUSTRIAL ONLY",IF(MIN(K1914:T1914)=1,"SERVICE READY","HOLD"))</f>
        <v>SOURCE EMPTY / INDUSTRIAL ONLY</v>
      </c>
      <c r="V1914" s="9" t="n">
        <f aca="false">IF(U1914="SERVICE READY",1,0)</f>
        <v>0</v>
      </c>
      <c r="W1914" s="6"/>
      <c r="X1914" s="6"/>
      <c r="Y1914" s="6"/>
      <c r="Z1914" s="6"/>
    </row>
    <row r="1915" customFormat="false" ht="15" hidden="false" customHeight="false" outlineLevel="0" collapsed="false">
      <c r="A1915" s="9" t="s">
        <v>2166</v>
      </c>
      <c r="B1915" s="9" t="s">
        <v>2093</v>
      </c>
      <c r="C1915" s="9" t="s">
        <v>2094</v>
      </c>
      <c r="D1915" s="9" t="s">
        <v>1735</v>
      </c>
      <c r="E1915" s="9" t="s">
        <v>323</v>
      </c>
      <c r="F1915" s="9" t="s">
        <v>203</v>
      </c>
      <c r="G1915" s="9" t="s">
        <v>221</v>
      </c>
      <c r="H1915" s="9" t="n">
        <v>1950</v>
      </c>
      <c r="I1915" s="29" t="n">
        <v>9</v>
      </c>
      <c r="J1915" s="9" t="n">
        <v>0</v>
      </c>
      <c r="K1915" s="30"/>
      <c r="L1915" s="30"/>
      <c r="M1915" s="30"/>
      <c r="N1915" s="30"/>
      <c r="O1915" s="30"/>
      <c r="P1915" s="30"/>
      <c r="Q1915" s="30"/>
      <c r="R1915" s="30"/>
      <c r="S1915" s="30"/>
      <c r="T1915" s="30"/>
      <c r="U1915" s="21" t="str">
        <f aca="false">IF(COUNT(K1915:T1915)=0,"SOURCE EMPTY / INDUSTRIAL ONLY",IF(MIN(K1915:T1915)=1,"SERVICE READY","HOLD"))</f>
        <v>SOURCE EMPTY / INDUSTRIAL ONLY</v>
      </c>
      <c r="V1915" s="9" t="n">
        <f aca="false">IF(U1915="SERVICE READY",1,0)</f>
        <v>0</v>
      </c>
      <c r="W1915" s="6"/>
      <c r="X1915" s="6"/>
      <c r="Y1915" s="6"/>
      <c r="Z1915" s="6"/>
    </row>
    <row r="1916" customFormat="false" ht="15" hidden="false" customHeight="false" outlineLevel="0" collapsed="false">
      <c r="A1916" s="9" t="s">
        <v>2167</v>
      </c>
      <c r="B1916" s="9" t="s">
        <v>2093</v>
      </c>
      <c r="C1916" s="9" t="s">
        <v>2094</v>
      </c>
      <c r="D1916" s="9" t="s">
        <v>1735</v>
      </c>
      <c r="E1916" s="9" t="s">
        <v>323</v>
      </c>
      <c r="F1916" s="9" t="s">
        <v>205</v>
      </c>
      <c r="G1916" s="9" t="s">
        <v>221</v>
      </c>
      <c r="H1916" s="9" t="n">
        <v>1950</v>
      </c>
      <c r="I1916" s="29" t="n">
        <v>9</v>
      </c>
      <c r="J1916" s="9" t="n">
        <v>0</v>
      </c>
      <c r="K1916" s="30"/>
      <c r="L1916" s="30"/>
      <c r="M1916" s="30"/>
      <c r="N1916" s="30"/>
      <c r="O1916" s="30"/>
      <c r="P1916" s="30"/>
      <c r="Q1916" s="30"/>
      <c r="R1916" s="30"/>
      <c r="S1916" s="30"/>
      <c r="T1916" s="30"/>
      <c r="U1916" s="21" t="str">
        <f aca="false">IF(COUNT(K1916:T1916)=0,"SOURCE EMPTY / INDUSTRIAL ONLY",IF(MIN(K1916:T1916)=1,"SERVICE READY","HOLD"))</f>
        <v>SOURCE EMPTY / INDUSTRIAL ONLY</v>
      </c>
      <c r="V1916" s="9" t="n">
        <f aca="false">IF(U1916="SERVICE READY",1,0)</f>
        <v>0</v>
      </c>
      <c r="W1916" s="6"/>
      <c r="X1916" s="6"/>
      <c r="Y1916" s="6"/>
      <c r="Z1916" s="6"/>
    </row>
    <row r="1917" customFormat="false" ht="15" hidden="false" customHeight="false" outlineLevel="0" collapsed="false">
      <c r="A1917" s="9" t="s">
        <v>2168</v>
      </c>
      <c r="B1917" s="9" t="s">
        <v>2093</v>
      </c>
      <c r="C1917" s="9" t="s">
        <v>2094</v>
      </c>
      <c r="D1917" s="9" t="s">
        <v>1735</v>
      </c>
      <c r="E1917" s="9" t="s">
        <v>323</v>
      </c>
      <c r="F1917" s="9" t="s">
        <v>207</v>
      </c>
      <c r="G1917" s="9" t="s">
        <v>221</v>
      </c>
      <c r="H1917" s="9" t="n">
        <v>1950</v>
      </c>
      <c r="I1917" s="29" t="n">
        <v>9</v>
      </c>
      <c r="J1917" s="9" t="n">
        <v>0</v>
      </c>
      <c r="K1917" s="30"/>
      <c r="L1917" s="30"/>
      <c r="M1917" s="30"/>
      <c r="N1917" s="30"/>
      <c r="O1917" s="30"/>
      <c r="P1917" s="30"/>
      <c r="Q1917" s="30"/>
      <c r="R1917" s="30"/>
      <c r="S1917" s="30"/>
      <c r="T1917" s="30"/>
      <c r="U1917" s="21" t="str">
        <f aca="false">IF(COUNT(K1917:T1917)=0,"SOURCE EMPTY / INDUSTRIAL ONLY",IF(MIN(K1917:T1917)=1,"SERVICE READY","HOLD"))</f>
        <v>SOURCE EMPTY / INDUSTRIAL ONLY</v>
      </c>
      <c r="V1917" s="9" t="n">
        <f aca="false">IF(U1917="SERVICE READY",1,0)</f>
        <v>0</v>
      </c>
      <c r="W1917" s="6"/>
      <c r="X1917" s="6"/>
      <c r="Y1917" s="6"/>
      <c r="Z1917" s="6"/>
    </row>
    <row r="1918" customFormat="false" ht="15" hidden="false" customHeight="false" outlineLevel="0" collapsed="false">
      <c r="A1918" s="9" t="s">
        <v>2169</v>
      </c>
      <c r="B1918" s="9" t="s">
        <v>2093</v>
      </c>
      <c r="C1918" s="9" t="s">
        <v>2094</v>
      </c>
      <c r="D1918" s="9" t="s">
        <v>1735</v>
      </c>
      <c r="E1918" s="9" t="s">
        <v>323</v>
      </c>
      <c r="F1918" s="9" t="s">
        <v>209</v>
      </c>
      <c r="G1918" s="9" t="s">
        <v>221</v>
      </c>
      <c r="H1918" s="9" t="n">
        <v>1950</v>
      </c>
      <c r="I1918" s="29" t="n">
        <v>9</v>
      </c>
      <c r="J1918" s="9" t="n">
        <v>0</v>
      </c>
      <c r="K1918" s="30"/>
      <c r="L1918" s="30"/>
      <c r="M1918" s="30"/>
      <c r="N1918" s="30"/>
      <c r="O1918" s="30"/>
      <c r="P1918" s="30"/>
      <c r="Q1918" s="30"/>
      <c r="R1918" s="30"/>
      <c r="S1918" s="30"/>
      <c r="T1918" s="30"/>
      <c r="U1918" s="21" t="str">
        <f aca="false">IF(COUNT(K1918:T1918)=0,"SOURCE EMPTY / INDUSTRIAL ONLY",IF(MIN(K1918:T1918)=1,"SERVICE READY","HOLD"))</f>
        <v>SOURCE EMPTY / INDUSTRIAL ONLY</v>
      </c>
      <c r="V1918" s="9" t="n">
        <f aca="false">IF(U1918="SERVICE READY",1,0)</f>
        <v>0</v>
      </c>
      <c r="W1918" s="6"/>
      <c r="X1918" s="6"/>
      <c r="Y1918" s="6"/>
      <c r="Z1918" s="6"/>
    </row>
    <row r="1919" customFormat="false" ht="15" hidden="false" customHeight="false" outlineLevel="0" collapsed="false">
      <c r="A1919" s="9" t="s">
        <v>2170</v>
      </c>
      <c r="B1919" s="9" t="s">
        <v>2093</v>
      </c>
      <c r="C1919" s="9" t="s">
        <v>2094</v>
      </c>
      <c r="D1919" s="9" t="s">
        <v>1735</v>
      </c>
      <c r="E1919" s="9" t="s">
        <v>323</v>
      </c>
      <c r="F1919" s="9" t="s">
        <v>211</v>
      </c>
      <c r="G1919" s="9" t="s">
        <v>221</v>
      </c>
      <c r="H1919" s="9" t="n">
        <v>1950</v>
      </c>
      <c r="I1919" s="29" t="n">
        <v>9</v>
      </c>
      <c r="J1919" s="9" t="n">
        <v>0</v>
      </c>
      <c r="K1919" s="30"/>
      <c r="L1919" s="30"/>
      <c r="M1919" s="30"/>
      <c r="N1919" s="30"/>
      <c r="O1919" s="30"/>
      <c r="P1919" s="30"/>
      <c r="Q1919" s="30"/>
      <c r="R1919" s="30"/>
      <c r="S1919" s="30"/>
      <c r="T1919" s="30"/>
      <c r="U1919" s="21" t="str">
        <f aca="false">IF(COUNT(K1919:T1919)=0,"SOURCE EMPTY / INDUSTRIAL ONLY",IF(MIN(K1919:T1919)=1,"SERVICE READY","HOLD"))</f>
        <v>SOURCE EMPTY / INDUSTRIAL ONLY</v>
      </c>
      <c r="V1919" s="9" t="n">
        <f aca="false">IF(U1919="SERVICE READY",1,0)</f>
        <v>0</v>
      </c>
      <c r="W1919" s="6"/>
      <c r="X1919" s="6"/>
      <c r="Y1919" s="6"/>
      <c r="Z1919" s="6"/>
    </row>
    <row r="1920" customFormat="false" ht="15" hidden="false" customHeight="false" outlineLevel="0" collapsed="false">
      <c r="A1920" s="9" t="s">
        <v>2171</v>
      </c>
      <c r="B1920" s="9" t="s">
        <v>2093</v>
      </c>
      <c r="C1920" s="9" t="s">
        <v>2094</v>
      </c>
      <c r="D1920" s="9" t="s">
        <v>1735</v>
      </c>
      <c r="E1920" s="9" t="s">
        <v>323</v>
      </c>
      <c r="F1920" s="9" t="s">
        <v>197</v>
      </c>
      <c r="G1920" s="9" t="s">
        <v>221</v>
      </c>
      <c r="H1920" s="9" t="n">
        <v>1950</v>
      </c>
      <c r="I1920" s="29" t="n">
        <v>9</v>
      </c>
      <c r="J1920" s="9" t="n">
        <v>0</v>
      </c>
      <c r="K1920" s="30"/>
      <c r="L1920" s="30"/>
      <c r="M1920" s="30"/>
      <c r="N1920" s="30"/>
      <c r="O1920" s="30"/>
      <c r="P1920" s="30"/>
      <c r="Q1920" s="30"/>
      <c r="R1920" s="30"/>
      <c r="S1920" s="30"/>
      <c r="T1920" s="30"/>
      <c r="U1920" s="21" t="str">
        <f aca="false">IF(COUNT(K1920:T1920)=0,"SOURCE EMPTY / INDUSTRIAL ONLY",IF(MIN(K1920:T1920)=1,"SERVICE READY","HOLD"))</f>
        <v>SOURCE EMPTY / INDUSTRIAL ONLY</v>
      </c>
      <c r="V1920" s="9" t="n">
        <f aca="false">IF(U1920="SERVICE READY",1,0)</f>
        <v>0</v>
      </c>
      <c r="W1920" s="6"/>
      <c r="X1920" s="6"/>
      <c r="Y1920" s="6"/>
      <c r="Z1920" s="6"/>
    </row>
    <row r="1921" customFormat="false" ht="15" hidden="false" customHeight="false" outlineLevel="0" collapsed="false">
      <c r="A1921" s="9" t="s">
        <v>2172</v>
      </c>
      <c r="B1921" s="9" t="s">
        <v>2093</v>
      </c>
      <c r="C1921" s="9" t="s">
        <v>2094</v>
      </c>
      <c r="D1921" s="9" t="s">
        <v>1735</v>
      </c>
      <c r="E1921" s="9" t="s">
        <v>323</v>
      </c>
      <c r="F1921" s="9" t="s">
        <v>200</v>
      </c>
      <c r="G1921" s="9" t="s">
        <v>221</v>
      </c>
      <c r="H1921" s="9" t="n">
        <v>1950</v>
      </c>
      <c r="I1921" s="29" t="n">
        <v>9</v>
      </c>
      <c r="J1921" s="9" t="n">
        <v>0</v>
      </c>
      <c r="K1921" s="30"/>
      <c r="L1921" s="30"/>
      <c r="M1921" s="30"/>
      <c r="N1921" s="30"/>
      <c r="O1921" s="30"/>
      <c r="P1921" s="30"/>
      <c r="Q1921" s="30"/>
      <c r="R1921" s="30"/>
      <c r="S1921" s="30"/>
      <c r="T1921" s="30"/>
      <c r="U1921" s="21" t="str">
        <f aca="false">IF(COUNT(K1921:T1921)=0,"SOURCE EMPTY / INDUSTRIAL ONLY",IF(MIN(K1921:T1921)=1,"SERVICE READY","HOLD"))</f>
        <v>SOURCE EMPTY / INDUSTRIAL ONLY</v>
      </c>
      <c r="V1921" s="9" t="n">
        <f aca="false">IF(U1921="SERVICE READY",1,0)</f>
        <v>0</v>
      </c>
      <c r="W1921" s="6"/>
      <c r="X1921" s="6"/>
      <c r="Y1921" s="6"/>
      <c r="Z1921" s="6"/>
    </row>
    <row r="1922" customFormat="false" ht="15" hidden="false" customHeight="false" outlineLevel="0" collapsed="false">
      <c r="A1922" s="9" t="s">
        <v>2173</v>
      </c>
      <c r="B1922" s="9" t="s">
        <v>2093</v>
      </c>
      <c r="C1922" s="9" t="s">
        <v>2094</v>
      </c>
      <c r="D1922" s="9" t="s">
        <v>1735</v>
      </c>
      <c r="E1922" s="9" t="s">
        <v>323</v>
      </c>
      <c r="F1922" s="9" t="s">
        <v>203</v>
      </c>
      <c r="G1922" s="9" t="s">
        <v>221</v>
      </c>
      <c r="H1922" s="9" t="n">
        <v>1950</v>
      </c>
      <c r="I1922" s="29" t="n">
        <v>9</v>
      </c>
      <c r="J1922" s="9" t="n">
        <v>0</v>
      </c>
      <c r="K1922" s="30"/>
      <c r="L1922" s="30"/>
      <c r="M1922" s="30"/>
      <c r="N1922" s="30"/>
      <c r="O1922" s="30"/>
      <c r="P1922" s="30"/>
      <c r="Q1922" s="30"/>
      <c r="R1922" s="30"/>
      <c r="S1922" s="30"/>
      <c r="T1922" s="30"/>
      <c r="U1922" s="21" t="str">
        <f aca="false">IF(COUNT(K1922:T1922)=0,"SOURCE EMPTY / INDUSTRIAL ONLY",IF(MIN(K1922:T1922)=1,"SERVICE READY","HOLD"))</f>
        <v>SOURCE EMPTY / INDUSTRIAL ONLY</v>
      </c>
      <c r="V1922" s="9" t="n">
        <f aca="false">IF(U1922="SERVICE READY",1,0)</f>
        <v>0</v>
      </c>
      <c r="W1922" s="6"/>
      <c r="X1922" s="6"/>
      <c r="Y1922" s="6"/>
      <c r="Z1922" s="6"/>
    </row>
    <row r="1923" customFormat="false" ht="15" hidden="false" customHeight="false" outlineLevel="0" collapsed="false">
      <c r="A1923" s="9" t="s">
        <v>2174</v>
      </c>
      <c r="B1923" s="9" t="s">
        <v>2093</v>
      </c>
      <c r="C1923" s="9" t="s">
        <v>2094</v>
      </c>
      <c r="D1923" s="9" t="s">
        <v>1735</v>
      </c>
      <c r="E1923" s="9" t="s">
        <v>323</v>
      </c>
      <c r="F1923" s="9" t="s">
        <v>205</v>
      </c>
      <c r="G1923" s="9" t="s">
        <v>221</v>
      </c>
      <c r="H1923" s="9" t="n">
        <v>1950</v>
      </c>
      <c r="I1923" s="29" t="n">
        <v>9</v>
      </c>
      <c r="J1923" s="9" t="n">
        <v>0</v>
      </c>
      <c r="K1923" s="30"/>
      <c r="L1923" s="30"/>
      <c r="M1923" s="30"/>
      <c r="N1923" s="30"/>
      <c r="O1923" s="30"/>
      <c r="P1923" s="30"/>
      <c r="Q1923" s="30"/>
      <c r="R1923" s="30"/>
      <c r="S1923" s="30"/>
      <c r="T1923" s="30"/>
      <c r="U1923" s="21" t="str">
        <f aca="false">IF(COUNT(K1923:T1923)=0,"SOURCE EMPTY / INDUSTRIAL ONLY",IF(MIN(K1923:T1923)=1,"SERVICE READY","HOLD"))</f>
        <v>SOURCE EMPTY / INDUSTRIAL ONLY</v>
      </c>
      <c r="V1923" s="9" t="n">
        <f aca="false">IF(U1923="SERVICE READY",1,0)</f>
        <v>0</v>
      </c>
      <c r="W1923" s="6"/>
      <c r="X1923" s="6"/>
      <c r="Y1923" s="6"/>
      <c r="Z1923" s="6"/>
    </row>
    <row r="1924" customFormat="false" ht="15" hidden="false" customHeight="false" outlineLevel="0" collapsed="false">
      <c r="A1924" s="9" t="s">
        <v>2175</v>
      </c>
      <c r="B1924" s="9" t="s">
        <v>2093</v>
      </c>
      <c r="C1924" s="9" t="s">
        <v>2094</v>
      </c>
      <c r="D1924" s="9" t="s">
        <v>1735</v>
      </c>
      <c r="E1924" s="9" t="s">
        <v>323</v>
      </c>
      <c r="F1924" s="9" t="s">
        <v>207</v>
      </c>
      <c r="G1924" s="9" t="s">
        <v>221</v>
      </c>
      <c r="H1924" s="9" t="n">
        <v>1950</v>
      </c>
      <c r="I1924" s="29" t="n">
        <v>9</v>
      </c>
      <c r="J1924" s="9" t="n">
        <v>0</v>
      </c>
      <c r="K1924" s="30"/>
      <c r="L1924" s="30"/>
      <c r="M1924" s="30"/>
      <c r="N1924" s="30"/>
      <c r="O1924" s="30"/>
      <c r="P1924" s="30"/>
      <c r="Q1924" s="30"/>
      <c r="R1924" s="30"/>
      <c r="S1924" s="30"/>
      <c r="T1924" s="30"/>
      <c r="U1924" s="21" t="str">
        <f aca="false">IF(COUNT(K1924:T1924)=0,"SOURCE EMPTY / INDUSTRIAL ONLY",IF(MIN(K1924:T1924)=1,"SERVICE READY","HOLD"))</f>
        <v>SOURCE EMPTY / INDUSTRIAL ONLY</v>
      </c>
      <c r="V1924" s="9" t="n">
        <f aca="false">IF(U1924="SERVICE READY",1,0)</f>
        <v>0</v>
      </c>
      <c r="W1924" s="6"/>
      <c r="X1924" s="6"/>
      <c r="Y1924" s="6"/>
      <c r="Z1924" s="6"/>
    </row>
    <row r="1925" customFormat="false" ht="15" hidden="false" customHeight="false" outlineLevel="0" collapsed="false">
      <c r="A1925" s="9" t="s">
        <v>2176</v>
      </c>
      <c r="B1925" s="9" t="s">
        <v>2093</v>
      </c>
      <c r="C1925" s="9" t="s">
        <v>2094</v>
      </c>
      <c r="D1925" s="9" t="s">
        <v>1735</v>
      </c>
      <c r="E1925" s="9" t="s">
        <v>323</v>
      </c>
      <c r="F1925" s="9" t="s">
        <v>209</v>
      </c>
      <c r="G1925" s="9" t="s">
        <v>221</v>
      </c>
      <c r="H1925" s="9" t="n">
        <v>1950</v>
      </c>
      <c r="I1925" s="29" t="n">
        <v>9</v>
      </c>
      <c r="J1925" s="9" t="n">
        <v>0</v>
      </c>
      <c r="K1925" s="30"/>
      <c r="L1925" s="30"/>
      <c r="M1925" s="30"/>
      <c r="N1925" s="30"/>
      <c r="O1925" s="30"/>
      <c r="P1925" s="30"/>
      <c r="Q1925" s="30"/>
      <c r="R1925" s="30"/>
      <c r="S1925" s="30"/>
      <c r="T1925" s="30"/>
      <c r="U1925" s="21" t="str">
        <f aca="false">IF(COUNT(K1925:T1925)=0,"SOURCE EMPTY / INDUSTRIAL ONLY",IF(MIN(K1925:T1925)=1,"SERVICE READY","HOLD"))</f>
        <v>SOURCE EMPTY / INDUSTRIAL ONLY</v>
      </c>
      <c r="V1925" s="9" t="n">
        <f aca="false">IF(U1925="SERVICE READY",1,0)</f>
        <v>0</v>
      </c>
      <c r="W1925" s="6"/>
      <c r="X1925" s="6"/>
      <c r="Y1925" s="6"/>
      <c r="Z1925" s="6"/>
    </row>
    <row r="1926" customFormat="false" ht="15" hidden="false" customHeight="false" outlineLevel="0" collapsed="false">
      <c r="A1926" s="9" t="s">
        <v>2177</v>
      </c>
      <c r="B1926" s="9" t="s">
        <v>2093</v>
      </c>
      <c r="C1926" s="9" t="s">
        <v>2094</v>
      </c>
      <c r="D1926" s="9" t="s">
        <v>1735</v>
      </c>
      <c r="E1926" s="9" t="s">
        <v>323</v>
      </c>
      <c r="F1926" s="9" t="s">
        <v>211</v>
      </c>
      <c r="G1926" s="9" t="s">
        <v>221</v>
      </c>
      <c r="H1926" s="9" t="n">
        <v>1950</v>
      </c>
      <c r="I1926" s="29" t="n">
        <v>9</v>
      </c>
      <c r="J1926" s="9" t="n">
        <v>0</v>
      </c>
      <c r="K1926" s="30"/>
      <c r="L1926" s="30"/>
      <c r="M1926" s="30"/>
      <c r="N1926" s="30"/>
      <c r="O1926" s="30"/>
      <c r="P1926" s="30"/>
      <c r="Q1926" s="30"/>
      <c r="R1926" s="30"/>
      <c r="S1926" s="30"/>
      <c r="T1926" s="30"/>
      <c r="U1926" s="21" t="str">
        <f aca="false">IF(COUNT(K1926:T1926)=0,"SOURCE EMPTY / INDUSTRIAL ONLY",IF(MIN(K1926:T1926)=1,"SERVICE READY","HOLD"))</f>
        <v>SOURCE EMPTY / INDUSTRIAL ONLY</v>
      </c>
      <c r="V1926" s="9" t="n">
        <f aca="false">IF(U1926="SERVICE READY",1,0)</f>
        <v>0</v>
      </c>
      <c r="W1926" s="6"/>
      <c r="X1926" s="6"/>
      <c r="Y1926" s="6"/>
      <c r="Z1926" s="6"/>
    </row>
    <row r="1927" customFormat="false" ht="15" hidden="false" customHeight="false" outlineLevel="0" collapsed="false">
      <c r="A1927" s="9" t="s">
        <v>2178</v>
      </c>
      <c r="B1927" s="9" t="s">
        <v>2093</v>
      </c>
      <c r="C1927" s="9" t="s">
        <v>2094</v>
      </c>
      <c r="D1927" s="9" t="s">
        <v>1735</v>
      </c>
      <c r="E1927" s="9" t="s">
        <v>323</v>
      </c>
      <c r="F1927" s="9" t="s">
        <v>197</v>
      </c>
      <c r="G1927" s="9" t="s">
        <v>221</v>
      </c>
      <c r="H1927" s="9" t="n">
        <v>1950</v>
      </c>
      <c r="I1927" s="29" t="n">
        <v>9</v>
      </c>
      <c r="J1927" s="9" t="n">
        <v>0</v>
      </c>
      <c r="K1927" s="30"/>
      <c r="L1927" s="30"/>
      <c r="M1927" s="30"/>
      <c r="N1927" s="30"/>
      <c r="O1927" s="30"/>
      <c r="P1927" s="30"/>
      <c r="Q1927" s="30"/>
      <c r="R1927" s="30"/>
      <c r="S1927" s="30"/>
      <c r="T1927" s="30"/>
      <c r="U1927" s="21" t="str">
        <f aca="false">IF(COUNT(K1927:T1927)=0,"SOURCE EMPTY / INDUSTRIAL ONLY",IF(MIN(K1927:T1927)=1,"SERVICE READY","HOLD"))</f>
        <v>SOURCE EMPTY / INDUSTRIAL ONLY</v>
      </c>
      <c r="V1927" s="9" t="n">
        <f aca="false">IF(U1927="SERVICE READY",1,0)</f>
        <v>0</v>
      </c>
      <c r="W1927" s="6"/>
      <c r="X1927" s="6"/>
      <c r="Y1927" s="6"/>
      <c r="Z1927" s="6"/>
    </row>
    <row r="1928" customFormat="false" ht="15" hidden="false" customHeight="false" outlineLevel="0" collapsed="false">
      <c r="A1928" s="9" t="s">
        <v>2179</v>
      </c>
      <c r="B1928" s="9" t="s">
        <v>2093</v>
      </c>
      <c r="C1928" s="9" t="s">
        <v>2094</v>
      </c>
      <c r="D1928" s="9" t="s">
        <v>1735</v>
      </c>
      <c r="E1928" s="9" t="s">
        <v>323</v>
      </c>
      <c r="F1928" s="9" t="s">
        <v>200</v>
      </c>
      <c r="G1928" s="9" t="s">
        <v>221</v>
      </c>
      <c r="H1928" s="9" t="n">
        <v>1950</v>
      </c>
      <c r="I1928" s="29" t="n">
        <v>9</v>
      </c>
      <c r="J1928" s="9" t="n">
        <v>0</v>
      </c>
      <c r="K1928" s="30"/>
      <c r="L1928" s="30"/>
      <c r="M1928" s="30"/>
      <c r="N1928" s="30"/>
      <c r="O1928" s="30"/>
      <c r="P1928" s="30"/>
      <c r="Q1928" s="30"/>
      <c r="R1928" s="30"/>
      <c r="S1928" s="30"/>
      <c r="T1928" s="30"/>
      <c r="U1928" s="21" t="str">
        <f aca="false">IF(COUNT(K1928:T1928)=0,"SOURCE EMPTY / INDUSTRIAL ONLY",IF(MIN(K1928:T1928)=1,"SERVICE READY","HOLD"))</f>
        <v>SOURCE EMPTY / INDUSTRIAL ONLY</v>
      </c>
      <c r="V1928" s="9" t="n">
        <f aca="false">IF(U1928="SERVICE READY",1,0)</f>
        <v>0</v>
      </c>
      <c r="W1928" s="6"/>
      <c r="X1928" s="6"/>
      <c r="Y1928" s="6"/>
      <c r="Z1928" s="6"/>
    </row>
    <row r="1929" customFormat="false" ht="15" hidden="false" customHeight="false" outlineLevel="0" collapsed="false">
      <c r="A1929" s="9" t="s">
        <v>2180</v>
      </c>
      <c r="B1929" s="9" t="s">
        <v>2093</v>
      </c>
      <c r="C1929" s="9" t="s">
        <v>2094</v>
      </c>
      <c r="D1929" s="9" t="s">
        <v>1735</v>
      </c>
      <c r="E1929" s="9" t="s">
        <v>323</v>
      </c>
      <c r="F1929" s="9" t="s">
        <v>203</v>
      </c>
      <c r="G1929" s="9" t="s">
        <v>221</v>
      </c>
      <c r="H1929" s="9" t="n">
        <v>1950</v>
      </c>
      <c r="I1929" s="29" t="n">
        <v>9</v>
      </c>
      <c r="J1929" s="9" t="n">
        <v>0</v>
      </c>
      <c r="K1929" s="30"/>
      <c r="L1929" s="30"/>
      <c r="M1929" s="30"/>
      <c r="N1929" s="30"/>
      <c r="O1929" s="30"/>
      <c r="P1929" s="30"/>
      <c r="Q1929" s="30"/>
      <c r="R1929" s="30"/>
      <c r="S1929" s="30"/>
      <c r="T1929" s="30"/>
      <c r="U1929" s="21" t="str">
        <f aca="false">IF(COUNT(K1929:T1929)=0,"SOURCE EMPTY / INDUSTRIAL ONLY",IF(MIN(K1929:T1929)=1,"SERVICE READY","HOLD"))</f>
        <v>SOURCE EMPTY / INDUSTRIAL ONLY</v>
      </c>
      <c r="V1929" s="9" t="n">
        <f aca="false">IF(U1929="SERVICE READY",1,0)</f>
        <v>0</v>
      </c>
      <c r="W1929" s="6"/>
      <c r="X1929" s="6"/>
      <c r="Y1929" s="6"/>
      <c r="Z1929" s="6"/>
    </row>
    <row r="1930" customFormat="false" ht="15" hidden="false" customHeight="false" outlineLevel="0" collapsed="false">
      <c r="A1930" s="9" t="s">
        <v>2181</v>
      </c>
      <c r="B1930" s="9" t="s">
        <v>2093</v>
      </c>
      <c r="C1930" s="9" t="s">
        <v>2094</v>
      </c>
      <c r="D1930" s="9" t="s">
        <v>1735</v>
      </c>
      <c r="E1930" s="9" t="s">
        <v>323</v>
      </c>
      <c r="F1930" s="9" t="s">
        <v>205</v>
      </c>
      <c r="G1930" s="9" t="s">
        <v>221</v>
      </c>
      <c r="H1930" s="9" t="n">
        <v>1950</v>
      </c>
      <c r="I1930" s="29" t="n">
        <v>9</v>
      </c>
      <c r="J1930" s="9" t="n">
        <v>0</v>
      </c>
      <c r="K1930" s="30"/>
      <c r="L1930" s="30"/>
      <c r="M1930" s="30"/>
      <c r="N1930" s="30"/>
      <c r="O1930" s="30"/>
      <c r="P1930" s="30"/>
      <c r="Q1930" s="30"/>
      <c r="R1930" s="30"/>
      <c r="S1930" s="30"/>
      <c r="T1930" s="30"/>
      <c r="U1930" s="21" t="str">
        <f aca="false">IF(COUNT(K1930:T1930)=0,"SOURCE EMPTY / INDUSTRIAL ONLY",IF(MIN(K1930:T1930)=1,"SERVICE READY","HOLD"))</f>
        <v>SOURCE EMPTY / INDUSTRIAL ONLY</v>
      </c>
      <c r="V1930" s="9" t="n">
        <f aca="false">IF(U1930="SERVICE READY",1,0)</f>
        <v>0</v>
      </c>
      <c r="W1930" s="6"/>
      <c r="X1930" s="6"/>
      <c r="Y1930" s="6"/>
      <c r="Z1930" s="6"/>
    </row>
    <row r="1931" customFormat="false" ht="15" hidden="false" customHeight="false" outlineLevel="0" collapsed="false">
      <c r="A1931" s="9" t="s">
        <v>2182</v>
      </c>
      <c r="B1931" s="9" t="s">
        <v>2183</v>
      </c>
      <c r="C1931" s="9" t="s">
        <v>2184</v>
      </c>
      <c r="D1931" s="9" t="s">
        <v>2185</v>
      </c>
      <c r="E1931" s="9" t="s">
        <v>2027</v>
      </c>
      <c r="F1931" s="9" t="s">
        <v>197</v>
      </c>
      <c r="G1931" s="9" t="s">
        <v>198</v>
      </c>
      <c r="H1931" s="9" t="n">
        <v>6360</v>
      </c>
      <c r="I1931" s="29" t="n">
        <v>1.5</v>
      </c>
      <c r="J1931" s="9" t="n">
        <v>1</v>
      </c>
      <c r="K1931" s="30"/>
      <c r="L1931" s="30"/>
      <c r="M1931" s="30"/>
      <c r="N1931" s="30"/>
      <c r="O1931" s="30"/>
      <c r="P1931" s="30"/>
      <c r="Q1931" s="30"/>
      <c r="R1931" s="30"/>
      <c r="S1931" s="30"/>
      <c r="T1931" s="30"/>
      <c r="U1931" s="21" t="str">
        <f aca="false">IF(COUNT(K1931:T1931)=0,"SOURCE EMPTY / INDUSTRIAL ONLY",IF(MIN(K1931:T1931)=1,"SERVICE READY","HOLD"))</f>
        <v>SOURCE EMPTY / INDUSTRIAL ONLY</v>
      </c>
      <c r="V1931" s="9" t="n">
        <f aca="false">IF(U1931="SERVICE READY",1,0)</f>
        <v>0</v>
      </c>
      <c r="W1931" s="6"/>
      <c r="X1931" s="6"/>
      <c r="Y1931" s="6"/>
      <c r="Z1931" s="6"/>
    </row>
    <row r="1932" customFormat="false" ht="15" hidden="false" customHeight="false" outlineLevel="0" collapsed="false">
      <c r="A1932" s="9" t="s">
        <v>2186</v>
      </c>
      <c r="B1932" s="9" t="s">
        <v>2183</v>
      </c>
      <c r="C1932" s="9" t="s">
        <v>2184</v>
      </c>
      <c r="D1932" s="9" t="s">
        <v>2185</v>
      </c>
      <c r="E1932" s="9" t="s">
        <v>2027</v>
      </c>
      <c r="F1932" s="9" t="s">
        <v>200</v>
      </c>
      <c r="G1932" s="9" t="s">
        <v>201</v>
      </c>
      <c r="H1932" s="9" t="n">
        <v>6360</v>
      </c>
      <c r="I1932" s="29" t="n">
        <v>1.5</v>
      </c>
      <c r="J1932" s="9" t="n">
        <v>1</v>
      </c>
      <c r="K1932" s="30"/>
      <c r="L1932" s="30"/>
      <c r="M1932" s="30"/>
      <c r="N1932" s="30"/>
      <c r="O1932" s="30"/>
      <c r="P1932" s="30"/>
      <c r="Q1932" s="30"/>
      <c r="R1932" s="30"/>
      <c r="S1932" s="30"/>
      <c r="T1932" s="30"/>
      <c r="U1932" s="21" t="str">
        <f aca="false">IF(COUNT(K1932:T1932)=0,"SOURCE EMPTY / INDUSTRIAL ONLY",IF(MIN(K1932:T1932)=1,"SERVICE READY","HOLD"))</f>
        <v>SOURCE EMPTY / INDUSTRIAL ONLY</v>
      </c>
      <c r="V1932" s="9" t="n">
        <f aca="false">IF(U1932="SERVICE READY",1,0)</f>
        <v>0</v>
      </c>
      <c r="W1932" s="6"/>
      <c r="X1932" s="6"/>
      <c r="Y1932" s="6"/>
      <c r="Z1932" s="6"/>
    </row>
    <row r="1933" customFormat="false" ht="15" hidden="false" customHeight="false" outlineLevel="0" collapsed="false">
      <c r="A1933" s="9" t="s">
        <v>2187</v>
      </c>
      <c r="B1933" s="9" t="s">
        <v>2183</v>
      </c>
      <c r="C1933" s="9" t="s">
        <v>2184</v>
      </c>
      <c r="D1933" s="9" t="s">
        <v>2185</v>
      </c>
      <c r="E1933" s="9" t="s">
        <v>2027</v>
      </c>
      <c r="F1933" s="9" t="s">
        <v>203</v>
      </c>
      <c r="G1933" s="9" t="s">
        <v>198</v>
      </c>
      <c r="H1933" s="9" t="n">
        <v>6360</v>
      </c>
      <c r="I1933" s="29" t="n">
        <v>1.5</v>
      </c>
      <c r="J1933" s="9" t="n">
        <v>1</v>
      </c>
      <c r="K1933" s="30"/>
      <c r="L1933" s="30"/>
      <c r="M1933" s="30"/>
      <c r="N1933" s="30"/>
      <c r="O1933" s="30"/>
      <c r="P1933" s="30"/>
      <c r="Q1933" s="30"/>
      <c r="R1933" s="30"/>
      <c r="S1933" s="30"/>
      <c r="T1933" s="30"/>
      <c r="U1933" s="21" t="str">
        <f aca="false">IF(COUNT(K1933:T1933)=0,"SOURCE EMPTY / INDUSTRIAL ONLY",IF(MIN(K1933:T1933)=1,"SERVICE READY","HOLD"))</f>
        <v>SOURCE EMPTY / INDUSTRIAL ONLY</v>
      </c>
      <c r="V1933" s="9" t="n">
        <f aca="false">IF(U1933="SERVICE READY",1,0)</f>
        <v>0</v>
      </c>
      <c r="W1933" s="6"/>
      <c r="X1933" s="6"/>
      <c r="Y1933" s="6"/>
      <c r="Z1933" s="6"/>
    </row>
    <row r="1934" customFormat="false" ht="15" hidden="false" customHeight="false" outlineLevel="0" collapsed="false">
      <c r="A1934" s="9" t="s">
        <v>2188</v>
      </c>
      <c r="B1934" s="9" t="s">
        <v>2183</v>
      </c>
      <c r="C1934" s="9" t="s">
        <v>2184</v>
      </c>
      <c r="D1934" s="9" t="s">
        <v>2185</v>
      </c>
      <c r="E1934" s="9" t="s">
        <v>2027</v>
      </c>
      <c r="F1934" s="9" t="s">
        <v>205</v>
      </c>
      <c r="G1934" s="9" t="s">
        <v>201</v>
      </c>
      <c r="H1934" s="9" t="n">
        <v>6360</v>
      </c>
      <c r="I1934" s="29" t="n">
        <v>1.5</v>
      </c>
      <c r="J1934" s="9" t="n">
        <v>1</v>
      </c>
      <c r="K1934" s="30"/>
      <c r="L1934" s="30"/>
      <c r="M1934" s="30"/>
      <c r="N1934" s="30"/>
      <c r="O1934" s="30"/>
      <c r="P1934" s="30"/>
      <c r="Q1934" s="30"/>
      <c r="R1934" s="30"/>
      <c r="S1934" s="30"/>
      <c r="T1934" s="30"/>
      <c r="U1934" s="21" t="str">
        <f aca="false">IF(COUNT(K1934:T1934)=0,"SOURCE EMPTY / INDUSTRIAL ONLY",IF(MIN(K1934:T1934)=1,"SERVICE READY","HOLD"))</f>
        <v>SOURCE EMPTY / INDUSTRIAL ONLY</v>
      </c>
      <c r="V1934" s="9" t="n">
        <f aca="false">IF(U1934="SERVICE READY",1,0)</f>
        <v>0</v>
      </c>
      <c r="W1934" s="6"/>
      <c r="X1934" s="6"/>
      <c r="Y1934" s="6"/>
      <c r="Z1934" s="6"/>
    </row>
    <row r="1935" customFormat="false" ht="15" hidden="false" customHeight="false" outlineLevel="0" collapsed="false">
      <c r="A1935" s="9" t="s">
        <v>2189</v>
      </c>
      <c r="B1935" s="9" t="s">
        <v>2183</v>
      </c>
      <c r="C1935" s="9" t="s">
        <v>2184</v>
      </c>
      <c r="D1935" s="9" t="s">
        <v>2185</v>
      </c>
      <c r="E1935" s="9" t="s">
        <v>2027</v>
      </c>
      <c r="F1935" s="9" t="s">
        <v>207</v>
      </c>
      <c r="G1935" s="9" t="s">
        <v>198</v>
      </c>
      <c r="H1935" s="9" t="n">
        <v>6360</v>
      </c>
      <c r="I1935" s="29" t="n">
        <v>1.5</v>
      </c>
      <c r="J1935" s="9" t="n">
        <v>1</v>
      </c>
      <c r="K1935" s="30"/>
      <c r="L1935" s="30"/>
      <c r="M1935" s="30"/>
      <c r="N1935" s="30"/>
      <c r="O1935" s="30"/>
      <c r="P1935" s="30"/>
      <c r="Q1935" s="30"/>
      <c r="R1935" s="30"/>
      <c r="S1935" s="30"/>
      <c r="T1935" s="30"/>
      <c r="U1935" s="21" t="str">
        <f aca="false">IF(COUNT(K1935:T1935)=0,"SOURCE EMPTY / INDUSTRIAL ONLY",IF(MIN(K1935:T1935)=1,"SERVICE READY","HOLD"))</f>
        <v>SOURCE EMPTY / INDUSTRIAL ONLY</v>
      </c>
      <c r="V1935" s="9" t="n">
        <f aca="false">IF(U1935="SERVICE READY",1,0)</f>
        <v>0</v>
      </c>
      <c r="W1935" s="6"/>
      <c r="X1935" s="6"/>
      <c r="Y1935" s="6"/>
      <c r="Z1935" s="6"/>
    </row>
    <row r="1936" customFormat="false" ht="15" hidden="false" customHeight="false" outlineLevel="0" collapsed="false">
      <c r="A1936" s="9" t="s">
        <v>2190</v>
      </c>
      <c r="B1936" s="9" t="s">
        <v>2183</v>
      </c>
      <c r="C1936" s="9" t="s">
        <v>2184</v>
      </c>
      <c r="D1936" s="9" t="s">
        <v>2185</v>
      </c>
      <c r="E1936" s="9" t="s">
        <v>2027</v>
      </c>
      <c r="F1936" s="9" t="s">
        <v>209</v>
      </c>
      <c r="G1936" s="9" t="s">
        <v>201</v>
      </c>
      <c r="H1936" s="9" t="n">
        <v>6360</v>
      </c>
      <c r="I1936" s="29" t="n">
        <v>1.5</v>
      </c>
      <c r="J1936" s="9" t="n">
        <v>1</v>
      </c>
      <c r="K1936" s="30"/>
      <c r="L1936" s="30"/>
      <c r="M1936" s="30"/>
      <c r="N1936" s="30"/>
      <c r="O1936" s="30"/>
      <c r="P1936" s="30"/>
      <c r="Q1936" s="30"/>
      <c r="R1936" s="30"/>
      <c r="S1936" s="30"/>
      <c r="T1936" s="30"/>
      <c r="U1936" s="21" t="str">
        <f aca="false">IF(COUNT(K1936:T1936)=0,"SOURCE EMPTY / INDUSTRIAL ONLY",IF(MIN(K1936:T1936)=1,"SERVICE READY","HOLD"))</f>
        <v>SOURCE EMPTY / INDUSTRIAL ONLY</v>
      </c>
      <c r="V1936" s="9" t="n">
        <f aca="false">IF(U1936="SERVICE READY",1,0)</f>
        <v>0</v>
      </c>
      <c r="W1936" s="6"/>
      <c r="X1936" s="6"/>
      <c r="Y1936" s="6"/>
      <c r="Z1936" s="6"/>
    </row>
    <row r="1937" customFormat="false" ht="15" hidden="false" customHeight="false" outlineLevel="0" collapsed="false">
      <c r="A1937" s="9" t="s">
        <v>2191</v>
      </c>
      <c r="B1937" s="9" t="s">
        <v>2183</v>
      </c>
      <c r="C1937" s="9" t="s">
        <v>2184</v>
      </c>
      <c r="D1937" s="9" t="s">
        <v>2185</v>
      </c>
      <c r="E1937" s="9" t="s">
        <v>2027</v>
      </c>
      <c r="F1937" s="9" t="s">
        <v>211</v>
      </c>
      <c r="G1937" s="9" t="s">
        <v>198</v>
      </c>
      <c r="H1937" s="9" t="n">
        <v>6360</v>
      </c>
      <c r="I1937" s="29" t="n">
        <v>1.5</v>
      </c>
      <c r="J1937" s="9" t="n">
        <v>1</v>
      </c>
      <c r="K1937" s="30"/>
      <c r="L1937" s="30"/>
      <c r="M1937" s="30"/>
      <c r="N1937" s="30"/>
      <c r="O1937" s="30"/>
      <c r="P1937" s="30"/>
      <c r="Q1937" s="30"/>
      <c r="R1937" s="30"/>
      <c r="S1937" s="30"/>
      <c r="T1937" s="30"/>
      <c r="U1937" s="21" t="str">
        <f aca="false">IF(COUNT(K1937:T1937)=0,"SOURCE EMPTY / INDUSTRIAL ONLY",IF(MIN(K1937:T1937)=1,"SERVICE READY","HOLD"))</f>
        <v>SOURCE EMPTY / INDUSTRIAL ONLY</v>
      </c>
      <c r="V1937" s="9" t="n">
        <f aca="false">IF(U1937="SERVICE READY",1,0)</f>
        <v>0</v>
      </c>
      <c r="W1937" s="6"/>
      <c r="X1937" s="6"/>
      <c r="Y1937" s="6"/>
      <c r="Z1937" s="6"/>
    </row>
    <row r="1938" customFormat="false" ht="15" hidden="false" customHeight="false" outlineLevel="0" collapsed="false">
      <c r="A1938" s="9" t="s">
        <v>2192</v>
      </c>
      <c r="B1938" s="9" t="s">
        <v>2183</v>
      </c>
      <c r="C1938" s="9" t="s">
        <v>2184</v>
      </c>
      <c r="D1938" s="9" t="s">
        <v>2185</v>
      </c>
      <c r="E1938" s="9" t="s">
        <v>2027</v>
      </c>
      <c r="F1938" s="9" t="s">
        <v>197</v>
      </c>
      <c r="G1938" s="9" t="s">
        <v>201</v>
      </c>
      <c r="H1938" s="9" t="n">
        <v>6360</v>
      </c>
      <c r="I1938" s="29" t="n">
        <v>1.5</v>
      </c>
      <c r="J1938" s="9" t="n">
        <v>1</v>
      </c>
      <c r="K1938" s="30"/>
      <c r="L1938" s="30"/>
      <c r="M1938" s="30"/>
      <c r="N1938" s="30"/>
      <c r="O1938" s="30"/>
      <c r="P1938" s="30"/>
      <c r="Q1938" s="30"/>
      <c r="R1938" s="30"/>
      <c r="S1938" s="30"/>
      <c r="T1938" s="30"/>
      <c r="U1938" s="21" t="str">
        <f aca="false">IF(COUNT(K1938:T1938)=0,"SOURCE EMPTY / INDUSTRIAL ONLY",IF(MIN(K1938:T1938)=1,"SERVICE READY","HOLD"))</f>
        <v>SOURCE EMPTY / INDUSTRIAL ONLY</v>
      </c>
      <c r="V1938" s="9" t="n">
        <f aca="false">IF(U1938="SERVICE READY",1,0)</f>
        <v>0</v>
      </c>
      <c r="W1938" s="6"/>
      <c r="X1938" s="6"/>
      <c r="Y1938" s="6"/>
      <c r="Z1938" s="6"/>
    </row>
    <row r="1939" customFormat="false" ht="15" hidden="false" customHeight="false" outlineLevel="0" collapsed="false">
      <c r="A1939" s="9" t="s">
        <v>2193</v>
      </c>
      <c r="B1939" s="9" t="s">
        <v>2183</v>
      </c>
      <c r="C1939" s="9" t="s">
        <v>2184</v>
      </c>
      <c r="D1939" s="9" t="s">
        <v>2185</v>
      </c>
      <c r="E1939" s="9" t="s">
        <v>2027</v>
      </c>
      <c r="F1939" s="9" t="s">
        <v>200</v>
      </c>
      <c r="G1939" s="9" t="s">
        <v>198</v>
      </c>
      <c r="H1939" s="9" t="n">
        <v>6360</v>
      </c>
      <c r="I1939" s="29" t="n">
        <v>1.5</v>
      </c>
      <c r="J1939" s="9" t="n">
        <v>1</v>
      </c>
      <c r="K1939" s="30"/>
      <c r="L1939" s="30"/>
      <c r="M1939" s="30"/>
      <c r="N1939" s="30"/>
      <c r="O1939" s="30"/>
      <c r="P1939" s="30"/>
      <c r="Q1939" s="30"/>
      <c r="R1939" s="30"/>
      <c r="S1939" s="30"/>
      <c r="T1939" s="30"/>
      <c r="U1939" s="21" t="str">
        <f aca="false">IF(COUNT(K1939:T1939)=0,"SOURCE EMPTY / INDUSTRIAL ONLY",IF(MIN(K1939:T1939)=1,"SERVICE READY","HOLD"))</f>
        <v>SOURCE EMPTY / INDUSTRIAL ONLY</v>
      </c>
      <c r="V1939" s="9" t="n">
        <f aca="false">IF(U1939="SERVICE READY",1,0)</f>
        <v>0</v>
      </c>
      <c r="W1939" s="6"/>
      <c r="X1939" s="6"/>
      <c r="Y1939" s="6"/>
      <c r="Z1939" s="6"/>
    </row>
    <row r="1940" customFormat="false" ht="15" hidden="false" customHeight="false" outlineLevel="0" collapsed="false">
      <c r="A1940" s="9" t="s">
        <v>2194</v>
      </c>
      <c r="B1940" s="9" t="s">
        <v>2183</v>
      </c>
      <c r="C1940" s="9" t="s">
        <v>2184</v>
      </c>
      <c r="D1940" s="9" t="s">
        <v>2185</v>
      </c>
      <c r="E1940" s="9" t="s">
        <v>2027</v>
      </c>
      <c r="F1940" s="9" t="s">
        <v>203</v>
      </c>
      <c r="G1940" s="9" t="s">
        <v>201</v>
      </c>
      <c r="H1940" s="9" t="n">
        <v>6360</v>
      </c>
      <c r="I1940" s="29" t="n">
        <v>1.5</v>
      </c>
      <c r="J1940" s="9" t="n">
        <v>1</v>
      </c>
      <c r="K1940" s="30"/>
      <c r="L1940" s="30"/>
      <c r="M1940" s="30"/>
      <c r="N1940" s="30"/>
      <c r="O1940" s="30"/>
      <c r="P1940" s="30"/>
      <c r="Q1940" s="30"/>
      <c r="R1940" s="30"/>
      <c r="S1940" s="30"/>
      <c r="T1940" s="30"/>
      <c r="U1940" s="21" t="str">
        <f aca="false">IF(COUNT(K1940:T1940)=0,"SOURCE EMPTY / INDUSTRIAL ONLY",IF(MIN(K1940:T1940)=1,"SERVICE READY","HOLD"))</f>
        <v>SOURCE EMPTY / INDUSTRIAL ONLY</v>
      </c>
      <c r="V1940" s="9" t="n">
        <f aca="false">IF(U1940="SERVICE READY",1,0)</f>
        <v>0</v>
      </c>
      <c r="W1940" s="6"/>
      <c r="X1940" s="6"/>
      <c r="Y1940" s="6"/>
      <c r="Z1940" s="6"/>
    </row>
    <row r="1941" customFormat="false" ht="15" hidden="false" customHeight="false" outlineLevel="0" collapsed="false">
      <c r="A1941" s="9" t="s">
        <v>2195</v>
      </c>
      <c r="B1941" s="9" t="s">
        <v>2183</v>
      </c>
      <c r="C1941" s="9" t="s">
        <v>2184</v>
      </c>
      <c r="D1941" s="9" t="s">
        <v>2185</v>
      </c>
      <c r="E1941" s="9" t="s">
        <v>2027</v>
      </c>
      <c r="F1941" s="9" t="s">
        <v>205</v>
      </c>
      <c r="G1941" s="9" t="s">
        <v>198</v>
      </c>
      <c r="H1941" s="9" t="n">
        <v>6360</v>
      </c>
      <c r="I1941" s="29" t="n">
        <v>1.5</v>
      </c>
      <c r="J1941" s="9" t="n">
        <v>1</v>
      </c>
      <c r="K1941" s="30"/>
      <c r="L1941" s="30"/>
      <c r="M1941" s="30"/>
      <c r="N1941" s="30"/>
      <c r="O1941" s="30"/>
      <c r="P1941" s="30"/>
      <c r="Q1941" s="30"/>
      <c r="R1941" s="30"/>
      <c r="S1941" s="30"/>
      <c r="T1941" s="30"/>
      <c r="U1941" s="21" t="str">
        <f aca="false">IF(COUNT(K1941:T1941)=0,"SOURCE EMPTY / INDUSTRIAL ONLY",IF(MIN(K1941:T1941)=1,"SERVICE READY","HOLD"))</f>
        <v>SOURCE EMPTY / INDUSTRIAL ONLY</v>
      </c>
      <c r="V1941" s="9" t="n">
        <f aca="false">IF(U1941="SERVICE READY",1,0)</f>
        <v>0</v>
      </c>
      <c r="W1941" s="6"/>
      <c r="X1941" s="6"/>
      <c r="Y1941" s="6"/>
      <c r="Z1941" s="6"/>
    </row>
    <row r="1942" customFormat="false" ht="15" hidden="false" customHeight="false" outlineLevel="0" collapsed="false">
      <c r="A1942" s="9" t="s">
        <v>2196</v>
      </c>
      <c r="B1942" s="9" t="s">
        <v>2183</v>
      </c>
      <c r="C1942" s="9" t="s">
        <v>2184</v>
      </c>
      <c r="D1942" s="9" t="s">
        <v>2185</v>
      </c>
      <c r="E1942" s="9" t="s">
        <v>2027</v>
      </c>
      <c r="F1942" s="9" t="s">
        <v>207</v>
      </c>
      <c r="G1942" s="9" t="s">
        <v>201</v>
      </c>
      <c r="H1942" s="9" t="n">
        <v>6360</v>
      </c>
      <c r="I1942" s="29" t="n">
        <v>1.5</v>
      </c>
      <c r="J1942" s="9" t="n">
        <v>1</v>
      </c>
      <c r="K1942" s="30"/>
      <c r="L1942" s="30"/>
      <c r="M1942" s="30"/>
      <c r="N1942" s="30"/>
      <c r="O1942" s="30"/>
      <c r="P1942" s="30"/>
      <c r="Q1942" s="30"/>
      <c r="R1942" s="30"/>
      <c r="S1942" s="30"/>
      <c r="T1942" s="30"/>
      <c r="U1942" s="21" t="str">
        <f aca="false">IF(COUNT(K1942:T1942)=0,"SOURCE EMPTY / INDUSTRIAL ONLY",IF(MIN(K1942:T1942)=1,"SERVICE READY","HOLD"))</f>
        <v>SOURCE EMPTY / INDUSTRIAL ONLY</v>
      </c>
      <c r="V1942" s="9" t="n">
        <f aca="false">IF(U1942="SERVICE READY",1,0)</f>
        <v>0</v>
      </c>
      <c r="W1942" s="6"/>
      <c r="X1942" s="6"/>
      <c r="Y1942" s="6"/>
      <c r="Z1942" s="6"/>
    </row>
    <row r="1943" customFormat="false" ht="15" hidden="false" customHeight="false" outlineLevel="0" collapsed="false">
      <c r="A1943" s="9" t="s">
        <v>2197</v>
      </c>
      <c r="B1943" s="9" t="s">
        <v>2183</v>
      </c>
      <c r="C1943" s="9" t="s">
        <v>2184</v>
      </c>
      <c r="D1943" s="9" t="s">
        <v>2185</v>
      </c>
      <c r="E1943" s="9" t="s">
        <v>2027</v>
      </c>
      <c r="F1943" s="9" t="s">
        <v>209</v>
      </c>
      <c r="G1943" s="9" t="s">
        <v>198</v>
      </c>
      <c r="H1943" s="9" t="n">
        <v>6360</v>
      </c>
      <c r="I1943" s="29" t="n">
        <v>1.5</v>
      </c>
      <c r="J1943" s="9" t="n">
        <v>1</v>
      </c>
      <c r="K1943" s="30"/>
      <c r="L1943" s="30"/>
      <c r="M1943" s="30"/>
      <c r="N1943" s="30"/>
      <c r="O1943" s="30"/>
      <c r="P1943" s="30"/>
      <c r="Q1943" s="30"/>
      <c r="R1943" s="30"/>
      <c r="S1943" s="30"/>
      <c r="T1943" s="30"/>
      <c r="U1943" s="21" t="str">
        <f aca="false">IF(COUNT(K1943:T1943)=0,"SOURCE EMPTY / INDUSTRIAL ONLY",IF(MIN(K1943:T1943)=1,"SERVICE READY","HOLD"))</f>
        <v>SOURCE EMPTY / INDUSTRIAL ONLY</v>
      </c>
      <c r="V1943" s="9" t="n">
        <f aca="false">IF(U1943="SERVICE READY",1,0)</f>
        <v>0</v>
      </c>
      <c r="W1943" s="6"/>
      <c r="X1943" s="6"/>
      <c r="Y1943" s="6"/>
      <c r="Z1943" s="6"/>
    </row>
    <row r="1944" customFormat="false" ht="15" hidden="false" customHeight="false" outlineLevel="0" collapsed="false">
      <c r="A1944" s="9" t="s">
        <v>2198</v>
      </c>
      <c r="B1944" s="9" t="s">
        <v>2183</v>
      </c>
      <c r="C1944" s="9" t="s">
        <v>2184</v>
      </c>
      <c r="D1944" s="9" t="s">
        <v>2185</v>
      </c>
      <c r="E1944" s="9" t="s">
        <v>2027</v>
      </c>
      <c r="F1944" s="9" t="s">
        <v>211</v>
      </c>
      <c r="G1944" s="9" t="s">
        <v>201</v>
      </c>
      <c r="H1944" s="9" t="n">
        <v>6360</v>
      </c>
      <c r="I1944" s="29" t="n">
        <v>1.5</v>
      </c>
      <c r="J1944" s="9" t="n">
        <v>1</v>
      </c>
      <c r="K1944" s="30"/>
      <c r="L1944" s="30"/>
      <c r="M1944" s="30"/>
      <c r="N1944" s="30"/>
      <c r="O1944" s="30"/>
      <c r="P1944" s="30"/>
      <c r="Q1944" s="30"/>
      <c r="R1944" s="30"/>
      <c r="S1944" s="30"/>
      <c r="T1944" s="30"/>
      <c r="U1944" s="21" t="str">
        <f aca="false">IF(COUNT(K1944:T1944)=0,"SOURCE EMPTY / INDUSTRIAL ONLY",IF(MIN(K1944:T1944)=1,"SERVICE READY","HOLD"))</f>
        <v>SOURCE EMPTY / INDUSTRIAL ONLY</v>
      </c>
      <c r="V1944" s="9" t="n">
        <f aca="false">IF(U1944="SERVICE READY",1,0)</f>
        <v>0</v>
      </c>
      <c r="W1944" s="6"/>
      <c r="X1944" s="6"/>
      <c r="Y1944" s="6"/>
      <c r="Z1944" s="6"/>
    </row>
    <row r="1945" customFormat="false" ht="15" hidden="false" customHeight="false" outlineLevel="0" collapsed="false">
      <c r="A1945" s="9" t="s">
        <v>2199</v>
      </c>
      <c r="B1945" s="9" t="s">
        <v>2183</v>
      </c>
      <c r="C1945" s="9" t="s">
        <v>2184</v>
      </c>
      <c r="D1945" s="9" t="s">
        <v>2185</v>
      </c>
      <c r="E1945" s="9" t="s">
        <v>2027</v>
      </c>
      <c r="F1945" s="9" t="s">
        <v>197</v>
      </c>
      <c r="G1945" s="9" t="s">
        <v>198</v>
      </c>
      <c r="H1945" s="9" t="n">
        <v>6360</v>
      </c>
      <c r="I1945" s="29" t="n">
        <v>1.5</v>
      </c>
      <c r="J1945" s="9" t="n">
        <v>1</v>
      </c>
      <c r="K1945" s="30"/>
      <c r="L1945" s="30"/>
      <c r="M1945" s="30"/>
      <c r="N1945" s="30"/>
      <c r="O1945" s="30"/>
      <c r="P1945" s="30"/>
      <c r="Q1945" s="30"/>
      <c r="R1945" s="30"/>
      <c r="S1945" s="30"/>
      <c r="T1945" s="30"/>
      <c r="U1945" s="21" t="str">
        <f aca="false">IF(COUNT(K1945:T1945)=0,"SOURCE EMPTY / INDUSTRIAL ONLY",IF(MIN(K1945:T1945)=1,"SERVICE READY","HOLD"))</f>
        <v>SOURCE EMPTY / INDUSTRIAL ONLY</v>
      </c>
      <c r="V1945" s="9" t="n">
        <f aca="false">IF(U1945="SERVICE READY",1,0)</f>
        <v>0</v>
      </c>
      <c r="W1945" s="6"/>
      <c r="X1945" s="6"/>
      <c r="Y1945" s="6"/>
      <c r="Z1945" s="6"/>
    </row>
    <row r="1946" customFormat="false" ht="15" hidden="false" customHeight="false" outlineLevel="0" collapsed="false">
      <c r="A1946" s="9" t="s">
        <v>2200</v>
      </c>
      <c r="B1946" s="9" t="s">
        <v>2183</v>
      </c>
      <c r="C1946" s="9" t="s">
        <v>2184</v>
      </c>
      <c r="D1946" s="9" t="s">
        <v>2185</v>
      </c>
      <c r="E1946" s="9" t="s">
        <v>2027</v>
      </c>
      <c r="F1946" s="9" t="s">
        <v>200</v>
      </c>
      <c r="G1946" s="9" t="s">
        <v>201</v>
      </c>
      <c r="H1946" s="9" t="n">
        <v>6360</v>
      </c>
      <c r="I1946" s="29" t="n">
        <v>1.5</v>
      </c>
      <c r="J1946" s="9" t="n">
        <v>1</v>
      </c>
      <c r="K1946" s="30"/>
      <c r="L1946" s="30"/>
      <c r="M1946" s="30"/>
      <c r="N1946" s="30"/>
      <c r="O1946" s="30"/>
      <c r="P1946" s="30"/>
      <c r="Q1946" s="30"/>
      <c r="R1946" s="30"/>
      <c r="S1946" s="30"/>
      <c r="T1946" s="30"/>
      <c r="U1946" s="21" t="str">
        <f aca="false">IF(COUNT(K1946:T1946)=0,"SOURCE EMPTY / INDUSTRIAL ONLY",IF(MIN(K1946:T1946)=1,"SERVICE READY","HOLD"))</f>
        <v>SOURCE EMPTY / INDUSTRIAL ONLY</v>
      </c>
      <c r="V1946" s="9" t="n">
        <f aca="false">IF(U1946="SERVICE READY",1,0)</f>
        <v>0</v>
      </c>
      <c r="W1946" s="6"/>
      <c r="X1946" s="6"/>
      <c r="Y1946" s="6"/>
      <c r="Z1946" s="6"/>
    </row>
    <row r="1947" customFormat="false" ht="15" hidden="false" customHeight="false" outlineLevel="0" collapsed="false">
      <c r="A1947" s="9" t="s">
        <v>2201</v>
      </c>
      <c r="B1947" s="9" t="s">
        <v>2183</v>
      </c>
      <c r="C1947" s="9" t="s">
        <v>2184</v>
      </c>
      <c r="D1947" s="9" t="s">
        <v>2185</v>
      </c>
      <c r="E1947" s="9" t="s">
        <v>2027</v>
      </c>
      <c r="F1947" s="9" t="s">
        <v>203</v>
      </c>
      <c r="G1947" s="9" t="s">
        <v>198</v>
      </c>
      <c r="H1947" s="9" t="n">
        <v>6360</v>
      </c>
      <c r="I1947" s="29" t="n">
        <v>1.5</v>
      </c>
      <c r="J1947" s="9" t="n">
        <v>1</v>
      </c>
      <c r="K1947" s="30"/>
      <c r="L1947" s="30"/>
      <c r="M1947" s="30"/>
      <c r="N1947" s="30"/>
      <c r="O1947" s="30"/>
      <c r="P1947" s="30"/>
      <c r="Q1947" s="30"/>
      <c r="R1947" s="30"/>
      <c r="S1947" s="30"/>
      <c r="T1947" s="30"/>
      <c r="U1947" s="21" t="str">
        <f aca="false">IF(COUNT(K1947:T1947)=0,"SOURCE EMPTY / INDUSTRIAL ONLY",IF(MIN(K1947:T1947)=1,"SERVICE READY","HOLD"))</f>
        <v>SOURCE EMPTY / INDUSTRIAL ONLY</v>
      </c>
      <c r="V1947" s="9" t="n">
        <f aca="false">IF(U1947="SERVICE READY",1,0)</f>
        <v>0</v>
      </c>
      <c r="W1947" s="6"/>
      <c r="X1947" s="6"/>
      <c r="Y1947" s="6"/>
      <c r="Z1947" s="6"/>
    </row>
    <row r="1948" customFormat="false" ht="15" hidden="false" customHeight="false" outlineLevel="0" collapsed="false">
      <c r="A1948" s="9" t="s">
        <v>2202</v>
      </c>
      <c r="B1948" s="9" t="s">
        <v>2183</v>
      </c>
      <c r="C1948" s="9" t="s">
        <v>2184</v>
      </c>
      <c r="D1948" s="9" t="s">
        <v>2185</v>
      </c>
      <c r="E1948" s="9" t="s">
        <v>2027</v>
      </c>
      <c r="F1948" s="9" t="s">
        <v>205</v>
      </c>
      <c r="G1948" s="9" t="s">
        <v>201</v>
      </c>
      <c r="H1948" s="9" t="n">
        <v>6360</v>
      </c>
      <c r="I1948" s="29" t="n">
        <v>1.5</v>
      </c>
      <c r="J1948" s="9" t="n">
        <v>1</v>
      </c>
      <c r="K1948" s="30"/>
      <c r="L1948" s="30"/>
      <c r="M1948" s="30"/>
      <c r="N1948" s="30"/>
      <c r="O1948" s="30"/>
      <c r="P1948" s="30"/>
      <c r="Q1948" s="30"/>
      <c r="R1948" s="30"/>
      <c r="S1948" s="30"/>
      <c r="T1948" s="30"/>
      <c r="U1948" s="21" t="str">
        <f aca="false">IF(COUNT(K1948:T1948)=0,"SOURCE EMPTY / INDUSTRIAL ONLY",IF(MIN(K1948:T1948)=1,"SERVICE READY","HOLD"))</f>
        <v>SOURCE EMPTY / INDUSTRIAL ONLY</v>
      </c>
      <c r="V1948" s="9" t="n">
        <f aca="false">IF(U1948="SERVICE READY",1,0)</f>
        <v>0</v>
      </c>
      <c r="W1948" s="6"/>
      <c r="X1948" s="6"/>
      <c r="Y1948" s="6"/>
      <c r="Z1948" s="6"/>
    </row>
    <row r="1949" customFormat="false" ht="15" hidden="false" customHeight="false" outlineLevel="0" collapsed="false">
      <c r="A1949" s="9" t="s">
        <v>2203</v>
      </c>
      <c r="B1949" s="9" t="s">
        <v>2183</v>
      </c>
      <c r="C1949" s="9" t="s">
        <v>2184</v>
      </c>
      <c r="D1949" s="9" t="s">
        <v>2185</v>
      </c>
      <c r="E1949" s="9" t="s">
        <v>2027</v>
      </c>
      <c r="F1949" s="9" t="s">
        <v>207</v>
      </c>
      <c r="G1949" s="9" t="s">
        <v>198</v>
      </c>
      <c r="H1949" s="9" t="n">
        <v>6360</v>
      </c>
      <c r="I1949" s="29" t="n">
        <v>1.5</v>
      </c>
      <c r="J1949" s="9" t="n">
        <v>1</v>
      </c>
      <c r="K1949" s="30"/>
      <c r="L1949" s="30"/>
      <c r="M1949" s="30"/>
      <c r="N1949" s="30"/>
      <c r="O1949" s="30"/>
      <c r="P1949" s="30"/>
      <c r="Q1949" s="30"/>
      <c r="R1949" s="30"/>
      <c r="S1949" s="30"/>
      <c r="T1949" s="30"/>
      <c r="U1949" s="21" t="str">
        <f aca="false">IF(COUNT(K1949:T1949)=0,"SOURCE EMPTY / INDUSTRIAL ONLY",IF(MIN(K1949:T1949)=1,"SERVICE READY","HOLD"))</f>
        <v>SOURCE EMPTY / INDUSTRIAL ONLY</v>
      </c>
      <c r="V1949" s="9" t="n">
        <f aca="false">IF(U1949="SERVICE READY",1,0)</f>
        <v>0</v>
      </c>
      <c r="W1949" s="6"/>
      <c r="X1949" s="6"/>
      <c r="Y1949" s="6"/>
      <c r="Z1949" s="6"/>
    </row>
    <row r="1950" customFormat="false" ht="15" hidden="false" customHeight="false" outlineLevel="0" collapsed="false">
      <c r="A1950" s="9" t="s">
        <v>2204</v>
      </c>
      <c r="B1950" s="9" t="s">
        <v>2183</v>
      </c>
      <c r="C1950" s="9" t="s">
        <v>2184</v>
      </c>
      <c r="D1950" s="9" t="s">
        <v>2185</v>
      </c>
      <c r="E1950" s="9" t="s">
        <v>2027</v>
      </c>
      <c r="F1950" s="9" t="s">
        <v>209</v>
      </c>
      <c r="G1950" s="9" t="s">
        <v>201</v>
      </c>
      <c r="H1950" s="9" t="n">
        <v>6360</v>
      </c>
      <c r="I1950" s="29" t="n">
        <v>1.5</v>
      </c>
      <c r="J1950" s="9" t="n">
        <v>1</v>
      </c>
      <c r="K1950" s="30"/>
      <c r="L1950" s="30"/>
      <c r="M1950" s="30"/>
      <c r="N1950" s="30"/>
      <c r="O1950" s="30"/>
      <c r="P1950" s="30"/>
      <c r="Q1950" s="30"/>
      <c r="R1950" s="30"/>
      <c r="S1950" s="30"/>
      <c r="T1950" s="30"/>
      <c r="U1950" s="21" t="str">
        <f aca="false">IF(COUNT(K1950:T1950)=0,"SOURCE EMPTY / INDUSTRIAL ONLY",IF(MIN(K1950:T1950)=1,"SERVICE READY","HOLD"))</f>
        <v>SOURCE EMPTY / INDUSTRIAL ONLY</v>
      </c>
      <c r="V1950" s="9" t="n">
        <f aca="false">IF(U1950="SERVICE READY",1,0)</f>
        <v>0</v>
      </c>
      <c r="W1950" s="6"/>
      <c r="X1950" s="6"/>
      <c r="Y1950" s="6"/>
      <c r="Z1950" s="6"/>
    </row>
    <row r="1951" customFormat="false" ht="15" hidden="false" customHeight="false" outlineLevel="0" collapsed="false">
      <c r="A1951" s="9" t="s">
        <v>2205</v>
      </c>
      <c r="B1951" s="9" t="s">
        <v>2183</v>
      </c>
      <c r="C1951" s="9" t="s">
        <v>2184</v>
      </c>
      <c r="D1951" s="9" t="s">
        <v>2185</v>
      </c>
      <c r="E1951" s="9" t="s">
        <v>2027</v>
      </c>
      <c r="F1951" s="9" t="s">
        <v>211</v>
      </c>
      <c r="G1951" s="9" t="s">
        <v>198</v>
      </c>
      <c r="H1951" s="9" t="n">
        <v>6360</v>
      </c>
      <c r="I1951" s="29" t="n">
        <v>1.5</v>
      </c>
      <c r="J1951" s="9" t="n">
        <v>1</v>
      </c>
      <c r="K1951" s="30"/>
      <c r="L1951" s="30"/>
      <c r="M1951" s="30"/>
      <c r="N1951" s="30"/>
      <c r="O1951" s="30"/>
      <c r="P1951" s="30"/>
      <c r="Q1951" s="30"/>
      <c r="R1951" s="30"/>
      <c r="S1951" s="30"/>
      <c r="T1951" s="30"/>
      <c r="U1951" s="21" t="str">
        <f aca="false">IF(COUNT(K1951:T1951)=0,"SOURCE EMPTY / INDUSTRIAL ONLY",IF(MIN(K1951:T1951)=1,"SERVICE READY","HOLD"))</f>
        <v>SOURCE EMPTY / INDUSTRIAL ONLY</v>
      </c>
      <c r="V1951" s="9" t="n">
        <f aca="false">IF(U1951="SERVICE READY",1,0)</f>
        <v>0</v>
      </c>
      <c r="W1951" s="6"/>
      <c r="X1951" s="6"/>
      <c r="Y1951" s="6"/>
      <c r="Z1951" s="6"/>
    </row>
    <row r="1952" customFormat="false" ht="15" hidden="false" customHeight="false" outlineLevel="0" collapsed="false">
      <c r="A1952" s="9" t="s">
        <v>2206</v>
      </c>
      <c r="B1952" s="9" t="s">
        <v>2183</v>
      </c>
      <c r="C1952" s="9" t="s">
        <v>2184</v>
      </c>
      <c r="D1952" s="9" t="s">
        <v>2185</v>
      </c>
      <c r="E1952" s="9" t="s">
        <v>2027</v>
      </c>
      <c r="F1952" s="9" t="s">
        <v>197</v>
      </c>
      <c r="G1952" s="9" t="s">
        <v>201</v>
      </c>
      <c r="H1952" s="9" t="n">
        <v>6360</v>
      </c>
      <c r="I1952" s="29" t="n">
        <v>1.5</v>
      </c>
      <c r="J1952" s="9" t="n">
        <v>1</v>
      </c>
      <c r="K1952" s="30"/>
      <c r="L1952" s="30"/>
      <c r="M1952" s="30"/>
      <c r="N1952" s="30"/>
      <c r="O1952" s="30"/>
      <c r="P1952" s="30"/>
      <c r="Q1952" s="30"/>
      <c r="R1952" s="30"/>
      <c r="S1952" s="30"/>
      <c r="T1952" s="30"/>
      <c r="U1952" s="21" t="str">
        <f aca="false">IF(COUNT(K1952:T1952)=0,"SOURCE EMPTY / INDUSTRIAL ONLY",IF(MIN(K1952:T1952)=1,"SERVICE READY","HOLD"))</f>
        <v>SOURCE EMPTY / INDUSTRIAL ONLY</v>
      </c>
      <c r="V1952" s="9" t="n">
        <f aca="false">IF(U1952="SERVICE READY",1,0)</f>
        <v>0</v>
      </c>
      <c r="W1952" s="6"/>
      <c r="X1952" s="6"/>
      <c r="Y1952" s="6"/>
      <c r="Z1952" s="6"/>
    </row>
    <row r="1953" customFormat="false" ht="15" hidden="false" customHeight="false" outlineLevel="0" collapsed="false">
      <c r="A1953" s="9" t="s">
        <v>2207</v>
      </c>
      <c r="B1953" s="9" t="s">
        <v>2183</v>
      </c>
      <c r="C1953" s="9" t="s">
        <v>2184</v>
      </c>
      <c r="D1953" s="9" t="s">
        <v>2185</v>
      </c>
      <c r="E1953" s="9" t="s">
        <v>2027</v>
      </c>
      <c r="F1953" s="9" t="s">
        <v>200</v>
      </c>
      <c r="G1953" s="9" t="s">
        <v>198</v>
      </c>
      <c r="H1953" s="9" t="n">
        <v>6360</v>
      </c>
      <c r="I1953" s="29" t="n">
        <v>1.5</v>
      </c>
      <c r="J1953" s="9" t="n">
        <v>1</v>
      </c>
      <c r="K1953" s="30"/>
      <c r="L1953" s="30"/>
      <c r="M1953" s="30"/>
      <c r="N1953" s="30"/>
      <c r="O1953" s="30"/>
      <c r="P1953" s="30"/>
      <c r="Q1953" s="30"/>
      <c r="R1953" s="30"/>
      <c r="S1953" s="30"/>
      <c r="T1953" s="30"/>
      <c r="U1953" s="21" t="str">
        <f aca="false">IF(COUNT(K1953:T1953)=0,"SOURCE EMPTY / INDUSTRIAL ONLY",IF(MIN(K1953:T1953)=1,"SERVICE READY","HOLD"))</f>
        <v>SOURCE EMPTY / INDUSTRIAL ONLY</v>
      </c>
      <c r="V1953" s="9" t="n">
        <f aca="false">IF(U1953="SERVICE READY",1,0)</f>
        <v>0</v>
      </c>
      <c r="W1953" s="6"/>
      <c r="X1953" s="6"/>
      <c r="Y1953" s="6"/>
      <c r="Z1953" s="6"/>
    </row>
    <row r="1954" customFormat="false" ht="15" hidden="false" customHeight="false" outlineLevel="0" collapsed="false">
      <c r="A1954" s="9" t="s">
        <v>2208</v>
      </c>
      <c r="B1954" s="9" t="s">
        <v>2183</v>
      </c>
      <c r="C1954" s="9" t="s">
        <v>2184</v>
      </c>
      <c r="D1954" s="9" t="s">
        <v>2185</v>
      </c>
      <c r="E1954" s="9" t="s">
        <v>2027</v>
      </c>
      <c r="F1954" s="9" t="s">
        <v>203</v>
      </c>
      <c r="G1954" s="9" t="s">
        <v>201</v>
      </c>
      <c r="H1954" s="9" t="n">
        <v>6360</v>
      </c>
      <c r="I1954" s="29" t="n">
        <v>1.5</v>
      </c>
      <c r="J1954" s="9" t="n">
        <v>1</v>
      </c>
      <c r="K1954" s="30"/>
      <c r="L1954" s="30"/>
      <c r="M1954" s="30"/>
      <c r="N1954" s="30"/>
      <c r="O1954" s="30"/>
      <c r="P1954" s="30"/>
      <c r="Q1954" s="30"/>
      <c r="R1954" s="30"/>
      <c r="S1954" s="30"/>
      <c r="T1954" s="30"/>
      <c r="U1954" s="21" t="str">
        <f aca="false">IF(COUNT(K1954:T1954)=0,"SOURCE EMPTY / INDUSTRIAL ONLY",IF(MIN(K1954:T1954)=1,"SERVICE READY","HOLD"))</f>
        <v>SOURCE EMPTY / INDUSTRIAL ONLY</v>
      </c>
      <c r="V1954" s="9" t="n">
        <f aca="false">IF(U1954="SERVICE READY",1,0)</f>
        <v>0</v>
      </c>
      <c r="W1954" s="6"/>
      <c r="X1954" s="6"/>
      <c r="Y1954" s="6"/>
      <c r="Z1954" s="6"/>
    </row>
    <row r="1955" customFormat="false" ht="15" hidden="false" customHeight="false" outlineLevel="0" collapsed="false">
      <c r="A1955" s="9" t="s">
        <v>2209</v>
      </c>
      <c r="B1955" s="9" t="s">
        <v>2183</v>
      </c>
      <c r="C1955" s="9" t="s">
        <v>2184</v>
      </c>
      <c r="D1955" s="9" t="s">
        <v>2185</v>
      </c>
      <c r="E1955" s="9" t="s">
        <v>2027</v>
      </c>
      <c r="F1955" s="9" t="s">
        <v>205</v>
      </c>
      <c r="G1955" s="9" t="s">
        <v>198</v>
      </c>
      <c r="H1955" s="9" t="n">
        <v>6360</v>
      </c>
      <c r="I1955" s="29" t="n">
        <v>1.5</v>
      </c>
      <c r="J1955" s="9" t="n">
        <v>1</v>
      </c>
      <c r="K1955" s="30"/>
      <c r="L1955" s="30"/>
      <c r="M1955" s="30"/>
      <c r="N1955" s="30"/>
      <c r="O1955" s="30"/>
      <c r="P1955" s="30"/>
      <c r="Q1955" s="30"/>
      <c r="R1955" s="30"/>
      <c r="S1955" s="30"/>
      <c r="T1955" s="30"/>
      <c r="U1955" s="21" t="str">
        <f aca="false">IF(COUNT(K1955:T1955)=0,"SOURCE EMPTY / INDUSTRIAL ONLY",IF(MIN(K1955:T1955)=1,"SERVICE READY","HOLD"))</f>
        <v>SOURCE EMPTY / INDUSTRIAL ONLY</v>
      </c>
      <c r="V1955" s="9" t="n">
        <f aca="false">IF(U1955="SERVICE READY",1,0)</f>
        <v>0</v>
      </c>
      <c r="W1955" s="6"/>
      <c r="X1955" s="6"/>
      <c r="Y1955" s="6"/>
      <c r="Z1955" s="6"/>
    </row>
    <row r="1956" customFormat="false" ht="15" hidden="false" customHeight="false" outlineLevel="0" collapsed="false">
      <c r="A1956" s="9" t="s">
        <v>2210</v>
      </c>
      <c r="B1956" s="9" t="s">
        <v>2183</v>
      </c>
      <c r="C1956" s="9" t="s">
        <v>2184</v>
      </c>
      <c r="D1956" s="9" t="s">
        <v>2185</v>
      </c>
      <c r="E1956" s="9" t="s">
        <v>2027</v>
      </c>
      <c r="F1956" s="9" t="s">
        <v>207</v>
      </c>
      <c r="G1956" s="9" t="s">
        <v>201</v>
      </c>
      <c r="H1956" s="9" t="n">
        <v>6360</v>
      </c>
      <c r="I1956" s="29" t="n">
        <v>1.5</v>
      </c>
      <c r="J1956" s="9" t="n">
        <v>1</v>
      </c>
      <c r="K1956" s="30"/>
      <c r="L1956" s="30"/>
      <c r="M1956" s="30"/>
      <c r="N1956" s="30"/>
      <c r="O1956" s="30"/>
      <c r="P1956" s="30"/>
      <c r="Q1956" s="30"/>
      <c r="R1956" s="30"/>
      <c r="S1956" s="30"/>
      <c r="T1956" s="30"/>
      <c r="U1956" s="21" t="str">
        <f aca="false">IF(COUNT(K1956:T1956)=0,"SOURCE EMPTY / INDUSTRIAL ONLY",IF(MIN(K1956:T1956)=1,"SERVICE READY","HOLD"))</f>
        <v>SOURCE EMPTY / INDUSTRIAL ONLY</v>
      </c>
      <c r="V1956" s="9" t="n">
        <f aca="false">IF(U1956="SERVICE READY",1,0)</f>
        <v>0</v>
      </c>
      <c r="W1956" s="6"/>
      <c r="X1956" s="6"/>
      <c r="Y1956" s="6"/>
      <c r="Z1956" s="6"/>
    </row>
    <row r="1957" customFormat="false" ht="15" hidden="false" customHeight="false" outlineLevel="0" collapsed="false">
      <c r="A1957" s="9" t="s">
        <v>2211</v>
      </c>
      <c r="B1957" s="9" t="s">
        <v>2183</v>
      </c>
      <c r="C1957" s="9" t="s">
        <v>2184</v>
      </c>
      <c r="D1957" s="9" t="s">
        <v>2185</v>
      </c>
      <c r="E1957" s="9" t="s">
        <v>2027</v>
      </c>
      <c r="F1957" s="9" t="s">
        <v>209</v>
      </c>
      <c r="G1957" s="9" t="s">
        <v>198</v>
      </c>
      <c r="H1957" s="9" t="n">
        <v>6360</v>
      </c>
      <c r="I1957" s="29" t="n">
        <v>1.5</v>
      </c>
      <c r="J1957" s="9" t="n">
        <v>1</v>
      </c>
      <c r="K1957" s="30"/>
      <c r="L1957" s="30"/>
      <c r="M1957" s="30"/>
      <c r="N1957" s="30"/>
      <c r="O1957" s="30"/>
      <c r="P1957" s="30"/>
      <c r="Q1957" s="30"/>
      <c r="R1957" s="30"/>
      <c r="S1957" s="30"/>
      <c r="T1957" s="30"/>
      <c r="U1957" s="21" t="str">
        <f aca="false">IF(COUNT(K1957:T1957)=0,"SOURCE EMPTY / INDUSTRIAL ONLY",IF(MIN(K1957:T1957)=1,"SERVICE READY","HOLD"))</f>
        <v>SOURCE EMPTY / INDUSTRIAL ONLY</v>
      </c>
      <c r="V1957" s="9" t="n">
        <f aca="false">IF(U1957="SERVICE READY",1,0)</f>
        <v>0</v>
      </c>
      <c r="W1957" s="6"/>
      <c r="X1957" s="6"/>
      <c r="Y1957" s="6"/>
      <c r="Z1957" s="6"/>
    </row>
    <row r="1958" customFormat="false" ht="15" hidden="false" customHeight="false" outlineLevel="0" collapsed="false">
      <c r="A1958" s="9" t="s">
        <v>2212</v>
      </c>
      <c r="B1958" s="9" t="s">
        <v>2183</v>
      </c>
      <c r="C1958" s="9" t="s">
        <v>2184</v>
      </c>
      <c r="D1958" s="9" t="s">
        <v>2185</v>
      </c>
      <c r="E1958" s="9" t="s">
        <v>2027</v>
      </c>
      <c r="F1958" s="9" t="s">
        <v>211</v>
      </c>
      <c r="G1958" s="9" t="s">
        <v>201</v>
      </c>
      <c r="H1958" s="9" t="n">
        <v>6360</v>
      </c>
      <c r="I1958" s="29" t="n">
        <v>1.5</v>
      </c>
      <c r="J1958" s="9" t="n">
        <v>1</v>
      </c>
      <c r="K1958" s="30"/>
      <c r="L1958" s="30"/>
      <c r="M1958" s="30"/>
      <c r="N1958" s="30"/>
      <c r="O1958" s="30"/>
      <c r="P1958" s="30"/>
      <c r="Q1958" s="30"/>
      <c r="R1958" s="30"/>
      <c r="S1958" s="30"/>
      <c r="T1958" s="30"/>
      <c r="U1958" s="21" t="str">
        <f aca="false">IF(COUNT(K1958:T1958)=0,"SOURCE EMPTY / INDUSTRIAL ONLY",IF(MIN(K1958:T1958)=1,"SERVICE READY","HOLD"))</f>
        <v>SOURCE EMPTY / INDUSTRIAL ONLY</v>
      </c>
      <c r="V1958" s="9" t="n">
        <f aca="false">IF(U1958="SERVICE READY",1,0)</f>
        <v>0</v>
      </c>
      <c r="W1958" s="6"/>
      <c r="X1958" s="6"/>
      <c r="Y1958" s="6"/>
      <c r="Z1958" s="6"/>
    </row>
    <row r="1959" customFormat="false" ht="15" hidden="false" customHeight="false" outlineLevel="0" collapsed="false">
      <c r="A1959" s="9" t="s">
        <v>2213</v>
      </c>
      <c r="B1959" s="9" t="s">
        <v>2183</v>
      </c>
      <c r="C1959" s="9" t="s">
        <v>2184</v>
      </c>
      <c r="D1959" s="9" t="s">
        <v>2185</v>
      </c>
      <c r="E1959" s="9" t="s">
        <v>2027</v>
      </c>
      <c r="F1959" s="9" t="s">
        <v>197</v>
      </c>
      <c r="G1959" s="9" t="s">
        <v>198</v>
      </c>
      <c r="H1959" s="9" t="n">
        <v>6360</v>
      </c>
      <c r="I1959" s="29" t="n">
        <v>1.5</v>
      </c>
      <c r="J1959" s="9" t="n">
        <v>1</v>
      </c>
      <c r="K1959" s="30"/>
      <c r="L1959" s="30"/>
      <c r="M1959" s="30"/>
      <c r="N1959" s="30"/>
      <c r="O1959" s="30"/>
      <c r="P1959" s="30"/>
      <c r="Q1959" s="30"/>
      <c r="R1959" s="30"/>
      <c r="S1959" s="30"/>
      <c r="T1959" s="30"/>
      <c r="U1959" s="21" t="str">
        <f aca="false">IF(COUNT(K1959:T1959)=0,"SOURCE EMPTY / INDUSTRIAL ONLY",IF(MIN(K1959:T1959)=1,"SERVICE READY","HOLD"))</f>
        <v>SOURCE EMPTY / INDUSTRIAL ONLY</v>
      </c>
      <c r="V1959" s="9" t="n">
        <f aca="false">IF(U1959="SERVICE READY",1,0)</f>
        <v>0</v>
      </c>
      <c r="W1959" s="6"/>
      <c r="X1959" s="6"/>
      <c r="Y1959" s="6"/>
      <c r="Z1959" s="6"/>
    </row>
    <row r="1960" customFormat="false" ht="15" hidden="false" customHeight="false" outlineLevel="0" collapsed="false">
      <c r="A1960" s="9" t="s">
        <v>2214</v>
      </c>
      <c r="B1960" s="9" t="s">
        <v>2183</v>
      </c>
      <c r="C1960" s="9" t="s">
        <v>2184</v>
      </c>
      <c r="D1960" s="9" t="s">
        <v>2185</v>
      </c>
      <c r="E1960" s="9" t="s">
        <v>2027</v>
      </c>
      <c r="F1960" s="9" t="s">
        <v>200</v>
      </c>
      <c r="G1960" s="9" t="s">
        <v>221</v>
      </c>
      <c r="H1960" s="9" t="n">
        <v>6360</v>
      </c>
      <c r="I1960" s="29" t="n">
        <v>1.5</v>
      </c>
      <c r="J1960" s="9" t="n">
        <v>1</v>
      </c>
      <c r="K1960" s="30"/>
      <c r="L1960" s="30"/>
      <c r="M1960" s="30"/>
      <c r="N1960" s="30"/>
      <c r="O1960" s="30"/>
      <c r="P1960" s="30"/>
      <c r="Q1960" s="30"/>
      <c r="R1960" s="30"/>
      <c r="S1960" s="30"/>
      <c r="T1960" s="30"/>
      <c r="U1960" s="21" t="str">
        <f aca="false">IF(COUNT(K1960:T1960)=0,"SOURCE EMPTY / INDUSTRIAL ONLY",IF(MIN(K1960:T1960)=1,"SERVICE READY","HOLD"))</f>
        <v>SOURCE EMPTY / INDUSTRIAL ONLY</v>
      </c>
      <c r="V1960" s="9" t="n">
        <f aca="false">IF(U1960="SERVICE READY",1,0)</f>
        <v>0</v>
      </c>
      <c r="W1960" s="6"/>
      <c r="X1960" s="6"/>
      <c r="Y1960" s="6"/>
      <c r="Z1960" s="6"/>
    </row>
    <row r="1961" customFormat="false" ht="15" hidden="false" customHeight="false" outlineLevel="0" collapsed="false">
      <c r="A1961" s="9" t="s">
        <v>2215</v>
      </c>
      <c r="B1961" s="9" t="s">
        <v>2183</v>
      </c>
      <c r="C1961" s="9" t="s">
        <v>2184</v>
      </c>
      <c r="D1961" s="9" t="s">
        <v>2185</v>
      </c>
      <c r="E1961" s="9" t="s">
        <v>2027</v>
      </c>
      <c r="F1961" s="9" t="s">
        <v>203</v>
      </c>
      <c r="G1961" s="9" t="s">
        <v>221</v>
      </c>
      <c r="H1961" s="9" t="n">
        <v>6360</v>
      </c>
      <c r="I1961" s="29" t="n">
        <v>1.5</v>
      </c>
      <c r="J1961" s="9" t="n">
        <v>1</v>
      </c>
      <c r="K1961" s="30"/>
      <c r="L1961" s="30"/>
      <c r="M1961" s="30"/>
      <c r="N1961" s="30"/>
      <c r="O1961" s="30"/>
      <c r="P1961" s="30"/>
      <c r="Q1961" s="30"/>
      <c r="R1961" s="30"/>
      <c r="S1961" s="30"/>
      <c r="T1961" s="30"/>
      <c r="U1961" s="21" t="str">
        <f aca="false">IF(COUNT(K1961:T1961)=0,"SOURCE EMPTY / INDUSTRIAL ONLY",IF(MIN(K1961:T1961)=1,"SERVICE READY","HOLD"))</f>
        <v>SOURCE EMPTY / INDUSTRIAL ONLY</v>
      </c>
      <c r="V1961" s="9" t="n">
        <f aca="false">IF(U1961="SERVICE READY",1,0)</f>
        <v>0</v>
      </c>
      <c r="W1961" s="6"/>
      <c r="X1961" s="6"/>
      <c r="Y1961" s="6"/>
      <c r="Z1961" s="6"/>
    </row>
    <row r="1962" customFormat="false" ht="15" hidden="false" customHeight="false" outlineLevel="0" collapsed="false">
      <c r="A1962" s="9" t="s">
        <v>2216</v>
      </c>
      <c r="B1962" s="9" t="s">
        <v>2183</v>
      </c>
      <c r="C1962" s="9" t="s">
        <v>2184</v>
      </c>
      <c r="D1962" s="9" t="s">
        <v>2185</v>
      </c>
      <c r="E1962" s="9" t="s">
        <v>2027</v>
      </c>
      <c r="F1962" s="9" t="s">
        <v>205</v>
      </c>
      <c r="G1962" s="9" t="s">
        <v>221</v>
      </c>
      <c r="H1962" s="9" t="n">
        <v>6360</v>
      </c>
      <c r="I1962" s="29" t="n">
        <v>1.5</v>
      </c>
      <c r="J1962" s="9" t="n">
        <v>1</v>
      </c>
      <c r="K1962" s="30"/>
      <c r="L1962" s="30"/>
      <c r="M1962" s="30"/>
      <c r="N1962" s="30"/>
      <c r="O1962" s="30"/>
      <c r="P1962" s="30"/>
      <c r="Q1962" s="30"/>
      <c r="R1962" s="30"/>
      <c r="S1962" s="30"/>
      <c r="T1962" s="30"/>
      <c r="U1962" s="21" t="str">
        <f aca="false">IF(COUNT(K1962:T1962)=0,"SOURCE EMPTY / INDUSTRIAL ONLY",IF(MIN(K1962:T1962)=1,"SERVICE READY","HOLD"))</f>
        <v>SOURCE EMPTY / INDUSTRIAL ONLY</v>
      </c>
      <c r="V1962" s="9" t="n">
        <f aca="false">IF(U1962="SERVICE READY",1,0)</f>
        <v>0</v>
      </c>
      <c r="W1962" s="6"/>
      <c r="X1962" s="6"/>
      <c r="Y1962" s="6"/>
      <c r="Z1962" s="6"/>
    </row>
    <row r="1963" customFormat="false" ht="15" hidden="false" customHeight="false" outlineLevel="0" collapsed="false">
      <c r="A1963" s="9" t="s">
        <v>2217</v>
      </c>
      <c r="B1963" s="9" t="s">
        <v>2183</v>
      </c>
      <c r="C1963" s="9" t="s">
        <v>2184</v>
      </c>
      <c r="D1963" s="9" t="s">
        <v>2185</v>
      </c>
      <c r="E1963" s="9" t="s">
        <v>2027</v>
      </c>
      <c r="F1963" s="9" t="s">
        <v>207</v>
      </c>
      <c r="G1963" s="9" t="s">
        <v>221</v>
      </c>
      <c r="H1963" s="9" t="n">
        <v>6360</v>
      </c>
      <c r="I1963" s="29" t="n">
        <v>1.5</v>
      </c>
      <c r="J1963" s="9" t="n">
        <v>1</v>
      </c>
      <c r="K1963" s="30"/>
      <c r="L1963" s="30"/>
      <c r="M1963" s="30"/>
      <c r="N1963" s="30"/>
      <c r="O1963" s="30"/>
      <c r="P1963" s="30"/>
      <c r="Q1963" s="30"/>
      <c r="R1963" s="30"/>
      <c r="S1963" s="30"/>
      <c r="T1963" s="30"/>
      <c r="U1963" s="21" t="str">
        <f aca="false">IF(COUNT(K1963:T1963)=0,"SOURCE EMPTY / INDUSTRIAL ONLY",IF(MIN(K1963:T1963)=1,"SERVICE READY","HOLD"))</f>
        <v>SOURCE EMPTY / INDUSTRIAL ONLY</v>
      </c>
      <c r="V1963" s="9" t="n">
        <f aca="false">IF(U1963="SERVICE READY",1,0)</f>
        <v>0</v>
      </c>
      <c r="W1963" s="6"/>
      <c r="X1963" s="6"/>
      <c r="Y1963" s="6"/>
      <c r="Z1963" s="6"/>
    </row>
    <row r="1964" customFormat="false" ht="15" hidden="false" customHeight="false" outlineLevel="0" collapsed="false">
      <c r="A1964" s="9" t="s">
        <v>2218</v>
      </c>
      <c r="B1964" s="9" t="s">
        <v>2183</v>
      </c>
      <c r="C1964" s="9" t="s">
        <v>2184</v>
      </c>
      <c r="D1964" s="9" t="s">
        <v>2185</v>
      </c>
      <c r="E1964" s="9" t="s">
        <v>2027</v>
      </c>
      <c r="F1964" s="9" t="s">
        <v>209</v>
      </c>
      <c r="G1964" s="9" t="s">
        <v>221</v>
      </c>
      <c r="H1964" s="9" t="n">
        <v>6360</v>
      </c>
      <c r="I1964" s="29" t="n">
        <v>1.5</v>
      </c>
      <c r="J1964" s="9" t="n">
        <v>1</v>
      </c>
      <c r="K1964" s="30"/>
      <c r="L1964" s="30"/>
      <c r="M1964" s="30"/>
      <c r="N1964" s="30"/>
      <c r="O1964" s="30"/>
      <c r="P1964" s="30"/>
      <c r="Q1964" s="30"/>
      <c r="R1964" s="30"/>
      <c r="S1964" s="30"/>
      <c r="T1964" s="30"/>
      <c r="U1964" s="21" t="str">
        <f aca="false">IF(COUNT(K1964:T1964)=0,"SOURCE EMPTY / INDUSTRIAL ONLY",IF(MIN(K1964:T1964)=1,"SERVICE READY","HOLD"))</f>
        <v>SOURCE EMPTY / INDUSTRIAL ONLY</v>
      </c>
      <c r="V1964" s="9" t="n">
        <f aca="false">IF(U1964="SERVICE READY",1,0)</f>
        <v>0</v>
      </c>
      <c r="W1964" s="6"/>
      <c r="X1964" s="6"/>
      <c r="Y1964" s="6"/>
      <c r="Z1964" s="6"/>
    </row>
    <row r="1965" customFormat="false" ht="15" hidden="false" customHeight="false" outlineLevel="0" collapsed="false">
      <c r="A1965" s="9" t="s">
        <v>2219</v>
      </c>
      <c r="B1965" s="9" t="s">
        <v>2183</v>
      </c>
      <c r="C1965" s="9" t="s">
        <v>2184</v>
      </c>
      <c r="D1965" s="9" t="s">
        <v>2185</v>
      </c>
      <c r="E1965" s="9" t="s">
        <v>2027</v>
      </c>
      <c r="F1965" s="9" t="s">
        <v>211</v>
      </c>
      <c r="G1965" s="9" t="s">
        <v>221</v>
      </c>
      <c r="H1965" s="9" t="n">
        <v>6360</v>
      </c>
      <c r="I1965" s="29" t="n">
        <v>1.5</v>
      </c>
      <c r="J1965" s="9" t="n">
        <v>1</v>
      </c>
      <c r="K1965" s="30"/>
      <c r="L1965" s="30"/>
      <c r="M1965" s="30"/>
      <c r="N1965" s="30"/>
      <c r="O1965" s="30"/>
      <c r="P1965" s="30"/>
      <c r="Q1965" s="30"/>
      <c r="R1965" s="30"/>
      <c r="S1965" s="30"/>
      <c r="T1965" s="30"/>
      <c r="U1965" s="21" t="str">
        <f aca="false">IF(COUNT(K1965:T1965)=0,"SOURCE EMPTY / INDUSTRIAL ONLY",IF(MIN(K1965:T1965)=1,"SERVICE READY","HOLD"))</f>
        <v>SOURCE EMPTY / INDUSTRIAL ONLY</v>
      </c>
      <c r="V1965" s="9" t="n">
        <f aca="false">IF(U1965="SERVICE READY",1,0)</f>
        <v>0</v>
      </c>
      <c r="W1965" s="6"/>
      <c r="X1965" s="6"/>
      <c r="Y1965" s="6"/>
      <c r="Z1965" s="6"/>
    </row>
    <row r="1966" customFormat="false" ht="15" hidden="false" customHeight="false" outlineLevel="0" collapsed="false">
      <c r="A1966" s="9" t="s">
        <v>2220</v>
      </c>
      <c r="B1966" s="9" t="s">
        <v>2183</v>
      </c>
      <c r="C1966" s="9" t="s">
        <v>2184</v>
      </c>
      <c r="D1966" s="9" t="s">
        <v>2185</v>
      </c>
      <c r="E1966" s="9" t="s">
        <v>2027</v>
      </c>
      <c r="F1966" s="9" t="s">
        <v>197</v>
      </c>
      <c r="G1966" s="9" t="s">
        <v>221</v>
      </c>
      <c r="H1966" s="9" t="n">
        <v>6360</v>
      </c>
      <c r="I1966" s="29" t="n">
        <v>1.5</v>
      </c>
      <c r="J1966" s="9" t="n">
        <v>1</v>
      </c>
      <c r="K1966" s="30"/>
      <c r="L1966" s="30"/>
      <c r="M1966" s="30"/>
      <c r="N1966" s="30"/>
      <c r="O1966" s="30"/>
      <c r="P1966" s="30"/>
      <c r="Q1966" s="30"/>
      <c r="R1966" s="30"/>
      <c r="S1966" s="30"/>
      <c r="T1966" s="30"/>
      <c r="U1966" s="21" t="str">
        <f aca="false">IF(COUNT(K1966:T1966)=0,"SOURCE EMPTY / INDUSTRIAL ONLY",IF(MIN(K1966:T1966)=1,"SERVICE READY","HOLD"))</f>
        <v>SOURCE EMPTY / INDUSTRIAL ONLY</v>
      </c>
      <c r="V1966" s="9" t="n">
        <f aca="false">IF(U1966="SERVICE READY",1,0)</f>
        <v>0</v>
      </c>
      <c r="W1966" s="6"/>
      <c r="X1966" s="6"/>
      <c r="Y1966" s="6"/>
      <c r="Z1966" s="6"/>
    </row>
    <row r="1967" customFormat="false" ht="15" hidden="false" customHeight="false" outlineLevel="0" collapsed="false">
      <c r="A1967" s="9" t="s">
        <v>2221</v>
      </c>
      <c r="B1967" s="9" t="s">
        <v>2183</v>
      </c>
      <c r="C1967" s="9" t="s">
        <v>2184</v>
      </c>
      <c r="D1967" s="9" t="s">
        <v>2185</v>
      </c>
      <c r="E1967" s="9" t="s">
        <v>2027</v>
      </c>
      <c r="F1967" s="9" t="s">
        <v>200</v>
      </c>
      <c r="G1967" s="9" t="s">
        <v>221</v>
      </c>
      <c r="H1967" s="9" t="n">
        <v>6360</v>
      </c>
      <c r="I1967" s="29" t="n">
        <v>1.5</v>
      </c>
      <c r="J1967" s="9" t="n">
        <v>1</v>
      </c>
      <c r="K1967" s="30"/>
      <c r="L1967" s="30"/>
      <c r="M1967" s="30"/>
      <c r="N1967" s="30"/>
      <c r="O1967" s="30"/>
      <c r="P1967" s="30"/>
      <c r="Q1967" s="30"/>
      <c r="R1967" s="30"/>
      <c r="S1967" s="30"/>
      <c r="T1967" s="30"/>
      <c r="U1967" s="21" t="str">
        <f aca="false">IF(COUNT(K1967:T1967)=0,"SOURCE EMPTY / INDUSTRIAL ONLY",IF(MIN(K1967:T1967)=1,"SERVICE READY","HOLD"))</f>
        <v>SOURCE EMPTY / INDUSTRIAL ONLY</v>
      </c>
      <c r="V1967" s="9" t="n">
        <f aca="false">IF(U1967="SERVICE READY",1,0)</f>
        <v>0</v>
      </c>
      <c r="W1967" s="6"/>
      <c r="X1967" s="6"/>
      <c r="Y1967" s="6"/>
      <c r="Z1967" s="6"/>
    </row>
    <row r="1968" customFormat="false" ht="15" hidden="false" customHeight="false" outlineLevel="0" collapsed="false">
      <c r="A1968" s="9" t="s">
        <v>2222</v>
      </c>
      <c r="B1968" s="9" t="s">
        <v>2183</v>
      </c>
      <c r="C1968" s="9" t="s">
        <v>2184</v>
      </c>
      <c r="D1968" s="9" t="s">
        <v>2185</v>
      </c>
      <c r="E1968" s="9" t="s">
        <v>2027</v>
      </c>
      <c r="F1968" s="9" t="s">
        <v>203</v>
      </c>
      <c r="G1968" s="9" t="s">
        <v>221</v>
      </c>
      <c r="H1968" s="9" t="n">
        <v>6360</v>
      </c>
      <c r="I1968" s="29" t="n">
        <v>1.5</v>
      </c>
      <c r="J1968" s="9" t="n">
        <v>1</v>
      </c>
      <c r="K1968" s="30"/>
      <c r="L1968" s="30"/>
      <c r="M1968" s="30"/>
      <c r="N1968" s="30"/>
      <c r="O1968" s="30"/>
      <c r="P1968" s="30"/>
      <c r="Q1968" s="30"/>
      <c r="R1968" s="30"/>
      <c r="S1968" s="30"/>
      <c r="T1968" s="30"/>
      <c r="U1968" s="21" t="str">
        <f aca="false">IF(COUNT(K1968:T1968)=0,"SOURCE EMPTY / INDUSTRIAL ONLY",IF(MIN(K1968:T1968)=1,"SERVICE READY","HOLD"))</f>
        <v>SOURCE EMPTY / INDUSTRIAL ONLY</v>
      </c>
      <c r="V1968" s="9" t="n">
        <f aca="false">IF(U1968="SERVICE READY",1,0)</f>
        <v>0</v>
      </c>
      <c r="W1968" s="6"/>
      <c r="X1968" s="6"/>
      <c r="Y1968" s="6"/>
      <c r="Z1968" s="6"/>
    </row>
    <row r="1969" customFormat="false" ht="15" hidden="false" customHeight="false" outlineLevel="0" collapsed="false">
      <c r="A1969" s="9" t="s">
        <v>2223</v>
      </c>
      <c r="B1969" s="9" t="s">
        <v>2183</v>
      </c>
      <c r="C1969" s="9" t="s">
        <v>2184</v>
      </c>
      <c r="D1969" s="9" t="s">
        <v>2185</v>
      </c>
      <c r="E1969" s="9" t="s">
        <v>2027</v>
      </c>
      <c r="F1969" s="9" t="s">
        <v>205</v>
      </c>
      <c r="G1969" s="9" t="s">
        <v>221</v>
      </c>
      <c r="H1969" s="9" t="n">
        <v>6360</v>
      </c>
      <c r="I1969" s="29" t="n">
        <v>1.5</v>
      </c>
      <c r="J1969" s="9" t="n">
        <v>1</v>
      </c>
      <c r="K1969" s="30"/>
      <c r="L1969" s="30"/>
      <c r="M1969" s="30"/>
      <c r="N1969" s="30"/>
      <c r="O1969" s="30"/>
      <c r="P1969" s="30"/>
      <c r="Q1969" s="30"/>
      <c r="R1969" s="30"/>
      <c r="S1969" s="30"/>
      <c r="T1969" s="30"/>
      <c r="U1969" s="21" t="str">
        <f aca="false">IF(COUNT(K1969:T1969)=0,"SOURCE EMPTY / INDUSTRIAL ONLY",IF(MIN(K1969:T1969)=1,"SERVICE READY","HOLD"))</f>
        <v>SOURCE EMPTY / INDUSTRIAL ONLY</v>
      </c>
      <c r="V1969" s="9" t="n">
        <f aca="false">IF(U1969="SERVICE READY",1,0)</f>
        <v>0</v>
      </c>
      <c r="W1969" s="6"/>
      <c r="X1969" s="6"/>
      <c r="Y1969" s="6"/>
      <c r="Z1969" s="6"/>
    </row>
    <row r="1970" customFormat="false" ht="15" hidden="false" customHeight="false" outlineLevel="0" collapsed="false">
      <c r="A1970" s="9" t="s">
        <v>2224</v>
      </c>
      <c r="B1970" s="9" t="s">
        <v>2183</v>
      </c>
      <c r="C1970" s="9" t="s">
        <v>2184</v>
      </c>
      <c r="D1970" s="9" t="s">
        <v>2185</v>
      </c>
      <c r="E1970" s="9" t="s">
        <v>2027</v>
      </c>
      <c r="F1970" s="9" t="s">
        <v>207</v>
      </c>
      <c r="G1970" s="9" t="s">
        <v>221</v>
      </c>
      <c r="H1970" s="9" t="n">
        <v>6360</v>
      </c>
      <c r="I1970" s="29" t="n">
        <v>1.5</v>
      </c>
      <c r="J1970" s="9" t="n">
        <v>1</v>
      </c>
      <c r="K1970" s="30"/>
      <c r="L1970" s="30"/>
      <c r="M1970" s="30"/>
      <c r="N1970" s="30"/>
      <c r="O1970" s="30"/>
      <c r="P1970" s="30"/>
      <c r="Q1970" s="30"/>
      <c r="R1970" s="30"/>
      <c r="S1970" s="30"/>
      <c r="T1970" s="30"/>
      <c r="U1970" s="21" t="str">
        <f aca="false">IF(COUNT(K1970:T1970)=0,"SOURCE EMPTY / INDUSTRIAL ONLY",IF(MIN(K1970:T1970)=1,"SERVICE READY","HOLD"))</f>
        <v>SOURCE EMPTY / INDUSTRIAL ONLY</v>
      </c>
      <c r="V1970" s="9" t="n">
        <f aca="false">IF(U1970="SERVICE READY",1,0)</f>
        <v>0</v>
      </c>
      <c r="W1970" s="6"/>
      <c r="X1970" s="6"/>
      <c r="Y1970" s="6"/>
      <c r="Z1970" s="6"/>
    </row>
    <row r="1971" customFormat="false" ht="15" hidden="false" customHeight="false" outlineLevel="0" collapsed="false">
      <c r="A1971" s="9" t="s">
        <v>2225</v>
      </c>
      <c r="B1971" s="9" t="s">
        <v>2183</v>
      </c>
      <c r="C1971" s="9" t="s">
        <v>2184</v>
      </c>
      <c r="D1971" s="9" t="s">
        <v>2185</v>
      </c>
      <c r="E1971" s="9" t="s">
        <v>2027</v>
      </c>
      <c r="F1971" s="9" t="s">
        <v>209</v>
      </c>
      <c r="G1971" s="9" t="s">
        <v>221</v>
      </c>
      <c r="H1971" s="9" t="n">
        <v>6360</v>
      </c>
      <c r="I1971" s="29" t="n">
        <v>1.5</v>
      </c>
      <c r="J1971" s="9" t="n">
        <v>1</v>
      </c>
      <c r="K1971" s="30"/>
      <c r="L1971" s="30"/>
      <c r="M1971" s="30"/>
      <c r="N1971" s="30"/>
      <c r="O1971" s="30"/>
      <c r="P1971" s="30"/>
      <c r="Q1971" s="30"/>
      <c r="R1971" s="30"/>
      <c r="S1971" s="30"/>
      <c r="T1971" s="30"/>
      <c r="U1971" s="21" t="str">
        <f aca="false">IF(COUNT(K1971:T1971)=0,"SOURCE EMPTY / INDUSTRIAL ONLY",IF(MIN(K1971:T1971)=1,"SERVICE READY","HOLD"))</f>
        <v>SOURCE EMPTY / INDUSTRIAL ONLY</v>
      </c>
      <c r="V1971" s="9" t="n">
        <f aca="false">IF(U1971="SERVICE READY",1,0)</f>
        <v>0</v>
      </c>
      <c r="W1971" s="6"/>
      <c r="X1971" s="6"/>
      <c r="Y1971" s="6"/>
      <c r="Z1971" s="6"/>
    </row>
    <row r="1972" customFormat="false" ht="15" hidden="false" customHeight="false" outlineLevel="0" collapsed="false">
      <c r="A1972" s="9" t="s">
        <v>2226</v>
      </c>
      <c r="B1972" s="9" t="s">
        <v>2183</v>
      </c>
      <c r="C1972" s="9" t="s">
        <v>2184</v>
      </c>
      <c r="D1972" s="9" t="s">
        <v>2185</v>
      </c>
      <c r="E1972" s="9" t="s">
        <v>2027</v>
      </c>
      <c r="F1972" s="9" t="s">
        <v>211</v>
      </c>
      <c r="G1972" s="9" t="s">
        <v>221</v>
      </c>
      <c r="H1972" s="9" t="n">
        <v>6360</v>
      </c>
      <c r="I1972" s="29" t="n">
        <v>1.5</v>
      </c>
      <c r="J1972" s="9" t="n">
        <v>1</v>
      </c>
      <c r="K1972" s="30"/>
      <c r="L1972" s="30"/>
      <c r="M1972" s="30"/>
      <c r="N1972" s="30"/>
      <c r="O1972" s="30"/>
      <c r="P1972" s="30"/>
      <c r="Q1972" s="30"/>
      <c r="R1972" s="30"/>
      <c r="S1972" s="30"/>
      <c r="T1972" s="30"/>
      <c r="U1972" s="21" t="str">
        <f aca="false">IF(COUNT(K1972:T1972)=0,"SOURCE EMPTY / INDUSTRIAL ONLY",IF(MIN(K1972:T1972)=1,"SERVICE READY","HOLD"))</f>
        <v>SOURCE EMPTY / INDUSTRIAL ONLY</v>
      </c>
      <c r="V1972" s="9" t="n">
        <f aca="false">IF(U1972="SERVICE READY",1,0)</f>
        <v>0</v>
      </c>
      <c r="W1972" s="6"/>
      <c r="X1972" s="6"/>
      <c r="Y1972" s="6"/>
      <c r="Z1972" s="6"/>
    </row>
    <row r="1973" customFormat="false" ht="15" hidden="false" customHeight="false" outlineLevel="0" collapsed="false">
      <c r="A1973" s="9" t="s">
        <v>2227</v>
      </c>
      <c r="B1973" s="9" t="s">
        <v>2183</v>
      </c>
      <c r="C1973" s="9" t="s">
        <v>2184</v>
      </c>
      <c r="D1973" s="9" t="s">
        <v>2185</v>
      </c>
      <c r="E1973" s="9" t="s">
        <v>2027</v>
      </c>
      <c r="F1973" s="9" t="s">
        <v>197</v>
      </c>
      <c r="G1973" s="9" t="s">
        <v>221</v>
      </c>
      <c r="H1973" s="9" t="n">
        <v>6360</v>
      </c>
      <c r="I1973" s="29" t="n">
        <v>1.5</v>
      </c>
      <c r="J1973" s="9" t="n">
        <v>1</v>
      </c>
      <c r="K1973" s="30"/>
      <c r="L1973" s="30"/>
      <c r="M1973" s="30"/>
      <c r="N1973" s="30"/>
      <c r="O1973" s="30"/>
      <c r="P1973" s="30"/>
      <c r="Q1973" s="30"/>
      <c r="R1973" s="30"/>
      <c r="S1973" s="30"/>
      <c r="T1973" s="30"/>
      <c r="U1973" s="21" t="str">
        <f aca="false">IF(COUNT(K1973:T1973)=0,"SOURCE EMPTY / INDUSTRIAL ONLY",IF(MIN(K1973:T1973)=1,"SERVICE READY","HOLD"))</f>
        <v>SOURCE EMPTY / INDUSTRIAL ONLY</v>
      </c>
      <c r="V1973" s="9" t="n">
        <f aca="false">IF(U1973="SERVICE READY",1,0)</f>
        <v>0</v>
      </c>
      <c r="W1973" s="6"/>
      <c r="X1973" s="6"/>
      <c r="Y1973" s="6"/>
      <c r="Z1973" s="6"/>
    </row>
    <row r="1974" customFormat="false" ht="15" hidden="false" customHeight="false" outlineLevel="0" collapsed="false">
      <c r="A1974" s="9" t="s">
        <v>2228</v>
      </c>
      <c r="B1974" s="9" t="s">
        <v>2183</v>
      </c>
      <c r="C1974" s="9" t="s">
        <v>2184</v>
      </c>
      <c r="D1974" s="9" t="s">
        <v>2185</v>
      </c>
      <c r="E1974" s="9" t="s">
        <v>2027</v>
      </c>
      <c r="F1974" s="9" t="s">
        <v>200</v>
      </c>
      <c r="G1974" s="9" t="s">
        <v>221</v>
      </c>
      <c r="H1974" s="9" t="n">
        <v>6360</v>
      </c>
      <c r="I1974" s="29" t="n">
        <v>1.5</v>
      </c>
      <c r="J1974" s="9" t="n">
        <v>1</v>
      </c>
      <c r="K1974" s="30"/>
      <c r="L1974" s="30"/>
      <c r="M1974" s="30"/>
      <c r="N1974" s="30"/>
      <c r="O1974" s="30"/>
      <c r="P1974" s="30"/>
      <c r="Q1974" s="30"/>
      <c r="R1974" s="30"/>
      <c r="S1974" s="30"/>
      <c r="T1974" s="30"/>
      <c r="U1974" s="21" t="str">
        <f aca="false">IF(COUNT(K1974:T1974)=0,"SOURCE EMPTY / INDUSTRIAL ONLY",IF(MIN(K1974:T1974)=1,"SERVICE READY","HOLD"))</f>
        <v>SOURCE EMPTY / INDUSTRIAL ONLY</v>
      </c>
      <c r="V1974" s="9" t="n">
        <f aca="false">IF(U1974="SERVICE READY",1,0)</f>
        <v>0</v>
      </c>
      <c r="W1974" s="6"/>
      <c r="X1974" s="6"/>
      <c r="Y1974" s="6"/>
      <c r="Z1974" s="6"/>
    </row>
    <row r="1975" customFormat="false" ht="15" hidden="false" customHeight="false" outlineLevel="0" collapsed="false">
      <c r="A1975" s="9" t="s">
        <v>2229</v>
      </c>
      <c r="B1975" s="9" t="s">
        <v>2183</v>
      </c>
      <c r="C1975" s="9" t="s">
        <v>2184</v>
      </c>
      <c r="D1975" s="9" t="s">
        <v>2185</v>
      </c>
      <c r="E1975" s="9" t="s">
        <v>2027</v>
      </c>
      <c r="F1975" s="9" t="s">
        <v>203</v>
      </c>
      <c r="G1975" s="9" t="s">
        <v>221</v>
      </c>
      <c r="H1975" s="9" t="n">
        <v>6360</v>
      </c>
      <c r="I1975" s="29" t="n">
        <v>1.5</v>
      </c>
      <c r="J1975" s="9" t="n">
        <v>1</v>
      </c>
      <c r="K1975" s="30"/>
      <c r="L1975" s="30"/>
      <c r="M1975" s="30"/>
      <c r="N1975" s="30"/>
      <c r="O1975" s="30"/>
      <c r="P1975" s="30"/>
      <c r="Q1975" s="30"/>
      <c r="R1975" s="30"/>
      <c r="S1975" s="30"/>
      <c r="T1975" s="30"/>
      <c r="U1975" s="21" t="str">
        <f aca="false">IF(COUNT(K1975:T1975)=0,"SOURCE EMPTY / INDUSTRIAL ONLY",IF(MIN(K1975:T1975)=1,"SERVICE READY","HOLD"))</f>
        <v>SOURCE EMPTY / INDUSTRIAL ONLY</v>
      </c>
      <c r="V1975" s="9" t="n">
        <f aca="false">IF(U1975="SERVICE READY",1,0)</f>
        <v>0</v>
      </c>
      <c r="W1975" s="6"/>
      <c r="X1975" s="6"/>
      <c r="Y1975" s="6"/>
      <c r="Z1975" s="6"/>
    </row>
    <row r="1976" customFormat="false" ht="15" hidden="false" customHeight="false" outlineLevel="0" collapsed="false">
      <c r="A1976" s="9" t="s">
        <v>2230</v>
      </c>
      <c r="B1976" s="9" t="s">
        <v>2183</v>
      </c>
      <c r="C1976" s="9" t="s">
        <v>2184</v>
      </c>
      <c r="D1976" s="9" t="s">
        <v>2185</v>
      </c>
      <c r="E1976" s="9" t="s">
        <v>2027</v>
      </c>
      <c r="F1976" s="9" t="s">
        <v>205</v>
      </c>
      <c r="G1976" s="9" t="s">
        <v>221</v>
      </c>
      <c r="H1976" s="9" t="n">
        <v>6360</v>
      </c>
      <c r="I1976" s="29" t="n">
        <v>1.5</v>
      </c>
      <c r="J1976" s="9" t="n">
        <v>1</v>
      </c>
      <c r="K1976" s="30"/>
      <c r="L1976" s="30"/>
      <c r="M1976" s="30"/>
      <c r="N1976" s="30"/>
      <c r="O1976" s="30"/>
      <c r="P1976" s="30"/>
      <c r="Q1976" s="30"/>
      <c r="R1976" s="30"/>
      <c r="S1976" s="30"/>
      <c r="T1976" s="30"/>
      <c r="U1976" s="21" t="str">
        <f aca="false">IF(COUNT(K1976:T1976)=0,"SOURCE EMPTY / INDUSTRIAL ONLY",IF(MIN(K1976:T1976)=1,"SERVICE READY","HOLD"))</f>
        <v>SOURCE EMPTY / INDUSTRIAL ONLY</v>
      </c>
      <c r="V1976" s="9" t="n">
        <f aca="false">IF(U1976="SERVICE READY",1,0)</f>
        <v>0</v>
      </c>
      <c r="W1976" s="6"/>
      <c r="X1976" s="6"/>
      <c r="Y1976" s="6"/>
      <c r="Z1976" s="6"/>
    </row>
    <row r="1977" customFormat="false" ht="15" hidden="false" customHeight="false" outlineLevel="0" collapsed="false">
      <c r="A1977" s="9" t="s">
        <v>2231</v>
      </c>
      <c r="B1977" s="9" t="s">
        <v>2183</v>
      </c>
      <c r="C1977" s="9" t="s">
        <v>2184</v>
      </c>
      <c r="D1977" s="9" t="s">
        <v>2185</v>
      </c>
      <c r="E1977" s="9" t="s">
        <v>2027</v>
      </c>
      <c r="F1977" s="9" t="s">
        <v>207</v>
      </c>
      <c r="G1977" s="9" t="s">
        <v>221</v>
      </c>
      <c r="H1977" s="9" t="n">
        <v>6360</v>
      </c>
      <c r="I1977" s="29" t="n">
        <v>1.5</v>
      </c>
      <c r="J1977" s="9" t="n">
        <v>1</v>
      </c>
      <c r="K1977" s="30"/>
      <c r="L1977" s="30"/>
      <c r="M1977" s="30"/>
      <c r="N1977" s="30"/>
      <c r="O1977" s="30"/>
      <c r="P1977" s="30"/>
      <c r="Q1977" s="30"/>
      <c r="R1977" s="30"/>
      <c r="S1977" s="30"/>
      <c r="T1977" s="30"/>
      <c r="U1977" s="21" t="str">
        <f aca="false">IF(COUNT(K1977:T1977)=0,"SOURCE EMPTY / INDUSTRIAL ONLY",IF(MIN(K1977:T1977)=1,"SERVICE READY","HOLD"))</f>
        <v>SOURCE EMPTY / INDUSTRIAL ONLY</v>
      </c>
      <c r="V1977" s="9" t="n">
        <f aca="false">IF(U1977="SERVICE READY",1,0)</f>
        <v>0</v>
      </c>
      <c r="W1977" s="6"/>
      <c r="X1977" s="6"/>
      <c r="Y1977" s="6"/>
      <c r="Z1977" s="6"/>
    </row>
    <row r="1978" customFormat="false" ht="15" hidden="false" customHeight="false" outlineLevel="0" collapsed="false">
      <c r="A1978" s="9" t="s">
        <v>2232</v>
      </c>
      <c r="B1978" s="9" t="s">
        <v>2183</v>
      </c>
      <c r="C1978" s="9" t="s">
        <v>2184</v>
      </c>
      <c r="D1978" s="9" t="s">
        <v>2185</v>
      </c>
      <c r="E1978" s="9" t="s">
        <v>2027</v>
      </c>
      <c r="F1978" s="9" t="s">
        <v>209</v>
      </c>
      <c r="G1978" s="9" t="s">
        <v>221</v>
      </c>
      <c r="H1978" s="9" t="n">
        <v>6360</v>
      </c>
      <c r="I1978" s="29" t="n">
        <v>1.5</v>
      </c>
      <c r="J1978" s="9" t="n">
        <v>1</v>
      </c>
      <c r="K1978" s="30"/>
      <c r="L1978" s="30"/>
      <c r="M1978" s="30"/>
      <c r="N1978" s="30"/>
      <c r="O1978" s="30"/>
      <c r="P1978" s="30"/>
      <c r="Q1978" s="30"/>
      <c r="R1978" s="30"/>
      <c r="S1978" s="30"/>
      <c r="T1978" s="30"/>
      <c r="U1978" s="21" t="str">
        <f aca="false">IF(COUNT(K1978:T1978)=0,"SOURCE EMPTY / INDUSTRIAL ONLY",IF(MIN(K1978:T1978)=1,"SERVICE READY","HOLD"))</f>
        <v>SOURCE EMPTY / INDUSTRIAL ONLY</v>
      </c>
      <c r="V1978" s="9" t="n">
        <f aca="false">IF(U1978="SERVICE READY",1,0)</f>
        <v>0</v>
      </c>
      <c r="W1978" s="6"/>
      <c r="X1978" s="6"/>
      <c r="Y1978" s="6"/>
      <c r="Z1978" s="6"/>
    </row>
    <row r="1979" customFormat="false" ht="15" hidden="false" customHeight="false" outlineLevel="0" collapsed="false">
      <c r="A1979" s="9" t="s">
        <v>2233</v>
      </c>
      <c r="B1979" s="9" t="s">
        <v>2183</v>
      </c>
      <c r="C1979" s="9" t="s">
        <v>2184</v>
      </c>
      <c r="D1979" s="9" t="s">
        <v>2185</v>
      </c>
      <c r="E1979" s="9" t="s">
        <v>2027</v>
      </c>
      <c r="F1979" s="9" t="s">
        <v>211</v>
      </c>
      <c r="G1979" s="9" t="s">
        <v>221</v>
      </c>
      <c r="H1979" s="9" t="n">
        <v>6360</v>
      </c>
      <c r="I1979" s="29" t="n">
        <v>1.5</v>
      </c>
      <c r="J1979" s="9" t="n">
        <v>1</v>
      </c>
      <c r="K1979" s="30"/>
      <c r="L1979" s="30"/>
      <c r="M1979" s="30"/>
      <c r="N1979" s="30"/>
      <c r="O1979" s="30"/>
      <c r="P1979" s="30"/>
      <c r="Q1979" s="30"/>
      <c r="R1979" s="30"/>
      <c r="S1979" s="30"/>
      <c r="T1979" s="30"/>
      <c r="U1979" s="21" t="str">
        <f aca="false">IF(COUNT(K1979:T1979)=0,"SOURCE EMPTY / INDUSTRIAL ONLY",IF(MIN(K1979:T1979)=1,"SERVICE READY","HOLD"))</f>
        <v>SOURCE EMPTY / INDUSTRIAL ONLY</v>
      </c>
      <c r="V1979" s="9" t="n">
        <f aca="false">IF(U1979="SERVICE READY",1,0)</f>
        <v>0</v>
      </c>
      <c r="W1979" s="6"/>
      <c r="X1979" s="6"/>
      <c r="Y1979" s="6"/>
      <c r="Z1979" s="6"/>
    </row>
    <row r="1980" customFormat="false" ht="15" hidden="false" customHeight="false" outlineLevel="0" collapsed="false">
      <c r="A1980" s="9" t="s">
        <v>2234</v>
      </c>
      <c r="B1980" s="9" t="s">
        <v>2183</v>
      </c>
      <c r="C1980" s="9" t="s">
        <v>2184</v>
      </c>
      <c r="D1980" s="9" t="s">
        <v>2185</v>
      </c>
      <c r="E1980" s="9" t="s">
        <v>2027</v>
      </c>
      <c r="F1980" s="9" t="s">
        <v>197</v>
      </c>
      <c r="G1980" s="9" t="s">
        <v>221</v>
      </c>
      <c r="H1980" s="9" t="n">
        <v>6360</v>
      </c>
      <c r="I1980" s="29" t="n">
        <v>1.5</v>
      </c>
      <c r="J1980" s="9" t="n">
        <v>1</v>
      </c>
      <c r="K1980" s="30"/>
      <c r="L1980" s="30"/>
      <c r="M1980" s="30"/>
      <c r="N1980" s="30"/>
      <c r="O1980" s="30"/>
      <c r="P1980" s="30"/>
      <c r="Q1980" s="30"/>
      <c r="R1980" s="30"/>
      <c r="S1980" s="30"/>
      <c r="T1980" s="30"/>
      <c r="U1980" s="21" t="str">
        <f aca="false">IF(COUNT(K1980:T1980)=0,"SOURCE EMPTY / INDUSTRIAL ONLY",IF(MIN(K1980:T1980)=1,"SERVICE READY","HOLD"))</f>
        <v>SOURCE EMPTY / INDUSTRIAL ONLY</v>
      </c>
      <c r="V1980" s="9" t="n">
        <f aca="false">IF(U1980="SERVICE READY",1,0)</f>
        <v>0</v>
      </c>
      <c r="W1980" s="6"/>
      <c r="X1980" s="6"/>
      <c r="Y1980" s="6"/>
      <c r="Z1980" s="6"/>
    </row>
    <row r="1981" customFormat="false" ht="15" hidden="false" customHeight="false" outlineLevel="0" collapsed="false">
      <c r="A1981" s="9" t="s">
        <v>2235</v>
      </c>
      <c r="B1981" s="9" t="s">
        <v>2183</v>
      </c>
      <c r="C1981" s="9" t="s">
        <v>2184</v>
      </c>
      <c r="D1981" s="9" t="s">
        <v>2185</v>
      </c>
      <c r="E1981" s="9" t="s">
        <v>2027</v>
      </c>
      <c r="F1981" s="9" t="s">
        <v>200</v>
      </c>
      <c r="G1981" s="9" t="s">
        <v>221</v>
      </c>
      <c r="H1981" s="9" t="n">
        <v>6360</v>
      </c>
      <c r="I1981" s="29" t="n">
        <v>1.5</v>
      </c>
      <c r="J1981" s="9" t="n">
        <v>1</v>
      </c>
      <c r="K1981" s="30"/>
      <c r="L1981" s="30"/>
      <c r="M1981" s="30"/>
      <c r="N1981" s="30"/>
      <c r="O1981" s="30"/>
      <c r="P1981" s="30"/>
      <c r="Q1981" s="30"/>
      <c r="R1981" s="30"/>
      <c r="S1981" s="30"/>
      <c r="T1981" s="30"/>
      <c r="U1981" s="21" t="str">
        <f aca="false">IF(COUNT(K1981:T1981)=0,"SOURCE EMPTY / INDUSTRIAL ONLY",IF(MIN(K1981:T1981)=1,"SERVICE READY","HOLD"))</f>
        <v>SOURCE EMPTY / INDUSTRIAL ONLY</v>
      </c>
      <c r="V1981" s="9" t="n">
        <f aca="false">IF(U1981="SERVICE READY",1,0)</f>
        <v>0</v>
      </c>
      <c r="W1981" s="6"/>
      <c r="X1981" s="6"/>
      <c r="Y1981" s="6"/>
      <c r="Z1981" s="6"/>
    </row>
    <row r="1982" customFormat="false" ht="15" hidden="false" customHeight="false" outlineLevel="0" collapsed="false">
      <c r="A1982" s="9" t="s">
        <v>2236</v>
      </c>
      <c r="B1982" s="9" t="s">
        <v>2183</v>
      </c>
      <c r="C1982" s="9" t="s">
        <v>2184</v>
      </c>
      <c r="D1982" s="9" t="s">
        <v>2185</v>
      </c>
      <c r="E1982" s="9" t="s">
        <v>2027</v>
      </c>
      <c r="F1982" s="9" t="s">
        <v>203</v>
      </c>
      <c r="G1982" s="9" t="s">
        <v>221</v>
      </c>
      <c r="H1982" s="9" t="n">
        <v>6360</v>
      </c>
      <c r="I1982" s="29" t="n">
        <v>1.5</v>
      </c>
      <c r="J1982" s="9" t="n">
        <v>1</v>
      </c>
      <c r="K1982" s="30"/>
      <c r="L1982" s="30"/>
      <c r="M1982" s="30"/>
      <c r="N1982" s="30"/>
      <c r="O1982" s="30"/>
      <c r="P1982" s="30"/>
      <c r="Q1982" s="30"/>
      <c r="R1982" s="30"/>
      <c r="S1982" s="30"/>
      <c r="T1982" s="30"/>
      <c r="U1982" s="21" t="str">
        <f aca="false">IF(COUNT(K1982:T1982)=0,"SOURCE EMPTY / INDUSTRIAL ONLY",IF(MIN(K1982:T1982)=1,"SERVICE READY","HOLD"))</f>
        <v>SOURCE EMPTY / INDUSTRIAL ONLY</v>
      </c>
      <c r="V1982" s="9" t="n">
        <f aca="false">IF(U1982="SERVICE READY",1,0)</f>
        <v>0</v>
      </c>
      <c r="W1982" s="6"/>
      <c r="X1982" s="6"/>
      <c r="Y1982" s="6"/>
      <c r="Z1982" s="6"/>
    </row>
    <row r="1983" customFormat="false" ht="15" hidden="false" customHeight="false" outlineLevel="0" collapsed="false">
      <c r="A1983" s="9" t="s">
        <v>2237</v>
      </c>
      <c r="B1983" s="9" t="s">
        <v>2183</v>
      </c>
      <c r="C1983" s="9" t="s">
        <v>2184</v>
      </c>
      <c r="D1983" s="9" t="s">
        <v>2185</v>
      </c>
      <c r="E1983" s="9" t="s">
        <v>2027</v>
      </c>
      <c r="F1983" s="9" t="s">
        <v>205</v>
      </c>
      <c r="G1983" s="9" t="s">
        <v>221</v>
      </c>
      <c r="H1983" s="9" t="n">
        <v>6360</v>
      </c>
      <c r="I1983" s="29" t="n">
        <v>1.5</v>
      </c>
      <c r="J1983" s="9" t="n">
        <v>1</v>
      </c>
      <c r="K1983" s="30"/>
      <c r="L1983" s="30"/>
      <c r="M1983" s="30"/>
      <c r="N1983" s="30"/>
      <c r="O1983" s="30"/>
      <c r="P1983" s="30"/>
      <c r="Q1983" s="30"/>
      <c r="R1983" s="30"/>
      <c r="S1983" s="30"/>
      <c r="T1983" s="30"/>
      <c r="U1983" s="21" t="str">
        <f aca="false">IF(COUNT(K1983:T1983)=0,"SOURCE EMPTY / INDUSTRIAL ONLY",IF(MIN(K1983:T1983)=1,"SERVICE READY","HOLD"))</f>
        <v>SOURCE EMPTY / INDUSTRIAL ONLY</v>
      </c>
      <c r="V1983" s="9" t="n">
        <f aca="false">IF(U1983="SERVICE READY",1,0)</f>
        <v>0</v>
      </c>
      <c r="W1983" s="6"/>
      <c r="X1983" s="6"/>
      <c r="Y1983" s="6"/>
      <c r="Z1983" s="6"/>
    </row>
    <row r="1984" customFormat="false" ht="15" hidden="false" customHeight="false" outlineLevel="0" collapsed="false">
      <c r="A1984" s="9" t="s">
        <v>2238</v>
      </c>
      <c r="B1984" s="9" t="s">
        <v>2183</v>
      </c>
      <c r="C1984" s="9" t="s">
        <v>2184</v>
      </c>
      <c r="D1984" s="9" t="s">
        <v>2185</v>
      </c>
      <c r="E1984" s="9" t="s">
        <v>2027</v>
      </c>
      <c r="F1984" s="9" t="s">
        <v>207</v>
      </c>
      <c r="G1984" s="9" t="s">
        <v>221</v>
      </c>
      <c r="H1984" s="9" t="n">
        <v>6360</v>
      </c>
      <c r="I1984" s="29" t="n">
        <v>1.5</v>
      </c>
      <c r="J1984" s="9" t="n">
        <v>1</v>
      </c>
      <c r="K1984" s="30"/>
      <c r="L1984" s="30"/>
      <c r="M1984" s="30"/>
      <c r="N1984" s="30"/>
      <c r="O1984" s="30"/>
      <c r="P1984" s="30"/>
      <c r="Q1984" s="30"/>
      <c r="R1984" s="30"/>
      <c r="S1984" s="30"/>
      <c r="T1984" s="30"/>
      <c r="U1984" s="21" t="str">
        <f aca="false">IF(COUNT(K1984:T1984)=0,"SOURCE EMPTY / INDUSTRIAL ONLY",IF(MIN(K1984:T1984)=1,"SERVICE READY","HOLD"))</f>
        <v>SOURCE EMPTY / INDUSTRIAL ONLY</v>
      </c>
      <c r="V1984" s="9" t="n">
        <f aca="false">IF(U1984="SERVICE READY",1,0)</f>
        <v>0</v>
      </c>
      <c r="W1984" s="6"/>
      <c r="X1984" s="6"/>
      <c r="Y1984" s="6"/>
      <c r="Z1984" s="6"/>
    </row>
    <row r="1985" customFormat="false" ht="15" hidden="false" customHeight="false" outlineLevel="0" collapsed="false">
      <c r="A1985" s="9" t="s">
        <v>2239</v>
      </c>
      <c r="B1985" s="9" t="s">
        <v>2183</v>
      </c>
      <c r="C1985" s="9" t="s">
        <v>2184</v>
      </c>
      <c r="D1985" s="9" t="s">
        <v>2185</v>
      </c>
      <c r="E1985" s="9" t="s">
        <v>2027</v>
      </c>
      <c r="F1985" s="9" t="s">
        <v>209</v>
      </c>
      <c r="G1985" s="9" t="s">
        <v>221</v>
      </c>
      <c r="H1985" s="9" t="n">
        <v>6360</v>
      </c>
      <c r="I1985" s="29" t="n">
        <v>1.5</v>
      </c>
      <c r="J1985" s="9" t="n">
        <v>1</v>
      </c>
      <c r="K1985" s="30"/>
      <c r="L1985" s="30"/>
      <c r="M1985" s="30"/>
      <c r="N1985" s="30"/>
      <c r="O1985" s="30"/>
      <c r="P1985" s="30"/>
      <c r="Q1985" s="30"/>
      <c r="R1985" s="30"/>
      <c r="S1985" s="30"/>
      <c r="T1985" s="30"/>
      <c r="U1985" s="21" t="str">
        <f aca="false">IF(COUNT(K1985:T1985)=0,"SOURCE EMPTY / INDUSTRIAL ONLY",IF(MIN(K1985:T1985)=1,"SERVICE READY","HOLD"))</f>
        <v>SOURCE EMPTY / INDUSTRIAL ONLY</v>
      </c>
      <c r="V1985" s="9" t="n">
        <f aca="false">IF(U1985="SERVICE READY",1,0)</f>
        <v>0</v>
      </c>
      <c r="W1985" s="6"/>
      <c r="X1985" s="6"/>
      <c r="Y1985" s="6"/>
      <c r="Z1985" s="6"/>
    </row>
    <row r="1986" customFormat="false" ht="15" hidden="false" customHeight="false" outlineLevel="0" collapsed="false">
      <c r="A1986" s="9" t="s">
        <v>2240</v>
      </c>
      <c r="B1986" s="9" t="s">
        <v>2183</v>
      </c>
      <c r="C1986" s="9" t="s">
        <v>2184</v>
      </c>
      <c r="D1986" s="9" t="s">
        <v>2185</v>
      </c>
      <c r="E1986" s="9" t="s">
        <v>2027</v>
      </c>
      <c r="F1986" s="9" t="s">
        <v>211</v>
      </c>
      <c r="G1986" s="9" t="s">
        <v>221</v>
      </c>
      <c r="H1986" s="9" t="n">
        <v>6360</v>
      </c>
      <c r="I1986" s="29" t="n">
        <v>1.5</v>
      </c>
      <c r="J1986" s="9" t="n">
        <v>1</v>
      </c>
      <c r="K1986" s="30"/>
      <c r="L1986" s="30"/>
      <c r="M1986" s="30"/>
      <c r="N1986" s="30"/>
      <c r="O1986" s="30"/>
      <c r="P1986" s="30"/>
      <c r="Q1986" s="30"/>
      <c r="R1986" s="30"/>
      <c r="S1986" s="30"/>
      <c r="T1986" s="30"/>
      <c r="U1986" s="21" t="str">
        <f aca="false">IF(COUNT(K1986:T1986)=0,"SOURCE EMPTY / INDUSTRIAL ONLY",IF(MIN(K1986:T1986)=1,"SERVICE READY","HOLD"))</f>
        <v>SOURCE EMPTY / INDUSTRIAL ONLY</v>
      </c>
      <c r="V1986" s="9" t="n">
        <f aca="false">IF(U1986="SERVICE READY",1,0)</f>
        <v>0</v>
      </c>
      <c r="W1986" s="6"/>
      <c r="X1986" s="6"/>
      <c r="Y1986" s="6"/>
      <c r="Z1986" s="6"/>
    </row>
    <row r="1987" customFormat="false" ht="15" hidden="false" customHeight="false" outlineLevel="0" collapsed="false">
      <c r="A1987" s="9" t="s">
        <v>2241</v>
      </c>
      <c r="B1987" s="9" t="s">
        <v>2183</v>
      </c>
      <c r="C1987" s="9" t="s">
        <v>2184</v>
      </c>
      <c r="D1987" s="9" t="s">
        <v>2185</v>
      </c>
      <c r="E1987" s="9" t="s">
        <v>2027</v>
      </c>
      <c r="F1987" s="9" t="s">
        <v>197</v>
      </c>
      <c r="G1987" s="9" t="s">
        <v>221</v>
      </c>
      <c r="H1987" s="9" t="n">
        <v>6360</v>
      </c>
      <c r="I1987" s="29" t="n">
        <v>1.5</v>
      </c>
      <c r="J1987" s="9" t="n">
        <v>1</v>
      </c>
      <c r="K1987" s="30"/>
      <c r="L1987" s="30"/>
      <c r="M1987" s="30"/>
      <c r="N1987" s="30"/>
      <c r="O1987" s="30"/>
      <c r="P1987" s="30"/>
      <c r="Q1987" s="30"/>
      <c r="R1987" s="30"/>
      <c r="S1987" s="30"/>
      <c r="T1987" s="30"/>
      <c r="U1987" s="21" t="str">
        <f aca="false">IF(COUNT(K1987:T1987)=0,"SOURCE EMPTY / INDUSTRIAL ONLY",IF(MIN(K1987:T1987)=1,"SERVICE READY","HOLD"))</f>
        <v>SOURCE EMPTY / INDUSTRIAL ONLY</v>
      </c>
      <c r="V1987" s="9" t="n">
        <f aca="false">IF(U1987="SERVICE READY",1,0)</f>
        <v>0</v>
      </c>
      <c r="W1987" s="6"/>
      <c r="X1987" s="6"/>
      <c r="Y1987" s="6"/>
      <c r="Z1987" s="6"/>
    </row>
    <row r="1988" customFormat="false" ht="15" hidden="false" customHeight="false" outlineLevel="0" collapsed="false">
      <c r="A1988" s="9" t="s">
        <v>2242</v>
      </c>
      <c r="B1988" s="9" t="s">
        <v>2183</v>
      </c>
      <c r="C1988" s="9" t="s">
        <v>2184</v>
      </c>
      <c r="D1988" s="9" t="s">
        <v>2185</v>
      </c>
      <c r="E1988" s="9" t="s">
        <v>2027</v>
      </c>
      <c r="F1988" s="9" t="s">
        <v>200</v>
      </c>
      <c r="G1988" s="9" t="s">
        <v>221</v>
      </c>
      <c r="H1988" s="9" t="n">
        <v>6360</v>
      </c>
      <c r="I1988" s="29" t="n">
        <v>1.5</v>
      </c>
      <c r="J1988" s="9" t="n">
        <v>1</v>
      </c>
      <c r="K1988" s="30"/>
      <c r="L1988" s="30"/>
      <c r="M1988" s="30"/>
      <c r="N1988" s="30"/>
      <c r="O1988" s="30"/>
      <c r="P1988" s="30"/>
      <c r="Q1988" s="30"/>
      <c r="R1988" s="30"/>
      <c r="S1988" s="30"/>
      <c r="T1988" s="30"/>
      <c r="U1988" s="21" t="str">
        <f aca="false">IF(COUNT(K1988:T1988)=0,"SOURCE EMPTY / INDUSTRIAL ONLY",IF(MIN(K1988:T1988)=1,"SERVICE READY","HOLD"))</f>
        <v>SOURCE EMPTY / INDUSTRIAL ONLY</v>
      </c>
      <c r="V1988" s="9" t="n">
        <f aca="false">IF(U1988="SERVICE READY",1,0)</f>
        <v>0</v>
      </c>
      <c r="W1988" s="6"/>
      <c r="X1988" s="6"/>
      <c r="Y1988" s="6"/>
      <c r="Z1988" s="6"/>
    </row>
    <row r="1989" customFormat="false" ht="15" hidden="false" customHeight="false" outlineLevel="0" collapsed="false">
      <c r="A1989" s="9" t="s">
        <v>2243</v>
      </c>
      <c r="B1989" s="9" t="s">
        <v>2183</v>
      </c>
      <c r="C1989" s="9" t="s">
        <v>2184</v>
      </c>
      <c r="D1989" s="9" t="s">
        <v>2185</v>
      </c>
      <c r="E1989" s="9" t="s">
        <v>2027</v>
      </c>
      <c r="F1989" s="9" t="s">
        <v>203</v>
      </c>
      <c r="G1989" s="9" t="s">
        <v>221</v>
      </c>
      <c r="H1989" s="9" t="n">
        <v>6360</v>
      </c>
      <c r="I1989" s="29" t="n">
        <v>1.5</v>
      </c>
      <c r="J1989" s="9" t="n">
        <v>1</v>
      </c>
      <c r="K1989" s="30"/>
      <c r="L1989" s="30"/>
      <c r="M1989" s="30"/>
      <c r="N1989" s="30"/>
      <c r="O1989" s="30"/>
      <c r="P1989" s="30"/>
      <c r="Q1989" s="30"/>
      <c r="R1989" s="30"/>
      <c r="S1989" s="30"/>
      <c r="T1989" s="30"/>
      <c r="U1989" s="21" t="str">
        <f aca="false">IF(COUNT(K1989:T1989)=0,"SOURCE EMPTY / INDUSTRIAL ONLY",IF(MIN(K1989:T1989)=1,"SERVICE READY","HOLD"))</f>
        <v>SOURCE EMPTY / INDUSTRIAL ONLY</v>
      </c>
      <c r="V1989" s="9" t="n">
        <f aca="false">IF(U1989="SERVICE READY",1,0)</f>
        <v>0</v>
      </c>
      <c r="W1989" s="6"/>
      <c r="X1989" s="6"/>
      <c r="Y1989" s="6"/>
      <c r="Z1989" s="6"/>
    </row>
    <row r="1990" customFormat="false" ht="15" hidden="false" customHeight="false" outlineLevel="0" collapsed="false">
      <c r="A1990" s="9" t="s">
        <v>2244</v>
      </c>
      <c r="B1990" s="9" t="s">
        <v>2183</v>
      </c>
      <c r="C1990" s="9" t="s">
        <v>2184</v>
      </c>
      <c r="D1990" s="9" t="s">
        <v>2185</v>
      </c>
      <c r="E1990" s="9" t="s">
        <v>2027</v>
      </c>
      <c r="F1990" s="9" t="s">
        <v>205</v>
      </c>
      <c r="G1990" s="9" t="s">
        <v>221</v>
      </c>
      <c r="H1990" s="9" t="n">
        <v>6360</v>
      </c>
      <c r="I1990" s="29" t="n">
        <v>1.5</v>
      </c>
      <c r="J1990" s="9" t="n">
        <v>1</v>
      </c>
      <c r="K1990" s="30"/>
      <c r="L1990" s="30"/>
      <c r="M1990" s="30"/>
      <c r="N1990" s="30"/>
      <c r="O1990" s="30"/>
      <c r="P1990" s="30"/>
      <c r="Q1990" s="30"/>
      <c r="R1990" s="30"/>
      <c r="S1990" s="30"/>
      <c r="T1990" s="30"/>
      <c r="U1990" s="21" t="str">
        <f aca="false">IF(COUNT(K1990:T1990)=0,"SOURCE EMPTY / INDUSTRIAL ONLY",IF(MIN(K1990:T1990)=1,"SERVICE READY","HOLD"))</f>
        <v>SOURCE EMPTY / INDUSTRIAL ONLY</v>
      </c>
      <c r="V1990" s="9" t="n">
        <f aca="false">IF(U1990="SERVICE READY",1,0)</f>
        <v>0</v>
      </c>
      <c r="W1990" s="6"/>
      <c r="X1990" s="6"/>
      <c r="Y1990" s="6"/>
      <c r="Z1990" s="6"/>
    </row>
    <row r="1991" customFormat="false" ht="15" hidden="false" customHeight="false" outlineLevel="0" collapsed="false">
      <c r="A1991" s="9" t="s">
        <v>2245</v>
      </c>
      <c r="B1991" s="9" t="s">
        <v>2183</v>
      </c>
      <c r="C1991" s="9" t="s">
        <v>2184</v>
      </c>
      <c r="D1991" s="9" t="s">
        <v>2185</v>
      </c>
      <c r="E1991" s="9" t="s">
        <v>2027</v>
      </c>
      <c r="F1991" s="9" t="s">
        <v>207</v>
      </c>
      <c r="G1991" s="9" t="s">
        <v>221</v>
      </c>
      <c r="H1991" s="9" t="n">
        <v>6360</v>
      </c>
      <c r="I1991" s="29" t="n">
        <v>1.5</v>
      </c>
      <c r="J1991" s="9" t="n">
        <v>1</v>
      </c>
      <c r="K1991" s="30"/>
      <c r="L1991" s="30"/>
      <c r="M1991" s="30"/>
      <c r="N1991" s="30"/>
      <c r="O1991" s="30"/>
      <c r="P1991" s="30"/>
      <c r="Q1991" s="30"/>
      <c r="R1991" s="30"/>
      <c r="S1991" s="30"/>
      <c r="T1991" s="30"/>
      <c r="U1991" s="21" t="str">
        <f aca="false">IF(COUNT(K1991:T1991)=0,"SOURCE EMPTY / INDUSTRIAL ONLY",IF(MIN(K1991:T1991)=1,"SERVICE READY","HOLD"))</f>
        <v>SOURCE EMPTY / INDUSTRIAL ONLY</v>
      </c>
      <c r="V1991" s="9" t="n">
        <f aca="false">IF(U1991="SERVICE READY",1,0)</f>
        <v>0</v>
      </c>
      <c r="W1991" s="6"/>
      <c r="X1991" s="6"/>
      <c r="Y1991" s="6"/>
      <c r="Z1991" s="6"/>
    </row>
    <row r="1992" customFormat="false" ht="15" hidden="false" customHeight="false" outlineLevel="0" collapsed="false">
      <c r="A1992" s="9" t="s">
        <v>2246</v>
      </c>
      <c r="B1992" s="9" t="s">
        <v>2183</v>
      </c>
      <c r="C1992" s="9" t="s">
        <v>2184</v>
      </c>
      <c r="D1992" s="9" t="s">
        <v>2185</v>
      </c>
      <c r="E1992" s="9" t="s">
        <v>2027</v>
      </c>
      <c r="F1992" s="9" t="s">
        <v>209</v>
      </c>
      <c r="G1992" s="9" t="s">
        <v>221</v>
      </c>
      <c r="H1992" s="9" t="n">
        <v>6360</v>
      </c>
      <c r="I1992" s="29" t="n">
        <v>1.5</v>
      </c>
      <c r="J1992" s="9" t="n">
        <v>1</v>
      </c>
      <c r="K1992" s="30"/>
      <c r="L1992" s="30"/>
      <c r="M1992" s="30"/>
      <c r="N1992" s="30"/>
      <c r="O1992" s="30"/>
      <c r="P1992" s="30"/>
      <c r="Q1992" s="30"/>
      <c r="R1992" s="30"/>
      <c r="S1992" s="30"/>
      <c r="T1992" s="30"/>
      <c r="U1992" s="21" t="str">
        <f aca="false">IF(COUNT(K1992:T1992)=0,"SOURCE EMPTY / INDUSTRIAL ONLY",IF(MIN(K1992:T1992)=1,"SERVICE READY","HOLD"))</f>
        <v>SOURCE EMPTY / INDUSTRIAL ONLY</v>
      </c>
      <c r="V1992" s="9" t="n">
        <f aca="false">IF(U1992="SERVICE READY",1,0)</f>
        <v>0</v>
      </c>
      <c r="W1992" s="6"/>
      <c r="X1992" s="6"/>
      <c r="Y1992" s="6"/>
      <c r="Z1992" s="6"/>
    </row>
    <row r="1993" customFormat="false" ht="15" hidden="false" customHeight="false" outlineLevel="0" collapsed="false">
      <c r="A1993" s="9" t="s">
        <v>2247</v>
      </c>
      <c r="B1993" s="9" t="s">
        <v>2183</v>
      </c>
      <c r="C1993" s="9" t="s">
        <v>2184</v>
      </c>
      <c r="D1993" s="9" t="s">
        <v>2185</v>
      </c>
      <c r="E1993" s="9" t="s">
        <v>2027</v>
      </c>
      <c r="F1993" s="9" t="s">
        <v>211</v>
      </c>
      <c r="G1993" s="9" t="s">
        <v>221</v>
      </c>
      <c r="H1993" s="9" t="n">
        <v>6360</v>
      </c>
      <c r="I1993" s="29" t="n">
        <v>1.5</v>
      </c>
      <c r="J1993" s="9" t="n">
        <v>1</v>
      </c>
      <c r="K1993" s="30"/>
      <c r="L1993" s="30"/>
      <c r="M1993" s="30"/>
      <c r="N1993" s="30"/>
      <c r="O1993" s="30"/>
      <c r="P1993" s="30"/>
      <c r="Q1993" s="30"/>
      <c r="R1993" s="30"/>
      <c r="S1993" s="30"/>
      <c r="T1993" s="30"/>
      <c r="U1993" s="21" t="str">
        <f aca="false">IF(COUNT(K1993:T1993)=0,"SOURCE EMPTY / INDUSTRIAL ONLY",IF(MIN(K1993:T1993)=1,"SERVICE READY","HOLD"))</f>
        <v>SOURCE EMPTY / INDUSTRIAL ONLY</v>
      </c>
      <c r="V1993" s="9" t="n">
        <f aca="false">IF(U1993="SERVICE READY",1,0)</f>
        <v>0</v>
      </c>
      <c r="W1993" s="6"/>
      <c r="X1993" s="6"/>
      <c r="Y1993" s="6"/>
      <c r="Z1993" s="6"/>
    </row>
    <row r="1994" customFormat="false" ht="15" hidden="false" customHeight="false" outlineLevel="0" collapsed="false">
      <c r="A1994" s="9" t="s">
        <v>2248</v>
      </c>
      <c r="B1994" s="9" t="s">
        <v>2183</v>
      </c>
      <c r="C1994" s="9" t="s">
        <v>2184</v>
      </c>
      <c r="D1994" s="9" t="s">
        <v>2185</v>
      </c>
      <c r="E1994" s="9" t="s">
        <v>2027</v>
      </c>
      <c r="F1994" s="9" t="s">
        <v>197</v>
      </c>
      <c r="G1994" s="9" t="s">
        <v>221</v>
      </c>
      <c r="H1994" s="9" t="n">
        <v>6360</v>
      </c>
      <c r="I1994" s="29" t="n">
        <v>1.5</v>
      </c>
      <c r="J1994" s="9" t="n">
        <v>1</v>
      </c>
      <c r="K1994" s="30"/>
      <c r="L1994" s="30"/>
      <c r="M1994" s="30"/>
      <c r="N1994" s="30"/>
      <c r="O1994" s="30"/>
      <c r="P1994" s="30"/>
      <c r="Q1994" s="30"/>
      <c r="R1994" s="30"/>
      <c r="S1994" s="30"/>
      <c r="T1994" s="30"/>
      <c r="U1994" s="21" t="str">
        <f aca="false">IF(COUNT(K1994:T1994)=0,"SOURCE EMPTY / INDUSTRIAL ONLY",IF(MIN(K1994:T1994)=1,"SERVICE READY","HOLD"))</f>
        <v>SOURCE EMPTY / INDUSTRIAL ONLY</v>
      </c>
      <c r="V1994" s="9" t="n">
        <f aca="false">IF(U1994="SERVICE READY",1,0)</f>
        <v>0</v>
      </c>
      <c r="W1994" s="6"/>
      <c r="X1994" s="6"/>
      <c r="Y1994" s="6"/>
      <c r="Z1994" s="6"/>
    </row>
    <row r="1995" customFormat="false" ht="15" hidden="false" customHeight="false" outlineLevel="0" collapsed="false">
      <c r="A1995" s="9" t="s">
        <v>2249</v>
      </c>
      <c r="B1995" s="9" t="s">
        <v>2183</v>
      </c>
      <c r="C1995" s="9" t="s">
        <v>2184</v>
      </c>
      <c r="D1995" s="9" t="s">
        <v>2185</v>
      </c>
      <c r="E1995" s="9" t="s">
        <v>2027</v>
      </c>
      <c r="F1995" s="9" t="s">
        <v>200</v>
      </c>
      <c r="G1995" s="9" t="s">
        <v>221</v>
      </c>
      <c r="H1995" s="9" t="n">
        <v>6360</v>
      </c>
      <c r="I1995" s="29" t="n">
        <v>1.5</v>
      </c>
      <c r="J1995" s="9" t="n">
        <v>1</v>
      </c>
      <c r="K1995" s="30"/>
      <c r="L1995" s="30"/>
      <c r="M1995" s="30"/>
      <c r="N1995" s="30"/>
      <c r="O1995" s="30"/>
      <c r="P1995" s="30"/>
      <c r="Q1995" s="30"/>
      <c r="R1995" s="30"/>
      <c r="S1995" s="30"/>
      <c r="T1995" s="30"/>
      <c r="U1995" s="21" t="str">
        <f aca="false">IF(COUNT(K1995:T1995)=0,"SOURCE EMPTY / INDUSTRIAL ONLY",IF(MIN(K1995:T1995)=1,"SERVICE READY","HOLD"))</f>
        <v>SOURCE EMPTY / INDUSTRIAL ONLY</v>
      </c>
      <c r="V1995" s="9" t="n">
        <f aca="false">IF(U1995="SERVICE READY",1,0)</f>
        <v>0</v>
      </c>
      <c r="W1995" s="6"/>
      <c r="X1995" s="6"/>
      <c r="Y1995" s="6"/>
      <c r="Z1995" s="6"/>
    </row>
    <row r="1996" customFormat="false" ht="15" hidden="false" customHeight="false" outlineLevel="0" collapsed="false">
      <c r="A1996" s="9" t="s">
        <v>2250</v>
      </c>
      <c r="B1996" s="9" t="s">
        <v>2183</v>
      </c>
      <c r="C1996" s="9" t="s">
        <v>2184</v>
      </c>
      <c r="D1996" s="9" t="s">
        <v>2185</v>
      </c>
      <c r="E1996" s="9" t="s">
        <v>2027</v>
      </c>
      <c r="F1996" s="9" t="s">
        <v>203</v>
      </c>
      <c r="G1996" s="9" t="s">
        <v>221</v>
      </c>
      <c r="H1996" s="9" t="n">
        <v>6360</v>
      </c>
      <c r="I1996" s="29" t="n">
        <v>1.5</v>
      </c>
      <c r="J1996" s="9" t="n">
        <v>1</v>
      </c>
      <c r="K1996" s="30"/>
      <c r="L1996" s="30"/>
      <c r="M1996" s="30"/>
      <c r="N1996" s="30"/>
      <c r="O1996" s="30"/>
      <c r="P1996" s="30"/>
      <c r="Q1996" s="30"/>
      <c r="R1996" s="30"/>
      <c r="S1996" s="30"/>
      <c r="T1996" s="30"/>
      <c r="U1996" s="21" t="str">
        <f aca="false">IF(COUNT(K1996:T1996)=0,"SOURCE EMPTY / INDUSTRIAL ONLY",IF(MIN(K1996:T1996)=1,"SERVICE READY","HOLD"))</f>
        <v>SOURCE EMPTY / INDUSTRIAL ONLY</v>
      </c>
      <c r="V1996" s="9" t="n">
        <f aca="false">IF(U1996="SERVICE READY",1,0)</f>
        <v>0</v>
      </c>
      <c r="W1996" s="6"/>
      <c r="X1996" s="6"/>
      <c r="Y1996" s="6"/>
      <c r="Z1996" s="6"/>
    </row>
    <row r="1997" customFormat="false" ht="15" hidden="false" customHeight="false" outlineLevel="0" collapsed="false">
      <c r="A1997" s="9" t="s">
        <v>2251</v>
      </c>
      <c r="B1997" s="9" t="s">
        <v>2183</v>
      </c>
      <c r="C1997" s="9" t="s">
        <v>2184</v>
      </c>
      <c r="D1997" s="9" t="s">
        <v>2185</v>
      </c>
      <c r="E1997" s="9" t="s">
        <v>2027</v>
      </c>
      <c r="F1997" s="9" t="s">
        <v>205</v>
      </c>
      <c r="G1997" s="9" t="s">
        <v>221</v>
      </c>
      <c r="H1997" s="9" t="n">
        <v>6360</v>
      </c>
      <c r="I1997" s="29" t="n">
        <v>1.5</v>
      </c>
      <c r="J1997" s="9" t="n">
        <v>1</v>
      </c>
      <c r="K1997" s="30"/>
      <c r="L1997" s="30"/>
      <c r="M1997" s="30"/>
      <c r="N1997" s="30"/>
      <c r="O1997" s="30"/>
      <c r="P1997" s="30"/>
      <c r="Q1997" s="30"/>
      <c r="R1997" s="30"/>
      <c r="S1997" s="30"/>
      <c r="T1997" s="30"/>
      <c r="U1997" s="21" t="str">
        <f aca="false">IF(COUNT(K1997:T1997)=0,"SOURCE EMPTY / INDUSTRIAL ONLY",IF(MIN(K1997:T1997)=1,"SERVICE READY","HOLD"))</f>
        <v>SOURCE EMPTY / INDUSTRIAL ONLY</v>
      </c>
      <c r="V1997" s="9" t="n">
        <f aca="false">IF(U1997="SERVICE READY",1,0)</f>
        <v>0</v>
      </c>
      <c r="W1997" s="6"/>
      <c r="X1997" s="6"/>
      <c r="Y1997" s="6"/>
      <c r="Z1997" s="6"/>
    </row>
    <row r="1998" customFormat="false" ht="15" hidden="false" customHeight="false" outlineLevel="0" collapsed="false">
      <c r="A1998" s="9" t="s">
        <v>2252</v>
      </c>
      <c r="B1998" s="9" t="s">
        <v>2183</v>
      </c>
      <c r="C1998" s="9" t="s">
        <v>2184</v>
      </c>
      <c r="D1998" s="9" t="s">
        <v>2185</v>
      </c>
      <c r="E1998" s="9" t="s">
        <v>2027</v>
      </c>
      <c r="F1998" s="9" t="s">
        <v>207</v>
      </c>
      <c r="G1998" s="9" t="s">
        <v>221</v>
      </c>
      <c r="H1998" s="9" t="n">
        <v>6360</v>
      </c>
      <c r="I1998" s="29" t="n">
        <v>1.5</v>
      </c>
      <c r="J1998" s="9" t="n">
        <v>1</v>
      </c>
      <c r="K1998" s="30"/>
      <c r="L1998" s="30"/>
      <c r="M1998" s="30"/>
      <c r="N1998" s="30"/>
      <c r="O1998" s="30"/>
      <c r="P1998" s="30"/>
      <c r="Q1998" s="30"/>
      <c r="R1998" s="30"/>
      <c r="S1998" s="30"/>
      <c r="T1998" s="30"/>
      <c r="U1998" s="21" t="str">
        <f aca="false">IF(COUNT(K1998:T1998)=0,"SOURCE EMPTY / INDUSTRIAL ONLY",IF(MIN(K1998:T1998)=1,"SERVICE READY","HOLD"))</f>
        <v>SOURCE EMPTY / INDUSTRIAL ONLY</v>
      </c>
      <c r="V1998" s="9" t="n">
        <f aca="false">IF(U1998="SERVICE READY",1,0)</f>
        <v>0</v>
      </c>
      <c r="W1998" s="6"/>
      <c r="X1998" s="6"/>
      <c r="Y1998" s="6"/>
      <c r="Z1998" s="6"/>
    </row>
    <row r="1999" customFormat="false" ht="15" hidden="false" customHeight="false" outlineLevel="0" collapsed="false">
      <c r="A1999" s="9" t="s">
        <v>2253</v>
      </c>
      <c r="B1999" s="9" t="s">
        <v>2183</v>
      </c>
      <c r="C1999" s="9" t="s">
        <v>2184</v>
      </c>
      <c r="D1999" s="9" t="s">
        <v>2185</v>
      </c>
      <c r="E1999" s="9" t="s">
        <v>2027</v>
      </c>
      <c r="F1999" s="9" t="s">
        <v>209</v>
      </c>
      <c r="G1999" s="9" t="s">
        <v>221</v>
      </c>
      <c r="H1999" s="9" t="n">
        <v>6360</v>
      </c>
      <c r="I1999" s="29" t="n">
        <v>1.5</v>
      </c>
      <c r="J1999" s="9" t="n">
        <v>1</v>
      </c>
      <c r="K1999" s="30"/>
      <c r="L1999" s="30"/>
      <c r="M1999" s="30"/>
      <c r="N1999" s="30"/>
      <c r="O1999" s="30"/>
      <c r="P1999" s="30"/>
      <c r="Q1999" s="30"/>
      <c r="R1999" s="30"/>
      <c r="S1999" s="30"/>
      <c r="T1999" s="30"/>
      <c r="U1999" s="21" t="str">
        <f aca="false">IF(COUNT(K1999:T1999)=0,"SOURCE EMPTY / INDUSTRIAL ONLY",IF(MIN(K1999:T1999)=1,"SERVICE READY","HOLD"))</f>
        <v>SOURCE EMPTY / INDUSTRIAL ONLY</v>
      </c>
      <c r="V1999" s="9" t="n">
        <f aca="false">IF(U1999="SERVICE READY",1,0)</f>
        <v>0</v>
      </c>
      <c r="W1999" s="6"/>
      <c r="X1999" s="6"/>
      <c r="Y1999" s="6"/>
      <c r="Z1999" s="6"/>
    </row>
    <row r="2000" customFormat="false" ht="15" hidden="false" customHeight="false" outlineLevel="0" collapsed="false">
      <c r="A2000" s="9" t="s">
        <v>2254</v>
      </c>
      <c r="B2000" s="9" t="s">
        <v>2183</v>
      </c>
      <c r="C2000" s="9" t="s">
        <v>2184</v>
      </c>
      <c r="D2000" s="9" t="s">
        <v>2185</v>
      </c>
      <c r="E2000" s="9" t="s">
        <v>2027</v>
      </c>
      <c r="F2000" s="9" t="s">
        <v>211</v>
      </c>
      <c r="G2000" s="9" t="s">
        <v>221</v>
      </c>
      <c r="H2000" s="9" t="n">
        <v>6360</v>
      </c>
      <c r="I2000" s="29" t="n">
        <v>1.5</v>
      </c>
      <c r="J2000" s="9" t="n">
        <v>1</v>
      </c>
      <c r="K2000" s="30"/>
      <c r="L2000" s="30"/>
      <c r="M2000" s="30"/>
      <c r="N2000" s="30"/>
      <c r="O2000" s="30"/>
      <c r="P2000" s="30"/>
      <c r="Q2000" s="30"/>
      <c r="R2000" s="30"/>
      <c r="S2000" s="30"/>
      <c r="T2000" s="30"/>
      <c r="U2000" s="21" t="str">
        <f aca="false">IF(COUNT(K2000:T2000)=0,"SOURCE EMPTY / INDUSTRIAL ONLY",IF(MIN(K2000:T2000)=1,"SERVICE READY","HOLD"))</f>
        <v>SOURCE EMPTY / INDUSTRIAL ONLY</v>
      </c>
      <c r="V2000" s="9" t="n">
        <f aca="false">IF(U2000="SERVICE READY",1,0)</f>
        <v>0</v>
      </c>
      <c r="W2000" s="6"/>
      <c r="X2000" s="6"/>
      <c r="Y2000" s="6"/>
      <c r="Z2000" s="6"/>
    </row>
    <row r="2001" customFormat="false" ht="15" hidden="false" customHeight="false" outlineLevel="0" collapsed="false">
      <c r="A2001" s="9" t="s">
        <v>2255</v>
      </c>
      <c r="B2001" s="9" t="s">
        <v>2183</v>
      </c>
      <c r="C2001" s="9" t="s">
        <v>2184</v>
      </c>
      <c r="D2001" s="9" t="s">
        <v>2185</v>
      </c>
      <c r="E2001" s="9" t="s">
        <v>2027</v>
      </c>
      <c r="F2001" s="9" t="s">
        <v>197</v>
      </c>
      <c r="G2001" s="9" t="s">
        <v>221</v>
      </c>
      <c r="H2001" s="9" t="n">
        <v>6360</v>
      </c>
      <c r="I2001" s="29" t="n">
        <v>1.5</v>
      </c>
      <c r="J2001" s="9" t="n">
        <v>1</v>
      </c>
      <c r="K2001" s="30"/>
      <c r="L2001" s="30"/>
      <c r="M2001" s="30"/>
      <c r="N2001" s="30"/>
      <c r="O2001" s="30"/>
      <c r="P2001" s="30"/>
      <c r="Q2001" s="30"/>
      <c r="R2001" s="30"/>
      <c r="S2001" s="30"/>
      <c r="T2001" s="30"/>
      <c r="U2001" s="21" t="str">
        <f aca="false">IF(COUNT(K2001:T2001)=0,"SOURCE EMPTY / INDUSTRIAL ONLY",IF(MIN(K2001:T2001)=1,"SERVICE READY","HOLD"))</f>
        <v>SOURCE EMPTY / INDUSTRIAL ONLY</v>
      </c>
      <c r="V2001" s="9" t="n">
        <f aca="false">IF(U2001="SERVICE READY",1,0)</f>
        <v>0</v>
      </c>
      <c r="W2001" s="6"/>
      <c r="X2001" s="6"/>
      <c r="Y2001" s="6"/>
      <c r="Z2001" s="6"/>
    </row>
    <row r="2002" customFormat="false" ht="15" hidden="false" customHeight="false" outlineLevel="0" collapsed="false">
      <c r="A2002" s="9" t="s">
        <v>2256</v>
      </c>
      <c r="B2002" s="9" t="s">
        <v>2183</v>
      </c>
      <c r="C2002" s="9" t="s">
        <v>2184</v>
      </c>
      <c r="D2002" s="9" t="s">
        <v>2185</v>
      </c>
      <c r="E2002" s="9" t="s">
        <v>2027</v>
      </c>
      <c r="F2002" s="9" t="s">
        <v>200</v>
      </c>
      <c r="G2002" s="9" t="s">
        <v>221</v>
      </c>
      <c r="H2002" s="9" t="n">
        <v>6360</v>
      </c>
      <c r="I2002" s="29" t="n">
        <v>1.5</v>
      </c>
      <c r="J2002" s="9" t="n">
        <v>1</v>
      </c>
      <c r="K2002" s="30"/>
      <c r="L2002" s="30"/>
      <c r="M2002" s="30"/>
      <c r="N2002" s="30"/>
      <c r="O2002" s="30"/>
      <c r="P2002" s="30"/>
      <c r="Q2002" s="30"/>
      <c r="R2002" s="30"/>
      <c r="S2002" s="30"/>
      <c r="T2002" s="30"/>
      <c r="U2002" s="21" t="str">
        <f aca="false">IF(COUNT(K2002:T2002)=0,"SOURCE EMPTY / INDUSTRIAL ONLY",IF(MIN(K2002:T2002)=1,"SERVICE READY","HOLD"))</f>
        <v>SOURCE EMPTY / INDUSTRIAL ONLY</v>
      </c>
      <c r="V2002" s="9" t="n">
        <f aca="false">IF(U2002="SERVICE READY",1,0)</f>
        <v>0</v>
      </c>
      <c r="W2002" s="6"/>
      <c r="X2002" s="6"/>
      <c r="Y2002" s="6"/>
      <c r="Z2002" s="6"/>
    </row>
    <row r="2003" customFormat="false" ht="15" hidden="false" customHeight="false" outlineLevel="0" collapsed="false">
      <c r="A2003" s="9" t="s">
        <v>2257</v>
      </c>
      <c r="B2003" s="9" t="s">
        <v>2183</v>
      </c>
      <c r="C2003" s="9" t="s">
        <v>2184</v>
      </c>
      <c r="D2003" s="9" t="s">
        <v>2185</v>
      </c>
      <c r="E2003" s="9" t="s">
        <v>2027</v>
      </c>
      <c r="F2003" s="9" t="s">
        <v>203</v>
      </c>
      <c r="G2003" s="9" t="s">
        <v>221</v>
      </c>
      <c r="H2003" s="9" t="n">
        <v>6360</v>
      </c>
      <c r="I2003" s="29" t="n">
        <v>1.5</v>
      </c>
      <c r="J2003" s="9" t="n">
        <v>1</v>
      </c>
      <c r="K2003" s="30"/>
      <c r="L2003" s="30"/>
      <c r="M2003" s="30"/>
      <c r="N2003" s="30"/>
      <c r="O2003" s="30"/>
      <c r="P2003" s="30"/>
      <c r="Q2003" s="30"/>
      <c r="R2003" s="30"/>
      <c r="S2003" s="30"/>
      <c r="T2003" s="30"/>
      <c r="U2003" s="21" t="str">
        <f aca="false">IF(COUNT(K2003:T2003)=0,"SOURCE EMPTY / INDUSTRIAL ONLY",IF(MIN(K2003:T2003)=1,"SERVICE READY","HOLD"))</f>
        <v>SOURCE EMPTY / INDUSTRIAL ONLY</v>
      </c>
      <c r="V2003" s="9" t="n">
        <f aca="false">IF(U2003="SERVICE READY",1,0)</f>
        <v>0</v>
      </c>
      <c r="W2003" s="6"/>
      <c r="X2003" s="6"/>
      <c r="Y2003" s="6"/>
      <c r="Z2003" s="6"/>
    </row>
    <row r="2004" customFormat="false" ht="15" hidden="false" customHeight="false" outlineLevel="0" collapsed="false">
      <c r="A2004" s="9" t="s">
        <v>2258</v>
      </c>
      <c r="B2004" s="9" t="s">
        <v>2183</v>
      </c>
      <c r="C2004" s="9" t="s">
        <v>2184</v>
      </c>
      <c r="D2004" s="9" t="s">
        <v>2185</v>
      </c>
      <c r="E2004" s="9" t="s">
        <v>2027</v>
      </c>
      <c r="F2004" s="9" t="s">
        <v>205</v>
      </c>
      <c r="G2004" s="9" t="s">
        <v>221</v>
      </c>
      <c r="H2004" s="9" t="n">
        <v>6360</v>
      </c>
      <c r="I2004" s="29" t="n">
        <v>1.5</v>
      </c>
      <c r="J2004" s="9" t="n">
        <v>1</v>
      </c>
      <c r="K2004" s="30"/>
      <c r="L2004" s="30"/>
      <c r="M2004" s="30"/>
      <c r="N2004" s="30"/>
      <c r="O2004" s="30"/>
      <c r="P2004" s="30"/>
      <c r="Q2004" s="30"/>
      <c r="R2004" s="30"/>
      <c r="S2004" s="30"/>
      <c r="T2004" s="30"/>
      <c r="U2004" s="21" t="str">
        <f aca="false">IF(COUNT(K2004:T2004)=0,"SOURCE EMPTY / INDUSTRIAL ONLY",IF(MIN(K2004:T2004)=1,"SERVICE READY","HOLD"))</f>
        <v>SOURCE EMPTY / INDUSTRIAL ONLY</v>
      </c>
      <c r="V2004" s="9" t="n">
        <f aca="false">IF(U2004="SERVICE READY",1,0)</f>
        <v>0</v>
      </c>
      <c r="W2004" s="6"/>
      <c r="X2004" s="6"/>
      <c r="Y2004" s="6"/>
      <c r="Z2004" s="6"/>
    </row>
    <row r="2005" customFormat="false" ht="15" hidden="false" customHeight="false" outlineLevel="0" collapsed="false">
      <c r="A2005" s="9" t="s">
        <v>2259</v>
      </c>
      <c r="B2005" s="9" t="s">
        <v>2183</v>
      </c>
      <c r="C2005" s="9" t="s">
        <v>2184</v>
      </c>
      <c r="D2005" s="9" t="s">
        <v>2185</v>
      </c>
      <c r="E2005" s="9" t="s">
        <v>2027</v>
      </c>
      <c r="F2005" s="9" t="s">
        <v>207</v>
      </c>
      <c r="G2005" s="9" t="s">
        <v>221</v>
      </c>
      <c r="H2005" s="9" t="n">
        <v>6360</v>
      </c>
      <c r="I2005" s="29" t="n">
        <v>1.5</v>
      </c>
      <c r="J2005" s="9" t="n">
        <v>1</v>
      </c>
      <c r="K2005" s="30"/>
      <c r="L2005" s="30"/>
      <c r="M2005" s="30"/>
      <c r="N2005" s="30"/>
      <c r="O2005" s="30"/>
      <c r="P2005" s="30"/>
      <c r="Q2005" s="30"/>
      <c r="R2005" s="30"/>
      <c r="S2005" s="30"/>
      <c r="T2005" s="30"/>
      <c r="U2005" s="21" t="str">
        <f aca="false">IF(COUNT(K2005:T2005)=0,"SOURCE EMPTY / INDUSTRIAL ONLY",IF(MIN(K2005:T2005)=1,"SERVICE READY","HOLD"))</f>
        <v>SOURCE EMPTY / INDUSTRIAL ONLY</v>
      </c>
      <c r="V2005" s="9" t="n">
        <f aca="false">IF(U2005="SERVICE READY",1,0)</f>
        <v>0</v>
      </c>
      <c r="W2005" s="6"/>
      <c r="X2005" s="6"/>
      <c r="Y2005" s="6"/>
      <c r="Z2005" s="6"/>
    </row>
    <row r="2006" customFormat="false" ht="15" hidden="false" customHeight="false" outlineLevel="0" collapsed="false">
      <c r="A2006" s="9" t="s">
        <v>2260</v>
      </c>
      <c r="B2006" s="9" t="s">
        <v>2183</v>
      </c>
      <c r="C2006" s="9" t="s">
        <v>2184</v>
      </c>
      <c r="D2006" s="9" t="s">
        <v>2185</v>
      </c>
      <c r="E2006" s="9" t="s">
        <v>2027</v>
      </c>
      <c r="F2006" s="9" t="s">
        <v>209</v>
      </c>
      <c r="G2006" s="9" t="s">
        <v>221</v>
      </c>
      <c r="H2006" s="9" t="n">
        <v>6360</v>
      </c>
      <c r="I2006" s="29" t="n">
        <v>1.5</v>
      </c>
      <c r="J2006" s="9" t="n">
        <v>1</v>
      </c>
      <c r="K2006" s="30"/>
      <c r="L2006" s="30"/>
      <c r="M2006" s="30"/>
      <c r="N2006" s="30"/>
      <c r="O2006" s="30"/>
      <c r="P2006" s="30"/>
      <c r="Q2006" s="30"/>
      <c r="R2006" s="30"/>
      <c r="S2006" s="30"/>
      <c r="T2006" s="30"/>
      <c r="U2006" s="21" t="str">
        <f aca="false">IF(COUNT(K2006:T2006)=0,"SOURCE EMPTY / INDUSTRIAL ONLY",IF(MIN(K2006:T2006)=1,"SERVICE READY","HOLD"))</f>
        <v>SOURCE EMPTY / INDUSTRIAL ONLY</v>
      </c>
      <c r="V2006" s="9" t="n">
        <f aca="false">IF(U2006="SERVICE READY",1,0)</f>
        <v>0</v>
      </c>
      <c r="W2006" s="6"/>
      <c r="X2006" s="6"/>
      <c r="Y2006" s="6"/>
      <c r="Z2006" s="6"/>
    </row>
    <row r="2007" customFormat="false" ht="15" hidden="false" customHeight="false" outlineLevel="0" collapsed="false">
      <c r="A2007" s="9" t="s">
        <v>2261</v>
      </c>
      <c r="B2007" s="9" t="s">
        <v>2183</v>
      </c>
      <c r="C2007" s="9" t="s">
        <v>2184</v>
      </c>
      <c r="D2007" s="9" t="s">
        <v>2185</v>
      </c>
      <c r="E2007" s="9" t="s">
        <v>2027</v>
      </c>
      <c r="F2007" s="9" t="s">
        <v>211</v>
      </c>
      <c r="G2007" s="9" t="s">
        <v>221</v>
      </c>
      <c r="H2007" s="9" t="n">
        <v>6360</v>
      </c>
      <c r="I2007" s="29" t="n">
        <v>1.5</v>
      </c>
      <c r="J2007" s="9" t="n">
        <v>1</v>
      </c>
      <c r="K2007" s="30"/>
      <c r="L2007" s="30"/>
      <c r="M2007" s="30"/>
      <c r="N2007" s="30"/>
      <c r="O2007" s="30"/>
      <c r="P2007" s="30"/>
      <c r="Q2007" s="30"/>
      <c r="R2007" s="30"/>
      <c r="S2007" s="30"/>
      <c r="T2007" s="30"/>
      <c r="U2007" s="21" t="str">
        <f aca="false">IF(COUNT(K2007:T2007)=0,"SOURCE EMPTY / INDUSTRIAL ONLY",IF(MIN(K2007:T2007)=1,"SERVICE READY","HOLD"))</f>
        <v>SOURCE EMPTY / INDUSTRIAL ONLY</v>
      </c>
      <c r="V2007" s="9" t="n">
        <f aca="false">IF(U2007="SERVICE READY",1,0)</f>
        <v>0</v>
      </c>
      <c r="W2007" s="6"/>
      <c r="X2007" s="6"/>
      <c r="Y2007" s="6"/>
      <c r="Z2007" s="6"/>
    </row>
    <row r="2008" customFormat="false" ht="15" hidden="false" customHeight="false" outlineLevel="0" collapsed="false">
      <c r="A2008" s="9" t="s">
        <v>2262</v>
      </c>
      <c r="B2008" s="9" t="s">
        <v>2183</v>
      </c>
      <c r="C2008" s="9" t="s">
        <v>2184</v>
      </c>
      <c r="D2008" s="9" t="s">
        <v>2185</v>
      </c>
      <c r="E2008" s="9" t="s">
        <v>2027</v>
      </c>
      <c r="F2008" s="9" t="s">
        <v>197</v>
      </c>
      <c r="G2008" s="9" t="s">
        <v>221</v>
      </c>
      <c r="H2008" s="9" t="n">
        <v>6360</v>
      </c>
      <c r="I2008" s="29" t="n">
        <v>1.5</v>
      </c>
      <c r="J2008" s="9" t="n">
        <v>1</v>
      </c>
      <c r="K2008" s="30"/>
      <c r="L2008" s="30"/>
      <c r="M2008" s="30"/>
      <c r="N2008" s="30"/>
      <c r="O2008" s="30"/>
      <c r="P2008" s="30"/>
      <c r="Q2008" s="30"/>
      <c r="R2008" s="30"/>
      <c r="S2008" s="30"/>
      <c r="T2008" s="30"/>
      <c r="U2008" s="21" t="str">
        <f aca="false">IF(COUNT(K2008:T2008)=0,"SOURCE EMPTY / INDUSTRIAL ONLY",IF(MIN(K2008:T2008)=1,"SERVICE READY","HOLD"))</f>
        <v>SOURCE EMPTY / INDUSTRIAL ONLY</v>
      </c>
      <c r="V2008" s="9" t="n">
        <f aca="false">IF(U2008="SERVICE READY",1,0)</f>
        <v>0</v>
      </c>
      <c r="W2008" s="6"/>
      <c r="X2008" s="6"/>
      <c r="Y2008" s="6"/>
      <c r="Z2008" s="6"/>
    </row>
    <row r="2009" customFormat="false" ht="15" hidden="false" customHeight="false" outlineLevel="0" collapsed="false">
      <c r="A2009" s="9" t="s">
        <v>2263</v>
      </c>
      <c r="B2009" s="9" t="s">
        <v>2183</v>
      </c>
      <c r="C2009" s="9" t="s">
        <v>2184</v>
      </c>
      <c r="D2009" s="9" t="s">
        <v>2185</v>
      </c>
      <c r="E2009" s="9" t="s">
        <v>2027</v>
      </c>
      <c r="F2009" s="9" t="s">
        <v>200</v>
      </c>
      <c r="G2009" s="9" t="s">
        <v>221</v>
      </c>
      <c r="H2009" s="9" t="n">
        <v>6360</v>
      </c>
      <c r="I2009" s="29" t="n">
        <v>1.5</v>
      </c>
      <c r="J2009" s="9" t="n">
        <v>1</v>
      </c>
      <c r="K2009" s="30"/>
      <c r="L2009" s="30"/>
      <c r="M2009" s="30"/>
      <c r="N2009" s="30"/>
      <c r="O2009" s="30"/>
      <c r="P2009" s="30"/>
      <c r="Q2009" s="30"/>
      <c r="R2009" s="30"/>
      <c r="S2009" s="30"/>
      <c r="T2009" s="30"/>
      <c r="U2009" s="21" t="str">
        <f aca="false">IF(COUNT(K2009:T2009)=0,"SOURCE EMPTY / INDUSTRIAL ONLY",IF(MIN(K2009:T2009)=1,"SERVICE READY","HOLD"))</f>
        <v>SOURCE EMPTY / INDUSTRIAL ONLY</v>
      </c>
      <c r="V2009" s="9" t="n">
        <f aca="false">IF(U2009="SERVICE READY",1,0)</f>
        <v>0</v>
      </c>
      <c r="W2009" s="6"/>
      <c r="X2009" s="6"/>
      <c r="Y2009" s="6"/>
      <c r="Z2009" s="6"/>
    </row>
    <row r="2010" customFormat="false" ht="15" hidden="false" customHeight="false" outlineLevel="0" collapsed="false">
      <c r="A2010" s="9" t="s">
        <v>2264</v>
      </c>
      <c r="B2010" s="9" t="s">
        <v>2183</v>
      </c>
      <c r="C2010" s="9" t="s">
        <v>2184</v>
      </c>
      <c r="D2010" s="9" t="s">
        <v>2185</v>
      </c>
      <c r="E2010" s="9" t="s">
        <v>2027</v>
      </c>
      <c r="F2010" s="9" t="s">
        <v>203</v>
      </c>
      <c r="G2010" s="9" t="s">
        <v>221</v>
      </c>
      <c r="H2010" s="9" t="n">
        <v>6360</v>
      </c>
      <c r="I2010" s="29" t="n">
        <v>1.5</v>
      </c>
      <c r="J2010" s="9" t="n">
        <v>1</v>
      </c>
      <c r="K2010" s="30"/>
      <c r="L2010" s="30"/>
      <c r="M2010" s="30"/>
      <c r="N2010" s="30"/>
      <c r="O2010" s="30"/>
      <c r="P2010" s="30"/>
      <c r="Q2010" s="30"/>
      <c r="R2010" s="30"/>
      <c r="S2010" s="30"/>
      <c r="T2010" s="30"/>
      <c r="U2010" s="21" t="str">
        <f aca="false">IF(COUNT(K2010:T2010)=0,"SOURCE EMPTY / INDUSTRIAL ONLY",IF(MIN(K2010:T2010)=1,"SERVICE READY","HOLD"))</f>
        <v>SOURCE EMPTY / INDUSTRIAL ONLY</v>
      </c>
      <c r="V2010" s="9" t="n">
        <f aca="false">IF(U2010="SERVICE READY",1,0)</f>
        <v>0</v>
      </c>
      <c r="W2010" s="6"/>
      <c r="X2010" s="6"/>
      <c r="Y2010" s="6"/>
      <c r="Z2010" s="6"/>
    </row>
    <row r="2011" customFormat="false" ht="15" hidden="false" customHeight="false" outlineLevel="0" collapsed="false">
      <c r="A2011" s="9" t="s">
        <v>2265</v>
      </c>
      <c r="B2011" s="9" t="s">
        <v>2183</v>
      </c>
      <c r="C2011" s="9" t="s">
        <v>2184</v>
      </c>
      <c r="D2011" s="9" t="s">
        <v>2185</v>
      </c>
      <c r="E2011" s="9" t="s">
        <v>2027</v>
      </c>
      <c r="F2011" s="9" t="s">
        <v>205</v>
      </c>
      <c r="G2011" s="9" t="s">
        <v>221</v>
      </c>
      <c r="H2011" s="9" t="n">
        <v>6360</v>
      </c>
      <c r="I2011" s="29" t="n">
        <v>1.5</v>
      </c>
      <c r="J2011" s="9" t="n">
        <v>1</v>
      </c>
      <c r="K2011" s="30"/>
      <c r="L2011" s="30"/>
      <c r="M2011" s="30"/>
      <c r="N2011" s="30"/>
      <c r="O2011" s="30"/>
      <c r="P2011" s="30"/>
      <c r="Q2011" s="30"/>
      <c r="R2011" s="30"/>
      <c r="S2011" s="30"/>
      <c r="T2011" s="30"/>
      <c r="U2011" s="21" t="str">
        <f aca="false">IF(COUNT(K2011:T2011)=0,"SOURCE EMPTY / INDUSTRIAL ONLY",IF(MIN(K2011:T2011)=1,"SERVICE READY","HOLD"))</f>
        <v>SOURCE EMPTY / INDUSTRIAL ONLY</v>
      </c>
      <c r="V2011" s="9" t="n">
        <f aca="false">IF(U2011="SERVICE READY",1,0)</f>
        <v>0</v>
      </c>
      <c r="W2011" s="6"/>
      <c r="X2011" s="6"/>
      <c r="Y2011" s="6"/>
      <c r="Z2011" s="6"/>
    </row>
    <row r="2012" customFormat="false" ht="15" hidden="false" customHeight="false" outlineLevel="0" collapsed="false">
      <c r="A2012" s="9" t="s">
        <v>2266</v>
      </c>
      <c r="B2012" s="9" t="s">
        <v>2183</v>
      </c>
      <c r="C2012" s="9" t="s">
        <v>2184</v>
      </c>
      <c r="D2012" s="9" t="s">
        <v>2185</v>
      </c>
      <c r="E2012" s="9" t="s">
        <v>2027</v>
      </c>
      <c r="F2012" s="9" t="s">
        <v>207</v>
      </c>
      <c r="G2012" s="9" t="s">
        <v>221</v>
      </c>
      <c r="H2012" s="9" t="n">
        <v>6360</v>
      </c>
      <c r="I2012" s="29" t="n">
        <v>1.5</v>
      </c>
      <c r="J2012" s="9" t="n">
        <v>1</v>
      </c>
      <c r="K2012" s="30"/>
      <c r="L2012" s="30"/>
      <c r="M2012" s="30"/>
      <c r="N2012" s="30"/>
      <c r="O2012" s="30"/>
      <c r="P2012" s="30"/>
      <c r="Q2012" s="30"/>
      <c r="R2012" s="30"/>
      <c r="S2012" s="30"/>
      <c r="T2012" s="30"/>
      <c r="U2012" s="21" t="str">
        <f aca="false">IF(COUNT(K2012:T2012)=0,"SOURCE EMPTY / INDUSTRIAL ONLY",IF(MIN(K2012:T2012)=1,"SERVICE READY","HOLD"))</f>
        <v>SOURCE EMPTY / INDUSTRIAL ONLY</v>
      </c>
      <c r="V2012" s="9" t="n">
        <f aca="false">IF(U2012="SERVICE READY",1,0)</f>
        <v>0</v>
      </c>
      <c r="W2012" s="6"/>
      <c r="X2012" s="6"/>
      <c r="Y2012" s="6"/>
      <c r="Z2012" s="6"/>
    </row>
    <row r="2013" customFormat="false" ht="15" hidden="false" customHeight="false" outlineLevel="0" collapsed="false">
      <c r="A2013" s="9" t="s">
        <v>2267</v>
      </c>
      <c r="B2013" s="9" t="s">
        <v>2183</v>
      </c>
      <c r="C2013" s="9" t="s">
        <v>2184</v>
      </c>
      <c r="D2013" s="9" t="s">
        <v>2185</v>
      </c>
      <c r="E2013" s="9" t="s">
        <v>2027</v>
      </c>
      <c r="F2013" s="9" t="s">
        <v>209</v>
      </c>
      <c r="G2013" s="9" t="s">
        <v>221</v>
      </c>
      <c r="H2013" s="9" t="n">
        <v>6360</v>
      </c>
      <c r="I2013" s="29" t="n">
        <v>1.5</v>
      </c>
      <c r="J2013" s="9" t="n">
        <v>0</v>
      </c>
      <c r="K2013" s="30"/>
      <c r="L2013" s="30"/>
      <c r="M2013" s="30"/>
      <c r="N2013" s="30"/>
      <c r="O2013" s="30"/>
      <c r="P2013" s="30"/>
      <c r="Q2013" s="30"/>
      <c r="R2013" s="30"/>
      <c r="S2013" s="30"/>
      <c r="T2013" s="30"/>
      <c r="U2013" s="21" t="str">
        <f aca="false">IF(COUNT(K2013:T2013)=0,"SOURCE EMPTY / INDUSTRIAL ONLY",IF(MIN(K2013:T2013)=1,"SERVICE READY","HOLD"))</f>
        <v>SOURCE EMPTY / INDUSTRIAL ONLY</v>
      </c>
      <c r="V2013" s="9" t="n">
        <f aca="false">IF(U2013="SERVICE READY",1,0)</f>
        <v>0</v>
      </c>
      <c r="W2013" s="6"/>
      <c r="X2013" s="6"/>
      <c r="Y2013" s="6"/>
      <c r="Z2013" s="6"/>
    </row>
    <row r="2014" customFormat="false" ht="15" hidden="false" customHeight="false" outlineLevel="0" collapsed="false">
      <c r="A2014" s="9" t="s">
        <v>2268</v>
      </c>
      <c r="B2014" s="9" t="s">
        <v>2183</v>
      </c>
      <c r="C2014" s="9" t="s">
        <v>2184</v>
      </c>
      <c r="D2014" s="9" t="s">
        <v>2185</v>
      </c>
      <c r="E2014" s="9" t="s">
        <v>2027</v>
      </c>
      <c r="F2014" s="9" t="s">
        <v>211</v>
      </c>
      <c r="G2014" s="9" t="s">
        <v>221</v>
      </c>
      <c r="H2014" s="9" t="n">
        <v>6360</v>
      </c>
      <c r="I2014" s="29" t="n">
        <v>1.5</v>
      </c>
      <c r="J2014" s="9" t="n">
        <v>0</v>
      </c>
      <c r="K2014" s="30"/>
      <c r="L2014" s="30"/>
      <c r="M2014" s="30"/>
      <c r="N2014" s="30"/>
      <c r="O2014" s="30"/>
      <c r="P2014" s="30"/>
      <c r="Q2014" s="30"/>
      <c r="R2014" s="30"/>
      <c r="S2014" s="30"/>
      <c r="T2014" s="30"/>
      <c r="U2014" s="21" t="str">
        <f aca="false">IF(COUNT(K2014:T2014)=0,"SOURCE EMPTY / INDUSTRIAL ONLY",IF(MIN(K2014:T2014)=1,"SERVICE READY","HOLD"))</f>
        <v>SOURCE EMPTY / INDUSTRIAL ONLY</v>
      </c>
      <c r="V2014" s="9" t="n">
        <f aca="false">IF(U2014="SERVICE READY",1,0)</f>
        <v>0</v>
      </c>
      <c r="W2014" s="6"/>
      <c r="X2014" s="6"/>
      <c r="Y2014" s="6"/>
      <c r="Z2014" s="6"/>
    </row>
    <row r="2015" customFormat="false" ht="15" hidden="false" customHeight="false" outlineLevel="0" collapsed="false">
      <c r="A2015" s="9" t="s">
        <v>2269</v>
      </c>
      <c r="B2015" s="9" t="s">
        <v>2183</v>
      </c>
      <c r="C2015" s="9" t="s">
        <v>2184</v>
      </c>
      <c r="D2015" s="9" t="s">
        <v>2185</v>
      </c>
      <c r="E2015" s="9" t="s">
        <v>2027</v>
      </c>
      <c r="F2015" s="9" t="s">
        <v>197</v>
      </c>
      <c r="G2015" s="9" t="s">
        <v>221</v>
      </c>
      <c r="H2015" s="9" t="n">
        <v>6360</v>
      </c>
      <c r="I2015" s="29" t="n">
        <v>1.5</v>
      </c>
      <c r="J2015" s="9" t="n">
        <v>0</v>
      </c>
      <c r="K2015" s="30"/>
      <c r="L2015" s="30"/>
      <c r="M2015" s="30"/>
      <c r="N2015" s="30"/>
      <c r="O2015" s="30"/>
      <c r="P2015" s="30"/>
      <c r="Q2015" s="30"/>
      <c r="R2015" s="30"/>
      <c r="S2015" s="30"/>
      <c r="T2015" s="30"/>
      <c r="U2015" s="21" t="str">
        <f aca="false">IF(COUNT(K2015:T2015)=0,"SOURCE EMPTY / INDUSTRIAL ONLY",IF(MIN(K2015:T2015)=1,"SERVICE READY","HOLD"))</f>
        <v>SOURCE EMPTY / INDUSTRIAL ONLY</v>
      </c>
      <c r="V2015" s="9" t="n">
        <f aca="false">IF(U2015="SERVICE READY",1,0)</f>
        <v>0</v>
      </c>
      <c r="W2015" s="6"/>
      <c r="X2015" s="6"/>
      <c r="Y2015" s="6"/>
      <c r="Z2015" s="6"/>
    </row>
    <row r="2016" customFormat="false" ht="15" hidden="false" customHeight="false" outlineLevel="0" collapsed="false">
      <c r="A2016" s="9" t="s">
        <v>2270</v>
      </c>
      <c r="B2016" s="9" t="s">
        <v>2183</v>
      </c>
      <c r="C2016" s="9" t="s">
        <v>2184</v>
      </c>
      <c r="D2016" s="9" t="s">
        <v>2185</v>
      </c>
      <c r="E2016" s="9" t="s">
        <v>2027</v>
      </c>
      <c r="F2016" s="9" t="s">
        <v>200</v>
      </c>
      <c r="G2016" s="9" t="s">
        <v>221</v>
      </c>
      <c r="H2016" s="9" t="n">
        <v>6360</v>
      </c>
      <c r="I2016" s="29" t="n">
        <v>1.5</v>
      </c>
      <c r="J2016" s="9" t="n">
        <v>0</v>
      </c>
      <c r="K2016" s="30"/>
      <c r="L2016" s="30"/>
      <c r="M2016" s="30"/>
      <c r="N2016" s="30"/>
      <c r="O2016" s="30"/>
      <c r="P2016" s="30"/>
      <c r="Q2016" s="30"/>
      <c r="R2016" s="30"/>
      <c r="S2016" s="30"/>
      <c r="T2016" s="30"/>
      <c r="U2016" s="21" t="str">
        <f aca="false">IF(COUNT(K2016:T2016)=0,"SOURCE EMPTY / INDUSTRIAL ONLY",IF(MIN(K2016:T2016)=1,"SERVICE READY","HOLD"))</f>
        <v>SOURCE EMPTY / INDUSTRIAL ONLY</v>
      </c>
      <c r="V2016" s="9" t="n">
        <f aca="false">IF(U2016="SERVICE READY",1,0)</f>
        <v>0</v>
      </c>
      <c r="W2016" s="6"/>
      <c r="X2016" s="6"/>
      <c r="Y2016" s="6"/>
      <c r="Z2016" s="6"/>
    </row>
    <row r="2017" customFormat="false" ht="15" hidden="false" customHeight="false" outlineLevel="0" collapsed="false">
      <c r="A2017" s="9" t="s">
        <v>2271</v>
      </c>
      <c r="B2017" s="9" t="s">
        <v>2183</v>
      </c>
      <c r="C2017" s="9" t="s">
        <v>2184</v>
      </c>
      <c r="D2017" s="9" t="s">
        <v>2185</v>
      </c>
      <c r="E2017" s="9" t="s">
        <v>2027</v>
      </c>
      <c r="F2017" s="9" t="s">
        <v>203</v>
      </c>
      <c r="G2017" s="9" t="s">
        <v>221</v>
      </c>
      <c r="H2017" s="9" t="n">
        <v>6360</v>
      </c>
      <c r="I2017" s="29" t="n">
        <v>1.5</v>
      </c>
      <c r="J2017" s="9" t="n">
        <v>0</v>
      </c>
      <c r="K2017" s="30"/>
      <c r="L2017" s="30"/>
      <c r="M2017" s="30"/>
      <c r="N2017" s="30"/>
      <c r="O2017" s="30"/>
      <c r="P2017" s="30"/>
      <c r="Q2017" s="30"/>
      <c r="R2017" s="30"/>
      <c r="S2017" s="30"/>
      <c r="T2017" s="30"/>
      <c r="U2017" s="21" t="str">
        <f aca="false">IF(COUNT(K2017:T2017)=0,"SOURCE EMPTY / INDUSTRIAL ONLY",IF(MIN(K2017:T2017)=1,"SERVICE READY","HOLD"))</f>
        <v>SOURCE EMPTY / INDUSTRIAL ONLY</v>
      </c>
      <c r="V2017" s="9" t="n">
        <f aca="false">IF(U2017="SERVICE READY",1,0)</f>
        <v>0</v>
      </c>
      <c r="W2017" s="6"/>
      <c r="X2017" s="6"/>
      <c r="Y2017" s="6"/>
      <c r="Z2017" s="6"/>
    </row>
    <row r="2018" customFormat="false" ht="15" hidden="false" customHeight="false" outlineLevel="0" collapsed="false">
      <c r="A2018" s="9" t="s">
        <v>2272</v>
      </c>
      <c r="B2018" s="9" t="s">
        <v>2183</v>
      </c>
      <c r="C2018" s="9" t="s">
        <v>2184</v>
      </c>
      <c r="D2018" s="9" t="s">
        <v>2185</v>
      </c>
      <c r="E2018" s="9" t="s">
        <v>2027</v>
      </c>
      <c r="F2018" s="9" t="s">
        <v>205</v>
      </c>
      <c r="G2018" s="9" t="s">
        <v>221</v>
      </c>
      <c r="H2018" s="9" t="n">
        <v>6360</v>
      </c>
      <c r="I2018" s="29" t="n">
        <v>1.5</v>
      </c>
      <c r="J2018" s="9" t="n">
        <v>0</v>
      </c>
      <c r="K2018" s="30"/>
      <c r="L2018" s="30"/>
      <c r="M2018" s="30"/>
      <c r="N2018" s="30"/>
      <c r="O2018" s="30"/>
      <c r="P2018" s="30"/>
      <c r="Q2018" s="30"/>
      <c r="R2018" s="30"/>
      <c r="S2018" s="30"/>
      <c r="T2018" s="30"/>
      <c r="U2018" s="21" t="str">
        <f aca="false">IF(COUNT(K2018:T2018)=0,"SOURCE EMPTY / INDUSTRIAL ONLY",IF(MIN(K2018:T2018)=1,"SERVICE READY","HOLD"))</f>
        <v>SOURCE EMPTY / INDUSTRIAL ONLY</v>
      </c>
      <c r="V2018" s="9" t="n">
        <f aca="false">IF(U2018="SERVICE READY",1,0)</f>
        <v>0</v>
      </c>
      <c r="W2018" s="6"/>
      <c r="X2018" s="6"/>
      <c r="Y2018" s="6"/>
      <c r="Z2018" s="6"/>
    </row>
    <row r="2019" customFormat="false" ht="15" hidden="false" customHeight="false" outlineLevel="0" collapsed="false">
      <c r="A2019" s="9" t="s">
        <v>2273</v>
      </c>
      <c r="B2019" s="9" t="s">
        <v>2183</v>
      </c>
      <c r="C2019" s="9" t="s">
        <v>2184</v>
      </c>
      <c r="D2019" s="9" t="s">
        <v>2185</v>
      </c>
      <c r="E2019" s="9" t="s">
        <v>2027</v>
      </c>
      <c r="F2019" s="9" t="s">
        <v>207</v>
      </c>
      <c r="G2019" s="9" t="s">
        <v>221</v>
      </c>
      <c r="H2019" s="9" t="n">
        <v>6360</v>
      </c>
      <c r="I2019" s="29" t="n">
        <v>1.5</v>
      </c>
      <c r="J2019" s="9" t="n">
        <v>0</v>
      </c>
      <c r="K2019" s="30"/>
      <c r="L2019" s="30"/>
      <c r="M2019" s="30"/>
      <c r="N2019" s="30"/>
      <c r="O2019" s="30"/>
      <c r="P2019" s="30"/>
      <c r="Q2019" s="30"/>
      <c r="R2019" s="30"/>
      <c r="S2019" s="30"/>
      <c r="T2019" s="30"/>
      <c r="U2019" s="21" t="str">
        <f aca="false">IF(COUNT(K2019:T2019)=0,"SOURCE EMPTY / INDUSTRIAL ONLY",IF(MIN(K2019:T2019)=1,"SERVICE READY","HOLD"))</f>
        <v>SOURCE EMPTY / INDUSTRIAL ONLY</v>
      </c>
      <c r="V2019" s="9" t="n">
        <f aca="false">IF(U2019="SERVICE READY",1,0)</f>
        <v>0</v>
      </c>
      <c r="W2019" s="6"/>
      <c r="X2019" s="6"/>
      <c r="Y2019" s="6"/>
      <c r="Z2019" s="6"/>
    </row>
    <row r="2020" customFormat="false" ht="15" hidden="false" customHeight="false" outlineLevel="0" collapsed="false">
      <c r="A2020" s="9" t="s">
        <v>2274</v>
      </c>
      <c r="B2020" s="9" t="s">
        <v>2183</v>
      </c>
      <c r="C2020" s="9" t="s">
        <v>2184</v>
      </c>
      <c r="D2020" s="9" t="s">
        <v>2185</v>
      </c>
      <c r="E2020" s="9" t="s">
        <v>2027</v>
      </c>
      <c r="F2020" s="9" t="s">
        <v>209</v>
      </c>
      <c r="G2020" s="9" t="s">
        <v>221</v>
      </c>
      <c r="H2020" s="9" t="n">
        <v>6360</v>
      </c>
      <c r="I2020" s="29" t="n">
        <v>1.5</v>
      </c>
      <c r="J2020" s="9" t="n">
        <v>0</v>
      </c>
      <c r="K2020" s="30"/>
      <c r="L2020" s="30"/>
      <c r="M2020" s="30"/>
      <c r="N2020" s="30"/>
      <c r="O2020" s="30"/>
      <c r="P2020" s="30"/>
      <c r="Q2020" s="30"/>
      <c r="R2020" s="30"/>
      <c r="S2020" s="30"/>
      <c r="T2020" s="30"/>
      <c r="U2020" s="21" t="str">
        <f aca="false">IF(COUNT(K2020:T2020)=0,"SOURCE EMPTY / INDUSTRIAL ONLY",IF(MIN(K2020:T2020)=1,"SERVICE READY","HOLD"))</f>
        <v>SOURCE EMPTY / INDUSTRIAL ONLY</v>
      </c>
      <c r="V2020" s="9" t="n">
        <f aca="false">IF(U2020="SERVICE READY",1,0)</f>
        <v>0</v>
      </c>
      <c r="W2020" s="6"/>
      <c r="X2020" s="6"/>
      <c r="Y2020" s="6"/>
      <c r="Z2020" s="6"/>
    </row>
    <row r="2021" customFormat="false" ht="15" hidden="false" customHeight="false" outlineLevel="0" collapsed="false">
      <c r="A2021" s="9" t="s">
        <v>2275</v>
      </c>
      <c r="B2021" s="9" t="s">
        <v>2183</v>
      </c>
      <c r="C2021" s="9" t="s">
        <v>2184</v>
      </c>
      <c r="D2021" s="9" t="s">
        <v>2185</v>
      </c>
      <c r="E2021" s="9" t="s">
        <v>2027</v>
      </c>
      <c r="F2021" s="9" t="s">
        <v>211</v>
      </c>
      <c r="G2021" s="9" t="s">
        <v>221</v>
      </c>
      <c r="H2021" s="9" t="n">
        <v>6360</v>
      </c>
      <c r="I2021" s="29" t="n">
        <v>1.5</v>
      </c>
      <c r="J2021" s="9" t="n">
        <v>0</v>
      </c>
      <c r="K2021" s="30"/>
      <c r="L2021" s="30"/>
      <c r="M2021" s="30"/>
      <c r="N2021" s="30"/>
      <c r="O2021" s="30"/>
      <c r="P2021" s="30"/>
      <c r="Q2021" s="30"/>
      <c r="R2021" s="30"/>
      <c r="S2021" s="30"/>
      <c r="T2021" s="30"/>
      <c r="U2021" s="21" t="str">
        <f aca="false">IF(COUNT(K2021:T2021)=0,"SOURCE EMPTY / INDUSTRIAL ONLY",IF(MIN(K2021:T2021)=1,"SERVICE READY","HOLD"))</f>
        <v>SOURCE EMPTY / INDUSTRIAL ONLY</v>
      </c>
      <c r="V2021" s="9" t="n">
        <f aca="false">IF(U2021="SERVICE READY",1,0)</f>
        <v>0</v>
      </c>
      <c r="W2021" s="6"/>
      <c r="X2021" s="6"/>
      <c r="Y2021" s="6"/>
      <c r="Z2021" s="6"/>
    </row>
    <row r="2022" customFormat="false" ht="15" hidden="false" customHeight="false" outlineLevel="0" collapsed="false">
      <c r="A2022" s="9" t="s">
        <v>2276</v>
      </c>
      <c r="B2022" s="9" t="s">
        <v>2183</v>
      </c>
      <c r="C2022" s="9" t="s">
        <v>2184</v>
      </c>
      <c r="D2022" s="9" t="s">
        <v>2185</v>
      </c>
      <c r="E2022" s="9" t="s">
        <v>2027</v>
      </c>
      <c r="F2022" s="9" t="s">
        <v>197</v>
      </c>
      <c r="G2022" s="9" t="s">
        <v>221</v>
      </c>
      <c r="H2022" s="9" t="n">
        <v>6360</v>
      </c>
      <c r="I2022" s="29" t="n">
        <v>1.5</v>
      </c>
      <c r="J2022" s="9" t="n">
        <v>0</v>
      </c>
      <c r="K2022" s="30"/>
      <c r="L2022" s="30"/>
      <c r="M2022" s="30"/>
      <c r="N2022" s="30"/>
      <c r="O2022" s="30"/>
      <c r="P2022" s="30"/>
      <c r="Q2022" s="30"/>
      <c r="R2022" s="30"/>
      <c r="S2022" s="30"/>
      <c r="T2022" s="30"/>
      <c r="U2022" s="21" t="str">
        <f aca="false">IF(COUNT(K2022:T2022)=0,"SOURCE EMPTY / INDUSTRIAL ONLY",IF(MIN(K2022:T2022)=1,"SERVICE READY","HOLD"))</f>
        <v>SOURCE EMPTY / INDUSTRIAL ONLY</v>
      </c>
      <c r="V2022" s="9" t="n">
        <f aca="false">IF(U2022="SERVICE READY",1,0)</f>
        <v>0</v>
      </c>
      <c r="W2022" s="6"/>
      <c r="X2022" s="6"/>
      <c r="Y2022" s="6"/>
      <c r="Z2022" s="6"/>
    </row>
    <row r="2023" customFormat="false" ht="15" hidden="false" customHeight="false" outlineLevel="0" collapsed="false">
      <c r="A2023" s="9" t="s">
        <v>2277</v>
      </c>
      <c r="B2023" s="9" t="s">
        <v>2183</v>
      </c>
      <c r="C2023" s="9" t="s">
        <v>2184</v>
      </c>
      <c r="D2023" s="9" t="s">
        <v>2185</v>
      </c>
      <c r="E2023" s="9" t="s">
        <v>2027</v>
      </c>
      <c r="F2023" s="9" t="s">
        <v>200</v>
      </c>
      <c r="G2023" s="9" t="s">
        <v>221</v>
      </c>
      <c r="H2023" s="9" t="n">
        <v>6360</v>
      </c>
      <c r="I2023" s="29" t="n">
        <v>1.5</v>
      </c>
      <c r="J2023" s="9" t="n">
        <v>0</v>
      </c>
      <c r="K2023" s="30"/>
      <c r="L2023" s="30"/>
      <c r="M2023" s="30"/>
      <c r="N2023" s="30"/>
      <c r="O2023" s="30"/>
      <c r="P2023" s="30"/>
      <c r="Q2023" s="30"/>
      <c r="R2023" s="30"/>
      <c r="S2023" s="30"/>
      <c r="T2023" s="30"/>
      <c r="U2023" s="21" t="str">
        <f aca="false">IF(COUNT(K2023:T2023)=0,"SOURCE EMPTY / INDUSTRIAL ONLY",IF(MIN(K2023:T2023)=1,"SERVICE READY","HOLD"))</f>
        <v>SOURCE EMPTY / INDUSTRIAL ONLY</v>
      </c>
      <c r="V2023" s="9" t="n">
        <f aca="false">IF(U2023="SERVICE READY",1,0)</f>
        <v>0</v>
      </c>
      <c r="W2023" s="6"/>
      <c r="X2023" s="6"/>
      <c r="Y2023" s="6"/>
      <c r="Z2023" s="6"/>
    </row>
    <row r="2024" customFormat="false" ht="15" hidden="false" customHeight="false" outlineLevel="0" collapsed="false">
      <c r="A2024" s="9" t="s">
        <v>2278</v>
      </c>
      <c r="B2024" s="9" t="s">
        <v>2183</v>
      </c>
      <c r="C2024" s="9" t="s">
        <v>2184</v>
      </c>
      <c r="D2024" s="9" t="s">
        <v>2185</v>
      </c>
      <c r="E2024" s="9" t="s">
        <v>2027</v>
      </c>
      <c r="F2024" s="9" t="s">
        <v>203</v>
      </c>
      <c r="G2024" s="9" t="s">
        <v>221</v>
      </c>
      <c r="H2024" s="9" t="n">
        <v>6360</v>
      </c>
      <c r="I2024" s="29" t="n">
        <v>1.5</v>
      </c>
      <c r="J2024" s="9" t="n">
        <v>0</v>
      </c>
      <c r="K2024" s="30"/>
      <c r="L2024" s="30"/>
      <c r="M2024" s="30"/>
      <c r="N2024" s="30"/>
      <c r="O2024" s="30"/>
      <c r="P2024" s="30"/>
      <c r="Q2024" s="30"/>
      <c r="R2024" s="30"/>
      <c r="S2024" s="30"/>
      <c r="T2024" s="30"/>
      <c r="U2024" s="21" t="str">
        <f aca="false">IF(COUNT(K2024:T2024)=0,"SOURCE EMPTY / INDUSTRIAL ONLY",IF(MIN(K2024:T2024)=1,"SERVICE READY","HOLD"))</f>
        <v>SOURCE EMPTY / INDUSTRIAL ONLY</v>
      </c>
      <c r="V2024" s="9" t="n">
        <f aca="false">IF(U2024="SERVICE READY",1,0)</f>
        <v>0</v>
      </c>
      <c r="W2024" s="6"/>
      <c r="X2024" s="6"/>
      <c r="Y2024" s="6"/>
      <c r="Z2024" s="6"/>
    </row>
    <row r="2025" customFormat="false" ht="15" hidden="false" customHeight="false" outlineLevel="0" collapsed="false">
      <c r="A2025" s="9" t="s">
        <v>2279</v>
      </c>
      <c r="B2025" s="9" t="s">
        <v>2183</v>
      </c>
      <c r="C2025" s="9" t="s">
        <v>2184</v>
      </c>
      <c r="D2025" s="9" t="s">
        <v>2185</v>
      </c>
      <c r="E2025" s="9" t="s">
        <v>2027</v>
      </c>
      <c r="F2025" s="9" t="s">
        <v>205</v>
      </c>
      <c r="G2025" s="9" t="s">
        <v>221</v>
      </c>
      <c r="H2025" s="9" t="n">
        <v>6360</v>
      </c>
      <c r="I2025" s="29" t="n">
        <v>1.5</v>
      </c>
      <c r="J2025" s="9" t="n">
        <v>0</v>
      </c>
      <c r="K2025" s="30"/>
      <c r="L2025" s="30"/>
      <c r="M2025" s="30"/>
      <c r="N2025" s="30"/>
      <c r="O2025" s="30"/>
      <c r="P2025" s="30"/>
      <c r="Q2025" s="30"/>
      <c r="R2025" s="30"/>
      <c r="S2025" s="30"/>
      <c r="T2025" s="30"/>
      <c r="U2025" s="21" t="str">
        <f aca="false">IF(COUNT(K2025:T2025)=0,"SOURCE EMPTY / INDUSTRIAL ONLY",IF(MIN(K2025:T2025)=1,"SERVICE READY","HOLD"))</f>
        <v>SOURCE EMPTY / INDUSTRIAL ONLY</v>
      </c>
      <c r="V2025" s="9" t="n">
        <f aca="false">IF(U2025="SERVICE READY",1,0)</f>
        <v>0</v>
      </c>
      <c r="W2025" s="6"/>
      <c r="X2025" s="6"/>
      <c r="Y2025" s="6"/>
      <c r="Z2025" s="6"/>
    </row>
    <row r="2026" customFormat="false" ht="15" hidden="false" customHeight="false" outlineLevel="0" collapsed="false">
      <c r="A2026" s="9" t="s">
        <v>2280</v>
      </c>
      <c r="B2026" s="9" t="s">
        <v>2183</v>
      </c>
      <c r="C2026" s="9" t="s">
        <v>2184</v>
      </c>
      <c r="D2026" s="9" t="s">
        <v>2185</v>
      </c>
      <c r="E2026" s="9" t="s">
        <v>2027</v>
      </c>
      <c r="F2026" s="9" t="s">
        <v>207</v>
      </c>
      <c r="G2026" s="9" t="s">
        <v>221</v>
      </c>
      <c r="H2026" s="9" t="n">
        <v>6360</v>
      </c>
      <c r="I2026" s="29" t="n">
        <v>1.5</v>
      </c>
      <c r="J2026" s="9" t="n">
        <v>0</v>
      </c>
      <c r="K2026" s="30"/>
      <c r="L2026" s="30"/>
      <c r="M2026" s="30"/>
      <c r="N2026" s="30"/>
      <c r="O2026" s="30"/>
      <c r="P2026" s="30"/>
      <c r="Q2026" s="30"/>
      <c r="R2026" s="30"/>
      <c r="S2026" s="30"/>
      <c r="T2026" s="30"/>
      <c r="U2026" s="21" t="str">
        <f aca="false">IF(COUNT(K2026:T2026)=0,"SOURCE EMPTY / INDUSTRIAL ONLY",IF(MIN(K2026:T2026)=1,"SERVICE READY","HOLD"))</f>
        <v>SOURCE EMPTY / INDUSTRIAL ONLY</v>
      </c>
      <c r="V2026" s="9" t="n">
        <f aca="false">IF(U2026="SERVICE READY",1,0)</f>
        <v>0</v>
      </c>
      <c r="W2026" s="6"/>
      <c r="X2026" s="6"/>
      <c r="Y2026" s="6"/>
      <c r="Z2026" s="6"/>
    </row>
    <row r="2027" customFormat="false" ht="15" hidden="false" customHeight="false" outlineLevel="0" collapsed="false">
      <c r="A2027" s="9" t="s">
        <v>2281</v>
      </c>
      <c r="B2027" s="9" t="s">
        <v>2183</v>
      </c>
      <c r="C2027" s="9" t="s">
        <v>2184</v>
      </c>
      <c r="D2027" s="9" t="s">
        <v>2185</v>
      </c>
      <c r="E2027" s="9" t="s">
        <v>2027</v>
      </c>
      <c r="F2027" s="9" t="s">
        <v>209</v>
      </c>
      <c r="G2027" s="9" t="s">
        <v>221</v>
      </c>
      <c r="H2027" s="9" t="n">
        <v>6360</v>
      </c>
      <c r="I2027" s="29" t="n">
        <v>1.5</v>
      </c>
      <c r="J2027" s="9" t="n">
        <v>0</v>
      </c>
      <c r="K2027" s="30"/>
      <c r="L2027" s="30"/>
      <c r="M2027" s="30"/>
      <c r="N2027" s="30"/>
      <c r="O2027" s="30"/>
      <c r="P2027" s="30"/>
      <c r="Q2027" s="30"/>
      <c r="R2027" s="30"/>
      <c r="S2027" s="30"/>
      <c r="T2027" s="30"/>
      <c r="U2027" s="21" t="str">
        <f aca="false">IF(COUNT(K2027:T2027)=0,"SOURCE EMPTY / INDUSTRIAL ONLY",IF(MIN(K2027:T2027)=1,"SERVICE READY","HOLD"))</f>
        <v>SOURCE EMPTY / INDUSTRIAL ONLY</v>
      </c>
      <c r="V2027" s="9" t="n">
        <f aca="false">IF(U2027="SERVICE READY",1,0)</f>
        <v>0</v>
      </c>
      <c r="W2027" s="6"/>
      <c r="X2027" s="6"/>
      <c r="Y2027" s="6"/>
      <c r="Z2027" s="6"/>
    </row>
    <row r="2028" customFormat="false" ht="15" hidden="false" customHeight="false" outlineLevel="0" collapsed="false">
      <c r="A2028" s="9" t="s">
        <v>2282</v>
      </c>
      <c r="B2028" s="9" t="s">
        <v>2183</v>
      </c>
      <c r="C2028" s="9" t="s">
        <v>2184</v>
      </c>
      <c r="D2028" s="9" t="s">
        <v>2185</v>
      </c>
      <c r="E2028" s="9" t="s">
        <v>2027</v>
      </c>
      <c r="F2028" s="9" t="s">
        <v>211</v>
      </c>
      <c r="G2028" s="9" t="s">
        <v>221</v>
      </c>
      <c r="H2028" s="9" t="n">
        <v>6360</v>
      </c>
      <c r="I2028" s="29" t="n">
        <v>1.5</v>
      </c>
      <c r="J2028" s="9" t="n">
        <v>0</v>
      </c>
      <c r="K2028" s="30"/>
      <c r="L2028" s="30"/>
      <c r="M2028" s="30"/>
      <c r="N2028" s="30"/>
      <c r="O2028" s="30"/>
      <c r="P2028" s="30"/>
      <c r="Q2028" s="30"/>
      <c r="R2028" s="30"/>
      <c r="S2028" s="30"/>
      <c r="T2028" s="30"/>
      <c r="U2028" s="21" t="str">
        <f aca="false">IF(COUNT(K2028:T2028)=0,"SOURCE EMPTY / INDUSTRIAL ONLY",IF(MIN(K2028:T2028)=1,"SERVICE READY","HOLD"))</f>
        <v>SOURCE EMPTY / INDUSTRIAL ONLY</v>
      </c>
      <c r="V2028" s="9" t="n">
        <f aca="false">IF(U2028="SERVICE READY",1,0)</f>
        <v>0</v>
      </c>
      <c r="W2028" s="6"/>
      <c r="X2028" s="6"/>
      <c r="Y2028" s="6"/>
      <c r="Z2028" s="6"/>
    </row>
    <row r="2029" customFormat="false" ht="15" hidden="false" customHeight="false" outlineLevel="0" collapsed="false">
      <c r="A2029" s="9" t="s">
        <v>2283</v>
      </c>
      <c r="B2029" s="9" t="s">
        <v>2183</v>
      </c>
      <c r="C2029" s="9" t="s">
        <v>2184</v>
      </c>
      <c r="D2029" s="9" t="s">
        <v>2185</v>
      </c>
      <c r="E2029" s="9" t="s">
        <v>2027</v>
      </c>
      <c r="F2029" s="9" t="s">
        <v>197</v>
      </c>
      <c r="G2029" s="9" t="s">
        <v>221</v>
      </c>
      <c r="H2029" s="9" t="n">
        <v>6360</v>
      </c>
      <c r="I2029" s="29" t="n">
        <v>1.5</v>
      </c>
      <c r="J2029" s="9" t="n">
        <v>0</v>
      </c>
      <c r="K2029" s="30"/>
      <c r="L2029" s="30"/>
      <c r="M2029" s="30"/>
      <c r="N2029" s="30"/>
      <c r="O2029" s="30"/>
      <c r="P2029" s="30"/>
      <c r="Q2029" s="30"/>
      <c r="R2029" s="30"/>
      <c r="S2029" s="30"/>
      <c r="T2029" s="30"/>
      <c r="U2029" s="21" t="str">
        <f aca="false">IF(COUNT(K2029:T2029)=0,"SOURCE EMPTY / INDUSTRIAL ONLY",IF(MIN(K2029:T2029)=1,"SERVICE READY","HOLD"))</f>
        <v>SOURCE EMPTY / INDUSTRIAL ONLY</v>
      </c>
      <c r="V2029" s="9" t="n">
        <f aca="false">IF(U2029="SERVICE READY",1,0)</f>
        <v>0</v>
      </c>
      <c r="W2029" s="6"/>
      <c r="X2029" s="6"/>
      <c r="Y2029" s="6"/>
      <c r="Z2029" s="6"/>
    </row>
    <row r="2030" customFormat="false" ht="15" hidden="false" customHeight="false" outlineLevel="0" collapsed="false">
      <c r="A2030" s="9" t="s">
        <v>2284</v>
      </c>
      <c r="B2030" s="9" t="s">
        <v>2183</v>
      </c>
      <c r="C2030" s="9" t="s">
        <v>2184</v>
      </c>
      <c r="D2030" s="9" t="s">
        <v>2185</v>
      </c>
      <c r="E2030" s="9" t="s">
        <v>2027</v>
      </c>
      <c r="F2030" s="9" t="s">
        <v>200</v>
      </c>
      <c r="G2030" s="9" t="s">
        <v>221</v>
      </c>
      <c r="H2030" s="9" t="n">
        <v>6360</v>
      </c>
      <c r="I2030" s="29" t="n">
        <v>1.5</v>
      </c>
      <c r="J2030" s="9" t="n">
        <v>0</v>
      </c>
      <c r="K2030" s="30"/>
      <c r="L2030" s="30"/>
      <c r="M2030" s="30"/>
      <c r="N2030" s="30"/>
      <c r="O2030" s="30"/>
      <c r="P2030" s="30"/>
      <c r="Q2030" s="30"/>
      <c r="R2030" s="30"/>
      <c r="S2030" s="30"/>
      <c r="T2030" s="30"/>
      <c r="U2030" s="21" t="str">
        <f aca="false">IF(COUNT(K2030:T2030)=0,"SOURCE EMPTY / INDUSTRIAL ONLY",IF(MIN(K2030:T2030)=1,"SERVICE READY","HOLD"))</f>
        <v>SOURCE EMPTY / INDUSTRIAL ONLY</v>
      </c>
      <c r="V2030" s="9" t="n">
        <f aca="false">IF(U2030="SERVICE READY",1,0)</f>
        <v>0</v>
      </c>
      <c r="W2030" s="6"/>
      <c r="X2030" s="6"/>
      <c r="Y2030" s="6"/>
      <c r="Z2030" s="6"/>
    </row>
    <row r="2031" customFormat="false" ht="15" hidden="false" customHeight="false" outlineLevel="0" collapsed="false">
      <c r="A2031" s="9" t="s">
        <v>2285</v>
      </c>
      <c r="B2031" s="9" t="s">
        <v>2183</v>
      </c>
      <c r="C2031" s="9" t="s">
        <v>2184</v>
      </c>
      <c r="D2031" s="9" t="s">
        <v>2185</v>
      </c>
      <c r="E2031" s="9" t="s">
        <v>2027</v>
      </c>
      <c r="F2031" s="9" t="s">
        <v>203</v>
      </c>
      <c r="G2031" s="9" t="s">
        <v>221</v>
      </c>
      <c r="H2031" s="9" t="n">
        <v>6360</v>
      </c>
      <c r="I2031" s="29" t="n">
        <v>1.5</v>
      </c>
      <c r="J2031" s="9" t="n">
        <v>0</v>
      </c>
      <c r="K2031" s="30"/>
      <c r="L2031" s="30"/>
      <c r="M2031" s="30"/>
      <c r="N2031" s="30"/>
      <c r="O2031" s="30"/>
      <c r="P2031" s="30"/>
      <c r="Q2031" s="30"/>
      <c r="R2031" s="30"/>
      <c r="S2031" s="30"/>
      <c r="T2031" s="30"/>
      <c r="U2031" s="21" t="str">
        <f aca="false">IF(COUNT(K2031:T2031)=0,"SOURCE EMPTY / INDUSTRIAL ONLY",IF(MIN(K2031:T2031)=1,"SERVICE READY","HOLD"))</f>
        <v>SOURCE EMPTY / INDUSTRIAL ONLY</v>
      </c>
      <c r="V2031" s="9" t="n">
        <f aca="false">IF(U2031="SERVICE READY",1,0)</f>
        <v>0</v>
      </c>
      <c r="W2031" s="6"/>
      <c r="X2031" s="6"/>
      <c r="Y2031" s="6"/>
      <c r="Z2031" s="6"/>
    </row>
    <row r="2032" customFormat="false" ht="15" hidden="false" customHeight="false" outlineLevel="0" collapsed="false">
      <c r="A2032" s="9" t="s">
        <v>2286</v>
      </c>
      <c r="B2032" s="9" t="s">
        <v>2183</v>
      </c>
      <c r="C2032" s="9" t="s">
        <v>2184</v>
      </c>
      <c r="D2032" s="9" t="s">
        <v>2185</v>
      </c>
      <c r="E2032" s="9" t="s">
        <v>2027</v>
      </c>
      <c r="F2032" s="9" t="s">
        <v>205</v>
      </c>
      <c r="G2032" s="9" t="s">
        <v>221</v>
      </c>
      <c r="H2032" s="9" t="n">
        <v>6360</v>
      </c>
      <c r="I2032" s="29" t="n">
        <v>1.5</v>
      </c>
      <c r="J2032" s="9" t="n">
        <v>0</v>
      </c>
      <c r="K2032" s="30"/>
      <c r="L2032" s="30"/>
      <c r="M2032" s="30"/>
      <c r="N2032" s="30"/>
      <c r="O2032" s="30"/>
      <c r="P2032" s="30"/>
      <c r="Q2032" s="30"/>
      <c r="R2032" s="30"/>
      <c r="S2032" s="30"/>
      <c r="T2032" s="30"/>
      <c r="U2032" s="21" t="str">
        <f aca="false">IF(COUNT(K2032:T2032)=0,"SOURCE EMPTY / INDUSTRIAL ONLY",IF(MIN(K2032:T2032)=1,"SERVICE READY","HOLD"))</f>
        <v>SOURCE EMPTY / INDUSTRIAL ONLY</v>
      </c>
      <c r="V2032" s="9" t="n">
        <f aca="false">IF(U2032="SERVICE READY",1,0)</f>
        <v>0</v>
      </c>
      <c r="W2032" s="6"/>
      <c r="X2032" s="6"/>
      <c r="Y2032" s="6"/>
      <c r="Z2032" s="6"/>
    </row>
    <row r="2033" customFormat="false" ht="15" hidden="false" customHeight="false" outlineLevel="0" collapsed="false">
      <c r="A2033" s="9" t="s">
        <v>2287</v>
      </c>
      <c r="B2033" s="9" t="s">
        <v>2183</v>
      </c>
      <c r="C2033" s="9" t="s">
        <v>2184</v>
      </c>
      <c r="D2033" s="9" t="s">
        <v>2185</v>
      </c>
      <c r="E2033" s="9" t="s">
        <v>2027</v>
      </c>
      <c r="F2033" s="9" t="s">
        <v>207</v>
      </c>
      <c r="G2033" s="9" t="s">
        <v>221</v>
      </c>
      <c r="H2033" s="9" t="n">
        <v>6360</v>
      </c>
      <c r="I2033" s="29" t="n">
        <v>1.5</v>
      </c>
      <c r="J2033" s="9" t="n">
        <v>0</v>
      </c>
      <c r="K2033" s="30"/>
      <c r="L2033" s="30"/>
      <c r="M2033" s="30"/>
      <c r="N2033" s="30"/>
      <c r="O2033" s="30"/>
      <c r="P2033" s="30"/>
      <c r="Q2033" s="30"/>
      <c r="R2033" s="30"/>
      <c r="S2033" s="30"/>
      <c r="T2033" s="30"/>
      <c r="U2033" s="21" t="str">
        <f aca="false">IF(COUNT(K2033:T2033)=0,"SOURCE EMPTY / INDUSTRIAL ONLY",IF(MIN(K2033:T2033)=1,"SERVICE READY","HOLD"))</f>
        <v>SOURCE EMPTY / INDUSTRIAL ONLY</v>
      </c>
      <c r="V2033" s="9" t="n">
        <f aca="false">IF(U2033="SERVICE READY",1,0)</f>
        <v>0</v>
      </c>
      <c r="W2033" s="6"/>
      <c r="X2033" s="6"/>
      <c r="Y2033" s="6"/>
      <c r="Z2033" s="6"/>
    </row>
    <row r="2034" customFormat="false" ht="15" hidden="false" customHeight="false" outlineLevel="0" collapsed="false">
      <c r="A2034" s="9" t="s">
        <v>2288</v>
      </c>
      <c r="B2034" s="9" t="s">
        <v>2183</v>
      </c>
      <c r="C2034" s="9" t="s">
        <v>2184</v>
      </c>
      <c r="D2034" s="9" t="s">
        <v>2185</v>
      </c>
      <c r="E2034" s="9" t="s">
        <v>2027</v>
      </c>
      <c r="F2034" s="9" t="s">
        <v>209</v>
      </c>
      <c r="G2034" s="9" t="s">
        <v>221</v>
      </c>
      <c r="H2034" s="9" t="n">
        <v>6360</v>
      </c>
      <c r="I2034" s="29" t="n">
        <v>1.5</v>
      </c>
      <c r="J2034" s="9" t="n">
        <v>0</v>
      </c>
      <c r="K2034" s="30"/>
      <c r="L2034" s="30"/>
      <c r="M2034" s="30"/>
      <c r="N2034" s="30"/>
      <c r="O2034" s="30"/>
      <c r="P2034" s="30"/>
      <c r="Q2034" s="30"/>
      <c r="R2034" s="30"/>
      <c r="S2034" s="30"/>
      <c r="T2034" s="30"/>
      <c r="U2034" s="21" t="str">
        <f aca="false">IF(COUNT(K2034:T2034)=0,"SOURCE EMPTY / INDUSTRIAL ONLY",IF(MIN(K2034:T2034)=1,"SERVICE READY","HOLD"))</f>
        <v>SOURCE EMPTY / INDUSTRIAL ONLY</v>
      </c>
      <c r="V2034" s="9" t="n">
        <f aca="false">IF(U2034="SERVICE READY",1,0)</f>
        <v>0</v>
      </c>
      <c r="W2034" s="6"/>
      <c r="X2034" s="6"/>
      <c r="Y2034" s="6"/>
      <c r="Z2034" s="6"/>
    </row>
    <row r="2035" customFormat="false" ht="15" hidden="false" customHeight="false" outlineLevel="0" collapsed="false">
      <c r="A2035" s="9" t="s">
        <v>2289</v>
      </c>
      <c r="B2035" s="9" t="s">
        <v>2183</v>
      </c>
      <c r="C2035" s="9" t="s">
        <v>2184</v>
      </c>
      <c r="D2035" s="9" t="s">
        <v>2185</v>
      </c>
      <c r="E2035" s="9" t="s">
        <v>2027</v>
      </c>
      <c r="F2035" s="9" t="s">
        <v>211</v>
      </c>
      <c r="G2035" s="9" t="s">
        <v>221</v>
      </c>
      <c r="H2035" s="9" t="n">
        <v>6360</v>
      </c>
      <c r="I2035" s="29" t="n">
        <v>1.5</v>
      </c>
      <c r="J2035" s="9" t="n">
        <v>0</v>
      </c>
      <c r="K2035" s="30"/>
      <c r="L2035" s="30"/>
      <c r="M2035" s="30"/>
      <c r="N2035" s="30"/>
      <c r="O2035" s="30"/>
      <c r="P2035" s="30"/>
      <c r="Q2035" s="30"/>
      <c r="R2035" s="30"/>
      <c r="S2035" s="30"/>
      <c r="T2035" s="30"/>
      <c r="U2035" s="21" t="str">
        <f aca="false">IF(COUNT(K2035:T2035)=0,"SOURCE EMPTY / INDUSTRIAL ONLY",IF(MIN(K2035:T2035)=1,"SERVICE READY","HOLD"))</f>
        <v>SOURCE EMPTY / INDUSTRIAL ONLY</v>
      </c>
      <c r="V2035" s="9" t="n">
        <f aca="false">IF(U2035="SERVICE READY",1,0)</f>
        <v>0</v>
      </c>
      <c r="W2035" s="6"/>
      <c r="X2035" s="6"/>
      <c r="Y2035" s="6"/>
      <c r="Z2035" s="6"/>
    </row>
    <row r="2036" customFormat="false" ht="15" hidden="false" customHeight="false" outlineLevel="0" collapsed="false">
      <c r="A2036" s="9" t="s">
        <v>2290</v>
      </c>
      <c r="B2036" s="9" t="s">
        <v>2183</v>
      </c>
      <c r="C2036" s="9" t="s">
        <v>2184</v>
      </c>
      <c r="D2036" s="9" t="s">
        <v>2185</v>
      </c>
      <c r="E2036" s="9" t="s">
        <v>2027</v>
      </c>
      <c r="F2036" s="9" t="s">
        <v>197</v>
      </c>
      <c r="G2036" s="9" t="s">
        <v>221</v>
      </c>
      <c r="H2036" s="9" t="n">
        <v>6360</v>
      </c>
      <c r="I2036" s="29" t="n">
        <v>1.5</v>
      </c>
      <c r="J2036" s="9" t="n">
        <v>0</v>
      </c>
      <c r="K2036" s="30"/>
      <c r="L2036" s="30"/>
      <c r="M2036" s="30"/>
      <c r="N2036" s="30"/>
      <c r="O2036" s="30"/>
      <c r="P2036" s="30"/>
      <c r="Q2036" s="30"/>
      <c r="R2036" s="30"/>
      <c r="S2036" s="30"/>
      <c r="T2036" s="30"/>
      <c r="U2036" s="21" t="str">
        <f aca="false">IF(COUNT(K2036:T2036)=0,"SOURCE EMPTY / INDUSTRIAL ONLY",IF(MIN(K2036:T2036)=1,"SERVICE READY","HOLD"))</f>
        <v>SOURCE EMPTY / INDUSTRIAL ONLY</v>
      </c>
      <c r="V2036" s="9" t="n">
        <f aca="false">IF(U2036="SERVICE READY",1,0)</f>
        <v>0</v>
      </c>
      <c r="W2036" s="6"/>
      <c r="X2036" s="6"/>
      <c r="Y2036" s="6"/>
      <c r="Z2036" s="6"/>
    </row>
    <row r="2037" customFormat="false" ht="15" hidden="false" customHeight="false" outlineLevel="0" collapsed="false">
      <c r="A2037" s="9" t="s">
        <v>2291</v>
      </c>
      <c r="B2037" s="9" t="s">
        <v>2183</v>
      </c>
      <c r="C2037" s="9" t="s">
        <v>2184</v>
      </c>
      <c r="D2037" s="9" t="s">
        <v>2185</v>
      </c>
      <c r="E2037" s="9" t="s">
        <v>2027</v>
      </c>
      <c r="F2037" s="9" t="s">
        <v>200</v>
      </c>
      <c r="G2037" s="9" t="s">
        <v>221</v>
      </c>
      <c r="H2037" s="9" t="n">
        <v>6360</v>
      </c>
      <c r="I2037" s="29" t="n">
        <v>1.5</v>
      </c>
      <c r="J2037" s="9" t="n">
        <v>0</v>
      </c>
      <c r="K2037" s="30"/>
      <c r="L2037" s="30"/>
      <c r="M2037" s="30"/>
      <c r="N2037" s="30"/>
      <c r="O2037" s="30"/>
      <c r="P2037" s="30"/>
      <c r="Q2037" s="30"/>
      <c r="R2037" s="30"/>
      <c r="S2037" s="30"/>
      <c r="T2037" s="30"/>
      <c r="U2037" s="21" t="str">
        <f aca="false">IF(COUNT(K2037:T2037)=0,"SOURCE EMPTY / INDUSTRIAL ONLY",IF(MIN(K2037:T2037)=1,"SERVICE READY","HOLD"))</f>
        <v>SOURCE EMPTY / INDUSTRIAL ONLY</v>
      </c>
      <c r="V2037" s="9" t="n">
        <f aca="false">IF(U2037="SERVICE READY",1,0)</f>
        <v>0</v>
      </c>
      <c r="W2037" s="6"/>
      <c r="X2037" s="6"/>
      <c r="Y2037" s="6"/>
      <c r="Z2037" s="6"/>
    </row>
    <row r="2038" customFormat="false" ht="15" hidden="false" customHeight="false" outlineLevel="0" collapsed="false">
      <c r="A2038" s="9" t="s">
        <v>2292</v>
      </c>
      <c r="B2038" s="9" t="s">
        <v>2183</v>
      </c>
      <c r="C2038" s="9" t="s">
        <v>2184</v>
      </c>
      <c r="D2038" s="9" t="s">
        <v>2185</v>
      </c>
      <c r="E2038" s="9" t="s">
        <v>2027</v>
      </c>
      <c r="F2038" s="9" t="s">
        <v>203</v>
      </c>
      <c r="G2038" s="9" t="s">
        <v>221</v>
      </c>
      <c r="H2038" s="9" t="n">
        <v>6360</v>
      </c>
      <c r="I2038" s="29" t="n">
        <v>1.5</v>
      </c>
      <c r="J2038" s="9" t="n">
        <v>0</v>
      </c>
      <c r="K2038" s="30"/>
      <c r="L2038" s="30"/>
      <c r="M2038" s="30"/>
      <c r="N2038" s="30"/>
      <c r="O2038" s="30"/>
      <c r="P2038" s="30"/>
      <c r="Q2038" s="30"/>
      <c r="R2038" s="30"/>
      <c r="S2038" s="30"/>
      <c r="T2038" s="30"/>
      <c r="U2038" s="21" t="str">
        <f aca="false">IF(COUNT(K2038:T2038)=0,"SOURCE EMPTY / INDUSTRIAL ONLY",IF(MIN(K2038:T2038)=1,"SERVICE READY","HOLD"))</f>
        <v>SOURCE EMPTY / INDUSTRIAL ONLY</v>
      </c>
      <c r="V2038" s="9" t="n">
        <f aca="false">IF(U2038="SERVICE READY",1,0)</f>
        <v>0</v>
      </c>
      <c r="W2038" s="6"/>
      <c r="X2038" s="6"/>
      <c r="Y2038" s="6"/>
      <c r="Z2038" s="6"/>
    </row>
    <row r="2039" customFormat="false" ht="15" hidden="false" customHeight="false" outlineLevel="0" collapsed="false">
      <c r="A2039" s="9" t="s">
        <v>2293</v>
      </c>
      <c r="B2039" s="9" t="s">
        <v>2183</v>
      </c>
      <c r="C2039" s="9" t="s">
        <v>2184</v>
      </c>
      <c r="D2039" s="9" t="s">
        <v>2185</v>
      </c>
      <c r="E2039" s="9" t="s">
        <v>2027</v>
      </c>
      <c r="F2039" s="9" t="s">
        <v>205</v>
      </c>
      <c r="G2039" s="9" t="s">
        <v>221</v>
      </c>
      <c r="H2039" s="9" t="n">
        <v>6360</v>
      </c>
      <c r="I2039" s="29" t="n">
        <v>1.5</v>
      </c>
      <c r="J2039" s="9" t="n">
        <v>0</v>
      </c>
      <c r="K2039" s="30"/>
      <c r="L2039" s="30"/>
      <c r="M2039" s="30"/>
      <c r="N2039" s="30"/>
      <c r="O2039" s="30"/>
      <c r="P2039" s="30"/>
      <c r="Q2039" s="30"/>
      <c r="R2039" s="30"/>
      <c r="S2039" s="30"/>
      <c r="T2039" s="30"/>
      <c r="U2039" s="21" t="str">
        <f aca="false">IF(COUNT(K2039:T2039)=0,"SOURCE EMPTY / INDUSTRIAL ONLY",IF(MIN(K2039:T2039)=1,"SERVICE READY","HOLD"))</f>
        <v>SOURCE EMPTY / INDUSTRIAL ONLY</v>
      </c>
      <c r="V2039" s="9" t="n">
        <f aca="false">IF(U2039="SERVICE READY",1,0)</f>
        <v>0</v>
      </c>
      <c r="W2039" s="6"/>
      <c r="X2039" s="6"/>
      <c r="Y2039" s="6"/>
      <c r="Z2039" s="6"/>
    </row>
    <row r="2040" customFormat="false" ht="15" hidden="false" customHeight="false" outlineLevel="0" collapsed="false">
      <c r="A2040" s="9" t="s">
        <v>2294</v>
      </c>
      <c r="B2040" s="9" t="s">
        <v>2183</v>
      </c>
      <c r="C2040" s="9" t="s">
        <v>2184</v>
      </c>
      <c r="D2040" s="9" t="s">
        <v>2185</v>
      </c>
      <c r="E2040" s="9" t="s">
        <v>2027</v>
      </c>
      <c r="F2040" s="9" t="s">
        <v>207</v>
      </c>
      <c r="G2040" s="9" t="s">
        <v>221</v>
      </c>
      <c r="H2040" s="9" t="n">
        <v>6360</v>
      </c>
      <c r="I2040" s="29" t="n">
        <v>1.5</v>
      </c>
      <c r="J2040" s="9" t="n">
        <v>0</v>
      </c>
      <c r="K2040" s="30"/>
      <c r="L2040" s="30"/>
      <c r="M2040" s="30"/>
      <c r="N2040" s="30"/>
      <c r="O2040" s="30"/>
      <c r="P2040" s="30"/>
      <c r="Q2040" s="30"/>
      <c r="R2040" s="30"/>
      <c r="S2040" s="30"/>
      <c r="T2040" s="30"/>
      <c r="U2040" s="21" t="str">
        <f aca="false">IF(COUNT(K2040:T2040)=0,"SOURCE EMPTY / INDUSTRIAL ONLY",IF(MIN(K2040:T2040)=1,"SERVICE READY","HOLD"))</f>
        <v>SOURCE EMPTY / INDUSTRIAL ONLY</v>
      </c>
      <c r="V2040" s="9" t="n">
        <f aca="false">IF(U2040="SERVICE READY",1,0)</f>
        <v>0</v>
      </c>
      <c r="W2040" s="6"/>
      <c r="X2040" s="6"/>
      <c r="Y2040" s="6"/>
      <c r="Z2040" s="6"/>
    </row>
    <row r="2041" customFormat="false" ht="15" hidden="false" customHeight="false" outlineLevel="0" collapsed="false">
      <c r="A2041" s="9" t="s">
        <v>2295</v>
      </c>
      <c r="B2041" s="9" t="s">
        <v>2183</v>
      </c>
      <c r="C2041" s="9" t="s">
        <v>2184</v>
      </c>
      <c r="D2041" s="9" t="s">
        <v>2185</v>
      </c>
      <c r="E2041" s="9" t="s">
        <v>2027</v>
      </c>
      <c r="F2041" s="9" t="s">
        <v>209</v>
      </c>
      <c r="G2041" s="9" t="s">
        <v>221</v>
      </c>
      <c r="H2041" s="9" t="n">
        <v>6360</v>
      </c>
      <c r="I2041" s="29" t="n">
        <v>1.5</v>
      </c>
      <c r="J2041" s="9" t="n">
        <v>0</v>
      </c>
      <c r="K2041" s="30"/>
      <c r="L2041" s="30"/>
      <c r="M2041" s="30"/>
      <c r="N2041" s="30"/>
      <c r="O2041" s="30"/>
      <c r="P2041" s="30"/>
      <c r="Q2041" s="30"/>
      <c r="R2041" s="30"/>
      <c r="S2041" s="30"/>
      <c r="T2041" s="30"/>
      <c r="U2041" s="21" t="str">
        <f aca="false">IF(COUNT(K2041:T2041)=0,"SOURCE EMPTY / INDUSTRIAL ONLY",IF(MIN(K2041:T2041)=1,"SERVICE READY","HOLD"))</f>
        <v>SOURCE EMPTY / INDUSTRIAL ONLY</v>
      </c>
      <c r="V2041" s="9" t="n">
        <f aca="false">IF(U2041="SERVICE READY",1,0)</f>
        <v>0</v>
      </c>
      <c r="W2041" s="6"/>
      <c r="X2041" s="6"/>
      <c r="Y2041" s="6"/>
      <c r="Z2041" s="6"/>
    </row>
    <row r="2042" customFormat="false" ht="15" hidden="false" customHeight="false" outlineLevel="0" collapsed="false">
      <c r="A2042" s="9" t="s">
        <v>2296</v>
      </c>
      <c r="B2042" s="9" t="s">
        <v>2183</v>
      </c>
      <c r="C2042" s="9" t="s">
        <v>2184</v>
      </c>
      <c r="D2042" s="9" t="s">
        <v>2185</v>
      </c>
      <c r="E2042" s="9" t="s">
        <v>2027</v>
      </c>
      <c r="F2042" s="9" t="s">
        <v>211</v>
      </c>
      <c r="G2042" s="9" t="s">
        <v>221</v>
      </c>
      <c r="H2042" s="9" t="n">
        <v>6360</v>
      </c>
      <c r="I2042" s="29" t="n">
        <v>1.5</v>
      </c>
      <c r="J2042" s="9" t="n">
        <v>0</v>
      </c>
      <c r="K2042" s="30"/>
      <c r="L2042" s="30"/>
      <c r="M2042" s="30"/>
      <c r="N2042" s="30"/>
      <c r="O2042" s="30"/>
      <c r="P2042" s="30"/>
      <c r="Q2042" s="30"/>
      <c r="R2042" s="30"/>
      <c r="S2042" s="30"/>
      <c r="T2042" s="30"/>
      <c r="U2042" s="21" t="str">
        <f aca="false">IF(COUNT(K2042:T2042)=0,"SOURCE EMPTY / INDUSTRIAL ONLY",IF(MIN(K2042:T2042)=1,"SERVICE READY","HOLD"))</f>
        <v>SOURCE EMPTY / INDUSTRIAL ONLY</v>
      </c>
      <c r="V2042" s="9" t="n">
        <f aca="false">IF(U2042="SERVICE READY",1,0)</f>
        <v>0</v>
      </c>
      <c r="W2042" s="6"/>
      <c r="X2042" s="6"/>
      <c r="Y2042" s="6"/>
      <c r="Z2042" s="6"/>
    </row>
    <row r="2043" customFormat="false" ht="15" hidden="false" customHeight="false" outlineLevel="0" collapsed="false">
      <c r="A2043" s="9" t="s">
        <v>2297</v>
      </c>
      <c r="B2043" s="9" t="s">
        <v>2183</v>
      </c>
      <c r="C2043" s="9" t="s">
        <v>2184</v>
      </c>
      <c r="D2043" s="9" t="s">
        <v>2185</v>
      </c>
      <c r="E2043" s="9" t="s">
        <v>2027</v>
      </c>
      <c r="F2043" s="9" t="s">
        <v>197</v>
      </c>
      <c r="G2043" s="9" t="s">
        <v>221</v>
      </c>
      <c r="H2043" s="9" t="n">
        <v>6360</v>
      </c>
      <c r="I2043" s="29" t="n">
        <v>1.5</v>
      </c>
      <c r="J2043" s="9" t="n">
        <v>0</v>
      </c>
      <c r="K2043" s="30"/>
      <c r="L2043" s="30"/>
      <c r="M2043" s="30"/>
      <c r="N2043" s="30"/>
      <c r="O2043" s="30"/>
      <c r="P2043" s="30"/>
      <c r="Q2043" s="30"/>
      <c r="R2043" s="30"/>
      <c r="S2043" s="30"/>
      <c r="T2043" s="30"/>
      <c r="U2043" s="21" t="str">
        <f aca="false">IF(COUNT(K2043:T2043)=0,"SOURCE EMPTY / INDUSTRIAL ONLY",IF(MIN(K2043:T2043)=1,"SERVICE READY","HOLD"))</f>
        <v>SOURCE EMPTY / INDUSTRIAL ONLY</v>
      </c>
      <c r="V2043" s="9" t="n">
        <f aca="false">IF(U2043="SERVICE READY",1,0)</f>
        <v>0</v>
      </c>
      <c r="W2043" s="6"/>
      <c r="X2043" s="6"/>
      <c r="Y2043" s="6"/>
      <c r="Z2043" s="6"/>
    </row>
    <row r="2044" customFormat="false" ht="15" hidden="false" customHeight="false" outlineLevel="0" collapsed="false">
      <c r="A2044" s="9" t="s">
        <v>2298</v>
      </c>
      <c r="B2044" s="9" t="s">
        <v>2183</v>
      </c>
      <c r="C2044" s="9" t="s">
        <v>2184</v>
      </c>
      <c r="D2044" s="9" t="s">
        <v>2185</v>
      </c>
      <c r="E2044" s="9" t="s">
        <v>2027</v>
      </c>
      <c r="F2044" s="9" t="s">
        <v>200</v>
      </c>
      <c r="G2044" s="9" t="s">
        <v>221</v>
      </c>
      <c r="H2044" s="9" t="n">
        <v>6360</v>
      </c>
      <c r="I2044" s="29" t="n">
        <v>1.5</v>
      </c>
      <c r="J2044" s="9" t="n">
        <v>0</v>
      </c>
      <c r="K2044" s="30"/>
      <c r="L2044" s="30"/>
      <c r="M2044" s="30"/>
      <c r="N2044" s="30"/>
      <c r="O2044" s="30"/>
      <c r="P2044" s="30"/>
      <c r="Q2044" s="30"/>
      <c r="R2044" s="30"/>
      <c r="S2044" s="30"/>
      <c r="T2044" s="30"/>
      <c r="U2044" s="21" t="str">
        <f aca="false">IF(COUNT(K2044:T2044)=0,"SOURCE EMPTY / INDUSTRIAL ONLY",IF(MIN(K2044:T2044)=1,"SERVICE READY","HOLD"))</f>
        <v>SOURCE EMPTY / INDUSTRIAL ONLY</v>
      </c>
      <c r="V2044" s="9" t="n">
        <f aca="false">IF(U2044="SERVICE READY",1,0)</f>
        <v>0</v>
      </c>
      <c r="W2044" s="6"/>
      <c r="X2044" s="6"/>
      <c r="Y2044" s="6"/>
      <c r="Z2044" s="6"/>
    </row>
    <row r="2045" customFormat="false" ht="15" hidden="false" customHeight="false" outlineLevel="0" collapsed="false">
      <c r="A2045" s="9" t="s">
        <v>2299</v>
      </c>
      <c r="B2045" s="9" t="s">
        <v>2183</v>
      </c>
      <c r="C2045" s="9" t="s">
        <v>2184</v>
      </c>
      <c r="D2045" s="9" t="s">
        <v>2185</v>
      </c>
      <c r="E2045" s="9" t="s">
        <v>2027</v>
      </c>
      <c r="F2045" s="9" t="s">
        <v>203</v>
      </c>
      <c r="G2045" s="9" t="s">
        <v>221</v>
      </c>
      <c r="H2045" s="9" t="n">
        <v>6360</v>
      </c>
      <c r="I2045" s="29" t="n">
        <v>1.5</v>
      </c>
      <c r="J2045" s="9" t="n">
        <v>0</v>
      </c>
      <c r="K2045" s="30"/>
      <c r="L2045" s="30"/>
      <c r="M2045" s="30"/>
      <c r="N2045" s="30"/>
      <c r="O2045" s="30"/>
      <c r="P2045" s="30"/>
      <c r="Q2045" s="30"/>
      <c r="R2045" s="30"/>
      <c r="S2045" s="30"/>
      <c r="T2045" s="30"/>
      <c r="U2045" s="21" t="str">
        <f aca="false">IF(COUNT(K2045:T2045)=0,"SOURCE EMPTY / INDUSTRIAL ONLY",IF(MIN(K2045:T2045)=1,"SERVICE READY","HOLD"))</f>
        <v>SOURCE EMPTY / INDUSTRIAL ONLY</v>
      </c>
      <c r="V2045" s="9" t="n">
        <f aca="false">IF(U2045="SERVICE READY",1,0)</f>
        <v>0</v>
      </c>
      <c r="W2045" s="6"/>
      <c r="X2045" s="6"/>
      <c r="Y2045" s="6"/>
      <c r="Z2045" s="6"/>
    </row>
    <row r="2046" customFormat="false" ht="15" hidden="false" customHeight="false" outlineLevel="0" collapsed="false">
      <c r="A2046" s="9" t="s">
        <v>2300</v>
      </c>
      <c r="B2046" s="9" t="s">
        <v>2183</v>
      </c>
      <c r="C2046" s="9" t="s">
        <v>2184</v>
      </c>
      <c r="D2046" s="9" t="s">
        <v>2185</v>
      </c>
      <c r="E2046" s="9" t="s">
        <v>2027</v>
      </c>
      <c r="F2046" s="9" t="s">
        <v>205</v>
      </c>
      <c r="G2046" s="9" t="s">
        <v>221</v>
      </c>
      <c r="H2046" s="9" t="n">
        <v>6360</v>
      </c>
      <c r="I2046" s="29" t="n">
        <v>1.5</v>
      </c>
      <c r="J2046" s="9" t="n">
        <v>0</v>
      </c>
      <c r="K2046" s="30"/>
      <c r="L2046" s="30"/>
      <c r="M2046" s="30"/>
      <c r="N2046" s="30"/>
      <c r="O2046" s="30"/>
      <c r="P2046" s="30"/>
      <c r="Q2046" s="30"/>
      <c r="R2046" s="30"/>
      <c r="S2046" s="30"/>
      <c r="T2046" s="30"/>
      <c r="U2046" s="21" t="str">
        <f aca="false">IF(COUNT(K2046:T2046)=0,"SOURCE EMPTY / INDUSTRIAL ONLY",IF(MIN(K2046:T2046)=1,"SERVICE READY","HOLD"))</f>
        <v>SOURCE EMPTY / INDUSTRIAL ONLY</v>
      </c>
      <c r="V2046" s="9" t="n">
        <f aca="false">IF(U2046="SERVICE READY",1,0)</f>
        <v>0</v>
      </c>
      <c r="W2046" s="6"/>
      <c r="X2046" s="6"/>
      <c r="Y2046" s="6"/>
      <c r="Z2046" s="6"/>
    </row>
    <row r="2047" customFormat="false" ht="15" hidden="false" customHeight="false" outlineLevel="0" collapsed="false">
      <c r="A2047" s="9" t="s">
        <v>2301</v>
      </c>
      <c r="B2047" s="9" t="s">
        <v>2302</v>
      </c>
      <c r="C2047" s="9" t="s">
        <v>2303</v>
      </c>
      <c r="D2047" s="9" t="s">
        <v>2185</v>
      </c>
      <c r="E2047" s="9" t="s">
        <v>2027</v>
      </c>
      <c r="F2047" s="9" t="s">
        <v>197</v>
      </c>
      <c r="G2047" s="9" t="s">
        <v>198</v>
      </c>
      <c r="H2047" s="9" t="n">
        <v>6600</v>
      </c>
      <c r="I2047" s="29" t="n">
        <v>2</v>
      </c>
      <c r="J2047" s="9" t="n">
        <v>1</v>
      </c>
      <c r="K2047" s="30"/>
      <c r="L2047" s="30"/>
      <c r="M2047" s="30"/>
      <c r="N2047" s="30"/>
      <c r="O2047" s="30"/>
      <c r="P2047" s="30"/>
      <c r="Q2047" s="30"/>
      <c r="R2047" s="30"/>
      <c r="S2047" s="30"/>
      <c r="T2047" s="30"/>
      <c r="U2047" s="21" t="str">
        <f aca="false">IF(COUNT(K2047:T2047)=0,"SOURCE EMPTY / INDUSTRIAL ONLY",IF(MIN(K2047:T2047)=1,"SERVICE READY","HOLD"))</f>
        <v>SOURCE EMPTY / INDUSTRIAL ONLY</v>
      </c>
      <c r="V2047" s="9" t="n">
        <f aca="false">IF(U2047="SERVICE READY",1,0)</f>
        <v>0</v>
      </c>
      <c r="W2047" s="6"/>
      <c r="X2047" s="6"/>
      <c r="Y2047" s="6"/>
      <c r="Z2047" s="6"/>
    </row>
    <row r="2048" customFormat="false" ht="15" hidden="false" customHeight="false" outlineLevel="0" collapsed="false">
      <c r="A2048" s="9" t="s">
        <v>2304</v>
      </c>
      <c r="B2048" s="9" t="s">
        <v>2302</v>
      </c>
      <c r="C2048" s="9" t="s">
        <v>2303</v>
      </c>
      <c r="D2048" s="9" t="s">
        <v>2185</v>
      </c>
      <c r="E2048" s="9" t="s">
        <v>2027</v>
      </c>
      <c r="F2048" s="9" t="s">
        <v>200</v>
      </c>
      <c r="G2048" s="9" t="s">
        <v>201</v>
      </c>
      <c r="H2048" s="9" t="n">
        <v>6600</v>
      </c>
      <c r="I2048" s="29" t="n">
        <v>2</v>
      </c>
      <c r="J2048" s="9" t="n">
        <v>1</v>
      </c>
      <c r="K2048" s="30"/>
      <c r="L2048" s="30"/>
      <c r="M2048" s="30"/>
      <c r="N2048" s="30"/>
      <c r="O2048" s="30"/>
      <c r="P2048" s="30"/>
      <c r="Q2048" s="30"/>
      <c r="R2048" s="30"/>
      <c r="S2048" s="30"/>
      <c r="T2048" s="30"/>
      <c r="U2048" s="21" t="str">
        <f aca="false">IF(COUNT(K2048:T2048)=0,"SOURCE EMPTY / INDUSTRIAL ONLY",IF(MIN(K2048:T2048)=1,"SERVICE READY","HOLD"))</f>
        <v>SOURCE EMPTY / INDUSTRIAL ONLY</v>
      </c>
      <c r="V2048" s="9" t="n">
        <f aca="false">IF(U2048="SERVICE READY",1,0)</f>
        <v>0</v>
      </c>
      <c r="W2048" s="6"/>
      <c r="X2048" s="6"/>
      <c r="Y2048" s="6"/>
      <c r="Z2048" s="6"/>
    </row>
    <row r="2049" customFormat="false" ht="15" hidden="false" customHeight="false" outlineLevel="0" collapsed="false">
      <c r="A2049" s="9" t="s">
        <v>2305</v>
      </c>
      <c r="B2049" s="9" t="s">
        <v>2302</v>
      </c>
      <c r="C2049" s="9" t="s">
        <v>2303</v>
      </c>
      <c r="D2049" s="9" t="s">
        <v>2185</v>
      </c>
      <c r="E2049" s="9" t="s">
        <v>2027</v>
      </c>
      <c r="F2049" s="9" t="s">
        <v>203</v>
      </c>
      <c r="G2049" s="9" t="s">
        <v>198</v>
      </c>
      <c r="H2049" s="9" t="n">
        <v>6600</v>
      </c>
      <c r="I2049" s="29" t="n">
        <v>2</v>
      </c>
      <c r="J2049" s="9" t="n">
        <v>1</v>
      </c>
      <c r="K2049" s="30"/>
      <c r="L2049" s="30"/>
      <c r="M2049" s="30"/>
      <c r="N2049" s="30"/>
      <c r="O2049" s="30"/>
      <c r="P2049" s="30"/>
      <c r="Q2049" s="30"/>
      <c r="R2049" s="30"/>
      <c r="S2049" s="30"/>
      <c r="T2049" s="30"/>
      <c r="U2049" s="21" t="str">
        <f aca="false">IF(COUNT(K2049:T2049)=0,"SOURCE EMPTY / INDUSTRIAL ONLY",IF(MIN(K2049:T2049)=1,"SERVICE READY","HOLD"))</f>
        <v>SOURCE EMPTY / INDUSTRIAL ONLY</v>
      </c>
      <c r="V2049" s="9" t="n">
        <f aca="false">IF(U2049="SERVICE READY",1,0)</f>
        <v>0</v>
      </c>
      <c r="W2049" s="6"/>
      <c r="X2049" s="6"/>
      <c r="Y2049" s="6"/>
      <c r="Z2049" s="6"/>
    </row>
    <row r="2050" customFormat="false" ht="15" hidden="false" customHeight="false" outlineLevel="0" collapsed="false">
      <c r="A2050" s="9" t="s">
        <v>2306</v>
      </c>
      <c r="B2050" s="9" t="s">
        <v>2302</v>
      </c>
      <c r="C2050" s="9" t="s">
        <v>2303</v>
      </c>
      <c r="D2050" s="9" t="s">
        <v>2185</v>
      </c>
      <c r="E2050" s="9" t="s">
        <v>2027</v>
      </c>
      <c r="F2050" s="9" t="s">
        <v>205</v>
      </c>
      <c r="G2050" s="9" t="s">
        <v>201</v>
      </c>
      <c r="H2050" s="9" t="n">
        <v>6600</v>
      </c>
      <c r="I2050" s="29" t="n">
        <v>2</v>
      </c>
      <c r="J2050" s="9" t="n">
        <v>1</v>
      </c>
      <c r="K2050" s="30"/>
      <c r="L2050" s="30"/>
      <c r="M2050" s="30"/>
      <c r="N2050" s="30"/>
      <c r="O2050" s="30"/>
      <c r="P2050" s="30"/>
      <c r="Q2050" s="30"/>
      <c r="R2050" s="30"/>
      <c r="S2050" s="30"/>
      <c r="T2050" s="30"/>
      <c r="U2050" s="21" t="str">
        <f aca="false">IF(COUNT(K2050:T2050)=0,"SOURCE EMPTY / INDUSTRIAL ONLY",IF(MIN(K2050:T2050)=1,"SERVICE READY","HOLD"))</f>
        <v>SOURCE EMPTY / INDUSTRIAL ONLY</v>
      </c>
      <c r="V2050" s="9" t="n">
        <f aca="false">IF(U2050="SERVICE READY",1,0)</f>
        <v>0</v>
      </c>
      <c r="W2050" s="6"/>
      <c r="X2050" s="6"/>
      <c r="Y2050" s="6"/>
      <c r="Z2050" s="6"/>
    </row>
    <row r="2051" customFormat="false" ht="15" hidden="false" customHeight="false" outlineLevel="0" collapsed="false">
      <c r="A2051" s="9" t="s">
        <v>2307</v>
      </c>
      <c r="B2051" s="9" t="s">
        <v>2302</v>
      </c>
      <c r="C2051" s="9" t="s">
        <v>2303</v>
      </c>
      <c r="D2051" s="9" t="s">
        <v>2185</v>
      </c>
      <c r="E2051" s="9" t="s">
        <v>2027</v>
      </c>
      <c r="F2051" s="9" t="s">
        <v>207</v>
      </c>
      <c r="G2051" s="9" t="s">
        <v>198</v>
      </c>
      <c r="H2051" s="9" t="n">
        <v>6600</v>
      </c>
      <c r="I2051" s="29" t="n">
        <v>2</v>
      </c>
      <c r="J2051" s="9" t="n">
        <v>1</v>
      </c>
      <c r="K2051" s="30"/>
      <c r="L2051" s="30"/>
      <c r="M2051" s="30"/>
      <c r="N2051" s="30"/>
      <c r="O2051" s="30"/>
      <c r="P2051" s="30"/>
      <c r="Q2051" s="30"/>
      <c r="R2051" s="30"/>
      <c r="S2051" s="30"/>
      <c r="T2051" s="30"/>
      <c r="U2051" s="21" t="str">
        <f aca="false">IF(COUNT(K2051:T2051)=0,"SOURCE EMPTY / INDUSTRIAL ONLY",IF(MIN(K2051:T2051)=1,"SERVICE READY","HOLD"))</f>
        <v>SOURCE EMPTY / INDUSTRIAL ONLY</v>
      </c>
      <c r="V2051" s="9" t="n">
        <f aca="false">IF(U2051="SERVICE READY",1,0)</f>
        <v>0</v>
      </c>
      <c r="W2051" s="6"/>
      <c r="X2051" s="6"/>
      <c r="Y2051" s="6"/>
      <c r="Z2051" s="6"/>
    </row>
    <row r="2052" customFormat="false" ht="15" hidden="false" customHeight="false" outlineLevel="0" collapsed="false">
      <c r="A2052" s="9" t="s">
        <v>2308</v>
      </c>
      <c r="B2052" s="9" t="s">
        <v>2302</v>
      </c>
      <c r="C2052" s="9" t="s">
        <v>2303</v>
      </c>
      <c r="D2052" s="9" t="s">
        <v>2185</v>
      </c>
      <c r="E2052" s="9" t="s">
        <v>2027</v>
      </c>
      <c r="F2052" s="9" t="s">
        <v>209</v>
      </c>
      <c r="G2052" s="9" t="s">
        <v>201</v>
      </c>
      <c r="H2052" s="9" t="n">
        <v>6600</v>
      </c>
      <c r="I2052" s="29" t="n">
        <v>2</v>
      </c>
      <c r="J2052" s="9" t="n">
        <v>1</v>
      </c>
      <c r="K2052" s="30"/>
      <c r="L2052" s="30"/>
      <c r="M2052" s="30"/>
      <c r="N2052" s="30"/>
      <c r="O2052" s="30"/>
      <c r="P2052" s="30"/>
      <c r="Q2052" s="30"/>
      <c r="R2052" s="30"/>
      <c r="S2052" s="30"/>
      <c r="T2052" s="30"/>
      <c r="U2052" s="21" t="str">
        <f aca="false">IF(COUNT(K2052:T2052)=0,"SOURCE EMPTY / INDUSTRIAL ONLY",IF(MIN(K2052:T2052)=1,"SERVICE READY","HOLD"))</f>
        <v>SOURCE EMPTY / INDUSTRIAL ONLY</v>
      </c>
      <c r="V2052" s="9" t="n">
        <f aca="false">IF(U2052="SERVICE READY",1,0)</f>
        <v>0</v>
      </c>
      <c r="W2052" s="6"/>
      <c r="X2052" s="6"/>
      <c r="Y2052" s="6"/>
      <c r="Z2052" s="6"/>
    </row>
    <row r="2053" customFormat="false" ht="15" hidden="false" customHeight="false" outlineLevel="0" collapsed="false">
      <c r="A2053" s="9" t="s">
        <v>2309</v>
      </c>
      <c r="B2053" s="9" t="s">
        <v>2302</v>
      </c>
      <c r="C2053" s="9" t="s">
        <v>2303</v>
      </c>
      <c r="D2053" s="9" t="s">
        <v>2185</v>
      </c>
      <c r="E2053" s="9" t="s">
        <v>2027</v>
      </c>
      <c r="F2053" s="9" t="s">
        <v>211</v>
      </c>
      <c r="G2053" s="9" t="s">
        <v>198</v>
      </c>
      <c r="H2053" s="9" t="n">
        <v>6600</v>
      </c>
      <c r="I2053" s="29" t="n">
        <v>2</v>
      </c>
      <c r="J2053" s="9" t="n">
        <v>1</v>
      </c>
      <c r="K2053" s="30"/>
      <c r="L2053" s="30"/>
      <c r="M2053" s="30"/>
      <c r="N2053" s="30"/>
      <c r="O2053" s="30"/>
      <c r="P2053" s="30"/>
      <c r="Q2053" s="30"/>
      <c r="R2053" s="30"/>
      <c r="S2053" s="30"/>
      <c r="T2053" s="30"/>
      <c r="U2053" s="21" t="str">
        <f aca="false">IF(COUNT(K2053:T2053)=0,"SOURCE EMPTY / INDUSTRIAL ONLY",IF(MIN(K2053:T2053)=1,"SERVICE READY","HOLD"))</f>
        <v>SOURCE EMPTY / INDUSTRIAL ONLY</v>
      </c>
      <c r="V2053" s="9" t="n">
        <f aca="false">IF(U2053="SERVICE READY",1,0)</f>
        <v>0</v>
      </c>
      <c r="W2053" s="6"/>
      <c r="X2053" s="6"/>
      <c r="Y2053" s="6"/>
      <c r="Z2053" s="6"/>
    </row>
    <row r="2054" customFormat="false" ht="15" hidden="false" customHeight="false" outlineLevel="0" collapsed="false">
      <c r="A2054" s="9" t="s">
        <v>2310</v>
      </c>
      <c r="B2054" s="9" t="s">
        <v>2302</v>
      </c>
      <c r="C2054" s="9" t="s">
        <v>2303</v>
      </c>
      <c r="D2054" s="9" t="s">
        <v>2185</v>
      </c>
      <c r="E2054" s="9" t="s">
        <v>2027</v>
      </c>
      <c r="F2054" s="9" t="s">
        <v>197</v>
      </c>
      <c r="G2054" s="9" t="s">
        <v>201</v>
      </c>
      <c r="H2054" s="9" t="n">
        <v>6600</v>
      </c>
      <c r="I2054" s="29" t="n">
        <v>2</v>
      </c>
      <c r="J2054" s="9" t="n">
        <v>1</v>
      </c>
      <c r="K2054" s="30"/>
      <c r="L2054" s="30"/>
      <c r="M2054" s="30"/>
      <c r="N2054" s="30"/>
      <c r="O2054" s="30"/>
      <c r="P2054" s="30"/>
      <c r="Q2054" s="30"/>
      <c r="R2054" s="30"/>
      <c r="S2054" s="30"/>
      <c r="T2054" s="30"/>
      <c r="U2054" s="21" t="str">
        <f aca="false">IF(COUNT(K2054:T2054)=0,"SOURCE EMPTY / INDUSTRIAL ONLY",IF(MIN(K2054:T2054)=1,"SERVICE READY","HOLD"))</f>
        <v>SOURCE EMPTY / INDUSTRIAL ONLY</v>
      </c>
      <c r="V2054" s="9" t="n">
        <f aca="false">IF(U2054="SERVICE READY",1,0)</f>
        <v>0</v>
      </c>
      <c r="W2054" s="6"/>
      <c r="X2054" s="6"/>
      <c r="Y2054" s="6"/>
      <c r="Z2054" s="6"/>
    </row>
    <row r="2055" customFormat="false" ht="15" hidden="false" customHeight="false" outlineLevel="0" collapsed="false">
      <c r="A2055" s="9" t="s">
        <v>2311</v>
      </c>
      <c r="B2055" s="9" t="s">
        <v>2302</v>
      </c>
      <c r="C2055" s="9" t="s">
        <v>2303</v>
      </c>
      <c r="D2055" s="9" t="s">
        <v>2185</v>
      </c>
      <c r="E2055" s="9" t="s">
        <v>2027</v>
      </c>
      <c r="F2055" s="9" t="s">
        <v>200</v>
      </c>
      <c r="G2055" s="9" t="s">
        <v>198</v>
      </c>
      <c r="H2055" s="9" t="n">
        <v>6600</v>
      </c>
      <c r="I2055" s="29" t="n">
        <v>2</v>
      </c>
      <c r="J2055" s="9" t="n">
        <v>1</v>
      </c>
      <c r="K2055" s="30"/>
      <c r="L2055" s="30"/>
      <c r="M2055" s="30"/>
      <c r="N2055" s="30"/>
      <c r="O2055" s="30"/>
      <c r="P2055" s="30"/>
      <c r="Q2055" s="30"/>
      <c r="R2055" s="30"/>
      <c r="S2055" s="30"/>
      <c r="T2055" s="30"/>
      <c r="U2055" s="21" t="str">
        <f aca="false">IF(COUNT(K2055:T2055)=0,"SOURCE EMPTY / INDUSTRIAL ONLY",IF(MIN(K2055:T2055)=1,"SERVICE READY","HOLD"))</f>
        <v>SOURCE EMPTY / INDUSTRIAL ONLY</v>
      </c>
      <c r="V2055" s="9" t="n">
        <f aca="false">IF(U2055="SERVICE READY",1,0)</f>
        <v>0</v>
      </c>
      <c r="W2055" s="6"/>
      <c r="X2055" s="6"/>
      <c r="Y2055" s="6"/>
      <c r="Z2055" s="6"/>
    </row>
    <row r="2056" customFormat="false" ht="15" hidden="false" customHeight="false" outlineLevel="0" collapsed="false">
      <c r="A2056" s="9" t="s">
        <v>2312</v>
      </c>
      <c r="B2056" s="9" t="s">
        <v>2302</v>
      </c>
      <c r="C2056" s="9" t="s">
        <v>2303</v>
      </c>
      <c r="D2056" s="9" t="s">
        <v>2185</v>
      </c>
      <c r="E2056" s="9" t="s">
        <v>2027</v>
      </c>
      <c r="F2056" s="9" t="s">
        <v>203</v>
      </c>
      <c r="G2056" s="9" t="s">
        <v>201</v>
      </c>
      <c r="H2056" s="9" t="n">
        <v>6600</v>
      </c>
      <c r="I2056" s="29" t="n">
        <v>2</v>
      </c>
      <c r="J2056" s="9" t="n">
        <v>1</v>
      </c>
      <c r="K2056" s="30"/>
      <c r="L2056" s="30"/>
      <c r="M2056" s="30"/>
      <c r="N2056" s="30"/>
      <c r="O2056" s="30"/>
      <c r="P2056" s="30"/>
      <c r="Q2056" s="30"/>
      <c r="R2056" s="30"/>
      <c r="S2056" s="30"/>
      <c r="T2056" s="30"/>
      <c r="U2056" s="21" t="str">
        <f aca="false">IF(COUNT(K2056:T2056)=0,"SOURCE EMPTY / INDUSTRIAL ONLY",IF(MIN(K2056:T2056)=1,"SERVICE READY","HOLD"))</f>
        <v>SOURCE EMPTY / INDUSTRIAL ONLY</v>
      </c>
      <c r="V2056" s="9" t="n">
        <f aca="false">IF(U2056="SERVICE READY",1,0)</f>
        <v>0</v>
      </c>
      <c r="W2056" s="6"/>
      <c r="X2056" s="6"/>
      <c r="Y2056" s="6"/>
      <c r="Z2056" s="6"/>
    </row>
    <row r="2057" customFormat="false" ht="15" hidden="false" customHeight="false" outlineLevel="0" collapsed="false">
      <c r="A2057" s="9" t="s">
        <v>2313</v>
      </c>
      <c r="B2057" s="9" t="s">
        <v>2302</v>
      </c>
      <c r="C2057" s="9" t="s">
        <v>2303</v>
      </c>
      <c r="D2057" s="9" t="s">
        <v>2185</v>
      </c>
      <c r="E2057" s="9" t="s">
        <v>2027</v>
      </c>
      <c r="F2057" s="9" t="s">
        <v>205</v>
      </c>
      <c r="G2057" s="9" t="s">
        <v>198</v>
      </c>
      <c r="H2057" s="9" t="n">
        <v>6600</v>
      </c>
      <c r="I2057" s="29" t="n">
        <v>2</v>
      </c>
      <c r="J2057" s="9" t="n">
        <v>1</v>
      </c>
      <c r="K2057" s="30"/>
      <c r="L2057" s="30"/>
      <c r="M2057" s="30"/>
      <c r="N2057" s="30"/>
      <c r="O2057" s="30"/>
      <c r="P2057" s="30"/>
      <c r="Q2057" s="30"/>
      <c r="R2057" s="30"/>
      <c r="S2057" s="30"/>
      <c r="T2057" s="30"/>
      <c r="U2057" s="21" t="str">
        <f aca="false">IF(COUNT(K2057:T2057)=0,"SOURCE EMPTY / INDUSTRIAL ONLY",IF(MIN(K2057:T2057)=1,"SERVICE READY","HOLD"))</f>
        <v>SOURCE EMPTY / INDUSTRIAL ONLY</v>
      </c>
      <c r="V2057" s="9" t="n">
        <f aca="false">IF(U2057="SERVICE READY",1,0)</f>
        <v>0</v>
      </c>
      <c r="W2057" s="6"/>
      <c r="X2057" s="6"/>
      <c r="Y2057" s="6"/>
      <c r="Z2057" s="6"/>
    </row>
    <row r="2058" customFormat="false" ht="15" hidden="false" customHeight="false" outlineLevel="0" collapsed="false">
      <c r="A2058" s="9" t="s">
        <v>2314</v>
      </c>
      <c r="B2058" s="9" t="s">
        <v>2302</v>
      </c>
      <c r="C2058" s="9" t="s">
        <v>2303</v>
      </c>
      <c r="D2058" s="9" t="s">
        <v>2185</v>
      </c>
      <c r="E2058" s="9" t="s">
        <v>2027</v>
      </c>
      <c r="F2058" s="9" t="s">
        <v>207</v>
      </c>
      <c r="G2058" s="9" t="s">
        <v>201</v>
      </c>
      <c r="H2058" s="9" t="n">
        <v>6600</v>
      </c>
      <c r="I2058" s="29" t="n">
        <v>2</v>
      </c>
      <c r="J2058" s="9" t="n">
        <v>1</v>
      </c>
      <c r="K2058" s="30"/>
      <c r="L2058" s="30"/>
      <c r="M2058" s="30"/>
      <c r="N2058" s="30"/>
      <c r="O2058" s="30"/>
      <c r="P2058" s="30"/>
      <c r="Q2058" s="30"/>
      <c r="R2058" s="30"/>
      <c r="S2058" s="30"/>
      <c r="T2058" s="30"/>
      <c r="U2058" s="21" t="str">
        <f aca="false">IF(COUNT(K2058:T2058)=0,"SOURCE EMPTY / INDUSTRIAL ONLY",IF(MIN(K2058:T2058)=1,"SERVICE READY","HOLD"))</f>
        <v>SOURCE EMPTY / INDUSTRIAL ONLY</v>
      </c>
      <c r="V2058" s="9" t="n">
        <f aca="false">IF(U2058="SERVICE READY",1,0)</f>
        <v>0</v>
      </c>
      <c r="W2058" s="6"/>
      <c r="X2058" s="6"/>
      <c r="Y2058" s="6"/>
      <c r="Z2058" s="6"/>
    </row>
    <row r="2059" customFormat="false" ht="15" hidden="false" customHeight="false" outlineLevel="0" collapsed="false">
      <c r="A2059" s="9" t="s">
        <v>2315</v>
      </c>
      <c r="B2059" s="9" t="s">
        <v>2302</v>
      </c>
      <c r="C2059" s="9" t="s">
        <v>2303</v>
      </c>
      <c r="D2059" s="9" t="s">
        <v>2185</v>
      </c>
      <c r="E2059" s="9" t="s">
        <v>2027</v>
      </c>
      <c r="F2059" s="9" t="s">
        <v>209</v>
      </c>
      <c r="G2059" s="9" t="s">
        <v>198</v>
      </c>
      <c r="H2059" s="9" t="n">
        <v>6600</v>
      </c>
      <c r="I2059" s="29" t="n">
        <v>2</v>
      </c>
      <c r="J2059" s="9" t="n">
        <v>1</v>
      </c>
      <c r="K2059" s="30"/>
      <c r="L2059" s="30"/>
      <c r="M2059" s="30"/>
      <c r="N2059" s="30"/>
      <c r="O2059" s="30"/>
      <c r="P2059" s="30"/>
      <c r="Q2059" s="30"/>
      <c r="R2059" s="30"/>
      <c r="S2059" s="30"/>
      <c r="T2059" s="30"/>
      <c r="U2059" s="21" t="str">
        <f aca="false">IF(COUNT(K2059:T2059)=0,"SOURCE EMPTY / INDUSTRIAL ONLY",IF(MIN(K2059:T2059)=1,"SERVICE READY","HOLD"))</f>
        <v>SOURCE EMPTY / INDUSTRIAL ONLY</v>
      </c>
      <c r="V2059" s="9" t="n">
        <f aca="false">IF(U2059="SERVICE READY",1,0)</f>
        <v>0</v>
      </c>
      <c r="W2059" s="6"/>
      <c r="X2059" s="6"/>
      <c r="Y2059" s="6"/>
      <c r="Z2059" s="6"/>
    </row>
    <row r="2060" customFormat="false" ht="15" hidden="false" customHeight="false" outlineLevel="0" collapsed="false">
      <c r="A2060" s="9" t="s">
        <v>2316</v>
      </c>
      <c r="B2060" s="9" t="s">
        <v>2302</v>
      </c>
      <c r="C2060" s="9" t="s">
        <v>2303</v>
      </c>
      <c r="D2060" s="9" t="s">
        <v>2185</v>
      </c>
      <c r="E2060" s="9" t="s">
        <v>2027</v>
      </c>
      <c r="F2060" s="9" t="s">
        <v>211</v>
      </c>
      <c r="G2060" s="9" t="s">
        <v>201</v>
      </c>
      <c r="H2060" s="9" t="n">
        <v>6600</v>
      </c>
      <c r="I2060" s="29" t="n">
        <v>2</v>
      </c>
      <c r="J2060" s="9" t="n">
        <v>1</v>
      </c>
      <c r="K2060" s="30"/>
      <c r="L2060" s="30"/>
      <c r="M2060" s="30"/>
      <c r="N2060" s="30"/>
      <c r="O2060" s="30"/>
      <c r="P2060" s="30"/>
      <c r="Q2060" s="30"/>
      <c r="R2060" s="30"/>
      <c r="S2060" s="30"/>
      <c r="T2060" s="30"/>
      <c r="U2060" s="21" t="str">
        <f aca="false">IF(COUNT(K2060:T2060)=0,"SOURCE EMPTY / INDUSTRIAL ONLY",IF(MIN(K2060:T2060)=1,"SERVICE READY","HOLD"))</f>
        <v>SOURCE EMPTY / INDUSTRIAL ONLY</v>
      </c>
      <c r="V2060" s="9" t="n">
        <f aca="false">IF(U2060="SERVICE READY",1,0)</f>
        <v>0</v>
      </c>
      <c r="W2060" s="6"/>
      <c r="X2060" s="6"/>
      <c r="Y2060" s="6"/>
      <c r="Z2060" s="6"/>
    </row>
    <row r="2061" customFormat="false" ht="15" hidden="false" customHeight="false" outlineLevel="0" collapsed="false">
      <c r="A2061" s="9" t="s">
        <v>2317</v>
      </c>
      <c r="B2061" s="9" t="s">
        <v>2302</v>
      </c>
      <c r="C2061" s="9" t="s">
        <v>2303</v>
      </c>
      <c r="D2061" s="9" t="s">
        <v>2185</v>
      </c>
      <c r="E2061" s="9" t="s">
        <v>2027</v>
      </c>
      <c r="F2061" s="9" t="s">
        <v>197</v>
      </c>
      <c r="G2061" s="9" t="s">
        <v>198</v>
      </c>
      <c r="H2061" s="9" t="n">
        <v>6600</v>
      </c>
      <c r="I2061" s="29" t="n">
        <v>2</v>
      </c>
      <c r="J2061" s="9" t="n">
        <v>1</v>
      </c>
      <c r="K2061" s="30"/>
      <c r="L2061" s="30"/>
      <c r="M2061" s="30"/>
      <c r="N2061" s="30"/>
      <c r="O2061" s="30"/>
      <c r="P2061" s="30"/>
      <c r="Q2061" s="30"/>
      <c r="R2061" s="30"/>
      <c r="S2061" s="30"/>
      <c r="T2061" s="30"/>
      <c r="U2061" s="21" t="str">
        <f aca="false">IF(COUNT(K2061:T2061)=0,"SOURCE EMPTY / INDUSTRIAL ONLY",IF(MIN(K2061:T2061)=1,"SERVICE READY","HOLD"))</f>
        <v>SOURCE EMPTY / INDUSTRIAL ONLY</v>
      </c>
      <c r="V2061" s="9" t="n">
        <f aca="false">IF(U2061="SERVICE READY",1,0)</f>
        <v>0</v>
      </c>
      <c r="W2061" s="6"/>
      <c r="X2061" s="6"/>
      <c r="Y2061" s="6"/>
      <c r="Z2061" s="6"/>
    </row>
    <row r="2062" customFormat="false" ht="15" hidden="false" customHeight="false" outlineLevel="0" collapsed="false">
      <c r="A2062" s="9" t="s">
        <v>2318</v>
      </c>
      <c r="B2062" s="9" t="s">
        <v>2302</v>
      </c>
      <c r="C2062" s="9" t="s">
        <v>2303</v>
      </c>
      <c r="D2062" s="9" t="s">
        <v>2185</v>
      </c>
      <c r="E2062" s="9" t="s">
        <v>2027</v>
      </c>
      <c r="F2062" s="9" t="s">
        <v>200</v>
      </c>
      <c r="G2062" s="9" t="s">
        <v>201</v>
      </c>
      <c r="H2062" s="9" t="n">
        <v>6600</v>
      </c>
      <c r="I2062" s="29" t="n">
        <v>2</v>
      </c>
      <c r="J2062" s="9" t="n">
        <v>1</v>
      </c>
      <c r="K2062" s="30"/>
      <c r="L2062" s="30"/>
      <c r="M2062" s="30"/>
      <c r="N2062" s="30"/>
      <c r="O2062" s="30"/>
      <c r="P2062" s="30"/>
      <c r="Q2062" s="30"/>
      <c r="R2062" s="30"/>
      <c r="S2062" s="30"/>
      <c r="T2062" s="30"/>
      <c r="U2062" s="21" t="str">
        <f aca="false">IF(COUNT(K2062:T2062)=0,"SOURCE EMPTY / INDUSTRIAL ONLY",IF(MIN(K2062:T2062)=1,"SERVICE READY","HOLD"))</f>
        <v>SOURCE EMPTY / INDUSTRIAL ONLY</v>
      </c>
      <c r="V2062" s="9" t="n">
        <f aca="false">IF(U2062="SERVICE READY",1,0)</f>
        <v>0</v>
      </c>
      <c r="W2062" s="6"/>
      <c r="X2062" s="6"/>
      <c r="Y2062" s="6"/>
      <c r="Z2062" s="6"/>
    </row>
    <row r="2063" customFormat="false" ht="15" hidden="false" customHeight="false" outlineLevel="0" collapsed="false">
      <c r="A2063" s="9" t="s">
        <v>2319</v>
      </c>
      <c r="B2063" s="9" t="s">
        <v>2302</v>
      </c>
      <c r="C2063" s="9" t="s">
        <v>2303</v>
      </c>
      <c r="D2063" s="9" t="s">
        <v>2185</v>
      </c>
      <c r="E2063" s="9" t="s">
        <v>2027</v>
      </c>
      <c r="F2063" s="9" t="s">
        <v>203</v>
      </c>
      <c r="G2063" s="9" t="s">
        <v>198</v>
      </c>
      <c r="H2063" s="9" t="n">
        <v>6600</v>
      </c>
      <c r="I2063" s="29" t="n">
        <v>2</v>
      </c>
      <c r="J2063" s="9" t="n">
        <v>1</v>
      </c>
      <c r="K2063" s="30"/>
      <c r="L2063" s="30"/>
      <c r="M2063" s="30"/>
      <c r="N2063" s="30"/>
      <c r="O2063" s="30"/>
      <c r="P2063" s="30"/>
      <c r="Q2063" s="30"/>
      <c r="R2063" s="30"/>
      <c r="S2063" s="30"/>
      <c r="T2063" s="30"/>
      <c r="U2063" s="21" t="str">
        <f aca="false">IF(COUNT(K2063:T2063)=0,"SOURCE EMPTY / INDUSTRIAL ONLY",IF(MIN(K2063:T2063)=1,"SERVICE READY","HOLD"))</f>
        <v>SOURCE EMPTY / INDUSTRIAL ONLY</v>
      </c>
      <c r="V2063" s="9" t="n">
        <f aca="false">IF(U2063="SERVICE READY",1,0)</f>
        <v>0</v>
      </c>
      <c r="W2063" s="6"/>
      <c r="X2063" s="6"/>
      <c r="Y2063" s="6"/>
      <c r="Z2063" s="6"/>
    </row>
    <row r="2064" customFormat="false" ht="15" hidden="false" customHeight="false" outlineLevel="0" collapsed="false">
      <c r="A2064" s="9" t="s">
        <v>2320</v>
      </c>
      <c r="B2064" s="9" t="s">
        <v>2302</v>
      </c>
      <c r="C2064" s="9" t="s">
        <v>2303</v>
      </c>
      <c r="D2064" s="9" t="s">
        <v>2185</v>
      </c>
      <c r="E2064" s="9" t="s">
        <v>2027</v>
      </c>
      <c r="F2064" s="9" t="s">
        <v>205</v>
      </c>
      <c r="G2064" s="9" t="s">
        <v>201</v>
      </c>
      <c r="H2064" s="9" t="n">
        <v>6600</v>
      </c>
      <c r="I2064" s="29" t="n">
        <v>2</v>
      </c>
      <c r="J2064" s="9" t="n">
        <v>1</v>
      </c>
      <c r="K2064" s="30"/>
      <c r="L2064" s="30"/>
      <c r="M2064" s="30"/>
      <c r="N2064" s="30"/>
      <c r="O2064" s="30"/>
      <c r="P2064" s="30"/>
      <c r="Q2064" s="30"/>
      <c r="R2064" s="30"/>
      <c r="S2064" s="30"/>
      <c r="T2064" s="30"/>
      <c r="U2064" s="21" t="str">
        <f aca="false">IF(COUNT(K2064:T2064)=0,"SOURCE EMPTY / INDUSTRIAL ONLY",IF(MIN(K2064:T2064)=1,"SERVICE READY","HOLD"))</f>
        <v>SOURCE EMPTY / INDUSTRIAL ONLY</v>
      </c>
      <c r="V2064" s="9" t="n">
        <f aca="false">IF(U2064="SERVICE READY",1,0)</f>
        <v>0</v>
      </c>
      <c r="W2064" s="6"/>
      <c r="X2064" s="6"/>
      <c r="Y2064" s="6"/>
      <c r="Z2064" s="6"/>
    </row>
    <row r="2065" customFormat="false" ht="15" hidden="false" customHeight="false" outlineLevel="0" collapsed="false">
      <c r="A2065" s="9" t="s">
        <v>2321</v>
      </c>
      <c r="B2065" s="9" t="s">
        <v>2302</v>
      </c>
      <c r="C2065" s="9" t="s">
        <v>2303</v>
      </c>
      <c r="D2065" s="9" t="s">
        <v>2185</v>
      </c>
      <c r="E2065" s="9" t="s">
        <v>2027</v>
      </c>
      <c r="F2065" s="9" t="s">
        <v>207</v>
      </c>
      <c r="G2065" s="9" t="s">
        <v>198</v>
      </c>
      <c r="H2065" s="9" t="n">
        <v>6600</v>
      </c>
      <c r="I2065" s="29" t="n">
        <v>2</v>
      </c>
      <c r="J2065" s="9" t="n">
        <v>1</v>
      </c>
      <c r="K2065" s="30"/>
      <c r="L2065" s="30"/>
      <c r="M2065" s="30"/>
      <c r="N2065" s="30"/>
      <c r="O2065" s="30"/>
      <c r="P2065" s="30"/>
      <c r="Q2065" s="30"/>
      <c r="R2065" s="30"/>
      <c r="S2065" s="30"/>
      <c r="T2065" s="30"/>
      <c r="U2065" s="21" t="str">
        <f aca="false">IF(COUNT(K2065:T2065)=0,"SOURCE EMPTY / INDUSTRIAL ONLY",IF(MIN(K2065:T2065)=1,"SERVICE READY","HOLD"))</f>
        <v>SOURCE EMPTY / INDUSTRIAL ONLY</v>
      </c>
      <c r="V2065" s="9" t="n">
        <f aca="false">IF(U2065="SERVICE READY",1,0)</f>
        <v>0</v>
      </c>
      <c r="W2065" s="6"/>
      <c r="X2065" s="6"/>
      <c r="Y2065" s="6"/>
      <c r="Z2065" s="6"/>
    </row>
    <row r="2066" customFormat="false" ht="15" hidden="false" customHeight="false" outlineLevel="0" collapsed="false">
      <c r="A2066" s="9" t="s">
        <v>2322</v>
      </c>
      <c r="B2066" s="9" t="s">
        <v>2302</v>
      </c>
      <c r="C2066" s="9" t="s">
        <v>2303</v>
      </c>
      <c r="D2066" s="9" t="s">
        <v>2185</v>
      </c>
      <c r="E2066" s="9" t="s">
        <v>2027</v>
      </c>
      <c r="F2066" s="9" t="s">
        <v>209</v>
      </c>
      <c r="G2066" s="9" t="s">
        <v>201</v>
      </c>
      <c r="H2066" s="9" t="n">
        <v>6600</v>
      </c>
      <c r="I2066" s="29" t="n">
        <v>2</v>
      </c>
      <c r="J2066" s="9" t="n">
        <v>1</v>
      </c>
      <c r="K2066" s="30"/>
      <c r="L2066" s="30"/>
      <c r="M2066" s="30"/>
      <c r="N2066" s="30"/>
      <c r="O2066" s="30"/>
      <c r="P2066" s="30"/>
      <c r="Q2066" s="30"/>
      <c r="R2066" s="30"/>
      <c r="S2066" s="30"/>
      <c r="T2066" s="30"/>
      <c r="U2066" s="21" t="str">
        <f aca="false">IF(COUNT(K2066:T2066)=0,"SOURCE EMPTY / INDUSTRIAL ONLY",IF(MIN(K2066:T2066)=1,"SERVICE READY","HOLD"))</f>
        <v>SOURCE EMPTY / INDUSTRIAL ONLY</v>
      </c>
      <c r="V2066" s="9" t="n">
        <f aca="false">IF(U2066="SERVICE READY",1,0)</f>
        <v>0</v>
      </c>
      <c r="W2066" s="6"/>
      <c r="X2066" s="6"/>
      <c r="Y2066" s="6"/>
      <c r="Z2066" s="6"/>
    </row>
    <row r="2067" customFormat="false" ht="15" hidden="false" customHeight="false" outlineLevel="0" collapsed="false">
      <c r="A2067" s="9" t="s">
        <v>2323</v>
      </c>
      <c r="B2067" s="9" t="s">
        <v>2302</v>
      </c>
      <c r="C2067" s="9" t="s">
        <v>2303</v>
      </c>
      <c r="D2067" s="9" t="s">
        <v>2185</v>
      </c>
      <c r="E2067" s="9" t="s">
        <v>2027</v>
      </c>
      <c r="F2067" s="9" t="s">
        <v>211</v>
      </c>
      <c r="G2067" s="9" t="s">
        <v>198</v>
      </c>
      <c r="H2067" s="9" t="n">
        <v>6600</v>
      </c>
      <c r="I2067" s="29" t="n">
        <v>2</v>
      </c>
      <c r="J2067" s="9" t="n">
        <v>1</v>
      </c>
      <c r="K2067" s="30"/>
      <c r="L2067" s="30"/>
      <c r="M2067" s="30"/>
      <c r="N2067" s="30"/>
      <c r="O2067" s="30"/>
      <c r="P2067" s="30"/>
      <c r="Q2067" s="30"/>
      <c r="R2067" s="30"/>
      <c r="S2067" s="30"/>
      <c r="T2067" s="30"/>
      <c r="U2067" s="21" t="str">
        <f aca="false">IF(COUNT(K2067:T2067)=0,"SOURCE EMPTY / INDUSTRIAL ONLY",IF(MIN(K2067:T2067)=1,"SERVICE READY","HOLD"))</f>
        <v>SOURCE EMPTY / INDUSTRIAL ONLY</v>
      </c>
      <c r="V2067" s="9" t="n">
        <f aca="false">IF(U2067="SERVICE READY",1,0)</f>
        <v>0</v>
      </c>
      <c r="W2067" s="6"/>
      <c r="X2067" s="6"/>
      <c r="Y2067" s="6"/>
      <c r="Z2067" s="6"/>
    </row>
    <row r="2068" customFormat="false" ht="15" hidden="false" customHeight="false" outlineLevel="0" collapsed="false">
      <c r="A2068" s="9" t="s">
        <v>2324</v>
      </c>
      <c r="B2068" s="9" t="s">
        <v>2302</v>
      </c>
      <c r="C2068" s="9" t="s">
        <v>2303</v>
      </c>
      <c r="D2068" s="9" t="s">
        <v>2185</v>
      </c>
      <c r="E2068" s="9" t="s">
        <v>2027</v>
      </c>
      <c r="F2068" s="9" t="s">
        <v>197</v>
      </c>
      <c r="G2068" s="9" t="s">
        <v>201</v>
      </c>
      <c r="H2068" s="9" t="n">
        <v>6600</v>
      </c>
      <c r="I2068" s="29" t="n">
        <v>2</v>
      </c>
      <c r="J2068" s="9" t="n">
        <v>1</v>
      </c>
      <c r="K2068" s="30"/>
      <c r="L2068" s="30"/>
      <c r="M2068" s="30"/>
      <c r="N2068" s="30"/>
      <c r="O2068" s="30"/>
      <c r="P2068" s="30"/>
      <c r="Q2068" s="30"/>
      <c r="R2068" s="30"/>
      <c r="S2068" s="30"/>
      <c r="T2068" s="30"/>
      <c r="U2068" s="21" t="str">
        <f aca="false">IF(COUNT(K2068:T2068)=0,"SOURCE EMPTY / INDUSTRIAL ONLY",IF(MIN(K2068:T2068)=1,"SERVICE READY","HOLD"))</f>
        <v>SOURCE EMPTY / INDUSTRIAL ONLY</v>
      </c>
      <c r="V2068" s="9" t="n">
        <f aca="false">IF(U2068="SERVICE READY",1,0)</f>
        <v>0</v>
      </c>
      <c r="W2068" s="6"/>
      <c r="X2068" s="6"/>
      <c r="Y2068" s="6"/>
      <c r="Z2068" s="6"/>
    </row>
    <row r="2069" customFormat="false" ht="15" hidden="false" customHeight="false" outlineLevel="0" collapsed="false">
      <c r="A2069" s="9" t="s">
        <v>2325</v>
      </c>
      <c r="B2069" s="9" t="s">
        <v>2302</v>
      </c>
      <c r="C2069" s="9" t="s">
        <v>2303</v>
      </c>
      <c r="D2069" s="9" t="s">
        <v>2185</v>
      </c>
      <c r="E2069" s="9" t="s">
        <v>2027</v>
      </c>
      <c r="F2069" s="9" t="s">
        <v>200</v>
      </c>
      <c r="G2069" s="9" t="s">
        <v>198</v>
      </c>
      <c r="H2069" s="9" t="n">
        <v>6600</v>
      </c>
      <c r="I2069" s="29" t="n">
        <v>2</v>
      </c>
      <c r="J2069" s="9" t="n">
        <v>1</v>
      </c>
      <c r="K2069" s="30"/>
      <c r="L2069" s="30"/>
      <c r="M2069" s="30"/>
      <c r="N2069" s="30"/>
      <c r="O2069" s="30"/>
      <c r="P2069" s="30"/>
      <c r="Q2069" s="30"/>
      <c r="R2069" s="30"/>
      <c r="S2069" s="30"/>
      <c r="T2069" s="30"/>
      <c r="U2069" s="21" t="str">
        <f aca="false">IF(COUNT(K2069:T2069)=0,"SOURCE EMPTY / INDUSTRIAL ONLY",IF(MIN(K2069:T2069)=1,"SERVICE READY","HOLD"))</f>
        <v>SOURCE EMPTY / INDUSTRIAL ONLY</v>
      </c>
      <c r="V2069" s="9" t="n">
        <f aca="false">IF(U2069="SERVICE READY",1,0)</f>
        <v>0</v>
      </c>
      <c r="W2069" s="6"/>
      <c r="X2069" s="6"/>
      <c r="Y2069" s="6"/>
      <c r="Z2069" s="6"/>
    </row>
    <row r="2070" customFormat="false" ht="15" hidden="false" customHeight="false" outlineLevel="0" collapsed="false">
      <c r="A2070" s="9" t="s">
        <v>2326</v>
      </c>
      <c r="B2070" s="9" t="s">
        <v>2302</v>
      </c>
      <c r="C2070" s="9" t="s">
        <v>2303</v>
      </c>
      <c r="D2070" s="9" t="s">
        <v>2185</v>
      </c>
      <c r="E2070" s="9" t="s">
        <v>2027</v>
      </c>
      <c r="F2070" s="9" t="s">
        <v>203</v>
      </c>
      <c r="G2070" s="9" t="s">
        <v>201</v>
      </c>
      <c r="H2070" s="9" t="n">
        <v>6600</v>
      </c>
      <c r="I2070" s="29" t="n">
        <v>2</v>
      </c>
      <c r="J2070" s="9" t="n">
        <v>1</v>
      </c>
      <c r="K2070" s="30"/>
      <c r="L2070" s="30"/>
      <c r="M2070" s="30"/>
      <c r="N2070" s="30"/>
      <c r="O2070" s="30"/>
      <c r="P2070" s="30"/>
      <c r="Q2070" s="30"/>
      <c r="R2070" s="30"/>
      <c r="S2070" s="30"/>
      <c r="T2070" s="30"/>
      <c r="U2070" s="21" t="str">
        <f aca="false">IF(COUNT(K2070:T2070)=0,"SOURCE EMPTY / INDUSTRIAL ONLY",IF(MIN(K2070:T2070)=1,"SERVICE READY","HOLD"))</f>
        <v>SOURCE EMPTY / INDUSTRIAL ONLY</v>
      </c>
      <c r="V2070" s="9" t="n">
        <f aca="false">IF(U2070="SERVICE READY",1,0)</f>
        <v>0</v>
      </c>
      <c r="W2070" s="6"/>
      <c r="X2070" s="6"/>
      <c r="Y2070" s="6"/>
      <c r="Z2070" s="6"/>
    </row>
    <row r="2071" customFormat="false" ht="15" hidden="false" customHeight="false" outlineLevel="0" collapsed="false">
      <c r="A2071" s="9" t="s">
        <v>2327</v>
      </c>
      <c r="B2071" s="9" t="s">
        <v>2302</v>
      </c>
      <c r="C2071" s="9" t="s">
        <v>2303</v>
      </c>
      <c r="D2071" s="9" t="s">
        <v>2185</v>
      </c>
      <c r="E2071" s="9" t="s">
        <v>2027</v>
      </c>
      <c r="F2071" s="9" t="s">
        <v>205</v>
      </c>
      <c r="G2071" s="9" t="s">
        <v>198</v>
      </c>
      <c r="H2071" s="9" t="n">
        <v>6600</v>
      </c>
      <c r="I2071" s="29" t="n">
        <v>2</v>
      </c>
      <c r="J2071" s="9" t="n">
        <v>1</v>
      </c>
      <c r="K2071" s="30"/>
      <c r="L2071" s="30"/>
      <c r="M2071" s="30"/>
      <c r="N2071" s="30"/>
      <c r="O2071" s="30"/>
      <c r="P2071" s="30"/>
      <c r="Q2071" s="30"/>
      <c r="R2071" s="30"/>
      <c r="S2071" s="30"/>
      <c r="T2071" s="30"/>
      <c r="U2071" s="21" t="str">
        <f aca="false">IF(COUNT(K2071:T2071)=0,"SOURCE EMPTY / INDUSTRIAL ONLY",IF(MIN(K2071:T2071)=1,"SERVICE READY","HOLD"))</f>
        <v>SOURCE EMPTY / INDUSTRIAL ONLY</v>
      </c>
      <c r="V2071" s="9" t="n">
        <f aca="false">IF(U2071="SERVICE READY",1,0)</f>
        <v>0</v>
      </c>
      <c r="W2071" s="6"/>
      <c r="X2071" s="6"/>
      <c r="Y2071" s="6"/>
      <c r="Z2071" s="6"/>
    </row>
    <row r="2072" customFormat="false" ht="15" hidden="false" customHeight="false" outlineLevel="0" collapsed="false">
      <c r="A2072" s="9" t="s">
        <v>2328</v>
      </c>
      <c r="B2072" s="9" t="s">
        <v>2302</v>
      </c>
      <c r="C2072" s="9" t="s">
        <v>2303</v>
      </c>
      <c r="D2072" s="9" t="s">
        <v>2185</v>
      </c>
      <c r="E2072" s="9" t="s">
        <v>2027</v>
      </c>
      <c r="F2072" s="9" t="s">
        <v>207</v>
      </c>
      <c r="G2072" s="9" t="s">
        <v>201</v>
      </c>
      <c r="H2072" s="9" t="n">
        <v>6600</v>
      </c>
      <c r="I2072" s="29" t="n">
        <v>2</v>
      </c>
      <c r="J2072" s="9" t="n">
        <v>1</v>
      </c>
      <c r="K2072" s="30"/>
      <c r="L2072" s="30"/>
      <c r="M2072" s="30"/>
      <c r="N2072" s="30"/>
      <c r="O2072" s="30"/>
      <c r="P2072" s="30"/>
      <c r="Q2072" s="30"/>
      <c r="R2072" s="30"/>
      <c r="S2072" s="30"/>
      <c r="T2072" s="30"/>
      <c r="U2072" s="21" t="str">
        <f aca="false">IF(COUNT(K2072:T2072)=0,"SOURCE EMPTY / INDUSTRIAL ONLY",IF(MIN(K2072:T2072)=1,"SERVICE READY","HOLD"))</f>
        <v>SOURCE EMPTY / INDUSTRIAL ONLY</v>
      </c>
      <c r="V2072" s="9" t="n">
        <f aca="false">IF(U2072="SERVICE READY",1,0)</f>
        <v>0</v>
      </c>
      <c r="W2072" s="6"/>
      <c r="X2072" s="6"/>
      <c r="Y2072" s="6"/>
      <c r="Z2072" s="6"/>
    </row>
    <row r="2073" customFormat="false" ht="15" hidden="false" customHeight="false" outlineLevel="0" collapsed="false">
      <c r="A2073" s="9" t="s">
        <v>2329</v>
      </c>
      <c r="B2073" s="9" t="s">
        <v>2302</v>
      </c>
      <c r="C2073" s="9" t="s">
        <v>2303</v>
      </c>
      <c r="D2073" s="9" t="s">
        <v>2185</v>
      </c>
      <c r="E2073" s="9" t="s">
        <v>2027</v>
      </c>
      <c r="F2073" s="9" t="s">
        <v>209</v>
      </c>
      <c r="G2073" s="9" t="s">
        <v>198</v>
      </c>
      <c r="H2073" s="9" t="n">
        <v>6600</v>
      </c>
      <c r="I2073" s="29" t="n">
        <v>2</v>
      </c>
      <c r="J2073" s="9" t="n">
        <v>1</v>
      </c>
      <c r="K2073" s="30"/>
      <c r="L2073" s="30"/>
      <c r="M2073" s="30"/>
      <c r="N2073" s="30"/>
      <c r="O2073" s="30"/>
      <c r="P2073" s="30"/>
      <c r="Q2073" s="30"/>
      <c r="R2073" s="30"/>
      <c r="S2073" s="30"/>
      <c r="T2073" s="30"/>
      <c r="U2073" s="21" t="str">
        <f aca="false">IF(COUNT(K2073:T2073)=0,"SOURCE EMPTY / INDUSTRIAL ONLY",IF(MIN(K2073:T2073)=1,"SERVICE READY","HOLD"))</f>
        <v>SOURCE EMPTY / INDUSTRIAL ONLY</v>
      </c>
      <c r="V2073" s="9" t="n">
        <f aca="false">IF(U2073="SERVICE READY",1,0)</f>
        <v>0</v>
      </c>
      <c r="W2073" s="6"/>
      <c r="X2073" s="6"/>
      <c r="Y2073" s="6"/>
      <c r="Z2073" s="6"/>
    </row>
    <row r="2074" customFormat="false" ht="15" hidden="false" customHeight="false" outlineLevel="0" collapsed="false">
      <c r="A2074" s="9" t="s">
        <v>2330</v>
      </c>
      <c r="B2074" s="9" t="s">
        <v>2302</v>
      </c>
      <c r="C2074" s="9" t="s">
        <v>2303</v>
      </c>
      <c r="D2074" s="9" t="s">
        <v>2185</v>
      </c>
      <c r="E2074" s="9" t="s">
        <v>2027</v>
      </c>
      <c r="F2074" s="9" t="s">
        <v>211</v>
      </c>
      <c r="G2074" s="9" t="s">
        <v>201</v>
      </c>
      <c r="H2074" s="9" t="n">
        <v>6600</v>
      </c>
      <c r="I2074" s="29" t="n">
        <v>2</v>
      </c>
      <c r="J2074" s="9" t="n">
        <v>1</v>
      </c>
      <c r="K2074" s="30"/>
      <c r="L2074" s="30"/>
      <c r="M2074" s="30"/>
      <c r="N2074" s="30"/>
      <c r="O2074" s="30"/>
      <c r="P2074" s="30"/>
      <c r="Q2074" s="30"/>
      <c r="R2074" s="30"/>
      <c r="S2074" s="30"/>
      <c r="T2074" s="30"/>
      <c r="U2074" s="21" t="str">
        <f aca="false">IF(COUNT(K2074:T2074)=0,"SOURCE EMPTY / INDUSTRIAL ONLY",IF(MIN(K2074:T2074)=1,"SERVICE READY","HOLD"))</f>
        <v>SOURCE EMPTY / INDUSTRIAL ONLY</v>
      </c>
      <c r="V2074" s="9" t="n">
        <f aca="false">IF(U2074="SERVICE READY",1,0)</f>
        <v>0</v>
      </c>
      <c r="W2074" s="6"/>
      <c r="X2074" s="6"/>
      <c r="Y2074" s="6"/>
      <c r="Z2074" s="6"/>
    </row>
    <row r="2075" customFormat="false" ht="15" hidden="false" customHeight="false" outlineLevel="0" collapsed="false">
      <c r="A2075" s="9" t="s">
        <v>2331</v>
      </c>
      <c r="B2075" s="9" t="s">
        <v>2302</v>
      </c>
      <c r="C2075" s="9" t="s">
        <v>2303</v>
      </c>
      <c r="D2075" s="9" t="s">
        <v>2185</v>
      </c>
      <c r="E2075" s="9" t="s">
        <v>2027</v>
      </c>
      <c r="F2075" s="9" t="s">
        <v>197</v>
      </c>
      <c r="G2075" s="9" t="s">
        <v>198</v>
      </c>
      <c r="H2075" s="9" t="n">
        <v>6600</v>
      </c>
      <c r="I2075" s="29" t="n">
        <v>2</v>
      </c>
      <c r="J2075" s="9" t="n">
        <v>1</v>
      </c>
      <c r="K2075" s="30"/>
      <c r="L2075" s="30"/>
      <c r="M2075" s="30"/>
      <c r="N2075" s="30"/>
      <c r="O2075" s="30"/>
      <c r="P2075" s="30"/>
      <c r="Q2075" s="30"/>
      <c r="R2075" s="30"/>
      <c r="S2075" s="30"/>
      <c r="T2075" s="30"/>
      <c r="U2075" s="21" t="str">
        <f aca="false">IF(COUNT(K2075:T2075)=0,"SOURCE EMPTY / INDUSTRIAL ONLY",IF(MIN(K2075:T2075)=1,"SERVICE READY","HOLD"))</f>
        <v>SOURCE EMPTY / INDUSTRIAL ONLY</v>
      </c>
      <c r="V2075" s="9" t="n">
        <f aca="false">IF(U2075="SERVICE READY",1,0)</f>
        <v>0</v>
      </c>
      <c r="W2075" s="6"/>
      <c r="X2075" s="6"/>
      <c r="Y2075" s="6"/>
      <c r="Z2075" s="6"/>
    </row>
    <row r="2076" customFormat="false" ht="15" hidden="false" customHeight="false" outlineLevel="0" collapsed="false">
      <c r="A2076" s="9" t="s">
        <v>2332</v>
      </c>
      <c r="B2076" s="9" t="s">
        <v>2302</v>
      </c>
      <c r="C2076" s="9" t="s">
        <v>2303</v>
      </c>
      <c r="D2076" s="9" t="s">
        <v>2185</v>
      </c>
      <c r="E2076" s="9" t="s">
        <v>2027</v>
      </c>
      <c r="F2076" s="9" t="s">
        <v>200</v>
      </c>
      <c r="G2076" s="9" t="s">
        <v>221</v>
      </c>
      <c r="H2076" s="9" t="n">
        <v>6600</v>
      </c>
      <c r="I2076" s="29" t="n">
        <v>2</v>
      </c>
      <c r="J2076" s="9" t="n">
        <v>1</v>
      </c>
      <c r="K2076" s="30"/>
      <c r="L2076" s="30"/>
      <c r="M2076" s="30"/>
      <c r="N2076" s="30"/>
      <c r="O2076" s="30"/>
      <c r="P2076" s="30"/>
      <c r="Q2076" s="30"/>
      <c r="R2076" s="30"/>
      <c r="S2076" s="30"/>
      <c r="T2076" s="30"/>
      <c r="U2076" s="21" t="str">
        <f aca="false">IF(COUNT(K2076:T2076)=0,"SOURCE EMPTY / INDUSTRIAL ONLY",IF(MIN(K2076:T2076)=1,"SERVICE READY","HOLD"))</f>
        <v>SOURCE EMPTY / INDUSTRIAL ONLY</v>
      </c>
      <c r="V2076" s="9" t="n">
        <f aca="false">IF(U2076="SERVICE READY",1,0)</f>
        <v>0</v>
      </c>
      <c r="W2076" s="6"/>
      <c r="X2076" s="6"/>
      <c r="Y2076" s="6"/>
      <c r="Z2076" s="6"/>
    </row>
    <row r="2077" customFormat="false" ht="15" hidden="false" customHeight="false" outlineLevel="0" collapsed="false">
      <c r="A2077" s="9" t="s">
        <v>2333</v>
      </c>
      <c r="B2077" s="9" t="s">
        <v>2302</v>
      </c>
      <c r="C2077" s="9" t="s">
        <v>2303</v>
      </c>
      <c r="D2077" s="9" t="s">
        <v>2185</v>
      </c>
      <c r="E2077" s="9" t="s">
        <v>2027</v>
      </c>
      <c r="F2077" s="9" t="s">
        <v>203</v>
      </c>
      <c r="G2077" s="9" t="s">
        <v>221</v>
      </c>
      <c r="H2077" s="9" t="n">
        <v>6600</v>
      </c>
      <c r="I2077" s="29" t="n">
        <v>2</v>
      </c>
      <c r="J2077" s="9" t="n">
        <v>1</v>
      </c>
      <c r="K2077" s="30"/>
      <c r="L2077" s="30"/>
      <c r="M2077" s="30"/>
      <c r="N2077" s="30"/>
      <c r="O2077" s="30"/>
      <c r="P2077" s="30"/>
      <c r="Q2077" s="30"/>
      <c r="R2077" s="30"/>
      <c r="S2077" s="30"/>
      <c r="T2077" s="30"/>
      <c r="U2077" s="21" t="str">
        <f aca="false">IF(COUNT(K2077:T2077)=0,"SOURCE EMPTY / INDUSTRIAL ONLY",IF(MIN(K2077:T2077)=1,"SERVICE READY","HOLD"))</f>
        <v>SOURCE EMPTY / INDUSTRIAL ONLY</v>
      </c>
      <c r="V2077" s="9" t="n">
        <f aca="false">IF(U2077="SERVICE READY",1,0)</f>
        <v>0</v>
      </c>
      <c r="W2077" s="6"/>
      <c r="X2077" s="6"/>
      <c r="Y2077" s="6"/>
      <c r="Z2077" s="6"/>
    </row>
    <row r="2078" customFormat="false" ht="15" hidden="false" customHeight="false" outlineLevel="0" collapsed="false">
      <c r="A2078" s="9" t="s">
        <v>2334</v>
      </c>
      <c r="B2078" s="9" t="s">
        <v>2302</v>
      </c>
      <c r="C2078" s="9" t="s">
        <v>2303</v>
      </c>
      <c r="D2078" s="9" t="s">
        <v>2185</v>
      </c>
      <c r="E2078" s="9" t="s">
        <v>2027</v>
      </c>
      <c r="F2078" s="9" t="s">
        <v>205</v>
      </c>
      <c r="G2078" s="9" t="s">
        <v>221</v>
      </c>
      <c r="H2078" s="9" t="n">
        <v>6600</v>
      </c>
      <c r="I2078" s="29" t="n">
        <v>2</v>
      </c>
      <c r="J2078" s="9" t="n">
        <v>1</v>
      </c>
      <c r="K2078" s="30"/>
      <c r="L2078" s="30"/>
      <c r="M2078" s="30"/>
      <c r="N2078" s="30"/>
      <c r="O2078" s="30"/>
      <c r="P2078" s="30"/>
      <c r="Q2078" s="30"/>
      <c r="R2078" s="30"/>
      <c r="S2078" s="30"/>
      <c r="T2078" s="30"/>
      <c r="U2078" s="21" t="str">
        <f aca="false">IF(COUNT(K2078:T2078)=0,"SOURCE EMPTY / INDUSTRIAL ONLY",IF(MIN(K2078:T2078)=1,"SERVICE READY","HOLD"))</f>
        <v>SOURCE EMPTY / INDUSTRIAL ONLY</v>
      </c>
      <c r="V2078" s="9" t="n">
        <f aca="false">IF(U2078="SERVICE READY",1,0)</f>
        <v>0</v>
      </c>
      <c r="W2078" s="6"/>
      <c r="X2078" s="6"/>
      <c r="Y2078" s="6"/>
      <c r="Z2078" s="6"/>
    </row>
    <row r="2079" customFormat="false" ht="15" hidden="false" customHeight="false" outlineLevel="0" collapsed="false">
      <c r="A2079" s="9" t="s">
        <v>2335</v>
      </c>
      <c r="B2079" s="9" t="s">
        <v>2302</v>
      </c>
      <c r="C2079" s="9" t="s">
        <v>2303</v>
      </c>
      <c r="D2079" s="9" t="s">
        <v>2185</v>
      </c>
      <c r="E2079" s="9" t="s">
        <v>2027</v>
      </c>
      <c r="F2079" s="9" t="s">
        <v>207</v>
      </c>
      <c r="G2079" s="9" t="s">
        <v>221</v>
      </c>
      <c r="H2079" s="9" t="n">
        <v>6600</v>
      </c>
      <c r="I2079" s="29" t="n">
        <v>2</v>
      </c>
      <c r="J2079" s="9" t="n">
        <v>1</v>
      </c>
      <c r="K2079" s="30"/>
      <c r="L2079" s="30"/>
      <c r="M2079" s="30"/>
      <c r="N2079" s="30"/>
      <c r="O2079" s="30"/>
      <c r="P2079" s="30"/>
      <c r="Q2079" s="30"/>
      <c r="R2079" s="30"/>
      <c r="S2079" s="30"/>
      <c r="T2079" s="30"/>
      <c r="U2079" s="21" t="str">
        <f aca="false">IF(COUNT(K2079:T2079)=0,"SOURCE EMPTY / INDUSTRIAL ONLY",IF(MIN(K2079:T2079)=1,"SERVICE READY","HOLD"))</f>
        <v>SOURCE EMPTY / INDUSTRIAL ONLY</v>
      </c>
      <c r="V2079" s="9" t="n">
        <f aca="false">IF(U2079="SERVICE READY",1,0)</f>
        <v>0</v>
      </c>
      <c r="W2079" s="6"/>
      <c r="X2079" s="6"/>
      <c r="Y2079" s="6"/>
      <c r="Z2079" s="6"/>
    </row>
    <row r="2080" customFormat="false" ht="15" hidden="false" customHeight="false" outlineLevel="0" collapsed="false">
      <c r="A2080" s="9" t="s">
        <v>2336</v>
      </c>
      <c r="B2080" s="9" t="s">
        <v>2302</v>
      </c>
      <c r="C2080" s="9" t="s">
        <v>2303</v>
      </c>
      <c r="D2080" s="9" t="s">
        <v>2185</v>
      </c>
      <c r="E2080" s="9" t="s">
        <v>2027</v>
      </c>
      <c r="F2080" s="9" t="s">
        <v>209</v>
      </c>
      <c r="G2080" s="9" t="s">
        <v>221</v>
      </c>
      <c r="H2080" s="9" t="n">
        <v>6600</v>
      </c>
      <c r="I2080" s="29" t="n">
        <v>2</v>
      </c>
      <c r="J2080" s="9" t="n">
        <v>1</v>
      </c>
      <c r="K2080" s="30"/>
      <c r="L2080" s="30"/>
      <c r="M2080" s="30"/>
      <c r="N2080" s="30"/>
      <c r="O2080" s="30"/>
      <c r="P2080" s="30"/>
      <c r="Q2080" s="30"/>
      <c r="R2080" s="30"/>
      <c r="S2080" s="30"/>
      <c r="T2080" s="30"/>
      <c r="U2080" s="21" t="str">
        <f aca="false">IF(COUNT(K2080:T2080)=0,"SOURCE EMPTY / INDUSTRIAL ONLY",IF(MIN(K2080:T2080)=1,"SERVICE READY","HOLD"))</f>
        <v>SOURCE EMPTY / INDUSTRIAL ONLY</v>
      </c>
      <c r="V2080" s="9" t="n">
        <f aca="false">IF(U2080="SERVICE READY",1,0)</f>
        <v>0</v>
      </c>
      <c r="W2080" s="6"/>
      <c r="X2080" s="6"/>
      <c r="Y2080" s="6"/>
      <c r="Z2080" s="6"/>
    </row>
    <row r="2081" customFormat="false" ht="15" hidden="false" customHeight="false" outlineLevel="0" collapsed="false">
      <c r="A2081" s="9" t="s">
        <v>2337</v>
      </c>
      <c r="B2081" s="9" t="s">
        <v>2302</v>
      </c>
      <c r="C2081" s="9" t="s">
        <v>2303</v>
      </c>
      <c r="D2081" s="9" t="s">
        <v>2185</v>
      </c>
      <c r="E2081" s="9" t="s">
        <v>2027</v>
      </c>
      <c r="F2081" s="9" t="s">
        <v>211</v>
      </c>
      <c r="G2081" s="9" t="s">
        <v>221</v>
      </c>
      <c r="H2081" s="9" t="n">
        <v>6600</v>
      </c>
      <c r="I2081" s="29" t="n">
        <v>2</v>
      </c>
      <c r="J2081" s="9" t="n">
        <v>1</v>
      </c>
      <c r="K2081" s="30"/>
      <c r="L2081" s="30"/>
      <c r="M2081" s="30"/>
      <c r="N2081" s="30"/>
      <c r="O2081" s="30"/>
      <c r="P2081" s="30"/>
      <c r="Q2081" s="30"/>
      <c r="R2081" s="30"/>
      <c r="S2081" s="30"/>
      <c r="T2081" s="30"/>
      <c r="U2081" s="21" t="str">
        <f aca="false">IF(COUNT(K2081:T2081)=0,"SOURCE EMPTY / INDUSTRIAL ONLY",IF(MIN(K2081:T2081)=1,"SERVICE READY","HOLD"))</f>
        <v>SOURCE EMPTY / INDUSTRIAL ONLY</v>
      </c>
      <c r="V2081" s="9" t="n">
        <f aca="false">IF(U2081="SERVICE READY",1,0)</f>
        <v>0</v>
      </c>
      <c r="W2081" s="6"/>
      <c r="X2081" s="6"/>
      <c r="Y2081" s="6"/>
      <c r="Z2081" s="6"/>
    </row>
    <row r="2082" customFormat="false" ht="15" hidden="false" customHeight="false" outlineLevel="0" collapsed="false">
      <c r="A2082" s="9" t="s">
        <v>2338</v>
      </c>
      <c r="B2082" s="9" t="s">
        <v>2302</v>
      </c>
      <c r="C2082" s="9" t="s">
        <v>2303</v>
      </c>
      <c r="D2082" s="9" t="s">
        <v>2185</v>
      </c>
      <c r="E2082" s="9" t="s">
        <v>2027</v>
      </c>
      <c r="F2082" s="9" t="s">
        <v>197</v>
      </c>
      <c r="G2082" s="9" t="s">
        <v>221</v>
      </c>
      <c r="H2082" s="9" t="n">
        <v>6600</v>
      </c>
      <c r="I2082" s="29" t="n">
        <v>2</v>
      </c>
      <c r="J2082" s="9" t="n">
        <v>1</v>
      </c>
      <c r="K2082" s="30"/>
      <c r="L2082" s="30"/>
      <c r="M2082" s="30"/>
      <c r="N2082" s="30"/>
      <c r="O2082" s="30"/>
      <c r="P2082" s="30"/>
      <c r="Q2082" s="30"/>
      <c r="R2082" s="30"/>
      <c r="S2082" s="30"/>
      <c r="T2082" s="30"/>
      <c r="U2082" s="21" t="str">
        <f aca="false">IF(COUNT(K2082:T2082)=0,"SOURCE EMPTY / INDUSTRIAL ONLY",IF(MIN(K2082:T2082)=1,"SERVICE READY","HOLD"))</f>
        <v>SOURCE EMPTY / INDUSTRIAL ONLY</v>
      </c>
      <c r="V2082" s="9" t="n">
        <f aca="false">IF(U2082="SERVICE READY",1,0)</f>
        <v>0</v>
      </c>
      <c r="W2082" s="6"/>
      <c r="X2082" s="6"/>
      <c r="Y2082" s="6"/>
      <c r="Z2082" s="6"/>
    </row>
    <row r="2083" customFormat="false" ht="15" hidden="false" customHeight="false" outlineLevel="0" collapsed="false">
      <c r="A2083" s="9" t="s">
        <v>2339</v>
      </c>
      <c r="B2083" s="9" t="s">
        <v>2302</v>
      </c>
      <c r="C2083" s="9" t="s">
        <v>2303</v>
      </c>
      <c r="D2083" s="9" t="s">
        <v>2185</v>
      </c>
      <c r="E2083" s="9" t="s">
        <v>2027</v>
      </c>
      <c r="F2083" s="9" t="s">
        <v>200</v>
      </c>
      <c r="G2083" s="9" t="s">
        <v>221</v>
      </c>
      <c r="H2083" s="9" t="n">
        <v>6600</v>
      </c>
      <c r="I2083" s="29" t="n">
        <v>2</v>
      </c>
      <c r="J2083" s="9" t="n">
        <v>1</v>
      </c>
      <c r="K2083" s="30"/>
      <c r="L2083" s="30"/>
      <c r="M2083" s="30"/>
      <c r="N2083" s="30"/>
      <c r="O2083" s="30"/>
      <c r="P2083" s="30"/>
      <c r="Q2083" s="30"/>
      <c r="R2083" s="30"/>
      <c r="S2083" s="30"/>
      <c r="T2083" s="30"/>
      <c r="U2083" s="21" t="str">
        <f aca="false">IF(COUNT(K2083:T2083)=0,"SOURCE EMPTY / INDUSTRIAL ONLY",IF(MIN(K2083:T2083)=1,"SERVICE READY","HOLD"))</f>
        <v>SOURCE EMPTY / INDUSTRIAL ONLY</v>
      </c>
      <c r="V2083" s="9" t="n">
        <f aca="false">IF(U2083="SERVICE READY",1,0)</f>
        <v>0</v>
      </c>
      <c r="W2083" s="6"/>
      <c r="X2083" s="6"/>
      <c r="Y2083" s="6"/>
      <c r="Z2083" s="6"/>
    </row>
    <row r="2084" customFormat="false" ht="15" hidden="false" customHeight="false" outlineLevel="0" collapsed="false">
      <c r="A2084" s="9" t="s">
        <v>2340</v>
      </c>
      <c r="B2084" s="9" t="s">
        <v>2302</v>
      </c>
      <c r="C2084" s="9" t="s">
        <v>2303</v>
      </c>
      <c r="D2084" s="9" t="s">
        <v>2185</v>
      </c>
      <c r="E2084" s="9" t="s">
        <v>2027</v>
      </c>
      <c r="F2084" s="9" t="s">
        <v>203</v>
      </c>
      <c r="G2084" s="9" t="s">
        <v>221</v>
      </c>
      <c r="H2084" s="9" t="n">
        <v>6600</v>
      </c>
      <c r="I2084" s="29" t="n">
        <v>2</v>
      </c>
      <c r="J2084" s="9" t="n">
        <v>1</v>
      </c>
      <c r="K2084" s="30"/>
      <c r="L2084" s="30"/>
      <c r="M2084" s="30"/>
      <c r="N2084" s="30"/>
      <c r="O2084" s="30"/>
      <c r="P2084" s="30"/>
      <c r="Q2084" s="30"/>
      <c r="R2084" s="30"/>
      <c r="S2084" s="30"/>
      <c r="T2084" s="30"/>
      <c r="U2084" s="21" t="str">
        <f aca="false">IF(COUNT(K2084:T2084)=0,"SOURCE EMPTY / INDUSTRIAL ONLY",IF(MIN(K2084:T2084)=1,"SERVICE READY","HOLD"))</f>
        <v>SOURCE EMPTY / INDUSTRIAL ONLY</v>
      </c>
      <c r="V2084" s="9" t="n">
        <f aca="false">IF(U2084="SERVICE READY",1,0)</f>
        <v>0</v>
      </c>
      <c r="W2084" s="6"/>
      <c r="X2084" s="6"/>
      <c r="Y2084" s="6"/>
      <c r="Z2084" s="6"/>
    </row>
    <row r="2085" customFormat="false" ht="15" hidden="false" customHeight="false" outlineLevel="0" collapsed="false">
      <c r="A2085" s="9" t="s">
        <v>2341</v>
      </c>
      <c r="B2085" s="9" t="s">
        <v>2302</v>
      </c>
      <c r="C2085" s="9" t="s">
        <v>2303</v>
      </c>
      <c r="D2085" s="9" t="s">
        <v>2185</v>
      </c>
      <c r="E2085" s="9" t="s">
        <v>2027</v>
      </c>
      <c r="F2085" s="9" t="s">
        <v>205</v>
      </c>
      <c r="G2085" s="9" t="s">
        <v>221</v>
      </c>
      <c r="H2085" s="9" t="n">
        <v>6600</v>
      </c>
      <c r="I2085" s="29" t="n">
        <v>2</v>
      </c>
      <c r="J2085" s="9" t="n">
        <v>1</v>
      </c>
      <c r="K2085" s="30"/>
      <c r="L2085" s="30"/>
      <c r="M2085" s="30"/>
      <c r="N2085" s="30"/>
      <c r="O2085" s="30"/>
      <c r="P2085" s="30"/>
      <c r="Q2085" s="30"/>
      <c r="R2085" s="30"/>
      <c r="S2085" s="30"/>
      <c r="T2085" s="30"/>
      <c r="U2085" s="21" t="str">
        <f aca="false">IF(COUNT(K2085:T2085)=0,"SOURCE EMPTY / INDUSTRIAL ONLY",IF(MIN(K2085:T2085)=1,"SERVICE READY","HOLD"))</f>
        <v>SOURCE EMPTY / INDUSTRIAL ONLY</v>
      </c>
      <c r="V2085" s="9" t="n">
        <f aca="false">IF(U2085="SERVICE READY",1,0)</f>
        <v>0</v>
      </c>
      <c r="W2085" s="6"/>
      <c r="X2085" s="6"/>
      <c r="Y2085" s="6"/>
      <c r="Z2085" s="6"/>
    </row>
    <row r="2086" customFormat="false" ht="15" hidden="false" customHeight="false" outlineLevel="0" collapsed="false">
      <c r="A2086" s="9" t="s">
        <v>2342</v>
      </c>
      <c r="B2086" s="9" t="s">
        <v>2302</v>
      </c>
      <c r="C2086" s="9" t="s">
        <v>2303</v>
      </c>
      <c r="D2086" s="9" t="s">
        <v>2185</v>
      </c>
      <c r="E2086" s="9" t="s">
        <v>2027</v>
      </c>
      <c r="F2086" s="9" t="s">
        <v>207</v>
      </c>
      <c r="G2086" s="9" t="s">
        <v>221</v>
      </c>
      <c r="H2086" s="9" t="n">
        <v>6600</v>
      </c>
      <c r="I2086" s="29" t="n">
        <v>2</v>
      </c>
      <c r="J2086" s="9" t="n">
        <v>1</v>
      </c>
      <c r="K2086" s="30"/>
      <c r="L2086" s="30"/>
      <c r="M2086" s="30"/>
      <c r="N2086" s="30"/>
      <c r="O2086" s="30"/>
      <c r="P2086" s="30"/>
      <c r="Q2086" s="30"/>
      <c r="R2086" s="30"/>
      <c r="S2086" s="30"/>
      <c r="T2086" s="30"/>
      <c r="U2086" s="21" t="str">
        <f aca="false">IF(COUNT(K2086:T2086)=0,"SOURCE EMPTY / INDUSTRIAL ONLY",IF(MIN(K2086:T2086)=1,"SERVICE READY","HOLD"))</f>
        <v>SOURCE EMPTY / INDUSTRIAL ONLY</v>
      </c>
      <c r="V2086" s="9" t="n">
        <f aca="false">IF(U2086="SERVICE READY",1,0)</f>
        <v>0</v>
      </c>
      <c r="W2086" s="6"/>
      <c r="X2086" s="6"/>
      <c r="Y2086" s="6"/>
      <c r="Z2086" s="6"/>
    </row>
    <row r="2087" customFormat="false" ht="15" hidden="false" customHeight="false" outlineLevel="0" collapsed="false">
      <c r="A2087" s="9" t="s">
        <v>2343</v>
      </c>
      <c r="B2087" s="9" t="s">
        <v>2302</v>
      </c>
      <c r="C2087" s="9" t="s">
        <v>2303</v>
      </c>
      <c r="D2087" s="9" t="s">
        <v>2185</v>
      </c>
      <c r="E2087" s="9" t="s">
        <v>2027</v>
      </c>
      <c r="F2087" s="9" t="s">
        <v>209</v>
      </c>
      <c r="G2087" s="9" t="s">
        <v>221</v>
      </c>
      <c r="H2087" s="9" t="n">
        <v>6600</v>
      </c>
      <c r="I2087" s="29" t="n">
        <v>2</v>
      </c>
      <c r="J2087" s="9" t="n">
        <v>1</v>
      </c>
      <c r="K2087" s="30"/>
      <c r="L2087" s="30"/>
      <c r="M2087" s="30"/>
      <c r="N2087" s="30"/>
      <c r="O2087" s="30"/>
      <c r="P2087" s="30"/>
      <c r="Q2087" s="30"/>
      <c r="R2087" s="30"/>
      <c r="S2087" s="30"/>
      <c r="T2087" s="30"/>
      <c r="U2087" s="21" t="str">
        <f aca="false">IF(COUNT(K2087:T2087)=0,"SOURCE EMPTY / INDUSTRIAL ONLY",IF(MIN(K2087:T2087)=1,"SERVICE READY","HOLD"))</f>
        <v>SOURCE EMPTY / INDUSTRIAL ONLY</v>
      </c>
      <c r="V2087" s="9" t="n">
        <f aca="false">IF(U2087="SERVICE READY",1,0)</f>
        <v>0</v>
      </c>
      <c r="W2087" s="6"/>
      <c r="X2087" s="6"/>
      <c r="Y2087" s="6"/>
      <c r="Z2087" s="6"/>
    </row>
    <row r="2088" customFormat="false" ht="15" hidden="false" customHeight="false" outlineLevel="0" collapsed="false">
      <c r="A2088" s="9" t="s">
        <v>2344</v>
      </c>
      <c r="B2088" s="9" t="s">
        <v>2302</v>
      </c>
      <c r="C2088" s="9" t="s">
        <v>2303</v>
      </c>
      <c r="D2088" s="9" t="s">
        <v>2185</v>
      </c>
      <c r="E2088" s="9" t="s">
        <v>2027</v>
      </c>
      <c r="F2088" s="9" t="s">
        <v>211</v>
      </c>
      <c r="G2088" s="9" t="s">
        <v>221</v>
      </c>
      <c r="H2088" s="9" t="n">
        <v>6600</v>
      </c>
      <c r="I2088" s="29" t="n">
        <v>2</v>
      </c>
      <c r="J2088" s="9" t="n">
        <v>1</v>
      </c>
      <c r="K2088" s="30"/>
      <c r="L2088" s="30"/>
      <c r="M2088" s="30"/>
      <c r="N2088" s="30"/>
      <c r="O2088" s="30"/>
      <c r="P2088" s="30"/>
      <c r="Q2088" s="30"/>
      <c r="R2088" s="30"/>
      <c r="S2088" s="30"/>
      <c r="T2088" s="30"/>
      <c r="U2088" s="21" t="str">
        <f aca="false">IF(COUNT(K2088:T2088)=0,"SOURCE EMPTY / INDUSTRIAL ONLY",IF(MIN(K2088:T2088)=1,"SERVICE READY","HOLD"))</f>
        <v>SOURCE EMPTY / INDUSTRIAL ONLY</v>
      </c>
      <c r="V2088" s="9" t="n">
        <f aca="false">IF(U2088="SERVICE READY",1,0)</f>
        <v>0</v>
      </c>
      <c r="W2088" s="6"/>
      <c r="X2088" s="6"/>
      <c r="Y2088" s="6"/>
      <c r="Z2088" s="6"/>
    </row>
    <row r="2089" customFormat="false" ht="15" hidden="false" customHeight="false" outlineLevel="0" collapsed="false">
      <c r="A2089" s="9" t="s">
        <v>2345</v>
      </c>
      <c r="B2089" s="9" t="s">
        <v>2302</v>
      </c>
      <c r="C2089" s="9" t="s">
        <v>2303</v>
      </c>
      <c r="D2089" s="9" t="s">
        <v>2185</v>
      </c>
      <c r="E2089" s="9" t="s">
        <v>2027</v>
      </c>
      <c r="F2089" s="9" t="s">
        <v>197</v>
      </c>
      <c r="G2089" s="9" t="s">
        <v>221</v>
      </c>
      <c r="H2089" s="9" t="n">
        <v>6600</v>
      </c>
      <c r="I2089" s="29" t="n">
        <v>2</v>
      </c>
      <c r="J2089" s="9" t="n">
        <v>1</v>
      </c>
      <c r="K2089" s="30"/>
      <c r="L2089" s="30"/>
      <c r="M2089" s="30"/>
      <c r="N2089" s="30"/>
      <c r="O2089" s="30"/>
      <c r="P2089" s="30"/>
      <c r="Q2089" s="30"/>
      <c r="R2089" s="30"/>
      <c r="S2089" s="30"/>
      <c r="T2089" s="30"/>
      <c r="U2089" s="21" t="str">
        <f aca="false">IF(COUNT(K2089:T2089)=0,"SOURCE EMPTY / INDUSTRIAL ONLY",IF(MIN(K2089:T2089)=1,"SERVICE READY","HOLD"))</f>
        <v>SOURCE EMPTY / INDUSTRIAL ONLY</v>
      </c>
      <c r="V2089" s="9" t="n">
        <f aca="false">IF(U2089="SERVICE READY",1,0)</f>
        <v>0</v>
      </c>
      <c r="W2089" s="6"/>
      <c r="X2089" s="6"/>
      <c r="Y2089" s="6"/>
      <c r="Z2089" s="6"/>
    </row>
    <row r="2090" customFormat="false" ht="15" hidden="false" customHeight="false" outlineLevel="0" collapsed="false">
      <c r="A2090" s="9" t="s">
        <v>2346</v>
      </c>
      <c r="B2090" s="9" t="s">
        <v>2302</v>
      </c>
      <c r="C2090" s="9" t="s">
        <v>2303</v>
      </c>
      <c r="D2090" s="9" t="s">
        <v>2185</v>
      </c>
      <c r="E2090" s="9" t="s">
        <v>2027</v>
      </c>
      <c r="F2090" s="9" t="s">
        <v>200</v>
      </c>
      <c r="G2090" s="9" t="s">
        <v>221</v>
      </c>
      <c r="H2090" s="9" t="n">
        <v>6600</v>
      </c>
      <c r="I2090" s="29" t="n">
        <v>2</v>
      </c>
      <c r="J2090" s="9" t="n">
        <v>1</v>
      </c>
      <c r="K2090" s="30"/>
      <c r="L2090" s="30"/>
      <c r="M2090" s="30"/>
      <c r="N2090" s="30"/>
      <c r="O2090" s="30"/>
      <c r="P2090" s="30"/>
      <c r="Q2090" s="30"/>
      <c r="R2090" s="30"/>
      <c r="S2090" s="30"/>
      <c r="T2090" s="30"/>
      <c r="U2090" s="21" t="str">
        <f aca="false">IF(COUNT(K2090:T2090)=0,"SOURCE EMPTY / INDUSTRIAL ONLY",IF(MIN(K2090:T2090)=1,"SERVICE READY","HOLD"))</f>
        <v>SOURCE EMPTY / INDUSTRIAL ONLY</v>
      </c>
      <c r="V2090" s="9" t="n">
        <f aca="false">IF(U2090="SERVICE READY",1,0)</f>
        <v>0</v>
      </c>
      <c r="W2090" s="6"/>
      <c r="X2090" s="6"/>
      <c r="Y2090" s="6"/>
      <c r="Z2090" s="6"/>
    </row>
    <row r="2091" customFormat="false" ht="15" hidden="false" customHeight="false" outlineLevel="0" collapsed="false">
      <c r="A2091" s="9" t="s">
        <v>2347</v>
      </c>
      <c r="B2091" s="9" t="s">
        <v>2302</v>
      </c>
      <c r="C2091" s="9" t="s">
        <v>2303</v>
      </c>
      <c r="D2091" s="9" t="s">
        <v>2185</v>
      </c>
      <c r="E2091" s="9" t="s">
        <v>2027</v>
      </c>
      <c r="F2091" s="9" t="s">
        <v>203</v>
      </c>
      <c r="G2091" s="9" t="s">
        <v>221</v>
      </c>
      <c r="H2091" s="9" t="n">
        <v>6600</v>
      </c>
      <c r="I2091" s="29" t="n">
        <v>2</v>
      </c>
      <c r="J2091" s="9" t="n">
        <v>1</v>
      </c>
      <c r="K2091" s="30"/>
      <c r="L2091" s="30"/>
      <c r="M2091" s="30"/>
      <c r="N2091" s="30"/>
      <c r="O2091" s="30"/>
      <c r="P2091" s="30"/>
      <c r="Q2091" s="30"/>
      <c r="R2091" s="30"/>
      <c r="S2091" s="30"/>
      <c r="T2091" s="30"/>
      <c r="U2091" s="21" t="str">
        <f aca="false">IF(COUNT(K2091:T2091)=0,"SOURCE EMPTY / INDUSTRIAL ONLY",IF(MIN(K2091:T2091)=1,"SERVICE READY","HOLD"))</f>
        <v>SOURCE EMPTY / INDUSTRIAL ONLY</v>
      </c>
      <c r="V2091" s="9" t="n">
        <f aca="false">IF(U2091="SERVICE READY",1,0)</f>
        <v>0</v>
      </c>
      <c r="W2091" s="6"/>
      <c r="X2091" s="6"/>
      <c r="Y2091" s="6"/>
      <c r="Z2091" s="6"/>
    </row>
    <row r="2092" customFormat="false" ht="15" hidden="false" customHeight="false" outlineLevel="0" collapsed="false">
      <c r="A2092" s="9" t="s">
        <v>2348</v>
      </c>
      <c r="B2092" s="9" t="s">
        <v>2302</v>
      </c>
      <c r="C2092" s="9" t="s">
        <v>2303</v>
      </c>
      <c r="D2092" s="9" t="s">
        <v>2185</v>
      </c>
      <c r="E2092" s="9" t="s">
        <v>2027</v>
      </c>
      <c r="F2092" s="9" t="s">
        <v>205</v>
      </c>
      <c r="G2092" s="9" t="s">
        <v>221</v>
      </c>
      <c r="H2092" s="9" t="n">
        <v>6600</v>
      </c>
      <c r="I2092" s="29" t="n">
        <v>2</v>
      </c>
      <c r="J2092" s="9" t="n">
        <v>1</v>
      </c>
      <c r="K2092" s="30"/>
      <c r="L2092" s="30"/>
      <c r="M2092" s="30"/>
      <c r="N2092" s="30"/>
      <c r="O2092" s="30"/>
      <c r="P2092" s="30"/>
      <c r="Q2092" s="30"/>
      <c r="R2092" s="30"/>
      <c r="S2092" s="30"/>
      <c r="T2092" s="30"/>
      <c r="U2092" s="21" t="str">
        <f aca="false">IF(COUNT(K2092:T2092)=0,"SOURCE EMPTY / INDUSTRIAL ONLY",IF(MIN(K2092:T2092)=1,"SERVICE READY","HOLD"))</f>
        <v>SOURCE EMPTY / INDUSTRIAL ONLY</v>
      </c>
      <c r="V2092" s="9" t="n">
        <f aca="false">IF(U2092="SERVICE READY",1,0)</f>
        <v>0</v>
      </c>
      <c r="W2092" s="6"/>
      <c r="X2092" s="6"/>
      <c r="Y2092" s="6"/>
      <c r="Z2092" s="6"/>
    </row>
    <row r="2093" customFormat="false" ht="15" hidden="false" customHeight="false" outlineLevel="0" collapsed="false">
      <c r="A2093" s="9" t="s">
        <v>2349</v>
      </c>
      <c r="B2093" s="9" t="s">
        <v>2302</v>
      </c>
      <c r="C2093" s="9" t="s">
        <v>2303</v>
      </c>
      <c r="D2093" s="9" t="s">
        <v>2185</v>
      </c>
      <c r="E2093" s="9" t="s">
        <v>2027</v>
      </c>
      <c r="F2093" s="9" t="s">
        <v>207</v>
      </c>
      <c r="G2093" s="9" t="s">
        <v>221</v>
      </c>
      <c r="H2093" s="9" t="n">
        <v>6600</v>
      </c>
      <c r="I2093" s="29" t="n">
        <v>2</v>
      </c>
      <c r="J2093" s="9" t="n">
        <v>1</v>
      </c>
      <c r="K2093" s="30"/>
      <c r="L2093" s="30"/>
      <c r="M2093" s="30"/>
      <c r="N2093" s="30"/>
      <c r="O2093" s="30"/>
      <c r="P2093" s="30"/>
      <c r="Q2093" s="30"/>
      <c r="R2093" s="30"/>
      <c r="S2093" s="30"/>
      <c r="T2093" s="30"/>
      <c r="U2093" s="21" t="str">
        <f aca="false">IF(COUNT(K2093:T2093)=0,"SOURCE EMPTY / INDUSTRIAL ONLY",IF(MIN(K2093:T2093)=1,"SERVICE READY","HOLD"))</f>
        <v>SOURCE EMPTY / INDUSTRIAL ONLY</v>
      </c>
      <c r="V2093" s="9" t="n">
        <f aca="false">IF(U2093="SERVICE READY",1,0)</f>
        <v>0</v>
      </c>
      <c r="W2093" s="6"/>
      <c r="X2093" s="6"/>
      <c r="Y2093" s="6"/>
      <c r="Z2093" s="6"/>
    </row>
    <row r="2094" customFormat="false" ht="15" hidden="false" customHeight="false" outlineLevel="0" collapsed="false">
      <c r="A2094" s="9" t="s">
        <v>2350</v>
      </c>
      <c r="B2094" s="9" t="s">
        <v>2302</v>
      </c>
      <c r="C2094" s="9" t="s">
        <v>2303</v>
      </c>
      <c r="D2094" s="9" t="s">
        <v>2185</v>
      </c>
      <c r="E2094" s="9" t="s">
        <v>2027</v>
      </c>
      <c r="F2094" s="9" t="s">
        <v>209</v>
      </c>
      <c r="G2094" s="9" t="s">
        <v>221</v>
      </c>
      <c r="H2094" s="9" t="n">
        <v>6600</v>
      </c>
      <c r="I2094" s="29" t="n">
        <v>2</v>
      </c>
      <c r="J2094" s="9" t="n">
        <v>1</v>
      </c>
      <c r="K2094" s="30"/>
      <c r="L2094" s="30"/>
      <c r="M2094" s="30"/>
      <c r="N2094" s="30"/>
      <c r="O2094" s="30"/>
      <c r="P2094" s="30"/>
      <c r="Q2094" s="30"/>
      <c r="R2094" s="30"/>
      <c r="S2094" s="30"/>
      <c r="T2094" s="30"/>
      <c r="U2094" s="21" t="str">
        <f aca="false">IF(COUNT(K2094:T2094)=0,"SOURCE EMPTY / INDUSTRIAL ONLY",IF(MIN(K2094:T2094)=1,"SERVICE READY","HOLD"))</f>
        <v>SOURCE EMPTY / INDUSTRIAL ONLY</v>
      </c>
      <c r="V2094" s="9" t="n">
        <f aca="false">IF(U2094="SERVICE READY",1,0)</f>
        <v>0</v>
      </c>
      <c r="W2094" s="6"/>
      <c r="X2094" s="6"/>
      <c r="Y2094" s="6"/>
      <c r="Z2094" s="6"/>
    </row>
    <row r="2095" customFormat="false" ht="15" hidden="false" customHeight="false" outlineLevel="0" collapsed="false">
      <c r="A2095" s="9" t="s">
        <v>2351</v>
      </c>
      <c r="B2095" s="9" t="s">
        <v>2302</v>
      </c>
      <c r="C2095" s="9" t="s">
        <v>2303</v>
      </c>
      <c r="D2095" s="9" t="s">
        <v>2185</v>
      </c>
      <c r="E2095" s="9" t="s">
        <v>2027</v>
      </c>
      <c r="F2095" s="9" t="s">
        <v>211</v>
      </c>
      <c r="G2095" s="9" t="s">
        <v>221</v>
      </c>
      <c r="H2095" s="9" t="n">
        <v>6600</v>
      </c>
      <c r="I2095" s="29" t="n">
        <v>2</v>
      </c>
      <c r="J2095" s="9" t="n">
        <v>1</v>
      </c>
      <c r="K2095" s="30"/>
      <c r="L2095" s="30"/>
      <c r="M2095" s="30"/>
      <c r="N2095" s="30"/>
      <c r="O2095" s="30"/>
      <c r="P2095" s="30"/>
      <c r="Q2095" s="30"/>
      <c r="R2095" s="30"/>
      <c r="S2095" s="30"/>
      <c r="T2095" s="30"/>
      <c r="U2095" s="21" t="str">
        <f aca="false">IF(COUNT(K2095:T2095)=0,"SOURCE EMPTY / INDUSTRIAL ONLY",IF(MIN(K2095:T2095)=1,"SERVICE READY","HOLD"))</f>
        <v>SOURCE EMPTY / INDUSTRIAL ONLY</v>
      </c>
      <c r="V2095" s="9" t="n">
        <f aca="false">IF(U2095="SERVICE READY",1,0)</f>
        <v>0</v>
      </c>
      <c r="W2095" s="6"/>
      <c r="X2095" s="6"/>
      <c r="Y2095" s="6"/>
      <c r="Z2095" s="6"/>
    </row>
    <row r="2096" customFormat="false" ht="15" hidden="false" customHeight="false" outlineLevel="0" collapsed="false">
      <c r="A2096" s="9" t="s">
        <v>2352</v>
      </c>
      <c r="B2096" s="9" t="s">
        <v>2302</v>
      </c>
      <c r="C2096" s="9" t="s">
        <v>2303</v>
      </c>
      <c r="D2096" s="9" t="s">
        <v>2185</v>
      </c>
      <c r="E2096" s="9" t="s">
        <v>2027</v>
      </c>
      <c r="F2096" s="9" t="s">
        <v>197</v>
      </c>
      <c r="G2096" s="9" t="s">
        <v>221</v>
      </c>
      <c r="H2096" s="9" t="n">
        <v>6600</v>
      </c>
      <c r="I2096" s="29" t="n">
        <v>2</v>
      </c>
      <c r="J2096" s="9" t="n">
        <v>1</v>
      </c>
      <c r="K2096" s="30"/>
      <c r="L2096" s="30"/>
      <c r="M2096" s="30"/>
      <c r="N2096" s="30"/>
      <c r="O2096" s="30"/>
      <c r="P2096" s="30"/>
      <c r="Q2096" s="30"/>
      <c r="R2096" s="30"/>
      <c r="S2096" s="30"/>
      <c r="T2096" s="30"/>
      <c r="U2096" s="21" t="str">
        <f aca="false">IF(COUNT(K2096:T2096)=0,"SOURCE EMPTY / INDUSTRIAL ONLY",IF(MIN(K2096:T2096)=1,"SERVICE READY","HOLD"))</f>
        <v>SOURCE EMPTY / INDUSTRIAL ONLY</v>
      </c>
      <c r="V2096" s="9" t="n">
        <f aca="false">IF(U2096="SERVICE READY",1,0)</f>
        <v>0</v>
      </c>
      <c r="W2096" s="6"/>
      <c r="X2096" s="6"/>
      <c r="Y2096" s="6"/>
      <c r="Z2096" s="6"/>
    </row>
    <row r="2097" customFormat="false" ht="15" hidden="false" customHeight="false" outlineLevel="0" collapsed="false">
      <c r="A2097" s="9" t="s">
        <v>2353</v>
      </c>
      <c r="B2097" s="9" t="s">
        <v>2302</v>
      </c>
      <c r="C2097" s="9" t="s">
        <v>2303</v>
      </c>
      <c r="D2097" s="9" t="s">
        <v>2185</v>
      </c>
      <c r="E2097" s="9" t="s">
        <v>2027</v>
      </c>
      <c r="F2097" s="9" t="s">
        <v>200</v>
      </c>
      <c r="G2097" s="9" t="s">
        <v>221</v>
      </c>
      <c r="H2097" s="9" t="n">
        <v>6600</v>
      </c>
      <c r="I2097" s="29" t="n">
        <v>2</v>
      </c>
      <c r="J2097" s="9" t="n">
        <v>1</v>
      </c>
      <c r="K2097" s="30"/>
      <c r="L2097" s="30"/>
      <c r="M2097" s="30"/>
      <c r="N2097" s="30"/>
      <c r="O2097" s="30"/>
      <c r="P2097" s="30"/>
      <c r="Q2097" s="30"/>
      <c r="R2097" s="30"/>
      <c r="S2097" s="30"/>
      <c r="T2097" s="30"/>
      <c r="U2097" s="21" t="str">
        <f aca="false">IF(COUNT(K2097:T2097)=0,"SOURCE EMPTY / INDUSTRIAL ONLY",IF(MIN(K2097:T2097)=1,"SERVICE READY","HOLD"))</f>
        <v>SOURCE EMPTY / INDUSTRIAL ONLY</v>
      </c>
      <c r="V2097" s="9" t="n">
        <f aca="false">IF(U2097="SERVICE READY",1,0)</f>
        <v>0</v>
      </c>
      <c r="W2097" s="6"/>
      <c r="X2097" s="6"/>
      <c r="Y2097" s="6"/>
      <c r="Z2097" s="6"/>
    </row>
    <row r="2098" customFormat="false" ht="15" hidden="false" customHeight="false" outlineLevel="0" collapsed="false">
      <c r="A2098" s="9" t="s">
        <v>2354</v>
      </c>
      <c r="B2098" s="9" t="s">
        <v>2302</v>
      </c>
      <c r="C2098" s="9" t="s">
        <v>2303</v>
      </c>
      <c r="D2098" s="9" t="s">
        <v>2185</v>
      </c>
      <c r="E2098" s="9" t="s">
        <v>2027</v>
      </c>
      <c r="F2098" s="9" t="s">
        <v>203</v>
      </c>
      <c r="G2098" s="9" t="s">
        <v>221</v>
      </c>
      <c r="H2098" s="9" t="n">
        <v>6600</v>
      </c>
      <c r="I2098" s="29" t="n">
        <v>2</v>
      </c>
      <c r="J2098" s="9" t="n">
        <v>1</v>
      </c>
      <c r="K2098" s="30"/>
      <c r="L2098" s="30"/>
      <c r="M2098" s="30"/>
      <c r="N2098" s="30"/>
      <c r="O2098" s="30"/>
      <c r="P2098" s="30"/>
      <c r="Q2098" s="30"/>
      <c r="R2098" s="30"/>
      <c r="S2098" s="30"/>
      <c r="T2098" s="30"/>
      <c r="U2098" s="21" t="str">
        <f aca="false">IF(COUNT(K2098:T2098)=0,"SOURCE EMPTY / INDUSTRIAL ONLY",IF(MIN(K2098:T2098)=1,"SERVICE READY","HOLD"))</f>
        <v>SOURCE EMPTY / INDUSTRIAL ONLY</v>
      </c>
      <c r="V2098" s="9" t="n">
        <f aca="false">IF(U2098="SERVICE READY",1,0)</f>
        <v>0</v>
      </c>
      <c r="W2098" s="6"/>
      <c r="X2098" s="6"/>
      <c r="Y2098" s="6"/>
      <c r="Z2098" s="6"/>
    </row>
    <row r="2099" customFormat="false" ht="15" hidden="false" customHeight="false" outlineLevel="0" collapsed="false">
      <c r="A2099" s="9" t="s">
        <v>2355</v>
      </c>
      <c r="B2099" s="9" t="s">
        <v>2302</v>
      </c>
      <c r="C2099" s="9" t="s">
        <v>2303</v>
      </c>
      <c r="D2099" s="9" t="s">
        <v>2185</v>
      </c>
      <c r="E2099" s="9" t="s">
        <v>2027</v>
      </c>
      <c r="F2099" s="9" t="s">
        <v>205</v>
      </c>
      <c r="G2099" s="9" t="s">
        <v>221</v>
      </c>
      <c r="H2099" s="9" t="n">
        <v>6600</v>
      </c>
      <c r="I2099" s="29" t="n">
        <v>2</v>
      </c>
      <c r="J2099" s="9" t="n">
        <v>1</v>
      </c>
      <c r="K2099" s="30"/>
      <c r="L2099" s="30"/>
      <c r="M2099" s="30"/>
      <c r="N2099" s="30"/>
      <c r="O2099" s="30"/>
      <c r="P2099" s="30"/>
      <c r="Q2099" s="30"/>
      <c r="R2099" s="30"/>
      <c r="S2099" s="30"/>
      <c r="T2099" s="30"/>
      <c r="U2099" s="21" t="str">
        <f aca="false">IF(COUNT(K2099:T2099)=0,"SOURCE EMPTY / INDUSTRIAL ONLY",IF(MIN(K2099:T2099)=1,"SERVICE READY","HOLD"))</f>
        <v>SOURCE EMPTY / INDUSTRIAL ONLY</v>
      </c>
      <c r="V2099" s="9" t="n">
        <f aca="false">IF(U2099="SERVICE READY",1,0)</f>
        <v>0</v>
      </c>
      <c r="W2099" s="6"/>
      <c r="X2099" s="6"/>
      <c r="Y2099" s="6"/>
      <c r="Z2099" s="6"/>
    </row>
    <row r="2100" customFormat="false" ht="15" hidden="false" customHeight="false" outlineLevel="0" collapsed="false">
      <c r="A2100" s="9" t="s">
        <v>2356</v>
      </c>
      <c r="B2100" s="9" t="s">
        <v>2302</v>
      </c>
      <c r="C2100" s="9" t="s">
        <v>2303</v>
      </c>
      <c r="D2100" s="9" t="s">
        <v>2185</v>
      </c>
      <c r="E2100" s="9" t="s">
        <v>2027</v>
      </c>
      <c r="F2100" s="9" t="s">
        <v>207</v>
      </c>
      <c r="G2100" s="9" t="s">
        <v>221</v>
      </c>
      <c r="H2100" s="9" t="n">
        <v>6600</v>
      </c>
      <c r="I2100" s="29" t="n">
        <v>2</v>
      </c>
      <c r="J2100" s="9" t="n">
        <v>1</v>
      </c>
      <c r="K2100" s="30"/>
      <c r="L2100" s="30"/>
      <c r="M2100" s="30"/>
      <c r="N2100" s="30"/>
      <c r="O2100" s="30"/>
      <c r="P2100" s="30"/>
      <c r="Q2100" s="30"/>
      <c r="R2100" s="30"/>
      <c r="S2100" s="30"/>
      <c r="T2100" s="30"/>
      <c r="U2100" s="21" t="str">
        <f aca="false">IF(COUNT(K2100:T2100)=0,"SOURCE EMPTY / INDUSTRIAL ONLY",IF(MIN(K2100:T2100)=1,"SERVICE READY","HOLD"))</f>
        <v>SOURCE EMPTY / INDUSTRIAL ONLY</v>
      </c>
      <c r="V2100" s="9" t="n">
        <f aca="false">IF(U2100="SERVICE READY",1,0)</f>
        <v>0</v>
      </c>
      <c r="W2100" s="6"/>
      <c r="X2100" s="6"/>
      <c r="Y2100" s="6"/>
      <c r="Z2100" s="6"/>
    </row>
    <row r="2101" customFormat="false" ht="15" hidden="false" customHeight="false" outlineLevel="0" collapsed="false">
      <c r="A2101" s="9" t="s">
        <v>2357</v>
      </c>
      <c r="B2101" s="9" t="s">
        <v>2302</v>
      </c>
      <c r="C2101" s="9" t="s">
        <v>2303</v>
      </c>
      <c r="D2101" s="9" t="s">
        <v>2185</v>
      </c>
      <c r="E2101" s="9" t="s">
        <v>2027</v>
      </c>
      <c r="F2101" s="9" t="s">
        <v>209</v>
      </c>
      <c r="G2101" s="9" t="s">
        <v>221</v>
      </c>
      <c r="H2101" s="9" t="n">
        <v>6600</v>
      </c>
      <c r="I2101" s="29" t="n">
        <v>2</v>
      </c>
      <c r="J2101" s="9" t="n">
        <v>1</v>
      </c>
      <c r="K2101" s="30"/>
      <c r="L2101" s="30"/>
      <c r="M2101" s="30"/>
      <c r="N2101" s="30"/>
      <c r="O2101" s="30"/>
      <c r="P2101" s="30"/>
      <c r="Q2101" s="30"/>
      <c r="R2101" s="30"/>
      <c r="S2101" s="30"/>
      <c r="T2101" s="30"/>
      <c r="U2101" s="21" t="str">
        <f aca="false">IF(COUNT(K2101:T2101)=0,"SOURCE EMPTY / INDUSTRIAL ONLY",IF(MIN(K2101:T2101)=1,"SERVICE READY","HOLD"))</f>
        <v>SOURCE EMPTY / INDUSTRIAL ONLY</v>
      </c>
      <c r="V2101" s="9" t="n">
        <f aca="false">IF(U2101="SERVICE READY",1,0)</f>
        <v>0</v>
      </c>
      <c r="W2101" s="6"/>
      <c r="X2101" s="6"/>
      <c r="Y2101" s="6"/>
      <c r="Z2101" s="6"/>
    </row>
    <row r="2102" customFormat="false" ht="15" hidden="false" customHeight="false" outlineLevel="0" collapsed="false">
      <c r="A2102" s="9" t="s">
        <v>2358</v>
      </c>
      <c r="B2102" s="9" t="s">
        <v>2302</v>
      </c>
      <c r="C2102" s="9" t="s">
        <v>2303</v>
      </c>
      <c r="D2102" s="9" t="s">
        <v>2185</v>
      </c>
      <c r="E2102" s="9" t="s">
        <v>2027</v>
      </c>
      <c r="F2102" s="9" t="s">
        <v>211</v>
      </c>
      <c r="G2102" s="9" t="s">
        <v>221</v>
      </c>
      <c r="H2102" s="9" t="n">
        <v>6600</v>
      </c>
      <c r="I2102" s="29" t="n">
        <v>2</v>
      </c>
      <c r="J2102" s="9" t="n">
        <v>1</v>
      </c>
      <c r="K2102" s="30"/>
      <c r="L2102" s="30"/>
      <c r="M2102" s="30"/>
      <c r="N2102" s="30"/>
      <c r="O2102" s="30"/>
      <c r="P2102" s="30"/>
      <c r="Q2102" s="30"/>
      <c r="R2102" s="30"/>
      <c r="S2102" s="30"/>
      <c r="T2102" s="30"/>
      <c r="U2102" s="21" t="str">
        <f aca="false">IF(COUNT(K2102:T2102)=0,"SOURCE EMPTY / INDUSTRIAL ONLY",IF(MIN(K2102:T2102)=1,"SERVICE READY","HOLD"))</f>
        <v>SOURCE EMPTY / INDUSTRIAL ONLY</v>
      </c>
      <c r="V2102" s="9" t="n">
        <f aca="false">IF(U2102="SERVICE READY",1,0)</f>
        <v>0</v>
      </c>
      <c r="W2102" s="6"/>
      <c r="X2102" s="6"/>
      <c r="Y2102" s="6"/>
      <c r="Z2102" s="6"/>
    </row>
    <row r="2103" customFormat="false" ht="15" hidden="false" customHeight="false" outlineLevel="0" collapsed="false">
      <c r="A2103" s="9" t="s">
        <v>2359</v>
      </c>
      <c r="B2103" s="9" t="s">
        <v>2302</v>
      </c>
      <c r="C2103" s="9" t="s">
        <v>2303</v>
      </c>
      <c r="D2103" s="9" t="s">
        <v>2185</v>
      </c>
      <c r="E2103" s="9" t="s">
        <v>2027</v>
      </c>
      <c r="F2103" s="9" t="s">
        <v>197</v>
      </c>
      <c r="G2103" s="9" t="s">
        <v>221</v>
      </c>
      <c r="H2103" s="9" t="n">
        <v>6600</v>
      </c>
      <c r="I2103" s="29" t="n">
        <v>2</v>
      </c>
      <c r="J2103" s="9" t="n">
        <v>1</v>
      </c>
      <c r="K2103" s="30"/>
      <c r="L2103" s="30"/>
      <c r="M2103" s="30"/>
      <c r="N2103" s="30"/>
      <c r="O2103" s="30"/>
      <c r="P2103" s="30"/>
      <c r="Q2103" s="30"/>
      <c r="R2103" s="30"/>
      <c r="S2103" s="30"/>
      <c r="T2103" s="30"/>
      <c r="U2103" s="21" t="str">
        <f aca="false">IF(COUNT(K2103:T2103)=0,"SOURCE EMPTY / INDUSTRIAL ONLY",IF(MIN(K2103:T2103)=1,"SERVICE READY","HOLD"))</f>
        <v>SOURCE EMPTY / INDUSTRIAL ONLY</v>
      </c>
      <c r="V2103" s="9" t="n">
        <f aca="false">IF(U2103="SERVICE READY",1,0)</f>
        <v>0</v>
      </c>
      <c r="W2103" s="6"/>
      <c r="X2103" s="6"/>
      <c r="Y2103" s="6"/>
      <c r="Z2103" s="6"/>
    </row>
    <row r="2104" customFormat="false" ht="15" hidden="false" customHeight="false" outlineLevel="0" collapsed="false">
      <c r="A2104" s="9" t="s">
        <v>2360</v>
      </c>
      <c r="B2104" s="9" t="s">
        <v>2302</v>
      </c>
      <c r="C2104" s="9" t="s">
        <v>2303</v>
      </c>
      <c r="D2104" s="9" t="s">
        <v>2185</v>
      </c>
      <c r="E2104" s="9" t="s">
        <v>2027</v>
      </c>
      <c r="F2104" s="9" t="s">
        <v>200</v>
      </c>
      <c r="G2104" s="9" t="s">
        <v>221</v>
      </c>
      <c r="H2104" s="9" t="n">
        <v>6600</v>
      </c>
      <c r="I2104" s="29" t="n">
        <v>2</v>
      </c>
      <c r="J2104" s="9" t="n">
        <v>1</v>
      </c>
      <c r="K2104" s="30"/>
      <c r="L2104" s="30"/>
      <c r="M2104" s="30"/>
      <c r="N2104" s="30"/>
      <c r="O2104" s="30"/>
      <c r="P2104" s="30"/>
      <c r="Q2104" s="30"/>
      <c r="R2104" s="30"/>
      <c r="S2104" s="30"/>
      <c r="T2104" s="30"/>
      <c r="U2104" s="21" t="str">
        <f aca="false">IF(COUNT(K2104:T2104)=0,"SOURCE EMPTY / INDUSTRIAL ONLY",IF(MIN(K2104:T2104)=1,"SERVICE READY","HOLD"))</f>
        <v>SOURCE EMPTY / INDUSTRIAL ONLY</v>
      </c>
      <c r="V2104" s="9" t="n">
        <f aca="false">IF(U2104="SERVICE READY",1,0)</f>
        <v>0</v>
      </c>
      <c r="W2104" s="6"/>
      <c r="X2104" s="6"/>
      <c r="Y2104" s="6"/>
      <c r="Z2104" s="6"/>
    </row>
    <row r="2105" customFormat="false" ht="15" hidden="false" customHeight="false" outlineLevel="0" collapsed="false">
      <c r="A2105" s="9" t="s">
        <v>2361</v>
      </c>
      <c r="B2105" s="9" t="s">
        <v>2302</v>
      </c>
      <c r="C2105" s="9" t="s">
        <v>2303</v>
      </c>
      <c r="D2105" s="9" t="s">
        <v>2185</v>
      </c>
      <c r="E2105" s="9" t="s">
        <v>2027</v>
      </c>
      <c r="F2105" s="9" t="s">
        <v>203</v>
      </c>
      <c r="G2105" s="9" t="s">
        <v>221</v>
      </c>
      <c r="H2105" s="9" t="n">
        <v>6600</v>
      </c>
      <c r="I2105" s="29" t="n">
        <v>2</v>
      </c>
      <c r="J2105" s="9" t="n">
        <v>1</v>
      </c>
      <c r="K2105" s="30"/>
      <c r="L2105" s="30"/>
      <c r="M2105" s="30"/>
      <c r="N2105" s="30"/>
      <c r="O2105" s="30"/>
      <c r="P2105" s="30"/>
      <c r="Q2105" s="30"/>
      <c r="R2105" s="30"/>
      <c r="S2105" s="30"/>
      <c r="T2105" s="30"/>
      <c r="U2105" s="21" t="str">
        <f aca="false">IF(COUNT(K2105:T2105)=0,"SOURCE EMPTY / INDUSTRIAL ONLY",IF(MIN(K2105:T2105)=1,"SERVICE READY","HOLD"))</f>
        <v>SOURCE EMPTY / INDUSTRIAL ONLY</v>
      </c>
      <c r="V2105" s="9" t="n">
        <f aca="false">IF(U2105="SERVICE READY",1,0)</f>
        <v>0</v>
      </c>
      <c r="W2105" s="6"/>
      <c r="X2105" s="6"/>
      <c r="Y2105" s="6"/>
      <c r="Z2105" s="6"/>
    </row>
    <row r="2106" customFormat="false" ht="15" hidden="false" customHeight="false" outlineLevel="0" collapsed="false">
      <c r="A2106" s="9" t="s">
        <v>2362</v>
      </c>
      <c r="B2106" s="9" t="s">
        <v>2302</v>
      </c>
      <c r="C2106" s="9" t="s">
        <v>2303</v>
      </c>
      <c r="D2106" s="9" t="s">
        <v>2185</v>
      </c>
      <c r="E2106" s="9" t="s">
        <v>2027</v>
      </c>
      <c r="F2106" s="9" t="s">
        <v>205</v>
      </c>
      <c r="G2106" s="9" t="s">
        <v>221</v>
      </c>
      <c r="H2106" s="9" t="n">
        <v>6600</v>
      </c>
      <c r="I2106" s="29" t="n">
        <v>2</v>
      </c>
      <c r="J2106" s="9" t="n">
        <v>1</v>
      </c>
      <c r="K2106" s="30"/>
      <c r="L2106" s="30"/>
      <c r="M2106" s="30"/>
      <c r="N2106" s="30"/>
      <c r="O2106" s="30"/>
      <c r="P2106" s="30"/>
      <c r="Q2106" s="30"/>
      <c r="R2106" s="30"/>
      <c r="S2106" s="30"/>
      <c r="T2106" s="30"/>
      <c r="U2106" s="21" t="str">
        <f aca="false">IF(COUNT(K2106:T2106)=0,"SOURCE EMPTY / INDUSTRIAL ONLY",IF(MIN(K2106:T2106)=1,"SERVICE READY","HOLD"))</f>
        <v>SOURCE EMPTY / INDUSTRIAL ONLY</v>
      </c>
      <c r="V2106" s="9" t="n">
        <f aca="false">IF(U2106="SERVICE READY",1,0)</f>
        <v>0</v>
      </c>
      <c r="W2106" s="6"/>
      <c r="X2106" s="6"/>
      <c r="Y2106" s="6"/>
      <c r="Z2106" s="6"/>
    </row>
    <row r="2107" customFormat="false" ht="15" hidden="false" customHeight="false" outlineLevel="0" collapsed="false">
      <c r="A2107" s="9" t="s">
        <v>2363</v>
      </c>
      <c r="B2107" s="9" t="s">
        <v>2302</v>
      </c>
      <c r="C2107" s="9" t="s">
        <v>2303</v>
      </c>
      <c r="D2107" s="9" t="s">
        <v>2185</v>
      </c>
      <c r="E2107" s="9" t="s">
        <v>2027</v>
      </c>
      <c r="F2107" s="9" t="s">
        <v>207</v>
      </c>
      <c r="G2107" s="9" t="s">
        <v>221</v>
      </c>
      <c r="H2107" s="9" t="n">
        <v>6600</v>
      </c>
      <c r="I2107" s="29" t="n">
        <v>2</v>
      </c>
      <c r="J2107" s="9" t="n">
        <v>1</v>
      </c>
      <c r="K2107" s="30"/>
      <c r="L2107" s="30"/>
      <c r="M2107" s="30"/>
      <c r="N2107" s="30"/>
      <c r="O2107" s="30"/>
      <c r="P2107" s="30"/>
      <c r="Q2107" s="30"/>
      <c r="R2107" s="30"/>
      <c r="S2107" s="30"/>
      <c r="T2107" s="30"/>
      <c r="U2107" s="21" t="str">
        <f aca="false">IF(COUNT(K2107:T2107)=0,"SOURCE EMPTY / INDUSTRIAL ONLY",IF(MIN(K2107:T2107)=1,"SERVICE READY","HOLD"))</f>
        <v>SOURCE EMPTY / INDUSTRIAL ONLY</v>
      </c>
      <c r="V2107" s="9" t="n">
        <f aca="false">IF(U2107="SERVICE READY",1,0)</f>
        <v>0</v>
      </c>
      <c r="W2107" s="6"/>
      <c r="X2107" s="6"/>
      <c r="Y2107" s="6"/>
      <c r="Z2107" s="6"/>
    </row>
    <row r="2108" customFormat="false" ht="15" hidden="false" customHeight="false" outlineLevel="0" collapsed="false">
      <c r="A2108" s="9" t="s">
        <v>2364</v>
      </c>
      <c r="B2108" s="9" t="s">
        <v>2302</v>
      </c>
      <c r="C2108" s="9" t="s">
        <v>2303</v>
      </c>
      <c r="D2108" s="9" t="s">
        <v>2185</v>
      </c>
      <c r="E2108" s="9" t="s">
        <v>2027</v>
      </c>
      <c r="F2108" s="9" t="s">
        <v>209</v>
      </c>
      <c r="G2108" s="9" t="s">
        <v>221</v>
      </c>
      <c r="H2108" s="9" t="n">
        <v>6600</v>
      </c>
      <c r="I2108" s="29" t="n">
        <v>2</v>
      </c>
      <c r="J2108" s="9" t="n">
        <v>1</v>
      </c>
      <c r="K2108" s="30"/>
      <c r="L2108" s="30"/>
      <c r="M2108" s="30"/>
      <c r="N2108" s="30"/>
      <c r="O2108" s="30"/>
      <c r="P2108" s="30"/>
      <c r="Q2108" s="30"/>
      <c r="R2108" s="30"/>
      <c r="S2108" s="30"/>
      <c r="T2108" s="30"/>
      <c r="U2108" s="21" t="str">
        <f aca="false">IF(COUNT(K2108:T2108)=0,"SOURCE EMPTY / INDUSTRIAL ONLY",IF(MIN(K2108:T2108)=1,"SERVICE READY","HOLD"))</f>
        <v>SOURCE EMPTY / INDUSTRIAL ONLY</v>
      </c>
      <c r="V2108" s="9" t="n">
        <f aca="false">IF(U2108="SERVICE READY",1,0)</f>
        <v>0</v>
      </c>
      <c r="W2108" s="6"/>
      <c r="X2108" s="6"/>
      <c r="Y2108" s="6"/>
      <c r="Z2108" s="6"/>
    </row>
    <row r="2109" customFormat="false" ht="15" hidden="false" customHeight="false" outlineLevel="0" collapsed="false">
      <c r="A2109" s="9" t="s">
        <v>2365</v>
      </c>
      <c r="B2109" s="9" t="s">
        <v>2302</v>
      </c>
      <c r="C2109" s="9" t="s">
        <v>2303</v>
      </c>
      <c r="D2109" s="9" t="s">
        <v>2185</v>
      </c>
      <c r="E2109" s="9" t="s">
        <v>2027</v>
      </c>
      <c r="F2109" s="9" t="s">
        <v>211</v>
      </c>
      <c r="G2109" s="9" t="s">
        <v>221</v>
      </c>
      <c r="H2109" s="9" t="n">
        <v>6600</v>
      </c>
      <c r="I2109" s="29" t="n">
        <v>2</v>
      </c>
      <c r="J2109" s="9" t="n">
        <v>1</v>
      </c>
      <c r="K2109" s="30"/>
      <c r="L2109" s="30"/>
      <c r="M2109" s="30"/>
      <c r="N2109" s="30"/>
      <c r="O2109" s="30"/>
      <c r="P2109" s="30"/>
      <c r="Q2109" s="30"/>
      <c r="R2109" s="30"/>
      <c r="S2109" s="30"/>
      <c r="T2109" s="30"/>
      <c r="U2109" s="21" t="str">
        <f aca="false">IF(COUNT(K2109:T2109)=0,"SOURCE EMPTY / INDUSTRIAL ONLY",IF(MIN(K2109:T2109)=1,"SERVICE READY","HOLD"))</f>
        <v>SOURCE EMPTY / INDUSTRIAL ONLY</v>
      </c>
      <c r="V2109" s="9" t="n">
        <f aca="false">IF(U2109="SERVICE READY",1,0)</f>
        <v>0</v>
      </c>
      <c r="W2109" s="6"/>
      <c r="X2109" s="6"/>
      <c r="Y2109" s="6"/>
      <c r="Z2109" s="6"/>
    </row>
    <row r="2110" customFormat="false" ht="15" hidden="false" customHeight="false" outlineLevel="0" collapsed="false">
      <c r="A2110" s="9" t="s">
        <v>2366</v>
      </c>
      <c r="B2110" s="9" t="s">
        <v>2302</v>
      </c>
      <c r="C2110" s="9" t="s">
        <v>2303</v>
      </c>
      <c r="D2110" s="9" t="s">
        <v>2185</v>
      </c>
      <c r="E2110" s="9" t="s">
        <v>2027</v>
      </c>
      <c r="F2110" s="9" t="s">
        <v>197</v>
      </c>
      <c r="G2110" s="9" t="s">
        <v>221</v>
      </c>
      <c r="H2110" s="9" t="n">
        <v>6600</v>
      </c>
      <c r="I2110" s="29" t="n">
        <v>2</v>
      </c>
      <c r="J2110" s="9" t="n">
        <v>1</v>
      </c>
      <c r="K2110" s="30"/>
      <c r="L2110" s="30"/>
      <c r="M2110" s="30"/>
      <c r="N2110" s="30"/>
      <c r="O2110" s="30"/>
      <c r="P2110" s="30"/>
      <c r="Q2110" s="30"/>
      <c r="R2110" s="30"/>
      <c r="S2110" s="30"/>
      <c r="T2110" s="30"/>
      <c r="U2110" s="21" t="str">
        <f aca="false">IF(COUNT(K2110:T2110)=0,"SOURCE EMPTY / INDUSTRIAL ONLY",IF(MIN(K2110:T2110)=1,"SERVICE READY","HOLD"))</f>
        <v>SOURCE EMPTY / INDUSTRIAL ONLY</v>
      </c>
      <c r="V2110" s="9" t="n">
        <f aca="false">IF(U2110="SERVICE READY",1,0)</f>
        <v>0</v>
      </c>
      <c r="W2110" s="6"/>
      <c r="X2110" s="6"/>
      <c r="Y2110" s="6"/>
      <c r="Z2110" s="6"/>
    </row>
    <row r="2111" customFormat="false" ht="15" hidden="false" customHeight="false" outlineLevel="0" collapsed="false">
      <c r="A2111" s="9" t="s">
        <v>2367</v>
      </c>
      <c r="B2111" s="9" t="s">
        <v>2302</v>
      </c>
      <c r="C2111" s="9" t="s">
        <v>2303</v>
      </c>
      <c r="D2111" s="9" t="s">
        <v>2185</v>
      </c>
      <c r="E2111" s="9" t="s">
        <v>2027</v>
      </c>
      <c r="F2111" s="9" t="s">
        <v>200</v>
      </c>
      <c r="G2111" s="9" t="s">
        <v>221</v>
      </c>
      <c r="H2111" s="9" t="n">
        <v>6600</v>
      </c>
      <c r="I2111" s="29" t="n">
        <v>2</v>
      </c>
      <c r="J2111" s="9" t="n">
        <v>1</v>
      </c>
      <c r="K2111" s="30"/>
      <c r="L2111" s="30"/>
      <c r="M2111" s="30"/>
      <c r="N2111" s="30"/>
      <c r="O2111" s="30"/>
      <c r="P2111" s="30"/>
      <c r="Q2111" s="30"/>
      <c r="R2111" s="30"/>
      <c r="S2111" s="30"/>
      <c r="T2111" s="30"/>
      <c r="U2111" s="21" t="str">
        <f aca="false">IF(COUNT(K2111:T2111)=0,"SOURCE EMPTY / INDUSTRIAL ONLY",IF(MIN(K2111:T2111)=1,"SERVICE READY","HOLD"))</f>
        <v>SOURCE EMPTY / INDUSTRIAL ONLY</v>
      </c>
      <c r="V2111" s="9" t="n">
        <f aca="false">IF(U2111="SERVICE READY",1,0)</f>
        <v>0</v>
      </c>
      <c r="W2111" s="6"/>
      <c r="X2111" s="6"/>
      <c r="Y2111" s="6"/>
      <c r="Z2111" s="6"/>
    </row>
    <row r="2112" customFormat="false" ht="15" hidden="false" customHeight="false" outlineLevel="0" collapsed="false">
      <c r="A2112" s="9" t="s">
        <v>2368</v>
      </c>
      <c r="B2112" s="9" t="s">
        <v>2302</v>
      </c>
      <c r="C2112" s="9" t="s">
        <v>2303</v>
      </c>
      <c r="D2112" s="9" t="s">
        <v>2185</v>
      </c>
      <c r="E2112" s="9" t="s">
        <v>2027</v>
      </c>
      <c r="F2112" s="9" t="s">
        <v>203</v>
      </c>
      <c r="G2112" s="9" t="s">
        <v>221</v>
      </c>
      <c r="H2112" s="9" t="n">
        <v>6600</v>
      </c>
      <c r="I2112" s="29" t="n">
        <v>2</v>
      </c>
      <c r="J2112" s="9" t="n">
        <v>1</v>
      </c>
      <c r="K2112" s="30"/>
      <c r="L2112" s="30"/>
      <c r="M2112" s="30"/>
      <c r="N2112" s="30"/>
      <c r="O2112" s="30"/>
      <c r="P2112" s="30"/>
      <c r="Q2112" s="30"/>
      <c r="R2112" s="30"/>
      <c r="S2112" s="30"/>
      <c r="T2112" s="30"/>
      <c r="U2112" s="21" t="str">
        <f aca="false">IF(COUNT(K2112:T2112)=0,"SOURCE EMPTY / INDUSTRIAL ONLY",IF(MIN(K2112:T2112)=1,"SERVICE READY","HOLD"))</f>
        <v>SOURCE EMPTY / INDUSTRIAL ONLY</v>
      </c>
      <c r="V2112" s="9" t="n">
        <f aca="false">IF(U2112="SERVICE READY",1,0)</f>
        <v>0</v>
      </c>
      <c r="W2112" s="6"/>
      <c r="X2112" s="6"/>
      <c r="Y2112" s="6"/>
      <c r="Z2112" s="6"/>
    </row>
    <row r="2113" customFormat="false" ht="15" hidden="false" customHeight="false" outlineLevel="0" collapsed="false">
      <c r="A2113" s="9" t="s">
        <v>2369</v>
      </c>
      <c r="B2113" s="9" t="s">
        <v>2302</v>
      </c>
      <c r="C2113" s="9" t="s">
        <v>2303</v>
      </c>
      <c r="D2113" s="9" t="s">
        <v>2185</v>
      </c>
      <c r="E2113" s="9" t="s">
        <v>2027</v>
      </c>
      <c r="F2113" s="9" t="s">
        <v>205</v>
      </c>
      <c r="G2113" s="9" t="s">
        <v>221</v>
      </c>
      <c r="H2113" s="9" t="n">
        <v>6600</v>
      </c>
      <c r="I2113" s="29" t="n">
        <v>2</v>
      </c>
      <c r="J2113" s="9" t="n">
        <v>1</v>
      </c>
      <c r="K2113" s="30"/>
      <c r="L2113" s="30"/>
      <c r="M2113" s="30"/>
      <c r="N2113" s="30"/>
      <c r="O2113" s="30"/>
      <c r="P2113" s="30"/>
      <c r="Q2113" s="30"/>
      <c r="R2113" s="30"/>
      <c r="S2113" s="30"/>
      <c r="T2113" s="30"/>
      <c r="U2113" s="21" t="str">
        <f aca="false">IF(COUNT(K2113:T2113)=0,"SOURCE EMPTY / INDUSTRIAL ONLY",IF(MIN(K2113:T2113)=1,"SERVICE READY","HOLD"))</f>
        <v>SOURCE EMPTY / INDUSTRIAL ONLY</v>
      </c>
      <c r="V2113" s="9" t="n">
        <f aca="false">IF(U2113="SERVICE READY",1,0)</f>
        <v>0</v>
      </c>
      <c r="W2113" s="6"/>
      <c r="X2113" s="6"/>
      <c r="Y2113" s="6"/>
      <c r="Z2113" s="6"/>
    </row>
    <row r="2114" customFormat="false" ht="15" hidden="false" customHeight="false" outlineLevel="0" collapsed="false">
      <c r="A2114" s="9" t="s">
        <v>2370</v>
      </c>
      <c r="B2114" s="9" t="s">
        <v>2302</v>
      </c>
      <c r="C2114" s="9" t="s">
        <v>2303</v>
      </c>
      <c r="D2114" s="9" t="s">
        <v>2185</v>
      </c>
      <c r="E2114" s="9" t="s">
        <v>2027</v>
      </c>
      <c r="F2114" s="9" t="s">
        <v>207</v>
      </c>
      <c r="G2114" s="9" t="s">
        <v>221</v>
      </c>
      <c r="H2114" s="9" t="n">
        <v>6600</v>
      </c>
      <c r="I2114" s="29" t="n">
        <v>2</v>
      </c>
      <c r="J2114" s="9" t="n">
        <v>1</v>
      </c>
      <c r="K2114" s="30"/>
      <c r="L2114" s="30"/>
      <c r="M2114" s="30"/>
      <c r="N2114" s="30"/>
      <c r="O2114" s="30"/>
      <c r="P2114" s="30"/>
      <c r="Q2114" s="30"/>
      <c r="R2114" s="30"/>
      <c r="S2114" s="30"/>
      <c r="T2114" s="30"/>
      <c r="U2114" s="21" t="str">
        <f aca="false">IF(COUNT(K2114:T2114)=0,"SOURCE EMPTY / INDUSTRIAL ONLY",IF(MIN(K2114:T2114)=1,"SERVICE READY","HOLD"))</f>
        <v>SOURCE EMPTY / INDUSTRIAL ONLY</v>
      </c>
      <c r="V2114" s="9" t="n">
        <f aca="false">IF(U2114="SERVICE READY",1,0)</f>
        <v>0</v>
      </c>
      <c r="W2114" s="6"/>
      <c r="X2114" s="6"/>
      <c r="Y2114" s="6"/>
      <c r="Z2114" s="6"/>
    </row>
    <row r="2115" customFormat="false" ht="15" hidden="false" customHeight="false" outlineLevel="0" collapsed="false">
      <c r="A2115" s="9" t="s">
        <v>2371</v>
      </c>
      <c r="B2115" s="9" t="s">
        <v>2302</v>
      </c>
      <c r="C2115" s="9" t="s">
        <v>2303</v>
      </c>
      <c r="D2115" s="9" t="s">
        <v>2185</v>
      </c>
      <c r="E2115" s="9" t="s">
        <v>2027</v>
      </c>
      <c r="F2115" s="9" t="s">
        <v>209</v>
      </c>
      <c r="G2115" s="9" t="s">
        <v>221</v>
      </c>
      <c r="H2115" s="9" t="n">
        <v>6600</v>
      </c>
      <c r="I2115" s="29" t="n">
        <v>2</v>
      </c>
      <c r="J2115" s="9" t="n">
        <v>1</v>
      </c>
      <c r="K2115" s="30"/>
      <c r="L2115" s="30"/>
      <c r="M2115" s="30"/>
      <c r="N2115" s="30"/>
      <c r="O2115" s="30"/>
      <c r="P2115" s="30"/>
      <c r="Q2115" s="30"/>
      <c r="R2115" s="30"/>
      <c r="S2115" s="30"/>
      <c r="T2115" s="30"/>
      <c r="U2115" s="21" t="str">
        <f aca="false">IF(COUNT(K2115:T2115)=0,"SOURCE EMPTY / INDUSTRIAL ONLY",IF(MIN(K2115:T2115)=1,"SERVICE READY","HOLD"))</f>
        <v>SOURCE EMPTY / INDUSTRIAL ONLY</v>
      </c>
      <c r="V2115" s="9" t="n">
        <f aca="false">IF(U2115="SERVICE READY",1,0)</f>
        <v>0</v>
      </c>
      <c r="W2115" s="6"/>
      <c r="X2115" s="6"/>
      <c r="Y2115" s="6"/>
      <c r="Z2115" s="6"/>
    </row>
    <row r="2116" customFormat="false" ht="15" hidden="false" customHeight="false" outlineLevel="0" collapsed="false">
      <c r="A2116" s="9" t="s">
        <v>2372</v>
      </c>
      <c r="B2116" s="9" t="s">
        <v>2302</v>
      </c>
      <c r="C2116" s="9" t="s">
        <v>2303</v>
      </c>
      <c r="D2116" s="9" t="s">
        <v>2185</v>
      </c>
      <c r="E2116" s="9" t="s">
        <v>2027</v>
      </c>
      <c r="F2116" s="9" t="s">
        <v>211</v>
      </c>
      <c r="G2116" s="9" t="s">
        <v>221</v>
      </c>
      <c r="H2116" s="9" t="n">
        <v>6600</v>
      </c>
      <c r="I2116" s="29" t="n">
        <v>2</v>
      </c>
      <c r="J2116" s="9" t="n">
        <v>1</v>
      </c>
      <c r="K2116" s="30"/>
      <c r="L2116" s="30"/>
      <c r="M2116" s="30"/>
      <c r="N2116" s="30"/>
      <c r="O2116" s="30"/>
      <c r="P2116" s="30"/>
      <c r="Q2116" s="30"/>
      <c r="R2116" s="30"/>
      <c r="S2116" s="30"/>
      <c r="T2116" s="30"/>
      <c r="U2116" s="21" t="str">
        <f aca="false">IF(COUNT(K2116:T2116)=0,"SOURCE EMPTY / INDUSTRIAL ONLY",IF(MIN(K2116:T2116)=1,"SERVICE READY","HOLD"))</f>
        <v>SOURCE EMPTY / INDUSTRIAL ONLY</v>
      </c>
      <c r="V2116" s="9" t="n">
        <f aca="false">IF(U2116="SERVICE READY",1,0)</f>
        <v>0</v>
      </c>
      <c r="W2116" s="6"/>
      <c r="X2116" s="6"/>
      <c r="Y2116" s="6"/>
      <c r="Z2116" s="6"/>
    </row>
    <row r="2117" customFormat="false" ht="15" hidden="false" customHeight="false" outlineLevel="0" collapsed="false">
      <c r="A2117" s="9" t="s">
        <v>2373</v>
      </c>
      <c r="B2117" s="9" t="s">
        <v>2302</v>
      </c>
      <c r="C2117" s="9" t="s">
        <v>2303</v>
      </c>
      <c r="D2117" s="9" t="s">
        <v>2185</v>
      </c>
      <c r="E2117" s="9" t="s">
        <v>2027</v>
      </c>
      <c r="F2117" s="9" t="s">
        <v>197</v>
      </c>
      <c r="G2117" s="9" t="s">
        <v>221</v>
      </c>
      <c r="H2117" s="9" t="n">
        <v>6600</v>
      </c>
      <c r="I2117" s="29" t="n">
        <v>2</v>
      </c>
      <c r="J2117" s="9" t="n">
        <v>1</v>
      </c>
      <c r="K2117" s="30"/>
      <c r="L2117" s="30"/>
      <c r="M2117" s="30"/>
      <c r="N2117" s="30"/>
      <c r="O2117" s="30"/>
      <c r="P2117" s="30"/>
      <c r="Q2117" s="30"/>
      <c r="R2117" s="30"/>
      <c r="S2117" s="30"/>
      <c r="T2117" s="30"/>
      <c r="U2117" s="21" t="str">
        <f aca="false">IF(COUNT(K2117:T2117)=0,"SOURCE EMPTY / INDUSTRIAL ONLY",IF(MIN(K2117:T2117)=1,"SERVICE READY","HOLD"))</f>
        <v>SOURCE EMPTY / INDUSTRIAL ONLY</v>
      </c>
      <c r="V2117" s="9" t="n">
        <f aca="false">IF(U2117="SERVICE READY",1,0)</f>
        <v>0</v>
      </c>
      <c r="W2117" s="6"/>
      <c r="X2117" s="6"/>
      <c r="Y2117" s="6"/>
      <c r="Z2117" s="6"/>
    </row>
    <row r="2118" customFormat="false" ht="15" hidden="false" customHeight="false" outlineLevel="0" collapsed="false">
      <c r="A2118" s="9" t="s">
        <v>2374</v>
      </c>
      <c r="B2118" s="9" t="s">
        <v>2302</v>
      </c>
      <c r="C2118" s="9" t="s">
        <v>2303</v>
      </c>
      <c r="D2118" s="9" t="s">
        <v>2185</v>
      </c>
      <c r="E2118" s="9" t="s">
        <v>2027</v>
      </c>
      <c r="F2118" s="9" t="s">
        <v>200</v>
      </c>
      <c r="G2118" s="9" t="s">
        <v>221</v>
      </c>
      <c r="H2118" s="9" t="n">
        <v>6600</v>
      </c>
      <c r="I2118" s="29" t="n">
        <v>2</v>
      </c>
      <c r="J2118" s="9" t="n">
        <v>1</v>
      </c>
      <c r="K2118" s="30"/>
      <c r="L2118" s="30"/>
      <c r="M2118" s="30"/>
      <c r="N2118" s="30"/>
      <c r="O2118" s="30"/>
      <c r="P2118" s="30"/>
      <c r="Q2118" s="30"/>
      <c r="R2118" s="30"/>
      <c r="S2118" s="30"/>
      <c r="T2118" s="30"/>
      <c r="U2118" s="21" t="str">
        <f aca="false">IF(COUNT(K2118:T2118)=0,"SOURCE EMPTY / INDUSTRIAL ONLY",IF(MIN(K2118:T2118)=1,"SERVICE READY","HOLD"))</f>
        <v>SOURCE EMPTY / INDUSTRIAL ONLY</v>
      </c>
      <c r="V2118" s="9" t="n">
        <f aca="false">IF(U2118="SERVICE READY",1,0)</f>
        <v>0</v>
      </c>
      <c r="W2118" s="6"/>
      <c r="X2118" s="6"/>
      <c r="Y2118" s="6"/>
      <c r="Z2118" s="6"/>
    </row>
    <row r="2119" customFormat="false" ht="15" hidden="false" customHeight="false" outlineLevel="0" collapsed="false">
      <c r="A2119" s="9" t="s">
        <v>2375</v>
      </c>
      <c r="B2119" s="9" t="s">
        <v>2302</v>
      </c>
      <c r="C2119" s="9" t="s">
        <v>2303</v>
      </c>
      <c r="D2119" s="9" t="s">
        <v>2185</v>
      </c>
      <c r="E2119" s="9" t="s">
        <v>2027</v>
      </c>
      <c r="F2119" s="9" t="s">
        <v>203</v>
      </c>
      <c r="G2119" s="9" t="s">
        <v>221</v>
      </c>
      <c r="H2119" s="9" t="n">
        <v>6600</v>
      </c>
      <c r="I2119" s="29" t="n">
        <v>2</v>
      </c>
      <c r="J2119" s="9" t="n">
        <v>1</v>
      </c>
      <c r="K2119" s="30"/>
      <c r="L2119" s="30"/>
      <c r="M2119" s="30"/>
      <c r="N2119" s="30"/>
      <c r="O2119" s="30"/>
      <c r="P2119" s="30"/>
      <c r="Q2119" s="30"/>
      <c r="R2119" s="30"/>
      <c r="S2119" s="30"/>
      <c r="T2119" s="30"/>
      <c r="U2119" s="21" t="str">
        <f aca="false">IF(COUNT(K2119:T2119)=0,"SOURCE EMPTY / INDUSTRIAL ONLY",IF(MIN(K2119:T2119)=1,"SERVICE READY","HOLD"))</f>
        <v>SOURCE EMPTY / INDUSTRIAL ONLY</v>
      </c>
      <c r="V2119" s="9" t="n">
        <f aca="false">IF(U2119="SERVICE READY",1,0)</f>
        <v>0</v>
      </c>
      <c r="W2119" s="6"/>
      <c r="X2119" s="6"/>
      <c r="Y2119" s="6"/>
      <c r="Z2119" s="6"/>
    </row>
    <row r="2120" customFormat="false" ht="15" hidden="false" customHeight="false" outlineLevel="0" collapsed="false">
      <c r="A2120" s="9" t="s">
        <v>2376</v>
      </c>
      <c r="B2120" s="9" t="s">
        <v>2302</v>
      </c>
      <c r="C2120" s="9" t="s">
        <v>2303</v>
      </c>
      <c r="D2120" s="9" t="s">
        <v>2185</v>
      </c>
      <c r="E2120" s="9" t="s">
        <v>2027</v>
      </c>
      <c r="F2120" s="9" t="s">
        <v>205</v>
      </c>
      <c r="G2120" s="9" t="s">
        <v>221</v>
      </c>
      <c r="H2120" s="9" t="n">
        <v>6600</v>
      </c>
      <c r="I2120" s="29" t="n">
        <v>2</v>
      </c>
      <c r="J2120" s="9" t="n">
        <v>1</v>
      </c>
      <c r="K2120" s="30"/>
      <c r="L2120" s="30"/>
      <c r="M2120" s="30"/>
      <c r="N2120" s="30"/>
      <c r="O2120" s="30"/>
      <c r="P2120" s="30"/>
      <c r="Q2120" s="30"/>
      <c r="R2120" s="30"/>
      <c r="S2120" s="30"/>
      <c r="T2120" s="30"/>
      <c r="U2120" s="21" t="str">
        <f aca="false">IF(COUNT(K2120:T2120)=0,"SOURCE EMPTY / INDUSTRIAL ONLY",IF(MIN(K2120:T2120)=1,"SERVICE READY","HOLD"))</f>
        <v>SOURCE EMPTY / INDUSTRIAL ONLY</v>
      </c>
      <c r="V2120" s="9" t="n">
        <f aca="false">IF(U2120="SERVICE READY",1,0)</f>
        <v>0</v>
      </c>
      <c r="W2120" s="6"/>
      <c r="X2120" s="6"/>
      <c r="Y2120" s="6"/>
      <c r="Z2120" s="6"/>
    </row>
    <row r="2121" customFormat="false" ht="15" hidden="false" customHeight="false" outlineLevel="0" collapsed="false">
      <c r="A2121" s="9" t="s">
        <v>2377</v>
      </c>
      <c r="B2121" s="9" t="s">
        <v>2302</v>
      </c>
      <c r="C2121" s="9" t="s">
        <v>2303</v>
      </c>
      <c r="D2121" s="9" t="s">
        <v>2185</v>
      </c>
      <c r="E2121" s="9" t="s">
        <v>2027</v>
      </c>
      <c r="F2121" s="9" t="s">
        <v>207</v>
      </c>
      <c r="G2121" s="9" t="s">
        <v>221</v>
      </c>
      <c r="H2121" s="9" t="n">
        <v>6600</v>
      </c>
      <c r="I2121" s="29" t="n">
        <v>2</v>
      </c>
      <c r="J2121" s="9" t="n">
        <v>1</v>
      </c>
      <c r="K2121" s="30"/>
      <c r="L2121" s="30"/>
      <c r="M2121" s="30"/>
      <c r="N2121" s="30"/>
      <c r="O2121" s="30"/>
      <c r="P2121" s="30"/>
      <c r="Q2121" s="30"/>
      <c r="R2121" s="30"/>
      <c r="S2121" s="30"/>
      <c r="T2121" s="30"/>
      <c r="U2121" s="21" t="str">
        <f aca="false">IF(COUNT(K2121:T2121)=0,"SOURCE EMPTY / INDUSTRIAL ONLY",IF(MIN(K2121:T2121)=1,"SERVICE READY","HOLD"))</f>
        <v>SOURCE EMPTY / INDUSTRIAL ONLY</v>
      </c>
      <c r="V2121" s="9" t="n">
        <f aca="false">IF(U2121="SERVICE READY",1,0)</f>
        <v>0</v>
      </c>
      <c r="W2121" s="6"/>
      <c r="X2121" s="6"/>
      <c r="Y2121" s="6"/>
      <c r="Z2121" s="6"/>
    </row>
    <row r="2122" customFormat="false" ht="15" hidden="false" customHeight="false" outlineLevel="0" collapsed="false">
      <c r="A2122" s="9" t="s">
        <v>2378</v>
      </c>
      <c r="B2122" s="9" t="s">
        <v>2302</v>
      </c>
      <c r="C2122" s="9" t="s">
        <v>2303</v>
      </c>
      <c r="D2122" s="9" t="s">
        <v>2185</v>
      </c>
      <c r="E2122" s="9" t="s">
        <v>2027</v>
      </c>
      <c r="F2122" s="9" t="s">
        <v>209</v>
      </c>
      <c r="G2122" s="9" t="s">
        <v>221</v>
      </c>
      <c r="H2122" s="9" t="n">
        <v>6600</v>
      </c>
      <c r="I2122" s="29" t="n">
        <v>2</v>
      </c>
      <c r="J2122" s="9" t="n">
        <v>1</v>
      </c>
      <c r="K2122" s="30"/>
      <c r="L2122" s="30"/>
      <c r="M2122" s="30"/>
      <c r="N2122" s="30"/>
      <c r="O2122" s="30"/>
      <c r="P2122" s="30"/>
      <c r="Q2122" s="30"/>
      <c r="R2122" s="30"/>
      <c r="S2122" s="30"/>
      <c r="T2122" s="30"/>
      <c r="U2122" s="21" t="str">
        <f aca="false">IF(COUNT(K2122:T2122)=0,"SOURCE EMPTY / INDUSTRIAL ONLY",IF(MIN(K2122:T2122)=1,"SERVICE READY","HOLD"))</f>
        <v>SOURCE EMPTY / INDUSTRIAL ONLY</v>
      </c>
      <c r="V2122" s="9" t="n">
        <f aca="false">IF(U2122="SERVICE READY",1,0)</f>
        <v>0</v>
      </c>
      <c r="W2122" s="6"/>
      <c r="X2122" s="6"/>
      <c r="Y2122" s="6"/>
      <c r="Z2122" s="6"/>
    </row>
    <row r="2123" customFormat="false" ht="15" hidden="false" customHeight="false" outlineLevel="0" collapsed="false">
      <c r="A2123" s="9" t="s">
        <v>2379</v>
      </c>
      <c r="B2123" s="9" t="s">
        <v>2302</v>
      </c>
      <c r="C2123" s="9" t="s">
        <v>2303</v>
      </c>
      <c r="D2123" s="9" t="s">
        <v>2185</v>
      </c>
      <c r="E2123" s="9" t="s">
        <v>2027</v>
      </c>
      <c r="F2123" s="9" t="s">
        <v>211</v>
      </c>
      <c r="G2123" s="9" t="s">
        <v>221</v>
      </c>
      <c r="H2123" s="9" t="n">
        <v>6600</v>
      </c>
      <c r="I2123" s="29" t="n">
        <v>2</v>
      </c>
      <c r="J2123" s="9" t="n">
        <v>1</v>
      </c>
      <c r="K2123" s="30"/>
      <c r="L2123" s="30"/>
      <c r="M2123" s="30"/>
      <c r="N2123" s="30"/>
      <c r="O2123" s="30"/>
      <c r="P2123" s="30"/>
      <c r="Q2123" s="30"/>
      <c r="R2123" s="30"/>
      <c r="S2123" s="30"/>
      <c r="T2123" s="30"/>
      <c r="U2123" s="21" t="str">
        <f aca="false">IF(COUNT(K2123:T2123)=0,"SOURCE EMPTY / INDUSTRIAL ONLY",IF(MIN(K2123:T2123)=1,"SERVICE READY","HOLD"))</f>
        <v>SOURCE EMPTY / INDUSTRIAL ONLY</v>
      </c>
      <c r="V2123" s="9" t="n">
        <f aca="false">IF(U2123="SERVICE READY",1,0)</f>
        <v>0</v>
      </c>
      <c r="W2123" s="6"/>
      <c r="X2123" s="6"/>
      <c r="Y2123" s="6"/>
      <c r="Z2123" s="6"/>
    </row>
    <row r="2124" customFormat="false" ht="15" hidden="false" customHeight="false" outlineLevel="0" collapsed="false">
      <c r="A2124" s="9" t="s">
        <v>2380</v>
      </c>
      <c r="B2124" s="9" t="s">
        <v>2302</v>
      </c>
      <c r="C2124" s="9" t="s">
        <v>2303</v>
      </c>
      <c r="D2124" s="9" t="s">
        <v>2185</v>
      </c>
      <c r="E2124" s="9" t="s">
        <v>2027</v>
      </c>
      <c r="F2124" s="9" t="s">
        <v>197</v>
      </c>
      <c r="G2124" s="9" t="s">
        <v>221</v>
      </c>
      <c r="H2124" s="9" t="n">
        <v>6600</v>
      </c>
      <c r="I2124" s="29" t="n">
        <v>2</v>
      </c>
      <c r="J2124" s="9" t="n">
        <v>1</v>
      </c>
      <c r="K2124" s="30"/>
      <c r="L2124" s="30"/>
      <c r="M2124" s="30"/>
      <c r="N2124" s="30"/>
      <c r="O2124" s="30"/>
      <c r="P2124" s="30"/>
      <c r="Q2124" s="30"/>
      <c r="R2124" s="30"/>
      <c r="S2124" s="30"/>
      <c r="T2124" s="30"/>
      <c r="U2124" s="21" t="str">
        <f aca="false">IF(COUNT(K2124:T2124)=0,"SOURCE EMPTY / INDUSTRIAL ONLY",IF(MIN(K2124:T2124)=1,"SERVICE READY","HOLD"))</f>
        <v>SOURCE EMPTY / INDUSTRIAL ONLY</v>
      </c>
      <c r="V2124" s="9" t="n">
        <f aca="false">IF(U2124="SERVICE READY",1,0)</f>
        <v>0</v>
      </c>
      <c r="W2124" s="6"/>
      <c r="X2124" s="6"/>
      <c r="Y2124" s="6"/>
      <c r="Z2124" s="6"/>
    </row>
    <row r="2125" customFormat="false" ht="15" hidden="false" customHeight="false" outlineLevel="0" collapsed="false">
      <c r="A2125" s="9" t="s">
        <v>2381</v>
      </c>
      <c r="B2125" s="9" t="s">
        <v>2302</v>
      </c>
      <c r="C2125" s="9" t="s">
        <v>2303</v>
      </c>
      <c r="D2125" s="9" t="s">
        <v>2185</v>
      </c>
      <c r="E2125" s="9" t="s">
        <v>2027</v>
      </c>
      <c r="F2125" s="9" t="s">
        <v>200</v>
      </c>
      <c r="G2125" s="9" t="s">
        <v>221</v>
      </c>
      <c r="H2125" s="9" t="n">
        <v>6600</v>
      </c>
      <c r="I2125" s="29" t="n">
        <v>2</v>
      </c>
      <c r="J2125" s="9" t="n">
        <v>1</v>
      </c>
      <c r="K2125" s="30"/>
      <c r="L2125" s="30"/>
      <c r="M2125" s="30"/>
      <c r="N2125" s="30"/>
      <c r="O2125" s="30"/>
      <c r="P2125" s="30"/>
      <c r="Q2125" s="30"/>
      <c r="R2125" s="30"/>
      <c r="S2125" s="30"/>
      <c r="T2125" s="30"/>
      <c r="U2125" s="21" t="str">
        <f aca="false">IF(COUNT(K2125:T2125)=0,"SOURCE EMPTY / INDUSTRIAL ONLY",IF(MIN(K2125:T2125)=1,"SERVICE READY","HOLD"))</f>
        <v>SOURCE EMPTY / INDUSTRIAL ONLY</v>
      </c>
      <c r="V2125" s="9" t="n">
        <f aca="false">IF(U2125="SERVICE READY",1,0)</f>
        <v>0</v>
      </c>
      <c r="W2125" s="6"/>
      <c r="X2125" s="6"/>
      <c r="Y2125" s="6"/>
      <c r="Z2125" s="6"/>
    </row>
    <row r="2126" customFormat="false" ht="15" hidden="false" customHeight="false" outlineLevel="0" collapsed="false">
      <c r="A2126" s="9" t="s">
        <v>2382</v>
      </c>
      <c r="B2126" s="9" t="s">
        <v>2302</v>
      </c>
      <c r="C2126" s="9" t="s">
        <v>2303</v>
      </c>
      <c r="D2126" s="9" t="s">
        <v>2185</v>
      </c>
      <c r="E2126" s="9" t="s">
        <v>2027</v>
      </c>
      <c r="F2126" s="9" t="s">
        <v>203</v>
      </c>
      <c r="G2126" s="9" t="s">
        <v>221</v>
      </c>
      <c r="H2126" s="9" t="n">
        <v>6600</v>
      </c>
      <c r="I2126" s="29" t="n">
        <v>2</v>
      </c>
      <c r="J2126" s="9" t="n">
        <v>1</v>
      </c>
      <c r="K2126" s="30"/>
      <c r="L2126" s="30"/>
      <c r="M2126" s="30"/>
      <c r="N2126" s="30"/>
      <c r="O2126" s="30"/>
      <c r="P2126" s="30"/>
      <c r="Q2126" s="30"/>
      <c r="R2126" s="30"/>
      <c r="S2126" s="30"/>
      <c r="T2126" s="30"/>
      <c r="U2126" s="21" t="str">
        <f aca="false">IF(COUNT(K2126:T2126)=0,"SOURCE EMPTY / INDUSTRIAL ONLY",IF(MIN(K2126:T2126)=1,"SERVICE READY","HOLD"))</f>
        <v>SOURCE EMPTY / INDUSTRIAL ONLY</v>
      </c>
      <c r="V2126" s="9" t="n">
        <f aca="false">IF(U2126="SERVICE READY",1,0)</f>
        <v>0</v>
      </c>
      <c r="W2126" s="6"/>
      <c r="X2126" s="6"/>
      <c r="Y2126" s="6"/>
      <c r="Z2126" s="6"/>
    </row>
    <row r="2127" customFormat="false" ht="15" hidden="false" customHeight="false" outlineLevel="0" collapsed="false">
      <c r="A2127" s="9" t="s">
        <v>2383</v>
      </c>
      <c r="B2127" s="9" t="s">
        <v>2302</v>
      </c>
      <c r="C2127" s="9" t="s">
        <v>2303</v>
      </c>
      <c r="D2127" s="9" t="s">
        <v>2185</v>
      </c>
      <c r="E2127" s="9" t="s">
        <v>2027</v>
      </c>
      <c r="F2127" s="9" t="s">
        <v>205</v>
      </c>
      <c r="G2127" s="9" t="s">
        <v>221</v>
      </c>
      <c r="H2127" s="9" t="n">
        <v>6600</v>
      </c>
      <c r="I2127" s="29" t="n">
        <v>2</v>
      </c>
      <c r="J2127" s="9" t="n">
        <v>1</v>
      </c>
      <c r="K2127" s="30"/>
      <c r="L2127" s="30"/>
      <c r="M2127" s="30"/>
      <c r="N2127" s="30"/>
      <c r="O2127" s="30"/>
      <c r="P2127" s="30"/>
      <c r="Q2127" s="30"/>
      <c r="R2127" s="30"/>
      <c r="S2127" s="30"/>
      <c r="T2127" s="30"/>
      <c r="U2127" s="21" t="str">
        <f aca="false">IF(COUNT(K2127:T2127)=0,"SOURCE EMPTY / INDUSTRIAL ONLY",IF(MIN(K2127:T2127)=1,"SERVICE READY","HOLD"))</f>
        <v>SOURCE EMPTY / INDUSTRIAL ONLY</v>
      </c>
      <c r="V2127" s="9" t="n">
        <f aca="false">IF(U2127="SERVICE READY",1,0)</f>
        <v>0</v>
      </c>
      <c r="W2127" s="6"/>
      <c r="X2127" s="6"/>
      <c r="Y2127" s="6"/>
      <c r="Z2127" s="6"/>
    </row>
    <row r="2128" customFormat="false" ht="15" hidden="false" customHeight="false" outlineLevel="0" collapsed="false">
      <c r="A2128" s="9" t="s">
        <v>2384</v>
      </c>
      <c r="B2128" s="9" t="s">
        <v>2302</v>
      </c>
      <c r="C2128" s="9" t="s">
        <v>2303</v>
      </c>
      <c r="D2128" s="9" t="s">
        <v>2185</v>
      </c>
      <c r="E2128" s="9" t="s">
        <v>2027</v>
      </c>
      <c r="F2128" s="9" t="s">
        <v>207</v>
      </c>
      <c r="G2128" s="9" t="s">
        <v>221</v>
      </c>
      <c r="H2128" s="9" t="n">
        <v>6600</v>
      </c>
      <c r="I2128" s="29" t="n">
        <v>2</v>
      </c>
      <c r="J2128" s="9" t="n">
        <v>1</v>
      </c>
      <c r="K2128" s="30"/>
      <c r="L2128" s="30"/>
      <c r="M2128" s="30"/>
      <c r="N2128" s="30"/>
      <c r="O2128" s="30"/>
      <c r="P2128" s="30"/>
      <c r="Q2128" s="30"/>
      <c r="R2128" s="30"/>
      <c r="S2128" s="30"/>
      <c r="T2128" s="30"/>
      <c r="U2128" s="21" t="str">
        <f aca="false">IF(COUNT(K2128:T2128)=0,"SOURCE EMPTY / INDUSTRIAL ONLY",IF(MIN(K2128:T2128)=1,"SERVICE READY","HOLD"))</f>
        <v>SOURCE EMPTY / INDUSTRIAL ONLY</v>
      </c>
      <c r="V2128" s="9" t="n">
        <f aca="false">IF(U2128="SERVICE READY",1,0)</f>
        <v>0</v>
      </c>
      <c r="W2128" s="6"/>
      <c r="X2128" s="6"/>
      <c r="Y2128" s="6"/>
      <c r="Z2128" s="6"/>
    </row>
    <row r="2129" customFormat="false" ht="15" hidden="false" customHeight="false" outlineLevel="0" collapsed="false">
      <c r="A2129" s="9" t="s">
        <v>2385</v>
      </c>
      <c r="B2129" s="9" t="s">
        <v>2302</v>
      </c>
      <c r="C2129" s="9" t="s">
        <v>2303</v>
      </c>
      <c r="D2129" s="9" t="s">
        <v>2185</v>
      </c>
      <c r="E2129" s="9" t="s">
        <v>2027</v>
      </c>
      <c r="F2129" s="9" t="s">
        <v>209</v>
      </c>
      <c r="G2129" s="9" t="s">
        <v>221</v>
      </c>
      <c r="H2129" s="9" t="n">
        <v>6600</v>
      </c>
      <c r="I2129" s="29" t="n">
        <v>2</v>
      </c>
      <c r="J2129" s="9" t="n">
        <v>1</v>
      </c>
      <c r="K2129" s="30"/>
      <c r="L2129" s="30"/>
      <c r="M2129" s="30"/>
      <c r="N2129" s="30"/>
      <c r="O2129" s="30"/>
      <c r="P2129" s="30"/>
      <c r="Q2129" s="30"/>
      <c r="R2129" s="30"/>
      <c r="S2129" s="30"/>
      <c r="T2129" s="30"/>
      <c r="U2129" s="21" t="str">
        <f aca="false">IF(COUNT(K2129:T2129)=0,"SOURCE EMPTY / INDUSTRIAL ONLY",IF(MIN(K2129:T2129)=1,"SERVICE READY","HOLD"))</f>
        <v>SOURCE EMPTY / INDUSTRIAL ONLY</v>
      </c>
      <c r="V2129" s="9" t="n">
        <f aca="false">IF(U2129="SERVICE READY",1,0)</f>
        <v>0</v>
      </c>
      <c r="W2129" s="6"/>
      <c r="X2129" s="6"/>
      <c r="Y2129" s="6"/>
      <c r="Z2129" s="6"/>
    </row>
    <row r="2130" customFormat="false" ht="15" hidden="false" customHeight="false" outlineLevel="0" collapsed="false">
      <c r="A2130" s="9" t="s">
        <v>2386</v>
      </c>
      <c r="B2130" s="9" t="s">
        <v>2302</v>
      </c>
      <c r="C2130" s="9" t="s">
        <v>2303</v>
      </c>
      <c r="D2130" s="9" t="s">
        <v>2185</v>
      </c>
      <c r="E2130" s="9" t="s">
        <v>2027</v>
      </c>
      <c r="F2130" s="9" t="s">
        <v>211</v>
      </c>
      <c r="G2130" s="9" t="s">
        <v>221</v>
      </c>
      <c r="H2130" s="9" t="n">
        <v>6600</v>
      </c>
      <c r="I2130" s="29" t="n">
        <v>2</v>
      </c>
      <c r="J2130" s="9" t="n">
        <v>1</v>
      </c>
      <c r="K2130" s="30"/>
      <c r="L2130" s="30"/>
      <c r="M2130" s="30"/>
      <c r="N2130" s="30"/>
      <c r="O2130" s="30"/>
      <c r="P2130" s="30"/>
      <c r="Q2130" s="30"/>
      <c r="R2130" s="30"/>
      <c r="S2130" s="30"/>
      <c r="T2130" s="30"/>
      <c r="U2130" s="21" t="str">
        <f aca="false">IF(COUNT(K2130:T2130)=0,"SOURCE EMPTY / INDUSTRIAL ONLY",IF(MIN(K2130:T2130)=1,"SERVICE READY","HOLD"))</f>
        <v>SOURCE EMPTY / INDUSTRIAL ONLY</v>
      </c>
      <c r="V2130" s="9" t="n">
        <f aca="false">IF(U2130="SERVICE READY",1,0)</f>
        <v>0</v>
      </c>
      <c r="W2130" s="6"/>
      <c r="X2130" s="6"/>
      <c r="Y2130" s="6"/>
      <c r="Z2130" s="6"/>
    </row>
    <row r="2131" customFormat="false" ht="15" hidden="false" customHeight="false" outlineLevel="0" collapsed="false">
      <c r="A2131" s="9" t="s">
        <v>2387</v>
      </c>
      <c r="B2131" s="9" t="s">
        <v>2302</v>
      </c>
      <c r="C2131" s="9" t="s">
        <v>2303</v>
      </c>
      <c r="D2131" s="9" t="s">
        <v>2185</v>
      </c>
      <c r="E2131" s="9" t="s">
        <v>2027</v>
      </c>
      <c r="F2131" s="9" t="s">
        <v>197</v>
      </c>
      <c r="G2131" s="9" t="s">
        <v>221</v>
      </c>
      <c r="H2131" s="9" t="n">
        <v>6600</v>
      </c>
      <c r="I2131" s="29" t="n">
        <v>2</v>
      </c>
      <c r="J2131" s="9" t="n">
        <v>1</v>
      </c>
      <c r="K2131" s="30"/>
      <c r="L2131" s="30"/>
      <c r="M2131" s="30"/>
      <c r="N2131" s="30"/>
      <c r="O2131" s="30"/>
      <c r="P2131" s="30"/>
      <c r="Q2131" s="30"/>
      <c r="R2131" s="30"/>
      <c r="S2131" s="30"/>
      <c r="T2131" s="30"/>
      <c r="U2131" s="21" t="str">
        <f aca="false">IF(COUNT(K2131:T2131)=0,"SOURCE EMPTY / INDUSTRIAL ONLY",IF(MIN(K2131:T2131)=1,"SERVICE READY","HOLD"))</f>
        <v>SOURCE EMPTY / INDUSTRIAL ONLY</v>
      </c>
      <c r="V2131" s="9" t="n">
        <f aca="false">IF(U2131="SERVICE READY",1,0)</f>
        <v>0</v>
      </c>
      <c r="W2131" s="6"/>
      <c r="X2131" s="6"/>
      <c r="Y2131" s="6"/>
      <c r="Z2131" s="6"/>
    </row>
    <row r="2132" customFormat="false" ht="15" hidden="false" customHeight="false" outlineLevel="0" collapsed="false">
      <c r="A2132" s="9" t="s">
        <v>2388</v>
      </c>
      <c r="B2132" s="9" t="s">
        <v>2302</v>
      </c>
      <c r="C2132" s="9" t="s">
        <v>2303</v>
      </c>
      <c r="D2132" s="9" t="s">
        <v>2185</v>
      </c>
      <c r="E2132" s="9" t="s">
        <v>2027</v>
      </c>
      <c r="F2132" s="9" t="s">
        <v>200</v>
      </c>
      <c r="G2132" s="9" t="s">
        <v>221</v>
      </c>
      <c r="H2132" s="9" t="n">
        <v>6600</v>
      </c>
      <c r="I2132" s="29" t="n">
        <v>2</v>
      </c>
      <c r="J2132" s="9" t="n">
        <v>1</v>
      </c>
      <c r="K2132" s="30"/>
      <c r="L2132" s="30"/>
      <c r="M2132" s="30"/>
      <c r="N2132" s="30"/>
      <c r="O2132" s="30"/>
      <c r="P2132" s="30"/>
      <c r="Q2132" s="30"/>
      <c r="R2132" s="30"/>
      <c r="S2132" s="30"/>
      <c r="T2132" s="30"/>
      <c r="U2132" s="21" t="str">
        <f aca="false">IF(COUNT(K2132:T2132)=0,"SOURCE EMPTY / INDUSTRIAL ONLY",IF(MIN(K2132:T2132)=1,"SERVICE READY","HOLD"))</f>
        <v>SOURCE EMPTY / INDUSTRIAL ONLY</v>
      </c>
      <c r="V2132" s="9" t="n">
        <f aca="false">IF(U2132="SERVICE READY",1,0)</f>
        <v>0</v>
      </c>
      <c r="W2132" s="6"/>
      <c r="X2132" s="6"/>
      <c r="Y2132" s="6"/>
      <c r="Z2132" s="6"/>
    </row>
    <row r="2133" customFormat="false" ht="15" hidden="false" customHeight="false" outlineLevel="0" collapsed="false">
      <c r="A2133" s="9" t="s">
        <v>2389</v>
      </c>
      <c r="B2133" s="9" t="s">
        <v>2302</v>
      </c>
      <c r="C2133" s="9" t="s">
        <v>2303</v>
      </c>
      <c r="D2133" s="9" t="s">
        <v>2185</v>
      </c>
      <c r="E2133" s="9" t="s">
        <v>2027</v>
      </c>
      <c r="F2133" s="9" t="s">
        <v>203</v>
      </c>
      <c r="G2133" s="9" t="s">
        <v>221</v>
      </c>
      <c r="H2133" s="9" t="n">
        <v>6600</v>
      </c>
      <c r="I2133" s="29" t="n">
        <v>2</v>
      </c>
      <c r="J2133" s="9" t="n">
        <v>1</v>
      </c>
      <c r="K2133" s="30"/>
      <c r="L2133" s="30"/>
      <c r="M2133" s="30"/>
      <c r="N2133" s="30"/>
      <c r="O2133" s="30"/>
      <c r="P2133" s="30"/>
      <c r="Q2133" s="30"/>
      <c r="R2133" s="30"/>
      <c r="S2133" s="30"/>
      <c r="T2133" s="30"/>
      <c r="U2133" s="21" t="str">
        <f aca="false">IF(COUNT(K2133:T2133)=0,"SOURCE EMPTY / INDUSTRIAL ONLY",IF(MIN(K2133:T2133)=1,"SERVICE READY","HOLD"))</f>
        <v>SOURCE EMPTY / INDUSTRIAL ONLY</v>
      </c>
      <c r="V2133" s="9" t="n">
        <f aca="false">IF(U2133="SERVICE READY",1,0)</f>
        <v>0</v>
      </c>
      <c r="W2133" s="6"/>
      <c r="X2133" s="6"/>
      <c r="Y2133" s="6"/>
      <c r="Z2133" s="6"/>
    </row>
    <row r="2134" customFormat="false" ht="15" hidden="false" customHeight="false" outlineLevel="0" collapsed="false">
      <c r="A2134" s="9" t="s">
        <v>2390</v>
      </c>
      <c r="B2134" s="9" t="s">
        <v>2302</v>
      </c>
      <c r="C2134" s="9" t="s">
        <v>2303</v>
      </c>
      <c r="D2134" s="9" t="s">
        <v>2185</v>
      </c>
      <c r="E2134" s="9" t="s">
        <v>2027</v>
      </c>
      <c r="F2134" s="9" t="s">
        <v>205</v>
      </c>
      <c r="G2134" s="9" t="s">
        <v>221</v>
      </c>
      <c r="H2134" s="9" t="n">
        <v>6600</v>
      </c>
      <c r="I2134" s="29" t="n">
        <v>2</v>
      </c>
      <c r="J2134" s="9" t="n">
        <v>1</v>
      </c>
      <c r="K2134" s="30"/>
      <c r="L2134" s="30"/>
      <c r="M2134" s="30"/>
      <c r="N2134" s="30"/>
      <c r="O2134" s="30"/>
      <c r="P2134" s="30"/>
      <c r="Q2134" s="30"/>
      <c r="R2134" s="30"/>
      <c r="S2134" s="30"/>
      <c r="T2134" s="30"/>
      <c r="U2134" s="21" t="str">
        <f aca="false">IF(COUNT(K2134:T2134)=0,"SOURCE EMPTY / INDUSTRIAL ONLY",IF(MIN(K2134:T2134)=1,"SERVICE READY","HOLD"))</f>
        <v>SOURCE EMPTY / INDUSTRIAL ONLY</v>
      </c>
      <c r="V2134" s="9" t="n">
        <f aca="false">IF(U2134="SERVICE READY",1,0)</f>
        <v>0</v>
      </c>
      <c r="W2134" s="6"/>
      <c r="X2134" s="6"/>
      <c r="Y2134" s="6"/>
      <c r="Z2134" s="6"/>
    </row>
    <row r="2135" customFormat="false" ht="15" hidden="false" customHeight="false" outlineLevel="0" collapsed="false">
      <c r="A2135" s="9" t="s">
        <v>2391</v>
      </c>
      <c r="B2135" s="9" t="s">
        <v>2302</v>
      </c>
      <c r="C2135" s="9" t="s">
        <v>2303</v>
      </c>
      <c r="D2135" s="9" t="s">
        <v>2185</v>
      </c>
      <c r="E2135" s="9" t="s">
        <v>2027</v>
      </c>
      <c r="F2135" s="9" t="s">
        <v>207</v>
      </c>
      <c r="G2135" s="9" t="s">
        <v>221</v>
      </c>
      <c r="H2135" s="9" t="n">
        <v>6600</v>
      </c>
      <c r="I2135" s="29" t="n">
        <v>2</v>
      </c>
      <c r="J2135" s="9" t="n">
        <v>1</v>
      </c>
      <c r="K2135" s="30"/>
      <c r="L2135" s="30"/>
      <c r="M2135" s="30"/>
      <c r="N2135" s="30"/>
      <c r="O2135" s="30"/>
      <c r="P2135" s="30"/>
      <c r="Q2135" s="30"/>
      <c r="R2135" s="30"/>
      <c r="S2135" s="30"/>
      <c r="T2135" s="30"/>
      <c r="U2135" s="21" t="str">
        <f aca="false">IF(COUNT(K2135:T2135)=0,"SOURCE EMPTY / INDUSTRIAL ONLY",IF(MIN(K2135:T2135)=1,"SERVICE READY","HOLD"))</f>
        <v>SOURCE EMPTY / INDUSTRIAL ONLY</v>
      </c>
      <c r="V2135" s="9" t="n">
        <f aca="false">IF(U2135="SERVICE READY",1,0)</f>
        <v>0</v>
      </c>
      <c r="W2135" s="6"/>
      <c r="X2135" s="6"/>
      <c r="Y2135" s="6"/>
      <c r="Z2135" s="6"/>
    </row>
    <row r="2136" customFormat="false" ht="15" hidden="false" customHeight="false" outlineLevel="0" collapsed="false">
      <c r="A2136" s="9" t="s">
        <v>2392</v>
      </c>
      <c r="B2136" s="9" t="s">
        <v>2302</v>
      </c>
      <c r="C2136" s="9" t="s">
        <v>2303</v>
      </c>
      <c r="D2136" s="9" t="s">
        <v>2185</v>
      </c>
      <c r="E2136" s="9" t="s">
        <v>2027</v>
      </c>
      <c r="F2136" s="9" t="s">
        <v>209</v>
      </c>
      <c r="G2136" s="9" t="s">
        <v>221</v>
      </c>
      <c r="H2136" s="9" t="n">
        <v>6600</v>
      </c>
      <c r="I2136" s="29" t="n">
        <v>2</v>
      </c>
      <c r="J2136" s="9" t="n">
        <v>1</v>
      </c>
      <c r="K2136" s="30"/>
      <c r="L2136" s="30"/>
      <c r="M2136" s="30"/>
      <c r="N2136" s="30"/>
      <c r="O2136" s="30"/>
      <c r="P2136" s="30"/>
      <c r="Q2136" s="30"/>
      <c r="R2136" s="30"/>
      <c r="S2136" s="30"/>
      <c r="T2136" s="30"/>
      <c r="U2136" s="21" t="str">
        <f aca="false">IF(COUNT(K2136:T2136)=0,"SOURCE EMPTY / INDUSTRIAL ONLY",IF(MIN(K2136:T2136)=1,"SERVICE READY","HOLD"))</f>
        <v>SOURCE EMPTY / INDUSTRIAL ONLY</v>
      </c>
      <c r="V2136" s="9" t="n">
        <f aca="false">IF(U2136="SERVICE READY",1,0)</f>
        <v>0</v>
      </c>
      <c r="W2136" s="6"/>
      <c r="X2136" s="6"/>
      <c r="Y2136" s="6"/>
      <c r="Z2136" s="6"/>
    </row>
    <row r="2137" customFormat="false" ht="15" hidden="false" customHeight="false" outlineLevel="0" collapsed="false">
      <c r="A2137" s="9" t="s">
        <v>2393</v>
      </c>
      <c r="B2137" s="9" t="s">
        <v>2302</v>
      </c>
      <c r="C2137" s="9" t="s">
        <v>2303</v>
      </c>
      <c r="D2137" s="9" t="s">
        <v>2185</v>
      </c>
      <c r="E2137" s="9" t="s">
        <v>2027</v>
      </c>
      <c r="F2137" s="9" t="s">
        <v>211</v>
      </c>
      <c r="G2137" s="9" t="s">
        <v>221</v>
      </c>
      <c r="H2137" s="9" t="n">
        <v>6600</v>
      </c>
      <c r="I2137" s="29" t="n">
        <v>2</v>
      </c>
      <c r="J2137" s="9" t="n">
        <v>1</v>
      </c>
      <c r="K2137" s="30"/>
      <c r="L2137" s="30"/>
      <c r="M2137" s="30"/>
      <c r="N2137" s="30"/>
      <c r="O2137" s="30"/>
      <c r="P2137" s="30"/>
      <c r="Q2137" s="30"/>
      <c r="R2137" s="30"/>
      <c r="S2137" s="30"/>
      <c r="T2137" s="30"/>
      <c r="U2137" s="21" t="str">
        <f aca="false">IF(COUNT(K2137:T2137)=0,"SOURCE EMPTY / INDUSTRIAL ONLY",IF(MIN(K2137:T2137)=1,"SERVICE READY","HOLD"))</f>
        <v>SOURCE EMPTY / INDUSTRIAL ONLY</v>
      </c>
      <c r="V2137" s="9" t="n">
        <f aca="false">IF(U2137="SERVICE READY",1,0)</f>
        <v>0</v>
      </c>
      <c r="W2137" s="6"/>
      <c r="X2137" s="6"/>
      <c r="Y2137" s="6"/>
      <c r="Z2137" s="6"/>
    </row>
    <row r="2138" customFormat="false" ht="15" hidden="false" customHeight="false" outlineLevel="0" collapsed="false">
      <c r="A2138" s="9" t="s">
        <v>2394</v>
      </c>
      <c r="B2138" s="9" t="s">
        <v>2302</v>
      </c>
      <c r="C2138" s="9" t="s">
        <v>2303</v>
      </c>
      <c r="D2138" s="9" t="s">
        <v>2185</v>
      </c>
      <c r="E2138" s="9" t="s">
        <v>2027</v>
      </c>
      <c r="F2138" s="9" t="s">
        <v>197</v>
      </c>
      <c r="G2138" s="9" t="s">
        <v>221</v>
      </c>
      <c r="H2138" s="9" t="n">
        <v>6600</v>
      </c>
      <c r="I2138" s="29" t="n">
        <v>2</v>
      </c>
      <c r="J2138" s="9" t="n">
        <v>1</v>
      </c>
      <c r="K2138" s="30"/>
      <c r="L2138" s="30"/>
      <c r="M2138" s="30"/>
      <c r="N2138" s="30"/>
      <c r="O2138" s="30"/>
      <c r="P2138" s="30"/>
      <c r="Q2138" s="30"/>
      <c r="R2138" s="30"/>
      <c r="S2138" s="30"/>
      <c r="T2138" s="30"/>
      <c r="U2138" s="21" t="str">
        <f aca="false">IF(COUNT(K2138:T2138)=0,"SOURCE EMPTY / INDUSTRIAL ONLY",IF(MIN(K2138:T2138)=1,"SERVICE READY","HOLD"))</f>
        <v>SOURCE EMPTY / INDUSTRIAL ONLY</v>
      </c>
      <c r="V2138" s="9" t="n">
        <f aca="false">IF(U2138="SERVICE READY",1,0)</f>
        <v>0</v>
      </c>
      <c r="W2138" s="6"/>
      <c r="X2138" s="6"/>
      <c r="Y2138" s="6"/>
      <c r="Z2138" s="6"/>
    </row>
    <row r="2139" customFormat="false" ht="15" hidden="false" customHeight="false" outlineLevel="0" collapsed="false">
      <c r="A2139" s="9" t="s">
        <v>2395</v>
      </c>
      <c r="B2139" s="9" t="s">
        <v>2302</v>
      </c>
      <c r="C2139" s="9" t="s">
        <v>2303</v>
      </c>
      <c r="D2139" s="9" t="s">
        <v>2185</v>
      </c>
      <c r="E2139" s="9" t="s">
        <v>2027</v>
      </c>
      <c r="F2139" s="9" t="s">
        <v>200</v>
      </c>
      <c r="G2139" s="9" t="s">
        <v>221</v>
      </c>
      <c r="H2139" s="9" t="n">
        <v>6600</v>
      </c>
      <c r="I2139" s="29" t="n">
        <v>2</v>
      </c>
      <c r="J2139" s="9" t="n">
        <v>1</v>
      </c>
      <c r="K2139" s="30"/>
      <c r="L2139" s="30"/>
      <c r="M2139" s="30"/>
      <c r="N2139" s="30"/>
      <c r="O2139" s="30"/>
      <c r="P2139" s="30"/>
      <c r="Q2139" s="30"/>
      <c r="R2139" s="30"/>
      <c r="S2139" s="30"/>
      <c r="T2139" s="30"/>
      <c r="U2139" s="21" t="str">
        <f aca="false">IF(COUNT(K2139:T2139)=0,"SOURCE EMPTY / INDUSTRIAL ONLY",IF(MIN(K2139:T2139)=1,"SERVICE READY","HOLD"))</f>
        <v>SOURCE EMPTY / INDUSTRIAL ONLY</v>
      </c>
      <c r="V2139" s="9" t="n">
        <f aca="false">IF(U2139="SERVICE READY",1,0)</f>
        <v>0</v>
      </c>
      <c r="W2139" s="6"/>
      <c r="X2139" s="6"/>
      <c r="Y2139" s="6"/>
      <c r="Z2139" s="6"/>
    </row>
    <row r="2140" customFormat="false" ht="15" hidden="false" customHeight="false" outlineLevel="0" collapsed="false">
      <c r="A2140" s="9" t="s">
        <v>2396</v>
      </c>
      <c r="B2140" s="9" t="s">
        <v>2302</v>
      </c>
      <c r="C2140" s="9" t="s">
        <v>2303</v>
      </c>
      <c r="D2140" s="9" t="s">
        <v>2185</v>
      </c>
      <c r="E2140" s="9" t="s">
        <v>2027</v>
      </c>
      <c r="F2140" s="9" t="s">
        <v>203</v>
      </c>
      <c r="G2140" s="9" t="s">
        <v>221</v>
      </c>
      <c r="H2140" s="9" t="n">
        <v>6600</v>
      </c>
      <c r="I2140" s="29" t="n">
        <v>2</v>
      </c>
      <c r="J2140" s="9" t="n">
        <v>1</v>
      </c>
      <c r="K2140" s="30"/>
      <c r="L2140" s="30"/>
      <c r="M2140" s="30"/>
      <c r="N2140" s="30"/>
      <c r="O2140" s="30"/>
      <c r="P2140" s="30"/>
      <c r="Q2140" s="30"/>
      <c r="R2140" s="30"/>
      <c r="S2140" s="30"/>
      <c r="T2140" s="30"/>
      <c r="U2140" s="21" t="str">
        <f aca="false">IF(COUNT(K2140:T2140)=0,"SOURCE EMPTY / INDUSTRIAL ONLY",IF(MIN(K2140:T2140)=1,"SERVICE READY","HOLD"))</f>
        <v>SOURCE EMPTY / INDUSTRIAL ONLY</v>
      </c>
      <c r="V2140" s="9" t="n">
        <f aca="false">IF(U2140="SERVICE READY",1,0)</f>
        <v>0</v>
      </c>
      <c r="W2140" s="6"/>
      <c r="X2140" s="6"/>
      <c r="Y2140" s="6"/>
      <c r="Z2140" s="6"/>
    </row>
    <row r="2141" customFormat="false" ht="15" hidden="false" customHeight="false" outlineLevel="0" collapsed="false">
      <c r="A2141" s="9" t="s">
        <v>2397</v>
      </c>
      <c r="B2141" s="9" t="s">
        <v>2302</v>
      </c>
      <c r="C2141" s="9" t="s">
        <v>2303</v>
      </c>
      <c r="D2141" s="9" t="s">
        <v>2185</v>
      </c>
      <c r="E2141" s="9" t="s">
        <v>2027</v>
      </c>
      <c r="F2141" s="9" t="s">
        <v>205</v>
      </c>
      <c r="G2141" s="9" t="s">
        <v>221</v>
      </c>
      <c r="H2141" s="9" t="n">
        <v>6600</v>
      </c>
      <c r="I2141" s="29" t="n">
        <v>2</v>
      </c>
      <c r="J2141" s="9" t="n">
        <v>1</v>
      </c>
      <c r="K2141" s="30"/>
      <c r="L2141" s="30"/>
      <c r="M2141" s="30"/>
      <c r="N2141" s="30"/>
      <c r="O2141" s="30"/>
      <c r="P2141" s="30"/>
      <c r="Q2141" s="30"/>
      <c r="R2141" s="30"/>
      <c r="S2141" s="30"/>
      <c r="T2141" s="30"/>
      <c r="U2141" s="21" t="str">
        <f aca="false">IF(COUNT(K2141:T2141)=0,"SOURCE EMPTY / INDUSTRIAL ONLY",IF(MIN(K2141:T2141)=1,"SERVICE READY","HOLD"))</f>
        <v>SOURCE EMPTY / INDUSTRIAL ONLY</v>
      </c>
      <c r="V2141" s="9" t="n">
        <f aca="false">IF(U2141="SERVICE READY",1,0)</f>
        <v>0</v>
      </c>
      <c r="W2141" s="6"/>
      <c r="X2141" s="6"/>
      <c r="Y2141" s="6"/>
      <c r="Z2141" s="6"/>
    </row>
    <row r="2142" customFormat="false" ht="15" hidden="false" customHeight="false" outlineLevel="0" collapsed="false">
      <c r="A2142" s="9" t="s">
        <v>2398</v>
      </c>
      <c r="B2142" s="9" t="s">
        <v>2302</v>
      </c>
      <c r="C2142" s="9" t="s">
        <v>2303</v>
      </c>
      <c r="D2142" s="9" t="s">
        <v>2185</v>
      </c>
      <c r="E2142" s="9" t="s">
        <v>2027</v>
      </c>
      <c r="F2142" s="9" t="s">
        <v>207</v>
      </c>
      <c r="G2142" s="9" t="s">
        <v>221</v>
      </c>
      <c r="H2142" s="9" t="n">
        <v>6600</v>
      </c>
      <c r="I2142" s="29" t="n">
        <v>2</v>
      </c>
      <c r="J2142" s="9" t="n">
        <v>0</v>
      </c>
      <c r="K2142" s="30"/>
      <c r="L2142" s="30"/>
      <c r="M2142" s="30"/>
      <c r="N2142" s="30"/>
      <c r="O2142" s="30"/>
      <c r="P2142" s="30"/>
      <c r="Q2142" s="30"/>
      <c r="R2142" s="30"/>
      <c r="S2142" s="30"/>
      <c r="T2142" s="30"/>
      <c r="U2142" s="21" t="str">
        <f aca="false">IF(COUNT(K2142:T2142)=0,"SOURCE EMPTY / INDUSTRIAL ONLY",IF(MIN(K2142:T2142)=1,"SERVICE READY","HOLD"))</f>
        <v>SOURCE EMPTY / INDUSTRIAL ONLY</v>
      </c>
      <c r="V2142" s="9" t="n">
        <f aca="false">IF(U2142="SERVICE READY",1,0)</f>
        <v>0</v>
      </c>
      <c r="W2142" s="6"/>
      <c r="X2142" s="6"/>
      <c r="Y2142" s="6"/>
      <c r="Z2142" s="6"/>
    </row>
    <row r="2143" customFormat="false" ht="15" hidden="false" customHeight="false" outlineLevel="0" collapsed="false">
      <c r="A2143" s="9" t="s">
        <v>2399</v>
      </c>
      <c r="B2143" s="9" t="s">
        <v>2302</v>
      </c>
      <c r="C2143" s="9" t="s">
        <v>2303</v>
      </c>
      <c r="D2143" s="9" t="s">
        <v>2185</v>
      </c>
      <c r="E2143" s="9" t="s">
        <v>2027</v>
      </c>
      <c r="F2143" s="9" t="s">
        <v>209</v>
      </c>
      <c r="G2143" s="9" t="s">
        <v>221</v>
      </c>
      <c r="H2143" s="9" t="n">
        <v>6600</v>
      </c>
      <c r="I2143" s="29" t="n">
        <v>2</v>
      </c>
      <c r="J2143" s="9" t="n">
        <v>0</v>
      </c>
      <c r="K2143" s="30"/>
      <c r="L2143" s="30"/>
      <c r="M2143" s="30"/>
      <c r="N2143" s="30"/>
      <c r="O2143" s="30"/>
      <c r="P2143" s="30"/>
      <c r="Q2143" s="30"/>
      <c r="R2143" s="30"/>
      <c r="S2143" s="30"/>
      <c r="T2143" s="30"/>
      <c r="U2143" s="21" t="str">
        <f aca="false">IF(COUNT(K2143:T2143)=0,"SOURCE EMPTY / INDUSTRIAL ONLY",IF(MIN(K2143:T2143)=1,"SERVICE READY","HOLD"))</f>
        <v>SOURCE EMPTY / INDUSTRIAL ONLY</v>
      </c>
      <c r="V2143" s="9" t="n">
        <f aca="false">IF(U2143="SERVICE READY",1,0)</f>
        <v>0</v>
      </c>
      <c r="W2143" s="6"/>
      <c r="X2143" s="6"/>
      <c r="Y2143" s="6"/>
      <c r="Z2143" s="6"/>
    </row>
    <row r="2144" customFormat="false" ht="15" hidden="false" customHeight="false" outlineLevel="0" collapsed="false">
      <c r="A2144" s="9" t="s">
        <v>2400</v>
      </c>
      <c r="B2144" s="9" t="s">
        <v>2302</v>
      </c>
      <c r="C2144" s="9" t="s">
        <v>2303</v>
      </c>
      <c r="D2144" s="9" t="s">
        <v>2185</v>
      </c>
      <c r="E2144" s="9" t="s">
        <v>2027</v>
      </c>
      <c r="F2144" s="9" t="s">
        <v>211</v>
      </c>
      <c r="G2144" s="9" t="s">
        <v>221</v>
      </c>
      <c r="H2144" s="9" t="n">
        <v>6600</v>
      </c>
      <c r="I2144" s="29" t="n">
        <v>2</v>
      </c>
      <c r="J2144" s="9" t="n">
        <v>0</v>
      </c>
      <c r="K2144" s="30"/>
      <c r="L2144" s="30"/>
      <c r="M2144" s="30"/>
      <c r="N2144" s="30"/>
      <c r="O2144" s="30"/>
      <c r="P2144" s="30"/>
      <c r="Q2144" s="30"/>
      <c r="R2144" s="30"/>
      <c r="S2144" s="30"/>
      <c r="T2144" s="30"/>
      <c r="U2144" s="21" t="str">
        <f aca="false">IF(COUNT(K2144:T2144)=0,"SOURCE EMPTY / INDUSTRIAL ONLY",IF(MIN(K2144:T2144)=1,"SERVICE READY","HOLD"))</f>
        <v>SOURCE EMPTY / INDUSTRIAL ONLY</v>
      </c>
      <c r="V2144" s="9" t="n">
        <f aca="false">IF(U2144="SERVICE READY",1,0)</f>
        <v>0</v>
      </c>
      <c r="W2144" s="6"/>
      <c r="X2144" s="6"/>
      <c r="Y2144" s="6"/>
      <c r="Z2144" s="6"/>
    </row>
    <row r="2145" customFormat="false" ht="15" hidden="false" customHeight="false" outlineLevel="0" collapsed="false">
      <c r="A2145" s="9" t="s">
        <v>2401</v>
      </c>
      <c r="B2145" s="9" t="s">
        <v>2302</v>
      </c>
      <c r="C2145" s="9" t="s">
        <v>2303</v>
      </c>
      <c r="D2145" s="9" t="s">
        <v>2185</v>
      </c>
      <c r="E2145" s="9" t="s">
        <v>2027</v>
      </c>
      <c r="F2145" s="9" t="s">
        <v>197</v>
      </c>
      <c r="G2145" s="9" t="s">
        <v>221</v>
      </c>
      <c r="H2145" s="9" t="n">
        <v>6600</v>
      </c>
      <c r="I2145" s="29" t="n">
        <v>2</v>
      </c>
      <c r="J2145" s="9" t="n">
        <v>0</v>
      </c>
      <c r="K2145" s="30"/>
      <c r="L2145" s="30"/>
      <c r="M2145" s="30"/>
      <c r="N2145" s="30"/>
      <c r="O2145" s="30"/>
      <c r="P2145" s="30"/>
      <c r="Q2145" s="30"/>
      <c r="R2145" s="30"/>
      <c r="S2145" s="30"/>
      <c r="T2145" s="30"/>
      <c r="U2145" s="21" t="str">
        <f aca="false">IF(COUNT(K2145:T2145)=0,"SOURCE EMPTY / INDUSTRIAL ONLY",IF(MIN(K2145:T2145)=1,"SERVICE READY","HOLD"))</f>
        <v>SOURCE EMPTY / INDUSTRIAL ONLY</v>
      </c>
      <c r="V2145" s="9" t="n">
        <f aca="false">IF(U2145="SERVICE READY",1,0)</f>
        <v>0</v>
      </c>
      <c r="W2145" s="6"/>
      <c r="X2145" s="6"/>
      <c r="Y2145" s="6"/>
      <c r="Z2145" s="6"/>
    </row>
    <row r="2146" customFormat="false" ht="15" hidden="false" customHeight="false" outlineLevel="0" collapsed="false">
      <c r="A2146" s="9" t="s">
        <v>2402</v>
      </c>
      <c r="B2146" s="9" t="s">
        <v>2302</v>
      </c>
      <c r="C2146" s="9" t="s">
        <v>2303</v>
      </c>
      <c r="D2146" s="9" t="s">
        <v>2185</v>
      </c>
      <c r="E2146" s="9" t="s">
        <v>2027</v>
      </c>
      <c r="F2146" s="9" t="s">
        <v>200</v>
      </c>
      <c r="G2146" s="9" t="s">
        <v>221</v>
      </c>
      <c r="H2146" s="9" t="n">
        <v>6600</v>
      </c>
      <c r="I2146" s="29" t="n">
        <v>2</v>
      </c>
      <c r="J2146" s="9" t="n">
        <v>0</v>
      </c>
      <c r="K2146" s="30"/>
      <c r="L2146" s="30"/>
      <c r="M2146" s="30"/>
      <c r="N2146" s="30"/>
      <c r="O2146" s="30"/>
      <c r="P2146" s="30"/>
      <c r="Q2146" s="30"/>
      <c r="R2146" s="30"/>
      <c r="S2146" s="30"/>
      <c r="T2146" s="30"/>
      <c r="U2146" s="21" t="str">
        <f aca="false">IF(COUNT(K2146:T2146)=0,"SOURCE EMPTY / INDUSTRIAL ONLY",IF(MIN(K2146:T2146)=1,"SERVICE READY","HOLD"))</f>
        <v>SOURCE EMPTY / INDUSTRIAL ONLY</v>
      </c>
      <c r="V2146" s="9" t="n">
        <f aca="false">IF(U2146="SERVICE READY",1,0)</f>
        <v>0</v>
      </c>
      <c r="W2146" s="6"/>
      <c r="X2146" s="6"/>
      <c r="Y2146" s="6"/>
      <c r="Z2146" s="6"/>
    </row>
    <row r="2147" customFormat="false" ht="15" hidden="false" customHeight="false" outlineLevel="0" collapsed="false">
      <c r="A2147" s="9" t="s">
        <v>2403</v>
      </c>
      <c r="B2147" s="9" t="s">
        <v>2302</v>
      </c>
      <c r="C2147" s="9" t="s">
        <v>2303</v>
      </c>
      <c r="D2147" s="9" t="s">
        <v>2185</v>
      </c>
      <c r="E2147" s="9" t="s">
        <v>2027</v>
      </c>
      <c r="F2147" s="9" t="s">
        <v>203</v>
      </c>
      <c r="G2147" s="9" t="s">
        <v>221</v>
      </c>
      <c r="H2147" s="9" t="n">
        <v>6600</v>
      </c>
      <c r="I2147" s="29" t="n">
        <v>2</v>
      </c>
      <c r="J2147" s="9" t="n">
        <v>0</v>
      </c>
      <c r="K2147" s="30"/>
      <c r="L2147" s="30"/>
      <c r="M2147" s="30"/>
      <c r="N2147" s="30"/>
      <c r="O2147" s="30"/>
      <c r="P2147" s="30"/>
      <c r="Q2147" s="30"/>
      <c r="R2147" s="30"/>
      <c r="S2147" s="30"/>
      <c r="T2147" s="30"/>
      <c r="U2147" s="21" t="str">
        <f aca="false">IF(COUNT(K2147:T2147)=0,"SOURCE EMPTY / INDUSTRIAL ONLY",IF(MIN(K2147:T2147)=1,"SERVICE READY","HOLD"))</f>
        <v>SOURCE EMPTY / INDUSTRIAL ONLY</v>
      </c>
      <c r="V2147" s="9" t="n">
        <f aca="false">IF(U2147="SERVICE READY",1,0)</f>
        <v>0</v>
      </c>
      <c r="W2147" s="6"/>
      <c r="X2147" s="6"/>
      <c r="Y2147" s="6"/>
      <c r="Z2147" s="6"/>
    </row>
    <row r="2148" customFormat="false" ht="15" hidden="false" customHeight="false" outlineLevel="0" collapsed="false">
      <c r="A2148" s="9" t="s">
        <v>2404</v>
      </c>
      <c r="B2148" s="9" t="s">
        <v>2302</v>
      </c>
      <c r="C2148" s="9" t="s">
        <v>2303</v>
      </c>
      <c r="D2148" s="9" t="s">
        <v>2185</v>
      </c>
      <c r="E2148" s="9" t="s">
        <v>2027</v>
      </c>
      <c r="F2148" s="9" t="s">
        <v>205</v>
      </c>
      <c r="G2148" s="9" t="s">
        <v>221</v>
      </c>
      <c r="H2148" s="9" t="n">
        <v>6600</v>
      </c>
      <c r="I2148" s="29" t="n">
        <v>2</v>
      </c>
      <c r="J2148" s="9" t="n">
        <v>0</v>
      </c>
      <c r="K2148" s="30"/>
      <c r="L2148" s="30"/>
      <c r="M2148" s="30"/>
      <c r="N2148" s="30"/>
      <c r="O2148" s="30"/>
      <c r="P2148" s="30"/>
      <c r="Q2148" s="30"/>
      <c r="R2148" s="30"/>
      <c r="S2148" s="30"/>
      <c r="T2148" s="30"/>
      <c r="U2148" s="21" t="str">
        <f aca="false">IF(COUNT(K2148:T2148)=0,"SOURCE EMPTY / INDUSTRIAL ONLY",IF(MIN(K2148:T2148)=1,"SERVICE READY","HOLD"))</f>
        <v>SOURCE EMPTY / INDUSTRIAL ONLY</v>
      </c>
      <c r="V2148" s="9" t="n">
        <f aca="false">IF(U2148="SERVICE READY",1,0)</f>
        <v>0</v>
      </c>
      <c r="W2148" s="6"/>
      <c r="X2148" s="6"/>
      <c r="Y2148" s="6"/>
      <c r="Z2148" s="6"/>
    </row>
    <row r="2149" customFormat="false" ht="15" hidden="false" customHeight="false" outlineLevel="0" collapsed="false">
      <c r="A2149" s="9" t="s">
        <v>2405</v>
      </c>
      <c r="B2149" s="9" t="s">
        <v>2302</v>
      </c>
      <c r="C2149" s="9" t="s">
        <v>2303</v>
      </c>
      <c r="D2149" s="9" t="s">
        <v>2185</v>
      </c>
      <c r="E2149" s="9" t="s">
        <v>2027</v>
      </c>
      <c r="F2149" s="9" t="s">
        <v>207</v>
      </c>
      <c r="G2149" s="9" t="s">
        <v>221</v>
      </c>
      <c r="H2149" s="9" t="n">
        <v>6600</v>
      </c>
      <c r="I2149" s="29" t="n">
        <v>2</v>
      </c>
      <c r="J2149" s="9" t="n">
        <v>0</v>
      </c>
      <c r="K2149" s="30"/>
      <c r="L2149" s="30"/>
      <c r="M2149" s="30"/>
      <c r="N2149" s="30"/>
      <c r="O2149" s="30"/>
      <c r="P2149" s="30"/>
      <c r="Q2149" s="30"/>
      <c r="R2149" s="30"/>
      <c r="S2149" s="30"/>
      <c r="T2149" s="30"/>
      <c r="U2149" s="21" t="str">
        <f aca="false">IF(COUNT(K2149:T2149)=0,"SOURCE EMPTY / INDUSTRIAL ONLY",IF(MIN(K2149:T2149)=1,"SERVICE READY","HOLD"))</f>
        <v>SOURCE EMPTY / INDUSTRIAL ONLY</v>
      </c>
      <c r="V2149" s="9" t="n">
        <f aca="false">IF(U2149="SERVICE READY",1,0)</f>
        <v>0</v>
      </c>
      <c r="W2149" s="6"/>
      <c r="X2149" s="6"/>
      <c r="Y2149" s="6"/>
      <c r="Z2149" s="6"/>
    </row>
    <row r="2150" customFormat="false" ht="15" hidden="false" customHeight="false" outlineLevel="0" collapsed="false">
      <c r="A2150" s="9" t="s">
        <v>2406</v>
      </c>
      <c r="B2150" s="9" t="s">
        <v>2302</v>
      </c>
      <c r="C2150" s="9" t="s">
        <v>2303</v>
      </c>
      <c r="D2150" s="9" t="s">
        <v>2185</v>
      </c>
      <c r="E2150" s="9" t="s">
        <v>2027</v>
      </c>
      <c r="F2150" s="9" t="s">
        <v>209</v>
      </c>
      <c r="G2150" s="9" t="s">
        <v>221</v>
      </c>
      <c r="H2150" s="9" t="n">
        <v>6600</v>
      </c>
      <c r="I2150" s="29" t="n">
        <v>2</v>
      </c>
      <c r="J2150" s="9" t="n">
        <v>0</v>
      </c>
      <c r="K2150" s="30"/>
      <c r="L2150" s="30"/>
      <c r="M2150" s="30"/>
      <c r="N2150" s="30"/>
      <c r="O2150" s="30"/>
      <c r="P2150" s="30"/>
      <c r="Q2150" s="30"/>
      <c r="R2150" s="30"/>
      <c r="S2150" s="30"/>
      <c r="T2150" s="30"/>
      <c r="U2150" s="21" t="str">
        <f aca="false">IF(COUNT(K2150:T2150)=0,"SOURCE EMPTY / INDUSTRIAL ONLY",IF(MIN(K2150:T2150)=1,"SERVICE READY","HOLD"))</f>
        <v>SOURCE EMPTY / INDUSTRIAL ONLY</v>
      </c>
      <c r="V2150" s="9" t="n">
        <f aca="false">IF(U2150="SERVICE READY",1,0)</f>
        <v>0</v>
      </c>
      <c r="W2150" s="6"/>
      <c r="X2150" s="6"/>
      <c r="Y2150" s="6"/>
      <c r="Z2150" s="6"/>
    </row>
    <row r="2151" customFormat="false" ht="15" hidden="false" customHeight="false" outlineLevel="0" collapsed="false">
      <c r="A2151" s="9" t="s">
        <v>2407</v>
      </c>
      <c r="B2151" s="9" t="s">
        <v>2302</v>
      </c>
      <c r="C2151" s="9" t="s">
        <v>2303</v>
      </c>
      <c r="D2151" s="9" t="s">
        <v>2185</v>
      </c>
      <c r="E2151" s="9" t="s">
        <v>2027</v>
      </c>
      <c r="F2151" s="9" t="s">
        <v>211</v>
      </c>
      <c r="G2151" s="9" t="s">
        <v>221</v>
      </c>
      <c r="H2151" s="9" t="n">
        <v>6600</v>
      </c>
      <c r="I2151" s="29" t="n">
        <v>2</v>
      </c>
      <c r="J2151" s="9" t="n">
        <v>0</v>
      </c>
      <c r="K2151" s="30"/>
      <c r="L2151" s="30"/>
      <c r="M2151" s="30"/>
      <c r="N2151" s="30"/>
      <c r="O2151" s="30"/>
      <c r="P2151" s="30"/>
      <c r="Q2151" s="30"/>
      <c r="R2151" s="30"/>
      <c r="S2151" s="30"/>
      <c r="T2151" s="30"/>
      <c r="U2151" s="21" t="str">
        <f aca="false">IF(COUNT(K2151:T2151)=0,"SOURCE EMPTY / INDUSTRIAL ONLY",IF(MIN(K2151:T2151)=1,"SERVICE READY","HOLD"))</f>
        <v>SOURCE EMPTY / INDUSTRIAL ONLY</v>
      </c>
      <c r="V2151" s="9" t="n">
        <f aca="false">IF(U2151="SERVICE READY",1,0)</f>
        <v>0</v>
      </c>
      <c r="W2151" s="6"/>
      <c r="X2151" s="6"/>
      <c r="Y2151" s="6"/>
      <c r="Z2151" s="6"/>
    </row>
    <row r="2152" customFormat="false" ht="15" hidden="false" customHeight="false" outlineLevel="0" collapsed="false">
      <c r="A2152" s="9" t="s">
        <v>2408</v>
      </c>
      <c r="B2152" s="9" t="s">
        <v>2302</v>
      </c>
      <c r="C2152" s="9" t="s">
        <v>2303</v>
      </c>
      <c r="D2152" s="9" t="s">
        <v>2185</v>
      </c>
      <c r="E2152" s="9" t="s">
        <v>2027</v>
      </c>
      <c r="F2152" s="9" t="s">
        <v>197</v>
      </c>
      <c r="G2152" s="9" t="s">
        <v>221</v>
      </c>
      <c r="H2152" s="9" t="n">
        <v>6600</v>
      </c>
      <c r="I2152" s="29" t="n">
        <v>2</v>
      </c>
      <c r="J2152" s="9" t="n">
        <v>0</v>
      </c>
      <c r="K2152" s="30"/>
      <c r="L2152" s="30"/>
      <c r="M2152" s="30"/>
      <c r="N2152" s="30"/>
      <c r="O2152" s="30"/>
      <c r="P2152" s="30"/>
      <c r="Q2152" s="30"/>
      <c r="R2152" s="30"/>
      <c r="S2152" s="30"/>
      <c r="T2152" s="30"/>
      <c r="U2152" s="21" t="str">
        <f aca="false">IF(COUNT(K2152:T2152)=0,"SOURCE EMPTY / INDUSTRIAL ONLY",IF(MIN(K2152:T2152)=1,"SERVICE READY","HOLD"))</f>
        <v>SOURCE EMPTY / INDUSTRIAL ONLY</v>
      </c>
      <c r="V2152" s="9" t="n">
        <f aca="false">IF(U2152="SERVICE READY",1,0)</f>
        <v>0</v>
      </c>
      <c r="W2152" s="6"/>
      <c r="X2152" s="6"/>
      <c r="Y2152" s="6"/>
      <c r="Z2152" s="6"/>
    </row>
    <row r="2153" customFormat="false" ht="15" hidden="false" customHeight="false" outlineLevel="0" collapsed="false">
      <c r="A2153" s="9" t="s">
        <v>2409</v>
      </c>
      <c r="B2153" s="9" t="s">
        <v>2302</v>
      </c>
      <c r="C2153" s="9" t="s">
        <v>2303</v>
      </c>
      <c r="D2153" s="9" t="s">
        <v>2185</v>
      </c>
      <c r="E2153" s="9" t="s">
        <v>2027</v>
      </c>
      <c r="F2153" s="9" t="s">
        <v>200</v>
      </c>
      <c r="G2153" s="9" t="s">
        <v>221</v>
      </c>
      <c r="H2153" s="9" t="n">
        <v>6600</v>
      </c>
      <c r="I2153" s="29" t="n">
        <v>2</v>
      </c>
      <c r="J2153" s="9" t="n">
        <v>0</v>
      </c>
      <c r="K2153" s="30"/>
      <c r="L2153" s="30"/>
      <c r="M2153" s="30"/>
      <c r="N2153" s="30"/>
      <c r="O2153" s="30"/>
      <c r="P2153" s="30"/>
      <c r="Q2153" s="30"/>
      <c r="R2153" s="30"/>
      <c r="S2153" s="30"/>
      <c r="T2153" s="30"/>
      <c r="U2153" s="21" t="str">
        <f aca="false">IF(COUNT(K2153:T2153)=0,"SOURCE EMPTY / INDUSTRIAL ONLY",IF(MIN(K2153:T2153)=1,"SERVICE READY","HOLD"))</f>
        <v>SOURCE EMPTY / INDUSTRIAL ONLY</v>
      </c>
      <c r="V2153" s="9" t="n">
        <f aca="false">IF(U2153="SERVICE READY",1,0)</f>
        <v>0</v>
      </c>
      <c r="W2153" s="6"/>
      <c r="X2153" s="6"/>
      <c r="Y2153" s="6"/>
      <c r="Z2153" s="6"/>
    </row>
    <row r="2154" customFormat="false" ht="15" hidden="false" customHeight="false" outlineLevel="0" collapsed="false">
      <c r="A2154" s="9" t="s">
        <v>2410</v>
      </c>
      <c r="B2154" s="9" t="s">
        <v>2302</v>
      </c>
      <c r="C2154" s="9" t="s">
        <v>2303</v>
      </c>
      <c r="D2154" s="9" t="s">
        <v>2185</v>
      </c>
      <c r="E2154" s="9" t="s">
        <v>2027</v>
      </c>
      <c r="F2154" s="9" t="s">
        <v>203</v>
      </c>
      <c r="G2154" s="9" t="s">
        <v>221</v>
      </c>
      <c r="H2154" s="9" t="n">
        <v>6600</v>
      </c>
      <c r="I2154" s="29" t="n">
        <v>2</v>
      </c>
      <c r="J2154" s="9" t="n">
        <v>0</v>
      </c>
      <c r="K2154" s="30"/>
      <c r="L2154" s="30"/>
      <c r="M2154" s="30"/>
      <c r="N2154" s="30"/>
      <c r="O2154" s="30"/>
      <c r="P2154" s="30"/>
      <c r="Q2154" s="30"/>
      <c r="R2154" s="30"/>
      <c r="S2154" s="30"/>
      <c r="T2154" s="30"/>
      <c r="U2154" s="21" t="str">
        <f aca="false">IF(COUNT(K2154:T2154)=0,"SOURCE EMPTY / INDUSTRIAL ONLY",IF(MIN(K2154:T2154)=1,"SERVICE READY","HOLD"))</f>
        <v>SOURCE EMPTY / INDUSTRIAL ONLY</v>
      </c>
      <c r="V2154" s="9" t="n">
        <f aca="false">IF(U2154="SERVICE READY",1,0)</f>
        <v>0</v>
      </c>
      <c r="W2154" s="6"/>
      <c r="X2154" s="6"/>
      <c r="Y2154" s="6"/>
      <c r="Z2154" s="6"/>
    </row>
    <row r="2155" customFormat="false" ht="15" hidden="false" customHeight="false" outlineLevel="0" collapsed="false">
      <c r="A2155" s="9" t="s">
        <v>2411</v>
      </c>
      <c r="B2155" s="9" t="s">
        <v>2302</v>
      </c>
      <c r="C2155" s="9" t="s">
        <v>2303</v>
      </c>
      <c r="D2155" s="9" t="s">
        <v>2185</v>
      </c>
      <c r="E2155" s="9" t="s">
        <v>2027</v>
      </c>
      <c r="F2155" s="9" t="s">
        <v>205</v>
      </c>
      <c r="G2155" s="9" t="s">
        <v>221</v>
      </c>
      <c r="H2155" s="9" t="n">
        <v>6600</v>
      </c>
      <c r="I2155" s="29" t="n">
        <v>2</v>
      </c>
      <c r="J2155" s="9" t="n">
        <v>0</v>
      </c>
      <c r="K2155" s="30"/>
      <c r="L2155" s="30"/>
      <c r="M2155" s="30"/>
      <c r="N2155" s="30"/>
      <c r="O2155" s="30"/>
      <c r="P2155" s="30"/>
      <c r="Q2155" s="30"/>
      <c r="R2155" s="30"/>
      <c r="S2155" s="30"/>
      <c r="T2155" s="30"/>
      <c r="U2155" s="21" t="str">
        <f aca="false">IF(COUNT(K2155:T2155)=0,"SOURCE EMPTY / INDUSTRIAL ONLY",IF(MIN(K2155:T2155)=1,"SERVICE READY","HOLD"))</f>
        <v>SOURCE EMPTY / INDUSTRIAL ONLY</v>
      </c>
      <c r="V2155" s="9" t="n">
        <f aca="false">IF(U2155="SERVICE READY",1,0)</f>
        <v>0</v>
      </c>
      <c r="W2155" s="6"/>
      <c r="X2155" s="6"/>
      <c r="Y2155" s="6"/>
      <c r="Z2155" s="6"/>
    </row>
    <row r="2156" customFormat="false" ht="15" hidden="false" customHeight="false" outlineLevel="0" collapsed="false">
      <c r="A2156" s="9" t="s">
        <v>2412</v>
      </c>
      <c r="B2156" s="9" t="s">
        <v>2302</v>
      </c>
      <c r="C2156" s="9" t="s">
        <v>2303</v>
      </c>
      <c r="D2156" s="9" t="s">
        <v>2185</v>
      </c>
      <c r="E2156" s="9" t="s">
        <v>2027</v>
      </c>
      <c r="F2156" s="9" t="s">
        <v>207</v>
      </c>
      <c r="G2156" s="9" t="s">
        <v>221</v>
      </c>
      <c r="H2156" s="9" t="n">
        <v>6600</v>
      </c>
      <c r="I2156" s="29" t="n">
        <v>2</v>
      </c>
      <c r="J2156" s="9" t="n">
        <v>0</v>
      </c>
      <c r="K2156" s="30"/>
      <c r="L2156" s="30"/>
      <c r="M2156" s="30"/>
      <c r="N2156" s="30"/>
      <c r="O2156" s="30"/>
      <c r="P2156" s="30"/>
      <c r="Q2156" s="30"/>
      <c r="R2156" s="30"/>
      <c r="S2156" s="30"/>
      <c r="T2156" s="30"/>
      <c r="U2156" s="21" t="str">
        <f aca="false">IF(COUNT(K2156:T2156)=0,"SOURCE EMPTY / INDUSTRIAL ONLY",IF(MIN(K2156:T2156)=1,"SERVICE READY","HOLD"))</f>
        <v>SOURCE EMPTY / INDUSTRIAL ONLY</v>
      </c>
      <c r="V2156" s="9" t="n">
        <f aca="false">IF(U2156="SERVICE READY",1,0)</f>
        <v>0</v>
      </c>
      <c r="W2156" s="6"/>
      <c r="X2156" s="6"/>
      <c r="Y2156" s="6"/>
      <c r="Z2156" s="6"/>
    </row>
    <row r="2157" customFormat="false" ht="15" hidden="false" customHeight="false" outlineLevel="0" collapsed="false">
      <c r="A2157" s="9" t="s">
        <v>2413</v>
      </c>
      <c r="B2157" s="9" t="s">
        <v>2302</v>
      </c>
      <c r="C2157" s="9" t="s">
        <v>2303</v>
      </c>
      <c r="D2157" s="9" t="s">
        <v>2185</v>
      </c>
      <c r="E2157" s="9" t="s">
        <v>2027</v>
      </c>
      <c r="F2157" s="9" t="s">
        <v>209</v>
      </c>
      <c r="G2157" s="9" t="s">
        <v>221</v>
      </c>
      <c r="H2157" s="9" t="n">
        <v>6600</v>
      </c>
      <c r="I2157" s="29" t="n">
        <v>2</v>
      </c>
      <c r="J2157" s="9" t="n">
        <v>0</v>
      </c>
      <c r="K2157" s="30"/>
      <c r="L2157" s="30"/>
      <c r="M2157" s="30"/>
      <c r="N2157" s="30"/>
      <c r="O2157" s="30"/>
      <c r="P2157" s="30"/>
      <c r="Q2157" s="30"/>
      <c r="R2157" s="30"/>
      <c r="S2157" s="30"/>
      <c r="T2157" s="30"/>
      <c r="U2157" s="21" t="str">
        <f aca="false">IF(COUNT(K2157:T2157)=0,"SOURCE EMPTY / INDUSTRIAL ONLY",IF(MIN(K2157:T2157)=1,"SERVICE READY","HOLD"))</f>
        <v>SOURCE EMPTY / INDUSTRIAL ONLY</v>
      </c>
      <c r="V2157" s="9" t="n">
        <f aca="false">IF(U2157="SERVICE READY",1,0)</f>
        <v>0</v>
      </c>
      <c r="W2157" s="6"/>
      <c r="X2157" s="6"/>
      <c r="Y2157" s="6"/>
      <c r="Z2157" s="6"/>
    </row>
    <row r="2158" customFormat="false" ht="15" hidden="false" customHeight="false" outlineLevel="0" collapsed="false">
      <c r="A2158" s="9" t="s">
        <v>2414</v>
      </c>
      <c r="B2158" s="9" t="s">
        <v>2302</v>
      </c>
      <c r="C2158" s="9" t="s">
        <v>2303</v>
      </c>
      <c r="D2158" s="9" t="s">
        <v>2185</v>
      </c>
      <c r="E2158" s="9" t="s">
        <v>2027</v>
      </c>
      <c r="F2158" s="9" t="s">
        <v>211</v>
      </c>
      <c r="G2158" s="9" t="s">
        <v>221</v>
      </c>
      <c r="H2158" s="9" t="n">
        <v>6600</v>
      </c>
      <c r="I2158" s="29" t="n">
        <v>2</v>
      </c>
      <c r="J2158" s="9" t="n">
        <v>0</v>
      </c>
      <c r="K2158" s="30"/>
      <c r="L2158" s="30"/>
      <c r="M2158" s="30"/>
      <c r="N2158" s="30"/>
      <c r="O2158" s="30"/>
      <c r="P2158" s="30"/>
      <c r="Q2158" s="30"/>
      <c r="R2158" s="30"/>
      <c r="S2158" s="30"/>
      <c r="T2158" s="30"/>
      <c r="U2158" s="21" t="str">
        <f aca="false">IF(COUNT(K2158:T2158)=0,"SOURCE EMPTY / INDUSTRIAL ONLY",IF(MIN(K2158:T2158)=1,"SERVICE READY","HOLD"))</f>
        <v>SOURCE EMPTY / INDUSTRIAL ONLY</v>
      </c>
      <c r="V2158" s="9" t="n">
        <f aca="false">IF(U2158="SERVICE READY",1,0)</f>
        <v>0</v>
      </c>
      <c r="W2158" s="6"/>
      <c r="X2158" s="6"/>
      <c r="Y2158" s="6"/>
      <c r="Z2158" s="6"/>
    </row>
    <row r="2159" customFormat="false" ht="15" hidden="false" customHeight="false" outlineLevel="0" collapsed="false">
      <c r="A2159" s="9" t="s">
        <v>2415</v>
      </c>
      <c r="B2159" s="9" t="s">
        <v>2302</v>
      </c>
      <c r="C2159" s="9" t="s">
        <v>2303</v>
      </c>
      <c r="D2159" s="9" t="s">
        <v>2185</v>
      </c>
      <c r="E2159" s="9" t="s">
        <v>2027</v>
      </c>
      <c r="F2159" s="9" t="s">
        <v>197</v>
      </c>
      <c r="G2159" s="9" t="s">
        <v>221</v>
      </c>
      <c r="H2159" s="9" t="n">
        <v>6600</v>
      </c>
      <c r="I2159" s="29" t="n">
        <v>2</v>
      </c>
      <c r="J2159" s="9" t="n">
        <v>0</v>
      </c>
      <c r="K2159" s="30"/>
      <c r="L2159" s="30"/>
      <c r="M2159" s="30"/>
      <c r="N2159" s="30"/>
      <c r="O2159" s="30"/>
      <c r="P2159" s="30"/>
      <c r="Q2159" s="30"/>
      <c r="R2159" s="30"/>
      <c r="S2159" s="30"/>
      <c r="T2159" s="30"/>
      <c r="U2159" s="21" t="str">
        <f aca="false">IF(COUNT(K2159:T2159)=0,"SOURCE EMPTY / INDUSTRIAL ONLY",IF(MIN(K2159:T2159)=1,"SERVICE READY","HOLD"))</f>
        <v>SOURCE EMPTY / INDUSTRIAL ONLY</v>
      </c>
      <c r="V2159" s="9" t="n">
        <f aca="false">IF(U2159="SERVICE READY",1,0)</f>
        <v>0</v>
      </c>
      <c r="W2159" s="6"/>
      <c r="X2159" s="6"/>
      <c r="Y2159" s="6"/>
      <c r="Z2159" s="6"/>
    </row>
    <row r="2160" customFormat="false" ht="15" hidden="false" customHeight="false" outlineLevel="0" collapsed="false">
      <c r="A2160" s="9" t="s">
        <v>2416</v>
      </c>
      <c r="B2160" s="9" t="s">
        <v>2302</v>
      </c>
      <c r="C2160" s="9" t="s">
        <v>2303</v>
      </c>
      <c r="D2160" s="9" t="s">
        <v>2185</v>
      </c>
      <c r="E2160" s="9" t="s">
        <v>2027</v>
      </c>
      <c r="F2160" s="9" t="s">
        <v>200</v>
      </c>
      <c r="G2160" s="9" t="s">
        <v>221</v>
      </c>
      <c r="H2160" s="9" t="n">
        <v>6600</v>
      </c>
      <c r="I2160" s="29" t="n">
        <v>2</v>
      </c>
      <c r="J2160" s="9" t="n">
        <v>0</v>
      </c>
      <c r="K2160" s="30"/>
      <c r="L2160" s="30"/>
      <c r="M2160" s="30"/>
      <c r="N2160" s="30"/>
      <c r="O2160" s="30"/>
      <c r="P2160" s="30"/>
      <c r="Q2160" s="30"/>
      <c r="R2160" s="30"/>
      <c r="S2160" s="30"/>
      <c r="T2160" s="30"/>
      <c r="U2160" s="21" t="str">
        <f aca="false">IF(COUNT(K2160:T2160)=0,"SOURCE EMPTY / INDUSTRIAL ONLY",IF(MIN(K2160:T2160)=1,"SERVICE READY","HOLD"))</f>
        <v>SOURCE EMPTY / INDUSTRIAL ONLY</v>
      </c>
      <c r="V2160" s="9" t="n">
        <f aca="false">IF(U2160="SERVICE READY",1,0)</f>
        <v>0</v>
      </c>
      <c r="W2160" s="6"/>
      <c r="X2160" s="6"/>
      <c r="Y2160" s="6"/>
      <c r="Z2160" s="6"/>
    </row>
    <row r="2161" customFormat="false" ht="15" hidden="false" customHeight="false" outlineLevel="0" collapsed="false">
      <c r="A2161" s="9" t="s">
        <v>2417</v>
      </c>
      <c r="B2161" s="9" t="s">
        <v>2302</v>
      </c>
      <c r="C2161" s="9" t="s">
        <v>2303</v>
      </c>
      <c r="D2161" s="9" t="s">
        <v>2185</v>
      </c>
      <c r="E2161" s="9" t="s">
        <v>2027</v>
      </c>
      <c r="F2161" s="9" t="s">
        <v>203</v>
      </c>
      <c r="G2161" s="9" t="s">
        <v>221</v>
      </c>
      <c r="H2161" s="9" t="n">
        <v>6600</v>
      </c>
      <c r="I2161" s="29" t="n">
        <v>2</v>
      </c>
      <c r="J2161" s="9" t="n">
        <v>0</v>
      </c>
      <c r="K2161" s="30"/>
      <c r="L2161" s="30"/>
      <c r="M2161" s="30"/>
      <c r="N2161" s="30"/>
      <c r="O2161" s="30"/>
      <c r="P2161" s="30"/>
      <c r="Q2161" s="30"/>
      <c r="R2161" s="30"/>
      <c r="S2161" s="30"/>
      <c r="T2161" s="30"/>
      <c r="U2161" s="21" t="str">
        <f aca="false">IF(COUNT(K2161:T2161)=0,"SOURCE EMPTY / INDUSTRIAL ONLY",IF(MIN(K2161:T2161)=1,"SERVICE READY","HOLD"))</f>
        <v>SOURCE EMPTY / INDUSTRIAL ONLY</v>
      </c>
      <c r="V2161" s="9" t="n">
        <f aca="false">IF(U2161="SERVICE READY",1,0)</f>
        <v>0</v>
      </c>
      <c r="W2161" s="6"/>
      <c r="X2161" s="6"/>
      <c r="Y2161" s="6"/>
      <c r="Z2161" s="6"/>
    </row>
    <row r="2162" customFormat="false" ht="15" hidden="false" customHeight="false" outlineLevel="0" collapsed="false">
      <c r="A2162" s="9" t="s">
        <v>2418</v>
      </c>
      <c r="B2162" s="9" t="s">
        <v>2302</v>
      </c>
      <c r="C2162" s="9" t="s">
        <v>2303</v>
      </c>
      <c r="D2162" s="9" t="s">
        <v>2185</v>
      </c>
      <c r="E2162" s="9" t="s">
        <v>2027</v>
      </c>
      <c r="F2162" s="9" t="s">
        <v>205</v>
      </c>
      <c r="G2162" s="9" t="s">
        <v>221</v>
      </c>
      <c r="H2162" s="9" t="n">
        <v>6600</v>
      </c>
      <c r="I2162" s="29" t="n">
        <v>2</v>
      </c>
      <c r="J2162" s="9" t="n">
        <v>0</v>
      </c>
      <c r="K2162" s="30"/>
      <c r="L2162" s="30"/>
      <c r="M2162" s="30"/>
      <c r="N2162" s="30"/>
      <c r="O2162" s="30"/>
      <c r="P2162" s="30"/>
      <c r="Q2162" s="30"/>
      <c r="R2162" s="30"/>
      <c r="S2162" s="30"/>
      <c r="T2162" s="30"/>
      <c r="U2162" s="21" t="str">
        <f aca="false">IF(COUNT(K2162:T2162)=0,"SOURCE EMPTY / INDUSTRIAL ONLY",IF(MIN(K2162:T2162)=1,"SERVICE READY","HOLD"))</f>
        <v>SOURCE EMPTY / INDUSTRIAL ONLY</v>
      </c>
      <c r="V2162" s="9" t="n">
        <f aca="false">IF(U2162="SERVICE READY",1,0)</f>
        <v>0</v>
      </c>
      <c r="W2162" s="6"/>
      <c r="X2162" s="6"/>
      <c r="Y2162" s="6"/>
      <c r="Z2162" s="6"/>
    </row>
    <row r="2163" customFormat="false" ht="15" hidden="false" customHeight="false" outlineLevel="0" collapsed="false">
      <c r="A2163" s="9" t="s">
        <v>2419</v>
      </c>
      <c r="B2163" s="9" t="s">
        <v>2302</v>
      </c>
      <c r="C2163" s="9" t="s">
        <v>2303</v>
      </c>
      <c r="D2163" s="9" t="s">
        <v>2185</v>
      </c>
      <c r="E2163" s="9" t="s">
        <v>2027</v>
      </c>
      <c r="F2163" s="9" t="s">
        <v>207</v>
      </c>
      <c r="G2163" s="9" t="s">
        <v>221</v>
      </c>
      <c r="H2163" s="9" t="n">
        <v>6600</v>
      </c>
      <c r="I2163" s="29" t="n">
        <v>2</v>
      </c>
      <c r="J2163" s="9" t="n">
        <v>0</v>
      </c>
      <c r="K2163" s="30"/>
      <c r="L2163" s="30"/>
      <c r="M2163" s="30"/>
      <c r="N2163" s="30"/>
      <c r="O2163" s="30"/>
      <c r="P2163" s="30"/>
      <c r="Q2163" s="30"/>
      <c r="R2163" s="30"/>
      <c r="S2163" s="30"/>
      <c r="T2163" s="30"/>
      <c r="U2163" s="21" t="str">
        <f aca="false">IF(COUNT(K2163:T2163)=0,"SOURCE EMPTY / INDUSTRIAL ONLY",IF(MIN(K2163:T2163)=1,"SERVICE READY","HOLD"))</f>
        <v>SOURCE EMPTY / INDUSTRIAL ONLY</v>
      </c>
      <c r="V2163" s="9" t="n">
        <f aca="false">IF(U2163="SERVICE READY",1,0)</f>
        <v>0</v>
      </c>
      <c r="W2163" s="6"/>
      <c r="X2163" s="6"/>
      <c r="Y2163" s="6"/>
      <c r="Z2163" s="6"/>
    </row>
    <row r="2164" customFormat="false" ht="15" hidden="false" customHeight="false" outlineLevel="0" collapsed="false">
      <c r="A2164" s="9" t="s">
        <v>2420</v>
      </c>
      <c r="B2164" s="9" t="s">
        <v>2302</v>
      </c>
      <c r="C2164" s="9" t="s">
        <v>2303</v>
      </c>
      <c r="D2164" s="9" t="s">
        <v>2185</v>
      </c>
      <c r="E2164" s="9" t="s">
        <v>2027</v>
      </c>
      <c r="F2164" s="9" t="s">
        <v>209</v>
      </c>
      <c r="G2164" s="9" t="s">
        <v>221</v>
      </c>
      <c r="H2164" s="9" t="n">
        <v>6600</v>
      </c>
      <c r="I2164" s="29" t="n">
        <v>2</v>
      </c>
      <c r="J2164" s="9" t="n">
        <v>0</v>
      </c>
      <c r="K2164" s="30"/>
      <c r="L2164" s="30"/>
      <c r="M2164" s="30"/>
      <c r="N2164" s="30"/>
      <c r="O2164" s="30"/>
      <c r="P2164" s="30"/>
      <c r="Q2164" s="30"/>
      <c r="R2164" s="30"/>
      <c r="S2164" s="30"/>
      <c r="T2164" s="30"/>
      <c r="U2164" s="21" t="str">
        <f aca="false">IF(COUNT(K2164:T2164)=0,"SOURCE EMPTY / INDUSTRIAL ONLY",IF(MIN(K2164:T2164)=1,"SERVICE READY","HOLD"))</f>
        <v>SOURCE EMPTY / INDUSTRIAL ONLY</v>
      </c>
      <c r="V2164" s="9" t="n">
        <f aca="false">IF(U2164="SERVICE READY",1,0)</f>
        <v>0</v>
      </c>
      <c r="W2164" s="6"/>
      <c r="X2164" s="6"/>
      <c r="Y2164" s="6"/>
      <c r="Z2164" s="6"/>
    </row>
    <row r="2165" customFormat="false" ht="15" hidden="false" customHeight="false" outlineLevel="0" collapsed="false">
      <c r="A2165" s="9" t="s">
        <v>2421</v>
      </c>
      <c r="B2165" s="9" t="s">
        <v>2302</v>
      </c>
      <c r="C2165" s="9" t="s">
        <v>2303</v>
      </c>
      <c r="D2165" s="9" t="s">
        <v>2185</v>
      </c>
      <c r="E2165" s="9" t="s">
        <v>2027</v>
      </c>
      <c r="F2165" s="9" t="s">
        <v>211</v>
      </c>
      <c r="G2165" s="9" t="s">
        <v>221</v>
      </c>
      <c r="H2165" s="9" t="n">
        <v>6600</v>
      </c>
      <c r="I2165" s="29" t="n">
        <v>2</v>
      </c>
      <c r="J2165" s="9" t="n">
        <v>0</v>
      </c>
      <c r="K2165" s="30"/>
      <c r="L2165" s="30"/>
      <c r="M2165" s="30"/>
      <c r="N2165" s="30"/>
      <c r="O2165" s="30"/>
      <c r="P2165" s="30"/>
      <c r="Q2165" s="30"/>
      <c r="R2165" s="30"/>
      <c r="S2165" s="30"/>
      <c r="T2165" s="30"/>
      <c r="U2165" s="21" t="str">
        <f aca="false">IF(COUNT(K2165:T2165)=0,"SOURCE EMPTY / INDUSTRIAL ONLY",IF(MIN(K2165:T2165)=1,"SERVICE READY","HOLD"))</f>
        <v>SOURCE EMPTY / INDUSTRIAL ONLY</v>
      </c>
      <c r="V2165" s="9" t="n">
        <f aca="false">IF(U2165="SERVICE READY",1,0)</f>
        <v>0</v>
      </c>
      <c r="W2165" s="6"/>
      <c r="X2165" s="6"/>
      <c r="Y2165" s="6"/>
      <c r="Z2165" s="6"/>
    </row>
    <row r="2166" customFormat="false" ht="15" hidden="false" customHeight="false" outlineLevel="0" collapsed="false">
      <c r="A2166" s="9" t="s">
        <v>2422</v>
      </c>
      <c r="B2166" s="9" t="s">
        <v>2302</v>
      </c>
      <c r="C2166" s="9" t="s">
        <v>2303</v>
      </c>
      <c r="D2166" s="9" t="s">
        <v>2185</v>
      </c>
      <c r="E2166" s="9" t="s">
        <v>2027</v>
      </c>
      <c r="F2166" s="9" t="s">
        <v>197</v>
      </c>
      <c r="G2166" s="9" t="s">
        <v>221</v>
      </c>
      <c r="H2166" s="9" t="n">
        <v>6600</v>
      </c>
      <c r="I2166" s="29" t="n">
        <v>2</v>
      </c>
      <c r="J2166" s="9" t="n">
        <v>0</v>
      </c>
      <c r="K2166" s="30"/>
      <c r="L2166" s="30"/>
      <c r="M2166" s="30"/>
      <c r="N2166" s="30"/>
      <c r="O2166" s="30"/>
      <c r="P2166" s="30"/>
      <c r="Q2166" s="30"/>
      <c r="R2166" s="30"/>
      <c r="S2166" s="30"/>
      <c r="T2166" s="30"/>
      <c r="U2166" s="21" t="str">
        <f aca="false">IF(COUNT(K2166:T2166)=0,"SOURCE EMPTY / INDUSTRIAL ONLY",IF(MIN(K2166:T2166)=1,"SERVICE READY","HOLD"))</f>
        <v>SOURCE EMPTY / INDUSTRIAL ONLY</v>
      </c>
      <c r="V2166" s="9" t="n">
        <f aca="false">IF(U2166="SERVICE READY",1,0)</f>
        <v>0</v>
      </c>
      <c r="W2166" s="6"/>
      <c r="X2166" s="6"/>
      <c r="Y2166" s="6"/>
      <c r="Z2166" s="6"/>
    </row>
    <row r="2167" customFormat="false" ht="15" hidden="false" customHeight="false" outlineLevel="0" collapsed="false">
      <c r="A2167" s="9" t="s">
        <v>2423</v>
      </c>
      <c r="B2167" s="9" t="s">
        <v>2302</v>
      </c>
      <c r="C2167" s="9" t="s">
        <v>2303</v>
      </c>
      <c r="D2167" s="9" t="s">
        <v>2185</v>
      </c>
      <c r="E2167" s="9" t="s">
        <v>2027</v>
      </c>
      <c r="F2167" s="9" t="s">
        <v>200</v>
      </c>
      <c r="G2167" s="9" t="s">
        <v>221</v>
      </c>
      <c r="H2167" s="9" t="n">
        <v>6600</v>
      </c>
      <c r="I2167" s="29" t="n">
        <v>2</v>
      </c>
      <c r="J2167" s="9" t="n">
        <v>0</v>
      </c>
      <c r="K2167" s="30"/>
      <c r="L2167" s="30"/>
      <c r="M2167" s="30"/>
      <c r="N2167" s="30"/>
      <c r="O2167" s="30"/>
      <c r="P2167" s="30"/>
      <c r="Q2167" s="30"/>
      <c r="R2167" s="30"/>
      <c r="S2167" s="30"/>
      <c r="T2167" s="30"/>
      <c r="U2167" s="21" t="str">
        <f aca="false">IF(COUNT(K2167:T2167)=0,"SOURCE EMPTY / INDUSTRIAL ONLY",IF(MIN(K2167:T2167)=1,"SERVICE READY","HOLD"))</f>
        <v>SOURCE EMPTY / INDUSTRIAL ONLY</v>
      </c>
      <c r="V2167" s="9" t="n">
        <f aca="false">IF(U2167="SERVICE READY",1,0)</f>
        <v>0</v>
      </c>
      <c r="W2167" s="6"/>
      <c r="X2167" s="6"/>
      <c r="Y2167" s="6"/>
      <c r="Z2167" s="6"/>
    </row>
    <row r="2168" customFormat="false" ht="15" hidden="false" customHeight="false" outlineLevel="0" collapsed="false">
      <c r="A2168" s="9" t="s">
        <v>2424</v>
      </c>
      <c r="B2168" s="9" t="s">
        <v>2302</v>
      </c>
      <c r="C2168" s="9" t="s">
        <v>2303</v>
      </c>
      <c r="D2168" s="9" t="s">
        <v>2185</v>
      </c>
      <c r="E2168" s="9" t="s">
        <v>2027</v>
      </c>
      <c r="F2168" s="9" t="s">
        <v>203</v>
      </c>
      <c r="G2168" s="9" t="s">
        <v>221</v>
      </c>
      <c r="H2168" s="9" t="n">
        <v>6600</v>
      </c>
      <c r="I2168" s="29" t="n">
        <v>2</v>
      </c>
      <c r="J2168" s="9" t="n">
        <v>0</v>
      </c>
      <c r="K2168" s="30"/>
      <c r="L2168" s="30"/>
      <c r="M2168" s="30"/>
      <c r="N2168" s="30"/>
      <c r="O2168" s="30"/>
      <c r="P2168" s="30"/>
      <c r="Q2168" s="30"/>
      <c r="R2168" s="30"/>
      <c r="S2168" s="30"/>
      <c r="T2168" s="30"/>
      <c r="U2168" s="21" t="str">
        <f aca="false">IF(COUNT(K2168:T2168)=0,"SOURCE EMPTY / INDUSTRIAL ONLY",IF(MIN(K2168:T2168)=1,"SERVICE READY","HOLD"))</f>
        <v>SOURCE EMPTY / INDUSTRIAL ONLY</v>
      </c>
      <c r="V2168" s="9" t="n">
        <f aca="false">IF(U2168="SERVICE READY",1,0)</f>
        <v>0</v>
      </c>
      <c r="W2168" s="6"/>
      <c r="X2168" s="6"/>
      <c r="Y2168" s="6"/>
      <c r="Z2168" s="6"/>
    </row>
    <row r="2169" customFormat="false" ht="15" hidden="false" customHeight="false" outlineLevel="0" collapsed="false">
      <c r="A2169" s="9" t="s">
        <v>2425</v>
      </c>
      <c r="B2169" s="9" t="s">
        <v>2302</v>
      </c>
      <c r="C2169" s="9" t="s">
        <v>2303</v>
      </c>
      <c r="D2169" s="9" t="s">
        <v>2185</v>
      </c>
      <c r="E2169" s="9" t="s">
        <v>2027</v>
      </c>
      <c r="F2169" s="9" t="s">
        <v>205</v>
      </c>
      <c r="G2169" s="9" t="s">
        <v>221</v>
      </c>
      <c r="H2169" s="9" t="n">
        <v>6600</v>
      </c>
      <c r="I2169" s="29" t="n">
        <v>2</v>
      </c>
      <c r="J2169" s="9" t="n">
        <v>0</v>
      </c>
      <c r="K2169" s="30"/>
      <c r="L2169" s="30"/>
      <c r="M2169" s="30"/>
      <c r="N2169" s="30"/>
      <c r="O2169" s="30"/>
      <c r="P2169" s="30"/>
      <c r="Q2169" s="30"/>
      <c r="R2169" s="30"/>
      <c r="S2169" s="30"/>
      <c r="T2169" s="30"/>
      <c r="U2169" s="21" t="str">
        <f aca="false">IF(COUNT(K2169:T2169)=0,"SOURCE EMPTY / INDUSTRIAL ONLY",IF(MIN(K2169:T2169)=1,"SERVICE READY","HOLD"))</f>
        <v>SOURCE EMPTY / INDUSTRIAL ONLY</v>
      </c>
      <c r="V2169" s="9" t="n">
        <f aca="false">IF(U2169="SERVICE READY",1,0)</f>
        <v>0</v>
      </c>
      <c r="W2169" s="6"/>
      <c r="X2169" s="6"/>
      <c r="Y2169" s="6"/>
      <c r="Z2169" s="6"/>
    </row>
    <row r="2170" customFormat="false" ht="15" hidden="false" customHeight="false" outlineLevel="0" collapsed="false">
      <c r="A2170" s="9" t="s">
        <v>2426</v>
      </c>
      <c r="B2170" s="9" t="s">
        <v>2302</v>
      </c>
      <c r="C2170" s="9" t="s">
        <v>2303</v>
      </c>
      <c r="D2170" s="9" t="s">
        <v>2185</v>
      </c>
      <c r="E2170" s="9" t="s">
        <v>2027</v>
      </c>
      <c r="F2170" s="9" t="s">
        <v>207</v>
      </c>
      <c r="G2170" s="9" t="s">
        <v>221</v>
      </c>
      <c r="H2170" s="9" t="n">
        <v>6600</v>
      </c>
      <c r="I2170" s="29" t="n">
        <v>2</v>
      </c>
      <c r="J2170" s="9" t="n">
        <v>0</v>
      </c>
      <c r="K2170" s="30"/>
      <c r="L2170" s="30"/>
      <c r="M2170" s="30"/>
      <c r="N2170" s="30"/>
      <c r="O2170" s="30"/>
      <c r="P2170" s="30"/>
      <c r="Q2170" s="30"/>
      <c r="R2170" s="30"/>
      <c r="S2170" s="30"/>
      <c r="T2170" s="30"/>
      <c r="U2170" s="21" t="str">
        <f aca="false">IF(COUNT(K2170:T2170)=0,"SOURCE EMPTY / INDUSTRIAL ONLY",IF(MIN(K2170:T2170)=1,"SERVICE READY","HOLD"))</f>
        <v>SOURCE EMPTY / INDUSTRIAL ONLY</v>
      </c>
      <c r="V2170" s="9" t="n">
        <f aca="false">IF(U2170="SERVICE READY",1,0)</f>
        <v>0</v>
      </c>
      <c r="W2170" s="6"/>
      <c r="X2170" s="6"/>
      <c r="Y2170" s="6"/>
      <c r="Z2170" s="6"/>
    </row>
    <row r="2171" customFormat="false" ht="15" hidden="false" customHeight="false" outlineLevel="0" collapsed="false">
      <c r="A2171" s="9" t="s">
        <v>2427</v>
      </c>
      <c r="B2171" s="9" t="s">
        <v>2302</v>
      </c>
      <c r="C2171" s="9" t="s">
        <v>2303</v>
      </c>
      <c r="D2171" s="9" t="s">
        <v>2185</v>
      </c>
      <c r="E2171" s="9" t="s">
        <v>2027</v>
      </c>
      <c r="F2171" s="9" t="s">
        <v>209</v>
      </c>
      <c r="G2171" s="9" t="s">
        <v>221</v>
      </c>
      <c r="H2171" s="9" t="n">
        <v>6600</v>
      </c>
      <c r="I2171" s="29" t="n">
        <v>2</v>
      </c>
      <c r="J2171" s="9" t="n">
        <v>0</v>
      </c>
      <c r="K2171" s="30"/>
      <c r="L2171" s="30"/>
      <c r="M2171" s="30"/>
      <c r="N2171" s="30"/>
      <c r="O2171" s="30"/>
      <c r="P2171" s="30"/>
      <c r="Q2171" s="30"/>
      <c r="R2171" s="30"/>
      <c r="S2171" s="30"/>
      <c r="T2171" s="30"/>
      <c r="U2171" s="21" t="str">
        <f aca="false">IF(COUNT(K2171:T2171)=0,"SOURCE EMPTY / INDUSTRIAL ONLY",IF(MIN(K2171:T2171)=1,"SERVICE READY","HOLD"))</f>
        <v>SOURCE EMPTY / INDUSTRIAL ONLY</v>
      </c>
      <c r="V2171" s="9" t="n">
        <f aca="false">IF(U2171="SERVICE READY",1,0)</f>
        <v>0</v>
      </c>
      <c r="W2171" s="6"/>
      <c r="X2171" s="6"/>
      <c r="Y2171" s="6"/>
      <c r="Z2171" s="6"/>
    </row>
    <row r="2172" customFormat="false" ht="15" hidden="false" customHeight="false" outlineLevel="0" collapsed="false">
      <c r="A2172" s="9" t="s">
        <v>2428</v>
      </c>
      <c r="B2172" s="9" t="s">
        <v>2302</v>
      </c>
      <c r="C2172" s="9" t="s">
        <v>2303</v>
      </c>
      <c r="D2172" s="9" t="s">
        <v>2185</v>
      </c>
      <c r="E2172" s="9" t="s">
        <v>2027</v>
      </c>
      <c r="F2172" s="9" t="s">
        <v>211</v>
      </c>
      <c r="G2172" s="9" t="s">
        <v>221</v>
      </c>
      <c r="H2172" s="9" t="n">
        <v>6600</v>
      </c>
      <c r="I2172" s="29" t="n">
        <v>2</v>
      </c>
      <c r="J2172" s="9" t="n">
        <v>0</v>
      </c>
      <c r="K2172" s="30"/>
      <c r="L2172" s="30"/>
      <c r="M2172" s="30"/>
      <c r="N2172" s="30"/>
      <c r="O2172" s="30"/>
      <c r="P2172" s="30"/>
      <c r="Q2172" s="30"/>
      <c r="R2172" s="30"/>
      <c r="S2172" s="30"/>
      <c r="T2172" s="30"/>
      <c r="U2172" s="21" t="str">
        <f aca="false">IF(COUNT(K2172:T2172)=0,"SOURCE EMPTY / INDUSTRIAL ONLY",IF(MIN(K2172:T2172)=1,"SERVICE READY","HOLD"))</f>
        <v>SOURCE EMPTY / INDUSTRIAL ONLY</v>
      </c>
      <c r="V2172" s="9" t="n">
        <f aca="false">IF(U2172="SERVICE READY",1,0)</f>
        <v>0</v>
      </c>
      <c r="W2172" s="6"/>
      <c r="X2172" s="6"/>
      <c r="Y2172" s="6"/>
      <c r="Z2172" s="6"/>
    </row>
    <row r="2173" customFormat="false" ht="15" hidden="false" customHeight="false" outlineLevel="0" collapsed="false">
      <c r="A2173" s="9" t="s">
        <v>2429</v>
      </c>
      <c r="B2173" s="9" t="s">
        <v>2302</v>
      </c>
      <c r="C2173" s="9" t="s">
        <v>2303</v>
      </c>
      <c r="D2173" s="9" t="s">
        <v>2185</v>
      </c>
      <c r="E2173" s="9" t="s">
        <v>2027</v>
      </c>
      <c r="F2173" s="9" t="s">
        <v>197</v>
      </c>
      <c r="G2173" s="9" t="s">
        <v>221</v>
      </c>
      <c r="H2173" s="9" t="n">
        <v>6600</v>
      </c>
      <c r="I2173" s="29" t="n">
        <v>2</v>
      </c>
      <c r="J2173" s="9" t="n">
        <v>0</v>
      </c>
      <c r="K2173" s="30"/>
      <c r="L2173" s="30"/>
      <c r="M2173" s="30"/>
      <c r="N2173" s="30"/>
      <c r="O2173" s="30"/>
      <c r="P2173" s="30"/>
      <c r="Q2173" s="30"/>
      <c r="R2173" s="30"/>
      <c r="S2173" s="30"/>
      <c r="T2173" s="30"/>
      <c r="U2173" s="21" t="str">
        <f aca="false">IF(COUNT(K2173:T2173)=0,"SOURCE EMPTY / INDUSTRIAL ONLY",IF(MIN(K2173:T2173)=1,"SERVICE READY","HOLD"))</f>
        <v>SOURCE EMPTY / INDUSTRIAL ONLY</v>
      </c>
      <c r="V2173" s="9" t="n">
        <f aca="false">IF(U2173="SERVICE READY",1,0)</f>
        <v>0</v>
      </c>
      <c r="W2173" s="6"/>
      <c r="X2173" s="6"/>
      <c r="Y2173" s="6"/>
      <c r="Z2173" s="6"/>
    </row>
    <row r="2174" customFormat="false" ht="15" hidden="false" customHeight="false" outlineLevel="0" collapsed="false">
      <c r="A2174" s="9" t="s">
        <v>2430</v>
      </c>
      <c r="B2174" s="9" t="s">
        <v>2302</v>
      </c>
      <c r="C2174" s="9" t="s">
        <v>2303</v>
      </c>
      <c r="D2174" s="9" t="s">
        <v>2185</v>
      </c>
      <c r="E2174" s="9" t="s">
        <v>2027</v>
      </c>
      <c r="F2174" s="9" t="s">
        <v>200</v>
      </c>
      <c r="G2174" s="9" t="s">
        <v>221</v>
      </c>
      <c r="H2174" s="9" t="n">
        <v>6600</v>
      </c>
      <c r="I2174" s="29" t="n">
        <v>2</v>
      </c>
      <c r="J2174" s="9" t="n">
        <v>0</v>
      </c>
      <c r="K2174" s="30"/>
      <c r="L2174" s="30"/>
      <c r="M2174" s="30"/>
      <c r="N2174" s="30"/>
      <c r="O2174" s="30"/>
      <c r="P2174" s="30"/>
      <c r="Q2174" s="30"/>
      <c r="R2174" s="30"/>
      <c r="S2174" s="30"/>
      <c r="T2174" s="30"/>
      <c r="U2174" s="21" t="str">
        <f aca="false">IF(COUNT(K2174:T2174)=0,"SOURCE EMPTY / INDUSTRIAL ONLY",IF(MIN(K2174:T2174)=1,"SERVICE READY","HOLD"))</f>
        <v>SOURCE EMPTY / INDUSTRIAL ONLY</v>
      </c>
      <c r="V2174" s="9" t="n">
        <f aca="false">IF(U2174="SERVICE READY",1,0)</f>
        <v>0</v>
      </c>
      <c r="W2174" s="6"/>
      <c r="X2174" s="6"/>
      <c r="Y2174" s="6"/>
      <c r="Z2174" s="6"/>
    </row>
    <row r="2175" customFormat="false" ht="15" hidden="false" customHeight="false" outlineLevel="0" collapsed="false">
      <c r="A2175" s="9" t="s">
        <v>2431</v>
      </c>
      <c r="B2175" s="9" t="s">
        <v>2302</v>
      </c>
      <c r="C2175" s="9" t="s">
        <v>2303</v>
      </c>
      <c r="D2175" s="9" t="s">
        <v>2185</v>
      </c>
      <c r="E2175" s="9" t="s">
        <v>2027</v>
      </c>
      <c r="F2175" s="9" t="s">
        <v>203</v>
      </c>
      <c r="G2175" s="9" t="s">
        <v>221</v>
      </c>
      <c r="H2175" s="9" t="n">
        <v>6600</v>
      </c>
      <c r="I2175" s="29" t="n">
        <v>2</v>
      </c>
      <c r="J2175" s="9" t="n">
        <v>0</v>
      </c>
      <c r="K2175" s="30"/>
      <c r="L2175" s="30"/>
      <c r="M2175" s="30"/>
      <c r="N2175" s="30"/>
      <c r="O2175" s="30"/>
      <c r="P2175" s="30"/>
      <c r="Q2175" s="30"/>
      <c r="R2175" s="30"/>
      <c r="S2175" s="30"/>
      <c r="T2175" s="30"/>
      <c r="U2175" s="21" t="str">
        <f aca="false">IF(COUNT(K2175:T2175)=0,"SOURCE EMPTY / INDUSTRIAL ONLY",IF(MIN(K2175:T2175)=1,"SERVICE READY","HOLD"))</f>
        <v>SOURCE EMPTY / INDUSTRIAL ONLY</v>
      </c>
      <c r="V2175" s="9" t="n">
        <f aca="false">IF(U2175="SERVICE READY",1,0)</f>
        <v>0</v>
      </c>
      <c r="W2175" s="6"/>
      <c r="X2175" s="6"/>
      <c r="Y2175" s="6"/>
      <c r="Z2175" s="6"/>
    </row>
    <row r="2176" customFormat="false" ht="15" hidden="false" customHeight="false" outlineLevel="0" collapsed="false">
      <c r="A2176" s="9" t="s">
        <v>2432</v>
      </c>
      <c r="B2176" s="9" t="s">
        <v>2302</v>
      </c>
      <c r="C2176" s="9" t="s">
        <v>2303</v>
      </c>
      <c r="D2176" s="9" t="s">
        <v>2185</v>
      </c>
      <c r="E2176" s="9" t="s">
        <v>2027</v>
      </c>
      <c r="F2176" s="9" t="s">
        <v>205</v>
      </c>
      <c r="G2176" s="9" t="s">
        <v>221</v>
      </c>
      <c r="H2176" s="9" t="n">
        <v>6600</v>
      </c>
      <c r="I2176" s="29" t="n">
        <v>2</v>
      </c>
      <c r="J2176" s="9" t="n">
        <v>0</v>
      </c>
      <c r="K2176" s="30"/>
      <c r="L2176" s="30"/>
      <c r="M2176" s="30"/>
      <c r="N2176" s="30"/>
      <c r="O2176" s="30"/>
      <c r="P2176" s="30"/>
      <c r="Q2176" s="30"/>
      <c r="R2176" s="30"/>
      <c r="S2176" s="30"/>
      <c r="T2176" s="30"/>
      <c r="U2176" s="21" t="str">
        <f aca="false">IF(COUNT(K2176:T2176)=0,"SOURCE EMPTY / INDUSTRIAL ONLY",IF(MIN(K2176:T2176)=1,"SERVICE READY","HOLD"))</f>
        <v>SOURCE EMPTY / INDUSTRIAL ONLY</v>
      </c>
      <c r="V2176" s="9" t="n">
        <f aca="false">IF(U2176="SERVICE READY",1,0)</f>
        <v>0</v>
      </c>
      <c r="W2176" s="6"/>
      <c r="X2176" s="6"/>
      <c r="Y2176" s="6"/>
      <c r="Z2176" s="6"/>
    </row>
    <row r="2177" customFormat="false" ht="15" hidden="false" customHeight="false" outlineLevel="0" collapsed="false">
      <c r="A2177" s="9" t="s">
        <v>2433</v>
      </c>
      <c r="B2177" s="9" t="s">
        <v>2302</v>
      </c>
      <c r="C2177" s="9" t="s">
        <v>2303</v>
      </c>
      <c r="D2177" s="9" t="s">
        <v>2185</v>
      </c>
      <c r="E2177" s="9" t="s">
        <v>2027</v>
      </c>
      <c r="F2177" s="9" t="s">
        <v>207</v>
      </c>
      <c r="G2177" s="9" t="s">
        <v>221</v>
      </c>
      <c r="H2177" s="9" t="n">
        <v>6600</v>
      </c>
      <c r="I2177" s="29" t="n">
        <v>2</v>
      </c>
      <c r="J2177" s="9" t="n">
        <v>0</v>
      </c>
      <c r="K2177" s="30"/>
      <c r="L2177" s="30"/>
      <c r="M2177" s="30"/>
      <c r="N2177" s="30"/>
      <c r="O2177" s="30"/>
      <c r="P2177" s="30"/>
      <c r="Q2177" s="30"/>
      <c r="R2177" s="30"/>
      <c r="S2177" s="30"/>
      <c r="T2177" s="30"/>
      <c r="U2177" s="21" t="str">
        <f aca="false">IF(COUNT(K2177:T2177)=0,"SOURCE EMPTY / INDUSTRIAL ONLY",IF(MIN(K2177:T2177)=1,"SERVICE READY","HOLD"))</f>
        <v>SOURCE EMPTY / INDUSTRIAL ONLY</v>
      </c>
      <c r="V2177" s="9" t="n">
        <f aca="false">IF(U2177="SERVICE READY",1,0)</f>
        <v>0</v>
      </c>
      <c r="W2177" s="6"/>
      <c r="X2177" s="6"/>
      <c r="Y2177" s="6"/>
      <c r="Z2177" s="6"/>
    </row>
    <row r="2178" customFormat="false" ht="15" hidden="false" customHeight="false" outlineLevel="0" collapsed="false">
      <c r="A2178" s="9" t="s">
        <v>2434</v>
      </c>
      <c r="B2178" s="9" t="s">
        <v>2302</v>
      </c>
      <c r="C2178" s="9" t="s">
        <v>2303</v>
      </c>
      <c r="D2178" s="9" t="s">
        <v>2185</v>
      </c>
      <c r="E2178" s="9" t="s">
        <v>2027</v>
      </c>
      <c r="F2178" s="9" t="s">
        <v>209</v>
      </c>
      <c r="G2178" s="9" t="s">
        <v>221</v>
      </c>
      <c r="H2178" s="9" t="n">
        <v>6600</v>
      </c>
      <c r="I2178" s="29" t="n">
        <v>2</v>
      </c>
      <c r="J2178" s="9" t="n">
        <v>0</v>
      </c>
      <c r="K2178" s="30"/>
      <c r="L2178" s="30"/>
      <c r="M2178" s="30"/>
      <c r="N2178" s="30"/>
      <c r="O2178" s="30"/>
      <c r="P2178" s="30"/>
      <c r="Q2178" s="30"/>
      <c r="R2178" s="30"/>
      <c r="S2178" s="30"/>
      <c r="T2178" s="30"/>
      <c r="U2178" s="21" t="str">
        <f aca="false">IF(COUNT(K2178:T2178)=0,"SOURCE EMPTY / INDUSTRIAL ONLY",IF(MIN(K2178:T2178)=1,"SERVICE READY","HOLD"))</f>
        <v>SOURCE EMPTY / INDUSTRIAL ONLY</v>
      </c>
      <c r="V2178" s="9" t="n">
        <f aca="false">IF(U2178="SERVICE READY",1,0)</f>
        <v>0</v>
      </c>
      <c r="W2178" s="6"/>
      <c r="X2178" s="6"/>
      <c r="Y2178" s="6"/>
      <c r="Z2178" s="6"/>
    </row>
    <row r="2179" customFormat="false" ht="15" hidden="false" customHeight="false" outlineLevel="0" collapsed="false">
      <c r="A2179" s="9" t="s">
        <v>2435</v>
      </c>
      <c r="B2179" s="9" t="s">
        <v>2302</v>
      </c>
      <c r="C2179" s="9" t="s">
        <v>2303</v>
      </c>
      <c r="D2179" s="9" t="s">
        <v>2185</v>
      </c>
      <c r="E2179" s="9" t="s">
        <v>2027</v>
      </c>
      <c r="F2179" s="9" t="s">
        <v>211</v>
      </c>
      <c r="G2179" s="9" t="s">
        <v>221</v>
      </c>
      <c r="H2179" s="9" t="n">
        <v>6600</v>
      </c>
      <c r="I2179" s="29" t="n">
        <v>2</v>
      </c>
      <c r="J2179" s="9" t="n">
        <v>0</v>
      </c>
      <c r="K2179" s="30"/>
      <c r="L2179" s="30"/>
      <c r="M2179" s="30"/>
      <c r="N2179" s="30"/>
      <c r="O2179" s="30"/>
      <c r="P2179" s="30"/>
      <c r="Q2179" s="30"/>
      <c r="R2179" s="30"/>
      <c r="S2179" s="30"/>
      <c r="T2179" s="30"/>
      <c r="U2179" s="21" t="str">
        <f aca="false">IF(COUNT(K2179:T2179)=0,"SOURCE EMPTY / INDUSTRIAL ONLY",IF(MIN(K2179:T2179)=1,"SERVICE READY","HOLD"))</f>
        <v>SOURCE EMPTY / INDUSTRIAL ONLY</v>
      </c>
      <c r="V2179" s="9" t="n">
        <f aca="false">IF(U2179="SERVICE READY",1,0)</f>
        <v>0</v>
      </c>
      <c r="W2179" s="6"/>
      <c r="X2179" s="6"/>
      <c r="Y2179" s="6"/>
      <c r="Z2179" s="6"/>
    </row>
    <row r="2180" customFormat="false" ht="15" hidden="false" customHeight="false" outlineLevel="0" collapsed="false">
      <c r="A2180" s="9" t="s">
        <v>2436</v>
      </c>
      <c r="B2180" s="9" t="s">
        <v>2302</v>
      </c>
      <c r="C2180" s="9" t="s">
        <v>2303</v>
      </c>
      <c r="D2180" s="9" t="s">
        <v>2185</v>
      </c>
      <c r="E2180" s="9" t="s">
        <v>2027</v>
      </c>
      <c r="F2180" s="9" t="s">
        <v>197</v>
      </c>
      <c r="G2180" s="9" t="s">
        <v>221</v>
      </c>
      <c r="H2180" s="9" t="n">
        <v>6600</v>
      </c>
      <c r="I2180" s="29" t="n">
        <v>2</v>
      </c>
      <c r="J2180" s="9" t="n">
        <v>0</v>
      </c>
      <c r="K2180" s="30"/>
      <c r="L2180" s="30"/>
      <c r="M2180" s="30"/>
      <c r="N2180" s="30"/>
      <c r="O2180" s="30"/>
      <c r="P2180" s="30"/>
      <c r="Q2180" s="30"/>
      <c r="R2180" s="30"/>
      <c r="S2180" s="30"/>
      <c r="T2180" s="30"/>
      <c r="U2180" s="21" t="str">
        <f aca="false">IF(COUNT(K2180:T2180)=0,"SOURCE EMPTY / INDUSTRIAL ONLY",IF(MIN(K2180:T2180)=1,"SERVICE READY","HOLD"))</f>
        <v>SOURCE EMPTY / INDUSTRIAL ONLY</v>
      </c>
      <c r="V2180" s="9" t="n">
        <f aca="false">IF(U2180="SERVICE READY",1,0)</f>
        <v>0</v>
      </c>
      <c r="W2180" s="6"/>
      <c r="X2180" s="6"/>
      <c r="Y2180" s="6"/>
      <c r="Z2180" s="6"/>
    </row>
    <row r="2181" customFormat="false" ht="15" hidden="false" customHeight="false" outlineLevel="0" collapsed="false">
      <c r="A2181" s="9" t="s">
        <v>2437</v>
      </c>
      <c r="B2181" s="9" t="s">
        <v>2302</v>
      </c>
      <c r="C2181" s="9" t="s">
        <v>2303</v>
      </c>
      <c r="D2181" s="9" t="s">
        <v>2185</v>
      </c>
      <c r="E2181" s="9" t="s">
        <v>2027</v>
      </c>
      <c r="F2181" s="9" t="s">
        <v>200</v>
      </c>
      <c r="G2181" s="9" t="s">
        <v>221</v>
      </c>
      <c r="H2181" s="9" t="n">
        <v>6600</v>
      </c>
      <c r="I2181" s="29" t="n">
        <v>2</v>
      </c>
      <c r="J2181" s="9" t="n">
        <v>0</v>
      </c>
      <c r="K2181" s="30"/>
      <c r="L2181" s="30"/>
      <c r="M2181" s="30"/>
      <c r="N2181" s="30"/>
      <c r="O2181" s="30"/>
      <c r="P2181" s="30"/>
      <c r="Q2181" s="30"/>
      <c r="R2181" s="30"/>
      <c r="S2181" s="30"/>
      <c r="T2181" s="30"/>
      <c r="U2181" s="21" t="str">
        <f aca="false">IF(COUNT(K2181:T2181)=0,"SOURCE EMPTY / INDUSTRIAL ONLY",IF(MIN(K2181:T2181)=1,"SERVICE READY","HOLD"))</f>
        <v>SOURCE EMPTY / INDUSTRIAL ONLY</v>
      </c>
      <c r="V2181" s="9" t="n">
        <f aca="false">IF(U2181="SERVICE READY",1,0)</f>
        <v>0</v>
      </c>
      <c r="W2181" s="6"/>
      <c r="X2181" s="6"/>
      <c r="Y2181" s="6"/>
      <c r="Z2181" s="6"/>
    </row>
    <row r="2182" customFormat="false" ht="15" hidden="false" customHeight="false" outlineLevel="0" collapsed="false">
      <c r="A2182" s="9" t="s">
        <v>2438</v>
      </c>
      <c r="B2182" s="9" t="s">
        <v>2439</v>
      </c>
      <c r="C2182" s="9" t="s">
        <v>2440</v>
      </c>
      <c r="D2182" s="9" t="s">
        <v>2185</v>
      </c>
      <c r="E2182" s="9" t="s">
        <v>2027</v>
      </c>
      <c r="F2182" s="9" t="s">
        <v>197</v>
      </c>
      <c r="G2182" s="9" t="s">
        <v>198</v>
      </c>
      <c r="H2182" s="9" t="n">
        <v>4200</v>
      </c>
      <c r="I2182" s="29" t="n">
        <v>1.5</v>
      </c>
      <c r="J2182" s="9" t="n">
        <v>1</v>
      </c>
      <c r="K2182" s="30"/>
      <c r="L2182" s="30"/>
      <c r="M2182" s="30"/>
      <c r="N2182" s="30"/>
      <c r="O2182" s="30"/>
      <c r="P2182" s="30"/>
      <c r="Q2182" s="30"/>
      <c r="R2182" s="30"/>
      <c r="S2182" s="30"/>
      <c r="T2182" s="30"/>
      <c r="U2182" s="21" t="str">
        <f aca="false">IF(COUNT(K2182:T2182)=0,"SOURCE EMPTY / INDUSTRIAL ONLY",IF(MIN(K2182:T2182)=1,"SERVICE READY","HOLD"))</f>
        <v>SOURCE EMPTY / INDUSTRIAL ONLY</v>
      </c>
      <c r="V2182" s="9" t="n">
        <f aca="false">IF(U2182="SERVICE READY",1,0)</f>
        <v>0</v>
      </c>
      <c r="W2182" s="6"/>
      <c r="X2182" s="6"/>
      <c r="Y2182" s="6"/>
      <c r="Z2182" s="6"/>
    </row>
    <row r="2183" customFormat="false" ht="15" hidden="false" customHeight="false" outlineLevel="0" collapsed="false">
      <c r="A2183" s="9" t="s">
        <v>2441</v>
      </c>
      <c r="B2183" s="9" t="s">
        <v>2439</v>
      </c>
      <c r="C2183" s="9" t="s">
        <v>2440</v>
      </c>
      <c r="D2183" s="9" t="s">
        <v>2185</v>
      </c>
      <c r="E2183" s="9" t="s">
        <v>2027</v>
      </c>
      <c r="F2183" s="9" t="s">
        <v>200</v>
      </c>
      <c r="G2183" s="9" t="s">
        <v>201</v>
      </c>
      <c r="H2183" s="9" t="n">
        <v>4200</v>
      </c>
      <c r="I2183" s="29" t="n">
        <v>1.5</v>
      </c>
      <c r="J2183" s="9" t="n">
        <v>1</v>
      </c>
      <c r="K2183" s="30"/>
      <c r="L2183" s="30"/>
      <c r="M2183" s="30"/>
      <c r="N2183" s="30"/>
      <c r="O2183" s="30"/>
      <c r="P2183" s="30"/>
      <c r="Q2183" s="30"/>
      <c r="R2183" s="30"/>
      <c r="S2183" s="30"/>
      <c r="T2183" s="30"/>
      <c r="U2183" s="21" t="str">
        <f aca="false">IF(COUNT(K2183:T2183)=0,"SOURCE EMPTY / INDUSTRIAL ONLY",IF(MIN(K2183:T2183)=1,"SERVICE READY","HOLD"))</f>
        <v>SOURCE EMPTY / INDUSTRIAL ONLY</v>
      </c>
      <c r="V2183" s="9" t="n">
        <f aca="false">IF(U2183="SERVICE READY",1,0)</f>
        <v>0</v>
      </c>
      <c r="W2183" s="6"/>
      <c r="X2183" s="6"/>
      <c r="Y2183" s="6"/>
      <c r="Z2183" s="6"/>
    </row>
    <row r="2184" customFormat="false" ht="15" hidden="false" customHeight="false" outlineLevel="0" collapsed="false">
      <c r="A2184" s="9" t="s">
        <v>2442</v>
      </c>
      <c r="B2184" s="9" t="s">
        <v>2439</v>
      </c>
      <c r="C2184" s="9" t="s">
        <v>2440</v>
      </c>
      <c r="D2184" s="9" t="s">
        <v>2185</v>
      </c>
      <c r="E2184" s="9" t="s">
        <v>2027</v>
      </c>
      <c r="F2184" s="9" t="s">
        <v>203</v>
      </c>
      <c r="G2184" s="9" t="s">
        <v>198</v>
      </c>
      <c r="H2184" s="9" t="n">
        <v>4200</v>
      </c>
      <c r="I2184" s="29" t="n">
        <v>1.5</v>
      </c>
      <c r="J2184" s="9" t="n">
        <v>1</v>
      </c>
      <c r="K2184" s="30"/>
      <c r="L2184" s="30"/>
      <c r="M2184" s="30"/>
      <c r="N2184" s="30"/>
      <c r="O2184" s="30"/>
      <c r="P2184" s="30"/>
      <c r="Q2184" s="30"/>
      <c r="R2184" s="30"/>
      <c r="S2184" s="30"/>
      <c r="T2184" s="30"/>
      <c r="U2184" s="21" t="str">
        <f aca="false">IF(COUNT(K2184:T2184)=0,"SOURCE EMPTY / INDUSTRIAL ONLY",IF(MIN(K2184:T2184)=1,"SERVICE READY","HOLD"))</f>
        <v>SOURCE EMPTY / INDUSTRIAL ONLY</v>
      </c>
      <c r="V2184" s="9" t="n">
        <f aca="false">IF(U2184="SERVICE READY",1,0)</f>
        <v>0</v>
      </c>
      <c r="W2184" s="6"/>
      <c r="X2184" s="6"/>
      <c r="Y2184" s="6"/>
      <c r="Z2184" s="6"/>
    </row>
    <row r="2185" customFormat="false" ht="15" hidden="false" customHeight="false" outlineLevel="0" collapsed="false">
      <c r="A2185" s="9" t="s">
        <v>2443</v>
      </c>
      <c r="B2185" s="9" t="s">
        <v>2439</v>
      </c>
      <c r="C2185" s="9" t="s">
        <v>2440</v>
      </c>
      <c r="D2185" s="9" t="s">
        <v>2185</v>
      </c>
      <c r="E2185" s="9" t="s">
        <v>2027</v>
      </c>
      <c r="F2185" s="9" t="s">
        <v>205</v>
      </c>
      <c r="G2185" s="9" t="s">
        <v>201</v>
      </c>
      <c r="H2185" s="9" t="n">
        <v>4200</v>
      </c>
      <c r="I2185" s="29" t="n">
        <v>1.5</v>
      </c>
      <c r="J2185" s="9" t="n">
        <v>1</v>
      </c>
      <c r="K2185" s="30"/>
      <c r="L2185" s="30"/>
      <c r="M2185" s="30"/>
      <c r="N2185" s="30"/>
      <c r="O2185" s="30"/>
      <c r="P2185" s="30"/>
      <c r="Q2185" s="30"/>
      <c r="R2185" s="30"/>
      <c r="S2185" s="30"/>
      <c r="T2185" s="30"/>
      <c r="U2185" s="21" t="str">
        <f aca="false">IF(COUNT(K2185:T2185)=0,"SOURCE EMPTY / INDUSTRIAL ONLY",IF(MIN(K2185:T2185)=1,"SERVICE READY","HOLD"))</f>
        <v>SOURCE EMPTY / INDUSTRIAL ONLY</v>
      </c>
      <c r="V2185" s="9" t="n">
        <f aca="false">IF(U2185="SERVICE READY",1,0)</f>
        <v>0</v>
      </c>
      <c r="W2185" s="6"/>
      <c r="X2185" s="6"/>
      <c r="Y2185" s="6"/>
      <c r="Z2185" s="6"/>
    </row>
    <row r="2186" customFormat="false" ht="15" hidden="false" customHeight="false" outlineLevel="0" collapsed="false">
      <c r="A2186" s="9" t="s">
        <v>2444</v>
      </c>
      <c r="B2186" s="9" t="s">
        <v>2439</v>
      </c>
      <c r="C2186" s="9" t="s">
        <v>2440</v>
      </c>
      <c r="D2186" s="9" t="s">
        <v>2185</v>
      </c>
      <c r="E2186" s="9" t="s">
        <v>2027</v>
      </c>
      <c r="F2186" s="9" t="s">
        <v>207</v>
      </c>
      <c r="G2186" s="9" t="s">
        <v>198</v>
      </c>
      <c r="H2186" s="9" t="n">
        <v>4200</v>
      </c>
      <c r="I2186" s="29" t="n">
        <v>1.5</v>
      </c>
      <c r="J2186" s="9" t="n">
        <v>1</v>
      </c>
      <c r="K2186" s="30"/>
      <c r="L2186" s="30"/>
      <c r="M2186" s="30"/>
      <c r="N2186" s="30"/>
      <c r="O2186" s="30"/>
      <c r="P2186" s="30"/>
      <c r="Q2186" s="30"/>
      <c r="R2186" s="30"/>
      <c r="S2186" s="30"/>
      <c r="T2186" s="30"/>
      <c r="U2186" s="21" t="str">
        <f aca="false">IF(COUNT(K2186:T2186)=0,"SOURCE EMPTY / INDUSTRIAL ONLY",IF(MIN(K2186:T2186)=1,"SERVICE READY","HOLD"))</f>
        <v>SOURCE EMPTY / INDUSTRIAL ONLY</v>
      </c>
      <c r="V2186" s="9" t="n">
        <f aca="false">IF(U2186="SERVICE READY",1,0)</f>
        <v>0</v>
      </c>
      <c r="W2186" s="6"/>
      <c r="X2186" s="6"/>
      <c r="Y2186" s="6"/>
      <c r="Z2186" s="6"/>
    </row>
    <row r="2187" customFormat="false" ht="15" hidden="false" customHeight="false" outlineLevel="0" collapsed="false">
      <c r="A2187" s="9" t="s">
        <v>2445</v>
      </c>
      <c r="B2187" s="9" t="s">
        <v>2439</v>
      </c>
      <c r="C2187" s="9" t="s">
        <v>2440</v>
      </c>
      <c r="D2187" s="9" t="s">
        <v>2185</v>
      </c>
      <c r="E2187" s="9" t="s">
        <v>2027</v>
      </c>
      <c r="F2187" s="9" t="s">
        <v>209</v>
      </c>
      <c r="G2187" s="9" t="s">
        <v>201</v>
      </c>
      <c r="H2187" s="9" t="n">
        <v>4200</v>
      </c>
      <c r="I2187" s="29" t="n">
        <v>1.5</v>
      </c>
      <c r="J2187" s="9" t="n">
        <v>1</v>
      </c>
      <c r="K2187" s="30"/>
      <c r="L2187" s="30"/>
      <c r="M2187" s="30"/>
      <c r="N2187" s="30"/>
      <c r="O2187" s="30"/>
      <c r="P2187" s="30"/>
      <c r="Q2187" s="30"/>
      <c r="R2187" s="30"/>
      <c r="S2187" s="30"/>
      <c r="T2187" s="30"/>
      <c r="U2187" s="21" t="str">
        <f aca="false">IF(COUNT(K2187:T2187)=0,"SOURCE EMPTY / INDUSTRIAL ONLY",IF(MIN(K2187:T2187)=1,"SERVICE READY","HOLD"))</f>
        <v>SOURCE EMPTY / INDUSTRIAL ONLY</v>
      </c>
      <c r="V2187" s="9" t="n">
        <f aca="false">IF(U2187="SERVICE READY",1,0)</f>
        <v>0</v>
      </c>
      <c r="W2187" s="6"/>
      <c r="X2187" s="6"/>
      <c r="Y2187" s="6"/>
      <c r="Z2187" s="6"/>
    </row>
    <row r="2188" customFormat="false" ht="15" hidden="false" customHeight="false" outlineLevel="0" collapsed="false">
      <c r="A2188" s="9" t="s">
        <v>2446</v>
      </c>
      <c r="B2188" s="9" t="s">
        <v>2439</v>
      </c>
      <c r="C2188" s="9" t="s">
        <v>2440</v>
      </c>
      <c r="D2188" s="9" t="s">
        <v>2185</v>
      </c>
      <c r="E2188" s="9" t="s">
        <v>2027</v>
      </c>
      <c r="F2188" s="9" t="s">
        <v>211</v>
      </c>
      <c r="G2188" s="9" t="s">
        <v>198</v>
      </c>
      <c r="H2188" s="9" t="n">
        <v>4200</v>
      </c>
      <c r="I2188" s="29" t="n">
        <v>1.5</v>
      </c>
      <c r="J2188" s="9" t="n">
        <v>1</v>
      </c>
      <c r="K2188" s="30"/>
      <c r="L2188" s="30"/>
      <c r="M2188" s="30"/>
      <c r="N2188" s="30"/>
      <c r="O2188" s="30"/>
      <c r="P2188" s="30"/>
      <c r="Q2188" s="30"/>
      <c r="R2188" s="30"/>
      <c r="S2188" s="30"/>
      <c r="T2188" s="30"/>
      <c r="U2188" s="21" t="str">
        <f aca="false">IF(COUNT(K2188:T2188)=0,"SOURCE EMPTY / INDUSTRIAL ONLY",IF(MIN(K2188:T2188)=1,"SERVICE READY","HOLD"))</f>
        <v>SOURCE EMPTY / INDUSTRIAL ONLY</v>
      </c>
      <c r="V2188" s="9" t="n">
        <f aca="false">IF(U2188="SERVICE READY",1,0)</f>
        <v>0</v>
      </c>
      <c r="W2188" s="6"/>
      <c r="X2188" s="6"/>
      <c r="Y2188" s="6"/>
      <c r="Z2188" s="6"/>
    </row>
    <row r="2189" customFormat="false" ht="15" hidden="false" customHeight="false" outlineLevel="0" collapsed="false">
      <c r="A2189" s="9" t="s">
        <v>2447</v>
      </c>
      <c r="B2189" s="9" t="s">
        <v>2439</v>
      </c>
      <c r="C2189" s="9" t="s">
        <v>2440</v>
      </c>
      <c r="D2189" s="9" t="s">
        <v>2185</v>
      </c>
      <c r="E2189" s="9" t="s">
        <v>2027</v>
      </c>
      <c r="F2189" s="9" t="s">
        <v>197</v>
      </c>
      <c r="G2189" s="9" t="s">
        <v>201</v>
      </c>
      <c r="H2189" s="9" t="n">
        <v>4200</v>
      </c>
      <c r="I2189" s="29" t="n">
        <v>1.5</v>
      </c>
      <c r="J2189" s="9" t="n">
        <v>1</v>
      </c>
      <c r="K2189" s="30"/>
      <c r="L2189" s="30"/>
      <c r="M2189" s="30"/>
      <c r="N2189" s="30"/>
      <c r="O2189" s="30"/>
      <c r="P2189" s="30"/>
      <c r="Q2189" s="30"/>
      <c r="R2189" s="30"/>
      <c r="S2189" s="30"/>
      <c r="T2189" s="30"/>
      <c r="U2189" s="21" t="str">
        <f aca="false">IF(COUNT(K2189:T2189)=0,"SOURCE EMPTY / INDUSTRIAL ONLY",IF(MIN(K2189:T2189)=1,"SERVICE READY","HOLD"))</f>
        <v>SOURCE EMPTY / INDUSTRIAL ONLY</v>
      </c>
      <c r="V2189" s="9" t="n">
        <f aca="false">IF(U2189="SERVICE READY",1,0)</f>
        <v>0</v>
      </c>
      <c r="W2189" s="6"/>
      <c r="X2189" s="6"/>
      <c r="Y2189" s="6"/>
      <c r="Z2189" s="6"/>
    </row>
    <row r="2190" customFormat="false" ht="15" hidden="false" customHeight="false" outlineLevel="0" collapsed="false">
      <c r="A2190" s="9" t="s">
        <v>2448</v>
      </c>
      <c r="B2190" s="9" t="s">
        <v>2439</v>
      </c>
      <c r="C2190" s="9" t="s">
        <v>2440</v>
      </c>
      <c r="D2190" s="9" t="s">
        <v>2185</v>
      </c>
      <c r="E2190" s="9" t="s">
        <v>2027</v>
      </c>
      <c r="F2190" s="9" t="s">
        <v>200</v>
      </c>
      <c r="G2190" s="9" t="s">
        <v>198</v>
      </c>
      <c r="H2190" s="9" t="n">
        <v>4200</v>
      </c>
      <c r="I2190" s="29" t="n">
        <v>1.5</v>
      </c>
      <c r="J2190" s="9" t="n">
        <v>1</v>
      </c>
      <c r="K2190" s="30"/>
      <c r="L2190" s="30"/>
      <c r="M2190" s="30"/>
      <c r="N2190" s="30"/>
      <c r="O2190" s="30"/>
      <c r="P2190" s="30"/>
      <c r="Q2190" s="30"/>
      <c r="R2190" s="30"/>
      <c r="S2190" s="30"/>
      <c r="T2190" s="30"/>
      <c r="U2190" s="21" t="str">
        <f aca="false">IF(COUNT(K2190:T2190)=0,"SOURCE EMPTY / INDUSTRIAL ONLY",IF(MIN(K2190:T2190)=1,"SERVICE READY","HOLD"))</f>
        <v>SOURCE EMPTY / INDUSTRIAL ONLY</v>
      </c>
      <c r="V2190" s="9" t="n">
        <f aca="false">IF(U2190="SERVICE READY",1,0)</f>
        <v>0</v>
      </c>
      <c r="W2190" s="6"/>
      <c r="X2190" s="6"/>
      <c r="Y2190" s="6"/>
      <c r="Z2190" s="6"/>
    </row>
    <row r="2191" customFormat="false" ht="15" hidden="false" customHeight="false" outlineLevel="0" collapsed="false">
      <c r="A2191" s="9" t="s">
        <v>2449</v>
      </c>
      <c r="B2191" s="9" t="s">
        <v>2439</v>
      </c>
      <c r="C2191" s="9" t="s">
        <v>2440</v>
      </c>
      <c r="D2191" s="9" t="s">
        <v>2185</v>
      </c>
      <c r="E2191" s="9" t="s">
        <v>2027</v>
      </c>
      <c r="F2191" s="9" t="s">
        <v>203</v>
      </c>
      <c r="G2191" s="9" t="s">
        <v>201</v>
      </c>
      <c r="H2191" s="9" t="n">
        <v>4200</v>
      </c>
      <c r="I2191" s="29" t="n">
        <v>1.5</v>
      </c>
      <c r="J2191" s="9" t="n">
        <v>1</v>
      </c>
      <c r="K2191" s="30"/>
      <c r="L2191" s="30"/>
      <c r="M2191" s="30"/>
      <c r="N2191" s="30"/>
      <c r="O2191" s="30"/>
      <c r="P2191" s="30"/>
      <c r="Q2191" s="30"/>
      <c r="R2191" s="30"/>
      <c r="S2191" s="30"/>
      <c r="T2191" s="30"/>
      <c r="U2191" s="21" t="str">
        <f aca="false">IF(COUNT(K2191:T2191)=0,"SOURCE EMPTY / INDUSTRIAL ONLY",IF(MIN(K2191:T2191)=1,"SERVICE READY","HOLD"))</f>
        <v>SOURCE EMPTY / INDUSTRIAL ONLY</v>
      </c>
      <c r="V2191" s="9" t="n">
        <f aca="false">IF(U2191="SERVICE READY",1,0)</f>
        <v>0</v>
      </c>
      <c r="W2191" s="6"/>
      <c r="X2191" s="6"/>
      <c r="Y2191" s="6"/>
      <c r="Z2191" s="6"/>
    </row>
    <row r="2192" customFormat="false" ht="15" hidden="false" customHeight="false" outlineLevel="0" collapsed="false">
      <c r="A2192" s="9" t="s">
        <v>2450</v>
      </c>
      <c r="B2192" s="9" t="s">
        <v>2439</v>
      </c>
      <c r="C2192" s="9" t="s">
        <v>2440</v>
      </c>
      <c r="D2192" s="9" t="s">
        <v>2185</v>
      </c>
      <c r="E2192" s="9" t="s">
        <v>2027</v>
      </c>
      <c r="F2192" s="9" t="s">
        <v>205</v>
      </c>
      <c r="G2192" s="9" t="s">
        <v>198</v>
      </c>
      <c r="H2192" s="9" t="n">
        <v>4200</v>
      </c>
      <c r="I2192" s="29" t="n">
        <v>1.5</v>
      </c>
      <c r="J2192" s="9" t="n">
        <v>1</v>
      </c>
      <c r="K2192" s="30"/>
      <c r="L2192" s="30"/>
      <c r="M2192" s="30"/>
      <c r="N2192" s="30"/>
      <c r="O2192" s="30"/>
      <c r="P2192" s="30"/>
      <c r="Q2192" s="30"/>
      <c r="R2192" s="30"/>
      <c r="S2192" s="30"/>
      <c r="T2192" s="30"/>
      <c r="U2192" s="21" t="str">
        <f aca="false">IF(COUNT(K2192:T2192)=0,"SOURCE EMPTY / INDUSTRIAL ONLY",IF(MIN(K2192:T2192)=1,"SERVICE READY","HOLD"))</f>
        <v>SOURCE EMPTY / INDUSTRIAL ONLY</v>
      </c>
      <c r="V2192" s="9" t="n">
        <f aca="false">IF(U2192="SERVICE READY",1,0)</f>
        <v>0</v>
      </c>
      <c r="W2192" s="6"/>
      <c r="X2192" s="6"/>
      <c r="Y2192" s="6"/>
      <c r="Z2192" s="6"/>
    </row>
    <row r="2193" customFormat="false" ht="15" hidden="false" customHeight="false" outlineLevel="0" collapsed="false">
      <c r="A2193" s="9" t="s">
        <v>2451</v>
      </c>
      <c r="B2193" s="9" t="s">
        <v>2439</v>
      </c>
      <c r="C2193" s="9" t="s">
        <v>2440</v>
      </c>
      <c r="D2193" s="9" t="s">
        <v>2185</v>
      </c>
      <c r="E2193" s="9" t="s">
        <v>2027</v>
      </c>
      <c r="F2193" s="9" t="s">
        <v>207</v>
      </c>
      <c r="G2193" s="9" t="s">
        <v>201</v>
      </c>
      <c r="H2193" s="9" t="n">
        <v>4200</v>
      </c>
      <c r="I2193" s="29" t="n">
        <v>1.5</v>
      </c>
      <c r="J2193" s="9" t="n">
        <v>1</v>
      </c>
      <c r="K2193" s="30"/>
      <c r="L2193" s="30"/>
      <c r="M2193" s="30"/>
      <c r="N2193" s="30"/>
      <c r="O2193" s="30"/>
      <c r="P2193" s="30"/>
      <c r="Q2193" s="30"/>
      <c r="R2193" s="30"/>
      <c r="S2193" s="30"/>
      <c r="T2193" s="30"/>
      <c r="U2193" s="21" t="str">
        <f aca="false">IF(COUNT(K2193:T2193)=0,"SOURCE EMPTY / INDUSTRIAL ONLY",IF(MIN(K2193:T2193)=1,"SERVICE READY","HOLD"))</f>
        <v>SOURCE EMPTY / INDUSTRIAL ONLY</v>
      </c>
      <c r="V2193" s="9" t="n">
        <f aca="false">IF(U2193="SERVICE READY",1,0)</f>
        <v>0</v>
      </c>
      <c r="W2193" s="6"/>
      <c r="X2193" s="6"/>
      <c r="Y2193" s="6"/>
      <c r="Z2193" s="6"/>
    </row>
    <row r="2194" customFormat="false" ht="15" hidden="false" customHeight="false" outlineLevel="0" collapsed="false">
      <c r="A2194" s="9" t="s">
        <v>2452</v>
      </c>
      <c r="B2194" s="9" t="s">
        <v>2439</v>
      </c>
      <c r="C2194" s="9" t="s">
        <v>2440</v>
      </c>
      <c r="D2194" s="9" t="s">
        <v>2185</v>
      </c>
      <c r="E2194" s="9" t="s">
        <v>2027</v>
      </c>
      <c r="F2194" s="9" t="s">
        <v>209</v>
      </c>
      <c r="G2194" s="9" t="s">
        <v>198</v>
      </c>
      <c r="H2194" s="9" t="n">
        <v>4200</v>
      </c>
      <c r="I2194" s="29" t="n">
        <v>1.5</v>
      </c>
      <c r="J2194" s="9" t="n">
        <v>1</v>
      </c>
      <c r="K2194" s="30"/>
      <c r="L2194" s="30"/>
      <c r="M2194" s="30"/>
      <c r="N2194" s="30"/>
      <c r="O2194" s="30"/>
      <c r="P2194" s="30"/>
      <c r="Q2194" s="30"/>
      <c r="R2194" s="30"/>
      <c r="S2194" s="30"/>
      <c r="T2194" s="30"/>
      <c r="U2194" s="21" t="str">
        <f aca="false">IF(COUNT(K2194:T2194)=0,"SOURCE EMPTY / INDUSTRIAL ONLY",IF(MIN(K2194:T2194)=1,"SERVICE READY","HOLD"))</f>
        <v>SOURCE EMPTY / INDUSTRIAL ONLY</v>
      </c>
      <c r="V2194" s="9" t="n">
        <f aca="false">IF(U2194="SERVICE READY",1,0)</f>
        <v>0</v>
      </c>
      <c r="W2194" s="6"/>
      <c r="X2194" s="6"/>
      <c r="Y2194" s="6"/>
      <c r="Z2194" s="6"/>
    </row>
    <row r="2195" customFormat="false" ht="15" hidden="false" customHeight="false" outlineLevel="0" collapsed="false">
      <c r="A2195" s="9" t="s">
        <v>2453</v>
      </c>
      <c r="B2195" s="9" t="s">
        <v>2439</v>
      </c>
      <c r="C2195" s="9" t="s">
        <v>2440</v>
      </c>
      <c r="D2195" s="9" t="s">
        <v>2185</v>
      </c>
      <c r="E2195" s="9" t="s">
        <v>2027</v>
      </c>
      <c r="F2195" s="9" t="s">
        <v>211</v>
      </c>
      <c r="G2195" s="9" t="s">
        <v>201</v>
      </c>
      <c r="H2195" s="9" t="n">
        <v>4200</v>
      </c>
      <c r="I2195" s="29" t="n">
        <v>1.5</v>
      </c>
      <c r="J2195" s="9" t="n">
        <v>1</v>
      </c>
      <c r="K2195" s="30"/>
      <c r="L2195" s="30"/>
      <c r="M2195" s="30"/>
      <c r="N2195" s="30"/>
      <c r="O2195" s="30"/>
      <c r="P2195" s="30"/>
      <c r="Q2195" s="30"/>
      <c r="R2195" s="30"/>
      <c r="S2195" s="30"/>
      <c r="T2195" s="30"/>
      <c r="U2195" s="21" t="str">
        <f aca="false">IF(COUNT(K2195:T2195)=0,"SOURCE EMPTY / INDUSTRIAL ONLY",IF(MIN(K2195:T2195)=1,"SERVICE READY","HOLD"))</f>
        <v>SOURCE EMPTY / INDUSTRIAL ONLY</v>
      </c>
      <c r="V2195" s="9" t="n">
        <f aca="false">IF(U2195="SERVICE READY",1,0)</f>
        <v>0</v>
      </c>
      <c r="W2195" s="6"/>
      <c r="X2195" s="6"/>
      <c r="Y2195" s="6"/>
      <c r="Z2195" s="6"/>
    </row>
    <row r="2196" customFormat="false" ht="15" hidden="false" customHeight="false" outlineLevel="0" collapsed="false">
      <c r="A2196" s="9" t="s">
        <v>2454</v>
      </c>
      <c r="B2196" s="9" t="s">
        <v>2439</v>
      </c>
      <c r="C2196" s="9" t="s">
        <v>2440</v>
      </c>
      <c r="D2196" s="9" t="s">
        <v>2185</v>
      </c>
      <c r="E2196" s="9" t="s">
        <v>2027</v>
      </c>
      <c r="F2196" s="9" t="s">
        <v>197</v>
      </c>
      <c r="G2196" s="9" t="s">
        <v>198</v>
      </c>
      <c r="H2196" s="9" t="n">
        <v>4200</v>
      </c>
      <c r="I2196" s="29" t="n">
        <v>1.5</v>
      </c>
      <c r="J2196" s="9" t="n">
        <v>1</v>
      </c>
      <c r="K2196" s="30"/>
      <c r="L2196" s="30"/>
      <c r="M2196" s="30"/>
      <c r="N2196" s="30"/>
      <c r="O2196" s="30"/>
      <c r="P2196" s="30"/>
      <c r="Q2196" s="30"/>
      <c r="R2196" s="30"/>
      <c r="S2196" s="30"/>
      <c r="T2196" s="30"/>
      <c r="U2196" s="21" t="str">
        <f aca="false">IF(COUNT(K2196:T2196)=0,"SOURCE EMPTY / INDUSTRIAL ONLY",IF(MIN(K2196:T2196)=1,"SERVICE READY","HOLD"))</f>
        <v>SOURCE EMPTY / INDUSTRIAL ONLY</v>
      </c>
      <c r="V2196" s="9" t="n">
        <f aca="false">IF(U2196="SERVICE READY",1,0)</f>
        <v>0</v>
      </c>
      <c r="W2196" s="6"/>
      <c r="X2196" s="6"/>
      <c r="Y2196" s="6"/>
      <c r="Z2196" s="6"/>
    </row>
    <row r="2197" customFormat="false" ht="15" hidden="false" customHeight="false" outlineLevel="0" collapsed="false">
      <c r="A2197" s="9" t="s">
        <v>2455</v>
      </c>
      <c r="B2197" s="9" t="s">
        <v>2439</v>
      </c>
      <c r="C2197" s="9" t="s">
        <v>2440</v>
      </c>
      <c r="D2197" s="9" t="s">
        <v>2185</v>
      </c>
      <c r="E2197" s="9" t="s">
        <v>2027</v>
      </c>
      <c r="F2197" s="9" t="s">
        <v>200</v>
      </c>
      <c r="G2197" s="9" t="s">
        <v>201</v>
      </c>
      <c r="H2197" s="9" t="n">
        <v>4200</v>
      </c>
      <c r="I2197" s="29" t="n">
        <v>1.5</v>
      </c>
      <c r="J2197" s="9" t="n">
        <v>1</v>
      </c>
      <c r="K2197" s="30"/>
      <c r="L2197" s="30"/>
      <c r="M2197" s="30"/>
      <c r="N2197" s="30"/>
      <c r="O2197" s="30"/>
      <c r="P2197" s="30"/>
      <c r="Q2197" s="30"/>
      <c r="R2197" s="30"/>
      <c r="S2197" s="30"/>
      <c r="T2197" s="30"/>
      <c r="U2197" s="21" t="str">
        <f aca="false">IF(COUNT(K2197:T2197)=0,"SOURCE EMPTY / INDUSTRIAL ONLY",IF(MIN(K2197:T2197)=1,"SERVICE READY","HOLD"))</f>
        <v>SOURCE EMPTY / INDUSTRIAL ONLY</v>
      </c>
      <c r="V2197" s="9" t="n">
        <f aca="false">IF(U2197="SERVICE READY",1,0)</f>
        <v>0</v>
      </c>
      <c r="W2197" s="6"/>
      <c r="X2197" s="6"/>
      <c r="Y2197" s="6"/>
      <c r="Z2197" s="6"/>
    </row>
    <row r="2198" customFormat="false" ht="15" hidden="false" customHeight="false" outlineLevel="0" collapsed="false">
      <c r="A2198" s="9" t="s">
        <v>2456</v>
      </c>
      <c r="B2198" s="9" t="s">
        <v>2439</v>
      </c>
      <c r="C2198" s="9" t="s">
        <v>2440</v>
      </c>
      <c r="D2198" s="9" t="s">
        <v>2185</v>
      </c>
      <c r="E2198" s="9" t="s">
        <v>2027</v>
      </c>
      <c r="F2198" s="9" t="s">
        <v>203</v>
      </c>
      <c r="G2198" s="9" t="s">
        <v>198</v>
      </c>
      <c r="H2198" s="9" t="n">
        <v>4200</v>
      </c>
      <c r="I2198" s="29" t="n">
        <v>1.5</v>
      </c>
      <c r="J2198" s="9" t="n">
        <v>1</v>
      </c>
      <c r="K2198" s="30"/>
      <c r="L2198" s="30"/>
      <c r="M2198" s="30"/>
      <c r="N2198" s="30"/>
      <c r="O2198" s="30"/>
      <c r="P2198" s="30"/>
      <c r="Q2198" s="30"/>
      <c r="R2198" s="30"/>
      <c r="S2198" s="30"/>
      <c r="T2198" s="30"/>
      <c r="U2198" s="21" t="str">
        <f aca="false">IF(COUNT(K2198:T2198)=0,"SOURCE EMPTY / INDUSTRIAL ONLY",IF(MIN(K2198:T2198)=1,"SERVICE READY","HOLD"))</f>
        <v>SOURCE EMPTY / INDUSTRIAL ONLY</v>
      </c>
      <c r="V2198" s="9" t="n">
        <f aca="false">IF(U2198="SERVICE READY",1,0)</f>
        <v>0</v>
      </c>
      <c r="W2198" s="6"/>
      <c r="X2198" s="6"/>
      <c r="Y2198" s="6"/>
      <c r="Z2198" s="6"/>
    </row>
    <row r="2199" customFormat="false" ht="15" hidden="false" customHeight="false" outlineLevel="0" collapsed="false">
      <c r="A2199" s="9" t="s">
        <v>2457</v>
      </c>
      <c r="B2199" s="9" t="s">
        <v>2439</v>
      </c>
      <c r="C2199" s="9" t="s">
        <v>2440</v>
      </c>
      <c r="D2199" s="9" t="s">
        <v>2185</v>
      </c>
      <c r="E2199" s="9" t="s">
        <v>2027</v>
      </c>
      <c r="F2199" s="9" t="s">
        <v>205</v>
      </c>
      <c r="G2199" s="9" t="s">
        <v>201</v>
      </c>
      <c r="H2199" s="9" t="n">
        <v>4200</v>
      </c>
      <c r="I2199" s="29" t="n">
        <v>1.5</v>
      </c>
      <c r="J2199" s="9" t="n">
        <v>1</v>
      </c>
      <c r="K2199" s="30"/>
      <c r="L2199" s="30"/>
      <c r="M2199" s="30"/>
      <c r="N2199" s="30"/>
      <c r="O2199" s="30"/>
      <c r="P2199" s="30"/>
      <c r="Q2199" s="30"/>
      <c r="R2199" s="30"/>
      <c r="S2199" s="30"/>
      <c r="T2199" s="30"/>
      <c r="U2199" s="21" t="str">
        <f aca="false">IF(COUNT(K2199:T2199)=0,"SOURCE EMPTY / INDUSTRIAL ONLY",IF(MIN(K2199:T2199)=1,"SERVICE READY","HOLD"))</f>
        <v>SOURCE EMPTY / INDUSTRIAL ONLY</v>
      </c>
      <c r="V2199" s="9" t="n">
        <f aca="false">IF(U2199="SERVICE READY",1,0)</f>
        <v>0</v>
      </c>
      <c r="W2199" s="6"/>
      <c r="X2199" s="6"/>
      <c r="Y2199" s="6"/>
      <c r="Z2199" s="6"/>
    </row>
    <row r="2200" customFormat="false" ht="15" hidden="false" customHeight="false" outlineLevel="0" collapsed="false">
      <c r="A2200" s="9" t="s">
        <v>2458</v>
      </c>
      <c r="B2200" s="9" t="s">
        <v>2439</v>
      </c>
      <c r="C2200" s="9" t="s">
        <v>2440</v>
      </c>
      <c r="D2200" s="9" t="s">
        <v>2185</v>
      </c>
      <c r="E2200" s="9" t="s">
        <v>2027</v>
      </c>
      <c r="F2200" s="9" t="s">
        <v>207</v>
      </c>
      <c r="G2200" s="9" t="s">
        <v>198</v>
      </c>
      <c r="H2200" s="9" t="n">
        <v>4200</v>
      </c>
      <c r="I2200" s="29" t="n">
        <v>1.5</v>
      </c>
      <c r="J2200" s="9" t="n">
        <v>1</v>
      </c>
      <c r="K2200" s="30"/>
      <c r="L2200" s="30"/>
      <c r="M2200" s="30"/>
      <c r="N2200" s="30"/>
      <c r="O2200" s="30"/>
      <c r="P2200" s="30"/>
      <c r="Q2200" s="30"/>
      <c r="R2200" s="30"/>
      <c r="S2200" s="30"/>
      <c r="T2200" s="30"/>
      <c r="U2200" s="21" t="str">
        <f aca="false">IF(COUNT(K2200:T2200)=0,"SOURCE EMPTY / INDUSTRIAL ONLY",IF(MIN(K2200:T2200)=1,"SERVICE READY","HOLD"))</f>
        <v>SOURCE EMPTY / INDUSTRIAL ONLY</v>
      </c>
      <c r="V2200" s="9" t="n">
        <f aca="false">IF(U2200="SERVICE READY",1,0)</f>
        <v>0</v>
      </c>
      <c r="W2200" s="6"/>
      <c r="X2200" s="6"/>
      <c r="Y2200" s="6"/>
      <c r="Z2200" s="6"/>
    </row>
    <row r="2201" customFormat="false" ht="15" hidden="false" customHeight="false" outlineLevel="0" collapsed="false">
      <c r="A2201" s="9" t="s">
        <v>2459</v>
      </c>
      <c r="B2201" s="9" t="s">
        <v>2439</v>
      </c>
      <c r="C2201" s="9" t="s">
        <v>2440</v>
      </c>
      <c r="D2201" s="9" t="s">
        <v>2185</v>
      </c>
      <c r="E2201" s="9" t="s">
        <v>2027</v>
      </c>
      <c r="F2201" s="9" t="s">
        <v>209</v>
      </c>
      <c r="G2201" s="9" t="s">
        <v>201</v>
      </c>
      <c r="H2201" s="9" t="n">
        <v>4200</v>
      </c>
      <c r="I2201" s="29" t="n">
        <v>1.5</v>
      </c>
      <c r="J2201" s="9" t="n">
        <v>1</v>
      </c>
      <c r="K2201" s="30"/>
      <c r="L2201" s="30"/>
      <c r="M2201" s="30"/>
      <c r="N2201" s="30"/>
      <c r="O2201" s="30"/>
      <c r="P2201" s="30"/>
      <c r="Q2201" s="30"/>
      <c r="R2201" s="30"/>
      <c r="S2201" s="30"/>
      <c r="T2201" s="30"/>
      <c r="U2201" s="21" t="str">
        <f aca="false">IF(COUNT(K2201:T2201)=0,"SOURCE EMPTY / INDUSTRIAL ONLY",IF(MIN(K2201:T2201)=1,"SERVICE READY","HOLD"))</f>
        <v>SOURCE EMPTY / INDUSTRIAL ONLY</v>
      </c>
      <c r="V2201" s="9" t="n">
        <f aca="false">IF(U2201="SERVICE READY",1,0)</f>
        <v>0</v>
      </c>
      <c r="W2201" s="6"/>
      <c r="X2201" s="6"/>
      <c r="Y2201" s="6"/>
      <c r="Z2201" s="6"/>
    </row>
    <row r="2202" customFormat="false" ht="15" hidden="false" customHeight="false" outlineLevel="0" collapsed="false">
      <c r="A2202" s="9" t="s">
        <v>2460</v>
      </c>
      <c r="B2202" s="9" t="s">
        <v>2439</v>
      </c>
      <c r="C2202" s="9" t="s">
        <v>2440</v>
      </c>
      <c r="D2202" s="9" t="s">
        <v>2185</v>
      </c>
      <c r="E2202" s="9" t="s">
        <v>2027</v>
      </c>
      <c r="F2202" s="9" t="s">
        <v>211</v>
      </c>
      <c r="G2202" s="9" t="s">
        <v>198</v>
      </c>
      <c r="H2202" s="9" t="n">
        <v>4200</v>
      </c>
      <c r="I2202" s="29" t="n">
        <v>1.5</v>
      </c>
      <c r="J2202" s="9" t="n">
        <v>1</v>
      </c>
      <c r="K2202" s="30"/>
      <c r="L2202" s="30"/>
      <c r="M2202" s="30"/>
      <c r="N2202" s="30"/>
      <c r="O2202" s="30"/>
      <c r="P2202" s="30"/>
      <c r="Q2202" s="30"/>
      <c r="R2202" s="30"/>
      <c r="S2202" s="30"/>
      <c r="T2202" s="30"/>
      <c r="U2202" s="21" t="str">
        <f aca="false">IF(COUNT(K2202:T2202)=0,"SOURCE EMPTY / INDUSTRIAL ONLY",IF(MIN(K2202:T2202)=1,"SERVICE READY","HOLD"))</f>
        <v>SOURCE EMPTY / INDUSTRIAL ONLY</v>
      </c>
      <c r="V2202" s="9" t="n">
        <f aca="false">IF(U2202="SERVICE READY",1,0)</f>
        <v>0</v>
      </c>
      <c r="W2202" s="6"/>
      <c r="X2202" s="6"/>
      <c r="Y2202" s="6"/>
      <c r="Z2202" s="6"/>
    </row>
    <row r="2203" customFormat="false" ht="15" hidden="false" customHeight="false" outlineLevel="0" collapsed="false">
      <c r="A2203" s="9" t="s">
        <v>2461</v>
      </c>
      <c r="B2203" s="9" t="s">
        <v>2439</v>
      </c>
      <c r="C2203" s="9" t="s">
        <v>2440</v>
      </c>
      <c r="D2203" s="9" t="s">
        <v>2185</v>
      </c>
      <c r="E2203" s="9" t="s">
        <v>2027</v>
      </c>
      <c r="F2203" s="9" t="s">
        <v>197</v>
      </c>
      <c r="G2203" s="9" t="s">
        <v>221</v>
      </c>
      <c r="H2203" s="9" t="n">
        <v>4200</v>
      </c>
      <c r="I2203" s="29" t="n">
        <v>1.5</v>
      </c>
      <c r="J2203" s="9" t="n">
        <v>1</v>
      </c>
      <c r="K2203" s="30"/>
      <c r="L2203" s="30"/>
      <c r="M2203" s="30"/>
      <c r="N2203" s="30"/>
      <c r="O2203" s="30"/>
      <c r="P2203" s="30"/>
      <c r="Q2203" s="30"/>
      <c r="R2203" s="30"/>
      <c r="S2203" s="30"/>
      <c r="T2203" s="30"/>
      <c r="U2203" s="21" t="str">
        <f aca="false">IF(COUNT(K2203:T2203)=0,"SOURCE EMPTY / INDUSTRIAL ONLY",IF(MIN(K2203:T2203)=1,"SERVICE READY","HOLD"))</f>
        <v>SOURCE EMPTY / INDUSTRIAL ONLY</v>
      </c>
      <c r="V2203" s="9" t="n">
        <f aca="false">IF(U2203="SERVICE READY",1,0)</f>
        <v>0</v>
      </c>
      <c r="W2203" s="6"/>
      <c r="X2203" s="6"/>
      <c r="Y2203" s="6"/>
      <c r="Z2203" s="6"/>
    </row>
    <row r="2204" customFormat="false" ht="15" hidden="false" customHeight="false" outlineLevel="0" collapsed="false">
      <c r="A2204" s="9" t="s">
        <v>2462</v>
      </c>
      <c r="B2204" s="9" t="s">
        <v>2439</v>
      </c>
      <c r="C2204" s="9" t="s">
        <v>2440</v>
      </c>
      <c r="D2204" s="9" t="s">
        <v>2185</v>
      </c>
      <c r="E2204" s="9" t="s">
        <v>2027</v>
      </c>
      <c r="F2204" s="9" t="s">
        <v>200</v>
      </c>
      <c r="G2204" s="9" t="s">
        <v>221</v>
      </c>
      <c r="H2204" s="9" t="n">
        <v>4200</v>
      </c>
      <c r="I2204" s="29" t="n">
        <v>1.5</v>
      </c>
      <c r="J2204" s="9" t="n">
        <v>1</v>
      </c>
      <c r="K2204" s="30"/>
      <c r="L2204" s="30"/>
      <c r="M2204" s="30"/>
      <c r="N2204" s="30"/>
      <c r="O2204" s="30"/>
      <c r="P2204" s="30"/>
      <c r="Q2204" s="30"/>
      <c r="R2204" s="30"/>
      <c r="S2204" s="30"/>
      <c r="T2204" s="30"/>
      <c r="U2204" s="21" t="str">
        <f aca="false">IF(COUNT(K2204:T2204)=0,"SOURCE EMPTY / INDUSTRIAL ONLY",IF(MIN(K2204:T2204)=1,"SERVICE READY","HOLD"))</f>
        <v>SOURCE EMPTY / INDUSTRIAL ONLY</v>
      </c>
      <c r="V2204" s="9" t="n">
        <f aca="false">IF(U2204="SERVICE READY",1,0)</f>
        <v>0</v>
      </c>
      <c r="W2204" s="6"/>
      <c r="X2204" s="6"/>
      <c r="Y2204" s="6"/>
      <c r="Z2204" s="6"/>
    </row>
    <row r="2205" customFormat="false" ht="15" hidden="false" customHeight="false" outlineLevel="0" collapsed="false">
      <c r="A2205" s="9" t="s">
        <v>2463</v>
      </c>
      <c r="B2205" s="9" t="s">
        <v>2439</v>
      </c>
      <c r="C2205" s="9" t="s">
        <v>2440</v>
      </c>
      <c r="D2205" s="9" t="s">
        <v>2185</v>
      </c>
      <c r="E2205" s="9" t="s">
        <v>2027</v>
      </c>
      <c r="F2205" s="9" t="s">
        <v>203</v>
      </c>
      <c r="G2205" s="9" t="s">
        <v>221</v>
      </c>
      <c r="H2205" s="9" t="n">
        <v>4200</v>
      </c>
      <c r="I2205" s="29" t="n">
        <v>1.5</v>
      </c>
      <c r="J2205" s="9" t="n">
        <v>1</v>
      </c>
      <c r="K2205" s="30"/>
      <c r="L2205" s="30"/>
      <c r="M2205" s="30"/>
      <c r="N2205" s="30"/>
      <c r="O2205" s="30"/>
      <c r="P2205" s="30"/>
      <c r="Q2205" s="30"/>
      <c r="R2205" s="30"/>
      <c r="S2205" s="30"/>
      <c r="T2205" s="30"/>
      <c r="U2205" s="21" t="str">
        <f aca="false">IF(COUNT(K2205:T2205)=0,"SOURCE EMPTY / INDUSTRIAL ONLY",IF(MIN(K2205:T2205)=1,"SERVICE READY","HOLD"))</f>
        <v>SOURCE EMPTY / INDUSTRIAL ONLY</v>
      </c>
      <c r="V2205" s="9" t="n">
        <f aca="false">IF(U2205="SERVICE READY",1,0)</f>
        <v>0</v>
      </c>
      <c r="W2205" s="6"/>
      <c r="X2205" s="6"/>
      <c r="Y2205" s="6"/>
      <c r="Z2205" s="6"/>
    </row>
    <row r="2206" customFormat="false" ht="15" hidden="false" customHeight="false" outlineLevel="0" collapsed="false">
      <c r="A2206" s="9" t="s">
        <v>2464</v>
      </c>
      <c r="B2206" s="9" t="s">
        <v>2439</v>
      </c>
      <c r="C2206" s="9" t="s">
        <v>2440</v>
      </c>
      <c r="D2206" s="9" t="s">
        <v>2185</v>
      </c>
      <c r="E2206" s="9" t="s">
        <v>2027</v>
      </c>
      <c r="F2206" s="9" t="s">
        <v>205</v>
      </c>
      <c r="G2206" s="9" t="s">
        <v>221</v>
      </c>
      <c r="H2206" s="9" t="n">
        <v>4200</v>
      </c>
      <c r="I2206" s="29" t="n">
        <v>1.5</v>
      </c>
      <c r="J2206" s="9" t="n">
        <v>1</v>
      </c>
      <c r="K2206" s="30"/>
      <c r="L2206" s="30"/>
      <c r="M2206" s="30"/>
      <c r="N2206" s="30"/>
      <c r="O2206" s="30"/>
      <c r="P2206" s="30"/>
      <c r="Q2206" s="30"/>
      <c r="R2206" s="30"/>
      <c r="S2206" s="30"/>
      <c r="T2206" s="30"/>
      <c r="U2206" s="21" t="str">
        <f aca="false">IF(COUNT(K2206:T2206)=0,"SOURCE EMPTY / INDUSTRIAL ONLY",IF(MIN(K2206:T2206)=1,"SERVICE READY","HOLD"))</f>
        <v>SOURCE EMPTY / INDUSTRIAL ONLY</v>
      </c>
      <c r="V2206" s="9" t="n">
        <f aca="false">IF(U2206="SERVICE READY",1,0)</f>
        <v>0</v>
      </c>
      <c r="W2206" s="6"/>
      <c r="X2206" s="6"/>
      <c r="Y2206" s="6"/>
      <c r="Z2206" s="6"/>
    </row>
    <row r="2207" customFormat="false" ht="15" hidden="false" customHeight="false" outlineLevel="0" collapsed="false">
      <c r="A2207" s="9" t="s">
        <v>2465</v>
      </c>
      <c r="B2207" s="9" t="s">
        <v>2439</v>
      </c>
      <c r="C2207" s="9" t="s">
        <v>2440</v>
      </c>
      <c r="D2207" s="9" t="s">
        <v>2185</v>
      </c>
      <c r="E2207" s="9" t="s">
        <v>2027</v>
      </c>
      <c r="F2207" s="9" t="s">
        <v>207</v>
      </c>
      <c r="G2207" s="9" t="s">
        <v>221</v>
      </c>
      <c r="H2207" s="9" t="n">
        <v>4200</v>
      </c>
      <c r="I2207" s="29" t="n">
        <v>1.5</v>
      </c>
      <c r="J2207" s="9" t="n">
        <v>1</v>
      </c>
      <c r="K2207" s="30"/>
      <c r="L2207" s="30"/>
      <c r="M2207" s="30"/>
      <c r="N2207" s="30"/>
      <c r="O2207" s="30"/>
      <c r="P2207" s="30"/>
      <c r="Q2207" s="30"/>
      <c r="R2207" s="30"/>
      <c r="S2207" s="30"/>
      <c r="T2207" s="30"/>
      <c r="U2207" s="21" t="str">
        <f aca="false">IF(COUNT(K2207:T2207)=0,"SOURCE EMPTY / INDUSTRIAL ONLY",IF(MIN(K2207:T2207)=1,"SERVICE READY","HOLD"))</f>
        <v>SOURCE EMPTY / INDUSTRIAL ONLY</v>
      </c>
      <c r="V2207" s="9" t="n">
        <f aca="false">IF(U2207="SERVICE READY",1,0)</f>
        <v>0</v>
      </c>
      <c r="W2207" s="6"/>
      <c r="X2207" s="6"/>
      <c r="Y2207" s="6"/>
      <c r="Z2207" s="6"/>
    </row>
    <row r="2208" customFormat="false" ht="15" hidden="false" customHeight="false" outlineLevel="0" collapsed="false">
      <c r="A2208" s="9" t="s">
        <v>2466</v>
      </c>
      <c r="B2208" s="9" t="s">
        <v>2439</v>
      </c>
      <c r="C2208" s="9" t="s">
        <v>2440</v>
      </c>
      <c r="D2208" s="9" t="s">
        <v>2185</v>
      </c>
      <c r="E2208" s="9" t="s">
        <v>2027</v>
      </c>
      <c r="F2208" s="9" t="s">
        <v>209</v>
      </c>
      <c r="G2208" s="9" t="s">
        <v>221</v>
      </c>
      <c r="H2208" s="9" t="n">
        <v>4200</v>
      </c>
      <c r="I2208" s="29" t="n">
        <v>1.5</v>
      </c>
      <c r="J2208" s="9" t="n">
        <v>1</v>
      </c>
      <c r="K2208" s="30"/>
      <c r="L2208" s="30"/>
      <c r="M2208" s="30"/>
      <c r="N2208" s="30"/>
      <c r="O2208" s="30"/>
      <c r="P2208" s="30"/>
      <c r="Q2208" s="30"/>
      <c r="R2208" s="30"/>
      <c r="S2208" s="30"/>
      <c r="T2208" s="30"/>
      <c r="U2208" s="21" t="str">
        <f aca="false">IF(COUNT(K2208:T2208)=0,"SOURCE EMPTY / INDUSTRIAL ONLY",IF(MIN(K2208:T2208)=1,"SERVICE READY","HOLD"))</f>
        <v>SOURCE EMPTY / INDUSTRIAL ONLY</v>
      </c>
      <c r="V2208" s="9" t="n">
        <f aca="false">IF(U2208="SERVICE READY",1,0)</f>
        <v>0</v>
      </c>
      <c r="W2208" s="6"/>
      <c r="X2208" s="6"/>
      <c r="Y2208" s="6"/>
      <c r="Z2208" s="6"/>
    </row>
    <row r="2209" customFormat="false" ht="15" hidden="false" customHeight="false" outlineLevel="0" collapsed="false">
      <c r="A2209" s="9" t="s">
        <v>2467</v>
      </c>
      <c r="B2209" s="9" t="s">
        <v>2439</v>
      </c>
      <c r="C2209" s="9" t="s">
        <v>2440</v>
      </c>
      <c r="D2209" s="9" t="s">
        <v>2185</v>
      </c>
      <c r="E2209" s="9" t="s">
        <v>2027</v>
      </c>
      <c r="F2209" s="9" t="s">
        <v>211</v>
      </c>
      <c r="G2209" s="9" t="s">
        <v>221</v>
      </c>
      <c r="H2209" s="9" t="n">
        <v>4200</v>
      </c>
      <c r="I2209" s="29" t="n">
        <v>1.5</v>
      </c>
      <c r="J2209" s="9" t="n">
        <v>1</v>
      </c>
      <c r="K2209" s="30"/>
      <c r="L2209" s="30"/>
      <c r="M2209" s="30"/>
      <c r="N2209" s="30"/>
      <c r="O2209" s="30"/>
      <c r="P2209" s="30"/>
      <c r="Q2209" s="30"/>
      <c r="R2209" s="30"/>
      <c r="S2209" s="30"/>
      <c r="T2209" s="30"/>
      <c r="U2209" s="21" t="str">
        <f aca="false">IF(COUNT(K2209:T2209)=0,"SOURCE EMPTY / INDUSTRIAL ONLY",IF(MIN(K2209:T2209)=1,"SERVICE READY","HOLD"))</f>
        <v>SOURCE EMPTY / INDUSTRIAL ONLY</v>
      </c>
      <c r="V2209" s="9" t="n">
        <f aca="false">IF(U2209="SERVICE READY",1,0)</f>
        <v>0</v>
      </c>
      <c r="W2209" s="6"/>
      <c r="X2209" s="6"/>
      <c r="Y2209" s="6"/>
      <c r="Z2209" s="6"/>
    </row>
    <row r="2210" customFormat="false" ht="15" hidden="false" customHeight="false" outlineLevel="0" collapsed="false">
      <c r="A2210" s="9" t="s">
        <v>2468</v>
      </c>
      <c r="B2210" s="9" t="s">
        <v>2439</v>
      </c>
      <c r="C2210" s="9" t="s">
        <v>2440</v>
      </c>
      <c r="D2210" s="9" t="s">
        <v>2185</v>
      </c>
      <c r="E2210" s="9" t="s">
        <v>2027</v>
      </c>
      <c r="F2210" s="9" t="s">
        <v>197</v>
      </c>
      <c r="G2210" s="9" t="s">
        <v>221</v>
      </c>
      <c r="H2210" s="9" t="n">
        <v>4200</v>
      </c>
      <c r="I2210" s="29" t="n">
        <v>1.5</v>
      </c>
      <c r="J2210" s="9" t="n">
        <v>1</v>
      </c>
      <c r="K2210" s="30"/>
      <c r="L2210" s="30"/>
      <c r="M2210" s="30"/>
      <c r="N2210" s="30"/>
      <c r="O2210" s="30"/>
      <c r="P2210" s="30"/>
      <c r="Q2210" s="30"/>
      <c r="R2210" s="30"/>
      <c r="S2210" s="30"/>
      <c r="T2210" s="30"/>
      <c r="U2210" s="21" t="str">
        <f aca="false">IF(COUNT(K2210:T2210)=0,"SOURCE EMPTY / INDUSTRIAL ONLY",IF(MIN(K2210:T2210)=1,"SERVICE READY","HOLD"))</f>
        <v>SOURCE EMPTY / INDUSTRIAL ONLY</v>
      </c>
      <c r="V2210" s="9" t="n">
        <f aca="false">IF(U2210="SERVICE READY",1,0)</f>
        <v>0</v>
      </c>
      <c r="W2210" s="6"/>
      <c r="X2210" s="6"/>
      <c r="Y2210" s="6"/>
      <c r="Z2210" s="6"/>
    </row>
    <row r="2211" customFormat="false" ht="15" hidden="false" customHeight="false" outlineLevel="0" collapsed="false">
      <c r="A2211" s="9" t="s">
        <v>2469</v>
      </c>
      <c r="B2211" s="9" t="s">
        <v>2439</v>
      </c>
      <c r="C2211" s="9" t="s">
        <v>2440</v>
      </c>
      <c r="D2211" s="9" t="s">
        <v>2185</v>
      </c>
      <c r="E2211" s="9" t="s">
        <v>2027</v>
      </c>
      <c r="F2211" s="9" t="s">
        <v>200</v>
      </c>
      <c r="G2211" s="9" t="s">
        <v>221</v>
      </c>
      <c r="H2211" s="9" t="n">
        <v>4200</v>
      </c>
      <c r="I2211" s="29" t="n">
        <v>1.5</v>
      </c>
      <c r="J2211" s="9" t="n">
        <v>1</v>
      </c>
      <c r="K2211" s="30"/>
      <c r="L2211" s="30"/>
      <c r="M2211" s="30"/>
      <c r="N2211" s="30"/>
      <c r="O2211" s="30"/>
      <c r="P2211" s="30"/>
      <c r="Q2211" s="30"/>
      <c r="R2211" s="30"/>
      <c r="S2211" s="30"/>
      <c r="T2211" s="30"/>
      <c r="U2211" s="21" t="str">
        <f aca="false">IF(COUNT(K2211:T2211)=0,"SOURCE EMPTY / INDUSTRIAL ONLY",IF(MIN(K2211:T2211)=1,"SERVICE READY","HOLD"))</f>
        <v>SOURCE EMPTY / INDUSTRIAL ONLY</v>
      </c>
      <c r="V2211" s="9" t="n">
        <f aca="false">IF(U2211="SERVICE READY",1,0)</f>
        <v>0</v>
      </c>
      <c r="W2211" s="6"/>
      <c r="X2211" s="6"/>
      <c r="Y2211" s="6"/>
      <c r="Z2211" s="6"/>
    </row>
    <row r="2212" customFormat="false" ht="15" hidden="false" customHeight="false" outlineLevel="0" collapsed="false">
      <c r="A2212" s="9" t="s">
        <v>2470</v>
      </c>
      <c r="B2212" s="9" t="s">
        <v>2439</v>
      </c>
      <c r="C2212" s="9" t="s">
        <v>2440</v>
      </c>
      <c r="D2212" s="9" t="s">
        <v>2185</v>
      </c>
      <c r="E2212" s="9" t="s">
        <v>2027</v>
      </c>
      <c r="F2212" s="9" t="s">
        <v>203</v>
      </c>
      <c r="G2212" s="9" t="s">
        <v>221</v>
      </c>
      <c r="H2212" s="9" t="n">
        <v>4200</v>
      </c>
      <c r="I2212" s="29" t="n">
        <v>1.5</v>
      </c>
      <c r="J2212" s="9" t="n">
        <v>1</v>
      </c>
      <c r="K2212" s="30"/>
      <c r="L2212" s="30"/>
      <c r="M2212" s="30"/>
      <c r="N2212" s="30"/>
      <c r="O2212" s="30"/>
      <c r="P2212" s="30"/>
      <c r="Q2212" s="30"/>
      <c r="R2212" s="30"/>
      <c r="S2212" s="30"/>
      <c r="T2212" s="30"/>
      <c r="U2212" s="21" t="str">
        <f aca="false">IF(COUNT(K2212:T2212)=0,"SOURCE EMPTY / INDUSTRIAL ONLY",IF(MIN(K2212:T2212)=1,"SERVICE READY","HOLD"))</f>
        <v>SOURCE EMPTY / INDUSTRIAL ONLY</v>
      </c>
      <c r="V2212" s="9" t="n">
        <f aca="false">IF(U2212="SERVICE READY",1,0)</f>
        <v>0</v>
      </c>
      <c r="W2212" s="6"/>
      <c r="X2212" s="6"/>
      <c r="Y2212" s="6"/>
      <c r="Z2212" s="6"/>
    </row>
    <row r="2213" customFormat="false" ht="15" hidden="false" customHeight="false" outlineLevel="0" collapsed="false">
      <c r="A2213" s="9" t="s">
        <v>2471</v>
      </c>
      <c r="B2213" s="9" t="s">
        <v>2439</v>
      </c>
      <c r="C2213" s="9" t="s">
        <v>2440</v>
      </c>
      <c r="D2213" s="9" t="s">
        <v>2185</v>
      </c>
      <c r="E2213" s="9" t="s">
        <v>2027</v>
      </c>
      <c r="F2213" s="9" t="s">
        <v>205</v>
      </c>
      <c r="G2213" s="9" t="s">
        <v>221</v>
      </c>
      <c r="H2213" s="9" t="n">
        <v>4200</v>
      </c>
      <c r="I2213" s="29" t="n">
        <v>1.5</v>
      </c>
      <c r="J2213" s="9" t="n">
        <v>1</v>
      </c>
      <c r="K2213" s="30"/>
      <c r="L2213" s="30"/>
      <c r="M2213" s="30"/>
      <c r="N2213" s="30"/>
      <c r="O2213" s="30"/>
      <c r="P2213" s="30"/>
      <c r="Q2213" s="30"/>
      <c r="R2213" s="30"/>
      <c r="S2213" s="30"/>
      <c r="T2213" s="30"/>
      <c r="U2213" s="21" t="str">
        <f aca="false">IF(COUNT(K2213:T2213)=0,"SOURCE EMPTY / INDUSTRIAL ONLY",IF(MIN(K2213:T2213)=1,"SERVICE READY","HOLD"))</f>
        <v>SOURCE EMPTY / INDUSTRIAL ONLY</v>
      </c>
      <c r="V2213" s="9" t="n">
        <f aca="false">IF(U2213="SERVICE READY",1,0)</f>
        <v>0</v>
      </c>
      <c r="W2213" s="6"/>
      <c r="X2213" s="6"/>
      <c r="Y2213" s="6"/>
      <c r="Z2213" s="6"/>
    </row>
    <row r="2214" customFormat="false" ht="15" hidden="false" customHeight="false" outlineLevel="0" collapsed="false">
      <c r="A2214" s="9" t="s">
        <v>2472</v>
      </c>
      <c r="B2214" s="9" t="s">
        <v>2439</v>
      </c>
      <c r="C2214" s="9" t="s">
        <v>2440</v>
      </c>
      <c r="D2214" s="9" t="s">
        <v>2185</v>
      </c>
      <c r="E2214" s="9" t="s">
        <v>2027</v>
      </c>
      <c r="F2214" s="9" t="s">
        <v>207</v>
      </c>
      <c r="G2214" s="9" t="s">
        <v>221</v>
      </c>
      <c r="H2214" s="9" t="n">
        <v>4200</v>
      </c>
      <c r="I2214" s="29" t="n">
        <v>1.5</v>
      </c>
      <c r="J2214" s="9" t="n">
        <v>1</v>
      </c>
      <c r="K2214" s="30"/>
      <c r="L2214" s="30"/>
      <c r="M2214" s="30"/>
      <c r="N2214" s="30"/>
      <c r="O2214" s="30"/>
      <c r="P2214" s="30"/>
      <c r="Q2214" s="30"/>
      <c r="R2214" s="30"/>
      <c r="S2214" s="30"/>
      <c r="T2214" s="30"/>
      <c r="U2214" s="21" t="str">
        <f aca="false">IF(COUNT(K2214:T2214)=0,"SOURCE EMPTY / INDUSTRIAL ONLY",IF(MIN(K2214:T2214)=1,"SERVICE READY","HOLD"))</f>
        <v>SOURCE EMPTY / INDUSTRIAL ONLY</v>
      </c>
      <c r="V2214" s="9" t="n">
        <f aca="false">IF(U2214="SERVICE READY",1,0)</f>
        <v>0</v>
      </c>
      <c r="W2214" s="6"/>
      <c r="X2214" s="6"/>
      <c r="Y2214" s="6"/>
      <c r="Z2214" s="6"/>
    </row>
    <row r="2215" customFormat="false" ht="15" hidden="false" customHeight="false" outlineLevel="0" collapsed="false">
      <c r="A2215" s="9" t="s">
        <v>2473</v>
      </c>
      <c r="B2215" s="9" t="s">
        <v>2439</v>
      </c>
      <c r="C2215" s="9" t="s">
        <v>2440</v>
      </c>
      <c r="D2215" s="9" t="s">
        <v>2185</v>
      </c>
      <c r="E2215" s="9" t="s">
        <v>2027</v>
      </c>
      <c r="F2215" s="9" t="s">
        <v>209</v>
      </c>
      <c r="G2215" s="9" t="s">
        <v>221</v>
      </c>
      <c r="H2215" s="9" t="n">
        <v>4200</v>
      </c>
      <c r="I2215" s="29" t="n">
        <v>1.5</v>
      </c>
      <c r="J2215" s="9" t="n">
        <v>1</v>
      </c>
      <c r="K2215" s="30"/>
      <c r="L2215" s="30"/>
      <c r="M2215" s="30"/>
      <c r="N2215" s="30"/>
      <c r="O2215" s="30"/>
      <c r="P2215" s="30"/>
      <c r="Q2215" s="30"/>
      <c r="R2215" s="30"/>
      <c r="S2215" s="30"/>
      <c r="T2215" s="30"/>
      <c r="U2215" s="21" t="str">
        <f aca="false">IF(COUNT(K2215:T2215)=0,"SOURCE EMPTY / INDUSTRIAL ONLY",IF(MIN(K2215:T2215)=1,"SERVICE READY","HOLD"))</f>
        <v>SOURCE EMPTY / INDUSTRIAL ONLY</v>
      </c>
      <c r="V2215" s="9" t="n">
        <f aca="false">IF(U2215="SERVICE READY",1,0)</f>
        <v>0</v>
      </c>
      <c r="W2215" s="6"/>
      <c r="X2215" s="6"/>
      <c r="Y2215" s="6"/>
      <c r="Z2215" s="6"/>
    </row>
    <row r="2216" customFormat="false" ht="15" hidden="false" customHeight="false" outlineLevel="0" collapsed="false">
      <c r="A2216" s="9" t="s">
        <v>2474</v>
      </c>
      <c r="B2216" s="9" t="s">
        <v>2439</v>
      </c>
      <c r="C2216" s="9" t="s">
        <v>2440</v>
      </c>
      <c r="D2216" s="9" t="s">
        <v>2185</v>
      </c>
      <c r="E2216" s="9" t="s">
        <v>2027</v>
      </c>
      <c r="F2216" s="9" t="s">
        <v>211</v>
      </c>
      <c r="G2216" s="9" t="s">
        <v>221</v>
      </c>
      <c r="H2216" s="9" t="n">
        <v>4200</v>
      </c>
      <c r="I2216" s="29" t="n">
        <v>1.5</v>
      </c>
      <c r="J2216" s="9" t="n">
        <v>1</v>
      </c>
      <c r="K2216" s="30"/>
      <c r="L2216" s="30"/>
      <c r="M2216" s="30"/>
      <c r="N2216" s="30"/>
      <c r="O2216" s="30"/>
      <c r="P2216" s="30"/>
      <c r="Q2216" s="30"/>
      <c r="R2216" s="30"/>
      <c r="S2216" s="30"/>
      <c r="T2216" s="30"/>
      <c r="U2216" s="21" t="str">
        <f aca="false">IF(COUNT(K2216:T2216)=0,"SOURCE EMPTY / INDUSTRIAL ONLY",IF(MIN(K2216:T2216)=1,"SERVICE READY","HOLD"))</f>
        <v>SOURCE EMPTY / INDUSTRIAL ONLY</v>
      </c>
      <c r="V2216" s="9" t="n">
        <f aca="false">IF(U2216="SERVICE READY",1,0)</f>
        <v>0</v>
      </c>
      <c r="W2216" s="6"/>
      <c r="X2216" s="6"/>
      <c r="Y2216" s="6"/>
      <c r="Z2216" s="6"/>
    </row>
    <row r="2217" customFormat="false" ht="15" hidden="false" customHeight="false" outlineLevel="0" collapsed="false">
      <c r="A2217" s="9" t="s">
        <v>2475</v>
      </c>
      <c r="B2217" s="9" t="s">
        <v>2439</v>
      </c>
      <c r="C2217" s="9" t="s">
        <v>2440</v>
      </c>
      <c r="D2217" s="9" t="s">
        <v>2185</v>
      </c>
      <c r="E2217" s="9" t="s">
        <v>2027</v>
      </c>
      <c r="F2217" s="9" t="s">
        <v>197</v>
      </c>
      <c r="G2217" s="9" t="s">
        <v>221</v>
      </c>
      <c r="H2217" s="9" t="n">
        <v>4200</v>
      </c>
      <c r="I2217" s="29" t="n">
        <v>1.5</v>
      </c>
      <c r="J2217" s="9" t="n">
        <v>1</v>
      </c>
      <c r="K2217" s="30"/>
      <c r="L2217" s="30"/>
      <c r="M2217" s="30"/>
      <c r="N2217" s="30"/>
      <c r="O2217" s="30"/>
      <c r="P2217" s="30"/>
      <c r="Q2217" s="30"/>
      <c r="R2217" s="30"/>
      <c r="S2217" s="30"/>
      <c r="T2217" s="30"/>
      <c r="U2217" s="21" t="str">
        <f aca="false">IF(COUNT(K2217:T2217)=0,"SOURCE EMPTY / INDUSTRIAL ONLY",IF(MIN(K2217:T2217)=1,"SERVICE READY","HOLD"))</f>
        <v>SOURCE EMPTY / INDUSTRIAL ONLY</v>
      </c>
      <c r="V2217" s="9" t="n">
        <f aca="false">IF(U2217="SERVICE READY",1,0)</f>
        <v>0</v>
      </c>
      <c r="W2217" s="6"/>
      <c r="X2217" s="6"/>
      <c r="Y2217" s="6"/>
      <c r="Z2217" s="6"/>
    </row>
    <row r="2218" customFormat="false" ht="15" hidden="false" customHeight="false" outlineLevel="0" collapsed="false">
      <c r="A2218" s="9" t="s">
        <v>2476</v>
      </c>
      <c r="B2218" s="9" t="s">
        <v>2439</v>
      </c>
      <c r="C2218" s="9" t="s">
        <v>2440</v>
      </c>
      <c r="D2218" s="9" t="s">
        <v>2185</v>
      </c>
      <c r="E2218" s="9" t="s">
        <v>2027</v>
      </c>
      <c r="F2218" s="9" t="s">
        <v>200</v>
      </c>
      <c r="G2218" s="9" t="s">
        <v>221</v>
      </c>
      <c r="H2218" s="9" t="n">
        <v>4200</v>
      </c>
      <c r="I2218" s="29" t="n">
        <v>1.5</v>
      </c>
      <c r="J2218" s="9" t="n">
        <v>1</v>
      </c>
      <c r="K2218" s="30"/>
      <c r="L2218" s="30"/>
      <c r="M2218" s="30"/>
      <c r="N2218" s="30"/>
      <c r="O2218" s="30"/>
      <c r="P2218" s="30"/>
      <c r="Q2218" s="30"/>
      <c r="R2218" s="30"/>
      <c r="S2218" s="30"/>
      <c r="T2218" s="30"/>
      <c r="U2218" s="21" t="str">
        <f aca="false">IF(COUNT(K2218:T2218)=0,"SOURCE EMPTY / INDUSTRIAL ONLY",IF(MIN(K2218:T2218)=1,"SERVICE READY","HOLD"))</f>
        <v>SOURCE EMPTY / INDUSTRIAL ONLY</v>
      </c>
      <c r="V2218" s="9" t="n">
        <f aca="false">IF(U2218="SERVICE READY",1,0)</f>
        <v>0</v>
      </c>
      <c r="W2218" s="6"/>
      <c r="X2218" s="6"/>
      <c r="Y2218" s="6"/>
      <c r="Z2218" s="6"/>
    </row>
    <row r="2219" customFormat="false" ht="15" hidden="false" customHeight="false" outlineLevel="0" collapsed="false">
      <c r="A2219" s="9" t="s">
        <v>2477</v>
      </c>
      <c r="B2219" s="9" t="s">
        <v>2439</v>
      </c>
      <c r="C2219" s="9" t="s">
        <v>2440</v>
      </c>
      <c r="D2219" s="9" t="s">
        <v>2185</v>
      </c>
      <c r="E2219" s="9" t="s">
        <v>2027</v>
      </c>
      <c r="F2219" s="9" t="s">
        <v>203</v>
      </c>
      <c r="G2219" s="9" t="s">
        <v>221</v>
      </c>
      <c r="H2219" s="9" t="n">
        <v>4200</v>
      </c>
      <c r="I2219" s="29" t="n">
        <v>1.5</v>
      </c>
      <c r="J2219" s="9" t="n">
        <v>1</v>
      </c>
      <c r="K2219" s="30"/>
      <c r="L2219" s="30"/>
      <c r="M2219" s="30"/>
      <c r="N2219" s="30"/>
      <c r="O2219" s="30"/>
      <c r="P2219" s="30"/>
      <c r="Q2219" s="30"/>
      <c r="R2219" s="30"/>
      <c r="S2219" s="30"/>
      <c r="T2219" s="30"/>
      <c r="U2219" s="21" t="str">
        <f aca="false">IF(COUNT(K2219:T2219)=0,"SOURCE EMPTY / INDUSTRIAL ONLY",IF(MIN(K2219:T2219)=1,"SERVICE READY","HOLD"))</f>
        <v>SOURCE EMPTY / INDUSTRIAL ONLY</v>
      </c>
      <c r="V2219" s="9" t="n">
        <f aca="false">IF(U2219="SERVICE READY",1,0)</f>
        <v>0</v>
      </c>
      <c r="W2219" s="6"/>
      <c r="X2219" s="6"/>
      <c r="Y2219" s="6"/>
      <c r="Z2219" s="6"/>
    </row>
    <row r="2220" customFormat="false" ht="15" hidden="false" customHeight="false" outlineLevel="0" collapsed="false">
      <c r="A2220" s="9" t="s">
        <v>2478</v>
      </c>
      <c r="B2220" s="9" t="s">
        <v>2439</v>
      </c>
      <c r="C2220" s="9" t="s">
        <v>2440</v>
      </c>
      <c r="D2220" s="9" t="s">
        <v>2185</v>
      </c>
      <c r="E2220" s="9" t="s">
        <v>2027</v>
      </c>
      <c r="F2220" s="9" t="s">
        <v>205</v>
      </c>
      <c r="G2220" s="9" t="s">
        <v>221</v>
      </c>
      <c r="H2220" s="9" t="n">
        <v>4200</v>
      </c>
      <c r="I2220" s="29" t="n">
        <v>1.5</v>
      </c>
      <c r="J2220" s="9" t="n">
        <v>1</v>
      </c>
      <c r="K2220" s="30"/>
      <c r="L2220" s="30"/>
      <c r="M2220" s="30"/>
      <c r="N2220" s="30"/>
      <c r="O2220" s="30"/>
      <c r="P2220" s="30"/>
      <c r="Q2220" s="30"/>
      <c r="R2220" s="30"/>
      <c r="S2220" s="30"/>
      <c r="T2220" s="30"/>
      <c r="U2220" s="21" t="str">
        <f aca="false">IF(COUNT(K2220:T2220)=0,"SOURCE EMPTY / INDUSTRIAL ONLY",IF(MIN(K2220:T2220)=1,"SERVICE READY","HOLD"))</f>
        <v>SOURCE EMPTY / INDUSTRIAL ONLY</v>
      </c>
      <c r="V2220" s="9" t="n">
        <f aca="false">IF(U2220="SERVICE READY",1,0)</f>
        <v>0</v>
      </c>
      <c r="W2220" s="6"/>
      <c r="X2220" s="6"/>
      <c r="Y2220" s="6"/>
      <c r="Z2220" s="6"/>
    </row>
    <row r="2221" customFormat="false" ht="15" hidden="false" customHeight="false" outlineLevel="0" collapsed="false">
      <c r="A2221" s="9" t="s">
        <v>2479</v>
      </c>
      <c r="B2221" s="9" t="s">
        <v>2439</v>
      </c>
      <c r="C2221" s="9" t="s">
        <v>2440</v>
      </c>
      <c r="D2221" s="9" t="s">
        <v>2185</v>
      </c>
      <c r="E2221" s="9" t="s">
        <v>2027</v>
      </c>
      <c r="F2221" s="9" t="s">
        <v>207</v>
      </c>
      <c r="G2221" s="9" t="s">
        <v>221</v>
      </c>
      <c r="H2221" s="9" t="n">
        <v>4200</v>
      </c>
      <c r="I2221" s="29" t="n">
        <v>1.5</v>
      </c>
      <c r="J2221" s="9" t="n">
        <v>1</v>
      </c>
      <c r="K2221" s="30"/>
      <c r="L2221" s="30"/>
      <c r="M2221" s="30"/>
      <c r="N2221" s="30"/>
      <c r="O2221" s="30"/>
      <c r="P2221" s="30"/>
      <c r="Q2221" s="30"/>
      <c r="R2221" s="30"/>
      <c r="S2221" s="30"/>
      <c r="T2221" s="30"/>
      <c r="U2221" s="21" t="str">
        <f aca="false">IF(COUNT(K2221:T2221)=0,"SOURCE EMPTY / INDUSTRIAL ONLY",IF(MIN(K2221:T2221)=1,"SERVICE READY","HOLD"))</f>
        <v>SOURCE EMPTY / INDUSTRIAL ONLY</v>
      </c>
      <c r="V2221" s="9" t="n">
        <f aca="false">IF(U2221="SERVICE READY",1,0)</f>
        <v>0</v>
      </c>
      <c r="W2221" s="6"/>
      <c r="X2221" s="6"/>
      <c r="Y2221" s="6"/>
      <c r="Z2221" s="6"/>
    </row>
    <row r="2222" customFormat="false" ht="15" hidden="false" customHeight="false" outlineLevel="0" collapsed="false">
      <c r="A2222" s="9" t="s">
        <v>2480</v>
      </c>
      <c r="B2222" s="9" t="s">
        <v>2439</v>
      </c>
      <c r="C2222" s="9" t="s">
        <v>2440</v>
      </c>
      <c r="D2222" s="9" t="s">
        <v>2185</v>
      </c>
      <c r="E2222" s="9" t="s">
        <v>2027</v>
      </c>
      <c r="F2222" s="9" t="s">
        <v>209</v>
      </c>
      <c r="G2222" s="9" t="s">
        <v>221</v>
      </c>
      <c r="H2222" s="9" t="n">
        <v>4200</v>
      </c>
      <c r="I2222" s="29" t="n">
        <v>1.5</v>
      </c>
      <c r="J2222" s="9" t="n">
        <v>1</v>
      </c>
      <c r="K2222" s="30"/>
      <c r="L2222" s="30"/>
      <c r="M2222" s="30"/>
      <c r="N2222" s="30"/>
      <c r="O2222" s="30"/>
      <c r="P2222" s="30"/>
      <c r="Q2222" s="30"/>
      <c r="R2222" s="30"/>
      <c r="S2222" s="30"/>
      <c r="T2222" s="30"/>
      <c r="U2222" s="21" t="str">
        <f aca="false">IF(COUNT(K2222:T2222)=0,"SOURCE EMPTY / INDUSTRIAL ONLY",IF(MIN(K2222:T2222)=1,"SERVICE READY","HOLD"))</f>
        <v>SOURCE EMPTY / INDUSTRIAL ONLY</v>
      </c>
      <c r="V2222" s="9" t="n">
        <f aca="false">IF(U2222="SERVICE READY",1,0)</f>
        <v>0</v>
      </c>
      <c r="W2222" s="6"/>
      <c r="X2222" s="6"/>
      <c r="Y2222" s="6"/>
      <c r="Z2222" s="6"/>
    </row>
    <row r="2223" customFormat="false" ht="15" hidden="false" customHeight="false" outlineLevel="0" collapsed="false">
      <c r="A2223" s="9" t="s">
        <v>2481</v>
      </c>
      <c r="B2223" s="9" t="s">
        <v>2439</v>
      </c>
      <c r="C2223" s="9" t="s">
        <v>2440</v>
      </c>
      <c r="D2223" s="9" t="s">
        <v>2185</v>
      </c>
      <c r="E2223" s="9" t="s">
        <v>2027</v>
      </c>
      <c r="F2223" s="9" t="s">
        <v>211</v>
      </c>
      <c r="G2223" s="9" t="s">
        <v>221</v>
      </c>
      <c r="H2223" s="9" t="n">
        <v>4200</v>
      </c>
      <c r="I2223" s="29" t="n">
        <v>1.5</v>
      </c>
      <c r="J2223" s="9" t="n">
        <v>1</v>
      </c>
      <c r="K2223" s="30"/>
      <c r="L2223" s="30"/>
      <c r="M2223" s="30"/>
      <c r="N2223" s="30"/>
      <c r="O2223" s="30"/>
      <c r="P2223" s="30"/>
      <c r="Q2223" s="30"/>
      <c r="R2223" s="30"/>
      <c r="S2223" s="30"/>
      <c r="T2223" s="30"/>
      <c r="U2223" s="21" t="str">
        <f aca="false">IF(COUNT(K2223:T2223)=0,"SOURCE EMPTY / INDUSTRIAL ONLY",IF(MIN(K2223:T2223)=1,"SERVICE READY","HOLD"))</f>
        <v>SOURCE EMPTY / INDUSTRIAL ONLY</v>
      </c>
      <c r="V2223" s="9" t="n">
        <f aca="false">IF(U2223="SERVICE READY",1,0)</f>
        <v>0</v>
      </c>
      <c r="W2223" s="6"/>
      <c r="X2223" s="6"/>
      <c r="Y2223" s="6"/>
      <c r="Z2223" s="6"/>
    </row>
    <row r="2224" customFormat="false" ht="15" hidden="false" customHeight="false" outlineLevel="0" collapsed="false">
      <c r="A2224" s="9" t="s">
        <v>2482</v>
      </c>
      <c r="B2224" s="9" t="s">
        <v>2439</v>
      </c>
      <c r="C2224" s="9" t="s">
        <v>2440</v>
      </c>
      <c r="D2224" s="9" t="s">
        <v>2185</v>
      </c>
      <c r="E2224" s="9" t="s">
        <v>2027</v>
      </c>
      <c r="F2224" s="9" t="s">
        <v>197</v>
      </c>
      <c r="G2224" s="9" t="s">
        <v>221</v>
      </c>
      <c r="H2224" s="9" t="n">
        <v>4200</v>
      </c>
      <c r="I2224" s="29" t="n">
        <v>1.5</v>
      </c>
      <c r="J2224" s="9" t="n">
        <v>1</v>
      </c>
      <c r="K2224" s="30"/>
      <c r="L2224" s="30"/>
      <c r="M2224" s="30"/>
      <c r="N2224" s="30"/>
      <c r="O2224" s="30"/>
      <c r="P2224" s="30"/>
      <c r="Q2224" s="30"/>
      <c r="R2224" s="30"/>
      <c r="S2224" s="30"/>
      <c r="T2224" s="30"/>
      <c r="U2224" s="21" t="str">
        <f aca="false">IF(COUNT(K2224:T2224)=0,"SOURCE EMPTY / INDUSTRIAL ONLY",IF(MIN(K2224:T2224)=1,"SERVICE READY","HOLD"))</f>
        <v>SOURCE EMPTY / INDUSTRIAL ONLY</v>
      </c>
      <c r="V2224" s="9" t="n">
        <f aca="false">IF(U2224="SERVICE READY",1,0)</f>
        <v>0</v>
      </c>
      <c r="W2224" s="6"/>
      <c r="X2224" s="6"/>
      <c r="Y2224" s="6"/>
      <c r="Z2224" s="6"/>
    </row>
    <row r="2225" customFormat="false" ht="15" hidden="false" customHeight="false" outlineLevel="0" collapsed="false">
      <c r="A2225" s="9" t="s">
        <v>2483</v>
      </c>
      <c r="B2225" s="9" t="s">
        <v>2439</v>
      </c>
      <c r="C2225" s="9" t="s">
        <v>2440</v>
      </c>
      <c r="D2225" s="9" t="s">
        <v>2185</v>
      </c>
      <c r="E2225" s="9" t="s">
        <v>2027</v>
      </c>
      <c r="F2225" s="9" t="s">
        <v>200</v>
      </c>
      <c r="G2225" s="9" t="s">
        <v>221</v>
      </c>
      <c r="H2225" s="9" t="n">
        <v>4200</v>
      </c>
      <c r="I2225" s="29" t="n">
        <v>1.5</v>
      </c>
      <c r="J2225" s="9" t="n">
        <v>1</v>
      </c>
      <c r="K2225" s="30"/>
      <c r="L2225" s="30"/>
      <c r="M2225" s="30"/>
      <c r="N2225" s="30"/>
      <c r="O2225" s="30"/>
      <c r="P2225" s="30"/>
      <c r="Q2225" s="30"/>
      <c r="R2225" s="30"/>
      <c r="S2225" s="30"/>
      <c r="T2225" s="30"/>
      <c r="U2225" s="21" t="str">
        <f aca="false">IF(COUNT(K2225:T2225)=0,"SOURCE EMPTY / INDUSTRIAL ONLY",IF(MIN(K2225:T2225)=1,"SERVICE READY","HOLD"))</f>
        <v>SOURCE EMPTY / INDUSTRIAL ONLY</v>
      </c>
      <c r="V2225" s="9" t="n">
        <f aca="false">IF(U2225="SERVICE READY",1,0)</f>
        <v>0</v>
      </c>
      <c r="W2225" s="6"/>
      <c r="X2225" s="6"/>
      <c r="Y2225" s="6"/>
      <c r="Z2225" s="6"/>
    </row>
    <row r="2226" customFormat="false" ht="15" hidden="false" customHeight="false" outlineLevel="0" collapsed="false">
      <c r="A2226" s="9" t="s">
        <v>2484</v>
      </c>
      <c r="B2226" s="9" t="s">
        <v>2439</v>
      </c>
      <c r="C2226" s="9" t="s">
        <v>2440</v>
      </c>
      <c r="D2226" s="9" t="s">
        <v>2185</v>
      </c>
      <c r="E2226" s="9" t="s">
        <v>2027</v>
      </c>
      <c r="F2226" s="9" t="s">
        <v>203</v>
      </c>
      <c r="G2226" s="9" t="s">
        <v>221</v>
      </c>
      <c r="H2226" s="9" t="n">
        <v>4200</v>
      </c>
      <c r="I2226" s="29" t="n">
        <v>1.5</v>
      </c>
      <c r="J2226" s="9" t="n">
        <v>1</v>
      </c>
      <c r="K2226" s="30"/>
      <c r="L2226" s="30"/>
      <c r="M2226" s="30"/>
      <c r="N2226" s="30"/>
      <c r="O2226" s="30"/>
      <c r="P2226" s="30"/>
      <c r="Q2226" s="30"/>
      <c r="R2226" s="30"/>
      <c r="S2226" s="30"/>
      <c r="T2226" s="30"/>
      <c r="U2226" s="21" t="str">
        <f aca="false">IF(COUNT(K2226:T2226)=0,"SOURCE EMPTY / INDUSTRIAL ONLY",IF(MIN(K2226:T2226)=1,"SERVICE READY","HOLD"))</f>
        <v>SOURCE EMPTY / INDUSTRIAL ONLY</v>
      </c>
      <c r="V2226" s="9" t="n">
        <f aca="false">IF(U2226="SERVICE READY",1,0)</f>
        <v>0</v>
      </c>
      <c r="W2226" s="6"/>
      <c r="X2226" s="6"/>
      <c r="Y2226" s="6"/>
      <c r="Z2226" s="6"/>
    </row>
    <row r="2227" customFormat="false" ht="15" hidden="false" customHeight="false" outlineLevel="0" collapsed="false">
      <c r="A2227" s="9" t="s">
        <v>2485</v>
      </c>
      <c r="B2227" s="9" t="s">
        <v>2439</v>
      </c>
      <c r="C2227" s="9" t="s">
        <v>2440</v>
      </c>
      <c r="D2227" s="9" t="s">
        <v>2185</v>
      </c>
      <c r="E2227" s="9" t="s">
        <v>2027</v>
      </c>
      <c r="F2227" s="9" t="s">
        <v>205</v>
      </c>
      <c r="G2227" s="9" t="s">
        <v>221</v>
      </c>
      <c r="H2227" s="9" t="n">
        <v>4200</v>
      </c>
      <c r="I2227" s="29" t="n">
        <v>1.5</v>
      </c>
      <c r="J2227" s="9" t="n">
        <v>1</v>
      </c>
      <c r="K2227" s="30"/>
      <c r="L2227" s="30"/>
      <c r="M2227" s="30"/>
      <c r="N2227" s="30"/>
      <c r="O2227" s="30"/>
      <c r="P2227" s="30"/>
      <c r="Q2227" s="30"/>
      <c r="R2227" s="30"/>
      <c r="S2227" s="30"/>
      <c r="T2227" s="30"/>
      <c r="U2227" s="21" t="str">
        <f aca="false">IF(COUNT(K2227:T2227)=0,"SOURCE EMPTY / INDUSTRIAL ONLY",IF(MIN(K2227:T2227)=1,"SERVICE READY","HOLD"))</f>
        <v>SOURCE EMPTY / INDUSTRIAL ONLY</v>
      </c>
      <c r="V2227" s="9" t="n">
        <f aca="false">IF(U2227="SERVICE READY",1,0)</f>
        <v>0</v>
      </c>
      <c r="W2227" s="6"/>
      <c r="X2227" s="6"/>
      <c r="Y2227" s="6"/>
      <c r="Z2227" s="6"/>
    </row>
    <row r="2228" customFormat="false" ht="15" hidden="false" customHeight="false" outlineLevel="0" collapsed="false">
      <c r="A2228" s="9" t="s">
        <v>2486</v>
      </c>
      <c r="B2228" s="9" t="s">
        <v>2439</v>
      </c>
      <c r="C2228" s="9" t="s">
        <v>2440</v>
      </c>
      <c r="D2228" s="9" t="s">
        <v>2185</v>
      </c>
      <c r="E2228" s="9" t="s">
        <v>2027</v>
      </c>
      <c r="F2228" s="9" t="s">
        <v>207</v>
      </c>
      <c r="G2228" s="9" t="s">
        <v>221</v>
      </c>
      <c r="H2228" s="9" t="n">
        <v>4200</v>
      </c>
      <c r="I2228" s="29" t="n">
        <v>1.5</v>
      </c>
      <c r="J2228" s="9" t="n">
        <v>1</v>
      </c>
      <c r="K2228" s="30"/>
      <c r="L2228" s="30"/>
      <c r="M2228" s="30"/>
      <c r="N2228" s="30"/>
      <c r="O2228" s="30"/>
      <c r="P2228" s="30"/>
      <c r="Q2228" s="30"/>
      <c r="R2228" s="30"/>
      <c r="S2228" s="30"/>
      <c r="T2228" s="30"/>
      <c r="U2228" s="21" t="str">
        <f aca="false">IF(COUNT(K2228:T2228)=0,"SOURCE EMPTY / INDUSTRIAL ONLY",IF(MIN(K2228:T2228)=1,"SERVICE READY","HOLD"))</f>
        <v>SOURCE EMPTY / INDUSTRIAL ONLY</v>
      </c>
      <c r="V2228" s="9" t="n">
        <f aca="false">IF(U2228="SERVICE READY",1,0)</f>
        <v>0</v>
      </c>
      <c r="W2228" s="6"/>
      <c r="X2228" s="6"/>
      <c r="Y2228" s="6"/>
      <c r="Z2228" s="6"/>
    </row>
    <row r="2229" customFormat="false" ht="15" hidden="false" customHeight="false" outlineLevel="0" collapsed="false">
      <c r="A2229" s="9" t="s">
        <v>2487</v>
      </c>
      <c r="B2229" s="9" t="s">
        <v>2439</v>
      </c>
      <c r="C2229" s="9" t="s">
        <v>2440</v>
      </c>
      <c r="D2229" s="9" t="s">
        <v>2185</v>
      </c>
      <c r="E2229" s="9" t="s">
        <v>2027</v>
      </c>
      <c r="F2229" s="9" t="s">
        <v>209</v>
      </c>
      <c r="G2229" s="9" t="s">
        <v>221</v>
      </c>
      <c r="H2229" s="9" t="n">
        <v>4200</v>
      </c>
      <c r="I2229" s="29" t="n">
        <v>1.5</v>
      </c>
      <c r="J2229" s="9" t="n">
        <v>1</v>
      </c>
      <c r="K2229" s="30"/>
      <c r="L2229" s="30"/>
      <c r="M2229" s="30"/>
      <c r="N2229" s="30"/>
      <c r="O2229" s="30"/>
      <c r="P2229" s="30"/>
      <c r="Q2229" s="30"/>
      <c r="R2229" s="30"/>
      <c r="S2229" s="30"/>
      <c r="T2229" s="30"/>
      <c r="U2229" s="21" t="str">
        <f aca="false">IF(COUNT(K2229:T2229)=0,"SOURCE EMPTY / INDUSTRIAL ONLY",IF(MIN(K2229:T2229)=1,"SERVICE READY","HOLD"))</f>
        <v>SOURCE EMPTY / INDUSTRIAL ONLY</v>
      </c>
      <c r="V2229" s="9" t="n">
        <f aca="false">IF(U2229="SERVICE READY",1,0)</f>
        <v>0</v>
      </c>
      <c r="W2229" s="6"/>
      <c r="X2229" s="6"/>
      <c r="Y2229" s="6"/>
      <c r="Z2229" s="6"/>
    </row>
    <row r="2230" customFormat="false" ht="15" hidden="false" customHeight="false" outlineLevel="0" collapsed="false">
      <c r="A2230" s="9" t="s">
        <v>2488</v>
      </c>
      <c r="B2230" s="9" t="s">
        <v>2439</v>
      </c>
      <c r="C2230" s="9" t="s">
        <v>2440</v>
      </c>
      <c r="D2230" s="9" t="s">
        <v>2185</v>
      </c>
      <c r="E2230" s="9" t="s">
        <v>2027</v>
      </c>
      <c r="F2230" s="9" t="s">
        <v>211</v>
      </c>
      <c r="G2230" s="9" t="s">
        <v>221</v>
      </c>
      <c r="H2230" s="9" t="n">
        <v>4200</v>
      </c>
      <c r="I2230" s="29" t="n">
        <v>1.5</v>
      </c>
      <c r="J2230" s="9" t="n">
        <v>1</v>
      </c>
      <c r="K2230" s="30"/>
      <c r="L2230" s="30"/>
      <c r="M2230" s="30"/>
      <c r="N2230" s="30"/>
      <c r="O2230" s="30"/>
      <c r="P2230" s="30"/>
      <c r="Q2230" s="30"/>
      <c r="R2230" s="30"/>
      <c r="S2230" s="30"/>
      <c r="T2230" s="30"/>
      <c r="U2230" s="21" t="str">
        <f aca="false">IF(COUNT(K2230:T2230)=0,"SOURCE EMPTY / INDUSTRIAL ONLY",IF(MIN(K2230:T2230)=1,"SERVICE READY","HOLD"))</f>
        <v>SOURCE EMPTY / INDUSTRIAL ONLY</v>
      </c>
      <c r="V2230" s="9" t="n">
        <f aca="false">IF(U2230="SERVICE READY",1,0)</f>
        <v>0</v>
      </c>
      <c r="W2230" s="6"/>
      <c r="X2230" s="6"/>
      <c r="Y2230" s="6"/>
      <c r="Z2230" s="6"/>
    </row>
    <row r="2231" customFormat="false" ht="15" hidden="false" customHeight="false" outlineLevel="0" collapsed="false">
      <c r="A2231" s="9" t="s">
        <v>2489</v>
      </c>
      <c r="B2231" s="9" t="s">
        <v>2439</v>
      </c>
      <c r="C2231" s="9" t="s">
        <v>2440</v>
      </c>
      <c r="D2231" s="9" t="s">
        <v>2185</v>
      </c>
      <c r="E2231" s="9" t="s">
        <v>2027</v>
      </c>
      <c r="F2231" s="9" t="s">
        <v>197</v>
      </c>
      <c r="G2231" s="9" t="s">
        <v>221</v>
      </c>
      <c r="H2231" s="9" t="n">
        <v>4200</v>
      </c>
      <c r="I2231" s="29" t="n">
        <v>1.5</v>
      </c>
      <c r="J2231" s="9" t="n">
        <v>1</v>
      </c>
      <c r="K2231" s="30"/>
      <c r="L2231" s="30"/>
      <c r="M2231" s="30"/>
      <c r="N2231" s="30"/>
      <c r="O2231" s="30"/>
      <c r="P2231" s="30"/>
      <c r="Q2231" s="30"/>
      <c r="R2231" s="30"/>
      <c r="S2231" s="30"/>
      <c r="T2231" s="30"/>
      <c r="U2231" s="21" t="str">
        <f aca="false">IF(COUNT(K2231:T2231)=0,"SOURCE EMPTY / INDUSTRIAL ONLY",IF(MIN(K2231:T2231)=1,"SERVICE READY","HOLD"))</f>
        <v>SOURCE EMPTY / INDUSTRIAL ONLY</v>
      </c>
      <c r="V2231" s="9" t="n">
        <f aca="false">IF(U2231="SERVICE READY",1,0)</f>
        <v>0</v>
      </c>
      <c r="W2231" s="6"/>
      <c r="X2231" s="6"/>
      <c r="Y2231" s="6"/>
      <c r="Z2231" s="6"/>
    </row>
    <row r="2232" customFormat="false" ht="15" hidden="false" customHeight="false" outlineLevel="0" collapsed="false">
      <c r="A2232" s="9" t="s">
        <v>2490</v>
      </c>
      <c r="B2232" s="9" t="s">
        <v>2439</v>
      </c>
      <c r="C2232" s="9" t="s">
        <v>2440</v>
      </c>
      <c r="D2232" s="9" t="s">
        <v>2185</v>
      </c>
      <c r="E2232" s="9" t="s">
        <v>2027</v>
      </c>
      <c r="F2232" s="9" t="s">
        <v>200</v>
      </c>
      <c r="G2232" s="9" t="s">
        <v>221</v>
      </c>
      <c r="H2232" s="9" t="n">
        <v>4200</v>
      </c>
      <c r="I2232" s="29" t="n">
        <v>1.5</v>
      </c>
      <c r="J2232" s="9" t="n">
        <v>1</v>
      </c>
      <c r="K2232" s="30"/>
      <c r="L2232" s="30"/>
      <c r="M2232" s="30"/>
      <c r="N2232" s="30"/>
      <c r="O2232" s="30"/>
      <c r="P2232" s="30"/>
      <c r="Q2232" s="30"/>
      <c r="R2232" s="30"/>
      <c r="S2232" s="30"/>
      <c r="T2232" s="30"/>
      <c r="U2232" s="21" t="str">
        <f aca="false">IF(COUNT(K2232:T2232)=0,"SOURCE EMPTY / INDUSTRIAL ONLY",IF(MIN(K2232:T2232)=1,"SERVICE READY","HOLD"))</f>
        <v>SOURCE EMPTY / INDUSTRIAL ONLY</v>
      </c>
      <c r="V2232" s="9" t="n">
        <f aca="false">IF(U2232="SERVICE READY",1,0)</f>
        <v>0</v>
      </c>
      <c r="W2232" s="6"/>
      <c r="X2232" s="6"/>
      <c r="Y2232" s="6"/>
      <c r="Z2232" s="6"/>
    </row>
    <row r="2233" customFormat="false" ht="15" hidden="false" customHeight="false" outlineLevel="0" collapsed="false">
      <c r="A2233" s="9" t="s">
        <v>2491</v>
      </c>
      <c r="B2233" s="9" t="s">
        <v>2439</v>
      </c>
      <c r="C2233" s="9" t="s">
        <v>2440</v>
      </c>
      <c r="D2233" s="9" t="s">
        <v>2185</v>
      </c>
      <c r="E2233" s="9" t="s">
        <v>2027</v>
      </c>
      <c r="F2233" s="9" t="s">
        <v>203</v>
      </c>
      <c r="G2233" s="9" t="s">
        <v>221</v>
      </c>
      <c r="H2233" s="9" t="n">
        <v>4200</v>
      </c>
      <c r="I2233" s="29" t="n">
        <v>1.5</v>
      </c>
      <c r="J2233" s="9" t="n">
        <v>1</v>
      </c>
      <c r="K2233" s="30"/>
      <c r="L2233" s="30"/>
      <c r="M2233" s="30"/>
      <c r="N2233" s="30"/>
      <c r="O2233" s="30"/>
      <c r="P2233" s="30"/>
      <c r="Q2233" s="30"/>
      <c r="R2233" s="30"/>
      <c r="S2233" s="30"/>
      <c r="T2233" s="30"/>
      <c r="U2233" s="21" t="str">
        <f aca="false">IF(COUNT(K2233:T2233)=0,"SOURCE EMPTY / INDUSTRIAL ONLY",IF(MIN(K2233:T2233)=1,"SERVICE READY","HOLD"))</f>
        <v>SOURCE EMPTY / INDUSTRIAL ONLY</v>
      </c>
      <c r="V2233" s="9" t="n">
        <f aca="false">IF(U2233="SERVICE READY",1,0)</f>
        <v>0</v>
      </c>
      <c r="W2233" s="6"/>
      <c r="X2233" s="6"/>
      <c r="Y2233" s="6"/>
      <c r="Z2233" s="6"/>
    </row>
    <row r="2234" customFormat="false" ht="15" hidden="false" customHeight="false" outlineLevel="0" collapsed="false">
      <c r="A2234" s="9" t="s">
        <v>2492</v>
      </c>
      <c r="B2234" s="9" t="s">
        <v>2439</v>
      </c>
      <c r="C2234" s="9" t="s">
        <v>2440</v>
      </c>
      <c r="D2234" s="9" t="s">
        <v>2185</v>
      </c>
      <c r="E2234" s="9" t="s">
        <v>2027</v>
      </c>
      <c r="F2234" s="9" t="s">
        <v>205</v>
      </c>
      <c r="G2234" s="9" t="s">
        <v>221</v>
      </c>
      <c r="H2234" s="9" t="n">
        <v>4200</v>
      </c>
      <c r="I2234" s="29" t="n">
        <v>1.5</v>
      </c>
      <c r="J2234" s="9" t="n">
        <v>1</v>
      </c>
      <c r="K2234" s="30"/>
      <c r="L2234" s="30"/>
      <c r="M2234" s="30"/>
      <c r="N2234" s="30"/>
      <c r="O2234" s="30"/>
      <c r="P2234" s="30"/>
      <c r="Q2234" s="30"/>
      <c r="R2234" s="30"/>
      <c r="S2234" s="30"/>
      <c r="T2234" s="30"/>
      <c r="U2234" s="21" t="str">
        <f aca="false">IF(COUNT(K2234:T2234)=0,"SOURCE EMPTY / INDUSTRIAL ONLY",IF(MIN(K2234:T2234)=1,"SERVICE READY","HOLD"))</f>
        <v>SOURCE EMPTY / INDUSTRIAL ONLY</v>
      </c>
      <c r="V2234" s="9" t="n">
        <f aca="false">IF(U2234="SERVICE READY",1,0)</f>
        <v>0</v>
      </c>
      <c r="W2234" s="6"/>
      <c r="X2234" s="6"/>
      <c r="Y2234" s="6"/>
      <c r="Z2234" s="6"/>
    </row>
    <row r="2235" customFormat="false" ht="15" hidden="false" customHeight="false" outlineLevel="0" collapsed="false">
      <c r="A2235" s="9" t="s">
        <v>2493</v>
      </c>
      <c r="B2235" s="9" t="s">
        <v>2439</v>
      </c>
      <c r="C2235" s="9" t="s">
        <v>2440</v>
      </c>
      <c r="D2235" s="9" t="s">
        <v>2185</v>
      </c>
      <c r="E2235" s="9" t="s">
        <v>2027</v>
      </c>
      <c r="F2235" s="9" t="s">
        <v>207</v>
      </c>
      <c r="G2235" s="9" t="s">
        <v>221</v>
      </c>
      <c r="H2235" s="9" t="n">
        <v>4200</v>
      </c>
      <c r="I2235" s="29" t="n">
        <v>1.5</v>
      </c>
      <c r="J2235" s="9" t="n">
        <v>1</v>
      </c>
      <c r="K2235" s="30"/>
      <c r="L2235" s="30"/>
      <c r="M2235" s="30"/>
      <c r="N2235" s="30"/>
      <c r="O2235" s="30"/>
      <c r="P2235" s="30"/>
      <c r="Q2235" s="30"/>
      <c r="R2235" s="30"/>
      <c r="S2235" s="30"/>
      <c r="T2235" s="30"/>
      <c r="U2235" s="21" t="str">
        <f aca="false">IF(COUNT(K2235:T2235)=0,"SOURCE EMPTY / INDUSTRIAL ONLY",IF(MIN(K2235:T2235)=1,"SERVICE READY","HOLD"))</f>
        <v>SOURCE EMPTY / INDUSTRIAL ONLY</v>
      </c>
      <c r="V2235" s="9" t="n">
        <f aca="false">IF(U2235="SERVICE READY",1,0)</f>
        <v>0</v>
      </c>
      <c r="W2235" s="6"/>
      <c r="X2235" s="6"/>
      <c r="Y2235" s="6"/>
      <c r="Z2235" s="6"/>
    </row>
    <row r="2236" customFormat="false" ht="15" hidden="false" customHeight="false" outlineLevel="0" collapsed="false">
      <c r="A2236" s="9" t="s">
        <v>2494</v>
      </c>
      <c r="B2236" s="9" t="s">
        <v>2439</v>
      </c>
      <c r="C2236" s="9" t="s">
        <v>2440</v>
      </c>
      <c r="D2236" s="9" t="s">
        <v>2185</v>
      </c>
      <c r="E2236" s="9" t="s">
        <v>2027</v>
      </c>
      <c r="F2236" s="9" t="s">
        <v>209</v>
      </c>
      <c r="G2236" s="9" t="s">
        <v>221</v>
      </c>
      <c r="H2236" s="9" t="n">
        <v>4200</v>
      </c>
      <c r="I2236" s="29" t="n">
        <v>1.5</v>
      </c>
      <c r="J2236" s="9" t="n">
        <v>1</v>
      </c>
      <c r="K2236" s="30"/>
      <c r="L2236" s="30"/>
      <c r="M2236" s="30"/>
      <c r="N2236" s="30"/>
      <c r="O2236" s="30"/>
      <c r="P2236" s="30"/>
      <c r="Q2236" s="30"/>
      <c r="R2236" s="30"/>
      <c r="S2236" s="30"/>
      <c r="T2236" s="30"/>
      <c r="U2236" s="21" t="str">
        <f aca="false">IF(COUNT(K2236:T2236)=0,"SOURCE EMPTY / INDUSTRIAL ONLY",IF(MIN(K2236:T2236)=1,"SERVICE READY","HOLD"))</f>
        <v>SOURCE EMPTY / INDUSTRIAL ONLY</v>
      </c>
      <c r="V2236" s="9" t="n">
        <f aca="false">IF(U2236="SERVICE READY",1,0)</f>
        <v>0</v>
      </c>
      <c r="W2236" s="6"/>
      <c r="X2236" s="6"/>
      <c r="Y2236" s="6"/>
      <c r="Z2236" s="6"/>
    </row>
    <row r="2237" customFormat="false" ht="15" hidden="false" customHeight="false" outlineLevel="0" collapsed="false">
      <c r="A2237" s="9" t="s">
        <v>2495</v>
      </c>
      <c r="B2237" s="9" t="s">
        <v>2439</v>
      </c>
      <c r="C2237" s="9" t="s">
        <v>2440</v>
      </c>
      <c r="D2237" s="9" t="s">
        <v>2185</v>
      </c>
      <c r="E2237" s="9" t="s">
        <v>2027</v>
      </c>
      <c r="F2237" s="9" t="s">
        <v>211</v>
      </c>
      <c r="G2237" s="9" t="s">
        <v>221</v>
      </c>
      <c r="H2237" s="9" t="n">
        <v>4200</v>
      </c>
      <c r="I2237" s="29" t="n">
        <v>1.5</v>
      </c>
      <c r="J2237" s="9" t="n">
        <v>1</v>
      </c>
      <c r="K2237" s="30"/>
      <c r="L2237" s="30"/>
      <c r="M2237" s="30"/>
      <c r="N2237" s="30"/>
      <c r="O2237" s="30"/>
      <c r="P2237" s="30"/>
      <c r="Q2237" s="30"/>
      <c r="R2237" s="30"/>
      <c r="S2237" s="30"/>
      <c r="T2237" s="30"/>
      <c r="U2237" s="21" t="str">
        <f aca="false">IF(COUNT(K2237:T2237)=0,"SOURCE EMPTY / INDUSTRIAL ONLY",IF(MIN(K2237:T2237)=1,"SERVICE READY","HOLD"))</f>
        <v>SOURCE EMPTY / INDUSTRIAL ONLY</v>
      </c>
      <c r="V2237" s="9" t="n">
        <f aca="false">IF(U2237="SERVICE READY",1,0)</f>
        <v>0</v>
      </c>
      <c r="W2237" s="6"/>
      <c r="X2237" s="6"/>
      <c r="Y2237" s="6"/>
      <c r="Z2237" s="6"/>
    </row>
    <row r="2238" customFormat="false" ht="15" hidden="false" customHeight="false" outlineLevel="0" collapsed="false">
      <c r="A2238" s="9" t="s">
        <v>2496</v>
      </c>
      <c r="B2238" s="9" t="s">
        <v>2439</v>
      </c>
      <c r="C2238" s="9" t="s">
        <v>2440</v>
      </c>
      <c r="D2238" s="9" t="s">
        <v>2185</v>
      </c>
      <c r="E2238" s="9" t="s">
        <v>2027</v>
      </c>
      <c r="F2238" s="9" t="s">
        <v>197</v>
      </c>
      <c r="G2238" s="9" t="s">
        <v>221</v>
      </c>
      <c r="H2238" s="9" t="n">
        <v>4200</v>
      </c>
      <c r="I2238" s="29" t="n">
        <v>1.5</v>
      </c>
      <c r="J2238" s="9" t="n">
        <v>1</v>
      </c>
      <c r="K2238" s="30"/>
      <c r="L2238" s="30"/>
      <c r="M2238" s="30"/>
      <c r="N2238" s="30"/>
      <c r="O2238" s="30"/>
      <c r="P2238" s="30"/>
      <c r="Q2238" s="30"/>
      <c r="R2238" s="30"/>
      <c r="S2238" s="30"/>
      <c r="T2238" s="30"/>
      <c r="U2238" s="21" t="str">
        <f aca="false">IF(COUNT(K2238:T2238)=0,"SOURCE EMPTY / INDUSTRIAL ONLY",IF(MIN(K2238:T2238)=1,"SERVICE READY","HOLD"))</f>
        <v>SOURCE EMPTY / INDUSTRIAL ONLY</v>
      </c>
      <c r="V2238" s="9" t="n">
        <f aca="false">IF(U2238="SERVICE READY",1,0)</f>
        <v>0</v>
      </c>
      <c r="W2238" s="6"/>
      <c r="X2238" s="6"/>
      <c r="Y2238" s="6"/>
      <c r="Z2238" s="6"/>
    </row>
    <row r="2239" customFormat="false" ht="15" hidden="false" customHeight="false" outlineLevel="0" collapsed="false">
      <c r="A2239" s="9" t="s">
        <v>2497</v>
      </c>
      <c r="B2239" s="9" t="s">
        <v>2439</v>
      </c>
      <c r="C2239" s="9" t="s">
        <v>2440</v>
      </c>
      <c r="D2239" s="9" t="s">
        <v>2185</v>
      </c>
      <c r="E2239" s="9" t="s">
        <v>2027</v>
      </c>
      <c r="F2239" s="9" t="s">
        <v>200</v>
      </c>
      <c r="G2239" s="9" t="s">
        <v>221</v>
      </c>
      <c r="H2239" s="9" t="n">
        <v>4200</v>
      </c>
      <c r="I2239" s="29" t="n">
        <v>1.5</v>
      </c>
      <c r="J2239" s="9" t="n">
        <v>1</v>
      </c>
      <c r="K2239" s="30"/>
      <c r="L2239" s="30"/>
      <c r="M2239" s="30"/>
      <c r="N2239" s="30"/>
      <c r="O2239" s="30"/>
      <c r="P2239" s="30"/>
      <c r="Q2239" s="30"/>
      <c r="R2239" s="30"/>
      <c r="S2239" s="30"/>
      <c r="T2239" s="30"/>
      <c r="U2239" s="21" t="str">
        <f aca="false">IF(COUNT(K2239:T2239)=0,"SOURCE EMPTY / INDUSTRIAL ONLY",IF(MIN(K2239:T2239)=1,"SERVICE READY","HOLD"))</f>
        <v>SOURCE EMPTY / INDUSTRIAL ONLY</v>
      </c>
      <c r="V2239" s="9" t="n">
        <f aca="false">IF(U2239="SERVICE READY",1,0)</f>
        <v>0</v>
      </c>
      <c r="W2239" s="6"/>
      <c r="X2239" s="6"/>
      <c r="Y2239" s="6"/>
      <c r="Z2239" s="6"/>
    </row>
    <row r="2240" customFormat="false" ht="15" hidden="false" customHeight="false" outlineLevel="0" collapsed="false">
      <c r="A2240" s="9" t="s">
        <v>2498</v>
      </c>
      <c r="B2240" s="9" t="s">
        <v>2439</v>
      </c>
      <c r="C2240" s="9" t="s">
        <v>2440</v>
      </c>
      <c r="D2240" s="9" t="s">
        <v>2185</v>
      </c>
      <c r="E2240" s="9" t="s">
        <v>2027</v>
      </c>
      <c r="F2240" s="9" t="s">
        <v>203</v>
      </c>
      <c r="G2240" s="9" t="s">
        <v>221</v>
      </c>
      <c r="H2240" s="9" t="n">
        <v>4200</v>
      </c>
      <c r="I2240" s="29" t="n">
        <v>1.5</v>
      </c>
      <c r="J2240" s="9" t="n">
        <v>1</v>
      </c>
      <c r="K2240" s="30"/>
      <c r="L2240" s="30"/>
      <c r="M2240" s="30"/>
      <c r="N2240" s="30"/>
      <c r="O2240" s="30"/>
      <c r="P2240" s="30"/>
      <c r="Q2240" s="30"/>
      <c r="R2240" s="30"/>
      <c r="S2240" s="30"/>
      <c r="T2240" s="30"/>
      <c r="U2240" s="21" t="str">
        <f aca="false">IF(COUNT(K2240:T2240)=0,"SOURCE EMPTY / INDUSTRIAL ONLY",IF(MIN(K2240:T2240)=1,"SERVICE READY","HOLD"))</f>
        <v>SOURCE EMPTY / INDUSTRIAL ONLY</v>
      </c>
      <c r="V2240" s="9" t="n">
        <f aca="false">IF(U2240="SERVICE READY",1,0)</f>
        <v>0</v>
      </c>
      <c r="W2240" s="6"/>
      <c r="X2240" s="6"/>
      <c r="Y2240" s="6"/>
      <c r="Z2240" s="6"/>
    </row>
    <row r="2241" customFormat="false" ht="15" hidden="false" customHeight="false" outlineLevel="0" collapsed="false">
      <c r="A2241" s="9" t="s">
        <v>2499</v>
      </c>
      <c r="B2241" s="9" t="s">
        <v>2439</v>
      </c>
      <c r="C2241" s="9" t="s">
        <v>2440</v>
      </c>
      <c r="D2241" s="9" t="s">
        <v>2185</v>
      </c>
      <c r="E2241" s="9" t="s">
        <v>2027</v>
      </c>
      <c r="F2241" s="9" t="s">
        <v>205</v>
      </c>
      <c r="G2241" s="9" t="s">
        <v>221</v>
      </c>
      <c r="H2241" s="9" t="n">
        <v>4200</v>
      </c>
      <c r="I2241" s="29" t="n">
        <v>1.5</v>
      </c>
      <c r="J2241" s="9" t="n">
        <v>1</v>
      </c>
      <c r="K2241" s="30"/>
      <c r="L2241" s="30"/>
      <c r="M2241" s="30"/>
      <c r="N2241" s="30"/>
      <c r="O2241" s="30"/>
      <c r="P2241" s="30"/>
      <c r="Q2241" s="30"/>
      <c r="R2241" s="30"/>
      <c r="S2241" s="30"/>
      <c r="T2241" s="30"/>
      <c r="U2241" s="21" t="str">
        <f aca="false">IF(COUNT(K2241:T2241)=0,"SOURCE EMPTY / INDUSTRIAL ONLY",IF(MIN(K2241:T2241)=1,"SERVICE READY","HOLD"))</f>
        <v>SOURCE EMPTY / INDUSTRIAL ONLY</v>
      </c>
      <c r="V2241" s="9" t="n">
        <f aca="false">IF(U2241="SERVICE READY",1,0)</f>
        <v>0</v>
      </c>
      <c r="W2241" s="6"/>
      <c r="X2241" s="6"/>
      <c r="Y2241" s="6"/>
      <c r="Z2241" s="6"/>
    </row>
    <row r="2242" customFormat="false" ht="15" hidden="false" customHeight="false" outlineLevel="0" collapsed="false">
      <c r="A2242" s="9" t="s">
        <v>2500</v>
      </c>
      <c r="B2242" s="9" t="s">
        <v>2439</v>
      </c>
      <c r="C2242" s="9" t="s">
        <v>2440</v>
      </c>
      <c r="D2242" s="9" t="s">
        <v>2185</v>
      </c>
      <c r="E2242" s="9" t="s">
        <v>2027</v>
      </c>
      <c r="F2242" s="9" t="s">
        <v>207</v>
      </c>
      <c r="G2242" s="9" t="s">
        <v>221</v>
      </c>
      <c r="H2242" s="9" t="n">
        <v>4200</v>
      </c>
      <c r="I2242" s="29" t="n">
        <v>1.5</v>
      </c>
      <c r="J2242" s="9" t="n">
        <v>1</v>
      </c>
      <c r="K2242" s="30"/>
      <c r="L2242" s="30"/>
      <c r="M2242" s="30"/>
      <c r="N2242" s="30"/>
      <c r="O2242" s="30"/>
      <c r="P2242" s="30"/>
      <c r="Q2242" s="30"/>
      <c r="R2242" s="30"/>
      <c r="S2242" s="30"/>
      <c r="T2242" s="30"/>
      <c r="U2242" s="21" t="str">
        <f aca="false">IF(COUNT(K2242:T2242)=0,"SOURCE EMPTY / INDUSTRIAL ONLY",IF(MIN(K2242:T2242)=1,"SERVICE READY","HOLD"))</f>
        <v>SOURCE EMPTY / INDUSTRIAL ONLY</v>
      </c>
      <c r="V2242" s="9" t="n">
        <f aca="false">IF(U2242="SERVICE READY",1,0)</f>
        <v>0</v>
      </c>
      <c r="W2242" s="6"/>
      <c r="X2242" s="6"/>
      <c r="Y2242" s="6"/>
      <c r="Z2242" s="6"/>
    </row>
    <row r="2243" customFormat="false" ht="15" hidden="false" customHeight="false" outlineLevel="0" collapsed="false">
      <c r="A2243" s="9" t="s">
        <v>2501</v>
      </c>
      <c r="B2243" s="9" t="s">
        <v>2439</v>
      </c>
      <c r="C2243" s="9" t="s">
        <v>2440</v>
      </c>
      <c r="D2243" s="9" t="s">
        <v>2185</v>
      </c>
      <c r="E2243" s="9" t="s">
        <v>2027</v>
      </c>
      <c r="F2243" s="9" t="s">
        <v>209</v>
      </c>
      <c r="G2243" s="9" t="s">
        <v>221</v>
      </c>
      <c r="H2243" s="9" t="n">
        <v>4200</v>
      </c>
      <c r="I2243" s="29" t="n">
        <v>1.5</v>
      </c>
      <c r="J2243" s="9" t="n">
        <v>1</v>
      </c>
      <c r="K2243" s="30"/>
      <c r="L2243" s="30"/>
      <c r="M2243" s="30"/>
      <c r="N2243" s="30"/>
      <c r="O2243" s="30"/>
      <c r="P2243" s="30"/>
      <c r="Q2243" s="30"/>
      <c r="R2243" s="30"/>
      <c r="S2243" s="30"/>
      <c r="T2243" s="30"/>
      <c r="U2243" s="21" t="str">
        <f aca="false">IF(COUNT(K2243:T2243)=0,"SOURCE EMPTY / INDUSTRIAL ONLY",IF(MIN(K2243:T2243)=1,"SERVICE READY","HOLD"))</f>
        <v>SOURCE EMPTY / INDUSTRIAL ONLY</v>
      </c>
      <c r="V2243" s="9" t="n">
        <f aca="false">IF(U2243="SERVICE READY",1,0)</f>
        <v>0</v>
      </c>
      <c r="W2243" s="6"/>
      <c r="X2243" s="6"/>
      <c r="Y2243" s="6"/>
      <c r="Z2243" s="6"/>
    </row>
    <row r="2244" customFormat="false" ht="15" hidden="false" customHeight="false" outlineLevel="0" collapsed="false">
      <c r="A2244" s="9" t="s">
        <v>2502</v>
      </c>
      <c r="B2244" s="9" t="s">
        <v>2439</v>
      </c>
      <c r="C2244" s="9" t="s">
        <v>2440</v>
      </c>
      <c r="D2244" s="9" t="s">
        <v>2185</v>
      </c>
      <c r="E2244" s="9" t="s">
        <v>2027</v>
      </c>
      <c r="F2244" s="9" t="s">
        <v>211</v>
      </c>
      <c r="G2244" s="9" t="s">
        <v>221</v>
      </c>
      <c r="H2244" s="9" t="n">
        <v>4200</v>
      </c>
      <c r="I2244" s="29" t="n">
        <v>1.5</v>
      </c>
      <c r="J2244" s="9" t="n">
        <v>1</v>
      </c>
      <c r="K2244" s="30"/>
      <c r="L2244" s="30"/>
      <c r="M2244" s="30"/>
      <c r="N2244" s="30"/>
      <c r="O2244" s="30"/>
      <c r="P2244" s="30"/>
      <c r="Q2244" s="30"/>
      <c r="R2244" s="30"/>
      <c r="S2244" s="30"/>
      <c r="T2244" s="30"/>
      <c r="U2244" s="21" t="str">
        <f aca="false">IF(COUNT(K2244:T2244)=0,"SOURCE EMPTY / INDUSTRIAL ONLY",IF(MIN(K2244:T2244)=1,"SERVICE READY","HOLD"))</f>
        <v>SOURCE EMPTY / INDUSTRIAL ONLY</v>
      </c>
      <c r="V2244" s="9" t="n">
        <f aca="false">IF(U2244="SERVICE READY",1,0)</f>
        <v>0</v>
      </c>
      <c r="W2244" s="6"/>
      <c r="X2244" s="6"/>
      <c r="Y2244" s="6"/>
      <c r="Z2244" s="6"/>
    </row>
    <row r="2245" customFormat="false" ht="15" hidden="false" customHeight="false" outlineLevel="0" collapsed="false">
      <c r="A2245" s="9" t="s">
        <v>2503</v>
      </c>
      <c r="B2245" s="9" t="s">
        <v>2439</v>
      </c>
      <c r="C2245" s="9" t="s">
        <v>2440</v>
      </c>
      <c r="D2245" s="9" t="s">
        <v>2185</v>
      </c>
      <c r="E2245" s="9" t="s">
        <v>2027</v>
      </c>
      <c r="F2245" s="9" t="s">
        <v>197</v>
      </c>
      <c r="G2245" s="9" t="s">
        <v>221</v>
      </c>
      <c r="H2245" s="9" t="n">
        <v>4200</v>
      </c>
      <c r="I2245" s="29" t="n">
        <v>1.5</v>
      </c>
      <c r="J2245" s="9" t="n">
        <v>1</v>
      </c>
      <c r="K2245" s="30"/>
      <c r="L2245" s="30"/>
      <c r="M2245" s="30"/>
      <c r="N2245" s="30"/>
      <c r="O2245" s="30"/>
      <c r="P2245" s="30"/>
      <c r="Q2245" s="30"/>
      <c r="R2245" s="30"/>
      <c r="S2245" s="30"/>
      <c r="T2245" s="30"/>
      <c r="U2245" s="21" t="str">
        <f aca="false">IF(COUNT(K2245:T2245)=0,"SOURCE EMPTY / INDUSTRIAL ONLY",IF(MIN(K2245:T2245)=1,"SERVICE READY","HOLD"))</f>
        <v>SOURCE EMPTY / INDUSTRIAL ONLY</v>
      </c>
      <c r="V2245" s="9" t="n">
        <f aca="false">IF(U2245="SERVICE READY",1,0)</f>
        <v>0</v>
      </c>
      <c r="W2245" s="6"/>
      <c r="X2245" s="6"/>
      <c r="Y2245" s="6"/>
      <c r="Z2245" s="6"/>
    </row>
    <row r="2246" customFormat="false" ht="15" hidden="false" customHeight="false" outlineLevel="0" collapsed="false">
      <c r="A2246" s="9" t="s">
        <v>2504</v>
      </c>
      <c r="B2246" s="9" t="s">
        <v>2439</v>
      </c>
      <c r="C2246" s="9" t="s">
        <v>2440</v>
      </c>
      <c r="D2246" s="9" t="s">
        <v>2185</v>
      </c>
      <c r="E2246" s="9" t="s">
        <v>2027</v>
      </c>
      <c r="F2246" s="9" t="s">
        <v>200</v>
      </c>
      <c r="G2246" s="9" t="s">
        <v>221</v>
      </c>
      <c r="H2246" s="9" t="n">
        <v>4200</v>
      </c>
      <c r="I2246" s="29" t="n">
        <v>1.5</v>
      </c>
      <c r="J2246" s="9" t="n">
        <v>1</v>
      </c>
      <c r="K2246" s="30"/>
      <c r="L2246" s="30"/>
      <c r="M2246" s="30"/>
      <c r="N2246" s="30"/>
      <c r="O2246" s="30"/>
      <c r="P2246" s="30"/>
      <c r="Q2246" s="30"/>
      <c r="R2246" s="30"/>
      <c r="S2246" s="30"/>
      <c r="T2246" s="30"/>
      <c r="U2246" s="21" t="str">
        <f aca="false">IF(COUNT(K2246:T2246)=0,"SOURCE EMPTY / INDUSTRIAL ONLY",IF(MIN(K2246:T2246)=1,"SERVICE READY","HOLD"))</f>
        <v>SOURCE EMPTY / INDUSTRIAL ONLY</v>
      </c>
      <c r="V2246" s="9" t="n">
        <f aca="false">IF(U2246="SERVICE READY",1,0)</f>
        <v>0</v>
      </c>
      <c r="W2246" s="6"/>
      <c r="X2246" s="6"/>
      <c r="Y2246" s="6"/>
      <c r="Z2246" s="6"/>
    </row>
    <row r="2247" customFormat="false" ht="15" hidden="false" customHeight="false" outlineLevel="0" collapsed="false">
      <c r="A2247" s="9" t="s">
        <v>2505</v>
      </c>
      <c r="B2247" s="9" t="s">
        <v>2439</v>
      </c>
      <c r="C2247" s="9" t="s">
        <v>2440</v>
      </c>
      <c r="D2247" s="9" t="s">
        <v>2185</v>
      </c>
      <c r="E2247" s="9" t="s">
        <v>2027</v>
      </c>
      <c r="F2247" s="9" t="s">
        <v>203</v>
      </c>
      <c r="G2247" s="9" t="s">
        <v>221</v>
      </c>
      <c r="H2247" s="9" t="n">
        <v>4200</v>
      </c>
      <c r="I2247" s="29" t="n">
        <v>1.5</v>
      </c>
      <c r="J2247" s="9" t="n">
        <v>1</v>
      </c>
      <c r="K2247" s="30"/>
      <c r="L2247" s="30"/>
      <c r="M2247" s="30"/>
      <c r="N2247" s="30"/>
      <c r="O2247" s="30"/>
      <c r="P2247" s="30"/>
      <c r="Q2247" s="30"/>
      <c r="R2247" s="30"/>
      <c r="S2247" s="30"/>
      <c r="T2247" s="30"/>
      <c r="U2247" s="21" t="str">
        <f aca="false">IF(COUNT(K2247:T2247)=0,"SOURCE EMPTY / INDUSTRIAL ONLY",IF(MIN(K2247:T2247)=1,"SERVICE READY","HOLD"))</f>
        <v>SOURCE EMPTY / INDUSTRIAL ONLY</v>
      </c>
      <c r="V2247" s="9" t="n">
        <f aca="false">IF(U2247="SERVICE READY",1,0)</f>
        <v>0</v>
      </c>
      <c r="W2247" s="6"/>
      <c r="X2247" s="6"/>
      <c r="Y2247" s="6"/>
      <c r="Z2247" s="6"/>
    </row>
    <row r="2248" customFormat="false" ht="15" hidden="false" customHeight="false" outlineLevel="0" collapsed="false">
      <c r="A2248" s="9" t="s">
        <v>2506</v>
      </c>
      <c r="B2248" s="9" t="s">
        <v>2439</v>
      </c>
      <c r="C2248" s="9" t="s">
        <v>2440</v>
      </c>
      <c r="D2248" s="9" t="s">
        <v>2185</v>
      </c>
      <c r="E2248" s="9" t="s">
        <v>2027</v>
      </c>
      <c r="F2248" s="9" t="s">
        <v>205</v>
      </c>
      <c r="G2248" s="9" t="s">
        <v>221</v>
      </c>
      <c r="H2248" s="9" t="n">
        <v>4200</v>
      </c>
      <c r="I2248" s="29" t="n">
        <v>1.5</v>
      </c>
      <c r="J2248" s="9" t="n">
        <v>1</v>
      </c>
      <c r="K2248" s="30"/>
      <c r="L2248" s="30"/>
      <c r="M2248" s="30"/>
      <c r="N2248" s="30"/>
      <c r="O2248" s="30"/>
      <c r="P2248" s="30"/>
      <c r="Q2248" s="30"/>
      <c r="R2248" s="30"/>
      <c r="S2248" s="30"/>
      <c r="T2248" s="30"/>
      <c r="U2248" s="21" t="str">
        <f aca="false">IF(COUNT(K2248:T2248)=0,"SOURCE EMPTY / INDUSTRIAL ONLY",IF(MIN(K2248:T2248)=1,"SERVICE READY","HOLD"))</f>
        <v>SOURCE EMPTY / INDUSTRIAL ONLY</v>
      </c>
      <c r="V2248" s="9" t="n">
        <f aca="false">IF(U2248="SERVICE READY",1,0)</f>
        <v>0</v>
      </c>
      <c r="W2248" s="6"/>
      <c r="X2248" s="6"/>
      <c r="Y2248" s="6"/>
      <c r="Z2248" s="6"/>
    </row>
    <row r="2249" customFormat="false" ht="15" hidden="false" customHeight="false" outlineLevel="0" collapsed="false">
      <c r="A2249" s="9" t="s">
        <v>2507</v>
      </c>
      <c r="B2249" s="9" t="s">
        <v>2439</v>
      </c>
      <c r="C2249" s="9" t="s">
        <v>2440</v>
      </c>
      <c r="D2249" s="9" t="s">
        <v>2185</v>
      </c>
      <c r="E2249" s="9" t="s">
        <v>2027</v>
      </c>
      <c r="F2249" s="9" t="s">
        <v>207</v>
      </c>
      <c r="G2249" s="9" t="s">
        <v>221</v>
      </c>
      <c r="H2249" s="9" t="n">
        <v>4200</v>
      </c>
      <c r="I2249" s="29" t="n">
        <v>1.5</v>
      </c>
      <c r="J2249" s="9" t="n">
        <v>1</v>
      </c>
      <c r="K2249" s="30"/>
      <c r="L2249" s="30"/>
      <c r="M2249" s="30"/>
      <c r="N2249" s="30"/>
      <c r="O2249" s="30"/>
      <c r="P2249" s="30"/>
      <c r="Q2249" s="30"/>
      <c r="R2249" s="30"/>
      <c r="S2249" s="30"/>
      <c r="T2249" s="30"/>
      <c r="U2249" s="21" t="str">
        <f aca="false">IF(COUNT(K2249:T2249)=0,"SOURCE EMPTY / INDUSTRIAL ONLY",IF(MIN(K2249:T2249)=1,"SERVICE READY","HOLD"))</f>
        <v>SOURCE EMPTY / INDUSTRIAL ONLY</v>
      </c>
      <c r="V2249" s="9" t="n">
        <f aca="false">IF(U2249="SERVICE READY",1,0)</f>
        <v>0</v>
      </c>
      <c r="W2249" s="6"/>
      <c r="X2249" s="6"/>
      <c r="Y2249" s="6"/>
      <c r="Z2249" s="6"/>
    </row>
    <row r="2250" customFormat="false" ht="15" hidden="false" customHeight="false" outlineLevel="0" collapsed="false">
      <c r="A2250" s="9" t="s">
        <v>2508</v>
      </c>
      <c r="B2250" s="9" t="s">
        <v>2439</v>
      </c>
      <c r="C2250" s="9" t="s">
        <v>2440</v>
      </c>
      <c r="D2250" s="9" t="s">
        <v>2185</v>
      </c>
      <c r="E2250" s="9" t="s">
        <v>2027</v>
      </c>
      <c r="F2250" s="9" t="s">
        <v>209</v>
      </c>
      <c r="G2250" s="9" t="s">
        <v>221</v>
      </c>
      <c r="H2250" s="9" t="n">
        <v>4200</v>
      </c>
      <c r="I2250" s="29" t="n">
        <v>1.5</v>
      </c>
      <c r="J2250" s="9" t="n">
        <v>1</v>
      </c>
      <c r="K2250" s="30"/>
      <c r="L2250" s="30"/>
      <c r="M2250" s="30"/>
      <c r="N2250" s="30"/>
      <c r="O2250" s="30"/>
      <c r="P2250" s="30"/>
      <c r="Q2250" s="30"/>
      <c r="R2250" s="30"/>
      <c r="S2250" s="30"/>
      <c r="T2250" s="30"/>
      <c r="U2250" s="21" t="str">
        <f aca="false">IF(COUNT(K2250:T2250)=0,"SOURCE EMPTY / INDUSTRIAL ONLY",IF(MIN(K2250:T2250)=1,"SERVICE READY","HOLD"))</f>
        <v>SOURCE EMPTY / INDUSTRIAL ONLY</v>
      </c>
      <c r="V2250" s="9" t="n">
        <f aca="false">IF(U2250="SERVICE READY",1,0)</f>
        <v>0</v>
      </c>
      <c r="W2250" s="6"/>
      <c r="X2250" s="6"/>
      <c r="Y2250" s="6"/>
      <c r="Z2250" s="6"/>
    </row>
    <row r="2251" customFormat="false" ht="15" hidden="false" customHeight="false" outlineLevel="0" collapsed="false">
      <c r="A2251" s="9" t="s">
        <v>2509</v>
      </c>
      <c r="B2251" s="9" t="s">
        <v>2439</v>
      </c>
      <c r="C2251" s="9" t="s">
        <v>2440</v>
      </c>
      <c r="D2251" s="9" t="s">
        <v>2185</v>
      </c>
      <c r="E2251" s="9" t="s">
        <v>2027</v>
      </c>
      <c r="F2251" s="9" t="s">
        <v>211</v>
      </c>
      <c r="G2251" s="9" t="s">
        <v>221</v>
      </c>
      <c r="H2251" s="9" t="n">
        <v>4200</v>
      </c>
      <c r="I2251" s="29" t="n">
        <v>1.5</v>
      </c>
      <c r="J2251" s="9" t="n">
        <v>1</v>
      </c>
      <c r="K2251" s="30"/>
      <c r="L2251" s="30"/>
      <c r="M2251" s="30"/>
      <c r="N2251" s="30"/>
      <c r="O2251" s="30"/>
      <c r="P2251" s="30"/>
      <c r="Q2251" s="30"/>
      <c r="R2251" s="30"/>
      <c r="S2251" s="30"/>
      <c r="T2251" s="30"/>
      <c r="U2251" s="21" t="str">
        <f aca="false">IF(COUNT(K2251:T2251)=0,"SOURCE EMPTY / INDUSTRIAL ONLY",IF(MIN(K2251:T2251)=1,"SERVICE READY","HOLD"))</f>
        <v>SOURCE EMPTY / INDUSTRIAL ONLY</v>
      </c>
      <c r="V2251" s="9" t="n">
        <f aca="false">IF(U2251="SERVICE READY",1,0)</f>
        <v>0</v>
      </c>
      <c r="W2251" s="6"/>
      <c r="X2251" s="6"/>
      <c r="Y2251" s="6"/>
      <c r="Z2251" s="6"/>
    </row>
    <row r="2252" customFormat="false" ht="15" hidden="false" customHeight="false" outlineLevel="0" collapsed="false">
      <c r="A2252" s="9" t="s">
        <v>2510</v>
      </c>
      <c r="B2252" s="9" t="s">
        <v>2439</v>
      </c>
      <c r="C2252" s="9" t="s">
        <v>2440</v>
      </c>
      <c r="D2252" s="9" t="s">
        <v>2185</v>
      </c>
      <c r="E2252" s="9" t="s">
        <v>2027</v>
      </c>
      <c r="F2252" s="9" t="s">
        <v>197</v>
      </c>
      <c r="G2252" s="9" t="s">
        <v>221</v>
      </c>
      <c r="H2252" s="9" t="n">
        <v>4200</v>
      </c>
      <c r="I2252" s="29" t="n">
        <v>1.5</v>
      </c>
      <c r="J2252" s="9" t="n">
        <v>1</v>
      </c>
      <c r="K2252" s="30"/>
      <c r="L2252" s="30"/>
      <c r="M2252" s="30"/>
      <c r="N2252" s="30"/>
      <c r="O2252" s="30"/>
      <c r="P2252" s="30"/>
      <c r="Q2252" s="30"/>
      <c r="R2252" s="30"/>
      <c r="S2252" s="30"/>
      <c r="T2252" s="30"/>
      <c r="U2252" s="21" t="str">
        <f aca="false">IF(COUNT(K2252:T2252)=0,"SOURCE EMPTY / INDUSTRIAL ONLY",IF(MIN(K2252:T2252)=1,"SERVICE READY","HOLD"))</f>
        <v>SOURCE EMPTY / INDUSTRIAL ONLY</v>
      </c>
      <c r="V2252" s="9" t="n">
        <f aca="false">IF(U2252="SERVICE READY",1,0)</f>
        <v>0</v>
      </c>
      <c r="W2252" s="6"/>
      <c r="X2252" s="6"/>
      <c r="Y2252" s="6"/>
      <c r="Z2252" s="6"/>
    </row>
    <row r="2253" customFormat="false" ht="15" hidden="false" customHeight="false" outlineLevel="0" collapsed="false">
      <c r="A2253" s="9" t="s">
        <v>2511</v>
      </c>
      <c r="B2253" s="9" t="s">
        <v>2439</v>
      </c>
      <c r="C2253" s="9" t="s">
        <v>2440</v>
      </c>
      <c r="D2253" s="9" t="s">
        <v>2185</v>
      </c>
      <c r="E2253" s="9" t="s">
        <v>2027</v>
      </c>
      <c r="F2253" s="9" t="s">
        <v>200</v>
      </c>
      <c r="G2253" s="9" t="s">
        <v>221</v>
      </c>
      <c r="H2253" s="9" t="n">
        <v>4200</v>
      </c>
      <c r="I2253" s="29" t="n">
        <v>1.5</v>
      </c>
      <c r="J2253" s="9" t="n">
        <v>1</v>
      </c>
      <c r="K2253" s="30"/>
      <c r="L2253" s="30"/>
      <c r="M2253" s="30"/>
      <c r="N2253" s="30"/>
      <c r="O2253" s="30"/>
      <c r="P2253" s="30"/>
      <c r="Q2253" s="30"/>
      <c r="R2253" s="30"/>
      <c r="S2253" s="30"/>
      <c r="T2253" s="30"/>
      <c r="U2253" s="21" t="str">
        <f aca="false">IF(COUNT(K2253:T2253)=0,"SOURCE EMPTY / INDUSTRIAL ONLY",IF(MIN(K2253:T2253)=1,"SERVICE READY","HOLD"))</f>
        <v>SOURCE EMPTY / INDUSTRIAL ONLY</v>
      </c>
      <c r="V2253" s="9" t="n">
        <f aca="false">IF(U2253="SERVICE READY",1,0)</f>
        <v>0</v>
      </c>
      <c r="W2253" s="6"/>
      <c r="X2253" s="6"/>
      <c r="Y2253" s="6"/>
      <c r="Z2253" s="6"/>
    </row>
    <row r="2254" customFormat="false" ht="15" hidden="false" customHeight="false" outlineLevel="0" collapsed="false">
      <c r="A2254" s="9" t="s">
        <v>2512</v>
      </c>
      <c r="B2254" s="9" t="s">
        <v>2439</v>
      </c>
      <c r="C2254" s="9" t="s">
        <v>2440</v>
      </c>
      <c r="D2254" s="9" t="s">
        <v>2185</v>
      </c>
      <c r="E2254" s="9" t="s">
        <v>2027</v>
      </c>
      <c r="F2254" s="9" t="s">
        <v>203</v>
      </c>
      <c r="G2254" s="9" t="s">
        <v>221</v>
      </c>
      <c r="H2254" s="9" t="n">
        <v>4200</v>
      </c>
      <c r="I2254" s="29" t="n">
        <v>1.5</v>
      </c>
      <c r="J2254" s="9" t="n">
        <v>1</v>
      </c>
      <c r="K2254" s="30"/>
      <c r="L2254" s="30"/>
      <c r="M2254" s="30"/>
      <c r="N2254" s="30"/>
      <c r="O2254" s="30"/>
      <c r="P2254" s="30"/>
      <c r="Q2254" s="30"/>
      <c r="R2254" s="30"/>
      <c r="S2254" s="30"/>
      <c r="T2254" s="30"/>
      <c r="U2254" s="21" t="str">
        <f aca="false">IF(COUNT(K2254:T2254)=0,"SOURCE EMPTY / INDUSTRIAL ONLY",IF(MIN(K2254:T2254)=1,"SERVICE READY","HOLD"))</f>
        <v>SOURCE EMPTY / INDUSTRIAL ONLY</v>
      </c>
      <c r="V2254" s="9" t="n">
        <f aca="false">IF(U2254="SERVICE READY",1,0)</f>
        <v>0</v>
      </c>
      <c r="W2254" s="6"/>
      <c r="X2254" s="6"/>
      <c r="Y2254" s="6"/>
      <c r="Z2254" s="6"/>
    </row>
    <row r="2255" customFormat="false" ht="15" hidden="false" customHeight="false" outlineLevel="0" collapsed="false">
      <c r="A2255" s="9" t="s">
        <v>2513</v>
      </c>
      <c r="B2255" s="9" t="s">
        <v>2439</v>
      </c>
      <c r="C2255" s="9" t="s">
        <v>2440</v>
      </c>
      <c r="D2255" s="9" t="s">
        <v>2185</v>
      </c>
      <c r="E2255" s="9" t="s">
        <v>2027</v>
      </c>
      <c r="F2255" s="9" t="s">
        <v>205</v>
      </c>
      <c r="G2255" s="9" t="s">
        <v>221</v>
      </c>
      <c r="H2255" s="9" t="n">
        <v>4200</v>
      </c>
      <c r="I2255" s="29" t="n">
        <v>1.5</v>
      </c>
      <c r="J2255" s="9" t="n">
        <v>0</v>
      </c>
      <c r="K2255" s="30"/>
      <c r="L2255" s="30"/>
      <c r="M2255" s="30"/>
      <c r="N2255" s="30"/>
      <c r="O2255" s="30"/>
      <c r="P2255" s="30"/>
      <c r="Q2255" s="30"/>
      <c r="R2255" s="30"/>
      <c r="S2255" s="30"/>
      <c r="T2255" s="30"/>
      <c r="U2255" s="21" t="str">
        <f aca="false">IF(COUNT(K2255:T2255)=0,"SOURCE EMPTY / INDUSTRIAL ONLY",IF(MIN(K2255:T2255)=1,"SERVICE READY","HOLD"))</f>
        <v>SOURCE EMPTY / INDUSTRIAL ONLY</v>
      </c>
      <c r="V2255" s="9" t="n">
        <f aca="false">IF(U2255="SERVICE READY",1,0)</f>
        <v>0</v>
      </c>
      <c r="W2255" s="6"/>
      <c r="X2255" s="6"/>
      <c r="Y2255" s="6"/>
      <c r="Z2255" s="6"/>
    </row>
    <row r="2256" customFormat="false" ht="15" hidden="false" customHeight="false" outlineLevel="0" collapsed="false">
      <c r="A2256" s="9" t="s">
        <v>2514</v>
      </c>
      <c r="B2256" s="9" t="s">
        <v>2439</v>
      </c>
      <c r="C2256" s="9" t="s">
        <v>2440</v>
      </c>
      <c r="D2256" s="9" t="s">
        <v>2185</v>
      </c>
      <c r="E2256" s="9" t="s">
        <v>2027</v>
      </c>
      <c r="F2256" s="9" t="s">
        <v>207</v>
      </c>
      <c r="G2256" s="9" t="s">
        <v>221</v>
      </c>
      <c r="H2256" s="9" t="n">
        <v>4200</v>
      </c>
      <c r="I2256" s="29" t="n">
        <v>1.5</v>
      </c>
      <c r="J2256" s="9" t="n">
        <v>0</v>
      </c>
      <c r="K2256" s="30"/>
      <c r="L2256" s="30"/>
      <c r="M2256" s="30"/>
      <c r="N2256" s="30"/>
      <c r="O2256" s="30"/>
      <c r="P2256" s="30"/>
      <c r="Q2256" s="30"/>
      <c r="R2256" s="30"/>
      <c r="S2256" s="30"/>
      <c r="T2256" s="30"/>
      <c r="U2256" s="21" t="str">
        <f aca="false">IF(COUNT(K2256:T2256)=0,"SOURCE EMPTY / INDUSTRIAL ONLY",IF(MIN(K2256:T2256)=1,"SERVICE READY","HOLD"))</f>
        <v>SOURCE EMPTY / INDUSTRIAL ONLY</v>
      </c>
      <c r="V2256" s="9" t="n">
        <f aca="false">IF(U2256="SERVICE READY",1,0)</f>
        <v>0</v>
      </c>
      <c r="W2256" s="6"/>
      <c r="X2256" s="6"/>
      <c r="Y2256" s="6"/>
      <c r="Z2256" s="6"/>
    </row>
    <row r="2257" customFormat="false" ht="15" hidden="false" customHeight="false" outlineLevel="0" collapsed="false">
      <c r="A2257" s="9" t="s">
        <v>2515</v>
      </c>
      <c r="B2257" s="9" t="s">
        <v>2439</v>
      </c>
      <c r="C2257" s="9" t="s">
        <v>2440</v>
      </c>
      <c r="D2257" s="9" t="s">
        <v>2185</v>
      </c>
      <c r="E2257" s="9" t="s">
        <v>2027</v>
      </c>
      <c r="F2257" s="9" t="s">
        <v>209</v>
      </c>
      <c r="G2257" s="9" t="s">
        <v>221</v>
      </c>
      <c r="H2257" s="9" t="n">
        <v>4200</v>
      </c>
      <c r="I2257" s="29" t="n">
        <v>1.5</v>
      </c>
      <c r="J2257" s="9" t="n">
        <v>0</v>
      </c>
      <c r="K2257" s="30"/>
      <c r="L2257" s="30"/>
      <c r="M2257" s="30"/>
      <c r="N2257" s="30"/>
      <c r="O2257" s="30"/>
      <c r="P2257" s="30"/>
      <c r="Q2257" s="30"/>
      <c r="R2257" s="30"/>
      <c r="S2257" s="30"/>
      <c r="T2257" s="30"/>
      <c r="U2257" s="21" t="str">
        <f aca="false">IF(COUNT(K2257:T2257)=0,"SOURCE EMPTY / INDUSTRIAL ONLY",IF(MIN(K2257:T2257)=1,"SERVICE READY","HOLD"))</f>
        <v>SOURCE EMPTY / INDUSTRIAL ONLY</v>
      </c>
      <c r="V2257" s="9" t="n">
        <f aca="false">IF(U2257="SERVICE READY",1,0)</f>
        <v>0</v>
      </c>
      <c r="W2257" s="6"/>
      <c r="X2257" s="6"/>
      <c r="Y2257" s="6"/>
      <c r="Z2257" s="6"/>
    </row>
    <row r="2258" customFormat="false" ht="15" hidden="false" customHeight="false" outlineLevel="0" collapsed="false">
      <c r="A2258" s="9" t="s">
        <v>2516</v>
      </c>
      <c r="B2258" s="9" t="s">
        <v>2439</v>
      </c>
      <c r="C2258" s="9" t="s">
        <v>2440</v>
      </c>
      <c r="D2258" s="9" t="s">
        <v>2185</v>
      </c>
      <c r="E2258" s="9" t="s">
        <v>2027</v>
      </c>
      <c r="F2258" s="9" t="s">
        <v>211</v>
      </c>
      <c r="G2258" s="9" t="s">
        <v>221</v>
      </c>
      <c r="H2258" s="9" t="n">
        <v>4200</v>
      </c>
      <c r="I2258" s="29" t="n">
        <v>1.5</v>
      </c>
      <c r="J2258" s="9" t="n">
        <v>0</v>
      </c>
      <c r="K2258" s="30"/>
      <c r="L2258" s="30"/>
      <c r="M2258" s="30"/>
      <c r="N2258" s="30"/>
      <c r="O2258" s="30"/>
      <c r="P2258" s="30"/>
      <c r="Q2258" s="30"/>
      <c r="R2258" s="30"/>
      <c r="S2258" s="30"/>
      <c r="T2258" s="30"/>
      <c r="U2258" s="21" t="str">
        <f aca="false">IF(COUNT(K2258:T2258)=0,"SOURCE EMPTY / INDUSTRIAL ONLY",IF(MIN(K2258:T2258)=1,"SERVICE READY","HOLD"))</f>
        <v>SOURCE EMPTY / INDUSTRIAL ONLY</v>
      </c>
      <c r="V2258" s="9" t="n">
        <f aca="false">IF(U2258="SERVICE READY",1,0)</f>
        <v>0</v>
      </c>
      <c r="W2258" s="6"/>
      <c r="X2258" s="6"/>
      <c r="Y2258" s="6"/>
      <c r="Z2258" s="6"/>
    </row>
    <row r="2259" customFormat="false" ht="15" hidden="false" customHeight="false" outlineLevel="0" collapsed="false">
      <c r="A2259" s="9" t="s">
        <v>2517</v>
      </c>
      <c r="B2259" s="9" t="s">
        <v>2439</v>
      </c>
      <c r="C2259" s="9" t="s">
        <v>2440</v>
      </c>
      <c r="D2259" s="9" t="s">
        <v>2185</v>
      </c>
      <c r="E2259" s="9" t="s">
        <v>2027</v>
      </c>
      <c r="F2259" s="9" t="s">
        <v>197</v>
      </c>
      <c r="G2259" s="9" t="s">
        <v>221</v>
      </c>
      <c r="H2259" s="9" t="n">
        <v>4200</v>
      </c>
      <c r="I2259" s="29" t="n">
        <v>1.5</v>
      </c>
      <c r="J2259" s="9" t="n">
        <v>0</v>
      </c>
      <c r="K2259" s="30"/>
      <c r="L2259" s="30"/>
      <c r="M2259" s="30"/>
      <c r="N2259" s="30"/>
      <c r="O2259" s="30"/>
      <c r="P2259" s="30"/>
      <c r="Q2259" s="30"/>
      <c r="R2259" s="30"/>
      <c r="S2259" s="30"/>
      <c r="T2259" s="30"/>
      <c r="U2259" s="21" t="str">
        <f aca="false">IF(COUNT(K2259:T2259)=0,"SOURCE EMPTY / INDUSTRIAL ONLY",IF(MIN(K2259:T2259)=1,"SERVICE READY","HOLD"))</f>
        <v>SOURCE EMPTY / INDUSTRIAL ONLY</v>
      </c>
      <c r="V2259" s="9" t="n">
        <f aca="false">IF(U2259="SERVICE READY",1,0)</f>
        <v>0</v>
      </c>
      <c r="W2259" s="6"/>
      <c r="X2259" s="6"/>
      <c r="Y2259" s="6"/>
      <c r="Z2259" s="6"/>
    </row>
    <row r="2260" customFormat="false" ht="15" hidden="false" customHeight="false" outlineLevel="0" collapsed="false">
      <c r="A2260" s="9" t="s">
        <v>2518</v>
      </c>
      <c r="B2260" s="9" t="s">
        <v>2439</v>
      </c>
      <c r="C2260" s="9" t="s">
        <v>2440</v>
      </c>
      <c r="D2260" s="9" t="s">
        <v>2185</v>
      </c>
      <c r="E2260" s="9" t="s">
        <v>2027</v>
      </c>
      <c r="F2260" s="9" t="s">
        <v>200</v>
      </c>
      <c r="G2260" s="9" t="s">
        <v>221</v>
      </c>
      <c r="H2260" s="9" t="n">
        <v>4200</v>
      </c>
      <c r="I2260" s="29" t="n">
        <v>1.5</v>
      </c>
      <c r="J2260" s="9" t="n">
        <v>0</v>
      </c>
      <c r="K2260" s="30"/>
      <c r="L2260" s="30"/>
      <c r="M2260" s="30"/>
      <c r="N2260" s="30"/>
      <c r="O2260" s="30"/>
      <c r="P2260" s="30"/>
      <c r="Q2260" s="30"/>
      <c r="R2260" s="30"/>
      <c r="S2260" s="30"/>
      <c r="T2260" s="30"/>
      <c r="U2260" s="21" t="str">
        <f aca="false">IF(COUNT(K2260:T2260)=0,"SOURCE EMPTY / INDUSTRIAL ONLY",IF(MIN(K2260:T2260)=1,"SERVICE READY","HOLD"))</f>
        <v>SOURCE EMPTY / INDUSTRIAL ONLY</v>
      </c>
      <c r="V2260" s="9" t="n">
        <f aca="false">IF(U2260="SERVICE READY",1,0)</f>
        <v>0</v>
      </c>
      <c r="W2260" s="6"/>
      <c r="X2260" s="6"/>
      <c r="Y2260" s="6"/>
      <c r="Z2260" s="6"/>
    </row>
    <row r="2261" customFormat="false" ht="15" hidden="false" customHeight="false" outlineLevel="0" collapsed="false">
      <c r="A2261" s="9" t="s">
        <v>2519</v>
      </c>
      <c r="B2261" s="9" t="s">
        <v>2439</v>
      </c>
      <c r="C2261" s="9" t="s">
        <v>2440</v>
      </c>
      <c r="D2261" s="9" t="s">
        <v>2185</v>
      </c>
      <c r="E2261" s="9" t="s">
        <v>2027</v>
      </c>
      <c r="F2261" s="9" t="s">
        <v>203</v>
      </c>
      <c r="G2261" s="9" t="s">
        <v>221</v>
      </c>
      <c r="H2261" s="9" t="n">
        <v>4200</v>
      </c>
      <c r="I2261" s="29" t="n">
        <v>1.5</v>
      </c>
      <c r="J2261" s="9" t="n">
        <v>0</v>
      </c>
      <c r="K2261" s="30"/>
      <c r="L2261" s="30"/>
      <c r="M2261" s="30"/>
      <c r="N2261" s="30"/>
      <c r="O2261" s="30"/>
      <c r="P2261" s="30"/>
      <c r="Q2261" s="30"/>
      <c r="R2261" s="30"/>
      <c r="S2261" s="30"/>
      <c r="T2261" s="30"/>
      <c r="U2261" s="21" t="str">
        <f aca="false">IF(COUNT(K2261:T2261)=0,"SOURCE EMPTY / INDUSTRIAL ONLY",IF(MIN(K2261:T2261)=1,"SERVICE READY","HOLD"))</f>
        <v>SOURCE EMPTY / INDUSTRIAL ONLY</v>
      </c>
      <c r="V2261" s="9" t="n">
        <f aca="false">IF(U2261="SERVICE READY",1,0)</f>
        <v>0</v>
      </c>
      <c r="W2261" s="6"/>
      <c r="X2261" s="6"/>
      <c r="Y2261" s="6"/>
      <c r="Z2261" s="6"/>
    </row>
    <row r="2262" customFormat="false" ht="15" hidden="false" customHeight="false" outlineLevel="0" collapsed="false">
      <c r="A2262" s="9" t="s">
        <v>2520</v>
      </c>
      <c r="B2262" s="9" t="s">
        <v>2439</v>
      </c>
      <c r="C2262" s="9" t="s">
        <v>2440</v>
      </c>
      <c r="D2262" s="9" t="s">
        <v>2185</v>
      </c>
      <c r="E2262" s="9" t="s">
        <v>2027</v>
      </c>
      <c r="F2262" s="9" t="s">
        <v>205</v>
      </c>
      <c r="G2262" s="9" t="s">
        <v>221</v>
      </c>
      <c r="H2262" s="9" t="n">
        <v>4200</v>
      </c>
      <c r="I2262" s="29" t="n">
        <v>1.5</v>
      </c>
      <c r="J2262" s="9" t="n">
        <v>0</v>
      </c>
      <c r="K2262" s="30"/>
      <c r="L2262" s="30"/>
      <c r="M2262" s="30"/>
      <c r="N2262" s="30"/>
      <c r="O2262" s="30"/>
      <c r="P2262" s="30"/>
      <c r="Q2262" s="30"/>
      <c r="R2262" s="30"/>
      <c r="S2262" s="30"/>
      <c r="T2262" s="30"/>
      <c r="U2262" s="21" t="str">
        <f aca="false">IF(COUNT(K2262:T2262)=0,"SOURCE EMPTY / INDUSTRIAL ONLY",IF(MIN(K2262:T2262)=1,"SERVICE READY","HOLD"))</f>
        <v>SOURCE EMPTY / INDUSTRIAL ONLY</v>
      </c>
      <c r="V2262" s="9" t="n">
        <f aca="false">IF(U2262="SERVICE READY",1,0)</f>
        <v>0</v>
      </c>
      <c r="W2262" s="6"/>
      <c r="X2262" s="6"/>
      <c r="Y2262" s="6"/>
      <c r="Z2262" s="6"/>
    </row>
    <row r="2263" customFormat="false" ht="15" hidden="false" customHeight="false" outlineLevel="0" collapsed="false">
      <c r="A2263" s="9" t="s">
        <v>2521</v>
      </c>
      <c r="B2263" s="9" t="s">
        <v>2439</v>
      </c>
      <c r="C2263" s="9" t="s">
        <v>2440</v>
      </c>
      <c r="D2263" s="9" t="s">
        <v>2185</v>
      </c>
      <c r="E2263" s="9" t="s">
        <v>2027</v>
      </c>
      <c r="F2263" s="9" t="s">
        <v>207</v>
      </c>
      <c r="G2263" s="9" t="s">
        <v>221</v>
      </c>
      <c r="H2263" s="9" t="n">
        <v>4200</v>
      </c>
      <c r="I2263" s="29" t="n">
        <v>1.5</v>
      </c>
      <c r="J2263" s="9" t="n">
        <v>0</v>
      </c>
      <c r="K2263" s="30"/>
      <c r="L2263" s="30"/>
      <c r="M2263" s="30"/>
      <c r="N2263" s="30"/>
      <c r="O2263" s="30"/>
      <c r="P2263" s="30"/>
      <c r="Q2263" s="30"/>
      <c r="R2263" s="30"/>
      <c r="S2263" s="30"/>
      <c r="T2263" s="30"/>
      <c r="U2263" s="21" t="str">
        <f aca="false">IF(COUNT(K2263:T2263)=0,"SOURCE EMPTY / INDUSTRIAL ONLY",IF(MIN(K2263:T2263)=1,"SERVICE READY","HOLD"))</f>
        <v>SOURCE EMPTY / INDUSTRIAL ONLY</v>
      </c>
      <c r="V2263" s="9" t="n">
        <f aca="false">IF(U2263="SERVICE READY",1,0)</f>
        <v>0</v>
      </c>
      <c r="W2263" s="6"/>
      <c r="X2263" s="6"/>
      <c r="Y2263" s="6"/>
      <c r="Z2263" s="6"/>
    </row>
    <row r="2264" customFormat="false" ht="15" hidden="false" customHeight="false" outlineLevel="0" collapsed="false">
      <c r="A2264" s="9" t="s">
        <v>2522</v>
      </c>
      <c r="B2264" s="9" t="s">
        <v>2439</v>
      </c>
      <c r="C2264" s="9" t="s">
        <v>2440</v>
      </c>
      <c r="D2264" s="9" t="s">
        <v>2185</v>
      </c>
      <c r="E2264" s="9" t="s">
        <v>2027</v>
      </c>
      <c r="F2264" s="9" t="s">
        <v>209</v>
      </c>
      <c r="G2264" s="9" t="s">
        <v>221</v>
      </c>
      <c r="H2264" s="9" t="n">
        <v>4200</v>
      </c>
      <c r="I2264" s="29" t="n">
        <v>1.5</v>
      </c>
      <c r="J2264" s="9" t="n">
        <v>0</v>
      </c>
      <c r="K2264" s="30"/>
      <c r="L2264" s="30"/>
      <c r="M2264" s="30"/>
      <c r="N2264" s="30"/>
      <c r="O2264" s="30"/>
      <c r="P2264" s="30"/>
      <c r="Q2264" s="30"/>
      <c r="R2264" s="30"/>
      <c r="S2264" s="30"/>
      <c r="T2264" s="30"/>
      <c r="U2264" s="21" t="str">
        <f aca="false">IF(COUNT(K2264:T2264)=0,"SOURCE EMPTY / INDUSTRIAL ONLY",IF(MIN(K2264:T2264)=1,"SERVICE READY","HOLD"))</f>
        <v>SOURCE EMPTY / INDUSTRIAL ONLY</v>
      </c>
      <c r="V2264" s="9" t="n">
        <f aca="false">IF(U2264="SERVICE READY",1,0)</f>
        <v>0</v>
      </c>
      <c r="W2264" s="6"/>
      <c r="X2264" s="6"/>
      <c r="Y2264" s="6"/>
      <c r="Z2264" s="6"/>
    </row>
    <row r="2265" customFormat="false" ht="15" hidden="false" customHeight="false" outlineLevel="0" collapsed="false">
      <c r="A2265" s="9" t="s">
        <v>2523</v>
      </c>
      <c r="B2265" s="9" t="s">
        <v>2439</v>
      </c>
      <c r="C2265" s="9" t="s">
        <v>2440</v>
      </c>
      <c r="D2265" s="9" t="s">
        <v>2185</v>
      </c>
      <c r="E2265" s="9" t="s">
        <v>2027</v>
      </c>
      <c r="F2265" s="9" t="s">
        <v>211</v>
      </c>
      <c r="G2265" s="9" t="s">
        <v>221</v>
      </c>
      <c r="H2265" s="9" t="n">
        <v>4200</v>
      </c>
      <c r="I2265" s="29" t="n">
        <v>1.5</v>
      </c>
      <c r="J2265" s="9" t="n">
        <v>0</v>
      </c>
      <c r="K2265" s="30"/>
      <c r="L2265" s="30"/>
      <c r="M2265" s="30"/>
      <c r="N2265" s="30"/>
      <c r="O2265" s="30"/>
      <c r="P2265" s="30"/>
      <c r="Q2265" s="30"/>
      <c r="R2265" s="30"/>
      <c r="S2265" s="30"/>
      <c r="T2265" s="30"/>
      <c r="U2265" s="21" t="str">
        <f aca="false">IF(COUNT(K2265:T2265)=0,"SOURCE EMPTY / INDUSTRIAL ONLY",IF(MIN(K2265:T2265)=1,"SERVICE READY","HOLD"))</f>
        <v>SOURCE EMPTY / INDUSTRIAL ONLY</v>
      </c>
      <c r="V2265" s="9" t="n">
        <f aca="false">IF(U2265="SERVICE READY",1,0)</f>
        <v>0</v>
      </c>
      <c r="W2265" s="6"/>
      <c r="X2265" s="6"/>
      <c r="Y2265" s="6"/>
      <c r="Z2265" s="6"/>
    </row>
    <row r="2266" customFormat="false" ht="15" hidden="false" customHeight="false" outlineLevel="0" collapsed="false">
      <c r="A2266" s="9" t="s">
        <v>2524</v>
      </c>
      <c r="B2266" s="9" t="s">
        <v>2439</v>
      </c>
      <c r="C2266" s="9" t="s">
        <v>2440</v>
      </c>
      <c r="D2266" s="9" t="s">
        <v>2185</v>
      </c>
      <c r="E2266" s="9" t="s">
        <v>2027</v>
      </c>
      <c r="F2266" s="9" t="s">
        <v>197</v>
      </c>
      <c r="G2266" s="9" t="s">
        <v>221</v>
      </c>
      <c r="H2266" s="9" t="n">
        <v>4200</v>
      </c>
      <c r="I2266" s="29" t="n">
        <v>1.5</v>
      </c>
      <c r="J2266" s="9" t="n">
        <v>0</v>
      </c>
      <c r="K2266" s="30"/>
      <c r="L2266" s="30"/>
      <c r="M2266" s="30"/>
      <c r="N2266" s="30"/>
      <c r="O2266" s="30"/>
      <c r="P2266" s="30"/>
      <c r="Q2266" s="30"/>
      <c r="R2266" s="30"/>
      <c r="S2266" s="30"/>
      <c r="T2266" s="30"/>
      <c r="U2266" s="21" t="str">
        <f aca="false">IF(COUNT(K2266:T2266)=0,"SOURCE EMPTY / INDUSTRIAL ONLY",IF(MIN(K2266:T2266)=1,"SERVICE READY","HOLD"))</f>
        <v>SOURCE EMPTY / INDUSTRIAL ONLY</v>
      </c>
      <c r="V2266" s="9" t="n">
        <f aca="false">IF(U2266="SERVICE READY",1,0)</f>
        <v>0</v>
      </c>
      <c r="W2266" s="6"/>
      <c r="X2266" s="6"/>
      <c r="Y2266" s="6"/>
      <c r="Z2266" s="6"/>
    </row>
    <row r="2267" customFormat="false" ht="15" hidden="false" customHeight="false" outlineLevel="0" collapsed="false">
      <c r="A2267" s="9" t="s">
        <v>2525</v>
      </c>
      <c r="B2267" s="9" t="s">
        <v>2439</v>
      </c>
      <c r="C2267" s="9" t="s">
        <v>2440</v>
      </c>
      <c r="D2267" s="9" t="s">
        <v>2185</v>
      </c>
      <c r="E2267" s="9" t="s">
        <v>2027</v>
      </c>
      <c r="F2267" s="9" t="s">
        <v>200</v>
      </c>
      <c r="G2267" s="9" t="s">
        <v>221</v>
      </c>
      <c r="H2267" s="9" t="n">
        <v>4200</v>
      </c>
      <c r="I2267" s="29" t="n">
        <v>1.5</v>
      </c>
      <c r="J2267" s="9" t="n">
        <v>0</v>
      </c>
      <c r="K2267" s="30"/>
      <c r="L2267" s="30"/>
      <c r="M2267" s="30"/>
      <c r="N2267" s="30"/>
      <c r="O2267" s="30"/>
      <c r="P2267" s="30"/>
      <c r="Q2267" s="30"/>
      <c r="R2267" s="30"/>
      <c r="S2267" s="30"/>
      <c r="T2267" s="30"/>
      <c r="U2267" s="21" t="str">
        <f aca="false">IF(COUNT(K2267:T2267)=0,"SOURCE EMPTY / INDUSTRIAL ONLY",IF(MIN(K2267:T2267)=1,"SERVICE READY","HOLD"))</f>
        <v>SOURCE EMPTY / INDUSTRIAL ONLY</v>
      </c>
      <c r="V2267" s="9" t="n">
        <f aca="false">IF(U2267="SERVICE READY",1,0)</f>
        <v>0</v>
      </c>
      <c r="W2267" s="6"/>
      <c r="X2267" s="6"/>
      <c r="Y2267" s="6"/>
      <c r="Z2267" s="6"/>
    </row>
    <row r="2268" customFormat="false" ht="15" hidden="false" customHeight="false" outlineLevel="0" collapsed="false">
      <c r="A2268" s="9" t="s">
        <v>2526</v>
      </c>
      <c r="B2268" s="9" t="s">
        <v>2439</v>
      </c>
      <c r="C2268" s="9" t="s">
        <v>2440</v>
      </c>
      <c r="D2268" s="9" t="s">
        <v>2185</v>
      </c>
      <c r="E2268" s="9" t="s">
        <v>2027</v>
      </c>
      <c r="F2268" s="9" t="s">
        <v>203</v>
      </c>
      <c r="G2268" s="9" t="s">
        <v>221</v>
      </c>
      <c r="H2268" s="9" t="n">
        <v>4200</v>
      </c>
      <c r="I2268" s="29" t="n">
        <v>1.5</v>
      </c>
      <c r="J2268" s="9" t="n">
        <v>0</v>
      </c>
      <c r="K2268" s="30"/>
      <c r="L2268" s="30"/>
      <c r="M2268" s="30"/>
      <c r="N2268" s="30"/>
      <c r="O2268" s="30"/>
      <c r="P2268" s="30"/>
      <c r="Q2268" s="30"/>
      <c r="R2268" s="30"/>
      <c r="S2268" s="30"/>
      <c r="T2268" s="30"/>
      <c r="U2268" s="21" t="str">
        <f aca="false">IF(COUNT(K2268:T2268)=0,"SOURCE EMPTY / INDUSTRIAL ONLY",IF(MIN(K2268:T2268)=1,"SERVICE READY","HOLD"))</f>
        <v>SOURCE EMPTY / INDUSTRIAL ONLY</v>
      </c>
      <c r="V2268" s="9" t="n">
        <f aca="false">IF(U2268="SERVICE READY",1,0)</f>
        <v>0</v>
      </c>
      <c r="W2268" s="6"/>
      <c r="X2268" s="6"/>
      <c r="Y2268" s="6"/>
      <c r="Z2268" s="6"/>
    </row>
    <row r="2269" customFormat="false" ht="15" hidden="false" customHeight="false" outlineLevel="0" collapsed="false">
      <c r="A2269" s="9" t="s">
        <v>2527</v>
      </c>
      <c r="B2269" s="9" t="s">
        <v>2439</v>
      </c>
      <c r="C2269" s="9" t="s">
        <v>2440</v>
      </c>
      <c r="D2269" s="9" t="s">
        <v>2185</v>
      </c>
      <c r="E2269" s="9" t="s">
        <v>2027</v>
      </c>
      <c r="F2269" s="9" t="s">
        <v>205</v>
      </c>
      <c r="G2269" s="9" t="s">
        <v>221</v>
      </c>
      <c r="H2269" s="9" t="n">
        <v>4200</v>
      </c>
      <c r="I2269" s="29" t="n">
        <v>1.5</v>
      </c>
      <c r="J2269" s="9" t="n">
        <v>0</v>
      </c>
      <c r="K2269" s="30"/>
      <c r="L2269" s="30"/>
      <c r="M2269" s="30"/>
      <c r="N2269" s="30"/>
      <c r="O2269" s="30"/>
      <c r="P2269" s="30"/>
      <c r="Q2269" s="30"/>
      <c r="R2269" s="30"/>
      <c r="S2269" s="30"/>
      <c r="T2269" s="30"/>
      <c r="U2269" s="21" t="str">
        <f aca="false">IF(COUNT(K2269:T2269)=0,"SOURCE EMPTY / INDUSTRIAL ONLY",IF(MIN(K2269:T2269)=1,"SERVICE READY","HOLD"))</f>
        <v>SOURCE EMPTY / INDUSTRIAL ONLY</v>
      </c>
      <c r="V2269" s="9" t="n">
        <f aca="false">IF(U2269="SERVICE READY",1,0)</f>
        <v>0</v>
      </c>
      <c r="W2269" s="6"/>
      <c r="X2269" s="6"/>
      <c r="Y2269" s="6"/>
      <c r="Z2269" s="6"/>
    </row>
    <row r="2270" customFormat="false" ht="15" hidden="false" customHeight="false" outlineLevel="0" collapsed="false">
      <c r="A2270" s="9" t="s">
        <v>2528</v>
      </c>
      <c r="B2270" s="9" t="s">
        <v>2439</v>
      </c>
      <c r="C2270" s="9" t="s">
        <v>2440</v>
      </c>
      <c r="D2270" s="9" t="s">
        <v>2185</v>
      </c>
      <c r="E2270" s="9" t="s">
        <v>2027</v>
      </c>
      <c r="F2270" s="9" t="s">
        <v>207</v>
      </c>
      <c r="G2270" s="9" t="s">
        <v>221</v>
      </c>
      <c r="H2270" s="9" t="n">
        <v>4200</v>
      </c>
      <c r="I2270" s="29" t="n">
        <v>1.5</v>
      </c>
      <c r="J2270" s="9" t="n">
        <v>0</v>
      </c>
      <c r="K2270" s="30"/>
      <c r="L2270" s="30"/>
      <c r="M2270" s="30"/>
      <c r="N2270" s="30"/>
      <c r="O2270" s="30"/>
      <c r="P2270" s="30"/>
      <c r="Q2270" s="30"/>
      <c r="R2270" s="30"/>
      <c r="S2270" s="30"/>
      <c r="T2270" s="30"/>
      <c r="U2270" s="21" t="str">
        <f aca="false">IF(COUNT(K2270:T2270)=0,"SOURCE EMPTY / INDUSTRIAL ONLY",IF(MIN(K2270:T2270)=1,"SERVICE READY","HOLD"))</f>
        <v>SOURCE EMPTY / INDUSTRIAL ONLY</v>
      </c>
      <c r="V2270" s="9" t="n">
        <f aca="false">IF(U2270="SERVICE READY",1,0)</f>
        <v>0</v>
      </c>
      <c r="W2270" s="6"/>
      <c r="X2270" s="6"/>
      <c r="Y2270" s="6"/>
      <c r="Z2270" s="6"/>
    </row>
    <row r="2271" customFormat="false" ht="15" hidden="false" customHeight="false" outlineLevel="0" collapsed="false">
      <c r="A2271" s="9" t="s">
        <v>2529</v>
      </c>
      <c r="B2271" s="9" t="s">
        <v>2439</v>
      </c>
      <c r="C2271" s="9" t="s">
        <v>2440</v>
      </c>
      <c r="D2271" s="9" t="s">
        <v>2185</v>
      </c>
      <c r="E2271" s="9" t="s">
        <v>2027</v>
      </c>
      <c r="F2271" s="9" t="s">
        <v>209</v>
      </c>
      <c r="G2271" s="9" t="s">
        <v>221</v>
      </c>
      <c r="H2271" s="9" t="n">
        <v>4200</v>
      </c>
      <c r="I2271" s="29" t="n">
        <v>1.5</v>
      </c>
      <c r="J2271" s="9" t="n">
        <v>0</v>
      </c>
      <c r="K2271" s="30"/>
      <c r="L2271" s="30"/>
      <c r="M2271" s="30"/>
      <c r="N2271" s="30"/>
      <c r="O2271" s="30"/>
      <c r="P2271" s="30"/>
      <c r="Q2271" s="30"/>
      <c r="R2271" s="30"/>
      <c r="S2271" s="30"/>
      <c r="T2271" s="30"/>
      <c r="U2271" s="21" t="str">
        <f aca="false">IF(COUNT(K2271:T2271)=0,"SOURCE EMPTY / INDUSTRIAL ONLY",IF(MIN(K2271:T2271)=1,"SERVICE READY","HOLD"))</f>
        <v>SOURCE EMPTY / INDUSTRIAL ONLY</v>
      </c>
      <c r="V2271" s="9" t="n">
        <f aca="false">IF(U2271="SERVICE READY",1,0)</f>
        <v>0</v>
      </c>
      <c r="W2271" s="6"/>
      <c r="X2271" s="6"/>
      <c r="Y2271" s="6"/>
      <c r="Z2271" s="6"/>
    </row>
    <row r="2272" customFormat="false" ht="15" hidden="false" customHeight="false" outlineLevel="0" collapsed="false">
      <c r="A2272" s="9" t="s">
        <v>2530</v>
      </c>
      <c r="B2272" s="9" t="s">
        <v>2439</v>
      </c>
      <c r="C2272" s="9" t="s">
        <v>2440</v>
      </c>
      <c r="D2272" s="9" t="s">
        <v>2185</v>
      </c>
      <c r="E2272" s="9" t="s">
        <v>2027</v>
      </c>
      <c r="F2272" s="9" t="s">
        <v>211</v>
      </c>
      <c r="G2272" s="9" t="s">
        <v>221</v>
      </c>
      <c r="H2272" s="9" t="n">
        <v>4200</v>
      </c>
      <c r="I2272" s="29" t="n">
        <v>1.5</v>
      </c>
      <c r="J2272" s="9" t="n">
        <v>0</v>
      </c>
      <c r="K2272" s="30"/>
      <c r="L2272" s="30"/>
      <c r="M2272" s="30"/>
      <c r="N2272" s="30"/>
      <c r="O2272" s="30"/>
      <c r="P2272" s="30"/>
      <c r="Q2272" s="30"/>
      <c r="R2272" s="30"/>
      <c r="S2272" s="30"/>
      <c r="T2272" s="30"/>
      <c r="U2272" s="21" t="str">
        <f aca="false">IF(COUNT(K2272:T2272)=0,"SOURCE EMPTY / INDUSTRIAL ONLY",IF(MIN(K2272:T2272)=1,"SERVICE READY","HOLD"))</f>
        <v>SOURCE EMPTY / INDUSTRIAL ONLY</v>
      </c>
      <c r="V2272" s="9" t="n">
        <f aca="false">IF(U2272="SERVICE READY",1,0)</f>
        <v>0</v>
      </c>
      <c r="W2272" s="6"/>
      <c r="X2272" s="6"/>
      <c r="Y2272" s="6"/>
      <c r="Z2272" s="6"/>
    </row>
    <row r="2273" customFormat="false" ht="15" hidden="false" customHeight="false" outlineLevel="0" collapsed="false">
      <c r="A2273" s="9" t="s">
        <v>2531</v>
      </c>
      <c r="B2273" s="9" t="s">
        <v>2439</v>
      </c>
      <c r="C2273" s="9" t="s">
        <v>2440</v>
      </c>
      <c r="D2273" s="9" t="s">
        <v>2185</v>
      </c>
      <c r="E2273" s="9" t="s">
        <v>2027</v>
      </c>
      <c r="F2273" s="9" t="s">
        <v>197</v>
      </c>
      <c r="G2273" s="9" t="s">
        <v>221</v>
      </c>
      <c r="H2273" s="9" t="n">
        <v>4200</v>
      </c>
      <c r="I2273" s="29" t="n">
        <v>1.5</v>
      </c>
      <c r="J2273" s="9" t="n">
        <v>0</v>
      </c>
      <c r="K2273" s="30"/>
      <c r="L2273" s="30"/>
      <c r="M2273" s="30"/>
      <c r="N2273" s="30"/>
      <c r="O2273" s="30"/>
      <c r="P2273" s="30"/>
      <c r="Q2273" s="30"/>
      <c r="R2273" s="30"/>
      <c r="S2273" s="30"/>
      <c r="T2273" s="30"/>
      <c r="U2273" s="21" t="str">
        <f aca="false">IF(COUNT(K2273:T2273)=0,"SOURCE EMPTY / INDUSTRIAL ONLY",IF(MIN(K2273:T2273)=1,"SERVICE READY","HOLD"))</f>
        <v>SOURCE EMPTY / INDUSTRIAL ONLY</v>
      </c>
      <c r="V2273" s="9" t="n">
        <f aca="false">IF(U2273="SERVICE READY",1,0)</f>
        <v>0</v>
      </c>
      <c r="W2273" s="6"/>
      <c r="X2273" s="6"/>
      <c r="Y2273" s="6"/>
      <c r="Z2273" s="6"/>
    </row>
    <row r="2274" customFormat="false" ht="15" hidden="false" customHeight="false" outlineLevel="0" collapsed="false">
      <c r="A2274" s="9" t="s">
        <v>2532</v>
      </c>
      <c r="B2274" s="9" t="s">
        <v>2439</v>
      </c>
      <c r="C2274" s="9" t="s">
        <v>2440</v>
      </c>
      <c r="D2274" s="9" t="s">
        <v>2185</v>
      </c>
      <c r="E2274" s="9" t="s">
        <v>2027</v>
      </c>
      <c r="F2274" s="9" t="s">
        <v>200</v>
      </c>
      <c r="G2274" s="9" t="s">
        <v>221</v>
      </c>
      <c r="H2274" s="9" t="n">
        <v>4200</v>
      </c>
      <c r="I2274" s="29" t="n">
        <v>1.5</v>
      </c>
      <c r="J2274" s="9" t="n">
        <v>0</v>
      </c>
      <c r="K2274" s="30"/>
      <c r="L2274" s="30"/>
      <c r="M2274" s="30"/>
      <c r="N2274" s="30"/>
      <c r="O2274" s="30"/>
      <c r="P2274" s="30"/>
      <c r="Q2274" s="30"/>
      <c r="R2274" s="30"/>
      <c r="S2274" s="30"/>
      <c r="T2274" s="30"/>
      <c r="U2274" s="21" t="str">
        <f aca="false">IF(COUNT(K2274:T2274)=0,"SOURCE EMPTY / INDUSTRIAL ONLY",IF(MIN(K2274:T2274)=1,"SERVICE READY","HOLD"))</f>
        <v>SOURCE EMPTY / INDUSTRIAL ONLY</v>
      </c>
      <c r="V2274" s="9" t="n">
        <f aca="false">IF(U2274="SERVICE READY",1,0)</f>
        <v>0</v>
      </c>
      <c r="W2274" s="6"/>
      <c r="X2274" s="6"/>
      <c r="Y2274" s="6"/>
      <c r="Z2274" s="6"/>
    </row>
    <row r="2275" customFormat="false" ht="15" hidden="false" customHeight="false" outlineLevel="0" collapsed="false">
      <c r="A2275" s="9" t="s">
        <v>2533</v>
      </c>
      <c r="B2275" s="9" t="s">
        <v>2439</v>
      </c>
      <c r="C2275" s="9" t="s">
        <v>2440</v>
      </c>
      <c r="D2275" s="9" t="s">
        <v>2185</v>
      </c>
      <c r="E2275" s="9" t="s">
        <v>2027</v>
      </c>
      <c r="F2275" s="9" t="s">
        <v>203</v>
      </c>
      <c r="G2275" s="9" t="s">
        <v>221</v>
      </c>
      <c r="H2275" s="9" t="n">
        <v>4200</v>
      </c>
      <c r="I2275" s="29" t="n">
        <v>1.5</v>
      </c>
      <c r="J2275" s="9" t="n">
        <v>0</v>
      </c>
      <c r="K2275" s="30"/>
      <c r="L2275" s="30"/>
      <c r="M2275" s="30"/>
      <c r="N2275" s="30"/>
      <c r="O2275" s="30"/>
      <c r="P2275" s="30"/>
      <c r="Q2275" s="30"/>
      <c r="R2275" s="30"/>
      <c r="S2275" s="30"/>
      <c r="T2275" s="30"/>
      <c r="U2275" s="21" t="str">
        <f aca="false">IF(COUNT(K2275:T2275)=0,"SOURCE EMPTY / INDUSTRIAL ONLY",IF(MIN(K2275:T2275)=1,"SERVICE READY","HOLD"))</f>
        <v>SOURCE EMPTY / INDUSTRIAL ONLY</v>
      </c>
      <c r="V2275" s="9" t="n">
        <f aca="false">IF(U2275="SERVICE READY",1,0)</f>
        <v>0</v>
      </c>
      <c r="W2275" s="6"/>
      <c r="X2275" s="6"/>
      <c r="Y2275" s="6"/>
      <c r="Z2275" s="6"/>
    </row>
    <row r="2276" customFormat="false" ht="15" hidden="false" customHeight="false" outlineLevel="0" collapsed="false">
      <c r="A2276" s="9" t="s">
        <v>2534</v>
      </c>
      <c r="B2276" s="9" t="s">
        <v>2439</v>
      </c>
      <c r="C2276" s="9" t="s">
        <v>2440</v>
      </c>
      <c r="D2276" s="9" t="s">
        <v>2185</v>
      </c>
      <c r="E2276" s="9" t="s">
        <v>2027</v>
      </c>
      <c r="F2276" s="9" t="s">
        <v>205</v>
      </c>
      <c r="G2276" s="9" t="s">
        <v>221</v>
      </c>
      <c r="H2276" s="9" t="n">
        <v>4200</v>
      </c>
      <c r="I2276" s="29" t="n">
        <v>1.5</v>
      </c>
      <c r="J2276" s="9" t="n">
        <v>0</v>
      </c>
      <c r="K2276" s="30"/>
      <c r="L2276" s="30"/>
      <c r="M2276" s="30"/>
      <c r="N2276" s="30"/>
      <c r="O2276" s="30"/>
      <c r="P2276" s="30"/>
      <c r="Q2276" s="30"/>
      <c r="R2276" s="30"/>
      <c r="S2276" s="30"/>
      <c r="T2276" s="30"/>
      <c r="U2276" s="21" t="str">
        <f aca="false">IF(COUNT(K2276:T2276)=0,"SOURCE EMPTY / INDUSTRIAL ONLY",IF(MIN(K2276:T2276)=1,"SERVICE READY","HOLD"))</f>
        <v>SOURCE EMPTY / INDUSTRIAL ONLY</v>
      </c>
      <c r="V2276" s="9" t="n">
        <f aca="false">IF(U2276="SERVICE READY",1,0)</f>
        <v>0</v>
      </c>
      <c r="W2276" s="6"/>
      <c r="X2276" s="6"/>
      <c r="Y2276" s="6"/>
      <c r="Z2276" s="6"/>
    </row>
    <row r="2277" customFormat="false" ht="15" hidden="false" customHeight="false" outlineLevel="0" collapsed="false">
      <c r="A2277" s="9" t="s">
        <v>2535</v>
      </c>
      <c r="B2277" s="9" t="s">
        <v>2439</v>
      </c>
      <c r="C2277" s="9" t="s">
        <v>2440</v>
      </c>
      <c r="D2277" s="9" t="s">
        <v>2185</v>
      </c>
      <c r="E2277" s="9" t="s">
        <v>2027</v>
      </c>
      <c r="F2277" s="9" t="s">
        <v>207</v>
      </c>
      <c r="G2277" s="9" t="s">
        <v>221</v>
      </c>
      <c r="H2277" s="9" t="n">
        <v>4200</v>
      </c>
      <c r="I2277" s="29" t="n">
        <v>1.5</v>
      </c>
      <c r="J2277" s="9" t="n">
        <v>0</v>
      </c>
      <c r="K2277" s="30"/>
      <c r="L2277" s="30"/>
      <c r="M2277" s="30"/>
      <c r="N2277" s="30"/>
      <c r="O2277" s="30"/>
      <c r="P2277" s="30"/>
      <c r="Q2277" s="30"/>
      <c r="R2277" s="30"/>
      <c r="S2277" s="30"/>
      <c r="T2277" s="30"/>
      <c r="U2277" s="21" t="str">
        <f aca="false">IF(COUNT(K2277:T2277)=0,"SOURCE EMPTY / INDUSTRIAL ONLY",IF(MIN(K2277:T2277)=1,"SERVICE READY","HOLD"))</f>
        <v>SOURCE EMPTY / INDUSTRIAL ONLY</v>
      </c>
      <c r="V2277" s="9" t="n">
        <f aca="false">IF(U2277="SERVICE READY",1,0)</f>
        <v>0</v>
      </c>
      <c r="W2277" s="6"/>
      <c r="X2277" s="6"/>
      <c r="Y2277" s="6"/>
      <c r="Z2277" s="6"/>
    </row>
    <row r="2278" customFormat="false" ht="15" hidden="false" customHeight="false" outlineLevel="0" collapsed="false">
      <c r="A2278" s="9" t="s">
        <v>2536</v>
      </c>
      <c r="B2278" s="9" t="s">
        <v>2439</v>
      </c>
      <c r="C2278" s="9" t="s">
        <v>2440</v>
      </c>
      <c r="D2278" s="9" t="s">
        <v>2185</v>
      </c>
      <c r="E2278" s="9" t="s">
        <v>2027</v>
      </c>
      <c r="F2278" s="9" t="s">
        <v>209</v>
      </c>
      <c r="G2278" s="9" t="s">
        <v>221</v>
      </c>
      <c r="H2278" s="9" t="n">
        <v>4200</v>
      </c>
      <c r="I2278" s="29" t="n">
        <v>1.5</v>
      </c>
      <c r="J2278" s="9" t="n">
        <v>0</v>
      </c>
      <c r="K2278" s="30"/>
      <c r="L2278" s="30"/>
      <c r="M2278" s="30"/>
      <c r="N2278" s="30"/>
      <c r="O2278" s="30"/>
      <c r="P2278" s="30"/>
      <c r="Q2278" s="30"/>
      <c r="R2278" s="30"/>
      <c r="S2278" s="30"/>
      <c r="T2278" s="30"/>
      <c r="U2278" s="21" t="str">
        <f aca="false">IF(COUNT(K2278:T2278)=0,"SOURCE EMPTY / INDUSTRIAL ONLY",IF(MIN(K2278:T2278)=1,"SERVICE READY","HOLD"))</f>
        <v>SOURCE EMPTY / INDUSTRIAL ONLY</v>
      </c>
      <c r="V2278" s="9" t="n">
        <f aca="false">IF(U2278="SERVICE READY",1,0)</f>
        <v>0</v>
      </c>
      <c r="W2278" s="6"/>
      <c r="X2278" s="6"/>
      <c r="Y2278" s="6"/>
      <c r="Z2278" s="6"/>
    </row>
    <row r="2279" customFormat="false" ht="15" hidden="false" customHeight="false" outlineLevel="0" collapsed="false">
      <c r="A2279" s="9" t="s">
        <v>2537</v>
      </c>
      <c r="B2279" s="9" t="s">
        <v>2439</v>
      </c>
      <c r="C2279" s="9" t="s">
        <v>2440</v>
      </c>
      <c r="D2279" s="9" t="s">
        <v>2185</v>
      </c>
      <c r="E2279" s="9" t="s">
        <v>2027</v>
      </c>
      <c r="F2279" s="9" t="s">
        <v>211</v>
      </c>
      <c r="G2279" s="9" t="s">
        <v>221</v>
      </c>
      <c r="H2279" s="9" t="n">
        <v>4200</v>
      </c>
      <c r="I2279" s="29" t="n">
        <v>1.5</v>
      </c>
      <c r="J2279" s="9" t="n">
        <v>0</v>
      </c>
      <c r="K2279" s="30"/>
      <c r="L2279" s="30"/>
      <c r="M2279" s="30"/>
      <c r="N2279" s="30"/>
      <c r="O2279" s="30"/>
      <c r="P2279" s="30"/>
      <c r="Q2279" s="30"/>
      <c r="R2279" s="30"/>
      <c r="S2279" s="30"/>
      <c r="T2279" s="30"/>
      <c r="U2279" s="21" t="str">
        <f aca="false">IF(COUNT(K2279:T2279)=0,"SOURCE EMPTY / INDUSTRIAL ONLY",IF(MIN(K2279:T2279)=1,"SERVICE READY","HOLD"))</f>
        <v>SOURCE EMPTY / INDUSTRIAL ONLY</v>
      </c>
      <c r="V2279" s="9" t="n">
        <f aca="false">IF(U2279="SERVICE READY",1,0)</f>
        <v>0</v>
      </c>
      <c r="W2279" s="6"/>
      <c r="X2279" s="6"/>
      <c r="Y2279" s="6"/>
      <c r="Z2279" s="6"/>
    </row>
    <row r="2280" customFormat="false" ht="15" hidden="false" customHeight="false" outlineLevel="0" collapsed="false">
      <c r="A2280" s="9" t="s">
        <v>2538</v>
      </c>
      <c r="B2280" s="9" t="s">
        <v>2439</v>
      </c>
      <c r="C2280" s="9" t="s">
        <v>2440</v>
      </c>
      <c r="D2280" s="9" t="s">
        <v>2185</v>
      </c>
      <c r="E2280" s="9" t="s">
        <v>2027</v>
      </c>
      <c r="F2280" s="9" t="s">
        <v>197</v>
      </c>
      <c r="G2280" s="9" t="s">
        <v>221</v>
      </c>
      <c r="H2280" s="9" t="n">
        <v>4200</v>
      </c>
      <c r="I2280" s="29" t="n">
        <v>1.5</v>
      </c>
      <c r="J2280" s="9" t="n">
        <v>0</v>
      </c>
      <c r="K2280" s="30"/>
      <c r="L2280" s="30"/>
      <c r="M2280" s="30"/>
      <c r="N2280" s="30"/>
      <c r="O2280" s="30"/>
      <c r="P2280" s="30"/>
      <c r="Q2280" s="30"/>
      <c r="R2280" s="30"/>
      <c r="S2280" s="30"/>
      <c r="T2280" s="30"/>
      <c r="U2280" s="21" t="str">
        <f aca="false">IF(COUNT(K2280:T2280)=0,"SOURCE EMPTY / INDUSTRIAL ONLY",IF(MIN(K2280:T2280)=1,"SERVICE READY","HOLD"))</f>
        <v>SOURCE EMPTY / INDUSTRIAL ONLY</v>
      </c>
      <c r="V2280" s="9" t="n">
        <f aca="false">IF(U2280="SERVICE READY",1,0)</f>
        <v>0</v>
      </c>
      <c r="W2280" s="6"/>
      <c r="X2280" s="6"/>
      <c r="Y2280" s="6"/>
      <c r="Z2280" s="6"/>
    </row>
    <row r="2281" customFormat="false" ht="15" hidden="false" customHeight="false" outlineLevel="0" collapsed="false">
      <c r="A2281" s="9" t="s">
        <v>2539</v>
      </c>
      <c r="B2281" s="9" t="s">
        <v>2439</v>
      </c>
      <c r="C2281" s="9" t="s">
        <v>2440</v>
      </c>
      <c r="D2281" s="9" t="s">
        <v>2185</v>
      </c>
      <c r="E2281" s="9" t="s">
        <v>2027</v>
      </c>
      <c r="F2281" s="9" t="s">
        <v>200</v>
      </c>
      <c r="G2281" s="9" t="s">
        <v>221</v>
      </c>
      <c r="H2281" s="9" t="n">
        <v>4200</v>
      </c>
      <c r="I2281" s="29" t="n">
        <v>1.5</v>
      </c>
      <c r="J2281" s="9" t="n">
        <v>0</v>
      </c>
      <c r="K2281" s="30"/>
      <c r="L2281" s="30"/>
      <c r="M2281" s="30"/>
      <c r="N2281" s="30"/>
      <c r="O2281" s="30"/>
      <c r="P2281" s="30"/>
      <c r="Q2281" s="30"/>
      <c r="R2281" s="30"/>
      <c r="S2281" s="30"/>
      <c r="T2281" s="30"/>
      <c r="U2281" s="21" t="str">
        <f aca="false">IF(COUNT(K2281:T2281)=0,"SOURCE EMPTY / INDUSTRIAL ONLY",IF(MIN(K2281:T2281)=1,"SERVICE READY","HOLD"))</f>
        <v>SOURCE EMPTY / INDUSTRIAL ONLY</v>
      </c>
      <c r="V2281" s="9" t="n">
        <f aca="false">IF(U2281="SERVICE READY",1,0)</f>
        <v>0</v>
      </c>
      <c r="W2281" s="6"/>
      <c r="X2281" s="6"/>
      <c r="Y2281" s="6"/>
      <c r="Z2281" s="6"/>
    </row>
    <row r="2282" customFormat="false" ht="15" hidden="false" customHeight="false" outlineLevel="0" collapsed="false">
      <c r="A2282" s="9" t="s">
        <v>2540</v>
      </c>
      <c r="B2282" s="9" t="s">
        <v>2439</v>
      </c>
      <c r="C2282" s="9" t="s">
        <v>2440</v>
      </c>
      <c r="D2282" s="9" t="s">
        <v>2185</v>
      </c>
      <c r="E2282" s="9" t="s">
        <v>2027</v>
      </c>
      <c r="F2282" s="9" t="s">
        <v>203</v>
      </c>
      <c r="G2282" s="9" t="s">
        <v>221</v>
      </c>
      <c r="H2282" s="9" t="n">
        <v>4200</v>
      </c>
      <c r="I2282" s="29" t="n">
        <v>1.5</v>
      </c>
      <c r="J2282" s="9" t="n">
        <v>0</v>
      </c>
      <c r="K2282" s="30"/>
      <c r="L2282" s="30"/>
      <c r="M2282" s="30"/>
      <c r="N2282" s="30"/>
      <c r="O2282" s="30"/>
      <c r="P2282" s="30"/>
      <c r="Q2282" s="30"/>
      <c r="R2282" s="30"/>
      <c r="S2282" s="30"/>
      <c r="T2282" s="30"/>
      <c r="U2282" s="21" t="str">
        <f aca="false">IF(COUNT(K2282:T2282)=0,"SOURCE EMPTY / INDUSTRIAL ONLY",IF(MIN(K2282:T2282)=1,"SERVICE READY","HOLD"))</f>
        <v>SOURCE EMPTY / INDUSTRIAL ONLY</v>
      </c>
      <c r="V2282" s="9" t="n">
        <f aca="false">IF(U2282="SERVICE READY",1,0)</f>
        <v>0</v>
      </c>
      <c r="W2282" s="6"/>
      <c r="X2282" s="6"/>
      <c r="Y2282" s="6"/>
      <c r="Z2282" s="6"/>
    </row>
    <row r="2283" customFormat="false" ht="15" hidden="false" customHeight="false" outlineLevel="0" collapsed="false">
      <c r="A2283" s="9" t="s">
        <v>2541</v>
      </c>
      <c r="B2283" s="9" t="s">
        <v>2439</v>
      </c>
      <c r="C2283" s="9" t="s">
        <v>2440</v>
      </c>
      <c r="D2283" s="9" t="s">
        <v>2185</v>
      </c>
      <c r="E2283" s="9" t="s">
        <v>2027</v>
      </c>
      <c r="F2283" s="9" t="s">
        <v>205</v>
      </c>
      <c r="G2283" s="9" t="s">
        <v>221</v>
      </c>
      <c r="H2283" s="9" t="n">
        <v>4200</v>
      </c>
      <c r="I2283" s="29" t="n">
        <v>1.5</v>
      </c>
      <c r="J2283" s="9" t="n">
        <v>0</v>
      </c>
      <c r="K2283" s="30"/>
      <c r="L2283" s="30"/>
      <c r="M2283" s="30"/>
      <c r="N2283" s="30"/>
      <c r="O2283" s="30"/>
      <c r="P2283" s="30"/>
      <c r="Q2283" s="30"/>
      <c r="R2283" s="30"/>
      <c r="S2283" s="30"/>
      <c r="T2283" s="30"/>
      <c r="U2283" s="21" t="str">
        <f aca="false">IF(COUNT(K2283:T2283)=0,"SOURCE EMPTY / INDUSTRIAL ONLY",IF(MIN(K2283:T2283)=1,"SERVICE READY","HOLD"))</f>
        <v>SOURCE EMPTY / INDUSTRIAL ONLY</v>
      </c>
      <c r="V2283" s="9" t="n">
        <f aca="false">IF(U2283="SERVICE READY",1,0)</f>
        <v>0</v>
      </c>
      <c r="W2283" s="6"/>
      <c r="X2283" s="6"/>
      <c r="Y2283" s="6"/>
      <c r="Z2283" s="6"/>
    </row>
    <row r="2284" customFormat="false" ht="15" hidden="false" customHeight="false" outlineLevel="0" collapsed="false">
      <c r="A2284" s="9" t="s">
        <v>2542</v>
      </c>
      <c r="B2284" s="9" t="s">
        <v>2439</v>
      </c>
      <c r="C2284" s="9" t="s">
        <v>2440</v>
      </c>
      <c r="D2284" s="9" t="s">
        <v>2185</v>
      </c>
      <c r="E2284" s="9" t="s">
        <v>2027</v>
      </c>
      <c r="F2284" s="9" t="s">
        <v>207</v>
      </c>
      <c r="G2284" s="9" t="s">
        <v>221</v>
      </c>
      <c r="H2284" s="9" t="n">
        <v>4200</v>
      </c>
      <c r="I2284" s="29" t="n">
        <v>1.5</v>
      </c>
      <c r="J2284" s="9" t="n">
        <v>0</v>
      </c>
      <c r="K2284" s="30"/>
      <c r="L2284" s="30"/>
      <c r="M2284" s="30"/>
      <c r="N2284" s="30"/>
      <c r="O2284" s="30"/>
      <c r="P2284" s="30"/>
      <c r="Q2284" s="30"/>
      <c r="R2284" s="30"/>
      <c r="S2284" s="30"/>
      <c r="T2284" s="30"/>
      <c r="U2284" s="21" t="str">
        <f aca="false">IF(COUNT(K2284:T2284)=0,"SOURCE EMPTY / INDUSTRIAL ONLY",IF(MIN(K2284:T2284)=1,"SERVICE READY","HOLD"))</f>
        <v>SOURCE EMPTY / INDUSTRIAL ONLY</v>
      </c>
      <c r="V2284" s="9" t="n">
        <f aca="false">IF(U2284="SERVICE READY",1,0)</f>
        <v>0</v>
      </c>
      <c r="W2284" s="6"/>
      <c r="X2284" s="6"/>
      <c r="Y2284" s="6"/>
      <c r="Z2284" s="6"/>
    </row>
    <row r="2285" customFormat="false" ht="15" hidden="false" customHeight="false" outlineLevel="0" collapsed="false">
      <c r="A2285" s="9" t="s">
        <v>2543</v>
      </c>
      <c r="B2285" s="9" t="s">
        <v>2544</v>
      </c>
      <c r="C2285" s="9" t="s">
        <v>2545</v>
      </c>
      <c r="D2285" s="9" t="s">
        <v>2185</v>
      </c>
      <c r="E2285" s="9" t="s">
        <v>2027</v>
      </c>
      <c r="F2285" s="9" t="s">
        <v>197</v>
      </c>
      <c r="G2285" s="9" t="s">
        <v>198</v>
      </c>
      <c r="H2285" s="9" t="n">
        <v>750</v>
      </c>
      <c r="I2285" s="29" t="n">
        <v>0.8</v>
      </c>
      <c r="J2285" s="9" t="n">
        <v>1</v>
      </c>
      <c r="K2285" s="30"/>
      <c r="L2285" s="30"/>
      <c r="M2285" s="30"/>
      <c r="N2285" s="30"/>
      <c r="O2285" s="30"/>
      <c r="P2285" s="30"/>
      <c r="Q2285" s="30"/>
      <c r="R2285" s="30"/>
      <c r="S2285" s="30"/>
      <c r="T2285" s="30"/>
      <c r="U2285" s="21" t="str">
        <f aca="false">IF(COUNT(K2285:T2285)=0,"SOURCE EMPTY / INDUSTRIAL ONLY",IF(MIN(K2285:T2285)=1,"SERVICE READY","HOLD"))</f>
        <v>SOURCE EMPTY / INDUSTRIAL ONLY</v>
      </c>
      <c r="V2285" s="9" t="n">
        <f aca="false">IF(U2285="SERVICE READY",1,0)</f>
        <v>0</v>
      </c>
      <c r="W2285" s="6"/>
      <c r="X2285" s="6"/>
      <c r="Y2285" s="6"/>
      <c r="Z2285" s="6"/>
    </row>
    <row r="2286" customFormat="false" ht="15" hidden="false" customHeight="false" outlineLevel="0" collapsed="false">
      <c r="A2286" s="9" t="s">
        <v>2546</v>
      </c>
      <c r="B2286" s="9" t="s">
        <v>2544</v>
      </c>
      <c r="C2286" s="9" t="s">
        <v>2545</v>
      </c>
      <c r="D2286" s="9" t="s">
        <v>2185</v>
      </c>
      <c r="E2286" s="9" t="s">
        <v>2027</v>
      </c>
      <c r="F2286" s="9" t="s">
        <v>200</v>
      </c>
      <c r="G2286" s="9" t="s">
        <v>201</v>
      </c>
      <c r="H2286" s="9" t="n">
        <v>750</v>
      </c>
      <c r="I2286" s="29" t="n">
        <v>0.8</v>
      </c>
      <c r="J2286" s="9" t="n">
        <v>1</v>
      </c>
      <c r="K2286" s="30"/>
      <c r="L2286" s="30"/>
      <c r="M2286" s="30"/>
      <c r="N2286" s="30"/>
      <c r="O2286" s="30"/>
      <c r="P2286" s="30"/>
      <c r="Q2286" s="30"/>
      <c r="R2286" s="30"/>
      <c r="S2286" s="30"/>
      <c r="T2286" s="30"/>
      <c r="U2286" s="21" t="str">
        <f aca="false">IF(COUNT(K2286:T2286)=0,"SOURCE EMPTY / INDUSTRIAL ONLY",IF(MIN(K2286:T2286)=1,"SERVICE READY","HOLD"))</f>
        <v>SOURCE EMPTY / INDUSTRIAL ONLY</v>
      </c>
      <c r="V2286" s="9" t="n">
        <f aca="false">IF(U2286="SERVICE READY",1,0)</f>
        <v>0</v>
      </c>
      <c r="W2286" s="6"/>
      <c r="X2286" s="6"/>
      <c r="Y2286" s="6"/>
      <c r="Z2286" s="6"/>
    </row>
    <row r="2287" customFormat="false" ht="15" hidden="false" customHeight="false" outlineLevel="0" collapsed="false">
      <c r="A2287" s="9" t="s">
        <v>2547</v>
      </c>
      <c r="B2287" s="9" t="s">
        <v>2544</v>
      </c>
      <c r="C2287" s="9" t="s">
        <v>2545</v>
      </c>
      <c r="D2287" s="9" t="s">
        <v>2185</v>
      </c>
      <c r="E2287" s="9" t="s">
        <v>2027</v>
      </c>
      <c r="F2287" s="9" t="s">
        <v>203</v>
      </c>
      <c r="G2287" s="9" t="s">
        <v>198</v>
      </c>
      <c r="H2287" s="9" t="n">
        <v>750</v>
      </c>
      <c r="I2287" s="29" t="n">
        <v>0.8</v>
      </c>
      <c r="J2287" s="9" t="n">
        <v>1</v>
      </c>
      <c r="K2287" s="30"/>
      <c r="L2287" s="30"/>
      <c r="M2287" s="30"/>
      <c r="N2287" s="30"/>
      <c r="O2287" s="30"/>
      <c r="P2287" s="30"/>
      <c r="Q2287" s="30"/>
      <c r="R2287" s="30"/>
      <c r="S2287" s="30"/>
      <c r="T2287" s="30"/>
      <c r="U2287" s="21" t="str">
        <f aca="false">IF(COUNT(K2287:T2287)=0,"SOURCE EMPTY / INDUSTRIAL ONLY",IF(MIN(K2287:T2287)=1,"SERVICE READY","HOLD"))</f>
        <v>SOURCE EMPTY / INDUSTRIAL ONLY</v>
      </c>
      <c r="V2287" s="9" t="n">
        <f aca="false">IF(U2287="SERVICE READY",1,0)</f>
        <v>0</v>
      </c>
      <c r="W2287" s="6"/>
      <c r="X2287" s="6"/>
      <c r="Y2287" s="6"/>
      <c r="Z2287" s="6"/>
    </row>
    <row r="2288" customFormat="false" ht="15" hidden="false" customHeight="false" outlineLevel="0" collapsed="false">
      <c r="A2288" s="9" t="s">
        <v>2548</v>
      </c>
      <c r="B2288" s="9" t="s">
        <v>2544</v>
      </c>
      <c r="C2288" s="9" t="s">
        <v>2545</v>
      </c>
      <c r="D2288" s="9" t="s">
        <v>2185</v>
      </c>
      <c r="E2288" s="9" t="s">
        <v>2027</v>
      </c>
      <c r="F2288" s="9" t="s">
        <v>205</v>
      </c>
      <c r="G2288" s="9" t="s">
        <v>201</v>
      </c>
      <c r="H2288" s="9" t="n">
        <v>750</v>
      </c>
      <c r="I2288" s="29" t="n">
        <v>0.8</v>
      </c>
      <c r="J2288" s="9" t="n">
        <v>1</v>
      </c>
      <c r="K2288" s="30"/>
      <c r="L2288" s="30"/>
      <c r="M2288" s="30"/>
      <c r="N2288" s="30"/>
      <c r="O2288" s="30"/>
      <c r="P2288" s="30"/>
      <c r="Q2288" s="30"/>
      <c r="R2288" s="30"/>
      <c r="S2288" s="30"/>
      <c r="T2288" s="30"/>
      <c r="U2288" s="21" t="str">
        <f aca="false">IF(COUNT(K2288:T2288)=0,"SOURCE EMPTY / INDUSTRIAL ONLY",IF(MIN(K2288:T2288)=1,"SERVICE READY","HOLD"))</f>
        <v>SOURCE EMPTY / INDUSTRIAL ONLY</v>
      </c>
      <c r="V2288" s="9" t="n">
        <f aca="false">IF(U2288="SERVICE READY",1,0)</f>
        <v>0</v>
      </c>
      <c r="W2288" s="6"/>
      <c r="X2288" s="6"/>
      <c r="Y2288" s="6"/>
      <c r="Z2288" s="6"/>
    </row>
    <row r="2289" customFormat="false" ht="15" hidden="false" customHeight="false" outlineLevel="0" collapsed="false">
      <c r="A2289" s="9" t="s">
        <v>2549</v>
      </c>
      <c r="B2289" s="9" t="s">
        <v>2544</v>
      </c>
      <c r="C2289" s="9" t="s">
        <v>2545</v>
      </c>
      <c r="D2289" s="9" t="s">
        <v>2185</v>
      </c>
      <c r="E2289" s="9" t="s">
        <v>2027</v>
      </c>
      <c r="F2289" s="9" t="s">
        <v>207</v>
      </c>
      <c r="G2289" s="9" t="s">
        <v>198</v>
      </c>
      <c r="H2289" s="9" t="n">
        <v>750</v>
      </c>
      <c r="I2289" s="29" t="n">
        <v>0.8</v>
      </c>
      <c r="J2289" s="9" t="n">
        <v>1</v>
      </c>
      <c r="K2289" s="30"/>
      <c r="L2289" s="30"/>
      <c r="M2289" s="30"/>
      <c r="N2289" s="30"/>
      <c r="O2289" s="30"/>
      <c r="P2289" s="30"/>
      <c r="Q2289" s="30"/>
      <c r="R2289" s="30"/>
      <c r="S2289" s="30"/>
      <c r="T2289" s="30"/>
      <c r="U2289" s="21" t="str">
        <f aca="false">IF(COUNT(K2289:T2289)=0,"SOURCE EMPTY / INDUSTRIAL ONLY",IF(MIN(K2289:T2289)=1,"SERVICE READY","HOLD"))</f>
        <v>SOURCE EMPTY / INDUSTRIAL ONLY</v>
      </c>
      <c r="V2289" s="9" t="n">
        <f aca="false">IF(U2289="SERVICE READY",1,0)</f>
        <v>0</v>
      </c>
      <c r="W2289" s="6"/>
      <c r="X2289" s="6"/>
      <c r="Y2289" s="6"/>
      <c r="Z2289" s="6"/>
    </row>
    <row r="2290" customFormat="false" ht="15" hidden="false" customHeight="false" outlineLevel="0" collapsed="false">
      <c r="A2290" s="9" t="s">
        <v>2550</v>
      </c>
      <c r="B2290" s="9" t="s">
        <v>2544</v>
      </c>
      <c r="C2290" s="9" t="s">
        <v>2545</v>
      </c>
      <c r="D2290" s="9" t="s">
        <v>2185</v>
      </c>
      <c r="E2290" s="9" t="s">
        <v>2027</v>
      </c>
      <c r="F2290" s="9" t="s">
        <v>209</v>
      </c>
      <c r="G2290" s="9" t="s">
        <v>201</v>
      </c>
      <c r="H2290" s="9" t="n">
        <v>750</v>
      </c>
      <c r="I2290" s="29" t="n">
        <v>0.8</v>
      </c>
      <c r="J2290" s="9" t="n">
        <v>1</v>
      </c>
      <c r="K2290" s="30"/>
      <c r="L2290" s="30"/>
      <c r="M2290" s="30"/>
      <c r="N2290" s="30"/>
      <c r="O2290" s="30"/>
      <c r="P2290" s="30"/>
      <c r="Q2290" s="30"/>
      <c r="R2290" s="30"/>
      <c r="S2290" s="30"/>
      <c r="T2290" s="30"/>
      <c r="U2290" s="21" t="str">
        <f aca="false">IF(COUNT(K2290:T2290)=0,"SOURCE EMPTY / INDUSTRIAL ONLY",IF(MIN(K2290:T2290)=1,"SERVICE READY","HOLD"))</f>
        <v>SOURCE EMPTY / INDUSTRIAL ONLY</v>
      </c>
      <c r="V2290" s="9" t="n">
        <f aca="false">IF(U2290="SERVICE READY",1,0)</f>
        <v>0</v>
      </c>
      <c r="W2290" s="6"/>
      <c r="X2290" s="6"/>
      <c r="Y2290" s="6"/>
      <c r="Z2290" s="6"/>
    </row>
    <row r="2291" customFormat="false" ht="15" hidden="false" customHeight="false" outlineLevel="0" collapsed="false">
      <c r="A2291" s="9" t="s">
        <v>2551</v>
      </c>
      <c r="B2291" s="9" t="s">
        <v>2544</v>
      </c>
      <c r="C2291" s="9" t="s">
        <v>2545</v>
      </c>
      <c r="D2291" s="9" t="s">
        <v>2185</v>
      </c>
      <c r="E2291" s="9" t="s">
        <v>2027</v>
      </c>
      <c r="F2291" s="9" t="s">
        <v>211</v>
      </c>
      <c r="G2291" s="9" t="s">
        <v>198</v>
      </c>
      <c r="H2291" s="9" t="n">
        <v>750</v>
      </c>
      <c r="I2291" s="29" t="n">
        <v>0.8</v>
      </c>
      <c r="J2291" s="9" t="n">
        <v>1</v>
      </c>
      <c r="K2291" s="30"/>
      <c r="L2291" s="30"/>
      <c r="M2291" s="30"/>
      <c r="N2291" s="30"/>
      <c r="O2291" s="30"/>
      <c r="P2291" s="30"/>
      <c r="Q2291" s="30"/>
      <c r="R2291" s="30"/>
      <c r="S2291" s="30"/>
      <c r="T2291" s="30"/>
      <c r="U2291" s="21" t="str">
        <f aca="false">IF(COUNT(K2291:T2291)=0,"SOURCE EMPTY / INDUSTRIAL ONLY",IF(MIN(K2291:T2291)=1,"SERVICE READY","HOLD"))</f>
        <v>SOURCE EMPTY / INDUSTRIAL ONLY</v>
      </c>
      <c r="V2291" s="9" t="n">
        <f aca="false">IF(U2291="SERVICE READY",1,0)</f>
        <v>0</v>
      </c>
      <c r="W2291" s="6"/>
      <c r="X2291" s="6"/>
      <c r="Y2291" s="6"/>
      <c r="Z2291" s="6"/>
    </row>
    <row r="2292" customFormat="false" ht="15" hidden="false" customHeight="false" outlineLevel="0" collapsed="false">
      <c r="A2292" s="9" t="s">
        <v>2552</v>
      </c>
      <c r="B2292" s="9" t="s">
        <v>2544</v>
      </c>
      <c r="C2292" s="9" t="s">
        <v>2545</v>
      </c>
      <c r="D2292" s="9" t="s">
        <v>2185</v>
      </c>
      <c r="E2292" s="9" t="s">
        <v>2027</v>
      </c>
      <c r="F2292" s="9" t="s">
        <v>197</v>
      </c>
      <c r="G2292" s="9" t="s">
        <v>201</v>
      </c>
      <c r="H2292" s="9" t="n">
        <v>750</v>
      </c>
      <c r="I2292" s="29" t="n">
        <v>0.8</v>
      </c>
      <c r="J2292" s="9" t="n">
        <v>1</v>
      </c>
      <c r="K2292" s="30"/>
      <c r="L2292" s="30"/>
      <c r="M2292" s="30"/>
      <c r="N2292" s="30"/>
      <c r="O2292" s="30"/>
      <c r="P2292" s="30"/>
      <c r="Q2292" s="30"/>
      <c r="R2292" s="30"/>
      <c r="S2292" s="30"/>
      <c r="T2292" s="30"/>
      <c r="U2292" s="21" t="str">
        <f aca="false">IF(COUNT(K2292:T2292)=0,"SOURCE EMPTY / INDUSTRIAL ONLY",IF(MIN(K2292:T2292)=1,"SERVICE READY","HOLD"))</f>
        <v>SOURCE EMPTY / INDUSTRIAL ONLY</v>
      </c>
      <c r="V2292" s="9" t="n">
        <f aca="false">IF(U2292="SERVICE READY",1,0)</f>
        <v>0</v>
      </c>
      <c r="W2292" s="6"/>
      <c r="X2292" s="6"/>
      <c r="Y2292" s="6"/>
      <c r="Z2292" s="6"/>
    </row>
    <row r="2293" customFormat="false" ht="15" hidden="false" customHeight="false" outlineLevel="0" collapsed="false">
      <c r="A2293" s="9" t="s">
        <v>2553</v>
      </c>
      <c r="B2293" s="9" t="s">
        <v>2544</v>
      </c>
      <c r="C2293" s="9" t="s">
        <v>2545</v>
      </c>
      <c r="D2293" s="9" t="s">
        <v>2185</v>
      </c>
      <c r="E2293" s="9" t="s">
        <v>2027</v>
      </c>
      <c r="F2293" s="9" t="s">
        <v>200</v>
      </c>
      <c r="G2293" s="9" t="s">
        <v>198</v>
      </c>
      <c r="H2293" s="9" t="n">
        <v>750</v>
      </c>
      <c r="I2293" s="29" t="n">
        <v>0.8</v>
      </c>
      <c r="J2293" s="9" t="n">
        <v>1</v>
      </c>
      <c r="K2293" s="30"/>
      <c r="L2293" s="30"/>
      <c r="M2293" s="30"/>
      <c r="N2293" s="30"/>
      <c r="O2293" s="30"/>
      <c r="P2293" s="30"/>
      <c r="Q2293" s="30"/>
      <c r="R2293" s="30"/>
      <c r="S2293" s="30"/>
      <c r="T2293" s="30"/>
      <c r="U2293" s="21" t="str">
        <f aca="false">IF(COUNT(K2293:T2293)=0,"SOURCE EMPTY / INDUSTRIAL ONLY",IF(MIN(K2293:T2293)=1,"SERVICE READY","HOLD"))</f>
        <v>SOURCE EMPTY / INDUSTRIAL ONLY</v>
      </c>
      <c r="V2293" s="9" t="n">
        <f aca="false">IF(U2293="SERVICE READY",1,0)</f>
        <v>0</v>
      </c>
      <c r="W2293" s="6"/>
      <c r="X2293" s="6"/>
      <c r="Y2293" s="6"/>
      <c r="Z2293" s="6"/>
    </row>
    <row r="2294" customFormat="false" ht="15" hidden="false" customHeight="false" outlineLevel="0" collapsed="false">
      <c r="A2294" s="9" t="s">
        <v>2554</v>
      </c>
      <c r="B2294" s="9" t="s">
        <v>2544</v>
      </c>
      <c r="C2294" s="9" t="s">
        <v>2545</v>
      </c>
      <c r="D2294" s="9" t="s">
        <v>2185</v>
      </c>
      <c r="E2294" s="9" t="s">
        <v>2027</v>
      </c>
      <c r="F2294" s="9" t="s">
        <v>203</v>
      </c>
      <c r="G2294" s="9" t="s">
        <v>201</v>
      </c>
      <c r="H2294" s="9" t="n">
        <v>750</v>
      </c>
      <c r="I2294" s="29" t="n">
        <v>0.8</v>
      </c>
      <c r="J2294" s="9" t="n">
        <v>1</v>
      </c>
      <c r="K2294" s="30"/>
      <c r="L2294" s="30"/>
      <c r="M2294" s="30"/>
      <c r="N2294" s="30"/>
      <c r="O2294" s="30"/>
      <c r="P2294" s="30"/>
      <c r="Q2294" s="30"/>
      <c r="R2294" s="30"/>
      <c r="S2294" s="30"/>
      <c r="T2294" s="30"/>
      <c r="U2294" s="21" t="str">
        <f aca="false">IF(COUNT(K2294:T2294)=0,"SOURCE EMPTY / INDUSTRIAL ONLY",IF(MIN(K2294:T2294)=1,"SERVICE READY","HOLD"))</f>
        <v>SOURCE EMPTY / INDUSTRIAL ONLY</v>
      </c>
      <c r="V2294" s="9" t="n">
        <f aca="false">IF(U2294="SERVICE READY",1,0)</f>
        <v>0</v>
      </c>
      <c r="W2294" s="6"/>
      <c r="X2294" s="6"/>
      <c r="Y2294" s="6"/>
      <c r="Z2294" s="6"/>
    </row>
    <row r="2295" customFormat="false" ht="15" hidden="false" customHeight="false" outlineLevel="0" collapsed="false">
      <c r="A2295" s="9" t="s">
        <v>2555</v>
      </c>
      <c r="B2295" s="9" t="s">
        <v>2544</v>
      </c>
      <c r="C2295" s="9" t="s">
        <v>2545</v>
      </c>
      <c r="D2295" s="9" t="s">
        <v>2185</v>
      </c>
      <c r="E2295" s="9" t="s">
        <v>2027</v>
      </c>
      <c r="F2295" s="9" t="s">
        <v>205</v>
      </c>
      <c r="G2295" s="9" t="s">
        <v>198</v>
      </c>
      <c r="H2295" s="9" t="n">
        <v>750</v>
      </c>
      <c r="I2295" s="29" t="n">
        <v>0.8</v>
      </c>
      <c r="J2295" s="9" t="n">
        <v>1</v>
      </c>
      <c r="K2295" s="30"/>
      <c r="L2295" s="30"/>
      <c r="M2295" s="30"/>
      <c r="N2295" s="30"/>
      <c r="O2295" s="30"/>
      <c r="P2295" s="30"/>
      <c r="Q2295" s="30"/>
      <c r="R2295" s="30"/>
      <c r="S2295" s="30"/>
      <c r="T2295" s="30"/>
      <c r="U2295" s="21" t="str">
        <f aca="false">IF(COUNT(K2295:T2295)=0,"SOURCE EMPTY / INDUSTRIAL ONLY",IF(MIN(K2295:T2295)=1,"SERVICE READY","HOLD"))</f>
        <v>SOURCE EMPTY / INDUSTRIAL ONLY</v>
      </c>
      <c r="V2295" s="9" t="n">
        <f aca="false">IF(U2295="SERVICE READY",1,0)</f>
        <v>0</v>
      </c>
      <c r="W2295" s="6"/>
      <c r="X2295" s="6"/>
      <c r="Y2295" s="6"/>
      <c r="Z2295" s="6"/>
    </row>
    <row r="2296" customFormat="false" ht="15" hidden="false" customHeight="false" outlineLevel="0" collapsed="false">
      <c r="A2296" s="9" t="s">
        <v>2556</v>
      </c>
      <c r="B2296" s="9" t="s">
        <v>2544</v>
      </c>
      <c r="C2296" s="9" t="s">
        <v>2545</v>
      </c>
      <c r="D2296" s="9" t="s">
        <v>2185</v>
      </c>
      <c r="E2296" s="9" t="s">
        <v>2027</v>
      </c>
      <c r="F2296" s="9" t="s">
        <v>207</v>
      </c>
      <c r="G2296" s="9" t="s">
        <v>201</v>
      </c>
      <c r="H2296" s="9" t="n">
        <v>750</v>
      </c>
      <c r="I2296" s="29" t="n">
        <v>0.8</v>
      </c>
      <c r="J2296" s="9" t="n">
        <v>1</v>
      </c>
      <c r="K2296" s="30"/>
      <c r="L2296" s="30"/>
      <c r="M2296" s="30"/>
      <c r="N2296" s="30"/>
      <c r="O2296" s="30"/>
      <c r="P2296" s="30"/>
      <c r="Q2296" s="30"/>
      <c r="R2296" s="30"/>
      <c r="S2296" s="30"/>
      <c r="T2296" s="30"/>
      <c r="U2296" s="21" t="str">
        <f aca="false">IF(COUNT(K2296:T2296)=0,"SOURCE EMPTY / INDUSTRIAL ONLY",IF(MIN(K2296:T2296)=1,"SERVICE READY","HOLD"))</f>
        <v>SOURCE EMPTY / INDUSTRIAL ONLY</v>
      </c>
      <c r="V2296" s="9" t="n">
        <f aca="false">IF(U2296="SERVICE READY",1,0)</f>
        <v>0</v>
      </c>
      <c r="W2296" s="6"/>
      <c r="X2296" s="6"/>
      <c r="Y2296" s="6"/>
      <c r="Z2296" s="6"/>
    </row>
    <row r="2297" customFormat="false" ht="15" hidden="false" customHeight="false" outlineLevel="0" collapsed="false">
      <c r="A2297" s="9" t="s">
        <v>2557</v>
      </c>
      <c r="B2297" s="9" t="s">
        <v>2544</v>
      </c>
      <c r="C2297" s="9" t="s">
        <v>2545</v>
      </c>
      <c r="D2297" s="9" t="s">
        <v>2185</v>
      </c>
      <c r="E2297" s="9" t="s">
        <v>2027</v>
      </c>
      <c r="F2297" s="9" t="s">
        <v>209</v>
      </c>
      <c r="G2297" s="9" t="s">
        <v>198</v>
      </c>
      <c r="H2297" s="9" t="n">
        <v>750</v>
      </c>
      <c r="I2297" s="29" t="n">
        <v>0.8</v>
      </c>
      <c r="J2297" s="9" t="n">
        <v>1</v>
      </c>
      <c r="K2297" s="30"/>
      <c r="L2297" s="30"/>
      <c r="M2297" s="30"/>
      <c r="N2297" s="30"/>
      <c r="O2297" s="30"/>
      <c r="P2297" s="30"/>
      <c r="Q2297" s="30"/>
      <c r="R2297" s="30"/>
      <c r="S2297" s="30"/>
      <c r="T2297" s="30"/>
      <c r="U2297" s="21" t="str">
        <f aca="false">IF(COUNT(K2297:T2297)=0,"SOURCE EMPTY / INDUSTRIAL ONLY",IF(MIN(K2297:T2297)=1,"SERVICE READY","HOLD"))</f>
        <v>SOURCE EMPTY / INDUSTRIAL ONLY</v>
      </c>
      <c r="V2297" s="9" t="n">
        <f aca="false">IF(U2297="SERVICE READY",1,0)</f>
        <v>0</v>
      </c>
      <c r="W2297" s="6"/>
      <c r="X2297" s="6"/>
      <c r="Y2297" s="6"/>
      <c r="Z2297" s="6"/>
    </row>
    <row r="2298" customFormat="false" ht="15" hidden="false" customHeight="false" outlineLevel="0" collapsed="false">
      <c r="A2298" s="9" t="s">
        <v>2558</v>
      </c>
      <c r="B2298" s="9" t="s">
        <v>2544</v>
      </c>
      <c r="C2298" s="9" t="s">
        <v>2545</v>
      </c>
      <c r="D2298" s="9" t="s">
        <v>2185</v>
      </c>
      <c r="E2298" s="9" t="s">
        <v>2027</v>
      </c>
      <c r="F2298" s="9" t="s">
        <v>211</v>
      </c>
      <c r="G2298" s="9" t="s">
        <v>201</v>
      </c>
      <c r="H2298" s="9" t="n">
        <v>750</v>
      </c>
      <c r="I2298" s="29" t="n">
        <v>0.8</v>
      </c>
      <c r="J2298" s="9" t="n">
        <v>1</v>
      </c>
      <c r="K2298" s="30"/>
      <c r="L2298" s="30"/>
      <c r="M2298" s="30"/>
      <c r="N2298" s="30"/>
      <c r="O2298" s="30"/>
      <c r="P2298" s="30"/>
      <c r="Q2298" s="30"/>
      <c r="R2298" s="30"/>
      <c r="S2298" s="30"/>
      <c r="T2298" s="30"/>
      <c r="U2298" s="21" t="str">
        <f aca="false">IF(COUNT(K2298:T2298)=0,"SOURCE EMPTY / INDUSTRIAL ONLY",IF(MIN(K2298:T2298)=1,"SERVICE READY","HOLD"))</f>
        <v>SOURCE EMPTY / INDUSTRIAL ONLY</v>
      </c>
      <c r="V2298" s="9" t="n">
        <f aca="false">IF(U2298="SERVICE READY",1,0)</f>
        <v>0</v>
      </c>
      <c r="W2298" s="6"/>
      <c r="X2298" s="6"/>
      <c r="Y2298" s="6"/>
      <c r="Z2298" s="6"/>
    </row>
    <row r="2299" customFormat="false" ht="15" hidden="false" customHeight="false" outlineLevel="0" collapsed="false">
      <c r="A2299" s="9" t="s">
        <v>2559</v>
      </c>
      <c r="B2299" s="9" t="s">
        <v>2544</v>
      </c>
      <c r="C2299" s="9" t="s">
        <v>2545</v>
      </c>
      <c r="D2299" s="9" t="s">
        <v>2185</v>
      </c>
      <c r="E2299" s="9" t="s">
        <v>2027</v>
      </c>
      <c r="F2299" s="9" t="s">
        <v>197</v>
      </c>
      <c r="G2299" s="9" t="s">
        <v>198</v>
      </c>
      <c r="H2299" s="9" t="n">
        <v>750</v>
      </c>
      <c r="I2299" s="29" t="n">
        <v>0.8</v>
      </c>
      <c r="J2299" s="9" t="n">
        <v>1</v>
      </c>
      <c r="K2299" s="30"/>
      <c r="L2299" s="30"/>
      <c r="M2299" s="30"/>
      <c r="N2299" s="30"/>
      <c r="O2299" s="30"/>
      <c r="P2299" s="30"/>
      <c r="Q2299" s="30"/>
      <c r="R2299" s="30"/>
      <c r="S2299" s="30"/>
      <c r="T2299" s="30"/>
      <c r="U2299" s="21" t="str">
        <f aca="false">IF(COUNT(K2299:T2299)=0,"SOURCE EMPTY / INDUSTRIAL ONLY",IF(MIN(K2299:T2299)=1,"SERVICE READY","HOLD"))</f>
        <v>SOURCE EMPTY / INDUSTRIAL ONLY</v>
      </c>
      <c r="V2299" s="9" t="n">
        <f aca="false">IF(U2299="SERVICE READY",1,0)</f>
        <v>0</v>
      </c>
      <c r="W2299" s="6"/>
      <c r="X2299" s="6"/>
      <c r="Y2299" s="6"/>
      <c r="Z2299" s="6"/>
    </row>
    <row r="2300" customFormat="false" ht="15" hidden="false" customHeight="false" outlineLevel="0" collapsed="false">
      <c r="A2300" s="9" t="s">
        <v>2560</v>
      </c>
      <c r="B2300" s="9" t="s">
        <v>2544</v>
      </c>
      <c r="C2300" s="9" t="s">
        <v>2545</v>
      </c>
      <c r="D2300" s="9" t="s">
        <v>2185</v>
      </c>
      <c r="E2300" s="9" t="s">
        <v>2027</v>
      </c>
      <c r="F2300" s="9" t="s">
        <v>200</v>
      </c>
      <c r="G2300" s="9" t="s">
        <v>201</v>
      </c>
      <c r="H2300" s="9" t="n">
        <v>750</v>
      </c>
      <c r="I2300" s="29" t="n">
        <v>0.8</v>
      </c>
      <c r="J2300" s="9" t="n">
        <v>1</v>
      </c>
      <c r="K2300" s="30"/>
      <c r="L2300" s="30"/>
      <c r="M2300" s="30"/>
      <c r="N2300" s="30"/>
      <c r="O2300" s="30"/>
      <c r="P2300" s="30"/>
      <c r="Q2300" s="30"/>
      <c r="R2300" s="30"/>
      <c r="S2300" s="30"/>
      <c r="T2300" s="30"/>
      <c r="U2300" s="21" t="str">
        <f aca="false">IF(COUNT(K2300:T2300)=0,"SOURCE EMPTY / INDUSTRIAL ONLY",IF(MIN(K2300:T2300)=1,"SERVICE READY","HOLD"))</f>
        <v>SOURCE EMPTY / INDUSTRIAL ONLY</v>
      </c>
      <c r="V2300" s="9" t="n">
        <f aca="false">IF(U2300="SERVICE READY",1,0)</f>
        <v>0</v>
      </c>
      <c r="W2300" s="6"/>
      <c r="X2300" s="6"/>
      <c r="Y2300" s="6"/>
      <c r="Z2300" s="6"/>
    </row>
    <row r="2301" customFormat="false" ht="15" hidden="false" customHeight="false" outlineLevel="0" collapsed="false">
      <c r="A2301" s="9" t="s">
        <v>2561</v>
      </c>
      <c r="B2301" s="9" t="s">
        <v>2544</v>
      </c>
      <c r="C2301" s="9" t="s">
        <v>2545</v>
      </c>
      <c r="D2301" s="9" t="s">
        <v>2185</v>
      </c>
      <c r="E2301" s="9" t="s">
        <v>2027</v>
      </c>
      <c r="F2301" s="9" t="s">
        <v>203</v>
      </c>
      <c r="G2301" s="9" t="s">
        <v>198</v>
      </c>
      <c r="H2301" s="9" t="n">
        <v>750</v>
      </c>
      <c r="I2301" s="29" t="n">
        <v>0.8</v>
      </c>
      <c r="J2301" s="9" t="n">
        <v>1</v>
      </c>
      <c r="K2301" s="30"/>
      <c r="L2301" s="30"/>
      <c r="M2301" s="30"/>
      <c r="N2301" s="30"/>
      <c r="O2301" s="30"/>
      <c r="P2301" s="30"/>
      <c r="Q2301" s="30"/>
      <c r="R2301" s="30"/>
      <c r="S2301" s="30"/>
      <c r="T2301" s="30"/>
      <c r="U2301" s="21" t="str">
        <f aca="false">IF(COUNT(K2301:T2301)=0,"SOURCE EMPTY / INDUSTRIAL ONLY",IF(MIN(K2301:T2301)=1,"SERVICE READY","HOLD"))</f>
        <v>SOURCE EMPTY / INDUSTRIAL ONLY</v>
      </c>
      <c r="V2301" s="9" t="n">
        <f aca="false">IF(U2301="SERVICE READY",1,0)</f>
        <v>0</v>
      </c>
      <c r="W2301" s="6"/>
      <c r="X2301" s="6"/>
      <c r="Y2301" s="6"/>
      <c r="Z2301" s="6"/>
    </row>
    <row r="2302" customFormat="false" ht="15" hidden="false" customHeight="false" outlineLevel="0" collapsed="false">
      <c r="A2302" s="9" t="s">
        <v>2562</v>
      </c>
      <c r="B2302" s="9" t="s">
        <v>2544</v>
      </c>
      <c r="C2302" s="9" t="s">
        <v>2545</v>
      </c>
      <c r="D2302" s="9" t="s">
        <v>2185</v>
      </c>
      <c r="E2302" s="9" t="s">
        <v>2027</v>
      </c>
      <c r="F2302" s="9" t="s">
        <v>205</v>
      </c>
      <c r="G2302" s="9" t="s">
        <v>201</v>
      </c>
      <c r="H2302" s="9" t="n">
        <v>750</v>
      </c>
      <c r="I2302" s="29" t="n">
        <v>0.8</v>
      </c>
      <c r="J2302" s="9" t="n">
        <v>1</v>
      </c>
      <c r="K2302" s="30"/>
      <c r="L2302" s="30"/>
      <c r="M2302" s="30"/>
      <c r="N2302" s="30"/>
      <c r="O2302" s="30"/>
      <c r="P2302" s="30"/>
      <c r="Q2302" s="30"/>
      <c r="R2302" s="30"/>
      <c r="S2302" s="30"/>
      <c r="T2302" s="30"/>
      <c r="U2302" s="21" t="str">
        <f aca="false">IF(COUNT(K2302:T2302)=0,"SOURCE EMPTY / INDUSTRIAL ONLY",IF(MIN(K2302:T2302)=1,"SERVICE READY","HOLD"))</f>
        <v>SOURCE EMPTY / INDUSTRIAL ONLY</v>
      </c>
      <c r="V2302" s="9" t="n">
        <f aca="false">IF(U2302="SERVICE READY",1,0)</f>
        <v>0</v>
      </c>
      <c r="W2302" s="6"/>
      <c r="X2302" s="6"/>
      <c r="Y2302" s="6"/>
      <c r="Z2302" s="6"/>
    </row>
    <row r="2303" customFormat="false" ht="15" hidden="false" customHeight="false" outlineLevel="0" collapsed="false">
      <c r="A2303" s="9" t="s">
        <v>2563</v>
      </c>
      <c r="B2303" s="9" t="s">
        <v>2544</v>
      </c>
      <c r="C2303" s="9" t="s">
        <v>2545</v>
      </c>
      <c r="D2303" s="9" t="s">
        <v>2185</v>
      </c>
      <c r="E2303" s="9" t="s">
        <v>2027</v>
      </c>
      <c r="F2303" s="9" t="s">
        <v>207</v>
      </c>
      <c r="G2303" s="9" t="s">
        <v>198</v>
      </c>
      <c r="H2303" s="9" t="n">
        <v>750</v>
      </c>
      <c r="I2303" s="29" t="n">
        <v>0.8</v>
      </c>
      <c r="J2303" s="9" t="n">
        <v>1</v>
      </c>
      <c r="K2303" s="30"/>
      <c r="L2303" s="30"/>
      <c r="M2303" s="30"/>
      <c r="N2303" s="30"/>
      <c r="O2303" s="30"/>
      <c r="P2303" s="30"/>
      <c r="Q2303" s="30"/>
      <c r="R2303" s="30"/>
      <c r="S2303" s="30"/>
      <c r="T2303" s="30"/>
      <c r="U2303" s="21" t="str">
        <f aca="false">IF(COUNT(K2303:T2303)=0,"SOURCE EMPTY / INDUSTRIAL ONLY",IF(MIN(K2303:T2303)=1,"SERVICE READY","HOLD"))</f>
        <v>SOURCE EMPTY / INDUSTRIAL ONLY</v>
      </c>
      <c r="V2303" s="9" t="n">
        <f aca="false">IF(U2303="SERVICE READY",1,0)</f>
        <v>0</v>
      </c>
      <c r="W2303" s="6"/>
      <c r="X2303" s="6"/>
      <c r="Y2303" s="6"/>
      <c r="Z2303" s="6"/>
    </row>
    <row r="2304" customFormat="false" ht="15" hidden="false" customHeight="false" outlineLevel="0" collapsed="false">
      <c r="A2304" s="9" t="s">
        <v>2564</v>
      </c>
      <c r="B2304" s="9" t="s">
        <v>2544</v>
      </c>
      <c r="C2304" s="9" t="s">
        <v>2545</v>
      </c>
      <c r="D2304" s="9" t="s">
        <v>2185</v>
      </c>
      <c r="E2304" s="9" t="s">
        <v>2027</v>
      </c>
      <c r="F2304" s="9" t="s">
        <v>209</v>
      </c>
      <c r="G2304" s="9" t="s">
        <v>201</v>
      </c>
      <c r="H2304" s="9" t="n">
        <v>750</v>
      </c>
      <c r="I2304" s="29" t="n">
        <v>0.8</v>
      </c>
      <c r="J2304" s="9" t="n">
        <v>1</v>
      </c>
      <c r="K2304" s="30"/>
      <c r="L2304" s="30"/>
      <c r="M2304" s="30"/>
      <c r="N2304" s="30"/>
      <c r="O2304" s="30"/>
      <c r="P2304" s="30"/>
      <c r="Q2304" s="30"/>
      <c r="R2304" s="30"/>
      <c r="S2304" s="30"/>
      <c r="T2304" s="30"/>
      <c r="U2304" s="21" t="str">
        <f aca="false">IF(COUNT(K2304:T2304)=0,"SOURCE EMPTY / INDUSTRIAL ONLY",IF(MIN(K2304:T2304)=1,"SERVICE READY","HOLD"))</f>
        <v>SOURCE EMPTY / INDUSTRIAL ONLY</v>
      </c>
      <c r="V2304" s="9" t="n">
        <f aca="false">IF(U2304="SERVICE READY",1,0)</f>
        <v>0</v>
      </c>
      <c r="W2304" s="6"/>
      <c r="X2304" s="6"/>
      <c r="Y2304" s="6"/>
      <c r="Z2304" s="6"/>
    </row>
    <row r="2305" customFormat="false" ht="15" hidden="false" customHeight="false" outlineLevel="0" collapsed="false">
      <c r="A2305" s="9" t="s">
        <v>2565</v>
      </c>
      <c r="B2305" s="9" t="s">
        <v>2544</v>
      </c>
      <c r="C2305" s="9" t="s">
        <v>2545</v>
      </c>
      <c r="D2305" s="9" t="s">
        <v>2185</v>
      </c>
      <c r="E2305" s="9" t="s">
        <v>2027</v>
      </c>
      <c r="F2305" s="9" t="s">
        <v>211</v>
      </c>
      <c r="G2305" s="9" t="s">
        <v>198</v>
      </c>
      <c r="H2305" s="9" t="n">
        <v>750</v>
      </c>
      <c r="I2305" s="29" t="n">
        <v>0.8</v>
      </c>
      <c r="J2305" s="9" t="n">
        <v>1</v>
      </c>
      <c r="K2305" s="30"/>
      <c r="L2305" s="30"/>
      <c r="M2305" s="30"/>
      <c r="N2305" s="30"/>
      <c r="O2305" s="30"/>
      <c r="P2305" s="30"/>
      <c r="Q2305" s="30"/>
      <c r="R2305" s="30"/>
      <c r="S2305" s="30"/>
      <c r="T2305" s="30"/>
      <c r="U2305" s="21" t="str">
        <f aca="false">IF(COUNT(K2305:T2305)=0,"SOURCE EMPTY / INDUSTRIAL ONLY",IF(MIN(K2305:T2305)=1,"SERVICE READY","HOLD"))</f>
        <v>SOURCE EMPTY / INDUSTRIAL ONLY</v>
      </c>
      <c r="V2305" s="9" t="n">
        <f aca="false">IF(U2305="SERVICE READY",1,0)</f>
        <v>0</v>
      </c>
      <c r="W2305" s="6"/>
      <c r="X2305" s="6"/>
      <c r="Y2305" s="6"/>
      <c r="Z2305" s="6"/>
    </row>
    <row r="2306" customFormat="false" ht="15" hidden="false" customHeight="false" outlineLevel="0" collapsed="false">
      <c r="A2306" s="9" t="s">
        <v>2566</v>
      </c>
      <c r="B2306" s="9" t="s">
        <v>2544</v>
      </c>
      <c r="C2306" s="9" t="s">
        <v>2545</v>
      </c>
      <c r="D2306" s="9" t="s">
        <v>2185</v>
      </c>
      <c r="E2306" s="9" t="s">
        <v>2027</v>
      </c>
      <c r="F2306" s="9" t="s">
        <v>197</v>
      </c>
      <c r="G2306" s="9" t="s">
        <v>221</v>
      </c>
      <c r="H2306" s="9" t="n">
        <v>750</v>
      </c>
      <c r="I2306" s="29" t="n">
        <v>0.8</v>
      </c>
      <c r="J2306" s="9" t="n">
        <v>1</v>
      </c>
      <c r="K2306" s="30"/>
      <c r="L2306" s="30"/>
      <c r="M2306" s="30"/>
      <c r="N2306" s="30"/>
      <c r="O2306" s="30"/>
      <c r="P2306" s="30"/>
      <c r="Q2306" s="30"/>
      <c r="R2306" s="30"/>
      <c r="S2306" s="30"/>
      <c r="T2306" s="30"/>
      <c r="U2306" s="21" t="str">
        <f aca="false">IF(COUNT(K2306:T2306)=0,"SOURCE EMPTY / INDUSTRIAL ONLY",IF(MIN(K2306:T2306)=1,"SERVICE READY","HOLD"))</f>
        <v>SOURCE EMPTY / INDUSTRIAL ONLY</v>
      </c>
      <c r="V2306" s="9" t="n">
        <f aca="false">IF(U2306="SERVICE READY",1,0)</f>
        <v>0</v>
      </c>
      <c r="W2306" s="6"/>
      <c r="X2306" s="6"/>
      <c r="Y2306" s="6"/>
      <c r="Z2306" s="6"/>
    </row>
    <row r="2307" customFormat="false" ht="15" hidden="false" customHeight="false" outlineLevel="0" collapsed="false">
      <c r="A2307" s="9" t="s">
        <v>2567</v>
      </c>
      <c r="B2307" s="9" t="s">
        <v>2544</v>
      </c>
      <c r="C2307" s="9" t="s">
        <v>2545</v>
      </c>
      <c r="D2307" s="9" t="s">
        <v>2185</v>
      </c>
      <c r="E2307" s="9" t="s">
        <v>2027</v>
      </c>
      <c r="F2307" s="9" t="s">
        <v>200</v>
      </c>
      <c r="G2307" s="9" t="s">
        <v>221</v>
      </c>
      <c r="H2307" s="9" t="n">
        <v>750</v>
      </c>
      <c r="I2307" s="29" t="n">
        <v>0.8</v>
      </c>
      <c r="J2307" s="9" t="n">
        <v>1</v>
      </c>
      <c r="K2307" s="30"/>
      <c r="L2307" s="30"/>
      <c r="M2307" s="30"/>
      <c r="N2307" s="30"/>
      <c r="O2307" s="30"/>
      <c r="P2307" s="30"/>
      <c r="Q2307" s="30"/>
      <c r="R2307" s="30"/>
      <c r="S2307" s="30"/>
      <c r="T2307" s="30"/>
      <c r="U2307" s="21" t="str">
        <f aca="false">IF(COUNT(K2307:T2307)=0,"SOURCE EMPTY / INDUSTRIAL ONLY",IF(MIN(K2307:T2307)=1,"SERVICE READY","HOLD"))</f>
        <v>SOURCE EMPTY / INDUSTRIAL ONLY</v>
      </c>
      <c r="V2307" s="9" t="n">
        <f aca="false">IF(U2307="SERVICE READY",1,0)</f>
        <v>0</v>
      </c>
      <c r="W2307" s="6"/>
      <c r="X2307" s="6"/>
      <c r="Y2307" s="6"/>
      <c r="Z2307" s="6"/>
    </row>
    <row r="2308" customFormat="false" ht="15" hidden="false" customHeight="false" outlineLevel="0" collapsed="false">
      <c r="A2308" s="9" t="s">
        <v>2568</v>
      </c>
      <c r="B2308" s="9" t="s">
        <v>2544</v>
      </c>
      <c r="C2308" s="9" t="s">
        <v>2545</v>
      </c>
      <c r="D2308" s="9" t="s">
        <v>2185</v>
      </c>
      <c r="E2308" s="9" t="s">
        <v>2027</v>
      </c>
      <c r="F2308" s="9" t="s">
        <v>203</v>
      </c>
      <c r="G2308" s="9" t="s">
        <v>221</v>
      </c>
      <c r="H2308" s="9" t="n">
        <v>750</v>
      </c>
      <c r="I2308" s="29" t="n">
        <v>0.8</v>
      </c>
      <c r="J2308" s="9" t="n">
        <v>1</v>
      </c>
      <c r="K2308" s="30"/>
      <c r="L2308" s="30"/>
      <c r="M2308" s="30"/>
      <c r="N2308" s="30"/>
      <c r="O2308" s="30"/>
      <c r="P2308" s="30"/>
      <c r="Q2308" s="30"/>
      <c r="R2308" s="30"/>
      <c r="S2308" s="30"/>
      <c r="T2308" s="30"/>
      <c r="U2308" s="21" t="str">
        <f aca="false">IF(COUNT(K2308:T2308)=0,"SOURCE EMPTY / INDUSTRIAL ONLY",IF(MIN(K2308:T2308)=1,"SERVICE READY","HOLD"))</f>
        <v>SOURCE EMPTY / INDUSTRIAL ONLY</v>
      </c>
      <c r="V2308" s="9" t="n">
        <f aca="false">IF(U2308="SERVICE READY",1,0)</f>
        <v>0</v>
      </c>
      <c r="W2308" s="6"/>
      <c r="X2308" s="6"/>
      <c r="Y2308" s="6"/>
      <c r="Z2308" s="6"/>
    </row>
    <row r="2309" customFormat="false" ht="15" hidden="false" customHeight="false" outlineLevel="0" collapsed="false">
      <c r="A2309" s="9" t="s">
        <v>2569</v>
      </c>
      <c r="B2309" s="9" t="s">
        <v>2544</v>
      </c>
      <c r="C2309" s="9" t="s">
        <v>2545</v>
      </c>
      <c r="D2309" s="9" t="s">
        <v>2185</v>
      </c>
      <c r="E2309" s="9" t="s">
        <v>2027</v>
      </c>
      <c r="F2309" s="9" t="s">
        <v>205</v>
      </c>
      <c r="G2309" s="9" t="s">
        <v>221</v>
      </c>
      <c r="H2309" s="9" t="n">
        <v>750</v>
      </c>
      <c r="I2309" s="29" t="n">
        <v>0.8</v>
      </c>
      <c r="J2309" s="9" t="n">
        <v>1</v>
      </c>
      <c r="K2309" s="30"/>
      <c r="L2309" s="30"/>
      <c r="M2309" s="30"/>
      <c r="N2309" s="30"/>
      <c r="O2309" s="30"/>
      <c r="P2309" s="30"/>
      <c r="Q2309" s="30"/>
      <c r="R2309" s="30"/>
      <c r="S2309" s="30"/>
      <c r="T2309" s="30"/>
      <c r="U2309" s="21" t="str">
        <f aca="false">IF(COUNT(K2309:T2309)=0,"SOURCE EMPTY / INDUSTRIAL ONLY",IF(MIN(K2309:T2309)=1,"SERVICE READY","HOLD"))</f>
        <v>SOURCE EMPTY / INDUSTRIAL ONLY</v>
      </c>
      <c r="V2309" s="9" t="n">
        <f aca="false">IF(U2309="SERVICE READY",1,0)</f>
        <v>0</v>
      </c>
      <c r="W2309" s="6"/>
      <c r="X2309" s="6"/>
      <c r="Y2309" s="6"/>
      <c r="Z2309" s="6"/>
    </row>
    <row r="2310" customFormat="false" ht="15" hidden="false" customHeight="false" outlineLevel="0" collapsed="false">
      <c r="A2310" s="9" t="s">
        <v>2570</v>
      </c>
      <c r="B2310" s="9" t="s">
        <v>2544</v>
      </c>
      <c r="C2310" s="9" t="s">
        <v>2545</v>
      </c>
      <c r="D2310" s="9" t="s">
        <v>2185</v>
      </c>
      <c r="E2310" s="9" t="s">
        <v>2027</v>
      </c>
      <c r="F2310" s="9" t="s">
        <v>207</v>
      </c>
      <c r="G2310" s="9" t="s">
        <v>221</v>
      </c>
      <c r="H2310" s="9" t="n">
        <v>750</v>
      </c>
      <c r="I2310" s="29" t="n">
        <v>0.8</v>
      </c>
      <c r="J2310" s="9" t="n">
        <v>1</v>
      </c>
      <c r="K2310" s="30"/>
      <c r="L2310" s="30"/>
      <c r="M2310" s="30"/>
      <c r="N2310" s="30"/>
      <c r="O2310" s="30"/>
      <c r="P2310" s="30"/>
      <c r="Q2310" s="30"/>
      <c r="R2310" s="30"/>
      <c r="S2310" s="30"/>
      <c r="T2310" s="30"/>
      <c r="U2310" s="21" t="str">
        <f aca="false">IF(COUNT(K2310:T2310)=0,"SOURCE EMPTY / INDUSTRIAL ONLY",IF(MIN(K2310:T2310)=1,"SERVICE READY","HOLD"))</f>
        <v>SOURCE EMPTY / INDUSTRIAL ONLY</v>
      </c>
      <c r="V2310" s="9" t="n">
        <f aca="false">IF(U2310="SERVICE READY",1,0)</f>
        <v>0</v>
      </c>
      <c r="W2310" s="6"/>
      <c r="X2310" s="6"/>
      <c r="Y2310" s="6"/>
      <c r="Z2310" s="6"/>
    </row>
    <row r="2311" customFormat="false" ht="15" hidden="false" customHeight="false" outlineLevel="0" collapsed="false">
      <c r="A2311" s="9" t="s">
        <v>2571</v>
      </c>
      <c r="B2311" s="9" t="s">
        <v>2544</v>
      </c>
      <c r="C2311" s="9" t="s">
        <v>2545</v>
      </c>
      <c r="D2311" s="9" t="s">
        <v>2185</v>
      </c>
      <c r="E2311" s="9" t="s">
        <v>2027</v>
      </c>
      <c r="F2311" s="9" t="s">
        <v>209</v>
      </c>
      <c r="G2311" s="9" t="s">
        <v>221</v>
      </c>
      <c r="H2311" s="9" t="n">
        <v>750</v>
      </c>
      <c r="I2311" s="29" t="n">
        <v>0.8</v>
      </c>
      <c r="J2311" s="9" t="n">
        <v>1</v>
      </c>
      <c r="K2311" s="30"/>
      <c r="L2311" s="30"/>
      <c r="M2311" s="30"/>
      <c r="N2311" s="30"/>
      <c r="O2311" s="30"/>
      <c r="P2311" s="30"/>
      <c r="Q2311" s="30"/>
      <c r="R2311" s="30"/>
      <c r="S2311" s="30"/>
      <c r="T2311" s="30"/>
      <c r="U2311" s="21" t="str">
        <f aca="false">IF(COUNT(K2311:T2311)=0,"SOURCE EMPTY / INDUSTRIAL ONLY",IF(MIN(K2311:T2311)=1,"SERVICE READY","HOLD"))</f>
        <v>SOURCE EMPTY / INDUSTRIAL ONLY</v>
      </c>
      <c r="V2311" s="9" t="n">
        <f aca="false">IF(U2311="SERVICE READY",1,0)</f>
        <v>0</v>
      </c>
      <c r="W2311" s="6"/>
      <c r="X2311" s="6"/>
      <c r="Y2311" s="6"/>
      <c r="Z2311" s="6"/>
    </row>
    <row r="2312" customFormat="false" ht="15" hidden="false" customHeight="false" outlineLevel="0" collapsed="false">
      <c r="A2312" s="9" t="s">
        <v>2572</v>
      </c>
      <c r="B2312" s="9" t="s">
        <v>2544</v>
      </c>
      <c r="C2312" s="9" t="s">
        <v>2545</v>
      </c>
      <c r="D2312" s="9" t="s">
        <v>2185</v>
      </c>
      <c r="E2312" s="9" t="s">
        <v>2027</v>
      </c>
      <c r="F2312" s="9" t="s">
        <v>211</v>
      </c>
      <c r="G2312" s="9" t="s">
        <v>221</v>
      </c>
      <c r="H2312" s="9" t="n">
        <v>750</v>
      </c>
      <c r="I2312" s="29" t="n">
        <v>0.8</v>
      </c>
      <c r="J2312" s="9" t="n">
        <v>1</v>
      </c>
      <c r="K2312" s="30"/>
      <c r="L2312" s="30"/>
      <c r="M2312" s="30"/>
      <c r="N2312" s="30"/>
      <c r="O2312" s="30"/>
      <c r="P2312" s="30"/>
      <c r="Q2312" s="30"/>
      <c r="R2312" s="30"/>
      <c r="S2312" s="30"/>
      <c r="T2312" s="30"/>
      <c r="U2312" s="21" t="str">
        <f aca="false">IF(COUNT(K2312:T2312)=0,"SOURCE EMPTY / INDUSTRIAL ONLY",IF(MIN(K2312:T2312)=1,"SERVICE READY","HOLD"))</f>
        <v>SOURCE EMPTY / INDUSTRIAL ONLY</v>
      </c>
      <c r="V2312" s="9" t="n">
        <f aca="false">IF(U2312="SERVICE READY",1,0)</f>
        <v>0</v>
      </c>
      <c r="W2312" s="6"/>
      <c r="X2312" s="6"/>
      <c r="Y2312" s="6"/>
      <c r="Z2312" s="6"/>
    </row>
    <row r="2313" customFormat="false" ht="15" hidden="false" customHeight="false" outlineLevel="0" collapsed="false">
      <c r="A2313" s="9" t="s">
        <v>2573</v>
      </c>
      <c r="B2313" s="9" t="s">
        <v>2544</v>
      </c>
      <c r="C2313" s="9" t="s">
        <v>2545</v>
      </c>
      <c r="D2313" s="9" t="s">
        <v>2185</v>
      </c>
      <c r="E2313" s="9" t="s">
        <v>2027</v>
      </c>
      <c r="F2313" s="9" t="s">
        <v>197</v>
      </c>
      <c r="G2313" s="9" t="s">
        <v>221</v>
      </c>
      <c r="H2313" s="9" t="n">
        <v>750</v>
      </c>
      <c r="I2313" s="29" t="n">
        <v>0.8</v>
      </c>
      <c r="J2313" s="9" t="n">
        <v>1</v>
      </c>
      <c r="K2313" s="30"/>
      <c r="L2313" s="30"/>
      <c r="M2313" s="30"/>
      <c r="N2313" s="30"/>
      <c r="O2313" s="30"/>
      <c r="P2313" s="30"/>
      <c r="Q2313" s="30"/>
      <c r="R2313" s="30"/>
      <c r="S2313" s="30"/>
      <c r="T2313" s="30"/>
      <c r="U2313" s="21" t="str">
        <f aca="false">IF(COUNT(K2313:T2313)=0,"SOURCE EMPTY / INDUSTRIAL ONLY",IF(MIN(K2313:T2313)=1,"SERVICE READY","HOLD"))</f>
        <v>SOURCE EMPTY / INDUSTRIAL ONLY</v>
      </c>
      <c r="V2313" s="9" t="n">
        <f aca="false">IF(U2313="SERVICE READY",1,0)</f>
        <v>0</v>
      </c>
      <c r="W2313" s="6"/>
      <c r="X2313" s="6"/>
      <c r="Y2313" s="6"/>
      <c r="Z2313" s="6"/>
    </row>
    <row r="2314" customFormat="false" ht="15" hidden="false" customHeight="false" outlineLevel="0" collapsed="false">
      <c r="A2314" s="9" t="s">
        <v>2574</v>
      </c>
      <c r="B2314" s="9" t="s">
        <v>2544</v>
      </c>
      <c r="C2314" s="9" t="s">
        <v>2545</v>
      </c>
      <c r="D2314" s="9" t="s">
        <v>2185</v>
      </c>
      <c r="E2314" s="9" t="s">
        <v>2027</v>
      </c>
      <c r="F2314" s="9" t="s">
        <v>200</v>
      </c>
      <c r="G2314" s="9" t="s">
        <v>221</v>
      </c>
      <c r="H2314" s="9" t="n">
        <v>750</v>
      </c>
      <c r="I2314" s="29" t="n">
        <v>0.8</v>
      </c>
      <c r="J2314" s="9" t="n">
        <v>1</v>
      </c>
      <c r="K2314" s="30"/>
      <c r="L2314" s="30"/>
      <c r="M2314" s="30"/>
      <c r="N2314" s="30"/>
      <c r="O2314" s="30"/>
      <c r="P2314" s="30"/>
      <c r="Q2314" s="30"/>
      <c r="R2314" s="30"/>
      <c r="S2314" s="30"/>
      <c r="T2314" s="30"/>
      <c r="U2314" s="21" t="str">
        <f aca="false">IF(COUNT(K2314:T2314)=0,"SOURCE EMPTY / INDUSTRIAL ONLY",IF(MIN(K2314:T2314)=1,"SERVICE READY","HOLD"))</f>
        <v>SOURCE EMPTY / INDUSTRIAL ONLY</v>
      </c>
      <c r="V2314" s="9" t="n">
        <f aca="false">IF(U2314="SERVICE READY",1,0)</f>
        <v>0</v>
      </c>
      <c r="W2314" s="6"/>
      <c r="X2314" s="6"/>
      <c r="Y2314" s="6"/>
      <c r="Z2314" s="6"/>
    </row>
    <row r="2315" customFormat="false" ht="15" hidden="false" customHeight="false" outlineLevel="0" collapsed="false">
      <c r="A2315" s="9" t="s">
        <v>2575</v>
      </c>
      <c r="B2315" s="9" t="s">
        <v>2544</v>
      </c>
      <c r="C2315" s="9" t="s">
        <v>2545</v>
      </c>
      <c r="D2315" s="9" t="s">
        <v>2185</v>
      </c>
      <c r="E2315" s="9" t="s">
        <v>2027</v>
      </c>
      <c r="F2315" s="9" t="s">
        <v>203</v>
      </c>
      <c r="G2315" s="9" t="s">
        <v>221</v>
      </c>
      <c r="H2315" s="9" t="n">
        <v>750</v>
      </c>
      <c r="I2315" s="29" t="n">
        <v>0.8</v>
      </c>
      <c r="J2315" s="9" t="n">
        <v>1</v>
      </c>
      <c r="K2315" s="30"/>
      <c r="L2315" s="30"/>
      <c r="M2315" s="30"/>
      <c r="N2315" s="30"/>
      <c r="O2315" s="30"/>
      <c r="P2315" s="30"/>
      <c r="Q2315" s="30"/>
      <c r="R2315" s="30"/>
      <c r="S2315" s="30"/>
      <c r="T2315" s="30"/>
      <c r="U2315" s="21" t="str">
        <f aca="false">IF(COUNT(K2315:T2315)=0,"SOURCE EMPTY / INDUSTRIAL ONLY",IF(MIN(K2315:T2315)=1,"SERVICE READY","HOLD"))</f>
        <v>SOURCE EMPTY / INDUSTRIAL ONLY</v>
      </c>
      <c r="V2315" s="9" t="n">
        <f aca="false">IF(U2315="SERVICE READY",1,0)</f>
        <v>0</v>
      </c>
      <c r="W2315" s="6"/>
      <c r="X2315" s="6"/>
      <c r="Y2315" s="6"/>
      <c r="Z2315" s="6"/>
    </row>
    <row r="2316" customFormat="false" ht="15" hidden="false" customHeight="false" outlineLevel="0" collapsed="false">
      <c r="A2316" s="9" t="s">
        <v>2576</v>
      </c>
      <c r="B2316" s="9" t="s">
        <v>2544</v>
      </c>
      <c r="C2316" s="9" t="s">
        <v>2545</v>
      </c>
      <c r="D2316" s="9" t="s">
        <v>2185</v>
      </c>
      <c r="E2316" s="9" t="s">
        <v>2027</v>
      </c>
      <c r="F2316" s="9" t="s">
        <v>205</v>
      </c>
      <c r="G2316" s="9" t="s">
        <v>221</v>
      </c>
      <c r="H2316" s="9" t="n">
        <v>750</v>
      </c>
      <c r="I2316" s="29" t="n">
        <v>0.8</v>
      </c>
      <c r="J2316" s="9" t="n">
        <v>1</v>
      </c>
      <c r="K2316" s="30"/>
      <c r="L2316" s="30"/>
      <c r="M2316" s="30"/>
      <c r="N2316" s="30"/>
      <c r="O2316" s="30"/>
      <c r="P2316" s="30"/>
      <c r="Q2316" s="30"/>
      <c r="R2316" s="30"/>
      <c r="S2316" s="30"/>
      <c r="T2316" s="30"/>
      <c r="U2316" s="21" t="str">
        <f aca="false">IF(COUNT(K2316:T2316)=0,"SOURCE EMPTY / INDUSTRIAL ONLY",IF(MIN(K2316:T2316)=1,"SERVICE READY","HOLD"))</f>
        <v>SOURCE EMPTY / INDUSTRIAL ONLY</v>
      </c>
      <c r="V2316" s="9" t="n">
        <f aca="false">IF(U2316="SERVICE READY",1,0)</f>
        <v>0</v>
      </c>
      <c r="W2316" s="6"/>
      <c r="X2316" s="6"/>
      <c r="Y2316" s="6"/>
      <c r="Z2316" s="6"/>
    </row>
    <row r="2317" customFormat="false" ht="15" hidden="false" customHeight="false" outlineLevel="0" collapsed="false">
      <c r="A2317" s="9" t="s">
        <v>2577</v>
      </c>
      <c r="B2317" s="9" t="s">
        <v>2544</v>
      </c>
      <c r="C2317" s="9" t="s">
        <v>2545</v>
      </c>
      <c r="D2317" s="9" t="s">
        <v>2185</v>
      </c>
      <c r="E2317" s="9" t="s">
        <v>2027</v>
      </c>
      <c r="F2317" s="9" t="s">
        <v>207</v>
      </c>
      <c r="G2317" s="9" t="s">
        <v>221</v>
      </c>
      <c r="H2317" s="9" t="n">
        <v>750</v>
      </c>
      <c r="I2317" s="29" t="n">
        <v>0.8</v>
      </c>
      <c r="J2317" s="9" t="n">
        <v>1</v>
      </c>
      <c r="K2317" s="30"/>
      <c r="L2317" s="30"/>
      <c r="M2317" s="30"/>
      <c r="N2317" s="30"/>
      <c r="O2317" s="30"/>
      <c r="P2317" s="30"/>
      <c r="Q2317" s="30"/>
      <c r="R2317" s="30"/>
      <c r="S2317" s="30"/>
      <c r="T2317" s="30"/>
      <c r="U2317" s="21" t="str">
        <f aca="false">IF(COUNT(K2317:T2317)=0,"SOURCE EMPTY / INDUSTRIAL ONLY",IF(MIN(K2317:T2317)=1,"SERVICE READY","HOLD"))</f>
        <v>SOURCE EMPTY / INDUSTRIAL ONLY</v>
      </c>
      <c r="V2317" s="9" t="n">
        <f aca="false">IF(U2317="SERVICE READY",1,0)</f>
        <v>0</v>
      </c>
      <c r="W2317" s="6"/>
      <c r="X2317" s="6"/>
      <c r="Y2317" s="6"/>
      <c r="Z2317" s="6"/>
    </row>
    <row r="2318" customFormat="false" ht="15" hidden="false" customHeight="false" outlineLevel="0" collapsed="false">
      <c r="A2318" s="9" t="s">
        <v>2578</v>
      </c>
      <c r="B2318" s="9" t="s">
        <v>2544</v>
      </c>
      <c r="C2318" s="9" t="s">
        <v>2545</v>
      </c>
      <c r="D2318" s="9" t="s">
        <v>2185</v>
      </c>
      <c r="E2318" s="9" t="s">
        <v>2027</v>
      </c>
      <c r="F2318" s="9" t="s">
        <v>209</v>
      </c>
      <c r="G2318" s="9" t="s">
        <v>221</v>
      </c>
      <c r="H2318" s="9" t="n">
        <v>750</v>
      </c>
      <c r="I2318" s="29" t="n">
        <v>0.8</v>
      </c>
      <c r="J2318" s="9" t="n">
        <v>1</v>
      </c>
      <c r="K2318" s="30"/>
      <c r="L2318" s="30"/>
      <c r="M2318" s="30"/>
      <c r="N2318" s="30"/>
      <c r="O2318" s="30"/>
      <c r="P2318" s="30"/>
      <c r="Q2318" s="30"/>
      <c r="R2318" s="30"/>
      <c r="S2318" s="30"/>
      <c r="T2318" s="30"/>
      <c r="U2318" s="21" t="str">
        <f aca="false">IF(COUNT(K2318:T2318)=0,"SOURCE EMPTY / INDUSTRIAL ONLY",IF(MIN(K2318:T2318)=1,"SERVICE READY","HOLD"))</f>
        <v>SOURCE EMPTY / INDUSTRIAL ONLY</v>
      </c>
      <c r="V2318" s="9" t="n">
        <f aca="false">IF(U2318="SERVICE READY",1,0)</f>
        <v>0</v>
      </c>
      <c r="W2318" s="6"/>
      <c r="X2318" s="6"/>
      <c r="Y2318" s="6"/>
      <c r="Z2318" s="6"/>
    </row>
    <row r="2319" customFormat="false" ht="15" hidden="false" customHeight="false" outlineLevel="0" collapsed="false">
      <c r="A2319" s="9" t="s">
        <v>2579</v>
      </c>
      <c r="B2319" s="9" t="s">
        <v>2544</v>
      </c>
      <c r="C2319" s="9" t="s">
        <v>2545</v>
      </c>
      <c r="D2319" s="9" t="s">
        <v>2185</v>
      </c>
      <c r="E2319" s="9" t="s">
        <v>2027</v>
      </c>
      <c r="F2319" s="9" t="s">
        <v>211</v>
      </c>
      <c r="G2319" s="9" t="s">
        <v>221</v>
      </c>
      <c r="H2319" s="9" t="n">
        <v>750</v>
      </c>
      <c r="I2319" s="29" t="n">
        <v>0.8</v>
      </c>
      <c r="J2319" s="9" t="n">
        <v>1</v>
      </c>
      <c r="K2319" s="30"/>
      <c r="L2319" s="30"/>
      <c r="M2319" s="30"/>
      <c r="N2319" s="30"/>
      <c r="O2319" s="30"/>
      <c r="P2319" s="30"/>
      <c r="Q2319" s="30"/>
      <c r="R2319" s="30"/>
      <c r="S2319" s="30"/>
      <c r="T2319" s="30"/>
      <c r="U2319" s="21" t="str">
        <f aca="false">IF(COUNT(K2319:T2319)=0,"SOURCE EMPTY / INDUSTRIAL ONLY",IF(MIN(K2319:T2319)=1,"SERVICE READY","HOLD"))</f>
        <v>SOURCE EMPTY / INDUSTRIAL ONLY</v>
      </c>
      <c r="V2319" s="9" t="n">
        <f aca="false">IF(U2319="SERVICE READY",1,0)</f>
        <v>0</v>
      </c>
      <c r="W2319" s="6"/>
      <c r="X2319" s="6"/>
      <c r="Y2319" s="6"/>
      <c r="Z2319" s="6"/>
    </row>
    <row r="2320" customFormat="false" ht="15" hidden="false" customHeight="false" outlineLevel="0" collapsed="false">
      <c r="A2320" s="9" t="s">
        <v>2580</v>
      </c>
      <c r="B2320" s="9" t="s">
        <v>2544</v>
      </c>
      <c r="C2320" s="9" t="s">
        <v>2545</v>
      </c>
      <c r="D2320" s="9" t="s">
        <v>2185</v>
      </c>
      <c r="E2320" s="9" t="s">
        <v>2027</v>
      </c>
      <c r="F2320" s="9" t="s">
        <v>197</v>
      </c>
      <c r="G2320" s="9" t="s">
        <v>221</v>
      </c>
      <c r="H2320" s="9" t="n">
        <v>750</v>
      </c>
      <c r="I2320" s="29" t="n">
        <v>0.8</v>
      </c>
      <c r="J2320" s="9" t="n">
        <v>1</v>
      </c>
      <c r="K2320" s="30"/>
      <c r="L2320" s="30"/>
      <c r="M2320" s="30"/>
      <c r="N2320" s="30"/>
      <c r="O2320" s="30"/>
      <c r="P2320" s="30"/>
      <c r="Q2320" s="30"/>
      <c r="R2320" s="30"/>
      <c r="S2320" s="30"/>
      <c r="T2320" s="30"/>
      <c r="U2320" s="21" t="str">
        <f aca="false">IF(COUNT(K2320:T2320)=0,"SOURCE EMPTY / INDUSTRIAL ONLY",IF(MIN(K2320:T2320)=1,"SERVICE READY","HOLD"))</f>
        <v>SOURCE EMPTY / INDUSTRIAL ONLY</v>
      </c>
      <c r="V2320" s="9" t="n">
        <f aca="false">IF(U2320="SERVICE READY",1,0)</f>
        <v>0</v>
      </c>
      <c r="W2320" s="6"/>
      <c r="X2320" s="6"/>
      <c r="Y2320" s="6"/>
      <c r="Z2320" s="6"/>
    </row>
    <row r="2321" customFormat="false" ht="15" hidden="false" customHeight="false" outlineLevel="0" collapsed="false">
      <c r="A2321" s="9" t="s">
        <v>2581</v>
      </c>
      <c r="B2321" s="9" t="s">
        <v>2544</v>
      </c>
      <c r="C2321" s="9" t="s">
        <v>2545</v>
      </c>
      <c r="D2321" s="9" t="s">
        <v>2185</v>
      </c>
      <c r="E2321" s="9" t="s">
        <v>2027</v>
      </c>
      <c r="F2321" s="9" t="s">
        <v>200</v>
      </c>
      <c r="G2321" s="9" t="s">
        <v>221</v>
      </c>
      <c r="H2321" s="9" t="n">
        <v>750</v>
      </c>
      <c r="I2321" s="29" t="n">
        <v>0.8</v>
      </c>
      <c r="J2321" s="9" t="n">
        <v>1</v>
      </c>
      <c r="K2321" s="30"/>
      <c r="L2321" s="30"/>
      <c r="M2321" s="30"/>
      <c r="N2321" s="30"/>
      <c r="O2321" s="30"/>
      <c r="P2321" s="30"/>
      <c r="Q2321" s="30"/>
      <c r="R2321" s="30"/>
      <c r="S2321" s="30"/>
      <c r="T2321" s="30"/>
      <c r="U2321" s="21" t="str">
        <f aca="false">IF(COUNT(K2321:T2321)=0,"SOURCE EMPTY / INDUSTRIAL ONLY",IF(MIN(K2321:T2321)=1,"SERVICE READY","HOLD"))</f>
        <v>SOURCE EMPTY / INDUSTRIAL ONLY</v>
      </c>
      <c r="V2321" s="9" t="n">
        <f aca="false">IF(U2321="SERVICE READY",1,0)</f>
        <v>0</v>
      </c>
      <c r="W2321" s="6"/>
      <c r="X2321" s="6"/>
      <c r="Y2321" s="6"/>
      <c r="Z2321" s="6"/>
    </row>
    <row r="2322" customFormat="false" ht="15" hidden="false" customHeight="false" outlineLevel="0" collapsed="false">
      <c r="A2322" s="9" t="s">
        <v>2582</v>
      </c>
      <c r="B2322" s="9" t="s">
        <v>2544</v>
      </c>
      <c r="C2322" s="9" t="s">
        <v>2545</v>
      </c>
      <c r="D2322" s="9" t="s">
        <v>2185</v>
      </c>
      <c r="E2322" s="9" t="s">
        <v>2027</v>
      </c>
      <c r="F2322" s="9" t="s">
        <v>203</v>
      </c>
      <c r="G2322" s="9" t="s">
        <v>221</v>
      </c>
      <c r="H2322" s="9" t="n">
        <v>750</v>
      </c>
      <c r="I2322" s="29" t="n">
        <v>0.8</v>
      </c>
      <c r="J2322" s="9" t="n">
        <v>1</v>
      </c>
      <c r="K2322" s="30"/>
      <c r="L2322" s="30"/>
      <c r="M2322" s="30"/>
      <c r="N2322" s="30"/>
      <c r="O2322" s="30"/>
      <c r="P2322" s="30"/>
      <c r="Q2322" s="30"/>
      <c r="R2322" s="30"/>
      <c r="S2322" s="30"/>
      <c r="T2322" s="30"/>
      <c r="U2322" s="21" t="str">
        <f aca="false">IF(COUNT(K2322:T2322)=0,"SOURCE EMPTY / INDUSTRIAL ONLY",IF(MIN(K2322:T2322)=1,"SERVICE READY","HOLD"))</f>
        <v>SOURCE EMPTY / INDUSTRIAL ONLY</v>
      </c>
      <c r="V2322" s="9" t="n">
        <f aca="false">IF(U2322="SERVICE READY",1,0)</f>
        <v>0</v>
      </c>
      <c r="W2322" s="6"/>
      <c r="X2322" s="6"/>
      <c r="Y2322" s="6"/>
      <c r="Z2322" s="6"/>
    </row>
    <row r="2323" customFormat="false" ht="15" hidden="false" customHeight="false" outlineLevel="0" collapsed="false">
      <c r="A2323" s="9" t="s">
        <v>2583</v>
      </c>
      <c r="B2323" s="9" t="s">
        <v>2544</v>
      </c>
      <c r="C2323" s="9" t="s">
        <v>2545</v>
      </c>
      <c r="D2323" s="9" t="s">
        <v>2185</v>
      </c>
      <c r="E2323" s="9" t="s">
        <v>2027</v>
      </c>
      <c r="F2323" s="9" t="s">
        <v>205</v>
      </c>
      <c r="G2323" s="9" t="s">
        <v>221</v>
      </c>
      <c r="H2323" s="9" t="n">
        <v>750</v>
      </c>
      <c r="I2323" s="29" t="n">
        <v>0.8</v>
      </c>
      <c r="J2323" s="9" t="n">
        <v>1</v>
      </c>
      <c r="K2323" s="30"/>
      <c r="L2323" s="30"/>
      <c r="M2323" s="30"/>
      <c r="N2323" s="30"/>
      <c r="O2323" s="30"/>
      <c r="P2323" s="30"/>
      <c r="Q2323" s="30"/>
      <c r="R2323" s="30"/>
      <c r="S2323" s="30"/>
      <c r="T2323" s="30"/>
      <c r="U2323" s="21" t="str">
        <f aca="false">IF(COUNT(K2323:T2323)=0,"SOURCE EMPTY / INDUSTRIAL ONLY",IF(MIN(K2323:T2323)=1,"SERVICE READY","HOLD"))</f>
        <v>SOURCE EMPTY / INDUSTRIAL ONLY</v>
      </c>
      <c r="V2323" s="9" t="n">
        <f aca="false">IF(U2323="SERVICE READY",1,0)</f>
        <v>0</v>
      </c>
      <c r="W2323" s="6"/>
      <c r="X2323" s="6"/>
      <c r="Y2323" s="6"/>
      <c r="Z2323" s="6"/>
    </row>
    <row r="2324" customFormat="false" ht="15" hidden="false" customHeight="false" outlineLevel="0" collapsed="false">
      <c r="A2324" s="9" t="s">
        <v>2584</v>
      </c>
      <c r="B2324" s="9" t="s">
        <v>2544</v>
      </c>
      <c r="C2324" s="9" t="s">
        <v>2545</v>
      </c>
      <c r="D2324" s="9" t="s">
        <v>2185</v>
      </c>
      <c r="E2324" s="9" t="s">
        <v>2027</v>
      </c>
      <c r="F2324" s="9" t="s">
        <v>207</v>
      </c>
      <c r="G2324" s="9" t="s">
        <v>221</v>
      </c>
      <c r="H2324" s="9" t="n">
        <v>750</v>
      </c>
      <c r="I2324" s="29" t="n">
        <v>0.8</v>
      </c>
      <c r="J2324" s="9" t="n">
        <v>1</v>
      </c>
      <c r="K2324" s="30"/>
      <c r="L2324" s="30"/>
      <c r="M2324" s="30"/>
      <c r="N2324" s="30"/>
      <c r="O2324" s="30"/>
      <c r="P2324" s="30"/>
      <c r="Q2324" s="30"/>
      <c r="R2324" s="30"/>
      <c r="S2324" s="30"/>
      <c r="T2324" s="30"/>
      <c r="U2324" s="21" t="str">
        <f aca="false">IF(COUNT(K2324:T2324)=0,"SOURCE EMPTY / INDUSTRIAL ONLY",IF(MIN(K2324:T2324)=1,"SERVICE READY","HOLD"))</f>
        <v>SOURCE EMPTY / INDUSTRIAL ONLY</v>
      </c>
      <c r="V2324" s="9" t="n">
        <f aca="false">IF(U2324="SERVICE READY",1,0)</f>
        <v>0</v>
      </c>
      <c r="W2324" s="6"/>
      <c r="X2324" s="6"/>
      <c r="Y2324" s="6"/>
      <c r="Z2324" s="6"/>
    </row>
    <row r="2325" customFormat="false" ht="15" hidden="false" customHeight="false" outlineLevel="0" collapsed="false">
      <c r="A2325" s="9" t="s">
        <v>2585</v>
      </c>
      <c r="B2325" s="9" t="s">
        <v>2544</v>
      </c>
      <c r="C2325" s="9" t="s">
        <v>2545</v>
      </c>
      <c r="D2325" s="9" t="s">
        <v>2185</v>
      </c>
      <c r="E2325" s="9" t="s">
        <v>2027</v>
      </c>
      <c r="F2325" s="9" t="s">
        <v>209</v>
      </c>
      <c r="G2325" s="9" t="s">
        <v>221</v>
      </c>
      <c r="H2325" s="9" t="n">
        <v>750</v>
      </c>
      <c r="I2325" s="29" t="n">
        <v>0.8</v>
      </c>
      <c r="J2325" s="9" t="n">
        <v>1</v>
      </c>
      <c r="K2325" s="30"/>
      <c r="L2325" s="30"/>
      <c r="M2325" s="30"/>
      <c r="N2325" s="30"/>
      <c r="O2325" s="30"/>
      <c r="P2325" s="30"/>
      <c r="Q2325" s="30"/>
      <c r="R2325" s="30"/>
      <c r="S2325" s="30"/>
      <c r="T2325" s="30"/>
      <c r="U2325" s="21" t="str">
        <f aca="false">IF(COUNT(K2325:T2325)=0,"SOURCE EMPTY / INDUSTRIAL ONLY",IF(MIN(K2325:T2325)=1,"SERVICE READY","HOLD"))</f>
        <v>SOURCE EMPTY / INDUSTRIAL ONLY</v>
      </c>
      <c r="V2325" s="9" t="n">
        <f aca="false">IF(U2325="SERVICE READY",1,0)</f>
        <v>0</v>
      </c>
      <c r="W2325" s="6"/>
      <c r="X2325" s="6"/>
      <c r="Y2325" s="6"/>
      <c r="Z2325" s="6"/>
    </row>
    <row r="2326" customFormat="false" ht="15" hidden="false" customHeight="false" outlineLevel="0" collapsed="false">
      <c r="A2326" s="9" t="s">
        <v>2586</v>
      </c>
      <c r="B2326" s="9" t="s">
        <v>2544</v>
      </c>
      <c r="C2326" s="9" t="s">
        <v>2545</v>
      </c>
      <c r="D2326" s="9" t="s">
        <v>2185</v>
      </c>
      <c r="E2326" s="9" t="s">
        <v>2027</v>
      </c>
      <c r="F2326" s="9" t="s">
        <v>211</v>
      </c>
      <c r="G2326" s="9" t="s">
        <v>221</v>
      </c>
      <c r="H2326" s="9" t="n">
        <v>750</v>
      </c>
      <c r="I2326" s="29" t="n">
        <v>0.8</v>
      </c>
      <c r="J2326" s="9" t="n">
        <v>1</v>
      </c>
      <c r="K2326" s="30"/>
      <c r="L2326" s="30"/>
      <c r="M2326" s="30"/>
      <c r="N2326" s="30"/>
      <c r="O2326" s="30"/>
      <c r="P2326" s="30"/>
      <c r="Q2326" s="30"/>
      <c r="R2326" s="30"/>
      <c r="S2326" s="30"/>
      <c r="T2326" s="30"/>
      <c r="U2326" s="21" t="str">
        <f aca="false">IF(COUNT(K2326:T2326)=0,"SOURCE EMPTY / INDUSTRIAL ONLY",IF(MIN(K2326:T2326)=1,"SERVICE READY","HOLD"))</f>
        <v>SOURCE EMPTY / INDUSTRIAL ONLY</v>
      </c>
      <c r="V2326" s="9" t="n">
        <f aca="false">IF(U2326="SERVICE READY",1,0)</f>
        <v>0</v>
      </c>
      <c r="W2326" s="6"/>
      <c r="X2326" s="6"/>
      <c r="Y2326" s="6"/>
      <c r="Z2326" s="6"/>
    </row>
    <row r="2327" customFormat="false" ht="15" hidden="false" customHeight="false" outlineLevel="0" collapsed="false">
      <c r="A2327" s="9" t="s">
        <v>2587</v>
      </c>
      <c r="B2327" s="9" t="s">
        <v>2544</v>
      </c>
      <c r="C2327" s="9" t="s">
        <v>2545</v>
      </c>
      <c r="D2327" s="9" t="s">
        <v>2185</v>
      </c>
      <c r="E2327" s="9" t="s">
        <v>2027</v>
      </c>
      <c r="F2327" s="9" t="s">
        <v>197</v>
      </c>
      <c r="G2327" s="9" t="s">
        <v>221</v>
      </c>
      <c r="H2327" s="9" t="n">
        <v>750</v>
      </c>
      <c r="I2327" s="29" t="n">
        <v>0.8</v>
      </c>
      <c r="J2327" s="9" t="n">
        <v>1</v>
      </c>
      <c r="K2327" s="30"/>
      <c r="L2327" s="30"/>
      <c r="M2327" s="30"/>
      <c r="N2327" s="30"/>
      <c r="O2327" s="30"/>
      <c r="P2327" s="30"/>
      <c r="Q2327" s="30"/>
      <c r="R2327" s="30"/>
      <c r="S2327" s="30"/>
      <c r="T2327" s="30"/>
      <c r="U2327" s="21" t="str">
        <f aca="false">IF(COUNT(K2327:T2327)=0,"SOURCE EMPTY / INDUSTRIAL ONLY",IF(MIN(K2327:T2327)=1,"SERVICE READY","HOLD"))</f>
        <v>SOURCE EMPTY / INDUSTRIAL ONLY</v>
      </c>
      <c r="V2327" s="9" t="n">
        <f aca="false">IF(U2327="SERVICE READY",1,0)</f>
        <v>0</v>
      </c>
      <c r="W2327" s="6"/>
      <c r="X2327" s="6"/>
      <c r="Y2327" s="6"/>
      <c r="Z2327" s="6"/>
    </row>
    <row r="2328" customFormat="false" ht="15" hidden="false" customHeight="false" outlineLevel="0" collapsed="false">
      <c r="A2328" s="9" t="s">
        <v>2588</v>
      </c>
      <c r="B2328" s="9" t="s">
        <v>2544</v>
      </c>
      <c r="C2328" s="9" t="s">
        <v>2545</v>
      </c>
      <c r="D2328" s="9" t="s">
        <v>2185</v>
      </c>
      <c r="E2328" s="9" t="s">
        <v>2027</v>
      </c>
      <c r="F2328" s="9" t="s">
        <v>200</v>
      </c>
      <c r="G2328" s="9" t="s">
        <v>221</v>
      </c>
      <c r="H2328" s="9" t="n">
        <v>750</v>
      </c>
      <c r="I2328" s="29" t="n">
        <v>0.8</v>
      </c>
      <c r="J2328" s="9" t="n">
        <v>1</v>
      </c>
      <c r="K2328" s="30"/>
      <c r="L2328" s="30"/>
      <c r="M2328" s="30"/>
      <c r="N2328" s="30"/>
      <c r="O2328" s="30"/>
      <c r="P2328" s="30"/>
      <c r="Q2328" s="30"/>
      <c r="R2328" s="30"/>
      <c r="S2328" s="30"/>
      <c r="T2328" s="30"/>
      <c r="U2328" s="21" t="str">
        <f aca="false">IF(COUNT(K2328:T2328)=0,"SOURCE EMPTY / INDUSTRIAL ONLY",IF(MIN(K2328:T2328)=1,"SERVICE READY","HOLD"))</f>
        <v>SOURCE EMPTY / INDUSTRIAL ONLY</v>
      </c>
      <c r="V2328" s="9" t="n">
        <f aca="false">IF(U2328="SERVICE READY",1,0)</f>
        <v>0</v>
      </c>
      <c r="W2328" s="6"/>
      <c r="X2328" s="6"/>
      <c r="Y2328" s="6"/>
      <c r="Z2328" s="6"/>
    </row>
    <row r="2329" customFormat="false" ht="15" hidden="false" customHeight="false" outlineLevel="0" collapsed="false">
      <c r="A2329" s="9" t="s">
        <v>2589</v>
      </c>
      <c r="B2329" s="9" t="s">
        <v>2544</v>
      </c>
      <c r="C2329" s="9" t="s">
        <v>2545</v>
      </c>
      <c r="D2329" s="9" t="s">
        <v>2185</v>
      </c>
      <c r="E2329" s="9" t="s">
        <v>2027</v>
      </c>
      <c r="F2329" s="9" t="s">
        <v>203</v>
      </c>
      <c r="G2329" s="9" t="s">
        <v>221</v>
      </c>
      <c r="H2329" s="9" t="n">
        <v>750</v>
      </c>
      <c r="I2329" s="29" t="n">
        <v>0.8</v>
      </c>
      <c r="J2329" s="9" t="n">
        <v>1</v>
      </c>
      <c r="K2329" s="30"/>
      <c r="L2329" s="30"/>
      <c r="M2329" s="30"/>
      <c r="N2329" s="30"/>
      <c r="O2329" s="30"/>
      <c r="P2329" s="30"/>
      <c r="Q2329" s="30"/>
      <c r="R2329" s="30"/>
      <c r="S2329" s="30"/>
      <c r="T2329" s="30"/>
      <c r="U2329" s="21" t="str">
        <f aca="false">IF(COUNT(K2329:T2329)=0,"SOURCE EMPTY / INDUSTRIAL ONLY",IF(MIN(K2329:T2329)=1,"SERVICE READY","HOLD"))</f>
        <v>SOURCE EMPTY / INDUSTRIAL ONLY</v>
      </c>
      <c r="V2329" s="9" t="n">
        <f aca="false">IF(U2329="SERVICE READY",1,0)</f>
        <v>0</v>
      </c>
      <c r="W2329" s="6"/>
      <c r="X2329" s="6"/>
      <c r="Y2329" s="6"/>
      <c r="Z2329" s="6"/>
    </row>
    <row r="2330" customFormat="false" ht="15" hidden="false" customHeight="false" outlineLevel="0" collapsed="false">
      <c r="A2330" s="9" t="s">
        <v>2590</v>
      </c>
      <c r="B2330" s="9" t="s">
        <v>2544</v>
      </c>
      <c r="C2330" s="9" t="s">
        <v>2545</v>
      </c>
      <c r="D2330" s="9" t="s">
        <v>2185</v>
      </c>
      <c r="E2330" s="9" t="s">
        <v>2027</v>
      </c>
      <c r="F2330" s="9" t="s">
        <v>205</v>
      </c>
      <c r="G2330" s="9" t="s">
        <v>221</v>
      </c>
      <c r="H2330" s="9" t="n">
        <v>750</v>
      </c>
      <c r="I2330" s="29" t="n">
        <v>0.8</v>
      </c>
      <c r="J2330" s="9" t="n">
        <v>1</v>
      </c>
      <c r="K2330" s="30"/>
      <c r="L2330" s="30"/>
      <c r="M2330" s="30"/>
      <c r="N2330" s="30"/>
      <c r="O2330" s="30"/>
      <c r="P2330" s="30"/>
      <c r="Q2330" s="30"/>
      <c r="R2330" s="30"/>
      <c r="S2330" s="30"/>
      <c r="T2330" s="30"/>
      <c r="U2330" s="21" t="str">
        <f aca="false">IF(COUNT(K2330:T2330)=0,"SOURCE EMPTY / INDUSTRIAL ONLY",IF(MIN(K2330:T2330)=1,"SERVICE READY","HOLD"))</f>
        <v>SOURCE EMPTY / INDUSTRIAL ONLY</v>
      </c>
      <c r="V2330" s="9" t="n">
        <f aca="false">IF(U2330="SERVICE READY",1,0)</f>
        <v>0</v>
      </c>
      <c r="W2330" s="6"/>
      <c r="X2330" s="6"/>
      <c r="Y2330" s="6"/>
      <c r="Z2330" s="6"/>
    </row>
    <row r="2331" customFormat="false" ht="15" hidden="false" customHeight="false" outlineLevel="0" collapsed="false">
      <c r="A2331" s="9" t="s">
        <v>2591</v>
      </c>
      <c r="B2331" s="9" t="s">
        <v>2544</v>
      </c>
      <c r="C2331" s="9" t="s">
        <v>2545</v>
      </c>
      <c r="D2331" s="9" t="s">
        <v>2185</v>
      </c>
      <c r="E2331" s="9" t="s">
        <v>2027</v>
      </c>
      <c r="F2331" s="9" t="s">
        <v>207</v>
      </c>
      <c r="G2331" s="9" t="s">
        <v>221</v>
      </c>
      <c r="H2331" s="9" t="n">
        <v>750</v>
      </c>
      <c r="I2331" s="29" t="n">
        <v>0.8</v>
      </c>
      <c r="J2331" s="9" t="n">
        <v>1</v>
      </c>
      <c r="K2331" s="30"/>
      <c r="L2331" s="30"/>
      <c r="M2331" s="30"/>
      <c r="N2331" s="30"/>
      <c r="O2331" s="30"/>
      <c r="P2331" s="30"/>
      <c r="Q2331" s="30"/>
      <c r="R2331" s="30"/>
      <c r="S2331" s="30"/>
      <c r="T2331" s="30"/>
      <c r="U2331" s="21" t="str">
        <f aca="false">IF(COUNT(K2331:T2331)=0,"SOURCE EMPTY / INDUSTRIAL ONLY",IF(MIN(K2331:T2331)=1,"SERVICE READY","HOLD"))</f>
        <v>SOURCE EMPTY / INDUSTRIAL ONLY</v>
      </c>
      <c r="V2331" s="9" t="n">
        <f aca="false">IF(U2331="SERVICE READY",1,0)</f>
        <v>0</v>
      </c>
      <c r="W2331" s="6"/>
      <c r="X2331" s="6"/>
      <c r="Y2331" s="6"/>
      <c r="Z2331" s="6"/>
    </row>
    <row r="2332" customFormat="false" ht="15" hidden="false" customHeight="false" outlineLevel="0" collapsed="false">
      <c r="A2332" s="9" t="s">
        <v>2592</v>
      </c>
      <c r="B2332" s="9" t="s">
        <v>2544</v>
      </c>
      <c r="C2332" s="9" t="s">
        <v>2545</v>
      </c>
      <c r="D2332" s="9" t="s">
        <v>2185</v>
      </c>
      <c r="E2332" s="9" t="s">
        <v>2027</v>
      </c>
      <c r="F2332" s="9" t="s">
        <v>209</v>
      </c>
      <c r="G2332" s="9" t="s">
        <v>221</v>
      </c>
      <c r="H2332" s="9" t="n">
        <v>750</v>
      </c>
      <c r="I2332" s="29" t="n">
        <v>0.8</v>
      </c>
      <c r="J2332" s="9" t="n">
        <v>1</v>
      </c>
      <c r="K2332" s="30"/>
      <c r="L2332" s="30"/>
      <c r="M2332" s="30"/>
      <c r="N2332" s="30"/>
      <c r="O2332" s="30"/>
      <c r="P2332" s="30"/>
      <c r="Q2332" s="30"/>
      <c r="R2332" s="30"/>
      <c r="S2332" s="30"/>
      <c r="T2332" s="30"/>
      <c r="U2332" s="21" t="str">
        <f aca="false">IF(COUNT(K2332:T2332)=0,"SOURCE EMPTY / INDUSTRIAL ONLY",IF(MIN(K2332:T2332)=1,"SERVICE READY","HOLD"))</f>
        <v>SOURCE EMPTY / INDUSTRIAL ONLY</v>
      </c>
      <c r="V2332" s="9" t="n">
        <f aca="false">IF(U2332="SERVICE READY",1,0)</f>
        <v>0</v>
      </c>
      <c r="W2332" s="6"/>
      <c r="X2332" s="6"/>
      <c r="Y2332" s="6"/>
      <c r="Z2332" s="6"/>
    </row>
    <row r="2333" customFormat="false" ht="15" hidden="false" customHeight="false" outlineLevel="0" collapsed="false">
      <c r="A2333" s="9" t="s">
        <v>2593</v>
      </c>
      <c r="B2333" s="9" t="s">
        <v>2544</v>
      </c>
      <c r="C2333" s="9" t="s">
        <v>2545</v>
      </c>
      <c r="D2333" s="9" t="s">
        <v>2185</v>
      </c>
      <c r="E2333" s="9" t="s">
        <v>2027</v>
      </c>
      <c r="F2333" s="9" t="s">
        <v>211</v>
      </c>
      <c r="G2333" s="9" t="s">
        <v>221</v>
      </c>
      <c r="H2333" s="9" t="n">
        <v>750</v>
      </c>
      <c r="I2333" s="29" t="n">
        <v>0.8</v>
      </c>
      <c r="J2333" s="9" t="n">
        <v>1</v>
      </c>
      <c r="K2333" s="30"/>
      <c r="L2333" s="30"/>
      <c r="M2333" s="30"/>
      <c r="N2333" s="30"/>
      <c r="O2333" s="30"/>
      <c r="P2333" s="30"/>
      <c r="Q2333" s="30"/>
      <c r="R2333" s="30"/>
      <c r="S2333" s="30"/>
      <c r="T2333" s="30"/>
      <c r="U2333" s="21" t="str">
        <f aca="false">IF(COUNT(K2333:T2333)=0,"SOURCE EMPTY / INDUSTRIAL ONLY",IF(MIN(K2333:T2333)=1,"SERVICE READY","HOLD"))</f>
        <v>SOURCE EMPTY / INDUSTRIAL ONLY</v>
      </c>
      <c r="V2333" s="9" t="n">
        <f aca="false">IF(U2333="SERVICE READY",1,0)</f>
        <v>0</v>
      </c>
      <c r="W2333" s="6"/>
      <c r="X2333" s="6"/>
      <c r="Y2333" s="6"/>
      <c r="Z2333" s="6"/>
    </row>
    <row r="2334" customFormat="false" ht="15" hidden="false" customHeight="false" outlineLevel="0" collapsed="false">
      <c r="A2334" s="9" t="s">
        <v>2594</v>
      </c>
      <c r="B2334" s="9" t="s">
        <v>2544</v>
      </c>
      <c r="C2334" s="9" t="s">
        <v>2545</v>
      </c>
      <c r="D2334" s="9" t="s">
        <v>2185</v>
      </c>
      <c r="E2334" s="9" t="s">
        <v>2027</v>
      </c>
      <c r="F2334" s="9" t="s">
        <v>197</v>
      </c>
      <c r="G2334" s="9" t="s">
        <v>221</v>
      </c>
      <c r="H2334" s="9" t="n">
        <v>750</v>
      </c>
      <c r="I2334" s="29" t="n">
        <v>0.8</v>
      </c>
      <c r="J2334" s="9" t="n">
        <v>1</v>
      </c>
      <c r="K2334" s="30"/>
      <c r="L2334" s="30"/>
      <c r="M2334" s="30"/>
      <c r="N2334" s="30"/>
      <c r="O2334" s="30"/>
      <c r="P2334" s="30"/>
      <c r="Q2334" s="30"/>
      <c r="R2334" s="30"/>
      <c r="S2334" s="30"/>
      <c r="T2334" s="30"/>
      <c r="U2334" s="21" t="str">
        <f aca="false">IF(COUNT(K2334:T2334)=0,"SOURCE EMPTY / INDUSTRIAL ONLY",IF(MIN(K2334:T2334)=1,"SERVICE READY","HOLD"))</f>
        <v>SOURCE EMPTY / INDUSTRIAL ONLY</v>
      </c>
      <c r="V2334" s="9" t="n">
        <f aca="false">IF(U2334="SERVICE READY",1,0)</f>
        <v>0</v>
      </c>
      <c r="W2334" s="6"/>
      <c r="X2334" s="6"/>
      <c r="Y2334" s="6"/>
      <c r="Z2334" s="6"/>
    </row>
    <row r="2335" customFormat="false" ht="15" hidden="false" customHeight="false" outlineLevel="0" collapsed="false">
      <c r="A2335" s="9" t="s">
        <v>2595</v>
      </c>
      <c r="B2335" s="9" t="s">
        <v>2544</v>
      </c>
      <c r="C2335" s="9" t="s">
        <v>2545</v>
      </c>
      <c r="D2335" s="9" t="s">
        <v>2185</v>
      </c>
      <c r="E2335" s="9" t="s">
        <v>2027</v>
      </c>
      <c r="F2335" s="9" t="s">
        <v>200</v>
      </c>
      <c r="G2335" s="9" t="s">
        <v>221</v>
      </c>
      <c r="H2335" s="9" t="n">
        <v>750</v>
      </c>
      <c r="I2335" s="29" t="n">
        <v>0.8</v>
      </c>
      <c r="J2335" s="9" t="n">
        <v>1</v>
      </c>
      <c r="K2335" s="30"/>
      <c r="L2335" s="30"/>
      <c r="M2335" s="30"/>
      <c r="N2335" s="30"/>
      <c r="O2335" s="30"/>
      <c r="P2335" s="30"/>
      <c r="Q2335" s="30"/>
      <c r="R2335" s="30"/>
      <c r="S2335" s="30"/>
      <c r="T2335" s="30"/>
      <c r="U2335" s="21" t="str">
        <f aca="false">IF(COUNT(K2335:T2335)=0,"SOURCE EMPTY / INDUSTRIAL ONLY",IF(MIN(K2335:T2335)=1,"SERVICE READY","HOLD"))</f>
        <v>SOURCE EMPTY / INDUSTRIAL ONLY</v>
      </c>
      <c r="V2335" s="9" t="n">
        <f aca="false">IF(U2335="SERVICE READY",1,0)</f>
        <v>0</v>
      </c>
      <c r="W2335" s="6"/>
      <c r="X2335" s="6"/>
      <c r="Y2335" s="6"/>
      <c r="Z2335" s="6"/>
    </row>
    <row r="2336" customFormat="false" ht="15" hidden="false" customHeight="false" outlineLevel="0" collapsed="false">
      <c r="A2336" s="9" t="s">
        <v>2596</v>
      </c>
      <c r="B2336" s="9" t="s">
        <v>2544</v>
      </c>
      <c r="C2336" s="9" t="s">
        <v>2545</v>
      </c>
      <c r="D2336" s="9" t="s">
        <v>2185</v>
      </c>
      <c r="E2336" s="9" t="s">
        <v>2027</v>
      </c>
      <c r="F2336" s="9" t="s">
        <v>203</v>
      </c>
      <c r="G2336" s="9" t="s">
        <v>221</v>
      </c>
      <c r="H2336" s="9" t="n">
        <v>750</v>
      </c>
      <c r="I2336" s="29" t="n">
        <v>0.8</v>
      </c>
      <c r="J2336" s="9" t="n">
        <v>1</v>
      </c>
      <c r="K2336" s="30"/>
      <c r="L2336" s="30"/>
      <c r="M2336" s="30"/>
      <c r="N2336" s="30"/>
      <c r="O2336" s="30"/>
      <c r="P2336" s="30"/>
      <c r="Q2336" s="30"/>
      <c r="R2336" s="30"/>
      <c r="S2336" s="30"/>
      <c r="T2336" s="30"/>
      <c r="U2336" s="21" t="str">
        <f aca="false">IF(COUNT(K2336:T2336)=0,"SOURCE EMPTY / INDUSTRIAL ONLY",IF(MIN(K2336:T2336)=1,"SERVICE READY","HOLD"))</f>
        <v>SOURCE EMPTY / INDUSTRIAL ONLY</v>
      </c>
      <c r="V2336" s="9" t="n">
        <f aca="false">IF(U2336="SERVICE READY",1,0)</f>
        <v>0</v>
      </c>
      <c r="W2336" s="6"/>
      <c r="X2336" s="6"/>
      <c r="Y2336" s="6"/>
      <c r="Z2336" s="6"/>
    </row>
    <row r="2337" customFormat="false" ht="15" hidden="false" customHeight="false" outlineLevel="0" collapsed="false">
      <c r="A2337" s="9" t="s">
        <v>2597</v>
      </c>
      <c r="B2337" s="9" t="s">
        <v>2544</v>
      </c>
      <c r="C2337" s="9" t="s">
        <v>2545</v>
      </c>
      <c r="D2337" s="9" t="s">
        <v>2185</v>
      </c>
      <c r="E2337" s="9" t="s">
        <v>2027</v>
      </c>
      <c r="F2337" s="9" t="s">
        <v>205</v>
      </c>
      <c r="G2337" s="9" t="s">
        <v>221</v>
      </c>
      <c r="H2337" s="9" t="n">
        <v>750</v>
      </c>
      <c r="I2337" s="29" t="n">
        <v>0.8</v>
      </c>
      <c r="J2337" s="9" t="n">
        <v>1</v>
      </c>
      <c r="K2337" s="30"/>
      <c r="L2337" s="30"/>
      <c r="M2337" s="30"/>
      <c r="N2337" s="30"/>
      <c r="O2337" s="30"/>
      <c r="P2337" s="30"/>
      <c r="Q2337" s="30"/>
      <c r="R2337" s="30"/>
      <c r="S2337" s="30"/>
      <c r="T2337" s="30"/>
      <c r="U2337" s="21" t="str">
        <f aca="false">IF(COUNT(K2337:T2337)=0,"SOURCE EMPTY / INDUSTRIAL ONLY",IF(MIN(K2337:T2337)=1,"SERVICE READY","HOLD"))</f>
        <v>SOURCE EMPTY / INDUSTRIAL ONLY</v>
      </c>
      <c r="V2337" s="9" t="n">
        <f aca="false">IF(U2337="SERVICE READY",1,0)</f>
        <v>0</v>
      </c>
      <c r="W2337" s="6"/>
      <c r="X2337" s="6"/>
      <c r="Y2337" s="6"/>
      <c r="Z2337" s="6"/>
    </row>
    <row r="2338" customFormat="false" ht="15" hidden="false" customHeight="false" outlineLevel="0" collapsed="false">
      <c r="A2338" s="9" t="s">
        <v>2598</v>
      </c>
      <c r="B2338" s="9" t="s">
        <v>2544</v>
      </c>
      <c r="C2338" s="9" t="s">
        <v>2545</v>
      </c>
      <c r="D2338" s="9" t="s">
        <v>2185</v>
      </c>
      <c r="E2338" s="9" t="s">
        <v>2027</v>
      </c>
      <c r="F2338" s="9" t="s">
        <v>207</v>
      </c>
      <c r="G2338" s="9" t="s">
        <v>221</v>
      </c>
      <c r="H2338" s="9" t="n">
        <v>750</v>
      </c>
      <c r="I2338" s="29" t="n">
        <v>0.8</v>
      </c>
      <c r="J2338" s="9" t="n">
        <v>1</v>
      </c>
      <c r="K2338" s="30"/>
      <c r="L2338" s="30"/>
      <c r="M2338" s="30"/>
      <c r="N2338" s="30"/>
      <c r="O2338" s="30"/>
      <c r="P2338" s="30"/>
      <c r="Q2338" s="30"/>
      <c r="R2338" s="30"/>
      <c r="S2338" s="30"/>
      <c r="T2338" s="30"/>
      <c r="U2338" s="21" t="str">
        <f aca="false">IF(COUNT(K2338:T2338)=0,"SOURCE EMPTY / INDUSTRIAL ONLY",IF(MIN(K2338:T2338)=1,"SERVICE READY","HOLD"))</f>
        <v>SOURCE EMPTY / INDUSTRIAL ONLY</v>
      </c>
      <c r="V2338" s="9" t="n">
        <f aca="false">IF(U2338="SERVICE READY",1,0)</f>
        <v>0</v>
      </c>
      <c r="W2338" s="6"/>
      <c r="X2338" s="6"/>
      <c r="Y2338" s="6"/>
      <c r="Z2338" s="6"/>
    </row>
    <row r="2339" customFormat="false" ht="15" hidden="false" customHeight="false" outlineLevel="0" collapsed="false">
      <c r="A2339" s="9" t="s">
        <v>2599</v>
      </c>
      <c r="B2339" s="9" t="s">
        <v>2544</v>
      </c>
      <c r="C2339" s="9" t="s">
        <v>2545</v>
      </c>
      <c r="D2339" s="9" t="s">
        <v>2185</v>
      </c>
      <c r="E2339" s="9" t="s">
        <v>2027</v>
      </c>
      <c r="F2339" s="9" t="s">
        <v>209</v>
      </c>
      <c r="G2339" s="9" t="s">
        <v>221</v>
      </c>
      <c r="H2339" s="9" t="n">
        <v>750</v>
      </c>
      <c r="I2339" s="29" t="n">
        <v>0.8</v>
      </c>
      <c r="J2339" s="9" t="n">
        <v>1</v>
      </c>
      <c r="K2339" s="30"/>
      <c r="L2339" s="30"/>
      <c r="M2339" s="30"/>
      <c r="N2339" s="30"/>
      <c r="O2339" s="30"/>
      <c r="P2339" s="30"/>
      <c r="Q2339" s="30"/>
      <c r="R2339" s="30"/>
      <c r="S2339" s="30"/>
      <c r="T2339" s="30"/>
      <c r="U2339" s="21" t="str">
        <f aca="false">IF(COUNT(K2339:T2339)=0,"SOURCE EMPTY / INDUSTRIAL ONLY",IF(MIN(K2339:T2339)=1,"SERVICE READY","HOLD"))</f>
        <v>SOURCE EMPTY / INDUSTRIAL ONLY</v>
      </c>
      <c r="V2339" s="9" t="n">
        <f aca="false">IF(U2339="SERVICE READY",1,0)</f>
        <v>0</v>
      </c>
      <c r="W2339" s="6"/>
      <c r="X2339" s="6"/>
      <c r="Y2339" s="6"/>
      <c r="Z2339" s="6"/>
    </row>
    <row r="2340" customFormat="false" ht="15" hidden="false" customHeight="false" outlineLevel="0" collapsed="false">
      <c r="A2340" s="9" t="s">
        <v>2600</v>
      </c>
      <c r="B2340" s="9" t="s">
        <v>2544</v>
      </c>
      <c r="C2340" s="9" t="s">
        <v>2545</v>
      </c>
      <c r="D2340" s="9" t="s">
        <v>2185</v>
      </c>
      <c r="E2340" s="9" t="s">
        <v>2027</v>
      </c>
      <c r="F2340" s="9" t="s">
        <v>211</v>
      </c>
      <c r="G2340" s="9" t="s">
        <v>221</v>
      </c>
      <c r="H2340" s="9" t="n">
        <v>750</v>
      </c>
      <c r="I2340" s="29" t="n">
        <v>0.8</v>
      </c>
      <c r="J2340" s="9" t="n">
        <v>1</v>
      </c>
      <c r="K2340" s="30"/>
      <c r="L2340" s="30"/>
      <c r="M2340" s="30"/>
      <c r="N2340" s="30"/>
      <c r="O2340" s="30"/>
      <c r="P2340" s="30"/>
      <c r="Q2340" s="30"/>
      <c r="R2340" s="30"/>
      <c r="S2340" s="30"/>
      <c r="T2340" s="30"/>
      <c r="U2340" s="21" t="str">
        <f aca="false">IF(COUNT(K2340:T2340)=0,"SOURCE EMPTY / INDUSTRIAL ONLY",IF(MIN(K2340:T2340)=1,"SERVICE READY","HOLD"))</f>
        <v>SOURCE EMPTY / INDUSTRIAL ONLY</v>
      </c>
      <c r="V2340" s="9" t="n">
        <f aca="false">IF(U2340="SERVICE READY",1,0)</f>
        <v>0</v>
      </c>
      <c r="W2340" s="6"/>
      <c r="X2340" s="6"/>
      <c r="Y2340" s="6"/>
      <c r="Z2340" s="6"/>
    </row>
    <row r="2341" customFormat="false" ht="15" hidden="false" customHeight="false" outlineLevel="0" collapsed="false">
      <c r="A2341" s="9" t="s">
        <v>2601</v>
      </c>
      <c r="B2341" s="9" t="s">
        <v>2544</v>
      </c>
      <c r="C2341" s="9" t="s">
        <v>2545</v>
      </c>
      <c r="D2341" s="9" t="s">
        <v>2185</v>
      </c>
      <c r="E2341" s="9" t="s">
        <v>2027</v>
      </c>
      <c r="F2341" s="9" t="s">
        <v>197</v>
      </c>
      <c r="G2341" s="9" t="s">
        <v>221</v>
      </c>
      <c r="H2341" s="9" t="n">
        <v>750</v>
      </c>
      <c r="I2341" s="29" t="n">
        <v>0.8</v>
      </c>
      <c r="J2341" s="9" t="n">
        <v>1</v>
      </c>
      <c r="K2341" s="30"/>
      <c r="L2341" s="30"/>
      <c r="M2341" s="30"/>
      <c r="N2341" s="30"/>
      <c r="O2341" s="30"/>
      <c r="P2341" s="30"/>
      <c r="Q2341" s="30"/>
      <c r="R2341" s="30"/>
      <c r="S2341" s="30"/>
      <c r="T2341" s="30"/>
      <c r="U2341" s="21" t="str">
        <f aca="false">IF(COUNT(K2341:T2341)=0,"SOURCE EMPTY / INDUSTRIAL ONLY",IF(MIN(K2341:T2341)=1,"SERVICE READY","HOLD"))</f>
        <v>SOURCE EMPTY / INDUSTRIAL ONLY</v>
      </c>
      <c r="V2341" s="9" t="n">
        <f aca="false">IF(U2341="SERVICE READY",1,0)</f>
        <v>0</v>
      </c>
      <c r="W2341" s="6"/>
      <c r="X2341" s="6"/>
      <c r="Y2341" s="6"/>
      <c r="Z2341" s="6"/>
    </row>
    <row r="2342" customFormat="false" ht="15" hidden="false" customHeight="false" outlineLevel="0" collapsed="false">
      <c r="A2342" s="9" t="s">
        <v>2602</v>
      </c>
      <c r="B2342" s="9" t="s">
        <v>2544</v>
      </c>
      <c r="C2342" s="9" t="s">
        <v>2545</v>
      </c>
      <c r="D2342" s="9" t="s">
        <v>2185</v>
      </c>
      <c r="E2342" s="9" t="s">
        <v>2027</v>
      </c>
      <c r="F2342" s="9" t="s">
        <v>200</v>
      </c>
      <c r="G2342" s="9" t="s">
        <v>221</v>
      </c>
      <c r="H2342" s="9" t="n">
        <v>750</v>
      </c>
      <c r="I2342" s="29" t="n">
        <v>0.8</v>
      </c>
      <c r="J2342" s="9" t="n">
        <v>1</v>
      </c>
      <c r="K2342" s="30"/>
      <c r="L2342" s="30"/>
      <c r="M2342" s="30"/>
      <c r="N2342" s="30"/>
      <c r="O2342" s="30"/>
      <c r="P2342" s="30"/>
      <c r="Q2342" s="30"/>
      <c r="R2342" s="30"/>
      <c r="S2342" s="30"/>
      <c r="T2342" s="30"/>
      <c r="U2342" s="21" t="str">
        <f aca="false">IF(COUNT(K2342:T2342)=0,"SOURCE EMPTY / INDUSTRIAL ONLY",IF(MIN(K2342:T2342)=1,"SERVICE READY","HOLD"))</f>
        <v>SOURCE EMPTY / INDUSTRIAL ONLY</v>
      </c>
      <c r="V2342" s="9" t="n">
        <f aca="false">IF(U2342="SERVICE READY",1,0)</f>
        <v>0</v>
      </c>
      <c r="W2342" s="6"/>
      <c r="X2342" s="6"/>
      <c r="Y2342" s="6"/>
      <c r="Z2342" s="6"/>
    </row>
    <row r="2343" customFormat="false" ht="15" hidden="false" customHeight="false" outlineLevel="0" collapsed="false">
      <c r="A2343" s="9" t="s">
        <v>2603</v>
      </c>
      <c r="B2343" s="9" t="s">
        <v>2544</v>
      </c>
      <c r="C2343" s="9" t="s">
        <v>2545</v>
      </c>
      <c r="D2343" s="9" t="s">
        <v>2185</v>
      </c>
      <c r="E2343" s="9" t="s">
        <v>2027</v>
      </c>
      <c r="F2343" s="9" t="s">
        <v>203</v>
      </c>
      <c r="G2343" s="9" t="s">
        <v>221</v>
      </c>
      <c r="H2343" s="9" t="n">
        <v>750</v>
      </c>
      <c r="I2343" s="29" t="n">
        <v>0.8</v>
      </c>
      <c r="J2343" s="9" t="n">
        <v>1</v>
      </c>
      <c r="K2343" s="30"/>
      <c r="L2343" s="30"/>
      <c r="M2343" s="30"/>
      <c r="N2343" s="30"/>
      <c r="O2343" s="30"/>
      <c r="P2343" s="30"/>
      <c r="Q2343" s="30"/>
      <c r="R2343" s="30"/>
      <c r="S2343" s="30"/>
      <c r="T2343" s="30"/>
      <c r="U2343" s="21" t="str">
        <f aca="false">IF(COUNT(K2343:T2343)=0,"SOURCE EMPTY / INDUSTRIAL ONLY",IF(MIN(K2343:T2343)=1,"SERVICE READY","HOLD"))</f>
        <v>SOURCE EMPTY / INDUSTRIAL ONLY</v>
      </c>
      <c r="V2343" s="9" t="n">
        <f aca="false">IF(U2343="SERVICE READY",1,0)</f>
        <v>0</v>
      </c>
      <c r="W2343" s="6"/>
      <c r="X2343" s="6"/>
      <c r="Y2343" s="6"/>
      <c r="Z2343" s="6"/>
    </row>
    <row r="2344" customFormat="false" ht="15" hidden="false" customHeight="false" outlineLevel="0" collapsed="false">
      <c r="A2344" s="9" t="s">
        <v>2604</v>
      </c>
      <c r="B2344" s="9" t="s">
        <v>2544</v>
      </c>
      <c r="C2344" s="9" t="s">
        <v>2545</v>
      </c>
      <c r="D2344" s="9" t="s">
        <v>2185</v>
      </c>
      <c r="E2344" s="9" t="s">
        <v>2027</v>
      </c>
      <c r="F2344" s="9" t="s">
        <v>205</v>
      </c>
      <c r="G2344" s="9" t="s">
        <v>221</v>
      </c>
      <c r="H2344" s="9" t="n">
        <v>750</v>
      </c>
      <c r="I2344" s="29" t="n">
        <v>0.8</v>
      </c>
      <c r="J2344" s="9" t="n">
        <v>1</v>
      </c>
      <c r="K2344" s="30"/>
      <c r="L2344" s="30"/>
      <c r="M2344" s="30"/>
      <c r="N2344" s="30"/>
      <c r="O2344" s="30"/>
      <c r="P2344" s="30"/>
      <c r="Q2344" s="30"/>
      <c r="R2344" s="30"/>
      <c r="S2344" s="30"/>
      <c r="T2344" s="30"/>
      <c r="U2344" s="21" t="str">
        <f aca="false">IF(COUNT(K2344:T2344)=0,"SOURCE EMPTY / INDUSTRIAL ONLY",IF(MIN(K2344:T2344)=1,"SERVICE READY","HOLD"))</f>
        <v>SOURCE EMPTY / INDUSTRIAL ONLY</v>
      </c>
      <c r="V2344" s="9" t="n">
        <f aca="false">IF(U2344="SERVICE READY",1,0)</f>
        <v>0</v>
      </c>
      <c r="W2344" s="6"/>
      <c r="X2344" s="6"/>
      <c r="Y2344" s="6"/>
      <c r="Z2344" s="6"/>
    </row>
    <row r="2345" customFormat="false" ht="15" hidden="false" customHeight="false" outlineLevel="0" collapsed="false">
      <c r="A2345" s="9" t="s">
        <v>2605</v>
      </c>
      <c r="B2345" s="9" t="s">
        <v>2544</v>
      </c>
      <c r="C2345" s="9" t="s">
        <v>2545</v>
      </c>
      <c r="D2345" s="9" t="s">
        <v>2185</v>
      </c>
      <c r="E2345" s="9" t="s">
        <v>2027</v>
      </c>
      <c r="F2345" s="9" t="s">
        <v>207</v>
      </c>
      <c r="G2345" s="9" t="s">
        <v>221</v>
      </c>
      <c r="H2345" s="9" t="n">
        <v>750</v>
      </c>
      <c r="I2345" s="29" t="n">
        <v>0.8</v>
      </c>
      <c r="J2345" s="9" t="n">
        <v>1</v>
      </c>
      <c r="K2345" s="30"/>
      <c r="L2345" s="30"/>
      <c r="M2345" s="30"/>
      <c r="N2345" s="30"/>
      <c r="O2345" s="30"/>
      <c r="P2345" s="30"/>
      <c r="Q2345" s="30"/>
      <c r="R2345" s="30"/>
      <c r="S2345" s="30"/>
      <c r="T2345" s="30"/>
      <c r="U2345" s="21" t="str">
        <f aca="false">IF(COUNT(K2345:T2345)=0,"SOURCE EMPTY / INDUSTRIAL ONLY",IF(MIN(K2345:T2345)=1,"SERVICE READY","HOLD"))</f>
        <v>SOURCE EMPTY / INDUSTRIAL ONLY</v>
      </c>
      <c r="V2345" s="9" t="n">
        <f aca="false">IF(U2345="SERVICE READY",1,0)</f>
        <v>0</v>
      </c>
      <c r="W2345" s="6"/>
      <c r="X2345" s="6"/>
      <c r="Y2345" s="6"/>
      <c r="Z2345" s="6"/>
    </row>
    <row r="2346" customFormat="false" ht="15" hidden="false" customHeight="false" outlineLevel="0" collapsed="false">
      <c r="A2346" s="9" t="s">
        <v>2606</v>
      </c>
      <c r="B2346" s="9" t="s">
        <v>2544</v>
      </c>
      <c r="C2346" s="9" t="s">
        <v>2545</v>
      </c>
      <c r="D2346" s="9" t="s">
        <v>2185</v>
      </c>
      <c r="E2346" s="9" t="s">
        <v>2027</v>
      </c>
      <c r="F2346" s="9" t="s">
        <v>209</v>
      </c>
      <c r="G2346" s="9" t="s">
        <v>221</v>
      </c>
      <c r="H2346" s="9" t="n">
        <v>750</v>
      </c>
      <c r="I2346" s="29" t="n">
        <v>0.8</v>
      </c>
      <c r="J2346" s="9" t="n">
        <v>1</v>
      </c>
      <c r="K2346" s="30"/>
      <c r="L2346" s="30"/>
      <c r="M2346" s="30"/>
      <c r="N2346" s="30"/>
      <c r="O2346" s="30"/>
      <c r="P2346" s="30"/>
      <c r="Q2346" s="30"/>
      <c r="R2346" s="30"/>
      <c r="S2346" s="30"/>
      <c r="T2346" s="30"/>
      <c r="U2346" s="21" t="str">
        <f aca="false">IF(COUNT(K2346:T2346)=0,"SOURCE EMPTY / INDUSTRIAL ONLY",IF(MIN(K2346:T2346)=1,"SERVICE READY","HOLD"))</f>
        <v>SOURCE EMPTY / INDUSTRIAL ONLY</v>
      </c>
      <c r="V2346" s="9" t="n">
        <f aca="false">IF(U2346="SERVICE READY",1,0)</f>
        <v>0</v>
      </c>
      <c r="W2346" s="6"/>
      <c r="X2346" s="6"/>
      <c r="Y2346" s="6"/>
      <c r="Z2346" s="6"/>
    </row>
    <row r="2347" customFormat="false" ht="15" hidden="false" customHeight="false" outlineLevel="0" collapsed="false">
      <c r="A2347" s="9" t="s">
        <v>2607</v>
      </c>
      <c r="B2347" s="9" t="s">
        <v>2544</v>
      </c>
      <c r="C2347" s="9" t="s">
        <v>2545</v>
      </c>
      <c r="D2347" s="9" t="s">
        <v>2185</v>
      </c>
      <c r="E2347" s="9" t="s">
        <v>2027</v>
      </c>
      <c r="F2347" s="9" t="s">
        <v>211</v>
      </c>
      <c r="G2347" s="9" t="s">
        <v>221</v>
      </c>
      <c r="H2347" s="9" t="n">
        <v>750</v>
      </c>
      <c r="I2347" s="29" t="n">
        <v>0.8</v>
      </c>
      <c r="J2347" s="9" t="n">
        <v>1</v>
      </c>
      <c r="K2347" s="30"/>
      <c r="L2347" s="30"/>
      <c r="M2347" s="30"/>
      <c r="N2347" s="30"/>
      <c r="O2347" s="30"/>
      <c r="P2347" s="30"/>
      <c r="Q2347" s="30"/>
      <c r="R2347" s="30"/>
      <c r="S2347" s="30"/>
      <c r="T2347" s="30"/>
      <c r="U2347" s="21" t="str">
        <f aca="false">IF(COUNT(K2347:T2347)=0,"SOURCE EMPTY / INDUSTRIAL ONLY",IF(MIN(K2347:T2347)=1,"SERVICE READY","HOLD"))</f>
        <v>SOURCE EMPTY / INDUSTRIAL ONLY</v>
      </c>
      <c r="V2347" s="9" t="n">
        <f aca="false">IF(U2347="SERVICE READY",1,0)</f>
        <v>0</v>
      </c>
      <c r="W2347" s="6"/>
      <c r="X2347" s="6"/>
      <c r="Y2347" s="6"/>
      <c r="Z2347" s="6"/>
    </row>
    <row r="2348" customFormat="false" ht="15" hidden="false" customHeight="false" outlineLevel="0" collapsed="false">
      <c r="A2348" s="9" t="s">
        <v>2608</v>
      </c>
      <c r="B2348" s="9" t="s">
        <v>2544</v>
      </c>
      <c r="C2348" s="9" t="s">
        <v>2545</v>
      </c>
      <c r="D2348" s="9" t="s">
        <v>2185</v>
      </c>
      <c r="E2348" s="9" t="s">
        <v>2027</v>
      </c>
      <c r="F2348" s="9" t="s">
        <v>197</v>
      </c>
      <c r="G2348" s="9" t="s">
        <v>221</v>
      </c>
      <c r="H2348" s="9" t="n">
        <v>750</v>
      </c>
      <c r="I2348" s="29" t="n">
        <v>0.8</v>
      </c>
      <c r="J2348" s="9" t="n">
        <v>1</v>
      </c>
      <c r="K2348" s="30"/>
      <c r="L2348" s="30"/>
      <c r="M2348" s="30"/>
      <c r="N2348" s="30"/>
      <c r="O2348" s="30"/>
      <c r="P2348" s="30"/>
      <c r="Q2348" s="30"/>
      <c r="R2348" s="30"/>
      <c r="S2348" s="30"/>
      <c r="T2348" s="30"/>
      <c r="U2348" s="21" t="str">
        <f aca="false">IF(COUNT(K2348:T2348)=0,"SOURCE EMPTY / INDUSTRIAL ONLY",IF(MIN(K2348:T2348)=1,"SERVICE READY","HOLD"))</f>
        <v>SOURCE EMPTY / INDUSTRIAL ONLY</v>
      </c>
      <c r="V2348" s="9" t="n">
        <f aca="false">IF(U2348="SERVICE READY",1,0)</f>
        <v>0</v>
      </c>
      <c r="W2348" s="6"/>
      <c r="X2348" s="6"/>
      <c r="Y2348" s="6"/>
      <c r="Z2348" s="6"/>
    </row>
    <row r="2349" customFormat="false" ht="15" hidden="false" customHeight="false" outlineLevel="0" collapsed="false">
      <c r="A2349" s="9" t="s">
        <v>2609</v>
      </c>
      <c r="B2349" s="9" t="s">
        <v>2544</v>
      </c>
      <c r="C2349" s="9" t="s">
        <v>2545</v>
      </c>
      <c r="D2349" s="9" t="s">
        <v>2185</v>
      </c>
      <c r="E2349" s="9" t="s">
        <v>2027</v>
      </c>
      <c r="F2349" s="9" t="s">
        <v>200</v>
      </c>
      <c r="G2349" s="9" t="s">
        <v>221</v>
      </c>
      <c r="H2349" s="9" t="n">
        <v>750</v>
      </c>
      <c r="I2349" s="29" t="n">
        <v>0.8</v>
      </c>
      <c r="J2349" s="9" t="n">
        <v>1</v>
      </c>
      <c r="K2349" s="30"/>
      <c r="L2349" s="30"/>
      <c r="M2349" s="30"/>
      <c r="N2349" s="30"/>
      <c r="O2349" s="30"/>
      <c r="P2349" s="30"/>
      <c r="Q2349" s="30"/>
      <c r="R2349" s="30"/>
      <c r="S2349" s="30"/>
      <c r="T2349" s="30"/>
      <c r="U2349" s="21" t="str">
        <f aca="false">IF(COUNT(K2349:T2349)=0,"SOURCE EMPTY / INDUSTRIAL ONLY",IF(MIN(K2349:T2349)=1,"SERVICE READY","HOLD"))</f>
        <v>SOURCE EMPTY / INDUSTRIAL ONLY</v>
      </c>
      <c r="V2349" s="9" t="n">
        <f aca="false">IF(U2349="SERVICE READY",1,0)</f>
        <v>0</v>
      </c>
      <c r="W2349" s="6"/>
      <c r="X2349" s="6"/>
      <c r="Y2349" s="6"/>
      <c r="Z2349" s="6"/>
    </row>
    <row r="2350" customFormat="false" ht="15" hidden="false" customHeight="false" outlineLevel="0" collapsed="false">
      <c r="A2350" s="9" t="s">
        <v>2610</v>
      </c>
      <c r="B2350" s="9" t="s">
        <v>2544</v>
      </c>
      <c r="C2350" s="9" t="s">
        <v>2545</v>
      </c>
      <c r="D2350" s="9" t="s">
        <v>2185</v>
      </c>
      <c r="E2350" s="9" t="s">
        <v>2027</v>
      </c>
      <c r="F2350" s="9" t="s">
        <v>203</v>
      </c>
      <c r="G2350" s="9" t="s">
        <v>221</v>
      </c>
      <c r="H2350" s="9" t="n">
        <v>750</v>
      </c>
      <c r="I2350" s="29" t="n">
        <v>0.8</v>
      </c>
      <c r="J2350" s="9" t="n">
        <v>1</v>
      </c>
      <c r="K2350" s="30"/>
      <c r="L2350" s="30"/>
      <c r="M2350" s="30"/>
      <c r="N2350" s="30"/>
      <c r="O2350" s="30"/>
      <c r="P2350" s="30"/>
      <c r="Q2350" s="30"/>
      <c r="R2350" s="30"/>
      <c r="S2350" s="30"/>
      <c r="T2350" s="30"/>
      <c r="U2350" s="21" t="str">
        <f aca="false">IF(COUNT(K2350:T2350)=0,"SOURCE EMPTY / INDUSTRIAL ONLY",IF(MIN(K2350:T2350)=1,"SERVICE READY","HOLD"))</f>
        <v>SOURCE EMPTY / INDUSTRIAL ONLY</v>
      </c>
      <c r="V2350" s="9" t="n">
        <f aca="false">IF(U2350="SERVICE READY",1,0)</f>
        <v>0</v>
      </c>
      <c r="W2350" s="6"/>
      <c r="X2350" s="6"/>
      <c r="Y2350" s="6"/>
      <c r="Z2350" s="6"/>
    </row>
    <row r="2351" customFormat="false" ht="15" hidden="false" customHeight="false" outlineLevel="0" collapsed="false">
      <c r="A2351" s="9" t="s">
        <v>2611</v>
      </c>
      <c r="B2351" s="9" t="s">
        <v>2544</v>
      </c>
      <c r="C2351" s="9" t="s">
        <v>2545</v>
      </c>
      <c r="D2351" s="9" t="s">
        <v>2185</v>
      </c>
      <c r="E2351" s="9" t="s">
        <v>2027</v>
      </c>
      <c r="F2351" s="9" t="s">
        <v>205</v>
      </c>
      <c r="G2351" s="9" t="s">
        <v>221</v>
      </c>
      <c r="H2351" s="9" t="n">
        <v>750</v>
      </c>
      <c r="I2351" s="29" t="n">
        <v>0.8</v>
      </c>
      <c r="J2351" s="9" t="n">
        <v>1</v>
      </c>
      <c r="K2351" s="30"/>
      <c r="L2351" s="30"/>
      <c r="M2351" s="30"/>
      <c r="N2351" s="30"/>
      <c r="O2351" s="30"/>
      <c r="P2351" s="30"/>
      <c r="Q2351" s="30"/>
      <c r="R2351" s="30"/>
      <c r="S2351" s="30"/>
      <c r="T2351" s="30"/>
      <c r="U2351" s="21" t="str">
        <f aca="false">IF(COUNT(K2351:T2351)=0,"SOURCE EMPTY / INDUSTRIAL ONLY",IF(MIN(K2351:T2351)=1,"SERVICE READY","HOLD"))</f>
        <v>SOURCE EMPTY / INDUSTRIAL ONLY</v>
      </c>
      <c r="V2351" s="9" t="n">
        <f aca="false">IF(U2351="SERVICE READY",1,0)</f>
        <v>0</v>
      </c>
      <c r="W2351" s="6"/>
      <c r="X2351" s="6"/>
      <c r="Y2351" s="6"/>
      <c r="Z2351" s="6"/>
    </row>
    <row r="2352" customFormat="false" ht="15" hidden="false" customHeight="false" outlineLevel="0" collapsed="false">
      <c r="A2352" s="9" t="s">
        <v>2612</v>
      </c>
      <c r="B2352" s="9" t="s">
        <v>2544</v>
      </c>
      <c r="C2352" s="9" t="s">
        <v>2545</v>
      </c>
      <c r="D2352" s="9" t="s">
        <v>2185</v>
      </c>
      <c r="E2352" s="9" t="s">
        <v>2027</v>
      </c>
      <c r="F2352" s="9" t="s">
        <v>207</v>
      </c>
      <c r="G2352" s="9" t="s">
        <v>221</v>
      </c>
      <c r="H2352" s="9" t="n">
        <v>750</v>
      </c>
      <c r="I2352" s="29" t="n">
        <v>0.8</v>
      </c>
      <c r="J2352" s="9" t="n">
        <v>1</v>
      </c>
      <c r="K2352" s="30"/>
      <c r="L2352" s="30"/>
      <c r="M2352" s="30"/>
      <c r="N2352" s="30"/>
      <c r="O2352" s="30"/>
      <c r="P2352" s="30"/>
      <c r="Q2352" s="30"/>
      <c r="R2352" s="30"/>
      <c r="S2352" s="30"/>
      <c r="T2352" s="30"/>
      <c r="U2352" s="21" t="str">
        <f aca="false">IF(COUNT(K2352:T2352)=0,"SOURCE EMPTY / INDUSTRIAL ONLY",IF(MIN(K2352:T2352)=1,"SERVICE READY","HOLD"))</f>
        <v>SOURCE EMPTY / INDUSTRIAL ONLY</v>
      </c>
      <c r="V2352" s="9" t="n">
        <f aca="false">IF(U2352="SERVICE READY",1,0)</f>
        <v>0</v>
      </c>
      <c r="W2352" s="6"/>
      <c r="X2352" s="6"/>
      <c r="Y2352" s="6"/>
      <c r="Z2352" s="6"/>
    </row>
    <row r="2353" customFormat="false" ht="15" hidden="false" customHeight="false" outlineLevel="0" collapsed="false">
      <c r="A2353" s="9" t="s">
        <v>2613</v>
      </c>
      <c r="B2353" s="9" t="s">
        <v>2544</v>
      </c>
      <c r="C2353" s="9" t="s">
        <v>2545</v>
      </c>
      <c r="D2353" s="9" t="s">
        <v>2185</v>
      </c>
      <c r="E2353" s="9" t="s">
        <v>2027</v>
      </c>
      <c r="F2353" s="9" t="s">
        <v>209</v>
      </c>
      <c r="G2353" s="9" t="s">
        <v>221</v>
      </c>
      <c r="H2353" s="9" t="n">
        <v>750</v>
      </c>
      <c r="I2353" s="29" t="n">
        <v>0.8</v>
      </c>
      <c r="J2353" s="9" t="n">
        <v>1</v>
      </c>
      <c r="K2353" s="30"/>
      <c r="L2353" s="30"/>
      <c r="M2353" s="30"/>
      <c r="N2353" s="30"/>
      <c r="O2353" s="30"/>
      <c r="P2353" s="30"/>
      <c r="Q2353" s="30"/>
      <c r="R2353" s="30"/>
      <c r="S2353" s="30"/>
      <c r="T2353" s="30"/>
      <c r="U2353" s="21" t="str">
        <f aca="false">IF(COUNT(K2353:T2353)=0,"SOURCE EMPTY / INDUSTRIAL ONLY",IF(MIN(K2353:T2353)=1,"SERVICE READY","HOLD"))</f>
        <v>SOURCE EMPTY / INDUSTRIAL ONLY</v>
      </c>
      <c r="V2353" s="9" t="n">
        <f aca="false">IF(U2353="SERVICE READY",1,0)</f>
        <v>0</v>
      </c>
      <c r="W2353" s="6"/>
      <c r="X2353" s="6"/>
      <c r="Y2353" s="6"/>
      <c r="Z2353" s="6"/>
    </row>
    <row r="2354" customFormat="false" ht="15" hidden="false" customHeight="false" outlineLevel="0" collapsed="false">
      <c r="A2354" s="9" t="s">
        <v>2614</v>
      </c>
      <c r="B2354" s="9" t="s">
        <v>2544</v>
      </c>
      <c r="C2354" s="9" t="s">
        <v>2545</v>
      </c>
      <c r="D2354" s="9" t="s">
        <v>2185</v>
      </c>
      <c r="E2354" s="9" t="s">
        <v>2027</v>
      </c>
      <c r="F2354" s="9" t="s">
        <v>211</v>
      </c>
      <c r="G2354" s="9" t="s">
        <v>221</v>
      </c>
      <c r="H2354" s="9" t="n">
        <v>750</v>
      </c>
      <c r="I2354" s="29" t="n">
        <v>0.8</v>
      </c>
      <c r="J2354" s="9" t="n">
        <v>1</v>
      </c>
      <c r="K2354" s="30"/>
      <c r="L2354" s="30"/>
      <c r="M2354" s="30"/>
      <c r="N2354" s="30"/>
      <c r="O2354" s="30"/>
      <c r="P2354" s="30"/>
      <c r="Q2354" s="30"/>
      <c r="R2354" s="30"/>
      <c r="S2354" s="30"/>
      <c r="T2354" s="30"/>
      <c r="U2354" s="21" t="str">
        <f aca="false">IF(COUNT(K2354:T2354)=0,"SOURCE EMPTY / INDUSTRIAL ONLY",IF(MIN(K2354:T2354)=1,"SERVICE READY","HOLD"))</f>
        <v>SOURCE EMPTY / INDUSTRIAL ONLY</v>
      </c>
      <c r="V2354" s="9" t="n">
        <f aca="false">IF(U2354="SERVICE READY",1,0)</f>
        <v>0</v>
      </c>
      <c r="W2354" s="6"/>
      <c r="X2354" s="6"/>
      <c r="Y2354" s="6"/>
      <c r="Z2354" s="6"/>
    </row>
    <row r="2355" customFormat="false" ht="15" hidden="false" customHeight="false" outlineLevel="0" collapsed="false">
      <c r="A2355" s="9" t="s">
        <v>2615</v>
      </c>
      <c r="B2355" s="9" t="s">
        <v>2544</v>
      </c>
      <c r="C2355" s="9" t="s">
        <v>2545</v>
      </c>
      <c r="D2355" s="9" t="s">
        <v>2185</v>
      </c>
      <c r="E2355" s="9" t="s">
        <v>2027</v>
      </c>
      <c r="F2355" s="9" t="s">
        <v>197</v>
      </c>
      <c r="G2355" s="9" t="s">
        <v>221</v>
      </c>
      <c r="H2355" s="9" t="n">
        <v>750</v>
      </c>
      <c r="I2355" s="29" t="n">
        <v>0.8</v>
      </c>
      <c r="J2355" s="9" t="n">
        <v>1</v>
      </c>
      <c r="K2355" s="30"/>
      <c r="L2355" s="30"/>
      <c r="M2355" s="30"/>
      <c r="N2355" s="30"/>
      <c r="O2355" s="30"/>
      <c r="P2355" s="30"/>
      <c r="Q2355" s="30"/>
      <c r="R2355" s="30"/>
      <c r="S2355" s="30"/>
      <c r="T2355" s="30"/>
      <c r="U2355" s="21" t="str">
        <f aca="false">IF(COUNT(K2355:T2355)=0,"SOURCE EMPTY / INDUSTRIAL ONLY",IF(MIN(K2355:T2355)=1,"SERVICE READY","HOLD"))</f>
        <v>SOURCE EMPTY / INDUSTRIAL ONLY</v>
      </c>
      <c r="V2355" s="9" t="n">
        <f aca="false">IF(U2355="SERVICE READY",1,0)</f>
        <v>0</v>
      </c>
      <c r="W2355" s="6"/>
      <c r="X2355" s="6"/>
      <c r="Y2355" s="6"/>
      <c r="Z2355" s="6"/>
    </row>
    <row r="2356" customFormat="false" ht="15" hidden="false" customHeight="false" outlineLevel="0" collapsed="false">
      <c r="A2356" s="9" t="s">
        <v>2616</v>
      </c>
      <c r="B2356" s="9" t="s">
        <v>2544</v>
      </c>
      <c r="C2356" s="9" t="s">
        <v>2545</v>
      </c>
      <c r="D2356" s="9" t="s">
        <v>2185</v>
      </c>
      <c r="E2356" s="9" t="s">
        <v>2027</v>
      </c>
      <c r="F2356" s="9" t="s">
        <v>200</v>
      </c>
      <c r="G2356" s="9" t="s">
        <v>221</v>
      </c>
      <c r="H2356" s="9" t="n">
        <v>750</v>
      </c>
      <c r="I2356" s="29" t="n">
        <v>0.8</v>
      </c>
      <c r="J2356" s="9" t="n">
        <v>1</v>
      </c>
      <c r="K2356" s="30"/>
      <c r="L2356" s="30"/>
      <c r="M2356" s="30"/>
      <c r="N2356" s="30"/>
      <c r="O2356" s="30"/>
      <c r="P2356" s="30"/>
      <c r="Q2356" s="30"/>
      <c r="R2356" s="30"/>
      <c r="S2356" s="30"/>
      <c r="T2356" s="30"/>
      <c r="U2356" s="21" t="str">
        <f aca="false">IF(COUNT(K2356:T2356)=0,"SOURCE EMPTY / INDUSTRIAL ONLY",IF(MIN(K2356:T2356)=1,"SERVICE READY","HOLD"))</f>
        <v>SOURCE EMPTY / INDUSTRIAL ONLY</v>
      </c>
      <c r="V2356" s="9" t="n">
        <f aca="false">IF(U2356="SERVICE READY",1,0)</f>
        <v>0</v>
      </c>
      <c r="W2356" s="6"/>
      <c r="X2356" s="6"/>
      <c r="Y2356" s="6"/>
      <c r="Z2356" s="6"/>
    </row>
    <row r="2357" customFormat="false" ht="15" hidden="false" customHeight="false" outlineLevel="0" collapsed="false">
      <c r="A2357" s="9" t="s">
        <v>2617</v>
      </c>
      <c r="B2357" s="9" t="s">
        <v>2544</v>
      </c>
      <c r="C2357" s="9" t="s">
        <v>2545</v>
      </c>
      <c r="D2357" s="9" t="s">
        <v>2185</v>
      </c>
      <c r="E2357" s="9" t="s">
        <v>2027</v>
      </c>
      <c r="F2357" s="9" t="s">
        <v>203</v>
      </c>
      <c r="G2357" s="9" t="s">
        <v>221</v>
      </c>
      <c r="H2357" s="9" t="n">
        <v>750</v>
      </c>
      <c r="I2357" s="29" t="n">
        <v>0.8</v>
      </c>
      <c r="J2357" s="9" t="n">
        <v>1</v>
      </c>
      <c r="K2357" s="30"/>
      <c r="L2357" s="30"/>
      <c r="M2357" s="30"/>
      <c r="N2357" s="30"/>
      <c r="O2357" s="30"/>
      <c r="P2357" s="30"/>
      <c r="Q2357" s="30"/>
      <c r="R2357" s="30"/>
      <c r="S2357" s="30"/>
      <c r="T2357" s="30"/>
      <c r="U2357" s="21" t="str">
        <f aca="false">IF(COUNT(K2357:T2357)=0,"SOURCE EMPTY / INDUSTRIAL ONLY",IF(MIN(K2357:T2357)=1,"SERVICE READY","HOLD"))</f>
        <v>SOURCE EMPTY / INDUSTRIAL ONLY</v>
      </c>
      <c r="V2357" s="9" t="n">
        <f aca="false">IF(U2357="SERVICE READY",1,0)</f>
        <v>0</v>
      </c>
      <c r="W2357" s="6"/>
      <c r="X2357" s="6"/>
      <c r="Y2357" s="6"/>
      <c r="Z2357" s="6"/>
    </row>
    <row r="2358" customFormat="false" ht="15" hidden="false" customHeight="false" outlineLevel="0" collapsed="false">
      <c r="A2358" s="9" t="s">
        <v>2618</v>
      </c>
      <c r="B2358" s="9" t="s">
        <v>2544</v>
      </c>
      <c r="C2358" s="9" t="s">
        <v>2545</v>
      </c>
      <c r="D2358" s="9" t="s">
        <v>2185</v>
      </c>
      <c r="E2358" s="9" t="s">
        <v>2027</v>
      </c>
      <c r="F2358" s="9" t="s">
        <v>205</v>
      </c>
      <c r="G2358" s="9" t="s">
        <v>221</v>
      </c>
      <c r="H2358" s="9" t="n">
        <v>750</v>
      </c>
      <c r="I2358" s="29" t="n">
        <v>0.8</v>
      </c>
      <c r="J2358" s="9" t="n">
        <v>1</v>
      </c>
      <c r="K2358" s="30"/>
      <c r="L2358" s="30"/>
      <c r="M2358" s="30"/>
      <c r="N2358" s="30"/>
      <c r="O2358" s="30"/>
      <c r="P2358" s="30"/>
      <c r="Q2358" s="30"/>
      <c r="R2358" s="30"/>
      <c r="S2358" s="30"/>
      <c r="T2358" s="30"/>
      <c r="U2358" s="21" t="str">
        <f aca="false">IF(COUNT(K2358:T2358)=0,"SOURCE EMPTY / INDUSTRIAL ONLY",IF(MIN(K2358:T2358)=1,"SERVICE READY","HOLD"))</f>
        <v>SOURCE EMPTY / INDUSTRIAL ONLY</v>
      </c>
      <c r="V2358" s="9" t="n">
        <f aca="false">IF(U2358="SERVICE READY",1,0)</f>
        <v>0</v>
      </c>
      <c r="W2358" s="6"/>
      <c r="X2358" s="6"/>
      <c r="Y2358" s="6"/>
      <c r="Z2358" s="6"/>
    </row>
    <row r="2359" customFormat="false" ht="15" hidden="false" customHeight="false" outlineLevel="0" collapsed="false">
      <c r="A2359" s="9" t="s">
        <v>2619</v>
      </c>
      <c r="B2359" s="9" t="s">
        <v>2544</v>
      </c>
      <c r="C2359" s="9" t="s">
        <v>2545</v>
      </c>
      <c r="D2359" s="9" t="s">
        <v>2185</v>
      </c>
      <c r="E2359" s="9" t="s">
        <v>2027</v>
      </c>
      <c r="F2359" s="9" t="s">
        <v>207</v>
      </c>
      <c r="G2359" s="9" t="s">
        <v>221</v>
      </c>
      <c r="H2359" s="9" t="n">
        <v>750</v>
      </c>
      <c r="I2359" s="29" t="n">
        <v>0.8</v>
      </c>
      <c r="J2359" s="9" t="n">
        <v>1</v>
      </c>
      <c r="K2359" s="30"/>
      <c r="L2359" s="30"/>
      <c r="M2359" s="30"/>
      <c r="N2359" s="30"/>
      <c r="O2359" s="30"/>
      <c r="P2359" s="30"/>
      <c r="Q2359" s="30"/>
      <c r="R2359" s="30"/>
      <c r="S2359" s="30"/>
      <c r="T2359" s="30"/>
      <c r="U2359" s="21" t="str">
        <f aca="false">IF(COUNT(K2359:T2359)=0,"SOURCE EMPTY / INDUSTRIAL ONLY",IF(MIN(K2359:T2359)=1,"SERVICE READY","HOLD"))</f>
        <v>SOURCE EMPTY / INDUSTRIAL ONLY</v>
      </c>
      <c r="V2359" s="9" t="n">
        <f aca="false">IF(U2359="SERVICE READY",1,0)</f>
        <v>0</v>
      </c>
      <c r="W2359" s="6"/>
      <c r="X2359" s="6"/>
      <c r="Y2359" s="6"/>
      <c r="Z2359" s="6"/>
    </row>
    <row r="2360" customFormat="false" ht="15" hidden="false" customHeight="false" outlineLevel="0" collapsed="false">
      <c r="A2360" s="9" t="s">
        <v>2620</v>
      </c>
      <c r="B2360" s="9" t="s">
        <v>2544</v>
      </c>
      <c r="C2360" s="9" t="s">
        <v>2545</v>
      </c>
      <c r="D2360" s="9" t="s">
        <v>2185</v>
      </c>
      <c r="E2360" s="9" t="s">
        <v>2027</v>
      </c>
      <c r="F2360" s="9" t="s">
        <v>209</v>
      </c>
      <c r="G2360" s="9" t="s">
        <v>221</v>
      </c>
      <c r="H2360" s="9" t="n">
        <v>750</v>
      </c>
      <c r="I2360" s="29" t="n">
        <v>0.8</v>
      </c>
      <c r="J2360" s="9" t="n">
        <v>1</v>
      </c>
      <c r="K2360" s="30"/>
      <c r="L2360" s="30"/>
      <c r="M2360" s="30"/>
      <c r="N2360" s="30"/>
      <c r="O2360" s="30"/>
      <c r="P2360" s="30"/>
      <c r="Q2360" s="30"/>
      <c r="R2360" s="30"/>
      <c r="S2360" s="30"/>
      <c r="T2360" s="30"/>
      <c r="U2360" s="21" t="str">
        <f aca="false">IF(COUNT(K2360:T2360)=0,"SOURCE EMPTY / INDUSTRIAL ONLY",IF(MIN(K2360:T2360)=1,"SERVICE READY","HOLD"))</f>
        <v>SOURCE EMPTY / INDUSTRIAL ONLY</v>
      </c>
      <c r="V2360" s="9" t="n">
        <f aca="false">IF(U2360="SERVICE READY",1,0)</f>
        <v>0</v>
      </c>
      <c r="W2360" s="6"/>
      <c r="X2360" s="6"/>
      <c r="Y2360" s="6"/>
      <c r="Z2360" s="6"/>
    </row>
    <row r="2361" customFormat="false" ht="15" hidden="false" customHeight="false" outlineLevel="0" collapsed="false">
      <c r="A2361" s="9" t="s">
        <v>2621</v>
      </c>
      <c r="B2361" s="9" t="s">
        <v>2544</v>
      </c>
      <c r="C2361" s="9" t="s">
        <v>2545</v>
      </c>
      <c r="D2361" s="9" t="s">
        <v>2185</v>
      </c>
      <c r="E2361" s="9" t="s">
        <v>2027</v>
      </c>
      <c r="F2361" s="9" t="s">
        <v>211</v>
      </c>
      <c r="G2361" s="9" t="s">
        <v>221</v>
      </c>
      <c r="H2361" s="9" t="n">
        <v>750</v>
      </c>
      <c r="I2361" s="29" t="n">
        <v>0.8</v>
      </c>
      <c r="J2361" s="9" t="n">
        <v>1</v>
      </c>
      <c r="K2361" s="30"/>
      <c r="L2361" s="30"/>
      <c r="M2361" s="30"/>
      <c r="N2361" s="30"/>
      <c r="O2361" s="30"/>
      <c r="P2361" s="30"/>
      <c r="Q2361" s="30"/>
      <c r="R2361" s="30"/>
      <c r="S2361" s="30"/>
      <c r="T2361" s="30"/>
      <c r="U2361" s="21" t="str">
        <f aca="false">IF(COUNT(K2361:T2361)=0,"SOURCE EMPTY / INDUSTRIAL ONLY",IF(MIN(K2361:T2361)=1,"SERVICE READY","HOLD"))</f>
        <v>SOURCE EMPTY / INDUSTRIAL ONLY</v>
      </c>
      <c r="V2361" s="9" t="n">
        <f aca="false">IF(U2361="SERVICE READY",1,0)</f>
        <v>0</v>
      </c>
      <c r="W2361" s="6"/>
      <c r="X2361" s="6"/>
      <c r="Y2361" s="6"/>
      <c r="Z2361" s="6"/>
    </row>
    <row r="2362" customFormat="false" ht="15" hidden="false" customHeight="false" outlineLevel="0" collapsed="false">
      <c r="A2362" s="9" t="s">
        <v>2622</v>
      </c>
      <c r="B2362" s="9" t="s">
        <v>2544</v>
      </c>
      <c r="C2362" s="9" t="s">
        <v>2545</v>
      </c>
      <c r="D2362" s="9" t="s">
        <v>2185</v>
      </c>
      <c r="E2362" s="9" t="s">
        <v>2027</v>
      </c>
      <c r="F2362" s="9" t="s">
        <v>197</v>
      </c>
      <c r="G2362" s="9" t="s">
        <v>221</v>
      </c>
      <c r="H2362" s="9" t="n">
        <v>750</v>
      </c>
      <c r="I2362" s="29" t="n">
        <v>0.8</v>
      </c>
      <c r="J2362" s="9" t="n">
        <v>1</v>
      </c>
      <c r="K2362" s="30"/>
      <c r="L2362" s="30"/>
      <c r="M2362" s="30"/>
      <c r="N2362" s="30"/>
      <c r="O2362" s="30"/>
      <c r="P2362" s="30"/>
      <c r="Q2362" s="30"/>
      <c r="R2362" s="30"/>
      <c r="S2362" s="30"/>
      <c r="T2362" s="30"/>
      <c r="U2362" s="21" t="str">
        <f aca="false">IF(COUNT(K2362:T2362)=0,"SOURCE EMPTY / INDUSTRIAL ONLY",IF(MIN(K2362:T2362)=1,"SERVICE READY","HOLD"))</f>
        <v>SOURCE EMPTY / INDUSTRIAL ONLY</v>
      </c>
      <c r="V2362" s="9" t="n">
        <f aca="false">IF(U2362="SERVICE READY",1,0)</f>
        <v>0</v>
      </c>
      <c r="W2362" s="6"/>
      <c r="X2362" s="6"/>
      <c r="Y2362" s="6"/>
      <c r="Z2362" s="6"/>
    </row>
    <row r="2363" customFormat="false" ht="15" hidden="false" customHeight="false" outlineLevel="0" collapsed="false">
      <c r="A2363" s="9" t="s">
        <v>2623</v>
      </c>
      <c r="B2363" s="9" t="s">
        <v>2544</v>
      </c>
      <c r="C2363" s="9" t="s">
        <v>2545</v>
      </c>
      <c r="D2363" s="9" t="s">
        <v>2185</v>
      </c>
      <c r="E2363" s="9" t="s">
        <v>2027</v>
      </c>
      <c r="F2363" s="9" t="s">
        <v>200</v>
      </c>
      <c r="G2363" s="9" t="s">
        <v>221</v>
      </c>
      <c r="H2363" s="9" t="n">
        <v>750</v>
      </c>
      <c r="I2363" s="29" t="n">
        <v>0.8</v>
      </c>
      <c r="J2363" s="9" t="n">
        <v>1</v>
      </c>
      <c r="K2363" s="30"/>
      <c r="L2363" s="30"/>
      <c r="M2363" s="30"/>
      <c r="N2363" s="30"/>
      <c r="O2363" s="30"/>
      <c r="P2363" s="30"/>
      <c r="Q2363" s="30"/>
      <c r="R2363" s="30"/>
      <c r="S2363" s="30"/>
      <c r="T2363" s="30"/>
      <c r="U2363" s="21" t="str">
        <f aca="false">IF(COUNT(K2363:T2363)=0,"SOURCE EMPTY / INDUSTRIAL ONLY",IF(MIN(K2363:T2363)=1,"SERVICE READY","HOLD"))</f>
        <v>SOURCE EMPTY / INDUSTRIAL ONLY</v>
      </c>
      <c r="V2363" s="9" t="n">
        <f aca="false">IF(U2363="SERVICE READY",1,0)</f>
        <v>0</v>
      </c>
      <c r="W2363" s="6"/>
      <c r="X2363" s="6"/>
      <c r="Y2363" s="6"/>
      <c r="Z2363" s="6"/>
    </row>
    <row r="2364" customFormat="false" ht="15" hidden="false" customHeight="false" outlineLevel="0" collapsed="false">
      <c r="A2364" s="9" t="s">
        <v>2624</v>
      </c>
      <c r="B2364" s="9" t="s">
        <v>2544</v>
      </c>
      <c r="C2364" s="9" t="s">
        <v>2545</v>
      </c>
      <c r="D2364" s="9" t="s">
        <v>2185</v>
      </c>
      <c r="E2364" s="9" t="s">
        <v>2027</v>
      </c>
      <c r="F2364" s="9" t="s">
        <v>203</v>
      </c>
      <c r="G2364" s="9" t="s">
        <v>221</v>
      </c>
      <c r="H2364" s="9" t="n">
        <v>750</v>
      </c>
      <c r="I2364" s="29" t="n">
        <v>0.8</v>
      </c>
      <c r="J2364" s="9" t="n">
        <v>1</v>
      </c>
      <c r="K2364" s="30"/>
      <c r="L2364" s="30"/>
      <c r="M2364" s="30"/>
      <c r="N2364" s="30"/>
      <c r="O2364" s="30"/>
      <c r="P2364" s="30"/>
      <c r="Q2364" s="30"/>
      <c r="R2364" s="30"/>
      <c r="S2364" s="30"/>
      <c r="T2364" s="30"/>
      <c r="U2364" s="21" t="str">
        <f aca="false">IF(COUNT(K2364:T2364)=0,"SOURCE EMPTY / INDUSTRIAL ONLY",IF(MIN(K2364:T2364)=1,"SERVICE READY","HOLD"))</f>
        <v>SOURCE EMPTY / INDUSTRIAL ONLY</v>
      </c>
      <c r="V2364" s="9" t="n">
        <f aca="false">IF(U2364="SERVICE READY",1,0)</f>
        <v>0</v>
      </c>
      <c r="W2364" s="6"/>
      <c r="X2364" s="6"/>
      <c r="Y2364" s="6"/>
      <c r="Z2364" s="6"/>
    </row>
    <row r="2365" customFormat="false" ht="15" hidden="false" customHeight="false" outlineLevel="0" collapsed="false">
      <c r="A2365" s="9" t="s">
        <v>2625</v>
      </c>
      <c r="B2365" s="9" t="s">
        <v>2544</v>
      </c>
      <c r="C2365" s="9" t="s">
        <v>2545</v>
      </c>
      <c r="D2365" s="9" t="s">
        <v>2185</v>
      </c>
      <c r="E2365" s="9" t="s">
        <v>2027</v>
      </c>
      <c r="F2365" s="9" t="s">
        <v>205</v>
      </c>
      <c r="G2365" s="9" t="s">
        <v>221</v>
      </c>
      <c r="H2365" s="9" t="n">
        <v>750</v>
      </c>
      <c r="I2365" s="29" t="n">
        <v>0.8</v>
      </c>
      <c r="J2365" s="9" t="n">
        <v>1</v>
      </c>
      <c r="K2365" s="30"/>
      <c r="L2365" s="30"/>
      <c r="M2365" s="30"/>
      <c r="N2365" s="30"/>
      <c r="O2365" s="30"/>
      <c r="P2365" s="30"/>
      <c r="Q2365" s="30"/>
      <c r="R2365" s="30"/>
      <c r="S2365" s="30"/>
      <c r="T2365" s="30"/>
      <c r="U2365" s="21" t="str">
        <f aca="false">IF(COUNT(K2365:T2365)=0,"SOURCE EMPTY / INDUSTRIAL ONLY",IF(MIN(K2365:T2365)=1,"SERVICE READY","HOLD"))</f>
        <v>SOURCE EMPTY / INDUSTRIAL ONLY</v>
      </c>
      <c r="V2365" s="9" t="n">
        <f aca="false">IF(U2365="SERVICE READY",1,0)</f>
        <v>0</v>
      </c>
      <c r="W2365" s="6"/>
      <c r="X2365" s="6"/>
      <c r="Y2365" s="6"/>
      <c r="Z2365" s="6"/>
    </row>
    <row r="2366" customFormat="false" ht="15" hidden="false" customHeight="false" outlineLevel="0" collapsed="false">
      <c r="A2366" s="9" t="s">
        <v>2626</v>
      </c>
      <c r="B2366" s="9" t="s">
        <v>2544</v>
      </c>
      <c r="C2366" s="9" t="s">
        <v>2545</v>
      </c>
      <c r="D2366" s="9" t="s">
        <v>2185</v>
      </c>
      <c r="E2366" s="9" t="s">
        <v>2027</v>
      </c>
      <c r="F2366" s="9" t="s">
        <v>207</v>
      </c>
      <c r="G2366" s="9" t="s">
        <v>221</v>
      </c>
      <c r="H2366" s="9" t="n">
        <v>750</v>
      </c>
      <c r="I2366" s="29" t="n">
        <v>0.8</v>
      </c>
      <c r="J2366" s="9" t="n">
        <v>1</v>
      </c>
      <c r="K2366" s="30"/>
      <c r="L2366" s="30"/>
      <c r="M2366" s="30"/>
      <c r="N2366" s="30"/>
      <c r="O2366" s="30"/>
      <c r="P2366" s="30"/>
      <c r="Q2366" s="30"/>
      <c r="R2366" s="30"/>
      <c r="S2366" s="30"/>
      <c r="T2366" s="30"/>
      <c r="U2366" s="21" t="str">
        <f aca="false">IF(COUNT(K2366:T2366)=0,"SOURCE EMPTY / INDUSTRIAL ONLY",IF(MIN(K2366:T2366)=1,"SERVICE READY","HOLD"))</f>
        <v>SOURCE EMPTY / INDUSTRIAL ONLY</v>
      </c>
      <c r="V2366" s="9" t="n">
        <f aca="false">IF(U2366="SERVICE READY",1,0)</f>
        <v>0</v>
      </c>
      <c r="W2366" s="6"/>
      <c r="X2366" s="6"/>
      <c r="Y2366" s="6"/>
      <c r="Z2366" s="6"/>
    </row>
    <row r="2367" customFormat="false" ht="15" hidden="false" customHeight="false" outlineLevel="0" collapsed="false">
      <c r="A2367" s="9" t="s">
        <v>2627</v>
      </c>
      <c r="B2367" s="9" t="s">
        <v>2544</v>
      </c>
      <c r="C2367" s="9" t="s">
        <v>2545</v>
      </c>
      <c r="D2367" s="9" t="s">
        <v>2185</v>
      </c>
      <c r="E2367" s="9" t="s">
        <v>2027</v>
      </c>
      <c r="F2367" s="9" t="s">
        <v>209</v>
      </c>
      <c r="G2367" s="9" t="s">
        <v>221</v>
      </c>
      <c r="H2367" s="9" t="n">
        <v>750</v>
      </c>
      <c r="I2367" s="29" t="n">
        <v>0.8</v>
      </c>
      <c r="J2367" s="9" t="n">
        <v>1</v>
      </c>
      <c r="K2367" s="30"/>
      <c r="L2367" s="30"/>
      <c r="M2367" s="30"/>
      <c r="N2367" s="30"/>
      <c r="O2367" s="30"/>
      <c r="P2367" s="30"/>
      <c r="Q2367" s="30"/>
      <c r="R2367" s="30"/>
      <c r="S2367" s="30"/>
      <c r="T2367" s="30"/>
      <c r="U2367" s="21" t="str">
        <f aca="false">IF(COUNT(K2367:T2367)=0,"SOURCE EMPTY / INDUSTRIAL ONLY",IF(MIN(K2367:T2367)=1,"SERVICE READY","HOLD"))</f>
        <v>SOURCE EMPTY / INDUSTRIAL ONLY</v>
      </c>
      <c r="V2367" s="9" t="n">
        <f aca="false">IF(U2367="SERVICE READY",1,0)</f>
        <v>0</v>
      </c>
      <c r="W2367" s="6"/>
      <c r="X2367" s="6"/>
      <c r="Y2367" s="6"/>
      <c r="Z2367" s="6"/>
    </row>
    <row r="2368" customFormat="false" ht="15" hidden="false" customHeight="false" outlineLevel="0" collapsed="false">
      <c r="A2368" s="9" t="s">
        <v>2628</v>
      </c>
      <c r="B2368" s="9" t="s">
        <v>2544</v>
      </c>
      <c r="C2368" s="9" t="s">
        <v>2545</v>
      </c>
      <c r="D2368" s="9" t="s">
        <v>2185</v>
      </c>
      <c r="E2368" s="9" t="s">
        <v>2027</v>
      </c>
      <c r="F2368" s="9" t="s">
        <v>211</v>
      </c>
      <c r="G2368" s="9" t="s">
        <v>221</v>
      </c>
      <c r="H2368" s="9" t="n">
        <v>750</v>
      </c>
      <c r="I2368" s="29" t="n">
        <v>0.8</v>
      </c>
      <c r="J2368" s="9" t="n">
        <v>1</v>
      </c>
      <c r="K2368" s="30"/>
      <c r="L2368" s="30"/>
      <c r="M2368" s="30"/>
      <c r="N2368" s="30"/>
      <c r="O2368" s="30"/>
      <c r="P2368" s="30"/>
      <c r="Q2368" s="30"/>
      <c r="R2368" s="30"/>
      <c r="S2368" s="30"/>
      <c r="T2368" s="30"/>
      <c r="U2368" s="21" t="str">
        <f aca="false">IF(COUNT(K2368:T2368)=0,"SOURCE EMPTY / INDUSTRIAL ONLY",IF(MIN(K2368:T2368)=1,"SERVICE READY","HOLD"))</f>
        <v>SOURCE EMPTY / INDUSTRIAL ONLY</v>
      </c>
      <c r="V2368" s="9" t="n">
        <f aca="false">IF(U2368="SERVICE READY",1,0)</f>
        <v>0</v>
      </c>
      <c r="W2368" s="6"/>
      <c r="X2368" s="6"/>
      <c r="Y2368" s="6"/>
      <c r="Z2368" s="6"/>
    </row>
    <row r="2369" customFormat="false" ht="15" hidden="false" customHeight="false" outlineLevel="0" collapsed="false">
      <c r="A2369" s="9" t="s">
        <v>2629</v>
      </c>
      <c r="B2369" s="9" t="s">
        <v>2544</v>
      </c>
      <c r="C2369" s="9" t="s">
        <v>2545</v>
      </c>
      <c r="D2369" s="9" t="s">
        <v>2185</v>
      </c>
      <c r="E2369" s="9" t="s">
        <v>2027</v>
      </c>
      <c r="F2369" s="9" t="s">
        <v>197</v>
      </c>
      <c r="G2369" s="9" t="s">
        <v>221</v>
      </c>
      <c r="H2369" s="9" t="n">
        <v>750</v>
      </c>
      <c r="I2369" s="29" t="n">
        <v>0.8</v>
      </c>
      <c r="J2369" s="9" t="n">
        <v>1</v>
      </c>
      <c r="K2369" s="30"/>
      <c r="L2369" s="30"/>
      <c r="M2369" s="30"/>
      <c r="N2369" s="30"/>
      <c r="O2369" s="30"/>
      <c r="P2369" s="30"/>
      <c r="Q2369" s="30"/>
      <c r="R2369" s="30"/>
      <c r="S2369" s="30"/>
      <c r="T2369" s="30"/>
      <c r="U2369" s="21" t="str">
        <f aca="false">IF(COUNT(K2369:T2369)=0,"SOURCE EMPTY / INDUSTRIAL ONLY",IF(MIN(K2369:T2369)=1,"SERVICE READY","HOLD"))</f>
        <v>SOURCE EMPTY / INDUSTRIAL ONLY</v>
      </c>
      <c r="V2369" s="9" t="n">
        <f aca="false">IF(U2369="SERVICE READY",1,0)</f>
        <v>0</v>
      </c>
      <c r="W2369" s="6"/>
      <c r="X2369" s="6"/>
      <c r="Y2369" s="6"/>
      <c r="Z2369" s="6"/>
    </row>
    <row r="2370" customFormat="false" ht="15" hidden="false" customHeight="false" outlineLevel="0" collapsed="false">
      <c r="A2370" s="9" t="s">
        <v>2630</v>
      </c>
      <c r="B2370" s="9" t="s">
        <v>2544</v>
      </c>
      <c r="C2370" s="9" t="s">
        <v>2545</v>
      </c>
      <c r="D2370" s="9" t="s">
        <v>2185</v>
      </c>
      <c r="E2370" s="9" t="s">
        <v>2027</v>
      </c>
      <c r="F2370" s="9" t="s">
        <v>200</v>
      </c>
      <c r="G2370" s="9" t="s">
        <v>221</v>
      </c>
      <c r="H2370" s="9" t="n">
        <v>750</v>
      </c>
      <c r="I2370" s="29" t="n">
        <v>0.8</v>
      </c>
      <c r="J2370" s="9" t="n">
        <v>1</v>
      </c>
      <c r="K2370" s="30"/>
      <c r="L2370" s="30"/>
      <c r="M2370" s="30"/>
      <c r="N2370" s="30"/>
      <c r="O2370" s="30"/>
      <c r="P2370" s="30"/>
      <c r="Q2370" s="30"/>
      <c r="R2370" s="30"/>
      <c r="S2370" s="30"/>
      <c r="T2370" s="30"/>
      <c r="U2370" s="21" t="str">
        <f aca="false">IF(COUNT(K2370:T2370)=0,"SOURCE EMPTY / INDUSTRIAL ONLY",IF(MIN(K2370:T2370)=1,"SERVICE READY","HOLD"))</f>
        <v>SOURCE EMPTY / INDUSTRIAL ONLY</v>
      </c>
      <c r="V2370" s="9" t="n">
        <f aca="false">IF(U2370="SERVICE READY",1,0)</f>
        <v>0</v>
      </c>
      <c r="W2370" s="6"/>
      <c r="X2370" s="6"/>
      <c r="Y2370" s="6"/>
      <c r="Z2370" s="6"/>
    </row>
    <row r="2371" customFormat="false" ht="15" hidden="false" customHeight="false" outlineLevel="0" collapsed="false">
      <c r="A2371" s="9" t="s">
        <v>2631</v>
      </c>
      <c r="B2371" s="9" t="s">
        <v>2544</v>
      </c>
      <c r="C2371" s="9" t="s">
        <v>2545</v>
      </c>
      <c r="D2371" s="9" t="s">
        <v>2185</v>
      </c>
      <c r="E2371" s="9" t="s">
        <v>2027</v>
      </c>
      <c r="F2371" s="9" t="s">
        <v>203</v>
      </c>
      <c r="G2371" s="9" t="s">
        <v>221</v>
      </c>
      <c r="H2371" s="9" t="n">
        <v>750</v>
      </c>
      <c r="I2371" s="29" t="n">
        <v>0.8</v>
      </c>
      <c r="J2371" s="9" t="n">
        <v>1</v>
      </c>
      <c r="K2371" s="30"/>
      <c r="L2371" s="30"/>
      <c r="M2371" s="30"/>
      <c r="N2371" s="30"/>
      <c r="O2371" s="30"/>
      <c r="P2371" s="30"/>
      <c r="Q2371" s="30"/>
      <c r="R2371" s="30"/>
      <c r="S2371" s="30"/>
      <c r="T2371" s="30"/>
      <c r="U2371" s="21" t="str">
        <f aca="false">IF(COUNT(K2371:T2371)=0,"SOURCE EMPTY / INDUSTRIAL ONLY",IF(MIN(K2371:T2371)=1,"SERVICE READY","HOLD"))</f>
        <v>SOURCE EMPTY / INDUSTRIAL ONLY</v>
      </c>
      <c r="V2371" s="9" t="n">
        <f aca="false">IF(U2371="SERVICE READY",1,0)</f>
        <v>0</v>
      </c>
      <c r="W2371" s="6"/>
      <c r="X2371" s="6"/>
      <c r="Y2371" s="6"/>
      <c r="Z2371" s="6"/>
    </row>
    <row r="2372" customFormat="false" ht="15" hidden="false" customHeight="false" outlineLevel="0" collapsed="false">
      <c r="A2372" s="9" t="s">
        <v>2632</v>
      </c>
      <c r="B2372" s="9" t="s">
        <v>2544</v>
      </c>
      <c r="C2372" s="9" t="s">
        <v>2545</v>
      </c>
      <c r="D2372" s="9" t="s">
        <v>2185</v>
      </c>
      <c r="E2372" s="9" t="s">
        <v>2027</v>
      </c>
      <c r="F2372" s="9" t="s">
        <v>205</v>
      </c>
      <c r="G2372" s="9" t="s">
        <v>221</v>
      </c>
      <c r="H2372" s="9" t="n">
        <v>750</v>
      </c>
      <c r="I2372" s="29" t="n">
        <v>0.8</v>
      </c>
      <c r="J2372" s="9" t="n">
        <v>1</v>
      </c>
      <c r="K2372" s="30"/>
      <c r="L2372" s="30"/>
      <c r="M2372" s="30"/>
      <c r="N2372" s="30"/>
      <c r="O2372" s="30"/>
      <c r="P2372" s="30"/>
      <c r="Q2372" s="30"/>
      <c r="R2372" s="30"/>
      <c r="S2372" s="30"/>
      <c r="T2372" s="30"/>
      <c r="U2372" s="21" t="str">
        <f aca="false">IF(COUNT(K2372:T2372)=0,"SOURCE EMPTY / INDUSTRIAL ONLY",IF(MIN(K2372:T2372)=1,"SERVICE READY","HOLD"))</f>
        <v>SOURCE EMPTY / INDUSTRIAL ONLY</v>
      </c>
      <c r="V2372" s="9" t="n">
        <f aca="false">IF(U2372="SERVICE READY",1,0)</f>
        <v>0</v>
      </c>
      <c r="W2372" s="6"/>
      <c r="X2372" s="6"/>
      <c r="Y2372" s="6"/>
      <c r="Z2372" s="6"/>
    </row>
    <row r="2373" customFormat="false" ht="15" hidden="false" customHeight="false" outlineLevel="0" collapsed="false">
      <c r="A2373" s="9" t="s">
        <v>2633</v>
      </c>
      <c r="B2373" s="9" t="s">
        <v>2544</v>
      </c>
      <c r="C2373" s="9" t="s">
        <v>2545</v>
      </c>
      <c r="D2373" s="9" t="s">
        <v>2185</v>
      </c>
      <c r="E2373" s="9" t="s">
        <v>2027</v>
      </c>
      <c r="F2373" s="9" t="s">
        <v>207</v>
      </c>
      <c r="G2373" s="9" t="s">
        <v>221</v>
      </c>
      <c r="H2373" s="9" t="n">
        <v>750</v>
      </c>
      <c r="I2373" s="29" t="n">
        <v>0.8</v>
      </c>
      <c r="J2373" s="9" t="n">
        <v>1</v>
      </c>
      <c r="K2373" s="30"/>
      <c r="L2373" s="30"/>
      <c r="M2373" s="30"/>
      <c r="N2373" s="30"/>
      <c r="O2373" s="30"/>
      <c r="P2373" s="30"/>
      <c r="Q2373" s="30"/>
      <c r="R2373" s="30"/>
      <c r="S2373" s="30"/>
      <c r="T2373" s="30"/>
      <c r="U2373" s="21" t="str">
        <f aca="false">IF(COUNT(K2373:T2373)=0,"SOURCE EMPTY / INDUSTRIAL ONLY",IF(MIN(K2373:T2373)=1,"SERVICE READY","HOLD"))</f>
        <v>SOURCE EMPTY / INDUSTRIAL ONLY</v>
      </c>
      <c r="V2373" s="9" t="n">
        <f aca="false">IF(U2373="SERVICE READY",1,0)</f>
        <v>0</v>
      </c>
      <c r="W2373" s="6"/>
      <c r="X2373" s="6"/>
      <c r="Y2373" s="6"/>
      <c r="Z2373" s="6"/>
    </row>
    <row r="2374" customFormat="false" ht="15" hidden="false" customHeight="false" outlineLevel="0" collapsed="false">
      <c r="A2374" s="9" t="s">
        <v>2634</v>
      </c>
      <c r="B2374" s="9" t="s">
        <v>2544</v>
      </c>
      <c r="C2374" s="9" t="s">
        <v>2545</v>
      </c>
      <c r="D2374" s="9" t="s">
        <v>2185</v>
      </c>
      <c r="E2374" s="9" t="s">
        <v>2027</v>
      </c>
      <c r="F2374" s="9" t="s">
        <v>209</v>
      </c>
      <c r="G2374" s="9" t="s">
        <v>221</v>
      </c>
      <c r="H2374" s="9" t="n">
        <v>750</v>
      </c>
      <c r="I2374" s="29" t="n">
        <v>0.8</v>
      </c>
      <c r="J2374" s="9" t="n">
        <v>1</v>
      </c>
      <c r="K2374" s="30"/>
      <c r="L2374" s="30"/>
      <c r="M2374" s="30"/>
      <c r="N2374" s="30"/>
      <c r="O2374" s="30"/>
      <c r="P2374" s="30"/>
      <c r="Q2374" s="30"/>
      <c r="R2374" s="30"/>
      <c r="S2374" s="30"/>
      <c r="T2374" s="30"/>
      <c r="U2374" s="21" t="str">
        <f aca="false">IF(COUNT(K2374:T2374)=0,"SOURCE EMPTY / INDUSTRIAL ONLY",IF(MIN(K2374:T2374)=1,"SERVICE READY","HOLD"))</f>
        <v>SOURCE EMPTY / INDUSTRIAL ONLY</v>
      </c>
      <c r="V2374" s="9" t="n">
        <f aca="false">IF(U2374="SERVICE READY",1,0)</f>
        <v>0</v>
      </c>
      <c r="W2374" s="6"/>
      <c r="X2374" s="6"/>
      <c r="Y2374" s="6"/>
      <c r="Z2374" s="6"/>
    </row>
    <row r="2375" customFormat="false" ht="15" hidden="false" customHeight="false" outlineLevel="0" collapsed="false">
      <c r="A2375" s="9" t="s">
        <v>2635</v>
      </c>
      <c r="B2375" s="9" t="s">
        <v>2544</v>
      </c>
      <c r="C2375" s="9" t="s">
        <v>2545</v>
      </c>
      <c r="D2375" s="9" t="s">
        <v>2185</v>
      </c>
      <c r="E2375" s="9" t="s">
        <v>2027</v>
      </c>
      <c r="F2375" s="9" t="s">
        <v>211</v>
      </c>
      <c r="G2375" s="9" t="s">
        <v>221</v>
      </c>
      <c r="H2375" s="9" t="n">
        <v>750</v>
      </c>
      <c r="I2375" s="29" t="n">
        <v>0.8</v>
      </c>
      <c r="J2375" s="9" t="n">
        <v>1</v>
      </c>
      <c r="K2375" s="30"/>
      <c r="L2375" s="30"/>
      <c r="M2375" s="30"/>
      <c r="N2375" s="30"/>
      <c r="O2375" s="30"/>
      <c r="P2375" s="30"/>
      <c r="Q2375" s="30"/>
      <c r="R2375" s="30"/>
      <c r="S2375" s="30"/>
      <c r="T2375" s="30"/>
      <c r="U2375" s="21" t="str">
        <f aca="false">IF(COUNT(K2375:T2375)=0,"SOURCE EMPTY / INDUSTRIAL ONLY",IF(MIN(K2375:T2375)=1,"SERVICE READY","HOLD"))</f>
        <v>SOURCE EMPTY / INDUSTRIAL ONLY</v>
      </c>
      <c r="V2375" s="9" t="n">
        <f aca="false">IF(U2375="SERVICE READY",1,0)</f>
        <v>0</v>
      </c>
      <c r="W2375" s="6"/>
      <c r="X2375" s="6"/>
      <c r="Y2375" s="6"/>
      <c r="Z2375" s="6"/>
    </row>
    <row r="2376" customFormat="false" ht="15" hidden="false" customHeight="false" outlineLevel="0" collapsed="false">
      <c r="A2376" s="9" t="s">
        <v>2636</v>
      </c>
      <c r="B2376" s="9" t="s">
        <v>2544</v>
      </c>
      <c r="C2376" s="9" t="s">
        <v>2545</v>
      </c>
      <c r="D2376" s="9" t="s">
        <v>2185</v>
      </c>
      <c r="E2376" s="9" t="s">
        <v>2027</v>
      </c>
      <c r="F2376" s="9" t="s">
        <v>197</v>
      </c>
      <c r="G2376" s="9" t="s">
        <v>221</v>
      </c>
      <c r="H2376" s="9" t="n">
        <v>750</v>
      </c>
      <c r="I2376" s="29" t="n">
        <v>0.8</v>
      </c>
      <c r="J2376" s="9" t="n">
        <v>1</v>
      </c>
      <c r="K2376" s="30"/>
      <c r="L2376" s="30"/>
      <c r="M2376" s="30"/>
      <c r="N2376" s="30"/>
      <c r="O2376" s="30"/>
      <c r="P2376" s="30"/>
      <c r="Q2376" s="30"/>
      <c r="R2376" s="30"/>
      <c r="S2376" s="30"/>
      <c r="T2376" s="30"/>
      <c r="U2376" s="21" t="str">
        <f aca="false">IF(COUNT(K2376:T2376)=0,"SOURCE EMPTY / INDUSTRIAL ONLY",IF(MIN(K2376:T2376)=1,"SERVICE READY","HOLD"))</f>
        <v>SOURCE EMPTY / INDUSTRIAL ONLY</v>
      </c>
      <c r="V2376" s="9" t="n">
        <f aca="false">IF(U2376="SERVICE READY",1,0)</f>
        <v>0</v>
      </c>
      <c r="W2376" s="6"/>
      <c r="X2376" s="6"/>
      <c r="Y2376" s="6"/>
      <c r="Z2376" s="6"/>
    </row>
    <row r="2377" customFormat="false" ht="15" hidden="false" customHeight="false" outlineLevel="0" collapsed="false">
      <c r="A2377" s="9" t="s">
        <v>2637</v>
      </c>
      <c r="B2377" s="9" t="s">
        <v>2544</v>
      </c>
      <c r="C2377" s="9" t="s">
        <v>2545</v>
      </c>
      <c r="D2377" s="9" t="s">
        <v>2185</v>
      </c>
      <c r="E2377" s="9" t="s">
        <v>2027</v>
      </c>
      <c r="F2377" s="9" t="s">
        <v>200</v>
      </c>
      <c r="G2377" s="9" t="s">
        <v>221</v>
      </c>
      <c r="H2377" s="9" t="n">
        <v>750</v>
      </c>
      <c r="I2377" s="29" t="n">
        <v>0.8</v>
      </c>
      <c r="J2377" s="9" t="n">
        <v>1</v>
      </c>
      <c r="K2377" s="30"/>
      <c r="L2377" s="30"/>
      <c r="M2377" s="30"/>
      <c r="N2377" s="30"/>
      <c r="O2377" s="30"/>
      <c r="P2377" s="30"/>
      <c r="Q2377" s="30"/>
      <c r="R2377" s="30"/>
      <c r="S2377" s="30"/>
      <c r="T2377" s="30"/>
      <c r="U2377" s="21" t="str">
        <f aca="false">IF(COUNT(K2377:T2377)=0,"SOURCE EMPTY / INDUSTRIAL ONLY",IF(MIN(K2377:T2377)=1,"SERVICE READY","HOLD"))</f>
        <v>SOURCE EMPTY / INDUSTRIAL ONLY</v>
      </c>
      <c r="V2377" s="9" t="n">
        <f aca="false">IF(U2377="SERVICE READY",1,0)</f>
        <v>0</v>
      </c>
      <c r="W2377" s="6"/>
      <c r="X2377" s="6"/>
      <c r="Y2377" s="6"/>
      <c r="Z2377" s="6"/>
    </row>
    <row r="2378" customFormat="false" ht="15" hidden="false" customHeight="false" outlineLevel="0" collapsed="false">
      <c r="A2378" s="9" t="s">
        <v>2638</v>
      </c>
      <c r="B2378" s="9" t="s">
        <v>2544</v>
      </c>
      <c r="C2378" s="9" t="s">
        <v>2545</v>
      </c>
      <c r="D2378" s="9" t="s">
        <v>2185</v>
      </c>
      <c r="E2378" s="9" t="s">
        <v>2027</v>
      </c>
      <c r="F2378" s="9" t="s">
        <v>203</v>
      </c>
      <c r="G2378" s="9" t="s">
        <v>221</v>
      </c>
      <c r="H2378" s="9" t="n">
        <v>750</v>
      </c>
      <c r="I2378" s="29" t="n">
        <v>0.8</v>
      </c>
      <c r="J2378" s="9" t="n">
        <v>1</v>
      </c>
      <c r="K2378" s="30"/>
      <c r="L2378" s="30"/>
      <c r="M2378" s="30"/>
      <c r="N2378" s="30"/>
      <c r="O2378" s="30"/>
      <c r="P2378" s="30"/>
      <c r="Q2378" s="30"/>
      <c r="R2378" s="30"/>
      <c r="S2378" s="30"/>
      <c r="T2378" s="30"/>
      <c r="U2378" s="21" t="str">
        <f aca="false">IF(COUNT(K2378:T2378)=0,"SOURCE EMPTY / INDUSTRIAL ONLY",IF(MIN(K2378:T2378)=1,"SERVICE READY","HOLD"))</f>
        <v>SOURCE EMPTY / INDUSTRIAL ONLY</v>
      </c>
      <c r="V2378" s="9" t="n">
        <f aca="false">IF(U2378="SERVICE READY",1,0)</f>
        <v>0</v>
      </c>
      <c r="W2378" s="6"/>
      <c r="X2378" s="6"/>
      <c r="Y2378" s="6"/>
      <c r="Z2378" s="6"/>
    </row>
    <row r="2379" customFormat="false" ht="15" hidden="false" customHeight="false" outlineLevel="0" collapsed="false">
      <c r="A2379" s="9" t="s">
        <v>2639</v>
      </c>
      <c r="B2379" s="9" t="s">
        <v>2544</v>
      </c>
      <c r="C2379" s="9" t="s">
        <v>2545</v>
      </c>
      <c r="D2379" s="9" t="s">
        <v>2185</v>
      </c>
      <c r="E2379" s="9" t="s">
        <v>2027</v>
      </c>
      <c r="F2379" s="9" t="s">
        <v>205</v>
      </c>
      <c r="G2379" s="9" t="s">
        <v>221</v>
      </c>
      <c r="H2379" s="9" t="n">
        <v>750</v>
      </c>
      <c r="I2379" s="29" t="n">
        <v>0.8</v>
      </c>
      <c r="J2379" s="9" t="n">
        <v>1</v>
      </c>
      <c r="K2379" s="30"/>
      <c r="L2379" s="30"/>
      <c r="M2379" s="30"/>
      <c r="N2379" s="30"/>
      <c r="O2379" s="30"/>
      <c r="P2379" s="30"/>
      <c r="Q2379" s="30"/>
      <c r="R2379" s="30"/>
      <c r="S2379" s="30"/>
      <c r="T2379" s="30"/>
      <c r="U2379" s="21" t="str">
        <f aca="false">IF(COUNT(K2379:T2379)=0,"SOURCE EMPTY / INDUSTRIAL ONLY",IF(MIN(K2379:T2379)=1,"SERVICE READY","HOLD"))</f>
        <v>SOURCE EMPTY / INDUSTRIAL ONLY</v>
      </c>
      <c r="V2379" s="9" t="n">
        <f aca="false">IF(U2379="SERVICE READY",1,0)</f>
        <v>0</v>
      </c>
      <c r="W2379" s="6"/>
      <c r="X2379" s="6"/>
      <c r="Y2379" s="6"/>
      <c r="Z2379" s="6"/>
    </row>
    <row r="2380" customFormat="false" ht="15" hidden="false" customHeight="false" outlineLevel="0" collapsed="false">
      <c r="A2380" s="9" t="s">
        <v>2640</v>
      </c>
      <c r="B2380" s="9" t="s">
        <v>2544</v>
      </c>
      <c r="C2380" s="9" t="s">
        <v>2545</v>
      </c>
      <c r="D2380" s="9" t="s">
        <v>2185</v>
      </c>
      <c r="E2380" s="9" t="s">
        <v>2027</v>
      </c>
      <c r="F2380" s="9" t="s">
        <v>207</v>
      </c>
      <c r="G2380" s="9" t="s">
        <v>221</v>
      </c>
      <c r="H2380" s="9" t="n">
        <v>750</v>
      </c>
      <c r="I2380" s="29" t="n">
        <v>0.8</v>
      </c>
      <c r="J2380" s="9" t="n">
        <v>0</v>
      </c>
      <c r="K2380" s="30"/>
      <c r="L2380" s="30"/>
      <c r="M2380" s="30"/>
      <c r="N2380" s="30"/>
      <c r="O2380" s="30"/>
      <c r="P2380" s="30"/>
      <c r="Q2380" s="30"/>
      <c r="R2380" s="30"/>
      <c r="S2380" s="30"/>
      <c r="T2380" s="30"/>
      <c r="U2380" s="21" t="str">
        <f aca="false">IF(COUNT(K2380:T2380)=0,"SOURCE EMPTY / INDUSTRIAL ONLY",IF(MIN(K2380:T2380)=1,"SERVICE READY","HOLD"))</f>
        <v>SOURCE EMPTY / INDUSTRIAL ONLY</v>
      </c>
      <c r="V2380" s="9" t="n">
        <f aca="false">IF(U2380="SERVICE READY",1,0)</f>
        <v>0</v>
      </c>
      <c r="W2380" s="6"/>
      <c r="X2380" s="6"/>
      <c r="Y2380" s="6"/>
      <c r="Z2380" s="6"/>
    </row>
    <row r="2381" customFormat="false" ht="15" hidden="false" customHeight="false" outlineLevel="0" collapsed="false">
      <c r="A2381" s="9" t="s">
        <v>2641</v>
      </c>
      <c r="B2381" s="9" t="s">
        <v>2544</v>
      </c>
      <c r="C2381" s="9" t="s">
        <v>2545</v>
      </c>
      <c r="D2381" s="9" t="s">
        <v>2185</v>
      </c>
      <c r="E2381" s="9" t="s">
        <v>2027</v>
      </c>
      <c r="F2381" s="9" t="s">
        <v>209</v>
      </c>
      <c r="G2381" s="9" t="s">
        <v>221</v>
      </c>
      <c r="H2381" s="9" t="n">
        <v>750</v>
      </c>
      <c r="I2381" s="29" t="n">
        <v>0.8</v>
      </c>
      <c r="J2381" s="9" t="n">
        <v>0</v>
      </c>
      <c r="K2381" s="30"/>
      <c r="L2381" s="30"/>
      <c r="M2381" s="30"/>
      <c r="N2381" s="30"/>
      <c r="O2381" s="30"/>
      <c r="P2381" s="30"/>
      <c r="Q2381" s="30"/>
      <c r="R2381" s="30"/>
      <c r="S2381" s="30"/>
      <c r="T2381" s="30"/>
      <c r="U2381" s="21" t="str">
        <f aca="false">IF(COUNT(K2381:T2381)=0,"SOURCE EMPTY / INDUSTRIAL ONLY",IF(MIN(K2381:T2381)=1,"SERVICE READY","HOLD"))</f>
        <v>SOURCE EMPTY / INDUSTRIAL ONLY</v>
      </c>
      <c r="V2381" s="9" t="n">
        <f aca="false">IF(U2381="SERVICE READY",1,0)</f>
        <v>0</v>
      </c>
      <c r="W2381" s="6"/>
      <c r="X2381" s="6"/>
      <c r="Y2381" s="6"/>
      <c r="Z2381" s="6"/>
    </row>
    <row r="2382" customFormat="false" ht="15" hidden="false" customHeight="false" outlineLevel="0" collapsed="false">
      <c r="A2382" s="9" t="s">
        <v>2642</v>
      </c>
      <c r="B2382" s="9" t="s">
        <v>2544</v>
      </c>
      <c r="C2382" s="9" t="s">
        <v>2545</v>
      </c>
      <c r="D2382" s="9" t="s">
        <v>2185</v>
      </c>
      <c r="E2382" s="9" t="s">
        <v>2027</v>
      </c>
      <c r="F2382" s="9" t="s">
        <v>211</v>
      </c>
      <c r="G2382" s="9" t="s">
        <v>221</v>
      </c>
      <c r="H2382" s="9" t="n">
        <v>750</v>
      </c>
      <c r="I2382" s="29" t="n">
        <v>0.8</v>
      </c>
      <c r="J2382" s="9" t="n">
        <v>0</v>
      </c>
      <c r="K2382" s="30"/>
      <c r="L2382" s="30"/>
      <c r="M2382" s="30"/>
      <c r="N2382" s="30"/>
      <c r="O2382" s="30"/>
      <c r="P2382" s="30"/>
      <c r="Q2382" s="30"/>
      <c r="R2382" s="30"/>
      <c r="S2382" s="30"/>
      <c r="T2382" s="30"/>
      <c r="U2382" s="21" t="str">
        <f aca="false">IF(COUNT(K2382:T2382)=0,"SOURCE EMPTY / INDUSTRIAL ONLY",IF(MIN(K2382:T2382)=1,"SERVICE READY","HOLD"))</f>
        <v>SOURCE EMPTY / INDUSTRIAL ONLY</v>
      </c>
      <c r="V2382" s="9" t="n">
        <f aca="false">IF(U2382="SERVICE READY",1,0)</f>
        <v>0</v>
      </c>
      <c r="W2382" s="6"/>
      <c r="X2382" s="6"/>
      <c r="Y2382" s="6"/>
      <c r="Z2382" s="6"/>
    </row>
    <row r="2383" customFormat="false" ht="15" hidden="false" customHeight="false" outlineLevel="0" collapsed="false">
      <c r="A2383" s="9" t="s">
        <v>2643</v>
      </c>
      <c r="B2383" s="9" t="s">
        <v>2544</v>
      </c>
      <c r="C2383" s="9" t="s">
        <v>2545</v>
      </c>
      <c r="D2383" s="9" t="s">
        <v>2185</v>
      </c>
      <c r="E2383" s="9" t="s">
        <v>2027</v>
      </c>
      <c r="F2383" s="9" t="s">
        <v>197</v>
      </c>
      <c r="G2383" s="9" t="s">
        <v>221</v>
      </c>
      <c r="H2383" s="9" t="n">
        <v>750</v>
      </c>
      <c r="I2383" s="29" t="n">
        <v>0.8</v>
      </c>
      <c r="J2383" s="9" t="n">
        <v>0</v>
      </c>
      <c r="K2383" s="30"/>
      <c r="L2383" s="30"/>
      <c r="M2383" s="30"/>
      <c r="N2383" s="30"/>
      <c r="O2383" s="30"/>
      <c r="P2383" s="30"/>
      <c r="Q2383" s="30"/>
      <c r="R2383" s="30"/>
      <c r="S2383" s="30"/>
      <c r="T2383" s="30"/>
      <c r="U2383" s="21" t="str">
        <f aca="false">IF(COUNT(K2383:T2383)=0,"SOURCE EMPTY / INDUSTRIAL ONLY",IF(MIN(K2383:T2383)=1,"SERVICE READY","HOLD"))</f>
        <v>SOURCE EMPTY / INDUSTRIAL ONLY</v>
      </c>
      <c r="V2383" s="9" t="n">
        <f aca="false">IF(U2383="SERVICE READY",1,0)</f>
        <v>0</v>
      </c>
      <c r="W2383" s="6"/>
      <c r="X2383" s="6"/>
      <c r="Y2383" s="6"/>
      <c r="Z2383" s="6"/>
    </row>
    <row r="2384" customFormat="false" ht="15" hidden="false" customHeight="false" outlineLevel="0" collapsed="false">
      <c r="A2384" s="9" t="s">
        <v>2644</v>
      </c>
      <c r="B2384" s="9" t="s">
        <v>2544</v>
      </c>
      <c r="C2384" s="9" t="s">
        <v>2545</v>
      </c>
      <c r="D2384" s="9" t="s">
        <v>2185</v>
      </c>
      <c r="E2384" s="9" t="s">
        <v>2027</v>
      </c>
      <c r="F2384" s="9" t="s">
        <v>200</v>
      </c>
      <c r="G2384" s="9" t="s">
        <v>221</v>
      </c>
      <c r="H2384" s="9" t="n">
        <v>750</v>
      </c>
      <c r="I2384" s="29" t="n">
        <v>0.8</v>
      </c>
      <c r="J2384" s="9" t="n">
        <v>0</v>
      </c>
      <c r="K2384" s="30"/>
      <c r="L2384" s="30"/>
      <c r="M2384" s="30"/>
      <c r="N2384" s="30"/>
      <c r="O2384" s="30"/>
      <c r="P2384" s="30"/>
      <c r="Q2384" s="30"/>
      <c r="R2384" s="30"/>
      <c r="S2384" s="30"/>
      <c r="T2384" s="30"/>
      <c r="U2384" s="21" t="str">
        <f aca="false">IF(COUNT(K2384:T2384)=0,"SOURCE EMPTY / INDUSTRIAL ONLY",IF(MIN(K2384:T2384)=1,"SERVICE READY","HOLD"))</f>
        <v>SOURCE EMPTY / INDUSTRIAL ONLY</v>
      </c>
      <c r="V2384" s="9" t="n">
        <f aca="false">IF(U2384="SERVICE READY",1,0)</f>
        <v>0</v>
      </c>
      <c r="W2384" s="6"/>
      <c r="X2384" s="6"/>
      <c r="Y2384" s="6"/>
      <c r="Z2384" s="6"/>
    </row>
    <row r="2385" customFormat="false" ht="15" hidden="false" customHeight="false" outlineLevel="0" collapsed="false">
      <c r="A2385" s="9" t="s">
        <v>2645</v>
      </c>
      <c r="B2385" s="9" t="s">
        <v>2544</v>
      </c>
      <c r="C2385" s="9" t="s">
        <v>2545</v>
      </c>
      <c r="D2385" s="9" t="s">
        <v>2185</v>
      </c>
      <c r="E2385" s="9" t="s">
        <v>2027</v>
      </c>
      <c r="F2385" s="9" t="s">
        <v>203</v>
      </c>
      <c r="G2385" s="9" t="s">
        <v>221</v>
      </c>
      <c r="H2385" s="9" t="n">
        <v>750</v>
      </c>
      <c r="I2385" s="29" t="n">
        <v>0.8</v>
      </c>
      <c r="J2385" s="9" t="n">
        <v>0</v>
      </c>
      <c r="K2385" s="30"/>
      <c r="L2385" s="30"/>
      <c r="M2385" s="30"/>
      <c r="N2385" s="30"/>
      <c r="O2385" s="30"/>
      <c r="P2385" s="30"/>
      <c r="Q2385" s="30"/>
      <c r="R2385" s="30"/>
      <c r="S2385" s="30"/>
      <c r="T2385" s="30"/>
      <c r="U2385" s="21" t="str">
        <f aca="false">IF(COUNT(K2385:T2385)=0,"SOURCE EMPTY / INDUSTRIAL ONLY",IF(MIN(K2385:T2385)=1,"SERVICE READY","HOLD"))</f>
        <v>SOURCE EMPTY / INDUSTRIAL ONLY</v>
      </c>
      <c r="V2385" s="9" t="n">
        <f aca="false">IF(U2385="SERVICE READY",1,0)</f>
        <v>0</v>
      </c>
      <c r="W2385" s="6"/>
      <c r="X2385" s="6"/>
      <c r="Y2385" s="6"/>
      <c r="Z2385" s="6"/>
    </row>
    <row r="2386" customFormat="false" ht="15" hidden="false" customHeight="false" outlineLevel="0" collapsed="false">
      <c r="A2386" s="9" t="s">
        <v>2646</v>
      </c>
      <c r="B2386" s="9" t="s">
        <v>2544</v>
      </c>
      <c r="C2386" s="9" t="s">
        <v>2545</v>
      </c>
      <c r="D2386" s="9" t="s">
        <v>2185</v>
      </c>
      <c r="E2386" s="9" t="s">
        <v>2027</v>
      </c>
      <c r="F2386" s="9" t="s">
        <v>205</v>
      </c>
      <c r="G2386" s="9" t="s">
        <v>221</v>
      </c>
      <c r="H2386" s="9" t="n">
        <v>750</v>
      </c>
      <c r="I2386" s="29" t="n">
        <v>0.8</v>
      </c>
      <c r="J2386" s="9" t="n">
        <v>0</v>
      </c>
      <c r="K2386" s="30"/>
      <c r="L2386" s="30"/>
      <c r="M2386" s="30"/>
      <c r="N2386" s="30"/>
      <c r="O2386" s="30"/>
      <c r="P2386" s="30"/>
      <c r="Q2386" s="30"/>
      <c r="R2386" s="30"/>
      <c r="S2386" s="30"/>
      <c r="T2386" s="30"/>
      <c r="U2386" s="21" t="str">
        <f aca="false">IF(COUNT(K2386:T2386)=0,"SOURCE EMPTY / INDUSTRIAL ONLY",IF(MIN(K2386:T2386)=1,"SERVICE READY","HOLD"))</f>
        <v>SOURCE EMPTY / INDUSTRIAL ONLY</v>
      </c>
      <c r="V2386" s="9" t="n">
        <f aca="false">IF(U2386="SERVICE READY",1,0)</f>
        <v>0</v>
      </c>
      <c r="W2386" s="6"/>
      <c r="X2386" s="6"/>
      <c r="Y2386" s="6"/>
      <c r="Z2386" s="6"/>
    </row>
    <row r="2387" customFormat="false" ht="15" hidden="false" customHeight="false" outlineLevel="0" collapsed="false">
      <c r="A2387" s="9" t="s">
        <v>2647</v>
      </c>
      <c r="B2387" s="9" t="s">
        <v>2544</v>
      </c>
      <c r="C2387" s="9" t="s">
        <v>2545</v>
      </c>
      <c r="D2387" s="9" t="s">
        <v>2185</v>
      </c>
      <c r="E2387" s="9" t="s">
        <v>2027</v>
      </c>
      <c r="F2387" s="9" t="s">
        <v>207</v>
      </c>
      <c r="G2387" s="9" t="s">
        <v>221</v>
      </c>
      <c r="H2387" s="9" t="n">
        <v>750</v>
      </c>
      <c r="I2387" s="29" t="n">
        <v>0.8</v>
      </c>
      <c r="J2387" s="9" t="n">
        <v>0</v>
      </c>
      <c r="K2387" s="30"/>
      <c r="L2387" s="30"/>
      <c r="M2387" s="30"/>
      <c r="N2387" s="30"/>
      <c r="O2387" s="30"/>
      <c r="P2387" s="30"/>
      <c r="Q2387" s="30"/>
      <c r="R2387" s="30"/>
      <c r="S2387" s="30"/>
      <c r="T2387" s="30"/>
      <c r="U2387" s="21" t="str">
        <f aca="false">IF(COUNT(K2387:T2387)=0,"SOURCE EMPTY / INDUSTRIAL ONLY",IF(MIN(K2387:T2387)=1,"SERVICE READY","HOLD"))</f>
        <v>SOURCE EMPTY / INDUSTRIAL ONLY</v>
      </c>
      <c r="V2387" s="9" t="n">
        <f aca="false">IF(U2387="SERVICE READY",1,0)</f>
        <v>0</v>
      </c>
      <c r="W2387" s="6"/>
      <c r="X2387" s="6"/>
      <c r="Y2387" s="6"/>
      <c r="Z2387" s="6"/>
    </row>
    <row r="2388" customFormat="false" ht="15" hidden="false" customHeight="false" outlineLevel="0" collapsed="false">
      <c r="A2388" s="9" t="s">
        <v>2648</v>
      </c>
      <c r="B2388" s="9" t="s">
        <v>2544</v>
      </c>
      <c r="C2388" s="9" t="s">
        <v>2545</v>
      </c>
      <c r="D2388" s="9" t="s">
        <v>2185</v>
      </c>
      <c r="E2388" s="9" t="s">
        <v>2027</v>
      </c>
      <c r="F2388" s="9" t="s">
        <v>209</v>
      </c>
      <c r="G2388" s="9" t="s">
        <v>221</v>
      </c>
      <c r="H2388" s="9" t="n">
        <v>750</v>
      </c>
      <c r="I2388" s="29" t="n">
        <v>0.8</v>
      </c>
      <c r="J2388" s="9" t="n">
        <v>0</v>
      </c>
      <c r="K2388" s="30"/>
      <c r="L2388" s="30"/>
      <c r="M2388" s="30"/>
      <c r="N2388" s="30"/>
      <c r="O2388" s="30"/>
      <c r="P2388" s="30"/>
      <c r="Q2388" s="30"/>
      <c r="R2388" s="30"/>
      <c r="S2388" s="30"/>
      <c r="T2388" s="30"/>
      <c r="U2388" s="21" t="str">
        <f aca="false">IF(COUNT(K2388:T2388)=0,"SOURCE EMPTY / INDUSTRIAL ONLY",IF(MIN(K2388:T2388)=1,"SERVICE READY","HOLD"))</f>
        <v>SOURCE EMPTY / INDUSTRIAL ONLY</v>
      </c>
      <c r="V2388" s="9" t="n">
        <f aca="false">IF(U2388="SERVICE READY",1,0)</f>
        <v>0</v>
      </c>
      <c r="W2388" s="6"/>
      <c r="X2388" s="6"/>
      <c r="Y2388" s="6"/>
      <c r="Z2388" s="6"/>
    </row>
    <row r="2389" customFormat="false" ht="15" hidden="false" customHeight="false" outlineLevel="0" collapsed="false">
      <c r="A2389" s="9" t="s">
        <v>2649</v>
      </c>
      <c r="B2389" s="9" t="s">
        <v>2544</v>
      </c>
      <c r="C2389" s="9" t="s">
        <v>2545</v>
      </c>
      <c r="D2389" s="9" t="s">
        <v>2185</v>
      </c>
      <c r="E2389" s="9" t="s">
        <v>2027</v>
      </c>
      <c r="F2389" s="9" t="s">
        <v>211</v>
      </c>
      <c r="G2389" s="9" t="s">
        <v>221</v>
      </c>
      <c r="H2389" s="9" t="n">
        <v>750</v>
      </c>
      <c r="I2389" s="29" t="n">
        <v>0.8</v>
      </c>
      <c r="J2389" s="9" t="n">
        <v>0</v>
      </c>
      <c r="K2389" s="30"/>
      <c r="L2389" s="30"/>
      <c r="M2389" s="30"/>
      <c r="N2389" s="30"/>
      <c r="O2389" s="30"/>
      <c r="P2389" s="30"/>
      <c r="Q2389" s="30"/>
      <c r="R2389" s="30"/>
      <c r="S2389" s="30"/>
      <c r="T2389" s="30"/>
      <c r="U2389" s="21" t="str">
        <f aca="false">IF(COUNT(K2389:T2389)=0,"SOURCE EMPTY / INDUSTRIAL ONLY",IF(MIN(K2389:T2389)=1,"SERVICE READY","HOLD"))</f>
        <v>SOURCE EMPTY / INDUSTRIAL ONLY</v>
      </c>
      <c r="V2389" s="9" t="n">
        <f aca="false">IF(U2389="SERVICE READY",1,0)</f>
        <v>0</v>
      </c>
      <c r="W2389" s="6"/>
      <c r="X2389" s="6"/>
      <c r="Y2389" s="6"/>
      <c r="Z2389" s="6"/>
    </row>
    <row r="2390" customFormat="false" ht="15" hidden="false" customHeight="false" outlineLevel="0" collapsed="false">
      <c r="A2390" s="9" t="s">
        <v>2650</v>
      </c>
      <c r="B2390" s="9" t="s">
        <v>2544</v>
      </c>
      <c r="C2390" s="9" t="s">
        <v>2545</v>
      </c>
      <c r="D2390" s="9" t="s">
        <v>2185</v>
      </c>
      <c r="E2390" s="9" t="s">
        <v>2027</v>
      </c>
      <c r="F2390" s="9" t="s">
        <v>197</v>
      </c>
      <c r="G2390" s="9" t="s">
        <v>221</v>
      </c>
      <c r="H2390" s="9" t="n">
        <v>750</v>
      </c>
      <c r="I2390" s="29" t="n">
        <v>0.8</v>
      </c>
      <c r="J2390" s="9" t="n">
        <v>0</v>
      </c>
      <c r="K2390" s="30"/>
      <c r="L2390" s="30"/>
      <c r="M2390" s="30"/>
      <c r="N2390" s="30"/>
      <c r="O2390" s="30"/>
      <c r="P2390" s="30"/>
      <c r="Q2390" s="30"/>
      <c r="R2390" s="30"/>
      <c r="S2390" s="30"/>
      <c r="T2390" s="30"/>
      <c r="U2390" s="21" t="str">
        <f aca="false">IF(COUNT(K2390:T2390)=0,"SOURCE EMPTY / INDUSTRIAL ONLY",IF(MIN(K2390:T2390)=1,"SERVICE READY","HOLD"))</f>
        <v>SOURCE EMPTY / INDUSTRIAL ONLY</v>
      </c>
      <c r="V2390" s="9" t="n">
        <f aca="false">IF(U2390="SERVICE READY",1,0)</f>
        <v>0</v>
      </c>
      <c r="W2390" s="6"/>
      <c r="X2390" s="6"/>
      <c r="Y2390" s="6"/>
      <c r="Z2390" s="6"/>
    </row>
    <row r="2391" customFormat="false" ht="15" hidden="false" customHeight="false" outlineLevel="0" collapsed="false">
      <c r="A2391" s="9" t="s">
        <v>2651</v>
      </c>
      <c r="B2391" s="9" t="s">
        <v>2544</v>
      </c>
      <c r="C2391" s="9" t="s">
        <v>2545</v>
      </c>
      <c r="D2391" s="9" t="s">
        <v>2185</v>
      </c>
      <c r="E2391" s="9" t="s">
        <v>2027</v>
      </c>
      <c r="F2391" s="9" t="s">
        <v>200</v>
      </c>
      <c r="G2391" s="9" t="s">
        <v>221</v>
      </c>
      <c r="H2391" s="9" t="n">
        <v>750</v>
      </c>
      <c r="I2391" s="29" t="n">
        <v>0.8</v>
      </c>
      <c r="J2391" s="9" t="n">
        <v>0</v>
      </c>
      <c r="K2391" s="30"/>
      <c r="L2391" s="30"/>
      <c r="M2391" s="30"/>
      <c r="N2391" s="30"/>
      <c r="O2391" s="30"/>
      <c r="P2391" s="30"/>
      <c r="Q2391" s="30"/>
      <c r="R2391" s="30"/>
      <c r="S2391" s="30"/>
      <c r="T2391" s="30"/>
      <c r="U2391" s="21" t="str">
        <f aca="false">IF(COUNT(K2391:T2391)=0,"SOURCE EMPTY / INDUSTRIAL ONLY",IF(MIN(K2391:T2391)=1,"SERVICE READY","HOLD"))</f>
        <v>SOURCE EMPTY / INDUSTRIAL ONLY</v>
      </c>
      <c r="V2391" s="9" t="n">
        <f aca="false">IF(U2391="SERVICE READY",1,0)</f>
        <v>0</v>
      </c>
      <c r="W2391" s="6"/>
      <c r="X2391" s="6"/>
      <c r="Y2391" s="6"/>
      <c r="Z2391" s="6"/>
    </row>
    <row r="2392" customFormat="false" ht="15" hidden="false" customHeight="false" outlineLevel="0" collapsed="false">
      <c r="A2392" s="9" t="s">
        <v>2652</v>
      </c>
      <c r="B2392" s="9" t="s">
        <v>2544</v>
      </c>
      <c r="C2392" s="9" t="s">
        <v>2545</v>
      </c>
      <c r="D2392" s="9" t="s">
        <v>2185</v>
      </c>
      <c r="E2392" s="9" t="s">
        <v>2027</v>
      </c>
      <c r="F2392" s="9" t="s">
        <v>203</v>
      </c>
      <c r="G2392" s="9" t="s">
        <v>221</v>
      </c>
      <c r="H2392" s="9" t="n">
        <v>750</v>
      </c>
      <c r="I2392" s="29" t="n">
        <v>0.8</v>
      </c>
      <c r="J2392" s="9" t="n">
        <v>0</v>
      </c>
      <c r="K2392" s="30"/>
      <c r="L2392" s="30"/>
      <c r="M2392" s="30"/>
      <c r="N2392" s="30"/>
      <c r="O2392" s="30"/>
      <c r="P2392" s="30"/>
      <c r="Q2392" s="30"/>
      <c r="R2392" s="30"/>
      <c r="S2392" s="30"/>
      <c r="T2392" s="30"/>
      <c r="U2392" s="21" t="str">
        <f aca="false">IF(COUNT(K2392:T2392)=0,"SOURCE EMPTY / INDUSTRIAL ONLY",IF(MIN(K2392:T2392)=1,"SERVICE READY","HOLD"))</f>
        <v>SOURCE EMPTY / INDUSTRIAL ONLY</v>
      </c>
      <c r="V2392" s="9" t="n">
        <f aca="false">IF(U2392="SERVICE READY",1,0)</f>
        <v>0</v>
      </c>
      <c r="W2392" s="6"/>
      <c r="X2392" s="6"/>
      <c r="Y2392" s="6"/>
      <c r="Z2392" s="6"/>
    </row>
    <row r="2393" customFormat="false" ht="15" hidden="false" customHeight="false" outlineLevel="0" collapsed="false">
      <c r="A2393" s="9" t="s">
        <v>2653</v>
      </c>
      <c r="B2393" s="9" t="s">
        <v>2544</v>
      </c>
      <c r="C2393" s="9" t="s">
        <v>2545</v>
      </c>
      <c r="D2393" s="9" t="s">
        <v>2185</v>
      </c>
      <c r="E2393" s="9" t="s">
        <v>2027</v>
      </c>
      <c r="F2393" s="9" t="s">
        <v>205</v>
      </c>
      <c r="G2393" s="9" t="s">
        <v>221</v>
      </c>
      <c r="H2393" s="9" t="n">
        <v>750</v>
      </c>
      <c r="I2393" s="29" t="n">
        <v>0.8</v>
      </c>
      <c r="J2393" s="9" t="n">
        <v>0</v>
      </c>
      <c r="K2393" s="30"/>
      <c r="L2393" s="30"/>
      <c r="M2393" s="30"/>
      <c r="N2393" s="30"/>
      <c r="O2393" s="30"/>
      <c r="P2393" s="30"/>
      <c r="Q2393" s="30"/>
      <c r="R2393" s="30"/>
      <c r="S2393" s="30"/>
      <c r="T2393" s="30"/>
      <c r="U2393" s="21" t="str">
        <f aca="false">IF(COUNT(K2393:T2393)=0,"SOURCE EMPTY / INDUSTRIAL ONLY",IF(MIN(K2393:T2393)=1,"SERVICE READY","HOLD"))</f>
        <v>SOURCE EMPTY / INDUSTRIAL ONLY</v>
      </c>
      <c r="V2393" s="9" t="n">
        <f aca="false">IF(U2393="SERVICE READY",1,0)</f>
        <v>0</v>
      </c>
      <c r="W2393" s="6"/>
      <c r="X2393" s="6"/>
      <c r="Y2393" s="6"/>
      <c r="Z2393" s="6"/>
    </row>
    <row r="2394" customFormat="false" ht="15" hidden="false" customHeight="false" outlineLevel="0" collapsed="false">
      <c r="A2394" s="9" t="s">
        <v>2654</v>
      </c>
      <c r="B2394" s="9" t="s">
        <v>2544</v>
      </c>
      <c r="C2394" s="9" t="s">
        <v>2545</v>
      </c>
      <c r="D2394" s="9" t="s">
        <v>2185</v>
      </c>
      <c r="E2394" s="9" t="s">
        <v>2027</v>
      </c>
      <c r="F2394" s="9" t="s">
        <v>207</v>
      </c>
      <c r="G2394" s="9" t="s">
        <v>221</v>
      </c>
      <c r="H2394" s="9" t="n">
        <v>750</v>
      </c>
      <c r="I2394" s="29" t="n">
        <v>0.8</v>
      </c>
      <c r="J2394" s="9" t="n">
        <v>0</v>
      </c>
      <c r="K2394" s="30"/>
      <c r="L2394" s="30"/>
      <c r="M2394" s="30"/>
      <c r="N2394" s="30"/>
      <c r="O2394" s="30"/>
      <c r="P2394" s="30"/>
      <c r="Q2394" s="30"/>
      <c r="R2394" s="30"/>
      <c r="S2394" s="30"/>
      <c r="T2394" s="30"/>
      <c r="U2394" s="21" t="str">
        <f aca="false">IF(COUNT(K2394:T2394)=0,"SOURCE EMPTY / INDUSTRIAL ONLY",IF(MIN(K2394:T2394)=1,"SERVICE READY","HOLD"))</f>
        <v>SOURCE EMPTY / INDUSTRIAL ONLY</v>
      </c>
      <c r="V2394" s="9" t="n">
        <f aca="false">IF(U2394="SERVICE READY",1,0)</f>
        <v>0</v>
      </c>
      <c r="W2394" s="6"/>
      <c r="X2394" s="6"/>
      <c r="Y2394" s="6"/>
      <c r="Z2394" s="6"/>
    </row>
    <row r="2395" customFormat="false" ht="15" hidden="false" customHeight="false" outlineLevel="0" collapsed="false">
      <c r="A2395" s="9" t="s">
        <v>2655</v>
      </c>
      <c r="B2395" s="9" t="s">
        <v>2544</v>
      </c>
      <c r="C2395" s="9" t="s">
        <v>2545</v>
      </c>
      <c r="D2395" s="9" t="s">
        <v>2185</v>
      </c>
      <c r="E2395" s="9" t="s">
        <v>2027</v>
      </c>
      <c r="F2395" s="9" t="s">
        <v>209</v>
      </c>
      <c r="G2395" s="9" t="s">
        <v>221</v>
      </c>
      <c r="H2395" s="9" t="n">
        <v>750</v>
      </c>
      <c r="I2395" s="29" t="n">
        <v>0.8</v>
      </c>
      <c r="J2395" s="9" t="n">
        <v>0</v>
      </c>
      <c r="K2395" s="30"/>
      <c r="L2395" s="30"/>
      <c r="M2395" s="30"/>
      <c r="N2395" s="30"/>
      <c r="O2395" s="30"/>
      <c r="P2395" s="30"/>
      <c r="Q2395" s="30"/>
      <c r="R2395" s="30"/>
      <c r="S2395" s="30"/>
      <c r="T2395" s="30"/>
      <c r="U2395" s="21" t="str">
        <f aca="false">IF(COUNT(K2395:T2395)=0,"SOURCE EMPTY / INDUSTRIAL ONLY",IF(MIN(K2395:T2395)=1,"SERVICE READY","HOLD"))</f>
        <v>SOURCE EMPTY / INDUSTRIAL ONLY</v>
      </c>
      <c r="V2395" s="9" t="n">
        <f aca="false">IF(U2395="SERVICE READY",1,0)</f>
        <v>0</v>
      </c>
      <c r="W2395" s="6"/>
      <c r="X2395" s="6"/>
      <c r="Y2395" s="6"/>
      <c r="Z2395" s="6"/>
    </row>
    <row r="2396" customFormat="false" ht="15" hidden="false" customHeight="false" outlineLevel="0" collapsed="false">
      <c r="A2396" s="9" t="s">
        <v>2656</v>
      </c>
      <c r="B2396" s="9" t="s">
        <v>2544</v>
      </c>
      <c r="C2396" s="9" t="s">
        <v>2545</v>
      </c>
      <c r="D2396" s="9" t="s">
        <v>2185</v>
      </c>
      <c r="E2396" s="9" t="s">
        <v>2027</v>
      </c>
      <c r="F2396" s="9" t="s">
        <v>211</v>
      </c>
      <c r="G2396" s="9" t="s">
        <v>221</v>
      </c>
      <c r="H2396" s="9" t="n">
        <v>750</v>
      </c>
      <c r="I2396" s="29" t="n">
        <v>0.8</v>
      </c>
      <c r="J2396" s="9" t="n">
        <v>0</v>
      </c>
      <c r="K2396" s="30"/>
      <c r="L2396" s="30"/>
      <c r="M2396" s="30"/>
      <c r="N2396" s="30"/>
      <c r="O2396" s="30"/>
      <c r="P2396" s="30"/>
      <c r="Q2396" s="30"/>
      <c r="R2396" s="30"/>
      <c r="S2396" s="30"/>
      <c r="T2396" s="30"/>
      <c r="U2396" s="21" t="str">
        <f aca="false">IF(COUNT(K2396:T2396)=0,"SOURCE EMPTY / INDUSTRIAL ONLY",IF(MIN(K2396:T2396)=1,"SERVICE READY","HOLD"))</f>
        <v>SOURCE EMPTY / INDUSTRIAL ONLY</v>
      </c>
      <c r="V2396" s="9" t="n">
        <f aca="false">IF(U2396="SERVICE READY",1,0)</f>
        <v>0</v>
      </c>
      <c r="W2396" s="6"/>
      <c r="X2396" s="6"/>
      <c r="Y2396" s="6"/>
      <c r="Z2396" s="6"/>
    </row>
    <row r="2397" customFormat="false" ht="15" hidden="false" customHeight="false" outlineLevel="0" collapsed="false">
      <c r="A2397" s="9" t="s">
        <v>2657</v>
      </c>
      <c r="B2397" s="9" t="s">
        <v>2544</v>
      </c>
      <c r="C2397" s="9" t="s">
        <v>2545</v>
      </c>
      <c r="D2397" s="9" t="s">
        <v>2185</v>
      </c>
      <c r="E2397" s="9" t="s">
        <v>2027</v>
      </c>
      <c r="F2397" s="9" t="s">
        <v>197</v>
      </c>
      <c r="G2397" s="9" t="s">
        <v>221</v>
      </c>
      <c r="H2397" s="9" t="n">
        <v>750</v>
      </c>
      <c r="I2397" s="29" t="n">
        <v>0.8</v>
      </c>
      <c r="J2397" s="9" t="n">
        <v>0</v>
      </c>
      <c r="K2397" s="30"/>
      <c r="L2397" s="30"/>
      <c r="M2397" s="30"/>
      <c r="N2397" s="30"/>
      <c r="O2397" s="30"/>
      <c r="P2397" s="30"/>
      <c r="Q2397" s="30"/>
      <c r="R2397" s="30"/>
      <c r="S2397" s="30"/>
      <c r="T2397" s="30"/>
      <c r="U2397" s="21" t="str">
        <f aca="false">IF(COUNT(K2397:T2397)=0,"SOURCE EMPTY / INDUSTRIAL ONLY",IF(MIN(K2397:T2397)=1,"SERVICE READY","HOLD"))</f>
        <v>SOURCE EMPTY / INDUSTRIAL ONLY</v>
      </c>
      <c r="V2397" s="9" t="n">
        <f aca="false">IF(U2397="SERVICE READY",1,0)</f>
        <v>0</v>
      </c>
      <c r="W2397" s="6"/>
      <c r="X2397" s="6"/>
      <c r="Y2397" s="6"/>
      <c r="Z2397" s="6"/>
    </row>
    <row r="2398" customFormat="false" ht="15" hidden="false" customHeight="false" outlineLevel="0" collapsed="false">
      <c r="A2398" s="9" t="s">
        <v>2658</v>
      </c>
      <c r="B2398" s="9" t="s">
        <v>2544</v>
      </c>
      <c r="C2398" s="9" t="s">
        <v>2545</v>
      </c>
      <c r="D2398" s="9" t="s">
        <v>2185</v>
      </c>
      <c r="E2398" s="9" t="s">
        <v>2027</v>
      </c>
      <c r="F2398" s="9" t="s">
        <v>200</v>
      </c>
      <c r="G2398" s="9" t="s">
        <v>221</v>
      </c>
      <c r="H2398" s="9" t="n">
        <v>750</v>
      </c>
      <c r="I2398" s="29" t="n">
        <v>0.8</v>
      </c>
      <c r="J2398" s="9" t="n">
        <v>0</v>
      </c>
      <c r="K2398" s="30"/>
      <c r="L2398" s="30"/>
      <c r="M2398" s="30"/>
      <c r="N2398" s="30"/>
      <c r="O2398" s="30"/>
      <c r="P2398" s="30"/>
      <c r="Q2398" s="30"/>
      <c r="R2398" s="30"/>
      <c r="S2398" s="30"/>
      <c r="T2398" s="30"/>
      <c r="U2398" s="21" t="str">
        <f aca="false">IF(COUNT(K2398:T2398)=0,"SOURCE EMPTY / INDUSTRIAL ONLY",IF(MIN(K2398:T2398)=1,"SERVICE READY","HOLD"))</f>
        <v>SOURCE EMPTY / INDUSTRIAL ONLY</v>
      </c>
      <c r="V2398" s="9" t="n">
        <f aca="false">IF(U2398="SERVICE READY",1,0)</f>
        <v>0</v>
      </c>
      <c r="W2398" s="6"/>
      <c r="X2398" s="6"/>
      <c r="Y2398" s="6"/>
      <c r="Z2398" s="6"/>
    </row>
    <row r="2399" customFormat="false" ht="15" hidden="false" customHeight="false" outlineLevel="0" collapsed="false">
      <c r="A2399" s="9" t="s">
        <v>2659</v>
      </c>
      <c r="B2399" s="9" t="s">
        <v>2544</v>
      </c>
      <c r="C2399" s="9" t="s">
        <v>2545</v>
      </c>
      <c r="D2399" s="9" t="s">
        <v>2185</v>
      </c>
      <c r="E2399" s="9" t="s">
        <v>2027</v>
      </c>
      <c r="F2399" s="9" t="s">
        <v>203</v>
      </c>
      <c r="G2399" s="9" t="s">
        <v>221</v>
      </c>
      <c r="H2399" s="9" t="n">
        <v>750</v>
      </c>
      <c r="I2399" s="29" t="n">
        <v>0.8</v>
      </c>
      <c r="J2399" s="9" t="n">
        <v>0</v>
      </c>
      <c r="K2399" s="30"/>
      <c r="L2399" s="30"/>
      <c r="M2399" s="30"/>
      <c r="N2399" s="30"/>
      <c r="O2399" s="30"/>
      <c r="P2399" s="30"/>
      <c r="Q2399" s="30"/>
      <c r="R2399" s="30"/>
      <c r="S2399" s="30"/>
      <c r="T2399" s="30"/>
      <c r="U2399" s="21" t="str">
        <f aca="false">IF(COUNT(K2399:T2399)=0,"SOURCE EMPTY / INDUSTRIAL ONLY",IF(MIN(K2399:T2399)=1,"SERVICE READY","HOLD"))</f>
        <v>SOURCE EMPTY / INDUSTRIAL ONLY</v>
      </c>
      <c r="V2399" s="9" t="n">
        <f aca="false">IF(U2399="SERVICE READY",1,0)</f>
        <v>0</v>
      </c>
      <c r="W2399" s="6"/>
      <c r="X2399" s="6"/>
      <c r="Y2399" s="6"/>
      <c r="Z2399" s="6"/>
    </row>
    <row r="2400" customFormat="false" ht="15" hidden="false" customHeight="false" outlineLevel="0" collapsed="false">
      <c r="A2400" s="9" t="s">
        <v>2660</v>
      </c>
      <c r="B2400" s="9" t="s">
        <v>2544</v>
      </c>
      <c r="C2400" s="9" t="s">
        <v>2545</v>
      </c>
      <c r="D2400" s="9" t="s">
        <v>2185</v>
      </c>
      <c r="E2400" s="9" t="s">
        <v>2027</v>
      </c>
      <c r="F2400" s="9" t="s">
        <v>205</v>
      </c>
      <c r="G2400" s="9" t="s">
        <v>221</v>
      </c>
      <c r="H2400" s="9" t="n">
        <v>750</v>
      </c>
      <c r="I2400" s="29" t="n">
        <v>0.8</v>
      </c>
      <c r="J2400" s="9" t="n">
        <v>0</v>
      </c>
      <c r="K2400" s="30"/>
      <c r="L2400" s="30"/>
      <c r="M2400" s="30"/>
      <c r="N2400" s="30"/>
      <c r="O2400" s="30"/>
      <c r="P2400" s="30"/>
      <c r="Q2400" s="30"/>
      <c r="R2400" s="30"/>
      <c r="S2400" s="30"/>
      <c r="T2400" s="30"/>
      <c r="U2400" s="21" t="str">
        <f aca="false">IF(COUNT(K2400:T2400)=0,"SOURCE EMPTY / INDUSTRIAL ONLY",IF(MIN(K2400:T2400)=1,"SERVICE READY","HOLD"))</f>
        <v>SOURCE EMPTY / INDUSTRIAL ONLY</v>
      </c>
      <c r="V2400" s="9" t="n">
        <f aca="false">IF(U2400="SERVICE READY",1,0)</f>
        <v>0</v>
      </c>
      <c r="W2400" s="6"/>
      <c r="X2400" s="6"/>
      <c r="Y2400" s="6"/>
      <c r="Z2400" s="6"/>
    </row>
    <row r="2401" customFormat="false" ht="15" hidden="false" customHeight="false" outlineLevel="0" collapsed="false">
      <c r="A2401" s="9" t="s">
        <v>2661</v>
      </c>
      <c r="B2401" s="9" t="s">
        <v>2544</v>
      </c>
      <c r="C2401" s="9" t="s">
        <v>2545</v>
      </c>
      <c r="D2401" s="9" t="s">
        <v>2185</v>
      </c>
      <c r="E2401" s="9" t="s">
        <v>2027</v>
      </c>
      <c r="F2401" s="9" t="s">
        <v>207</v>
      </c>
      <c r="G2401" s="9" t="s">
        <v>221</v>
      </c>
      <c r="H2401" s="9" t="n">
        <v>750</v>
      </c>
      <c r="I2401" s="29" t="n">
        <v>0.8</v>
      </c>
      <c r="J2401" s="9" t="n">
        <v>0</v>
      </c>
      <c r="K2401" s="30"/>
      <c r="L2401" s="30"/>
      <c r="M2401" s="30"/>
      <c r="N2401" s="30"/>
      <c r="O2401" s="30"/>
      <c r="P2401" s="30"/>
      <c r="Q2401" s="30"/>
      <c r="R2401" s="30"/>
      <c r="S2401" s="30"/>
      <c r="T2401" s="30"/>
      <c r="U2401" s="21" t="str">
        <f aca="false">IF(COUNT(K2401:T2401)=0,"SOURCE EMPTY / INDUSTRIAL ONLY",IF(MIN(K2401:T2401)=1,"SERVICE READY","HOLD"))</f>
        <v>SOURCE EMPTY / INDUSTRIAL ONLY</v>
      </c>
      <c r="V2401" s="9" t="n">
        <f aca="false">IF(U2401="SERVICE READY",1,0)</f>
        <v>0</v>
      </c>
      <c r="W2401" s="6"/>
      <c r="X2401" s="6"/>
      <c r="Y2401" s="6"/>
      <c r="Z2401" s="6"/>
    </row>
    <row r="2402" customFormat="false" ht="15" hidden="false" customHeight="false" outlineLevel="0" collapsed="false">
      <c r="A2402" s="9" t="s">
        <v>2662</v>
      </c>
      <c r="B2402" s="9" t="s">
        <v>2544</v>
      </c>
      <c r="C2402" s="9" t="s">
        <v>2545</v>
      </c>
      <c r="D2402" s="9" t="s">
        <v>2185</v>
      </c>
      <c r="E2402" s="9" t="s">
        <v>2027</v>
      </c>
      <c r="F2402" s="9" t="s">
        <v>209</v>
      </c>
      <c r="G2402" s="9" t="s">
        <v>221</v>
      </c>
      <c r="H2402" s="9" t="n">
        <v>750</v>
      </c>
      <c r="I2402" s="29" t="n">
        <v>0.8</v>
      </c>
      <c r="J2402" s="9" t="n">
        <v>0</v>
      </c>
      <c r="K2402" s="30"/>
      <c r="L2402" s="30"/>
      <c r="M2402" s="30"/>
      <c r="N2402" s="30"/>
      <c r="O2402" s="30"/>
      <c r="P2402" s="30"/>
      <c r="Q2402" s="30"/>
      <c r="R2402" s="30"/>
      <c r="S2402" s="30"/>
      <c r="T2402" s="30"/>
      <c r="U2402" s="21" t="str">
        <f aca="false">IF(COUNT(K2402:T2402)=0,"SOURCE EMPTY / INDUSTRIAL ONLY",IF(MIN(K2402:T2402)=1,"SERVICE READY","HOLD"))</f>
        <v>SOURCE EMPTY / INDUSTRIAL ONLY</v>
      </c>
      <c r="V2402" s="9" t="n">
        <f aca="false">IF(U2402="SERVICE READY",1,0)</f>
        <v>0</v>
      </c>
      <c r="W2402" s="6"/>
      <c r="X2402" s="6"/>
      <c r="Y2402" s="6"/>
      <c r="Z2402" s="6"/>
    </row>
    <row r="2403" customFormat="false" ht="15" hidden="false" customHeight="false" outlineLevel="0" collapsed="false">
      <c r="A2403" s="9" t="s">
        <v>2663</v>
      </c>
      <c r="B2403" s="9" t="s">
        <v>2544</v>
      </c>
      <c r="C2403" s="9" t="s">
        <v>2545</v>
      </c>
      <c r="D2403" s="9" t="s">
        <v>2185</v>
      </c>
      <c r="E2403" s="9" t="s">
        <v>2027</v>
      </c>
      <c r="F2403" s="9" t="s">
        <v>211</v>
      </c>
      <c r="G2403" s="9" t="s">
        <v>221</v>
      </c>
      <c r="H2403" s="9" t="n">
        <v>750</v>
      </c>
      <c r="I2403" s="29" t="n">
        <v>0.8</v>
      </c>
      <c r="J2403" s="9" t="n">
        <v>0</v>
      </c>
      <c r="K2403" s="30"/>
      <c r="L2403" s="30"/>
      <c r="M2403" s="30"/>
      <c r="N2403" s="30"/>
      <c r="O2403" s="30"/>
      <c r="P2403" s="30"/>
      <c r="Q2403" s="30"/>
      <c r="R2403" s="30"/>
      <c r="S2403" s="30"/>
      <c r="T2403" s="30"/>
      <c r="U2403" s="21" t="str">
        <f aca="false">IF(COUNT(K2403:T2403)=0,"SOURCE EMPTY / INDUSTRIAL ONLY",IF(MIN(K2403:T2403)=1,"SERVICE READY","HOLD"))</f>
        <v>SOURCE EMPTY / INDUSTRIAL ONLY</v>
      </c>
      <c r="V2403" s="9" t="n">
        <f aca="false">IF(U2403="SERVICE READY",1,0)</f>
        <v>0</v>
      </c>
      <c r="W2403" s="6"/>
      <c r="X2403" s="6"/>
      <c r="Y2403" s="6"/>
      <c r="Z2403" s="6"/>
    </row>
    <row r="2404" customFormat="false" ht="15" hidden="false" customHeight="false" outlineLevel="0" collapsed="false">
      <c r="A2404" s="9" t="s">
        <v>2664</v>
      </c>
      <c r="B2404" s="9" t="s">
        <v>2544</v>
      </c>
      <c r="C2404" s="9" t="s">
        <v>2545</v>
      </c>
      <c r="D2404" s="9" t="s">
        <v>2185</v>
      </c>
      <c r="E2404" s="9" t="s">
        <v>2027</v>
      </c>
      <c r="F2404" s="9" t="s">
        <v>197</v>
      </c>
      <c r="G2404" s="9" t="s">
        <v>221</v>
      </c>
      <c r="H2404" s="9" t="n">
        <v>750</v>
      </c>
      <c r="I2404" s="29" t="n">
        <v>0.8</v>
      </c>
      <c r="J2404" s="9" t="n">
        <v>0</v>
      </c>
      <c r="K2404" s="30"/>
      <c r="L2404" s="30"/>
      <c r="M2404" s="30"/>
      <c r="N2404" s="30"/>
      <c r="O2404" s="30"/>
      <c r="P2404" s="30"/>
      <c r="Q2404" s="30"/>
      <c r="R2404" s="30"/>
      <c r="S2404" s="30"/>
      <c r="T2404" s="30"/>
      <c r="U2404" s="21" t="str">
        <f aca="false">IF(COUNT(K2404:T2404)=0,"SOURCE EMPTY / INDUSTRIAL ONLY",IF(MIN(K2404:T2404)=1,"SERVICE READY","HOLD"))</f>
        <v>SOURCE EMPTY / INDUSTRIAL ONLY</v>
      </c>
      <c r="V2404" s="9" t="n">
        <f aca="false">IF(U2404="SERVICE READY",1,0)</f>
        <v>0</v>
      </c>
      <c r="W2404" s="6"/>
      <c r="X2404" s="6"/>
      <c r="Y2404" s="6"/>
      <c r="Z2404" s="6"/>
    </row>
    <row r="2405" customFormat="false" ht="15" hidden="false" customHeight="false" outlineLevel="0" collapsed="false">
      <c r="A2405" s="9" t="s">
        <v>2665</v>
      </c>
      <c r="B2405" s="9" t="s">
        <v>2544</v>
      </c>
      <c r="C2405" s="9" t="s">
        <v>2545</v>
      </c>
      <c r="D2405" s="9" t="s">
        <v>2185</v>
      </c>
      <c r="E2405" s="9" t="s">
        <v>2027</v>
      </c>
      <c r="F2405" s="9" t="s">
        <v>200</v>
      </c>
      <c r="G2405" s="9" t="s">
        <v>221</v>
      </c>
      <c r="H2405" s="9" t="n">
        <v>750</v>
      </c>
      <c r="I2405" s="29" t="n">
        <v>0.8</v>
      </c>
      <c r="J2405" s="9" t="n">
        <v>0</v>
      </c>
      <c r="K2405" s="30"/>
      <c r="L2405" s="30"/>
      <c r="M2405" s="30"/>
      <c r="N2405" s="30"/>
      <c r="O2405" s="30"/>
      <c r="P2405" s="30"/>
      <c r="Q2405" s="30"/>
      <c r="R2405" s="30"/>
      <c r="S2405" s="30"/>
      <c r="T2405" s="30"/>
      <c r="U2405" s="21" t="str">
        <f aca="false">IF(COUNT(K2405:T2405)=0,"SOURCE EMPTY / INDUSTRIAL ONLY",IF(MIN(K2405:T2405)=1,"SERVICE READY","HOLD"))</f>
        <v>SOURCE EMPTY / INDUSTRIAL ONLY</v>
      </c>
      <c r="V2405" s="9" t="n">
        <f aca="false">IF(U2405="SERVICE READY",1,0)</f>
        <v>0</v>
      </c>
      <c r="W2405" s="6"/>
      <c r="X2405" s="6"/>
      <c r="Y2405" s="6"/>
      <c r="Z2405" s="6"/>
    </row>
    <row r="2406" customFormat="false" ht="15" hidden="false" customHeight="false" outlineLevel="0" collapsed="false">
      <c r="A2406" s="9" t="s">
        <v>2666</v>
      </c>
      <c r="B2406" s="9" t="s">
        <v>2544</v>
      </c>
      <c r="C2406" s="9" t="s">
        <v>2545</v>
      </c>
      <c r="D2406" s="9" t="s">
        <v>2185</v>
      </c>
      <c r="E2406" s="9" t="s">
        <v>2027</v>
      </c>
      <c r="F2406" s="9" t="s">
        <v>203</v>
      </c>
      <c r="G2406" s="9" t="s">
        <v>221</v>
      </c>
      <c r="H2406" s="9" t="n">
        <v>750</v>
      </c>
      <c r="I2406" s="29" t="n">
        <v>0.8</v>
      </c>
      <c r="J2406" s="9" t="n">
        <v>0</v>
      </c>
      <c r="K2406" s="30"/>
      <c r="L2406" s="30"/>
      <c r="M2406" s="30"/>
      <c r="N2406" s="30"/>
      <c r="O2406" s="30"/>
      <c r="P2406" s="30"/>
      <c r="Q2406" s="30"/>
      <c r="R2406" s="30"/>
      <c r="S2406" s="30"/>
      <c r="T2406" s="30"/>
      <c r="U2406" s="21" t="str">
        <f aca="false">IF(COUNT(K2406:T2406)=0,"SOURCE EMPTY / INDUSTRIAL ONLY",IF(MIN(K2406:T2406)=1,"SERVICE READY","HOLD"))</f>
        <v>SOURCE EMPTY / INDUSTRIAL ONLY</v>
      </c>
      <c r="V2406" s="9" t="n">
        <f aca="false">IF(U2406="SERVICE READY",1,0)</f>
        <v>0</v>
      </c>
      <c r="W2406" s="6"/>
      <c r="X2406" s="6"/>
      <c r="Y2406" s="6"/>
      <c r="Z2406" s="6"/>
    </row>
    <row r="2407" customFormat="false" ht="15" hidden="false" customHeight="false" outlineLevel="0" collapsed="false">
      <c r="A2407" s="9" t="s">
        <v>2667</v>
      </c>
      <c r="B2407" s="9" t="s">
        <v>2544</v>
      </c>
      <c r="C2407" s="9" t="s">
        <v>2545</v>
      </c>
      <c r="D2407" s="9" t="s">
        <v>2185</v>
      </c>
      <c r="E2407" s="9" t="s">
        <v>2027</v>
      </c>
      <c r="F2407" s="9" t="s">
        <v>205</v>
      </c>
      <c r="G2407" s="9" t="s">
        <v>221</v>
      </c>
      <c r="H2407" s="9" t="n">
        <v>750</v>
      </c>
      <c r="I2407" s="29" t="n">
        <v>0.8</v>
      </c>
      <c r="J2407" s="9" t="n">
        <v>0</v>
      </c>
      <c r="K2407" s="30"/>
      <c r="L2407" s="30"/>
      <c r="M2407" s="30"/>
      <c r="N2407" s="30"/>
      <c r="O2407" s="30"/>
      <c r="P2407" s="30"/>
      <c r="Q2407" s="30"/>
      <c r="R2407" s="30"/>
      <c r="S2407" s="30"/>
      <c r="T2407" s="30"/>
      <c r="U2407" s="21" t="str">
        <f aca="false">IF(COUNT(K2407:T2407)=0,"SOURCE EMPTY / INDUSTRIAL ONLY",IF(MIN(K2407:T2407)=1,"SERVICE READY","HOLD"))</f>
        <v>SOURCE EMPTY / INDUSTRIAL ONLY</v>
      </c>
      <c r="V2407" s="9" t="n">
        <f aca="false">IF(U2407="SERVICE READY",1,0)</f>
        <v>0</v>
      </c>
      <c r="W2407" s="6"/>
      <c r="X2407" s="6"/>
      <c r="Y2407" s="6"/>
      <c r="Z2407" s="6"/>
    </row>
    <row r="2408" customFormat="false" ht="15" hidden="false" customHeight="false" outlineLevel="0" collapsed="false">
      <c r="A2408" s="9" t="s">
        <v>2668</v>
      </c>
      <c r="B2408" s="9" t="s">
        <v>2544</v>
      </c>
      <c r="C2408" s="9" t="s">
        <v>2545</v>
      </c>
      <c r="D2408" s="9" t="s">
        <v>2185</v>
      </c>
      <c r="E2408" s="9" t="s">
        <v>2027</v>
      </c>
      <c r="F2408" s="9" t="s">
        <v>207</v>
      </c>
      <c r="G2408" s="9" t="s">
        <v>221</v>
      </c>
      <c r="H2408" s="9" t="n">
        <v>750</v>
      </c>
      <c r="I2408" s="29" t="n">
        <v>0.8</v>
      </c>
      <c r="J2408" s="9" t="n">
        <v>0</v>
      </c>
      <c r="K2408" s="30"/>
      <c r="L2408" s="30"/>
      <c r="M2408" s="30"/>
      <c r="N2408" s="30"/>
      <c r="O2408" s="30"/>
      <c r="P2408" s="30"/>
      <c r="Q2408" s="30"/>
      <c r="R2408" s="30"/>
      <c r="S2408" s="30"/>
      <c r="T2408" s="30"/>
      <c r="U2408" s="21" t="str">
        <f aca="false">IF(COUNT(K2408:T2408)=0,"SOURCE EMPTY / INDUSTRIAL ONLY",IF(MIN(K2408:T2408)=1,"SERVICE READY","HOLD"))</f>
        <v>SOURCE EMPTY / INDUSTRIAL ONLY</v>
      </c>
      <c r="V2408" s="9" t="n">
        <f aca="false">IF(U2408="SERVICE READY",1,0)</f>
        <v>0</v>
      </c>
      <c r="W2408" s="6"/>
      <c r="X2408" s="6"/>
      <c r="Y2408" s="6"/>
      <c r="Z2408" s="6"/>
    </row>
    <row r="2409" customFormat="false" ht="15" hidden="false" customHeight="false" outlineLevel="0" collapsed="false">
      <c r="A2409" s="9" t="s">
        <v>2669</v>
      </c>
      <c r="B2409" s="9" t="s">
        <v>2544</v>
      </c>
      <c r="C2409" s="9" t="s">
        <v>2545</v>
      </c>
      <c r="D2409" s="9" t="s">
        <v>2185</v>
      </c>
      <c r="E2409" s="9" t="s">
        <v>2027</v>
      </c>
      <c r="F2409" s="9" t="s">
        <v>209</v>
      </c>
      <c r="G2409" s="9" t="s">
        <v>221</v>
      </c>
      <c r="H2409" s="9" t="n">
        <v>750</v>
      </c>
      <c r="I2409" s="29" t="n">
        <v>0.8</v>
      </c>
      <c r="J2409" s="9" t="n">
        <v>0</v>
      </c>
      <c r="K2409" s="30"/>
      <c r="L2409" s="30"/>
      <c r="M2409" s="30"/>
      <c r="N2409" s="30"/>
      <c r="O2409" s="30"/>
      <c r="P2409" s="30"/>
      <c r="Q2409" s="30"/>
      <c r="R2409" s="30"/>
      <c r="S2409" s="30"/>
      <c r="T2409" s="30"/>
      <c r="U2409" s="21" t="str">
        <f aca="false">IF(COUNT(K2409:T2409)=0,"SOURCE EMPTY / INDUSTRIAL ONLY",IF(MIN(K2409:T2409)=1,"SERVICE READY","HOLD"))</f>
        <v>SOURCE EMPTY / INDUSTRIAL ONLY</v>
      </c>
      <c r="V2409" s="9" t="n">
        <f aca="false">IF(U2409="SERVICE READY",1,0)</f>
        <v>0</v>
      </c>
      <c r="W2409" s="6"/>
      <c r="X2409" s="6"/>
      <c r="Y2409" s="6"/>
      <c r="Z2409" s="6"/>
    </row>
    <row r="2410" customFormat="false" ht="15" hidden="false" customHeight="false" outlineLevel="0" collapsed="false">
      <c r="A2410" s="9" t="s">
        <v>2670</v>
      </c>
      <c r="B2410" s="9" t="s">
        <v>2544</v>
      </c>
      <c r="C2410" s="9" t="s">
        <v>2545</v>
      </c>
      <c r="D2410" s="9" t="s">
        <v>2185</v>
      </c>
      <c r="E2410" s="9" t="s">
        <v>2027</v>
      </c>
      <c r="F2410" s="9" t="s">
        <v>211</v>
      </c>
      <c r="G2410" s="9" t="s">
        <v>221</v>
      </c>
      <c r="H2410" s="9" t="n">
        <v>750</v>
      </c>
      <c r="I2410" s="29" t="n">
        <v>0.8</v>
      </c>
      <c r="J2410" s="9" t="n">
        <v>0</v>
      </c>
      <c r="K2410" s="30"/>
      <c r="L2410" s="30"/>
      <c r="M2410" s="30"/>
      <c r="N2410" s="30"/>
      <c r="O2410" s="30"/>
      <c r="P2410" s="30"/>
      <c r="Q2410" s="30"/>
      <c r="R2410" s="30"/>
      <c r="S2410" s="30"/>
      <c r="T2410" s="30"/>
      <c r="U2410" s="21" t="str">
        <f aca="false">IF(COUNT(K2410:T2410)=0,"SOURCE EMPTY / INDUSTRIAL ONLY",IF(MIN(K2410:T2410)=1,"SERVICE READY","HOLD"))</f>
        <v>SOURCE EMPTY / INDUSTRIAL ONLY</v>
      </c>
      <c r="V2410" s="9" t="n">
        <f aca="false">IF(U2410="SERVICE READY",1,0)</f>
        <v>0</v>
      </c>
      <c r="W2410" s="6"/>
      <c r="X2410" s="6"/>
      <c r="Y2410" s="6"/>
      <c r="Z2410" s="6"/>
    </row>
    <row r="2411" customFormat="false" ht="15" hidden="false" customHeight="false" outlineLevel="0" collapsed="false">
      <c r="A2411" s="9" t="s">
        <v>2671</v>
      </c>
      <c r="B2411" s="9" t="s">
        <v>2544</v>
      </c>
      <c r="C2411" s="9" t="s">
        <v>2545</v>
      </c>
      <c r="D2411" s="9" t="s">
        <v>2185</v>
      </c>
      <c r="E2411" s="9" t="s">
        <v>2027</v>
      </c>
      <c r="F2411" s="9" t="s">
        <v>197</v>
      </c>
      <c r="G2411" s="9" t="s">
        <v>221</v>
      </c>
      <c r="H2411" s="9" t="n">
        <v>750</v>
      </c>
      <c r="I2411" s="29" t="n">
        <v>0.8</v>
      </c>
      <c r="J2411" s="9" t="n">
        <v>0</v>
      </c>
      <c r="K2411" s="30"/>
      <c r="L2411" s="30"/>
      <c r="M2411" s="30"/>
      <c r="N2411" s="30"/>
      <c r="O2411" s="30"/>
      <c r="P2411" s="30"/>
      <c r="Q2411" s="30"/>
      <c r="R2411" s="30"/>
      <c r="S2411" s="30"/>
      <c r="T2411" s="30"/>
      <c r="U2411" s="21" t="str">
        <f aca="false">IF(COUNT(K2411:T2411)=0,"SOURCE EMPTY / INDUSTRIAL ONLY",IF(MIN(K2411:T2411)=1,"SERVICE READY","HOLD"))</f>
        <v>SOURCE EMPTY / INDUSTRIAL ONLY</v>
      </c>
      <c r="V2411" s="9" t="n">
        <f aca="false">IF(U2411="SERVICE READY",1,0)</f>
        <v>0</v>
      </c>
      <c r="W2411" s="6"/>
      <c r="X2411" s="6"/>
      <c r="Y2411" s="6"/>
      <c r="Z2411" s="6"/>
    </row>
    <row r="2412" customFormat="false" ht="15" hidden="false" customHeight="false" outlineLevel="0" collapsed="false">
      <c r="A2412" s="9" t="s">
        <v>2672</v>
      </c>
      <c r="B2412" s="9" t="s">
        <v>2544</v>
      </c>
      <c r="C2412" s="9" t="s">
        <v>2545</v>
      </c>
      <c r="D2412" s="9" t="s">
        <v>2185</v>
      </c>
      <c r="E2412" s="9" t="s">
        <v>2027</v>
      </c>
      <c r="F2412" s="9" t="s">
        <v>200</v>
      </c>
      <c r="G2412" s="9" t="s">
        <v>221</v>
      </c>
      <c r="H2412" s="9" t="n">
        <v>750</v>
      </c>
      <c r="I2412" s="29" t="n">
        <v>0.8</v>
      </c>
      <c r="J2412" s="9" t="n">
        <v>0</v>
      </c>
      <c r="K2412" s="30"/>
      <c r="L2412" s="30"/>
      <c r="M2412" s="30"/>
      <c r="N2412" s="30"/>
      <c r="O2412" s="30"/>
      <c r="P2412" s="30"/>
      <c r="Q2412" s="30"/>
      <c r="R2412" s="30"/>
      <c r="S2412" s="30"/>
      <c r="T2412" s="30"/>
      <c r="U2412" s="21" t="str">
        <f aca="false">IF(COUNT(K2412:T2412)=0,"SOURCE EMPTY / INDUSTRIAL ONLY",IF(MIN(K2412:T2412)=1,"SERVICE READY","HOLD"))</f>
        <v>SOURCE EMPTY / INDUSTRIAL ONLY</v>
      </c>
      <c r="V2412" s="9" t="n">
        <f aca="false">IF(U2412="SERVICE READY",1,0)</f>
        <v>0</v>
      </c>
      <c r="W2412" s="6"/>
      <c r="X2412" s="6"/>
      <c r="Y2412" s="6"/>
      <c r="Z2412" s="6"/>
    </row>
    <row r="2413" customFormat="false" ht="15" hidden="false" customHeight="false" outlineLevel="0" collapsed="false">
      <c r="A2413" s="9" t="s">
        <v>2673</v>
      </c>
      <c r="B2413" s="9" t="s">
        <v>2544</v>
      </c>
      <c r="C2413" s="9" t="s">
        <v>2545</v>
      </c>
      <c r="D2413" s="9" t="s">
        <v>2185</v>
      </c>
      <c r="E2413" s="9" t="s">
        <v>2027</v>
      </c>
      <c r="F2413" s="9" t="s">
        <v>203</v>
      </c>
      <c r="G2413" s="9" t="s">
        <v>221</v>
      </c>
      <c r="H2413" s="9" t="n">
        <v>750</v>
      </c>
      <c r="I2413" s="29" t="n">
        <v>0.8</v>
      </c>
      <c r="J2413" s="9" t="n">
        <v>0</v>
      </c>
      <c r="K2413" s="30"/>
      <c r="L2413" s="30"/>
      <c r="M2413" s="30"/>
      <c r="N2413" s="30"/>
      <c r="O2413" s="30"/>
      <c r="P2413" s="30"/>
      <c r="Q2413" s="30"/>
      <c r="R2413" s="30"/>
      <c r="S2413" s="30"/>
      <c r="T2413" s="30"/>
      <c r="U2413" s="21" t="str">
        <f aca="false">IF(COUNT(K2413:T2413)=0,"SOURCE EMPTY / INDUSTRIAL ONLY",IF(MIN(K2413:T2413)=1,"SERVICE READY","HOLD"))</f>
        <v>SOURCE EMPTY / INDUSTRIAL ONLY</v>
      </c>
      <c r="V2413" s="9" t="n">
        <f aca="false">IF(U2413="SERVICE READY",1,0)</f>
        <v>0</v>
      </c>
      <c r="W2413" s="6"/>
      <c r="X2413" s="6"/>
      <c r="Y2413" s="6"/>
      <c r="Z2413" s="6"/>
    </row>
    <row r="2414" customFormat="false" ht="15" hidden="false" customHeight="false" outlineLevel="0" collapsed="false">
      <c r="A2414" s="9" t="s">
        <v>2674</v>
      </c>
      <c r="B2414" s="9" t="s">
        <v>2544</v>
      </c>
      <c r="C2414" s="9" t="s">
        <v>2545</v>
      </c>
      <c r="D2414" s="9" t="s">
        <v>2185</v>
      </c>
      <c r="E2414" s="9" t="s">
        <v>2027</v>
      </c>
      <c r="F2414" s="9" t="s">
        <v>205</v>
      </c>
      <c r="G2414" s="9" t="s">
        <v>221</v>
      </c>
      <c r="H2414" s="9" t="n">
        <v>750</v>
      </c>
      <c r="I2414" s="29" t="n">
        <v>0.8</v>
      </c>
      <c r="J2414" s="9" t="n">
        <v>0</v>
      </c>
      <c r="K2414" s="30"/>
      <c r="L2414" s="30"/>
      <c r="M2414" s="30"/>
      <c r="N2414" s="30"/>
      <c r="O2414" s="30"/>
      <c r="P2414" s="30"/>
      <c r="Q2414" s="30"/>
      <c r="R2414" s="30"/>
      <c r="S2414" s="30"/>
      <c r="T2414" s="30"/>
      <c r="U2414" s="21" t="str">
        <f aca="false">IF(COUNT(K2414:T2414)=0,"SOURCE EMPTY / INDUSTRIAL ONLY",IF(MIN(K2414:T2414)=1,"SERVICE READY","HOLD"))</f>
        <v>SOURCE EMPTY / INDUSTRIAL ONLY</v>
      </c>
      <c r="V2414" s="9" t="n">
        <f aca="false">IF(U2414="SERVICE READY",1,0)</f>
        <v>0</v>
      </c>
      <c r="W2414" s="6"/>
      <c r="X2414" s="6"/>
      <c r="Y2414" s="6"/>
      <c r="Z2414" s="6"/>
    </row>
    <row r="2415" customFormat="false" ht="15" hidden="false" customHeight="false" outlineLevel="0" collapsed="false">
      <c r="A2415" s="9" t="s">
        <v>2675</v>
      </c>
      <c r="B2415" s="9" t="s">
        <v>2544</v>
      </c>
      <c r="C2415" s="9" t="s">
        <v>2545</v>
      </c>
      <c r="D2415" s="9" t="s">
        <v>2185</v>
      </c>
      <c r="E2415" s="9" t="s">
        <v>2027</v>
      </c>
      <c r="F2415" s="9" t="s">
        <v>207</v>
      </c>
      <c r="G2415" s="9" t="s">
        <v>221</v>
      </c>
      <c r="H2415" s="9" t="n">
        <v>750</v>
      </c>
      <c r="I2415" s="29" t="n">
        <v>0.8</v>
      </c>
      <c r="J2415" s="9" t="n">
        <v>0</v>
      </c>
      <c r="K2415" s="30"/>
      <c r="L2415" s="30"/>
      <c r="M2415" s="30"/>
      <c r="N2415" s="30"/>
      <c r="O2415" s="30"/>
      <c r="P2415" s="30"/>
      <c r="Q2415" s="30"/>
      <c r="R2415" s="30"/>
      <c r="S2415" s="30"/>
      <c r="T2415" s="30"/>
      <c r="U2415" s="21" t="str">
        <f aca="false">IF(COUNT(K2415:T2415)=0,"SOURCE EMPTY / INDUSTRIAL ONLY",IF(MIN(K2415:T2415)=1,"SERVICE READY","HOLD"))</f>
        <v>SOURCE EMPTY / INDUSTRIAL ONLY</v>
      </c>
      <c r="V2415" s="9" t="n">
        <f aca="false">IF(U2415="SERVICE READY",1,0)</f>
        <v>0</v>
      </c>
      <c r="W2415" s="6"/>
      <c r="X2415" s="6"/>
      <c r="Y2415" s="6"/>
      <c r="Z2415" s="6"/>
    </row>
    <row r="2416" customFormat="false" ht="15" hidden="false" customHeight="false" outlineLevel="0" collapsed="false">
      <c r="A2416" s="9" t="s">
        <v>2676</v>
      </c>
      <c r="B2416" s="9" t="s">
        <v>2544</v>
      </c>
      <c r="C2416" s="9" t="s">
        <v>2545</v>
      </c>
      <c r="D2416" s="9" t="s">
        <v>2185</v>
      </c>
      <c r="E2416" s="9" t="s">
        <v>2027</v>
      </c>
      <c r="F2416" s="9" t="s">
        <v>209</v>
      </c>
      <c r="G2416" s="9" t="s">
        <v>221</v>
      </c>
      <c r="H2416" s="9" t="n">
        <v>750</v>
      </c>
      <c r="I2416" s="29" t="n">
        <v>0.8</v>
      </c>
      <c r="J2416" s="9" t="n">
        <v>0</v>
      </c>
      <c r="K2416" s="30"/>
      <c r="L2416" s="30"/>
      <c r="M2416" s="30"/>
      <c r="N2416" s="30"/>
      <c r="O2416" s="30"/>
      <c r="P2416" s="30"/>
      <c r="Q2416" s="30"/>
      <c r="R2416" s="30"/>
      <c r="S2416" s="30"/>
      <c r="T2416" s="30"/>
      <c r="U2416" s="21" t="str">
        <f aca="false">IF(COUNT(K2416:T2416)=0,"SOURCE EMPTY / INDUSTRIAL ONLY",IF(MIN(K2416:T2416)=1,"SERVICE READY","HOLD"))</f>
        <v>SOURCE EMPTY / INDUSTRIAL ONLY</v>
      </c>
      <c r="V2416" s="9" t="n">
        <f aca="false">IF(U2416="SERVICE READY",1,0)</f>
        <v>0</v>
      </c>
      <c r="W2416" s="6"/>
      <c r="X2416" s="6"/>
      <c r="Y2416" s="6"/>
      <c r="Z2416" s="6"/>
    </row>
    <row r="2417" customFormat="false" ht="15" hidden="false" customHeight="false" outlineLevel="0" collapsed="false">
      <c r="A2417" s="9" t="s">
        <v>2677</v>
      </c>
      <c r="B2417" s="9" t="s">
        <v>2544</v>
      </c>
      <c r="C2417" s="9" t="s">
        <v>2545</v>
      </c>
      <c r="D2417" s="9" t="s">
        <v>2185</v>
      </c>
      <c r="E2417" s="9" t="s">
        <v>2027</v>
      </c>
      <c r="F2417" s="9" t="s">
        <v>211</v>
      </c>
      <c r="G2417" s="9" t="s">
        <v>221</v>
      </c>
      <c r="H2417" s="9" t="n">
        <v>750</v>
      </c>
      <c r="I2417" s="29" t="n">
        <v>0.8</v>
      </c>
      <c r="J2417" s="9" t="n">
        <v>0</v>
      </c>
      <c r="K2417" s="30"/>
      <c r="L2417" s="30"/>
      <c r="M2417" s="30"/>
      <c r="N2417" s="30"/>
      <c r="O2417" s="30"/>
      <c r="P2417" s="30"/>
      <c r="Q2417" s="30"/>
      <c r="R2417" s="30"/>
      <c r="S2417" s="30"/>
      <c r="T2417" s="30"/>
      <c r="U2417" s="21" t="str">
        <f aca="false">IF(COUNT(K2417:T2417)=0,"SOURCE EMPTY / INDUSTRIAL ONLY",IF(MIN(K2417:T2417)=1,"SERVICE READY","HOLD"))</f>
        <v>SOURCE EMPTY / INDUSTRIAL ONLY</v>
      </c>
      <c r="V2417" s="9" t="n">
        <f aca="false">IF(U2417="SERVICE READY",1,0)</f>
        <v>0</v>
      </c>
      <c r="W2417" s="6"/>
      <c r="X2417" s="6"/>
      <c r="Y2417" s="6"/>
      <c r="Z2417" s="6"/>
    </row>
    <row r="2418" customFormat="false" ht="15" hidden="false" customHeight="false" outlineLevel="0" collapsed="false">
      <c r="A2418" s="9" t="s">
        <v>2678</v>
      </c>
      <c r="B2418" s="9" t="s">
        <v>2544</v>
      </c>
      <c r="C2418" s="9" t="s">
        <v>2545</v>
      </c>
      <c r="D2418" s="9" t="s">
        <v>2185</v>
      </c>
      <c r="E2418" s="9" t="s">
        <v>2027</v>
      </c>
      <c r="F2418" s="9" t="s">
        <v>197</v>
      </c>
      <c r="G2418" s="9" t="s">
        <v>221</v>
      </c>
      <c r="H2418" s="9" t="n">
        <v>750</v>
      </c>
      <c r="I2418" s="29" t="n">
        <v>0.8</v>
      </c>
      <c r="J2418" s="9" t="n">
        <v>0</v>
      </c>
      <c r="K2418" s="30"/>
      <c r="L2418" s="30"/>
      <c r="M2418" s="30"/>
      <c r="N2418" s="30"/>
      <c r="O2418" s="30"/>
      <c r="P2418" s="30"/>
      <c r="Q2418" s="30"/>
      <c r="R2418" s="30"/>
      <c r="S2418" s="30"/>
      <c r="T2418" s="30"/>
      <c r="U2418" s="21" t="str">
        <f aca="false">IF(COUNT(K2418:T2418)=0,"SOURCE EMPTY / INDUSTRIAL ONLY",IF(MIN(K2418:T2418)=1,"SERVICE READY","HOLD"))</f>
        <v>SOURCE EMPTY / INDUSTRIAL ONLY</v>
      </c>
      <c r="V2418" s="9" t="n">
        <f aca="false">IF(U2418="SERVICE READY",1,0)</f>
        <v>0</v>
      </c>
      <c r="W2418" s="6"/>
      <c r="X2418" s="6"/>
      <c r="Y2418" s="6"/>
      <c r="Z2418" s="6"/>
    </row>
    <row r="2419" customFormat="false" ht="15" hidden="false" customHeight="false" outlineLevel="0" collapsed="false">
      <c r="A2419" s="9" t="s">
        <v>2679</v>
      </c>
      <c r="B2419" s="9" t="s">
        <v>2544</v>
      </c>
      <c r="C2419" s="9" t="s">
        <v>2545</v>
      </c>
      <c r="D2419" s="9" t="s">
        <v>2185</v>
      </c>
      <c r="E2419" s="9" t="s">
        <v>2027</v>
      </c>
      <c r="F2419" s="9" t="s">
        <v>200</v>
      </c>
      <c r="G2419" s="9" t="s">
        <v>221</v>
      </c>
      <c r="H2419" s="9" t="n">
        <v>750</v>
      </c>
      <c r="I2419" s="29" t="n">
        <v>0.8</v>
      </c>
      <c r="J2419" s="9" t="n">
        <v>0</v>
      </c>
      <c r="K2419" s="30"/>
      <c r="L2419" s="30"/>
      <c r="M2419" s="30"/>
      <c r="N2419" s="30"/>
      <c r="O2419" s="30"/>
      <c r="P2419" s="30"/>
      <c r="Q2419" s="30"/>
      <c r="R2419" s="30"/>
      <c r="S2419" s="30"/>
      <c r="T2419" s="30"/>
      <c r="U2419" s="21" t="str">
        <f aca="false">IF(COUNT(K2419:T2419)=0,"SOURCE EMPTY / INDUSTRIAL ONLY",IF(MIN(K2419:T2419)=1,"SERVICE READY","HOLD"))</f>
        <v>SOURCE EMPTY / INDUSTRIAL ONLY</v>
      </c>
      <c r="V2419" s="9" t="n">
        <f aca="false">IF(U2419="SERVICE READY",1,0)</f>
        <v>0</v>
      </c>
      <c r="W2419" s="6"/>
      <c r="X2419" s="6"/>
      <c r="Y2419" s="6"/>
      <c r="Z2419" s="6"/>
    </row>
    <row r="2420" customFormat="false" ht="15" hidden="false" customHeight="false" outlineLevel="0" collapsed="false">
      <c r="A2420" s="9" t="s">
        <v>2680</v>
      </c>
      <c r="B2420" s="9" t="s">
        <v>2681</v>
      </c>
      <c r="C2420" s="9" t="s">
        <v>2682</v>
      </c>
      <c r="D2420" s="9" t="s">
        <v>2185</v>
      </c>
      <c r="E2420" s="9" t="s">
        <v>196</v>
      </c>
      <c r="F2420" s="9" t="s">
        <v>197</v>
      </c>
      <c r="G2420" s="9" t="s">
        <v>198</v>
      </c>
      <c r="H2420" s="9" t="n">
        <v>750</v>
      </c>
      <c r="I2420" s="29" t="n">
        <v>1</v>
      </c>
      <c r="J2420" s="9" t="n">
        <v>1</v>
      </c>
      <c r="K2420" s="30"/>
      <c r="L2420" s="30"/>
      <c r="M2420" s="30"/>
      <c r="N2420" s="30"/>
      <c r="O2420" s="30"/>
      <c r="P2420" s="30"/>
      <c r="Q2420" s="30"/>
      <c r="R2420" s="30"/>
      <c r="S2420" s="30"/>
      <c r="T2420" s="30"/>
      <c r="U2420" s="21" t="str">
        <f aca="false">IF(COUNT(K2420:T2420)=0,"SOURCE EMPTY / INDUSTRIAL ONLY",IF(MIN(K2420:T2420)=1,"SERVICE READY","HOLD"))</f>
        <v>SOURCE EMPTY / INDUSTRIAL ONLY</v>
      </c>
      <c r="V2420" s="9" t="n">
        <f aca="false">IF(U2420="SERVICE READY",1,0)</f>
        <v>0</v>
      </c>
      <c r="W2420" s="6"/>
      <c r="X2420" s="6"/>
      <c r="Y2420" s="6"/>
      <c r="Z2420" s="6"/>
    </row>
    <row r="2421" customFormat="false" ht="15" hidden="false" customHeight="false" outlineLevel="0" collapsed="false">
      <c r="A2421" s="9" t="s">
        <v>2683</v>
      </c>
      <c r="B2421" s="9" t="s">
        <v>2681</v>
      </c>
      <c r="C2421" s="9" t="s">
        <v>2682</v>
      </c>
      <c r="D2421" s="9" t="s">
        <v>2185</v>
      </c>
      <c r="E2421" s="9" t="s">
        <v>196</v>
      </c>
      <c r="F2421" s="9" t="s">
        <v>200</v>
      </c>
      <c r="G2421" s="9" t="s">
        <v>201</v>
      </c>
      <c r="H2421" s="9" t="n">
        <v>750</v>
      </c>
      <c r="I2421" s="29" t="n">
        <v>1</v>
      </c>
      <c r="J2421" s="9" t="n">
        <v>1</v>
      </c>
      <c r="K2421" s="30"/>
      <c r="L2421" s="30"/>
      <c r="M2421" s="30"/>
      <c r="N2421" s="30"/>
      <c r="O2421" s="30"/>
      <c r="P2421" s="30"/>
      <c r="Q2421" s="30"/>
      <c r="R2421" s="30"/>
      <c r="S2421" s="30"/>
      <c r="T2421" s="30"/>
      <c r="U2421" s="21" t="str">
        <f aca="false">IF(COUNT(K2421:T2421)=0,"SOURCE EMPTY / INDUSTRIAL ONLY",IF(MIN(K2421:T2421)=1,"SERVICE READY","HOLD"))</f>
        <v>SOURCE EMPTY / INDUSTRIAL ONLY</v>
      </c>
      <c r="V2421" s="9" t="n">
        <f aca="false">IF(U2421="SERVICE READY",1,0)</f>
        <v>0</v>
      </c>
      <c r="W2421" s="6"/>
      <c r="X2421" s="6"/>
      <c r="Y2421" s="6"/>
      <c r="Z2421" s="6"/>
    </row>
    <row r="2422" customFormat="false" ht="15" hidden="false" customHeight="false" outlineLevel="0" collapsed="false">
      <c r="A2422" s="9" t="s">
        <v>2684</v>
      </c>
      <c r="B2422" s="9" t="s">
        <v>2681</v>
      </c>
      <c r="C2422" s="9" t="s">
        <v>2682</v>
      </c>
      <c r="D2422" s="9" t="s">
        <v>2185</v>
      </c>
      <c r="E2422" s="9" t="s">
        <v>196</v>
      </c>
      <c r="F2422" s="9" t="s">
        <v>203</v>
      </c>
      <c r="G2422" s="9" t="s">
        <v>198</v>
      </c>
      <c r="H2422" s="9" t="n">
        <v>750</v>
      </c>
      <c r="I2422" s="29" t="n">
        <v>1</v>
      </c>
      <c r="J2422" s="9" t="n">
        <v>1</v>
      </c>
      <c r="K2422" s="30"/>
      <c r="L2422" s="30"/>
      <c r="M2422" s="30"/>
      <c r="N2422" s="30"/>
      <c r="O2422" s="30"/>
      <c r="P2422" s="30"/>
      <c r="Q2422" s="30"/>
      <c r="R2422" s="30"/>
      <c r="S2422" s="30"/>
      <c r="T2422" s="30"/>
      <c r="U2422" s="21" t="str">
        <f aca="false">IF(COUNT(K2422:T2422)=0,"SOURCE EMPTY / INDUSTRIAL ONLY",IF(MIN(K2422:T2422)=1,"SERVICE READY","HOLD"))</f>
        <v>SOURCE EMPTY / INDUSTRIAL ONLY</v>
      </c>
      <c r="V2422" s="9" t="n">
        <f aca="false">IF(U2422="SERVICE READY",1,0)</f>
        <v>0</v>
      </c>
      <c r="W2422" s="6"/>
      <c r="X2422" s="6"/>
      <c r="Y2422" s="6"/>
      <c r="Z2422" s="6"/>
    </row>
    <row r="2423" customFormat="false" ht="15" hidden="false" customHeight="false" outlineLevel="0" collapsed="false">
      <c r="A2423" s="9" t="s">
        <v>2685</v>
      </c>
      <c r="B2423" s="9" t="s">
        <v>2681</v>
      </c>
      <c r="C2423" s="9" t="s">
        <v>2682</v>
      </c>
      <c r="D2423" s="9" t="s">
        <v>2185</v>
      </c>
      <c r="E2423" s="9" t="s">
        <v>196</v>
      </c>
      <c r="F2423" s="9" t="s">
        <v>205</v>
      </c>
      <c r="G2423" s="9" t="s">
        <v>201</v>
      </c>
      <c r="H2423" s="9" t="n">
        <v>750</v>
      </c>
      <c r="I2423" s="29" t="n">
        <v>1</v>
      </c>
      <c r="J2423" s="9" t="n">
        <v>1</v>
      </c>
      <c r="K2423" s="30"/>
      <c r="L2423" s="30"/>
      <c r="M2423" s="30"/>
      <c r="N2423" s="30"/>
      <c r="O2423" s="30"/>
      <c r="P2423" s="30"/>
      <c r="Q2423" s="30"/>
      <c r="R2423" s="30"/>
      <c r="S2423" s="30"/>
      <c r="T2423" s="30"/>
      <c r="U2423" s="21" t="str">
        <f aca="false">IF(COUNT(K2423:T2423)=0,"SOURCE EMPTY / INDUSTRIAL ONLY",IF(MIN(K2423:T2423)=1,"SERVICE READY","HOLD"))</f>
        <v>SOURCE EMPTY / INDUSTRIAL ONLY</v>
      </c>
      <c r="V2423" s="9" t="n">
        <f aca="false">IF(U2423="SERVICE READY",1,0)</f>
        <v>0</v>
      </c>
      <c r="W2423" s="6"/>
      <c r="X2423" s="6"/>
      <c r="Y2423" s="6"/>
      <c r="Z2423" s="6"/>
    </row>
    <row r="2424" customFormat="false" ht="15" hidden="false" customHeight="false" outlineLevel="0" collapsed="false">
      <c r="A2424" s="9" t="s">
        <v>2686</v>
      </c>
      <c r="B2424" s="9" t="s">
        <v>2681</v>
      </c>
      <c r="C2424" s="9" t="s">
        <v>2682</v>
      </c>
      <c r="D2424" s="9" t="s">
        <v>2185</v>
      </c>
      <c r="E2424" s="9" t="s">
        <v>196</v>
      </c>
      <c r="F2424" s="9" t="s">
        <v>207</v>
      </c>
      <c r="G2424" s="9" t="s">
        <v>198</v>
      </c>
      <c r="H2424" s="9" t="n">
        <v>750</v>
      </c>
      <c r="I2424" s="29" t="n">
        <v>1</v>
      </c>
      <c r="J2424" s="9" t="n">
        <v>1</v>
      </c>
      <c r="K2424" s="30"/>
      <c r="L2424" s="30"/>
      <c r="M2424" s="30"/>
      <c r="N2424" s="30"/>
      <c r="O2424" s="30"/>
      <c r="P2424" s="30"/>
      <c r="Q2424" s="30"/>
      <c r="R2424" s="30"/>
      <c r="S2424" s="30"/>
      <c r="T2424" s="30"/>
      <c r="U2424" s="21" t="str">
        <f aca="false">IF(COUNT(K2424:T2424)=0,"SOURCE EMPTY / INDUSTRIAL ONLY",IF(MIN(K2424:T2424)=1,"SERVICE READY","HOLD"))</f>
        <v>SOURCE EMPTY / INDUSTRIAL ONLY</v>
      </c>
      <c r="V2424" s="9" t="n">
        <f aca="false">IF(U2424="SERVICE READY",1,0)</f>
        <v>0</v>
      </c>
      <c r="W2424" s="6"/>
      <c r="X2424" s="6"/>
      <c r="Y2424" s="6"/>
      <c r="Z2424" s="6"/>
    </row>
    <row r="2425" customFormat="false" ht="15" hidden="false" customHeight="false" outlineLevel="0" collapsed="false">
      <c r="A2425" s="9" t="s">
        <v>2687</v>
      </c>
      <c r="B2425" s="9" t="s">
        <v>2681</v>
      </c>
      <c r="C2425" s="9" t="s">
        <v>2682</v>
      </c>
      <c r="D2425" s="9" t="s">
        <v>2185</v>
      </c>
      <c r="E2425" s="9" t="s">
        <v>196</v>
      </c>
      <c r="F2425" s="9" t="s">
        <v>209</v>
      </c>
      <c r="G2425" s="9" t="s">
        <v>201</v>
      </c>
      <c r="H2425" s="9" t="n">
        <v>750</v>
      </c>
      <c r="I2425" s="29" t="n">
        <v>1</v>
      </c>
      <c r="J2425" s="9" t="n">
        <v>1</v>
      </c>
      <c r="K2425" s="30"/>
      <c r="L2425" s="30"/>
      <c r="M2425" s="30"/>
      <c r="N2425" s="30"/>
      <c r="O2425" s="30"/>
      <c r="P2425" s="30"/>
      <c r="Q2425" s="30"/>
      <c r="R2425" s="30"/>
      <c r="S2425" s="30"/>
      <c r="T2425" s="30"/>
      <c r="U2425" s="21" t="str">
        <f aca="false">IF(COUNT(K2425:T2425)=0,"SOURCE EMPTY / INDUSTRIAL ONLY",IF(MIN(K2425:T2425)=1,"SERVICE READY","HOLD"))</f>
        <v>SOURCE EMPTY / INDUSTRIAL ONLY</v>
      </c>
      <c r="V2425" s="9" t="n">
        <f aca="false">IF(U2425="SERVICE READY",1,0)</f>
        <v>0</v>
      </c>
      <c r="W2425" s="6"/>
      <c r="X2425" s="6"/>
      <c r="Y2425" s="6"/>
      <c r="Z2425" s="6"/>
    </row>
    <row r="2426" customFormat="false" ht="15" hidden="false" customHeight="false" outlineLevel="0" collapsed="false">
      <c r="A2426" s="9" t="s">
        <v>2688</v>
      </c>
      <c r="B2426" s="9" t="s">
        <v>2681</v>
      </c>
      <c r="C2426" s="9" t="s">
        <v>2682</v>
      </c>
      <c r="D2426" s="9" t="s">
        <v>2185</v>
      </c>
      <c r="E2426" s="9" t="s">
        <v>196</v>
      </c>
      <c r="F2426" s="9" t="s">
        <v>211</v>
      </c>
      <c r="G2426" s="9" t="s">
        <v>198</v>
      </c>
      <c r="H2426" s="9" t="n">
        <v>750</v>
      </c>
      <c r="I2426" s="29" t="n">
        <v>1</v>
      </c>
      <c r="J2426" s="9" t="n">
        <v>1</v>
      </c>
      <c r="K2426" s="30"/>
      <c r="L2426" s="30"/>
      <c r="M2426" s="30"/>
      <c r="N2426" s="30"/>
      <c r="O2426" s="30"/>
      <c r="P2426" s="30"/>
      <c r="Q2426" s="30"/>
      <c r="R2426" s="30"/>
      <c r="S2426" s="30"/>
      <c r="T2426" s="30"/>
      <c r="U2426" s="21" t="str">
        <f aca="false">IF(COUNT(K2426:T2426)=0,"SOURCE EMPTY / INDUSTRIAL ONLY",IF(MIN(K2426:T2426)=1,"SERVICE READY","HOLD"))</f>
        <v>SOURCE EMPTY / INDUSTRIAL ONLY</v>
      </c>
      <c r="V2426" s="9" t="n">
        <f aca="false">IF(U2426="SERVICE READY",1,0)</f>
        <v>0</v>
      </c>
      <c r="W2426" s="6"/>
      <c r="X2426" s="6"/>
      <c r="Y2426" s="6"/>
      <c r="Z2426" s="6"/>
    </row>
    <row r="2427" customFormat="false" ht="15" hidden="false" customHeight="false" outlineLevel="0" collapsed="false">
      <c r="A2427" s="9" t="s">
        <v>2689</v>
      </c>
      <c r="B2427" s="9" t="s">
        <v>2681</v>
      </c>
      <c r="C2427" s="9" t="s">
        <v>2682</v>
      </c>
      <c r="D2427" s="9" t="s">
        <v>2185</v>
      </c>
      <c r="E2427" s="9" t="s">
        <v>196</v>
      </c>
      <c r="F2427" s="9" t="s">
        <v>197</v>
      </c>
      <c r="G2427" s="9" t="s">
        <v>201</v>
      </c>
      <c r="H2427" s="9" t="n">
        <v>750</v>
      </c>
      <c r="I2427" s="29" t="n">
        <v>1</v>
      </c>
      <c r="J2427" s="9" t="n">
        <v>1</v>
      </c>
      <c r="K2427" s="30"/>
      <c r="L2427" s="30"/>
      <c r="M2427" s="30"/>
      <c r="N2427" s="30"/>
      <c r="O2427" s="30"/>
      <c r="P2427" s="30"/>
      <c r="Q2427" s="30"/>
      <c r="R2427" s="30"/>
      <c r="S2427" s="30"/>
      <c r="T2427" s="30"/>
      <c r="U2427" s="21" t="str">
        <f aca="false">IF(COUNT(K2427:T2427)=0,"SOURCE EMPTY / INDUSTRIAL ONLY",IF(MIN(K2427:T2427)=1,"SERVICE READY","HOLD"))</f>
        <v>SOURCE EMPTY / INDUSTRIAL ONLY</v>
      </c>
      <c r="V2427" s="9" t="n">
        <f aca="false">IF(U2427="SERVICE READY",1,0)</f>
        <v>0</v>
      </c>
      <c r="W2427" s="6"/>
      <c r="X2427" s="6"/>
      <c r="Y2427" s="6"/>
      <c r="Z2427" s="6"/>
    </row>
    <row r="2428" customFormat="false" ht="15" hidden="false" customHeight="false" outlineLevel="0" collapsed="false">
      <c r="A2428" s="9" t="s">
        <v>2690</v>
      </c>
      <c r="B2428" s="9" t="s">
        <v>2681</v>
      </c>
      <c r="C2428" s="9" t="s">
        <v>2682</v>
      </c>
      <c r="D2428" s="9" t="s">
        <v>2185</v>
      </c>
      <c r="E2428" s="9" t="s">
        <v>196</v>
      </c>
      <c r="F2428" s="9" t="s">
        <v>200</v>
      </c>
      <c r="G2428" s="9" t="s">
        <v>198</v>
      </c>
      <c r="H2428" s="9" t="n">
        <v>750</v>
      </c>
      <c r="I2428" s="29" t="n">
        <v>1</v>
      </c>
      <c r="J2428" s="9" t="n">
        <v>1</v>
      </c>
      <c r="K2428" s="30"/>
      <c r="L2428" s="30"/>
      <c r="M2428" s="30"/>
      <c r="N2428" s="30"/>
      <c r="O2428" s="30"/>
      <c r="P2428" s="30"/>
      <c r="Q2428" s="30"/>
      <c r="R2428" s="30"/>
      <c r="S2428" s="30"/>
      <c r="T2428" s="30"/>
      <c r="U2428" s="21" t="str">
        <f aca="false">IF(COUNT(K2428:T2428)=0,"SOURCE EMPTY / INDUSTRIAL ONLY",IF(MIN(K2428:T2428)=1,"SERVICE READY","HOLD"))</f>
        <v>SOURCE EMPTY / INDUSTRIAL ONLY</v>
      </c>
      <c r="V2428" s="9" t="n">
        <f aca="false">IF(U2428="SERVICE READY",1,0)</f>
        <v>0</v>
      </c>
      <c r="W2428" s="6"/>
      <c r="X2428" s="6"/>
      <c r="Y2428" s="6"/>
      <c r="Z2428" s="6"/>
    </row>
    <row r="2429" customFormat="false" ht="15" hidden="false" customHeight="false" outlineLevel="0" collapsed="false">
      <c r="A2429" s="9" t="s">
        <v>2691</v>
      </c>
      <c r="B2429" s="9" t="s">
        <v>2681</v>
      </c>
      <c r="C2429" s="9" t="s">
        <v>2682</v>
      </c>
      <c r="D2429" s="9" t="s">
        <v>2185</v>
      </c>
      <c r="E2429" s="9" t="s">
        <v>196</v>
      </c>
      <c r="F2429" s="9" t="s">
        <v>203</v>
      </c>
      <c r="G2429" s="9" t="s">
        <v>201</v>
      </c>
      <c r="H2429" s="9" t="n">
        <v>750</v>
      </c>
      <c r="I2429" s="29" t="n">
        <v>1</v>
      </c>
      <c r="J2429" s="9" t="n">
        <v>1</v>
      </c>
      <c r="K2429" s="30"/>
      <c r="L2429" s="30"/>
      <c r="M2429" s="30"/>
      <c r="N2429" s="30"/>
      <c r="O2429" s="30"/>
      <c r="P2429" s="30"/>
      <c r="Q2429" s="30"/>
      <c r="R2429" s="30"/>
      <c r="S2429" s="30"/>
      <c r="T2429" s="30"/>
      <c r="U2429" s="21" t="str">
        <f aca="false">IF(COUNT(K2429:T2429)=0,"SOURCE EMPTY / INDUSTRIAL ONLY",IF(MIN(K2429:T2429)=1,"SERVICE READY","HOLD"))</f>
        <v>SOURCE EMPTY / INDUSTRIAL ONLY</v>
      </c>
      <c r="V2429" s="9" t="n">
        <f aca="false">IF(U2429="SERVICE READY",1,0)</f>
        <v>0</v>
      </c>
      <c r="W2429" s="6"/>
      <c r="X2429" s="6"/>
      <c r="Y2429" s="6"/>
      <c r="Z2429" s="6"/>
    </row>
    <row r="2430" customFormat="false" ht="15" hidden="false" customHeight="false" outlineLevel="0" collapsed="false">
      <c r="A2430" s="9" t="s">
        <v>2692</v>
      </c>
      <c r="B2430" s="9" t="s">
        <v>2681</v>
      </c>
      <c r="C2430" s="9" t="s">
        <v>2682</v>
      </c>
      <c r="D2430" s="9" t="s">
        <v>2185</v>
      </c>
      <c r="E2430" s="9" t="s">
        <v>196</v>
      </c>
      <c r="F2430" s="9" t="s">
        <v>205</v>
      </c>
      <c r="G2430" s="9" t="s">
        <v>198</v>
      </c>
      <c r="H2430" s="9" t="n">
        <v>750</v>
      </c>
      <c r="I2430" s="29" t="n">
        <v>1</v>
      </c>
      <c r="J2430" s="9" t="n">
        <v>1</v>
      </c>
      <c r="K2430" s="30"/>
      <c r="L2430" s="30"/>
      <c r="M2430" s="30"/>
      <c r="N2430" s="30"/>
      <c r="O2430" s="30"/>
      <c r="P2430" s="30"/>
      <c r="Q2430" s="30"/>
      <c r="R2430" s="30"/>
      <c r="S2430" s="30"/>
      <c r="T2430" s="30"/>
      <c r="U2430" s="21" t="str">
        <f aca="false">IF(COUNT(K2430:T2430)=0,"SOURCE EMPTY / INDUSTRIAL ONLY",IF(MIN(K2430:T2430)=1,"SERVICE READY","HOLD"))</f>
        <v>SOURCE EMPTY / INDUSTRIAL ONLY</v>
      </c>
      <c r="V2430" s="9" t="n">
        <f aca="false">IF(U2430="SERVICE READY",1,0)</f>
        <v>0</v>
      </c>
      <c r="W2430" s="6"/>
      <c r="X2430" s="6"/>
      <c r="Y2430" s="6"/>
      <c r="Z2430" s="6"/>
    </row>
    <row r="2431" customFormat="false" ht="15" hidden="false" customHeight="false" outlineLevel="0" collapsed="false">
      <c r="A2431" s="9" t="s">
        <v>2693</v>
      </c>
      <c r="B2431" s="9" t="s">
        <v>2681</v>
      </c>
      <c r="C2431" s="9" t="s">
        <v>2682</v>
      </c>
      <c r="D2431" s="9" t="s">
        <v>2185</v>
      </c>
      <c r="E2431" s="9" t="s">
        <v>196</v>
      </c>
      <c r="F2431" s="9" t="s">
        <v>207</v>
      </c>
      <c r="G2431" s="9" t="s">
        <v>201</v>
      </c>
      <c r="H2431" s="9" t="n">
        <v>750</v>
      </c>
      <c r="I2431" s="29" t="n">
        <v>1</v>
      </c>
      <c r="J2431" s="9" t="n">
        <v>1</v>
      </c>
      <c r="K2431" s="30"/>
      <c r="L2431" s="30"/>
      <c r="M2431" s="30"/>
      <c r="N2431" s="30"/>
      <c r="O2431" s="30"/>
      <c r="P2431" s="30"/>
      <c r="Q2431" s="30"/>
      <c r="R2431" s="30"/>
      <c r="S2431" s="30"/>
      <c r="T2431" s="30"/>
      <c r="U2431" s="21" t="str">
        <f aca="false">IF(COUNT(K2431:T2431)=0,"SOURCE EMPTY / INDUSTRIAL ONLY",IF(MIN(K2431:T2431)=1,"SERVICE READY","HOLD"))</f>
        <v>SOURCE EMPTY / INDUSTRIAL ONLY</v>
      </c>
      <c r="V2431" s="9" t="n">
        <f aca="false">IF(U2431="SERVICE READY",1,0)</f>
        <v>0</v>
      </c>
      <c r="W2431" s="6"/>
      <c r="X2431" s="6"/>
      <c r="Y2431" s="6"/>
      <c r="Z2431" s="6"/>
    </row>
    <row r="2432" customFormat="false" ht="15" hidden="false" customHeight="false" outlineLevel="0" collapsed="false">
      <c r="A2432" s="9" t="s">
        <v>2694</v>
      </c>
      <c r="B2432" s="9" t="s">
        <v>2681</v>
      </c>
      <c r="C2432" s="9" t="s">
        <v>2682</v>
      </c>
      <c r="D2432" s="9" t="s">
        <v>2185</v>
      </c>
      <c r="E2432" s="9" t="s">
        <v>196</v>
      </c>
      <c r="F2432" s="9" t="s">
        <v>209</v>
      </c>
      <c r="G2432" s="9" t="s">
        <v>198</v>
      </c>
      <c r="H2432" s="9" t="n">
        <v>750</v>
      </c>
      <c r="I2432" s="29" t="n">
        <v>1</v>
      </c>
      <c r="J2432" s="9" t="n">
        <v>1</v>
      </c>
      <c r="K2432" s="30"/>
      <c r="L2432" s="30"/>
      <c r="M2432" s="30"/>
      <c r="N2432" s="30"/>
      <c r="O2432" s="30"/>
      <c r="P2432" s="30"/>
      <c r="Q2432" s="30"/>
      <c r="R2432" s="30"/>
      <c r="S2432" s="30"/>
      <c r="T2432" s="30"/>
      <c r="U2432" s="21" t="str">
        <f aca="false">IF(COUNT(K2432:T2432)=0,"SOURCE EMPTY / INDUSTRIAL ONLY",IF(MIN(K2432:T2432)=1,"SERVICE READY","HOLD"))</f>
        <v>SOURCE EMPTY / INDUSTRIAL ONLY</v>
      </c>
      <c r="V2432" s="9" t="n">
        <f aca="false">IF(U2432="SERVICE READY",1,0)</f>
        <v>0</v>
      </c>
      <c r="W2432" s="6"/>
      <c r="X2432" s="6"/>
      <c r="Y2432" s="6"/>
      <c r="Z2432" s="6"/>
    </row>
    <row r="2433" customFormat="false" ht="15" hidden="false" customHeight="false" outlineLevel="0" collapsed="false">
      <c r="A2433" s="9" t="s">
        <v>2695</v>
      </c>
      <c r="B2433" s="9" t="s">
        <v>2681</v>
      </c>
      <c r="C2433" s="9" t="s">
        <v>2682</v>
      </c>
      <c r="D2433" s="9" t="s">
        <v>2185</v>
      </c>
      <c r="E2433" s="9" t="s">
        <v>196</v>
      </c>
      <c r="F2433" s="9" t="s">
        <v>211</v>
      </c>
      <c r="G2433" s="9" t="s">
        <v>201</v>
      </c>
      <c r="H2433" s="9" t="n">
        <v>750</v>
      </c>
      <c r="I2433" s="29" t="n">
        <v>1</v>
      </c>
      <c r="J2433" s="9" t="n">
        <v>1</v>
      </c>
      <c r="K2433" s="30"/>
      <c r="L2433" s="30"/>
      <c r="M2433" s="30"/>
      <c r="N2433" s="30"/>
      <c r="O2433" s="30"/>
      <c r="P2433" s="30"/>
      <c r="Q2433" s="30"/>
      <c r="R2433" s="30"/>
      <c r="S2433" s="30"/>
      <c r="T2433" s="30"/>
      <c r="U2433" s="21" t="str">
        <f aca="false">IF(COUNT(K2433:T2433)=0,"SOURCE EMPTY / INDUSTRIAL ONLY",IF(MIN(K2433:T2433)=1,"SERVICE READY","HOLD"))</f>
        <v>SOURCE EMPTY / INDUSTRIAL ONLY</v>
      </c>
      <c r="V2433" s="9" t="n">
        <f aca="false">IF(U2433="SERVICE READY",1,0)</f>
        <v>0</v>
      </c>
      <c r="W2433" s="6"/>
      <c r="X2433" s="6"/>
      <c r="Y2433" s="6"/>
      <c r="Z2433" s="6"/>
    </row>
    <row r="2434" customFormat="false" ht="15" hidden="false" customHeight="false" outlineLevel="0" collapsed="false">
      <c r="A2434" s="9" t="s">
        <v>2696</v>
      </c>
      <c r="B2434" s="9" t="s">
        <v>2681</v>
      </c>
      <c r="C2434" s="9" t="s">
        <v>2682</v>
      </c>
      <c r="D2434" s="9" t="s">
        <v>2185</v>
      </c>
      <c r="E2434" s="9" t="s">
        <v>196</v>
      </c>
      <c r="F2434" s="9" t="s">
        <v>197</v>
      </c>
      <c r="G2434" s="9" t="s">
        <v>198</v>
      </c>
      <c r="H2434" s="9" t="n">
        <v>750</v>
      </c>
      <c r="I2434" s="29" t="n">
        <v>1</v>
      </c>
      <c r="J2434" s="9" t="n">
        <v>1</v>
      </c>
      <c r="K2434" s="30"/>
      <c r="L2434" s="30"/>
      <c r="M2434" s="30"/>
      <c r="N2434" s="30"/>
      <c r="O2434" s="30"/>
      <c r="P2434" s="30"/>
      <c r="Q2434" s="30"/>
      <c r="R2434" s="30"/>
      <c r="S2434" s="30"/>
      <c r="T2434" s="30"/>
      <c r="U2434" s="21" t="str">
        <f aca="false">IF(COUNT(K2434:T2434)=0,"SOURCE EMPTY / INDUSTRIAL ONLY",IF(MIN(K2434:T2434)=1,"SERVICE READY","HOLD"))</f>
        <v>SOURCE EMPTY / INDUSTRIAL ONLY</v>
      </c>
      <c r="V2434" s="9" t="n">
        <f aca="false">IF(U2434="SERVICE READY",1,0)</f>
        <v>0</v>
      </c>
      <c r="W2434" s="6"/>
      <c r="X2434" s="6"/>
      <c r="Y2434" s="6"/>
      <c r="Z2434" s="6"/>
    </row>
    <row r="2435" customFormat="false" ht="15" hidden="false" customHeight="false" outlineLevel="0" collapsed="false">
      <c r="A2435" s="9" t="s">
        <v>2697</v>
      </c>
      <c r="B2435" s="9" t="s">
        <v>2681</v>
      </c>
      <c r="C2435" s="9" t="s">
        <v>2682</v>
      </c>
      <c r="D2435" s="9" t="s">
        <v>2185</v>
      </c>
      <c r="E2435" s="9" t="s">
        <v>196</v>
      </c>
      <c r="F2435" s="9" t="s">
        <v>200</v>
      </c>
      <c r="G2435" s="9" t="s">
        <v>201</v>
      </c>
      <c r="H2435" s="9" t="n">
        <v>750</v>
      </c>
      <c r="I2435" s="29" t="n">
        <v>1</v>
      </c>
      <c r="J2435" s="9" t="n">
        <v>1</v>
      </c>
      <c r="K2435" s="30"/>
      <c r="L2435" s="30"/>
      <c r="M2435" s="30"/>
      <c r="N2435" s="30"/>
      <c r="O2435" s="30"/>
      <c r="P2435" s="30"/>
      <c r="Q2435" s="30"/>
      <c r="R2435" s="30"/>
      <c r="S2435" s="30"/>
      <c r="T2435" s="30"/>
      <c r="U2435" s="21" t="str">
        <f aca="false">IF(COUNT(K2435:T2435)=0,"SOURCE EMPTY / INDUSTRIAL ONLY",IF(MIN(K2435:T2435)=1,"SERVICE READY","HOLD"))</f>
        <v>SOURCE EMPTY / INDUSTRIAL ONLY</v>
      </c>
      <c r="V2435" s="9" t="n">
        <f aca="false">IF(U2435="SERVICE READY",1,0)</f>
        <v>0</v>
      </c>
      <c r="W2435" s="6"/>
      <c r="X2435" s="6"/>
      <c r="Y2435" s="6"/>
      <c r="Z2435" s="6"/>
    </row>
    <row r="2436" customFormat="false" ht="15" hidden="false" customHeight="false" outlineLevel="0" collapsed="false">
      <c r="A2436" s="9" t="s">
        <v>2698</v>
      </c>
      <c r="B2436" s="9" t="s">
        <v>2681</v>
      </c>
      <c r="C2436" s="9" t="s">
        <v>2682</v>
      </c>
      <c r="D2436" s="9" t="s">
        <v>2185</v>
      </c>
      <c r="E2436" s="9" t="s">
        <v>196</v>
      </c>
      <c r="F2436" s="9" t="s">
        <v>203</v>
      </c>
      <c r="G2436" s="9" t="s">
        <v>198</v>
      </c>
      <c r="H2436" s="9" t="n">
        <v>750</v>
      </c>
      <c r="I2436" s="29" t="n">
        <v>1</v>
      </c>
      <c r="J2436" s="9" t="n">
        <v>1</v>
      </c>
      <c r="K2436" s="30"/>
      <c r="L2436" s="30"/>
      <c r="M2436" s="30"/>
      <c r="N2436" s="30"/>
      <c r="O2436" s="30"/>
      <c r="P2436" s="30"/>
      <c r="Q2436" s="30"/>
      <c r="R2436" s="30"/>
      <c r="S2436" s="30"/>
      <c r="T2436" s="30"/>
      <c r="U2436" s="21" t="str">
        <f aca="false">IF(COUNT(K2436:T2436)=0,"SOURCE EMPTY / INDUSTRIAL ONLY",IF(MIN(K2436:T2436)=1,"SERVICE READY","HOLD"))</f>
        <v>SOURCE EMPTY / INDUSTRIAL ONLY</v>
      </c>
      <c r="V2436" s="9" t="n">
        <f aca="false">IF(U2436="SERVICE READY",1,0)</f>
        <v>0</v>
      </c>
      <c r="W2436" s="6"/>
      <c r="X2436" s="6"/>
      <c r="Y2436" s="6"/>
      <c r="Z2436" s="6"/>
    </row>
    <row r="2437" customFormat="false" ht="15" hidden="false" customHeight="false" outlineLevel="0" collapsed="false">
      <c r="A2437" s="9" t="s">
        <v>2699</v>
      </c>
      <c r="B2437" s="9" t="s">
        <v>2681</v>
      </c>
      <c r="C2437" s="9" t="s">
        <v>2682</v>
      </c>
      <c r="D2437" s="9" t="s">
        <v>2185</v>
      </c>
      <c r="E2437" s="9" t="s">
        <v>196</v>
      </c>
      <c r="F2437" s="9" t="s">
        <v>205</v>
      </c>
      <c r="G2437" s="9" t="s">
        <v>201</v>
      </c>
      <c r="H2437" s="9" t="n">
        <v>750</v>
      </c>
      <c r="I2437" s="29" t="n">
        <v>1</v>
      </c>
      <c r="J2437" s="9" t="n">
        <v>1</v>
      </c>
      <c r="K2437" s="30"/>
      <c r="L2437" s="30"/>
      <c r="M2437" s="30"/>
      <c r="N2437" s="30"/>
      <c r="O2437" s="30"/>
      <c r="P2437" s="30"/>
      <c r="Q2437" s="30"/>
      <c r="R2437" s="30"/>
      <c r="S2437" s="30"/>
      <c r="T2437" s="30"/>
      <c r="U2437" s="21" t="str">
        <f aca="false">IF(COUNT(K2437:T2437)=0,"SOURCE EMPTY / INDUSTRIAL ONLY",IF(MIN(K2437:T2437)=1,"SERVICE READY","HOLD"))</f>
        <v>SOURCE EMPTY / INDUSTRIAL ONLY</v>
      </c>
      <c r="V2437" s="9" t="n">
        <f aca="false">IF(U2437="SERVICE READY",1,0)</f>
        <v>0</v>
      </c>
      <c r="W2437" s="6"/>
      <c r="X2437" s="6"/>
      <c r="Y2437" s="6"/>
      <c r="Z2437" s="6"/>
    </row>
    <row r="2438" customFormat="false" ht="15" hidden="false" customHeight="false" outlineLevel="0" collapsed="false">
      <c r="A2438" s="9" t="s">
        <v>2700</v>
      </c>
      <c r="B2438" s="9" t="s">
        <v>2681</v>
      </c>
      <c r="C2438" s="9" t="s">
        <v>2682</v>
      </c>
      <c r="D2438" s="9" t="s">
        <v>2185</v>
      </c>
      <c r="E2438" s="9" t="s">
        <v>196</v>
      </c>
      <c r="F2438" s="9" t="s">
        <v>207</v>
      </c>
      <c r="G2438" s="9" t="s">
        <v>198</v>
      </c>
      <c r="H2438" s="9" t="n">
        <v>750</v>
      </c>
      <c r="I2438" s="29" t="n">
        <v>1</v>
      </c>
      <c r="J2438" s="9" t="n">
        <v>1</v>
      </c>
      <c r="K2438" s="30"/>
      <c r="L2438" s="30"/>
      <c r="M2438" s="30"/>
      <c r="N2438" s="30"/>
      <c r="O2438" s="30"/>
      <c r="P2438" s="30"/>
      <c r="Q2438" s="30"/>
      <c r="R2438" s="30"/>
      <c r="S2438" s="30"/>
      <c r="T2438" s="30"/>
      <c r="U2438" s="21" t="str">
        <f aca="false">IF(COUNT(K2438:T2438)=0,"SOURCE EMPTY / INDUSTRIAL ONLY",IF(MIN(K2438:T2438)=1,"SERVICE READY","HOLD"))</f>
        <v>SOURCE EMPTY / INDUSTRIAL ONLY</v>
      </c>
      <c r="V2438" s="9" t="n">
        <f aca="false">IF(U2438="SERVICE READY",1,0)</f>
        <v>0</v>
      </c>
      <c r="W2438" s="6"/>
      <c r="X2438" s="6"/>
      <c r="Y2438" s="6"/>
      <c r="Z2438" s="6"/>
    </row>
    <row r="2439" customFormat="false" ht="15" hidden="false" customHeight="false" outlineLevel="0" collapsed="false">
      <c r="A2439" s="9" t="s">
        <v>2701</v>
      </c>
      <c r="B2439" s="9" t="s">
        <v>2681</v>
      </c>
      <c r="C2439" s="9" t="s">
        <v>2682</v>
      </c>
      <c r="D2439" s="9" t="s">
        <v>2185</v>
      </c>
      <c r="E2439" s="9" t="s">
        <v>196</v>
      </c>
      <c r="F2439" s="9" t="s">
        <v>209</v>
      </c>
      <c r="G2439" s="9" t="s">
        <v>201</v>
      </c>
      <c r="H2439" s="9" t="n">
        <v>750</v>
      </c>
      <c r="I2439" s="29" t="n">
        <v>1</v>
      </c>
      <c r="J2439" s="9" t="n">
        <v>1</v>
      </c>
      <c r="K2439" s="30"/>
      <c r="L2439" s="30"/>
      <c r="M2439" s="30"/>
      <c r="N2439" s="30"/>
      <c r="O2439" s="30"/>
      <c r="P2439" s="30"/>
      <c r="Q2439" s="30"/>
      <c r="R2439" s="30"/>
      <c r="S2439" s="30"/>
      <c r="T2439" s="30"/>
      <c r="U2439" s="21" t="str">
        <f aca="false">IF(COUNT(K2439:T2439)=0,"SOURCE EMPTY / INDUSTRIAL ONLY",IF(MIN(K2439:T2439)=1,"SERVICE READY","HOLD"))</f>
        <v>SOURCE EMPTY / INDUSTRIAL ONLY</v>
      </c>
      <c r="V2439" s="9" t="n">
        <f aca="false">IF(U2439="SERVICE READY",1,0)</f>
        <v>0</v>
      </c>
      <c r="W2439" s="6"/>
      <c r="X2439" s="6"/>
      <c r="Y2439" s="6"/>
      <c r="Z2439" s="6"/>
    </row>
    <row r="2440" customFormat="false" ht="15" hidden="false" customHeight="false" outlineLevel="0" collapsed="false">
      <c r="A2440" s="9" t="s">
        <v>2702</v>
      </c>
      <c r="B2440" s="9" t="s">
        <v>2681</v>
      </c>
      <c r="C2440" s="9" t="s">
        <v>2682</v>
      </c>
      <c r="D2440" s="9" t="s">
        <v>2185</v>
      </c>
      <c r="E2440" s="9" t="s">
        <v>196</v>
      </c>
      <c r="F2440" s="9" t="s">
        <v>211</v>
      </c>
      <c r="G2440" s="9" t="s">
        <v>198</v>
      </c>
      <c r="H2440" s="9" t="n">
        <v>750</v>
      </c>
      <c r="I2440" s="29" t="n">
        <v>1</v>
      </c>
      <c r="J2440" s="9" t="n">
        <v>1</v>
      </c>
      <c r="K2440" s="30"/>
      <c r="L2440" s="30"/>
      <c r="M2440" s="30"/>
      <c r="N2440" s="30"/>
      <c r="O2440" s="30"/>
      <c r="P2440" s="30"/>
      <c r="Q2440" s="30"/>
      <c r="R2440" s="30"/>
      <c r="S2440" s="30"/>
      <c r="T2440" s="30"/>
      <c r="U2440" s="21" t="str">
        <f aca="false">IF(COUNT(K2440:T2440)=0,"SOURCE EMPTY / INDUSTRIAL ONLY",IF(MIN(K2440:T2440)=1,"SERVICE READY","HOLD"))</f>
        <v>SOURCE EMPTY / INDUSTRIAL ONLY</v>
      </c>
      <c r="V2440" s="9" t="n">
        <f aca="false">IF(U2440="SERVICE READY",1,0)</f>
        <v>0</v>
      </c>
      <c r="W2440" s="6"/>
      <c r="X2440" s="6"/>
      <c r="Y2440" s="6"/>
      <c r="Z2440" s="6"/>
    </row>
    <row r="2441" customFormat="false" ht="15" hidden="false" customHeight="false" outlineLevel="0" collapsed="false">
      <c r="A2441" s="9" t="s">
        <v>2703</v>
      </c>
      <c r="B2441" s="9" t="s">
        <v>2681</v>
      </c>
      <c r="C2441" s="9" t="s">
        <v>2682</v>
      </c>
      <c r="D2441" s="9" t="s">
        <v>2185</v>
      </c>
      <c r="E2441" s="9" t="s">
        <v>196</v>
      </c>
      <c r="F2441" s="9" t="s">
        <v>197</v>
      </c>
      <c r="G2441" s="9" t="s">
        <v>201</v>
      </c>
      <c r="H2441" s="9" t="n">
        <v>750</v>
      </c>
      <c r="I2441" s="29" t="n">
        <v>1</v>
      </c>
      <c r="J2441" s="9" t="n">
        <v>1</v>
      </c>
      <c r="K2441" s="30"/>
      <c r="L2441" s="30"/>
      <c r="M2441" s="30"/>
      <c r="N2441" s="30"/>
      <c r="O2441" s="30"/>
      <c r="P2441" s="30"/>
      <c r="Q2441" s="30"/>
      <c r="R2441" s="30"/>
      <c r="S2441" s="30"/>
      <c r="T2441" s="30"/>
      <c r="U2441" s="21" t="str">
        <f aca="false">IF(COUNT(K2441:T2441)=0,"SOURCE EMPTY / INDUSTRIAL ONLY",IF(MIN(K2441:T2441)=1,"SERVICE READY","HOLD"))</f>
        <v>SOURCE EMPTY / INDUSTRIAL ONLY</v>
      </c>
      <c r="V2441" s="9" t="n">
        <f aca="false">IF(U2441="SERVICE READY",1,0)</f>
        <v>0</v>
      </c>
      <c r="W2441" s="6"/>
      <c r="X2441" s="6"/>
      <c r="Y2441" s="6"/>
      <c r="Z2441" s="6"/>
    </row>
    <row r="2442" customFormat="false" ht="15" hidden="false" customHeight="false" outlineLevel="0" collapsed="false">
      <c r="A2442" s="9" t="s">
        <v>2704</v>
      </c>
      <c r="B2442" s="9" t="s">
        <v>2681</v>
      </c>
      <c r="C2442" s="9" t="s">
        <v>2682</v>
      </c>
      <c r="D2442" s="9" t="s">
        <v>2185</v>
      </c>
      <c r="E2442" s="9" t="s">
        <v>196</v>
      </c>
      <c r="F2442" s="9" t="s">
        <v>200</v>
      </c>
      <c r="G2442" s="9" t="s">
        <v>198</v>
      </c>
      <c r="H2442" s="9" t="n">
        <v>750</v>
      </c>
      <c r="I2442" s="29" t="n">
        <v>1</v>
      </c>
      <c r="J2442" s="9" t="n">
        <v>1</v>
      </c>
      <c r="K2442" s="30"/>
      <c r="L2442" s="30"/>
      <c r="M2442" s="30"/>
      <c r="N2442" s="30"/>
      <c r="O2442" s="30"/>
      <c r="P2442" s="30"/>
      <c r="Q2442" s="30"/>
      <c r="R2442" s="30"/>
      <c r="S2442" s="30"/>
      <c r="T2442" s="30"/>
      <c r="U2442" s="21" t="str">
        <f aca="false">IF(COUNT(K2442:T2442)=0,"SOURCE EMPTY / INDUSTRIAL ONLY",IF(MIN(K2442:T2442)=1,"SERVICE READY","HOLD"))</f>
        <v>SOURCE EMPTY / INDUSTRIAL ONLY</v>
      </c>
      <c r="V2442" s="9" t="n">
        <f aca="false">IF(U2442="SERVICE READY",1,0)</f>
        <v>0</v>
      </c>
      <c r="W2442" s="6"/>
      <c r="X2442" s="6"/>
      <c r="Y2442" s="6"/>
      <c r="Z2442" s="6"/>
    </row>
    <row r="2443" customFormat="false" ht="15" hidden="false" customHeight="false" outlineLevel="0" collapsed="false">
      <c r="A2443" s="9" t="s">
        <v>2705</v>
      </c>
      <c r="B2443" s="9" t="s">
        <v>2681</v>
      </c>
      <c r="C2443" s="9" t="s">
        <v>2682</v>
      </c>
      <c r="D2443" s="9" t="s">
        <v>2185</v>
      </c>
      <c r="E2443" s="9" t="s">
        <v>196</v>
      </c>
      <c r="F2443" s="9" t="s">
        <v>203</v>
      </c>
      <c r="G2443" s="9" t="s">
        <v>201</v>
      </c>
      <c r="H2443" s="9" t="n">
        <v>750</v>
      </c>
      <c r="I2443" s="29" t="n">
        <v>1</v>
      </c>
      <c r="J2443" s="9" t="n">
        <v>1</v>
      </c>
      <c r="K2443" s="30"/>
      <c r="L2443" s="30"/>
      <c r="M2443" s="30"/>
      <c r="N2443" s="30"/>
      <c r="O2443" s="30"/>
      <c r="P2443" s="30"/>
      <c r="Q2443" s="30"/>
      <c r="R2443" s="30"/>
      <c r="S2443" s="30"/>
      <c r="T2443" s="30"/>
      <c r="U2443" s="21" t="str">
        <f aca="false">IF(COUNT(K2443:T2443)=0,"SOURCE EMPTY / INDUSTRIAL ONLY",IF(MIN(K2443:T2443)=1,"SERVICE READY","HOLD"))</f>
        <v>SOURCE EMPTY / INDUSTRIAL ONLY</v>
      </c>
      <c r="V2443" s="9" t="n">
        <f aca="false">IF(U2443="SERVICE READY",1,0)</f>
        <v>0</v>
      </c>
      <c r="W2443" s="6"/>
      <c r="X2443" s="6"/>
      <c r="Y2443" s="6"/>
      <c r="Z2443" s="6"/>
    </row>
    <row r="2444" customFormat="false" ht="15" hidden="false" customHeight="false" outlineLevel="0" collapsed="false">
      <c r="A2444" s="9" t="s">
        <v>2706</v>
      </c>
      <c r="B2444" s="9" t="s">
        <v>2681</v>
      </c>
      <c r="C2444" s="9" t="s">
        <v>2682</v>
      </c>
      <c r="D2444" s="9" t="s">
        <v>2185</v>
      </c>
      <c r="E2444" s="9" t="s">
        <v>196</v>
      </c>
      <c r="F2444" s="9" t="s">
        <v>205</v>
      </c>
      <c r="G2444" s="9" t="s">
        <v>198</v>
      </c>
      <c r="H2444" s="9" t="n">
        <v>750</v>
      </c>
      <c r="I2444" s="29" t="n">
        <v>1</v>
      </c>
      <c r="J2444" s="9" t="n">
        <v>1</v>
      </c>
      <c r="K2444" s="30"/>
      <c r="L2444" s="30"/>
      <c r="M2444" s="30"/>
      <c r="N2444" s="30"/>
      <c r="O2444" s="30"/>
      <c r="P2444" s="30"/>
      <c r="Q2444" s="30"/>
      <c r="R2444" s="30"/>
      <c r="S2444" s="30"/>
      <c r="T2444" s="30"/>
      <c r="U2444" s="21" t="str">
        <f aca="false">IF(COUNT(K2444:T2444)=0,"SOURCE EMPTY / INDUSTRIAL ONLY",IF(MIN(K2444:T2444)=1,"SERVICE READY","HOLD"))</f>
        <v>SOURCE EMPTY / INDUSTRIAL ONLY</v>
      </c>
      <c r="V2444" s="9" t="n">
        <f aca="false">IF(U2444="SERVICE READY",1,0)</f>
        <v>0</v>
      </c>
      <c r="W2444" s="6"/>
      <c r="X2444" s="6"/>
      <c r="Y2444" s="6"/>
      <c r="Z2444" s="6"/>
    </row>
    <row r="2445" customFormat="false" ht="15" hidden="false" customHeight="false" outlineLevel="0" collapsed="false">
      <c r="A2445" s="9" t="s">
        <v>2707</v>
      </c>
      <c r="B2445" s="9" t="s">
        <v>2681</v>
      </c>
      <c r="C2445" s="9" t="s">
        <v>2682</v>
      </c>
      <c r="D2445" s="9" t="s">
        <v>2185</v>
      </c>
      <c r="E2445" s="9" t="s">
        <v>196</v>
      </c>
      <c r="F2445" s="9" t="s">
        <v>207</v>
      </c>
      <c r="G2445" s="9" t="s">
        <v>201</v>
      </c>
      <c r="H2445" s="9" t="n">
        <v>750</v>
      </c>
      <c r="I2445" s="29" t="n">
        <v>1</v>
      </c>
      <c r="J2445" s="9" t="n">
        <v>1</v>
      </c>
      <c r="K2445" s="30"/>
      <c r="L2445" s="30"/>
      <c r="M2445" s="30"/>
      <c r="N2445" s="30"/>
      <c r="O2445" s="30"/>
      <c r="P2445" s="30"/>
      <c r="Q2445" s="30"/>
      <c r="R2445" s="30"/>
      <c r="S2445" s="30"/>
      <c r="T2445" s="30"/>
      <c r="U2445" s="21" t="str">
        <f aca="false">IF(COUNT(K2445:T2445)=0,"SOURCE EMPTY / INDUSTRIAL ONLY",IF(MIN(K2445:T2445)=1,"SERVICE READY","HOLD"))</f>
        <v>SOURCE EMPTY / INDUSTRIAL ONLY</v>
      </c>
      <c r="V2445" s="9" t="n">
        <f aca="false">IF(U2445="SERVICE READY",1,0)</f>
        <v>0</v>
      </c>
      <c r="W2445" s="6"/>
      <c r="X2445" s="6"/>
      <c r="Y2445" s="6"/>
      <c r="Z2445" s="6"/>
    </row>
    <row r="2446" customFormat="false" ht="15" hidden="false" customHeight="false" outlineLevel="0" collapsed="false">
      <c r="A2446" s="9" t="s">
        <v>2708</v>
      </c>
      <c r="B2446" s="9" t="s">
        <v>2681</v>
      </c>
      <c r="C2446" s="9" t="s">
        <v>2682</v>
      </c>
      <c r="D2446" s="9" t="s">
        <v>2185</v>
      </c>
      <c r="E2446" s="9" t="s">
        <v>196</v>
      </c>
      <c r="F2446" s="9" t="s">
        <v>209</v>
      </c>
      <c r="G2446" s="9" t="s">
        <v>198</v>
      </c>
      <c r="H2446" s="9" t="n">
        <v>750</v>
      </c>
      <c r="I2446" s="29" t="n">
        <v>1</v>
      </c>
      <c r="J2446" s="9" t="n">
        <v>1</v>
      </c>
      <c r="K2446" s="30"/>
      <c r="L2446" s="30"/>
      <c r="M2446" s="30"/>
      <c r="N2446" s="30"/>
      <c r="O2446" s="30"/>
      <c r="P2446" s="30"/>
      <c r="Q2446" s="30"/>
      <c r="R2446" s="30"/>
      <c r="S2446" s="30"/>
      <c r="T2446" s="30"/>
      <c r="U2446" s="21" t="str">
        <f aca="false">IF(COUNT(K2446:T2446)=0,"SOURCE EMPTY / INDUSTRIAL ONLY",IF(MIN(K2446:T2446)=1,"SERVICE READY","HOLD"))</f>
        <v>SOURCE EMPTY / INDUSTRIAL ONLY</v>
      </c>
      <c r="V2446" s="9" t="n">
        <f aca="false">IF(U2446="SERVICE READY",1,0)</f>
        <v>0</v>
      </c>
      <c r="W2446" s="6"/>
      <c r="X2446" s="6"/>
      <c r="Y2446" s="6"/>
      <c r="Z2446" s="6"/>
    </row>
    <row r="2447" customFormat="false" ht="15" hidden="false" customHeight="false" outlineLevel="0" collapsed="false">
      <c r="A2447" s="9" t="s">
        <v>2709</v>
      </c>
      <c r="B2447" s="9" t="s">
        <v>2681</v>
      </c>
      <c r="C2447" s="9" t="s">
        <v>2682</v>
      </c>
      <c r="D2447" s="9" t="s">
        <v>2185</v>
      </c>
      <c r="E2447" s="9" t="s">
        <v>196</v>
      </c>
      <c r="F2447" s="9" t="s">
        <v>211</v>
      </c>
      <c r="G2447" s="9" t="s">
        <v>201</v>
      </c>
      <c r="H2447" s="9" t="n">
        <v>750</v>
      </c>
      <c r="I2447" s="29" t="n">
        <v>1</v>
      </c>
      <c r="J2447" s="9" t="n">
        <v>1</v>
      </c>
      <c r="K2447" s="30"/>
      <c r="L2447" s="30"/>
      <c r="M2447" s="30"/>
      <c r="N2447" s="30"/>
      <c r="O2447" s="30"/>
      <c r="P2447" s="30"/>
      <c r="Q2447" s="30"/>
      <c r="R2447" s="30"/>
      <c r="S2447" s="30"/>
      <c r="T2447" s="30"/>
      <c r="U2447" s="21" t="str">
        <f aca="false">IF(COUNT(K2447:T2447)=0,"SOURCE EMPTY / INDUSTRIAL ONLY",IF(MIN(K2447:T2447)=1,"SERVICE READY","HOLD"))</f>
        <v>SOURCE EMPTY / INDUSTRIAL ONLY</v>
      </c>
      <c r="V2447" s="9" t="n">
        <f aca="false">IF(U2447="SERVICE READY",1,0)</f>
        <v>0</v>
      </c>
      <c r="W2447" s="6"/>
      <c r="X2447" s="6"/>
      <c r="Y2447" s="6"/>
      <c r="Z2447" s="6"/>
    </row>
    <row r="2448" customFormat="false" ht="15" hidden="false" customHeight="false" outlineLevel="0" collapsed="false">
      <c r="A2448" s="9" t="s">
        <v>2710</v>
      </c>
      <c r="B2448" s="9" t="s">
        <v>2681</v>
      </c>
      <c r="C2448" s="9" t="s">
        <v>2682</v>
      </c>
      <c r="D2448" s="9" t="s">
        <v>2185</v>
      </c>
      <c r="E2448" s="9" t="s">
        <v>196</v>
      </c>
      <c r="F2448" s="9" t="s">
        <v>197</v>
      </c>
      <c r="G2448" s="9" t="s">
        <v>198</v>
      </c>
      <c r="H2448" s="9" t="n">
        <v>750</v>
      </c>
      <c r="I2448" s="29" t="n">
        <v>1</v>
      </c>
      <c r="J2448" s="9" t="n">
        <v>1</v>
      </c>
      <c r="K2448" s="30"/>
      <c r="L2448" s="30"/>
      <c r="M2448" s="30"/>
      <c r="N2448" s="30"/>
      <c r="O2448" s="30"/>
      <c r="P2448" s="30"/>
      <c r="Q2448" s="30"/>
      <c r="R2448" s="30"/>
      <c r="S2448" s="30"/>
      <c r="T2448" s="30"/>
      <c r="U2448" s="21" t="str">
        <f aca="false">IF(COUNT(K2448:T2448)=0,"SOURCE EMPTY / INDUSTRIAL ONLY",IF(MIN(K2448:T2448)=1,"SERVICE READY","HOLD"))</f>
        <v>SOURCE EMPTY / INDUSTRIAL ONLY</v>
      </c>
      <c r="V2448" s="9" t="n">
        <f aca="false">IF(U2448="SERVICE READY",1,0)</f>
        <v>0</v>
      </c>
      <c r="W2448" s="6"/>
      <c r="X2448" s="6"/>
      <c r="Y2448" s="6"/>
      <c r="Z2448" s="6"/>
    </row>
    <row r="2449" customFormat="false" ht="15" hidden="false" customHeight="false" outlineLevel="0" collapsed="false">
      <c r="A2449" s="9" t="s">
        <v>2711</v>
      </c>
      <c r="B2449" s="9" t="s">
        <v>2681</v>
      </c>
      <c r="C2449" s="9" t="s">
        <v>2682</v>
      </c>
      <c r="D2449" s="9" t="s">
        <v>2185</v>
      </c>
      <c r="E2449" s="9" t="s">
        <v>196</v>
      </c>
      <c r="F2449" s="9" t="s">
        <v>200</v>
      </c>
      <c r="G2449" s="9" t="s">
        <v>201</v>
      </c>
      <c r="H2449" s="9" t="n">
        <v>750</v>
      </c>
      <c r="I2449" s="29" t="n">
        <v>1</v>
      </c>
      <c r="J2449" s="9" t="n">
        <v>1</v>
      </c>
      <c r="K2449" s="30"/>
      <c r="L2449" s="30"/>
      <c r="M2449" s="30"/>
      <c r="N2449" s="30"/>
      <c r="O2449" s="30"/>
      <c r="P2449" s="30"/>
      <c r="Q2449" s="30"/>
      <c r="R2449" s="30"/>
      <c r="S2449" s="30"/>
      <c r="T2449" s="30"/>
      <c r="U2449" s="21" t="str">
        <f aca="false">IF(COUNT(K2449:T2449)=0,"SOURCE EMPTY / INDUSTRIAL ONLY",IF(MIN(K2449:T2449)=1,"SERVICE READY","HOLD"))</f>
        <v>SOURCE EMPTY / INDUSTRIAL ONLY</v>
      </c>
      <c r="V2449" s="9" t="n">
        <f aca="false">IF(U2449="SERVICE READY",1,0)</f>
        <v>0</v>
      </c>
      <c r="W2449" s="6"/>
      <c r="X2449" s="6"/>
      <c r="Y2449" s="6"/>
      <c r="Z2449" s="6"/>
    </row>
    <row r="2450" customFormat="false" ht="15" hidden="false" customHeight="false" outlineLevel="0" collapsed="false">
      <c r="A2450" s="9" t="s">
        <v>2712</v>
      </c>
      <c r="B2450" s="9" t="s">
        <v>2681</v>
      </c>
      <c r="C2450" s="9" t="s">
        <v>2682</v>
      </c>
      <c r="D2450" s="9" t="s">
        <v>2185</v>
      </c>
      <c r="E2450" s="9" t="s">
        <v>196</v>
      </c>
      <c r="F2450" s="9" t="s">
        <v>203</v>
      </c>
      <c r="G2450" s="9" t="s">
        <v>221</v>
      </c>
      <c r="H2450" s="9" t="n">
        <v>750</v>
      </c>
      <c r="I2450" s="29" t="n">
        <v>1</v>
      </c>
      <c r="J2450" s="9" t="n">
        <v>1</v>
      </c>
      <c r="K2450" s="30"/>
      <c r="L2450" s="30"/>
      <c r="M2450" s="30"/>
      <c r="N2450" s="30"/>
      <c r="O2450" s="30"/>
      <c r="P2450" s="30"/>
      <c r="Q2450" s="30"/>
      <c r="R2450" s="30"/>
      <c r="S2450" s="30"/>
      <c r="T2450" s="30"/>
      <c r="U2450" s="21" t="str">
        <f aca="false">IF(COUNT(K2450:T2450)=0,"SOURCE EMPTY / INDUSTRIAL ONLY",IF(MIN(K2450:T2450)=1,"SERVICE READY","HOLD"))</f>
        <v>SOURCE EMPTY / INDUSTRIAL ONLY</v>
      </c>
      <c r="V2450" s="9" t="n">
        <f aca="false">IF(U2450="SERVICE READY",1,0)</f>
        <v>0</v>
      </c>
      <c r="W2450" s="6"/>
      <c r="X2450" s="6"/>
      <c r="Y2450" s="6"/>
      <c r="Z2450" s="6"/>
    </row>
    <row r="2451" customFormat="false" ht="15" hidden="false" customHeight="false" outlineLevel="0" collapsed="false">
      <c r="A2451" s="9" t="s">
        <v>2713</v>
      </c>
      <c r="B2451" s="9" t="s">
        <v>2681</v>
      </c>
      <c r="C2451" s="9" t="s">
        <v>2682</v>
      </c>
      <c r="D2451" s="9" t="s">
        <v>2185</v>
      </c>
      <c r="E2451" s="9" t="s">
        <v>196</v>
      </c>
      <c r="F2451" s="9" t="s">
        <v>205</v>
      </c>
      <c r="G2451" s="9" t="s">
        <v>221</v>
      </c>
      <c r="H2451" s="9" t="n">
        <v>750</v>
      </c>
      <c r="I2451" s="29" t="n">
        <v>1</v>
      </c>
      <c r="J2451" s="9" t="n">
        <v>1</v>
      </c>
      <c r="K2451" s="30"/>
      <c r="L2451" s="30"/>
      <c r="M2451" s="30"/>
      <c r="N2451" s="30"/>
      <c r="O2451" s="30"/>
      <c r="P2451" s="30"/>
      <c r="Q2451" s="30"/>
      <c r="R2451" s="30"/>
      <c r="S2451" s="30"/>
      <c r="T2451" s="30"/>
      <c r="U2451" s="21" t="str">
        <f aca="false">IF(COUNT(K2451:T2451)=0,"SOURCE EMPTY / INDUSTRIAL ONLY",IF(MIN(K2451:T2451)=1,"SERVICE READY","HOLD"))</f>
        <v>SOURCE EMPTY / INDUSTRIAL ONLY</v>
      </c>
      <c r="V2451" s="9" t="n">
        <f aca="false">IF(U2451="SERVICE READY",1,0)</f>
        <v>0</v>
      </c>
      <c r="W2451" s="6"/>
      <c r="X2451" s="6"/>
      <c r="Y2451" s="6"/>
      <c r="Z2451" s="6"/>
    </row>
    <row r="2452" customFormat="false" ht="15" hidden="false" customHeight="false" outlineLevel="0" collapsed="false">
      <c r="A2452" s="9" t="s">
        <v>2714</v>
      </c>
      <c r="B2452" s="9" t="s">
        <v>2681</v>
      </c>
      <c r="C2452" s="9" t="s">
        <v>2682</v>
      </c>
      <c r="D2452" s="9" t="s">
        <v>2185</v>
      </c>
      <c r="E2452" s="9" t="s">
        <v>196</v>
      </c>
      <c r="F2452" s="9" t="s">
        <v>207</v>
      </c>
      <c r="G2452" s="9" t="s">
        <v>221</v>
      </c>
      <c r="H2452" s="9" t="n">
        <v>750</v>
      </c>
      <c r="I2452" s="29" t="n">
        <v>1</v>
      </c>
      <c r="J2452" s="9" t="n">
        <v>1</v>
      </c>
      <c r="K2452" s="30"/>
      <c r="L2452" s="30"/>
      <c r="M2452" s="30"/>
      <c r="N2452" s="30"/>
      <c r="O2452" s="30"/>
      <c r="P2452" s="30"/>
      <c r="Q2452" s="30"/>
      <c r="R2452" s="30"/>
      <c r="S2452" s="30"/>
      <c r="T2452" s="30"/>
      <c r="U2452" s="21" t="str">
        <f aca="false">IF(COUNT(K2452:T2452)=0,"SOURCE EMPTY / INDUSTRIAL ONLY",IF(MIN(K2452:T2452)=1,"SERVICE READY","HOLD"))</f>
        <v>SOURCE EMPTY / INDUSTRIAL ONLY</v>
      </c>
      <c r="V2452" s="9" t="n">
        <f aca="false">IF(U2452="SERVICE READY",1,0)</f>
        <v>0</v>
      </c>
      <c r="W2452" s="6"/>
      <c r="X2452" s="6"/>
      <c r="Y2452" s="6"/>
      <c r="Z2452" s="6"/>
    </row>
    <row r="2453" customFormat="false" ht="15" hidden="false" customHeight="false" outlineLevel="0" collapsed="false">
      <c r="A2453" s="9" t="s">
        <v>2715</v>
      </c>
      <c r="B2453" s="9" t="s">
        <v>2681</v>
      </c>
      <c r="C2453" s="9" t="s">
        <v>2682</v>
      </c>
      <c r="D2453" s="9" t="s">
        <v>2185</v>
      </c>
      <c r="E2453" s="9" t="s">
        <v>196</v>
      </c>
      <c r="F2453" s="9" t="s">
        <v>209</v>
      </c>
      <c r="G2453" s="9" t="s">
        <v>221</v>
      </c>
      <c r="H2453" s="9" t="n">
        <v>750</v>
      </c>
      <c r="I2453" s="29" t="n">
        <v>1</v>
      </c>
      <c r="J2453" s="9" t="n">
        <v>1</v>
      </c>
      <c r="K2453" s="30"/>
      <c r="L2453" s="30"/>
      <c r="M2453" s="30"/>
      <c r="N2453" s="30"/>
      <c r="O2453" s="30"/>
      <c r="P2453" s="30"/>
      <c r="Q2453" s="30"/>
      <c r="R2453" s="30"/>
      <c r="S2453" s="30"/>
      <c r="T2453" s="30"/>
      <c r="U2453" s="21" t="str">
        <f aca="false">IF(COUNT(K2453:T2453)=0,"SOURCE EMPTY / INDUSTRIAL ONLY",IF(MIN(K2453:T2453)=1,"SERVICE READY","HOLD"))</f>
        <v>SOURCE EMPTY / INDUSTRIAL ONLY</v>
      </c>
      <c r="V2453" s="9" t="n">
        <f aca="false">IF(U2453="SERVICE READY",1,0)</f>
        <v>0</v>
      </c>
      <c r="W2453" s="6"/>
      <c r="X2453" s="6"/>
      <c r="Y2453" s="6"/>
      <c r="Z2453" s="6"/>
    </row>
    <row r="2454" customFormat="false" ht="15" hidden="false" customHeight="false" outlineLevel="0" collapsed="false">
      <c r="A2454" s="9" t="s">
        <v>2716</v>
      </c>
      <c r="B2454" s="9" t="s">
        <v>2681</v>
      </c>
      <c r="C2454" s="9" t="s">
        <v>2682</v>
      </c>
      <c r="D2454" s="9" t="s">
        <v>2185</v>
      </c>
      <c r="E2454" s="9" t="s">
        <v>196</v>
      </c>
      <c r="F2454" s="9" t="s">
        <v>211</v>
      </c>
      <c r="G2454" s="9" t="s">
        <v>221</v>
      </c>
      <c r="H2454" s="9" t="n">
        <v>750</v>
      </c>
      <c r="I2454" s="29" t="n">
        <v>1</v>
      </c>
      <c r="J2454" s="9" t="n">
        <v>1</v>
      </c>
      <c r="K2454" s="30"/>
      <c r="L2454" s="30"/>
      <c r="M2454" s="30"/>
      <c r="N2454" s="30"/>
      <c r="O2454" s="30"/>
      <c r="P2454" s="30"/>
      <c r="Q2454" s="30"/>
      <c r="R2454" s="30"/>
      <c r="S2454" s="30"/>
      <c r="T2454" s="30"/>
      <c r="U2454" s="21" t="str">
        <f aca="false">IF(COUNT(K2454:T2454)=0,"SOURCE EMPTY / INDUSTRIAL ONLY",IF(MIN(K2454:T2454)=1,"SERVICE READY","HOLD"))</f>
        <v>SOURCE EMPTY / INDUSTRIAL ONLY</v>
      </c>
      <c r="V2454" s="9" t="n">
        <f aca="false">IF(U2454="SERVICE READY",1,0)</f>
        <v>0</v>
      </c>
      <c r="W2454" s="6"/>
      <c r="X2454" s="6"/>
      <c r="Y2454" s="6"/>
      <c r="Z2454" s="6"/>
    </row>
    <row r="2455" customFormat="false" ht="15" hidden="false" customHeight="false" outlineLevel="0" collapsed="false">
      <c r="A2455" s="9" t="s">
        <v>2717</v>
      </c>
      <c r="B2455" s="9" t="s">
        <v>2681</v>
      </c>
      <c r="C2455" s="9" t="s">
        <v>2682</v>
      </c>
      <c r="D2455" s="9" t="s">
        <v>2185</v>
      </c>
      <c r="E2455" s="9" t="s">
        <v>196</v>
      </c>
      <c r="F2455" s="9" t="s">
        <v>197</v>
      </c>
      <c r="G2455" s="9" t="s">
        <v>221</v>
      </c>
      <c r="H2455" s="9" t="n">
        <v>750</v>
      </c>
      <c r="I2455" s="29" t="n">
        <v>1</v>
      </c>
      <c r="J2455" s="9" t="n">
        <v>1</v>
      </c>
      <c r="K2455" s="30"/>
      <c r="L2455" s="30"/>
      <c r="M2455" s="30"/>
      <c r="N2455" s="30"/>
      <c r="O2455" s="30"/>
      <c r="P2455" s="30"/>
      <c r="Q2455" s="30"/>
      <c r="R2455" s="30"/>
      <c r="S2455" s="30"/>
      <c r="T2455" s="30"/>
      <c r="U2455" s="21" t="str">
        <f aca="false">IF(COUNT(K2455:T2455)=0,"SOURCE EMPTY / INDUSTRIAL ONLY",IF(MIN(K2455:T2455)=1,"SERVICE READY","HOLD"))</f>
        <v>SOURCE EMPTY / INDUSTRIAL ONLY</v>
      </c>
      <c r="V2455" s="9" t="n">
        <f aca="false">IF(U2455="SERVICE READY",1,0)</f>
        <v>0</v>
      </c>
      <c r="W2455" s="6"/>
      <c r="X2455" s="6"/>
      <c r="Y2455" s="6"/>
      <c r="Z2455" s="6"/>
    </row>
    <row r="2456" customFormat="false" ht="15" hidden="false" customHeight="false" outlineLevel="0" collapsed="false">
      <c r="A2456" s="9" t="s">
        <v>2718</v>
      </c>
      <c r="B2456" s="9" t="s">
        <v>2681</v>
      </c>
      <c r="C2456" s="9" t="s">
        <v>2682</v>
      </c>
      <c r="D2456" s="9" t="s">
        <v>2185</v>
      </c>
      <c r="E2456" s="9" t="s">
        <v>196</v>
      </c>
      <c r="F2456" s="9" t="s">
        <v>200</v>
      </c>
      <c r="G2456" s="9" t="s">
        <v>221</v>
      </c>
      <c r="H2456" s="9" t="n">
        <v>750</v>
      </c>
      <c r="I2456" s="29" t="n">
        <v>1</v>
      </c>
      <c r="J2456" s="9" t="n">
        <v>1</v>
      </c>
      <c r="K2456" s="30"/>
      <c r="L2456" s="30"/>
      <c r="M2456" s="30"/>
      <c r="N2456" s="30"/>
      <c r="O2456" s="30"/>
      <c r="P2456" s="30"/>
      <c r="Q2456" s="30"/>
      <c r="R2456" s="30"/>
      <c r="S2456" s="30"/>
      <c r="T2456" s="30"/>
      <c r="U2456" s="21" t="str">
        <f aca="false">IF(COUNT(K2456:T2456)=0,"SOURCE EMPTY / INDUSTRIAL ONLY",IF(MIN(K2456:T2456)=1,"SERVICE READY","HOLD"))</f>
        <v>SOURCE EMPTY / INDUSTRIAL ONLY</v>
      </c>
      <c r="V2456" s="9" t="n">
        <f aca="false">IF(U2456="SERVICE READY",1,0)</f>
        <v>0</v>
      </c>
      <c r="W2456" s="6"/>
      <c r="X2456" s="6"/>
      <c r="Y2456" s="6"/>
      <c r="Z2456" s="6"/>
    </row>
    <row r="2457" customFormat="false" ht="15" hidden="false" customHeight="false" outlineLevel="0" collapsed="false">
      <c r="A2457" s="9" t="s">
        <v>2719</v>
      </c>
      <c r="B2457" s="9" t="s">
        <v>2681</v>
      </c>
      <c r="C2457" s="9" t="s">
        <v>2682</v>
      </c>
      <c r="D2457" s="9" t="s">
        <v>2185</v>
      </c>
      <c r="E2457" s="9" t="s">
        <v>196</v>
      </c>
      <c r="F2457" s="9" t="s">
        <v>203</v>
      </c>
      <c r="G2457" s="9" t="s">
        <v>221</v>
      </c>
      <c r="H2457" s="9" t="n">
        <v>750</v>
      </c>
      <c r="I2457" s="29" t="n">
        <v>1</v>
      </c>
      <c r="J2457" s="9" t="n">
        <v>1</v>
      </c>
      <c r="K2457" s="30"/>
      <c r="L2457" s="30"/>
      <c r="M2457" s="30"/>
      <c r="N2457" s="30"/>
      <c r="O2457" s="30"/>
      <c r="P2457" s="30"/>
      <c r="Q2457" s="30"/>
      <c r="R2457" s="30"/>
      <c r="S2457" s="30"/>
      <c r="T2457" s="30"/>
      <c r="U2457" s="21" t="str">
        <f aca="false">IF(COUNT(K2457:T2457)=0,"SOURCE EMPTY / INDUSTRIAL ONLY",IF(MIN(K2457:T2457)=1,"SERVICE READY","HOLD"))</f>
        <v>SOURCE EMPTY / INDUSTRIAL ONLY</v>
      </c>
      <c r="V2457" s="9" t="n">
        <f aca="false">IF(U2457="SERVICE READY",1,0)</f>
        <v>0</v>
      </c>
      <c r="W2457" s="6"/>
      <c r="X2457" s="6"/>
      <c r="Y2457" s="6"/>
      <c r="Z2457" s="6"/>
    </row>
    <row r="2458" customFormat="false" ht="15" hidden="false" customHeight="false" outlineLevel="0" collapsed="false">
      <c r="A2458" s="9" t="s">
        <v>2720</v>
      </c>
      <c r="B2458" s="9" t="s">
        <v>2681</v>
      </c>
      <c r="C2458" s="9" t="s">
        <v>2682</v>
      </c>
      <c r="D2458" s="9" t="s">
        <v>2185</v>
      </c>
      <c r="E2458" s="9" t="s">
        <v>196</v>
      </c>
      <c r="F2458" s="9" t="s">
        <v>205</v>
      </c>
      <c r="G2458" s="9" t="s">
        <v>221</v>
      </c>
      <c r="H2458" s="9" t="n">
        <v>750</v>
      </c>
      <c r="I2458" s="29" t="n">
        <v>1</v>
      </c>
      <c r="J2458" s="9" t="n">
        <v>1</v>
      </c>
      <c r="K2458" s="30"/>
      <c r="L2458" s="30"/>
      <c r="M2458" s="30"/>
      <c r="N2458" s="30"/>
      <c r="O2458" s="30"/>
      <c r="P2458" s="30"/>
      <c r="Q2458" s="30"/>
      <c r="R2458" s="30"/>
      <c r="S2458" s="30"/>
      <c r="T2458" s="30"/>
      <c r="U2458" s="21" t="str">
        <f aca="false">IF(COUNT(K2458:T2458)=0,"SOURCE EMPTY / INDUSTRIAL ONLY",IF(MIN(K2458:T2458)=1,"SERVICE READY","HOLD"))</f>
        <v>SOURCE EMPTY / INDUSTRIAL ONLY</v>
      </c>
      <c r="V2458" s="9" t="n">
        <f aca="false">IF(U2458="SERVICE READY",1,0)</f>
        <v>0</v>
      </c>
      <c r="W2458" s="6"/>
      <c r="X2458" s="6"/>
      <c r="Y2458" s="6"/>
      <c r="Z2458" s="6"/>
    </row>
    <row r="2459" customFormat="false" ht="15" hidden="false" customHeight="false" outlineLevel="0" collapsed="false">
      <c r="A2459" s="9" t="s">
        <v>2721</v>
      </c>
      <c r="B2459" s="9" t="s">
        <v>2681</v>
      </c>
      <c r="C2459" s="9" t="s">
        <v>2682</v>
      </c>
      <c r="D2459" s="9" t="s">
        <v>2185</v>
      </c>
      <c r="E2459" s="9" t="s">
        <v>196</v>
      </c>
      <c r="F2459" s="9" t="s">
        <v>207</v>
      </c>
      <c r="G2459" s="9" t="s">
        <v>221</v>
      </c>
      <c r="H2459" s="9" t="n">
        <v>750</v>
      </c>
      <c r="I2459" s="29" t="n">
        <v>1</v>
      </c>
      <c r="J2459" s="9" t="n">
        <v>1</v>
      </c>
      <c r="K2459" s="30"/>
      <c r="L2459" s="30"/>
      <c r="M2459" s="30"/>
      <c r="N2459" s="30"/>
      <c r="O2459" s="30"/>
      <c r="P2459" s="30"/>
      <c r="Q2459" s="30"/>
      <c r="R2459" s="30"/>
      <c r="S2459" s="30"/>
      <c r="T2459" s="30"/>
      <c r="U2459" s="21" t="str">
        <f aca="false">IF(COUNT(K2459:T2459)=0,"SOURCE EMPTY / INDUSTRIAL ONLY",IF(MIN(K2459:T2459)=1,"SERVICE READY","HOLD"))</f>
        <v>SOURCE EMPTY / INDUSTRIAL ONLY</v>
      </c>
      <c r="V2459" s="9" t="n">
        <f aca="false">IF(U2459="SERVICE READY",1,0)</f>
        <v>0</v>
      </c>
      <c r="W2459" s="6"/>
      <c r="X2459" s="6"/>
      <c r="Y2459" s="6"/>
      <c r="Z2459" s="6"/>
    </row>
    <row r="2460" customFormat="false" ht="15" hidden="false" customHeight="false" outlineLevel="0" collapsed="false">
      <c r="A2460" s="9" t="s">
        <v>2722</v>
      </c>
      <c r="B2460" s="9" t="s">
        <v>2681</v>
      </c>
      <c r="C2460" s="9" t="s">
        <v>2682</v>
      </c>
      <c r="D2460" s="9" t="s">
        <v>2185</v>
      </c>
      <c r="E2460" s="9" t="s">
        <v>196</v>
      </c>
      <c r="F2460" s="9" t="s">
        <v>209</v>
      </c>
      <c r="G2460" s="9" t="s">
        <v>221</v>
      </c>
      <c r="H2460" s="9" t="n">
        <v>750</v>
      </c>
      <c r="I2460" s="29" t="n">
        <v>1</v>
      </c>
      <c r="J2460" s="9" t="n">
        <v>1</v>
      </c>
      <c r="K2460" s="30"/>
      <c r="L2460" s="30"/>
      <c r="M2460" s="30"/>
      <c r="N2460" s="30"/>
      <c r="O2460" s="30"/>
      <c r="P2460" s="30"/>
      <c r="Q2460" s="30"/>
      <c r="R2460" s="30"/>
      <c r="S2460" s="30"/>
      <c r="T2460" s="30"/>
      <c r="U2460" s="21" t="str">
        <f aca="false">IF(COUNT(K2460:T2460)=0,"SOURCE EMPTY / INDUSTRIAL ONLY",IF(MIN(K2460:T2460)=1,"SERVICE READY","HOLD"))</f>
        <v>SOURCE EMPTY / INDUSTRIAL ONLY</v>
      </c>
      <c r="V2460" s="9" t="n">
        <f aca="false">IF(U2460="SERVICE READY",1,0)</f>
        <v>0</v>
      </c>
      <c r="W2460" s="6"/>
      <c r="X2460" s="6"/>
      <c r="Y2460" s="6"/>
      <c r="Z2460" s="6"/>
    </row>
    <row r="2461" customFormat="false" ht="15" hidden="false" customHeight="false" outlineLevel="0" collapsed="false">
      <c r="A2461" s="9" t="s">
        <v>2723</v>
      </c>
      <c r="B2461" s="9" t="s">
        <v>2681</v>
      </c>
      <c r="C2461" s="9" t="s">
        <v>2682</v>
      </c>
      <c r="D2461" s="9" t="s">
        <v>2185</v>
      </c>
      <c r="E2461" s="9" t="s">
        <v>196</v>
      </c>
      <c r="F2461" s="9" t="s">
        <v>211</v>
      </c>
      <c r="G2461" s="9" t="s">
        <v>221</v>
      </c>
      <c r="H2461" s="9" t="n">
        <v>750</v>
      </c>
      <c r="I2461" s="29" t="n">
        <v>1</v>
      </c>
      <c r="J2461" s="9" t="n">
        <v>1</v>
      </c>
      <c r="K2461" s="30"/>
      <c r="L2461" s="30"/>
      <c r="M2461" s="30"/>
      <c r="N2461" s="30"/>
      <c r="O2461" s="30"/>
      <c r="P2461" s="30"/>
      <c r="Q2461" s="30"/>
      <c r="R2461" s="30"/>
      <c r="S2461" s="30"/>
      <c r="T2461" s="30"/>
      <c r="U2461" s="21" t="str">
        <f aca="false">IF(COUNT(K2461:T2461)=0,"SOURCE EMPTY / INDUSTRIAL ONLY",IF(MIN(K2461:T2461)=1,"SERVICE READY","HOLD"))</f>
        <v>SOURCE EMPTY / INDUSTRIAL ONLY</v>
      </c>
      <c r="V2461" s="9" t="n">
        <f aca="false">IF(U2461="SERVICE READY",1,0)</f>
        <v>0</v>
      </c>
      <c r="W2461" s="6"/>
      <c r="X2461" s="6"/>
      <c r="Y2461" s="6"/>
      <c r="Z2461" s="6"/>
    </row>
    <row r="2462" customFormat="false" ht="15" hidden="false" customHeight="false" outlineLevel="0" collapsed="false">
      <c r="A2462" s="9" t="s">
        <v>2724</v>
      </c>
      <c r="B2462" s="9" t="s">
        <v>2681</v>
      </c>
      <c r="C2462" s="9" t="s">
        <v>2682</v>
      </c>
      <c r="D2462" s="9" t="s">
        <v>2185</v>
      </c>
      <c r="E2462" s="9" t="s">
        <v>196</v>
      </c>
      <c r="F2462" s="9" t="s">
        <v>197</v>
      </c>
      <c r="G2462" s="9" t="s">
        <v>221</v>
      </c>
      <c r="H2462" s="9" t="n">
        <v>750</v>
      </c>
      <c r="I2462" s="29" t="n">
        <v>1</v>
      </c>
      <c r="J2462" s="9" t="n">
        <v>1</v>
      </c>
      <c r="K2462" s="30"/>
      <c r="L2462" s="30"/>
      <c r="M2462" s="30"/>
      <c r="N2462" s="30"/>
      <c r="O2462" s="30"/>
      <c r="P2462" s="30"/>
      <c r="Q2462" s="30"/>
      <c r="R2462" s="30"/>
      <c r="S2462" s="30"/>
      <c r="T2462" s="30"/>
      <c r="U2462" s="21" t="str">
        <f aca="false">IF(COUNT(K2462:T2462)=0,"SOURCE EMPTY / INDUSTRIAL ONLY",IF(MIN(K2462:T2462)=1,"SERVICE READY","HOLD"))</f>
        <v>SOURCE EMPTY / INDUSTRIAL ONLY</v>
      </c>
      <c r="V2462" s="9" t="n">
        <f aca="false">IF(U2462="SERVICE READY",1,0)</f>
        <v>0</v>
      </c>
      <c r="W2462" s="6"/>
      <c r="X2462" s="6"/>
      <c r="Y2462" s="6"/>
      <c r="Z2462" s="6"/>
    </row>
    <row r="2463" customFormat="false" ht="15" hidden="false" customHeight="false" outlineLevel="0" collapsed="false">
      <c r="A2463" s="9" t="s">
        <v>2725</v>
      </c>
      <c r="B2463" s="9" t="s">
        <v>2681</v>
      </c>
      <c r="C2463" s="9" t="s">
        <v>2682</v>
      </c>
      <c r="D2463" s="9" t="s">
        <v>2185</v>
      </c>
      <c r="E2463" s="9" t="s">
        <v>196</v>
      </c>
      <c r="F2463" s="9" t="s">
        <v>200</v>
      </c>
      <c r="G2463" s="9" t="s">
        <v>221</v>
      </c>
      <c r="H2463" s="9" t="n">
        <v>750</v>
      </c>
      <c r="I2463" s="29" t="n">
        <v>1</v>
      </c>
      <c r="J2463" s="9" t="n">
        <v>1</v>
      </c>
      <c r="K2463" s="30"/>
      <c r="L2463" s="30"/>
      <c r="M2463" s="30"/>
      <c r="N2463" s="30"/>
      <c r="O2463" s="30"/>
      <c r="P2463" s="30"/>
      <c r="Q2463" s="30"/>
      <c r="R2463" s="30"/>
      <c r="S2463" s="30"/>
      <c r="T2463" s="30"/>
      <c r="U2463" s="21" t="str">
        <f aca="false">IF(COUNT(K2463:T2463)=0,"SOURCE EMPTY / INDUSTRIAL ONLY",IF(MIN(K2463:T2463)=1,"SERVICE READY","HOLD"))</f>
        <v>SOURCE EMPTY / INDUSTRIAL ONLY</v>
      </c>
      <c r="V2463" s="9" t="n">
        <f aca="false">IF(U2463="SERVICE READY",1,0)</f>
        <v>0</v>
      </c>
      <c r="W2463" s="6"/>
      <c r="X2463" s="6"/>
      <c r="Y2463" s="6"/>
      <c r="Z2463" s="6"/>
    </row>
    <row r="2464" customFormat="false" ht="15" hidden="false" customHeight="false" outlineLevel="0" collapsed="false">
      <c r="A2464" s="9" t="s">
        <v>2726</v>
      </c>
      <c r="B2464" s="9" t="s">
        <v>2681</v>
      </c>
      <c r="C2464" s="9" t="s">
        <v>2682</v>
      </c>
      <c r="D2464" s="9" t="s">
        <v>2185</v>
      </c>
      <c r="E2464" s="9" t="s">
        <v>196</v>
      </c>
      <c r="F2464" s="9" t="s">
        <v>203</v>
      </c>
      <c r="G2464" s="9" t="s">
        <v>221</v>
      </c>
      <c r="H2464" s="9" t="n">
        <v>750</v>
      </c>
      <c r="I2464" s="29" t="n">
        <v>1</v>
      </c>
      <c r="J2464" s="9" t="n">
        <v>1</v>
      </c>
      <c r="K2464" s="30"/>
      <c r="L2464" s="30"/>
      <c r="M2464" s="30"/>
      <c r="N2464" s="30"/>
      <c r="O2464" s="30"/>
      <c r="P2464" s="30"/>
      <c r="Q2464" s="30"/>
      <c r="R2464" s="30"/>
      <c r="S2464" s="30"/>
      <c r="T2464" s="30"/>
      <c r="U2464" s="21" t="str">
        <f aca="false">IF(COUNT(K2464:T2464)=0,"SOURCE EMPTY / INDUSTRIAL ONLY",IF(MIN(K2464:T2464)=1,"SERVICE READY","HOLD"))</f>
        <v>SOURCE EMPTY / INDUSTRIAL ONLY</v>
      </c>
      <c r="V2464" s="9" t="n">
        <f aca="false">IF(U2464="SERVICE READY",1,0)</f>
        <v>0</v>
      </c>
      <c r="W2464" s="6"/>
      <c r="X2464" s="6"/>
      <c r="Y2464" s="6"/>
      <c r="Z2464" s="6"/>
    </row>
    <row r="2465" customFormat="false" ht="15" hidden="false" customHeight="false" outlineLevel="0" collapsed="false">
      <c r="A2465" s="9" t="s">
        <v>2727</v>
      </c>
      <c r="B2465" s="9" t="s">
        <v>2681</v>
      </c>
      <c r="C2465" s="9" t="s">
        <v>2682</v>
      </c>
      <c r="D2465" s="9" t="s">
        <v>2185</v>
      </c>
      <c r="E2465" s="9" t="s">
        <v>196</v>
      </c>
      <c r="F2465" s="9" t="s">
        <v>205</v>
      </c>
      <c r="G2465" s="9" t="s">
        <v>221</v>
      </c>
      <c r="H2465" s="9" t="n">
        <v>750</v>
      </c>
      <c r="I2465" s="29" t="n">
        <v>1</v>
      </c>
      <c r="J2465" s="9" t="n">
        <v>1</v>
      </c>
      <c r="K2465" s="30"/>
      <c r="L2465" s="30"/>
      <c r="M2465" s="30"/>
      <c r="N2465" s="30"/>
      <c r="O2465" s="30"/>
      <c r="P2465" s="30"/>
      <c r="Q2465" s="30"/>
      <c r="R2465" s="30"/>
      <c r="S2465" s="30"/>
      <c r="T2465" s="30"/>
      <c r="U2465" s="21" t="str">
        <f aca="false">IF(COUNT(K2465:T2465)=0,"SOURCE EMPTY / INDUSTRIAL ONLY",IF(MIN(K2465:T2465)=1,"SERVICE READY","HOLD"))</f>
        <v>SOURCE EMPTY / INDUSTRIAL ONLY</v>
      </c>
      <c r="V2465" s="9" t="n">
        <f aca="false">IF(U2465="SERVICE READY",1,0)</f>
        <v>0</v>
      </c>
      <c r="W2465" s="6"/>
      <c r="X2465" s="6"/>
      <c r="Y2465" s="6"/>
      <c r="Z2465" s="6"/>
    </row>
    <row r="2466" customFormat="false" ht="15" hidden="false" customHeight="false" outlineLevel="0" collapsed="false">
      <c r="A2466" s="9" t="s">
        <v>2728</v>
      </c>
      <c r="B2466" s="9" t="s">
        <v>2681</v>
      </c>
      <c r="C2466" s="9" t="s">
        <v>2682</v>
      </c>
      <c r="D2466" s="9" t="s">
        <v>2185</v>
      </c>
      <c r="E2466" s="9" t="s">
        <v>196</v>
      </c>
      <c r="F2466" s="9" t="s">
        <v>207</v>
      </c>
      <c r="G2466" s="9" t="s">
        <v>221</v>
      </c>
      <c r="H2466" s="9" t="n">
        <v>750</v>
      </c>
      <c r="I2466" s="29" t="n">
        <v>1</v>
      </c>
      <c r="J2466" s="9" t="n">
        <v>1</v>
      </c>
      <c r="K2466" s="30"/>
      <c r="L2466" s="30"/>
      <c r="M2466" s="30"/>
      <c r="N2466" s="30"/>
      <c r="O2466" s="30"/>
      <c r="P2466" s="30"/>
      <c r="Q2466" s="30"/>
      <c r="R2466" s="30"/>
      <c r="S2466" s="30"/>
      <c r="T2466" s="30"/>
      <c r="U2466" s="21" t="str">
        <f aca="false">IF(COUNT(K2466:T2466)=0,"SOURCE EMPTY / INDUSTRIAL ONLY",IF(MIN(K2466:T2466)=1,"SERVICE READY","HOLD"))</f>
        <v>SOURCE EMPTY / INDUSTRIAL ONLY</v>
      </c>
      <c r="V2466" s="9" t="n">
        <f aca="false">IF(U2466="SERVICE READY",1,0)</f>
        <v>0</v>
      </c>
      <c r="W2466" s="6"/>
      <c r="X2466" s="6"/>
      <c r="Y2466" s="6"/>
      <c r="Z2466" s="6"/>
    </row>
    <row r="2467" customFormat="false" ht="15" hidden="false" customHeight="false" outlineLevel="0" collapsed="false">
      <c r="A2467" s="9" t="s">
        <v>2729</v>
      </c>
      <c r="B2467" s="9" t="s">
        <v>2681</v>
      </c>
      <c r="C2467" s="9" t="s">
        <v>2682</v>
      </c>
      <c r="D2467" s="9" t="s">
        <v>2185</v>
      </c>
      <c r="E2467" s="9" t="s">
        <v>196</v>
      </c>
      <c r="F2467" s="9" t="s">
        <v>209</v>
      </c>
      <c r="G2467" s="9" t="s">
        <v>221</v>
      </c>
      <c r="H2467" s="9" t="n">
        <v>750</v>
      </c>
      <c r="I2467" s="29" t="n">
        <v>1</v>
      </c>
      <c r="J2467" s="9" t="n">
        <v>1</v>
      </c>
      <c r="K2467" s="30"/>
      <c r="L2467" s="30"/>
      <c r="M2467" s="30"/>
      <c r="N2467" s="30"/>
      <c r="O2467" s="30"/>
      <c r="P2467" s="30"/>
      <c r="Q2467" s="30"/>
      <c r="R2467" s="30"/>
      <c r="S2467" s="30"/>
      <c r="T2467" s="30"/>
      <c r="U2467" s="21" t="str">
        <f aca="false">IF(COUNT(K2467:T2467)=0,"SOURCE EMPTY / INDUSTRIAL ONLY",IF(MIN(K2467:T2467)=1,"SERVICE READY","HOLD"))</f>
        <v>SOURCE EMPTY / INDUSTRIAL ONLY</v>
      </c>
      <c r="V2467" s="9" t="n">
        <f aca="false">IF(U2467="SERVICE READY",1,0)</f>
        <v>0</v>
      </c>
      <c r="W2467" s="6"/>
      <c r="X2467" s="6"/>
      <c r="Y2467" s="6"/>
      <c r="Z2467" s="6"/>
    </row>
    <row r="2468" customFormat="false" ht="15" hidden="false" customHeight="false" outlineLevel="0" collapsed="false">
      <c r="A2468" s="9" t="s">
        <v>2730</v>
      </c>
      <c r="B2468" s="9" t="s">
        <v>2681</v>
      </c>
      <c r="C2468" s="9" t="s">
        <v>2682</v>
      </c>
      <c r="D2468" s="9" t="s">
        <v>2185</v>
      </c>
      <c r="E2468" s="9" t="s">
        <v>196</v>
      </c>
      <c r="F2468" s="9" t="s">
        <v>211</v>
      </c>
      <c r="G2468" s="9" t="s">
        <v>221</v>
      </c>
      <c r="H2468" s="9" t="n">
        <v>750</v>
      </c>
      <c r="I2468" s="29" t="n">
        <v>1</v>
      </c>
      <c r="J2468" s="9" t="n">
        <v>1</v>
      </c>
      <c r="K2468" s="30"/>
      <c r="L2468" s="30"/>
      <c r="M2468" s="30"/>
      <c r="N2468" s="30"/>
      <c r="O2468" s="30"/>
      <c r="P2468" s="30"/>
      <c r="Q2468" s="30"/>
      <c r="R2468" s="30"/>
      <c r="S2468" s="30"/>
      <c r="T2468" s="30"/>
      <c r="U2468" s="21" t="str">
        <f aca="false">IF(COUNT(K2468:T2468)=0,"SOURCE EMPTY / INDUSTRIAL ONLY",IF(MIN(K2468:T2468)=1,"SERVICE READY","HOLD"))</f>
        <v>SOURCE EMPTY / INDUSTRIAL ONLY</v>
      </c>
      <c r="V2468" s="9" t="n">
        <f aca="false">IF(U2468="SERVICE READY",1,0)</f>
        <v>0</v>
      </c>
      <c r="W2468" s="6"/>
      <c r="X2468" s="6"/>
      <c r="Y2468" s="6"/>
      <c r="Z2468" s="6"/>
    </row>
    <row r="2469" customFormat="false" ht="15" hidden="false" customHeight="false" outlineLevel="0" collapsed="false">
      <c r="A2469" s="9" t="s">
        <v>2731</v>
      </c>
      <c r="B2469" s="9" t="s">
        <v>2681</v>
      </c>
      <c r="C2469" s="9" t="s">
        <v>2682</v>
      </c>
      <c r="D2469" s="9" t="s">
        <v>2185</v>
      </c>
      <c r="E2469" s="9" t="s">
        <v>196</v>
      </c>
      <c r="F2469" s="9" t="s">
        <v>197</v>
      </c>
      <c r="G2469" s="9" t="s">
        <v>221</v>
      </c>
      <c r="H2469" s="9" t="n">
        <v>750</v>
      </c>
      <c r="I2469" s="29" t="n">
        <v>1</v>
      </c>
      <c r="J2469" s="9" t="n">
        <v>1</v>
      </c>
      <c r="K2469" s="30"/>
      <c r="L2469" s="30"/>
      <c r="M2469" s="30"/>
      <c r="N2469" s="30"/>
      <c r="O2469" s="30"/>
      <c r="P2469" s="30"/>
      <c r="Q2469" s="30"/>
      <c r="R2469" s="30"/>
      <c r="S2469" s="30"/>
      <c r="T2469" s="30"/>
      <c r="U2469" s="21" t="str">
        <f aca="false">IF(COUNT(K2469:T2469)=0,"SOURCE EMPTY / INDUSTRIAL ONLY",IF(MIN(K2469:T2469)=1,"SERVICE READY","HOLD"))</f>
        <v>SOURCE EMPTY / INDUSTRIAL ONLY</v>
      </c>
      <c r="V2469" s="9" t="n">
        <f aca="false">IF(U2469="SERVICE READY",1,0)</f>
        <v>0</v>
      </c>
      <c r="W2469" s="6"/>
      <c r="X2469" s="6"/>
      <c r="Y2469" s="6"/>
      <c r="Z2469" s="6"/>
    </row>
    <row r="2470" customFormat="false" ht="15" hidden="false" customHeight="false" outlineLevel="0" collapsed="false">
      <c r="A2470" s="9" t="s">
        <v>2732</v>
      </c>
      <c r="B2470" s="9" t="s">
        <v>2681</v>
      </c>
      <c r="C2470" s="9" t="s">
        <v>2682</v>
      </c>
      <c r="D2470" s="9" t="s">
        <v>2185</v>
      </c>
      <c r="E2470" s="9" t="s">
        <v>196</v>
      </c>
      <c r="F2470" s="9" t="s">
        <v>200</v>
      </c>
      <c r="G2470" s="9" t="s">
        <v>221</v>
      </c>
      <c r="H2470" s="9" t="n">
        <v>750</v>
      </c>
      <c r="I2470" s="29" t="n">
        <v>1</v>
      </c>
      <c r="J2470" s="9" t="n">
        <v>1</v>
      </c>
      <c r="K2470" s="30"/>
      <c r="L2470" s="30"/>
      <c r="M2470" s="30"/>
      <c r="N2470" s="30"/>
      <c r="O2470" s="30"/>
      <c r="P2470" s="30"/>
      <c r="Q2470" s="30"/>
      <c r="R2470" s="30"/>
      <c r="S2470" s="30"/>
      <c r="T2470" s="30"/>
      <c r="U2470" s="21" t="str">
        <f aca="false">IF(COUNT(K2470:T2470)=0,"SOURCE EMPTY / INDUSTRIAL ONLY",IF(MIN(K2470:T2470)=1,"SERVICE READY","HOLD"))</f>
        <v>SOURCE EMPTY / INDUSTRIAL ONLY</v>
      </c>
      <c r="V2470" s="9" t="n">
        <f aca="false">IF(U2470="SERVICE READY",1,0)</f>
        <v>0</v>
      </c>
      <c r="W2470" s="6"/>
      <c r="X2470" s="6"/>
      <c r="Y2470" s="6"/>
      <c r="Z2470" s="6"/>
    </row>
    <row r="2471" customFormat="false" ht="15" hidden="false" customHeight="false" outlineLevel="0" collapsed="false">
      <c r="A2471" s="9" t="s">
        <v>2733</v>
      </c>
      <c r="B2471" s="9" t="s">
        <v>2681</v>
      </c>
      <c r="C2471" s="9" t="s">
        <v>2682</v>
      </c>
      <c r="D2471" s="9" t="s">
        <v>2185</v>
      </c>
      <c r="E2471" s="9" t="s">
        <v>196</v>
      </c>
      <c r="F2471" s="9" t="s">
        <v>203</v>
      </c>
      <c r="G2471" s="9" t="s">
        <v>221</v>
      </c>
      <c r="H2471" s="9" t="n">
        <v>750</v>
      </c>
      <c r="I2471" s="29" t="n">
        <v>1</v>
      </c>
      <c r="J2471" s="9" t="n">
        <v>1</v>
      </c>
      <c r="K2471" s="30"/>
      <c r="L2471" s="30"/>
      <c r="M2471" s="30"/>
      <c r="N2471" s="30"/>
      <c r="O2471" s="30"/>
      <c r="P2471" s="30"/>
      <c r="Q2471" s="30"/>
      <c r="R2471" s="30"/>
      <c r="S2471" s="30"/>
      <c r="T2471" s="30"/>
      <c r="U2471" s="21" t="str">
        <f aca="false">IF(COUNT(K2471:T2471)=0,"SOURCE EMPTY / INDUSTRIAL ONLY",IF(MIN(K2471:T2471)=1,"SERVICE READY","HOLD"))</f>
        <v>SOURCE EMPTY / INDUSTRIAL ONLY</v>
      </c>
      <c r="V2471" s="9" t="n">
        <f aca="false">IF(U2471="SERVICE READY",1,0)</f>
        <v>0</v>
      </c>
      <c r="W2471" s="6"/>
      <c r="X2471" s="6"/>
      <c r="Y2471" s="6"/>
      <c r="Z2471" s="6"/>
    </row>
    <row r="2472" customFormat="false" ht="15" hidden="false" customHeight="false" outlineLevel="0" collapsed="false">
      <c r="A2472" s="9" t="s">
        <v>2734</v>
      </c>
      <c r="B2472" s="9" t="s">
        <v>2681</v>
      </c>
      <c r="C2472" s="9" t="s">
        <v>2682</v>
      </c>
      <c r="D2472" s="9" t="s">
        <v>2185</v>
      </c>
      <c r="E2472" s="9" t="s">
        <v>196</v>
      </c>
      <c r="F2472" s="9" t="s">
        <v>205</v>
      </c>
      <c r="G2472" s="9" t="s">
        <v>221</v>
      </c>
      <c r="H2472" s="9" t="n">
        <v>750</v>
      </c>
      <c r="I2472" s="29" t="n">
        <v>1</v>
      </c>
      <c r="J2472" s="9" t="n">
        <v>1</v>
      </c>
      <c r="K2472" s="30"/>
      <c r="L2472" s="30"/>
      <c r="M2472" s="30"/>
      <c r="N2472" s="30"/>
      <c r="O2472" s="30"/>
      <c r="P2472" s="30"/>
      <c r="Q2472" s="30"/>
      <c r="R2472" s="30"/>
      <c r="S2472" s="30"/>
      <c r="T2472" s="30"/>
      <c r="U2472" s="21" t="str">
        <f aca="false">IF(COUNT(K2472:T2472)=0,"SOURCE EMPTY / INDUSTRIAL ONLY",IF(MIN(K2472:T2472)=1,"SERVICE READY","HOLD"))</f>
        <v>SOURCE EMPTY / INDUSTRIAL ONLY</v>
      </c>
      <c r="V2472" s="9" t="n">
        <f aca="false">IF(U2472="SERVICE READY",1,0)</f>
        <v>0</v>
      </c>
      <c r="W2472" s="6"/>
      <c r="X2472" s="6"/>
      <c r="Y2472" s="6"/>
      <c r="Z2472" s="6"/>
    </row>
    <row r="2473" customFormat="false" ht="15" hidden="false" customHeight="false" outlineLevel="0" collapsed="false">
      <c r="A2473" s="9" t="s">
        <v>2735</v>
      </c>
      <c r="B2473" s="9" t="s">
        <v>2681</v>
      </c>
      <c r="C2473" s="9" t="s">
        <v>2682</v>
      </c>
      <c r="D2473" s="9" t="s">
        <v>2185</v>
      </c>
      <c r="E2473" s="9" t="s">
        <v>196</v>
      </c>
      <c r="F2473" s="9" t="s">
        <v>207</v>
      </c>
      <c r="G2473" s="9" t="s">
        <v>221</v>
      </c>
      <c r="H2473" s="9" t="n">
        <v>750</v>
      </c>
      <c r="I2473" s="29" t="n">
        <v>1</v>
      </c>
      <c r="J2473" s="9" t="n">
        <v>1</v>
      </c>
      <c r="K2473" s="30"/>
      <c r="L2473" s="30"/>
      <c r="M2473" s="30"/>
      <c r="N2473" s="30"/>
      <c r="O2473" s="30"/>
      <c r="P2473" s="30"/>
      <c r="Q2473" s="30"/>
      <c r="R2473" s="30"/>
      <c r="S2473" s="30"/>
      <c r="T2473" s="30"/>
      <c r="U2473" s="21" t="str">
        <f aca="false">IF(COUNT(K2473:T2473)=0,"SOURCE EMPTY / INDUSTRIAL ONLY",IF(MIN(K2473:T2473)=1,"SERVICE READY","HOLD"))</f>
        <v>SOURCE EMPTY / INDUSTRIAL ONLY</v>
      </c>
      <c r="V2473" s="9" t="n">
        <f aca="false">IF(U2473="SERVICE READY",1,0)</f>
        <v>0</v>
      </c>
      <c r="W2473" s="6"/>
      <c r="X2473" s="6"/>
      <c r="Y2473" s="6"/>
      <c r="Z2473" s="6"/>
    </row>
    <row r="2474" customFormat="false" ht="15" hidden="false" customHeight="false" outlineLevel="0" collapsed="false">
      <c r="A2474" s="9" t="s">
        <v>2736</v>
      </c>
      <c r="B2474" s="9" t="s">
        <v>2681</v>
      </c>
      <c r="C2474" s="9" t="s">
        <v>2682</v>
      </c>
      <c r="D2474" s="9" t="s">
        <v>2185</v>
      </c>
      <c r="E2474" s="9" t="s">
        <v>196</v>
      </c>
      <c r="F2474" s="9" t="s">
        <v>209</v>
      </c>
      <c r="G2474" s="9" t="s">
        <v>221</v>
      </c>
      <c r="H2474" s="9" t="n">
        <v>750</v>
      </c>
      <c r="I2474" s="29" t="n">
        <v>1</v>
      </c>
      <c r="J2474" s="9" t="n">
        <v>1</v>
      </c>
      <c r="K2474" s="30"/>
      <c r="L2474" s="30"/>
      <c r="M2474" s="30"/>
      <c r="N2474" s="30"/>
      <c r="O2474" s="30"/>
      <c r="P2474" s="30"/>
      <c r="Q2474" s="30"/>
      <c r="R2474" s="30"/>
      <c r="S2474" s="30"/>
      <c r="T2474" s="30"/>
      <c r="U2474" s="21" t="str">
        <f aca="false">IF(COUNT(K2474:T2474)=0,"SOURCE EMPTY / INDUSTRIAL ONLY",IF(MIN(K2474:T2474)=1,"SERVICE READY","HOLD"))</f>
        <v>SOURCE EMPTY / INDUSTRIAL ONLY</v>
      </c>
      <c r="V2474" s="9" t="n">
        <f aca="false">IF(U2474="SERVICE READY",1,0)</f>
        <v>0</v>
      </c>
      <c r="W2474" s="6"/>
      <c r="X2474" s="6"/>
      <c r="Y2474" s="6"/>
      <c r="Z2474" s="6"/>
    </row>
    <row r="2475" customFormat="false" ht="15" hidden="false" customHeight="false" outlineLevel="0" collapsed="false">
      <c r="A2475" s="9" t="s">
        <v>2737</v>
      </c>
      <c r="B2475" s="9" t="s">
        <v>2681</v>
      </c>
      <c r="C2475" s="9" t="s">
        <v>2682</v>
      </c>
      <c r="D2475" s="9" t="s">
        <v>2185</v>
      </c>
      <c r="E2475" s="9" t="s">
        <v>196</v>
      </c>
      <c r="F2475" s="9" t="s">
        <v>211</v>
      </c>
      <c r="G2475" s="9" t="s">
        <v>221</v>
      </c>
      <c r="H2475" s="9" t="n">
        <v>750</v>
      </c>
      <c r="I2475" s="29" t="n">
        <v>1</v>
      </c>
      <c r="J2475" s="9" t="n">
        <v>1</v>
      </c>
      <c r="K2475" s="30"/>
      <c r="L2475" s="30"/>
      <c r="M2475" s="30"/>
      <c r="N2475" s="30"/>
      <c r="O2475" s="30"/>
      <c r="P2475" s="30"/>
      <c r="Q2475" s="30"/>
      <c r="R2475" s="30"/>
      <c r="S2475" s="30"/>
      <c r="T2475" s="30"/>
      <c r="U2475" s="21" t="str">
        <f aca="false">IF(COUNT(K2475:T2475)=0,"SOURCE EMPTY / INDUSTRIAL ONLY",IF(MIN(K2475:T2475)=1,"SERVICE READY","HOLD"))</f>
        <v>SOURCE EMPTY / INDUSTRIAL ONLY</v>
      </c>
      <c r="V2475" s="9" t="n">
        <f aca="false">IF(U2475="SERVICE READY",1,0)</f>
        <v>0</v>
      </c>
      <c r="W2475" s="6"/>
      <c r="X2475" s="6"/>
      <c r="Y2475" s="6"/>
      <c r="Z2475" s="6"/>
    </row>
    <row r="2476" customFormat="false" ht="15" hidden="false" customHeight="false" outlineLevel="0" collapsed="false">
      <c r="A2476" s="9" t="s">
        <v>2738</v>
      </c>
      <c r="B2476" s="9" t="s">
        <v>2681</v>
      </c>
      <c r="C2476" s="9" t="s">
        <v>2682</v>
      </c>
      <c r="D2476" s="9" t="s">
        <v>2185</v>
      </c>
      <c r="E2476" s="9" t="s">
        <v>196</v>
      </c>
      <c r="F2476" s="9" t="s">
        <v>197</v>
      </c>
      <c r="G2476" s="9" t="s">
        <v>221</v>
      </c>
      <c r="H2476" s="9" t="n">
        <v>750</v>
      </c>
      <c r="I2476" s="29" t="n">
        <v>1</v>
      </c>
      <c r="J2476" s="9" t="n">
        <v>1</v>
      </c>
      <c r="K2476" s="30"/>
      <c r="L2476" s="30"/>
      <c r="M2476" s="30"/>
      <c r="N2476" s="30"/>
      <c r="O2476" s="30"/>
      <c r="P2476" s="30"/>
      <c r="Q2476" s="30"/>
      <c r="R2476" s="30"/>
      <c r="S2476" s="30"/>
      <c r="T2476" s="30"/>
      <c r="U2476" s="21" t="str">
        <f aca="false">IF(COUNT(K2476:T2476)=0,"SOURCE EMPTY / INDUSTRIAL ONLY",IF(MIN(K2476:T2476)=1,"SERVICE READY","HOLD"))</f>
        <v>SOURCE EMPTY / INDUSTRIAL ONLY</v>
      </c>
      <c r="V2476" s="9" t="n">
        <f aca="false">IF(U2476="SERVICE READY",1,0)</f>
        <v>0</v>
      </c>
      <c r="W2476" s="6"/>
      <c r="X2476" s="6"/>
      <c r="Y2476" s="6"/>
      <c r="Z2476" s="6"/>
    </row>
    <row r="2477" customFormat="false" ht="15" hidden="false" customHeight="false" outlineLevel="0" collapsed="false">
      <c r="A2477" s="9" t="s">
        <v>2739</v>
      </c>
      <c r="B2477" s="9" t="s">
        <v>2681</v>
      </c>
      <c r="C2477" s="9" t="s">
        <v>2682</v>
      </c>
      <c r="D2477" s="9" t="s">
        <v>2185</v>
      </c>
      <c r="E2477" s="9" t="s">
        <v>196</v>
      </c>
      <c r="F2477" s="9" t="s">
        <v>200</v>
      </c>
      <c r="G2477" s="9" t="s">
        <v>221</v>
      </c>
      <c r="H2477" s="9" t="n">
        <v>750</v>
      </c>
      <c r="I2477" s="29" t="n">
        <v>1</v>
      </c>
      <c r="J2477" s="9" t="n">
        <v>1</v>
      </c>
      <c r="K2477" s="30"/>
      <c r="L2477" s="30"/>
      <c r="M2477" s="30"/>
      <c r="N2477" s="30"/>
      <c r="O2477" s="30"/>
      <c r="P2477" s="30"/>
      <c r="Q2477" s="30"/>
      <c r="R2477" s="30"/>
      <c r="S2477" s="30"/>
      <c r="T2477" s="30"/>
      <c r="U2477" s="21" t="str">
        <f aca="false">IF(COUNT(K2477:T2477)=0,"SOURCE EMPTY / INDUSTRIAL ONLY",IF(MIN(K2477:T2477)=1,"SERVICE READY","HOLD"))</f>
        <v>SOURCE EMPTY / INDUSTRIAL ONLY</v>
      </c>
      <c r="V2477" s="9" t="n">
        <f aca="false">IF(U2477="SERVICE READY",1,0)</f>
        <v>0</v>
      </c>
      <c r="W2477" s="6"/>
      <c r="X2477" s="6"/>
      <c r="Y2477" s="6"/>
      <c r="Z2477" s="6"/>
    </row>
    <row r="2478" customFormat="false" ht="15" hidden="false" customHeight="false" outlineLevel="0" collapsed="false">
      <c r="A2478" s="9" t="s">
        <v>2740</v>
      </c>
      <c r="B2478" s="9" t="s">
        <v>2681</v>
      </c>
      <c r="C2478" s="9" t="s">
        <v>2682</v>
      </c>
      <c r="D2478" s="9" t="s">
        <v>2185</v>
      </c>
      <c r="E2478" s="9" t="s">
        <v>196</v>
      </c>
      <c r="F2478" s="9" t="s">
        <v>203</v>
      </c>
      <c r="G2478" s="9" t="s">
        <v>221</v>
      </c>
      <c r="H2478" s="9" t="n">
        <v>750</v>
      </c>
      <c r="I2478" s="29" t="n">
        <v>1</v>
      </c>
      <c r="J2478" s="9" t="n">
        <v>1</v>
      </c>
      <c r="K2478" s="30"/>
      <c r="L2478" s="30"/>
      <c r="M2478" s="30"/>
      <c r="N2478" s="30"/>
      <c r="O2478" s="30"/>
      <c r="P2478" s="30"/>
      <c r="Q2478" s="30"/>
      <c r="R2478" s="30"/>
      <c r="S2478" s="30"/>
      <c r="T2478" s="30"/>
      <c r="U2478" s="21" t="str">
        <f aca="false">IF(COUNT(K2478:T2478)=0,"SOURCE EMPTY / INDUSTRIAL ONLY",IF(MIN(K2478:T2478)=1,"SERVICE READY","HOLD"))</f>
        <v>SOURCE EMPTY / INDUSTRIAL ONLY</v>
      </c>
      <c r="V2478" s="9" t="n">
        <f aca="false">IF(U2478="SERVICE READY",1,0)</f>
        <v>0</v>
      </c>
      <c r="W2478" s="6"/>
      <c r="X2478" s="6"/>
      <c r="Y2478" s="6"/>
      <c r="Z2478" s="6"/>
    </row>
    <row r="2479" customFormat="false" ht="15" hidden="false" customHeight="false" outlineLevel="0" collapsed="false">
      <c r="A2479" s="9" t="s">
        <v>2741</v>
      </c>
      <c r="B2479" s="9" t="s">
        <v>2681</v>
      </c>
      <c r="C2479" s="9" t="s">
        <v>2682</v>
      </c>
      <c r="D2479" s="9" t="s">
        <v>2185</v>
      </c>
      <c r="E2479" s="9" t="s">
        <v>196</v>
      </c>
      <c r="F2479" s="9" t="s">
        <v>205</v>
      </c>
      <c r="G2479" s="9" t="s">
        <v>221</v>
      </c>
      <c r="H2479" s="9" t="n">
        <v>750</v>
      </c>
      <c r="I2479" s="29" t="n">
        <v>1</v>
      </c>
      <c r="J2479" s="9" t="n">
        <v>1</v>
      </c>
      <c r="K2479" s="30"/>
      <c r="L2479" s="30"/>
      <c r="M2479" s="30"/>
      <c r="N2479" s="30"/>
      <c r="O2479" s="30"/>
      <c r="P2479" s="30"/>
      <c r="Q2479" s="30"/>
      <c r="R2479" s="30"/>
      <c r="S2479" s="30"/>
      <c r="T2479" s="30"/>
      <c r="U2479" s="21" t="str">
        <f aca="false">IF(COUNT(K2479:T2479)=0,"SOURCE EMPTY / INDUSTRIAL ONLY",IF(MIN(K2479:T2479)=1,"SERVICE READY","HOLD"))</f>
        <v>SOURCE EMPTY / INDUSTRIAL ONLY</v>
      </c>
      <c r="V2479" s="9" t="n">
        <f aca="false">IF(U2479="SERVICE READY",1,0)</f>
        <v>0</v>
      </c>
      <c r="W2479" s="6"/>
      <c r="X2479" s="6"/>
      <c r="Y2479" s="6"/>
      <c r="Z2479" s="6"/>
    </row>
    <row r="2480" customFormat="false" ht="15" hidden="false" customHeight="false" outlineLevel="0" collapsed="false">
      <c r="A2480" s="9" t="s">
        <v>2742</v>
      </c>
      <c r="B2480" s="9" t="s">
        <v>2681</v>
      </c>
      <c r="C2480" s="9" t="s">
        <v>2682</v>
      </c>
      <c r="D2480" s="9" t="s">
        <v>2185</v>
      </c>
      <c r="E2480" s="9" t="s">
        <v>196</v>
      </c>
      <c r="F2480" s="9" t="s">
        <v>207</v>
      </c>
      <c r="G2480" s="9" t="s">
        <v>221</v>
      </c>
      <c r="H2480" s="9" t="n">
        <v>750</v>
      </c>
      <c r="I2480" s="29" t="n">
        <v>1</v>
      </c>
      <c r="J2480" s="9" t="n">
        <v>1</v>
      </c>
      <c r="K2480" s="30"/>
      <c r="L2480" s="30"/>
      <c r="M2480" s="30"/>
      <c r="N2480" s="30"/>
      <c r="O2480" s="30"/>
      <c r="P2480" s="30"/>
      <c r="Q2480" s="30"/>
      <c r="R2480" s="30"/>
      <c r="S2480" s="30"/>
      <c r="T2480" s="30"/>
      <c r="U2480" s="21" t="str">
        <f aca="false">IF(COUNT(K2480:T2480)=0,"SOURCE EMPTY / INDUSTRIAL ONLY",IF(MIN(K2480:T2480)=1,"SERVICE READY","HOLD"))</f>
        <v>SOURCE EMPTY / INDUSTRIAL ONLY</v>
      </c>
      <c r="V2480" s="9" t="n">
        <f aca="false">IF(U2480="SERVICE READY",1,0)</f>
        <v>0</v>
      </c>
      <c r="W2480" s="6"/>
      <c r="X2480" s="6"/>
      <c r="Y2480" s="6"/>
      <c r="Z2480" s="6"/>
    </row>
    <row r="2481" customFormat="false" ht="15" hidden="false" customHeight="false" outlineLevel="0" collapsed="false">
      <c r="A2481" s="9" t="s">
        <v>2743</v>
      </c>
      <c r="B2481" s="9" t="s">
        <v>2681</v>
      </c>
      <c r="C2481" s="9" t="s">
        <v>2682</v>
      </c>
      <c r="D2481" s="9" t="s">
        <v>2185</v>
      </c>
      <c r="E2481" s="9" t="s">
        <v>196</v>
      </c>
      <c r="F2481" s="9" t="s">
        <v>209</v>
      </c>
      <c r="G2481" s="9" t="s">
        <v>221</v>
      </c>
      <c r="H2481" s="9" t="n">
        <v>750</v>
      </c>
      <c r="I2481" s="29" t="n">
        <v>1</v>
      </c>
      <c r="J2481" s="9" t="n">
        <v>1</v>
      </c>
      <c r="K2481" s="30"/>
      <c r="L2481" s="30"/>
      <c r="M2481" s="30"/>
      <c r="N2481" s="30"/>
      <c r="O2481" s="30"/>
      <c r="P2481" s="30"/>
      <c r="Q2481" s="30"/>
      <c r="R2481" s="30"/>
      <c r="S2481" s="30"/>
      <c r="T2481" s="30"/>
      <c r="U2481" s="21" t="str">
        <f aca="false">IF(COUNT(K2481:T2481)=0,"SOURCE EMPTY / INDUSTRIAL ONLY",IF(MIN(K2481:T2481)=1,"SERVICE READY","HOLD"))</f>
        <v>SOURCE EMPTY / INDUSTRIAL ONLY</v>
      </c>
      <c r="V2481" s="9" t="n">
        <f aca="false">IF(U2481="SERVICE READY",1,0)</f>
        <v>0</v>
      </c>
      <c r="W2481" s="6"/>
      <c r="X2481" s="6"/>
      <c r="Y2481" s="6"/>
      <c r="Z2481" s="6"/>
    </row>
    <row r="2482" customFormat="false" ht="15" hidden="false" customHeight="false" outlineLevel="0" collapsed="false">
      <c r="A2482" s="9" t="s">
        <v>2744</v>
      </c>
      <c r="B2482" s="9" t="s">
        <v>2681</v>
      </c>
      <c r="C2482" s="9" t="s">
        <v>2682</v>
      </c>
      <c r="D2482" s="9" t="s">
        <v>2185</v>
      </c>
      <c r="E2482" s="9" t="s">
        <v>196</v>
      </c>
      <c r="F2482" s="9" t="s">
        <v>211</v>
      </c>
      <c r="G2482" s="9" t="s">
        <v>221</v>
      </c>
      <c r="H2482" s="9" t="n">
        <v>750</v>
      </c>
      <c r="I2482" s="29" t="n">
        <v>1</v>
      </c>
      <c r="J2482" s="9" t="n">
        <v>1</v>
      </c>
      <c r="K2482" s="30"/>
      <c r="L2482" s="30"/>
      <c r="M2482" s="30"/>
      <c r="N2482" s="30"/>
      <c r="O2482" s="30"/>
      <c r="P2482" s="30"/>
      <c r="Q2482" s="30"/>
      <c r="R2482" s="30"/>
      <c r="S2482" s="30"/>
      <c r="T2482" s="30"/>
      <c r="U2482" s="21" t="str">
        <f aca="false">IF(COUNT(K2482:T2482)=0,"SOURCE EMPTY / INDUSTRIAL ONLY",IF(MIN(K2482:T2482)=1,"SERVICE READY","HOLD"))</f>
        <v>SOURCE EMPTY / INDUSTRIAL ONLY</v>
      </c>
      <c r="V2482" s="9" t="n">
        <f aca="false">IF(U2482="SERVICE READY",1,0)</f>
        <v>0</v>
      </c>
      <c r="W2482" s="6"/>
      <c r="X2482" s="6"/>
      <c r="Y2482" s="6"/>
      <c r="Z2482" s="6"/>
    </row>
    <row r="2483" customFormat="false" ht="15" hidden="false" customHeight="false" outlineLevel="0" collapsed="false">
      <c r="A2483" s="9" t="s">
        <v>2745</v>
      </c>
      <c r="B2483" s="9" t="s">
        <v>2681</v>
      </c>
      <c r="C2483" s="9" t="s">
        <v>2682</v>
      </c>
      <c r="D2483" s="9" t="s">
        <v>2185</v>
      </c>
      <c r="E2483" s="9" t="s">
        <v>196</v>
      </c>
      <c r="F2483" s="9" t="s">
        <v>197</v>
      </c>
      <c r="G2483" s="9" t="s">
        <v>221</v>
      </c>
      <c r="H2483" s="9" t="n">
        <v>750</v>
      </c>
      <c r="I2483" s="29" t="n">
        <v>1</v>
      </c>
      <c r="J2483" s="9" t="n">
        <v>1</v>
      </c>
      <c r="K2483" s="30"/>
      <c r="L2483" s="30"/>
      <c r="M2483" s="30"/>
      <c r="N2483" s="30"/>
      <c r="O2483" s="30"/>
      <c r="P2483" s="30"/>
      <c r="Q2483" s="30"/>
      <c r="R2483" s="30"/>
      <c r="S2483" s="30"/>
      <c r="T2483" s="30"/>
      <c r="U2483" s="21" t="str">
        <f aca="false">IF(COUNT(K2483:T2483)=0,"SOURCE EMPTY / INDUSTRIAL ONLY",IF(MIN(K2483:T2483)=1,"SERVICE READY","HOLD"))</f>
        <v>SOURCE EMPTY / INDUSTRIAL ONLY</v>
      </c>
      <c r="V2483" s="9" t="n">
        <f aca="false">IF(U2483="SERVICE READY",1,0)</f>
        <v>0</v>
      </c>
      <c r="W2483" s="6"/>
      <c r="X2483" s="6"/>
      <c r="Y2483" s="6"/>
      <c r="Z2483" s="6"/>
    </row>
    <row r="2484" customFormat="false" ht="15" hidden="false" customHeight="false" outlineLevel="0" collapsed="false">
      <c r="A2484" s="9" t="s">
        <v>2746</v>
      </c>
      <c r="B2484" s="9" t="s">
        <v>2681</v>
      </c>
      <c r="C2484" s="9" t="s">
        <v>2682</v>
      </c>
      <c r="D2484" s="9" t="s">
        <v>2185</v>
      </c>
      <c r="E2484" s="9" t="s">
        <v>196</v>
      </c>
      <c r="F2484" s="9" t="s">
        <v>200</v>
      </c>
      <c r="G2484" s="9" t="s">
        <v>221</v>
      </c>
      <c r="H2484" s="9" t="n">
        <v>750</v>
      </c>
      <c r="I2484" s="29" t="n">
        <v>1</v>
      </c>
      <c r="J2484" s="9" t="n">
        <v>1</v>
      </c>
      <c r="K2484" s="30"/>
      <c r="L2484" s="30"/>
      <c r="M2484" s="30"/>
      <c r="N2484" s="30"/>
      <c r="O2484" s="30"/>
      <c r="P2484" s="30"/>
      <c r="Q2484" s="30"/>
      <c r="R2484" s="30"/>
      <c r="S2484" s="30"/>
      <c r="T2484" s="30"/>
      <c r="U2484" s="21" t="str">
        <f aca="false">IF(COUNT(K2484:T2484)=0,"SOURCE EMPTY / INDUSTRIAL ONLY",IF(MIN(K2484:T2484)=1,"SERVICE READY","HOLD"))</f>
        <v>SOURCE EMPTY / INDUSTRIAL ONLY</v>
      </c>
      <c r="V2484" s="9" t="n">
        <f aca="false">IF(U2484="SERVICE READY",1,0)</f>
        <v>0</v>
      </c>
      <c r="W2484" s="6"/>
      <c r="X2484" s="6"/>
      <c r="Y2484" s="6"/>
      <c r="Z2484" s="6"/>
    </row>
    <row r="2485" customFormat="false" ht="15" hidden="false" customHeight="false" outlineLevel="0" collapsed="false">
      <c r="A2485" s="9" t="s">
        <v>2747</v>
      </c>
      <c r="B2485" s="9" t="s">
        <v>2681</v>
      </c>
      <c r="C2485" s="9" t="s">
        <v>2682</v>
      </c>
      <c r="D2485" s="9" t="s">
        <v>2185</v>
      </c>
      <c r="E2485" s="9" t="s">
        <v>196</v>
      </c>
      <c r="F2485" s="9" t="s">
        <v>203</v>
      </c>
      <c r="G2485" s="9" t="s">
        <v>221</v>
      </c>
      <c r="H2485" s="9" t="n">
        <v>750</v>
      </c>
      <c r="I2485" s="29" t="n">
        <v>1</v>
      </c>
      <c r="J2485" s="9" t="n">
        <v>1</v>
      </c>
      <c r="K2485" s="30"/>
      <c r="L2485" s="30"/>
      <c r="M2485" s="30"/>
      <c r="N2485" s="30"/>
      <c r="O2485" s="30"/>
      <c r="P2485" s="30"/>
      <c r="Q2485" s="30"/>
      <c r="R2485" s="30"/>
      <c r="S2485" s="30"/>
      <c r="T2485" s="30"/>
      <c r="U2485" s="21" t="str">
        <f aca="false">IF(COUNT(K2485:T2485)=0,"SOURCE EMPTY / INDUSTRIAL ONLY",IF(MIN(K2485:T2485)=1,"SERVICE READY","HOLD"))</f>
        <v>SOURCE EMPTY / INDUSTRIAL ONLY</v>
      </c>
      <c r="V2485" s="9" t="n">
        <f aca="false">IF(U2485="SERVICE READY",1,0)</f>
        <v>0</v>
      </c>
      <c r="W2485" s="6"/>
      <c r="X2485" s="6"/>
      <c r="Y2485" s="6"/>
      <c r="Z2485" s="6"/>
    </row>
    <row r="2486" customFormat="false" ht="15" hidden="false" customHeight="false" outlineLevel="0" collapsed="false">
      <c r="A2486" s="9" t="s">
        <v>2748</v>
      </c>
      <c r="B2486" s="9" t="s">
        <v>2681</v>
      </c>
      <c r="C2486" s="9" t="s">
        <v>2682</v>
      </c>
      <c r="D2486" s="9" t="s">
        <v>2185</v>
      </c>
      <c r="E2486" s="9" t="s">
        <v>196</v>
      </c>
      <c r="F2486" s="9" t="s">
        <v>205</v>
      </c>
      <c r="G2486" s="9" t="s">
        <v>221</v>
      </c>
      <c r="H2486" s="9" t="n">
        <v>750</v>
      </c>
      <c r="I2486" s="29" t="n">
        <v>1</v>
      </c>
      <c r="J2486" s="9" t="n">
        <v>1</v>
      </c>
      <c r="K2486" s="30"/>
      <c r="L2486" s="30"/>
      <c r="M2486" s="30"/>
      <c r="N2486" s="30"/>
      <c r="O2486" s="30"/>
      <c r="P2486" s="30"/>
      <c r="Q2486" s="30"/>
      <c r="R2486" s="30"/>
      <c r="S2486" s="30"/>
      <c r="T2486" s="30"/>
      <c r="U2486" s="21" t="str">
        <f aca="false">IF(COUNT(K2486:T2486)=0,"SOURCE EMPTY / INDUSTRIAL ONLY",IF(MIN(K2486:T2486)=1,"SERVICE READY","HOLD"))</f>
        <v>SOURCE EMPTY / INDUSTRIAL ONLY</v>
      </c>
      <c r="V2486" s="9" t="n">
        <f aca="false">IF(U2486="SERVICE READY",1,0)</f>
        <v>0</v>
      </c>
      <c r="W2486" s="6"/>
      <c r="X2486" s="6"/>
      <c r="Y2486" s="6"/>
      <c r="Z2486" s="6"/>
    </row>
    <row r="2487" customFormat="false" ht="15" hidden="false" customHeight="false" outlineLevel="0" collapsed="false">
      <c r="A2487" s="9" t="s">
        <v>2749</v>
      </c>
      <c r="B2487" s="9" t="s">
        <v>2681</v>
      </c>
      <c r="C2487" s="9" t="s">
        <v>2682</v>
      </c>
      <c r="D2487" s="9" t="s">
        <v>2185</v>
      </c>
      <c r="E2487" s="9" t="s">
        <v>196</v>
      </c>
      <c r="F2487" s="9" t="s">
        <v>207</v>
      </c>
      <c r="G2487" s="9" t="s">
        <v>221</v>
      </c>
      <c r="H2487" s="9" t="n">
        <v>750</v>
      </c>
      <c r="I2487" s="29" t="n">
        <v>1</v>
      </c>
      <c r="J2487" s="9" t="n">
        <v>1</v>
      </c>
      <c r="K2487" s="30"/>
      <c r="L2487" s="30"/>
      <c r="M2487" s="30"/>
      <c r="N2487" s="30"/>
      <c r="O2487" s="30"/>
      <c r="P2487" s="30"/>
      <c r="Q2487" s="30"/>
      <c r="R2487" s="30"/>
      <c r="S2487" s="30"/>
      <c r="T2487" s="30"/>
      <c r="U2487" s="21" t="str">
        <f aca="false">IF(COUNT(K2487:T2487)=0,"SOURCE EMPTY / INDUSTRIAL ONLY",IF(MIN(K2487:T2487)=1,"SERVICE READY","HOLD"))</f>
        <v>SOURCE EMPTY / INDUSTRIAL ONLY</v>
      </c>
      <c r="V2487" s="9" t="n">
        <f aca="false">IF(U2487="SERVICE READY",1,0)</f>
        <v>0</v>
      </c>
      <c r="W2487" s="6"/>
      <c r="X2487" s="6"/>
      <c r="Y2487" s="6"/>
      <c r="Z2487" s="6"/>
    </row>
    <row r="2488" customFormat="false" ht="15" hidden="false" customHeight="false" outlineLevel="0" collapsed="false">
      <c r="A2488" s="9" t="s">
        <v>2750</v>
      </c>
      <c r="B2488" s="9" t="s">
        <v>2681</v>
      </c>
      <c r="C2488" s="9" t="s">
        <v>2682</v>
      </c>
      <c r="D2488" s="9" t="s">
        <v>2185</v>
      </c>
      <c r="E2488" s="9" t="s">
        <v>196</v>
      </c>
      <c r="F2488" s="9" t="s">
        <v>209</v>
      </c>
      <c r="G2488" s="9" t="s">
        <v>221</v>
      </c>
      <c r="H2488" s="9" t="n">
        <v>750</v>
      </c>
      <c r="I2488" s="29" t="n">
        <v>1</v>
      </c>
      <c r="J2488" s="9" t="n">
        <v>1</v>
      </c>
      <c r="K2488" s="30"/>
      <c r="L2488" s="30"/>
      <c r="M2488" s="30"/>
      <c r="N2488" s="30"/>
      <c r="O2488" s="30"/>
      <c r="P2488" s="30"/>
      <c r="Q2488" s="30"/>
      <c r="R2488" s="30"/>
      <c r="S2488" s="30"/>
      <c r="T2488" s="30"/>
      <c r="U2488" s="21" t="str">
        <f aca="false">IF(COUNT(K2488:T2488)=0,"SOURCE EMPTY / INDUSTRIAL ONLY",IF(MIN(K2488:T2488)=1,"SERVICE READY","HOLD"))</f>
        <v>SOURCE EMPTY / INDUSTRIAL ONLY</v>
      </c>
      <c r="V2488" s="9" t="n">
        <f aca="false">IF(U2488="SERVICE READY",1,0)</f>
        <v>0</v>
      </c>
      <c r="W2488" s="6"/>
      <c r="X2488" s="6"/>
      <c r="Y2488" s="6"/>
      <c r="Z2488" s="6"/>
    </row>
    <row r="2489" customFormat="false" ht="15" hidden="false" customHeight="false" outlineLevel="0" collapsed="false">
      <c r="A2489" s="9" t="s">
        <v>2751</v>
      </c>
      <c r="B2489" s="9" t="s">
        <v>2681</v>
      </c>
      <c r="C2489" s="9" t="s">
        <v>2682</v>
      </c>
      <c r="D2489" s="9" t="s">
        <v>2185</v>
      </c>
      <c r="E2489" s="9" t="s">
        <v>196</v>
      </c>
      <c r="F2489" s="9" t="s">
        <v>211</v>
      </c>
      <c r="G2489" s="9" t="s">
        <v>221</v>
      </c>
      <c r="H2489" s="9" t="n">
        <v>750</v>
      </c>
      <c r="I2489" s="29" t="n">
        <v>1</v>
      </c>
      <c r="J2489" s="9" t="n">
        <v>1</v>
      </c>
      <c r="K2489" s="30"/>
      <c r="L2489" s="30"/>
      <c r="M2489" s="30"/>
      <c r="N2489" s="30"/>
      <c r="O2489" s="30"/>
      <c r="P2489" s="30"/>
      <c r="Q2489" s="30"/>
      <c r="R2489" s="30"/>
      <c r="S2489" s="30"/>
      <c r="T2489" s="30"/>
      <c r="U2489" s="21" t="str">
        <f aca="false">IF(COUNT(K2489:T2489)=0,"SOURCE EMPTY / INDUSTRIAL ONLY",IF(MIN(K2489:T2489)=1,"SERVICE READY","HOLD"))</f>
        <v>SOURCE EMPTY / INDUSTRIAL ONLY</v>
      </c>
      <c r="V2489" s="9" t="n">
        <f aca="false">IF(U2489="SERVICE READY",1,0)</f>
        <v>0</v>
      </c>
      <c r="W2489" s="6"/>
      <c r="X2489" s="6"/>
      <c r="Y2489" s="6"/>
      <c r="Z2489" s="6"/>
    </row>
    <row r="2490" customFormat="false" ht="15" hidden="false" customHeight="false" outlineLevel="0" collapsed="false">
      <c r="A2490" s="9" t="s">
        <v>2752</v>
      </c>
      <c r="B2490" s="9" t="s">
        <v>2681</v>
      </c>
      <c r="C2490" s="9" t="s">
        <v>2682</v>
      </c>
      <c r="D2490" s="9" t="s">
        <v>2185</v>
      </c>
      <c r="E2490" s="9" t="s">
        <v>196</v>
      </c>
      <c r="F2490" s="9" t="s">
        <v>197</v>
      </c>
      <c r="G2490" s="9" t="s">
        <v>221</v>
      </c>
      <c r="H2490" s="9" t="n">
        <v>750</v>
      </c>
      <c r="I2490" s="29" t="n">
        <v>1</v>
      </c>
      <c r="J2490" s="9" t="n">
        <v>1</v>
      </c>
      <c r="K2490" s="30"/>
      <c r="L2490" s="30"/>
      <c r="M2490" s="30"/>
      <c r="N2490" s="30"/>
      <c r="O2490" s="30"/>
      <c r="P2490" s="30"/>
      <c r="Q2490" s="30"/>
      <c r="R2490" s="30"/>
      <c r="S2490" s="30"/>
      <c r="T2490" s="30"/>
      <c r="U2490" s="21" t="str">
        <f aca="false">IF(COUNT(K2490:T2490)=0,"SOURCE EMPTY / INDUSTRIAL ONLY",IF(MIN(K2490:T2490)=1,"SERVICE READY","HOLD"))</f>
        <v>SOURCE EMPTY / INDUSTRIAL ONLY</v>
      </c>
      <c r="V2490" s="9" t="n">
        <f aca="false">IF(U2490="SERVICE READY",1,0)</f>
        <v>0</v>
      </c>
      <c r="W2490" s="6"/>
      <c r="X2490" s="6"/>
      <c r="Y2490" s="6"/>
      <c r="Z2490" s="6"/>
    </row>
    <row r="2491" customFormat="false" ht="15" hidden="false" customHeight="false" outlineLevel="0" collapsed="false">
      <c r="A2491" s="9" t="s">
        <v>2753</v>
      </c>
      <c r="B2491" s="9" t="s">
        <v>2681</v>
      </c>
      <c r="C2491" s="9" t="s">
        <v>2682</v>
      </c>
      <c r="D2491" s="9" t="s">
        <v>2185</v>
      </c>
      <c r="E2491" s="9" t="s">
        <v>196</v>
      </c>
      <c r="F2491" s="9" t="s">
        <v>200</v>
      </c>
      <c r="G2491" s="9" t="s">
        <v>221</v>
      </c>
      <c r="H2491" s="9" t="n">
        <v>750</v>
      </c>
      <c r="I2491" s="29" t="n">
        <v>1</v>
      </c>
      <c r="J2491" s="9" t="n">
        <v>1</v>
      </c>
      <c r="K2491" s="30"/>
      <c r="L2491" s="30"/>
      <c r="M2491" s="30"/>
      <c r="N2491" s="30"/>
      <c r="O2491" s="30"/>
      <c r="P2491" s="30"/>
      <c r="Q2491" s="30"/>
      <c r="R2491" s="30"/>
      <c r="S2491" s="30"/>
      <c r="T2491" s="30"/>
      <c r="U2491" s="21" t="str">
        <f aca="false">IF(COUNT(K2491:T2491)=0,"SOURCE EMPTY / INDUSTRIAL ONLY",IF(MIN(K2491:T2491)=1,"SERVICE READY","HOLD"))</f>
        <v>SOURCE EMPTY / INDUSTRIAL ONLY</v>
      </c>
      <c r="V2491" s="9" t="n">
        <f aca="false">IF(U2491="SERVICE READY",1,0)</f>
        <v>0</v>
      </c>
      <c r="W2491" s="6"/>
      <c r="X2491" s="6"/>
      <c r="Y2491" s="6"/>
      <c r="Z2491" s="6"/>
    </row>
    <row r="2492" customFormat="false" ht="15" hidden="false" customHeight="false" outlineLevel="0" collapsed="false">
      <c r="A2492" s="9" t="s">
        <v>2754</v>
      </c>
      <c r="B2492" s="9" t="s">
        <v>2681</v>
      </c>
      <c r="C2492" s="9" t="s">
        <v>2682</v>
      </c>
      <c r="D2492" s="9" t="s">
        <v>2185</v>
      </c>
      <c r="E2492" s="9" t="s">
        <v>196</v>
      </c>
      <c r="F2492" s="9" t="s">
        <v>203</v>
      </c>
      <c r="G2492" s="9" t="s">
        <v>221</v>
      </c>
      <c r="H2492" s="9" t="n">
        <v>750</v>
      </c>
      <c r="I2492" s="29" t="n">
        <v>1</v>
      </c>
      <c r="J2492" s="9" t="n">
        <v>1</v>
      </c>
      <c r="K2492" s="30"/>
      <c r="L2492" s="30"/>
      <c r="M2492" s="30"/>
      <c r="N2492" s="30"/>
      <c r="O2492" s="30"/>
      <c r="P2492" s="30"/>
      <c r="Q2492" s="30"/>
      <c r="R2492" s="30"/>
      <c r="S2492" s="30"/>
      <c r="T2492" s="30"/>
      <c r="U2492" s="21" t="str">
        <f aca="false">IF(COUNT(K2492:T2492)=0,"SOURCE EMPTY / INDUSTRIAL ONLY",IF(MIN(K2492:T2492)=1,"SERVICE READY","HOLD"))</f>
        <v>SOURCE EMPTY / INDUSTRIAL ONLY</v>
      </c>
      <c r="V2492" s="9" t="n">
        <f aca="false">IF(U2492="SERVICE READY",1,0)</f>
        <v>0</v>
      </c>
      <c r="W2492" s="6"/>
      <c r="X2492" s="6"/>
      <c r="Y2492" s="6"/>
      <c r="Z2492" s="6"/>
    </row>
    <row r="2493" customFormat="false" ht="15" hidden="false" customHeight="false" outlineLevel="0" collapsed="false">
      <c r="A2493" s="9" t="s">
        <v>2755</v>
      </c>
      <c r="B2493" s="9" t="s">
        <v>2681</v>
      </c>
      <c r="C2493" s="9" t="s">
        <v>2682</v>
      </c>
      <c r="D2493" s="9" t="s">
        <v>2185</v>
      </c>
      <c r="E2493" s="9" t="s">
        <v>196</v>
      </c>
      <c r="F2493" s="9" t="s">
        <v>205</v>
      </c>
      <c r="G2493" s="9" t="s">
        <v>221</v>
      </c>
      <c r="H2493" s="9" t="n">
        <v>750</v>
      </c>
      <c r="I2493" s="29" t="n">
        <v>1</v>
      </c>
      <c r="J2493" s="9" t="n">
        <v>1</v>
      </c>
      <c r="K2493" s="30"/>
      <c r="L2493" s="30"/>
      <c r="M2493" s="30"/>
      <c r="N2493" s="30"/>
      <c r="O2493" s="30"/>
      <c r="P2493" s="30"/>
      <c r="Q2493" s="30"/>
      <c r="R2493" s="30"/>
      <c r="S2493" s="30"/>
      <c r="T2493" s="30"/>
      <c r="U2493" s="21" t="str">
        <f aca="false">IF(COUNT(K2493:T2493)=0,"SOURCE EMPTY / INDUSTRIAL ONLY",IF(MIN(K2493:T2493)=1,"SERVICE READY","HOLD"))</f>
        <v>SOURCE EMPTY / INDUSTRIAL ONLY</v>
      </c>
      <c r="V2493" s="9" t="n">
        <f aca="false">IF(U2493="SERVICE READY",1,0)</f>
        <v>0</v>
      </c>
      <c r="W2493" s="6"/>
      <c r="X2493" s="6"/>
      <c r="Y2493" s="6"/>
      <c r="Z2493" s="6"/>
    </row>
    <row r="2494" customFormat="false" ht="15" hidden="false" customHeight="false" outlineLevel="0" collapsed="false">
      <c r="A2494" s="9" t="s">
        <v>2756</v>
      </c>
      <c r="B2494" s="9" t="s">
        <v>2681</v>
      </c>
      <c r="C2494" s="9" t="s">
        <v>2682</v>
      </c>
      <c r="D2494" s="9" t="s">
        <v>2185</v>
      </c>
      <c r="E2494" s="9" t="s">
        <v>196</v>
      </c>
      <c r="F2494" s="9" t="s">
        <v>207</v>
      </c>
      <c r="G2494" s="9" t="s">
        <v>221</v>
      </c>
      <c r="H2494" s="9" t="n">
        <v>750</v>
      </c>
      <c r="I2494" s="29" t="n">
        <v>1</v>
      </c>
      <c r="J2494" s="9" t="n">
        <v>1</v>
      </c>
      <c r="K2494" s="30"/>
      <c r="L2494" s="30"/>
      <c r="M2494" s="30"/>
      <c r="N2494" s="30"/>
      <c r="O2494" s="30"/>
      <c r="P2494" s="30"/>
      <c r="Q2494" s="30"/>
      <c r="R2494" s="30"/>
      <c r="S2494" s="30"/>
      <c r="T2494" s="30"/>
      <c r="U2494" s="21" t="str">
        <f aca="false">IF(COUNT(K2494:T2494)=0,"SOURCE EMPTY / INDUSTRIAL ONLY",IF(MIN(K2494:T2494)=1,"SERVICE READY","HOLD"))</f>
        <v>SOURCE EMPTY / INDUSTRIAL ONLY</v>
      </c>
      <c r="V2494" s="9" t="n">
        <f aca="false">IF(U2494="SERVICE READY",1,0)</f>
        <v>0</v>
      </c>
      <c r="W2494" s="6"/>
      <c r="X2494" s="6"/>
      <c r="Y2494" s="6"/>
      <c r="Z2494" s="6"/>
    </row>
    <row r="2495" customFormat="false" ht="15" hidden="false" customHeight="false" outlineLevel="0" collapsed="false">
      <c r="A2495" s="9" t="s">
        <v>2757</v>
      </c>
      <c r="B2495" s="9" t="s">
        <v>2681</v>
      </c>
      <c r="C2495" s="9" t="s">
        <v>2682</v>
      </c>
      <c r="D2495" s="9" t="s">
        <v>2185</v>
      </c>
      <c r="E2495" s="9" t="s">
        <v>196</v>
      </c>
      <c r="F2495" s="9" t="s">
        <v>209</v>
      </c>
      <c r="G2495" s="9" t="s">
        <v>221</v>
      </c>
      <c r="H2495" s="9" t="n">
        <v>750</v>
      </c>
      <c r="I2495" s="29" t="n">
        <v>1</v>
      </c>
      <c r="J2495" s="9" t="n">
        <v>1</v>
      </c>
      <c r="K2495" s="30"/>
      <c r="L2495" s="30"/>
      <c r="M2495" s="30"/>
      <c r="N2495" s="30"/>
      <c r="O2495" s="30"/>
      <c r="P2495" s="30"/>
      <c r="Q2495" s="30"/>
      <c r="R2495" s="30"/>
      <c r="S2495" s="30"/>
      <c r="T2495" s="30"/>
      <c r="U2495" s="21" t="str">
        <f aca="false">IF(COUNT(K2495:T2495)=0,"SOURCE EMPTY / INDUSTRIAL ONLY",IF(MIN(K2495:T2495)=1,"SERVICE READY","HOLD"))</f>
        <v>SOURCE EMPTY / INDUSTRIAL ONLY</v>
      </c>
      <c r="V2495" s="9" t="n">
        <f aca="false">IF(U2495="SERVICE READY",1,0)</f>
        <v>0</v>
      </c>
      <c r="W2495" s="6"/>
      <c r="X2495" s="6"/>
      <c r="Y2495" s="6"/>
      <c r="Z2495" s="6"/>
    </row>
    <row r="2496" customFormat="false" ht="15" hidden="false" customHeight="false" outlineLevel="0" collapsed="false">
      <c r="A2496" s="9" t="s">
        <v>2758</v>
      </c>
      <c r="B2496" s="9" t="s">
        <v>2681</v>
      </c>
      <c r="C2496" s="9" t="s">
        <v>2682</v>
      </c>
      <c r="D2496" s="9" t="s">
        <v>2185</v>
      </c>
      <c r="E2496" s="9" t="s">
        <v>196</v>
      </c>
      <c r="F2496" s="9" t="s">
        <v>211</v>
      </c>
      <c r="G2496" s="9" t="s">
        <v>221</v>
      </c>
      <c r="H2496" s="9" t="n">
        <v>750</v>
      </c>
      <c r="I2496" s="29" t="n">
        <v>1</v>
      </c>
      <c r="J2496" s="9" t="n">
        <v>1</v>
      </c>
      <c r="K2496" s="30"/>
      <c r="L2496" s="30"/>
      <c r="M2496" s="30"/>
      <c r="N2496" s="30"/>
      <c r="O2496" s="30"/>
      <c r="P2496" s="30"/>
      <c r="Q2496" s="30"/>
      <c r="R2496" s="30"/>
      <c r="S2496" s="30"/>
      <c r="T2496" s="30"/>
      <c r="U2496" s="21" t="str">
        <f aca="false">IF(COUNT(K2496:T2496)=0,"SOURCE EMPTY / INDUSTRIAL ONLY",IF(MIN(K2496:T2496)=1,"SERVICE READY","HOLD"))</f>
        <v>SOURCE EMPTY / INDUSTRIAL ONLY</v>
      </c>
      <c r="V2496" s="9" t="n">
        <f aca="false">IF(U2496="SERVICE READY",1,0)</f>
        <v>0</v>
      </c>
      <c r="W2496" s="6"/>
      <c r="X2496" s="6"/>
      <c r="Y2496" s="6"/>
      <c r="Z2496" s="6"/>
    </row>
    <row r="2497" customFormat="false" ht="15" hidden="false" customHeight="false" outlineLevel="0" collapsed="false">
      <c r="A2497" s="9" t="s">
        <v>2759</v>
      </c>
      <c r="B2497" s="9" t="s">
        <v>2681</v>
      </c>
      <c r="C2497" s="9" t="s">
        <v>2682</v>
      </c>
      <c r="D2497" s="9" t="s">
        <v>2185</v>
      </c>
      <c r="E2497" s="9" t="s">
        <v>196</v>
      </c>
      <c r="F2497" s="9" t="s">
        <v>197</v>
      </c>
      <c r="G2497" s="9" t="s">
        <v>221</v>
      </c>
      <c r="H2497" s="9" t="n">
        <v>750</v>
      </c>
      <c r="I2497" s="29" t="n">
        <v>1</v>
      </c>
      <c r="J2497" s="9" t="n">
        <v>1</v>
      </c>
      <c r="K2497" s="30"/>
      <c r="L2497" s="30"/>
      <c r="M2497" s="30"/>
      <c r="N2497" s="30"/>
      <c r="O2497" s="30"/>
      <c r="P2497" s="30"/>
      <c r="Q2497" s="30"/>
      <c r="R2497" s="30"/>
      <c r="S2497" s="30"/>
      <c r="T2497" s="30"/>
      <c r="U2497" s="21" t="str">
        <f aca="false">IF(COUNT(K2497:T2497)=0,"SOURCE EMPTY / INDUSTRIAL ONLY",IF(MIN(K2497:T2497)=1,"SERVICE READY","HOLD"))</f>
        <v>SOURCE EMPTY / INDUSTRIAL ONLY</v>
      </c>
      <c r="V2497" s="9" t="n">
        <f aca="false">IF(U2497="SERVICE READY",1,0)</f>
        <v>0</v>
      </c>
      <c r="W2497" s="6"/>
      <c r="X2497" s="6"/>
      <c r="Y2497" s="6"/>
      <c r="Z2497" s="6"/>
    </row>
    <row r="2498" customFormat="false" ht="15" hidden="false" customHeight="false" outlineLevel="0" collapsed="false">
      <c r="A2498" s="9" t="s">
        <v>2760</v>
      </c>
      <c r="B2498" s="9" t="s">
        <v>2681</v>
      </c>
      <c r="C2498" s="9" t="s">
        <v>2682</v>
      </c>
      <c r="D2498" s="9" t="s">
        <v>2185</v>
      </c>
      <c r="E2498" s="9" t="s">
        <v>196</v>
      </c>
      <c r="F2498" s="9" t="s">
        <v>200</v>
      </c>
      <c r="G2498" s="9" t="s">
        <v>221</v>
      </c>
      <c r="H2498" s="9" t="n">
        <v>750</v>
      </c>
      <c r="I2498" s="29" t="n">
        <v>1</v>
      </c>
      <c r="J2498" s="9" t="n">
        <v>1</v>
      </c>
      <c r="K2498" s="30"/>
      <c r="L2498" s="30"/>
      <c r="M2498" s="30"/>
      <c r="N2498" s="30"/>
      <c r="O2498" s="30"/>
      <c r="P2498" s="30"/>
      <c r="Q2498" s="30"/>
      <c r="R2498" s="30"/>
      <c r="S2498" s="30"/>
      <c r="T2498" s="30"/>
      <c r="U2498" s="21" t="str">
        <f aca="false">IF(COUNT(K2498:T2498)=0,"SOURCE EMPTY / INDUSTRIAL ONLY",IF(MIN(K2498:T2498)=1,"SERVICE READY","HOLD"))</f>
        <v>SOURCE EMPTY / INDUSTRIAL ONLY</v>
      </c>
      <c r="V2498" s="9" t="n">
        <f aca="false">IF(U2498="SERVICE READY",1,0)</f>
        <v>0</v>
      </c>
      <c r="W2498" s="6"/>
      <c r="X2498" s="6"/>
      <c r="Y2498" s="6"/>
      <c r="Z2498" s="6"/>
    </row>
    <row r="2499" customFormat="false" ht="15" hidden="false" customHeight="false" outlineLevel="0" collapsed="false">
      <c r="A2499" s="9" t="s">
        <v>2761</v>
      </c>
      <c r="B2499" s="9" t="s">
        <v>2681</v>
      </c>
      <c r="C2499" s="9" t="s">
        <v>2682</v>
      </c>
      <c r="D2499" s="9" t="s">
        <v>2185</v>
      </c>
      <c r="E2499" s="9" t="s">
        <v>196</v>
      </c>
      <c r="F2499" s="9" t="s">
        <v>203</v>
      </c>
      <c r="G2499" s="9" t="s">
        <v>221</v>
      </c>
      <c r="H2499" s="9" t="n">
        <v>750</v>
      </c>
      <c r="I2499" s="29" t="n">
        <v>1</v>
      </c>
      <c r="J2499" s="9" t="n">
        <v>1</v>
      </c>
      <c r="K2499" s="30"/>
      <c r="L2499" s="30"/>
      <c r="M2499" s="30"/>
      <c r="N2499" s="30"/>
      <c r="O2499" s="30"/>
      <c r="P2499" s="30"/>
      <c r="Q2499" s="30"/>
      <c r="R2499" s="30"/>
      <c r="S2499" s="30"/>
      <c r="T2499" s="30"/>
      <c r="U2499" s="21" t="str">
        <f aca="false">IF(COUNT(K2499:T2499)=0,"SOURCE EMPTY / INDUSTRIAL ONLY",IF(MIN(K2499:T2499)=1,"SERVICE READY","HOLD"))</f>
        <v>SOURCE EMPTY / INDUSTRIAL ONLY</v>
      </c>
      <c r="V2499" s="9" t="n">
        <f aca="false">IF(U2499="SERVICE READY",1,0)</f>
        <v>0</v>
      </c>
      <c r="W2499" s="6"/>
      <c r="X2499" s="6"/>
      <c r="Y2499" s="6"/>
      <c r="Z2499" s="6"/>
    </row>
    <row r="2500" customFormat="false" ht="15" hidden="false" customHeight="false" outlineLevel="0" collapsed="false">
      <c r="A2500" s="9" t="s">
        <v>2762</v>
      </c>
      <c r="B2500" s="9" t="s">
        <v>2681</v>
      </c>
      <c r="C2500" s="9" t="s">
        <v>2682</v>
      </c>
      <c r="D2500" s="9" t="s">
        <v>2185</v>
      </c>
      <c r="E2500" s="9" t="s">
        <v>196</v>
      </c>
      <c r="F2500" s="9" t="s">
        <v>205</v>
      </c>
      <c r="G2500" s="9" t="s">
        <v>221</v>
      </c>
      <c r="H2500" s="9" t="n">
        <v>750</v>
      </c>
      <c r="I2500" s="29" t="n">
        <v>1</v>
      </c>
      <c r="J2500" s="9" t="n">
        <v>1</v>
      </c>
      <c r="K2500" s="30"/>
      <c r="L2500" s="30"/>
      <c r="M2500" s="30"/>
      <c r="N2500" s="30"/>
      <c r="O2500" s="30"/>
      <c r="P2500" s="30"/>
      <c r="Q2500" s="30"/>
      <c r="R2500" s="30"/>
      <c r="S2500" s="30"/>
      <c r="T2500" s="30"/>
      <c r="U2500" s="21" t="str">
        <f aca="false">IF(COUNT(K2500:T2500)=0,"SOURCE EMPTY / INDUSTRIAL ONLY",IF(MIN(K2500:T2500)=1,"SERVICE READY","HOLD"))</f>
        <v>SOURCE EMPTY / INDUSTRIAL ONLY</v>
      </c>
      <c r="V2500" s="9" t="n">
        <f aca="false">IF(U2500="SERVICE READY",1,0)</f>
        <v>0</v>
      </c>
      <c r="W2500" s="6"/>
      <c r="X2500" s="6"/>
      <c r="Y2500" s="6"/>
      <c r="Z2500" s="6"/>
    </row>
    <row r="2501" customFormat="false" ht="15" hidden="false" customHeight="false" outlineLevel="0" collapsed="false">
      <c r="A2501" s="9" t="s">
        <v>2763</v>
      </c>
      <c r="B2501" s="9" t="s">
        <v>2681</v>
      </c>
      <c r="C2501" s="9" t="s">
        <v>2682</v>
      </c>
      <c r="D2501" s="9" t="s">
        <v>2185</v>
      </c>
      <c r="E2501" s="9" t="s">
        <v>196</v>
      </c>
      <c r="F2501" s="9" t="s">
        <v>207</v>
      </c>
      <c r="G2501" s="9" t="s">
        <v>221</v>
      </c>
      <c r="H2501" s="9" t="n">
        <v>750</v>
      </c>
      <c r="I2501" s="29" t="n">
        <v>1</v>
      </c>
      <c r="J2501" s="9" t="n">
        <v>1</v>
      </c>
      <c r="K2501" s="30"/>
      <c r="L2501" s="30"/>
      <c r="M2501" s="30"/>
      <c r="N2501" s="30"/>
      <c r="O2501" s="30"/>
      <c r="P2501" s="30"/>
      <c r="Q2501" s="30"/>
      <c r="R2501" s="30"/>
      <c r="S2501" s="30"/>
      <c r="T2501" s="30"/>
      <c r="U2501" s="21" t="str">
        <f aca="false">IF(COUNT(K2501:T2501)=0,"SOURCE EMPTY / INDUSTRIAL ONLY",IF(MIN(K2501:T2501)=1,"SERVICE READY","HOLD"))</f>
        <v>SOURCE EMPTY / INDUSTRIAL ONLY</v>
      </c>
      <c r="V2501" s="9" t="n">
        <f aca="false">IF(U2501="SERVICE READY",1,0)</f>
        <v>0</v>
      </c>
      <c r="W2501" s="6"/>
      <c r="X2501" s="6"/>
      <c r="Y2501" s="6"/>
      <c r="Z2501" s="6"/>
    </row>
    <row r="2502" customFormat="false" ht="15" hidden="false" customHeight="false" outlineLevel="0" collapsed="false">
      <c r="A2502" s="9" t="s">
        <v>2764</v>
      </c>
      <c r="B2502" s="9" t="s">
        <v>2681</v>
      </c>
      <c r="C2502" s="9" t="s">
        <v>2682</v>
      </c>
      <c r="D2502" s="9" t="s">
        <v>2185</v>
      </c>
      <c r="E2502" s="9" t="s">
        <v>196</v>
      </c>
      <c r="F2502" s="9" t="s">
        <v>209</v>
      </c>
      <c r="G2502" s="9" t="s">
        <v>221</v>
      </c>
      <c r="H2502" s="9" t="n">
        <v>750</v>
      </c>
      <c r="I2502" s="29" t="n">
        <v>1</v>
      </c>
      <c r="J2502" s="9" t="n">
        <v>1</v>
      </c>
      <c r="K2502" s="30"/>
      <c r="L2502" s="30"/>
      <c r="M2502" s="30"/>
      <c r="N2502" s="30"/>
      <c r="O2502" s="30"/>
      <c r="P2502" s="30"/>
      <c r="Q2502" s="30"/>
      <c r="R2502" s="30"/>
      <c r="S2502" s="30"/>
      <c r="T2502" s="30"/>
      <c r="U2502" s="21" t="str">
        <f aca="false">IF(COUNT(K2502:T2502)=0,"SOURCE EMPTY / INDUSTRIAL ONLY",IF(MIN(K2502:T2502)=1,"SERVICE READY","HOLD"))</f>
        <v>SOURCE EMPTY / INDUSTRIAL ONLY</v>
      </c>
      <c r="V2502" s="9" t="n">
        <f aca="false">IF(U2502="SERVICE READY",1,0)</f>
        <v>0</v>
      </c>
      <c r="W2502" s="6"/>
      <c r="X2502" s="6"/>
      <c r="Y2502" s="6"/>
      <c r="Z2502" s="6"/>
    </row>
    <row r="2503" customFormat="false" ht="15" hidden="false" customHeight="false" outlineLevel="0" collapsed="false">
      <c r="A2503" s="9" t="s">
        <v>2765</v>
      </c>
      <c r="B2503" s="9" t="s">
        <v>2681</v>
      </c>
      <c r="C2503" s="9" t="s">
        <v>2682</v>
      </c>
      <c r="D2503" s="9" t="s">
        <v>2185</v>
      </c>
      <c r="E2503" s="9" t="s">
        <v>196</v>
      </c>
      <c r="F2503" s="9" t="s">
        <v>211</v>
      </c>
      <c r="G2503" s="9" t="s">
        <v>221</v>
      </c>
      <c r="H2503" s="9" t="n">
        <v>750</v>
      </c>
      <c r="I2503" s="29" t="n">
        <v>1</v>
      </c>
      <c r="J2503" s="9" t="n">
        <v>1</v>
      </c>
      <c r="K2503" s="30"/>
      <c r="L2503" s="30"/>
      <c r="M2503" s="30"/>
      <c r="N2503" s="30"/>
      <c r="O2503" s="30"/>
      <c r="P2503" s="30"/>
      <c r="Q2503" s="30"/>
      <c r="R2503" s="30"/>
      <c r="S2503" s="30"/>
      <c r="T2503" s="30"/>
      <c r="U2503" s="21" t="str">
        <f aca="false">IF(COUNT(K2503:T2503)=0,"SOURCE EMPTY / INDUSTRIAL ONLY",IF(MIN(K2503:T2503)=1,"SERVICE READY","HOLD"))</f>
        <v>SOURCE EMPTY / INDUSTRIAL ONLY</v>
      </c>
      <c r="V2503" s="9" t="n">
        <f aca="false">IF(U2503="SERVICE READY",1,0)</f>
        <v>0</v>
      </c>
      <c r="W2503" s="6"/>
      <c r="X2503" s="6"/>
      <c r="Y2503" s="6"/>
      <c r="Z2503" s="6"/>
    </row>
    <row r="2504" customFormat="false" ht="15" hidden="false" customHeight="false" outlineLevel="0" collapsed="false">
      <c r="A2504" s="9" t="s">
        <v>2766</v>
      </c>
      <c r="B2504" s="9" t="s">
        <v>2681</v>
      </c>
      <c r="C2504" s="9" t="s">
        <v>2682</v>
      </c>
      <c r="D2504" s="9" t="s">
        <v>2185</v>
      </c>
      <c r="E2504" s="9" t="s">
        <v>196</v>
      </c>
      <c r="F2504" s="9" t="s">
        <v>197</v>
      </c>
      <c r="G2504" s="9" t="s">
        <v>221</v>
      </c>
      <c r="H2504" s="9" t="n">
        <v>750</v>
      </c>
      <c r="I2504" s="29" t="n">
        <v>1</v>
      </c>
      <c r="J2504" s="9" t="n">
        <v>1</v>
      </c>
      <c r="K2504" s="30"/>
      <c r="L2504" s="30"/>
      <c r="M2504" s="30"/>
      <c r="N2504" s="30"/>
      <c r="O2504" s="30"/>
      <c r="P2504" s="30"/>
      <c r="Q2504" s="30"/>
      <c r="R2504" s="30"/>
      <c r="S2504" s="30"/>
      <c r="T2504" s="30"/>
      <c r="U2504" s="21" t="str">
        <f aca="false">IF(COUNT(K2504:T2504)=0,"SOURCE EMPTY / INDUSTRIAL ONLY",IF(MIN(K2504:T2504)=1,"SERVICE READY","HOLD"))</f>
        <v>SOURCE EMPTY / INDUSTRIAL ONLY</v>
      </c>
      <c r="V2504" s="9" t="n">
        <f aca="false">IF(U2504="SERVICE READY",1,0)</f>
        <v>0</v>
      </c>
      <c r="W2504" s="6"/>
      <c r="X2504" s="6"/>
      <c r="Y2504" s="6"/>
      <c r="Z2504" s="6"/>
    </row>
    <row r="2505" customFormat="false" ht="15" hidden="false" customHeight="false" outlineLevel="0" collapsed="false">
      <c r="A2505" s="9" t="s">
        <v>2767</v>
      </c>
      <c r="B2505" s="9" t="s">
        <v>2681</v>
      </c>
      <c r="C2505" s="9" t="s">
        <v>2682</v>
      </c>
      <c r="D2505" s="9" t="s">
        <v>2185</v>
      </c>
      <c r="E2505" s="9" t="s">
        <v>196</v>
      </c>
      <c r="F2505" s="9" t="s">
        <v>200</v>
      </c>
      <c r="G2505" s="9" t="s">
        <v>221</v>
      </c>
      <c r="H2505" s="9" t="n">
        <v>750</v>
      </c>
      <c r="I2505" s="29" t="n">
        <v>1</v>
      </c>
      <c r="J2505" s="9" t="n">
        <v>1</v>
      </c>
      <c r="K2505" s="30"/>
      <c r="L2505" s="30"/>
      <c r="M2505" s="30"/>
      <c r="N2505" s="30"/>
      <c r="O2505" s="30"/>
      <c r="P2505" s="30"/>
      <c r="Q2505" s="30"/>
      <c r="R2505" s="30"/>
      <c r="S2505" s="30"/>
      <c r="T2505" s="30"/>
      <c r="U2505" s="21" t="str">
        <f aca="false">IF(COUNT(K2505:T2505)=0,"SOURCE EMPTY / INDUSTRIAL ONLY",IF(MIN(K2505:T2505)=1,"SERVICE READY","HOLD"))</f>
        <v>SOURCE EMPTY / INDUSTRIAL ONLY</v>
      </c>
      <c r="V2505" s="9" t="n">
        <f aca="false">IF(U2505="SERVICE READY",1,0)</f>
        <v>0</v>
      </c>
      <c r="W2505" s="6"/>
      <c r="X2505" s="6"/>
      <c r="Y2505" s="6"/>
      <c r="Z2505" s="6"/>
    </row>
    <row r="2506" customFormat="false" ht="15" hidden="false" customHeight="false" outlineLevel="0" collapsed="false">
      <c r="A2506" s="9" t="s">
        <v>2768</v>
      </c>
      <c r="B2506" s="9" t="s">
        <v>2681</v>
      </c>
      <c r="C2506" s="9" t="s">
        <v>2682</v>
      </c>
      <c r="D2506" s="9" t="s">
        <v>2185</v>
      </c>
      <c r="E2506" s="9" t="s">
        <v>196</v>
      </c>
      <c r="F2506" s="9" t="s">
        <v>203</v>
      </c>
      <c r="G2506" s="9" t="s">
        <v>221</v>
      </c>
      <c r="H2506" s="9" t="n">
        <v>750</v>
      </c>
      <c r="I2506" s="29" t="n">
        <v>1</v>
      </c>
      <c r="J2506" s="9" t="n">
        <v>1</v>
      </c>
      <c r="K2506" s="30"/>
      <c r="L2506" s="30"/>
      <c r="M2506" s="30"/>
      <c r="N2506" s="30"/>
      <c r="O2506" s="30"/>
      <c r="P2506" s="30"/>
      <c r="Q2506" s="30"/>
      <c r="R2506" s="30"/>
      <c r="S2506" s="30"/>
      <c r="T2506" s="30"/>
      <c r="U2506" s="21" t="str">
        <f aca="false">IF(COUNT(K2506:T2506)=0,"SOURCE EMPTY / INDUSTRIAL ONLY",IF(MIN(K2506:T2506)=1,"SERVICE READY","HOLD"))</f>
        <v>SOURCE EMPTY / INDUSTRIAL ONLY</v>
      </c>
      <c r="V2506" s="9" t="n">
        <f aca="false">IF(U2506="SERVICE READY",1,0)</f>
        <v>0</v>
      </c>
      <c r="W2506" s="6"/>
      <c r="X2506" s="6"/>
      <c r="Y2506" s="6"/>
      <c r="Z2506" s="6"/>
    </row>
    <row r="2507" customFormat="false" ht="15" hidden="false" customHeight="false" outlineLevel="0" collapsed="false">
      <c r="A2507" s="9" t="s">
        <v>2769</v>
      </c>
      <c r="B2507" s="9" t="s">
        <v>2681</v>
      </c>
      <c r="C2507" s="9" t="s">
        <v>2682</v>
      </c>
      <c r="D2507" s="9" t="s">
        <v>2185</v>
      </c>
      <c r="E2507" s="9" t="s">
        <v>196</v>
      </c>
      <c r="F2507" s="9" t="s">
        <v>205</v>
      </c>
      <c r="G2507" s="9" t="s">
        <v>221</v>
      </c>
      <c r="H2507" s="9" t="n">
        <v>750</v>
      </c>
      <c r="I2507" s="29" t="n">
        <v>1</v>
      </c>
      <c r="J2507" s="9" t="n">
        <v>1</v>
      </c>
      <c r="K2507" s="30"/>
      <c r="L2507" s="30"/>
      <c r="M2507" s="30"/>
      <c r="N2507" s="30"/>
      <c r="O2507" s="30"/>
      <c r="P2507" s="30"/>
      <c r="Q2507" s="30"/>
      <c r="R2507" s="30"/>
      <c r="S2507" s="30"/>
      <c r="T2507" s="30"/>
      <c r="U2507" s="21" t="str">
        <f aca="false">IF(COUNT(K2507:T2507)=0,"SOURCE EMPTY / INDUSTRIAL ONLY",IF(MIN(K2507:T2507)=1,"SERVICE READY","HOLD"))</f>
        <v>SOURCE EMPTY / INDUSTRIAL ONLY</v>
      </c>
      <c r="V2507" s="9" t="n">
        <f aca="false">IF(U2507="SERVICE READY",1,0)</f>
        <v>0</v>
      </c>
      <c r="W2507" s="6"/>
      <c r="X2507" s="6"/>
      <c r="Y2507" s="6"/>
      <c r="Z2507" s="6"/>
    </row>
    <row r="2508" customFormat="false" ht="15" hidden="false" customHeight="false" outlineLevel="0" collapsed="false">
      <c r="A2508" s="9" t="s">
        <v>2770</v>
      </c>
      <c r="B2508" s="9" t="s">
        <v>2681</v>
      </c>
      <c r="C2508" s="9" t="s">
        <v>2682</v>
      </c>
      <c r="D2508" s="9" t="s">
        <v>2185</v>
      </c>
      <c r="E2508" s="9" t="s">
        <v>196</v>
      </c>
      <c r="F2508" s="9" t="s">
        <v>207</v>
      </c>
      <c r="G2508" s="9" t="s">
        <v>221</v>
      </c>
      <c r="H2508" s="9" t="n">
        <v>750</v>
      </c>
      <c r="I2508" s="29" t="n">
        <v>1</v>
      </c>
      <c r="J2508" s="9" t="n">
        <v>1</v>
      </c>
      <c r="K2508" s="30"/>
      <c r="L2508" s="30"/>
      <c r="M2508" s="30"/>
      <c r="N2508" s="30"/>
      <c r="O2508" s="30"/>
      <c r="P2508" s="30"/>
      <c r="Q2508" s="30"/>
      <c r="R2508" s="30"/>
      <c r="S2508" s="30"/>
      <c r="T2508" s="30"/>
      <c r="U2508" s="21" t="str">
        <f aca="false">IF(COUNT(K2508:T2508)=0,"SOURCE EMPTY / INDUSTRIAL ONLY",IF(MIN(K2508:T2508)=1,"SERVICE READY","HOLD"))</f>
        <v>SOURCE EMPTY / INDUSTRIAL ONLY</v>
      </c>
      <c r="V2508" s="9" t="n">
        <f aca="false">IF(U2508="SERVICE READY",1,0)</f>
        <v>0</v>
      </c>
      <c r="W2508" s="6"/>
      <c r="X2508" s="6"/>
      <c r="Y2508" s="6"/>
      <c r="Z2508" s="6"/>
    </row>
    <row r="2509" customFormat="false" ht="15" hidden="false" customHeight="false" outlineLevel="0" collapsed="false">
      <c r="A2509" s="9" t="s">
        <v>2771</v>
      </c>
      <c r="B2509" s="9" t="s">
        <v>2681</v>
      </c>
      <c r="C2509" s="9" t="s">
        <v>2682</v>
      </c>
      <c r="D2509" s="9" t="s">
        <v>2185</v>
      </c>
      <c r="E2509" s="9" t="s">
        <v>196</v>
      </c>
      <c r="F2509" s="9" t="s">
        <v>209</v>
      </c>
      <c r="G2509" s="9" t="s">
        <v>221</v>
      </c>
      <c r="H2509" s="9" t="n">
        <v>750</v>
      </c>
      <c r="I2509" s="29" t="n">
        <v>1</v>
      </c>
      <c r="J2509" s="9" t="n">
        <v>0</v>
      </c>
      <c r="K2509" s="30"/>
      <c r="L2509" s="30"/>
      <c r="M2509" s="30"/>
      <c r="N2509" s="30"/>
      <c r="O2509" s="30"/>
      <c r="P2509" s="30"/>
      <c r="Q2509" s="30"/>
      <c r="R2509" s="30"/>
      <c r="S2509" s="30"/>
      <c r="T2509" s="30"/>
      <c r="U2509" s="21" t="str">
        <f aca="false">IF(COUNT(K2509:T2509)=0,"SOURCE EMPTY / INDUSTRIAL ONLY",IF(MIN(K2509:T2509)=1,"SERVICE READY","HOLD"))</f>
        <v>SOURCE EMPTY / INDUSTRIAL ONLY</v>
      </c>
      <c r="V2509" s="9" t="n">
        <f aca="false">IF(U2509="SERVICE READY",1,0)</f>
        <v>0</v>
      </c>
      <c r="W2509" s="6"/>
      <c r="X2509" s="6"/>
      <c r="Y2509" s="6"/>
      <c r="Z2509" s="6"/>
    </row>
    <row r="2510" customFormat="false" ht="15" hidden="false" customHeight="false" outlineLevel="0" collapsed="false">
      <c r="A2510" s="9" t="s">
        <v>2772</v>
      </c>
      <c r="B2510" s="9" t="s">
        <v>2681</v>
      </c>
      <c r="C2510" s="9" t="s">
        <v>2682</v>
      </c>
      <c r="D2510" s="9" t="s">
        <v>2185</v>
      </c>
      <c r="E2510" s="9" t="s">
        <v>196</v>
      </c>
      <c r="F2510" s="9" t="s">
        <v>211</v>
      </c>
      <c r="G2510" s="9" t="s">
        <v>221</v>
      </c>
      <c r="H2510" s="9" t="n">
        <v>750</v>
      </c>
      <c r="I2510" s="29" t="n">
        <v>1</v>
      </c>
      <c r="J2510" s="9" t="n">
        <v>0</v>
      </c>
      <c r="K2510" s="30"/>
      <c r="L2510" s="30"/>
      <c r="M2510" s="30"/>
      <c r="N2510" s="30"/>
      <c r="O2510" s="30"/>
      <c r="P2510" s="30"/>
      <c r="Q2510" s="30"/>
      <c r="R2510" s="30"/>
      <c r="S2510" s="30"/>
      <c r="T2510" s="30"/>
      <c r="U2510" s="21" t="str">
        <f aca="false">IF(COUNT(K2510:T2510)=0,"SOURCE EMPTY / INDUSTRIAL ONLY",IF(MIN(K2510:T2510)=1,"SERVICE READY","HOLD"))</f>
        <v>SOURCE EMPTY / INDUSTRIAL ONLY</v>
      </c>
      <c r="V2510" s="9" t="n">
        <f aca="false">IF(U2510="SERVICE READY",1,0)</f>
        <v>0</v>
      </c>
      <c r="W2510" s="6"/>
      <c r="X2510" s="6"/>
      <c r="Y2510" s="6"/>
      <c r="Z2510" s="6"/>
    </row>
    <row r="2511" customFormat="false" ht="15" hidden="false" customHeight="false" outlineLevel="0" collapsed="false">
      <c r="A2511" s="9" t="s">
        <v>2773</v>
      </c>
      <c r="B2511" s="9" t="s">
        <v>2681</v>
      </c>
      <c r="C2511" s="9" t="s">
        <v>2682</v>
      </c>
      <c r="D2511" s="9" t="s">
        <v>2185</v>
      </c>
      <c r="E2511" s="9" t="s">
        <v>196</v>
      </c>
      <c r="F2511" s="9" t="s">
        <v>197</v>
      </c>
      <c r="G2511" s="9" t="s">
        <v>221</v>
      </c>
      <c r="H2511" s="9" t="n">
        <v>750</v>
      </c>
      <c r="I2511" s="29" t="n">
        <v>1</v>
      </c>
      <c r="J2511" s="9" t="n">
        <v>0</v>
      </c>
      <c r="K2511" s="30"/>
      <c r="L2511" s="30"/>
      <c r="M2511" s="30"/>
      <c r="N2511" s="30"/>
      <c r="O2511" s="30"/>
      <c r="P2511" s="30"/>
      <c r="Q2511" s="30"/>
      <c r="R2511" s="30"/>
      <c r="S2511" s="30"/>
      <c r="T2511" s="30"/>
      <c r="U2511" s="21" t="str">
        <f aca="false">IF(COUNT(K2511:T2511)=0,"SOURCE EMPTY / INDUSTRIAL ONLY",IF(MIN(K2511:T2511)=1,"SERVICE READY","HOLD"))</f>
        <v>SOURCE EMPTY / INDUSTRIAL ONLY</v>
      </c>
      <c r="V2511" s="9" t="n">
        <f aca="false">IF(U2511="SERVICE READY",1,0)</f>
        <v>0</v>
      </c>
      <c r="W2511" s="6"/>
      <c r="X2511" s="6"/>
      <c r="Y2511" s="6"/>
      <c r="Z2511" s="6"/>
    </row>
    <row r="2512" customFormat="false" ht="15" hidden="false" customHeight="false" outlineLevel="0" collapsed="false">
      <c r="A2512" s="9" t="s">
        <v>2774</v>
      </c>
      <c r="B2512" s="9" t="s">
        <v>2681</v>
      </c>
      <c r="C2512" s="9" t="s">
        <v>2682</v>
      </c>
      <c r="D2512" s="9" t="s">
        <v>2185</v>
      </c>
      <c r="E2512" s="9" t="s">
        <v>196</v>
      </c>
      <c r="F2512" s="9" t="s">
        <v>200</v>
      </c>
      <c r="G2512" s="9" t="s">
        <v>221</v>
      </c>
      <c r="H2512" s="9" t="n">
        <v>750</v>
      </c>
      <c r="I2512" s="29" t="n">
        <v>1</v>
      </c>
      <c r="J2512" s="9" t="n">
        <v>0</v>
      </c>
      <c r="K2512" s="30"/>
      <c r="L2512" s="30"/>
      <c r="M2512" s="30"/>
      <c r="N2512" s="30"/>
      <c r="O2512" s="30"/>
      <c r="P2512" s="30"/>
      <c r="Q2512" s="30"/>
      <c r="R2512" s="30"/>
      <c r="S2512" s="30"/>
      <c r="T2512" s="30"/>
      <c r="U2512" s="21" t="str">
        <f aca="false">IF(COUNT(K2512:T2512)=0,"SOURCE EMPTY / INDUSTRIAL ONLY",IF(MIN(K2512:T2512)=1,"SERVICE READY","HOLD"))</f>
        <v>SOURCE EMPTY / INDUSTRIAL ONLY</v>
      </c>
      <c r="V2512" s="9" t="n">
        <f aca="false">IF(U2512="SERVICE READY",1,0)</f>
        <v>0</v>
      </c>
      <c r="W2512" s="6"/>
      <c r="X2512" s="6"/>
      <c r="Y2512" s="6"/>
      <c r="Z2512" s="6"/>
    </row>
    <row r="2513" customFormat="false" ht="15" hidden="false" customHeight="false" outlineLevel="0" collapsed="false">
      <c r="A2513" s="9" t="s">
        <v>2775</v>
      </c>
      <c r="B2513" s="9" t="s">
        <v>2681</v>
      </c>
      <c r="C2513" s="9" t="s">
        <v>2682</v>
      </c>
      <c r="D2513" s="9" t="s">
        <v>2185</v>
      </c>
      <c r="E2513" s="9" t="s">
        <v>196</v>
      </c>
      <c r="F2513" s="9" t="s">
        <v>203</v>
      </c>
      <c r="G2513" s="9" t="s">
        <v>221</v>
      </c>
      <c r="H2513" s="9" t="n">
        <v>750</v>
      </c>
      <c r="I2513" s="29" t="n">
        <v>1</v>
      </c>
      <c r="J2513" s="9" t="n">
        <v>0</v>
      </c>
      <c r="K2513" s="30"/>
      <c r="L2513" s="30"/>
      <c r="M2513" s="30"/>
      <c r="N2513" s="30"/>
      <c r="O2513" s="30"/>
      <c r="P2513" s="30"/>
      <c r="Q2513" s="30"/>
      <c r="R2513" s="30"/>
      <c r="S2513" s="30"/>
      <c r="T2513" s="30"/>
      <c r="U2513" s="21" t="str">
        <f aca="false">IF(COUNT(K2513:T2513)=0,"SOURCE EMPTY / INDUSTRIAL ONLY",IF(MIN(K2513:T2513)=1,"SERVICE READY","HOLD"))</f>
        <v>SOURCE EMPTY / INDUSTRIAL ONLY</v>
      </c>
      <c r="V2513" s="9" t="n">
        <f aca="false">IF(U2513="SERVICE READY",1,0)</f>
        <v>0</v>
      </c>
      <c r="W2513" s="6"/>
      <c r="X2513" s="6"/>
      <c r="Y2513" s="6"/>
      <c r="Z2513" s="6"/>
    </row>
    <row r="2514" customFormat="false" ht="15" hidden="false" customHeight="false" outlineLevel="0" collapsed="false">
      <c r="A2514" s="9" t="s">
        <v>2776</v>
      </c>
      <c r="B2514" s="9" t="s">
        <v>2681</v>
      </c>
      <c r="C2514" s="9" t="s">
        <v>2682</v>
      </c>
      <c r="D2514" s="9" t="s">
        <v>2185</v>
      </c>
      <c r="E2514" s="9" t="s">
        <v>196</v>
      </c>
      <c r="F2514" s="9" t="s">
        <v>205</v>
      </c>
      <c r="G2514" s="9" t="s">
        <v>221</v>
      </c>
      <c r="H2514" s="9" t="n">
        <v>750</v>
      </c>
      <c r="I2514" s="29" t="n">
        <v>1</v>
      </c>
      <c r="J2514" s="9" t="n">
        <v>0</v>
      </c>
      <c r="K2514" s="30"/>
      <c r="L2514" s="30"/>
      <c r="M2514" s="30"/>
      <c r="N2514" s="30"/>
      <c r="O2514" s="30"/>
      <c r="P2514" s="30"/>
      <c r="Q2514" s="30"/>
      <c r="R2514" s="30"/>
      <c r="S2514" s="30"/>
      <c r="T2514" s="30"/>
      <c r="U2514" s="21" t="str">
        <f aca="false">IF(COUNT(K2514:T2514)=0,"SOURCE EMPTY / INDUSTRIAL ONLY",IF(MIN(K2514:T2514)=1,"SERVICE READY","HOLD"))</f>
        <v>SOURCE EMPTY / INDUSTRIAL ONLY</v>
      </c>
      <c r="V2514" s="9" t="n">
        <f aca="false">IF(U2514="SERVICE READY",1,0)</f>
        <v>0</v>
      </c>
      <c r="W2514" s="6"/>
      <c r="X2514" s="6"/>
      <c r="Y2514" s="6"/>
      <c r="Z2514" s="6"/>
    </row>
    <row r="2515" customFormat="false" ht="15" hidden="false" customHeight="false" outlineLevel="0" collapsed="false">
      <c r="A2515" s="9" t="s">
        <v>2777</v>
      </c>
      <c r="B2515" s="9" t="s">
        <v>2681</v>
      </c>
      <c r="C2515" s="9" t="s">
        <v>2682</v>
      </c>
      <c r="D2515" s="9" t="s">
        <v>2185</v>
      </c>
      <c r="E2515" s="9" t="s">
        <v>196</v>
      </c>
      <c r="F2515" s="9" t="s">
        <v>207</v>
      </c>
      <c r="G2515" s="9" t="s">
        <v>221</v>
      </c>
      <c r="H2515" s="9" t="n">
        <v>750</v>
      </c>
      <c r="I2515" s="29" t="n">
        <v>1</v>
      </c>
      <c r="J2515" s="9" t="n">
        <v>0</v>
      </c>
      <c r="K2515" s="30"/>
      <c r="L2515" s="30"/>
      <c r="M2515" s="30"/>
      <c r="N2515" s="30"/>
      <c r="O2515" s="30"/>
      <c r="P2515" s="30"/>
      <c r="Q2515" s="30"/>
      <c r="R2515" s="30"/>
      <c r="S2515" s="30"/>
      <c r="T2515" s="30"/>
      <c r="U2515" s="21" t="str">
        <f aca="false">IF(COUNT(K2515:T2515)=0,"SOURCE EMPTY / INDUSTRIAL ONLY",IF(MIN(K2515:T2515)=1,"SERVICE READY","HOLD"))</f>
        <v>SOURCE EMPTY / INDUSTRIAL ONLY</v>
      </c>
      <c r="V2515" s="9" t="n">
        <f aca="false">IF(U2515="SERVICE READY",1,0)</f>
        <v>0</v>
      </c>
      <c r="W2515" s="6"/>
      <c r="X2515" s="6"/>
      <c r="Y2515" s="6"/>
      <c r="Z2515" s="6"/>
    </row>
    <row r="2516" customFormat="false" ht="15" hidden="false" customHeight="false" outlineLevel="0" collapsed="false">
      <c r="A2516" s="9" t="s">
        <v>2778</v>
      </c>
      <c r="B2516" s="9" t="s">
        <v>2681</v>
      </c>
      <c r="C2516" s="9" t="s">
        <v>2682</v>
      </c>
      <c r="D2516" s="9" t="s">
        <v>2185</v>
      </c>
      <c r="E2516" s="9" t="s">
        <v>196</v>
      </c>
      <c r="F2516" s="9" t="s">
        <v>209</v>
      </c>
      <c r="G2516" s="9" t="s">
        <v>221</v>
      </c>
      <c r="H2516" s="9" t="n">
        <v>750</v>
      </c>
      <c r="I2516" s="29" t="n">
        <v>1</v>
      </c>
      <c r="J2516" s="9" t="n">
        <v>0</v>
      </c>
      <c r="K2516" s="30"/>
      <c r="L2516" s="30"/>
      <c r="M2516" s="30"/>
      <c r="N2516" s="30"/>
      <c r="O2516" s="30"/>
      <c r="P2516" s="30"/>
      <c r="Q2516" s="30"/>
      <c r="R2516" s="30"/>
      <c r="S2516" s="30"/>
      <c r="T2516" s="30"/>
      <c r="U2516" s="21" t="str">
        <f aca="false">IF(COUNT(K2516:T2516)=0,"SOURCE EMPTY / INDUSTRIAL ONLY",IF(MIN(K2516:T2516)=1,"SERVICE READY","HOLD"))</f>
        <v>SOURCE EMPTY / INDUSTRIAL ONLY</v>
      </c>
      <c r="V2516" s="9" t="n">
        <f aca="false">IF(U2516="SERVICE READY",1,0)</f>
        <v>0</v>
      </c>
      <c r="W2516" s="6"/>
      <c r="X2516" s="6"/>
      <c r="Y2516" s="6"/>
      <c r="Z2516" s="6"/>
    </row>
    <row r="2517" customFormat="false" ht="15" hidden="false" customHeight="false" outlineLevel="0" collapsed="false">
      <c r="A2517" s="9" t="s">
        <v>2779</v>
      </c>
      <c r="B2517" s="9" t="s">
        <v>2681</v>
      </c>
      <c r="C2517" s="9" t="s">
        <v>2682</v>
      </c>
      <c r="D2517" s="9" t="s">
        <v>2185</v>
      </c>
      <c r="E2517" s="9" t="s">
        <v>196</v>
      </c>
      <c r="F2517" s="9" t="s">
        <v>211</v>
      </c>
      <c r="G2517" s="9" t="s">
        <v>221</v>
      </c>
      <c r="H2517" s="9" t="n">
        <v>750</v>
      </c>
      <c r="I2517" s="29" t="n">
        <v>1</v>
      </c>
      <c r="J2517" s="9" t="n">
        <v>0</v>
      </c>
      <c r="K2517" s="30"/>
      <c r="L2517" s="30"/>
      <c r="M2517" s="30"/>
      <c r="N2517" s="30"/>
      <c r="O2517" s="30"/>
      <c r="P2517" s="30"/>
      <c r="Q2517" s="30"/>
      <c r="R2517" s="30"/>
      <c r="S2517" s="30"/>
      <c r="T2517" s="30"/>
      <c r="U2517" s="21" t="str">
        <f aca="false">IF(COUNT(K2517:T2517)=0,"SOURCE EMPTY / INDUSTRIAL ONLY",IF(MIN(K2517:T2517)=1,"SERVICE READY","HOLD"))</f>
        <v>SOURCE EMPTY / INDUSTRIAL ONLY</v>
      </c>
      <c r="V2517" s="9" t="n">
        <f aca="false">IF(U2517="SERVICE READY",1,0)</f>
        <v>0</v>
      </c>
      <c r="W2517" s="6"/>
      <c r="X2517" s="6"/>
      <c r="Y2517" s="6"/>
      <c r="Z2517" s="6"/>
    </row>
    <row r="2518" customFormat="false" ht="15" hidden="false" customHeight="false" outlineLevel="0" collapsed="false">
      <c r="A2518" s="9" t="s">
        <v>2780</v>
      </c>
      <c r="B2518" s="9" t="s">
        <v>2681</v>
      </c>
      <c r="C2518" s="9" t="s">
        <v>2682</v>
      </c>
      <c r="D2518" s="9" t="s">
        <v>2185</v>
      </c>
      <c r="E2518" s="9" t="s">
        <v>196</v>
      </c>
      <c r="F2518" s="9" t="s">
        <v>197</v>
      </c>
      <c r="G2518" s="9" t="s">
        <v>221</v>
      </c>
      <c r="H2518" s="9" t="n">
        <v>750</v>
      </c>
      <c r="I2518" s="29" t="n">
        <v>1</v>
      </c>
      <c r="J2518" s="9" t="n">
        <v>0</v>
      </c>
      <c r="K2518" s="30"/>
      <c r="L2518" s="30"/>
      <c r="M2518" s="30"/>
      <c r="N2518" s="30"/>
      <c r="O2518" s="30"/>
      <c r="P2518" s="30"/>
      <c r="Q2518" s="30"/>
      <c r="R2518" s="30"/>
      <c r="S2518" s="30"/>
      <c r="T2518" s="30"/>
      <c r="U2518" s="21" t="str">
        <f aca="false">IF(COUNT(K2518:T2518)=0,"SOURCE EMPTY / INDUSTRIAL ONLY",IF(MIN(K2518:T2518)=1,"SERVICE READY","HOLD"))</f>
        <v>SOURCE EMPTY / INDUSTRIAL ONLY</v>
      </c>
      <c r="V2518" s="9" t="n">
        <f aca="false">IF(U2518="SERVICE READY",1,0)</f>
        <v>0</v>
      </c>
      <c r="W2518" s="6"/>
      <c r="X2518" s="6"/>
      <c r="Y2518" s="6"/>
      <c r="Z2518" s="6"/>
    </row>
    <row r="2519" customFormat="false" ht="15" hidden="false" customHeight="false" outlineLevel="0" collapsed="false">
      <c r="A2519" s="9" t="s">
        <v>2781</v>
      </c>
      <c r="B2519" s="9" t="s">
        <v>2681</v>
      </c>
      <c r="C2519" s="9" t="s">
        <v>2682</v>
      </c>
      <c r="D2519" s="9" t="s">
        <v>2185</v>
      </c>
      <c r="E2519" s="9" t="s">
        <v>196</v>
      </c>
      <c r="F2519" s="9" t="s">
        <v>200</v>
      </c>
      <c r="G2519" s="9" t="s">
        <v>221</v>
      </c>
      <c r="H2519" s="9" t="n">
        <v>750</v>
      </c>
      <c r="I2519" s="29" t="n">
        <v>1</v>
      </c>
      <c r="J2519" s="9" t="n">
        <v>0</v>
      </c>
      <c r="K2519" s="30"/>
      <c r="L2519" s="30"/>
      <c r="M2519" s="30"/>
      <c r="N2519" s="30"/>
      <c r="O2519" s="30"/>
      <c r="P2519" s="30"/>
      <c r="Q2519" s="30"/>
      <c r="R2519" s="30"/>
      <c r="S2519" s="30"/>
      <c r="T2519" s="30"/>
      <c r="U2519" s="21" t="str">
        <f aca="false">IF(COUNT(K2519:T2519)=0,"SOURCE EMPTY / INDUSTRIAL ONLY",IF(MIN(K2519:T2519)=1,"SERVICE READY","HOLD"))</f>
        <v>SOURCE EMPTY / INDUSTRIAL ONLY</v>
      </c>
      <c r="V2519" s="9" t="n">
        <f aca="false">IF(U2519="SERVICE READY",1,0)</f>
        <v>0</v>
      </c>
      <c r="W2519" s="6"/>
      <c r="X2519" s="6"/>
      <c r="Y2519" s="6"/>
      <c r="Z2519" s="6"/>
    </row>
    <row r="2520" customFormat="false" ht="15" hidden="false" customHeight="false" outlineLevel="0" collapsed="false">
      <c r="A2520" s="9" t="s">
        <v>2782</v>
      </c>
      <c r="B2520" s="9" t="s">
        <v>2681</v>
      </c>
      <c r="C2520" s="9" t="s">
        <v>2682</v>
      </c>
      <c r="D2520" s="9" t="s">
        <v>2185</v>
      </c>
      <c r="E2520" s="9" t="s">
        <v>196</v>
      </c>
      <c r="F2520" s="9" t="s">
        <v>203</v>
      </c>
      <c r="G2520" s="9" t="s">
        <v>221</v>
      </c>
      <c r="H2520" s="9" t="n">
        <v>750</v>
      </c>
      <c r="I2520" s="29" t="n">
        <v>1</v>
      </c>
      <c r="J2520" s="9" t="n">
        <v>0</v>
      </c>
      <c r="K2520" s="30"/>
      <c r="L2520" s="30"/>
      <c r="M2520" s="30"/>
      <c r="N2520" s="30"/>
      <c r="O2520" s="30"/>
      <c r="P2520" s="30"/>
      <c r="Q2520" s="30"/>
      <c r="R2520" s="30"/>
      <c r="S2520" s="30"/>
      <c r="T2520" s="30"/>
      <c r="U2520" s="21" t="str">
        <f aca="false">IF(COUNT(K2520:T2520)=0,"SOURCE EMPTY / INDUSTRIAL ONLY",IF(MIN(K2520:T2520)=1,"SERVICE READY","HOLD"))</f>
        <v>SOURCE EMPTY / INDUSTRIAL ONLY</v>
      </c>
      <c r="V2520" s="9" t="n">
        <f aca="false">IF(U2520="SERVICE READY",1,0)</f>
        <v>0</v>
      </c>
      <c r="W2520" s="6"/>
      <c r="X2520" s="6"/>
      <c r="Y2520" s="6"/>
      <c r="Z2520" s="6"/>
    </row>
    <row r="2521" customFormat="false" ht="15" hidden="false" customHeight="false" outlineLevel="0" collapsed="false">
      <c r="A2521" s="9" t="s">
        <v>2783</v>
      </c>
      <c r="B2521" s="9" t="s">
        <v>2681</v>
      </c>
      <c r="C2521" s="9" t="s">
        <v>2682</v>
      </c>
      <c r="D2521" s="9" t="s">
        <v>2185</v>
      </c>
      <c r="E2521" s="9" t="s">
        <v>196</v>
      </c>
      <c r="F2521" s="9" t="s">
        <v>205</v>
      </c>
      <c r="G2521" s="9" t="s">
        <v>221</v>
      </c>
      <c r="H2521" s="9" t="n">
        <v>750</v>
      </c>
      <c r="I2521" s="29" t="n">
        <v>1</v>
      </c>
      <c r="J2521" s="9" t="n">
        <v>0</v>
      </c>
      <c r="K2521" s="30"/>
      <c r="L2521" s="30"/>
      <c r="M2521" s="30"/>
      <c r="N2521" s="30"/>
      <c r="O2521" s="30"/>
      <c r="P2521" s="30"/>
      <c r="Q2521" s="30"/>
      <c r="R2521" s="30"/>
      <c r="S2521" s="30"/>
      <c r="T2521" s="30"/>
      <c r="U2521" s="21" t="str">
        <f aca="false">IF(COUNT(K2521:T2521)=0,"SOURCE EMPTY / INDUSTRIAL ONLY",IF(MIN(K2521:T2521)=1,"SERVICE READY","HOLD"))</f>
        <v>SOURCE EMPTY / INDUSTRIAL ONLY</v>
      </c>
      <c r="V2521" s="9" t="n">
        <f aca="false">IF(U2521="SERVICE READY",1,0)</f>
        <v>0</v>
      </c>
      <c r="W2521" s="6"/>
      <c r="X2521" s="6"/>
      <c r="Y2521" s="6"/>
      <c r="Z2521" s="6"/>
    </row>
    <row r="2522" customFormat="false" ht="15" hidden="false" customHeight="false" outlineLevel="0" collapsed="false">
      <c r="A2522" s="9" t="s">
        <v>2784</v>
      </c>
      <c r="B2522" s="9" t="s">
        <v>2681</v>
      </c>
      <c r="C2522" s="9" t="s">
        <v>2682</v>
      </c>
      <c r="D2522" s="9" t="s">
        <v>2185</v>
      </c>
      <c r="E2522" s="9" t="s">
        <v>196</v>
      </c>
      <c r="F2522" s="9" t="s">
        <v>207</v>
      </c>
      <c r="G2522" s="9" t="s">
        <v>221</v>
      </c>
      <c r="H2522" s="9" t="n">
        <v>750</v>
      </c>
      <c r="I2522" s="29" t="n">
        <v>1</v>
      </c>
      <c r="J2522" s="9" t="n">
        <v>0</v>
      </c>
      <c r="K2522" s="30"/>
      <c r="L2522" s="30"/>
      <c r="M2522" s="30"/>
      <c r="N2522" s="30"/>
      <c r="O2522" s="30"/>
      <c r="P2522" s="30"/>
      <c r="Q2522" s="30"/>
      <c r="R2522" s="30"/>
      <c r="S2522" s="30"/>
      <c r="T2522" s="30"/>
      <c r="U2522" s="21" t="str">
        <f aca="false">IF(COUNT(K2522:T2522)=0,"SOURCE EMPTY / INDUSTRIAL ONLY",IF(MIN(K2522:T2522)=1,"SERVICE READY","HOLD"))</f>
        <v>SOURCE EMPTY / INDUSTRIAL ONLY</v>
      </c>
      <c r="V2522" s="9" t="n">
        <f aca="false">IF(U2522="SERVICE READY",1,0)</f>
        <v>0</v>
      </c>
      <c r="W2522" s="6"/>
      <c r="X2522" s="6"/>
      <c r="Y2522" s="6"/>
      <c r="Z2522" s="6"/>
    </row>
    <row r="2523" customFormat="false" ht="15" hidden="false" customHeight="false" outlineLevel="0" collapsed="false">
      <c r="A2523" s="9" t="s">
        <v>2785</v>
      </c>
      <c r="B2523" s="9" t="s">
        <v>2681</v>
      </c>
      <c r="C2523" s="9" t="s">
        <v>2682</v>
      </c>
      <c r="D2523" s="9" t="s">
        <v>2185</v>
      </c>
      <c r="E2523" s="9" t="s">
        <v>196</v>
      </c>
      <c r="F2523" s="9" t="s">
        <v>209</v>
      </c>
      <c r="G2523" s="9" t="s">
        <v>221</v>
      </c>
      <c r="H2523" s="9" t="n">
        <v>750</v>
      </c>
      <c r="I2523" s="29" t="n">
        <v>1</v>
      </c>
      <c r="J2523" s="9" t="n">
        <v>0</v>
      </c>
      <c r="K2523" s="30"/>
      <c r="L2523" s="30"/>
      <c r="M2523" s="30"/>
      <c r="N2523" s="30"/>
      <c r="O2523" s="30"/>
      <c r="P2523" s="30"/>
      <c r="Q2523" s="30"/>
      <c r="R2523" s="30"/>
      <c r="S2523" s="30"/>
      <c r="T2523" s="30"/>
      <c r="U2523" s="21" t="str">
        <f aca="false">IF(COUNT(K2523:T2523)=0,"SOURCE EMPTY / INDUSTRIAL ONLY",IF(MIN(K2523:T2523)=1,"SERVICE READY","HOLD"))</f>
        <v>SOURCE EMPTY / INDUSTRIAL ONLY</v>
      </c>
      <c r="V2523" s="9" t="n">
        <f aca="false">IF(U2523="SERVICE READY",1,0)</f>
        <v>0</v>
      </c>
      <c r="W2523" s="6"/>
      <c r="X2523" s="6"/>
      <c r="Y2523" s="6"/>
      <c r="Z2523" s="6"/>
    </row>
    <row r="2524" customFormat="false" ht="15" hidden="false" customHeight="false" outlineLevel="0" collapsed="false">
      <c r="A2524" s="9" t="s">
        <v>2786</v>
      </c>
      <c r="B2524" s="9" t="s">
        <v>2681</v>
      </c>
      <c r="C2524" s="9" t="s">
        <v>2682</v>
      </c>
      <c r="D2524" s="9" t="s">
        <v>2185</v>
      </c>
      <c r="E2524" s="9" t="s">
        <v>196</v>
      </c>
      <c r="F2524" s="9" t="s">
        <v>211</v>
      </c>
      <c r="G2524" s="9" t="s">
        <v>221</v>
      </c>
      <c r="H2524" s="9" t="n">
        <v>750</v>
      </c>
      <c r="I2524" s="29" t="n">
        <v>1</v>
      </c>
      <c r="J2524" s="9" t="n">
        <v>0</v>
      </c>
      <c r="K2524" s="30"/>
      <c r="L2524" s="30"/>
      <c r="M2524" s="30"/>
      <c r="N2524" s="30"/>
      <c r="O2524" s="30"/>
      <c r="P2524" s="30"/>
      <c r="Q2524" s="30"/>
      <c r="R2524" s="30"/>
      <c r="S2524" s="30"/>
      <c r="T2524" s="30"/>
      <c r="U2524" s="21" t="str">
        <f aca="false">IF(COUNT(K2524:T2524)=0,"SOURCE EMPTY / INDUSTRIAL ONLY",IF(MIN(K2524:T2524)=1,"SERVICE READY","HOLD"))</f>
        <v>SOURCE EMPTY / INDUSTRIAL ONLY</v>
      </c>
      <c r="V2524" s="9" t="n">
        <f aca="false">IF(U2524="SERVICE READY",1,0)</f>
        <v>0</v>
      </c>
      <c r="W2524" s="6"/>
      <c r="X2524" s="6"/>
      <c r="Y2524" s="6"/>
      <c r="Z2524" s="6"/>
    </row>
    <row r="2525" customFormat="false" ht="15" hidden="false" customHeight="false" outlineLevel="0" collapsed="false">
      <c r="A2525" s="9" t="s">
        <v>2787</v>
      </c>
      <c r="B2525" s="9" t="s">
        <v>2681</v>
      </c>
      <c r="C2525" s="9" t="s">
        <v>2682</v>
      </c>
      <c r="D2525" s="9" t="s">
        <v>2185</v>
      </c>
      <c r="E2525" s="9" t="s">
        <v>196</v>
      </c>
      <c r="F2525" s="9" t="s">
        <v>197</v>
      </c>
      <c r="G2525" s="9" t="s">
        <v>221</v>
      </c>
      <c r="H2525" s="9" t="n">
        <v>750</v>
      </c>
      <c r="I2525" s="29" t="n">
        <v>1</v>
      </c>
      <c r="J2525" s="9" t="n">
        <v>0</v>
      </c>
      <c r="K2525" s="30"/>
      <c r="L2525" s="30"/>
      <c r="M2525" s="30"/>
      <c r="N2525" s="30"/>
      <c r="O2525" s="30"/>
      <c r="P2525" s="30"/>
      <c r="Q2525" s="30"/>
      <c r="R2525" s="30"/>
      <c r="S2525" s="30"/>
      <c r="T2525" s="30"/>
      <c r="U2525" s="21" t="str">
        <f aca="false">IF(COUNT(K2525:T2525)=0,"SOURCE EMPTY / INDUSTRIAL ONLY",IF(MIN(K2525:T2525)=1,"SERVICE READY","HOLD"))</f>
        <v>SOURCE EMPTY / INDUSTRIAL ONLY</v>
      </c>
      <c r="V2525" s="9" t="n">
        <f aca="false">IF(U2525="SERVICE READY",1,0)</f>
        <v>0</v>
      </c>
      <c r="W2525" s="6"/>
      <c r="X2525" s="6"/>
      <c r="Y2525" s="6"/>
      <c r="Z2525" s="6"/>
    </row>
    <row r="2526" customFormat="false" ht="15" hidden="false" customHeight="false" outlineLevel="0" collapsed="false">
      <c r="A2526" s="9" t="s">
        <v>2788</v>
      </c>
      <c r="B2526" s="9" t="s">
        <v>2681</v>
      </c>
      <c r="C2526" s="9" t="s">
        <v>2682</v>
      </c>
      <c r="D2526" s="9" t="s">
        <v>2185</v>
      </c>
      <c r="E2526" s="9" t="s">
        <v>196</v>
      </c>
      <c r="F2526" s="9" t="s">
        <v>200</v>
      </c>
      <c r="G2526" s="9" t="s">
        <v>221</v>
      </c>
      <c r="H2526" s="9" t="n">
        <v>750</v>
      </c>
      <c r="I2526" s="29" t="n">
        <v>1</v>
      </c>
      <c r="J2526" s="9" t="n">
        <v>0</v>
      </c>
      <c r="K2526" s="30"/>
      <c r="L2526" s="30"/>
      <c r="M2526" s="30"/>
      <c r="N2526" s="30"/>
      <c r="O2526" s="30"/>
      <c r="P2526" s="30"/>
      <c r="Q2526" s="30"/>
      <c r="R2526" s="30"/>
      <c r="S2526" s="30"/>
      <c r="T2526" s="30"/>
      <c r="U2526" s="21" t="str">
        <f aca="false">IF(COUNT(K2526:T2526)=0,"SOURCE EMPTY / INDUSTRIAL ONLY",IF(MIN(K2526:T2526)=1,"SERVICE READY","HOLD"))</f>
        <v>SOURCE EMPTY / INDUSTRIAL ONLY</v>
      </c>
      <c r="V2526" s="9" t="n">
        <f aca="false">IF(U2526="SERVICE READY",1,0)</f>
        <v>0</v>
      </c>
      <c r="W2526" s="6"/>
      <c r="X2526" s="6"/>
      <c r="Y2526" s="6"/>
      <c r="Z2526" s="6"/>
    </row>
    <row r="2527" customFormat="false" ht="15" hidden="false" customHeight="false" outlineLevel="0" collapsed="false">
      <c r="A2527" s="9" t="s">
        <v>2789</v>
      </c>
      <c r="B2527" s="9" t="s">
        <v>2681</v>
      </c>
      <c r="C2527" s="9" t="s">
        <v>2682</v>
      </c>
      <c r="D2527" s="9" t="s">
        <v>2185</v>
      </c>
      <c r="E2527" s="9" t="s">
        <v>196</v>
      </c>
      <c r="F2527" s="9" t="s">
        <v>203</v>
      </c>
      <c r="G2527" s="9" t="s">
        <v>221</v>
      </c>
      <c r="H2527" s="9" t="n">
        <v>750</v>
      </c>
      <c r="I2527" s="29" t="n">
        <v>1</v>
      </c>
      <c r="J2527" s="9" t="n">
        <v>0</v>
      </c>
      <c r="K2527" s="30"/>
      <c r="L2527" s="30"/>
      <c r="M2527" s="30"/>
      <c r="N2527" s="30"/>
      <c r="O2527" s="30"/>
      <c r="P2527" s="30"/>
      <c r="Q2527" s="30"/>
      <c r="R2527" s="30"/>
      <c r="S2527" s="30"/>
      <c r="T2527" s="30"/>
      <c r="U2527" s="21" t="str">
        <f aca="false">IF(COUNT(K2527:T2527)=0,"SOURCE EMPTY / INDUSTRIAL ONLY",IF(MIN(K2527:T2527)=1,"SERVICE READY","HOLD"))</f>
        <v>SOURCE EMPTY / INDUSTRIAL ONLY</v>
      </c>
      <c r="V2527" s="9" t="n">
        <f aca="false">IF(U2527="SERVICE READY",1,0)</f>
        <v>0</v>
      </c>
      <c r="W2527" s="6"/>
      <c r="X2527" s="6"/>
      <c r="Y2527" s="6"/>
      <c r="Z2527" s="6"/>
    </row>
    <row r="2528" customFormat="false" ht="15" hidden="false" customHeight="false" outlineLevel="0" collapsed="false">
      <c r="A2528" s="9" t="s">
        <v>2790</v>
      </c>
      <c r="B2528" s="9" t="s">
        <v>2681</v>
      </c>
      <c r="C2528" s="9" t="s">
        <v>2682</v>
      </c>
      <c r="D2528" s="9" t="s">
        <v>2185</v>
      </c>
      <c r="E2528" s="9" t="s">
        <v>196</v>
      </c>
      <c r="F2528" s="9" t="s">
        <v>205</v>
      </c>
      <c r="G2528" s="9" t="s">
        <v>221</v>
      </c>
      <c r="H2528" s="9" t="n">
        <v>750</v>
      </c>
      <c r="I2528" s="29" t="n">
        <v>1</v>
      </c>
      <c r="J2528" s="9" t="n">
        <v>0</v>
      </c>
      <c r="K2528" s="30"/>
      <c r="L2528" s="30"/>
      <c r="M2528" s="30"/>
      <c r="N2528" s="30"/>
      <c r="O2528" s="30"/>
      <c r="P2528" s="30"/>
      <c r="Q2528" s="30"/>
      <c r="R2528" s="30"/>
      <c r="S2528" s="30"/>
      <c r="T2528" s="30"/>
      <c r="U2528" s="21" t="str">
        <f aca="false">IF(COUNT(K2528:T2528)=0,"SOURCE EMPTY / INDUSTRIAL ONLY",IF(MIN(K2528:T2528)=1,"SERVICE READY","HOLD"))</f>
        <v>SOURCE EMPTY / INDUSTRIAL ONLY</v>
      </c>
      <c r="V2528" s="9" t="n">
        <f aca="false">IF(U2528="SERVICE READY",1,0)</f>
        <v>0</v>
      </c>
      <c r="W2528" s="6"/>
      <c r="X2528" s="6"/>
      <c r="Y2528" s="6"/>
      <c r="Z2528" s="6"/>
    </row>
    <row r="2529" customFormat="false" ht="15" hidden="false" customHeight="false" outlineLevel="0" collapsed="false">
      <c r="A2529" s="9" t="s">
        <v>2791</v>
      </c>
      <c r="B2529" s="9" t="s">
        <v>2681</v>
      </c>
      <c r="C2529" s="9" t="s">
        <v>2682</v>
      </c>
      <c r="D2529" s="9" t="s">
        <v>2185</v>
      </c>
      <c r="E2529" s="9" t="s">
        <v>196</v>
      </c>
      <c r="F2529" s="9" t="s">
        <v>207</v>
      </c>
      <c r="G2529" s="9" t="s">
        <v>221</v>
      </c>
      <c r="H2529" s="9" t="n">
        <v>750</v>
      </c>
      <c r="I2529" s="29" t="n">
        <v>1</v>
      </c>
      <c r="J2529" s="9" t="n">
        <v>0</v>
      </c>
      <c r="K2529" s="30"/>
      <c r="L2529" s="30"/>
      <c r="M2529" s="30"/>
      <c r="N2529" s="30"/>
      <c r="O2529" s="30"/>
      <c r="P2529" s="30"/>
      <c r="Q2529" s="30"/>
      <c r="R2529" s="30"/>
      <c r="S2529" s="30"/>
      <c r="T2529" s="30"/>
      <c r="U2529" s="21" t="str">
        <f aca="false">IF(COUNT(K2529:T2529)=0,"SOURCE EMPTY / INDUSTRIAL ONLY",IF(MIN(K2529:T2529)=1,"SERVICE READY","HOLD"))</f>
        <v>SOURCE EMPTY / INDUSTRIAL ONLY</v>
      </c>
      <c r="V2529" s="9" t="n">
        <f aca="false">IF(U2529="SERVICE READY",1,0)</f>
        <v>0</v>
      </c>
      <c r="W2529" s="6"/>
      <c r="X2529" s="6"/>
      <c r="Y2529" s="6"/>
      <c r="Z2529" s="6"/>
    </row>
    <row r="2530" customFormat="false" ht="15" hidden="false" customHeight="false" outlineLevel="0" collapsed="false">
      <c r="A2530" s="9" t="s">
        <v>2792</v>
      </c>
      <c r="B2530" s="9" t="s">
        <v>2681</v>
      </c>
      <c r="C2530" s="9" t="s">
        <v>2682</v>
      </c>
      <c r="D2530" s="9" t="s">
        <v>2185</v>
      </c>
      <c r="E2530" s="9" t="s">
        <v>196</v>
      </c>
      <c r="F2530" s="9" t="s">
        <v>209</v>
      </c>
      <c r="G2530" s="9" t="s">
        <v>221</v>
      </c>
      <c r="H2530" s="9" t="n">
        <v>750</v>
      </c>
      <c r="I2530" s="29" t="n">
        <v>1</v>
      </c>
      <c r="J2530" s="9" t="n">
        <v>0</v>
      </c>
      <c r="K2530" s="30"/>
      <c r="L2530" s="30"/>
      <c r="M2530" s="30"/>
      <c r="N2530" s="30"/>
      <c r="O2530" s="30"/>
      <c r="P2530" s="30"/>
      <c r="Q2530" s="30"/>
      <c r="R2530" s="30"/>
      <c r="S2530" s="30"/>
      <c r="T2530" s="30"/>
      <c r="U2530" s="21" t="str">
        <f aca="false">IF(COUNT(K2530:T2530)=0,"SOURCE EMPTY / INDUSTRIAL ONLY",IF(MIN(K2530:T2530)=1,"SERVICE READY","HOLD"))</f>
        <v>SOURCE EMPTY / INDUSTRIAL ONLY</v>
      </c>
      <c r="V2530" s="9" t="n">
        <f aca="false">IF(U2530="SERVICE READY",1,0)</f>
        <v>0</v>
      </c>
      <c r="W2530" s="6"/>
      <c r="X2530" s="6"/>
      <c r="Y2530" s="6"/>
      <c r="Z2530" s="6"/>
    </row>
    <row r="2531" customFormat="false" ht="15" hidden="false" customHeight="false" outlineLevel="0" collapsed="false">
      <c r="A2531" s="9" t="s">
        <v>2793</v>
      </c>
      <c r="B2531" s="9" t="s">
        <v>2681</v>
      </c>
      <c r="C2531" s="9" t="s">
        <v>2682</v>
      </c>
      <c r="D2531" s="9" t="s">
        <v>2185</v>
      </c>
      <c r="E2531" s="9" t="s">
        <v>196</v>
      </c>
      <c r="F2531" s="9" t="s">
        <v>211</v>
      </c>
      <c r="G2531" s="9" t="s">
        <v>221</v>
      </c>
      <c r="H2531" s="9" t="n">
        <v>750</v>
      </c>
      <c r="I2531" s="29" t="n">
        <v>1</v>
      </c>
      <c r="J2531" s="9" t="n">
        <v>0</v>
      </c>
      <c r="K2531" s="30"/>
      <c r="L2531" s="30"/>
      <c r="M2531" s="30"/>
      <c r="N2531" s="30"/>
      <c r="O2531" s="30"/>
      <c r="P2531" s="30"/>
      <c r="Q2531" s="30"/>
      <c r="R2531" s="30"/>
      <c r="S2531" s="30"/>
      <c r="T2531" s="30"/>
      <c r="U2531" s="21" t="str">
        <f aca="false">IF(COUNT(K2531:T2531)=0,"SOURCE EMPTY / INDUSTRIAL ONLY",IF(MIN(K2531:T2531)=1,"SERVICE READY","HOLD"))</f>
        <v>SOURCE EMPTY / INDUSTRIAL ONLY</v>
      </c>
      <c r="V2531" s="9" t="n">
        <f aca="false">IF(U2531="SERVICE READY",1,0)</f>
        <v>0</v>
      </c>
      <c r="W2531" s="6"/>
      <c r="X2531" s="6"/>
      <c r="Y2531" s="6"/>
      <c r="Z2531" s="6"/>
    </row>
    <row r="2532" customFormat="false" ht="15" hidden="false" customHeight="false" outlineLevel="0" collapsed="false">
      <c r="A2532" s="9" t="s">
        <v>2794</v>
      </c>
      <c r="B2532" s="9" t="s">
        <v>2681</v>
      </c>
      <c r="C2532" s="9" t="s">
        <v>2682</v>
      </c>
      <c r="D2532" s="9" t="s">
        <v>2185</v>
      </c>
      <c r="E2532" s="9" t="s">
        <v>196</v>
      </c>
      <c r="F2532" s="9" t="s">
        <v>197</v>
      </c>
      <c r="G2532" s="9" t="s">
        <v>221</v>
      </c>
      <c r="H2532" s="9" t="n">
        <v>750</v>
      </c>
      <c r="I2532" s="29" t="n">
        <v>1</v>
      </c>
      <c r="J2532" s="9" t="n">
        <v>0</v>
      </c>
      <c r="K2532" s="30"/>
      <c r="L2532" s="30"/>
      <c r="M2532" s="30"/>
      <c r="N2532" s="30"/>
      <c r="O2532" s="30"/>
      <c r="P2532" s="30"/>
      <c r="Q2532" s="30"/>
      <c r="R2532" s="30"/>
      <c r="S2532" s="30"/>
      <c r="T2532" s="30"/>
      <c r="U2532" s="21" t="str">
        <f aca="false">IF(COUNT(K2532:T2532)=0,"SOURCE EMPTY / INDUSTRIAL ONLY",IF(MIN(K2532:T2532)=1,"SERVICE READY","HOLD"))</f>
        <v>SOURCE EMPTY / INDUSTRIAL ONLY</v>
      </c>
      <c r="V2532" s="9" t="n">
        <f aca="false">IF(U2532="SERVICE READY",1,0)</f>
        <v>0</v>
      </c>
      <c r="W2532" s="6"/>
      <c r="X2532" s="6"/>
      <c r="Y2532" s="6"/>
      <c r="Z2532" s="6"/>
    </row>
    <row r="2533" customFormat="false" ht="15" hidden="false" customHeight="false" outlineLevel="0" collapsed="false">
      <c r="A2533" s="9" t="s">
        <v>2795</v>
      </c>
      <c r="B2533" s="9" t="s">
        <v>2681</v>
      </c>
      <c r="C2533" s="9" t="s">
        <v>2682</v>
      </c>
      <c r="D2533" s="9" t="s">
        <v>2185</v>
      </c>
      <c r="E2533" s="9" t="s">
        <v>196</v>
      </c>
      <c r="F2533" s="9" t="s">
        <v>200</v>
      </c>
      <c r="G2533" s="9" t="s">
        <v>221</v>
      </c>
      <c r="H2533" s="9" t="n">
        <v>750</v>
      </c>
      <c r="I2533" s="29" t="n">
        <v>1</v>
      </c>
      <c r="J2533" s="9" t="n">
        <v>0</v>
      </c>
      <c r="K2533" s="30"/>
      <c r="L2533" s="30"/>
      <c r="M2533" s="30"/>
      <c r="N2533" s="30"/>
      <c r="O2533" s="30"/>
      <c r="P2533" s="30"/>
      <c r="Q2533" s="30"/>
      <c r="R2533" s="30"/>
      <c r="S2533" s="30"/>
      <c r="T2533" s="30"/>
      <c r="U2533" s="21" t="str">
        <f aca="false">IF(COUNT(K2533:T2533)=0,"SOURCE EMPTY / INDUSTRIAL ONLY",IF(MIN(K2533:T2533)=1,"SERVICE READY","HOLD"))</f>
        <v>SOURCE EMPTY / INDUSTRIAL ONLY</v>
      </c>
      <c r="V2533" s="9" t="n">
        <f aca="false">IF(U2533="SERVICE READY",1,0)</f>
        <v>0</v>
      </c>
      <c r="W2533" s="6"/>
      <c r="X2533" s="6"/>
      <c r="Y2533" s="6"/>
      <c r="Z2533" s="6"/>
    </row>
    <row r="2534" customFormat="false" ht="15" hidden="false" customHeight="false" outlineLevel="0" collapsed="false">
      <c r="A2534" s="9" t="s">
        <v>2796</v>
      </c>
      <c r="B2534" s="9" t="s">
        <v>2681</v>
      </c>
      <c r="C2534" s="9" t="s">
        <v>2682</v>
      </c>
      <c r="D2534" s="9" t="s">
        <v>2185</v>
      </c>
      <c r="E2534" s="9" t="s">
        <v>196</v>
      </c>
      <c r="F2534" s="9" t="s">
        <v>203</v>
      </c>
      <c r="G2534" s="9" t="s">
        <v>221</v>
      </c>
      <c r="H2534" s="9" t="n">
        <v>750</v>
      </c>
      <c r="I2534" s="29" t="n">
        <v>1</v>
      </c>
      <c r="J2534" s="9" t="n">
        <v>0</v>
      </c>
      <c r="K2534" s="30"/>
      <c r="L2534" s="30"/>
      <c r="M2534" s="30"/>
      <c r="N2534" s="30"/>
      <c r="O2534" s="30"/>
      <c r="P2534" s="30"/>
      <c r="Q2534" s="30"/>
      <c r="R2534" s="30"/>
      <c r="S2534" s="30"/>
      <c r="T2534" s="30"/>
      <c r="U2534" s="21" t="str">
        <f aca="false">IF(COUNT(K2534:T2534)=0,"SOURCE EMPTY / INDUSTRIAL ONLY",IF(MIN(K2534:T2534)=1,"SERVICE READY","HOLD"))</f>
        <v>SOURCE EMPTY / INDUSTRIAL ONLY</v>
      </c>
      <c r="V2534" s="9" t="n">
        <f aca="false">IF(U2534="SERVICE READY",1,0)</f>
        <v>0</v>
      </c>
      <c r="W2534" s="6"/>
      <c r="X2534" s="6"/>
      <c r="Y2534" s="6"/>
      <c r="Z2534" s="6"/>
    </row>
    <row r="2535" customFormat="false" ht="15" hidden="false" customHeight="false" outlineLevel="0" collapsed="false">
      <c r="A2535" s="9" t="s">
        <v>2797</v>
      </c>
      <c r="B2535" s="9" t="s">
        <v>2681</v>
      </c>
      <c r="C2535" s="9" t="s">
        <v>2682</v>
      </c>
      <c r="D2535" s="9" t="s">
        <v>2185</v>
      </c>
      <c r="E2535" s="9" t="s">
        <v>196</v>
      </c>
      <c r="F2535" s="9" t="s">
        <v>205</v>
      </c>
      <c r="G2535" s="9" t="s">
        <v>221</v>
      </c>
      <c r="H2535" s="9" t="n">
        <v>750</v>
      </c>
      <c r="I2535" s="29" t="n">
        <v>1</v>
      </c>
      <c r="J2535" s="9" t="n">
        <v>0</v>
      </c>
      <c r="K2535" s="30"/>
      <c r="L2535" s="30"/>
      <c r="M2535" s="30"/>
      <c r="N2535" s="30"/>
      <c r="O2535" s="30"/>
      <c r="P2535" s="30"/>
      <c r="Q2535" s="30"/>
      <c r="R2535" s="30"/>
      <c r="S2535" s="30"/>
      <c r="T2535" s="30"/>
      <c r="U2535" s="21" t="str">
        <f aca="false">IF(COUNT(K2535:T2535)=0,"SOURCE EMPTY / INDUSTRIAL ONLY",IF(MIN(K2535:T2535)=1,"SERVICE READY","HOLD"))</f>
        <v>SOURCE EMPTY / INDUSTRIAL ONLY</v>
      </c>
      <c r="V2535" s="9" t="n">
        <f aca="false">IF(U2535="SERVICE READY",1,0)</f>
        <v>0</v>
      </c>
      <c r="W2535" s="6"/>
      <c r="X2535" s="6"/>
      <c r="Y2535" s="6"/>
      <c r="Z2535" s="6"/>
    </row>
    <row r="2536" customFormat="false" ht="15" hidden="false" customHeight="false" outlineLevel="0" collapsed="false">
      <c r="A2536" s="9" t="s">
        <v>2798</v>
      </c>
      <c r="B2536" s="9" t="s">
        <v>2681</v>
      </c>
      <c r="C2536" s="9" t="s">
        <v>2682</v>
      </c>
      <c r="D2536" s="9" t="s">
        <v>2185</v>
      </c>
      <c r="E2536" s="9" t="s">
        <v>196</v>
      </c>
      <c r="F2536" s="9" t="s">
        <v>207</v>
      </c>
      <c r="G2536" s="9" t="s">
        <v>221</v>
      </c>
      <c r="H2536" s="9" t="n">
        <v>750</v>
      </c>
      <c r="I2536" s="29" t="n">
        <v>1</v>
      </c>
      <c r="J2536" s="9" t="n">
        <v>0</v>
      </c>
      <c r="K2536" s="30"/>
      <c r="L2536" s="30"/>
      <c r="M2536" s="30"/>
      <c r="N2536" s="30"/>
      <c r="O2536" s="30"/>
      <c r="P2536" s="30"/>
      <c r="Q2536" s="30"/>
      <c r="R2536" s="30"/>
      <c r="S2536" s="30"/>
      <c r="T2536" s="30"/>
      <c r="U2536" s="21" t="str">
        <f aca="false">IF(COUNT(K2536:T2536)=0,"SOURCE EMPTY / INDUSTRIAL ONLY",IF(MIN(K2536:T2536)=1,"SERVICE READY","HOLD"))</f>
        <v>SOURCE EMPTY / INDUSTRIAL ONLY</v>
      </c>
      <c r="V2536" s="9" t="n">
        <f aca="false">IF(U2536="SERVICE READY",1,0)</f>
        <v>0</v>
      </c>
      <c r="W2536" s="6"/>
      <c r="X2536" s="6"/>
      <c r="Y2536" s="6"/>
      <c r="Z2536" s="6"/>
    </row>
    <row r="2537" customFormat="false" ht="15" hidden="false" customHeight="false" outlineLevel="0" collapsed="false">
      <c r="A2537" s="9" t="s">
        <v>2799</v>
      </c>
      <c r="B2537" s="9" t="s">
        <v>2681</v>
      </c>
      <c r="C2537" s="9" t="s">
        <v>2682</v>
      </c>
      <c r="D2537" s="9" t="s">
        <v>2185</v>
      </c>
      <c r="E2537" s="9" t="s">
        <v>196</v>
      </c>
      <c r="F2537" s="9" t="s">
        <v>209</v>
      </c>
      <c r="G2537" s="9" t="s">
        <v>221</v>
      </c>
      <c r="H2537" s="9" t="n">
        <v>750</v>
      </c>
      <c r="I2537" s="29" t="n">
        <v>1</v>
      </c>
      <c r="J2537" s="9" t="n">
        <v>0</v>
      </c>
      <c r="K2537" s="30"/>
      <c r="L2537" s="30"/>
      <c r="M2537" s="30"/>
      <c r="N2537" s="30"/>
      <c r="O2537" s="30"/>
      <c r="P2537" s="30"/>
      <c r="Q2537" s="30"/>
      <c r="R2537" s="30"/>
      <c r="S2537" s="30"/>
      <c r="T2537" s="30"/>
      <c r="U2537" s="21" t="str">
        <f aca="false">IF(COUNT(K2537:T2537)=0,"SOURCE EMPTY / INDUSTRIAL ONLY",IF(MIN(K2537:T2537)=1,"SERVICE READY","HOLD"))</f>
        <v>SOURCE EMPTY / INDUSTRIAL ONLY</v>
      </c>
      <c r="V2537" s="9" t="n">
        <f aca="false">IF(U2537="SERVICE READY",1,0)</f>
        <v>0</v>
      </c>
      <c r="W2537" s="6"/>
      <c r="X2537" s="6"/>
      <c r="Y2537" s="6"/>
      <c r="Z2537" s="6"/>
    </row>
    <row r="2538" customFormat="false" ht="15" hidden="false" customHeight="false" outlineLevel="0" collapsed="false">
      <c r="A2538" s="9" t="s">
        <v>2800</v>
      </c>
      <c r="B2538" s="9" t="s">
        <v>2681</v>
      </c>
      <c r="C2538" s="9" t="s">
        <v>2682</v>
      </c>
      <c r="D2538" s="9" t="s">
        <v>2185</v>
      </c>
      <c r="E2538" s="9" t="s">
        <v>196</v>
      </c>
      <c r="F2538" s="9" t="s">
        <v>211</v>
      </c>
      <c r="G2538" s="9" t="s">
        <v>221</v>
      </c>
      <c r="H2538" s="9" t="n">
        <v>750</v>
      </c>
      <c r="I2538" s="29" t="n">
        <v>1</v>
      </c>
      <c r="J2538" s="9" t="n">
        <v>0</v>
      </c>
      <c r="K2538" s="30"/>
      <c r="L2538" s="30"/>
      <c r="M2538" s="30"/>
      <c r="N2538" s="30"/>
      <c r="O2538" s="30"/>
      <c r="P2538" s="30"/>
      <c r="Q2538" s="30"/>
      <c r="R2538" s="30"/>
      <c r="S2538" s="30"/>
      <c r="T2538" s="30"/>
      <c r="U2538" s="21" t="str">
        <f aca="false">IF(COUNT(K2538:T2538)=0,"SOURCE EMPTY / INDUSTRIAL ONLY",IF(MIN(K2538:T2538)=1,"SERVICE READY","HOLD"))</f>
        <v>SOURCE EMPTY / INDUSTRIAL ONLY</v>
      </c>
      <c r="V2538" s="9" t="n">
        <f aca="false">IF(U2538="SERVICE READY",1,0)</f>
        <v>0</v>
      </c>
      <c r="W2538" s="6"/>
      <c r="X2538" s="6"/>
      <c r="Y2538" s="6"/>
      <c r="Z2538" s="6"/>
    </row>
    <row r="2539" customFormat="false" ht="15" hidden="false" customHeight="false" outlineLevel="0" collapsed="false">
      <c r="A2539" s="9" t="s">
        <v>2801</v>
      </c>
      <c r="B2539" s="9" t="s">
        <v>2681</v>
      </c>
      <c r="C2539" s="9" t="s">
        <v>2682</v>
      </c>
      <c r="D2539" s="9" t="s">
        <v>2185</v>
      </c>
      <c r="E2539" s="9" t="s">
        <v>196</v>
      </c>
      <c r="F2539" s="9" t="s">
        <v>197</v>
      </c>
      <c r="G2539" s="9" t="s">
        <v>221</v>
      </c>
      <c r="H2539" s="9" t="n">
        <v>750</v>
      </c>
      <c r="I2539" s="29" t="n">
        <v>1</v>
      </c>
      <c r="J2539" s="9" t="n">
        <v>0</v>
      </c>
      <c r="K2539" s="30"/>
      <c r="L2539" s="30"/>
      <c r="M2539" s="30"/>
      <c r="N2539" s="30"/>
      <c r="O2539" s="30"/>
      <c r="P2539" s="30"/>
      <c r="Q2539" s="30"/>
      <c r="R2539" s="30"/>
      <c r="S2539" s="30"/>
      <c r="T2539" s="30"/>
      <c r="U2539" s="21" t="str">
        <f aca="false">IF(COUNT(K2539:T2539)=0,"SOURCE EMPTY / INDUSTRIAL ONLY",IF(MIN(K2539:T2539)=1,"SERVICE READY","HOLD"))</f>
        <v>SOURCE EMPTY / INDUSTRIAL ONLY</v>
      </c>
      <c r="V2539" s="9" t="n">
        <f aca="false">IF(U2539="SERVICE READY",1,0)</f>
        <v>0</v>
      </c>
      <c r="W2539" s="6"/>
      <c r="X2539" s="6"/>
      <c r="Y2539" s="6"/>
      <c r="Z2539" s="6"/>
    </row>
    <row r="2540" customFormat="false" ht="15" hidden="false" customHeight="false" outlineLevel="0" collapsed="false">
      <c r="A2540" s="9" t="s">
        <v>2802</v>
      </c>
      <c r="B2540" s="9" t="s">
        <v>2681</v>
      </c>
      <c r="C2540" s="9" t="s">
        <v>2682</v>
      </c>
      <c r="D2540" s="9" t="s">
        <v>2185</v>
      </c>
      <c r="E2540" s="9" t="s">
        <v>196</v>
      </c>
      <c r="F2540" s="9" t="s">
        <v>200</v>
      </c>
      <c r="G2540" s="9" t="s">
        <v>221</v>
      </c>
      <c r="H2540" s="9" t="n">
        <v>750</v>
      </c>
      <c r="I2540" s="29" t="n">
        <v>1</v>
      </c>
      <c r="J2540" s="9" t="n">
        <v>0</v>
      </c>
      <c r="K2540" s="30"/>
      <c r="L2540" s="30"/>
      <c r="M2540" s="30"/>
      <c r="N2540" s="30"/>
      <c r="O2540" s="30"/>
      <c r="P2540" s="30"/>
      <c r="Q2540" s="30"/>
      <c r="R2540" s="30"/>
      <c r="S2540" s="30"/>
      <c r="T2540" s="30"/>
      <c r="U2540" s="21" t="str">
        <f aca="false">IF(COUNT(K2540:T2540)=0,"SOURCE EMPTY / INDUSTRIAL ONLY",IF(MIN(K2540:T2540)=1,"SERVICE READY","HOLD"))</f>
        <v>SOURCE EMPTY / INDUSTRIAL ONLY</v>
      </c>
      <c r="V2540" s="9" t="n">
        <f aca="false">IF(U2540="SERVICE READY",1,0)</f>
        <v>0</v>
      </c>
      <c r="W2540" s="6"/>
      <c r="X2540" s="6"/>
      <c r="Y2540" s="6"/>
      <c r="Z2540" s="6"/>
    </row>
    <row r="2541" customFormat="false" ht="15" hidden="false" customHeight="false" outlineLevel="0" collapsed="false">
      <c r="A2541" s="9" t="s">
        <v>2803</v>
      </c>
      <c r="B2541" s="9" t="s">
        <v>2681</v>
      </c>
      <c r="C2541" s="9" t="s">
        <v>2682</v>
      </c>
      <c r="D2541" s="9" t="s">
        <v>2185</v>
      </c>
      <c r="E2541" s="9" t="s">
        <v>196</v>
      </c>
      <c r="F2541" s="9" t="s">
        <v>203</v>
      </c>
      <c r="G2541" s="9" t="s">
        <v>221</v>
      </c>
      <c r="H2541" s="9" t="n">
        <v>750</v>
      </c>
      <c r="I2541" s="29" t="n">
        <v>1</v>
      </c>
      <c r="J2541" s="9" t="n">
        <v>0</v>
      </c>
      <c r="K2541" s="30"/>
      <c r="L2541" s="30"/>
      <c r="M2541" s="30"/>
      <c r="N2541" s="30"/>
      <c r="O2541" s="30"/>
      <c r="P2541" s="30"/>
      <c r="Q2541" s="30"/>
      <c r="R2541" s="30"/>
      <c r="S2541" s="30"/>
      <c r="T2541" s="30"/>
      <c r="U2541" s="21" t="str">
        <f aca="false">IF(COUNT(K2541:T2541)=0,"SOURCE EMPTY / INDUSTRIAL ONLY",IF(MIN(K2541:T2541)=1,"SERVICE READY","HOLD"))</f>
        <v>SOURCE EMPTY / INDUSTRIAL ONLY</v>
      </c>
      <c r="V2541" s="9" t="n">
        <f aca="false">IF(U2541="SERVICE READY",1,0)</f>
        <v>0</v>
      </c>
      <c r="W2541" s="6"/>
      <c r="X2541" s="6"/>
      <c r="Y2541" s="6"/>
      <c r="Z2541" s="6"/>
    </row>
    <row r="2542" customFormat="false" ht="15" hidden="false" customHeight="false" outlineLevel="0" collapsed="false">
      <c r="A2542" s="9" t="s">
        <v>2804</v>
      </c>
      <c r="B2542" s="9" t="s">
        <v>2681</v>
      </c>
      <c r="C2542" s="9" t="s">
        <v>2682</v>
      </c>
      <c r="D2542" s="9" t="s">
        <v>2185</v>
      </c>
      <c r="E2542" s="9" t="s">
        <v>196</v>
      </c>
      <c r="F2542" s="9" t="s">
        <v>205</v>
      </c>
      <c r="G2542" s="9" t="s">
        <v>221</v>
      </c>
      <c r="H2542" s="9" t="n">
        <v>750</v>
      </c>
      <c r="I2542" s="29" t="n">
        <v>1</v>
      </c>
      <c r="J2542" s="9" t="n">
        <v>0</v>
      </c>
      <c r="K2542" s="30"/>
      <c r="L2542" s="30"/>
      <c r="M2542" s="30"/>
      <c r="N2542" s="30"/>
      <c r="O2542" s="30"/>
      <c r="P2542" s="30"/>
      <c r="Q2542" s="30"/>
      <c r="R2542" s="30"/>
      <c r="S2542" s="30"/>
      <c r="T2542" s="30"/>
      <c r="U2542" s="21" t="str">
        <f aca="false">IF(COUNT(K2542:T2542)=0,"SOURCE EMPTY / INDUSTRIAL ONLY",IF(MIN(K2542:T2542)=1,"SERVICE READY","HOLD"))</f>
        <v>SOURCE EMPTY / INDUSTRIAL ONLY</v>
      </c>
      <c r="V2542" s="9" t="n">
        <f aca="false">IF(U2542="SERVICE READY",1,0)</f>
        <v>0</v>
      </c>
      <c r="W2542" s="6"/>
      <c r="X2542" s="6"/>
      <c r="Y2542" s="6"/>
      <c r="Z2542" s="6"/>
    </row>
    <row r="2543" customFormat="false" ht="15" hidden="false" customHeight="false" outlineLevel="0" collapsed="false">
      <c r="A2543" s="9" t="s">
        <v>2805</v>
      </c>
      <c r="B2543" s="9" t="s">
        <v>2681</v>
      </c>
      <c r="C2543" s="9" t="s">
        <v>2682</v>
      </c>
      <c r="D2543" s="9" t="s">
        <v>2185</v>
      </c>
      <c r="E2543" s="9" t="s">
        <v>196</v>
      </c>
      <c r="F2543" s="9" t="s">
        <v>207</v>
      </c>
      <c r="G2543" s="9" t="s">
        <v>221</v>
      </c>
      <c r="H2543" s="9" t="n">
        <v>750</v>
      </c>
      <c r="I2543" s="29" t="n">
        <v>1</v>
      </c>
      <c r="J2543" s="9" t="n">
        <v>0</v>
      </c>
      <c r="K2543" s="30"/>
      <c r="L2543" s="30"/>
      <c r="M2543" s="30"/>
      <c r="N2543" s="30"/>
      <c r="O2543" s="30"/>
      <c r="P2543" s="30"/>
      <c r="Q2543" s="30"/>
      <c r="R2543" s="30"/>
      <c r="S2543" s="30"/>
      <c r="T2543" s="30"/>
      <c r="U2543" s="21" t="str">
        <f aca="false">IF(COUNT(K2543:T2543)=0,"SOURCE EMPTY / INDUSTRIAL ONLY",IF(MIN(K2543:T2543)=1,"SERVICE READY","HOLD"))</f>
        <v>SOURCE EMPTY / INDUSTRIAL ONLY</v>
      </c>
      <c r="V2543" s="9" t="n">
        <f aca="false">IF(U2543="SERVICE READY",1,0)</f>
        <v>0</v>
      </c>
      <c r="W2543" s="6"/>
      <c r="X2543" s="6"/>
      <c r="Y2543" s="6"/>
      <c r="Z2543" s="6"/>
    </row>
    <row r="2544" customFormat="false" ht="15" hidden="false" customHeight="false" outlineLevel="0" collapsed="false">
      <c r="A2544" s="9" t="s">
        <v>2806</v>
      </c>
      <c r="B2544" s="9" t="s">
        <v>2681</v>
      </c>
      <c r="C2544" s="9" t="s">
        <v>2682</v>
      </c>
      <c r="D2544" s="9" t="s">
        <v>2185</v>
      </c>
      <c r="E2544" s="9" t="s">
        <v>196</v>
      </c>
      <c r="F2544" s="9" t="s">
        <v>209</v>
      </c>
      <c r="G2544" s="9" t="s">
        <v>221</v>
      </c>
      <c r="H2544" s="9" t="n">
        <v>750</v>
      </c>
      <c r="I2544" s="29" t="n">
        <v>1</v>
      </c>
      <c r="J2544" s="9" t="n">
        <v>0</v>
      </c>
      <c r="K2544" s="30"/>
      <c r="L2544" s="30"/>
      <c r="M2544" s="30"/>
      <c r="N2544" s="30"/>
      <c r="O2544" s="30"/>
      <c r="P2544" s="30"/>
      <c r="Q2544" s="30"/>
      <c r="R2544" s="30"/>
      <c r="S2544" s="30"/>
      <c r="T2544" s="30"/>
      <c r="U2544" s="21" t="str">
        <f aca="false">IF(COUNT(K2544:T2544)=0,"SOURCE EMPTY / INDUSTRIAL ONLY",IF(MIN(K2544:T2544)=1,"SERVICE READY","HOLD"))</f>
        <v>SOURCE EMPTY / INDUSTRIAL ONLY</v>
      </c>
      <c r="V2544" s="9" t="n">
        <f aca="false">IF(U2544="SERVICE READY",1,0)</f>
        <v>0</v>
      </c>
      <c r="W2544" s="6"/>
      <c r="X2544" s="6"/>
      <c r="Y2544" s="6"/>
      <c r="Z2544" s="6"/>
    </row>
    <row r="2545" customFormat="false" ht="15" hidden="false" customHeight="false" outlineLevel="0" collapsed="false">
      <c r="A2545" s="9" t="s">
        <v>2807</v>
      </c>
      <c r="B2545" s="9" t="s">
        <v>2681</v>
      </c>
      <c r="C2545" s="9" t="s">
        <v>2682</v>
      </c>
      <c r="D2545" s="9" t="s">
        <v>2185</v>
      </c>
      <c r="E2545" s="9" t="s">
        <v>196</v>
      </c>
      <c r="F2545" s="9" t="s">
        <v>211</v>
      </c>
      <c r="G2545" s="9" t="s">
        <v>221</v>
      </c>
      <c r="H2545" s="9" t="n">
        <v>750</v>
      </c>
      <c r="I2545" s="29" t="n">
        <v>1</v>
      </c>
      <c r="J2545" s="9" t="n">
        <v>0</v>
      </c>
      <c r="K2545" s="30"/>
      <c r="L2545" s="30"/>
      <c r="M2545" s="30"/>
      <c r="N2545" s="30"/>
      <c r="O2545" s="30"/>
      <c r="P2545" s="30"/>
      <c r="Q2545" s="30"/>
      <c r="R2545" s="30"/>
      <c r="S2545" s="30"/>
      <c r="T2545" s="30"/>
      <c r="U2545" s="21" t="str">
        <f aca="false">IF(COUNT(K2545:T2545)=0,"SOURCE EMPTY / INDUSTRIAL ONLY",IF(MIN(K2545:T2545)=1,"SERVICE READY","HOLD"))</f>
        <v>SOURCE EMPTY / INDUSTRIAL ONLY</v>
      </c>
      <c r="V2545" s="9" t="n">
        <f aca="false">IF(U2545="SERVICE READY",1,0)</f>
        <v>0</v>
      </c>
      <c r="W2545" s="6"/>
      <c r="X2545" s="6"/>
      <c r="Y2545" s="6"/>
      <c r="Z2545" s="6"/>
    </row>
    <row r="2546" customFormat="false" ht="15" hidden="false" customHeight="false" outlineLevel="0" collapsed="false">
      <c r="A2546" s="9" t="s">
        <v>2808</v>
      </c>
      <c r="B2546" s="9" t="s">
        <v>2681</v>
      </c>
      <c r="C2546" s="9" t="s">
        <v>2682</v>
      </c>
      <c r="D2546" s="9" t="s">
        <v>2185</v>
      </c>
      <c r="E2546" s="9" t="s">
        <v>196</v>
      </c>
      <c r="F2546" s="9" t="s">
        <v>197</v>
      </c>
      <c r="G2546" s="9" t="s">
        <v>221</v>
      </c>
      <c r="H2546" s="9" t="n">
        <v>750</v>
      </c>
      <c r="I2546" s="29" t="n">
        <v>1</v>
      </c>
      <c r="J2546" s="9" t="n">
        <v>0</v>
      </c>
      <c r="K2546" s="30"/>
      <c r="L2546" s="30"/>
      <c r="M2546" s="30"/>
      <c r="N2546" s="30"/>
      <c r="O2546" s="30"/>
      <c r="P2546" s="30"/>
      <c r="Q2546" s="30"/>
      <c r="R2546" s="30"/>
      <c r="S2546" s="30"/>
      <c r="T2546" s="30"/>
      <c r="U2546" s="21" t="str">
        <f aca="false">IF(COUNT(K2546:T2546)=0,"SOURCE EMPTY / INDUSTRIAL ONLY",IF(MIN(K2546:T2546)=1,"SERVICE READY","HOLD"))</f>
        <v>SOURCE EMPTY / INDUSTRIAL ONLY</v>
      </c>
      <c r="V2546" s="9" t="n">
        <f aca="false">IF(U2546="SERVICE READY",1,0)</f>
        <v>0</v>
      </c>
      <c r="W2546" s="6"/>
      <c r="X2546" s="6"/>
      <c r="Y2546" s="6"/>
      <c r="Z2546" s="6"/>
    </row>
    <row r="2547" customFormat="false" ht="15" hidden="false" customHeight="false" outlineLevel="0" collapsed="false">
      <c r="A2547" s="9" t="s">
        <v>2809</v>
      </c>
      <c r="B2547" s="9" t="s">
        <v>2810</v>
      </c>
      <c r="C2547" s="9" t="s">
        <v>2811</v>
      </c>
      <c r="D2547" s="9" t="s">
        <v>2185</v>
      </c>
      <c r="E2547" s="9" t="s">
        <v>323</v>
      </c>
      <c r="F2547" s="9" t="s">
        <v>197</v>
      </c>
      <c r="G2547" s="9" t="s">
        <v>198</v>
      </c>
      <c r="H2547" s="9" t="n">
        <v>1350</v>
      </c>
      <c r="I2547" s="29" t="n">
        <v>2</v>
      </c>
      <c r="J2547" s="9" t="n">
        <v>1</v>
      </c>
      <c r="K2547" s="30"/>
      <c r="L2547" s="30"/>
      <c r="M2547" s="30"/>
      <c r="N2547" s="30"/>
      <c r="O2547" s="30"/>
      <c r="P2547" s="30"/>
      <c r="Q2547" s="30"/>
      <c r="R2547" s="30"/>
      <c r="S2547" s="30"/>
      <c r="T2547" s="30"/>
      <c r="U2547" s="21" t="str">
        <f aca="false">IF(COUNT(K2547:T2547)=0,"SOURCE EMPTY / INDUSTRIAL ONLY",IF(MIN(K2547:T2547)=1,"SERVICE READY","HOLD"))</f>
        <v>SOURCE EMPTY / INDUSTRIAL ONLY</v>
      </c>
      <c r="V2547" s="9" t="n">
        <f aca="false">IF(U2547="SERVICE READY",1,0)</f>
        <v>0</v>
      </c>
      <c r="W2547" s="6"/>
      <c r="X2547" s="6"/>
      <c r="Y2547" s="6"/>
      <c r="Z2547" s="6"/>
    </row>
    <row r="2548" customFormat="false" ht="15" hidden="false" customHeight="false" outlineLevel="0" collapsed="false">
      <c r="A2548" s="9" t="s">
        <v>2812</v>
      </c>
      <c r="B2548" s="9" t="s">
        <v>2810</v>
      </c>
      <c r="C2548" s="9" t="s">
        <v>2811</v>
      </c>
      <c r="D2548" s="9" t="s">
        <v>2185</v>
      </c>
      <c r="E2548" s="9" t="s">
        <v>323</v>
      </c>
      <c r="F2548" s="9" t="s">
        <v>200</v>
      </c>
      <c r="G2548" s="9" t="s">
        <v>201</v>
      </c>
      <c r="H2548" s="9" t="n">
        <v>1350</v>
      </c>
      <c r="I2548" s="29" t="n">
        <v>2</v>
      </c>
      <c r="J2548" s="9" t="n">
        <v>1</v>
      </c>
      <c r="K2548" s="30"/>
      <c r="L2548" s="30"/>
      <c r="M2548" s="30"/>
      <c r="N2548" s="30"/>
      <c r="O2548" s="30"/>
      <c r="P2548" s="30"/>
      <c r="Q2548" s="30"/>
      <c r="R2548" s="30"/>
      <c r="S2548" s="30"/>
      <c r="T2548" s="30"/>
      <c r="U2548" s="21" t="str">
        <f aca="false">IF(COUNT(K2548:T2548)=0,"SOURCE EMPTY / INDUSTRIAL ONLY",IF(MIN(K2548:T2548)=1,"SERVICE READY","HOLD"))</f>
        <v>SOURCE EMPTY / INDUSTRIAL ONLY</v>
      </c>
      <c r="V2548" s="9" t="n">
        <f aca="false">IF(U2548="SERVICE READY",1,0)</f>
        <v>0</v>
      </c>
      <c r="W2548" s="6"/>
      <c r="X2548" s="6"/>
      <c r="Y2548" s="6"/>
      <c r="Z2548" s="6"/>
    </row>
    <row r="2549" customFormat="false" ht="15" hidden="false" customHeight="false" outlineLevel="0" collapsed="false">
      <c r="A2549" s="9" t="s">
        <v>2813</v>
      </c>
      <c r="B2549" s="9" t="s">
        <v>2810</v>
      </c>
      <c r="C2549" s="9" t="s">
        <v>2811</v>
      </c>
      <c r="D2549" s="9" t="s">
        <v>2185</v>
      </c>
      <c r="E2549" s="9" t="s">
        <v>323</v>
      </c>
      <c r="F2549" s="9" t="s">
        <v>203</v>
      </c>
      <c r="G2549" s="9" t="s">
        <v>198</v>
      </c>
      <c r="H2549" s="9" t="n">
        <v>1350</v>
      </c>
      <c r="I2549" s="29" t="n">
        <v>2</v>
      </c>
      <c r="J2549" s="9" t="n">
        <v>1</v>
      </c>
      <c r="K2549" s="30"/>
      <c r="L2549" s="30"/>
      <c r="M2549" s="30"/>
      <c r="N2549" s="30"/>
      <c r="O2549" s="30"/>
      <c r="P2549" s="30"/>
      <c r="Q2549" s="30"/>
      <c r="R2549" s="30"/>
      <c r="S2549" s="30"/>
      <c r="T2549" s="30"/>
      <c r="U2549" s="21" t="str">
        <f aca="false">IF(COUNT(K2549:T2549)=0,"SOURCE EMPTY / INDUSTRIAL ONLY",IF(MIN(K2549:T2549)=1,"SERVICE READY","HOLD"))</f>
        <v>SOURCE EMPTY / INDUSTRIAL ONLY</v>
      </c>
      <c r="V2549" s="9" t="n">
        <f aca="false">IF(U2549="SERVICE READY",1,0)</f>
        <v>0</v>
      </c>
      <c r="W2549" s="6"/>
      <c r="X2549" s="6"/>
      <c r="Y2549" s="6"/>
      <c r="Z2549" s="6"/>
    </row>
    <row r="2550" customFormat="false" ht="15" hidden="false" customHeight="false" outlineLevel="0" collapsed="false">
      <c r="A2550" s="9" t="s">
        <v>2814</v>
      </c>
      <c r="B2550" s="9" t="s">
        <v>2810</v>
      </c>
      <c r="C2550" s="9" t="s">
        <v>2811</v>
      </c>
      <c r="D2550" s="9" t="s">
        <v>2185</v>
      </c>
      <c r="E2550" s="9" t="s">
        <v>323</v>
      </c>
      <c r="F2550" s="9" t="s">
        <v>205</v>
      </c>
      <c r="G2550" s="9" t="s">
        <v>201</v>
      </c>
      <c r="H2550" s="9" t="n">
        <v>1350</v>
      </c>
      <c r="I2550" s="29" t="n">
        <v>2</v>
      </c>
      <c r="J2550" s="9" t="n">
        <v>1</v>
      </c>
      <c r="K2550" s="30"/>
      <c r="L2550" s="30"/>
      <c r="M2550" s="30"/>
      <c r="N2550" s="30"/>
      <c r="O2550" s="30"/>
      <c r="P2550" s="30"/>
      <c r="Q2550" s="30"/>
      <c r="R2550" s="30"/>
      <c r="S2550" s="30"/>
      <c r="T2550" s="30"/>
      <c r="U2550" s="21" t="str">
        <f aca="false">IF(COUNT(K2550:T2550)=0,"SOURCE EMPTY / INDUSTRIAL ONLY",IF(MIN(K2550:T2550)=1,"SERVICE READY","HOLD"))</f>
        <v>SOURCE EMPTY / INDUSTRIAL ONLY</v>
      </c>
      <c r="V2550" s="9" t="n">
        <f aca="false">IF(U2550="SERVICE READY",1,0)</f>
        <v>0</v>
      </c>
      <c r="W2550" s="6"/>
      <c r="X2550" s="6"/>
      <c r="Y2550" s="6"/>
      <c r="Z2550" s="6"/>
    </row>
    <row r="2551" customFormat="false" ht="15" hidden="false" customHeight="false" outlineLevel="0" collapsed="false">
      <c r="A2551" s="9" t="s">
        <v>2815</v>
      </c>
      <c r="B2551" s="9" t="s">
        <v>2810</v>
      </c>
      <c r="C2551" s="9" t="s">
        <v>2811</v>
      </c>
      <c r="D2551" s="9" t="s">
        <v>2185</v>
      </c>
      <c r="E2551" s="9" t="s">
        <v>323</v>
      </c>
      <c r="F2551" s="9" t="s">
        <v>207</v>
      </c>
      <c r="G2551" s="9" t="s">
        <v>198</v>
      </c>
      <c r="H2551" s="9" t="n">
        <v>1350</v>
      </c>
      <c r="I2551" s="29" t="n">
        <v>2</v>
      </c>
      <c r="J2551" s="9" t="n">
        <v>1</v>
      </c>
      <c r="K2551" s="30"/>
      <c r="L2551" s="30"/>
      <c r="M2551" s="30"/>
      <c r="N2551" s="30"/>
      <c r="O2551" s="30"/>
      <c r="P2551" s="30"/>
      <c r="Q2551" s="30"/>
      <c r="R2551" s="30"/>
      <c r="S2551" s="30"/>
      <c r="T2551" s="30"/>
      <c r="U2551" s="21" t="str">
        <f aca="false">IF(COUNT(K2551:T2551)=0,"SOURCE EMPTY / INDUSTRIAL ONLY",IF(MIN(K2551:T2551)=1,"SERVICE READY","HOLD"))</f>
        <v>SOURCE EMPTY / INDUSTRIAL ONLY</v>
      </c>
      <c r="V2551" s="9" t="n">
        <f aca="false">IF(U2551="SERVICE READY",1,0)</f>
        <v>0</v>
      </c>
      <c r="W2551" s="6"/>
      <c r="X2551" s="6"/>
      <c r="Y2551" s="6"/>
      <c r="Z2551" s="6"/>
    </row>
    <row r="2552" customFormat="false" ht="15" hidden="false" customHeight="false" outlineLevel="0" collapsed="false">
      <c r="A2552" s="9" t="s">
        <v>2816</v>
      </c>
      <c r="B2552" s="9" t="s">
        <v>2810</v>
      </c>
      <c r="C2552" s="9" t="s">
        <v>2811</v>
      </c>
      <c r="D2552" s="9" t="s">
        <v>2185</v>
      </c>
      <c r="E2552" s="9" t="s">
        <v>323</v>
      </c>
      <c r="F2552" s="9" t="s">
        <v>209</v>
      </c>
      <c r="G2552" s="9" t="s">
        <v>201</v>
      </c>
      <c r="H2552" s="9" t="n">
        <v>1350</v>
      </c>
      <c r="I2552" s="29" t="n">
        <v>2</v>
      </c>
      <c r="J2552" s="9" t="n">
        <v>1</v>
      </c>
      <c r="K2552" s="30"/>
      <c r="L2552" s="30"/>
      <c r="M2552" s="30"/>
      <c r="N2552" s="30"/>
      <c r="O2552" s="30"/>
      <c r="P2552" s="30"/>
      <c r="Q2552" s="30"/>
      <c r="R2552" s="30"/>
      <c r="S2552" s="30"/>
      <c r="T2552" s="30"/>
      <c r="U2552" s="21" t="str">
        <f aca="false">IF(COUNT(K2552:T2552)=0,"SOURCE EMPTY / INDUSTRIAL ONLY",IF(MIN(K2552:T2552)=1,"SERVICE READY","HOLD"))</f>
        <v>SOURCE EMPTY / INDUSTRIAL ONLY</v>
      </c>
      <c r="V2552" s="9" t="n">
        <f aca="false">IF(U2552="SERVICE READY",1,0)</f>
        <v>0</v>
      </c>
      <c r="W2552" s="6"/>
      <c r="X2552" s="6"/>
      <c r="Y2552" s="6"/>
      <c r="Z2552" s="6"/>
    </row>
    <row r="2553" customFormat="false" ht="15" hidden="false" customHeight="false" outlineLevel="0" collapsed="false">
      <c r="A2553" s="9" t="s">
        <v>2817</v>
      </c>
      <c r="B2553" s="9" t="s">
        <v>2810</v>
      </c>
      <c r="C2553" s="9" t="s">
        <v>2811</v>
      </c>
      <c r="D2553" s="9" t="s">
        <v>2185</v>
      </c>
      <c r="E2553" s="9" t="s">
        <v>323</v>
      </c>
      <c r="F2553" s="9" t="s">
        <v>211</v>
      </c>
      <c r="G2553" s="9" t="s">
        <v>198</v>
      </c>
      <c r="H2553" s="9" t="n">
        <v>1350</v>
      </c>
      <c r="I2553" s="29" t="n">
        <v>2</v>
      </c>
      <c r="J2553" s="9" t="n">
        <v>1</v>
      </c>
      <c r="K2553" s="30"/>
      <c r="L2553" s="30"/>
      <c r="M2553" s="30"/>
      <c r="N2553" s="30"/>
      <c r="O2553" s="30"/>
      <c r="P2553" s="30"/>
      <c r="Q2553" s="30"/>
      <c r="R2553" s="30"/>
      <c r="S2553" s="30"/>
      <c r="T2553" s="30"/>
      <c r="U2553" s="21" t="str">
        <f aca="false">IF(COUNT(K2553:T2553)=0,"SOURCE EMPTY / INDUSTRIAL ONLY",IF(MIN(K2553:T2553)=1,"SERVICE READY","HOLD"))</f>
        <v>SOURCE EMPTY / INDUSTRIAL ONLY</v>
      </c>
      <c r="V2553" s="9" t="n">
        <f aca="false">IF(U2553="SERVICE READY",1,0)</f>
        <v>0</v>
      </c>
      <c r="W2553" s="6"/>
      <c r="X2553" s="6"/>
      <c r="Y2553" s="6"/>
      <c r="Z2553" s="6"/>
    </row>
    <row r="2554" customFormat="false" ht="15" hidden="false" customHeight="false" outlineLevel="0" collapsed="false">
      <c r="A2554" s="9" t="s">
        <v>2818</v>
      </c>
      <c r="B2554" s="9" t="s">
        <v>2810</v>
      </c>
      <c r="C2554" s="9" t="s">
        <v>2811</v>
      </c>
      <c r="D2554" s="9" t="s">
        <v>2185</v>
      </c>
      <c r="E2554" s="9" t="s">
        <v>323</v>
      </c>
      <c r="F2554" s="9" t="s">
        <v>197</v>
      </c>
      <c r="G2554" s="9" t="s">
        <v>201</v>
      </c>
      <c r="H2554" s="9" t="n">
        <v>1350</v>
      </c>
      <c r="I2554" s="29" t="n">
        <v>2</v>
      </c>
      <c r="J2554" s="9" t="n">
        <v>1</v>
      </c>
      <c r="K2554" s="30"/>
      <c r="L2554" s="30"/>
      <c r="M2554" s="30"/>
      <c r="N2554" s="30"/>
      <c r="O2554" s="30"/>
      <c r="P2554" s="30"/>
      <c r="Q2554" s="30"/>
      <c r="R2554" s="30"/>
      <c r="S2554" s="30"/>
      <c r="T2554" s="30"/>
      <c r="U2554" s="21" t="str">
        <f aca="false">IF(COUNT(K2554:T2554)=0,"SOURCE EMPTY / INDUSTRIAL ONLY",IF(MIN(K2554:T2554)=1,"SERVICE READY","HOLD"))</f>
        <v>SOURCE EMPTY / INDUSTRIAL ONLY</v>
      </c>
      <c r="V2554" s="9" t="n">
        <f aca="false">IF(U2554="SERVICE READY",1,0)</f>
        <v>0</v>
      </c>
      <c r="W2554" s="6"/>
      <c r="X2554" s="6"/>
      <c r="Y2554" s="6"/>
      <c r="Z2554" s="6"/>
    </row>
    <row r="2555" customFormat="false" ht="15" hidden="false" customHeight="false" outlineLevel="0" collapsed="false">
      <c r="A2555" s="9" t="s">
        <v>2819</v>
      </c>
      <c r="B2555" s="9" t="s">
        <v>2810</v>
      </c>
      <c r="C2555" s="9" t="s">
        <v>2811</v>
      </c>
      <c r="D2555" s="9" t="s">
        <v>2185</v>
      </c>
      <c r="E2555" s="9" t="s">
        <v>323</v>
      </c>
      <c r="F2555" s="9" t="s">
        <v>200</v>
      </c>
      <c r="G2555" s="9" t="s">
        <v>198</v>
      </c>
      <c r="H2555" s="9" t="n">
        <v>1350</v>
      </c>
      <c r="I2555" s="29" t="n">
        <v>2</v>
      </c>
      <c r="J2555" s="9" t="n">
        <v>1</v>
      </c>
      <c r="K2555" s="30"/>
      <c r="L2555" s="30"/>
      <c r="M2555" s="30"/>
      <c r="N2555" s="30"/>
      <c r="O2555" s="30"/>
      <c r="P2555" s="30"/>
      <c r="Q2555" s="30"/>
      <c r="R2555" s="30"/>
      <c r="S2555" s="30"/>
      <c r="T2555" s="30"/>
      <c r="U2555" s="21" t="str">
        <f aca="false">IF(COUNT(K2555:T2555)=0,"SOURCE EMPTY / INDUSTRIAL ONLY",IF(MIN(K2555:T2555)=1,"SERVICE READY","HOLD"))</f>
        <v>SOURCE EMPTY / INDUSTRIAL ONLY</v>
      </c>
      <c r="V2555" s="9" t="n">
        <f aca="false">IF(U2555="SERVICE READY",1,0)</f>
        <v>0</v>
      </c>
      <c r="W2555" s="6"/>
      <c r="X2555" s="6"/>
      <c r="Y2555" s="6"/>
      <c r="Z2555" s="6"/>
    </row>
    <row r="2556" customFormat="false" ht="15" hidden="false" customHeight="false" outlineLevel="0" collapsed="false">
      <c r="A2556" s="9" t="s">
        <v>2820</v>
      </c>
      <c r="B2556" s="9" t="s">
        <v>2810</v>
      </c>
      <c r="C2556" s="9" t="s">
        <v>2811</v>
      </c>
      <c r="D2556" s="9" t="s">
        <v>2185</v>
      </c>
      <c r="E2556" s="9" t="s">
        <v>323</v>
      </c>
      <c r="F2556" s="9" t="s">
        <v>203</v>
      </c>
      <c r="G2556" s="9" t="s">
        <v>201</v>
      </c>
      <c r="H2556" s="9" t="n">
        <v>1350</v>
      </c>
      <c r="I2556" s="29" t="n">
        <v>2</v>
      </c>
      <c r="J2556" s="9" t="n">
        <v>1</v>
      </c>
      <c r="K2556" s="30"/>
      <c r="L2556" s="30"/>
      <c r="M2556" s="30"/>
      <c r="N2556" s="30"/>
      <c r="O2556" s="30"/>
      <c r="P2556" s="30"/>
      <c r="Q2556" s="30"/>
      <c r="R2556" s="30"/>
      <c r="S2556" s="30"/>
      <c r="T2556" s="30"/>
      <c r="U2556" s="21" t="str">
        <f aca="false">IF(COUNT(K2556:T2556)=0,"SOURCE EMPTY / INDUSTRIAL ONLY",IF(MIN(K2556:T2556)=1,"SERVICE READY","HOLD"))</f>
        <v>SOURCE EMPTY / INDUSTRIAL ONLY</v>
      </c>
      <c r="V2556" s="9" t="n">
        <f aca="false">IF(U2556="SERVICE READY",1,0)</f>
        <v>0</v>
      </c>
      <c r="W2556" s="6"/>
      <c r="X2556" s="6"/>
      <c r="Y2556" s="6"/>
      <c r="Z2556" s="6"/>
    </row>
    <row r="2557" customFormat="false" ht="15" hidden="false" customHeight="false" outlineLevel="0" collapsed="false">
      <c r="A2557" s="9" t="s">
        <v>2821</v>
      </c>
      <c r="B2557" s="9" t="s">
        <v>2810</v>
      </c>
      <c r="C2557" s="9" t="s">
        <v>2811</v>
      </c>
      <c r="D2557" s="9" t="s">
        <v>2185</v>
      </c>
      <c r="E2557" s="9" t="s">
        <v>323</v>
      </c>
      <c r="F2557" s="9" t="s">
        <v>205</v>
      </c>
      <c r="G2557" s="9" t="s">
        <v>198</v>
      </c>
      <c r="H2557" s="9" t="n">
        <v>1350</v>
      </c>
      <c r="I2557" s="29" t="n">
        <v>2</v>
      </c>
      <c r="J2557" s="9" t="n">
        <v>1</v>
      </c>
      <c r="K2557" s="30"/>
      <c r="L2557" s="30"/>
      <c r="M2557" s="30"/>
      <c r="N2557" s="30"/>
      <c r="O2557" s="30"/>
      <c r="P2557" s="30"/>
      <c r="Q2557" s="30"/>
      <c r="R2557" s="30"/>
      <c r="S2557" s="30"/>
      <c r="T2557" s="30"/>
      <c r="U2557" s="21" t="str">
        <f aca="false">IF(COUNT(K2557:T2557)=0,"SOURCE EMPTY / INDUSTRIAL ONLY",IF(MIN(K2557:T2557)=1,"SERVICE READY","HOLD"))</f>
        <v>SOURCE EMPTY / INDUSTRIAL ONLY</v>
      </c>
      <c r="V2557" s="9" t="n">
        <f aca="false">IF(U2557="SERVICE READY",1,0)</f>
        <v>0</v>
      </c>
      <c r="W2557" s="6"/>
      <c r="X2557" s="6"/>
      <c r="Y2557" s="6"/>
      <c r="Z2557" s="6"/>
    </row>
    <row r="2558" customFormat="false" ht="15" hidden="false" customHeight="false" outlineLevel="0" collapsed="false">
      <c r="A2558" s="9" t="s">
        <v>2822</v>
      </c>
      <c r="B2558" s="9" t="s">
        <v>2810</v>
      </c>
      <c r="C2558" s="9" t="s">
        <v>2811</v>
      </c>
      <c r="D2558" s="9" t="s">
        <v>2185</v>
      </c>
      <c r="E2558" s="9" t="s">
        <v>323</v>
      </c>
      <c r="F2558" s="9" t="s">
        <v>207</v>
      </c>
      <c r="G2558" s="9" t="s">
        <v>201</v>
      </c>
      <c r="H2558" s="9" t="n">
        <v>1350</v>
      </c>
      <c r="I2558" s="29" t="n">
        <v>2</v>
      </c>
      <c r="J2558" s="9" t="n">
        <v>1</v>
      </c>
      <c r="K2558" s="30"/>
      <c r="L2558" s="30"/>
      <c r="M2558" s="30"/>
      <c r="N2558" s="30"/>
      <c r="O2558" s="30"/>
      <c r="P2558" s="30"/>
      <c r="Q2558" s="30"/>
      <c r="R2558" s="30"/>
      <c r="S2558" s="30"/>
      <c r="T2558" s="30"/>
      <c r="U2558" s="21" t="str">
        <f aca="false">IF(COUNT(K2558:T2558)=0,"SOURCE EMPTY / INDUSTRIAL ONLY",IF(MIN(K2558:T2558)=1,"SERVICE READY","HOLD"))</f>
        <v>SOURCE EMPTY / INDUSTRIAL ONLY</v>
      </c>
      <c r="V2558" s="9" t="n">
        <f aca="false">IF(U2558="SERVICE READY",1,0)</f>
        <v>0</v>
      </c>
      <c r="W2558" s="6"/>
      <c r="X2558" s="6"/>
      <c r="Y2558" s="6"/>
      <c r="Z2558" s="6"/>
    </row>
    <row r="2559" customFormat="false" ht="15" hidden="false" customHeight="false" outlineLevel="0" collapsed="false">
      <c r="A2559" s="9" t="s">
        <v>2823</v>
      </c>
      <c r="B2559" s="9" t="s">
        <v>2810</v>
      </c>
      <c r="C2559" s="9" t="s">
        <v>2811</v>
      </c>
      <c r="D2559" s="9" t="s">
        <v>2185</v>
      </c>
      <c r="E2559" s="9" t="s">
        <v>323</v>
      </c>
      <c r="F2559" s="9" t="s">
        <v>209</v>
      </c>
      <c r="G2559" s="9" t="s">
        <v>198</v>
      </c>
      <c r="H2559" s="9" t="n">
        <v>1350</v>
      </c>
      <c r="I2559" s="29" t="n">
        <v>2</v>
      </c>
      <c r="J2559" s="9" t="n">
        <v>1</v>
      </c>
      <c r="K2559" s="30"/>
      <c r="L2559" s="30"/>
      <c r="M2559" s="30"/>
      <c r="N2559" s="30"/>
      <c r="O2559" s="30"/>
      <c r="P2559" s="30"/>
      <c r="Q2559" s="30"/>
      <c r="R2559" s="30"/>
      <c r="S2559" s="30"/>
      <c r="T2559" s="30"/>
      <c r="U2559" s="21" t="str">
        <f aca="false">IF(COUNT(K2559:T2559)=0,"SOURCE EMPTY / INDUSTRIAL ONLY",IF(MIN(K2559:T2559)=1,"SERVICE READY","HOLD"))</f>
        <v>SOURCE EMPTY / INDUSTRIAL ONLY</v>
      </c>
      <c r="V2559" s="9" t="n">
        <f aca="false">IF(U2559="SERVICE READY",1,0)</f>
        <v>0</v>
      </c>
      <c r="W2559" s="6"/>
      <c r="X2559" s="6"/>
      <c r="Y2559" s="6"/>
      <c r="Z2559" s="6"/>
    </row>
    <row r="2560" customFormat="false" ht="15" hidden="false" customHeight="false" outlineLevel="0" collapsed="false">
      <c r="A2560" s="9" t="s">
        <v>2824</v>
      </c>
      <c r="B2560" s="9" t="s">
        <v>2810</v>
      </c>
      <c r="C2560" s="9" t="s">
        <v>2811</v>
      </c>
      <c r="D2560" s="9" t="s">
        <v>2185</v>
      </c>
      <c r="E2560" s="9" t="s">
        <v>323</v>
      </c>
      <c r="F2560" s="9" t="s">
        <v>211</v>
      </c>
      <c r="G2560" s="9" t="s">
        <v>201</v>
      </c>
      <c r="H2560" s="9" t="n">
        <v>1350</v>
      </c>
      <c r="I2560" s="29" t="n">
        <v>2</v>
      </c>
      <c r="J2560" s="9" t="n">
        <v>1</v>
      </c>
      <c r="K2560" s="30"/>
      <c r="L2560" s="30"/>
      <c r="M2560" s="30"/>
      <c r="N2560" s="30"/>
      <c r="O2560" s="30"/>
      <c r="P2560" s="30"/>
      <c r="Q2560" s="30"/>
      <c r="R2560" s="30"/>
      <c r="S2560" s="30"/>
      <c r="T2560" s="30"/>
      <c r="U2560" s="21" t="str">
        <f aca="false">IF(COUNT(K2560:T2560)=0,"SOURCE EMPTY / INDUSTRIAL ONLY",IF(MIN(K2560:T2560)=1,"SERVICE READY","HOLD"))</f>
        <v>SOURCE EMPTY / INDUSTRIAL ONLY</v>
      </c>
      <c r="V2560" s="9" t="n">
        <f aca="false">IF(U2560="SERVICE READY",1,0)</f>
        <v>0</v>
      </c>
      <c r="W2560" s="6"/>
      <c r="X2560" s="6"/>
      <c r="Y2560" s="6"/>
      <c r="Z2560" s="6"/>
    </row>
    <row r="2561" customFormat="false" ht="15" hidden="false" customHeight="false" outlineLevel="0" collapsed="false">
      <c r="A2561" s="9" t="s">
        <v>2825</v>
      </c>
      <c r="B2561" s="9" t="s">
        <v>2810</v>
      </c>
      <c r="C2561" s="9" t="s">
        <v>2811</v>
      </c>
      <c r="D2561" s="9" t="s">
        <v>2185</v>
      </c>
      <c r="E2561" s="9" t="s">
        <v>323</v>
      </c>
      <c r="F2561" s="9" t="s">
        <v>197</v>
      </c>
      <c r="G2561" s="9" t="s">
        <v>198</v>
      </c>
      <c r="H2561" s="9" t="n">
        <v>1350</v>
      </c>
      <c r="I2561" s="29" t="n">
        <v>2</v>
      </c>
      <c r="J2561" s="9" t="n">
        <v>1</v>
      </c>
      <c r="K2561" s="30"/>
      <c r="L2561" s="30"/>
      <c r="M2561" s="30"/>
      <c r="N2561" s="30"/>
      <c r="O2561" s="30"/>
      <c r="P2561" s="30"/>
      <c r="Q2561" s="30"/>
      <c r="R2561" s="30"/>
      <c r="S2561" s="30"/>
      <c r="T2561" s="30"/>
      <c r="U2561" s="21" t="str">
        <f aca="false">IF(COUNT(K2561:T2561)=0,"SOURCE EMPTY / INDUSTRIAL ONLY",IF(MIN(K2561:T2561)=1,"SERVICE READY","HOLD"))</f>
        <v>SOURCE EMPTY / INDUSTRIAL ONLY</v>
      </c>
      <c r="V2561" s="9" t="n">
        <f aca="false">IF(U2561="SERVICE READY",1,0)</f>
        <v>0</v>
      </c>
      <c r="W2561" s="6"/>
      <c r="X2561" s="6"/>
      <c r="Y2561" s="6"/>
      <c r="Z2561" s="6"/>
    </row>
    <row r="2562" customFormat="false" ht="15" hidden="false" customHeight="false" outlineLevel="0" collapsed="false">
      <c r="A2562" s="9" t="s">
        <v>2826</v>
      </c>
      <c r="B2562" s="9" t="s">
        <v>2810</v>
      </c>
      <c r="C2562" s="9" t="s">
        <v>2811</v>
      </c>
      <c r="D2562" s="9" t="s">
        <v>2185</v>
      </c>
      <c r="E2562" s="9" t="s">
        <v>323</v>
      </c>
      <c r="F2562" s="9" t="s">
        <v>200</v>
      </c>
      <c r="G2562" s="9" t="s">
        <v>201</v>
      </c>
      <c r="H2562" s="9" t="n">
        <v>1350</v>
      </c>
      <c r="I2562" s="29" t="n">
        <v>2</v>
      </c>
      <c r="J2562" s="9" t="n">
        <v>1</v>
      </c>
      <c r="K2562" s="30"/>
      <c r="L2562" s="30"/>
      <c r="M2562" s="30"/>
      <c r="N2562" s="30"/>
      <c r="O2562" s="30"/>
      <c r="P2562" s="30"/>
      <c r="Q2562" s="30"/>
      <c r="R2562" s="30"/>
      <c r="S2562" s="30"/>
      <c r="T2562" s="30"/>
      <c r="U2562" s="21" t="str">
        <f aca="false">IF(COUNT(K2562:T2562)=0,"SOURCE EMPTY / INDUSTRIAL ONLY",IF(MIN(K2562:T2562)=1,"SERVICE READY","HOLD"))</f>
        <v>SOURCE EMPTY / INDUSTRIAL ONLY</v>
      </c>
      <c r="V2562" s="9" t="n">
        <f aca="false">IF(U2562="SERVICE READY",1,0)</f>
        <v>0</v>
      </c>
      <c r="W2562" s="6"/>
      <c r="X2562" s="6"/>
      <c r="Y2562" s="6"/>
      <c r="Z2562" s="6"/>
    </row>
    <row r="2563" customFormat="false" ht="15" hidden="false" customHeight="false" outlineLevel="0" collapsed="false">
      <c r="A2563" s="9" t="s">
        <v>2827</v>
      </c>
      <c r="B2563" s="9" t="s">
        <v>2810</v>
      </c>
      <c r="C2563" s="9" t="s">
        <v>2811</v>
      </c>
      <c r="D2563" s="9" t="s">
        <v>2185</v>
      </c>
      <c r="E2563" s="9" t="s">
        <v>323</v>
      </c>
      <c r="F2563" s="9" t="s">
        <v>203</v>
      </c>
      <c r="G2563" s="9" t="s">
        <v>198</v>
      </c>
      <c r="H2563" s="9" t="n">
        <v>1350</v>
      </c>
      <c r="I2563" s="29" t="n">
        <v>2</v>
      </c>
      <c r="J2563" s="9" t="n">
        <v>1</v>
      </c>
      <c r="K2563" s="30"/>
      <c r="L2563" s="30"/>
      <c r="M2563" s="30"/>
      <c r="N2563" s="30"/>
      <c r="O2563" s="30"/>
      <c r="P2563" s="30"/>
      <c r="Q2563" s="30"/>
      <c r="R2563" s="30"/>
      <c r="S2563" s="30"/>
      <c r="T2563" s="30"/>
      <c r="U2563" s="21" t="str">
        <f aca="false">IF(COUNT(K2563:T2563)=0,"SOURCE EMPTY / INDUSTRIAL ONLY",IF(MIN(K2563:T2563)=1,"SERVICE READY","HOLD"))</f>
        <v>SOURCE EMPTY / INDUSTRIAL ONLY</v>
      </c>
      <c r="V2563" s="9" t="n">
        <f aca="false">IF(U2563="SERVICE READY",1,0)</f>
        <v>0</v>
      </c>
      <c r="W2563" s="6"/>
      <c r="X2563" s="6"/>
      <c r="Y2563" s="6"/>
      <c r="Z2563" s="6"/>
    </row>
    <row r="2564" customFormat="false" ht="15" hidden="false" customHeight="false" outlineLevel="0" collapsed="false">
      <c r="A2564" s="9" t="s">
        <v>2828</v>
      </c>
      <c r="B2564" s="9" t="s">
        <v>2810</v>
      </c>
      <c r="C2564" s="9" t="s">
        <v>2811</v>
      </c>
      <c r="D2564" s="9" t="s">
        <v>2185</v>
      </c>
      <c r="E2564" s="9" t="s">
        <v>323</v>
      </c>
      <c r="F2564" s="9" t="s">
        <v>205</v>
      </c>
      <c r="G2564" s="9" t="s">
        <v>201</v>
      </c>
      <c r="H2564" s="9" t="n">
        <v>1350</v>
      </c>
      <c r="I2564" s="29" t="n">
        <v>2</v>
      </c>
      <c r="J2564" s="9" t="n">
        <v>1</v>
      </c>
      <c r="K2564" s="30"/>
      <c r="L2564" s="30"/>
      <c r="M2564" s="30"/>
      <c r="N2564" s="30"/>
      <c r="O2564" s="30"/>
      <c r="P2564" s="30"/>
      <c r="Q2564" s="30"/>
      <c r="R2564" s="30"/>
      <c r="S2564" s="30"/>
      <c r="T2564" s="30"/>
      <c r="U2564" s="21" t="str">
        <f aca="false">IF(COUNT(K2564:T2564)=0,"SOURCE EMPTY / INDUSTRIAL ONLY",IF(MIN(K2564:T2564)=1,"SERVICE READY","HOLD"))</f>
        <v>SOURCE EMPTY / INDUSTRIAL ONLY</v>
      </c>
      <c r="V2564" s="9" t="n">
        <f aca="false">IF(U2564="SERVICE READY",1,0)</f>
        <v>0</v>
      </c>
      <c r="W2564" s="6"/>
      <c r="X2564" s="6"/>
      <c r="Y2564" s="6"/>
      <c r="Z2564" s="6"/>
    </row>
    <row r="2565" customFormat="false" ht="15" hidden="false" customHeight="false" outlineLevel="0" collapsed="false">
      <c r="A2565" s="9" t="s">
        <v>2829</v>
      </c>
      <c r="B2565" s="9" t="s">
        <v>2810</v>
      </c>
      <c r="C2565" s="9" t="s">
        <v>2811</v>
      </c>
      <c r="D2565" s="9" t="s">
        <v>2185</v>
      </c>
      <c r="E2565" s="9" t="s">
        <v>323</v>
      </c>
      <c r="F2565" s="9" t="s">
        <v>207</v>
      </c>
      <c r="G2565" s="9" t="s">
        <v>198</v>
      </c>
      <c r="H2565" s="9" t="n">
        <v>1350</v>
      </c>
      <c r="I2565" s="29" t="n">
        <v>2</v>
      </c>
      <c r="J2565" s="9" t="n">
        <v>1</v>
      </c>
      <c r="K2565" s="30"/>
      <c r="L2565" s="30"/>
      <c r="M2565" s="30"/>
      <c r="N2565" s="30"/>
      <c r="O2565" s="30"/>
      <c r="P2565" s="30"/>
      <c r="Q2565" s="30"/>
      <c r="R2565" s="30"/>
      <c r="S2565" s="30"/>
      <c r="T2565" s="30"/>
      <c r="U2565" s="21" t="str">
        <f aca="false">IF(COUNT(K2565:T2565)=0,"SOURCE EMPTY / INDUSTRIAL ONLY",IF(MIN(K2565:T2565)=1,"SERVICE READY","HOLD"))</f>
        <v>SOURCE EMPTY / INDUSTRIAL ONLY</v>
      </c>
      <c r="V2565" s="9" t="n">
        <f aca="false">IF(U2565="SERVICE READY",1,0)</f>
        <v>0</v>
      </c>
      <c r="W2565" s="6"/>
      <c r="X2565" s="6"/>
      <c r="Y2565" s="6"/>
      <c r="Z2565" s="6"/>
    </row>
    <row r="2566" customFormat="false" ht="15" hidden="false" customHeight="false" outlineLevel="0" collapsed="false">
      <c r="A2566" s="9" t="s">
        <v>2830</v>
      </c>
      <c r="B2566" s="9" t="s">
        <v>2810</v>
      </c>
      <c r="C2566" s="9" t="s">
        <v>2811</v>
      </c>
      <c r="D2566" s="9" t="s">
        <v>2185</v>
      </c>
      <c r="E2566" s="9" t="s">
        <v>323</v>
      </c>
      <c r="F2566" s="9" t="s">
        <v>209</v>
      </c>
      <c r="G2566" s="9" t="s">
        <v>201</v>
      </c>
      <c r="H2566" s="9" t="n">
        <v>1350</v>
      </c>
      <c r="I2566" s="29" t="n">
        <v>2</v>
      </c>
      <c r="J2566" s="9" t="n">
        <v>1</v>
      </c>
      <c r="K2566" s="30"/>
      <c r="L2566" s="30"/>
      <c r="M2566" s="30"/>
      <c r="N2566" s="30"/>
      <c r="O2566" s="30"/>
      <c r="P2566" s="30"/>
      <c r="Q2566" s="30"/>
      <c r="R2566" s="30"/>
      <c r="S2566" s="30"/>
      <c r="T2566" s="30"/>
      <c r="U2566" s="21" t="str">
        <f aca="false">IF(COUNT(K2566:T2566)=0,"SOURCE EMPTY / INDUSTRIAL ONLY",IF(MIN(K2566:T2566)=1,"SERVICE READY","HOLD"))</f>
        <v>SOURCE EMPTY / INDUSTRIAL ONLY</v>
      </c>
      <c r="V2566" s="9" t="n">
        <f aca="false">IF(U2566="SERVICE READY",1,0)</f>
        <v>0</v>
      </c>
      <c r="W2566" s="6"/>
      <c r="X2566" s="6"/>
      <c r="Y2566" s="6"/>
      <c r="Z2566" s="6"/>
    </row>
    <row r="2567" customFormat="false" ht="15" hidden="false" customHeight="false" outlineLevel="0" collapsed="false">
      <c r="A2567" s="9" t="s">
        <v>2831</v>
      </c>
      <c r="B2567" s="9" t="s">
        <v>2810</v>
      </c>
      <c r="C2567" s="9" t="s">
        <v>2811</v>
      </c>
      <c r="D2567" s="9" t="s">
        <v>2185</v>
      </c>
      <c r="E2567" s="9" t="s">
        <v>323</v>
      </c>
      <c r="F2567" s="9" t="s">
        <v>211</v>
      </c>
      <c r="G2567" s="9" t="s">
        <v>198</v>
      </c>
      <c r="H2567" s="9" t="n">
        <v>1350</v>
      </c>
      <c r="I2567" s="29" t="n">
        <v>2</v>
      </c>
      <c r="J2567" s="9" t="n">
        <v>1</v>
      </c>
      <c r="K2567" s="30"/>
      <c r="L2567" s="30"/>
      <c r="M2567" s="30"/>
      <c r="N2567" s="30"/>
      <c r="O2567" s="30"/>
      <c r="P2567" s="30"/>
      <c r="Q2567" s="30"/>
      <c r="R2567" s="30"/>
      <c r="S2567" s="30"/>
      <c r="T2567" s="30"/>
      <c r="U2567" s="21" t="str">
        <f aca="false">IF(COUNT(K2567:T2567)=0,"SOURCE EMPTY / INDUSTRIAL ONLY",IF(MIN(K2567:T2567)=1,"SERVICE READY","HOLD"))</f>
        <v>SOURCE EMPTY / INDUSTRIAL ONLY</v>
      </c>
      <c r="V2567" s="9" t="n">
        <f aca="false">IF(U2567="SERVICE READY",1,0)</f>
        <v>0</v>
      </c>
      <c r="W2567" s="6"/>
      <c r="X2567" s="6"/>
      <c r="Y2567" s="6"/>
      <c r="Z2567" s="6"/>
    </row>
    <row r="2568" customFormat="false" ht="15" hidden="false" customHeight="false" outlineLevel="0" collapsed="false">
      <c r="A2568" s="9" t="s">
        <v>2832</v>
      </c>
      <c r="B2568" s="9" t="s">
        <v>2810</v>
      </c>
      <c r="C2568" s="9" t="s">
        <v>2811</v>
      </c>
      <c r="D2568" s="9" t="s">
        <v>2185</v>
      </c>
      <c r="E2568" s="9" t="s">
        <v>323</v>
      </c>
      <c r="F2568" s="9" t="s">
        <v>197</v>
      </c>
      <c r="G2568" s="9" t="s">
        <v>201</v>
      </c>
      <c r="H2568" s="9" t="n">
        <v>1350</v>
      </c>
      <c r="I2568" s="29" t="n">
        <v>2</v>
      </c>
      <c r="J2568" s="9" t="n">
        <v>1</v>
      </c>
      <c r="K2568" s="30"/>
      <c r="L2568" s="30"/>
      <c r="M2568" s="30"/>
      <c r="N2568" s="30"/>
      <c r="O2568" s="30"/>
      <c r="P2568" s="30"/>
      <c r="Q2568" s="30"/>
      <c r="R2568" s="30"/>
      <c r="S2568" s="30"/>
      <c r="T2568" s="30"/>
      <c r="U2568" s="21" t="str">
        <f aca="false">IF(COUNT(K2568:T2568)=0,"SOURCE EMPTY / INDUSTRIAL ONLY",IF(MIN(K2568:T2568)=1,"SERVICE READY","HOLD"))</f>
        <v>SOURCE EMPTY / INDUSTRIAL ONLY</v>
      </c>
      <c r="V2568" s="9" t="n">
        <f aca="false">IF(U2568="SERVICE READY",1,0)</f>
        <v>0</v>
      </c>
      <c r="W2568" s="6"/>
      <c r="X2568" s="6"/>
      <c r="Y2568" s="6"/>
      <c r="Z2568" s="6"/>
    </row>
    <row r="2569" customFormat="false" ht="15" hidden="false" customHeight="false" outlineLevel="0" collapsed="false">
      <c r="A2569" s="9" t="s">
        <v>2833</v>
      </c>
      <c r="B2569" s="9" t="s">
        <v>2810</v>
      </c>
      <c r="C2569" s="9" t="s">
        <v>2811</v>
      </c>
      <c r="D2569" s="9" t="s">
        <v>2185</v>
      </c>
      <c r="E2569" s="9" t="s">
        <v>323</v>
      </c>
      <c r="F2569" s="9" t="s">
        <v>200</v>
      </c>
      <c r="G2569" s="9" t="s">
        <v>198</v>
      </c>
      <c r="H2569" s="9" t="n">
        <v>1350</v>
      </c>
      <c r="I2569" s="29" t="n">
        <v>2</v>
      </c>
      <c r="J2569" s="9" t="n">
        <v>1</v>
      </c>
      <c r="K2569" s="30"/>
      <c r="L2569" s="30"/>
      <c r="M2569" s="30"/>
      <c r="N2569" s="30"/>
      <c r="O2569" s="30"/>
      <c r="P2569" s="30"/>
      <c r="Q2569" s="30"/>
      <c r="R2569" s="30"/>
      <c r="S2569" s="30"/>
      <c r="T2569" s="30"/>
      <c r="U2569" s="21" t="str">
        <f aca="false">IF(COUNT(K2569:T2569)=0,"SOURCE EMPTY / INDUSTRIAL ONLY",IF(MIN(K2569:T2569)=1,"SERVICE READY","HOLD"))</f>
        <v>SOURCE EMPTY / INDUSTRIAL ONLY</v>
      </c>
      <c r="V2569" s="9" t="n">
        <f aca="false">IF(U2569="SERVICE READY",1,0)</f>
        <v>0</v>
      </c>
      <c r="W2569" s="6"/>
      <c r="X2569" s="6"/>
      <c r="Y2569" s="6"/>
      <c r="Z2569" s="6"/>
    </row>
    <row r="2570" customFormat="false" ht="15" hidden="false" customHeight="false" outlineLevel="0" collapsed="false">
      <c r="A2570" s="9" t="s">
        <v>2834</v>
      </c>
      <c r="B2570" s="9" t="s">
        <v>2810</v>
      </c>
      <c r="C2570" s="9" t="s">
        <v>2811</v>
      </c>
      <c r="D2570" s="9" t="s">
        <v>2185</v>
      </c>
      <c r="E2570" s="9" t="s">
        <v>323</v>
      </c>
      <c r="F2570" s="9" t="s">
        <v>203</v>
      </c>
      <c r="G2570" s="9" t="s">
        <v>201</v>
      </c>
      <c r="H2570" s="9" t="n">
        <v>1350</v>
      </c>
      <c r="I2570" s="29" t="n">
        <v>2</v>
      </c>
      <c r="J2570" s="9" t="n">
        <v>1</v>
      </c>
      <c r="K2570" s="30"/>
      <c r="L2570" s="30"/>
      <c r="M2570" s="30"/>
      <c r="N2570" s="30"/>
      <c r="O2570" s="30"/>
      <c r="P2570" s="30"/>
      <c r="Q2570" s="30"/>
      <c r="R2570" s="30"/>
      <c r="S2570" s="30"/>
      <c r="T2570" s="30"/>
      <c r="U2570" s="21" t="str">
        <f aca="false">IF(COUNT(K2570:T2570)=0,"SOURCE EMPTY / INDUSTRIAL ONLY",IF(MIN(K2570:T2570)=1,"SERVICE READY","HOLD"))</f>
        <v>SOURCE EMPTY / INDUSTRIAL ONLY</v>
      </c>
      <c r="V2570" s="9" t="n">
        <f aca="false">IF(U2570="SERVICE READY",1,0)</f>
        <v>0</v>
      </c>
      <c r="W2570" s="6"/>
      <c r="X2570" s="6"/>
      <c r="Y2570" s="6"/>
      <c r="Z2570" s="6"/>
    </row>
    <row r="2571" customFormat="false" ht="15" hidden="false" customHeight="false" outlineLevel="0" collapsed="false">
      <c r="A2571" s="9" t="s">
        <v>2835</v>
      </c>
      <c r="B2571" s="9" t="s">
        <v>2810</v>
      </c>
      <c r="C2571" s="9" t="s">
        <v>2811</v>
      </c>
      <c r="D2571" s="9" t="s">
        <v>2185</v>
      </c>
      <c r="E2571" s="9" t="s">
        <v>323</v>
      </c>
      <c r="F2571" s="9" t="s">
        <v>205</v>
      </c>
      <c r="G2571" s="9" t="s">
        <v>198</v>
      </c>
      <c r="H2571" s="9" t="n">
        <v>1350</v>
      </c>
      <c r="I2571" s="29" t="n">
        <v>2</v>
      </c>
      <c r="J2571" s="9" t="n">
        <v>1</v>
      </c>
      <c r="K2571" s="30"/>
      <c r="L2571" s="30"/>
      <c r="M2571" s="30"/>
      <c r="N2571" s="30"/>
      <c r="O2571" s="30"/>
      <c r="P2571" s="30"/>
      <c r="Q2571" s="30"/>
      <c r="R2571" s="30"/>
      <c r="S2571" s="30"/>
      <c r="T2571" s="30"/>
      <c r="U2571" s="21" t="str">
        <f aca="false">IF(COUNT(K2571:T2571)=0,"SOURCE EMPTY / INDUSTRIAL ONLY",IF(MIN(K2571:T2571)=1,"SERVICE READY","HOLD"))</f>
        <v>SOURCE EMPTY / INDUSTRIAL ONLY</v>
      </c>
      <c r="V2571" s="9" t="n">
        <f aca="false">IF(U2571="SERVICE READY",1,0)</f>
        <v>0</v>
      </c>
      <c r="W2571" s="6"/>
      <c r="X2571" s="6"/>
      <c r="Y2571" s="6"/>
      <c r="Z2571" s="6"/>
    </row>
    <row r="2572" customFormat="false" ht="15" hidden="false" customHeight="false" outlineLevel="0" collapsed="false">
      <c r="A2572" s="9" t="s">
        <v>2836</v>
      </c>
      <c r="B2572" s="9" t="s">
        <v>2810</v>
      </c>
      <c r="C2572" s="9" t="s">
        <v>2811</v>
      </c>
      <c r="D2572" s="9" t="s">
        <v>2185</v>
      </c>
      <c r="E2572" s="9" t="s">
        <v>323</v>
      </c>
      <c r="F2572" s="9" t="s">
        <v>207</v>
      </c>
      <c r="G2572" s="9" t="s">
        <v>201</v>
      </c>
      <c r="H2572" s="9" t="n">
        <v>1350</v>
      </c>
      <c r="I2572" s="29" t="n">
        <v>2</v>
      </c>
      <c r="J2572" s="9" t="n">
        <v>1</v>
      </c>
      <c r="K2572" s="30"/>
      <c r="L2572" s="30"/>
      <c r="M2572" s="30"/>
      <c r="N2572" s="30"/>
      <c r="O2572" s="30"/>
      <c r="P2572" s="30"/>
      <c r="Q2572" s="30"/>
      <c r="R2572" s="30"/>
      <c r="S2572" s="30"/>
      <c r="T2572" s="30"/>
      <c r="U2572" s="21" t="str">
        <f aca="false">IF(COUNT(K2572:T2572)=0,"SOURCE EMPTY / INDUSTRIAL ONLY",IF(MIN(K2572:T2572)=1,"SERVICE READY","HOLD"))</f>
        <v>SOURCE EMPTY / INDUSTRIAL ONLY</v>
      </c>
      <c r="V2572" s="9" t="n">
        <f aca="false">IF(U2572="SERVICE READY",1,0)</f>
        <v>0</v>
      </c>
      <c r="W2572" s="6"/>
      <c r="X2572" s="6"/>
      <c r="Y2572" s="6"/>
      <c r="Z2572" s="6"/>
    </row>
    <row r="2573" customFormat="false" ht="15" hidden="false" customHeight="false" outlineLevel="0" collapsed="false">
      <c r="A2573" s="9" t="s">
        <v>2837</v>
      </c>
      <c r="B2573" s="9" t="s">
        <v>2810</v>
      </c>
      <c r="C2573" s="9" t="s">
        <v>2811</v>
      </c>
      <c r="D2573" s="9" t="s">
        <v>2185</v>
      </c>
      <c r="E2573" s="9" t="s">
        <v>323</v>
      </c>
      <c r="F2573" s="9" t="s">
        <v>209</v>
      </c>
      <c r="G2573" s="9" t="s">
        <v>198</v>
      </c>
      <c r="H2573" s="9" t="n">
        <v>1350</v>
      </c>
      <c r="I2573" s="29" t="n">
        <v>2</v>
      </c>
      <c r="J2573" s="9" t="n">
        <v>1</v>
      </c>
      <c r="K2573" s="30"/>
      <c r="L2573" s="30"/>
      <c r="M2573" s="30"/>
      <c r="N2573" s="30"/>
      <c r="O2573" s="30"/>
      <c r="P2573" s="30"/>
      <c r="Q2573" s="30"/>
      <c r="R2573" s="30"/>
      <c r="S2573" s="30"/>
      <c r="T2573" s="30"/>
      <c r="U2573" s="21" t="str">
        <f aca="false">IF(COUNT(K2573:T2573)=0,"SOURCE EMPTY / INDUSTRIAL ONLY",IF(MIN(K2573:T2573)=1,"SERVICE READY","HOLD"))</f>
        <v>SOURCE EMPTY / INDUSTRIAL ONLY</v>
      </c>
      <c r="V2573" s="9" t="n">
        <f aca="false">IF(U2573="SERVICE READY",1,0)</f>
        <v>0</v>
      </c>
      <c r="W2573" s="6"/>
      <c r="X2573" s="6"/>
      <c r="Y2573" s="6"/>
      <c r="Z2573" s="6"/>
    </row>
    <row r="2574" customFormat="false" ht="15" hidden="false" customHeight="false" outlineLevel="0" collapsed="false">
      <c r="A2574" s="9" t="s">
        <v>2838</v>
      </c>
      <c r="B2574" s="9" t="s">
        <v>2810</v>
      </c>
      <c r="C2574" s="9" t="s">
        <v>2811</v>
      </c>
      <c r="D2574" s="9" t="s">
        <v>2185</v>
      </c>
      <c r="E2574" s="9" t="s">
        <v>323</v>
      </c>
      <c r="F2574" s="9" t="s">
        <v>211</v>
      </c>
      <c r="G2574" s="9" t="s">
        <v>201</v>
      </c>
      <c r="H2574" s="9" t="n">
        <v>1350</v>
      </c>
      <c r="I2574" s="29" t="n">
        <v>2</v>
      </c>
      <c r="J2574" s="9" t="n">
        <v>1</v>
      </c>
      <c r="K2574" s="30"/>
      <c r="L2574" s="30"/>
      <c r="M2574" s="30"/>
      <c r="N2574" s="30"/>
      <c r="O2574" s="30"/>
      <c r="P2574" s="30"/>
      <c r="Q2574" s="30"/>
      <c r="R2574" s="30"/>
      <c r="S2574" s="30"/>
      <c r="T2574" s="30"/>
      <c r="U2574" s="21" t="str">
        <f aca="false">IF(COUNT(K2574:T2574)=0,"SOURCE EMPTY / INDUSTRIAL ONLY",IF(MIN(K2574:T2574)=1,"SERVICE READY","HOLD"))</f>
        <v>SOURCE EMPTY / INDUSTRIAL ONLY</v>
      </c>
      <c r="V2574" s="9" t="n">
        <f aca="false">IF(U2574="SERVICE READY",1,0)</f>
        <v>0</v>
      </c>
      <c r="W2574" s="6"/>
      <c r="X2574" s="6"/>
      <c r="Y2574" s="6"/>
      <c r="Z2574" s="6"/>
    </row>
    <row r="2575" customFormat="false" ht="15" hidden="false" customHeight="false" outlineLevel="0" collapsed="false">
      <c r="A2575" s="9" t="s">
        <v>2839</v>
      </c>
      <c r="B2575" s="9" t="s">
        <v>2810</v>
      </c>
      <c r="C2575" s="9" t="s">
        <v>2811</v>
      </c>
      <c r="D2575" s="9" t="s">
        <v>2185</v>
      </c>
      <c r="E2575" s="9" t="s">
        <v>323</v>
      </c>
      <c r="F2575" s="9" t="s">
        <v>197</v>
      </c>
      <c r="G2575" s="9" t="s">
        <v>198</v>
      </c>
      <c r="H2575" s="9" t="n">
        <v>1350</v>
      </c>
      <c r="I2575" s="29" t="n">
        <v>2</v>
      </c>
      <c r="J2575" s="9" t="n">
        <v>1</v>
      </c>
      <c r="K2575" s="30"/>
      <c r="L2575" s="30"/>
      <c r="M2575" s="30"/>
      <c r="N2575" s="30"/>
      <c r="O2575" s="30"/>
      <c r="P2575" s="30"/>
      <c r="Q2575" s="30"/>
      <c r="R2575" s="30"/>
      <c r="S2575" s="30"/>
      <c r="T2575" s="30"/>
      <c r="U2575" s="21" t="str">
        <f aca="false">IF(COUNT(K2575:T2575)=0,"SOURCE EMPTY / INDUSTRIAL ONLY",IF(MIN(K2575:T2575)=1,"SERVICE READY","HOLD"))</f>
        <v>SOURCE EMPTY / INDUSTRIAL ONLY</v>
      </c>
      <c r="V2575" s="9" t="n">
        <f aca="false">IF(U2575="SERVICE READY",1,0)</f>
        <v>0</v>
      </c>
      <c r="W2575" s="6"/>
      <c r="X2575" s="6"/>
      <c r="Y2575" s="6"/>
      <c r="Z2575" s="6"/>
    </row>
    <row r="2576" customFormat="false" ht="15" hidden="false" customHeight="false" outlineLevel="0" collapsed="false">
      <c r="A2576" s="9" t="s">
        <v>2840</v>
      </c>
      <c r="B2576" s="9" t="s">
        <v>2810</v>
      </c>
      <c r="C2576" s="9" t="s">
        <v>2811</v>
      </c>
      <c r="D2576" s="9" t="s">
        <v>2185</v>
      </c>
      <c r="E2576" s="9" t="s">
        <v>323</v>
      </c>
      <c r="F2576" s="9" t="s">
        <v>200</v>
      </c>
      <c r="G2576" s="9" t="s">
        <v>201</v>
      </c>
      <c r="H2576" s="9" t="n">
        <v>1350</v>
      </c>
      <c r="I2576" s="29" t="n">
        <v>2</v>
      </c>
      <c r="J2576" s="9" t="n">
        <v>1</v>
      </c>
      <c r="K2576" s="30"/>
      <c r="L2576" s="30"/>
      <c r="M2576" s="30"/>
      <c r="N2576" s="30"/>
      <c r="O2576" s="30"/>
      <c r="P2576" s="30"/>
      <c r="Q2576" s="30"/>
      <c r="R2576" s="30"/>
      <c r="S2576" s="30"/>
      <c r="T2576" s="30"/>
      <c r="U2576" s="21" t="str">
        <f aca="false">IF(COUNT(K2576:T2576)=0,"SOURCE EMPTY / INDUSTRIAL ONLY",IF(MIN(K2576:T2576)=1,"SERVICE READY","HOLD"))</f>
        <v>SOURCE EMPTY / INDUSTRIAL ONLY</v>
      </c>
      <c r="V2576" s="9" t="n">
        <f aca="false">IF(U2576="SERVICE READY",1,0)</f>
        <v>0</v>
      </c>
      <c r="W2576" s="6"/>
      <c r="X2576" s="6"/>
      <c r="Y2576" s="6"/>
      <c r="Z2576" s="6"/>
    </row>
    <row r="2577" customFormat="false" ht="15" hidden="false" customHeight="false" outlineLevel="0" collapsed="false">
      <c r="A2577" s="9" t="s">
        <v>2841</v>
      </c>
      <c r="B2577" s="9" t="s">
        <v>2810</v>
      </c>
      <c r="C2577" s="9" t="s">
        <v>2811</v>
      </c>
      <c r="D2577" s="9" t="s">
        <v>2185</v>
      </c>
      <c r="E2577" s="9" t="s">
        <v>323</v>
      </c>
      <c r="F2577" s="9" t="s">
        <v>203</v>
      </c>
      <c r="G2577" s="9" t="s">
        <v>198</v>
      </c>
      <c r="H2577" s="9" t="n">
        <v>1350</v>
      </c>
      <c r="I2577" s="29" t="n">
        <v>2</v>
      </c>
      <c r="J2577" s="9" t="n">
        <v>1</v>
      </c>
      <c r="K2577" s="30"/>
      <c r="L2577" s="30"/>
      <c r="M2577" s="30"/>
      <c r="N2577" s="30"/>
      <c r="O2577" s="30"/>
      <c r="P2577" s="30"/>
      <c r="Q2577" s="30"/>
      <c r="R2577" s="30"/>
      <c r="S2577" s="30"/>
      <c r="T2577" s="30"/>
      <c r="U2577" s="21" t="str">
        <f aca="false">IF(COUNT(K2577:T2577)=0,"SOURCE EMPTY / INDUSTRIAL ONLY",IF(MIN(K2577:T2577)=1,"SERVICE READY","HOLD"))</f>
        <v>SOURCE EMPTY / INDUSTRIAL ONLY</v>
      </c>
      <c r="V2577" s="9" t="n">
        <f aca="false">IF(U2577="SERVICE READY",1,0)</f>
        <v>0</v>
      </c>
      <c r="W2577" s="6"/>
      <c r="X2577" s="6"/>
      <c r="Y2577" s="6"/>
      <c r="Z2577" s="6"/>
    </row>
    <row r="2578" customFormat="false" ht="15" hidden="false" customHeight="false" outlineLevel="0" collapsed="false">
      <c r="A2578" s="9" t="s">
        <v>2842</v>
      </c>
      <c r="B2578" s="9" t="s">
        <v>2810</v>
      </c>
      <c r="C2578" s="9" t="s">
        <v>2811</v>
      </c>
      <c r="D2578" s="9" t="s">
        <v>2185</v>
      </c>
      <c r="E2578" s="9" t="s">
        <v>323</v>
      </c>
      <c r="F2578" s="9" t="s">
        <v>205</v>
      </c>
      <c r="G2578" s="9" t="s">
        <v>201</v>
      </c>
      <c r="H2578" s="9" t="n">
        <v>1350</v>
      </c>
      <c r="I2578" s="29" t="n">
        <v>2</v>
      </c>
      <c r="J2578" s="9" t="n">
        <v>1</v>
      </c>
      <c r="K2578" s="30"/>
      <c r="L2578" s="30"/>
      <c r="M2578" s="30"/>
      <c r="N2578" s="30"/>
      <c r="O2578" s="30"/>
      <c r="P2578" s="30"/>
      <c r="Q2578" s="30"/>
      <c r="R2578" s="30"/>
      <c r="S2578" s="30"/>
      <c r="T2578" s="30"/>
      <c r="U2578" s="21" t="str">
        <f aca="false">IF(COUNT(K2578:T2578)=0,"SOURCE EMPTY / INDUSTRIAL ONLY",IF(MIN(K2578:T2578)=1,"SERVICE READY","HOLD"))</f>
        <v>SOURCE EMPTY / INDUSTRIAL ONLY</v>
      </c>
      <c r="V2578" s="9" t="n">
        <f aca="false">IF(U2578="SERVICE READY",1,0)</f>
        <v>0</v>
      </c>
      <c r="W2578" s="6"/>
      <c r="X2578" s="6"/>
      <c r="Y2578" s="6"/>
      <c r="Z2578" s="6"/>
    </row>
    <row r="2579" customFormat="false" ht="15" hidden="false" customHeight="false" outlineLevel="0" collapsed="false">
      <c r="A2579" s="9" t="s">
        <v>2843</v>
      </c>
      <c r="B2579" s="9" t="s">
        <v>2810</v>
      </c>
      <c r="C2579" s="9" t="s">
        <v>2811</v>
      </c>
      <c r="D2579" s="9" t="s">
        <v>2185</v>
      </c>
      <c r="E2579" s="9" t="s">
        <v>323</v>
      </c>
      <c r="F2579" s="9" t="s">
        <v>207</v>
      </c>
      <c r="G2579" s="9" t="s">
        <v>198</v>
      </c>
      <c r="H2579" s="9" t="n">
        <v>1350</v>
      </c>
      <c r="I2579" s="29" t="n">
        <v>2</v>
      </c>
      <c r="J2579" s="9" t="n">
        <v>1</v>
      </c>
      <c r="K2579" s="30"/>
      <c r="L2579" s="30"/>
      <c r="M2579" s="30"/>
      <c r="N2579" s="30"/>
      <c r="O2579" s="30"/>
      <c r="P2579" s="30"/>
      <c r="Q2579" s="30"/>
      <c r="R2579" s="30"/>
      <c r="S2579" s="30"/>
      <c r="T2579" s="30"/>
      <c r="U2579" s="21" t="str">
        <f aca="false">IF(COUNT(K2579:T2579)=0,"SOURCE EMPTY / INDUSTRIAL ONLY",IF(MIN(K2579:T2579)=1,"SERVICE READY","HOLD"))</f>
        <v>SOURCE EMPTY / INDUSTRIAL ONLY</v>
      </c>
      <c r="V2579" s="9" t="n">
        <f aca="false">IF(U2579="SERVICE READY",1,0)</f>
        <v>0</v>
      </c>
      <c r="W2579" s="6"/>
      <c r="X2579" s="6"/>
      <c r="Y2579" s="6"/>
      <c r="Z2579" s="6"/>
    </row>
    <row r="2580" customFormat="false" ht="15" hidden="false" customHeight="false" outlineLevel="0" collapsed="false">
      <c r="A2580" s="9" t="s">
        <v>2844</v>
      </c>
      <c r="B2580" s="9" t="s">
        <v>2810</v>
      </c>
      <c r="C2580" s="9" t="s">
        <v>2811</v>
      </c>
      <c r="D2580" s="9" t="s">
        <v>2185</v>
      </c>
      <c r="E2580" s="9" t="s">
        <v>323</v>
      </c>
      <c r="F2580" s="9" t="s">
        <v>209</v>
      </c>
      <c r="G2580" s="9" t="s">
        <v>201</v>
      </c>
      <c r="H2580" s="9" t="n">
        <v>1350</v>
      </c>
      <c r="I2580" s="29" t="n">
        <v>2</v>
      </c>
      <c r="J2580" s="9" t="n">
        <v>1</v>
      </c>
      <c r="K2580" s="30"/>
      <c r="L2580" s="30"/>
      <c r="M2580" s="30"/>
      <c r="N2580" s="30"/>
      <c r="O2580" s="30"/>
      <c r="P2580" s="30"/>
      <c r="Q2580" s="30"/>
      <c r="R2580" s="30"/>
      <c r="S2580" s="30"/>
      <c r="T2580" s="30"/>
      <c r="U2580" s="21" t="str">
        <f aca="false">IF(COUNT(K2580:T2580)=0,"SOURCE EMPTY / INDUSTRIAL ONLY",IF(MIN(K2580:T2580)=1,"SERVICE READY","HOLD"))</f>
        <v>SOURCE EMPTY / INDUSTRIAL ONLY</v>
      </c>
      <c r="V2580" s="9" t="n">
        <f aca="false">IF(U2580="SERVICE READY",1,0)</f>
        <v>0</v>
      </c>
      <c r="W2580" s="6"/>
      <c r="X2580" s="6"/>
      <c r="Y2580" s="6"/>
      <c r="Z2580" s="6"/>
    </row>
    <row r="2581" customFormat="false" ht="15" hidden="false" customHeight="false" outlineLevel="0" collapsed="false">
      <c r="A2581" s="9" t="s">
        <v>2845</v>
      </c>
      <c r="B2581" s="9" t="s">
        <v>2810</v>
      </c>
      <c r="C2581" s="9" t="s">
        <v>2811</v>
      </c>
      <c r="D2581" s="9" t="s">
        <v>2185</v>
      </c>
      <c r="E2581" s="9" t="s">
        <v>323</v>
      </c>
      <c r="F2581" s="9" t="s">
        <v>211</v>
      </c>
      <c r="G2581" s="9" t="s">
        <v>221</v>
      </c>
      <c r="H2581" s="9" t="n">
        <v>1350</v>
      </c>
      <c r="I2581" s="29" t="n">
        <v>2</v>
      </c>
      <c r="J2581" s="9" t="n">
        <v>1</v>
      </c>
      <c r="K2581" s="30"/>
      <c r="L2581" s="30"/>
      <c r="M2581" s="30"/>
      <c r="N2581" s="30"/>
      <c r="O2581" s="30"/>
      <c r="P2581" s="30"/>
      <c r="Q2581" s="30"/>
      <c r="R2581" s="30"/>
      <c r="S2581" s="30"/>
      <c r="T2581" s="30"/>
      <c r="U2581" s="21" t="str">
        <f aca="false">IF(COUNT(K2581:T2581)=0,"SOURCE EMPTY / INDUSTRIAL ONLY",IF(MIN(K2581:T2581)=1,"SERVICE READY","HOLD"))</f>
        <v>SOURCE EMPTY / INDUSTRIAL ONLY</v>
      </c>
      <c r="V2581" s="9" t="n">
        <f aca="false">IF(U2581="SERVICE READY",1,0)</f>
        <v>0</v>
      </c>
      <c r="W2581" s="6"/>
      <c r="X2581" s="6"/>
      <c r="Y2581" s="6"/>
      <c r="Z2581" s="6"/>
    </row>
    <row r="2582" customFormat="false" ht="15" hidden="false" customHeight="false" outlineLevel="0" collapsed="false">
      <c r="A2582" s="9" t="s">
        <v>2846</v>
      </c>
      <c r="B2582" s="9" t="s">
        <v>2810</v>
      </c>
      <c r="C2582" s="9" t="s">
        <v>2811</v>
      </c>
      <c r="D2582" s="9" t="s">
        <v>2185</v>
      </c>
      <c r="E2582" s="9" t="s">
        <v>323</v>
      </c>
      <c r="F2582" s="9" t="s">
        <v>197</v>
      </c>
      <c r="G2582" s="9" t="s">
        <v>221</v>
      </c>
      <c r="H2582" s="9" t="n">
        <v>1350</v>
      </c>
      <c r="I2582" s="29" t="n">
        <v>2</v>
      </c>
      <c r="J2582" s="9" t="n">
        <v>1</v>
      </c>
      <c r="K2582" s="30"/>
      <c r="L2582" s="30"/>
      <c r="M2582" s="30"/>
      <c r="N2582" s="30"/>
      <c r="O2582" s="30"/>
      <c r="P2582" s="30"/>
      <c r="Q2582" s="30"/>
      <c r="R2582" s="30"/>
      <c r="S2582" s="30"/>
      <c r="T2582" s="30"/>
      <c r="U2582" s="21" t="str">
        <f aca="false">IF(COUNT(K2582:T2582)=0,"SOURCE EMPTY / INDUSTRIAL ONLY",IF(MIN(K2582:T2582)=1,"SERVICE READY","HOLD"))</f>
        <v>SOURCE EMPTY / INDUSTRIAL ONLY</v>
      </c>
      <c r="V2582" s="9" t="n">
        <f aca="false">IF(U2582="SERVICE READY",1,0)</f>
        <v>0</v>
      </c>
      <c r="W2582" s="6"/>
      <c r="X2582" s="6"/>
      <c r="Y2582" s="6"/>
      <c r="Z2582" s="6"/>
    </row>
    <row r="2583" customFormat="false" ht="15" hidden="false" customHeight="false" outlineLevel="0" collapsed="false">
      <c r="A2583" s="9" t="s">
        <v>2847</v>
      </c>
      <c r="B2583" s="9" t="s">
        <v>2810</v>
      </c>
      <c r="C2583" s="9" t="s">
        <v>2811</v>
      </c>
      <c r="D2583" s="9" t="s">
        <v>2185</v>
      </c>
      <c r="E2583" s="9" t="s">
        <v>323</v>
      </c>
      <c r="F2583" s="9" t="s">
        <v>200</v>
      </c>
      <c r="G2583" s="9" t="s">
        <v>221</v>
      </c>
      <c r="H2583" s="9" t="n">
        <v>1350</v>
      </c>
      <c r="I2583" s="29" t="n">
        <v>2</v>
      </c>
      <c r="J2583" s="9" t="n">
        <v>1</v>
      </c>
      <c r="K2583" s="30"/>
      <c r="L2583" s="30"/>
      <c r="M2583" s="30"/>
      <c r="N2583" s="30"/>
      <c r="O2583" s="30"/>
      <c r="P2583" s="30"/>
      <c r="Q2583" s="30"/>
      <c r="R2583" s="30"/>
      <c r="S2583" s="30"/>
      <c r="T2583" s="30"/>
      <c r="U2583" s="21" t="str">
        <f aca="false">IF(COUNT(K2583:T2583)=0,"SOURCE EMPTY / INDUSTRIAL ONLY",IF(MIN(K2583:T2583)=1,"SERVICE READY","HOLD"))</f>
        <v>SOURCE EMPTY / INDUSTRIAL ONLY</v>
      </c>
      <c r="V2583" s="9" t="n">
        <f aca="false">IF(U2583="SERVICE READY",1,0)</f>
        <v>0</v>
      </c>
      <c r="W2583" s="6"/>
      <c r="X2583" s="6"/>
      <c r="Y2583" s="6"/>
      <c r="Z2583" s="6"/>
    </row>
    <row r="2584" customFormat="false" ht="15" hidden="false" customHeight="false" outlineLevel="0" collapsed="false">
      <c r="A2584" s="9" t="s">
        <v>2848</v>
      </c>
      <c r="B2584" s="9" t="s">
        <v>2810</v>
      </c>
      <c r="C2584" s="9" t="s">
        <v>2811</v>
      </c>
      <c r="D2584" s="9" t="s">
        <v>2185</v>
      </c>
      <c r="E2584" s="9" t="s">
        <v>323</v>
      </c>
      <c r="F2584" s="9" t="s">
        <v>203</v>
      </c>
      <c r="G2584" s="9" t="s">
        <v>221</v>
      </c>
      <c r="H2584" s="9" t="n">
        <v>1350</v>
      </c>
      <c r="I2584" s="29" t="n">
        <v>2</v>
      </c>
      <c r="J2584" s="9" t="n">
        <v>1</v>
      </c>
      <c r="K2584" s="30"/>
      <c r="L2584" s="30"/>
      <c r="M2584" s="30"/>
      <c r="N2584" s="30"/>
      <c r="O2584" s="30"/>
      <c r="P2584" s="30"/>
      <c r="Q2584" s="30"/>
      <c r="R2584" s="30"/>
      <c r="S2584" s="30"/>
      <c r="T2584" s="30"/>
      <c r="U2584" s="21" t="str">
        <f aca="false">IF(COUNT(K2584:T2584)=0,"SOURCE EMPTY / INDUSTRIAL ONLY",IF(MIN(K2584:T2584)=1,"SERVICE READY","HOLD"))</f>
        <v>SOURCE EMPTY / INDUSTRIAL ONLY</v>
      </c>
      <c r="V2584" s="9" t="n">
        <f aca="false">IF(U2584="SERVICE READY",1,0)</f>
        <v>0</v>
      </c>
      <c r="W2584" s="6"/>
      <c r="X2584" s="6"/>
      <c r="Y2584" s="6"/>
      <c r="Z2584" s="6"/>
    </row>
    <row r="2585" customFormat="false" ht="15" hidden="false" customHeight="false" outlineLevel="0" collapsed="false">
      <c r="A2585" s="9" t="s">
        <v>2849</v>
      </c>
      <c r="B2585" s="9" t="s">
        <v>2810</v>
      </c>
      <c r="C2585" s="9" t="s">
        <v>2811</v>
      </c>
      <c r="D2585" s="9" t="s">
        <v>2185</v>
      </c>
      <c r="E2585" s="9" t="s">
        <v>323</v>
      </c>
      <c r="F2585" s="9" t="s">
        <v>205</v>
      </c>
      <c r="G2585" s="9" t="s">
        <v>221</v>
      </c>
      <c r="H2585" s="9" t="n">
        <v>1350</v>
      </c>
      <c r="I2585" s="29" t="n">
        <v>2</v>
      </c>
      <c r="J2585" s="9" t="n">
        <v>1</v>
      </c>
      <c r="K2585" s="30"/>
      <c r="L2585" s="30"/>
      <c r="M2585" s="30"/>
      <c r="N2585" s="30"/>
      <c r="O2585" s="30"/>
      <c r="P2585" s="30"/>
      <c r="Q2585" s="30"/>
      <c r="R2585" s="30"/>
      <c r="S2585" s="30"/>
      <c r="T2585" s="30"/>
      <c r="U2585" s="21" t="str">
        <f aca="false">IF(COUNT(K2585:T2585)=0,"SOURCE EMPTY / INDUSTRIAL ONLY",IF(MIN(K2585:T2585)=1,"SERVICE READY","HOLD"))</f>
        <v>SOURCE EMPTY / INDUSTRIAL ONLY</v>
      </c>
      <c r="V2585" s="9" t="n">
        <f aca="false">IF(U2585="SERVICE READY",1,0)</f>
        <v>0</v>
      </c>
      <c r="W2585" s="6"/>
      <c r="X2585" s="6"/>
      <c r="Y2585" s="6"/>
      <c r="Z2585" s="6"/>
    </row>
    <row r="2586" customFormat="false" ht="15" hidden="false" customHeight="false" outlineLevel="0" collapsed="false">
      <c r="A2586" s="9" t="s">
        <v>2850</v>
      </c>
      <c r="B2586" s="9" t="s">
        <v>2810</v>
      </c>
      <c r="C2586" s="9" t="s">
        <v>2811</v>
      </c>
      <c r="D2586" s="9" t="s">
        <v>2185</v>
      </c>
      <c r="E2586" s="9" t="s">
        <v>323</v>
      </c>
      <c r="F2586" s="9" t="s">
        <v>207</v>
      </c>
      <c r="G2586" s="9" t="s">
        <v>221</v>
      </c>
      <c r="H2586" s="9" t="n">
        <v>1350</v>
      </c>
      <c r="I2586" s="29" t="n">
        <v>2</v>
      </c>
      <c r="J2586" s="9" t="n">
        <v>1</v>
      </c>
      <c r="K2586" s="30"/>
      <c r="L2586" s="30"/>
      <c r="M2586" s="30"/>
      <c r="N2586" s="30"/>
      <c r="O2586" s="30"/>
      <c r="P2586" s="30"/>
      <c r="Q2586" s="30"/>
      <c r="R2586" s="30"/>
      <c r="S2586" s="30"/>
      <c r="T2586" s="30"/>
      <c r="U2586" s="21" t="str">
        <f aca="false">IF(COUNT(K2586:T2586)=0,"SOURCE EMPTY / INDUSTRIAL ONLY",IF(MIN(K2586:T2586)=1,"SERVICE READY","HOLD"))</f>
        <v>SOURCE EMPTY / INDUSTRIAL ONLY</v>
      </c>
      <c r="V2586" s="9" t="n">
        <f aca="false">IF(U2586="SERVICE READY",1,0)</f>
        <v>0</v>
      </c>
      <c r="W2586" s="6"/>
      <c r="X2586" s="6"/>
      <c r="Y2586" s="6"/>
      <c r="Z2586" s="6"/>
    </row>
    <row r="2587" customFormat="false" ht="15" hidden="false" customHeight="false" outlineLevel="0" collapsed="false">
      <c r="A2587" s="9" t="s">
        <v>2851</v>
      </c>
      <c r="B2587" s="9" t="s">
        <v>2810</v>
      </c>
      <c r="C2587" s="9" t="s">
        <v>2811</v>
      </c>
      <c r="D2587" s="9" t="s">
        <v>2185</v>
      </c>
      <c r="E2587" s="9" t="s">
        <v>323</v>
      </c>
      <c r="F2587" s="9" t="s">
        <v>209</v>
      </c>
      <c r="G2587" s="9" t="s">
        <v>221</v>
      </c>
      <c r="H2587" s="9" t="n">
        <v>1350</v>
      </c>
      <c r="I2587" s="29" t="n">
        <v>2</v>
      </c>
      <c r="J2587" s="9" t="n">
        <v>1</v>
      </c>
      <c r="K2587" s="30"/>
      <c r="L2587" s="30"/>
      <c r="M2587" s="30"/>
      <c r="N2587" s="30"/>
      <c r="O2587" s="30"/>
      <c r="P2587" s="30"/>
      <c r="Q2587" s="30"/>
      <c r="R2587" s="30"/>
      <c r="S2587" s="30"/>
      <c r="T2587" s="30"/>
      <c r="U2587" s="21" t="str">
        <f aca="false">IF(COUNT(K2587:T2587)=0,"SOURCE EMPTY / INDUSTRIAL ONLY",IF(MIN(K2587:T2587)=1,"SERVICE READY","HOLD"))</f>
        <v>SOURCE EMPTY / INDUSTRIAL ONLY</v>
      </c>
      <c r="V2587" s="9" t="n">
        <f aca="false">IF(U2587="SERVICE READY",1,0)</f>
        <v>0</v>
      </c>
      <c r="W2587" s="6"/>
      <c r="X2587" s="6"/>
      <c r="Y2587" s="6"/>
      <c r="Z2587" s="6"/>
    </row>
    <row r="2588" customFormat="false" ht="15" hidden="false" customHeight="false" outlineLevel="0" collapsed="false">
      <c r="A2588" s="9" t="s">
        <v>2852</v>
      </c>
      <c r="B2588" s="9" t="s">
        <v>2810</v>
      </c>
      <c r="C2588" s="9" t="s">
        <v>2811</v>
      </c>
      <c r="D2588" s="9" t="s">
        <v>2185</v>
      </c>
      <c r="E2588" s="9" t="s">
        <v>323</v>
      </c>
      <c r="F2588" s="9" t="s">
        <v>211</v>
      </c>
      <c r="G2588" s="9" t="s">
        <v>221</v>
      </c>
      <c r="H2588" s="9" t="n">
        <v>1350</v>
      </c>
      <c r="I2588" s="29" t="n">
        <v>2</v>
      </c>
      <c r="J2588" s="9" t="n">
        <v>1</v>
      </c>
      <c r="K2588" s="30"/>
      <c r="L2588" s="30"/>
      <c r="M2588" s="30"/>
      <c r="N2588" s="30"/>
      <c r="O2588" s="30"/>
      <c r="P2588" s="30"/>
      <c r="Q2588" s="30"/>
      <c r="R2588" s="30"/>
      <c r="S2588" s="30"/>
      <c r="T2588" s="30"/>
      <c r="U2588" s="21" t="str">
        <f aca="false">IF(COUNT(K2588:T2588)=0,"SOURCE EMPTY / INDUSTRIAL ONLY",IF(MIN(K2588:T2588)=1,"SERVICE READY","HOLD"))</f>
        <v>SOURCE EMPTY / INDUSTRIAL ONLY</v>
      </c>
      <c r="V2588" s="9" t="n">
        <f aca="false">IF(U2588="SERVICE READY",1,0)</f>
        <v>0</v>
      </c>
      <c r="W2588" s="6"/>
      <c r="X2588" s="6"/>
      <c r="Y2588" s="6"/>
      <c r="Z2588" s="6"/>
    </row>
    <row r="2589" customFormat="false" ht="15" hidden="false" customHeight="false" outlineLevel="0" collapsed="false">
      <c r="A2589" s="9" t="s">
        <v>2853</v>
      </c>
      <c r="B2589" s="9" t="s">
        <v>2810</v>
      </c>
      <c r="C2589" s="9" t="s">
        <v>2811</v>
      </c>
      <c r="D2589" s="9" t="s">
        <v>2185</v>
      </c>
      <c r="E2589" s="9" t="s">
        <v>323</v>
      </c>
      <c r="F2589" s="9" t="s">
        <v>197</v>
      </c>
      <c r="G2589" s="9" t="s">
        <v>221</v>
      </c>
      <c r="H2589" s="9" t="n">
        <v>1350</v>
      </c>
      <c r="I2589" s="29" t="n">
        <v>2</v>
      </c>
      <c r="J2589" s="9" t="n">
        <v>1</v>
      </c>
      <c r="K2589" s="30"/>
      <c r="L2589" s="30"/>
      <c r="M2589" s="30"/>
      <c r="N2589" s="30"/>
      <c r="O2589" s="30"/>
      <c r="P2589" s="30"/>
      <c r="Q2589" s="30"/>
      <c r="R2589" s="30"/>
      <c r="S2589" s="30"/>
      <c r="T2589" s="30"/>
      <c r="U2589" s="21" t="str">
        <f aca="false">IF(COUNT(K2589:T2589)=0,"SOURCE EMPTY / INDUSTRIAL ONLY",IF(MIN(K2589:T2589)=1,"SERVICE READY","HOLD"))</f>
        <v>SOURCE EMPTY / INDUSTRIAL ONLY</v>
      </c>
      <c r="V2589" s="9" t="n">
        <f aca="false">IF(U2589="SERVICE READY",1,0)</f>
        <v>0</v>
      </c>
      <c r="W2589" s="6"/>
      <c r="X2589" s="6"/>
      <c r="Y2589" s="6"/>
      <c r="Z2589" s="6"/>
    </row>
    <row r="2590" customFormat="false" ht="15" hidden="false" customHeight="false" outlineLevel="0" collapsed="false">
      <c r="A2590" s="9" t="s">
        <v>2854</v>
      </c>
      <c r="B2590" s="9" t="s">
        <v>2810</v>
      </c>
      <c r="C2590" s="9" t="s">
        <v>2811</v>
      </c>
      <c r="D2590" s="9" t="s">
        <v>2185</v>
      </c>
      <c r="E2590" s="9" t="s">
        <v>323</v>
      </c>
      <c r="F2590" s="9" t="s">
        <v>200</v>
      </c>
      <c r="G2590" s="9" t="s">
        <v>221</v>
      </c>
      <c r="H2590" s="9" t="n">
        <v>1350</v>
      </c>
      <c r="I2590" s="29" t="n">
        <v>2</v>
      </c>
      <c r="J2590" s="9" t="n">
        <v>1</v>
      </c>
      <c r="K2590" s="30"/>
      <c r="L2590" s="30"/>
      <c r="M2590" s="30"/>
      <c r="N2590" s="30"/>
      <c r="O2590" s="30"/>
      <c r="P2590" s="30"/>
      <c r="Q2590" s="30"/>
      <c r="R2590" s="30"/>
      <c r="S2590" s="30"/>
      <c r="T2590" s="30"/>
      <c r="U2590" s="21" t="str">
        <f aca="false">IF(COUNT(K2590:T2590)=0,"SOURCE EMPTY / INDUSTRIAL ONLY",IF(MIN(K2590:T2590)=1,"SERVICE READY","HOLD"))</f>
        <v>SOURCE EMPTY / INDUSTRIAL ONLY</v>
      </c>
      <c r="V2590" s="9" t="n">
        <f aca="false">IF(U2590="SERVICE READY",1,0)</f>
        <v>0</v>
      </c>
      <c r="W2590" s="6"/>
      <c r="X2590" s="6"/>
      <c r="Y2590" s="6"/>
      <c r="Z2590" s="6"/>
    </row>
    <row r="2591" customFormat="false" ht="15" hidden="false" customHeight="false" outlineLevel="0" collapsed="false">
      <c r="A2591" s="9" t="s">
        <v>2855</v>
      </c>
      <c r="B2591" s="9" t="s">
        <v>2810</v>
      </c>
      <c r="C2591" s="9" t="s">
        <v>2811</v>
      </c>
      <c r="D2591" s="9" t="s">
        <v>2185</v>
      </c>
      <c r="E2591" s="9" t="s">
        <v>323</v>
      </c>
      <c r="F2591" s="9" t="s">
        <v>203</v>
      </c>
      <c r="G2591" s="9" t="s">
        <v>221</v>
      </c>
      <c r="H2591" s="9" t="n">
        <v>1350</v>
      </c>
      <c r="I2591" s="29" t="n">
        <v>2</v>
      </c>
      <c r="J2591" s="9" t="n">
        <v>1</v>
      </c>
      <c r="K2591" s="30"/>
      <c r="L2591" s="30"/>
      <c r="M2591" s="30"/>
      <c r="N2591" s="30"/>
      <c r="O2591" s="30"/>
      <c r="P2591" s="30"/>
      <c r="Q2591" s="30"/>
      <c r="R2591" s="30"/>
      <c r="S2591" s="30"/>
      <c r="T2591" s="30"/>
      <c r="U2591" s="21" t="str">
        <f aca="false">IF(COUNT(K2591:T2591)=0,"SOURCE EMPTY / INDUSTRIAL ONLY",IF(MIN(K2591:T2591)=1,"SERVICE READY","HOLD"))</f>
        <v>SOURCE EMPTY / INDUSTRIAL ONLY</v>
      </c>
      <c r="V2591" s="9" t="n">
        <f aca="false">IF(U2591="SERVICE READY",1,0)</f>
        <v>0</v>
      </c>
      <c r="W2591" s="6"/>
      <c r="X2591" s="6"/>
      <c r="Y2591" s="6"/>
      <c r="Z2591" s="6"/>
    </row>
    <row r="2592" customFormat="false" ht="15" hidden="false" customHeight="false" outlineLevel="0" collapsed="false">
      <c r="A2592" s="9" t="s">
        <v>2856</v>
      </c>
      <c r="B2592" s="9" t="s">
        <v>2810</v>
      </c>
      <c r="C2592" s="9" t="s">
        <v>2811</v>
      </c>
      <c r="D2592" s="9" t="s">
        <v>2185</v>
      </c>
      <c r="E2592" s="9" t="s">
        <v>323</v>
      </c>
      <c r="F2592" s="9" t="s">
        <v>205</v>
      </c>
      <c r="G2592" s="9" t="s">
        <v>221</v>
      </c>
      <c r="H2592" s="9" t="n">
        <v>1350</v>
      </c>
      <c r="I2592" s="29" t="n">
        <v>2</v>
      </c>
      <c r="J2592" s="9" t="n">
        <v>1</v>
      </c>
      <c r="K2592" s="30"/>
      <c r="L2592" s="30"/>
      <c r="M2592" s="30"/>
      <c r="N2592" s="30"/>
      <c r="O2592" s="30"/>
      <c r="P2592" s="30"/>
      <c r="Q2592" s="30"/>
      <c r="R2592" s="30"/>
      <c r="S2592" s="30"/>
      <c r="T2592" s="30"/>
      <c r="U2592" s="21" t="str">
        <f aca="false">IF(COUNT(K2592:T2592)=0,"SOURCE EMPTY / INDUSTRIAL ONLY",IF(MIN(K2592:T2592)=1,"SERVICE READY","HOLD"))</f>
        <v>SOURCE EMPTY / INDUSTRIAL ONLY</v>
      </c>
      <c r="V2592" s="9" t="n">
        <f aca="false">IF(U2592="SERVICE READY",1,0)</f>
        <v>0</v>
      </c>
      <c r="W2592" s="6"/>
      <c r="X2592" s="6"/>
      <c r="Y2592" s="6"/>
      <c r="Z2592" s="6"/>
    </row>
    <row r="2593" customFormat="false" ht="15" hidden="false" customHeight="false" outlineLevel="0" collapsed="false">
      <c r="A2593" s="9" t="s">
        <v>2857</v>
      </c>
      <c r="B2593" s="9" t="s">
        <v>2810</v>
      </c>
      <c r="C2593" s="9" t="s">
        <v>2811</v>
      </c>
      <c r="D2593" s="9" t="s">
        <v>2185</v>
      </c>
      <c r="E2593" s="9" t="s">
        <v>323</v>
      </c>
      <c r="F2593" s="9" t="s">
        <v>207</v>
      </c>
      <c r="G2593" s="9" t="s">
        <v>221</v>
      </c>
      <c r="H2593" s="9" t="n">
        <v>1350</v>
      </c>
      <c r="I2593" s="29" t="n">
        <v>2</v>
      </c>
      <c r="J2593" s="9" t="n">
        <v>1</v>
      </c>
      <c r="K2593" s="30"/>
      <c r="L2593" s="30"/>
      <c r="M2593" s="30"/>
      <c r="N2593" s="30"/>
      <c r="O2593" s="30"/>
      <c r="P2593" s="30"/>
      <c r="Q2593" s="30"/>
      <c r="R2593" s="30"/>
      <c r="S2593" s="30"/>
      <c r="T2593" s="30"/>
      <c r="U2593" s="21" t="str">
        <f aca="false">IF(COUNT(K2593:T2593)=0,"SOURCE EMPTY / INDUSTRIAL ONLY",IF(MIN(K2593:T2593)=1,"SERVICE READY","HOLD"))</f>
        <v>SOURCE EMPTY / INDUSTRIAL ONLY</v>
      </c>
      <c r="V2593" s="9" t="n">
        <f aca="false">IF(U2593="SERVICE READY",1,0)</f>
        <v>0</v>
      </c>
      <c r="W2593" s="6"/>
      <c r="X2593" s="6"/>
      <c r="Y2593" s="6"/>
      <c r="Z2593" s="6"/>
    </row>
    <row r="2594" customFormat="false" ht="15" hidden="false" customHeight="false" outlineLevel="0" collapsed="false">
      <c r="A2594" s="9" t="s">
        <v>2858</v>
      </c>
      <c r="B2594" s="9" t="s">
        <v>2810</v>
      </c>
      <c r="C2594" s="9" t="s">
        <v>2811</v>
      </c>
      <c r="D2594" s="9" t="s">
        <v>2185</v>
      </c>
      <c r="E2594" s="9" t="s">
        <v>323</v>
      </c>
      <c r="F2594" s="9" t="s">
        <v>209</v>
      </c>
      <c r="G2594" s="9" t="s">
        <v>221</v>
      </c>
      <c r="H2594" s="9" t="n">
        <v>1350</v>
      </c>
      <c r="I2594" s="29" t="n">
        <v>2</v>
      </c>
      <c r="J2594" s="9" t="n">
        <v>1</v>
      </c>
      <c r="K2594" s="30"/>
      <c r="L2594" s="30"/>
      <c r="M2594" s="30"/>
      <c r="N2594" s="30"/>
      <c r="O2594" s="30"/>
      <c r="P2594" s="30"/>
      <c r="Q2594" s="30"/>
      <c r="R2594" s="30"/>
      <c r="S2594" s="30"/>
      <c r="T2594" s="30"/>
      <c r="U2594" s="21" t="str">
        <f aca="false">IF(COUNT(K2594:T2594)=0,"SOURCE EMPTY / INDUSTRIAL ONLY",IF(MIN(K2594:T2594)=1,"SERVICE READY","HOLD"))</f>
        <v>SOURCE EMPTY / INDUSTRIAL ONLY</v>
      </c>
      <c r="V2594" s="9" t="n">
        <f aca="false">IF(U2594="SERVICE READY",1,0)</f>
        <v>0</v>
      </c>
      <c r="W2594" s="6"/>
      <c r="X2594" s="6"/>
      <c r="Y2594" s="6"/>
      <c r="Z2594" s="6"/>
    </row>
    <row r="2595" customFormat="false" ht="15" hidden="false" customHeight="false" outlineLevel="0" collapsed="false">
      <c r="A2595" s="9" t="s">
        <v>2859</v>
      </c>
      <c r="B2595" s="9" t="s">
        <v>2810</v>
      </c>
      <c r="C2595" s="9" t="s">
        <v>2811</v>
      </c>
      <c r="D2595" s="9" t="s">
        <v>2185</v>
      </c>
      <c r="E2595" s="9" t="s">
        <v>323</v>
      </c>
      <c r="F2595" s="9" t="s">
        <v>211</v>
      </c>
      <c r="G2595" s="9" t="s">
        <v>221</v>
      </c>
      <c r="H2595" s="9" t="n">
        <v>1350</v>
      </c>
      <c r="I2595" s="29" t="n">
        <v>2</v>
      </c>
      <c r="J2595" s="9" t="n">
        <v>1</v>
      </c>
      <c r="K2595" s="30"/>
      <c r="L2595" s="30"/>
      <c r="M2595" s="30"/>
      <c r="N2595" s="30"/>
      <c r="O2595" s="30"/>
      <c r="P2595" s="30"/>
      <c r="Q2595" s="30"/>
      <c r="R2595" s="30"/>
      <c r="S2595" s="30"/>
      <c r="T2595" s="30"/>
      <c r="U2595" s="21" t="str">
        <f aca="false">IF(COUNT(K2595:T2595)=0,"SOURCE EMPTY / INDUSTRIAL ONLY",IF(MIN(K2595:T2595)=1,"SERVICE READY","HOLD"))</f>
        <v>SOURCE EMPTY / INDUSTRIAL ONLY</v>
      </c>
      <c r="V2595" s="9" t="n">
        <f aca="false">IF(U2595="SERVICE READY",1,0)</f>
        <v>0</v>
      </c>
      <c r="W2595" s="6"/>
      <c r="X2595" s="6"/>
      <c r="Y2595" s="6"/>
      <c r="Z2595" s="6"/>
    </row>
    <row r="2596" customFormat="false" ht="15" hidden="false" customHeight="false" outlineLevel="0" collapsed="false">
      <c r="A2596" s="9" t="s">
        <v>2860</v>
      </c>
      <c r="B2596" s="9" t="s">
        <v>2810</v>
      </c>
      <c r="C2596" s="9" t="s">
        <v>2811</v>
      </c>
      <c r="D2596" s="9" t="s">
        <v>2185</v>
      </c>
      <c r="E2596" s="9" t="s">
        <v>323</v>
      </c>
      <c r="F2596" s="9" t="s">
        <v>197</v>
      </c>
      <c r="G2596" s="9" t="s">
        <v>221</v>
      </c>
      <c r="H2596" s="9" t="n">
        <v>1350</v>
      </c>
      <c r="I2596" s="29" t="n">
        <v>2</v>
      </c>
      <c r="J2596" s="9" t="n">
        <v>1</v>
      </c>
      <c r="K2596" s="30"/>
      <c r="L2596" s="30"/>
      <c r="M2596" s="30"/>
      <c r="N2596" s="30"/>
      <c r="O2596" s="30"/>
      <c r="P2596" s="30"/>
      <c r="Q2596" s="30"/>
      <c r="R2596" s="30"/>
      <c r="S2596" s="30"/>
      <c r="T2596" s="30"/>
      <c r="U2596" s="21" t="str">
        <f aca="false">IF(COUNT(K2596:T2596)=0,"SOURCE EMPTY / INDUSTRIAL ONLY",IF(MIN(K2596:T2596)=1,"SERVICE READY","HOLD"))</f>
        <v>SOURCE EMPTY / INDUSTRIAL ONLY</v>
      </c>
      <c r="V2596" s="9" t="n">
        <f aca="false">IF(U2596="SERVICE READY",1,0)</f>
        <v>0</v>
      </c>
      <c r="W2596" s="6"/>
      <c r="X2596" s="6"/>
      <c r="Y2596" s="6"/>
      <c r="Z2596" s="6"/>
    </row>
    <row r="2597" customFormat="false" ht="15" hidden="false" customHeight="false" outlineLevel="0" collapsed="false">
      <c r="A2597" s="9" t="s">
        <v>2861</v>
      </c>
      <c r="B2597" s="9" t="s">
        <v>2810</v>
      </c>
      <c r="C2597" s="9" t="s">
        <v>2811</v>
      </c>
      <c r="D2597" s="9" t="s">
        <v>2185</v>
      </c>
      <c r="E2597" s="9" t="s">
        <v>323</v>
      </c>
      <c r="F2597" s="9" t="s">
        <v>200</v>
      </c>
      <c r="G2597" s="9" t="s">
        <v>221</v>
      </c>
      <c r="H2597" s="9" t="n">
        <v>1350</v>
      </c>
      <c r="I2597" s="29" t="n">
        <v>2</v>
      </c>
      <c r="J2597" s="9" t="n">
        <v>1</v>
      </c>
      <c r="K2597" s="30"/>
      <c r="L2597" s="30"/>
      <c r="M2597" s="30"/>
      <c r="N2597" s="30"/>
      <c r="O2597" s="30"/>
      <c r="P2597" s="30"/>
      <c r="Q2597" s="30"/>
      <c r="R2597" s="30"/>
      <c r="S2597" s="30"/>
      <c r="T2597" s="30"/>
      <c r="U2597" s="21" t="str">
        <f aca="false">IF(COUNT(K2597:T2597)=0,"SOURCE EMPTY / INDUSTRIAL ONLY",IF(MIN(K2597:T2597)=1,"SERVICE READY","HOLD"))</f>
        <v>SOURCE EMPTY / INDUSTRIAL ONLY</v>
      </c>
      <c r="V2597" s="9" t="n">
        <f aca="false">IF(U2597="SERVICE READY",1,0)</f>
        <v>0</v>
      </c>
      <c r="W2597" s="6"/>
      <c r="X2597" s="6"/>
      <c r="Y2597" s="6"/>
      <c r="Z2597" s="6"/>
    </row>
    <row r="2598" customFormat="false" ht="15" hidden="false" customHeight="false" outlineLevel="0" collapsed="false">
      <c r="A2598" s="9" t="s">
        <v>2862</v>
      </c>
      <c r="B2598" s="9" t="s">
        <v>2810</v>
      </c>
      <c r="C2598" s="9" t="s">
        <v>2811</v>
      </c>
      <c r="D2598" s="9" t="s">
        <v>2185</v>
      </c>
      <c r="E2598" s="9" t="s">
        <v>323</v>
      </c>
      <c r="F2598" s="9" t="s">
        <v>203</v>
      </c>
      <c r="G2598" s="9" t="s">
        <v>221</v>
      </c>
      <c r="H2598" s="9" t="n">
        <v>1350</v>
      </c>
      <c r="I2598" s="29" t="n">
        <v>2</v>
      </c>
      <c r="J2598" s="9" t="n">
        <v>1</v>
      </c>
      <c r="K2598" s="30"/>
      <c r="L2598" s="30"/>
      <c r="M2598" s="30"/>
      <c r="N2598" s="30"/>
      <c r="O2598" s="30"/>
      <c r="P2598" s="30"/>
      <c r="Q2598" s="30"/>
      <c r="R2598" s="30"/>
      <c r="S2598" s="30"/>
      <c r="T2598" s="30"/>
      <c r="U2598" s="21" t="str">
        <f aca="false">IF(COUNT(K2598:T2598)=0,"SOURCE EMPTY / INDUSTRIAL ONLY",IF(MIN(K2598:T2598)=1,"SERVICE READY","HOLD"))</f>
        <v>SOURCE EMPTY / INDUSTRIAL ONLY</v>
      </c>
      <c r="V2598" s="9" t="n">
        <f aca="false">IF(U2598="SERVICE READY",1,0)</f>
        <v>0</v>
      </c>
      <c r="W2598" s="6"/>
      <c r="X2598" s="6"/>
      <c r="Y2598" s="6"/>
      <c r="Z2598" s="6"/>
    </row>
    <row r="2599" customFormat="false" ht="15" hidden="false" customHeight="false" outlineLevel="0" collapsed="false">
      <c r="A2599" s="9" t="s">
        <v>2863</v>
      </c>
      <c r="B2599" s="9" t="s">
        <v>2810</v>
      </c>
      <c r="C2599" s="9" t="s">
        <v>2811</v>
      </c>
      <c r="D2599" s="9" t="s">
        <v>2185</v>
      </c>
      <c r="E2599" s="9" t="s">
        <v>323</v>
      </c>
      <c r="F2599" s="9" t="s">
        <v>205</v>
      </c>
      <c r="G2599" s="9" t="s">
        <v>221</v>
      </c>
      <c r="H2599" s="9" t="n">
        <v>1350</v>
      </c>
      <c r="I2599" s="29" t="n">
        <v>2</v>
      </c>
      <c r="J2599" s="9" t="n">
        <v>1</v>
      </c>
      <c r="K2599" s="30"/>
      <c r="L2599" s="30"/>
      <c r="M2599" s="30"/>
      <c r="N2599" s="30"/>
      <c r="O2599" s="30"/>
      <c r="P2599" s="30"/>
      <c r="Q2599" s="30"/>
      <c r="R2599" s="30"/>
      <c r="S2599" s="30"/>
      <c r="T2599" s="30"/>
      <c r="U2599" s="21" t="str">
        <f aca="false">IF(COUNT(K2599:T2599)=0,"SOURCE EMPTY / INDUSTRIAL ONLY",IF(MIN(K2599:T2599)=1,"SERVICE READY","HOLD"))</f>
        <v>SOURCE EMPTY / INDUSTRIAL ONLY</v>
      </c>
      <c r="V2599" s="9" t="n">
        <f aca="false">IF(U2599="SERVICE READY",1,0)</f>
        <v>0</v>
      </c>
      <c r="W2599" s="6"/>
      <c r="X2599" s="6"/>
      <c r="Y2599" s="6"/>
      <c r="Z2599" s="6"/>
    </row>
    <row r="2600" customFormat="false" ht="15" hidden="false" customHeight="false" outlineLevel="0" collapsed="false">
      <c r="A2600" s="9" t="s">
        <v>2864</v>
      </c>
      <c r="B2600" s="9" t="s">
        <v>2810</v>
      </c>
      <c r="C2600" s="9" t="s">
        <v>2811</v>
      </c>
      <c r="D2600" s="9" t="s">
        <v>2185</v>
      </c>
      <c r="E2600" s="9" t="s">
        <v>323</v>
      </c>
      <c r="F2600" s="9" t="s">
        <v>207</v>
      </c>
      <c r="G2600" s="9" t="s">
        <v>221</v>
      </c>
      <c r="H2600" s="9" t="n">
        <v>1350</v>
      </c>
      <c r="I2600" s="29" t="n">
        <v>2</v>
      </c>
      <c r="J2600" s="9" t="n">
        <v>1</v>
      </c>
      <c r="K2600" s="30"/>
      <c r="L2600" s="30"/>
      <c r="M2600" s="30"/>
      <c r="N2600" s="30"/>
      <c r="O2600" s="30"/>
      <c r="P2600" s="30"/>
      <c r="Q2600" s="30"/>
      <c r="R2600" s="30"/>
      <c r="S2600" s="30"/>
      <c r="T2600" s="30"/>
      <c r="U2600" s="21" t="str">
        <f aca="false">IF(COUNT(K2600:T2600)=0,"SOURCE EMPTY / INDUSTRIAL ONLY",IF(MIN(K2600:T2600)=1,"SERVICE READY","HOLD"))</f>
        <v>SOURCE EMPTY / INDUSTRIAL ONLY</v>
      </c>
      <c r="V2600" s="9" t="n">
        <f aca="false">IF(U2600="SERVICE READY",1,0)</f>
        <v>0</v>
      </c>
      <c r="W2600" s="6"/>
      <c r="X2600" s="6"/>
      <c r="Y2600" s="6"/>
      <c r="Z2600" s="6"/>
    </row>
    <row r="2601" customFormat="false" ht="15" hidden="false" customHeight="false" outlineLevel="0" collapsed="false">
      <c r="A2601" s="9" t="s">
        <v>2865</v>
      </c>
      <c r="B2601" s="9" t="s">
        <v>2810</v>
      </c>
      <c r="C2601" s="9" t="s">
        <v>2811</v>
      </c>
      <c r="D2601" s="9" t="s">
        <v>2185</v>
      </c>
      <c r="E2601" s="9" t="s">
        <v>323</v>
      </c>
      <c r="F2601" s="9" t="s">
        <v>209</v>
      </c>
      <c r="G2601" s="9" t="s">
        <v>221</v>
      </c>
      <c r="H2601" s="9" t="n">
        <v>1350</v>
      </c>
      <c r="I2601" s="29" t="n">
        <v>2</v>
      </c>
      <c r="J2601" s="9" t="n">
        <v>1</v>
      </c>
      <c r="K2601" s="30"/>
      <c r="L2601" s="30"/>
      <c r="M2601" s="30"/>
      <c r="N2601" s="30"/>
      <c r="O2601" s="30"/>
      <c r="P2601" s="30"/>
      <c r="Q2601" s="30"/>
      <c r="R2601" s="30"/>
      <c r="S2601" s="30"/>
      <c r="T2601" s="30"/>
      <c r="U2601" s="21" t="str">
        <f aca="false">IF(COUNT(K2601:T2601)=0,"SOURCE EMPTY / INDUSTRIAL ONLY",IF(MIN(K2601:T2601)=1,"SERVICE READY","HOLD"))</f>
        <v>SOURCE EMPTY / INDUSTRIAL ONLY</v>
      </c>
      <c r="V2601" s="9" t="n">
        <f aca="false">IF(U2601="SERVICE READY",1,0)</f>
        <v>0</v>
      </c>
      <c r="W2601" s="6"/>
      <c r="X2601" s="6"/>
      <c r="Y2601" s="6"/>
      <c r="Z2601" s="6"/>
    </row>
    <row r="2602" customFormat="false" ht="15" hidden="false" customHeight="false" outlineLevel="0" collapsed="false">
      <c r="A2602" s="9" t="s">
        <v>2866</v>
      </c>
      <c r="B2602" s="9" t="s">
        <v>2810</v>
      </c>
      <c r="C2602" s="9" t="s">
        <v>2811</v>
      </c>
      <c r="D2602" s="9" t="s">
        <v>2185</v>
      </c>
      <c r="E2602" s="9" t="s">
        <v>323</v>
      </c>
      <c r="F2602" s="9" t="s">
        <v>211</v>
      </c>
      <c r="G2602" s="9" t="s">
        <v>221</v>
      </c>
      <c r="H2602" s="9" t="n">
        <v>1350</v>
      </c>
      <c r="I2602" s="29" t="n">
        <v>2</v>
      </c>
      <c r="J2602" s="9" t="n">
        <v>1</v>
      </c>
      <c r="K2602" s="30"/>
      <c r="L2602" s="30"/>
      <c r="M2602" s="30"/>
      <c r="N2602" s="30"/>
      <c r="O2602" s="30"/>
      <c r="P2602" s="30"/>
      <c r="Q2602" s="30"/>
      <c r="R2602" s="30"/>
      <c r="S2602" s="30"/>
      <c r="T2602" s="30"/>
      <c r="U2602" s="21" t="str">
        <f aca="false">IF(COUNT(K2602:T2602)=0,"SOURCE EMPTY / INDUSTRIAL ONLY",IF(MIN(K2602:T2602)=1,"SERVICE READY","HOLD"))</f>
        <v>SOURCE EMPTY / INDUSTRIAL ONLY</v>
      </c>
      <c r="V2602" s="9" t="n">
        <f aca="false">IF(U2602="SERVICE READY",1,0)</f>
        <v>0</v>
      </c>
      <c r="W2602" s="6"/>
      <c r="X2602" s="6"/>
      <c r="Y2602" s="6"/>
      <c r="Z2602" s="6"/>
    </row>
    <row r="2603" customFormat="false" ht="15" hidden="false" customHeight="false" outlineLevel="0" collapsed="false">
      <c r="A2603" s="9" t="s">
        <v>2867</v>
      </c>
      <c r="B2603" s="9" t="s">
        <v>2810</v>
      </c>
      <c r="C2603" s="9" t="s">
        <v>2811</v>
      </c>
      <c r="D2603" s="9" t="s">
        <v>2185</v>
      </c>
      <c r="E2603" s="9" t="s">
        <v>323</v>
      </c>
      <c r="F2603" s="9" t="s">
        <v>197</v>
      </c>
      <c r="G2603" s="9" t="s">
        <v>221</v>
      </c>
      <c r="H2603" s="9" t="n">
        <v>1350</v>
      </c>
      <c r="I2603" s="29" t="n">
        <v>2</v>
      </c>
      <c r="J2603" s="9" t="n">
        <v>1</v>
      </c>
      <c r="K2603" s="30"/>
      <c r="L2603" s="30"/>
      <c r="M2603" s="30"/>
      <c r="N2603" s="30"/>
      <c r="O2603" s="30"/>
      <c r="P2603" s="30"/>
      <c r="Q2603" s="30"/>
      <c r="R2603" s="30"/>
      <c r="S2603" s="30"/>
      <c r="T2603" s="30"/>
      <c r="U2603" s="21" t="str">
        <f aca="false">IF(COUNT(K2603:T2603)=0,"SOURCE EMPTY / INDUSTRIAL ONLY",IF(MIN(K2603:T2603)=1,"SERVICE READY","HOLD"))</f>
        <v>SOURCE EMPTY / INDUSTRIAL ONLY</v>
      </c>
      <c r="V2603" s="9" t="n">
        <f aca="false">IF(U2603="SERVICE READY",1,0)</f>
        <v>0</v>
      </c>
      <c r="W2603" s="6"/>
      <c r="X2603" s="6"/>
      <c r="Y2603" s="6"/>
      <c r="Z2603" s="6"/>
    </row>
    <row r="2604" customFormat="false" ht="15" hidden="false" customHeight="false" outlineLevel="0" collapsed="false">
      <c r="A2604" s="9" t="s">
        <v>2868</v>
      </c>
      <c r="B2604" s="9" t="s">
        <v>2810</v>
      </c>
      <c r="C2604" s="9" t="s">
        <v>2811</v>
      </c>
      <c r="D2604" s="9" t="s">
        <v>2185</v>
      </c>
      <c r="E2604" s="9" t="s">
        <v>323</v>
      </c>
      <c r="F2604" s="9" t="s">
        <v>200</v>
      </c>
      <c r="G2604" s="9" t="s">
        <v>221</v>
      </c>
      <c r="H2604" s="9" t="n">
        <v>1350</v>
      </c>
      <c r="I2604" s="29" t="n">
        <v>2</v>
      </c>
      <c r="J2604" s="9" t="n">
        <v>1</v>
      </c>
      <c r="K2604" s="30"/>
      <c r="L2604" s="30"/>
      <c r="M2604" s="30"/>
      <c r="N2604" s="30"/>
      <c r="O2604" s="30"/>
      <c r="P2604" s="30"/>
      <c r="Q2604" s="30"/>
      <c r="R2604" s="30"/>
      <c r="S2604" s="30"/>
      <c r="T2604" s="30"/>
      <c r="U2604" s="21" t="str">
        <f aca="false">IF(COUNT(K2604:T2604)=0,"SOURCE EMPTY / INDUSTRIAL ONLY",IF(MIN(K2604:T2604)=1,"SERVICE READY","HOLD"))</f>
        <v>SOURCE EMPTY / INDUSTRIAL ONLY</v>
      </c>
      <c r="V2604" s="9" t="n">
        <f aca="false">IF(U2604="SERVICE READY",1,0)</f>
        <v>0</v>
      </c>
      <c r="W2604" s="6"/>
      <c r="X2604" s="6"/>
      <c r="Y2604" s="6"/>
      <c r="Z2604" s="6"/>
    </row>
    <row r="2605" customFormat="false" ht="15" hidden="false" customHeight="false" outlineLevel="0" collapsed="false">
      <c r="A2605" s="9" t="s">
        <v>2869</v>
      </c>
      <c r="B2605" s="9" t="s">
        <v>2810</v>
      </c>
      <c r="C2605" s="9" t="s">
        <v>2811</v>
      </c>
      <c r="D2605" s="9" t="s">
        <v>2185</v>
      </c>
      <c r="E2605" s="9" t="s">
        <v>323</v>
      </c>
      <c r="F2605" s="9" t="s">
        <v>203</v>
      </c>
      <c r="G2605" s="9" t="s">
        <v>221</v>
      </c>
      <c r="H2605" s="9" t="n">
        <v>1350</v>
      </c>
      <c r="I2605" s="29" t="n">
        <v>2</v>
      </c>
      <c r="J2605" s="9" t="n">
        <v>1</v>
      </c>
      <c r="K2605" s="30"/>
      <c r="L2605" s="30"/>
      <c r="M2605" s="30"/>
      <c r="N2605" s="30"/>
      <c r="O2605" s="30"/>
      <c r="P2605" s="30"/>
      <c r="Q2605" s="30"/>
      <c r="R2605" s="30"/>
      <c r="S2605" s="30"/>
      <c r="T2605" s="30"/>
      <c r="U2605" s="21" t="str">
        <f aca="false">IF(COUNT(K2605:T2605)=0,"SOURCE EMPTY / INDUSTRIAL ONLY",IF(MIN(K2605:T2605)=1,"SERVICE READY","HOLD"))</f>
        <v>SOURCE EMPTY / INDUSTRIAL ONLY</v>
      </c>
      <c r="V2605" s="9" t="n">
        <f aca="false">IF(U2605="SERVICE READY",1,0)</f>
        <v>0</v>
      </c>
      <c r="W2605" s="6"/>
      <c r="X2605" s="6"/>
      <c r="Y2605" s="6"/>
      <c r="Z2605" s="6"/>
    </row>
    <row r="2606" customFormat="false" ht="15" hidden="false" customHeight="false" outlineLevel="0" collapsed="false">
      <c r="A2606" s="9" t="s">
        <v>2870</v>
      </c>
      <c r="B2606" s="9" t="s">
        <v>2810</v>
      </c>
      <c r="C2606" s="9" t="s">
        <v>2811</v>
      </c>
      <c r="D2606" s="9" t="s">
        <v>2185</v>
      </c>
      <c r="E2606" s="9" t="s">
        <v>323</v>
      </c>
      <c r="F2606" s="9" t="s">
        <v>205</v>
      </c>
      <c r="G2606" s="9" t="s">
        <v>221</v>
      </c>
      <c r="H2606" s="9" t="n">
        <v>1350</v>
      </c>
      <c r="I2606" s="29" t="n">
        <v>2</v>
      </c>
      <c r="J2606" s="9" t="n">
        <v>1</v>
      </c>
      <c r="K2606" s="30"/>
      <c r="L2606" s="30"/>
      <c r="M2606" s="30"/>
      <c r="N2606" s="30"/>
      <c r="O2606" s="30"/>
      <c r="P2606" s="30"/>
      <c r="Q2606" s="30"/>
      <c r="R2606" s="30"/>
      <c r="S2606" s="30"/>
      <c r="T2606" s="30"/>
      <c r="U2606" s="21" t="str">
        <f aca="false">IF(COUNT(K2606:T2606)=0,"SOURCE EMPTY / INDUSTRIAL ONLY",IF(MIN(K2606:T2606)=1,"SERVICE READY","HOLD"))</f>
        <v>SOURCE EMPTY / INDUSTRIAL ONLY</v>
      </c>
      <c r="V2606" s="9" t="n">
        <f aca="false">IF(U2606="SERVICE READY",1,0)</f>
        <v>0</v>
      </c>
      <c r="W2606" s="6"/>
      <c r="X2606" s="6"/>
      <c r="Y2606" s="6"/>
      <c r="Z2606" s="6"/>
    </row>
    <row r="2607" customFormat="false" ht="15" hidden="false" customHeight="false" outlineLevel="0" collapsed="false">
      <c r="A2607" s="9" t="s">
        <v>2871</v>
      </c>
      <c r="B2607" s="9" t="s">
        <v>2810</v>
      </c>
      <c r="C2607" s="9" t="s">
        <v>2811</v>
      </c>
      <c r="D2607" s="9" t="s">
        <v>2185</v>
      </c>
      <c r="E2607" s="9" t="s">
        <v>323</v>
      </c>
      <c r="F2607" s="9" t="s">
        <v>207</v>
      </c>
      <c r="G2607" s="9" t="s">
        <v>221</v>
      </c>
      <c r="H2607" s="9" t="n">
        <v>1350</v>
      </c>
      <c r="I2607" s="29" t="n">
        <v>2</v>
      </c>
      <c r="J2607" s="9" t="n">
        <v>1</v>
      </c>
      <c r="K2607" s="30"/>
      <c r="L2607" s="30"/>
      <c r="M2607" s="30"/>
      <c r="N2607" s="30"/>
      <c r="O2607" s="30"/>
      <c r="P2607" s="30"/>
      <c r="Q2607" s="30"/>
      <c r="R2607" s="30"/>
      <c r="S2607" s="30"/>
      <c r="T2607" s="30"/>
      <c r="U2607" s="21" t="str">
        <f aca="false">IF(COUNT(K2607:T2607)=0,"SOURCE EMPTY / INDUSTRIAL ONLY",IF(MIN(K2607:T2607)=1,"SERVICE READY","HOLD"))</f>
        <v>SOURCE EMPTY / INDUSTRIAL ONLY</v>
      </c>
      <c r="V2607" s="9" t="n">
        <f aca="false">IF(U2607="SERVICE READY",1,0)</f>
        <v>0</v>
      </c>
      <c r="W2607" s="6"/>
      <c r="X2607" s="6"/>
      <c r="Y2607" s="6"/>
      <c r="Z2607" s="6"/>
    </row>
    <row r="2608" customFormat="false" ht="15" hidden="false" customHeight="false" outlineLevel="0" collapsed="false">
      <c r="A2608" s="9" t="s">
        <v>2872</v>
      </c>
      <c r="B2608" s="9" t="s">
        <v>2810</v>
      </c>
      <c r="C2608" s="9" t="s">
        <v>2811</v>
      </c>
      <c r="D2608" s="9" t="s">
        <v>2185</v>
      </c>
      <c r="E2608" s="9" t="s">
        <v>323</v>
      </c>
      <c r="F2608" s="9" t="s">
        <v>209</v>
      </c>
      <c r="G2608" s="9" t="s">
        <v>221</v>
      </c>
      <c r="H2608" s="9" t="n">
        <v>1350</v>
      </c>
      <c r="I2608" s="29" t="n">
        <v>2</v>
      </c>
      <c r="J2608" s="9" t="n">
        <v>1</v>
      </c>
      <c r="K2608" s="30"/>
      <c r="L2608" s="30"/>
      <c r="M2608" s="30"/>
      <c r="N2608" s="30"/>
      <c r="O2608" s="30"/>
      <c r="P2608" s="30"/>
      <c r="Q2608" s="30"/>
      <c r="R2608" s="30"/>
      <c r="S2608" s="30"/>
      <c r="T2608" s="30"/>
      <c r="U2608" s="21" t="str">
        <f aca="false">IF(COUNT(K2608:T2608)=0,"SOURCE EMPTY / INDUSTRIAL ONLY",IF(MIN(K2608:T2608)=1,"SERVICE READY","HOLD"))</f>
        <v>SOURCE EMPTY / INDUSTRIAL ONLY</v>
      </c>
      <c r="V2608" s="9" t="n">
        <f aca="false">IF(U2608="SERVICE READY",1,0)</f>
        <v>0</v>
      </c>
      <c r="W2608" s="6"/>
      <c r="X2608" s="6"/>
      <c r="Y2608" s="6"/>
      <c r="Z2608" s="6"/>
    </row>
    <row r="2609" customFormat="false" ht="15" hidden="false" customHeight="false" outlineLevel="0" collapsed="false">
      <c r="A2609" s="9" t="s">
        <v>2873</v>
      </c>
      <c r="B2609" s="9" t="s">
        <v>2810</v>
      </c>
      <c r="C2609" s="9" t="s">
        <v>2811</v>
      </c>
      <c r="D2609" s="9" t="s">
        <v>2185</v>
      </c>
      <c r="E2609" s="9" t="s">
        <v>323</v>
      </c>
      <c r="F2609" s="9" t="s">
        <v>211</v>
      </c>
      <c r="G2609" s="9" t="s">
        <v>221</v>
      </c>
      <c r="H2609" s="9" t="n">
        <v>1350</v>
      </c>
      <c r="I2609" s="29" t="n">
        <v>2</v>
      </c>
      <c r="J2609" s="9" t="n">
        <v>1</v>
      </c>
      <c r="K2609" s="30"/>
      <c r="L2609" s="30"/>
      <c r="M2609" s="30"/>
      <c r="N2609" s="30"/>
      <c r="O2609" s="30"/>
      <c r="P2609" s="30"/>
      <c r="Q2609" s="30"/>
      <c r="R2609" s="30"/>
      <c r="S2609" s="30"/>
      <c r="T2609" s="30"/>
      <c r="U2609" s="21" t="str">
        <f aca="false">IF(COUNT(K2609:T2609)=0,"SOURCE EMPTY / INDUSTRIAL ONLY",IF(MIN(K2609:T2609)=1,"SERVICE READY","HOLD"))</f>
        <v>SOURCE EMPTY / INDUSTRIAL ONLY</v>
      </c>
      <c r="V2609" s="9" t="n">
        <f aca="false">IF(U2609="SERVICE READY",1,0)</f>
        <v>0</v>
      </c>
      <c r="W2609" s="6"/>
      <c r="X2609" s="6"/>
      <c r="Y2609" s="6"/>
      <c r="Z2609" s="6"/>
    </row>
    <row r="2610" customFormat="false" ht="15" hidden="false" customHeight="false" outlineLevel="0" collapsed="false">
      <c r="A2610" s="9" t="s">
        <v>2874</v>
      </c>
      <c r="B2610" s="9" t="s">
        <v>2810</v>
      </c>
      <c r="C2610" s="9" t="s">
        <v>2811</v>
      </c>
      <c r="D2610" s="9" t="s">
        <v>2185</v>
      </c>
      <c r="E2610" s="9" t="s">
        <v>323</v>
      </c>
      <c r="F2610" s="9" t="s">
        <v>197</v>
      </c>
      <c r="G2610" s="9" t="s">
        <v>221</v>
      </c>
      <c r="H2610" s="9" t="n">
        <v>1350</v>
      </c>
      <c r="I2610" s="29" t="n">
        <v>2</v>
      </c>
      <c r="J2610" s="9" t="n">
        <v>1</v>
      </c>
      <c r="K2610" s="30"/>
      <c r="L2610" s="30"/>
      <c r="M2610" s="30"/>
      <c r="N2610" s="30"/>
      <c r="O2610" s="30"/>
      <c r="P2610" s="30"/>
      <c r="Q2610" s="30"/>
      <c r="R2610" s="30"/>
      <c r="S2610" s="30"/>
      <c r="T2610" s="30"/>
      <c r="U2610" s="21" t="str">
        <f aca="false">IF(COUNT(K2610:T2610)=0,"SOURCE EMPTY / INDUSTRIAL ONLY",IF(MIN(K2610:T2610)=1,"SERVICE READY","HOLD"))</f>
        <v>SOURCE EMPTY / INDUSTRIAL ONLY</v>
      </c>
      <c r="V2610" s="9" t="n">
        <f aca="false">IF(U2610="SERVICE READY",1,0)</f>
        <v>0</v>
      </c>
      <c r="W2610" s="6"/>
      <c r="X2610" s="6"/>
      <c r="Y2610" s="6"/>
      <c r="Z2610" s="6"/>
    </row>
    <row r="2611" customFormat="false" ht="15" hidden="false" customHeight="false" outlineLevel="0" collapsed="false">
      <c r="A2611" s="9" t="s">
        <v>2875</v>
      </c>
      <c r="B2611" s="9" t="s">
        <v>2810</v>
      </c>
      <c r="C2611" s="9" t="s">
        <v>2811</v>
      </c>
      <c r="D2611" s="9" t="s">
        <v>2185</v>
      </c>
      <c r="E2611" s="9" t="s">
        <v>323</v>
      </c>
      <c r="F2611" s="9" t="s">
        <v>200</v>
      </c>
      <c r="G2611" s="9" t="s">
        <v>221</v>
      </c>
      <c r="H2611" s="9" t="n">
        <v>1350</v>
      </c>
      <c r="I2611" s="29" t="n">
        <v>2</v>
      </c>
      <c r="J2611" s="9" t="n">
        <v>1</v>
      </c>
      <c r="K2611" s="30"/>
      <c r="L2611" s="30"/>
      <c r="M2611" s="30"/>
      <c r="N2611" s="30"/>
      <c r="O2611" s="30"/>
      <c r="P2611" s="30"/>
      <c r="Q2611" s="30"/>
      <c r="R2611" s="30"/>
      <c r="S2611" s="30"/>
      <c r="T2611" s="30"/>
      <c r="U2611" s="21" t="str">
        <f aca="false">IF(COUNT(K2611:T2611)=0,"SOURCE EMPTY / INDUSTRIAL ONLY",IF(MIN(K2611:T2611)=1,"SERVICE READY","HOLD"))</f>
        <v>SOURCE EMPTY / INDUSTRIAL ONLY</v>
      </c>
      <c r="V2611" s="9" t="n">
        <f aca="false">IF(U2611="SERVICE READY",1,0)</f>
        <v>0</v>
      </c>
      <c r="W2611" s="6"/>
      <c r="X2611" s="6"/>
      <c r="Y2611" s="6"/>
      <c r="Z2611" s="6"/>
    </row>
    <row r="2612" customFormat="false" ht="15" hidden="false" customHeight="false" outlineLevel="0" collapsed="false">
      <c r="A2612" s="9" t="s">
        <v>2876</v>
      </c>
      <c r="B2612" s="9" t="s">
        <v>2810</v>
      </c>
      <c r="C2612" s="9" t="s">
        <v>2811</v>
      </c>
      <c r="D2612" s="9" t="s">
        <v>2185</v>
      </c>
      <c r="E2612" s="9" t="s">
        <v>323</v>
      </c>
      <c r="F2612" s="9" t="s">
        <v>203</v>
      </c>
      <c r="G2612" s="9" t="s">
        <v>221</v>
      </c>
      <c r="H2612" s="9" t="n">
        <v>1350</v>
      </c>
      <c r="I2612" s="29" t="n">
        <v>2</v>
      </c>
      <c r="J2612" s="9" t="n">
        <v>1</v>
      </c>
      <c r="K2612" s="30"/>
      <c r="L2612" s="30"/>
      <c r="M2612" s="30"/>
      <c r="N2612" s="30"/>
      <c r="O2612" s="30"/>
      <c r="P2612" s="30"/>
      <c r="Q2612" s="30"/>
      <c r="R2612" s="30"/>
      <c r="S2612" s="30"/>
      <c r="T2612" s="30"/>
      <c r="U2612" s="21" t="str">
        <f aca="false">IF(COUNT(K2612:T2612)=0,"SOURCE EMPTY / INDUSTRIAL ONLY",IF(MIN(K2612:T2612)=1,"SERVICE READY","HOLD"))</f>
        <v>SOURCE EMPTY / INDUSTRIAL ONLY</v>
      </c>
      <c r="V2612" s="9" t="n">
        <f aca="false">IF(U2612="SERVICE READY",1,0)</f>
        <v>0</v>
      </c>
      <c r="W2612" s="6"/>
      <c r="X2612" s="6"/>
      <c r="Y2612" s="6"/>
      <c r="Z2612" s="6"/>
    </row>
    <row r="2613" customFormat="false" ht="15" hidden="false" customHeight="false" outlineLevel="0" collapsed="false">
      <c r="A2613" s="9" t="s">
        <v>2877</v>
      </c>
      <c r="B2613" s="9" t="s">
        <v>2810</v>
      </c>
      <c r="C2613" s="9" t="s">
        <v>2811</v>
      </c>
      <c r="D2613" s="9" t="s">
        <v>2185</v>
      </c>
      <c r="E2613" s="9" t="s">
        <v>323</v>
      </c>
      <c r="F2613" s="9" t="s">
        <v>205</v>
      </c>
      <c r="G2613" s="9" t="s">
        <v>221</v>
      </c>
      <c r="H2613" s="9" t="n">
        <v>1350</v>
      </c>
      <c r="I2613" s="29" t="n">
        <v>2</v>
      </c>
      <c r="J2613" s="9" t="n">
        <v>1</v>
      </c>
      <c r="K2613" s="30"/>
      <c r="L2613" s="30"/>
      <c r="M2613" s="30"/>
      <c r="N2613" s="30"/>
      <c r="O2613" s="30"/>
      <c r="P2613" s="30"/>
      <c r="Q2613" s="30"/>
      <c r="R2613" s="30"/>
      <c r="S2613" s="30"/>
      <c r="T2613" s="30"/>
      <c r="U2613" s="21" t="str">
        <f aca="false">IF(COUNT(K2613:T2613)=0,"SOURCE EMPTY / INDUSTRIAL ONLY",IF(MIN(K2613:T2613)=1,"SERVICE READY","HOLD"))</f>
        <v>SOURCE EMPTY / INDUSTRIAL ONLY</v>
      </c>
      <c r="V2613" s="9" t="n">
        <f aca="false">IF(U2613="SERVICE READY",1,0)</f>
        <v>0</v>
      </c>
      <c r="W2613" s="6"/>
      <c r="X2613" s="6"/>
      <c r="Y2613" s="6"/>
      <c r="Z2613" s="6"/>
    </row>
    <row r="2614" customFormat="false" ht="15" hidden="false" customHeight="false" outlineLevel="0" collapsed="false">
      <c r="A2614" s="9" t="s">
        <v>2878</v>
      </c>
      <c r="B2614" s="9" t="s">
        <v>2810</v>
      </c>
      <c r="C2614" s="9" t="s">
        <v>2811</v>
      </c>
      <c r="D2614" s="9" t="s">
        <v>2185</v>
      </c>
      <c r="E2614" s="9" t="s">
        <v>323</v>
      </c>
      <c r="F2614" s="9" t="s">
        <v>207</v>
      </c>
      <c r="G2614" s="9" t="s">
        <v>221</v>
      </c>
      <c r="H2614" s="9" t="n">
        <v>1350</v>
      </c>
      <c r="I2614" s="29" t="n">
        <v>2</v>
      </c>
      <c r="J2614" s="9" t="n">
        <v>1</v>
      </c>
      <c r="K2614" s="30"/>
      <c r="L2614" s="30"/>
      <c r="M2614" s="30"/>
      <c r="N2614" s="30"/>
      <c r="O2614" s="30"/>
      <c r="P2614" s="30"/>
      <c r="Q2614" s="30"/>
      <c r="R2614" s="30"/>
      <c r="S2614" s="30"/>
      <c r="T2614" s="30"/>
      <c r="U2614" s="21" t="str">
        <f aca="false">IF(COUNT(K2614:T2614)=0,"SOURCE EMPTY / INDUSTRIAL ONLY",IF(MIN(K2614:T2614)=1,"SERVICE READY","HOLD"))</f>
        <v>SOURCE EMPTY / INDUSTRIAL ONLY</v>
      </c>
      <c r="V2614" s="9" t="n">
        <f aca="false">IF(U2614="SERVICE READY",1,0)</f>
        <v>0</v>
      </c>
      <c r="W2614" s="6"/>
      <c r="X2614" s="6"/>
      <c r="Y2614" s="6"/>
      <c r="Z2614" s="6"/>
    </row>
    <row r="2615" customFormat="false" ht="15" hidden="false" customHeight="false" outlineLevel="0" collapsed="false">
      <c r="A2615" s="9" t="s">
        <v>2879</v>
      </c>
      <c r="B2615" s="9" t="s">
        <v>2810</v>
      </c>
      <c r="C2615" s="9" t="s">
        <v>2811</v>
      </c>
      <c r="D2615" s="9" t="s">
        <v>2185</v>
      </c>
      <c r="E2615" s="9" t="s">
        <v>323</v>
      </c>
      <c r="F2615" s="9" t="s">
        <v>209</v>
      </c>
      <c r="G2615" s="9" t="s">
        <v>221</v>
      </c>
      <c r="H2615" s="9" t="n">
        <v>1350</v>
      </c>
      <c r="I2615" s="29" t="n">
        <v>2</v>
      </c>
      <c r="J2615" s="9" t="n">
        <v>1</v>
      </c>
      <c r="K2615" s="30"/>
      <c r="L2615" s="30"/>
      <c r="M2615" s="30"/>
      <c r="N2615" s="30"/>
      <c r="O2615" s="30"/>
      <c r="P2615" s="30"/>
      <c r="Q2615" s="30"/>
      <c r="R2615" s="30"/>
      <c r="S2615" s="30"/>
      <c r="T2615" s="30"/>
      <c r="U2615" s="21" t="str">
        <f aca="false">IF(COUNT(K2615:T2615)=0,"SOURCE EMPTY / INDUSTRIAL ONLY",IF(MIN(K2615:T2615)=1,"SERVICE READY","HOLD"))</f>
        <v>SOURCE EMPTY / INDUSTRIAL ONLY</v>
      </c>
      <c r="V2615" s="9" t="n">
        <f aca="false">IF(U2615="SERVICE READY",1,0)</f>
        <v>0</v>
      </c>
      <c r="W2615" s="6"/>
      <c r="X2615" s="6"/>
      <c r="Y2615" s="6"/>
      <c r="Z2615" s="6"/>
    </row>
    <row r="2616" customFormat="false" ht="15" hidden="false" customHeight="false" outlineLevel="0" collapsed="false">
      <c r="A2616" s="9" t="s">
        <v>2880</v>
      </c>
      <c r="B2616" s="9" t="s">
        <v>2810</v>
      </c>
      <c r="C2616" s="9" t="s">
        <v>2811</v>
      </c>
      <c r="D2616" s="9" t="s">
        <v>2185</v>
      </c>
      <c r="E2616" s="9" t="s">
        <v>323</v>
      </c>
      <c r="F2616" s="9" t="s">
        <v>211</v>
      </c>
      <c r="G2616" s="9" t="s">
        <v>221</v>
      </c>
      <c r="H2616" s="9" t="n">
        <v>1350</v>
      </c>
      <c r="I2616" s="29" t="n">
        <v>2</v>
      </c>
      <c r="J2616" s="9" t="n">
        <v>1</v>
      </c>
      <c r="K2616" s="30"/>
      <c r="L2616" s="30"/>
      <c r="M2616" s="30"/>
      <c r="N2616" s="30"/>
      <c r="O2616" s="30"/>
      <c r="P2616" s="30"/>
      <c r="Q2616" s="30"/>
      <c r="R2616" s="30"/>
      <c r="S2616" s="30"/>
      <c r="T2616" s="30"/>
      <c r="U2616" s="21" t="str">
        <f aca="false">IF(COUNT(K2616:T2616)=0,"SOURCE EMPTY / INDUSTRIAL ONLY",IF(MIN(K2616:T2616)=1,"SERVICE READY","HOLD"))</f>
        <v>SOURCE EMPTY / INDUSTRIAL ONLY</v>
      </c>
      <c r="V2616" s="9" t="n">
        <f aca="false">IF(U2616="SERVICE READY",1,0)</f>
        <v>0</v>
      </c>
      <c r="W2616" s="6"/>
      <c r="X2616" s="6"/>
      <c r="Y2616" s="6"/>
      <c r="Z2616" s="6"/>
    </row>
    <row r="2617" customFormat="false" ht="15" hidden="false" customHeight="false" outlineLevel="0" collapsed="false">
      <c r="A2617" s="9" t="s">
        <v>2881</v>
      </c>
      <c r="B2617" s="9" t="s">
        <v>2810</v>
      </c>
      <c r="C2617" s="9" t="s">
        <v>2811</v>
      </c>
      <c r="D2617" s="9" t="s">
        <v>2185</v>
      </c>
      <c r="E2617" s="9" t="s">
        <v>323</v>
      </c>
      <c r="F2617" s="9" t="s">
        <v>197</v>
      </c>
      <c r="G2617" s="9" t="s">
        <v>221</v>
      </c>
      <c r="H2617" s="9" t="n">
        <v>1350</v>
      </c>
      <c r="I2617" s="29" t="n">
        <v>2</v>
      </c>
      <c r="J2617" s="9" t="n">
        <v>1</v>
      </c>
      <c r="K2617" s="30"/>
      <c r="L2617" s="30"/>
      <c r="M2617" s="30"/>
      <c r="N2617" s="30"/>
      <c r="O2617" s="30"/>
      <c r="P2617" s="30"/>
      <c r="Q2617" s="30"/>
      <c r="R2617" s="30"/>
      <c r="S2617" s="30"/>
      <c r="T2617" s="30"/>
      <c r="U2617" s="21" t="str">
        <f aca="false">IF(COUNT(K2617:T2617)=0,"SOURCE EMPTY / INDUSTRIAL ONLY",IF(MIN(K2617:T2617)=1,"SERVICE READY","HOLD"))</f>
        <v>SOURCE EMPTY / INDUSTRIAL ONLY</v>
      </c>
      <c r="V2617" s="9" t="n">
        <f aca="false">IF(U2617="SERVICE READY",1,0)</f>
        <v>0</v>
      </c>
      <c r="W2617" s="6"/>
      <c r="X2617" s="6"/>
      <c r="Y2617" s="6"/>
      <c r="Z2617" s="6"/>
    </row>
    <row r="2618" customFormat="false" ht="15" hidden="false" customHeight="false" outlineLevel="0" collapsed="false">
      <c r="A2618" s="9" t="s">
        <v>2882</v>
      </c>
      <c r="B2618" s="9" t="s">
        <v>2810</v>
      </c>
      <c r="C2618" s="9" t="s">
        <v>2811</v>
      </c>
      <c r="D2618" s="9" t="s">
        <v>2185</v>
      </c>
      <c r="E2618" s="9" t="s">
        <v>323</v>
      </c>
      <c r="F2618" s="9" t="s">
        <v>200</v>
      </c>
      <c r="G2618" s="9" t="s">
        <v>221</v>
      </c>
      <c r="H2618" s="9" t="n">
        <v>1350</v>
      </c>
      <c r="I2618" s="29" t="n">
        <v>2</v>
      </c>
      <c r="J2618" s="9" t="n">
        <v>1</v>
      </c>
      <c r="K2618" s="30"/>
      <c r="L2618" s="30"/>
      <c r="M2618" s="30"/>
      <c r="N2618" s="30"/>
      <c r="O2618" s="30"/>
      <c r="P2618" s="30"/>
      <c r="Q2618" s="30"/>
      <c r="R2618" s="30"/>
      <c r="S2618" s="30"/>
      <c r="T2618" s="30"/>
      <c r="U2618" s="21" t="str">
        <f aca="false">IF(COUNT(K2618:T2618)=0,"SOURCE EMPTY / INDUSTRIAL ONLY",IF(MIN(K2618:T2618)=1,"SERVICE READY","HOLD"))</f>
        <v>SOURCE EMPTY / INDUSTRIAL ONLY</v>
      </c>
      <c r="V2618" s="9" t="n">
        <f aca="false">IF(U2618="SERVICE READY",1,0)</f>
        <v>0</v>
      </c>
      <c r="W2618" s="6"/>
      <c r="X2618" s="6"/>
      <c r="Y2618" s="6"/>
      <c r="Z2618" s="6"/>
    </row>
    <row r="2619" customFormat="false" ht="15" hidden="false" customHeight="false" outlineLevel="0" collapsed="false">
      <c r="A2619" s="9" t="s">
        <v>2883</v>
      </c>
      <c r="B2619" s="9" t="s">
        <v>2810</v>
      </c>
      <c r="C2619" s="9" t="s">
        <v>2811</v>
      </c>
      <c r="D2619" s="9" t="s">
        <v>2185</v>
      </c>
      <c r="E2619" s="9" t="s">
        <v>323</v>
      </c>
      <c r="F2619" s="9" t="s">
        <v>203</v>
      </c>
      <c r="G2619" s="9" t="s">
        <v>221</v>
      </c>
      <c r="H2619" s="9" t="n">
        <v>1350</v>
      </c>
      <c r="I2619" s="29" t="n">
        <v>2</v>
      </c>
      <c r="J2619" s="9" t="n">
        <v>1</v>
      </c>
      <c r="K2619" s="30"/>
      <c r="L2619" s="30"/>
      <c r="M2619" s="30"/>
      <c r="N2619" s="30"/>
      <c r="O2619" s="30"/>
      <c r="P2619" s="30"/>
      <c r="Q2619" s="30"/>
      <c r="R2619" s="30"/>
      <c r="S2619" s="30"/>
      <c r="T2619" s="30"/>
      <c r="U2619" s="21" t="str">
        <f aca="false">IF(COUNT(K2619:T2619)=0,"SOURCE EMPTY / INDUSTRIAL ONLY",IF(MIN(K2619:T2619)=1,"SERVICE READY","HOLD"))</f>
        <v>SOURCE EMPTY / INDUSTRIAL ONLY</v>
      </c>
      <c r="V2619" s="9" t="n">
        <f aca="false">IF(U2619="SERVICE READY",1,0)</f>
        <v>0</v>
      </c>
      <c r="W2619" s="6"/>
      <c r="X2619" s="6"/>
      <c r="Y2619" s="6"/>
      <c r="Z2619" s="6"/>
    </row>
    <row r="2620" customFormat="false" ht="15" hidden="false" customHeight="false" outlineLevel="0" collapsed="false">
      <c r="A2620" s="9" t="s">
        <v>2884</v>
      </c>
      <c r="B2620" s="9" t="s">
        <v>2810</v>
      </c>
      <c r="C2620" s="9" t="s">
        <v>2811</v>
      </c>
      <c r="D2620" s="9" t="s">
        <v>2185</v>
      </c>
      <c r="E2620" s="9" t="s">
        <v>323</v>
      </c>
      <c r="F2620" s="9" t="s">
        <v>205</v>
      </c>
      <c r="G2620" s="9" t="s">
        <v>221</v>
      </c>
      <c r="H2620" s="9" t="n">
        <v>1350</v>
      </c>
      <c r="I2620" s="29" t="n">
        <v>2</v>
      </c>
      <c r="J2620" s="9" t="n">
        <v>1</v>
      </c>
      <c r="K2620" s="30"/>
      <c r="L2620" s="30"/>
      <c r="M2620" s="30"/>
      <c r="N2620" s="30"/>
      <c r="O2620" s="30"/>
      <c r="P2620" s="30"/>
      <c r="Q2620" s="30"/>
      <c r="R2620" s="30"/>
      <c r="S2620" s="30"/>
      <c r="T2620" s="30"/>
      <c r="U2620" s="21" t="str">
        <f aca="false">IF(COUNT(K2620:T2620)=0,"SOURCE EMPTY / INDUSTRIAL ONLY",IF(MIN(K2620:T2620)=1,"SERVICE READY","HOLD"))</f>
        <v>SOURCE EMPTY / INDUSTRIAL ONLY</v>
      </c>
      <c r="V2620" s="9" t="n">
        <f aca="false">IF(U2620="SERVICE READY",1,0)</f>
        <v>0</v>
      </c>
      <c r="W2620" s="6"/>
      <c r="X2620" s="6"/>
      <c r="Y2620" s="6"/>
      <c r="Z2620" s="6"/>
    </row>
    <row r="2621" customFormat="false" ht="15" hidden="false" customHeight="false" outlineLevel="0" collapsed="false">
      <c r="A2621" s="9" t="s">
        <v>2885</v>
      </c>
      <c r="B2621" s="9" t="s">
        <v>2810</v>
      </c>
      <c r="C2621" s="9" t="s">
        <v>2811</v>
      </c>
      <c r="D2621" s="9" t="s">
        <v>2185</v>
      </c>
      <c r="E2621" s="9" t="s">
        <v>323</v>
      </c>
      <c r="F2621" s="9" t="s">
        <v>207</v>
      </c>
      <c r="G2621" s="9" t="s">
        <v>221</v>
      </c>
      <c r="H2621" s="9" t="n">
        <v>1350</v>
      </c>
      <c r="I2621" s="29" t="n">
        <v>2</v>
      </c>
      <c r="J2621" s="9" t="n">
        <v>1</v>
      </c>
      <c r="K2621" s="30"/>
      <c r="L2621" s="30"/>
      <c r="M2621" s="30"/>
      <c r="N2621" s="30"/>
      <c r="O2621" s="30"/>
      <c r="P2621" s="30"/>
      <c r="Q2621" s="30"/>
      <c r="R2621" s="30"/>
      <c r="S2621" s="30"/>
      <c r="T2621" s="30"/>
      <c r="U2621" s="21" t="str">
        <f aca="false">IF(COUNT(K2621:T2621)=0,"SOURCE EMPTY / INDUSTRIAL ONLY",IF(MIN(K2621:T2621)=1,"SERVICE READY","HOLD"))</f>
        <v>SOURCE EMPTY / INDUSTRIAL ONLY</v>
      </c>
      <c r="V2621" s="9" t="n">
        <f aca="false">IF(U2621="SERVICE READY",1,0)</f>
        <v>0</v>
      </c>
      <c r="W2621" s="6"/>
      <c r="X2621" s="6"/>
      <c r="Y2621" s="6"/>
      <c r="Z2621" s="6"/>
    </row>
    <row r="2622" customFormat="false" ht="15" hidden="false" customHeight="false" outlineLevel="0" collapsed="false">
      <c r="A2622" s="9" t="s">
        <v>2886</v>
      </c>
      <c r="B2622" s="9" t="s">
        <v>2810</v>
      </c>
      <c r="C2622" s="9" t="s">
        <v>2811</v>
      </c>
      <c r="D2622" s="9" t="s">
        <v>2185</v>
      </c>
      <c r="E2622" s="9" t="s">
        <v>323</v>
      </c>
      <c r="F2622" s="9" t="s">
        <v>209</v>
      </c>
      <c r="G2622" s="9" t="s">
        <v>221</v>
      </c>
      <c r="H2622" s="9" t="n">
        <v>1350</v>
      </c>
      <c r="I2622" s="29" t="n">
        <v>2</v>
      </c>
      <c r="J2622" s="9" t="n">
        <v>1</v>
      </c>
      <c r="K2622" s="30"/>
      <c r="L2622" s="30"/>
      <c r="M2622" s="30"/>
      <c r="N2622" s="30"/>
      <c r="O2622" s="30"/>
      <c r="P2622" s="30"/>
      <c r="Q2622" s="30"/>
      <c r="R2622" s="30"/>
      <c r="S2622" s="30"/>
      <c r="T2622" s="30"/>
      <c r="U2622" s="21" t="str">
        <f aca="false">IF(COUNT(K2622:T2622)=0,"SOURCE EMPTY / INDUSTRIAL ONLY",IF(MIN(K2622:T2622)=1,"SERVICE READY","HOLD"))</f>
        <v>SOURCE EMPTY / INDUSTRIAL ONLY</v>
      </c>
      <c r="V2622" s="9" t="n">
        <f aca="false">IF(U2622="SERVICE READY",1,0)</f>
        <v>0</v>
      </c>
      <c r="W2622" s="6"/>
      <c r="X2622" s="6"/>
      <c r="Y2622" s="6"/>
      <c r="Z2622" s="6"/>
    </row>
    <row r="2623" customFormat="false" ht="15" hidden="false" customHeight="false" outlineLevel="0" collapsed="false">
      <c r="A2623" s="9" t="s">
        <v>2887</v>
      </c>
      <c r="B2623" s="9" t="s">
        <v>2810</v>
      </c>
      <c r="C2623" s="9" t="s">
        <v>2811</v>
      </c>
      <c r="D2623" s="9" t="s">
        <v>2185</v>
      </c>
      <c r="E2623" s="9" t="s">
        <v>323</v>
      </c>
      <c r="F2623" s="9" t="s">
        <v>211</v>
      </c>
      <c r="G2623" s="9" t="s">
        <v>221</v>
      </c>
      <c r="H2623" s="9" t="n">
        <v>1350</v>
      </c>
      <c r="I2623" s="29" t="n">
        <v>2</v>
      </c>
      <c r="J2623" s="9" t="n">
        <v>1</v>
      </c>
      <c r="K2623" s="30"/>
      <c r="L2623" s="30"/>
      <c r="M2623" s="30"/>
      <c r="N2623" s="30"/>
      <c r="O2623" s="30"/>
      <c r="P2623" s="30"/>
      <c r="Q2623" s="30"/>
      <c r="R2623" s="30"/>
      <c r="S2623" s="30"/>
      <c r="T2623" s="30"/>
      <c r="U2623" s="21" t="str">
        <f aca="false">IF(COUNT(K2623:T2623)=0,"SOURCE EMPTY / INDUSTRIAL ONLY",IF(MIN(K2623:T2623)=1,"SERVICE READY","HOLD"))</f>
        <v>SOURCE EMPTY / INDUSTRIAL ONLY</v>
      </c>
      <c r="V2623" s="9" t="n">
        <f aca="false">IF(U2623="SERVICE READY",1,0)</f>
        <v>0</v>
      </c>
      <c r="W2623" s="6"/>
      <c r="X2623" s="6"/>
      <c r="Y2623" s="6"/>
      <c r="Z2623" s="6"/>
    </row>
    <row r="2624" customFormat="false" ht="15" hidden="false" customHeight="false" outlineLevel="0" collapsed="false">
      <c r="A2624" s="9" t="s">
        <v>2888</v>
      </c>
      <c r="B2624" s="9" t="s">
        <v>2810</v>
      </c>
      <c r="C2624" s="9" t="s">
        <v>2811</v>
      </c>
      <c r="D2624" s="9" t="s">
        <v>2185</v>
      </c>
      <c r="E2624" s="9" t="s">
        <v>323</v>
      </c>
      <c r="F2624" s="9" t="s">
        <v>197</v>
      </c>
      <c r="G2624" s="9" t="s">
        <v>221</v>
      </c>
      <c r="H2624" s="9" t="n">
        <v>1350</v>
      </c>
      <c r="I2624" s="29" t="n">
        <v>2</v>
      </c>
      <c r="J2624" s="9" t="n">
        <v>1</v>
      </c>
      <c r="K2624" s="30"/>
      <c r="L2624" s="30"/>
      <c r="M2624" s="30"/>
      <c r="N2624" s="30"/>
      <c r="O2624" s="30"/>
      <c r="P2624" s="30"/>
      <c r="Q2624" s="30"/>
      <c r="R2624" s="30"/>
      <c r="S2624" s="30"/>
      <c r="T2624" s="30"/>
      <c r="U2624" s="21" t="str">
        <f aca="false">IF(COUNT(K2624:T2624)=0,"SOURCE EMPTY / INDUSTRIAL ONLY",IF(MIN(K2624:T2624)=1,"SERVICE READY","HOLD"))</f>
        <v>SOURCE EMPTY / INDUSTRIAL ONLY</v>
      </c>
      <c r="V2624" s="9" t="n">
        <f aca="false">IF(U2624="SERVICE READY",1,0)</f>
        <v>0</v>
      </c>
      <c r="W2624" s="6"/>
      <c r="X2624" s="6"/>
      <c r="Y2624" s="6"/>
      <c r="Z2624" s="6"/>
    </row>
    <row r="2625" customFormat="false" ht="15" hidden="false" customHeight="false" outlineLevel="0" collapsed="false">
      <c r="A2625" s="9" t="s">
        <v>2889</v>
      </c>
      <c r="B2625" s="9" t="s">
        <v>2810</v>
      </c>
      <c r="C2625" s="9" t="s">
        <v>2811</v>
      </c>
      <c r="D2625" s="9" t="s">
        <v>2185</v>
      </c>
      <c r="E2625" s="9" t="s">
        <v>323</v>
      </c>
      <c r="F2625" s="9" t="s">
        <v>200</v>
      </c>
      <c r="G2625" s="9" t="s">
        <v>221</v>
      </c>
      <c r="H2625" s="9" t="n">
        <v>1350</v>
      </c>
      <c r="I2625" s="29" t="n">
        <v>2</v>
      </c>
      <c r="J2625" s="9" t="n">
        <v>1</v>
      </c>
      <c r="K2625" s="30"/>
      <c r="L2625" s="30"/>
      <c r="M2625" s="30"/>
      <c r="N2625" s="30"/>
      <c r="O2625" s="30"/>
      <c r="P2625" s="30"/>
      <c r="Q2625" s="30"/>
      <c r="R2625" s="30"/>
      <c r="S2625" s="30"/>
      <c r="T2625" s="30"/>
      <c r="U2625" s="21" t="str">
        <f aca="false">IF(COUNT(K2625:T2625)=0,"SOURCE EMPTY / INDUSTRIAL ONLY",IF(MIN(K2625:T2625)=1,"SERVICE READY","HOLD"))</f>
        <v>SOURCE EMPTY / INDUSTRIAL ONLY</v>
      </c>
      <c r="V2625" s="9" t="n">
        <f aca="false">IF(U2625="SERVICE READY",1,0)</f>
        <v>0</v>
      </c>
      <c r="W2625" s="6"/>
      <c r="X2625" s="6"/>
      <c r="Y2625" s="6"/>
      <c r="Z2625" s="6"/>
    </row>
    <row r="2626" customFormat="false" ht="15" hidden="false" customHeight="false" outlineLevel="0" collapsed="false">
      <c r="A2626" s="9" t="s">
        <v>2890</v>
      </c>
      <c r="B2626" s="9" t="s">
        <v>2810</v>
      </c>
      <c r="C2626" s="9" t="s">
        <v>2811</v>
      </c>
      <c r="D2626" s="9" t="s">
        <v>2185</v>
      </c>
      <c r="E2626" s="9" t="s">
        <v>323</v>
      </c>
      <c r="F2626" s="9" t="s">
        <v>203</v>
      </c>
      <c r="G2626" s="9" t="s">
        <v>221</v>
      </c>
      <c r="H2626" s="9" t="n">
        <v>1350</v>
      </c>
      <c r="I2626" s="29" t="n">
        <v>2</v>
      </c>
      <c r="J2626" s="9" t="n">
        <v>1</v>
      </c>
      <c r="K2626" s="30"/>
      <c r="L2626" s="30"/>
      <c r="M2626" s="30"/>
      <c r="N2626" s="30"/>
      <c r="O2626" s="30"/>
      <c r="P2626" s="30"/>
      <c r="Q2626" s="30"/>
      <c r="R2626" s="30"/>
      <c r="S2626" s="30"/>
      <c r="T2626" s="30"/>
      <c r="U2626" s="21" t="str">
        <f aca="false">IF(COUNT(K2626:T2626)=0,"SOURCE EMPTY / INDUSTRIAL ONLY",IF(MIN(K2626:T2626)=1,"SERVICE READY","HOLD"))</f>
        <v>SOURCE EMPTY / INDUSTRIAL ONLY</v>
      </c>
      <c r="V2626" s="9" t="n">
        <f aca="false">IF(U2626="SERVICE READY",1,0)</f>
        <v>0</v>
      </c>
      <c r="W2626" s="6"/>
      <c r="X2626" s="6"/>
      <c r="Y2626" s="6"/>
      <c r="Z2626" s="6"/>
    </row>
    <row r="2627" customFormat="false" ht="15" hidden="false" customHeight="false" outlineLevel="0" collapsed="false">
      <c r="A2627" s="9" t="s">
        <v>2891</v>
      </c>
      <c r="B2627" s="9" t="s">
        <v>2810</v>
      </c>
      <c r="C2627" s="9" t="s">
        <v>2811</v>
      </c>
      <c r="D2627" s="9" t="s">
        <v>2185</v>
      </c>
      <c r="E2627" s="9" t="s">
        <v>323</v>
      </c>
      <c r="F2627" s="9" t="s">
        <v>205</v>
      </c>
      <c r="G2627" s="9" t="s">
        <v>221</v>
      </c>
      <c r="H2627" s="9" t="n">
        <v>1350</v>
      </c>
      <c r="I2627" s="29" t="n">
        <v>2</v>
      </c>
      <c r="J2627" s="9" t="n">
        <v>1</v>
      </c>
      <c r="K2627" s="30"/>
      <c r="L2627" s="30"/>
      <c r="M2627" s="30"/>
      <c r="N2627" s="30"/>
      <c r="O2627" s="30"/>
      <c r="P2627" s="30"/>
      <c r="Q2627" s="30"/>
      <c r="R2627" s="30"/>
      <c r="S2627" s="30"/>
      <c r="T2627" s="30"/>
      <c r="U2627" s="21" t="str">
        <f aca="false">IF(COUNT(K2627:T2627)=0,"SOURCE EMPTY / INDUSTRIAL ONLY",IF(MIN(K2627:T2627)=1,"SERVICE READY","HOLD"))</f>
        <v>SOURCE EMPTY / INDUSTRIAL ONLY</v>
      </c>
      <c r="V2627" s="9" t="n">
        <f aca="false">IF(U2627="SERVICE READY",1,0)</f>
        <v>0</v>
      </c>
      <c r="W2627" s="6"/>
      <c r="X2627" s="6"/>
      <c r="Y2627" s="6"/>
      <c r="Z2627" s="6"/>
    </row>
    <row r="2628" customFormat="false" ht="15" hidden="false" customHeight="false" outlineLevel="0" collapsed="false">
      <c r="A2628" s="9" t="s">
        <v>2892</v>
      </c>
      <c r="B2628" s="9" t="s">
        <v>2810</v>
      </c>
      <c r="C2628" s="9" t="s">
        <v>2811</v>
      </c>
      <c r="D2628" s="9" t="s">
        <v>2185</v>
      </c>
      <c r="E2628" s="9" t="s">
        <v>323</v>
      </c>
      <c r="F2628" s="9" t="s">
        <v>207</v>
      </c>
      <c r="G2628" s="9" t="s">
        <v>221</v>
      </c>
      <c r="H2628" s="9" t="n">
        <v>1350</v>
      </c>
      <c r="I2628" s="29" t="n">
        <v>2</v>
      </c>
      <c r="J2628" s="9" t="n">
        <v>1</v>
      </c>
      <c r="K2628" s="30"/>
      <c r="L2628" s="30"/>
      <c r="M2628" s="30"/>
      <c r="N2628" s="30"/>
      <c r="O2628" s="30"/>
      <c r="P2628" s="30"/>
      <c r="Q2628" s="30"/>
      <c r="R2628" s="30"/>
      <c r="S2628" s="30"/>
      <c r="T2628" s="30"/>
      <c r="U2628" s="21" t="str">
        <f aca="false">IF(COUNT(K2628:T2628)=0,"SOURCE EMPTY / INDUSTRIAL ONLY",IF(MIN(K2628:T2628)=1,"SERVICE READY","HOLD"))</f>
        <v>SOURCE EMPTY / INDUSTRIAL ONLY</v>
      </c>
      <c r="V2628" s="9" t="n">
        <f aca="false">IF(U2628="SERVICE READY",1,0)</f>
        <v>0</v>
      </c>
      <c r="W2628" s="6"/>
      <c r="X2628" s="6"/>
      <c r="Y2628" s="6"/>
      <c r="Z2628" s="6"/>
    </row>
    <row r="2629" customFormat="false" ht="15" hidden="false" customHeight="false" outlineLevel="0" collapsed="false">
      <c r="A2629" s="9" t="s">
        <v>2893</v>
      </c>
      <c r="B2629" s="9" t="s">
        <v>2810</v>
      </c>
      <c r="C2629" s="9" t="s">
        <v>2811</v>
      </c>
      <c r="D2629" s="9" t="s">
        <v>2185</v>
      </c>
      <c r="E2629" s="9" t="s">
        <v>323</v>
      </c>
      <c r="F2629" s="9" t="s">
        <v>209</v>
      </c>
      <c r="G2629" s="9" t="s">
        <v>221</v>
      </c>
      <c r="H2629" s="9" t="n">
        <v>1350</v>
      </c>
      <c r="I2629" s="29" t="n">
        <v>2</v>
      </c>
      <c r="J2629" s="9" t="n">
        <v>1</v>
      </c>
      <c r="K2629" s="30"/>
      <c r="L2629" s="30"/>
      <c r="M2629" s="30"/>
      <c r="N2629" s="30"/>
      <c r="O2629" s="30"/>
      <c r="P2629" s="30"/>
      <c r="Q2629" s="30"/>
      <c r="R2629" s="30"/>
      <c r="S2629" s="30"/>
      <c r="T2629" s="30"/>
      <c r="U2629" s="21" t="str">
        <f aca="false">IF(COUNT(K2629:T2629)=0,"SOURCE EMPTY / INDUSTRIAL ONLY",IF(MIN(K2629:T2629)=1,"SERVICE READY","HOLD"))</f>
        <v>SOURCE EMPTY / INDUSTRIAL ONLY</v>
      </c>
      <c r="V2629" s="9" t="n">
        <f aca="false">IF(U2629="SERVICE READY",1,0)</f>
        <v>0</v>
      </c>
      <c r="W2629" s="6"/>
      <c r="X2629" s="6"/>
      <c r="Y2629" s="6"/>
      <c r="Z2629" s="6"/>
    </row>
    <row r="2630" customFormat="false" ht="15" hidden="false" customHeight="false" outlineLevel="0" collapsed="false">
      <c r="A2630" s="9" t="s">
        <v>2894</v>
      </c>
      <c r="B2630" s="9" t="s">
        <v>2810</v>
      </c>
      <c r="C2630" s="9" t="s">
        <v>2811</v>
      </c>
      <c r="D2630" s="9" t="s">
        <v>2185</v>
      </c>
      <c r="E2630" s="9" t="s">
        <v>323</v>
      </c>
      <c r="F2630" s="9" t="s">
        <v>211</v>
      </c>
      <c r="G2630" s="9" t="s">
        <v>221</v>
      </c>
      <c r="H2630" s="9" t="n">
        <v>1350</v>
      </c>
      <c r="I2630" s="29" t="n">
        <v>2</v>
      </c>
      <c r="J2630" s="9" t="n">
        <v>1</v>
      </c>
      <c r="K2630" s="30"/>
      <c r="L2630" s="30"/>
      <c r="M2630" s="30"/>
      <c r="N2630" s="30"/>
      <c r="O2630" s="30"/>
      <c r="P2630" s="30"/>
      <c r="Q2630" s="30"/>
      <c r="R2630" s="30"/>
      <c r="S2630" s="30"/>
      <c r="T2630" s="30"/>
      <c r="U2630" s="21" t="str">
        <f aca="false">IF(COUNT(K2630:T2630)=0,"SOURCE EMPTY / INDUSTRIAL ONLY",IF(MIN(K2630:T2630)=1,"SERVICE READY","HOLD"))</f>
        <v>SOURCE EMPTY / INDUSTRIAL ONLY</v>
      </c>
      <c r="V2630" s="9" t="n">
        <f aca="false">IF(U2630="SERVICE READY",1,0)</f>
        <v>0</v>
      </c>
      <c r="W2630" s="6"/>
      <c r="X2630" s="6"/>
      <c r="Y2630" s="6"/>
      <c r="Z2630" s="6"/>
    </row>
    <row r="2631" customFormat="false" ht="15" hidden="false" customHeight="false" outlineLevel="0" collapsed="false">
      <c r="A2631" s="9" t="s">
        <v>2895</v>
      </c>
      <c r="B2631" s="9" t="s">
        <v>2810</v>
      </c>
      <c r="C2631" s="9" t="s">
        <v>2811</v>
      </c>
      <c r="D2631" s="9" t="s">
        <v>2185</v>
      </c>
      <c r="E2631" s="9" t="s">
        <v>323</v>
      </c>
      <c r="F2631" s="9" t="s">
        <v>197</v>
      </c>
      <c r="G2631" s="9" t="s">
        <v>221</v>
      </c>
      <c r="H2631" s="9" t="n">
        <v>1350</v>
      </c>
      <c r="I2631" s="29" t="n">
        <v>2</v>
      </c>
      <c r="J2631" s="9" t="n">
        <v>1</v>
      </c>
      <c r="K2631" s="30"/>
      <c r="L2631" s="30"/>
      <c r="M2631" s="30"/>
      <c r="N2631" s="30"/>
      <c r="O2631" s="30"/>
      <c r="P2631" s="30"/>
      <c r="Q2631" s="30"/>
      <c r="R2631" s="30"/>
      <c r="S2631" s="30"/>
      <c r="T2631" s="30"/>
      <c r="U2631" s="21" t="str">
        <f aca="false">IF(COUNT(K2631:T2631)=0,"SOURCE EMPTY / INDUSTRIAL ONLY",IF(MIN(K2631:T2631)=1,"SERVICE READY","HOLD"))</f>
        <v>SOURCE EMPTY / INDUSTRIAL ONLY</v>
      </c>
      <c r="V2631" s="9" t="n">
        <f aca="false">IF(U2631="SERVICE READY",1,0)</f>
        <v>0</v>
      </c>
      <c r="W2631" s="6"/>
      <c r="X2631" s="6"/>
      <c r="Y2631" s="6"/>
      <c r="Z2631" s="6"/>
    </row>
    <row r="2632" customFormat="false" ht="15" hidden="false" customHeight="false" outlineLevel="0" collapsed="false">
      <c r="A2632" s="9" t="s">
        <v>2896</v>
      </c>
      <c r="B2632" s="9" t="s">
        <v>2810</v>
      </c>
      <c r="C2632" s="9" t="s">
        <v>2811</v>
      </c>
      <c r="D2632" s="9" t="s">
        <v>2185</v>
      </c>
      <c r="E2632" s="9" t="s">
        <v>323</v>
      </c>
      <c r="F2632" s="9" t="s">
        <v>200</v>
      </c>
      <c r="G2632" s="9" t="s">
        <v>221</v>
      </c>
      <c r="H2632" s="9" t="n">
        <v>1350</v>
      </c>
      <c r="I2632" s="29" t="n">
        <v>2</v>
      </c>
      <c r="J2632" s="9" t="n">
        <v>1</v>
      </c>
      <c r="K2632" s="30"/>
      <c r="L2632" s="30"/>
      <c r="M2632" s="30"/>
      <c r="N2632" s="30"/>
      <c r="O2632" s="30"/>
      <c r="P2632" s="30"/>
      <c r="Q2632" s="30"/>
      <c r="R2632" s="30"/>
      <c r="S2632" s="30"/>
      <c r="T2632" s="30"/>
      <c r="U2632" s="21" t="str">
        <f aca="false">IF(COUNT(K2632:T2632)=0,"SOURCE EMPTY / INDUSTRIAL ONLY",IF(MIN(K2632:T2632)=1,"SERVICE READY","HOLD"))</f>
        <v>SOURCE EMPTY / INDUSTRIAL ONLY</v>
      </c>
      <c r="V2632" s="9" t="n">
        <f aca="false">IF(U2632="SERVICE READY",1,0)</f>
        <v>0</v>
      </c>
      <c r="W2632" s="6"/>
      <c r="X2632" s="6"/>
      <c r="Y2632" s="6"/>
      <c r="Z2632" s="6"/>
    </row>
    <row r="2633" customFormat="false" ht="15" hidden="false" customHeight="false" outlineLevel="0" collapsed="false">
      <c r="A2633" s="9" t="s">
        <v>2897</v>
      </c>
      <c r="B2633" s="9" t="s">
        <v>2810</v>
      </c>
      <c r="C2633" s="9" t="s">
        <v>2811</v>
      </c>
      <c r="D2633" s="9" t="s">
        <v>2185</v>
      </c>
      <c r="E2633" s="9" t="s">
        <v>323</v>
      </c>
      <c r="F2633" s="9" t="s">
        <v>203</v>
      </c>
      <c r="G2633" s="9" t="s">
        <v>221</v>
      </c>
      <c r="H2633" s="9" t="n">
        <v>1350</v>
      </c>
      <c r="I2633" s="29" t="n">
        <v>2</v>
      </c>
      <c r="J2633" s="9" t="n">
        <v>1</v>
      </c>
      <c r="K2633" s="30"/>
      <c r="L2633" s="30"/>
      <c r="M2633" s="30"/>
      <c r="N2633" s="30"/>
      <c r="O2633" s="30"/>
      <c r="P2633" s="30"/>
      <c r="Q2633" s="30"/>
      <c r="R2633" s="30"/>
      <c r="S2633" s="30"/>
      <c r="T2633" s="30"/>
      <c r="U2633" s="21" t="str">
        <f aca="false">IF(COUNT(K2633:T2633)=0,"SOURCE EMPTY / INDUSTRIAL ONLY",IF(MIN(K2633:T2633)=1,"SERVICE READY","HOLD"))</f>
        <v>SOURCE EMPTY / INDUSTRIAL ONLY</v>
      </c>
      <c r="V2633" s="9" t="n">
        <f aca="false">IF(U2633="SERVICE READY",1,0)</f>
        <v>0</v>
      </c>
      <c r="W2633" s="6"/>
      <c r="X2633" s="6"/>
      <c r="Y2633" s="6"/>
      <c r="Z2633" s="6"/>
    </row>
    <row r="2634" customFormat="false" ht="15" hidden="false" customHeight="false" outlineLevel="0" collapsed="false">
      <c r="A2634" s="9" t="s">
        <v>2898</v>
      </c>
      <c r="B2634" s="9" t="s">
        <v>2810</v>
      </c>
      <c r="C2634" s="9" t="s">
        <v>2811</v>
      </c>
      <c r="D2634" s="9" t="s">
        <v>2185</v>
      </c>
      <c r="E2634" s="9" t="s">
        <v>323</v>
      </c>
      <c r="F2634" s="9" t="s">
        <v>205</v>
      </c>
      <c r="G2634" s="9" t="s">
        <v>221</v>
      </c>
      <c r="H2634" s="9" t="n">
        <v>1350</v>
      </c>
      <c r="I2634" s="29" t="n">
        <v>2</v>
      </c>
      <c r="J2634" s="9" t="n">
        <v>1</v>
      </c>
      <c r="K2634" s="30"/>
      <c r="L2634" s="30"/>
      <c r="M2634" s="30"/>
      <c r="N2634" s="30"/>
      <c r="O2634" s="30"/>
      <c r="P2634" s="30"/>
      <c r="Q2634" s="30"/>
      <c r="R2634" s="30"/>
      <c r="S2634" s="30"/>
      <c r="T2634" s="30"/>
      <c r="U2634" s="21" t="str">
        <f aca="false">IF(COUNT(K2634:T2634)=0,"SOURCE EMPTY / INDUSTRIAL ONLY",IF(MIN(K2634:T2634)=1,"SERVICE READY","HOLD"))</f>
        <v>SOURCE EMPTY / INDUSTRIAL ONLY</v>
      </c>
      <c r="V2634" s="9" t="n">
        <f aca="false">IF(U2634="SERVICE READY",1,0)</f>
        <v>0</v>
      </c>
      <c r="W2634" s="6"/>
      <c r="X2634" s="6"/>
      <c r="Y2634" s="6"/>
      <c r="Z2634" s="6"/>
    </row>
    <row r="2635" customFormat="false" ht="15" hidden="false" customHeight="false" outlineLevel="0" collapsed="false">
      <c r="A2635" s="9" t="s">
        <v>2899</v>
      </c>
      <c r="B2635" s="9" t="s">
        <v>2810</v>
      </c>
      <c r="C2635" s="9" t="s">
        <v>2811</v>
      </c>
      <c r="D2635" s="9" t="s">
        <v>2185</v>
      </c>
      <c r="E2635" s="9" t="s">
        <v>323</v>
      </c>
      <c r="F2635" s="9" t="s">
        <v>207</v>
      </c>
      <c r="G2635" s="9" t="s">
        <v>221</v>
      </c>
      <c r="H2635" s="9" t="n">
        <v>1350</v>
      </c>
      <c r="I2635" s="29" t="n">
        <v>2</v>
      </c>
      <c r="J2635" s="9" t="n">
        <v>1</v>
      </c>
      <c r="K2635" s="30"/>
      <c r="L2635" s="30"/>
      <c r="M2635" s="30"/>
      <c r="N2635" s="30"/>
      <c r="O2635" s="30"/>
      <c r="P2635" s="30"/>
      <c r="Q2635" s="30"/>
      <c r="R2635" s="30"/>
      <c r="S2635" s="30"/>
      <c r="T2635" s="30"/>
      <c r="U2635" s="21" t="str">
        <f aca="false">IF(COUNT(K2635:T2635)=0,"SOURCE EMPTY / INDUSTRIAL ONLY",IF(MIN(K2635:T2635)=1,"SERVICE READY","HOLD"))</f>
        <v>SOURCE EMPTY / INDUSTRIAL ONLY</v>
      </c>
      <c r="V2635" s="9" t="n">
        <f aca="false">IF(U2635="SERVICE READY",1,0)</f>
        <v>0</v>
      </c>
      <c r="W2635" s="6"/>
      <c r="X2635" s="6"/>
      <c r="Y2635" s="6"/>
      <c r="Z2635" s="6"/>
    </row>
    <row r="2636" customFormat="false" ht="15" hidden="false" customHeight="false" outlineLevel="0" collapsed="false">
      <c r="A2636" s="9" t="s">
        <v>2900</v>
      </c>
      <c r="B2636" s="9" t="s">
        <v>2810</v>
      </c>
      <c r="C2636" s="9" t="s">
        <v>2811</v>
      </c>
      <c r="D2636" s="9" t="s">
        <v>2185</v>
      </c>
      <c r="E2636" s="9" t="s">
        <v>323</v>
      </c>
      <c r="F2636" s="9" t="s">
        <v>209</v>
      </c>
      <c r="G2636" s="9" t="s">
        <v>221</v>
      </c>
      <c r="H2636" s="9" t="n">
        <v>1350</v>
      </c>
      <c r="I2636" s="29" t="n">
        <v>2</v>
      </c>
      <c r="J2636" s="9" t="n">
        <v>1</v>
      </c>
      <c r="K2636" s="30"/>
      <c r="L2636" s="30"/>
      <c r="M2636" s="30"/>
      <c r="N2636" s="30"/>
      <c r="O2636" s="30"/>
      <c r="P2636" s="30"/>
      <c r="Q2636" s="30"/>
      <c r="R2636" s="30"/>
      <c r="S2636" s="30"/>
      <c r="T2636" s="30"/>
      <c r="U2636" s="21" t="str">
        <f aca="false">IF(COUNT(K2636:T2636)=0,"SOURCE EMPTY / INDUSTRIAL ONLY",IF(MIN(K2636:T2636)=1,"SERVICE READY","HOLD"))</f>
        <v>SOURCE EMPTY / INDUSTRIAL ONLY</v>
      </c>
      <c r="V2636" s="9" t="n">
        <f aca="false">IF(U2636="SERVICE READY",1,0)</f>
        <v>0</v>
      </c>
      <c r="W2636" s="6"/>
      <c r="X2636" s="6"/>
      <c r="Y2636" s="6"/>
      <c r="Z2636" s="6"/>
    </row>
    <row r="2637" customFormat="false" ht="15" hidden="false" customHeight="false" outlineLevel="0" collapsed="false">
      <c r="A2637" s="9" t="s">
        <v>2901</v>
      </c>
      <c r="B2637" s="9" t="s">
        <v>2810</v>
      </c>
      <c r="C2637" s="9" t="s">
        <v>2811</v>
      </c>
      <c r="D2637" s="9" t="s">
        <v>2185</v>
      </c>
      <c r="E2637" s="9" t="s">
        <v>323</v>
      </c>
      <c r="F2637" s="9" t="s">
        <v>211</v>
      </c>
      <c r="G2637" s="9" t="s">
        <v>221</v>
      </c>
      <c r="H2637" s="9" t="n">
        <v>1350</v>
      </c>
      <c r="I2637" s="29" t="n">
        <v>2</v>
      </c>
      <c r="J2637" s="9" t="n">
        <v>1</v>
      </c>
      <c r="K2637" s="30"/>
      <c r="L2637" s="30"/>
      <c r="M2637" s="30"/>
      <c r="N2637" s="30"/>
      <c r="O2637" s="30"/>
      <c r="P2637" s="30"/>
      <c r="Q2637" s="30"/>
      <c r="R2637" s="30"/>
      <c r="S2637" s="30"/>
      <c r="T2637" s="30"/>
      <c r="U2637" s="21" t="str">
        <f aca="false">IF(COUNT(K2637:T2637)=0,"SOURCE EMPTY / INDUSTRIAL ONLY",IF(MIN(K2637:T2637)=1,"SERVICE READY","HOLD"))</f>
        <v>SOURCE EMPTY / INDUSTRIAL ONLY</v>
      </c>
      <c r="V2637" s="9" t="n">
        <f aca="false">IF(U2637="SERVICE READY",1,0)</f>
        <v>0</v>
      </c>
      <c r="W2637" s="6"/>
      <c r="X2637" s="6"/>
      <c r="Y2637" s="6"/>
      <c r="Z2637" s="6"/>
    </row>
    <row r="2638" customFormat="false" ht="15" hidden="false" customHeight="false" outlineLevel="0" collapsed="false">
      <c r="A2638" s="9" t="s">
        <v>2902</v>
      </c>
      <c r="B2638" s="9" t="s">
        <v>2810</v>
      </c>
      <c r="C2638" s="9" t="s">
        <v>2811</v>
      </c>
      <c r="D2638" s="9" t="s">
        <v>2185</v>
      </c>
      <c r="E2638" s="9" t="s">
        <v>323</v>
      </c>
      <c r="F2638" s="9" t="s">
        <v>197</v>
      </c>
      <c r="G2638" s="9" t="s">
        <v>221</v>
      </c>
      <c r="H2638" s="9" t="n">
        <v>1350</v>
      </c>
      <c r="I2638" s="29" t="n">
        <v>2</v>
      </c>
      <c r="J2638" s="9" t="n">
        <v>1</v>
      </c>
      <c r="K2638" s="30"/>
      <c r="L2638" s="30"/>
      <c r="M2638" s="30"/>
      <c r="N2638" s="30"/>
      <c r="O2638" s="30"/>
      <c r="P2638" s="30"/>
      <c r="Q2638" s="30"/>
      <c r="R2638" s="30"/>
      <c r="S2638" s="30"/>
      <c r="T2638" s="30"/>
      <c r="U2638" s="21" t="str">
        <f aca="false">IF(COUNT(K2638:T2638)=0,"SOURCE EMPTY / INDUSTRIAL ONLY",IF(MIN(K2638:T2638)=1,"SERVICE READY","HOLD"))</f>
        <v>SOURCE EMPTY / INDUSTRIAL ONLY</v>
      </c>
      <c r="V2638" s="9" t="n">
        <f aca="false">IF(U2638="SERVICE READY",1,0)</f>
        <v>0</v>
      </c>
      <c r="W2638" s="6"/>
      <c r="X2638" s="6"/>
      <c r="Y2638" s="6"/>
      <c r="Z2638" s="6"/>
    </row>
    <row r="2639" customFormat="false" ht="15" hidden="false" customHeight="false" outlineLevel="0" collapsed="false">
      <c r="A2639" s="9" t="s">
        <v>2903</v>
      </c>
      <c r="B2639" s="9" t="s">
        <v>2810</v>
      </c>
      <c r="C2639" s="9" t="s">
        <v>2811</v>
      </c>
      <c r="D2639" s="9" t="s">
        <v>2185</v>
      </c>
      <c r="E2639" s="9" t="s">
        <v>323</v>
      </c>
      <c r="F2639" s="9" t="s">
        <v>200</v>
      </c>
      <c r="G2639" s="9" t="s">
        <v>221</v>
      </c>
      <c r="H2639" s="9" t="n">
        <v>1350</v>
      </c>
      <c r="I2639" s="29" t="n">
        <v>2</v>
      </c>
      <c r="J2639" s="9" t="n">
        <v>1</v>
      </c>
      <c r="K2639" s="30"/>
      <c r="L2639" s="30"/>
      <c r="M2639" s="30"/>
      <c r="N2639" s="30"/>
      <c r="O2639" s="30"/>
      <c r="P2639" s="30"/>
      <c r="Q2639" s="30"/>
      <c r="R2639" s="30"/>
      <c r="S2639" s="30"/>
      <c r="T2639" s="30"/>
      <c r="U2639" s="21" t="str">
        <f aca="false">IF(COUNT(K2639:T2639)=0,"SOURCE EMPTY / INDUSTRIAL ONLY",IF(MIN(K2639:T2639)=1,"SERVICE READY","HOLD"))</f>
        <v>SOURCE EMPTY / INDUSTRIAL ONLY</v>
      </c>
      <c r="V2639" s="9" t="n">
        <f aca="false">IF(U2639="SERVICE READY",1,0)</f>
        <v>0</v>
      </c>
      <c r="W2639" s="6"/>
      <c r="X2639" s="6"/>
      <c r="Y2639" s="6"/>
      <c r="Z2639" s="6"/>
    </row>
    <row r="2640" customFormat="false" ht="15" hidden="false" customHeight="false" outlineLevel="0" collapsed="false">
      <c r="A2640" s="9" t="s">
        <v>2904</v>
      </c>
      <c r="B2640" s="9" t="s">
        <v>2810</v>
      </c>
      <c r="C2640" s="9" t="s">
        <v>2811</v>
      </c>
      <c r="D2640" s="9" t="s">
        <v>2185</v>
      </c>
      <c r="E2640" s="9" t="s">
        <v>323</v>
      </c>
      <c r="F2640" s="9" t="s">
        <v>203</v>
      </c>
      <c r="G2640" s="9" t="s">
        <v>221</v>
      </c>
      <c r="H2640" s="9" t="n">
        <v>1350</v>
      </c>
      <c r="I2640" s="29" t="n">
        <v>2</v>
      </c>
      <c r="J2640" s="9" t="n">
        <v>1</v>
      </c>
      <c r="K2640" s="30"/>
      <c r="L2640" s="30"/>
      <c r="M2640" s="30"/>
      <c r="N2640" s="30"/>
      <c r="O2640" s="30"/>
      <c r="P2640" s="30"/>
      <c r="Q2640" s="30"/>
      <c r="R2640" s="30"/>
      <c r="S2640" s="30"/>
      <c r="T2640" s="30"/>
      <c r="U2640" s="21" t="str">
        <f aca="false">IF(COUNT(K2640:T2640)=0,"SOURCE EMPTY / INDUSTRIAL ONLY",IF(MIN(K2640:T2640)=1,"SERVICE READY","HOLD"))</f>
        <v>SOURCE EMPTY / INDUSTRIAL ONLY</v>
      </c>
      <c r="V2640" s="9" t="n">
        <f aca="false">IF(U2640="SERVICE READY",1,0)</f>
        <v>0</v>
      </c>
      <c r="W2640" s="6"/>
      <c r="X2640" s="6"/>
      <c r="Y2640" s="6"/>
      <c r="Z2640" s="6"/>
    </row>
    <row r="2641" customFormat="false" ht="15" hidden="false" customHeight="false" outlineLevel="0" collapsed="false">
      <c r="A2641" s="9" t="s">
        <v>2905</v>
      </c>
      <c r="B2641" s="9" t="s">
        <v>2810</v>
      </c>
      <c r="C2641" s="9" t="s">
        <v>2811</v>
      </c>
      <c r="D2641" s="9" t="s">
        <v>2185</v>
      </c>
      <c r="E2641" s="9" t="s">
        <v>323</v>
      </c>
      <c r="F2641" s="9" t="s">
        <v>205</v>
      </c>
      <c r="G2641" s="9" t="s">
        <v>221</v>
      </c>
      <c r="H2641" s="9" t="n">
        <v>1350</v>
      </c>
      <c r="I2641" s="29" t="n">
        <v>2</v>
      </c>
      <c r="J2641" s="9" t="n">
        <v>1</v>
      </c>
      <c r="K2641" s="30"/>
      <c r="L2641" s="30"/>
      <c r="M2641" s="30"/>
      <c r="N2641" s="30"/>
      <c r="O2641" s="30"/>
      <c r="P2641" s="30"/>
      <c r="Q2641" s="30"/>
      <c r="R2641" s="30"/>
      <c r="S2641" s="30"/>
      <c r="T2641" s="30"/>
      <c r="U2641" s="21" t="str">
        <f aca="false">IF(COUNT(K2641:T2641)=0,"SOURCE EMPTY / INDUSTRIAL ONLY",IF(MIN(K2641:T2641)=1,"SERVICE READY","HOLD"))</f>
        <v>SOURCE EMPTY / INDUSTRIAL ONLY</v>
      </c>
      <c r="V2641" s="9" t="n">
        <f aca="false">IF(U2641="SERVICE READY",1,0)</f>
        <v>0</v>
      </c>
      <c r="W2641" s="6"/>
      <c r="X2641" s="6"/>
      <c r="Y2641" s="6"/>
      <c r="Z2641" s="6"/>
    </row>
    <row r="2642" customFormat="false" ht="15" hidden="false" customHeight="false" outlineLevel="0" collapsed="false">
      <c r="A2642" s="9" t="s">
        <v>2906</v>
      </c>
      <c r="B2642" s="9" t="s">
        <v>2810</v>
      </c>
      <c r="C2642" s="9" t="s">
        <v>2811</v>
      </c>
      <c r="D2642" s="9" t="s">
        <v>2185</v>
      </c>
      <c r="E2642" s="9" t="s">
        <v>323</v>
      </c>
      <c r="F2642" s="9" t="s">
        <v>207</v>
      </c>
      <c r="G2642" s="9" t="s">
        <v>221</v>
      </c>
      <c r="H2642" s="9" t="n">
        <v>1350</v>
      </c>
      <c r="I2642" s="29" t="n">
        <v>2</v>
      </c>
      <c r="J2642" s="9" t="n">
        <v>1</v>
      </c>
      <c r="K2642" s="30"/>
      <c r="L2642" s="30"/>
      <c r="M2642" s="30"/>
      <c r="N2642" s="30"/>
      <c r="O2642" s="30"/>
      <c r="P2642" s="30"/>
      <c r="Q2642" s="30"/>
      <c r="R2642" s="30"/>
      <c r="S2642" s="30"/>
      <c r="T2642" s="30"/>
      <c r="U2642" s="21" t="str">
        <f aca="false">IF(COUNT(K2642:T2642)=0,"SOURCE EMPTY / INDUSTRIAL ONLY",IF(MIN(K2642:T2642)=1,"SERVICE READY","HOLD"))</f>
        <v>SOURCE EMPTY / INDUSTRIAL ONLY</v>
      </c>
      <c r="V2642" s="9" t="n">
        <f aca="false">IF(U2642="SERVICE READY",1,0)</f>
        <v>0</v>
      </c>
      <c r="W2642" s="6"/>
      <c r="X2642" s="6"/>
      <c r="Y2642" s="6"/>
      <c r="Z2642" s="6"/>
    </row>
    <row r="2643" customFormat="false" ht="15" hidden="false" customHeight="false" outlineLevel="0" collapsed="false">
      <c r="A2643" s="9" t="s">
        <v>2907</v>
      </c>
      <c r="B2643" s="9" t="s">
        <v>2810</v>
      </c>
      <c r="C2643" s="9" t="s">
        <v>2811</v>
      </c>
      <c r="D2643" s="9" t="s">
        <v>2185</v>
      </c>
      <c r="E2643" s="9" t="s">
        <v>323</v>
      </c>
      <c r="F2643" s="9" t="s">
        <v>209</v>
      </c>
      <c r="G2643" s="9" t="s">
        <v>221</v>
      </c>
      <c r="H2643" s="9" t="n">
        <v>1350</v>
      </c>
      <c r="I2643" s="29" t="n">
        <v>2</v>
      </c>
      <c r="J2643" s="9" t="n">
        <v>1</v>
      </c>
      <c r="K2643" s="30"/>
      <c r="L2643" s="30"/>
      <c r="M2643" s="30"/>
      <c r="N2643" s="30"/>
      <c r="O2643" s="30"/>
      <c r="P2643" s="30"/>
      <c r="Q2643" s="30"/>
      <c r="R2643" s="30"/>
      <c r="S2643" s="30"/>
      <c r="T2643" s="30"/>
      <c r="U2643" s="21" t="str">
        <f aca="false">IF(COUNT(K2643:T2643)=0,"SOURCE EMPTY / INDUSTRIAL ONLY",IF(MIN(K2643:T2643)=1,"SERVICE READY","HOLD"))</f>
        <v>SOURCE EMPTY / INDUSTRIAL ONLY</v>
      </c>
      <c r="V2643" s="9" t="n">
        <f aca="false">IF(U2643="SERVICE READY",1,0)</f>
        <v>0</v>
      </c>
      <c r="W2643" s="6"/>
      <c r="X2643" s="6"/>
      <c r="Y2643" s="6"/>
      <c r="Z2643" s="6"/>
    </row>
    <row r="2644" customFormat="false" ht="15" hidden="false" customHeight="false" outlineLevel="0" collapsed="false">
      <c r="A2644" s="9" t="s">
        <v>2908</v>
      </c>
      <c r="B2644" s="9" t="s">
        <v>2810</v>
      </c>
      <c r="C2644" s="9" t="s">
        <v>2811</v>
      </c>
      <c r="D2644" s="9" t="s">
        <v>2185</v>
      </c>
      <c r="E2644" s="9" t="s">
        <v>323</v>
      </c>
      <c r="F2644" s="9" t="s">
        <v>211</v>
      </c>
      <c r="G2644" s="9" t="s">
        <v>221</v>
      </c>
      <c r="H2644" s="9" t="n">
        <v>1350</v>
      </c>
      <c r="I2644" s="29" t="n">
        <v>2</v>
      </c>
      <c r="J2644" s="9" t="n">
        <v>1</v>
      </c>
      <c r="K2644" s="30"/>
      <c r="L2644" s="30"/>
      <c r="M2644" s="30"/>
      <c r="N2644" s="30"/>
      <c r="O2644" s="30"/>
      <c r="P2644" s="30"/>
      <c r="Q2644" s="30"/>
      <c r="R2644" s="30"/>
      <c r="S2644" s="30"/>
      <c r="T2644" s="30"/>
      <c r="U2644" s="21" t="str">
        <f aca="false">IF(COUNT(K2644:T2644)=0,"SOURCE EMPTY / INDUSTRIAL ONLY",IF(MIN(K2644:T2644)=1,"SERVICE READY","HOLD"))</f>
        <v>SOURCE EMPTY / INDUSTRIAL ONLY</v>
      </c>
      <c r="V2644" s="9" t="n">
        <f aca="false">IF(U2644="SERVICE READY",1,0)</f>
        <v>0</v>
      </c>
      <c r="W2644" s="6"/>
      <c r="X2644" s="6"/>
      <c r="Y2644" s="6"/>
      <c r="Z2644" s="6"/>
    </row>
    <row r="2645" customFormat="false" ht="15" hidden="false" customHeight="false" outlineLevel="0" collapsed="false">
      <c r="A2645" s="9" t="s">
        <v>2909</v>
      </c>
      <c r="B2645" s="9" t="s">
        <v>2810</v>
      </c>
      <c r="C2645" s="9" t="s">
        <v>2811</v>
      </c>
      <c r="D2645" s="9" t="s">
        <v>2185</v>
      </c>
      <c r="E2645" s="9" t="s">
        <v>323</v>
      </c>
      <c r="F2645" s="9" t="s">
        <v>197</v>
      </c>
      <c r="G2645" s="9" t="s">
        <v>221</v>
      </c>
      <c r="H2645" s="9" t="n">
        <v>1350</v>
      </c>
      <c r="I2645" s="29" t="n">
        <v>2</v>
      </c>
      <c r="J2645" s="9" t="n">
        <v>1</v>
      </c>
      <c r="K2645" s="30"/>
      <c r="L2645" s="30"/>
      <c r="M2645" s="30"/>
      <c r="N2645" s="30"/>
      <c r="O2645" s="30"/>
      <c r="P2645" s="30"/>
      <c r="Q2645" s="30"/>
      <c r="R2645" s="30"/>
      <c r="S2645" s="30"/>
      <c r="T2645" s="30"/>
      <c r="U2645" s="21" t="str">
        <f aca="false">IF(COUNT(K2645:T2645)=0,"SOURCE EMPTY / INDUSTRIAL ONLY",IF(MIN(K2645:T2645)=1,"SERVICE READY","HOLD"))</f>
        <v>SOURCE EMPTY / INDUSTRIAL ONLY</v>
      </c>
      <c r="V2645" s="9" t="n">
        <f aca="false">IF(U2645="SERVICE READY",1,0)</f>
        <v>0</v>
      </c>
      <c r="W2645" s="6"/>
      <c r="X2645" s="6"/>
      <c r="Y2645" s="6"/>
      <c r="Z2645" s="6"/>
    </row>
    <row r="2646" customFormat="false" ht="15" hidden="false" customHeight="false" outlineLevel="0" collapsed="false">
      <c r="A2646" s="9" t="s">
        <v>2910</v>
      </c>
      <c r="B2646" s="9" t="s">
        <v>2810</v>
      </c>
      <c r="C2646" s="9" t="s">
        <v>2811</v>
      </c>
      <c r="D2646" s="9" t="s">
        <v>2185</v>
      </c>
      <c r="E2646" s="9" t="s">
        <v>323</v>
      </c>
      <c r="F2646" s="9" t="s">
        <v>200</v>
      </c>
      <c r="G2646" s="9" t="s">
        <v>221</v>
      </c>
      <c r="H2646" s="9" t="n">
        <v>1350</v>
      </c>
      <c r="I2646" s="29" t="n">
        <v>2</v>
      </c>
      <c r="J2646" s="9" t="n">
        <v>1</v>
      </c>
      <c r="K2646" s="30"/>
      <c r="L2646" s="30"/>
      <c r="M2646" s="30"/>
      <c r="N2646" s="30"/>
      <c r="O2646" s="30"/>
      <c r="P2646" s="30"/>
      <c r="Q2646" s="30"/>
      <c r="R2646" s="30"/>
      <c r="S2646" s="30"/>
      <c r="T2646" s="30"/>
      <c r="U2646" s="21" t="str">
        <f aca="false">IF(COUNT(K2646:T2646)=0,"SOURCE EMPTY / INDUSTRIAL ONLY",IF(MIN(K2646:T2646)=1,"SERVICE READY","HOLD"))</f>
        <v>SOURCE EMPTY / INDUSTRIAL ONLY</v>
      </c>
      <c r="V2646" s="9" t="n">
        <f aca="false">IF(U2646="SERVICE READY",1,0)</f>
        <v>0</v>
      </c>
      <c r="W2646" s="6"/>
      <c r="X2646" s="6"/>
      <c r="Y2646" s="6"/>
      <c r="Z2646" s="6"/>
    </row>
    <row r="2647" customFormat="false" ht="15" hidden="false" customHeight="false" outlineLevel="0" collapsed="false">
      <c r="A2647" s="9" t="s">
        <v>2911</v>
      </c>
      <c r="B2647" s="9" t="s">
        <v>2810</v>
      </c>
      <c r="C2647" s="9" t="s">
        <v>2811</v>
      </c>
      <c r="D2647" s="9" t="s">
        <v>2185</v>
      </c>
      <c r="E2647" s="9" t="s">
        <v>323</v>
      </c>
      <c r="F2647" s="9" t="s">
        <v>203</v>
      </c>
      <c r="G2647" s="9" t="s">
        <v>221</v>
      </c>
      <c r="H2647" s="9" t="n">
        <v>1350</v>
      </c>
      <c r="I2647" s="29" t="n">
        <v>2</v>
      </c>
      <c r="J2647" s="9" t="n">
        <v>1</v>
      </c>
      <c r="K2647" s="30"/>
      <c r="L2647" s="30"/>
      <c r="M2647" s="30"/>
      <c r="N2647" s="30"/>
      <c r="O2647" s="30"/>
      <c r="P2647" s="30"/>
      <c r="Q2647" s="30"/>
      <c r="R2647" s="30"/>
      <c r="S2647" s="30"/>
      <c r="T2647" s="30"/>
      <c r="U2647" s="21" t="str">
        <f aca="false">IF(COUNT(K2647:T2647)=0,"SOURCE EMPTY / INDUSTRIAL ONLY",IF(MIN(K2647:T2647)=1,"SERVICE READY","HOLD"))</f>
        <v>SOURCE EMPTY / INDUSTRIAL ONLY</v>
      </c>
      <c r="V2647" s="9" t="n">
        <f aca="false">IF(U2647="SERVICE READY",1,0)</f>
        <v>0</v>
      </c>
      <c r="W2647" s="6"/>
      <c r="X2647" s="6"/>
      <c r="Y2647" s="6"/>
      <c r="Z2647" s="6"/>
    </row>
    <row r="2648" customFormat="false" ht="15" hidden="false" customHeight="false" outlineLevel="0" collapsed="false">
      <c r="A2648" s="9" t="s">
        <v>2912</v>
      </c>
      <c r="B2648" s="9" t="s">
        <v>2810</v>
      </c>
      <c r="C2648" s="9" t="s">
        <v>2811</v>
      </c>
      <c r="D2648" s="9" t="s">
        <v>2185</v>
      </c>
      <c r="E2648" s="9" t="s">
        <v>323</v>
      </c>
      <c r="F2648" s="9" t="s">
        <v>205</v>
      </c>
      <c r="G2648" s="9" t="s">
        <v>221</v>
      </c>
      <c r="H2648" s="9" t="n">
        <v>1350</v>
      </c>
      <c r="I2648" s="29" t="n">
        <v>2</v>
      </c>
      <c r="J2648" s="9" t="n">
        <v>1</v>
      </c>
      <c r="K2648" s="30"/>
      <c r="L2648" s="30"/>
      <c r="M2648" s="30"/>
      <c r="N2648" s="30"/>
      <c r="O2648" s="30"/>
      <c r="P2648" s="30"/>
      <c r="Q2648" s="30"/>
      <c r="R2648" s="30"/>
      <c r="S2648" s="30"/>
      <c r="T2648" s="30"/>
      <c r="U2648" s="21" t="str">
        <f aca="false">IF(COUNT(K2648:T2648)=0,"SOURCE EMPTY / INDUSTRIAL ONLY",IF(MIN(K2648:T2648)=1,"SERVICE READY","HOLD"))</f>
        <v>SOURCE EMPTY / INDUSTRIAL ONLY</v>
      </c>
      <c r="V2648" s="9" t="n">
        <f aca="false">IF(U2648="SERVICE READY",1,0)</f>
        <v>0</v>
      </c>
      <c r="W2648" s="6"/>
      <c r="X2648" s="6"/>
      <c r="Y2648" s="6"/>
      <c r="Z2648" s="6"/>
    </row>
    <row r="2649" customFormat="false" ht="15" hidden="false" customHeight="false" outlineLevel="0" collapsed="false">
      <c r="A2649" s="9" t="s">
        <v>2913</v>
      </c>
      <c r="B2649" s="9" t="s">
        <v>2810</v>
      </c>
      <c r="C2649" s="9" t="s">
        <v>2811</v>
      </c>
      <c r="D2649" s="9" t="s">
        <v>2185</v>
      </c>
      <c r="E2649" s="9" t="s">
        <v>323</v>
      </c>
      <c r="F2649" s="9" t="s">
        <v>207</v>
      </c>
      <c r="G2649" s="9" t="s">
        <v>221</v>
      </c>
      <c r="H2649" s="9" t="n">
        <v>1350</v>
      </c>
      <c r="I2649" s="29" t="n">
        <v>2</v>
      </c>
      <c r="J2649" s="9" t="n">
        <v>1</v>
      </c>
      <c r="K2649" s="30"/>
      <c r="L2649" s="30"/>
      <c r="M2649" s="30"/>
      <c r="N2649" s="30"/>
      <c r="O2649" s="30"/>
      <c r="P2649" s="30"/>
      <c r="Q2649" s="30"/>
      <c r="R2649" s="30"/>
      <c r="S2649" s="30"/>
      <c r="T2649" s="30"/>
      <c r="U2649" s="21" t="str">
        <f aca="false">IF(COUNT(K2649:T2649)=0,"SOURCE EMPTY / INDUSTRIAL ONLY",IF(MIN(K2649:T2649)=1,"SERVICE READY","HOLD"))</f>
        <v>SOURCE EMPTY / INDUSTRIAL ONLY</v>
      </c>
      <c r="V2649" s="9" t="n">
        <f aca="false">IF(U2649="SERVICE READY",1,0)</f>
        <v>0</v>
      </c>
      <c r="W2649" s="6"/>
      <c r="X2649" s="6"/>
      <c r="Y2649" s="6"/>
      <c r="Z2649" s="6"/>
    </row>
    <row r="2650" customFormat="false" ht="15" hidden="false" customHeight="false" outlineLevel="0" collapsed="false">
      <c r="A2650" s="9" t="s">
        <v>2914</v>
      </c>
      <c r="B2650" s="9" t="s">
        <v>2810</v>
      </c>
      <c r="C2650" s="9" t="s">
        <v>2811</v>
      </c>
      <c r="D2650" s="9" t="s">
        <v>2185</v>
      </c>
      <c r="E2650" s="9" t="s">
        <v>323</v>
      </c>
      <c r="F2650" s="9" t="s">
        <v>209</v>
      </c>
      <c r="G2650" s="9" t="s">
        <v>221</v>
      </c>
      <c r="H2650" s="9" t="n">
        <v>1350</v>
      </c>
      <c r="I2650" s="29" t="n">
        <v>2</v>
      </c>
      <c r="J2650" s="9" t="n">
        <v>1</v>
      </c>
      <c r="K2650" s="30"/>
      <c r="L2650" s="30"/>
      <c r="M2650" s="30"/>
      <c r="N2650" s="30"/>
      <c r="O2650" s="30"/>
      <c r="P2650" s="30"/>
      <c r="Q2650" s="30"/>
      <c r="R2650" s="30"/>
      <c r="S2650" s="30"/>
      <c r="T2650" s="30"/>
      <c r="U2650" s="21" t="str">
        <f aca="false">IF(COUNT(K2650:T2650)=0,"SOURCE EMPTY / INDUSTRIAL ONLY",IF(MIN(K2650:T2650)=1,"SERVICE READY","HOLD"))</f>
        <v>SOURCE EMPTY / INDUSTRIAL ONLY</v>
      </c>
      <c r="V2650" s="9" t="n">
        <f aca="false">IF(U2650="SERVICE READY",1,0)</f>
        <v>0</v>
      </c>
      <c r="W2650" s="6"/>
      <c r="X2650" s="6"/>
      <c r="Y2650" s="6"/>
      <c r="Z2650" s="6"/>
    </row>
    <row r="2651" customFormat="false" ht="15" hidden="false" customHeight="false" outlineLevel="0" collapsed="false">
      <c r="A2651" s="9" t="s">
        <v>2915</v>
      </c>
      <c r="B2651" s="9" t="s">
        <v>2810</v>
      </c>
      <c r="C2651" s="9" t="s">
        <v>2811</v>
      </c>
      <c r="D2651" s="9" t="s">
        <v>2185</v>
      </c>
      <c r="E2651" s="9" t="s">
        <v>323</v>
      </c>
      <c r="F2651" s="9" t="s">
        <v>211</v>
      </c>
      <c r="G2651" s="9" t="s">
        <v>221</v>
      </c>
      <c r="H2651" s="9" t="n">
        <v>1350</v>
      </c>
      <c r="I2651" s="29" t="n">
        <v>2</v>
      </c>
      <c r="J2651" s="9" t="n">
        <v>1</v>
      </c>
      <c r="K2651" s="30"/>
      <c r="L2651" s="30"/>
      <c r="M2651" s="30"/>
      <c r="N2651" s="30"/>
      <c r="O2651" s="30"/>
      <c r="P2651" s="30"/>
      <c r="Q2651" s="30"/>
      <c r="R2651" s="30"/>
      <c r="S2651" s="30"/>
      <c r="T2651" s="30"/>
      <c r="U2651" s="21" t="str">
        <f aca="false">IF(COUNT(K2651:T2651)=0,"SOURCE EMPTY / INDUSTRIAL ONLY",IF(MIN(K2651:T2651)=1,"SERVICE READY","HOLD"))</f>
        <v>SOURCE EMPTY / INDUSTRIAL ONLY</v>
      </c>
      <c r="V2651" s="9" t="n">
        <f aca="false">IF(U2651="SERVICE READY",1,0)</f>
        <v>0</v>
      </c>
      <c r="W2651" s="6"/>
      <c r="X2651" s="6"/>
      <c r="Y2651" s="6"/>
      <c r="Z2651" s="6"/>
    </row>
    <row r="2652" customFormat="false" ht="15" hidden="false" customHeight="false" outlineLevel="0" collapsed="false">
      <c r="A2652" s="9" t="s">
        <v>2916</v>
      </c>
      <c r="B2652" s="9" t="s">
        <v>2810</v>
      </c>
      <c r="C2652" s="9" t="s">
        <v>2811</v>
      </c>
      <c r="D2652" s="9" t="s">
        <v>2185</v>
      </c>
      <c r="E2652" s="9" t="s">
        <v>323</v>
      </c>
      <c r="F2652" s="9" t="s">
        <v>197</v>
      </c>
      <c r="G2652" s="9" t="s">
        <v>221</v>
      </c>
      <c r="H2652" s="9" t="n">
        <v>1350</v>
      </c>
      <c r="I2652" s="29" t="n">
        <v>2</v>
      </c>
      <c r="J2652" s="9" t="n">
        <v>1</v>
      </c>
      <c r="K2652" s="30"/>
      <c r="L2652" s="30"/>
      <c r="M2652" s="30"/>
      <c r="N2652" s="30"/>
      <c r="O2652" s="30"/>
      <c r="P2652" s="30"/>
      <c r="Q2652" s="30"/>
      <c r="R2652" s="30"/>
      <c r="S2652" s="30"/>
      <c r="T2652" s="30"/>
      <c r="U2652" s="21" t="str">
        <f aca="false">IF(COUNT(K2652:T2652)=0,"SOURCE EMPTY / INDUSTRIAL ONLY",IF(MIN(K2652:T2652)=1,"SERVICE READY","HOLD"))</f>
        <v>SOURCE EMPTY / INDUSTRIAL ONLY</v>
      </c>
      <c r="V2652" s="9" t="n">
        <f aca="false">IF(U2652="SERVICE READY",1,0)</f>
        <v>0</v>
      </c>
      <c r="W2652" s="6"/>
      <c r="X2652" s="6"/>
      <c r="Y2652" s="6"/>
      <c r="Z2652" s="6"/>
    </row>
    <row r="2653" customFormat="false" ht="15" hidden="false" customHeight="false" outlineLevel="0" collapsed="false">
      <c r="A2653" s="9" t="s">
        <v>2917</v>
      </c>
      <c r="B2653" s="9" t="s">
        <v>2810</v>
      </c>
      <c r="C2653" s="9" t="s">
        <v>2811</v>
      </c>
      <c r="D2653" s="9" t="s">
        <v>2185</v>
      </c>
      <c r="E2653" s="9" t="s">
        <v>323</v>
      </c>
      <c r="F2653" s="9" t="s">
        <v>200</v>
      </c>
      <c r="G2653" s="9" t="s">
        <v>221</v>
      </c>
      <c r="H2653" s="9" t="n">
        <v>1350</v>
      </c>
      <c r="I2653" s="29" t="n">
        <v>2</v>
      </c>
      <c r="J2653" s="9" t="n">
        <v>1</v>
      </c>
      <c r="K2653" s="30"/>
      <c r="L2653" s="30"/>
      <c r="M2653" s="30"/>
      <c r="N2653" s="30"/>
      <c r="O2653" s="30"/>
      <c r="P2653" s="30"/>
      <c r="Q2653" s="30"/>
      <c r="R2653" s="30"/>
      <c r="S2653" s="30"/>
      <c r="T2653" s="30"/>
      <c r="U2653" s="21" t="str">
        <f aca="false">IF(COUNT(K2653:T2653)=0,"SOURCE EMPTY / INDUSTRIAL ONLY",IF(MIN(K2653:T2653)=1,"SERVICE READY","HOLD"))</f>
        <v>SOURCE EMPTY / INDUSTRIAL ONLY</v>
      </c>
      <c r="V2653" s="9" t="n">
        <f aca="false">IF(U2653="SERVICE READY",1,0)</f>
        <v>0</v>
      </c>
      <c r="W2653" s="6"/>
      <c r="X2653" s="6"/>
      <c r="Y2653" s="6"/>
      <c r="Z2653" s="6"/>
    </row>
    <row r="2654" customFormat="false" ht="15" hidden="false" customHeight="false" outlineLevel="0" collapsed="false">
      <c r="A2654" s="9" t="s">
        <v>2918</v>
      </c>
      <c r="B2654" s="9" t="s">
        <v>2810</v>
      </c>
      <c r="C2654" s="9" t="s">
        <v>2811</v>
      </c>
      <c r="D2654" s="9" t="s">
        <v>2185</v>
      </c>
      <c r="E2654" s="9" t="s">
        <v>323</v>
      </c>
      <c r="F2654" s="9" t="s">
        <v>203</v>
      </c>
      <c r="G2654" s="9" t="s">
        <v>221</v>
      </c>
      <c r="H2654" s="9" t="n">
        <v>1350</v>
      </c>
      <c r="I2654" s="29" t="n">
        <v>2</v>
      </c>
      <c r="J2654" s="9" t="n">
        <v>1</v>
      </c>
      <c r="K2654" s="30"/>
      <c r="L2654" s="30"/>
      <c r="M2654" s="30"/>
      <c r="N2654" s="30"/>
      <c r="O2654" s="30"/>
      <c r="P2654" s="30"/>
      <c r="Q2654" s="30"/>
      <c r="R2654" s="30"/>
      <c r="S2654" s="30"/>
      <c r="T2654" s="30"/>
      <c r="U2654" s="21" t="str">
        <f aca="false">IF(COUNT(K2654:T2654)=0,"SOURCE EMPTY / INDUSTRIAL ONLY",IF(MIN(K2654:T2654)=1,"SERVICE READY","HOLD"))</f>
        <v>SOURCE EMPTY / INDUSTRIAL ONLY</v>
      </c>
      <c r="V2654" s="9" t="n">
        <f aca="false">IF(U2654="SERVICE READY",1,0)</f>
        <v>0</v>
      </c>
      <c r="W2654" s="6"/>
      <c r="X2654" s="6"/>
      <c r="Y2654" s="6"/>
      <c r="Z2654" s="6"/>
    </row>
    <row r="2655" customFormat="false" ht="15" hidden="false" customHeight="false" outlineLevel="0" collapsed="false">
      <c r="A2655" s="9" t="s">
        <v>2919</v>
      </c>
      <c r="B2655" s="9" t="s">
        <v>2810</v>
      </c>
      <c r="C2655" s="9" t="s">
        <v>2811</v>
      </c>
      <c r="D2655" s="9" t="s">
        <v>2185</v>
      </c>
      <c r="E2655" s="9" t="s">
        <v>323</v>
      </c>
      <c r="F2655" s="9" t="s">
        <v>205</v>
      </c>
      <c r="G2655" s="9" t="s">
        <v>221</v>
      </c>
      <c r="H2655" s="9" t="n">
        <v>1350</v>
      </c>
      <c r="I2655" s="29" t="n">
        <v>2</v>
      </c>
      <c r="J2655" s="9" t="n">
        <v>1</v>
      </c>
      <c r="K2655" s="30"/>
      <c r="L2655" s="30"/>
      <c r="M2655" s="30"/>
      <c r="N2655" s="30"/>
      <c r="O2655" s="30"/>
      <c r="P2655" s="30"/>
      <c r="Q2655" s="30"/>
      <c r="R2655" s="30"/>
      <c r="S2655" s="30"/>
      <c r="T2655" s="30"/>
      <c r="U2655" s="21" t="str">
        <f aca="false">IF(COUNT(K2655:T2655)=0,"SOURCE EMPTY / INDUSTRIAL ONLY",IF(MIN(K2655:T2655)=1,"SERVICE READY","HOLD"))</f>
        <v>SOURCE EMPTY / INDUSTRIAL ONLY</v>
      </c>
      <c r="V2655" s="9" t="n">
        <f aca="false">IF(U2655="SERVICE READY",1,0)</f>
        <v>0</v>
      </c>
      <c r="W2655" s="6"/>
      <c r="X2655" s="6"/>
      <c r="Y2655" s="6"/>
      <c r="Z2655" s="6"/>
    </row>
    <row r="2656" customFormat="false" ht="15" hidden="false" customHeight="false" outlineLevel="0" collapsed="false">
      <c r="A2656" s="9" t="s">
        <v>2920</v>
      </c>
      <c r="B2656" s="9" t="s">
        <v>2810</v>
      </c>
      <c r="C2656" s="9" t="s">
        <v>2811</v>
      </c>
      <c r="D2656" s="9" t="s">
        <v>2185</v>
      </c>
      <c r="E2656" s="9" t="s">
        <v>323</v>
      </c>
      <c r="F2656" s="9" t="s">
        <v>207</v>
      </c>
      <c r="G2656" s="9" t="s">
        <v>221</v>
      </c>
      <c r="H2656" s="9" t="n">
        <v>1350</v>
      </c>
      <c r="I2656" s="29" t="n">
        <v>2</v>
      </c>
      <c r="J2656" s="9" t="n">
        <v>1</v>
      </c>
      <c r="K2656" s="30"/>
      <c r="L2656" s="30"/>
      <c r="M2656" s="30"/>
      <c r="N2656" s="30"/>
      <c r="O2656" s="30"/>
      <c r="P2656" s="30"/>
      <c r="Q2656" s="30"/>
      <c r="R2656" s="30"/>
      <c r="S2656" s="30"/>
      <c r="T2656" s="30"/>
      <c r="U2656" s="21" t="str">
        <f aca="false">IF(COUNT(K2656:T2656)=0,"SOURCE EMPTY / INDUSTRIAL ONLY",IF(MIN(K2656:T2656)=1,"SERVICE READY","HOLD"))</f>
        <v>SOURCE EMPTY / INDUSTRIAL ONLY</v>
      </c>
      <c r="V2656" s="9" t="n">
        <f aca="false">IF(U2656="SERVICE READY",1,0)</f>
        <v>0</v>
      </c>
      <c r="W2656" s="6"/>
      <c r="X2656" s="6"/>
      <c r="Y2656" s="6"/>
      <c r="Z2656" s="6"/>
    </row>
    <row r="2657" customFormat="false" ht="15" hidden="false" customHeight="false" outlineLevel="0" collapsed="false">
      <c r="A2657" s="9" t="s">
        <v>2921</v>
      </c>
      <c r="B2657" s="9" t="s">
        <v>2810</v>
      </c>
      <c r="C2657" s="9" t="s">
        <v>2811</v>
      </c>
      <c r="D2657" s="9" t="s">
        <v>2185</v>
      </c>
      <c r="E2657" s="9" t="s">
        <v>323</v>
      </c>
      <c r="F2657" s="9" t="s">
        <v>209</v>
      </c>
      <c r="G2657" s="9" t="s">
        <v>221</v>
      </c>
      <c r="H2657" s="9" t="n">
        <v>1350</v>
      </c>
      <c r="I2657" s="29" t="n">
        <v>2</v>
      </c>
      <c r="J2657" s="9" t="n">
        <v>0</v>
      </c>
      <c r="K2657" s="30"/>
      <c r="L2657" s="30"/>
      <c r="M2657" s="30"/>
      <c r="N2657" s="30"/>
      <c r="O2657" s="30"/>
      <c r="P2657" s="30"/>
      <c r="Q2657" s="30"/>
      <c r="R2657" s="30"/>
      <c r="S2657" s="30"/>
      <c r="T2657" s="30"/>
      <c r="U2657" s="21" t="str">
        <f aca="false">IF(COUNT(K2657:T2657)=0,"SOURCE EMPTY / INDUSTRIAL ONLY",IF(MIN(K2657:T2657)=1,"SERVICE READY","HOLD"))</f>
        <v>SOURCE EMPTY / INDUSTRIAL ONLY</v>
      </c>
      <c r="V2657" s="9" t="n">
        <f aca="false">IF(U2657="SERVICE READY",1,0)</f>
        <v>0</v>
      </c>
      <c r="W2657" s="6"/>
      <c r="X2657" s="6"/>
      <c r="Y2657" s="6"/>
      <c r="Z2657" s="6"/>
    </row>
    <row r="2658" customFormat="false" ht="15" hidden="false" customHeight="false" outlineLevel="0" collapsed="false">
      <c r="A2658" s="9" t="s">
        <v>2922</v>
      </c>
      <c r="B2658" s="9" t="s">
        <v>2810</v>
      </c>
      <c r="C2658" s="9" t="s">
        <v>2811</v>
      </c>
      <c r="D2658" s="9" t="s">
        <v>2185</v>
      </c>
      <c r="E2658" s="9" t="s">
        <v>323</v>
      </c>
      <c r="F2658" s="9" t="s">
        <v>211</v>
      </c>
      <c r="G2658" s="9" t="s">
        <v>221</v>
      </c>
      <c r="H2658" s="9" t="n">
        <v>1350</v>
      </c>
      <c r="I2658" s="29" t="n">
        <v>2</v>
      </c>
      <c r="J2658" s="9" t="n">
        <v>0</v>
      </c>
      <c r="K2658" s="30"/>
      <c r="L2658" s="30"/>
      <c r="M2658" s="30"/>
      <c r="N2658" s="30"/>
      <c r="O2658" s="30"/>
      <c r="P2658" s="30"/>
      <c r="Q2658" s="30"/>
      <c r="R2658" s="30"/>
      <c r="S2658" s="30"/>
      <c r="T2658" s="30"/>
      <c r="U2658" s="21" t="str">
        <f aca="false">IF(COUNT(K2658:T2658)=0,"SOURCE EMPTY / INDUSTRIAL ONLY",IF(MIN(K2658:T2658)=1,"SERVICE READY","HOLD"))</f>
        <v>SOURCE EMPTY / INDUSTRIAL ONLY</v>
      </c>
      <c r="V2658" s="9" t="n">
        <f aca="false">IF(U2658="SERVICE READY",1,0)</f>
        <v>0</v>
      </c>
      <c r="W2658" s="6"/>
      <c r="X2658" s="6"/>
      <c r="Y2658" s="6"/>
      <c r="Z2658" s="6"/>
    </row>
    <row r="2659" customFormat="false" ht="15" hidden="false" customHeight="false" outlineLevel="0" collapsed="false">
      <c r="A2659" s="9" t="s">
        <v>2923</v>
      </c>
      <c r="B2659" s="9" t="s">
        <v>2810</v>
      </c>
      <c r="C2659" s="9" t="s">
        <v>2811</v>
      </c>
      <c r="D2659" s="9" t="s">
        <v>2185</v>
      </c>
      <c r="E2659" s="9" t="s">
        <v>323</v>
      </c>
      <c r="F2659" s="9" t="s">
        <v>197</v>
      </c>
      <c r="G2659" s="9" t="s">
        <v>221</v>
      </c>
      <c r="H2659" s="9" t="n">
        <v>1350</v>
      </c>
      <c r="I2659" s="29" t="n">
        <v>2</v>
      </c>
      <c r="J2659" s="9" t="n">
        <v>0</v>
      </c>
      <c r="K2659" s="30"/>
      <c r="L2659" s="30"/>
      <c r="M2659" s="30"/>
      <c r="N2659" s="30"/>
      <c r="O2659" s="30"/>
      <c r="P2659" s="30"/>
      <c r="Q2659" s="30"/>
      <c r="R2659" s="30"/>
      <c r="S2659" s="30"/>
      <c r="T2659" s="30"/>
      <c r="U2659" s="21" t="str">
        <f aca="false">IF(COUNT(K2659:T2659)=0,"SOURCE EMPTY / INDUSTRIAL ONLY",IF(MIN(K2659:T2659)=1,"SERVICE READY","HOLD"))</f>
        <v>SOURCE EMPTY / INDUSTRIAL ONLY</v>
      </c>
      <c r="V2659" s="9" t="n">
        <f aca="false">IF(U2659="SERVICE READY",1,0)</f>
        <v>0</v>
      </c>
      <c r="W2659" s="6"/>
      <c r="X2659" s="6"/>
      <c r="Y2659" s="6"/>
      <c r="Z2659" s="6"/>
    </row>
    <row r="2660" customFormat="false" ht="15" hidden="false" customHeight="false" outlineLevel="0" collapsed="false">
      <c r="A2660" s="9" t="s">
        <v>2924</v>
      </c>
      <c r="B2660" s="9" t="s">
        <v>2810</v>
      </c>
      <c r="C2660" s="9" t="s">
        <v>2811</v>
      </c>
      <c r="D2660" s="9" t="s">
        <v>2185</v>
      </c>
      <c r="E2660" s="9" t="s">
        <v>323</v>
      </c>
      <c r="F2660" s="9" t="s">
        <v>200</v>
      </c>
      <c r="G2660" s="9" t="s">
        <v>221</v>
      </c>
      <c r="H2660" s="9" t="n">
        <v>1350</v>
      </c>
      <c r="I2660" s="29" t="n">
        <v>2</v>
      </c>
      <c r="J2660" s="9" t="n">
        <v>0</v>
      </c>
      <c r="K2660" s="30"/>
      <c r="L2660" s="30"/>
      <c r="M2660" s="30"/>
      <c r="N2660" s="30"/>
      <c r="O2660" s="30"/>
      <c r="P2660" s="30"/>
      <c r="Q2660" s="30"/>
      <c r="R2660" s="30"/>
      <c r="S2660" s="30"/>
      <c r="T2660" s="30"/>
      <c r="U2660" s="21" t="str">
        <f aca="false">IF(COUNT(K2660:T2660)=0,"SOURCE EMPTY / INDUSTRIAL ONLY",IF(MIN(K2660:T2660)=1,"SERVICE READY","HOLD"))</f>
        <v>SOURCE EMPTY / INDUSTRIAL ONLY</v>
      </c>
      <c r="V2660" s="9" t="n">
        <f aca="false">IF(U2660="SERVICE READY",1,0)</f>
        <v>0</v>
      </c>
      <c r="W2660" s="6"/>
      <c r="X2660" s="6"/>
      <c r="Y2660" s="6"/>
      <c r="Z2660" s="6"/>
    </row>
    <row r="2661" customFormat="false" ht="15" hidden="false" customHeight="false" outlineLevel="0" collapsed="false">
      <c r="A2661" s="9" t="s">
        <v>2925</v>
      </c>
      <c r="B2661" s="9" t="s">
        <v>2810</v>
      </c>
      <c r="C2661" s="9" t="s">
        <v>2811</v>
      </c>
      <c r="D2661" s="9" t="s">
        <v>2185</v>
      </c>
      <c r="E2661" s="9" t="s">
        <v>323</v>
      </c>
      <c r="F2661" s="9" t="s">
        <v>203</v>
      </c>
      <c r="G2661" s="9" t="s">
        <v>221</v>
      </c>
      <c r="H2661" s="9" t="n">
        <v>1350</v>
      </c>
      <c r="I2661" s="29" t="n">
        <v>2</v>
      </c>
      <c r="J2661" s="9" t="n">
        <v>0</v>
      </c>
      <c r="K2661" s="30"/>
      <c r="L2661" s="30"/>
      <c r="M2661" s="30"/>
      <c r="N2661" s="30"/>
      <c r="O2661" s="30"/>
      <c r="P2661" s="30"/>
      <c r="Q2661" s="30"/>
      <c r="R2661" s="30"/>
      <c r="S2661" s="30"/>
      <c r="T2661" s="30"/>
      <c r="U2661" s="21" t="str">
        <f aca="false">IF(COUNT(K2661:T2661)=0,"SOURCE EMPTY / INDUSTRIAL ONLY",IF(MIN(K2661:T2661)=1,"SERVICE READY","HOLD"))</f>
        <v>SOURCE EMPTY / INDUSTRIAL ONLY</v>
      </c>
      <c r="V2661" s="9" t="n">
        <f aca="false">IF(U2661="SERVICE READY",1,0)</f>
        <v>0</v>
      </c>
      <c r="W2661" s="6"/>
      <c r="X2661" s="6"/>
      <c r="Y2661" s="6"/>
      <c r="Z2661" s="6"/>
    </row>
    <row r="2662" customFormat="false" ht="15" hidden="false" customHeight="false" outlineLevel="0" collapsed="false">
      <c r="A2662" s="9" t="s">
        <v>2926</v>
      </c>
      <c r="B2662" s="9" t="s">
        <v>2810</v>
      </c>
      <c r="C2662" s="9" t="s">
        <v>2811</v>
      </c>
      <c r="D2662" s="9" t="s">
        <v>2185</v>
      </c>
      <c r="E2662" s="9" t="s">
        <v>323</v>
      </c>
      <c r="F2662" s="9" t="s">
        <v>205</v>
      </c>
      <c r="G2662" s="9" t="s">
        <v>221</v>
      </c>
      <c r="H2662" s="9" t="n">
        <v>1350</v>
      </c>
      <c r="I2662" s="29" t="n">
        <v>2</v>
      </c>
      <c r="J2662" s="9" t="n">
        <v>0</v>
      </c>
      <c r="K2662" s="30"/>
      <c r="L2662" s="30"/>
      <c r="M2662" s="30"/>
      <c r="N2662" s="30"/>
      <c r="O2662" s="30"/>
      <c r="P2662" s="30"/>
      <c r="Q2662" s="30"/>
      <c r="R2662" s="30"/>
      <c r="S2662" s="30"/>
      <c r="T2662" s="30"/>
      <c r="U2662" s="21" t="str">
        <f aca="false">IF(COUNT(K2662:T2662)=0,"SOURCE EMPTY / INDUSTRIAL ONLY",IF(MIN(K2662:T2662)=1,"SERVICE READY","HOLD"))</f>
        <v>SOURCE EMPTY / INDUSTRIAL ONLY</v>
      </c>
      <c r="V2662" s="9" t="n">
        <f aca="false">IF(U2662="SERVICE READY",1,0)</f>
        <v>0</v>
      </c>
      <c r="W2662" s="6"/>
      <c r="X2662" s="6"/>
      <c r="Y2662" s="6"/>
      <c r="Z2662" s="6"/>
    </row>
    <row r="2663" customFormat="false" ht="15" hidden="false" customHeight="false" outlineLevel="0" collapsed="false">
      <c r="A2663" s="9" t="s">
        <v>2927</v>
      </c>
      <c r="B2663" s="9" t="s">
        <v>2810</v>
      </c>
      <c r="C2663" s="9" t="s">
        <v>2811</v>
      </c>
      <c r="D2663" s="9" t="s">
        <v>2185</v>
      </c>
      <c r="E2663" s="9" t="s">
        <v>323</v>
      </c>
      <c r="F2663" s="9" t="s">
        <v>207</v>
      </c>
      <c r="G2663" s="9" t="s">
        <v>221</v>
      </c>
      <c r="H2663" s="9" t="n">
        <v>1350</v>
      </c>
      <c r="I2663" s="29" t="n">
        <v>2</v>
      </c>
      <c r="J2663" s="9" t="n">
        <v>0</v>
      </c>
      <c r="K2663" s="30"/>
      <c r="L2663" s="30"/>
      <c r="M2663" s="30"/>
      <c r="N2663" s="30"/>
      <c r="O2663" s="30"/>
      <c r="P2663" s="30"/>
      <c r="Q2663" s="30"/>
      <c r="R2663" s="30"/>
      <c r="S2663" s="30"/>
      <c r="T2663" s="30"/>
      <c r="U2663" s="21" t="str">
        <f aca="false">IF(COUNT(K2663:T2663)=0,"SOURCE EMPTY / INDUSTRIAL ONLY",IF(MIN(K2663:T2663)=1,"SERVICE READY","HOLD"))</f>
        <v>SOURCE EMPTY / INDUSTRIAL ONLY</v>
      </c>
      <c r="V2663" s="9" t="n">
        <f aca="false">IF(U2663="SERVICE READY",1,0)</f>
        <v>0</v>
      </c>
      <c r="W2663" s="6"/>
      <c r="X2663" s="6"/>
      <c r="Y2663" s="6"/>
      <c r="Z2663" s="6"/>
    </row>
    <row r="2664" customFormat="false" ht="15" hidden="false" customHeight="false" outlineLevel="0" collapsed="false">
      <c r="A2664" s="9" t="s">
        <v>2928</v>
      </c>
      <c r="B2664" s="9" t="s">
        <v>2810</v>
      </c>
      <c r="C2664" s="9" t="s">
        <v>2811</v>
      </c>
      <c r="D2664" s="9" t="s">
        <v>2185</v>
      </c>
      <c r="E2664" s="9" t="s">
        <v>323</v>
      </c>
      <c r="F2664" s="9" t="s">
        <v>209</v>
      </c>
      <c r="G2664" s="9" t="s">
        <v>221</v>
      </c>
      <c r="H2664" s="9" t="n">
        <v>1350</v>
      </c>
      <c r="I2664" s="29" t="n">
        <v>2</v>
      </c>
      <c r="J2664" s="9" t="n">
        <v>0</v>
      </c>
      <c r="K2664" s="30"/>
      <c r="L2664" s="30"/>
      <c r="M2664" s="30"/>
      <c r="N2664" s="30"/>
      <c r="O2664" s="30"/>
      <c r="P2664" s="30"/>
      <c r="Q2664" s="30"/>
      <c r="R2664" s="30"/>
      <c r="S2664" s="30"/>
      <c r="T2664" s="30"/>
      <c r="U2664" s="21" t="str">
        <f aca="false">IF(COUNT(K2664:T2664)=0,"SOURCE EMPTY / INDUSTRIAL ONLY",IF(MIN(K2664:T2664)=1,"SERVICE READY","HOLD"))</f>
        <v>SOURCE EMPTY / INDUSTRIAL ONLY</v>
      </c>
      <c r="V2664" s="9" t="n">
        <f aca="false">IF(U2664="SERVICE READY",1,0)</f>
        <v>0</v>
      </c>
      <c r="W2664" s="6"/>
      <c r="X2664" s="6"/>
      <c r="Y2664" s="6"/>
      <c r="Z2664" s="6"/>
    </row>
    <row r="2665" customFormat="false" ht="15" hidden="false" customHeight="false" outlineLevel="0" collapsed="false">
      <c r="A2665" s="9" t="s">
        <v>2929</v>
      </c>
      <c r="B2665" s="9" t="s">
        <v>2810</v>
      </c>
      <c r="C2665" s="9" t="s">
        <v>2811</v>
      </c>
      <c r="D2665" s="9" t="s">
        <v>2185</v>
      </c>
      <c r="E2665" s="9" t="s">
        <v>323</v>
      </c>
      <c r="F2665" s="9" t="s">
        <v>211</v>
      </c>
      <c r="G2665" s="9" t="s">
        <v>221</v>
      </c>
      <c r="H2665" s="9" t="n">
        <v>1350</v>
      </c>
      <c r="I2665" s="29" t="n">
        <v>2</v>
      </c>
      <c r="J2665" s="9" t="n">
        <v>0</v>
      </c>
      <c r="K2665" s="30"/>
      <c r="L2665" s="30"/>
      <c r="M2665" s="30"/>
      <c r="N2665" s="30"/>
      <c r="O2665" s="30"/>
      <c r="P2665" s="30"/>
      <c r="Q2665" s="30"/>
      <c r="R2665" s="30"/>
      <c r="S2665" s="30"/>
      <c r="T2665" s="30"/>
      <c r="U2665" s="21" t="str">
        <f aca="false">IF(COUNT(K2665:T2665)=0,"SOURCE EMPTY / INDUSTRIAL ONLY",IF(MIN(K2665:T2665)=1,"SERVICE READY","HOLD"))</f>
        <v>SOURCE EMPTY / INDUSTRIAL ONLY</v>
      </c>
      <c r="V2665" s="9" t="n">
        <f aca="false">IF(U2665="SERVICE READY",1,0)</f>
        <v>0</v>
      </c>
      <c r="W2665" s="6"/>
      <c r="X2665" s="6"/>
      <c r="Y2665" s="6"/>
      <c r="Z2665" s="6"/>
    </row>
    <row r="2666" customFormat="false" ht="15" hidden="false" customHeight="false" outlineLevel="0" collapsed="false">
      <c r="A2666" s="9" t="s">
        <v>2930</v>
      </c>
      <c r="B2666" s="9" t="s">
        <v>2810</v>
      </c>
      <c r="C2666" s="9" t="s">
        <v>2811</v>
      </c>
      <c r="D2666" s="9" t="s">
        <v>2185</v>
      </c>
      <c r="E2666" s="9" t="s">
        <v>323</v>
      </c>
      <c r="F2666" s="9" t="s">
        <v>197</v>
      </c>
      <c r="G2666" s="9" t="s">
        <v>221</v>
      </c>
      <c r="H2666" s="9" t="n">
        <v>1350</v>
      </c>
      <c r="I2666" s="29" t="n">
        <v>2</v>
      </c>
      <c r="J2666" s="9" t="n">
        <v>0</v>
      </c>
      <c r="K2666" s="30"/>
      <c r="L2666" s="30"/>
      <c r="M2666" s="30"/>
      <c r="N2666" s="30"/>
      <c r="O2666" s="30"/>
      <c r="P2666" s="30"/>
      <c r="Q2666" s="30"/>
      <c r="R2666" s="30"/>
      <c r="S2666" s="30"/>
      <c r="T2666" s="30"/>
      <c r="U2666" s="21" t="str">
        <f aca="false">IF(COUNT(K2666:T2666)=0,"SOURCE EMPTY / INDUSTRIAL ONLY",IF(MIN(K2666:T2666)=1,"SERVICE READY","HOLD"))</f>
        <v>SOURCE EMPTY / INDUSTRIAL ONLY</v>
      </c>
      <c r="V2666" s="9" t="n">
        <f aca="false">IF(U2666="SERVICE READY",1,0)</f>
        <v>0</v>
      </c>
      <c r="W2666" s="6"/>
      <c r="X2666" s="6"/>
      <c r="Y2666" s="6"/>
      <c r="Z2666" s="6"/>
    </row>
    <row r="2667" customFormat="false" ht="15" hidden="false" customHeight="false" outlineLevel="0" collapsed="false">
      <c r="A2667" s="9" t="s">
        <v>2931</v>
      </c>
      <c r="B2667" s="9" t="s">
        <v>2810</v>
      </c>
      <c r="C2667" s="9" t="s">
        <v>2811</v>
      </c>
      <c r="D2667" s="9" t="s">
        <v>2185</v>
      </c>
      <c r="E2667" s="9" t="s">
        <v>323</v>
      </c>
      <c r="F2667" s="9" t="s">
        <v>200</v>
      </c>
      <c r="G2667" s="9" t="s">
        <v>221</v>
      </c>
      <c r="H2667" s="9" t="n">
        <v>1350</v>
      </c>
      <c r="I2667" s="29" t="n">
        <v>2</v>
      </c>
      <c r="J2667" s="9" t="n">
        <v>0</v>
      </c>
      <c r="K2667" s="30"/>
      <c r="L2667" s="30"/>
      <c r="M2667" s="30"/>
      <c r="N2667" s="30"/>
      <c r="O2667" s="30"/>
      <c r="P2667" s="30"/>
      <c r="Q2667" s="30"/>
      <c r="R2667" s="30"/>
      <c r="S2667" s="30"/>
      <c r="T2667" s="30"/>
      <c r="U2667" s="21" t="str">
        <f aca="false">IF(COUNT(K2667:T2667)=0,"SOURCE EMPTY / INDUSTRIAL ONLY",IF(MIN(K2667:T2667)=1,"SERVICE READY","HOLD"))</f>
        <v>SOURCE EMPTY / INDUSTRIAL ONLY</v>
      </c>
      <c r="V2667" s="9" t="n">
        <f aca="false">IF(U2667="SERVICE READY",1,0)</f>
        <v>0</v>
      </c>
      <c r="W2667" s="6"/>
      <c r="X2667" s="6"/>
      <c r="Y2667" s="6"/>
      <c r="Z2667" s="6"/>
    </row>
    <row r="2668" customFormat="false" ht="15" hidden="false" customHeight="false" outlineLevel="0" collapsed="false">
      <c r="A2668" s="9" t="s">
        <v>2932</v>
      </c>
      <c r="B2668" s="9" t="s">
        <v>2810</v>
      </c>
      <c r="C2668" s="9" t="s">
        <v>2811</v>
      </c>
      <c r="D2668" s="9" t="s">
        <v>2185</v>
      </c>
      <c r="E2668" s="9" t="s">
        <v>323</v>
      </c>
      <c r="F2668" s="9" t="s">
        <v>203</v>
      </c>
      <c r="G2668" s="9" t="s">
        <v>221</v>
      </c>
      <c r="H2668" s="9" t="n">
        <v>1350</v>
      </c>
      <c r="I2668" s="29" t="n">
        <v>2</v>
      </c>
      <c r="J2668" s="9" t="n">
        <v>0</v>
      </c>
      <c r="K2668" s="30"/>
      <c r="L2668" s="30"/>
      <c r="M2668" s="30"/>
      <c r="N2668" s="30"/>
      <c r="O2668" s="30"/>
      <c r="P2668" s="30"/>
      <c r="Q2668" s="30"/>
      <c r="R2668" s="30"/>
      <c r="S2668" s="30"/>
      <c r="T2668" s="30"/>
      <c r="U2668" s="21" t="str">
        <f aca="false">IF(COUNT(K2668:T2668)=0,"SOURCE EMPTY / INDUSTRIAL ONLY",IF(MIN(K2668:T2668)=1,"SERVICE READY","HOLD"))</f>
        <v>SOURCE EMPTY / INDUSTRIAL ONLY</v>
      </c>
      <c r="V2668" s="9" t="n">
        <f aca="false">IF(U2668="SERVICE READY",1,0)</f>
        <v>0</v>
      </c>
      <c r="W2668" s="6"/>
      <c r="X2668" s="6"/>
      <c r="Y2668" s="6"/>
      <c r="Z2668" s="6"/>
    </row>
    <row r="2669" customFormat="false" ht="15" hidden="false" customHeight="false" outlineLevel="0" collapsed="false">
      <c r="A2669" s="9" t="s">
        <v>2933</v>
      </c>
      <c r="B2669" s="9" t="s">
        <v>2810</v>
      </c>
      <c r="C2669" s="9" t="s">
        <v>2811</v>
      </c>
      <c r="D2669" s="9" t="s">
        <v>2185</v>
      </c>
      <c r="E2669" s="9" t="s">
        <v>323</v>
      </c>
      <c r="F2669" s="9" t="s">
        <v>205</v>
      </c>
      <c r="G2669" s="9" t="s">
        <v>221</v>
      </c>
      <c r="H2669" s="9" t="n">
        <v>1350</v>
      </c>
      <c r="I2669" s="29" t="n">
        <v>2</v>
      </c>
      <c r="J2669" s="9" t="n">
        <v>0</v>
      </c>
      <c r="K2669" s="30"/>
      <c r="L2669" s="30"/>
      <c r="M2669" s="30"/>
      <c r="N2669" s="30"/>
      <c r="O2669" s="30"/>
      <c r="P2669" s="30"/>
      <c r="Q2669" s="30"/>
      <c r="R2669" s="30"/>
      <c r="S2669" s="30"/>
      <c r="T2669" s="30"/>
      <c r="U2669" s="21" t="str">
        <f aca="false">IF(COUNT(K2669:T2669)=0,"SOURCE EMPTY / INDUSTRIAL ONLY",IF(MIN(K2669:T2669)=1,"SERVICE READY","HOLD"))</f>
        <v>SOURCE EMPTY / INDUSTRIAL ONLY</v>
      </c>
      <c r="V2669" s="9" t="n">
        <f aca="false">IF(U2669="SERVICE READY",1,0)</f>
        <v>0</v>
      </c>
      <c r="W2669" s="6"/>
      <c r="X2669" s="6"/>
      <c r="Y2669" s="6"/>
      <c r="Z2669" s="6"/>
    </row>
    <row r="2670" customFormat="false" ht="15" hidden="false" customHeight="false" outlineLevel="0" collapsed="false">
      <c r="A2670" s="9" t="s">
        <v>2934</v>
      </c>
      <c r="B2670" s="9" t="s">
        <v>2810</v>
      </c>
      <c r="C2670" s="9" t="s">
        <v>2811</v>
      </c>
      <c r="D2670" s="9" t="s">
        <v>2185</v>
      </c>
      <c r="E2670" s="9" t="s">
        <v>323</v>
      </c>
      <c r="F2670" s="9" t="s">
        <v>207</v>
      </c>
      <c r="G2670" s="9" t="s">
        <v>221</v>
      </c>
      <c r="H2670" s="9" t="n">
        <v>1350</v>
      </c>
      <c r="I2670" s="29" t="n">
        <v>2</v>
      </c>
      <c r="J2670" s="9" t="n">
        <v>0</v>
      </c>
      <c r="K2670" s="30"/>
      <c r="L2670" s="30"/>
      <c r="M2670" s="30"/>
      <c r="N2670" s="30"/>
      <c r="O2670" s="30"/>
      <c r="P2670" s="30"/>
      <c r="Q2670" s="30"/>
      <c r="R2670" s="30"/>
      <c r="S2670" s="30"/>
      <c r="T2670" s="30"/>
      <c r="U2670" s="21" t="str">
        <f aca="false">IF(COUNT(K2670:T2670)=0,"SOURCE EMPTY / INDUSTRIAL ONLY",IF(MIN(K2670:T2670)=1,"SERVICE READY","HOLD"))</f>
        <v>SOURCE EMPTY / INDUSTRIAL ONLY</v>
      </c>
      <c r="V2670" s="9" t="n">
        <f aca="false">IF(U2670="SERVICE READY",1,0)</f>
        <v>0</v>
      </c>
      <c r="W2670" s="6"/>
      <c r="X2670" s="6"/>
      <c r="Y2670" s="6"/>
      <c r="Z2670" s="6"/>
    </row>
    <row r="2671" customFormat="false" ht="15" hidden="false" customHeight="false" outlineLevel="0" collapsed="false">
      <c r="A2671" s="9" t="s">
        <v>2935</v>
      </c>
      <c r="B2671" s="9" t="s">
        <v>2810</v>
      </c>
      <c r="C2671" s="9" t="s">
        <v>2811</v>
      </c>
      <c r="D2671" s="9" t="s">
        <v>2185</v>
      </c>
      <c r="E2671" s="9" t="s">
        <v>323</v>
      </c>
      <c r="F2671" s="9" t="s">
        <v>209</v>
      </c>
      <c r="G2671" s="9" t="s">
        <v>221</v>
      </c>
      <c r="H2671" s="9" t="n">
        <v>1350</v>
      </c>
      <c r="I2671" s="29" t="n">
        <v>2</v>
      </c>
      <c r="J2671" s="9" t="n">
        <v>0</v>
      </c>
      <c r="K2671" s="30"/>
      <c r="L2671" s="30"/>
      <c r="M2671" s="30"/>
      <c r="N2671" s="30"/>
      <c r="O2671" s="30"/>
      <c r="P2671" s="30"/>
      <c r="Q2671" s="30"/>
      <c r="R2671" s="30"/>
      <c r="S2671" s="30"/>
      <c r="T2671" s="30"/>
      <c r="U2671" s="21" t="str">
        <f aca="false">IF(COUNT(K2671:T2671)=0,"SOURCE EMPTY / INDUSTRIAL ONLY",IF(MIN(K2671:T2671)=1,"SERVICE READY","HOLD"))</f>
        <v>SOURCE EMPTY / INDUSTRIAL ONLY</v>
      </c>
      <c r="V2671" s="9" t="n">
        <f aca="false">IF(U2671="SERVICE READY",1,0)</f>
        <v>0</v>
      </c>
      <c r="W2671" s="6"/>
      <c r="X2671" s="6"/>
      <c r="Y2671" s="6"/>
      <c r="Z2671" s="6"/>
    </row>
    <row r="2672" customFormat="false" ht="15" hidden="false" customHeight="false" outlineLevel="0" collapsed="false">
      <c r="A2672" s="9" t="s">
        <v>2936</v>
      </c>
      <c r="B2672" s="9" t="s">
        <v>2810</v>
      </c>
      <c r="C2672" s="9" t="s">
        <v>2811</v>
      </c>
      <c r="D2672" s="9" t="s">
        <v>2185</v>
      </c>
      <c r="E2672" s="9" t="s">
        <v>323</v>
      </c>
      <c r="F2672" s="9" t="s">
        <v>211</v>
      </c>
      <c r="G2672" s="9" t="s">
        <v>221</v>
      </c>
      <c r="H2672" s="9" t="n">
        <v>1350</v>
      </c>
      <c r="I2672" s="29" t="n">
        <v>2</v>
      </c>
      <c r="J2672" s="9" t="n">
        <v>0</v>
      </c>
      <c r="K2672" s="30"/>
      <c r="L2672" s="30"/>
      <c r="M2672" s="30"/>
      <c r="N2672" s="30"/>
      <c r="O2672" s="30"/>
      <c r="P2672" s="30"/>
      <c r="Q2672" s="30"/>
      <c r="R2672" s="30"/>
      <c r="S2672" s="30"/>
      <c r="T2672" s="30"/>
      <c r="U2672" s="21" t="str">
        <f aca="false">IF(COUNT(K2672:T2672)=0,"SOURCE EMPTY / INDUSTRIAL ONLY",IF(MIN(K2672:T2672)=1,"SERVICE READY","HOLD"))</f>
        <v>SOURCE EMPTY / INDUSTRIAL ONLY</v>
      </c>
      <c r="V2672" s="9" t="n">
        <f aca="false">IF(U2672="SERVICE READY",1,0)</f>
        <v>0</v>
      </c>
      <c r="W2672" s="6"/>
      <c r="X2672" s="6"/>
      <c r="Y2672" s="6"/>
      <c r="Z2672" s="6"/>
    </row>
    <row r="2673" customFormat="false" ht="15" hidden="false" customHeight="false" outlineLevel="0" collapsed="false">
      <c r="A2673" s="9" t="s">
        <v>2937</v>
      </c>
      <c r="B2673" s="9" t="s">
        <v>2810</v>
      </c>
      <c r="C2673" s="9" t="s">
        <v>2811</v>
      </c>
      <c r="D2673" s="9" t="s">
        <v>2185</v>
      </c>
      <c r="E2673" s="9" t="s">
        <v>323</v>
      </c>
      <c r="F2673" s="9" t="s">
        <v>197</v>
      </c>
      <c r="G2673" s="9" t="s">
        <v>221</v>
      </c>
      <c r="H2673" s="9" t="n">
        <v>1350</v>
      </c>
      <c r="I2673" s="29" t="n">
        <v>2</v>
      </c>
      <c r="J2673" s="9" t="n">
        <v>0</v>
      </c>
      <c r="K2673" s="30"/>
      <c r="L2673" s="30"/>
      <c r="M2673" s="30"/>
      <c r="N2673" s="30"/>
      <c r="O2673" s="30"/>
      <c r="P2673" s="30"/>
      <c r="Q2673" s="30"/>
      <c r="R2673" s="30"/>
      <c r="S2673" s="30"/>
      <c r="T2673" s="30"/>
      <c r="U2673" s="21" t="str">
        <f aca="false">IF(COUNT(K2673:T2673)=0,"SOURCE EMPTY / INDUSTRIAL ONLY",IF(MIN(K2673:T2673)=1,"SERVICE READY","HOLD"))</f>
        <v>SOURCE EMPTY / INDUSTRIAL ONLY</v>
      </c>
      <c r="V2673" s="9" t="n">
        <f aca="false">IF(U2673="SERVICE READY",1,0)</f>
        <v>0</v>
      </c>
      <c r="W2673" s="6"/>
      <c r="X2673" s="6"/>
      <c r="Y2673" s="6"/>
      <c r="Z2673" s="6"/>
    </row>
    <row r="2674" customFormat="false" ht="15" hidden="false" customHeight="false" outlineLevel="0" collapsed="false">
      <c r="A2674" s="9" t="s">
        <v>2938</v>
      </c>
      <c r="B2674" s="9" t="s">
        <v>2810</v>
      </c>
      <c r="C2674" s="9" t="s">
        <v>2811</v>
      </c>
      <c r="D2674" s="9" t="s">
        <v>2185</v>
      </c>
      <c r="E2674" s="9" t="s">
        <v>323</v>
      </c>
      <c r="F2674" s="9" t="s">
        <v>200</v>
      </c>
      <c r="G2674" s="9" t="s">
        <v>221</v>
      </c>
      <c r="H2674" s="9" t="n">
        <v>1350</v>
      </c>
      <c r="I2674" s="29" t="n">
        <v>2</v>
      </c>
      <c r="J2674" s="9" t="n">
        <v>0</v>
      </c>
      <c r="K2674" s="30"/>
      <c r="L2674" s="30"/>
      <c r="M2674" s="30"/>
      <c r="N2674" s="30"/>
      <c r="O2674" s="30"/>
      <c r="P2674" s="30"/>
      <c r="Q2674" s="30"/>
      <c r="R2674" s="30"/>
      <c r="S2674" s="30"/>
      <c r="T2674" s="30"/>
      <c r="U2674" s="21" t="str">
        <f aca="false">IF(COUNT(K2674:T2674)=0,"SOURCE EMPTY / INDUSTRIAL ONLY",IF(MIN(K2674:T2674)=1,"SERVICE READY","HOLD"))</f>
        <v>SOURCE EMPTY / INDUSTRIAL ONLY</v>
      </c>
      <c r="V2674" s="9" t="n">
        <f aca="false">IF(U2674="SERVICE READY",1,0)</f>
        <v>0</v>
      </c>
      <c r="W2674" s="6"/>
      <c r="X2674" s="6"/>
      <c r="Y2674" s="6"/>
      <c r="Z2674" s="6"/>
    </row>
    <row r="2675" customFormat="false" ht="15" hidden="false" customHeight="false" outlineLevel="0" collapsed="false">
      <c r="A2675" s="9" t="s">
        <v>2939</v>
      </c>
      <c r="B2675" s="9" t="s">
        <v>2810</v>
      </c>
      <c r="C2675" s="9" t="s">
        <v>2811</v>
      </c>
      <c r="D2675" s="9" t="s">
        <v>2185</v>
      </c>
      <c r="E2675" s="9" t="s">
        <v>323</v>
      </c>
      <c r="F2675" s="9" t="s">
        <v>203</v>
      </c>
      <c r="G2675" s="9" t="s">
        <v>221</v>
      </c>
      <c r="H2675" s="9" t="n">
        <v>1350</v>
      </c>
      <c r="I2675" s="29" t="n">
        <v>2</v>
      </c>
      <c r="J2675" s="9" t="n">
        <v>0</v>
      </c>
      <c r="K2675" s="30"/>
      <c r="L2675" s="30"/>
      <c r="M2675" s="30"/>
      <c r="N2675" s="30"/>
      <c r="O2675" s="30"/>
      <c r="P2675" s="30"/>
      <c r="Q2675" s="30"/>
      <c r="R2675" s="30"/>
      <c r="S2675" s="30"/>
      <c r="T2675" s="30"/>
      <c r="U2675" s="21" t="str">
        <f aca="false">IF(COUNT(K2675:T2675)=0,"SOURCE EMPTY / INDUSTRIAL ONLY",IF(MIN(K2675:T2675)=1,"SERVICE READY","HOLD"))</f>
        <v>SOURCE EMPTY / INDUSTRIAL ONLY</v>
      </c>
      <c r="V2675" s="9" t="n">
        <f aca="false">IF(U2675="SERVICE READY",1,0)</f>
        <v>0</v>
      </c>
      <c r="W2675" s="6"/>
      <c r="X2675" s="6"/>
      <c r="Y2675" s="6"/>
      <c r="Z2675" s="6"/>
    </row>
    <row r="2676" customFormat="false" ht="15" hidden="false" customHeight="false" outlineLevel="0" collapsed="false">
      <c r="A2676" s="9" t="s">
        <v>2940</v>
      </c>
      <c r="B2676" s="9" t="s">
        <v>2810</v>
      </c>
      <c r="C2676" s="9" t="s">
        <v>2811</v>
      </c>
      <c r="D2676" s="9" t="s">
        <v>2185</v>
      </c>
      <c r="E2676" s="9" t="s">
        <v>323</v>
      </c>
      <c r="F2676" s="9" t="s">
        <v>205</v>
      </c>
      <c r="G2676" s="9" t="s">
        <v>221</v>
      </c>
      <c r="H2676" s="9" t="n">
        <v>1350</v>
      </c>
      <c r="I2676" s="29" t="n">
        <v>2</v>
      </c>
      <c r="J2676" s="9" t="n">
        <v>0</v>
      </c>
      <c r="K2676" s="30"/>
      <c r="L2676" s="30"/>
      <c r="M2676" s="30"/>
      <c r="N2676" s="30"/>
      <c r="O2676" s="30"/>
      <c r="P2676" s="30"/>
      <c r="Q2676" s="30"/>
      <c r="R2676" s="30"/>
      <c r="S2676" s="30"/>
      <c r="T2676" s="30"/>
      <c r="U2676" s="21" t="str">
        <f aca="false">IF(COUNT(K2676:T2676)=0,"SOURCE EMPTY / INDUSTRIAL ONLY",IF(MIN(K2676:T2676)=1,"SERVICE READY","HOLD"))</f>
        <v>SOURCE EMPTY / INDUSTRIAL ONLY</v>
      </c>
      <c r="V2676" s="9" t="n">
        <f aca="false">IF(U2676="SERVICE READY",1,0)</f>
        <v>0</v>
      </c>
      <c r="W2676" s="6"/>
      <c r="X2676" s="6"/>
      <c r="Y2676" s="6"/>
      <c r="Z2676" s="6"/>
    </row>
    <row r="2677" customFormat="false" ht="15" hidden="false" customHeight="false" outlineLevel="0" collapsed="false">
      <c r="A2677" s="9" t="s">
        <v>2941</v>
      </c>
      <c r="B2677" s="9" t="s">
        <v>2810</v>
      </c>
      <c r="C2677" s="9" t="s">
        <v>2811</v>
      </c>
      <c r="D2677" s="9" t="s">
        <v>2185</v>
      </c>
      <c r="E2677" s="9" t="s">
        <v>323</v>
      </c>
      <c r="F2677" s="9" t="s">
        <v>207</v>
      </c>
      <c r="G2677" s="9" t="s">
        <v>221</v>
      </c>
      <c r="H2677" s="9" t="n">
        <v>1350</v>
      </c>
      <c r="I2677" s="29" t="n">
        <v>2</v>
      </c>
      <c r="J2677" s="9" t="n">
        <v>0</v>
      </c>
      <c r="K2677" s="30"/>
      <c r="L2677" s="30"/>
      <c r="M2677" s="30"/>
      <c r="N2677" s="30"/>
      <c r="O2677" s="30"/>
      <c r="P2677" s="30"/>
      <c r="Q2677" s="30"/>
      <c r="R2677" s="30"/>
      <c r="S2677" s="30"/>
      <c r="T2677" s="30"/>
      <c r="U2677" s="21" t="str">
        <f aca="false">IF(COUNT(K2677:T2677)=0,"SOURCE EMPTY / INDUSTRIAL ONLY",IF(MIN(K2677:T2677)=1,"SERVICE READY","HOLD"))</f>
        <v>SOURCE EMPTY / INDUSTRIAL ONLY</v>
      </c>
      <c r="V2677" s="9" t="n">
        <f aca="false">IF(U2677="SERVICE READY",1,0)</f>
        <v>0</v>
      </c>
      <c r="W2677" s="6"/>
      <c r="X2677" s="6"/>
      <c r="Y2677" s="6"/>
      <c r="Z2677" s="6"/>
    </row>
    <row r="2678" customFormat="false" ht="15" hidden="false" customHeight="false" outlineLevel="0" collapsed="false">
      <c r="A2678" s="9" t="s">
        <v>2942</v>
      </c>
      <c r="B2678" s="9" t="s">
        <v>2810</v>
      </c>
      <c r="C2678" s="9" t="s">
        <v>2811</v>
      </c>
      <c r="D2678" s="9" t="s">
        <v>2185</v>
      </c>
      <c r="E2678" s="9" t="s">
        <v>323</v>
      </c>
      <c r="F2678" s="9" t="s">
        <v>209</v>
      </c>
      <c r="G2678" s="9" t="s">
        <v>221</v>
      </c>
      <c r="H2678" s="9" t="n">
        <v>1350</v>
      </c>
      <c r="I2678" s="29" t="n">
        <v>2</v>
      </c>
      <c r="J2678" s="9" t="n">
        <v>0</v>
      </c>
      <c r="K2678" s="30"/>
      <c r="L2678" s="30"/>
      <c r="M2678" s="30"/>
      <c r="N2678" s="30"/>
      <c r="O2678" s="30"/>
      <c r="P2678" s="30"/>
      <c r="Q2678" s="30"/>
      <c r="R2678" s="30"/>
      <c r="S2678" s="30"/>
      <c r="T2678" s="30"/>
      <c r="U2678" s="21" t="str">
        <f aca="false">IF(COUNT(K2678:T2678)=0,"SOURCE EMPTY / INDUSTRIAL ONLY",IF(MIN(K2678:T2678)=1,"SERVICE READY","HOLD"))</f>
        <v>SOURCE EMPTY / INDUSTRIAL ONLY</v>
      </c>
      <c r="V2678" s="9" t="n">
        <f aca="false">IF(U2678="SERVICE READY",1,0)</f>
        <v>0</v>
      </c>
      <c r="W2678" s="6"/>
      <c r="X2678" s="6"/>
      <c r="Y2678" s="6"/>
      <c r="Z2678" s="6"/>
    </row>
    <row r="2679" customFormat="false" ht="15" hidden="false" customHeight="false" outlineLevel="0" collapsed="false">
      <c r="A2679" s="9" t="s">
        <v>2943</v>
      </c>
      <c r="B2679" s="9" t="s">
        <v>2810</v>
      </c>
      <c r="C2679" s="9" t="s">
        <v>2811</v>
      </c>
      <c r="D2679" s="9" t="s">
        <v>2185</v>
      </c>
      <c r="E2679" s="9" t="s">
        <v>323</v>
      </c>
      <c r="F2679" s="9" t="s">
        <v>211</v>
      </c>
      <c r="G2679" s="9" t="s">
        <v>221</v>
      </c>
      <c r="H2679" s="9" t="n">
        <v>1350</v>
      </c>
      <c r="I2679" s="29" t="n">
        <v>2</v>
      </c>
      <c r="J2679" s="9" t="n">
        <v>0</v>
      </c>
      <c r="K2679" s="30"/>
      <c r="L2679" s="30"/>
      <c r="M2679" s="30"/>
      <c r="N2679" s="30"/>
      <c r="O2679" s="30"/>
      <c r="P2679" s="30"/>
      <c r="Q2679" s="30"/>
      <c r="R2679" s="30"/>
      <c r="S2679" s="30"/>
      <c r="T2679" s="30"/>
      <c r="U2679" s="21" t="str">
        <f aca="false">IF(COUNT(K2679:T2679)=0,"SOURCE EMPTY / INDUSTRIAL ONLY",IF(MIN(K2679:T2679)=1,"SERVICE READY","HOLD"))</f>
        <v>SOURCE EMPTY / INDUSTRIAL ONLY</v>
      </c>
      <c r="V2679" s="9" t="n">
        <f aca="false">IF(U2679="SERVICE READY",1,0)</f>
        <v>0</v>
      </c>
      <c r="W2679" s="6"/>
      <c r="X2679" s="6"/>
      <c r="Y2679" s="6"/>
      <c r="Z2679" s="6"/>
    </row>
    <row r="2680" customFormat="false" ht="15" hidden="false" customHeight="false" outlineLevel="0" collapsed="false">
      <c r="A2680" s="9" t="s">
        <v>2944</v>
      </c>
      <c r="B2680" s="9" t="s">
        <v>2810</v>
      </c>
      <c r="C2680" s="9" t="s">
        <v>2811</v>
      </c>
      <c r="D2680" s="9" t="s">
        <v>2185</v>
      </c>
      <c r="E2680" s="9" t="s">
        <v>323</v>
      </c>
      <c r="F2680" s="9" t="s">
        <v>197</v>
      </c>
      <c r="G2680" s="9" t="s">
        <v>221</v>
      </c>
      <c r="H2680" s="9" t="n">
        <v>1350</v>
      </c>
      <c r="I2680" s="29" t="n">
        <v>2</v>
      </c>
      <c r="J2680" s="9" t="n">
        <v>0</v>
      </c>
      <c r="K2680" s="30"/>
      <c r="L2680" s="30"/>
      <c r="M2680" s="30"/>
      <c r="N2680" s="30"/>
      <c r="O2680" s="30"/>
      <c r="P2680" s="30"/>
      <c r="Q2680" s="30"/>
      <c r="R2680" s="30"/>
      <c r="S2680" s="30"/>
      <c r="T2680" s="30"/>
      <c r="U2680" s="21" t="str">
        <f aca="false">IF(COUNT(K2680:T2680)=0,"SOURCE EMPTY / INDUSTRIAL ONLY",IF(MIN(K2680:T2680)=1,"SERVICE READY","HOLD"))</f>
        <v>SOURCE EMPTY / INDUSTRIAL ONLY</v>
      </c>
      <c r="V2680" s="9" t="n">
        <f aca="false">IF(U2680="SERVICE READY",1,0)</f>
        <v>0</v>
      </c>
      <c r="W2680" s="6"/>
      <c r="X2680" s="6"/>
      <c r="Y2680" s="6"/>
      <c r="Z2680" s="6"/>
    </row>
    <row r="2681" customFormat="false" ht="15" hidden="false" customHeight="false" outlineLevel="0" collapsed="false">
      <c r="A2681" s="9" t="s">
        <v>2945</v>
      </c>
      <c r="B2681" s="9" t="s">
        <v>2810</v>
      </c>
      <c r="C2681" s="9" t="s">
        <v>2811</v>
      </c>
      <c r="D2681" s="9" t="s">
        <v>2185</v>
      </c>
      <c r="E2681" s="9" t="s">
        <v>323</v>
      </c>
      <c r="F2681" s="9" t="s">
        <v>200</v>
      </c>
      <c r="G2681" s="9" t="s">
        <v>221</v>
      </c>
      <c r="H2681" s="9" t="n">
        <v>1350</v>
      </c>
      <c r="I2681" s="29" t="n">
        <v>2</v>
      </c>
      <c r="J2681" s="9" t="n">
        <v>0</v>
      </c>
      <c r="K2681" s="30"/>
      <c r="L2681" s="30"/>
      <c r="M2681" s="30"/>
      <c r="N2681" s="30"/>
      <c r="O2681" s="30"/>
      <c r="P2681" s="30"/>
      <c r="Q2681" s="30"/>
      <c r="R2681" s="30"/>
      <c r="S2681" s="30"/>
      <c r="T2681" s="30"/>
      <c r="U2681" s="21" t="str">
        <f aca="false">IF(COUNT(K2681:T2681)=0,"SOURCE EMPTY / INDUSTRIAL ONLY",IF(MIN(K2681:T2681)=1,"SERVICE READY","HOLD"))</f>
        <v>SOURCE EMPTY / INDUSTRIAL ONLY</v>
      </c>
      <c r="V2681" s="9" t="n">
        <f aca="false">IF(U2681="SERVICE READY",1,0)</f>
        <v>0</v>
      </c>
      <c r="W2681" s="6"/>
      <c r="X2681" s="6"/>
      <c r="Y2681" s="6"/>
      <c r="Z2681" s="6"/>
    </row>
    <row r="2682" customFormat="false" ht="15" hidden="false" customHeight="false" outlineLevel="0" collapsed="false">
      <c r="A2682" s="9" t="s">
        <v>2946</v>
      </c>
      <c r="B2682" s="9" t="s">
        <v>2810</v>
      </c>
      <c r="C2682" s="9" t="s">
        <v>2811</v>
      </c>
      <c r="D2682" s="9" t="s">
        <v>2185</v>
      </c>
      <c r="E2682" s="9" t="s">
        <v>323</v>
      </c>
      <c r="F2682" s="9" t="s">
        <v>203</v>
      </c>
      <c r="G2682" s="9" t="s">
        <v>221</v>
      </c>
      <c r="H2682" s="9" t="n">
        <v>1350</v>
      </c>
      <c r="I2682" s="29" t="n">
        <v>2</v>
      </c>
      <c r="J2682" s="9" t="n">
        <v>0</v>
      </c>
      <c r="K2682" s="30"/>
      <c r="L2682" s="30"/>
      <c r="M2682" s="30"/>
      <c r="N2682" s="30"/>
      <c r="O2682" s="30"/>
      <c r="P2682" s="30"/>
      <c r="Q2682" s="30"/>
      <c r="R2682" s="30"/>
      <c r="S2682" s="30"/>
      <c r="T2682" s="30"/>
      <c r="U2682" s="21" t="str">
        <f aca="false">IF(COUNT(K2682:T2682)=0,"SOURCE EMPTY / INDUSTRIAL ONLY",IF(MIN(K2682:T2682)=1,"SERVICE READY","HOLD"))</f>
        <v>SOURCE EMPTY / INDUSTRIAL ONLY</v>
      </c>
      <c r="V2682" s="9" t="n">
        <f aca="false">IF(U2682="SERVICE READY",1,0)</f>
        <v>0</v>
      </c>
      <c r="W2682" s="6"/>
      <c r="X2682" s="6"/>
      <c r="Y2682" s="6"/>
      <c r="Z2682" s="6"/>
    </row>
    <row r="2683" customFormat="false" ht="15" hidden="false" customHeight="false" outlineLevel="0" collapsed="false">
      <c r="A2683" s="9" t="s">
        <v>2947</v>
      </c>
      <c r="B2683" s="9" t="s">
        <v>2810</v>
      </c>
      <c r="C2683" s="9" t="s">
        <v>2811</v>
      </c>
      <c r="D2683" s="9" t="s">
        <v>2185</v>
      </c>
      <c r="E2683" s="9" t="s">
        <v>323</v>
      </c>
      <c r="F2683" s="9" t="s">
        <v>205</v>
      </c>
      <c r="G2683" s="9" t="s">
        <v>221</v>
      </c>
      <c r="H2683" s="9" t="n">
        <v>1350</v>
      </c>
      <c r="I2683" s="29" t="n">
        <v>2</v>
      </c>
      <c r="J2683" s="9" t="n">
        <v>0</v>
      </c>
      <c r="K2683" s="30"/>
      <c r="L2683" s="30"/>
      <c r="M2683" s="30"/>
      <c r="N2683" s="30"/>
      <c r="O2683" s="30"/>
      <c r="P2683" s="30"/>
      <c r="Q2683" s="30"/>
      <c r="R2683" s="30"/>
      <c r="S2683" s="30"/>
      <c r="T2683" s="30"/>
      <c r="U2683" s="21" t="str">
        <f aca="false">IF(COUNT(K2683:T2683)=0,"SOURCE EMPTY / INDUSTRIAL ONLY",IF(MIN(K2683:T2683)=1,"SERVICE READY","HOLD"))</f>
        <v>SOURCE EMPTY / INDUSTRIAL ONLY</v>
      </c>
      <c r="V2683" s="9" t="n">
        <f aca="false">IF(U2683="SERVICE READY",1,0)</f>
        <v>0</v>
      </c>
      <c r="W2683" s="6"/>
      <c r="X2683" s="6"/>
      <c r="Y2683" s="6"/>
      <c r="Z2683" s="6"/>
    </row>
    <row r="2684" customFormat="false" ht="15" hidden="false" customHeight="false" outlineLevel="0" collapsed="false">
      <c r="A2684" s="9" t="s">
        <v>2948</v>
      </c>
      <c r="B2684" s="9" t="s">
        <v>2810</v>
      </c>
      <c r="C2684" s="9" t="s">
        <v>2811</v>
      </c>
      <c r="D2684" s="9" t="s">
        <v>2185</v>
      </c>
      <c r="E2684" s="9" t="s">
        <v>323</v>
      </c>
      <c r="F2684" s="9" t="s">
        <v>207</v>
      </c>
      <c r="G2684" s="9" t="s">
        <v>221</v>
      </c>
      <c r="H2684" s="9" t="n">
        <v>1350</v>
      </c>
      <c r="I2684" s="29" t="n">
        <v>2</v>
      </c>
      <c r="J2684" s="9" t="n">
        <v>0</v>
      </c>
      <c r="K2684" s="30"/>
      <c r="L2684" s="30"/>
      <c r="M2684" s="30"/>
      <c r="N2684" s="30"/>
      <c r="O2684" s="30"/>
      <c r="P2684" s="30"/>
      <c r="Q2684" s="30"/>
      <c r="R2684" s="30"/>
      <c r="S2684" s="30"/>
      <c r="T2684" s="30"/>
      <c r="U2684" s="21" t="str">
        <f aca="false">IF(COUNT(K2684:T2684)=0,"SOURCE EMPTY / INDUSTRIAL ONLY",IF(MIN(K2684:T2684)=1,"SERVICE READY","HOLD"))</f>
        <v>SOURCE EMPTY / INDUSTRIAL ONLY</v>
      </c>
      <c r="V2684" s="9" t="n">
        <f aca="false">IF(U2684="SERVICE READY",1,0)</f>
        <v>0</v>
      </c>
      <c r="W2684" s="6"/>
      <c r="X2684" s="6"/>
      <c r="Y2684" s="6"/>
      <c r="Z2684" s="6"/>
    </row>
    <row r="2685" customFormat="false" ht="15" hidden="false" customHeight="false" outlineLevel="0" collapsed="false">
      <c r="A2685" s="9" t="s">
        <v>2949</v>
      </c>
      <c r="B2685" s="9" t="s">
        <v>2810</v>
      </c>
      <c r="C2685" s="9" t="s">
        <v>2811</v>
      </c>
      <c r="D2685" s="9" t="s">
        <v>2185</v>
      </c>
      <c r="E2685" s="9" t="s">
        <v>323</v>
      </c>
      <c r="F2685" s="9" t="s">
        <v>209</v>
      </c>
      <c r="G2685" s="9" t="s">
        <v>221</v>
      </c>
      <c r="H2685" s="9" t="n">
        <v>1350</v>
      </c>
      <c r="I2685" s="29" t="n">
        <v>2</v>
      </c>
      <c r="J2685" s="9" t="n">
        <v>0</v>
      </c>
      <c r="K2685" s="30"/>
      <c r="L2685" s="30"/>
      <c r="M2685" s="30"/>
      <c r="N2685" s="30"/>
      <c r="O2685" s="30"/>
      <c r="P2685" s="30"/>
      <c r="Q2685" s="30"/>
      <c r="R2685" s="30"/>
      <c r="S2685" s="30"/>
      <c r="T2685" s="30"/>
      <c r="U2685" s="21" t="str">
        <f aca="false">IF(COUNT(K2685:T2685)=0,"SOURCE EMPTY / INDUSTRIAL ONLY",IF(MIN(K2685:T2685)=1,"SERVICE READY","HOLD"))</f>
        <v>SOURCE EMPTY / INDUSTRIAL ONLY</v>
      </c>
      <c r="V2685" s="9" t="n">
        <f aca="false">IF(U2685="SERVICE READY",1,0)</f>
        <v>0</v>
      </c>
      <c r="W2685" s="6"/>
      <c r="X2685" s="6"/>
      <c r="Y2685" s="6"/>
      <c r="Z2685" s="6"/>
    </row>
    <row r="2686" customFormat="false" ht="15" hidden="false" customHeight="false" outlineLevel="0" collapsed="false">
      <c r="A2686" s="9" t="s">
        <v>2950</v>
      </c>
      <c r="B2686" s="9" t="s">
        <v>2810</v>
      </c>
      <c r="C2686" s="9" t="s">
        <v>2811</v>
      </c>
      <c r="D2686" s="9" t="s">
        <v>2185</v>
      </c>
      <c r="E2686" s="9" t="s">
        <v>323</v>
      </c>
      <c r="F2686" s="9" t="s">
        <v>211</v>
      </c>
      <c r="G2686" s="9" t="s">
        <v>221</v>
      </c>
      <c r="H2686" s="9" t="n">
        <v>1350</v>
      </c>
      <c r="I2686" s="29" t="n">
        <v>2</v>
      </c>
      <c r="J2686" s="9" t="n">
        <v>0</v>
      </c>
      <c r="K2686" s="30"/>
      <c r="L2686" s="30"/>
      <c r="M2686" s="30"/>
      <c r="N2686" s="30"/>
      <c r="O2686" s="30"/>
      <c r="P2686" s="30"/>
      <c r="Q2686" s="30"/>
      <c r="R2686" s="30"/>
      <c r="S2686" s="30"/>
      <c r="T2686" s="30"/>
      <c r="U2686" s="21" t="str">
        <f aca="false">IF(COUNT(K2686:T2686)=0,"SOURCE EMPTY / INDUSTRIAL ONLY",IF(MIN(K2686:T2686)=1,"SERVICE READY","HOLD"))</f>
        <v>SOURCE EMPTY / INDUSTRIAL ONLY</v>
      </c>
      <c r="V2686" s="9" t="n">
        <f aca="false">IF(U2686="SERVICE READY",1,0)</f>
        <v>0</v>
      </c>
      <c r="W2686" s="6"/>
      <c r="X2686" s="6"/>
      <c r="Y2686" s="6"/>
      <c r="Z2686" s="6"/>
    </row>
    <row r="2687" customFormat="false" ht="15" hidden="false" customHeight="false" outlineLevel="0" collapsed="false">
      <c r="A2687" s="9" t="s">
        <v>2951</v>
      </c>
      <c r="B2687" s="9" t="s">
        <v>2810</v>
      </c>
      <c r="C2687" s="9" t="s">
        <v>2811</v>
      </c>
      <c r="D2687" s="9" t="s">
        <v>2185</v>
      </c>
      <c r="E2687" s="9" t="s">
        <v>323</v>
      </c>
      <c r="F2687" s="9" t="s">
        <v>197</v>
      </c>
      <c r="G2687" s="9" t="s">
        <v>221</v>
      </c>
      <c r="H2687" s="9" t="n">
        <v>1350</v>
      </c>
      <c r="I2687" s="29" t="n">
        <v>2</v>
      </c>
      <c r="J2687" s="9" t="n">
        <v>0</v>
      </c>
      <c r="K2687" s="30"/>
      <c r="L2687" s="30"/>
      <c r="M2687" s="30"/>
      <c r="N2687" s="30"/>
      <c r="O2687" s="30"/>
      <c r="P2687" s="30"/>
      <c r="Q2687" s="30"/>
      <c r="R2687" s="30"/>
      <c r="S2687" s="30"/>
      <c r="T2687" s="30"/>
      <c r="U2687" s="21" t="str">
        <f aca="false">IF(COUNT(K2687:T2687)=0,"SOURCE EMPTY / INDUSTRIAL ONLY",IF(MIN(K2687:T2687)=1,"SERVICE READY","HOLD"))</f>
        <v>SOURCE EMPTY / INDUSTRIAL ONLY</v>
      </c>
      <c r="V2687" s="9" t="n">
        <f aca="false">IF(U2687="SERVICE READY",1,0)</f>
        <v>0</v>
      </c>
      <c r="W2687" s="6"/>
      <c r="X2687" s="6"/>
      <c r="Y2687" s="6"/>
      <c r="Z2687" s="6"/>
    </row>
    <row r="2688" customFormat="false" ht="15" hidden="false" customHeight="false" outlineLevel="0" collapsed="false">
      <c r="A2688" s="9" t="s">
        <v>2952</v>
      </c>
      <c r="B2688" s="9" t="s">
        <v>2810</v>
      </c>
      <c r="C2688" s="9" t="s">
        <v>2811</v>
      </c>
      <c r="D2688" s="9" t="s">
        <v>2185</v>
      </c>
      <c r="E2688" s="9" t="s">
        <v>323</v>
      </c>
      <c r="F2688" s="9" t="s">
        <v>200</v>
      </c>
      <c r="G2688" s="9" t="s">
        <v>221</v>
      </c>
      <c r="H2688" s="9" t="n">
        <v>1350</v>
      </c>
      <c r="I2688" s="29" t="n">
        <v>2</v>
      </c>
      <c r="J2688" s="9" t="n">
        <v>0</v>
      </c>
      <c r="K2688" s="30"/>
      <c r="L2688" s="30"/>
      <c r="M2688" s="30"/>
      <c r="N2688" s="30"/>
      <c r="O2688" s="30"/>
      <c r="P2688" s="30"/>
      <c r="Q2688" s="30"/>
      <c r="R2688" s="30"/>
      <c r="S2688" s="30"/>
      <c r="T2688" s="30"/>
      <c r="U2688" s="21" t="str">
        <f aca="false">IF(COUNT(K2688:T2688)=0,"SOURCE EMPTY / INDUSTRIAL ONLY",IF(MIN(K2688:T2688)=1,"SERVICE READY","HOLD"))</f>
        <v>SOURCE EMPTY / INDUSTRIAL ONLY</v>
      </c>
      <c r="V2688" s="9" t="n">
        <f aca="false">IF(U2688="SERVICE READY",1,0)</f>
        <v>0</v>
      </c>
      <c r="W2688" s="6"/>
      <c r="X2688" s="6"/>
      <c r="Y2688" s="6"/>
      <c r="Z2688" s="6"/>
    </row>
    <row r="2689" customFormat="false" ht="15" hidden="false" customHeight="false" outlineLevel="0" collapsed="false">
      <c r="A2689" s="9" t="s">
        <v>2953</v>
      </c>
      <c r="B2689" s="9" t="s">
        <v>2810</v>
      </c>
      <c r="C2689" s="9" t="s">
        <v>2811</v>
      </c>
      <c r="D2689" s="9" t="s">
        <v>2185</v>
      </c>
      <c r="E2689" s="9" t="s">
        <v>323</v>
      </c>
      <c r="F2689" s="9" t="s">
        <v>203</v>
      </c>
      <c r="G2689" s="9" t="s">
        <v>221</v>
      </c>
      <c r="H2689" s="9" t="n">
        <v>1350</v>
      </c>
      <c r="I2689" s="29" t="n">
        <v>2</v>
      </c>
      <c r="J2689" s="9" t="n">
        <v>0</v>
      </c>
      <c r="K2689" s="30"/>
      <c r="L2689" s="30"/>
      <c r="M2689" s="30"/>
      <c r="N2689" s="30"/>
      <c r="O2689" s="30"/>
      <c r="P2689" s="30"/>
      <c r="Q2689" s="30"/>
      <c r="R2689" s="30"/>
      <c r="S2689" s="30"/>
      <c r="T2689" s="30"/>
      <c r="U2689" s="21" t="str">
        <f aca="false">IF(COUNT(K2689:T2689)=0,"SOURCE EMPTY / INDUSTRIAL ONLY",IF(MIN(K2689:T2689)=1,"SERVICE READY","HOLD"))</f>
        <v>SOURCE EMPTY / INDUSTRIAL ONLY</v>
      </c>
      <c r="V2689" s="9" t="n">
        <f aca="false">IF(U2689="SERVICE READY",1,0)</f>
        <v>0</v>
      </c>
      <c r="W2689" s="6"/>
      <c r="X2689" s="6"/>
      <c r="Y2689" s="6"/>
      <c r="Z2689" s="6"/>
    </row>
    <row r="2690" customFormat="false" ht="15" hidden="false" customHeight="false" outlineLevel="0" collapsed="false">
      <c r="A2690" s="9" t="s">
        <v>2954</v>
      </c>
      <c r="B2690" s="9" t="s">
        <v>2810</v>
      </c>
      <c r="C2690" s="9" t="s">
        <v>2811</v>
      </c>
      <c r="D2690" s="9" t="s">
        <v>2185</v>
      </c>
      <c r="E2690" s="9" t="s">
        <v>323</v>
      </c>
      <c r="F2690" s="9" t="s">
        <v>205</v>
      </c>
      <c r="G2690" s="9" t="s">
        <v>221</v>
      </c>
      <c r="H2690" s="9" t="n">
        <v>1350</v>
      </c>
      <c r="I2690" s="29" t="n">
        <v>2</v>
      </c>
      <c r="J2690" s="9" t="n">
        <v>0</v>
      </c>
      <c r="K2690" s="30"/>
      <c r="L2690" s="30"/>
      <c r="M2690" s="30"/>
      <c r="N2690" s="30"/>
      <c r="O2690" s="30"/>
      <c r="P2690" s="30"/>
      <c r="Q2690" s="30"/>
      <c r="R2690" s="30"/>
      <c r="S2690" s="30"/>
      <c r="T2690" s="30"/>
      <c r="U2690" s="21" t="str">
        <f aca="false">IF(COUNT(K2690:T2690)=0,"SOURCE EMPTY / INDUSTRIAL ONLY",IF(MIN(K2690:T2690)=1,"SERVICE READY","HOLD"))</f>
        <v>SOURCE EMPTY / INDUSTRIAL ONLY</v>
      </c>
      <c r="V2690" s="9" t="n">
        <f aca="false">IF(U2690="SERVICE READY",1,0)</f>
        <v>0</v>
      </c>
      <c r="W2690" s="6"/>
      <c r="X2690" s="6"/>
      <c r="Y2690" s="6"/>
      <c r="Z2690" s="6"/>
    </row>
    <row r="2691" customFormat="false" ht="15" hidden="false" customHeight="false" outlineLevel="0" collapsed="false">
      <c r="A2691" s="9" t="s">
        <v>2955</v>
      </c>
      <c r="B2691" s="9" t="s">
        <v>2810</v>
      </c>
      <c r="C2691" s="9" t="s">
        <v>2811</v>
      </c>
      <c r="D2691" s="9" t="s">
        <v>2185</v>
      </c>
      <c r="E2691" s="9" t="s">
        <v>323</v>
      </c>
      <c r="F2691" s="9" t="s">
        <v>207</v>
      </c>
      <c r="G2691" s="9" t="s">
        <v>221</v>
      </c>
      <c r="H2691" s="9" t="n">
        <v>1350</v>
      </c>
      <c r="I2691" s="29" t="n">
        <v>2</v>
      </c>
      <c r="J2691" s="9" t="n">
        <v>0</v>
      </c>
      <c r="K2691" s="30"/>
      <c r="L2691" s="30"/>
      <c r="M2691" s="30"/>
      <c r="N2691" s="30"/>
      <c r="O2691" s="30"/>
      <c r="P2691" s="30"/>
      <c r="Q2691" s="30"/>
      <c r="R2691" s="30"/>
      <c r="S2691" s="30"/>
      <c r="T2691" s="30"/>
      <c r="U2691" s="21" t="str">
        <f aca="false">IF(COUNT(K2691:T2691)=0,"SOURCE EMPTY / INDUSTRIAL ONLY",IF(MIN(K2691:T2691)=1,"SERVICE READY","HOLD"))</f>
        <v>SOURCE EMPTY / INDUSTRIAL ONLY</v>
      </c>
      <c r="V2691" s="9" t="n">
        <f aca="false">IF(U2691="SERVICE READY",1,0)</f>
        <v>0</v>
      </c>
      <c r="W2691" s="6"/>
      <c r="X2691" s="6"/>
      <c r="Y2691" s="6"/>
      <c r="Z2691" s="6"/>
    </row>
    <row r="2692" customFormat="false" ht="15" hidden="false" customHeight="false" outlineLevel="0" collapsed="false">
      <c r="A2692" s="9" t="s">
        <v>2956</v>
      </c>
      <c r="B2692" s="9" t="s">
        <v>2810</v>
      </c>
      <c r="C2692" s="9" t="s">
        <v>2811</v>
      </c>
      <c r="D2692" s="9" t="s">
        <v>2185</v>
      </c>
      <c r="E2692" s="9" t="s">
        <v>323</v>
      </c>
      <c r="F2692" s="9" t="s">
        <v>209</v>
      </c>
      <c r="G2692" s="9" t="s">
        <v>221</v>
      </c>
      <c r="H2692" s="9" t="n">
        <v>1350</v>
      </c>
      <c r="I2692" s="29" t="n">
        <v>2</v>
      </c>
      <c r="J2692" s="9" t="n">
        <v>0</v>
      </c>
      <c r="K2692" s="30"/>
      <c r="L2692" s="30"/>
      <c r="M2692" s="30"/>
      <c r="N2692" s="30"/>
      <c r="O2692" s="30"/>
      <c r="P2692" s="30"/>
      <c r="Q2692" s="30"/>
      <c r="R2692" s="30"/>
      <c r="S2692" s="30"/>
      <c r="T2692" s="30"/>
      <c r="U2692" s="21" t="str">
        <f aca="false">IF(COUNT(K2692:T2692)=0,"SOURCE EMPTY / INDUSTRIAL ONLY",IF(MIN(K2692:T2692)=1,"SERVICE READY","HOLD"))</f>
        <v>SOURCE EMPTY / INDUSTRIAL ONLY</v>
      </c>
      <c r="V2692" s="9" t="n">
        <f aca="false">IF(U2692="SERVICE READY",1,0)</f>
        <v>0</v>
      </c>
      <c r="W2692" s="6"/>
      <c r="X2692" s="6"/>
      <c r="Y2692" s="6"/>
      <c r="Z2692" s="6"/>
    </row>
    <row r="2693" customFormat="false" ht="15" hidden="false" customHeight="false" outlineLevel="0" collapsed="false">
      <c r="A2693" s="9" t="s">
        <v>2957</v>
      </c>
      <c r="B2693" s="9" t="s">
        <v>2810</v>
      </c>
      <c r="C2693" s="9" t="s">
        <v>2811</v>
      </c>
      <c r="D2693" s="9" t="s">
        <v>2185</v>
      </c>
      <c r="E2693" s="9" t="s">
        <v>323</v>
      </c>
      <c r="F2693" s="9" t="s">
        <v>211</v>
      </c>
      <c r="G2693" s="9" t="s">
        <v>221</v>
      </c>
      <c r="H2693" s="9" t="n">
        <v>1350</v>
      </c>
      <c r="I2693" s="29" t="n">
        <v>2</v>
      </c>
      <c r="J2693" s="9" t="n">
        <v>0</v>
      </c>
      <c r="K2693" s="30"/>
      <c r="L2693" s="30"/>
      <c r="M2693" s="30"/>
      <c r="N2693" s="30"/>
      <c r="O2693" s="30"/>
      <c r="P2693" s="30"/>
      <c r="Q2693" s="30"/>
      <c r="R2693" s="30"/>
      <c r="S2693" s="30"/>
      <c r="T2693" s="30"/>
      <c r="U2693" s="21" t="str">
        <f aca="false">IF(COUNT(K2693:T2693)=0,"SOURCE EMPTY / INDUSTRIAL ONLY",IF(MIN(K2693:T2693)=1,"SERVICE READY","HOLD"))</f>
        <v>SOURCE EMPTY / INDUSTRIAL ONLY</v>
      </c>
      <c r="V2693" s="9" t="n">
        <f aca="false">IF(U2693="SERVICE READY",1,0)</f>
        <v>0</v>
      </c>
      <c r="W2693" s="6"/>
      <c r="X2693" s="6"/>
      <c r="Y2693" s="6"/>
      <c r="Z2693" s="6"/>
    </row>
    <row r="2694" customFormat="false" ht="15" hidden="false" customHeight="false" outlineLevel="0" collapsed="false">
      <c r="A2694" s="9" t="s">
        <v>2958</v>
      </c>
      <c r="B2694" s="9" t="s">
        <v>2810</v>
      </c>
      <c r="C2694" s="9" t="s">
        <v>2811</v>
      </c>
      <c r="D2694" s="9" t="s">
        <v>2185</v>
      </c>
      <c r="E2694" s="9" t="s">
        <v>323</v>
      </c>
      <c r="F2694" s="9" t="s">
        <v>197</v>
      </c>
      <c r="G2694" s="9" t="s">
        <v>221</v>
      </c>
      <c r="H2694" s="9" t="n">
        <v>1350</v>
      </c>
      <c r="I2694" s="29" t="n">
        <v>2</v>
      </c>
      <c r="J2694" s="9" t="n">
        <v>0</v>
      </c>
      <c r="K2694" s="30"/>
      <c r="L2694" s="30"/>
      <c r="M2694" s="30"/>
      <c r="N2694" s="30"/>
      <c r="O2694" s="30"/>
      <c r="P2694" s="30"/>
      <c r="Q2694" s="30"/>
      <c r="R2694" s="30"/>
      <c r="S2694" s="30"/>
      <c r="T2694" s="30"/>
      <c r="U2694" s="21" t="str">
        <f aca="false">IF(COUNT(K2694:T2694)=0,"SOURCE EMPTY / INDUSTRIAL ONLY",IF(MIN(K2694:T2694)=1,"SERVICE READY","HOLD"))</f>
        <v>SOURCE EMPTY / INDUSTRIAL ONLY</v>
      </c>
      <c r="V2694" s="9" t="n">
        <f aca="false">IF(U2694="SERVICE READY",1,0)</f>
        <v>0</v>
      </c>
      <c r="W2694" s="6"/>
      <c r="X2694" s="6"/>
      <c r="Y2694" s="6"/>
      <c r="Z2694" s="6"/>
    </row>
    <row r="2695" customFormat="false" ht="15" hidden="false" customHeight="false" outlineLevel="0" collapsed="false">
      <c r="A2695" s="9" t="s">
        <v>2959</v>
      </c>
      <c r="B2695" s="9" t="s">
        <v>2810</v>
      </c>
      <c r="C2695" s="9" t="s">
        <v>2811</v>
      </c>
      <c r="D2695" s="9" t="s">
        <v>2185</v>
      </c>
      <c r="E2695" s="9" t="s">
        <v>323</v>
      </c>
      <c r="F2695" s="9" t="s">
        <v>200</v>
      </c>
      <c r="G2695" s="9" t="s">
        <v>221</v>
      </c>
      <c r="H2695" s="9" t="n">
        <v>1350</v>
      </c>
      <c r="I2695" s="29" t="n">
        <v>2</v>
      </c>
      <c r="J2695" s="9" t="n">
        <v>0</v>
      </c>
      <c r="K2695" s="30"/>
      <c r="L2695" s="30"/>
      <c r="M2695" s="30"/>
      <c r="N2695" s="30"/>
      <c r="O2695" s="30"/>
      <c r="P2695" s="30"/>
      <c r="Q2695" s="30"/>
      <c r="R2695" s="30"/>
      <c r="S2695" s="30"/>
      <c r="T2695" s="30"/>
      <c r="U2695" s="21" t="str">
        <f aca="false">IF(COUNT(K2695:T2695)=0,"SOURCE EMPTY / INDUSTRIAL ONLY",IF(MIN(K2695:T2695)=1,"SERVICE READY","HOLD"))</f>
        <v>SOURCE EMPTY / INDUSTRIAL ONLY</v>
      </c>
      <c r="V2695" s="9" t="n">
        <f aca="false">IF(U2695="SERVICE READY",1,0)</f>
        <v>0</v>
      </c>
      <c r="W2695" s="6"/>
      <c r="X2695" s="6"/>
      <c r="Y2695" s="6"/>
      <c r="Z2695" s="6"/>
    </row>
    <row r="2696" customFormat="false" ht="15" hidden="false" customHeight="false" outlineLevel="0" collapsed="false">
      <c r="A2696" s="9" t="s">
        <v>2960</v>
      </c>
      <c r="B2696" s="9" t="s">
        <v>2810</v>
      </c>
      <c r="C2696" s="9" t="s">
        <v>2811</v>
      </c>
      <c r="D2696" s="9" t="s">
        <v>2185</v>
      </c>
      <c r="E2696" s="9" t="s">
        <v>323</v>
      </c>
      <c r="F2696" s="9" t="s">
        <v>203</v>
      </c>
      <c r="G2696" s="9" t="s">
        <v>221</v>
      </c>
      <c r="H2696" s="9" t="n">
        <v>1350</v>
      </c>
      <c r="I2696" s="29" t="n">
        <v>2</v>
      </c>
      <c r="J2696" s="9" t="n">
        <v>0</v>
      </c>
      <c r="K2696" s="30"/>
      <c r="L2696" s="30"/>
      <c r="M2696" s="30"/>
      <c r="N2696" s="30"/>
      <c r="O2696" s="30"/>
      <c r="P2696" s="30"/>
      <c r="Q2696" s="30"/>
      <c r="R2696" s="30"/>
      <c r="S2696" s="30"/>
      <c r="T2696" s="30"/>
      <c r="U2696" s="21" t="str">
        <f aca="false">IF(COUNT(K2696:T2696)=0,"SOURCE EMPTY / INDUSTRIAL ONLY",IF(MIN(K2696:T2696)=1,"SERVICE READY","HOLD"))</f>
        <v>SOURCE EMPTY / INDUSTRIAL ONLY</v>
      </c>
      <c r="V2696" s="9" t="n">
        <f aca="false">IF(U2696="SERVICE READY",1,0)</f>
        <v>0</v>
      </c>
      <c r="W2696" s="6"/>
      <c r="X2696" s="6"/>
      <c r="Y2696" s="6"/>
      <c r="Z2696" s="6"/>
    </row>
    <row r="2697" customFormat="false" ht="15" hidden="false" customHeight="false" outlineLevel="0" collapsed="false">
      <c r="A2697" s="9" t="s">
        <v>2961</v>
      </c>
      <c r="B2697" s="9" t="s">
        <v>2810</v>
      </c>
      <c r="C2697" s="9" t="s">
        <v>2811</v>
      </c>
      <c r="D2697" s="9" t="s">
        <v>2185</v>
      </c>
      <c r="E2697" s="9" t="s">
        <v>323</v>
      </c>
      <c r="F2697" s="9" t="s">
        <v>205</v>
      </c>
      <c r="G2697" s="9" t="s">
        <v>221</v>
      </c>
      <c r="H2697" s="9" t="n">
        <v>1350</v>
      </c>
      <c r="I2697" s="29" t="n">
        <v>2</v>
      </c>
      <c r="J2697" s="9" t="n">
        <v>0</v>
      </c>
      <c r="K2697" s="30"/>
      <c r="L2697" s="30"/>
      <c r="M2697" s="30"/>
      <c r="N2697" s="30"/>
      <c r="O2697" s="30"/>
      <c r="P2697" s="30"/>
      <c r="Q2697" s="30"/>
      <c r="R2697" s="30"/>
      <c r="S2697" s="30"/>
      <c r="T2697" s="30"/>
      <c r="U2697" s="21" t="str">
        <f aca="false">IF(COUNT(K2697:T2697)=0,"SOURCE EMPTY / INDUSTRIAL ONLY",IF(MIN(K2697:T2697)=1,"SERVICE READY","HOLD"))</f>
        <v>SOURCE EMPTY / INDUSTRIAL ONLY</v>
      </c>
      <c r="V2697" s="9" t="n">
        <f aca="false">IF(U2697="SERVICE READY",1,0)</f>
        <v>0</v>
      </c>
      <c r="W2697" s="6"/>
      <c r="X2697" s="6"/>
      <c r="Y2697" s="6"/>
      <c r="Z2697" s="6"/>
    </row>
    <row r="2698" customFormat="false" ht="15" hidden="false" customHeight="false" outlineLevel="0" collapsed="false">
      <c r="A2698" s="9" t="s">
        <v>2962</v>
      </c>
      <c r="B2698" s="9" t="s">
        <v>2810</v>
      </c>
      <c r="C2698" s="9" t="s">
        <v>2811</v>
      </c>
      <c r="D2698" s="9" t="s">
        <v>2185</v>
      </c>
      <c r="E2698" s="9" t="s">
        <v>323</v>
      </c>
      <c r="F2698" s="9" t="s">
        <v>207</v>
      </c>
      <c r="G2698" s="9" t="s">
        <v>221</v>
      </c>
      <c r="H2698" s="9" t="n">
        <v>1350</v>
      </c>
      <c r="I2698" s="29" t="n">
        <v>2</v>
      </c>
      <c r="J2698" s="9" t="n">
        <v>0</v>
      </c>
      <c r="K2698" s="30"/>
      <c r="L2698" s="30"/>
      <c r="M2698" s="30"/>
      <c r="N2698" s="30"/>
      <c r="O2698" s="30"/>
      <c r="P2698" s="30"/>
      <c r="Q2698" s="30"/>
      <c r="R2698" s="30"/>
      <c r="S2698" s="30"/>
      <c r="T2698" s="30"/>
      <c r="U2698" s="21" t="str">
        <f aca="false">IF(COUNT(K2698:T2698)=0,"SOURCE EMPTY / INDUSTRIAL ONLY",IF(MIN(K2698:T2698)=1,"SERVICE READY","HOLD"))</f>
        <v>SOURCE EMPTY / INDUSTRIAL ONLY</v>
      </c>
      <c r="V2698" s="9" t="n">
        <f aca="false">IF(U2698="SERVICE READY",1,0)</f>
        <v>0</v>
      </c>
      <c r="W2698" s="6"/>
      <c r="X2698" s="6"/>
      <c r="Y2698" s="6"/>
      <c r="Z2698" s="6"/>
    </row>
    <row r="2699" customFormat="false" ht="15" hidden="false" customHeight="false" outlineLevel="0" collapsed="false">
      <c r="A2699" s="9" t="s">
        <v>2963</v>
      </c>
      <c r="B2699" s="9" t="s">
        <v>2810</v>
      </c>
      <c r="C2699" s="9" t="s">
        <v>2811</v>
      </c>
      <c r="D2699" s="9" t="s">
        <v>2185</v>
      </c>
      <c r="E2699" s="9" t="s">
        <v>323</v>
      </c>
      <c r="F2699" s="9" t="s">
        <v>209</v>
      </c>
      <c r="G2699" s="9" t="s">
        <v>221</v>
      </c>
      <c r="H2699" s="9" t="n">
        <v>1350</v>
      </c>
      <c r="I2699" s="29" t="n">
        <v>2</v>
      </c>
      <c r="J2699" s="9" t="n">
        <v>0</v>
      </c>
      <c r="K2699" s="30"/>
      <c r="L2699" s="30"/>
      <c r="M2699" s="30"/>
      <c r="N2699" s="30"/>
      <c r="O2699" s="30"/>
      <c r="P2699" s="30"/>
      <c r="Q2699" s="30"/>
      <c r="R2699" s="30"/>
      <c r="S2699" s="30"/>
      <c r="T2699" s="30"/>
      <c r="U2699" s="21" t="str">
        <f aca="false">IF(COUNT(K2699:T2699)=0,"SOURCE EMPTY / INDUSTRIAL ONLY",IF(MIN(K2699:T2699)=1,"SERVICE READY","HOLD"))</f>
        <v>SOURCE EMPTY / INDUSTRIAL ONLY</v>
      </c>
      <c r="V2699" s="9" t="n">
        <f aca="false">IF(U2699="SERVICE READY",1,0)</f>
        <v>0</v>
      </c>
      <c r="W2699" s="6"/>
      <c r="X2699" s="6"/>
      <c r="Y2699" s="6"/>
      <c r="Z2699" s="6"/>
    </row>
    <row r="2700" customFormat="false" ht="15" hidden="false" customHeight="false" outlineLevel="0" collapsed="false">
      <c r="A2700" s="9" t="s">
        <v>2964</v>
      </c>
      <c r="B2700" s="9" t="s">
        <v>2810</v>
      </c>
      <c r="C2700" s="9" t="s">
        <v>2811</v>
      </c>
      <c r="D2700" s="9" t="s">
        <v>2185</v>
      </c>
      <c r="E2700" s="9" t="s">
        <v>323</v>
      </c>
      <c r="F2700" s="9" t="s">
        <v>211</v>
      </c>
      <c r="G2700" s="9" t="s">
        <v>221</v>
      </c>
      <c r="H2700" s="9" t="n">
        <v>1350</v>
      </c>
      <c r="I2700" s="29" t="n">
        <v>2</v>
      </c>
      <c r="J2700" s="9" t="n">
        <v>0</v>
      </c>
      <c r="K2700" s="30"/>
      <c r="L2700" s="30"/>
      <c r="M2700" s="30"/>
      <c r="N2700" s="30"/>
      <c r="O2700" s="30"/>
      <c r="P2700" s="30"/>
      <c r="Q2700" s="30"/>
      <c r="R2700" s="30"/>
      <c r="S2700" s="30"/>
      <c r="T2700" s="30"/>
      <c r="U2700" s="21" t="str">
        <f aca="false">IF(COUNT(K2700:T2700)=0,"SOURCE EMPTY / INDUSTRIAL ONLY",IF(MIN(K2700:T2700)=1,"SERVICE READY","HOLD"))</f>
        <v>SOURCE EMPTY / INDUSTRIAL ONLY</v>
      </c>
      <c r="V2700" s="9" t="n">
        <f aca="false">IF(U2700="SERVICE READY",1,0)</f>
        <v>0</v>
      </c>
      <c r="W2700" s="6"/>
      <c r="X2700" s="6"/>
      <c r="Y2700" s="6"/>
      <c r="Z2700" s="6"/>
    </row>
    <row r="2701" customFormat="false" ht="15" hidden="false" customHeight="false" outlineLevel="0" collapsed="false">
      <c r="A2701" s="9" t="s">
        <v>2965</v>
      </c>
      <c r="B2701" s="9" t="s">
        <v>2810</v>
      </c>
      <c r="C2701" s="9" t="s">
        <v>2811</v>
      </c>
      <c r="D2701" s="9" t="s">
        <v>2185</v>
      </c>
      <c r="E2701" s="9" t="s">
        <v>323</v>
      </c>
      <c r="F2701" s="9" t="s">
        <v>197</v>
      </c>
      <c r="G2701" s="9" t="s">
        <v>221</v>
      </c>
      <c r="H2701" s="9" t="n">
        <v>1350</v>
      </c>
      <c r="I2701" s="29" t="n">
        <v>2</v>
      </c>
      <c r="J2701" s="9" t="n">
        <v>0</v>
      </c>
      <c r="K2701" s="30"/>
      <c r="L2701" s="30"/>
      <c r="M2701" s="30"/>
      <c r="N2701" s="30"/>
      <c r="O2701" s="30"/>
      <c r="P2701" s="30"/>
      <c r="Q2701" s="30"/>
      <c r="R2701" s="30"/>
      <c r="S2701" s="30"/>
      <c r="T2701" s="30"/>
      <c r="U2701" s="21" t="str">
        <f aca="false">IF(COUNT(K2701:T2701)=0,"SOURCE EMPTY / INDUSTRIAL ONLY",IF(MIN(K2701:T2701)=1,"SERVICE READY","HOLD"))</f>
        <v>SOURCE EMPTY / INDUSTRIAL ONLY</v>
      </c>
      <c r="V2701" s="9" t="n">
        <f aca="false">IF(U2701="SERVICE READY",1,0)</f>
        <v>0</v>
      </c>
      <c r="W2701" s="6"/>
      <c r="X2701" s="6"/>
      <c r="Y2701" s="6"/>
      <c r="Z2701" s="6"/>
    </row>
    <row r="2702" customFormat="false" ht="15" hidden="false" customHeight="false" outlineLevel="0" collapsed="false">
      <c r="A2702" s="9" t="s">
        <v>2966</v>
      </c>
      <c r="B2702" s="9" t="s">
        <v>2810</v>
      </c>
      <c r="C2702" s="9" t="s">
        <v>2811</v>
      </c>
      <c r="D2702" s="9" t="s">
        <v>2185</v>
      </c>
      <c r="E2702" s="9" t="s">
        <v>323</v>
      </c>
      <c r="F2702" s="9" t="s">
        <v>200</v>
      </c>
      <c r="G2702" s="9" t="s">
        <v>221</v>
      </c>
      <c r="H2702" s="9" t="n">
        <v>1350</v>
      </c>
      <c r="I2702" s="29" t="n">
        <v>2</v>
      </c>
      <c r="J2702" s="9" t="n">
        <v>0</v>
      </c>
      <c r="K2702" s="30"/>
      <c r="L2702" s="30"/>
      <c r="M2702" s="30"/>
      <c r="N2702" s="30"/>
      <c r="O2702" s="30"/>
      <c r="P2702" s="30"/>
      <c r="Q2702" s="30"/>
      <c r="R2702" s="30"/>
      <c r="S2702" s="30"/>
      <c r="T2702" s="30"/>
      <c r="U2702" s="21" t="str">
        <f aca="false">IF(COUNT(K2702:T2702)=0,"SOURCE EMPTY / INDUSTRIAL ONLY",IF(MIN(K2702:T2702)=1,"SERVICE READY","HOLD"))</f>
        <v>SOURCE EMPTY / INDUSTRIAL ONLY</v>
      </c>
      <c r="V2702" s="9" t="n">
        <f aca="false">IF(U2702="SERVICE READY",1,0)</f>
        <v>0</v>
      </c>
      <c r="W2702" s="6"/>
      <c r="X2702" s="6"/>
      <c r="Y2702" s="6"/>
      <c r="Z2702" s="6"/>
    </row>
    <row r="2703" customFormat="false" ht="15" hidden="false" customHeight="false" outlineLevel="0" collapsed="false">
      <c r="A2703" s="9" t="s">
        <v>2967</v>
      </c>
      <c r="B2703" s="9" t="s">
        <v>2810</v>
      </c>
      <c r="C2703" s="9" t="s">
        <v>2811</v>
      </c>
      <c r="D2703" s="9" t="s">
        <v>2185</v>
      </c>
      <c r="E2703" s="9" t="s">
        <v>323</v>
      </c>
      <c r="F2703" s="9" t="s">
        <v>203</v>
      </c>
      <c r="G2703" s="9" t="s">
        <v>221</v>
      </c>
      <c r="H2703" s="9" t="n">
        <v>1350</v>
      </c>
      <c r="I2703" s="29" t="n">
        <v>2</v>
      </c>
      <c r="J2703" s="9" t="n">
        <v>0</v>
      </c>
      <c r="K2703" s="30"/>
      <c r="L2703" s="30"/>
      <c r="M2703" s="30"/>
      <c r="N2703" s="30"/>
      <c r="O2703" s="30"/>
      <c r="P2703" s="30"/>
      <c r="Q2703" s="30"/>
      <c r="R2703" s="30"/>
      <c r="S2703" s="30"/>
      <c r="T2703" s="30"/>
      <c r="U2703" s="21" t="str">
        <f aca="false">IF(COUNT(K2703:T2703)=0,"SOURCE EMPTY / INDUSTRIAL ONLY",IF(MIN(K2703:T2703)=1,"SERVICE READY","HOLD"))</f>
        <v>SOURCE EMPTY / INDUSTRIAL ONLY</v>
      </c>
      <c r="V2703" s="9" t="n">
        <f aca="false">IF(U2703="SERVICE READY",1,0)</f>
        <v>0</v>
      </c>
      <c r="W2703" s="6"/>
      <c r="X2703" s="6"/>
      <c r="Y2703" s="6"/>
      <c r="Z2703" s="6"/>
    </row>
    <row r="2704" customFormat="false" ht="15" hidden="false" customHeight="false" outlineLevel="0" collapsed="false">
      <c r="A2704" s="9" t="s">
        <v>2968</v>
      </c>
      <c r="B2704" s="9" t="s">
        <v>2969</v>
      </c>
      <c r="C2704" s="9" t="s">
        <v>2970</v>
      </c>
      <c r="D2704" s="9" t="s">
        <v>2971</v>
      </c>
      <c r="E2704" s="9" t="s">
        <v>1660</v>
      </c>
      <c r="F2704" s="9" t="s">
        <v>197</v>
      </c>
      <c r="G2704" s="9" t="s">
        <v>198</v>
      </c>
      <c r="H2704" s="9" t="n">
        <v>1700</v>
      </c>
      <c r="I2704" s="29" t="n">
        <v>1.2</v>
      </c>
      <c r="J2704" s="9" t="n">
        <v>1</v>
      </c>
      <c r="K2704" s="30"/>
      <c r="L2704" s="30"/>
      <c r="M2704" s="30"/>
      <c r="N2704" s="30"/>
      <c r="O2704" s="30"/>
      <c r="P2704" s="30"/>
      <c r="Q2704" s="30"/>
      <c r="R2704" s="30"/>
      <c r="S2704" s="30"/>
      <c r="T2704" s="30"/>
      <c r="U2704" s="21" t="str">
        <f aca="false">IF(COUNT(K2704:T2704)=0,"SOURCE EMPTY / INDUSTRIAL ONLY",IF(MIN(K2704:T2704)=1,"SERVICE READY","HOLD"))</f>
        <v>SOURCE EMPTY / INDUSTRIAL ONLY</v>
      </c>
      <c r="V2704" s="9" t="n">
        <f aca="false">IF(U2704="SERVICE READY",1,0)</f>
        <v>0</v>
      </c>
      <c r="W2704" s="6"/>
      <c r="X2704" s="6"/>
      <c r="Y2704" s="6"/>
      <c r="Z2704" s="6"/>
    </row>
    <row r="2705" customFormat="false" ht="15" hidden="false" customHeight="false" outlineLevel="0" collapsed="false">
      <c r="A2705" s="9" t="s">
        <v>2972</v>
      </c>
      <c r="B2705" s="9" t="s">
        <v>2969</v>
      </c>
      <c r="C2705" s="9" t="s">
        <v>2970</v>
      </c>
      <c r="D2705" s="9" t="s">
        <v>2971</v>
      </c>
      <c r="E2705" s="9" t="s">
        <v>1660</v>
      </c>
      <c r="F2705" s="9" t="s">
        <v>200</v>
      </c>
      <c r="G2705" s="9" t="s">
        <v>201</v>
      </c>
      <c r="H2705" s="9" t="n">
        <v>1700</v>
      </c>
      <c r="I2705" s="29" t="n">
        <v>1.2</v>
      </c>
      <c r="J2705" s="9" t="n">
        <v>1</v>
      </c>
      <c r="K2705" s="30"/>
      <c r="L2705" s="30"/>
      <c r="M2705" s="30"/>
      <c r="N2705" s="30"/>
      <c r="O2705" s="30"/>
      <c r="P2705" s="30"/>
      <c r="Q2705" s="30"/>
      <c r="R2705" s="30"/>
      <c r="S2705" s="30"/>
      <c r="T2705" s="30"/>
      <c r="U2705" s="21" t="str">
        <f aca="false">IF(COUNT(K2705:T2705)=0,"SOURCE EMPTY / INDUSTRIAL ONLY",IF(MIN(K2705:T2705)=1,"SERVICE READY","HOLD"))</f>
        <v>SOURCE EMPTY / INDUSTRIAL ONLY</v>
      </c>
      <c r="V2705" s="9" t="n">
        <f aca="false">IF(U2705="SERVICE READY",1,0)</f>
        <v>0</v>
      </c>
      <c r="W2705" s="6"/>
      <c r="X2705" s="6"/>
      <c r="Y2705" s="6"/>
      <c r="Z2705" s="6"/>
    </row>
    <row r="2706" customFormat="false" ht="15" hidden="false" customHeight="false" outlineLevel="0" collapsed="false">
      <c r="A2706" s="9" t="s">
        <v>2973</v>
      </c>
      <c r="B2706" s="9" t="s">
        <v>2969</v>
      </c>
      <c r="C2706" s="9" t="s">
        <v>2970</v>
      </c>
      <c r="D2706" s="9" t="s">
        <v>2971</v>
      </c>
      <c r="E2706" s="9" t="s">
        <v>1660</v>
      </c>
      <c r="F2706" s="9" t="s">
        <v>203</v>
      </c>
      <c r="G2706" s="9" t="s">
        <v>198</v>
      </c>
      <c r="H2706" s="9" t="n">
        <v>1700</v>
      </c>
      <c r="I2706" s="29" t="n">
        <v>1.2</v>
      </c>
      <c r="J2706" s="9" t="n">
        <v>1</v>
      </c>
      <c r="K2706" s="30"/>
      <c r="L2706" s="30"/>
      <c r="M2706" s="30"/>
      <c r="N2706" s="30"/>
      <c r="O2706" s="30"/>
      <c r="P2706" s="30"/>
      <c r="Q2706" s="30"/>
      <c r="R2706" s="30"/>
      <c r="S2706" s="30"/>
      <c r="T2706" s="30"/>
      <c r="U2706" s="21" t="str">
        <f aca="false">IF(COUNT(K2706:T2706)=0,"SOURCE EMPTY / INDUSTRIAL ONLY",IF(MIN(K2706:T2706)=1,"SERVICE READY","HOLD"))</f>
        <v>SOURCE EMPTY / INDUSTRIAL ONLY</v>
      </c>
      <c r="V2706" s="9" t="n">
        <f aca="false">IF(U2706="SERVICE READY",1,0)</f>
        <v>0</v>
      </c>
      <c r="W2706" s="6"/>
      <c r="X2706" s="6"/>
      <c r="Y2706" s="6"/>
      <c r="Z2706" s="6"/>
    </row>
    <row r="2707" customFormat="false" ht="15" hidden="false" customHeight="false" outlineLevel="0" collapsed="false">
      <c r="A2707" s="9" t="s">
        <v>2974</v>
      </c>
      <c r="B2707" s="9" t="s">
        <v>2969</v>
      </c>
      <c r="C2707" s="9" t="s">
        <v>2970</v>
      </c>
      <c r="D2707" s="9" t="s">
        <v>2971</v>
      </c>
      <c r="E2707" s="9" t="s">
        <v>1660</v>
      </c>
      <c r="F2707" s="9" t="s">
        <v>205</v>
      </c>
      <c r="G2707" s="9" t="s">
        <v>201</v>
      </c>
      <c r="H2707" s="9" t="n">
        <v>1700</v>
      </c>
      <c r="I2707" s="29" t="n">
        <v>1.2</v>
      </c>
      <c r="J2707" s="9" t="n">
        <v>1</v>
      </c>
      <c r="K2707" s="30"/>
      <c r="L2707" s="30"/>
      <c r="M2707" s="30"/>
      <c r="N2707" s="30"/>
      <c r="O2707" s="30"/>
      <c r="P2707" s="30"/>
      <c r="Q2707" s="30"/>
      <c r="R2707" s="30"/>
      <c r="S2707" s="30"/>
      <c r="T2707" s="30"/>
      <c r="U2707" s="21" t="str">
        <f aca="false">IF(COUNT(K2707:T2707)=0,"SOURCE EMPTY / INDUSTRIAL ONLY",IF(MIN(K2707:T2707)=1,"SERVICE READY","HOLD"))</f>
        <v>SOURCE EMPTY / INDUSTRIAL ONLY</v>
      </c>
      <c r="V2707" s="9" t="n">
        <f aca="false">IF(U2707="SERVICE READY",1,0)</f>
        <v>0</v>
      </c>
      <c r="W2707" s="6"/>
      <c r="X2707" s="6"/>
      <c r="Y2707" s="6"/>
      <c r="Z2707" s="6"/>
    </row>
    <row r="2708" customFormat="false" ht="15" hidden="false" customHeight="false" outlineLevel="0" collapsed="false">
      <c r="A2708" s="9" t="s">
        <v>2975</v>
      </c>
      <c r="B2708" s="9" t="s">
        <v>2969</v>
      </c>
      <c r="C2708" s="9" t="s">
        <v>2970</v>
      </c>
      <c r="D2708" s="9" t="s">
        <v>2971</v>
      </c>
      <c r="E2708" s="9" t="s">
        <v>1660</v>
      </c>
      <c r="F2708" s="9" t="s">
        <v>207</v>
      </c>
      <c r="G2708" s="9" t="s">
        <v>198</v>
      </c>
      <c r="H2708" s="9" t="n">
        <v>1700</v>
      </c>
      <c r="I2708" s="29" t="n">
        <v>1.2</v>
      </c>
      <c r="J2708" s="9" t="n">
        <v>1</v>
      </c>
      <c r="K2708" s="30"/>
      <c r="L2708" s="30"/>
      <c r="M2708" s="30"/>
      <c r="N2708" s="30"/>
      <c r="O2708" s="30"/>
      <c r="P2708" s="30"/>
      <c r="Q2708" s="30"/>
      <c r="R2708" s="30"/>
      <c r="S2708" s="30"/>
      <c r="T2708" s="30"/>
      <c r="U2708" s="21" t="str">
        <f aca="false">IF(COUNT(K2708:T2708)=0,"SOURCE EMPTY / INDUSTRIAL ONLY",IF(MIN(K2708:T2708)=1,"SERVICE READY","HOLD"))</f>
        <v>SOURCE EMPTY / INDUSTRIAL ONLY</v>
      </c>
      <c r="V2708" s="9" t="n">
        <f aca="false">IF(U2708="SERVICE READY",1,0)</f>
        <v>0</v>
      </c>
      <c r="W2708" s="6"/>
      <c r="X2708" s="6"/>
      <c r="Y2708" s="6"/>
      <c r="Z2708" s="6"/>
    </row>
    <row r="2709" customFormat="false" ht="15" hidden="false" customHeight="false" outlineLevel="0" collapsed="false">
      <c r="A2709" s="9" t="s">
        <v>2976</v>
      </c>
      <c r="B2709" s="9" t="s">
        <v>2969</v>
      </c>
      <c r="C2709" s="9" t="s">
        <v>2970</v>
      </c>
      <c r="D2709" s="9" t="s">
        <v>2971</v>
      </c>
      <c r="E2709" s="9" t="s">
        <v>1660</v>
      </c>
      <c r="F2709" s="9" t="s">
        <v>209</v>
      </c>
      <c r="G2709" s="9" t="s">
        <v>201</v>
      </c>
      <c r="H2709" s="9" t="n">
        <v>1700</v>
      </c>
      <c r="I2709" s="29" t="n">
        <v>1.2</v>
      </c>
      <c r="J2709" s="9" t="n">
        <v>1</v>
      </c>
      <c r="K2709" s="30"/>
      <c r="L2709" s="30"/>
      <c r="M2709" s="30"/>
      <c r="N2709" s="30"/>
      <c r="O2709" s="30"/>
      <c r="P2709" s="30"/>
      <c r="Q2709" s="30"/>
      <c r="R2709" s="30"/>
      <c r="S2709" s="30"/>
      <c r="T2709" s="30"/>
      <c r="U2709" s="21" t="str">
        <f aca="false">IF(COUNT(K2709:T2709)=0,"SOURCE EMPTY / INDUSTRIAL ONLY",IF(MIN(K2709:T2709)=1,"SERVICE READY","HOLD"))</f>
        <v>SOURCE EMPTY / INDUSTRIAL ONLY</v>
      </c>
      <c r="V2709" s="9" t="n">
        <f aca="false">IF(U2709="SERVICE READY",1,0)</f>
        <v>0</v>
      </c>
      <c r="W2709" s="6"/>
      <c r="X2709" s="6"/>
      <c r="Y2709" s="6"/>
      <c r="Z2709" s="6"/>
    </row>
    <row r="2710" customFormat="false" ht="15" hidden="false" customHeight="false" outlineLevel="0" collapsed="false">
      <c r="A2710" s="9" t="s">
        <v>2977</v>
      </c>
      <c r="B2710" s="9" t="s">
        <v>2969</v>
      </c>
      <c r="C2710" s="9" t="s">
        <v>2970</v>
      </c>
      <c r="D2710" s="9" t="s">
        <v>2971</v>
      </c>
      <c r="E2710" s="9" t="s">
        <v>1660</v>
      </c>
      <c r="F2710" s="9" t="s">
        <v>211</v>
      </c>
      <c r="G2710" s="9" t="s">
        <v>198</v>
      </c>
      <c r="H2710" s="9" t="n">
        <v>1700</v>
      </c>
      <c r="I2710" s="29" t="n">
        <v>1.2</v>
      </c>
      <c r="J2710" s="9" t="n">
        <v>1</v>
      </c>
      <c r="K2710" s="30"/>
      <c r="L2710" s="30"/>
      <c r="M2710" s="30"/>
      <c r="N2710" s="30"/>
      <c r="O2710" s="30"/>
      <c r="P2710" s="30"/>
      <c r="Q2710" s="30"/>
      <c r="R2710" s="30"/>
      <c r="S2710" s="30"/>
      <c r="T2710" s="30"/>
      <c r="U2710" s="21" t="str">
        <f aca="false">IF(COUNT(K2710:T2710)=0,"SOURCE EMPTY / INDUSTRIAL ONLY",IF(MIN(K2710:T2710)=1,"SERVICE READY","HOLD"))</f>
        <v>SOURCE EMPTY / INDUSTRIAL ONLY</v>
      </c>
      <c r="V2710" s="9" t="n">
        <f aca="false">IF(U2710="SERVICE READY",1,0)</f>
        <v>0</v>
      </c>
      <c r="W2710" s="6"/>
      <c r="X2710" s="6"/>
      <c r="Y2710" s="6"/>
      <c r="Z2710" s="6"/>
    </row>
    <row r="2711" customFormat="false" ht="15" hidden="false" customHeight="false" outlineLevel="0" collapsed="false">
      <c r="A2711" s="9" t="s">
        <v>2978</v>
      </c>
      <c r="B2711" s="9" t="s">
        <v>2969</v>
      </c>
      <c r="C2711" s="9" t="s">
        <v>2970</v>
      </c>
      <c r="D2711" s="9" t="s">
        <v>2971</v>
      </c>
      <c r="E2711" s="9" t="s">
        <v>1660</v>
      </c>
      <c r="F2711" s="9" t="s">
        <v>197</v>
      </c>
      <c r="G2711" s="9" t="s">
        <v>201</v>
      </c>
      <c r="H2711" s="9" t="n">
        <v>1700</v>
      </c>
      <c r="I2711" s="29" t="n">
        <v>1.2</v>
      </c>
      <c r="J2711" s="9" t="n">
        <v>1</v>
      </c>
      <c r="K2711" s="30"/>
      <c r="L2711" s="30"/>
      <c r="M2711" s="30"/>
      <c r="N2711" s="30"/>
      <c r="O2711" s="30"/>
      <c r="P2711" s="30"/>
      <c r="Q2711" s="30"/>
      <c r="R2711" s="30"/>
      <c r="S2711" s="30"/>
      <c r="T2711" s="30"/>
      <c r="U2711" s="21" t="str">
        <f aca="false">IF(COUNT(K2711:T2711)=0,"SOURCE EMPTY / INDUSTRIAL ONLY",IF(MIN(K2711:T2711)=1,"SERVICE READY","HOLD"))</f>
        <v>SOURCE EMPTY / INDUSTRIAL ONLY</v>
      </c>
      <c r="V2711" s="9" t="n">
        <f aca="false">IF(U2711="SERVICE READY",1,0)</f>
        <v>0</v>
      </c>
      <c r="W2711" s="6"/>
      <c r="X2711" s="6"/>
      <c r="Y2711" s="6"/>
      <c r="Z2711" s="6"/>
    </row>
    <row r="2712" customFormat="false" ht="15" hidden="false" customHeight="false" outlineLevel="0" collapsed="false">
      <c r="A2712" s="9" t="s">
        <v>2979</v>
      </c>
      <c r="B2712" s="9" t="s">
        <v>2969</v>
      </c>
      <c r="C2712" s="9" t="s">
        <v>2970</v>
      </c>
      <c r="D2712" s="9" t="s">
        <v>2971</v>
      </c>
      <c r="E2712" s="9" t="s">
        <v>1660</v>
      </c>
      <c r="F2712" s="9" t="s">
        <v>200</v>
      </c>
      <c r="G2712" s="9" t="s">
        <v>198</v>
      </c>
      <c r="H2712" s="9" t="n">
        <v>1700</v>
      </c>
      <c r="I2712" s="29" t="n">
        <v>1.2</v>
      </c>
      <c r="J2712" s="9" t="n">
        <v>1</v>
      </c>
      <c r="K2712" s="30"/>
      <c r="L2712" s="30"/>
      <c r="M2712" s="30"/>
      <c r="N2712" s="30"/>
      <c r="O2712" s="30"/>
      <c r="P2712" s="30"/>
      <c r="Q2712" s="30"/>
      <c r="R2712" s="30"/>
      <c r="S2712" s="30"/>
      <c r="T2712" s="30"/>
      <c r="U2712" s="21" t="str">
        <f aca="false">IF(COUNT(K2712:T2712)=0,"SOURCE EMPTY / INDUSTRIAL ONLY",IF(MIN(K2712:T2712)=1,"SERVICE READY","HOLD"))</f>
        <v>SOURCE EMPTY / INDUSTRIAL ONLY</v>
      </c>
      <c r="V2712" s="9" t="n">
        <f aca="false">IF(U2712="SERVICE READY",1,0)</f>
        <v>0</v>
      </c>
      <c r="W2712" s="6"/>
      <c r="X2712" s="6"/>
      <c r="Y2712" s="6"/>
      <c r="Z2712" s="6"/>
    </row>
    <row r="2713" customFormat="false" ht="15" hidden="false" customHeight="false" outlineLevel="0" collapsed="false">
      <c r="A2713" s="9" t="s">
        <v>2980</v>
      </c>
      <c r="B2713" s="9" t="s">
        <v>2969</v>
      </c>
      <c r="C2713" s="9" t="s">
        <v>2970</v>
      </c>
      <c r="D2713" s="9" t="s">
        <v>2971</v>
      </c>
      <c r="E2713" s="9" t="s">
        <v>1660</v>
      </c>
      <c r="F2713" s="9" t="s">
        <v>203</v>
      </c>
      <c r="G2713" s="9" t="s">
        <v>201</v>
      </c>
      <c r="H2713" s="9" t="n">
        <v>1700</v>
      </c>
      <c r="I2713" s="29" t="n">
        <v>1.2</v>
      </c>
      <c r="J2713" s="9" t="n">
        <v>1</v>
      </c>
      <c r="K2713" s="30"/>
      <c r="L2713" s="30"/>
      <c r="M2713" s="30"/>
      <c r="N2713" s="30"/>
      <c r="O2713" s="30"/>
      <c r="P2713" s="30"/>
      <c r="Q2713" s="30"/>
      <c r="R2713" s="30"/>
      <c r="S2713" s="30"/>
      <c r="T2713" s="30"/>
      <c r="U2713" s="21" t="str">
        <f aca="false">IF(COUNT(K2713:T2713)=0,"SOURCE EMPTY / INDUSTRIAL ONLY",IF(MIN(K2713:T2713)=1,"SERVICE READY","HOLD"))</f>
        <v>SOURCE EMPTY / INDUSTRIAL ONLY</v>
      </c>
      <c r="V2713" s="9" t="n">
        <f aca="false">IF(U2713="SERVICE READY",1,0)</f>
        <v>0</v>
      </c>
      <c r="W2713" s="6"/>
      <c r="X2713" s="6"/>
      <c r="Y2713" s="6"/>
      <c r="Z2713" s="6"/>
    </row>
    <row r="2714" customFormat="false" ht="15" hidden="false" customHeight="false" outlineLevel="0" collapsed="false">
      <c r="A2714" s="9" t="s">
        <v>2981</v>
      </c>
      <c r="B2714" s="9" t="s">
        <v>2969</v>
      </c>
      <c r="C2714" s="9" t="s">
        <v>2970</v>
      </c>
      <c r="D2714" s="9" t="s">
        <v>2971</v>
      </c>
      <c r="E2714" s="9" t="s">
        <v>1660</v>
      </c>
      <c r="F2714" s="9" t="s">
        <v>205</v>
      </c>
      <c r="G2714" s="9" t="s">
        <v>198</v>
      </c>
      <c r="H2714" s="9" t="n">
        <v>1700</v>
      </c>
      <c r="I2714" s="29" t="n">
        <v>1.2</v>
      </c>
      <c r="J2714" s="9" t="n">
        <v>1</v>
      </c>
      <c r="K2714" s="30"/>
      <c r="L2714" s="30"/>
      <c r="M2714" s="30"/>
      <c r="N2714" s="30"/>
      <c r="O2714" s="30"/>
      <c r="P2714" s="30"/>
      <c r="Q2714" s="30"/>
      <c r="R2714" s="30"/>
      <c r="S2714" s="30"/>
      <c r="T2714" s="30"/>
      <c r="U2714" s="21" t="str">
        <f aca="false">IF(COUNT(K2714:T2714)=0,"SOURCE EMPTY / INDUSTRIAL ONLY",IF(MIN(K2714:T2714)=1,"SERVICE READY","HOLD"))</f>
        <v>SOURCE EMPTY / INDUSTRIAL ONLY</v>
      </c>
      <c r="V2714" s="9" t="n">
        <f aca="false">IF(U2714="SERVICE READY",1,0)</f>
        <v>0</v>
      </c>
      <c r="W2714" s="6"/>
      <c r="X2714" s="6"/>
      <c r="Y2714" s="6"/>
      <c r="Z2714" s="6"/>
    </row>
    <row r="2715" customFormat="false" ht="15" hidden="false" customHeight="false" outlineLevel="0" collapsed="false">
      <c r="A2715" s="9" t="s">
        <v>2982</v>
      </c>
      <c r="B2715" s="9" t="s">
        <v>2969</v>
      </c>
      <c r="C2715" s="9" t="s">
        <v>2970</v>
      </c>
      <c r="D2715" s="9" t="s">
        <v>2971</v>
      </c>
      <c r="E2715" s="9" t="s">
        <v>1660</v>
      </c>
      <c r="F2715" s="9" t="s">
        <v>207</v>
      </c>
      <c r="G2715" s="9" t="s">
        <v>201</v>
      </c>
      <c r="H2715" s="9" t="n">
        <v>1700</v>
      </c>
      <c r="I2715" s="29" t="n">
        <v>1.2</v>
      </c>
      <c r="J2715" s="9" t="n">
        <v>1</v>
      </c>
      <c r="K2715" s="30"/>
      <c r="L2715" s="30"/>
      <c r="M2715" s="30"/>
      <c r="N2715" s="30"/>
      <c r="O2715" s="30"/>
      <c r="P2715" s="30"/>
      <c r="Q2715" s="30"/>
      <c r="R2715" s="30"/>
      <c r="S2715" s="30"/>
      <c r="T2715" s="30"/>
      <c r="U2715" s="21" t="str">
        <f aca="false">IF(COUNT(K2715:T2715)=0,"SOURCE EMPTY / INDUSTRIAL ONLY",IF(MIN(K2715:T2715)=1,"SERVICE READY","HOLD"))</f>
        <v>SOURCE EMPTY / INDUSTRIAL ONLY</v>
      </c>
      <c r="V2715" s="9" t="n">
        <f aca="false">IF(U2715="SERVICE READY",1,0)</f>
        <v>0</v>
      </c>
      <c r="W2715" s="6"/>
      <c r="X2715" s="6"/>
      <c r="Y2715" s="6"/>
      <c r="Z2715" s="6"/>
    </row>
    <row r="2716" customFormat="false" ht="15" hidden="false" customHeight="false" outlineLevel="0" collapsed="false">
      <c r="A2716" s="9" t="s">
        <v>2983</v>
      </c>
      <c r="B2716" s="9" t="s">
        <v>2969</v>
      </c>
      <c r="C2716" s="9" t="s">
        <v>2970</v>
      </c>
      <c r="D2716" s="9" t="s">
        <v>2971</v>
      </c>
      <c r="E2716" s="9" t="s">
        <v>1660</v>
      </c>
      <c r="F2716" s="9" t="s">
        <v>209</v>
      </c>
      <c r="G2716" s="9" t="s">
        <v>198</v>
      </c>
      <c r="H2716" s="9" t="n">
        <v>1700</v>
      </c>
      <c r="I2716" s="29" t="n">
        <v>1.2</v>
      </c>
      <c r="J2716" s="9" t="n">
        <v>1</v>
      </c>
      <c r="K2716" s="30"/>
      <c r="L2716" s="30"/>
      <c r="M2716" s="30"/>
      <c r="N2716" s="30"/>
      <c r="O2716" s="30"/>
      <c r="P2716" s="30"/>
      <c r="Q2716" s="30"/>
      <c r="R2716" s="30"/>
      <c r="S2716" s="30"/>
      <c r="T2716" s="30"/>
      <c r="U2716" s="21" t="str">
        <f aca="false">IF(COUNT(K2716:T2716)=0,"SOURCE EMPTY / INDUSTRIAL ONLY",IF(MIN(K2716:T2716)=1,"SERVICE READY","HOLD"))</f>
        <v>SOURCE EMPTY / INDUSTRIAL ONLY</v>
      </c>
      <c r="V2716" s="9" t="n">
        <f aca="false">IF(U2716="SERVICE READY",1,0)</f>
        <v>0</v>
      </c>
      <c r="W2716" s="6"/>
      <c r="X2716" s="6"/>
      <c r="Y2716" s="6"/>
      <c r="Z2716" s="6"/>
    </row>
    <row r="2717" customFormat="false" ht="15" hidden="false" customHeight="false" outlineLevel="0" collapsed="false">
      <c r="A2717" s="9" t="s">
        <v>2984</v>
      </c>
      <c r="B2717" s="9" t="s">
        <v>2969</v>
      </c>
      <c r="C2717" s="9" t="s">
        <v>2970</v>
      </c>
      <c r="D2717" s="9" t="s">
        <v>2971</v>
      </c>
      <c r="E2717" s="9" t="s">
        <v>1660</v>
      </c>
      <c r="F2717" s="9" t="s">
        <v>211</v>
      </c>
      <c r="G2717" s="9" t="s">
        <v>201</v>
      </c>
      <c r="H2717" s="9" t="n">
        <v>1700</v>
      </c>
      <c r="I2717" s="29" t="n">
        <v>1.2</v>
      </c>
      <c r="J2717" s="9" t="n">
        <v>1</v>
      </c>
      <c r="K2717" s="30"/>
      <c r="L2717" s="30"/>
      <c r="M2717" s="30"/>
      <c r="N2717" s="30"/>
      <c r="O2717" s="30"/>
      <c r="P2717" s="30"/>
      <c r="Q2717" s="30"/>
      <c r="R2717" s="30"/>
      <c r="S2717" s="30"/>
      <c r="T2717" s="30"/>
      <c r="U2717" s="21" t="str">
        <f aca="false">IF(COUNT(K2717:T2717)=0,"SOURCE EMPTY / INDUSTRIAL ONLY",IF(MIN(K2717:T2717)=1,"SERVICE READY","HOLD"))</f>
        <v>SOURCE EMPTY / INDUSTRIAL ONLY</v>
      </c>
      <c r="V2717" s="9" t="n">
        <f aca="false">IF(U2717="SERVICE READY",1,0)</f>
        <v>0</v>
      </c>
      <c r="W2717" s="6"/>
      <c r="X2717" s="6"/>
      <c r="Y2717" s="6"/>
      <c r="Z2717" s="6"/>
    </row>
    <row r="2718" customFormat="false" ht="15" hidden="false" customHeight="false" outlineLevel="0" collapsed="false">
      <c r="A2718" s="9" t="s">
        <v>2985</v>
      </c>
      <c r="B2718" s="9" t="s">
        <v>2969</v>
      </c>
      <c r="C2718" s="9" t="s">
        <v>2970</v>
      </c>
      <c r="D2718" s="9" t="s">
        <v>2971</v>
      </c>
      <c r="E2718" s="9" t="s">
        <v>1660</v>
      </c>
      <c r="F2718" s="9" t="s">
        <v>197</v>
      </c>
      <c r="G2718" s="9" t="s">
        <v>198</v>
      </c>
      <c r="H2718" s="9" t="n">
        <v>1700</v>
      </c>
      <c r="I2718" s="29" t="n">
        <v>1.2</v>
      </c>
      <c r="J2718" s="9" t="n">
        <v>1</v>
      </c>
      <c r="K2718" s="30"/>
      <c r="L2718" s="30"/>
      <c r="M2718" s="30"/>
      <c r="N2718" s="30"/>
      <c r="O2718" s="30"/>
      <c r="P2718" s="30"/>
      <c r="Q2718" s="30"/>
      <c r="R2718" s="30"/>
      <c r="S2718" s="30"/>
      <c r="T2718" s="30"/>
      <c r="U2718" s="21" t="str">
        <f aca="false">IF(COUNT(K2718:T2718)=0,"SOURCE EMPTY / INDUSTRIAL ONLY",IF(MIN(K2718:T2718)=1,"SERVICE READY","HOLD"))</f>
        <v>SOURCE EMPTY / INDUSTRIAL ONLY</v>
      </c>
      <c r="V2718" s="9" t="n">
        <f aca="false">IF(U2718="SERVICE READY",1,0)</f>
        <v>0</v>
      </c>
      <c r="W2718" s="6"/>
      <c r="X2718" s="6"/>
      <c r="Y2718" s="6"/>
      <c r="Z2718" s="6"/>
    </row>
    <row r="2719" customFormat="false" ht="15" hidden="false" customHeight="false" outlineLevel="0" collapsed="false">
      <c r="A2719" s="9" t="s">
        <v>2986</v>
      </c>
      <c r="B2719" s="9" t="s">
        <v>2969</v>
      </c>
      <c r="C2719" s="9" t="s">
        <v>2970</v>
      </c>
      <c r="D2719" s="9" t="s">
        <v>2971</v>
      </c>
      <c r="E2719" s="9" t="s">
        <v>1660</v>
      </c>
      <c r="F2719" s="9" t="s">
        <v>200</v>
      </c>
      <c r="G2719" s="9" t="s">
        <v>201</v>
      </c>
      <c r="H2719" s="9" t="n">
        <v>1700</v>
      </c>
      <c r="I2719" s="29" t="n">
        <v>1.2</v>
      </c>
      <c r="J2719" s="9" t="n">
        <v>1</v>
      </c>
      <c r="K2719" s="30"/>
      <c r="L2719" s="30"/>
      <c r="M2719" s="30"/>
      <c r="N2719" s="30"/>
      <c r="O2719" s="30"/>
      <c r="P2719" s="30"/>
      <c r="Q2719" s="30"/>
      <c r="R2719" s="30"/>
      <c r="S2719" s="30"/>
      <c r="T2719" s="30"/>
      <c r="U2719" s="21" t="str">
        <f aca="false">IF(COUNT(K2719:T2719)=0,"SOURCE EMPTY / INDUSTRIAL ONLY",IF(MIN(K2719:T2719)=1,"SERVICE READY","HOLD"))</f>
        <v>SOURCE EMPTY / INDUSTRIAL ONLY</v>
      </c>
      <c r="V2719" s="9" t="n">
        <f aca="false">IF(U2719="SERVICE READY",1,0)</f>
        <v>0</v>
      </c>
      <c r="W2719" s="6"/>
      <c r="X2719" s="6"/>
      <c r="Y2719" s="6"/>
      <c r="Z2719" s="6"/>
    </row>
    <row r="2720" customFormat="false" ht="15" hidden="false" customHeight="false" outlineLevel="0" collapsed="false">
      <c r="A2720" s="9" t="s">
        <v>2987</v>
      </c>
      <c r="B2720" s="9" t="s">
        <v>2969</v>
      </c>
      <c r="C2720" s="9" t="s">
        <v>2970</v>
      </c>
      <c r="D2720" s="9" t="s">
        <v>2971</v>
      </c>
      <c r="E2720" s="9" t="s">
        <v>1660</v>
      </c>
      <c r="F2720" s="9" t="s">
        <v>203</v>
      </c>
      <c r="G2720" s="9" t="s">
        <v>198</v>
      </c>
      <c r="H2720" s="9" t="n">
        <v>1700</v>
      </c>
      <c r="I2720" s="29" t="n">
        <v>1.2</v>
      </c>
      <c r="J2720" s="9" t="n">
        <v>1</v>
      </c>
      <c r="K2720" s="30"/>
      <c r="L2720" s="30"/>
      <c r="M2720" s="30"/>
      <c r="N2720" s="30"/>
      <c r="O2720" s="30"/>
      <c r="P2720" s="30"/>
      <c r="Q2720" s="30"/>
      <c r="R2720" s="30"/>
      <c r="S2720" s="30"/>
      <c r="T2720" s="30"/>
      <c r="U2720" s="21" t="str">
        <f aca="false">IF(COUNT(K2720:T2720)=0,"SOURCE EMPTY / INDUSTRIAL ONLY",IF(MIN(K2720:T2720)=1,"SERVICE READY","HOLD"))</f>
        <v>SOURCE EMPTY / INDUSTRIAL ONLY</v>
      </c>
      <c r="V2720" s="9" t="n">
        <f aca="false">IF(U2720="SERVICE READY",1,0)</f>
        <v>0</v>
      </c>
      <c r="W2720" s="6"/>
      <c r="X2720" s="6"/>
      <c r="Y2720" s="6"/>
      <c r="Z2720" s="6"/>
    </row>
    <row r="2721" customFormat="false" ht="15" hidden="false" customHeight="false" outlineLevel="0" collapsed="false">
      <c r="A2721" s="9" t="s">
        <v>2988</v>
      </c>
      <c r="B2721" s="9" t="s">
        <v>2969</v>
      </c>
      <c r="C2721" s="9" t="s">
        <v>2970</v>
      </c>
      <c r="D2721" s="9" t="s">
        <v>2971</v>
      </c>
      <c r="E2721" s="9" t="s">
        <v>1660</v>
      </c>
      <c r="F2721" s="9" t="s">
        <v>205</v>
      </c>
      <c r="G2721" s="9" t="s">
        <v>201</v>
      </c>
      <c r="H2721" s="9" t="n">
        <v>1700</v>
      </c>
      <c r="I2721" s="29" t="n">
        <v>1.2</v>
      </c>
      <c r="J2721" s="9" t="n">
        <v>1</v>
      </c>
      <c r="K2721" s="30"/>
      <c r="L2721" s="30"/>
      <c r="M2721" s="30"/>
      <c r="N2721" s="30"/>
      <c r="O2721" s="30"/>
      <c r="P2721" s="30"/>
      <c r="Q2721" s="30"/>
      <c r="R2721" s="30"/>
      <c r="S2721" s="30"/>
      <c r="T2721" s="30"/>
      <c r="U2721" s="21" t="str">
        <f aca="false">IF(COUNT(K2721:T2721)=0,"SOURCE EMPTY / INDUSTRIAL ONLY",IF(MIN(K2721:T2721)=1,"SERVICE READY","HOLD"))</f>
        <v>SOURCE EMPTY / INDUSTRIAL ONLY</v>
      </c>
      <c r="V2721" s="9" t="n">
        <f aca="false">IF(U2721="SERVICE READY",1,0)</f>
        <v>0</v>
      </c>
      <c r="W2721" s="6"/>
      <c r="X2721" s="6"/>
      <c r="Y2721" s="6"/>
      <c r="Z2721" s="6"/>
    </row>
    <row r="2722" customFormat="false" ht="15" hidden="false" customHeight="false" outlineLevel="0" collapsed="false">
      <c r="A2722" s="9" t="s">
        <v>2989</v>
      </c>
      <c r="B2722" s="9" t="s">
        <v>2969</v>
      </c>
      <c r="C2722" s="9" t="s">
        <v>2970</v>
      </c>
      <c r="D2722" s="9" t="s">
        <v>2971</v>
      </c>
      <c r="E2722" s="9" t="s">
        <v>1660</v>
      </c>
      <c r="F2722" s="9" t="s">
        <v>207</v>
      </c>
      <c r="G2722" s="9" t="s">
        <v>198</v>
      </c>
      <c r="H2722" s="9" t="n">
        <v>1700</v>
      </c>
      <c r="I2722" s="29" t="n">
        <v>1.2</v>
      </c>
      <c r="J2722" s="9" t="n">
        <v>1</v>
      </c>
      <c r="K2722" s="30"/>
      <c r="L2722" s="30"/>
      <c r="M2722" s="30"/>
      <c r="N2722" s="30"/>
      <c r="O2722" s="30"/>
      <c r="P2722" s="30"/>
      <c r="Q2722" s="30"/>
      <c r="R2722" s="30"/>
      <c r="S2722" s="30"/>
      <c r="T2722" s="30"/>
      <c r="U2722" s="21" t="str">
        <f aca="false">IF(COUNT(K2722:T2722)=0,"SOURCE EMPTY / INDUSTRIAL ONLY",IF(MIN(K2722:T2722)=1,"SERVICE READY","HOLD"))</f>
        <v>SOURCE EMPTY / INDUSTRIAL ONLY</v>
      </c>
      <c r="V2722" s="9" t="n">
        <f aca="false">IF(U2722="SERVICE READY",1,0)</f>
        <v>0</v>
      </c>
      <c r="W2722" s="6"/>
      <c r="X2722" s="6"/>
      <c r="Y2722" s="6"/>
      <c r="Z2722" s="6"/>
    </row>
    <row r="2723" customFormat="false" ht="15" hidden="false" customHeight="false" outlineLevel="0" collapsed="false">
      <c r="A2723" s="9" t="s">
        <v>2990</v>
      </c>
      <c r="B2723" s="9" t="s">
        <v>2969</v>
      </c>
      <c r="C2723" s="9" t="s">
        <v>2970</v>
      </c>
      <c r="D2723" s="9" t="s">
        <v>2971</v>
      </c>
      <c r="E2723" s="9" t="s">
        <v>1660</v>
      </c>
      <c r="F2723" s="9" t="s">
        <v>209</v>
      </c>
      <c r="G2723" s="9" t="s">
        <v>201</v>
      </c>
      <c r="H2723" s="9" t="n">
        <v>1700</v>
      </c>
      <c r="I2723" s="29" t="n">
        <v>1.2</v>
      </c>
      <c r="J2723" s="9" t="n">
        <v>1</v>
      </c>
      <c r="K2723" s="30"/>
      <c r="L2723" s="30"/>
      <c r="M2723" s="30"/>
      <c r="N2723" s="30"/>
      <c r="O2723" s="30"/>
      <c r="P2723" s="30"/>
      <c r="Q2723" s="30"/>
      <c r="R2723" s="30"/>
      <c r="S2723" s="30"/>
      <c r="T2723" s="30"/>
      <c r="U2723" s="21" t="str">
        <f aca="false">IF(COUNT(K2723:T2723)=0,"SOURCE EMPTY / INDUSTRIAL ONLY",IF(MIN(K2723:T2723)=1,"SERVICE READY","HOLD"))</f>
        <v>SOURCE EMPTY / INDUSTRIAL ONLY</v>
      </c>
      <c r="V2723" s="9" t="n">
        <f aca="false">IF(U2723="SERVICE READY",1,0)</f>
        <v>0</v>
      </c>
      <c r="W2723" s="6"/>
      <c r="X2723" s="6"/>
      <c r="Y2723" s="6"/>
      <c r="Z2723" s="6"/>
    </row>
    <row r="2724" customFormat="false" ht="15" hidden="false" customHeight="false" outlineLevel="0" collapsed="false">
      <c r="A2724" s="9" t="s">
        <v>2991</v>
      </c>
      <c r="B2724" s="9" t="s">
        <v>2969</v>
      </c>
      <c r="C2724" s="9" t="s">
        <v>2970</v>
      </c>
      <c r="D2724" s="9" t="s">
        <v>2971</v>
      </c>
      <c r="E2724" s="9" t="s">
        <v>1660</v>
      </c>
      <c r="F2724" s="9" t="s">
        <v>211</v>
      </c>
      <c r="G2724" s="9" t="s">
        <v>198</v>
      </c>
      <c r="H2724" s="9" t="n">
        <v>1700</v>
      </c>
      <c r="I2724" s="29" t="n">
        <v>1.2</v>
      </c>
      <c r="J2724" s="9" t="n">
        <v>1</v>
      </c>
      <c r="K2724" s="30"/>
      <c r="L2724" s="30"/>
      <c r="M2724" s="30"/>
      <c r="N2724" s="30"/>
      <c r="O2724" s="30"/>
      <c r="P2724" s="30"/>
      <c r="Q2724" s="30"/>
      <c r="R2724" s="30"/>
      <c r="S2724" s="30"/>
      <c r="T2724" s="30"/>
      <c r="U2724" s="21" t="str">
        <f aca="false">IF(COUNT(K2724:T2724)=0,"SOURCE EMPTY / INDUSTRIAL ONLY",IF(MIN(K2724:T2724)=1,"SERVICE READY","HOLD"))</f>
        <v>SOURCE EMPTY / INDUSTRIAL ONLY</v>
      </c>
      <c r="V2724" s="9" t="n">
        <f aca="false">IF(U2724="SERVICE READY",1,0)</f>
        <v>0</v>
      </c>
      <c r="W2724" s="6"/>
      <c r="X2724" s="6"/>
      <c r="Y2724" s="6"/>
      <c r="Z2724" s="6"/>
    </row>
    <row r="2725" customFormat="false" ht="15" hidden="false" customHeight="false" outlineLevel="0" collapsed="false">
      <c r="A2725" s="9" t="s">
        <v>2992</v>
      </c>
      <c r="B2725" s="9" t="s">
        <v>2969</v>
      </c>
      <c r="C2725" s="9" t="s">
        <v>2970</v>
      </c>
      <c r="D2725" s="9" t="s">
        <v>2971</v>
      </c>
      <c r="E2725" s="9" t="s">
        <v>1660</v>
      </c>
      <c r="F2725" s="9" t="s">
        <v>197</v>
      </c>
      <c r="G2725" s="9" t="s">
        <v>201</v>
      </c>
      <c r="H2725" s="9" t="n">
        <v>1700</v>
      </c>
      <c r="I2725" s="29" t="n">
        <v>1.2</v>
      </c>
      <c r="J2725" s="9" t="n">
        <v>1</v>
      </c>
      <c r="K2725" s="30"/>
      <c r="L2725" s="30"/>
      <c r="M2725" s="30"/>
      <c r="N2725" s="30"/>
      <c r="O2725" s="30"/>
      <c r="P2725" s="30"/>
      <c r="Q2725" s="30"/>
      <c r="R2725" s="30"/>
      <c r="S2725" s="30"/>
      <c r="T2725" s="30"/>
      <c r="U2725" s="21" t="str">
        <f aca="false">IF(COUNT(K2725:T2725)=0,"SOURCE EMPTY / INDUSTRIAL ONLY",IF(MIN(K2725:T2725)=1,"SERVICE READY","HOLD"))</f>
        <v>SOURCE EMPTY / INDUSTRIAL ONLY</v>
      </c>
      <c r="V2725" s="9" t="n">
        <f aca="false">IF(U2725="SERVICE READY",1,0)</f>
        <v>0</v>
      </c>
      <c r="W2725" s="6"/>
      <c r="X2725" s="6"/>
      <c r="Y2725" s="6"/>
      <c r="Z2725" s="6"/>
    </row>
    <row r="2726" customFormat="false" ht="15" hidden="false" customHeight="false" outlineLevel="0" collapsed="false">
      <c r="A2726" s="9" t="s">
        <v>2993</v>
      </c>
      <c r="B2726" s="9" t="s">
        <v>2969</v>
      </c>
      <c r="C2726" s="9" t="s">
        <v>2970</v>
      </c>
      <c r="D2726" s="9" t="s">
        <v>2971</v>
      </c>
      <c r="E2726" s="9" t="s">
        <v>1660</v>
      </c>
      <c r="F2726" s="9" t="s">
        <v>200</v>
      </c>
      <c r="G2726" s="9" t="s">
        <v>198</v>
      </c>
      <c r="H2726" s="9" t="n">
        <v>1700</v>
      </c>
      <c r="I2726" s="29" t="n">
        <v>1.2</v>
      </c>
      <c r="J2726" s="9" t="n">
        <v>1</v>
      </c>
      <c r="K2726" s="30"/>
      <c r="L2726" s="30"/>
      <c r="M2726" s="30"/>
      <c r="N2726" s="30"/>
      <c r="O2726" s="30"/>
      <c r="P2726" s="30"/>
      <c r="Q2726" s="30"/>
      <c r="R2726" s="30"/>
      <c r="S2726" s="30"/>
      <c r="T2726" s="30"/>
      <c r="U2726" s="21" t="str">
        <f aca="false">IF(COUNT(K2726:T2726)=0,"SOURCE EMPTY / INDUSTRIAL ONLY",IF(MIN(K2726:T2726)=1,"SERVICE READY","HOLD"))</f>
        <v>SOURCE EMPTY / INDUSTRIAL ONLY</v>
      </c>
      <c r="V2726" s="9" t="n">
        <f aca="false">IF(U2726="SERVICE READY",1,0)</f>
        <v>0</v>
      </c>
      <c r="W2726" s="6"/>
      <c r="X2726" s="6"/>
      <c r="Y2726" s="6"/>
      <c r="Z2726" s="6"/>
    </row>
    <row r="2727" customFormat="false" ht="15" hidden="false" customHeight="false" outlineLevel="0" collapsed="false">
      <c r="A2727" s="9" t="s">
        <v>2994</v>
      </c>
      <c r="B2727" s="9" t="s">
        <v>2969</v>
      </c>
      <c r="C2727" s="9" t="s">
        <v>2970</v>
      </c>
      <c r="D2727" s="9" t="s">
        <v>2971</v>
      </c>
      <c r="E2727" s="9" t="s">
        <v>1660</v>
      </c>
      <c r="F2727" s="9" t="s">
        <v>203</v>
      </c>
      <c r="G2727" s="9" t="s">
        <v>201</v>
      </c>
      <c r="H2727" s="9" t="n">
        <v>1700</v>
      </c>
      <c r="I2727" s="29" t="n">
        <v>1.2</v>
      </c>
      <c r="J2727" s="9" t="n">
        <v>1</v>
      </c>
      <c r="K2727" s="30"/>
      <c r="L2727" s="30"/>
      <c r="M2727" s="30"/>
      <c r="N2727" s="30"/>
      <c r="O2727" s="30"/>
      <c r="P2727" s="30"/>
      <c r="Q2727" s="30"/>
      <c r="R2727" s="30"/>
      <c r="S2727" s="30"/>
      <c r="T2727" s="30"/>
      <c r="U2727" s="21" t="str">
        <f aca="false">IF(COUNT(K2727:T2727)=0,"SOURCE EMPTY / INDUSTRIAL ONLY",IF(MIN(K2727:T2727)=1,"SERVICE READY","HOLD"))</f>
        <v>SOURCE EMPTY / INDUSTRIAL ONLY</v>
      </c>
      <c r="V2727" s="9" t="n">
        <f aca="false">IF(U2727="SERVICE READY",1,0)</f>
        <v>0</v>
      </c>
      <c r="W2727" s="6"/>
      <c r="X2727" s="6"/>
      <c r="Y2727" s="6"/>
      <c r="Z2727" s="6"/>
    </row>
    <row r="2728" customFormat="false" ht="15" hidden="false" customHeight="false" outlineLevel="0" collapsed="false">
      <c r="A2728" s="9" t="s">
        <v>2995</v>
      </c>
      <c r="B2728" s="9" t="s">
        <v>2969</v>
      </c>
      <c r="C2728" s="9" t="s">
        <v>2970</v>
      </c>
      <c r="D2728" s="9" t="s">
        <v>2971</v>
      </c>
      <c r="E2728" s="9" t="s">
        <v>1660</v>
      </c>
      <c r="F2728" s="9" t="s">
        <v>205</v>
      </c>
      <c r="G2728" s="9" t="s">
        <v>198</v>
      </c>
      <c r="H2728" s="9" t="n">
        <v>1700</v>
      </c>
      <c r="I2728" s="29" t="n">
        <v>1.2</v>
      </c>
      <c r="J2728" s="9" t="n">
        <v>1</v>
      </c>
      <c r="K2728" s="30"/>
      <c r="L2728" s="30"/>
      <c r="M2728" s="30"/>
      <c r="N2728" s="30"/>
      <c r="O2728" s="30"/>
      <c r="P2728" s="30"/>
      <c r="Q2728" s="30"/>
      <c r="R2728" s="30"/>
      <c r="S2728" s="30"/>
      <c r="T2728" s="30"/>
      <c r="U2728" s="21" t="str">
        <f aca="false">IF(COUNT(K2728:T2728)=0,"SOURCE EMPTY / INDUSTRIAL ONLY",IF(MIN(K2728:T2728)=1,"SERVICE READY","HOLD"))</f>
        <v>SOURCE EMPTY / INDUSTRIAL ONLY</v>
      </c>
      <c r="V2728" s="9" t="n">
        <f aca="false">IF(U2728="SERVICE READY",1,0)</f>
        <v>0</v>
      </c>
      <c r="W2728" s="6"/>
      <c r="X2728" s="6"/>
      <c r="Y2728" s="6"/>
      <c r="Z2728" s="6"/>
    </row>
    <row r="2729" customFormat="false" ht="15" hidden="false" customHeight="false" outlineLevel="0" collapsed="false">
      <c r="A2729" s="9" t="s">
        <v>2996</v>
      </c>
      <c r="B2729" s="9" t="s">
        <v>2969</v>
      </c>
      <c r="C2729" s="9" t="s">
        <v>2970</v>
      </c>
      <c r="D2729" s="9" t="s">
        <v>2971</v>
      </c>
      <c r="E2729" s="9" t="s">
        <v>1660</v>
      </c>
      <c r="F2729" s="9" t="s">
        <v>207</v>
      </c>
      <c r="G2729" s="9" t="s">
        <v>201</v>
      </c>
      <c r="H2729" s="9" t="n">
        <v>1700</v>
      </c>
      <c r="I2729" s="29" t="n">
        <v>1.2</v>
      </c>
      <c r="J2729" s="9" t="n">
        <v>1</v>
      </c>
      <c r="K2729" s="30"/>
      <c r="L2729" s="30"/>
      <c r="M2729" s="30"/>
      <c r="N2729" s="30"/>
      <c r="O2729" s="30"/>
      <c r="P2729" s="30"/>
      <c r="Q2729" s="30"/>
      <c r="R2729" s="30"/>
      <c r="S2729" s="30"/>
      <c r="T2729" s="30"/>
      <c r="U2729" s="21" t="str">
        <f aca="false">IF(COUNT(K2729:T2729)=0,"SOURCE EMPTY / INDUSTRIAL ONLY",IF(MIN(K2729:T2729)=1,"SERVICE READY","HOLD"))</f>
        <v>SOURCE EMPTY / INDUSTRIAL ONLY</v>
      </c>
      <c r="V2729" s="9" t="n">
        <f aca="false">IF(U2729="SERVICE READY",1,0)</f>
        <v>0</v>
      </c>
      <c r="W2729" s="6"/>
      <c r="X2729" s="6"/>
      <c r="Y2729" s="6"/>
      <c r="Z2729" s="6"/>
    </row>
    <row r="2730" customFormat="false" ht="15" hidden="false" customHeight="false" outlineLevel="0" collapsed="false">
      <c r="A2730" s="9" t="s">
        <v>2997</v>
      </c>
      <c r="B2730" s="9" t="s">
        <v>2969</v>
      </c>
      <c r="C2730" s="9" t="s">
        <v>2970</v>
      </c>
      <c r="D2730" s="9" t="s">
        <v>2971</v>
      </c>
      <c r="E2730" s="9" t="s">
        <v>1660</v>
      </c>
      <c r="F2730" s="9" t="s">
        <v>209</v>
      </c>
      <c r="G2730" s="9" t="s">
        <v>198</v>
      </c>
      <c r="H2730" s="9" t="n">
        <v>1700</v>
      </c>
      <c r="I2730" s="29" t="n">
        <v>1.2</v>
      </c>
      <c r="J2730" s="9" t="n">
        <v>1</v>
      </c>
      <c r="K2730" s="30"/>
      <c r="L2730" s="30"/>
      <c r="M2730" s="30"/>
      <c r="N2730" s="30"/>
      <c r="O2730" s="30"/>
      <c r="P2730" s="30"/>
      <c r="Q2730" s="30"/>
      <c r="R2730" s="30"/>
      <c r="S2730" s="30"/>
      <c r="T2730" s="30"/>
      <c r="U2730" s="21" t="str">
        <f aca="false">IF(COUNT(K2730:T2730)=0,"SOURCE EMPTY / INDUSTRIAL ONLY",IF(MIN(K2730:T2730)=1,"SERVICE READY","HOLD"))</f>
        <v>SOURCE EMPTY / INDUSTRIAL ONLY</v>
      </c>
      <c r="V2730" s="9" t="n">
        <f aca="false">IF(U2730="SERVICE READY",1,0)</f>
        <v>0</v>
      </c>
      <c r="W2730" s="6"/>
      <c r="X2730" s="6"/>
      <c r="Y2730" s="6"/>
      <c r="Z2730" s="6"/>
    </row>
    <row r="2731" customFormat="false" ht="15" hidden="false" customHeight="false" outlineLevel="0" collapsed="false">
      <c r="A2731" s="9" t="s">
        <v>2998</v>
      </c>
      <c r="B2731" s="9" t="s">
        <v>2969</v>
      </c>
      <c r="C2731" s="9" t="s">
        <v>2970</v>
      </c>
      <c r="D2731" s="9" t="s">
        <v>2971</v>
      </c>
      <c r="E2731" s="9" t="s">
        <v>1660</v>
      </c>
      <c r="F2731" s="9" t="s">
        <v>211</v>
      </c>
      <c r="G2731" s="9" t="s">
        <v>201</v>
      </c>
      <c r="H2731" s="9" t="n">
        <v>1700</v>
      </c>
      <c r="I2731" s="29" t="n">
        <v>1.2</v>
      </c>
      <c r="J2731" s="9" t="n">
        <v>1</v>
      </c>
      <c r="K2731" s="30"/>
      <c r="L2731" s="30"/>
      <c r="M2731" s="30"/>
      <c r="N2731" s="30"/>
      <c r="O2731" s="30"/>
      <c r="P2731" s="30"/>
      <c r="Q2731" s="30"/>
      <c r="R2731" s="30"/>
      <c r="S2731" s="30"/>
      <c r="T2731" s="30"/>
      <c r="U2731" s="21" t="str">
        <f aca="false">IF(COUNT(K2731:T2731)=0,"SOURCE EMPTY / INDUSTRIAL ONLY",IF(MIN(K2731:T2731)=1,"SERVICE READY","HOLD"))</f>
        <v>SOURCE EMPTY / INDUSTRIAL ONLY</v>
      </c>
      <c r="V2731" s="9" t="n">
        <f aca="false">IF(U2731="SERVICE READY",1,0)</f>
        <v>0</v>
      </c>
      <c r="W2731" s="6"/>
      <c r="X2731" s="6"/>
      <c r="Y2731" s="6"/>
      <c r="Z2731" s="6"/>
    </row>
    <row r="2732" customFormat="false" ht="15" hidden="false" customHeight="false" outlineLevel="0" collapsed="false">
      <c r="A2732" s="9" t="s">
        <v>2999</v>
      </c>
      <c r="B2732" s="9" t="s">
        <v>2969</v>
      </c>
      <c r="C2732" s="9" t="s">
        <v>2970</v>
      </c>
      <c r="D2732" s="9" t="s">
        <v>2971</v>
      </c>
      <c r="E2732" s="9" t="s">
        <v>1660</v>
      </c>
      <c r="F2732" s="9" t="s">
        <v>197</v>
      </c>
      <c r="G2732" s="9" t="s">
        <v>198</v>
      </c>
      <c r="H2732" s="9" t="n">
        <v>1700</v>
      </c>
      <c r="I2732" s="29" t="n">
        <v>1.2</v>
      </c>
      <c r="J2732" s="9" t="n">
        <v>1</v>
      </c>
      <c r="K2732" s="30"/>
      <c r="L2732" s="30"/>
      <c r="M2732" s="30"/>
      <c r="N2732" s="30"/>
      <c r="O2732" s="30"/>
      <c r="P2732" s="30"/>
      <c r="Q2732" s="30"/>
      <c r="R2732" s="30"/>
      <c r="S2732" s="30"/>
      <c r="T2732" s="30"/>
      <c r="U2732" s="21" t="str">
        <f aca="false">IF(COUNT(K2732:T2732)=0,"SOURCE EMPTY / INDUSTRIAL ONLY",IF(MIN(K2732:T2732)=1,"SERVICE READY","HOLD"))</f>
        <v>SOURCE EMPTY / INDUSTRIAL ONLY</v>
      </c>
      <c r="V2732" s="9" t="n">
        <f aca="false">IF(U2732="SERVICE READY",1,0)</f>
        <v>0</v>
      </c>
      <c r="W2732" s="6"/>
      <c r="X2732" s="6"/>
      <c r="Y2732" s="6"/>
      <c r="Z2732" s="6"/>
    </row>
    <row r="2733" customFormat="false" ht="15" hidden="false" customHeight="false" outlineLevel="0" collapsed="false">
      <c r="A2733" s="9" t="s">
        <v>3000</v>
      </c>
      <c r="B2733" s="9" t="s">
        <v>2969</v>
      </c>
      <c r="C2733" s="9" t="s">
        <v>2970</v>
      </c>
      <c r="D2733" s="9" t="s">
        <v>2971</v>
      </c>
      <c r="E2733" s="9" t="s">
        <v>1660</v>
      </c>
      <c r="F2733" s="9" t="s">
        <v>200</v>
      </c>
      <c r="G2733" s="9" t="s">
        <v>201</v>
      </c>
      <c r="H2733" s="9" t="n">
        <v>1700</v>
      </c>
      <c r="I2733" s="29" t="n">
        <v>1.2</v>
      </c>
      <c r="J2733" s="9" t="n">
        <v>1</v>
      </c>
      <c r="K2733" s="30"/>
      <c r="L2733" s="30"/>
      <c r="M2733" s="30"/>
      <c r="N2733" s="30"/>
      <c r="O2733" s="30"/>
      <c r="P2733" s="30"/>
      <c r="Q2733" s="30"/>
      <c r="R2733" s="30"/>
      <c r="S2733" s="30"/>
      <c r="T2733" s="30"/>
      <c r="U2733" s="21" t="str">
        <f aca="false">IF(COUNT(K2733:T2733)=0,"SOURCE EMPTY / INDUSTRIAL ONLY",IF(MIN(K2733:T2733)=1,"SERVICE READY","HOLD"))</f>
        <v>SOURCE EMPTY / INDUSTRIAL ONLY</v>
      </c>
      <c r="V2733" s="9" t="n">
        <f aca="false">IF(U2733="SERVICE READY",1,0)</f>
        <v>0</v>
      </c>
      <c r="W2733" s="6"/>
      <c r="X2733" s="6"/>
      <c r="Y2733" s="6"/>
      <c r="Z2733" s="6"/>
    </row>
    <row r="2734" customFormat="false" ht="15" hidden="false" customHeight="false" outlineLevel="0" collapsed="false">
      <c r="A2734" s="9" t="s">
        <v>3001</v>
      </c>
      <c r="B2734" s="9" t="s">
        <v>2969</v>
      </c>
      <c r="C2734" s="9" t="s">
        <v>2970</v>
      </c>
      <c r="D2734" s="9" t="s">
        <v>2971</v>
      </c>
      <c r="E2734" s="9" t="s">
        <v>1660</v>
      </c>
      <c r="F2734" s="9" t="s">
        <v>203</v>
      </c>
      <c r="G2734" s="9" t="s">
        <v>198</v>
      </c>
      <c r="H2734" s="9" t="n">
        <v>1700</v>
      </c>
      <c r="I2734" s="29" t="n">
        <v>1.2</v>
      </c>
      <c r="J2734" s="9" t="n">
        <v>1</v>
      </c>
      <c r="K2734" s="30"/>
      <c r="L2734" s="30"/>
      <c r="M2734" s="30"/>
      <c r="N2734" s="30"/>
      <c r="O2734" s="30"/>
      <c r="P2734" s="30"/>
      <c r="Q2734" s="30"/>
      <c r="R2734" s="30"/>
      <c r="S2734" s="30"/>
      <c r="T2734" s="30"/>
      <c r="U2734" s="21" t="str">
        <f aca="false">IF(COUNT(K2734:T2734)=0,"SOURCE EMPTY / INDUSTRIAL ONLY",IF(MIN(K2734:T2734)=1,"SERVICE READY","HOLD"))</f>
        <v>SOURCE EMPTY / INDUSTRIAL ONLY</v>
      </c>
      <c r="V2734" s="9" t="n">
        <f aca="false">IF(U2734="SERVICE READY",1,0)</f>
        <v>0</v>
      </c>
      <c r="W2734" s="6"/>
      <c r="X2734" s="6"/>
      <c r="Y2734" s="6"/>
      <c r="Z2734" s="6"/>
    </row>
    <row r="2735" customFormat="false" ht="15" hidden="false" customHeight="false" outlineLevel="0" collapsed="false">
      <c r="A2735" s="9" t="s">
        <v>3002</v>
      </c>
      <c r="B2735" s="9" t="s">
        <v>2969</v>
      </c>
      <c r="C2735" s="9" t="s">
        <v>2970</v>
      </c>
      <c r="D2735" s="9" t="s">
        <v>2971</v>
      </c>
      <c r="E2735" s="9" t="s">
        <v>1660</v>
      </c>
      <c r="F2735" s="9" t="s">
        <v>205</v>
      </c>
      <c r="G2735" s="9" t="s">
        <v>201</v>
      </c>
      <c r="H2735" s="9" t="n">
        <v>1700</v>
      </c>
      <c r="I2735" s="29" t="n">
        <v>1.2</v>
      </c>
      <c r="J2735" s="9" t="n">
        <v>1</v>
      </c>
      <c r="K2735" s="30"/>
      <c r="L2735" s="30"/>
      <c r="M2735" s="30"/>
      <c r="N2735" s="30"/>
      <c r="O2735" s="30"/>
      <c r="P2735" s="30"/>
      <c r="Q2735" s="30"/>
      <c r="R2735" s="30"/>
      <c r="S2735" s="30"/>
      <c r="T2735" s="30"/>
      <c r="U2735" s="21" t="str">
        <f aca="false">IF(COUNT(K2735:T2735)=0,"SOURCE EMPTY / INDUSTRIAL ONLY",IF(MIN(K2735:T2735)=1,"SERVICE READY","HOLD"))</f>
        <v>SOURCE EMPTY / INDUSTRIAL ONLY</v>
      </c>
      <c r="V2735" s="9" t="n">
        <f aca="false">IF(U2735="SERVICE READY",1,0)</f>
        <v>0</v>
      </c>
      <c r="W2735" s="6"/>
      <c r="X2735" s="6"/>
      <c r="Y2735" s="6"/>
      <c r="Z2735" s="6"/>
    </row>
    <row r="2736" customFormat="false" ht="15" hidden="false" customHeight="false" outlineLevel="0" collapsed="false">
      <c r="A2736" s="9" t="s">
        <v>3003</v>
      </c>
      <c r="B2736" s="9" t="s">
        <v>2969</v>
      </c>
      <c r="C2736" s="9" t="s">
        <v>2970</v>
      </c>
      <c r="D2736" s="9" t="s">
        <v>2971</v>
      </c>
      <c r="E2736" s="9" t="s">
        <v>1660</v>
      </c>
      <c r="F2736" s="9" t="s">
        <v>207</v>
      </c>
      <c r="G2736" s="9" t="s">
        <v>198</v>
      </c>
      <c r="H2736" s="9" t="n">
        <v>1700</v>
      </c>
      <c r="I2736" s="29" t="n">
        <v>1.2</v>
      </c>
      <c r="J2736" s="9" t="n">
        <v>1</v>
      </c>
      <c r="K2736" s="30"/>
      <c r="L2736" s="30"/>
      <c r="M2736" s="30"/>
      <c r="N2736" s="30"/>
      <c r="O2736" s="30"/>
      <c r="P2736" s="30"/>
      <c r="Q2736" s="30"/>
      <c r="R2736" s="30"/>
      <c r="S2736" s="30"/>
      <c r="T2736" s="30"/>
      <c r="U2736" s="21" t="str">
        <f aca="false">IF(COUNT(K2736:T2736)=0,"SOURCE EMPTY / INDUSTRIAL ONLY",IF(MIN(K2736:T2736)=1,"SERVICE READY","HOLD"))</f>
        <v>SOURCE EMPTY / INDUSTRIAL ONLY</v>
      </c>
      <c r="V2736" s="9" t="n">
        <f aca="false">IF(U2736="SERVICE READY",1,0)</f>
        <v>0</v>
      </c>
      <c r="W2736" s="6"/>
      <c r="X2736" s="6"/>
      <c r="Y2736" s="6"/>
      <c r="Z2736" s="6"/>
    </row>
    <row r="2737" customFormat="false" ht="15" hidden="false" customHeight="false" outlineLevel="0" collapsed="false">
      <c r="A2737" s="9" t="s">
        <v>3004</v>
      </c>
      <c r="B2737" s="9" t="s">
        <v>2969</v>
      </c>
      <c r="C2737" s="9" t="s">
        <v>2970</v>
      </c>
      <c r="D2737" s="9" t="s">
        <v>2971</v>
      </c>
      <c r="E2737" s="9" t="s">
        <v>1660</v>
      </c>
      <c r="F2737" s="9" t="s">
        <v>209</v>
      </c>
      <c r="G2737" s="9" t="s">
        <v>201</v>
      </c>
      <c r="H2737" s="9" t="n">
        <v>1700</v>
      </c>
      <c r="I2737" s="29" t="n">
        <v>1.2</v>
      </c>
      <c r="J2737" s="9" t="n">
        <v>1</v>
      </c>
      <c r="K2737" s="30"/>
      <c r="L2737" s="30"/>
      <c r="M2737" s="30"/>
      <c r="N2737" s="30"/>
      <c r="O2737" s="30"/>
      <c r="P2737" s="30"/>
      <c r="Q2737" s="30"/>
      <c r="R2737" s="30"/>
      <c r="S2737" s="30"/>
      <c r="T2737" s="30"/>
      <c r="U2737" s="21" t="str">
        <f aca="false">IF(COUNT(K2737:T2737)=0,"SOURCE EMPTY / INDUSTRIAL ONLY",IF(MIN(K2737:T2737)=1,"SERVICE READY","HOLD"))</f>
        <v>SOURCE EMPTY / INDUSTRIAL ONLY</v>
      </c>
      <c r="V2737" s="9" t="n">
        <f aca="false">IF(U2737="SERVICE READY",1,0)</f>
        <v>0</v>
      </c>
      <c r="W2737" s="6"/>
      <c r="X2737" s="6"/>
      <c r="Y2737" s="6"/>
      <c r="Z2737" s="6"/>
    </row>
    <row r="2738" customFormat="false" ht="15" hidden="false" customHeight="false" outlineLevel="0" collapsed="false">
      <c r="A2738" s="9" t="s">
        <v>3005</v>
      </c>
      <c r="B2738" s="9" t="s">
        <v>2969</v>
      </c>
      <c r="C2738" s="9" t="s">
        <v>2970</v>
      </c>
      <c r="D2738" s="9" t="s">
        <v>2971</v>
      </c>
      <c r="E2738" s="9" t="s">
        <v>1660</v>
      </c>
      <c r="F2738" s="9" t="s">
        <v>211</v>
      </c>
      <c r="G2738" s="9" t="s">
        <v>198</v>
      </c>
      <c r="H2738" s="9" t="n">
        <v>1700</v>
      </c>
      <c r="I2738" s="29" t="n">
        <v>1.2</v>
      </c>
      <c r="J2738" s="9" t="n">
        <v>1</v>
      </c>
      <c r="K2738" s="30"/>
      <c r="L2738" s="30"/>
      <c r="M2738" s="30"/>
      <c r="N2738" s="30"/>
      <c r="O2738" s="30"/>
      <c r="P2738" s="30"/>
      <c r="Q2738" s="30"/>
      <c r="R2738" s="30"/>
      <c r="S2738" s="30"/>
      <c r="T2738" s="30"/>
      <c r="U2738" s="21" t="str">
        <f aca="false">IF(COUNT(K2738:T2738)=0,"SOURCE EMPTY / INDUSTRIAL ONLY",IF(MIN(K2738:T2738)=1,"SERVICE READY","HOLD"))</f>
        <v>SOURCE EMPTY / INDUSTRIAL ONLY</v>
      </c>
      <c r="V2738" s="9" t="n">
        <f aca="false">IF(U2738="SERVICE READY",1,0)</f>
        <v>0</v>
      </c>
      <c r="W2738" s="6"/>
      <c r="X2738" s="6"/>
      <c r="Y2738" s="6"/>
      <c r="Z2738" s="6"/>
    </row>
    <row r="2739" customFormat="false" ht="15" hidden="false" customHeight="false" outlineLevel="0" collapsed="false">
      <c r="A2739" s="9" t="s">
        <v>3006</v>
      </c>
      <c r="B2739" s="9" t="s">
        <v>2969</v>
      </c>
      <c r="C2739" s="9" t="s">
        <v>2970</v>
      </c>
      <c r="D2739" s="9" t="s">
        <v>2971</v>
      </c>
      <c r="E2739" s="9" t="s">
        <v>1660</v>
      </c>
      <c r="F2739" s="9" t="s">
        <v>197</v>
      </c>
      <c r="G2739" s="9" t="s">
        <v>201</v>
      </c>
      <c r="H2739" s="9" t="n">
        <v>1700</v>
      </c>
      <c r="I2739" s="29" t="n">
        <v>1.2</v>
      </c>
      <c r="J2739" s="9" t="n">
        <v>1</v>
      </c>
      <c r="K2739" s="30"/>
      <c r="L2739" s="30"/>
      <c r="M2739" s="30"/>
      <c r="N2739" s="30"/>
      <c r="O2739" s="30"/>
      <c r="P2739" s="30"/>
      <c r="Q2739" s="30"/>
      <c r="R2739" s="30"/>
      <c r="S2739" s="30"/>
      <c r="T2739" s="30"/>
      <c r="U2739" s="21" t="str">
        <f aca="false">IF(COUNT(K2739:T2739)=0,"SOURCE EMPTY / INDUSTRIAL ONLY",IF(MIN(K2739:T2739)=1,"SERVICE READY","HOLD"))</f>
        <v>SOURCE EMPTY / INDUSTRIAL ONLY</v>
      </c>
      <c r="V2739" s="9" t="n">
        <f aca="false">IF(U2739="SERVICE READY",1,0)</f>
        <v>0</v>
      </c>
      <c r="W2739" s="6"/>
      <c r="X2739" s="6"/>
      <c r="Y2739" s="6"/>
      <c r="Z2739" s="6"/>
    </row>
    <row r="2740" customFormat="false" ht="15" hidden="false" customHeight="false" outlineLevel="0" collapsed="false">
      <c r="A2740" s="9" t="s">
        <v>3007</v>
      </c>
      <c r="B2740" s="9" t="s">
        <v>2969</v>
      </c>
      <c r="C2740" s="9" t="s">
        <v>2970</v>
      </c>
      <c r="D2740" s="9" t="s">
        <v>2971</v>
      </c>
      <c r="E2740" s="9" t="s">
        <v>1660</v>
      </c>
      <c r="F2740" s="9" t="s">
        <v>200</v>
      </c>
      <c r="G2740" s="9" t="s">
        <v>198</v>
      </c>
      <c r="H2740" s="9" t="n">
        <v>1700</v>
      </c>
      <c r="I2740" s="29" t="n">
        <v>1.2</v>
      </c>
      <c r="J2740" s="9" t="n">
        <v>1</v>
      </c>
      <c r="K2740" s="30"/>
      <c r="L2740" s="30"/>
      <c r="M2740" s="30"/>
      <c r="N2740" s="30"/>
      <c r="O2740" s="30"/>
      <c r="P2740" s="30"/>
      <c r="Q2740" s="30"/>
      <c r="R2740" s="30"/>
      <c r="S2740" s="30"/>
      <c r="T2740" s="30"/>
      <c r="U2740" s="21" t="str">
        <f aca="false">IF(COUNT(K2740:T2740)=0,"SOURCE EMPTY / INDUSTRIAL ONLY",IF(MIN(K2740:T2740)=1,"SERVICE READY","HOLD"))</f>
        <v>SOURCE EMPTY / INDUSTRIAL ONLY</v>
      </c>
      <c r="V2740" s="9" t="n">
        <f aca="false">IF(U2740="SERVICE READY",1,0)</f>
        <v>0</v>
      </c>
      <c r="W2740" s="6"/>
      <c r="X2740" s="6"/>
      <c r="Y2740" s="6"/>
      <c r="Z2740" s="6"/>
    </row>
    <row r="2741" customFormat="false" ht="15" hidden="false" customHeight="false" outlineLevel="0" collapsed="false">
      <c r="A2741" s="9" t="s">
        <v>3008</v>
      </c>
      <c r="B2741" s="9" t="s">
        <v>2969</v>
      </c>
      <c r="C2741" s="9" t="s">
        <v>2970</v>
      </c>
      <c r="D2741" s="9" t="s">
        <v>2971</v>
      </c>
      <c r="E2741" s="9" t="s">
        <v>1660</v>
      </c>
      <c r="F2741" s="9" t="s">
        <v>203</v>
      </c>
      <c r="G2741" s="9" t="s">
        <v>201</v>
      </c>
      <c r="H2741" s="9" t="n">
        <v>1700</v>
      </c>
      <c r="I2741" s="29" t="n">
        <v>1.2</v>
      </c>
      <c r="J2741" s="9" t="n">
        <v>1</v>
      </c>
      <c r="K2741" s="30"/>
      <c r="L2741" s="30"/>
      <c r="M2741" s="30"/>
      <c r="N2741" s="30"/>
      <c r="O2741" s="30"/>
      <c r="P2741" s="30"/>
      <c r="Q2741" s="30"/>
      <c r="R2741" s="30"/>
      <c r="S2741" s="30"/>
      <c r="T2741" s="30"/>
      <c r="U2741" s="21" t="str">
        <f aca="false">IF(COUNT(K2741:T2741)=0,"SOURCE EMPTY / INDUSTRIAL ONLY",IF(MIN(K2741:T2741)=1,"SERVICE READY","HOLD"))</f>
        <v>SOURCE EMPTY / INDUSTRIAL ONLY</v>
      </c>
      <c r="V2741" s="9" t="n">
        <f aca="false">IF(U2741="SERVICE READY",1,0)</f>
        <v>0</v>
      </c>
      <c r="W2741" s="6"/>
      <c r="X2741" s="6"/>
      <c r="Y2741" s="6"/>
      <c r="Z2741" s="6"/>
    </row>
    <row r="2742" customFormat="false" ht="15" hidden="false" customHeight="false" outlineLevel="0" collapsed="false">
      <c r="A2742" s="9" t="s">
        <v>3009</v>
      </c>
      <c r="B2742" s="9" t="s">
        <v>2969</v>
      </c>
      <c r="C2742" s="9" t="s">
        <v>2970</v>
      </c>
      <c r="D2742" s="9" t="s">
        <v>2971</v>
      </c>
      <c r="E2742" s="9" t="s">
        <v>1660</v>
      </c>
      <c r="F2742" s="9" t="s">
        <v>205</v>
      </c>
      <c r="G2742" s="9" t="s">
        <v>221</v>
      </c>
      <c r="H2742" s="9" t="n">
        <v>1700</v>
      </c>
      <c r="I2742" s="29" t="n">
        <v>1.2</v>
      </c>
      <c r="J2742" s="9" t="n">
        <v>1</v>
      </c>
      <c r="K2742" s="30"/>
      <c r="L2742" s="30"/>
      <c r="M2742" s="30"/>
      <c r="N2742" s="30"/>
      <c r="O2742" s="30"/>
      <c r="P2742" s="30"/>
      <c r="Q2742" s="30"/>
      <c r="R2742" s="30"/>
      <c r="S2742" s="30"/>
      <c r="T2742" s="30"/>
      <c r="U2742" s="21" t="str">
        <f aca="false">IF(COUNT(K2742:T2742)=0,"SOURCE EMPTY / INDUSTRIAL ONLY",IF(MIN(K2742:T2742)=1,"SERVICE READY","HOLD"))</f>
        <v>SOURCE EMPTY / INDUSTRIAL ONLY</v>
      </c>
      <c r="V2742" s="9" t="n">
        <f aca="false">IF(U2742="SERVICE READY",1,0)</f>
        <v>0</v>
      </c>
      <c r="W2742" s="6"/>
      <c r="X2742" s="6"/>
      <c r="Y2742" s="6"/>
      <c r="Z2742" s="6"/>
    </row>
    <row r="2743" customFormat="false" ht="15" hidden="false" customHeight="false" outlineLevel="0" collapsed="false">
      <c r="A2743" s="9" t="s">
        <v>3010</v>
      </c>
      <c r="B2743" s="9" t="s">
        <v>2969</v>
      </c>
      <c r="C2743" s="9" t="s">
        <v>2970</v>
      </c>
      <c r="D2743" s="9" t="s">
        <v>2971</v>
      </c>
      <c r="E2743" s="9" t="s">
        <v>1660</v>
      </c>
      <c r="F2743" s="9" t="s">
        <v>207</v>
      </c>
      <c r="G2743" s="9" t="s">
        <v>221</v>
      </c>
      <c r="H2743" s="9" t="n">
        <v>1700</v>
      </c>
      <c r="I2743" s="29" t="n">
        <v>1.2</v>
      </c>
      <c r="J2743" s="9" t="n">
        <v>1</v>
      </c>
      <c r="K2743" s="30"/>
      <c r="L2743" s="30"/>
      <c r="M2743" s="30"/>
      <c r="N2743" s="30"/>
      <c r="O2743" s="30"/>
      <c r="P2743" s="30"/>
      <c r="Q2743" s="30"/>
      <c r="R2743" s="30"/>
      <c r="S2743" s="30"/>
      <c r="T2743" s="30"/>
      <c r="U2743" s="21" t="str">
        <f aca="false">IF(COUNT(K2743:T2743)=0,"SOURCE EMPTY / INDUSTRIAL ONLY",IF(MIN(K2743:T2743)=1,"SERVICE READY","HOLD"))</f>
        <v>SOURCE EMPTY / INDUSTRIAL ONLY</v>
      </c>
      <c r="V2743" s="9" t="n">
        <f aca="false">IF(U2743="SERVICE READY",1,0)</f>
        <v>0</v>
      </c>
      <c r="W2743" s="6"/>
      <c r="X2743" s="6"/>
      <c r="Y2743" s="6"/>
      <c r="Z2743" s="6"/>
    </row>
    <row r="2744" customFormat="false" ht="15" hidden="false" customHeight="false" outlineLevel="0" collapsed="false">
      <c r="A2744" s="9" t="s">
        <v>3011</v>
      </c>
      <c r="B2744" s="9" t="s">
        <v>2969</v>
      </c>
      <c r="C2744" s="9" t="s">
        <v>2970</v>
      </c>
      <c r="D2744" s="9" t="s">
        <v>2971</v>
      </c>
      <c r="E2744" s="9" t="s">
        <v>1660</v>
      </c>
      <c r="F2744" s="9" t="s">
        <v>209</v>
      </c>
      <c r="G2744" s="9" t="s">
        <v>221</v>
      </c>
      <c r="H2744" s="9" t="n">
        <v>1700</v>
      </c>
      <c r="I2744" s="29" t="n">
        <v>1.2</v>
      </c>
      <c r="J2744" s="9" t="n">
        <v>1</v>
      </c>
      <c r="K2744" s="30"/>
      <c r="L2744" s="30"/>
      <c r="M2744" s="30"/>
      <c r="N2744" s="30"/>
      <c r="O2744" s="30"/>
      <c r="P2744" s="30"/>
      <c r="Q2744" s="30"/>
      <c r="R2744" s="30"/>
      <c r="S2744" s="30"/>
      <c r="T2744" s="30"/>
      <c r="U2744" s="21" t="str">
        <f aca="false">IF(COUNT(K2744:T2744)=0,"SOURCE EMPTY / INDUSTRIAL ONLY",IF(MIN(K2744:T2744)=1,"SERVICE READY","HOLD"))</f>
        <v>SOURCE EMPTY / INDUSTRIAL ONLY</v>
      </c>
      <c r="V2744" s="9" t="n">
        <f aca="false">IF(U2744="SERVICE READY",1,0)</f>
        <v>0</v>
      </c>
      <c r="W2744" s="6"/>
      <c r="X2744" s="6"/>
      <c r="Y2744" s="6"/>
      <c r="Z2744" s="6"/>
    </row>
    <row r="2745" customFormat="false" ht="15" hidden="false" customHeight="false" outlineLevel="0" collapsed="false">
      <c r="A2745" s="9" t="s">
        <v>3012</v>
      </c>
      <c r="B2745" s="9" t="s">
        <v>2969</v>
      </c>
      <c r="C2745" s="9" t="s">
        <v>2970</v>
      </c>
      <c r="D2745" s="9" t="s">
        <v>2971</v>
      </c>
      <c r="E2745" s="9" t="s">
        <v>1660</v>
      </c>
      <c r="F2745" s="9" t="s">
        <v>211</v>
      </c>
      <c r="G2745" s="9" t="s">
        <v>221</v>
      </c>
      <c r="H2745" s="9" t="n">
        <v>1700</v>
      </c>
      <c r="I2745" s="29" t="n">
        <v>1.2</v>
      </c>
      <c r="J2745" s="9" t="n">
        <v>1</v>
      </c>
      <c r="K2745" s="30"/>
      <c r="L2745" s="30"/>
      <c r="M2745" s="30"/>
      <c r="N2745" s="30"/>
      <c r="O2745" s="30"/>
      <c r="P2745" s="30"/>
      <c r="Q2745" s="30"/>
      <c r="R2745" s="30"/>
      <c r="S2745" s="30"/>
      <c r="T2745" s="30"/>
      <c r="U2745" s="21" t="str">
        <f aca="false">IF(COUNT(K2745:T2745)=0,"SOURCE EMPTY / INDUSTRIAL ONLY",IF(MIN(K2745:T2745)=1,"SERVICE READY","HOLD"))</f>
        <v>SOURCE EMPTY / INDUSTRIAL ONLY</v>
      </c>
      <c r="V2745" s="9" t="n">
        <f aca="false">IF(U2745="SERVICE READY",1,0)</f>
        <v>0</v>
      </c>
      <c r="W2745" s="6"/>
      <c r="X2745" s="6"/>
      <c r="Y2745" s="6"/>
      <c r="Z2745" s="6"/>
    </row>
    <row r="2746" customFormat="false" ht="15" hidden="false" customHeight="false" outlineLevel="0" collapsed="false">
      <c r="A2746" s="9" t="s">
        <v>3013</v>
      </c>
      <c r="B2746" s="9" t="s">
        <v>2969</v>
      </c>
      <c r="C2746" s="9" t="s">
        <v>2970</v>
      </c>
      <c r="D2746" s="9" t="s">
        <v>2971</v>
      </c>
      <c r="E2746" s="9" t="s">
        <v>1660</v>
      </c>
      <c r="F2746" s="9" t="s">
        <v>197</v>
      </c>
      <c r="G2746" s="9" t="s">
        <v>221</v>
      </c>
      <c r="H2746" s="9" t="n">
        <v>1700</v>
      </c>
      <c r="I2746" s="29" t="n">
        <v>1.2</v>
      </c>
      <c r="J2746" s="9" t="n">
        <v>1</v>
      </c>
      <c r="K2746" s="30"/>
      <c r="L2746" s="30"/>
      <c r="M2746" s="30"/>
      <c r="N2746" s="30"/>
      <c r="O2746" s="30"/>
      <c r="P2746" s="30"/>
      <c r="Q2746" s="30"/>
      <c r="R2746" s="30"/>
      <c r="S2746" s="30"/>
      <c r="T2746" s="30"/>
      <c r="U2746" s="21" t="str">
        <f aca="false">IF(COUNT(K2746:T2746)=0,"SOURCE EMPTY / INDUSTRIAL ONLY",IF(MIN(K2746:T2746)=1,"SERVICE READY","HOLD"))</f>
        <v>SOURCE EMPTY / INDUSTRIAL ONLY</v>
      </c>
      <c r="V2746" s="9" t="n">
        <f aca="false">IF(U2746="SERVICE READY",1,0)</f>
        <v>0</v>
      </c>
      <c r="W2746" s="6"/>
      <c r="X2746" s="6"/>
      <c r="Y2746" s="6"/>
      <c r="Z2746" s="6"/>
    </row>
    <row r="2747" customFormat="false" ht="15" hidden="false" customHeight="false" outlineLevel="0" collapsed="false">
      <c r="A2747" s="9" t="s">
        <v>3014</v>
      </c>
      <c r="B2747" s="9" t="s">
        <v>2969</v>
      </c>
      <c r="C2747" s="9" t="s">
        <v>2970</v>
      </c>
      <c r="D2747" s="9" t="s">
        <v>2971</v>
      </c>
      <c r="E2747" s="9" t="s">
        <v>1660</v>
      </c>
      <c r="F2747" s="9" t="s">
        <v>200</v>
      </c>
      <c r="G2747" s="9" t="s">
        <v>221</v>
      </c>
      <c r="H2747" s="9" t="n">
        <v>1700</v>
      </c>
      <c r="I2747" s="29" t="n">
        <v>1.2</v>
      </c>
      <c r="J2747" s="9" t="n">
        <v>1</v>
      </c>
      <c r="K2747" s="30"/>
      <c r="L2747" s="30"/>
      <c r="M2747" s="30"/>
      <c r="N2747" s="30"/>
      <c r="O2747" s="30"/>
      <c r="P2747" s="30"/>
      <c r="Q2747" s="30"/>
      <c r="R2747" s="30"/>
      <c r="S2747" s="30"/>
      <c r="T2747" s="30"/>
      <c r="U2747" s="21" t="str">
        <f aca="false">IF(COUNT(K2747:T2747)=0,"SOURCE EMPTY / INDUSTRIAL ONLY",IF(MIN(K2747:T2747)=1,"SERVICE READY","HOLD"))</f>
        <v>SOURCE EMPTY / INDUSTRIAL ONLY</v>
      </c>
      <c r="V2747" s="9" t="n">
        <f aca="false">IF(U2747="SERVICE READY",1,0)</f>
        <v>0</v>
      </c>
      <c r="W2747" s="6"/>
      <c r="X2747" s="6"/>
      <c r="Y2747" s="6"/>
      <c r="Z2747" s="6"/>
    </row>
    <row r="2748" customFormat="false" ht="15" hidden="false" customHeight="false" outlineLevel="0" collapsed="false">
      <c r="A2748" s="9" t="s">
        <v>3015</v>
      </c>
      <c r="B2748" s="9" t="s">
        <v>2969</v>
      </c>
      <c r="C2748" s="9" t="s">
        <v>2970</v>
      </c>
      <c r="D2748" s="9" t="s">
        <v>2971</v>
      </c>
      <c r="E2748" s="9" t="s">
        <v>1660</v>
      </c>
      <c r="F2748" s="9" t="s">
        <v>203</v>
      </c>
      <c r="G2748" s="9" t="s">
        <v>221</v>
      </c>
      <c r="H2748" s="9" t="n">
        <v>1700</v>
      </c>
      <c r="I2748" s="29" t="n">
        <v>1.2</v>
      </c>
      <c r="J2748" s="9" t="n">
        <v>1</v>
      </c>
      <c r="K2748" s="30"/>
      <c r="L2748" s="30"/>
      <c r="M2748" s="30"/>
      <c r="N2748" s="30"/>
      <c r="O2748" s="30"/>
      <c r="P2748" s="30"/>
      <c r="Q2748" s="30"/>
      <c r="R2748" s="30"/>
      <c r="S2748" s="30"/>
      <c r="T2748" s="30"/>
      <c r="U2748" s="21" t="str">
        <f aca="false">IF(COUNT(K2748:T2748)=0,"SOURCE EMPTY / INDUSTRIAL ONLY",IF(MIN(K2748:T2748)=1,"SERVICE READY","HOLD"))</f>
        <v>SOURCE EMPTY / INDUSTRIAL ONLY</v>
      </c>
      <c r="V2748" s="9" t="n">
        <f aca="false">IF(U2748="SERVICE READY",1,0)</f>
        <v>0</v>
      </c>
      <c r="W2748" s="6"/>
      <c r="X2748" s="6"/>
      <c r="Y2748" s="6"/>
      <c r="Z2748" s="6"/>
    </row>
    <row r="2749" customFormat="false" ht="15" hidden="false" customHeight="false" outlineLevel="0" collapsed="false">
      <c r="A2749" s="9" t="s">
        <v>3016</v>
      </c>
      <c r="B2749" s="9" t="s">
        <v>2969</v>
      </c>
      <c r="C2749" s="9" t="s">
        <v>2970</v>
      </c>
      <c r="D2749" s="9" t="s">
        <v>2971</v>
      </c>
      <c r="E2749" s="9" t="s">
        <v>1660</v>
      </c>
      <c r="F2749" s="9" t="s">
        <v>205</v>
      </c>
      <c r="G2749" s="9" t="s">
        <v>221</v>
      </c>
      <c r="H2749" s="9" t="n">
        <v>1700</v>
      </c>
      <c r="I2749" s="29" t="n">
        <v>1.2</v>
      </c>
      <c r="J2749" s="9" t="n">
        <v>1</v>
      </c>
      <c r="K2749" s="30"/>
      <c r="L2749" s="30"/>
      <c r="M2749" s="30"/>
      <c r="N2749" s="30"/>
      <c r="O2749" s="30"/>
      <c r="P2749" s="30"/>
      <c r="Q2749" s="30"/>
      <c r="R2749" s="30"/>
      <c r="S2749" s="30"/>
      <c r="T2749" s="30"/>
      <c r="U2749" s="21" t="str">
        <f aca="false">IF(COUNT(K2749:T2749)=0,"SOURCE EMPTY / INDUSTRIAL ONLY",IF(MIN(K2749:T2749)=1,"SERVICE READY","HOLD"))</f>
        <v>SOURCE EMPTY / INDUSTRIAL ONLY</v>
      </c>
      <c r="V2749" s="9" t="n">
        <f aca="false">IF(U2749="SERVICE READY",1,0)</f>
        <v>0</v>
      </c>
      <c r="W2749" s="6"/>
      <c r="X2749" s="6"/>
      <c r="Y2749" s="6"/>
      <c r="Z2749" s="6"/>
    </row>
    <row r="2750" customFormat="false" ht="15" hidden="false" customHeight="false" outlineLevel="0" collapsed="false">
      <c r="A2750" s="9" t="s">
        <v>3017</v>
      </c>
      <c r="B2750" s="9" t="s">
        <v>2969</v>
      </c>
      <c r="C2750" s="9" t="s">
        <v>2970</v>
      </c>
      <c r="D2750" s="9" t="s">
        <v>2971</v>
      </c>
      <c r="E2750" s="9" t="s">
        <v>1660</v>
      </c>
      <c r="F2750" s="9" t="s">
        <v>207</v>
      </c>
      <c r="G2750" s="9" t="s">
        <v>221</v>
      </c>
      <c r="H2750" s="9" t="n">
        <v>1700</v>
      </c>
      <c r="I2750" s="29" t="n">
        <v>1.2</v>
      </c>
      <c r="J2750" s="9" t="n">
        <v>1</v>
      </c>
      <c r="K2750" s="30"/>
      <c r="L2750" s="30"/>
      <c r="M2750" s="30"/>
      <c r="N2750" s="30"/>
      <c r="O2750" s="30"/>
      <c r="P2750" s="30"/>
      <c r="Q2750" s="30"/>
      <c r="R2750" s="30"/>
      <c r="S2750" s="30"/>
      <c r="T2750" s="30"/>
      <c r="U2750" s="21" t="str">
        <f aca="false">IF(COUNT(K2750:T2750)=0,"SOURCE EMPTY / INDUSTRIAL ONLY",IF(MIN(K2750:T2750)=1,"SERVICE READY","HOLD"))</f>
        <v>SOURCE EMPTY / INDUSTRIAL ONLY</v>
      </c>
      <c r="V2750" s="9" t="n">
        <f aca="false">IF(U2750="SERVICE READY",1,0)</f>
        <v>0</v>
      </c>
      <c r="W2750" s="6"/>
      <c r="X2750" s="6"/>
      <c r="Y2750" s="6"/>
      <c r="Z2750" s="6"/>
    </row>
    <row r="2751" customFormat="false" ht="15" hidden="false" customHeight="false" outlineLevel="0" collapsed="false">
      <c r="A2751" s="9" t="s">
        <v>3018</v>
      </c>
      <c r="B2751" s="9" t="s">
        <v>2969</v>
      </c>
      <c r="C2751" s="9" t="s">
        <v>2970</v>
      </c>
      <c r="D2751" s="9" t="s">
        <v>2971</v>
      </c>
      <c r="E2751" s="9" t="s">
        <v>1660</v>
      </c>
      <c r="F2751" s="9" t="s">
        <v>209</v>
      </c>
      <c r="G2751" s="9" t="s">
        <v>221</v>
      </c>
      <c r="H2751" s="9" t="n">
        <v>1700</v>
      </c>
      <c r="I2751" s="29" t="n">
        <v>1.2</v>
      </c>
      <c r="J2751" s="9" t="n">
        <v>1</v>
      </c>
      <c r="K2751" s="30"/>
      <c r="L2751" s="30"/>
      <c r="M2751" s="30"/>
      <c r="N2751" s="30"/>
      <c r="O2751" s="30"/>
      <c r="P2751" s="30"/>
      <c r="Q2751" s="30"/>
      <c r="R2751" s="30"/>
      <c r="S2751" s="30"/>
      <c r="T2751" s="30"/>
      <c r="U2751" s="21" t="str">
        <f aca="false">IF(COUNT(K2751:T2751)=0,"SOURCE EMPTY / INDUSTRIAL ONLY",IF(MIN(K2751:T2751)=1,"SERVICE READY","HOLD"))</f>
        <v>SOURCE EMPTY / INDUSTRIAL ONLY</v>
      </c>
      <c r="V2751" s="9" t="n">
        <f aca="false">IF(U2751="SERVICE READY",1,0)</f>
        <v>0</v>
      </c>
      <c r="W2751" s="6"/>
      <c r="X2751" s="6"/>
      <c r="Y2751" s="6"/>
      <c r="Z2751" s="6"/>
    </row>
    <row r="2752" customFormat="false" ht="15" hidden="false" customHeight="false" outlineLevel="0" collapsed="false">
      <c r="A2752" s="9" t="s">
        <v>3019</v>
      </c>
      <c r="B2752" s="9" t="s">
        <v>2969</v>
      </c>
      <c r="C2752" s="9" t="s">
        <v>2970</v>
      </c>
      <c r="D2752" s="9" t="s">
        <v>2971</v>
      </c>
      <c r="E2752" s="9" t="s">
        <v>1660</v>
      </c>
      <c r="F2752" s="9" t="s">
        <v>211</v>
      </c>
      <c r="G2752" s="9" t="s">
        <v>221</v>
      </c>
      <c r="H2752" s="9" t="n">
        <v>1700</v>
      </c>
      <c r="I2752" s="29" t="n">
        <v>1.2</v>
      </c>
      <c r="J2752" s="9" t="n">
        <v>1</v>
      </c>
      <c r="K2752" s="30"/>
      <c r="L2752" s="30"/>
      <c r="M2752" s="30"/>
      <c r="N2752" s="30"/>
      <c r="O2752" s="30"/>
      <c r="P2752" s="30"/>
      <c r="Q2752" s="30"/>
      <c r="R2752" s="30"/>
      <c r="S2752" s="30"/>
      <c r="T2752" s="30"/>
      <c r="U2752" s="21" t="str">
        <f aca="false">IF(COUNT(K2752:T2752)=0,"SOURCE EMPTY / INDUSTRIAL ONLY",IF(MIN(K2752:T2752)=1,"SERVICE READY","HOLD"))</f>
        <v>SOURCE EMPTY / INDUSTRIAL ONLY</v>
      </c>
      <c r="V2752" s="9" t="n">
        <f aca="false">IF(U2752="SERVICE READY",1,0)</f>
        <v>0</v>
      </c>
      <c r="W2752" s="6"/>
      <c r="X2752" s="6"/>
      <c r="Y2752" s="6"/>
      <c r="Z2752" s="6"/>
    </row>
    <row r="2753" customFormat="false" ht="15" hidden="false" customHeight="false" outlineLevel="0" collapsed="false">
      <c r="A2753" s="9" t="s">
        <v>3020</v>
      </c>
      <c r="B2753" s="9" t="s">
        <v>2969</v>
      </c>
      <c r="C2753" s="9" t="s">
        <v>2970</v>
      </c>
      <c r="D2753" s="9" t="s">
        <v>2971</v>
      </c>
      <c r="E2753" s="9" t="s">
        <v>1660</v>
      </c>
      <c r="F2753" s="9" t="s">
        <v>197</v>
      </c>
      <c r="G2753" s="9" t="s">
        <v>221</v>
      </c>
      <c r="H2753" s="9" t="n">
        <v>1700</v>
      </c>
      <c r="I2753" s="29" t="n">
        <v>1.2</v>
      </c>
      <c r="J2753" s="9" t="n">
        <v>1</v>
      </c>
      <c r="K2753" s="30"/>
      <c r="L2753" s="30"/>
      <c r="M2753" s="30"/>
      <c r="N2753" s="30"/>
      <c r="O2753" s="30"/>
      <c r="P2753" s="30"/>
      <c r="Q2753" s="30"/>
      <c r="R2753" s="30"/>
      <c r="S2753" s="30"/>
      <c r="T2753" s="30"/>
      <c r="U2753" s="21" t="str">
        <f aca="false">IF(COUNT(K2753:T2753)=0,"SOURCE EMPTY / INDUSTRIAL ONLY",IF(MIN(K2753:T2753)=1,"SERVICE READY","HOLD"))</f>
        <v>SOURCE EMPTY / INDUSTRIAL ONLY</v>
      </c>
      <c r="V2753" s="9" t="n">
        <f aca="false">IF(U2753="SERVICE READY",1,0)</f>
        <v>0</v>
      </c>
      <c r="W2753" s="6"/>
      <c r="X2753" s="6"/>
      <c r="Y2753" s="6"/>
      <c r="Z2753" s="6"/>
    </row>
    <row r="2754" customFormat="false" ht="15" hidden="false" customHeight="false" outlineLevel="0" collapsed="false">
      <c r="A2754" s="9" t="s">
        <v>3021</v>
      </c>
      <c r="B2754" s="9" t="s">
        <v>2969</v>
      </c>
      <c r="C2754" s="9" t="s">
        <v>2970</v>
      </c>
      <c r="D2754" s="9" t="s">
        <v>2971</v>
      </c>
      <c r="E2754" s="9" t="s">
        <v>1660</v>
      </c>
      <c r="F2754" s="9" t="s">
        <v>200</v>
      </c>
      <c r="G2754" s="9" t="s">
        <v>221</v>
      </c>
      <c r="H2754" s="9" t="n">
        <v>1700</v>
      </c>
      <c r="I2754" s="29" t="n">
        <v>1.2</v>
      </c>
      <c r="J2754" s="9" t="n">
        <v>1</v>
      </c>
      <c r="K2754" s="30"/>
      <c r="L2754" s="30"/>
      <c r="M2754" s="30"/>
      <c r="N2754" s="30"/>
      <c r="O2754" s="30"/>
      <c r="P2754" s="30"/>
      <c r="Q2754" s="30"/>
      <c r="R2754" s="30"/>
      <c r="S2754" s="30"/>
      <c r="T2754" s="30"/>
      <c r="U2754" s="21" t="str">
        <f aca="false">IF(COUNT(K2754:T2754)=0,"SOURCE EMPTY / INDUSTRIAL ONLY",IF(MIN(K2754:T2754)=1,"SERVICE READY","HOLD"))</f>
        <v>SOURCE EMPTY / INDUSTRIAL ONLY</v>
      </c>
      <c r="V2754" s="9" t="n">
        <f aca="false">IF(U2754="SERVICE READY",1,0)</f>
        <v>0</v>
      </c>
      <c r="W2754" s="6"/>
      <c r="X2754" s="6"/>
      <c r="Y2754" s="6"/>
      <c r="Z2754" s="6"/>
    </row>
    <row r="2755" customFormat="false" ht="15" hidden="false" customHeight="false" outlineLevel="0" collapsed="false">
      <c r="A2755" s="9" t="s">
        <v>3022</v>
      </c>
      <c r="B2755" s="9" t="s">
        <v>2969</v>
      </c>
      <c r="C2755" s="9" t="s">
        <v>2970</v>
      </c>
      <c r="D2755" s="9" t="s">
        <v>2971</v>
      </c>
      <c r="E2755" s="9" t="s">
        <v>1660</v>
      </c>
      <c r="F2755" s="9" t="s">
        <v>203</v>
      </c>
      <c r="G2755" s="9" t="s">
        <v>221</v>
      </c>
      <c r="H2755" s="9" t="n">
        <v>1700</v>
      </c>
      <c r="I2755" s="29" t="n">
        <v>1.2</v>
      </c>
      <c r="J2755" s="9" t="n">
        <v>1</v>
      </c>
      <c r="K2755" s="30"/>
      <c r="L2755" s="30"/>
      <c r="M2755" s="30"/>
      <c r="N2755" s="30"/>
      <c r="O2755" s="30"/>
      <c r="P2755" s="30"/>
      <c r="Q2755" s="30"/>
      <c r="R2755" s="30"/>
      <c r="S2755" s="30"/>
      <c r="T2755" s="30"/>
      <c r="U2755" s="21" t="str">
        <f aca="false">IF(COUNT(K2755:T2755)=0,"SOURCE EMPTY / INDUSTRIAL ONLY",IF(MIN(K2755:T2755)=1,"SERVICE READY","HOLD"))</f>
        <v>SOURCE EMPTY / INDUSTRIAL ONLY</v>
      </c>
      <c r="V2755" s="9" t="n">
        <f aca="false">IF(U2755="SERVICE READY",1,0)</f>
        <v>0</v>
      </c>
      <c r="W2755" s="6"/>
      <c r="X2755" s="6"/>
      <c r="Y2755" s="6"/>
      <c r="Z2755" s="6"/>
    </row>
    <row r="2756" customFormat="false" ht="15" hidden="false" customHeight="false" outlineLevel="0" collapsed="false">
      <c r="A2756" s="9" t="s">
        <v>3023</v>
      </c>
      <c r="B2756" s="9" t="s">
        <v>2969</v>
      </c>
      <c r="C2756" s="9" t="s">
        <v>2970</v>
      </c>
      <c r="D2756" s="9" t="s">
        <v>2971</v>
      </c>
      <c r="E2756" s="9" t="s">
        <v>1660</v>
      </c>
      <c r="F2756" s="9" t="s">
        <v>205</v>
      </c>
      <c r="G2756" s="9" t="s">
        <v>221</v>
      </c>
      <c r="H2756" s="9" t="n">
        <v>1700</v>
      </c>
      <c r="I2756" s="29" t="n">
        <v>1.2</v>
      </c>
      <c r="J2756" s="9" t="n">
        <v>1</v>
      </c>
      <c r="K2756" s="30"/>
      <c r="L2756" s="30"/>
      <c r="M2756" s="30"/>
      <c r="N2756" s="30"/>
      <c r="O2756" s="30"/>
      <c r="P2756" s="30"/>
      <c r="Q2756" s="30"/>
      <c r="R2756" s="30"/>
      <c r="S2756" s="30"/>
      <c r="T2756" s="30"/>
      <c r="U2756" s="21" t="str">
        <f aca="false">IF(COUNT(K2756:T2756)=0,"SOURCE EMPTY / INDUSTRIAL ONLY",IF(MIN(K2756:T2756)=1,"SERVICE READY","HOLD"))</f>
        <v>SOURCE EMPTY / INDUSTRIAL ONLY</v>
      </c>
      <c r="V2756" s="9" t="n">
        <f aca="false">IF(U2756="SERVICE READY",1,0)</f>
        <v>0</v>
      </c>
      <c r="W2756" s="6"/>
      <c r="X2756" s="6"/>
      <c r="Y2756" s="6"/>
      <c r="Z2756" s="6"/>
    </row>
    <row r="2757" customFormat="false" ht="15" hidden="false" customHeight="false" outlineLevel="0" collapsed="false">
      <c r="A2757" s="9" t="s">
        <v>3024</v>
      </c>
      <c r="B2757" s="9" t="s">
        <v>2969</v>
      </c>
      <c r="C2757" s="9" t="s">
        <v>2970</v>
      </c>
      <c r="D2757" s="9" t="s">
        <v>2971</v>
      </c>
      <c r="E2757" s="9" t="s">
        <v>1660</v>
      </c>
      <c r="F2757" s="9" t="s">
        <v>207</v>
      </c>
      <c r="G2757" s="9" t="s">
        <v>221</v>
      </c>
      <c r="H2757" s="9" t="n">
        <v>1700</v>
      </c>
      <c r="I2757" s="29" t="n">
        <v>1.2</v>
      </c>
      <c r="J2757" s="9" t="n">
        <v>1</v>
      </c>
      <c r="K2757" s="30"/>
      <c r="L2757" s="30"/>
      <c r="M2757" s="30"/>
      <c r="N2757" s="30"/>
      <c r="O2757" s="30"/>
      <c r="P2757" s="30"/>
      <c r="Q2757" s="30"/>
      <c r="R2757" s="30"/>
      <c r="S2757" s="30"/>
      <c r="T2757" s="30"/>
      <c r="U2757" s="21" t="str">
        <f aca="false">IF(COUNT(K2757:T2757)=0,"SOURCE EMPTY / INDUSTRIAL ONLY",IF(MIN(K2757:T2757)=1,"SERVICE READY","HOLD"))</f>
        <v>SOURCE EMPTY / INDUSTRIAL ONLY</v>
      </c>
      <c r="V2757" s="9" t="n">
        <f aca="false">IF(U2757="SERVICE READY",1,0)</f>
        <v>0</v>
      </c>
      <c r="W2757" s="6"/>
      <c r="X2757" s="6"/>
      <c r="Y2757" s="6"/>
      <c r="Z2757" s="6"/>
    </row>
    <row r="2758" customFormat="false" ht="15" hidden="false" customHeight="false" outlineLevel="0" collapsed="false">
      <c r="A2758" s="9" t="s">
        <v>3025</v>
      </c>
      <c r="B2758" s="9" t="s">
        <v>2969</v>
      </c>
      <c r="C2758" s="9" t="s">
        <v>2970</v>
      </c>
      <c r="D2758" s="9" t="s">
        <v>2971</v>
      </c>
      <c r="E2758" s="9" t="s">
        <v>1660</v>
      </c>
      <c r="F2758" s="9" t="s">
        <v>209</v>
      </c>
      <c r="G2758" s="9" t="s">
        <v>221</v>
      </c>
      <c r="H2758" s="9" t="n">
        <v>1700</v>
      </c>
      <c r="I2758" s="29" t="n">
        <v>1.2</v>
      </c>
      <c r="J2758" s="9" t="n">
        <v>1</v>
      </c>
      <c r="K2758" s="30"/>
      <c r="L2758" s="30"/>
      <c r="M2758" s="30"/>
      <c r="N2758" s="30"/>
      <c r="O2758" s="30"/>
      <c r="P2758" s="30"/>
      <c r="Q2758" s="30"/>
      <c r="R2758" s="30"/>
      <c r="S2758" s="30"/>
      <c r="T2758" s="30"/>
      <c r="U2758" s="21" t="str">
        <f aca="false">IF(COUNT(K2758:T2758)=0,"SOURCE EMPTY / INDUSTRIAL ONLY",IF(MIN(K2758:T2758)=1,"SERVICE READY","HOLD"))</f>
        <v>SOURCE EMPTY / INDUSTRIAL ONLY</v>
      </c>
      <c r="V2758" s="9" t="n">
        <f aca="false">IF(U2758="SERVICE READY",1,0)</f>
        <v>0</v>
      </c>
      <c r="W2758" s="6"/>
      <c r="X2758" s="6"/>
      <c r="Y2758" s="6"/>
      <c r="Z2758" s="6"/>
    </row>
    <row r="2759" customFormat="false" ht="15" hidden="false" customHeight="false" outlineLevel="0" collapsed="false">
      <c r="A2759" s="9" t="s">
        <v>3026</v>
      </c>
      <c r="B2759" s="9" t="s">
        <v>2969</v>
      </c>
      <c r="C2759" s="9" t="s">
        <v>2970</v>
      </c>
      <c r="D2759" s="9" t="s">
        <v>2971</v>
      </c>
      <c r="E2759" s="9" t="s">
        <v>1660</v>
      </c>
      <c r="F2759" s="9" t="s">
        <v>211</v>
      </c>
      <c r="G2759" s="9" t="s">
        <v>221</v>
      </c>
      <c r="H2759" s="9" t="n">
        <v>1700</v>
      </c>
      <c r="I2759" s="29" t="n">
        <v>1.2</v>
      </c>
      <c r="J2759" s="9" t="n">
        <v>1</v>
      </c>
      <c r="K2759" s="30"/>
      <c r="L2759" s="30"/>
      <c r="M2759" s="30"/>
      <c r="N2759" s="30"/>
      <c r="O2759" s="30"/>
      <c r="P2759" s="30"/>
      <c r="Q2759" s="30"/>
      <c r="R2759" s="30"/>
      <c r="S2759" s="30"/>
      <c r="T2759" s="30"/>
      <c r="U2759" s="21" t="str">
        <f aca="false">IF(COUNT(K2759:T2759)=0,"SOURCE EMPTY / INDUSTRIAL ONLY",IF(MIN(K2759:T2759)=1,"SERVICE READY","HOLD"))</f>
        <v>SOURCE EMPTY / INDUSTRIAL ONLY</v>
      </c>
      <c r="V2759" s="9" t="n">
        <f aca="false">IF(U2759="SERVICE READY",1,0)</f>
        <v>0</v>
      </c>
      <c r="W2759" s="6"/>
      <c r="X2759" s="6"/>
      <c r="Y2759" s="6"/>
      <c r="Z2759" s="6"/>
    </row>
    <row r="2760" customFormat="false" ht="15" hidden="false" customHeight="false" outlineLevel="0" collapsed="false">
      <c r="A2760" s="9" t="s">
        <v>3027</v>
      </c>
      <c r="B2760" s="9" t="s">
        <v>2969</v>
      </c>
      <c r="C2760" s="9" t="s">
        <v>2970</v>
      </c>
      <c r="D2760" s="9" t="s">
        <v>2971</v>
      </c>
      <c r="E2760" s="9" t="s">
        <v>1660</v>
      </c>
      <c r="F2760" s="9" t="s">
        <v>197</v>
      </c>
      <c r="G2760" s="9" t="s">
        <v>221</v>
      </c>
      <c r="H2760" s="9" t="n">
        <v>1700</v>
      </c>
      <c r="I2760" s="29" t="n">
        <v>1.2</v>
      </c>
      <c r="J2760" s="9" t="n">
        <v>1</v>
      </c>
      <c r="K2760" s="30"/>
      <c r="L2760" s="30"/>
      <c r="M2760" s="30"/>
      <c r="N2760" s="30"/>
      <c r="O2760" s="30"/>
      <c r="P2760" s="30"/>
      <c r="Q2760" s="30"/>
      <c r="R2760" s="30"/>
      <c r="S2760" s="30"/>
      <c r="T2760" s="30"/>
      <c r="U2760" s="21" t="str">
        <f aca="false">IF(COUNT(K2760:T2760)=0,"SOURCE EMPTY / INDUSTRIAL ONLY",IF(MIN(K2760:T2760)=1,"SERVICE READY","HOLD"))</f>
        <v>SOURCE EMPTY / INDUSTRIAL ONLY</v>
      </c>
      <c r="V2760" s="9" t="n">
        <f aca="false">IF(U2760="SERVICE READY",1,0)</f>
        <v>0</v>
      </c>
      <c r="W2760" s="6"/>
      <c r="X2760" s="6"/>
      <c r="Y2760" s="6"/>
      <c r="Z2760" s="6"/>
    </row>
    <row r="2761" customFormat="false" ht="15" hidden="false" customHeight="false" outlineLevel="0" collapsed="false">
      <c r="A2761" s="9" t="s">
        <v>3028</v>
      </c>
      <c r="B2761" s="9" t="s">
        <v>2969</v>
      </c>
      <c r="C2761" s="9" t="s">
        <v>2970</v>
      </c>
      <c r="D2761" s="9" t="s">
        <v>2971</v>
      </c>
      <c r="E2761" s="9" t="s">
        <v>1660</v>
      </c>
      <c r="F2761" s="9" t="s">
        <v>200</v>
      </c>
      <c r="G2761" s="9" t="s">
        <v>221</v>
      </c>
      <c r="H2761" s="9" t="n">
        <v>1700</v>
      </c>
      <c r="I2761" s="29" t="n">
        <v>1.2</v>
      </c>
      <c r="J2761" s="9" t="n">
        <v>1</v>
      </c>
      <c r="K2761" s="30"/>
      <c r="L2761" s="30"/>
      <c r="M2761" s="30"/>
      <c r="N2761" s="30"/>
      <c r="O2761" s="30"/>
      <c r="P2761" s="30"/>
      <c r="Q2761" s="30"/>
      <c r="R2761" s="30"/>
      <c r="S2761" s="30"/>
      <c r="T2761" s="30"/>
      <c r="U2761" s="21" t="str">
        <f aca="false">IF(COUNT(K2761:T2761)=0,"SOURCE EMPTY / INDUSTRIAL ONLY",IF(MIN(K2761:T2761)=1,"SERVICE READY","HOLD"))</f>
        <v>SOURCE EMPTY / INDUSTRIAL ONLY</v>
      </c>
      <c r="V2761" s="9" t="n">
        <f aca="false">IF(U2761="SERVICE READY",1,0)</f>
        <v>0</v>
      </c>
      <c r="W2761" s="6"/>
      <c r="X2761" s="6"/>
      <c r="Y2761" s="6"/>
      <c r="Z2761" s="6"/>
    </row>
    <row r="2762" customFormat="false" ht="15" hidden="false" customHeight="false" outlineLevel="0" collapsed="false">
      <c r="A2762" s="9" t="s">
        <v>3029</v>
      </c>
      <c r="B2762" s="9" t="s">
        <v>2969</v>
      </c>
      <c r="C2762" s="9" t="s">
        <v>2970</v>
      </c>
      <c r="D2762" s="9" t="s">
        <v>2971</v>
      </c>
      <c r="E2762" s="9" t="s">
        <v>1660</v>
      </c>
      <c r="F2762" s="9" t="s">
        <v>203</v>
      </c>
      <c r="G2762" s="9" t="s">
        <v>221</v>
      </c>
      <c r="H2762" s="9" t="n">
        <v>1700</v>
      </c>
      <c r="I2762" s="29" t="n">
        <v>1.2</v>
      </c>
      <c r="J2762" s="9" t="n">
        <v>1</v>
      </c>
      <c r="K2762" s="30"/>
      <c r="L2762" s="30"/>
      <c r="M2762" s="30"/>
      <c r="N2762" s="30"/>
      <c r="O2762" s="30"/>
      <c r="P2762" s="30"/>
      <c r="Q2762" s="30"/>
      <c r="R2762" s="30"/>
      <c r="S2762" s="30"/>
      <c r="T2762" s="30"/>
      <c r="U2762" s="21" t="str">
        <f aca="false">IF(COUNT(K2762:T2762)=0,"SOURCE EMPTY / INDUSTRIAL ONLY",IF(MIN(K2762:T2762)=1,"SERVICE READY","HOLD"))</f>
        <v>SOURCE EMPTY / INDUSTRIAL ONLY</v>
      </c>
      <c r="V2762" s="9" t="n">
        <f aca="false">IF(U2762="SERVICE READY",1,0)</f>
        <v>0</v>
      </c>
      <c r="W2762" s="6"/>
      <c r="X2762" s="6"/>
      <c r="Y2762" s="6"/>
      <c r="Z2762" s="6"/>
    </row>
    <row r="2763" customFormat="false" ht="15" hidden="false" customHeight="false" outlineLevel="0" collapsed="false">
      <c r="A2763" s="9" t="s">
        <v>3030</v>
      </c>
      <c r="B2763" s="9" t="s">
        <v>2969</v>
      </c>
      <c r="C2763" s="9" t="s">
        <v>2970</v>
      </c>
      <c r="D2763" s="9" t="s">
        <v>2971</v>
      </c>
      <c r="E2763" s="9" t="s">
        <v>1660</v>
      </c>
      <c r="F2763" s="9" t="s">
        <v>205</v>
      </c>
      <c r="G2763" s="9" t="s">
        <v>221</v>
      </c>
      <c r="H2763" s="9" t="n">
        <v>1700</v>
      </c>
      <c r="I2763" s="29" t="n">
        <v>1.2</v>
      </c>
      <c r="J2763" s="9" t="n">
        <v>1</v>
      </c>
      <c r="K2763" s="30"/>
      <c r="L2763" s="30"/>
      <c r="M2763" s="30"/>
      <c r="N2763" s="30"/>
      <c r="O2763" s="30"/>
      <c r="P2763" s="30"/>
      <c r="Q2763" s="30"/>
      <c r="R2763" s="30"/>
      <c r="S2763" s="30"/>
      <c r="T2763" s="30"/>
      <c r="U2763" s="21" t="str">
        <f aca="false">IF(COUNT(K2763:T2763)=0,"SOURCE EMPTY / INDUSTRIAL ONLY",IF(MIN(K2763:T2763)=1,"SERVICE READY","HOLD"))</f>
        <v>SOURCE EMPTY / INDUSTRIAL ONLY</v>
      </c>
      <c r="V2763" s="9" t="n">
        <f aca="false">IF(U2763="SERVICE READY",1,0)</f>
        <v>0</v>
      </c>
      <c r="W2763" s="6"/>
      <c r="X2763" s="6"/>
      <c r="Y2763" s="6"/>
      <c r="Z2763" s="6"/>
    </row>
    <row r="2764" customFormat="false" ht="15" hidden="false" customHeight="false" outlineLevel="0" collapsed="false">
      <c r="A2764" s="9" t="s">
        <v>3031</v>
      </c>
      <c r="B2764" s="9" t="s">
        <v>2969</v>
      </c>
      <c r="C2764" s="9" t="s">
        <v>2970</v>
      </c>
      <c r="D2764" s="9" t="s">
        <v>2971</v>
      </c>
      <c r="E2764" s="9" t="s">
        <v>1660</v>
      </c>
      <c r="F2764" s="9" t="s">
        <v>207</v>
      </c>
      <c r="G2764" s="9" t="s">
        <v>221</v>
      </c>
      <c r="H2764" s="9" t="n">
        <v>1700</v>
      </c>
      <c r="I2764" s="29" t="n">
        <v>1.2</v>
      </c>
      <c r="J2764" s="9" t="n">
        <v>1</v>
      </c>
      <c r="K2764" s="30"/>
      <c r="L2764" s="30"/>
      <c r="M2764" s="30"/>
      <c r="N2764" s="30"/>
      <c r="O2764" s="30"/>
      <c r="P2764" s="30"/>
      <c r="Q2764" s="30"/>
      <c r="R2764" s="30"/>
      <c r="S2764" s="30"/>
      <c r="T2764" s="30"/>
      <c r="U2764" s="21" t="str">
        <f aca="false">IF(COUNT(K2764:T2764)=0,"SOURCE EMPTY / INDUSTRIAL ONLY",IF(MIN(K2764:T2764)=1,"SERVICE READY","HOLD"))</f>
        <v>SOURCE EMPTY / INDUSTRIAL ONLY</v>
      </c>
      <c r="V2764" s="9" t="n">
        <f aca="false">IF(U2764="SERVICE READY",1,0)</f>
        <v>0</v>
      </c>
      <c r="W2764" s="6"/>
      <c r="X2764" s="6"/>
      <c r="Y2764" s="6"/>
      <c r="Z2764" s="6"/>
    </row>
    <row r="2765" customFormat="false" ht="15" hidden="false" customHeight="false" outlineLevel="0" collapsed="false">
      <c r="A2765" s="9" t="s">
        <v>3032</v>
      </c>
      <c r="B2765" s="9" t="s">
        <v>2969</v>
      </c>
      <c r="C2765" s="9" t="s">
        <v>2970</v>
      </c>
      <c r="D2765" s="9" t="s">
        <v>2971</v>
      </c>
      <c r="E2765" s="9" t="s">
        <v>1660</v>
      </c>
      <c r="F2765" s="9" t="s">
        <v>209</v>
      </c>
      <c r="G2765" s="9" t="s">
        <v>221</v>
      </c>
      <c r="H2765" s="9" t="n">
        <v>1700</v>
      </c>
      <c r="I2765" s="29" t="n">
        <v>1.2</v>
      </c>
      <c r="J2765" s="9" t="n">
        <v>1</v>
      </c>
      <c r="K2765" s="30"/>
      <c r="L2765" s="30"/>
      <c r="M2765" s="30"/>
      <c r="N2765" s="30"/>
      <c r="O2765" s="30"/>
      <c r="P2765" s="30"/>
      <c r="Q2765" s="30"/>
      <c r="R2765" s="30"/>
      <c r="S2765" s="30"/>
      <c r="T2765" s="30"/>
      <c r="U2765" s="21" t="str">
        <f aca="false">IF(COUNT(K2765:T2765)=0,"SOURCE EMPTY / INDUSTRIAL ONLY",IF(MIN(K2765:T2765)=1,"SERVICE READY","HOLD"))</f>
        <v>SOURCE EMPTY / INDUSTRIAL ONLY</v>
      </c>
      <c r="V2765" s="9" t="n">
        <f aca="false">IF(U2765="SERVICE READY",1,0)</f>
        <v>0</v>
      </c>
      <c r="W2765" s="6"/>
      <c r="X2765" s="6"/>
      <c r="Y2765" s="6"/>
      <c r="Z2765" s="6"/>
    </row>
    <row r="2766" customFormat="false" ht="15" hidden="false" customHeight="false" outlineLevel="0" collapsed="false">
      <c r="A2766" s="9" t="s">
        <v>3033</v>
      </c>
      <c r="B2766" s="9" t="s">
        <v>2969</v>
      </c>
      <c r="C2766" s="9" t="s">
        <v>2970</v>
      </c>
      <c r="D2766" s="9" t="s">
        <v>2971</v>
      </c>
      <c r="E2766" s="9" t="s">
        <v>1660</v>
      </c>
      <c r="F2766" s="9" t="s">
        <v>211</v>
      </c>
      <c r="G2766" s="9" t="s">
        <v>221</v>
      </c>
      <c r="H2766" s="9" t="n">
        <v>1700</v>
      </c>
      <c r="I2766" s="29" t="n">
        <v>1.2</v>
      </c>
      <c r="J2766" s="9" t="n">
        <v>1</v>
      </c>
      <c r="K2766" s="30"/>
      <c r="L2766" s="30"/>
      <c r="M2766" s="30"/>
      <c r="N2766" s="30"/>
      <c r="O2766" s="30"/>
      <c r="P2766" s="30"/>
      <c r="Q2766" s="30"/>
      <c r="R2766" s="30"/>
      <c r="S2766" s="30"/>
      <c r="T2766" s="30"/>
      <c r="U2766" s="21" t="str">
        <f aca="false">IF(COUNT(K2766:T2766)=0,"SOURCE EMPTY / INDUSTRIAL ONLY",IF(MIN(K2766:T2766)=1,"SERVICE READY","HOLD"))</f>
        <v>SOURCE EMPTY / INDUSTRIAL ONLY</v>
      </c>
      <c r="V2766" s="9" t="n">
        <f aca="false">IF(U2766="SERVICE READY",1,0)</f>
        <v>0</v>
      </c>
      <c r="W2766" s="6"/>
      <c r="X2766" s="6"/>
      <c r="Y2766" s="6"/>
      <c r="Z2766" s="6"/>
    </row>
    <row r="2767" customFormat="false" ht="15" hidden="false" customHeight="false" outlineLevel="0" collapsed="false">
      <c r="A2767" s="9" t="s">
        <v>3034</v>
      </c>
      <c r="B2767" s="9" t="s">
        <v>2969</v>
      </c>
      <c r="C2767" s="9" t="s">
        <v>2970</v>
      </c>
      <c r="D2767" s="9" t="s">
        <v>2971</v>
      </c>
      <c r="E2767" s="9" t="s">
        <v>1660</v>
      </c>
      <c r="F2767" s="9" t="s">
        <v>197</v>
      </c>
      <c r="G2767" s="9" t="s">
        <v>221</v>
      </c>
      <c r="H2767" s="9" t="n">
        <v>1700</v>
      </c>
      <c r="I2767" s="29" t="n">
        <v>1.2</v>
      </c>
      <c r="J2767" s="9" t="n">
        <v>1</v>
      </c>
      <c r="K2767" s="30"/>
      <c r="L2767" s="30"/>
      <c r="M2767" s="30"/>
      <c r="N2767" s="30"/>
      <c r="O2767" s="30"/>
      <c r="P2767" s="30"/>
      <c r="Q2767" s="30"/>
      <c r="R2767" s="30"/>
      <c r="S2767" s="30"/>
      <c r="T2767" s="30"/>
      <c r="U2767" s="21" t="str">
        <f aca="false">IF(COUNT(K2767:T2767)=0,"SOURCE EMPTY / INDUSTRIAL ONLY",IF(MIN(K2767:T2767)=1,"SERVICE READY","HOLD"))</f>
        <v>SOURCE EMPTY / INDUSTRIAL ONLY</v>
      </c>
      <c r="V2767" s="9" t="n">
        <f aca="false">IF(U2767="SERVICE READY",1,0)</f>
        <v>0</v>
      </c>
      <c r="W2767" s="6"/>
      <c r="X2767" s="6"/>
      <c r="Y2767" s="6"/>
      <c r="Z2767" s="6"/>
    </row>
    <row r="2768" customFormat="false" ht="15" hidden="false" customHeight="false" outlineLevel="0" collapsed="false">
      <c r="A2768" s="9" t="s">
        <v>3035</v>
      </c>
      <c r="B2768" s="9" t="s">
        <v>2969</v>
      </c>
      <c r="C2768" s="9" t="s">
        <v>2970</v>
      </c>
      <c r="D2768" s="9" t="s">
        <v>2971</v>
      </c>
      <c r="E2768" s="9" t="s">
        <v>1660</v>
      </c>
      <c r="F2768" s="9" t="s">
        <v>200</v>
      </c>
      <c r="G2768" s="9" t="s">
        <v>221</v>
      </c>
      <c r="H2768" s="9" t="n">
        <v>1700</v>
      </c>
      <c r="I2768" s="29" t="n">
        <v>1.2</v>
      </c>
      <c r="J2768" s="9" t="n">
        <v>1</v>
      </c>
      <c r="K2768" s="30"/>
      <c r="L2768" s="30"/>
      <c r="M2768" s="30"/>
      <c r="N2768" s="30"/>
      <c r="O2768" s="30"/>
      <c r="P2768" s="30"/>
      <c r="Q2768" s="30"/>
      <c r="R2768" s="30"/>
      <c r="S2768" s="30"/>
      <c r="T2768" s="30"/>
      <c r="U2768" s="21" t="str">
        <f aca="false">IF(COUNT(K2768:T2768)=0,"SOURCE EMPTY / INDUSTRIAL ONLY",IF(MIN(K2768:T2768)=1,"SERVICE READY","HOLD"))</f>
        <v>SOURCE EMPTY / INDUSTRIAL ONLY</v>
      </c>
      <c r="V2768" s="9" t="n">
        <f aca="false">IF(U2768="SERVICE READY",1,0)</f>
        <v>0</v>
      </c>
      <c r="W2768" s="6"/>
      <c r="X2768" s="6"/>
      <c r="Y2768" s="6"/>
      <c r="Z2768" s="6"/>
    </row>
    <row r="2769" customFormat="false" ht="15" hidden="false" customHeight="false" outlineLevel="0" collapsed="false">
      <c r="A2769" s="9" t="s">
        <v>3036</v>
      </c>
      <c r="B2769" s="9" t="s">
        <v>2969</v>
      </c>
      <c r="C2769" s="9" t="s">
        <v>2970</v>
      </c>
      <c r="D2769" s="9" t="s">
        <v>2971</v>
      </c>
      <c r="E2769" s="9" t="s">
        <v>1660</v>
      </c>
      <c r="F2769" s="9" t="s">
        <v>203</v>
      </c>
      <c r="G2769" s="9" t="s">
        <v>221</v>
      </c>
      <c r="H2769" s="9" t="n">
        <v>1700</v>
      </c>
      <c r="I2769" s="29" t="n">
        <v>1.2</v>
      </c>
      <c r="J2769" s="9" t="n">
        <v>1</v>
      </c>
      <c r="K2769" s="30"/>
      <c r="L2769" s="30"/>
      <c r="M2769" s="30"/>
      <c r="N2769" s="30"/>
      <c r="O2769" s="30"/>
      <c r="P2769" s="30"/>
      <c r="Q2769" s="30"/>
      <c r="R2769" s="30"/>
      <c r="S2769" s="30"/>
      <c r="T2769" s="30"/>
      <c r="U2769" s="21" t="str">
        <f aca="false">IF(COUNT(K2769:T2769)=0,"SOURCE EMPTY / INDUSTRIAL ONLY",IF(MIN(K2769:T2769)=1,"SERVICE READY","HOLD"))</f>
        <v>SOURCE EMPTY / INDUSTRIAL ONLY</v>
      </c>
      <c r="V2769" s="9" t="n">
        <f aca="false">IF(U2769="SERVICE READY",1,0)</f>
        <v>0</v>
      </c>
      <c r="W2769" s="6"/>
      <c r="X2769" s="6"/>
      <c r="Y2769" s="6"/>
      <c r="Z2769" s="6"/>
    </row>
    <row r="2770" customFormat="false" ht="15" hidden="false" customHeight="false" outlineLevel="0" collapsed="false">
      <c r="A2770" s="9" t="s">
        <v>3037</v>
      </c>
      <c r="B2770" s="9" t="s">
        <v>2969</v>
      </c>
      <c r="C2770" s="9" t="s">
        <v>2970</v>
      </c>
      <c r="D2770" s="9" t="s">
        <v>2971</v>
      </c>
      <c r="E2770" s="9" t="s">
        <v>1660</v>
      </c>
      <c r="F2770" s="9" t="s">
        <v>205</v>
      </c>
      <c r="G2770" s="9" t="s">
        <v>221</v>
      </c>
      <c r="H2770" s="9" t="n">
        <v>1700</v>
      </c>
      <c r="I2770" s="29" t="n">
        <v>1.2</v>
      </c>
      <c r="J2770" s="9" t="n">
        <v>1</v>
      </c>
      <c r="K2770" s="30"/>
      <c r="L2770" s="30"/>
      <c r="M2770" s="30"/>
      <c r="N2770" s="30"/>
      <c r="O2770" s="30"/>
      <c r="P2770" s="30"/>
      <c r="Q2770" s="30"/>
      <c r="R2770" s="30"/>
      <c r="S2770" s="30"/>
      <c r="T2770" s="30"/>
      <c r="U2770" s="21" t="str">
        <f aca="false">IF(COUNT(K2770:T2770)=0,"SOURCE EMPTY / INDUSTRIAL ONLY",IF(MIN(K2770:T2770)=1,"SERVICE READY","HOLD"))</f>
        <v>SOURCE EMPTY / INDUSTRIAL ONLY</v>
      </c>
      <c r="V2770" s="9" t="n">
        <f aca="false">IF(U2770="SERVICE READY",1,0)</f>
        <v>0</v>
      </c>
      <c r="W2770" s="6"/>
      <c r="X2770" s="6"/>
      <c r="Y2770" s="6"/>
      <c r="Z2770" s="6"/>
    </row>
    <row r="2771" customFormat="false" ht="15" hidden="false" customHeight="false" outlineLevel="0" collapsed="false">
      <c r="A2771" s="9" t="s">
        <v>3038</v>
      </c>
      <c r="B2771" s="9" t="s">
        <v>2969</v>
      </c>
      <c r="C2771" s="9" t="s">
        <v>2970</v>
      </c>
      <c r="D2771" s="9" t="s">
        <v>2971</v>
      </c>
      <c r="E2771" s="9" t="s">
        <v>1660</v>
      </c>
      <c r="F2771" s="9" t="s">
        <v>207</v>
      </c>
      <c r="G2771" s="9" t="s">
        <v>221</v>
      </c>
      <c r="H2771" s="9" t="n">
        <v>1700</v>
      </c>
      <c r="I2771" s="29" t="n">
        <v>1.2</v>
      </c>
      <c r="J2771" s="9" t="n">
        <v>1</v>
      </c>
      <c r="K2771" s="30"/>
      <c r="L2771" s="30"/>
      <c r="M2771" s="30"/>
      <c r="N2771" s="30"/>
      <c r="O2771" s="30"/>
      <c r="P2771" s="30"/>
      <c r="Q2771" s="30"/>
      <c r="R2771" s="30"/>
      <c r="S2771" s="30"/>
      <c r="T2771" s="30"/>
      <c r="U2771" s="21" t="str">
        <f aca="false">IF(COUNT(K2771:T2771)=0,"SOURCE EMPTY / INDUSTRIAL ONLY",IF(MIN(K2771:T2771)=1,"SERVICE READY","HOLD"))</f>
        <v>SOURCE EMPTY / INDUSTRIAL ONLY</v>
      </c>
      <c r="V2771" s="9" t="n">
        <f aca="false">IF(U2771="SERVICE READY",1,0)</f>
        <v>0</v>
      </c>
      <c r="W2771" s="6"/>
      <c r="X2771" s="6"/>
      <c r="Y2771" s="6"/>
      <c r="Z2771" s="6"/>
    </row>
    <row r="2772" customFormat="false" ht="15" hidden="false" customHeight="false" outlineLevel="0" collapsed="false">
      <c r="A2772" s="9" t="s">
        <v>3039</v>
      </c>
      <c r="B2772" s="9" t="s">
        <v>2969</v>
      </c>
      <c r="C2772" s="9" t="s">
        <v>2970</v>
      </c>
      <c r="D2772" s="9" t="s">
        <v>2971</v>
      </c>
      <c r="E2772" s="9" t="s">
        <v>1660</v>
      </c>
      <c r="F2772" s="9" t="s">
        <v>209</v>
      </c>
      <c r="G2772" s="9" t="s">
        <v>221</v>
      </c>
      <c r="H2772" s="9" t="n">
        <v>1700</v>
      </c>
      <c r="I2772" s="29" t="n">
        <v>1.2</v>
      </c>
      <c r="J2772" s="9" t="n">
        <v>1</v>
      </c>
      <c r="K2772" s="30"/>
      <c r="L2772" s="30"/>
      <c r="M2772" s="30"/>
      <c r="N2772" s="30"/>
      <c r="O2772" s="30"/>
      <c r="P2772" s="30"/>
      <c r="Q2772" s="30"/>
      <c r="R2772" s="30"/>
      <c r="S2772" s="30"/>
      <c r="T2772" s="30"/>
      <c r="U2772" s="21" t="str">
        <f aca="false">IF(COUNT(K2772:T2772)=0,"SOURCE EMPTY / INDUSTRIAL ONLY",IF(MIN(K2772:T2772)=1,"SERVICE READY","HOLD"))</f>
        <v>SOURCE EMPTY / INDUSTRIAL ONLY</v>
      </c>
      <c r="V2772" s="9" t="n">
        <f aca="false">IF(U2772="SERVICE READY",1,0)</f>
        <v>0</v>
      </c>
      <c r="W2772" s="6"/>
      <c r="X2772" s="6"/>
      <c r="Y2772" s="6"/>
      <c r="Z2772" s="6"/>
    </row>
    <row r="2773" customFormat="false" ht="15" hidden="false" customHeight="false" outlineLevel="0" collapsed="false">
      <c r="A2773" s="9" t="s">
        <v>3040</v>
      </c>
      <c r="B2773" s="9" t="s">
        <v>2969</v>
      </c>
      <c r="C2773" s="9" t="s">
        <v>2970</v>
      </c>
      <c r="D2773" s="9" t="s">
        <v>2971</v>
      </c>
      <c r="E2773" s="9" t="s">
        <v>1660</v>
      </c>
      <c r="F2773" s="9" t="s">
        <v>211</v>
      </c>
      <c r="G2773" s="9" t="s">
        <v>221</v>
      </c>
      <c r="H2773" s="9" t="n">
        <v>1700</v>
      </c>
      <c r="I2773" s="29" t="n">
        <v>1.2</v>
      </c>
      <c r="J2773" s="9" t="n">
        <v>1</v>
      </c>
      <c r="K2773" s="30"/>
      <c r="L2773" s="30"/>
      <c r="M2773" s="30"/>
      <c r="N2773" s="30"/>
      <c r="O2773" s="30"/>
      <c r="P2773" s="30"/>
      <c r="Q2773" s="30"/>
      <c r="R2773" s="30"/>
      <c r="S2773" s="30"/>
      <c r="T2773" s="30"/>
      <c r="U2773" s="21" t="str">
        <f aca="false">IF(COUNT(K2773:T2773)=0,"SOURCE EMPTY / INDUSTRIAL ONLY",IF(MIN(K2773:T2773)=1,"SERVICE READY","HOLD"))</f>
        <v>SOURCE EMPTY / INDUSTRIAL ONLY</v>
      </c>
      <c r="V2773" s="9" t="n">
        <f aca="false">IF(U2773="SERVICE READY",1,0)</f>
        <v>0</v>
      </c>
      <c r="W2773" s="6"/>
      <c r="X2773" s="6"/>
      <c r="Y2773" s="6"/>
      <c r="Z2773" s="6"/>
    </row>
    <row r="2774" customFormat="false" ht="15" hidden="false" customHeight="false" outlineLevel="0" collapsed="false">
      <c r="A2774" s="9" t="s">
        <v>3041</v>
      </c>
      <c r="B2774" s="9" t="s">
        <v>2969</v>
      </c>
      <c r="C2774" s="9" t="s">
        <v>2970</v>
      </c>
      <c r="D2774" s="9" t="s">
        <v>2971</v>
      </c>
      <c r="E2774" s="9" t="s">
        <v>1660</v>
      </c>
      <c r="F2774" s="9" t="s">
        <v>197</v>
      </c>
      <c r="G2774" s="9" t="s">
        <v>221</v>
      </c>
      <c r="H2774" s="9" t="n">
        <v>1700</v>
      </c>
      <c r="I2774" s="29" t="n">
        <v>1.2</v>
      </c>
      <c r="J2774" s="9" t="n">
        <v>1</v>
      </c>
      <c r="K2774" s="30"/>
      <c r="L2774" s="30"/>
      <c r="M2774" s="30"/>
      <c r="N2774" s="30"/>
      <c r="O2774" s="30"/>
      <c r="P2774" s="30"/>
      <c r="Q2774" s="30"/>
      <c r="R2774" s="30"/>
      <c r="S2774" s="30"/>
      <c r="T2774" s="30"/>
      <c r="U2774" s="21" t="str">
        <f aca="false">IF(COUNT(K2774:T2774)=0,"SOURCE EMPTY / INDUSTRIAL ONLY",IF(MIN(K2774:T2774)=1,"SERVICE READY","HOLD"))</f>
        <v>SOURCE EMPTY / INDUSTRIAL ONLY</v>
      </c>
      <c r="V2774" s="9" t="n">
        <f aca="false">IF(U2774="SERVICE READY",1,0)</f>
        <v>0</v>
      </c>
      <c r="W2774" s="6"/>
      <c r="X2774" s="6"/>
      <c r="Y2774" s="6"/>
      <c r="Z2774" s="6"/>
    </row>
    <row r="2775" customFormat="false" ht="15" hidden="false" customHeight="false" outlineLevel="0" collapsed="false">
      <c r="A2775" s="9" t="s">
        <v>3042</v>
      </c>
      <c r="B2775" s="9" t="s">
        <v>2969</v>
      </c>
      <c r="C2775" s="9" t="s">
        <v>2970</v>
      </c>
      <c r="D2775" s="9" t="s">
        <v>2971</v>
      </c>
      <c r="E2775" s="9" t="s">
        <v>1660</v>
      </c>
      <c r="F2775" s="9" t="s">
        <v>200</v>
      </c>
      <c r="G2775" s="9" t="s">
        <v>221</v>
      </c>
      <c r="H2775" s="9" t="n">
        <v>1700</v>
      </c>
      <c r="I2775" s="29" t="n">
        <v>1.2</v>
      </c>
      <c r="J2775" s="9" t="n">
        <v>1</v>
      </c>
      <c r="K2775" s="30"/>
      <c r="L2775" s="30"/>
      <c r="M2775" s="30"/>
      <c r="N2775" s="30"/>
      <c r="O2775" s="30"/>
      <c r="P2775" s="30"/>
      <c r="Q2775" s="30"/>
      <c r="R2775" s="30"/>
      <c r="S2775" s="30"/>
      <c r="T2775" s="30"/>
      <c r="U2775" s="21" t="str">
        <f aca="false">IF(COUNT(K2775:T2775)=0,"SOURCE EMPTY / INDUSTRIAL ONLY",IF(MIN(K2775:T2775)=1,"SERVICE READY","HOLD"))</f>
        <v>SOURCE EMPTY / INDUSTRIAL ONLY</v>
      </c>
      <c r="V2775" s="9" t="n">
        <f aca="false">IF(U2775="SERVICE READY",1,0)</f>
        <v>0</v>
      </c>
      <c r="W2775" s="6"/>
      <c r="X2775" s="6"/>
      <c r="Y2775" s="6"/>
      <c r="Z2775" s="6"/>
    </row>
    <row r="2776" customFormat="false" ht="15" hidden="false" customHeight="false" outlineLevel="0" collapsed="false">
      <c r="A2776" s="9" t="s">
        <v>3043</v>
      </c>
      <c r="B2776" s="9" t="s">
        <v>2969</v>
      </c>
      <c r="C2776" s="9" t="s">
        <v>2970</v>
      </c>
      <c r="D2776" s="9" t="s">
        <v>2971</v>
      </c>
      <c r="E2776" s="9" t="s">
        <v>1660</v>
      </c>
      <c r="F2776" s="9" t="s">
        <v>203</v>
      </c>
      <c r="G2776" s="9" t="s">
        <v>221</v>
      </c>
      <c r="H2776" s="9" t="n">
        <v>1700</v>
      </c>
      <c r="I2776" s="29" t="n">
        <v>1.2</v>
      </c>
      <c r="J2776" s="9" t="n">
        <v>1</v>
      </c>
      <c r="K2776" s="30"/>
      <c r="L2776" s="30"/>
      <c r="M2776" s="30"/>
      <c r="N2776" s="30"/>
      <c r="O2776" s="30"/>
      <c r="P2776" s="30"/>
      <c r="Q2776" s="30"/>
      <c r="R2776" s="30"/>
      <c r="S2776" s="30"/>
      <c r="T2776" s="30"/>
      <c r="U2776" s="21" t="str">
        <f aca="false">IF(COUNT(K2776:T2776)=0,"SOURCE EMPTY / INDUSTRIAL ONLY",IF(MIN(K2776:T2776)=1,"SERVICE READY","HOLD"))</f>
        <v>SOURCE EMPTY / INDUSTRIAL ONLY</v>
      </c>
      <c r="V2776" s="9" t="n">
        <f aca="false">IF(U2776="SERVICE READY",1,0)</f>
        <v>0</v>
      </c>
      <c r="W2776" s="6"/>
      <c r="X2776" s="6"/>
      <c r="Y2776" s="6"/>
      <c r="Z2776" s="6"/>
    </row>
    <row r="2777" customFormat="false" ht="15" hidden="false" customHeight="false" outlineLevel="0" collapsed="false">
      <c r="A2777" s="9" t="s">
        <v>3044</v>
      </c>
      <c r="B2777" s="9" t="s">
        <v>2969</v>
      </c>
      <c r="C2777" s="9" t="s">
        <v>2970</v>
      </c>
      <c r="D2777" s="9" t="s">
        <v>2971</v>
      </c>
      <c r="E2777" s="9" t="s">
        <v>1660</v>
      </c>
      <c r="F2777" s="9" t="s">
        <v>205</v>
      </c>
      <c r="G2777" s="9" t="s">
        <v>221</v>
      </c>
      <c r="H2777" s="9" t="n">
        <v>1700</v>
      </c>
      <c r="I2777" s="29" t="n">
        <v>1.2</v>
      </c>
      <c r="J2777" s="9" t="n">
        <v>1</v>
      </c>
      <c r="K2777" s="30"/>
      <c r="L2777" s="30"/>
      <c r="M2777" s="30"/>
      <c r="N2777" s="30"/>
      <c r="O2777" s="30"/>
      <c r="P2777" s="30"/>
      <c r="Q2777" s="30"/>
      <c r="R2777" s="30"/>
      <c r="S2777" s="30"/>
      <c r="T2777" s="30"/>
      <c r="U2777" s="21" t="str">
        <f aca="false">IF(COUNT(K2777:T2777)=0,"SOURCE EMPTY / INDUSTRIAL ONLY",IF(MIN(K2777:T2777)=1,"SERVICE READY","HOLD"))</f>
        <v>SOURCE EMPTY / INDUSTRIAL ONLY</v>
      </c>
      <c r="V2777" s="9" t="n">
        <f aca="false">IF(U2777="SERVICE READY",1,0)</f>
        <v>0</v>
      </c>
      <c r="W2777" s="6"/>
      <c r="X2777" s="6"/>
      <c r="Y2777" s="6"/>
      <c r="Z2777" s="6"/>
    </row>
    <row r="2778" customFormat="false" ht="15" hidden="false" customHeight="false" outlineLevel="0" collapsed="false">
      <c r="A2778" s="9" t="s">
        <v>3045</v>
      </c>
      <c r="B2778" s="9" t="s">
        <v>2969</v>
      </c>
      <c r="C2778" s="9" t="s">
        <v>2970</v>
      </c>
      <c r="D2778" s="9" t="s">
        <v>2971</v>
      </c>
      <c r="E2778" s="9" t="s">
        <v>1660</v>
      </c>
      <c r="F2778" s="9" t="s">
        <v>207</v>
      </c>
      <c r="G2778" s="9" t="s">
        <v>221</v>
      </c>
      <c r="H2778" s="9" t="n">
        <v>1700</v>
      </c>
      <c r="I2778" s="29" t="n">
        <v>1.2</v>
      </c>
      <c r="J2778" s="9" t="n">
        <v>1</v>
      </c>
      <c r="K2778" s="30"/>
      <c r="L2778" s="30"/>
      <c r="M2778" s="30"/>
      <c r="N2778" s="30"/>
      <c r="O2778" s="30"/>
      <c r="P2778" s="30"/>
      <c r="Q2778" s="30"/>
      <c r="R2778" s="30"/>
      <c r="S2778" s="30"/>
      <c r="T2778" s="30"/>
      <c r="U2778" s="21" t="str">
        <f aca="false">IF(COUNT(K2778:T2778)=0,"SOURCE EMPTY / INDUSTRIAL ONLY",IF(MIN(K2778:T2778)=1,"SERVICE READY","HOLD"))</f>
        <v>SOURCE EMPTY / INDUSTRIAL ONLY</v>
      </c>
      <c r="V2778" s="9" t="n">
        <f aca="false">IF(U2778="SERVICE READY",1,0)</f>
        <v>0</v>
      </c>
      <c r="W2778" s="6"/>
      <c r="X2778" s="6"/>
      <c r="Y2778" s="6"/>
      <c r="Z2778" s="6"/>
    </row>
    <row r="2779" customFormat="false" ht="15" hidden="false" customHeight="false" outlineLevel="0" collapsed="false">
      <c r="A2779" s="9" t="s">
        <v>3046</v>
      </c>
      <c r="B2779" s="9" t="s">
        <v>2969</v>
      </c>
      <c r="C2779" s="9" t="s">
        <v>2970</v>
      </c>
      <c r="D2779" s="9" t="s">
        <v>2971</v>
      </c>
      <c r="E2779" s="9" t="s">
        <v>1660</v>
      </c>
      <c r="F2779" s="9" t="s">
        <v>209</v>
      </c>
      <c r="G2779" s="9" t="s">
        <v>221</v>
      </c>
      <c r="H2779" s="9" t="n">
        <v>1700</v>
      </c>
      <c r="I2779" s="29" t="n">
        <v>1.2</v>
      </c>
      <c r="J2779" s="9" t="n">
        <v>1</v>
      </c>
      <c r="K2779" s="30"/>
      <c r="L2779" s="30"/>
      <c r="M2779" s="30"/>
      <c r="N2779" s="30"/>
      <c r="O2779" s="30"/>
      <c r="P2779" s="30"/>
      <c r="Q2779" s="30"/>
      <c r="R2779" s="30"/>
      <c r="S2779" s="30"/>
      <c r="T2779" s="30"/>
      <c r="U2779" s="21" t="str">
        <f aca="false">IF(COUNT(K2779:T2779)=0,"SOURCE EMPTY / INDUSTRIAL ONLY",IF(MIN(K2779:T2779)=1,"SERVICE READY","HOLD"))</f>
        <v>SOURCE EMPTY / INDUSTRIAL ONLY</v>
      </c>
      <c r="V2779" s="9" t="n">
        <f aca="false">IF(U2779="SERVICE READY",1,0)</f>
        <v>0</v>
      </c>
      <c r="W2779" s="6"/>
      <c r="X2779" s="6"/>
      <c r="Y2779" s="6"/>
      <c r="Z2779" s="6"/>
    </row>
    <row r="2780" customFormat="false" ht="15" hidden="false" customHeight="false" outlineLevel="0" collapsed="false">
      <c r="A2780" s="9" t="s">
        <v>3047</v>
      </c>
      <c r="B2780" s="9" t="s">
        <v>2969</v>
      </c>
      <c r="C2780" s="9" t="s">
        <v>2970</v>
      </c>
      <c r="D2780" s="9" t="s">
        <v>2971</v>
      </c>
      <c r="E2780" s="9" t="s">
        <v>1660</v>
      </c>
      <c r="F2780" s="9" t="s">
        <v>211</v>
      </c>
      <c r="G2780" s="9" t="s">
        <v>221</v>
      </c>
      <c r="H2780" s="9" t="n">
        <v>1700</v>
      </c>
      <c r="I2780" s="29" t="n">
        <v>1.2</v>
      </c>
      <c r="J2780" s="9" t="n">
        <v>1</v>
      </c>
      <c r="K2780" s="30"/>
      <c r="L2780" s="30"/>
      <c r="M2780" s="30"/>
      <c r="N2780" s="30"/>
      <c r="O2780" s="30"/>
      <c r="P2780" s="30"/>
      <c r="Q2780" s="30"/>
      <c r="R2780" s="30"/>
      <c r="S2780" s="30"/>
      <c r="T2780" s="30"/>
      <c r="U2780" s="21" t="str">
        <f aca="false">IF(COUNT(K2780:T2780)=0,"SOURCE EMPTY / INDUSTRIAL ONLY",IF(MIN(K2780:T2780)=1,"SERVICE READY","HOLD"))</f>
        <v>SOURCE EMPTY / INDUSTRIAL ONLY</v>
      </c>
      <c r="V2780" s="9" t="n">
        <f aca="false">IF(U2780="SERVICE READY",1,0)</f>
        <v>0</v>
      </c>
      <c r="W2780" s="6"/>
      <c r="X2780" s="6"/>
      <c r="Y2780" s="6"/>
      <c r="Z2780" s="6"/>
    </row>
    <row r="2781" customFormat="false" ht="15" hidden="false" customHeight="false" outlineLevel="0" collapsed="false">
      <c r="A2781" s="9" t="s">
        <v>3048</v>
      </c>
      <c r="B2781" s="9" t="s">
        <v>2969</v>
      </c>
      <c r="C2781" s="9" t="s">
        <v>2970</v>
      </c>
      <c r="D2781" s="9" t="s">
        <v>2971</v>
      </c>
      <c r="E2781" s="9" t="s">
        <v>1660</v>
      </c>
      <c r="F2781" s="9" t="s">
        <v>197</v>
      </c>
      <c r="G2781" s="9" t="s">
        <v>221</v>
      </c>
      <c r="H2781" s="9" t="n">
        <v>1700</v>
      </c>
      <c r="I2781" s="29" t="n">
        <v>1.2</v>
      </c>
      <c r="J2781" s="9" t="n">
        <v>1</v>
      </c>
      <c r="K2781" s="30"/>
      <c r="L2781" s="30"/>
      <c r="M2781" s="30"/>
      <c r="N2781" s="30"/>
      <c r="O2781" s="30"/>
      <c r="P2781" s="30"/>
      <c r="Q2781" s="30"/>
      <c r="R2781" s="30"/>
      <c r="S2781" s="30"/>
      <c r="T2781" s="30"/>
      <c r="U2781" s="21" t="str">
        <f aca="false">IF(COUNT(K2781:T2781)=0,"SOURCE EMPTY / INDUSTRIAL ONLY",IF(MIN(K2781:T2781)=1,"SERVICE READY","HOLD"))</f>
        <v>SOURCE EMPTY / INDUSTRIAL ONLY</v>
      </c>
      <c r="V2781" s="9" t="n">
        <f aca="false">IF(U2781="SERVICE READY",1,0)</f>
        <v>0</v>
      </c>
      <c r="W2781" s="6"/>
      <c r="X2781" s="6"/>
      <c r="Y2781" s="6"/>
      <c r="Z2781" s="6"/>
    </row>
    <row r="2782" customFormat="false" ht="15" hidden="false" customHeight="false" outlineLevel="0" collapsed="false">
      <c r="A2782" s="9" t="s">
        <v>3049</v>
      </c>
      <c r="B2782" s="9" t="s">
        <v>2969</v>
      </c>
      <c r="C2782" s="9" t="s">
        <v>2970</v>
      </c>
      <c r="D2782" s="9" t="s">
        <v>2971</v>
      </c>
      <c r="E2782" s="9" t="s">
        <v>1660</v>
      </c>
      <c r="F2782" s="9" t="s">
        <v>200</v>
      </c>
      <c r="G2782" s="9" t="s">
        <v>221</v>
      </c>
      <c r="H2782" s="9" t="n">
        <v>1700</v>
      </c>
      <c r="I2782" s="29" t="n">
        <v>1.2</v>
      </c>
      <c r="J2782" s="9" t="n">
        <v>1</v>
      </c>
      <c r="K2782" s="30"/>
      <c r="L2782" s="30"/>
      <c r="M2782" s="30"/>
      <c r="N2782" s="30"/>
      <c r="O2782" s="30"/>
      <c r="P2782" s="30"/>
      <c r="Q2782" s="30"/>
      <c r="R2782" s="30"/>
      <c r="S2782" s="30"/>
      <c r="T2782" s="30"/>
      <c r="U2782" s="21" t="str">
        <f aca="false">IF(COUNT(K2782:T2782)=0,"SOURCE EMPTY / INDUSTRIAL ONLY",IF(MIN(K2782:T2782)=1,"SERVICE READY","HOLD"))</f>
        <v>SOURCE EMPTY / INDUSTRIAL ONLY</v>
      </c>
      <c r="V2782" s="9" t="n">
        <f aca="false">IF(U2782="SERVICE READY",1,0)</f>
        <v>0</v>
      </c>
      <c r="W2782" s="6"/>
      <c r="X2782" s="6"/>
      <c r="Y2782" s="6"/>
      <c r="Z2782" s="6"/>
    </row>
    <row r="2783" customFormat="false" ht="15" hidden="false" customHeight="false" outlineLevel="0" collapsed="false">
      <c r="A2783" s="9" t="s">
        <v>3050</v>
      </c>
      <c r="B2783" s="9" t="s">
        <v>2969</v>
      </c>
      <c r="C2783" s="9" t="s">
        <v>2970</v>
      </c>
      <c r="D2783" s="9" t="s">
        <v>2971</v>
      </c>
      <c r="E2783" s="9" t="s">
        <v>1660</v>
      </c>
      <c r="F2783" s="9" t="s">
        <v>203</v>
      </c>
      <c r="G2783" s="9" t="s">
        <v>221</v>
      </c>
      <c r="H2783" s="9" t="n">
        <v>1700</v>
      </c>
      <c r="I2783" s="29" t="n">
        <v>1.2</v>
      </c>
      <c r="J2783" s="9" t="n">
        <v>1</v>
      </c>
      <c r="K2783" s="30"/>
      <c r="L2783" s="30"/>
      <c r="M2783" s="30"/>
      <c r="N2783" s="30"/>
      <c r="O2783" s="30"/>
      <c r="P2783" s="30"/>
      <c r="Q2783" s="30"/>
      <c r="R2783" s="30"/>
      <c r="S2783" s="30"/>
      <c r="T2783" s="30"/>
      <c r="U2783" s="21" t="str">
        <f aca="false">IF(COUNT(K2783:T2783)=0,"SOURCE EMPTY / INDUSTRIAL ONLY",IF(MIN(K2783:T2783)=1,"SERVICE READY","HOLD"))</f>
        <v>SOURCE EMPTY / INDUSTRIAL ONLY</v>
      </c>
      <c r="V2783" s="9" t="n">
        <f aca="false">IF(U2783="SERVICE READY",1,0)</f>
        <v>0</v>
      </c>
      <c r="W2783" s="6"/>
      <c r="X2783" s="6"/>
      <c r="Y2783" s="6"/>
      <c r="Z2783" s="6"/>
    </row>
    <row r="2784" customFormat="false" ht="15" hidden="false" customHeight="false" outlineLevel="0" collapsed="false">
      <c r="A2784" s="9" t="s">
        <v>3051</v>
      </c>
      <c r="B2784" s="9" t="s">
        <v>2969</v>
      </c>
      <c r="C2784" s="9" t="s">
        <v>2970</v>
      </c>
      <c r="D2784" s="9" t="s">
        <v>2971</v>
      </c>
      <c r="E2784" s="9" t="s">
        <v>1660</v>
      </c>
      <c r="F2784" s="9" t="s">
        <v>205</v>
      </c>
      <c r="G2784" s="9" t="s">
        <v>221</v>
      </c>
      <c r="H2784" s="9" t="n">
        <v>1700</v>
      </c>
      <c r="I2784" s="29" t="n">
        <v>1.2</v>
      </c>
      <c r="J2784" s="9" t="n">
        <v>1</v>
      </c>
      <c r="K2784" s="30"/>
      <c r="L2784" s="30"/>
      <c r="M2784" s="30"/>
      <c r="N2784" s="30"/>
      <c r="O2784" s="30"/>
      <c r="P2784" s="30"/>
      <c r="Q2784" s="30"/>
      <c r="R2784" s="30"/>
      <c r="S2784" s="30"/>
      <c r="T2784" s="30"/>
      <c r="U2784" s="21" t="str">
        <f aca="false">IF(COUNT(K2784:T2784)=0,"SOURCE EMPTY / INDUSTRIAL ONLY",IF(MIN(K2784:T2784)=1,"SERVICE READY","HOLD"))</f>
        <v>SOURCE EMPTY / INDUSTRIAL ONLY</v>
      </c>
      <c r="V2784" s="9" t="n">
        <f aca="false">IF(U2784="SERVICE READY",1,0)</f>
        <v>0</v>
      </c>
      <c r="W2784" s="6"/>
      <c r="X2784" s="6"/>
      <c r="Y2784" s="6"/>
      <c r="Z2784" s="6"/>
    </row>
    <row r="2785" customFormat="false" ht="15" hidden="false" customHeight="false" outlineLevel="0" collapsed="false">
      <c r="A2785" s="9" t="s">
        <v>3052</v>
      </c>
      <c r="B2785" s="9" t="s">
        <v>2969</v>
      </c>
      <c r="C2785" s="9" t="s">
        <v>2970</v>
      </c>
      <c r="D2785" s="9" t="s">
        <v>2971</v>
      </c>
      <c r="E2785" s="9" t="s">
        <v>1660</v>
      </c>
      <c r="F2785" s="9" t="s">
        <v>207</v>
      </c>
      <c r="G2785" s="9" t="s">
        <v>221</v>
      </c>
      <c r="H2785" s="9" t="n">
        <v>1700</v>
      </c>
      <c r="I2785" s="29" t="n">
        <v>1.2</v>
      </c>
      <c r="J2785" s="9" t="n">
        <v>1</v>
      </c>
      <c r="K2785" s="30"/>
      <c r="L2785" s="30"/>
      <c r="M2785" s="30"/>
      <c r="N2785" s="30"/>
      <c r="O2785" s="30"/>
      <c r="P2785" s="30"/>
      <c r="Q2785" s="30"/>
      <c r="R2785" s="30"/>
      <c r="S2785" s="30"/>
      <c r="T2785" s="30"/>
      <c r="U2785" s="21" t="str">
        <f aca="false">IF(COUNT(K2785:T2785)=0,"SOURCE EMPTY / INDUSTRIAL ONLY",IF(MIN(K2785:T2785)=1,"SERVICE READY","HOLD"))</f>
        <v>SOURCE EMPTY / INDUSTRIAL ONLY</v>
      </c>
      <c r="V2785" s="9" t="n">
        <f aca="false">IF(U2785="SERVICE READY",1,0)</f>
        <v>0</v>
      </c>
      <c r="W2785" s="6"/>
      <c r="X2785" s="6"/>
      <c r="Y2785" s="6"/>
      <c r="Z2785" s="6"/>
    </row>
    <row r="2786" customFormat="false" ht="15" hidden="false" customHeight="false" outlineLevel="0" collapsed="false">
      <c r="A2786" s="9" t="s">
        <v>3053</v>
      </c>
      <c r="B2786" s="9" t="s">
        <v>2969</v>
      </c>
      <c r="C2786" s="9" t="s">
        <v>2970</v>
      </c>
      <c r="D2786" s="9" t="s">
        <v>2971</v>
      </c>
      <c r="E2786" s="9" t="s">
        <v>1660</v>
      </c>
      <c r="F2786" s="9" t="s">
        <v>209</v>
      </c>
      <c r="G2786" s="9" t="s">
        <v>221</v>
      </c>
      <c r="H2786" s="9" t="n">
        <v>1700</v>
      </c>
      <c r="I2786" s="29" t="n">
        <v>1.2</v>
      </c>
      <c r="J2786" s="9" t="n">
        <v>1</v>
      </c>
      <c r="K2786" s="30"/>
      <c r="L2786" s="30"/>
      <c r="M2786" s="30"/>
      <c r="N2786" s="30"/>
      <c r="O2786" s="30"/>
      <c r="P2786" s="30"/>
      <c r="Q2786" s="30"/>
      <c r="R2786" s="30"/>
      <c r="S2786" s="30"/>
      <c r="T2786" s="30"/>
      <c r="U2786" s="21" t="str">
        <f aca="false">IF(COUNT(K2786:T2786)=0,"SOURCE EMPTY / INDUSTRIAL ONLY",IF(MIN(K2786:T2786)=1,"SERVICE READY","HOLD"))</f>
        <v>SOURCE EMPTY / INDUSTRIAL ONLY</v>
      </c>
      <c r="V2786" s="9" t="n">
        <f aca="false">IF(U2786="SERVICE READY",1,0)</f>
        <v>0</v>
      </c>
      <c r="W2786" s="6"/>
      <c r="X2786" s="6"/>
      <c r="Y2786" s="6"/>
      <c r="Z2786" s="6"/>
    </row>
    <row r="2787" customFormat="false" ht="15" hidden="false" customHeight="false" outlineLevel="0" collapsed="false">
      <c r="A2787" s="9" t="s">
        <v>3054</v>
      </c>
      <c r="B2787" s="9" t="s">
        <v>2969</v>
      </c>
      <c r="C2787" s="9" t="s">
        <v>2970</v>
      </c>
      <c r="D2787" s="9" t="s">
        <v>2971</v>
      </c>
      <c r="E2787" s="9" t="s">
        <v>1660</v>
      </c>
      <c r="F2787" s="9" t="s">
        <v>211</v>
      </c>
      <c r="G2787" s="9" t="s">
        <v>221</v>
      </c>
      <c r="H2787" s="9" t="n">
        <v>1700</v>
      </c>
      <c r="I2787" s="29" t="n">
        <v>1.2</v>
      </c>
      <c r="J2787" s="9" t="n">
        <v>1</v>
      </c>
      <c r="K2787" s="30"/>
      <c r="L2787" s="30"/>
      <c r="M2787" s="30"/>
      <c r="N2787" s="30"/>
      <c r="O2787" s="30"/>
      <c r="P2787" s="30"/>
      <c r="Q2787" s="30"/>
      <c r="R2787" s="30"/>
      <c r="S2787" s="30"/>
      <c r="T2787" s="30"/>
      <c r="U2787" s="21" t="str">
        <f aca="false">IF(COUNT(K2787:T2787)=0,"SOURCE EMPTY / INDUSTRIAL ONLY",IF(MIN(K2787:T2787)=1,"SERVICE READY","HOLD"))</f>
        <v>SOURCE EMPTY / INDUSTRIAL ONLY</v>
      </c>
      <c r="V2787" s="9" t="n">
        <f aca="false">IF(U2787="SERVICE READY",1,0)</f>
        <v>0</v>
      </c>
      <c r="W2787" s="6"/>
      <c r="X2787" s="6"/>
      <c r="Y2787" s="6"/>
      <c r="Z2787" s="6"/>
    </row>
    <row r="2788" customFormat="false" ht="15" hidden="false" customHeight="false" outlineLevel="0" collapsed="false">
      <c r="A2788" s="9" t="s">
        <v>3055</v>
      </c>
      <c r="B2788" s="9" t="s">
        <v>2969</v>
      </c>
      <c r="C2788" s="9" t="s">
        <v>2970</v>
      </c>
      <c r="D2788" s="9" t="s">
        <v>2971</v>
      </c>
      <c r="E2788" s="9" t="s">
        <v>1660</v>
      </c>
      <c r="F2788" s="9" t="s">
        <v>197</v>
      </c>
      <c r="G2788" s="9" t="s">
        <v>221</v>
      </c>
      <c r="H2788" s="9" t="n">
        <v>1700</v>
      </c>
      <c r="I2788" s="29" t="n">
        <v>1.2</v>
      </c>
      <c r="J2788" s="9" t="n">
        <v>1</v>
      </c>
      <c r="K2788" s="30"/>
      <c r="L2788" s="30"/>
      <c r="M2788" s="30"/>
      <c r="N2788" s="30"/>
      <c r="O2788" s="30"/>
      <c r="P2788" s="30"/>
      <c r="Q2788" s="30"/>
      <c r="R2788" s="30"/>
      <c r="S2788" s="30"/>
      <c r="T2788" s="30"/>
      <c r="U2788" s="21" t="str">
        <f aca="false">IF(COUNT(K2788:T2788)=0,"SOURCE EMPTY / INDUSTRIAL ONLY",IF(MIN(K2788:T2788)=1,"SERVICE READY","HOLD"))</f>
        <v>SOURCE EMPTY / INDUSTRIAL ONLY</v>
      </c>
      <c r="V2788" s="9" t="n">
        <f aca="false">IF(U2788="SERVICE READY",1,0)</f>
        <v>0</v>
      </c>
      <c r="W2788" s="6"/>
      <c r="X2788" s="6"/>
      <c r="Y2788" s="6"/>
      <c r="Z2788" s="6"/>
    </row>
    <row r="2789" customFormat="false" ht="15" hidden="false" customHeight="false" outlineLevel="0" collapsed="false">
      <c r="A2789" s="9" t="s">
        <v>3056</v>
      </c>
      <c r="B2789" s="9" t="s">
        <v>2969</v>
      </c>
      <c r="C2789" s="9" t="s">
        <v>2970</v>
      </c>
      <c r="D2789" s="9" t="s">
        <v>2971</v>
      </c>
      <c r="E2789" s="9" t="s">
        <v>1660</v>
      </c>
      <c r="F2789" s="9" t="s">
        <v>200</v>
      </c>
      <c r="G2789" s="9" t="s">
        <v>221</v>
      </c>
      <c r="H2789" s="9" t="n">
        <v>1700</v>
      </c>
      <c r="I2789" s="29" t="n">
        <v>1.2</v>
      </c>
      <c r="J2789" s="9" t="n">
        <v>1</v>
      </c>
      <c r="K2789" s="30"/>
      <c r="L2789" s="30"/>
      <c r="M2789" s="30"/>
      <c r="N2789" s="30"/>
      <c r="O2789" s="30"/>
      <c r="P2789" s="30"/>
      <c r="Q2789" s="30"/>
      <c r="R2789" s="30"/>
      <c r="S2789" s="30"/>
      <c r="T2789" s="30"/>
      <c r="U2789" s="21" t="str">
        <f aca="false">IF(COUNT(K2789:T2789)=0,"SOURCE EMPTY / INDUSTRIAL ONLY",IF(MIN(K2789:T2789)=1,"SERVICE READY","HOLD"))</f>
        <v>SOURCE EMPTY / INDUSTRIAL ONLY</v>
      </c>
      <c r="V2789" s="9" t="n">
        <f aca="false">IF(U2789="SERVICE READY",1,0)</f>
        <v>0</v>
      </c>
      <c r="W2789" s="6"/>
      <c r="X2789" s="6"/>
      <c r="Y2789" s="6"/>
      <c r="Z2789" s="6"/>
    </row>
    <row r="2790" customFormat="false" ht="15" hidden="false" customHeight="false" outlineLevel="0" collapsed="false">
      <c r="A2790" s="9" t="s">
        <v>3057</v>
      </c>
      <c r="B2790" s="9" t="s">
        <v>2969</v>
      </c>
      <c r="C2790" s="9" t="s">
        <v>2970</v>
      </c>
      <c r="D2790" s="9" t="s">
        <v>2971</v>
      </c>
      <c r="E2790" s="9" t="s">
        <v>1660</v>
      </c>
      <c r="F2790" s="9" t="s">
        <v>203</v>
      </c>
      <c r="G2790" s="9" t="s">
        <v>221</v>
      </c>
      <c r="H2790" s="9" t="n">
        <v>1700</v>
      </c>
      <c r="I2790" s="29" t="n">
        <v>1.2</v>
      </c>
      <c r="J2790" s="9" t="n">
        <v>1</v>
      </c>
      <c r="K2790" s="30"/>
      <c r="L2790" s="30"/>
      <c r="M2790" s="30"/>
      <c r="N2790" s="30"/>
      <c r="O2790" s="30"/>
      <c r="P2790" s="30"/>
      <c r="Q2790" s="30"/>
      <c r="R2790" s="30"/>
      <c r="S2790" s="30"/>
      <c r="T2790" s="30"/>
      <c r="U2790" s="21" t="str">
        <f aca="false">IF(COUNT(K2790:T2790)=0,"SOURCE EMPTY / INDUSTRIAL ONLY",IF(MIN(K2790:T2790)=1,"SERVICE READY","HOLD"))</f>
        <v>SOURCE EMPTY / INDUSTRIAL ONLY</v>
      </c>
      <c r="V2790" s="9" t="n">
        <f aca="false">IF(U2790="SERVICE READY",1,0)</f>
        <v>0</v>
      </c>
      <c r="W2790" s="6"/>
      <c r="X2790" s="6"/>
      <c r="Y2790" s="6"/>
      <c r="Z2790" s="6"/>
    </row>
    <row r="2791" customFormat="false" ht="15" hidden="false" customHeight="false" outlineLevel="0" collapsed="false">
      <c r="A2791" s="9" t="s">
        <v>3058</v>
      </c>
      <c r="B2791" s="9" t="s">
        <v>2969</v>
      </c>
      <c r="C2791" s="9" t="s">
        <v>2970</v>
      </c>
      <c r="D2791" s="9" t="s">
        <v>2971</v>
      </c>
      <c r="E2791" s="9" t="s">
        <v>1660</v>
      </c>
      <c r="F2791" s="9" t="s">
        <v>205</v>
      </c>
      <c r="G2791" s="9" t="s">
        <v>221</v>
      </c>
      <c r="H2791" s="9" t="n">
        <v>1700</v>
      </c>
      <c r="I2791" s="29" t="n">
        <v>1.2</v>
      </c>
      <c r="J2791" s="9" t="n">
        <v>1</v>
      </c>
      <c r="K2791" s="30"/>
      <c r="L2791" s="30"/>
      <c r="M2791" s="30"/>
      <c r="N2791" s="30"/>
      <c r="O2791" s="30"/>
      <c r="P2791" s="30"/>
      <c r="Q2791" s="30"/>
      <c r="R2791" s="30"/>
      <c r="S2791" s="30"/>
      <c r="T2791" s="30"/>
      <c r="U2791" s="21" t="str">
        <f aca="false">IF(COUNT(K2791:T2791)=0,"SOURCE EMPTY / INDUSTRIAL ONLY",IF(MIN(K2791:T2791)=1,"SERVICE READY","HOLD"))</f>
        <v>SOURCE EMPTY / INDUSTRIAL ONLY</v>
      </c>
      <c r="V2791" s="9" t="n">
        <f aca="false">IF(U2791="SERVICE READY",1,0)</f>
        <v>0</v>
      </c>
      <c r="W2791" s="6"/>
      <c r="X2791" s="6"/>
      <c r="Y2791" s="6"/>
      <c r="Z2791" s="6"/>
    </row>
    <row r="2792" customFormat="false" ht="15" hidden="false" customHeight="false" outlineLevel="0" collapsed="false">
      <c r="A2792" s="9" t="s">
        <v>3059</v>
      </c>
      <c r="B2792" s="9" t="s">
        <v>2969</v>
      </c>
      <c r="C2792" s="9" t="s">
        <v>2970</v>
      </c>
      <c r="D2792" s="9" t="s">
        <v>2971</v>
      </c>
      <c r="E2792" s="9" t="s">
        <v>1660</v>
      </c>
      <c r="F2792" s="9" t="s">
        <v>207</v>
      </c>
      <c r="G2792" s="9" t="s">
        <v>221</v>
      </c>
      <c r="H2792" s="9" t="n">
        <v>1700</v>
      </c>
      <c r="I2792" s="29" t="n">
        <v>1.2</v>
      </c>
      <c r="J2792" s="9" t="n">
        <v>1</v>
      </c>
      <c r="K2792" s="30"/>
      <c r="L2792" s="30"/>
      <c r="M2792" s="30"/>
      <c r="N2792" s="30"/>
      <c r="O2792" s="30"/>
      <c r="P2792" s="30"/>
      <c r="Q2792" s="30"/>
      <c r="R2792" s="30"/>
      <c r="S2792" s="30"/>
      <c r="T2792" s="30"/>
      <c r="U2792" s="21" t="str">
        <f aca="false">IF(COUNT(K2792:T2792)=0,"SOURCE EMPTY / INDUSTRIAL ONLY",IF(MIN(K2792:T2792)=1,"SERVICE READY","HOLD"))</f>
        <v>SOURCE EMPTY / INDUSTRIAL ONLY</v>
      </c>
      <c r="V2792" s="9" t="n">
        <f aca="false">IF(U2792="SERVICE READY",1,0)</f>
        <v>0</v>
      </c>
      <c r="W2792" s="6"/>
      <c r="X2792" s="6"/>
      <c r="Y2792" s="6"/>
      <c r="Z2792" s="6"/>
    </row>
    <row r="2793" customFormat="false" ht="15" hidden="false" customHeight="false" outlineLevel="0" collapsed="false">
      <c r="A2793" s="9" t="s">
        <v>3060</v>
      </c>
      <c r="B2793" s="9" t="s">
        <v>2969</v>
      </c>
      <c r="C2793" s="9" t="s">
        <v>2970</v>
      </c>
      <c r="D2793" s="9" t="s">
        <v>2971</v>
      </c>
      <c r="E2793" s="9" t="s">
        <v>1660</v>
      </c>
      <c r="F2793" s="9" t="s">
        <v>209</v>
      </c>
      <c r="G2793" s="9" t="s">
        <v>221</v>
      </c>
      <c r="H2793" s="9" t="n">
        <v>1700</v>
      </c>
      <c r="I2793" s="29" t="n">
        <v>1.2</v>
      </c>
      <c r="J2793" s="9" t="n">
        <v>1</v>
      </c>
      <c r="K2793" s="30"/>
      <c r="L2793" s="30"/>
      <c r="M2793" s="30"/>
      <c r="N2793" s="30"/>
      <c r="O2793" s="30"/>
      <c r="P2793" s="30"/>
      <c r="Q2793" s="30"/>
      <c r="R2793" s="30"/>
      <c r="S2793" s="30"/>
      <c r="T2793" s="30"/>
      <c r="U2793" s="21" t="str">
        <f aca="false">IF(COUNT(K2793:T2793)=0,"SOURCE EMPTY / INDUSTRIAL ONLY",IF(MIN(K2793:T2793)=1,"SERVICE READY","HOLD"))</f>
        <v>SOURCE EMPTY / INDUSTRIAL ONLY</v>
      </c>
      <c r="V2793" s="9" t="n">
        <f aca="false">IF(U2793="SERVICE READY",1,0)</f>
        <v>0</v>
      </c>
      <c r="W2793" s="6"/>
      <c r="X2793" s="6"/>
      <c r="Y2793" s="6"/>
      <c r="Z2793" s="6"/>
    </row>
    <row r="2794" customFormat="false" ht="15" hidden="false" customHeight="false" outlineLevel="0" collapsed="false">
      <c r="A2794" s="9" t="s">
        <v>3061</v>
      </c>
      <c r="B2794" s="9" t="s">
        <v>2969</v>
      </c>
      <c r="C2794" s="9" t="s">
        <v>2970</v>
      </c>
      <c r="D2794" s="9" t="s">
        <v>2971</v>
      </c>
      <c r="E2794" s="9" t="s">
        <v>1660</v>
      </c>
      <c r="F2794" s="9" t="s">
        <v>211</v>
      </c>
      <c r="G2794" s="9" t="s">
        <v>221</v>
      </c>
      <c r="H2794" s="9" t="n">
        <v>1700</v>
      </c>
      <c r="I2794" s="29" t="n">
        <v>1.2</v>
      </c>
      <c r="J2794" s="9" t="n">
        <v>1</v>
      </c>
      <c r="K2794" s="30"/>
      <c r="L2794" s="30"/>
      <c r="M2794" s="30"/>
      <c r="N2794" s="30"/>
      <c r="O2794" s="30"/>
      <c r="P2794" s="30"/>
      <c r="Q2794" s="30"/>
      <c r="R2794" s="30"/>
      <c r="S2794" s="30"/>
      <c r="T2794" s="30"/>
      <c r="U2794" s="21" t="str">
        <f aca="false">IF(COUNT(K2794:T2794)=0,"SOURCE EMPTY / INDUSTRIAL ONLY",IF(MIN(K2794:T2794)=1,"SERVICE READY","HOLD"))</f>
        <v>SOURCE EMPTY / INDUSTRIAL ONLY</v>
      </c>
      <c r="V2794" s="9" t="n">
        <f aca="false">IF(U2794="SERVICE READY",1,0)</f>
        <v>0</v>
      </c>
      <c r="W2794" s="6"/>
      <c r="X2794" s="6"/>
      <c r="Y2794" s="6"/>
      <c r="Z2794" s="6"/>
    </row>
    <row r="2795" customFormat="false" ht="15" hidden="false" customHeight="false" outlineLevel="0" collapsed="false">
      <c r="A2795" s="9" t="s">
        <v>3062</v>
      </c>
      <c r="B2795" s="9" t="s">
        <v>2969</v>
      </c>
      <c r="C2795" s="9" t="s">
        <v>2970</v>
      </c>
      <c r="D2795" s="9" t="s">
        <v>2971</v>
      </c>
      <c r="E2795" s="9" t="s">
        <v>1660</v>
      </c>
      <c r="F2795" s="9" t="s">
        <v>197</v>
      </c>
      <c r="G2795" s="9" t="s">
        <v>221</v>
      </c>
      <c r="H2795" s="9" t="n">
        <v>1700</v>
      </c>
      <c r="I2795" s="29" t="n">
        <v>1.2</v>
      </c>
      <c r="J2795" s="9" t="n">
        <v>1</v>
      </c>
      <c r="K2795" s="30"/>
      <c r="L2795" s="30"/>
      <c r="M2795" s="30"/>
      <c r="N2795" s="30"/>
      <c r="O2795" s="30"/>
      <c r="P2795" s="30"/>
      <c r="Q2795" s="30"/>
      <c r="R2795" s="30"/>
      <c r="S2795" s="30"/>
      <c r="T2795" s="30"/>
      <c r="U2795" s="21" t="str">
        <f aca="false">IF(COUNT(K2795:T2795)=0,"SOURCE EMPTY / INDUSTRIAL ONLY",IF(MIN(K2795:T2795)=1,"SERVICE READY","HOLD"))</f>
        <v>SOURCE EMPTY / INDUSTRIAL ONLY</v>
      </c>
      <c r="V2795" s="9" t="n">
        <f aca="false">IF(U2795="SERVICE READY",1,0)</f>
        <v>0</v>
      </c>
      <c r="W2795" s="6"/>
      <c r="X2795" s="6"/>
      <c r="Y2795" s="6"/>
      <c r="Z2795" s="6"/>
    </row>
    <row r="2796" customFormat="false" ht="15" hidden="false" customHeight="false" outlineLevel="0" collapsed="false">
      <c r="A2796" s="9" t="s">
        <v>3063</v>
      </c>
      <c r="B2796" s="9" t="s">
        <v>2969</v>
      </c>
      <c r="C2796" s="9" t="s">
        <v>2970</v>
      </c>
      <c r="D2796" s="9" t="s">
        <v>2971</v>
      </c>
      <c r="E2796" s="9" t="s">
        <v>1660</v>
      </c>
      <c r="F2796" s="9" t="s">
        <v>200</v>
      </c>
      <c r="G2796" s="9" t="s">
        <v>221</v>
      </c>
      <c r="H2796" s="9" t="n">
        <v>1700</v>
      </c>
      <c r="I2796" s="29" t="n">
        <v>1.2</v>
      </c>
      <c r="J2796" s="9" t="n">
        <v>1</v>
      </c>
      <c r="K2796" s="30"/>
      <c r="L2796" s="30"/>
      <c r="M2796" s="30"/>
      <c r="N2796" s="30"/>
      <c r="O2796" s="30"/>
      <c r="P2796" s="30"/>
      <c r="Q2796" s="30"/>
      <c r="R2796" s="30"/>
      <c r="S2796" s="30"/>
      <c r="T2796" s="30"/>
      <c r="U2796" s="21" t="str">
        <f aca="false">IF(COUNT(K2796:T2796)=0,"SOURCE EMPTY / INDUSTRIAL ONLY",IF(MIN(K2796:T2796)=1,"SERVICE READY","HOLD"))</f>
        <v>SOURCE EMPTY / INDUSTRIAL ONLY</v>
      </c>
      <c r="V2796" s="9" t="n">
        <f aca="false">IF(U2796="SERVICE READY",1,0)</f>
        <v>0</v>
      </c>
      <c r="W2796" s="6"/>
      <c r="X2796" s="6"/>
      <c r="Y2796" s="6"/>
      <c r="Z2796" s="6"/>
    </row>
    <row r="2797" customFormat="false" ht="15" hidden="false" customHeight="false" outlineLevel="0" collapsed="false">
      <c r="A2797" s="9" t="s">
        <v>3064</v>
      </c>
      <c r="B2797" s="9" t="s">
        <v>2969</v>
      </c>
      <c r="C2797" s="9" t="s">
        <v>2970</v>
      </c>
      <c r="D2797" s="9" t="s">
        <v>2971</v>
      </c>
      <c r="E2797" s="9" t="s">
        <v>1660</v>
      </c>
      <c r="F2797" s="9" t="s">
        <v>203</v>
      </c>
      <c r="G2797" s="9" t="s">
        <v>221</v>
      </c>
      <c r="H2797" s="9" t="n">
        <v>1700</v>
      </c>
      <c r="I2797" s="29" t="n">
        <v>1.2</v>
      </c>
      <c r="J2797" s="9" t="n">
        <v>1</v>
      </c>
      <c r="K2797" s="30"/>
      <c r="L2797" s="30"/>
      <c r="M2797" s="30"/>
      <c r="N2797" s="30"/>
      <c r="O2797" s="30"/>
      <c r="P2797" s="30"/>
      <c r="Q2797" s="30"/>
      <c r="R2797" s="30"/>
      <c r="S2797" s="30"/>
      <c r="T2797" s="30"/>
      <c r="U2797" s="21" t="str">
        <f aca="false">IF(COUNT(K2797:T2797)=0,"SOURCE EMPTY / INDUSTRIAL ONLY",IF(MIN(K2797:T2797)=1,"SERVICE READY","HOLD"))</f>
        <v>SOURCE EMPTY / INDUSTRIAL ONLY</v>
      </c>
      <c r="V2797" s="9" t="n">
        <f aca="false">IF(U2797="SERVICE READY",1,0)</f>
        <v>0</v>
      </c>
      <c r="W2797" s="6"/>
      <c r="X2797" s="6"/>
      <c r="Y2797" s="6"/>
      <c r="Z2797" s="6"/>
    </row>
    <row r="2798" customFormat="false" ht="15" hidden="false" customHeight="false" outlineLevel="0" collapsed="false">
      <c r="A2798" s="9" t="s">
        <v>3065</v>
      </c>
      <c r="B2798" s="9" t="s">
        <v>2969</v>
      </c>
      <c r="C2798" s="9" t="s">
        <v>2970</v>
      </c>
      <c r="D2798" s="9" t="s">
        <v>2971</v>
      </c>
      <c r="E2798" s="9" t="s">
        <v>1660</v>
      </c>
      <c r="F2798" s="9" t="s">
        <v>205</v>
      </c>
      <c r="G2798" s="9" t="s">
        <v>221</v>
      </c>
      <c r="H2798" s="9" t="n">
        <v>1700</v>
      </c>
      <c r="I2798" s="29" t="n">
        <v>1.2</v>
      </c>
      <c r="J2798" s="9" t="n">
        <v>1</v>
      </c>
      <c r="K2798" s="30"/>
      <c r="L2798" s="30"/>
      <c r="M2798" s="30"/>
      <c r="N2798" s="30"/>
      <c r="O2798" s="30"/>
      <c r="P2798" s="30"/>
      <c r="Q2798" s="30"/>
      <c r="R2798" s="30"/>
      <c r="S2798" s="30"/>
      <c r="T2798" s="30"/>
      <c r="U2798" s="21" t="str">
        <f aca="false">IF(COUNT(K2798:T2798)=0,"SOURCE EMPTY / INDUSTRIAL ONLY",IF(MIN(K2798:T2798)=1,"SERVICE READY","HOLD"))</f>
        <v>SOURCE EMPTY / INDUSTRIAL ONLY</v>
      </c>
      <c r="V2798" s="9" t="n">
        <f aca="false">IF(U2798="SERVICE READY",1,0)</f>
        <v>0</v>
      </c>
      <c r="W2798" s="6"/>
      <c r="X2798" s="6"/>
      <c r="Y2798" s="6"/>
      <c r="Z2798" s="6"/>
    </row>
    <row r="2799" customFormat="false" ht="15" hidden="false" customHeight="false" outlineLevel="0" collapsed="false">
      <c r="A2799" s="9" t="s">
        <v>3066</v>
      </c>
      <c r="B2799" s="9" t="s">
        <v>2969</v>
      </c>
      <c r="C2799" s="9" t="s">
        <v>2970</v>
      </c>
      <c r="D2799" s="9" t="s">
        <v>2971</v>
      </c>
      <c r="E2799" s="9" t="s">
        <v>1660</v>
      </c>
      <c r="F2799" s="9" t="s">
        <v>207</v>
      </c>
      <c r="G2799" s="9" t="s">
        <v>221</v>
      </c>
      <c r="H2799" s="9" t="n">
        <v>1700</v>
      </c>
      <c r="I2799" s="29" t="n">
        <v>1.2</v>
      </c>
      <c r="J2799" s="9" t="n">
        <v>1</v>
      </c>
      <c r="K2799" s="30"/>
      <c r="L2799" s="30"/>
      <c r="M2799" s="30"/>
      <c r="N2799" s="30"/>
      <c r="O2799" s="30"/>
      <c r="P2799" s="30"/>
      <c r="Q2799" s="30"/>
      <c r="R2799" s="30"/>
      <c r="S2799" s="30"/>
      <c r="T2799" s="30"/>
      <c r="U2799" s="21" t="str">
        <f aca="false">IF(COUNT(K2799:T2799)=0,"SOURCE EMPTY / INDUSTRIAL ONLY",IF(MIN(K2799:T2799)=1,"SERVICE READY","HOLD"))</f>
        <v>SOURCE EMPTY / INDUSTRIAL ONLY</v>
      </c>
      <c r="V2799" s="9" t="n">
        <f aca="false">IF(U2799="SERVICE READY",1,0)</f>
        <v>0</v>
      </c>
      <c r="W2799" s="6"/>
      <c r="X2799" s="6"/>
      <c r="Y2799" s="6"/>
      <c r="Z2799" s="6"/>
    </row>
    <row r="2800" customFormat="false" ht="15" hidden="false" customHeight="false" outlineLevel="0" collapsed="false">
      <c r="A2800" s="9" t="s">
        <v>3067</v>
      </c>
      <c r="B2800" s="9" t="s">
        <v>2969</v>
      </c>
      <c r="C2800" s="9" t="s">
        <v>2970</v>
      </c>
      <c r="D2800" s="9" t="s">
        <v>2971</v>
      </c>
      <c r="E2800" s="9" t="s">
        <v>1660</v>
      </c>
      <c r="F2800" s="9" t="s">
        <v>209</v>
      </c>
      <c r="G2800" s="9" t="s">
        <v>221</v>
      </c>
      <c r="H2800" s="9" t="n">
        <v>1700</v>
      </c>
      <c r="I2800" s="29" t="n">
        <v>1.2</v>
      </c>
      <c r="J2800" s="9" t="n">
        <v>1</v>
      </c>
      <c r="K2800" s="30"/>
      <c r="L2800" s="30"/>
      <c r="M2800" s="30"/>
      <c r="N2800" s="30"/>
      <c r="O2800" s="30"/>
      <c r="P2800" s="30"/>
      <c r="Q2800" s="30"/>
      <c r="R2800" s="30"/>
      <c r="S2800" s="30"/>
      <c r="T2800" s="30"/>
      <c r="U2800" s="21" t="str">
        <f aca="false">IF(COUNT(K2800:T2800)=0,"SOURCE EMPTY / INDUSTRIAL ONLY",IF(MIN(K2800:T2800)=1,"SERVICE READY","HOLD"))</f>
        <v>SOURCE EMPTY / INDUSTRIAL ONLY</v>
      </c>
      <c r="V2800" s="9" t="n">
        <f aca="false">IF(U2800="SERVICE READY",1,0)</f>
        <v>0</v>
      </c>
      <c r="W2800" s="6"/>
      <c r="X2800" s="6"/>
      <c r="Y2800" s="6"/>
      <c r="Z2800" s="6"/>
    </row>
    <row r="2801" customFormat="false" ht="15" hidden="false" customHeight="false" outlineLevel="0" collapsed="false">
      <c r="A2801" s="9" t="s">
        <v>3068</v>
      </c>
      <c r="B2801" s="9" t="s">
        <v>2969</v>
      </c>
      <c r="C2801" s="9" t="s">
        <v>2970</v>
      </c>
      <c r="D2801" s="9" t="s">
        <v>2971</v>
      </c>
      <c r="E2801" s="9" t="s">
        <v>1660</v>
      </c>
      <c r="F2801" s="9" t="s">
        <v>211</v>
      </c>
      <c r="G2801" s="9" t="s">
        <v>221</v>
      </c>
      <c r="H2801" s="9" t="n">
        <v>1700</v>
      </c>
      <c r="I2801" s="29" t="n">
        <v>1.2</v>
      </c>
      <c r="J2801" s="9" t="n">
        <v>1</v>
      </c>
      <c r="K2801" s="30"/>
      <c r="L2801" s="30"/>
      <c r="M2801" s="30"/>
      <c r="N2801" s="30"/>
      <c r="O2801" s="30"/>
      <c r="P2801" s="30"/>
      <c r="Q2801" s="30"/>
      <c r="R2801" s="30"/>
      <c r="S2801" s="30"/>
      <c r="T2801" s="30"/>
      <c r="U2801" s="21" t="str">
        <f aca="false">IF(COUNT(K2801:T2801)=0,"SOURCE EMPTY / INDUSTRIAL ONLY",IF(MIN(K2801:T2801)=1,"SERVICE READY","HOLD"))</f>
        <v>SOURCE EMPTY / INDUSTRIAL ONLY</v>
      </c>
      <c r="V2801" s="9" t="n">
        <f aca="false">IF(U2801="SERVICE READY",1,0)</f>
        <v>0</v>
      </c>
      <c r="W2801" s="6"/>
      <c r="X2801" s="6"/>
      <c r="Y2801" s="6"/>
      <c r="Z2801" s="6"/>
    </row>
    <row r="2802" customFormat="false" ht="15" hidden="false" customHeight="false" outlineLevel="0" collapsed="false">
      <c r="A2802" s="9" t="s">
        <v>3069</v>
      </c>
      <c r="B2802" s="9" t="s">
        <v>2969</v>
      </c>
      <c r="C2802" s="9" t="s">
        <v>2970</v>
      </c>
      <c r="D2802" s="9" t="s">
        <v>2971</v>
      </c>
      <c r="E2802" s="9" t="s">
        <v>1660</v>
      </c>
      <c r="F2802" s="9" t="s">
        <v>197</v>
      </c>
      <c r="G2802" s="9" t="s">
        <v>221</v>
      </c>
      <c r="H2802" s="9" t="n">
        <v>1700</v>
      </c>
      <c r="I2802" s="29" t="n">
        <v>1.2</v>
      </c>
      <c r="J2802" s="9" t="n">
        <v>1</v>
      </c>
      <c r="K2802" s="30"/>
      <c r="L2802" s="30"/>
      <c r="M2802" s="30"/>
      <c r="N2802" s="30"/>
      <c r="O2802" s="30"/>
      <c r="P2802" s="30"/>
      <c r="Q2802" s="30"/>
      <c r="R2802" s="30"/>
      <c r="S2802" s="30"/>
      <c r="T2802" s="30"/>
      <c r="U2802" s="21" t="str">
        <f aca="false">IF(COUNT(K2802:T2802)=0,"SOURCE EMPTY / INDUSTRIAL ONLY",IF(MIN(K2802:T2802)=1,"SERVICE READY","HOLD"))</f>
        <v>SOURCE EMPTY / INDUSTRIAL ONLY</v>
      </c>
      <c r="V2802" s="9" t="n">
        <f aca="false">IF(U2802="SERVICE READY",1,0)</f>
        <v>0</v>
      </c>
      <c r="W2802" s="6"/>
      <c r="X2802" s="6"/>
      <c r="Y2802" s="6"/>
      <c r="Z2802" s="6"/>
    </row>
    <row r="2803" customFormat="false" ht="15" hidden="false" customHeight="false" outlineLevel="0" collapsed="false">
      <c r="A2803" s="9" t="s">
        <v>3070</v>
      </c>
      <c r="B2803" s="9" t="s">
        <v>2969</v>
      </c>
      <c r="C2803" s="9" t="s">
        <v>2970</v>
      </c>
      <c r="D2803" s="9" t="s">
        <v>2971</v>
      </c>
      <c r="E2803" s="9" t="s">
        <v>1660</v>
      </c>
      <c r="F2803" s="9" t="s">
        <v>200</v>
      </c>
      <c r="G2803" s="9" t="s">
        <v>221</v>
      </c>
      <c r="H2803" s="9" t="n">
        <v>1700</v>
      </c>
      <c r="I2803" s="29" t="n">
        <v>1.2</v>
      </c>
      <c r="J2803" s="9" t="n">
        <v>1</v>
      </c>
      <c r="K2803" s="30"/>
      <c r="L2803" s="30"/>
      <c r="M2803" s="30"/>
      <c r="N2803" s="30"/>
      <c r="O2803" s="30"/>
      <c r="P2803" s="30"/>
      <c r="Q2803" s="30"/>
      <c r="R2803" s="30"/>
      <c r="S2803" s="30"/>
      <c r="T2803" s="30"/>
      <c r="U2803" s="21" t="str">
        <f aca="false">IF(COUNT(K2803:T2803)=0,"SOURCE EMPTY / INDUSTRIAL ONLY",IF(MIN(K2803:T2803)=1,"SERVICE READY","HOLD"))</f>
        <v>SOURCE EMPTY / INDUSTRIAL ONLY</v>
      </c>
      <c r="V2803" s="9" t="n">
        <f aca="false">IF(U2803="SERVICE READY",1,0)</f>
        <v>0</v>
      </c>
      <c r="W2803" s="6"/>
      <c r="X2803" s="6"/>
      <c r="Y2803" s="6"/>
      <c r="Z2803" s="6"/>
    </row>
    <row r="2804" customFormat="false" ht="15" hidden="false" customHeight="false" outlineLevel="0" collapsed="false">
      <c r="A2804" s="9" t="s">
        <v>3071</v>
      </c>
      <c r="B2804" s="9" t="s">
        <v>2969</v>
      </c>
      <c r="C2804" s="9" t="s">
        <v>2970</v>
      </c>
      <c r="D2804" s="9" t="s">
        <v>2971</v>
      </c>
      <c r="E2804" s="9" t="s">
        <v>1660</v>
      </c>
      <c r="F2804" s="9" t="s">
        <v>203</v>
      </c>
      <c r="G2804" s="9" t="s">
        <v>221</v>
      </c>
      <c r="H2804" s="9" t="n">
        <v>1700</v>
      </c>
      <c r="I2804" s="29" t="n">
        <v>1.2</v>
      </c>
      <c r="J2804" s="9" t="n">
        <v>1</v>
      </c>
      <c r="K2804" s="30"/>
      <c r="L2804" s="30"/>
      <c r="M2804" s="30"/>
      <c r="N2804" s="30"/>
      <c r="O2804" s="30"/>
      <c r="P2804" s="30"/>
      <c r="Q2804" s="30"/>
      <c r="R2804" s="30"/>
      <c r="S2804" s="30"/>
      <c r="T2804" s="30"/>
      <c r="U2804" s="21" t="str">
        <f aca="false">IF(COUNT(K2804:T2804)=0,"SOURCE EMPTY / INDUSTRIAL ONLY",IF(MIN(K2804:T2804)=1,"SERVICE READY","HOLD"))</f>
        <v>SOURCE EMPTY / INDUSTRIAL ONLY</v>
      </c>
      <c r="V2804" s="9" t="n">
        <f aca="false">IF(U2804="SERVICE READY",1,0)</f>
        <v>0</v>
      </c>
      <c r="W2804" s="6"/>
      <c r="X2804" s="6"/>
      <c r="Y2804" s="6"/>
      <c r="Z2804" s="6"/>
    </row>
    <row r="2805" customFormat="false" ht="15" hidden="false" customHeight="false" outlineLevel="0" collapsed="false">
      <c r="A2805" s="9" t="s">
        <v>3072</v>
      </c>
      <c r="B2805" s="9" t="s">
        <v>2969</v>
      </c>
      <c r="C2805" s="9" t="s">
        <v>2970</v>
      </c>
      <c r="D2805" s="9" t="s">
        <v>2971</v>
      </c>
      <c r="E2805" s="9" t="s">
        <v>1660</v>
      </c>
      <c r="F2805" s="9" t="s">
        <v>205</v>
      </c>
      <c r="G2805" s="9" t="s">
        <v>221</v>
      </c>
      <c r="H2805" s="9" t="n">
        <v>1700</v>
      </c>
      <c r="I2805" s="29" t="n">
        <v>1.2</v>
      </c>
      <c r="J2805" s="9" t="n">
        <v>1</v>
      </c>
      <c r="K2805" s="30"/>
      <c r="L2805" s="30"/>
      <c r="M2805" s="30"/>
      <c r="N2805" s="30"/>
      <c r="O2805" s="30"/>
      <c r="P2805" s="30"/>
      <c r="Q2805" s="30"/>
      <c r="R2805" s="30"/>
      <c r="S2805" s="30"/>
      <c r="T2805" s="30"/>
      <c r="U2805" s="21" t="str">
        <f aca="false">IF(COUNT(K2805:T2805)=0,"SOURCE EMPTY / INDUSTRIAL ONLY",IF(MIN(K2805:T2805)=1,"SERVICE READY","HOLD"))</f>
        <v>SOURCE EMPTY / INDUSTRIAL ONLY</v>
      </c>
      <c r="V2805" s="9" t="n">
        <f aca="false">IF(U2805="SERVICE READY",1,0)</f>
        <v>0</v>
      </c>
      <c r="W2805" s="6"/>
      <c r="X2805" s="6"/>
      <c r="Y2805" s="6"/>
      <c r="Z2805" s="6"/>
    </row>
    <row r="2806" customFormat="false" ht="15" hidden="false" customHeight="false" outlineLevel="0" collapsed="false">
      <c r="A2806" s="9" t="s">
        <v>3073</v>
      </c>
      <c r="B2806" s="9" t="s">
        <v>2969</v>
      </c>
      <c r="C2806" s="9" t="s">
        <v>2970</v>
      </c>
      <c r="D2806" s="9" t="s">
        <v>2971</v>
      </c>
      <c r="E2806" s="9" t="s">
        <v>1660</v>
      </c>
      <c r="F2806" s="9" t="s">
        <v>207</v>
      </c>
      <c r="G2806" s="9" t="s">
        <v>221</v>
      </c>
      <c r="H2806" s="9" t="n">
        <v>1700</v>
      </c>
      <c r="I2806" s="29" t="n">
        <v>1.2</v>
      </c>
      <c r="J2806" s="9" t="n">
        <v>1</v>
      </c>
      <c r="K2806" s="30"/>
      <c r="L2806" s="30"/>
      <c r="M2806" s="30"/>
      <c r="N2806" s="30"/>
      <c r="O2806" s="30"/>
      <c r="P2806" s="30"/>
      <c r="Q2806" s="30"/>
      <c r="R2806" s="30"/>
      <c r="S2806" s="30"/>
      <c r="T2806" s="30"/>
      <c r="U2806" s="21" t="str">
        <f aca="false">IF(COUNT(K2806:T2806)=0,"SOURCE EMPTY / INDUSTRIAL ONLY",IF(MIN(K2806:T2806)=1,"SERVICE READY","HOLD"))</f>
        <v>SOURCE EMPTY / INDUSTRIAL ONLY</v>
      </c>
      <c r="V2806" s="9" t="n">
        <f aca="false">IF(U2806="SERVICE READY",1,0)</f>
        <v>0</v>
      </c>
      <c r="W2806" s="6"/>
      <c r="X2806" s="6"/>
      <c r="Y2806" s="6"/>
      <c r="Z2806" s="6"/>
    </row>
    <row r="2807" customFormat="false" ht="15" hidden="false" customHeight="false" outlineLevel="0" collapsed="false">
      <c r="A2807" s="9" t="s">
        <v>3074</v>
      </c>
      <c r="B2807" s="9" t="s">
        <v>2969</v>
      </c>
      <c r="C2807" s="9" t="s">
        <v>2970</v>
      </c>
      <c r="D2807" s="9" t="s">
        <v>2971</v>
      </c>
      <c r="E2807" s="9" t="s">
        <v>1660</v>
      </c>
      <c r="F2807" s="9" t="s">
        <v>209</v>
      </c>
      <c r="G2807" s="9" t="s">
        <v>221</v>
      </c>
      <c r="H2807" s="9" t="n">
        <v>1700</v>
      </c>
      <c r="I2807" s="29" t="n">
        <v>1.2</v>
      </c>
      <c r="J2807" s="9" t="n">
        <v>1</v>
      </c>
      <c r="K2807" s="30"/>
      <c r="L2807" s="30"/>
      <c r="M2807" s="30"/>
      <c r="N2807" s="30"/>
      <c r="O2807" s="30"/>
      <c r="P2807" s="30"/>
      <c r="Q2807" s="30"/>
      <c r="R2807" s="30"/>
      <c r="S2807" s="30"/>
      <c r="T2807" s="30"/>
      <c r="U2807" s="21" t="str">
        <f aca="false">IF(COUNT(K2807:T2807)=0,"SOURCE EMPTY / INDUSTRIAL ONLY",IF(MIN(K2807:T2807)=1,"SERVICE READY","HOLD"))</f>
        <v>SOURCE EMPTY / INDUSTRIAL ONLY</v>
      </c>
      <c r="V2807" s="9" t="n">
        <f aca="false">IF(U2807="SERVICE READY",1,0)</f>
        <v>0</v>
      </c>
      <c r="W2807" s="6"/>
      <c r="X2807" s="6"/>
      <c r="Y2807" s="6"/>
      <c r="Z2807" s="6"/>
    </row>
    <row r="2808" customFormat="false" ht="15" hidden="false" customHeight="false" outlineLevel="0" collapsed="false">
      <c r="A2808" s="9" t="s">
        <v>3075</v>
      </c>
      <c r="B2808" s="9" t="s">
        <v>2969</v>
      </c>
      <c r="C2808" s="9" t="s">
        <v>2970</v>
      </c>
      <c r="D2808" s="9" t="s">
        <v>2971</v>
      </c>
      <c r="E2808" s="9" t="s">
        <v>1660</v>
      </c>
      <c r="F2808" s="9" t="s">
        <v>211</v>
      </c>
      <c r="G2808" s="9" t="s">
        <v>221</v>
      </c>
      <c r="H2808" s="9" t="n">
        <v>1700</v>
      </c>
      <c r="I2808" s="29" t="n">
        <v>1.2</v>
      </c>
      <c r="J2808" s="9" t="n">
        <v>1</v>
      </c>
      <c r="K2808" s="30"/>
      <c r="L2808" s="30"/>
      <c r="M2808" s="30"/>
      <c r="N2808" s="30"/>
      <c r="O2808" s="30"/>
      <c r="P2808" s="30"/>
      <c r="Q2808" s="30"/>
      <c r="R2808" s="30"/>
      <c r="S2808" s="30"/>
      <c r="T2808" s="30"/>
      <c r="U2808" s="21" t="str">
        <f aca="false">IF(COUNT(K2808:T2808)=0,"SOURCE EMPTY / INDUSTRIAL ONLY",IF(MIN(K2808:T2808)=1,"SERVICE READY","HOLD"))</f>
        <v>SOURCE EMPTY / INDUSTRIAL ONLY</v>
      </c>
      <c r="V2808" s="9" t="n">
        <f aca="false">IF(U2808="SERVICE READY",1,0)</f>
        <v>0</v>
      </c>
      <c r="W2808" s="6"/>
      <c r="X2808" s="6"/>
      <c r="Y2808" s="6"/>
      <c r="Z2808" s="6"/>
    </row>
    <row r="2809" customFormat="false" ht="15" hidden="false" customHeight="false" outlineLevel="0" collapsed="false">
      <c r="A2809" s="9" t="s">
        <v>3076</v>
      </c>
      <c r="B2809" s="9" t="s">
        <v>2969</v>
      </c>
      <c r="C2809" s="9" t="s">
        <v>2970</v>
      </c>
      <c r="D2809" s="9" t="s">
        <v>2971</v>
      </c>
      <c r="E2809" s="9" t="s">
        <v>1660</v>
      </c>
      <c r="F2809" s="9" t="s">
        <v>197</v>
      </c>
      <c r="G2809" s="9" t="s">
        <v>221</v>
      </c>
      <c r="H2809" s="9" t="n">
        <v>1700</v>
      </c>
      <c r="I2809" s="29" t="n">
        <v>1.2</v>
      </c>
      <c r="J2809" s="9" t="n">
        <v>1</v>
      </c>
      <c r="K2809" s="30"/>
      <c r="L2809" s="30"/>
      <c r="M2809" s="30"/>
      <c r="N2809" s="30"/>
      <c r="O2809" s="30"/>
      <c r="P2809" s="30"/>
      <c r="Q2809" s="30"/>
      <c r="R2809" s="30"/>
      <c r="S2809" s="30"/>
      <c r="T2809" s="30"/>
      <c r="U2809" s="21" t="str">
        <f aca="false">IF(COUNT(K2809:T2809)=0,"SOURCE EMPTY / INDUSTRIAL ONLY",IF(MIN(K2809:T2809)=1,"SERVICE READY","HOLD"))</f>
        <v>SOURCE EMPTY / INDUSTRIAL ONLY</v>
      </c>
      <c r="V2809" s="9" t="n">
        <f aca="false">IF(U2809="SERVICE READY",1,0)</f>
        <v>0</v>
      </c>
      <c r="W2809" s="6"/>
      <c r="X2809" s="6"/>
      <c r="Y2809" s="6"/>
      <c r="Z2809" s="6"/>
    </row>
    <row r="2810" customFormat="false" ht="15" hidden="false" customHeight="false" outlineLevel="0" collapsed="false">
      <c r="A2810" s="9" t="s">
        <v>3077</v>
      </c>
      <c r="B2810" s="9" t="s">
        <v>2969</v>
      </c>
      <c r="C2810" s="9" t="s">
        <v>2970</v>
      </c>
      <c r="D2810" s="9" t="s">
        <v>2971</v>
      </c>
      <c r="E2810" s="9" t="s">
        <v>1660</v>
      </c>
      <c r="F2810" s="9" t="s">
        <v>200</v>
      </c>
      <c r="G2810" s="9" t="s">
        <v>221</v>
      </c>
      <c r="H2810" s="9" t="n">
        <v>1700</v>
      </c>
      <c r="I2810" s="29" t="n">
        <v>1.2</v>
      </c>
      <c r="J2810" s="9" t="n">
        <v>1</v>
      </c>
      <c r="K2810" s="30"/>
      <c r="L2810" s="30"/>
      <c r="M2810" s="30"/>
      <c r="N2810" s="30"/>
      <c r="O2810" s="30"/>
      <c r="P2810" s="30"/>
      <c r="Q2810" s="30"/>
      <c r="R2810" s="30"/>
      <c r="S2810" s="30"/>
      <c r="T2810" s="30"/>
      <c r="U2810" s="21" t="str">
        <f aca="false">IF(COUNT(K2810:T2810)=0,"SOURCE EMPTY / INDUSTRIAL ONLY",IF(MIN(K2810:T2810)=1,"SERVICE READY","HOLD"))</f>
        <v>SOURCE EMPTY / INDUSTRIAL ONLY</v>
      </c>
      <c r="V2810" s="9" t="n">
        <f aca="false">IF(U2810="SERVICE READY",1,0)</f>
        <v>0</v>
      </c>
      <c r="W2810" s="6"/>
      <c r="X2810" s="6"/>
      <c r="Y2810" s="6"/>
      <c r="Z2810" s="6"/>
    </row>
    <row r="2811" customFormat="false" ht="15" hidden="false" customHeight="false" outlineLevel="0" collapsed="false">
      <c r="A2811" s="9" t="s">
        <v>3078</v>
      </c>
      <c r="B2811" s="9" t="s">
        <v>2969</v>
      </c>
      <c r="C2811" s="9" t="s">
        <v>2970</v>
      </c>
      <c r="D2811" s="9" t="s">
        <v>2971</v>
      </c>
      <c r="E2811" s="9" t="s">
        <v>1660</v>
      </c>
      <c r="F2811" s="9" t="s">
        <v>203</v>
      </c>
      <c r="G2811" s="9" t="s">
        <v>221</v>
      </c>
      <c r="H2811" s="9" t="n">
        <v>1700</v>
      </c>
      <c r="I2811" s="29" t="n">
        <v>1.2</v>
      </c>
      <c r="J2811" s="9" t="n">
        <v>1</v>
      </c>
      <c r="K2811" s="30"/>
      <c r="L2811" s="30"/>
      <c r="M2811" s="30"/>
      <c r="N2811" s="30"/>
      <c r="O2811" s="30"/>
      <c r="P2811" s="30"/>
      <c r="Q2811" s="30"/>
      <c r="R2811" s="30"/>
      <c r="S2811" s="30"/>
      <c r="T2811" s="30"/>
      <c r="U2811" s="21" t="str">
        <f aca="false">IF(COUNT(K2811:T2811)=0,"SOURCE EMPTY / INDUSTRIAL ONLY",IF(MIN(K2811:T2811)=1,"SERVICE READY","HOLD"))</f>
        <v>SOURCE EMPTY / INDUSTRIAL ONLY</v>
      </c>
      <c r="V2811" s="9" t="n">
        <f aca="false">IF(U2811="SERVICE READY",1,0)</f>
        <v>0</v>
      </c>
      <c r="W2811" s="6"/>
      <c r="X2811" s="6"/>
      <c r="Y2811" s="6"/>
      <c r="Z2811" s="6"/>
    </row>
    <row r="2812" customFormat="false" ht="15" hidden="false" customHeight="false" outlineLevel="0" collapsed="false">
      <c r="A2812" s="9" t="s">
        <v>3079</v>
      </c>
      <c r="B2812" s="9" t="s">
        <v>2969</v>
      </c>
      <c r="C2812" s="9" t="s">
        <v>2970</v>
      </c>
      <c r="D2812" s="9" t="s">
        <v>2971</v>
      </c>
      <c r="E2812" s="9" t="s">
        <v>1660</v>
      </c>
      <c r="F2812" s="9" t="s">
        <v>205</v>
      </c>
      <c r="G2812" s="9" t="s">
        <v>221</v>
      </c>
      <c r="H2812" s="9" t="n">
        <v>1700</v>
      </c>
      <c r="I2812" s="29" t="n">
        <v>1.2</v>
      </c>
      <c r="J2812" s="9" t="n">
        <v>1</v>
      </c>
      <c r="K2812" s="30"/>
      <c r="L2812" s="30"/>
      <c r="M2812" s="30"/>
      <c r="N2812" s="30"/>
      <c r="O2812" s="30"/>
      <c r="P2812" s="30"/>
      <c r="Q2812" s="30"/>
      <c r="R2812" s="30"/>
      <c r="S2812" s="30"/>
      <c r="T2812" s="30"/>
      <c r="U2812" s="21" t="str">
        <f aca="false">IF(COUNT(K2812:T2812)=0,"SOURCE EMPTY / INDUSTRIAL ONLY",IF(MIN(K2812:T2812)=1,"SERVICE READY","HOLD"))</f>
        <v>SOURCE EMPTY / INDUSTRIAL ONLY</v>
      </c>
      <c r="V2812" s="9" t="n">
        <f aca="false">IF(U2812="SERVICE READY",1,0)</f>
        <v>0</v>
      </c>
      <c r="W2812" s="6"/>
      <c r="X2812" s="6"/>
      <c r="Y2812" s="6"/>
      <c r="Z2812" s="6"/>
    </row>
    <row r="2813" customFormat="false" ht="15" hidden="false" customHeight="false" outlineLevel="0" collapsed="false">
      <c r="A2813" s="9" t="s">
        <v>3080</v>
      </c>
      <c r="B2813" s="9" t="s">
        <v>2969</v>
      </c>
      <c r="C2813" s="9" t="s">
        <v>2970</v>
      </c>
      <c r="D2813" s="9" t="s">
        <v>2971</v>
      </c>
      <c r="E2813" s="9" t="s">
        <v>1660</v>
      </c>
      <c r="F2813" s="9" t="s">
        <v>207</v>
      </c>
      <c r="G2813" s="9" t="s">
        <v>221</v>
      </c>
      <c r="H2813" s="9" t="n">
        <v>1700</v>
      </c>
      <c r="I2813" s="29" t="n">
        <v>1.2</v>
      </c>
      <c r="J2813" s="9" t="n">
        <v>1</v>
      </c>
      <c r="K2813" s="30"/>
      <c r="L2813" s="30"/>
      <c r="M2813" s="30"/>
      <c r="N2813" s="30"/>
      <c r="O2813" s="30"/>
      <c r="P2813" s="30"/>
      <c r="Q2813" s="30"/>
      <c r="R2813" s="30"/>
      <c r="S2813" s="30"/>
      <c r="T2813" s="30"/>
      <c r="U2813" s="21" t="str">
        <f aca="false">IF(COUNT(K2813:T2813)=0,"SOURCE EMPTY / INDUSTRIAL ONLY",IF(MIN(K2813:T2813)=1,"SERVICE READY","HOLD"))</f>
        <v>SOURCE EMPTY / INDUSTRIAL ONLY</v>
      </c>
      <c r="V2813" s="9" t="n">
        <f aca="false">IF(U2813="SERVICE READY",1,0)</f>
        <v>0</v>
      </c>
      <c r="W2813" s="6"/>
      <c r="X2813" s="6"/>
      <c r="Y2813" s="6"/>
      <c r="Z2813" s="6"/>
    </row>
    <row r="2814" customFormat="false" ht="15" hidden="false" customHeight="false" outlineLevel="0" collapsed="false">
      <c r="A2814" s="9" t="s">
        <v>3081</v>
      </c>
      <c r="B2814" s="9" t="s">
        <v>2969</v>
      </c>
      <c r="C2814" s="9" t="s">
        <v>2970</v>
      </c>
      <c r="D2814" s="9" t="s">
        <v>2971</v>
      </c>
      <c r="E2814" s="9" t="s">
        <v>1660</v>
      </c>
      <c r="F2814" s="9" t="s">
        <v>209</v>
      </c>
      <c r="G2814" s="9" t="s">
        <v>221</v>
      </c>
      <c r="H2814" s="9" t="n">
        <v>1700</v>
      </c>
      <c r="I2814" s="29" t="n">
        <v>1.2</v>
      </c>
      <c r="J2814" s="9" t="n">
        <v>1</v>
      </c>
      <c r="K2814" s="30"/>
      <c r="L2814" s="30"/>
      <c r="M2814" s="30"/>
      <c r="N2814" s="30"/>
      <c r="O2814" s="30"/>
      <c r="P2814" s="30"/>
      <c r="Q2814" s="30"/>
      <c r="R2814" s="30"/>
      <c r="S2814" s="30"/>
      <c r="T2814" s="30"/>
      <c r="U2814" s="21" t="str">
        <f aca="false">IF(COUNT(K2814:T2814)=0,"SOURCE EMPTY / INDUSTRIAL ONLY",IF(MIN(K2814:T2814)=1,"SERVICE READY","HOLD"))</f>
        <v>SOURCE EMPTY / INDUSTRIAL ONLY</v>
      </c>
      <c r="V2814" s="9" t="n">
        <f aca="false">IF(U2814="SERVICE READY",1,0)</f>
        <v>0</v>
      </c>
      <c r="W2814" s="6"/>
      <c r="X2814" s="6"/>
      <c r="Y2814" s="6"/>
      <c r="Z2814" s="6"/>
    </row>
    <row r="2815" customFormat="false" ht="15" hidden="false" customHeight="false" outlineLevel="0" collapsed="false">
      <c r="A2815" s="9" t="s">
        <v>3082</v>
      </c>
      <c r="B2815" s="9" t="s">
        <v>2969</v>
      </c>
      <c r="C2815" s="9" t="s">
        <v>2970</v>
      </c>
      <c r="D2815" s="9" t="s">
        <v>2971</v>
      </c>
      <c r="E2815" s="9" t="s">
        <v>1660</v>
      </c>
      <c r="F2815" s="9" t="s">
        <v>211</v>
      </c>
      <c r="G2815" s="9" t="s">
        <v>221</v>
      </c>
      <c r="H2815" s="9" t="n">
        <v>1700</v>
      </c>
      <c r="I2815" s="29" t="n">
        <v>1.2</v>
      </c>
      <c r="J2815" s="9" t="n">
        <v>1</v>
      </c>
      <c r="K2815" s="30"/>
      <c r="L2815" s="30"/>
      <c r="M2815" s="30"/>
      <c r="N2815" s="30"/>
      <c r="O2815" s="30"/>
      <c r="P2815" s="30"/>
      <c r="Q2815" s="30"/>
      <c r="R2815" s="30"/>
      <c r="S2815" s="30"/>
      <c r="T2815" s="30"/>
      <c r="U2815" s="21" t="str">
        <f aca="false">IF(COUNT(K2815:T2815)=0,"SOURCE EMPTY / INDUSTRIAL ONLY",IF(MIN(K2815:T2815)=1,"SERVICE READY","HOLD"))</f>
        <v>SOURCE EMPTY / INDUSTRIAL ONLY</v>
      </c>
      <c r="V2815" s="9" t="n">
        <f aca="false">IF(U2815="SERVICE READY",1,0)</f>
        <v>0</v>
      </c>
      <c r="W2815" s="6"/>
      <c r="X2815" s="6"/>
      <c r="Y2815" s="6"/>
      <c r="Z2815" s="6"/>
    </row>
    <row r="2816" customFormat="false" ht="15" hidden="false" customHeight="false" outlineLevel="0" collapsed="false">
      <c r="A2816" s="9" t="s">
        <v>3083</v>
      </c>
      <c r="B2816" s="9" t="s">
        <v>2969</v>
      </c>
      <c r="C2816" s="9" t="s">
        <v>2970</v>
      </c>
      <c r="D2816" s="9" t="s">
        <v>2971</v>
      </c>
      <c r="E2816" s="9" t="s">
        <v>1660</v>
      </c>
      <c r="F2816" s="9" t="s">
        <v>197</v>
      </c>
      <c r="G2816" s="9" t="s">
        <v>221</v>
      </c>
      <c r="H2816" s="9" t="n">
        <v>1700</v>
      </c>
      <c r="I2816" s="29" t="n">
        <v>1.2</v>
      </c>
      <c r="J2816" s="9" t="n">
        <v>1</v>
      </c>
      <c r="K2816" s="30"/>
      <c r="L2816" s="30"/>
      <c r="M2816" s="30"/>
      <c r="N2816" s="30"/>
      <c r="O2816" s="30"/>
      <c r="P2816" s="30"/>
      <c r="Q2816" s="30"/>
      <c r="R2816" s="30"/>
      <c r="S2816" s="30"/>
      <c r="T2816" s="30"/>
      <c r="U2816" s="21" t="str">
        <f aca="false">IF(COUNT(K2816:T2816)=0,"SOURCE EMPTY / INDUSTRIAL ONLY",IF(MIN(K2816:T2816)=1,"SERVICE READY","HOLD"))</f>
        <v>SOURCE EMPTY / INDUSTRIAL ONLY</v>
      </c>
      <c r="V2816" s="9" t="n">
        <f aca="false">IF(U2816="SERVICE READY",1,0)</f>
        <v>0</v>
      </c>
      <c r="W2816" s="6"/>
      <c r="X2816" s="6"/>
      <c r="Y2816" s="6"/>
      <c r="Z2816" s="6"/>
    </row>
    <row r="2817" customFormat="false" ht="15" hidden="false" customHeight="false" outlineLevel="0" collapsed="false">
      <c r="A2817" s="9" t="s">
        <v>3084</v>
      </c>
      <c r="B2817" s="9" t="s">
        <v>2969</v>
      </c>
      <c r="C2817" s="9" t="s">
        <v>2970</v>
      </c>
      <c r="D2817" s="9" t="s">
        <v>2971</v>
      </c>
      <c r="E2817" s="9" t="s">
        <v>1660</v>
      </c>
      <c r="F2817" s="9" t="s">
        <v>200</v>
      </c>
      <c r="G2817" s="9" t="s">
        <v>221</v>
      </c>
      <c r="H2817" s="9" t="n">
        <v>1700</v>
      </c>
      <c r="I2817" s="29" t="n">
        <v>1.2</v>
      </c>
      <c r="J2817" s="9" t="n">
        <v>1</v>
      </c>
      <c r="K2817" s="30"/>
      <c r="L2817" s="30"/>
      <c r="M2817" s="30"/>
      <c r="N2817" s="30"/>
      <c r="O2817" s="30"/>
      <c r="P2817" s="30"/>
      <c r="Q2817" s="30"/>
      <c r="R2817" s="30"/>
      <c r="S2817" s="30"/>
      <c r="T2817" s="30"/>
      <c r="U2817" s="21" t="str">
        <f aca="false">IF(COUNT(K2817:T2817)=0,"SOURCE EMPTY / INDUSTRIAL ONLY",IF(MIN(K2817:T2817)=1,"SERVICE READY","HOLD"))</f>
        <v>SOURCE EMPTY / INDUSTRIAL ONLY</v>
      </c>
      <c r="V2817" s="9" t="n">
        <f aca="false">IF(U2817="SERVICE READY",1,0)</f>
        <v>0</v>
      </c>
      <c r="W2817" s="6"/>
      <c r="X2817" s="6"/>
      <c r="Y2817" s="6"/>
      <c r="Z2817" s="6"/>
    </row>
    <row r="2818" customFormat="false" ht="15" hidden="false" customHeight="false" outlineLevel="0" collapsed="false">
      <c r="A2818" s="9" t="s">
        <v>3085</v>
      </c>
      <c r="B2818" s="9" t="s">
        <v>2969</v>
      </c>
      <c r="C2818" s="9" t="s">
        <v>2970</v>
      </c>
      <c r="D2818" s="9" t="s">
        <v>2971</v>
      </c>
      <c r="E2818" s="9" t="s">
        <v>1660</v>
      </c>
      <c r="F2818" s="9" t="s">
        <v>203</v>
      </c>
      <c r="G2818" s="9" t="s">
        <v>221</v>
      </c>
      <c r="H2818" s="9" t="n">
        <v>1700</v>
      </c>
      <c r="I2818" s="29" t="n">
        <v>1.2</v>
      </c>
      <c r="J2818" s="9" t="n">
        <v>0</v>
      </c>
      <c r="K2818" s="30"/>
      <c r="L2818" s="30"/>
      <c r="M2818" s="30"/>
      <c r="N2818" s="30"/>
      <c r="O2818" s="30"/>
      <c r="P2818" s="30"/>
      <c r="Q2818" s="30"/>
      <c r="R2818" s="30"/>
      <c r="S2818" s="30"/>
      <c r="T2818" s="30"/>
      <c r="U2818" s="21" t="str">
        <f aca="false">IF(COUNT(K2818:T2818)=0,"SOURCE EMPTY / INDUSTRIAL ONLY",IF(MIN(K2818:T2818)=1,"SERVICE READY","HOLD"))</f>
        <v>SOURCE EMPTY / INDUSTRIAL ONLY</v>
      </c>
      <c r="V2818" s="9" t="n">
        <f aca="false">IF(U2818="SERVICE READY",1,0)</f>
        <v>0</v>
      </c>
      <c r="W2818" s="6"/>
      <c r="X2818" s="6"/>
      <c r="Y2818" s="6"/>
      <c r="Z2818" s="6"/>
    </row>
    <row r="2819" customFormat="false" ht="15" hidden="false" customHeight="false" outlineLevel="0" collapsed="false">
      <c r="A2819" s="9" t="s">
        <v>3086</v>
      </c>
      <c r="B2819" s="9" t="s">
        <v>2969</v>
      </c>
      <c r="C2819" s="9" t="s">
        <v>2970</v>
      </c>
      <c r="D2819" s="9" t="s">
        <v>2971</v>
      </c>
      <c r="E2819" s="9" t="s">
        <v>1660</v>
      </c>
      <c r="F2819" s="9" t="s">
        <v>205</v>
      </c>
      <c r="G2819" s="9" t="s">
        <v>221</v>
      </c>
      <c r="H2819" s="9" t="n">
        <v>1700</v>
      </c>
      <c r="I2819" s="29" t="n">
        <v>1.2</v>
      </c>
      <c r="J2819" s="9" t="n">
        <v>0</v>
      </c>
      <c r="K2819" s="30"/>
      <c r="L2819" s="30"/>
      <c r="M2819" s="30"/>
      <c r="N2819" s="30"/>
      <c r="O2819" s="30"/>
      <c r="P2819" s="30"/>
      <c r="Q2819" s="30"/>
      <c r="R2819" s="30"/>
      <c r="S2819" s="30"/>
      <c r="T2819" s="30"/>
      <c r="U2819" s="21" t="str">
        <f aca="false">IF(COUNT(K2819:T2819)=0,"SOURCE EMPTY / INDUSTRIAL ONLY",IF(MIN(K2819:T2819)=1,"SERVICE READY","HOLD"))</f>
        <v>SOURCE EMPTY / INDUSTRIAL ONLY</v>
      </c>
      <c r="V2819" s="9" t="n">
        <f aca="false">IF(U2819="SERVICE READY",1,0)</f>
        <v>0</v>
      </c>
      <c r="W2819" s="6"/>
      <c r="X2819" s="6"/>
      <c r="Y2819" s="6"/>
      <c r="Z2819" s="6"/>
    </row>
    <row r="2820" customFormat="false" ht="15" hidden="false" customHeight="false" outlineLevel="0" collapsed="false">
      <c r="A2820" s="9" t="s">
        <v>3087</v>
      </c>
      <c r="B2820" s="9" t="s">
        <v>2969</v>
      </c>
      <c r="C2820" s="9" t="s">
        <v>2970</v>
      </c>
      <c r="D2820" s="9" t="s">
        <v>2971</v>
      </c>
      <c r="E2820" s="9" t="s">
        <v>1660</v>
      </c>
      <c r="F2820" s="9" t="s">
        <v>207</v>
      </c>
      <c r="G2820" s="9" t="s">
        <v>221</v>
      </c>
      <c r="H2820" s="9" t="n">
        <v>1700</v>
      </c>
      <c r="I2820" s="29" t="n">
        <v>1.2</v>
      </c>
      <c r="J2820" s="9" t="n">
        <v>0</v>
      </c>
      <c r="K2820" s="30"/>
      <c r="L2820" s="30"/>
      <c r="M2820" s="30"/>
      <c r="N2820" s="30"/>
      <c r="O2820" s="30"/>
      <c r="P2820" s="30"/>
      <c r="Q2820" s="30"/>
      <c r="R2820" s="30"/>
      <c r="S2820" s="30"/>
      <c r="T2820" s="30"/>
      <c r="U2820" s="21" t="str">
        <f aca="false">IF(COUNT(K2820:T2820)=0,"SOURCE EMPTY / INDUSTRIAL ONLY",IF(MIN(K2820:T2820)=1,"SERVICE READY","HOLD"))</f>
        <v>SOURCE EMPTY / INDUSTRIAL ONLY</v>
      </c>
      <c r="V2820" s="9" t="n">
        <f aca="false">IF(U2820="SERVICE READY",1,0)</f>
        <v>0</v>
      </c>
      <c r="W2820" s="6"/>
      <c r="X2820" s="6"/>
      <c r="Y2820" s="6"/>
      <c r="Z2820" s="6"/>
    </row>
    <row r="2821" customFormat="false" ht="15" hidden="false" customHeight="false" outlineLevel="0" collapsed="false">
      <c r="A2821" s="9" t="s">
        <v>3088</v>
      </c>
      <c r="B2821" s="9" t="s">
        <v>2969</v>
      </c>
      <c r="C2821" s="9" t="s">
        <v>2970</v>
      </c>
      <c r="D2821" s="9" t="s">
        <v>2971</v>
      </c>
      <c r="E2821" s="9" t="s">
        <v>1660</v>
      </c>
      <c r="F2821" s="9" t="s">
        <v>209</v>
      </c>
      <c r="G2821" s="9" t="s">
        <v>221</v>
      </c>
      <c r="H2821" s="9" t="n">
        <v>1700</v>
      </c>
      <c r="I2821" s="29" t="n">
        <v>1.2</v>
      </c>
      <c r="J2821" s="9" t="n">
        <v>0</v>
      </c>
      <c r="K2821" s="30"/>
      <c r="L2821" s="30"/>
      <c r="M2821" s="30"/>
      <c r="N2821" s="30"/>
      <c r="O2821" s="30"/>
      <c r="P2821" s="30"/>
      <c r="Q2821" s="30"/>
      <c r="R2821" s="30"/>
      <c r="S2821" s="30"/>
      <c r="T2821" s="30"/>
      <c r="U2821" s="21" t="str">
        <f aca="false">IF(COUNT(K2821:T2821)=0,"SOURCE EMPTY / INDUSTRIAL ONLY",IF(MIN(K2821:T2821)=1,"SERVICE READY","HOLD"))</f>
        <v>SOURCE EMPTY / INDUSTRIAL ONLY</v>
      </c>
      <c r="V2821" s="9" t="n">
        <f aca="false">IF(U2821="SERVICE READY",1,0)</f>
        <v>0</v>
      </c>
      <c r="W2821" s="6"/>
      <c r="X2821" s="6"/>
      <c r="Y2821" s="6"/>
      <c r="Z2821" s="6"/>
    </row>
    <row r="2822" customFormat="false" ht="15" hidden="false" customHeight="false" outlineLevel="0" collapsed="false">
      <c r="A2822" s="9" t="s">
        <v>3089</v>
      </c>
      <c r="B2822" s="9" t="s">
        <v>2969</v>
      </c>
      <c r="C2822" s="9" t="s">
        <v>2970</v>
      </c>
      <c r="D2822" s="9" t="s">
        <v>2971</v>
      </c>
      <c r="E2822" s="9" t="s">
        <v>1660</v>
      </c>
      <c r="F2822" s="9" t="s">
        <v>211</v>
      </c>
      <c r="G2822" s="9" t="s">
        <v>221</v>
      </c>
      <c r="H2822" s="9" t="n">
        <v>1700</v>
      </c>
      <c r="I2822" s="29" t="n">
        <v>1.2</v>
      </c>
      <c r="J2822" s="9" t="n">
        <v>0</v>
      </c>
      <c r="K2822" s="30"/>
      <c r="L2822" s="30"/>
      <c r="M2822" s="30"/>
      <c r="N2822" s="30"/>
      <c r="O2822" s="30"/>
      <c r="P2822" s="30"/>
      <c r="Q2822" s="30"/>
      <c r="R2822" s="30"/>
      <c r="S2822" s="30"/>
      <c r="T2822" s="30"/>
      <c r="U2822" s="21" t="str">
        <f aca="false">IF(COUNT(K2822:T2822)=0,"SOURCE EMPTY / INDUSTRIAL ONLY",IF(MIN(K2822:T2822)=1,"SERVICE READY","HOLD"))</f>
        <v>SOURCE EMPTY / INDUSTRIAL ONLY</v>
      </c>
      <c r="V2822" s="9" t="n">
        <f aca="false">IF(U2822="SERVICE READY",1,0)</f>
        <v>0</v>
      </c>
      <c r="W2822" s="6"/>
      <c r="X2822" s="6"/>
      <c r="Y2822" s="6"/>
      <c r="Z2822" s="6"/>
    </row>
    <row r="2823" customFormat="false" ht="15" hidden="false" customHeight="false" outlineLevel="0" collapsed="false">
      <c r="A2823" s="9" t="s">
        <v>3090</v>
      </c>
      <c r="B2823" s="9" t="s">
        <v>2969</v>
      </c>
      <c r="C2823" s="9" t="s">
        <v>2970</v>
      </c>
      <c r="D2823" s="9" t="s">
        <v>2971</v>
      </c>
      <c r="E2823" s="9" t="s">
        <v>1660</v>
      </c>
      <c r="F2823" s="9" t="s">
        <v>197</v>
      </c>
      <c r="G2823" s="9" t="s">
        <v>221</v>
      </c>
      <c r="H2823" s="9" t="n">
        <v>1700</v>
      </c>
      <c r="I2823" s="29" t="n">
        <v>1.2</v>
      </c>
      <c r="J2823" s="9" t="n">
        <v>0</v>
      </c>
      <c r="K2823" s="30"/>
      <c r="L2823" s="30"/>
      <c r="M2823" s="30"/>
      <c r="N2823" s="30"/>
      <c r="O2823" s="30"/>
      <c r="P2823" s="30"/>
      <c r="Q2823" s="30"/>
      <c r="R2823" s="30"/>
      <c r="S2823" s="30"/>
      <c r="T2823" s="30"/>
      <c r="U2823" s="21" t="str">
        <f aca="false">IF(COUNT(K2823:T2823)=0,"SOURCE EMPTY / INDUSTRIAL ONLY",IF(MIN(K2823:T2823)=1,"SERVICE READY","HOLD"))</f>
        <v>SOURCE EMPTY / INDUSTRIAL ONLY</v>
      </c>
      <c r="V2823" s="9" t="n">
        <f aca="false">IF(U2823="SERVICE READY",1,0)</f>
        <v>0</v>
      </c>
      <c r="W2823" s="6"/>
      <c r="X2823" s="6"/>
      <c r="Y2823" s="6"/>
      <c r="Z2823" s="6"/>
    </row>
    <row r="2824" customFormat="false" ht="15" hidden="false" customHeight="false" outlineLevel="0" collapsed="false">
      <c r="A2824" s="9" t="s">
        <v>3091</v>
      </c>
      <c r="B2824" s="9" t="s">
        <v>2969</v>
      </c>
      <c r="C2824" s="9" t="s">
        <v>2970</v>
      </c>
      <c r="D2824" s="9" t="s">
        <v>2971</v>
      </c>
      <c r="E2824" s="9" t="s">
        <v>1660</v>
      </c>
      <c r="F2824" s="9" t="s">
        <v>200</v>
      </c>
      <c r="G2824" s="9" t="s">
        <v>221</v>
      </c>
      <c r="H2824" s="9" t="n">
        <v>1700</v>
      </c>
      <c r="I2824" s="29" t="n">
        <v>1.2</v>
      </c>
      <c r="J2824" s="9" t="n">
        <v>0</v>
      </c>
      <c r="K2824" s="30"/>
      <c r="L2824" s="30"/>
      <c r="M2824" s="30"/>
      <c r="N2824" s="30"/>
      <c r="O2824" s="30"/>
      <c r="P2824" s="30"/>
      <c r="Q2824" s="30"/>
      <c r="R2824" s="30"/>
      <c r="S2824" s="30"/>
      <c r="T2824" s="30"/>
      <c r="U2824" s="21" t="str">
        <f aca="false">IF(COUNT(K2824:T2824)=0,"SOURCE EMPTY / INDUSTRIAL ONLY",IF(MIN(K2824:T2824)=1,"SERVICE READY","HOLD"))</f>
        <v>SOURCE EMPTY / INDUSTRIAL ONLY</v>
      </c>
      <c r="V2824" s="9" t="n">
        <f aca="false">IF(U2824="SERVICE READY",1,0)</f>
        <v>0</v>
      </c>
      <c r="W2824" s="6"/>
      <c r="X2824" s="6"/>
      <c r="Y2824" s="6"/>
      <c r="Z2824" s="6"/>
    </row>
    <row r="2825" customFormat="false" ht="15" hidden="false" customHeight="false" outlineLevel="0" collapsed="false">
      <c r="A2825" s="9" t="s">
        <v>3092</v>
      </c>
      <c r="B2825" s="9" t="s">
        <v>2969</v>
      </c>
      <c r="C2825" s="9" t="s">
        <v>2970</v>
      </c>
      <c r="D2825" s="9" t="s">
        <v>2971</v>
      </c>
      <c r="E2825" s="9" t="s">
        <v>1660</v>
      </c>
      <c r="F2825" s="9" t="s">
        <v>203</v>
      </c>
      <c r="G2825" s="9" t="s">
        <v>221</v>
      </c>
      <c r="H2825" s="9" t="n">
        <v>1700</v>
      </c>
      <c r="I2825" s="29" t="n">
        <v>1.2</v>
      </c>
      <c r="J2825" s="9" t="n">
        <v>0</v>
      </c>
      <c r="K2825" s="30"/>
      <c r="L2825" s="30"/>
      <c r="M2825" s="30"/>
      <c r="N2825" s="30"/>
      <c r="O2825" s="30"/>
      <c r="P2825" s="30"/>
      <c r="Q2825" s="30"/>
      <c r="R2825" s="30"/>
      <c r="S2825" s="30"/>
      <c r="T2825" s="30"/>
      <c r="U2825" s="21" t="str">
        <f aca="false">IF(COUNT(K2825:T2825)=0,"SOURCE EMPTY / INDUSTRIAL ONLY",IF(MIN(K2825:T2825)=1,"SERVICE READY","HOLD"))</f>
        <v>SOURCE EMPTY / INDUSTRIAL ONLY</v>
      </c>
      <c r="V2825" s="9" t="n">
        <f aca="false">IF(U2825="SERVICE READY",1,0)</f>
        <v>0</v>
      </c>
      <c r="W2825" s="6"/>
      <c r="X2825" s="6"/>
      <c r="Y2825" s="6"/>
      <c r="Z2825" s="6"/>
    </row>
    <row r="2826" customFormat="false" ht="15" hidden="false" customHeight="false" outlineLevel="0" collapsed="false">
      <c r="A2826" s="9" t="s">
        <v>3093</v>
      </c>
      <c r="B2826" s="9" t="s">
        <v>2969</v>
      </c>
      <c r="C2826" s="9" t="s">
        <v>2970</v>
      </c>
      <c r="D2826" s="9" t="s">
        <v>2971</v>
      </c>
      <c r="E2826" s="9" t="s">
        <v>1660</v>
      </c>
      <c r="F2826" s="9" t="s">
        <v>205</v>
      </c>
      <c r="G2826" s="9" t="s">
        <v>221</v>
      </c>
      <c r="H2826" s="9" t="n">
        <v>1700</v>
      </c>
      <c r="I2826" s="29" t="n">
        <v>1.2</v>
      </c>
      <c r="J2826" s="9" t="n">
        <v>0</v>
      </c>
      <c r="K2826" s="30"/>
      <c r="L2826" s="30"/>
      <c r="M2826" s="30"/>
      <c r="N2826" s="30"/>
      <c r="O2826" s="30"/>
      <c r="P2826" s="30"/>
      <c r="Q2826" s="30"/>
      <c r="R2826" s="30"/>
      <c r="S2826" s="30"/>
      <c r="T2826" s="30"/>
      <c r="U2826" s="21" t="str">
        <f aca="false">IF(COUNT(K2826:T2826)=0,"SOURCE EMPTY / INDUSTRIAL ONLY",IF(MIN(K2826:T2826)=1,"SERVICE READY","HOLD"))</f>
        <v>SOURCE EMPTY / INDUSTRIAL ONLY</v>
      </c>
      <c r="V2826" s="9" t="n">
        <f aca="false">IF(U2826="SERVICE READY",1,0)</f>
        <v>0</v>
      </c>
      <c r="W2826" s="6"/>
      <c r="X2826" s="6"/>
      <c r="Y2826" s="6"/>
      <c r="Z2826" s="6"/>
    </row>
    <row r="2827" customFormat="false" ht="15" hidden="false" customHeight="false" outlineLevel="0" collapsed="false">
      <c r="A2827" s="9" t="s">
        <v>3094</v>
      </c>
      <c r="B2827" s="9" t="s">
        <v>2969</v>
      </c>
      <c r="C2827" s="9" t="s">
        <v>2970</v>
      </c>
      <c r="D2827" s="9" t="s">
        <v>2971</v>
      </c>
      <c r="E2827" s="9" t="s">
        <v>1660</v>
      </c>
      <c r="F2827" s="9" t="s">
        <v>207</v>
      </c>
      <c r="G2827" s="9" t="s">
        <v>221</v>
      </c>
      <c r="H2827" s="9" t="n">
        <v>1700</v>
      </c>
      <c r="I2827" s="29" t="n">
        <v>1.2</v>
      </c>
      <c r="J2827" s="9" t="n">
        <v>0</v>
      </c>
      <c r="K2827" s="30"/>
      <c r="L2827" s="30"/>
      <c r="M2827" s="30"/>
      <c r="N2827" s="30"/>
      <c r="O2827" s="30"/>
      <c r="P2827" s="30"/>
      <c r="Q2827" s="30"/>
      <c r="R2827" s="30"/>
      <c r="S2827" s="30"/>
      <c r="T2827" s="30"/>
      <c r="U2827" s="21" t="str">
        <f aca="false">IF(COUNT(K2827:T2827)=0,"SOURCE EMPTY / INDUSTRIAL ONLY",IF(MIN(K2827:T2827)=1,"SERVICE READY","HOLD"))</f>
        <v>SOURCE EMPTY / INDUSTRIAL ONLY</v>
      </c>
      <c r="V2827" s="9" t="n">
        <f aca="false">IF(U2827="SERVICE READY",1,0)</f>
        <v>0</v>
      </c>
      <c r="W2827" s="6"/>
      <c r="X2827" s="6"/>
      <c r="Y2827" s="6"/>
      <c r="Z2827" s="6"/>
    </row>
    <row r="2828" customFormat="false" ht="15" hidden="false" customHeight="false" outlineLevel="0" collapsed="false">
      <c r="A2828" s="9" t="s">
        <v>3095</v>
      </c>
      <c r="B2828" s="9" t="s">
        <v>2969</v>
      </c>
      <c r="C2828" s="9" t="s">
        <v>2970</v>
      </c>
      <c r="D2828" s="9" t="s">
        <v>2971</v>
      </c>
      <c r="E2828" s="9" t="s">
        <v>1660</v>
      </c>
      <c r="F2828" s="9" t="s">
        <v>209</v>
      </c>
      <c r="G2828" s="9" t="s">
        <v>221</v>
      </c>
      <c r="H2828" s="9" t="n">
        <v>1700</v>
      </c>
      <c r="I2828" s="29" t="n">
        <v>1.2</v>
      </c>
      <c r="J2828" s="9" t="n">
        <v>0</v>
      </c>
      <c r="K2828" s="30"/>
      <c r="L2828" s="30"/>
      <c r="M2828" s="30"/>
      <c r="N2828" s="30"/>
      <c r="O2828" s="30"/>
      <c r="P2828" s="30"/>
      <c r="Q2828" s="30"/>
      <c r="R2828" s="30"/>
      <c r="S2828" s="30"/>
      <c r="T2828" s="30"/>
      <c r="U2828" s="21" t="str">
        <f aca="false">IF(COUNT(K2828:T2828)=0,"SOURCE EMPTY / INDUSTRIAL ONLY",IF(MIN(K2828:T2828)=1,"SERVICE READY","HOLD"))</f>
        <v>SOURCE EMPTY / INDUSTRIAL ONLY</v>
      </c>
      <c r="V2828" s="9" t="n">
        <f aca="false">IF(U2828="SERVICE READY",1,0)</f>
        <v>0</v>
      </c>
      <c r="W2828" s="6"/>
      <c r="X2828" s="6"/>
      <c r="Y2828" s="6"/>
      <c r="Z2828" s="6"/>
    </row>
    <row r="2829" customFormat="false" ht="15" hidden="false" customHeight="false" outlineLevel="0" collapsed="false">
      <c r="A2829" s="9" t="s">
        <v>3096</v>
      </c>
      <c r="B2829" s="9" t="s">
        <v>2969</v>
      </c>
      <c r="C2829" s="9" t="s">
        <v>2970</v>
      </c>
      <c r="D2829" s="9" t="s">
        <v>2971</v>
      </c>
      <c r="E2829" s="9" t="s">
        <v>1660</v>
      </c>
      <c r="F2829" s="9" t="s">
        <v>211</v>
      </c>
      <c r="G2829" s="9" t="s">
        <v>221</v>
      </c>
      <c r="H2829" s="9" t="n">
        <v>1700</v>
      </c>
      <c r="I2829" s="29" t="n">
        <v>1.2</v>
      </c>
      <c r="J2829" s="9" t="n">
        <v>0</v>
      </c>
      <c r="K2829" s="30"/>
      <c r="L2829" s="30"/>
      <c r="M2829" s="30"/>
      <c r="N2829" s="30"/>
      <c r="O2829" s="30"/>
      <c r="P2829" s="30"/>
      <c r="Q2829" s="30"/>
      <c r="R2829" s="30"/>
      <c r="S2829" s="30"/>
      <c r="T2829" s="30"/>
      <c r="U2829" s="21" t="str">
        <f aca="false">IF(COUNT(K2829:T2829)=0,"SOURCE EMPTY / INDUSTRIAL ONLY",IF(MIN(K2829:T2829)=1,"SERVICE READY","HOLD"))</f>
        <v>SOURCE EMPTY / INDUSTRIAL ONLY</v>
      </c>
      <c r="V2829" s="9" t="n">
        <f aca="false">IF(U2829="SERVICE READY",1,0)</f>
        <v>0</v>
      </c>
      <c r="W2829" s="6"/>
      <c r="X2829" s="6"/>
      <c r="Y2829" s="6"/>
      <c r="Z2829" s="6"/>
    </row>
    <row r="2830" customFormat="false" ht="15" hidden="false" customHeight="false" outlineLevel="0" collapsed="false">
      <c r="A2830" s="9" t="s">
        <v>3097</v>
      </c>
      <c r="B2830" s="9" t="s">
        <v>2969</v>
      </c>
      <c r="C2830" s="9" t="s">
        <v>2970</v>
      </c>
      <c r="D2830" s="9" t="s">
        <v>2971</v>
      </c>
      <c r="E2830" s="9" t="s">
        <v>1660</v>
      </c>
      <c r="F2830" s="9" t="s">
        <v>197</v>
      </c>
      <c r="G2830" s="9" t="s">
        <v>221</v>
      </c>
      <c r="H2830" s="9" t="n">
        <v>1700</v>
      </c>
      <c r="I2830" s="29" t="n">
        <v>1.2</v>
      </c>
      <c r="J2830" s="9" t="n">
        <v>0</v>
      </c>
      <c r="K2830" s="30"/>
      <c r="L2830" s="30"/>
      <c r="M2830" s="30"/>
      <c r="N2830" s="30"/>
      <c r="O2830" s="30"/>
      <c r="P2830" s="30"/>
      <c r="Q2830" s="30"/>
      <c r="R2830" s="30"/>
      <c r="S2830" s="30"/>
      <c r="T2830" s="30"/>
      <c r="U2830" s="21" t="str">
        <f aca="false">IF(COUNT(K2830:T2830)=0,"SOURCE EMPTY / INDUSTRIAL ONLY",IF(MIN(K2830:T2830)=1,"SERVICE READY","HOLD"))</f>
        <v>SOURCE EMPTY / INDUSTRIAL ONLY</v>
      </c>
      <c r="V2830" s="9" t="n">
        <f aca="false">IF(U2830="SERVICE READY",1,0)</f>
        <v>0</v>
      </c>
      <c r="W2830" s="6"/>
      <c r="X2830" s="6"/>
      <c r="Y2830" s="6"/>
      <c r="Z2830" s="6"/>
    </row>
    <row r="2831" customFormat="false" ht="15" hidden="false" customHeight="false" outlineLevel="0" collapsed="false">
      <c r="A2831" s="9" t="s">
        <v>3098</v>
      </c>
      <c r="B2831" s="9" t="s">
        <v>2969</v>
      </c>
      <c r="C2831" s="9" t="s">
        <v>2970</v>
      </c>
      <c r="D2831" s="9" t="s">
        <v>2971</v>
      </c>
      <c r="E2831" s="9" t="s">
        <v>1660</v>
      </c>
      <c r="F2831" s="9" t="s">
        <v>200</v>
      </c>
      <c r="G2831" s="9" t="s">
        <v>221</v>
      </c>
      <c r="H2831" s="9" t="n">
        <v>1700</v>
      </c>
      <c r="I2831" s="29" t="n">
        <v>1.2</v>
      </c>
      <c r="J2831" s="9" t="n">
        <v>0</v>
      </c>
      <c r="K2831" s="30"/>
      <c r="L2831" s="30"/>
      <c r="M2831" s="30"/>
      <c r="N2831" s="30"/>
      <c r="O2831" s="30"/>
      <c r="P2831" s="30"/>
      <c r="Q2831" s="30"/>
      <c r="R2831" s="30"/>
      <c r="S2831" s="30"/>
      <c r="T2831" s="30"/>
      <c r="U2831" s="21" t="str">
        <f aca="false">IF(COUNT(K2831:T2831)=0,"SOURCE EMPTY / INDUSTRIAL ONLY",IF(MIN(K2831:T2831)=1,"SERVICE READY","HOLD"))</f>
        <v>SOURCE EMPTY / INDUSTRIAL ONLY</v>
      </c>
      <c r="V2831" s="9" t="n">
        <f aca="false">IF(U2831="SERVICE READY",1,0)</f>
        <v>0</v>
      </c>
      <c r="W2831" s="6"/>
      <c r="X2831" s="6"/>
      <c r="Y2831" s="6"/>
      <c r="Z2831" s="6"/>
    </row>
    <row r="2832" customFormat="false" ht="15" hidden="false" customHeight="false" outlineLevel="0" collapsed="false">
      <c r="A2832" s="9" t="s">
        <v>3099</v>
      </c>
      <c r="B2832" s="9" t="s">
        <v>2969</v>
      </c>
      <c r="C2832" s="9" t="s">
        <v>2970</v>
      </c>
      <c r="D2832" s="9" t="s">
        <v>2971</v>
      </c>
      <c r="E2832" s="9" t="s">
        <v>1660</v>
      </c>
      <c r="F2832" s="9" t="s">
        <v>203</v>
      </c>
      <c r="G2832" s="9" t="s">
        <v>221</v>
      </c>
      <c r="H2832" s="9" t="n">
        <v>1700</v>
      </c>
      <c r="I2832" s="29" t="n">
        <v>1.2</v>
      </c>
      <c r="J2832" s="9" t="n">
        <v>0</v>
      </c>
      <c r="K2832" s="30"/>
      <c r="L2832" s="30"/>
      <c r="M2832" s="30"/>
      <c r="N2832" s="30"/>
      <c r="O2832" s="30"/>
      <c r="P2832" s="30"/>
      <c r="Q2832" s="30"/>
      <c r="R2832" s="30"/>
      <c r="S2832" s="30"/>
      <c r="T2832" s="30"/>
      <c r="U2832" s="21" t="str">
        <f aca="false">IF(COUNT(K2832:T2832)=0,"SOURCE EMPTY / INDUSTRIAL ONLY",IF(MIN(K2832:T2832)=1,"SERVICE READY","HOLD"))</f>
        <v>SOURCE EMPTY / INDUSTRIAL ONLY</v>
      </c>
      <c r="V2832" s="9" t="n">
        <f aca="false">IF(U2832="SERVICE READY",1,0)</f>
        <v>0</v>
      </c>
      <c r="W2832" s="6"/>
      <c r="X2832" s="6"/>
      <c r="Y2832" s="6"/>
      <c r="Z2832" s="6"/>
    </row>
    <row r="2833" customFormat="false" ht="15" hidden="false" customHeight="false" outlineLevel="0" collapsed="false">
      <c r="A2833" s="9" t="s">
        <v>3100</v>
      </c>
      <c r="B2833" s="9" t="s">
        <v>2969</v>
      </c>
      <c r="C2833" s="9" t="s">
        <v>2970</v>
      </c>
      <c r="D2833" s="9" t="s">
        <v>2971</v>
      </c>
      <c r="E2833" s="9" t="s">
        <v>1660</v>
      </c>
      <c r="F2833" s="9" t="s">
        <v>205</v>
      </c>
      <c r="G2833" s="9" t="s">
        <v>221</v>
      </c>
      <c r="H2833" s="9" t="n">
        <v>1700</v>
      </c>
      <c r="I2833" s="29" t="n">
        <v>1.2</v>
      </c>
      <c r="J2833" s="9" t="n">
        <v>0</v>
      </c>
      <c r="K2833" s="30"/>
      <c r="L2833" s="30"/>
      <c r="M2833" s="30"/>
      <c r="N2833" s="30"/>
      <c r="O2833" s="30"/>
      <c r="P2833" s="30"/>
      <c r="Q2833" s="30"/>
      <c r="R2833" s="30"/>
      <c r="S2833" s="30"/>
      <c r="T2833" s="30"/>
      <c r="U2833" s="21" t="str">
        <f aca="false">IF(COUNT(K2833:T2833)=0,"SOURCE EMPTY / INDUSTRIAL ONLY",IF(MIN(K2833:T2833)=1,"SERVICE READY","HOLD"))</f>
        <v>SOURCE EMPTY / INDUSTRIAL ONLY</v>
      </c>
      <c r="V2833" s="9" t="n">
        <f aca="false">IF(U2833="SERVICE READY",1,0)</f>
        <v>0</v>
      </c>
      <c r="W2833" s="6"/>
      <c r="X2833" s="6"/>
      <c r="Y2833" s="6"/>
      <c r="Z2833" s="6"/>
    </row>
    <row r="2834" customFormat="false" ht="15" hidden="false" customHeight="false" outlineLevel="0" collapsed="false">
      <c r="A2834" s="9" t="s">
        <v>3101</v>
      </c>
      <c r="B2834" s="9" t="s">
        <v>2969</v>
      </c>
      <c r="C2834" s="9" t="s">
        <v>2970</v>
      </c>
      <c r="D2834" s="9" t="s">
        <v>2971</v>
      </c>
      <c r="E2834" s="9" t="s">
        <v>1660</v>
      </c>
      <c r="F2834" s="9" t="s">
        <v>207</v>
      </c>
      <c r="G2834" s="9" t="s">
        <v>221</v>
      </c>
      <c r="H2834" s="9" t="n">
        <v>1700</v>
      </c>
      <c r="I2834" s="29" t="n">
        <v>1.2</v>
      </c>
      <c r="J2834" s="9" t="n">
        <v>0</v>
      </c>
      <c r="K2834" s="30"/>
      <c r="L2834" s="30"/>
      <c r="M2834" s="30"/>
      <c r="N2834" s="30"/>
      <c r="O2834" s="30"/>
      <c r="P2834" s="30"/>
      <c r="Q2834" s="30"/>
      <c r="R2834" s="30"/>
      <c r="S2834" s="30"/>
      <c r="T2834" s="30"/>
      <c r="U2834" s="21" t="str">
        <f aca="false">IF(COUNT(K2834:T2834)=0,"SOURCE EMPTY / INDUSTRIAL ONLY",IF(MIN(K2834:T2834)=1,"SERVICE READY","HOLD"))</f>
        <v>SOURCE EMPTY / INDUSTRIAL ONLY</v>
      </c>
      <c r="V2834" s="9" t="n">
        <f aca="false">IF(U2834="SERVICE READY",1,0)</f>
        <v>0</v>
      </c>
      <c r="W2834" s="6"/>
      <c r="X2834" s="6"/>
      <c r="Y2834" s="6"/>
      <c r="Z2834" s="6"/>
    </row>
    <row r="2835" customFormat="false" ht="15" hidden="false" customHeight="false" outlineLevel="0" collapsed="false">
      <c r="A2835" s="9" t="s">
        <v>3102</v>
      </c>
      <c r="B2835" s="9" t="s">
        <v>2969</v>
      </c>
      <c r="C2835" s="9" t="s">
        <v>2970</v>
      </c>
      <c r="D2835" s="9" t="s">
        <v>2971</v>
      </c>
      <c r="E2835" s="9" t="s">
        <v>1660</v>
      </c>
      <c r="F2835" s="9" t="s">
        <v>209</v>
      </c>
      <c r="G2835" s="9" t="s">
        <v>221</v>
      </c>
      <c r="H2835" s="9" t="n">
        <v>1700</v>
      </c>
      <c r="I2835" s="29" t="n">
        <v>1.2</v>
      </c>
      <c r="J2835" s="9" t="n">
        <v>0</v>
      </c>
      <c r="K2835" s="30"/>
      <c r="L2835" s="30"/>
      <c r="M2835" s="30"/>
      <c r="N2835" s="30"/>
      <c r="O2835" s="30"/>
      <c r="P2835" s="30"/>
      <c r="Q2835" s="30"/>
      <c r="R2835" s="30"/>
      <c r="S2835" s="30"/>
      <c r="T2835" s="30"/>
      <c r="U2835" s="21" t="str">
        <f aca="false">IF(COUNT(K2835:T2835)=0,"SOURCE EMPTY / INDUSTRIAL ONLY",IF(MIN(K2835:T2835)=1,"SERVICE READY","HOLD"))</f>
        <v>SOURCE EMPTY / INDUSTRIAL ONLY</v>
      </c>
      <c r="V2835" s="9" t="n">
        <f aca="false">IF(U2835="SERVICE READY",1,0)</f>
        <v>0</v>
      </c>
      <c r="W2835" s="6"/>
      <c r="X2835" s="6"/>
      <c r="Y2835" s="6"/>
      <c r="Z2835" s="6"/>
    </row>
    <row r="2836" customFormat="false" ht="15" hidden="false" customHeight="false" outlineLevel="0" collapsed="false">
      <c r="A2836" s="9" t="s">
        <v>3103</v>
      </c>
      <c r="B2836" s="9" t="s">
        <v>2969</v>
      </c>
      <c r="C2836" s="9" t="s">
        <v>2970</v>
      </c>
      <c r="D2836" s="9" t="s">
        <v>2971</v>
      </c>
      <c r="E2836" s="9" t="s">
        <v>1660</v>
      </c>
      <c r="F2836" s="9" t="s">
        <v>211</v>
      </c>
      <c r="G2836" s="9" t="s">
        <v>221</v>
      </c>
      <c r="H2836" s="9" t="n">
        <v>1700</v>
      </c>
      <c r="I2836" s="29" t="n">
        <v>1.2</v>
      </c>
      <c r="J2836" s="9" t="n">
        <v>0</v>
      </c>
      <c r="K2836" s="30"/>
      <c r="L2836" s="30"/>
      <c r="M2836" s="30"/>
      <c r="N2836" s="30"/>
      <c r="O2836" s="30"/>
      <c r="P2836" s="30"/>
      <c r="Q2836" s="30"/>
      <c r="R2836" s="30"/>
      <c r="S2836" s="30"/>
      <c r="T2836" s="30"/>
      <c r="U2836" s="21" t="str">
        <f aca="false">IF(COUNT(K2836:T2836)=0,"SOURCE EMPTY / INDUSTRIAL ONLY",IF(MIN(K2836:T2836)=1,"SERVICE READY","HOLD"))</f>
        <v>SOURCE EMPTY / INDUSTRIAL ONLY</v>
      </c>
      <c r="V2836" s="9" t="n">
        <f aca="false">IF(U2836="SERVICE READY",1,0)</f>
        <v>0</v>
      </c>
      <c r="W2836" s="6"/>
      <c r="X2836" s="6"/>
      <c r="Y2836" s="6"/>
      <c r="Z2836" s="6"/>
    </row>
    <row r="2837" customFormat="false" ht="15" hidden="false" customHeight="false" outlineLevel="0" collapsed="false">
      <c r="A2837" s="9" t="s">
        <v>3104</v>
      </c>
      <c r="B2837" s="9" t="s">
        <v>2969</v>
      </c>
      <c r="C2837" s="9" t="s">
        <v>2970</v>
      </c>
      <c r="D2837" s="9" t="s">
        <v>2971</v>
      </c>
      <c r="E2837" s="9" t="s">
        <v>1660</v>
      </c>
      <c r="F2837" s="9" t="s">
        <v>197</v>
      </c>
      <c r="G2837" s="9" t="s">
        <v>221</v>
      </c>
      <c r="H2837" s="9" t="n">
        <v>1700</v>
      </c>
      <c r="I2837" s="29" t="n">
        <v>1.2</v>
      </c>
      <c r="J2837" s="9" t="n">
        <v>0</v>
      </c>
      <c r="K2837" s="30"/>
      <c r="L2837" s="30"/>
      <c r="M2837" s="30"/>
      <c r="N2837" s="30"/>
      <c r="O2837" s="30"/>
      <c r="P2837" s="30"/>
      <c r="Q2837" s="30"/>
      <c r="R2837" s="30"/>
      <c r="S2837" s="30"/>
      <c r="T2837" s="30"/>
      <c r="U2837" s="21" t="str">
        <f aca="false">IF(COUNT(K2837:T2837)=0,"SOURCE EMPTY / INDUSTRIAL ONLY",IF(MIN(K2837:T2837)=1,"SERVICE READY","HOLD"))</f>
        <v>SOURCE EMPTY / INDUSTRIAL ONLY</v>
      </c>
      <c r="V2837" s="9" t="n">
        <f aca="false">IF(U2837="SERVICE READY",1,0)</f>
        <v>0</v>
      </c>
      <c r="W2837" s="6"/>
      <c r="X2837" s="6"/>
      <c r="Y2837" s="6"/>
      <c r="Z2837" s="6"/>
    </row>
    <row r="2838" customFormat="false" ht="15" hidden="false" customHeight="false" outlineLevel="0" collapsed="false">
      <c r="A2838" s="9" t="s">
        <v>3105</v>
      </c>
      <c r="B2838" s="9" t="s">
        <v>2969</v>
      </c>
      <c r="C2838" s="9" t="s">
        <v>2970</v>
      </c>
      <c r="D2838" s="9" t="s">
        <v>2971</v>
      </c>
      <c r="E2838" s="9" t="s">
        <v>1660</v>
      </c>
      <c r="F2838" s="9" t="s">
        <v>200</v>
      </c>
      <c r="G2838" s="9" t="s">
        <v>221</v>
      </c>
      <c r="H2838" s="9" t="n">
        <v>1700</v>
      </c>
      <c r="I2838" s="29" t="n">
        <v>1.2</v>
      </c>
      <c r="J2838" s="9" t="n">
        <v>0</v>
      </c>
      <c r="K2838" s="30"/>
      <c r="L2838" s="30"/>
      <c r="M2838" s="30"/>
      <c r="N2838" s="30"/>
      <c r="O2838" s="30"/>
      <c r="P2838" s="30"/>
      <c r="Q2838" s="30"/>
      <c r="R2838" s="30"/>
      <c r="S2838" s="30"/>
      <c r="T2838" s="30"/>
      <c r="U2838" s="21" t="str">
        <f aca="false">IF(COUNT(K2838:T2838)=0,"SOURCE EMPTY / INDUSTRIAL ONLY",IF(MIN(K2838:T2838)=1,"SERVICE READY","HOLD"))</f>
        <v>SOURCE EMPTY / INDUSTRIAL ONLY</v>
      </c>
      <c r="V2838" s="9" t="n">
        <f aca="false">IF(U2838="SERVICE READY",1,0)</f>
        <v>0</v>
      </c>
      <c r="W2838" s="6"/>
      <c r="X2838" s="6"/>
      <c r="Y2838" s="6"/>
      <c r="Z2838" s="6"/>
    </row>
    <row r="2839" customFormat="false" ht="15" hidden="false" customHeight="false" outlineLevel="0" collapsed="false">
      <c r="A2839" s="9" t="s">
        <v>3106</v>
      </c>
      <c r="B2839" s="9" t="s">
        <v>2969</v>
      </c>
      <c r="C2839" s="9" t="s">
        <v>2970</v>
      </c>
      <c r="D2839" s="9" t="s">
        <v>2971</v>
      </c>
      <c r="E2839" s="9" t="s">
        <v>1660</v>
      </c>
      <c r="F2839" s="9" t="s">
        <v>203</v>
      </c>
      <c r="G2839" s="9" t="s">
        <v>221</v>
      </c>
      <c r="H2839" s="9" t="n">
        <v>1700</v>
      </c>
      <c r="I2839" s="29" t="n">
        <v>1.2</v>
      </c>
      <c r="J2839" s="9" t="n">
        <v>0</v>
      </c>
      <c r="K2839" s="30"/>
      <c r="L2839" s="30"/>
      <c r="M2839" s="30"/>
      <c r="N2839" s="30"/>
      <c r="O2839" s="30"/>
      <c r="P2839" s="30"/>
      <c r="Q2839" s="30"/>
      <c r="R2839" s="30"/>
      <c r="S2839" s="30"/>
      <c r="T2839" s="30"/>
      <c r="U2839" s="21" t="str">
        <f aca="false">IF(COUNT(K2839:T2839)=0,"SOURCE EMPTY / INDUSTRIAL ONLY",IF(MIN(K2839:T2839)=1,"SERVICE READY","HOLD"))</f>
        <v>SOURCE EMPTY / INDUSTRIAL ONLY</v>
      </c>
      <c r="V2839" s="9" t="n">
        <f aca="false">IF(U2839="SERVICE READY",1,0)</f>
        <v>0</v>
      </c>
      <c r="W2839" s="6"/>
      <c r="X2839" s="6"/>
      <c r="Y2839" s="6"/>
      <c r="Z2839" s="6"/>
    </row>
    <row r="2840" customFormat="false" ht="15" hidden="false" customHeight="false" outlineLevel="0" collapsed="false">
      <c r="A2840" s="9" t="s">
        <v>3107</v>
      </c>
      <c r="B2840" s="9" t="s">
        <v>2969</v>
      </c>
      <c r="C2840" s="9" t="s">
        <v>2970</v>
      </c>
      <c r="D2840" s="9" t="s">
        <v>2971</v>
      </c>
      <c r="E2840" s="9" t="s">
        <v>1660</v>
      </c>
      <c r="F2840" s="9" t="s">
        <v>205</v>
      </c>
      <c r="G2840" s="9" t="s">
        <v>221</v>
      </c>
      <c r="H2840" s="9" t="n">
        <v>1700</v>
      </c>
      <c r="I2840" s="29" t="n">
        <v>1.2</v>
      </c>
      <c r="J2840" s="9" t="n">
        <v>0</v>
      </c>
      <c r="K2840" s="30"/>
      <c r="L2840" s="30"/>
      <c r="M2840" s="30"/>
      <c r="N2840" s="30"/>
      <c r="O2840" s="30"/>
      <c r="P2840" s="30"/>
      <c r="Q2840" s="30"/>
      <c r="R2840" s="30"/>
      <c r="S2840" s="30"/>
      <c r="T2840" s="30"/>
      <c r="U2840" s="21" t="str">
        <f aca="false">IF(COUNT(K2840:T2840)=0,"SOURCE EMPTY / INDUSTRIAL ONLY",IF(MIN(K2840:T2840)=1,"SERVICE READY","HOLD"))</f>
        <v>SOURCE EMPTY / INDUSTRIAL ONLY</v>
      </c>
      <c r="V2840" s="9" t="n">
        <f aca="false">IF(U2840="SERVICE READY",1,0)</f>
        <v>0</v>
      </c>
      <c r="W2840" s="6"/>
      <c r="X2840" s="6"/>
      <c r="Y2840" s="6"/>
      <c r="Z2840" s="6"/>
    </row>
    <row r="2841" customFormat="false" ht="15" hidden="false" customHeight="false" outlineLevel="0" collapsed="false">
      <c r="A2841" s="9" t="s">
        <v>3108</v>
      </c>
      <c r="B2841" s="9" t="s">
        <v>2969</v>
      </c>
      <c r="C2841" s="9" t="s">
        <v>2970</v>
      </c>
      <c r="D2841" s="9" t="s">
        <v>2971</v>
      </c>
      <c r="E2841" s="9" t="s">
        <v>1660</v>
      </c>
      <c r="F2841" s="9" t="s">
        <v>207</v>
      </c>
      <c r="G2841" s="9" t="s">
        <v>221</v>
      </c>
      <c r="H2841" s="9" t="n">
        <v>1700</v>
      </c>
      <c r="I2841" s="29" t="n">
        <v>1.2</v>
      </c>
      <c r="J2841" s="9" t="n">
        <v>0</v>
      </c>
      <c r="K2841" s="30"/>
      <c r="L2841" s="30"/>
      <c r="M2841" s="30"/>
      <c r="N2841" s="30"/>
      <c r="O2841" s="30"/>
      <c r="P2841" s="30"/>
      <c r="Q2841" s="30"/>
      <c r="R2841" s="30"/>
      <c r="S2841" s="30"/>
      <c r="T2841" s="30"/>
      <c r="U2841" s="21" t="str">
        <f aca="false">IF(COUNT(K2841:T2841)=0,"SOURCE EMPTY / INDUSTRIAL ONLY",IF(MIN(K2841:T2841)=1,"SERVICE READY","HOLD"))</f>
        <v>SOURCE EMPTY / INDUSTRIAL ONLY</v>
      </c>
      <c r="V2841" s="9" t="n">
        <f aca="false">IF(U2841="SERVICE READY",1,0)</f>
        <v>0</v>
      </c>
      <c r="W2841" s="6"/>
      <c r="X2841" s="6"/>
      <c r="Y2841" s="6"/>
      <c r="Z2841" s="6"/>
    </row>
    <row r="2842" customFormat="false" ht="15" hidden="false" customHeight="false" outlineLevel="0" collapsed="false">
      <c r="A2842" s="9" t="s">
        <v>3109</v>
      </c>
      <c r="B2842" s="9" t="s">
        <v>2969</v>
      </c>
      <c r="C2842" s="9" t="s">
        <v>2970</v>
      </c>
      <c r="D2842" s="9" t="s">
        <v>2971</v>
      </c>
      <c r="E2842" s="9" t="s">
        <v>1660</v>
      </c>
      <c r="F2842" s="9" t="s">
        <v>209</v>
      </c>
      <c r="G2842" s="9" t="s">
        <v>221</v>
      </c>
      <c r="H2842" s="9" t="n">
        <v>1700</v>
      </c>
      <c r="I2842" s="29" t="n">
        <v>1.2</v>
      </c>
      <c r="J2842" s="9" t="n">
        <v>0</v>
      </c>
      <c r="K2842" s="30"/>
      <c r="L2842" s="30"/>
      <c r="M2842" s="30"/>
      <c r="N2842" s="30"/>
      <c r="O2842" s="30"/>
      <c r="P2842" s="30"/>
      <c r="Q2842" s="30"/>
      <c r="R2842" s="30"/>
      <c r="S2842" s="30"/>
      <c r="T2842" s="30"/>
      <c r="U2842" s="21" t="str">
        <f aca="false">IF(COUNT(K2842:T2842)=0,"SOURCE EMPTY / INDUSTRIAL ONLY",IF(MIN(K2842:T2842)=1,"SERVICE READY","HOLD"))</f>
        <v>SOURCE EMPTY / INDUSTRIAL ONLY</v>
      </c>
      <c r="V2842" s="9" t="n">
        <f aca="false">IF(U2842="SERVICE READY",1,0)</f>
        <v>0</v>
      </c>
      <c r="W2842" s="6"/>
      <c r="X2842" s="6"/>
      <c r="Y2842" s="6"/>
      <c r="Z2842" s="6"/>
    </row>
    <row r="2843" customFormat="false" ht="15" hidden="false" customHeight="false" outlineLevel="0" collapsed="false">
      <c r="A2843" s="9" t="s">
        <v>3110</v>
      </c>
      <c r="B2843" s="9" t="s">
        <v>2969</v>
      </c>
      <c r="C2843" s="9" t="s">
        <v>2970</v>
      </c>
      <c r="D2843" s="9" t="s">
        <v>2971</v>
      </c>
      <c r="E2843" s="9" t="s">
        <v>1660</v>
      </c>
      <c r="F2843" s="9" t="s">
        <v>211</v>
      </c>
      <c r="G2843" s="9" t="s">
        <v>221</v>
      </c>
      <c r="H2843" s="9" t="n">
        <v>1700</v>
      </c>
      <c r="I2843" s="29" t="n">
        <v>1.2</v>
      </c>
      <c r="J2843" s="9" t="n">
        <v>0</v>
      </c>
      <c r="K2843" s="30"/>
      <c r="L2843" s="30"/>
      <c r="M2843" s="30"/>
      <c r="N2843" s="30"/>
      <c r="O2843" s="30"/>
      <c r="P2843" s="30"/>
      <c r="Q2843" s="30"/>
      <c r="R2843" s="30"/>
      <c r="S2843" s="30"/>
      <c r="T2843" s="30"/>
      <c r="U2843" s="21" t="str">
        <f aca="false">IF(COUNT(K2843:T2843)=0,"SOURCE EMPTY / INDUSTRIAL ONLY",IF(MIN(K2843:T2843)=1,"SERVICE READY","HOLD"))</f>
        <v>SOURCE EMPTY / INDUSTRIAL ONLY</v>
      </c>
      <c r="V2843" s="9" t="n">
        <f aca="false">IF(U2843="SERVICE READY",1,0)</f>
        <v>0</v>
      </c>
      <c r="W2843" s="6"/>
      <c r="X2843" s="6"/>
      <c r="Y2843" s="6"/>
      <c r="Z2843" s="6"/>
    </row>
    <row r="2844" customFormat="false" ht="15" hidden="false" customHeight="false" outlineLevel="0" collapsed="false">
      <c r="A2844" s="9" t="s">
        <v>3111</v>
      </c>
      <c r="B2844" s="9" t="s">
        <v>2969</v>
      </c>
      <c r="C2844" s="9" t="s">
        <v>2970</v>
      </c>
      <c r="D2844" s="9" t="s">
        <v>2971</v>
      </c>
      <c r="E2844" s="9" t="s">
        <v>1660</v>
      </c>
      <c r="F2844" s="9" t="s">
        <v>197</v>
      </c>
      <c r="G2844" s="9" t="s">
        <v>221</v>
      </c>
      <c r="H2844" s="9" t="n">
        <v>1700</v>
      </c>
      <c r="I2844" s="29" t="n">
        <v>1.2</v>
      </c>
      <c r="J2844" s="9" t="n">
        <v>0</v>
      </c>
      <c r="K2844" s="30"/>
      <c r="L2844" s="30"/>
      <c r="M2844" s="30"/>
      <c r="N2844" s="30"/>
      <c r="O2844" s="30"/>
      <c r="P2844" s="30"/>
      <c r="Q2844" s="30"/>
      <c r="R2844" s="30"/>
      <c r="S2844" s="30"/>
      <c r="T2844" s="30"/>
      <c r="U2844" s="21" t="str">
        <f aca="false">IF(COUNT(K2844:T2844)=0,"SOURCE EMPTY / INDUSTRIAL ONLY",IF(MIN(K2844:T2844)=1,"SERVICE READY","HOLD"))</f>
        <v>SOURCE EMPTY / INDUSTRIAL ONLY</v>
      </c>
      <c r="V2844" s="9" t="n">
        <f aca="false">IF(U2844="SERVICE READY",1,0)</f>
        <v>0</v>
      </c>
      <c r="W2844" s="6"/>
      <c r="X2844" s="6"/>
      <c r="Y2844" s="6"/>
      <c r="Z2844" s="6"/>
    </row>
    <row r="2845" customFormat="false" ht="15" hidden="false" customHeight="false" outlineLevel="0" collapsed="false">
      <c r="A2845" s="9" t="s">
        <v>3112</v>
      </c>
      <c r="B2845" s="9" t="s">
        <v>2969</v>
      </c>
      <c r="C2845" s="9" t="s">
        <v>2970</v>
      </c>
      <c r="D2845" s="9" t="s">
        <v>2971</v>
      </c>
      <c r="E2845" s="9" t="s">
        <v>1660</v>
      </c>
      <c r="F2845" s="9" t="s">
        <v>200</v>
      </c>
      <c r="G2845" s="9" t="s">
        <v>221</v>
      </c>
      <c r="H2845" s="9" t="n">
        <v>1700</v>
      </c>
      <c r="I2845" s="29" t="n">
        <v>1.2</v>
      </c>
      <c r="J2845" s="9" t="n">
        <v>0</v>
      </c>
      <c r="K2845" s="30"/>
      <c r="L2845" s="30"/>
      <c r="M2845" s="30"/>
      <c r="N2845" s="30"/>
      <c r="O2845" s="30"/>
      <c r="P2845" s="30"/>
      <c r="Q2845" s="30"/>
      <c r="R2845" s="30"/>
      <c r="S2845" s="30"/>
      <c r="T2845" s="30"/>
      <c r="U2845" s="21" t="str">
        <f aca="false">IF(COUNT(K2845:T2845)=0,"SOURCE EMPTY / INDUSTRIAL ONLY",IF(MIN(K2845:T2845)=1,"SERVICE READY","HOLD"))</f>
        <v>SOURCE EMPTY / INDUSTRIAL ONLY</v>
      </c>
      <c r="V2845" s="9" t="n">
        <f aca="false">IF(U2845="SERVICE READY",1,0)</f>
        <v>0</v>
      </c>
      <c r="W2845" s="6"/>
      <c r="X2845" s="6"/>
      <c r="Y2845" s="6"/>
      <c r="Z2845" s="6"/>
    </row>
    <row r="2846" customFormat="false" ht="15" hidden="false" customHeight="false" outlineLevel="0" collapsed="false">
      <c r="A2846" s="9" t="s">
        <v>3113</v>
      </c>
      <c r="B2846" s="9" t="s">
        <v>2969</v>
      </c>
      <c r="C2846" s="9" t="s">
        <v>2970</v>
      </c>
      <c r="D2846" s="9" t="s">
        <v>2971</v>
      </c>
      <c r="E2846" s="9" t="s">
        <v>1660</v>
      </c>
      <c r="F2846" s="9" t="s">
        <v>203</v>
      </c>
      <c r="G2846" s="9" t="s">
        <v>221</v>
      </c>
      <c r="H2846" s="9" t="n">
        <v>1700</v>
      </c>
      <c r="I2846" s="29" t="n">
        <v>1.2</v>
      </c>
      <c r="J2846" s="9" t="n">
        <v>0</v>
      </c>
      <c r="K2846" s="30"/>
      <c r="L2846" s="30"/>
      <c r="M2846" s="30"/>
      <c r="N2846" s="30"/>
      <c r="O2846" s="30"/>
      <c r="P2846" s="30"/>
      <c r="Q2846" s="30"/>
      <c r="R2846" s="30"/>
      <c r="S2846" s="30"/>
      <c r="T2846" s="30"/>
      <c r="U2846" s="21" t="str">
        <f aca="false">IF(COUNT(K2846:T2846)=0,"SOURCE EMPTY / INDUSTRIAL ONLY",IF(MIN(K2846:T2846)=1,"SERVICE READY","HOLD"))</f>
        <v>SOURCE EMPTY / INDUSTRIAL ONLY</v>
      </c>
      <c r="V2846" s="9" t="n">
        <f aca="false">IF(U2846="SERVICE READY",1,0)</f>
        <v>0</v>
      </c>
      <c r="W2846" s="6"/>
      <c r="X2846" s="6"/>
      <c r="Y2846" s="6"/>
      <c r="Z2846" s="6"/>
    </row>
    <row r="2847" customFormat="false" ht="15" hidden="false" customHeight="false" outlineLevel="0" collapsed="false">
      <c r="A2847" s="9" t="s">
        <v>3114</v>
      </c>
      <c r="B2847" s="9" t="s">
        <v>2969</v>
      </c>
      <c r="C2847" s="9" t="s">
        <v>2970</v>
      </c>
      <c r="D2847" s="9" t="s">
        <v>2971</v>
      </c>
      <c r="E2847" s="9" t="s">
        <v>1660</v>
      </c>
      <c r="F2847" s="9" t="s">
        <v>205</v>
      </c>
      <c r="G2847" s="9" t="s">
        <v>221</v>
      </c>
      <c r="H2847" s="9" t="n">
        <v>1700</v>
      </c>
      <c r="I2847" s="29" t="n">
        <v>1.2</v>
      </c>
      <c r="J2847" s="9" t="n">
        <v>0</v>
      </c>
      <c r="K2847" s="30"/>
      <c r="L2847" s="30"/>
      <c r="M2847" s="30"/>
      <c r="N2847" s="30"/>
      <c r="O2847" s="30"/>
      <c r="P2847" s="30"/>
      <c r="Q2847" s="30"/>
      <c r="R2847" s="30"/>
      <c r="S2847" s="30"/>
      <c r="T2847" s="30"/>
      <c r="U2847" s="21" t="str">
        <f aca="false">IF(COUNT(K2847:T2847)=0,"SOURCE EMPTY / INDUSTRIAL ONLY",IF(MIN(K2847:T2847)=1,"SERVICE READY","HOLD"))</f>
        <v>SOURCE EMPTY / INDUSTRIAL ONLY</v>
      </c>
      <c r="V2847" s="9" t="n">
        <f aca="false">IF(U2847="SERVICE READY",1,0)</f>
        <v>0</v>
      </c>
      <c r="W2847" s="6"/>
      <c r="X2847" s="6"/>
      <c r="Y2847" s="6"/>
      <c r="Z2847" s="6"/>
    </row>
    <row r="2848" customFormat="false" ht="15" hidden="false" customHeight="false" outlineLevel="0" collapsed="false">
      <c r="A2848" s="9" t="s">
        <v>3115</v>
      </c>
      <c r="B2848" s="9" t="s">
        <v>2969</v>
      </c>
      <c r="C2848" s="9" t="s">
        <v>2970</v>
      </c>
      <c r="D2848" s="9" t="s">
        <v>2971</v>
      </c>
      <c r="E2848" s="9" t="s">
        <v>1660</v>
      </c>
      <c r="F2848" s="9" t="s">
        <v>207</v>
      </c>
      <c r="G2848" s="9" t="s">
        <v>221</v>
      </c>
      <c r="H2848" s="9" t="n">
        <v>1700</v>
      </c>
      <c r="I2848" s="29" t="n">
        <v>1.2</v>
      </c>
      <c r="J2848" s="9" t="n">
        <v>0</v>
      </c>
      <c r="K2848" s="30"/>
      <c r="L2848" s="30"/>
      <c r="M2848" s="30"/>
      <c r="N2848" s="30"/>
      <c r="O2848" s="30"/>
      <c r="P2848" s="30"/>
      <c r="Q2848" s="30"/>
      <c r="R2848" s="30"/>
      <c r="S2848" s="30"/>
      <c r="T2848" s="30"/>
      <c r="U2848" s="21" t="str">
        <f aca="false">IF(COUNT(K2848:T2848)=0,"SOURCE EMPTY / INDUSTRIAL ONLY",IF(MIN(K2848:T2848)=1,"SERVICE READY","HOLD"))</f>
        <v>SOURCE EMPTY / INDUSTRIAL ONLY</v>
      </c>
      <c r="V2848" s="9" t="n">
        <f aca="false">IF(U2848="SERVICE READY",1,0)</f>
        <v>0</v>
      </c>
      <c r="W2848" s="6"/>
      <c r="X2848" s="6"/>
      <c r="Y2848" s="6"/>
      <c r="Z2848" s="6"/>
    </row>
    <row r="2849" customFormat="false" ht="15" hidden="false" customHeight="false" outlineLevel="0" collapsed="false">
      <c r="A2849" s="9" t="s">
        <v>3116</v>
      </c>
      <c r="B2849" s="9" t="s">
        <v>2969</v>
      </c>
      <c r="C2849" s="9" t="s">
        <v>2970</v>
      </c>
      <c r="D2849" s="9" t="s">
        <v>2971</v>
      </c>
      <c r="E2849" s="9" t="s">
        <v>1660</v>
      </c>
      <c r="F2849" s="9" t="s">
        <v>209</v>
      </c>
      <c r="G2849" s="9" t="s">
        <v>221</v>
      </c>
      <c r="H2849" s="9" t="n">
        <v>1700</v>
      </c>
      <c r="I2849" s="29" t="n">
        <v>1.2</v>
      </c>
      <c r="J2849" s="9" t="n">
        <v>0</v>
      </c>
      <c r="K2849" s="30"/>
      <c r="L2849" s="30"/>
      <c r="M2849" s="30"/>
      <c r="N2849" s="30"/>
      <c r="O2849" s="30"/>
      <c r="P2849" s="30"/>
      <c r="Q2849" s="30"/>
      <c r="R2849" s="30"/>
      <c r="S2849" s="30"/>
      <c r="T2849" s="30"/>
      <c r="U2849" s="21" t="str">
        <f aca="false">IF(COUNT(K2849:T2849)=0,"SOURCE EMPTY / INDUSTRIAL ONLY",IF(MIN(K2849:T2849)=1,"SERVICE READY","HOLD"))</f>
        <v>SOURCE EMPTY / INDUSTRIAL ONLY</v>
      </c>
      <c r="V2849" s="9" t="n">
        <f aca="false">IF(U2849="SERVICE READY",1,0)</f>
        <v>0</v>
      </c>
      <c r="W2849" s="6"/>
      <c r="X2849" s="6"/>
      <c r="Y2849" s="6"/>
      <c r="Z2849" s="6"/>
    </row>
    <row r="2850" customFormat="false" ht="15" hidden="false" customHeight="false" outlineLevel="0" collapsed="false">
      <c r="A2850" s="9" t="s">
        <v>3117</v>
      </c>
      <c r="B2850" s="9" t="s">
        <v>2969</v>
      </c>
      <c r="C2850" s="9" t="s">
        <v>2970</v>
      </c>
      <c r="D2850" s="9" t="s">
        <v>2971</v>
      </c>
      <c r="E2850" s="9" t="s">
        <v>1660</v>
      </c>
      <c r="F2850" s="9" t="s">
        <v>211</v>
      </c>
      <c r="G2850" s="9" t="s">
        <v>221</v>
      </c>
      <c r="H2850" s="9" t="n">
        <v>1700</v>
      </c>
      <c r="I2850" s="29" t="n">
        <v>1.2</v>
      </c>
      <c r="J2850" s="9" t="n">
        <v>0</v>
      </c>
      <c r="K2850" s="30"/>
      <c r="L2850" s="30"/>
      <c r="M2850" s="30"/>
      <c r="N2850" s="30"/>
      <c r="O2850" s="30"/>
      <c r="P2850" s="30"/>
      <c r="Q2850" s="30"/>
      <c r="R2850" s="30"/>
      <c r="S2850" s="30"/>
      <c r="T2850" s="30"/>
      <c r="U2850" s="21" t="str">
        <f aca="false">IF(COUNT(K2850:T2850)=0,"SOURCE EMPTY / INDUSTRIAL ONLY",IF(MIN(K2850:T2850)=1,"SERVICE READY","HOLD"))</f>
        <v>SOURCE EMPTY / INDUSTRIAL ONLY</v>
      </c>
      <c r="V2850" s="9" t="n">
        <f aca="false">IF(U2850="SERVICE READY",1,0)</f>
        <v>0</v>
      </c>
      <c r="W2850" s="6"/>
      <c r="X2850" s="6"/>
      <c r="Y2850" s="6"/>
      <c r="Z2850" s="6"/>
    </row>
    <row r="2851" customFormat="false" ht="15" hidden="false" customHeight="false" outlineLevel="0" collapsed="false">
      <c r="A2851" s="9" t="s">
        <v>3118</v>
      </c>
      <c r="B2851" s="9" t="s">
        <v>2969</v>
      </c>
      <c r="C2851" s="9" t="s">
        <v>2970</v>
      </c>
      <c r="D2851" s="9" t="s">
        <v>2971</v>
      </c>
      <c r="E2851" s="9" t="s">
        <v>1660</v>
      </c>
      <c r="F2851" s="9" t="s">
        <v>197</v>
      </c>
      <c r="G2851" s="9" t="s">
        <v>221</v>
      </c>
      <c r="H2851" s="9" t="n">
        <v>1700</v>
      </c>
      <c r="I2851" s="29" t="n">
        <v>1.2</v>
      </c>
      <c r="J2851" s="9" t="n">
        <v>0</v>
      </c>
      <c r="K2851" s="30"/>
      <c r="L2851" s="30"/>
      <c r="M2851" s="30"/>
      <c r="N2851" s="30"/>
      <c r="O2851" s="30"/>
      <c r="P2851" s="30"/>
      <c r="Q2851" s="30"/>
      <c r="R2851" s="30"/>
      <c r="S2851" s="30"/>
      <c r="T2851" s="30"/>
      <c r="U2851" s="21" t="str">
        <f aca="false">IF(COUNT(K2851:T2851)=0,"SOURCE EMPTY / INDUSTRIAL ONLY",IF(MIN(K2851:T2851)=1,"SERVICE READY","HOLD"))</f>
        <v>SOURCE EMPTY / INDUSTRIAL ONLY</v>
      </c>
      <c r="V2851" s="9" t="n">
        <f aca="false">IF(U2851="SERVICE READY",1,0)</f>
        <v>0</v>
      </c>
      <c r="W2851" s="6"/>
      <c r="X2851" s="6"/>
      <c r="Y2851" s="6"/>
      <c r="Z2851" s="6"/>
    </row>
    <row r="2852" customFormat="false" ht="15" hidden="false" customHeight="false" outlineLevel="0" collapsed="false">
      <c r="A2852" s="9" t="s">
        <v>3119</v>
      </c>
      <c r="B2852" s="9" t="s">
        <v>2969</v>
      </c>
      <c r="C2852" s="9" t="s">
        <v>2970</v>
      </c>
      <c r="D2852" s="9" t="s">
        <v>2971</v>
      </c>
      <c r="E2852" s="9" t="s">
        <v>1660</v>
      </c>
      <c r="F2852" s="9" t="s">
        <v>200</v>
      </c>
      <c r="G2852" s="9" t="s">
        <v>221</v>
      </c>
      <c r="H2852" s="9" t="n">
        <v>1700</v>
      </c>
      <c r="I2852" s="29" t="n">
        <v>1.2</v>
      </c>
      <c r="J2852" s="9" t="n">
        <v>0</v>
      </c>
      <c r="K2852" s="30"/>
      <c r="L2852" s="30"/>
      <c r="M2852" s="30"/>
      <c r="N2852" s="30"/>
      <c r="O2852" s="30"/>
      <c r="P2852" s="30"/>
      <c r="Q2852" s="30"/>
      <c r="R2852" s="30"/>
      <c r="S2852" s="30"/>
      <c r="T2852" s="30"/>
      <c r="U2852" s="21" t="str">
        <f aca="false">IF(COUNT(K2852:T2852)=0,"SOURCE EMPTY / INDUSTRIAL ONLY",IF(MIN(K2852:T2852)=1,"SERVICE READY","HOLD"))</f>
        <v>SOURCE EMPTY / INDUSTRIAL ONLY</v>
      </c>
      <c r="V2852" s="9" t="n">
        <f aca="false">IF(U2852="SERVICE READY",1,0)</f>
        <v>0</v>
      </c>
      <c r="W2852" s="6"/>
      <c r="X2852" s="6"/>
      <c r="Y2852" s="6"/>
      <c r="Z2852" s="6"/>
    </row>
    <row r="2853" customFormat="false" ht="15" hidden="false" customHeight="false" outlineLevel="0" collapsed="false">
      <c r="A2853" s="9" t="s">
        <v>3120</v>
      </c>
      <c r="B2853" s="9" t="s">
        <v>2969</v>
      </c>
      <c r="C2853" s="9" t="s">
        <v>2970</v>
      </c>
      <c r="D2853" s="9" t="s">
        <v>2971</v>
      </c>
      <c r="E2853" s="9" t="s">
        <v>1660</v>
      </c>
      <c r="F2853" s="9" t="s">
        <v>203</v>
      </c>
      <c r="G2853" s="9" t="s">
        <v>221</v>
      </c>
      <c r="H2853" s="9" t="n">
        <v>1700</v>
      </c>
      <c r="I2853" s="29" t="n">
        <v>1.2</v>
      </c>
      <c r="J2853" s="9" t="n">
        <v>0</v>
      </c>
      <c r="K2853" s="30"/>
      <c r="L2853" s="30"/>
      <c r="M2853" s="30"/>
      <c r="N2853" s="30"/>
      <c r="O2853" s="30"/>
      <c r="P2853" s="30"/>
      <c r="Q2853" s="30"/>
      <c r="R2853" s="30"/>
      <c r="S2853" s="30"/>
      <c r="T2853" s="30"/>
      <c r="U2853" s="21" t="str">
        <f aca="false">IF(COUNT(K2853:T2853)=0,"SOURCE EMPTY / INDUSTRIAL ONLY",IF(MIN(K2853:T2853)=1,"SERVICE READY","HOLD"))</f>
        <v>SOURCE EMPTY / INDUSTRIAL ONLY</v>
      </c>
      <c r="V2853" s="9" t="n">
        <f aca="false">IF(U2853="SERVICE READY",1,0)</f>
        <v>0</v>
      </c>
      <c r="W2853" s="6"/>
      <c r="X2853" s="6"/>
      <c r="Y2853" s="6"/>
      <c r="Z2853" s="6"/>
    </row>
    <row r="2854" customFormat="false" ht="15" hidden="false" customHeight="false" outlineLevel="0" collapsed="false">
      <c r="A2854" s="9" t="s">
        <v>3121</v>
      </c>
      <c r="B2854" s="9" t="s">
        <v>2969</v>
      </c>
      <c r="C2854" s="9" t="s">
        <v>2970</v>
      </c>
      <c r="D2854" s="9" t="s">
        <v>2971</v>
      </c>
      <c r="E2854" s="9" t="s">
        <v>1660</v>
      </c>
      <c r="F2854" s="9" t="s">
        <v>205</v>
      </c>
      <c r="G2854" s="9" t="s">
        <v>221</v>
      </c>
      <c r="H2854" s="9" t="n">
        <v>1700</v>
      </c>
      <c r="I2854" s="29" t="n">
        <v>1.2</v>
      </c>
      <c r="J2854" s="9" t="n">
        <v>0</v>
      </c>
      <c r="K2854" s="30"/>
      <c r="L2854" s="30"/>
      <c r="M2854" s="30"/>
      <c r="N2854" s="30"/>
      <c r="O2854" s="30"/>
      <c r="P2854" s="30"/>
      <c r="Q2854" s="30"/>
      <c r="R2854" s="30"/>
      <c r="S2854" s="30"/>
      <c r="T2854" s="30"/>
      <c r="U2854" s="21" t="str">
        <f aca="false">IF(COUNT(K2854:T2854)=0,"SOURCE EMPTY / INDUSTRIAL ONLY",IF(MIN(K2854:T2854)=1,"SERVICE READY","HOLD"))</f>
        <v>SOURCE EMPTY / INDUSTRIAL ONLY</v>
      </c>
      <c r="V2854" s="9" t="n">
        <f aca="false">IF(U2854="SERVICE READY",1,0)</f>
        <v>0</v>
      </c>
      <c r="W2854" s="6"/>
      <c r="X2854" s="6"/>
      <c r="Y2854" s="6"/>
      <c r="Z2854" s="6"/>
    </row>
    <row r="2855" customFormat="false" ht="15" hidden="false" customHeight="false" outlineLevel="0" collapsed="false">
      <c r="A2855" s="9" t="s">
        <v>3122</v>
      </c>
      <c r="B2855" s="9" t="s">
        <v>2969</v>
      </c>
      <c r="C2855" s="9" t="s">
        <v>2970</v>
      </c>
      <c r="D2855" s="9" t="s">
        <v>2971</v>
      </c>
      <c r="E2855" s="9" t="s">
        <v>1660</v>
      </c>
      <c r="F2855" s="9" t="s">
        <v>207</v>
      </c>
      <c r="G2855" s="9" t="s">
        <v>221</v>
      </c>
      <c r="H2855" s="9" t="n">
        <v>1700</v>
      </c>
      <c r="I2855" s="29" t="n">
        <v>1.2</v>
      </c>
      <c r="J2855" s="9" t="n">
        <v>0</v>
      </c>
      <c r="K2855" s="30"/>
      <c r="L2855" s="30"/>
      <c r="M2855" s="30"/>
      <c r="N2855" s="30"/>
      <c r="O2855" s="30"/>
      <c r="P2855" s="30"/>
      <c r="Q2855" s="30"/>
      <c r="R2855" s="30"/>
      <c r="S2855" s="30"/>
      <c r="T2855" s="30"/>
      <c r="U2855" s="21" t="str">
        <f aca="false">IF(COUNT(K2855:T2855)=0,"SOURCE EMPTY / INDUSTRIAL ONLY",IF(MIN(K2855:T2855)=1,"SERVICE READY","HOLD"))</f>
        <v>SOURCE EMPTY / INDUSTRIAL ONLY</v>
      </c>
      <c r="V2855" s="9" t="n">
        <f aca="false">IF(U2855="SERVICE READY",1,0)</f>
        <v>0</v>
      </c>
      <c r="W2855" s="6"/>
      <c r="X2855" s="6"/>
      <c r="Y2855" s="6"/>
      <c r="Z2855" s="6"/>
    </row>
    <row r="2856" customFormat="false" ht="15" hidden="false" customHeight="false" outlineLevel="0" collapsed="false">
      <c r="A2856" s="9" t="s">
        <v>3123</v>
      </c>
      <c r="B2856" s="9" t="s">
        <v>2969</v>
      </c>
      <c r="C2856" s="9" t="s">
        <v>2970</v>
      </c>
      <c r="D2856" s="9" t="s">
        <v>2971</v>
      </c>
      <c r="E2856" s="9" t="s">
        <v>1660</v>
      </c>
      <c r="F2856" s="9" t="s">
        <v>209</v>
      </c>
      <c r="G2856" s="9" t="s">
        <v>221</v>
      </c>
      <c r="H2856" s="9" t="n">
        <v>1700</v>
      </c>
      <c r="I2856" s="29" t="n">
        <v>1.2</v>
      </c>
      <c r="J2856" s="9" t="n">
        <v>0</v>
      </c>
      <c r="K2856" s="30"/>
      <c r="L2856" s="30"/>
      <c r="M2856" s="30"/>
      <c r="N2856" s="30"/>
      <c r="O2856" s="30"/>
      <c r="P2856" s="30"/>
      <c r="Q2856" s="30"/>
      <c r="R2856" s="30"/>
      <c r="S2856" s="30"/>
      <c r="T2856" s="30"/>
      <c r="U2856" s="21" t="str">
        <f aca="false">IF(COUNT(K2856:T2856)=0,"SOURCE EMPTY / INDUSTRIAL ONLY",IF(MIN(K2856:T2856)=1,"SERVICE READY","HOLD"))</f>
        <v>SOURCE EMPTY / INDUSTRIAL ONLY</v>
      </c>
      <c r="V2856" s="9" t="n">
        <f aca="false">IF(U2856="SERVICE READY",1,0)</f>
        <v>0</v>
      </c>
      <c r="W2856" s="6"/>
      <c r="X2856" s="6"/>
      <c r="Y2856" s="6"/>
      <c r="Z2856" s="6"/>
    </row>
    <row r="2857" customFormat="false" ht="15" hidden="false" customHeight="false" outlineLevel="0" collapsed="false">
      <c r="A2857" s="9" t="s">
        <v>3124</v>
      </c>
      <c r="B2857" s="9" t="s">
        <v>2969</v>
      </c>
      <c r="C2857" s="9" t="s">
        <v>2970</v>
      </c>
      <c r="D2857" s="9" t="s">
        <v>2971</v>
      </c>
      <c r="E2857" s="9" t="s">
        <v>1660</v>
      </c>
      <c r="F2857" s="9" t="s">
        <v>211</v>
      </c>
      <c r="G2857" s="9" t="s">
        <v>221</v>
      </c>
      <c r="H2857" s="9" t="n">
        <v>1700</v>
      </c>
      <c r="I2857" s="29" t="n">
        <v>1.2</v>
      </c>
      <c r="J2857" s="9" t="n">
        <v>0</v>
      </c>
      <c r="K2857" s="30"/>
      <c r="L2857" s="30"/>
      <c r="M2857" s="30"/>
      <c r="N2857" s="30"/>
      <c r="O2857" s="30"/>
      <c r="P2857" s="30"/>
      <c r="Q2857" s="30"/>
      <c r="R2857" s="30"/>
      <c r="S2857" s="30"/>
      <c r="T2857" s="30"/>
      <c r="U2857" s="21" t="str">
        <f aca="false">IF(COUNT(K2857:T2857)=0,"SOURCE EMPTY / INDUSTRIAL ONLY",IF(MIN(K2857:T2857)=1,"SERVICE READY","HOLD"))</f>
        <v>SOURCE EMPTY / INDUSTRIAL ONLY</v>
      </c>
      <c r="V2857" s="9" t="n">
        <f aca="false">IF(U2857="SERVICE READY",1,0)</f>
        <v>0</v>
      </c>
      <c r="W2857" s="6"/>
      <c r="X2857" s="6"/>
      <c r="Y2857" s="6"/>
      <c r="Z2857" s="6"/>
    </row>
    <row r="2858" customFormat="false" ht="15" hidden="false" customHeight="false" outlineLevel="0" collapsed="false">
      <c r="A2858" s="9" t="s">
        <v>3125</v>
      </c>
      <c r="B2858" s="9" t="s">
        <v>2969</v>
      </c>
      <c r="C2858" s="9" t="s">
        <v>2970</v>
      </c>
      <c r="D2858" s="9" t="s">
        <v>2971</v>
      </c>
      <c r="E2858" s="9" t="s">
        <v>1660</v>
      </c>
      <c r="F2858" s="9" t="s">
        <v>197</v>
      </c>
      <c r="G2858" s="9" t="s">
        <v>221</v>
      </c>
      <c r="H2858" s="9" t="n">
        <v>1700</v>
      </c>
      <c r="I2858" s="29" t="n">
        <v>1.2</v>
      </c>
      <c r="J2858" s="9" t="n">
        <v>0</v>
      </c>
      <c r="K2858" s="30"/>
      <c r="L2858" s="30"/>
      <c r="M2858" s="30"/>
      <c r="N2858" s="30"/>
      <c r="O2858" s="30"/>
      <c r="P2858" s="30"/>
      <c r="Q2858" s="30"/>
      <c r="R2858" s="30"/>
      <c r="S2858" s="30"/>
      <c r="T2858" s="30"/>
      <c r="U2858" s="21" t="str">
        <f aca="false">IF(COUNT(K2858:T2858)=0,"SOURCE EMPTY / INDUSTRIAL ONLY",IF(MIN(K2858:T2858)=1,"SERVICE READY","HOLD"))</f>
        <v>SOURCE EMPTY / INDUSTRIAL ONLY</v>
      </c>
      <c r="V2858" s="9" t="n">
        <f aca="false">IF(U2858="SERVICE READY",1,0)</f>
        <v>0</v>
      </c>
      <c r="W2858" s="6"/>
      <c r="X2858" s="6"/>
      <c r="Y2858" s="6"/>
      <c r="Z2858" s="6"/>
    </row>
    <row r="2859" customFormat="false" ht="15" hidden="false" customHeight="false" outlineLevel="0" collapsed="false">
      <c r="A2859" s="9" t="s">
        <v>3126</v>
      </c>
      <c r="B2859" s="9" t="s">
        <v>2969</v>
      </c>
      <c r="C2859" s="9" t="s">
        <v>2970</v>
      </c>
      <c r="D2859" s="9" t="s">
        <v>2971</v>
      </c>
      <c r="E2859" s="9" t="s">
        <v>1660</v>
      </c>
      <c r="F2859" s="9" t="s">
        <v>200</v>
      </c>
      <c r="G2859" s="9" t="s">
        <v>221</v>
      </c>
      <c r="H2859" s="9" t="n">
        <v>1700</v>
      </c>
      <c r="I2859" s="29" t="n">
        <v>1.2</v>
      </c>
      <c r="J2859" s="9" t="n">
        <v>0</v>
      </c>
      <c r="K2859" s="30"/>
      <c r="L2859" s="30"/>
      <c r="M2859" s="30"/>
      <c r="N2859" s="30"/>
      <c r="O2859" s="30"/>
      <c r="P2859" s="30"/>
      <c r="Q2859" s="30"/>
      <c r="R2859" s="30"/>
      <c r="S2859" s="30"/>
      <c r="T2859" s="30"/>
      <c r="U2859" s="21" t="str">
        <f aca="false">IF(COUNT(K2859:T2859)=0,"SOURCE EMPTY / INDUSTRIAL ONLY",IF(MIN(K2859:T2859)=1,"SERVICE READY","HOLD"))</f>
        <v>SOURCE EMPTY / INDUSTRIAL ONLY</v>
      </c>
      <c r="V2859" s="9" t="n">
        <f aca="false">IF(U2859="SERVICE READY",1,0)</f>
        <v>0</v>
      </c>
      <c r="W2859" s="6"/>
      <c r="X2859" s="6"/>
      <c r="Y2859" s="6"/>
      <c r="Z2859" s="6"/>
    </row>
    <row r="2860" customFormat="false" ht="15" hidden="false" customHeight="false" outlineLevel="0" collapsed="false">
      <c r="A2860" s="9" t="s">
        <v>3127</v>
      </c>
      <c r="B2860" s="9" t="s">
        <v>2969</v>
      </c>
      <c r="C2860" s="9" t="s">
        <v>2970</v>
      </c>
      <c r="D2860" s="9" t="s">
        <v>2971</v>
      </c>
      <c r="E2860" s="9" t="s">
        <v>1660</v>
      </c>
      <c r="F2860" s="9" t="s">
        <v>203</v>
      </c>
      <c r="G2860" s="9" t="s">
        <v>221</v>
      </c>
      <c r="H2860" s="9" t="n">
        <v>1700</v>
      </c>
      <c r="I2860" s="29" t="n">
        <v>1.2</v>
      </c>
      <c r="J2860" s="9" t="n">
        <v>0</v>
      </c>
      <c r="K2860" s="30"/>
      <c r="L2860" s="30"/>
      <c r="M2860" s="30"/>
      <c r="N2860" s="30"/>
      <c r="O2860" s="30"/>
      <c r="P2860" s="30"/>
      <c r="Q2860" s="30"/>
      <c r="R2860" s="30"/>
      <c r="S2860" s="30"/>
      <c r="T2860" s="30"/>
      <c r="U2860" s="21" t="str">
        <f aca="false">IF(COUNT(K2860:T2860)=0,"SOURCE EMPTY / INDUSTRIAL ONLY",IF(MIN(K2860:T2860)=1,"SERVICE READY","HOLD"))</f>
        <v>SOURCE EMPTY / INDUSTRIAL ONLY</v>
      </c>
      <c r="V2860" s="9" t="n">
        <f aca="false">IF(U2860="SERVICE READY",1,0)</f>
        <v>0</v>
      </c>
      <c r="W2860" s="6"/>
      <c r="X2860" s="6"/>
      <c r="Y2860" s="6"/>
      <c r="Z2860" s="6"/>
    </row>
    <row r="2861" customFormat="false" ht="15" hidden="false" customHeight="false" outlineLevel="0" collapsed="false">
      <c r="A2861" s="9" t="s">
        <v>3128</v>
      </c>
      <c r="B2861" s="9" t="s">
        <v>2969</v>
      </c>
      <c r="C2861" s="9" t="s">
        <v>2970</v>
      </c>
      <c r="D2861" s="9" t="s">
        <v>2971</v>
      </c>
      <c r="E2861" s="9" t="s">
        <v>1660</v>
      </c>
      <c r="F2861" s="9" t="s">
        <v>205</v>
      </c>
      <c r="G2861" s="9" t="s">
        <v>221</v>
      </c>
      <c r="H2861" s="9" t="n">
        <v>1700</v>
      </c>
      <c r="I2861" s="29" t="n">
        <v>1.2</v>
      </c>
      <c r="J2861" s="9" t="n">
        <v>0</v>
      </c>
      <c r="K2861" s="30"/>
      <c r="L2861" s="30"/>
      <c r="M2861" s="30"/>
      <c r="N2861" s="30"/>
      <c r="O2861" s="30"/>
      <c r="P2861" s="30"/>
      <c r="Q2861" s="30"/>
      <c r="R2861" s="30"/>
      <c r="S2861" s="30"/>
      <c r="T2861" s="30"/>
      <c r="U2861" s="21" t="str">
        <f aca="false">IF(COUNT(K2861:T2861)=0,"SOURCE EMPTY / INDUSTRIAL ONLY",IF(MIN(K2861:T2861)=1,"SERVICE READY","HOLD"))</f>
        <v>SOURCE EMPTY / INDUSTRIAL ONLY</v>
      </c>
      <c r="V2861" s="9" t="n">
        <f aca="false">IF(U2861="SERVICE READY",1,0)</f>
        <v>0</v>
      </c>
      <c r="W2861" s="6"/>
      <c r="X2861" s="6"/>
      <c r="Y2861" s="6"/>
      <c r="Z2861" s="6"/>
    </row>
    <row r="2862" customFormat="false" ht="15" hidden="false" customHeight="false" outlineLevel="0" collapsed="false">
      <c r="A2862" s="9" t="s">
        <v>3129</v>
      </c>
      <c r="B2862" s="9" t="s">
        <v>2969</v>
      </c>
      <c r="C2862" s="9" t="s">
        <v>2970</v>
      </c>
      <c r="D2862" s="9" t="s">
        <v>2971</v>
      </c>
      <c r="E2862" s="9" t="s">
        <v>1660</v>
      </c>
      <c r="F2862" s="9" t="s">
        <v>207</v>
      </c>
      <c r="G2862" s="9" t="s">
        <v>221</v>
      </c>
      <c r="H2862" s="9" t="n">
        <v>1700</v>
      </c>
      <c r="I2862" s="29" t="n">
        <v>1.2</v>
      </c>
      <c r="J2862" s="9" t="n">
        <v>0</v>
      </c>
      <c r="K2862" s="30"/>
      <c r="L2862" s="30"/>
      <c r="M2862" s="30"/>
      <c r="N2862" s="30"/>
      <c r="O2862" s="30"/>
      <c r="P2862" s="30"/>
      <c r="Q2862" s="30"/>
      <c r="R2862" s="30"/>
      <c r="S2862" s="30"/>
      <c r="T2862" s="30"/>
      <c r="U2862" s="21" t="str">
        <f aca="false">IF(COUNT(K2862:T2862)=0,"SOURCE EMPTY / INDUSTRIAL ONLY",IF(MIN(K2862:T2862)=1,"SERVICE READY","HOLD"))</f>
        <v>SOURCE EMPTY / INDUSTRIAL ONLY</v>
      </c>
      <c r="V2862" s="9" t="n">
        <f aca="false">IF(U2862="SERVICE READY",1,0)</f>
        <v>0</v>
      </c>
      <c r="W2862" s="6"/>
      <c r="X2862" s="6"/>
      <c r="Y2862" s="6"/>
      <c r="Z2862" s="6"/>
    </row>
    <row r="2863" customFormat="false" ht="15" hidden="false" customHeight="false" outlineLevel="0" collapsed="false">
      <c r="A2863" s="9" t="s">
        <v>3130</v>
      </c>
      <c r="B2863" s="9" t="s">
        <v>2969</v>
      </c>
      <c r="C2863" s="9" t="s">
        <v>2970</v>
      </c>
      <c r="D2863" s="9" t="s">
        <v>2971</v>
      </c>
      <c r="E2863" s="9" t="s">
        <v>1660</v>
      </c>
      <c r="F2863" s="9" t="s">
        <v>209</v>
      </c>
      <c r="G2863" s="9" t="s">
        <v>221</v>
      </c>
      <c r="H2863" s="9" t="n">
        <v>1700</v>
      </c>
      <c r="I2863" s="29" t="n">
        <v>1.2</v>
      </c>
      <c r="J2863" s="9" t="n">
        <v>0</v>
      </c>
      <c r="K2863" s="30"/>
      <c r="L2863" s="30"/>
      <c r="M2863" s="30"/>
      <c r="N2863" s="30"/>
      <c r="O2863" s="30"/>
      <c r="P2863" s="30"/>
      <c r="Q2863" s="30"/>
      <c r="R2863" s="30"/>
      <c r="S2863" s="30"/>
      <c r="T2863" s="30"/>
      <c r="U2863" s="21" t="str">
        <f aca="false">IF(COUNT(K2863:T2863)=0,"SOURCE EMPTY / INDUSTRIAL ONLY",IF(MIN(K2863:T2863)=1,"SERVICE READY","HOLD"))</f>
        <v>SOURCE EMPTY / INDUSTRIAL ONLY</v>
      </c>
      <c r="V2863" s="9" t="n">
        <f aca="false">IF(U2863="SERVICE READY",1,0)</f>
        <v>0</v>
      </c>
      <c r="W2863" s="6"/>
      <c r="X2863" s="6"/>
      <c r="Y2863" s="6"/>
      <c r="Z2863" s="6"/>
    </row>
    <row r="2864" customFormat="false" ht="15" hidden="false" customHeight="false" outlineLevel="0" collapsed="false">
      <c r="A2864" s="9" t="s">
        <v>3131</v>
      </c>
      <c r="B2864" s="9" t="s">
        <v>2969</v>
      </c>
      <c r="C2864" s="9" t="s">
        <v>2970</v>
      </c>
      <c r="D2864" s="9" t="s">
        <v>2971</v>
      </c>
      <c r="E2864" s="9" t="s">
        <v>1660</v>
      </c>
      <c r="F2864" s="9" t="s">
        <v>211</v>
      </c>
      <c r="G2864" s="9" t="s">
        <v>221</v>
      </c>
      <c r="H2864" s="9" t="n">
        <v>1700</v>
      </c>
      <c r="I2864" s="29" t="n">
        <v>1.2</v>
      </c>
      <c r="J2864" s="9" t="n">
        <v>0</v>
      </c>
      <c r="K2864" s="30"/>
      <c r="L2864" s="30"/>
      <c r="M2864" s="30"/>
      <c r="N2864" s="30"/>
      <c r="O2864" s="30"/>
      <c r="P2864" s="30"/>
      <c r="Q2864" s="30"/>
      <c r="R2864" s="30"/>
      <c r="S2864" s="30"/>
      <c r="T2864" s="30"/>
      <c r="U2864" s="21" t="str">
        <f aca="false">IF(COUNT(K2864:T2864)=0,"SOURCE EMPTY / INDUSTRIAL ONLY",IF(MIN(K2864:T2864)=1,"SERVICE READY","HOLD"))</f>
        <v>SOURCE EMPTY / INDUSTRIAL ONLY</v>
      </c>
      <c r="V2864" s="9" t="n">
        <f aca="false">IF(U2864="SERVICE READY",1,0)</f>
        <v>0</v>
      </c>
      <c r="W2864" s="6"/>
      <c r="X2864" s="6"/>
      <c r="Y2864" s="6"/>
      <c r="Z2864" s="6"/>
    </row>
    <row r="2865" customFormat="false" ht="15" hidden="false" customHeight="false" outlineLevel="0" collapsed="false">
      <c r="A2865" s="9" t="s">
        <v>3132</v>
      </c>
      <c r="B2865" s="9" t="s">
        <v>2969</v>
      </c>
      <c r="C2865" s="9" t="s">
        <v>2970</v>
      </c>
      <c r="D2865" s="9" t="s">
        <v>2971</v>
      </c>
      <c r="E2865" s="9" t="s">
        <v>1660</v>
      </c>
      <c r="F2865" s="9" t="s">
        <v>197</v>
      </c>
      <c r="G2865" s="9" t="s">
        <v>221</v>
      </c>
      <c r="H2865" s="9" t="n">
        <v>1700</v>
      </c>
      <c r="I2865" s="29" t="n">
        <v>1.2</v>
      </c>
      <c r="J2865" s="9" t="n">
        <v>0</v>
      </c>
      <c r="K2865" s="30"/>
      <c r="L2865" s="30"/>
      <c r="M2865" s="30"/>
      <c r="N2865" s="30"/>
      <c r="O2865" s="30"/>
      <c r="P2865" s="30"/>
      <c r="Q2865" s="30"/>
      <c r="R2865" s="30"/>
      <c r="S2865" s="30"/>
      <c r="T2865" s="30"/>
      <c r="U2865" s="21" t="str">
        <f aca="false">IF(COUNT(K2865:T2865)=0,"SOURCE EMPTY / INDUSTRIAL ONLY",IF(MIN(K2865:T2865)=1,"SERVICE READY","HOLD"))</f>
        <v>SOURCE EMPTY / INDUSTRIAL ONLY</v>
      </c>
      <c r="V2865" s="9" t="n">
        <f aca="false">IF(U2865="SERVICE READY",1,0)</f>
        <v>0</v>
      </c>
      <c r="W2865" s="6"/>
      <c r="X2865" s="6"/>
      <c r="Y2865" s="6"/>
      <c r="Z2865" s="6"/>
    </row>
    <row r="2866" customFormat="false" ht="15" hidden="false" customHeight="false" outlineLevel="0" collapsed="false">
      <c r="A2866" s="9" t="s">
        <v>3133</v>
      </c>
      <c r="B2866" s="9" t="s">
        <v>2969</v>
      </c>
      <c r="C2866" s="9" t="s">
        <v>2970</v>
      </c>
      <c r="D2866" s="9" t="s">
        <v>2971</v>
      </c>
      <c r="E2866" s="9" t="s">
        <v>1660</v>
      </c>
      <c r="F2866" s="9" t="s">
        <v>200</v>
      </c>
      <c r="G2866" s="9" t="s">
        <v>221</v>
      </c>
      <c r="H2866" s="9" t="n">
        <v>1700</v>
      </c>
      <c r="I2866" s="29" t="n">
        <v>1.2</v>
      </c>
      <c r="J2866" s="9" t="n">
        <v>0</v>
      </c>
      <c r="K2866" s="30"/>
      <c r="L2866" s="30"/>
      <c r="M2866" s="30"/>
      <c r="N2866" s="30"/>
      <c r="O2866" s="30"/>
      <c r="P2866" s="30"/>
      <c r="Q2866" s="30"/>
      <c r="R2866" s="30"/>
      <c r="S2866" s="30"/>
      <c r="T2866" s="30"/>
      <c r="U2866" s="21" t="str">
        <f aca="false">IF(COUNT(K2866:T2866)=0,"SOURCE EMPTY / INDUSTRIAL ONLY",IF(MIN(K2866:T2866)=1,"SERVICE READY","HOLD"))</f>
        <v>SOURCE EMPTY / INDUSTRIAL ONLY</v>
      </c>
      <c r="V2866" s="9" t="n">
        <f aca="false">IF(U2866="SERVICE READY",1,0)</f>
        <v>0</v>
      </c>
      <c r="W2866" s="6"/>
      <c r="X2866" s="6"/>
      <c r="Y2866" s="6"/>
      <c r="Z2866" s="6"/>
    </row>
    <row r="2867" customFormat="false" ht="15" hidden="false" customHeight="false" outlineLevel="0" collapsed="false">
      <c r="A2867" s="9" t="s">
        <v>3134</v>
      </c>
      <c r="B2867" s="9" t="s">
        <v>2969</v>
      </c>
      <c r="C2867" s="9" t="s">
        <v>2970</v>
      </c>
      <c r="D2867" s="9" t="s">
        <v>2971</v>
      </c>
      <c r="E2867" s="9" t="s">
        <v>1660</v>
      </c>
      <c r="F2867" s="9" t="s">
        <v>203</v>
      </c>
      <c r="G2867" s="9" t="s">
        <v>221</v>
      </c>
      <c r="H2867" s="9" t="n">
        <v>1700</v>
      </c>
      <c r="I2867" s="29" t="n">
        <v>1.2</v>
      </c>
      <c r="J2867" s="9" t="n">
        <v>0</v>
      </c>
      <c r="K2867" s="30"/>
      <c r="L2867" s="30"/>
      <c r="M2867" s="30"/>
      <c r="N2867" s="30"/>
      <c r="O2867" s="30"/>
      <c r="P2867" s="30"/>
      <c r="Q2867" s="30"/>
      <c r="R2867" s="30"/>
      <c r="S2867" s="30"/>
      <c r="T2867" s="30"/>
      <c r="U2867" s="21" t="str">
        <f aca="false">IF(COUNT(K2867:T2867)=0,"SOURCE EMPTY / INDUSTRIAL ONLY",IF(MIN(K2867:T2867)=1,"SERVICE READY","HOLD"))</f>
        <v>SOURCE EMPTY / INDUSTRIAL ONLY</v>
      </c>
      <c r="V2867" s="9" t="n">
        <f aca="false">IF(U2867="SERVICE READY",1,0)</f>
        <v>0</v>
      </c>
      <c r="W2867" s="6"/>
      <c r="X2867" s="6"/>
      <c r="Y2867" s="6"/>
      <c r="Z2867" s="6"/>
    </row>
    <row r="2868" customFormat="false" ht="15" hidden="false" customHeight="false" outlineLevel="0" collapsed="false">
      <c r="A2868" s="9" t="s">
        <v>3135</v>
      </c>
      <c r="B2868" s="9" t="s">
        <v>2969</v>
      </c>
      <c r="C2868" s="9" t="s">
        <v>2970</v>
      </c>
      <c r="D2868" s="9" t="s">
        <v>2971</v>
      </c>
      <c r="E2868" s="9" t="s">
        <v>1660</v>
      </c>
      <c r="F2868" s="9" t="s">
        <v>205</v>
      </c>
      <c r="G2868" s="9" t="s">
        <v>221</v>
      </c>
      <c r="H2868" s="9" t="n">
        <v>1700</v>
      </c>
      <c r="I2868" s="29" t="n">
        <v>1.2</v>
      </c>
      <c r="J2868" s="9" t="n">
        <v>0</v>
      </c>
      <c r="K2868" s="30"/>
      <c r="L2868" s="30"/>
      <c r="M2868" s="30"/>
      <c r="N2868" s="30"/>
      <c r="O2868" s="30"/>
      <c r="P2868" s="30"/>
      <c r="Q2868" s="30"/>
      <c r="R2868" s="30"/>
      <c r="S2868" s="30"/>
      <c r="T2868" s="30"/>
      <c r="U2868" s="21" t="str">
        <f aca="false">IF(COUNT(K2868:T2868)=0,"SOURCE EMPTY / INDUSTRIAL ONLY",IF(MIN(K2868:T2868)=1,"SERVICE READY","HOLD"))</f>
        <v>SOURCE EMPTY / INDUSTRIAL ONLY</v>
      </c>
      <c r="V2868" s="9" t="n">
        <f aca="false">IF(U2868="SERVICE READY",1,0)</f>
        <v>0</v>
      </c>
      <c r="W2868" s="6"/>
      <c r="X2868" s="6"/>
      <c r="Y2868" s="6"/>
      <c r="Z2868" s="6"/>
    </row>
    <row r="2869" customFormat="false" ht="15" hidden="false" customHeight="false" outlineLevel="0" collapsed="false">
      <c r="A2869" s="9" t="s">
        <v>3136</v>
      </c>
      <c r="B2869" s="9" t="s">
        <v>2969</v>
      </c>
      <c r="C2869" s="9" t="s">
        <v>2970</v>
      </c>
      <c r="D2869" s="9" t="s">
        <v>2971</v>
      </c>
      <c r="E2869" s="9" t="s">
        <v>1660</v>
      </c>
      <c r="F2869" s="9" t="s">
        <v>207</v>
      </c>
      <c r="G2869" s="9" t="s">
        <v>221</v>
      </c>
      <c r="H2869" s="9" t="n">
        <v>1700</v>
      </c>
      <c r="I2869" s="29" t="n">
        <v>1.2</v>
      </c>
      <c r="J2869" s="9" t="n">
        <v>0</v>
      </c>
      <c r="K2869" s="30"/>
      <c r="L2869" s="30"/>
      <c r="M2869" s="30"/>
      <c r="N2869" s="30"/>
      <c r="O2869" s="30"/>
      <c r="P2869" s="30"/>
      <c r="Q2869" s="30"/>
      <c r="R2869" s="30"/>
      <c r="S2869" s="30"/>
      <c r="T2869" s="30"/>
      <c r="U2869" s="21" t="str">
        <f aca="false">IF(COUNT(K2869:T2869)=0,"SOURCE EMPTY / INDUSTRIAL ONLY",IF(MIN(K2869:T2869)=1,"SERVICE READY","HOLD"))</f>
        <v>SOURCE EMPTY / INDUSTRIAL ONLY</v>
      </c>
      <c r="V2869" s="9" t="n">
        <f aca="false">IF(U2869="SERVICE READY",1,0)</f>
        <v>0</v>
      </c>
      <c r="W2869" s="6"/>
      <c r="X2869" s="6"/>
      <c r="Y2869" s="6"/>
      <c r="Z2869" s="6"/>
    </row>
    <row r="2870" customFormat="false" ht="15" hidden="false" customHeight="false" outlineLevel="0" collapsed="false">
      <c r="A2870" s="9" t="s">
        <v>3137</v>
      </c>
      <c r="B2870" s="9" t="s">
        <v>2969</v>
      </c>
      <c r="C2870" s="9" t="s">
        <v>2970</v>
      </c>
      <c r="D2870" s="9" t="s">
        <v>2971</v>
      </c>
      <c r="E2870" s="9" t="s">
        <v>1660</v>
      </c>
      <c r="F2870" s="9" t="s">
        <v>209</v>
      </c>
      <c r="G2870" s="9" t="s">
        <v>221</v>
      </c>
      <c r="H2870" s="9" t="n">
        <v>1700</v>
      </c>
      <c r="I2870" s="29" t="n">
        <v>1.2</v>
      </c>
      <c r="J2870" s="9" t="n">
        <v>0</v>
      </c>
      <c r="K2870" s="30"/>
      <c r="L2870" s="30"/>
      <c r="M2870" s="30"/>
      <c r="N2870" s="30"/>
      <c r="O2870" s="30"/>
      <c r="P2870" s="30"/>
      <c r="Q2870" s="30"/>
      <c r="R2870" s="30"/>
      <c r="S2870" s="30"/>
      <c r="T2870" s="30"/>
      <c r="U2870" s="21" t="str">
        <f aca="false">IF(COUNT(K2870:T2870)=0,"SOURCE EMPTY / INDUSTRIAL ONLY",IF(MIN(K2870:T2870)=1,"SERVICE READY","HOLD"))</f>
        <v>SOURCE EMPTY / INDUSTRIAL ONLY</v>
      </c>
      <c r="V2870" s="9" t="n">
        <f aca="false">IF(U2870="SERVICE READY",1,0)</f>
        <v>0</v>
      </c>
      <c r="W2870" s="6"/>
      <c r="X2870" s="6"/>
      <c r="Y2870" s="6"/>
      <c r="Z2870" s="6"/>
    </row>
    <row r="2871" customFormat="false" ht="15" hidden="false" customHeight="false" outlineLevel="0" collapsed="false">
      <c r="A2871" s="9" t="s">
        <v>3138</v>
      </c>
      <c r="B2871" s="9" t="s">
        <v>2969</v>
      </c>
      <c r="C2871" s="9" t="s">
        <v>2970</v>
      </c>
      <c r="D2871" s="9" t="s">
        <v>2971</v>
      </c>
      <c r="E2871" s="9" t="s">
        <v>1660</v>
      </c>
      <c r="F2871" s="9" t="s">
        <v>211</v>
      </c>
      <c r="G2871" s="9" t="s">
        <v>221</v>
      </c>
      <c r="H2871" s="9" t="n">
        <v>1700</v>
      </c>
      <c r="I2871" s="29" t="n">
        <v>1.2</v>
      </c>
      <c r="J2871" s="9" t="n">
        <v>0</v>
      </c>
      <c r="K2871" s="30"/>
      <c r="L2871" s="30"/>
      <c r="M2871" s="30"/>
      <c r="N2871" s="30"/>
      <c r="O2871" s="30"/>
      <c r="P2871" s="30"/>
      <c r="Q2871" s="30"/>
      <c r="R2871" s="30"/>
      <c r="S2871" s="30"/>
      <c r="T2871" s="30"/>
      <c r="U2871" s="21" t="str">
        <f aca="false">IF(COUNT(K2871:T2871)=0,"SOURCE EMPTY / INDUSTRIAL ONLY",IF(MIN(K2871:T2871)=1,"SERVICE READY","HOLD"))</f>
        <v>SOURCE EMPTY / INDUSTRIAL ONLY</v>
      </c>
      <c r="V2871" s="9" t="n">
        <f aca="false">IF(U2871="SERVICE READY",1,0)</f>
        <v>0</v>
      </c>
      <c r="W2871" s="6"/>
      <c r="X2871" s="6"/>
      <c r="Y2871" s="6"/>
      <c r="Z2871" s="6"/>
    </row>
    <row r="2872" customFormat="false" ht="15" hidden="false" customHeight="false" outlineLevel="0" collapsed="false">
      <c r="A2872" s="9" t="s">
        <v>3139</v>
      </c>
      <c r="B2872" s="9" t="s">
        <v>2969</v>
      </c>
      <c r="C2872" s="9" t="s">
        <v>2970</v>
      </c>
      <c r="D2872" s="9" t="s">
        <v>2971</v>
      </c>
      <c r="E2872" s="9" t="s">
        <v>1660</v>
      </c>
      <c r="F2872" s="9" t="s">
        <v>197</v>
      </c>
      <c r="G2872" s="9" t="s">
        <v>221</v>
      </c>
      <c r="H2872" s="9" t="n">
        <v>1700</v>
      </c>
      <c r="I2872" s="29" t="n">
        <v>1.2</v>
      </c>
      <c r="J2872" s="9" t="n">
        <v>0</v>
      </c>
      <c r="K2872" s="30"/>
      <c r="L2872" s="30"/>
      <c r="M2872" s="30"/>
      <c r="N2872" s="30"/>
      <c r="O2872" s="30"/>
      <c r="P2872" s="30"/>
      <c r="Q2872" s="30"/>
      <c r="R2872" s="30"/>
      <c r="S2872" s="30"/>
      <c r="T2872" s="30"/>
      <c r="U2872" s="21" t="str">
        <f aca="false">IF(COUNT(K2872:T2872)=0,"SOURCE EMPTY / INDUSTRIAL ONLY",IF(MIN(K2872:T2872)=1,"SERVICE READY","HOLD"))</f>
        <v>SOURCE EMPTY / INDUSTRIAL ONLY</v>
      </c>
      <c r="V2872" s="9" t="n">
        <f aca="false">IF(U2872="SERVICE READY",1,0)</f>
        <v>0</v>
      </c>
      <c r="W2872" s="6"/>
      <c r="X2872" s="6"/>
      <c r="Y2872" s="6"/>
      <c r="Z2872" s="6"/>
    </row>
    <row r="2873" customFormat="false" ht="15" hidden="false" customHeight="false" outlineLevel="0" collapsed="false">
      <c r="A2873" s="9" t="s">
        <v>3140</v>
      </c>
      <c r="B2873" s="9" t="s">
        <v>2969</v>
      </c>
      <c r="C2873" s="9" t="s">
        <v>2970</v>
      </c>
      <c r="D2873" s="9" t="s">
        <v>2971</v>
      </c>
      <c r="E2873" s="9" t="s">
        <v>1660</v>
      </c>
      <c r="F2873" s="9" t="s">
        <v>200</v>
      </c>
      <c r="G2873" s="9" t="s">
        <v>221</v>
      </c>
      <c r="H2873" s="9" t="n">
        <v>1700</v>
      </c>
      <c r="I2873" s="29" t="n">
        <v>1.2</v>
      </c>
      <c r="J2873" s="9" t="n">
        <v>0</v>
      </c>
      <c r="K2873" s="30"/>
      <c r="L2873" s="30"/>
      <c r="M2873" s="30"/>
      <c r="N2873" s="30"/>
      <c r="O2873" s="30"/>
      <c r="P2873" s="30"/>
      <c r="Q2873" s="30"/>
      <c r="R2873" s="30"/>
      <c r="S2873" s="30"/>
      <c r="T2873" s="30"/>
      <c r="U2873" s="21" t="str">
        <f aca="false">IF(COUNT(K2873:T2873)=0,"SOURCE EMPTY / INDUSTRIAL ONLY",IF(MIN(K2873:T2873)=1,"SERVICE READY","HOLD"))</f>
        <v>SOURCE EMPTY / INDUSTRIAL ONLY</v>
      </c>
      <c r="V2873" s="9" t="n">
        <f aca="false">IF(U2873="SERVICE READY",1,0)</f>
        <v>0</v>
      </c>
      <c r="W2873" s="6"/>
      <c r="X2873" s="6"/>
      <c r="Y2873" s="6"/>
      <c r="Z2873" s="6"/>
    </row>
    <row r="2874" customFormat="false" ht="15" hidden="false" customHeight="false" outlineLevel="0" collapsed="false">
      <c r="A2874" s="9" t="s">
        <v>3141</v>
      </c>
      <c r="B2874" s="9" t="s">
        <v>2969</v>
      </c>
      <c r="C2874" s="9" t="s">
        <v>2970</v>
      </c>
      <c r="D2874" s="9" t="s">
        <v>2971</v>
      </c>
      <c r="E2874" s="9" t="s">
        <v>1660</v>
      </c>
      <c r="F2874" s="9" t="s">
        <v>203</v>
      </c>
      <c r="G2874" s="9" t="s">
        <v>221</v>
      </c>
      <c r="H2874" s="9" t="n">
        <v>1700</v>
      </c>
      <c r="I2874" s="29" t="n">
        <v>1.2</v>
      </c>
      <c r="J2874" s="9" t="n">
        <v>0</v>
      </c>
      <c r="K2874" s="30"/>
      <c r="L2874" s="30"/>
      <c r="M2874" s="30"/>
      <c r="N2874" s="30"/>
      <c r="O2874" s="30"/>
      <c r="P2874" s="30"/>
      <c r="Q2874" s="30"/>
      <c r="R2874" s="30"/>
      <c r="S2874" s="30"/>
      <c r="T2874" s="30"/>
      <c r="U2874" s="21" t="str">
        <f aca="false">IF(COUNT(K2874:T2874)=0,"SOURCE EMPTY / INDUSTRIAL ONLY",IF(MIN(K2874:T2874)=1,"SERVICE READY","HOLD"))</f>
        <v>SOURCE EMPTY / INDUSTRIAL ONLY</v>
      </c>
      <c r="V2874" s="9" t="n">
        <f aca="false">IF(U2874="SERVICE READY",1,0)</f>
        <v>0</v>
      </c>
      <c r="W2874" s="6"/>
      <c r="X2874" s="6"/>
      <c r="Y2874" s="6"/>
      <c r="Z2874" s="6"/>
    </row>
    <row r="2875" customFormat="false" ht="15" hidden="false" customHeight="false" outlineLevel="0" collapsed="false">
      <c r="A2875" s="9" t="s">
        <v>3142</v>
      </c>
      <c r="B2875" s="9" t="s">
        <v>2969</v>
      </c>
      <c r="C2875" s="9" t="s">
        <v>2970</v>
      </c>
      <c r="D2875" s="9" t="s">
        <v>2971</v>
      </c>
      <c r="E2875" s="9" t="s">
        <v>1660</v>
      </c>
      <c r="F2875" s="9" t="s">
        <v>205</v>
      </c>
      <c r="G2875" s="9" t="s">
        <v>221</v>
      </c>
      <c r="H2875" s="9" t="n">
        <v>1700</v>
      </c>
      <c r="I2875" s="29" t="n">
        <v>1.2</v>
      </c>
      <c r="J2875" s="9" t="n">
        <v>0</v>
      </c>
      <c r="K2875" s="30"/>
      <c r="L2875" s="30"/>
      <c r="M2875" s="30"/>
      <c r="N2875" s="30"/>
      <c r="O2875" s="30"/>
      <c r="P2875" s="30"/>
      <c r="Q2875" s="30"/>
      <c r="R2875" s="30"/>
      <c r="S2875" s="30"/>
      <c r="T2875" s="30"/>
      <c r="U2875" s="21" t="str">
        <f aca="false">IF(COUNT(K2875:T2875)=0,"SOURCE EMPTY / INDUSTRIAL ONLY",IF(MIN(K2875:T2875)=1,"SERVICE READY","HOLD"))</f>
        <v>SOURCE EMPTY / INDUSTRIAL ONLY</v>
      </c>
      <c r="V2875" s="9" t="n">
        <f aca="false">IF(U2875="SERVICE READY",1,0)</f>
        <v>0</v>
      </c>
      <c r="W2875" s="6"/>
      <c r="X2875" s="6"/>
      <c r="Y2875" s="6"/>
      <c r="Z2875" s="6"/>
    </row>
    <row r="2876" customFormat="false" ht="15" hidden="false" customHeight="false" outlineLevel="0" collapsed="false">
      <c r="A2876" s="9" t="s">
        <v>3143</v>
      </c>
      <c r="B2876" s="9" t="s">
        <v>2969</v>
      </c>
      <c r="C2876" s="9" t="s">
        <v>2970</v>
      </c>
      <c r="D2876" s="9" t="s">
        <v>2971</v>
      </c>
      <c r="E2876" s="9" t="s">
        <v>1660</v>
      </c>
      <c r="F2876" s="9" t="s">
        <v>207</v>
      </c>
      <c r="G2876" s="9" t="s">
        <v>221</v>
      </c>
      <c r="H2876" s="9" t="n">
        <v>1700</v>
      </c>
      <c r="I2876" s="29" t="n">
        <v>1.2</v>
      </c>
      <c r="J2876" s="9" t="n">
        <v>0</v>
      </c>
      <c r="K2876" s="30"/>
      <c r="L2876" s="30"/>
      <c r="M2876" s="30"/>
      <c r="N2876" s="30"/>
      <c r="O2876" s="30"/>
      <c r="P2876" s="30"/>
      <c r="Q2876" s="30"/>
      <c r="R2876" s="30"/>
      <c r="S2876" s="30"/>
      <c r="T2876" s="30"/>
      <c r="U2876" s="21" t="str">
        <f aca="false">IF(COUNT(K2876:T2876)=0,"SOURCE EMPTY / INDUSTRIAL ONLY",IF(MIN(K2876:T2876)=1,"SERVICE READY","HOLD"))</f>
        <v>SOURCE EMPTY / INDUSTRIAL ONLY</v>
      </c>
      <c r="V2876" s="9" t="n">
        <f aca="false">IF(U2876="SERVICE READY",1,0)</f>
        <v>0</v>
      </c>
      <c r="W2876" s="6"/>
      <c r="X2876" s="6"/>
      <c r="Y2876" s="6"/>
      <c r="Z2876" s="6"/>
    </row>
    <row r="2877" customFormat="false" ht="15" hidden="false" customHeight="false" outlineLevel="0" collapsed="false">
      <c r="A2877" s="9" t="s">
        <v>3144</v>
      </c>
      <c r="B2877" s="9" t="s">
        <v>2969</v>
      </c>
      <c r="C2877" s="9" t="s">
        <v>2970</v>
      </c>
      <c r="D2877" s="9" t="s">
        <v>2971</v>
      </c>
      <c r="E2877" s="9" t="s">
        <v>1660</v>
      </c>
      <c r="F2877" s="9" t="s">
        <v>209</v>
      </c>
      <c r="G2877" s="9" t="s">
        <v>221</v>
      </c>
      <c r="H2877" s="9" t="n">
        <v>1700</v>
      </c>
      <c r="I2877" s="29" t="n">
        <v>1.2</v>
      </c>
      <c r="J2877" s="9" t="n">
        <v>0</v>
      </c>
      <c r="K2877" s="30"/>
      <c r="L2877" s="30"/>
      <c r="M2877" s="30"/>
      <c r="N2877" s="30"/>
      <c r="O2877" s="30"/>
      <c r="P2877" s="30"/>
      <c r="Q2877" s="30"/>
      <c r="R2877" s="30"/>
      <c r="S2877" s="30"/>
      <c r="T2877" s="30"/>
      <c r="U2877" s="21" t="str">
        <f aca="false">IF(COUNT(K2877:T2877)=0,"SOURCE EMPTY / INDUSTRIAL ONLY",IF(MIN(K2877:T2877)=1,"SERVICE READY","HOLD"))</f>
        <v>SOURCE EMPTY / INDUSTRIAL ONLY</v>
      </c>
      <c r="V2877" s="9" t="n">
        <f aca="false">IF(U2877="SERVICE READY",1,0)</f>
        <v>0</v>
      </c>
      <c r="W2877" s="6"/>
      <c r="X2877" s="6"/>
      <c r="Y2877" s="6"/>
      <c r="Z2877" s="6"/>
    </row>
    <row r="2878" customFormat="false" ht="15" hidden="false" customHeight="false" outlineLevel="0" collapsed="false">
      <c r="A2878" s="9" t="s">
        <v>3145</v>
      </c>
      <c r="B2878" s="9" t="s">
        <v>3146</v>
      </c>
      <c r="C2878" s="9" t="s">
        <v>3147</v>
      </c>
      <c r="D2878" s="9" t="s">
        <v>2971</v>
      </c>
      <c r="E2878" s="9" t="s">
        <v>1660</v>
      </c>
      <c r="F2878" s="9" t="s">
        <v>197</v>
      </c>
      <c r="G2878" s="9" t="s">
        <v>198</v>
      </c>
      <c r="H2878" s="9" t="n">
        <v>2040</v>
      </c>
      <c r="I2878" s="29" t="n">
        <v>2.5</v>
      </c>
      <c r="J2878" s="9" t="n">
        <v>1</v>
      </c>
      <c r="K2878" s="30"/>
      <c r="L2878" s="30"/>
      <c r="M2878" s="30"/>
      <c r="N2878" s="30"/>
      <c r="O2878" s="30"/>
      <c r="P2878" s="30"/>
      <c r="Q2878" s="30"/>
      <c r="R2878" s="30"/>
      <c r="S2878" s="30"/>
      <c r="T2878" s="30"/>
      <c r="U2878" s="21" t="str">
        <f aca="false">IF(COUNT(K2878:T2878)=0,"SOURCE EMPTY / INDUSTRIAL ONLY",IF(MIN(K2878:T2878)=1,"SERVICE READY","HOLD"))</f>
        <v>SOURCE EMPTY / INDUSTRIAL ONLY</v>
      </c>
      <c r="V2878" s="9" t="n">
        <f aca="false">IF(U2878="SERVICE READY",1,0)</f>
        <v>0</v>
      </c>
      <c r="W2878" s="6"/>
      <c r="X2878" s="6"/>
      <c r="Y2878" s="6"/>
      <c r="Z2878" s="6"/>
    </row>
    <row r="2879" customFormat="false" ht="15" hidden="false" customHeight="false" outlineLevel="0" collapsed="false">
      <c r="A2879" s="9" t="s">
        <v>3148</v>
      </c>
      <c r="B2879" s="9" t="s">
        <v>3146</v>
      </c>
      <c r="C2879" s="9" t="s">
        <v>3147</v>
      </c>
      <c r="D2879" s="9" t="s">
        <v>2971</v>
      </c>
      <c r="E2879" s="9" t="s">
        <v>1660</v>
      </c>
      <c r="F2879" s="9" t="s">
        <v>200</v>
      </c>
      <c r="G2879" s="9" t="s">
        <v>201</v>
      </c>
      <c r="H2879" s="9" t="n">
        <v>2040</v>
      </c>
      <c r="I2879" s="29" t="n">
        <v>2.5</v>
      </c>
      <c r="J2879" s="9" t="n">
        <v>1</v>
      </c>
      <c r="K2879" s="30"/>
      <c r="L2879" s="30"/>
      <c r="M2879" s="30"/>
      <c r="N2879" s="30"/>
      <c r="O2879" s="30"/>
      <c r="P2879" s="30"/>
      <c r="Q2879" s="30"/>
      <c r="R2879" s="30"/>
      <c r="S2879" s="30"/>
      <c r="T2879" s="30"/>
      <c r="U2879" s="21" t="str">
        <f aca="false">IF(COUNT(K2879:T2879)=0,"SOURCE EMPTY / INDUSTRIAL ONLY",IF(MIN(K2879:T2879)=1,"SERVICE READY","HOLD"))</f>
        <v>SOURCE EMPTY / INDUSTRIAL ONLY</v>
      </c>
      <c r="V2879" s="9" t="n">
        <f aca="false">IF(U2879="SERVICE READY",1,0)</f>
        <v>0</v>
      </c>
      <c r="W2879" s="6"/>
      <c r="X2879" s="6"/>
      <c r="Y2879" s="6"/>
      <c r="Z2879" s="6"/>
    </row>
    <row r="2880" customFormat="false" ht="15" hidden="false" customHeight="false" outlineLevel="0" collapsed="false">
      <c r="A2880" s="9" t="s">
        <v>3149</v>
      </c>
      <c r="B2880" s="9" t="s">
        <v>3146</v>
      </c>
      <c r="C2880" s="9" t="s">
        <v>3147</v>
      </c>
      <c r="D2880" s="9" t="s">
        <v>2971</v>
      </c>
      <c r="E2880" s="9" t="s">
        <v>1660</v>
      </c>
      <c r="F2880" s="9" t="s">
        <v>203</v>
      </c>
      <c r="G2880" s="9" t="s">
        <v>198</v>
      </c>
      <c r="H2880" s="9" t="n">
        <v>2040</v>
      </c>
      <c r="I2880" s="29" t="n">
        <v>2.5</v>
      </c>
      <c r="J2880" s="9" t="n">
        <v>1</v>
      </c>
      <c r="K2880" s="30"/>
      <c r="L2880" s="30"/>
      <c r="M2880" s="30"/>
      <c r="N2880" s="30"/>
      <c r="O2880" s="30"/>
      <c r="P2880" s="30"/>
      <c r="Q2880" s="30"/>
      <c r="R2880" s="30"/>
      <c r="S2880" s="30"/>
      <c r="T2880" s="30"/>
      <c r="U2880" s="21" t="str">
        <f aca="false">IF(COUNT(K2880:T2880)=0,"SOURCE EMPTY / INDUSTRIAL ONLY",IF(MIN(K2880:T2880)=1,"SERVICE READY","HOLD"))</f>
        <v>SOURCE EMPTY / INDUSTRIAL ONLY</v>
      </c>
      <c r="V2880" s="9" t="n">
        <f aca="false">IF(U2880="SERVICE READY",1,0)</f>
        <v>0</v>
      </c>
      <c r="W2880" s="6"/>
      <c r="X2880" s="6"/>
      <c r="Y2880" s="6"/>
      <c r="Z2880" s="6"/>
    </row>
    <row r="2881" customFormat="false" ht="15" hidden="false" customHeight="false" outlineLevel="0" collapsed="false">
      <c r="A2881" s="9" t="s">
        <v>3150</v>
      </c>
      <c r="B2881" s="9" t="s">
        <v>3146</v>
      </c>
      <c r="C2881" s="9" t="s">
        <v>3147</v>
      </c>
      <c r="D2881" s="9" t="s">
        <v>2971</v>
      </c>
      <c r="E2881" s="9" t="s">
        <v>1660</v>
      </c>
      <c r="F2881" s="9" t="s">
        <v>205</v>
      </c>
      <c r="G2881" s="9" t="s">
        <v>201</v>
      </c>
      <c r="H2881" s="9" t="n">
        <v>2040</v>
      </c>
      <c r="I2881" s="29" t="n">
        <v>2.5</v>
      </c>
      <c r="J2881" s="9" t="n">
        <v>1</v>
      </c>
      <c r="K2881" s="30"/>
      <c r="L2881" s="30"/>
      <c r="M2881" s="30"/>
      <c r="N2881" s="30"/>
      <c r="O2881" s="30"/>
      <c r="P2881" s="30"/>
      <c r="Q2881" s="30"/>
      <c r="R2881" s="30"/>
      <c r="S2881" s="30"/>
      <c r="T2881" s="30"/>
      <c r="U2881" s="21" t="str">
        <f aca="false">IF(COUNT(K2881:T2881)=0,"SOURCE EMPTY / INDUSTRIAL ONLY",IF(MIN(K2881:T2881)=1,"SERVICE READY","HOLD"))</f>
        <v>SOURCE EMPTY / INDUSTRIAL ONLY</v>
      </c>
      <c r="V2881" s="9" t="n">
        <f aca="false">IF(U2881="SERVICE READY",1,0)</f>
        <v>0</v>
      </c>
      <c r="W2881" s="6"/>
      <c r="X2881" s="6"/>
      <c r="Y2881" s="6"/>
      <c r="Z2881" s="6"/>
    </row>
    <row r="2882" customFormat="false" ht="15" hidden="false" customHeight="false" outlineLevel="0" collapsed="false">
      <c r="A2882" s="9" t="s">
        <v>3151</v>
      </c>
      <c r="B2882" s="9" t="s">
        <v>3146</v>
      </c>
      <c r="C2882" s="9" t="s">
        <v>3147</v>
      </c>
      <c r="D2882" s="9" t="s">
        <v>2971</v>
      </c>
      <c r="E2882" s="9" t="s">
        <v>1660</v>
      </c>
      <c r="F2882" s="9" t="s">
        <v>207</v>
      </c>
      <c r="G2882" s="9" t="s">
        <v>198</v>
      </c>
      <c r="H2882" s="9" t="n">
        <v>2040</v>
      </c>
      <c r="I2882" s="29" t="n">
        <v>2.5</v>
      </c>
      <c r="J2882" s="9" t="n">
        <v>1</v>
      </c>
      <c r="K2882" s="30"/>
      <c r="L2882" s="30"/>
      <c r="M2882" s="30"/>
      <c r="N2882" s="30"/>
      <c r="O2882" s="30"/>
      <c r="P2882" s="30"/>
      <c r="Q2882" s="30"/>
      <c r="R2882" s="30"/>
      <c r="S2882" s="30"/>
      <c r="T2882" s="30"/>
      <c r="U2882" s="21" t="str">
        <f aca="false">IF(COUNT(K2882:T2882)=0,"SOURCE EMPTY / INDUSTRIAL ONLY",IF(MIN(K2882:T2882)=1,"SERVICE READY","HOLD"))</f>
        <v>SOURCE EMPTY / INDUSTRIAL ONLY</v>
      </c>
      <c r="V2882" s="9" t="n">
        <f aca="false">IF(U2882="SERVICE READY",1,0)</f>
        <v>0</v>
      </c>
      <c r="W2882" s="6"/>
      <c r="X2882" s="6"/>
      <c r="Y2882" s="6"/>
      <c r="Z2882" s="6"/>
    </row>
    <row r="2883" customFormat="false" ht="15" hidden="false" customHeight="false" outlineLevel="0" collapsed="false">
      <c r="A2883" s="9" t="s">
        <v>3152</v>
      </c>
      <c r="B2883" s="9" t="s">
        <v>3146</v>
      </c>
      <c r="C2883" s="9" t="s">
        <v>3147</v>
      </c>
      <c r="D2883" s="9" t="s">
        <v>2971</v>
      </c>
      <c r="E2883" s="9" t="s">
        <v>1660</v>
      </c>
      <c r="F2883" s="9" t="s">
        <v>209</v>
      </c>
      <c r="G2883" s="9" t="s">
        <v>201</v>
      </c>
      <c r="H2883" s="9" t="n">
        <v>2040</v>
      </c>
      <c r="I2883" s="29" t="n">
        <v>2.5</v>
      </c>
      <c r="J2883" s="9" t="n">
        <v>1</v>
      </c>
      <c r="K2883" s="30"/>
      <c r="L2883" s="30"/>
      <c r="M2883" s="30"/>
      <c r="N2883" s="30"/>
      <c r="O2883" s="30"/>
      <c r="P2883" s="30"/>
      <c r="Q2883" s="30"/>
      <c r="R2883" s="30"/>
      <c r="S2883" s="30"/>
      <c r="T2883" s="30"/>
      <c r="U2883" s="21" t="str">
        <f aca="false">IF(COUNT(K2883:T2883)=0,"SOURCE EMPTY / INDUSTRIAL ONLY",IF(MIN(K2883:T2883)=1,"SERVICE READY","HOLD"))</f>
        <v>SOURCE EMPTY / INDUSTRIAL ONLY</v>
      </c>
      <c r="V2883" s="9" t="n">
        <f aca="false">IF(U2883="SERVICE READY",1,0)</f>
        <v>0</v>
      </c>
      <c r="W2883" s="6"/>
      <c r="X2883" s="6"/>
      <c r="Y2883" s="6"/>
      <c r="Z2883" s="6"/>
    </row>
    <row r="2884" customFormat="false" ht="15" hidden="false" customHeight="false" outlineLevel="0" collapsed="false">
      <c r="A2884" s="9" t="s">
        <v>3153</v>
      </c>
      <c r="B2884" s="9" t="s">
        <v>3146</v>
      </c>
      <c r="C2884" s="9" t="s">
        <v>3147</v>
      </c>
      <c r="D2884" s="9" t="s">
        <v>2971</v>
      </c>
      <c r="E2884" s="9" t="s">
        <v>1660</v>
      </c>
      <c r="F2884" s="9" t="s">
        <v>211</v>
      </c>
      <c r="G2884" s="9" t="s">
        <v>198</v>
      </c>
      <c r="H2884" s="9" t="n">
        <v>2040</v>
      </c>
      <c r="I2884" s="29" t="n">
        <v>2.5</v>
      </c>
      <c r="J2884" s="9" t="n">
        <v>1</v>
      </c>
      <c r="K2884" s="30"/>
      <c r="L2884" s="30"/>
      <c r="M2884" s="30"/>
      <c r="N2884" s="30"/>
      <c r="O2884" s="30"/>
      <c r="P2884" s="30"/>
      <c r="Q2884" s="30"/>
      <c r="R2884" s="30"/>
      <c r="S2884" s="30"/>
      <c r="T2884" s="30"/>
      <c r="U2884" s="21" t="str">
        <f aca="false">IF(COUNT(K2884:T2884)=0,"SOURCE EMPTY / INDUSTRIAL ONLY",IF(MIN(K2884:T2884)=1,"SERVICE READY","HOLD"))</f>
        <v>SOURCE EMPTY / INDUSTRIAL ONLY</v>
      </c>
      <c r="V2884" s="9" t="n">
        <f aca="false">IF(U2884="SERVICE READY",1,0)</f>
        <v>0</v>
      </c>
      <c r="W2884" s="6"/>
      <c r="X2884" s="6"/>
      <c r="Y2884" s="6"/>
      <c r="Z2884" s="6"/>
    </row>
    <row r="2885" customFormat="false" ht="15" hidden="false" customHeight="false" outlineLevel="0" collapsed="false">
      <c r="A2885" s="9" t="s">
        <v>3154</v>
      </c>
      <c r="B2885" s="9" t="s">
        <v>3146</v>
      </c>
      <c r="C2885" s="9" t="s">
        <v>3147</v>
      </c>
      <c r="D2885" s="9" t="s">
        <v>2971</v>
      </c>
      <c r="E2885" s="9" t="s">
        <v>1660</v>
      </c>
      <c r="F2885" s="9" t="s">
        <v>197</v>
      </c>
      <c r="G2885" s="9" t="s">
        <v>201</v>
      </c>
      <c r="H2885" s="9" t="n">
        <v>2040</v>
      </c>
      <c r="I2885" s="29" t="n">
        <v>2.5</v>
      </c>
      <c r="J2885" s="9" t="n">
        <v>1</v>
      </c>
      <c r="K2885" s="30"/>
      <c r="L2885" s="30"/>
      <c r="M2885" s="30"/>
      <c r="N2885" s="30"/>
      <c r="O2885" s="30"/>
      <c r="P2885" s="30"/>
      <c r="Q2885" s="30"/>
      <c r="R2885" s="30"/>
      <c r="S2885" s="30"/>
      <c r="T2885" s="30"/>
      <c r="U2885" s="21" t="str">
        <f aca="false">IF(COUNT(K2885:T2885)=0,"SOURCE EMPTY / INDUSTRIAL ONLY",IF(MIN(K2885:T2885)=1,"SERVICE READY","HOLD"))</f>
        <v>SOURCE EMPTY / INDUSTRIAL ONLY</v>
      </c>
      <c r="V2885" s="9" t="n">
        <f aca="false">IF(U2885="SERVICE READY",1,0)</f>
        <v>0</v>
      </c>
      <c r="W2885" s="6"/>
      <c r="X2885" s="6"/>
      <c r="Y2885" s="6"/>
      <c r="Z2885" s="6"/>
    </row>
    <row r="2886" customFormat="false" ht="15" hidden="false" customHeight="false" outlineLevel="0" collapsed="false">
      <c r="A2886" s="9" t="s">
        <v>3155</v>
      </c>
      <c r="B2886" s="9" t="s">
        <v>3146</v>
      </c>
      <c r="C2886" s="9" t="s">
        <v>3147</v>
      </c>
      <c r="D2886" s="9" t="s">
        <v>2971</v>
      </c>
      <c r="E2886" s="9" t="s">
        <v>1660</v>
      </c>
      <c r="F2886" s="9" t="s">
        <v>200</v>
      </c>
      <c r="G2886" s="9" t="s">
        <v>198</v>
      </c>
      <c r="H2886" s="9" t="n">
        <v>2040</v>
      </c>
      <c r="I2886" s="29" t="n">
        <v>2.5</v>
      </c>
      <c r="J2886" s="9" t="n">
        <v>1</v>
      </c>
      <c r="K2886" s="30"/>
      <c r="L2886" s="30"/>
      <c r="M2886" s="30"/>
      <c r="N2886" s="30"/>
      <c r="O2886" s="30"/>
      <c r="P2886" s="30"/>
      <c r="Q2886" s="30"/>
      <c r="R2886" s="30"/>
      <c r="S2886" s="30"/>
      <c r="T2886" s="30"/>
      <c r="U2886" s="21" t="str">
        <f aca="false">IF(COUNT(K2886:T2886)=0,"SOURCE EMPTY / INDUSTRIAL ONLY",IF(MIN(K2886:T2886)=1,"SERVICE READY","HOLD"))</f>
        <v>SOURCE EMPTY / INDUSTRIAL ONLY</v>
      </c>
      <c r="V2886" s="9" t="n">
        <f aca="false">IF(U2886="SERVICE READY",1,0)</f>
        <v>0</v>
      </c>
      <c r="W2886" s="6"/>
      <c r="X2886" s="6"/>
      <c r="Y2886" s="6"/>
      <c r="Z2886" s="6"/>
    </row>
    <row r="2887" customFormat="false" ht="15" hidden="false" customHeight="false" outlineLevel="0" collapsed="false">
      <c r="A2887" s="9" t="s">
        <v>3156</v>
      </c>
      <c r="B2887" s="9" t="s">
        <v>3146</v>
      </c>
      <c r="C2887" s="9" t="s">
        <v>3147</v>
      </c>
      <c r="D2887" s="9" t="s">
        <v>2971</v>
      </c>
      <c r="E2887" s="9" t="s">
        <v>1660</v>
      </c>
      <c r="F2887" s="9" t="s">
        <v>203</v>
      </c>
      <c r="G2887" s="9" t="s">
        <v>201</v>
      </c>
      <c r="H2887" s="9" t="n">
        <v>2040</v>
      </c>
      <c r="I2887" s="29" t="n">
        <v>2.5</v>
      </c>
      <c r="J2887" s="9" t="n">
        <v>1</v>
      </c>
      <c r="K2887" s="30"/>
      <c r="L2887" s="30"/>
      <c r="M2887" s="30"/>
      <c r="N2887" s="30"/>
      <c r="O2887" s="30"/>
      <c r="P2887" s="30"/>
      <c r="Q2887" s="30"/>
      <c r="R2887" s="30"/>
      <c r="S2887" s="30"/>
      <c r="T2887" s="30"/>
      <c r="U2887" s="21" t="str">
        <f aca="false">IF(COUNT(K2887:T2887)=0,"SOURCE EMPTY / INDUSTRIAL ONLY",IF(MIN(K2887:T2887)=1,"SERVICE READY","HOLD"))</f>
        <v>SOURCE EMPTY / INDUSTRIAL ONLY</v>
      </c>
      <c r="V2887" s="9" t="n">
        <f aca="false">IF(U2887="SERVICE READY",1,0)</f>
        <v>0</v>
      </c>
      <c r="W2887" s="6"/>
      <c r="X2887" s="6"/>
      <c r="Y2887" s="6"/>
      <c r="Z2887" s="6"/>
    </row>
    <row r="2888" customFormat="false" ht="15" hidden="false" customHeight="false" outlineLevel="0" collapsed="false">
      <c r="A2888" s="9" t="s">
        <v>3157</v>
      </c>
      <c r="B2888" s="9" t="s">
        <v>3146</v>
      </c>
      <c r="C2888" s="9" t="s">
        <v>3147</v>
      </c>
      <c r="D2888" s="9" t="s">
        <v>2971</v>
      </c>
      <c r="E2888" s="9" t="s">
        <v>1660</v>
      </c>
      <c r="F2888" s="9" t="s">
        <v>205</v>
      </c>
      <c r="G2888" s="9" t="s">
        <v>198</v>
      </c>
      <c r="H2888" s="9" t="n">
        <v>2040</v>
      </c>
      <c r="I2888" s="29" t="n">
        <v>2.5</v>
      </c>
      <c r="J2888" s="9" t="n">
        <v>1</v>
      </c>
      <c r="K2888" s="30"/>
      <c r="L2888" s="30"/>
      <c r="M2888" s="30"/>
      <c r="N2888" s="30"/>
      <c r="O2888" s="30"/>
      <c r="P2888" s="30"/>
      <c r="Q2888" s="30"/>
      <c r="R2888" s="30"/>
      <c r="S2888" s="30"/>
      <c r="T2888" s="30"/>
      <c r="U2888" s="21" t="str">
        <f aca="false">IF(COUNT(K2888:T2888)=0,"SOURCE EMPTY / INDUSTRIAL ONLY",IF(MIN(K2888:T2888)=1,"SERVICE READY","HOLD"))</f>
        <v>SOURCE EMPTY / INDUSTRIAL ONLY</v>
      </c>
      <c r="V2888" s="9" t="n">
        <f aca="false">IF(U2888="SERVICE READY",1,0)</f>
        <v>0</v>
      </c>
      <c r="W2888" s="6"/>
      <c r="X2888" s="6"/>
      <c r="Y2888" s="6"/>
      <c r="Z2888" s="6"/>
    </row>
    <row r="2889" customFormat="false" ht="15" hidden="false" customHeight="false" outlineLevel="0" collapsed="false">
      <c r="A2889" s="9" t="s">
        <v>3158</v>
      </c>
      <c r="B2889" s="9" t="s">
        <v>3146</v>
      </c>
      <c r="C2889" s="9" t="s">
        <v>3147</v>
      </c>
      <c r="D2889" s="9" t="s">
        <v>2971</v>
      </c>
      <c r="E2889" s="9" t="s">
        <v>1660</v>
      </c>
      <c r="F2889" s="9" t="s">
        <v>207</v>
      </c>
      <c r="G2889" s="9" t="s">
        <v>201</v>
      </c>
      <c r="H2889" s="9" t="n">
        <v>2040</v>
      </c>
      <c r="I2889" s="29" t="n">
        <v>2.5</v>
      </c>
      <c r="J2889" s="9" t="n">
        <v>1</v>
      </c>
      <c r="K2889" s="30"/>
      <c r="L2889" s="30"/>
      <c r="M2889" s="30"/>
      <c r="N2889" s="30"/>
      <c r="O2889" s="30"/>
      <c r="P2889" s="30"/>
      <c r="Q2889" s="30"/>
      <c r="R2889" s="30"/>
      <c r="S2889" s="30"/>
      <c r="T2889" s="30"/>
      <c r="U2889" s="21" t="str">
        <f aca="false">IF(COUNT(K2889:T2889)=0,"SOURCE EMPTY / INDUSTRIAL ONLY",IF(MIN(K2889:T2889)=1,"SERVICE READY","HOLD"))</f>
        <v>SOURCE EMPTY / INDUSTRIAL ONLY</v>
      </c>
      <c r="V2889" s="9" t="n">
        <f aca="false">IF(U2889="SERVICE READY",1,0)</f>
        <v>0</v>
      </c>
      <c r="W2889" s="6"/>
      <c r="X2889" s="6"/>
      <c r="Y2889" s="6"/>
      <c r="Z2889" s="6"/>
    </row>
    <row r="2890" customFormat="false" ht="15" hidden="false" customHeight="false" outlineLevel="0" collapsed="false">
      <c r="A2890" s="9" t="s">
        <v>3159</v>
      </c>
      <c r="B2890" s="9" t="s">
        <v>3146</v>
      </c>
      <c r="C2890" s="9" t="s">
        <v>3147</v>
      </c>
      <c r="D2890" s="9" t="s">
        <v>2971</v>
      </c>
      <c r="E2890" s="9" t="s">
        <v>1660</v>
      </c>
      <c r="F2890" s="9" t="s">
        <v>209</v>
      </c>
      <c r="G2890" s="9" t="s">
        <v>198</v>
      </c>
      <c r="H2890" s="9" t="n">
        <v>2040</v>
      </c>
      <c r="I2890" s="29" t="n">
        <v>2.5</v>
      </c>
      <c r="J2890" s="9" t="n">
        <v>1</v>
      </c>
      <c r="K2890" s="30"/>
      <c r="L2890" s="30"/>
      <c r="M2890" s="30"/>
      <c r="N2890" s="30"/>
      <c r="O2890" s="30"/>
      <c r="P2890" s="30"/>
      <c r="Q2890" s="30"/>
      <c r="R2890" s="30"/>
      <c r="S2890" s="30"/>
      <c r="T2890" s="30"/>
      <c r="U2890" s="21" t="str">
        <f aca="false">IF(COUNT(K2890:T2890)=0,"SOURCE EMPTY / INDUSTRIAL ONLY",IF(MIN(K2890:T2890)=1,"SERVICE READY","HOLD"))</f>
        <v>SOURCE EMPTY / INDUSTRIAL ONLY</v>
      </c>
      <c r="V2890" s="9" t="n">
        <f aca="false">IF(U2890="SERVICE READY",1,0)</f>
        <v>0</v>
      </c>
      <c r="W2890" s="6"/>
      <c r="X2890" s="6"/>
      <c r="Y2890" s="6"/>
      <c r="Z2890" s="6"/>
    </row>
    <row r="2891" customFormat="false" ht="15" hidden="false" customHeight="false" outlineLevel="0" collapsed="false">
      <c r="A2891" s="9" t="s">
        <v>3160</v>
      </c>
      <c r="B2891" s="9" t="s">
        <v>3146</v>
      </c>
      <c r="C2891" s="9" t="s">
        <v>3147</v>
      </c>
      <c r="D2891" s="9" t="s">
        <v>2971</v>
      </c>
      <c r="E2891" s="9" t="s">
        <v>1660</v>
      </c>
      <c r="F2891" s="9" t="s">
        <v>211</v>
      </c>
      <c r="G2891" s="9" t="s">
        <v>201</v>
      </c>
      <c r="H2891" s="9" t="n">
        <v>2040</v>
      </c>
      <c r="I2891" s="29" t="n">
        <v>2.5</v>
      </c>
      <c r="J2891" s="9" t="n">
        <v>1</v>
      </c>
      <c r="K2891" s="30"/>
      <c r="L2891" s="30"/>
      <c r="M2891" s="30"/>
      <c r="N2891" s="30"/>
      <c r="O2891" s="30"/>
      <c r="P2891" s="30"/>
      <c r="Q2891" s="30"/>
      <c r="R2891" s="30"/>
      <c r="S2891" s="30"/>
      <c r="T2891" s="30"/>
      <c r="U2891" s="21" t="str">
        <f aca="false">IF(COUNT(K2891:T2891)=0,"SOURCE EMPTY / INDUSTRIAL ONLY",IF(MIN(K2891:T2891)=1,"SERVICE READY","HOLD"))</f>
        <v>SOURCE EMPTY / INDUSTRIAL ONLY</v>
      </c>
      <c r="V2891" s="9" t="n">
        <f aca="false">IF(U2891="SERVICE READY",1,0)</f>
        <v>0</v>
      </c>
      <c r="W2891" s="6"/>
      <c r="X2891" s="6"/>
      <c r="Y2891" s="6"/>
      <c r="Z2891" s="6"/>
    </row>
    <row r="2892" customFormat="false" ht="15" hidden="false" customHeight="false" outlineLevel="0" collapsed="false">
      <c r="A2892" s="9" t="s">
        <v>3161</v>
      </c>
      <c r="B2892" s="9" t="s">
        <v>3146</v>
      </c>
      <c r="C2892" s="9" t="s">
        <v>3147</v>
      </c>
      <c r="D2892" s="9" t="s">
        <v>2971</v>
      </c>
      <c r="E2892" s="9" t="s">
        <v>1660</v>
      </c>
      <c r="F2892" s="9" t="s">
        <v>197</v>
      </c>
      <c r="G2892" s="9" t="s">
        <v>198</v>
      </c>
      <c r="H2892" s="9" t="n">
        <v>2040</v>
      </c>
      <c r="I2892" s="29" t="n">
        <v>2.5</v>
      </c>
      <c r="J2892" s="9" t="n">
        <v>1</v>
      </c>
      <c r="K2892" s="30"/>
      <c r="L2892" s="30"/>
      <c r="M2892" s="30"/>
      <c r="N2892" s="30"/>
      <c r="O2892" s="30"/>
      <c r="P2892" s="30"/>
      <c r="Q2892" s="30"/>
      <c r="R2892" s="30"/>
      <c r="S2892" s="30"/>
      <c r="T2892" s="30"/>
      <c r="U2892" s="21" t="str">
        <f aca="false">IF(COUNT(K2892:T2892)=0,"SOURCE EMPTY / INDUSTRIAL ONLY",IF(MIN(K2892:T2892)=1,"SERVICE READY","HOLD"))</f>
        <v>SOURCE EMPTY / INDUSTRIAL ONLY</v>
      </c>
      <c r="V2892" s="9" t="n">
        <f aca="false">IF(U2892="SERVICE READY",1,0)</f>
        <v>0</v>
      </c>
      <c r="W2892" s="6"/>
      <c r="X2892" s="6"/>
      <c r="Y2892" s="6"/>
      <c r="Z2892" s="6"/>
    </row>
    <row r="2893" customFormat="false" ht="15" hidden="false" customHeight="false" outlineLevel="0" collapsed="false">
      <c r="A2893" s="9" t="s">
        <v>3162</v>
      </c>
      <c r="B2893" s="9" t="s">
        <v>3146</v>
      </c>
      <c r="C2893" s="9" t="s">
        <v>3147</v>
      </c>
      <c r="D2893" s="9" t="s">
        <v>2971</v>
      </c>
      <c r="E2893" s="9" t="s">
        <v>1660</v>
      </c>
      <c r="F2893" s="9" t="s">
        <v>200</v>
      </c>
      <c r="G2893" s="9" t="s">
        <v>201</v>
      </c>
      <c r="H2893" s="9" t="n">
        <v>2040</v>
      </c>
      <c r="I2893" s="29" t="n">
        <v>2.5</v>
      </c>
      <c r="J2893" s="9" t="n">
        <v>1</v>
      </c>
      <c r="K2893" s="30"/>
      <c r="L2893" s="30"/>
      <c r="M2893" s="30"/>
      <c r="N2893" s="30"/>
      <c r="O2893" s="30"/>
      <c r="P2893" s="30"/>
      <c r="Q2893" s="30"/>
      <c r="R2893" s="30"/>
      <c r="S2893" s="30"/>
      <c r="T2893" s="30"/>
      <c r="U2893" s="21" t="str">
        <f aca="false">IF(COUNT(K2893:T2893)=0,"SOURCE EMPTY / INDUSTRIAL ONLY",IF(MIN(K2893:T2893)=1,"SERVICE READY","HOLD"))</f>
        <v>SOURCE EMPTY / INDUSTRIAL ONLY</v>
      </c>
      <c r="V2893" s="9" t="n">
        <f aca="false">IF(U2893="SERVICE READY",1,0)</f>
        <v>0</v>
      </c>
      <c r="W2893" s="6"/>
      <c r="X2893" s="6"/>
      <c r="Y2893" s="6"/>
      <c r="Z2893" s="6"/>
    </row>
    <row r="2894" customFormat="false" ht="15" hidden="false" customHeight="false" outlineLevel="0" collapsed="false">
      <c r="A2894" s="9" t="s">
        <v>3163</v>
      </c>
      <c r="B2894" s="9" t="s">
        <v>3146</v>
      </c>
      <c r="C2894" s="9" t="s">
        <v>3147</v>
      </c>
      <c r="D2894" s="9" t="s">
        <v>2971</v>
      </c>
      <c r="E2894" s="9" t="s">
        <v>1660</v>
      </c>
      <c r="F2894" s="9" t="s">
        <v>203</v>
      </c>
      <c r="G2894" s="9" t="s">
        <v>198</v>
      </c>
      <c r="H2894" s="9" t="n">
        <v>2040</v>
      </c>
      <c r="I2894" s="29" t="n">
        <v>2.5</v>
      </c>
      <c r="J2894" s="9" t="n">
        <v>1</v>
      </c>
      <c r="K2894" s="30"/>
      <c r="L2894" s="30"/>
      <c r="M2894" s="30"/>
      <c r="N2894" s="30"/>
      <c r="O2894" s="30"/>
      <c r="P2894" s="30"/>
      <c r="Q2894" s="30"/>
      <c r="R2894" s="30"/>
      <c r="S2894" s="30"/>
      <c r="T2894" s="30"/>
      <c r="U2894" s="21" t="str">
        <f aca="false">IF(COUNT(K2894:T2894)=0,"SOURCE EMPTY / INDUSTRIAL ONLY",IF(MIN(K2894:T2894)=1,"SERVICE READY","HOLD"))</f>
        <v>SOURCE EMPTY / INDUSTRIAL ONLY</v>
      </c>
      <c r="V2894" s="9" t="n">
        <f aca="false">IF(U2894="SERVICE READY",1,0)</f>
        <v>0</v>
      </c>
      <c r="W2894" s="6"/>
      <c r="X2894" s="6"/>
      <c r="Y2894" s="6"/>
      <c r="Z2894" s="6"/>
    </row>
    <row r="2895" customFormat="false" ht="15" hidden="false" customHeight="false" outlineLevel="0" collapsed="false">
      <c r="A2895" s="9" t="s">
        <v>3164</v>
      </c>
      <c r="B2895" s="9" t="s">
        <v>3146</v>
      </c>
      <c r="C2895" s="9" t="s">
        <v>3147</v>
      </c>
      <c r="D2895" s="9" t="s">
        <v>2971</v>
      </c>
      <c r="E2895" s="9" t="s">
        <v>1660</v>
      </c>
      <c r="F2895" s="9" t="s">
        <v>205</v>
      </c>
      <c r="G2895" s="9" t="s">
        <v>201</v>
      </c>
      <c r="H2895" s="9" t="n">
        <v>2040</v>
      </c>
      <c r="I2895" s="29" t="n">
        <v>2.5</v>
      </c>
      <c r="J2895" s="9" t="n">
        <v>1</v>
      </c>
      <c r="K2895" s="30"/>
      <c r="L2895" s="30"/>
      <c r="M2895" s="30"/>
      <c r="N2895" s="30"/>
      <c r="O2895" s="30"/>
      <c r="P2895" s="30"/>
      <c r="Q2895" s="30"/>
      <c r="R2895" s="30"/>
      <c r="S2895" s="30"/>
      <c r="T2895" s="30"/>
      <c r="U2895" s="21" t="str">
        <f aca="false">IF(COUNT(K2895:T2895)=0,"SOURCE EMPTY / INDUSTRIAL ONLY",IF(MIN(K2895:T2895)=1,"SERVICE READY","HOLD"))</f>
        <v>SOURCE EMPTY / INDUSTRIAL ONLY</v>
      </c>
      <c r="V2895" s="9" t="n">
        <f aca="false">IF(U2895="SERVICE READY",1,0)</f>
        <v>0</v>
      </c>
      <c r="W2895" s="6"/>
      <c r="X2895" s="6"/>
      <c r="Y2895" s="6"/>
      <c r="Z2895" s="6"/>
    </row>
    <row r="2896" customFormat="false" ht="15" hidden="false" customHeight="false" outlineLevel="0" collapsed="false">
      <c r="A2896" s="9" t="s">
        <v>3165</v>
      </c>
      <c r="B2896" s="9" t="s">
        <v>3146</v>
      </c>
      <c r="C2896" s="9" t="s">
        <v>3147</v>
      </c>
      <c r="D2896" s="9" t="s">
        <v>2971</v>
      </c>
      <c r="E2896" s="9" t="s">
        <v>1660</v>
      </c>
      <c r="F2896" s="9" t="s">
        <v>207</v>
      </c>
      <c r="G2896" s="9" t="s">
        <v>198</v>
      </c>
      <c r="H2896" s="9" t="n">
        <v>2040</v>
      </c>
      <c r="I2896" s="29" t="n">
        <v>2.5</v>
      </c>
      <c r="J2896" s="9" t="n">
        <v>1</v>
      </c>
      <c r="K2896" s="30"/>
      <c r="L2896" s="30"/>
      <c r="M2896" s="30"/>
      <c r="N2896" s="30"/>
      <c r="O2896" s="30"/>
      <c r="P2896" s="30"/>
      <c r="Q2896" s="30"/>
      <c r="R2896" s="30"/>
      <c r="S2896" s="30"/>
      <c r="T2896" s="30"/>
      <c r="U2896" s="21" t="str">
        <f aca="false">IF(COUNT(K2896:T2896)=0,"SOURCE EMPTY / INDUSTRIAL ONLY",IF(MIN(K2896:T2896)=1,"SERVICE READY","HOLD"))</f>
        <v>SOURCE EMPTY / INDUSTRIAL ONLY</v>
      </c>
      <c r="V2896" s="9" t="n">
        <f aca="false">IF(U2896="SERVICE READY",1,0)</f>
        <v>0</v>
      </c>
      <c r="W2896" s="6"/>
      <c r="X2896" s="6"/>
      <c r="Y2896" s="6"/>
      <c r="Z2896" s="6"/>
    </row>
    <row r="2897" customFormat="false" ht="15" hidden="false" customHeight="false" outlineLevel="0" collapsed="false">
      <c r="A2897" s="9" t="s">
        <v>3166</v>
      </c>
      <c r="B2897" s="9" t="s">
        <v>3146</v>
      </c>
      <c r="C2897" s="9" t="s">
        <v>3147</v>
      </c>
      <c r="D2897" s="9" t="s">
        <v>2971</v>
      </c>
      <c r="E2897" s="9" t="s">
        <v>1660</v>
      </c>
      <c r="F2897" s="9" t="s">
        <v>209</v>
      </c>
      <c r="G2897" s="9" t="s">
        <v>201</v>
      </c>
      <c r="H2897" s="9" t="n">
        <v>2040</v>
      </c>
      <c r="I2897" s="29" t="n">
        <v>2.5</v>
      </c>
      <c r="J2897" s="9" t="n">
        <v>1</v>
      </c>
      <c r="K2897" s="30"/>
      <c r="L2897" s="30"/>
      <c r="M2897" s="30"/>
      <c r="N2897" s="30"/>
      <c r="O2897" s="30"/>
      <c r="P2897" s="30"/>
      <c r="Q2897" s="30"/>
      <c r="R2897" s="30"/>
      <c r="S2897" s="30"/>
      <c r="T2897" s="30"/>
      <c r="U2897" s="21" t="str">
        <f aca="false">IF(COUNT(K2897:T2897)=0,"SOURCE EMPTY / INDUSTRIAL ONLY",IF(MIN(K2897:T2897)=1,"SERVICE READY","HOLD"))</f>
        <v>SOURCE EMPTY / INDUSTRIAL ONLY</v>
      </c>
      <c r="V2897" s="9" t="n">
        <f aca="false">IF(U2897="SERVICE READY",1,0)</f>
        <v>0</v>
      </c>
      <c r="W2897" s="6"/>
      <c r="X2897" s="6"/>
      <c r="Y2897" s="6"/>
      <c r="Z2897" s="6"/>
    </row>
    <row r="2898" customFormat="false" ht="15" hidden="false" customHeight="false" outlineLevel="0" collapsed="false">
      <c r="A2898" s="9" t="s">
        <v>3167</v>
      </c>
      <c r="B2898" s="9" t="s">
        <v>3146</v>
      </c>
      <c r="C2898" s="9" t="s">
        <v>3147</v>
      </c>
      <c r="D2898" s="9" t="s">
        <v>2971</v>
      </c>
      <c r="E2898" s="9" t="s">
        <v>1660</v>
      </c>
      <c r="F2898" s="9" t="s">
        <v>211</v>
      </c>
      <c r="G2898" s="9" t="s">
        <v>198</v>
      </c>
      <c r="H2898" s="9" t="n">
        <v>2040</v>
      </c>
      <c r="I2898" s="29" t="n">
        <v>2.5</v>
      </c>
      <c r="J2898" s="9" t="n">
        <v>1</v>
      </c>
      <c r="K2898" s="30"/>
      <c r="L2898" s="30"/>
      <c r="M2898" s="30"/>
      <c r="N2898" s="30"/>
      <c r="O2898" s="30"/>
      <c r="P2898" s="30"/>
      <c r="Q2898" s="30"/>
      <c r="R2898" s="30"/>
      <c r="S2898" s="30"/>
      <c r="T2898" s="30"/>
      <c r="U2898" s="21" t="str">
        <f aca="false">IF(COUNT(K2898:T2898)=0,"SOURCE EMPTY / INDUSTRIAL ONLY",IF(MIN(K2898:T2898)=1,"SERVICE READY","HOLD"))</f>
        <v>SOURCE EMPTY / INDUSTRIAL ONLY</v>
      </c>
      <c r="V2898" s="9" t="n">
        <f aca="false">IF(U2898="SERVICE READY",1,0)</f>
        <v>0</v>
      </c>
      <c r="W2898" s="6"/>
      <c r="X2898" s="6"/>
      <c r="Y2898" s="6"/>
      <c r="Z2898" s="6"/>
    </row>
    <row r="2899" customFormat="false" ht="15" hidden="false" customHeight="false" outlineLevel="0" collapsed="false">
      <c r="A2899" s="9" t="s">
        <v>3168</v>
      </c>
      <c r="B2899" s="9" t="s">
        <v>3146</v>
      </c>
      <c r="C2899" s="9" t="s">
        <v>3147</v>
      </c>
      <c r="D2899" s="9" t="s">
        <v>2971</v>
      </c>
      <c r="E2899" s="9" t="s">
        <v>1660</v>
      </c>
      <c r="F2899" s="9" t="s">
        <v>197</v>
      </c>
      <c r="G2899" s="9" t="s">
        <v>201</v>
      </c>
      <c r="H2899" s="9" t="n">
        <v>2040</v>
      </c>
      <c r="I2899" s="29" t="n">
        <v>2.5</v>
      </c>
      <c r="J2899" s="9" t="n">
        <v>1</v>
      </c>
      <c r="K2899" s="30"/>
      <c r="L2899" s="30"/>
      <c r="M2899" s="30"/>
      <c r="N2899" s="30"/>
      <c r="O2899" s="30"/>
      <c r="P2899" s="30"/>
      <c r="Q2899" s="30"/>
      <c r="R2899" s="30"/>
      <c r="S2899" s="30"/>
      <c r="T2899" s="30"/>
      <c r="U2899" s="21" t="str">
        <f aca="false">IF(COUNT(K2899:T2899)=0,"SOURCE EMPTY / INDUSTRIAL ONLY",IF(MIN(K2899:T2899)=1,"SERVICE READY","HOLD"))</f>
        <v>SOURCE EMPTY / INDUSTRIAL ONLY</v>
      </c>
      <c r="V2899" s="9" t="n">
        <f aca="false">IF(U2899="SERVICE READY",1,0)</f>
        <v>0</v>
      </c>
      <c r="W2899" s="6"/>
      <c r="X2899" s="6"/>
      <c r="Y2899" s="6"/>
      <c r="Z2899" s="6"/>
    </row>
    <row r="2900" customFormat="false" ht="15" hidden="false" customHeight="false" outlineLevel="0" collapsed="false">
      <c r="A2900" s="9" t="s">
        <v>3169</v>
      </c>
      <c r="B2900" s="9" t="s">
        <v>3146</v>
      </c>
      <c r="C2900" s="9" t="s">
        <v>3147</v>
      </c>
      <c r="D2900" s="9" t="s">
        <v>2971</v>
      </c>
      <c r="E2900" s="9" t="s">
        <v>1660</v>
      </c>
      <c r="F2900" s="9" t="s">
        <v>200</v>
      </c>
      <c r="G2900" s="9" t="s">
        <v>198</v>
      </c>
      <c r="H2900" s="9" t="n">
        <v>2040</v>
      </c>
      <c r="I2900" s="29" t="n">
        <v>2.5</v>
      </c>
      <c r="J2900" s="9" t="n">
        <v>1</v>
      </c>
      <c r="K2900" s="30"/>
      <c r="L2900" s="30"/>
      <c r="M2900" s="30"/>
      <c r="N2900" s="30"/>
      <c r="O2900" s="30"/>
      <c r="P2900" s="30"/>
      <c r="Q2900" s="30"/>
      <c r="R2900" s="30"/>
      <c r="S2900" s="30"/>
      <c r="T2900" s="30"/>
      <c r="U2900" s="21" t="str">
        <f aca="false">IF(COUNT(K2900:T2900)=0,"SOURCE EMPTY / INDUSTRIAL ONLY",IF(MIN(K2900:T2900)=1,"SERVICE READY","HOLD"))</f>
        <v>SOURCE EMPTY / INDUSTRIAL ONLY</v>
      </c>
      <c r="V2900" s="9" t="n">
        <f aca="false">IF(U2900="SERVICE READY",1,0)</f>
        <v>0</v>
      </c>
      <c r="W2900" s="6"/>
      <c r="X2900" s="6"/>
      <c r="Y2900" s="6"/>
      <c r="Z2900" s="6"/>
    </row>
    <row r="2901" customFormat="false" ht="15" hidden="false" customHeight="false" outlineLevel="0" collapsed="false">
      <c r="A2901" s="9" t="s">
        <v>3170</v>
      </c>
      <c r="B2901" s="9" t="s">
        <v>3146</v>
      </c>
      <c r="C2901" s="9" t="s">
        <v>3147</v>
      </c>
      <c r="D2901" s="9" t="s">
        <v>2971</v>
      </c>
      <c r="E2901" s="9" t="s">
        <v>1660</v>
      </c>
      <c r="F2901" s="9" t="s">
        <v>203</v>
      </c>
      <c r="G2901" s="9" t="s">
        <v>201</v>
      </c>
      <c r="H2901" s="9" t="n">
        <v>2040</v>
      </c>
      <c r="I2901" s="29" t="n">
        <v>2.5</v>
      </c>
      <c r="J2901" s="9" t="n">
        <v>1</v>
      </c>
      <c r="K2901" s="30"/>
      <c r="L2901" s="30"/>
      <c r="M2901" s="30"/>
      <c r="N2901" s="30"/>
      <c r="O2901" s="30"/>
      <c r="P2901" s="30"/>
      <c r="Q2901" s="30"/>
      <c r="R2901" s="30"/>
      <c r="S2901" s="30"/>
      <c r="T2901" s="30"/>
      <c r="U2901" s="21" t="str">
        <f aca="false">IF(COUNT(K2901:T2901)=0,"SOURCE EMPTY / INDUSTRIAL ONLY",IF(MIN(K2901:T2901)=1,"SERVICE READY","HOLD"))</f>
        <v>SOURCE EMPTY / INDUSTRIAL ONLY</v>
      </c>
      <c r="V2901" s="9" t="n">
        <f aca="false">IF(U2901="SERVICE READY",1,0)</f>
        <v>0</v>
      </c>
      <c r="W2901" s="6"/>
      <c r="X2901" s="6"/>
      <c r="Y2901" s="6"/>
      <c r="Z2901" s="6"/>
    </row>
    <row r="2902" customFormat="false" ht="15" hidden="false" customHeight="false" outlineLevel="0" collapsed="false">
      <c r="A2902" s="9" t="s">
        <v>3171</v>
      </c>
      <c r="B2902" s="9" t="s">
        <v>3146</v>
      </c>
      <c r="C2902" s="9" t="s">
        <v>3147</v>
      </c>
      <c r="D2902" s="9" t="s">
        <v>2971</v>
      </c>
      <c r="E2902" s="9" t="s">
        <v>1660</v>
      </c>
      <c r="F2902" s="9" t="s">
        <v>205</v>
      </c>
      <c r="G2902" s="9" t="s">
        <v>198</v>
      </c>
      <c r="H2902" s="9" t="n">
        <v>2040</v>
      </c>
      <c r="I2902" s="29" t="n">
        <v>2.5</v>
      </c>
      <c r="J2902" s="9" t="n">
        <v>1</v>
      </c>
      <c r="K2902" s="30"/>
      <c r="L2902" s="30"/>
      <c r="M2902" s="30"/>
      <c r="N2902" s="30"/>
      <c r="O2902" s="30"/>
      <c r="P2902" s="30"/>
      <c r="Q2902" s="30"/>
      <c r="R2902" s="30"/>
      <c r="S2902" s="30"/>
      <c r="T2902" s="30"/>
      <c r="U2902" s="21" t="str">
        <f aca="false">IF(COUNT(K2902:T2902)=0,"SOURCE EMPTY / INDUSTRIAL ONLY",IF(MIN(K2902:T2902)=1,"SERVICE READY","HOLD"))</f>
        <v>SOURCE EMPTY / INDUSTRIAL ONLY</v>
      </c>
      <c r="V2902" s="9" t="n">
        <f aca="false">IF(U2902="SERVICE READY",1,0)</f>
        <v>0</v>
      </c>
      <c r="W2902" s="6"/>
      <c r="X2902" s="6"/>
      <c r="Y2902" s="6"/>
      <c r="Z2902" s="6"/>
    </row>
    <row r="2903" customFormat="false" ht="15" hidden="false" customHeight="false" outlineLevel="0" collapsed="false">
      <c r="A2903" s="9" t="s">
        <v>3172</v>
      </c>
      <c r="B2903" s="9" t="s">
        <v>3146</v>
      </c>
      <c r="C2903" s="9" t="s">
        <v>3147</v>
      </c>
      <c r="D2903" s="9" t="s">
        <v>2971</v>
      </c>
      <c r="E2903" s="9" t="s">
        <v>1660</v>
      </c>
      <c r="F2903" s="9" t="s">
        <v>207</v>
      </c>
      <c r="G2903" s="9" t="s">
        <v>201</v>
      </c>
      <c r="H2903" s="9" t="n">
        <v>2040</v>
      </c>
      <c r="I2903" s="29" t="n">
        <v>2.5</v>
      </c>
      <c r="J2903" s="9" t="n">
        <v>1</v>
      </c>
      <c r="K2903" s="30"/>
      <c r="L2903" s="30"/>
      <c r="M2903" s="30"/>
      <c r="N2903" s="30"/>
      <c r="O2903" s="30"/>
      <c r="P2903" s="30"/>
      <c r="Q2903" s="30"/>
      <c r="R2903" s="30"/>
      <c r="S2903" s="30"/>
      <c r="T2903" s="30"/>
      <c r="U2903" s="21" t="str">
        <f aca="false">IF(COUNT(K2903:T2903)=0,"SOURCE EMPTY / INDUSTRIAL ONLY",IF(MIN(K2903:T2903)=1,"SERVICE READY","HOLD"))</f>
        <v>SOURCE EMPTY / INDUSTRIAL ONLY</v>
      </c>
      <c r="V2903" s="9" t="n">
        <f aca="false">IF(U2903="SERVICE READY",1,0)</f>
        <v>0</v>
      </c>
      <c r="W2903" s="6"/>
      <c r="X2903" s="6"/>
      <c r="Y2903" s="6"/>
      <c r="Z2903" s="6"/>
    </row>
    <row r="2904" customFormat="false" ht="15" hidden="false" customHeight="false" outlineLevel="0" collapsed="false">
      <c r="A2904" s="9" t="s">
        <v>3173</v>
      </c>
      <c r="B2904" s="9" t="s">
        <v>3146</v>
      </c>
      <c r="C2904" s="9" t="s">
        <v>3147</v>
      </c>
      <c r="D2904" s="9" t="s">
        <v>2971</v>
      </c>
      <c r="E2904" s="9" t="s">
        <v>1660</v>
      </c>
      <c r="F2904" s="9" t="s">
        <v>209</v>
      </c>
      <c r="G2904" s="9" t="s">
        <v>198</v>
      </c>
      <c r="H2904" s="9" t="n">
        <v>2040</v>
      </c>
      <c r="I2904" s="29" t="n">
        <v>2.5</v>
      </c>
      <c r="J2904" s="9" t="n">
        <v>1</v>
      </c>
      <c r="K2904" s="30"/>
      <c r="L2904" s="30"/>
      <c r="M2904" s="30"/>
      <c r="N2904" s="30"/>
      <c r="O2904" s="30"/>
      <c r="P2904" s="30"/>
      <c r="Q2904" s="30"/>
      <c r="R2904" s="30"/>
      <c r="S2904" s="30"/>
      <c r="T2904" s="30"/>
      <c r="U2904" s="21" t="str">
        <f aca="false">IF(COUNT(K2904:T2904)=0,"SOURCE EMPTY / INDUSTRIAL ONLY",IF(MIN(K2904:T2904)=1,"SERVICE READY","HOLD"))</f>
        <v>SOURCE EMPTY / INDUSTRIAL ONLY</v>
      </c>
      <c r="V2904" s="9" t="n">
        <f aca="false">IF(U2904="SERVICE READY",1,0)</f>
        <v>0</v>
      </c>
      <c r="W2904" s="6"/>
      <c r="X2904" s="6"/>
      <c r="Y2904" s="6"/>
      <c r="Z2904" s="6"/>
    </row>
    <row r="2905" customFormat="false" ht="15" hidden="false" customHeight="false" outlineLevel="0" collapsed="false">
      <c r="A2905" s="9" t="s">
        <v>3174</v>
      </c>
      <c r="B2905" s="9" t="s">
        <v>3146</v>
      </c>
      <c r="C2905" s="9" t="s">
        <v>3147</v>
      </c>
      <c r="D2905" s="9" t="s">
        <v>2971</v>
      </c>
      <c r="E2905" s="9" t="s">
        <v>1660</v>
      </c>
      <c r="F2905" s="9" t="s">
        <v>211</v>
      </c>
      <c r="G2905" s="9" t="s">
        <v>221</v>
      </c>
      <c r="H2905" s="9" t="n">
        <v>2040</v>
      </c>
      <c r="I2905" s="29" t="n">
        <v>2.5</v>
      </c>
      <c r="J2905" s="9" t="n">
        <v>1</v>
      </c>
      <c r="K2905" s="30"/>
      <c r="L2905" s="30"/>
      <c r="M2905" s="30"/>
      <c r="N2905" s="30"/>
      <c r="O2905" s="30"/>
      <c r="P2905" s="30"/>
      <c r="Q2905" s="30"/>
      <c r="R2905" s="30"/>
      <c r="S2905" s="30"/>
      <c r="T2905" s="30"/>
      <c r="U2905" s="21" t="str">
        <f aca="false">IF(COUNT(K2905:T2905)=0,"SOURCE EMPTY / INDUSTRIAL ONLY",IF(MIN(K2905:T2905)=1,"SERVICE READY","HOLD"))</f>
        <v>SOURCE EMPTY / INDUSTRIAL ONLY</v>
      </c>
      <c r="V2905" s="9" t="n">
        <f aca="false">IF(U2905="SERVICE READY",1,0)</f>
        <v>0</v>
      </c>
      <c r="W2905" s="6"/>
      <c r="X2905" s="6"/>
      <c r="Y2905" s="6"/>
      <c r="Z2905" s="6"/>
    </row>
    <row r="2906" customFormat="false" ht="15" hidden="false" customHeight="false" outlineLevel="0" collapsed="false">
      <c r="A2906" s="9" t="s">
        <v>3175</v>
      </c>
      <c r="B2906" s="9" t="s">
        <v>3146</v>
      </c>
      <c r="C2906" s="9" t="s">
        <v>3147</v>
      </c>
      <c r="D2906" s="9" t="s">
        <v>2971</v>
      </c>
      <c r="E2906" s="9" t="s">
        <v>1660</v>
      </c>
      <c r="F2906" s="9" t="s">
        <v>197</v>
      </c>
      <c r="G2906" s="9" t="s">
        <v>221</v>
      </c>
      <c r="H2906" s="9" t="n">
        <v>2040</v>
      </c>
      <c r="I2906" s="29" t="n">
        <v>2.5</v>
      </c>
      <c r="J2906" s="9" t="n">
        <v>1</v>
      </c>
      <c r="K2906" s="30"/>
      <c r="L2906" s="30"/>
      <c r="M2906" s="30"/>
      <c r="N2906" s="30"/>
      <c r="O2906" s="30"/>
      <c r="P2906" s="30"/>
      <c r="Q2906" s="30"/>
      <c r="R2906" s="30"/>
      <c r="S2906" s="30"/>
      <c r="T2906" s="30"/>
      <c r="U2906" s="21" t="str">
        <f aca="false">IF(COUNT(K2906:T2906)=0,"SOURCE EMPTY / INDUSTRIAL ONLY",IF(MIN(K2906:T2906)=1,"SERVICE READY","HOLD"))</f>
        <v>SOURCE EMPTY / INDUSTRIAL ONLY</v>
      </c>
      <c r="V2906" s="9" t="n">
        <f aca="false">IF(U2906="SERVICE READY",1,0)</f>
        <v>0</v>
      </c>
      <c r="W2906" s="6"/>
      <c r="X2906" s="6"/>
      <c r="Y2906" s="6"/>
      <c r="Z2906" s="6"/>
    </row>
    <row r="2907" customFormat="false" ht="15" hidden="false" customHeight="false" outlineLevel="0" collapsed="false">
      <c r="A2907" s="9" t="s">
        <v>3176</v>
      </c>
      <c r="B2907" s="9" t="s">
        <v>3146</v>
      </c>
      <c r="C2907" s="9" t="s">
        <v>3147</v>
      </c>
      <c r="D2907" s="9" t="s">
        <v>2971</v>
      </c>
      <c r="E2907" s="9" t="s">
        <v>1660</v>
      </c>
      <c r="F2907" s="9" t="s">
        <v>200</v>
      </c>
      <c r="G2907" s="9" t="s">
        <v>221</v>
      </c>
      <c r="H2907" s="9" t="n">
        <v>2040</v>
      </c>
      <c r="I2907" s="29" t="n">
        <v>2.5</v>
      </c>
      <c r="J2907" s="9" t="n">
        <v>1</v>
      </c>
      <c r="K2907" s="30"/>
      <c r="L2907" s="30"/>
      <c r="M2907" s="30"/>
      <c r="N2907" s="30"/>
      <c r="O2907" s="30"/>
      <c r="P2907" s="30"/>
      <c r="Q2907" s="30"/>
      <c r="R2907" s="30"/>
      <c r="S2907" s="30"/>
      <c r="T2907" s="30"/>
      <c r="U2907" s="21" t="str">
        <f aca="false">IF(COUNT(K2907:T2907)=0,"SOURCE EMPTY / INDUSTRIAL ONLY",IF(MIN(K2907:T2907)=1,"SERVICE READY","HOLD"))</f>
        <v>SOURCE EMPTY / INDUSTRIAL ONLY</v>
      </c>
      <c r="V2907" s="9" t="n">
        <f aca="false">IF(U2907="SERVICE READY",1,0)</f>
        <v>0</v>
      </c>
      <c r="W2907" s="6"/>
      <c r="X2907" s="6"/>
      <c r="Y2907" s="6"/>
      <c r="Z2907" s="6"/>
    </row>
    <row r="2908" customFormat="false" ht="15" hidden="false" customHeight="false" outlineLevel="0" collapsed="false">
      <c r="A2908" s="9" t="s">
        <v>3177</v>
      </c>
      <c r="B2908" s="9" t="s">
        <v>3146</v>
      </c>
      <c r="C2908" s="9" t="s">
        <v>3147</v>
      </c>
      <c r="D2908" s="9" t="s">
        <v>2971</v>
      </c>
      <c r="E2908" s="9" t="s">
        <v>1660</v>
      </c>
      <c r="F2908" s="9" t="s">
        <v>203</v>
      </c>
      <c r="G2908" s="9" t="s">
        <v>221</v>
      </c>
      <c r="H2908" s="9" t="n">
        <v>2040</v>
      </c>
      <c r="I2908" s="29" t="n">
        <v>2.5</v>
      </c>
      <c r="J2908" s="9" t="n">
        <v>1</v>
      </c>
      <c r="K2908" s="30"/>
      <c r="L2908" s="30"/>
      <c r="M2908" s="30"/>
      <c r="N2908" s="30"/>
      <c r="O2908" s="30"/>
      <c r="P2908" s="30"/>
      <c r="Q2908" s="30"/>
      <c r="R2908" s="30"/>
      <c r="S2908" s="30"/>
      <c r="T2908" s="30"/>
      <c r="U2908" s="21" t="str">
        <f aca="false">IF(COUNT(K2908:T2908)=0,"SOURCE EMPTY / INDUSTRIAL ONLY",IF(MIN(K2908:T2908)=1,"SERVICE READY","HOLD"))</f>
        <v>SOURCE EMPTY / INDUSTRIAL ONLY</v>
      </c>
      <c r="V2908" s="9" t="n">
        <f aca="false">IF(U2908="SERVICE READY",1,0)</f>
        <v>0</v>
      </c>
      <c r="W2908" s="6"/>
      <c r="X2908" s="6"/>
      <c r="Y2908" s="6"/>
      <c r="Z2908" s="6"/>
    </row>
    <row r="2909" customFormat="false" ht="15" hidden="false" customHeight="false" outlineLevel="0" collapsed="false">
      <c r="A2909" s="9" t="s">
        <v>3178</v>
      </c>
      <c r="B2909" s="9" t="s">
        <v>3146</v>
      </c>
      <c r="C2909" s="9" t="s">
        <v>3147</v>
      </c>
      <c r="D2909" s="9" t="s">
        <v>2971</v>
      </c>
      <c r="E2909" s="9" t="s">
        <v>1660</v>
      </c>
      <c r="F2909" s="9" t="s">
        <v>205</v>
      </c>
      <c r="G2909" s="9" t="s">
        <v>221</v>
      </c>
      <c r="H2909" s="9" t="n">
        <v>2040</v>
      </c>
      <c r="I2909" s="29" t="n">
        <v>2.5</v>
      </c>
      <c r="J2909" s="9" t="n">
        <v>1</v>
      </c>
      <c r="K2909" s="30"/>
      <c r="L2909" s="30"/>
      <c r="M2909" s="30"/>
      <c r="N2909" s="30"/>
      <c r="O2909" s="30"/>
      <c r="P2909" s="30"/>
      <c r="Q2909" s="30"/>
      <c r="R2909" s="30"/>
      <c r="S2909" s="30"/>
      <c r="T2909" s="30"/>
      <c r="U2909" s="21" t="str">
        <f aca="false">IF(COUNT(K2909:T2909)=0,"SOURCE EMPTY / INDUSTRIAL ONLY",IF(MIN(K2909:T2909)=1,"SERVICE READY","HOLD"))</f>
        <v>SOURCE EMPTY / INDUSTRIAL ONLY</v>
      </c>
      <c r="V2909" s="9" t="n">
        <f aca="false">IF(U2909="SERVICE READY",1,0)</f>
        <v>0</v>
      </c>
      <c r="W2909" s="6"/>
      <c r="X2909" s="6"/>
      <c r="Y2909" s="6"/>
      <c r="Z2909" s="6"/>
    </row>
    <row r="2910" customFormat="false" ht="15" hidden="false" customHeight="false" outlineLevel="0" collapsed="false">
      <c r="A2910" s="9" t="s">
        <v>3179</v>
      </c>
      <c r="B2910" s="9" t="s">
        <v>3146</v>
      </c>
      <c r="C2910" s="9" t="s">
        <v>3147</v>
      </c>
      <c r="D2910" s="9" t="s">
        <v>2971</v>
      </c>
      <c r="E2910" s="9" t="s">
        <v>1660</v>
      </c>
      <c r="F2910" s="9" t="s">
        <v>207</v>
      </c>
      <c r="G2910" s="9" t="s">
        <v>221</v>
      </c>
      <c r="H2910" s="9" t="n">
        <v>2040</v>
      </c>
      <c r="I2910" s="29" t="n">
        <v>2.5</v>
      </c>
      <c r="J2910" s="9" t="n">
        <v>1</v>
      </c>
      <c r="K2910" s="30"/>
      <c r="L2910" s="30"/>
      <c r="M2910" s="30"/>
      <c r="N2910" s="30"/>
      <c r="O2910" s="30"/>
      <c r="P2910" s="30"/>
      <c r="Q2910" s="30"/>
      <c r="R2910" s="30"/>
      <c r="S2910" s="30"/>
      <c r="T2910" s="30"/>
      <c r="U2910" s="21" t="str">
        <f aca="false">IF(COUNT(K2910:T2910)=0,"SOURCE EMPTY / INDUSTRIAL ONLY",IF(MIN(K2910:T2910)=1,"SERVICE READY","HOLD"))</f>
        <v>SOURCE EMPTY / INDUSTRIAL ONLY</v>
      </c>
      <c r="V2910" s="9" t="n">
        <f aca="false">IF(U2910="SERVICE READY",1,0)</f>
        <v>0</v>
      </c>
      <c r="W2910" s="6"/>
      <c r="X2910" s="6"/>
      <c r="Y2910" s="6"/>
      <c r="Z2910" s="6"/>
    </row>
    <row r="2911" customFormat="false" ht="15" hidden="false" customHeight="false" outlineLevel="0" collapsed="false">
      <c r="A2911" s="9" t="s">
        <v>3180</v>
      </c>
      <c r="B2911" s="9" t="s">
        <v>3146</v>
      </c>
      <c r="C2911" s="9" t="s">
        <v>3147</v>
      </c>
      <c r="D2911" s="9" t="s">
        <v>2971</v>
      </c>
      <c r="E2911" s="9" t="s">
        <v>1660</v>
      </c>
      <c r="F2911" s="9" t="s">
        <v>209</v>
      </c>
      <c r="G2911" s="9" t="s">
        <v>221</v>
      </c>
      <c r="H2911" s="9" t="n">
        <v>2040</v>
      </c>
      <c r="I2911" s="29" t="n">
        <v>2.5</v>
      </c>
      <c r="J2911" s="9" t="n">
        <v>1</v>
      </c>
      <c r="K2911" s="30"/>
      <c r="L2911" s="30"/>
      <c r="M2911" s="30"/>
      <c r="N2911" s="30"/>
      <c r="O2911" s="30"/>
      <c r="P2911" s="30"/>
      <c r="Q2911" s="30"/>
      <c r="R2911" s="30"/>
      <c r="S2911" s="30"/>
      <c r="T2911" s="30"/>
      <c r="U2911" s="21" t="str">
        <f aca="false">IF(COUNT(K2911:T2911)=0,"SOURCE EMPTY / INDUSTRIAL ONLY",IF(MIN(K2911:T2911)=1,"SERVICE READY","HOLD"))</f>
        <v>SOURCE EMPTY / INDUSTRIAL ONLY</v>
      </c>
      <c r="V2911" s="9" t="n">
        <f aca="false">IF(U2911="SERVICE READY",1,0)</f>
        <v>0</v>
      </c>
      <c r="W2911" s="6"/>
      <c r="X2911" s="6"/>
      <c r="Y2911" s="6"/>
      <c r="Z2911" s="6"/>
    </row>
    <row r="2912" customFormat="false" ht="15" hidden="false" customHeight="false" outlineLevel="0" collapsed="false">
      <c r="A2912" s="9" t="s">
        <v>3181</v>
      </c>
      <c r="B2912" s="9" t="s">
        <v>3146</v>
      </c>
      <c r="C2912" s="9" t="s">
        <v>3147</v>
      </c>
      <c r="D2912" s="9" t="s">
        <v>2971</v>
      </c>
      <c r="E2912" s="9" t="s">
        <v>1660</v>
      </c>
      <c r="F2912" s="9" t="s">
        <v>211</v>
      </c>
      <c r="G2912" s="9" t="s">
        <v>221</v>
      </c>
      <c r="H2912" s="9" t="n">
        <v>2040</v>
      </c>
      <c r="I2912" s="29" t="n">
        <v>2.5</v>
      </c>
      <c r="J2912" s="9" t="n">
        <v>1</v>
      </c>
      <c r="K2912" s="30"/>
      <c r="L2912" s="30"/>
      <c r="M2912" s="30"/>
      <c r="N2912" s="30"/>
      <c r="O2912" s="30"/>
      <c r="P2912" s="30"/>
      <c r="Q2912" s="30"/>
      <c r="R2912" s="30"/>
      <c r="S2912" s="30"/>
      <c r="T2912" s="30"/>
      <c r="U2912" s="21" t="str">
        <f aca="false">IF(COUNT(K2912:T2912)=0,"SOURCE EMPTY / INDUSTRIAL ONLY",IF(MIN(K2912:T2912)=1,"SERVICE READY","HOLD"))</f>
        <v>SOURCE EMPTY / INDUSTRIAL ONLY</v>
      </c>
      <c r="V2912" s="9" t="n">
        <f aca="false">IF(U2912="SERVICE READY",1,0)</f>
        <v>0</v>
      </c>
      <c r="W2912" s="6"/>
      <c r="X2912" s="6"/>
      <c r="Y2912" s="6"/>
      <c r="Z2912" s="6"/>
    </row>
    <row r="2913" customFormat="false" ht="15" hidden="false" customHeight="false" outlineLevel="0" collapsed="false">
      <c r="A2913" s="9" t="s">
        <v>3182</v>
      </c>
      <c r="B2913" s="9" t="s">
        <v>3146</v>
      </c>
      <c r="C2913" s="9" t="s">
        <v>3147</v>
      </c>
      <c r="D2913" s="9" t="s">
        <v>2971</v>
      </c>
      <c r="E2913" s="9" t="s">
        <v>1660</v>
      </c>
      <c r="F2913" s="9" t="s">
        <v>197</v>
      </c>
      <c r="G2913" s="9" t="s">
        <v>221</v>
      </c>
      <c r="H2913" s="9" t="n">
        <v>2040</v>
      </c>
      <c r="I2913" s="29" t="n">
        <v>2.5</v>
      </c>
      <c r="J2913" s="9" t="n">
        <v>1</v>
      </c>
      <c r="K2913" s="30"/>
      <c r="L2913" s="30"/>
      <c r="M2913" s="30"/>
      <c r="N2913" s="30"/>
      <c r="O2913" s="30"/>
      <c r="P2913" s="30"/>
      <c r="Q2913" s="30"/>
      <c r="R2913" s="30"/>
      <c r="S2913" s="30"/>
      <c r="T2913" s="30"/>
      <c r="U2913" s="21" t="str">
        <f aca="false">IF(COUNT(K2913:T2913)=0,"SOURCE EMPTY / INDUSTRIAL ONLY",IF(MIN(K2913:T2913)=1,"SERVICE READY","HOLD"))</f>
        <v>SOURCE EMPTY / INDUSTRIAL ONLY</v>
      </c>
      <c r="V2913" s="9" t="n">
        <f aca="false">IF(U2913="SERVICE READY",1,0)</f>
        <v>0</v>
      </c>
      <c r="W2913" s="6"/>
      <c r="X2913" s="6"/>
      <c r="Y2913" s="6"/>
      <c r="Z2913" s="6"/>
    </row>
    <row r="2914" customFormat="false" ht="15" hidden="false" customHeight="false" outlineLevel="0" collapsed="false">
      <c r="A2914" s="9" t="s">
        <v>3183</v>
      </c>
      <c r="B2914" s="9" t="s">
        <v>3146</v>
      </c>
      <c r="C2914" s="9" t="s">
        <v>3147</v>
      </c>
      <c r="D2914" s="9" t="s">
        <v>2971</v>
      </c>
      <c r="E2914" s="9" t="s">
        <v>1660</v>
      </c>
      <c r="F2914" s="9" t="s">
        <v>200</v>
      </c>
      <c r="G2914" s="9" t="s">
        <v>221</v>
      </c>
      <c r="H2914" s="9" t="n">
        <v>2040</v>
      </c>
      <c r="I2914" s="29" t="n">
        <v>2.5</v>
      </c>
      <c r="J2914" s="9" t="n">
        <v>1</v>
      </c>
      <c r="K2914" s="30"/>
      <c r="L2914" s="30"/>
      <c r="M2914" s="30"/>
      <c r="N2914" s="30"/>
      <c r="O2914" s="30"/>
      <c r="P2914" s="30"/>
      <c r="Q2914" s="30"/>
      <c r="R2914" s="30"/>
      <c r="S2914" s="30"/>
      <c r="T2914" s="30"/>
      <c r="U2914" s="21" t="str">
        <f aca="false">IF(COUNT(K2914:T2914)=0,"SOURCE EMPTY / INDUSTRIAL ONLY",IF(MIN(K2914:T2914)=1,"SERVICE READY","HOLD"))</f>
        <v>SOURCE EMPTY / INDUSTRIAL ONLY</v>
      </c>
      <c r="V2914" s="9" t="n">
        <f aca="false">IF(U2914="SERVICE READY",1,0)</f>
        <v>0</v>
      </c>
      <c r="W2914" s="6"/>
      <c r="X2914" s="6"/>
      <c r="Y2914" s="6"/>
      <c r="Z2914" s="6"/>
    </row>
    <row r="2915" customFormat="false" ht="15" hidden="false" customHeight="false" outlineLevel="0" collapsed="false">
      <c r="A2915" s="9" t="s">
        <v>3184</v>
      </c>
      <c r="B2915" s="9" t="s">
        <v>3146</v>
      </c>
      <c r="C2915" s="9" t="s">
        <v>3147</v>
      </c>
      <c r="D2915" s="9" t="s">
        <v>2971</v>
      </c>
      <c r="E2915" s="9" t="s">
        <v>1660</v>
      </c>
      <c r="F2915" s="9" t="s">
        <v>203</v>
      </c>
      <c r="G2915" s="9" t="s">
        <v>221</v>
      </c>
      <c r="H2915" s="9" t="n">
        <v>2040</v>
      </c>
      <c r="I2915" s="29" t="n">
        <v>2.5</v>
      </c>
      <c r="J2915" s="9" t="n">
        <v>1</v>
      </c>
      <c r="K2915" s="30"/>
      <c r="L2915" s="30"/>
      <c r="M2915" s="30"/>
      <c r="N2915" s="30"/>
      <c r="O2915" s="30"/>
      <c r="P2915" s="30"/>
      <c r="Q2915" s="30"/>
      <c r="R2915" s="30"/>
      <c r="S2915" s="30"/>
      <c r="T2915" s="30"/>
      <c r="U2915" s="21" t="str">
        <f aca="false">IF(COUNT(K2915:T2915)=0,"SOURCE EMPTY / INDUSTRIAL ONLY",IF(MIN(K2915:T2915)=1,"SERVICE READY","HOLD"))</f>
        <v>SOURCE EMPTY / INDUSTRIAL ONLY</v>
      </c>
      <c r="V2915" s="9" t="n">
        <f aca="false">IF(U2915="SERVICE READY",1,0)</f>
        <v>0</v>
      </c>
      <c r="W2915" s="6"/>
      <c r="X2915" s="6"/>
      <c r="Y2915" s="6"/>
      <c r="Z2915" s="6"/>
    </row>
    <row r="2916" customFormat="false" ht="15" hidden="false" customHeight="false" outlineLevel="0" collapsed="false">
      <c r="A2916" s="9" t="s">
        <v>3185</v>
      </c>
      <c r="B2916" s="9" t="s">
        <v>3146</v>
      </c>
      <c r="C2916" s="9" t="s">
        <v>3147</v>
      </c>
      <c r="D2916" s="9" t="s">
        <v>2971</v>
      </c>
      <c r="E2916" s="9" t="s">
        <v>1660</v>
      </c>
      <c r="F2916" s="9" t="s">
        <v>205</v>
      </c>
      <c r="G2916" s="9" t="s">
        <v>221</v>
      </c>
      <c r="H2916" s="9" t="n">
        <v>2040</v>
      </c>
      <c r="I2916" s="29" t="n">
        <v>2.5</v>
      </c>
      <c r="J2916" s="9" t="n">
        <v>1</v>
      </c>
      <c r="K2916" s="30"/>
      <c r="L2916" s="30"/>
      <c r="M2916" s="30"/>
      <c r="N2916" s="30"/>
      <c r="O2916" s="30"/>
      <c r="P2916" s="30"/>
      <c r="Q2916" s="30"/>
      <c r="R2916" s="30"/>
      <c r="S2916" s="30"/>
      <c r="T2916" s="30"/>
      <c r="U2916" s="21" t="str">
        <f aca="false">IF(COUNT(K2916:T2916)=0,"SOURCE EMPTY / INDUSTRIAL ONLY",IF(MIN(K2916:T2916)=1,"SERVICE READY","HOLD"))</f>
        <v>SOURCE EMPTY / INDUSTRIAL ONLY</v>
      </c>
      <c r="V2916" s="9" t="n">
        <f aca="false">IF(U2916="SERVICE READY",1,0)</f>
        <v>0</v>
      </c>
      <c r="W2916" s="6"/>
      <c r="X2916" s="6"/>
      <c r="Y2916" s="6"/>
      <c r="Z2916" s="6"/>
    </row>
    <row r="2917" customFormat="false" ht="15" hidden="false" customHeight="false" outlineLevel="0" collapsed="false">
      <c r="A2917" s="9" t="s">
        <v>3186</v>
      </c>
      <c r="B2917" s="9" t="s">
        <v>3146</v>
      </c>
      <c r="C2917" s="9" t="s">
        <v>3147</v>
      </c>
      <c r="D2917" s="9" t="s">
        <v>2971</v>
      </c>
      <c r="E2917" s="9" t="s">
        <v>1660</v>
      </c>
      <c r="F2917" s="9" t="s">
        <v>207</v>
      </c>
      <c r="G2917" s="9" t="s">
        <v>221</v>
      </c>
      <c r="H2917" s="9" t="n">
        <v>2040</v>
      </c>
      <c r="I2917" s="29" t="n">
        <v>2.5</v>
      </c>
      <c r="J2917" s="9" t="n">
        <v>1</v>
      </c>
      <c r="K2917" s="30"/>
      <c r="L2917" s="30"/>
      <c r="M2917" s="30"/>
      <c r="N2917" s="30"/>
      <c r="O2917" s="30"/>
      <c r="P2917" s="30"/>
      <c r="Q2917" s="30"/>
      <c r="R2917" s="30"/>
      <c r="S2917" s="30"/>
      <c r="T2917" s="30"/>
      <c r="U2917" s="21" t="str">
        <f aca="false">IF(COUNT(K2917:T2917)=0,"SOURCE EMPTY / INDUSTRIAL ONLY",IF(MIN(K2917:T2917)=1,"SERVICE READY","HOLD"))</f>
        <v>SOURCE EMPTY / INDUSTRIAL ONLY</v>
      </c>
      <c r="V2917" s="9" t="n">
        <f aca="false">IF(U2917="SERVICE READY",1,0)</f>
        <v>0</v>
      </c>
      <c r="W2917" s="6"/>
      <c r="X2917" s="6"/>
      <c r="Y2917" s="6"/>
      <c r="Z2917" s="6"/>
    </row>
    <row r="2918" customFormat="false" ht="15" hidden="false" customHeight="false" outlineLevel="0" collapsed="false">
      <c r="A2918" s="9" t="s">
        <v>3187</v>
      </c>
      <c r="B2918" s="9" t="s">
        <v>3146</v>
      </c>
      <c r="C2918" s="9" t="s">
        <v>3147</v>
      </c>
      <c r="D2918" s="9" t="s">
        <v>2971</v>
      </c>
      <c r="E2918" s="9" t="s">
        <v>1660</v>
      </c>
      <c r="F2918" s="9" t="s">
        <v>209</v>
      </c>
      <c r="G2918" s="9" t="s">
        <v>221</v>
      </c>
      <c r="H2918" s="9" t="n">
        <v>2040</v>
      </c>
      <c r="I2918" s="29" t="n">
        <v>2.5</v>
      </c>
      <c r="J2918" s="9" t="n">
        <v>1</v>
      </c>
      <c r="K2918" s="30"/>
      <c r="L2918" s="30"/>
      <c r="M2918" s="30"/>
      <c r="N2918" s="30"/>
      <c r="O2918" s="30"/>
      <c r="P2918" s="30"/>
      <c r="Q2918" s="30"/>
      <c r="R2918" s="30"/>
      <c r="S2918" s="30"/>
      <c r="T2918" s="30"/>
      <c r="U2918" s="21" t="str">
        <f aca="false">IF(COUNT(K2918:T2918)=0,"SOURCE EMPTY / INDUSTRIAL ONLY",IF(MIN(K2918:T2918)=1,"SERVICE READY","HOLD"))</f>
        <v>SOURCE EMPTY / INDUSTRIAL ONLY</v>
      </c>
      <c r="V2918" s="9" t="n">
        <f aca="false">IF(U2918="SERVICE READY",1,0)</f>
        <v>0</v>
      </c>
      <c r="W2918" s="6"/>
      <c r="X2918" s="6"/>
      <c r="Y2918" s="6"/>
      <c r="Z2918" s="6"/>
    </row>
    <row r="2919" customFormat="false" ht="15" hidden="false" customHeight="false" outlineLevel="0" collapsed="false">
      <c r="A2919" s="9" t="s">
        <v>3188</v>
      </c>
      <c r="B2919" s="9" t="s">
        <v>3146</v>
      </c>
      <c r="C2919" s="9" t="s">
        <v>3147</v>
      </c>
      <c r="D2919" s="9" t="s">
        <v>2971</v>
      </c>
      <c r="E2919" s="9" t="s">
        <v>1660</v>
      </c>
      <c r="F2919" s="9" t="s">
        <v>211</v>
      </c>
      <c r="G2919" s="9" t="s">
        <v>221</v>
      </c>
      <c r="H2919" s="9" t="n">
        <v>2040</v>
      </c>
      <c r="I2919" s="29" t="n">
        <v>2.5</v>
      </c>
      <c r="J2919" s="9" t="n">
        <v>1</v>
      </c>
      <c r="K2919" s="30"/>
      <c r="L2919" s="30"/>
      <c r="M2919" s="30"/>
      <c r="N2919" s="30"/>
      <c r="O2919" s="30"/>
      <c r="P2919" s="30"/>
      <c r="Q2919" s="30"/>
      <c r="R2919" s="30"/>
      <c r="S2919" s="30"/>
      <c r="T2919" s="30"/>
      <c r="U2919" s="21" t="str">
        <f aca="false">IF(COUNT(K2919:T2919)=0,"SOURCE EMPTY / INDUSTRIAL ONLY",IF(MIN(K2919:T2919)=1,"SERVICE READY","HOLD"))</f>
        <v>SOURCE EMPTY / INDUSTRIAL ONLY</v>
      </c>
      <c r="V2919" s="9" t="n">
        <f aca="false">IF(U2919="SERVICE READY",1,0)</f>
        <v>0</v>
      </c>
      <c r="W2919" s="6"/>
      <c r="X2919" s="6"/>
      <c r="Y2919" s="6"/>
      <c r="Z2919" s="6"/>
    </row>
    <row r="2920" customFormat="false" ht="15" hidden="false" customHeight="false" outlineLevel="0" collapsed="false">
      <c r="A2920" s="9" t="s">
        <v>3189</v>
      </c>
      <c r="B2920" s="9" t="s">
        <v>3146</v>
      </c>
      <c r="C2920" s="9" t="s">
        <v>3147</v>
      </c>
      <c r="D2920" s="9" t="s">
        <v>2971</v>
      </c>
      <c r="E2920" s="9" t="s">
        <v>1660</v>
      </c>
      <c r="F2920" s="9" t="s">
        <v>197</v>
      </c>
      <c r="G2920" s="9" t="s">
        <v>221</v>
      </c>
      <c r="H2920" s="9" t="n">
        <v>2040</v>
      </c>
      <c r="I2920" s="29" t="n">
        <v>2.5</v>
      </c>
      <c r="J2920" s="9" t="n">
        <v>1</v>
      </c>
      <c r="K2920" s="30"/>
      <c r="L2920" s="30"/>
      <c r="M2920" s="30"/>
      <c r="N2920" s="30"/>
      <c r="O2920" s="30"/>
      <c r="P2920" s="30"/>
      <c r="Q2920" s="30"/>
      <c r="R2920" s="30"/>
      <c r="S2920" s="30"/>
      <c r="T2920" s="30"/>
      <c r="U2920" s="21" t="str">
        <f aca="false">IF(COUNT(K2920:T2920)=0,"SOURCE EMPTY / INDUSTRIAL ONLY",IF(MIN(K2920:T2920)=1,"SERVICE READY","HOLD"))</f>
        <v>SOURCE EMPTY / INDUSTRIAL ONLY</v>
      </c>
      <c r="V2920" s="9" t="n">
        <f aca="false">IF(U2920="SERVICE READY",1,0)</f>
        <v>0</v>
      </c>
      <c r="W2920" s="6"/>
      <c r="X2920" s="6"/>
      <c r="Y2920" s="6"/>
      <c r="Z2920" s="6"/>
    </row>
    <row r="2921" customFormat="false" ht="15" hidden="false" customHeight="false" outlineLevel="0" collapsed="false">
      <c r="A2921" s="9" t="s">
        <v>3190</v>
      </c>
      <c r="B2921" s="9" t="s">
        <v>3146</v>
      </c>
      <c r="C2921" s="9" t="s">
        <v>3147</v>
      </c>
      <c r="D2921" s="9" t="s">
        <v>2971</v>
      </c>
      <c r="E2921" s="9" t="s">
        <v>1660</v>
      </c>
      <c r="F2921" s="9" t="s">
        <v>200</v>
      </c>
      <c r="G2921" s="9" t="s">
        <v>221</v>
      </c>
      <c r="H2921" s="9" t="n">
        <v>2040</v>
      </c>
      <c r="I2921" s="29" t="n">
        <v>2.5</v>
      </c>
      <c r="J2921" s="9" t="n">
        <v>1</v>
      </c>
      <c r="K2921" s="30"/>
      <c r="L2921" s="30"/>
      <c r="M2921" s="30"/>
      <c r="N2921" s="30"/>
      <c r="O2921" s="30"/>
      <c r="P2921" s="30"/>
      <c r="Q2921" s="30"/>
      <c r="R2921" s="30"/>
      <c r="S2921" s="30"/>
      <c r="T2921" s="30"/>
      <c r="U2921" s="21" t="str">
        <f aca="false">IF(COUNT(K2921:T2921)=0,"SOURCE EMPTY / INDUSTRIAL ONLY",IF(MIN(K2921:T2921)=1,"SERVICE READY","HOLD"))</f>
        <v>SOURCE EMPTY / INDUSTRIAL ONLY</v>
      </c>
      <c r="V2921" s="9" t="n">
        <f aca="false">IF(U2921="SERVICE READY",1,0)</f>
        <v>0</v>
      </c>
      <c r="W2921" s="6"/>
      <c r="X2921" s="6"/>
      <c r="Y2921" s="6"/>
      <c r="Z2921" s="6"/>
    </row>
    <row r="2922" customFormat="false" ht="15" hidden="false" customHeight="false" outlineLevel="0" collapsed="false">
      <c r="A2922" s="9" t="s">
        <v>3191</v>
      </c>
      <c r="B2922" s="9" t="s">
        <v>3146</v>
      </c>
      <c r="C2922" s="9" t="s">
        <v>3147</v>
      </c>
      <c r="D2922" s="9" t="s">
        <v>2971</v>
      </c>
      <c r="E2922" s="9" t="s">
        <v>1660</v>
      </c>
      <c r="F2922" s="9" t="s">
        <v>203</v>
      </c>
      <c r="G2922" s="9" t="s">
        <v>221</v>
      </c>
      <c r="H2922" s="9" t="n">
        <v>2040</v>
      </c>
      <c r="I2922" s="29" t="n">
        <v>2.5</v>
      </c>
      <c r="J2922" s="9" t="n">
        <v>1</v>
      </c>
      <c r="K2922" s="30"/>
      <c r="L2922" s="30"/>
      <c r="M2922" s="30"/>
      <c r="N2922" s="30"/>
      <c r="O2922" s="30"/>
      <c r="P2922" s="30"/>
      <c r="Q2922" s="30"/>
      <c r="R2922" s="30"/>
      <c r="S2922" s="30"/>
      <c r="T2922" s="30"/>
      <c r="U2922" s="21" t="str">
        <f aca="false">IF(COUNT(K2922:T2922)=0,"SOURCE EMPTY / INDUSTRIAL ONLY",IF(MIN(K2922:T2922)=1,"SERVICE READY","HOLD"))</f>
        <v>SOURCE EMPTY / INDUSTRIAL ONLY</v>
      </c>
      <c r="V2922" s="9" t="n">
        <f aca="false">IF(U2922="SERVICE READY",1,0)</f>
        <v>0</v>
      </c>
      <c r="W2922" s="6"/>
      <c r="X2922" s="6"/>
      <c r="Y2922" s="6"/>
      <c r="Z2922" s="6"/>
    </row>
    <row r="2923" customFormat="false" ht="15" hidden="false" customHeight="false" outlineLevel="0" collapsed="false">
      <c r="A2923" s="9" t="s">
        <v>3192</v>
      </c>
      <c r="B2923" s="9" t="s">
        <v>3146</v>
      </c>
      <c r="C2923" s="9" t="s">
        <v>3147</v>
      </c>
      <c r="D2923" s="9" t="s">
        <v>2971</v>
      </c>
      <c r="E2923" s="9" t="s">
        <v>1660</v>
      </c>
      <c r="F2923" s="9" t="s">
        <v>205</v>
      </c>
      <c r="G2923" s="9" t="s">
        <v>221</v>
      </c>
      <c r="H2923" s="9" t="n">
        <v>2040</v>
      </c>
      <c r="I2923" s="29" t="n">
        <v>2.5</v>
      </c>
      <c r="J2923" s="9" t="n">
        <v>1</v>
      </c>
      <c r="K2923" s="30"/>
      <c r="L2923" s="30"/>
      <c r="M2923" s="30"/>
      <c r="N2923" s="30"/>
      <c r="O2923" s="30"/>
      <c r="P2923" s="30"/>
      <c r="Q2923" s="30"/>
      <c r="R2923" s="30"/>
      <c r="S2923" s="30"/>
      <c r="T2923" s="30"/>
      <c r="U2923" s="21" t="str">
        <f aca="false">IF(COUNT(K2923:T2923)=0,"SOURCE EMPTY / INDUSTRIAL ONLY",IF(MIN(K2923:T2923)=1,"SERVICE READY","HOLD"))</f>
        <v>SOURCE EMPTY / INDUSTRIAL ONLY</v>
      </c>
      <c r="V2923" s="9" t="n">
        <f aca="false">IF(U2923="SERVICE READY",1,0)</f>
        <v>0</v>
      </c>
      <c r="W2923" s="6"/>
      <c r="X2923" s="6"/>
      <c r="Y2923" s="6"/>
      <c r="Z2923" s="6"/>
    </row>
    <row r="2924" customFormat="false" ht="15" hidden="false" customHeight="false" outlineLevel="0" collapsed="false">
      <c r="A2924" s="9" t="s">
        <v>3193</v>
      </c>
      <c r="B2924" s="9" t="s">
        <v>3146</v>
      </c>
      <c r="C2924" s="9" t="s">
        <v>3147</v>
      </c>
      <c r="D2924" s="9" t="s">
        <v>2971</v>
      </c>
      <c r="E2924" s="9" t="s">
        <v>1660</v>
      </c>
      <c r="F2924" s="9" t="s">
        <v>207</v>
      </c>
      <c r="G2924" s="9" t="s">
        <v>221</v>
      </c>
      <c r="H2924" s="9" t="n">
        <v>2040</v>
      </c>
      <c r="I2924" s="29" t="n">
        <v>2.5</v>
      </c>
      <c r="J2924" s="9" t="n">
        <v>1</v>
      </c>
      <c r="K2924" s="30"/>
      <c r="L2924" s="30"/>
      <c r="M2924" s="30"/>
      <c r="N2924" s="30"/>
      <c r="O2924" s="30"/>
      <c r="P2924" s="30"/>
      <c r="Q2924" s="30"/>
      <c r="R2924" s="30"/>
      <c r="S2924" s="30"/>
      <c r="T2924" s="30"/>
      <c r="U2924" s="21" t="str">
        <f aca="false">IF(COUNT(K2924:T2924)=0,"SOURCE EMPTY / INDUSTRIAL ONLY",IF(MIN(K2924:T2924)=1,"SERVICE READY","HOLD"))</f>
        <v>SOURCE EMPTY / INDUSTRIAL ONLY</v>
      </c>
      <c r="V2924" s="9" t="n">
        <f aca="false">IF(U2924="SERVICE READY",1,0)</f>
        <v>0</v>
      </c>
      <c r="W2924" s="6"/>
      <c r="X2924" s="6"/>
      <c r="Y2924" s="6"/>
      <c r="Z2924" s="6"/>
    </row>
    <row r="2925" customFormat="false" ht="15" hidden="false" customHeight="false" outlineLevel="0" collapsed="false">
      <c r="A2925" s="9" t="s">
        <v>3194</v>
      </c>
      <c r="B2925" s="9" t="s">
        <v>3146</v>
      </c>
      <c r="C2925" s="9" t="s">
        <v>3147</v>
      </c>
      <c r="D2925" s="9" t="s">
        <v>2971</v>
      </c>
      <c r="E2925" s="9" t="s">
        <v>1660</v>
      </c>
      <c r="F2925" s="9" t="s">
        <v>209</v>
      </c>
      <c r="G2925" s="9" t="s">
        <v>221</v>
      </c>
      <c r="H2925" s="9" t="n">
        <v>2040</v>
      </c>
      <c r="I2925" s="29" t="n">
        <v>2.5</v>
      </c>
      <c r="J2925" s="9" t="n">
        <v>1</v>
      </c>
      <c r="K2925" s="30"/>
      <c r="L2925" s="30"/>
      <c r="M2925" s="30"/>
      <c r="N2925" s="30"/>
      <c r="O2925" s="30"/>
      <c r="P2925" s="30"/>
      <c r="Q2925" s="30"/>
      <c r="R2925" s="30"/>
      <c r="S2925" s="30"/>
      <c r="T2925" s="30"/>
      <c r="U2925" s="21" t="str">
        <f aca="false">IF(COUNT(K2925:T2925)=0,"SOURCE EMPTY / INDUSTRIAL ONLY",IF(MIN(K2925:T2925)=1,"SERVICE READY","HOLD"))</f>
        <v>SOURCE EMPTY / INDUSTRIAL ONLY</v>
      </c>
      <c r="V2925" s="9" t="n">
        <f aca="false">IF(U2925="SERVICE READY",1,0)</f>
        <v>0</v>
      </c>
      <c r="W2925" s="6"/>
      <c r="X2925" s="6"/>
      <c r="Y2925" s="6"/>
      <c r="Z2925" s="6"/>
    </row>
    <row r="2926" customFormat="false" ht="15" hidden="false" customHeight="false" outlineLevel="0" collapsed="false">
      <c r="A2926" s="9" t="s">
        <v>3195</v>
      </c>
      <c r="B2926" s="9" t="s">
        <v>3146</v>
      </c>
      <c r="C2926" s="9" t="s">
        <v>3147</v>
      </c>
      <c r="D2926" s="9" t="s">
        <v>2971</v>
      </c>
      <c r="E2926" s="9" t="s">
        <v>1660</v>
      </c>
      <c r="F2926" s="9" t="s">
        <v>211</v>
      </c>
      <c r="G2926" s="9" t="s">
        <v>221</v>
      </c>
      <c r="H2926" s="9" t="n">
        <v>2040</v>
      </c>
      <c r="I2926" s="29" t="n">
        <v>2.5</v>
      </c>
      <c r="J2926" s="9" t="n">
        <v>1</v>
      </c>
      <c r="K2926" s="30"/>
      <c r="L2926" s="30"/>
      <c r="M2926" s="30"/>
      <c r="N2926" s="30"/>
      <c r="O2926" s="30"/>
      <c r="P2926" s="30"/>
      <c r="Q2926" s="30"/>
      <c r="R2926" s="30"/>
      <c r="S2926" s="30"/>
      <c r="T2926" s="30"/>
      <c r="U2926" s="21" t="str">
        <f aca="false">IF(COUNT(K2926:T2926)=0,"SOURCE EMPTY / INDUSTRIAL ONLY",IF(MIN(K2926:T2926)=1,"SERVICE READY","HOLD"))</f>
        <v>SOURCE EMPTY / INDUSTRIAL ONLY</v>
      </c>
      <c r="V2926" s="9" t="n">
        <f aca="false">IF(U2926="SERVICE READY",1,0)</f>
        <v>0</v>
      </c>
      <c r="W2926" s="6"/>
      <c r="X2926" s="6"/>
      <c r="Y2926" s="6"/>
      <c r="Z2926" s="6"/>
    </row>
    <row r="2927" customFormat="false" ht="15" hidden="false" customHeight="false" outlineLevel="0" collapsed="false">
      <c r="A2927" s="9" t="s">
        <v>3196</v>
      </c>
      <c r="B2927" s="9" t="s">
        <v>3146</v>
      </c>
      <c r="C2927" s="9" t="s">
        <v>3147</v>
      </c>
      <c r="D2927" s="9" t="s">
        <v>2971</v>
      </c>
      <c r="E2927" s="9" t="s">
        <v>1660</v>
      </c>
      <c r="F2927" s="9" t="s">
        <v>197</v>
      </c>
      <c r="G2927" s="9" t="s">
        <v>221</v>
      </c>
      <c r="H2927" s="9" t="n">
        <v>2040</v>
      </c>
      <c r="I2927" s="29" t="n">
        <v>2.5</v>
      </c>
      <c r="J2927" s="9" t="n">
        <v>1</v>
      </c>
      <c r="K2927" s="30"/>
      <c r="L2927" s="30"/>
      <c r="M2927" s="30"/>
      <c r="N2927" s="30"/>
      <c r="O2927" s="30"/>
      <c r="P2927" s="30"/>
      <c r="Q2927" s="30"/>
      <c r="R2927" s="30"/>
      <c r="S2927" s="30"/>
      <c r="T2927" s="30"/>
      <c r="U2927" s="21" t="str">
        <f aca="false">IF(COUNT(K2927:T2927)=0,"SOURCE EMPTY / INDUSTRIAL ONLY",IF(MIN(K2927:T2927)=1,"SERVICE READY","HOLD"))</f>
        <v>SOURCE EMPTY / INDUSTRIAL ONLY</v>
      </c>
      <c r="V2927" s="9" t="n">
        <f aca="false">IF(U2927="SERVICE READY",1,0)</f>
        <v>0</v>
      </c>
      <c r="W2927" s="6"/>
      <c r="X2927" s="6"/>
      <c r="Y2927" s="6"/>
      <c r="Z2927" s="6"/>
    </row>
    <row r="2928" customFormat="false" ht="15" hidden="false" customHeight="false" outlineLevel="0" collapsed="false">
      <c r="A2928" s="9" t="s">
        <v>3197</v>
      </c>
      <c r="B2928" s="9" t="s">
        <v>3146</v>
      </c>
      <c r="C2928" s="9" t="s">
        <v>3147</v>
      </c>
      <c r="D2928" s="9" t="s">
        <v>2971</v>
      </c>
      <c r="E2928" s="9" t="s">
        <v>1660</v>
      </c>
      <c r="F2928" s="9" t="s">
        <v>200</v>
      </c>
      <c r="G2928" s="9" t="s">
        <v>221</v>
      </c>
      <c r="H2928" s="9" t="n">
        <v>2040</v>
      </c>
      <c r="I2928" s="29" t="n">
        <v>2.5</v>
      </c>
      <c r="J2928" s="9" t="n">
        <v>1</v>
      </c>
      <c r="K2928" s="30"/>
      <c r="L2928" s="30"/>
      <c r="M2928" s="30"/>
      <c r="N2928" s="30"/>
      <c r="O2928" s="30"/>
      <c r="P2928" s="30"/>
      <c r="Q2928" s="30"/>
      <c r="R2928" s="30"/>
      <c r="S2928" s="30"/>
      <c r="T2928" s="30"/>
      <c r="U2928" s="21" t="str">
        <f aca="false">IF(COUNT(K2928:T2928)=0,"SOURCE EMPTY / INDUSTRIAL ONLY",IF(MIN(K2928:T2928)=1,"SERVICE READY","HOLD"))</f>
        <v>SOURCE EMPTY / INDUSTRIAL ONLY</v>
      </c>
      <c r="V2928" s="9" t="n">
        <f aca="false">IF(U2928="SERVICE READY",1,0)</f>
        <v>0</v>
      </c>
      <c r="W2928" s="6"/>
      <c r="X2928" s="6"/>
      <c r="Y2928" s="6"/>
      <c r="Z2928" s="6"/>
    </row>
    <row r="2929" customFormat="false" ht="15" hidden="false" customHeight="false" outlineLevel="0" collapsed="false">
      <c r="A2929" s="9" t="s">
        <v>3198</v>
      </c>
      <c r="B2929" s="9" t="s">
        <v>3146</v>
      </c>
      <c r="C2929" s="9" t="s">
        <v>3147</v>
      </c>
      <c r="D2929" s="9" t="s">
        <v>2971</v>
      </c>
      <c r="E2929" s="9" t="s">
        <v>1660</v>
      </c>
      <c r="F2929" s="9" t="s">
        <v>203</v>
      </c>
      <c r="G2929" s="9" t="s">
        <v>221</v>
      </c>
      <c r="H2929" s="9" t="n">
        <v>2040</v>
      </c>
      <c r="I2929" s="29" t="n">
        <v>2.5</v>
      </c>
      <c r="J2929" s="9" t="n">
        <v>1</v>
      </c>
      <c r="K2929" s="30"/>
      <c r="L2929" s="30"/>
      <c r="M2929" s="30"/>
      <c r="N2929" s="30"/>
      <c r="O2929" s="30"/>
      <c r="P2929" s="30"/>
      <c r="Q2929" s="30"/>
      <c r="R2929" s="30"/>
      <c r="S2929" s="30"/>
      <c r="T2929" s="30"/>
      <c r="U2929" s="21" t="str">
        <f aca="false">IF(COUNT(K2929:T2929)=0,"SOURCE EMPTY / INDUSTRIAL ONLY",IF(MIN(K2929:T2929)=1,"SERVICE READY","HOLD"))</f>
        <v>SOURCE EMPTY / INDUSTRIAL ONLY</v>
      </c>
      <c r="V2929" s="9" t="n">
        <f aca="false">IF(U2929="SERVICE READY",1,0)</f>
        <v>0</v>
      </c>
      <c r="W2929" s="6"/>
      <c r="X2929" s="6"/>
      <c r="Y2929" s="6"/>
      <c r="Z2929" s="6"/>
    </row>
    <row r="2930" customFormat="false" ht="15" hidden="false" customHeight="false" outlineLevel="0" collapsed="false">
      <c r="A2930" s="9" t="s">
        <v>3199</v>
      </c>
      <c r="B2930" s="9" t="s">
        <v>3146</v>
      </c>
      <c r="C2930" s="9" t="s">
        <v>3147</v>
      </c>
      <c r="D2930" s="9" t="s">
        <v>2971</v>
      </c>
      <c r="E2930" s="9" t="s">
        <v>1660</v>
      </c>
      <c r="F2930" s="9" t="s">
        <v>205</v>
      </c>
      <c r="G2930" s="9" t="s">
        <v>221</v>
      </c>
      <c r="H2930" s="9" t="n">
        <v>2040</v>
      </c>
      <c r="I2930" s="29" t="n">
        <v>2.5</v>
      </c>
      <c r="J2930" s="9" t="n">
        <v>1</v>
      </c>
      <c r="K2930" s="30"/>
      <c r="L2930" s="30"/>
      <c r="M2930" s="30"/>
      <c r="N2930" s="30"/>
      <c r="O2930" s="30"/>
      <c r="P2930" s="30"/>
      <c r="Q2930" s="30"/>
      <c r="R2930" s="30"/>
      <c r="S2930" s="30"/>
      <c r="T2930" s="30"/>
      <c r="U2930" s="21" t="str">
        <f aca="false">IF(COUNT(K2930:T2930)=0,"SOURCE EMPTY / INDUSTRIAL ONLY",IF(MIN(K2930:T2930)=1,"SERVICE READY","HOLD"))</f>
        <v>SOURCE EMPTY / INDUSTRIAL ONLY</v>
      </c>
      <c r="V2930" s="9" t="n">
        <f aca="false">IF(U2930="SERVICE READY",1,0)</f>
        <v>0</v>
      </c>
      <c r="W2930" s="6"/>
      <c r="X2930" s="6"/>
      <c r="Y2930" s="6"/>
      <c r="Z2930" s="6"/>
    </row>
    <row r="2931" customFormat="false" ht="15" hidden="false" customHeight="false" outlineLevel="0" collapsed="false">
      <c r="A2931" s="9" t="s">
        <v>3200</v>
      </c>
      <c r="B2931" s="9" t="s">
        <v>3146</v>
      </c>
      <c r="C2931" s="9" t="s">
        <v>3147</v>
      </c>
      <c r="D2931" s="9" t="s">
        <v>2971</v>
      </c>
      <c r="E2931" s="9" t="s">
        <v>1660</v>
      </c>
      <c r="F2931" s="9" t="s">
        <v>207</v>
      </c>
      <c r="G2931" s="9" t="s">
        <v>221</v>
      </c>
      <c r="H2931" s="9" t="n">
        <v>2040</v>
      </c>
      <c r="I2931" s="29" t="n">
        <v>2.5</v>
      </c>
      <c r="J2931" s="9" t="n">
        <v>1</v>
      </c>
      <c r="K2931" s="30"/>
      <c r="L2931" s="30"/>
      <c r="M2931" s="30"/>
      <c r="N2931" s="30"/>
      <c r="O2931" s="30"/>
      <c r="P2931" s="30"/>
      <c r="Q2931" s="30"/>
      <c r="R2931" s="30"/>
      <c r="S2931" s="30"/>
      <c r="T2931" s="30"/>
      <c r="U2931" s="21" t="str">
        <f aca="false">IF(COUNT(K2931:T2931)=0,"SOURCE EMPTY / INDUSTRIAL ONLY",IF(MIN(K2931:T2931)=1,"SERVICE READY","HOLD"))</f>
        <v>SOURCE EMPTY / INDUSTRIAL ONLY</v>
      </c>
      <c r="V2931" s="9" t="n">
        <f aca="false">IF(U2931="SERVICE READY",1,0)</f>
        <v>0</v>
      </c>
      <c r="W2931" s="6"/>
      <c r="X2931" s="6"/>
      <c r="Y2931" s="6"/>
      <c r="Z2931" s="6"/>
    </row>
    <row r="2932" customFormat="false" ht="15" hidden="false" customHeight="false" outlineLevel="0" collapsed="false">
      <c r="A2932" s="9" t="s">
        <v>3201</v>
      </c>
      <c r="B2932" s="9" t="s">
        <v>3146</v>
      </c>
      <c r="C2932" s="9" t="s">
        <v>3147</v>
      </c>
      <c r="D2932" s="9" t="s">
        <v>2971</v>
      </c>
      <c r="E2932" s="9" t="s">
        <v>1660</v>
      </c>
      <c r="F2932" s="9" t="s">
        <v>209</v>
      </c>
      <c r="G2932" s="9" t="s">
        <v>221</v>
      </c>
      <c r="H2932" s="9" t="n">
        <v>2040</v>
      </c>
      <c r="I2932" s="29" t="n">
        <v>2.5</v>
      </c>
      <c r="J2932" s="9" t="n">
        <v>1</v>
      </c>
      <c r="K2932" s="30"/>
      <c r="L2932" s="30"/>
      <c r="M2932" s="30"/>
      <c r="N2932" s="30"/>
      <c r="O2932" s="30"/>
      <c r="P2932" s="30"/>
      <c r="Q2932" s="30"/>
      <c r="R2932" s="30"/>
      <c r="S2932" s="30"/>
      <c r="T2932" s="30"/>
      <c r="U2932" s="21" t="str">
        <f aca="false">IF(COUNT(K2932:T2932)=0,"SOURCE EMPTY / INDUSTRIAL ONLY",IF(MIN(K2932:T2932)=1,"SERVICE READY","HOLD"))</f>
        <v>SOURCE EMPTY / INDUSTRIAL ONLY</v>
      </c>
      <c r="V2932" s="9" t="n">
        <f aca="false">IF(U2932="SERVICE READY",1,0)</f>
        <v>0</v>
      </c>
      <c r="W2932" s="6"/>
      <c r="X2932" s="6"/>
      <c r="Y2932" s="6"/>
      <c r="Z2932" s="6"/>
    </row>
    <row r="2933" customFormat="false" ht="15" hidden="false" customHeight="false" outlineLevel="0" collapsed="false">
      <c r="A2933" s="9" t="s">
        <v>3202</v>
      </c>
      <c r="B2933" s="9" t="s">
        <v>3146</v>
      </c>
      <c r="C2933" s="9" t="s">
        <v>3147</v>
      </c>
      <c r="D2933" s="9" t="s">
        <v>2971</v>
      </c>
      <c r="E2933" s="9" t="s">
        <v>1660</v>
      </c>
      <c r="F2933" s="9" t="s">
        <v>211</v>
      </c>
      <c r="G2933" s="9" t="s">
        <v>221</v>
      </c>
      <c r="H2933" s="9" t="n">
        <v>2040</v>
      </c>
      <c r="I2933" s="29" t="n">
        <v>2.5</v>
      </c>
      <c r="J2933" s="9" t="n">
        <v>1</v>
      </c>
      <c r="K2933" s="30"/>
      <c r="L2933" s="30"/>
      <c r="M2933" s="30"/>
      <c r="N2933" s="30"/>
      <c r="O2933" s="30"/>
      <c r="P2933" s="30"/>
      <c r="Q2933" s="30"/>
      <c r="R2933" s="30"/>
      <c r="S2933" s="30"/>
      <c r="T2933" s="30"/>
      <c r="U2933" s="21" t="str">
        <f aca="false">IF(COUNT(K2933:T2933)=0,"SOURCE EMPTY / INDUSTRIAL ONLY",IF(MIN(K2933:T2933)=1,"SERVICE READY","HOLD"))</f>
        <v>SOURCE EMPTY / INDUSTRIAL ONLY</v>
      </c>
      <c r="V2933" s="9" t="n">
        <f aca="false">IF(U2933="SERVICE READY",1,0)</f>
        <v>0</v>
      </c>
      <c r="W2933" s="6"/>
      <c r="X2933" s="6"/>
      <c r="Y2933" s="6"/>
      <c r="Z2933" s="6"/>
    </row>
    <row r="2934" customFormat="false" ht="15" hidden="false" customHeight="false" outlineLevel="0" collapsed="false">
      <c r="A2934" s="9" t="s">
        <v>3203</v>
      </c>
      <c r="B2934" s="9" t="s">
        <v>3146</v>
      </c>
      <c r="C2934" s="9" t="s">
        <v>3147</v>
      </c>
      <c r="D2934" s="9" t="s">
        <v>2971</v>
      </c>
      <c r="E2934" s="9" t="s">
        <v>1660</v>
      </c>
      <c r="F2934" s="9" t="s">
        <v>197</v>
      </c>
      <c r="G2934" s="9" t="s">
        <v>221</v>
      </c>
      <c r="H2934" s="9" t="n">
        <v>2040</v>
      </c>
      <c r="I2934" s="29" t="n">
        <v>2.5</v>
      </c>
      <c r="J2934" s="9" t="n">
        <v>1</v>
      </c>
      <c r="K2934" s="30"/>
      <c r="L2934" s="30"/>
      <c r="M2934" s="30"/>
      <c r="N2934" s="30"/>
      <c r="O2934" s="30"/>
      <c r="P2934" s="30"/>
      <c r="Q2934" s="30"/>
      <c r="R2934" s="30"/>
      <c r="S2934" s="30"/>
      <c r="T2934" s="30"/>
      <c r="U2934" s="21" t="str">
        <f aca="false">IF(COUNT(K2934:T2934)=0,"SOURCE EMPTY / INDUSTRIAL ONLY",IF(MIN(K2934:T2934)=1,"SERVICE READY","HOLD"))</f>
        <v>SOURCE EMPTY / INDUSTRIAL ONLY</v>
      </c>
      <c r="V2934" s="9" t="n">
        <f aca="false">IF(U2934="SERVICE READY",1,0)</f>
        <v>0</v>
      </c>
      <c r="W2934" s="6"/>
      <c r="X2934" s="6"/>
      <c r="Y2934" s="6"/>
      <c r="Z2934" s="6"/>
    </row>
    <row r="2935" customFormat="false" ht="15" hidden="false" customHeight="false" outlineLevel="0" collapsed="false">
      <c r="A2935" s="9" t="s">
        <v>3204</v>
      </c>
      <c r="B2935" s="9" t="s">
        <v>3146</v>
      </c>
      <c r="C2935" s="9" t="s">
        <v>3147</v>
      </c>
      <c r="D2935" s="9" t="s">
        <v>2971</v>
      </c>
      <c r="E2935" s="9" t="s">
        <v>1660</v>
      </c>
      <c r="F2935" s="9" t="s">
        <v>200</v>
      </c>
      <c r="G2935" s="9" t="s">
        <v>221</v>
      </c>
      <c r="H2935" s="9" t="n">
        <v>2040</v>
      </c>
      <c r="I2935" s="29" t="n">
        <v>2.5</v>
      </c>
      <c r="J2935" s="9" t="n">
        <v>1</v>
      </c>
      <c r="K2935" s="30"/>
      <c r="L2935" s="30"/>
      <c r="M2935" s="30"/>
      <c r="N2935" s="30"/>
      <c r="O2935" s="30"/>
      <c r="P2935" s="30"/>
      <c r="Q2935" s="30"/>
      <c r="R2935" s="30"/>
      <c r="S2935" s="30"/>
      <c r="T2935" s="30"/>
      <c r="U2935" s="21" t="str">
        <f aca="false">IF(COUNT(K2935:T2935)=0,"SOURCE EMPTY / INDUSTRIAL ONLY",IF(MIN(K2935:T2935)=1,"SERVICE READY","HOLD"))</f>
        <v>SOURCE EMPTY / INDUSTRIAL ONLY</v>
      </c>
      <c r="V2935" s="9" t="n">
        <f aca="false">IF(U2935="SERVICE READY",1,0)</f>
        <v>0</v>
      </c>
      <c r="W2935" s="6"/>
      <c r="X2935" s="6"/>
      <c r="Y2935" s="6"/>
      <c r="Z2935" s="6"/>
    </row>
    <row r="2936" customFormat="false" ht="15" hidden="false" customHeight="false" outlineLevel="0" collapsed="false">
      <c r="A2936" s="9" t="s">
        <v>3205</v>
      </c>
      <c r="B2936" s="9" t="s">
        <v>3146</v>
      </c>
      <c r="C2936" s="9" t="s">
        <v>3147</v>
      </c>
      <c r="D2936" s="9" t="s">
        <v>2971</v>
      </c>
      <c r="E2936" s="9" t="s">
        <v>1660</v>
      </c>
      <c r="F2936" s="9" t="s">
        <v>203</v>
      </c>
      <c r="G2936" s="9" t="s">
        <v>221</v>
      </c>
      <c r="H2936" s="9" t="n">
        <v>2040</v>
      </c>
      <c r="I2936" s="29" t="n">
        <v>2.5</v>
      </c>
      <c r="J2936" s="9" t="n">
        <v>1</v>
      </c>
      <c r="K2936" s="30"/>
      <c r="L2936" s="30"/>
      <c r="M2936" s="30"/>
      <c r="N2936" s="30"/>
      <c r="O2936" s="30"/>
      <c r="P2936" s="30"/>
      <c r="Q2936" s="30"/>
      <c r="R2936" s="30"/>
      <c r="S2936" s="30"/>
      <c r="T2936" s="30"/>
      <c r="U2936" s="21" t="str">
        <f aca="false">IF(COUNT(K2936:T2936)=0,"SOURCE EMPTY / INDUSTRIAL ONLY",IF(MIN(K2936:T2936)=1,"SERVICE READY","HOLD"))</f>
        <v>SOURCE EMPTY / INDUSTRIAL ONLY</v>
      </c>
      <c r="V2936" s="9" t="n">
        <f aca="false">IF(U2936="SERVICE READY",1,0)</f>
        <v>0</v>
      </c>
      <c r="W2936" s="6"/>
      <c r="X2936" s="6"/>
      <c r="Y2936" s="6"/>
      <c r="Z2936" s="6"/>
    </row>
    <row r="2937" customFormat="false" ht="15" hidden="false" customHeight="false" outlineLevel="0" collapsed="false">
      <c r="A2937" s="9" t="s">
        <v>3206</v>
      </c>
      <c r="B2937" s="9" t="s">
        <v>3146</v>
      </c>
      <c r="C2937" s="9" t="s">
        <v>3147</v>
      </c>
      <c r="D2937" s="9" t="s">
        <v>2971</v>
      </c>
      <c r="E2937" s="9" t="s">
        <v>1660</v>
      </c>
      <c r="F2937" s="9" t="s">
        <v>205</v>
      </c>
      <c r="G2937" s="9" t="s">
        <v>221</v>
      </c>
      <c r="H2937" s="9" t="n">
        <v>2040</v>
      </c>
      <c r="I2937" s="29" t="n">
        <v>2.5</v>
      </c>
      <c r="J2937" s="9" t="n">
        <v>1</v>
      </c>
      <c r="K2937" s="30"/>
      <c r="L2937" s="30"/>
      <c r="M2937" s="30"/>
      <c r="N2937" s="30"/>
      <c r="O2937" s="30"/>
      <c r="P2937" s="30"/>
      <c r="Q2937" s="30"/>
      <c r="R2937" s="30"/>
      <c r="S2937" s="30"/>
      <c r="T2937" s="30"/>
      <c r="U2937" s="21" t="str">
        <f aca="false">IF(COUNT(K2937:T2937)=0,"SOURCE EMPTY / INDUSTRIAL ONLY",IF(MIN(K2937:T2937)=1,"SERVICE READY","HOLD"))</f>
        <v>SOURCE EMPTY / INDUSTRIAL ONLY</v>
      </c>
      <c r="V2937" s="9" t="n">
        <f aca="false">IF(U2937="SERVICE READY",1,0)</f>
        <v>0</v>
      </c>
      <c r="W2937" s="6"/>
      <c r="X2937" s="6"/>
      <c r="Y2937" s="6"/>
      <c r="Z2937" s="6"/>
    </row>
    <row r="2938" customFormat="false" ht="15" hidden="false" customHeight="false" outlineLevel="0" collapsed="false">
      <c r="A2938" s="9" t="s">
        <v>3207</v>
      </c>
      <c r="B2938" s="9" t="s">
        <v>3146</v>
      </c>
      <c r="C2938" s="9" t="s">
        <v>3147</v>
      </c>
      <c r="D2938" s="9" t="s">
        <v>2971</v>
      </c>
      <c r="E2938" s="9" t="s">
        <v>1660</v>
      </c>
      <c r="F2938" s="9" t="s">
        <v>207</v>
      </c>
      <c r="G2938" s="9" t="s">
        <v>221</v>
      </c>
      <c r="H2938" s="9" t="n">
        <v>2040</v>
      </c>
      <c r="I2938" s="29" t="n">
        <v>2.5</v>
      </c>
      <c r="J2938" s="9" t="n">
        <v>1</v>
      </c>
      <c r="K2938" s="30"/>
      <c r="L2938" s="30"/>
      <c r="M2938" s="30"/>
      <c r="N2938" s="30"/>
      <c r="O2938" s="30"/>
      <c r="P2938" s="30"/>
      <c r="Q2938" s="30"/>
      <c r="R2938" s="30"/>
      <c r="S2938" s="30"/>
      <c r="T2938" s="30"/>
      <c r="U2938" s="21" t="str">
        <f aca="false">IF(COUNT(K2938:T2938)=0,"SOURCE EMPTY / INDUSTRIAL ONLY",IF(MIN(K2938:T2938)=1,"SERVICE READY","HOLD"))</f>
        <v>SOURCE EMPTY / INDUSTRIAL ONLY</v>
      </c>
      <c r="V2938" s="9" t="n">
        <f aca="false">IF(U2938="SERVICE READY",1,0)</f>
        <v>0</v>
      </c>
      <c r="W2938" s="6"/>
      <c r="X2938" s="6"/>
      <c r="Y2938" s="6"/>
      <c r="Z2938" s="6"/>
    </row>
    <row r="2939" customFormat="false" ht="15" hidden="false" customHeight="false" outlineLevel="0" collapsed="false">
      <c r="A2939" s="9" t="s">
        <v>3208</v>
      </c>
      <c r="B2939" s="9" t="s">
        <v>3146</v>
      </c>
      <c r="C2939" s="9" t="s">
        <v>3147</v>
      </c>
      <c r="D2939" s="9" t="s">
        <v>2971</v>
      </c>
      <c r="E2939" s="9" t="s">
        <v>1660</v>
      </c>
      <c r="F2939" s="9" t="s">
        <v>209</v>
      </c>
      <c r="G2939" s="9" t="s">
        <v>221</v>
      </c>
      <c r="H2939" s="9" t="n">
        <v>2040</v>
      </c>
      <c r="I2939" s="29" t="n">
        <v>2.5</v>
      </c>
      <c r="J2939" s="9" t="n">
        <v>1</v>
      </c>
      <c r="K2939" s="30"/>
      <c r="L2939" s="30"/>
      <c r="M2939" s="30"/>
      <c r="N2939" s="30"/>
      <c r="O2939" s="30"/>
      <c r="P2939" s="30"/>
      <c r="Q2939" s="30"/>
      <c r="R2939" s="30"/>
      <c r="S2939" s="30"/>
      <c r="T2939" s="30"/>
      <c r="U2939" s="21" t="str">
        <f aca="false">IF(COUNT(K2939:T2939)=0,"SOURCE EMPTY / INDUSTRIAL ONLY",IF(MIN(K2939:T2939)=1,"SERVICE READY","HOLD"))</f>
        <v>SOURCE EMPTY / INDUSTRIAL ONLY</v>
      </c>
      <c r="V2939" s="9" t="n">
        <f aca="false">IF(U2939="SERVICE READY",1,0)</f>
        <v>0</v>
      </c>
      <c r="W2939" s="6"/>
      <c r="X2939" s="6"/>
      <c r="Y2939" s="6"/>
      <c r="Z2939" s="6"/>
    </row>
    <row r="2940" customFormat="false" ht="15" hidden="false" customHeight="false" outlineLevel="0" collapsed="false">
      <c r="A2940" s="9" t="s">
        <v>3209</v>
      </c>
      <c r="B2940" s="9" t="s">
        <v>3146</v>
      </c>
      <c r="C2940" s="9" t="s">
        <v>3147</v>
      </c>
      <c r="D2940" s="9" t="s">
        <v>2971</v>
      </c>
      <c r="E2940" s="9" t="s">
        <v>1660</v>
      </c>
      <c r="F2940" s="9" t="s">
        <v>211</v>
      </c>
      <c r="G2940" s="9" t="s">
        <v>221</v>
      </c>
      <c r="H2940" s="9" t="n">
        <v>2040</v>
      </c>
      <c r="I2940" s="29" t="n">
        <v>2.5</v>
      </c>
      <c r="J2940" s="9" t="n">
        <v>1</v>
      </c>
      <c r="K2940" s="30"/>
      <c r="L2940" s="30"/>
      <c r="M2940" s="30"/>
      <c r="N2940" s="30"/>
      <c r="O2940" s="30"/>
      <c r="P2940" s="30"/>
      <c r="Q2940" s="30"/>
      <c r="R2940" s="30"/>
      <c r="S2940" s="30"/>
      <c r="T2940" s="30"/>
      <c r="U2940" s="21" t="str">
        <f aca="false">IF(COUNT(K2940:T2940)=0,"SOURCE EMPTY / INDUSTRIAL ONLY",IF(MIN(K2940:T2940)=1,"SERVICE READY","HOLD"))</f>
        <v>SOURCE EMPTY / INDUSTRIAL ONLY</v>
      </c>
      <c r="V2940" s="9" t="n">
        <f aca="false">IF(U2940="SERVICE READY",1,0)</f>
        <v>0</v>
      </c>
      <c r="W2940" s="6"/>
      <c r="X2940" s="6"/>
      <c r="Y2940" s="6"/>
      <c r="Z2940" s="6"/>
    </row>
    <row r="2941" customFormat="false" ht="15" hidden="false" customHeight="false" outlineLevel="0" collapsed="false">
      <c r="A2941" s="9" t="s">
        <v>3210</v>
      </c>
      <c r="B2941" s="9" t="s">
        <v>3146</v>
      </c>
      <c r="C2941" s="9" t="s">
        <v>3147</v>
      </c>
      <c r="D2941" s="9" t="s">
        <v>2971</v>
      </c>
      <c r="E2941" s="9" t="s">
        <v>1660</v>
      </c>
      <c r="F2941" s="9" t="s">
        <v>197</v>
      </c>
      <c r="G2941" s="9" t="s">
        <v>221</v>
      </c>
      <c r="H2941" s="9" t="n">
        <v>2040</v>
      </c>
      <c r="I2941" s="29" t="n">
        <v>2.5</v>
      </c>
      <c r="J2941" s="9" t="n">
        <v>1</v>
      </c>
      <c r="K2941" s="30"/>
      <c r="L2941" s="30"/>
      <c r="M2941" s="30"/>
      <c r="N2941" s="30"/>
      <c r="O2941" s="30"/>
      <c r="P2941" s="30"/>
      <c r="Q2941" s="30"/>
      <c r="R2941" s="30"/>
      <c r="S2941" s="30"/>
      <c r="T2941" s="30"/>
      <c r="U2941" s="21" t="str">
        <f aca="false">IF(COUNT(K2941:T2941)=0,"SOURCE EMPTY / INDUSTRIAL ONLY",IF(MIN(K2941:T2941)=1,"SERVICE READY","HOLD"))</f>
        <v>SOURCE EMPTY / INDUSTRIAL ONLY</v>
      </c>
      <c r="V2941" s="9" t="n">
        <f aca="false">IF(U2941="SERVICE READY",1,0)</f>
        <v>0</v>
      </c>
      <c r="W2941" s="6"/>
      <c r="X2941" s="6"/>
      <c r="Y2941" s="6"/>
      <c r="Z2941" s="6"/>
    </row>
    <row r="2942" customFormat="false" ht="15" hidden="false" customHeight="false" outlineLevel="0" collapsed="false">
      <c r="A2942" s="9" t="s">
        <v>3211</v>
      </c>
      <c r="B2942" s="9" t="s">
        <v>3146</v>
      </c>
      <c r="C2942" s="9" t="s">
        <v>3147</v>
      </c>
      <c r="D2942" s="9" t="s">
        <v>2971</v>
      </c>
      <c r="E2942" s="9" t="s">
        <v>1660</v>
      </c>
      <c r="F2942" s="9" t="s">
        <v>200</v>
      </c>
      <c r="G2942" s="9" t="s">
        <v>221</v>
      </c>
      <c r="H2942" s="9" t="n">
        <v>2040</v>
      </c>
      <c r="I2942" s="29" t="n">
        <v>2.5</v>
      </c>
      <c r="J2942" s="9" t="n">
        <v>1</v>
      </c>
      <c r="K2942" s="30"/>
      <c r="L2942" s="30"/>
      <c r="M2942" s="30"/>
      <c r="N2942" s="30"/>
      <c r="O2942" s="30"/>
      <c r="P2942" s="30"/>
      <c r="Q2942" s="30"/>
      <c r="R2942" s="30"/>
      <c r="S2942" s="30"/>
      <c r="T2942" s="30"/>
      <c r="U2942" s="21" t="str">
        <f aca="false">IF(COUNT(K2942:T2942)=0,"SOURCE EMPTY / INDUSTRIAL ONLY",IF(MIN(K2942:T2942)=1,"SERVICE READY","HOLD"))</f>
        <v>SOURCE EMPTY / INDUSTRIAL ONLY</v>
      </c>
      <c r="V2942" s="9" t="n">
        <f aca="false">IF(U2942="SERVICE READY",1,0)</f>
        <v>0</v>
      </c>
      <c r="W2942" s="6"/>
      <c r="X2942" s="6"/>
      <c r="Y2942" s="6"/>
      <c r="Z2942" s="6"/>
    </row>
    <row r="2943" customFormat="false" ht="15" hidden="false" customHeight="false" outlineLevel="0" collapsed="false">
      <c r="A2943" s="9" t="s">
        <v>3212</v>
      </c>
      <c r="B2943" s="9" t="s">
        <v>3146</v>
      </c>
      <c r="C2943" s="9" t="s">
        <v>3147</v>
      </c>
      <c r="D2943" s="9" t="s">
        <v>2971</v>
      </c>
      <c r="E2943" s="9" t="s">
        <v>1660</v>
      </c>
      <c r="F2943" s="9" t="s">
        <v>203</v>
      </c>
      <c r="G2943" s="9" t="s">
        <v>221</v>
      </c>
      <c r="H2943" s="9" t="n">
        <v>2040</v>
      </c>
      <c r="I2943" s="29" t="n">
        <v>2.5</v>
      </c>
      <c r="J2943" s="9" t="n">
        <v>1</v>
      </c>
      <c r="K2943" s="30"/>
      <c r="L2943" s="30"/>
      <c r="M2943" s="30"/>
      <c r="N2943" s="30"/>
      <c r="O2943" s="30"/>
      <c r="P2943" s="30"/>
      <c r="Q2943" s="30"/>
      <c r="R2943" s="30"/>
      <c r="S2943" s="30"/>
      <c r="T2943" s="30"/>
      <c r="U2943" s="21" t="str">
        <f aca="false">IF(COUNT(K2943:T2943)=0,"SOURCE EMPTY / INDUSTRIAL ONLY",IF(MIN(K2943:T2943)=1,"SERVICE READY","HOLD"))</f>
        <v>SOURCE EMPTY / INDUSTRIAL ONLY</v>
      </c>
      <c r="V2943" s="9" t="n">
        <f aca="false">IF(U2943="SERVICE READY",1,0)</f>
        <v>0</v>
      </c>
      <c r="W2943" s="6"/>
      <c r="X2943" s="6"/>
      <c r="Y2943" s="6"/>
      <c r="Z2943" s="6"/>
    </row>
    <row r="2944" customFormat="false" ht="15" hidden="false" customHeight="false" outlineLevel="0" collapsed="false">
      <c r="A2944" s="9" t="s">
        <v>3213</v>
      </c>
      <c r="B2944" s="9" t="s">
        <v>3146</v>
      </c>
      <c r="C2944" s="9" t="s">
        <v>3147</v>
      </c>
      <c r="D2944" s="9" t="s">
        <v>2971</v>
      </c>
      <c r="E2944" s="9" t="s">
        <v>1660</v>
      </c>
      <c r="F2944" s="9" t="s">
        <v>205</v>
      </c>
      <c r="G2944" s="9" t="s">
        <v>221</v>
      </c>
      <c r="H2944" s="9" t="n">
        <v>2040</v>
      </c>
      <c r="I2944" s="29" t="n">
        <v>2.5</v>
      </c>
      <c r="J2944" s="9" t="n">
        <v>1</v>
      </c>
      <c r="K2944" s="30"/>
      <c r="L2944" s="30"/>
      <c r="M2944" s="30"/>
      <c r="N2944" s="30"/>
      <c r="O2944" s="30"/>
      <c r="P2944" s="30"/>
      <c r="Q2944" s="30"/>
      <c r="R2944" s="30"/>
      <c r="S2944" s="30"/>
      <c r="T2944" s="30"/>
      <c r="U2944" s="21" t="str">
        <f aca="false">IF(COUNT(K2944:T2944)=0,"SOURCE EMPTY / INDUSTRIAL ONLY",IF(MIN(K2944:T2944)=1,"SERVICE READY","HOLD"))</f>
        <v>SOURCE EMPTY / INDUSTRIAL ONLY</v>
      </c>
      <c r="V2944" s="9" t="n">
        <f aca="false">IF(U2944="SERVICE READY",1,0)</f>
        <v>0</v>
      </c>
      <c r="W2944" s="6"/>
      <c r="X2944" s="6"/>
      <c r="Y2944" s="6"/>
      <c r="Z2944" s="6"/>
    </row>
    <row r="2945" customFormat="false" ht="15" hidden="false" customHeight="false" outlineLevel="0" collapsed="false">
      <c r="A2945" s="9" t="s">
        <v>3214</v>
      </c>
      <c r="B2945" s="9" t="s">
        <v>3146</v>
      </c>
      <c r="C2945" s="9" t="s">
        <v>3147</v>
      </c>
      <c r="D2945" s="9" t="s">
        <v>2971</v>
      </c>
      <c r="E2945" s="9" t="s">
        <v>1660</v>
      </c>
      <c r="F2945" s="9" t="s">
        <v>207</v>
      </c>
      <c r="G2945" s="9" t="s">
        <v>221</v>
      </c>
      <c r="H2945" s="9" t="n">
        <v>2040</v>
      </c>
      <c r="I2945" s="29" t="n">
        <v>2.5</v>
      </c>
      <c r="J2945" s="9" t="n">
        <v>1</v>
      </c>
      <c r="K2945" s="30"/>
      <c r="L2945" s="30"/>
      <c r="M2945" s="30"/>
      <c r="N2945" s="30"/>
      <c r="O2945" s="30"/>
      <c r="P2945" s="30"/>
      <c r="Q2945" s="30"/>
      <c r="R2945" s="30"/>
      <c r="S2945" s="30"/>
      <c r="T2945" s="30"/>
      <c r="U2945" s="21" t="str">
        <f aca="false">IF(COUNT(K2945:T2945)=0,"SOURCE EMPTY / INDUSTRIAL ONLY",IF(MIN(K2945:T2945)=1,"SERVICE READY","HOLD"))</f>
        <v>SOURCE EMPTY / INDUSTRIAL ONLY</v>
      </c>
      <c r="V2945" s="9" t="n">
        <f aca="false">IF(U2945="SERVICE READY",1,0)</f>
        <v>0</v>
      </c>
      <c r="W2945" s="6"/>
      <c r="X2945" s="6"/>
      <c r="Y2945" s="6"/>
      <c r="Z2945" s="6"/>
    </row>
    <row r="2946" customFormat="false" ht="15" hidden="false" customHeight="false" outlineLevel="0" collapsed="false">
      <c r="A2946" s="9" t="s">
        <v>3215</v>
      </c>
      <c r="B2946" s="9" t="s">
        <v>3146</v>
      </c>
      <c r="C2946" s="9" t="s">
        <v>3147</v>
      </c>
      <c r="D2946" s="9" t="s">
        <v>2971</v>
      </c>
      <c r="E2946" s="9" t="s">
        <v>1660</v>
      </c>
      <c r="F2946" s="9" t="s">
        <v>209</v>
      </c>
      <c r="G2946" s="9" t="s">
        <v>221</v>
      </c>
      <c r="H2946" s="9" t="n">
        <v>2040</v>
      </c>
      <c r="I2946" s="29" t="n">
        <v>2.5</v>
      </c>
      <c r="J2946" s="9" t="n">
        <v>1</v>
      </c>
      <c r="K2946" s="30"/>
      <c r="L2946" s="30"/>
      <c r="M2946" s="30"/>
      <c r="N2946" s="30"/>
      <c r="O2946" s="30"/>
      <c r="P2946" s="30"/>
      <c r="Q2946" s="30"/>
      <c r="R2946" s="30"/>
      <c r="S2946" s="30"/>
      <c r="T2946" s="30"/>
      <c r="U2946" s="21" t="str">
        <f aca="false">IF(COUNT(K2946:T2946)=0,"SOURCE EMPTY / INDUSTRIAL ONLY",IF(MIN(K2946:T2946)=1,"SERVICE READY","HOLD"))</f>
        <v>SOURCE EMPTY / INDUSTRIAL ONLY</v>
      </c>
      <c r="V2946" s="9" t="n">
        <f aca="false">IF(U2946="SERVICE READY",1,0)</f>
        <v>0</v>
      </c>
      <c r="W2946" s="6"/>
      <c r="X2946" s="6"/>
      <c r="Y2946" s="6"/>
      <c r="Z2946" s="6"/>
    </row>
    <row r="2947" customFormat="false" ht="15" hidden="false" customHeight="false" outlineLevel="0" collapsed="false">
      <c r="A2947" s="9" t="s">
        <v>3216</v>
      </c>
      <c r="B2947" s="9" t="s">
        <v>3146</v>
      </c>
      <c r="C2947" s="9" t="s">
        <v>3147</v>
      </c>
      <c r="D2947" s="9" t="s">
        <v>2971</v>
      </c>
      <c r="E2947" s="9" t="s">
        <v>1660</v>
      </c>
      <c r="F2947" s="9" t="s">
        <v>211</v>
      </c>
      <c r="G2947" s="9" t="s">
        <v>221</v>
      </c>
      <c r="H2947" s="9" t="n">
        <v>2040</v>
      </c>
      <c r="I2947" s="29" t="n">
        <v>2.5</v>
      </c>
      <c r="J2947" s="9" t="n">
        <v>1</v>
      </c>
      <c r="K2947" s="30"/>
      <c r="L2947" s="30"/>
      <c r="M2947" s="30"/>
      <c r="N2947" s="30"/>
      <c r="O2947" s="30"/>
      <c r="P2947" s="30"/>
      <c r="Q2947" s="30"/>
      <c r="R2947" s="30"/>
      <c r="S2947" s="30"/>
      <c r="T2947" s="30"/>
      <c r="U2947" s="21" t="str">
        <f aca="false">IF(COUNT(K2947:T2947)=0,"SOURCE EMPTY / INDUSTRIAL ONLY",IF(MIN(K2947:T2947)=1,"SERVICE READY","HOLD"))</f>
        <v>SOURCE EMPTY / INDUSTRIAL ONLY</v>
      </c>
      <c r="V2947" s="9" t="n">
        <f aca="false">IF(U2947="SERVICE READY",1,0)</f>
        <v>0</v>
      </c>
      <c r="W2947" s="6"/>
      <c r="X2947" s="6"/>
      <c r="Y2947" s="6"/>
      <c r="Z2947" s="6"/>
    </row>
    <row r="2948" customFormat="false" ht="15" hidden="false" customHeight="false" outlineLevel="0" collapsed="false">
      <c r="A2948" s="9" t="s">
        <v>3217</v>
      </c>
      <c r="B2948" s="9" t="s">
        <v>3146</v>
      </c>
      <c r="C2948" s="9" t="s">
        <v>3147</v>
      </c>
      <c r="D2948" s="9" t="s">
        <v>2971</v>
      </c>
      <c r="E2948" s="9" t="s">
        <v>1660</v>
      </c>
      <c r="F2948" s="9" t="s">
        <v>197</v>
      </c>
      <c r="G2948" s="9" t="s">
        <v>221</v>
      </c>
      <c r="H2948" s="9" t="n">
        <v>2040</v>
      </c>
      <c r="I2948" s="29" t="n">
        <v>2.5</v>
      </c>
      <c r="J2948" s="9" t="n">
        <v>1</v>
      </c>
      <c r="K2948" s="30"/>
      <c r="L2948" s="30"/>
      <c r="M2948" s="30"/>
      <c r="N2948" s="30"/>
      <c r="O2948" s="30"/>
      <c r="P2948" s="30"/>
      <c r="Q2948" s="30"/>
      <c r="R2948" s="30"/>
      <c r="S2948" s="30"/>
      <c r="T2948" s="30"/>
      <c r="U2948" s="21" t="str">
        <f aca="false">IF(COUNT(K2948:T2948)=0,"SOURCE EMPTY / INDUSTRIAL ONLY",IF(MIN(K2948:T2948)=1,"SERVICE READY","HOLD"))</f>
        <v>SOURCE EMPTY / INDUSTRIAL ONLY</v>
      </c>
      <c r="V2948" s="9" t="n">
        <f aca="false">IF(U2948="SERVICE READY",1,0)</f>
        <v>0</v>
      </c>
      <c r="W2948" s="6"/>
      <c r="X2948" s="6"/>
      <c r="Y2948" s="6"/>
      <c r="Z2948" s="6"/>
    </row>
    <row r="2949" customFormat="false" ht="15" hidden="false" customHeight="false" outlineLevel="0" collapsed="false">
      <c r="A2949" s="9" t="s">
        <v>3218</v>
      </c>
      <c r="B2949" s="9" t="s">
        <v>3146</v>
      </c>
      <c r="C2949" s="9" t="s">
        <v>3147</v>
      </c>
      <c r="D2949" s="9" t="s">
        <v>2971</v>
      </c>
      <c r="E2949" s="9" t="s">
        <v>1660</v>
      </c>
      <c r="F2949" s="9" t="s">
        <v>200</v>
      </c>
      <c r="G2949" s="9" t="s">
        <v>221</v>
      </c>
      <c r="H2949" s="9" t="n">
        <v>2040</v>
      </c>
      <c r="I2949" s="29" t="n">
        <v>2.5</v>
      </c>
      <c r="J2949" s="9" t="n">
        <v>1</v>
      </c>
      <c r="K2949" s="30"/>
      <c r="L2949" s="30"/>
      <c r="M2949" s="30"/>
      <c r="N2949" s="30"/>
      <c r="O2949" s="30"/>
      <c r="P2949" s="30"/>
      <c r="Q2949" s="30"/>
      <c r="R2949" s="30"/>
      <c r="S2949" s="30"/>
      <c r="T2949" s="30"/>
      <c r="U2949" s="21" t="str">
        <f aca="false">IF(COUNT(K2949:T2949)=0,"SOURCE EMPTY / INDUSTRIAL ONLY",IF(MIN(K2949:T2949)=1,"SERVICE READY","HOLD"))</f>
        <v>SOURCE EMPTY / INDUSTRIAL ONLY</v>
      </c>
      <c r="V2949" s="9" t="n">
        <f aca="false">IF(U2949="SERVICE READY",1,0)</f>
        <v>0</v>
      </c>
      <c r="W2949" s="6"/>
      <c r="X2949" s="6"/>
      <c r="Y2949" s="6"/>
      <c r="Z2949" s="6"/>
    </row>
    <row r="2950" customFormat="false" ht="15" hidden="false" customHeight="false" outlineLevel="0" collapsed="false">
      <c r="A2950" s="9" t="s">
        <v>3219</v>
      </c>
      <c r="B2950" s="9" t="s">
        <v>3146</v>
      </c>
      <c r="C2950" s="9" t="s">
        <v>3147</v>
      </c>
      <c r="D2950" s="9" t="s">
        <v>2971</v>
      </c>
      <c r="E2950" s="9" t="s">
        <v>1660</v>
      </c>
      <c r="F2950" s="9" t="s">
        <v>203</v>
      </c>
      <c r="G2950" s="9" t="s">
        <v>221</v>
      </c>
      <c r="H2950" s="9" t="n">
        <v>2040</v>
      </c>
      <c r="I2950" s="29" t="n">
        <v>2.5</v>
      </c>
      <c r="J2950" s="9" t="n">
        <v>1</v>
      </c>
      <c r="K2950" s="30"/>
      <c r="L2950" s="30"/>
      <c r="M2950" s="30"/>
      <c r="N2950" s="30"/>
      <c r="O2950" s="30"/>
      <c r="P2950" s="30"/>
      <c r="Q2950" s="30"/>
      <c r="R2950" s="30"/>
      <c r="S2950" s="30"/>
      <c r="T2950" s="30"/>
      <c r="U2950" s="21" t="str">
        <f aca="false">IF(COUNT(K2950:T2950)=0,"SOURCE EMPTY / INDUSTRIAL ONLY",IF(MIN(K2950:T2950)=1,"SERVICE READY","HOLD"))</f>
        <v>SOURCE EMPTY / INDUSTRIAL ONLY</v>
      </c>
      <c r="V2950" s="9" t="n">
        <f aca="false">IF(U2950="SERVICE READY",1,0)</f>
        <v>0</v>
      </c>
      <c r="W2950" s="6"/>
      <c r="X2950" s="6"/>
      <c r="Y2950" s="6"/>
      <c r="Z2950" s="6"/>
    </row>
    <row r="2951" customFormat="false" ht="15" hidden="false" customHeight="false" outlineLevel="0" collapsed="false">
      <c r="A2951" s="9" t="s">
        <v>3220</v>
      </c>
      <c r="B2951" s="9" t="s">
        <v>3146</v>
      </c>
      <c r="C2951" s="9" t="s">
        <v>3147</v>
      </c>
      <c r="D2951" s="9" t="s">
        <v>2971</v>
      </c>
      <c r="E2951" s="9" t="s">
        <v>1660</v>
      </c>
      <c r="F2951" s="9" t="s">
        <v>205</v>
      </c>
      <c r="G2951" s="9" t="s">
        <v>221</v>
      </c>
      <c r="H2951" s="9" t="n">
        <v>2040</v>
      </c>
      <c r="I2951" s="29" t="n">
        <v>2.5</v>
      </c>
      <c r="J2951" s="9" t="n">
        <v>1</v>
      </c>
      <c r="K2951" s="30"/>
      <c r="L2951" s="30"/>
      <c r="M2951" s="30"/>
      <c r="N2951" s="30"/>
      <c r="O2951" s="30"/>
      <c r="P2951" s="30"/>
      <c r="Q2951" s="30"/>
      <c r="R2951" s="30"/>
      <c r="S2951" s="30"/>
      <c r="T2951" s="30"/>
      <c r="U2951" s="21" t="str">
        <f aca="false">IF(COUNT(K2951:T2951)=0,"SOURCE EMPTY / INDUSTRIAL ONLY",IF(MIN(K2951:T2951)=1,"SERVICE READY","HOLD"))</f>
        <v>SOURCE EMPTY / INDUSTRIAL ONLY</v>
      </c>
      <c r="V2951" s="9" t="n">
        <f aca="false">IF(U2951="SERVICE READY",1,0)</f>
        <v>0</v>
      </c>
      <c r="W2951" s="6"/>
      <c r="X2951" s="6"/>
      <c r="Y2951" s="6"/>
      <c r="Z2951" s="6"/>
    </row>
    <row r="2952" customFormat="false" ht="15" hidden="false" customHeight="false" outlineLevel="0" collapsed="false">
      <c r="A2952" s="9" t="s">
        <v>3221</v>
      </c>
      <c r="B2952" s="9" t="s">
        <v>3146</v>
      </c>
      <c r="C2952" s="9" t="s">
        <v>3147</v>
      </c>
      <c r="D2952" s="9" t="s">
        <v>2971</v>
      </c>
      <c r="E2952" s="9" t="s">
        <v>1660</v>
      </c>
      <c r="F2952" s="9" t="s">
        <v>207</v>
      </c>
      <c r="G2952" s="9" t="s">
        <v>221</v>
      </c>
      <c r="H2952" s="9" t="n">
        <v>2040</v>
      </c>
      <c r="I2952" s="29" t="n">
        <v>2.5</v>
      </c>
      <c r="J2952" s="9" t="n">
        <v>1</v>
      </c>
      <c r="K2952" s="30"/>
      <c r="L2952" s="30"/>
      <c r="M2952" s="30"/>
      <c r="N2952" s="30"/>
      <c r="O2952" s="30"/>
      <c r="P2952" s="30"/>
      <c r="Q2952" s="30"/>
      <c r="R2952" s="30"/>
      <c r="S2952" s="30"/>
      <c r="T2952" s="30"/>
      <c r="U2952" s="21" t="str">
        <f aca="false">IF(COUNT(K2952:T2952)=0,"SOURCE EMPTY / INDUSTRIAL ONLY",IF(MIN(K2952:T2952)=1,"SERVICE READY","HOLD"))</f>
        <v>SOURCE EMPTY / INDUSTRIAL ONLY</v>
      </c>
      <c r="V2952" s="9" t="n">
        <f aca="false">IF(U2952="SERVICE READY",1,0)</f>
        <v>0</v>
      </c>
      <c r="W2952" s="6"/>
      <c r="X2952" s="6"/>
      <c r="Y2952" s="6"/>
      <c r="Z2952" s="6"/>
    </row>
    <row r="2953" customFormat="false" ht="15" hidden="false" customHeight="false" outlineLevel="0" collapsed="false">
      <c r="A2953" s="9" t="s">
        <v>3222</v>
      </c>
      <c r="B2953" s="9" t="s">
        <v>3146</v>
      </c>
      <c r="C2953" s="9" t="s">
        <v>3147</v>
      </c>
      <c r="D2953" s="9" t="s">
        <v>2971</v>
      </c>
      <c r="E2953" s="9" t="s">
        <v>1660</v>
      </c>
      <c r="F2953" s="9" t="s">
        <v>209</v>
      </c>
      <c r="G2953" s="9" t="s">
        <v>221</v>
      </c>
      <c r="H2953" s="9" t="n">
        <v>2040</v>
      </c>
      <c r="I2953" s="29" t="n">
        <v>2.5</v>
      </c>
      <c r="J2953" s="9" t="n">
        <v>0</v>
      </c>
      <c r="K2953" s="30"/>
      <c r="L2953" s="30"/>
      <c r="M2953" s="30"/>
      <c r="N2953" s="30"/>
      <c r="O2953" s="30"/>
      <c r="P2953" s="30"/>
      <c r="Q2953" s="30"/>
      <c r="R2953" s="30"/>
      <c r="S2953" s="30"/>
      <c r="T2953" s="30"/>
      <c r="U2953" s="21" t="str">
        <f aca="false">IF(COUNT(K2953:T2953)=0,"SOURCE EMPTY / INDUSTRIAL ONLY",IF(MIN(K2953:T2953)=1,"SERVICE READY","HOLD"))</f>
        <v>SOURCE EMPTY / INDUSTRIAL ONLY</v>
      </c>
      <c r="V2953" s="9" t="n">
        <f aca="false">IF(U2953="SERVICE READY",1,0)</f>
        <v>0</v>
      </c>
      <c r="W2953" s="6"/>
      <c r="X2953" s="6"/>
      <c r="Y2953" s="6"/>
      <c r="Z2953" s="6"/>
    </row>
    <row r="2954" customFormat="false" ht="15" hidden="false" customHeight="false" outlineLevel="0" collapsed="false">
      <c r="A2954" s="9" t="s">
        <v>3223</v>
      </c>
      <c r="B2954" s="9" t="s">
        <v>3146</v>
      </c>
      <c r="C2954" s="9" t="s">
        <v>3147</v>
      </c>
      <c r="D2954" s="9" t="s">
        <v>2971</v>
      </c>
      <c r="E2954" s="9" t="s">
        <v>1660</v>
      </c>
      <c r="F2954" s="9" t="s">
        <v>211</v>
      </c>
      <c r="G2954" s="9" t="s">
        <v>221</v>
      </c>
      <c r="H2954" s="9" t="n">
        <v>2040</v>
      </c>
      <c r="I2954" s="29" t="n">
        <v>2.5</v>
      </c>
      <c r="J2954" s="9" t="n">
        <v>0</v>
      </c>
      <c r="K2954" s="30"/>
      <c r="L2954" s="30"/>
      <c r="M2954" s="30"/>
      <c r="N2954" s="30"/>
      <c r="O2954" s="30"/>
      <c r="P2954" s="30"/>
      <c r="Q2954" s="30"/>
      <c r="R2954" s="30"/>
      <c r="S2954" s="30"/>
      <c r="T2954" s="30"/>
      <c r="U2954" s="21" t="str">
        <f aca="false">IF(COUNT(K2954:T2954)=0,"SOURCE EMPTY / INDUSTRIAL ONLY",IF(MIN(K2954:T2954)=1,"SERVICE READY","HOLD"))</f>
        <v>SOURCE EMPTY / INDUSTRIAL ONLY</v>
      </c>
      <c r="V2954" s="9" t="n">
        <f aca="false">IF(U2954="SERVICE READY",1,0)</f>
        <v>0</v>
      </c>
      <c r="W2954" s="6"/>
      <c r="X2954" s="6"/>
      <c r="Y2954" s="6"/>
      <c r="Z2954" s="6"/>
    </row>
    <row r="2955" customFormat="false" ht="15" hidden="false" customHeight="false" outlineLevel="0" collapsed="false">
      <c r="A2955" s="9" t="s">
        <v>3224</v>
      </c>
      <c r="B2955" s="9" t="s">
        <v>3146</v>
      </c>
      <c r="C2955" s="9" t="s">
        <v>3147</v>
      </c>
      <c r="D2955" s="9" t="s">
        <v>2971</v>
      </c>
      <c r="E2955" s="9" t="s">
        <v>1660</v>
      </c>
      <c r="F2955" s="9" t="s">
        <v>197</v>
      </c>
      <c r="G2955" s="9" t="s">
        <v>221</v>
      </c>
      <c r="H2955" s="9" t="n">
        <v>2040</v>
      </c>
      <c r="I2955" s="29" t="n">
        <v>2.5</v>
      </c>
      <c r="J2955" s="9" t="n">
        <v>0</v>
      </c>
      <c r="K2955" s="30"/>
      <c r="L2955" s="30"/>
      <c r="M2955" s="30"/>
      <c r="N2955" s="30"/>
      <c r="O2955" s="30"/>
      <c r="P2955" s="30"/>
      <c r="Q2955" s="30"/>
      <c r="R2955" s="30"/>
      <c r="S2955" s="30"/>
      <c r="T2955" s="30"/>
      <c r="U2955" s="21" t="str">
        <f aca="false">IF(COUNT(K2955:T2955)=0,"SOURCE EMPTY / INDUSTRIAL ONLY",IF(MIN(K2955:T2955)=1,"SERVICE READY","HOLD"))</f>
        <v>SOURCE EMPTY / INDUSTRIAL ONLY</v>
      </c>
      <c r="V2955" s="9" t="n">
        <f aca="false">IF(U2955="SERVICE READY",1,0)</f>
        <v>0</v>
      </c>
      <c r="W2955" s="6"/>
      <c r="X2955" s="6"/>
      <c r="Y2955" s="6"/>
      <c r="Z2955" s="6"/>
    </row>
    <row r="2956" customFormat="false" ht="15" hidden="false" customHeight="false" outlineLevel="0" collapsed="false">
      <c r="A2956" s="9" t="s">
        <v>3225</v>
      </c>
      <c r="B2956" s="9" t="s">
        <v>3146</v>
      </c>
      <c r="C2956" s="9" t="s">
        <v>3147</v>
      </c>
      <c r="D2956" s="9" t="s">
        <v>2971</v>
      </c>
      <c r="E2956" s="9" t="s">
        <v>1660</v>
      </c>
      <c r="F2956" s="9" t="s">
        <v>200</v>
      </c>
      <c r="G2956" s="9" t="s">
        <v>221</v>
      </c>
      <c r="H2956" s="9" t="n">
        <v>2040</v>
      </c>
      <c r="I2956" s="29" t="n">
        <v>2.5</v>
      </c>
      <c r="J2956" s="9" t="n">
        <v>0</v>
      </c>
      <c r="K2956" s="30"/>
      <c r="L2956" s="30"/>
      <c r="M2956" s="30"/>
      <c r="N2956" s="30"/>
      <c r="O2956" s="30"/>
      <c r="P2956" s="30"/>
      <c r="Q2956" s="30"/>
      <c r="R2956" s="30"/>
      <c r="S2956" s="30"/>
      <c r="T2956" s="30"/>
      <c r="U2956" s="21" t="str">
        <f aca="false">IF(COUNT(K2956:T2956)=0,"SOURCE EMPTY / INDUSTRIAL ONLY",IF(MIN(K2956:T2956)=1,"SERVICE READY","HOLD"))</f>
        <v>SOURCE EMPTY / INDUSTRIAL ONLY</v>
      </c>
      <c r="V2956" s="9" t="n">
        <f aca="false">IF(U2956="SERVICE READY",1,0)</f>
        <v>0</v>
      </c>
      <c r="W2956" s="6"/>
      <c r="X2956" s="6"/>
      <c r="Y2956" s="6"/>
      <c r="Z2956" s="6"/>
    </row>
    <row r="2957" customFormat="false" ht="15" hidden="false" customHeight="false" outlineLevel="0" collapsed="false">
      <c r="A2957" s="9" t="s">
        <v>3226</v>
      </c>
      <c r="B2957" s="9" t="s">
        <v>3146</v>
      </c>
      <c r="C2957" s="9" t="s">
        <v>3147</v>
      </c>
      <c r="D2957" s="9" t="s">
        <v>2971</v>
      </c>
      <c r="E2957" s="9" t="s">
        <v>1660</v>
      </c>
      <c r="F2957" s="9" t="s">
        <v>203</v>
      </c>
      <c r="G2957" s="9" t="s">
        <v>221</v>
      </c>
      <c r="H2957" s="9" t="n">
        <v>2040</v>
      </c>
      <c r="I2957" s="29" t="n">
        <v>2.5</v>
      </c>
      <c r="J2957" s="9" t="n">
        <v>0</v>
      </c>
      <c r="K2957" s="30"/>
      <c r="L2957" s="30"/>
      <c r="M2957" s="30"/>
      <c r="N2957" s="30"/>
      <c r="O2957" s="30"/>
      <c r="P2957" s="30"/>
      <c r="Q2957" s="30"/>
      <c r="R2957" s="30"/>
      <c r="S2957" s="30"/>
      <c r="T2957" s="30"/>
      <c r="U2957" s="21" t="str">
        <f aca="false">IF(COUNT(K2957:T2957)=0,"SOURCE EMPTY / INDUSTRIAL ONLY",IF(MIN(K2957:T2957)=1,"SERVICE READY","HOLD"))</f>
        <v>SOURCE EMPTY / INDUSTRIAL ONLY</v>
      </c>
      <c r="V2957" s="9" t="n">
        <f aca="false">IF(U2957="SERVICE READY",1,0)</f>
        <v>0</v>
      </c>
      <c r="W2957" s="6"/>
      <c r="X2957" s="6"/>
      <c r="Y2957" s="6"/>
      <c r="Z2957" s="6"/>
    </row>
    <row r="2958" customFormat="false" ht="15" hidden="false" customHeight="false" outlineLevel="0" collapsed="false">
      <c r="A2958" s="9" t="s">
        <v>3227</v>
      </c>
      <c r="B2958" s="9" t="s">
        <v>3146</v>
      </c>
      <c r="C2958" s="9" t="s">
        <v>3147</v>
      </c>
      <c r="D2958" s="9" t="s">
        <v>2971</v>
      </c>
      <c r="E2958" s="9" t="s">
        <v>1660</v>
      </c>
      <c r="F2958" s="9" t="s">
        <v>205</v>
      </c>
      <c r="G2958" s="9" t="s">
        <v>221</v>
      </c>
      <c r="H2958" s="9" t="n">
        <v>2040</v>
      </c>
      <c r="I2958" s="29" t="n">
        <v>2.5</v>
      </c>
      <c r="J2958" s="9" t="n">
        <v>0</v>
      </c>
      <c r="K2958" s="30"/>
      <c r="L2958" s="30"/>
      <c r="M2958" s="30"/>
      <c r="N2958" s="30"/>
      <c r="O2958" s="30"/>
      <c r="P2958" s="30"/>
      <c r="Q2958" s="30"/>
      <c r="R2958" s="30"/>
      <c r="S2958" s="30"/>
      <c r="T2958" s="30"/>
      <c r="U2958" s="21" t="str">
        <f aca="false">IF(COUNT(K2958:T2958)=0,"SOURCE EMPTY / INDUSTRIAL ONLY",IF(MIN(K2958:T2958)=1,"SERVICE READY","HOLD"))</f>
        <v>SOURCE EMPTY / INDUSTRIAL ONLY</v>
      </c>
      <c r="V2958" s="9" t="n">
        <f aca="false">IF(U2958="SERVICE READY",1,0)</f>
        <v>0</v>
      </c>
      <c r="W2958" s="6"/>
      <c r="X2958" s="6"/>
      <c r="Y2958" s="6"/>
      <c r="Z2958" s="6"/>
    </row>
    <row r="2959" customFormat="false" ht="15" hidden="false" customHeight="false" outlineLevel="0" collapsed="false">
      <c r="A2959" s="9" t="s">
        <v>3228</v>
      </c>
      <c r="B2959" s="9" t="s">
        <v>3146</v>
      </c>
      <c r="C2959" s="9" t="s">
        <v>3147</v>
      </c>
      <c r="D2959" s="9" t="s">
        <v>2971</v>
      </c>
      <c r="E2959" s="9" t="s">
        <v>1660</v>
      </c>
      <c r="F2959" s="9" t="s">
        <v>207</v>
      </c>
      <c r="G2959" s="9" t="s">
        <v>221</v>
      </c>
      <c r="H2959" s="9" t="n">
        <v>2040</v>
      </c>
      <c r="I2959" s="29" t="n">
        <v>2.5</v>
      </c>
      <c r="J2959" s="9" t="n">
        <v>0</v>
      </c>
      <c r="K2959" s="30"/>
      <c r="L2959" s="30"/>
      <c r="M2959" s="30"/>
      <c r="N2959" s="30"/>
      <c r="O2959" s="30"/>
      <c r="P2959" s="30"/>
      <c r="Q2959" s="30"/>
      <c r="R2959" s="30"/>
      <c r="S2959" s="30"/>
      <c r="T2959" s="30"/>
      <c r="U2959" s="21" t="str">
        <f aca="false">IF(COUNT(K2959:T2959)=0,"SOURCE EMPTY / INDUSTRIAL ONLY",IF(MIN(K2959:T2959)=1,"SERVICE READY","HOLD"))</f>
        <v>SOURCE EMPTY / INDUSTRIAL ONLY</v>
      </c>
      <c r="V2959" s="9" t="n">
        <f aca="false">IF(U2959="SERVICE READY",1,0)</f>
        <v>0</v>
      </c>
      <c r="W2959" s="6"/>
      <c r="X2959" s="6"/>
      <c r="Y2959" s="6"/>
      <c r="Z2959" s="6"/>
    </row>
    <row r="2960" customFormat="false" ht="15" hidden="false" customHeight="false" outlineLevel="0" collapsed="false">
      <c r="A2960" s="9" t="s">
        <v>3229</v>
      </c>
      <c r="B2960" s="9" t="s">
        <v>3146</v>
      </c>
      <c r="C2960" s="9" t="s">
        <v>3147</v>
      </c>
      <c r="D2960" s="9" t="s">
        <v>2971</v>
      </c>
      <c r="E2960" s="9" t="s">
        <v>1660</v>
      </c>
      <c r="F2960" s="9" t="s">
        <v>209</v>
      </c>
      <c r="G2960" s="9" t="s">
        <v>221</v>
      </c>
      <c r="H2960" s="9" t="n">
        <v>2040</v>
      </c>
      <c r="I2960" s="29" t="n">
        <v>2.5</v>
      </c>
      <c r="J2960" s="9" t="n">
        <v>0</v>
      </c>
      <c r="K2960" s="30"/>
      <c r="L2960" s="30"/>
      <c r="M2960" s="30"/>
      <c r="N2960" s="30"/>
      <c r="O2960" s="30"/>
      <c r="P2960" s="30"/>
      <c r="Q2960" s="30"/>
      <c r="R2960" s="30"/>
      <c r="S2960" s="30"/>
      <c r="T2960" s="30"/>
      <c r="U2960" s="21" t="str">
        <f aca="false">IF(COUNT(K2960:T2960)=0,"SOURCE EMPTY / INDUSTRIAL ONLY",IF(MIN(K2960:T2960)=1,"SERVICE READY","HOLD"))</f>
        <v>SOURCE EMPTY / INDUSTRIAL ONLY</v>
      </c>
      <c r="V2960" s="9" t="n">
        <f aca="false">IF(U2960="SERVICE READY",1,0)</f>
        <v>0</v>
      </c>
      <c r="W2960" s="6"/>
      <c r="X2960" s="6"/>
      <c r="Y2960" s="6"/>
      <c r="Z2960" s="6"/>
    </row>
    <row r="2961" customFormat="false" ht="15" hidden="false" customHeight="false" outlineLevel="0" collapsed="false">
      <c r="A2961" s="9" t="s">
        <v>3230</v>
      </c>
      <c r="B2961" s="9" t="s">
        <v>3146</v>
      </c>
      <c r="C2961" s="9" t="s">
        <v>3147</v>
      </c>
      <c r="D2961" s="9" t="s">
        <v>2971</v>
      </c>
      <c r="E2961" s="9" t="s">
        <v>1660</v>
      </c>
      <c r="F2961" s="9" t="s">
        <v>211</v>
      </c>
      <c r="G2961" s="9" t="s">
        <v>221</v>
      </c>
      <c r="H2961" s="9" t="n">
        <v>2040</v>
      </c>
      <c r="I2961" s="29" t="n">
        <v>2.5</v>
      </c>
      <c r="J2961" s="9" t="n">
        <v>0</v>
      </c>
      <c r="K2961" s="30"/>
      <c r="L2961" s="30"/>
      <c r="M2961" s="30"/>
      <c r="N2961" s="30"/>
      <c r="O2961" s="30"/>
      <c r="P2961" s="30"/>
      <c r="Q2961" s="30"/>
      <c r="R2961" s="30"/>
      <c r="S2961" s="30"/>
      <c r="T2961" s="30"/>
      <c r="U2961" s="21" t="str">
        <f aca="false">IF(COUNT(K2961:T2961)=0,"SOURCE EMPTY / INDUSTRIAL ONLY",IF(MIN(K2961:T2961)=1,"SERVICE READY","HOLD"))</f>
        <v>SOURCE EMPTY / INDUSTRIAL ONLY</v>
      </c>
      <c r="V2961" s="9" t="n">
        <f aca="false">IF(U2961="SERVICE READY",1,0)</f>
        <v>0</v>
      </c>
      <c r="W2961" s="6"/>
      <c r="X2961" s="6"/>
      <c r="Y2961" s="6"/>
      <c r="Z2961" s="6"/>
    </row>
    <row r="2962" customFormat="false" ht="15" hidden="false" customHeight="false" outlineLevel="0" collapsed="false">
      <c r="A2962" s="9" t="s">
        <v>3231</v>
      </c>
      <c r="B2962" s="9" t="s">
        <v>3146</v>
      </c>
      <c r="C2962" s="9" t="s">
        <v>3147</v>
      </c>
      <c r="D2962" s="9" t="s">
        <v>2971</v>
      </c>
      <c r="E2962" s="9" t="s">
        <v>1660</v>
      </c>
      <c r="F2962" s="9" t="s">
        <v>197</v>
      </c>
      <c r="G2962" s="9" t="s">
        <v>221</v>
      </c>
      <c r="H2962" s="9" t="n">
        <v>2040</v>
      </c>
      <c r="I2962" s="29" t="n">
        <v>2.5</v>
      </c>
      <c r="J2962" s="9" t="n">
        <v>0</v>
      </c>
      <c r="K2962" s="30"/>
      <c r="L2962" s="30"/>
      <c r="M2962" s="30"/>
      <c r="N2962" s="30"/>
      <c r="O2962" s="30"/>
      <c r="P2962" s="30"/>
      <c r="Q2962" s="30"/>
      <c r="R2962" s="30"/>
      <c r="S2962" s="30"/>
      <c r="T2962" s="30"/>
      <c r="U2962" s="21" t="str">
        <f aca="false">IF(COUNT(K2962:T2962)=0,"SOURCE EMPTY / INDUSTRIAL ONLY",IF(MIN(K2962:T2962)=1,"SERVICE READY","HOLD"))</f>
        <v>SOURCE EMPTY / INDUSTRIAL ONLY</v>
      </c>
      <c r="V2962" s="9" t="n">
        <f aca="false">IF(U2962="SERVICE READY",1,0)</f>
        <v>0</v>
      </c>
      <c r="W2962" s="6"/>
      <c r="X2962" s="6"/>
      <c r="Y2962" s="6"/>
      <c r="Z2962" s="6"/>
    </row>
    <row r="2963" customFormat="false" ht="15" hidden="false" customHeight="false" outlineLevel="0" collapsed="false">
      <c r="A2963" s="9" t="s">
        <v>3232</v>
      </c>
      <c r="B2963" s="9" t="s">
        <v>3146</v>
      </c>
      <c r="C2963" s="9" t="s">
        <v>3147</v>
      </c>
      <c r="D2963" s="9" t="s">
        <v>2971</v>
      </c>
      <c r="E2963" s="9" t="s">
        <v>1660</v>
      </c>
      <c r="F2963" s="9" t="s">
        <v>200</v>
      </c>
      <c r="G2963" s="9" t="s">
        <v>221</v>
      </c>
      <c r="H2963" s="9" t="n">
        <v>2040</v>
      </c>
      <c r="I2963" s="29" t="n">
        <v>2.5</v>
      </c>
      <c r="J2963" s="9" t="n">
        <v>0</v>
      </c>
      <c r="K2963" s="30"/>
      <c r="L2963" s="30"/>
      <c r="M2963" s="30"/>
      <c r="N2963" s="30"/>
      <c r="O2963" s="30"/>
      <c r="P2963" s="30"/>
      <c r="Q2963" s="30"/>
      <c r="R2963" s="30"/>
      <c r="S2963" s="30"/>
      <c r="T2963" s="30"/>
      <c r="U2963" s="21" t="str">
        <f aca="false">IF(COUNT(K2963:T2963)=0,"SOURCE EMPTY / INDUSTRIAL ONLY",IF(MIN(K2963:T2963)=1,"SERVICE READY","HOLD"))</f>
        <v>SOURCE EMPTY / INDUSTRIAL ONLY</v>
      </c>
      <c r="V2963" s="9" t="n">
        <f aca="false">IF(U2963="SERVICE READY",1,0)</f>
        <v>0</v>
      </c>
      <c r="W2963" s="6"/>
      <c r="X2963" s="6"/>
      <c r="Y2963" s="6"/>
      <c r="Z2963" s="6"/>
    </row>
    <row r="2964" customFormat="false" ht="15" hidden="false" customHeight="false" outlineLevel="0" collapsed="false">
      <c r="A2964" s="9" t="s">
        <v>3233</v>
      </c>
      <c r="B2964" s="9" t="s">
        <v>3146</v>
      </c>
      <c r="C2964" s="9" t="s">
        <v>3147</v>
      </c>
      <c r="D2964" s="9" t="s">
        <v>2971</v>
      </c>
      <c r="E2964" s="9" t="s">
        <v>1660</v>
      </c>
      <c r="F2964" s="9" t="s">
        <v>203</v>
      </c>
      <c r="G2964" s="9" t="s">
        <v>221</v>
      </c>
      <c r="H2964" s="9" t="n">
        <v>2040</v>
      </c>
      <c r="I2964" s="29" t="n">
        <v>2.5</v>
      </c>
      <c r="J2964" s="9" t="n">
        <v>0</v>
      </c>
      <c r="K2964" s="30"/>
      <c r="L2964" s="30"/>
      <c r="M2964" s="30"/>
      <c r="N2964" s="30"/>
      <c r="O2964" s="30"/>
      <c r="P2964" s="30"/>
      <c r="Q2964" s="30"/>
      <c r="R2964" s="30"/>
      <c r="S2964" s="30"/>
      <c r="T2964" s="30"/>
      <c r="U2964" s="21" t="str">
        <f aca="false">IF(COUNT(K2964:T2964)=0,"SOURCE EMPTY / INDUSTRIAL ONLY",IF(MIN(K2964:T2964)=1,"SERVICE READY","HOLD"))</f>
        <v>SOURCE EMPTY / INDUSTRIAL ONLY</v>
      </c>
      <c r="V2964" s="9" t="n">
        <f aca="false">IF(U2964="SERVICE READY",1,0)</f>
        <v>0</v>
      </c>
      <c r="W2964" s="6"/>
      <c r="X2964" s="6"/>
      <c r="Y2964" s="6"/>
      <c r="Z2964" s="6"/>
    </row>
    <row r="2965" customFormat="false" ht="15" hidden="false" customHeight="false" outlineLevel="0" collapsed="false">
      <c r="A2965" s="9" t="s">
        <v>3234</v>
      </c>
      <c r="B2965" s="9" t="s">
        <v>3146</v>
      </c>
      <c r="C2965" s="9" t="s">
        <v>3147</v>
      </c>
      <c r="D2965" s="9" t="s">
        <v>2971</v>
      </c>
      <c r="E2965" s="9" t="s">
        <v>1660</v>
      </c>
      <c r="F2965" s="9" t="s">
        <v>205</v>
      </c>
      <c r="G2965" s="9" t="s">
        <v>221</v>
      </c>
      <c r="H2965" s="9" t="n">
        <v>2040</v>
      </c>
      <c r="I2965" s="29" t="n">
        <v>2.5</v>
      </c>
      <c r="J2965" s="9" t="n">
        <v>0</v>
      </c>
      <c r="K2965" s="30"/>
      <c r="L2965" s="30"/>
      <c r="M2965" s="30"/>
      <c r="N2965" s="30"/>
      <c r="O2965" s="30"/>
      <c r="P2965" s="30"/>
      <c r="Q2965" s="30"/>
      <c r="R2965" s="30"/>
      <c r="S2965" s="30"/>
      <c r="T2965" s="30"/>
      <c r="U2965" s="21" t="str">
        <f aca="false">IF(COUNT(K2965:T2965)=0,"SOURCE EMPTY / INDUSTRIAL ONLY",IF(MIN(K2965:T2965)=1,"SERVICE READY","HOLD"))</f>
        <v>SOURCE EMPTY / INDUSTRIAL ONLY</v>
      </c>
      <c r="V2965" s="9" t="n">
        <f aca="false">IF(U2965="SERVICE READY",1,0)</f>
        <v>0</v>
      </c>
      <c r="W2965" s="6"/>
      <c r="X2965" s="6"/>
      <c r="Y2965" s="6"/>
      <c r="Z2965" s="6"/>
    </row>
    <row r="2966" customFormat="false" ht="15" hidden="false" customHeight="false" outlineLevel="0" collapsed="false">
      <c r="A2966" s="9" t="s">
        <v>3235</v>
      </c>
      <c r="B2966" s="9" t="s">
        <v>3146</v>
      </c>
      <c r="C2966" s="9" t="s">
        <v>3147</v>
      </c>
      <c r="D2966" s="9" t="s">
        <v>2971</v>
      </c>
      <c r="E2966" s="9" t="s">
        <v>1660</v>
      </c>
      <c r="F2966" s="9" t="s">
        <v>207</v>
      </c>
      <c r="G2966" s="9" t="s">
        <v>221</v>
      </c>
      <c r="H2966" s="9" t="n">
        <v>2040</v>
      </c>
      <c r="I2966" s="29" t="n">
        <v>2.5</v>
      </c>
      <c r="J2966" s="9" t="n">
        <v>0</v>
      </c>
      <c r="K2966" s="30"/>
      <c r="L2966" s="30"/>
      <c r="M2966" s="30"/>
      <c r="N2966" s="30"/>
      <c r="O2966" s="30"/>
      <c r="P2966" s="30"/>
      <c r="Q2966" s="30"/>
      <c r="R2966" s="30"/>
      <c r="S2966" s="30"/>
      <c r="T2966" s="30"/>
      <c r="U2966" s="21" t="str">
        <f aca="false">IF(COUNT(K2966:T2966)=0,"SOURCE EMPTY / INDUSTRIAL ONLY",IF(MIN(K2966:T2966)=1,"SERVICE READY","HOLD"))</f>
        <v>SOURCE EMPTY / INDUSTRIAL ONLY</v>
      </c>
      <c r="V2966" s="9" t="n">
        <f aca="false">IF(U2966="SERVICE READY",1,0)</f>
        <v>0</v>
      </c>
      <c r="W2966" s="6"/>
      <c r="X2966" s="6"/>
      <c r="Y2966" s="6"/>
      <c r="Z2966" s="6"/>
    </row>
    <row r="2967" customFormat="false" ht="15" hidden="false" customHeight="false" outlineLevel="0" collapsed="false">
      <c r="A2967" s="9" t="s">
        <v>3236</v>
      </c>
      <c r="B2967" s="9" t="s">
        <v>3146</v>
      </c>
      <c r="C2967" s="9" t="s">
        <v>3147</v>
      </c>
      <c r="D2967" s="9" t="s">
        <v>2971</v>
      </c>
      <c r="E2967" s="9" t="s">
        <v>1660</v>
      </c>
      <c r="F2967" s="9" t="s">
        <v>209</v>
      </c>
      <c r="G2967" s="9" t="s">
        <v>221</v>
      </c>
      <c r="H2967" s="9" t="n">
        <v>2040</v>
      </c>
      <c r="I2967" s="29" t="n">
        <v>2.5</v>
      </c>
      <c r="J2967" s="9" t="n">
        <v>0</v>
      </c>
      <c r="K2967" s="30"/>
      <c r="L2967" s="30"/>
      <c r="M2967" s="30"/>
      <c r="N2967" s="30"/>
      <c r="O2967" s="30"/>
      <c r="P2967" s="30"/>
      <c r="Q2967" s="30"/>
      <c r="R2967" s="30"/>
      <c r="S2967" s="30"/>
      <c r="T2967" s="30"/>
      <c r="U2967" s="21" t="str">
        <f aca="false">IF(COUNT(K2967:T2967)=0,"SOURCE EMPTY / INDUSTRIAL ONLY",IF(MIN(K2967:T2967)=1,"SERVICE READY","HOLD"))</f>
        <v>SOURCE EMPTY / INDUSTRIAL ONLY</v>
      </c>
      <c r="V2967" s="9" t="n">
        <f aca="false">IF(U2967="SERVICE READY",1,0)</f>
        <v>0</v>
      </c>
      <c r="W2967" s="6"/>
      <c r="X2967" s="6"/>
      <c r="Y2967" s="6"/>
      <c r="Z2967" s="6"/>
    </row>
    <row r="2968" customFormat="false" ht="15" hidden="false" customHeight="false" outlineLevel="0" collapsed="false">
      <c r="A2968" s="9" t="s">
        <v>3237</v>
      </c>
      <c r="B2968" s="9" t="s">
        <v>3146</v>
      </c>
      <c r="C2968" s="9" t="s">
        <v>3147</v>
      </c>
      <c r="D2968" s="9" t="s">
        <v>2971</v>
      </c>
      <c r="E2968" s="9" t="s">
        <v>1660</v>
      </c>
      <c r="F2968" s="9" t="s">
        <v>211</v>
      </c>
      <c r="G2968" s="9" t="s">
        <v>221</v>
      </c>
      <c r="H2968" s="9" t="n">
        <v>2040</v>
      </c>
      <c r="I2968" s="29" t="n">
        <v>2.5</v>
      </c>
      <c r="J2968" s="9" t="n">
        <v>0</v>
      </c>
      <c r="K2968" s="30"/>
      <c r="L2968" s="30"/>
      <c r="M2968" s="30"/>
      <c r="N2968" s="30"/>
      <c r="O2968" s="30"/>
      <c r="P2968" s="30"/>
      <c r="Q2968" s="30"/>
      <c r="R2968" s="30"/>
      <c r="S2968" s="30"/>
      <c r="T2968" s="30"/>
      <c r="U2968" s="21" t="str">
        <f aca="false">IF(COUNT(K2968:T2968)=0,"SOURCE EMPTY / INDUSTRIAL ONLY",IF(MIN(K2968:T2968)=1,"SERVICE READY","HOLD"))</f>
        <v>SOURCE EMPTY / INDUSTRIAL ONLY</v>
      </c>
      <c r="V2968" s="9" t="n">
        <f aca="false">IF(U2968="SERVICE READY",1,0)</f>
        <v>0</v>
      </c>
      <c r="W2968" s="6"/>
      <c r="X2968" s="6"/>
      <c r="Y2968" s="6"/>
      <c r="Z2968" s="6"/>
    </row>
    <row r="2969" customFormat="false" ht="15" hidden="false" customHeight="false" outlineLevel="0" collapsed="false">
      <c r="A2969" s="9" t="s">
        <v>3238</v>
      </c>
      <c r="B2969" s="9" t="s">
        <v>3146</v>
      </c>
      <c r="C2969" s="9" t="s">
        <v>3147</v>
      </c>
      <c r="D2969" s="9" t="s">
        <v>2971</v>
      </c>
      <c r="E2969" s="9" t="s">
        <v>1660</v>
      </c>
      <c r="F2969" s="9" t="s">
        <v>197</v>
      </c>
      <c r="G2969" s="9" t="s">
        <v>221</v>
      </c>
      <c r="H2969" s="9" t="n">
        <v>2040</v>
      </c>
      <c r="I2969" s="29" t="n">
        <v>2.5</v>
      </c>
      <c r="J2969" s="9" t="n">
        <v>0</v>
      </c>
      <c r="K2969" s="30"/>
      <c r="L2969" s="30"/>
      <c r="M2969" s="30"/>
      <c r="N2969" s="30"/>
      <c r="O2969" s="30"/>
      <c r="P2969" s="30"/>
      <c r="Q2969" s="30"/>
      <c r="R2969" s="30"/>
      <c r="S2969" s="30"/>
      <c r="T2969" s="30"/>
      <c r="U2969" s="21" t="str">
        <f aca="false">IF(COUNT(K2969:T2969)=0,"SOURCE EMPTY / INDUSTRIAL ONLY",IF(MIN(K2969:T2969)=1,"SERVICE READY","HOLD"))</f>
        <v>SOURCE EMPTY / INDUSTRIAL ONLY</v>
      </c>
      <c r="V2969" s="9" t="n">
        <f aca="false">IF(U2969="SERVICE READY",1,0)</f>
        <v>0</v>
      </c>
      <c r="W2969" s="6"/>
      <c r="X2969" s="6"/>
      <c r="Y2969" s="6"/>
      <c r="Z2969" s="6"/>
    </row>
    <row r="2970" customFormat="false" ht="15" hidden="false" customHeight="false" outlineLevel="0" collapsed="false">
      <c r="A2970" s="9" t="s">
        <v>3239</v>
      </c>
      <c r="B2970" s="9" t="s">
        <v>3146</v>
      </c>
      <c r="C2970" s="9" t="s">
        <v>3147</v>
      </c>
      <c r="D2970" s="9" t="s">
        <v>2971</v>
      </c>
      <c r="E2970" s="9" t="s">
        <v>1660</v>
      </c>
      <c r="F2970" s="9" t="s">
        <v>200</v>
      </c>
      <c r="G2970" s="9" t="s">
        <v>221</v>
      </c>
      <c r="H2970" s="9" t="n">
        <v>2040</v>
      </c>
      <c r="I2970" s="29" t="n">
        <v>2.5</v>
      </c>
      <c r="J2970" s="9" t="n">
        <v>0</v>
      </c>
      <c r="K2970" s="30"/>
      <c r="L2970" s="30"/>
      <c r="M2970" s="30"/>
      <c r="N2970" s="30"/>
      <c r="O2970" s="30"/>
      <c r="P2970" s="30"/>
      <c r="Q2970" s="30"/>
      <c r="R2970" s="30"/>
      <c r="S2970" s="30"/>
      <c r="T2970" s="30"/>
      <c r="U2970" s="21" t="str">
        <f aca="false">IF(COUNT(K2970:T2970)=0,"SOURCE EMPTY / INDUSTRIAL ONLY",IF(MIN(K2970:T2970)=1,"SERVICE READY","HOLD"))</f>
        <v>SOURCE EMPTY / INDUSTRIAL ONLY</v>
      </c>
      <c r="V2970" s="9" t="n">
        <f aca="false">IF(U2970="SERVICE READY",1,0)</f>
        <v>0</v>
      </c>
      <c r="W2970" s="6"/>
      <c r="X2970" s="6"/>
      <c r="Y2970" s="6"/>
      <c r="Z2970" s="6"/>
    </row>
    <row r="2971" customFormat="false" ht="15" hidden="false" customHeight="false" outlineLevel="0" collapsed="false">
      <c r="A2971" s="9" t="s">
        <v>3240</v>
      </c>
      <c r="B2971" s="9" t="s">
        <v>3146</v>
      </c>
      <c r="C2971" s="9" t="s">
        <v>3147</v>
      </c>
      <c r="D2971" s="9" t="s">
        <v>2971</v>
      </c>
      <c r="E2971" s="9" t="s">
        <v>1660</v>
      </c>
      <c r="F2971" s="9" t="s">
        <v>203</v>
      </c>
      <c r="G2971" s="9" t="s">
        <v>221</v>
      </c>
      <c r="H2971" s="9" t="n">
        <v>2040</v>
      </c>
      <c r="I2971" s="29" t="n">
        <v>2.5</v>
      </c>
      <c r="J2971" s="9" t="n">
        <v>0</v>
      </c>
      <c r="K2971" s="30"/>
      <c r="L2971" s="30"/>
      <c r="M2971" s="30"/>
      <c r="N2971" s="30"/>
      <c r="O2971" s="30"/>
      <c r="P2971" s="30"/>
      <c r="Q2971" s="30"/>
      <c r="R2971" s="30"/>
      <c r="S2971" s="30"/>
      <c r="T2971" s="30"/>
      <c r="U2971" s="21" t="str">
        <f aca="false">IF(COUNT(K2971:T2971)=0,"SOURCE EMPTY / INDUSTRIAL ONLY",IF(MIN(K2971:T2971)=1,"SERVICE READY","HOLD"))</f>
        <v>SOURCE EMPTY / INDUSTRIAL ONLY</v>
      </c>
      <c r="V2971" s="9" t="n">
        <f aca="false">IF(U2971="SERVICE READY",1,0)</f>
        <v>0</v>
      </c>
      <c r="W2971" s="6"/>
      <c r="X2971" s="6"/>
      <c r="Y2971" s="6"/>
      <c r="Z2971" s="6"/>
    </row>
    <row r="2972" customFormat="false" ht="15" hidden="false" customHeight="false" outlineLevel="0" collapsed="false">
      <c r="A2972" s="9" t="s">
        <v>3241</v>
      </c>
      <c r="B2972" s="9" t="s">
        <v>3146</v>
      </c>
      <c r="C2972" s="9" t="s">
        <v>3147</v>
      </c>
      <c r="D2972" s="9" t="s">
        <v>2971</v>
      </c>
      <c r="E2972" s="9" t="s">
        <v>1660</v>
      </c>
      <c r="F2972" s="9" t="s">
        <v>205</v>
      </c>
      <c r="G2972" s="9" t="s">
        <v>221</v>
      </c>
      <c r="H2972" s="9" t="n">
        <v>2040</v>
      </c>
      <c r="I2972" s="29" t="n">
        <v>2.5</v>
      </c>
      <c r="J2972" s="9" t="n">
        <v>0</v>
      </c>
      <c r="K2972" s="30"/>
      <c r="L2972" s="30"/>
      <c r="M2972" s="30"/>
      <c r="N2972" s="30"/>
      <c r="O2972" s="30"/>
      <c r="P2972" s="30"/>
      <c r="Q2972" s="30"/>
      <c r="R2972" s="30"/>
      <c r="S2972" s="30"/>
      <c r="T2972" s="30"/>
      <c r="U2972" s="21" t="str">
        <f aca="false">IF(COUNT(K2972:T2972)=0,"SOURCE EMPTY / INDUSTRIAL ONLY",IF(MIN(K2972:T2972)=1,"SERVICE READY","HOLD"))</f>
        <v>SOURCE EMPTY / INDUSTRIAL ONLY</v>
      </c>
      <c r="V2972" s="9" t="n">
        <f aca="false">IF(U2972="SERVICE READY",1,0)</f>
        <v>0</v>
      </c>
      <c r="W2972" s="6"/>
      <c r="X2972" s="6"/>
      <c r="Y2972" s="6"/>
      <c r="Z2972" s="6"/>
    </row>
    <row r="2973" customFormat="false" ht="15" hidden="false" customHeight="false" outlineLevel="0" collapsed="false">
      <c r="A2973" s="9" t="s">
        <v>3242</v>
      </c>
      <c r="B2973" s="9" t="s">
        <v>3146</v>
      </c>
      <c r="C2973" s="9" t="s">
        <v>3147</v>
      </c>
      <c r="D2973" s="9" t="s">
        <v>2971</v>
      </c>
      <c r="E2973" s="9" t="s">
        <v>1660</v>
      </c>
      <c r="F2973" s="9" t="s">
        <v>207</v>
      </c>
      <c r="G2973" s="9" t="s">
        <v>221</v>
      </c>
      <c r="H2973" s="9" t="n">
        <v>2040</v>
      </c>
      <c r="I2973" s="29" t="n">
        <v>2.5</v>
      </c>
      <c r="J2973" s="9" t="n">
        <v>0</v>
      </c>
      <c r="K2973" s="30"/>
      <c r="L2973" s="30"/>
      <c r="M2973" s="30"/>
      <c r="N2973" s="30"/>
      <c r="O2973" s="30"/>
      <c r="P2973" s="30"/>
      <c r="Q2973" s="30"/>
      <c r="R2973" s="30"/>
      <c r="S2973" s="30"/>
      <c r="T2973" s="30"/>
      <c r="U2973" s="21" t="str">
        <f aca="false">IF(COUNT(K2973:T2973)=0,"SOURCE EMPTY / INDUSTRIAL ONLY",IF(MIN(K2973:T2973)=1,"SERVICE READY","HOLD"))</f>
        <v>SOURCE EMPTY / INDUSTRIAL ONLY</v>
      </c>
      <c r="V2973" s="9" t="n">
        <f aca="false">IF(U2973="SERVICE READY",1,0)</f>
        <v>0</v>
      </c>
      <c r="W2973" s="6"/>
      <c r="X2973" s="6"/>
      <c r="Y2973" s="6"/>
      <c r="Z2973" s="6"/>
    </row>
    <row r="2974" customFormat="false" ht="15" hidden="false" customHeight="false" outlineLevel="0" collapsed="false">
      <c r="A2974" s="9" t="s">
        <v>3243</v>
      </c>
      <c r="B2974" s="9" t="s">
        <v>3146</v>
      </c>
      <c r="C2974" s="9" t="s">
        <v>3147</v>
      </c>
      <c r="D2974" s="9" t="s">
        <v>2971</v>
      </c>
      <c r="E2974" s="9" t="s">
        <v>1660</v>
      </c>
      <c r="F2974" s="9" t="s">
        <v>209</v>
      </c>
      <c r="G2974" s="9" t="s">
        <v>221</v>
      </c>
      <c r="H2974" s="9" t="n">
        <v>2040</v>
      </c>
      <c r="I2974" s="29" t="n">
        <v>2.5</v>
      </c>
      <c r="J2974" s="9" t="n">
        <v>0</v>
      </c>
      <c r="K2974" s="30"/>
      <c r="L2974" s="30"/>
      <c r="M2974" s="30"/>
      <c r="N2974" s="30"/>
      <c r="O2974" s="30"/>
      <c r="P2974" s="30"/>
      <c r="Q2974" s="30"/>
      <c r="R2974" s="30"/>
      <c r="S2974" s="30"/>
      <c r="T2974" s="30"/>
      <c r="U2974" s="21" t="str">
        <f aca="false">IF(COUNT(K2974:T2974)=0,"SOURCE EMPTY / INDUSTRIAL ONLY",IF(MIN(K2974:T2974)=1,"SERVICE READY","HOLD"))</f>
        <v>SOURCE EMPTY / INDUSTRIAL ONLY</v>
      </c>
      <c r="V2974" s="9" t="n">
        <f aca="false">IF(U2974="SERVICE READY",1,0)</f>
        <v>0</v>
      </c>
      <c r="W2974" s="6"/>
      <c r="X2974" s="6"/>
      <c r="Y2974" s="6"/>
      <c r="Z2974" s="6"/>
    </row>
    <row r="2975" customFormat="false" ht="15" hidden="false" customHeight="false" outlineLevel="0" collapsed="false">
      <c r="A2975" s="9" t="s">
        <v>3244</v>
      </c>
      <c r="B2975" s="9" t="s">
        <v>3146</v>
      </c>
      <c r="C2975" s="9" t="s">
        <v>3147</v>
      </c>
      <c r="D2975" s="9" t="s">
        <v>2971</v>
      </c>
      <c r="E2975" s="9" t="s">
        <v>1660</v>
      </c>
      <c r="F2975" s="9" t="s">
        <v>211</v>
      </c>
      <c r="G2975" s="9" t="s">
        <v>221</v>
      </c>
      <c r="H2975" s="9" t="n">
        <v>2040</v>
      </c>
      <c r="I2975" s="29" t="n">
        <v>2.5</v>
      </c>
      <c r="J2975" s="9" t="n">
        <v>0</v>
      </c>
      <c r="K2975" s="30"/>
      <c r="L2975" s="30"/>
      <c r="M2975" s="30"/>
      <c r="N2975" s="30"/>
      <c r="O2975" s="30"/>
      <c r="P2975" s="30"/>
      <c r="Q2975" s="30"/>
      <c r="R2975" s="30"/>
      <c r="S2975" s="30"/>
      <c r="T2975" s="30"/>
      <c r="U2975" s="21" t="str">
        <f aca="false">IF(COUNT(K2975:T2975)=0,"SOURCE EMPTY / INDUSTRIAL ONLY",IF(MIN(K2975:T2975)=1,"SERVICE READY","HOLD"))</f>
        <v>SOURCE EMPTY / INDUSTRIAL ONLY</v>
      </c>
      <c r="V2975" s="9" t="n">
        <f aca="false">IF(U2975="SERVICE READY",1,0)</f>
        <v>0</v>
      </c>
      <c r="W2975" s="6"/>
      <c r="X2975" s="6"/>
      <c r="Y2975" s="6"/>
      <c r="Z2975" s="6"/>
    </row>
    <row r="2976" customFormat="false" ht="15" hidden="false" customHeight="false" outlineLevel="0" collapsed="false">
      <c r="A2976" s="9" t="s">
        <v>3245</v>
      </c>
      <c r="B2976" s="9" t="s">
        <v>3146</v>
      </c>
      <c r="C2976" s="9" t="s">
        <v>3147</v>
      </c>
      <c r="D2976" s="9" t="s">
        <v>2971</v>
      </c>
      <c r="E2976" s="9" t="s">
        <v>1660</v>
      </c>
      <c r="F2976" s="9" t="s">
        <v>197</v>
      </c>
      <c r="G2976" s="9" t="s">
        <v>221</v>
      </c>
      <c r="H2976" s="9" t="n">
        <v>2040</v>
      </c>
      <c r="I2976" s="29" t="n">
        <v>2.5</v>
      </c>
      <c r="J2976" s="9" t="n">
        <v>0</v>
      </c>
      <c r="K2976" s="30"/>
      <c r="L2976" s="30"/>
      <c r="M2976" s="30"/>
      <c r="N2976" s="30"/>
      <c r="O2976" s="30"/>
      <c r="P2976" s="30"/>
      <c r="Q2976" s="30"/>
      <c r="R2976" s="30"/>
      <c r="S2976" s="30"/>
      <c r="T2976" s="30"/>
      <c r="U2976" s="21" t="str">
        <f aca="false">IF(COUNT(K2976:T2976)=0,"SOURCE EMPTY / INDUSTRIAL ONLY",IF(MIN(K2976:T2976)=1,"SERVICE READY","HOLD"))</f>
        <v>SOURCE EMPTY / INDUSTRIAL ONLY</v>
      </c>
      <c r="V2976" s="9" t="n">
        <f aca="false">IF(U2976="SERVICE READY",1,0)</f>
        <v>0</v>
      </c>
      <c r="W2976" s="6"/>
      <c r="X2976" s="6"/>
      <c r="Y2976" s="6"/>
      <c r="Z2976" s="6"/>
    </row>
    <row r="2977" customFormat="false" ht="15" hidden="false" customHeight="false" outlineLevel="0" collapsed="false">
      <c r="A2977" s="9" t="s">
        <v>3246</v>
      </c>
      <c r="B2977" s="9" t="s">
        <v>3146</v>
      </c>
      <c r="C2977" s="9" t="s">
        <v>3147</v>
      </c>
      <c r="D2977" s="9" t="s">
        <v>2971</v>
      </c>
      <c r="E2977" s="9" t="s">
        <v>1660</v>
      </c>
      <c r="F2977" s="9" t="s">
        <v>200</v>
      </c>
      <c r="G2977" s="9" t="s">
        <v>221</v>
      </c>
      <c r="H2977" s="9" t="n">
        <v>2040</v>
      </c>
      <c r="I2977" s="29" t="n">
        <v>2.5</v>
      </c>
      <c r="J2977" s="9" t="n">
        <v>0</v>
      </c>
      <c r="K2977" s="30"/>
      <c r="L2977" s="30"/>
      <c r="M2977" s="30"/>
      <c r="N2977" s="30"/>
      <c r="O2977" s="30"/>
      <c r="P2977" s="30"/>
      <c r="Q2977" s="30"/>
      <c r="R2977" s="30"/>
      <c r="S2977" s="30"/>
      <c r="T2977" s="30"/>
      <c r="U2977" s="21" t="str">
        <f aca="false">IF(COUNT(K2977:T2977)=0,"SOURCE EMPTY / INDUSTRIAL ONLY",IF(MIN(K2977:T2977)=1,"SERVICE READY","HOLD"))</f>
        <v>SOURCE EMPTY / INDUSTRIAL ONLY</v>
      </c>
      <c r="V2977" s="9" t="n">
        <f aca="false">IF(U2977="SERVICE READY",1,0)</f>
        <v>0</v>
      </c>
      <c r="W2977" s="6"/>
      <c r="X2977" s="6"/>
      <c r="Y2977" s="6"/>
      <c r="Z2977" s="6"/>
    </row>
    <row r="2978" customFormat="false" ht="15" hidden="false" customHeight="false" outlineLevel="0" collapsed="false">
      <c r="A2978" s="9" t="s">
        <v>3247</v>
      </c>
      <c r="B2978" s="9" t="s">
        <v>3146</v>
      </c>
      <c r="C2978" s="9" t="s">
        <v>3147</v>
      </c>
      <c r="D2978" s="9" t="s">
        <v>2971</v>
      </c>
      <c r="E2978" s="9" t="s">
        <v>1660</v>
      </c>
      <c r="F2978" s="9" t="s">
        <v>203</v>
      </c>
      <c r="G2978" s="9" t="s">
        <v>221</v>
      </c>
      <c r="H2978" s="9" t="n">
        <v>2040</v>
      </c>
      <c r="I2978" s="29" t="n">
        <v>2.5</v>
      </c>
      <c r="J2978" s="9" t="n">
        <v>0</v>
      </c>
      <c r="K2978" s="30"/>
      <c r="L2978" s="30"/>
      <c r="M2978" s="30"/>
      <c r="N2978" s="30"/>
      <c r="O2978" s="30"/>
      <c r="P2978" s="30"/>
      <c r="Q2978" s="30"/>
      <c r="R2978" s="30"/>
      <c r="S2978" s="30"/>
      <c r="T2978" s="30"/>
      <c r="U2978" s="21" t="str">
        <f aca="false">IF(COUNT(K2978:T2978)=0,"SOURCE EMPTY / INDUSTRIAL ONLY",IF(MIN(K2978:T2978)=1,"SERVICE READY","HOLD"))</f>
        <v>SOURCE EMPTY / INDUSTRIAL ONLY</v>
      </c>
      <c r="V2978" s="9" t="n">
        <f aca="false">IF(U2978="SERVICE READY",1,0)</f>
        <v>0</v>
      </c>
      <c r="W2978" s="6"/>
      <c r="X2978" s="6"/>
      <c r="Y2978" s="6"/>
      <c r="Z2978" s="6"/>
    </row>
    <row r="2979" customFormat="false" ht="15" hidden="false" customHeight="false" outlineLevel="0" collapsed="false">
      <c r="A2979" s="9" t="s">
        <v>3248</v>
      </c>
      <c r="B2979" s="9" t="s">
        <v>3146</v>
      </c>
      <c r="C2979" s="9" t="s">
        <v>3147</v>
      </c>
      <c r="D2979" s="9" t="s">
        <v>2971</v>
      </c>
      <c r="E2979" s="9" t="s">
        <v>1660</v>
      </c>
      <c r="F2979" s="9" t="s">
        <v>205</v>
      </c>
      <c r="G2979" s="9" t="s">
        <v>221</v>
      </c>
      <c r="H2979" s="9" t="n">
        <v>2040</v>
      </c>
      <c r="I2979" s="29" t="n">
        <v>2.5</v>
      </c>
      <c r="J2979" s="9" t="n">
        <v>0</v>
      </c>
      <c r="K2979" s="30"/>
      <c r="L2979" s="30"/>
      <c r="M2979" s="30"/>
      <c r="N2979" s="30"/>
      <c r="O2979" s="30"/>
      <c r="P2979" s="30"/>
      <c r="Q2979" s="30"/>
      <c r="R2979" s="30"/>
      <c r="S2979" s="30"/>
      <c r="T2979" s="30"/>
      <c r="U2979" s="21" t="str">
        <f aca="false">IF(COUNT(K2979:T2979)=0,"SOURCE EMPTY / INDUSTRIAL ONLY",IF(MIN(K2979:T2979)=1,"SERVICE READY","HOLD"))</f>
        <v>SOURCE EMPTY / INDUSTRIAL ONLY</v>
      </c>
      <c r="V2979" s="9" t="n">
        <f aca="false">IF(U2979="SERVICE READY",1,0)</f>
        <v>0</v>
      </c>
      <c r="W2979" s="6"/>
      <c r="X2979" s="6"/>
      <c r="Y2979" s="6"/>
      <c r="Z2979" s="6"/>
    </row>
    <row r="2980" customFormat="false" ht="15" hidden="false" customHeight="false" outlineLevel="0" collapsed="false">
      <c r="A2980" s="9" t="s">
        <v>3249</v>
      </c>
      <c r="B2980" s="9" t="s">
        <v>3146</v>
      </c>
      <c r="C2980" s="9" t="s">
        <v>3147</v>
      </c>
      <c r="D2980" s="9" t="s">
        <v>2971</v>
      </c>
      <c r="E2980" s="9" t="s">
        <v>1660</v>
      </c>
      <c r="F2980" s="9" t="s">
        <v>207</v>
      </c>
      <c r="G2980" s="9" t="s">
        <v>221</v>
      </c>
      <c r="H2980" s="9" t="n">
        <v>2040</v>
      </c>
      <c r="I2980" s="29" t="n">
        <v>2.5</v>
      </c>
      <c r="J2980" s="9" t="n">
        <v>0</v>
      </c>
      <c r="K2980" s="30"/>
      <c r="L2980" s="30"/>
      <c r="M2980" s="30"/>
      <c r="N2980" s="30"/>
      <c r="O2980" s="30"/>
      <c r="P2980" s="30"/>
      <c r="Q2980" s="30"/>
      <c r="R2980" s="30"/>
      <c r="S2980" s="30"/>
      <c r="T2980" s="30"/>
      <c r="U2980" s="21" t="str">
        <f aca="false">IF(COUNT(K2980:T2980)=0,"SOURCE EMPTY / INDUSTRIAL ONLY",IF(MIN(K2980:T2980)=1,"SERVICE READY","HOLD"))</f>
        <v>SOURCE EMPTY / INDUSTRIAL ONLY</v>
      </c>
      <c r="V2980" s="9" t="n">
        <f aca="false">IF(U2980="SERVICE READY",1,0)</f>
        <v>0</v>
      </c>
      <c r="W2980" s="6"/>
      <c r="X2980" s="6"/>
      <c r="Y2980" s="6"/>
      <c r="Z2980" s="6"/>
    </row>
    <row r="2981" customFormat="false" ht="15" hidden="false" customHeight="false" outlineLevel="0" collapsed="false">
      <c r="A2981" s="9" t="s">
        <v>3250</v>
      </c>
      <c r="B2981" s="9" t="s">
        <v>3146</v>
      </c>
      <c r="C2981" s="9" t="s">
        <v>3147</v>
      </c>
      <c r="D2981" s="9" t="s">
        <v>2971</v>
      </c>
      <c r="E2981" s="9" t="s">
        <v>1660</v>
      </c>
      <c r="F2981" s="9" t="s">
        <v>209</v>
      </c>
      <c r="G2981" s="9" t="s">
        <v>221</v>
      </c>
      <c r="H2981" s="9" t="n">
        <v>2040</v>
      </c>
      <c r="I2981" s="29" t="n">
        <v>2.5</v>
      </c>
      <c r="J2981" s="9" t="n">
        <v>0</v>
      </c>
      <c r="K2981" s="30"/>
      <c r="L2981" s="30"/>
      <c r="M2981" s="30"/>
      <c r="N2981" s="30"/>
      <c r="O2981" s="30"/>
      <c r="P2981" s="30"/>
      <c r="Q2981" s="30"/>
      <c r="R2981" s="30"/>
      <c r="S2981" s="30"/>
      <c r="T2981" s="30"/>
      <c r="U2981" s="21" t="str">
        <f aca="false">IF(COUNT(K2981:T2981)=0,"SOURCE EMPTY / INDUSTRIAL ONLY",IF(MIN(K2981:T2981)=1,"SERVICE READY","HOLD"))</f>
        <v>SOURCE EMPTY / INDUSTRIAL ONLY</v>
      </c>
      <c r="V2981" s="9" t="n">
        <f aca="false">IF(U2981="SERVICE READY",1,0)</f>
        <v>0</v>
      </c>
      <c r="W2981" s="6"/>
      <c r="X2981" s="6"/>
      <c r="Y2981" s="6"/>
      <c r="Z2981" s="6"/>
    </row>
    <row r="2982" customFormat="false" ht="15" hidden="false" customHeight="false" outlineLevel="0" collapsed="false">
      <c r="A2982" s="9" t="s">
        <v>3251</v>
      </c>
      <c r="B2982" s="9" t="s">
        <v>3146</v>
      </c>
      <c r="C2982" s="9" t="s">
        <v>3147</v>
      </c>
      <c r="D2982" s="9" t="s">
        <v>2971</v>
      </c>
      <c r="E2982" s="9" t="s">
        <v>1660</v>
      </c>
      <c r="F2982" s="9" t="s">
        <v>211</v>
      </c>
      <c r="G2982" s="9" t="s">
        <v>221</v>
      </c>
      <c r="H2982" s="9" t="n">
        <v>2040</v>
      </c>
      <c r="I2982" s="29" t="n">
        <v>2.5</v>
      </c>
      <c r="J2982" s="9" t="n">
        <v>0</v>
      </c>
      <c r="K2982" s="30"/>
      <c r="L2982" s="30"/>
      <c r="M2982" s="30"/>
      <c r="N2982" s="30"/>
      <c r="O2982" s="30"/>
      <c r="P2982" s="30"/>
      <c r="Q2982" s="30"/>
      <c r="R2982" s="30"/>
      <c r="S2982" s="30"/>
      <c r="T2982" s="30"/>
      <c r="U2982" s="21" t="str">
        <f aca="false">IF(COUNT(K2982:T2982)=0,"SOURCE EMPTY / INDUSTRIAL ONLY",IF(MIN(K2982:T2982)=1,"SERVICE READY","HOLD"))</f>
        <v>SOURCE EMPTY / INDUSTRIAL ONLY</v>
      </c>
      <c r="V2982" s="9" t="n">
        <f aca="false">IF(U2982="SERVICE READY",1,0)</f>
        <v>0</v>
      </c>
      <c r="W2982" s="6"/>
      <c r="X2982" s="6"/>
      <c r="Y2982" s="6"/>
      <c r="Z2982" s="6"/>
    </row>
    <row r="2983" customFormat="false" ht="15" hidden="false" customHeight="false" outlineLevel="0" collapsed="false">
      <c r="A2983" s="9" t="s">
        <v>3252</v>
      </c>
      <c r="B2983" s="9" t="s">
        <v>3146</v>
      </c>
      <c r="C2983" s="9" t="s">
        <v>3147</v>
      </c>
      <c r="D2983" s="9" t="s">
        <v>2971</v>
      </c>
      <c r="E2983" s="9" t="s">
        <v>1660</v>
      </c>
      <c r="F2983" s="9" t="s">
        <v>197</v>
      </c>
      <c r="G2983" s="9" t="s">
        <v>221</v>
      </c>
      <c r="H2983" s="9" t="n">
        <v>2040</v>
      </c>
      <c r="I2983" s="29" t="n">
        <v>2.5</v>
      </c>
      <c r="J2983" s="9" t="n">
        <v>0</v>
      </c>
      <c r="K2983" s="30"/>
      <c r="L2983" s="30"/>
      <c r="M2983" s="30"/>
      <c r="N2983" s="30"/>
      <c r="O2983" s="30"/>
      <c r="P2983" s="30"/>
      <c r="Q2983" s="30"/>
      <c r="R2983" s="30"/>
      <c r="S2983" s="30"/>
      <c r="T2983" s="30"/>
      <c r="U2983" s="21" t="str">
        <f aca="false">IF(COUNT(K2983:T2983)=0,"SOURCE EMPTY / INDUSTRIAL ONLY",IF(MIN(K2983:T2983)=1,"SERVICE READY","HOLD"))</f>
        <v>SOURCE EMPTY / INDUSTRIAL ONLY</v>
      </c>
      <c r="V2983" s="9" t="n">
        <f aca="false">IF(U2983="SERVICE READY",1,0)</f>
        <v>0</v>
      </c>
      <c r="W2983" s="6"/>
      <c r="X2983" s="6"/>
      <c r="Y2983" s="6"/>
      <c r="Z2983" s="6"/>
    </row>
    <row r="2984" customFormat="false" ht="15" hidden="false" customHeight="false" outlineLevel="0" collapsed="false">
      <c r="A2984" s="9" t="s">
        <v>3253</v>
      </c>
      <c r="B2984" s="9" t="s">
        <v>3146</v>
      </c>
      <c r="C2984" s="9" t="s">
        <v>3147</v>
      </c>
      <c r="D2984" s="9" t="s">
        <v>2971</v>
      </c>
      <c r="E2984" s="9" t="s">
        <v>1660</v>
      </c>
      <c r="F2984" s="9" t="s">
        <v>200</v>
      </c>
      <c r="G2984" s="9" t="s">
        <v>221</v>
      </c>
      <c r="H2984" s="9" t="n">
        <v>2040</v>
      </c>
      <c r="I2984" s="29" t="n">
        <v>2.5</v>
      </c>
      <c r="J2984" s="9" t="n">
        <v>0</v>
      </c>
      <c r="K2984" s="30"/>
      <c r="L2984" s="30"/>
      <c r="M2984" s="30"/>
      <c r="N2984" s="30"/>
      <c r="O2984" s="30"/>
      <c r="P2984" s="30"/>
      <c r="Q2984" s="30"/>
      <c r="R2984" s="30"/>
      <c r="S2984" s="30"/>
      <c r="T2984" s="30"/>
      <c r="U2984" s="21" t="str">
        <f aca="false">IF(COUNT(K2984:T2984)=0,"SOURCE EMPTY / INDUSTRIAL ONLY",IF(MIN(K2984:T2984)=1,"SERVICE READY","HOLD"))</f>
        <v>SOURCE EMPTY / INDUSTRIAL ONLY</v>
      </c>
      <c r="V2984" s="9" t="n">
        <f aca="false">IF(U2984="SERVICE READY",1,0)</f>
        <v>0</v>
      </c>
      <c r="W2984" s="6"/>
      <c r="X2984" s="6"/>
      <c r="Y2984" s="6"/>
      <c r="Z2984" s="6"/>
    </row>
    <row r="2985" customFormat="false" ht="15" hidden="false" customHeight="false" outlineLevel="0" collapsed="false">
      <c r="A2985" s="9" t="s">
        <v>3254</v>
      </c>
      <c r="B2985" s="9" t="s">
        <v>3146</v>
      </c>
      <c r="C2985" s="9" t="s">
        <v>3147</v>
      </c>
      <c r="D2985" s="9" t="s">
        <v>2971</v>
      </c>
      <c r="E2985" s="9" t="s">
        <v>1660</v>
      </c>
      <c r="F2985" s="9" t="s">
        <v>203</v>
      </c>
      <c r="G2985" s="9" t="s">
        <v>221</v>
      </c>
      <c r="H2985" s="9" t="n">
        <v>2040</v>
      </c>
      <c r="I2985" s="29" t="n">
        <v>2.5</v>
      </c>
      <c r="J2985" s="9" t="n">
        <v>0</v>
      </c>
      <c r="K2985" s="30"/>
      <c r="L2985" s="30"/>
      <c r="M2985" s="30"/>
      <c r="N2985" s="30"/>
      <c r="O2985" s="30"/>
      <c r="P2985" s="30"/>
      <c r="Q2985" s="30"/>
      <c r="R2985" s="30"/>
      <c r="S2985" s="30"/>
      <c r="T2985" s="30"/>
      <c r="U2985" s="21" t="str">
        <f aca="false">IF(COUNT(K2985:T2985)=0,"SOURCE EMPTY / INDUSTRIAL ONLY",IF(MIN(K2985:T2985)=1,"SERVICE READY","HOLD"))</f>
        <v>SOURCE EMPTY / INDUSTRIAL ONLY</v>
      </c>
      <c r="V2985" s="9" t="n">
        <f aca="false">IF(U2985="SERVICE READY",1,0)</f>
        <v>0</v>
      </c>
      <c r="W2985" s="6"/>
      <c r="X2985" s="6"/>
      <c r="Y2985" s="6"/>
      <c r="Z2985" s="6"/>
    </row>
    <row r="2986" customFormat="false" ht="15" hidden="false" customHeight="false" outlineLevel="0" collapsed="false">
      <c r="A2986" s="9" t="s">
        <v>3255</v>
      </c>
      <c r="B2986" s="9" t="s">
        <v>3146</v>
      </c>
      <c r="C2986" s="9" t="s">
        <v>3147</v>
      </c>
      <c r="D2986" s="9" t="s">
        <v>2971</v>
      </c>
      <c r="E2986" s="9" t="s">
        <v>1660</v>
      </c>
      <c r="F2986" s="9" t="s">
        <v>205</v>
      </c>
      <c r="G2986" s="9" t="s">
        <v>221</v>
      </c>
      <c r="H2986" s="9" t="n">
        <v>2040</v>
      </c>
      <c r="I2986" s="29" t="n">
        <v>2.5</v>
      </c>
      <c r="J2986" s="9" t="n">
        <v>0</v>
      </c>
      <c r="K2986" s="30"/>
      <c r="L2986" s="30"/>
      <c r="M2986" s="30"/>
      <c r="N2986" s="30"/>
      <c r="O2986" s="30"/>
      <c r="P2986" s="30"/>
      <c r="Q2986" s="30"/>
      <c r="R2986" s="30"/>
      <c r="S2986" s="30"/>
      <c r="T2986" s="30"/>
      <c r="U2986" s="21" t="str">
        <f aca="false">IF(COUNT(K2986:T2986)=0,"SOURCE EMPTY / INDUSTRIAL ONLY",IF(MIN(K2986:T2986)=1,"SERVICE READY","HOLD"))</f>
        <v>SOURCE EMPTY / INDUSTRIAL ONLY</v>
      </c>
      <c r="V2986" s="9" t="n">
        <f aca="false">IF(U2986="SERVICE READY",1,0)</f>
        <v>0</v>
      </c>
      <c r="W2986" s="6"/>
      <c r="X2986" s="6"/>
      <c r="Y2986" s="6"/>
      <c r="Z2986" s="6"/>
    </row>
    <row r="2987" customFormat="false" ht="15" hidden="false" customHeight="false" outlineLevel="0" collapsed="false">
      <c r="A2987" s="9" t="s">
        <v>3256</v>
      </c>
      <c r="B2987" s="9" t="s">
        <v>3146</v>
      </c>
      <c r="C2987" s="9" t="s">
        <v>3147</v>
      </c>
      <c r="D2987" s="9" t="s">
        <v>2971</v>
      </c>
      <c r="E2987" s="9" t="s">
        <v>1660</v>
      </c>
      <c r="F2987" s="9" t="s">
        <v>207</v>
      </c>
      <c r="G2987" s="9" t="s">
        <v>221</v>
      </c>
      <c r="H2987" s="9" t="n">
        <v>2040</v>
      </c>
      <c r="I2987" s="29" t="n">
        <v>2.5</v>
      </c>
      <c r="J2987" s="9" t="n">
        <v>0</v>
      </c>
      <c r="K2987" s="30"/>
      <c r="L2987" s="30"/>
      <c r="M2987" s="30"/>
      <c r="N2987" s="30"/>
      <c r="O2987" s="30"/>
      <c r="P2987" s="30"/>
      <c r="Q2987" s="30"/>
      <c r="R2987" s="30"/>
      <c r="S2987" s="30"/>
      <c r="T2987" s="30"/>
      <c r="U2987" s="21" t="str">
        <f aca="false">IF(COUNT(K2987:T2987)=0,"SOURCE EMPTY / INDUSTRIAL ONLY",IF(MIN(K2987:T2987)=1,"SERVICE READY","HOLD"))</f>
        <v>SOURCE EMPTY / INDUSTRIAL ONLY</v>
      </c>
      <c r="V2987" s="9" t="n">
        <f aca="false">IF(U2987="SERVICE READY",1,0)</f>
        <v>0</v>
      </c>
      <c r="W2987" s="6"/>
      <c r="X2987" s="6"/>
      <c r="Y2987" s="6"/>
      <c r="Z2987" s="6"/>
    </row>
    <row r="2988" customFormat="false" ht="15" hidden="false" customHeight="false" outlineLevel="0" collapsed="false">
      <c r="A2988" s="9" t="s">
        <v>3257</v>
      </c>
      <c r="B2988" s="9" t="s">
        <v>3146</v>
      </c>
      <c r="C2988" s="9" t="s">
        <v>3147</v>
      </c>
      <c r="D2988" s="9" t="s">
        <v>2971</v>
      </c>
      <c r="E2988" s="9" t="s">
        <v>1660</v>
      </c>
      <c r="F2988" s="9" t="s">
        <v>209</v>
      </c>
      <c r="G2988" s="9" t="s">
        <v>221</v>
      </c>
      <c r="H2988" s="9" t="n">
        <v>2040</v>
      </c>
      <c r="I2988" s="29" t="n">
        <v>2.5</v>
      </c>
      <c r="J2988" s="9" t="n">
        <v>0</v>
      </c>
      <c r="K2988" s="30"/>
      <c r="L2988" s="30"/>
      <c r="M2988" s="30"/>
      <c r="N2988" s="30"/>
      <c r="O2988" s="30"/>
      <c r="P2988" s="30"/>
      <c r="Q2988" s="30"/>
      <c r="R2988" s="30"/>
      <c r="S2988" s="30"/>
      <c r="T2988" s="30"/>
      <c r="U2988" s="21" t="str">
        <f aca="false">IF(COUNT(K2988:T2988)=0,"SOURCE EMPTY / INDUSTRIAL ONLY",IF(MIN(K2988:T2988)=1,"SERVICE READY","HOLD"))</f>
        <v>SOURCE EMPTY / INDUSTRIAL ONLY</v>
      </c>
      <c r="V2988" s="9" t="n">
        <f aca="false">IF(U2988="SERVICE READY",1,0)</f>
        <v>0</v>
      </c>
      <c r="W2988" s="6"/>
      <c r="X2988" s="6"/>
      <c r="Y2988" s="6"/>
      <c r="Z2988" s="6"/>
    </row>
    <row r="2989" customFormat="false" ht="15" hidden="false" customHeight="false" outlineLevel="0" collapsed="false">
      <c r="A2989" s="9" t="s">
        <v>3258</v>
      </c>
      <c r="B2989" s="9" t="s">
        <v>3146</v>
      </c>
      <c r="C2989" s="9" t="s">
        <v>3147</v>
      </c>
      <c r="D2989" s="9" t="s">
        <v>2971</v>
      </c>
      <c r="E2989" s="9" t="s">
        <v>1660</v>
      </c>
      <c r="F2989" s="9" t="s">
        <v>211</v>
      </c>
      <c r="G2989" s="9" t="s">
        <v>221</v>
      </c>
      <c r="H2989" s="9" t="n">
        <v>2040</v>
      </c>
      <c r="I2989" s="29" t="n">
        <v>2.5</v>
      </c>
      <c r="J2989" s="9" t="n">
        <v>0</v>
      </c>
      <c r="K2989" s="30"/>
      <c r="L2989" s="30"/>
      <c r="M2989" s="30"/>
      <c r="N2989" s="30"/>
      <c r="O2989" s="30"/>
      <c r="P2989" s="30"/>
      <c r="Q2989" s="30"/>
      <c r="R2989" s="30"/>
      <c r="S2989" s="30"/>
      <c r="T2989" s="30"/>
      <c r="U2989" s="21" t="str">
        <f aca="false">IF(COUNT(K2989:T2989)=0,"SOURCE EMPTY / INDUSTRIAL ONLY",IF(MIN(K2989:T2989)=1,"SERVICE READY","HOLD"))</f>
        <v>SOURCE EMPTY / INDUSTRIAL ONLY</v>
      </c>
      <c r="V2989" s="9" t="n">
        <f aca="false">IF(U2989="SERVICE READY",1,0)</f>
        <v>0</v>
      </c>
      <c r="W2989" s="6"/>
      <c r="X2989" s="6"/>
      <c r="Y2989" s="6"/>
      <c r="Z2989" s="6"/>
    </row>
    <row r="2990" customFormat="false" ht="15" hidden="false" customHeight="false" outlineLevel="0" collapsed="false">
      <c r="A2990" s="9" t="s">
        <v>3259</v>
      </c>
      <c r="B2990" s="9" t="s">
        <v>3146</v>
      </c>
      <c r="C2990" s="9" t="s">
        <v>3147</v>
      </c>
      <c r="D2990" s="9" t="s">
        <v>2971</v>
      </c>
      <c r="E2990" s="9" t="s">
        <v>1660</v>
      </c>
      <c r="F2990" s="9" t="s">
        <v>197</v>
      </c>
      <c r="G2990" s="9" t="s">
        <v>221</v>
      </c>
      <c r="H2990" s="9" t="n">
        <v>2040</v>
      </c>
      <c r="I2990" s="29" t="n">
        <v>2.5</v>
      </c>
      <c r="J2990" s="9" t="n">
        <v>0</v>
      </c>
      <c r="K2990" s="30"/>
      <c r="L2990" s="30"/>
      <c r="M2990" s="30"/>
      <c r="N2990" s="30"/>
      <c r="O2990" s="30"/>
      <c r="P2990" s="30"/>
      <c r="Q2990" s="30"/>
      <c r="R2990" s="30"/>
      <c r="S2990" s="30"/>
      <c r="T2990" s="30"/>
      <c r="U2990" s="21" t="str">
        <f aca="false">IF(COUNT(K2990:T2990)=0,"SOURCE EMPTY / INDUSTRIAL ONLY",IF(MIN(K2990:T2990)=1,"SERVICE READY","HOLD"))</f>
        <v>SOURCE EMPTY / INDUSTRIAL ONLY</v>
      </c>
      <c r="V2990" s="9" t="n">
        <f aca="false">IF(U2990="SERVICE READY",1,0)</f>
        <v>0</v>
      </c>
      <c r="W2990" s="6"/>
      <c r="X2990" s="6"/>
      <c r="Y2990" s="6"/>
      <c r="Z2990" s="6"/>
    </row>
    <row r="2991" customFormat="false" ht="15" hidden="false" customHeight="false" outlineLevel="0" collapsed="false">
      <c r="A2991" s="9" t="s">
        <v>3260</v>
      </c>
      <c r="B2991" s="9" t="s">
        <v>3146</v>
      </c>
      <c r="C2991" s="9" t="s">
        <v>3147</v>
      </c>
      <c r="D2991" s="9" t="s">
        <v>2971</v>
      </c>
      <c r="E2991" s="9" t="s">
        <v>1660</v>
      </c>
      <c r="F2991" s="9" t="s">
        <v>200</v>
      </c>
      <c r="G2991" s="9" t="s">
        <v>221</v>
      </c>
      <c r="H2991" s="9" t="n">
        <v>2040</v>
      </c>
      <c r="I2991" s="29" t="n">
        <v>2.5</v>
      </c>
      <c r="J2991" s="9" t="n">
        <v>0</v>
      </c>
      <c r="K2991" s="30"/>
      <c r="L2991" s="30"/>
      <c r="M2991" s="30"/>
      <c r="N2991" s="30"/>
      <c r="O2991" s="30"/>
      <c r="P2991" s="30"/>
      <c r="Q2991" s="30"/>
      <c r="R2991" s="30"/>
      <c r="S2991" s="30"/>
      <c r="T2991" s="30"/>
      <c r="U2991" s="21" t="str">
        <f aca="false">IF(COUNT(K2991:T2991)=0,"SOURCE EMPTY / INDUSTRIAL ONLY",IF(MIN(K2991:T2991)=1,"SERVICE READY","HOLD"))</f>
        <v>SOURCE EMPTY / INDUSTRIAL ONLY</v>
      </c>
      <c r="V2991" s="9" t="n">
        <f aca="false">IF(U2991="SERVICE READY",1,0)</f>
        <v>0</v>
      </c>
      <c r="W2991" s="6"/>
      <c r="X2991" s="6"/>
      <c r="Y2991" s="6"/>
      <c r="Z2991" s="6"/>
    </row>
    <row r="2992" customFormat="false" ht="15" hidden="false" customHeight="false" outlineLevel="0" collapsed="false">
      <c r="A2992" s="9" t="s">
        <v>3261</v>
      </c>
      <c r="B2992" s="9" t="s">
        <v>3262</v>
      </c>
      <c r="C2992" s="9" t="s">
        <v>3263</v>
      </c>
      <c r="D2992" s="9" t="s">
        <v>2971</v>
      </c>
      <c r="E2992" s="9" t="s">
        <v>1660</v>
      </c>
      <c r="F2992" s="9" t="s">
        <v>197</v>
      </c>
      <c r="G2992" s="9" t="s">
        <v>198</v>
      </c>
      <c r="H2992" s="9" t="n">
        <v>3060</v>
      </c>
      <c r="I2992" s="29" t="n">
        <v>1.5</v>
      </c>
      <c r="J2992" s="9" t="n">
        <v>1</v>
      </c>
      <c r="K2992" s="30"/>
      <c r="L2992" s="30"/>
      <c r="M2992" s="30"/>
      <c r="N2992" s="30"/>
      <c r="O2992" s="30"/>
      <c r="P2992" s="30"/>
      <c r="Q2992" s="30"/>
      <c r="R2992" s="30"/>
      <c r="S2992" s="30"/>
      <c r="T2992" s="30"/>
      <c r="U2992" s="21" t="str">
        <f aca="false">IF(COUNT(K2992:T2992)=0,"SOURCE EMPTY / INDUSTRIAL ONLY",IF(MIN(K2992:T2992)=1,"SERVICE READY","HOLD"))</f>
        <v>SOURCE EMPTY / INDUSTRIAL ONLY</v>
      </c>
      <c r="V2992" s="9" t="n">
        <f aca="false">IF(U2992="SERVICE READY",1,0)</f>
        <v>0</v>
      </c>
      <c r="W2992" s="6"/>
      <c r="X2992" s="6"/>
      <c r="Y2992" s="6"/>
      <c r="Z2992" s="6"/>
    </row>
    <row r="2993" customFormat="false" ht="15" hidden="false" customHeight="false" outlineLevel="0" collapsed="false">
      <c r="A2993" s="9" t="s">
        <v>3264</v>
      </c>
      <c r="B2993" s="9" t="s">
        <v>3262</v>
      </c>
      <c r="C2993" s="9" t="s">
        <v>3263</v>
      </c>
      <c r="D2993" s="9" t="s">
        <v>2971</v>
      </c>
      <c r="E2993" s="9" t="s">
        <v>1660</v>
      </c>
      <c r="F2993" s="9" t="s">
        <v>200</v>
      </c>
      <c r="G2993" s="9" t="s">
        <v>201</v>
      </c>
      <c r="H2993" s="9" t="n">
        <v>3060</v>
      </c>
      <c r="I2993" s="29" t="n">
        <v>1.5</v>
      </c>
      <c r="J2993" s="9" t="n">
        <v>1</v>
      </c>
      <c r="K2993" s="30"/>
      <c r="L2993" s="30"/>
      <c r="M2993" s="30"/>
      <c r="N2993" s="30"/>
      <c r="O2993" s="30"/>
      <c r="P2993" s="30"/>
      <c r="Q2993" s="30"/>
      <c r="R2993" s="30"/>
      <c r="S2993" s="30"/>
      <c r="T2993" s="30"/>
      <c r="U2993" s="21" t="str">
        <f aca="false">IF(COUNT(K2993:T2993)=0,"SOURCE EMPTY / INDUSTRIAL ONLY",IF(MIN(K2993:T2993)=1,"SERVICE READY","HOLD"))</f>
        <v>SOURCE EMPTY / INDUSTRIAL ONLY</v>
      </c>
      <c r="V2993" s="9" t="n">
        <f aca="false">IF(U2993="SERVICE READY",1,0)</f>
        <v>0</v>
      </c>
      <c r="W2993" s="6"/>
      <c r="X2993" s="6"/>
      <c r="Y2993" s="6"/>
      <c r="Z2993" s="6"/>
    </row>
    <row r="2994" customFormat="false" ht="15" hidden="false" customHeight="false" outlineLevel="0" collapsed="false">
      <c r="A2994" s="9" t="s">
        <v>3265</v>
      </c>
      <c r="B2994" s="9" t="s">
        <v>3262</v>
      </c>
      <c r="C2994" s="9" t="s">
        <v>3263</v>
      </c>
      <c r="D2994" s="9" t="s">
        <v>2971</v>
      </c>
      <c r="E2994" s="9" t="s">
        <v>1660</v>
      </c>
      <c r="F2994" s="9" t="s">
        <v>203</v>
      </c>
      <c r="G2994" s="9" t="s">
        <v>198</v>
      </c>
      <c r="H2994" s="9" t="n">
        <v>3060</v>
      </c>
      <c r="I2994" s="29" t="n">
        <v>1.5</v>
      </c>
      <c r="J2994" s="9" t="n">
        <v>1</v>
      </c>
      <c r="K2994" s="30"/>
      <c r="L2994" s="30"/>
      <c r="M2994" s="30"/>
      <c r="N2994" s="30"/>
      <c r="O2994" s="30"/>
      <c r="P2994" s="30"/>
      <c r="Q2994" s="30"/>
      <c r="R2994" s="30"/>
      <c r="S2994" s="30"/>
      <c r="T2994" s="30"/>
      <c r="U2994" s="21" t="str">
        <f aca="false">IF(COUNT(K2994:T2994)=0,"SOURCE EMPTY / INDUSTRIAL ONLY",IF(MIN(K2994:T2994)=1,"SERVICE READY","HOLD"))</f>
        <v>SOURCE EMPTY / INDUSTRIAL ONLY</v>
      </c>
      <c r="V2994" s="9" t="n">
        <f aca="false">IF(U2994="SERVICE READY",1,0)</f>
        <v>0</v>
      </c>
      <c r="W2994" s="6"/>
      <c r="X2994" s="6"/>
      <c r="Y2994" s="6"/>
      <c r="Z2994" s="6"/>
    </row>
    <row r="2995" customFormat="false" ht="15" hidden="false" customHeight="false" outlineLevel="0" collapsed="false">
      <c r="A2995" s="9" t="s">
        <v>3266</v>
      </c>
      <c r="B2995" s="9" t="s">
        <v>3262</v>
      </c>
      <c r="C2995" s="9" t="s">
        <v>3263</v>
      </c>
      <c r="D2995" s="9" t="s">
        <v>2971</v>
      </c>
      <c r="E2995" s="9" t="s">
        <v>1660</v>
      </c>
      <c r="F2995" s="9" t="s">
        <v>205</v>
      </c>
      <c r="G2995" s="9" t="s">
        <v>201</v>
      </c>
      <c r="H2995" s="9" t="n">
        <v>3060</v>
      </c>
      <c r="I2995" s="29" t="n">
        <v>1.5</v>
      </c>
      <c r="J2995" s="9" t="n">
        <v>1</v>
      </c>
      <c r="K2995" s="30"/>
      <c r="L2995" s="30"/>
      <c r="M2995" s="30"/>
      <c r="N2995" s="30"/>
      <c r="O2995" s="30"/>
      <c r="P2995" s="30"/>
      <c r="Q2995" s="30"/>
      <c r="R2995" s="30"/>
      <c r="S2995" s="30"/>
      <c r="T2995" s="30"/>
      <c r="U2995" s="21" t="str">
        <f aca="false">IF(COUNT(K2995:T2995)=0,"SOURCE EMPTY / INDUSTRIAL ONLY",IF(MIN(K2995:T2995)=1,"SERVICE READY","HOLD"))</f>
        <v>SOURCE EMPTY / INDUSTRIAL ONLY</v>
      </c>
      <c r="V2995" s="9" t="n">
        <f aca="false">IF(U2995="SERVICE READY",1,0)</f>
        <v>0</v>
      </c>
      <c r="W2995" s="6"/>
      <c r="X2995" s="6"/>
      <c r="Y2995" s="6"/>
      <c r="Z2995" s="6"/>
    </row>
    <row r="2996" customFormat="false" ht="15" hidden="false" customHeight="false" outlineLevel="0" collapsed="false">
      <c r="A2996" s="9" t="s">
        <v>3267</v>
      </c>
      <c r="B2996" s="9" t="s">
        <v>3262</v>
      </c>
      <c r="C2996" s="9" t="s">
        <v>3263</v>
      </c>
      <c r="D2996" s="9" t="s">
        <v>2971</v>
      </c>
      <c r="E2996" s="9" t="s">
        <v>1660</v>
      </c>
      <c r="F2996" s="9" t="s">
        <v>207</v>
      </c>
      <c r="G2996" s="9" t="s">
        <v>198</v>
      </c>
      <c r="H2996" s="9" t="n">
        <v>3060</v>
      </c>
      <c r="I2996" s="29" t="n">
        <v>1.5</v>
      </c>
      <c r="J2996" s="9" t="n">
        <v>1</v>
      </c>
      <c r="K2996" s="30"/>
      <c r="L2996" s="30"/>
      <c r="M2996" s="30"/>
      <c r="N2996" s="30"/>
      <c r="O2996" s="30"/>
      <c r="P2996" s="30"/>
      <c r="Q2996" s="30"/>
      <c r="R2996" s="30"/>
      <c r="S2996" s="30"/>
      <c r="T2996" s="30"/>
      <c r="U2996" s="21" t="str">
        <f aca="false">IF(COUNT(K2996:T2996)=0,"SOURCE EMPTY / INDUSTRIAL ONLY",IF(MIN(K2996:T2996)=1,"SERVICE READY","HOLD"))</f>
        <v>SOURCE EMPTY / INDUSTRIAL ONLY</v>
      </c>
      <c r="V2996" s="9" t="n">
        <f aca="false">IF(U2996="SERVICE READY",1,0)</f>
        <v>0</v>
      </c>
      <c r="W2996" s="6"/>
      <c r="X2996" s="6"/>
      <c r="Y2996" s="6"/>
      <c r="Z2996" s="6"/>
    </row>
    <row r="2997" customFormat="false" ht="15" hidden="false" customHeight="false" outlineLevel="0" collapsed="false">
      <c r="A2997" s="9" t="s">
        <v>3268</v>
      </c>
      <c r="B2997" s="9" t="s">
        <v>3262</v>
      </c>
      <c r="C2997" s="9" t="s">
        <v>3263</v>
      </c>
      <c r="D2997" s="9" t="s">
        <v>2971</v>
      </c>
      <c r="E2997" s="9" t="s">
        <v>1660</v>
      </c>
      <c r="F2997" s="9" t="s">
        <v>209</v>
      </c>
      <c r="G2997" s="9" t="s">
        <v>201</v>
      </c>
      <c r="H2997" s="9" t="n">
        <v>3060</v>
      </c>
      <c r="I2997" s="29" t="n">
        <v>1.5</v>
      </c>
      <c r="J2997" s="9" t="n">
        <v>1</v>
      </c>
      <c r="K2997" s="30"/>
      <c r="L2997" s="30"/>
      <c r="M2997" s="30"/>
      <c r="N2997" s="30"/>
      <c r="O2997" s="30"/>
      <c r="P2997" s="30"/>
      <c r="Q2997" s="30"/>
      <c r="R2997" s="30"/>
      <c r="S2997" s="30"/>
      <c r="T2997" s="30"/>
      <c r="U2997" s="21" t="str">
        <f aca="false">IF(COUNT(K2997:T2997)=0,"SOURCE EMPTY / INDUSTRIAL ONLY",IF(MIN(K2997:T2997)=1,"SERVICE READY","HOLD"))</f>
        <v>SOURCE EMPTY / INDUSTRIAL ONLY</v>
      </c>
      <c r="V2997" s="9" t="n">
        <f aca="false">IF(U2997="SERVICE READY",1,0)</f>
        <v>0</v>
      </c>
      <c r="W2997" s="6"/>
      <c r="X2997" s="6"/>
      <c r="Y2997" s="6"/>
      <c r="Z2997" s="6"/>
    </row>
    <row r="2998" customFormat="false" ht="15" hidden="false" customHeight="false" outlineLevel="0" collapsed="false">
      <c r="A2998" s="9" t="s">
        <v>3269</v>
      </c>
      <c r="B2998" s="9" t="s">
        <v>3262</v>
      </c>
      <c r="C2998" s="9" t="s">
        <v>3263</v>
      </c>
      <c r="D2998" s="9" t="s">
        <v>2971</v>
      </c>
      <c r="E2998" s="9" t="s">
        <v>1660</v>
      </c>
      <c r="F2998" s="9" t="s">
        <v>211</v>
      </c>
      <c r="G2998" s="9" t="s">
        <v>198</v>
      </c>
      <c r="H2998" s="9" t="n">
        <v>3060</v>
      </c>
      <c r="I2998" s="29" t="n">
        <v>1.5</v>
      </c>
      <c r="J2998" s="9" t="n">
        <v>1</v>
      </c>
      <c r="K2998" s="30"/>
      <c r="L2998" s="30"/>
      <c r="M2998" s="30"/>
      <c r="N2998" s="30"/>
      <c r="O2998" s="30"/>
      <c r="P2998" s="30"/>
      <c r="Q2998" s="30"/>
      <c r="R2998" s="30"/>
      <c r="S2998" s="30"/>
      <c r="T2998" s="30"/>
      <c r="U2998" s="21" t="str">
        <f aca="false">IF(COUNT(K2998:T2998)=0,"SOURCE EMPTY / INDUSTRIAL ONLY",IF(MIN(K2998:T2998)=1,"SERVICE READY","HOLD"))</f>
        <v>SOURCE EMPTY / INDUSTRIAL ONLY</v>
      </c>
      <c r="V2998" s="9" t="n">
        <f aca="false">IF(U2998="SERVICE READY",1,0)</f>
        <v>0</v>
      </c>
      <c r="W2998" s="6"/>
      <c r="X2998" s="6"/>
      <c r="Y2998" s="6"/>
      <c r="Z2998" s="6"/>
    </row>
    <row r="2999" customFormat="false" ht="15" hidden="false" customHeight="false" outlineLevel="0" collapsed="false">
      <c r="A2999" s="9" t="s">
        <v>3270</v>
      </c>
      <c r="B2999" s="9" t="s">
        <v>3262</v>
      </c>
      <c r="C2999" s="9" t="s">
        <v>3263</v>
      </c>
      <c r="D2999" s="9" t="s">
        <v>2971</v>
      </c>
      <c r="E2999" s="9" t="s">
        <v>1660</v>
      </c>
      <c r="F2999" s="9" t="s">
        <v>197</v>
      </c>
      <c r="G2999" s="9" t="s">
        <v>201</v>
      </c>
      <c r="H2999" s="9" t="n">
        <v>3060</v>
      </c>
      <c r="I2999" s="29" t="n">
        <v>1.5</v>
      </c>
      <c r="J2999" s="9" t="n">
        <v>1</v>
      </c>
      <c r="K2999" s="30"/>
      <c r="L2999" s="30"/>
      <c r="M2999" s="30"/>
      <c r="N2999" s="30"/>
      <c r="O2999" s="30"/>
      <c r="P2999" s="30"/>
      <c r="Q2999" s="30"/>
      <c r="R2999" s="30"/>
      <c r="S2999" s="30"/>
      <c r="T2999" s="30"/>
      <c r="U2999" s="21" t="str">
        <f aca="false">IF(COUNT(K2999:T2999)=0,"SOURCE EMPTY / INDUSTRIAL ONLY",IF(MIN(K2999:T2999)=1,"SERVICE READY","HOLD"))</f>
        <v>SOURCE EMPTY / INDUSTRIAL ONLY</v>
      </c>
      <c r="V2999" s="9" t="n">
        <f aca="false">IF(U2999="SERVICE READY",1,0)</f>
        <v>0</v>
      </c>
      <c r="W2999" s="6"/>
      <c r="X2999" s="6"/>
      <c r="Y2999" s="6"/>
      <c r="Z2999" s="6"/>
    </row>
    <row r="3000" customFormat="false" ht="15" hidden="false" customHeight="false" outlineLevel="0" collapsed="false">
      <c r="A3000" s="9" t="s">
        <v>3271</v>
      </c>
      <c r="B3000" s="9" t="s">
        <v>3262</v>
      </c>
      <c r="C3000" s="9" t="s">
        <v>3263</v>
      </c>
      <c r="D3000" s="9" t="s">
        <v>2971</v>
      </c>
      <c r="E3000" s="9" t="s">
        <v>1660</v>
      </c>
      <c r="F3000" s="9" t="s">
        <v>200</v>
      </c>
      <c r="G3000" s="9" t="s">
        <v>198</v>
      </c>
      <c r="H3000" s="9" t="n">
        <v>3060</v>
      </c>
      <c r="I3000" s="29" t="n">
        <v>1.5</v>
      </c>
      <c r="J3000" s="9" t="n">
        <v>1</v>
      </c>
      <c r="K3000" s="30"/>
      <c r="L3000" s="30"/>
      <c r="M3000" s="30"/>
      <c r="N3000" s="30"/>
      <c r="O3000" s="30"/>
      <c r="P3000" s="30"/>
      <c r="Q3000" s="30"/>
      <c r="R3000" s="30"/>
      <c r="S3000" s="30"/>
      <c r="T3000" s="30"/>
      <c r="U3000" s="21" t="str">
        <f aca="false">IF(COUNT(K3000:T3000)=0,"SOURCE EMPTY / INDUSTRIAL ONLY",IF(MIN(K3000:T3000)=1,"SERVICE READY","HOLD"))</f>
        <v>SOURCE EMPTY / INDUSTRIAL ONLY</v>
      </c>
      <c r="V3000" s="9" t="n">
        <f aca="false">IF(U3000="SERVICE READY",1,0)</f>
        <v>0</v>
      </c>
      <c r="W3000" s="6"/>
      <c r="X3000" s="6"/>
      <c r="Y3000" s="6"/>
      <c r="Z3000" s="6"/>
    </row>
    <row r="3001" customFormat="false" ht="15" hidden="false" customHeight="false" outlineLevel="0" collapsed="false">
      <c r="A3001" s="9" t="s">
        <v>3272</v>
      </c>
      <c r="B3001" s="9" t="s">
        <v>3262</v>
      </c>
      <c r="C3001" s="9" t="s">
        <v>3263</v>
      </c>
      <c r="D3001" s="9" t="s">
        <v>2971</v>
      </c>
      <c r="E3001" s="9" t="s">
        <v>1660</v>
      </c>
      <c r="F3001" s="9" t="s">
        <v>203</v>
      </c>
      <c r="G3001" s="9" t="s">
        <v>201</v>
      </c>
      <c r="H3001" s="9" t="n">
        <v>3060</v>
      </c>
      <c r="I3001" s="29" t="n">
        <v>1.5</v>
      </c>
      <c r="J3001" s="9" t="n">
        <v>1</v>
      </c>
      <c r="K3001" s="30"/>
      <c r="L3001" s="30"/>
      <c r="M3001" s="30"/>
      <c r="N3001" s="30"/>
      <c r="O3001" s="30"/>
      <c r="P3001" s="30"/>
      <c r="Q3001" s="30"/>
      <c r="R3001" s="30"/>
      <c r="S3001" s="30"/>
      <c r="T3001" s="30"/>
      <c r="U3001" s="21" t="str">
        <f aca="false">IF(COUNT(K3001:T3001)=0,"SOURCE EMPTY / INDUSTRIAL ONLY",IF(MIN(K3001:T3001)=1,"SERVICE READY","HOLD"))</f>
        <v>SOURCE EMPTY / INDUSTRIAL ONLY</v>
      </c>
      <c r="V3001" s="9" t="n">
        <f aca="false">IF(U3001="SERVICE READY",1,0)</f>
        <v>0</v>
      </c>
      <c r="W3001" s="6"/>
      <c r="X3001" s="6"/>
      <c r="Y3001" s="6"/>
      <c r="Z3001" s="6"/>
    </row>
    <row r="3002" customFormat="false" ht="15" hidden="false" customHeight="false" outlineLevel="0" collapsed="false">
      <c r="A3002" s="9" t="s">
        <v>3273</v>
      </c>
      <c r="B3002" s="9" t="s">
        <v>3262</v>
      </c>
      <c r="C3002" s="9" t="s">
        <v>3263</v>
      </c>
      <c r="D3002" s="9" t="s">
        <v>2971</v>
      </c>
      <c r="E3002" s="9" t="s">
        <v>1660</v>
      </c>
      <c r="F3002" s="9" t="s">
        <v>205</v>
      </c>
      <c r="G3002" s="9" t="s">
        <v>198</v>
      </c>
      <c r="H3002" s="9" t="n">
        <v>3060</v>
      </c>
      <c r="I3002" s="29" t="n">
        <v>1.5</v>
      </c>
      <c r="J3002" s="9" t="n">
        <v>1</v>
      </c>
      <c r="K3002" s="30"/>
      <c r="L3002" s="30"/>
      <c r="M3002" s="30"/>
      <c r="N3002" s="30"/>
      <c r="O3002" s="30"/>
      <c r="P3002" s="30"/>
      <c r="Q3002" s="30"/>
      <c r="R3002" s="30"/>
      <c r="S3002" s="30"/>
      <c r="T3002" s="30"/>
      <c r="U3002" s="21" t="str">
        <f aca="false">IF(COUNT(K3002:T3002)=0,"SOURCE EMPTY / INDUSTRIAL ONLY",IF(MIN(K3002:T3002)=1,"SERVICE READY","HOLD"))</f>
        <v>SOURCE EMPTY / INDUSTRIAL ONLY</v>
      </c>
      <c r="V3002" s="9" t="n">
        <f aca="false">IF(U3002="SERVICE READY",1,0)</f>
        <v>0</v>
      </c>
      <c r="W3002" s="6"/>
      <c r="X3002" s="6"/>
      <c r="Y3002" s="6"/>
      <c r="Z3002" s="6"/>
    </row>
    <row r="3003" customFormat="false" ht="15" hidden="false" customHeight="false" outlineLevel="0" collapsed="false">
      <c r="A3003" s="9" t="s">
        <v>3274</v>
      </c>
      <c r="B3003" s="9" t="s">
        <v>3262</v>
      </c>
      <c r="C3003" s="9" t="s">
        <v>3263</v>
      </c>
      <c r="D3003" s="9" t="s">
        <v>2971</v>
      </c>
      <c r="E3003" s="9" t="s">
        <v>1660</v>
      </c>
      <c r="F3003" s="9" t="s">
        <v>207</v>
      </c>
      <c r="G3003" s="9" t="s">
        <v>201</v>
      </c>
      <c r="H3003" s="9" t="n">
        <v>3060</v>
      </c>
      <c r="I3003" s="29" t="n">
        <v>1.5</v>
      </c>
      <c r="J3003" s="9" t="n">
        <v>1</v>
      </c>
      <c r="K3003" s="30"/>
      <c r="L3003" s="30"/>
      <c r="M3003" s="30"/>
      <c r="N3003" s="30"/>
      <c r="O3003" s="30"/>
      <c r="P3003" s="30"/>
      <c r="Q3003" s="30"/>
      <c r="R3003" s="30"/>
      <c r="S3003" s="30"/>
      <c r="T3003" s="30"/>
      <c r="U3003" s="21" t="str">
        <f aca="false">IF(COUNT(K3003:T3003)=0,"SOURCE EMPTY / INDUSTRIAL ONLY",IF(MIN(K3003:T3003)=1,"SERVICE READY","HOLD"))</f>
        <v>SOURCE EMPTY / INDUSTRIAL ONLY</v>
      </c>
      <c r="V3003" s="9" t="n">
        <f aca="false">IF(U3003="SERVICE READY",1,0)</f>
        <v>0</v>
      </c>
      <c r="W3003" s="6"/>
      <c r="X3003" s="6"/>
      <c r="Y3003" s="6"/>
      <c r="Z3003" s="6"/>
    </row>
    <row r="3004" customFormat="false" ht="15" hidden="false" customHeight="false" outlineLevel="0" collapsed="false">
      <c r="A3004" s="9" t="s">
        <v>3275</v>
      </c>
      <c r="B3004" s="9" t="s">
        <v>3262</v>
      </c>
      <c r="C3004" s="9" t="s">
        <v>3263</v>
      </c>
      <c r="D3004" s="9" t="s">
        <v>2971</v>
      </c>
      <c r="E3004" s="9" t="s">
        <v>1660</v>
      </c>
      <c r="F3004" s="9" t="s">
        <v>209</v>
      </c>
      <c r="G3004" s="9" t="s">
        <v>198</v>
      </c>
      <c r="H3004" s="9" t="n">
        <v>3060</v>
      </c>
      <c r="I3004" s="29" t="n">
        <v>1.5</v>
      </c>
      <c r="J3004" s="9" t="n">
        <v>1</v>
      </c>
      <c r="K3004" s="30"/>
      <c r="L3004" s="30"/>
      <c r="M3004" s="30"/>
      <c r="N3004" s="30"/>
      <c r="O3004" s="30"/>
      <c r="P3004" s="30"/>
      <c r="Q3004" s="30"/>
      <c r="R3004" s="30"/>
      <c r="S3004" s="30"/>
      <c r="T3004" s="30"/>
      <c r="U3004" s="21" t="str">
        <f aca="false">IF(COUNT(K3004:T3004)=0,"SOURCE EMPTY / INDUSTRIAL ONLY",IF(MIN(K3004:T3004)=1,"SERVICE READY","HOLD"))</f>
        <v>SOURCE EMPTY / INDUSTRIAL ONLY</v>
      </c>
      <c r="V3004" s="9" t="n">
        <f aca="false">IF(U3004="SERVICE READY",1,0)</f>
        <v>0</v>
      </c>
      <c r="W3004" s="6"/>
      <c r="X3004" s="6"/>
      <c r="Y3004" s="6"/>
      <c r="Z3004" s="6"/>
    </row>
    <row r="3005" customFormat="false" ht="15" hidden="false" customHeight="false" outlineLevel="0" collapsed="false">
      <c r="A3005" s="9" t="s">
        <v>3276</v>
      </c>
      <c r="B3005" s="9" t="s">
        <v>3262</v>
      </c>
      <c r="C3005" s="9" t="s">
        <v>3263</v>
      </c>
      <c r="D3005" s="9" t="s">
        <v>2971</v>
      </c>
      <c r="E3005" s="9" t="s">
        <v>1660</v>
      </c>
      <c r="F3005" s="9" t="s">
        <v>211</v>
      </c>
      <c r="G3005" s="9" t="s">
        <v>201</v>
      </c>
      <c r="H3005" s="9" t="n">
        <v>3060</v>
      </c>
      <c r="I3005" s="29" t="n">
        <v>1.5</v>
      </c>
      <c r="J3005" s="9" t="n">
        <v>1</v>
      </c>
      <c r="K3005" s="30"/>
      <c r="L3005" s="30"/>
      <c r="M3005" s="30"/>
      <c r="N3005" s="30"/>
      <c r="O3005" s="30"/>
      <c r="P3005" s="30"/>
      <c r="Q3005" s="30"/>
      <c r="R3005" s="30"/>
      <c r="S3005" s="30"/>
      <c r="T3005" s="30"/>
      <c r="U3005" s="21" t="str">
        <f aca="false">IF(COUNT(K3005:T3005)=0,"SOURCE EMPTY / INDUSTRIAL ONLY",IF(MIN(K3005:T3005)=1,"SERVICE READY","HOLD"))</f>
        <v>SOURCE EMPTY / INDUSTRIAL ONLY</v>
      </c>
      <c r="V3005" s="9" t="n">
        <f aca="false">IF(U3005="SERVICE READY",1,0)</f>
        <v>0</v>
      </c>
      <c r="W3005" s="6"/>
      <c r="X3005" s="6"/>
      <c r="Y3005" s="6"/>
      <c r="Z3005" s="6"/>
    </row>
    <row r="3006" customFormat="false" ht="15" hidden="false" customHeight="false" outlineLevel="0" collapsed="false">
      <c r="A3006" s="9" t="s">
        <v>3277</v>
      </c>
      <c r="B3006" s="9" t="s">
        <v>3262</v>
      </c>
      <c r="C3006" s="9" t="s">
        <v>3263</v>
      </c>
      <c r="D3006" s="9" t="s">
        <v>2971</v>
      </c>
      <c r="E3006" s="9" t="s">
        <v>1660</v>
      </c>
      <c r="F3006" s="9" t="s">
        <v>197</v>
      </c>
      <c r="G3006" s="9" t="s">
        <v>198</v>
      </c>
      <c r="H3006" s="9" t="n">
        <v>3060</v>
      </c>
      <c r="I3006" s="29" t="n">
        <v>1.5</v>
      </c>
      <c r="J3006" s="9" t="n">
        <v>1</v>
      </c>
      <c r="K3006" s="30"/>
      <c r="L3006" s="30"/>
      <c r="M3006" s="30"/>
      <c r="N3006" s="30"/>
      <c r="O3006" s="30"/>
      <c r="P3006" s="30"/>
      <c r="Q3006" s="30"/>
      <c r="R3006" s="30"/>
      <c r="S3006" s="30"/>
      <c r="T3006" s="30"/>
      <c r="U3006" s="21" t="str">
        <f aca="false">IF(COUNT(K3006:T3006)=0,"SOURCE EMPTY / INDUSTRIAL ONLY",IF(MIN(K3006:T3006)=1,"SERVICE READY","HOLD"))</f>
        <v>SOURCE EMPTY / INDUSTRIAL ONLY</v>
      </c>
      <c r="V3006" s="9" t="n">
        <f aca="false">IF(U3006="SERVICE READY",1,0)</f>
        <v>0</v>
      </c>
      <c r="W3006" s="6"/>
      <c r="X3006" s="6"/>
      <c r="Y3006" s="6"/>
      <c r="Z3006" s="6"/>
    </row>
    <row r="3007" customFormat="false" ht="15" hidden="false" customHeight="false" outlineLevel="0" collapsed="false">
      <c r="A3007" s="9" t="s">
        <v>3278</v>
      </c>
      <c r="B3007" s="9" t="s">
        <v>3262</v>
      </c>
      <c r="C3007" s="9" t="s">
        <v>3263</v>
      </c>
      <c r="D3007" s="9" t="s">
        <v>2971</v>
      </c>
      <c r="E3007" s="9" t="s">
        <v>1660</v>
      </c>
      <c r="F3007" s="9" t="s">
        <v>200</v>
      </c>
      <c r="G3007" s="9" t="s">
        <v>221</v>
      </c>
      <c r="H3007" s="9" t="n">
        <v>3060</v>
      </c>
      <c r="I3007" s="29" t="n">
        <v>1.5</v>
      </c>
      <c r="J3007" s="9" t="n">
        <v>1</v>
      </c>
      <c r="K3007" s="30"/>
      <c r="L3007" s="30"/>
      <c r="M3007" s="30"/>
      <c r="N3007" s="30"/>
      <c r="O3007" s="30"/>
      <c r="P3007" s="30"/>
      <c r="Q3007" s="30"/>
      <c r="R3007" s="30"/>
      <c r="S3007" s="30"/>
      <c r="T3007" s="30"/>
      <c r="U3007" s="21" t="str">
        <f aca="false">IF(COUNT(K3007:T3007)=0,"SOURCE EMPTY / INDUSTRIAL ONLY",IF(MIN(K3007:T3007)=1,"SERVICE READY","HOLD"))</f>
        <v>SOURCE EMPTY / INDUSTRIAL ONLY</v>
      </c>
      <c r="V3007" s="9" t="n">
        <f aca="false">IF(U3007="SERVICE READY",1,0)</f>
        <v>0</v>
      </c>
      <c r="W3007" s="6"/>
      <c r="X3007" s="6"/>
      <c r="Y3007" s="6"/>
      <c r="Z3007" s="6"/>
    </row>
    <row r="3008" customFormat="false" ht="15" hidden="false" customHeight="false" outlineLevel="0" collapsed="false">
      <c r="A3008" s="9" t="s">
        <v>3279</v>
      </c>
      <c r="B3008" s="9" t="s">
        <v>3262</v>
      </c>
      <c r="C3008" s="9" t="s">
        <v>3263</v>
      </c>
      <c r="D3008" s="9" t="s">
        <v>2971</v>
      </c>
      <c r="E3008" s="9" t="s">
        <v>1660</v>
      </c>
      <c r="F3008" s="9" t="s">
        <v>203</v>
      </c>
      <c r="G3008" s="9" t="s">
        <v>221</v>
      </c>
      <c r="H3008" s="9" t="n">
        <v>3060</v>
      </c>
      <c r="I3008" s="29" t="n">
        <v>1.5</v>
      </c>
      <c r="J3008" s="9" t="n">
        <v>1</v>
      </c>
      <c r="K3008" s="30"/>
      <c r="L3008" s="30"/>
      <c r="M3008" s="30"/>
      <c r="N3008" s="30"/>
      <c r="O3008" s="30"/>
      <c r="P3008" s="30"/>
      <c r="Q3008" s="30"/>
      <c r="R3008" s="30"/>
      <c r="S3008" s="30"/>
      <c r="T3008" s="30"/>
      <c r="U3008" s="21" t="str">
        <f aca="false">IF(COUNT(K3008:T3008)=0,"SOURCE EMPTY / INDUSTRIAL ONLY",IF(MIN(K3008:T3008)=1,"SERVICE READY","HOLD"))</f>
        <v>SOURCE EMPTY / INDUSTRIAL ONLY</v>
      </c>
      <c r="V3008" s="9" t="n">
        <f aca="false">IF(U3008="SERVICE READY",1,0)</f>
        <v>0</v>
      </c>
      <c r="W3008" s="6"/>
      <c r="X3008" s="6"/>
      <c r="Y3008" s="6"/>
      <c r="Z3008" s="6"/>
    </row>
    <row r="3009" customFormat="false" ht="15" hidden="false" customHeight="false" outlineLevel="0" collapsed="false">
      <c r="A3009" s="9" t="s">
        <v>3280</v>
      </c>
      <c r="B3009" s="9" t="s">
        <v>3262</v>
      </c>
      <c r="C3009" s="9" t="s">
        <v>3263</v>
      </c>
      <c r="D3009" s="9" t="s">
        <v>2971</v>
      </c>
      <c r="E3009" s="9" t="s">
        <v>1660</v>
      </c>
      <c r="F3009" s="9" t="s">
        <v>205</v>
      </c>
      <c r="G3009" s="9" t="s">
        <v>221</v>
      </c>
      <c r="H3009" s="9" t="n">
        <v>3060</v>
      </c>
      <c r="I3009" s="29" t="n">
        <v>1.5</v>
      </c>
      <c r="J3009" s="9" t="n">
        <v>1</v>
      </c>
      <c r="K3009" s="30"/>
      <c r="L3009" s="30"/>
      <c r="M3009" s="30"/>
      <c r="N3009" s="30"/>
      <c r="O3009" s="30"/>
      <c r="P3009" s="30"/>
      <c r="Q3009" s="30"/>
      <c r="R3009" s="30"/>
      <c r="S3009" s="30"/>
      <c r="T3009" s="30"/>
      <c r="U3009" s="21" t="str">
        <f aca="false">IF(COUNT(K3009:T3009)=0,"SOURCE EMPTY / INDUSTRIAL ONLY",IF(MIN(K3009:T3009)=1,"SERVICE READY","HOLD"))</f>
        <v>SOURCE EMPTY / INDUSTRIAL ONLY</v>
      </c>
      <c r="V3009" s="9" t="n">
        <f aca="false">IF(U3009="SERVICE READY",1,0)</f>
        <v>0</v>
      </c>
      <c r="W3009" s="6"/>
      <c r="X3009" s="6"/>
      <c r="Y3009" s="6"/>
      <c r="Z3009" s="6"/>
    </row>
    <row r="3010" customFormat="false" ht="15" hidden="false" customHeight="false" outlineLevel="0" collapsed="false">
      <c r="A3010" s="9" t="s">
        <v>3281</v>
      </c>
      <c r="B3010" s="9" t="s">
        <v>3262</v>
      </c>
      <c r="C3010" s="9" t="s">
        <v>3263</v>
      </c>
      <c r="D3010" s="9" t="s">
        <v>2971</v>
      </c>
      <c r="E3010" s="9" t="s">
        <v>1660</v>
      </c>
      <c r="F3010" s="9" t="s">
        <v>207</v>
      </c>
      <c r="G3010" s="9" t="s">
        <v>221</v>
      </c>
      <c r="H3010" s="9" t="n">
        <v>3060</v>
      </c>
      <c r="I3010" s="29" t="n">
        <v>1.5</v>
      </c>
      <c r="J3010" s="9" t="n">
        <v>1</v>
      </c>
      <c r="K3010" s="30"/>
      <c r="L3010" s="30"/>
      <c r="M3010" s="30"/>
      <c r="N3010" s="30"/>
      <c r="O3010" s="30"/>
      <c r="P3010" s="30"/>
      <c r="Q3010" s="30"/>
      <c r="R3010" s="30"/>
      <c r="S3010" s="30"/>
      <c r="T3010" s="30"/>
      <c r="U3010" s="21" t="str">
        <f aca="false">IF(COUNT(K3010:T3010)=0,"SOURCE EMPTY / INDUSTRIAL ONLY",IF(MIN(K3010:T3010)=1,"SERVICE READY","HOLD"))</f>
        <v>SOURCE EMPTY / INDUSTRIAL ONLY</v>
      </c>
      <c r="V3010" s="9" t="n">
        <f aca="false">IF(U3010="SERVICE READY",1,0)</f>
        <v>0</v>
      </c>
      <c r="W3010" s="6"/>
      <c r="X3010" s="6"/>
      <c r="Y3010" s="6"/>
      <c r="Z3010" s="6"/>
    </row>
    <row r="3011" customFormat="false" ht="15" hidden="false" customHeight="false" outlineLevel="0" collapsed="false">
      <c r="A3011" s="9" t="s">
        <v>3282</v>
      </c>
      <c r="B3011" s="9" t="s">
        <v>3262</v>
      </c>
      <c r="C3011" s="9" t="s">
        <v>3263</v>
      </c>
      <c r="D3011" s="9" t="s">
        <v>2971</v>
      </c>
      <c r="E3011" s="9" t="s">
        <v>1660</v>
      </c>
      <c r="F3011" s="9" t="s">
        <v>209</v>
      </c>
      <c r="G3011" s="9" t="s">
        <v>221</v>
      </c>
      <c r="H3011" s="9" t="n">
        <v>3060</v>
      </c>
      <c r="I3011" s="29" t="n">
        <v>1.5</v>
      </c>
      <c r="J3011" s="9" t="n">
        <v>1</v>
      </c>
      <c r="K3011" s="30"/>
      <c r="L3011" s="30"/>
      <c r="M3011" s="30"/>
      <c r="N3011" s="30"/>
      <c r="O3011" s="30"/>
      <c r="P3011" s="30"/>
      <c r="Q3011" s="30"/>
      <c r="R3011" s="30"/>
      <c r="S3011" s="30"/>
      <c r="T3011" s="30"/>
      <c r="U3011" s="21" t="str">
        <f aca="false">IF(COUNT(K3011:T3011)=0,"SOURCE EMPTY / INDUSTRIAL ONLY",IF(MIN(K3011:T3011)=1,"SERVICE READY","HOLD"))</f>
        <v>SOURCE EMPTY / INDUSTRIAL ONLY</v>
      </c>
      <c r="V3011" s="9" t="n">
        <f aca="false">IF(U3011="SERVICE READY",1,0)</f>
        <v>0</v>
      </c>
      <c r="W3011" s="6"/>
      <c r="X3011" s="6"/>
      <c r="Y3011" s="6"/>
      <c r="Z3011" s="6"/>
    </row>
    <row r="3012" customFormat="false" ht="15" hidden="false" customHeight="false" outlineLevel="0" collapsed="false">
      <c r="A3012" s="9" t="s">
        <v>3283</v>
      </c>
      <c r="B3012" s="9" t="s">
        <v>3262</v>
      </c>
      <c r="C3012" s="9" t="s">
        <v>3263</v>
      </c>
      <c r="D3012" s="9" t="s">
        <v>2971</v>
      </c>
      <c r="E3012" s="9" t="s">
        <v>1660</v>
      </c>
      <c r="F3012" s="9" t="s">
        <v>211</v>
      </c>
      <c r="G3012" s="9" t="s">
        <v>221</v>
      </c>
      <c r="H3012" s="9" t="n">
        <v>3060</v>
      </c>
      <c r="I3012" s="29" t="n">
        <v>1.5</v>
      </c>
      <c r="J3012" s="9" t="n">
        <v>1</v>
      </c>
      <c r="K3012" s="30"/>
      <c r="L3012" s="30"/>
      <c r="M3012" s="30"/>
      <c r="N3012" s="30"/>
      <c r="O3012" s="30"/>
      <c r="P3012" s="30"/>
      <c r="Q3012" s="30"/>
      <c r="R3012" s="30"/>
      <c r="S3012" s="30"/>
      <c r="T3012" s="30"/>
      <c r="U3012" s="21" t="str">
        <f aca="false">IF(COUNT(K3012:T3012)=0,"SOURCE EMPTY / INDUSTRIAL ONLY",IF(MIN(K3012:T3012)=1,"SERVICE READY","HOLD"))</f>
        <v>SOURCE EMPTY / INDUSTRIAL ONLY</v>
      </c>
      <c r="V3012" s="9" t="n">
        <f aca="false">IF(U3012="SERVICE READY",1,0)</f>
        <v>0</v>
      </c>
      <c r="W3012" s="6"/>
      <c r="X3012" s="6"/>
      <c r="Y3012" s="6"/>
      <c r="Z3012" s="6"/>
    </row>
    <row r="3013" customFormat="false" ht="15" hidden="false" customHeight="false" outlineLevel="0" collapsed="false">
      <c r="A3013" s="9" t="s">
        <v>3284</v>
      </c>
      <c r="B3013" s="9" t="s">
        <v>3262</v>
      </c>
      <c r="C3013" s="9" t="s">
        <v>3263</v>
      </c>
      <c r="D3013" s="9" t="s">
        <v>2971</v>
      </c>
      <c r="E3013" s="9" t="s">
        <v>1660</v>
      </c>
      <c r="F3013" s="9" t="s">
        <v>197</v>
      </c>
      <c r="G3013" s="9" t="s">
        <v>221</v>
      </c>
      <c r="H3013" s="9" t="n">
        <v>3060</v>
      </c>
      <c r="I3013" s="29" t="n">
        <v>1.5</v>
      </c>
      <c r="J3013" s="9" t="n">
        <v>1</v>
      </c>
      <c r="K3013" s="30"/>
      <c r="L3013" s="30"/>
      <c r="M3013" s="30"/>
      <c r="N3013" s="30"/>
      <c r="O3013" s="30"/>
      <c r="P3013" s="30"/>
      <c r="Q3013" s="30"/>
      <c r="R3013" s="30"/>
      <c r="S3013" s="30"/>
      <c r="T3013" s="30"/>
      <c r="U3013" s="21" t="str">
        <f aca="false">IF(COUNT(K3013:T3013)=0,"SOURCE EMPTY / INDUSTRIAL ONLY",IF(MIN(K3013:T3013)=1,"SERVICE READY","HOLD"))</f>
        <v>SOURCE EMPTY / INDUSTRIAL ONLY</v>
      </c>
      <c r="V3013" s="9" t="n">
        <f aca="false">IF(U3013="SERVICE READY",1,0)</f>
        <v>0</v>
      </c>
      <c r="W3013" s="6"/>
      <c r="X3013" s="6"/>
      <c r="Y3013" s="6"/>
      <c r="Z3013" s="6"/>
    </row>
    <row r="3014" customFormat="false" ht="15" hidden="false" customHeight="false" outlineLevel="0" collapsed="false">
      <c r="A3014" s="9" t="s">
        <v>3285</v>
      </c>
      <c r="B3014" s="9" t="s">
        <v>3262</v>
      </c>
      <c r="C3014" s="9" t="s">
        <v>3263</v>
      </c>
      <c r="D3014" s="9" t="s">
        <v>2971</v>
      </c>
      <c r="E3014" s="9" t="s">
        <v>1660</v>
      </c>
      <c r="F3014" s="9" t="s">
        <v>200</v>
      </c>
      <c r="G3014" s="9" t="s">
        <v>221</v>
      </c>
      <c r="H3014" s="9" t="n">
        <v>3060</v>
      </c>
      <c r="I3014" s="29" t="n">
        <v>1.5</v>
      </c>
      <c r="J3014" s="9" t="n">
        <v>1</v>
      </c>
      <c r="K3014" s="30"/>
      <c r="L3014" s="30"/>
      <c r="M3014" s="30"/>
      <c r="N3014" s="30"/>
      <c r="O3014" s="30"/>
      <c r="P3014" s="30"/>
      <c r="Q3014" s="30"/>
      <c r="R3014" s="30"/>
      <c r="S3014" s="30"/>
      <c r="T3014" s="30"/>
      <c r="U3014" s="21" t="str">
        <f aca="false">IF(COUNT(K3014:T3014)=0,"SOURCE EMPTY / INDUSTRIAL ONLY",IF(MIN(K3014:T3014)=1,"SERVICE READY","HOLD"))</f>
        <v>SOURCE EMPTY / INDUSTRIAL ONLY</v>
      </c>
      <c r="V3014" s="9" t="n">
        <f aca="false">IF(U3014="SERVICE READY",1,0)</f>
        <v>0</v>
      </c>
      <c r="W3014" s="6"/>
      <c r="X3014" s="6"/>
      <c r="Y3014" s="6"/>
      <c r="Z3014" s="6"/>
    </row>
    <row r="3015" customFormat="false" ht="15" hidden="false" customHeight="false" outlineLevel="0" collapsed="false">
      <c r="A3015" s="9" t="s">
        <v>3286</v>
      </c>
      <c r="B3015" s="9" t="s">
        <v>3262</v>
      </c>
      <c r="C3015" s="9" t="s">
        <v>3263</v>
      </c>
      <c r="D3015" s="9" t="s">
        <v>2971</v>
      </c>
      <c r="E3015" s="9" t="s">
        <v>1660</v>
      </c>
      <c r="F3015" s="9" t="s">
        <v>203</v>
      </c>
      <c r="G3015" s="9" t="s">
        <v>221</v>
      </c>
      <c r="H3015" s="9" t="n">
        <v>3060</v>
      </c>
      <c r="I3015" s="29" t="n">
        <v>1.5</v>
      </c>
      <c r="J3015" s="9" t="n">
        <v>1</v>
      </c>
      <c r="K3015" s="30"/>
      <c r="L3015" s="30"/>
      <c r="M3015" s="30"/>
      <c r="N3015" s="30"/>
      <c r="O3015" s="30"/>
      <c r="P3015" s="30"/>
      <c r="Q3015" s="30"/>
      <c r="R3015" s="30"/>
      <c r="S3015" s="30"/>
      <c r="T3015" s="30"/>
      <c r="U3015" s="21" t="str">
        <f aca="false">IF(COUNT(K3015:T3015)=0,"SOURCE EMPTY / INDUSTRIAL ONLY",IF(MIN(K3015:T3015)=1,"SERVICE READY","HOLD"))</f>
        <v>SOURCE EMPTY / INDUSTRIAL ONLY</v>
      </c>
      <c r="V3015" s="9" t="n">
        <f aca="false">IF(U3015="SERVICE READY",1,0)</f>
        <v>0</v>
      </c>
      <c r="W3015" s="6"/>
      <c r="X3015" s="6"/>
      <c r="Y3015" s="6"/>
      <c r="Z3015" s="6"/>
    </row>
    <row r="3016" customFormat="false" ht="15" hidden="false" customHeight="false" outlineLevel="0" collapsed="false">
      <c r="A3016" s="9" t="s">
        <v>3287</v>
      </c>
      <c r="B3016" s="9" t="s">
        <v>3262</v>
      </c>
      <c r="C3016" s="9" t="s">
        <v>3263</v>
      </c>
      <c r="D3016" s="9" t="s">
        <v>2971</v>
      </c>
      <c r="E3016" s="9" t="s">
        <v>1660</v>
      </c>
      <c r="F3016" s="9" t="s">
        <v>205</v>
      </c>
      <c r="G3016" s="9" t="s">
        <v>221</v>
      </c>
      <c r="H3016" s="9" t="n">
        <v>3060</v>
      </c>
      <c r="I3016" s="29" t="n">
        <v>1.5</v>
      </c>
      <c r="J3016" s="9" t="n">
        <v>1</v>
      </c>
      <c r="K3016" s="30"/>
      <c r="L3016" s="30"/>
      <c r="M3016" s="30"/>
      <c r="N3016" s="30"/>
      <c r="O3016" s="30"/>
      <c r="P3016" s="30"/>
      <c r="Q3016" s="30"/>
      <c r="R3016" s="30"/>
      <c r="S3016" s="30"/>
      <c r="T3016" s="30"/>
      <c r="U3016" s="21" t="str">
        <f aca="false">IF(COUNT(K3016:T3016)=0,"SOURCE EMPTY / INDUSTRIAL ONLY",IF(MIN(K3016:T3016)=1,"SERVICE READY","HOLD"))</f>
        <v>SOURCE EMPTY / INDUSTRIAL ONLY</v>
      </c>
      <c r="V3016" s="9" t="n">
        <f aca="false">IF(U3016="SERVICE READY",1,0)</f>
        <v>0</v>
      </c>
      <c r="W3016" s="6"/>
      <c r="X3016" s="6"/>
      <c r="Y3016" s="6"/>
      <c r="Z3016" s="6"/>
    </row>
    <row r="3017" customFormat="false" ht="15" hidden="false" customHeight="false" outlineLevel="0" collapsed="false">
      <c r="A3017" s="9" t="s">
        <v>3288</v>
      </c>
      <c r="B3017" s="9" t="s">
        <v>3262</v>
      </c>
      <c r="C3017" s="9" t="s">
        <v>3263</v>
      </c>
      <c r="D3017" s="9" t="s">
        <v>2971</v>
      </c>
      <c r="E3017" s="9" t="s">
        <v>1660</v>
      </c>
      <c r="F3017" s="9" t="s">
        <v>207</v>
      </c>
      <c r="G3017" s="9" t="s">
        <v>221</v>
      </c>
      <c r="H3017" s="9" t="n">
        <v>3060</v>
      </c>
      <c r="I3017" s="29" t="n">
        <v>1.5</v>
      </c>
      <c r="J3017" s="9" t="n">
        <v>1</v>
      </c>
      <c r="K3017" s="30"/>
      <c r="L3017" s="30"/>
      <c r="M3017" s="30"/>
      <c r="N3017" s="30"/>
      <c r="O3017" s="30"/>
      <c r="P3017" s="30"/>
      <c r="Q3017" s="30"/>
      <c r="R3017" s="30"/>
      <c r="S3017" s="30"/>
      <c r="T3017" s="30"/>
      <c r="U3017" s="21" t="str">
        <f aca="false">IF(COUNT(K3017:T3017)=0,"SOURCE EMPTY / INDUSTRIAL ONLY",IF(MIN(K3017:T3017)=1,"SERVICE READY","HOLD"))</f>
        <v>SOURCE EMPTY / INDUSTRIAL ONLY</v>
      </c>
      <c r="V3017" s="9" t="n">
        <f aca="false">IF(U3017="SERVICE READY",1,0)</f>
        <v>0</v>
      </c>
      <c r="W3017" s="6"/>
      <c r="X3017" s="6"/>
      <c r="Y3017" s="6"/>
      <c r="Z3017" s="6"/>
    </row>
    <row r="3018" customFormat="false" ht="15" hidden="false" customHeight="false" outlineLevel="0" collapsed="false">
      <c r="A3018" s="9" t="s">
        <v>3289</v>
      </c>
      <c r="B3018" s="9" t="s">
        <v>3262</v>
      </c>
      <c r="C3018" s="9" t="s">
        <v>3263</v>
      </c>
      <c r="D3018" s="9" t="s">
        <v>2971</v>
      </c>
      <c r="E3018" s="9" t="s">
        <v>1660</v>
      </c>
      <c r="F3018" s="9" t="s">
        <v>209</v>
      </c>
      <c r="G3018" s="9" t="s">
        <v>221</v>
      </c>
      <c r="H3018" s="9" t="n">
        <v>3060</v>
      </c>
      <c r="I3018" s="29" t="n">
        <v>1.5</v>
      </c>
      <c r="J3018" s="9" t="n">
        <v>1</v>
      </c>
      <c r="K3018" s="30"/>
      <c r="L3018" s="30"/>
      <c r="M3018" s="30"/>
      <c r="N3018" s="30"/>
      <c r="O3018" s="30"/>
      <c r="P3018" s="30"/>
      <c r="Q3018" s="30"/>
      <c r="R3018" s="30"/>
      <c r="S3018" s="30"/>
      <c r="T3018" s="30"/>
      <c r="U3018" s="21" t="str">
        <f aca="false">IF(COUNT(K3018:T3018)=0,"SOURCE EMPTY / INDUSTRIAL ONLY",IF(MIN(K3018:T3018)=1,"SERVICE READY","HOLD"))</f>
        <v>SOURCE EMPTY / INDUSTRIAL ONLY</v>
      </c>
      <c r="V3018" s="9" t="n">
        <f aca="false">IF(U3018="SERVICE READY",1,0)</f>
        <v>0</v>
      </c>
      <c r="W3018" s="6"/>
      <c r="X3018" s="6"/>
      <c r="Y3018" s="6"/>
      <c r="Z3018" s="6"/>
    </row>
    <row r="3019" customFormat="false" ht="15" hidden="false" customHeight="false" outlineLevel="0" collapsed="false">
      <c r="A3019" s="9" t="s">
        <v>3290</v>
      </c>
      <c r="B3019" s="9" t="s">
        <v>3262</v>
      </c>
      <c r="C3019" s="9" t="s">
        <v>3263</v>
      </c>
      <c r="D3019" s="9" t="s">
        <v>2971</v>
      </c>
      <c r="E3019" s="9" t="s">
        <v>1660</v>
      </c>
      <c r="F3019" s="9" t="s">
        <v>211</v>
      </c>
      <c r="G3019" s="9" t="s">
        <v>221</v>
      </c>
      <c r="H3019" s="9" t="n">
        <v>3060</v>
      </c>
      <c r="I3019" s="29" t="n">
        <v>1.5</v>
      </c>
      <c r="J3019" s="9" t="n">
        <v>1</v>
      </c>
      <c r="K3019" s="30"/>
      <c r="L3019" s="30"/>
      <c r="M3019" s="30"/>
      <c r="N3019" s="30"/>
      <c r="O3019" s="30"/>
      <c r="P3019" s="30"/>
      <c r="Q3019" s="30"/>
      <c r="R3019" s="30"/>
      <c r="S3019" s="30"/>
      <c r="T3019" s="30"/>
      <c r="U3019" s="21" t="str">
        <f aca="false">IF(COUNT(K3019:T3019)=0,"SOURCE EMPTY / INDUSTRIAL ONLY",IF(MIN(K3019:T3019)=1,"SERVICE READY","HOLD"))</f>
        <v>SOURCE EMPTY / INDUSTRIAL ONLY</v>
      </c>
      <c r="V3019" s="9" t="n">
        <f aca="false">IF(U3019="SERVICE READY",1,0)</f>
        <v>0</v>
      </c>
      <c r="W3019" s="6"/>
      <c r="X3019" s="6"/>
      <c r="Y3019" s="6"/>
      <c r="Z3019" s="6"/>
    </row>
    <row r="3020" customFormat="false" ht="15" hidden="false" customHeight="false" outlineLevel="0" collapsed="false">
      <c r="A3020" s="9" t="s">
        <v>3291</v>
      </c>
      <c r="B3020" s="9" t="s">
        <v>3262</v>
      </c>
      <c r="C3020" s="9" t="s">
        <v>3263</v>
      </c>
      <c r="D3020" s="9" t="s">
        <v>2971</v>
      </c>
      <c r="E3020" s="9" t="s">
        <v>1660</v>
      </c>
      <c r="F3020" s="9" t="s">
        <v>197</v>
      </c>
      <c r="G3020" s="9" t="s">
        <v>221</v>
      </c>
      <c r="H3020" s="9" t="n">
        <v>3060</v>
      </c>
      <c r="I3020" s="29" t="n">
        <v>1.5</v>
      </c>
      <c r="J3020" s="9" t="n">
        <v>1</v>
      </c>
      <c r="K3020" s="30"/>
      <c r="L3020" s="30"/>
      <c r="M3020" s="30"/>
      <c r="N3020" s="30"/>
      <c r="O3020" s="30"/>
      <c r="P3020" s="30"/>
      <c r="Q3020" s="30"/>
      <c r="R3020" s="30"/>
      <c r="S3020" s="30"/>
      <c r="T3020" s="30"/>
      <c r="U3020" s="21" t="str">
        <f aca="false">IF(COUNT(K3020:T3020)=0,"SOURCE EMPTY / INDUSTRIAL ONLY",IF(MIN(K3020:T3020)=1,"SERVICE READY","HOLD"))</f>
        <v>SOURCE EMPTY / INDUSTRIAL ONLY</v>
      </c>
      <c r="V3020" s="9" t="n">
        <f aca="false">IF(U3020="SERVICE READY",1,0)</f>
        <v>0</v>
      </c>
      <c r="W3020" s="6"/>
      <c r="X3020" s="6"/>
      <c r="Y3020" s="6"/>
      <c r="Z3020" s="6"/>
    </row>
    <row r="3021" customFormat="false" ht="15" hidden="false" customHeight="false" outlineLevel="0" collapsed="false">
      <c r="A3021" s="9" t="s">
        <v>3292</v>
      </c>
      <c r="B3021" s="9" t="s">
        <v>3262</v>
      </c>
      <c r="C3021" s="9" t="s">
        <v>3263</v>
      </c>
      <c r="D3021" s="9" t="s">
        <v>2971</v>
      </c>
      <c r="E3021" s="9" t="s">
        <v>1660</v>
      </c>
      <c r="F3021" s="9" t="s">
        <v>200</v>
      </c>
      <c r="G3021" s="9" t="s">
        <v>221</v>
      </c>
      <c r="H3021" s="9" t="n">
        <v>3060</v>
      </c>
      <c r="I3021" s="29" t="n">
        <v>1.5</v>
      </c>
      <c r="J3021" s="9" t="n">
        <v>1</v>
      </c>
      <c r="K3021" s="30"/>
      <c r="L3021" s="30"/>
      <c r="M3021" s="30"/>
      <c r="N3021" s="30"/>
      <c r="O3021" s="30"/>
      <c r="P3021" s="30"/>
      <c r="Q3021" s="30"/>
      <c r="R3021" s="30"/>
      <c r="S3021" s="30"/>
      <c r="T3021" s="30"/>
      <c r="U3021" s="21" t="str">
        <f aca="false">IF(COUNT(K3021:T3021)=0,"SOURCE EMPTY / INDUSTRIAL ONLY",IF(MIN(K3021:T3021)=1,"SERVICE READY","HOLD"))</f>
        <v>SOURCE EMPTY / INDUSTRIAL ONLY</v>
      </c>
      <c r="V3021" s="9" t="n">
        <f aca="false">IF(U3021="SERVICE READY",1,0)</f>
        <v>0</v>
      </c>
      <c r="W3021" s="6"/>
      <c r="X3021" s="6"/>
      <c r="Y3021" s="6"/>
      <c r="Z3021" s="6"/>
    </row>
    <row r="3022" customFormat="false" ht="15" hidden="false" customHeight="false" outlineLevel="0" collapsed="false">
      <c r="A3022" s="9" t="s">
        <v>3293</v>
      </c>
      <c r="B3022" s="9" t="s">
        <v>3262</v>
      </c>
      <c r="C3022" s="9" t="s">
        <v>3263</v>
      </c>
      <c r="D3022" s="9" t="s">
        <v>2971</v>
      </c>
      <c r="E3022" s="9" t="s">
        <v>1660</v>
      </c>
      <c r="F3022" s="9" t="s">
        <v>203</v>
      </c>
      <c r="G3022" s="9" t="s">
        <v>221</v>
      </c>
      <c r="H3022" s="9" t="n">
        <v>3060</v>
      </c>
      <c r="I3022" s="29" t="n">
        <v>1.5</v>
      </c>
      <c r="J3022" s="9" t="n">
        <v>1</v>
      </c>
      <c r="K3022" s="30"/>
      <c r="L3022" s="30"/>
      <c r="M3022" s="30"/>
      <c r="N3022" s="30"/>
      <c r="O3022" s="30"/>
      <c r="P3022" s="30"/>
      <c r="Q3022" s="30"/>
      <c r="R3022" s="30"/>
      <c r="S3022" s="30"/>
      <c r="T3022" s="30"/>
      <c r="U3022" s="21" t="str">
        <f aca="false">IF(COUNT(K3022:T3022)=0,"SOURCE EMPTY / INDUSTRIAL ONLY",IF(MIN(K3022:T3022)=1,"SERVICE READY","HOLD"))</f>
        <v>SOURCE EMPTY / INDUSTRIAL ONLY</v>
      </c>
      <c r="V3022" s="9" t="n">
        <f aca="false">IF(U3022="SERVICE READY",1,0)</f>
        <v>0</v>
      </c>
      <c r="W3022" s="6"/>
      <c r="X3022" s="6"/>
      <c r="Y3022" s="6"/>
      <c r="Z3022" s="6"/>
    </row>
    <row r="3023" customFormat="false" ht="15" hidden="false" customHeight="false" outlineLevel="0" collapsed="false">
      <c r="A3023" s="9" t="s">
        <v>3294</v>
      </c>
      <c r="B3023" s="9" t="s">
        <v>3262</v>
      </c>
      <c r="C3023" s="9" t="s">
        <v>3263</v>
      </c>
      <c r="D3023" s="9" t="s">
        <v>2971</v>
      </c>
      <c r="E3023" s="9" t="s">
        <v>1660</v>
      </c>
      <c r="F3023" s="9" t="s">
        <v>205</v>
      </c>
      <c r="G3023" s="9" t="s">
        <v>221</v>
      </c>
      <c r="H3023" s="9" t="n">
        <v>3060</v>
      </c>
      <c r="I3023" s="29" t="n">
        <v>1.5</v>
      </c>
      <c r="J3023" s="9" t="n">
        <v>1</v>
      </c>
      <c r="K3023" s="30"/>
      <c r="L3023" s="30"/>
      <c r="M3023" s="30"/>
      <c r="N3023" s="30"/>
      <c r="O3023" s="30"/>
      <c r="P3023" s="30"/>
      <c r="Q3023" s="30"/>
      <c r="R3023" s="30"/>
      <c r="S3023" s="30"/>
      <c r="T3023" s="30"/>
      <c r="U3023" s="21" t="str">
        <f aca="false">IF(COUNT(K3023:T3023)=0,"SOURCE EMPTY / INDUSTRIAL ONLY",IF(MIN(K3023:T3023)=1,"SERVICE READY","HOLD"))</f>
        <v>SOURCE EMPTY / INDUSTRIAL ONLY</v>
      </c>
      <c r="V3023" s="9" t="n">
        <f aca="false">IF(U3023="SERVICE READY",1,0)</f>
        <v>0</v>
      </c>
      <c r="W3023" s="6"/>
      <c r="X3023" s="6"/>
      <c r="Y3023" s="6"/>
      <c r="Z3023" s="6"/>
    </row>
    <row r="3024" customFormat="false" ht="15" hidden="false" customHeight="false" outlineLevel="0" collapsed="false">
      <c r="A3024" s="9" t="s">
        <v>3295</v>
      </c>
      <c r="B3024" s="9" t="s">
        <v>3262</v>
      </c>
      <c r="C3024" s="9" t="s">
        <v>3263</v>
      </c>
      <c r="D3024" s="9" t="s">
        <v>2971</v>
      </c>
      <c r="E3024" s="9" t="s">
        <v>1660</v>
      </c>
      <c r="F3024" s="9" t="s">
        <v>207</v>
      </c>
      <c r="G3024" s="9" t="s">
        <v>221</v>
      </c>
      <c r="H3024" s="9" t="n">
        <v>3060</v>
      </c>
      <c r="I3024" s="29" t="n">
        <v>1.5</v>
      </c>
      <c r="J3024" s="9" t="n">
        <v>1</v>
      </c>
      <c r="K3024" s="30"/>
      <c r="L3024" s="30"/>
      <c r="M3024" s="30"/>
      <c r="N3024" s="30"/>
      <c r="O3024" s="30"/>
      <c r="P3024" s="30"/>
      <c r="Q3024" s="30"/>
      <c r="R3024" s="30"/>
      <c r="S3024" s="30"/>
      <c r="T3024" s="30"/>
      <c r="U3024" s="21" t="str">
        <f aca="false">IF(COUNT(K3024:T3024)=0,"SOURCE EMPTY / INDUSTRIAL ONLY",IF(MIN(K3024:T3024)=1,"SERVICE READY","HOLD"))</f>
        <v>SOURCE EMPTY / INDUSTRIAL ONLY</v>
      </c>
      <c r="V3024" s="9" t="n">
        <f aca="false">IF(U3024="SERVICE READY",1,0)</f>
        <v>0</v>
      </c>
      <c r="W3024" s="6"/>
      <c r="X3024" s="6"/>
      <c r="Y3024" s="6"/>
      <c r="Z3024" s="6"/>
    </row>
    <row r="3025" customFormat="false" ht="15" hidden="false" customHeight="false" outlineLevel="0" collapsed="false">
      <c r="A3025" s="9" t="s">
        <v>3296</v>
      </c>
      <c r="B3025" s="9" t="s">
        <v>3262</v>
      </c>
      <c r="C3025" s="9" t="s">
        <v>3263</v>
      </c>
      <c r="D3025" s="9" t="s">
        <v>2971</v>
      </c>
      <c r="E3025" s="9" t="s">
        <v>1660</v>
      </c>
      <c r="F3025" s="9" t="s">
        <v>209</v>
      </c>
      <c r="G3025" s="9" t="s">
        <v>221</v>
      </c>
      <c r="H3025" s="9" t="n">
        <v>3060</v>
      </c>
      <c r="I3025" s="29" t="n">
        <v>1.5</v>
      </c>
      <c r="J3025" s="9" t="n">
        <v>1</v>
      </c>
      <c r="K3025" s="30"/>
      <c r="L3025" s="30"/>
      <c r="M3025" s="30"/>
      <c r="N3025" s="30"/>
      <c r="O3025" s="30"/>
      <c r="P3025" s="30"/>
      <c r="Q3025" s="30"/>
      <c r="R3025" s="30"/>
      <c r="S3025" s="30"/>
      <c r="T3025" s="30"/>
      <c r="U3025" s="21" t="str">
        <f aca="false">IF(COUNT(K3025:T3025)=0,"SOURCE EMPTY / INDUSTRIAL ONLY",IF(MIN(K3025:T3025)=1,"SERVICE READY","HOLD"))</f>
        <v>SOURCE EMPTY / INDUSTRIAL ONLY</v>
      </c>
      <c r="V3025" s="9" t="n">
        <f aca="false">IF(U3025="SERVICE READY",1,0)</f>
        <v>0</v>
      </c>
      <c r="W3025" s="6"/>
      <c r="X3025" s="6"/>
      <c r="Y3025" s="6"/>
      <c r="Z3025" s="6"/>
    </row>
    <row r="3026" customFormat="false" ht="15" hidden="false" customHeight="false" outlineLevel="0" collapsed="false">
      <c r="A3026" s="9" t="s">
        <v>3297</v>
      </c>
      <c r="B3026" s="9" t="s">
        <v>3262</v>
      </c>
      <c r="C3026" s="9" t="s">
        <v>3263</v>
      </c>
      <c r="D3026" s="9" t="s">
        <v>2971</v>
      </c>
      <c r="E3026" s="9" t="s">
        <v>1660</v>
      </c>
      <c r="F3026" s="9" t="s">
        <v>211</v>
      </c>
      <c r="G3026" s="9" t="s">
        <v>221</v>
      </c>
      <c r="H3026" s="9" t="n">
        <v>3060</v>
      </c>
      <c r="I3026" s="29" t="n">
        <v>1.5</v>
      </c>
      <c r="J3026" s="9" t="n">
        <v>1</v>
      </c>
      <c r="K3026" s="30"/>
      <c r="L3026" s="30"/>
      <c r="M3026" s="30"/>
      <c r="N3026" s="30"/>
      <c r="O3026" s="30"/>
      <c r="P3026" s="30"/>
      <c r="Q3026" s="30"/>
      <c r="R3026" s="30"/>
      <c r="S3026" s="30"/>
      <c r="T3026" s="30"/>
      <c r="U3026" s="21" t="str">
        <f aca="false">IF(COUNT(K3026:T3026)=0,"SOURCE EMPTY / INDUSTRIAL ONLY",IF(MIN(K3026:T3026)=1,"SERVICE READY","HOLD"))</f>
        <v>SOURCE EMPTY / INDUSTRIAL ONLY</v>
      </c>
      <c r="V3026" s="9" t="n">
        <f aca="false">IF(U3026="SERVICE READY",1,0)</f>
        <v>0</v>
      </c>
      <c r="W3026" s="6"/>
      <c r="X3026" s="6"/>
      <c r="Y3026" s="6"/>
      <c r="Z3026" s="6"/>
    </row>
    <row r="3027" customFormat="false" ht="15" hidden="false" customHeight="false" outlineLevel="0" collapsed="false">
      <c r="A3027" s="9" t="s">
        <v>3298</v>
      </c>
      <c r="B3027" s="9" t="s">
        <v>3262</v>
      </c>
      <c r="C3027" s="9" t="s">
        <v>3263</v>
      </c>
      <c r="D3027" s="9" t="s">
        <v>2971</v>
      </c>
      <c r="E3027" s="9" t="s">
        <v>1660</v>
      </c>
      <c r="F3027" s="9" t="s">
        <v>197</v>
      </c>
      <c r="G3027" s="9" t="s">
        <v>221</v>
      </c>
      <c r="H3027" s="9" t="n">
        <v>3060</v>
      </c>
      <c r="I3027" s="29" t="n">
        <v>1.5</v>
      </c>
      <c r="J3027" s="9" t="n">
        <v>1</v>
      </c>
      <c r="K3027" s="30"/>
      <c r="L3027" s="30"/>
      <c r="M3027" s="30"/>
      <c r="N3027" s="30"/>
      <c r="O3027" s="30"/>
      <c r="P3027" s="30"/>
      <c r="Q3027" s="30"/>
      <c r="R3027" s="30"/>
      <c r="S3027" s="30"/>
      <c r="T3027" s="30"/>
      <c r="U3027" s="21" t="str">
        <f aca="false">IF(COUNT(K3027:T3027)=0,"SOURCE EMPTY / INDUSTRIAL ONLY",IF(MIN(K3027:T3027)=1,"SERVICE READY","HOLD"))</f>
        <v>SOURCE EMPTY / INDUSTRIAL ONLY</v>
      </c>
      <c r="V3027" s="9" t="n">
        <f aca="false">IF(U3027="SERVICE READY",1,0)</f>
        <v>0</v>
      </c>
      <c r="W3027" s="6"/>
      <c r="X3027" s="6"/>
      <c r="Y3027" s="6"/>
      <c r="Z3027" s="6"/>
    </row>
    <row r="3028" customFormat="false" ht="15" hidden="false" customHeight="false" outlineLevel="0" collapsed="false">
      <c r="A3028" s="9" t="s">
        <v>3299</v>
      </c>
      <c r="B3028" s="9" t="s">
        <v>3262</v>
      </c>
      <c r="C3028" s="9" t="s">
        <v>3263</v>
      </c>
      <c r="D3028" s="9" t="s">
        <v>2971</v>
      </c>
      <c r="E3028" s="9" t="s">
        <v>1660</v>
      </c>
      <c r="F3028" s="9" t="s">
        <v>200</v>
      </c>
      <c r="G3028" s="9" t="s">
        <v>221</v>
      </c>
      <c r="H3028" s="9" t="n">
        <v>3060</v>
      </c>
      <c r="I3028" s="29" t="n">
        <v>1.5</v>
      </c>
      <c r="J3028" s="9" t="n">
        <v>1</v>
      </c>
      <c r="K3028" s="30"/>
      <c r="L3028" s="30"/>
      <c r="M3028" s="30"/>
      <c r="N3028" s="30"/>
      <c r="O3028" s="30"/>
      <c r="P3028" s="30"/>
      <c r="Q3028" s="30"/>
      <c r="R3028" s="30"/>
      <c r="S3028" s="30"/>
      <c r="T3028" s="30"/>
      <c r="U3028" s="21" t="str">
        <f aca="false">IF(COUNT(K3028:T3028)=0,"SOURCE EMPTY / INDUSTRIAL ONLY",IF(MIN(K3028:T3028)=1,"SERVICE READY","HOLD"))</f>
        <v>SOURCE EMPTY / INDUSTRIAL ONLY</v>
      </c>
      <c r="V3028" s="9" t="n">
        <f aca="false">IF(U3028="SERVICE READY",1,0)</f>
        <v>0</v>
      </c>
      <c r="W3028" s="6"/>
      <c r="X3028" s="6"/>
      <c r="Y3028" s="6"/>
      <c r="Z3028" s="6"/>
    </row>
    <row r="3029" customFormat="false" ht="15" hidden="false" customHeight="false" outlineLevel="0" collapsed="false">
      <c r="A3029" s="9" t="s">
        <v>3300</v>
      </c>
      <c r="B3029" s="9" t="s">
        <v>3262</v>
      </c>
      <c r="C3029" s="9" t="s">
        <v>3263</v>
      </c>
      <c r="D3029" s="9" t="s">
        <v>2971</v>
      </c>
      <c r="E3029" s="9" t="s">
        <v>1660</v>
      </c>
      <c r="F3029" s="9" t="s">
        <v>203</v>
      </c>
      <c r="G3029" s="9" t="s">
        <v>221</v>
      </c>
      <c r="H3029" s="9" t="n">
        <v>3060</v>
      </c>
      <c r="I3029" s="29" t="n">
        <v>1.5</v>
      </c>
      <c r="J3029" s="9" t="n">
        <v>1</v>
      </c>
      <c r="K3029" s="30"/>
      <c r="L3029" s="30"/>
      <c r="M3029" s="30"/>
      <c r="N3029" s="30"/>
      <c r="O3029" s="30"/>
      <c r="P3029" s="30"/>
      <c r="Q3029" s="30"/>
      <c r="R3029" s="30"/>
      <c r="S3029" s="30"/>
      <c r="T3029" s="30"/>
      <c r="U3029" s="21" t="str">
        <f aca="false">IF(COUNT(K3029:T3029)=0,"SOURCE EMPTY / INDUSTRIAL ONLY",IF(MIN(K3029:T3029)=1,"SERVICE READY","HOLD"))</f>
        <v>SOURCE EMPTY / INDUSTRIAL ONLY</v>
      </c>
      <c r="V3029" s="9" t="n">
        <f aca="false">IF(U3029="SERVICE READY",1,0)</f>
        <v>0</v>
      </c>
      <c r="W3029" s="6"/>
      <c r="X3029" s="6"/>
      <c r="Y3029" s="6"/>
      <c r="Z3029" s="6"/>
    </row>
    <row r="3030" customFormat="false" ht="15" hidden="false" customHeight="false" outlineLevel="0" collapsed="false">
      <c r="A3030" s="9" t="s">
        <v>3301</v>
      </c>
      <c r="B3030" s="9" t="s">
        <v>3262</v>
      </c>
      <c r="C3030" s="9" t="s">
        <v>3263</v>
      </c>
      <c r="D3030" s="9" t="s">
        <v>2971</v>
      </c>
      <c r="E3030" s="9" t="s">
        <v>1660</v>
      </c>
      <c r="F3030" s="9" t="s">
        <v>205</v>
      </c>
      <c r="G3030" s="9" t="s">
        <v>221</v>
      </c>
      <c r="H3030" s="9" t="n">
        <v>3060</v>
      </c>
      <c r="I3030" s="29" t="n">
        <v>1.5</v>
      </c>
      <c r="J3030" s="9" t="n">
        <v>1</v>
      </c>
      <c r="K3030" s="30"/>
      <c r="L3030" s="30"/>
      <c r="M3030" s="30"/>
      <c r="N3030" s="30"/>
      <c r="O3030" s="30"/>
      <c r="P3030" s="30"/>
      <c r="Q3030" s="30"/>
      <c r="R3030" s="30"/>
      <c r="S3030" s="30"/>
      <c r="T3030" s="30"/>
      <c r="U3030" s="21" t="str">
        <f aca="false">IF(COUNT(K3030:T3030)=0,"SOURCE EMPTY / INDUSTRIAL ONLY",IF(MIN(K3030:T3030)=1,"SERVICE READY","HOLD"))</f>
        <v>SOURCE EMPTY / INDUSTRIAL ONLY</v>
      </c>
      <c r="V3030" s="9" t="n">
        <f aca="false">IF(U3030="SERVICE READY",1,0)</f>
        <v>0</v>
      </c>
      <c r="W3030" s="6"/>
      <c r="X3030" s="6"/>
      <c r="Y3030" s="6"/>
      <c r="Z3030" s="6"/>
    </row>
    <row r="3031" customFormat="false" ht="15" hidden="false" customHeight="false" outlineLevel="0" collapsed="false">
      <c r="A3031" s="9" t="s">
        <v>3302</v>
      </c>
      <c r="B3031" s="9" t="s">
        <v>3262</v>
      </c>
      <c r="C3031" s="9" t="s">
        <v>3263</v>
      </c>
      <c r="D3031" s="9" t="s">
        <v>2971</v>
      </c>
      <c r="E3031" s="9" t="s">
        <v>1660</v>
      </c>
      <c r="F3031" s="9" t="s">
        <v>207</v>
      </c>
      <c r="G3031" s="9" t="s">
        <v>221</v>
      </c>
      <c r="H3031" s="9" t="n">
        <v>3060</v>
      </c>
      <c r="I3031" s="29" t="n">
        <v>1.5</v>
      </c>
      <c r="J3031" s="9" t="n">
        <v>1</v>
      </c>
      <c r="K3031" s="30"/>
      <c r="L3031" s="30"/>
      <c r="M3031" s="30"/>
      <c r="N3031" s="30"/>
      <c r="O3031" s="30"/>
      <c r="P3031" s="30"/>
      <c r="Q3031" s="30"/>
      <c r="R3031" s="30"/>
      <c r="S3031" s="30"/>
      <c r="T3031" s="30"/>
      <c r="U3031" s="21" t="str">
        <f aca="false">IF(COUNT(K3031:T3031)=0,"SOURCE EMPTY / INDUSTRIAL ONLY",IF(MIN(K3031:T3031)=1,"SERVICE READY","HOLD"))</f>
        <v>SOURCE EMPTY / INDUSTRIAL ONLY</v>
      </c>
      <c r="V3031" s="9" t="n">
        <f aca="false">IF(U3031="SERVICE READY",1,0)</f>
        <v>0</v>
      </c>
      <c r="W3031" s="6"/>
      <c r="X3031" s="6"/>
      <c r="Y3031" s="6"/>
      <c r="Z3031" s="6"/>
    </row>
    <row r="3032" customFormat="false" ht="15" hidden="false" customHeight="false" outlineLevel="0" collapsed="false">
      <c r="A3032" s="9" t="s">
        <v>3303</v>
      </c>
      <c r="B3032" s="9" t="s">
        <v>3262</v>
      </c>
      <c r="C3032" s="9" t="s">
        <v>3263</v>
      </c>
      <c r="D3032" s="9" t="s">
        <v>2971</v>
      </c>
      <c r="E3032" s="9" t="s">
        <v>1660</v>
      </c>
      <c r="F3032" s="9" t="s">
        <v>209</v>
      </c>
      <c r="G3032" s="9" t="s">
        <v>221</v>
      </c>
      <c r="H3032" s="9" t="n">
        <v>3060</v>
      </c>
      <c r="I3032" s="29" t="n">
        <v>1.5</v>
      </c>
      <c r="J3032" s="9" t="n">
        <v>1</v>
      </c>
      <c r="K3032" s="30"/>
      <c r="L3032" s="30"/>
      <c r="M3032" s="30"/>
      <c r="N3032" s="30"/>
      <c r="O3032" s="30"/>
      <c r="P3032" s="30"/>
      <c r="Q3032" s="30"/>
      <c r="R3032" s="30"/>
      <c r="S3032" s="30"/>
      <c r="T3032" s="30"/>
      <c r="U3032" s="21" t="str">
        <f aca="false">IF(COUNT(K3032:T3032)=0,"SOURCE EMPTY / INDUSTRIAL ONLY",IF(MIN(K3032:T3032)=1,"SERVICE READY","HOLD"))</f>
        <v>SOURCE EMPTY / INDUSTRIAL ONLY</v>
      </c>
      <c r="V3032" s="9" t="n">
        <f aca="false">IF(U3032="SERVICE READY",1,0)</f>
        <v>0</v>
      </c>
      <c r="W3032" s="6"/>
      <c r="X3032" s="6"/>
      <c r="Y3032" s="6"/>
      <c r="Z3032" s="6"/>
    </row>
    <row r="3033" customFormat="false" ht="15" hidden="false" customHeight="false" outlineLevel="0" collapsed="false">
      <c r="A3033" s="9" t="s">
        <v>3304</v>
      </c>
      <c r="B3033" s="9" t="s">
        <v>3262</v>
      </c>
      <c r="C3033" s="9" t="s">
        <v>3263</v>
      </c>
      <c r="D3033" s="9" t="s">
        <v>2971</v>
      </c>
      <c r="E3033" s="9" t="s">
        <v>1660</v>
      </c>
      <c r="F3033" s="9" t="s">
        <v>211</v>
      </c>
      <c r="G3033" s="9" t="s">
        <v>221</v>
      </c>
      <c r="H3033" s="9" t="n">
        <v>3060</v>
      </c>
      <c r="I3033" s="29" t="n">
        <v>1.5</v>
      </c>
      <c r="J3033" s="9" t="n">
        <v>1</v>
      </c>
      <c r="K3033" s="30"/>
      <c r="L3033" s="30"/>
      <c r="M3033" s="30"/>
      <c r="N3033" s="30"/>
      <c r="O3033" s="30"/>
      <c r="P3033" s="30"/>
      <c r="Q3033" s="30"/>
      <c r="R3033" s="30"/>
      <c r="S3033" s="30"/>
      <c r="T3033" s="30"/>
      <c r="U3033" s="21" t="str">
        <f aca="false">IF(COUNT(K3033:T3033)=0,"SOURCE EMPTY / INDUSTRIAL ONLY",IF(MIN(K3033:T3033)=1,"SERVICE READY","HOLD"))</f>
        <v>SOURCE EMPTY / INDUSTRIAL ONLY</v>
      </c>
      <c r="V3033" s="9" t="n">
        <f aca="false">IF(U3033="SERVICE READY",1,0)</f>
        <v>0</v>
      </c>
      <c r="W3033" s="6"/>
      <c r="X3033" s="6"/>
      <c r="Y3033" s="6"/>
      <c r="Z3033" s="6"/>
    </row>
    <row r="3034" customFormat="false" ht="15" hidden="false" customHeight="false" outlineLevel="0" collapsed="false">
      <c r="A3034" s="9" t="s">
        <v>3305</v>
      </c>
      <c r="B3034" s="9" t="s">
        <v>3262</v>
      </c>
      <c r="C3034" s="9" t="s">
        <v>3263</v>
      </c>
      <c r="D3034" s="9" t="s">
        <v>2971</v>
      </c>
      <c r="E3034" s="9" t="s">
        <v>1660</v>
      </c>
      <c r="F3034" s="9" t="s">
        <v>197</v>
      </c>
      <c r="G3034" s="9" t="s">
        <v>221</v>
      </c>
      <c r="H3034" s="9" t="n">
        <v>3060</v>
      </c>
      <c r="I3034" s="29" t="n">
        <v>1.5</v>
      </c>
      <c r="J3034" s="9" t="n">
        <v>1</v>
      </c>
      <c r="K3034" s="30"/>
      <c r="L3034" s="30"/>
      <c r="M3034" s="30"/>
      <c r="N3034" s="30"/>
      <c r="O3034" s="30"/>
      <c r="P3034" s="30"/>
      <c r="Q3034" s="30"/>
      <c r="R3034" s="30"/>
      <c r="S3034" s="30"/>
      <c r="T3034" s="30"/>
      <c r="U3034" s="21" t="str">
        <f aca="false">IF(COUNT(K3034:T3034)=0,"SOURCE EMPTY / INDUSTRIAL ONLY",IF(MIN(K3034:T3034)=1,"SERVICE READY","HOLD"))</f>
        <v>SOURCE EMPTY / INDUSTRIAL ONLY</v>
      </c>
      <c r="V3034" s="9" t="n">
        <f aca="false">IF(U3034="SERVICE READY",1,0)</f>
        <v>0</v>
      </c>
      <c r="W3034" s="6"/>
      <c r="X3034" s="6"/>
      <c r="Y3034" s="6"/>
      <c r="Z3034" s="6"/>
    </row>
    <row r="3035" customFormat="false" ht="15" hidden="false" customHeight="false" outlineLevel="0" collapsed="false">
      <c r="A3035" s="9" t="s">
        <v>3306</v>
      </c>
      <c r="B3035" s="9" t="s">
        <v>3262</v>
      </c>
      <c r="C3035" s="9" t="s">
        <v>3263</v>
      </c>
      <c r="D3035" s="9" t="s">
        <v>2971</v>
      </c>
      <c r="E3035" s="9" t="s">
        <v>1660</v>
      </c>
      <c r="F3035" s="9" t="s">
        <v>200</v>
      </c>
      <c r="G3035" s="9" t="s">
        <v>221</v>
      </c>
      <c r="H3035" s="9" t="n">
        <v>3060</v>
      </c>
      <c r="I3035" s="29" t="n">
        <v>1.5</v>
      </c>
      <c r="J3035" s="9" t="n">
        <v>0</v>
      </c>
      <c r="K3035" s="30"/>
      <c r="L3035" s="30"/>
      <c r="M3035" s="30"/>
      <c r="N3035" s="30"/>
      <c r="O3035" s="30"/>
      <c r="P3035" s="30"/>
      <c r="Q3035" s="30"/>
      <c r="R3035" s="30"/>
      <c r="S3035" s="30"/>
      <c r="T3035" s="30"/>
      <c r="U3035" s="21" t="str">
        <f aca="false">IF(COUNT(K3035:T3035)=0,"SOURCE EMPTY / INDUSTRIAL ONLY",IF(MIN(K3035:T3035)=1,"SERVICE READY","HOLD"))</f>
        <v>SOURCE EMPTY / INDUSTRIAL ONLY</v>
      </c>
      <c r="V3035" s="9" t="n">
        <f aca="false">IF(U3035="SERVICE READY",1,0)</f>
        <v>0</v>
      </c>
      <c r="W3035" s="6"/>
      <c r="X3035" s="6"/>
      <c r="Y3035" s="6"/>
      <c r="Z3035" s="6"/>
    </row>
    <row r="3036" customFormat="false" ht="15" hidden="false" customHeight="false" outlineLevel="0" collapsed="false">
      <c r="A3036" s="9" t="s">
        <v>3307</v>
      </c>
      <c r="B3036" s="9" t="s">
        <v>3262</v>
      </c>
      <c r="C3036" s="9" t="s">
        <v>3263</v>
      </c>
      <c r="D3036" s="9" t="s">
        <v>2971</v>
      </c>
      <c r="E3036" s="9" t="s">
        <v>1660</v>
      </c>
      <c r="F3036" s="9" t="s">
        <v>203</v>
      </c>
      <c r="G3036" s="9" t="s">
        <v>221</v>
      </c>
      <c r="H3036" s="9" t="n">
        <v>3060</v>
      </c>
      <c r="I3036" s="29" t="n">
        <v>1.5</v>
      </c>
      <c r="J3036" s="9" t="n">
        <v>0</v>
      </c>
      <c r="K3036" s="30"/>
      <c r="L3036" s="30"/>
      <c r="M3036" s="30"/>
      <c r="N3036" s="30"/>
      <c r="O3036" s="30"/>
      <c r="P3036" s="30"/>
      <c r="Q3036" s="30"/>
      <c r="R3036" s="30"/>
      <c r="S3036" s="30"/>
      <c r="T3036" s="30"/>
      <c r="U3036" s="21" t="str">
        <f aca="false">IF(COUNT(K3036:T3036)=0,"SOURCE EMPTY / INDUSTRIAL ONLY",IF(MIN(K3036:T3036)=1,"SERVICE READY","HOLD"))</f>
        <v>SOURCE EMPTY / INDUSTRIAL ONLY</v>
      </c>
      <c r="V3036" s="9" t="n">
        <f aca="false">IF(U3036="SERVICE READY",1,0)</f>
        <v>0</v>
      </c>
      <c r="W3036" s="6"/>
      <c r="X3036" s="6"/>
      <c r="Y3036" s="6"/>
      <c r="Z3036" s="6"/>
    </row>
    <row r="3037" customFormat="false" ht="15" hidden="false" customHeight="false" outlineLevel="0" collapsed="false">
      <c r="A3037" s="9" t="s">
        <v>3308</v>
      </c>
      <c r="B3037" s="9" t="s">
        <v>3262</v>
      </c>
      <c r="C3037" s="9" t="s">
        <v>3263</v>
      </c>
      <c r="D3037" s="9" t="s">
        <v>2971</v>
      </c>
      <c r="E3037" s="9" t="s">
        <v>1660</v>
      </c>
      <c r="F3037" s="9" t="s">
        <v>205</v>
      </c>
      <c r="G3037" s="9" t="s">
        <v>221</v>
      </c>
      <c r="H3037" s="9" t="n">
        <v>3060</v>
      </c>
      <c r="I3037" s="29" t="n">
        <v>1.5</v>
      </c>
      <c r="J3037" s="9" t="n">
        <v>0</v>
      </c>
      <c r="K3037" s="30"/>
      <c r="L3037" s="30"/>
      <c r="M3037" s="30"/>
      <c r="N3037" s="30"/>
      <c r="O3037" s="30"/>
      <c r="P3037" s="30"/>
      <c r="Q3037" s="30"/>
      <c r="R3037" s="30"/>
      <c r="S3037" s="30"/>
      <c r="T3037" s="30"/>
      <c r="U3037" s="21" t="str">
        <f aca="false">IF(COUNT(K3037:T3037)=0,"SOURCE EMPTY / INDUSTRIAL ONLY",IF(MIN(K3037:T3037)=1,"SERVICE READY","HOLD"))</f>
        <v>SOURCE EMPTY / INDUSTRIAL ONLY</v>
      </c>
      <c r="V3037" s="9" t="n">
        <f aca="false">IF(U3037="SERVICE READY",1,0)</f>
        <v>0</v>
      </c>
      <c r="W3037" s="6"/>
      <c r="X3037" s="6"/>
      <c r="Y3037" s="6"/>
      <c r="Z3037" s="6"/>
    </row>
    <row r="3038" customFormat="false" ht="15" hidden="false" customHeight="false" outlineLevel="0" collapsed="false">
      <c r="A3038" s="9" t="s">
        <v>3309</v>
      </c>
      <c r="B3038" s="9" t="s">
        <v>3262</v>
      </c>
      <c r="C3038" s="9" t="s">
        <v>3263</v>
      </c>
      <c r="D3038" s="9" t="s">
        <v>2971</v>
      </c>
      <c r="E3038" s="9" t="s">
        <v>1660</v>
      </c>
      <c r="F3038" s="9" t="s">
        <v>207</v>
      </c>
      <c r="G3038" s="9" t="s">
        <v>221</v>
      </c>
      <c r="H3038" s="9" t="n">
        <v>3060</v>
      </c>
      <c r="I3038" s="29" t="n">
        <v>1.5</v>
      </c>
      <c r="J3038" s="9" t="n">
        <v>0</v>
      </c>
      <c r="K3038" s="30"/>
      <c r="L3038" s="30"/>
      <c r="M3038" s="30"/>
      <c r="N3038" s="30"/>
      <c r="O3038" s="30"/>
      <c r="P3038" s="30"/>
      <c r="Q3038" s="30"/>
      <c r="R3038" s="30"/>
      <c r="S3038" s="30"/>
      <c r="T3038" s="30"/>
      <c r="U3038" s="21" t="str">
        <f aca="false">IF(COUNT(K3038:T3038)=0,"SOURCE EMPTY / INDUSTRIAL ONLY",IF(MIN(K3038:T3038)=1,"SERVICE READY","HOLD"))</f>
        <v>SOURCE EMPTY / INDUSTRIAL ONLY</v>
      </c>
      <c r="V3038" s="9" t="n">
        <f aca="false">IF(U3038="SERVICE READY",1,0)</f>
        <v>0</v>
      </c>
      <c r="W3038" s="6"/>
      <c r="X3038" s="6"/>
      <c r="Y3038" s="6"/>
      <c r="Z3038" s="6"/>
    </row>
    <row r="3039" customFormat="false" ht="15" hidden="false" customHeight="false" outlineLevel="0" collapsed="false">
      <c r="A3039" s="9" t="s">
        <v>3310</v>
      </c>
      <c r="B3039" s="9" t="s">
        <v>3262</v>
      </c>
      <c r="C3039" s="9" t="s">
        <v>3263</v>
      </c>
      <c r="D3039" s="9" t="s">
        <v>2971</v>
      </c>
      <c r="E3039" s="9" t="s">
        <v>1660</v>
      </c>
      <c r="F3039" s="9" t="s">
        <v>209</v>
      </c>
      <c r="G3039" s="9" t="s">
        <v>221</v>
      </c>
      <c r="H3039" s="9" t="n">
        <v>3060</v>
      </c>
      <c r="I3039" s="29" t="n">
        <v>1.5</v>
      </c>
      <c r="J3039" s="9" t="n">
        <v>0</v>
      </c>
      <c r="K3039" s="30"/>
      <c r="L3039" s="30"/>
      <c r="M3039" s="30"/>
      <c r="N3039" s="30"/>
      <c r="O3039" s="30"/>
      <c r="P3039" s="30"/>
      <c r="Q3039" s="30"/>
      <c r="R3039" s="30"/>
      <c r="S3039" s="30"/>
      <c r="T3039" s="30"/>
      <c r="U3039" s="21" t="str">
        <f aca="false">IF(COUNT(K3039:T3039)=0,"SOURCE EMPTY / INDUSTRIAL ONLY",IF(MIN(K3039:T3039)=1,"SERVICE READY","HOLD"))</f>
        <v>SOURCE EMPTY / INDUSTRIAL ONLY</v>
      </c>
      <c r="V3039" s="9" t="n">
        <f aca="false">IF(U3039="SERVICE READY",1,0)</f>
        <v>0</v>
      </c>
      <c r="W3039" s="6"/>
      <c r="X3039" s="6"/>
      <c r="Y3039" s="6"/>
      <c r="Z3039" s="6"/>
    </row>
    <row r="3040" customFormat="false" ht="15" hidden="false" customHeight="false" outlineLevel="0" collapsed="false">
      <c r="A3040" s="9" t="s">
        <v>3311</v>
      </c>
      <c r="B3040" s="9" t="s">
        <v>3262</v>
      </c>
      <c r="C3040" s="9" t="s">
        <v>3263</v>
      </c>
      <c r="D3040" s="9" t="s">
        <v>2971</v>
      </c>
      <c r="E3040" s="9" t="s">
        <v>1660</v>
      </c>
      <c r="F3040" s="9" t="s">
        <v>211</v>
      </c>
      <c r="G3040" s="9" t="s">
        <v>221</v>
      </c>
      <c r="H3040" s="9" t="n">
        <v>3060</v>
      </c>
      <c r="I3040" s="29" t="n">
        <v>1.5</v>
      </c>
      <c r="J3040" s="9" t="n">
        <v>0</v>
      </c>
      <c r="K3040" s="30"/>
      <c r="L3040" s="30"/>
      <c r="M3040" s="30"/>
      <c r="N3040" s="30"/>
      <c r="O3040" s="30"/>
      <c r="P3040" s="30"/>
      <c r="Q3040" s="30"/>
      <c r="R3040" s="30"/>
      <c r="S3040" s="30"/>
      <c r="T3040" s="30"/>
      <c r="U3040" s="21" t="str">
        <f aca="false">IF(COUNT(K3040:T3040)=0,"SOURCE EMPTY / INDUSTRIAL ONLY",IF(MIN(K3040:T3040)=1,"SERVICE READY","HOLD"))</f>
        <v>SOURCE EMPTY / INDUSTRIAL ONLY</v>
      </c>
      <c r="V3040" s="9" t="n">
        <f aca="false">IF(U3040="SERVICE READY",1,0)</f>
        <v>0</v>
      </c>
      <c r="W3040" s="6"/>
      <c r="X3040" s="6"/>
      <c r="Y3040" s="6"/>
      <c r="Z3040" s="6"/>
    </row>
    <row r="3041" customFormat="false" ht="15" hidden="false" customHeight="false" outlineLevel="0" collapsed="false">
      <c r="A3041" s="9" t="s">
        <v>3312</v>
      </c>
      <c r="B3041" s="9" t="s">
        <v>3262</v>
      </c>
      <c r="C3041" s="9" t="s">
        <v>3263</v>
      </c>
      <c r="D3041" s="9" t="s">
        <v>2971</v>
      </c>
      <c r="E3041" s="9" t="s">
        <v>1660</v>
      </c>
      <c r="F3041" s="9" t="s">
        <v>197</v>
      </c>
      <c r="G3041" s="9" t="s">
        <v>221</v>
      </c>
      <c r="H3041" s="9" t="n">
        <v>3060</v>
      </c>
      <c r="I3041" s="29" t="n">
        <v>1.5</v>
      </c>
      <c r="J3041" s="9" t="n">
        <v>0</v>
      </c>
      <c r="K3041" s="30"/>
      <c r="L3041" s="30"/>
      <c r="M3041" s="30"/>
      <c r="N3041" s="30"/>
      <c r="O3041" s="30"/>
      <c r="P3041" s="30"/>
      <c r="Q3041" s="30"/>
      <c r="R3041" s="30"/>
      <c r="S3041" s="30"/>
      <c r="T3041" s="30"/>
      <c r="U3041" s="21" t="str">
        <f aca="false">IF(COUNT(K3041:T3041)=0,"SOURCE EMPTY / INDUSTRIAL ONLY",IF(MIN(K3041:T3041)=1,"SERVICE READY","HOLD"))</f>
        <v>SOURCE EMPTY / INDUSTRIAL ONLY</v>
      </c>
      <c r="V3041" s="9" t="n">
        <f aca="false">IF(U3041="SERVICE READY",1,0)</f>
        <v>0</v>
      </c>
      <c r="W3041" s="6"/>
      <c r="X3041" s="6"/>
      <c r="Y3041" s="6"/>
      <c r="Z3041" s="6"/>
    </row>
    <row r="3042" customFormat="false" ht="15" hidden="false" customHeight="false" outlineLevel="0" collapsed="false">
      <c r="A3042" s="9" t="s">
        <v>3313</v>
      </c>
      <c r="B3042" s="9" t="s">
        <v>3262</v>
      </c>
      <c r="C3042" s="9" t="s">
        <v>3263</v>
      </c>
      <c r="D3042" s="9" t="s">
        <v>2971</v>
      </c>
      <c r="E3042" s="9" t="s">
        <v>1660</v>
      </c>
      <c r="F3042" s="9" t="s">
        <v>200</v>
      </c>
      <c r="G3042" s="9" t="s">
        <v>221</v>
      </c>
      <c r="H3042" s="9" t="n">
        <v>3060</v>
      </c>
      <c r="I3042" s="29" t="n">
        <v>1.5</v>
      </c>
      <c r="J3042" s="9" t="n">
        <v>0</v>
      </c>
      <c r="K3042" s="30"/>
      <c r="L3042" s="30"/>
      <c r="M3042" s="30"/>
      <c r="N3042" s="30"/>
      <c r="O3042" s="30"/>
      <c r="P3042" s="30"/>
      <c r="Q3042" s="30"/>
      <c r="R3042" s="30"/>
      <c r="S3042" s="30"/>
      <c r="T3042" s="30"/>
      <c r="U3042" s="21" t="str">
        <f aca="false">IF(COUNT(K3042:T3042)=0,"SOURCE EMPTY / INDUSTRIAL ONLY",IF(MIN(K3042:T3042)=1,"SERVICE READY","HOLD"))</f>
        <v>SOURCE EMPTY / INDUSTRIAL ONLY</v>
      </c>
      <c r="V3042" s="9" t="n">
        <f aca="false">IF(U3042="SERVICE READY",1,0)</f>
        <v>0</v>
      </c>
      <c r="W3042" s="6"/>
      <c r="X3042" s="6"/>
      <c r="Y3042" s="6"/>
      <c r="Z3042" s="6"/>
    </row>
    <row r="3043" customFormat="false" ht="15" hidden="false" customHeight="false" outlineLevel="0" collapsed="false">
      <c r="A3043" s="9" t="s">
        <v>3314</v>
      </c>
      <c r="B3043" s="9" t="s">
        <v>3262</v>
      </c>
      <c r="C3043" s="9" t="s">
        <v>3263</v>
      </c>
      <c r="D3043" s="9" t="s">
        <v>2971</v>
      </c>
      <c r="E3043" s="9" t="s">
        <v>1660</v>
      </c>
      <c r="F3043" s="9" t="s">
        <v>203</v>
      </c>
      <c r="G3043" s="9" t="s">
        <v>221</v>
      </c>
      <c r="H3043" s="9" t="n">
        <v>3060</v>
      </c>
      <c r="I3043" s="29" t="n">
        <v>1.5</v>
      </c>
      <c r="J3043" s="9" t="n">
        <v>0</v>
      </c>
      <c r="K3043" s="30"/>
      <c r="L3043" s="30"/>
      <c r="M3043" s="30"/>
      <c r="N3043" s="30"/>
      <c r="O3043" s="30"/>
      <c r="P3043" s="30"/>
      <c r="Q3043" s="30"/>
      <c r="R3043" s="30"/>
      <c r="S3043" s="30"/>
      <c r="T3043" s="30"/>
      <c r="U3043" s="21" t="str">
        <f aca="false">IF(COUNT(K3043:T3043)=0,"SOURCE EMPTY / INDUSTRIAL ONLY",IF(MIN(K3043:T3043)=1,"SERVICE READY","HOLD"))</f>
        <v>SOURCE EMPTY / INDUSTRIAL ONLY</v>
      </c>
      <c r="V3043" s="9" t="n">
        <f aca="false">IF(U3043="SERVICE READY",1,0)</f>
        <v>0</v>
      </c>
      <c r="W3043" s="6"/>
      <c r="X3043" s="6"/>
      <c r="Y3043" s="6"/>
      <c r="Z3043" s="6"/>
    </row>
    <row r="3044" customFormat="false" ht="15" hidden="false" customHeight="false" outlineLevel="0" collapsed="false">
      <c r="A3044" s="9" t="s">
        <v>3315</v>
      </c>
      <c r="B3044" s="9" t="s">
        <v>3262</v>
      </c>
      <c r="C3044" s="9" t="s">
        <v>3263</v>
      </c>
      <c r="D3044" s="9" t="s">
        <v>2971</v>
      </c>
      <c r="E3044" s="9" t="s">
        <v>1660</v>
      </c>
      <c r="F3044" s="9" t="s">
        <v>205</v>
      </c>
      <c r="G3044" s="9" t="s">
        <v>221</v>
      </c>
      <c r="H3044" s="9" t="n">
        <v>3060</v>
      </c>
      <c r="I3044" s="29" t="n">
        <v>1.5</v>
      </c>
      <c r="J3044" s="9" t="n">
        <v>0</v>
      </c>
      <c r="K3044" s="30"/>
      <c r="L3044" s="30"/>
      <c r="M3044" s="30"/>
      <c r="N3044" s="30"/>
      <c r="O3044" s="30"/>
      <c r="P3044" s="30"/>
      <c r="Q3044" s="30"/>
      <c r="R3044" s="30"/>
      <c r="S3044" s="30"/>
      <c r="T3044" s="30"/>
      <c r="U3044" s="21" t="str">
        <f aca="false">IF(COUNT(K3044:T3044)=0,"SOURCE EMPTY / INDUSTRIAL ONLY",IF(MIN(K3044:T3044)=1,"SERVICE READY","HOLD"))</f>
        <v>SOURCE EMPTY / INDUSTRIAL ONLY</v>
      </c>
      <c r="V3044" s="9" t="n">
        <f aca="false">IF(U3044="SERVICE READY",1,0)</f>
        <v>0</v>
      </c>
      <c r="W3044" s="6"/>
      <c r="X3044" s="6"/>
      <c r="Y3044" s="6"/>
      <c r="Z3044" s="6"/>
    </row>
    <row r="3045" customFormat="false" ht="15" hidden="false" customHeight="false" outlineLevel="0" collapsed="false">
      <c r="A3045" s="9" t="s">
        <v>3316</v>
      </c>
      <c r="B3045" s="9" t="s">
        <v>3262</v>
      </c>
      <c r="C3045" s="9" t="s">
        <v>3263</v>
      </c>
      <c r="D3045" s="9" t="s">
        <v>2971</v>
      </c>
      <c r="E3045" s="9" t="s">
        <v>1660</v>
      </c>
      <c r="F3045" s="9" t="s">
        <v>207</v>
      </c>
      <c r="G3045" s="9" t="s">
        <v>221</v>
      </c>
      <c r="H3045" s="9" t="n">
        <v>3060</v>
      </c>
      <c r="I3045" s="29" t="n">
        <v>1.5</v>
      </c>
      <c r="J3045" s="9" t="n">
        <v>0</v>
      </c>
      <c r="K3045" s="30"/>
      <c r="L3045" s="30"/>
      <c r="M3045" s="30"/>
      <c r="N3045" s="30"/>
      <c r="O3045" s="30"/>
      <c r="P3045" s="30"/>
      <c r="Q3045" s="30"/>
      <c r="R3045" s="30"/>
      <c r="S3045" s="30"/>
      <c r="T3045" s="30"/>
      <c r="U3045" s="21" t="str">
        <f aca="false">IF(COUNT(K3045:T3045)=0,"SOURCE EMPTY / INDUSTRIAL ONLY",IF(MIN(K3045:T3045)=1,"SERVICE READY","HOLD"))</f>
        <v>SOURCE EMPTY / INDUSTRIAL ONLY</v>
      </c>
      <c r="V3045" s="9" t="n">
        <f aca="false">IF(U3045="SERVICE READY",1,0)</f>
        <v>0</v>
      </c>
      <c r="W3045" s="6"/>
      <c r="X3045" s="6"/>
      <c r="Y3045" s="6"/>
      <c r="Z3045" s="6"/>
    </row>
    <row r="3046" customFormat="false" ht="15" hidden="false" customHeight="false" outlineLevel="0" collapsed="false">
      <c r="A3046" s="9" t="s">
        <v>3317</v>
      </c>
      <c r="B3046" s="9" t="s">
        <v>3262</v>
      </c>
      <c r="C3046" s="9" t="s">
        <v>3263</v>
      </c>
      <c r="D3046" s="9" t="s">
        <v>2971</v>
      </c>
      <c r="E3046" s="9" t="s">
        <v>1660</v>
      </c>
      <c r="F3046" s="9" t="s">
        <v>209</v>
      </c>
      <c r="G3046" s="9" t="s">
        <v>221</v>
      </c>
      <c r="H3046" s="9" t="n">
        <v>3060</v>
      </c>
      <c r="I3046" s="29" t="n">
        <v>1.5</v>
      </c>
      <c r="J3046" s="9" t="n">
        <v>0</v>
      </c>
      <c r="K3046" s="30"/>
      <c r="L3046" s="30"/>
      <c r="M3046" s="30"/>
      <c r="N3046" s="30"/>
      <c r="O3046" s="30"/>
      <c r="P3046" s="30"/>
      <c r="Q3046" s="30"/>
      <c r="R3046" s="30"/>
      <c r="S3046" s="30"/>
      <c r="T3046" s="30"/>
      <c r="U3046" s="21" t="str">
        <f aca="false">IF(COUNT(K3046:T3046)=0,"SOURCE EMPTY / INDUSTRIAL ONLY",IF(MIN(K3046:T3046)=1,"SERVICE READY","HOLD"))</f>
        <v>SOURCE EMPTY / INDUSTRIAL ONLY</v>
      </c>
      <c r="V3046" s="9" t="n">
        <f aca="false">IF(U3046="SERVICE READY",1,0)</f>
        <v>0</v>
      </c>
      <c r="W3046" s="6"/>
      <c r="X3046" s="6"/>
      <c r="Y3046" s="6"/>
      <c r="Z3046" s="6"/>
    </row>
    <row r="3047" customFormat="false" ht="15" hidden="false" customHeight="false" outlineLevel="0" collapsed="false">
      <c r="A3047" s="9" t="s">
        <v>3318</v>
      </c>
      <c r="B3047" s="9" t="s">
        <v>3262</v>
      </c>
      <c r="C3047" s="9" t="s">
        <v>3263</v>
      </c>
      <c r="D3047" s="9" t="s">
        <v>2971</v>
      </c>
      <c r="E3047" s="9" t="s">
        <v>1660</v>
      </c>
      <c r="F3047" s="9" t="s">
        <v>211</v>
      </c>
      <c r="G3047" s="9" t="s">
        <v>221</v>
      </c>
      <c r="H3047" s="9" t="n">
        <v>3060</v>
      </c>
      <c r="I3047" s="29" t="n">
        <v>1.5</v>
      </c>
      <c r="J3047" s="9" t="n">
        <v>0</v>
      </c>
      <c r="K3047" s="30"/>
      <c r="L3047" s="30"/>
      <c r="M3047" s="30"/>
      <c r="N3047" s="30"/>
      <c r="O3047" s="30"/>
      <c r="P3047" s="30"/>
      <c r="Q3047" s="30"/>
      <c r="R3047" s="30"/>
      <c r="S3047" s="30"/>
      <c r="T3047" s="30"/>
      <c r="U3047" s="21" t="str">
        <f aca="false">IF(COUNT(K3047:T3047)=0,"SOURCE EMPTY / INDUSTRIAL ONLY",IF(MIN(K3047:T3047)=1,"SERVICE READY","HOLD"))</f>
        <v>SOURCE EMPTY / INDUSTRIAL ONLY</v>
      </c>
      <c r="V3047" s="9" t="n">
        <f aca="false">IF(U3047="SERVICE READY",1,0)</f>
        <v>0</v>
      </c>
      <c r="W3047" s="6"/>
      <c r="X3047" s="6"/>
      <c r="Y3047" s="6"/>
      <c r="Z3047" s="6"/>
    </row>
    <row r="3048" customFormat="false" ht="15" hidden="false" customHeight="false" outlineLevel="0" collapsed="false">
      <c r="A3048" s="9" t="s">
        <v>3319</v>
      </c>
      <c r="B3048" s="9" t="s">
        <v>3262</v>
      </c>
      <c r="C3048" s="9" t="s">
        <v>3263</v>
      </c>
      <c r="D3048" s="9" t="s">
        <v>2971</v>
      </c>
      <c r="E3048" s="9" t="s">
        <v>1660</v>
      </c>
      <c r="F3048" s="9" t="s">
        <v>197</v>
      </c>
      <c r="G3048" s="9" t="s">
        <v>221</v>
      </c>
      <c r="H3048" s="9" t="n">
        <v>3060</v>
      </c>
      <c r="I3048" s="29" t="n">
        <v>1.5</v>
      </c>
      <c r="J3048" s="9" t="n">
        <v>0</v>
      </c>
      <c r="K3048" s="30"/>
      <c r="L3048" s="30"/>
      <c r="M3048" s="30"/>
      <c r="N3048" s="30"/>
      <c r="O3048" s="30"/>
      <c r="P3048" s="30"/>
      <c r="Q3048" s="30"/>
      <c r="R3048" s="30"/>
      <c r="S3048" s="30"/>
      <c r="T3048" s="30"/>
      <c r="U3048" s="21" t="str">
        <f aca="false">IF(COUNT(K3048:T3048)=0,"SOURCE EMPTY / INDUSTRIAL ONLY",IF(MIN(K3048:T3048)=1,"SERVICE READY","HOLD"))</f>
        <v>SOURCE EMPTY / INDUSTRIAL ONLY</v>
      </c>
      <c r="V3048" s="9" t="n">
        <f aca="false">IF(U3048="SERVICE READY",1,0)</f>
        <v>0</v>
      </c>
      <c r="W3048" s="6"/>
      <c r="X3048" s="6"/>
      <c r="Y3048" s="6"/>
      <c r="Z3048" s="6"/>
    </row>
    <row r="3049" customFormat="false" ht="15" hidden="false" customHeight="false" outlineLevel="0" collapsed="false">
      <c r="A3049" s="9" t="s">
        <v>3320</v>
      </c>
      <c r="B3049" s="9" t="s">
        <v>3262</v>
      </c>
      <c r="C3049" s="9" t="s">
        <v>3263</v>
      </c>
      <c r="D3049" s="9" t="s">
        <v>2971</v>
      </c>
      <c r="E3049" s="9" t="s">
        <v>1660</v>
      </c>
      <c r="F3049" s="9" t="s">
        <v>200</v>
      </c>
      <c r="G3049" s="9" t="s">
        <v>221</v>
      </c>
      <c r="H3049" s="9" t="n">
        <v>3060</v>
      </c>
      <c r="I3049" s="29" t="n">
        <v>1.5</v>
      </c>
      <c r="J3049" s="9" t="n">
        <v>0</v>
      </c>
      <c r="K3049" s="30"/>
      <c r="L3049" s="30"/>
      <c r="M3049" s="30"/>
      <c r="N3049" s="30"/>
      <c r="O3049" s="30"/>
      <c r="P3049" s="30"/>
      <c r="Q3049" s="30"/>
      <c r="R3049" s="30"/>
      <c r="S3049" s="30"/>
      <c r="T3049" s="30"/>
      <c r="U3049" s="21" t="str">
        <f aca="false">IF(COUNT(K3049:T3049)=0,"SOURCE EMPTY / INDUSTRIAL ONLY",IF(MIN(K3049:T3049)=1,"SERVICE READY","HOLD"))</f>
        <v>SOURCE EMPTY / INDUSTRIAL ONLY</v>
      </c>
      <c r="V3049" s="9" t="n">
        <f aca="false">IF(U3049="SERVICE READY",1,0)</f>
        <v>0</v>
      </c>
      <c r="W3049" s="6"/>
      <c r="X3049" s="6"/>
      <c r="Y3049" s="6"/>
      <c r="Z3049" s="6"/>
    </row>
    <row r="3050" customFormat="false" ht="15" hidden="false" customHeight="false" outlineLevel="0" collapsed="false">
      <c r="A3050" s="9" t="s">
        <v>3321</v>
      </c>
      <c r="B3050" s="9" t="s">
        <v>3262</v>
      </c>
      <c r="C3050" s="9" t="s">
        <v>3263</v>
      </c>
      <c r="D3050" s="9" t="s">
        <v>2971</v>
      </c>
      <c r="E3050" s="9" t="s">
        <v>1660</v>
      </c>
      <c r="F3050" s="9" t="s">
        <v>203</v>
      </c>
      <c r="G3050" s="9" t="s">
        <v>221</v>
      </c>
      <c r="H3050" s="9" t="n">
        <v>3060</v>
      </c>
      <c r="I3050" s="29" t="n">
        <v>1.5</v>
      </c>
      <c r="J3050" s="9" t="n">
        <v>0</v>
      </c>
      <c r="K3050" s="30"/>
      <c r="L3050" s="30"/>
      <c r="M3050" s="30"/>
      <c r="N3050" s="30"/>
      <c r="O3050" s="30"/>
      <c r="P3050" s="30"/>
      <c r="Q3050" s="30"/>
      <c r="R3050" s="30"/>
      <c r="S3050" s="30"/>
      <c r="T3050" s="30"/>
      <c r="U3050" s="21" t="str">
        <f aca="false">IF(COUNT(K3050:T3050)=0,"SOURCE EMPTY / INDUSTRIAL ONLY",IF(MIN(K3050:T3050)=1,"SERVICE READY","HOLD"))</f>
        <v>SOURCE EMPTY / INDUSTRIAL ONLY</v>
      </c>
      <c r="V3050" s="9" t="n">
        <f aca="false">IF(U3050="SERVICE READY",1,0)</f>
        <v>0</v>
      </c>
      <c r="W3050" s="6"/>
      <c r="X3050" s="6"/>
      <c r="Y3050" s="6"/>
      <c r="Z3050" s="6"/>
    </row>
    <row r="3051" customFormat="false" ht="15" hidden="false" customHeight="false" outlineLevel="0" collapsed="false">
      <c r="A3051" s="9" t="s">
        <v>3322</v>
      </c>
      <c r="B3051" s="9" t="s">
        <v>3262</v>
      </c>
      <c r="C3051" s="9" t="s">
        <v>3263</v>
      </c>
      <c r="D3051" s="9" t="s">
        <v>2971</v>
      </c>
      <c r="E3051" s="9" t="s">
        <v>1660</v>
      </c>
      <c r="F3051" s="9" t="s">
        <v>205</v>
      </c>
      <c r="G3051" s="9" t="s">
        <v>221</v>
      </c>
      <c r="H3051" s="9" t="n">
        <v>3060</v>
      </c>
      <c r="I3051" s="29" t="n">
        <v>1.5</v>
      </c>
      <c r="J3051" s="9" t="n">
        <v>0</v>
      </c>
      <c r="K3051" s="30"/>
      <c r="L3051" s="30"/>
      <c r="M3051" s="30"/>
      <c r="N3051" s="30"/>
      <c r="O3051" s="30"/>
      <c r="P3051" s="30"/>
      <c r="Q3051" s="30"/>
      <c r="R3051" s="30"/>
      <c r="S3051" s="30"/>
      <c r="T3051" s="30"/>
      <c r="U3051" s="21" t="str">
        <f aca="false">IF(COUNT(K3051:T3051)=0,"SOURCE EMPTY / INDUSTRIAL ONLY",IF(MIN(K3051:T3051)=1,"SERVICE READY","HOLD"))</f>
        <v>SOURCE EMPTY / INDUSTRIAL ONLY</v>
      </c>
      <c r="V3051" s="9" t="n">
        <f aca="false">IF(U3051="SERVICE READY",1,0)</f>
        <v>0</v>
      </c>
      <c r="W3051" s="6"/>
      <c r="X3051" s="6"/>
      <c r="Y3051" s="6"/>
      <c r="Z3051" s="6"/>
    </row>
    <row r="3052" customFormat="false" ht="15" hidden="false" customHeight="false" outlineLevel="0" collapsed="false">
      <c r="A3052" s="9" t="s">
        <v>3323</v>
      </c>
      <c r="B3052" s="9" t="s">
        <v>3262</v>
      </c>
      <c r="C3052" s="9" t="s">
        <v>3263</v>
      </c>
      <c r="D3052" s="9" t="s">
        <v>2971</v>
      </c>
      <c r="E3052" s="9" t="s">
        <v>1660</v>
      </c>
      <c r="F3052" s="9" t="s">
        <v>207</v>
      </c>
      <c r="G3052" s="9" t="s">
        <v>221</v>
      </c>
      <c r="H3052" s="9" t="n">
        <v>3060</v>
      </c>
      <c r="I3052" s="29" t="n">
        <v>1.5</v>
      </c>
      <c r="J3052" s="9" t="n">
        <v>0</v>
      </c>
      <c r="K3052" s="30"/>
      <c r="L3052" s="30"/>
      <c r="M3052" s="30"/>
      <c r="N3052" s="30"/>
      <c r="O3052" s="30"/>
      <c r="P3052" s="30"/>
      <c r="Q3052" s="30"/>
      <c r="R3052" s="30"/>
      <c r="S3052" s="30"/>
      <c r="T3052" s="30"/>
      <c r="U3052" s="21" t="str">
        <f aca="false">IF(COUNT(K3052:T3052)=0,"SOURCE EMPTY / INDUSTRIAL ONLY",IF(MIN(K3052:T3052)=1,"SERVICE READY","HOLD"))</f>
        <v>SOURCE EMPTY / INDUSTRIAL ONLY</v>
      </c>
      <c r="V3052" s="9" t="n">
        <f aca="false">IF(U3052="SERVICE READY",1,0)</f>
        <v>0</v>
      </c>
      <c r="W3052" s="6"/>
      <c r="X3052" s="6"/>
      <c r="Y3052" s="6"/>
      <c r="Z3052" s="6"/>
    </row>
    <row r="3053" customFormat="false" ht="15" hidden="false" customHeight="false" outlineLevel="0" collapsed="false">
      <c r="A3053" s="9" t="s">
        <v>3324</v>
      </c>
      <c r="B3053" s="9" t="s">
        <v>3262</v>
      </c>
      <c r="C3053" s="9" t="s">
        <v>3263</v>
      </c>
      <c r="D3053" s="9" t="s">
        <v>2971</v>
      </c>
      <c r="E3053" s="9" t="s">
        <v>1660</v>
      </c>
      <c r="F3053" s="9" t="s">
        <v>209</v>
      </c>
      <c r="G3053" s="9" t="s">
        <v>221</v>
      </c>
      <c r="H3053" s="9" t="n">
        <v>3060</v>
      </c>
      <c r="I3053" s="29" t="n">
        <v>1.5</v>
      </c>
      <c r="J3053" s="9" t="n">
        <v>0</v>
      </c>
      <c r="K3053" s="30"/>
      <c r="L3053" s="30"/>
      <c r="M3053" s="30"/>
      <c r="N3053" s="30"/>
      <c r="O3053" s="30"/>
      <c r="P3053" s="30"/>
      <c r="Q3053" s="30"/>
      <c r="R3053" s="30"/>
      <c r="S3053" s="30"/>
      <c r="T3053" s="30"/>
      <c r="U3053" s="21" t="str">
        <f aca="false">IF(COUNT(K3053:T3053)=0,"SOURCE EMPTY / INDUSTRIAL ONLY",IF(MIN(K3053:T3053)=1,"SERVICE READY","HOLD"))</f>
        <v>SOURCE EMPTY / INDUSTRIAL ONLY</v>
      </c>
      <c r="V3053" s="9" t="n">
        <f aca="false">IF(U3053="SERVICE READY",1,0)</f>
        <v>0</v>
      </c>
      <c r="W3053" s="6"/>
      <c r="X3053" s="6"/>
      <c r="Y3053" s="6"/>
      <c r="Z3053" s="6"/>
    </row>
    <row r="3054" customFormat="false" ht="15" hidden="false" customHeight="false" outlineLevel="0" collapsed="false">
      <c r="A3054" s="9" t="s">
        <v>3325</v>
      </c>
      <c r="B3054" s="9" t="s">
        <v>3262</v>
      </c>
      <c r="C3054" s="9" t="s">
        <v>3263</v>
      </c>
      <c r="D3054" s="9" t="s">
        <v>2971</v>
      </c>
      <c r="E3054" s="9" t="s">
        <v>1660</v>
      </c>
      <c r="F3054" s="9" t="s">
        <v>211</v>
      </c>
      <c r="G3054" s="9" t="s">
        <v>221</v>
      </c>
      <c r="H3054" s="9" t="n">
        <v>3060</v>
      </c>
      <c r="I3054" s="29" t="n">
        <v>1.5</v>
      </c>
      <c r="J3054" s="9" t="n">
        <v>0</v>
      </c>
      <c r="K3054" s="30"/>
      <c r="L3054" s="30"/>
      <c r="M3054" s="30"/>
      <c r="N3054" s="30"/>
      <c r="O3054" s="30"/>
      <c r="P3054" s="30"/>
      <c r="Q3054" s="30"/>
      <c r="R3054" s="30"/>
      <c r="S3054" s="30"/>
      <c r="T3054" s="30"/>
      <c r="U3054" s="21" t="str">
        <f aca="false">IF(COUNT(K3054:T3054)=0,"SOURCE EMPTY / INDUSTRIAL ONLY",IF(MIN(K3054:T3054)=1,"SERVICE READY","HOLD"))</f>
        <v>SOURCE EMPTY / INDUSTRIAL ONLY</v>
      </c>
      <c r="V3054" s="9" t="n">
        <f aca="false">IF(U3054="SERVICE READY",1,0)</f>
        <v>0</v>
      </c>
      <c r="W3054" s="6"/>
      <c r="X3054" s="6"/>
      <c r="Y3054" s="6"/>
      <c r="Z3054" s="6"/>
    </row>
    <row r="3055" customFormat="false" ht="15" hidden="false" customHeight="false" outlineLevel="0" collapsed="false">
      <c r="A3055" s="9" t="s">
        <v>3326</v>
      </c>
      <c r="B3055" s="9" t="s">
        <v>3262</v>
      </c>
      <c r="C3055" s="9" t="s">
        <v>3263</v>
      </c>
      <c r="D3055" s="9" t="s">
        <v>2971</v>
      </c>
      <c r="E3055" s="9" t="s">
        <v>1660</v>
      </c>
      <c r="F3055" s="9" t="s">
        <v>197</v>
      </c>
      <c r="G3055" s="9" t="s">
        <v>221</v>
      </c>
      <c r="H3055" s="9" t="n">
        <v>3060</v>
      </c>
      <c r="I3055" s="29" t="n">
        <v>1.5</v>
      </c>
      <c r="J3055" s="9" t="n">
        <v>0</v>
      </c>
      <c r="K3055" s="30"/>
      <c r="L3055" s="30"/>
      <c r="M3055" s="30"/>
      <c r="N3055" s="30"/>
      <c r="O3055" s="30"/>
      <c r="P3055" s="30"/>
      <c r="Q3055" s="30"/>
      <c r="R3055" s="30"/>
      <c r="S3055" s="30"/>
      <c r="T3055" s="30"/>
      <c r="U3055" s="21" t="str">
        <f aca="false">IF(COUNT(K3055:T3055)=0,"SOURCE EMPTY / INDUSTRIAL ONLY",IF(MIN(K3055:T3055)=1,"SERVICE READY","HOLD"))</f>
        <v>SOURCE EMPTY / INDUSTRIAL ONLY</v>
      </c>
      <c r="V3055" s="9" t="n">
        <f aca="false">IF(U3055="SERVICE READY",1,0)</f>
        <v>0</v>
      </c>
      <c r="W3055" s="6"/>
      <c r="X3055" s="6"/>
      <c r="Y3055" s="6"/>
      <c r="Z3055" s="6"/>
    </row>
    <row r="3056" customFormat="false" ht="15" hidden="false" customHeight="false" outlineLevel="0" collapsed="false">
      <c r="A3056" s="9" t="s">
        <v>3327</v>
      </c>
      <c r="B3056" s="9" t="s">
        <v>3262</v>
      </c>
      <c r="C3056" s="9" t="s">
        <v>3263</v>
      </c>
      <c r="D3056" s="9" t="s">
        <v>2971</v>
      </c>
      <c r="E3056" s="9" t="s">
        <v>1660</v>
      </c>
      <c r="F3056" s="9" t="s">
        <v>200</v>
      </c>
      <c r="G3056" s="9" t="s">
        <v>221</v>
      </c>
      <c r="H3056" s="9" t="n">
        <v>3060</v>
      </c>
      <c r="I3056" s="29" t="n">
        <v>1.5</v>
      </c>
      <c r="J3056" s="9" t="n">
        <v>0</v>
      </c>
      <c r="K3056" s="30"/>
      <c r="L3056" s="30"/>
      <c r="M3056" s="30"/>
      <c r="N3056" s="30"/>
      <c r="O3056" s="30"/>
      <c r="P3056" s="30"/>
      <c r="Q3056" s="30"/>
      <c r="R3056" s="30"/>
      <c r="S3056" s="30"/>
      <c r="T3056" s="30"/>
      <c r="U3056" s="21" t="str">
        <f aca="false">IF(COUNT(K3056:T3056)=0,"SOURCE EMPTY / INDUSTRIAL ONLY",IF(MIN(K3056:T3056)=1,"SERVICE READY","HOLD"))</f>
        <v>SOURCE EMPTY / INDUSTRIAL ONLY</v>
      </c>
      <c r="V3056" s="9" t="n">
        <f aca="false">IF(U3056="SERVICE READY",1,0)</f>
        <v>0</v>
      </c>
      <c r="W3056" s="6"/>
      <c r="X3056" s="6"/>
      <c r="Y3056" s="6"/>
      <c r="Z3056" s="6"/>
    </row>
    <row r="3057" customFormat="false" ht="15" hidden="false" customHeight="false" outlineLevel="0" collapsed="false">
      <c r="A3057" s="9" t="s">
        <v>3328</v>
      </c>
      <c r="B3057" s="9" t="s">
        <v>3329</v>
      </c>
      <c r="C3057" s="9" t="s">
        <v>3330</v>
      </c>
      <c r="D3057" s="9" t="s">
        <v>2971</v>
      </c>
      <c r="E3057" s="9" t="s">
        <v>1660</v>
      </c>
      <c r="F3057" s="9" t="s">
        <v>197</v>
      </c>
      <c r="G3057" s="9" t="s">
        <v>198</v>
      </c>
      <c r="H3057" s="9" t="n">
        <v>850</v>
      </c>
      <c r="I3057" s="29" t="n">
        <v>1</v>
      </c>
      <c r="J3057" s="9" t="n">
        <v>1</v>
      </c>
      <c r="K3057" s="30"/>
      <c r="L3057" s="30"/>
      <c r="M3057" s="30"/>
      <c r="N3057" s="30"/>
      <c r="O3057" s="30"/>
      <c r="P3057" s="30"/>
      <c r="Q3057" s="30"/>
      <c r="R3057" s="30"/>
      <c r="S3057" s="30"/>
      <c r="T3057" s="30"/>
      <c r="U3057" s="21" t="str">
        <f aca="false">IF(COUNT(K3057:T3057)=0,"SOURCE EMPTY / INDUSTRIAL ONLY",IF(MIN(K3057:T3057)=1,"SERVICE READY","HOLD"))</f>
        <v>SOURCE EMPTY / INDUSTRIAL ONLY</v>
      </c>
      <c r="V3057" s="9" t="n">
        <f aca="false">IF(U3057="SERVICE READY",1,0)</f>
        <v>0</v>
      </c>
      <c r="W3057" s="6"/>
      <c r="X3057" s="6"/>
      <c r="Y3057" s="6"/>
      <c r="Z3057" s="6"/>
    </row>
    <row r="3058" customFormat="false" ht="15" hidden="false" customHeight="false" outlineLevel="0" collapsed="false">
      <c r="A3058" s="9" t="s">
        <v>3331</v>
      </c>
      <c r="B3058" s="9" t="s">
        <v>3329</v>
      </c>
      <c r="C3058" s="9" t="s">
        <v>3330</v>
      </c>
      <c r="D3058" s="9" t="s">
        <v>2971</v>
      </c>
      <c r="E3058" s="9" t="s">
        <v>1660</v>
      </c>
      <c r="F3058" s="9" t="s">
        <v>200</v>
      </c>
      <c r="G3058" s="9" t="s">
        <v>201</v>
      </c>
      <c r="H3058" s="9" t="n">
        <v>850</v>
      </c>
      <c r="I3058" s="29" t="n">
        <v>1</v>
      </c>
      <c r="J3058" s="9" t="n">
        <v>1</v>
      </c>
      <c r="K3058" s="30"/>
      <c r="L3058" s="30"/>
      <c r="M3058" s="30"/>
      <c r="N3058" s="30"/>
      <c r="O3058" s="30"/>
      <c r="P3058" s="30"/>
      <c r="Q3058" s="30"/>
      <c r="R3058" s="30"/>
      <c r="S3058" s="30"/>
      <c r="T3058" s="30"/>
      <c r="U3058" s="21" t="str">
        <f aca="false">IF(COUNT(K3058:T3058)=0,"SOURCE EMPTY / INDUSTRIAL ONLY",IF(MIN(K3058:T3058)=1,"SERVICE READY","HOLD"))</f>
        <v>SOURCE EMPTY / INDUSTRIAL ONLY</v>
      </c>
      <c r="V3058" s="9" t="n">
        <f aca="false">IF(U3058="SERVICE READY",1,0)</f>
        <v>0</v>
      </c>
      <c r="W3058" s="6"/>
      <c r="X3058" s="6"/>
      <c r="Y3058" s="6"/>
      <c r="Z3058" s="6"/>
    </row>
    <row r="3059" customFormat="false" ht="15" hidden="false" customHeight="false" outlineLevel="0" collapsed="false">
      <c r="A3059" s="9" t="s">
        <v>3332</v>
      </c>
      <c r="B3059" s="9" t="s">
        <v>3329</v>
      </c>
      <c r="C3059" s="9" t="s">
        <v>3330</v>
      </c>
      <c r="D3059" s="9" t="s">
        <v>2971</v>
      </c>
      <c r="E3059" s="9" t="s">
        <v>1660</v>
      </c>
      <c r="F3059" s="9" t="s">
        <v>203</v>
      </c>
      <c r="G3059" s="9" t="s">
        <v>198</v>
      </c>
      <c r="H3059" s="9" t="n">
        <v>850</v>
      </c>
      <c r="I3059" s="29" t="n">
        <v>1</v>
      </c>
      <c r="J3059" s="9" t="n">
        <v>1</v>
      </c>
      <c r="K3059" s="30"/>
      <c r="L3059" s="30"/>
      <c r="M3059" s="30"/>
      <c r="N3059" s="30"/>
      <c r="O3059" s="30"/>
      <c r="P3059" s="30"/>
      <c r="Q3059" s="30"/>
      <c r="R3059" s="30"/>
      <c r="S3059" s="30"/>
      <c r="T3059" s="30"/>
      <c r="U3059" s="21" t="str">
        <f aca="false">IF(COUNT(K3059:T3059)=0,"SOURCE EMPTY / INDUSTRIAL ONLY",IF(MIN(K3059:T3059)=1,"SERVICE READY","HOLD"))</f>
        <v>SOURCE EMPTY / INDUSTRIAL ONLY</v>
      </c>
      <c r="V3059" s="9" t="n">
        <f aca="false">IF(U3059="SERVICE READY",1,0)</f>
        <v>0</v>
      </c>
      <c r="W3059" s="6"/>
      <c r="X3059" s="6"/>
      <c r="Y3059" s="6"/>
      <c r="Z3059" s="6"/>
    </row>
    <row r="3060" customFormat="false" ht="15" hidden="false" customHeight="false" outlineLevel="0" collapsed="false">
      <c r="A3060" s="9" t="s">
        <v>3333</v>
      </c>
      <c r="B3060" s="9" t="s">
        <v>3329</v>
      </c>
      <c r="C3060" s="9" t="s">
        <v>3330</v>
      </c>
      <c r="D3060" s="9" t="s">
        <v>2971</v>
      </c>
      <c r="E3060" s="9" t="s">
        <v>1660</v>
      </c>
      <c r="F3060" s="9" t="s">
        <v>205</v>
      </c>
      <c r="G3060" s="9" t="s">
        <v>201</v>
      </c>
      <c r="H3060" s="9" t="n">
        <v>850</v>
      </c>
      <c r="I3060" s="29" t="n">
        <v>1</v>
      </c>
      <c r="J3060" s="9" t="n">
        <v>1</v>
      </c>
      <c r="K3060" s="30"/>
      <c r="L3060" s="30"/>
      <c r="M3060" s="30"/>
      <c r="N3060" s="30"/>
      <c r="O3060" s="30"/>
      <c r="P3060" s="30"/>
      <c r="Q3060" s="30"/>
      <c r="R3060" s="30"/>
      <c r="S3060" s="30"/>
      <c r="T3060" s="30"/>
      <c r="U3060" s="21" t="str">
        <f aca="false">IF(COUNT(K3060:T3060)=0,"SOURCE EMPTY / INDUSTRIAL ONLY",IF(MIN(K3060:T3060)=1,"SERVICE READY","HOLD"))</f>
        <v>SOURCE EMPTY / INDUSTRIAL ONLY</v>
      </c>
      <c r="V3060" s="9" t="n">
        <f aca="false">IF(U3060="SERVICE READY",1,0)</f>
        <v>0</v>
      </c>
      <c r="W3060" s="6"/>
      <c r="X3060" s="6"/>
      <c r="Y3060" s="6"/>
      <c r="Z3060" s="6"/>
    </row>
    <row r="3061" customFormat="false" ht="15" hidden="false" customHeight="false" outlineLevel="0" collapsed="false">
      <c r="A3061" s="9" t="s">
        <v>3334</v>
      </c>
      <c r="B3061" s="9" t="s">
        <v>3329</v>
      </c>
      <c r="C3061" s="9" t="s">
        <v>3330</v>
      </c>
      <c r="D3061" s="9" t="s">
        <v>2971</v>
      </c>
      <c r="E3061" s="9" t="s">
        <v>1660</v>
      </c>
      <c r="F3061" s="9" t="s">
        <v>207</v>
      </c>
      <c r="G3061" s="9" t="s">
        <v>198</v>
      </c>
      <c r="H3061" s="9" t="n">
        <v>850</v>
      </c>
      <c r="I3061" s="29" t="n">
        <v>1</v>
      </c>
      <c r="J3061" s="9" t="n">
        <v>1</v>
      </c>
      <c r="K3061" s="30"/>
      <c r="L3061" s="30"/>
      <c r="M3061" s="30"/>
      <c r="N3061" s="30"/>
      <c r="O3061" s="30"/>
      <c r="P3061" s="30"/>
      <c r="Q3061" s="30"/>
      <c r="R3061" s="30"/>
      <c r="S3061" s="30"/>
      <c r="T3061" s="30"/>
      <c r="U3061" s="21" t="str">
        <f aca="false">IF(COUNT(K3061:T3061)=0,"SOURCE EMPTY / INDUSTRIAL ONLY",IF(MIN(K3061:T3061)=1,"SERVICE READY","HOLD"))</f>
        <v>SOURCE EMPTY / INDUSTRIAL ONLY</v>
      </c>
      <c r="V3061" s="9" t="n">
        <f aca="false">IF(U3061="SERVICE READY",1,0)</f>
        <v>0</v>
      </c>
      <c r="W3061" s="6"/>
      <c r="X3061" s="6"/>
      <c r="Y3061" s="6"/>
      <c r="Z3061" s="6"/>
    </row>
    <row r="3062" customFormat="false" ht="15" hidden="false" customHeight="false" outlineLevel="0" collapsed="false">
      <c r="A3062" s="9" t="s">
        <v>3335</v>
      </c>
      <c r="B3062" s="9" t="s">
        <v>3329</v>
      </c>
      <c r="C3062" s="9" t="s">
        <v>3330</v>
      </c>
      <c r="D3062" s="9" t="s">
        <v>2971</v>
      </c>
      <c r="E3062" s="9" t="s">
        <v>1660</v>
      </c>
      <c r="F3062" s="9" t="s">
        <v>209</v>
      </c>
      <c r="G3062" s="9" t="s">
        <v>201</v>
      </c>
      <c r="H3062" s="9" t="n">
        <v>850</v>
      </c>
      <c r="I3062" s="29" t="n">
        <v>1</v>
      </c>
      <c r="J3062" s="9" t="n">
        <v>1</v>
      </c>
      <c r="K3062" s="30"/>
      <c r="L3062" s="30"/>
      <c r="M3062" s="30"/>
      <c r="N3062" s="30"/>
      <c r="O3062" s="30"/>
      <c r="P3062" s="30"/>
      <c r="Q3062" s="30"/>
      <c r="R3062" s="30"/>
      <c r="S3062" s="30"/>
      <c r="T3062" s="30"/>
      <c r="U3062" s="21" t="str">
        <f aca="false">IF(COUNT(K3062:T3062)=0,"SOURCE EMPTY / INDUSTRIAL ONLY",IF(MIN(K3062:T3062)=1,"SERVICE READY","HOLD"))</f>
        <v>SOURCE EMPTY / INDUSTRIAL ONLY</v>
      </c>
      <c r="V3062" s="9" t="n">
        <f aca="false">IF(U3062="SERVICE READY",1,0)</f>
        <v>0</v>
      </c>
      <c r="W3062" s="6"/>
      <c r="X3062" s="6"/>
      <c r="Y3062" s="6"/>
      <c r="Z3062" s="6"/>
    </row>
    <row r="3063" customFormat="false" ht="15" hidden="false" customHeight="false" outlineLevel="0" collapsed="false">
      <c r="A3063" s="9" t="s">
        <v>3336</v>
      </c>
      <c r="B3063" s="9" t="s">
        <v>3329</v>
      </c>
      <c r="C3063" s="9" t="s">
        <v>3330</v>
      </c>
      <c r="D3063" s="9" t="s">
        <v>2971</v>
      </c>
      <c r="E3063" s="9" t="s">
        <v>1660</v>
      </c>
      <c r="F3063" s="9" t="s">
        <v>211</v>
      </c>
      <c r="G3063" s="9" t="s">
        <v>198</v>
      </c>
      <c r="H3063" s="9" t="n">
        <v>850</v>
      </c>
      <c r="I3063" s="29" t="n">
        <v>1</v>
      </c>
      <c r="J3063" s="9" t="n">
        <v>1</v>
      </c>
      <c r="K3063" s="30"/>
      <c r="L3063" s="30"/>
      <c r="M3063" s="30"/>
      <c r="N3063" s="30"/>
      <c r="O3063" s="30"/>
      <c r="P3063" s="30"/>
      <c r="Q3063" s="30"/>
      <c r="R3063" s="30"/>
      <c r="S3063" s="30"/>
      <c r="T3063" s="30"/>
      <c r="U3063" s="21" t="str">
        <f aca="false">IF(COUNT(K3063:T3063)=0,"SOURCE EMPTY / INDUSTRIAL ONLY",IF(MIN(K3063:T3063)=1,"SERVICE READY","HOLD"))</f>
        <v>SOURCE EMPTY / INDUSTRIAL ONLY</v>
      </c>
      <c r="V3063" s="9" t="n">
        <f aca="false">IF(U3063="SERVICE READY",1,0)</f>
        <v>0</v>
      </c>
      <c r="W3063" s="6"/>
      <c r="X3063" s="6"/>
      <c r="Y3063" s="6"/>
      <c r="Z3063" s="6"/>
    </row>
    <row r="3064" customFormat="false" ht="15" hidden="false" customHeight="false" outlineLevel="0" collapsed="false">
      <c r="A3064" s="9" t="s">
        <v>3337</v>
      </c>
      <c r="B3064" s="9" t="s">
        <v>3329</v>
      </c>
      <c r="C3064" s="9" t="s">
        <v>3330</v>
      </c>
      <c r="D3064" s="9" t="s">
        <v>2971</v>
      </c>
      <c r="E3064" s="9" t="s">
        <v>1660</v>
      </c>
      <c r="F3064" s="9" t="s">
        <v>197</v>
      </c>
      <c r="G3064" s="9" t="s">
        <v>201</v>
      </c>
      <c r="H3064" s="9" t="n">
        <v>850</v>
      </c>
      <c r="I3064" s="29" t="n">
        <v>1</v>
      </c>
      <c r="J3064" s="9" t="n">
        <v>1</v>
      </c>
      <c r="K3064" s="30"/>
      <c r="L3064" s="30"/>
      <c r="M3064" s="30"/>
      <c r="N3064" s="30"/>
      <c r="O3064" s="30"/>
      <c r="P3064" s="30"/>
      <c r="Q3064" s="30"/>
      <c r="R3064" s="30"/>
      <c r="S3064" s="30"/>
      <c r="T3064" s="30"/>
      <c r="U3064" s="21" t="str">
        <f aca="false">IF(COUNT(K3064:T3064)=0,"SOURCE EMPTY / INDUSTRIAL ONLY",IF(MIN(K3064:T3064)=1,"SERVICE READY","HOLD"))</f>
        <v>SOURCE EMPTY / INDUSTRIAL ONLY</v>
      </c>
      <c r="V3064" s="9" t="n">
        <f aca="false">IF(U3064="SERVICE READY",1,0)</f>
        <v>0</v>
      </c>
      <c r="W3064" s="6"/>
      <c r="X3064" s="6"/>
      <c r="Y3064" s="6"/>
      <c r="Z3064" s="6"/>
    </row>
    <row r="3065" customFormat="false" ht="15" hidden="false" customHeight="false" outlineLevel="0" collapsed="false">
      <c r="A3065" s="9" t="s">
        <v>3338</v>
      </c>
      <c r="B3065" s="9" t="s">
        <v>3329</v>
      </c>
      <c r="C3065" s="9" t="s">
        <v>3330</v>
      </c>
      <c r="D3065" s="9" t="s">
        <v>2971</v>
      </c>
      <c r="E3065" s="9" t="s">
        <v>1660</v>
      </c>
      <c r="F3065" s="9" t="s">
        <v>200</v>
      </c>
      <c r="G3065" s="9" t="s">
        <v>198</v>
      </c>
      <c r="H3065" s="9" t="n">
        <v>850</v>
      </c>
      <c r="I3065" s="29" t="n">
        <v>1</v>
      </c>
      <c r="J3065" s="9" t="n">
        <v>1</v>
      </c>
      <c r="K3065" s="30"/>
      <c r="L3065" s="30"/>
      <c r="M3065" s="30"/>
      <c r="N3065" s="30"/>
      <c r="O3065" s="30"/>
      <c r="P3065" s="30"/>
      <c r="Q3065" s="30"/>
      <c r="R3065" s="30"/>
      <c r="S3065" s="30"/>
      <c r="T3065" s="30"/>
      <c r="U3065" s="21" t="str">
        <f aca="false">IF(COUNT(K3065:T3065)=0,"SOURCE EMPTY / INDUSTRIAL ONLY",IF(MIN(K3065:T3065)=1,"SERVICE READY","HOLD"))</f>
        <v>SOURCE EMPTY / INDUSTRIAL ONLY</v>
      </c>
      <c r="V3065" s="9" t="n">
        <f aca="false">IF(U3065="SERVICE READY",1,0)</f>
        <v>0</v>
      </c>
      <c r="W3065" s="6"/>
      <c r="X3065" s="6"/>
      <c r="Y3065" s="6"/>
      <c r="Z3065" s="6"/>
    </row>
    <row r="3066" customFormat="false" ht="15" hidden="false" customHeight="false" outlineLevel="0" collapsed="false">
      <c r="A3066" s="9" t="s">
        <v>3339</v>
      </c>
      <c r="B3066" s="9" t="s">
        <v>3329</v>
      </c>
      <c r="C3066" s="9" t="s">
        <v>3330</v>
      </c>
      <c r="D3066" s="9" t="s">
        <v>2971</v>
      </c>
      <c r="E3066" s="9" t="s">
        <v>1660</v>
      </c>
      <c r="F3066" s="9" t="s">
        <v>203</v>
      </c>
      <c r="G3066" s="9" t="s">
        <v>201</v>
      </c>
      <c r="H3066" s="9" t="n">
        <v>850</v>
      </c>
      <c r="I3066" s="29" t="n">
        <v>1</v>
      </c>
      <c r="J3066" s="9" t="n">
        <v>1</v>
      </c>
      <c r="K3066" s="30"/>
      <c r="L3066" s="30"/>
      <c r="M3066" s="30"/>
      <c r="N3066" s="30"/>
      <c r="O3066" s="30"/>
      <c r="P3066" s="30"/>
      <c r="Q3066" s="30"/>
      <c r="R3066" s="30"/>
      <c r="S3066" s="30"/>
      <c r="T3066" s="30"/>
      <c r="U3066" s="21" t="str">
        <f aca="false">IF(COUNT(K3066:T3066)=0,"SOURCE EMPTY / INDUSTRIAL ONLY",IF(MIN(K3066:T3066)=1,"SERVICE READY","HOLD"))</f>
        <v>SOURCE EMPTY / INDUSTRIAL ONLY</v>
      </c>
      <c r="V3066" s="9" t="n">
        <f aca="false">IF(U3066="SERVICE READY",1,0)</f>
        <v>0</v>
      </c>
      <c r="W3066" s="6"/>
      <c r="X3066" s="6"/>
      <c r="Y3066" s="6"/>
      <c r="Z3066" s="6"/>
    </row>
    <row r="3067" customFormat="false" ht="15" hidden="false" customHeight="false" outlineLevel="0" collapsed="false">
      <c r="A3067" s="9" t="s">
        <v>3340</v>
      </c>
      <c r="B3067" s="9" t="s">
        <v>3329</v>
      </c>
      <c r="C3067" s="9" t="s">
        <v>3330</v>
      </c>
      <c r="D3067" s="9" t="s">
        <v>2971</v>
      </c>
      <c r="E3067" s="9" t="s">
        <v>1660</v>
      </c>
      <c r="F3067" s="9" t="s">
        <v>205</v>
      </c>
      <c r="G3067" s="9" t="s">
        <v>198</v>
      </c>
      <c r="H3067" s="9" t="n">
        <v>850</v>
      </c>
      <c r="I3067" s="29" t="n">
        <v>1</v>
      </c>
      <c r="J3067" s="9" t="n">
        <v>1</v>
      </c>
      <c r="K3067" s="30"/>
      <c r="L3067" s="30"/>
      <c r="M3067" s="30"/>
      <c r="N3067" s="30"/>
      <c r="O3067" s="30"/>
      <c r="P3067" s="30"/>
      <c r="Q3067" s="30"/>
      <c r="R3067" s="30"/>
      <c r="S3067" s="30"/>
      <c r="T3067" s="30"/>
      <c r="U3067" s="21" t="str">
        <f aca="false">IF(COUNT(K3067:T3067)=0,"SOURCE EMPTY / INDUSTRIAL ONLY",IF(MIN(K3067:T3067)=1,"SERVICE READY","HOLD"))</f>
        <v>SOURCE EMPTY / INDUSTRIAL ONLY</v>
      </c>
      <c r="V3067" s="9" t="n">
        <f aca="false">IF(U3067="SERVICE READY",1,0)</f>
        <v>0</v>
      </c>
      <c r="W3067" s="6"/>
      <c r="X3067" s="6"/>
      <c r="Y3067" s="6"/>
      <c r="Z3067" s="6"/>
    </row>
    <row r="3068" customFormat="false" ht="15" hidden="false" customHeight="false" outlineLevel="0" collapsed="false">
      <c r="A3068" s="9" t="s">
        <v>3341</v>
      </c>
      <c r="B3068" s="9" t="s">
        <v>3329</v>
      </c>
      <c r="C3068" s="9" t="s">
        <v>3330</v>
      </c>
      <c r="D3068" s="9" t="s">
        <v>2971</v>
      </c>
      <c r="E3068" s="9" t="s">
        <v>1660</v>
      </c>
      <c r="F3068" s="9" t="s">
        <v>207</v>
      </c>
      <c r="G3068" s="9" t="s">
        <v>201</v>
      </c>
      <c r="H3068" s="9" t="n">
        <v>850</v>
      </c>
      <c r="I3068" s="29" t="n">
        <v>1</v>
      </c>
      <c r="J3068" s="9" t="n">
        <v>1</v>
      </c>
      <c r="K3068" s="30"/>
      <c r="L3068" s="30"/>
      <c r="M3068" s="30"/>
      <c r="N3068" s="30"/>
      <c r="O3068" s="30"/>
      <c r="P3068" s="30"/>
      <c r="Q3068" s="30"/>
      <c r="R3068" s="30"/>
      <c r="S3068" s="30"/>
      <c r="T3068" s="30"/>
      <c r="U3068" s="21" t="str">
        <f aca="false">IF(COUNT(K3068:T3068)=0,"SOURCE EMPTY / INDUSTRIAL ONLY",IF(MIN(K3068:T3068)=1,"SERVICE READY","HOLD"))</f>
        <v>SOURCE EMPTY / INDUSTRIAL ONLY</v>
      </c>
      <c r="V3068" s="9" t="n">
        <f aca="false">IF(U3068="SERVICE READY",1,0)</f>
        <v>0</v>
      </c>
      <c r="W3068" s="6"/>
      <c r="X3068" s="6"/>
      <c r="Y3068" s="6"/>
      <c r="Z3068" s="6"/>
    </row>
    <row r="3069" customFormat="false" ht="15" hidden="false" customHeight="false" outlineLevel="0" collapsed="false">
      <c r="A3069" s="9" t="s">
        <v>3342</v>
      </c>
      <c r="B3069" s="9" t="s">
        <v>3329</v>
      </c>
      <c r="C3069" s="9" t="s">
        <v>3330</v>
      </c>
      <c r="D3069" s="9" t="s">
        <v>2971</v>
      </c>
      <c r="E3069" s="9" t="s">
        <v>1660</v>
      </c>
      <c r="F3069" s="9" t="s">
        <v>209</v>
      </c>
      <c r="G3069" s="9" t="s">
        <v>198</v>
      </c>
      <c r="H3069" s="9" t="n">
        <v>850</v>
      </c>
      <c r="I3069" s="29" t="n">
        <v>1</v>
      </c>
      <c r="J3069" s="9" t="n">
        <v>1</v>
      </c>
      <c r="K3069" s="30"/>
      <c r="L3069" s="30"/>
      <c r="M3069" s="30"/>
      <c r="N3069" s="30"/>
      <c r="O3069" s="30"/>
      <c r="P3069" s="30"/>
      <c r="Q3069" s="30"/>
      <c r="R3069" s="30"/>
      <c r="S3069" s="30"/>
      <c r="T3069" s="30"/>
      <c r="U3069" s="21" t="str">
        <f aca="false">IF(COUNT(K3069:T3069)=0,"SOURCE EMPTY / INDUSTRIAL ONLY",IF(MIN(K3069:T3069)=1,"SERVICE READY","HOLD"))</f>
        <v>SOURCE EMPTY / INDUSTRIAL ONLY</v>
      </c>
      <c r="V3069" s="9" t="n">
        <f aca="false">IF(U3069="SERVICE READY",1,0)</f>
        <v>0</v>
      </c>
      <c r="W3069" s="6"/>
      <c r="X3069" s="6"/>
      <c r="Y3069" s="6"/>
      <c r="Z3069" s="6"/>
    </row>
    <row r="3070" customFormat="false" ht="15" hidden="false" customHeight="false" outlineLevel="0" collapsed="false">
      <c r="A3070" s="9" t="s">
        <v>3343</v>
      </c>
      <c r="B3070" s="9" t="s">
        <v>3329</v>
      </c>
      <c r="C3070" s="9" t="s">
        <v>3330</v>
      </c>
      <c r="D3070" s="9" t="s">
        <v>2971</v>
      </c>
      <c r="E3070" s="9" t="s">
        <v>1660</v>
      </c>
      <c r="F3070" s="9" t="s">
        <v>211</v>
      </c>
      <c r="G3070" s="9" t="s">
        <v>201</v>
      </c>
      <c r="H3070" s="9" t="n">
        <v>850</v>
      </c>
      <c r="I3070" s="29" t="n">
        <v>1</v>
      </c>
      <c r="J3070" s="9" t="n">
        <v>1</v>
      </c>
      <c r="K3070" s="30"/>
      <c r="L3070" s="30"/>
      <c r="M3070" s="30"/>
      <c r="N3070" s="30"/>
      <c r="O3070" s="30"/>
      <c r="P3070" s="30"/>
      <c r="Q3070" s="30"/>
      <c r="R3070" s="30"/>
      <c r="S3070" s="30"/>
      <c r="T3070" s="30"/>
      <c r="U3070" s="21" t="str">
        <f aca="false">IF(COUNT(K3070:T3070)=0,"SOURCE EMPTY / INDUSTRIAL ONLY",IF(MIN(K3070:T3070)=1,"SERVICE READY","HOLD"))</f>
        <v>SOURCE EMPTY / INDUSTRIAL ONLY</v>
      </c>
      <c r="V3070" s="9" t="n">
        <f aca="false">IF(U3070="SERVICE READY",1,0)</f>
        <v>0</v>
      </c>
      <c r="W3070" s="6"/>
      <c r="X3070" s="6"/>
      <c r="Y3070" s="6"/>
      <c r="Z3070" s="6"/>
    </row>
    <row r="3071" customFormat="false" ht="15" hidden="false" customHeight="false" outlineLevel="0" collapsed="false">
      <c r="A3071" s="9" t="s">
        <v>3344</v>
      </c>
      <c r="B3071" s="9" t="s">
        <v>3329</v>
      </c>
      <c r="C3071" s="9" t="s">
        <v>3330</v>
      </c>
      <c r="D3071" s="9" t="s">
        <v>2971</v>
      </c>
      <c r="E3071" s="9" t="s">
        <v>1660</v>
      </c>
      <c r="F3071" s="9" t="s">
        <v>197</v>
      </c>
      <c r="G3071" s="9" t="s">
        <v>198</v>
      </c>
      <c r="H3071" s="9" t="n">
        <v>850</v>
      </c>
      <c r="I3071" s="29" t="n">
        <v>1</v>
      </c>
      <c r="J3071" s="9" t="n">
        <v>1</v>
      </c>
      <c r="K3071" s="30"/>
      <c r="L3071" s="30"/>
      <c r="M3071" s="30"/>
      <c r="N3071" s="30"/>
      <c r="O3071" s="30"/>
      <c r="P3071" s="30"/>
      <c r="Q3071" s="30"/>
      <c r="R3071" s="30"/>
      <c r="S3071" s="30"/>
      <c r="T3071" s="30"/>
      <c r="U3071" s="21" t="str">
        <f aca="false">IF(COUNT(K3071:T3071)=0,"SOURCE EMPTY / INDUSTRIAL ONLY",IF(MIN(K3071:T3071)=1,"SERVICE READY","HOLD"))</f>
        <v>SOURCE EMPTY / INDUSTRIAL ONLY</v>
      </c>
      <c r="V3071" s="9" t="n">
        <f aca="false">IF(U3071="SERVICE READY",1,0)</f>
        <v>0</v>
      </c>
      <c r="W3071" s="6"/>
      <c r="X3071" s="6"/>
      <c r="Y3071" s="6"/>
      <c r="Z3071" s="6"/>
    </row>
    <row r="3072" customFormat="false" ht="15" hidden="false" customHeight="false" outlineLevel="0" collapsed="false">
      <c r="A3072" s="9" t="s">
        <v>3345</v>
      </c>
      <c r="B3072" s="9" t="s">
        <v>3329</v>
      </c>
      <c r="C3072" s="9" t="s">
        <v>3330</v>
      </c>
      <c r="D3072" s="9" t="s">
        <v>2971</v>
      </c>
      <c r="E3072" s="9" t="s">
        <v>1660</v>
      </c>
      <c r="F3072" s="9" t="s">
        <v>200</v>
      </c>
      <c r="G3072" s="9" t="s">
        <v>201</v>
      </c>
      <c r="H3072" s="9" t="n">
        <v>850</v>
      </c>
      <c r="I3072" s="29" t="n">
        <v>1</v>
      </c>
      <c r="J3072" s="9" t="n">
        <v>1</v>
      </c>
      <c r="K3072" s="30"/>
      <c r="L3072" s="30"/>
      <c r="M3072" s="30"/>
      <c r="N3072" s="30"/>
      <c r="O3072" s="30"/>
      <c r="P3072" s="30"/>
      <c r="Q3072" s="30"/>
      <c r="R3072" s="30"/>
      <c r="S3072" s="30"/>
      <c r="T3072" s="30"/>
      <c r="U3072" s="21" t="str">
        <f aca="false">IF(COUNT(K3072:T3072)=0,"SOURCE EMPTY / INDUSTRIAL ONLY",IF(MIN(K3072:T3072)=1,"SERVICE READY","HOLD"))</f>
        <v>SOURCE EMPTY / INDUSTRIAL ONLY</v>
      </c>
      <c r="V3072" s="9" t="n">
        <f aca="false">IF(U3072="SERVICE READY",1,0)</f>
        <v>0</v>
      </c>
      <c r="W3072" s="6"/>
      <c r="X3072" s="6"/>
      <c r="Y3072" s="6"/>
      <c r="Z3072" s="6"/>
    </row>
    <row r="3073" customFormat="false" ht="15" hidden="false" customHeight="false" outlineLevel="0" collapsed="false">
      <c r="A3073" s="9" t="s">
        <v>3346</v>
      </c>
      <c r="B3073" s="9" t="s">
        <v>3329</v>
      </c>
      <c r="C3073" s="9" t="s">
        <v>3330</v>
      </c>
      <c r="D3073" s="9" t="s">
        <v>2971</v>
      </c>
      <c r="E3073" s="9" t="s">
        <v>1660</v>
      </c>
      <c r="F3073" s="9" t="s">
        <v>203</v>
      </c>
      <c r="G3073" s="9" t="s">
        <v>198</v>
      </c>
      <c r="H3073" s="9" t="n">
        <v>850</v>
      </c>
      <c r="I3073" s="29" t="n">
        <v>1</v>
      </c>
      <c r="J3073" s="9" t="n">
        <v>1</v>
      </c>
      <c r="K3073" s="30"/>
      <c r="L3073" s="30"/>
      <c r="M3073" s="30"/>
      <c r="N3073" s="30"/>
      <c r="O3073" s="30"/>
      <c r="P3073" s="30"/>
      <c r="Q3073" s="30"/>
      <c r="R3073" s="30"/>
      <c r="S3073" s="30"/>
      <c r="T3073" s="30"/>
      <c r="U3073" s="21" t="str">
        <f aca="false">IF(COUNT(K3073:T3073)=0,"SOURCE EMPTY / INDUSTRIAL ONLY",IF(MIN(K3073:T3073)=1,"SERVICE READY","HOLD"))</f>
        <v>SOURCE EMPTY / INDUSTRIAL ONLY</v>
      </c>
      <c r="V3073" s="9" t="n">
        <f aca="false">IF(U3073="SERVICE READY",1,0)</f>
        <v>0</v>
      </c>
      <c r="W3073" s="6"/>
      <c r="X3073" s="6"/>
      <c r="Y3073" s="6"/>
      <c r="Z3073" s="6"/>
    </row>
    <row r="3074" customFormat="false" ht="15" hidden="false" customHeight="false" outlineLevel="0" collapsed="false">
      <c r="A3074" s="9" t="s">
        <v>3347</v>
      </c>
      <c r="B3074" s="9" t="s">
        <v>3329</v>
      </c>
      <c r="C3074" s="9" t="s">
        <v>3330</v>
      </c>
      <c r="D3074" s="9" t="s">
        <v>2971</v>
      </c>
      <c r="E3074" s="9" t="s">
        <v>1660</v>
      </c>
      <c r="F3074" s="9" t="s">
        <v>205</v>
      </c>
      <c r="G3074" s="9" t="s">
        <v>201</v>
      </c>
      <c r="H3074" s="9" t="n">
        <v>850</v>
      </c>
      <c r="I3074" s="29" t="n">
        <v>1</v>
      </c>
      <c r="J3074" s="9" t="n">
        <v>1</v>
      </c>
      <c r="K3074" s="30"/>
      <c r="L3074" s="30"/>
      <c r="M3074" s="30"/>
      <c r="N3074" s="30"/>
      <c r="O3074" s="30"/>
      <c r="P3074" s="30"/>
      <c r="Q3074" s="30"/>
      <c r="R3074" s="30"/>
      <c r="S3074" s="30"/>
      <c r="T3074" s="30"/>
      <c r="U3074" s="21" t="str">
        <f aca="false">IF(COUNT(K3074:T3074)=0,"SOURCE EMPTY / INDUSTRIAL ONLY",IF(MIN(K3074:T3074)=1,"SERVICE READY","HOLD"))</f>
        <v>SOURCE EMPTY / INDUSTRIAL ONLY</v>
      </c>
      <c r="V3074" s="9" t="n">
        <f aca="false">IF(U3074="SERVICE READY",1,0)</f>
        <v>0</v>
      </c>
      <c r="W3074" s="6"/>
      <c r="X3074" s="6"/>
      <c r="Y3074" s="6"/>
      <c r="Z3074" s="6"/>
    </row>
    <row r="3075" customFormat="false" ht="15" hidden="false" customHeight="false" outlineLevel="0" collapsed="false">
      <c r="A3075" s="9" t="s">
        <v>3348</v>
      </c>
      <c r="B3075" s="9" t="s">
        <v>3329</v>
      </c>
      <c r="C3075" s="9" t="s">
        <v>3330</v>
      </c>
      <c r="D3075" s="9" t="s">
        <v>2971</v>
      </c>
      <c r="E3075" s="9" t="s">
        <v>1660</v>
      </c>
      <c r="F3075" s="9" t="s">
        <v>207</v>
      </c>
      <c r="G3075" s="9" t="s">
        <v>198</v>
      </c>
      <c r="H3075" s="9" t="n">
        <v>850</v>
      </c>
      <c r="I3075" s="29" t="n">
        <v>1</v>
      </c>
      <c r="J3075" s="9" t="n">
        <v>1</v>
      </c>
      <c r="K3075" s="30"/>
      <c r="L3075" s="30"/>
      <c r="M3075" s="30"/>
      <c r="N3075" s="30"/>
      <c r="O3075" s="30"/>
      <c r="P3075" s="30"/>
      <c r="Q3075" s="30"/>
      <c r="R3075" s="30"/>
      <c r="S3075" s="30"/>
      <c r="T3075" s="30"/>
      <c r="U3075" s="21" t="str">
        <f aca="false">IF(COUNT(K3075:T3075)=0,"SOURCE EMPTY / INDUSTRIAL ONLY",IF(MIN(K3075:T3075)=1,"SERVICE READY","HOLD"))</f>
        <v>SOURCE EMPTY / INDUSTRIAL ONLY</v>
      </c>
      <c r="V3075" s="9" t="n">
        <f aca="false">IF(U3075="SERVICE READY",1,0)</f>
        <v>0</v>
      </c>
      <c r="W3075" s="6"/>
      <c r="X3075" s="6"/>
      <c r="Y3075" s="6"/>
      <c r="Z3075" s="6"/>
    </row>
    <row r="3076" customFormat="false" ht="15" hidden="false" customHeight="false" outlineLevel="0" collapsed="false">
      <c r="A3076" s="9" t="s">
        <v>3349</v>
      </c>
      <c r="B3076" s="9" t="s">
        <v>3329</v>
      </c>
      <c r="C3076" s="9" t="s">
        <v>3330</v>
      </c>
      <c r="D3076" s="9" t="s">
        <v>2971</v>
      </c>
      <c r="E3076" s="9" t="s">
        <v>1660</v>
      </c>
      <c r="F3076" s="9" t="s">
        <v>209</v>
      </c>
      <c r="G3076" s="9" t="s">
        <v>201</v>
      </c>
      <c r="H3076" s="9" t="n">
        <v>850</v>
      </c>
      <c r="I3076" s="29" t="n">
        <v>1</v>
      </c>
      <c r="J3076" s="9" t="n">
        <v>1</v>
      </c>
      <c r="K3076" s="30"/>
      <c r="L3076" s="30"/>
      <c r="M3076" s="30"/>
      <c r="N3076" s="30"/>
      <c r="O3076" s="30"/>
      <c r="P3076" s="30"/>
      <c r="Q3076" s="30"/>
      <c r="R3076" s="30"/>
      <c r="S3076" s="30"/>
      <c r="T3076" s="30"/>
      <c r="U3076" s="21" t="str">
        <f aca="false">IF(COUNT(K3076:T3076)=0,"SOURCE EMPTY / INDUSTRIAL ONLY",IF(MIN(K3076:T3076)=1,"SERVICE READY","HOLD"))</f>
        <v>SOURCE EMPTY / INDUSTRIAL ONLY</v>
      </c>
      <c r="V3076" s="9" t="n">
        <f aca="false">IF(U3076="SERVICE READY",1,0)</f>
        <v>0</v>
      </c>
      <c r="W3076" s="6"/>
      <c r="X3076" s="6"/>
      <c r="Y3076" s="6"/>
      <c r="Z3076" s="6"/>
    </row>
    <row r="3077" customFormat="false" ht="15" hidden="false" customHeight="false" outlineLevel="0" collapsed="false">
      <c r="A3077" s="9" t="s">
        <v>3350</v>
      </c>
      <c r="B3077" s="9" t="s">
        <v>3329</v>
      </c>
      <c r="C3077" s="9" t="s">
        <v>3330</v>
      </c>
      <c r="D3077" s="9" t="s">
        <v>2971</v>
      </c>
      <c r="E3077" s="9" t="s">
        <v>1660</v>
      </c>
      <c r="F3077" s="9" t="s">
        <v>211</v>
      </c>
      <c r="G3077" s="9" t="s">
        <v>198</v>
      </c>
      <c r="H3077" s="9" t="n">
        <v>850</v>
      </c>
      <c r="I3077" s="29" t="n">
        <v>1</v>
      </c>
      <c r="J3077" s="9" t="n">
        <v>1</v>
      </c>
      <c r="K3077" s="30"/>
      <c r="L3077" s="30"/>
      <c r="M3077" s="30"/>
      <c r="N3077" s="30"/>
      <c r="O3077" s="30"/>
      <c r="P3077" s="30"/>
      <c r="Q3077" s="30"/>
      <c r="R3077" s="30"/>
      <c r="S3077" s="30"/>
      <c r="T3077" s="30"/>
      <c r="U3077" s="21" t="str">
        <f aca="false">IF(COUNT(K3077:T3077)=0,"SOURCE EMPTY / INDUSTRIAL ONLY",IF(MIN(K3077:T3077)=1,"SERVICE READY","HOLD"))</f>
        <v>SOURCE EMPTY / INDUSTRIAL ONLY</v>
      </c>
      <c r="V3077" s="9" t="n">
        <f aca="false">IF(U3077="SERVICE READY",1,0)</f>
        <v>0</v>
      </c>
      <c r="W3077" s="6"/>
      <c r="X3077" s="6"/>
      <c r="Y3077" s="6"/>
      <c r="Z3077" s="6"/>
    </row>
    <row r="3078" customFormat="false" ht="15" hidden="false" customHeight="false" outlineLevel="0" collapsed="false">
      <c r="A3078" s="9" t="s">
        <v>3351</v>
      </c>
      <c r="B3078" s="9" t="s">
        <v>3329</v>
      </c>
      <c r="C3078" s="9" t="s">
        <v>3330</v>
      </c>
      <c r="D3078" s="9" t="s">
        <v>2971</v>
      </c>
      <c r="E3078" s="9" t="s">
        <v>1660</v>
      </c>
      <c r="F3078" s="9" t="s">
        <v>197</v>
      </c>
      <c r="G3078" s="9" t="s">
        <v>201</v>
      </c>
      <c r="H3078" s="9" t="n">
        <v>850</v>
      </c>
      <c r="I3078" s="29" t="n">
        <v>1</v>
      </c>
      <c r="J3078" s="9" t="n">
        <v>1</v>
      </c>
      <c r="K3078" s="30"/>
      <c r="L3078" s="30"/>
      <c r="M3078" s="30"/>
      <c r="N3078" s="30"/>
      <c r="O3078" s="30"/>
      <c r="P3078" s="30"/>
      <c r="Q3078" s="30"/>
      <c r="R3078" s="30"/>
      <c r="S3078" s="30"/>
      <c r="T3078" s="30"/>
      <c r="U3078" s="21" t="str">
        <f aca="false">IF(COUNT(K3078:T3078)=0,"SOURCE EMPTY / INDUSTRIAL ONLY",IF(MIN(K3078:T3078)=1,"SERVICE READY","HOLD"))</f>
        <v>SOURCE EMPTY / INDUSTRIAL ONLY</v>
      </c>
      <c r="V3078" s="9" t="n">
        <f aca="false">IF(U3078="SERVICE READY",1,0)</f>
        <v>0</v>
      </c>
      <c r="W3078" s="6"/>
      <c r="X3078" s="6"/>
      <c r="Y3078" s="6"/>
      <c r="Z3078" s="6"/>
    </row>
    <row r="3079" customFormat="false" ht="15" hidden="false" customHeight="false" outlineLevel="0" collapsed="false">
      <c r="A3079" s="9" t="s">
        <v>3352</v>
      </c>
      <c r="B3079" s="9" t="s">
        <v>3329</v>
      </c>
      <c r="C3079" s="9" t="s">
        <v>3330</v>
      </c>
      <c r="D3079" s="9" t="s">
        <v>2971</v>
      </c>
      <c r="E3079" s="9" t="s">
        <v>1660</v>
      </c>
      <c r="F3079" s="9" t="s">
        <v>200</v>
      </c>
      <c r="G3079" s="9" t="s">
        <v>198</v>
      </c>
      <c r="H3079" s="9" t="n">
        <v>850</v>
      </c>
      <c r="I3079" s="29" t="n">
        <v>1</v>
      </c>
      <c r="J3079" s="9" t="n">
        <v>1</v>
      </c>
      <c r="K3079" s="30"/>
      <c r="L3079" s="30"/>
      <c r="M3079" s="30"/>
      <c r="N3079" s="30"/>
      <c r="O3079" s="30"/>
      <c r="P3079" s="30"/>
      <c r="Q3079" s="30"/>
      <c r="R3079" s="30"/>
      <c r="S3079" s="30"/>
      <c r="T3079" s="30"/>
      <c r="U3079" s="21" t="str">
        <f aca="false">IF(COUNT(K3079:T3079)=0,"SOURCE EMPTY / INDUSTRIAL ONLY",IF(MIN(K3079:T3079)=1,"SERVICE READY","HOLD"))</f>
        <v>SOURCE EMPTY / INDUSTRIAL ONLY</v>
      </c>
      <c r="V3079" s="9" t="n">
        <f aca="false">IF(U3079="SERVICE READY",1,0)</f>
        <v>0</v>
      </c>
      <c r="W3079" s="6"/>
      <c r="X3079" s="6"/>
      <c r="Y3079" s="6"/>
      <c r="Z3079" s="6"/>
    </row>
    <row r="3080" customFormat="false" ht="15" hidden="false" customHeight="false" outlineLevel="0" collapsed="false">
      <c r="A3080" s="9" t="s">
        <v>3353</v>
      </c>
      <c r="B3080" s="9" t="s">
        <v>3329</v>
      </c>
      <c r="C3080" s="9" t="s">
        <v>3330</v>
      </c>
      <c r="D3080" s="9" t="s">
        <v>2971</v>
      </c>
      <c r="E3080" s="9" t="s">
        <v>1660</v>
      </c>
      <c r="F3080" s="9" t="s">
        <v>203</v>
      </c>
      <c r="G3080" s="9" t="s">
        <v>221</v>
      </c>
      <c r="H3080" s="9" t="n">
        <v>850</v>
      </c>
      <c r="I3080" s="29" t="n">
        <v>1</v>
      </c>
      <c r="J3080" s="9" t="n">
        <v>1</v>
      </c>
      <c r="K3080" s="30"/>
      <c r="L3080" s="30"/>
      <c r="M3080" s="30"/>
      <c r="N3080" s="30"/>
      <c r="O3080" s="30"/>
      <c r="P3080" s="30"/>
      <c r="Q3080" s="30"/>
      <c r="R3080" s="30"/>
      <c r="S3080" s="30"/>
      <c r="T3080" s="30"/>
      <c r="U3080" s="21" t="str">
        <f aca="false">IF(COUNT(K3080:T3080)=0,"SOURCE EMPTY / INDUSTRIAL ONLY",IF(MIN(K3080:T3080)=1,"SERVICE READY","HOLD"))</f>
        <v>SOURCE EMPTY / INDUSTRIAL ONLY</v>
      </c>
      <c r="V3080" s="9" t="n">
        <f aca="false">IF(U3080="SERVICE READY",1,0)</f>
        <v>0</v>
      </c>
      <c r="W3080" s="6"/>
      <c r="X3080" s="6"/>
      <c r="Y3080" s="6"/>
      <c r="Z3080" s="6"/>
    </row>
    <row r="3081" customFormat="false" ht="15" hidden="false" customHeight="false" outlineLevel="0" collapsed="false">
      <c r="A3081" s="9" t="s">
        <v>3354</v>
      </c>
      <c r="B3081" s="9" t="s">
        <v>3329</v>
      </c>
      <c r="C3081" s="9" t="s">
        <v>3330</v>
      </c>
      <c r="D3081" s="9" t="s">
        <v>2971</v>
      </c>
      <c r="E3081" s="9" t="s">
        <v>1660</v>
      </c>
      <c r="F3081" s="9" t="s">
        <v>205</v>
      </c>
      <c r="G3081" s="9" t="s">
        <v>221</v>
      </c>
      <c r="H3081" s="9" t="n">
        <v>850</v>
      </c>
      <c r="I3081" s="29" t="n">
        <v>1</v>
      </c>
      <c r="J3081" s="9" t="n">
        <v>1</v>
      </c>
      <c r="K3081" s="30"/>
      <c r="L3081" s="30"/>
      <c r="M3081" s="30"/>
      <c r="N3081" s="30"/>
      <c r="O3081" s="30"/>
      <c r="P3081" s="30"/>
      <c r="Q3081" s="30"/>
      <c r="R3081" s="30"/>
      <c r="S3081" s="30"/>
      <c r="T3081" s="30"/>
      <c r="U3081" s="21" t="str">
        <f aca="false">IF(COUNT(K3081:T3081)=0,"SOURCE EMPTY / INDUSTRIAL ONLY",IF(MIN(K3081:T3081)=1,"SERVICE READY","HOLD"))</f>
        <v>SOURCE EMPTY / INDUSTRIAL ONLY</v>
      </c>
      <c r="V3081" s="9" t="n">
        <f aca="false">IF(U3081="SERVICE READY",1,0)</f>
        <v>0</v>
      </c>
      <c r="W3081" s="6"/>
      <c r="X3081" s="6"/>
      <c r="Y3081" s="6"/>
      <c r="Z3081" s="6"/>
    </row>
    <row r="3082" customFormat="false" ht="15" hidden="false" customHeight="false" outlineLevel="0" collapsed="false">
      <c r="A3082" s="9" t="s">
        <v>3355</v>
      </c>
      <c r="B3082" s="9" t="s">
        <v>3329</v>
      </c>
      <c r="C3082" s="9" t="s">
        <v>3330</v>
      </c>
      <c r="D3082" s="9" t="s">
        <v>2971</v>
      </c>
      <c r="E3082" s="9" t="s">
        <v>1660</v>
      </c>
      <c r="F3082" s="9" t="s">
        <v>207</v>
      </c>
      <c r="G3082" s="9" t="s">
        <v>221</v>
      </c>
      <c r="H3082" s="9" t="n">
        <v>850</v>
      </c>
      <c r="I3082" s="29" t="n">
        <v>1</v>
      </c>
      <c r="J3082" s="9" t="n">
        <v>1</v>
      </c>
      <c r="K3082" s="30"/>
      <c r="L3082" s="30"/>
      <c r="M3082" s="30"/>
      <c r="N3082" s="30"/>
      <c r="O3082" s="30"/>
      <c r="P3082" s="30"/>
      <c r="Q3082" s="30"/>
      <c r="R3082" s="30"/>
      <c r="S3082" s="30"/>
      <c r="T3082" s="30"/>
      <c r="U3082" s="21" t="str">
        <f aca="false">IF(COUNT(K3082:T3082)=0,"SOURCE EMPTY / INDUSTRIAL ONLY",IF(MIN(K3082:T3082)=1,"SERVICE READY","HOLD"))</f>
        <v>SOURCE EMPTY / INDUSTRIAL ONLY</v>
      </c>
      <c r="V3082" s="9" t="n">
        <f aca="false">IF(U3082="SERVICE READY",1,0)</f>
        <v>0</v>
      </c>
      <c r="W3082" s="6"/>
      <c r="X3082" s="6"/>
      <c r="Y3082" s="6"/>
      <c r="Z3082" s="6"/>
    </row>
    <row r="3083" customFormat="false" ht="15" hidden="false" customHeight="false" outlineLevel="0" collapsed="false">
      <c r="A3083" s="9" t="s">
        <v>3356</v>
      </c>
      <c r="B3083" s="9" t="s">
        <v>3329</v>
      </c>
      <c r="C3083" s="9" t="s">
        <v>3330</v>
      </c>
      <c r="D3083" s="9" t="s">
        <v>2971</v>
      </c>
      <c r="E3083" s="9" t="s">
        <v>1660</v>
      </c>
      <c r="F3083" s="9" t="s">
        <v>209</v>
      </c>
      <c r="G3083" s="9" t="s">
        <v>221</v>
      </c>
      <c r="H3083" s="9" t="n">
        <v>850</v>
      </c>
      <c r="I3083" s="29" t="n">
        <v>1</v>
      </c>
      <c r="J3083" s="9" t="n">
        <v>1</v>
      </c>
      <c r="K3083" s="30"/>
      <c r="L3083" s="30"/>
      <c r="M3083" s="30"/>
      <c r="N3083" s="30"/>
      <c r="O3083" s="30"/>
      <c r="P3083" s="30"/>
      <c r="Q3083" s="30"/>
      <c r="R3083" s="30"/>
      <c r="S3083" s="30"/>
      <c r="T3083" s="30"/>
      <c r="U3083" s="21" t="str">
        <f aca="false">IF(COUNT(K3083:T3083)=0,"SOURCE EMPTY / INDUSTRIAL ONLY",IF(MIN(K3083:T3083)=1,"SERVICE READY","HOLD"))</f>
        <v>SOURCE EMPTY / INDUSTRIAL ONLY</v>
      </c>
      <c r="V3083" s="9" t="n">
        <f aca="false">IF(U3083="SERVICE READY",1,0)</f>
        <v>0</v>
      </c>
      <c r="W3083" s="6"/>
      <c r="X3083" s="6"/>
      <c r="Y3083" s="6"/>
      <c r="Z3083" s="6"/>
    </row>
    <row r="3084" customFormat="false" ht="15" hidden="false" customHeight="false" outlineLevel="0" collapsed="false">
      <c r="A3084" s="9" t="s">
        <v>3357</v>
      </c>
      <c r="B3084" s="9" t="s">
        <v>3329</v>
      </c>
      <c r="C3084" s="9" t="s">
        <v>3330</v>
      </c>
      <c r="D3084" s="9" t="s">
        <v>2971</v>
      </c>
      <c r="E3084" s="9" t="s">
        <v>1660</v>
      </c>
      <c r="F3084" s="9" t="s">
        <v>211</v>
      </c>
      <c r="G3084" s="9" t="s">
        <v>221</v>
      </c>
      <c r="H3084" s="9" t="n">
        <v>850</v>
      </c>
      <c r="I3084" s="29" t="n">
        <v>1</v>
      </c>
      <c r="J3084" s="9" t="n">
        <v>1</v>
      </c>
      <c r="K3084" s="30"/>
      <c r="L3084" s="30"/>
      <c r="M3084" s="30"/>
      <c r="N3084" s="30"/>
      <c r="O3084" s="30"/>
      <c r="P3084" s="30"/>
      <c r="Q3084" s="30"/>
      <c r="R3084" s="30"/>
      <c r="S3084" s="30"/>
      <c r="T3084" s="30"/>
      <c r="U3084" s="21" t="str">
        <f aca="false">IF(COUNT(K3084:T3084)=0,"SOURCE EMPTY / INDUSTRIAL ONLY",IF(MIN(K3084:T3084)=1,"SERVICE READY","HOLD"))</f>
        <v>SOURCE EMPTY / INDUSTRIAL ONLY</v>
      </c>
      <c r="V3084" s="9" t="n">
        <f aca="false">IF(U3084="SERVICE READY",1,0)</f>
        <v>0</v>
      </c>
      <c r="W3084" s="6"/>
      <c r="X3084" s="6"/>
      <c r="Y3084" s="6"/>
      <c r="Z3084" s="6"/>
    </row>
    <row r="3085" customFormat="false" ht="15" hidden="false" customHeight="false" outlineLevel="0" collapsed="false">
      <c r="A3085" s="9" t="s">
        <v>3358</v>
      </c>
      <c r="B3085" s="9" t="s">
        <v>3329</v>
      </c>
      <c r="C3085" s="9" t="s">
        <v>3330</v>
      </c>
      <c r="D3085" s="9" t="s">
        <v>2971</v>
      </c>
      <c r="E3085" s="9" t="s">
        <v>1660</v>
      </c>
      <c r="F3085" s="9" t="s">
        <v>197</v>
      </c>
      <c r="G3085" s="9" t="s">
        <v>221</v>
      </c>
      <c r="H3085" s="9" t="n">
        <v>850</v>
      </c>
      <c r="I3085" s="29" t="n">
        <v>1</v>
      </c>
      <c r="J3085" s="9" t="n">
        <v>1</v>
      </c>
      <c r="K3085" s="30"/>
      <c r="L3085" s="30"/>
      <c r="M3085" s="30"/>
      <c r="N3085" s="30"/>
      <c r="O3085" s="30"/>
      <c r="P3085" s="30"/>
      <c r="Q3085" s="30"/>
      <c r="R3085" s="30"/>
      <c r="S3085" s="30"/>
      <c r="T3085" s="30"/>
      <c r="U3085" s="21" t="str">
        <f aca="false">IF(COUNT(K3085:T3085)=0,"SOURCE EMPTY / INDUSTRIAL ONLY",IF(MIN(K3085:T3085)=1,"SERVICE READY","HOLD"))</f>
        <v>SOURCE EMPTY / INDUSTRIAL ONLY</v>
      </c>
      <c r="V3085" s="9" t="n">
        <f aca="false">IF(U3085="SERVICE READY",1,0)</f>
        <v>0</v>
      </c>
      <c r="W3085" s="6"/>
      <c r="X3085" s="6"/>
      <c r="Y3085" s="6"/>
      <c r="Z3085" s="6"/>
    </row>
    <row r="3086" customFormat="false" ht="15" hidden="false" customHeight="false" outlineLevel="0" collapsed="false">
      <c r="A3086" s="9" t="s">
        <v>3359</v>
      </c>
      <c r="B3086" s="9" t="s">
        <v>3329</v>
      </c>
      <c r="C3086" s="9" t="s">
        <v>3330</v>
      </c>
      <c r="D3086" s="9" t="s">
        <v>2971</v>
      </c>
      <c r="E3086" s="9" t="s">
        <v>1660</v>
      </c>
      <c r="F3086" s="9" t="s">
        <v>200</v>
      </c>
      <c r="G3086" s="9" t="s">
        <v>221</v>
      </c>
      <c r="H3086" s="9" t="n">
        <v>850</v>
      </c>
      <c r="I3086" s="29" t="n">
        <v>1</v>
      </c>
      <c r="J3086" s="9" t="n">
        <v>1</v>
      </c>
      <c r="K3086" s="30"/>
      <c r="L3086" s="30"/>
      <c r="M3086" s="30"/>
      <c r="N3086" s="30"/>
      <c r="O3086" s="30"/>
      <c r="P3086" s="30"/>
      <c r="Q3086" s="30"/>
      <c r="R3086" s="30"/>
      <c r="S3086" s="30"/>
      <c r="T3086" s="30"/>
      <c r="U3086" s="21" t="str">
        <f aca="false">IF(COUNT(K3086:T3086)=0,"SOURCE EMPTY / INDUSTRIAL ONLY",IF(MIN(K3086:T3086)=1,"SERVICE READY","HOLD"))</f>
        <v>SOURCE EMPTY / INDUSTRIAL ONLY</v>
      </c>
      <c r="V3086" s="9" t="n">
        <f aca="false">IF(U3086="SERVICE READY",1,0)</f>
        <v>0</v>
      </c>
      <c r="W3086" s="6"/>
      <c r="X3086" s="6"/>
      <c r="Y3086" s="6"/>
      <c r="Z3086" s="6"/>
    </row>
    <row r="3087" customFormat="false" ht="15" hidden="false" customHeight="false" outlineLevel="0" collapsed="false">
      <c r="A3087" s="9" t="s">
        <v>3360</v>
      </c>
      <c r="B3087" s="9" t="s">
        <v>3329</v>
      </c>
      <c r="C3087" s="9" t="s">
        <v>3330</v>
      </c>
      <c r="D3087" s="9" t="s">
        <v>2971</v>
      </c>
      <c r="E3087" s="9" t="s">
        <v>1660</v>
      </c>
      <c r="F3087" s="9" t="s">
        <v>203</v>
      </c>
      <c r="G3087" s="9" t="s">
        <v>221</v>
      </c>
      <c r="H3087" s="9" t="n">
        <v>850</v>
      </c>
      <c r="I3087" s="29" t="n">
        <v>1</v>
      </c>
      <c r="J3087" s="9" t="n">
        <v>1</v>
      </c>
      <c r="K3087" s="30"/>
      <c r="L3087" s="30"/>
      <c r="M3087" s="30"/>
      <c r="N3087" s="30"/>
      <c r="O3087" s="30"/>
      <c r="P3087" s="30"/>
      <c r="Q3087" s="30"/>
      <c r="R3087" s="30"/>
      <c r="S3087" s="30"/>
      <c r="T3087" s="30"/>
      <c r="U3087" s="21" t="str">
        <f aca="false">IF(COUNT(K3087:T3087)=0,"SOURCE EMPTY / INDUSTRIAL ONLY",IF(MIN(K3087:T3087)=1,"SERVICE READY","HOLD"))</f>
        <v>SOURCE EMPTY / INDUSTRIAL ONLY</v>
      </c>
      <c r="V3087" s="9" t="n">
        <f aca="false">IF(U3087="SERVICE READY",1,0)</f>
        <v>0</v>
      </c>
      <c r="W3087" s="6"/>
      <c r="X3087" s="6"/>
      <c r="Y3087" s="6"/>
      <c r="Z3087" s="6"/>
    </row>
    <row r="3088" customFormat="false" ht="15" hidden="false" customHeight="false" outlineLevel="0" collapsed="false">
      <c r="A3088" s="9" t="s">
        <v>3361</v>
      </c>
      <c r="B3088" s="9" t="s">
        <v>3329</v>
      </c>
      <c r="C3088" s="9" t="s">
        <v>3330</v>
      </c>
      <c r="D3088" s="9" t="s">
        <v>2971</v>
      </c>
      <c r="E3088" s="9" t="s">
        <v>1660</v>
      </c>
      <c r="F3088" s="9" t="s">
        <v>205</v>
      </c>
      <c r="G3088" s="9" t="s">
        <v>221</v>
      </c>
      <c r="H3088" s="9" t="n">
        <v>850</v>
      </c>
      <c r="I3088" s="29" t="n">
        <v>1</v>
      </c>
      <c r="J3088" s="9" t="n">
        <v>1</v>
      </c>
      <c r="K3088" s="30"/>
      <c r="L3088" s="30"/>
      <c r="M3088" s="30"/>
      <c r="N3088" s="30"/>
      <c r="O3088" s="30"/>
      <c r="P3088" s="30"/>
      <c r="Q3088" s="30"/>
      <c r="R3088" s="30"/>
      <c r="S3088" s="30"/>
      <c r="T3088" s="30"/>
      <c r="U3088" s="21" t="str">
        <f aca="false">IF(COUNT(K3088:T3088)=0,"SOURCE EMPTY / INDUSTRIAL ONLY",IF(MIN(K3088:T3088)=1,"SERVICE READY","HOLD"))</f>
        <v>SOURCE EMPTY / INDUSTRIAL ONLY</v>
      </c>
      <c r="V3088" s="9" t="n">
        <f aca="false">IF(U3088="SERVICE READY",1,0)</f>
        <v>0</v>
      </c>
      <c r="W3088" s="6"/>
      <c r="X3088" s="6"/>
      <c r="Y3088" s="6"/>
      <c r="Z3088" s="6"/>
    </row>
    <row r="3089" customFormat="false" ht="15" hidden="false" customHeight="false" outlineLevel="0" collapsed="false">
      <c r="A3089" s="9" t="s">
        <v>3362</v>
      </c>
      <c r="B3089" s="9" t="s">
        <v>3329</v>
      </c>
      <c r="C3089" s="9" t="s">
        <v>3330</v>
      </c>
      <c r="D3089" s="9" t="s">
        <v>2971</v>
      </c>
      <c r="E3089" s="9" t="s">
        <v>1660</v>
      </c>
      <c r="F3089" s="9" t="s">
        <v>207</v>
      </c>
      <c r="G3089" s="9" t="s">
        <v>221</v>
      </c>
      <c r="H3089" s="9" t="n">
        <v>850</v>
      </c>
      <c r="I3089" s="29" t="n">
        <v>1</v>
      </c>
      <c r="J3089" s="9" t="n">
        <v>1</v>
      </c>
      <c r="K3089" s="30"/>
      <c r="L3089" s="30"/>
      <c r="M3089" s="30"/>
      <c r="N3089" s="30"/>
      <c r="O3089" s="30"/>
      <c r="P3089" s="30"/>
      <c r="Q3089" s="30"/>
      <c r="R3089" s="30"/>
      <c r="S3089" s="30"/>
      <c r="T3089" s="30"/>
      <c r="U3089" s="21" t="str">
        <f aca="false">IF(COUNT(K3089:T3089)=0,"SOURCE EMPTY / INDUSTRIAL ONLY",IF(MIN(K3089:T3089)=1,"SERVICE READY","HOLD"))</f>
        <v>SOURCE EMPTY / INDUSTRIAL ONLY</v>
      </c>
      <c r="V3089" s="9" t="n">
        <f aca="false">IF(U3089="SERVICE READY",1,0)</f>
        <v>0</v>
      </c>
      <c r="W3089" s="6"/>
      <c r="X3089" s="6"/>
      <c r="Y3089" s="6"/>
      <c r="Z3089" s="6"/>
    </row>
    <row r="3090" customFormat="false" ht="15" hidden="false" customHeight="false" outlineLevel="0" collapsed="false">
      <c r="A3090" s="9" t="s">
        <v>3363</v>
      </c>
      <c r="B3090" s="9" t="s">
        <v>3329</v>
      </c>
      <c r="C3090" s="9" t="s">
        <v>3330</v>
      </c>
      <c r="D3090" s="9" t="s">
        <v>2971</v>
      </c>
      <c r="E3090" s="9" t="s">
        <v>1660</v>
      </c>
      <c r="F3090" s="9" t="s">
        <v>209</v>
      </c>
      <c r="G3090" s="9" t="s">
        <v>221</v>
      </c>
      <c r="H3090" s="9" t="n">
        <v>850</v>
      </c>
      <c r="I3090" s="29" t="n">
        <v>1</v>
      </c>
      <c r="J3090" s="9" t="n">
        <v>1</v>
      </c>
      <c r="K3090" s="30"/>
      <c r="L3090" s="30"/>
      <c r="M3090" s="30"/>
      <c r="N3090" s="30"/>
      <c r="O3090" s="30"/>
      <c r="P3090" s="30"/>
      <c r="Q3090" s="30"/>
      <c r="R3090" s="30"/>
      <c r="S3090" s="30"/>
      <c r="T3090" s="30"/>
      <c r="U3090" s="21" t="str">
        <f aca="false">IF(COUNT(K3090:T3090)=0,"SOURCE EMPTY / INDUSTRIAL ONLY",IF(MIN(K3090:T3090)=1,"SERVICE READY","HOLD"))</f>
        <v>SOURCE EMPTY / INDUSTRIAL ONLY</v>
      </c>
      <c r="V3090" s="9" t="n">
        <f aca="false">IF(U3090="SERVICE READY",1,0)</f>
        <v>0</v>
      </c>
      <c r="W3090" s="6"/>
      <c r="X3090" s="6"/>
      <c r="Y3090" s="6"/>
      <c r="Z3090" s="6"/>
    </row>
    <row r="3091" customFormat="false" ht="15" hidden="false" customHeight="false" outlineLevel="0" collapsed="false">
      <c r="A3091" s="9" t="s">
        <v>3364</v>
      </c>
      <c r="B3091" s="9" t="s">
        <v>3329</v>
      </c>
      <c r="C3091" s="9" t="s">
        <v>3330</v>
      </c>
      <c r="D3091" s="9" t="s">
        <v>2971</v>
      </c>
      <c r="E3091" s="9" t="s">
        <v>1660</v>
      </c>
      <c r="F3091" s="9" t="s">
        <v>211</v>
      </c>
      <c r="G3091" s="9" t="s">
        <v>221</v>
      </c>
      <c r="H3091" s="9" t="n">
        <v>850</v>
      </c>
      <c r="I3091" s="29" t="n">
        <v>1</v>
      </c>
      <c r="J3091" s="9" t="n">
        <v>1</v>
      </c>
      <c r="K3091" s="30"/>
      <c r="L3091" s="30"/>
      <c r="M3091" s="30"/>
      <c r="N3091" s="30"/>
      <c r="O3091" s="30"/>
      <c r="P3091" s="30"/>
      <c r="Q3091" s="30"/>
      <c r="R3091" s="30"/>
      <c r="S3091" s="30"/>
      <c r="T3091" s="30"/>
      <c r="U3091" s="21" t="str">
        <f aca="false">IF(COUNT(K3091:T3091)=0,"SOURCE EMPTY / INDUSTRIAL ONLY",IF(MIN(K3091:T3091)=1,"SERVICE READY","HOLD"))</f>
        <v>SOURCE EMPTY / INDUSTRIAL ONLY</v>
      </c>
      <c r="V3091" s="9" t="n">
        <f aca="false">IF(U3091="SERVICE READY",1,0)</f>
        <v>0</v>
      </c>
      <c r="W3091" s="6"/>
      <c r="X3091" s="6"/>
      <c r="Y3091" s="6"/>
      <c r="Z3091" s="6"/>
    </row>
    <row r="3092" customFormat="false" ht="15" hidden="false" customHeight="false" outlineLevel="0" collapsed="false">
      <c r="A3092" s="9" t="s">
        <v>3365</v>
      </c>
      <c r="B3092" s="9" t="s">
        <v>3329</v>
      </c>
      <c r="C3092" s="9" t="s">
        <v>3330</v>
      </c>
      <c r="D3092" s="9" t="s">
        <v>2971</v>
      </c>
      <c r="E3092" s="9" t="s">
        <v>1660</v>
      </c>
      <c r="F3092" s="9" t="s">
        <v>197</v>
      </c>
      <c r="G3092" s="9" t="s">
        <v>221</v>
      </c>
      <c r="H3092" s="9" t="n">
        <v>850</v>
      </c>
      <c r="I3092" s="29" t="n">
        <v>1</v>
      </c>
      <c r="J3092" s="9" t="n">
        <v>1</v>
      </c>
      <c r="K3092" s="30"/>
      <c r="L3092" s="30"/>
      <c r="M3092" s="30"/>
      <c r="N3092" s="30"/>
      <c r="O3092" s="30"/>
      <c r="P3092" s="30"/>
      <c r="Q3092" s="30"/>
      <c r="R3092" s="30"/>
      <c r="S3092" s="30"/>
      <c r="T3092" s="30"/>
      <c r="U3092" s="21" t="str">
        <f aca="false">IF(COUNT(K3092:T3092)=0,"SOURCE EMPTY / INDUSTRIAL ONLY",IF(MIN(K3092:T3092)=1,"SERVICE READY","HOLD"))</f>
        <v>SOURCE EMPTY / INDUSTRIAL ONLY</v>
      </c>
      <c r="V3092" s="9" t="n">
        <f aca="false">IF(U3092="SERVICE READY",1,0)</f>
        <v>0</v>
      </c>
      <c r="W3092" s="6"/>
      <c r="X3092" s="6"/>
      <c r="Y3092" s="6"/>
      <c r="Z3092" s="6"/>
    </row>
    <row r="3093" customFormat="false" ht="15" hidden="false" customHeight="false" outlineLevel="0" collapsed="false">
      <c r="A3093" s="9" t="s">
        <v>3366</v>
      </c>
      <c r="B3093" s="9" t="s">
        <v>3329</v>
      </c>
      <c r="C3093" s="9" t="s">
        <v>3330</v>
      </c>
      <c r="D3093" s="9" t="s">
        <v>2971</v>
      </c>
      <c r="E3093" s="9" t="s">
        <v>1660</v>
      </c>
      <c r="F3093" s="9" t="s">
        <v>200</v>
      </c>
      <c r="G3093" s="9" t="s">
        <v>221</v>
      </c>
      <c r="H3093" s="9" t="n">
        <v>850</v>
      </c>
      <c r="I3093" s="29" t="n">
        <v>1</v>
      </c>
      <c r="J3093" s="9" t="n">
        <v>1</v>
      </c>
      <c r="K3093" s="30"/>
      <c r="L3093" s="30"/>
      <c r="M3093" s="30"/>
      <c r="N3093" s="30"/>
      <c r="O3093" s="30"/>
      <c r="P3093" s="30"/>
      <c r="Q3093" s="30"/>
      <c r="R3093" s="30"/>
      <c r="S3093" s="30"/>
      <c r="T3093" s="30"/>
      <c r="U3093" s="21" t="str">
        <f aca="false">IF(COUNT(K3093:T3093)=0,"SOURCE EMPTY / INDUSTRIAL ONLY",IF(MIN(K3093:T3093)=1,"SERVICE READY","HOLD"))</f>
        <v>SOURCE EMPTY / INDUSTRIAL ONLY</v>
      </c>
      <c r="V3093" s="9" t="n">
        <f aca="false">IF(U3093="SERVICE READY",1,0)</f>
        <v>0</v>
      </c>
      <c r="W3093" s="6"/>
      <c r="X3093" s="6"/>
      <c r="Y3093" s="6"/>
      <c r="Z3093" s="6"/>
    </row>
    <row r="3094" customFormat="false" ht="15" hidden="false" customHeight="false" outlineLevel="0" collapsed="false">
      <c r="A3094" s="9" t="s">
        <v>3367</v>
      </c>
      <c r="B3094" s="9" t="s">
        <v>3329</v>
      </c>
      <c r="C3094" s="9" t="s">
        <v>3330</v>
      </c>
      <c r="D3094" s="9" t="s">
        <v>2971</v>
      </c>
      <c r="E3094" s="9" t="s">
        <v>1660</v>
      </c>
      <c r="F3094" s="9" t="s">
        <v>203</v>
      </c>
      <c r="G3094" s="9" t="s">
        <v>221</v>
      </c>
      <c r="H3094" s="9" t="n">
        <v>850</v>
      </c>
      <c r="I3094" s="29" t="n">
        <v>1</v>
      </c>
      <c r="J3094" s="9" t="n">
        <v>1</v>
      </c>
      <c r="K3094" s="30"/>
      <c r="L3094" s="30"/>
      <c r="M3094" s="30"/>
      <c r="N3094" s="30"/>
      <c r="O3094" s="30"/>
      <c r="P3094" s="30"/>
      <c r="Q3094" s="30"/>
      <c r="R3094" s="30"/>
      <c r="S3094" s="30"/>
      <c r="T3094" s="30"/>
      <c r="U3094" s="21" t="str">
        <f aca="false">IF(COUNT(K3094:T3094)=0,"SOURCE EMPTY / INDUSTRIAL ONLY",IF(MIN(K3094:T3094)=1,"SERVICE READY","HOLD"))</f>
        <v>SOURCE EMPTY / INDUSTRIAL ONLY</v>
      </c>
      <c r="V3094" s="9" t="n">
        <f aca="false">IF(U3094="SERVICE READY",1,0)</f>
        <v>0</v>
      </c>
      <c r="W3094" s="6"/>
      <c r="X3094" s="6"/>
      <c r="Y3094" s="6"/>
      <c r="Z3094" s="6"/>
    </row>
    <row r="3095" customFormat="false" ht="15" hidden="false" customHeight="false" outlineLevel="0" collapsed="false">
      <c r="A3095" s="9" t="s">
        <v>3368</v>
      </c>
      <c r="B3095" s="9" t="s">
        <v>3329</v>
      </c>
      <c r="C3095" s="9" t="s">
        <v>3330</v>
      </c>
      <c r="D3095" s="9" t="s">
        <v>2971</v>
      </c>
      <c r="E3095" s="9" t="s">
        <v>1660</v>
      </c>
      <c r="F3095" s="9" t="s">
        <v>205</v>
      </c>
      <c r="G3095" s="9" t="s">
        <v>221</v>
      </c>
      <c r="H3095" s="9" t="n">
        <v>850</v>
      </c>
      <c r="I3095" s="29" t="n">
        <v>1</v>
      </c>
      <c r="J3095" s="9" t="n">
        <v>1</v>
      </c>
      <c r="K3095" s="30"/>
      <c r="L3095" s="30"/>
      <c r="M3095" s="30"/>
      <c r="N3095" s="30"/>
      <c r="O3095" s="30"/>
      <c r="P3095" s="30"/>
      <c r="Q3095" s="30"/>
      <c r="R3095" s="30"/>
      <c r="S3095" s="30"/>
      <c r="T3095" s="30"/>
      <c r="U3095" s="21" t="str">
        <f aca="false">IF(COUNT(K3095:T3095)=0,"SOURCE EMPTY / INDUSTRIAL ONLY",IF(MIN(K3095:T3095)=1,"SERVICE READY","HOLD"))</f>
        <v>SOURCE EMPTY / INDUSTRIAL ONLY</v>
      </c>
      <c r="V3095" s="9" t="n">
        <f aca="false">IF(U3095="SERVICE READY",1,0)</f>
        <v>0</v>
      </c>
      <c r="W3095" s="6"/>
      <c r="X3095" s="6"/>
      <c r="Y3095" s="6"/>
      <c r="Z3095" s="6"/>
    </row>
    <row r="3096" customFormat="false" ht="15" hidden="false" customHeight="false" outlineLevel="0" collapsed="false">
      <c r="A3096" s="9" t="s">
        <v>3369</v>
      </c>
      <c r="B3096" s="9" t="s">
        <v>3329</v>
      </c>
      <c r="C3096" s="9" t="s">
        <v>3330</v>
      </c>
      <c r="D3096" s="9" t="s">
        <v>2971</v>
      </c>
      <c r="E3096" s="9" t="s">
        <v>1660</v>
      </c>
      <c r="F3096" s="9" t="s">
        <v>207</v>
      </c>
      <c r="G3096" s="9" t="s">
        <v>221</v>
      </c>
      <c r="H3096" s="9" t="n">
        <v>850</v>
      </c>
      <c r="I3096" s="29" t="n">
        <v>1</v>
      </c>
      <c r="J3096" s="9" t="n">
        <v>1</v>
      </c>
      <c r="K3096" s="30"/>
      <c r="L3096" s="30"/>
      <c r="M3096" s="30"/>
      <c r="N3096" s="30"/>
      <c r="O3096" s="30"/>
      <c r="P3096" s="30"/>
      <c r="Q3096" s="30"/>
      <c r="R3096" s="30"/>
      <c r="S3096" s="30"/>
      <c r="T3096" s="30"/>
      <c r="U3096" s="21" t="str">
        <f aca="false">IF(COUNT(K3096:T3096)=0,"SOURCE EMPTY / INDUSTRIAL ONLY",IF(MIN(K3096:T3096)=1,"SERVICE READY","HOLD"))</f>
        <v>SOURCE EMPTY / INDUSTRIAL ONLY</v>
      </c>
      <c r="V3096" s="9" t="n">
        <f aca="false">IF(U3096="SERVICE READY",1,0)</f>
        <v>0</v>
      </c>
      <c r="W3096" s="6"/>
      <c r="X3096" s="6"/>
      <c r="Y3096" s="6"/>
      <c r="Z3096" s="6"/>
    </row>
    <row r="3097" customFormat="false" ht="15" hidden="false" customHeight="false" outlineLevel="0" collapsed="false">
      <c r="A3097" s="9" t="s">
        <v>3370</v>
      </c>
      <c r="B3097" s="9" t="s">
        <v>3329</v>
      </c>
      <c r="C3097" s="9" t="s">
        <v>3330</v>
      </c>
      <c r="D3097" s="9" t="s">
        <v>2971</v>
      </c>
      <c r="E3097" s="9" t="s">
        <v>1660</v>
      </c>
      <c r="F3097" s="9" t="s">
        <v>209</v>
      </c>
      <c r="G3097" s="9" t="s">
        <v>221</v>
      </c>
      <c r="H3097" s="9" t="n">
        <v>850</v>
      </c>
      <c r="I3097" s="29" t="n">
        <v>1</v>
      </c>
      <c r="J3097" s="9" t="n">
        <v>1</v>
      </c>
      <c r="K3097" s="30"/>
      <c r="L3097" s="30"/>
      <c r="M3097" s="30"/>
      <c r="N3097" s="30"/>
      <c r="O3097" s="30"/>
      <c r="P3097" s="30"/>
      <c r="Q3097" s="30"/>
      <c r="R3097" s="30"/>
      <c r="S3097" s="30"/>
      <c r="T3097" s="30"/>
      <c r="U3097" s="21" t="str">
        <f aca="false">IF(COUNT(K3097:T3097)=0,"SOURCE EMPTY / INDUSTRIAL ONLY",IF(MIN(K3097:T3097)=1,"SERVICE READY","HOLD"))</f>
        <v>SOURCE EMPTY / INDUSTRIAL ONLY</v>
      </c>
      <c r="V3097" s="9" t="n">
        <f aca="false">IF(U3097="SERVICE READY",1,0)</f>
        <v>0</v>
      </c>
      <c r="W3097" s="6"/>
      <c r="X3097" s="6"/>
      <c r="Y3097" s="6"/>
      <c r="Z3097" s="6"/>
    </row>
    <row r="3098" customFormat="false" ht="15" hidden="false" customHeight="false" outlineLevel="0" collapsed="false">
      <c r="A3098" s="9" t="s">
        <v>3371</v>
      </c>
      <c r="B3098" s="9" t="s">
        <v>3329</v>
      </c>
      <c r="C3098" s="9" t="s">
        <v>3330</v>
      </c>
      <c r="D3098" s="9" t="s">
        <v>2971</v>
      </c>
      <c r="E3098" s="9" t="s">
        <v>1660</v>
      </c>
      <c r="F3098" s="9" t="s">
        <v>211</v>
      </c>
      <c r="G3098" s="9" t="s">
        <v>221</v>
      </c>
      <c r="H3098" s="9" t="n">
        <v>850</v>
      </c>
      <c r="I3098" s="29" t="n">
        <v>1</v>
      </c>
      <c r="J3098" s="9" t="n">
        <v>1</v>
      </c>
      <c r="K3098" s="30"/>
      <c r="L3098" s="30"/>
      <c r="M3098" s="30"/>
      <c r="N3098" s="30"/>
      <c r="O3098" s="30"/>
      <c r="P3098" s="30"/>
      <c r="Q3098" s="30"/>
      <c r="R3098" s="30"/>
      <c r="S3098" s="30"/>
      <c r="T3098" s="30"/>
      <c r="U3098" s="21" t="str">
        <f aca="false">IF(COUNT(K3098:T3098)=0,"SOURCE EMPTY / INDUSTRIAL ONLY",IF(MIN(K3098:T3098)=1,"SERVICE READY","HOLD"))</f>
        <v>SOURCE EMPTY / INDUSTRIAL ONLY</v>
      </c>
      <c r="V3098" s="9" t="n">
        <f aca="false">IF(U3098="SERVICE READY",1,0)</f>
        <v>0</v>
      </c>
      <c r="W3098" s="6"/>
      <c r="X3098" s="6"/>
      <c r="Y3098" s="6"/>
      <c r="Z3098" s="6"/>
    </row>
    <row r="3099" customFormat="false" ht="15" hidden="false" customHeight="false" outlineLevel="0" collapsed="false">
      <c r="A3099" s="9" t="s">
        <v>3372</v>
      </c>
      <c r="B3099" s="9" t="s">
        <v>3329</v>
      </c>
      <c r="C3099" s="9" t="s">
        <v>3330</v>
      </c>
      <c r="D3099" s="9" t="s">
        <v>2971</v>
      </c>
      <c r="E3099" s="9" t="s">
        <v>1660</v>
      </c>
      <c r="F3099" s="9" t="s">
        <v>197</v>
      </c>
      <c r="G3099" s="9" t="s">
        <v>221</v>
      </c>
      <c r="H3099" s="9" t="n">
        <v>850</v>
      </c>
      <c r="I3099" s="29" t="n">
        <v>1</v>
      </c>
      <c r="J3099" s="9" t="n">
        <v>1</v>
      </c>
      <c r="K3099" s="30"/>
      <c r="L3099" s="30"/>
      <c r="M3099" s="30"/>
      <c r="N3099" s="30"/>
      <c r="O3099" s="30"/>
      <c r="P3099" s="30"/>
      <c r="Q3099" s="30"/>
      <c r="R3099" s="30"/>
      <c r="S3099" s="30"/>
      <c r="T3099" s="30"/>
      <c r="U3099" s="21" t="str">
        <f aca="false">IF(COUNT(K3099:T3099)=0,"SOURCE EMPTY / INDUSTRIAL ONLY",IF(MIN(K3099:T3099)=1,"SERVICE READY","HOLD"))</f>
        <v>SOURCE EMPTY / INDUSTRIAL ONLY</v>
      </c>
      <c r="V3099" s="9" t="n">
        <f aca="false">IF(U3099="SERVICE READY",1,0)</f>
        <v>0</v>
      </c>
      <c r="W3099" s="6"/>
      <c r="X3099" s="6"/>
      <c r="Y3099" s="6"/>
      <c r="Z3099" s="6"/>
    </row>
    <row r="3100" customFormat="false" ht="15" hidden="false" customHeight="false" outlineLevel="0" collapsed="false">
      <c r="A3100" s="9" t="s">
        <v>3373</v>
      </c>
      <c r="B3100" s="9" t="s">
        <v>3329</v>
      </c>
      <c r="C3100" s="9" t="s">
        <v>3330</v>
      </c>
      <c r="D3100" s="9" t="s">
        <v>2971</v>
      </c>
      <c r="E3100" s="9" t="s">
        <v>1660</v>
      </c>
      <c r="F3100" s="9" t="s">
        <v>200</v>
      </c>
      <c r="G3100" s="9" t="s">
        <v>221</v>
      </c>
      <c r="H3100" s="9" t="n">
        <v>850</v>
      </c>
      <c r="I3100" s="29" t="n">
        <v>1</v>
      </c>
      <c r="J3100" s="9" t="n">
        <v>1</v>
      </c>
      <c r="K3100" s="30"/>
      <c r="L3100" s="30"/>
      <c r="M3100" s="30"/>
      <c r="N3100" s="30"/>
      <c r="O3100" s="30"/>
      <c r="P3100" s="30"/>
      <c r="Q3100" s="30"/>
      <c r="R3100" s="30"/>
      <c r="S3100" s="30"/>
      <c r="T3100" s="30"/>
      <c r="U3100" s="21" t="str">
        <f aca="false">IF(COUNT(K3100:T3100)=0,"SOURCE EMPTY / INDUSTRIAL ONLY",IF(MIN(K3100:T3100)=1,"SERVICE READY","HOLD"))</f>
        <v>SOURCE EMPTY / INDUSTRIAL ONLY</v>
      </c>
      <c r="V3100" s="9" t="n">
        <f aca="false">IF(U3100="SERVICE READY",1,0)</f>
        <v>0</v>
      </c>
      <c r="W3100" s="6"/>
      <c r="X3100" s="6"/>
      <c r="Y3100" s="6"/>
      <c r="Z3100" s="6"/>
    </row>
    <row r="3101" customFormat="false" ht="15" hidden="false" customHeight="false" outlineLevel="0" collapsed="false">
      <c r="A3101" s="9" t="s">
        <v>3374</v>
      </c>
      <c r="B3101" s="9" t="s">
        <v>3329</v>
      </c>
      <c r="C3101" s="9" t="s">
        <v>3330</v>
      </c>
      <c r="D3101" s="9" t="s">
        <v>2971</v>
      </c>
      <c r="E3101" s="9" t="s">
        <v>1660</v>
      </c>
      <c r="F3101" s="9" t="s">
        <v>203</v>
      </c>
      <c r="G3101" s="9" t="s">
        <v>221</v>
      </c>
      <c r="H3101" s="9" t="n">
        <v>850</v>
      </c>
      <c r="I3101" s="29" t="n">
        <v>1</v>
      </c>
      <c r="J3101" s="9" t="n">
        <v>1</v>
      </c>
      <c r="K3101" s="30"/>
      <c r="L3101" s="30"/>
      <c r="M3101" s="30"/>
      <c r="N3101" s="30"/>
      <c r="O3101" s="30"/>
      <c r="P3101" s="30"/>
      <c r="Q3101" s="30"/>
      <c r="R3101" s="30"/>
      <c r="S3101" s="30"/>
      <c r="T3101" s="30"/>
      <c r="U3101" s="21" t="str">
        <f aca="false">IF(COUNT(K3101:T3101)=0,"SOURCE EMPTY / INDUSTRIAL ONLY",IF(MIN(K3101:T3101)=1,"SERVICE READY","HOLD"))</f>
        <v>SOURCE EMPTY / INDUSTRIAL ONLY</v>
      </c>
      <c r="V3101" s="9" t="n">
        <f aca="false">IF(U3101="SERVICE READY",1,0)</f>
        <v>0</v>
      </c>
      <c r="W3101" s="6"/>
      <c r="X3101" s="6"/>
      <c r="Y3101" s="6"/>
      <c r="Z3101" s="6"/>
    </row>
    <row r="3102" customFormat="false" ht="15" hidden="false" customHeight="false" outlineLevel="0" collapsed="false">
      <c r="A3102" s="9" t="s">
        <v>3375</v>
      </c>
      <c r="B3102" s="9" t="s">
        <v>3329</v>
      </c>
      <c r="C3102" s="9" t="s">
        <v>3330</v>
      </c>
      <c r="D3102" s="9" t="s">
        <v>2971</v>
      </c>
      <c r="E3102" s="9" t="s">
        <v>1660</v>
      </c>
      <c r="F3102" s="9" t="s">
        <v>205</v>
      </c>
      <c r="G3102" s="9" t="s">
        <v>221</v>
      </c>
      <c r="H3102" s="9" t="n">
        <v>850</v>
      </c>
      <c r="I3102" s="29" t="n">
        <v>1</v>
      </c>
      <c r="J3102" s="9" t="n">
        <v>1</v>
      </c>
      <c r="K3102" s="30"/>
      <c r="L3102" s="30"/>
      <c r="M3102" s="30"/>
      <c r="N3102" s="30"/>
      <c r="O3102" s="30"/>
      <c r="P3102" s="30"/>
      <c r="Q3102" s="30"/>
      <c r="R3102" s="30"/>
      <c r="S3102" s="30"/>
      <c r="T3102" s="30"/>
      <c r="U3102" s="21" t="str">
        <f aca="false">IF(COUNT(K3102:T3102)=0,"SOURCE EMPTY / INDUSTRIAL ONLY",IF(MIN(K3102:T3102)=1,"SERVICE READY","HOLD"))</f>
        <v>SOURCE EMPTY / INDUSTRIAL ONLY</v>
      </c>
      <c r="V3102" s="9" t="n">
        <f aca="false">IF(U3102="SERVICE READY",1,0)</f>
        <v>0</v>
      </c>
      <c r="W3102" s="6"/>
      <c r="X3102" s="6"/>
      <c r="Y3102" s="6"/>
      <c r="Z3102" s="6"/>
    </row>
    <row r="3103" customFormat="false" ht="15" hidden="false" customHeight="false" outlineLevel="0" collapsed="false">
      <c r="A3103" s="9" t="s">
        <v>3376</v>
      </c>
      <c r="B3103" s="9" t="s">
        <v>3329</v>
      </c>
      <c r="C3103" s="9" t="s">
        <v>3330</v>
      </c>
      <c r="D3103" s="9" t="s">
        <v>2971</v>
      </c>
      <c r="E3103" s="9" t="s">
        <v>1660</v>
      </c>
      <c r="F3103" s="9" t="s">
        <v>207</v>
      </c>
      <c r="G3103" s="9" t="s">
        <v>221</v>
      </c>
      <c r="H3103" s="9" t="n">
        <v>850</v>
      </c>
      <c r="I3103" s="29" t="n">
        <v>1</v>
      </c>
      <c r="J3103" s="9" t="n">
        <v>1</v>
      </c>
      <c r="K3103" s="30"/>
      <c r="L3103" s="30"/>
      <c r="M3103" s="30"/>
      <c r="N3103" s="30"/>
      <c r="O3103" s="30"/>
      <c r="P3103" s="30"/>
      <c r="Q3103" s="30"/>
      <c r="R3103" s="30"/>
      <c r="S3103" s="30"/>
      <c r="T3103" s="30"/>
      <c r="U3103" s="21" t="str">
        <f aca="false">IF(COUNT(K3103:T3103)=0,"SOURCE EMPTY / INDUSTRIAL ONLY",IF(MIN(K3103:T3103)=1,"SERVICE READY","HOLD"))</f>
        <v>SOURCE EMPTY / INDUSTRIAL ONLY</v>
      </c>
      <c r="V3103" s="9" t="n">
        <f aca="false">IF(U3103="SERVICE READY",1,0)</f>
        <v>0</v>
      </c>
      <c r="W3103" s="6"/>
      <c r="X3103" s="6"/>
      <c r="Y3103" s="6"/>
      <c r="Z3103" s="6"/>
    </row>
    <row r="3104" customFormat="false" ht="15" hidden="false" customHeight="false" outlineLevel="0" collapsed="false">
      <c r="A3104" s="9" t="s">
        <v>3377</v>
      </c>
      <c r="B3104" s="9" t="s">
        <v>3329</v>
      </c>
      <c r="C3104" s="9" t="s">
        <v>3330</v>
      </c>
      <c r="D3104" s="9" t="s">
        <v>2971</v>
      </c>
      <c r="E3104" s="9" t="s">
        <v>1660</v>
      </c>
      <c r="F3104" s="9" t="s">
        <v>209</v>
      </c>
      <c r="G3104" s="9" t="s">
        <v>221</v>
      </c>
      <c r="H3104" s="9" t="n">
        <v>850</v>
      </c>
      <c r="I3104" s="29" t="n">
        <v>1</v>
      </c>
      <c r="J3104" s="9" t="n">
        <v>1</v>
      </c>
      <c r="K3104" s="30"/>
      <c r="L3104" s="30"/>
      <c r="M3104" s="30"/>
      <c r="N3104" s="30"/>
      <c r="O3104" s="30"/>
      <c r="P3104" s="30"/>
      <c r="Q3104" s="30"/>
      <c r="R3104" s="30"/>
      <c r="S3104" s="30"/>
      <c r="T3104" s="30"/>
      <c r="U3104" s="21" t="str">
        <f aca="false">IF(COUNT(K3104:T3104)=0,"SOURCE EMPTY / INDUSTRIAL ONLY",IF(MIN(K3104:T3104)=1,"SERVICE READY","HOLD"))</f>
        <v>SOURCE EMPTY / INDUSTRIAL ONLY</v>
      </c>
      <c r="V3104" s="9" t="n">
        <f aca="false">IF(U3104="SERVICE READY",1,0)</f>
        <v>0</v>
      </c>
      <c r="W3104" s="6"/>
      <c r="X3104" s="6"/>
      <c r="Y3104" s="6"/>
      <c r="Z3104" s="6"/>
    </row>
    <row r="3105" customFormat="false" ht="15" hidden="false" customHeight="false" outlineLevel="0" collapsed="false">
      <c r="A3105" s="9" t="s">
        <v>3378</v>
      </c>
      <c r="B3105" s="9" t="s">
        <v>3329</v>
      </c>
      <c r="C3105" s="9" t="s">
        <v>3330</v>
      </c>
      <c r="D3105" s="9" t="s">
        <v>2971</v>
      </c>
      <c r="E3105" s="9" t="s">
        <v>1660</v>
      </c>
      <c r="F3105" s="9" t="s">
        <v>211</v>
      </c>
      <c r="G3105" s="9" t="s">
        <v>221</v>
      </c>
      <c r="H3105" s="9" t="n">
        <v>850</v>
      </c>
      <c r="I3105" s="29" t="n">
        <v>1</v>
      </c>
      <c r="J3105" s="9" t="n">
        <v>1</v>
      </c>
      <c r="K3105" s="30"/>
      <c r="L3105" s="30"/>
      <c r="M3105" s="30"/>
      <c r="N3105" s="30"/>
      <c r="O3105" s="30"/>
      <c r="P3105" s="30"/>
      <c r="Q3105" s="30"/>
      <c r="R3105" s="30"/>
      <c r="S3105" s="30"/>
      <c r="T3105" s="30"/>
      <c r="U3105" s="21" t="str">
        <f aca="false">IF(COUNT(K3105:T3105)=0,"SOURCE EMPTY / INDUSTRIAL ONLY",IF(MIN(K3105:T3105)=1,"SERVICE READY","HOLD"))</f>
        <v>SOURCE EMPTY / INDUSTRIAL ONLY</v>
      </c>
      <c r="V3105" s="9" t="n">
        <f aca="false">IF(U3105="SERVICE READY",1,0)</f>
        <v>0</v>
      </c>
      <c r="W3105" s="6"/>
      <c r="X3105" s="6"/>
      <c r="Y3105" s="6"/>
      <c r="Z3105" s="6"/>
    </row>
    <row r="3106" customFormat="false" ht="15" hidden="false" customHeight="false" outlineLevel="0" collapsed="false">
      <c r="A3106" s="9" t="s">
        <v>3379</v>
      </c>
      <c r="B3106" s="9" t="s">
        <v>3329</v>
      </c>
      <c r="C3106" s="9" t="s">
        <v>3330</v>
      </c>
      <c r="D3106" s="9" t="s">
        <v>2971</v>
      </c>
      <c r="E3106" s="9" t="s">
        <v>1660</v>
      </c>
      <c r="F3106" s="9" t="s">
        <v>197</v>
      </c>
      <c r="G3106" s="9" t="s">
        <v>221</v>
      </c>
      <c r="H3106" s="9" t="n">
        <v>850</v>
      </c>
      <c r="I3106" s="29" t="n">
        <v>1</v>
      </c>
      <c r="J3106" s="9" t="n">
        <v>1</v>
      </c>
      <c r="K3106" s="30"/>
      <c r="L3106" s="30"/>
      <c r="M3106" s="30"/>
      <c r="N3106" s="30"/>
      <c r="O3106" s="30"/>
      <c r="P3106" s="30"/>
      <c r="Q3106" s="30"/>
      <c r="R3106" s="30"/>
      <c r="S3106" s="30"/>
      <c r="T3106" s="30"/>
      <c r="U3106" s="21" t="str">
        <f aca="false">IF(COUNT(K3106:T3106)=0,"SOURCE EMPTY / INDUSTRIAL ONLY",IF(MIN(K3106:T3106)=1,"SERVICE READY","HOLD"))</f>
        <v>SOURCE EMPTY / INDUSTRIAL ONLY</v>
      </c>
      <c r="V3106" s="9" t="n">
        <f aca="false">IF(U3106="SERVICE READY",1,0)</f>
        <v>0</v>
      </c>
      <c r="W3106" s="6"/>
      <c r="X3106" s="6"/>
      <c r="Y3106" s="6"/>
      <c r="Z3106" s="6"/>
    </row>
    <row r="3107" customFormat="false" ht="15" hidden="false" customHeight="false" outlineLevel="0" collapsed="false">
      <c r="A3107" s="9" t="s">
        <v>3380</v>
      </c>
      <c r="B3107" s="9" t="s">
        <v>3329</v>
      </c>
      <c r="C3107" s="9" t="s">
        <v>3330</v>
      </c>
      <c r="D3107" s="9" t="s">
        <v>2971</v>
      </c>
      <c r="E3107" s="9" t="s">
        <v>1660</v>
      </c>
      <c r="F3107" s="9" t="s">
        <v>200</v>
      </c>
      <c r="G3107" s="9" t="s">
        <v>221</v>
      </c>
      <c r="H3107" s="9" t="n">
        <v>850</v>
      </c>
      <c r="I3107" s="29" t="n">
        <v>1</v>
      </c>
      <c r="J3107" s="9" t="n">
        <v>1</v>
      </c>
      <c r="K3107" s="30"/>
      <c r="L3107" s="30"/>
      <c r="M3107" s="30"/>
      <c r="N3107" s="30"/>
      <c r="O3107" s="30"/>
      <c r="P3107" s="30"/>
      <c r="Q3107" s="30"/>
      <c r="R3107" s="30"/>
      <c r="S3107" s="30"/>
      <c r="T3107" s="30"/>
      <c r="U3107" s="21" t="str">
        <f aca="false">IF(COUNT(K3107:T3107)=0,"SOURCE EMPTY / INDUSTRIAL ONLY",IF(MIN(K3107:T3107)=1,"SERVICE READY","HOLD"))</f>
        <v>SOURCE EMPTY / INDUSTRIAL ONLY</v>
      </c>
      <c r="V3107" s="9" t="n">
        <f aca="false">IF(U3107="SERVICE READY",1,0)</f>
        <v>0</v>
      </c>
      <c r="W3107" s="6"/>
      <c r="X3107" s="6"/>
      <c r="Y3107" s="6"/>
      <c r="Z3107" s="6"/>
    </row>
    <row r="3108" customFormat="false" ht="15" hidden="false" customHeight="false" outlineLevel="0" collapsed="false">
      <c r="A3108" s="9" t="s">
        <v>3381</v>
      </c>
      <c r="B3108" s="9" t="s">
        <v>3329</v>
      </c>
      <c r="C3108" s="9" t="s">
        <v>3330</v>
      </c>
      <c r="D3108" s="9" t="s">
        <v>2971</v>
      </c>
      <c r="E3108" s="9" t="s">
        <v>1660</v>
      </c>
      <c r="F3108" s="9" t="s">
        <v>203</v>
      </c>
      <c r="G3108" s="9" t="s">
        <v>221</v>
      </c>
      <c r="H3108" s="9" t="n">
        <v>850</v>
      </c>
      <c r="I3108" s="29" t="n">
        <v>1</v>
      </c>
      <c r="J3108" s="9" t="n">
        <v>1</v>
      </c>
      <c r="K3108" s="30"/>
      <c r="L3108" s="30"/>
      <c r="M3108" s="30"/>
      <c r="N3108" s="30"/>
      <c r="O3108" s="30"/>
      <c r="P3108" s="30"/>
      <c r="Q3108" s="30"/>
      <c r="R3108" s="30"/>
      <c r="S3108" s="30"/>
      <c r="T3108" s="30"/>
      <c r="U3108" s="21" t="str">
        <f aca="false">IF(COUNT(K3108:T3108)=0,"SOURCE EMPTY / INDUSTRIAL ONLY",IF(MIN(K3108:T3108)=1,"SERVICE READY","HOLD"))</f>
        <v>SOURCE EMPTY / INDUSTRIAL ONLY</v>
      </c>
      <c r="V3108" s="9" t="n">
        <f aca="false">IF(U3108="SERVICE READY",1,0)</f>
        <v>0</v>
      </c>
      <c r="W3108" s="6"/>
      <c r="X3108" s="6"/>
      <c r="Y3108" s="6"/>
      <c r="Z3108" s="6"/>
    </row>
    <row r="3109" customFormat="false" ht="15" hidden="false" customHeight="false" outlineLevel="0" collapsed="false">
      <c r="A3109" s="9" t="s">
        <v>3382</v>
      </c>
      <c r="B3109" s="9" t="s">
        <v>3329</v>
      </c>
      <c r="C3109" s="9" t="s">
        <v>3330</v>
      </c>
      <c r="D3109" s="9" t="s">
        <v>2971</v>
      </c>
      <c r="E3109" s="9" t="s">
        <v>1660</v>
      </c>
      <c r="F3109" s="9" t="s">
        <v>205</v>
      </c>
      <c r="G3109" s="9" t="s">
        <v>221</v>
      </c>
      <c r="H3109" s="9" t="n">
        <v>850</v>
      </c>
      <c r="I3109" s="29" t="n">
        <v>1</v>
      </c>
      <c r="J3109" s="9" t="n">
        <v>1</v>
      </c>
      <c r="K3109" s="30"/>
      <c r="L3109" s="30"/>
      <c r="M3109" s="30"/>
      <c r="N3109" s="30"/>
      <c r="O3109" s="30"/>
      <c r="P3109" s="30"/>
      <c r="Q3109" s="30"/>
      <c r="R3109" s="30"/>
      <c r="S3109" s="30"/>
      <c r="T3109" s="30"/>
      <c r="U3109" s="21" t="str">
        <f aca="false">IF(COUNT(K3109:T3109)=0,"SOURCE EMPTY / INDUSTRIAL ONLY",IF(MIN(K3109:T3109)=1,"SERVICE READY","HOLD"))</f>
        <v>SOURCE EMPTY / INDUSTRIAL ONLY</v>
      </c>
      <c r="V3109" s="9" t="n">
        <f aca="false">IF(U3109="SERVICE READY",1,0)</f>
        <v>0</v>
      </c>
      <c r="W3109" s="6"/>
      <c r="X3109" s="6"/>
      <c r="Y3109" s="6"/>
      <c r="Z3109" s="6"/>
    </row>
    <row r="3110" customFormat="false" ht="15" hidden="false" customHeight="false" outlineLevel="0" collapsed="false">
      <c r="A3110" s="9" t="s">
        <v>3383</v>
      </c>
      <c r="B3110" s="9" t="s">
        <v>3329</v>
      </c>
      <c r="C3110" s="9" t="s">
        <v>3330</v>
      </c>
      <c r="D3110" s="9" t="s">
        <v>2971</v>
      </c>
      <c r="E3110" s="9" t="s">
        <v>1660</v>
      </c>
      <c r="F3110" s="9" t="s">
        <v>207</v>
      </c>
      <c r="G3110" s="9" t="s">
        <v>221</v>
      </c>
      <c r="H3110" s="9" t="n">
        <v>850</v>
      </c>
      <c r="I3110" s="29" t="n">
        <v>1</v>
      </c>
      <c r="J3110" s="9" t="n">
        <v>1</v>
      </c>
      <c r="K3110" s="30"/>
      <c r="L3110" s="30"/>
      <c r="M3110" s="30"/>
      <c r="N3110" s="30"/>
      <c r="O3110" s="30"/>
      <c r="P3110" s="30"/>
      <c r="Q3110" s="30"/>
      <c r="R3110" s="30"/>
      <c r="S3110" s="30"/>
      <c r="T3110" s="30"/>
      <c r="U3110" s="21" t="str">
        <f aca="false">IF(COUNT(K3110:T3110)=0,"SOURCE EMPTY / INDUSTRIAL ONLY",IF(MIN(K3110:T3110)=1,"SERVICE READY","HOLD"))</f>
        <v>SOURCE EMPTY / INDUSTRIAL ONLY</v>
      </c>
      <c r="V3110" s="9" t="n">
        <f aca="false">IF(U3110="SERVICE READY",1,0)</f>
        <v>0</v>
      </c>
      <c r="W3110" s="6"/>
      <c r="X3110" s="6"/>
      <c r="Y3110" s="6"/>
      <c r="Z3110" s="6"/>
    </row>
    <row r="3111" customFormat="false" ht="15" hidden="false" customHeight="false" outlineLevel="0" collapsed="false">
      <c r="A3111" s="9" t="s">
        <v>3384</v>
      </c>
      <c r="B3111" s="9" t="s">
        <v>3329</v>
      </c>
      <c r="C3111" s="9" t="s">
        <v>3330</v>
      </c>
      <c r="D3111" s="9" t="s">
        <v>2971</v>
      </c>
      <c r="E3111" s="9" t="s">
        <v>1660</v>
      </c>
      <c r="F3111" s="9" t="s">
        <v>209</v>
      </c>
      <c r="G3111" s="9" t="s">
        <v>221</v>
      </c>
      <c r="H3111" s="9" t="n">
        <v>850</v>
      </c>
      <c r="I3111" s="29" t="n">
        <v>1</v>
      </c>
      <c r="J3111" s="9" t="n">
        <v>1</v>
      </c>
      <c r="K3111" s="30"/>
      <c r="L3111" s="30"/>
      <c r="M3111" s="30"/>
      <c r="N3111" s="30"/>
      <c r="O3111" s="30"/>
      <c r="P3111" s="30"/>
      <c r="Q3111" s="30"/>
      <c r="R3111" s="30"/>
      <c r="S3111" s="30"/>
      <c r="T3111" s="30"/>
      <c r="U3111" s="21" t="str">
        <f aca="false">IF(COUNT(K3111:T3111)=0,"SOURCE EMPTY / INDUSTRIAL ONLY",IF(MIN(K3111:T3111)=1,"SERVICE READY","HOLD"))</f>
        <v>SOURCE EMPTY / INDUSTRIAL ONLY</v>
      </c>
      <c r="V3111" s="9" t="n">
        <f aca="false">IF(U3111="SERVICE READY",1,0)</f>
        <v>0</v>
      </c>
      <c r="W3111" s="6"/>
      <c r="X3111" s="6"/>
      <c r="Y3111" s="6"/>
      <c r="Z3111" s="6"/>
    </row>
    <row r="3112" customFormat="false" ht="15" hidden="false" customHeight="false" outlineLevel="0" collapsed="false">
      <c r="A3112" s="9" t="s">
        <v>3385</v>
      </c>
      <c r="B3112" s="9" t="s">
        <v>3329</v>
      </c>
      <c r="C3112" s="9" t="s">
        <v>3330</v>
      </c>
      <c r="D3112" s="9" t="s">
        <v>2971</v>
      </c>
      <c r="E3112" s="9" t="s">
        <v>1660</v>
      </c>
      <c r="F3112" s="9" t="s">
        <v>211</v>
      </c>
      <c r="G3112" s="9" t="s">
        <v>221</v>
      </c>
      <c r="H3112" s="9" t="n">
        <v>850</v>
      </c>
      <c r="I3112" s="29" t="n">
        <v>1</v>
      </c>
      <c r="J3112" s="9" t="n">
        <v>1</v>
      </c>
      <c r="K3112" s="30"/>
      <c r="L3112" s="30"/>
      <c r="M3112" s="30"/>
      <c r="N3112" s="30"/>
      <c r="O3112" s="30"/>
      <c r="P3112" s="30"/>
      <c r="Q3112" s="30"/>
      <c r="R3112" s="30"/>
      <c r="S3112" s="30"/>
      <c r="T3112" s="30"/>
      <c r="U3112" s="21" t="str">
        <f aca="false">IF(COUNT(K3112:T3112)=0,"SOURCE EMPTY / INDUSTRIAL ONLY",IF(MIN(K3112:T3112)=1,"SERVICE READY","HOLD"))</f>
        <v>SOURCE EMPTY / INDUSTRIAL ONLY</v>
      </c>
      <c r="V3112" s="9" t="n">
        <f aca="false">IF(U3112="SERVICE READY",1,0)</f>
        <v>0</v>
      </c>
      <c r="W3112" s="6"/>
      <c r="X3112" s="6"/>
      <c r="Y3112" s="6"/>
      <c r="Z3112" s="6"/>
    </row>
    <row r="3113" customFormat="false" ht="15" hidden="false" customHeight="false" outlineLevel="0" collapsed="false">
      <c r="A3113" s="9" t="s">
        <v>3386</v>
      </c>
      <c r="B3113" s="9" t="s">
        <v>3329</v>
      </c>
      <c r="C3113" s="9" t="s">
        <v>3330</v>
      </c>
      <c r="D3113" s="9" t="s">
        <v>2971</v>
      </c>
      <c r="E3113" s="9" t="s">
        <v>1660</v>
      </c>
      <c r="F3113" s="9" t="s">
        <v>197</v>
      </c>
      <c r="G3113" s="9" t="s">
        <v>221</v>
      </c>
      <c r="H3113" s="9" t="n">
        <v>850</v>
      </c>
      <c r="I3113" s="29" t="n">
        <v>1</v>
      </c>
      <c r="J3113" s="9" t="n">
        <v>1</v>
      </c>
      <c r="K3113" s="30"/>
      <c r="L3113" s="30"/>
      <c r="M3113" s="30"/>
      <c r="N3113" s="30"/>
      <c r="O3113" s="30"/>
      <c r="P3113" s="30"/>
      <c r="Q3113" s="30"/>
      <c r="R3113" s="30"/>
      <c r="S3113" s="30"/>
      <c r="T3113" s="30"/>
      <c r="U3113" s="21" t="str">
        <f aca="false">IF(COUNT(K3113:T3113)=0,"SOURCE EMPTY / INDUSTRIAL ONLY",IF(MIN(K3113:T3113)=1,"SERVICE READY","HOLD"))</f>
        <v>SOURCE EMPTY / INDUSTRIAL ONLY</v>
      </c>
      <c r="V3113" s="9" t="n">
        <f aca="false">IF(U3113="SERVICE READY",1,0)</f>
        <v>0</v>
      </c>
      <c r="W3113" s="6"/>
      <c r="X3113" s="6"/>
      <c r="Y3113" s="6"/>
      <c r="Z3113" s="6"/>
    </row>
    <row r="3114" customFormat="false" ht="15" hidden="false" customHeight="false" outlineLevel="0" collapsed="false">
      <c r="A3114" s="9" t="s">
        <v>3387</v>
      </c>
      <c r="B3114" s="9" t="s">
        <v>3329</v>
      </c>
      <c r="C3114" s="9" t="s">
        <v>3330</v>
      </c>
      <c r="D3114" s="9" t="s">
        <v>2971</v>
      </c>
      <c r="E3114" s="9" t="s">
        <v>1660</v>
      </c>
      <c r="F3114" s="9" t="s">
        <v>200</v>
      </c>
      <c r="G3114" s="9" t="s">
        <v>221</v>
      </c>
      <c r="H3114" s="9" t="n">
        <v>850</v>
      </c>
      <c r="I3114" s="29" t="n">
        <v>1</v>
      </c>
      <c r="J3114" s="9" t="n">
        <v>1</v>
      </c>
      <c r="K3114" s="30"/>
      <c r="L3114" s="30"/>
      <c r="M3114" s="30"/>
      <c r="N3114" s="30"/>
      <c r="O3114" s="30"/>
      <c r="P3114" s="30"/>
      <c r="Q3114" s="30"/>
      <c r="R3114" s="30"/>
      <c r="S3114" s="30"/>
      <c r="T3114" s="30"/>
      <c r="U3114" s="21" t="str">
        <f aca="false">IF(COUNT(K3114:T3114)=0,"SOURCE EMPTY / INDUSTRIAL ONLY",IF(MIN(K3114:T3114)=1,"SERVICE READY","HOLD"))</f>
        <v>SOURCE EMPTY / INDUSTRIAL ONLY</v>
      </c>
      <c r="V3114" s="9" t="n">
        <f aca="false">IF(U3114="SERVICE READY",1,0)</f>
        <v>0</v>
      </c>
      <c r="W3114" s="6"/>
      <c r="X3114" s="6"/>
      <c r="Y3114" s="6"/>
      <c r="Z3114" s="6"/>
    </row>
    <row r="3115" customFormat="false" ht="15" hidden="false" customHeight="false" outlineLevel="0" collapsed="false">
      <c r="A3115" s="9" t="s">
        <v>3388</v>
      </c>
      <c r="B3115" s="9" t="s">
        <v>3329</v>
      </c>
      <c r="C3115" s="9" t="s">
        <v>3330</v>
      </c>
      <c r="D3115" s="9" t="s">
        <v>2971</v>
      </c>
      <c r="E3115" s="9" t="s">
        <v>1660</v>
      </c>
      <c r="F3115" s="9" t="s">
        <v>203</v>
      </c>
      <c r="G3115" s="9" t="s">
        <v>221</v>
      </c>
      <c r="H3115" s="9" t="n">
        <v>850</v>
      </c>
      <c r="I3115" s="29" t="n">
        <v>1</v>
      </c>
      <c r="J3115" s="9" t="n">
        <v>1</v>
      </c>
      <c r="K3115" s="30"/>
      <c r="L3115" s="30"/>
      <c r="M3115" s="30"/>
      <c r="N3115" s="30"/>
      <c r="O3115" s="30"/>
      <c r="P3115" s="30"/>
      <c r="Q3115" s="30"/>
      <c r="R3115" s="30"/>
      <c r="S3115" s="30"/>
      <c r="T3115" s="30"/>
      <c r="U3115" s="21" t="str">
        <f aca="false">IF(COUNT(K3115:T3115)=0,"SOURCE EMPTY / INDUSTRIAL ONLY",IF(MIN(K3115:T3115)=1,"SERVICE READY","HOLD"))</f>
        <v>SOURCE EMPTY / INDUSTRIAL ONLY</v>
      </c>
      <c r="V3115" s="9" t="n">
        <f aca="false">IF(U3115="SERVICE READY",1,0)</f>
        <v>0</v>
      </c>
      <c r="W3115" s="6"/>
      <c r="X3115" s="6"/>
      <c r="Y3115" s="6"/>
      <c r="Z3115" s="6"/>
    </row>
    <row r="3116" customFormat="false" ht="15" hidden="false" customHeight="false" outlineLevel="0" collapsed="false">
      <c r="A3116" s="9" t="s">
        <v>3389</v>
      </c>
      <c r="B3116" s="9" t="s">
        <v>3329</v>
      </c>
      <c r="C3116" s="9" t="s">
        <v>3330</v>
      </c>
      <c r="D3116" s="9" t="s">
        <v>2971</v>
      </c>
      <c r="E3116" s="9" t="s">
        <v>1660</v>
      </c>
      <c r="F3116" s="9" t="s">
        <v>205</v>
      </c>
      <c r="G3116" s="9" t="s">
        <v>221</v>
      </c>
      <c r="H3116" s="9" t="n">
        <v>850</v>
      </c>
      <c r="I3116" s="29" t="n">
        <v>1</v>
      </c>
      <c r="J3116" s="9" t="n">
        <v>1</v>
      </c>
      <c r="K3116" s="30"/>
      <c r="L3116" s="30"/>
      <c r="M3116" s="30"/>
      <c r="N3116" s="30"/>
      <c r="O3116" s="30"/>
      <c r="P3116" s="30"/>
      <c r="Q3116" s="30"/>
      <c r="R3116" s="30"/>
      <c r="S3116" s="30"/>
      <c r="T3116" s="30"/>
      <c r="U3116" s="21" t="str">
        <f aca="false">IF(COUNT(K3116:T3116)=0,"SOURCE EMPTY / INDUSTRIAL ONLY",IF(MIN(K3116:T3116)=1,"SERVICE READY","HOLD"))</f>
        <v>SOURCE EMPTY / INDUSTRIAL ONLY</v>
      </c>
      <c r="V3116" s="9" t="n">
        <f aca="false">IF(U3116="SERVICE READY",1,0)</f>
        <v>0</v>
      </c>
      <c r="W3116" s="6"/>
      <c r="X3116" s="6"/>
      <c r="Y3116" s="6"/>
      <c r="Z3116" s="6"/>
    </row>
    <row r="3117" customFormat="false" ht="15" hidden="false" customHeight="false" outlineLevel="0" collapsed="false">
      <c r="A3117" s="9" t="s">
        <v>3390</v>
      </c>
      <c r="B3117" s="9" t="s">
        <v>3329</v>
      </c>
      <c r="C3117" s="9" t="s">
        <v>3330</v>
      </c>
      <c r="D3117" s="9" t="s">
        <v>2971</v>
      </c>
      <c r="E3117" s="9" t="s">
        <v>1660</v>
      </c>
      <c r="F3117" s="9" t="s">
        <v>207</v>
      </c>
      <c r="G3117" s="9" t="s">
        <v>221</v>
      </c>
      <c r="H3117" s="9" t="n">
        <v>850</v>
      </c>
      <c r="I3117" s="29" t="n">
        <v>1</v>
      </c>
      <c r="J3117" s="9" t="n">
        <v>1</v>
      </c>
      <c r="K3117" s="30"/>
      <c r="L3117" s="30"/>
      <c r="M3117" s="30"/>
      <c r="N3117" s="30"/>
      <c r="O3117" s="30"/>
      <c r="P3117" s="30"/>
      <c r="Q3117" s="30"/>
      <c r="R3117" s="30"/>
      <c r="S3117" s="30"/>
      <c r="T3117" s="30"/>
      <c r="U3117" s="21" t="str">
        <f aca="false">IF(COUNT(K3117:T3117)=0,"SOURCE EMPTY / INDUSTRIAL ONLY",IF(MIN(K3117:T3117)=1,"SERVICE READY","HOLD"))</f>
        <v>SOURCE EMPTY / INDUSTRIAL ONLY</v>
      </c>
      <c r="V3117" s="9" t="n">
        <f aca="false">IF(U3117="SERVICE READY",1,0)</f>
        <v>0</v>
      </c>
      <c r="W3117" s="6"/>
      <c r="X3117" s="6"/>
      <c r="Y3117" s="6"/>
      <c r="Z3117" s="6"/>
    </row>
    <row r="3118" customFormat="false" ht="15" hidden="false" customHeight="false" outlineLevel="0" collapsed="false">
      <c r="A3118" s="9" t="s">
        <v>3391</v>
      </c>
      <c r="B3118" s="9" t="s">
        <v>3329</v>
      </c>
      <c r="C3118" s="9" t="s">
        <v>3330</v>
      </c>
      <c r="D3118" s="9" t="s">
        <v>2971</v>
      </c>
      <c r="E3118" s="9" t="s">
        <v>1660</v>
      </c>
      <c r="F3118" s="9" t="s">
        <v>209</v>
      </c>
      <c r="G3118" s="9" t="s">
        <v>221</v>
      </c>
      <c r="H3118" s="9" t="n">
        <v>850</v>
      </c>
      <c r="I3118" s="29" t="n">
        <v>1</v>
      </c>
      <c r="J3118" s="9" t="n">
        <v>1</v>
      </c>
      <c r="K3118" s="30"/>
      <c r="L3118" s="30"/>
      <c r="M3118" s="30"/>
      <c r="N3118" s="30"/>
      <c r="O3118" s="30"/>
      <c r="P3118" s="30"/>
      <c r="Q3118" s="30"/>
      <c r="R3118" s="30"/>
      <c r="S3118" s="30"/>
      <c r="T3118" s="30"/>
      <c r="U3118" s="21" t="str">
        <f aca="false">IF(COUNT(K3118:T3118)=0,"SOURCE EMPTY / INDUSTRIAL ONLY",IF(MIN(K3118:T3118)=1,"SERVICE READY","HOLD"))</f>
        <v>SOURCE EMPTY / INDUSTRIAL ONLY</v>
      </c>
      <c r="V3118" s="9" t="n">
        <f aca="false">IF(U3118="SERVICE READY",1,0)</f>
        <v>0</v>
      </c>
      <c r="W3118" s="6"/>
      <c r="X3118" s="6"/>
      <c r="Y3118" s="6"/>
      <c r="Z3118" s="6"/>
    </row>
    <row r="3119" customFormat="false" ht="15" hidden="false" customHeight="false" outlineLevel="0" collapsed="false">
      <c r="A3119" s="9" t="s">
        <v>3392</v>
      </c>
      <c r="B3119" s="9" t="s">
        <v>3329</v>
      </c>
      <c r="C3119" s="9" t="s">
        <v>3330</v>
      </c>
      <c r="D3119" s="9" t="s">
        <v>2971</v>
      </c>
      <c r="E3119" s="9" t="s">
        <v>1660</v>
      </c>
      <c r="F3119" s="9" t="s">
        <v>211</v>
      </c>
      <c r="G3119" s="9" t="s">
        <v>221</v>
      </c>
      <c r="H3119" s="9" t="n">
        <v>850</v>
      </c>
      <c r="I3119" s="29" t="n">
        <v>1</v>
      </c>
      <c r="J3119" s="9" t="n">
        <v>1</v>
      </c>
      <c r="K3119" s="30"/>
      <c r="L3119" s="30"/>
      <c r="M3119" s="30"/>
      <c r="N3119" s="30"/>
      <c r="O3119" s="30"/>
      <c r="P3119" s="30"/>
      <c r="Q3119" s="30"/>
      <c r="R3119" s="30"/>
      <c r="S3119" s="30"/>
      <c r="T3119" s="30"/>
      <c r="U3119" s="21" t="str">
        <f aca="false">IF(COUNT(K3119:T3119)=0,"SOURCE EMPTY / INDUSTRIAL ONLY",IF(MIN(K3119:T3119)=1,"SERVICE READY","HOLD"))</f>
        <v>SOURCE EMPTY / INDUSTRIAL ONLY</v>
      </c>
      <c r="V3119" s="9" t="n">
        <f aca="false">IF(U3119="SERVICE READY",1,0)</f>
        <v>0</v>
      </c>
      <c r="W3119" s="6"/>
      <c r="X3119" s="6"/>
      <c r="Y3119" s="6"/>
      <c r="Z3119" s="6"/>
    </row>
    <row r="3120" customFormat="false" ht="15" hidden="false" customHeight="false" outlineLevel="0" collapsed="false">
      <c r="A3120" s="9" t="s">
        <v>3393</v>
      </c>
      <c r="B3120" s="9" t="s">
        <v>3329</v>
      </c>
      <c r="C3120" s="9" t="s">
        <v>3330</v>
      </c>
      <c r="D3120" s="9" t="s">
        <v>2971</v>
      </c>
      <c r="E3120" s="9" t="s">
        <v>1660</v>
      </c>
      <c r="F3120" s="9" t="s">
        <v>197</v>
      </c>
      <c r="G3120" s="9" t="s">
        <v>221</v>
      </c>
      <c r="H3120" s="9" t="n">
        <v>850</v>
      </c>
      <c r="I3120" s="29" t="n">
        <v>1</v>
      </c>
      <c r="J3120" s="9" t="n">
        <v>1</v>
      </c>
      <c r="K3120" s="30"/>
      <c r="L3120" s="30"/>
      <c r="M3120" s="30"/>
      <c r="N3120" s="30"/>
      <c r="O3120" s="30"/>
      <c r="P3120" s="30"/>
      <c r="Q3120" s="30"/>
      <c r="R3120" s="30"/>
      <c r="S3120" s="30"/>
      <c r="T3120" s="30"/>
      <c r="U3120" s="21" t="str">
        <f aca="false">IF(COUNT(K3120:T3120)=0,"SOURCE EMPTY / INDUSTRIAL ONLY",IF(MIN(K3120:T3120)=1,"SERVICE READY","HOLD"))</f>
        <v>SOURCE EMPTY / INDUSTRIAL ONLY</v>
      </c>
      <c r="V3120" s="9" t="n">
        <f aca="false">IF(U3120="SERVICE READY",1,0)</f>
        <v>0</v>
      </c>
      <c r="W3120" s="6"/>
      <c r="X3120" s="6"/>
      <c r="Y3120" s="6"/>
      <c r="Z3120" s="6"/>
    </row>
    <row r="3121" customFormat="false" ht="15" hidden="false" customHeight="false" outlineLevel="0" collapsed="false">
      <c r="A3121" s="9" t="s">
        <v>3394</v>
      </c>
      <c r="B3121" s="9" t="s">
        <v>3329</v>
      </c>
      <c r="C3121" s="9" t="s">
        <v>3330</v>
      </c>
      <c r="D3121" s="9" t="s">
        <v>2971</v>
      </c>
      <c r="E3121" s="9" t="s">
        <v>1660</v>
      </c>
      <c r="F3121" s="9" t="s">
        <v>200</v>
      </c>
      <c r="G3121" s="9" t="s">
        <v>221</v>
      </c>
      <c r="H3121" s="9" t="n">
        <v>850</v>
      </c>
      <c r="I3121" s="29" t="n">
        <v>1</v>
      </c>
      <c r="J3121" s="9" t="n">
        <v>0</v>
      </c>
      <c r="K3121" s="30"/>
      <c r="L3121" s="30"/>
      <c r="M3121" s="30"/>
      <c r="N3121" s="30"/>
      <c r="O3121" s="30"/>
      <c r="P3121" s="30"/>
      <c r="Q3121" s="30"/>
      <c r="R3121" s="30"/>
      <c r="S3121" s="30"/>
      <c r="T3121" s="30"/>
      <c r="U3121" s="21" t="str">
        <f aca="false">IF(COUNT(K3121:T3121)=0,"SOURCE EMPTY / INDUSTRIAL ONLY",IF(MIN(K3121:T3121)=1,"SERVICE READY","HOLD"))</f>
        <v>SOURCE EMPTY / INDUSTRIAL ONLY</v>
      </c>
      <c r="V3121" s="9" t="n">
        <f aca="false">IF(U3121="SERVICE READY",1,0)</f>
        <v>0</v>
      </c>
      <c r="W3121" s="6"/>
      <c r="X3121" s="6"/>
      <c r="Y3121" s="6"/>
      <c r="Z3121" s="6"/>
    </row>
    <row r="3122" customFormat="false" ht="15" hidden="false" customHeight="false" outlineLevel="0" collapsed="false">
      <c r="A3122" s="9" t="s">
        <v>3395</v>
      </c>
      <c r="B3122" s="9" t="s">
        <v>3329</v>
      </c>
      <c r="C3122" s="9" t="s">
        <v>3330</v>
      </c>
      <c r="D3122" s="9" t="s">
        <v>2971</v>
      </c>
      <c r="E3122" s="9" t="s">
        <v>1660</v>
      </c>
      <c r="F3122" s="9" t="s">
        <v>203</v>
      </c>
      <c r="G3122" s="9" t="s">
        <v>221</v>
      </c>
      <c r="H3122" s="9" t="n">
        <v>850</v>
      </c>
      <c r="I3122" s="29" t="n">
        <v>1</v>
      </c>
      <c r="J3122" s="9" t="n">
        <v>0</v>
      </c>
      <c r="K3122" s="30"/>
      <c r="L3122" s="30"/>
      <c r="M3122" s="30"/>
      <c r="N3122" s="30"/>
      <c r="O3122" s="30"/>
      <c r="P3122" s="30"/>
      <c r="Q3122" s="30"/>
      <c r="R3122" s="30"/>
      <c r="S3122" s="30"/>
      <c r="T3122" s="30"/>
      <c r="U3122" s="21" t="str">
        <f aca="false">IF(COUNT(K3122:T3122)=0,"SOURCE EMPTY / INDUSTRIAL ONLY",IF(MIN(K3122:T3122)=1,"SERVICE READY","HOLD"))</f>
        <v>SOURCE EMPTY / INDUSTRIAL ONLY</v>
      </c>
      <c r="V3122" s="9" t="n">
        <f aca="false">IF(U3122="SERVICE READY",1,0)</f>
        <v>0</v>
      </c>
      <c r="W3122" s="6"/>
      <c r="X3122" s="6"/>
      <c r="Y3122" s="6"/>
      <c r="Z3122" s="6"/>
    </row>
    <row r="3123" customFormat="false" ht="15" hidden="false" customHeight="false" outlineLevel="0" collapsed="false">
      <c r="A3123" s="9" t="s">
        <v>3396</v>
      </c>
      <c r="B3123" s="9" t="s">
        <v>3329</v>
      </c>
      <c r="C3123" s="9" t="s">
        <v>3330</v>
      </c>
      <c r="D3123" s="9" t="s">
        <v>2971</v>
      </c>
      <c r="E3123" s="9" t="s">
        <v>1660</v>
      </c>
      <c r="F3123" s="9" t="s">
        <v>205</v>
      </c>
      <c r="G3123" s="9" t="s">
        <v>221</v>
      </c>
      <c r="H3123" s="9" t="n">
        <v>850</v>
      </c>
      <c r="I3123" s="29" t="n">
        <v>1</v>
      </c>
      <c r="J3123" s="9" t="n">
        <v>0</v>
      </c>
      <c r="K3123" s="30"/>
      <c r="L3123" s="30"/>
      <c r="M3123" s="30"/>
      <c r="N3123" s="30"/>
      <c r="O3123" s="30"/>
      <c r="P3123" s="30"/>
      <c r="Q3123" s="30"/>
      <c r="R3123" s="30"/>
      <c r="S3123" s="30"/>
      <c r="T3123" s="30"/>
      <c r="U3123" s="21" t="str">
        <f aca="false">IF(COUNT(K3123:T3123)=0,"SOURCE EMPTY / INDUSTRIAL ONLY",IF(MIN(K3123:T3123)=1,"SERVICE READY","HOLD"))</f>
        <v>SOURCE EMPTY / INDUSTRIAL ONLY</v>
      </c>
      <c r="V3123" s="9" t="n">
        <f aca="false">IF(U3123="SERVICE READY",1,0)</f>
        <v>0</v>
      </c>
      <c r="W3123" s="6"/>
      <c r="X3123" s="6"/>
      <c r="Y3123" s="6"/>
      <c r="Z3123" s="6"/>
    </row>
    <row r="3124" customFormat="false" ht="15" hidden="false" customHeight="false" outlineLevel="0" collapsed="false">
      <c r="A3124" s="9" t="s">
        <v>3397</v>
      </c>
      <c r="B3124" s="9" t="s">
        <v>3329</v>
      </c>
      <c r="C3124" s="9" t="s">
        <v>3330</v>
      </c>
      <c r="D3124" s="9" t="s">
        <v>2971</v>
      </c>
      <c r="E3124" s="9" t="s">
        <v>1660</v>
      </c>
      <c r="F3124" s="9" t="s">
        <v>207</v>
      </c>
      <c r="G3124" s="9" t="s">
        <v>221</v>
      </c>
      <c r="H3124" s="9" t="n">
        <v>850</v>
      </c>
      <c r="I3124" s="29" t="n">
        <v>1</v>
      </c>
      <c r="J3124" s="9" t="n">
        <v>0</v>
      </c>
      <c r="K3124" s="30"/>
      <c r="L3124" s="30"/>
      <c r="M3124" s="30"/>
      <c r="N3124" s="30"/>
      <c r="O3124" s="30"/>
      <c r="P3124" s="30"/>
      <c r="Q3124" s="30"/>
      <c r="R3124" s="30"/>
      <c r="S3124" s="30"/>
      <c r="T3124" s="30"/>
      <c r="U3124" s="21" t="str">
        <f aca="false">IF(COUNT(K3124:T3124)=0,"SOURCE EMPTY / INDUSTRIAL ONLY",IF(MIN(K3124:T3124)=1,"SERVICE READY","HOLD"))</f>
        <v>SOURCE EMPTY / INDUSTRIAL ONLY</v>
      </c>
      <c r="V3124" s="9" t="n">
        <f aca="false">IF(U3124="SERVICE READY",1,0)</f>
        <v>0</v>
      </c>
      <c r="W3124" s="6"/>
      <c r="X3124" s="6"/>
      <c r="Y3124" s="6"/>
      <c r="Z3124" s="6"/>
    </row>
    <row r="3125" customFormat="false" ht="15" hidden="false" customHeight="false" outlineLevel="0" collapsed="false">
      <c r="A3125" s="9" t="s">
        <v>3398</v>
      </c>
      <c r="B3125" s="9" t="s">
        <v>3329</v>
      </c>
      <c r="C3125" s="9" t="s">
        <v>3330</v>
      </c>
      <c r="D3125" s="9" t="s">
        <v>2971</v>
      </c>
      <c r="E3125" s="9" t="s">
        <v>1660</v>
      </c>
      <c r="F3125" s="9" t="s">
        <v>209</v>
      </c>
      <c r="G3125" s="9" t="s">
        <v>221</v>
      </c>
      <c r="H3125" s="9" t="n">
        <v>850</v>
      </c>
      <c r="I3125" s="29" t="n">
        <v>1</v>
      </c>
      <c r="J3125" s="9" t="n">
        <v>0</v>
      </c>
      <c r="K3125" s="30"/>
      <c r="L3125" s="30"/>
      <c r="M3125" s="30"/>
      <c r="N3125" s="30"/>
      <c r="O3125" s="30"/>
      <c r="P3125" s="30"/>
      <c r="Q3125" s="30"/>
      <c r="R3125" s="30"/>
      <c r="S3125" s="30"/>
      <c r="T3125" s="30"/>
      <c r="U3125" s="21" t="str">
        <f aca="false">IF(COUNT(K3125:T3125)=0,"SOURCE EMPTY / INDUSTRIAL ONLY",IF(MIN(K3125:T3125)=1,"SERVICE READY","HOLD"))</f>
        <v>SOURCE EMPTY / INDUSTRIAL ONLY</v>
      </c>
      <c r="V3125" s="9" t="n">
        <f aca="false">IF(U3125="SERVICE READY",1,0)</f>
        <v>0</v>
      </c>
      <c r="W3125" s="6"/>
      <c r="X3125" s="6"/>
      <c r="Y3125" s="6"/>
      <c r="Z3125" s="6"/>
    </row>
    <row r="3126" customFormat="false" ht="15" hidden="false" customHeight="false" outlineLevel="0" collapsed="false">
      <c r="A3126" s="9" t="s">
        <v>3399</v>
      </c>
      <c r="B3126" s="9" t="s">
        <v>3329</v>
      </c>
      <c r="C3126" s="9" t="s">
        <v>3330</v>
      </c>
      <c r="D3126" s="9" t="s">
        <v>2971</v>
      </c>
      <c r="E3126" s="9" t="s">
        <v>1660</v>
      </c>
      <c r="F3126" s="9" t="s">
        <v>211</v>
      </c>
      <c r="G3126" s="9" t="s">
        <v>221</v>
      </c>
      <c r="H3126" s="9" t="n">
        <v>850</v>
      </c>
      <c r="I3126" s="29" t="n">
        <v>1</v>
      </c>
      <c r="J3126" s="9" t="n">
        <v>0</v>
      </c>
      <c r="K3126" s="30"/>
      <c r="L3126" s="30"/>
      <c r="M3126" s="30"/>
      <c r="N3126" s="30"/>
      <c r="O3126" s="30"/>
      <c r="P3126" s="30"/>
      <c r="Q3126" s="30"/>
      <c r="R3126" s="30"/>
      <c r="S3126" s="30"/>
      <c r="T3126" s="30"/>
      <c r="U3126" s="21" t="str">
        <f aca="false">IF(COUNT(K3126:T3126)=0,"SOURCE EMPTY / INDUSTRIAL ONLY",IF(MIN(K3126:T3126)=1,"SERVICE READY","HOLD"))</f>
        <v>SOURCE EMPTY / INDUSTRIAL ONLY</v>
      </c>
      <c r="V3126" s="9" t="n">
        <f aca="false">IF(U3126="SERVICE READY",1,0)</f>
        <v>0</v>
      </c>
      <c r="W3126" s="6"/>
      <c r="X3126" s="6"/>
      <c r="Y3126" s="6"/>
      <c r="Z3126" s="6"/>
    </row>
    <row r="3127" customFormat="false" ht="15" hidden="false" customHeight="false" outlineLevel="0" collapsed="false">
      <c r="A3127" s="9" t="s">
        <v>3400</v>
      </c>
      <c r="B3127" s="9" t="s">
        <v>3329</v>
      </c>
      <c r="C3127" s="9" t="s">
        <v>3330</v>
      </c>
      <c r="D3127" s="9" t="s">
        <v>2971</v>
      </c>
      <c r="E3127" s="9" t="s">
        <v>1660</v>
      </c>
      <c r="F3127" s="9" t="s">
        <v>197</v>
      </c>
      <c r="G3127" s="9" t="s">
        <v>221</v>
      </c>
      <c r="H3127" s="9" t="n">
        <v>850</v>
      </c>
      <c r="I3127" s="29" t="n">
        <v>1</v>
      </c>
      <c r="J3127" s="9" t="n">
        <v>0</v>
      </c>
      <c r="K3127" s="30"/>
      <c r="L3127" s="30"/>
      <c r="M3127" s="30"/>
      <c r="N3127" s="30"/>
      <c r="O3127" s="30"/>
      <c r="P3127" s="30"/>
      <c r="Q3127" s="30"/>
      <c r="R3127" s="30"/>
      <c r="S3127" s="30"/>
      <c r="T3127" s="30"/>
      <c r="U3127" s="21" t="str">
        <f aca="false">IF(COUNT(K3127:T3127)=0,"SOURCE EMPTY / INDUSTRIAL ONLY",IF(MIN(K3127:T3127)=1,"SERVICE READY","HOLD"))</f>
        <v>SOURCE EMPTY / INDUSTRIAL ONLY</v>
      </c>
      <c r="V3127" s="9" t="n">
        <f aca="false">IF(U3127="SERVICE READY",1,0)</f>
        <v>0</v>
      </c>
      <c r="W3127" s="6"/>
      <c r="X3127" s="6"/>
      <c r="Y3127" s="6"/>
      <c r="Z3127" s="6"/>
    </row>
    <row r="3128" customFormat="false" ht="15" hidden="false" customHeight="false" outlineLevel="0" collapsed="false">
      <c r="A3128" s="9" t="s">
        <v>3401</v>
      </c>
      <c r="B3128" s="9" t="s">
        <v>3329</v>
      </c>
      <c r="C3128" s="9" t="s">
        <v>3330</v>
      </c>
      <c r="D3128" s="9" t="s">
        <v>2971</v>
      </c>
      <c r="E3128" s="9" t="s">
        <v>1660</v>
      </c>
      <c r="F3128" s="9" t="s">
        <v>200</v>
      </c>
      <c r="G3128" s="9" t="s">
        <v>221</v>
      </c>
      <c r="H3128" s="9" t="n">
        <v>850</v>
      </c>
      <c r="I3128" s="29" t="n">
        <v>1</v>
      </c>
      <c r="J3128" s="9" t="n">
        <v>0</v>
      </c>
      <c r="K3128" s="30"/>
      <c r="L3128" s="30"/>
      <c r="M3128" s="30"/>
      <c r="N3128" s="30"/>
      <c r="O3128" s="30"/>
      <c r="P3128" s="30"/>
      <c r="Q3128" s="30"/>
      <c r="R3128" s="30"/>
      <c r="S3128" s="30"/>
      <c r="T3128" s="30"/>
      <c r="U3128" s="21" t="str">
        <f aca="false">IF(COUNT(K3128:T3128)=0,"SOURCE EMPTY / INDUSTRIAL ONLY",IF(MIN(K3128:T3128)=1,"SERVICE READY","HOLD"))</f>
        <v>SOURCE EMPTY / INDUSTRIAL ONLY</v>
      </c>
      <c r="V3128" s="9" t="n">
        <f aca="false">IF(U3128="SERVICE READY",1,0)</f>
        <v>0</v>
      </c>
      <c r="W3128" s="6"/>
      <c r="X3128" s="6"/>
      <c r="Y3128" s="6"/>
      <c r="Z3128" s="6"/>
    </row>
    <row r="3129" customFormat="false" ht="15" hidden="false" customHeight="false" outlineLevel="0" collapsed="false">
      <c r="A3129" s="9" t="s">
        <v>3402</v>
      </c>
      <c r="B3129" s="9" t="s">
        <v>3329</v>
      </c>
      <c r="C3129" s="9" t="s">
        <v>3330</v>
      </c>
      <c r="D3129" s="9" t="s">
        <v>2971</v>
      </c>
      <c r="E3129" s="9" t="s">
        <v>1660</v>
      </c>
      <c r="F3129" s="9" t="s">
        <v>203</v>
      </c>
      <c r="G3129" s="9" t="s">
        <v>221</v>
      </c>
      <c r="H3129" s="9" t="n">
        <v>850</v>
      </c>
      <c r="I3129" s="29" t="n">
        <v>1</v>
      </c>
      <c r="J3129" s="9" t="n">
        <v>0</v>
      </c>
      <c r="K3129" s="30"/>
      <c r="L3129" s="30"/>
      <c r="M3129" s="30"/>
      <c r="N3129" s="30"/>
      <c r="O3129" s="30"/>
      <c r="P3129" s="30"/>
      <c r="Q3129" s="30"/>
      <c r="R3129" s="30"/>
      <c r="S3129" s="30"/>
      <c r="T3129" s="30"/>
      <c r="U3129" s="21" t="str">
        <f aca="false">IF(COUNT(K3129:T3129)=0,"SOURCE EMPTY / INDUSTRIAL ONLY",IF(MIN(K3129:T3129)=1,"SERVICE READY","HOLD"))</f>
        <v>SOURCE EMPTY / INDUSTRIAL ONLY</v>
      </c>
      <c r="V3129" s="9" t="n">
        <f aca="false">IF(U3129="SERVICE READY",1,0)</f>
        <v>0</v>
      </c>
      <c r="W3129" s="6"/>
      <c r="X3129" s="6"/>
      <c r="Y3129" s="6"/>
      <c r="Z3129" s="6"/>
    </row>
    <row r="3130" customFormat="false" ht="15" hidden="false" customHeight="false" outlineLevel="0" collapsed="false">
      <c r="A3130" s="9" t="s">
        <v>3403</v>
      </c>
      <c r="B3130" s="9" t="s">
        <v>3329</v>
      </c>
      <c r="C3130" s="9" t="s">
        <v>3330</v>
      </c>
      <c r="D3130" s="9" t="s">
        <v>2971</v>
      </c>
      <c r="E3130" s="9" t="s">
        <v>1660</v>
      </c>
      <c r="F3130" s="9" t="s">
        <v>205</v>
      </c>
      <c r="G3130" s="9" t="s">
        <v>221</v>
      </c>
      <c r="H3130" s="9" t="n">
        <v>850</v>
      </c>
      <c r="I3130" s="29" t="n">
        <v>1</v>
      </c>
      <c r="J3130" s="9" t="n">
        <v>0</v>
      </c>
      <c r="K3130" s="30"/>
      <c r="L3130" s="30"/>
      <c r="M3130" s="30"/>
      <c r="N3130" s="30"/>
      <c r="O3130" s="30"/>
      <c r="P3130" s="30"/>
      <c r="Q3130" s="30"/>
      <c r="R3130" s="30"/>
      <c r="S3130" s="30"/>
      <c r="T3130" s="30"/>
      <c r="U3130" s="21" t="str">
        <f aca="false">IF(COUNT(K3130:T3130)=0,"SOURCE EMPTY / INDUSTRIAL ONLY",IF(MIN(K3130:T3130)=1,"SERVICE READY","HOLD"))</f>
        <v>SOURCE EMPTY / INDUSTRIAL ONLY</v>
      </c>
      <c r="V3130" s="9" t="n">
        <f aca="false">IF(U3130="SERVICE READY",1,0)</f>
        <v>0</v>
      </c>
      <c r="W3130" s="6"/>
      <c r="X3130" s="6"/>
      <c r="Y3130" s="6"/>
      <c r="Z3130" s="6"/>
    </row>
    <row r="3131" customFormat="false" ht="15" hidden="false" customHeight="false" outlineLevel="0" collapsed="false">
      <c r="A3131" s="9" t="s">
        <v>3404</v>
      </c>
      <c r="B3131" s="9" t="s">
        <v>3329</v>
      </c>
      <c r="C3131" s="9" t="s">
        <v>3330</v>
      </c>
      <c r="D3131" s="9" t="s">
        <v>2971</v>
      </c>
      <c r="E3131" s="9" t="s">
        <v>1660</v>
      </c>
      <c r="F3131" s="9" t="s">
        <v>207</v>
      </c>
      <c r="G3131" s="9" t="s">
        <v>221</v>
      </c>
      <c r="H3131" s="9" t="n">
        <v>850</v>
      </c>
      <c r="I3131" s="29" t="n">
        <v>1</v>
      </c>
      <c r="J3131" s="9" t="n">
        <v>0</v>
      </c>
      <c r="K3131" s="30"/>
      <c r="L3131" s="30"/>
      <c r="M3131" s="30"/>
      <c r="N3131" s="30"/>
      <c r="O3131" s="30"/>
      <c r="P3131" s="30"/>
      <c r="Q3131" s="30"/>
      <c r="R3131" s="30"/>
      <c r="S3131" s="30"/>
      <c r="T3131" s="30"/>
      <c r="U3131" s="21" t="str">
        <f aca="false">IF(COUNT(K3131:T3131)=0,"SOURCE EMPTY / INDUSTRIAL ONLY",IF(MIN(K3131:T3131)=1,"SERVICE READY","HOLD"))</f>
        <v>SOURCE EMPTY / INDUSTRIAL ONLY</v>
      </c>
      <c r="V3131" s="9" t="n">
        <f aca="false">IF(U3131="SERVICE READY",1,0)</f>
        <v>0</v>
      </c>
      <c r="W3131" s="6"/>
      <c r="X3131" s="6"/>
      <c r="Y3131" s="6"/>
      <c r="Z3131" s="6"/>
    </row>
    <row r="3132" customFormat="false" ht="15" hidden="false" customHeight="false" outlineLevel="0" collapsed="false">
      <c r="A3132" s="9" t="s">
        <v>3405</v>
      </c>
      <c r="B3132" s="9" t="s">
        <v>3329</v>
      </c>
      <c r="C3132" s="9" t="s">
        <v>3330</v>
      </c>
      <c r="D3132" s="9" t="s">
        <v>2971</v>
      </c>
      <c r="E3132" s="9" t="s">
        <v>1660</v>
      </c>
      <c r="F3132" s="9" t="s">
        <v>209</v>
      </c>
      <c r="G3132" s="9" t="s">
        <v>221</v>
      </c>
      <c r="H3132" s="9" t="n">
        <v>850</v>
      </c>
      <c r="I3132" s="29" t="n">
        <v>1</v>
      </c>
      <c r="J3132" s="9" t="n">
        <v>0</v>
      </c>
      <c r="K3132" s="30"/>
      <c r="L3132" s="30"/>
      <c r="M3132" s="30"/>
      <c r="N3132" s="30"/>
      <c r="O3132" s="30"/>
      <c r="P3132" s="30"/>
      <c r="Q3132" s="30"/>
      <c r="R3132" s="30"/>
      <c r="S3132" s="30"/>
      <c r="T3132" s="30"/>
      <c r="U3132" s="21" t="str">
        <f aca="false">IF(COUNT(K3132:T3132)=0,"SOURCE EMPTY / INDUSTRIAL ONLY",IF(MIN(K3132:T3132)=1,"SERVICE READY","HOLD"))</f>
        <v>SOURCE EMPTY / INDUSTRIAL ONLY</v>
      </c>
      <c r="V3132" s="9" t="n">
        <f aca="false">IF(U3132="SERVICE READY",1,0)</f>
        <v>0</v>
      </c>
      <c r="W3132" s="6"/>
      <c r="X3132" s="6"/>
      <c r="Y3132" s="6"/>
      <c r="Z3132" s="6"/>
    </row>
    <row r="3133" customFormat="false" ht="15" hidden="false" customHeight="false" outlineLevel="0" collapsed="false">
      <c r="A3133" s="9" t="s">
        <v>3406</v>
      </c>
      <c r="B3133" s="9" t="s">
        <v>3329</v>
      </c>
      <c r="C3133" s="9" t="s">
        <v>3330</v>
      </c>
      <c r="D3133" s="9" t="s">
        <v>2971</v>
      </c>
      <c r="E3133" s="9" t="s">
        <v>1660</v>
      </c>
      <c r="F3133" s="9" t="s">
        <v>211</v>
      </c>
      <c r="G3133" s="9" t="s">
        <v>221</v>
      </c>
      <c r="H3133" s="9" t="n">
        <v>850</v>
      </c>
      <c r="I3133" s="29" t="n">
        <v>1</v>
      </c>
      <c r="J3133" s="9" t="n">
        <v>0</v>
      </c>
      <c r="K3133" s="30"/>
      <c r="L3133" s="30"/>
      <c r="M3133" s="30"/>
      <c r="N3133" s="30"/>
      <c r="O3133" s="30"/>
      <c r="P3133" s="30"/>
      <c r="Q3133" s="30"/>
      <c r="R3133" s="30"/>
      <c r="S3133" s="30"/>
      <c r="T3133" s="30"/>
      <c r="U3133" s="21" t="str">
        <f aca="false">IF(COUNT(K3133:T3133)=0,"SOURCE EMPTY / INDUSTRIAL ONLY",IF(MIN(K3133:T3133)=1,"SERVICE READY","HOLD"))</f>
        <v>SOURCE EMPTY / INDUSTRIAL ONLY</v>
      </c>
      <c r="V3133" s="9" t="n">
        <f aca="false">IF(U3133="SERVICE READY",1,0)</f>
        <v>0</v>
      </c>
      <c r="W3133" s="6"/>
      <c r="X3133" s="6"/>
      <c r="Y3133" s="6"/>
      <c r="Z3133" s="6"/>
    </row>
    <row r="3134" customFormat="false" ht="15" hidden="false" customHeight="false" outlineLevel="0" collapsed="false">
      <c r="A3134" s="9" t="s">
        <v>3407</v>
      </c>
      <c r="B3134" s="9" t="s">
        <v>3329</v>
      </c>
      <c r="C3134" s="9" t="s">
        <v>3330</v>
      </c>
      <c r="D3134" s="9" t="s">
        <v>2971</v>
      </c>
      <c r="E3134" s="9" t="s">
        <v>1660</v>
      </c>
      <c r="F3134" s="9" t="s">
        <v>197</v>
      </c>
      <c r="G3134" s="9" t="s">
        <v>221</v>
      </c>
      <c r="H3134" s="9" t="n">
        <v>850</v>
      </c>
      <c r="I3134" s="29" t="n">
        <v>1</v>
      </c>
      <c r="J3134" s="9" t="n">
        <v>0</v>
      </c>
      <c r="K3134" s="30"/>
      <c r="L3134" s="30"/>
      <c r="M3134" s="30"/>
      <c r="N3134" s="30"/>
      <c r="O3134" s="30"/>
      <c r="P3134" s="30"/>
      <c r="Q3134" s="30"/>
      <c r="R3134" s="30"/>
      <c r="S3134" s="30"/>
      <c r="T3134" s="30"/>
      <c r="U3134" s="21" t="str">
        <f aca="false">IF(COUNT(K3134:T3134)=0,"SOURCE EMPTY / INDUSTRIAL ONLY",IF(MIN(K3134:T3134)=1,"SERVICE READY","HOLD"))</f>
        <v>SOURCE EMPTY / INDUSTRIAL ONLY</v>
      </c>
      <c r="V3134" s="9" t="n">
        <f aca="false">IF(U3134="SERVICE READY",1,0)</f>
        <v>0</v>
      </c>
      <c r="W3134" s="6"/>
      <c r="X3134" s="6"/>
      <c r="Y3134" s="6"/>
      <c r="Z3134" s="6"/>
    </row>
    <row r="3135" customFormat="false" ht="15" hidden="false" customHeight="false" outlineLevel="0" collapsed="false">
      <c r="A3135" s="9" t="s">
        <v>3408</v>
      </c>
      <c r="B3135" s="9" t="s">
        <v>3329</v>
      </c>
      <c r="C3135" s="9" t="s">
        <v>3330</v>
      </c>
      <c r="D3135" s="9" t="s">
        <v>2971</v>
      </c>
      <c r="E3135" s="9" t="s">
        <v>1660</v>
      </c>
      <c r="F3135" s="9" t="s">
        <v>200</v>
      </c>
      <c r="G3135" s="9" t="s">
        <v>221</v>
      </c>
      <c r="H3135" s="9" t="n">
        <v>850</v>
      </c>
      <c r="I3135" s="29" t="n">
        <v>1</v>
      </c>
      <c r="J3135" s="9" t="n">
        <v>0</v>
      </c>
      <c r="K3135" s="30"/>
      <c r="L3135" s="30"/>
      <c r="M3135" s="30"/>
      <c r="N3135" s="30"/>
      <c r="O3135" s="30"/>
      <c r="P3135" s="30"/>
      <c r="Q3135" s="30"/>
      <c r="R3135" s="30"/>
      <c r="S3135" s="30"/>
      <c r="T3135" s="30"/>
      <c r="U3135" s="21" t="str">
        <f aca="false">IF(COUNT(K3135:T3135)=0,"SOURCE EMPTY / INDUSTRIAL ONLY",IF(MIN(K3135:T3135)=1,"SERVICE READY","HOLD"))</f>
        <v>SOURCE EMPTY / INDUSTRIAL ONLY</v>
      </c>
      <c r="V3135" s="9" t="n">
        <f aca="false">IF(U3135="SERVICE READY",1,0)</f>
        <v>0</v>
      </c>
      <c r="W3135" s="6"/>
      <c r="X3135" s="6"/>
      <c r="Y3135" s="6"/>
      <c r="Z3135" s="6"/>
    </row>
    <row r="3136" customFormat="false" ht="15" hidden="false" customHeight="false" outlineLevel="0" collapsed="false">
      <c r="A3136" s="9" t="s">
        <v>3409</v>
      </c>
      <c r="B3136" s="9" t="s">
        <v>3329</v>
      </c>
      <c r="C3136" s="9" t="s">
        <v>3330</v>
      </c>
      <c r="D3136" s="9" t="s">
        <v>2971</v>
      </c>
      <c r="E3136" s="9" t="s">
        <v>1660</v>
      </c>
      <c r="F3136" s="9" t="s">
        <v>203</v>
      </c>
      <c r="G3136" s="9" t="s">
        <v>221</v>
      </c>
      <c r="H3136" s="9" t="n">
        <v>850</v>
      </c>
      <c r="I3136" s="29" t="n">
        <v>1</v>
      </c>
      <c r="J3136" s="9" t="n">
        <v>0</v>
      </c>
      <c r="K3136" s="30"/>
      <c r="L3136" s="30"/>
      <c r="M3136" s="30"/>
      <c r="N3136" s="30"/>
      <c r="O3136" s="30"/>
      <c r="P3136" s="30"/>
      <c r="Q3136" s="30"/>
      <c r="R3136" s="30"/>
      <c r="S3136" s="30"/>
      <c r="T3136" s="30"/>
      <c r="U3136" s="21" t="str">
        <f aca="false">IF(COUNT(K3136:T3136)=0,"SOURCE EMPTY / INDUSTRIAL ONLY",IF(MIN(K3136:T3136)=1,"SERVICE READY","HOLD"))</f>
        <v>SOURCE EMPTY / INDUSTRIAL ONLY</v>
      </c>
      <c r="V3136" s="9" t="n">
        <f aca="false">IF(U3136="SERVICE READY",1,0)</f>
        <v>0</v>
      </c>
      <c r="W3136" s="6"/>
      <c r="X3136" s="6"/>
      <c r="Y3136" s="6"/>
      <c r="Z3136" s="6"/>
    </row>
    <row r="3137" customFormat="false" ht="15" hidden="false" customHeight="false" outlineLevel="0" collapsed="false">
      <c r="A3137" s="9" t="s">
        <v>3410</v>
      </c>
      <c r="B3137" s="9" t="s">
        <v>3329</v>
      </c>
      <c r="C3137" s="9" t="s">
        <v>3330</v>
      </c>
      <c r="D3137" s="9" t="s">
        <v>2971</v>
      </c>
      <c r="E3137" s="9" t="s">
        <v>1660</v>
      </c>
      <c r="F3137" s="9" t="s">
        <v>205</v>
      </c>
      <c r="G3137" s="9" t="s">
        <v>221</v>
      </c>
      <c r="H3137" s="9" t="n">
        <v>850</v>
      </c>
      <c r="I3137" s="29" t="n">
        <v>1</v>
      </c>
      <c r="J3137" s="9" t="n">
        <v>0</v>
      </c>
      <c r="K3137" s="30"/>
      <c r="L3137" s="30"/>
      <c r="M3137" s="30"/>
      <c r="N3137" s="30"/>
      <c r="O3137" s="30"/>
      <c r="P3137" s="30"/>
      <c r="Q3137" s="30"/>
      <c r="R3137" s="30"/>
      <c r="S3137" s="30"/>
      <c r="T3137" s="30"/>
      <c r="U3137" s="21" t="str">
        <f aca="false">IF(COUNT(K3137:T3137)=0,"SOURCE EMPTY / INDUSTRIAL ONLY",IF(MIN(K3137:T3137)=1,"SERVICE READY","HOLD"))</f>
        <v>SOURCE EMPTY / INDUSTRIAL ONLY</v>
      </c>
      <c r="V3137" s="9" t="n">
        <f aca="false">IF(U3137="SERVICE READY",1,0)</f>
        <v>0</v>
      </c>
      <c r="W3137" s="6"/>
      <c r="X3137" s="6"/>
      <c r="Y3137" s="6"/>
      <c r="Z3137" s="6"/>
    </row>
    <row r="3138" customFormat="false" ht="15" hidden="false" customHeight="false" outlineLevel="0" collapsed="false">
      <c r="A3138" s="9" t="s">
        <v>3411</v>
      </c>
      <c r="B3138" s="9" t="s">
        <v>3329</v>
      </c>
      <c r="C3138" s="9" t="s">
        <v>3330</v>
      </c>
      <c r="D3138" s="9" t="s">
        <v>2971</v>
      </c>
      <c r="E3138" s="9" t="s">
        <v>1660</v>
      </c>
      <c r="F3138" s="9" t="s">
        <v>207</v>
      </c>
      <c r="G3138" s="9" t="s">
        <v>221</v>
      </c>
      <c r="H3138" s="9" t="n">
        <v>850</v>
      </c>
      <c r="I3138" s="29" t="n">
        <v>1</v>
      </c>
      <c r="J3138" s="9" t="n">
        <v>0</v>
      </c>
      <c r="K3138" s="30"/>
      <c r="L3138" s="30"/>
      <c r="M3138" s="30"/>
      <c r="N3138" s="30"/>
      <c r="O3138" s="30"/>
      <c r="P3138" s="30"/>
      <c r="Q3138" s="30"/>
      <c r="R3138" s="30"/>
      <c r="S3138" s="30"/>
      <c r="T3138" s="30"/>
      <c r="U3138" s="21" t="str">
        <f aca="false">IF(COUNT(K3138:T3138)=0,"SOURCE EMPTY / INDUSTRIAL ONLY",IF(MIN(K3138:T3138)=1,"SERVICE READY","HOLD"))</f>
        <v>SOURCE EMPTY / INDUSTRIAL ONLY</v>
      </c>
      <c r="V3138" s="9" t="n">
        <f aca="false">IF(U3138="SERVICE READY",1,0)</f>
        <v>0</v>
      </c>
      <c r="W3138" s="6"/>
      <c r="X3138" s="6"/>
      <c r="Y3138" s="6"/>
      <c r="Z3138" s="6"/>
    </row>
    <row r="3139" customFormat="false" ht="15" hidden="false" customHeight="false" outlineLevel="0" collapsed="false">
      <c r="A3139" s="9" t="s">
        <v>3412</v>
      </c>
      <c r="B3139" s="9" t="s">
        <v>3329</v>
      </c>
      <c r="C3139" s="9" t="s">
        <v>3330</v>
      </c>
      <c r="D3139" s="9" t="s">
        <v>2971</v>
      </c>
      <c r="E3139" s="9" t="s">
        <v>1660</v>
      </c>
      <c r="F3139" s="9" t="s">
        <v>209</v>
      </c>
      <c r="G3139" s="9" t="s">
        <v>221</v>
      </c>
      <c r="H3139" s="9" t="n">
        <v>850</v>
      </c>
      <c r="I3139" s="29" t="n">
        <v>1</v>
      </c>
      <c r="J3139" s="9" t="n">
        <v>0</v>
      </c>
      <c r="K3139" s="30"/>
      <c r="L3139" s="30"/>
      <c r="M3139" s="30"/>
      <c r="N3139" s="30"/>
      <c r="O3139" s="30"/>
      <c r="P3139" s="30"/>
      <c r="Q3139" s="30"/>
      <c r="R3139" s="30"/>
      <c r="S3139" s="30"/>
      <c r="T3139" s="30"/>
      <c r="U3139" s="21" t="str">
        <f aca="false">IF(COUNT(K3139:T3139)=0,"SOURCE EMPTY / INDUSTRIAL ONLY",IF(MIN(K3139:T3139)=1,"SERVICE READY","HOLD"))</f>
        <v>SOURCE EMPTY / INDUSTRIAL ONLY</v>
      </c>
      <c r="V3139" s="9" t="n">
        <f aca="false">IF(U3139="SERVICE READY",1,0)</f>
        <v>0</v>
      </c>
      <c r="W3139" s="6"/>
      <c r="X3139" s="6"/>
      <c r="Y3139" s="6"/>
      <c r="Z3139" s="6"/>
    </row>
    <row r="3140" customFormat="false" ht="15" hidden="false" customHeight="false" outlineLevel="0" collapsed="false">
      <c r="A3140" s="9" t="s">
        <v>3413</v>
      </c>
      <c r="B3140" s="9" t="s">
        <v>3329</v>
      </c>
      <c r="C3140" s="9" t="s">
        <v>3330</v>
      </c>
      <c r="D3140" s="9" t="s">
        <v>2971</v>
      </c>
      <c r="E3140" s="9" t="s">
        <v>1660</v>
      </c>
      <c r="F3140" s="9" t="s">
        <v>211</v>
      </c>
      <c r="G3140" s="9" t="s">
        <v>221</v>
      </c>
      <c r="H3140" s="9" t="n">
        <v>850</v>
      </c>
      <c r="I3140" s="29" t="n">
        <v>1</v>
      </c>
      <c r="J3140" s="9" t="n">
        <v>0</v>
      </c>
      <c r="K3140" s="30"/>
      <c r="L3140" s="30"/>
      <c r="M3140" s="30"/>
      <c r="N3140" s="30"/>
      <c r="O3140" s="30"/>
      <c r="P3140" s="30"/>
      <c r="Q3140" s="30"/>
      <c r="R3140" s="30"/>
      <c r="S3140" s="30"/>
      <c r="T3140" s="30"/>
      <c r="U3140" s="21" t="str">
        <f aca="false">IF(COUNT(K3140:T3140)=0,"SOURCE EMPTY / INDUSTRIAL ONLY",IF(MIN(K3140:T3140)=1,"SERVICE READY","HOLD"))</f>
        <v>SOURCE EMPTY / INDUSTRIAL ONLY</v>
      </c>
      <c r="V3140" s="9" t="n">
        <f aca="false">IF(U3140="SERVICE READY",1,0)</f>
        <v>0</v>
      </c>
      <c r="W3140" s="6"/>
      <c r="X3140" s="6"/>
      <c r="Y3140" s="6"/>
      <c r="Z3140" s="6"/>
    </row>
    <row r="3141" customFormat="false" ht="15" hidden="false" customHeight="false" outlineLevel="0" collapsed="false">
      <c r="A3141" s="9" t="s">
        <v>3414</v>
      </c>
      <c r="B3141" s="9" t="s">
        <v>3329</v>
      </c>
      <c r="C3141" s="9" t="s">
        <v>3330</v>
      </c>
      <c r="D3141" s="9" t="s">
        <v>2971</v>
      </c>
      <c r="E3141" s="9" t="s">
        <v>1660</v>
      </c>
      <c r="F3141" s="9" t="s">
        <v>197</v>
      </c>
      <c r="G3141" s="9" t="s">
        <v>221</v>
      </c>
      <c r="H3141" s="9" t="n">
        <v>850</v>
      </c>
      <c r="I3141" s="29" t="n">
        <v>1</v>
      </c>
      <c r="J3141" s="9" t="n">
        <v>0</v>
      </c>
      <c r="K3141" s="30"/>
      <c r="L3141" s="30"/>
      <c r="M3141" s="30"/>
      <c r="N3141" s="30"/>
      <c r="O3141" s="30"/>
      <c r="P3141" s="30"/>
      <c r="Q3141" s="30"/>
      <c r="R3141" s="30"/>
      <c r="S3141" s="30"/>
      <c r="T3141" s="30"/>
      <c r="U3141" s="21" t="str">
        <f aca="false">IF(COUNT(K3141:T3141)=0,"SOURCE EMPTY / INDUSTRIAL ONLY",IF(MIN(K3141:T3141)=1,"SERVICE READY","HOLD"))</f>
        <v>SOURCE EMPTY / INDUSTRIAL ONLY</v>
      </c>
      <c r="V3141" s="9" t="n">
        <f aca="false">IF(U3141="SERVICE READY",1,0)</f>
        <v>0</v>
      </c>
      <c r="W3141" s="6"/>
      <c r="X3141" s="6"/>
      <c r="Y3141" s="6"/>
      <c r="Z3141" s="6"/>
    </row>
    <row r="3142" customFormat="false" ht="15" hidden="false" customHeight="false" outlineLevel="0" collapsed="false">
      <c r="A3142" s="9" t="s">
        <v>3415</v>
      </c>
      <c r="B3142" s="9" t="s">
        <v>3329</v>
      </c>
      <c r="C3142" s="9" t="s">
        <v>3330</v>
      </c>
      <c r="D3142" s="9" t="s">
        <v>2971</v>
      </c>
      <c r="E3142" s="9" t="s">
        <v>1660</v>
      </c>
      <c r="F3142" s="9" t="s">
        <v>200</v>
      </c>
      <c r="G3142" s="9" t="s">
        <v>221</v>
      </c>
      <c r="H3142" s="9" t="n">
        <v>850</v>
      </c>
      <c r="I3142" s="29" t="n">
        <v>1</v>
      </c>
      <c r="J3142" s="9" t="n">
        <v>0</v>
      </c>
      <c r="K3142" s="30"/>
      <c r="L3142" s="30"/>
      <c r="M3142" s="30"/>
      <c r="N3142" s="30"/>
      <c r="O3142" s="30"/>
      <c r="P3142" s="30"/>
      <c r="Q3142" s="30"/>
      <c r="R3142" s="30"/>
      <c r="S3142" s="30"/>
      <c r="T3142" s="30"/>
      <c r="U3142" s="21" t="str">
        <f aca="false">IF(COUNT(K3142:T3142)=0,"SOURCE EMPTY / INDUSTRIAL ONLY",IF(MIN(K3142:T3142)=1,"SERVICE READY","HOLD"))</f>
        <v>SOURCE EMPTY / INDUSTRIAL ONLY</v>
      </c>
      <c r="V3142" s="9" t="n">
        <f aca="false">IF(U3142="SERVICE READY",1,0)</f>
        <v>0</v>
      </c>
      <c r="W3142" s="6"/>
      <c r="X3142" s="6"/>
      <c r="Y3142" s="6"/>
      <c r="Z3142" s="6"/>
    </row>
    <row r="3143" customFormat="false" ht="15" hidden="false" customHeight="false" outlineLevel="0" collapsed="false">
      <c r="A3143" s="9" t="s">
        <v>3416</v>
      </c>
      <c r="B3143" s="9" t="s">
        <v>3329</v>
      </c>
      <c r="C3143" s="9" t="s">
        <v>3330</v>
      </c>
      <c r="D3143" s="9" t="s">
        <v>2971</v>
      </c>
      <c r="E3143" s="9" t="s">
        <v>1660</v>
      </c>
      <c r="F3143" s="9" t="s">
        <v>203</v>
      </c>
      <c r="G3143" s="9" t="s">
        <v>221</v>
      </c>
      <c r="H3143" s="9" t="n">
        <v>850</v>
      </c>
      <c r="I3143" s="29" t="n">
        <v>1</v>
      </c>
      <c r="J3143" s="9" t="n">
        <v>0</v>
      </c>
      <c r="K3143" s="30"/>
      <c r="L3143" s="30"/>
      <c r="M3143" s="30"/>
      <c r="N3143" s="30"/>
      <c r="O3143" s="30"/>
      <c r="P3143" s="30"/>
      <c r="Q3143" s="30"/>
      <c r="R3143" s="30"/>
      <c r="S3143" s="30"/>
      <c r="T3143" s="30"/>
      <c r="U3143" s="21" t="str">
        <f aca="false">IF(COUNT(K3143:T3143)=0,"SOURCE EMPTY / INDUSTRIAL ONLY",IF(MIN(K3143:T3143)=1,"SERVICE READY","HOLD"))</f>
        <v>SOURCE EMPTY / INDUSTRIAL ONLY</v>
      </c>
      <c r="V3143" s="9" t="n">
        <f aca="false">IF(U3143="SERVICE READY",1,0)</f>
        <v>0</v>
      </c>
      <c r="W3143" s="6"/>
      <c r="X3143" s="6"/>
      <c r="Y3143" s="6"/>
      <c r="Z3143" s="6"/>
    </row>
    <row r="3144" customFormat="false" ht="15" hidden="false" customHeight="false" outlineLevel="0" collapsed="false">
      <c r="A3144" s="9" t="s">
        <v>3417</v>
      </c>
      <c r="B3144" s="9" t="s">
        <v>3329</v>
      </c>
      <c r="C3144" s="9" t="s">
        <v>3330</v>
      </c>
      <c r="D3144" s="9" t="s">
        <v>2971</v>
      </c>
      <c r="E3144" s="9" t="s">
        <v>1660</v>
      </c>
      <c r="F3144" s="9" t="s">
        <v>205</v>
      </c>
      <c r="G3144" s="9" t="s">
        <v>221</v>
      </c>
      <c r="H3144" s="9" t="n">
        <v>850</v>
      </c>
      <c r="I3144" s="29" t="n">
        <v>1</v>
      </c>
      <c r="J3144" s="9" t="n">
        <v>0</v>
      </c>
      <c r="K3144" s="30"/>
      <c r="L3144" s="30"/>
      <c r="M3144" s="30"/>
      <c r="N3144" s="30"/>
      <c r="O3144" s="30"/>
      <c r="P3144" s="30"/>
      <c r="Q3144" s="30"/>
      <c r="R3144" s="30"/>
      <c r="S3144" s="30"/>
      <c r="T3144" s="30"/>
      <c r="U3144" s="21" t="str">
        <f aca="false">IF(COUNT(K3144:T3144)=0,"SOURCE EMPTY / INDUSTRIAL ONLY",IF(MIN(K3144:T3144)=1,"SERVICE READY","HOLD"))</f>
        <v>SOURCE EMPTY / INDUSTRIAL ONLY</v>
      </c>
      <c r="V3144" s="9" t="n">
        <f aca="false">IF(U3144="SERVICE READY",1,0)</f>
        <v>0</v>
      </c>
      <c r="W3144" s="6"/>
      <c r="X3144" s="6"/>
      <c r="Y3144" s="6"/>
      <c r="Z3144" s="6"/>
    </row>
    <row r="3145" customFormat="false" ht="15" hidden="false" customHeight="false" outlineLevel="0" collapsed="false">
      <c r="A3145" s="9" t="s">
        <v>3418</v>
      </c>
      <c r="B3145" s="9" t="s">
        <v>3329</v>
      </c>
      <c r="C3145" s="9" t="s">
        <v>3330</v>
      </c>
      <c r="D3145" s="9" t="s">
        <v>2971</v>
      </c>
      <c r="E3145" s="9" t="s">
        <v>1660</v>
      </c>
      <c r="F3145" s="9" t="s">
        <v>207</v>
      </c>
      <c r="G3145" s="9" t="s">
        <v>221</v>
      </c>
      <c r="H3145" s="9" t="n">
        <v>850</v>
      </c>
      <c r="I3145" s="29" t="n">
        <v>1</v>
      </c>
      <c r="J3145" s="9" t="n">
        <v>0</v>
      </c>
      <c r="K3145" s="30"/>
      <c r="L3145" s="30"/>
      <c r="M3145" s="30"/>
      <c r="N3145" s="30"/>
      <c r="O3145" s="30"/>
      <c r="P3145" s="30"/>
      <c r="Q3145" s="30"/>
      <c r="R3145" s="30"/>
      <c r="S3145" s="30"/>
      <c r="T3145" s="30"/>
      <c r="U3145" s="21" t="str">
        <f aca="false">IF(COUNT(K3145:T3145)=0,"SOURCE EMPTY / INDUSTRIAL ONLY",IF(MIN(K3145:T3145)=1,"SERVICE READY","HOLD"))</f>
        <v>SOURCE EMPTY / INDUSTRIAL ONLY</v>
      </c>
      <c r="V3145" s="9" t="n">
        <f aca="false">IF(U3145="SERVICE READY",1,0)</f>
        <v>0</v>
      </c>
      <c r="W3145" s="6"/>
      <c r="X3145" s="6"/>
      <c r="Y3145" s="6"/>
      <c r="Z3145" s="6"/>
    </row>
    <row r="3146" customFormat="false" ht="15" hidden="false" customHeight="false" outlineLevel="0" collapsed="false">
      <c r="A3146" s="9" t="s">
        <v>3419</v>
      </c>
      <c r="B3146" s="9" t="s">
        <v>3329</v>
      </c>
      <c r="C3146" s="9" t="s">
        <v>3330</v>
      </c>
      <c r="D3146" s="9" t="s">
        <v>2971</v>
      </c>
      <c r="E3146" s="9" t="s">
        <v>1660</v>
      </c>
      <c r="F3146" s="9" t="s">
        <v>209</v>
      </c>
      <c r="G3146" s="9" t="s">
        <v>221</v>
      </c>
      <c r="H3146" s="9" t="n">
        <v>850</v>
      </c>
      <c r="I3146" s="29" t="n">
        <v>1</v>
      </c>
      <c r="J3146" s="9" t="n">
        <v>0</v>
      </c>
      <c r="K3146" s="30"/>
      <c r="L3146" s="30"/>
      <c r="M3146" s="30"/>
      <c r="N3146" s="30"/>
      <c r="O3146" s="30"/>
      <c r="P3146" s="30"/>
      <c r="Q3146" s="30"/>
      <c r="R3146" s="30"/>
      <c r="S3146" s="30"/>
      <c r="T3146" s="30"/>
      <c r="U3146" s="21" t="str">
        <f aca="false">IF(COUNT(K3146:T3146)=0,"SOURCE EMPTY / INDUSTRIAL ONLY",IF(MIN(K3146:T3146)=1,"SERVICE READY","HOLD"))</f>
        <v>SOURCE EMPTY / INDUSTRIAL ONLY</v>
      </c>
      <c r="V3146" s="9" t="n">
        <f aca="false">IF(U3146="SERVICE READY",1,0)</f>
        <v>0</v>
      </c>
      <c r="W3146" s="6"/>
      <c r="X3146" s="6"/>
      <c r="Y3146" s="6"/>
      <c r="Z3146" s="6"/>
    </row>
    <row r="3147" customFormat="false" ht="15" hidden="false" customHeight="false" outlineLevel="0" collapsed="false">
      <c r="A3147" s="9" t="s">
        <v>3420</v>
      </c>
      <c r="B3147" s="9" t="s">
        <v>3329</v>
      </c>
      <c r="C3147" s="9" t="s">
        <v>3330</v>
      </c>
      <c r="D3147" s="9" t="s">
        <v>2971</v>
      </c>
      <c r="E3147" s="9" t="s">
        <v>1660</v>
      </c>
      <c r="F3147" s="9" t="s">
        <v>211</v>
      </c>
      <c r="G3147" s="9" t="s">
        <v>221</v>
      </c>
      <c r="H3147" s="9" t="n">
        <v>850</v>
      </c>
      <c r="I3147" s="29" t="n">
        <v>1</v>
      </c>
      <c r="J3147" s="9" t="n">
        <v>0</v>
      </c>
      <c r="K3147" s="30"/>
      <c r="L3147" s="30"/>
      <c r="M3147" s="30"/>
      <c r="N3147" s="30"/>
      <c r="O3147" s="30"/>
      <c r="P3147" s="30"/>
      <c r="Q3147" s="30"/>
      <c r="R3147" s="30"/>
      <c r="S3147" s="30"/>
      <c r="T3147" s="30"/>
      <c r="U3147" s="21" t="str">
        <f aca="false">IF(COUNT(K3147:T3147)=0,"SOURCE EMPTY / INDUSTRIAL ONLY",IF(MIN(K3147:T3147)=1,"SERVICE READY","HOLD"))</f>
        <v>SOURCE EMPTY / INDUSTRIAL ONLY</v>
      </c>
      <c r="V3147" s="9" t="n">
        <f aca="false">IF(U3147="SERVICE READY",1,0)</f>
        <v>0</v>
      </c>
      <c r="W3147" s="6"/>
      <c r="X3147" s="6"/>
      <c r="Y3147" s="6"/>
      <c r="Z3147" s="6"/>
    </row>
    <row r="3148" customFormat="false" ht="15" hidden="false" customHeight="false" outlineLevel="0" collapsed="false">
      <c r="A3148" s="9" t="s">
        <v>3421</v>
      </c>
      <c r="B3148" s="9" t="s">
        <v>3329</v>
      </c>
      <c r="C3148" s="9" t="s">
        <v>3330</v>
      </c>
      <c r="D3148" s="9" t="s">
        <v>2971</v>
      </c>
      <c r="E3148" s="9" t="s">
        <v>1660</v>
      </c>
      <c r="F3148" s="9" t="s">
        <v>197</v>
      </c>
      <c r="G3148" s="9" t="s">
        <v>221</v>
      </c>
      <c r="H3148" s="9" t="n">
        <v>850</v>
      </c>
      <c r="I3148" s="29" t="n">
        <v>1</v>
      </c>
      <c r="J3148" s="9" t="n">
        <v>0</v>
      </c>
      <c r="K3148" s="30"/>
      <c r="L3148" s="30"/>
      <c r="M3148" s="30"/>
      <c r="N3148" s="30"/>
      <c r="O3148" s="30"/>
      <c r="P3148" s="30"/>
      <c r="Q3148" s="30"/>
      <c r="R3148" s="30"/>
      <c r="S3148" s="30"/>
      <c r="T3148" s="30"/>
      <c r="U3148" s="21" t="str">
        <f aca="false">IF(COUNT(K3148:T3148)=0,"SOURCE EMPTY / INDUSTRIAL ONLY",IF(MIN(K3148:T3148)=1,"SERVICE READY","HOLD"))</f>
        <v>SOURCE EMPTY / INDUSTRIAL ONLY</v>
      </c>
      <c r="V3148" s="9" t="n">
        <f aca="false">IF(U3148="SERVICE READY",1,0)</f>
        <v>0</v>
      </c>
      <c r="W3148" s="6"/>
      <c r="X3148" s="6"/>
      <c r="Y3148" s="6"/>
      <c r="Z3148" s="6"/>
    </row>
    <row r="3149" customFormat="false" ht="15" hidden="false" customHeight="false" outlineLevel="0" collapsed="false">
      <c r="A3149" s="9" t="s">
        <v>3422</v>
      </c>
      <c r="B3149" s="9" t="s">
        <v>3329</v>
      </c>
      <c r="C3149" s="9" t="s">
        <v>3330</v>
      </c>
      <c r="D3149" s="9" t="s">
        <v>2971</v>
      </c>
      <c r="E3149" s="9" t="s">
        <v>1660</v>
      </c>
      <c r="F3149" s="9" t="s">
        <v>200</v>
      </c>
      <c r="G3149" s="9" t="s">
        <v>221</v>
      </c>
      <c r="H3149" s="9" t="n">
        <v>850</v>
      </c>
      <c r="I3149" s="29" t="n">
        <v>1</v>
      </c>
      <c r="J3149" s="9" t="n">
        <v>0</v>
      </c>
      <c r="K3149" s="30"/>
      <c r="L3149" s="30"/>
      <c r="M3149" s="30"/>
      <c r="N3149" s="30"/>
      <c r="O3149" s="30"/>
      <c r="P3149" s="30"/>
      <c r="Q3149" s="30"/>
      <c r="R3149" s="30"/>
      <c r="S3149" s="30"/>
      <c r="T3149" s="30"/>
      <c r="U3149" s="21" t="str">
        <f aca="false">IF(COUNT(K3149:T3149)=0,"SOURCE EMPTY / INDUSTRIAL ONLY",IF(MIN(K3149:T3149)=1,"SERVICE READY","HOLD"))</f>
        <v>SOURCE EMPTY / INDUSTRIAL ONLY</v>
      </c>
      <c r="V3149" s="9" t="n">
        <f aca="false">IF(U3149="SERVICE READY",1,0)</f>
        <v>0</v>
      </c>
      <c r="W3149" s="6"/>
      <c r="X3149" s="6"/>
      <c r="Y3149" s="6"/>
      <c r="Z3149" s="6"/>
    </row>
    <row r="3150" customFormat="false" ht="15" hidden="false" customHeight="false" outlineLevel="0" collapsed="false">
      <c r="A3150" s="9" t="s">
        <v>3423</v>
      </c>
      <c r="B3150" s="9" t="s">
        <v>3329</v>
      </c>
      <c r="C3150" s="9" t="s">
        <v>3330</v>
      </c>
      <c r="D3150" s="9" t="s">
        <v>2971</v>
      </c>
      <c r="E3150" s="9" t="s">
        <v>1660</v>
      </c>
      <c r="F3150" s="9" t="s">
        <v>203</v>
      </c>
      <c r="G3150" s="9" t="s">
        <v>221</v>
      </c>
      <c r="H3150" s="9" t="n">
        <v>850</v>
      </c>
      <c r="I3150" s="29" t="n">
        <v>1</v>
      </c>
      <c r="J3150" s="9" t="n">
        <v>0</v>
      </c>
      <c r="K3150" s="30"/>
      <c r="L3150" s="30"/>
      <c r="M3150" s="30"/>
      <c r="N3150" s="30"/>
      <c r="O3150" s="30"/>
      <c r="P3150" s="30"/>
      <c r="Q3150" s="30"/>
      <c r="R3150" s="30"/>
      <c r="S3150" s="30"/>
      <c r="T3150" s="30"/>
      <c r="U3150" s="21" t="str">
        <f aca="false">IF(COUNT(K3150:T3150)=0,"SOURCE EMPTY / INDUSTRIAL ONLY",IF(MIN(K3150:T3150)=1,"SERVICE READY","HOLD"))</f>
        <v>SOURCE EMPTY / INDUSTRIAL ONLY</v>
      </c>
      <c r="V3150" s="9" t="n">
        <f aca="false">IF(U3150="SERVICE READY",1,0)</f>
        <v>0</v>
      </c>
      <c r="W3150" s="6"/>
      <c r="X3150" s="6"/>
      <c r="Y3150" s="6"/>
      <c r="Z3150" s="6"/>
    </row>
    <row r="3151" customFormat="false" ht="15" hidden="false" customHeight="false" outlineLevel="0" collapsed="false">
      <c r="A3151" s="9" t="s">
        <v>3424</v>
      </c>
      <c r="B3151" s="9" t="s">
        <v>3329</v>
      </c>
      <c r="C3151" s="9" t="s">
        <v>3330</v>
      </c>
      <c r="D3151" s="9" t="s">
        <v>2971</v>
      </c>
      <c r="E3151" s="9" t="s">
        <v>1660</v>
      </c>
      <c r="F3151" s="9" t="s">
        <v>205</v>
      </c>
      <c r="G3151" s="9" t="s">
        <v>221</v>
      </c>
      <c r="H3151" s="9" t="n">
        <v>850</v>
      </c>
      <c r="I3151" s="29" t="n">
        <v>1</v>
      </c>
      <c r="J3151" s="9" t="n">
        <v>0</v>
      </c>
      <c r="K3151" s="30"/>
      <c r="L3151" s="30"/>
      <c r="M3151" s="30"/>
      <c r="N3151" s="30"/>
      <c r="O3151" s="30"/>
      <c r="P3151" s="30"/>
      <c r="Q3151" s="30"/>
      <c r="R3151" s="30"/>
      <c r="S3151" s="30"/>
      <c r="T3151" s="30"/>
      <c r="U3151" s="21" t="str">
        <f aca="false">IF(COUNT(K3151:T3151)=0,"SOURCE EMPTY / INDUSTRIAL ONLY",IF(MIN(K3151:T3151)=1,"SERVICE READY","HOLD"))</f>
        <v>SOURCE EMPTY / INDUSTRIAL ONLY</v>
      </c>
      <c r="V3151" s="9" t="n">
        <f aca="false">IF(U3151="SERVICE READY",1,0)</f>
        <v>0</v>
      </c>
      <c r="W3151" s="6"/>
      <c r="X3151" s="6"/>
      <c r="Y3151" s="6"/>
      <c r="Z3151" s="6"/>
    </row>
    <row r="3152" customFormat="false" ht="15" hidden="false" customHeight="false" outlineLevel="0" collapsed="false">
      <c r="A3152" s="9" t="s">
        <v>3425</v>
      </c>
      <c r="B3152" s="9" t="s">
        <v>3329</v>
      </c>
      <c r="C3152" s="9" t="s">
        <v>3330</v>
      </c>
      <c r="D3152" s="9" t="s">
        <v>2971</v>
      </c>
      <c r="E3152" s="9" t="s">
        <v>1660</v>
      </c>
      <c r="F3152" s="9" t="s">
        <v>207</v>
      </c>
      <c r="G3152" s="9" t="s">
        <v>221</v>
      </c>
      <c r="H3152" s="9" t="n">
        <v>850</v>
      </c>
      <c r="I3152" s="29" t="n">
        <v>1</v>
      </c>
      <c r="J3152" s="9" t="n">
        <v>0</v>
      </c>
      <c r="K3152" s="30"/>
      <c r="L3152" s="30"/>
      <c r="M3152" s="30"/>
      <c r="N3152" s="30"/>
      <c r="O3152" s="30"/>
      <c r="P3152" s="30"/>
      <c r="Q3152" s="30"/>
      <c r="R3152" s="30"/>
      <c r="S3152" s="30"/>
      <c r="T3152" s="30"/>
      <c r="U3152" s="21" t="str">
        <f aca="false">IF(COUNT(K3152:T3152)=0,"SOURCE EMPTY / INDUSTRIAL ONLY",IF(MIN(K3152:T3152)=1,"SERVICE READY","HOLD"))</f>
        <v>SOURCE EMPTY / INDUSTRIAL ONLY</v>
      </c>
      <c r="V3152" s="9" t="n">
        <f aca="false">IF(U3152="SERVICE READY",1,0)</f>
        <v>0</v>
      </c>
      <c r="W3152" s="6"/>
      <c r="X3152" s="6"/>
      <c r="Y3152" s="6"/>
      <c r="Z3152" s="6"/>
    </row>
    <row r="3153" customFormat="false" ht="15" hidden="false" customHeight="false" outlineLevel="0" collapsed="false">
      <c r="A3153" s="9" t="s">
        <v>3426</v>
      </c>
      <c r="B3153" s="9" t="s">
        <v>3329</v>
      </c>
      <c r="C3153" s="9" t="s">
        <v>3330</v>
      </c>
      <c r="D3153" s="9" t="s">
        <v>2971</v>
      </c>
      <c r="E3153" s="9" t="s">
        <v>1660</v>
      </c>
      <c r="F3153" s="9" t="s">
        <v>209</v>
      </c>
      <c r="G3153" s="9" t="s">
        <v>221</v>
      </c>
      <c r="H3153" s="9" t="n">
        <v>850</v>
      </c>
      <c r="I3153" s="29" t="n">
        <v>1</v>
      </c>
      <c r="J3153" s="9" t="n">
        <v>0</v>
      </c>
      <c r="K3153" s="30"/>
      <c r="L3153" s="30"/>
      <c r="M3153" s="30"/>
      <c r="N3153" s="30"/>
      <c r="O3153" s="30"/>
      <c r="P3153" s="30"/>
      <c r="Q3153" s="30"/>
      <c r="R3153" s="30"/>
      <c r="S3153" s="30"/>
      <c r="T3153" s="30"/>
      <c r="U3153" s="21" t="str">
        <f aca="false">IF(COUNT(K3153:T3153)=0,"SOURCE EMPTY / INDUSTRIAL ONLY",IF(MIN(K3153:T3153)=1,"SERVICE READY","HOLD"))</f>
        <v>SOURCE EMPTY / INDUSTRIAL ONLY</v>
      </c>
      <c r="V3153" s="9" t="n">
        <f aca="false">IF(U3153="SERVICE READY",1,0)</f>
        <v>0</v>
      </c>
      <c r="W3153" s="6"/>
      <c r="X3153" s="6"/>
      <c r="Y3153" s="6"/>
      <c r="Z3153" s="6"/>
    </row>
    <row r="3154" customFormat="false" ht="15" hidden="false" customHeight="false" outlineLevel="0" collapsed="false">
      <c r="A3154" s="9" t="s">
        <v>3427</v>
      </c>
      <c r="B3154" s="9" t="s">
        <v>3428</v>
      </c>
      <c r="C3154" s="9" t="s">
        <v>3429</v>
      </c>
      <c r="D3154" s="9" t="s">
        <v>2971</v>
      </c>
      <c r="E3154" s="9" t="s">
        <v>1660</v>
      </c>
      <c r="F3154" s="9" t="s">
        <v>197</v>
      </c>
      <c r="G3154" s="9" t="s">
        <v>198</v>
      </c>
      <c r="H3154" s="9" t="n">
        <v>1530</v>
      </c>
      <c r="I3154" s="29" t="n">
        <v>1</v>
      </c>
      <c r="J3154" s="9" t="n">
        <v>1</v>
      </c>
      <c r="K3154" s="30"/>
      <c r="L3154" s="30"/>
      <c r="M3154" s="30"/>
      <c r="N3154" s="30"/>
      <c r="O3154" s="30"/>
      <c r="P3154" s="30"/>
      <c r="Q3154" s="30"/>
      <c r="R3154" s="30"/>
      <c r="S3154" s="30"/>
      <c r="T3154" s="30"/>
      <c r="U3154" s="21" t="str">
        <f aca="false">IF(COUNT(K3154:T3154)=0,"SOURCE EMPTY / INDUSTRIAL ONLY",IF(MIN(K3154:T3154)=1,"SERVICE READY","HOLD"))</f>
        <v>SOURCE EMPTY / INDUSTRIAL ONLY</v>
      </c>
      <c r="V3154" s="9" t="n">
        <f aca="false">IF(U3154="SERVICE READY",1,0)</f>
        <v>0</v>
      </c>
      <c r="W3154" s="6"/>
      <c r="X3154" s="6"/>
      <c r="Y3154" s="6"/>
      <c r="Z3154" s="6"/>
    </row>
    <row r="3155" customFormat="false" ht="15" hidden="false" customHeight="false" outlineLevel="0" collapsed="false">
      <c r="A3155" s="9" t="s">
        <v>3430</v>
      </c>
      <c r="B3155" s="9" t="s">
        <v>3428</v>
      </c>
      <c r="C3155" s="9" t="s">
        <v>3429</v>
      </c>
      <c r="D3155" s="9" t="s">
        <v>2971</v>
      </c>
      <c r="E3155" s="9" t="s">
        <v>1660</v>
      </c>
      <c r="F3155" s="9" t="s">
        <v>200</v>
      </c>
      <c r="G3155" s="9" t="s">
        <v>201</v>
      </c>
      <c r="H3155" s="9" t="n">
        <v>1530</v>
      </c>
      <c r="I3155" s="29" t="n">
        <v>1</v>
      </c>
      <c r="J3155" s="9" t="n">
        <v>1</v>
      </c>
      <c r="K3155" s="30"/>
      <c r="L3155" s="30"/>
      <c r="M3155" s="30"/>
      <c r="N3155" s="30"/>
      <c r="O3155" s="30"/>
      <c r="P3155" s="30"/>
      <c r="Q3155" s="30"/>
      <c r="R3155" s="30"/>
      <c r="S3155" s="30"/>
      <c r="T3155" s="30"/>
      <c r="U3155" s="21" t="str">
        <f aca="false">IF(COUNT(K3155:T3155)=0,"SOURCE EMPTY / INDUSTRIAL ONLY",IF(MIN(K3155:T3155)=1,"SERVICE READY","HOLD"))</f>
        <v>SOURCE EMPTY / INDUSTRIAL ONLY</v>
      </c>
      <c r="V3155" s="9" t="n">
        <f aca="false">IF(U3155="SERVICE READY",1,0)</f>
        <v>0</v>
      </c>
      <c r="W3155" s="6"/>
      <c r="X3155" s="6"/>
      <c r="Y3155" s="6"/>
      <c r="Z3155" s="6"/>
    </row>
    <row r="3156" customFormat="false" ht="15" hidden="false" customHeight="false" outlineLevel="0" collapsed="false">
      <c r="A3156" s="9" t="s">
        <v>3431</v>
      </c>
      <c r="B3156" s="9" t="s">
        <v>3428</v>
      </c>
      <c r="C3156" s="9" t="s">
        <v>3429</v>
      </c>
      <c r="D3156" s="9" t="s">
        <v>2971</v>
      </c>
      <c r="E3156" s="9" t="s">
        <v>1660</v>
      </c>
      <c r="F3156" s="9" t="s">
        <v>203</v>
      </c>
      <c r="G3156" s="9" t="s">
        <v>198</v>
      </c>
      <c r="H3156" s="9" t="n">
        <v>1530</v>
      </c>
      <c r="I3156" s="29" t="n">
        <v>1</v>
      </c>
      <c r="J3156" s="9" t="n">
        <v>1</v>
      </c>
      <c r="K3156" s="30"/>
      <c r="L3156" s="30"/>
      <c r="M3156" s="30"/>
      <c r="N3156" s="30"/>
      <c r="O3156" s="30"/>
      <c r="P3156" s="30"/>
      <c r="Q3156" s="30"/>
      <c r="R3156" s="30"/>
      <c r="S3156" s="30"/>
      <c r="T3156" s="30"/>
      <c r="U3156" s="21" t="str">
        <f aca="false">IF(COUNT(K3156:T3156)=0,"SOURCE EMPTY / INDUSTRIAL ONLY",IF(MIN(K3156:T3156)=1,"SERVICE READY","HOLD"))</f>
        <v>SOURCE EMPTY / INDUSTRIAL ONLY</v>
      </c>
      <c r="V3156" s="9" t="n">
        <f aca="false">IF(U3156="SERVICE READY",1,0)</f>
        <v>0</v>
      </c>
      <c r="W3156" s="6"/>
      <c r="X3156" s="6"/>
      <c r="Y3156" s="6"/>
      <c r="Z3156" s="6"/>
    </row>
    <row r="3157" customFormat="false" ht="15" hidden="false" customHeight="false" outlineLevel="0" collapsed="false">
      <c r="A3157" s="9" t="s">
        <v>3432</v>
      </c>
      <c r="B3157" s="9" t="s">
        <v>3428</v>
      </c>
      <c r="C3157" s="9" t="s">
        <v>3429</v>
      </c>
      <c r="D3157" s="9" t="s">
        <v>2971</v>
      </c>
      <c r="E3157" s="9" t="s">
        <v>1660</v>
      </c>
      <c r="F3157" s="9" t="s">
        <v>205</v>
      </c>
      <c r="G3157" s="9" t="s">
        <v>201</v>
      </c>
      <c r="H3157" s="9" t="n">
        <v>1530</v>
      </c>
      <c r="I3157" s="29" t="n">
        <v>1</v>
      </c>
      <c r="J3157" s="9" t="n">
        <v>1</v>
      </c>
      <c r="K3157" s="30"/>
      <c r="L3157" s="30"/>
      <c r="M3157" s="30"/>
      <c r="N3157" s="30"/>
      <c r="O3157" s="30"/>
      <c r="P3157" s="30"/>
      <c r="Q3157" s="30"/>
      <c r="R3157" s="30"/>
      <c r="S3157" s="30"/>
      <c r="T3157" s="30"/>
      <c r="U3157" s="21" t="str">
        <f aca="false">IF(COUNT(K3157:T3157)=0,"SOURCE EMPTY / INDUSTRIAL ONLY",IF(MIN(K3157:T3157)=1,"SERVICE READY","HOLD"))</f>
        <v>SOURCE EMPTY / INDUSTRIAL ONLY</v>
      </c>
      <c r="V3157" s="9" t="n">
        <f aca="false">IF(U3157="SERVICE READY",1,0)</f>
        <v>0</v>
      </c>
      <c r="W3157" s="6"/>
      <c r="X3157" s="6"/>
      <c r="Y3157" s="6"/>
      <c r="Z3157" s="6"/>
    </row>
    <row r="3158" customFormat="false" ht="15" hidden="false" customHeight="false" outlineLevel="0" collapsed="false">
      <c r="A3158" s="9" t="s">
        <v>3433</v>
      </c>
      <c r="B3158" s="9" t="s">
        <v>3428</v>
      </c>
      <c r="C3158" s="9" t="s">
        <v>3429</v>
      </c>
      <c r="D3158" s="9" t="s">
        <v>2971</v>
      </c>
      <c r="E3158" s="9" t="s">
        <v>1660</v>
      </c>
      <c r="F3158" s="9" t="s">
        <v>207</v>
      </c>
      <c r="G3158" s="9" t="s">
        <v>198</v>
      </c>
      <c r="H3158" s="9" t="n">
        <v>1530</v>
      </c>
      <c r="I3158" s="29" t="n">
        <v>1</v>
      </c>
      <c r="J3158" s="9" t="n">
        <v>1</v>
      </c>
      <c r="K3158" s="30"/>
      <c r="L3158" s="30"/>
      <c r="M3158" s="30"/>
      <c r="N3158" s="30"/>
      <c r="O3158" s="30"/>
      <c r="P3158" s="30"/>
      <c r="Q3158" s="30"/>
      <c r="R3158" s="30"/>
      <c r="S3158" s="30"/>
      <c r="T3158" s="30"/>
      <c r="U3158" s="21" t="str">
        <f aca="false">IF(COUNT(K3158:T3158)=0,"SOURCE EMPTY / INDUSTRIAL ONLY",IF(MIN(K3158:T3158)=1,"SERVICE READY","HOLD"))</f>
        <v>SOURCE EMPTY / INDUSTRIAL ONLY</v>
      </c>
      <c r="V3158" s="9" t="n">
        <f aca="false">IF(U3158="SERVICE READY",1,0)</f>
        <v>0</v>
      </c>
      <c r="W3158" s="6"/>
      <c r="X3158" s="6"/>
      <c r="Y3158" s="6"/>
      <c r="Z3158" s="6"/>
    </row>
    <row r="3159" customFormat="false" ht="15" hidden="false" customHeight="false" outlineLevel="0" collapsed="false">
      <c r="A3159" s="9" t="s">
        <v>3434</v>
      </c>
      <c r="B3159" s="9" t="s">
        <v>3428</v>
      </c>
      <c r="C3159" s="9" t="s">
        <v>3429</v>
      </c>
      <c r="D3159" s="9" t="s">
        <v>2971</v>
      </c>
      <c r="E3159" s="9" t="s">
        <v>1660</v>
      </c>
      <c r="F3159" s="9" t="s">
        <v>209</v>
      </c>
      <c r="G3159" s="9" t="s">
        <v>201</v>
      </c>
      <c r="H3159" s="9" t="n">
        <v>1530</v>
      </c>
      <c r="I3159" s="29" t="n">
        <v>1</v>
      </c>
      <c r="J3159" s="9" t="n">
        <v>1</v>
      </c>
      <c r="K3159" s="30"/>
      <c r="L3159" s="30"/>
      <c r="M3159" s="30"/>
      <c r="N3159" s="30"/>
      <c r="O3159" s="30"/>
      <c r="P3159" s="30"/>
      <c r="Q3159" s="30"/>
      <c r="R3159" s="30"/>
      <c r="S3159" s="30"/>
      <c r="T3159" s="30"/>
      <c r="U3159" s="21" t="str">
        <f aca="false">IF(COUNT(K3159:T3159)=0,"SOURCE EMPTY / INDUSTRIAL ONLY",IF(MIN(K3159:T3159)=1,"SERVICE READY","HOLD"))</f>
        <v>SOURCE EMPTY / INDUSTRIAL ONLY</v>
      </c>
      <c r="V3159" s="9" t="n">
        <f aca="false">IF(U3159="SERVICE READY",1,0)</f>
        <v>0</v>
      </c>
      <c r="W3159" s="6"/>
      <c r="X3159" s="6"/>
      <c r="Y3159" s="6"/>
      <c r="Z3159" s="6"/>
    </row>
    <row r="3160" customFormat="false" ht="15" hidden="false" customHeight="false" outlineLevel="0" collapsed="false">
      <c r="A3160" s="9" t="s">
        <v>3435</v>
      </c>
      <c r="B3160" s="9" t="s">
        <v>3428</v>
      </c>
      <c r="C3160" s="9" t="s">
        <v>3429</v>
      </c>
      <c r="D3160" s="9" t="s">
        <v>2971</v>
      </c>
      <c r="E3160" s="9" t="s">
        <v>1660</v>
      </c>
      <c r="F3160" s="9" t="s">
        <v>211</v>
      </c>
      <c r="G3160" s="9" t="s">
        <v>198</v>
      </c>
      <c r="H3160" s="9" t="n">
        <v>1530</v>
      </c>
      <c r="I3160" s="29" t="n">
        <v>1</v>
      </c>
      <c r="J3160" s="9" t="n">
        <v>1</v>
      </c>
      <c r="K3160" s="30"/>
      <c r="L3160" s="30"/>
      <c r="M3160" s="30"/>
      <c r="N3160" s="30"/>
      <c r="O3160" s="30"/>
      <c r="P3160" s="30"/>
      <c r="Q3160" s="30"/>
      <c r="R3160" s="30"/>
      <c r="S3160" s="30"/>
      <c r="T3160" s="30"/>
      <c r="U3160" s="21" t="str">
        <f aca="false">IF(COUNT(K3160:T3160)=0,"SOURCE EMPTY / INDUSTRIAL ONLY",IF(MIN(K3160:T3160)=1,"SERVICE READY","HOLD"))</f>
        <v>SOURCE EMPTY / INDUSTRIAL ONLY</v>
      </c>
      <c r="V3160" s="9" t="n">
        <f aca="false">IF(U3160="SERVICE READY",1,0)</f>
        <v>0</v>
      </c>
      <c r="W3160" s="6"/>
      <c r="X3160" s="6"/>
      <c r="Y3160" s="6"/>
      <c r="Z3160" s="6"/>
    </row>
    <row r="3161" customFormat="false" ht="15" hidden="false" customHeight="false" outlineLevel="0" collapsed="false">
      <c r="A3161" s="9" t="s">
        <v>3436</v>
      </c>
      <c r="B3161" s="9" t="s">
        <v>3428</v>
      </c>
      <c r="C3161" s="9" t="s">
        <v>3429</v>
      </c>
      <c r="D3161" s="9" t="s">
        <v>2971</v>
      </c>
      <c r="E3161" s="9" t="s">
        <v>1660</v>
      </c>
      <c r="F3161" s="9" t="s">
        <v>197</v>
      </c>
      <c r="G3161" s="9" t="s">
        <v>201</v>
      </c>
      <c r="H3161" s="9" t="n">
        <v>1530</v>
      </c>
      <c r="I3161" s="29" t="n">
        <v>1</v>
      </c>
      <c r="J3161" s="9" t="n">
        <v>1</v>
      </c>
      <c r="K3161" s="30"/>
      <c r="L3161" s="30"/>
      <c r="M3161" s="30"/>
      <c r="N3161" s="30"/>
      <c r="O3161" s="30"/>
      <c r="P3161" s="30"/>
      <c r="Q3161" s="30"/>
      <c r="R3161" s="30"/>
      <c r="S3161" s="30"/>
      <c r="T3161" s="30"/>
      <c r="U3161" s="21" t="str">
        <f aca="false">IF(COUNT(K3161:T3161)=0,"SOURCE EMPTY / INDUSTRIAL ONLY",IF(MIN(K3161:T3161)=1,"SERVICE READY","HOLD"))</f>
        <v>SOURCE EMPTY / INDUSTRIAL ONLY</v>
      </c>
      <c r="V3161" s="9" t="n">
        <f aca="false">IF(U3161="SERVICE READY",1,0)</f>
        <v>0</v>
      </c>
      <c r="W3161" s="6"/>
      <c r="X3161" s="6"/>
      <c r="Y3161" s="6"/>
      <c r="Z3161" s="6"/>
    </row>
    <row r="3162" customFormat="false" ht="15" hidden="false" customHeight="false" outlineLevel="0" collapsed="false">
      <c r="A3162" s="9" t="s">
        <v>3437</v>
      </c>
      <c r="B3162" s="9" t="s">
        <v>3428</v>
      </c>
      <c r="C3162" s="9" t="s">
        <v>3429</v>
      </c>
      <c r="D3162" s="9" t="s">
        <v>2971</v>
      </c>
      <c r="E3162" s="9" t="s">
        <v>1660</v>
      </c>
      <c r="F3162" s="9" t="s">
        <v>200</v>
      </c>
      <c r="G3162" s="9" t="s">
        <v>198</v>
      </c>
      <c r="H3162" s="9" t="n">
        <v>1530</v>
      </c>
      <c r="I3162" s="29" t="n">
        <v>1</v>
      </c>
      <c r="J3162" s="9" t="n">
        <v>1</v>
      </c>
      <c r="K3162" s="30"/>
      <c r="L3162" s="30"/>
      <c r="M3162" s="30"/>
      <c r="N3162" s="30"/>
      <c r="O3162" s="30"/>
      <c r="P3162" s="30"/>
      <c r="Q3162" s="30"/>
      <c r="R3162" s="30"/>
      <c r="S3162" s="30"/>
      <c r="T3162" s="30"/>
      <c r="U3162" s="21" t="str">
        <f aca="false">IF(COUNT(K3162:T3162)=0,"SOURCE EMPTY / INDUSTRIAL ONLY",IF(MIN(K3162:T3162)=1,"SERVICE READY","HOLD"))</f>
        <v>SOURCE EMPTY / INDUSTRIAL ONLY</v>
      </c>
      <c r="V3162" s="9" t="n">
        <f aca="false">IF(U3162="SERVICE READY",1,0)</f>
        <v>0</v>
      </c>
      <c r="W3162" s="6"/>
      <c r="X3162" s="6"/>
      <c r="Y3162" s="6"/>
      <c r="Z3162" s="6"/>
    </row>
    <row r="3163" customFormat="false" ht="15" hidden="false" customHeight="false" outlineLevel="0" collapsed="false">
      <c r="A3163" s="9" t="s">
        <v>3438</v>
      </c>
      <c r="B3163" s="9" t="s">
        <v>3428</v>
      </c>
      <c r="C3163" s="9" t="s">
        <v>3429</v>
      </c>
      <c r="D3163" s="9" t="s">
        <v>2971</v>
      </c>
      <c r="E3163" s="9" t="s">
        <v>1660</v>
      </c>
      <c r="F3163" s="9" t="s">
        <v>203</v>
      </c>
      <c r="G3163" s="9" t="s">
        <v>201</v>
      </c>
      <c r="H3163" s="9" t="n">
        <v>1530</v>
      </c>
      <c r="I3163" s="29" t="n">
        <v>1</v>
      </c>
      <c r="J3163" s="9" t="n">
        <v>1</v>
      </c>
      <c r="K3163" s="30"/>
      <c r="L3163" s="30"/>
      <c r="M3163" s="30"/>
      <c r="N3163" s="30"/>
      <c r="O3163" s="30"/>
      <c r="P3163" s="30"/>
      <c r="Q3163" s="30"/>
      <c r="R3163" s="30"/>
      <c r="S3163" s="30"/>
      <c r="T3163" s="30"/>
      <c r="U3163" s="21" t="str">
        <f aca="false">IF(COUNT(K3163:T3163)=0,"SOURCE EMPTY / INDUSTRIAL ONLY",IF(MIN(K3163:T3163)=1,"SERVICE READY","HOLD"))</f>
        <v>SOURCE EMPTY / INDUSTRIAL ONLY</v>
      </c>
      <c r="V3163" s="9" t="n">
        <f aca="false">IF(U3163="SERVICE READY",1,0)</f>
        <v>0</v>
      </c>
      <c r="W3163" s="6"/>
      <c r="X3163" s="6"/>
      <c r="Y3163" s="6"/>
      <c r="Z3163" s="6"/>
    </row>
    <row r="3164" customFormat="false" ht="15" hidden="false" customHeight="false" outlineLevel="0" collapsed="false">
      <c r="A3164" s="9" t="s">
        <v>3439</v>
      </c>
      <c r="B3164" s="9" t="s">
        <v>3428</v>
      </c>
      <c r="C3164" s="9" t="s">
        <v>3429</v>
      </c>
      <c r="D3164" s="9" t="s">
        <v>2971</v>
      </c>
      <c r="E3164" s="9" t="s">
        <v>1660</v>
      </c>
      <c r="F3164" s="9" t="s">
        <v>205</v>
      </c>
      <c r="G3164" s="9" t="s">
        <v>198</v>
      </c>
      <c r="H3164" s="9" t="n">
        <v>1530</v>
      </c>
      <c r="I3164" s="29" t="n">
        <v>1</v>
      </c>
      <c r="J3164" s="9" t="n">
        <v>1</v>
      </c>
      <c r="K3164" s="30"/>
      <c r="L3164" s="30"/>
      <c r="M3164" s="30"/>
      <c r="N3164" s="30"/>
      <c r="O3164" s="30"/>
      <c r="P3164" s="30"/>
      <c r="Q3164" s="30"/>
      <c r="R3164" s="30"/>
      <c r="S3164" s="30"/>
      <c r="T3164" s="30"/>
      <c r="U3164" s="21" t="str">
        <f aca="false">IF(COUNT(K3164:T3164)=0,"SOURCE EMPTY / INDUSTRIAL ONLY",IF(MIN(K3164:T3164)=1,"SERVICE READY","HOLD"))</f>
        <v>SOURCE EMPTY / INDUSTRIAL ONLY</v>
      </c>
      <c r="V3164" s="9" t="n">
        <f aca="false">IF(U3164="SERVICE READY",1,0)</f>
        <v>0</v>
      </c>
      <c r="W3164" s="6"/>
      <c r="X3164" s="6"/>
      <c r="Y3164" s="6"/>
      <c r="Z3164" s="6"/>
    </row>
    <row r="3165" customFormat="false" ht="15" hidden="false" customHeight="false" outlineLevel="0" collapsed="false">
      <c r="A3165" s="9" t="s">
        <v>3440</v>
      </c>
      <c r="B3165" s="9" t="s">
        <v>3428</v>
      </c>
      <c r="C3165" s="9" t="s">
        <v>3429</v>
      </c>
      <c r="D3165" s="9" t="s">
        <v>2971</v>
      </c>
      <c r="E3165" s="9" t="s">
        <v>1660</v>
      </c>
      <c r="F3165" s="9" t="s">
        <v>207</v>
      </c>
      <c r="G3165" s="9" t="s">
        <v>201</v>
      </c>
      <c r="H3165" s="9" t="n">
        <v>1530</v>
      </c>
      <c r="I3165" s="29" t="n">
        <v>1</v>
      </c>
      <c r="J3165" s="9" t="n">
        <v>1</v>
      </c>
      <c r="K3165" s="30"/>
      <c r="L3165" s="30"/>
      <c r="M3165" s="30"/>
      <c r="N3165" s="30"/>
      <c r="O3165" s="30"/>
      <c r="P3165" s="30"/>
      <c r="Q3165" s="30"/>
      <c r="R3165" s="30"/>
      <c r="S3165" s="30"/>
      <c r="T3165" s="30"/>
      <c r="U3165" s="21" t="str">
        <f aca="false">IF(COUNT(K3165:T3165)=0,"SOURCE EMPTY / INDUSTRIAL ONLY",IF(MIN(K3165:T3165)=1,"SERVICE READY","HOLD"))</f>
        <v>SOURCE EMPTY / INDUSTRIAL ONLY</v>
      </c>
      <c r="V3165" s="9" t="n">
        <f aca="false">IF(U3165="SERVICE READY",1,0)</f>
        <v>0</v>
      </c>
      <c r="W3165" s="6"/>
      <c r="X3165" s="6"/>
      <c r="Y3165" s="6"/>
      <c r="Z3165" s="6"/>
    </row>
    <row r="3166" customFormat="false" ht="15" hidden="false" customHeight="false" outlineLevel="0" collapsed="false">
      <c r="A3166" s="9" t="s">
        <v>3441</v>
      </c>
      <c r="B3166" s="9" t="s">
        <v>3428</v>
      </c>
      <c r="C3166" s="9" t="s">
        <v>3429</v>
      </c>
      <c r="D3166" s="9" t="s">
        <v>2971</v>
      </c>
      <c r="E3166" s="9" t="s">
        <v>1660</v>
      </c>
      <c r="F3166" s="9" t="s">
        <v>209</v>
      </c>
      <c r="G3166" s="9" t="s">
        <v>198</v>
      </c>
      <c r="H3166" s="9" t="n">
        <v>1530</v>
      </c>
      <c r="I3166" s="29" t="n">
        <v>1</v>
      </c>
      <c r="J3166" s="9" t="n">
        <v>1</v>
      </c>
      <c r="K3166" s="30"/>
      <c r="L3166" s="30"/>
      <c r="M3166" s="30"/>
      <c r="N3166" s="30"/>
      <c r="O3166" s="30"/>
      <c r="P3166" s="30"/>
      <c r="Q3166" s="30"/>
      <c r="R3166" s="30"/>
      <c r="S3166" s="30"/>
      <c r="T3166" s="30"/>
      <c r="U3166" s="21" t="str">
        <f aca="false">IF(COUNT(K3166:T3166)=0,"SOURCE EMPTY / INDUSTRIAL ONLY",IF(MIN(K3166:T3166)=1,"SERVICE READY","HOLD"))</f>
        <v>SOURCE EMPTY / INDUSTRIAL ONLY</v>
      </c>
      <c r="V3166" s="9" t="n">
        <f aca="false">IF(U3166="SERVICE READY",1,0)</f>
        <v>0</v>
      </c>
      <c r="W3166" s="6"/>
      <c r="X3166" s="6"/>
      <c r="Y3166" s="6"/>
      <c r="Z3166" s="6"/>
    </row>
    <row r="3167" customFormat="false" ht="15" hidden="false" customHeight="false" outlineLevel="0" collapsed="false">
      <c r="A3167" s="9" t="s">
        <v>3442</v>
      </c>
      <c r="B3167" s="9" t="s">
        <v>3428</v>
      </c>
      <c r="C3167" s="9" t="s">
        <v>3429</v>
      </c>
      <c r="D3167" s="9" t="s">
        <v>2971</v>
      </c>
      <c r="E3167" s="9" t="s">
        <v>1660</v>
      </c>
      <c r="F3167" s="9" t="s">
        <v>211</v>
      </c>
      <c r="G3167" s="9" t="s">
        <v>201</v>
      </c>
      <c r="H3167" s="9" t="n">
        <v>1530</v>
      </c>
      <c r="I3167" s="29" t="n">
        <v>1</v>
      </c>
      <c r="J3167" s="9" t="n">
        <v>1</v>
      </c>
      <c r="K3167" s="30"/>
      <c r="L3167" s="30"/>
      <c r="M3167" s="30"/>
      <c r="N3167" s="30"/>
      <c r="O3167" s="30"/>
      <c r="P3167" s="30"/>
      <c r="Q3167" s="30"/>
      <c r="R3167" s="30"/>
      <c r="S3167" s="30"/>
      <c r="T3167" s="30"/>
      <c r="U3167" s="21" t="str">
        <f aca="false">IF(COUNT(K3167:T3167)=0,"SOURCE EMPTY / INDUSTRIAL ONLY",IF(MIN(K3167:T3167)=1,"SERVICE READY","HOLD"))</f>
        <v>SOURCE EMPTY / INDUSTRIAL ONLY</v>
      </c>
      <c r="V3167" s="9" t="n">
        <f aca="false">IF(U3167="SERVICE READY",1,0)</f>
        <v>0</v>
      </c>
      <c r="W3167" s="6"/>
      <c r="X3167" s="6"/>
      <c r="Y3167" s="6"/>
      <c r="Z3167" s="6"/>
    </row>
    <row r="3168" customFormat="false" ht="15" hidden="false" customHeight="false" outlineLevel="0" collapsed="false">
      <c r="A3168" s="9" t="s">
        <v>3443</v>
      </c>
      <c r="B3168" s="9" t="s">
        <v>3428</v>
      </c>
      <c r="C3168" s="9" t="s">
        <v>3429</v>
      </c>
      <c r="D3168" s="9" t="s">
        <v>2971</v>
      </c>
      <c r="E3168" s="9" t="s">
        <v>1660</v>
      </c>
      <c r="F3168" s="9" t="s">
        <v>197</v>
      </c>
      <c r="G3168" s="9" t="s">
        <v>198</v>
      </c>
      <c r="H3168" s="9" t="n">
        <v>1530</v>
      </c>
      <c r="I3168" s="29" t="n">
        <v>1</v>
      </c>
      <c r="J3168" s="9" t="n">
        <v>1</v>
      </c>
      <c r="K3168" s="30"/>
      <c r="L3168" s="30"/>
      <c r="M3168" s="30"/>
      <c r="N3168" s="30"/>
      <c r="O3168" s="30"/>
      <c r="P3168" s="30"/>
      <c r="Q3168" s="30"/>
      <c r="R3168" s="30"/>
      <c r="S3168" s="30"/>
      <c r="T3168" s="30"/>
      <c r="U3168" s="21" t="str">
        <f aca="false">IF(COUNT(K3168:T3168)=0,"SOURCE EMPTY / INDUSTRIAL ONLY",IF(MIN(K3168:T3168)=1,"SERVICE READY","HOLD"))</f>
        <v>SOURCE EMPTY / INDUSTRIAL ONLY</v>
      </c>
      <c r="V3168" s="9" t="n">
        <f aca="false">IF(U3168="SERVICE READY",1,0)</f>
        <v>0</v>
      </c>
      <c r="W3168" s="6"/>
      <c r="X3168" s="6"/>
      <c r="Y3168" s="6"/>
      <c r="Z3168" s="6"/>
    </row>
    <row r="3169" customFormat="false" ht="15" hidden="false" customHeight="false" outlineLevel="0" collapsed="false">
      <c r="A3169" s="9" t="s">
        <v>3444</v>
      </c>
      <c r="B3169" s="9" t="s">
        <v>3428</v>
      </c>
      <c r="C3169" s="9" t="s">
        <v>3429</v>
      </c>
      <c r="D3169" s="9" t="s">
        <v>2971</v>
      </c>
      <c r="E3169" s="9" t="s">
        <v>1660</v>
      </c>
      <c r="F3169" s="9" t="s">
        <v>200</v>
      </c>
      <c r="G3169" s="9" t="s">
        <v>201</v>
      </c>
      <c r="H3169" s="9" t="n">
        <v>1530</v>
      </c>
      <c r="I3169" s="29" t="n">
        <v>1</v>
      </c>
      <c r="J3169" s="9" t="n">
        <v>1</v>
      </c>
      <c r="K3169" s="30"/>
      <c r="L3169" s="30"/>
      <c r="M3169" s="30"/>
      <c r="N3169" s="30"/>
      <c r="O3169" s="30"/>
      <c r="P3169" s="30"/>
      <c r="Q3169" s="30"/>
      <c r="R3169" s="30"/>
      <c r="S3169" s="30"/>
      <c r="T3169" s="30"/>
      <c r="U3169" s="21" t="str">
        <f aca="false">IF(COUNT(K3169:T3169)=0,"SOURCE EMPTY / INDUSTRIAL ONLY",IF(MIN(K3169:T3169)=1,"SERVICE READY","HOLD"))</f>
        <v>SOURCE EMPTY / INDUSTRIAL ONLY</v>
      </c>
      <c r="V3169" s="9" t="n">
        <f aca="false">IF(U3169="SERVICE READY",1,0)</f>
        <v>0</v>
      </c>
      <c r="W3169" s="6"/>
      <c r="X3169" s="6"/>
      <c r="Y3169" s="6"/>
      <c r="Z3169" s="6"/>
    </row>
    <row r="3170" customFormat="false" ht="15" hidden="false" customHeight="false" outlineLevel="0" collapsed="false">
      <c r="A3170" s="9" t="s">
        <v>3445</v>
      </c>
      <c r="B3170" s="9" t="s">
        <v>3428</v>
      </c>
      <c r="C3170" s="9" t="s">
        <v>3429</v>
      </c>
      <c r="D3170" s="9" t="s">
        <v>2971</v>
      </c>
      <c r="E3170" s="9" t="s">
        <v>1660</v>
      </c>
      <c r="F3170" s="9" t="s">
        <v>203</v>
      </c>
      <c r="G3170" s="9" t="s">
        <v>198</v>
      </c>
      <c r="H3170" s="9" t="n">
        <v>1530</v>
      </c>
      <c r="I3170" s="29" t="n">
        <v>1</v>
      </c>
      <c r="J3170" s="9" t="n">
        <v>1</v>
      </c>
      <c r="K3170" s="30"/>
      <c r="L3170" s="30"/>
      <c r="M3170" s="30"/>
      <c r="N3170" s="30"/>
      <c r="O3170" s="30"/>
      <c r="P3170" s="30"/>
      <c r="Q3170" s="30"/>
      <c r="R3170" s="30"/>
      <c r="S3170" s="30"/>
      <c r="T3170" s="30"/>
      <c r="U3170" s="21" t="str">
        <f aca="false">IF(COUNT(K3170:T3170)=0,"SOURCE EMPTY / INDUSTRIAL ONLY",IF(MIN(K3170:T3170)=1,"SERVICE READY","HOLD"))</f>
        <v>SOURCE EMPTY / INDUSTRIAL ONLY</v>
      </c>
      <c r="V3170" s="9" t="n">
        <f aca="false">IF(U3170="SERVICE READY",1,0)</f>
        <v>0</v>
      </c>
      <c r="W3170" s="6"/>
      <c r="X3170" s="6"/>
      <c r="Y3170" s="6"/>
      <c r="Z3170" s="6"/>
    </row>
    <row r="3171" customFormat="false" ht="15" hidden="false" customHeight="false" outlineLevel="0" collapsed="false">
      <c r="A3171" s="9" t="s">
        <v>3446</v>
      </c>
      <c r="B3171" s="9" t="s">
        <v>3428</v>
      </c>
      <c r="C3171" s="9" t="s">
        <v>3429</v>
      </c>
      <c r="D3171" s="9" t="s">
        <v>2971</v>
      </c>
      <c r="E3171" s="9" t="s">
        <v>1660</v>
      </c>
      <c r="F3171" s="9" t="s">
        <v>205</v>
      </c>
      <c r="G3171" s="9" t="s">
        <v>201</v>
      </c>
      <c r="H3171" s="9" t="n">
        <v>1530</v>
      </c>
      <c r="I3171" s="29" t="n">
        <v>1</v>
      </c>
      <c r="J3171" s="9" t="n">
        <v>1</v>
      </c>
      <c r="K3171" s="30"/>
      <c r="L3171" s="30"/>
      <c r="M3171" s="30"/>
      <c r="N3171" s="30"/>
      <c r="O3171" s="30"/>
      <c r="P3171" s="30"/>
      <c r="Q3171" s="30"/>
      <c r="R3171" s="30"/>
      <c r="S3171" s="30"/>
      <c r="T3171" s="30"/>
      <c r="U3171" s="21" t="str">
        <f aca="false">IF(COUNT(K3171:T3171)=0,"SOURCE EMPTY / INDUSTRIAL ONLY",IF(MIN(K3171:T3171)=1,"SERVICE READY","HOLD"))</f>
        <v>SOURCE EMPTY / INDUSTRIAL ONLY</v>
      </c>
      <c r="V3171" s="9" t="n">
        <f aca="false">IF(U3171="SERVICE READY",1,0)</f>
        <v>0</v>
      </c>
      <c r="W3171" s="6"/>
      <c r="X3171" s="6"/>
      <c r="Y3171" s="6"/>
      <c r="Z3171" s="6"/>
    </row>
    <row r="3172" customFormat="false" ht="15" hidden="false" customHeight="false" outlineLevel="0" collapsed="false">
      <c r="A3172" s="9" t="s">
        <v>3447</v>
      </c>
      <c r="B3172" s="9" t="s">
        <v>3428</v>
      </c>
      <c r="C3172" s="9" t="s">
        <v>3429</v>
      </c>
      <c r="D3172" s="9" t="s">
        <v>2971</v>
      </c>
      <c r="E3172" s="9" t="s">
        <v>1660</v>
      </c>
      <c r="F3172" s="9" t="s">
        <v>207</v>
      </c>
      <c r="G3172" s="9" t="s">
        <v>198</v>
      </c>
      <c r="H3172" s="9" t="n">
        <v>1530</v>
      </c>
      <c r="I3172" s="29" t="n">
        <v>1</v>
      </c>
      <c r="J3172" s="9" t="n">
        <v>1</v>
      </c>
      <c r="K3172" s="30"/>
      <c r="L3172" s="30"/>
      <c r="M3172" s="30"/>
      <c r="N3172" s="30"/>
      <c r="O3172" s="30"/>
      <c r="P3172" s="30"/>
      <c r="Q3172" s="30"/>
      <c r="R3172" s="30"/>
      <c r="S3172" s="30"/>
      <c r="T3172" s="30"/>
      <c r="U3172" s="21" t="str">
        <f aca="false">IF(COUNT(K3172:T3172)=0,"SOURCE EMPTY / INDUSTRIAL ONLY",IF(MIN(K3172:T3172)=1,"SERVICE READY","HOLD"))</f>
        <v>SOURCE EMPTY / INDUSTRIAL ONLY</v>
      </c>
      <c r="V3172" s="9" t="n">
        <f aca="false">IF(U3172="SERVICE READY",1,0)</f>
        <v>0</v>
      </c>
      <c r="W3172" s="6"/>
      <c r="X3172" s="6"/>
      <c r="Y3172" s="6"/>
      <c r="Z3172" s="6"/>
    </row>
    <row r="3173" customFormat="false" ht="15" hidden="false" customHeight="false" outlineLevel="0" collapsed="false">
      <c r="A3173" s="9" t="s">
        <v>3448</v>
      </c>
      <c r="B3173" s="9" t="s">
        <v>3428</v>
      </c>
      <c r="C3173" s="9" t="s">
        <v>3429</v>
      </c>
      <c r="D3173" s="9" t="s">
        <v>2971</v>
      </c>
      <c r="E3173" s="9" t="s">
        <v>1660</v>
      </c>
      <c r="F3173" s="9" t="s">
        <v>209</v>
      </c>
      <c r="G3173" s="9" t="s">
        <v>201</v>
      </c>
      <c r="H3173" s="9" t="n">
        <v>1530</v>
      </c>
      <c r="I3173" s="29" t="n">
        <v>1</v>
      </c>
      <c r="J3173" s="9" t="n">
        <v>1</v>
      </c>
      <c r="K3173" s="30"/>
      <c r="L3173" s="30"/>
      <c r="M3173" s="30"/>
      <c r="N3173" s="30"/>
      <c r="O3173" s="30"/>
      <c r="P3173" s="30"/>
      <c r="Q3173" s="30"/>
      <c r="R3173" s="30"/>
      <c r="S3173" s="30"/>
      <c r="T3173" s="30"/>
      <c r="U3173" s="21" t="str">
        <f aca="false">IF(COUNT(K3173:T3173)=0,"SOURCE EMPTY / INDUSTRIAL ONLY",IF(MIN(K3173:T3173)=1,"SERVICE READY","HOLD"))</f>
        <v>SOURCE EMPTY / INDUSTRIAL ONLY</v>
      </c>
      <c r="V3173" s="9" t="n">
        <f aca="false">IF(U3173="SERVICE READY",1,0)</f>
        <v>0</v>
      </c>
      <c r="W3173" s="6"/>
      <c r="X3173" s="6"/>
      <c r="Y3173" s="6"/>
      <c r="Z3173" s="6"/>
    </row>
    <row r="3174" customFormat="false" ht="15" hidden="false" customHeight="false" outlineLevel="0" collapsed="false">
      <c r="A3174" s="9" t="s">
        <v>3449</v>
      </c>
      <c r="B3174" s="9" t="s">
        <v>3428</v>
      </c>
      <c r="C3174" s="9" t="s">
        <v>3429</v>
      </c>
      <c r="D3174" s="9" t="s">
        <v>2971</v>
      </c>
      <c r="E3174" s="9" t="s">
        <v>1660</v>
      </c>
      <c r="F3174" s="9" t="s">
        <v>211</v>
      </c>
      <c r="G3174" s="9" t="s">
        <v>198</v>
      </c>
      <c r="H3174" s="9" t="n">
        <v>1530</v>
      </c>
      <c r="I3174" s="29" t="n">
        <v>1</v>
      </c>
      <c r="J3174" s="9" t="n">
        <v>1</v>
      </c>
      <c r="K3174" s="30"/>
      <c r="L3174" s="30"/>
      <c r="M3174" s="30"/>
      <c r="N3174" s="30"/>
      <c r="O3174" s="30"/>
      <c r="P3174" s="30"/>
      <c r="Q3174" s="30"/>
      <c r="R3174" s="30"/>
      <c r="S3174" s="30"/>
      <c r="T3174" s="30"/>
      <c r="U3174" s="21" t="str">
        <f aca="false">IF(COUNT(K3174:T3174)=0,"SOURCE EMPTY / INDUSTRIAL ONLY",IF(MIN(K3174:T3174)=1,"SERVICE READY","HOLD"))</f>
        <v>SOURCE EMPTY / INDUSTRIAL ONLY</v>
      </c>
      <c r="V3174" s="9" t="n">
        <f aca="false">IF(U3174="SERVICE READY",1,0)</f>
        <v>0</v>
      </c>
      <c r="W3174" s="6"/>
      <c r="X3174" s="6"/>
      <c r="Y3174" s="6"/>
      <c r="Z3174" s="6"/>
    </row>
    <row r="3175" customFormat="false" ht="15" hidden="false" customHeight="false" outlineLevel="0" collapsed="false">
      <c r="A3175" s="9" t="s">
        <v>3450</v>
      </c>
      <c r="B3175" s="9" t="s">
        <v>3428</v>
      </c>
      <c r="C3175" s="9" t="s">
        <v>3429</v>
      </c>
      <c r="D3175" s="9" t="s">
        <v>2971</v>
      </c>
      <c r="E3175" s="9" t="s">
        <v>1660</v>
      </c>
      <c r="F3175" s="9" t="s">
        <v>197</v>
      </c>
      <c r="G3175" s="9" t="s">
        <v>201</v>
      </c>
      <c r="H3175" s="9" t="n">
        <v>1530</v>
      </c>
      <c r="I3175" s="29" t="n">
        <v>1</v>
      </c>
      <c r="J3175" s="9" t="n">
        <v>1</v>
      </c>
      <c r="K3175" s="30"/>
      <c r="L3175" s="30"/>
      <c r="M3175" s="30"/>
      <c r="N3175" s="30"/>
      <c r="O3175" s="30"/>
      <c r="P3175" s="30"/>
      <c r="Q3175" s="30"/>
      <c r="R3175" s="30"/>
      <c r="S3175" s="30"/>
      <c r="T3175" s="30"/>
      <c r="U3175" s="21" t="str">
        <f aca="false">IF(COUNT(K3175:T3175)=0,"SOURCE EMPTY / INDUSTRIAL ONLY",IF(MIN(K3175:T3175)=1,"SERVICE READY","HOLD"))</f>
        <v>SOURCE EMPTY / INDUSTRIAL ONLY</v>
      </c>
      <c r="V3175" s="9" t="n">
        <f aca="false">IF(U3175="SERVICE READY",1,0)</f>
        <v>0</v>
      </c>
      <c r="W3175" s="6"/>
      <c r="X3175" s="6"/>
      <c r="Y3175" s="6"/>
      <c r="Z3175" s="6"/>
    </row>
    <row r="3176" customFormat="false" ht="15" hidden="false" customHeight="false" outlineLevel="0" collapsed="false">
      <c r="A3176" s="9" t="s">
        <v>3451</v>
      </c>
      <c r="B3176" s="9" t="s">
        <v>3428</v>
      </c>
      <c r="C3176" s="9" t="s">
        <v>3429</v>
      </c>
      <c r="D3176" s="9" t="s">
        <v>2971</v>
      </c>
      <c r="E3176" s="9" t="s">
        <v>1660</v>
      </c>
      <c r="F3176" s="9" t="s">
        <v>200</v>
      </c>
      <c r="G3176" s="9" t="s">
        <v>198</v>
      </c>
      <c r="H3176" s="9" t="n">
        <v>1530</v>
      </c>
      <c r="I3176" s="29" t="n">
        <v>1</v>
      </c>
      <c r="J3176" s="9" t="n">
        <v>1</v>
      </c>
      <c r="K3176" s="30"/>
      <c r="L3176" s="30"/>
      <c r="M3176" s="30"/>
      <c r="N3176" s="30"/>
      <c r="O3176" s="30"/>
      <c r="P3176" s="30"/>
      <c r="Q3176" s="30"/>
      <c r="R3176" s="30"/>
      <c r="S3176" s="30"/>
      <c r="T3176" s="30"/>
      <c r="U3176" s="21" t="str">
        <f aca="false">IF(COUNT(K3176:T3176)=0,"SOURCE EMPTY / INDUSTRIAL ONLY",IF(MIN(K3176:T3176)=1,"SERVICE READY","HOLD"))</f>
        <v>SOURCE EMPTY / INDUSTRIAL ONLY</v>
      </c>
      <c r="V3176" s="9" t="n">
        <f aca="false">IF(U3176="SERVICE READY",1,0)</f>
        <v>0</v>
      </c>
      <c r="W3176" s="6"/>
      <c r="X3176" s="6"/>
      <c r="Y3176" s="6"/>
      <c r="Z3176" s="6"/>
    </row>
    <row r="3177" customFormat="false" ht="15" hidden="false" customHeight="false" outlineLevel="0" collapsed="false">
      <c r="A3177" s="9" t="s">
        <v>3452</v>
      </c>
      <c r="B3177" s="9" t="s">
        <v>3428</v>
      </c>
      <c r="C3177" s="9" t="s">
        <v>3429</v>
      </c>
      <c r="D3177" s="9" t="s">
        <v>2971</v>
      </c>
      <c r="E3177" s="9" t="s">
        <v>1660</v>
      </c>
      <c r="F3177" s="9" t="s">
        <v>203</v>
      </c>
      <c r="G3177" s="9" t="s">
        <v>201</v>
      </c>
      <c r="H3177" s="9" t="n">
        <v>1530</v>
      </c>
      <c r="I3177" s="29" t="n">
        <v>1</v>
      </c>
      <c r="J3177" s="9" t="n">
        <v>1</v>
      </c>
      <c r="K3177" s="30"/>
      <c r="L3177" s="30"/>
      <c r="M3177" s="30"/>
      <c r="N3177" s="30"/>
      <c r="O3177" s="30"/>
      <c r="P3177" s="30"/>
      <c r="Q3177" s="30"/>
      <c r="R3177" s="30"/>
      <c r="S3177" s="30"/>
      <c r="T3177" s="30"/>
      <c r="U3177" s="21" t="str">
        <f aca="false">IF(COUNT(K3177:T3177)=0,"SOURCE EMPTY / INDUSTRIAL ONLY",IF(MIN(K3177:T3177)=1,"SERVICE READY","HOLD"))</f>
        <v>SOURCE EMPTY / INDUSTRIAL ONLY</v>
      </c>
      <c r="V3177" s="9" t="n">
        <f aca="false">IF(U3177="SERVICE READY",1,0)</f>
        <v>0</v>
      </c>
      <c r="W3177" s="6"/>
      <c r="X3177" s="6"/>
      <c r="Y3177" s="6"/>
      <c r="Z3177" s="6"/>
    </row>
    <row r="3178" customFormat="false" ht="15" hidden="false" customHeight="false" outlineLevel="0" collapsed="false">
      <c r="A3178" s="9" t="s">
        <v>3453</v>
      </c>
      <c r="B3178" s="9" t="s">
        <v>3428</v>
      </c>
      <c r="C3178" s="9" t="s">
        <v>3429</v>
      </c>
      <c r="D3178" s="9" t="s">
        <v>2971</v>
      </c>
      <c r="E3178" s="9" t="s">
        <v>1660</v>
      </c>
      <c r="F3178" s="9" t="s">
        <v>205</v>
      </c>
      <c r="G3178" s="9" t="s">
        <v>198</v>
      </c>
      <c r="H3178" s="9" t="n">
        <v>1530</v>
      </c>
      <c r="I3178" s="29" t="n">
        <v>1</v>
      </c>
      <c r="J3178" s="9" t="n">
        <v>1</v>
      </c>
      <c r="K3178" s="30"/>
      <c r="L3178" s="30"/>
      <c r="M3178" s="30"/>
      <c r="N3178" s="30"/>
      <c r="O3178" s="30"/>
      <c r="P3178" s="30"/>
      <c r="Q3178" s="30"/>
      <c r="R3178" s="30"/>
      <c r="S3178" s="30"/>
      <c r="T3178" s="30"/>
      <c r="U3178" s="21" t="str">
        <f aca="false">IF(COUNT(K3178:T3178)=0,"SOURCE EMPTY / INDUSTRIAL ONLY",IF(MIN(K3178:T3178)=1,"SERVICE READY","HOLD"))</f>
        <v>SOURCE EMPTY / INDUSTRIAL ONLY</v>
      </c>
      <c r="V3178" s="9" t="n">
        <f aca="false">IF(U3178="SERVICE READY",1,0)</f>
        <v>0</v>
      </c>
      <c r="W3178" s="6"/>
      <c r="X3178" s="6"/>
      <c r="Y3178" s="6"/>
      <c r="Z3178" s="6"/>
    </row>
    <row r="3179" customFormat="false" ht="15" hidden="false" customHeight="false" outlineLevel="0" collapsed="false">
      <c r="A3179" s="9" t="s">
        <v>3454</v>
      </c>
      <c r="B3179" s="9" t="s">
        <v>3428</v>
      </c>
      <c r="C3179" s="9" t="s">
        <v>3429</v>
      </c>
      <c r="D3179" s="9" t="s">
        <v>2971</v>
      </c>
      <c r="E3179" s="9" t="s">
        <v>1660</v>
      </c>
      <c r="F3179" s="9" t="s">
        <v>207</v>
      </c>
      <c r="G3179" s="9" t="s">
        <v>201</v>
      </c>
      <c r="H3179" s="9" t="n">
        <v>1530</v>
      </c>
      <c r="I3179" s="29" t="n">
        <v>1</v>
      </c>
      <c r="J3179" s="9" t="n">
        <v>1</v>
      </c>
      <c r="K3179" s="30"/>
      <c r="L3179" s="30"/>
      <c r="M3179" s="30"/>
      <c r="N3179" s="30"/>
      <c r="O3179" s="30"/>
      <c r="P3179" s="30"/>
      <c r="Q3179" s="30"/>
      <c r="R3179" s="30"/>
      <c r="S3179" s="30"/>
      <c r="T3179" s="30"/>
      <c r="U3179" s="21" t="str">
        <f aca="false">IF(COUNT(K3179:T3179)=0,"SOURCE EMPTY / INDUSTRIAL ONLY",IF(MIN(K3179:T3179)=1,"SERVICE READY","HOLD"))</f>
        <v>SOURCE EMPTY / INDUSTRIAL ONLY</v>
      </c>
      <c r="V3179" s="9" t="n">
        <f aca="false">IF(U3179="SERVICE READY",1,0)</f>
        <v>0</v>
      </c>
      <c r="W3179" s="6"/>
      <c r="X3179" s="6"/>
      <c r="Y3179" s="6"/>
      <c r="Z3179" s="6"/>
    </row>
    <row r="3180" customFormat="false" ht="15" hidden="false" customHeight="false" outlineLevel="0" collapsed="false">
      <c r="A3180" s="9" t="s">
        <v>3455</v>
      </c>
      <c r="B3180" s="9" t="s">
        <v>3428</v>
      </c>
      <c r="C3180" s="9" t="s">
        <v>3429</v>
      </c>
      <c r="D3180" s="9" t="s">
        <v>2971</v>
      </c>
      <c r="E3180" s="9" t="s">
        <v>1660</v>
      </c>
      <c r="F3180" s="9" t="s">
        <v>209</v>
      </c>
      <c r="G3180" s="9" t="s">
        <v>198</v>
      </c>
      <c r="H3180" s="9" t="n">
        <v>1530</v>
      </c>
      <c r="I3180" s="29" t="n">
        <v>1</v>
      </c>
      <c r="J3180" s="9" t="n">
        <v>1</v>
      </c>
      <c r="K3180" s="30"/>
      <c r="L3180" s="30"/>
      <c r="M3180" s="30"/>
      <c r="N3180" s="30"/>
      <c r="O3180" s="30"/>
      <c r="P3180" s="30"/>
      <c r="Q3180" s="30"/>
      <c r="R3180" s="30"/>
      <c r="S3180" s="30"/>
      <c r="T3180" s="30"/>
      <c r="U3180" s="21" t="str">
        <f aca="false">IF(COUNT(K3180:T3180)=0,"SOURCE EMPTY / INDUSTRIAL ONLY",IF(MIN(K3180:T3180)=1,"SERVICE READY","HOLD"))</f>
        <v>SOURCE EMPTY / INDUSTRIAL ONLY</v>
      </c>
      <c r="V3180" s="9" t="n">
        <f aca="false">IF(U3180="SERVICE READY",1,0)</f>
        <v>0</v>
      </c>
      <c r="W3180" s="6"/>
      <c r="X3180" s="6"/>
      <c r="Y3180" s="6"/>
      <c r="Z3180" s="6"/>
    </row>
    <row r="3181" customFormat="false" ht="15" hidden="false" customHeight="false" outlineLevel="0" collapsed="false">
      <c r="A3181" s="9" t="s">
        <v>3456</v>
      </c>
      <c r="B3181" s="9" t="s">
        <v>3428</v>
      </c>
      <c r="C3181" s="9" t="s">
        <v>3429</v>
      </c>
      <c r="D3181" s="9" t="s">
        <v>2971</v>
      </c>
      <c r="E3181" s="9" t="s">
        <v>1660</v>
      </c>
      <c r="F3181" s="9" t="s">
        <v>211</v>
      </c>
      <c r="G3181" s="9" t="s">
        <v>221</v>
      </c>
      <c r="H3181" s="9" t="n">
        <v>1530</v>
      </c>
      <c r="I3181" s="29" t="n">
        <v>1</v>
      </c>
      <c r="J3181" s="9" t="n">
        <v>1</v>
      </c>
      <c r="K3181" s="30"/>
      <c r="L3181" s="30"/>
      <c r="M3181" s="30"/>
      <c r="N3181" s="30"/>
      <c r="O3181" s="30"/>
      <c r="P3181" s="30"/>
      <c r="Q3181" s="30"/>
      <c r="R3181" s="30"/>
      <c r="S3181" s="30"/>
      <c r="T3181" s="30"/>
      <c r="U3181" s="21" t="str">
        <f aca="false">IF(COUNT(K3181:T3181)=0,"SOURCE EMPTY / INDUSTRIAL ONLY",IF(MIN(K3181:T3181)=1,"SERVICE READY","HOLD"))</f>
        <v>SOURCE EMPTY / INDUSTRIAL ONLY</v>
      </c>
      <c r="V3181" s="9" t="n">
        <f aca="false">IF(U3181="SERVICE READY",1,0)</f>
        <v>0</v>
      </c>
      <c r="W3181" s="6"/>
      <c r="X3181" s="6"/>
      <c r="Y3181" s="6"/>
      <c r="Z3181" s="6"/>
    </row>
    <row r="3182" customFormat="false" ht="15" hidden="false" customHeight="false" outlineLevel="0" collapsed="false">
      <c r="A3182" s="9" t="s">
        <v>3457</v>
      </c>
      <c r="B3182" s="9" t="s">
        <v>3428</v>
      </c>
      <c r="C3182" s="9" t="s">
        <v>3429</v>
      </c>
      <c r="D3182" s="9" t="s">
        <v>2971</v>
      </c>
      <c r="E3182" s="9" t="s">
        <v>1660</v>
      </c>
      <c r="F3182" s="9" t="s">
        <v>197</v>
      </c>
      <c r="G3182" s="9" t="s">
        <v>221</v>
      </c>
      <c r="H3182" s="9" t="n">
        <v>1530</v>
      </c>
      <c r="I3182" s="29" t="n">
        <v>1</v>
      </c>
      <c r="J3182" s="9" t="n">
        <v>1</v>
      </c>
      <c r="K3182" s="30"/>
      <c r="L3182" s="30"/>
      <c r="M3182" s="30"/>
      <c r="N3182" s="30"/>
      <c r="O3182" s="30"/>
      <c r="P3182" s="30"/>
      <c r="Q3182" s="30"/>
      <c r="R3182" s="30"/>
      <c r="S3182" s="30"/>
      <c r="T3182" s="30"/>
      <c r="U3182" s="21" t="str">
        <f aca="false">IF(COUNT(K3182:T3182)=0,"SOURCE EMPTY / INDUSTRIAL ONLY",IF(MIN(K3182:T3182)=1,"SERVICE READY","HOLD"))</f>
        <v>SOURCE EMPTY / INDUSTRIAL ONLY</v>
      </c>
      <c r="V3182" s="9" t="n">
        <f aca="false">IF(U3182="SERVICE READY",1,0)</f>
        <v>0</v>
      </c>
      <c r="W3182" s="6"/>
      <c r="X3182" s="6"/>
      <c r="Y3182" s="6"/>
      <c r="Z3182" s="6"/>
    </row>
    <row r="3183" customFormat="false" ht="15" hidden="false" customHeight="false" outlineLevel="0" collapsed="false">
      <c r="A3183" s="9" t="s">
        <v>3458</v>
      </c>
      <c r="B3183" s="9" t="s">
        <v>3428</v>
      </c>
      <c r="C3183" s="9" t="s">
        <v>3429</v>
      </c>
      <c r="D3183" s="9" t="s">
        <v>2971</v>
      </c>
      <c r="E3183" s="9" t="s">
        <v>1660</v>
      </c>
      <c r="F3183" s="9" t="s">
        <v>200</v>
      </c>
      <c r="G3183" s="9" t="s">
        <v>221</v>
      </c>
      <c r="H3183" s="9" t="n">
        <v>1530</v>
      </c>
      <c r="I3183" s="29" t="n">
        <v>1</v>
      </c>
      <c r="J3183" s="9" t="n">
        <v>1</v>
      </c>
      <c r="K3183" s="30"/>
      <c r="L3183" s="30"/>
      <c r="M3183" s="30"/>
      <c r="N3183" s="30"/>
      <c r="O3183" s="30"/>
      <c r="P3183" s="30"/>
      <c r="Q3183" s="30"/>
      <c r="R3183" s="30"/>
      <c r="S3183" s="30"/>
      <c r="T3183" s="30"/>
      <c r="U3183" s="21" t="str">
        <f aca="false">IF(COUNT(K3183:T3183)=0,"SOURCE EMPTY / INDUSTRIAL ONLY",IF(MIN(K3183:T3183)=1,"SERVICE READY","HOLD"))</f>
        <v>SOURCE EMPTY / INDUSTRIAL ONLY</v>
      </c>
      <c r="V3183" s="9" t="n">
        <f aca="false">IF(U3183="SERVICE READY",1,0)</f>
        <v>0</v>
      </c>
      <c r="W3183" s="6"/>
      <c r="X3183" s="6"/>
      <c r="Y3183" s="6"/>
      <c r="Z3183" s="6"/>
    </row>
    <row r="3184" customFormat="false" ht="15" hidden="false" customHeight="false" outlineLevel="0" collapsed="false">
      <c r="A3184" s="9" t="s">
        <v>3459</v>
      </c>
      <c r="B3184" s="9" t="s">
        <v>3428</v>
      </c>
      <c r="C3184" s="9" t="s">
        <v>3429</v>
      </c>
      <c r="D3184" s="9" t="s">
        <v>2971</v>
      </c>
      <c r="E3184" s="9" t="s">
        <v>1660</v>
      </c>
      <c r="F3184" s="9" t="s">
        <v>203</v>
      </c>
      <c r="G3184" s="9" t="s">
        <v>221</v>
      </c>
      <c r="H3184" s="9" t="n">
        <v>1530</v>
      </c>
      <c r="I3184" s="29" t="n">
        <v>1</v>
      </c>
      <c r="J3184" s="9" t="n">
        <v>1</v>
      </c>
      <c r="K3184" s="30"/>
      <c r="L3184" s="30"/>
      <c r="M3184" s="30"/>
      <c r="N3184" s="30"/>
      <c r="O3184" s="30"/>
      <c r="P3184" s="30"/>
      <c r="Q3184" s="30"/>
      <c r="R3184" s="30"/>
      <c r="S3184" s="30"/>
      <c r="T3184" s="30"/>
      <c r="U3184" s="21" t="str">
        <f aca="false">IF(COUNT(K3184:T3184)=0,"SOURCE EMPTY / INDUSTRIAL ONLY",IF(MIN(K3184:T3184)=1,"SERVICE READY","HOLD"))</f>
        <v>SOURCE EMPTY / INDUSTRIAL ONLY</v>
      </c>
      <c r="V3184" s="9" t="n">
        <f aca="false">IF(U3184="SERVICE READY",1,0)</f>
        <v>0</v>
      </c>
      <c r="W3184" s="6"/>
      <c r="X3184" s="6"/>
      <c r="Y3184" s="6"/>
      <c r="Z3184" s="6"/>
    </row>
    <row r="3185" customFormat="false" ht="15" hidden="false" customHeight="false" outlineLevel="0" collapsed="false">
      <c r="A3185" s="9" t="s">
        <v>3460</v>
      </c>
      <c r="B3185" s="9" t="s">
        <v>3428</v>
      </c>
      <c r="C3185" s="9" t="s">
        <v>3429</v>
      </c>
      <c r="D3185" s="9" t="s">
        <v>2971</v>
      </c>
      <c r="E3185" s="9" t="s">
        <v>1660</v>
      </c>
      <c r="F3185" s="9" t="s">
        <v>205</v>
      </c>
      <c r="G3185" s="9" t="s">
        <v>221</v>
      </c>
      <c r="H3185" s="9" t="n">
        <v>1530</v>
      </c>
      <c r="I3185" s="29" t="n">
        <v>1</v>
      </c>
      <c r="J3185" s="9" t="n">
        <v>1</v>
      </c>
      <c r="K3185" s="30"/>
      <c r="L3185" s="30"/>
      <c r="M3185" s="30"/>
      <c r="N3185" s="30"/>
      <c r="O3185" s="30"/>
      <c r="P3185" s="30"/>
      <c r="Q3185" s="30"/>
      <c r="R3185" s="30"/>
      <c r="S3185" s="30"/>
      <c r="T3185" s="30"/>
      <c r="U3185" s="21" t="str">
        <f aca="false">IF(COUNT(K3185:T3185)=0,"SOURCE EMPTY / INDUSTRIAL ONLY",IF(MIN(K3185:T3185)=1,"SERVICE READY","HOLD"))</f>
        <v>SOURCE EMPTY / INDUSTRIAL ONLY</v>
      </c>
      <c r="V3185" s="9" t="n">
        <f aca="false">IF(U3185="SERVICE READY",1,0)</f>
        <v>0</v>
      </c>
      <c r="W3185" s="6"/>
      <c r="X3185" s="6"/>
      <c r="Y3185" s="6"/>
      <c r="Z3185" s="6"/>
    </row>
    <row r="3186" customFormat="false" ht="15" hidden="false" customHeight="false" outlineLevel="0" collapsed="false">
      <c r="A3186" s="9" t="s">
        <v>3461</v>
      </c>
      <c r="B3186" s="9" t="s">
        <v>3428</v>
      </c>
      <c r="C3186" s="9" t="s">
        <v>3429</v>
      </c>
      <c r="D3186" s="9" t="s">
        <v>2971</v>
      </c>
      <c r="E3186" s="9" t="s">
        <v>1660</v>
      </c>
      <c r="F3186" s="9" t="s">
        <v>207</v>
      </c>
      <c r="G3186" s="9" t="s">
        <v>221</v>
      </c>
      <c r="H3186" s="9" t="n">
        <v>1530</v>
      </c>
      <c r="I3186" s="29" t="n">
        <v>1</v>
      </c>
      <c r="J3186" s="9" t="n">
        <v>1</v>
      </c>
      <c r="K3186" s="30"/>
      <c r="L3186" s="30"/>
      <c r="M3186" s="30"/>
      <c r="N3186" s="30"/>
      <c r="O3186" s="30"/>
      <c r="P3186" s="30"/>
      <c r="Q3186" s="30"/>
      <c r="R3186" s="30"/>
      <c r="S3186" s="30"/>
      <c r="T3186" s="30"/>
      <c r="U3186" s="21" t="str">
        <f aca="false">IF(COUNT(K3186:T3186)=0,"SOURCE EMPTY / INDUSTRIAL ONLY",IF(MIN(K3186:T3186)=1,"SERVICE READY","HOLD"))</f>
        <v>SOURCE EMPTY / INDUSTRIAL ONLY</v>
      </c>
      <c r="V3186" s="9" t="n">
        <f aca="false">IF(U3186="SERVICE READY",1,0)</f>
        <v>0</v>
      </c>
      <c r="W3186" s="6"/>
      <c r="X3186" s="6"/>
      <c r="Y3186" s="6"/>
      <c r="Z3186" s="6"/>
    </row>
    <row r="3187" customFormat="false" ht="15" hidden="false" customHeight="false" outlineLevel="0" collapsed="false">
      <c r="A3187" s="9" t="s">
        <v>3462</v>
      </c>
      <c r="B3187" s="9" t="s">
        <v>3428</v>
      </c>
      <c r="C3187" s="9" t="s">
        <v>3429</v>
      </c>
      <c r="D3187" s="9" t="s">
        <v>2971</v>
      </c>
      <c r="E3187" s="9" t="s">
        <v>1660</v>
      </c>
      <c r="F3187" s="9" t="s">
        <v>209</v>
      </c>
      <c r="G3187" s="9" t="s">
        <v>221</v>
      </c>
      <c r="H3187" s="9" t="n">
        <v>1530</v>
      </c>
      <c r="I3187" s="29" t="n">
        <v>1</v>
      </c>
      <c r="J3187" s="9" t="n">
        <v>1</v>
      </c>
      <c r="K3187" s="30"/>
      <c r="L3187" s="30"/>
      <c r="M3187" s="30"/>
      <c r="N3187" s="30"/>
      <c r="O3187" s="30"/>
      <c r="P3187" s="30"/>
      <c r="Q3187" s="30"/>
      <c r="R3187" s="30"/>
      <c r="S3187" s="30"/>
      <c r="T3187" s="30"/>
      <c r="U3187" s="21" t="str">
        <f aca="false">IF(COUNT(K3187:T3187)=0,"SOURCE EMPTY / INDUSTRIAL ONLY",IF(MIN(K3187:T3187)=1,"SERVICE READY","HOLD"))</f>
        <v>SOURCE EMPTY / INDUSTRIAL ONLY</v>
      </c>
      <c r="V3187" s="9" t="n">
        <f aca="false">IF(U3187="SERVICE READY",1,0)</f>
        <v>0</v>
      </c>
      <c r="W3187" s="6"/>
      <c r="X3187" s="6"/>
      <c r="Y3187" s="6"/>
      <c r="Z3187" s="6"/>
    </row>
    <row r="3188" customFormat="false" ht="15" hidden="false" customHeight="false" outlineLevel="0" collapsed="false">
      <c r="A3188" s="9" t="s">
        <v>3463</v>
      </c>
      <c r="B3188" s="9" t="s">
        <v>3428</v>
      </c>
      <c r="C3188" s="9" t="s">
        <v>3429</v>
      </c>
      <c r="D3188" s="9" t="s">
        <v>2971</v>
      </c>
      <c r="E3188" s="9" t="s">
        <v>1660</v>
      </c>
      <c r="F3188" s="9" t="s">
        <v>211</v>
      </c>
      <c r="G3188" s="9" t="s">
        <v>221</v>
      </c>
      <c r="H3188" s="9" t="n">
        <v>1530</v>
      </c>
      <c r="I3188" s="29" t="n">
        <v>1</v>
      </c>
      <c r="J3188" s="9" t="n">
        <v>1</v>
      </c>
      <c r="K3188" s="30"/>
      <c r="L3188" s="30"/>
      <c r="M3188" s="30"/>
      <c r="N3188" s="30"/>
      <c r="O3188" s="30"/>
      <c r="P3188" s="30"/>
      <c r="Q3188" s="30"/>
      <c r="R3188" s="30"/>
      <c r="S3188" s="30"/>
      <c r="T3188" s="30"/>
      <c r="U3188" s="21" t="str">
        <f aca="false">IF(COUNT(K3188:T3188)=0,"SOURCE EMPTY / INDUSTRIAL ONLY",IF(MIN(K3188:T3188)=1,"SERVICE READY","HOLD"))</f>
        <v>SOURCE EMPTY / INDUSTRIAL ONLY</v>
      </c>
      <c r="V3188" s="9" t="n">
        <f aca="false">IF(U3188="SERVICE READY",1,0)</f>
        <v>0</v>
      </c>
      <c r="W3188" s="6"/>
      <c r="X3188" s="6"/>
      <c r="Y3188" s="6"/>
      <c r="Z3188" s="6"/>
    </row>
    <row r="3189" customFormat="false" ht="15" hidden="false" customHeight="false" outlineLevel="0" collapsed="false">
      <c r="A3189" s="9" t="s">
        <v>3464</v>
      </c>
      <c r="B3189" s="9" t="s">
        <v>3428</v>
      </c>
      <c r="C3189" s="9" t="s">
        <v>3429</v>
      </c>
      <c r="D3189" s="9" t="s">
        <v>2971</v>
      </c>
      <c r="E3189" s="9" t="s">
        <v>1660</v>
      </c>
      <c r="F3189" s="9" t="s">
        <v>197</v>
      </c>
      <c r="G3189" s="9" t="s">
        <v>221</v>
      </c>
      <c r="H3189" s="9" t="n">
        <v>1530</v>
      </c>
      <c r="I3189" s="29" t="n">
        <v>1</v>
      </c>
      <c r="J3189" s="9" t="n">
        <v>1</v>
      </c>
      <c r="K3189" s="30"/>
      <c r="L3189" s="30"/>
      <c r="M3189" s="30"/>
      <c r="N3189" s="30"/>
      <c r="O3189" s="30"/>
      <c r="P3189" s="30"/>
      <c r="Q3189" s="30"/>
      <c r="R3189" s="30"/>
      <c r="S3189" s="30"/>
      <c r="T3189" s="30"/>
      <c r="U3189" s="21" t="str">
        <f aca="false">IF(COUNT(K3189:T3189)=0,"SOURCE EMPTY / INDUSTRIAL ONLY",IF(MIN(K3189:T3189)=1,"SERVICE READY","HOLD"))</f>
        <v>SOURCE EMPTY / INDUSTRIAL ONLY</v>
      </c>
      <c r="V3189" s="9" t="n">
        <f aca="false">IF(U3189="SERVICE READY",1,0)</f>
        <v>0</v>
      </c>
      <c r="W3189" s="6"/>
      <c r="X3189" s="6"/>
      <c r="Y3189" s="6"/>
      <c r="Z3189" s="6"/>
    </row>
    <row r="3190" customFormat="false" ht="15" hidden="false" customHeight="false" outlineLevel="0" collapsed="false">
      <c r="A3190" s="9" t="s">
        <v>3465</v>
      </c>
      <c r="B3190" s="9" t="s">
        <v>3428</v>
      </c>
      <c r="C3190" s="9" t="s">
        <v>3429</v>
      </c>
      <c r="D3190" s="9" t="s">
        <v>2971</v>
      </c>
      <c r="E3190" s="9" t="s">
        <v>1660</v>
      </c>
      <c r="F3190" s="9" t="s">
        <v>200</v>
      </c>
      <c r="G3190" s="9" t="s">
        <v>221</v>
      </c>
      <c r="H3190" s="9" t="n">
        <v>1530</v>
      </c>
      <c r="I3190" s="29" t="n">
        <v>1</v>
      </c>
      <c r="J3190" s="9" t="n">
        <v>1</v>
      </c>
      <c r="K3190" s="30"/>
      <c r="L3190" s="30"/>
      <c r="M3190" s="30"/>
      <c r="N3190" s="30"/>
      <c r="O3190" s="30"/>
      <c r="P3190" s="30"/>
      <c r="Q3190" s="30"/>
      <c r="R3190" s="30"/>
      <c r="S3190" s="30"/>
      <c r="T3190" s="30"/>
      <c r="U3190" s="21" t="str">
        <f aca="false">IF(COUNT(K3190:T3190)=0,"SOURCE EMPTY / INDUSTRIAL ONLY",IF(MIN(K3190:T3190)=1,"SERVICE READY","HOLD"))</f>
        <v>SOURCE EMPTY / INDUSTRIAL ONLY</v>
      </c>
      <c r="V3190" s="9" t="n">
        <f aca="false">IF(U3190="SERVICE READY",1,0)</f>
        <v>0</v>
      </c>
      <c r="W3190" s="6"/>
      <c r="X3190" s="6"/>
      <c r="Y3190" s="6"/>
      <c r="Z3190" s="6"/>
    </row>
    <row r="3191" customFormat="false" ht="15" hidden="false" customHeight="false" outlineLevel="0" collapsed="false">
      <c r="A3191" s="9" t="s">
        <v>3466</v>
      </c>
      <c r="B3191" s="9" t="s">
        <v>3428</v>
      </c>
      <c r="C3191" s="9" t="s">
        <v>3429</v>
      </c>
      <c r="D3191" s="9" t="s">
        <v>2971</v>
      </c>
      <c r="E3191" s="9" t="s">
        <v>1660</v>
      </c>
      <c r="F3191" s="9" t="s">
        <v>203</v>
      </c>
      <c r="G3191" s="9" t="s">
        <v>221</v>
      </c>
      <c r="H3191" s="9" t="n">
        <v>1530</v>
      </c>
      <c r="I3191" s="29" t="n">
        <v>1</v>
      </c>
      <c r="J3191" s="9" t="n">
        <v>1</v>
      </c>
      <c r="K3191" s="30"/>
      <c r="L3191" s="30"/>
      <c r="M3191" s="30"/>
      <c r="N3191" s="30"/>
      <c r="O3191" s="30"/>
      <c r="P3191" s="30"/>
      <c r="Q3191" s="30"/>
      <c r="R3191" s="30"/>
      <c r="S3191" s="30"/>
      <c r="T3191" s="30"/>
      <c r="U3191" s="21" t="str">
        <f aca="false">IF(COUNT(K3191:T3191)=0,"SOURCE EMPTY / INDUSTRIAL ONLY",IF(MIN(K3191:T3191)=1,"SERVICE READY","HOLD"))</f>
        <v>SOURCE EMPTY / INDUSTRIAL ONLY</v>
      </c>
      <c r="V3191" s="9" t="n">
        <f aca="false">IF(U3191="SERVICE READY",1,0)</f>
        <v>0</v>
      </c>
      <c r="W3191" s="6"/>
      <c r="X3191" s="6"/>
      <c r="Y3191" s="6"/>
      <c r="Z3191" s="6"/>
    </row>
    <row r="3192" customFormat="false" ht="15" hidden="false" customHeight="false" outlineLevel="0" collapsed="false">
      <c r="A3192" s="9" t="s">
        <v>3467</v>
      </c>
      <c r="B3192" s="9" t="s">
        <v>3428</v>
      </c>
      <c r="C3192" s="9" t="s">
        <v>3429</v>
      </c>
      <c r="D3192" s="9" t="s">
        <v>2971</v>
      </c>
      <c r="E3192" s="9" t="s">
        <v>1660</v>
      </c>
      <c r="F3192" s="9" t="s">
        <v>205</v>
      </c>
      <c r="G3192" s="9" t="s">
        <v>221</v>
      </c>
      <c r="H3192" s="9" t="n">
        <v>1530</v>
      </c>
      <c r="I3192" s="29" t="n">
        <v>1</v>
      </c>
      <c r="J3192" s="9" t="n">
        <v>1</v>
      </c>
      <c r="K3192" s="30"/>
      <c r="L3192" s="30"/>
      <c r="M3192" s="30"/>
      <c r="N3192" s="30"/>
      <c r="O3192" s="30"/>
      <c r="P3192" s="30"/>
      <c r="Q3192" s="30"/>
      <c r="R3192" s="30"/>
      <c r="S3192" s="30"/>
      <c r="T3192" s="30"/>
      <c r="U3192" s="21" t="str">
        <f aca="false">IF(COUNT(K3192:T3192)=0,"SOURCE EMPTY / INDUSTRIAL ONLY",IF(MIN(K3192:T3192)=1,"SERVICE READY","HOLD"))</f>
        <v>SOURCE EMPTY / INDUSTRIAL ONLY</v>
      </c>
      <c r="V3192" s="9" t="n">
        <f aca="false">IF(U3192="SERVICE READY",1,0)</f>
        <v>0</v>
      </c>
      <c r="W3192" s="6"/>
      <c r="X3192" s="6"/>
      <c r="Y3192" s="6"/>
      <c r="Z3192" s="6"/>
    </row>
    <row r="3193" customFormat="false" ht="15" hidden="false" customHeight="false" outlineLevel="0" collapsed="false">
      <c r="A3193" s="9" t="s">
        <v>3468</v>
      </c>
      <c r="B3193" s="9" t="s">
        <v>3428</v>
      </c>
      <c r="C3193" s="9" t="s">
        <v>3429</v>
      </c>
      <c r="D3193" s="9" t="s">
        <v>2971</v>
      </c>
      <c r="E3193" s="9" t="s">
        <v>1660</v>
      </c>
      <c r="F3193" s="9" t="s">
        <v>207</v>
      </c>
      <c r="G3193" s="9" t="s">
        <v>221</v>
      </c>
      <c r="H3193" s="9" t="n">
        <v>1530</v>
      </c>
      <c r="I3193" s="29" t="n">
        <v>1</v>
      </c>
      <c r="J3193" s="9" t="n">
        <v>1</v>
      </c>
      <c r="K3193" s="30"/>
      <c r="L3193" s="30"/>
      <c r="M3193" s="30"/>
      <c r="N3193" s="30"/>
      <c r="O3193" s="30"/>
      <c r="P3193" s="30"/>
      <c r="Q3193" s="30"/>
      <c r="R3193" s="30"/>
      <c r="S3193" s="30"/>
      <c r="T3193" s="30"/>
      <c r="U3193" s="21" t="str">
        <f aca="false">IF(COUNT(K3193:T3193)=0,"SOURCE EMPTY / INDUSTRIAL ONLY",IF(MIN(K3193:T3193)=1,"SERVICE READY","HOLD"))</f>
        <v>SOURCE EMPTY / INDUSTRIAL ONLY</v>
      </c>
      <c r="V3193" s="9" t="n">
        <f aca="false">IF(U3193="SERVICE READY",1,0)</f>
        <v>0</v>
      </c>
      <c r="W3193" s="6"/>
      <c r="X3193" s="6"/>
      <c r="Y3193" s="6"/>
      <c r="Z3193" s="6"/>
    </row>
    <row r="3194" customFormat="false" ht="15" hidden="false" customHeight="false" outlineLevel="0" collapsed="false">
      <c r="A3194" s="9" t="s">
        <v>3469</v>
      </c>
      <c r="B3194" s="9" t="s">
        <v>3428</v>
      </c>
      <c r="C3194" s="9" t="s">
        <v>3429</v>
      </c>
      <c r="D3194" s="9" t="s">
        <v>2971</v>
      </c>
      <c r="E3194" s="9" t="s">
        <v>1660</v>
      </c>
      <c r="F3194" s="9" t="s">
        <v>209</v>
      </c>
      <c r="G3194" s="9" t="s">
        <v>221</v>
      </c>
      <c r="H3194" s="9" t="n">
        <v>1530</v>
      </c>
      <c r="I3194" s="29" t="n">
        <v>1</v>
      </c>
      <c r="J3194" s="9" t="n">
        <v>1</v>
      </c>
      <c r="K3194" s="30"/>
      <c r="L3194" s="30"/>
      <c r="M3194" s="30"/>
      <c r="N3194" s="30"/>
      <c r="O3194" s="30"/>
      <c r="P3194" s="30"/>
      <c r="Q3194" s="30"/>
      <c r="R3194" s="30"/>
      <c r="S3194" s="30"/>
      <c r="T3194" s="30"/>
      <c r="U3194" s="21" t="str">
        <f aca="false">IF(COUNT(K3194:T3194)=0,"SOURCE EMPTY / INDUSTRIAL ONLY",IF(MIN(K3194:T3194)=1,"SERVICE READY","HOLD"))</f>
        <v>SOURCE EMPTY / INDUSTRIAL ONLY</v>
      </c>
      <c r="V3194" s="9" t="n">
        <f aca="false">IF(U3194="SERVICE READY",1,0)</f>
        <v>0</v>
      </c>
      <c r="W3194" s="6"/>
      <c r="X3194" s="6"/>
      <c r="Y3194" s="6"/>
      <c r="Z3194" s="6"/>
    </row>
    <row r="3195" customFormat="false" ht="15" hidden="false" customHeight="false" outlineLevel="0" collapsed="false">
      <c r="A3195" s="9" t="s">
        <v>3470</v>
      </c>
      <c r="B3195" s="9" t="s">
        <v>3428</v>
      </c>
      <c r="C3195" s="9" t="s">
        <v>3429</v>
      </c>
      <c r="D3195" s="9" t="s">
        <v>2971</v>
      </c>
      <c r="E3195" s="9" t="s">
        <v>1660</v>
      </c>
      <c r="F3195" s="9" t="s">
        <v>211</v>
      </c>
      <c r="G3195" s="9" t="s">
        <v>221</v>
      </c>
      <c r="H3195" s="9" t="n">
        <v>1530</v>
      </c>
      <c r="I3195" s="29" t="n">
        <v>1</v>
      </c>
      <c r="J3195" s="9" t="n">
        <v>1</v>
      </c>
      <c r="K3195" s="30"/>
      <c r="L3195" s="30"/>
      <c r="M3195" s="30"/>
      <c r="N3195" s="30"/>
      <c r="O3195" s="30"/>
      <c r="P3195" s="30"/>
      <c r="Q3195" s="30"/>
      <c r="R3195" s="30"/>
      <c r="S3195" s="30"/>
      <c r="T3195" s="30"/>
      <c r="U3195" s="21" t="str">
        <f aca="false">IF(COUNT(K3195:T3195)=0,"SOURCE EMPTY / INDUSTRIAL ONLY",IF(MIN(K3195:T3195)=1,"SERVICE READY","HOLD"))</f>
        <v>SOURCE EMPTY / INDUSTRIAL ONLY</v>
      </c>
      <c r="V3195" s="9" t="n">
        <f aca="false">IF(U3195="SERVICE READY",1,0)</f>
        <v>0</v>
      </c>
      <c r="W3195" s="6"/>
      <c r="X3195" s="6"/>
      <c r="Y3195" s="6"/>
      <c r="Z3195" s="6"/>
    </row>
    <row r="3196" customFormat="false" ht="15" hidden="false" customHeight="false" outlineLevel="0" collapsed="false">
      <c r="A3196" s="9" t="s">
        <v>3471</v>
      </c>
      <c r="B3196" s="9" t="s">
        <v>3428</v>
      </c>
      <c r="C3196" s="9" t="s">
        <v>3429</v>
      </c>
      <c r="D3196" s="9" t="s">
        <v>2971</v>
      </c>
      <c r="E3196" s="9" t="s">
        <v>1660</v>
      </c>
      <c r="F3196" s="9" t="s">
        <v>197</v>
      </c>
      <c r="G3196" s="9" t="s">
        <v>221</v>
      </c>
      <c r="H3196" s="9" t="n">
        <v>1530</v>
      </c>
      <c r="I3196" s="29" t="n">
        <v>1</v>
      </c>
      <c r="J3196" s="9" t="n">
        <v>1</v>
      </c>
      <c r="K3196" s="30"/>
      <c r="L3196" s="30"/>
      <c r="M3196" s="30"/>
      <c r="N3196" s="30"/>
      <c r="O3196" s="30"/>
      <c r="P3196" s="30"/>
      <c r="Q3196" s="30"/>
      <c r="R3196" s="30"/>
      <c r="S3196" s="30"/>
      <c r="T3196" s="30"/>
      <c r="U3196" s="21" t="str">
        <f aca="false">IF(COUNT(K3196:T3196)=0,"SOURCE EMPTY / INDUSTRIAL ONLY",IF(MIN(K3196:T3196)=1,"SERVICE READY","HOLD"))</f>
        <v>SOURCE EMPTY / INDUSTRIAL ONLY</v>
      </c>
      <c r="V3196" s="9" t="n">
        <f aca="false">IF(U3196="SERVICE READY",1,0)</f>
        <v>0</v>
      </c>
      <c r="W3196" s="6"/>
      <c r="X3196" s="6"/>
      <c r="Y3196" s="6"/>
      <c r="Z3196" s="6"/>
    </row>
    <row r="3197" customFormat="false" ht="15" hidden="false" customHeight="false" outlineLevel="0" collapsed="false">
      <c r="A3197" s="9" t="s">
        <v>3472</v>
      </c>
      <c r="B3197" s="9" t="s">
        <v>3428</v>
      </c>
      <c r="C3197" s="9" t="s">
        <v>3429</v>
      </c>
      <c r="D3197" s="9" t="s">
        <v>2971</v>
      </c>
      <c r="E3197" s="9" t="s">
        <v>1660</v>
      </c>
      <c r="F3197" s="9" t="s">
        <v>200</v>
      </c>
      <c r="G3197" s="9" t="s">
        <v>221</v>
      </c>
      <c r="H3197" s="9" t="n">
        <v>1530</v>
      </c>
      <c r="I3197" s="29" t="n">
        <v>1</v>
      </c>
      <c r="J3197" s="9" t="n">
        <v>1</v>
      </c>
      <c r="K3197" s="30"/>
      <c r="L3197" s="30"/>
      <c r="M3197" s="30"/>
      <c r="N3197" s="30"/>
      <c r="O3197" s="30"/>
      <c r="P3197" s="30"/>
      <c r="Q3197" s="30"/>
      <c r="R3197" s="30"/>
      <c r="S3197" s="30"/>
      <c r="T3197" s="30"/>
      <c r="U3197" s="21" t="str">
        <f aca="false">IF(COUNT(K3197:T3197)=0,"SOURCE EMPTY / INDUSTRIAL ONLY",IF(MIN(K3197:T3197)=1,"SERVICE READY","HOLD"))</f>
        <v>SOURCE EMPTY / INDUSTRIAL ONLY</v>
      </c>
      <c r="V3197" s="9" t="n">
        <f aca="false">IF(U3197="SERVICE READY",1,0)</f>
        <v>0</v>
      </c>
      <c r="W3197" s="6"/>
      <c r="X3197" s="6"/>
      <c r="Y3197" s="6"/>
      <c r="Z3197" s="6"/>
    </row>
    <row r="3198" customFormat="false" ht="15" hidden="false" customHeight="false" outlineLevel="0" collapsed="false">
      <c r="A3198" s="9" t="s">
        <v>3473</v>
      </c>
      <c r="B3198" s="9" t="s">
        <v>3428</v>
      </c>
      <c r="C3198" s="9" t="s">
        <v>3429</v>
      </c>
      <c r="D3198" s="9" t="s">
        <v>2971</v>
      </c>
      <c r="E3198" s="9" t="s">
        <v>1660</v>
      </c>
      <c r="F3198" s="9" t="s">
        <v>203</v>
      </c>
      <c r="G3198" s="9" t="s">
        <v>221</v>
      </c>
      <c r="H3198" s="9" t="n">
        <v>1530</v>
      </c>
      <c r="I3198" s="29" t="n">
        <v>1</v>
      </c>
      <c r="J3198" s="9" t="n">
        <v>1</v>
      </c>
      <c r="K3198" s="30"/>
      <c r="L3198" s="30"/>
      <c r="M3198" s="30"/>
      <c r="N3198" s="30"/>
      <c r="O3198" s="30"/>
      <c r="P3198" s="30"/>
      <c r="Q3198" s="30"/>
      <c r="R3198" s="30"/>
      <c r="S3198" s="30"/>
      <c r="T3198" s="30"/>
      <c r="U3198" s="21" t="str">
        <f aca="false">IF(COUNT(K3198:T3198)=0,"SOURCE EMPTY / INDUSTRIAL ONLY",IF(MIN(K3198:T3198)=1,"SERVICE READY","HOLD"))</f>
        <v>SOURCE EMPTY / INDUSTRIAL ONLY</v>
      </c>
      <c r="V3198" s="9" t="n">
        <f aca="false">IF(U3198="SERVICE READY",1,0)</f>
        <v>0</v>
      </c>
      <c r="W3198" s="6"/>
      <c r="X3198" s="6"/>
      <c r="Y3198" s="6"/>
      <c r="Z3198" s="6"/>
    </row>
    <row r="3199" customFormat="false" ht="15" hidden="false" customHeight="false" outlineLevel="0" collapsed="false">
      <c r="A3199" s="9" t="s">
        <v>3474</v>
      </c>
      <c r="B3199" s="9" t="s">
        <v>3428</v>
      </c>
      <c r="C3199" s="9" t="s">
        <v>3429</v>
      </c>
      <c r="D3199" s="9" t="s">
        <v>2971</v>
      </c>
      <c r="E3199" s="9" t="s">
        <v>1660</v>
      </c>
      <c r="F3199" s="9" t="s">
        <v>205</v>
      </c>
      <c r="G3199" s="9" t="s">
        <v>221</v>
      </c>
      <c r="H3199" s="9" t="n">
        <v>1530</v>
      </c>
      <c r="I3199" s="29" t="n">
        <v>1</v>
      </c>
      <c r="J3199" s="9" t="n">
        <v>1</v>
      </c>
      <c r="K3199" s="30"/>
      <c r="L3199" s="30"/>
      <c r="M3199" s="30"/>
      <c r="N3199" s="30"/>
      <c r="O3199" s="30"/>
      <c r="P3199" s="30"/>
      <c r="Q3199" s="30"/>
      <c r="R3199" s="30"/>
      <c r="S3199" s="30"/>
      <c r="T3199" s="30"/>
      <c r="U3199" s="21" t="str">
        <f aca="false">IF(COUNT(K3199:T3199)=0,"SOURCE EMPTY / INDUSTRIAL ONLY",IF(MIN(K3199:T3199)=1,"SERVICE READY","HOLD"))</f>
        <v>SOURCE EMPTY / INDUSTRIAL ONLY</v>
      </c>
      <c r="V3199" s="9" t="n">
        <f aca="false">IF(U3199="SERVICE READY",1,0)</f>
        <v>0</v>
      </c>
      <c r="W3199" s="6"/>
      <c r="X3199" s="6"/>
      <c r="Y3199" s="6"/>
      <c r="Z3199" s="6"/>
    </row>
    <row r="3200" customFormat="false" ht="15" hidden="false" customHeight="false" outlineLevel="0" collapsed="false">
      <c r="A3200" s="9" t="s">
        <v>3475</v>
      </c>
      <c r="B3200" s="9" t="s">
        <v>3428</v>
      </c>
      <c r="C3200" s="9" t="s">
        <v>3429</v>
      </c>
      <c r="D3200" s="9" t="s">
        <v>2971</v>
      </c>
      <c r="E3200" s="9" t="s">
        <v>1660</v>
      </c>
      <c r="F3200" s="9" t="s">
        <v>207</v>
      </c>
      <c r="G3200" s="9" t="s">
        <v>221</v>
      </c>
      <c r="H3200" s="9" t="n">
        <v>1530</v>
      </c>
      <c r="I3200" s="29" t="n">
        <v>1</v>
      </c>
      <c r="J3200" s="9" t="n">
        <v>1</v>
      </c>
      <c r="K3200" s="30"/>
      <c r="L3200" s="30"/>
      <c r="M3200" s="30"/>
      <c r="N3200" s="30"/>
      <c r="O3200" s="30"/>
      <c r="P3200" s="30"/>
      <c r="Q3200" s="30"/>
      <c r="R3200" s="30"/>
      <c r="S3200" s="30"/>
      <c r="T3200" s="30"/>
      <c r="U3200" s="21" t="str">
        <f aca="false">IF(COUNT(K3200:T3200)=0,"SOURCE EMPTY / INDUSTRIAL ONLY",IF(MIN(K3200:T3200)=1,"SERVICE READY","HOLD"))</f>
        <v>SOURCE EMPTY / INDUSTRIAL ONLY</v>
      </c>
      <c r="V3200" s="9" t="n">
        <f aca="false">IF(U3200="SERVICE READY",1,0)</f>
        <v>0</v>
      </c>
      <c r="W3200" s="6"/>
      <c r="X3200" s="6"/>
      <c r="Y3200" s="6"/>
      <c r="Z3200" s="6"/>
    </row>
    <row r="3201" customFormat="false" ht="15" hidden="false" customHeight="false" outlineLevel="0" collapsed="false">
      <c r="A3201" s="9" t="s">
        <v>3476</v>
      </c>
      <c r="B3201" s="9" t="s">
        <v>3428</v>
      </c>
      <c r="C3201" s="9" t="s">
        <v>3429</v>
      </c>
      <c r="D3201" s="9" t="s">
        <v>2971</v>
      </c>
      <c r="E3201" s="9" t="s">
        <v>1660</v>
      </c>
      <c r="F3201" s="9" t="s">
        <v>209</v>
      </c>
      <c r="G3201" s="9" t="s">
        <v>221</v>
      </c>
      <c r="H3201" s="9" t="n">
        <v>1530</v>
      </c>
      <c r="I3201" s="29" t="n">
        <v>1</v>
      </c>
      <c r="J3201" s="9" t="n">
        <v>1</v>
      </c>
      <c r="K3201" s="30"/>
      <c r="L3201" s="30"/>
      <c r="M3201" s="30"/>
      <c r="N3201" s="30"/>
      <c r="O3201" s="30"/>
      <c r="P3201" s="30"/>
      <c r="Q3201" s="30"/>
      <c r="R3201" s="30"/>
      <c r="S3201" s="30"/>
      <c r="T3201" s="30"/>
      <c r="U3201" s="21" t="str">
        <f aca="false">IF(COUNT(K3201:T3201)=0,"SOURCE EMPTY / INDUSTRIAL ONLY",IF(MIN(K3201:T3201)=1,"SERVICE READY","HOLD"))</f>
        <v>SOURCE EMPTY / INDUSTRIAL ONLY</v>
      </c>
      <c r="V3201" s="9" t="n">
        <f aca="false">IF(U3201="SERVICE READY",1,0)</f>
        <v>0</v>
      </c>
      <c r="W3201" s="6"/>
      <c r="X3201" s="6"/>
      <c r="Y3201" s="6"/>
      <c r="Z3201" s="6"/>
    </row>
    <row r="3202" customFormat="false" ht="15" hidden="false" customHeight="false" outlineLevel="0" collapsed="false">
      <c r="A3202" s="9" t="s">
        <v>3477</v>
      </c>
      <c r="B3202" s="9" t="s">
        <v>3428</v>
      </c>
      <c r="C3202" s="9" t="s">
        <v>3429</v>
      </c>
      <c r="D3202" s="9" t="s">
        <v>2971</v>
      </c>
      <c r="E3202" s="9" t="s">
        <v>1660</v>
      </c>
      <c r="F3202" s="9" t="s">
        <v>211</v>
      </c>
      <c r="G3202" s="9" t="s">
        <v>221</v>
      </c>
      <c r="H3202" s="9" t="n">
        <v>1530</v>
      </c>
      <c r="I3202" s="29" t="n">
        <v>1</v>
      </c>
      <c r="J3202" s="9" t="n">
        <v>1</v>
      </c>
      <c r="K3202" s="30"/>
      <c r="L3202" s="30"/>
      <c r="M3202" s="30"/>
      <c r="N3202" s="30"/>
      <c r="O3202" s="30"/>
      <c r="P3202" s="30"/>
      <c r="Q3202" s="30"/>
      <c r="R3202" s="30"/>
      <c r="S3202" s="30"/>
      <c r="T3202" s="30"/>
      <c r="U3202" s="21" t="str">
        <f aca="false">IF(COUNT(K3202:T3202)=0,"SOURCE EMPTY / INDUSTRIAL ONLY",IF(MIN(K3202:T3202)=1,"SERVICE READY","HOLD"))</f>
        <v>SOURCE EMPTY / INDUSTRIAL ONLY</v>
      </c>
      <c r="V3202" s="9" t="n">
        <f aca="false">IF(U3202="SERVICE READY",1,0)</f>
        <v>0</v>
      </c>
      <c r="W3202" s="6"/>
      <c r="X3202" s="6"/>
      <c r="Y3202" s="6"/>
      <c r="Z3202" s="6"/>
    </row>
    <row r="3203" customFormat="false" ht="15" hidden="false" customHeight="false" outlineLevel="0" collapsed="false">
      <c r="A3203" s="9" t="s">
        <v>3478</v>
      </c>
      <c r="B3203" s="9" t="s">
        <v>3428</v>
      </c>
      <c r="C3203" s="9" t="s">
        <v>3429</v>
      </c>
      <c r="D3203" s="9" t="s">
        <v>2971</v>
      </c>
      <c r="E3203" s="9" t="s">
        <v>1660</v>
      </c>
      <c r="F3203" s="9" t="s">
        <v>197</v>
      </c>
      <c r="G3203" s="9" t="s">
        <v>221</v>
      </c>
      <c r="H3203" s="9" t="n">
        <v>1530</v>
      </c>
      <c r="I3203" s="29" t="n">
        <v>1</v>
      </c>
      <c r="J3203" s="9" t="n">
        <v>1</v>
      </c>
      <c r="K3203" s="30"/>
      <c r="L3203" s="30"/>
      <c r="M3203" s="30"/>
      <c r="N3203" s="30"/>
      <c r="O3203" s="30"/>
      <c r="P3203" s="30"/>
      <c r="Q3203" s="30"/>
      <c r="R3203" s="30"/>
      <c r="S3203" s="30"/>
      <c r="T3203" s="30"/>
      <c r="U3203" s="21" t="str">
        <f aca="false">IF(COUNT(K3203:T3203)=0,"SOURCE EMPTY / INDUSTRIAL ONLY",IF(MIN(K3203:T3203)=1,"SERVICE READY","HOLD"))</f>
        <v>SOURCE EMPTY / INDUSTRIAL ONLY</v>
      </c>
      <c r="V3203" s="9" t="n">
        <f aca="false">IF(U3203="SERVICE READY",1,0)</f>
        <v>0</v>
      </c>
      <c r="W3203" s="6"/>
      <c r="X3203" s="6"/>
      <c r="Y3203" s="6"/>
      <c r="Z3203" s="6"/>
    </row>
    <row r="3204" customFormat="false" ht="15" hidden="false" customHeight="false" outlineLevel="0" collapsed="false">
      <c r="A3204" s="9" t="s">
        <v>3479</v>
      </c>
      <c r="B3204" s="9" t="s">
        <v>3428</v>
      </c>
      <c r="C3204" s="9" t="s">
        <v>3429</v>
      </c>
      <c r="D3204" s="9" t="s">
        <v>2971</v>
      </c>
      <c r="E3204" s="9" t="s">
        <v>1660</v>
      </c>
      <c r="F3204" s="9" t="s">
        <v>200</v>
      </c>
      <c r="G3204" s="9" t="s">
        <v>221</v>
      </c>
      <c r="H3204" s="9" t="n">
        <v>1530</v>
      </c>
      <c r="I3204" s="29" t="n">
        <v>1</v>
      </c>
      <c r="J3204" s="9" t="n">
        <v>1</v>
      </c>
      <c r="K3204" s="30"/>
      <c r="L3204" s="30"/>
      <c r="M3204" s="30"/>
      <c r="N3204" s="30"/>
      <c r="O3204" s="30"/>
      <c r="P3204" s="30"/>
      <c r="Q3204" s="30"/>
      <c r="R3204" s="30"/>
      <c r="S3204" s="30"/>
      <c r="T3204" s="30"/>
      <c r="U3204" s="21" t="str">
        <f aca="false">IF(COUNT(K3204:T3204)=0,"SOURCE EMPTY / INDUSTRIAL ONLY",IF(MIN(K3204:T3204)=1,"SERVICE READY","HOLD"))</f>
        <v>SOURCE EMPTY / INDUSTRIAL ONLY</v>
      </c>
      <c r="V3204" s="9" t="n">
        <f aca="false">IF(U3204="SERVICE READY",1,0)</f>
        <v>0</v>
      </c>
      <c r="W3204" s="6"/>
      <c r="X3204" s="6"/>
      <c r="Y3204" s="6"/>
      <c r="Z3204" s="6"/>
    </row>
    <row r="3205" customFormat="false" ht="15" hidden="false" customHeight="false" outlineLevel="0" collapsed="false">
      <c r="A3205" s="9" t="s">
        <v>3480</v>
      </c>
      <c r="B3205" s="9" t="s">
        <v>3428</v>
      </c>
      <c r="C3205" s="9" t="s">
        <v>3429</v>
      </c>
      <c r="D3205" s="9" t="s">
        <v>2971</v>
      </c>
      <c r="E3205" s="9" t="s">
        <v>1660</v>
      </c>
      <c r="F3205" s="9" t="s">
        <v>203</v>
      </c>
      <c r="G3205" s="9" t="s">
        <v>221</v>
      </c>
      <c r="H3205" s="9" t="n">
        <v>1530</v>
      </c>
      <c r="I3205" s="29" t="n">
        <v>1</v>
      </c>
      <c r="J3205" s="9" t="n">
        <v>1</v>
      </c>
      <c r="K3205" s="30"/>
      <c r="L3205" s="30"/>
      <c r="M3205" s="30"/>
      <c r="N3205" s="30"/>
      <c r="O3205" s="30"/>
      <c r="P3205" s="30"/>
      <c r="Q3205" s="30"/>
      <c r="R3205" s="30"/>
      <c r="S3205" s="30"/>
      <c r="T3205" s="30"/>
      <c r="U3205" s="21" t="str">
        <f aca="false">IF(COUNT(K3205:T3205)=0,"SOURCE EMPTY / INDUSTRIAL ONLY",IF(MIN(K3205:T3205)=1,"SERVICE READY","HOLD"))</f>
        <v>SOURCE EMPTY / INDUSTRIAL ONLY</v>
      </c>
      <c r="V3205" s="9" t="n">
        <f aca="false">IF(U3205="SERVICE READY",1,0)</f>
        <v>0</v>
      </c>
      <c r="W3205" s="6"/>
      <c r="X3205" s="6"/>
      <c r="Y3205" s="6"/>
      <c r="Z3205" s="6"/>
    </row>
    <row r="3206" customFormat="false" ht="15" hidden="false" customHeight="false" outlineLevel="0" collapsed="false">
      <c r="A3206" s="9" t="s">
        <v>3481</v>
      </c>
      <c r="B3206" s="9" t="s">
        <v>3428</v>
      </c>
      <c r="C3206" s="9" t="s">
        <v>3429</v>
      </c>
      <c r="D3206" s="9" t="s">
        <v>2971</v>
      </c>
      <c r="E3206" s="9" t="s">
        <v>1660</v>
      </c>
      <c r="F3206" s="9" t="s">
        <v>205</v>
      </c>
      <c r="G3206" s="9" t="s">
        <v>221</v>
      </c>
      <c r="H3206" s="9" t="n">
        <v>1530</v>
      </c>
      <c r="I3206" s="29" t="n">
        <v>1</v>
      </c>
      <c r="J3206" s="9" t="n">
        <v>1</v>
      </c>
      <c r="K3206" s="30"/>
      <c r="L3206" s="30"/>
      <c r="M3206" s="30"/>
      <c r="N3206" s="30"/>
      <c r="O3206" s="30"/>
      <c r="P3206" s="30"/>
      <c r="Q3206" s="30"/>
      <c r="R3206" s="30"/>
      <c r="S3206" s="30"/>
      <c r="T3206" s="30"/>
      <c r="U3206" s="21" t="str">
        <f aca="false">IF(COUNT(K3206:T3206)=0,"SOURCE EMPTY / INDUSTRIAL ONLY",IF(MIN(K3206:T3206)=1,"SERVICE READY","HOLD"))</f>
        <v>SOURCE EMPTY / INDUSTRIAL ONLY</v>
      </c>
      <c r="V3206" s="9" t="n">
        <f aca="false">IF(U3206="SERVICE READY",1,0)</f>
        <v>0</v>
      </c>
      <c r="W3206" s="6"/>
      <c r="X3206" s="6"/>
      <c r="Y3206" s="6"/>
      <c r="Z3206" s="6"/>
    </row>
    <row r="3207" customFormat="false" ht="15" hidden="false" customHeight="false" outlineLevel="0" collapsed="false">
      <c r="A3207" s="9" t="s">
        <v>3482</v>
      </c>
      <c r="B3207" s="9" t="s">
        <v>3428</v>
      </c>
      <c r="C3207" s="9" t="s">
        <v>3429</v>
      </c>
      <c r="D3207" s="9" t="s">
        <v>2971</v>
      </c>
      <c r="E3207" s="9" t="s">
        <v>1660</v>
      </c>
      <c r="F3207" s="9" t="s">
        <v>207</v>
      </c>
      <c r="G3207" s="9" t="s">
        <v>221</v>
      </c>
      <c r="H3207" s="9" t="n">
        <v>1530</v>
      </c>
      <c r="I3207" s="29" t="n">
        <v>1</v>
      </c>
      <c r="J3207" s="9" t="n">
        <v>1</v>
      </c>
      <c r="K3207" s="30"/>
      <c r="L3207" s="30"/>
      <c r="M3207" s="30"/>
      <c r="N3207" s="30"/>
      <c r="O3207" s="30"/>
      <c r="P3207" s="30"/>
      <c r="Q3207" s="30"/>
      <c r="R3207" s="30"/>
      <c r="S3207" s="30"/>
      <c r="T3207" s="30"/>
      <c r="U3207" s="21" t="str">
        <f aca="false">IF(COUNT(K3207:T3207)=0,"SOURCE EMPTY / INDUSTRIAL ONLY",IF(MIN(K3207:T3207)=1,"SERVICE READY","HOLD"))</f>
        <v>SOURCE EMPTY / INDUSTRIAL ONLY</v>
      </c>
      <c r="V3207" s="9" t="n">
        <f aca="false">IF(U3207="SERVICE READY",1,0)</f>
        <v>0</v>
      </c>
      <c r="W3207" s="6"/>
      <c r="X3207" s="6"/>
      <c r="Y3207" s="6"/>
      <c r="Z3207" s="6"/>
    </row>
    <row r="3208" customFormat="false" ht="15" hidden="false" customHeight="false" outlineLevel="0" collapsed="false">
      <c r="A3208" s="9" t="s">
        <v>3483</v>
      </c>
      <c r="B3208" s="9" t="s">
        <v>3428</v>
      </c>
      <c r="C3208" s="9" t="s">
        <v>3429</v>
      </c>
      <c r="D3208" s="9" t="s">
        <v>2971</v>
      </c>
      <c r="E3208" s="9" t="s">
        <v>1660</v>
      </c>
      <c r="F3208" s="9" t="s">
        <v>209</v>
      </c>
      <c r="G3208" s="9" t="s">
        <v>221</v>
      </c>
      <c r="H3208" s="9" t="n">
        <v>1530</v>
      </c>
      <c r="I3208" s="29" t="n">
        <v>1</v>
      </c>
      <c r="J3208" s="9" t="n">
        <v>1</v>
      </c>
      <c r="K3208" s="30"/>
      <c r="L3208" s="30"/>
      <c r="M3208" s="30"/>
      <c r="N3208" s="30"/>
      <c r="O3208" s="30"/>
      <c r="P3208" s="30"/>
      <c r="Q3208" s="30"/>
      <c r="R3208" s="30"/>
      <c r="S3208" s="30"/>
      <c r="T3208" s="30"/>
      <c r="U3208" s="21" t="str">
        <f aca="false">IF(COUNT(K3208:T3208)=0,"SOURCE EMPTY / INDUSTRIAL ONLY",IF(MIN(K3208:T3208)=1,"SERVICE READY","HOLD"))</f>
        <v>SOURCE EMPTY / INDUSTRIAL ONLY</v>
      </c>
      <c r="V3208" s="9" t="n">
        <f aca="false">IF(U3208="SERVICE READY",1,0)</f>
        <v>0</v>
      </c>
      <c r="W3208" s="6"/>
      <c r="X3208" s="6"/>
      <c r="Y3208" s="6"/>
      <c r="Z3208" s="6"/>
    </row>
    <row r="3209" customFormat="false" ht="15" hidden="false" customHeight="false" outlineLevel="0" collapsed="false">
      <c r="A3209" s="9" t="s">
        <v>3484</v>
      </c>
      <c r="B3209" s="9" t="s">
        <v>3428</v>
      </c>
      <c r="C3209" s="9" t="s">
        <v>3429</v>
      </c>
      <c r="D3209" s="9" t="s">
        <v>2971</v>
      </c>
      <c r="E3209" s="9" t="s">
        <v>1660</v>
      </c>
      <c r="F3209" s="9" t="s">
        <v>211</v>
      </c>
      <c r="G3209" s="9" t="s">
        <v>221</v>
      </c>
      <c r="H3209" s="9" t="n">
        <v>1530</v>
      </c>
      <c r="I3209" s="29" t="n">
        <v>1</v>
      </c>
      <c r="J3209" s="9" t="n">
        <v>1</v>
      </c>
      <c r="K3209" s="30"/>
      <c r="L3209" s="30"/>
      <c r="M3209" s="30"/>
      <c r="N3209" s="30"/>
      <c r="O3209" s="30"/>
      <c r="P3209" s="30"/>
      <c r="Q3209" s="30"/>
      <c r="R3209" s="30"/>
      <c r="S3209" s="30"/>
      <c r="T3209" s="30"/>
      <c r="U3209" s="21" t="str">
        <f aca="false">IF(COUNT(K3209:T3209)=0,"SOURCE EMPTY / INDUSTRIAL ONLY",IF(MIN(K3209:T3209)=1,"SERVICE READY","HOLD"))</f>
        <v>SOURCE EMPTY / INDUSTRIAL ONLY</v>
      </c>
      <c r="V3209" s="9" t="n">
        <f aca="false">IF(U3209="SERVICE READY",1,0)</f>
        <v>0</v>
      </c>
      <c r="W3209" s="6"/>
      <c r="X3209" s="6"/>
      <c r="Y3209" s="6"/>
      <c r="Z3209" s="6"/>
    </row>
    <row r="3210" customFormat="false" ht="15" hidden="false" customHeight="false" outlineLevel="0" collapsed="false">
      <c r="A3210" s="9" t="s">
        <v>3485</v>
      </c>
      <c r="B3210" s="9" t="s">
        <v>3428</v>
      </c>
      <c r="C3210" s="9" t="s">
        <v>3429</v>
      </c>
      <c r="D3210" s="9" t="s">
        <v>2971</v>
      </c>
      <c r="E3210" s="9" t="s">
        <v>1660</v>
      </c>
      <c r="F3210" s="9" t="s">
        <v>197</v>
      </c>
      <c r="G3210" s="9" t="s">
        <v>221</v>
      </c>
      <c r="H3210" s="9" t="n">
        <v>1530</v>
      </c>
      <c r="I3210" s="29" t="n">
        <v>1</v>
      </c>
      <c r="J3210" s="9" t="n">
        <v>1</v>
      </c>
      <c r="K3210" s="30"/>
      <c r="L3210" s="30"/>
      <c r="M3210" s="30"/>
      <c r="N3210" s="30"/>
      <c r="O3210" s="30"/>
      <c r="P3210" s="30"/>
      <c r="Q3210" s="30"/>
      <c r="R3210" s="30"/>
      <c r="S3210" s="30"/>
      <c r="T3210" s="30"/>
      <c r="U3210" s="21" t="str">
        <f aca="false">IF(COUNT(K3210:T3210)=0,"SOURCE EMPTY / INDUSTRIAL ONLY",IF(MIN(K3210:T3210)=1,"SERVICE READY","HOLD"))</f>
        <v>SOURCE EMPTY / INDUSTRIAL ONLY</v>
      </c>
      <c r="V3210" s="9" t="n">
        <f aca="false">IF(U3210="SERVICE READY",1,0)</f>
        <v>0</v>
      </c>
      <c r="W3210" s="6"/>
      <c r="X3210" s="6"/>
      <c r="Y3210" s="6"/>
      <c r="Z3210" s="6"/>
    </row>
    <row r="3211" customFormat="false" ht="15" hidden="false" customHeight="false" outlineLevel="0" collapsed="false">
      <c r="A3211" s="9" t="s">
        <v>3486</v>
      </c>
      <c r="B3211" s="9" t="s">
        <v>3428</v>
      </c>
      <c r="C3211" s="9" t="s">
        <v>3429</v>
      </c>
      <c r="D3211" s="9" t="s">
        <v>2971</v>
      </c>
      <c r="E3211" s="9" t="s">
        <v>1660</v>
      </c>
      <c r="F3211" s="9" t="s">
        <v>200</v>
      </c>
      <c r="G3211" s="9" t="s">
        <v>221</v>
      </c>
      <c r="H3211" s="9" t="n">
        <v>1530</v>
      </c>
      <c r="I3211" s="29" t="n">
        <v>1</v>
      </c>
      <c r="J3211" s="9" t="n">
        <v>1</v>
      </c>
      <c r="K3211" s="30"/>
      <c r="L3211" s="30"/>
      <c r="M3211" s="30"/>
      <c r="N3211" s="30"/>
      <c r="O3211" s="30"/>
      <c r="P3211" s="30"/>
      <c r="Q3211" s="30"/>
      <c r="R3211" s="30"/>
      <c r="S3211" s="30"/>
      <c r="T3211" s="30"/>
      <c r="U3211" s="21" t="str">
        <f aca="false">IF(COUNT(K3211:T3211)=0,"SOURCE EMPTY / INDUSTRIAL ONLY",IF(MIN(K3211:T3211)=1,"SERVICE READY","HOLD"))</f>
        <v>SOURCE EMPTY / INDUSTRIAL ONLY</v>
      </c>
      <c r="V3211" s="9" t="n">
        <f aca="false">IF(U3211="SERVICE READY",1,0)</f>
        <v>0</v>
      </c>
      <c r="W3211" s="6"/>
      <c r="X3211" s="6"/>
      <c r="Y3211" s="6"/>
      <c r="Z3211" s="6"/>
    </row>
    <row r="3212" customFormat="false" ht="15" hidden="false" customHeight="false" outlineLevel="0" collapsed="false">
      <c r="A3212" s="9" t="s">
        <v>3487</v>
      </c>
      <c r="B3212" s="9" t="s">
        <v>3428</v>
      </c>
      <c r="C3212" s="9" t="s">
        <v>3429</v>
      </c>
      <c r="D3212" s="9" t="s">
        <v>2971</v>
      </c>
      <c r="E3212" s="9" t="s">
        <v>1660</v>
      </c>
      <c r="F3212" s="9" t="s">
        <v>203</v>
      </c>
      <c r="G3212" s="9" t="s">
        <v>221</v>
      </c>
      <c r="H3212" s="9" t="n">
        <v>1530</v>
      </c>
      <c r="I3212" s="29" t="n">
        <v>1</v>
      </c>
      <c r="J3212" s="9" t="n">
        <v>1</v>
      </c>
      <c r="K3212" s="30"/>
      <c r="L3212" s="30"/>
      <c r="M3212" s="30"/>
      <c r="N3212" s="30"/>
      <c r="O3212" s="30"/>
      <c r="P3212" s="30"/>
      <c r="Q3212" s="30"/>
      <c r="R3212" s="30"/>
      <c r="S3212" s="30"/>
      <c r="T3212" s="30"/>
      <c r="U3212" s="21" t="str">
        <f aca="false">IF(COUNT(K3212:T3212)=0,"SOURCE EMPTY / INDUSTRIAL ONLY",IF(MIN(K3212:T3212)=1,"SERVICE READY","HOLD"))</f>
        <v>SOURCE EMPTY / INDUSTRIAL ONLY</v>
      </c>
      <c r="V3212" s="9" t="n">
        <f aca="false">IF(U3212="SERVICE READY",1,0)</f>
        <v>0</v>
      </c>
      <c r="W3212" s="6"/>
      <c r="X3212" s="6"/>
      <c r="Y3212" s="6"/>
      <c r="Z3212" s="6"/>
    </row>
    <row r="3213" customFormat="false" ht="15" hidden="false" customHeight="false" outlineLevel="0" collapsed="false">
      <c r="A3213" s="9" t="s">
        <v>3488</v>
      </c>
      <c r="B3213" s="9" t="s">
        <v>3428</v>
      </c>
      <c r="C3213" s="9" t="s">
        <v>3429</v>
      </c>
      <c r="D3213" s="9" t="s">
        <v>2971</v>
      </c>
      <c r="E3213" s="9" t="s">
        <v>1660</v>
      </c>
      <c r="F3213" s="9" t="s">
        <v>205</v>
      </c>
      <c r="G3213" s="9" t="s">
        <v>221</v>
      </c>
      <c r="H3213" s="9" t="n">
        <v>1530</v>
      </c>
      <c r="I3213" s="29" t="n">
        <v>1</v>
      </c>
      <c r="J3213" s="9" t="n">
        <v>1</v>
      </c>
      <c r="K3213" s="30"/>
      <c r="L3213" s="30"/>
      <c r="M3213" s="30"/>
      <c r="N3213" s="30"/>
      <c r="O3213" s="30"/>
      <c r="P3213" s="30"/>
      <c r="Q3213" s="30"/>
      <c r="R3213" s="30"/>
      <c r="S3213" s="30"/>
      <c r="T3213" s="30"/>
      <c r="U3213" s="21" t="str">
        <f aca="false">IF(COUNT(K3213:T3213)=0,"SOURCE EMPTY / INDUSTRIAL ONLY",IF(MIN(K3213:T3213)=1,"SERVICE READY","HOLD"))</f>
        <v>SOURCE EMPTY / INDUSTRIAL ONLY</v>
      </c>
      <c r="V3213" s="9" t="n">
        <f aca="false">IF(U3213="SERVICE READY",1,0)</f>
        <v>0</v>
      </c>
      <c r="W3213" s="6"/>
      <c r="X3213" s="6"/>
      <c r="Y3213" s="6"/>
      <c r="Z3213" s="6"/>
    </row>
    <row r="3214" customFormat="false" ht="15" hidden="false" customHeight="false" outlineLevel="0" collapsed="false">
      <c r="A3214" s="9" t="s">
        <v>3489</v>
      </c>
      <c r="B3214" s="9" t="s">
        <v>3428</v>
      </c>
      <c r="C3214" s="9" t="s">
        <v>3429</v>
      </c>
      <c r="D3214" s="9" t="s">
        <v>2971</v>
      </c>
      <c r="E3214" s="9" t="s">
        <v>1660</v>
      </c>
      <c r="F3214" s="9" t="s">
        <v>207</v>
      </c>
      <c r="G3214" s="9" t="s">
        <v>221</v>
      </c>
      <c r="H3214" s="9" t="n">
        <v>1530</v>
      </c>
      <c r="I3214" s="29" t="n">
        <v>1</v>
      </c>
      <c r="J3214" s="9" t="n">
        <v>1</v>
      </c>
      <c r="K3214" s="30"/>
      <c r="L3214" s="30"/>
      <c r="M3214" s="30"/>
      <c r="N3214" s="30"/>
      <c r="O3214" s="30"/>
      <c r="P3214" s="30"/>
      <c r="Q3214" s="30"/>
      <c r="R3214" s="30"/>
      <c r="S3214" s="30"/>
      <c r="T3214" s="30"/>
      <c r="U3214" s="21" t="str">
        <f aca="false">IF(COUNT(K3214:T3214)=0,"SOURCE EMPTY / INDUSTRIAL ONLY",IF(MIN(K3214:T3214)=1,"SERVICE READY","HOLD"))</f>
        <v>SOURCE EMPTY / INDUSTRIAL ONLY</v>
      </c>
      <c r="V3214" s="9" t="n">
        <f aca="false">IF(U3214="SERVICE READY",1,0)</f>
        <v>0</v>
      </c>
      <c r="W3214" s="6"/>
      <c r="X3214" s="6"/>
      <c r="Y3214" s="6"/>
      <c r="Z3214" s="6"/>
    </row>
    <row r="3215" customFormat="false" ht="15" hidden="false" customHeight="false" outlineLevel="0" collapsed="false">
      <c r="A3215" s="9" t="s">
        <v>3490</v>
      </c>
      <c r="B3215" s="9" t="s">
        <v>3428</v>
      </c>
      <c r="C3215" s="9" t="s">
        <v>3429</v>
      </c>
      <c r="D3215" s="9" t="s">
        <v>2971</v>
      </c>
      <c r="E3215" s="9" t="s">
        <v>1660</v>
      </c>
      <c r="F3215" s="9" t="s">
        <v>209</v>
      </c>
      <c r="G3215" s="9" t="s">
        <v>221</v>
      </c>
      <c r="H3215" s="9" t="n">
        <v>1530</v>
      </c>
      <c r="I3215" s="29" t="n">
        <v>1</v>
      </c>
      <c r="J3215" s="9" t="n">
        <v>1</v>
      </c>
      <c r="K3215" s="30"/>
      <c r="L3215" s="30"/>
      <c r="M3215" s="30"/>
      <c r="N3215" s="30"/>
      <c r="O3215" s="30"/>
      <c r="P3215" s="30"/>
      <c r="Q3215" s="30"/>
      <c r="R3215" s="30"/>
      <c r="S3215" s="30"/>
      <c r="T3215" s="30"/>
      <c r="U3215" s="21" t="str">
        <f aca="false">IF(COUNT(K3215:T3215)=0,"SOURCE EMPTY / INDUSTRIAL ONLY",IF(MIN(K3215:T3215)=1,"SERVICE READY","HOLD"))</f>
        <v>SOURCE EMPTY / INDUSTRIAL ONLY</v>
      </c>
      <c r="V3215" s="9" t="n">
        <f aca="false">IF(U3215="SERVICE READY",1,0)</f>
        <v>0</v>
      </c>
      <c r="W3215" s="6"/>
      <c r="X3215" s="6"/>
      <c r="Y3215" s="6"/>
      <c r="Z3215" s="6"/>
    </row>
    <row r="3216" customFormat="false" ht="15" hidden="false" customHeight="false" outlineLevel="0" collapsed="false">
      <c r="A3216" s="9" t="s">
        <v>3491</v>
      </c>
      <c r="B3216" s="9" t="s">
        <v>3428</v>
      </c>
      <c r="C3216" s="9" t="s">
        <v>3429</v>
      </c>
      <c r="D3216" s="9" t="s">
        <v>2971</v>
      </c>
      <c r="E3216" s="9" t="s">
        <v>1660</v>
      </c>
      <c r="F3216" s="9" t="s">
        <v>211</v>
      </c>
      <c r="G3216" s="9" t="s">
        <v>221</v>
      </c>
      <c r="H3216" s="9" t="n">
        <v>1530</v>
      </c>
      <c r="I3216" s="29" t="n">
        <v>1</v>
      </c>
      <c r="J3216" s="9" t="n">
        <v>1</v>
      </c>
      <c r="K3216" s="30"/>
      <c r="L3216" s="30"/>
      <c r="M3216" s="30"/>
      <c r="N3216" s="30"/>
      <c r="O3216" s="30"/>
      <c r="P3216" s="30"/>
      <c r="Q3216" s="30"/>
      <c r="R3216" s="30"/>
      <c r="S3216" s="30"/>
      <c r="T3216" s="30"/>
      <c r="U3216" s="21" t="str">
        <f aca="false">IF(COUNT(K3216:T3216)=0,"SOURCE EMPTY / INDUSTRIAL ONLY",IF(MIN(K3216:T3216)=1,"SERVICE READY","HOLD"))</f>
        <v>SOURCE EMPTY / INDUSTRIAL ONLY</v>
      </c>
      <c r="V3216" s="9" t="n">
        <f aca="false">IF(U3216="SERVICE READY",1,0)</f>
        <v>0</v>
      </c>
      <c r="W3216" s="6"/>
      <c r="X3216" s="6"/>
      <c r="Y3216" s="6"/>
      <c r="Z3216" s="6"/>
    </row>
    <row r="3217" customFormat="false" ht="15" hidden="false" customHeight="false" outlineLevel="0" collapsed="false">
      <c r="A3217" s="9" t="s">
        <v>3492</v>
      </c>
      <c r="B3217" s="9" t="s">
        <v>3428</v>
      </c>
      <c r="C3217" s="9" t="s">
        <v>3429</v>
      </c>
      <c r="D3217" s="9" t="s">
        <v>2971</v>
      </c>
      <c r="E3217" s="9" t="s">
        <v>1660</v>
      </c>
      <c r="F3217" s="9" t="s">
        <v>197</v>
      </c>
      <c r="G3217" s="9" t="s">
        <v>221</v>
      </c>
      <c r="H3217" s="9" t="n">
        <v>1530</v>
      </c>
      <c r="I3217" s="29" t="n">
        <v>1</v>
      </c>
      <c r="J3217" s="9" t="n">
        <v>1</v>
      </c>
      <c r="K3217" s="30"/>
      <c r="L3217" s="30"/>
      <c r="M3217" s="30"/>
      <c r="N3217" s="30"/>
      <c r="O3217" s="30"/>
      <c r="P3217" s="30"/>
      <c r="Q3217" s="30"/>
      <c r="R3217" s="30"/>
      <c r="S3217" s="30"/>
      <c r="T3217" s="30"/>
      <c r="U3217" s="21" t="str">
        <f aca="false">IF(COUNT(K3217:T3217)=0,"SOURCE EMPTY / INDUSTRIAL ONLY",IF(MIN(K3217:T3217)=1,"SERVICE READY","HOLD"))</f>
        <v>SOURCE EMPTY / INDUSTRIAL ONLY</v>
      </c>
      <c r="V3217" s="9" t="n">
        <f aca="false">IF(U3217="SERVICE READY",1,0)</f>
        <v>0</v>
      </c>
      <c r="W3217" s="6"/>
      <c r="X3217" s="6"/>
      <c r="Y3217" s="6"/>
      <c r="Z3217" s="6"/>
    </row>
    <row r="3218" customFormat="false" ht="15" hidden="false" customHeight="false" outlineLevel="0" collapsed="false">
      <c r="A3218" s="9" t="s">
        <v>3493</v>
      </c>
      <c r="B3218" s="9" t="s">
        <v>3428</v>
      </c>
      <c r="C3218" s="9" t="s">
        <v>3429</v>
      </c>
      <c r="D3218" s="9" t="s">
        <v>2971</v>
      </c>
      <c r="E3218" s="9" t="s">
        <v>1660</v>
      </c>
      <c r="F3218" s="9" t="s">
        <v>200</v>
      </c>
      <c r="G3218" s="9" t="s">
        <v>221</v>
      </c>
      <c r="H3218" s="9" t="n">
        <v>1530</v>
      </c>
      <c r="I3218" s="29" t="n">
        <v>1</v>
      </c>
      <c r="J3218" s="9" t="n">
        <v>1</v>
      </c>
      <c r="K3218" s="30"/>
      <c r="L3218" s="30"/>
      <c r="M3218" s="30"/>
      <c r="N3218" s="30"/>
      <c r="O3218" s="30"/>
      <c r="P3218" s="30"/>
      <c r="Q3218" s="30"/>
      <c r="R3218" s="30"/>
      <c r="S3218" s="30"/>
      <c r="T3218" s="30"/>
      <c r="U3218" s="21" t="str">
        <f aca="false">IF(COUNT(K3218:T3218)=0,"SOURCE EMPTY / INDUSTRIAL ONLY",IF(MIN(K3218:T3218)=1,"SERVICE READY","HOLD"))</f>
        <v>SOURCE EMPTY / INDUSTRIAL ONLY</v>
      </c>
      <c r="V3218" s="9" t="n">
        <f aca="false">IF(U3218="SERVICE READY",1,0)</f>
        <v>0</v>
      </c>
      <c r="W3218" s="6"/>
      <c r="X3218" s="6"/>
      <c r="Y3218" s="6"/>
      <c r="Z3218" s="6"/>
    </row>
    <row r="3219" customFormat="false" ht="15" hidden="false" customHeight="false" outlineLevel="0" collapsed="false">
      <c r="A3219" s="9" t="s">
        <v>3494</v>
      </c>
      <c r="B3219" s="9" t="s">
        <v>3428</v>
      </c>
      <c r="C3219" s="9" t="s">
        <v>3429</v>
      </c>
      <c r="D3219" s="9" t="s">
        <v>2971</v>
      </c>
      <c r="E3219" s="9" t="s">
        <v>1660</v>
      </c>
      <c r="F3219" s="9" t="s">
        <v>203</v>
      </c>
      <c r="G3219" s="9" t="s">
        <v>221</v>
      </c>
      <c r="H3219" s="9" t="n">
        <v>1530</v>
      </c>
      <c r="I3219" s="29" t="n">
        <v>1</v>
      </c>
      <c r="J3219" s="9" t="n">
        <v>1</v>
      </c>
      <c r="K3219" s="30"/>
      <c r="L3219" s="30"/>
      <c r="M3219" s="30"/>
      <c r="N3219" s="30"/>
      <c r="O3219" s="30"/>
      <c r="P3219" s="30"/>
      <c r="Q3219" s="30"/>
      <c r="R3219" s="30"/>
      <c r="S3219" s="30"/>
      <c r="T3219" s="30"/>
      <c r="U3219" s="21" t="str">
        <f aca="false">IF(COUNT(K3219:T3219)=0,"SOURCE EMPTY / INDUSTRIAL ONLY",IF(MIN(K3219:T3219)=1,"SERVICE READY","HOLD"))</f>
        <v>SOURCE EMPTY / INDUSTRIAL ONLY</v>
      </c>
      <c r="V3219" s="9" t="n">
        <f aca="false">IF(U3219="SERVICE READY",1,0)</f>
        <v>0</v>
      </c>
      <c r="W3219" s="6"/>
      <c r="X3219" s="6"/>
      <c r="Y3219" s="6"/>
      <c r="Z3219" s="6"/>
    </row>
    <row r="3220" customFormat="false" ht="15" hidden="false" customHeight="false" outlineLevel="0" collapsed="false">
      <c r="A3220" s="9" t="s">
        <v>3495</v>
      </c>
      <c r="B3220" s="9" t="s">
        <v>3428</v>
      </c>
      <c r="C3220" s="9" t="s">
        <v>3429</v>
      </c>
      <c r="D3220" s="9" t="s">
        <v>2971</v>
      </c>
      <c r="E3220" s="9" t="s">
        <v>1660</v>
      </c>
      <c r="F3220" s="9" t="s">
        <v>205</v>
      </c>
      <c r="G3220" s="9" t="s">
        <v>221</v>
      </c>
      <c r="H3220" s="9" t="n">
        <v>1530</v>
      </c>
      <c r="I3220" s="29" t="n">
        <v>1</v>
      </c>
      <c r="J3220" s="9" t="n">
        <v>1</v>
      </c>
      <c r="K3220" s="30"/>
      <c r="L3220" s="30"/>
      <c r="M3220" s="30"/>
      <c r="N3220" s="30"/>
      <c r="O3220" s="30"/>
      <c r="P3220" s="30"/>
      <c r="Q3220" s="30"/>
      <c r="R3220" s="30"/>
      <c r="S3220" s="30"/>
      <c r="T3220" s="30"/>
      <c r="U3220" s="21" t="str">
        <f aca="false">IF(COUNT(K3220:T3220)=0,"SOURCE EMPTY / INDUSTRIAL ONLY",IF(MIN(K3220:T3220)=1,"SERVICE READY","HOLD"))</f>
        <v>SOURCE EMPTY / INDUSTRIAL ONLY</v>
      </c>
      <c r="V3220" s="9" t="n">
        <f aca="false">IF(U3220="SERVICE READY",1,0)</f>
        <v>0</v>
      </c>
      <c r="W3220" s="6"/>
      <c r="X3220" s="6"/>
      <c r="Y3220" s="6"/>
      <c r="Z3220" s="6"/>
    </row>
    <row r="3221" customFormat="false" ht="15" hidden="false" customHeight="false" outlineLevel="0" collapsed="false">
      <c r="A3221" s="9" t="s">
        <v>3496</v>
      </c>
      <c r="B3221" s="9" t="s">
        <v>3428</v>
      </c>
      <c r="C3221" s="9" t="s">
        <v>3429</v>
      </c>
      <c r="D3221" s="9" t="s">
        <v>2971</v>
      </c>
      <c r="E3221" s="9" t="s">
        <v>1660</v>
      </c>
      <c r="F3221" s="9" t="s">
        <v>207</v>
      </c>
      <c r="G3221" s="9" t="s">
        <v>221</v>
      </c>
      <c r="H3221" s="9" t="n">
        <v>1530</v>
      </c>
      <c r="I3221" s="29" t="n">
        <v>1</v>
      </c>
      <c r="J3221" s="9" t="n">
        <v>1</v>
      </c>
      <c r="K3221" s="30"/>
      <c r="L3221" s="30"/>
      <c r="M3221" s="30"/>
      <c r="N3221" s="30"/>
      <c r="O3221" s="30"/>
      <c r="P3221" s="30"/>
      <c r="Q3221" s="30"/>
      <c r="R3221" s="30"/>
      <c r="S3221" s="30"/>
      <c r="T3221" s="30"/>
      <c r="U3221" s="21" t="str">
        <f aca="false">IF(COUNT(K3221:T3221)=0,"SOURCE EMPTY / INDUSTRIAL ONLY",IF(MIN(K3221:T3221)=1,"SERVICE READY","HOLD"))</f>
        <v>SOURCE EMPTY / INDUSTRIAL ONLY</v>
      </c>
      <c r="V3221" s="9" t="n">
        <f aca="false">IF(U3221="SERVICE READY",1,0)</f>
        <v>0</v>
      </c>
      <c r="W3221" s="6"/>
      <c r="X3221" s="6"/>
      <c r="Y3221" s="6"/>
      <c r="Z3221" s="6"/>
    </row>
    <row r="3222" customFormat="false" ht="15" hidden="false" customHeight="false" outlineLevel="0" collapsed="false">
      <c r="A3222" s="9" t="s">
        <v>3497</v>
      </c>
      <c r="B3222" s="9" t="s">
        <v>3428</v>
      </c>
      <c r="C3222" s="9" t="s">
        <v>3429</v>
      </c>
      <c r="D3222" s="9" t="s">
        <v>2971</v>
      </c>
      <c r="E3222" s="9" t="s">
        <v>1660</v>
      </c>
      <c r="F3222" s="9" t="s">
        <v>209</v>
      </c>
      <c r="G3222" s="9" t="s">
        <v>221</v>
      </c>
      <c r="H3222" s="9" t="n">
        <v>1530</v>
      </c>
      <c r="I3222" s="29" t="n">
        <v>1</v>
      </c>
      <c r="J3222" s="9" t="n">
        <v>1</v>
      </c>
      <c r="K3222" s="30"/>
      <c r="L3222" s="30"/>
      <c r="M3222" s="30"/>
      <c r="N3222" s="30"/>
      <c r="O3222" s="30"/>
      <c r="P3222" s="30"/>
      <c r="Q3222" s="30"/>
      <c r="R3222" s="30"/>
      <c r="S3222" s="30"/>
      <c r="T3222" s="30"/>
      <c r="U3222" s="21" t="str">
        <f aca="false">IF(COUNT(K3222:T3222)=0,"SOURCE EMPTY / INDUSTRIAL ONLY",IF(MIN(K3222:T3222)=1,"SERVICE READY","HOLD"))</f>
        <v>SOURCE EMPTY / INDUSTRIAL ONLY</v>
      </c>
      <c r="V3222" s="9" t="n">
        <f aca="false">IF(U3222="SERVICE READY",1,0)</f>
        <v>0</v>
      </c>
      <c r="W3222" s="6"/>
      <c r="X3222" s="6"/>
      <c r="Y3222" s="6"/>
      <c r="Z3222" s="6"/>
    </row>
    <row r="3223" customFormat="false" ht="15" hidden="false" customHeight="false" outlineLevel="0" collapsed="false">
      <c r="A3223" s="9" t="s">
        <v>3498</v>
      </c>
      <c r="B3223" s="9" t="s">
        <v>3428</v>
      </c>
      <c r="C3223" s="9" t="s">
        <v>3429</v>
      </c>
      <c r="D3223" s="9" t="s">
        <v>2971</v>
      </c>
      <c r="E3223" s="9" t="s">
        <v>1660</v>
      </c>
      <c r="F3223" s="9" t="s">
        <v>211</v>
      </c>
      <c r="G3223" s="9" t="s">
        <v>221</v>
      </c>
      <c r="H3223" s="9" t="n">
        <v>1530</v>
      </c>
      <c r="I3223" s="29" t="n">
        <v>1</v>
      </c>
      <c r="J3223" s="9" t="n">
        <v>1</v>
      </c>
      <c r="K3223" s="30"/>
      <c r="L3223" s="30"/>
      <c r="M3223" s="30"/>
      <c r="N3223" s="30"/>
      <c r="O3223" s="30"/>
      <c r="P3223" s="30"/>
      <c r="Q3223" s="30"/>
      <c r="R3223" s="30"/>
      <c r="S3223" s="30"/>
      <c r="T3223" s="30"/>
      <c r="U3223" s="21" t="str">
        <f aca="false">IF(COUNT(K3223:T3223)=0,"SOURCE EMPTY / INDUSTRIAL ONLY",IF(MIN(K3223:T3223)=1,"SERVICE READY","HOLD"))</f>
        <v>SOURCE EMPTY / INDUSTRIAL ONLY</v>
      </c>
      <c r="V3223" s="9" t="n">
        <f aca="false">IF(U3223="SERVICE READY",1,0)</f>
        <v>0</v>
      </c>
      <c r="W3223" s="6"/>
      <c r="X3223" s="6"/>
      <c r="Y3223" s="6"/>
      <c r="Z3223" s="6"/>
    </row>
    <row r="3224" customFormat="false" ht="15" hidden="false" customHeight="false" outlineLevel="0" collapsed="false">
      <c r="A3224" s="9" t="s">
        <v>3499</v>
      </c>
      <c r="B3224" s="9" t="s">
        <v>3428</v>
      </c>
      <c r="C3224" s="9" t="s">
        <v>3429</v>
      </c>
      <c r="D3224" s="9" t="s">
        <v>2971</v>
      </c>
      <c r="E3224" s="9" t="s">
        <v>1660</v>
      </c>
      <c r="F3224" s="9" t="s">
        <v>197</v>
      </c>
      <c r="G3224" s="9" t="s">
        <v>221</v>
      </c>
      <c r="H3224" s="9" t="n">
        <v>1530</v>
      </c>
      <c r="I3224" s="29" t="n">
        <v>1</v>
      </c>
      <c r="J3224" s="9" t="n">
        <v>1</v>
      </c>
      <c r="K3224" s="30"/>
      <c r="L3224" s="30"/>
      <c r="M3224" s="30"/>
      <c r="N3224" s="30"/>
      <c r="O3224" s="30"/>
      <c r="P3224" s="30"/>
      <c r="Q3224" s="30"/>
      <c r="R3224" s="30"/>
      <c r="S3224" s="30"/>
      <c r="T3224" s="30"/>
      <c r="U3224" s="21" t="str">
        <f aca="false">IF(COUNT(K3224:T3224)=0,"SOURCE EMPTY / INDUSTRIAL ONLY",IF(MIN(K3224:T3224)=1,"SERVICE READY","HOLD"))</f>
        <v>SOURCE EMPTY / INDUSTRIAL ONLY</v>
      </c>
      <c r="V3224" s="9" t="n">
        <f aca="false">IF(U3224="SERVICE READY",1,0)</f>
        <v>0</v>
      </c>
      <c r="W3224" s="6"/>
      <c r="X3224" s="6"/>
      <c r="Y3224" s="6"/>
      <c r="Z3224" s="6"/>
    </row>
    <row r="3225" customFormat="false" ht="15" hidden="false" customHeight="false" outlineLevel="0" collapsed="false">
      <c r="A3225" s="9" t="s">
        <v>3500</v>
      </c>
      <c r="B3225" s="9" t="s">
        <v>3428</v>
      </c>
      <c r="C3225" s="9" t="s">
        <v>3429</v>
      </c>
      <c r="D3225" s="9" t="s">
        <v>2971</v>
      </c>
      <c r="E3225" s="9" t="s">
        <v>1660</v>
      </c>
      <c r="F3225" s="9" t="s">
        <v>200</v>
      </c>
      <c r="G3225" s="9" t="s">
        <v>221</v>
      </c>
      <c r="H3225" s="9" t="n">
        <v>1530</v>
      </c>
      <c r="I3225" s="29" t="n">
        <v>1</v>
      </c>
      <c r="J3225" s="9" t="n">
        <v>1</v>
      </c>
      <c r="K3225" s="30"/>
      <c r="L3225" s="30"/>
      <c r="M3225" s="30"/>
      <c r="N3225" s="30"/>
      <c r="O3225" s="30"/>
      <c r="P3225" s="30"/>
      <c r="Q3225" s="30"/>
      <c r="R3225" s="30"/>
      <c r="S3225" s="30"/>
      <c r="T3225" s="30"/>
      <c r="U3225" s="21" t="str">
        <f aca="false">IF(COUNT(K3225:T3225)=0,"SOURCE EMPTY / INDUSTRIAL ONLY",IF(MIN(K3225:T3225)=1,"SERVICE READY","HOLD"))</f>
        <v>SOURCE EMPTY / INDUSTRIAL ONLY</v>
      </c>
      <c r="V3225" s="9" t="n">
        <f aca="false">IF(U3225="SERVICE READY",1,0)</f>
        <v>0</v>
      </c>
      <c r="W3225" s="6"/>
      <c r="X3225" s="6"/>
      <c r="Y3225" s="6"/>
      <c r="Z3225" s="6"/>
    </row>
    <row r="3226" customFormat="false" ht="15" hidden="false" customHeight="false" outlineLevel="0" collapsed="false">
      <c r="A3226" s="9" t="s">
        <v>3501</v>
      </c>
      <c r="B3226" s="9" t="s">
        <v>3428</v>
      </c>
      <c r="C3226" s="9" t="s">
        <v>3429</v>
      </c>
      <c r="D3226" s="9" t="s">
        <v>2971</v>
      </c>
      <c r="E3226" s="9" t="s">
        <v>1660</v>
      </c>
      <c r="F3226" s="9" t="s">
        <v>203</v>
      </c>
      <c r="G3226" s="9" t="s">
        <v>221</v>
      </c>
      <c r="H3226" s="9" t="n">
        <v>1530</v>
      </c>
      <c r="I3226" s="29" t="n">
        <v>1</v>
      </c>
      <c r="J3226" s="9" t="n">
        <v>1</v>
      </c>
      <c r="K3226" s="30"/>
      <c r="L3226" s="30"/>
      <c r="M3226" s="30"/>
      <c r="N3226" s="30"/>
      <c r="O3226" s="30"/>
      <c r="P3226" s="30"/>
      <c r="Q3226" s="30"/>
      <c r="R3226" s="30"/>
      <c r="S3226" s="30"/>
      <c r="T3226" s="30"/>
      <c r="U3226" s="21" t="str">
        <f aca="false">IF(COUNT(K3226:T3226)=0,"SOURCE EMPTY / INDUSTRIAL ONLY",IF(MIN(K3226:T3226)=1,"SERVICE READY","HOLD"))</f>
        <v>SOURCE EMPTY / INDUSTRIAL ONLY</v>
      </c>
      <c r="V3226" s="9" t="n">
        <f aca="false">IF(U3226="SERVICE READY",1,0)</f>
        <v>0</v>
      </c>
      <c r="W3226" s="6"/>
      <c r="X3226" s="6"/>
      <c r="Y3226" s="6"/>
      <c r="Z3226" s="6"/>
    </row>
    <row r="3227" customFormat="false" ht="15" hidden="false" customHeight="false" outlineLevel="0" collapsed="false">
      <c r="A3227" s="9" t="s">
        <v>3502</v>
      </c>
      <c r="B3227" s="9" t="s">
        <v>3428</v>
      </c>
      <c r="C3227" s="9" t="s">
        <v>3429</v>
      </c>
      <c r="D3227" s="9" t="s">
        <v>2971</v>
      </c>
      <c r="E3227" s="9" t="s">
        <v>1660</v>
      </c>
      <c r="F3227" s="9" t="s">
        <v>205</v>
      </c>
      <c r="G3227" s="9" t="s">
        <v>221</v>
      </c>
      <c r="H3227" s="9" t="n">
        <v>1530</v>
      </c>
      <c r="I3227" s="29" t="n">
        <v>1</v>
      </c>
      <c r="J3227" s="9" t="n">
        <v>1</v>
      </c>
      <c r="K3227" s="30"/>
      <c r="L3227" s="30"/>
      <c r="M3227" s="30"/>
      <c r="N3227" s="30"/>
      <c r="O3227" s="30"/>
      <c r="P3227" s="30"/>
      <c r="Q3227" s="30"/>
      <c r="R3227" s="30"/>
      <c r="S3227" s="30"/>
      <c r="T3227" s="30"/>
      <c r="U3227" s="21" t="str">
        <f aca="false">IF(COUNT(K3227:T3227)=0,"SOURCE EMPTY / INDUSTRIAL ONLY",IF(MIN(K3227:T3227)=1,"SERVICE READY","HOLD"))</f>
        <v>SOURCE EMPTY / INDUSTRIAL ONLY</v>
      </c>
      <c r="V3227" s="9" t="n">
        <f aca="false">IF(U3227="SERVICE READY",1,0)</f>
        <v>0</v>
      </c>
      <c r="W3227" s="6"/>
      <c r="X3227" s="6"/>
      <c r="Y3227" s="6"/>
      <c r="Z3227" s="6"/>
    </row>
    <row r="3228" customFormat="false" ht="15" hidden="false" customHeight="false" outlineLevel="0" collapsed="false">
      <c r="A3228" s="9" t="s">
        <v>3503</v>
      </c>
      <c r="B3228" s="9" t="s">
        <v>3428</v>
      </c>
      <c r="C3228" s="9" t="s">
        <v>3429</v>
      </c>
      <c r="D3228" s="9" t="s">
        <v>2971</v>
      </c>
      <c r="E3228" s="9" t="s">
        <v>1660</v>
      </c>
      <c r="F3228" s="9" t="s">
        <v>207</v>
      </c>
      <c r="G3228" s="9" t="s">
        <v>221</v>
      </c>
      <c r="H3228" s="9" t="n">
        <v>1530</v>
      </c>
      <c r="I3228" s="29" t="n">
        <v>1</v>
      </c>
      <c r="J3228" s="9" t="n">
        <v>1</v>
      </c>
      <c r="K3228" s="30"/>
      <c r="L3228" s="30"/>
      <c r="M3228" s="30"/>
      <c r="N3228" s="30"/>
      <c r="O3228" s="30"/>
      <c r="P3228" s="30"/>
      <c r="Q3228" s="30"/>
      <c r="R3228" s="30"/>
      <c r="S3228" s="30"/>
      <c r="T3228" s="30"/>
      <c r="U3228" s="21" t="str">
        <f aca="false">IF(COUNT(K3228:T3228)=0,"SOURCE EMPTY / INDUSTRIAL ONLY",IF(MIN(K3228:T3228)=1,"SERVICE READY","HOLD"))</f>
        <v>SOURCE EMPTY / INDUSTRIAL ONLY</v>
      </c>
      <c r="V3228" s="9" t="n">
        <f aca="false">IF(U3228="SERVICE READY",1,0)</f>
        <v>0</v>
      </c>
      <c r="W3228" s="6"/>
      <c r="X3228" s="6"/>
      <c r="Y3228" s="6"/>
      <c r="Z3228" s="6"/>
    </row>
    <row r="3229" customFormat="false" ht="15" hidden="false" customHeight="false" outlineLevel="0" collapsed="false">
      <c r="A3229" s="9" t="s">
        <v>3504</v>
      </c>
      <c r="B3229" s="9" t="s">
        <v>3428</v>
      </c>
      <c r="C3229" s="9" t="s">
        <v>3429</v>
      </c>
      <c r="D3229" s="9" t="s">
        <v>2971</v>
      </c>
      <c r="E3229" s="9" t="s">
        <v>1660</v>
      </c>
      <c r="F3229" s="9" t="s">
        <v>209</v>
      </c>
      <c r="G3229" s="9" t="s">
        <v>221</v>
      </c>
      <c r="H3229" s="9" t="n">
        <v>1530</v>
      </c>
      <c r="I3229" s="29" t="n">
        <v>1</v>
      </c>
      <c r="J3229" s="9" t="n">
        <v>0</v>
      </c>
      <c r="K3229" s="30"/>
      <c r="L3229" s="30"/>
      <c r="M3229" s="30"/>
      <c r="N3229" s="30"/>
      <c r="O3229" s="30"/>
      <c r="P3229" s="30"/>
      <c r="Q3229" s="30"/>
      <c r="R3229" s="30"/>
      <c r="S3229" s="30"/>
      <c r="T3229" s="30"/>
      <c r="U3229" s="21" t="str">
        <f aca="false">IF(COUNT(K3229:T3229)=0,"SOURCE EMPTY / INDUSTRIAL ONLY",IF(MIN(K3229:T3229)=1,"SERVICE READY","HOLD"))</f>
        <v>SOURCE EMPTY / INDUSTRIAL ONLY</v>
      </c>
      <c r="V3229" s="9" t="n">
        <f aca="false">IF(U3229="SERVICE READY",1,0)</f>
        <v>0</v>
      </c>
      <c r="W3229" s="6"/>
      <c r="X3229" s="6"/>
      <c r="Y3229" s="6"/>
      <c r="Z3229" s="6"/>
    </row>
    <row r="3230" customFormat="false" ht="15" hidden="false" customHeight="false" outlineLevel="0" collapsed="false">
      <c r="A3230" s="9" t="s">
        <v>3505</v>
      </c>
      <c r="B3230" s="9" t="s">
        <v>3428</v>
      </c>
      <c r="C3230" s="9" t="s">
        <v>3429</v>
      </c>
      <c r="D3230" s="9" t="s">
        <v>2971</v>
      </c>
      <c r="E3230" s="9" t="s">
        <v>1660</v>
      </c>
      <c r="F3230" s="9" t="s">
        <v>211</v>
      </c>
      <c r="G3230" s="9" t="s">
        <v>221</v>
      </c>
      <c r="H3230" s="9" t="n">
        <v>1530</v>
      </c>
      <c r="I3230" s="29" t="n">
        <v>1</v>
      </c>
      <c r="J3230" s="9" t="n">
        <v>0</v>
      </c>
      <c r="K3230" s="30"/>
      <c r="L3230" s="30"/>
      <c r="M3230" s="30"/>
      <c r="N3230" s="30"/>
      <c r="O3230" s="30"/>
      <c r="P3230" s="30"/>
      <c r="Q3230" s="30"/>
      <c r="R3230" s="30"/>
      <c r="S3230" s="30"/>
      <c r="T3230" s="30"/>
      <c r="U3230" s="21" t="str">
        <f aca="false">IF(COUNT(K3230:T3230)=0,"SOURCE EMPTY / INDUSTRIAL ONLY",IF(MIN(K3230:T3230)=1,"SERVICE READY","HOLD"))</f>
        <v>SOURCE EMPTY / INDUSTRIAL ONLY</v>
      </c>
      <c r="V3230" s="9" t="n">
        <f aca="false">IF(U3230="SERVICE READY",1,0)</f>
        <v>0</v>
      </c>
      <c r="W3230" s="6"/>
      <c r="X3230" s="6"/>
      <c r="Y3230" s="6"/>
      <c r="Z3230" s="6"/>
    </row>
    <row r="3231" customFormat="false" ht="15" hidden="false" customHeight="false" outlineLevel="0" collapsed="false">
      <c r="A3231" s="9" t="s">
        <v>3506</v>
      </c>
      <c r="B3231" s="9" t="s">
        <v>3428</v>
      </c>
      <c r="C3231" s="9" t="s">
        <v>3429</v>
      </c>
      <c r="D3231" s="9" t="s">
        <v>2971</v>
      </c>
      <c r="E3231" s="9" t="s">
        <v>1660</v>
      </c>
      <c r="F3231" s="9" t="s">
        <v>197</v>
      </c>
      <c r="G3231" s="9" t="s">
        <v>221</v>
      </c>
      <c r="H3231" s="9" t="n">
        <v>1530</v>
      </c>
      <c r="I3231" s="29" t="n">
        <v>1</v>
      </c>
      <c r="J3231" s="9" t="n">
        <v>0</v>
      </c>
      <c r="K3231" s="30"/>
      <c r="L3231" s="30"/>
      <c r="M3231" s="30"/>
      <c r="N3231" s="30"/>
      <c r="O3231" s="30"/>
      <c r="P3231" s="30"/>
      <c r="Q3231" s="30"/>
      <c r="R3231" s="30"/>
      <c r="S3231" s="30"/>
      <c r="T3231" s="30"/>
      <c r="U3231" s="21" t="str">
        <f aca="false">IF(COUNT(K3231:T3231)=0,"SOURCE EMPTY / INDUSTRIAL ONLY",IF(MIN(K3231:T3231)=1,"SERVICE READY","HOLD"))</f>
        <v>SOURCE EMPTY / INDUSTRIAL ONLY</v>
      </c>
      <c r="V3231" s="9" t="n">
        <f aca="false">IF(U3231="SERVICE READY",1,0)</f>
        <v>0</v>
      </c>
      <c r="W3231" s="6"/>
      <c r="X3231" s="6"/>
      <c r="Y3231" s="6"/>
      <c r="Z3231" s="6"/>
    </row>
    <row r="3232" customFormat="false" ht="15" hidden="false" customHeight="false" outlineLevel="0" collapsed="false">
      <c r="A3232" s="9" t="s">
        <v>3507</v>
      </c>
      <c r="B3232" s="9" t="s">
        <v>3428</v>
      </c>
      <c r="C3232" s="9" t="s">
        <v>3429</v>
      </c>
      <c r="D3232" s="9" t="s">
        <v>2971</v>
      </c>
      <c r="E3232" s="9" t="s">
        <v>1660</v>
      </c>
      <c r="F3232" s="9" t="s">
        <v>200</v>
      </c>
      <c r="G3232" s="9" t="s">
        <v>221</v>
      </c>
      <c r="H3232" s="9" t="n">
        <v>1530</v>
      </c>
      <c r="I3232" s="29" t="n">
        <v>1</v>
      </c>
      <c r="J3232" s="9" t="n">
        <v>0</v>
      </c>
      <c r="K3232" s="30"/>
      <c r="L3232" s="30"/>
      <c r="M3232" s="30"/>
      <c r="N3232" s="30"/>
      <c r="O3232" s="30"/>
      <c r="P3232" s="30"/>
      <c r="Q3232" s="30"/>
      <c r="R3232" s="30"/>
      <c r="S3232" s="30"/>
      <c r="T3232" s="30"/>
      <c r="U3232" s="21" t="str">
        <f aca="false">IF(COUNT(K3232:T3232)=0,"SOURCE EMPTY / INDUSTRIAL ONLY",IF(MIN(K3232:T3232)=1,"SERVICE READY","HOLD"))</f>
        <v>SOURCE EMPTY / INDUSTRIAL ONLY</v>
      </c>
      <c r="V3232" s="9" t="n">
        <f aca="false">IF(U3232="SERVICE READY",1,0)</f>
        <v>0</v>
      </c>
      <c r="W3232" s="6"/>
      <c r="X3232" s="6"/>
      <c r="Y3232" s="6"/>
      <c r="Z3232" s="6"/>
    </row>
    <row r="3233" customFormat="false" ht="15" hidden="false" customHeight="false" outlineLevel="0" collapsed="false">
      <c r="A3233" s="9" t="s">
        <v>3508</v>
      </c>
      <c r="B3233" s="9" t="s">
        <v>3428</v>
      </c>
      <c r="C3233" s="9" t="s">
        <v>3429</v>
      </c>
      <c r="D3233" s="9" t="s">
        <v>2971</v>
      </c>
      <c r="E3233" s="9" t="s">
        <v>1660</v>
      </c>
      <c r="F3233" s="9" t="s">
        <v>203</v>
      </c>
      <c r="G3233" s="9" t="s">
        <v>221</v>
      </c>
      <c r="H3233" s="9" t="n">
        <v>1530</v>
      </c>
      <c r="I3233" s="29" t="n">
        <v>1</v>
      </c>
      <c r="J3233" s="9" t="n">
        <v>0</v>
      </c>
      <c r="K3233" s="30"/>
      <c r="L3233" s="30"/>
      <c r="M3233" s="30"/>
      <c r="N3233" s="30"/>
      <c r="O3233" s="30"/>
      <c r="P3233" s="30"/>
      <c r="Q3233" s="30"/>
      <c r="R3233" s="30"/>
      <c r="S3233" s="30"/>
      <c r="T3233" s="30"/>
      <c r="U3233" s="21" t="str">
        <f aca="false">IF(COUNT(K3233:T3233)=0,"SOURCE EMPTY / INDUSTRIAL ONLY",IF(MIN(K3233:T3233)=1,"SERVICE READY","HOLD"))</f>
        <v>SOURCE EMPTY / INDUSTRIAL ONLY</v>
      </c>
      <c r="V3233" s="9" t="n">
        <f aca="false">IF(U3233="SERVICE READY",1,0)</f>
        <v>0</v>
      </c>
      <c r="W3233" s="6"/>
      <c r="X3233" s="6"/>
      <c r="Y3233" s="6"/>
      <c r="Z3233" s="6"/>
    </row>
    <row r="3234" customFormat="false" ht="15" hidden="false" customHeight="false" outlineLevel="0" collapsed="false">
      <c r="A3234" s="9" t="s">
        <v>3509</v>
      </c>
      <c r="B3234" s="9" t="s">
        <v>3428</v>
      </c>
      <c r="C3234" s="9" t="s">
        <v>3429</v>
      </c>
      <c r="D3234" s="9" t="s">
        <v>2971</v>
      </c>
      <c r="E3234" s="9" t="s">
        <v>1660</v>
      </c>
      <c r="F3234" s="9" t="s">
        <v>205</v>
      </c>
      <c r="G3234" s="9" t="s">
        <v>221</v>
      </c>
      <c r="H3234" s="9" t="n">
        <v>1530</v>
      </c>
      <c r="I3234" s="29" t="n">
        <v>1</v>
      </c>
      <c r="J3234" s="9" t="n">
        <v>0</v>
      </c>
      <c r="K3234" s="30"/>
      <c r="L3234" s="30"/>
      <c r="M3234" s="30"/>
      <c r="N3234" s="30"/>
      <c r="O3234" s="30"/>
      <c r="P3234" s="30"/>
      <c r="Q3234" s="30"/>
      <c r="R3234" s="30"/>
      <c r="S3234" s="30"/>
      <c r="T3234" s="30"/>
      <c r="U3234" s="21" t="str">
        <f aca="false">IF(COUNT(K3234:T3234)=0,"SOURCE EMPTY / INDUSTRIAL ONLY",IF(MIN(K3234:T3234)=1,"SERVICE READY","HOLD"))</f>
        <v>SOURCE EMPTY / INDUSTRIAL ONLY</v>
      </c>
      <c r="V3234" s="9" t="n">
        <f aca="false">IF(U3234="SERVICE READY",1,0)</f>
        <v>0</v>
      </c>
      <c r="W3234" s="6"/>
      <c r="X3234" s="6"/>
      <c r="Y3234" s="6"/>
      <c r="Z3234" s="6"/>
    </row>
    <row r="3235" customFormat="false" ht="15" hidden="false" customHeight="false" outlineLevel="0" collapsed="false">
      <c r="A3235" s="9" t="s">
        <v>3510</v>
      </c>
      <c r="B3235" s="9" t="s">
        <v>3428</v>
      </c>
      <c r="C3235" s="9" t="s">
        <v>3429</v>
      </c>
      <c r="D3235" s="9" t="s">
        <v>2971</v>
      </c>
      <c r="E3235" s="9" t="s">
        <v>1660</v>
      </c>
      <c r="F3235" s="9" t="s">
        <v>207</v>
      </c>
      <c r="G3235" s="9" t="s">
        <v>221</v>
      </c>
      <c r="H3235" s="9" t="n">
        <v>1530</v>
      </c>
      <c r="I3235" s="29" t="n">
        <v>1</v>
      </c>
      <c r="J3235" s="9" t="n">
        <v>0</v>
      </c>
      <c r="K3235" s="30"/>
      <c r="L3235" s="30"/>
      <c r="M3235" s="30"/>
      <c r="N3235" s="30"/>
      <c r="O3235" s="30"/>
      <c r="P3235" s="30"/>
      <c r="Q3235" s="30"/>
      <c r="R3235" s="30"/>
      <c r="S3235" s="30"/>
      <c r="T3235" s="30"/>
      <c r="U3235" s="21" t="str">
        <f aca="false">IF(COUNT(K3235:T3235)=0,"SOURCE EMPTY / INDUSTRIAL ONLY",IF(MIN(K3235:T3235)=1,"SERVICE READY","HOLD"))</f>
        <v>SOURCE EMPTY / INDUSTRIAL ONLY</v>
      </c>
      <c r="V3235" s="9" t="n">
        <f aca="false">IF(U3235="SERVICE READY",1,0)</f>
        <v>0</v>
      </c>
      <c r="W3235" s="6"/>
      <c r="X3235" s="6"/>
      <c r="Y3235" s="6"/>
      <c r="Z3235" s="6"/>
    </row>
    <row r="3236" customFormat="false" ht="15" hidden="false" customHeight="false" outlineLevel="0" collapsed="false">
      <c r="A3236" s="9" t="s">
        <v>3511</v>
      </c>
      <c r="B3236" s="9" t="s">
        <v>3428</v>
      </c>
      <c r="C3236" s="9" t="s">
        <v>3429</v>
      </c>
      <c r="D3236" s="9" t="s">
        <v>2971</v>
      </c>
      <c r="E3236" s="9" t="s">
        <v>1660</v>
      </c>
      <c r="F3236" s="9" t="s">
        <v>209</v>
      </c>
      <c r="G3236" s="9" t="s">
        <v>221</v>
      </c>
      <c r="H3236" s="9" t="n">
        <v>1530</v>
      </c>
      <c r="I3236" s="29" t="n">
        <v>1</v>
      </c>
      <c r="J3236" s="9" t="n">
        <v>0</v>
      </c>
      <c r="K3236" s="30"/>
      <c r="L3236" s="30"/>
      <c r="M3236" s="30"/>
      <c r="N3236" s="30"/>
      <c r="O3236" s="30"/>
      <c r="P3236" s="30"/>
      <c r="Q3236" s="30"/>
      <c r="R3236" s="30"/>
      <c r="S3236" s="30"/>
      <c r="T3236" s="30"/>
      <c r="U3236" s="21" t="str">
        <f aca="false">IF(COUNT(K3236:T3236)=0,"SOURCE EMPTY / INDUSTRIAL ONLY",IF(MIN(K3236:T3236)=1,"SERVICE READY","HOLD"))</f>
        <v>SOURCE EMPTY / INDUSTRIAL ONLY</v>
      </c>
      <c r="V3236" s="9" t="n">
        <f aca="false">IF(U3236="SERVICE READY",1,0)</f>
        <v>0</v>
      </c>
      <c r="W3236" s="6"/>
      <c r="X3236" s="6"/>
      <c r="Y3236" s="6"/>
      <c r="Z3236" s="6"/>
    </row>
    <row r="3237" customFormat="false" ht="15" hidden="false" customHeight="false" outlineLevel="0" collapsed="false">
      <c r="A3237" s="9" t="s">
        <v>3512</v>
      </c>
      <c r="B3237" s="9" t="s">
        <v>3428</v>
      </c>
      <c r="C3237" s="9" t="s">
        <v>3429</v>
      </c>
      <c r="D3237" s="9" t="s">
        <v>2971</v>
      </c>
      <c r="E3237" s="9" t="s">
        <v>1660</v>
      </c>
      <c r="F3237" s="9" t="s">
        <v>211</v>
      </c>
      <c r="G3237" s="9" t="s">
        <v>221</v>
      </c>
      <c r="H3237" s="9" t="n">
        <v>1530</v>
      </c>
      <c r="I3237" s="29" t="n">
        <v>1</v>
      </c>
      <c r="J3237" s="9" t="n">
        <v>0</v>
      </c>
      <c r="K3237" s="30"/>
      <c r="L3237" s="30"/>
      <c r="M3237" s="30"/>
      <c r="N3237" s="30"/>
      <c r="O3237" s="30"/>
      <c r="P3237" s="30"/>
      <c r="Q3237" s="30"/>
      <c r="R3237" s="30"/>
      <c r="S3237" s="30"/>
      <c r="T3237" s="30"/>
      <c r="U3237" s="21" t="str">
        <f aca="false">IF(COUNT(K3237:T3237)=0,"SOURCE EMPTY / INDUSTRIAL ONLY",IF(MIN(K3237:T3237)=1,"SERVICE READY","HOLD"))</f>
        <v>SOURCE EMPTY / INDUSTRIAL ONLY</v>
      </c>
      <c r="V3237" s="9" t="n">
        <f aca="false">IF(U3237="SERVICE READY",1,0)</f>
        <v>0</v>
      </c>
      <c r="W3237" s="6"/>
      <c r="X3237" s="6"/>
      <c r="Y3237" s="6"/>
      <c r="Z3237" s="6"/>
    </row>
    <row r="3238" customFormat="false" ht="15" hidden="false" customHeight="false" outlineLevel="0" collapsed="false">
      <c r="A3238" s="9" t="s">
        <v>3513</v>
      </c>
      <c r="B3238" s="9" t="s">
        <v>3428</v>
      </c>
      <c r="C3238" s="9" t="s">
        <v>3429</v>
      </c>
      <c r="D3238" s="9" t="s">
        <v>2971</v>
      </c>
      <c r="E3238" s="9" t="s">
        <v>1660</v>
      </c>
      <c r="F3238" s="9" t="s">
        <v>197</v>
      </c>
      <c r="G3238" s="9" t="s">
        <v>221</v>
      </c>
      <c r="H3238" s="9" t="n">
        <v>1530</v>
      </c>
      <c r="I3238" s="29" t="n">
        <v>1</v>
      </c>
      <c r="J3238" s="9" t="n">
        <v>0</v>
      </c>
      <c r="K3238" s="30"/>
      <c r="L3238" s="30"/>
      <c r="M3238" s="30"/>
      <c r="N3238" s="30"/>
      <c r="O3238" s="30"/>
      <c r="P3238" s="30"/>
      <c r="Q3238" s="30"/>
      <c r="R3238" s="30"/>
      <c r="S3238" s="30"/>
      <c r="T3238" s="30"/>
      <c r="U3238" s="21" t="str">
        <f aca="false">IF(COUNT(K3238:T3238)=0,"SOURCE EMPTY / INDUSTRIAL ONLY",IF(MIN(K3238:T3238)=1,"SERVICE READY","HOLD"))</f>
        <v>SOURCE EMPTY / INDUSTRIAL ONLY</v>
      </c>
      <c r="V3238" s="9" t="n">
        <f aca="false">IF(U3238="SERVICE READY",1,0)</f>
        <v>0</v>
      </c>
      <c r="W3238" s="6"/>
      <c r="X3238" s="6"/>
      <c r="Y3238" s="6"/>
      <c r="Z3238" s="6"/>
    </row>
    <row r="3239" customFormat="false" ht="15" hidden="false" customHeight="false" outlineLevel="0" collapsed="false">
      <c r="A3239" s="9" t="s">
        <v>3514</v>
      </c>
      <c r="B3239" s="9" t="s">
        <v>3428</v>
      </c>
      <c r="C3239" s="9" t="s">
        <v>3429</v>
      </c>
      <c r="D3239" s="9" t="s">
        <v>2971</v>
      </c>
      <c r="E3239" s="9" t="s">
        <v>1660</v>
      </c>
      <c r="F3239" s="9" t="s">
        <v>200</v>
      </c>
      <c r="G3239" s="9" t="s">
        <v>221</v>
      </c>
      <c r="H3239" s="9" t="n">
        <v>1530</v>
      </c>
      <c r="I3239" s="29" t="n">
        <v>1</v>
      </c>
      <c r="J3239" s="9" t="n">
        <v>0</v>
      </c>
      <c r="K3239" s="30"/>
      <c r="L3239" s="30"/>
      <c r="M3239" s="30"/>
      <c r="N3239" s="30"/>
      <c r="O3239" s="30"/>
      <c r="P3239" s="30"/>
      <c r="Q3239" s="30"/>
      <c r="R3239" s="30"/>
      <c r="S3239" s="30"/>
      <c r="T3239" s="30"/>
      <c r="U3239" s="21" t="str">
        <f aca="false">IF(COUNT(K3239:T3239)=0,"SOURCE EMPTY / INDUSTRIAL ONLY",IF(MIN(K3239:T3239)=1,"SERVICE READY","HOLD"))</f>
        <v>SOURCE EMPTY / INDUSTRIAL ONLY</v>
      </c>
      <c r="V3239" s="9" t="n">
        <f aca="false">IF(U3239="SERVICE READY",1,0)</f>
        <v>0</v>
      </c>
      <c r="W3239" s="6"/>
      <c r="X3239" s="6"/>
      <c r="Y3239" s="6"/>
      <c r="Z3239" s="6"/>
    </row>
    <row r="3240" customFormat="false" ht="15" hidden="false" customHeight="false" outlineLevel="0" collapsed="false">
      <c r="A3240" s="9" t="s">
        <v>3515</v>
      </c>
      <c r="B3240" s="9" t="s">
        <v>3428</v>
      </c>
      <c r="C3240" s="9" t="s">
        <v>3429</v>
      </c>
      <c r="D3240" s="9" t="s">
        <v>2971</v>
      </c>
      <c r="E3240" s="9" t="s">
        <v>1660</v>
      </c>
      <c r="F3240" s="9" t="s">
        <v>203</v>
      </c>
      <c r="G3240" s="9" t="s">
        <v>221</v>
      </c>
      <c r="H3240" s="9" t="n">
        <v>1530</v>
      </c>
      <c r="I3240" s="29" t="n">
        <v>1</v>
      </c>
      <c r="J3240" s="9" t="n">
        <v>0</v>
      </c>
      <c r="K3240" s="30"/>
      <c r="L3240" s="30"/>
      <c r="M3240" s="30"/>
      <c r="N3240" s="30"/>
      <c r="O3240" s="30"/>
      <c r="P3240" s="30"/>
      <c r="Q3240" s="30"/>
      <c r="R3240" s="30"/>
      <c r="S3240" s="30"/>
      <c r="T3240" s="30"/>
      <c r="U3240" s="21" t="str">
        <f aca="false">IF(COUNT(K3240:T3240)=0,"SOURCE EMPTY / INDUSTRIAL ONLY",IF(MIN(K3240:T3240)=1,"SERVICE READY","HOLD"))</f>
        <v>SOURCE EMPTY / INDUSTRIAL ONLY</v>
      </c>
      <c r="V3240" s="9" t="n">
        <f aca="false">IF(U3240="SERVICE READY",1,0)</f>
        <v>0</v>
      </c>
      <c r="W3240" s="6"/>
      <c r="X3240" s="6"/>
      <c r="Y3240" s="6"/>
      <c r="Z3240" s="6"/>
    </row>
    <row r="3241" customFormat="false" ht="15" hidden="false" customHeight="false" outlineLevel="0" collapsed="false">
      <c r="A3241" s="9" t="s">
        <v>3516</v>
      </c>
      <c r="B3241" s="9" t="s">
        <v>3428</v>
      </c>
      <c r="C3241" s="9" t="s">
        <v>3429</v>
      </c>
      <c r="D3241" s="9" t="s">
        <v>2971</v>
      </c>
      <c r="E3241" s="9" t="s">
        <v>1660</v>
      </c>
      <c r="F3241" s="9" t="s">
        <v>205</v>
      </c>
      <c r="G3241" s="9" t="s">
        <v>221</v>
      </c>
      <c r="H3241" s="9" t="n">
        <v>1530</v>
      </c>
      <c r="I3241" s="29" t="n">
        <v>1</v>
      </c>
      <c r="J3241" s="9" t="n">
        <v>0</v>
      </c>
      <c r="K3241" s="30"/>
      <c r="L3241" s="30"/>
      <c r="M3241" s="30"/>
      <c r="N3241" s="30"/>
      <c r="O3241" s="30"/>
      <c r="P3241" s="30"/>
      <c r="Q3241" s="30"/>
      <c r="R3241" s="30"/>
      <c r="S3241" s="30"/>
      <c r="T3241" s="30"/>
      <c r="U3241" s="21" t="str">
        <f aca="false">IF(COUNT(K3241:T3241)=0,"SOURCE EMPTY / INDUSTRIAL ONLY",IF(MIN(K3241:T3241)=1,"SERVICE READY","HOLD"))</f>
        <v>SOURCE EMPTY / INDUSTRIAL ONLY</v>
      </c>
      <c r="V3241" s="9" t="n">
        <f aca="false">IF(U3241="SERVICE READY",1,0)</f>
        <v>0</v>
      </c>
      <c r="W3241" s="6"/>
      <c r="X3241" s="6"/>
      <c r="Y3241" s="6"/>
      <c r="Z3241" s="6"/>
    </row>
    <row r="3242" customFormat="false" ht="15" hidden="false" customHeight="false" outlineLevel="0" collapsed="false">
      <c r="A3242" s="9" t="s">
        <v>3517</v>
      </c>
      <c r="B3242" s="9" t="s">
        <v>3428</v>
      </c>
      <c r="C3242" s="9" t="s">
        <v>3429</v>
      </c>
      <c r="D3242" s="9" t="s">
        <v>2971</v>
      </c>
      <c r="E3242" s="9" t="s">
        <v>1660</v>
      </c>
      <c r="F3242" s="9" t="s">
        <v>207</v>
      </c>
      <c r="G3242" s="9" t="s">
        <v>221</v>
      </c>
      <c r="H3242" s="9" t="n">
        <v>1530</v>
      </c>
      <c r="I3242" s="29" t="n">
        <v>1</v>
      </c>
      <c r="J3242" s="9" t="n">
        <v>0</v>
      </c>
      <c r="K3242" s="30"/>
      <c r="L3242" s="30"/>
      <c r="M3242" s="30"/>
      <c r="N3242" s="30"/>
      <c r="O3242" s="30"/>
      <c r="P3242" s="30"/>
      <c r="Q3242" s="30"/>
      <c r="R3242" s="30"/>
      <c r="S3242" s="30"/>
      <c r="T3242" s="30"/>
      <c r="U3242" s="21" t="str">
        <f aca="false">IF(COUNT(K3242:T3242)=0,"SOURCE EMPTY / INDUSTRIAL ONLY",IF(MIN(K3242:T3242)=1,"SERVICE READY","HOLD"))</f>
        <v>SOURCE EMPTY / INDUSTRIAL ONLY</v>
      </c>
      <c r="V3242" s="9" t="n">
        <f aca="false">IF(U3242="SERVICE READY",1,0)</f>
        <v>0</v>
      </c>
      <c r="W3242" s="6"/>
      <c r="X3242" s="6"/>
      <c r="Y3242" s="6"/>
      <c r="Z3242" s="6"/>
    </row>
    <row r="3243" customFormat="false" ht="15" hidden="false" customHeight="false" outlineLevel="0" collapsed="false">
      <c r="A3243" s="9" t="s">
        <v>3518</v>
      </c>
      <c r="B3243" s="9" t="s">
        <v>3428</v>
      </c>
      <c r="C3243" s="9" t="s">
        <v>3429</v>
      </c>
      <c r="D3243" s="9" t="s">
        <v>2971</v>
      </c>
      <c r="E3243" s="9" t="s">
        <v>1660</v>
      </c>
      <c r="F3243" s="9" t="s">
        <v>209</v>
      </c>
      <c r="G3243" s="9" t="s">
        <v>221</v>
      </c>
      <c r="H3243" s="9" t="n">
        <v>1530</v>
      </c>
      <c r="I3243" s="29" t="n">
        <v>1</v>
      </c>
      <c r="J3243" s="9" t="n">
        <v>0</v>
      </c>
      <c r="K3243" s="30"/>
      <c r="L3243" s="30"/>
      <c r="M3243" s="30"/>
      <c r="N3243" s="30"/>
      <c r="O3243" s="30"/>
      <c r="P3243" s="30"/>
      <c r="Q3243" s="30"/>
      <c r="R3243" s="30"/>
      <c r="S3243" s="30"/>
      <c r="T3243" s="30"/>
      <c r="U3243" s="21" t="str">
        <f aca="false">IF(COUNT(K3243:T3243)=0,"SOURCE EMPTY / INDUSTRIAL ONLY",IF(MIN(K3243:T3243)=1,"SERVICE READY","HOLD"))</f>
        <v>SOURCE EMPTY / INDUSTRIAL ONLY</v>
      </c>
      <c r="V3243" s="9" t="n">
        <f aca="false">IF(U3243="SERVICE READY",1,0)</f>
        <v>0</v>
      </c>
      <c r="W3243" s="6"/>
      <c r="X3243" s="6"/>
      <c r="Y3243" s="6"/>
      <c r="Z3243" s="6"/>
    </row>
    <row r="3244" customFormat="false" ht="15" hidden="false" customHeight="false" outlineLevel="0" collapsed="false">
      <c r="A3244" s="9" t="s">
        <v>3519</v>
      </c>
      <c r="B3244" s="9" t="s">
        <v>3428</v>
      </c>
      <c r="C3244" s="9" t="s">
        <v>3429</v>
      </c>
      <c r="D3244" s="9" t="s">
        <v>2971</v>
      </c>
      <c r="E3244" s="9" t="s">
        <v>1660</v>
      </c>
      <c r="F3244" s="9" t="s">
        <v>211</v>
      </c>
      <c r="G3244" s="9" t="s">
        <v>221</v>
      </c>
      <c r="H3244" s="9" t="n">
        <v>1530</v>
      </c>
      <c r="I3244" s="29" t="n">
        <v>1</v>
      </c>
      <c r="J3244" s="9" t="n">
        <v>0</v>
      </c>
      <c r="K3244" s="30"/>
      <c r="L3244" s="30"/>
      <c r="M3244" s="30"/>
      <c r="N3244" s="30"/>
      <c r="O3244" s="30"/>
      <c r="P3244" s="30"/>
      <c r="Q3244" s="30"/>
      <c r="R3244" s="30"/>
      <c r="S3244" s="30"/>
      <c r="T3244" s="30"/>
      <c r="U3244" s="21" t="str">
        <f aca="false">IF(COUNT(K3244:T3244)=0,"SOURCE EMPTY / INDUSTRIAL ONLY",IF(MIN(K3244:T3244)=1,"SERVICE READY","HOLD"))</f>
        <v>SOURCE EMPTY / INDUSTRIAL ONLY</v>
      </c>
      <c r="V3244" s="9" t="n">
        <f aca="false">IF(U3244="SERVICE READY",1,0)</f>
        <v>0</v>
      </c>
      <c r="W3244" s="6"/>
      <c r="X3244" s="6"/>
      <c r="Y3244" s="6"/>
      <c r="Z3244" s="6"/>
    </row>
    <row r="3245" customFormat="false" ht="15" hidden="false" customHeight="false" outlineLevel="0" collapsed="false">
      <c r="A3245" s="9" t="s">
        <v>3520</v>
      </c>
      <c r="B3245" s="9" t="s">
        <v>3428</v>
      </c>
      <c r="C3245" s="9" t="s">
        <v>3429</v>
      </c>
      <c r="D3245" s="9" t="s">
        <v>2971</v>
      </c>
      <c r="E3245" s="9" t="s">
        <v>1660</v>
      </c>
      <c r="F3245" s="9" t="s">
        <v>197</v>
      </c>
      <c r="G3245" s="9" t="s">
        <v>221</v>
      </c>
      <c r="H3245" s="9" t="n">
        <v>1530</v>
      </c>
      <c r="I3245" s="29" t="n">
        <v>1</v>
      </c>
      <c r="J3245" s="9" t="n">
        <v>0</v>
      </c>
      <c r="K3245" s="30"/>
      <c r="L3245" s="30"/>
      <c r="M3245" s="30"/>
      <c r="N3245" s="30"/>
      <c r="O3245" s="30"/>
      <c r="P3245" s="30"/>
      <c r="Q3245" s="30"/>
      <c r="R3245" s="30"/>
      <c r="S3245" s="30"/>
      <c r="T3245" s="30"/>
      <c r="U3245" s="21" t="str">
        <f aca="false">IF(COUNT(K3245:T3245)=0,"SOURCE EMPTY / INDUSTRIAL ONLY",IF(MIN(K3245:T3245)=1,"SERVICE READY","HOLD"))</f>
        <v>SOURCE EMPTY / INDUSTRIAL ONLY</v>
      </c>
      <c r="V3245" s="9" t="n">
        <f aca="false">IF(U3245="SERVICE READY",1,0)</f>
        <v>0</v>
      </c>
      <c r="W3245" s="6"/>
      <c r="X3245" s="6"/>
      <c r="Y3245" s="6"/>
      <c r="Z3245" s="6"/>
    </row>
    <row r="3246" customFormat="false" ht="15" hidden="false" customHeight="false" outlineLevel="0" collapsed="false">
      <c r="A3246" s="9" t="s">
        <v>3521</v>
      </c>
      <c r="B3246" s="9" t="s">
        <v>3428</v>
      </c>
      <c r="C3246" s="9" t="s">
        <v>3429</v>
      </c>
      <c r="D3246" s="9" t="s">
        <v>2971</v>
      </c>
      <c r="E3246" s="9" t="s">
        <v>1660</v>
      </c>
      <c r="F3246" s="9" t="s">
        <v>200</v>
      </c>
      <c r="G3246" s="9" t="s">
        <v>221</v>
      </c>
      <c r="H3246" s="9" t="n">
        <v>1530</v>
      </c>
      <c r="I3246" s="29" t="n">
        <v>1</v>
      </c>
      <c r="J3246" s="9" t="n">
        <v>0</v>
      </c>
      <c r="K3246" s="30"/>
      <c r="L3246" s="30"/>
      <c r="M3246" s="30"/>
      <c r="N3246" s="30"/>
      <c r="O3246" s="30"/>
      <c r="P3246" s="30"/>
      <c r="Q3246" s="30"/>
      <c r="R3246" s="30"/>
      <c r="S3246" s="30"/>
      <c r="T3246" s="30"/>
      <c r="U3246" s="21" t="str">
        <f aca="false">IF(COUNT(K3246:T3246)=0,"SOURCE EMPTY / INDUSTRIAL ONLY",IF(MIN(K3246:T3246)=1,"SERVICE READY","HOLD"))</f>
        <v>SOURCE EMPTY / INDUSTRIAL ONLY</v>
      </c>
      <c r="V3246" s="9" t="n">
        <f aca="false">IF(U3246="SERVICE READY",1,0)</f>
        <v>0</v>
      </c>
      <c r="W3246" s="6"/>
      <c r="X3246" s="6"/>
      <c r="Y3246" s="6"/>
      <c r="Z3246" s="6"/>
    </row>
    <row r="3247" customFormat="false" ht="15" hidden="false" customHeight="false" outlineLevel="0" collapsed="false">
      <c r="A3247" s="9" t="s">
        <v>3522</v>
      </c>
      <c r="B3247" s="9" t="s">
        <v>3428</v>
      </c>
      <c r="C3247" s="9" t="s">
        <v>3429</v>
      </c>
      <c r="D3247" s="9" t="s">
        <v>2971</v>
      </c>
      <c r="E3247" s="9" t="s">
        <v>1660</v>
      </c>
      <c r="F3247" s="9" t="s">
        <v>203</v>
      </c>
      <c r="G3247" s="9" t="s">
        <v>221</v>
      </c>
      <c r="H3247" s="9" t="n">
        <v>1530</v>
      </c>
      <c r="I3247" s="29" t="n">
        <v>1</v>
      </c>
      <c r="J3247" s="9" t="n">
        <v>0</v>
      </c>
      <c r="K3247" s="30"/>
      <c r="L3247" s="30"/>
      <c r="M3247" s="30"/>
      <c r="N3247" s="30"/>
      <c r="O3247" s="30"/>
      <c r="P3247" s="30"/>
      <c r="Q3247" s="30"/>
      <c r="R3247" s="30"/>
      <c r="S3247" s="30"/>
      <c r="T3247" s="30"/>
      <c r="U3247" s="21" t="str">
        <f aca="false">IF(COUNT(K3247:T3247)=0,"SOURCE EMPTY / INDUSTRIAL ONLY",IF(MIN(K3247:T3247)=1,"SERVICE READY","HOLD"))</f>
        <v>SOURCE EMPTY / INDUSTRIAL ONLY</v>
      </c>
      <c r="V3247" s="9" t="n">
        <f aca="false">IF(U3247="SERVICE READY",1,0)</f>
        <v>0</v>
      </c>
      <c r="W3247" s="6"/>
      <c r="X3247" s="6"/>
      <c r="Y3247" s="6"/>
      <c r="Z3247" s="6"/>
    </row>
    <row r="3248" customFormat="false" ht="15" hidden="false" customHeight="false" outlineLevel="0" collapsed="false">
      <c r="A3248" s="9" t="s">
        <v>3523</v>
      </c>
      <c r="B3248" s="9" t="s">
        <v>3428</v>
      </c>
      <c r="C3248" s="9" t="s">
        <v>3429</v>
      </c>
      <c r="D3248" s="9" t="s">
        <v>2971</v>
      </c>
      <c r="E3248" s="9" t="s">
        <v>1660</v>
      </c>
      <c r="F3248" s="9" t="s">
        <v>205</v>
      </c>
      <c r="G3248" s="9" t="s">
        <v>221</v>
      </c>
      <c r="H3248" s="9" t="n">
        <v>1530</v>
      </c>
      <c r="I3248" s="29" t="n">
        <v>1</v>
      </c>
      <c r="J3248" s="9" t="n">
        <v>0</v>
      </c>
      <c r="K3248" s="30"/>
      <c r="L3248" s="30"/>
      <c r="M3248" s="30"/>
      <c r="N3248" s="30"/>
      <c r="O3248" s="30"/>
      <c r="P3248" s="30"/>
      <c r="Q3248" s="30"/>
      <c r="R3248" s="30"/>
      <c r="S3248" s="30"/>
      <c r="T3248" s="30"/>
      <c r="U3248" s="21" t="str">
        <f aca="false">IF(COUNT(K3248:T3248)=0,"SOURCE EMPTY / INDUSTRIAL ONLY",IF(MIN(K3248:T3248)=1,"SERVICE READY","HOLD"))</f>
        <v>SOURCE EMPTY / INDUSTRIAL ONLY</v>
      </c>
      <c r="V3248" s="9" t="n">
        <f aca="false">IF(U3248="SERVICE READY",1,0)</f>
        <v>0</v>
      </c>
      <c r="W3248" s="6"/>
      <c r="X3248" s="6"/>
      <c r="Y3248" s="6"/>
      <c r="Z3248" s="6"/>
    </row>
    <row r="3249" customFormat="false" ht="15" hidden="false" customHeight="false" outlineLevel="0" collapsed="false">
      <c r="A3249" s="9" t="s">
        <v>3524</v>
      </c>
      <c r="B3249" s="9" t="s">
        <v>3428</v>
      </c>
      <c r="C3249" s="9" t="s">
        <v>3429</v>
      </c>
      <c r="D3249" s="9" t="s">
        <v>2971</v>
      </c>
      <c r="E3249" s="9" t="s">
        <v>1660</v>
      </c>
      <c r="F3249" s="9" t="s">
        <v>207</v>
      </c>
      <c r="G3249" s="9" t="s">
        <v>221</v>
      </c>
      <c r="H3249" s="9" t="n">
        <v>1530</v>
      </c>
      <c r="I3249" s="29" t="n">
        <v>1</v>
      </c>
      <c r="J3249" s="9" t="n">
        <v>0</v>
      </c>
      <c r="K3249" s="30"/>
      <c r="L3249" s="30"/>
      <c r="M3249" s="30"/>
      <c r="N3249" s="30"/>
      <c r="O3249" s="30"/>
      <c r="P3249" s="30"/>
      <c r="Q3249" s="30"/>
      <c r="R3249" s="30"/>
      <c r="S3249" s="30"/>
      <c r="T3249" s="30"/>
      <c r="U3249" s="21" t="str">
        <f aca="false">IF(COUNT(K3249:T3249)=0,"SOURCE EMPTY / INDUSTRIAL ONLY",IF(MIN(K3249:T3249)=1,"SERVICE READY","HOLD"))</f>
        <v>SOURCE EMPTY / INDUSTRIAL ONLY</v>
      </c>
      <c r="V3249" s="9" t="n">
        <f aca="false">IF(U3249="SERVICE READY",1,0)</f>
        <v>0</v>
      </c>
      <c r="W3249" s="6"/>
      <c r="X3249" s="6"/>
      <c r="Y3249" s="6"/>
      <c r="Z3249" s="6"/>
    </row>
    <row r="3250" customFormat="false" ht="15" hidden="false" customHeight="false" outlineLevel="0" collapsed="false">
      <c r="A3250" s="9" t="s">
        <v>3525</v>
      </c>
      <c r="B3250" s="9" t="s">
        <v>3428</v>
      </c>
      <c r="C3250" s="9" t="s">
        <v>3429</v>
      </c>
      <c r="D3250" s="9" t="s">
        <v>2971</v>
      </c>
      <c r="E3250" s="9" t="s">
        <v>1660</v>
      </c>
      <c r="F3250" s="9" t="s">
        <v>209</v>
      </c>
      <c r="G3250" s="9" t="s">
        <v>221</v>
      </c>
      <c r="H3250" s="9" t="n">
        <v>1530</v>
      </c>
      <c r="I3250" s="29" t="n">
        <v>1</v>
      </c>
      <c r="J3250" s="9" t="n">
        <v>0</v>
      </c>
      <c r="K3250" s="30"/>
      <c r="L3250" s="30"/>
      <c r="M3250" s="30"/>
      <c r="N3250" s="30"/>
      <c r="O3250" s="30"/>
      <c r="P3250" s="30"/>
      <c r="Q3250" s="30"/>
      <c r="R3250" s="30"/>
      <c r="S3250" s="30"/>
      <c r="T3250" s="30"/>
      <c r="U3250" s="21" t="str">
        <f aca="false">IF(COUNT(K3250:T3250)=0,"SOURCE EMPTY / INDUSTRIAL ONLY",IF(MIN(K3250:T3250)=1,"SERVICE READY","HOLD"))</f>
        <v>SOURCE EMPTY / INDUSTRIAL ONLY</v>
      </c>
      <c r="V3250" s="9" t="n">
        <f aca="false">IF(U3250="SERVICE READY",1,0)</f>
        <v>0</v>
      </c>
      <c r="W3250" s="6"/>
      <c r="X3250" s="6"/>
      <c r="Y3250" s="6"/>
      <c r="Z3250" s="6"/>
    </row>
    <row r="3251" customFormat="false" ht="15" hidden="false" customHeight="false" outlineLevel="0" collapsed="false">
      <c r="A3251" s="9" t="s">
        <v>3526</v>
      </c>
      <c r="B3251" s="9" t="s">
        <v>3428</v>
      </c>
      <c r="C3251" s="9" t="s">
        <v>3429</v>
      </c>
      <c r="D3251" s="9" t="s">
        <v>2971</v>
      </c>
      <c r="E3251" s="9" t="s">
        <v>1660</v>
      </c>
      <c r="F3251" s="9" t="s">
        <v>211</v>
      </c>
      <c r="G3251" s="9" t="s">
        <v>221</v>
      </c>
      <c r="H3251" s="9" t="n">
        <v>1530</v>
      </c>
      <c r="I3251" s="29" t="n">
        <v>1</v>
      </c>
      <c r="J3251" s="9" t="n">
        <v>0</v>
      </c>
      <c r="K3251" s="30"/>
      <c r="L3251" s="30"/>
      <c r="M3251" s="30"/>
      <c r="N3251" s="30"/>
      <c r="O3251" s="30"/>
      <c r="P3251" s="30"/>
      <c r="Q3251" s="30"/>
      <c r="R3251" s="30"/>
      <c r="S3251" s="30"/>
      <c r="T3251" s="30"/>
      <c r="U3251" s="21" t="str">
        <f aca="false">IF(COUNT(K3251:T3251)=0,"SOURCE EMPTY / INDUSTRIAL ONLY",IF(MIN(K3251:T3251)=1,"SERVICE READY","HOLD"))</f>
        <v>SOURCE EMPTY / INDUSTRIAL ONLY</v>
      </c>
      <c r="V3251" s="9" t="n">
        <f aca="false">IF(U3251="SERVICE READY",1,0)</f>
        <v>0</v>
      </c>
      <c r="W3251" s="6"/>
      <c r="X3251" s="6"/>
      <c r="Y3251" s="6"/>
      <c r="Z3251" s="6"/>
    </row>
    <row r="3252" customFormat="false" ht="15" hidden="false" customHeight="false" outlineLevel="0" collapsed="false">
      <c r="A3252" s="9" t="s">
        <v>3527</v>
      </c>
      <c r="B3252" s="9" t="s">
        <v>3428</v>
      </c>
      <c r="C3252" s="9" t="s">
        <v>3429</v>
      </c>
      <c r="D3252" s="9" t="s">
        <v>2971</v>
      </c>
      <c r="E3252" s="9" t="s">
        <v>1660</v>
      </c>
      <c r="F3252" s="9" t="s">
        <v>197</v>
      </c>
      <c r="G3252" s="9" t="s">
        <v>221</v>
      </c>
      <c r="H3252" s="9" t="n">
        <v>1530</v>
      </c>
      <c r="I3252" s="29" t="n">
        <v>1</v>
      </c>
      <c r="J3252" s="9" t="n">
        <v>0</v>
      </c>
      <c r="K3252" s="30"/>
      <c r="L3252" s="30"/>
      <c r="M3252" s="30"/>
      <c r="N3252" s="30"/>
      <c r="O3252" s="30"/>
      <c r="P3252" s="30"/>
      <c r="Q3252" s="30"/>
      <c r="R3252" s="30"/>
      <c r="S3252" s="30"/>
      <c r="T3252" s="30"/>
      <c r="U3252" s="21" t="str">
        <f aca="false">IF(COUNT(K3252:T3252)=0,"SOURCE EMPTY / INDUSTRIAL ONLY",IF(MIN(K3252:T3252)=1,"SERVICE READY","HOLD"))</f>
        <v>SOURCE EMPTY / INDUSTRIAL ONLY</v>
      </c>
      <c r="V3252" s="9" t="n">
        <f aca="false">IF(U3252="SERVICE READY",1,0)</f>
        <v>0</v>
      </c>
      <c r="W3252" s="6"/>
      <c r="X3252" s="6"/>
      <c r="Y3252" s="6"/>
      <c r="Z3252" s="6"/>
    </row>
    <row r="3253" customFormat="false" ht="15" hidden="false" customHeight="false" outlineLevel="0" collapsed="false">
      <c r="A3253" s="9" t="s">
        <v>3528</v>
      </c>
      <c r="B3253" s="9" t="s">
        <v>3428</v>
      </c>
      <c r="C3253" s="9" t="s">
        <v>3429</v>
      </c>
      <c r="D3253" s="9" t="s">
        <v>2971</v>
      </c>
      <c r="E3253" s="9" t="s">
        <v>1660</v>
      </c>
      <c r="F3253" s="9" t="s">
        <v>200</v>
      </c>
      <c r="G3253" s="9" t="s">
        <v>221</v>
      </c>
      <c r="H3253" s="9" t="n">
        <v>1530</v>
      </c>
      <c r="I3253" s="29" t="n">
        <v>1</v>
      </c>
      <c r="J3253" s="9" t="n">
        <v>0</v>
      </c>
      <c r="K3253" s="30"/>
      <c r="L3253" s="30"/>
      <c r="M3253" s="30"/>
      <c r="N3253" s="30"/>
      <c r="O3253" s="30"/>
      <c r="P3253" s="30"/>
      <c r="Q3253" s="30"/>
      <c r="R3253" s="30"/>
      <c r="S3253" s="30"/>
      <c r="T3253" s="30"/>
      <c r="U3253" s="21" t="str">
        <f aca="false">IF(COUNT(K3253:T3253)=0,"SOURCE EMPTY / INDUSTRIAL ONLY",IF(MIN(K3253:T3253)=1,"SERVICE READY","HOLD"))</f>
        <v>SOURCE EMPTY / INDUSTRIAL ONLY</v>
      </c>
      <c r="V3253" s="9" t="n">
        <f aca="false">IF(U3253="SERVICE READY",1,0)</f>
        <v>0</v>
      </c>
      <c r="W3253" s="6"/>
      <c r="X3253" s="6"/>
      <c r="Y3253" s="6"/>
      <c r="Z3253" s="6"/>
    </row>
    <row r="3254" customFormat="false" ht="15" hidden="false" customHeight="false" outlineLevel="0" collapsed="false">
      <c r="A3254" s="9" t="s">
        <v>3529</v>
      </c>
      <c r="B3254" s="9" t="s">
        <v>3428</v>
      </c>
      <c r="C3254" s="9" t="s">
        <v>3429</v>
      </c>
      <c r="D3254" s="9" t="s">
        <v>2971</v>
      </c>
      <c r="E3254" s="9" t="s">
        <v>1660</v>
      </c>
      <c r="F3254" s="9" t="s">
        <v>203</v>
      </c>
      <c r="G3254" s="9" t="s">
        <v>221</v>
      </c>
      <c r="H3254" s="9" t="n">
        <v>1530</v>
      </c>
      <c r="I3254" s="29" t="n">
        <v>1</v>
      </c>
      <c r="J3254" s="9" t="n">
        <v>0</v>
      </c>
      <c r="K3254" s="30"/>
      <c r="L3254" s="30"/>
      <c r="M3254" s="30"/>
      <c r="N3254" s="30"/>
      <c r="O3254" s="30"/>
      <c r="P3254" s="30"/>
      <c r="Q3254" s="30"/>
      <c r="R3254" s="30"/>
      <c r="S3254" s="30"/>
      <c r="T3254" s="30"/>
      <c r="U3254" s="21" t="str">
        <f aca="false">IF(COUNT(K3254:T3254)=0,"SOURCE EMPTY / INDUSTRIAL ONLY",IF(MIN(K3254:T3254)=1,"SERVICE READY","HOLD"))</f>
        <v>SOURCE EMPTY / INDUSTRIAL ONLY</v>
      </c>
      <c r="V3254" s="9" t="n">
        <f aca="false">IF(U3254="SERVICE READY",1,0)</f>
        <v>0</v>
      </c>
      <c r="W3254" s="6"/>
      <c r="X3254" s="6"/>
      <c r="Y3254" s="6"/>
      <c r="Z3254" s="6"/>
    </row>
    <row r="3255" customFormat="false" ht="15" hidden="false" customHeight="false" outlineLevel="0" collapsed="false">
      <c r="A3255" s="9" t="s">
        <v>3530</v>
      </c>
      <c r="B3255" s="9" t="s">
        <v>3428</v>
      </c>
      <c r="C3255" s="9" t="s">
        <v>3429</v>
      </c>
      <c r="D3255" s="9" t="s">
        <v>2971</v>
      </c>
      <c r="E3255" s="9" t="s">
        <v>1660</v>
      </c>
      <c r="F3255" s="9" t="s">
        <v>205</v>
      </c>
      <c r="G3255" s="9" t="s">
        <v>221</v>
      </c>
      <c r="H3255" s="9" t="n">
        <v>1530</v>
      </c>
      <c r="I3255" s="29" t="n">
        <v>1</v>
      </c>
      <c r="J3255" s="9" t="n">
        <v>0</v>
      </c>
      <c r="K3255" s="30"/>
      <c r="L3255" s="30"/>
      <c r="M3255" s="30"/>
      <c r="N3255" s="30"/>
      <c r="O3255" s="30"/>
      <c r="P3255" s="30"/>
      <c r="Q3255" s="30"/>
      <c r="R3255" s="30"/>
      <c r="S3255" s="30"/>
      <c r="T3255" s="30"/>
      <c r="U3255" s="21" t="str">
        <f aca="false">IF(COUNT(K3255:T3255)=0,"SOURCE EMPTY / INDUSTRIAL ONLY",IF(MIN(K3255:T3255)=1,"SERVICE READY","HOLD"))</f>
        <v>SOURCE EMPTY / INDUSTRIAL ONLY</v>
      </c>
      <c r="V3255" s="9" t="n">
        <f aca="false">IF(U3255="SERVICE READY",1,0)</f>
        <v>0</v>
      </c>
      <c r="W3255" s="6"/>
      <c r="X3255" s="6"/>
      <c r="Y3255" s="6"/>
      <c r="Z3255" s="6"/>
    </row>
    <row r="3256" customFormat="false" ht="15" hidden="false" customHeight="false" outlineLevel="0" collapsed="false">
      <c r="A3256" s="9" t="s">
        <v>3531</v>
      </c>
      <c r="B3256" s="9" t="s">
        <v>3428</v>
      </c>
      <c r="C3256" s="9" t="s">
        <v>3429</v>
      </c>
      <c r="D3256" s="9" t="s">
        <v>2971</v>
      </c>
      <c r="E3256" s="9" t="s">
        <v>1660</v>
      </c>
      <c r="F3256" s="9" t="s">
        <v>207</v>
      </c>
      <c r="G3256" s="9" t="s">
        <v>221</v>
      </c>
      <c r="H3256" s="9" t="n">
        <v>1530</v>
      </c>
      <c r="I3256" s="29" t="n">
        <v>1</v>
      </c>
      <c r="J3256" s="9" t="n">
        <v>0</v>
      </c>
      <c r="K3256" s="30"/>
      <c r="L3256" s="30"/>
      <c r="M3256" s="30"/>
      <c r="N3256" s="30"/>
      <c r="O3256" s="30"/>
      <c r="P3256" s="30"/>
      <c r="Q3256" s="30"/>
      <c r="R3256" s="30"/>
      <c r="S3256" s="30"/>
      <c r="T3256" s="30"/>
      <c r="U3256" s="21" t="str">
        <f aca="false">IF(COUNT(K3256:T3256)=0,"SOURCE EMPTY / INDUSTRIAL ONLY",IF(MIN(K3256:T3256)=1,"SERVICE READY","HOLD"))</f>
        <v>SOURCE EMPTY / INDUSTRIAL ONLY</v>
      </c>
      <c r="V3256" s="9" t="n">
        <f aca="false">IF(U3256="SERVICE READY",1,0)</f>
        <v>0</v>
      </c>
      <c r="W3256" s="6"/>
      <c r="X3256" s="6"/>
      <c r="Y3256" s="6"/>
      <c r="Z3256" s="6"/>
    </row>
    <row r="3257" customFormat="false" ht="15" hidden="false" customHeight="false" outlineLevel="0" collapsed="false">
      <c r="A3257" s="9" t="s">
        <v>3532</v>
      </c>
      <c r="B3257" s="9" t="s">
        <v>3428</v>
      </c>
      <c r="C3257" s="9" t="s">
        <v>3429</v>
      </c>
      <c r="D3257" s="9" t="s">
        <v>2971</v>
      </c>
      <c r="E3257" s="9" t="s">
        <v>1660</v>
      </c>
      <c r="F3257" s="9" t="s">
        <v>209</v>
      </c>
      <c r="G3257" s="9" t="s">
        <v>221</v>
      </c>
      <c r="H3257" s="9" t="n">
        <v>1530</v>
      </c>
      <c r="I3257" s="29" t="n">
        <v>1</v>
      </c>
      <c r="J3257" s="9" t="n">
        <v>0</v>
      </c>
      <c r="K3257" s="30"/>
      <c r="L3257" s="30"/>
      <c r="M3257" s="30"/>
      <c r="N3257" s="30"/>
      <c r="O3257" s="30"/>
      <c r="P3257" s="30"/>
      <c r="Q3257" s="30"/>
      <c r="R3257" s="30"/>
      <c r="S3257" s="30"/>
      <c r="T3257" s="30"/>
      <c r="U3257" s="21" t="str">
        <f aca="false">IF(COUNT(K3257:T3257)=0,"SOURCE EMPTY / INDUSTRIAL ONLY",IF(MIN(K3257:T3257)=1,"SERVICE READY","HOLD"))</f>
        <v>SOURCE EMPTY / INDUSTRIAL ONLY</v>
      </c>
      <c r="V3257" s="9" t="n">
        <f aca="false">IF(U3257="SERVICE READY",1,0)</f>
        <v>0</v>
      </c>
      <c r="W3257" s="6"/>
      <c r="X3257" s="6"/>
      <c r="Y3257" s="6"/>
      <c r="Z3257" s="6"/>
    </row>
    <row r="3258" customFormat="false" ht="15" hidden="false" customHeight="false" outlineLevel="0" collapsed="false">
      <c r="A3258" s="9" t="s">
        <v>3533</v>
      </c>
      <c r="B3258" s="9" t="s">
        <v>3428</v>
      </c>
      <c r="C3258" s="9" t="s">
        <v>3429</v>
      </c>
      <c r="D3258" s="9" t="s">
        <v>2971</v>
      </c>
      <c r="E3258" s="9" t="s">
        <v>1660</v>
      </c>
      <c r="F3258" s="9" t="s">
        <v>211</v>
      </c>
      <c r="G3258" s="9" t="s">
        <v>221</v>
      </c>
      <c r="H3258" s="9" t="n">
        <v>1530</v>
      </c>
      <c r="I3258" s="29" t="n">
        <v>1</v>
      </c>
      <c r="J3258" s="9" t="n">
        <v>0</v>
      </c>
      <c r="K3258" s="30"/>
      <c r="L3258" s="30"/>
      <c r="M3258" s="30"/>
      <c r="N3258" s="30"/>
      <c r="O3258" s="30"/>
      <c r="P3258" s="30"/>
      <c r="Q3258" s="30"/>
      <c r="R3258" s="30"/>
      <c r="S3258" s="30"/>
      <c r="T3258" s="30"/>
      <c r="U3258" s="21" t="str">
        <f aca="false">IF(COUNT(K3258:T3258)=0,"SOURCE EMPTY / INDUSTRIAL ONLY",IF(MIN(K3258:T3258)=1,"SERVICE READY","HOLD"))</f>
        <v>SOURCE EMPTY / INDUSTRIAL ONLY</v>
      </c>
      <c r="V3258" s="9" t="n">
        <f aca="false">IF(U3258="SERVICE READY",1,0)</f>
        <v>0</v>
      </c>
      <c r="W3258" s="6"/>
      <c r="X3258" s="6"/>
      <c r="Y3258" s="6"/>
      <c r="Z3258" s="6"/>
    </row>
    <row r="3259" customFormat="false" ht="15" hidden="false" customHeight="false" outlineLevel="0" collapsed="false">
      <c r="A3259" s="9" t="s">
        <v>3534</v>
      </c>
      <c r="B3259" s="9" t="s">
        <v>3428</v>
      </c>
      <c r="C3259" s="9" t="s">
        <v>3429</v>
      </c>
      <c r="D3259" s="9" t="s">
        <v>2971</v>
      </c>
      <c r="E3259" s="9" t="s">
        <v>1660</v>
      </c>
      <c r="F3259" s="9" t="s">
        <v>197</v>
      </c>
      <c r="G3259" s="9" t="s">
        <v>221</v>
      </c>
      <c r="H3259" s="9" t="n">
        <v>1530</v>
      </c>
      <c r="I3259" s="29" t="n">
        <v>1</v>
      </c>
      <c r="J3259" s="9" t="n">
        <v>0</v>
      </c>
      <c r="K3259" s="30"/>
      <c r="L3259" s="30"/>
      <c r="M3259" s="30"/>
      <c r="N3259" s="30"/>
      <c r="O3259" s="30"/>
      <c r="P3259" s="30"/>
      <c r="Q3259" s="30"/>
      <c r="R3259" s="30"/>
      <c r="S3259" s="30"/>
      <c r="T3259" s="30"/>
      <c r="U3259" s="21" t="str">
        <f aca="false">IF(COUNT(K3259:T3259)=0,"SOURCE EMPTY / INDUSTRIAL ONLY",IF(MIN(K3259:T3259)=1,"SERVICE READY","HOLD"))</f>
        <v>SOURCE EMPTY / INDUSTRIAL ONLY</v>
      </c>
      <c r="V3259" s="9" t="n">
        <f aca="false">IF(U3259="SERVICE READY",1,0)</f>
        <v>0</v>
      </c>
      <c r="W3259" s="6"/>
      <c r="X3259" s="6"/>
      <c r="Y3259" s="6"/>
      <c r="Z3259" s="6"/>
    </row>
    <row r="3260" customFormat="false" ht="15" hidden="false" customHeight="false" outlineLevel="0" collapsed="false">
      <c r="A3260" s="9" t="s">
        <v>3535</v>
      </c>
      <c r="B3260" s="9" t="s">
        <v>3428</v>
      </c>
      <c r="C3260" s="9" t="s">
        <v>3429</v>
      </c>
      <c r="D3260" s="9" t="s">
        <v>2971</v>
      </c>
      <c r="E3260" s="9" t="s">
        <v>1660</v>
      </c>
      <c r="F3260" s="9" t="s">
        <v>200</v>
      </c>
      <c r="G3260" s="9" t="s">
        <v>221</v>
      </c>
      <c r="H3260" s="9" t="n">
        <v>1530</v>
      </c>
      <c r="I3260" s="29" t="n">
        <v>1</v>
      </c>
      <c r="J3260" s="9" t="n">
        <v>0</v>
      </c>
      <c r="K3260" s="30"/>
      <c r="L3260" s="30"/>
      <c r="M3260" s="30"/>
      <c r="N3260" s="30"/>
      <c r="O3260" s="30"/>
      <c r="P3260" s="30"/>
      <c r="Q3260" s="30"/>
      <c r="R3260" s="30"/>
      <c r="S3260" s="30"/>
      <c r="T3260" s="30"/>
      <c r="U3260" s="21" t="str">
        <f aca="false">IF(COUNT(K3260:T3260)=0,"SOURCE EMPTY / INDUSTRIAL ONLY",IF(MIN(K3260:T3260)=1,"SERVICE READY","HOLD"))</f>
        <v>SOURCE EMPTY / INDUSTRIAL ONLY</v>
      </c>
      <c r="V3260" s="9" t="n">
        <f aca="false">IF(U3260="SERVICE READY",1,0)</f>
        <v>0</v>
      </c>
      <c r="W3260" s="6"/>
      <c r="X3260" s="6"/>
      <c r="Y3260" s="6"/>
      <c r="Z3260" s="6"/>
    </row>
    <row r="3261" customFormat="false" ht="15" hidden="false" customHeight="false" outlineLevel="0" collapsed="false">
      <c r="A3261" s="9" t="s">
        <v>3536</v>
      </c>
      <c r="B3261" s="9" t="s">
        <v>3428</v>
      </c>
      <c r="C3261" s="9" t="s">
        <v>3429</v>
      </c>
      <c r="D3261" s="9" t="s">
        <v>2971</v>
      </c>
      <c r="E3261" s="9" t="s">
        <v>1660</v>
      </c>
      <c r="F3261" s="9" t="s">
        <v>203</v>
      </c>
      <c r="G3261" s="9" t="s">
        <v>221</v>
      </c>
      <c r="H3261" s="9" t="n">
        <v>1530</v>
      </c>
      <c r="I3261" s="29" t="n">
        <v>1</v>
      </c>
      <c r="J3261" s="9" t="n">
        <v>0</v>
      </c>
      <c r="K3261" s="30"/>
      <c r="L3261" s="30"/>
      <c r="M3261" s="30"/>
      <c r="N3261" s="30"/>
      <c r="O3261" s="30"/>
      <c r="P3261" s="30"/>
      <c r="Q3261" s="30"/>
      <c r="R3261" s="30"/>
      <c r="S3261" s="30"/>
      <c r="T3261" s="30"/>
      <c r="U3261" s="21" t="str">
        <f aca="false">IF(COUNT(K3261:T3261)=0,"SOURCE EMPTY / INDUSTRIAL ONLY",IF(MIN(K3261:T3261)=1,"SERVICE READY","HOLD"))</f>
        <v>SOURCE EMPTY / INDUSTRIAL ONLY</v>
      </c>
      <c r="V3261" s="9" t="n">
        <f aca="false">IF(U3261="SERVICE READY",1,0)</f>
        <v>0</v>
      </c>
      <c r="W3261" s="6"/>
      <c r="X3261" s="6"/>
      <c r="Y3261" s="6"/>
      <c r="Z3261" s="6"/>
    </row>
    <row r="3262" customFormat="false" ht="15" hidden="false" customHeight="false" outlineLevel="0" collapsed="false">
      <c r="A3262" s="9" t="s">
        <v>3537</v>
      </c>
      <c r="B3262" s="9" t="s">
        <v>3428</v>
      </c>
      <c r="C3262" s="9" t="s">
        <v>3429</v>
      </c>
      <c r="D3262" s="9" t="s">
        <v>2971</v>
      </c>
      <c r="E3262" s="9" t="s">
        <v>1660</v>
      </c>
      <c r="F3262" s="9" t="s">
        <v>205</v>
      </c>
      <c r="G3262" s="9" t="s">
        <v>221</v>
      </c>
      <c r="H3262" s="9" t="n">
        <v>1530</v>
      </c>
      <c r="I3262" s="29" t="n">
        <v>1</v>
      </c>
      <c r="J3262" s="9" t="n">
        <v>0</v>
      </c>
      <c r="K3262" s="30"/>
      <c r="L3262" s="30"/>
      <c r="M3262" s="30"/>
      <c r="N3262" s="30"/>
      <c r="O3262" s="30"/>
      <c r="P3262" s="30"/>
      <c r="Q3262" s="30"/>
      <c r="R3262" s="30"/>
      <c r="S3262" s="30"/>
      <c r="T3262" s="30"/>
      <c r="U3262" s="21" t="str">
        <f aca="false">IF(COUNT(K3262:T3262)=0,"SOURCE EMPTY / INDUSTRIAL ONLY",IF(MIN(K3262:T3262)=1,"SERVICE READY","HOLD"))</f>
        <v>SOURCE EMPTY / INDUSTRIAL ONLY</v>
      </c>
      <c r="V3262" s="9" t="n">
        <f aca="false">IF(U3262="SERVICE READY",1,0)</f>
        <v>0</v>
      </c>
      <c r="W3262" s="6"/>
      <c r="X3262" s="6"/>
      <c r="Y3262" s="6"/>
      <c r="Z3262" s="6"/>
    </row>
    <row r="3263" customFormat="false" ht="15" hidden="false" customHeight="false" outlineLevel="0" collapsed="false">
      <c r="A3263" s="9" t="s">
        <v>3538</v>
      </c>
      <c r="B3263" s="9" t="s">
        <v>3428</v>
      </c>
      <c r="C3263" s="9" t="s">
        <v>3429</v>
      </c>
      <c r="D3263" s="9" t="s">
        <v>2971</v>
      </c>
      <c r="E3263" s="9" t="s">
        <v>1660</v>
      </c>
      <c r="F3263" s="9" t="s">
        <v>207</v>
      </c>
      <c r="G3263" s="9" t="s">
        <v>221</v>
      </c>
      <c r="H3263" s="9" t="n">
        <v>1530</v>
      </c>
      <c r="I3263" s="29" t="n">
        <v>1</v>
      </c>
      <c r="J3263" s="9" t="n">
        <v>0</v>
      </c>
      <c r="K3263" s="30"/>
      <c r="L3263" s="30"/>
      <c r="M3263" s="30"/>
      <c r="N3263" s="30"/>
      <c r="O3263" s="30"/>
      <c r="P3263" s="30"/>
      <c r="Q3263" s="30"/>
      <c r="R3263" s="30"/>
      <c r="S3263" s="30"/>
      <c r="T3263" s="30"/>
      <c r="U3263" s="21" t="str">
        <f aca="false">IF(COUNT(K3263:T3263)=0,"SOURCE EMPTY / INDUSTRIAL ONLY",IF(MIN(K3263:T3263)=1,"SERVICE READY","HOLD"))</f>
        <v>SOURCE EMPTY / INDUSTRIAL ONLY</v>
      </c>
      <c r="V3263" s="9" t="n">
        <f aca="false">IF(U3263="SERVICE READY",1,0)</f>
        <v>0</v>
      </c>
      <c r="W3263" s="6"/>
      <c r="X3263" s="6"/>
      <c r="Y3263" s="6"/>
      <c r="Z3263" s="6"/>
    </row>
    <row r="3264" customFormat="false" ht="15" hidden="false" customHeight="false" outlineLevel="0" collapsed="false">
      <c r="A3264" s="9" t="s">
        <v>3539</v>
      </c>
      <c r="B3264" s="9" t="s">
        <v>3428</v>
      </c>
      <c r="C3264" s="9" t="s">
        <v>3429</v>
      </c>
      <c r="D3264" s="9" t="s">
        <v>2971</v>
      </c>
      <c r="E3264" s="9" t="s">
        <v>1660</v>
      </c>
      <c r="F3264" s="9" t="s">
        <v>209</v>
      </c>
      <c r="G3264" s="9" t="s">
        <v>221</v>
      </c>
      <c r="H3264" s="9" t="n">
        <v>1530</v>
      </c>
      <c r="I3264" s="29" t="n">
        <v>1</v>
      </c>
      <c r="J3264" s="9" t="n">
        <v>0</v>
      </c>
      <c r="K3264" s="30"/>
      <c r="L3264" s="30"/>
      <c r="M3264" s="30"/>
      <c r="N3264" s="30"/>
      <c r="O3264" s="30"/>
      <c r="P3264" s="30"/>
      <c r="Q3264" s="30"/>
      <c r="R3264" s="30"/>
      <c r="S3264" s="30"/>
      <c r="T3264" s="30"/>
      <c r="U3264" s="21" t="str">
        <f aca="false">IF(COUNT(K3264:T3264)=0,"SOURCE EMPTY / INDUSTRIAL ONLY",IF(MIN(K3264:T3264)=1,"SERVICE READY","HOLD"))</f>
        <v>SOURCE EMPTY / INDUSTRIAL ONLY</v>
      </c>
      <c r="V3264" s="9" t="n">
        <f aca="false">IF(U3264="SERVICE READY",1,0)</f>
        <v>0</v>
      </c>
      <c r="W3264" s="6"/>
      <c r="X3264" s="6"/>
      <c r="Y3264" s="6"/>
      <c r="Z3264" s="6"/>
    </row>
    <row r="3265" customFormat="false" ht="15" hidden="false" customHeight="false" outlineLevel="0" collapsed="false">
      <c r="A3265" s="9" t="s">
        <v>3540</v>
      </c>
      <c r="B3265" s="9" t="s">
        <v>3428</v>
      </c>
      <c r="C3265" s="9" t="s">
        <v>3429</v>
      </c>
      <c r="D3265" s="9" t="s">
        <v>2971</v>
      </c>
      <c r="E3265" s="9" t="s">
        <v>1660</v>
      </c>
      <c r="F3265" s="9" t="s">
        <v>211</v>
      </c>
      <c r="G3265" s="9" t="s">
        <v>221</v>
      </c>
      <c r="H3265" s="9" t="n">
        <v>1530</v>
      </c>
      <c r="I3265" s="29" t="n">
        <v>1</v>
      </c>
      <c r="J3265" s="9" t="n">
        <v>0</v>
      </c>
      <c r="K3265" s="30"/>
      <c r="L3265" s="30"/>
      <c r="M3265" s="30"/>
      <c r="N3265" s="30"/>
      <c r="O3265" s="30"/>
      <c r="P3265" s="30"/>
      <c r="Q3265" s="30"/>
      <c r="R3265" s="30"/>
      <c r="S3265" s="30"/>
      <c r="T3265" s="30"/>
      <c r="U3265" s="21" t="str">
        <f aca="false">IF(COUNT(K3265:T3265)=0,"SOURCE EMPTY / INDUSTRIAL ONLY",IF(MIN(K3265:T3265)=1,"SERVICE READY","HOLD"))</f>
        <v>SOURCE EMPTY / INDUSTRIAL ONLY</v>
      </c>
      <c r="V3265" s="9" t="n">
        <f aca="false">IF(U3265="SERVICE READY",1,0)</f>
        <v>0</v>
      </c>
      <c r="W3265" s="6"/>
      <c r="X3265" s="6"/>
      <c r="Y3265" s="6"/>
      <c r="Z3265" s="6"/>
    </row>
    <row r="3266" customFormat="false" ht="15" hidden="false" customHeight="false" outlineLevel="0" collapsed="false">
      <c r="A3266" s="9" t="s">
        <v>3541</v>
      </c>
      <c r="B3266" s="9" t="s">
        <v>3428</v>
      </c>
      <c r="C3266" s="9" t="s">
        <v>3429</v>
      </c>
      <c r="D3266" s="9" t="s">
        <v>2971</v>
      </c>
      <c r="E3266" s="9" t="s">
        <v>1660</v>
      </c>
      <c r="F3266" s="9" t="s">
        <v>197</v>
      </c>
      <c r="G3266" s="9" t="s">
        <v>221</v>
      </c>
      <c r="H3266" s="9" t="n">
        <v>1530</v>
      </c>
      <c r="I3266" s="29" t="n">
        <v>1</v>
      </c>
      <c r="J3266" s="9" t="n">
        <v>0</v>
      </c>
      <c r="K3266" s="30"/>
      <c r="L3266" s="30"/>
      <c r="M3266" s="30"/>
      <c r="N3266" s="30"/>
      <c r="O3266" s="30"/>
      <c r="P3266" s="30"/>
      <c r="Q3266" s="30"/>
      <c r="R3266" s="30"/>
      <c r="S3266" s="30"/>
      <c r="T3266" s="30"/>
      <c r="U3266" s="21" t="str">
        <f aca="false">IF(COUNT(K3266:T3266)=0,"SOURCE EMPTY / INDUSTRIAL ONLY",IF(MIN(K3266:T3266)=1,"SERVICE READY","HOLD"))</f>
        <v>SOURCE EMPTY / INDUSTRIAL ONLY</v>
      </c>
      <c r="V3266" s="9" t="n">
        <f aca="false">IF(U3266="SERVICE READY",1,0)</f>
        <v>0</v>
      </c>
      <c r="W3266" s="6"/>
      <c r="X3266" s="6"/>
      <c r="Y3266" s="6"/>
      <c r="Z3266" s="6"/>
    </row>
    <row r="3267" customFormat="false" ht="15" hidden="false" customHeight="false" outlineLevel="0" collapsed="false">
      <c r="A3267" s="9" t="s">
        <v>3542</v>
      </c>
      <c r="B3267" s="9" t="s">
        <v>3428</v>
      </c>
      <c r="C3267" s="9" t="s">
        <v>3429</v>
      </c>
      <c r="D3267" s="9" t="s">
        <v>2971</v>
      </c>
      <c r="E3267" s="9" t="s">
        <v>1660</v>
      </c>
      <c r="F3267" s="9" t="s">
        <v>200</v>
      </c>
      <c r="G3267" s="9" t="s">
        <v>221</v>
      </c>
      <c r="H3267" s="9" t="n">
        <v>1530</v>
      </c>
      <c r="I3267" s="29" t="n">
        <v>1</v>
      </c>
      <c r="J3267" s="9" t="n">
        <v>0</v>
      </c>
      <c r="K3267" s="30"/>
      <c r="L3267" s="30"/>
      <c r="M3267" s="30"/>
      <c r="N3267" s="30"/>
      <c r="O3267" s="30"/>
      <c r="P3267" s="30"/>
      <c r="Q3267" s="30"/>
      <c r="R3267" s="30"/>
      <c r="S3267" s="30"/>
      <c r="T3267" s="30"/>
      <c r="U3267" s="21" t="str">
        <f aca="false">IF(COUNT(K3267:T3267)=0,"SOURCE EMPTY / INDUSTRIAL ONLY",IF(MIN(K3267:T3267)=1,"SERVICE READY","HOLD"))</f>
        <v>SOURCE EMPTY / INDUSTRIAL ONLY</v>
      </c>
      <c r="V3267" s="9" t="n">
        <f aca="false">IF(U3267="SERVICE READY",1,0)</f>
        <v>0</v>
      </c>
      <c r="W3267" s="6"/>
      <c r="X3267" s="6"/>
      <c r="Y3267" s="6"/>
      <c r="Z3267" s="6"/>
    </row>
    <row r="3268" customFormat="false" ht="15" hidden="false" customHeight="false" outlineLevel="0" collapsed="false">
      <c r="A3268" s="9" t="s">
        <v>3543</v>
      </c>
      <c r="B3268" s="9" t="s">
        <v>3544</v>
      </c>
      <c r="C3268" s="9" t="s">
        <v>3545</v>
      </c>
      <c r="D3268" s="9" t="s">
        <v>2971</v>
      </c>
      <c r="E3268" s="9" t="s">
        <v>1660</v>
      </c>
      <c r="F3268" s="9" t="s">
        <v>197</v>
      </c>
      <c r="G3268" s="9" t="s">
        <v>198</v>
      </c>
      <c r="H3268" s="9" t="n">
        <v>1870</v>
      </c>
      <c r="I3268" s="29" t="n">
        <v>0.8</v>
      </c>
      <c r="J3268" s="9" t="n">
        <v>1</v>
      </c>
      <c r="K3268" s="30"/>
      <c r="L3268" s="30"/>
      <c r="M3268" s="30"/>
      <c r="N3268" s="30"/>
      <c r="O3268" s="30"/>
      <c r="P3268" s="30"/>
      <c r="Q3268" s="30"/>
      <c r="R3268" s="30"/>
      <c r="S3268" s="30"/>
      <c r="T3268" s="30"/>
      <c r="U3268" s="21" t="str">
        <f aca="false">IF(COUNT(K3268:T3268)=0,"SOURCE EMPTY / INDUSTRIAL ONLY",IF(MIN(K3268:T3268)=1,"SERVICE READY","HOLD"))</f>
        <v>SOURCE EMPTY / INDUSTRIAL ONLY</v>
      </c>
      <c r="V3268" s="9" t="n">
        <f aca="false">IF(U3268="SERVICE READY",1,0)</f>
        <v>0</v>
      </c>
      <c r="W3268" s="6"/>
      <c r="X3268" s="6"/>
      <c r="Y3268" s="6"/>
      <c r="Z3268" s="6"/>
    </row>
    <row r="3269" customFormat="false" ht="15" hidden="false" customHeight="false" outlineLevel="0" collapsed="false">
      <c r="A3269" s="9" t="s">
        <v>3546</v>
      </c>
      <c r="B3269" s="9" t="s">
        <v>3544</v>
      </c>
      <c r="C3269" s="9" t="s">
        <v>3545</v>
      </c>
      <c r="D3269" s="9" t="s">
        <v>2971</v>
      </c>
      <c r="E3269" s="9" t="s">
        <v>1660</v>
      </c>
      <c r="F3269" s="9" t="s">
        <v>200</v>
      </c>
      <c r="G3269" s="9" t="s">
        <v>201</v>
      </c>
      <c r="H3269" s="9" t="n">
        <v>1870</v>
      </c>
      <c r="I3269" s="29" t="n">
        <v>0.8</v>
      </c>
      <c r="J3269" s="9" t="n">
        <v>1</v>
      </c>
      <c r="K3269" s="30"/>
      <c r="L3269" s="30"/>
      <c r="M3269" s="30"/>
      <c r="N3269" s="30"/>
      <c r="O3269" s="30"/>
      <c r="P3269" s="30"/>
      <c r="Q3269" s="30"/>
      <c r="R3269" s="30"/>
      <c r="S3269" s="30"/>
      <c r="T3269" s="30"/>
      <c r="U3269" s="21" t="str">
        <f aca="false">IF(COUNT(K3269:T3269)=0,"SOURCE EMPTY / INDUSTRIAL ONLY",IF(MIN(K3269:T3269)=1,"SERVICE READY","HOLD"))</f>
        <v>SOURCE EMPTY / INDUSTRIAL ONLY</v>
      </c>
      <c r="V3269" s="9" t="n">
        <f aca="false">IF(U3269="SERVICE READY",1,0)</f>
        <v>0</v>
      </c>
      <c r="W3269" s="6"/>
      <c r="X3269" s="6"/>
      <c r="Y3269" s="6"/>
      <c r="Z3269" s="6"/>
    </row>
    <row r="3270" customFormat="false" ht="15" hidden="false" customHeight="false" outlineLevel="0" collapsed="false">
      <c r="A3270" s="9" t="s">
        <v>3547</v>
      </c>
      <c r="B3270" s="9" t="s">
        <v>3544</v>
      </c>
      <c r="C3270" s="9" t="s">
        <v>3545</v>
      </c>
      <c r="D3270" s="9" t="s">
        <v>2971</v>
      </c>
      <c r="E3270" s="9" t="s">
        <v>1660</v>
      </c>
      <c r="F3270" s="9" t="s">
        <v>203</v>
      </c>
      <c r="G3270" s="9" t="s">
        <v>198</v>
      </c>
      <c r="H3270" s="9" t="n">
        <v>1870</v>
      </c>
      <c r="I3270" s="29" t="n">
        <v>0.8</v>
      </c>
      <c r="J3270" s="9" t="n">
        <v>1</v>
      </c>
      <c r="K3270" s="30"/>
      <c r="L3270" s="30"/>
      <c r="M3270" s="30"/>
      <c r="N3270" s="30"/>
      <c r="O3270" s="30"/>
      <c r="P3270" s="30"/>
      <c r="Q3270" s="30"/>
      <c r="R3270" s="30"/>
      <c r="S3270" s="30"/>
      <c r="T3270" s="30"/>
      <c r="U3270" s="21" t="str">
        <f aca="false">IF(COUNT(K3270:T3270)=0,"SOURCE EMPTY / INDUSTRIAL ONLY",IF(MIN(K3270:T3270)=1,"SERVICE READY","HOLD"))</f>
        <v>SOURCE EMPTY / INDUSTRIAL ONLY</v>
      </c>
      <c r="V3270" s="9" t="n">
        <f aca="false">IF(U3270="SERVICE READY",1,0)</f>
        <v>0</v>
      </c>
      <c r="W3270" s="6"/>
      <c r="X3270" s="6"/>
      <c r="Y3270" s="6"/>
      <c r="Z3270" s="6"/>
    </row>
    <row r="3271" customFormat="false" ht="15" hidden="false" customHeight="false" outlineLevel="0" collapsed="false">
      <c r="A3271" s="9" t="s">
        <v>3548</v>
      </c>
      <c r="B3271" s="9" t="s">
        <v>3544</v>
      </c>
      <c r="C3271" s="9" t="s">
        <v>3545</v>
      </c>
      <c r="D3271" s="9" t="s">
        <v>2971</v>
      </c>
      <c r="E3271" s="9" t="s">
        <v>1660</v>
      </c>
      <c r="F3271" s="9" t="s">
        <v>205</v>
      </c>
      <c r="G3271" s="9" t="s">
        <v>201</v>
      </c>
      <c r="H3271" s="9" t="n">
        <v>1870</v>
      </c>
      <c r="I3271" s="29" t="n">
        <v>0.8</v>
      </c>
      <c r="J3271" s="9" t="n">
        <v>1</v>
      </c>
      <c r="K3271" s="30"/>
      <c r="L3271" s="30"/>
      <c r="M3271" s="30"/>
      <c r="N3271" s="30"/>
      <c r="O3271" s="30"/>
      <c r="P3271" s="30"/>
      <c r="Q3271" s="30"/>
      <c r="R3271" s="30"/>
      <c r="S3271" s="30"/>
      <c r="T3271" s="30"/>
      <c r="U3271" s="21" t="str">
        <f aca="false">IF(COUNT(K3271:T3271)=0,"SOURCE EMPTY / INDUSTRIAL ONLY",IF(MIN(K3271:T3271)=1,"SERVICE READY","HOLD"))</f>
        <v>SOURCE EMPTY / INDUSTRIAL ONLY</v>
      </c>
      <c r="V3271" s="9" t="n">
        <f aca="false">IF(U3271="SERVICE READY",1,0)</f>
        <v>0</v>
      </c>
      <c r="W3271" s="6"/>
      <c r="X3271" s="6"/>
      <c r="Y3271" s="6"/>
      <c r="Z3271" s="6"/>
    </row>
    <row r="3272" customFormat="false" ht="15" hidden="false" customHeight="false" outlineLevel="0" collapsed="false">
      <c r="A3272" s="9" t="s">
        <v>3549</v>
      </c>
      <c r="B3272" s="9" t="s">
        <v>3544</v>
      </c>
      <c r="C3272" s="9" t="s">
        <v>3545</v>
      </c>
      <c r="D3272" s="9" t="s">
        <v>2971</v>
      </c>
      <c r="E3272" s="9" t="s">
        <v>1660</v>
      </c>
      <c r="F3272" s="9" t="s">
        <v>207</v>
      </c>
      <c r="G3272" s="9" t="s">
        <v>198</v>
      </c>
      <c r="H3272" s="9" t="n">
        <v>1870</v>
      </c>
      <c r="I3272" s="29" t="n">
        <v>0.8</v>
      </c>
      <c r="J3272" s="9" t="n">
        <v>1</v>
      </c>
      <c r="K3272" s="30"/>
      <c r="L3272" s="30"/>
      <c r="M3272" s="30"/>
      <c r="N3272" s="30"/>
      <c r="O3272" s="30"/>
      <c r="P3272" s="30"/>
      <c r="Q3272" s="30"/>
      <c r="R3272" s="30"/>
      <c r="S3272" s="30"/>
      <c r="T3272" s="30"/>
      <c r="U3272" s="21" t="str">
        <f aca="false">IF(COUNT(K3272:T3272)=0,"SOURCE EMPTY / INDUSTRIAL ONLY",IF(MIN(K3272:T3272)=1,"SERVICE READY","HOLD"))</f>
        <v>SOURCE EMPTY / INDUSTRIAL ONLY</v>
      </c>
      <c r="V3272" s="9" t="n">
        <f aca="false">IF(U3272="SERVICE READY",1,0)</f>
        <v>0</v>
      </c>
      <c r="W3272" s="6"/>
      <c r="X3272" s="6"/>
      <c r="Y3272" s="6"/>
      <c r="Z3272" s="6"/>
    </row>
    <row r="3273" customFormat="false" ht="15" hidden="false" customHeight="false" outlineLevel="0" collapsed="false">
      <c r="A3273" s="9" t="s">
        <v>3550</v>
      </c>
      <c r="B3273" s="9" t="s">
        <v>3544</v>
      </c>
      <c r="C3273" s="9" t="s">
        <v>3545</v>
      </c>
      <c r="D3273" s="9" t="s">
        <v>2971</v>
      </c>
      <c r="E3273" s="9" t="s">
        <v>1660</v>
      </c>
      <c r="F3273" s="9" t="s">
        <v>209</v>
      </c>
      <c r="G3273" s="9" t="s">
        <v>201</v>
      </c>
      <c r="H3273" s="9" t="n">
        <v>1870</v>
      </c>
      <c r="I3273" s="29" t="n">
        <v>0.8</v>
      </c>
      <c r="J3273" s="9" t="n">
        <v>1</v>
      </c>
      <c r="K3273" s="30"/>
      <c r="L3273" s="30"/>
      <c r="M3273" s="30"/>
      <c r="N3273" s="30"/>
      <c r="O3273" s="30"/>
      <c r="P3273" s="30"/>
      <c r="Q3273" s="30"/>
      <c r="R3273" s="30"/>
      <c r="S3273" s="30"/>
      <c r="T3273" s="30"/>
      <c r="U3273" s="21" t="str">
        <f aca="false">IF(COUNT(K3273:T3273)=0,"SOURCE EMPTY / INDUSTRIAL ONLY",IF(MIN(K3273:T3273)=1,"SERVICE READY","HOLD"))</f>
        <v>SOURCE EMPTY / INDUSTRIAL ONLY</v>
      </c>
      <c r="V3273" s="9" t="n">
        <f aca="false">IF(U3273="SERVICE READY",1,0)</f>
        <v>0</v>
      </c>
      <c r="W3273" s="6"/>
      <c r="X3273" s="6"/>
      <c r="Y3273" s="6"/>
      <c r="Z3273" s="6"/>
    </row>
    <row r="3274" customFormat="false" ht="15" hidden="false" customHeight="false" outlineLevel="0" collapsed="false">
      <c r="A3274" s="9" t="s">
        <v>3551</v>
      </c>
      <c r="B3274" s="9" t="s">
        <v>3544</v>
      </c>
      <c r="C3274" s="9" t="s">
        <v>3545</v>
      </c>
      <c r="D3274" s="9" t="s">
        <v>2971</v>
      </c>
      <c r="E3274" s="9" t="s">
        <v>1660</v>
      </c>
      <c r="F3274" s="9" t="s">
        <v>211</v>
      </c>
      <c r="G3274" s="9" t="s">
        <v>198</v>
      </c>
      <c r="H3274" s="9" t="n">
        <v>1870</v>
      </c>
      <c r="I3274" s="29" t="n">
        <v>0.8</v>
      </c>
      <c r="J3274" s="9" t="n">
        <v>1</v>
      </c>
      <c r="K3274" s="30"/>
      <c r="L3274" s="30"/>
      <c r="M3274" s="30"/>
      <c r="N3274" s="30"/>
      <c r="O3274" s="30"/>
      <c r="P3274" s="30"/>
      <c r="Q3274" s="30"/>
      <c r="R3274" s="30"/>
      <c r="S3274" s="30"/>
      <c r="T3274" s="30"/>
      <c r="U3274" s="21" t="str">
        <f aca="false">IF(COUNT(K3274:T3274)=0,"SOURCE EMPTY / INDUSTRIAL ONLY",IF(MIN(K3274:T3274)=1,"SERVICE READY","HOLD"))</f>
        <v>SOURCE EMPTY / INDUSTRIAL ONLY</v>
      </c>
      <c r="V3274" s="9" t="n">
        <f aca="false">IF(U3274="SERVICE READY",1,0)</f>
        <v>0</v>
      </c>
      <c r="W3274" s="6"/>
      <c r="X3274" s="6"/>
      <c r="Y3274" s="6"/>
      <c r="Z3274" s="6"/>
    </row>
    <row r="3275" customFormat="false" ht="15" hidden="false" customHeight="false" outlineLevel="0" collapsed="false">
      <c r="A3275" s="9" t="s">
        <v>3552</v>
      </c>
      <c r="B3275" s="9" t="s">
        <v>3544</v>
      </c>
      <c r="C3275" s="9" t="s">
        <v>3545</v>
      </c>
      <c r="D3275" s="9" t="s">
        <v>2971</v>
      </c>
      <c r="E3275" s="9" t="s">
        <v>1660</v>
      </c>
      <c r="F3275" s="9" t="s">
        <v>197</v>
      </c>
      <c r="G3275" s="9" t="s">
        <v>201</v>
      </c>
      <c r="H3275" s="9" t="n">
        <v>1870</v>
      </c>
      <c r="I3275" s="29" t="n">
        <v>0.8</v>
      </c>
      <c r="J3275" s="9" t="n">
        <v>1</v>
      </c>
      <c r="K3275" s="30"/>
      <c r="L3275" s="30"/>
      <c r="M3275" s="30"/>
      <c r="N3275" s="30"/>
      <c r="O3275" s="30"/>
      <c r="P3275" s="30"/>
      <c r="Q3275" s="30"/>
      <c r="R3275" s="30"/>
      <c r="S3275" s="30"/>
      <c r="T3275" s="30"/>
      <c r="U3275" s="21" t="str">
        <f aca="false">IF(COUNT(K3275:T3275)=0,"SOURCE EMPTY / INDUSTRIAL ONLY",IF(MIN(K3275:T3275)=1,"SERVICE READY","HOLD"))</f>
        <v>SOURCE EMPTY / INDUSTRIAL ONLY</v>
      </c>
      <c r="V3275" s="9" t="n">
        <f aca="false">IF(U3275="SERVICE READY",1,0)</f>
        <v>0</v>
      </c>
      <c r="W3275" s="6"/>
      <c r="X3275" s="6"/>
      <c r="Y3275" s="6"/>
      <c r="Z3275" s="6"/>
    </row>
    <row r="3276" customFormat="false" ht="15" hidden="false" customHeight="false" outlineLevel="0" collapsed="false">
      <c r="A3276" s="9" t="s">
        <v>3553</v>
      </c>
      <c r="B3276" s="9" t="s">
        <v>3544</v>
      </c>
      <c r="C3276" s="9" t="s">
        <v>3545</v>
      </c>
      <c r="D3276" s="9" t="s">
        <v>2971</v>
      </c>
      <c r="E3276" s="9" t="s">
        <v>1660</v>
      </c>
      <c r="F3276" s="9" t="s">
        <v>200</v>
      </c>
      <c r="G3276" s="9" t="s">
        <v>198</v>
      </c>
      <c r="H3276" s="9" t="n">
        <v>1870</v>
      </c>
      <c r="I3276" s="29" t="n">
        <v>0.8</v>
      </c>
      <c r="J3276" s="9" t="n">
        <v>1</v>
      </c>
      <c r="K3276" s="30"/>
      <c r="L3276" s="30"/>
      <c r="M3276" s="30"/>
      <c r="N3276" s="30"/>
      <c r="O3276" s="30"/>
      <c r="P3276" s="30"/>
      <c r="Q3276" s="30"/>
      <c r="R3276" s="30"/>
      <c r="S3276" s="30"/>
      <c r="T3276" s="30"/>
      <c r="U3276" s="21" t="str">
        <f aca="false">IF(COUNT(K3276:T3276)=0,"SOURCE EMPTY / INDUSTRIAL ONLY",IF(MIN(K3276:T3276)=1,"SERVICE READY","HOLD"))</f>
        <v>SOURCE EMPTY / INDUSTRIAL ONLY</v>
      </c>
      <c r="V3276" s="9" t="n">
        <f aca="false">IF(U3276="SERVICE READY",1,0)</f>
        <v>0</v>
      </c>
      <c r="W3276" s="6"/>
      <c r="X3276" s="6"/>
      <c r="Y3276" s="6"/>
      <c r="Z3276" s="6"/>
    </row>
    <row r="3277" customFormat="false" ht="15" hidden="false" customHeight="false" outlineLevel="0" collapsed="false">
      <c r="A3277" s="9" t="s">
        <v>3554</v>
      </c>
      <c r="B3277" s="9" t="s">
        <v>3544</v>
      </c>
      <c r="C3277" s="9" t="s">
        <v>3545</v>
      </c>
      <c r="D3277" s="9" t="s">
        <v>2971</v>
      </c>
      <c r="E3277" s="9" t="s">
        <v>1660</v>
      </c>
      <c r="F3277" s="9" t="s">
        <v>203</v>
      </c>
      <c r="G3277" s="9" t="s">
        <v>201</v>
      </c>
      <c r="H3277" s="9" t="n">
        <v>1870</v>
      </c>
      <c r="I3277" s="29" t="n">
        <v>0.8</v>
      </c>
      <c r="J3277" s="9" t="n">
        <v>1</v>
      </c>
      <c r="K3277" s="30"/>
      <c r="L3277" s="30"/>
      <c r="M3277" s="30"/>
      <c r="N3277" s="30"/>
      <c r="O3277" s="30"/>
      <c r="P3277" s="30"/>
      <c r="Q3277" s="30"/>
      <c r="R3277" s="30"/>
      <c r="S3277" s="30"/>
      <c r="T3277" s="30"/>
      <c r="U3277" s="21" t="str">
        <f aca="false">IF(COUNT(K3277:T3277)=0,"SOURCE EMPTY / INDUSTRIAL ONLY",IF(MIN(K3277:T3277)=1,"SERVICE READY","HOLD"))</f>
        <v>SOURCE EMPTY / INDUSTRIAL ONLY</v>
      </c>
      <c r="V3277" s="9" t="n">
        <f aca="false">IF(U3277="SERVICE READY",1,0)</f>
        <v>0</v>
      </c>
      <c r="W3277" s="6"/>
      <c r="X3277" s="6"/>
      <c r="Y3277" s="6"/>
      <c r="Z3277" s="6"/>
    </row>
    <row r="3278" customFormat="false" ht="15" hidden="false" customHeight="false" outlineLevel="0" collapsed="false">
      <c r="A3278" s="9" t="s">
        <v>3555</v>
      </c>
      <c r="B3278" s="9" t="s">
        <v>3544</v>
      </c>
      <c r="C3278" s="9" t="s">
        <v>3545</v>
      </c>
      <c r="D3278" s="9" t="s">
        <v>2971</v>
      </c>
      <c r="E3278" s="9" t="s">
        <v>1660</v>
      </c>
      <c r="F3278" s="9" t="s">
        <v>205</v>
      </c>
      <c r="G3278" s="9" t="s">
        <v>198</v>
      </c>
      <c r="H3278" s="9" t="n">
        <v>1870</v>
      </c>
      <c r="I3278" s="29" t="n">
        <v>0.8</v>
      </c>
      <c r="J3278" s="9" t="n">
        <v>1</v>
      </c>
      <c r="K3278" s="30"/>
      <c r="L3278" s="30"/>
      <c r="M3278" s="30"/>
      <c r="N3278" s="30"/>
      <c r="O3278" s="30"/>
      <c r="P3278" s="30"/>
      <c r="Q3278" s="30"/>
      <c r="R3278" s="30"/>
      <c r="S3278" s="30"/>
      <c r="T3278" s="30"/>
      <c r="U3278" s="21" t="str">
        <f aca="false">IF(COUNT(K3278:T3278)=0,"SOURCE EMPTY / INDUSTRIAL ONLY",IF(MIN(K3278:T3278)=1,"SERVICE READY","HOLD"))</f>
        <v>SOURCE EMPTY / INDUSTRIAL ONLY</v>
      </c>
      <c r="V3278" s="9" t="n">
        <f aca="false">IF(U3278="SERVICE READY",1,0)</f>
        <v>0</v>
      </c>
      <c r="W3278" s="6"/>
      <c r="X3278" s="6"/>
      <c r="Y3278" s="6"/>
      <c r="Z3278" s="6"/>
    </row>
    <row r="3279" customFormat="false" ht="15" hidden="false" customHeight="false" outlineLevel="0" collapsed="false">
      <c r="A3279" s="9" t="s">
        <v>3556</v>
      </c>
      <c r="B3279" s="9" t="s">
        <v>3544</v>
      </c>
      <c r="C3279" s="9" t="s">
        <v>3545</v>
      </c>
      <c r="D3279" s="9" t="s">
        <v>2971</v>
      </c>
      <c r="E3279" s="9" t="s">
        <v>1660</v>
      </c>
      <c r="F3279" s="9" t="s">
        <v>207</v>
      </c>
      <c r="G3279" s="9" t="s">
        <v>201</v>
      </c>
      <c r="H3279" s="9" t="n">
        <v>1870</v>
      </c>
      <c r="I3279" s="29" t="n">
        <v>0.8</v>
      </c>
      <c r="J3279" s="9" t="n">
        <v>1</v>
      </c>
      <c r="K3279" s="30"/>
      <c r="L3279" s="30"/>
      <c r="M3279" s="30"/>
      <c r="N3279" s="30"/>
      <c r="O3279" s="30"/>
      <c r="P3279" s="30"/>
      <c r="Q3279" s="30"/>
      <c r="R3279" s="30"/>
      <c r="S3279" s="30"/>
      <c r="T3279" s="30"/>
      <c r="U3279" s="21" t="str">
        <f aca="false">IF(COUNT(K3279:T3279)=0,"SOURCE EMPTY / INDUSTRIAL ONLY",IF(MIN(K3279:T3279)=1,"SERVICE READY","HOLD"))</f>
        <v>SOURCE EMPTY / INDUSTRIAL ONLY</v>
      </c>
      <c r="V3279" s="9" t="n">
        <f aca="false">IF(U3279="SERVICE READY",1,0)</f>
        <v>0</v>
      </c>
      <c r="W3279" s="6"/>
      <c r="X3279" s="6"/>
      <c r="Y3279" s="6"/>
      <c r="Z3279" s="6"/>
    </row>
    <row r="3280" customFormat="false" ht="15" hidden="false" customHeight="false" outlineLevel="0" collapsed="false">
      <c r="A3280" s="9" t="s">
        <v>3557</v>
      </c>
      <c r="B3280" s="9" t="s">
        <v>3544</v>
      </c>
      <c r="C3280" s="9" t="s">
        <v>3545</v>
      </c>
      <c r="D3280" s="9" t="s">
        <v>2971</v>
      </c>
      <c r="E3280" s="9" t="s">
        <v>1660</v>
      </c>
      <c r="F3280" s="9" t="s">
        <v>209</v>
      </c>
      <c r="G3280" s="9" t="s">
        <v>198</v>
      </c>
      <c r="H3280" s="9" t="n">
        <v>1870</v>
      </c>
      <c r="I3280" s="29" t="n">
        <v>0.8</v>
      </c>
      <c r="J3280" s="9" t="n">
        <v>1</v>
      </c>
      <c r="K3280" s="30"/>
      <c r="L3280" s="30"/>
      <c r="M3280" s="30"/>
      <c r="N3280" s="30"/>
      <c r="O3280" s="30"/>
      <c r="P3280" s="30"/>
      <c r="Q3280" s="30"/>
      <c r="R3280" s="30"/>
      <c r="S3280" s="30"/>
      <c r="T3280" s="30"/>
      <c r="U3280" s="21" t="str">
        <f aca="false">IF(COUNT(K3280:T3280)=0,"SOURCE EMPTY / INDUSTRIAL ONLY",IF(MIN(K3280:T3280)=1,"SERVICE READY","HOLD"))</f>
        <v>SOURCE EMPTY / INDUSTRIAL ONLY</v>
      </c>
      <c r="V3280" s="9" t="n">
        <f aca="false">IF(U3280="SERVICE READY",1,0)</f>
        <v>0</v>
      </c>
      <c r="W3280" s="6"/>
      <c r="X3280" s="6"/>
      <c r="Y3280" s="6"/>
      <c r="Z3280" s="6"/>
    </row>
    <row r="3281" customFormat="false" ht="15" hidden="false" customHeight="false" outlineLevel="0" collapsed="false">
      <c r="A3281" s="9" t="s">
        <v>3558</v>
      </c>
      <c r="B3281" s="9" t="s">
        <v>3544</v>
      </c>
      <c r="C3281" s="9" t="s">
        <v>3545</v>
      </c>
      <c r="D3281" s="9" t="s">
        <v>2971</v>
      </c>
      <c r="E3281" s="9" t="s">
        <v>1660</v>
      </c>
      <c r="F3281" s="9" t="s">
        <v>211</v>
      </c>
      <c r="G3281" s="9" t="s">
        <v>201</v>
      </c>
      <c r="H3281" s="9" t="n">
        <v>1870</v>
      </c>
      <c r="I3281" s="29" t="n">
        <v>0.8</v>
      </c>
      <c r="J3281" s="9" t="n">
        <v>1</v>
      </c>
      <c r="K3281" s="30"/>
      <c r="L3281" s="30"/>
      <c r="M3281" s="30"/>
      <c r="N3281" s="30"/>
      <c r="O3281" s="30"/>
      <c r="P3281" s="30"/>
      <c r="Q3281" s="30"/>
      <c r="R3281" s="30"/>
      <c r="S3281" s="30"/>
      <c r="T3281" s="30"/>
      <c r="U3281" s="21" t="str">
        <f aca="false">IF(COUNT(K3281:T3281)=0,"SOURCE EMPTY / INDUSTRIAL ONLY",IF(MIN(K3281:T3281)=1,"SERVICE READY","HOLD"))</f>
        <v>SOURCE EMPTY / INDUSTRIAL ONLY</v>
      </c>
      <c r="V3281" s="9" t="n">
        <f aca="false">IF(U3281="SERVICE READY",1,0)</f>
        <v>0</v>
      </c>
      <c r="W3281" s="6"/>
      <c r="X3281" s="6"/>
      <c r="Y3281" s="6"/>
      <c r="Z3281" s="6"/>
    </row>
    <row r="3282" customFormat="false" ht="15" hidden="false" customHeight="false" outlineLevel="0" collapsed="false">
      <c r="A3282" s="9" t="s">
        <v>3559</v>
      </c>
      <c r="B3282" s="9" t="s">
        <v>3544</v>
      </c>
      <c r="C3282" s="9" t="s">
        <v>3545</v>
      </c>
      <c r="D3282" s="9" t="s">
        <v>2971</v>
      </c>
      <c r="E3282" s="9" t="s">
        <v>1660</v>
      </c>
      <c r="F3282" s="9" t="s">
        <v>197</v>
      </c>
      <c r="G3282" s="9" t="s">
        <v>198</v>
      </c>
      <c r="H3282" s="9" t="n">
        <v>1870</v>
      </c>
      <c r="I3282" s="29" t="n">
        <v>0.8</v>
      </c>
      <c r="J3282" s="9" t="n">
        <v>1</v>
      </c>
      <c r="K3282" s="30"/>
      <c r="L3282" s="30"/>
      <c r="M3282" s="30"/>
      <c r="N3282" s="30"/>
      <c r="O3282" s="30"/>
      <c r="P3282" s="30"/>
      <c r="Q3282" s="30"/>
      <c r="R3282" s="30"/>
      <c r="S3282" s="30"/>
      <c r="T3282" s="30"/>
      <c r="U3282" s="21" t="str">
        <f aca="false">IF(COUNT(K3282:T3282)=0,"SOURCE EMPTY / INDUSTRIAL ONLY",IF(MIN(K3282:T3282)=1,"SERVICE READY","HOLD"))</f>
        <v>SOURCE EMPTY / INDUSTRIAL ONLY</v>
      </c>
      <c r="V3282" s="9" t="n">
        <f aca="false">IF(U3282="SERVICE READY",1,0)</f>
        <v>0</v>
      </c>
      <c r="W3282" s="6"/>
      <c r="X3282" s="6"/>
      <c r="Y3282" s="6"/>
      <c r="Z3282" s="6"/>
    </row>
    <row r="3283" customFormat="false" ht="15" hidden="false" customHeight="false" outlineLevel="0" collapsed="false">
      <c r="A3283" s="9" t="s">
        <v>3560</v>
      </c>
      <c r="B3283" s="9" t="s">
        <v>3544</v>
      </c>
      <c r="C3283" s="9" t="s">
        <v>3545</v>
      </c>
      <c r="D3283" s="9" t="s">
        <v>2971</v>
      </c>
      <c r="E3283" s="9" t="s">
        <v>1660</v>
      </c>
      <c r="F3283" s="9" t="s">
        <v>200</v>
      </c>
      <c r="G3283" s="9" t="s">
        <v>201</v>
      </c>
      <c r="H3283" s="9" t="n">
        <v>1870</v>
      </c>
      <c r="I3283" s="29" t="n">
        <v>0.8</v>
      </c>
      <c r="J3283" s="9" t="n">
        <v>1</v>
      </c>
      <c r="K3283" s="30"/>
      <c r="L3283" s="30"/>
      <c r="M3283" s="30"/>
      <c r="N3283" s="30"/>
      <c r="O3283" s="30"/>
      <c r="P3283" s="30"/>
      <c r="Q3283" s="30"/>
      <c r="R3283" s="30"/>
      <c r="S3283" s="30"/>
      <c r="T3283" s="30"/>
      <c r="U3283" s="21" t="str">
        <f aca="false">IF(COUNT(K3283:T3283)=0,"SOURCE EMPTY / INDUSTRIAL ONLY",IF(MIN(K3283:T3283)=1,"SERVICE READY","HOLD"))</f>
        <v>SOURCE EMPTY / INDUSTRIAL ONLY</v>
      </c>
      <c r="V3283" s="9" t="n">
        <f aca="false">IF(U3283="SERVICE READY",1,0)</f>
        <v>0</v>
      </c>
      <c r="W3283" s="6"/>
      <c r="X3283" s="6"/>
      <c r="Y3283" s="6"/>
      <c r="Z3283" s="6"/>
    </row>
    <row r="3284" customFormat="false" ht="15" hidden="false" customHeight="false" outlineLevel="0" collapsed="false">
      <c r="A3284" s="9" t="s">
        <v>3561</v>
      </c>
      <c r="B3284" s="9" t="s">
        <v>3544</v>
      </c>
      <c r="C3284" s="9" t="s">
        <v>3545</v>
      </c>
      <c r="D3284" s="9" t="s">
        <v>2971</v>
      </c>
      <c r="E3284" s="9" t="s">
        <v>1660</v>
      </c>
      <c r="F3284" s="9" t="s">
        <v>203</v>
      </c>
      <c r="G3284" s="9" t="s">
        <v>198</v>
      </c>
      <c r="H3284" s="9" t="n">
        <v>1870</v>
      </c>
      <c r="I3284" s="29" t="n">
        <v>0.8</v>
      </c>
      <c r="J3284" s="9" t="n">
        <v>1</v>
      </c>
      <c r="K3284" s="30"/>
      <c r="L3284" s="30"/>
      <c r="M3284" s="30"/>
      <c r="N3284" s="30"/>
      <c r="O3284" s="30"/>
      <c r="P3284" s="30"/>
      <c r="Q3284" s="30"/>
      <c r="R3284" s="30"/>
      <c r="S3284" s="30"/>
      <c r="T3284" s="30"/>
      <c r="U3284" s="21" t="str">
        <f aca="false">IF(COUNT(K3284:T3284)=0,"SOURCE EMPTY / INDUSTRIAL ONLY",IF(MIN(K3284:T3284)=1,"SERVICE READY","HOLD"))</f>
        <v>SOURCE EMPTY / INDUSTRIAL ONLY</v>
      </c>
      <c r="V3284" s="9" t="n">
        <f aca="false">IF(U3284="SERVICE READY",1,0)</f>
        <v>0</v>
      </c>
      <c r="W3284" s="6"/>
      <c r="X3284" s="6"/>
      <c r="Y3284" s="6"/>
      <c r="Z3284" s="6"/>
    </row>
    <row r="3285" customFormat="false" ht="15" hidden="false" customHeight="false" outlineLevel="0" collapsed="false">
      <c r="A3285" s="9" t="s">
        <v>3562</v>
      </c>
      <c r="B3285" s="9" t="s">
        <v>3544</v>
      </c>
      <c r="C3285" s="9" t="s">
        <v>3545</v>
      </c>
      <c r="D3285" s="9" t="s">
        <v>2971</v>
      </c>
      <c r="E3285" s="9" t="s">
        <v>1660</v>
      </c>
      <c r="F3285" s="9" t="s">
        <v>205</v>
      </c>
      <c r="G3285" s="9" t="s">
        <v>201</v>
      </c>
      <c r="H3285" s="9" t="n">
        <v>1870</v>
      </c>
      <c r="I3285" s="29" t="n">
        <v>0.8</v>
      </c>
      <c r="J3285" s="9" t="n">
        <v>1</v>
      </c>
      <c r="K3285" s="30"/>
      <c r="L3285" s="30"/>
      <c r="M3285" s="30"/>
      <c r="N3285" s="30"/>
      <c r="O3285" s="30"/>
      <c r="P3285" s="30"/>
      <c r="Q3285" s="30"/>
      <c r="R3285" s="30"/>
      <c r="S3285" s="30"/>
      <c r="T3285" s="30"/>
      <c r="U3285" s="21" t="str">
        <f aca="false">IF(COUNT(K3285:T3285)=0,"SOURCE EMPTY / INDUSTRIAL ONLY",IF(MIN(K3285:T3285)=1,"SERVICE READY","HOLD"))</f>
        <v>SOURCE EMPTY / INDUSTRIAL ONLY</v>
      </c>
      <c r="V3285" s="9" t="n">
        <f aca="false">IF(U3285="SERVICE READY",1,0)</f>
        <v>0</v>
      </c>
      <c r="W3285" s="6"/>
      <c r="X3285" s="6"/>
      <c r="Y3285" s="6"/>
      <c r="Z3285" s="6"/>
    </row>
    <row r="3286" customFormat="false" ht="15" hidden="false" customHeight="false" outlineLevel="0" collapsed="false">
      <c r="A3286" s="9" t="s">
        <v>3563</v>
      </c>
      <c r="B3286" s="9" t="s">
        <v>3544</v>
      </c>
      <c r="C3286" s="9" t="s">
        <v>3545</v>
      </c>
      <c r="D3286" s="9" t="s">
        <v>2971</v>
      </c>
      <c r="E3286" s="9" t="s">
        <v>1660</v>
      </c>
      <c r="F3286" s="9" t="s">
        <v>207</v>
      </c>
      <c r="G3286" s="9" t="s">
        <v>198</v>
      </c>
      <c r="H3286" s="9" t="n">
        <v>1870</v>
      </c>
      <c r="I3286" s="29" t="n">
        <v>0.8</v>
      </c>
      <c r="J3286" s="9" t="n">
        <v>1</v>
      </c>
      <c r="K3286" s="30"/>
      <c r="L3286" s="30"/>
      <c r="M3286" s="30"/>
      <c r="N3286" s="30"/>
      <c r="O3286" s="30"/>
      <c r="P3286" s="30"/>
      <c r="Q3286" s="30"/>
      <c r="R3286" s="30"/>
      <c r="S3286" s="30"/>
      <c r="T3286" s="30"/>
      <c r="U3286" s="21" t="str">
        <f aca="false">IF(COUNT(K3286:T3286)=0,"SOURCE EMPTY / INDUSTRIAL ONLY",IF(MIN(K3286:T3286)=1,"SERVICE READY","HOLD"))</f>
        <v>SOURCE EMPTY / INDUSTRIAL ONLY</v>
      </c>
      <c r="V3286" s="9" t="n">
        <f aca="false">IF(U3286="SERVICE READY",1,0)</f>
        <v>0</v>
      </c>
      <c r="W3286" s="6"/>
      <c r="X3286" s="6"/>
      <c r="Y3286" s="6"/>
      <c r="Z3286" s="6"/>
    </row>
    <row r="3287" customFormat="false" ht="15" hidden="false" customHeight="false" outlineLevel="0" collapsed="false">
      <c r="A3287" s="9" t="s">
        <v>3564</v>
      </c>
      <c r="B3287" s="9" t="s">
        <v>3544</v>
      </c>
      <c r="C3287" s="9" t="s">
        <v>3545</v>
      </c>
      <c r="D3287" s="9" t="s">
        <v>2971</v>
      </c>
      <c r="E3287" s="9" t="s">
        <v>1660</v>
      </c>
      <c r="F3287" s="9" t="s">
        <v>209</v>
      </c>
      <c r="G3287" s="9" t="s">
        <v>201</v>
      </c>
      <c r="H3287" s="9" t="n">
        <v>1870</v>
      </c>
      <c r="I3287" s="29" t="n">
        <v>0.8</v>
      </c>
      <c r="J3287" s="9" t="n">
        <v>1</v>
      </c>
      <c r="K3287" s="30"/>
      <c r="L3287" s="30"/>
      <c r="M3287" s="30"/>
      <c r="N3287" s="30"/>
      <c r="O3287" s="30"/>
      <c r="P3287" s="30"/>
      <c r="Q3287" s="30"/>
      <c r="R3287" s="30"/>
      <c r="S3287" s="30"/>
      <c r="T3287" s="30"/>
      <c r="U3287" s="21" t="str">
        <f aca="false">IF(COUNT(K3287:T3287)=0,"SOURCE EMPTY / INDUSTRIAL ONLY",IF(MIN(K3287:T3287)=1,"SERVICE READY","HOLD"))</f>
        <v>SOURCE EMPTY / INDUSTRIAL ONLY</v>
      </c>
      <c r="V3287" s="9" t="n">
        <f aca="false">IF(U3287="SERVICE READY",1,0)</f>
        <v>0</v>
      </c>
      <c r="W3287" s="6"/>
      <c r="X3287" s="6"/>
      <c r="Y3287" s="6"/>
      <c r="Z3287" s="6"/>
    </row>
    <row r="3288" customFormat="false" ht="15" hidden="false" customHeight="false" outlineLevel="0" collapsed="false">
      <c r="A3288" s="9" t="s">
        <v>3565</v>
      </c>
      <c r="B3288" s="9" t="s">
        <v>3544</v>
      </c>
      <c r="C3288" s="9" t="s">
        <v>3545</v>
      </c>
      <c r="D3288" s="9" t="s">
        <v>2971</v>
      </c>
      <c r="E3288" s="9" t="s">
        <v>1660</v>
      </c>
      <c r="F3288" s="9" t="s">
        <v>211</v>
      </c>
      <c r="G3288" s="9" t="s">
        <v>198</v>
      </c>
      <c r="H3288" s="9" t="n">
        <v>1870</v>
      </c>
      <c r="I3288" s="29" t="n">
        <v>0.8</v>
      </c>
      <c r="J3288" s="9" t="n">
        <v>1</v>
      </c>
      <c r="K3288" s="30"/>
      <c r="L3288" s="30"/>
      <c r="M3288" s="30"/>
      <c r="N3288" s="30"/>
      <c r="O3288" s="30"/>
      <c r="P3288" s="30"/>
      <c r="Q3288" s="30"/>
      <c r="R3288" s="30"/>
      <c r="S3288" s="30"/>
      <c r="T3288" s="30"/>
      <c r="U3288" s="21" t="str">
        <f aca="false">IF(COUNT(K3288:T3288)=0,"SOURCE EMPTY / INDUSTRIAL ONLY",IF(MIN(K3288:T3288)=1,"SERVICE READY","HOLD"))</f>
        <v>SOURCE EMPTY / INDUSTRIAL ONLY</v>
      </c>
      <c r="V3288" s="9" t="n">
        <f aca="false">IF(U3288="SERVICE READY",1,0)</f>
        <v>0</v>
      </c>
      <c r="W3288" s="6"/>
      <c r="X3288" s="6"/>
      <c r="Y3288" s="6"/>
      <c r="Z3288" s="6"/>
    </row>
    <row r="3289" customFormat="false" ht="15" hidden="false" customHeight="false" outlineLevel="0" collapsed="false">
      <c r="A3289" s="9" t="s">
        <v>3566</v>
      </c>
      <c r="B3289" s="9" t="s">
        <v>3544</v>
      </c>
      <c r="C3289" s="9" t="s">
        <v>3545</v>
      </c>
      <c r="D3289" s="9" t="s">
        <v>2971</v>
      </c>
      <c r="E3289" s="9" t="s">
        <v>1660</v>
      </c>
      <c r="F3289" s="9" t="s">
        <v>197</v>
      </c>
      <c r="G3289" s="9" t="s">
        <v>201</v>
      </c>
      <c r="H3289" s="9" t="n">
        <v>1870</v>
      </c>
      <c r="I3289" s="29" t="n">
        <v>0.8</v>
      </c>
      <c r="J3289" s="9" t="n">
        <v>1</v>
      </c>
      <c r="K3289" s="30"/>
      <c r="L3289" s="30"/>
      <c r="M3289" s="30"/>
      <c r="N3289" s="30"/>
      <c r="O3289" s="30"/>
      <c r="P3289" s="30"/>
      <c r="Q3289" s="30"/>
      <c r="R3289" s="30"/>
      <c r="S3289" s="30"/>
      <c r="T3289" s="30"/>
      <c r="U3289" s="21" t="str">
        <f aca="false">IF(COUNT(K3289:T3289)=0,"SOURCE EMPTY / INDUSTRIAL ONLY",IF(MIN(K3289:T3289)=1,"SERVICE READY","HOLD"))</f>
        <v>SOURCE EMPTY / INDUSTRIAL ONLY</v>
      </c>
      <c r="V3289" s="9" t="n">
        <f aca="false">IF(U3289="SERVICE READY",1,0)</f>
        <v>0</v>
      </c>
      <c r="W3289" s="6"/>
      <c r="X3289" s="6"/>
      <c r="Y3289" s="6"/>
      <c r="Z3289" s="6"/>
    </row>
    <row r="3290" customFormat="false" ht="15" hidden="false" customHeight="false" outlineLevel="0" collapsed="false">
      <c r="A3290" s="9" t="s">
        <v>3567</v>
      </c>
      <c r="B3290" s="9" t="s">
        <v>3544</v>
      </c>
      <c r="C3290" s="9" t="s">
        <v>3545</v>
      </c>
      <c r="D3290" s="9" t="s">
        <v>2971</v>
      </c>
      <c r="E3290" s="9" t="s">
        <v>1660</v>
      </c>
      <c r="F3290" s="9" t="s">
        <v>200</v>
      </c>
      <c r="G3290" s="9" t="s">
        <v>198</v>
      </c>
      <c r="H3290" s="9" t="n">
        <v>1870</v>
      </c>
      <c r="I3290" s="29" t="n">
        <v>0.8</v>
      </c>
      <c r="J3290" s="9" t="n">
        <v>1</v>
      </c>
      <c r="K3290" s="30"/>
      <c r="L3290" s="30"/>
      <c r="M3290" s="30"/>
      <c r="N3290" s="30"/>
      <c r="O3290" s="30"/>
      <c r="P3290" s="30"/>
      <c r="Q3290" s="30"/>
      <c r="R3290" s="30"/>
      <c r="S3290" s="30"/>
      <c r="T3290" s="30"/>
      <c r="U3290" s="21" t="str">
        <f aca="false">IF(COUNT(K3290:T3290)=0,"SOURCE EMPTY / INDUSTRIAL ONLY",IF(MIN(K3290:T3290)=1,"SERVICE READY","HOLD"))</f>
        <v>SOURCE EMPTY / INDUSTRIAL ONLY</v>
      </c>
      <c r="V3290" s="9" t="n">
        <f aca="false">IF(U3290="SERVICE READY",1,0)</f>
        <v>0</v>
      </c>
      <c r="W3290" s="6"/>
      <c r="X3290" s="6"/>
      <c r="Y3290" s="6"/>
      <c r="Z3290" s="6"/>
    </row>
    <row r="3291" customFormat="false" ht="15" hidden="false" customHeight="false" outlineLevel="0" collapsed="false">
      <c r="A3291" s="9" t="s">
        <v>3568</v>
      </c>
      <c r="B3291" s="9" t="s">
        <v>3544</v>
      </c>
      <c r="C3291" s="9" t="s">
        <v>3545</v>
      </c>
      <c r="D3291" s="9" t="s">
        <v>2971</v>
      </c>
      <c r="E3291" s="9" t="s">
        <v>1660</v>
      </c>
      <c r="F3291" s="9" t="s">
        <v>203</v>
      </c>
      <c r="G3291" s="9" t="s">
        <v>201</v>
      </c>
      <c r="H3291" s="9" t="n">
        <v>1870</v>
      </c>
      <c r="I3291" s="29" t="n">
        <v>0.8</v>
      </c>
      <c r="J3291" s="9" t="n">
        <v>1</v>
      </c>
      <c r="K3291" s="30"/>
      <c r="L3291" s="30"/>
      <c r="M3291" s="30"/>
      <c r="N3291" s="30"/>
      <c r="O3291" s="30"/>
      <c r="P3291" s="30"/>
      <c r="Q3291" s="30"/>
      <c r="R3291" s="30"/>
      <c r="S3291" s="30"/>
      <c r="T3291" s="30"/>
      <c r="U3291" s="21" t="str">
        <f aca="false">IF(COUNT(K3291:T3291)=0,"SOURCE EMPTY / INDUSTRIAL ONLY",IF(MIN(K3291:T3291)=1,"SERVICE READY","HOLD"))</f>
        <v>SOURCE EMPTY / INDUSTRIAL ONLY</v>
      </c>
      <c r="V3291" s="9" t="n">
        <f aca="false">IF(U3291="SERVICE READY",1,0)</f>
        <v>0</v>
      </c>
      <c r="W3291" s="6"/>
      <c r="X3291" s="6"/>
      <c r="Y3291" s="6"/>
      <c r="Z3291" s="6"/>
    </row>
    <row r="3292" customFormat="false" ht="15" hidden="false" customHeight="false" outlineLevel="0" collapsed="false">
      <c r="A3292" s="9" t="s">
        <v>3569</v>
      </c>
      <c r="B3292" s="9" t="s">
        <v>3544</v>
      </c>
      <c r="C3292" s="9" t="s">
        <v>3545</v>
      </c>
      <c r="D3292" s="9" t="s">
        <v>2971</v>
      </c>
      <c r="E3292" s="9" t="s">
        <v>1660</v>
      </c>
      <c r="F3292" s="9" t="s">
        <v>205</v>
      </c>
      <c r="G3292" s="9" t="s">
        <v>198</v>
      </c>
      <c r="H3292" s="9" t="n">
        <v>1870</v>
      </c>
      <c r="I3292" s="29" t="n">
        <v>0.8</v>
      </c>
      <c r="J3292" s="9" t="n">
        <v>1</v>
      </c>
      <c r="K3292" s="30"/>
      <c r="L3292" s="30"/>
      <c r="M3292" s="30"/>
      <c r="N3292" s="30"/>
      <c r="O3292" s="30"/>
      <c r="P3292" s="30"/>
      <c r="Q3292" s="30"/>
      <c r="R3292" s="30"/>
      <c r="S3292" s="30"/>
      <c r="T3292" s="30"/>
      <c r="U3292" s="21" t="str">
        <f aca="false">IF(COUNT(K3292:T3292)=0,"SOURCE EMPTY / INDUSTRIAL ONLY",IF(MIN(K3292:T3292)=1,"SERVICE READY","HOLD"))</f>
        <v>SOURCE EMPTY / INDUSTRIAL ONLY</v>
      </c>
      <c r="V3292" s="9" t="n">
        <f aca="false">IF(U3292="SERVICE READY",1,0)</f>
        <v>0</v>
      </c>
      <c r="W3292" s="6"/>
      <c r="X3292" s="6"/>
      <c r="Y3292" s="6"/>
      <c r="Z3292" s="6"/>
    </row>
    <row r="3293" customFormat="false" ht="15" hidden="false" customHeight="false" outlineLevel="0" collapsed="false">
      <c r="A3293" s="9" t="s">
        <v>3570</v>
      </c>
      <c r="B3293" s="9" t="s">
        <v>3544</v>
      </c>
      <c r="C3293" s="9" t="s">
        <v>3545</v>
      </c>
      <c r="D3293" s="9" t="s">
        <v>2971</v>
      </c>
      <c r="E3293" s="9" t="s">
        <v>1660</v>
      </c>
      <c r="F3293" s="9" t="s">
        <v>207</v>
      </c>
      <c r="G3293" s="9" t="s">
        <v>201</v>
      </c>
      <c r="H3293" s="9" t="n">
        <v>1870</v>
      </c>
      <c r="I3293" s="29" t="n">
        <v>0.8</v>
      </c>
      <c r="J3293" s="9" t="n">
        <v>1</v>
      </c>
      <c r="K3293" s="30"/>
      <c r="L3293" s="30"/>
      <c r="M3293" s="30"/>
      <c r="N3293" s="30"/>
      <c r="O3293" s="30"/>
      <c r="P3293" s="30"/>
      <c r="Q3293" s="30"/>
      <c r="R3293" s="30"/>
      <c r="S3293" s="30"/>
      <c r="T3293" s="30"/>
      <c r="U3293" s="21" t="str">
        <f aca="false">IF(COUNT(K3293:T3293)=0,"SOURCE EMPTY / INDUSTRIAL ONLY",IF(MIN(K3293:T3293)=1,"SERVICE READY","HOLD"))</f>
        <v>SOURCE EMPTY / INDUSTRIAL ONLY</v>
      </c>
      <c r="V3293" s="9" t="n">
        <f aca="false">IF(U3293="SERVICE READY",1,0)</f>
        <v>0</v>
      </c>
      <c r="W3293" s="6"/>
      <c r="X3293" s="6"/>
      <c r="Y3293" s="6"/>
      <c r="Z3293" s="6"/>
    </row>
    <row r="3294" customFormat="false" ht="15" hidden="false" customHeight="false" outlineLevel="0" collapsed="false">
      <c r="A3294" s="9" t="s">
        <v>3571</v>
      </c>
      <c r="B3294" s="9" t="s">
        <v>3544</v>
      </c>
      <c r="C3294" s="9" t="s">
        <v>3545</v>
      </c>
      <c r="D3294" s="9" t="s">
        <v>2971</v>
      </c>
      <c r="E3294" s="9" t="s">
        <v>1660</v>
      </c>
      <c r="F3294" s="9" t="s">
        <v>209</v>
      </c>
      <c r="G3294" s="9" t="s">
        <v>198</v>
      </c>
      <c r="H3294" s="9" t="n">
        <v>1870</v>
      </c>
      <c r="I3294" s="29" t="n">
        <v>0.8</v>
      </c>
      <c r="J3294" s="9" t="n">
        <v>1</v>
      </c>
      <c r="K3294" s="30"/>
      <c r="L3294" s="30"/>
      <c r="M3294" s="30"/>
      <c r="N3294" s="30"/>
      <c r="O3294" s="30"/>
      <c r="P3294" s="30"/>
      <c r="Q3294" s="30"/>
      <c r="R3294" s="30"/>
      <c r="S3294" s="30"/>
      <c r="T3294" s="30"/>
      <c r="U3294" s="21" t="str">
        <f aca="false">IF(COUNT(K3294:T3294)=0,"SOURCE EMPTY / INDUSTRIAL ONLY",IF(MIN(K3294:T3294)=1,"SERVICE READY","HOLD"))</f>
        <v>SOURCE EMPTY / INDUSTRIAL ONLY</v>
      </c>
      <c r="V3294" s="9" t="n">
        <f aca="false">IF(U3294="SERVICE READY",1,0)</f>
        <v>0</v>
      </c>
      <c r="W3294" s="6"/>
      <c r="X3294" s="6"/>
      <c r="Y3294" s="6"/>
      <c r="Z3294" s="6"/>
    </row>
    <row r="3295" customFormat="false" ht="15" hidden="false" customHeight="false" outlineLevel="0" collapsed="false">
      <c r="A3295" s="9" t="s">
        <v>3572</v>
      </c>
      <c r="B3295" s="9" t="s">
        <v>3544</v>
      </c>
      <c r="C3295" s="9" t="s">
        <v>3545</v>
      </c>
      <c r="D3295" s="9" t="s">
        <v>2971</v>
      </c>
      <c r="E3295" s="9" t="s">
        <v>1660</v>
      </c>
      <c r="F3295" s="9" t="s">
        <v>211</v>
      </c>
      <c r="G3295" s="9" t="s">
        <v>201</v>
      </c>
      <c r="H3295" s="9" t="n">
        <v>1870</v>
      </c>
      <c r="I3295" s="29" t="n">
        <v>0.8</v>
      </c>
      <c r="J3295" s="9" t="n">
        <v>1</v>
      </c>
      <c r="K3295" s="30"/>
      <c r="L3295" s="30"/>
      <c r="M3295" s="30"/>
      <c r="N3295" s="30"/>
      <c r="O3295" s="30"/>
      <c r="P3295" s="30"/>
      <c r="Q3295" s="30"/>
      <c r="R3295" s="30"/>
      <c r="S3295" s="30"/>
      <c r="T3295" s="30"/>
      <c r="U3295" s="21" t="str">
        <f aca="false">IF(COUNT(K3295:T3295)=0,"SOURCE EMPTY / INDUSTRIAL ONLY",IF(MIN(K3295:T3295)=1,"SERVICE READY","HOLD"))</f>
        <v>SOURCE EMPTY / INDUSTRIAL ONLY</v>
      </c>
      <c r="V3295" s="9" t="n">
        <f aca="false">IF(U3295="SERVICE READY",1,0)</f>
        <v>0</v>
      </c>
      <c r="W3295" s="6"/>
      <c r="X3295" s="6"/>
      <c r="Y3295" s="6"/>
      <c r="Z3295" s="6"/>
    </row>
    <row r="3296" customFormat="false" ht="15" hidden="false" customHeight="false" outlineLevel="0" collapsed="false">
      <c r="A3296" s="9" t="s">
        <v>3573</v>
      </c>
      <c r="B3296" s="9" t="s">
        <v>3544</v>
      </c>
      <c r="C3296" s="9" t="s">
        <v>3545</v>
      </c>
      <c r="D3296" s="9" t="s">
        <v>2971</v>
      </c>
      <c r="E3296" s="9" t="s">
        <v>1660</v>
      </c>
      <c r="F3296" s="9" t="s">
        <v>197</v>
      </c>
      <c r="G3296" s="9" t="s">
        <v>198</v>
      </c>
      <c r="H3296" s="9" t="n">
        <v>1870</v>
      </c>
      <c r="I3296" s="29" t="n">
        <v>0.8</v>
      </c>
      <c r="J3296" s="9" t="n">
        <v>1</v>
      </c>
      <c r="K3296" s="30"/>
      <c r="L3296" s="30"/>
      <c r="M3296" s="30"/>
      <c r="N3296" s="30"/>
      <c r="O3296" s="30"/>
      <c r="P3296" s="30"/>
      <c r="Q3296" s="30"/>
      <c r="R3296" s="30"/>
      <c r="S3296" s="30"/>
      <c r="T3296" s="30"/>
      <c r="U3296" s="21" t="str">
        <f aca="false">IF(COUNT(K3296:T3296)=0,"SOURCE EMPTY / INDUSTRIAL ONLY",IF(MIN(K3296:T3296)=1,"SERVICE READY","HOLD"))</f>
        <v>SOURCE EMPTY / INDUSTRIAL ONLY</v>
      </c>
      <c r="V3296" s="9" t="n">
        <f aca="false">IF(U3296="SERVICE READY",1,0)</f>
        <v>0</v>
      </c>
      <c r="W3296" s="6"/>
      <c r="X3296" s="6"/>
      <c r="Y3296" s="6"/>
      <c r="Z3296" s="6"/>
    </row>
    <row r="3297" customFormat="false" ht="15" hidden="false" customHeight="false" outlineLevel="0" collapsed="false">
      <c r="A3297" s="9" t="s">
        <v>3574</v>
      </c>
      <c r="B3297" s="9" t="s">
        <v>3544</v>
      </c>
      <c r="C3297" s="9" t="s">
        <v>3545</v>
      </c>
      <c r="D3297" s="9" t="s">
        <v>2971</v>
      </c>
      <c r="E3297" s="9" t="s">
        <v>1660</v>
      </c>
      <c r="F3297" s="9" t="s">
        <v>200</v>
      </c>
      <c r="G3297" s="9" t="s">
        <v>201</v>
      </c>
      <c r="H3297" s="9" t="n">
        <v>1870</v>
      </c>
      <c r="I3297" s="29" t="n">
        <v>0.8</v>
      </c>
      <c r="J3297" s="9" t="n">
        <v>1</v>
      </c>
      <c r="K3297" s="30"/>
      <c r="L3297" s="30"/>
      <c r="M3297" s="30"/>
      <c r="N3297" s="30"/>
      <c r="O3297" s="30"/>
      <c r="P3297" s="30"/>
      <c r="Q3297" s="30"/>
      <c r="R3297" s="30"/>
      <c r="S3297" s="30"/>
      <c r="T3297" s="30"/>
      <c r="U3297" s="21" t="str">
        <f aca="false">IF(COUNT(K3297:T3297)=0,"SOURCE EMPTY / INDUSTRIAL ONLY",IF(MIN(K3297:T3297)=1,"SERVICE READY","HOLD"))</f>
        <v>SOURCE EMPTY / INDUSTRIAL ONLY</v>
      </c>
      <c r="V3297" s="9" t="n">
        <f aca="false">IF(U3297="SERVICE READY",1,0)</f>
        <v>0</v>
      </c>
      <c r="W3297" s="6"/>
      <c r="X3297" s="6"/>
      <c r="Y3297" s="6"/>
      <c r="Z3297" s="6"/>
    </row>
    <row r="3298" customFormat="false" ht="15" hidden="false" customHeight="false" outlineLevel="0" collapsed="false">
      <c r="A3298" s="9" t="s">
        <v>3575</v>
      </c>
      <c r="B3298" s="9" t="s">
        <v>3544</v>
      </c>
      <c r="C3298" s="9" t="s">
        <v>3545</v>
      </c>
      <c r="D3298" s="9" t="s">
        <v>2971</v>
      </c>
      <c r="E3298" s="9" t="s">
        <v>1660</v>
      </c>
      <c r="F3298" s="9" t="s">
        <v>203</v>
      </c>
      <c r="G3298" s="9" t="s">
        <v>198</v>
      </c>
      <c r="H3298" s="9" t="n">
        <v>1870</v>
      </c>
      <c r="I3298" s="29" t="n">
        <v>0.8</v>
      </c>
      <c r="J3298" s="9" t="n">
        <v>1</v>
      </c>
      <c r="K3298" s="30"/>
      <c r="L3298" s="30"/>
      <c r="M3298" s="30"/>
      <c r="N3298" s="30"/>
      <c r="O3298" s="30"/>
      <c r="P3298" s="30"/>
      <c r="Q3298" s="30"/>
      <c r="R3298" s="30"/>
      <c r="S3298" s="30"/>
      <c r="T3298" s="30"/>
      <c r="U3298" s="21" t="str">
        <f aca="false">IF(COUNT(K3298:T3298)=0,"SOURCE EMPTY / INDUSTRIAL ONLY",IF(MIN(K3298:T3298)=1,"SERVICE READY","HOLD"))</f>
        <v>SOURCE EMPTY / INDUSTRIAL ONLY</v>
      </c>
      <c r="V3298" s="9" t="n">
        <f aca="false">IF(U3298="SERVICE READY",1,0)</f>
        <v>0</v>
      </c>
      <c r="W3298" s="6"/>
      <c r="X3298" s="6"/>
      <c r="Y3298" s="6"/>
      <c r="Z3298" s="6"/>
    </row>
    <row r="3299" customFormat="false" ht="15" hidden="false" customHeight="false" outlineLevel="0" collapsed="false">
      <c r="A3299" s="9" t="s">
        <v>3576</v>
      </c>
      <c r="B3299" s="9" t="s">
        <v>3544</v>
      </c>
      <c r="C3299" s="9" t="s">
        <v>3545</v>
      </c>
      <c r="D3299" s="9" t="s">
        <v>2971</v>
      </c>
      <c r="E3299" s="9" t="s">
        <v>1660</v>
      </c>
      <c r="F3299" s="9" t="s">
        <v>205</v>
      </c>
      <c r="G3299" s="9" t="s">
        <v>201</v>
      </c>
      <c r="H3299" s="9" t="n">
        <v>1870</v>
      </c>
      <c r="I3299" s="29" t="n">
        <v>0.8</v>
      </c>
      <c r="J3299" s="9" t="n">
        <v>1</v>
      </c>
      <c r="K3299" s="30"/>
      <c r="L3299" s="30"/>
      <c r="M3299" s="30"/>
      <c r="N3299" s="30"/>
      <c r="O3299" s="30"/>
      <c r="P3299" s="30"/>
      <c r="Q3299" s="30"/>
      <c r="R3299" s="30"/>
      <c r="S3299" s="30"/>
      <c r="T3299" s="30"/>
      <c r="U3299" s="21" t="str">
        <f aca="false">IF(COUNT(K3299:T3299)=0,"SOURCE EMPTY / INDUSTRIAL ONLY",IF(MIN(K3299:T3299)=1,"SERVICE READY","HOLD"))</f>
        <v>SOURCE EMPTY / INDUSTRIAL ONLY</v>
      </c>
      <c r="V3299" s="9" t="n">
        <f aca="false">IF(U3299="SERVICE READY",1,0)</f>
        <v>0</v>
      </c>
      <c r="W3299" s="6"/>
      <c r="X3299" s="6"/>
      <c r="Y3299" s="6"/>
      <c r="Z3299" s="6"/>
    </row>
    <row r="3300" customFormat="false" ht="15" hidden="false" customHeight="false" outlineLevel="0" collapsed="false">
      <c r="A3300" s="9" t="s">
        <v>3577</v>
      </c>
      <c r="B3300" s="9" t="s">
        <v>3544</v>
      </c>
      <c r="C3300" s="9" t="s">
        <v>3545</v>
      </c>
      <c r="D3300" s="9" t="s">
        <v>2971</v>
      </c>
      <c r="E3300" s="9" t="s">
        <v>1660</v>
      </c>
      <c r="F3300" s="9" t="s">
        <v>207</v>
      </c>
      <c r="G3300" s="9" t="s">
        <v>198</v>
      </c>
      <c r="H3300" s="9" t="n">
        <v>1870</v>
      </c>
      <c r="I3300" s="29" t="n">
        <v>0.8</v>
      </c>
      <c r="J3300" s="9" t="n">
        <v>1</v>
      </c>
      <c r="K3300" s="30"/>
      <c r="L3300" s="30"/>
      <c r="M3300" s="30"/>
      <c r="N3300" s="30"/>
      <c r="O3300" s="30"/>
      <c r="P3300" s="30"/>
      <c r="Q3300" s="30"/>
      <c r="R3300" s="30"/>
      <c r="S3300" s="30"/>
      <c r="T3300" s="30"/>
      <c r="U3300" s="21" t="str">
        <f aca="false">IF(COUNT(K3300:T3300)=0,"SOURCE EMPTY / INDUSTRIAL ONLY",IF(MIN(K3300:T3300)=1,"SERVICE READY","HOLD"))</f>
        <v>SOURCE EMPTY / INDUSTRIAL ONLY</v>
      </c>
      <c r="V3300" s="9" t="n">
        <f aca="false">IF(U3300="SERVICE READY",1,0)</f>
        <v>0</v>
      </c>
      <c r="W3300" s="6"/>
      <c r="X3300" s="6"/>
      <c r="Y3300" s="6"/>
      <c r="Z3300" s="6"/>
    </row>
    <row r="3301" customFormat="false" ht="15" hidden="false" customHeight="false" outlineLevel="0" collapsed="false">
      <c r="A3301" s="9" t="s">
        <v>3578</v>
      </c>
      <c r="B3301" s="9" t="s">
        <v>3544</v>
      </c>
      <c r="C3301" s="9" t="s">
        <v>3545</v>
      </c>
      <c r="D3301" s="9" t="s">
        <v>2971</v>
      </c>
      <c r="E3301" s="9" t="s">
        <v>1660</v>
      </c>
      <c r="F3301" s="9" t="s">
        <v>209</v>
      </c>
      <c r="G3301" s="9" t="s">
        <v>201</v>
      </c>
      <c r="H3301" s="9" t="n">
        <v>1870</v>
      </c>
      <c r="I3301" s="29" t="n">
        <v>0.8</v>
      </c>
      <c r="J3301" s="9" t="n">
        <v>1</v>
      </c>
      <c r="K3301" s="30"/>
      <c r="L3301" s="30"/>
      <c r="M3301" s="30"/>
      <c r="N3301" s="30"/>
      <c r="O3301" s="30"/>
      <c r="P3301" s="30"/>
      <c r="Q3301" s="30"/>
      <c r="R3301" s="30"/>
      <c r="S3301" s="30"/>
      <c r="T3301" s="30"/>
      <c r="U3301" s="21" t="str">
        <f aca="false">IF(COUNT(K3301:T3301)=0,"SOURCE EMPTY / INDUSTRIAL ONLY",IF(MIN(K3301:T3301)=1,"SERVICE READY","HOLD"))</f>
        <v>SOURCE EMPTY / INDUSTRIAL ONLY</v>
      </c>
      <c r="V3301" s="9" t="n">
        <f aca="false">IF(U3301="SERVICE READY",1,0)</f>
        <v>0</v>
      </c>
      <c r="W3301" s="6"/>
      <c r="X3301" s="6"/>
      <c r="Y3301" s="6"/>
      <c r="Z3301" s="6"/>
    </row>
    <row r="3302" customFormat="false" ht="15" hidden="false" customHeight="false" outlineLevel="0" collapsed="false">
      <c r="A3302" s="9" t="s">
        <v>3579</v>
      </c>
      <c r="B3302" s="9" t="s">
        <v>3544</v>
      </c>
      <c r="C3302" s="9" t="s">
        <v>3545</v>
      </c>
      <c r="D3302" s="9" t="s">
        <v>2971</v>
      </c>
      <c r="E3302" s="9" t="s">
        <v>1660</v>
      </c>
      <c r="F3302" s="9" t="s">
        <v>211</v>
      </c>
      <c r="G3302" s="9" t="s">
        <v>198</v>
      </c>
      <c r="H3302" s="9" t="n">
        <v>1870</v>
      </c>
      <c r="I3302" s="29" t="n">
        <v>0.8</v>
      </c>
      <c r="J3302" s="9" t="n">
        <v>1</v>
      </c>
      <c r="K3302" s="30"/>
      <c r="L3302" s="30"/>
      <c r="M3302" s="30"/>
      <c r="N3302" s="30"/>
      <c r="O3302" s="30"/>
      <c r="P3302" s="30"/>
      <c r="Q3302" s="30"/>
      <c r="R3302" s="30"/>
      <c r="S3302" s="30"/>
      <c r="T3302" s="30"/>
      <c r="U3302" s="21" t="str">
        <f aca="false">IF(COUNT(K3302:T3302)=0,"SOURCE EMPTY / INDUSTRIAL ONLY",IF(MIN(K3302:T3302)=1,"SERVICE READY","HOLD"))</f>
        <v>SOURCE EMPTY / INDUSTRIAL ONLY</v>
      </c>
      <c r="V3302" s="9" t="n">
        <f aca="false">IF(U3302="SERVICE READY",1,0)</f>
        <v>0</v>
      </c>
      <c r="W3302" s="6"/>
      <c r="X3302" s="6"/>
      <c r="Y3302" s="6"/>
      <c r="Z3302" s="6"/>
    </row>
    <row r="3303" customFormat="false" ht="15" hidden="false" customHeight="false" outlineLevel="0" collapsed="false">
      <c r="A3303" s="9" t="s">
        <v>3580</v>
      </c>
      <c r="B3303" s="9" t="s">
        <v>3544</v>
      </c>
      <c r="C3303" s="9" t="s">
        <v>3545</v>
      </c>
      <c r="D3303" s="9" t="s">
        <v>2971</v>
      </c>
      <c r="E3303" s="9" t="s">
        <v>1660</v>
      </c>
      <c r="F3303" s="9" t="s">
        <v>197</v>
      </c>
      <c r="G3303" s="9" t="s">
        <v>201</v>
      </c>
      <c r="H3303" s="9" t="n">
        <v>1870</v>
      </c>
      <c r="I3303" s="29" t="n">
        <v>0.8</v>
      </c>
      <c r="J3303" s="9" t="n">
        <v>1</v>
      </c>
      <c r="K3303" s="30"/>
      <c r="L3303" s="30"/>
      <c r="M3303" s="30"/>
      <c r="N3303" s="30"/>
      <c r="O3303" s="30"/>
      <c r="P3303" s="30"/>
      <c r="Q3303" s="30"/>
      <c r="R3303" s="30"/>
      <c r="S3303" s="30"/>
      <c r="T3303" s="30"/>
      <c r="U3303" s="21" t="str">
        <f aca="false">IF(COUNT(K3303:T3303)=0,"SOURCE EMPTY / INDUSTRIAL ONLY",IF(MIN(K3303:T3303)=1,"SERVICE READY","HOLD"))</f>
        <v>SOURCE EMPTY / INDUSTRIAL ONLY</v>
      </c>
      <c r="V3303" s="9" t="n">
        <f aca="false">IF(U3303="SERVICE READY",1,0)</f>
        <v>0</v>
      </c>
      <c r="W3303" s="6"/>
      <c r="X3303" s="6"/>
      <c r="Y3303" s="6"/>
      <c r="Z3303" s="6"/>
    </row>
    <row r="3304" customFormat="false" ht="15" hidden="false" customHeight="false" outlineLevel="0" collapsed="false">
      <c r="A3304" s="9" t="s">
        <v>3581</v>
      </c>
      <c r="B3304" s="9" t="s">
        <v>3544</v>
      </c>
      <c r="C3304" s="9" t="s">
        <v>3545</v>
      </c>
      <c r="D3304" s="9" t="s">
        <v>2971</v>
      </c>
      <c r="E3304" s="9" t="s">
        <v>1660</v>
      </c>
      <c r="F3304" s="9" t="s">
        <v>200</v>
      </c>
      <c r="G3304" s="9" t="s">
        <v>198</v>
      </c>
      <c r="H3304" s="9" t="n">
        <v>1870</v>
      </c>
      <c r="I3304" s="29" t="n">
        <v>0.8</v>
      </c>
      <c r="J3304" s="9" t="n">
        <v>1</v>
      </c>
      <c r="K3304" s="30"/>
      <c r="L3304" s="30"/>
      <c r="M3304" s="30"/>
      <c r="N3304" s="30"/>
      <c r="O3304" s="30"/>
      <c r="P3304" s="30"/>
      <c r="Q3304" s="30"/>
      <c r="R3304" s="30"/>
      <c r="S3304" s="30"/>
      <c r="T3304" s="30"/>
      <c r="U3304" s="21" t="str">
        <f aca="false">IF(COUNT(K3304:T3304)=0,"SOURCE EMPTY / INDUSTRIAL ONLY",IF(MIN(K3304:T3304)=1,"SERVICE READY","HOLD"))</f>
        <v>SOURCE EMPTY / INDUSTRIAL ONLY</v>
      </c>
      <c r="V3304" s="9" t="n">
        <f aca="false">IF(U3304="SERVICE READY",1,0)</f>
        <v>0</v>
      </c>
      <c r="W3304" s="6"/>
      <c r="X3304" s="6"/>
      <c r="Y3304" s="6"/>
      <c r="Z3304" s="6"/>
    </row>
    <row r="3305" customFormat="false" ht="15" hidden="false" customHeight="false" outlineLevel="0" collapsed="false">
      <c r="A3305" s="9" t="s">
        <v>3582</v>
      </c>
      <c r="B3305" s="9" t="s">
        <v>3544</v>
      </c>
      <c r="C3305" s="9" t="s">
        <v>3545</v>
      </c>
      <c r="D3305" s="9" t="s">
        <v>2971</v>
      </c>
      <c r="E3305" s="9" t="s">
        <v>1660</v>
      </c>
      <c r="F3305" s="9" t="s">
        <v>203</v>
      </c>
      <c r="G3305" s="9" t="s">
        <v>201</v>
      </c>
      <c r="H3305" s="9" t="n">
        <v>1870</v>
      </c>
      <c r="I3305" s="29" t="n">
        <v>0.8</v>
      </c>
      <c r="J3305" s="9" t="n">
        <v>1</v>
      </c>
      <c r="K3305" s="30"/>
      <c r="L3305" s="30"/>
      <c r="M3305" s="30"/>
      <c r="N3305" s="30"/>
      <c r="O3305" s="30"/>
      <c r="P3305" s="30"/>
      <c r="Q3305" s="30"/>
      <c r="R3305" s="30"/>
      <c r="S3305" s="30"/>
      <c r="T3305" s="30"/>
      <c r="U3305" s="21" t="str">
        <f aca="false">IF(COUNT(K3305:T3305)=0,"SOURCE EMPTY / INDUSTRIAL ONLY",IF(MIN(K3305:T3305)=1,"SERVICE READY","HOLD"))</f>
        <v>SOURCE EMPTY / INDUSTRIAL ONLY</v>
      </c>
      <c r="V3305" s="9" t="n">
        <f aca="false">IF(U3305="SERVICE READY",1,0)</f>
        <v>0</v>
      </c>
      <c r="W3305" s="6"/>
      <c r="X3305" s="6"/>
      <c r="Y3305" s="6"/>
      <c r="Z3305" s="6"/>
    </row>
    <row r="3306" customFormat="false" ht="15" hidden="false" customHeight="false" outlineLevel="0" collapsed="false">
      <c r="A3306" s="9" t="s">
        <v>3583</v>
      </c>
      <c r="B3306" s="9" t="s">
        <v>3544</v>
      </c>
      <c r="C3306" s="9" t="s">
        <v>3545</v>
      </c>
      <c r="D3306" s="9" t="s">
        <v>2971</v>
      </c>
      <c r="E3306" s="9" t="s">
        <v>1660</v>
      </c>
      <c r="F3306" s="9" t="s">
        <v>205</v>
      </c>
      <c r="G3306" s="9" t="s">
        <v>221</v>
      </c>
      <c r="H3306" s="9" t="n">
        <v>1870</v>
      </c>
      <c r="I3306" s="29" t="n">
        <v>0.8</v>
      </c>
      <c r="J3306" s="9" t="n">
        <v>1</v>
      </c>
      <c r="K3306" s="30"/>
      <c r="L3306" s="30"/>
      <c r="M3306" s="30"/>
      <c r="N3306" s="30"/>
      <c r="O3306" s="30"/>
      <c r="P3306" s="30"/>
      <c r="Q3306" s="30"/>
      <c r="R3306" s="30"/>
      <c r="S3306" s="30"/>
      <c r="T3306" s="30"/>
      <c r="U3306" s="21" t="str">
        <f aca="false">IF(COUNT(K3306:T3306)=0,"SOURCE EMPTY / INDUSTRIAL ONLY",IF(MIN(K3306:T3306)=1,"SERVICE READY","HOLD"))</f>
        <v>SOURCE EMPTY / INDUSTRIAL ONLY</v>
      </c>
      <c r="V3306" s="9" t="n">
        <f aca="false">IF(U3306="SERVICE READY",1,0)</f>
        <v>0</v>
      </c>
      <c r="W3306" s="6"/>
      <c r="X3306" s="6"/>
      <c r="Y3306" s="6"/>
      <c r="Z3306" s="6"/>
    </row>
    <row r="3307" customFormat="false" ht="15" hidden="false" customHeight="false" outlineLevel="0" collapsed="false">
      <c r="A3307" s="9" t="s">
        <v>3584</v>
      </c>
      <c r="B3307" s="9" t="s">
        <v>3544</v>
      </c>
      <c r="C3307" s="9" t="s">
        <v>3545</v>
      </c>
      <c r="D3307" s="9" t="s">
        <v>2971</v>
      </c>
      <c r="E3307" s="9" t="s">
        <v>1660</v>
      </c>
      <c r="F3307" s="9" t="s">
        <v>207</v>
      </c>
      <c r="G3307" s="9" t="s">
        <v>221</v>
      </c>
      <c r="H3307" s="9" t="n">
        <v>1870</v>
      </c>
      <c r="I3307" s="29" t="n">
        <v>0.8</v>
      </c>
      <c r="J3307" s="9" t="n">
        <v>1</v>
      </c>
      <c r="K3307" s="30"/>
      <c r="L3307" s="30"/>
      <c r="M3307" s="30"/>
      <c r="N3307" s="30"/>
      <c r="O3307" s="30"/>
      <c r="P3307" s="30"/>
      <c r="Q3307" s="30"/>
      <c r="R3307" s="30"/>
      <c r="S3307" s="30"/>
      <c r="T3307" s="30"/>
      <c r="U3307" s="21" t="str">
        <f aca="false">IF(COUNT(K3307:T3307)=0,"SOURCE EMPTY / INDUSTRIAL ONLY",IF(MIN(K3307:T3307)=1,"SERVICE READY","HOLD"))</f>
        <v>SOURCE EMPTY / INDUSTRIAL ONLY</v>
      </c>
      <c r="V3307" s="9" t="n">
        <f aca="false">IF(U3307="SERVICE READY",1,0)</f>
        <v>0</v>
      </c>
      <c r="W3307" s="6"/>
      <c r="X3307" s="6"/>
      <c r="Y3307" s="6"/>
      <c r="Z3307" s="6"/>
    </row>
    <row r="3308" customFormat="false" ht="15" hidden="false" customHeight="false" outlineLevel="0" collapsed="false">
      <c r="A3308" s="9" t="s">
        <v>3585</v>
      </c>
      <c r="B3308" s="9" t="s">
        <v>3544</v>
      </c>
      <c r="C3308" s="9" t="s">
        <v>3545</v>
      </c>
      <c r="D3308" s="9" t="s">
        <v>2971</v>
      </c>
      <c r="E3308" s="9" t="s">
        <v>1660</v>
      </c>
      <c r="F3308" s="9" t="s">
        <v>209</v>
      </c>
      <c r="G3308" s="9" t="s">
        <v>221</v>
      </c>
      <c r="H3308" s="9" t="n">
        <v>1870</v>
      </c>
      <c r="I3308" s="29" t="n">
        <v>0.8</v>
      </c>
      <c r="J3308" s="9" t="n">
        <v>1</v>
      </c>
      <c r="K3308" s="30"/>
      <c r="L3308" s="30"/>
      <c r="M3308" s="30"/>
      <c r="N3308" s="30"/>
      <c r="O3308" s="30"/>
      <c r="P3308" s="30"/>
      <c r="Q3308" s="30"/>
      <c r="R3308" s="30"/>
      <c r="S3308" s="30"/>
      <c r="T3308" s="30"/>
      <c r="U3308" s="21" t="str">
        <f aca="false">IF(COUNT(K3308:T3308)=0,"SOURCE EMPTY / INDUSTRIAL ONLY",IF(MIN(K3308:T3308)=1,"SERVICE READY","HOLD"))</f>
        <v>SOURCE EMPTY / INDUSTRIAL ONLY</v>
      </c>
      <c r="V3308" s="9" t="n">
        <f aca="false">IF(U3308="SERVICE READY",1,0)</f>
        <v>0</v>
      </c>
      <c r="W3308" s="6"/>
      <c r="X3308" s="6"/>
      <c r="Y3308" s="6"/>
      <c r="Z3308" s="6"/>
    </row>
    <row r="3309" customFormat="false" ht="15" hidden="false" customHeight="false" outlineLevel="0" collapsed="false">
      <c r="A3309" s="9" t="s">
        <v>3586</v>
      </c>
      <c r="B3309" s="9" t="s">
        <v>3544</v>
      </c>
      <c r="C3309" s="9" t="s">
        <v>3545</v>
      </c>
      <c r="D3309" s="9" t="s">
        <v>2971</v>
      </c>
      <c r="E3309" s="9" t="s">
        <v>1660</v>
      </c>
      <c r="F3309" s="9" t="s">
        <v>211</v>
      </c>
      <c r="G3309" s="9" t="s">
        <v>221</v>
      </c>
      <c r="H3309" s="9" t="n">
        <v>1870</v>
      </c>
      <c r="I3309" s="29" t="n">
        <v>0.8</v>
      </c>
      <c r="J3309" s="9" t="n">
        <v>1</v>
      </c>
      <c r="K3309" s="30"/>
      <c r="L3309" s="30"/>
      <c r="M3309" s="30"/>
      <c r="N3309" s="30"/>
      <c r="O3309" s="30"/>
      <c r="P3309" s="30"/>
      <c r="Q3309" s="30"/>
      <c r="R3309" s="30"/>
      <c r="S3309" s="30"/>
      <c r="T3309" s="30"/>
      <c r="U3309" s="21" t="str">
        <f aca="false">IF(COUNT(K3309:T3309)=0,"SOURCE EMPTY / INDUSTRIAL ONLY",IF(MIN(K3309:T3309)=1,"SERVICE READY","HOLD"))</f>
        <v>SOURCE EMPTY / INDUSTRIAL ONLY</v>
      </c>
      <c r="V3309" s="9" t="n">
        <f aca="false">IF(U3309="SERVICE READY",1,0)</f>
        <v>0</v>
      </c>
      <c r="W3309" s="6"/>
      <c r="X3309" s="6"/>
      <c r="Y3309" s="6"/>
      <c r="Z3309" s="6"/>
    </row>
    <row r="3310" customFormat="false" ht="15" hidden="false" customHeight="false" outlineLevel="0" collapsed="false">
      <c r="A3310" s="9" t="s">
        <v>3587</v>
      </c>
      <c r="B3310" s="9" t="s">
        <v>3544</v>
      </c>
      <c r="C3310" s="9" t="s">
        <v>3545</v>
      </c>
      <c r="D3310" s="9" t="s">
        <v>2971</v>
      </c>
      <c r="E3310" s="9" t="s">
        <v>1660</v>
      </c>
      <c r="F3310" s="9" t="s">
        <v>197</v>
      </c>
      <c r="G3310" s="9" t="s">
        <v>221</v>
      </c>
      <c r="H3310" s="9" t="n">
        <v>1870</v>
      </c>
      <c r="I3310" s="29" t="n">
        <v>0.8</v>
      </c>
      <c r="J3310" s="9" t="n">
        <v>1</v>
      </c>
      <c r="K3310" s="30"/>
      <c r="L3310" s="30"/>
      <c r="M3310" s="30"/>
      <c r="N3310" s="30"/>
      <c r="O3310" s="30"/>
      <c r="P3310" s="30"/>
      <c r="Q3310" s="30"/>
      <c r="R3310" s="30"/>
      <c r="S3310" s="30"/>
      <c r="T3310" s="30"/>
      <c r="U3310" s="21" t="str">
        <f aca="false">IF(COUNT(K3310:T3310)=0,"SOURCE EMPTY / INDUSTRIAL ONLY",IF(MIN(K3310:T3310)=1,"SERVICE READY","HOLD"))</f>
        <v>SOURCE EMPTY / INDUSTRIAL ONLY</v>
      </c>
      <c r="V3310" s="9" t="n">
        <f aca="false">IF(U3310="SERVICE READY",1,0)</f>
        <v>0</v>
      </c>
      <c r="W3310" s="6"/>
      <c r="X3310" s="6"/>
      <c r="Y3310" s="6"/>
      <c r="Z3310" s="6"/>
    </row>
    <row r="3311" customFormat="false" ht="15" hidden="false" customHeight="false" outlineLevel="0" collapsed="false">
      <c r="A3311" s="9" t="s">
        <v>3588</v>
      </c>
      <c r="B3311" s="9" t="s">
        <v>3544</v>
      </c>
      <c r="C3311" s="9" t="s">
        <v>3545</v>
      </c>
      <c r="D3311" s="9" t="s">
        <v>2971</v>
      </c>
      <c r="E3311" s="9" t="s">
        <v>1660</v>
      </c>
      <c r="F3311" s="9" t="s">
        <v>200</v>
      </c>
      <c r="G3311" s="9" t="s">
        <v>221</v>
      </c>
      <c r="H3311" s="9" t="n">
        <v>1870</v>
      </c>
      <c r="I3311" s="29" t="n">
        <v>0.8</v>
      </c>
      <c r="J3311" s="9" t="n">
        <v>1</v>
      </c>
      <c r="K3311" s="30"/>
      <c r="L3311" s="30"/>
      <c r="M3311" s="30"/>
      <c r="N3311" s="30"/>
      <c r="O3311" s="30"/>
      <c r="P3311" s="30"/>
      <c r="Q3311" s="30"/>
      <c r="R3311" s="30"/>
      <c r="S3311" s="30"/>
      <c r="T3311" s="30"/>
      <c r="U3311" s="21" t="str">
        <f aca="false">IF(COUNT(K3311:T3311)=0,"SOURCE EMPTY / INDUSTRIAL ONLY",IF(MIN(K3311:T3311)=1,"SERVICE READY","HOLD"))</f>
        <v>SOURCE EMPTY / INDUSTRIAL ONLY</v>
      </c>
      <c r="V3311" s="9" t="n">
        <f aca="false">IF(U3311="SERVICE READY",1,0)</f>
        <v>0</v>
      </c>
      <c r="W3311" s="6"/>
      <c r="X3311" s="6"/>
      <c r="Y3311" s="6"/>
      <c r="Z3311" s="6"/>
    </row>
    <row r="3312" customFormat="false" ht="15" hidden="false" customHeight="false" outlineLevel="0" collapsed="false">
      <c r="A3312" s="9" t="s">
        <v>3589</v>
      </c>
      <c r="B3312" s="9" t="s">
        <v>3544</v>
      </c>
      <c r="C3312" s="9" t="s">
        <v>3545</v>
      </c>
      <c r="D3312" s="9" t="s">
        <v>2971</v>
      </c>
      <c r="E3312" s="9" t="s">
        <v>1660</v>
      </c>
      <c r="F3312" s="9" t="s">
        <v>203</v>
      </c>
      <c r="G3312" s="9" t="s">
        <v>221</v>
      </c>
      <c r="H3312" s="9" t="n">
        <v>1870</v>
      </c>
      <c r="I3312" s="29" t="n">
        <v>0.8</v>
      </c>
      <c r="J3312" s="9" t="n">
        <v>1</v>
      </c>
      <c r="K3312" s="30"/>
      <c r="L3312" s="30"/>
      <c r="M3312" s="30"/>
      <c r="N3312" s="30"/>
      <c r="O3312" s="30"/>
      <c r="P3312" s="30"/>
      <c r="Q3312" s="30"/>
      <c r="R3312" s="30"/>
      <c r="S3312" s="30"/>
      <c r="T3312" s="30"/>
      <c r="U3312" s="21" t="str">
        <f aca="false">IF(COUNT(K3312:T3312)=0,"SOURCE EMPTY / INDUSTRIAL ONLY",IF(MIN(K3312:T3312)=1,"SERVICE READY","HOLD"))</f>
        <v>SOURCE EMPTY / INDUSTRIAL ONLY</v>
      </c>
      <c r="V3312" s="9" t="n">
        <f aca="false">IF(U3312="SERVICE READY",1,0)</f>
        <v>0</v>
      </c>
      <c r="W3312" s="6"/>
      <c r="X3312" s="6"/>
      <c r="Y3312" s="6"/>
      <c r="Z3312" s="6"/>
    </row>
    <row r="3313" customFormat="false" ht="15" hidden="false" customHeight="false" outlineLevel="0" collapsed="false">
      <c r="A3313" s="9" t="s">
        <v>3590</v>
      </c>
      <c r="B3313" s="9" t="s">
        <v>3544</v>
      </c>
      <c r="C3313" s="9" t="s">
        <v>3545</v>
      </c>
      <c r="D3313" s="9" t="s">
        <v>2971</v>
      </c>
      <c r="E3313" s="9" t="s">
        <v>1660</v>
      </c>
      <c r="F3313" s="9" t="s">
        <v>205</v>
      </c>
      <c r="G3313" s="9" t="s">
        <v>221</v>
      </c>
      <c r="H3313" s="9" t="n">
        <v>1870</v>
      </c>
      <c r="I3313" s="29" t="n">
        <v>0.8</v>
      </c>
      <c r="J3313" s="9" t="n">
        <v>1</v>
      </c>
      <c r="K3313" s="30"/>
      <c r="L3313" s="30"/>
      <c r="M3313" s="30"/>
      <c r="N3313" s="30"/>
      <c r="O3313" s="30"/>
      <c r="P3313" s="30"/>
      <c r="Q3313" s="30"/>
      <c r="R3313" s="30"/>
      <c r="S3313" s="30"/>
      <c r="T3313" s="30"/>
      <c r="U3313" s="21" t="str">
        <f aca="false">IF(COUNT(K3313:T3313)=0,"SOURCE EMPTY / INDUSTRIAL ONLY",IF(MIN(K3313:T3313)=1,"SERVICE READY","HOLD"))</f>
        <v>SOURCE EMPTY / INDUSTRIAL ONLY</v>
      </c>
      <c r="V3313" s="9" t="n">
        <f aca="false">IF(U3313="SERVICE READY",1,0)</f>
        <v>0</v>
      </c>
      <c r="W3313" s="6"/>
      <c r="X3313" s="6"/>
      <c r="Y3313" s="6"/>
      <c r="Z3313" s="6"/>
    </row>
    <row r="3314" customFormat="false" ht="15" hidden="false" customHeight="false" outlineLevel="0" collapsed="false">
      <c r="A3314" s="9" t="s">
        <v>3591</v>
      </c>
      <c r="B3314" s="9" t="s">
        <v>3544</v>
      </c>
      <c r="C3314" s="9" t="s">
        <v>3545</v>
      </c>
      <c r="D3314" s="9" t="s">
        <v>2971</v>
      </c>
      <c r="E3314" s="9" t="s">
        <v>1660</v>
      </c>
      <c r="F3314" s="9" t="s">
        <v>207</v>
      </c>
      <c r="G3314" s="9" t="s">
        <v>221</v>
      </c>
      <c r="H3314" s="9" t="n">
        <v>1870</v>
      </c>
      <c r="I3314" s="29" t="n">
        <v>0.8</v>
      </c>
      <c r="J3314" s="9" t="n">
        <v>1</v>
      </c>
      <c r="K3314" s="30"/>
      <c r="L3314" s="30"/>
      <c r="M3314" s="30"/>
      <c r="N3314" s="30"/>
      <c r="O3314" s="30"/>
      <c r="P3314" s="30"/>
      <c r="Q3314" s="30"/>
      <c r="R3314" s="30"/>
      <c r="S3314" s="30"/>
      <c r="T3314" s="30"/>
      <c r="U3314" s="21" t="str">
        <f aca="false">IF(COUNT(K3314:T3314)=0,"SOURCE EMPTY / INDUSTRIAL ONLY",IF(MIN(K3314:T3314)=1,"SERVICE READY","HOLD"))</f>
        <v>SOURCE EMPTY / INDUSTRIAL ONLY</v>
      </c>
      <c r="V3314" s="9" t="n">
        <f aca="false">IF(U3314="SERVICE READY",1,0)</f>
        <v>0</v>
      </c>
      <c r="W3314" s="6"/>
      <c r="X3314" s="6"/>
      <c r="Y3314" s="6"/>
      <c r="Z3314" s="6"/>
    </row>
    <row r="3315" customFormat="false" ht="15" hidden="false" customHeight="false" outlineLevel="0" collapsed="false">
      <c r="A3315" s="9" t="s">
        <v>3592</v>
      </c>
      <c r="B3315" s="9" t="s">
        <v>3544</v>
      </c>
      <c r="C3315" s="9" t="s">
        <v>3545</v>
      </c>
      <c r="D3315" s="9" t="s">
        <v>2971</v>
      </c>
      <c r="E3315" s="9" t="s">
        <v>1660</v>
      </c>
      <c r="F3315" s="9" t="s">
        <v>209</v>
      </c>
      <c r="G3315" s="9" t="s">
        <v>221</v>
      </c>
      <c r="H3315" s="9" t="n">
        <v>1870</v>
      </c>
      <c r="I3315" s="29" t="n">
        <v>0.8</v>
      </c>
      <c r="J3315" s="9" t="n">
        <v>1</v>
      </c>
      <c r="K3315" s="30"/>
      <c r="L3315" s="30"/>
      <c r="M3315" s="30"/>
      <c r="N3315" s="30"/>
      <c r="O3315" s="30"/>
      <c r="P3315" s="30"/>
      <c r="Q3315" s="30"/>
      <c r="R3315" s="30"/>
      <c r="S3315" s="30"/>
      <c r="T3315" s="30"/>
      <c r="U3315" s="21" t="str">
        <f aca="false">IF(COUNT(K3315:T3315)=0,"SOURCE EMPTY / INDUSTRIAL ONLY",IF(MIN(K3315:T3315)=1,"SERVICE READY","HOLD"))</f>
        <v>SOURCE EMPTY / INDUSTRIAL ONLY</v>
      </c>
      <c r="V3315" s="9" t="n">
        <f aca="false">IF(U3315="SERVICE READY",1,0)</f>
        <v>0</v>
      </c>
      <c r="W3315" s="6"/>
      <c r="X3315" s="6"/>
      <c r="Y3315" s="6"/>
      <c r="Z3315" s="6"/>
    </row>
    <row r="3316" customFormat="false" ht="15" hidden="false" customHeight="false" outlineLevel="0" collapsed="false">
      <c r="A3316" s="9" t="s">
        <v>3593</v>
      </c>
      <c r="B3316" s="9" t="s">
        <v>3544</v>
      </c>
      <c r="C3316" s="9" t="s">
        <v>3545</v>
      </c>
      <c r="D3316" s="9" t="s">
        <v>2971</v>
      </c>
      <c r="E3316" s="9" t="s">
        <v>1660</v>
      </c>
      <c r="F3316" s="9" t="s">
        <v>211</v>
      </c>
      <c r="G3316" s="9" t="s">
        <v>221</v>
      </c>
      <c r="H3316" s="9" t="n">
        <v>1870</v>
      </c>
      <c r="I3316" s="29" t="n">
        <v>0.8</v>
      </c>
      <c r="J3316" s="9" t="n">
        <v>1</v>
      </c>
      <c r="K3316" s="30"/>
      <c r="L3316" s="30"/>
      <c r="M3316" s="30"/>
      <c r="N3316" s="30"/>
      <c r="O3316" s="30"/>
      <c r="P3316" s="30"/>
      <c r="Q3316" s="30"/>
      <c r="R3316" s="30"/>
      <c r="S3316" s="30"/>
      <c r="T3316" s="30"/>
      <c r="U3316" s="21" t="str">
        <f aca="false">IF(COUNT(K3316:T3316)=0,"SOURCE EMPTY / INDUSTRIAL ONLY",IF(MIN(K3316:T3316)=1,"SERVICE READY","HOLD"))</f>
        <v>SOURCE EMPTY / INDUSTRIAL ONLY</v>
      </c>
      <c r="V3316" s="9" t="n">
        <f aca="false">IF(U3316="SERVICE READY",1,0)</f>
        <v>0</v>
      </c>
      <c r="W3316" s="6"/>
      <c r="X3316" s="6"/>
      <c r="Y3316" s="6"/>
      <c r="Z3316" s="6"/>
    </row>
    <row r="3317" customFormat="false" ht="15" hidden="false" customHeight="false" outlineLevel="0" collapsed="false">
      <c r="A3317" s="9" t="s">
        <v>3594</v>
      </c>
      <c r="B3317" s="9" t="s">
        <v>3544</v>
      </c>
      <c r="C3317" s="9" t="s">
        <v>3545</v>
      </c>
      <c r="D3317" s="9" t="s">
        <v>2971</v>
      </c>
      <c r="E3317" s="9" t="s">
        <v>1660</v>
      </c>
      <c r="F3317" s="9" t="s">
        <v>197</v>
      </c>
      <c r="G3317" s="9" t="s">
        <v>221</v>
      </c>
      <c r="H3317" s="9" t="n">
        <v>1870</v>
      </c>
      <c r="I3317" s="29" t="n">
        <v>0.8</v>
      </c>
      <c r="J3317" s="9" t="n">
        <v>1</v>
      </c>
      <c r="K3317" s="30"/>
      <c r="L3317" s="30"/>
      <c r="M3317" s="30"/>
      <c r="N3317" s="30"/>
      <c r="O3317" s="30"/>
      <c r="P3317" s="30"/>
      <c r="Q3317" s="30"/>
      <c r="R3317" s="30"/>
      <c r="S3317" s="30"/>
      <c r="T3317" s="30"/>
      <c r="U3317" s="21" t="str">
        <f aca="false">IF(COUNT(K3317:T3317)=0,"SOURCE EMPTY / INDUSTRIAL ONLY",IF(MIN(K3317:T3317)=1,"SERVICE READY","HOLD"))</f>
        <v>SOURCE EMPTY / INDUSTRIAL ONLY</v>
      </c>
      <c r="V3317" s="9" t="n">
        <f aca="false">IF(U3317="SERVICE READY",1,0)</f>
        <v>0</v>
      </c>
      <c r="W3317" s="6"/>
      <c r="X3317" s="6"/>
      <c r="Y3317" s="6"/>
      <c r="Z3317" s="6"/>
    </row>
    <row r="3318" customFormat="false" ht="15" hidden="false" customHeight="false" outlineLevel="0" collapsed="false">
      <c r="A3318" s="9" t="s">
        <v>3595</v>
      </c>
      <c r="B3318" s="9" t="s">
        <v>3544</v>
      </c>
      <c r="C3318" s="9" t="s">
        <v>3545</v>
      </c>
      <c r="D3318" s="9" t="s">
        <v>2971</v>
      </c>
      <c r="E3318" s="9" t="s">
        <v>1660</v>
      </c>
      <c r="F3318" s="9" t="s">
        <v>200</v>
      </c>
      <c r="G3318" s="9" t="s">
        <v>221</v>
      </c>
      <c r="H3318" s="9" t="n">
        <v>1870</v>
      </c>
      <c r="I3318" s="29" t="n">
        <v>0.8</v>
      </c>
      <c r="J3318" s="9" t="n">
        <v>1</v>
      </c>
      <c r="K3318" s="30"/>
      <c r="L3318" s="30"/>
      <c r="M3318" s="30"/>
      <c r="N3318" s="30"/>
      <c r="O3318" s="30"/>
      <c r="P3318" s="30"/>
      <c r="Q3318" s="30"/>
      <c r="R3318" s="30"/>
      <c r="S3318" s="30"/>
      <c r="T3318" s="30"/>
      <c r="U3318" s="21" t="str">
        <f aca="false">IF(COUNT(K3318:T3318)=0,"SOURCE EMPTY / INDUSTRIAL ONLY",IF(MIN(K3318:T3318)=1,"SERVICE READY","HOLD"))</f>
        <v>SOURCE EMPTY / INDUSTRIAL ONLY</v>
      </c>
      <c r="V3318" s="9" t="n">
        <f aca="false">IF(U3318="SERVICE READY",1,0)</f>
        <v>0</v>
      </c>
      <c r="W3318" s="6"/>
      <c r="X3318" s="6"/>
      <c r="Y3318" s="6"/>
      <c r="Z3318" s="6"/>
    </row>
    <row r="3319" customFormat="false" ht="15" hidden="false" customHeight="false" outlineLevel="0" collapsed="false">
      <c r="A3319" s="9" t="s">
        <v>3596</v>
      </c>
      <c r="B3319" s="9" t="s">
        <v>3544</v>
      </c>
      <c r="C3319" s="9" t="s">
        <v>3545</v>
      </c>
      <c r="D3319" s="9" t="s">
        <v>2971</v>
      </c>
      <c r="E3319" s="9" t="s">
        <v>1660</v>
      </c>
      <c r="F3319" s="9" t="s">
        <v>203</v>
      </c>
      <c r="G3319" s="9" t="s">
        <v>221</v>
      </c>
      <c r="H3319" s="9" t="n">
        <v>1870</v>
      </c>
      <c r="I3319" s="29" t="n">
        <v>0.8</v>
      </c>
      <c r="J3319" s="9" t="n">
        <v>1</v>
      </c>
      <c r="K3319" s="30"/>
      <c r="L3319" s="30"/>
      <c r="M3319" s="30"/>
      <c r="N3319" s="30"/>
      <c r="O3319" s="30"/>
      <c r="P3319" s="30"/>
      <c r="Q3319" s="30"/>
      <c r="R3319" s="30"/>
      <c r="S3319" s="30"/>
      <c r="T3319" s="30"/>
      <c r="U3319" s="21" t="str">
        <f aca="false">IF(COUNT(K3319:T3319)=0,"SOURCE EMPTY / INDUSTRIAL ONLY",IF(MIN(K3319:T3319)=1,"SERVICE READY","HOLD"))</f>
        <v>SOURCE EMPTY / INDUSTRIAL ONLY</v>
      </c>
      <c r="V3319" s="9" t="n">
        <f aca="false">IF(U3319="SERVICE READY",1,0)</f>
        <v>0</v>
      </c>
      <c r="W3319" s="6"/>
      <c r="X3319" s="6"/>
      <c r="Y3319" s="6"/>
      <c r="Z3319" s="6"/>
    </row>
    <row r="3320" customFormat="false" ht="15" hidden="false" customHeight="false" outlineLevel="0" collapsed="false">
      <c r="A3320" s="9" t="s">
        <v>3597</v>
      </c>
      <c r="B3320" s="9" t="s">
        <v>3544</v>
      </c>
      <c r="C3320" s="9" t="s">
        <v>3545</v>
      </c>
      <c r="D3320" s="9" t="s">
        <v>2971</v>
      </c>
      <c r="E3320" s="9" t="s">
        <v>1660</v>
      </c>
      <c r="F3320" s="9" t="s">
        <v>205</v>
      </c>
      <c r="G3320" s="9" t="s">
        <v>221</v>
      </c>
      <c r="H3320" s="9" t="n">
        <v>1870</v>
      </c>
      <c r="I3320" s="29" t="n">
        <v>0.8</v>
      </c>
      <c r="J3320" s="9" t="n">
        <v>1</v>
      </c>
      <c r="K3320" s="30"/>
      <c r="L3320" s="30"/>
      <c r="M3320" s="30"/>
      <c r="N3320" s="30"/>
      <c r="O3320" s="30"/>
      <c r="P3320" s="30"/>
      <c r="Q3320" s="30"/>
      <c r="R3320" s="30"/>
      <c r="S3320" s="30"/>
      <c r="T3320" s="30"/>
      <c r="U3320" s="21" t="str">
        <f aca="false">IF(COUNT(K3320:T3320)=0,"SOURCE EMPTY / INDUSTRIAL ONLY",IF(MIN(K3320:T3320)=1,"SERVICE READY","HOLD"))</f>
        <v>SOURCE EMPTY / INDUSTRIAL ONLY</v>
      </c>
      <c r="V3320" s="9" t="n">
        <f aca="false">IF(U3320="SERVICE READY",1,0)</f>
        <v>0</v>
      </c>
      <c r="W3320" s="6"/>
      <c r="X3320" s="6"/>
      <c r="Y3320" s="6"/>
      <c r="Z3320" s="6"/>
    </row>
    <row r="3321" customFormat="false" ht="15" hidden="false" customHeight="false" outlineLevel="0" collapsed="false">
      <c r="A3321" s="9" t="s">
        <v>3598</v>
      </c>
      <c r="B3321" s="9" t="s">
        <v>3544</v>
      </c>
      <c r="C3321" s="9" t="s">
        <v>3545</v>
      </c>
      <c r="D3321" s="9" t="s">
        <v>2971</v>
      </c>
      <c r="E3321" s="9" t="s">
        <v>1660</v>
      </c>
      <c r="F3321" s="9" t="s">
        <v>207</v>
      </c>
      <c r="G3321" s="9" t="s">
        <v>221</v>
      </c>
      <c r="H3321" s="9" t="n">
        <v>1870</v>
      </c>
      <c r="I3321" s="29" t="n">
        <v>0.8</v>
      </c>
      <c r="J3321" s="9" t="n">
        <v>1</v>
      </c>
      <c r="K3321" s="30"/>
      <c r="L3321" s="30"/>
      <c r="M3321" s="30"/>
      <c r="N3321" s="30"/>
      <c r="O3321" s="30"/>
      <c r="P3321" s="30"/>
      <c r="Q3321" s="30"/>
      <c r="R3321" s="30"/>
      <c r="S3321" s="30"/>
      <c r="T3321" s="30"/>
      <c r="U3321" s="21" t="str">
        <f aca="false">IF(COUNT(K3321:T3321)=0,"SOURCE EMPTY / INDUSTRIAL ONLY",IF(MIN(K3321:T3321)=1,"SERVICE READY","HOLD"))</f>
        <v>SOURCE EMPTY / INDUSTRIAL ONLY</v>
      </c>
      <c r="V3321" s="9" t="n">
        <f aca="false">IF(U3321="SERVICE READY",1,0)</f>
        <v>0</v>
      </c>
      <c r="W3321" s="6"/>
      <c r="X3321" s="6"/>
      <c r="Y3321" s="6"/>
      <c r="Z3321" s="6"/>
    </row>
    <row r="3322" customFormat="false" ht="15" hidden="false" customHeight="false" outlineLevel="0" collapsed="false">
      <c r="A3322" s="9" t="s">
        <v>3599</v>
      </c>
      <c r="B3322" s="9" t="s">
        <v>3544</v>
      </c>
      <c r="C3322" s="9" t="s">
        <v>3545</v>
      </c>
      <c r="D3322" s="9" t="s">
        <v>2971</v>
      </c>
      <c r="E3322" s="9" t="s">
        <v>1660</v>
      </c>
      <c r="F3322" s="9" t="s">
        <v>209</v>
      </c>
      <c r="G3322" s="9" t="s">
        <v>221</v>
      </c>
      <c r="H3322" s="9" t="n">
        <v>1870</v>
      </c>
      <c r="I3322" s="29" t="n">
        <v>0.8</v>
      </c>
      <c r="J3322" s="9" t="n">
        <v>1</v>
      </c>
      <c r="K3322" s="30"/>
      <c r="L3322" s="30"/>
      <c r="M3322" s="30"/>
      <c r="N3322" s="30"/>
      <c r="O3322" s="30"/>
      <c r="P3322" s="30"/>
      <c r="Q3322" s="30"/>
      <c r="R3322" s="30"/>
      <c r="S3322" s="30"/>
      <c r="T3322" s="30"/>
      <c r="U3322" s="21" t="str">
        <f aca="false">IF(COUNT(K3322:T3322)=0,"SOURCE EMPTY / INDUSTRIAL ONLY",IF(MIN(K3322:T3322)=1,"SERVICE READY","HOLD"))</f>
        <v>SOURCE EMPTY / INDUSTRIAL ONLY</v>
      </c>
      <c r="V3322" s="9" t="n">
        <f aca="false">IF(U3322="SERVICE READY",1,0)</f>
        <v>0</v>
      </c>
      <c r="W3322" s="6"/>
      <c r="X3322" s="6"/>
      <c r="Y3322" s="6"/>
      <c r="Z3322" s="6"/>
    </row>
    <row r="3323" customFormat="false" ht="15" hidden="false" customHeight="false" outlineLevel="0" collapsed="false">
      <c r="A3323" s="9" t="s">
        <v>3600</v>
      </c>
      <c r="B3323" s="9" t="s">
        <v>3544</v>
      </c>
      <c r="C3323" s="9" t="s">
        <v>3545</v>
      </c>
      <c r="D3323" s="9" t="s">
        <v>2971</v>
      </c>
      <c r="E3323" s="9" t="s">
        <v>1660</v>
      </c>
      <c r="F3323" s="9" t="s">
        <v>211</v>
      </c>
      <c r="G3323" s="9" t="s">
        <v>221</v>
      </c>
      <c r="H3323" s="9" t="n">
        <v>1870</v>
      </c>
      <c r="I3323" s="29" t="n">
        <v>0.8</v>
      </c>
      <c r="J3323" s="9" t="n">
        <v>1</v>
      </c>
      <c r="K3323" s="30"/>
      <c r="L3323" s="30"/>
      <c r="M3323" s="30"/>
      <c r="N3323" s="30"/>
      <c r="O3323" s="30"/>
      <c r="P3323" s="30"/>
      <c r="Q3323" s="30"/>
      <c r="R3323" s="30"/>
      <c r="S3323" s="30"/>
      <c r="T3323" s="30"/>
      <c r="U3323" s="21" t="str">
        <f aca="false">IF(COUNT(K3323:T3323)=0,"SOURCE EMPTY / INDUSTRIAL ONLY",IF(MIN(K3323:T3323)=1,"SERVICE READY","HOLD"))</f>
        <v>SOURCE EMPTY / INDUSTRIAL ONLY</v>
      </c>
      <c r="V3323" s="9" t="n">
        <f aca="false">IF(U3323="SERVICE READY",1,0)</f>
        <v>0</v>
      </c>
      <c r="W3323" s="6"/>
      <c r="X3323" s="6"/>
      <c r="Y3323" s="6"/>
      <c r="Z3323" s="6"/>
    </row>
    <row r="3324" customFormat="false" ht="15" hidden="false" customHeight="false" outlineLevel="0" collapsed="false">
      <c r="A3324" s="9" t="s">
        <v>3601</v>
      </c>
      <c r="B3324" s="9" t="s">
        <v>3544</v>
      </c>
      <c r="C3324" s="9" t="s">
        <v>3545</v>
      </c>
      <c r="D3324" s="9" t="s">
        <v>2971</v>
      </c>
      <c r="E3324" s="9" t="s">
        <v>1660</v>
      </c>
      <c r="F3324" s="9" t="s">
        <v>197</v>
      </c>
      <c r="G3324" s="9" t="s">
        <v>221</v>
      </c>
      <c r="H3324" s="9" t="n">
        <v>1870</v>
      </c>
      <c r="I3324" s="29" t="n">
        <v>0.8</v>
      </c>
      <c r="J3324" s="9" t="n">
        <v>1</v>
      </c>
      <c r="K3324" s="30"/>
      <c r="L3324" s="30"/>
      <c r="M3324" s="30"/>
      <c r="N3324" s="30"/>
      <c r="O3324" s="30"/>
      <c r="P3324" s="30"/>
      <c r="Q3324" s="30"/>
      <c r="R3324" s="30"/>
      <c r="S3324" s="30"/>
      <c r="T3324" s="30"/>
      <c r="U3324" s="21" t="str">
        <f aca="false">IF(COUNT(K3324:T3324)=0,"SOURCE EMPTY / INDUSTRIAL ONLY",IF(MIN(K3324:T3324)=1,"SERVICE READY","HOLD"))</f>
        <v>SOURCE EMPTY / INDUSTRIAL ONLY</v>
      </c>
      <c r="V3324" s="9" t="n">
        <f aca="false">IF(U3324="SERVICE READY",1,0)</f>
        <v>0</v>
      </c>
      <c r="W3324" s="6"/>
      <c r="X3324" s="6"/>
      <c r="Y3324" s="6"/>
      <c r="Z3324" s="6"/>
    </row>
    <row r="3325" customFormat="false" ht="15" hidden="false" customHeight="false" outlineLevel="0" collapsed="false">
      <c r="A3325" s="9" t="s">
        <v>3602</v>
      </c>
      <c r="B3325" s="9" t="s">
        <v>3544</v>
      </c>
      <c r="C3325" s="9" t="s">
        <v>3545</v>
      </c>
      <c r="D3325" s="9" t="s">
        <v>2971</v>
      </c>
      <c r="E3325" s="9" t="s">
        <v>1660</v>
      </c>
      <c r="F3325" s="9" t="s">
        <v>200</v>
      </c>
      <c r="G3325" s="9" t="s">
        <v>221</v>
      </c>
      <c r="H3325" s="9" t="n">
        <v>1870</v>
      </c>
      <c r="I3325" s="29" t="n">
        <v>0.8</v>
      </c>
      <c r="J3325" s="9" t="n">
        <v>1</v>
      </c>
      <c r="K3325" s="30"/>
      <c r="L3325" s="30"/>
      <c r="M3325" s="30"/>
      <c r="N3325" s="30"/>
      <c r="O3325" s="30"/>
      <c r="P3325" s="30"/>
      <c r="Q3325" s="30"/>
      <c r="R3325" s="30"/>
      <c r="S3325" s="30"/>
      <c r="T3325" s="30"/>
      <c r="U3325" s="21" t="str">
        <f aca="false">IF(COUNT(K3325:T3325)=0,"SOURCE EMPTY / INDUSTRIAL ONLY",IF(MIN(K3325:T3325)=1,"SERVICE READY","HOLD"))</f>
        <v>SOURCE EMPTY / INDUSTRIAL ONLY</v>
      </c>
      <c r="V3325" s="9" t="n">
        <f aca="false">IF(U3325="SERVICE READY",1,0)</f>
        <v>0</v>
      </c>
      <c r="W3325" s="6"/>
      <c r="X3325" s="6"/>
      <c r="Y3325" s="6"/>
      <c r="Z3325" s="6"/>
    </row>
    <row r="3326" customFormat="false" ht="15" hidden="false" customHeight="false" outlineLevel="0" collapsed="false">
      <c r="A3326" s="9" t="s">
        <v>3603</v>
      </c>
      <c r="B3326" s="9" t="s">
        <v>3544</v>
      </c>
      <c r="C3326" s="9" t="s">
        <v>3545</v>
      </c>
      <c r="D3326" s="9" t="s">
        <v>2971</v>
      </c>
      <c r="E3326" s="9" t="s">
        <v>1660</v>
      </c>
      <c r="F3326" s="9" t="s">
        <v>203</v>
      </c>
      <c r="G3326" s="9" t="s">
        <v>221</v>
      </c>
      <c r="H3326" s="9" t="n">
        <v>1870</v>
      </c>
      <c r="I3326" s="29" t="n">
        <v>0.8</v>
      </c>
      <c r="J3326" s="9" t="n">
        <v>1</v>
      </c>
      <c r="K3326" s="30"/>
      <c r="L3326" s="30"/>
      <c r="M3326" s="30"/>
      <c r="N3326" s="30"/>
      <c r="O3326" s="30"/>
      <c r="P3326" s="30"/>
      <c r="Q3326" s="30"/>
      <c r="R3326" s="30"/>
      <c r="S3326" s="30"/>
      <c r="T3326" s="30"/>
      <c r="U3326" s="21" t="str">
        <f aca="false">IF(COUNT(K3326:T3326)=0,"SOURCE EMPTY / INDUSTRIAL ONLY",IF(MIN(K3326:T3326)=1,"SERVICE READY","HOLD"))</f>
        <v>SOURCE EMPTY / INDUSTRIAL ONLY</v>
      </c>
      <c r="V3326" s="9" t="n">
        <f aca="false">IF(U3326="SERVICE READY",1,0)</f>
        <v>0</v>
      </c>
      <c r="W3326" s="6"/>
      <c r="X3326" s="6"/>
      <c r="Y3326" s="6"/>
      <c r="Z3326" s="6"/>
    </row>
    <row r="3327" customFormat="false" ht="15" hidden="false" customHeight="false" outlineLevel="0" collapsed="false">
      <c r="A3327" s="9" t="s">
        <v>3604</v>
      </c>
      <c r="B3327" s="9" t="s">
        <v>3544</v>
      </c>
      <c r="C3327" s="9" t="s">
        <v>3545</v>
      </c>
      <c r="D3327" s="9" t="s">
        <v>2971</v>
      </c>
      <c r="E3327" s="9" t="s">
        <v>1660</v>
      </c>
      <c r="F3327" s="9" t="s">
        <v>205</v>
      </c>
      <c r="G3327" s="9" t="s">
        <v>221</v>
      </c>
      <c r="H3327" s="9" t="n">
        <v>1870</v>
      </c>
      <c r="I3327" s="29" t="n">
        <v>0.8</v>
      </c>
      <c r="J3327" s="9" t="n">
        <v>1</v>
      </c>
      <c r="K3327" s="30"/>
      <c r="L3327" s="30"/>
      <c r="M3327" s="30"/>
      <c r="N3327" s="30"/>
      <c r="O3327" s="30"/>
      <c r="P3327" s="30"/>
      <c r="Q3327" s="30"/>
      <c r="R3327" s="30"/>
      <c r="S3327" s="30"/>
      <c r="T3327" s="30"/>
      <c r="U3327" s="21" t="str">
        <f aca="false">IF(COUNT(K3327:T3327)=0,"SOURCE EMPTY / INDUSTRIAL ONLY",IF(MIN(K3327:T3327)=1,"SERVICE READY","HOLD"))</f>
        <v>SOURCE EMPTY / INDUSTRIAL ONLY</v>
      </c>
      <c r="V3327" s="9" t="n">
        <f aca="false">IF(U3327="SERVICE READY",1,0)</f>
        <v>0</v>
      </c>
      <c r="W3327" s="6"/>
      <c r="X3327" s="6"/>
      <c r="Y3327" s="6"/>
      <c r="Z3327" s="6"/>
    </row>
    <row r="3328" customFormat="false" ht="15" hidden="false" customHeight="false" outlineLevel="0" collapsed="false">
      <c r="A3328" s="9" t="s">
        <v>3605</v>
      </c>
      <c r="B3328" s="9" t="s">
        <v>3544</v>
      </c>
      <c r="C3328" s="9" t="s">
        <v>3545</v>
      </c>
      <c r="D3328" s="9" t="s">
        <v>2971</v>
      </c>
      <c r="E3328" s="9" t="s">
        <v>1660</v>
      </c>
      <c r="F3328" s="9" t="s">
        <v>207</v>
      </c>
      <c r="G3328" s="9" t="s">
        <v>221</v>
      </c>
      <c r="H3328" s="9" t="n">
        <v>1870</v>
      </c>
      <c r="I3328" s="29" t="n">
        <v>0.8</v>
      </c>
      <c r="J3328" s="9" t="n">
        <v>1</v>
      </c>
      <c r="K3328" s="30"/>
      <c r="L3328" s="30"/>
      <c r="M3328" s="30"/>
      <c r="N3328" s="30"/>
      <c r="O3328" s="30"/>
      <c r="P3328" s="30"/>
      <c r="Q3328" s="30"/>
      <c r="R3328" s="30"/>
      <c r="S3328" s="30"/>
      <c r="T3328" s="30"/>
      <c r="U3328" s="21" t="str">
        <f aca="false">IF(COUNT(K3328:T3328)=0,"SOURCE EMPTY / INDUSTRIAL ONLY",IF(MIN(K3328:T3328)=1,"SERVICE READY","HOLD"))</f>
        <v>SOURCE EMPTY / INDUSTRIAL ONLY</v>
      </c>
      <c r="V3328" s="9" t="n">
        <f aca="false">IF(U3328="SERVICE READY",1,0)</f>
        <v>0</v>
      </c>
      <c r="W3328" s="6"/>
      <c r="X3328" s="6"/>
      <c r="Y3328" s="6"/>
      <c r="Z3328" s="6"/>
    </row>
    <row r="3329" customFormat="false" ht="15" hidden="false" customHeight="false" outlineLevel="0" collapsed="false">
      <c r="A3329" s="9" t="s">
        <v>3606</v>
      </c>
      <c r="B3329" s="9" t="s">
        <v>3544</v>
      </c>
      <c r="C3329" s="9" t="s">
        <v>3545</v>
      </c>
      <c r="D3329" s="9" t="s">
        <v>2971</v>
      </c>
      <c r="E3329" s="9" t="s">
        <v>1660</v>
      </c>
      <c r="F3329" s="9" t="s">
        <v>209</v>
      </c>
      <c r="G3329" s="9" t="s">
        <v>221</v>
      </c>
      <c r="H3329" s="9" t="n">
        <v>1870</v>
      </c>
      <c r="I3329" s="29" t="n">
        <v>0.8</v>
      </c>
      <c r="J3329" s="9" t="n">
        <v>1</v>
      </c>
      <c r="K3329" s="30"/>
      <c r="L3329" s="30"/>
      <c r="M3329" s="30"/>
      <c r="N3329" s="30"/>
      <c r="O3329" s="30"/>
      <c r="P3329" s="30"/>
      <c r="Q3329" s="30"/>
      <c r="R3329" s="30"/>
      <c r="S3329" s="30"/>
      <c r="T3329" s="30"/>
      <c r="U3329" s="21" t="str">
        <f aca="false">IF(COUNT(K3329:T3329)=0,"SOURCE EMPTY / INDUSTRIAL ONLY",IF(MIN(K3329:T3329)=1,"SERVICE READY","HOLD"))</f>
        <v>SOURCE EMPTY / INDUSTRIAL ONLY</v>
      </c>
      <c r="V3329" s="9" t="n">
        <f aca="false">IF(U3329="SERVICE READY",1,0)</f>
        <v>0</v>
      </c>
      <c r="W3329" s="6"/>
      <c r="X3329" s="6"/>
      <c r="Y3329" s="6"/>
      <c r="Z3329" s="6"/>
    </row>
    <row r="3330" customFormat="false" ht="15" hidden="false" customHeight="false" outlineLevel="0" collapsed="false">
      <c r="A3330" s="9" t="s">
        <v>3607</v>
      </c>
      <c r="B3330" s="9" t="s">
        <v>3544</v>
      </c>
      <c r="C3330" s="9" t="s">
        <v>3545</v>
      </c>
      <c r="D3330" s="9" t="s">
        <v>2971</v>
      </c>
      <c r="E3330" s="9" t="s">
        <v>1660</v>
      </c>
      <c r="F3330" s="9" t="s">
        <v>211</v>
      </c>
      <c r="G3330" s="9" t="s">
        <v>221</v>
      </c>
      <c r="H3330" s="9" t="n">
        <v>1870</v>
      </c>
      <c r="I3330" s="29" t="n">
        <v>0.8</v>
      </c>
      <c r="J3330" s="9" t="n">
        <v>1</v>
      </c>
      <c r="K3330" s="30"/>
      <c r="L3330" s="30"/>
      <c r="M3330" s="30"/>
      <c r="N3330" s="30"/>
      <c r="O3330" s="30"/>
      <c r="P3330" s="30"/>
      <c r="Q3330" s="30"/>
      <c r="R3330" s="30"/>
      <c r="S3330" s="30"/>
      <c r="T3330" s="30"/>
      <c r="U3330" s="21" t="str">
        <f aca="false">IF(COUNT(K3330:T3330)=0,"SOURCE EMPTY / INDUSTRIAL ONLY",IF(MIN(K3330:T3330)=1,"SERVICE READY","HOLD"))</f>
        <v>SOURCE EMPTY / INDUSTRIAL ONLY</v>
      </c>
      <c r="V3330" s="9" t="n">
        <f aca="false">IF(U3330="SERVICE READY",1,0)</f>
        <v>0</v>
      </c>
      <c r="W3330" s="6"/>
      <c r="X3330" s="6"/>
      <c r="Y3330" s="6"/>
      <c r="Z3330" s="6"/>
    </row>
    <row r="3331" customFormat="false" ht="15" hidden="false" customHeight="false" outlineLevel="0" collapsed="false">
      <c r="A3331" s="9" t="s">
        <v>3608</v>
      </c>
      <c r="B3331" s="9" t="s">
        <v>3544</v>
      </c>
      <c r="C3331" s="9" t="s">
        <v>3545</v>
      </c>
      <c r="D3331" s="9" t="s">
        <v>2971</v>
      </c>
      <c r="E3331" s="9" t="s">
        <v>1660</v>
      </c>
      <c r="F3331" s="9" t="s">
        <v>197</v>
      </c>
      <c r="G3331" s="9" t="s">
        <v>221</v>
      </c>
      <c r="H3331" s="9" t="n">
        <v>1870</v>
      </c>
      <c r="I3331" s="29" t="n">
        <v>0.8</v>
      </c>
      <c r="J3331" s="9" t="n">
        <v>1</v>
      </c>
      <c r="K3331" s="30"/>
      <c r="L3331" s="30"/>
      <c r="M3331" s="30"/>
      <c r="N3331" s="30"/>
      <c r="O3331" s="30"/>
      <c r="P3331" s="30"/>
      <c r="Q3331" s="30"/>
      <c r="R3331" s="30"/>
      <c r="S3331" s="30"/>
      <c r="T3331" s="30"/>
      <c r="U3331" s="21" t="str">
        <f aca="false">IF(COUNT(K3331:T3331)=0,"SOURCE EMPTY / INDUSTRIAL ONLY",IF(MIN(K3331:T3331)=1,"SERVICE READY","HOLD"))</f>
        <v>SOURCE EMPTY / INDUSTRIAL ONLY</v>
      </c>
      <c r="V3331" s="9" t="n">
        <f aca="false">IF(U3331="SERVICE READY",1,0)</f>
        <v>0</v>
      </c>
      <c r="W3331" s="6"/>
      <c r="X3331" s="6"/>
      <c r="Y3331" s="6"/>
      <c r="Z3331" s="6"/>
    </row>
    <row r="3332" customFormat="false" ht="15" hidden="false" customHeight="false" outlineLevel="0" collapsed="false">
      <c r="A3332" s="9" t="s">
        <v>3609</v>
      </c>
      <c r="B3332" s="9" t="s">
        <v>3544</v>
      </c>
      <c r="C3332" s="9" t="s">
        <v>3545</v>
      </c>
      <c r="D3332" s="9" t="s">
        <v>2971</v>
      </c>
      <c r="E3332" s="9" t="s">
        <v>1660</v>
      </c>
      <c r="F3332" s="9" t="s">
        <v>200</v>
      </c>
      <c r="G3332" s="9" t="s">
        <v>221</v>
      </c>
      <c r="H3332" s="9" t="n">
        <v>1870</v>
      </c>
      <c r="I3332" s="29" t="n">
        <v>0.8</v>
      </c>
      <c r="J3332" s="9" t="n">
        <v>1</v>
      </c>
      <c r="K3332" s="30"/>
      <c r="L3332" s="30"/>
      <c r="M3332" s="30"/>
      <c r="N3332" s="30"/>
      <c r="O3332" s="30"/>
      <c r="P3332" s="30"/>
      <c r="Q3332" s="30"/>
      <c r="R3332" s="30"/>
      <c r="S3332" s="30"/>
      <c r="T3332" s="30"/>
      <c r="U3332" s="21" t="str">
        <f aca="false">IF(COUNT(K3332:T3332)=0,"SOURCE EMPTY / INDUSTRIAL ONLY",IF(MIN(K3332:T3332)=1,"SERVICE READY","HOLD"))</f>
        <v>SOURCE EMPTY / INDUSTRIAL ONLY</v>
      </c>
      <c r="V3332" s="9" t="n">
        <f aca="false">IF(U3332="SERVICE READY",1,0)</f>
        <v>0</v>
      </c>
      <c r="W3332" s="6"/>
      <c r="X3332" s="6"/>
      <c r="Y3332" s="6"/>
      <c r="Z3332" s="6"/>
    </row>
    <row r="3333" customFormat="false" ht="15" hidden="false" customHeight="false" outlineLevel="0" collapsed="false">
      <c r="A3333" s="9" t="s">
        <v>3610</v>
      </c>
      <c r="B3333" s="9" t="s">
        <v>3544</v>
      </c>
      <c r="C3333" s="9" t="s">
        <v>3545</v>
      </c>
      <c r="D3333" s="9" t="s">
        <v>2971</v>
      </c>
      <c r="E3333" s="9" t="s">
        <v>1660</v>
      </c>
      <c r="F3333" s="9" t="s">
        <v>203</v>
      </c>
      <c r="G3333" s="9" t="s">
        <v>221</v>
      </c>
      <c r="H3333" s="9" t="n">
        <v>1870</v>
      </c>
      <c r="I3333" s="29" t="n">
        <v>0.8</v>
      </c>
      <c r="J3333" s="9" t="n">
        <v>1</v>
      </c>
      <c r="K3333" s="30"/>
      <c r="L3333" s="30"/>
      <c r="M3333" s="30"/>
      <c r="N3333" s="30"/>
      <c r="O3333" s="30"/>
      <c r="P3333" s="30"/>
      <c r="Q3333" s="30"/>
      <c r="R3333" s="30"/>
      <c r="S3333" s="30"/>
      <c r="T3333" s="30"/>
      <c r="U3333" s="21" t="str">
        <f aca="false">IF(COUNT(K3333:T3333)=0,"SOURCE EMPTY / INDUSTRIAL ONLY",IF(MIN(K3333:T3333)=1,"SERVICE READY","HOLD"))</f>
        <v>SOURCE EMPTY / INDUSTRIAL ONLY</v>
      </c>
      <c r="V3333" s="9" t="n">
        <f aca="false">IF(U3333="SERVICE READY",1,0)</f>
        <v>0</v>
      </c>
      <c r="W3333" s="6"/>
      <c r="X3333" s="6"/>
      <c r="Y3333" s="6"/>
      <c r="Z3333" s="6"/>
    </row>
    <row r="3334" customFormat="false" ht="15" hidden="false" customHeight="false" outlineLevel="0" collapsed="false">
      <c r="A3334" s="9" t="s">
        <v>3611</v>
      </c>
      <c r="B3334" s="9" t="s">
        <v>3544</v>
      </c>
      <c r="C3334" s="9" t="s">
        <v>3545</v>
      </c>
      <c r="D3334" s="9" t="s">
        <v>2971</v>
      </c>
      <c r="E3334" s="9" t="s">
        <v>1660</v>
      </c>
      <c r="F3334" s="9" t="s">
        <v>205</v>
      </c>
      <c r="G3334" s="9" t="s">
        <v>221</v>
      </c>
      <c r="H3334" s="9" t="n">
        <v>1870</v>
      </c>
      <c r="I3334" s="29" t="n">
        <v>0.8</v>
      </c>
      <c r="J3334" s="9" t="n">
        <v>1</v>
      </c>
      <c r="K3334" s="30"/>
      <c r="L3334" s="30"/>
      <c r="M3334" s="30"/>
      <c r="N3334" s="30"/>
      <c r="O3334" s="30"/>
      <c r="P3334" s="30"/>
      <c r="Q3334" s="30"/>
      <c r="R3334" s="30"/>
      <c r="S3334" s="30"/>
      <c r="T3334" s="30"/>
      <c r="U3334" s="21" t="str">
        <f aca="false">IF(COUNT(K3334:T3334)=0,"SOURCE EMPTY / INDUSTRIAL ONLY",IF(MIN(K3334:T3334)=1,"SERVICE READY","HOLD"))</f>
        <v>SOURCE EMPTY / INDUSTRIAL ONLY</v>
      </c>
      <c r="V3334" s="9" t="n">
        <f aca="false">IF(U3334="SERVICE READY",1,0)</f>
        <v>0</v>
      </c>
      <c r="W3334" s="6"/>
      <c r="X3334" s="6"/>
      <c r="Y3334" s="6"/>
      <c r="Z3334" s="6"/>
    </row>
    <row r="3335" customFormat="false" ht="15" hidden="false" customHeight="false" outlineLevel="0" collapsed="false">
      <c r="A3335" s="9" t="s">
        <v>3612</v>
      </c>
      <c r="B3335" s="9" t="s">
        <v>3544</v>
      </c>
      <c r="C3335" s="9" t="s">
        <v>3545</v>
      </c>
      <c r="D3335" s="9" t="s">
        <v>2971</v>
      </c>
      <c r="E3335" s="9" t="s">
        <v>1660</v>
      </c>
      <c r="F3335" s="9" t="s">
        <v>207</v>
      </c>
      <c r="G3335" s="9" t="s">
        <v>221</v>
      </c>
      <c r="H3335" s="9" t="n">
        <v>1870</v>
      </c>
      <c r="I3335" s="29" t="n">
        <v>0.8</v>
      </c>
      <c r="J3335" s="9" t="n">
        <v>1</v>
      </c>
      <c r="K3335" s="30"/>
      <c r="L3335" s="30"/>
      <c r="M3335" s="30"/>
      <c r="N3335" s="30"/>
      <c r="O3335" s="30"/>
      <c r="P3335" s="30"/>
      <c r="Q3335" s="30"/>
      <c r="R3335" s="30"/>
      <c r="S3335" s="30"/>
      <c r="T3335" s="30"/>
      <c r="U3335" s="21" t="str">
        <f aca="false">IF(COUNT(K3335:T3335)=0,"SOURCE EMPTY / INDUSTRIAL ONLY",IF(MIN(K3335:T3335)=1,"SERVICE READY","HOLD"))</f>
        <v>SOURCE EMPTY / INDUSTRIAL ONLY</v>
      </c>
      <c r="V3335" s="9" t="n">
        <f aca="false">IF(U3335="SERVICE READY",1,0)</f>
        <v>0</v>
      </c>
      <c r="W3335" s="6"/>
      <c r="X3335" s="6"/>
      <c r="Y3335" s="6"/>
      <c r="Z3335" s="6"/>
    </row>
    <row r="3336" customFormat="false" ht="15" hidden="false" customHeight="false" outlineLevel="0" collapsed="false">
      <c r="A3336" s="9" t="s">
        <v>3613</v>
      </c>
      <c r="B3336" s="9" t="s">
        <v>3544</v>
      </c>
      <c r="C3336" s="9" t="s">
        <v>3545</v>
      </c>
      <c r="D3336" s="9" t="s">
        <v>2971</v>
      </c>
      <c r="E3336" s="9" t="s">
        <v>1660</v>
      </c>
      <c r="F3336" s="9" t="s">
        <v>209</v>
      </c>
      <c r="G3336" s="9" t="s">
        <v>221</v>
      </c>
      <c r="H3336" s="9" t="n">
        <v>1870</v>
      </c>
      <c r="I3336" s="29" t="n">
        <v>0.8</v>
      </c>
      <c r="J3336" s="9" t="n">
        <v>1</v>
      </c>
      <c r="K3336" s="30"/>
      <c r="L3336" s="30"/>
      <c r="M3336" s="30"/>
      <c r="N3336" s="30"/>
      <c r="O3336" s="30"/>
      <c r="P3336" s="30"/>
      <c r="Q3336" s="30"/>
      <c r="R3336" s="30"/>
      <c r="S3336" s="30"/>
      <c r="T3336" s="30"/>
      <c r="U3336" s="21" t="str">
        <f aca="false">IF(COUNT(K3336:T3336)=0,"SOURCE EMPTY / INDUSTRIAL ONLY",IF(MIN(K3336:T3336)=1,"SERVICE READY","HOLD"))</f>
        <v>SOURCE EMPTY / INDUSTRIAL ONLY</v>
      </c>
      <c r="V3336" s="9" t="n">
        <f aca="false">IF(U3336="SERVICE READY",1,0)</f>
        <v>0</v>
      </c>
      <c r="W3336" s="6"/>
      <c r="X3336" s="6"/>
      <c r="Y3336" s="6"/>
      <c r="Z3336" s="6"/>
    </row>
    <row r="3337" customFormat="false" ht="15" hidden="false" customHeight="false" outlineLevel="0" collapsed="false">
      <c r="A3337" s="9" t="s">
        <v>3614</v>
      </c>
      <c r="B3337" s="9" t="s">
        <v>3544</v>
      </c>
      <c r="C3337" s="9" t="s">
        <v>3545</v>
      </c>
      <c r="D3337" s="9" t="s">
        <v>2971</v>
      </c>
      <c r="E3337" s="9" t="s">
        <v>1660</v>
      </c>
      <c r="F3337" s="9" t="s">
        <v>211</v>
      </c>
      <c r="G3337" s="9" t="s">
        <v>221</v>
      </c>
      <c r="H3337" s="9" t="n">
        <v>1870</v>
      </c>
      <c r="I3337" s="29" t="n">
        <v>0.8</v>
      </c>
      <c r="J3337" s="9" t="n">
        <v>1</v>
      </c>
      <c r="K3337" s="30"/>
      <c r="L3337" s="30"/>
      <c r="M3337" s="30"/>
      <c r="N3337" s="30"/>
      <c r="O3337" s="30"/>
      <c r="P3337" s="30"/>
      <c r="Q3337" s="30"/>
      <c r="R3337" s="30"/>
      <c r="S3337" s="30"/>
      <c r="T3337" s="30"/>
      <c r="U3337" s="21" t="str">
        <f aca="false">IF(COUNT(K3337:T3337)=0,"SOURCE EMPTY / INDUSTRIAL ONLY",IF(MIN(K3337:T3337)=1,"SERVICE READY","HOLD"))</f>
        <v>SOURCE EMPTY / INDUSTRIAL ONLY</v>
      </c>
      <c r="V3337" s="9" t="n">
        <f aca="false">IF(U3337="SERVICE READY",1,0)</f>
        <v>0</v>
      </c>
      <c r="W3337" s="6"/>
      <c r="X3337" s="6"/>
      <c r="Y3337" s="6"/>
      <c r="Z3337" s="6"/>
    </row>
    <row r="3338" customFormat="false" ht="15" hidden="false" customHeight="false" outlineLevel="0" collapsed="false">
      <c r="A3338" s="9" t="s">
        <v>3615</v>
      </c>
      <c r="B3338" s="9" t="s">
        <v>3544</v>
      </c>
      <c r="C3338" s="9" t="s">
        <v>3545</v>
      </c>
      <c r="D3338" s="9" t="s">
        <v>2971</v>
      </c>
      <c r="E3338" s="9" t="s">
        <v>1660</v>
      </c>
      <c r="F3338" s="9" t="s">
        <v>197</v>
      </c>
      <c r="G3338" s="9" t="s">
        <v>221</v>
      </c>
      <c r="H3338" s="9" t="n">
        <v>1870</v>
      </c>
      <c r="I3338" s="29" t="n">
        <v>0.8</v>
      </c>
      <c r="J3338" s="9" t="n">
        <v>1</v>
      </c>
      <c r="K3338" s="30"/>
      <c r="L3338" s="30"/>
      <c r="M3338" s="30"/>
      <c r="N3338" s="30"/>
      <c r="O3338" s="30"/>
      <c r="P3338" s="30"/>
      <c r="Q3338" s="30"/>
      <c r="R3338" s="30"/>
      <c r="S3338" s="30"/>
      <c r="T3338" s="30"/>
      <c r="U3338" s="21" t="str">
        <f aca="false">IF(COUNT(K3338:T3338)=0,"SOURCE EMPTY / INDUSTRIAL ONLY",IF(MIN(K3338:T3338)=1,"SERVICE READY","HOLD"))</f>
        <v>SOURCE EMPTY / INDUSTRIAL ONLY</v>
      </c>
      <c r="V3338" s="9" t="n">
        <f aca="false">IF(U3338="SERVICE READY",1,0)</f>
        <v>0</v>
      </c>
      <c r="W3338" s="6"/>
      <c r="X3338" s="6"/>
      <c r="Y3338" s="6"/>
      <c r="Z3338" s="6"/>
    </row>
    <row r="3339" customFormat="false" ht="15" hidden="false" customHeight="false" outlineLevel="0" collapsed="false">
      <c r="A3339" s="9" t="s">
        <v>3616</v>
      </c>
      <c r="B3339" s="9" t="s">
        <v>3544</v>
      </c>
      <c r="C3339" s="9" t="s">
        <v>3545</v>
      </c>
      <c r="D3339" s="9" t="s">
        <v>2971</v>
      </c>
      <c r="E3339" s="9" t="s">
        <v>1660</v>
      </c>
      <c r="F3339" s="9" t="s">
        <v>200</v>
      </c>
      <c r="G3339" s="9" t="s">
        <v>221</v>
      </c>
      <c r="H3339" s="9" t="n">
        <v>1870</v>
      </c>
      <c r="I3339" s="29" t="n">
        <v>0.8</v>
      </c>
      <c r="J3339" s="9" t="n">
        <v>1</v>
      </c>
      <c r="K3339" s="30"/>
      <c r="L3339" s="30"/>
      <c r="M3339" s="30"/>
      <c r="N3339" s="30"/>
      <c r="O3339" s="30"/>
      <c r="P3339" s="30"/>
      <c r="Q3339" s="30"/>
      <c r="R3339" s="30"/>
      <c r="S3339" s="30"/>
      <c r="T3339" s="30"/>
      <c r="U3339" s="21" t="str">
        <f aca="false">IF(COUNT(K3339:T3339)=0,"SOURCE EMPTY / INDUSTRIAL ONLY",IF(MIN(K3339:T3339)=1,"SERVICE READY","HOLD"))</f>
        <v>SOURCE EMPTY / INDUSTRIAL ONLY</v>
      </c>
      <c r="V3339" s="9" t="n">
        <f aca="false">IF(U3339="SERVICE READY",1,0)</f>
        <v>0</v>
      </c>
      <c r="W3339" s="6"/>
      <c r="X3339" s="6"/>
      <c r="Y3339" s="6"/>
      <c r="Z3339" s="6"/>
    </row>
    <row r="3340" customFormat="false" ht="15" hidden="false" customHeight="false" outlineLevel="0" collapsed="false">
      <c r="A3340" s="9" t="s">
        <v>3617</v>
      </c>
      <c r="B3340" s="9" t="s">
        <v>3544</v>
      </c>
      <c r="C3340" s="9" t="s">
        <v>3545</v>
      </c>
      <c r="D3340" s="9" t="s">
        <v>2971</v>
      </c>
      <c r="E3340" s="9" t="s">
        <v>1660</v>
      </c>
      <c r="F3340" s="9" t="s">
        <v>203</v>
      </c>
      <c r="G3340" s="9" t="s">
        <v>221</v>
      </c>
      <c r="H3340" s="9" t="n">
        <v>1870</v>
      </c>
      <c r="I3340" s="29" t="n">
        <v>0.8</v>
      </c>
      <c r="J3340" s="9" t="n">
        <v>1</v>
      </c>
      <c r="K3340" s="30"/>
      <c r="L3340" s="30"/>
      <c r="M3340" s="30"/>
      <c r="N3340" s="30"/>
      <c r="O3340" s="30"/>
      <c r="P3340" s="30"/>
      <c r="Q3340" s="30"/>
      <c r="R3340" s="30"/>
      <c r="S3340" s="30"/>
      <c r="T3340" s="30"/>
      <c r="U3340" s="21" t="str">
        <f aca="false">IF(COUNT(K3340:T3340)=0,"SOURCE EMPTY / INDUSTRIAL ONLY",IF(MIN(K3340:T3340)=1,"SERVICE READY","HOLD"))</f>
        <v>SOURCE EMPTY / INDUSTRIAL ONLY</v>
      </c>
      <c r="V3340" s="9" t="n">
        <f aca="false">IF(U3340="SERVICE READY",1,0)</f>
        <v>0</v>
      </c>
      <c r="W3340" s="6"/>
      <c r="X3340" s="6"/>
      <c r="Y3340" s="6"/>
      <c r="Z3340" s="6"/>
    </row>
    <row r="3341" customFormat="false" ht="15" hidden="false" customHeight="false" outlineLevel="0" collapsed="false">
      <c r="A3341" s="9" t="s">
        <v>3618</v>
      </c>
      <c r="B3341" s="9" t="s">
        <v>3544</v>
      </c>
      <c r="C3341" s="9" t="s">
        <v>3545</v>
      </c>
      <c r="D3341" s="9" t="s">
        <v>2971</v>
      </c>
      <c r="E3341" s="9" t="s">
        <v>1660</v>
      </c>
      <c r="F3341" s="9" t="s">
        <v>205</v>
      </c>
      <c r="G3341" s="9" t="s">
        <v>221</v>
      </c>
      <c r="H3341" s="9" t="n">
        <v>1870</v>
      </c>
      <c r="I3341" s="29" t="n">
        <v>0.8</v>
      </c>
      <c r="J3341" s="9" t="n">
        <v>1</v>
      </c>
      <c r="K3341" s="30"/>
      <c r="L3341" s="30"/>
      <c r="M3341" s="30"/>
      <c r="N3341" s="30"/>
      <c r="O3341" s="30"/>
      <c r="P3341" s="30"/>
      <c r="Q3341" s="30"/>
      <c r="R3341" s="30"/>
      <c r="S3341" s="30"/>
      <c r="T3341" s="30"/>
      <c r="U3341" s="21" t="str">
        <f aca="false">IF(COUNT(K3341:T3341)=0,"SOURCE EMPTY / INDUSTRIAL ONLY",IF(MIN(K3341:T3341)=1,"SERVICE READY","HOLD"))</f>
        <v>SOURCE EMPTY / INDUSTRIAL ONLY</v>
      </c>
      <c r="V3341" s="9" t="n">
        <f aca="false">IF(U3341="SERVICE READY",1,0)</f>
        <v>0</v>
      </c>
      <c r="W3341" s="6"/>
      <c r="X3341" s="6"/>
      <c r="Y3341" s="6"/>
      <c r="Z3341" s="6"/>
    </row>
    <row r="3342" customFormat="false" ht="15" hidden="false" customHeight="false" outlineLevel="0" collapsed="false">
      <c r="A3342" s="9" t="s">
        <v>3619</v>
      </c>
      <c r="B3342" s="9" t="s">
        <v>3544</v>
      </c>
      <c r="C3342" s="9" t="s">
        <v>3545</v>
      </c>
      <c r="D3342" s="9" t="s">
        <v>2971</v>
      </c>
      <c r="E3342" s="9" t="s">
        <v>1660</v>
      </c>
      <c r="F3342" s="9" t="s">
        <v>207</v>
      </c>
      <c r="G3342" s="9" t="s">
        <v>221</v>
      </c>
      <c r="H3342" s="9" t="n">
        <v>1870</v>
      </c>
      <c r="I3342" s="29" t="n">
        <v>0.8</v>
      </c>
      <c r="J3342" s="9" t="n">
        <v>1</v>
      </c>
      <c r="K3342" s="30"/>
      <c r="L3342" s="30"/>
      <c r="M3342" s="30"/>
      <c r="N3342" s="30"/>
      <c r="O3342" s="30"/>
      <c r="P3342" s="30"/>
      <c r="Q3342" s="30"/>
      <c r="R3342" s="30"/>
      <c r="S3342" s="30"/>
      <c r="T3342" s="30"/>
      <c r="U3342" s="21" t="str">
        <f aca="false">IF(COUNT(K3342:T3342)=0,"SOURCE EMPTY / INDUSTRIAL ONLY",IF(MIN(K3342:T3342)=1,"SERVICE READY","HOLD"))</f>
        <v>SOURCE EMPTY / INDUSTRIAL ONLY</v>
      </c>
      <c r="V3342" s="9" t="n">
        <f aca="false">IF(U3342="SERVICE READY",1,0)</f>
        <v>0</v>
      </c>
      <c r="W3342" s="6"/>
      <c r="X3342" s="6"/>
      <c r="Y3342" s="6"/>
      <c r="Z3342" s="6"/>
    </row>
    <row r="3343" customFormat="false" ht="15" hidden="false" customHeight="false" outlineLevel="0" collapsed="false">
      <c r="A3343" s="9" t="s">
        <v>3620</v>
      </c>
      <c r="B3343" s="9" t="s">
        <v>3544</v>
      </c>
      <c r="C3343" s="9" t="s">
        <v>3545</v>
      </c>
      <c r="D3343" s="9" t="s">
        <v>2971</v>
      </c>
      <c r="E3343" s="9" t="s">
        <v>1660</v>
      </c>
      <c r="F3343" s="9" t="s">
        <v>209</v>
      </c>
      <c r="G3343" s="9" t="s">
        <v>221</v>
      </c>
      <c r="H3343" s="9" t="n">
        <v>1870</v>
      </c>
      <c r="I3343" s="29" t="n">
        <v>0.8</v>
      </c>
      <c r="J3343" s="9" t="n">
        <v>1</v>
      </c>
      <c r="K3343" s="30"/>
      <c r="L3343" s="30"/>
      <c r="M3343" s="30"/>
      <c r="N3343" s="30"/>
      <c r="O3343" s="30"/>
      <c r="P3343" s="30"/>
      <c r="Q3343" s="30"/>
      <c r="R3343" s="30"/>
      <c r="S3343" s="30"/>
      <c r="T3343" s="30"/>
      <c r="U3343" s="21" t="str">
        <f aca="false">IF(COUNT(K3343:T3343)=0,"SOURCE EMPTY / INDUSTRIAL ONLY",IF(MIN(K3343:T3343)=1,"SERVICE READY","HOLD"))</f>
        <v>SOURCE EMPTY / INDUSTRIAL ONLY</v>
      </c>
      <c r="V3343" s="9" t="n">
        <f aca="false">IF(U3343="SERVICE READY",1,0)</f>
        <v>0</v>
      </c>
      <c r="W3343" s="6"/>
      <c r="X3343" s="6"/>
      <c r="Y3343" s="6"/>
      <c r="Z3343" s="6"/>
    </row>
    <row r="3344" customFormat="false" ht="15" hidden="false" customHeight="false" outlineLevel="0" collapsed="false">
      <c r="A3344" s="9" t="s">
        <v>3621</v>
      </c>
      <c r="B3344" s="9" t="s">
        <v>3544</v>
      </c>
      <c r="C3344" s="9" t="s">
        <v>3545</v>
      </c>
      <c r="D3344" s="9" t="s">
        <v>2971</v>
      </c>
      <c r="E3344" s="9" t="s">
        <v>1660</v>
      </c>
      <c r="F3344" s="9" t="s">
        <v>211</v>
      </c>
      <c r="G3344" s="9" t="s">
        <v>221</v>
      </c>
      <c r="H3344" s="9" t="n">
        <v>1870</v>
      </c>
      <c r="I3344" s="29" t="n">
        <v>0.8</v>
      </c>
      <c r="J3344" s="9" t="n">
        <v>1</v>
      </c>
      <c r="K3344" s="30"/>
      <c r="L3344" s="30"/>
      <c r="M3344" s="30"/>
      <c r="N3344" s="30"/>
      <c r="O3344" s="30"/>
      <c r="P3344" s="30"/>
      <c r="Q3344" s="30"/>
      <c r="R3344" s="30"/>
      <c r="S3344" s="30"/>
      <c r="T3344" s="30"/>
      <c r="U3344" s="21" t="str">
        <f aca="false">IF(COUNT(K3344:T3344)=0,"SOURCE EMPTY / INDUSTRIAL ONLY",IF(MIN(K3344:T3344)=1,"SERVICE READY","HOLD"))</f>
        <v>SOURCE EMPTY / INDUSTRIAL ONLY</v>
      </c>
      <c r="V3344" s="9" t="n">
        <f aca="false">IF(U3344="SERVICE READY",1,0)</f>
        <v>0</v>
      </c>
      <c r="W3344" s="6"/>
      <c r="X3344" s="6"/>
      <c r="Y3344" s="6"/>
      <c r="Z3344" s="6"/>
    </row>
    <row r="3345" customFormat="false" ht="15" hidden="false" customHeight="false" outlineLevel="0" collapsed="false">
      <c r="A3345" s="9" t="s">
        <v>3622</v>
      </c>
      <c r="B3345" s="9" t="s">
        <v>3544</v>
      </c>
      <c r="C3345" s="9" t="s">
        <v>3545</v>
      </c>
      <c r="D3345" s="9" t="s">
        <v>2971</v>
      </c>
      <c r="E3345" s="9" t="s">
        <v>1660</v>
      </c>
      <c r="F3345" s="9" t="s">
        <v>197</v>
      </c>
      <c r="G3345" s="9" t="s">
        <v>221</v>
      </c>
      <c r="H3345" s="9" t="n">
        <v>1870</v>
      </c>
      <c r="I3345" s="29" t="n">
        <v>0.8</v>
      </c>
      <c r="J3345" s="9" t="n">
        <v>1</v>
      </c>
      <c r="K3345" s="30"/>
      <c r="L3345" s="30"/>
      <c r="M3345" s="30"/>
      <c r="N3345" s="30"/>
      <c r="O3345" s="30"/>
      <c r="P3345" s="30"/>
      <c r="Q3345" s="30"/>
      <c r="R3345" s="30"/>
      <c r="S3345" s="30"/>
      <c r="T3345" s="30"/>
      <c r="U3345" s="21" t="str">
        <f aca="false">IF(COUNT(K3345:T3345)=0,"SOURCE EMPTY / INDUSTRIAL ONLY",IF(MIN(K3345:T3345)=1,"SERVICE READY","HOLD"))</f>
        <v>SOURCE EMPTY / INDUSTRIAL ONLY</v>
      </c>
      <c r="V3345" s="9" t="n">
        <f aca="false">IF(U3345="SERVICE READY",1,0)</f>
        <v>0</v>
      </c>
      <c r="W3345" s="6"/>
      <c r="X3345" s="6"/>
      <c r="Y3345" s="6"/>
      <c r="Z3345" s="6"/>
    </row>
    <row r="3346" customFormat="false" ht="15" hidden="false" customHeight="false" outlineLevel="0" collapsed="false">
      <c r="A3346" s="9" t="s">
        <v>3623</v>
      </c>
      <c r="B3346" s="9" t="s">
        <v>3544</v>
      </c>
      <c r="C3346" s="9" t="s">
        <v>3545</v>
      </c>
      <c r="D3346" s="9" t="s">
        <v>2971</v>
      </c>
      <c r="E3346" s="9" t="s">
        <v>1660</v>
      </c>
      <c r="F3346" s="9" t="s">
        <v>200</v>
      </c>
      <c r="G3346" s="9" t="s">
        <v>221</v>
      </c>
      <c r="H3346" s="9" t="n">
        <v>1870</v>
      </c>
      <c r="I3346" s="29" t="n">
        <v>0.8</v>
      </c>
      <c r="J3346" s="9" t="n">
        <v>1</v>
      </c>
      <c r="K3346" s="30"/>
      <c r="L3346" s="30"/>
      <c r="M3346" s="30"/>
      <c r="N3346" s="30"/>
      <c r="O3346" s="30"/>
      <c r="P3346" s="30"/>
      <c r="Q3346" s="30"/>
      <c r="R3346" s="30"/>
      <c r="S3346" s="30"/>
      <c r="T3346" s="30"/>
      <c r="U3346" s="21" t="str">
        <f aca="false">IF(COUNT(K3346:T3346)=0,"SOURCE EMPTY / INDUSTRIAL ONLY",IF(MIN(K3346:T3346)=1,"SERVICE READY","HOLD"))</f>
        <v>SOURCE EMPTY / INDUSTRIAL ONLY</v>
      </c>
      <c r="V3346" s="9" t="n">
        <f aca="false">IF(U3346="SERVICE READY",1,0)</f>
        <v>0</v>
      </c>
      <c r="W3346" s="6"/>
      <c r="X3346" s="6"/>
      <c r="Y3346" s="6"/>
      <c r="Z3346" s="6"/>
    </row>
    <row r="3347" customFormat="false" ht="15" hidden="false" customHeight="false" outlineLevel="0" collapsed="false">
      <c r="A3347" s="9" t="s">
        <v>3624</v>
      </c>
      <c r="B3347" s="9" t="s">
        <v>3544</v>
      </c>
      <c r="C3347" s="9" t="s">
        <v>3545</v>
      </c>
      <c r="D3347" s="9" t="s">
        <v>2971</v>
      </c>
      <c r="E3347" s="9" t="s">
        <v>1660</v>
      </c>
      <c r="F3347" s="9" t="s">
        <v>203</v>
      </c>
      <c r="G3347" s="9" t="s">
        <v>221</v>
      </c>
      <c r="H3347" s="9" t="n">
        <v>1870</v>
      </c>
      <c r="I3347" s="29" t="n">
        <v>0.8</v>
      </c>
      <c r="J3347" s="9" t="n">
        <v>1</v>
      </c>
      <c r="K3347" s="30"/>
      <c r="L3347" s="30"/>
      <c r="M3347" s="30"/>
      <c r="N3347" s="30"/>
      <c r="O3347" s="30"/>
      <c r="P3347" s="30"/>
      <c r="Q3347" s="30"/>
      <c r="R3347" s="30"/>
      <c r="S3347" s="30"/>
      <c r="T3347" s="30"/>
      <c r="U3347" s="21" t="str">
        <f aca="false">IF(COUNT(K3347:T3347)=0,"SOURCE EMPTY / INDUSTRIAL ONLY",IF(MIN(K3347:T3347)=1,"SERVICE READY","HOLD"))</f>
        <v>SOURCE EMPTY / INDUSTRIAL ONLY</v>
      </c>
      <c r="V3347" s="9" t="n">
        <f aca="false">IF(U3347="SERVICE READY",1,0)</f>
        <v>0</v>
      </c>
      <c r="W3347" s="6"/>
      <c r="X3347" s="6"/>
      <c r="Y3347" s="6"/>
      <c r="Z3347" s="6"/>
    </row>
    <row r="3348" customFormat="false" ht="15" hidden="false" customHeight="false" outlineLevel="0" collapsed="false">
      <c r="A3348" s="9" t="s">
        <v>3625</v>
      </c>
      <c r="B3348" s="9" t="s">
        <v>3544</v>
      </c>
      <c r="C3348" s="9" t="s">
        <v>3545</v>
      </c>
      <c r="D3348" s="9" t="s">
        <v>2971</v>
      </c>
      <c r="E3348" s="9" t="s">
        <v>1660</v>
      </c>
      <c r="F3348" s="9" t="s">
        <v>205</v>
      </c>
      <c r="G3348" s="9" t="s">
        <v>221</v>
      </c>
      <c r="H3348" s="9" t="n">
        <v>1870</v>
      </c>
      <c r="I3348" s="29" t="n">
        <v>0.8</v>
      </c>
      <c r="J3348" s="9" t="n">
        <v>1</v>
      </c>
      <c r="K3348" s="30"/>
      <c r="L3348" s="30"/>
      <c r="M3348" s="30"/>
      <c r="N3348" s="30"/>
      <c r="O3348" s="30"/>
      <c r="P3348" s="30"/>
      <c r="Q3348" s="30"/>
      <c r="R3348" s="30"/>
      <c r="S3348" s="30"/>
      <c r="T3348" s="30"/>
      <c r="U3348" s="21" t="str">
        <f aca="false">IF(COUNT(K3348:T3348)=0,"SOURCE EMPTY / INDUSTRIAL ONLY",IF(MIN(K3348:T3348)=1,"SERVICE READY","HOLD"))</f>
        <v>SOURCE EMPTY / INDUSTRIAL ONLY</v>
      </c>
      <c r="V3348" s="9" t="n">
        <f aca="false">IF(U3348="SERVICE READY",1,0)</f>
        <v>0</v>
      </c>
      <c r="W3348" s="6"/>
      <c r="X3348" s="6"/>
      <c r="Y3348" s="6"/>
      <c r="Z3348" s="6"/>
    </row>
    <row r="3349" customFormat="false" ht="15" hidden="false" customHeight="false" outlineLevel="0" collapsed="false">
      <c r="A3349" s="9" t="s">
        <v>3626</v>
      </c>
      <c r="B3349" s="9" t="s">
        <v>3544</v>
      </c>
      <c r="C3349" s="9" t="s">
        <v>3545</v>
      </c>
      <c r="D3349" s="9" t="s">
        <v>2971</v>
      </c>
      <c r="E3349" s="9" t="s">
        <v>1660</v>
      </c>
      <c r="F3349" s="9" t="s">
        <v>207</v>
      </c>
      <c r="G3349" s="9" t="s">
        <v>221</v>
      </c>
      <c r="H3349" s="9" t="n">
        <v>1870</v>
      </c>
      <c r="I3349" s="29" t="n">
        <v>0.8</v>
      </c>
      <c r="J3349" s="9" t="n">
        <v>1</v>
      </c>
      <c r="K3349" s="30"/>
      <c r="L3349" s="30"/>
      <c r="M3349" s="30"/>
      <c r="N3349" s="30"/>
      <c r="O3349" s="30"/>
      <c r="P3349" s="30"/>
      <c r="Q3349" s="30"/>
      <c r="R3349" s="30"/>
      <c r="S3349" s="30"/>
      <c r="T3349" s="30"/>
      <c r="U3349" s="21" t="str">
        <f aca="false">IF(COUNT(K3349:T3349)=0,"SOURCE EMPTY / INDUSTRIAL ONLY",IF(MIN(K3349:T3349)=1,"SERVICE READY","HOLD"))</f>
        <v>SOURCE EMPTY / INDUSTRIAL ONLY</v>
      </c>
      <c r="V3349" s="9" t="n">
        <f aca="false">IF(U3349="SERVICE READY",1,0)</f>
        <v>0</v>
      </c>
      <c r="W3349" s="6"/>
      <c r="X3349" s="6"/>
      <c r="Y3349" s="6"/>
      <c r="Z3349" s="6"/>
    </row>
    <row r="3350" customFormat="false" ht="15" hidden="false" customHeight="false" outlineLevel="0" collapsed="false">
      <c r="A3350" s="9" t="s">
        <v>3627</v>
      </c>
      <c r="B3350" s="9" t="s">
        <v>3544</v>
      </c>
      <c r="C3350" s="9" t="s">
        <v>3545</v>
      </c>
      <c r="D3350" s="9" t="s">
        <v>2971</v>
      </c>
      <c r="E3350" s="9" t="s">
        <v>1660</v>
      </c>
      <c r="F3350" s="9" t="s">
        <v>209</v>
      </c>
      <c r="G3350" s="9" t="s">
        <v>221</v>
      </c>
      <c r="H3350" s="9" t="n">
        <v>1870</v>
      </c>
      <c r="I3350" s="29" t="n">
        <v>0.8</v>
      </c>
      <c r="J3350" s="9" t="n">
        <v>1</v>
      </c>
      <c r="K3350" s="30"/>
      <c r="L3350" s="30"/>
      <c r="M3350" s="30"/>
      <c r="N3350" s="30"/>
      <c r="O3350" s="30"/>
      <c r="P3350" s="30"/>
      <c r="Q3350" s="30"/>
      <c r="R3350" s="30"/>
      <c r="S3350" s="30"/>
      <c r="T3350" s="30"/>
      <c r="U3350" s="21" t="str">
        <f aca="false">IF(COUNT(K3350:T3350)=0,"SOURCE EMPTY / INDUSTRIAL ONLY",IF(MIN(K3350:T3350)=1,"SERVICE READY","HOLD"))</f>
        <v>SOURCE EMPTY / INDUSTRIAL ONLY</v>
      </c>
      <c r="V3350" s="9" t="n">
        <f aca="false">IF(U3350="SERVICE READY",1,0)</f>
        <v>0</v>
      </c>
      <c r="W3350" s="6"/>
      <c r="X3350" s="6"/>
      <c r="Y3350" s="6"/>
      <c r="Z3350" s="6"/>
    </row>
    <row r="3351" customFormat="false" ht="15" hidden="false" customHeight="false" outlineLevel="0" collapsed="false">
      <c r="A3351" s="9" t="s">
        <v>3628</v>
      </c>
      <c r="B3351" s="9" t="s">
        <v>3544</v>
      </c>
      <c r="C3351" s="9" t="s">
        <v>3545</v>
      </c>
      <c r="D3351" s="9" t="s">
        <v>2971</v>
      </c>
      <c r="E3351" s="9" t="s">
        <v>1660</v>
      </c>
      <c r="F3351" s="9" t="s">
        <v>211</v>
      </c>
      <c r="G3351" s="9" t="s">
        <v>221</v>
      </c>
      <c r="H3351" s="9" t="n">
        <v>1870</v>
      </c>
      <c r="I3351" s="29" t="n">
        <v>0.8</v>
      </c>
      <c r="J3351" s="9" t="n">
        <v>1</v>
      </c>
      <c r="K3351" s="30"/>
      <c r="L3351" s="30"/>
      <c r="M3351" s="30"/>
      <c r="N3351" s="30"/>
      <c r="O3351" s="30"/>
      <c r="P3351" s="30"/>
      <c r="Q3351" s="30"/>
      <c r="R3351" s="30"/>
      <c r="S3351" s="30"/>
      <c r="T3351" s="30"/>
      <c r="U3351" s="21" t="str">
        <f aca="false">IF(COUNT(K3351:T3351)=0,"SOURCE EMPTY / INDUSTRIAL ONLY",IF(MIN(K3351:T3351)=1,"SERVICE READY","HOLD"))</f>
        <v>SOURCE EMPTY / INDUSTRIAL ONLY</v>
      </c>
      <c r="V3351" s="9" t="n">
        <f aca="false">IF(U3351="SERVICE READY",1,0)</f>
        <v>0</v>
      </c>
      <c r="W3351" s="6"/>
      <c r="X3351" s="6"/>
      <c r="Y3351" s="6"/>
      <c r="Z3351" s="6"/>
    </row>
    <row r="3352" customFormat="false" ht="15" hidden="false" customHeight="false" outlineLevel="0" collapsed="false">
      <c r="A3352" s="9" t="s">
        <v>3629</v>
      </c>
      <c r="B3352" s="9" t="s">
        <v>3544</v>
      </c>
      <c r="C3352" s="9" t="s">
        <v>3545</v>
      </c>
      <c r="D3352" s="9" t="s">
        <v>2971</v>
      </c>
      <c r="E3352" s="9" t="s">
        <v>1660</v>
      </c>
      <c r="F3352" s="9" t="s">
        <v>197</v>
      </c>
      <c r="G3352" s="9" t="s">
        <v>221</v>
      </c>
      <c r="H3352" s="9" t="n">
        <v>1870</v>
      </c>
      <c r="I3352" s="29" t="n">
        <v>0.8</v>
      </c>
      <c r="J3352" s="9" t="n">
        <v>1</v>
      </c>
      <c r="K3352" s="30"/>
      <c r="L3352" s="30"/>
      <c r="M3352" s="30"/>
      <c r="N3352" s="30"/>
      <c r="O3352" s="30"/>
      <c r="P3352" s="30"/>
      <c r="Q3352" s="30"/>
      <c r="R3352" s="30"/>
      <c r="S3352" s="30"/>
      <c r="T3352" s="30"/>
      <c r="U3352" s="21" t="str">
        <f aca="false">IF(COUNT(K3352:T3352)=0,"SOURCE EMPTY / INDUSTRIAL ONLY",IF(MIN(K3352:T3352)=1,"SERVICE READY","HOLD"))</f>
        <v>SOURCE EMPTY / INDUSTRIAL ONLY</v>
      </c>
      <c r="V3352" s="9" t="n">
        <f aca="false">IF(U3352="SERVICE READY",1,0)</f>
        <v>0</v>
      </c>
      <c r="W3352" s="6"/>
      <c r="X3352" s="6"/>
      <c r="Y3352" s="6"/>
      <c r="Z3352" s="6"/>
    </row>
    <row r="3353" customFormat="false" ht="15" hidden="false" customHeight="false" outlineLevel="0" collapsed="false">
      <c r="A3353" s="9" t="s">
        <v>3630</v>
      </c>
      <c r="B3353" s="9" t="s">
        <v>3544</v>
      </c>
      <c r="C3353" s="9" t="s">
        <v>3545</v>
      </c>
      <c r="D3353" s="9" t="s">
        <v>2971</v>
      </c>
      <c r="E3353" s="9" t="s">
        <v>1660</v>
      </c>
      <c r="F3353" s="9" t="s">
        <v>200</v>
      </c>
      <c r="G3353" s="9" t="s">
        <v>221</v>
      </c>
      <c r="H3353" s="9" t="n">
        <v>1870</v>
      </c>
      <c r="I3353" s="29" t="n">
        <v>0.8</v>
      </c>
      <c r="J3353" s="9" t="n">
        <v>1</v>
      </c>
      <c r="K3353" s="30"/>
      <c r="L3353" s="30"/>
      <c r="M3353" s="30"/>
      <c r="N3353" s="30"/>
      <c r="O3353" s="30"/>
      <c r="P3353" s="30"/>
      <c r="Q3353" s="30"/>
      <c r="R3353" s="30"/>
      <c r="S3353" s="30"/>
      <c r="T3353" s="30"/>
      <c r="U3353" s="21" t="str">
        <f aca="false">IF(COUNT(K3353:T3353)=0,"SOURCE EMPTY / INDUSTRIAL ONLY",IF(MIN(K3353:T3353)=1,"SERVICE READY","HOLD"))</f>
        <v>SOURCE EMPTY / INDUSTRIAL ONLY</v>
      </c>
      <c r="V3353" s="9" t="n">
        <f aca="false">IF(U3353="SERVICE READY",1,0)</f>
        <v>0</v>
      </c>
      <c r="W3353" s="6"/>
      <c r="X3353" s="6"/>
      <c r="Y3353" s="6"/>
      <c r="Z3353" s="6"/>
    </row>
    <row r="3354" customFormat="false" ht="15" hidden="false" customHeight="false" outlineLevel="0" collapsed="false">
      <c r="A3354" s="9" t="s">
        <v>3631</v>
      </c>
      <c r="B3354" s="9" t="s">
        <v>3544</v>
      </c>
      <c r="C3354" s="9" t="s">
        <v>3545</v>
      </c>
      <c r="D3354" s="9" t="s">
        <v>2971</v>
      </c>
      <c r="E3354" s="9" t="s">
        <v>1660</v>
      </c>
      <c r="F3354" s="9" t="s">
        <v>203</v>
      </c>
      <c r="G3354" s="9" t="s">
        <v>221</v>
      </c>
      <c r="H3354" s="9" t="n">
        <v>1870</v>
      </c>
      <c r="I3354" s="29" t="n">
        <v>0.8</v>
      </c>
      <c r="J3354" s="9" t="n">
        <v>1</v>
      </c>
      <c r="K3354" s="30"/>
      <c r="L3354" s="30"/>
      <c r="M3354" s="30"/>
      <c r="N3354" s="30"/>
      <c r="O3354" s="30"/>
      <c r="P3354" s="30"/>
      <c r="Q3354" s="30"/>
      <c r="R3354" s="30"/>
      <c r="S3354" s="30"/>
      <c r="T3354" s="30"/>
      <c r="U3354" s="21" t="str">
        <f aca="false">IF(COUNT(K3354:T3354)=0,"SOURCE EMPTY / INDUSTRIAL ONLY",IF(MIN(K3354:T3354)=1,"SERVICE READY","HOLD"))</f>
        <v>SOURCE EMPTY / INDUSTRIAL ONLY</v>
      </c>
      <c r="V3354" s="9" t="n">
        <f aca="false">IF(U3354="SERVICE READY",1,0)</f>
        <v>0</v>
      </c>
      <c r="W3354" s="6"/>
      <c r="X3354" s="6"/>
      <c r="Y3354" s="6"/>
      <c r="Z3354" s="6"/>
    </row>
    <row r="3355" customFormat="false" ht="15" hidden="false" customHeight="false" outlineLevel="0" collapsed="false">
      <c r="A3355" s="9" t="s">
        <v>3632</v>
      </c>
      <c r="B3355" s="9" t="s">
        <v>3544</v>
      </c>
      <c r="C3355" s="9" t="s">
        <v>3545</v>
      </c>
      <c r="D3355" s="9" t="s">
        <v>2971</v>
      </c>
      <c r="E3355" s="9" t="s">
        <v>1660</v>
      </c>
      <c r="F3355" s="9" t="s">
        <v>205</v>
      </c>
      <c r="G3355" s="9" t="s">
        <v>221</v>
      </c>
      <c r="H3355" s="9" t="n">
        <v>1870</v>
      </c>
      <c r="I3355" s="29" t="n">
        <v>0.8</v>
      </c>
      <c r="J3355" s="9" t="n">
        <v>1</v>
      </c>
      <c r="K3355" s="30"/>
      <c r="L3355" s="30"/>
      <c r="M3355" s="30"/>
      <c r="N3355" s="30"/>
      <c r="O3355" s="30"/>
      <c r="P3355" s="30"/>
      <c r="Q3355" s="30"/>
      <c r="R3355" s="30"/>
      <c r="S3355" s="30"/>
      <c r="T3355" s="30"/>
      <c r="U3355" s="21" t="str">
        <f aca="false">IF(COUNT(K3355:T3355)=0,"SOURCE EMPTY / INDUSTRIAL ONLY",IF(MIN(K3355:T3355)=1,"SERVICE READY","HOLD"))</f>
        <v>SOURCE EMPTY / INDUSTRIAL ONLY</v>
      </c>
      <c r="V3355" s="9" t="n">
        <f aca="false">IF(U3355="SERVICE READY",1,0)</f>
        <v>0</v>
      </c>
      <c r="W3355" s="6"/>
      <c r="X3355" s="6"/>
      <c r="Y3355" s="6"/>
      <c r="Z3355" s="6"/>
    </row>
    <row r="3356" customFormat="false" ht="15" hidden="false" customHeight="false" outlineLevel="0" collapsed="false">
      <c r="A3356" s="9" t="s">
        <v>3633</v>
      </c>
      <c r="B3356" s="9" t="s">
        <v>3544</v>
      </c>
      <c r="C3356" s="9" t="s">
        <v>3545</v>
      </c>
      <c r="D3356" s="9" t="s">
        <v>2971</v>
      </c>
      <c r="E3356" s="9" t="s">
        <v>1660</v>
      </c>
      <c r="F3356" s="9" t="s">
        <v>207</v>
      </c>
      <c r="G3356" s="9" t="s">
        <v>221</v>
      </c>
      <c r="H3356" s="9" t="n">
        <v>1870</v>
      </c>
      <c r="I3356" s="29" t="n">
        <v>0.8</v>
      </c>
      <c r="J3356" s="9" t="n">
        <v>1</v>
      </c>
      <c r="K3356" s="30"/>
      <c r="L3356" s="30"/>
      <c r="M3356" s="30"/>
      <c r="N3356" s="30"/>
      <c r="O3356" s="30"/>
      <c r="P3356" s="30"/>
      <c r="Q3356" s="30"/>
      <c r="R3356" s="30"/>
      <c r="S3356" s="30"/>
      <c r="T3356" s="30"/>
      <c r="U3356" s="21" t="str">
        <f aca="false">IF(COUNT(K3356:T3356)=0,"SOURCE EMPTY / INDUSTRIAL ONLY",IF(MIN(K3356:T3356)=1,"SERVICE READY","HOLD"))</f>
        <v>SOURCE EMPTY / INDUSTRIAL ONLY</v>
      </c>
      <c r="V3356" s="9" t="n">
        <f aca="false">IF(U3356="SERVICE READY",1,0)</f>
        <v>0</v>
      </c>
      <c r="W3356" s="6"/>
      <c r="X3356" s="6"/>
      <c r="Y3356" s="6"/>
      <c r="Z3356" s="6"/>
    </row>
    <row r="3357" customFormat="false" ht="15" hidden="false" customHeight="false" outlineLevel="0" collapsed="false">
      <c r="A3357" s="9" t="s">
        <v>3634</v>
      </c>
      <c r="B3357" s="9" t="s">
        <v>3544</v>
      </c>
      <c r="C3357" s="9" t="s">
        <v>3545</v>
      </c>
      <c r="D3357" s="9" t="s">
        <v>2971</v>
      </c>
      <c r="E3357" s="9" t="s">
        <v>1660</v>
      </c>
      <c r="F3357" s="9" t="s">
        <v>209</v>
      </c>
      <c r="G3357" s="9" t="s">
        <v>221</v>
      </c>
      <c r="H3357" s="9" t="n">
        <v>1870</v>
      </c>
      <c r="I3357" s="29" t="n">
        <v>0.8</v>
      </c>
      <c r="J3357" s="9" t="n">
        <v>1</v>
      </c>
      <c r="K3357" s="30"/>
      <c r="L3357" s="30"/>
      <c r="M3357" s="30"/>
      <c r="N3357" s="30"/>
      <c r="O3357" s="30"/>
      <c r="P3357" s="30"/>
      <c r="Q3357" s="30"/>
      <c r="R3357" s="30"/>
      <c r="S3357" s="30"/>
      <c r="T3357" s="30"/>
      <c r="U3357" s="21" t="str">
        <f aca="false">IF(COUNT(K3357:T3357)=0,"SOURCE EMPTY / INDUSTRIAL ONLY",IF(MIN(K3357:T3357)=1,"SERVICE READY","HOLD"))</f>
        <v>SOURCE EMPTY / INDUSTRIAL ONLY</v>
      </c>
      <c r="V3357" s="9" t="n">
        <f aca="false">IF(U3357="SERVICE READY",1,0)</f>
        <v>0</v>
      </c>
      <c r="W3357" s="6"/>
      <c r="X3357" s="6"/>
      <c r="Y3357" s="6"/>
      <c r="Z3357" s="6"/>
    </row>
    <row r="3358" customFormat="false" ht="15" hidden="false" customHeight="false" outlineLevel="0" collapsed="false">
      <c r="A3358" s="9" t="s">
        <v>3635</v>
      </c>
      <c r="B3358" s="9" t="s">
        <v>3544</v>
      </c>
      <c r="C3358" s="9" t="s">
        <v>3545</v>
      </c>
      <c r="D3358" s="9" t="s">
        <v>2971</v>
      </c>
      <c r="E3358" s="9" t="s">
        <v>1660</v>
      </c>
      <c r="F3358" s="9" t="s">
        <v>211</v>
      </c>
      <c r="G3358" s="9" t="s">
        <v>221</v>
      </c>
      <c r="H3358" s="9" t="n">
        <v>1870</v>
      </c>
      <c r="I3358" s="29" t="n">
        <v>0.8</v>
      </c>
      <c r="J3358" s="9" t="n">
        <v>1</v>
      </c>
      <c r="K3358" s="30"/>
      <c r="L3358" s="30"/>
      <c r="M3358" s="30"/>
      <c r="N3358" s="30"/>
      <c r="O3358" s="30"/>
      <c r="P3358" s="30"/>
      <c r="Q3358" s="30"/>
      <c r="R3358" s="30"/>
      <c r="S3358" s="30"/>
      <c r="T3358" s="30"/>
      <c r="U3358" s="21" t="str">
        <f aca="false">IF(COUNT(K3358:T3358)=0,"SOURCE EMPTY / INDUSTRIAL ONLY",IF(MIN(K3358:T3358)=1,"SERVICE READY","HOLD"))</f>
        <v>SOURCE EMPTY / INDUSTRIAL ONLY</v>
      </c>
      <c r="V3358" s="9" t="n">
        <f aca="false">IF(U3358="SERVICE READY",1,0)</f>
        <v>0</v>
      </c>
      <c r="W3358" s="6"/>
      <c r="X3358" s="6"/>
      <c r="Y3358" s="6"/>
      <c r="Z3358" s="6"/>
    </row>
    <row r="3359" customFormat="false" ht="15" hidden="false" customHeight="false" outlineLevel="0" collapsed="false">
      <c r="A3359" s="9" t="s">
        <v>3636</v>
      </c>
      <c r="B3359" s="9" t="s">
        <v>3544</v>
      </c>
      <c r="C3359" s="9" t="s">
        <v>3545</v>
      </c>
      <c r="D3359" s="9" t="s">
        <v>2971</v>
      </c>
      <c r="E3359" s="9" t="s">
        <v>1660</v>
      </c>
      <c r="F3359" s="9" t="s">
        <v>197</v>
      </c>
      <c r="G3359" s="9" t="s">
        <v>221</v>
      </c>
      <c r="H3359" s="9" t="n">
        <v>1870</v>
      </c>
      <c r="I3359" s="29" t="n">
        <v>0.8</v>
      </c>
      <c r="J3359" s="9" t="n">
        <v>1</v>
      </c>
      <c r="K3359" s="30"/>
      <c r="L3359" s="30"/>
      <c r="M3359" s="30"/>
      <c r="N3359" s="30"/>
      <c r="O3359" s="30"/>
      <c r="P3359" s="30"/>
      <c r="Q3359" s="30"/>
      <c r="R3359" s="30"/>
      <c r="S3359" s="30"/>
      <c r="T3359" s="30"/>
      <c r="U3359" s="21" t="str">
        <f aca="false">IF(COUNT(K3359:T3359)=0,"SOURCE EMPTY / INDUSTRIAL ONLY",IF(MIN(K3359:T3359)=1,"SERVICE READY","HOLD"))</f>
        <v>SOURCE EMPTY / INDUSTRIAL ONLY</v>
      </c>
      <c r="V3359" s="9" t="n">
        <f aca="false">IF(U3359="SERVICE READY",1,0)</f>
        <v>0</v>
      </c>
      <c r="W3359" s="6"/>
      <c r="X3359" s="6"/>
      <c r="Y3359" s="6"/>
      <c r="Z3359" s="6"/>
    </row>
    <row r="3360" customFormat="false" ht="15" hidden="false" customHeight="false" outlineLevel="0" collapsed="false">
      <c r="A3360" s="9" t="s">
        <v>3637</v>
      </c>
      <c r="B3360" s="9" t="s">
        <v>3544</v>
      </c>
      <c r="C3360" s="9" t="s">
        <v>3545</v>
      </c>
      <c r="D3360" s="9" t="s">
        <v>2971</v>
      </c>
      <c r="E3360" s="9" t="s">
        <v>1660</v>
      </c>
      <c r="F3360" s="9" t="s">
        <v>200</v>
      </c>
      <c r="G3360" s="9" t="s">
        <v>221</v>
      </c>
      <c r="H3360" s="9" t="n">
        <v>1870</v>
      </c>
      <c r="I3360" s="29" t="n">
        <v>0.8</v>
      </c>
      <c r="J3360" s="9" t="n">
        <v>1</v>
      </c>
      <c r="K3360" s="30"/>
      <c r="L3360" s="30"/>
      <c r="M3360" s="30"/>
      <c r="N3360" s="30"/>
      <c r="O3360" s="30"/>
      <c r="P3360" s="30"/>
      <c r="Q3360" s="30"/>
      <c r="R3360" s="30"/>
      <c r="S3360" s="30"/>
      <c r="T3360" s="30"/>
      <c r="U3360" s="21" t="str">
        <f aca="false">IF(COUNT(K3360:T3360)=0,"SOURCE EMPTY / INDUSTRIAL ONLY",IF(MIN(K3360:T3360)=1,"SERVICE READY","HOLD"))</f>
        <v>SOURCE EMPTY / INDUSTRIAL ONLY</v>
      </c>
      <c r="V3360" s="9" t="n">
        <f aca="false">IF(U3360="SERVICE READY",1,0)</f>
        <v>0</v>
      </c>
      <c r="W3360" s="6"/>
      <c r="X3360" s="6"/>
      <c r="Y3360" s="6"/>
      <c r="Z3360" s="6"/>
    </row>
    <row r="3361" customFormat="false" ht="15" hidden="false" customHeight="false" outlineLevel="0" collapsed="false">
      <c r="A3361" s="9" t="s">
        <v>3638</v>
      </c>
      <c r="B3361" s="9" t="s">
        <v>3544</v>
      </c>
      <c r="C3361" s="9" t="s">
        <v>3545</v>
      </c>
      <c r="D3361" s="9" t="s">
        <v>2971</v>
      </c>
      <c r="E3361" s="9" t="s">
        <v>1660</v>
      </c>
      <c r="F3361" s="9" t="s">
        <v>203</v>
      </c>
      <c r="G3361" s="9" t="s">
        <v>221</v>
      </c>
      <c r="H3361" s="9" t="n">
        <v>1870</v>
      </c>
      <c r="I3361" s="29" t="n">
        <v>0.8</v>
      </c>
      <c r="J3361" s="9" t="n">
        <v>1</v>
      </c>
      <c r="K3361" s="30"/>
      <c r="L3361" s="30"/>
      <c r="M3361" s="30"/>
      <c r="N3361" s="30"/>
      <c r="O3361" s="30"/>
      <c r="P3361" s="30"/>
      <c r="Q3361" s="30"/>
      <c r="R3361" s="30"/>
      <c r="S3361" s="30"/>
      <c r="T3361" s="30"/>
      <c r="U3361" s="21" t="str">
        <f aca="false">IF(COUNT(K3361:T3361)=0,"SOURCE EMPTY / INDUSTRIAL ONLY",IF(MIN(K3361:T3361)=1,"SERVICE READY","HOLD"))</f>
        <v>SOURCE EMPTY / INDUSTRIAL ONLY</v>
      </c>
      <c r="V3361" s="9" t="n">
        <f aca="false">IF(U3361="SERVICE READY",1,0)</f>
        <v>0</v>
      </c>
      <c r="W3361" s="6"/>
      <c r="X3361" s="6"/>
      <c r="Y3361" s="6"/>
      <c r="Z3361" s="6"/>
    </row>
    <row r="3362" customFormat="false" ht="15" hidden="false" customHeight="false" outlineLevel="0" collapsed="false">
      <c r="A3362" s="9" t="s">
        <v>3639</v>
      </c>
      <c r="B3362" s="9" t="s">
        <v>3544</v>
      </c>
      <c r="C3362" s="9" t="s">
        <v>3545</v>
      </c>
      <c r="D3362" s="9" t="s">
        <v>2971</v>
      </c>
      <c r="E3362" s="9" t="s">
        <v>1660</v>
      </c>
      <c r="F3362" s="9" t="s">
        <v>205</v>
      </c>
      <c r="G3362" s="9" t="s">
        <v>221</v>
      </c>
      <c r="H3362" s="9" t="n">
        <v>1870</v>
      </c>
      <c r="I3362" s="29" t="n">
        <v>0.8</v>
      </c>
      <c r="J3362" s="9" t="n">
        <v>1</v>
      </c>
      <c r="K3362" s="30"/>
      <c r="L3362" s="30"/>
      <c r="M3362" s="30"/>
      <c r="N3362" s="30"/>
      <c r="O3362" s="30"/>
      <c r="P3362" s="30"/>
      <c r="Q3362" s="30"/>
      <c r="R3362" s="30"/>
      <c r="S3362" s="30"/>
      <c r="T3362" s="30"/>
      <c r="U3362" s="21" t="str">
        <f aca="false">IF(COUNT(K3362:T3362)=0,"SOURCE EMPTY / INDUSTRIAL ONLY",IF(MIN(K3362:T3362)=1,"SERVICE READY","HOLD"))</f>
        <v>SOURCE EMPTY / INDUSTRIAL ONLY</v>
      </c>
      <c r="V3362" s="9" t="n">
        <f aca="false">IF(U3362="SERVICE READY",1,0)</f>
        <v>0</v>
      </c>
      <c r="W3362" s="6"/>
      <c r="X3362" s="6"/>
      <c r="Y3362" s="6"/>
      <c r="Z3362" s="6"/>
    </row>
    <row r="3363" customFormat="false" ht="15" hidden="false" customHeight="false" outlineLevel="0" collapsed="false">
      <c r="A3363" s="9" t="s">
        <v>3640</v>
      </c>
      <c r="B3363" s="9" t="s">
        <v>3544</v>
      </c>
      <c r="C3363" s="9" t="s">
        <v>3545</v>
      </c>
      <c r="D3363" s="9" t="s">
        <v>2971</v>
      </c>
      <c r="E3363" s="9" t="s">
        <v>1660</v>
      </c>
      <c r="F3363" s="9" t="s">
        <v>207</v>
      </c>
      <c r="G3363" s="9" t="s">
        <v>221</v>
      </c>
      <c r="H3363" s="9" t="n">
        <v>1870</v>
      </c>
      <c r="I3363" s="29" t="n">
        <v>0.8</v>
      </c>
      <c r="J3363" s="9" t="n">
        <v>1</v>
      </c>
      <c r="K3363" s="30"/>
      <c r="L3363" s="30"/>
      <c r="M3363" s="30"/>
      <c r="N3363" s="30"/>
      <c r="O3363" s="30"/>
      <c r="P3363" s="30"/>
      <c r="Q3363" s="30"/>
      <c r="R3363" s="30"/>
      <c r="S3363" s="30"/>
      <c r="T3363" s="30"/>
      <c r="U3363" s="21" t="str">
        <f aca="false">IF(COUNT(K3363:T3363)=0,"SOURCE EMPTY / INDUSTRIAL ONLY",IF(MIN(K3363:T3363)=1,"SERVICE READY","HOLD"))</f>
        <v>SOURCE EMPTY / INDUSTRIAL ONLY</v>
      </c>
      <c r="V3363" s="9" t="n">
        <f aca="false">IF(U3363="SERVICE READY",1,0)</f>
        <v>0</v>
      </c>
      <c r="W3363" s="6"/>
      <c r="X3363" s="6"/>
      <c r="Y3363" s="6"/>
      <c r="Z3363" s="6"/>
    </row>
    <row r="3364" customFormat="false" ht="15" hidden="false" customHeight="false" outlineLevel="0" collapsed="false">
      <c r="A3364" s="9" t="s">
        <v>3641</v>
      </c>
      <c r="B3364" s="9" t="s">
        <v>3544</v>
      </c>
      <c r="C3364" s="9" t="s">
        <v>3545</v>
      </c>
      <c r="D3364" s="9" t="s">
        <v>2971</v>
      </c>
      <c r="E3364" s="9" t="s">
        <v>1660</v>
      </c>
      <c r="F3364" s="9" t="s">
        <v>209</v>
      </c>
      <c r="G3364" s="9" t="s">
        <v>221</v>
      </c>
      <c r="H3364" s="9" t="n">
        <v>1870</v>
      </c>
      <c r="I3364" s="29" t="n">
        <v>0.8</v>
      </c>
      <c r="J3364" s="9" t="n">
        <v>1</v>
      </c>
      <c r="K3364" s="30"/>
      <c r="L3364" s="30"/>
      <c r="M3364" s="30"/>
      <c r="N3364" s="30"/>
      <c r="O3364" s="30"/>
      <c r="P3364" s="30"/>
      <c r="Q3364" s="30"/>
      <c r="R3364" s="30"/>
      <c r="S3364" s="30"/>
      <c r="T3364" s="30"/>
      <c r="U3364" s="21" t="str">
        <f aca="false">IF(COUNT(K3364:T3364)=0,"SOURCE EMPTY / INDUSTRIAL ONLY",IF(MIN(K3364:T3364)=1,"SERVICE READY","HOLD"))</f>
        <v>SOURCE EMPTY / INDUSTRIAL ONLY</v>
      </c>
      <c r="V3364" s="9" t="n">
        <f aca="false">IF(U3364="SERVICE READY",1,0)</f>
        <v>0</v>
      </c>
      <c r="W3364" s="6"/>
      <c r="X3364" s="6"/>
      <c r="Y3364" s="6"/>
      <c r="Z3364" s="6"/>
    </row>
    <row r="3365" customFormat="false" ht="15" hidden="false" customHeight="false" outlineLevel="0" collapsed="false">
      <c r="A3365" s="9" t="s">
        <v>3642</v>
      </c>
      <c r="B3365" s="9" t="s">
        <v>3544</v>
      </c>
      <c r="C3365" s="9" t="s">
        <v>3545</v>
      </c>
      <c r="D3365" s="9" t="s">
        <v>2971</v>
      </c>
      <c r="E3365" s="9" t="s">
        <v>1660</v>
      </c>
      <c r="F3365" s="9" t="s">
        <v>211</v>
      </c>
      <c r="G3365" s="9" t="s">
        <v>221</v>
      </c>
      <c r="H3365" s="9" t="n">
        <v>1870</v>
      </c>
      <c r="I3365" s="29" t="n">
        <v>0.8</v>
      </c>
      <c r="J3365" s="9" t="n">
        <v>1</v>
      </c>
      <c r="K3365" s="30"/>
      <c r="L3365" s="30"/>
      <c r="M3365" s="30"/>
      <c r="N3365" s="30"/>
      <c r="O3365" s="30"/>
      <c r="P3365" s="30"/>
      <c r="Q3365" s="30"/>
      <c r="R3365" s="30"/>
      <c r="S3365" s="30"/>
      <c r="T3365" s="30"/>
      <c r="U3365" s="21" t="str">
        <f aca="false">IF(COUNT(K3365:T3365)=0,"SOURCE EMPTY / INDUSTRIAL ONLY",IF(MIN(K3365:T3365)=1,"SERVICE READY","HOLD"))</f>
        <v>SOURCE EMPTY / INDUSTRIAL ONLY</v>
      </c>
      <c r="V3365" s="9" t="n">
        <f aca="false">IF(U3365="SERVICE READY",1,0)</f>
        <v>0</v>
      </c>
      <c r="W3365" s="6"/>
      <c r="X3365" s="6"/>
      <c r="Y3365" s="6"/>
      <c r="Z3365" s="6"/>
    </row>
    <row r="3366" customFormat="false" ht="15" hidden="false" customHeight="false" outlineLevel="0" collapsed="false">
      <c r="A3366" s="9" t="s">
        <v>3643</v>
      </c>
      <c r="B3366" s="9" t="s">
        <v>3544</v>
      </c>
      <c r="C3366" s="9" t="s">
        <v>3545</v>
      </c>
      <c r="D3366" s="9" t="s">
        <v>2971</v>
      </c>
      <c r="E3366" s="9" t="s">
        <v>1660</v>
      </c>
      <c r="F3366" s="9" t="s">
        <v>197</v>
      </c>
      <c r="G3366" s="9" t="s">
        <v>221</v>
      </c>
      <c r="H3366" s="9" t="n">
        <v>1870</v>
      </c>
      <c r="I3366" s="29" t="n">
        <v>0.8</v>
      </c>
      <c r="J3366" s="9" t="n">
        <v>1</v>
      </c>
      <c r="K3366" s="30"/>
      <c r="L3366" s="30"/>
      <c r="M3366" s="30"/>
      <c r="N3366" s="30"/>
      <c r="O3366" s="30"/>
      <c r="P3366" s="30"/>
      <c r="Q3366" s="30"/>
      <c r="R3366" s="30"/>
      <c r="S3366" s="30"/>
      <c r="T3366" s="30"/>
      <c r="U3366" s="21" t="str">
        <f aca="false">IF(COUNT(K3366:T3366)=0,"SOURCE EMPTY / INDUSTRIAL ONLY",IF(MIN(K3366:T3366)=1,"SERVICE READY","HOLD"))</f>
        <v>SOURCE EMPTY / INDUSTRIAL ONLY</v>
      </c>
      <c r="V3366" s="9" t="n">
        <f aca="false">IF(U3366="SERVICE READY",1,0)</f>
        <v>0</v>
      </c>
      <c r="W3366" s="6"/>
      <c r="X3366" s="6"/>
      <c r="Y3366" s="6"/>
      <c r="Z3366" s="6"/>
    </row>
    <row r="3367" customFormat="false" ht="15" hidden="false" customHeight="false" outlineLevel="0" collapsed="false">
      <c r="A3367" s="9" t="s">
        <v>3644</v>
      </c>
      <c r="B3367" s="9" t="s">
        <v>3544</v>
      </c>
      <c r="C3367" s="9" t="s">
        <v>3545</v>
      </c>
      <c r="D3367" s="9" t="s">
        <v>2971</v>
      </c>
      <c r="E3367" s="9" t="s">
        <v>1660</v>
      </c>
      <c r="F3367" s="9" t="s">
        <v>200</v>
      </c>
      <c r="G3367" s="9" t="s">
        <v>221</v>
      </c>
      <c r="H3367" s="9" t="n">
        <v>1870</v>
      </c>
      <c r="I3367" s="29" t="n">
        <v>0.8</v>
      </c>
      <c r="J3367" s="9" t="n">
        <v>1</v>
      </c>
      <c r="K3367" s="30"/>
      <c r="L3367" s="30"/>
      <c r="M3367" s="30"/>
      <c r="N3367" s="30"/>
      <c r="O3367" s="30"/>
      <c r="P3367" s="30"/>
      <c r="Q3367" s="30"/>
      <c r="R3367" s="30"/>
      <c r="S3367" s="30"/>
      <c r="T3367" s="30"/>
      <c r="U3367" s="21" t="str">
        <f aca="false">IF(COUNT(K3367:T3367)=0,"SOURCE EMPTY / INDUSTRIAL ONLY",IF(MIN(K3367:T3367)=1,"SERVICE READY","HOLD"))</f>
        <v>SOURCE EMPTY / INDUSTRIAL ONLY</v>
      </c>
      <c r="V3367" s="9" t="n">
        <f aca="false">IF(U3367="SERVICE READY",1,0)</f>
        <v>0</v>
      </c>
      <c r="W3367" s="6"/>
      <c r="X3367" s="6"/>
      <c r="Y3367" s="6"/>
      <c r="Z3367" s="6"/>
    </row>
    <row r="3368" customFormat="false" ht="15" hidden="false" customHeight="false" outlineLevel="0" collapsed="false">
      <c r="A3368" s="9" t="s">
        <v>3645</v>
      </c>
      <c r="B3368" s="9" t="s">
        <v>3544</v>
      </c>
      <c r="C3368" s="9" t="s">
        <v>3545</v>
      </c>
      <c r="D3368" s="9" t="s">
        <v>2971</v>
      </c>
      <c r="E3368" s="9" t="s">
        <v>1660</v>
      </c>
      <c r="F3368" s="9" t="s">
        <v>203</v>
      </c>
      <c r="G3368" s="9" t="s">
        <v>221</v>
      </c>
      <c r="H3368" s="9" t="n">
        <v>1870</v>
      </c>
      <c r="I3368" s="29" t="n">
        <v>0.8</v>
      </c>
      <c r="J3368" s="9" t="n">
        <v>1</v>
      </c>
      <c r="K3368" s="30"/>
      <c r="L3368" s="30"/>
      <c r="M3368" s="30"/>
      <c r="N3368" s="30"/>
      <c r="O3368" s="30"/>
      <c r="P3368" s="30"/>
      <c r="Q3368" s="30"/>
      <c r="R3368" s="30"/>
      <c r="S3368" s="30"/>
      <c r="T3368" s="30"/>
      <c r="U3368" s="21" t="str">
        <f aca="false">IF(COUNT(K3368:T3368)=0,"SOURCE EMPTY / INDUSTRIAL ONLY",IF(MIN(K3368:T3368)=1,"SERVICE READY","HOLD"))</f>
        <v>SOURCE EMPTY / INDUSTRIAL ONLY</v>
      </c>
      <c r="V3368" s="9" t="n">
        <f aca="false">IF(U3368="SERVICE READY",1,0)</f>
        <v>0</v>
      </c>
      <c r="W3368" s="6"/>
      <c r="X3368" s="6"/>
      <c r="Y3368" s="6"/>
      <c r="Z3368" s="6"/>
    </row>
    <row r="3369" customFormat="false" ht="15" hidden="false" customHeight="false" outlineLevel="0" collapsed="false">
      <c r="A3369" s="9" t="s">
        <v>3646</v>
      </c>
      <c r="B3369" s="9" t="s">
        <v>3544</v>
      </c>
      <c r="C3369" s="9" t="s">
        <v>3545</v>
      </c>
      <c r="D3369" s="9" t="s">
        <v>2971</v>
      </c>
      <c r="E3369" s="9" t="s">
        <v>1660</v>
      </c>
      <c r="F3369" s="9" t="s">
        <v>205</v>
      </c>
      <c r="G3369" s="9" t="s">
        <v>221</v>
      </c>
      <c r="H3369" s="9" t="n">
        <v>1870</v>
      </c>
      <c r="I3369" s="29" t="n">
        <v>0.8</v>
      </c>
      <c r="J3369" s="9" t="n">
        <v>1</v>
      </c>
      <c r="K3369" s="30"/>
      <c r="L3369" s="30"/>
      <c r="M3369" s="30"/>
      <c r="N3369" s="30"/>
      <c r="O3369" s="30"/>
      <c r="P3369" s="30"/>
      <c r="Q3369" s="30"/>
      <c r="R3369" s="30"/>
      <c r="S3369" s="30"/>
      <c r="T3369" s="30"/>
      <c r="U3369" s="21" t="str">
        <f aca="false">IF(COUNT(K3369:T3369)=0,"SOURCE EMPTY / INDUSTRIAL ONLY",IF(MIN(K3369:T3369)=1,"SERVICE READY","HOLD"))</f>
        <v>SOURCE EMPTY / INDUSTRIAL ONLY</v>
      </c>
      <c r="V3369" s="9" t="n">
        <f aca="false">IF(U3369="SERVICE READY",1,0)</f>
        <v>0</v>
      </c>
      <c r="W3369" s="6"/>
      <c r="X3369" s="6"/>
      <c r="Y3369" s="6"/>
      <c r="Z3369" s="6"/>
    </row>
    <row r="3370" customFormat="false" ht="15" hidden="false" customHeight="false" outlineLevel="0" collapsed="false">
      <c r="A3370" s="9" t="s">
        <v>3647</v>
      </c>
      <c r="B3370" s="9" t="s">
        <v>3544</v>
      </c>
      <c r="C3370" s="9" t="s">
        <v>3545</v>
      </c>
      <c r="D3370" s="9" t="s">
        <v>2971</v>
      </c>
      <c r="E3370" s="9" t="s">
        <v>1660</v>
      </c>
      <c r="F3370" s="9" t="s">
        <v>207</v>
      </c>
      <c r="G3370" s="9" t="s">
        <v>221</v>
      </c>
      <c r="H3370" s="9" t="n">
        <v>1870</v>
      </c>
      <c r="I3370" s="29" t="n">
        <v>0.8</v>
      </c>
      <c r="J3370" s="9" t="n">
        <v>1</v>
      </c>
      <c r="K3370" s="30"/>
      <c r="L3370" s="30"/>
      <c r="M3370" s="30"/>
      <c r="N3370" s="30"/>
      <c r="O3370" s="30"/>
      <c r="P3370" s="30"/>
      <c r="Q3370" s="30"/>
      <c r="R3370" s="30"/>
      <c r="S3370" s="30"/>
      <c r="T3370" s="30"/>
      <c r="U3370" s="21" t="str">
        <f aca="false">IF(COUNT(K3370:T3370)=0,"SOURCE EMPTY / INDUSTRIAL ONLY",IF(MIN(K3370:T3370)=1,"SERVICE READY","HOLD"))</f>
        <v>SOURCE EMPTY / INDUSTRIAL ONLY</v>
      </c>
      <c r="V3370" s="9" t="n">
        <f aca="false">IF(U3370="SERVICE READY",1,0)</f>
        <v>0</v>
      </c>
      <c r="W3370" s="6"/>
      <c r="X3370" s="6"/>
      <c r="Y3370" s="6"/>
      <c r="Z3370" s="6"/>
    </row>
    <row r="3371" customFormat="false" ht="15" hidden="false" customHeight="false" outlineLevel="0" collapsed="false">
      <c r="A3371" s="9" t="s">
        <v>3648</v>
      </c>
      <c r="B3371" s="9" t="s">
        <v>3544</v>
      </c>
      <c r="C3371" s="9" t="s">
        <v>3545</v>
      </c>
      <c r="D3371" s="9" t="s">
        <v>2971</v>
      </c>
      <c r="E3371" s="9" t="s">
        <v>1660</v>
      </c>
      <c r="F3371" s="9" t="s">
        <v>209</v>
      </c>
      <c r="G3371" s="9" t="s">
        <v>221</v>
      </c>
      <c r="H3371" s="9" t="n">
        <v>1870</v>
      </c>
      <c r="I3371" s="29" t="n">
        <v>0.8</v>
      </c>
      <c r="J3371" s="9" t="n">
        <v>1</v>
      </c>
      <c r="K3371" s="30"/>
      <c r="L3371" s="30"/>
      <c r="M3371" s="30"/>
      <c r="N3371" s="30"/>
      <c r="O3371" s="30"/>
      <c r="P3371" s="30"/>
      <c r="Q3371" s="30"/>
      <c r="R3371" s="30"/>
      <c r="S3371" s="30"/>
      <c r="T3371" s="30"/>
      <c r="U3371" s="21" t="str">
        <f aca="false">IF(COUNT(K3371:T3371)=0,"SOURCE EMPTY / INDUSTRIAL ONLY",IF(MIN(K3371:T3371)=1,"SERVICE READY","HOLD"))</f>
        <v>SOURCE EMPTY / INDUSTRIAL ONLY</v>
      </c>
      <c r="V3371" s="9" t="n">
        <f aca="false">IF(U3371="SERVICE READY",1,0)</f>
        <v>0</v>
      </c>
      <c r="W3371" s="6"/>
      <c r="X3371" s="6"/>
      <c r="Y3371" s="6"/>
      <c r="Z3371" s="6"/>
    </row>
    <row r="3372" customFormat="false" ht="15" hidden="false" customHeight="false" outlineLevel="0" collapsed="false">
      <c r="A3372" s="9" t="s">
        <v>3649</v>
      </c>
      <c r="B3372" s="9" t="s">
        <v>3544</v>
      </c>
      <c r="C3372" s="9" t="s">
        <v>3545</v>
      </c>
      <c r="D3372" s="9" t="s">
        <v>2971</v>
      </c>
      <c r="E3372" s="9" t="s">
        <v>1660</v>
      </c>
      <c r="F3372" s="9" t="s">
        <v>211</v>
      </c>
      <c r="G3372" s="9" t="s">
        <v>221</v>
      </c>
      <c r="H3372" s="9" t="n">
        <v>1870</v>
      </c>
      <c r="I3372" s="29" t="n">
        <v>0.8</v>
      </c>
      <c r="J3372" s="9" t="n">
        <v>1</v>
      </c>
      <c r="K3372" s="30"/>
      <c r="L3372" s="30"/>
      <c r="M3372" s="30"/>
      <c r="N3372" s="30"/>
      <c r="O3372" s="30"/>
      <c r="P3372" s="30"/>
      <c r="Q3372" s="30"/>
      <c r="R3372" s="30"/>
      <c r="S3372" s="30"/>
      <c r="T3372" s="30"/>
      <c r="U3372" s="21" t="str">
        <f aca="false">IF(COUNT(K3372:T3372)=0,"SOURCE EMPTY / INDUSTRIAL ONLY",IF(MIN(K3372:T3372)=1,"SERVICE READY","HOLD"))</f>
        <v>SOURCE EMPTY / INDUSTRIAL ONLY</v>
      </c>
      <c r="V3372" s="9" t="n">
        <f aca="false">IF(U3372="SERVICE READY",1,0)</f>
        <v>0</v>
      </c>
      <c r="W3372" s="6"/>
      <c r="X3372" s="6"/>
      <c r="Y3372" s="6"/>
      <c r="Z3372" s="6"/>
    </row>
    <row r="3373" customFormat="false" ht="15" hidden="false" customHeight="false" outlineLevel="0" collapsed="false">
      <c r="A3373" s="9" t="s">
        <v>3650</v>
      </c>
      <c r="B3373" s="9" t="s">
        <v>3544</v>
      </c>
      <c r="C3373" s="9" t="s">
        <v>3545</v>
      </c>
      <c r="D3373" s="9" t="s">
        <v>2971</v>
      </c>
      <c r="E3373" s="9" t="s">
        <v>1660</v>
      </c>
      <c r="F3373" s="9" t="s">
        <v>197</v>
      </c>
      <c r="G3373" s="9" t="s">
        <v>221</v>
      </c>
      <c r="H3373" s="9" t="n">
        <v>1870</v>
      </c>
      <c r="I3373" s="29" t="n">
        <v>0.8</v>
      </c>
      <c r="J3373" s="9" t="n">
        <v>1</v>
      </c>
      <c r="K3373" s="30"/>
      <c r="L3373" s="30"/>
      <c r="M3373" s="30"/>
      <c r="N3373" s="30"/>
      <c r="O3373" s="30"/>
      <c r="P3373" s="30"/>
      <c r="Q3373" s="30"/>
      <c r="R3373" s="30"/>
      <c r="S3373" s="30"/>
      <c r="T3373" s="30"/>
      <c r="U3373" s="21" t="str">
        <f aca="false">IF(COUNT(K3373:T3373)=0,"SOURCE EMPTY / INDUSTRIAL ONLY",IF(MIN(K3373:T3373)=1,"SERVICE READY","HOLD"))</f>
        <v>SOURCE EMPTY / INDUSTRIAL ONLY</v>
      </c>
      <c r="V3373" s="9" t="n">
        <f aca="false">IF(U3373="SERVICE READY",1,0)</f>
        <v>0</v>
      </c>
      <c r="W3373" s="6"/>
      <c r="X3373" s="6"/>
      <c r="Y3373" s="6"/>
      <c r="Z3373" s="6"/>
    </row>
    <row r="3374" customFormat="false" ht="15" hidden="false" customHeight="false" outlineLevel="0" collapsed="false">
      <c r="A3374" s="9" t="s">
        <v>3651</v>
      </c>
      <c r="B3374" s="9" t="s">
        <v>3544</v>
      </c>
      <c r="C3374" s="9" t="s">
        <v>3545</v>
      </c>
      <c r="D3374" s="9" t="s">
        <v>2971</v>
      </c>
      <c r="E3374" s="9" t="s">
        <v>1660</v>
      </c>
      <c r="F3374" s="9" t="s">
        <v>200</v>
      </c>
      <c r="G3374" s="9" t="s">
        <v>221</v>
      </c>
      <c r="H3374" s="9" t="n">
        <v>1870</v>
      </c>
      <c r="I3374" s="29" t="n">
        <v>0.8</v>
      </c>
      <c r="J3374" s="9" t="n">
        <v>1</v>
      </c>
      <c r="K3374" s="30"/>
      <c r="L3374" s="30"/>
      <c r="M3374" s="30"/>
      <c r="N3374" s="30"/>
      <c r="O3374" s="30"/>
      <c r="P3374" s="30"/>
      <c r="Q3374" s="30"/>
      <c r="R3374" s="30"/>
      <c r="S3374" s="30"/>
      <c r="T3374" s="30"/>
      <c r="U3374" s="21" t="str">
        <f aca="false">IF(COUNT(K3374:T3374)=0,"SOURCE EMPTY / INDUSTRIAL ONLY",IF(MIN(K3374:T3374)=1,"SERVICE READY","HOLD"))</f>
        <v>SOURCE EMPTY / INDUSTRIAL ONLY</v>
      </c>
      <c r="V3374" s="9" t="n">
        <f aca="false">IF(U3374="SERVICE READY",1,0)</f>
        <v>0</v>
      </c>
      <c r="W3374" s="6"/>
      <c r="X3374" s="6"/>
      <c r="Y3374" s="6"/>
      <c r="Z3374" s="6"/>
    </row>
    <row r="3375" customFormat="false" ht="15" hidden="false" customHeight="false" outlineLevel="0" collapsed="false">
      <c r="A3375" s="9" t="s">
        <v>3652</v>
      </c>
      <c r="B3375" s="9" t="s">
        <v>3544</v>
      </c>
      <c r="C3375" s="9" t="s">
        <v>3545</v>
      </c>
      <c r="D3375" s="9" t="s">
        <v>2971</v>
      </c>
      <c r="E3375" s="9" t="s">
        <v>1660</v>
      </c>
      <c r="F3375" s="9" t="s">
        <v>203</v>
      </c>
      <c r="G3375" s="9" t="s">
        <v>221</v>
      </c>
      <c r="H3375" s="9" t="n">
        <v>1870</v>
      </c>
      <c r="I3375" s="29" t="n">
        <v>0.8</v>
      </c>
      <c r="J3375" s="9" t="n">
        <v>1</v>
      </c>
      <c r="K3375" s="30"/>
      <c r="L3375" s="30"/>
      <c r="M3375" s="30"/>
      <c r="N3375" s="30"/>
      <c r="O3375" s="30"/>
      <c r="P3375" s="30"/>
      <c r="Q3375" s="30"/>
      <c r="R3375" s="30"/>
      <c r="S3375" s="30"/>
      <c r="T3375" s="30"/>
      <c r="U3375" s="21" t="str">
        <f aca="false">IF(COUNT(K3375:T3375)=0,"SOURCE EMPTY / INDUSTRIAL ONLY",IF(MIN(K3375:T3375)=1,"SERVICE READY","HOLD"))</f>
        <v>SOURCE EMPTY / INDUSTRIAL ONLY</v>
      </c>
      <c r="V3375" s="9" t="n">
        <f aca="false">IF(U3375="SERVICE READY",1,0)</f>
        <v>0</v>
      </c>
      <c r="W3375" s="6"/>
      <c r="X3375" s="6"/>
      <c r="Y3375" s="6"/>
      <c r="Z3375" s="6"/>
    </row>
    <row r="3376" customFormat="false" ht="15" hidden="false" customHeight="false" outlineLevel="0" collapsed="false">
      <c r="A3376" s="9" t="s">
        <v>3653</v>
      </c>
      <c r="B3376" s="9" t="s">
        <v>3544</v>
      </c>
      <c r="C3376" s="9" t="s">
        <v>3545</v>
      </c>
      <c r="D3376" s="9" t="s">
        <v>2971</v>
      </c>
      <c r="E3376" s="9" t="s">
        <v>1660</v>
      </c>
      <c r="F3376" s="9" t="s">
        <v>205</v>
      </c>
      <c r="G3376" s="9" t="s">
        <v>221</v>
      </c>
      <c r="H3376" s="9" t="n">
        <v>1870</v>
      </c>
      <c r="I3376" s="29" t="n">
        <v>0.8</v>
      </c>
      <c r="J3376" s="9" t="n">
        <v>1</v>
      </c>
      <c r="K3376" s="30"/>
      <c r="L3376" s="30"/>
      <c r="M3376" s="30"/>
      <c r="N3376" s="30"/>
      <c r="O3376" s="30"/>
      <c r="P3376" s="30"/>
      <c r="Q3376" s="30"/>
      <c r="R3376" s="30"/>
      <c r="S3376" s="30"/>
      <c r="T3376" s="30"/>
      <c r="U3376" s="21" t="str">
        <f aca="false">IF(COUNT(K3376:T3376)=0,"SOURCE EMPTY / INDUSTRIAL ONLY",IF(MIN(K3376:T3376)=1,"SERVICE READY","HOLD"))</f>
        <v>SOURCE EMPTY / INDUSTRIAL ONLY</v>
      </c>
      <c r="V3376" s="9" t="n">
        <f aca="false">IF(U3376="SERVICE READY",1,0)</f>
        <v>0</v>
      </c>
      <c r="W3376" s="6"/>
      <c r="X3376" s="6"/>
      <c r="Y3376" s="6"/>
      <c r="Z3376" s="6"/>
    </row>
    <row r="3377" customFormat="false" ht="15" hidden="false" customHeight="false" outlineLevel="0" collapsed="false">
      <c r="A3377" s="9" t="s">
        <v>3654</v>
      </c>
      <c r="B3377" s="9" t="s">
        <v>3544</v>
      </c>
      <c r="C3377" s="9" t="s">
        <v>3545</v>
      </c>
      <c r="D3377" s="9" t="s">
        <v>2971</v>
      </c>
      <c r="E3377" s="9" t="s">
        <v>1660</v>
      </c>
      <c r="F3377" s="9" t="s">
        <v>207</v>
      </c>
      <c r="G3377" s="9" t="s">
        <v>221</v>
      </c>
      <c r="H3377" s="9" t="n">
        <v>1870</v>
      </c>
      <c r="I3377" s="29" t="n">
        <v>0.8</v>
      </c>
      <c r="J3377" s="9" t="n">
        <v>1</v>
      </c>
      <c r="K3377" s="30"/>
      <c r="L3377" s="30"/>
      <c r="M3377" s="30"/>
      <c r="N3377" s="30"/>
      <c r="O3377" s="30"/>
      <c r="P3377" s="30"/>
      <c r="Q3377" s="30"/>
      <c r="R3377" s="30"/>
      <c r="S3377" s="30"/>
      <c r="T3377" s="30"/>
      <c r="U3377" s="21" t="str">
        <f aca="false">IF(COUNT(K3377:T3377)=0,"SOURCE EMPTY / INDUSTRIAL ONLY",IF(MIN(K3377:T3377)=1,"SERVICE READY","HOLD"))</f>
        <v>SOURCE EMPTY / INDUSTRIAL ONLY</v>
      </c>
      <c r="V3377" s="9" t="n">
        <f aca="false">IF(U3377="SERVICE READY",1,0)</f>
        <v>0</v>
      </c>
      <c r="W3377" s="6"/>
      <c r="X3377" s="6"/>
      <c r="Y3377" s="6"/>
      <c r="Z3377" s="6"/>
    </row>
    <row r="3378" customFormat="false" ht="15" hidden="false" customHeight="false" outlineLevel="0" collapsed="false">
      <c r="A3378" s="9" t="s">
        <v>3655</v>
      </c>
      <c r="B3378" s="9" t="s">
        <v>3544</v>
      </c>
      <c r="C3378" s="9" t="s">
        <v>3545</v>
      </c>
      <c r="D3378" s="9" t="s">
        <v>2971</v>
      </c>
      <c r="E3378" s="9" t="s">
        <v>1660</v>
      </c>
      <c r="F3378" s="9" t="s">
        <v>209</v>
      </c>
      <c r="G3378" s="9" t="s">
        <v>221</v>
      </c>
      <c r="H3378" s="9" t="n">
        <v>1870</v>
      </c>
      <c r="I3378" s="29" t="n">
        <v>0.8</v>
      </c>
      <c r="J3378" s="9" t="n">
        <v>1</v>
      </c>
      <c r="K3378" s="30"/>
      <c r="L3378" s="30"/>
      <c r="M3378" s="30"/>
      <c r="N3378" s="30"/>
      <c r="O3378" s="30"/>
      <c r="P3378" s="30"/>
      <c r="Q3378" s="30"/>
      <c r="R3378" s="30"/>
      <c r="S3378" s="30"/>
      <c r="T3378" s="30"/>
      <c r="U3378" s="21" t="str">
        <f aca="false">IF(COUNT(K3378:T3378)=0,"SOURCE EMPTY / INDUSTRIAL ONLY",IF(MIN(K3378:T3378)=1,"SERVICE READY","HOLD"))</f>
        <v>SOURCE EMPTY / INDUSTRIAL ONLY</v>
      </c>
      <c r="V3378" s="9" t="n">
        <f aca="false">IF(U3378="SERVICE READY",1,0)</f>
        <v>0</v>
      </c>
      <c r="W3378" s="6"/>
      <c r="X3378" s="6"/>
      <c r="Y3378" s="6"/>
      <c r="Z3378" s="6"/>
    </row>
    <row r="3379" customFormat="false" ht="15" hidden="false" customHeight="false" outlineLevel="0" collapsed="false">
      <c r="A3379" s="9" t="s">
        <v>3656</v>
      </c>
      <c r="B3379" s="9" t="s">
        <v>3544</v>
      </c>
      <c r="C3379" s="9" t="s">
        <v>3545</v>
      </c>
      <c r="D3379" s="9" t="s">
        <v>2971</v>
      </c>
      <c r="E3379" s="9" t="s">
        <v>1660</v>
      </c>
      <c r="F3379" s="9" t="s">
        <v>211</v>
      </c>
      <c r="G3379" s="9" t="s">
        <v>221</v>
      </c>
      <c r="H3379" s="9" t="n">
        <v>1870</v>
      </c>
      <c r="I3379" s="29" t="n">
        <v>0.8</v>
      </c>
      <c r="J3379" s="9" t="n">
        <v>1</v>
      </c>
      <c r="K3379" s="30"/>
      <c r="L3379" s="30"/>
      <c r="M3379" s="30"/>
      <c r="N3379" s="30"/>
      <c r="O3379" s="30"/>
      <c r="P3379" s="30"/>
      <c r="Q3379" s="30"/>
      <c r="R3379" s="30"/>
      <c r="S3379" s="30"/>
      <c r="T3379" s="30"/>
      <c r="U3379" s="21" t="str">
        <f aca="false">IF(COUNT(K3379:T3379)=0,"SOURCE EMPTY / INDUSTRIAL ONLY",IF(MIN(K3379:T3379)=1,"SERVICE READY","HOLD"))</f>
        <v>SOURCE EMPTY / INDUSTRIAL ONLY</v>
      </c>
      <c r="V3379" s="9" t="n">
        <f aca="false">IF(U3379="SERVICE READY",1,0)</f>
        <v>0</v>
      </c>
      <c r="W3379" s="6"/>
      <c r="X3379" s="6"/>
      <c r="Y3379" s="6"/>
      <c r="Z3379" s="6"/>
    </row>
    <row r="3380" customFormat="false" ht="15" hidden="false" customHeight="false" outlineLevel="0" collapsed="false">
      <c r="A3380" s="9" t="s">
        <v>3657</v>
      </c>
      <c r="B3380" s="9" t="s">
        <v>3544</v>
      </c>
      <c r="C3380" s="9" t="s">
        <v>3545</v>
      </c>
      <c r="D3380" s="9" t="s">
        <v>2971</v>
      </c>
      <c r="E3380" s="9" t="s">
        <v>1660</v>
      </c>
      <c r="F3380" s="9" t="s">
        <v>197</v>
      </c>
      <c r="G3380" s="9" t="s">
        <v>221</v>
      </c>
      <c r="H3380" s="9" t="n">
        <v>1870</v>
      </c>
      <c r="I3380" s="29" t="n">
        <v>0.8</v>
      </c>
      <c r="J3380" s="9" t="n">
        <v>1</v>
      </c>
      <c r="K3380" s="30"/>
      <c r="L3380" s="30"/>
      <c r="M3380" s="30"/>
      <c r="N3380" s="30"/>
      <c r="O3380" s="30"/>
      <c r="P3380" s="30"/>
      <c r="Q3380" s="30"/>
      <c r="R3380" s="30"/>
      <c r="S3380" s="30"/>
      <c r="T3380" s="30"/>
      <c r="U3380" s="21" t="str">
        <f aca="false">IF(COUNT(K3380:T3380)=0,"SOURCE EMPTY / INDUSTRIAL ONLY",IF(MIN(K3380:T3380)=1,"SERVICE READY","HOLD"))</f>
        <v>SOURCE EMPTY / INDUSTRIAL ONLY</v>
      </c>
      <c r="V3380" s="9" t="n">
        <f aca="false">IF(U3380="SERVICE READY",1,0)</f>
        <v>0</v>
      </c>
      <c r="W3380" s="6"/>
      <c r="X3380" s="6"/>
      <c r="Y3380" s="6"/>
      <c r="Z3380" s="6"/>
    </row>
    <row r="3381" customFormat="false" ht="15" hidden="false" customHeight="false" outlineLevel="0" collapsed="false">
      <c r="A3381" s="9" t="s">
        <v>3658</v>
      </c>
      <c r="B3381" s="9" t="s">
        <v>3544</v>
      </c>
      <c r="C3381" s="9" t="s">
        <v>3545</v>
      </c>
      <c r="D3381" s="9" t="s">
        <v>2971</v>
      </c>
      <c r="E3381" s="9" t="s">
        <v>1660</v>
      </c>
      <c r="F3381" s="9" t="s">
        <v>200</v>
      </c>
      <c r="G3381" s="9" t="s">
        <v>221</v>
      </c>
      <c r="H3381" s="9" t="n">
        <v>1870</v>
      </c>
      <c r="I3381" s="29" t="n">
        <v>0.8</v>
      </c>
      <c r="J3381" s="9" t="n">
        <v>1</v>
      </c>
      <c r="K3381" s="30"/>
      <c r="L3381" s="30"/>
      <c r="M3381" s="30"/>
      <c r="N3381" s="30"/>
      <c r="O3381" s="30"/>
      <c r="P3381" s="30"/>
      <c r="Q3381" s="30"/>
      <c r="R3381" s="30"/>
      <c r="S3381" s="30"/>
      <c r="T3381" s="30"/>
      <c r="U3381" s="21" t="str">
        <f aca="false">IF(COUNT(K3381:T3381)=0,"SOURCE EMPTY / INDUSTRIAL ONLY",IF(MIN(K3381:T3381)=1,"SERVICE READY","HOLD"))</f>
        <v>SOURCE EMPTY / INDUSTRIAL ONLY</v>
      </c>
      <c r="V3381" s="9" t="n">
        <f aca="false">IF(U3381="SERVICE READY",1,0)</f>
        <v>0</v>
      </c>
      <c r="W3381" s="6"/>
      <c r="X3381" s="6"/>
      <c r="Y3381" s="6"/>
      <c r="Z3381" s="6"/>
    </row>
    <row r="3382" customFormat="false" ht="15" hidden="false" customHeight="false" outlineLevel="0" collapsed="false">
      <c r="A3382" s="9" t="s">
        <v>3659</v>
      </c>
      <c r="B3382" s="9" t="s">
        <v>3544</v>
      </c>
      <c r="C3382" s="9" t="s">
        <v>3545</v>
      </c>
      <c r="D3382" s="9" t="s">
        <v>2971</v>
      </c>
      <c r="E3382" s="9" t="s">
        <v>1660</v>
      </c>
      <c r="F3382" s="9" t="s">
        <v>203</v>
      </c>
      <c r="G3382" s="9" t="s">
        <v>221</v>
      </c>
      <c r="H3382" s="9" t="n">
        <v>1870</v>
      </c>
      <c r="I3382" s="29" t="n">
        <v>0.8</v>
      </c>
      <c r="J3382" s="9" t="n">
        <v>0</v>
      </c>
      <c r="K3382" s="30"/>
      <c r="L3382" s="30"/>
      <c r="M3382" s="30"/>
      <c r="N3382" s="30"/>
      <c r="O3382" s="30"/>
      <c r="P3382" s="30"/>
      <c r="Q3382" s="30"/>
      <c r="R3382" s="30"/>
      <c r="S3382" s="30"/>
      <c r="T3382" s="30"/>
      <c r="U3382" s="21" t="str">
        <f aca="false">IF(COUNT(K3382:T3382)=0,"SOURCE EMPTY / INDUSTRIAL ONLY",IF(MIN(K3382:T3382)=1,"SERVICE READY","HOLD"))</f>
        <v>SOURCE EMPTY / INDUSTRIAL ONLY</v>
      </c>
      <c r="V3382" s="9" t="n">
        <f aca="false">IF(U3382="SERVICE READY",1,0)</f>
        <v>0</v>
      </c>
      <c r="W3382" s="6"/>
      <c r="X3382" s="6"/>
      <c r="Y3382" s="6"/>
      <c r="Z3382" s="6"/>
    </row>
    <row r="3383" customFormat="false" ht="15" hidden="false" customHeight="false" outlineLevel="0" collapsed="false">
      <c r="A3383" s="9" t="s">
        <v>3660</v>
      </c>
      <c r="B3383" s="9" t="s">
        <v>3544</v>
      </c>
      <c r="C3383" s="9" t="s">
        <v>3545</v>
      </c>
      <c r="D3383" s="9" t="s">
        <v>2971</v>
      </c>
      <c r="E3383" s="9" t="s">
        <v>1660</v>
      </c>
      <c r="F3383" s="9" t="s">
        <v>205</v>
      </c>
      <c r="G3383" s="9" t="s">
        <v>221</v>
      </c>
      <c r="H3383" s="9" t="n">
        <v>1870</v>
      </c>
      <c r="I3383" s="29" t="n">
        <v>0.8</v>
      </c>
      <c r="J3383" s="9" t="n">
        <v>0</v>
      </c>
      <c r="K3383" s="30"/>
      <c r="L3383" s="30"/>
      <c r="M3383" s="30"/>
      <c r="N3383" s="30"/>
      <c r="O3383" s="30"/>
      <c r="P3383" s="30"/>
      <c r="Q3383" s="30"/>
      <c r="R3383" s="30"/>
      <c r="S3383" s="30"/>
      <c r="T3383" s="30"/>
      <c r="U3383" s="21" t="str">
        <f aca="false">IF(COUNT(K3383:T3383)=0,"SOURCE EMPTY / INDUSTRIAL ONLY",IF(MIN(K3383:T3383)=1,"SERVICE READY","HOLD"))</f>
        <v>SOURCE EMPTY / INDUSTRIAL ONLY</v>
      </c>
      <c r="V3383" s="9" t="n">
        <f aca="false">IF(U3383="SERVICE READY",1,0)</f>
        <v>0</v>
      </c>
      <c r="W3383" s="6"/>
      <c r="X3383" s="6"/>
      <c r="Y3383" s="6"/>
      <c r="Z3383" s="6"/>
    </row>
    <row r="3384" customFormat="false" ht="15" hidden="false" customHeight="false" outlineLevel="0" collapsed="false">
      <c r="A3384" s="9" t="s">
        <v>3661</v>
      </c>
      <c r="B3384" s="9" t="s">
        <v>3544</v>
      </c>
      <c r="C3384" s="9" t="s">
        <v>3545</v>
      </c>
      <c r="D3384" s="9" t="s">
        <v>2971</v>
      </c>
      <c r="E3384" s="9" t="s">
        <v>1660</v>
      </c>
      <c r="F3384" s="9" t="s">
        <v>207</v>
      </c>
      <c r="G3384" s="9" t="s">
        <v>221</v>
      </c>
      <c r="H3384" s="9" t="n">
        <v>1870</v>
      </c>
      <c r="I3384" s="29" t="n">
        <v>0.8</v>
      </c>
      <c r="J3384" s="9" t="n">
        <v>0</v>
      </c>
      <c r="K3384" s="30"/>
      <c r="L3384" s="30"/>
      <c r="M3384" s="30"/>
      <c r="N3384" s="30"/>
      <c r="O3384" s="30"/>
      <c r="P3384" s="30"/>
      <c r="Q3384" s="30"/>
      <c r="R3384" s="30"/>
      <c r="S3384" s="30"/>
      <c r="T3384" s="30"/>
      <c r="U3384" s="21" t="str">
        <f aca="false">IF(COUNT(K3384:T3384)=0,"SOURCE EMPTY / INDUSTRIAL ONLY",IF(MIN(K3384:T3384)=1,"SERVICE READY","HOLD"))</f>
        <v>SOURCE EMPTY / INDUSTRIAL ONLY</v>
      </c>
      <c r="V3384" s="9" t="n">
        <f aca="false">IF(U3384="SERVICE READY",1,0)</f>
        <v>0</v>
      </c>
      <c r="W3384" s="6"/>
      <c r="X3384" s="6"/>
      <c r="Y3384" s="6"/>
      <c r="Z3384" s="6"/>
    </row>
    <row r="3385" customFormat="false" ht="15" hidden="false" customHeight="false" outlineLevel="0" collapsed="false">
      <c r="A3385" s="9" t="s">
        <v>3662</v>
      </c>
      <c r="B3385" s="9" t="s">
        <v>3544</v>
      </c>
      <c r="C3385" s="9" t="s">
        <v>3545</v>
      </c>
      <c r="D3385" s="9" t="s">
        <v>2971</v>
      </c>
      <c r="E3385" s="9" t="s">
        <v>1660</v>
      </c>
      <c r="F3385" s="9" t="s">
        <v>209</v>
      </c>
      <c r="G3385" s="9" t="s">
        <v>221</v>
      </c>
      <c r="H3385" s="9" t="n">
        <v>1870</v>
      </c>
      <c r="I3385" s="29" t="n">
        <v>0.8</v>
      </c>
      <c r="J3385" s="9" t="n">
        <v>0</v>
      </c>
      <c r="K3385" s="30"/>
      <c r="L3385" s="30"/>
      <c r="M3385" s="30"/>
      <c r="N3385" s="30"/>
      <c r="O3385" s="30"/>
      <c r="P3385" s="30"/>
      <c r="Q3385" s="30"/>
      <c r="R3385" s="30"/>
      <c r="S3385" s="30"/>
      <c r="T3385" s="30"/>
      <c r="U3385" s="21" t="str">
        <f aca="false">IF(COUNT(K3385:T3385)=0,"SOURCE EMPTY / INDUSTRIAL ONLY",IF(MIN(K3385:T3385)=1,"SERVICE READY","HOLD"))</f>
        <v>SOURCE EMPTY / INDUSTRIAL ONLY</v>
      </c>
      <c r="V3385" s="9" t="n">
        <f aca="false">IF(U3385="SERVICE READY",1,0)</f>
        <v>0</v>
      </c>
      <c r="W3385" s="6"/>
      <c r="X3385" s="6"/>
      <c r="Y3385" s="6"/>
      <c r="Z3385" s="6"/>
    </row>
    <row r="3386" customFormat="false" ht="15" hidden="false" customHeight="false" outlineLevel="0" collapsed="false">
      <c r="A3386" s="9" t="s">
        <v>3663</v>
      </c>
      <c r="B3386" s="9" t="s">
        <v>3544</v>
      </c>
      <c r="C3386" s="9" t="s">
        <v>3545</v>
      </c>
      <c r="D3386" s="9" t="s">
        <v>2971</v>
      </c>
      <c r="E3386" s="9" t="s">
        <v>1660</v>
      </c>
      <c r="F3386" s="9" t="s">
        <v>211</v>
      </c>
      <c r="G3386" s="9" t="s">
        <v>221</v>
      </c>
      <c r="H3386" s="9" t="n">
        <v>1870</v>
      </c>
      <c r="I3386" s="29" t="n">
        <v>0.8</v>
      </c>
      <c r="J3386" s="9" t="n">
        <v>0</v>
      </c>
      <c r="K3386" s="30"/>
      <c r="L3386" s="30"/>
      <c r="M3386" s="30"/>
      <c r="N3386" s="30"/>
      <c r="O3386" s="30"/>
      <c r="P3386" s="30"/>
      <c r="Q3386" s="30"/>
      <c r="R3386" s="30"/>
      <c r="S3386" s="30"/>
      <c r="T3386" s="30"/>
      <c r="U3386" s="21" t="str">
        <f aca="false">IF(COUNT(K3386:T3386)=0,"SOURCE EMPTY / INDUSTRIAL ONLY",IF(MIN(K3386:T3386)=1,"SERVICE READY","HOLD"))</f>
        <v>SOURCE EMPTY / INDUSTRIAL ONLY</v>
      </c>
      <c r="V3386" s="9" t="n">
        <f aca="false">IF(U3386="SERVICE READY",1,0)</f>
        <v>0</v>
      </c>
      <c r="W3386" s="6"/>
      <c r="X3386" s="6"/>
      <c r="Y3386" s="6"/>
      <c r="Z3386" s="6"/>
    </row>
    <row r="3387" customFormat="false" ht="15" hidden="false" customHeight="false" outlineLevel="0" collapsed="false">
      <c r="A3387" s="9" t="s">
        <v>3664</v>
      </c>
      <c r="B3387" s="9" t="s">
        <v>3544</v>
      </c>
      <c r="C3387" s="9" t="s">
        <v>3545</v>
      </c>
      <c r="D3387" s="9" t="s">
        <v>2971</v>
      </c>
      <c r="E3387" s="9" t="s">
        <v>1660</v>
      </c>
      <c r="F3387" s="9" t="s">
        <v>197</v>
      </c>
      <c r="G3387" s="9" t="s">
        <v>221</v>
      </c>
      <c r="H3387" s="9" t="n">
        <v>1870</v>
      </c>
      <c r="I3387" s="29" t="n">
        <v>0.8</v>
      </c>
      <c r="J3387" s="9" t="n">
        <v>0</v>
      </c>
      <c r="K3387" s="30"/>
      <c r="L3387" s="30"/>
      <c r="M3387" s="30"/>
      <c r="N3387" s="30"/>
      <c r="O3387" s="30"/>
      <c r="P3387" s="30"/>
      <c r="Q3387" s="30"/>
      <c r="R3387" s="30"/>
      <c r="S3387" s="30"/>
      <c r="T3387" s="30"/>
      <c r="U3387" s="21" t="str">
        <f aca="false">IF(COUNT(K3387:T3387)=0,"SOURCE EMPTY / INDUSTRIAL ONLY",IF(MIN(K3387:T3387)=1,"SERVICE READY","HOLD"))</f>
        <v>SOURCE EMPTY / INDUSTRIAL ONLY</v>
      </c>
      <c r="V3387" s="9" t="n">
        <f aca="false">IF(U3387="SERVICE READY",1,0)</f>
        <v>0</v>
      </c>
      <c r="W3387" s="6"/>
      <c r="X3387" s="6"/>
      <c r="Y3387" s="6"/>
      <c r="Z3387" s="6"/>
    </row>
    <row r="3388" customFormat="false" ht="15" hidden="false" customHeight="false" outlineLevel="0" collapsed="false">
      <c r="A3388" s="9" t="s">
        <v>3665</v>
      </c>
      <c r="B3388" s="9" t="s">
        <v>3544</v>
      </c>
      <c r="C3388" s="9" t="s">
        <v>3545</v>
      </c>
      <c r="D3388" s="9" t="s">
        <v>2971</v>
      </c>
      <c r="E3388" s="9" t="s">
        <v>1660</v>
      </c>
      <c r="F3388" s="9" t="s">
        <v>200</v>
      </c>
      <c r="G3388" s="9" t="s">
        <v>221</v>
      </c>
      <c r="H3388" s="9" t="n">
        <v>1870</v>
      </c>
      <c r="I3388" s="29" t="n">
        <v>0.8</v>
      </c>
      <c r="J3388" s="9" t="n">
        <v>0</v>
      </c>
      <c r="K3388" s="30"/>
      <c r="L3388" s="30"/>
      <c r="M3388" s="30"/>
      <c r="N3388" s="30"/>
      <c r="O3388" s="30"/>
      <c r="P3388" s="30"/>
      <c r="Q3388" s="30"/>
      <c r="R3388" s="30"/>
      <c r="S3388" s="30"/>
      <c r="T3388" s="30"/>
      <c r="U3388" s="21" t="str">
        <f aca="false">IF(COUNT(K3388:T3388)=0,"SOURCE EMPTY / INDUSTRIAL ONLY",IF(MIN(K3388:T3388)=1,"SERVICE READY","HOLD"))</f>
        <v>SOURCE EMPTY / INDUSTRIAL ONLY</v>
      </c>
      <c r="V3388" s="9" t="n">
        <f aca="false">IF(U3388="SERVICE READY",1,0)</f>
        <v>0</v>
      </c>
      <c r="W3388" s="6"/>
      <c r="X3388" s="6"/>
      <c r="Y3388" s="6"/>
      <c r="Z3388" s="6"/>
    </row>
    <row r="3389" customFormat="false" ht="15" hidden="false" customHeight="false" outlineLevel="0" collapsed="false">
      <c r="A3389" s="9" t="s">
        <v>3666</v>
      </c>
      <c r="B3389" s="9" t="s">
        <v>3544</v>
      </c>
      <c r="C3389" s="9" t="s">
        <v>3545</v>
      </c>
      <c r="D3389" s="9" t="s">
        <v>2971</v>
      </c>
      <c r="E3389" s="9" t="s">
        <v>1660</v>
      </c>
      <c r="F3389" s="9" t="s">
        <v>203</v>
      </c>
      <c r="G3389" s="9" t="s">
        <v>221</v>
      </c>
      <c r="H3389" s="9" t="n">
        <v>1870</v>
      </c>
      <c r="I3389" s="29" t="n">
        <v>0.8</v>
      </c>
      <c r="J3389" s="9" t="n">
        <v>0</v>
      </c>
      <c r="K3389" s="30"/>
      <c r="L3389" s="30"/>
      <c r="M3389" s="30"/>
      <c r="N3389" s="30"/>
      <c r="O3389" s="30"/>
      <c r="P3389" s="30"/>
      <c r="Q3389" s="30"/>
      <c r="R3389" s="30"/>
      <c r="S3389" s="30"/>
      <c r="T3389" s="30"/>
      <c r="U3389" s="21" t="str">
        <f aca="false">IF(COUNT(K3389:T3389)=0,"SOURCE EMPTY / INDUSTRIAL ONLY",IF(MIN(K3389:T3389)=1,"SERVICE READY","HOLD"))</f>
        <v>SOURCE EMPTY / INDUSTRIAL ONLY</v>
      </c>
      <c r="V3389" s="9" t="n">
        <f aca="false">IF(U3389="SERVICE READY",1,0)</f>
        <v>0</v>
      </c>
      <c r="W3389" s="6"/>
      <c r="X3389" s="6"/>
      <c r="Y3389" s="6"/>
      <c r="Z3389" s="6"/>
    </row>
    <row r="3390" customFormat="false" ht="15" hidden="false" customHeight="false" outlineLevel="0" collapsed="false">
      <c r="A3390" s="9" t="s">
        <v>3667</v>
      </c>
      <c r="B3390" s="9" t="s">
        <v>3544</v>
      </c>
      <c r="C3390" s="9" t="s">
        <v>3545</v>
      </c>
      <c r="D3390" s="9" t="s">
        <v>2971</v>
      </c>
      <c r="E3390" s="9" t="s">
        <v>1660</v>
      </c>
      <c r="F3390" s="9" t="s">
        <v>205</v>
      </c>
      <c r="G3390" s="9" t="s">
        <v>221</v>
      </c>
      <c r="H3390" s="9" t="n">
        <v>1870</v>
      </c>
      <c r="I3390" s="29" t="n">
        <v>0.8</v>
      </c>
      <c r="J3390" s="9" t="n">
        <v>0</v>
      </c>
      <c r="K3390" s="30"/>
      <c r="L3390" s="30"/>
      <c r="M3390" s="30"/>
      <c r="N3390" s="30"/>
      <c r="O3390" s="30"/>
      <c r="P3390" s="30"/>
      <c r="Q3390" s="30"/>
      <c r="R3390" s="30"/>
      <c r="S3390" s="30"/>
      <c r="T3390" s="30"/>
      <c r="U3390" s="21" t="str">
        <f aca="false">IF(COUNT(K3390:T3390)=0,"SOURCE EMPTY / INDUSTRIAL ONLY",IF(MIN(K3390:T3390)=1,"SERVICE READY","HOLD"))</f>
        <v>SOURCE EMPTY / INDUSTRIAL ONLY</v>
      </c>
      <c r="V3390" s="9" t="n">
        <f aca="false">IF(U3390="SERVICE READY",1,0)</f>
        <v>0</v>
      </c>
      <c r="W3390" s="6"/>
      <c r="X3390" s="6"/>
      <c r="Y3390" s="6"/>
      <c r="Z3390" s="6"/>
    </row>
    <row r="3391" customFormat="false" ht="15" hidden="false" customHeight="false" outlineLevel="0" collapsed="false">
      <c r="A3391" s="9" t="s">
        <v>3668</v>
      </c>
      <c r="B3391" s="9" t="s">
        <v>3544</v>
      </c>
      <c r="C3391" s="9" t="s">
        <v>3545</v>
      </c>
      <c r="D3391" s="9" t="s">
        <v>2971</v>
      </c>
      <c r="E3391" s="9" t="s">
        <v>1660</v>
      </c>
      <c r="F3391" s="9" t="s">
        <v>207</v>
      </c>
      <c r="G3391" s="9" t="s">
        <v>221</v>
      </c>
      <c r="H3391" s="9" t="n">
        <v>1870</v>
      </c>
      <c r="I3391" s="29" t="n">
        <v>0.8</v>
      </c>
      <c r="J3391" s="9" t="n">
        <v>0</v>
      </c>
      <c r="K3391" s="30"/>
      <c r="L3391" s="30"/>
      <c r="M3391" s="30"/>
      <c r="N3391" s="30"/>
      <c r="O3391" s="30"/>
      <c r="P3391" s="30"/>
      <c r="Q3391" s="30"/>
      <c r="R3391" s="30"/>
      <c r="S3391" s="30"/>
      <c r="T3391" s="30"/>
      <c r="U3391" s="21" t="str">
        <f aca="false">IF(COUNT(K3391:T3391)=0,"SOURCE EMPTY / INDUSTRIAL ONLY",IF(MIN(K3391:T3391)=1,"SERVICE READY","HOLD"))</f>
        <v>SOURCE EMPTY / INDUSTRIAL ONLY</v>
      </c>
      <c r="V3391" s="9" t="n">
        <f aca="false">IF(U3391="SERVICE READY",1,0)</f>
        <v>0</v>
      </c>
      <c r="W3391" s="6"/>
      <c r="X3391" s="6"/>
      <c r="Y3391" s="6"/>
      <c r="Z3391" s="6"/>
    </row>
    <row r="3392" customFormat="false" ht="15" hidden="false" customHeight="false" outlineLevel="0" collapsed="false">
      <c r="A3392" s="9" t="s">
        <v>3669</v>
      </c>
      <c r="B3392" s="9" t="s">
        <v>3544</v>
      </c>
      <c r="C3392" s="9" t="s">
        <v>3545</v>
      </c>
      <c r="D3392" s="9" t="s">
        <v>2971</v>
      </c>
      <c r="E3392" s="9" t="s">
        <v>1660</v>
      </c>
      <c r="F3392" s="9" t="s">
        <v>209</v>
      </c>
      <c r="G3392" s="9" t="s">
        <v>221</v>
      </c>
      <c r="H3392" s="9" t="n">
        <v>1870</v>
      </c>
      <c r="I3392" s="29" t="n">
        <v>0.8</v>
      </c>
      <c r="J3392" s="9" t="n">
        <v>0</v>
      </c>
      <c r="K3392" s="30"/>
      <c r="L3392" s="30"/>
      <c r="M3392" s="30"/>
      <c r="N3392" s="30"/>
      <c r="O3392" s="30"/>
      <c r="P3392" s="30"/>
      <c r="Q3392" s="30"/>
      <c r="R3392" s="30"/>
      <c r="S3392" s="30"/>
      <c r="T3392" s="30"/>
      <c r="U3392" s="21" t="str">
        <f aca="false">IF(COUNT(K3392:T3392)=0,"SOURCE EMPTY / INDUSTRIAL ONLY",IF(MIN(K3392:T3392)=1,"SERVICE READY","HOLD"))</f>
        <v>SOURCE EMPTY / INDUSTRIAL ONLY</v>
      </c>
      <c r="V3392" s="9" t="n">
        <f aca="false">IF(U3392="SERVICE READY",1,0)</f>
        <v>0</v>
      </c>
      <c r="W3392" s="6"/>
      <c r="X3392" s="6"/>
      <c r="Y3392" s="6"/>
      <c r="Z3392" s="6"/>
    </row>
    <row r="3393" customFormat="false" ht="15" hidden="false" customHeight="false" outlineLevel="0" collapsed="false">
      <c r="A3393" s="9" t="s">
        <v>3670</v>
      </c>
      <c r="B3393" s="9" t="s">
        <v>3544</v>
      </c>
      <c r="C3393" s="9" t="s">
        <v>3545</v>
      </c>
      <c r="D3393" s="9" t="s">
        <v>2971</v>
      </c>
      <c r="E3393" s="9" t="s">
        <v>1660</v>
      </c>
      <c r="F3393" s="9" t="s">
        <v>211</v>
      </c>
      <c r="G3393" s="9" t="s">
        <v>221</v>
      </c>
      <c r="H3393" s="9" t="n">
        <v>1870</v>
      </c>
      <c r="I3393" s="29" t="n">
        <v>0.8</v>
      </c>
      <c r="J3393" s="9" t="n">
        <v>0</v>
      </c>
      <c r="K3393" s="30"/>
      <c r="L3393" s="30"/>
      <c r="M3393" s="30"/>
      <c r="N3393" s="30"/>
      <c r="O3393" s="30"/>
      <c r="P3393" s="30"/>
      <c r="Q3393" s="30"/>
      <c r="R3393" s="30"/>
      <c r="S3393" s="30"/>
      <c r="T3393" s="30"/>
      <c r="U3393" s="21" t="str">
        <f aca="false">IF(COUNT(K3393:T3393)=0,"SOURCE EMPTY / INDUSTRIAL ONLY",IF(MIN(K3393:T3393)=1,"SERVICE READY","HOLD"))</f>
        <v>SOURCE EMPTY / INDUSTRIAL ONLY</v>
      </c>
      <c r="V3393" s="9" t="n">
        <f aca="false">IF(U3393="SERVICE READY",1,0)</f>
        <v>0</v>
      </c>
      <c r="W3393" s="6"/>
      <c r="X3393" s="6"/>
      <c r="Y3393" s="6"/>
      <c r="Z3393" s="6"/>
    </row>
    <row r="3394" customFormat="false" ht="15" hidden="false" customHeight="false" outlineLevel="0" collapsed="false">
      <c r="A3394" s="9" t="s">
        <v>3671</v>
      </c>
      <c r="B3394" s="9" t="s">
        <v>3544</v>
      </c>
      <c r="C3394" s="9" t="s">
        <v>3545</v>
      </c>
      <c r="D3394" s="9" t="s">
        <v>2971</v>
      </c>
      <c r="E3394" s="9" t="s">
        <v>1660</v>
      </c>
      <c r="F3394" s="9" t="s">
        <v>197</v>
      </c>
      <c r="G3394" s="9" t="s">
        <v>221</v>
      </c>
      <c r="H3394" s="9" t="n">
        <v>1870</v>
      </c>
      <c r="I3394" s="29" t="n">
        <v>0.8</v>
      </c>
      <c r="J3394" s="9" t="n">
        <v>0</v>
      </c>
      <c r="K3394" s="30"/>
      <c r="L3394" s="30"/>
      <c r="M3394" s="30"/>
      <c r="N3394" s="30"/>
      <c r="O3394" s="30"/>
      <c r="P3394" s="30"/>
      <c r="Q3394" s="30"/>
      <c r="R3394" s="30"/>
      <c r="S3394" s="30"/>
      <c r="T3394" s="30"/>
      <c r="U3394" s="21" t="str">
        <f aca="false">IF(COUNT(K3394:T3394)=0,"SOURCE EMPTY / INDUSTRIAL ONLY",IF(MIN(K3394:T3394)=1,"SERVICE READY","HOLD"))</f>
        <v>SOURCE EMPTY / INDUSTRIAL ONLY</v>
      </c>
      <c r="V3394" s="9" t="n">
        <f aca="false">IF(U3394="SERVICE READY",1,0)</f>
        <v>0</v>
      </c>
      <c r="W3394" s="6"/>
      <c r="X3394" s="6"/>
      <c r="Y3394" s="6"/>
      <c r="Z3394" s="6"/>
    </row>
    <row r="3395" customFormat="false" ht="15" hidden="false" customHeight="false" outlineLevel="0" collapsed="false">
      <c r="A3395" s="9" t="s">
        <v>3672</v>
      </c>
      <c r="B3395" s="9" t="s">
        <v>3544</v>
      </c>
      <c r="C3395" s="9" t="s">
        <v>3545</v>
      </c>
      <c r="D3395" s="9" t="s">
        <v>2971</v>
      </c>
      <c r="E3395" s="9" t="s">
        <v>1660</v>
      </c>
      <c r="F3395" s="9" t="s">
        <v>200</v>
      </c>
      <c r="G3395" s="9" t="s">
        <v>221</v>
      </c>
      <c r="H3395" s="9" t="n">
        <v>1870</v>
      </c>
      <c r="I3395" s="29" t="n">
        <v>0.8</v>
      </c>
      <c r="J3395" s="9" t="n">
        <v>0</v>
      </c>
      <c r="K3395" s="30"/>
      <c r="L3395" s="30"/>
      <c r="M3395" s="30"/>
      <c r="N3395" s="30"/>
      <c r="O3395" s="30"/>
      <c r="P3395" s="30"/>
      <c r="Q3395" s="30"/>
      <c r="R3395" s="30"/>
      <c r="S3395" s="30"/>
      <c r="T3395" s="30"/>
      <c r="U3395" s="21" t="str">
        <f aca="false">IF(COUNT(K3395:T3395)=0,"SOURCE EMPTY / INDUSTRIAL ONLY",IF(MIN(K3395:T3395)=1,"SERVICE READY","HOLD"))</f>
        <v>SOURCE EMPTY / INDUSTRIAL ONLY</v>
      </c>
      <c r="V3395" s="9" t="n">
        <f aca="false">IF(U3395="SERVICE READY",1,0)</f>
        <v>0</v>
      </c>
      <c r="W3395" s="6"/>
      <c r="X3395" s="6"/>
      <c r="Y3395" s="6"/>
      <c r="Z3395" s="6"/>
    </row>
    <row r="3396" customFormat="false" ht="15" hidden="false" customHeight="false" outlineLevel="0" collapsed="false">
      <c r="A3396" s="9" t="s">
        <v>3673</v>
      </c>
      <c r="B3396" s="9" t="s">
        <v>3544</v>
      </c>
      <c r="C3396" s="9" t="s">
        <v>3545</v>
      </c>
      <c r="D3396" s="9" t="s">
        <v>2971</v>
      </c>
      <c r="E3396" s="9" t="s">
        <v>1660</v>
      </c>
      <c r="F3396" s="9" t="s">
        <v>203</v>
      </c>
      <c r="G3396" s="9" t="s">
        <v>221</v>
      </c>
      <c r="H3396" s="9" t="n">
        <v>1870</v>
      </c>
      <c r="I3396" s="29" t="n">
        <v>0.8</v>
      </c>
      <c r="J3396" s="9" t="n">
        <v>0</v>
      </c>
      <c r="K3396" s="30"/>
      <c r="L3396" s="30"/>
      <c r="M3396" s="30"/>
      <c r="N3396" s="30"/>
      <c r="O3396" s="30"/>
      <c r="P3396" s="30"/>
      <c r="Q3396" s="30"/>
      <c r="R3396" s="30"/>
      <c r="S3396" s="30"/>
      <c r="T3396" s="30"/>
      <c r="U3396" s="21" t="str">
        <f aca="false">IF(COUNT(K3396:T3396)=0,"SOURCE EMPTY / INDUSTRIAL ONLY",IF(MIN(K3396:T3396)=1,"SERVICE READY","HOLD"))</f>
        <v>SOURCE EMPTY / INDUSTRIAL ONLY</v>
      </c>
      <c r="V3396" s="9" t="n">
        <f aca="false">IF(U3396="SERVICE READY",1,0)</f>
        <v>0</v>
      </c>
      <c r="W3396" s="6"/>
      <c r="X3396" s="6"/>
      <c r="Y3396" s="6"/>
      <c r="Z3396" s="6"/>
    </row>
    <row r="3397" customFormat="false" ht="15" hidden="false" customHeight="false" outlineLevel="0" collapsed="false">
      <c r="A3397" s="9" t="s">
        <v>3674</v>
      </c>
      <c r="B3397" s="9" t="s">
        <v>3544</v>
      </c>
      <c r="C3397" s="9" t="s">
        <v>3545</v>
      </c>
      <c r="D3397" s="9" t="s">
        <v>2971</v>
      </c>
      <c r="E3397" s="9" t="s">
        <v>1660</v>
      </c>
      <c r="F3397" s="9" t="s">
        <v>205</v>
      </c>
      <c r="G3397" s="9" t="s">
        <v>221</v>
      </c>
      <c r="H3397" s="9" t="n">
        <v>1870</v>
      </c>
      <c r="I3397" s="29" t="n">
        <v>0.8</v>
      </c>
      <c r="J3397" s="9" t="n">
        <v>0</v>
      </c>
      <c r="K3397" s="30"/>
      <c r="L3397" s="30"/>
      <c r="M3397" s="30"/>
      <c r="N3397" s="30"/>
      <c r="O3397" s="30"/>
      <c r="P3397" s="30"/>
      <c r="Q3397" s="30"/>
      <c r="R3397" s="30"/>
      <c r="S3397" s="30"/>
      <c r="T3397" s="30"/>
      <c r="U3397" s="21" t="str">
        <f aca="false">IF(COUNT(K3397:T3397)=0,"SOURCE EMPTY / INDUSTRIAL ONLY",IF(MIN(K3397:T3397)=1,"SERVICE READY","HOLD"))</f>
        <v>SOURCE EMPTY / INDUSTRIAL ONLY</v>
      </c>
      <c r="V3397" s="9" t="n">
        <f aca="false">IF(U3397="SERVICE READY",1,0)</f>
        <v>0</v>
      </c>
      <c r="W3397" s="6"/>
      <c r="X3397" s="6"/>
      <c r="Y3397" s="6"/>
      <c r="Z3397" s="6"/>
    </row>
    <row r="3398" customFormat="false" ht="15" hidden="false" customHeight="false" outlineLevel="0" collapsed="false">
      <c r="A3398" s="9" t="s">
        <v>3675</v>
      </c>
      <c r="B3398" s="9" t="s">
        <v>3544</v>
      </c>
      <c r="C3398" s="9" t="s">
        <v>3545</v>
      </c>
      <c r="D3398" s="9" t="s">
        <v>2971</v>
      </c>
      <c r="E3398" s="9" t="s">
        <v>1660</v>
      </c>
      <c r="F3398" s="9" t="s">
        <v>207</v>
      </c>
      <c r="G3398" s="9" t="s">
        <v>221</v>
      </c>
      <c r="H3398" s="9" t="n">
        <v>1870</v>
      </c>
      <c r="I3398" s="29" t="n">
        <v>0.8</v>
      </c>
      <c r="J3398" s="9" t="n">
        <v>0</v>
      </c>
      <c r="K3398" s="30"/>
      <c r="L3398" s="30"/>
      <c r="M3398" s="30"/>
      <c r="N3398" s="30"/>
      <c r="O3398" s="30"/>
      <c r="P3398" s="30"/>
      <c r="Q3398" s="30"/>
      <c r="R3398" s="30"/>
      <c r="S3398" s="30"/>
      <c r="T3398" s="30"/>
      <c r="U3398" s="21" t="str">
        <f aca="false">IF(COUNT(K3398:T3398)=0,"SOURCE EMPTY / INDUSTRIAL ONLY",IF(MIN(K3398:T3398)=1,"SERVICE READY","HOLD"))</f>
        <v>SOURCE EMPTY / INDUSTRIAL ONLY</v>
      </c>
      <c r="V3398" s="9" t="n">
        <f aca="false">IF(U3398="SERVICE READY",1,0)</f>
        <v>0</v>
      </c>
      <c r="W3398" s="6"/>
      <c r="X3398" s="6"/>
      <c r="Y3398" s="6"/>
      <c r="Z3398" s="6"/>
    </row>
    <row r="3399" customFormat="false" ht="15" hidden="false" customHeight="false" outlineLevel="0" collapsed="false">
      <c r="A3399" s="9" t="s">
        <v>3676</v>
      </c>
      <c r="B3399" s="9" t="s">
        <v>3544</v>
      </c>
      <c r="C3399" s="9" t="s">
        <v>3545</v>
      </c>
      <c r="D3399" s="9" t="s">
        <v>2971</v>
      </c>
      <c r="E3399" s="9" t="s">
        <v>1660</v>
      </c>
      <c r="F3399" s="9" t="s">
        <v>209</v>
      </c>
      <c r="G3399" s="9" t="s">
        <v>221</v>
      </c>
      <c r="H3399" s="9" t="n">
        <v>1870</v>
      </c>
      <c r="I3399" s="29" t="n">
        <v>0.8</v>
      </c>
      <c r="J3399" s="9" t="n">
        <v>0</v>
      </c>
      <c r="K3399" s="30"/>
      <c r="L3399" s="30"/>
      <c r="M3399" s="30"/>
      <c r="N3399" s="30"/>
      <c r="O3399" s="30"/>
      <c r="P3399" s="30"/>
      <c r="Q3399" s="30"/>
      <c r="R3399" s="30"/>
      <c r="S3399" s="30"/>
      <c r="T3399" s="30"/>
      <c r="U3399" s="21" t="str">
        <f aca="false">IF(COUNT(K3399:T3399)=0,"SOURCE EMPTY / INDUSTRIAL ONLY",IF(MIN(K3399:T3399)=1,"SERVICE READY","HOLD"))</f>
        <v>SOURCE EMPTY / INDUSTRIAL ONLY</v>
      </c>
      <c r="V3399" s="9" t="n">
        <f aca="false">IF(U3399="SERVICE READY",1,0)</f>
        <v>0</v>
      </c>
      <c r="W3399" s="6"/>
      <c r="X3399" s="6"/>
      <c r="Y3399" s="6"/>
      <c r="Z3399" s="6"/>
    </row>
    <row r="3400" customFormat="false" ht="15" hidden="false" customHeight="false" outlineLevel="0" collapsed="false">
      <c r="A3400" s="9" t="s">
        <v>3677</v>
      </c>
      <c r="B3400" s="9" t="s">
        <v>3544</v>
      </c>
      <c r="C3400" s="9" t="s">
        <v>3545</v>
      </c>
      <c r="D3400" s="9" t="s">
        <v>2971</v>
      </c>
      <c r="E3400" s="9" t="s">
        <v>1660</v>
      </c>
      <c r="F3400" s="9" t="s">
        <v>211</v>
      </c>
      <c r="G3400" s="9" t="s">
        <v>221</v>
      </c>
      <c r="H3400" s="9" t="n">
        <v>1870</v>
      </c>
      <c r="I3400" s="29" t="n">
        <v>0.8</v>
      </c>
      <c r="J3400" s="9" t="n">
        <v>0</v>
      </c>
      <c r="K3400" s="30"/>
      <c r="L3400" s="30"/>
      <c r="M3400" s="30"/>
      <c r="N3400" s="30"/>
      <c r="O3400" s="30"/>
      <c r="P3400" s="30"/>
      <c r="Q3400" s="30"/>
      <c r="R3400" s="30"/>
      <c r="S3400" s="30"/>
      <c r="T3400" s="30"/>
      <c r="U3400" s="21" t="str">
        <f aca="false">IF(COUNT(K3400:T3400)=0,"SOURCE EMPTY / INDUSTRIAL ONLY",IF(MIN(K3400:T3400)=1,"SERVICE READY","HOLD"))</f>
        <v>SOURCE EMPTY / INDUSTRIAL ONLY</v>
      </c>
      <c r="V3400" s="9" t="n">
        <f aca="false">IF(U3400="SERVICE READY",1,0)</f>
        <v>0</v>
      </c>
      <c r="W3400" s="6"/>
      <c r="X3400" s="6"/>
      <c r="Y3400" s="6"/>
      <c r="Z3400" s="6"/>
    </row>
    <row r="3401" customFormat="false" ht="15" hidden="false" customHeight="false" outlineLevel="0" collapsed="false">
      <c r="A3401" s="9" t="s">
        <v>3678</v>
      </c>
      <c r="B3401" s="9" t="s">
        <v>3544</v>
      </c>
      <c r="C3401" s="9" t="s">
        <v>3545</v>
      </c>
      <c r="D3401" s="9" t="s">
        <v>2971</v>
      </c>
      <c r="E3401" s="9" t="s">
        <v>1660</v>
      </c>
      <c r="F3401" s="9" t="s">
        <v>197</v>
      </c>
      <c r="G3401" s="9" t="s">
        <v>221</v>
      </c>
      <c r="H3401" s="9" t="n">
        <v>1870</v>
      </c>
      <c r="I3401" s="29" t="n">
        <v>0.8</v>
      </c>
      <c r="J3401" s="9" t="n">
        <v>0</v>
      </c>
      <c r="K3401" s="30"/>
      <c r="L3401" s="30"/>
      <c r="M3401" s="30"/>
      <c r="N3401" s="30"/>
      <c r="O3401" s="30"/>
      <c r="P3401" s="30"/>
      <c r="Q3401" s="30"/>
      <c r="R3401" s="30"/>
      <c r="S3401" s="30"/>
      <c r="T3401" s="30"/>
      <c r="U3401" s="21" t="str">
        <f aca="false">IF(COUNT(K3401:T3401)=0,"SOURCE EMPTY / INDUSTRIAL ONLY",IF(MIN(K3401:T3401)=1,"SERVICE READY","HOLD"))</f>
        <v>SOURCE EMPTY / INDUSTRIAL ONLY</v>
      </c>
      <c r="V3401" s="9" t="n">
        <f aca="false">IF(U3401="SERVICE READY",1,0)</f>
        <v>0</v>
      </c>
      <c r="W3401" s="6"/>
      <c r="X3401" s="6"/>
      <c r="Y3401" s="6"/>
      <c r="Z3401" s="6"/>
    </row>
    <row r="3402" customFormat="false" ht="15" hidden="false" customHeight="false" outlineLevel="0" collapsed="false">
      <c r="A3402" s="9" t="s">
        <v>3679</v>
      </c>
      <c r="B3402" s="9" t="s">
        <v>3544</v>
      </c>
      <c r="C3402" s="9" t="s">
        <v>3545</v>
      </c>
      <c r="D3402" s="9" t="s">
        <v>2971</v>
      </c>
      <c r="E3402" s="9" t="s">
        <v>1660</v>
      </c>
      <c r="F3402" s="9" t="s">
        <v>200</v>
      </c>
      <c r="G3402" s="9" t="s">
        <v>221</v>
      </c>
      <c r="H3402" s="9" t="n">
        <v>1870</v>
      </c>
      <c r="I3402" s="29" t="n">
        <v>0.8</v>
      </c>
      <c r="J3402" s="9" t="n">
        <v>0</v>
      </c>
      <c r="K3402" s="30"/>
      <c r="L3402" s="30"/>
      <c r="M3402" s="30"/>
      <c r="N3402" s="30"/>
      <c r="O3402" s="30"/>
      <c r="P3402" s="30"/>
      <c r="Q3402" s="30"/>
      <c r="R3402" s="30"/>
      <c r="S3402" s="30"/>
      <c r="T3402" s="30"/>
      <c r="U3402" s="21" t="str">
        <f aca="false">IF(COUNT(K3402:T3402)=0,"SOURCE EMPTY / INDUSTRIAL ONLY",IF(MIN(K3402:T3402)=1,"SERVICE READY","HOLD"))</f>
        <v>SOURCE EMPTY / INDUSTRIAL ONLY</v>
      </c>
      <c r="V3402" s="9" t="n">
        <f aca="false">IF(U3402="SERVICE READY",1,0)</f>
        <v>0</v>
      </c>
      <c r="W3402" s="6"/>
      <c r="X3402" s="6"/>
      <c r="Y3402" s="6"/>
      <c r="Z3402" s="6"/>
    </row>
    <row r="3403" customFormat="false" ht="15" hidden="false" customHeight="false" outlineLevel="0" collapsed="false">
      <c r="A3403" s="9" t="s">
        <v>3680</v>
      </c>
      <c r="B3403" s="9" t="s">
        <v>3544</v>
      </c>
      <c r="C3403" s="9" t="s">
        <v>3545</v>
      </c>
      <c r="D3403" s="9" t="s">
        <v>2971</v>
      </c>
      <c r="E3403" s="9" t="s">
        <v>1660</v>
      </c>
      <c r="F3403" s="9" t="s">
        <v>203</v>
      </c>
      <c r="G3403" s="9" t="s">
        <v>221</v>
      </c>
      <c r="H3403" s="9" t="n">
        <v>1870</v>
      </c>
      <c r="I3403" s="29" t="n">
        <v>0.8</v>
      </c>
      <c r="J3403" s="9" t="n">
        <v>0</v>
      </c>
      <c r="K3403" s="30"/>
      <c r="L3403" s="30"/>
      <c r="M3403" s="30"/>
      <c r="N3403" s="30"/>
      <c r="O3403" s="30"/>
      <c r="P3403" s="30"/>
      <c r="Q3403" s="30"/>
      <c r="R3403" s="30"/>
      <c r="S3403" s="30"/>
      <c r="T3403" s="30"/>
      <c r="U3403" s="21" t="str">
        <f aca="false">IF(COUNT(K3403:T3403)=0,"SOURCE EMPTY / INDUSTRIAL ONLY",IF(MIN(K3403:T3403)=1,"SERVICE READY","HOLD"))</f>
        <v>SOURCE EMPTY / INDUSTRIAL ONLY</v>
      </c>
      <c r="V3403" s="9" t="n">
        <f aca="false">IF(U3403="SERVICE READY",1,0)</f>
        <v>0</v>
      </c>
      <c r="W3403" s="6"/>
      <c r="X3403" s="6"/>
      <c r="Y3403" s="6"/>
      <c r="Z3403" s="6"/>
    </row>
    <row r="3404" customFormat="false" ht="15" hidden="false" customHeight="false" outlineLevel="0" collapsed="false">
      <c r="A3404" s="9" t="s">
        <v>3681</v>
      </c>
      <c r="B3404" s="9" t="s">
        <v>3544</v>
      </c>
      <c r="C3404" s="9" t="s">
        <v>3545</v>
      </c>
      <c r="D3404" s="9" t="s">
        <v>2971</v>
      </c>
      <c r="E3404" s="9" t="s">
        <v>1660</v>
      </c>
      <c r="F3404" s="9" t="s">
        <v>205</v>
      </c>
      <c r="G3404" s="9" t="s">
        <v>221</v>
      </c>
      <c r="H3404" s="9" t="n">
        <v>1870</v>
      </c>
      <c r="I3404" s="29" t="n">
        <v>0.8</v>
      </c>
      <c r="J3404" s="9" t="n">
        <v>0</v>
      </c>
      <c r="K3404" s="30"/>
      <c r="L3404" s="30"/>
      <c r="M3404" s="30"/>
      <c r="N3404" s="30"/>
      <c r="O3404" s="30"/>
      <c r="P3404" s="30"/>
      <c r="Q3404" s="30"/>
      <c r="R3404" s="30"/>
      <c r="S3404" s="30"/>
      <c r="T3404" s="30"/>
      <c r="U3404" s="21" t="str">
        <f aca="false">IF(COUNT(K3404:T3404)=0,"SOURCE EMPTY / INDUSTRIAL ONLY",IF(MIN(K3404:T3404)=1,"SERVICE READY","HOLD"))</f>
        <v>SOURCE EMPTY / INDUSTRIAL ONLY</v>
      </c>
      <c r="V3404" s="9" t="n">
        <f aca="false">IF(U3404="SERVICE READY",1,0)</f>
        <v>0</v>
      </c>
      <c r="W3404" s="6"/>
      <c r="X3404" s="6"/>
      <c r="Y3404" s="6"/>
      <c r="Z3404" s="6"/>
    </row>
    <row r="3405" customFormat="false" ht="15" hidden="false" customHeight="false" outlineLevel="0" collapsed="false">
      <c r="A3405" s="9" t="s">
        <v>3682</v>
      </c>
      <c r="B3405" s="9" t="s">
        <v>3544</v>
      </c>
      <c r="C3405" s="9" t="s">
        <v>3545</v>
      </c>
      <c r="D3405" s="9" t="s">
        <v>2971</v>
      </c>
      <c r="E3405" s="9" t="s">
        <v>1660</v>
      </c>
      <c r="F3405" s="9" t="s">
        <v>207</v>
      </c>
      <c r="G3405" s="9" t="s">
        <v>221</v>
      </c>
      <c r="H3405" s="9" t="n">
        <v>1870</v>
      </c>
      <c r="I3405" s="29" t="n">
        <v>0.8</v>
      </c>
      <c r="J3405" s="9" t="n">
        <v>0</v>
      </c>
      <c r="K3405" s="30"/>
      <c r="L3405" s="30"/>
      <c r="M3405" s="30"/>
      <c r="N3405" s="30"/>
      <c r="O3405" s="30"/>
      <c r="P3405" s="30"/>
      <c r="Q3405" s="30"/>
      <c r="R3405" s="30"/>
      <c r="S3405" s="30"/>
      <c r="T3405" s="30"/>
      <c r="U3405" s="21" t="str">
        <f aca="false">IF(COUNT(K3405:T3405)=0,"SOURCE EMPTY / INDUSTRIAL ONLY",IF(MIN(K3405:T3405)=1,"SERVICE READY","HOLD"))</f>
        <v>SOURCE EMPTY / INDUSTRIAL ONLY</v>
      </c>
      <c r="V3405" s="9" t="n">
        <f aca="false">IF(U3405="SERVICE READY",1,0)</f>
        <v>0</v>
      </c>
      <c r="W3405" s="6"/>
      <c r="X3405" s="6"/>
      <c r="Y3405" s="6"/>
      <c r="Z3405" s="6"/>
    </row>
    <row r="3406" customFormat="false" ht="15" hidden="false" customHeight="false" outlineLevel="0" collapsed="false">
      <c r="A3406" s="9" t="s">
        <v>3683</v>
      </c>
      <c r="B3406" s="9" t="s">
        <v>3544</v>
      </c>
      <c r="C3406" s="9" t="s">
        <v>3545</v>
      </c>
      <c r="D3406" s="9" t="s">
        <v>2971</v>
      </c>
      <c r="E3406" s="9" t="s">
        <v>1660</v>
      </c>
      <c r="F3406" s="9" t="s">
        <v>209</v>
      </c>
      <c r="G3406" s="9" t="s">
        <v>221</v>
      </c>
      <c r="H3406" s="9" t="n">
        <v>1870</v>
      </c>
      <c r="I3406" s="29" t="n">
        <v>0.8</v>
      </c>
      <c r="J3406" s="9" t="n">
        <v>0</v>
      </c>
      <c r="K3406" s="30"/>
      <c r="L3406" s="30"/>
      <c r="M3406" s="30"/>
      <c r="N3406" s="30"/>
      <c r="O3406" s="30"/>
      <c r="P3406" s="30"/>
      <c r="Q3406" s="30"/>
      <c r="R3406" s="30"/>
      <c r="S3406" s="30"/>
      <c r="T3406" s="30"/>
      <c r="U3406" s="21" t="str">
        <f aca="false">IF(COUNT(K3406:T3406)=0,"SOURCE EMPTY / INDUSTRIAL ONLY",IF(MIN(K3406:T3406)=1,"SERVICE READY","HOLD"))</f>
        <v>SOURCE EMPTY / INDUSTRIAL ONLY</v>
      </c>
      <c r="V3406" s="9" t="n">
        <f aca="false">IF(U3406="SERVICE READY",1,0)</f>
        <v>0</v>
      </c>
      <c r="W3406" s="6"/>
      <c r="X3406" s="6"/>
      <c r="Y3406" s="6"/>
      <c r="Z3406" s="6"/>
    </row>
    <row r="3407" customFormat="false" ht="15" hidden="false" customHeight="false" outlineLevel="0" collapsed="false">
      <c r="A3407" s="9" t="s">
        <v>3684</v>
      </c>
      <c r="B3407" s="9" t="s">
        <v>3544</v>
      </c>
      <c r="C3407" s="9" t="s">
        <v>3545</v>
      </c>
      <c r="D3407" s="9" t="s">
        <v>2971</v>
      </c>
      <c r="E3407" s="9" t="s">
        <v>1660</v>
      </c>
      <c r="F3407" s="9" t="s">
        <v>211</v>
      </c>
      <c r="G3407" s="9" t="s">
        <v>221</v>
      </c>
      <c r="H3407" s="9" t="n">
        <v>1870</v>
      </c>
      <c r="I3407" s="29" t="n">
        <v>0.8</v>
      </c>
      <c r="J3407" s="9" t="n">
        <v>0</v>
      </c>
      <c r="K3407" s="30"/>
      <c r="L3407" s="30"/>
      <c r="M3407" s="30"/>
      <c r="N3407" s="30"/>
      <c r="O3407" s="30"/>
      <c r="P3407" s="30"/>
      <c r="Q3407" s="30"/>
      <c r="R3407" s="30"/>
      <c r="S3407" s="30"/>
      <c r="T3407" s="30"/>
      <c r="U3407" s="21" t="str">
        <f aca="false">IF(COUNT(K3407:T3407)=0,"SOURCE EMPTY / INDUSTRIAL ONLY",IF(MIN(K3407:T3407)=1,"SERVICE READY","HOLD"))</f>
        <v>SOURCE EMPTY / INDUSTRIAL ONLY</v>
      </c>
      <c r="V3407" s="9" t="n">
        <f aca="false">IF(U3407="SERVICE READY",1,0)</f>
        <v>0</v>
      </c>
      <c r="W3407" s="6"/>
      <c r="X3407" s="6"/>
      <c r="Y3407" s="6"/>
      <c r="Z3407" s="6"/>
    </row>
    <row r="3408" customFormat="false" ht="15" hidden="false" customHeight="false" outlineLevel="0" collapsed="false">
      <c r="A3408" s="9" t="s">
        <v>3685</v>
      </c>
      <c r="B3408" s="9" t="s">
        <v>3544</v>
      </c>
      <c r="C3408" s="9" t="s">
        <v>3545</v>
      </c>
      <c r="D3408" s="9" t="s">
        <v>2971</v>
      </c>
      <c r="E3408" s="9" t="s">
        <v>1660</v>
      </c>
      <c r="F3408" s="9" t="s">
        <v>197</v>
      </c>
      <c r="G3408" s="9" t="s">
        <v>221</v>
      </c>
      <c r="H3408" s="9" t="n">
        <v>1870</v>
      </c>
      <c r="I3408" s="29" t="n">
        <v>0.8</v>
      </c>
      <c r="J3408" s="9" t="n">
        <v>0</v>
      </c>
      <c r="K3408" s="30"/>
      <c r="L3408" s="30"/>
      <c r="M3408" s="30"/>
      <c r="N3408" s="30"/>
      <c r="O3408" s="30"/>
      <c r="P3408" s="30"/>
      <c r="Q3408" s="30"/>
      <c r="R3408" s="30"/>
      <c r="S3408" s="30"/>
      <c r="T3408" s="30"/>
      <c r="U3408" s="21" t="str">
        <f aca="false">IF(COUNT(K3408:T3408)=0,"SOURCE EMPTY / INDUSTRIAL ONLY",IF(MIN(K3408:T3408)=1,"SERVICE READY","HOLD"))</f>
        <v>SOURCE EMPTY / INDUSTRIAL ONLY</v>
      </c>
      <c r="V3408" s="9" t="n">
        <f aca="false">IF(U3408="SERVICE READY",1,0)</f>
        <v>0</v>
      </c>
      <c r="W3408" s="6"/>
      <c r="X3408" s="6"/>
      <c r="Y3408" s="6"/>
      <c r="Z3408" s="6"/>
    </row>
    <row r="3409" customFormat="false" ht="15" hidden="false" customHeight="false" outlineLevel="0" collapsed="false">
      <c r="A3409" s="9" t="s">
        <v>3686</v>
      </c>
      <c r="B3409" s="9" t="s">
        <v>3544</v>
      </c>
      <c r="C3409" s="9" t="s">
        <v>3545</v>
      </c>
      <c r="D3409" s="9" t="s">
        <v>2971</v>
      </c>
      <c r="E3409" s="9" t="s">
        <v>1660</v>
      </c>
      <c r="F3409" s="9" t="s">
        <v>200</v>
      </c>
      <c r="G3409" s="9" t="s">
        <v>221</v>
      </c>
      <c r="H3409" s="9" t="n">
        <v>1870</v>
      </c>
      <c r="I3409" s="29" t="n">
        <v>0.8</v>
      </c>
      <c r="J3409" s="9" t="n">
        <v>0</v>
      </c>
      <c r="K3409" s="30"/>
      <c r="L3409" s="30"/>
      <c r="M3409" s="30"/>
      <c r="N3409" s="30"/>
      <c r="O3409" s="30"/>
      <c r="P3409" s="30"/>
      <c r="Q3409" s="30"/>
      <c r="R3409" s="30"/>
      <c r="S3409" s="30"/>
      <c r="T3409" s="30"/>
      <c r="U3409" s="21" t="str">
        <f aca="false">IF(COUNT(K3409:T3409)=0,"SOURCE EMPTY / INDUSTRIAL ONLY",IF(MIN(K3409:T3409)=1,"SERVICE READY","HOLD"))</f>
        <v>SOURCE EMPTY / INDUSTRIAL ONLY</v>
      </c>
      <c r="V3409" s="9" t="n">
        <f aca="false">IF(U3409="SERVICE READY",1,0)</f>
        <v>0</v>
      </c>
      <c r="W3409" s="6"/>
      <c r="X3409" s="6"/>
      <c r="Y3409" s="6"/>
      <c r="Z3409" s="6"/>
    </row>
    <row r="3410" customFormat="false" ht="15" hidden="false" customHeight="false" outlineLevel="0" collapsed="false">
      <c r="A3410" s="9" t="s">
        <v>3687</v>
      </c>
      <c r="B3410" s="9" t="s">
        <v>3544</v>
      </c>
      <c r="C3410" s="9" t="s">
        <v>3545</v>
      </c>
      <c r="D3410" s="9" t="s">
        <v>2971</v>
      </c>
      <c r="E3410" s="9" t="s">
        <v>1660</v>
      </c>
      <c r="F3410" s="9" t="s">
        <v>203</v>
      </c>
      <c r="G3410" s="9" t="s">
        <v>221</v>
      </c>
      <c r="H3410" s="9" t="n">
        <v>1870</v>
      </c>
      <c r="I3410" s="29" t="n">
        <v>0.8</v>
      </c>
      <c r="J3410" s="9" t="n">
        <v>0</v>
      </c>
      <c r="K3410" s="30"/>
      <c r="L3410" s="30"/>
      <c r="M3410" s="30"/>
      <c r="N3410" s="30"/>
      <c r="O3410" s="30"/>
      <c r="P3410" s="30"/>
      <c r="Q3410" s="30"/>
      <c r="R3410" s="30"/>
      <c r="S3410" s="30"/>
      <c r="T3410" s="30"/>
      <c r="U3410" s="21" t="str">
        <f aca="false">IF(COUNT(K3410:T3410)=0,"SOURCE EMPTY / INDUSTRIAL ONLY",IF(MIN(K3410:T3410)=1,"SERVICE READY","HOLD"))</f>
        <v>SOURCE EMPTY / INDUSTRIAL ONLY</v>
      </c>
      <c r="V3410" s="9" t="n">
        <f aca="false">IF(U3410="SERVICE READY",1,0)</f>
        <v>0</v>
      </c>
      <c r="W3410" s="6"/>
      <c r="X3410" s="6"/>
      <c r="Y3410" s="6"/>
      <c r="Z3410" s="6"/>
    </row>
    <row r="3411" customFormat="false" ht="15" hidden="false" customHeight="false" outlineLevel="0" collapsed="false">
      <c r="A3411" s="9" t="s">
        <v>3688</v>
      </c>
      <c r="B3411" s="9" t="s">
        <v>3544</v>
      </c>
      <c r="C3411" s="9" t="s">
        <v>3545</v>
      </c>
      <c r="D3411" s="9" t="s">
        <v>2971</v>
      </c>
      <c r="E3411" s="9" t="s">
        <v>1660</v>
      </c>
      <c r="F3411" s="9" t="s">
        <v>205</v>
      </c>
      <c r="G3411" s="9" t="s">
        <v>221</v>
      </c>
      <c r="H3411" s="9" t="n">
        <v>1870</v>
      </c>
      <c r="I3411" s="29" t="n">
        <v>0.8</v>
      </c>
      <c r="J3411" s="9" t="n">
        <v>0</v>
      </c>
      <c r="K3411" s="30"/>
      <c r="L3411" s="30"/>
      <c r="M3411" s="30"/>
      <c r="N3411" s="30"/>
      <c r="O3411" s="30"/>
      <c r="P3411" s="30"/>
      <c r="Q3411" s="30"/>
      <c r="R3411" s="30"/>
      <c r="S3411" s="30"/>
      <c r="T3411" s="30"/>
      <c r="U3411" s="21" t="str">
        <f aca="false">IF(COUNT(K3411:T3411)=0,"SOURCE EMPTY / INDUSTRIAL ONLY",IF(MIN(K3411:T3411)=1,"SERVICE READY","HOLD"))</f>
        <v>SOURCE EMPTY / INDUSTRIAL ONLY</v>
      </c>
      <c r="V3411" s="9" t="n">
        <f aca="false">IF(U3411="SERVICE READY",1,0)</f>
        <v>0</v>
      </c>
      <c r="W3411" s="6"/>
      <c r="X3411" s="6"/>
      <c r="Y3411" s="6"/>
      <c r="Z3411" s="6"/>
    </row>
    <row r="3412" customFormat="false" ht="15" hidden="false" customHeight="false" outlineLevel="0" collapsed="false">
      <c r="A3412" s="9" t="s">
        <v>3689</v>
      </c>
      <c r="B3412" s="9" t="s">
        <v>3544</v>
      </c>
      <c r="C3412" s="9" t="s">
        <v>3545</v>
      </c>
      <c r="D3412" s="9" t="s">
        <v>2971</v>
      </c>
      <c r="E3412" s="9" t="s">
        <v>1660</v>
      </c>
      <c r="F3412" s="9" t="s">
        <v>207</v>
      </c>
      <c r="G3412" s="9" t="s">
        <v>221</v>
      </c>
      <c r="H3412" s="9" t="n">
        <v>1870</v>
      </c>
      <c r="I3412" s="29" t="n">
        <v>0.8</v>
      </c>
      <c r="J3412" s="9" t="n">
        <v>0</v>
      </c>
      <c r="K3412" s="30"/>
      <c r="L3412" s="30"/>
      <c r="M3412" s="30"/>
      <c r="N3412" s="30"/>
      <c r="O3412" s="30"/>
      <c r="P3412" s="30"/>
      <c r="Q3412" s="30"/>
      <c r="R3412" s="30"/>
      <c r="S3412" s="30"/>
      <c r="T3412" s="30"/>
      <c r="U3412" s="21" t="str">
        <f aca="false">IF(COUNT(K3412:T3412)=0,"SOURCE EMPTY / INDUSTRIAL ONLY",IF(MIN(K3412:T3412)=1,"SERVICE READY","HOLD"))</f>
        <v>SOURCE EMPTY / INDUSTRIAL ONLY</v>
      </c>
      <c r="V3412" s="9" t="n">
        <f aca="false">IF(U3412="SERVICE READY",1,0)</f>
        <v>0</v>
      </c>
      <c r="W3412" s="6"/>
      <c r="X3412" s="6"/>
      <c r="Y3412" s="6"/>
      <c r="Z3412" s="6"/>
    </row>
    <row r="3413" customFormat="false" ht="15" hidden="false" customHeight="false" outlineLevel="0" collapsed="false">
      <c r="A3413" s="9" t="s">
        <v>3690</v>
      </c>
      <c r="B3413" s="9" t="s">
        <v>3544</v>
      </c>
      <c r="C3413" s="9" t="s">
        <v>3545</v>
      </c>
      <c r="D3413" s="9" t="s">
        <v>2971</v>
      </c>
      <c r="E3413" s="9" t="s">
        <v>1660</v>
      </c>
      <c r="F3413" s="9" t="s">
        <v>209</v>
      </c>
      <c r="G3413" s="9" t="s">
        <v>221</v>
      </c>
      <c r="H3413" s="9" t="n">
        <v>1870</v>
      </c>
      <c r="I3413" s="29" t="n">
        <v>0.8</v>
      </c>
      <c r="J3413" s="9" t="n">
        <v>0</v>
      </c>
      <c r="K3413" s="30"/>
      <c r="L3413" s="30"/>
      <c r="M3413" s="30"/>
      <c r="N3413" s="30"/>
      <c r="O3413" s="30"/>
      <c r="P3413" s="30"/>
      <c r="Q3413" s="30"/>
      <c r="R3413" s="30"/>
      <c r="S3413" s="30"/>
      <c r="T3413" s="30"/>
      <c r="U3413" s="21" t="str">
        <f aca="false">IF(COUNT(K3413:T3413)=0,"SOURCE EMPTY / INDUSTRIAL ONLY",IF(MIN(K3413:T3413)=1,"SERVICE READY","HOLD"))</f>
        <v>SOURCE EMPTY / INDUSTRIAL ONLY</v>
      </c>
      <c r="V3413" s="9" t="n">
        <f aca="false">IF(U3413="SERVICE READY",1,0)</f>
        <v>0</v>
      </c>
      <c r="W3413" s="6"/>
      <c r="X3413" s="6"/>
      <c r="Y3413" s="6"/>
      <c r="Z3413" s="6"/>
    </row>
    <row r="3414" customFormat="false" ht="15" hidden="false" customHeight="false" outlineLevel="0" collapsed="false">
      <c r="A3414" s="9" t="s">
        <v>3691</v>
      </c>
      <c r="B3414" s="9" t="s">
        <v>3544</v>
      </c>
      <c r="C3414" s="9" t="s">
        <v>3545</v>
      </c>
      <c r="D3414" s="9" t="s">
        <v>2971</v>
      </c>
      <c r="E3414" s="9" t="s">
        <v>1660</v>
      </c>
      <c r="F3414" s="9" t="s">
        <v>211</v>
      </c>
      <c r="G3414" s="9" t="s">
        <v>221</v>
      </c>
      <c r="H3414" s="9" t="n">
        <v>1870</v>
      </c>
      <c r="I3414" s="29" t="n">
        <v>0.8</v>
      </c>
      <c r="J3414" s="9" t="n">
        <v>0</v>
      </c>
      <c r="K3414" s="30"/>
      <c r="L3414" s="30"/>
      <c r="M3414" s="30"/>
      <c r="N3414" s="30"/>
      <c r="O3414" s="30"/>
      <c r="P3414" s="30"/>
      <c r="Q3414" s="30"/>
      <c r="R3414" s="30"/>
      <c r="S3414" s="30"/>
      <c r="T3414" s="30"/>
      <c r="U3414" s="21" t="str">
        <f aca="false">IF(COUNT(K3414:T3414)=0,"SOURCE EMPTY / INDUSTRIAL ONLY",IF(MIN(K3414:T3414)=1,"SERVICE READY","HOLD"))</f>
        <v>SOURCE EMPTY / INDUSTRIAL ONLY</v>
      </c>
      <c r="V3414" s="9" t="n">
        <f aca="false">IF(U3414="SERVICE READY",1,0)</f>
        <v>0</v>
      </c>
      <c r="W3414" s="6"/>
      <c r="X3414" s="6"/>
      <c r="Y3414" s="6"/>
      <c r="Z3414" s="6"/>
    </row>
    <row r="3415" customFormat="false" ht="15" hidden="false" customHeight="false" outlineLevel="0" collapsed="false">
      <c r="A3415" s="9" t="s">
        <v>3692</v>
      </c>
      <c r="B3415" s="9" t="s">
        <v>3544</v>
      </c>
      <c r="C3415" s="9" t="s">
        <v>3545</v>
      </c>
      <c r="D3415" s="9" t="s">
        <v>2971</v>
      </c>
      <c r="E3415" s="9" t="s">
        <v>1660</v>
      </c>
      <c r="F3415" s="9" t="s">
        <v>197</v>
      </c>
      <c r="G3415" s="9" t="s">
        <v>221</v>
      </c>
      <c r="H3415" s="9" t="n">
        <v>1870</v>
      </c>
      <c r="I3415" s="29" t="n">
        <v>0.8</v>
      </c>
      <c r="J3415" s="9" t="n">
        <v>0</v>
      </c>
      <c r="K3415" s="30"/>
      <c r="L3415" s="30"/>
      <c r="M3415" s="30"/>
      <c r="N3415" s="30"/>
      <c r="O3415" s="30"/>
      <c r="P3415" s="30"/>
      <c r="Q3415" s="30"/>
      <c r="R3415" s="30"/>
      <c r="S3415" s="30"/>
      <c r="T3415" s="30"/>
      <c r="U3415" s="21" t="str">
        <f aca="false">IF(COUNT(K3415:T3415)=0,"SOURCE EMPTY / INDUSTRIAL ONLY",IF(MIN(K3415:T3415)=1,"SERVICE READY","HOLD"))</f>
        <v>SOURCE EMPTY / INDUSTRIAL ONLY</v>
      </c>
      <c r="V3415" s="9" t="n">
        <f aca="false">IF(U3415="SERVICE READY",1,0)</f>
        <v>0</v>
      </c>
      <c r="W3415" s="6"/>
      <c r="X3415" s="6"/>
      <c r="Y3415" s="6"/>
      <c r="Z3415" s="6"/>
    </row>
    <row r="3416" customFormat="false" ht="15" hidden="false" customHeight="false" outlineLevel="0" collapsed="false">
      <c r="A3416" s="9" t="s">
        <v>3693</v>
      </c>
      <c r="B3416" s="9" t="s">
        <v>3544</v>
      </c>
      <c r="C3416" s="9" t="s">
        <v>3545</v>
      </c>
      <c r="D3416" s="9" t="s">
        <v>2971</v>
      </c>
      <c r="E3416" s="9" t="s">
        <v>1660</v>
      </c>
      <c r="F3416" s="9" t="s">
        <v>200</v>
      </c>
      <c r="G3416" s="9" t="s">
        <v>221</v>
      </c>
      <c r="H3416" s="9" t="n">
        <v>1870</v>
      </c>
      <c r="I3416" s="29" t="n">
        <v>0.8</v>
      </c>
      <c r="J3416" s="9" t="n">
        <v>0</v>
      </c>
      <c r="K3416" s="30"/>
      <c r="L3416" s="30"/>
      <c r="M3416" s="30"/>
      <c r="N3416" s="30"/>
      <c r="O3416" s="30"/>
      <c r="P3416" s="30"/>
      <c r="Q3416" s="30"/>
      <c r="R3416" s="30"/>
      <c r="S3416" s="30"/>
      <c r="T3416" s="30"/>
      <c r="U3416" s="21" t="str">
        <f aca="false">IF(COUNT(K3416:T3416)=0,"SOURCE EMPTY / INDUSTRIAL ONLY",IF(MIN(K3416:T3416)=1,"SERVICE READY","HOLD"))</f>
        <v>SOURCE EMPTY / INDUSTRIAL ONLY</v>
      </c>
      <c r="V3416" s="9" t="n">
        <f aca="false">IF(U3416="SERVICE READY",1,0)</f>
        <v>0</v>
      </c>
      <c r="W3416" s="6"/>
      <c r="X3416" s="6"/>
      <c r="Y3416" s="6"/>
      <c r="Z3416" s="6"/>
    </row>
    <row r="3417" customFormat="false" ht="15" hidden="false" customHeight="false" outlineLevel="0" collapsed="false">
      <c r="A3417" s="9" t="s">
        <v>3694</v>
      </c>
      <c r="B3417" s="9" t="s">
        <v>3544</v>
      </c>
      <c r="C3417" s="9" t="s">
        <v>3545</v>
      </c>
      <c r="D3417" s="9" t="s">
        <v>2971</v>
      </c>
      <c r="E3417" s="9" t="s">
        <v>1660</v>
      </c>
      <c r="F3417" s="9" t="s">
        <v>203</v>
      </c>
      <c r="G3417" s="9" t="s">
        <v>221</v>
      </c>
      <c r="H3417" s="9" t="n">
        <v>1870</v>
      </c>
      <c r="I3417" s="29" t="n">
        <v>0.8</v>
      </c>
      <c r="J3417" s="9" t="n">
        <v>0</v>
      </c>
      <c r="K3417" s="30"/>
      <c r="L3417" s="30"/>
      <c r="M3417" s="30"/>
      <c r="N3417" s="30"/>
      <c r="O3417" s="30"/>
      <c r="P3417" s="30"/>
      <c r="Q3417" s="30"/>
      <c r="R3417" s="30"/>
      <c r="S3417" s="30"/>
      <c r="T3417" s="30"/>
      <c r="U3417" s="21" t="str">
        <f aca="false">IF(COUNT(K3417:T3417)=0,"SOURCE EMPTY / INDUSTRIAL ONLY",IF(MIN(K3417:T3417)=1,"SERVICE READY","HOLD"))</f>
        <v>SOURCE EMPTY / INDUSTRIAL ONLY</v>
      </c>
      <c r="V3417" s="9" t="n">
        <f aca="false">IF(U3417="SERVICE READY",1,0)</f>
        <v>0</v>
      </c>
      <c r="W3417" s="6"/>
      <c r="X3417" s="6"/>
      <c r="Y3417" s="6"/>
      <c r="Z3417" s="6"/>
    </row>
    <row r="3418" customFormat="false" ht="15" hidden="false" customHeight="false" outlineLevel="0" collapsed="false">
      <c r="A3418" s="9" t="s">
        <v>3695</v>
      </c>
      <c r="B3418" s="9" t="s">
        <v>3544</v>
      </c>
      <c r="C3418" s="9" t="s">
        <v>3545</v>
      </c>
      <c r="D3418" s="9" t="s">
        <v>2971</v>
      </c>
      <c r="E3418" s="9" t="s">
        <v>1660</v>
      </c>
      <c r="F3418" s="9" t="s">
        <v>205</v>
      </c>
      <c r="G3418" s="9" t="s">
        <v>221</v>
      </c>
      <c r="H3418" s="9" t="n">
        <v>1870</v>
      </c>
      <c r="I3418" s="29" t="n">
        <v>0.8</v>
      </c>
      <c r="J3418" s="9" t="n">
        <v>0</v>
      </c>
      <c r="K3418" s="30"/>
      <c r="L3418" s="30"/>
      <c r="M3418" s="30"/>
      <c r="N3418" s="30"/>
      <c r="O3418" s="30"/>
      <c r="P3418" s="30"/>
      <c r="Q3418" s="30"/>
      <c r="R3418" s="30"/>
      <c r="S3418" s="30"/>
      <c r="T3418" s="30"/>
      <c r="U3418" s="21" t="str">
        <f aca="false">IF(COUNT(K3418:T3418)=0,"SOURCE EMPTY / INDUSTRIAL ONLY",IF(MIN(K3418:T3418)=1,"SERVICE READY","HOLD"))</f>
        <v>SOURCE EMPTY / INDUSTRIAL ONLY</v>
      </c>
      <c r="V3418" s="9" t="n">
        <f aca="false">IF(U3418="SERVICE READY",1,0)</f>
        <v>0</v>
      </c>
      <c r="W3418" s="6"/>
      <c r="X3418" s="6"/>
      <c r="Y3418" s="6"/>
      <c r="Z3418" s="6"/>
    </row>
    <row r="3419" customFormat="false" ht="15" hidden="false" customHeight="false" outlineLevel="0" collapsed="false">
      <c r="A3419" s="9" t="s">
        <v>3696</v>
      </c>
      <c r="B3419" s="9" t="s">
        <v>3544</v>
      </c>
      <c r="C3419" s="9" t="s">
        <v>3545</v>
      </c>
      <c r="D3419" s="9" t="s">
        <v>2971</v>
      </c>
      <c r="E3419" s="9" t="s">
        <v>1660</v>
      </c>
      <c r="F3419" s="9" t="s">
        <v>207</v>
      </c>
      <c r="G3419" s="9" t="s">
        <v>221</v>
      </c>
      <c r="H3419" s="9" t="n">
        <v>1870</v>
      </c>
      <c r="I3419" s="29" t="n">
        <v>0.8</v>
      </c>
      <c r="J3419" s="9" t="n">
        <v>0</v>
      </c>
      <c r="K3419" s="30"/>
      <c r="L3419" s="30"/>
      <c r="M3419" s="30"/>
      <c r="N3419" s="30"/>
      <c r="O3419" s="30"/>
      <c r="P3419" s="30"/>
      <c r="Q3419" s="30"/>
      <c r="R3419" s="30"/>
      <c r="S3419" s="30"/>
      <c r="T3419" s="30"/>
      <c r="U3419" s="21" t="str">
        <f aca="false">IF(COUNT(K3419:T3419)=0,"SOURCE EMPTY / INDUSTRIAL ONLY",IF(MIN(K3419:T3419)=1,"SERVICE READY","HOLD"))</f>
        <v>SOURCE EMPTY / INDUSTRIAL ONLY</v>
      </c>
      <c r="V3419" s="9" t="n">
        <f aca="false">IF(U3419="SERVICE READY",1,0)</f>
        <v>0</v>
      </c>
      <c r="W3419" s="6"/>
      <c r="X3419" s="6"/>
      <c r="Y3419" s="6"/>
      <c r="Z3419" s="6"/>
    </row>
    <row r="3420" customFormat="false" ht="15" hidden="false" customHeight="false" outlineLevel="0" collapsed="false">
      <c r="A3420" s="9" t="s">
        <v>3697</v>
      </c>
      <c r="B3420" s="9" t="s">
        <v>3544</v>
      </c>
      <c r="C3420" s="9" t="s">
        <v>3545</v>
      </c>
      <c r="D3420" s="9" t="s">
        <v>2971</v>
      </c>
      <c r="E3420" s="9" t="s">
        <v>1660</v>
      </c>
      <c r="F3420" s="9" t="s">
        <v>209</v>
      </c>
      <c r="G3420" s="9" t="s">
        <v>221</v>
      </c>
      <c r="H3420" s="9" t="n">
        <v>1870</v>
      </c>
      <c r="I3420" s="29" t="n">
        <v>0.8</v>
      </c>
      <c r="J3420" s="9" t="n">
        <v>0</v>
      </c>
      <c r="K3420" s="30"/>
      <c r="L3420" s="30"/>
      <c r="M3420" s="30"/>
      <c r="N3420" s="30"/>
      <c r="O3420" s="30"/>
      <c r="P3420" s="30"/>
      <c r="Q3420" s="30"/>
      <c r="R3420" s="30"/>
      <c r="S3420" s="30"/>
      <c r="T3420" s="30"/>
      <c r="U3420" s="21" t="str">
        <f aca="false">IF(COUNT(K3420:T3420)=0,"SOURCE EMPTY / INDUSTRIAL ONLY",IF(MIN(K3420:T3420)=1,"SERVICE READY","HOLD"))</f>
        <v>SOURCE EMPTY / INDUSTRIAL ONLY</v>
      </c>
      <c r="V3420" s="9" t="n">
        <f aca="false">IF(U3420="SERVICE READY",1,0)</f>
        <v>0</v>
      </c>
      <c r="W3420" s="6"/>
      <c r="X3420" s="6"/>
      <c r="Y3420" s="6"/>
      <c r="Z3420" s="6"/>
    </row>
    <row r="3421" customFormat="false" ht="15" hidden="false" customHeight="false" outlineLevel="0" collapsed="false">
      <c r="A3421" s="9" t="s">
        <v>3698</v>
      </c>
      <c r="B3421" s="9" t="s">
        <v>3544</v>
      </c>
      <c r="C3421" s="9" t="s">
        <v>3545</v>
      </c>
      <c r="D3421" s="9" t="s">
        <v>2971</v>
      </c>
      <c r="E3421" s="9" t="s">
        <v>1660</v>
      </c>
      <c r="F3421" s="9" t="s">
        <v>211</v>
      </c>
      <c r="G3421" s="9" t="s">
        <v>221</v>
      </c>
      <c r="H3421" s="9" t="n">
        <v>1870</v>
      </c>
      <c r="I3421" s="29" t="n">
        <v>0.8</v>
      </c>
      <c r="J3421" s="9" t="n">
        <v>0</v>
      </c>
      <c r="K3421" s="30"/>
      <c r="L3421" s="30"/>
      <c r="M3421" s="30"/>
      <c r="N3421" s="30"/>
      <c r="O3421" s="30"/>
      <c r="P3421" s="30"/>
      <c r="Q3421" s="30"/>
      <c r="R3421" s="30"/>
      <c r="S3421" s="30"/>
      <c r="T3421" s="30"/>
      <c r="U3421" s="21" t="str">
        <f aca="false">IF(COUNT(K3421:T3421)=0,"SOURCE EMPTY / INDUSTRIAL ONLY",IF(MIN(K3421:T3421)=1,"SERVICE READY","HOLD"))</f>
        <v>SOURCE EMPTY / INDUSTRIAL ONLY</v>
      </c>
      <c r="V3421" s="9" t="n">
        <f aca="false">IF(U3421="SERVICE READY",1,0)</f>
        <v>0</v>
      </c>
      <c r="W3421" s="6"/>
      <c r="X3421" s="6"/>
      <c r="Y3421" s="6"/>
      <c r="Z3421" s="6"/>
    </row>
    <row r="3422" customFormat="false" ht="15" hidden="false" customHeight="false" outlineLevel="0" collapsed="false">
      <c r="A3422" s="9" t="s">
        <v>3699</v>
      </c>
      <c r="B3422" s="9" t="s">
        <v>3544</v>
      </c>
      <c r="C3422" s="9" t="s">
        <v>3545</v>
      </c>
      <c r="D3422" s="9" t="s">
        <v>2971</v>
      </c>
      <c r="E3422" s="9" t="s">
        <v>1660</v>
      </c>
      <c r="F3422" s="9" t="s">
        <v>197</v>
      </c>
      <c r="G3422" s="9" t="s">
        <v>221</v>
      </c>
      <c r="H3422" s="9" t="n">
        <v>1870</v>
      </c>
      <c r="I3422" s="29" t="n">
        <v>0.8</v>
      </c>
      <c r="J3422" s="9" t="n">
        <v>0</v>
      </c>
      <c r="K3422" s="30"/>
      <c r="L3422" s="30"/>
      <c r="M3422" s="30"/>
      <c r="N3422" s="30"/>
      <c r="O3422" s="30"/>
      <c r="P3422" s="30"/>
      <c r="Q3422" s="30"/>
      <c r="R3422" s="30"/>
      <c r="S3422" s="30"/>
      <c r="T3422" s="30"/>
      <c r="U3422" s="21" t="str">
        <f aca="false">IF(COUNT(K3422:T3422)=0,"SOURCE EMPTY / INDUSTRIAL ONLY",IF(MIN(K3422:T3422)=1,"SERVICE READY","HOLD"))</f>
        <v>SOURCE EMPTY / INDUSTRIAL ONLY</v>
      </c>
      <c r="V3422" s="9" t="n">
        <f aca="false">IF(U3422="SERVICE READY",1,0)</f>
        <v>0</v>
      </c>
      <c r="W3422" s="6"/>
      <c r="X3422" s="6"/>
      <c r="Y3422" s="6"/>
      <c r="Z3422" s="6"/>
    </row>
    <row r="3423" customFormat="false" ht="15" hidden="false" customHeight="false" outlineLevel="0" collapsed="false">
      <c r="A3423" s="9" t="s">
        <v>3700</v>
      </c>
      <c r="B3423" s="9" t="s">
        <v>3544</v>
      </c>
      <c r="C3423" s="9" t="s">
        <v>3545</v>
      </c>
      <c r="D3423" s="9" t="s">
        <v>2971</v>
      </c>
      <c r="E3423" s="9" t="s">
        <v>1660</v>
      </c>
      <c r="F3423" s="9" t="s">
        <v>200</v>
      </c>
      <c r="G3423" s="9" t="s">
        <v>221</v>
      </c>
      <c r="H3423" s="9" t="n">
        <v>1870</v>
      </c>
      <c r="I3423" s="29" t="n">
        <v>0.8</v>
      </c>
      <c r="J3423" s="9" t="n">
        <v>0</v>
      </c>
      <c r="K3423" s="30"/>
      <c r="L3423" s="30"/>
      <c r="M3423" s="30"/>
      <c r="N3423" s="30"/>
      <c r="O3423" s="30"/>
      <c r="P3423" s="30"/>
      <c r="Q3423" s="30"/>
      <c r="R3423" s="30"/>
      <c r="S3423" s="30"/>
      <c r="T3423" s="30"/>
      <c r="U3423" s="21" t="str">
        <f aca="false">IF(COUNT(K3423:T3423)=0,"SOURCE EMPTY / INDUSTRIAL ONLY",IF(MIN(K3423:T3423)=1,"SERVICE READY","HOLD"))</f>
        <v>SOURCE EMPTY / INDUSTRIAL ONLY</v>
      </c>
      <c r="V3423" s="9" t="n">
        <f aca="false">IF(U3423="SERVICE READY",1,0)</f>
        <v>0</v>
      </c>
      <c r="W3423" s="6"/>
      <c r="X3423" s="6"/>
      <c r="Y3423" s="6"/>
      <c r="Z3423" s="6"/>
    </row>
    <row r="3424" customFormat="false" ht="15" hidden="false" customHeight="false" outlineLevel="0" collapsed="false">
      <c r="A3424" s="9" t="s">
        <v>3701</v>
      </c>
      <c r="B3424" s="9" t="s">
        <v>3544</v>
      </c>
      <c r="C3424" s="9" t="s">
        <v>3545</v>
      </c>
      <c r="D3424" s="9" t="s">
        <v>2971</v>
      </c>
      <c r="E3424" s="9" t="s">
        <v>1660</v>
      </c>
      <c r="F3424" s="9" t="s">
        <v>203</v>
      </c>
      <c r="G3424" s="9" t="s">
        <v>221</v>
      </c>
      <c r="H3424" s="9" t="n">
        <v>1870</v>
      </c>
      <c r="I3424" s="29" t="n">
        <v>0.8</v>
      </c>
      <c r="J3424" s="9" t="n">
        <v>0</v>
      </c>
      <c r="K3424" s="30"/>
      <c r="L3424" s="30"/>
      <c r="M3424" s="30"/>
      <c r="N3424" s="30"/>
      <c r="O3424" s="30"/>
      <c r="P3424" s="30"/>
      <c r="Q3424" s="30"/>
      <c r="R3424" s="30"/>
      <c r="S3424" s="30"/>
      <c r="T3424" s="30"/>
      <c r="U3424" s="21" t="str">
        <f aca="false">IF(COUNT(K3424:T3424)=0,"SOURCE EMPTY / INDUSTRIAL ONLY",IF(MIN(K3424:T3424)=1,"SERVICE READY","HOLD"))</f>
        <v>SOURCE EMPTY / INDUSTRIAL ONLY</v>
      </c>
      <c r="V3424" s="9" t="n">
        <f aca="false">IF(U3424="SERVICE READY",1,0)</f>
        <v>0</v>
      </c>
      <c r="W3424" s="6"/>
      <c r="X3424" s="6"/>
      <c r="Y3424" s="6"/>
      <c r="Z3424" s="6"/>
    </row>
    <row r="3425" customFormat="false" ht="15" hidden="false" customHeight="false" outlineLevel="0" collapsed="false">
      <c r="A3425" s="9" t="s">
        <v>3702</v>
      </c>
      <c r="B3425" s="9" t="s">
        <v>3544</v>
      </c>
      <c r="C3425" s="9" t="s">
        <v>3545</v>
      </c>
      <c r="D3425" s="9" t="s">
        <v>2971</v>
      </c>
      <c r="E3425" s="9" t="s">
        <v>1660</v>
      </c>
      <c r="F3425" s="9" t="s">
        <v>205</v>
      </c>
      <c r="G3425" s="9" t="s">
        <v>221</v>
      </c>
      <c r="H3425" s="9" t="n">
        <v>1870</v>
      </c>
      <c r="I3425" s="29" t="n">
        <v>0.8</v>
      </c>
      <c r="J3425" s="9" t="n">
        <v>0</v>
      </c>
      <c r="K3425" s="30"/>
      <c r="L3425" s="30"/>
      <c r="M3425" s="30"/>
      <c r="N3425" s="30"/>
      <c r="O3425" s="30"/>
      <c r="P3425" s="30"/>
      <c r="Q3425" s="30"/>
      <c r="R3425" s="30"/>
      <c r="S3425" s="30"/>
      <c r="T3425" s="30"/>
      <c r="U3425" s="21" t="str">
        <f aca="false">IF(COUNT(K3425:T3425)=0,"SOURCE EMPTY / INDUSTRIAL ONLY",IF(MIN(K3425:T3425)=1,"SERVICE READY","HOLD"))</f>
        <v>SOURCE EMPTY / INDUSTRIAL ONLY</v>
      </c>
      <c r="V3425" s="9" t="n">
        <f aca="false">IF(U3425="SERVICE READY",1,0)</f>
        <v>0</v>
      </c>
      <c r="W3425" s="6"/>
      <c r="X3425" s="6"/>
      <c r="Y3425" s="6"/>
      <c r="Z3425" s="6"/>
    </row>
    <row r="3426" customFormat="false" ht="15" hidden="false" customHeight="false" outlineLevel="0" collapsed="false">
      <c r="A3426" s="9" t="s">
        <v>3703</v>
      </c>
      <c r="B3426" s="9" t="s">
        <v>3544</v>
      </c>
      <c r="C3426" s="9" t="s">
        <v>3545</v>
      </c>
      <c r="D3426" s="9" t="s">
        <v>2971</v>
      </c>
      <c r="E3426" s="9" t="s">
        <v>1660</v>
      </c>
      <c r="F3426" s="9" t="s">
        <v>207</v>
      </c>
      <c r="G3426" s="9" t="s">
        <v>221</v>
      </c>
      <c r="H3426" s="9" t="n">
        <v>1870</v>
      </c>
      <c r="I3426" s="29" t="n">
        <v>0.8</v>
      </c>
      <c r="J3426" s="9" t="n">
        <v>0</v>
      </c>
      <c r="K3426" s="30"/>
      <c r="L3426" s="30"/>
      <c r="M3426" s="30"/>
      <c r="N3426" s="30"/>
      <c r="O3426" s="30"/>
      <c r="P3426" s="30"/>
      <c r="Q3426" s="30"/>
      <c r="R3426" s="30"/>
      <c r="S3426" s="30"/>
      <c r="T3426" s="30"/>
      <c r="U3426" s="21" t="str">
        <f aca="false">IF(COUNT(K3426:T3426)=0,"SOURCE EMPTY / INDUSTRIAL ONLY",IF(MIN(K3426:T3426)=1,"SERVICE READY","HOLD"))</f>
        <v>SOURCE EMPTY / INDUSTRIAL ONLY</v>
      </c>
      <c r="V3426" s="9" t="n">
        <f aca="false">IF(U3426="SERVICE READY",1,0)</f>
        <v>0</v>
      </c>
      <c r="W3426" s="6"/>
      <c r="X3426" s="6"/>
      <c r="Y3426" s="6"/>
      <c r="Z3426" s="6"/>
    </row>
    <row r="3427" customFormat="false" ht="15" hidden="false" customHeight="false" outlineLevel="0" collapsed="false">
      <c r="A3427" s="9" t="s">
        <v>3704</v>
      </c>
      <c r="B3427" s="9" t="s">
        <v>3544</v>
      </c>
      <c r="C3427" s="9" t="s">
        <v>3545</v>
      </c>
      <c r="D3427" s="9" t="s">
        <v>2971</v>
      </c>
      <c r="E3427" s="9" t="s">
        <v>1660</v>
      </c>
      <c r="F3427" s="9" t="s">
        <v>209</v>
      </c>
      <c r="G3427" s="9" t="s">
        <v>221</v>
      </c>
      <c r="H3427" s="9" t="n">
        <v>1870</v>
      </c>
      <c r="I3427" s="29" t="n">
        <v>0.8</v>
      </c>
      <c r="J3427" s="9" t="n">
        <v>0</v>
      </c>
      <c r="K3427" s="30"/>
      <c r="L3427" s="30"/>
      <c r="M3427" s="30"/>
      <c r="N3427" s="30"/>
      <c r="O3427" s="30"/>
      <c r="P3427" s="30"/>
      <c r="Q3427" s="30"/>
      <c r="R3427" s="30"/>
      <c r="S3427" s="30"/>
      <c r="T3427" s="30"/>
      <c r="U3427" s="21" t="str">
        <f aca="false">IF(COUNT(K3427:T3427)=0,"SOURCE EMPTY / INDUSTRIAL ONLY",IF(MIN(K3427:T3427)=1,"SERVICE READY","HOLD"))</f>
        <v>SOURCE EMPTY / INDUSTRIAL ONLY</v>
      </c>
      <c r="V3427" s="9" t="n">
        <f aca="false">IF(U3427="SERVICE READY",1,0)</f>
        <v>0</v>
      </c>
      <c r="W3427" s="6"/>
      <c r="X3427" s="6"/>
      <c r="Y3427" s="6"/>
      <c r="Z3427" s="6"/>
    </row>
    <row r="3428" customFormat="false" ht="15" hidden="false" customHeight="false" outlineLevel="0" collapsed="false">
      <c r="A3428" s="9" t="s">
        <v>3705</v>
      </c>
      <c r="B3428" s="9" t="s">
        <v>3544</v>
      </c>
      <c r="C3428" s="9" t="s">
        <v>3545</v>
      </c>
      <c r="D3428" s="9" t="s">
        <v>2971</v>
      </c>
      <c r="E3428" s="9" t="s">
        <v>1660</v>
      </c>
      <c r="F3428" s="9" t="s">
        <v>211</v>
      </c>
      <c r="G3428" s="9" t="s">
        <v>221</v>
      </c>
      <c r="H3428" s="9" t="n">
        <v>1870</v>
      </c>
      <c r="I3428" s="29" t="n">
        <v>0.8</v>
      </c>
      <c r="J3428" s="9" t="n">
        <v>0</v>
      </c>
      <c r="K3428" s="30"/>
      <c r="L3428" s="30"/>
      <c r="M3428" s="30"/>
      <c r="N3428" s="30"/>
      <c r="O3428" s="30"/>
      <c r="P3428" s="30"/>
      <c r="Q3428" s="30"/>
      <c r="R3428" s="30"/>
      <c r="S3428" s="30"/>
      <c r="T3428" s="30"/>
      <c r="U3428" s="21" t="str">
        <f aca="false">IF(COUNT(K3428:T3428)=0,"SOURCE EMPTY / INDUSTRIAL ONLY",IF(MIN(K3428:T3428)=1,"SERVICE READY","HOLD"))</f>
        <v>SOURCE EMPTY / INDUSTRIAL ONLY</v>
      </c>
      <c r="V3428" s="9" t="n">
        <f aca="false">IF(U3428="SERVICE READY",1,0)</f>
        <v>0</v>
      </c>
      <c r="W3428" s="6"/>
      <c r="X3428" s="6"/>
      <c r="Y3428" s="6"/>
      <c r="Z3428" s="6"/>
    </row>
    <row r="3429" customFormat="false" ht="15" hidden="false" customHeight="false" outlineLevel="0" collapsed="false">
      <c r="A3429" s="9" t="s">
        <v>3706</v>
      </c>
      <c r="B3429" s="9" t="s">
        <v>3544</v>
      </c>
      <c r="C3429" s="9" t="s">
        <v>3545</v>
      </c>
      <c r="D3429" s="9" t="s">
        <v>2971</v>
      </c>
      <c r="E3429" s="9" t="s">
        <v>1660</v>
      </c>
      <c r="F3429" s="9" t="s">
        <v>197</v>
      </c>
      <c r="G3429" s="9" t="s">
        <v>221</v>
      </c>
      <c r="H3429" s="9" t="n">
        <v>1870</v>
      </c>
      <c r="I3429" s="29" t="n">
        <v>0.8</v>
      </c>
      <c r="J3429" s="9" t="n">
        <v>0</v>
      </c>
      <c r="K3429" s="30"/>
      <c r="L3429" s="30"/>
      <c r="M3429" s="30"/>
      <c r="N3429" s="30"/>
      <c r="O3429" s="30"/>
      <c r="P3429" s="30"/>
      <c r="Q3429" s="30"/>
      <c r="R3429" s="30"/>
      <c r="S3429" s="30"/>
      <c r="T3429" s="30"/>
      <c r="U3429" s="21" t="str">
        <f aca="false">IF(COUNT(K3429:T3429)=0,"SOURCE EMPTY / INDUSTRIAL ONLY",IF(MIN(K3429:T3429)=1,"SERVICE READY","HOLD"))</f>
        <v>SOURCE EMPTY / INDUSTRIAL ONLY</v>
      </c>
      <c r="V3429" s="9" t="n">
        <f aca="false">IF(U3429="SERVICE READY",1,0)</f>
        <v>0</v>
      </c>
      <c r="W3429" s="6"/>
      <c r="X3429" s="6"/>
      <c r="Y3429" s="6"/>
      <c r="Z3429" s="6"/>
    </row>
    <row r="3430" customFormat="false" ht="15" hidden="false" customHeight="false" outlineLevel="0" collapsed="false">
      <c r="A3430" s="9" t="s">
        <v>3707</v>
      </c>
      <c r="B3430" s="9" t="s">
        <v>3544</v>
      </c>
      <c r="C3430" s="9" t="s">
        <v>3545</v>
      </c>
      <c r="D3430" s="9" t="s">
        <v>2971</v>
      </c>
      <c r="E3430" s="9" t="s">
        <v>1660</v>
      </c>
      <c r="F3430" s="9" t="s">
        <v>200</v>
      </c>
      <c r="G3430" s="9" t="s">
        <v>221</v>
      </c>
      <c r="H3430" s="9" t="n">
        <v>1870</v>
      </c>
      <c r="I3430" s="29" t="n">
        <v>0.8</v>
      </c>
      <c r="J3430" s="9" t="n">
        <v>0</v>
      </c>
      <c r="K3430" s="30"/>
      <c r="L3430" s="30"/>
      <c r="M3430" s="30"/>
      <c r="N3430" s="30"/>
      <c r="O3430" s="30"/>
      <c r="P3430" s="30"/>
      <c r="Q3430" s="30"/>
      <c r="R3430" s="30"/>
      <c r="S3430" s="30"/>
      <c r="T3430" s="30"/>
      <c r="U3430" s="21" t="str">
        <f aca="false">IF(COUNT(K3430:T3430)=0,"SOURCE EMPTY / INDUSTRIAL ONLY",IF(MIN(K3430:T3430)=1,"SERVICE READY","HOLD"))</f>
        <v>SOURCE EMPTY / INDUSTRIAL ONLY</v>
      </c>
      <c r="V3430" s="9" t="n">
        <f aca="false">IF(U3430="SERVICE READY",1,0)</f>
        <v>0</v>
      </c>
      <c r="W3430" s="6"/>
      <c r="X3430" s="6"/>
      <c r="Y3430" s="6"/>
      <c r="Z3430" s="6"/>
    </row>
    <row r="3431" customFormat="false" ht="15" hidden="false" customHeight="false" outlineLevel="0" collapsed="false">
      <c r="A3431" s="9" t="s">
        <v>3708</v>
      </c>
      <c r="B3431" s="9" t="s">
        <v>3544</v>
      </c>
      <c r="C3431" s="9" t="s">
        <v>3545</v>
      </c>
      <c r="D3431" s="9" t="s">
        <v>2971</v>
      </c>
      <c r="E3431" s="9" t="s">
        <v>1660</v>
      </c>
      <c r="F3431" s="9" t="s">
        <v>203</v>
      </c>
      <c r="G3431" s="9" t="s">
        <v>221</v>
      </c>
      <c r="H3431" s="9" t="n">
        <v>1870</v>
      </c>
      <c r="I3431" s="29" t="n">
        <v>0.8</v>
      </c>
      <c r="J3431" s="9" t="n">
        <v>0</v>
      </c>
      <c r="K3431" s="30"/>
      <c r="L3431" s="30"/>
      <c r="M3431" s="30"/>
      <c r="N3431" s="30"/>
      <c r="O3431" s="30"/>
      <c r="P3431" s="30"/>
      <c r="Q3431" s="30"/>
      <c r="R3431" s="30"/>
      <c r="S3431" s="30"/>
      <c r="T3431" s="30"/>
      <c r="U3431" s="21" t="str">
        <f aca="false">IF(COUNT(K3431:T3431)=0,"SOURCE EMPTY / INDUSTRIAL ONLY",IF(MIN(K3431:T3431)=1,"SERVICE READY","HOLD"))</f>
        <v>SOURCE EMPTY / INDUSTRIAL ONLY</v>
      </c>
      <c r="V3431" s="9" t="n">
        <f aca="false">IF(U3431="SERVICE READY",1,0)</f>
        <v>0</v>
      </c>
      <c r="W3431" s="6"/>
      <c r="X3431" s="6"/>
      <c r="Y3431" s="6"/>
      <c r="Z3431" s="6"/>
    </row>
    <row r="3432" customFormat="false" ht="15" hidden="false" customHeight="false" outlineLevel="0" collapsed="false">
      <c r="A3432" s="9" t="s">
        <v>3709</v>
      </c>
      <c r="B3432" s="9" t="s">
        <v>3544</v>
      </c>
      <c r="C3432" s="9" t="s">
        <v>3545</v>
      </c>
      <c r="D3432" s="9" t="s">
        <v>2971</v>
      </c>
      <c r="E3432" s="9" t="s">
        <v>1660</v>
      </c>
      <c r="F3432" s="9" t="s">
        <v>205</v>
      </c>
      <c r="G3432" s="9" t="s">
        <v>221</v>
      </c>
      <c r="H3432" s="9" t="n">
        <v>1870</v>
      </c>
      <c r="I3432" s="29" t="n">
        <v>0.8</v>
      </c>
      <c r="J3432" s="9" t="n">
        <v>0</v>
      </c>
      <c r="K3432" s="30"/>
      <c r="L3432" s="30"/>
      <c r="M3432" s="30"/>
      <c r="N3432" s="30"/>
      <c r="O3432" s="30"/>
      <c r="P3432" s="30"/>
      <c r="Q3432" s="30"/>
      <c r="R3432" s="30"/>
      <c r="S3432" s="30"/>
      <c r="T3432" s="30"/>
      <c r="U3432" s="21" t="str">
        <f aca="false">IF(COUNT(K3432:T3432)=0,"SOURCE EMPTY / INDUSTRIAL ONLY",IF(MIN(K3432:T3432)=1,"SERVICE READY","HOLD"))</f>
        <v>SOURCE EMPTY / INDUSTRIAL ONLY</v>
      </c>
      <c r="V3432" s="9" t="n">
        <f aca="false">IF(U3432="SERVICE READY",1,0)</f>
        <v>0</v>
      </c>
      <c r="W3432" s="6"/>
      <c r="X3432" s="6"/>
      <c r="Y3432" s="6"/>
      <c r="Z3432" s="6"/>
    </row>
    <row r="3433" customFormat="false" ht="15" hidden="false" customHeight="false" outlineLevel="0" collapsed="false">
      <c r="A3433" s="9" t="s">
        <v>3710</v>
      </c>
      <c r="B3433" s="9" t="s">
        <v>3544</v>
      </c>
      <c r="C3433" s="9" t="s">
        <v>3545</v>
      </c>
      <c r="D3433" s="9" t="s">
        <v>2971</v>
      </c>
      <c r="E3433" s="9" t="s">
        <v>1660</v>
      </c>
      <c r="F3433" s="9" t="s">
        <v>207</v>
      </c>
      <c r="G3433" s="9" t="s">
        <v>221</v>
      </c>
      <c r="H3433" s="9" t="n">
        <v>1870</v>
      </c>
      <c r="I3433" s="29" t="n">
        <v>0.8</v>
      </c>
      <c r="J3433" s="9" t="n">
        <v>0</v>
      </c>
      <c r="K3433" s="30"/>
      <c r="L3433" s="30"/>
      <c r="M3433" s="30"/>
      <c r="N3433" s="30"/>
      <c r="O3433" s="30"/>
      <c r="P3433" s="30"/>
      <c r="Q3433" s="30"/>
      <c r="R3433" s="30"/>
      <c r="S3433" s="30"/>
      <c r="T3433" s="30"/>
      <c r="U3433" s="21" t="str">
        <f aca="false">IF(COUNT(K3433:T3433)=0,"SOURCE EMPTY / INDUSTRIAL ONLY",IF(MIN(K3433:T3433)=1,"SERVICE READY","HOLD"))</f>
        <v>SOURCE EMPTY / INDUSTRIAL ONLY</v>
      </c>
      <c r="V3433" s="9" t="n">
        <f aca="false">IF(U3433="SERVICE READY",1,0)</f>
        <v>0</v>
      </c>
      <c r="W3433" s="6"/>
      <c r="X3433" s="6"/>
      <c r="Y3433" s="6"/>
      <c r="Z3433" s="6"/>
    </row>
    <row r="3434" customFormat="false" ht="15" hidden="false" customHeight="false" outlineLevel="0" collapsed="false">
      <c r="A3434" s="9" t="s">
        <v>3711</v>
      </c>
      <c r="B3434" s="9" t="s">
        <v>3544</v>
      </c>
      <c r="C3434" s="9" t="s">
        <v>3545</v>
      </c>
      <c r="D3434" s="9" t="s">
        <v>2971</v>
      </c>
      <c r="E3434" s="9" t="s">
        <v>1660</v>
      </c>
      <c r="F3434" s="9" t="s">
        <v>209</v>
      </c>
      <c r="G3434" s="9" t="s">
        <v>221</v>
      </c>
      <c r="H3434" s="9" t="n">
        <v>1870</v>
      </c>
      <c r="I3434" s="29" t="n">
        <v>0.8</v>
      </c>
      <c r="J3434" s="9" t="n">
        <v>0</v>
      </c>
      <c r="K3434" s="30"/>
      <c r="L3434" s="30"/>
      <c r="M3434" s="30"/>
      <c r="N3434" s="30"/>
      <c r="O3434" s="30"/>
      <c r="P3434" s="30"/>
      <c r="Q3434" s="30"/>
      <c r="R3434" s="30"/>
      <c r="S3434" s="30"/>
      <c r="T3434" s="30"/>
      <c r="U3434" s="21" t="str">
        <f aca="false">IF(COUNT(K3434:T3434)=0,"SOURCE EMPTY / INDUSTRIAL ONLY",IF(MIN(K3434:T3434)=1,"SERVICE READY","HOLD"))</f>
        <v>SOURCE EMPTY / INDUSTRIAL ONLY</v>
      </c>
      <c r="V3434" s="9" t="n">
        <f aca="false">IF(U3434="SERVICE READY",1,0)</f>
        <v>0</v>
      </c>
      <c r="W3434" s="6"/>
      <c r="X3434" s="6"/>
      <c r="Y3434" s="6"/>
      <c r="Z3434" s="6"/>
    </row>
    <row r="3435" customFormat="false" ht="15" hidden="false" customHeight="false" outlineLevel="0" collapsed="false">
      <c r="A3435" s="9" t="s">
        <v>3712</v>
      </c>
      <c r="B3435" s="9" t="s">
        <v>3544</v>
      </c>
      <c r="C3435" s="9" t="s">
        <v>3545</v>
      </c>
      <c r="D3435" s="9" t="s">
        <v>2971</v>
      </c>
      <c r="E3435" s="9" t="s">
        <v>1660</v>
      </c>
      <c r="F3435" s="9" t="s">
        <v>211</v>
      </c>
      <c r="G3435" s="9" t="s">
        <v>221</v>
      </c>
      <c r="H3435" s="9" t="n">
        <v>1870</v>
      </c>
      <c r="I3435" s="29" t="n">
        <v>0.8</v>
      </c>
      <c r="J3435" s="9" t="n">
        <v>0</v>
      </c>
      <c r="K3435" s="30"/>
      <c r="L3435" s="30"/>
      <c r="M3435" s="30"/>
      <c r="N3435" s="30"/>
      <c r="O3435" s="30"/>
      <c r="P3435" s="30"/>
      <c r="Q3435" s="30"/>
      <c r="R3435" s="30"/>
      <c r="S3435" s="30"/>
      <c r="T3435" s="30"/>
      <c r="U3435" s="21" t="str">
        <f aca="false">IF(COUNT(K3435:T3435)=0,"SOURCE EMPTY / INDUSTRIAL ONLY",IF(MIN(K3435:T3435)=1,"SERVICE READY","HOLD"))</f>
        <v>SOURCE EMPTY / INDUSTRIAL ONLY</v>
      </c>
      <c r="V3435" s="9" t="n">
        <f aca="false">IF(U3435="SERVICE READY",1,0)</f>
        <v>0</v>
      </c>
      <c r="W3435" s="6"/>
      <c r="X3435" s="6"/>
      <c r="Y3435" s="6"/>
      <c r="Z3435" s="6"/>
    </row>
    <row r="3436" customFormat="false" ht="15" hidden="false" customHeight="false" outlineLevel="0" collapsed="false">
      <c r="A3436" s="9" t="s">
        <v>3713</v>
      </c>
      <c r="B3436" s="9" t="s">
        <v>3544</v>
      </c>
      <c r="C3436" s="9" t="s">
        <v>3545</v>
      </c>
      <c r="D3436" s="9" t="s">
        <v>2971</v>
      </c>
      <c r="E3436" s="9" t="s">
        <v>1660</v>
      </c>
      <c r="F3436" s="9" t="s">
        <v>197</v>
      </c>
      <c r="G3436" s="9" t="s">
        <v>221</v>
      </c>
      <c r="H3436" s="9" t="n">
        <v>1870</v>
      </c>
      <c r="I3436" s="29" t="n">
        <v>0.8</v>
      </c>
      <c r="J3436" s="9" t="n">
        <v>0</v>
      </c>
      <c r="K3436" s="30"/>
      <c r="L3436" s="30"/>
      <c r="M3436" s="30"/>
      <c r="N3436" s="30"/>
      <c r="O3436" s="30"/>
      <c r="P3436" s="30"/>
      <c r="Q3436" s="30"/>
      <c r="R3436" s="30"/>
      <c r="S3436" s="30"/>
      <c r="T3436" s="30"/>
      <c r="U3436" s="21" t="str">
        <f aca="false">IF(COUNT(K3436:T3436)=0,"SOURCE EMPTY / INDUSTRIAL ONLY",IF(MIN(K3436:T3436)=1,"SERVICE READY","HOLD"))</f>
        <v>SOURCE EMPTY / INDUSTRIAL ONLY</v>
      </c>
      <c r="V3436" s="9" t="n">
        <f aca="false">IF(U3436="SERVICE READY",1,0)</f>
        <v>0</v>
      </c>
      <c r="W3436" s="6"/>
      <c r="X3436" s="6"/>
      <c r="Y3436" s="6"/>
      <c r="Z3436" s="6"/>
    </row>
    <row r="3437" customFormat="false" ht="15" hidden="false" customHeight="false" outlineLevel="0" collapsed="false">
      <c r="A3437" s="9" t="s">
        <v>3714</v>
      </c>
      <c r="B3437" s="9" t="s">
        <v>3544</v>
      </c>
      <c r="C3437" s="9" t="s">
        <v>3545</v>
      </c>
      <c r="D3437" s="9" t="s">
        <v>2971</v>
      </c>
      <c r="E3437" s="9" t="s">
        <v>1660</v>
      </c>
      <c r="F3437" s="9" t="s">
        <v>200</v>
      </c>
      <c r="G3437" s="9" t="s">
        <v>221</v>
      </c>
      <c r="H3437" s="9" t="n">
        <v>1870</v>
      </c>
      <c r="I3437" s="29" t="n">
        <v>0.8</v>
      </c>
      <c r="J3437" s="9" t="n">
        <v>0</v>
      </c>
      <c r="K3437" s="30"/>
      <c r="L3437" s="30"/>
      <c r="M3437" s="30"/>
      <c r="N3437" s="30"/>
      <c r="O3437" s="30"/>
      <c r="P3437" s="30"/>
      <c r="Q3437" s="30"/>
      <c r="R3437" s="30"/>
      <c r="S3437" s="30"/>
      <c r="T3437" s="30"/>
      <c r="U3437" s="21" t="str">
        <f aca="false">IF(COUNT(K3437:T3437)=0,"SOURCE EMPTY / INDUSTRIAL ONLY",IF(MIN(K3437:T3437)=1,"SERVICE READY","HOLD"))</f>
        <v>SOURCE EMPTY / INDUSTRIAL ONLY</v>
      </c>
      <c r="V3437" s="9" t="n">
        <f aca="false">IF(U3437="SERVICE READY",1,0)</f>
        <v>0</v>
      </c>
      <c r="W3437" s="6"/>
      <c r="X3437" s="6"/>
      <c r="Y3437" s="6"/>
      <c r="Z3437" s="6"/>
    </row>
    <row r="3438" customFormat="false" ht="15" hidden="false" customHeight="false" outlineLevel="0" collapsed="false">
      <c r="A3438" s="9" t="s">
        <v>3715</v>
      </c>
      <c r="B3438" s="9" t="s">
        <v>3544</v>
      </c>
      <c r="C3438" s="9" t="s">
        <v>3545</v>
      </c>
      <c r="D3438" s="9" t="s">
        <v>2971</v>
      </c>
      <c r="E3438" s="9" t="s">
        <v>1660</v>
      </c>
      <c r="F3438" s="9" t="s">
        <v>203</v>
      </c>
      <c r="G3438" s="9" t="s">
        <v>221</v>
      </c>
      <c r="H3438" s="9" t="n">
        <v>1870</v>
      </c>
      <c r="I3438" s="29" t="n">
        <v>0.8</v>
      </c>
      <c r="J3438" s="9" t="n">
        <v>0</v>
      </c>
      <c r="K3438" s="30"/>
      <c r="L3438" s="30"/>
      <c r="M3438" s="30"/>
      <c r="N3438" s="30"/>
      <c r="O3438" s="30"/>
      <c r="P3438" s="30"/>
      <c r="Q3438" s="30"/>
      <c r="R3438" s="30"/>
      <c r="S3438" s="30"/>
      <c r="T3438" s="30"/>
      <c r="U3438" s="21" t="str">
        <f aca="false">IF(COUNT(K3438:T3438)=0,"SOURCE EMPTY / INDUSTRIAL ONLY",IF(MIN(K3438:T3438)=1,"SERVICE READY","HOLD"))</f>
        <v>SOURCE EMPTY / INDUSTRIAL ONLY</v>
      </c>
      <c r="V3438" s="9" t="n">
        <f aca="false">IF(U3438="SERVICE READY",1,0)</f>
        <v>0</v>
      </c>
      <c r="W3438" s="6"/>
      <c r="X3438" s="6"/>
      <c r="Y3438" s="6"/>
      <c r="Z3438" s="6"/>
    </row>
    <row r="3439" customFormat="false" ht="15" hidden="false" customHeight="false" outlineLevel="0" collapsed="false">
      <c r="A3439" s="9" t="s">
        <v>3716</v>
      </c>
      <c r="B3439" s="9" t="s">
        <v>3544</v>
      </c>
      <c r="C3439" s="9" t="s">
        <v>3545</v>
      </c>
      <c r="D3439" s="9" t="s">
        <v>2971</v>
      </c>
      <c r="E3439" s="9" t="s">
        <v>1660</v>
      </c>
      <c r="F3439" s="9" t="s">
        <v>205</v>
      </c>
      <c r="G3439" s="9" t="s">
        <v>221</v>
      </c>
      <c r="H3439" s="9" t="n">
        <v>1870</v>
      </c>
      <c r="I3439" s="29" t="n">
        <v>0.8</v>
      </c>
      <c r="J3439" s="9" t="n">
        <v>0</v>
      </c>
      <c r="K3439" s="30"/>
      <c r="L3439" s="30"/>
      <c r="M3439" s="30"/>
      <c r="N3439" s="30"/>
      <c r="O3439" s="30"/>
      <c r="P3439" s="30"/>
      <c r="Q3439" s="30"/>
      <c r="R3439" s="30"/>
      <c r="S3439" s="30"/>
      <c r="T3439" s="30"/>
      <c r="U3439" s="21" t="str">
        <f aca="false">IF(COUNT(K3439:T3439)=0,"SOURCE EMPTY / INDUSTRIAL ONLY",IF(MIN(K3439:T3439)=1,"SERVICE READY","HOLD"))</f>
        <v>SOURCE EMPTY / INDUSTRIAL ONLY</v>
      </c>
      <c r="V3439" s="9" t="n">
        <f aca="false">IF(U3439="SERVICE READY",1,0)</f>
        <v>0</v>
      </c>
      <c r="W3439" s="6"/>
      <c r="X3439" s="6"/>
      <c r="Y3439" s="6"/>
      <c r="Z3439" s="6"/>
    </row>
    <row r="3440" customFormat="false" ht="15" hidden="false" customHeight="false" outlineLevel="0" collapsed="false">
      <c r="A3440" s="9" t="s">
        <v>3717</v>
      </c>
      <c r="B3440" s="9" t="s">
        <v>3544</v>
      </c>
      <c r="C3440" s="9" t="s">
        <v>3545</v>
      </c>
      <c r="D3440" s="9" t="s">
        <v>2971</v>
      </c>
      <c r="E3440" s="9" t="s">
        <v>1660</v>
      </c>
      <c r="F3440" s="9" t="s">
        <v>207</v>
      </c>
      <c r="G3440" s="9" t="s">
        <v>221</v>
      </c>
      <c r="H3440" s="9" t="n">
        <v>1870</v>
      </c>
      <c r="I3440" s="29" t="n">
        <v>0.8</v>
      </c>
      <c r="J3440" s="9" t="n">
        <v>0</v>
      </c>
      <c r="K3440" s="30"/>
      <c r="L3440" s="30"/>
      <c r="M3440" s="30"/>
      <c r="N3440" s="30"/>
      <c r="O3440" s="30"/>
      <c r="P3440" s="30"/>
      <c r="Q3440" s="30"/>
      <c r="R3440" s="30"/>
      <c r="S3440" s="30"/>
      <c r="T3440" s="30"/>
      <c r="U3440" s="21" t="str">
        <f aca="false">IF(COUNT(K3440:T3440)=0,"SOURCE EMPTY / INDUSTRIAL ONLY",IF(MIN(K3440:T3440)=1,"SERVICE READY","HOLD"))</f>
        <v>SOURCE EMPTY / INDUSTRIAL ONLY</v>
      </c>
      <c r="V3440" s="9" t="n">
        <f aca="false">IF(U3440="SERVICE READY",1,0)</f>
        <v>0</v>
      </c>
      <c r="W3440" s="6"/>
      <c r="X3440" s="6"/>
      <c r="Y3440" s="6"/>
      <c r="Z3440" s="6"/>
    </row>
    <row r="3441" customFormat="false" ht="15" hidden="false" customHeight="false" outlineLevel="0" collapsed="false">
      <c r="A3441" s="9" t="s">
        <v>3718</v>
      </c>
      <c r="B3441" s="9" t="s">
        <v>3544</v>
      </c>
      <c r="C3441" s="9" t="s">
        <v>3545</v>
      </c>
      <c r="D3441" s="9" t="s">
        <v>2971</v>
      </c>
      <c r="E3441" s="9" t="s">
        <v>1660</v>
      </c>
      <c r="F3441" s="9" t="s">
        <v>209</v>
      </c>
      <c r="G3441" s="9" t="s">
        <v>221</v>
      </c>
      <c r="H3441" s="9" t="n">
        <v>1870</v>
      </c>
      <c r="I3441" s="29" t="n">
        <v>0.8</v>
      </c>
      <c r="J3441" s="9" t="n">
        <v>0</v>
      </c>
      <c r="K3441" s="30"/>
      <c r="L3441" s="30"/>
      <c r="M3441" s="30"/>
      <c r="N3441" s="30"/>
      <c r="O3441" s="30"/>
      <c r="P3441" s="30"/>
      <c r="Q3441" s="30"/>
      <c r="R3441" s="30"/>
      <c r="S3441" s="30"/>
      <c r="T3441" s="30"/>
      <c r="U3441" s="21" t="str">
        <f aca="false">IF(COUNT(K3441:T3441)=0,"SOURCE EMPTY / INDUSTRIAL ONLY",IF(MIN(K3441:T3441)=1,"SERVICE READY","HOLD"))</f>
        <v>SOURCE EMPTY / INDUSTRIAL ONLY</v>
      </c>
      <c r="V3441" s="9" t="n">
        <f aca="false">IF(U3441="SERVICE READY",1,0)</f>
        <v>0</v>
      </c>
      <c r="W3441" s="6"/>
      <c r="X3441" s="6"/>
      <c r="Y3441" s="6"/>
      <c r="Z3441" s="6"/>
    </row>
    <row r="3442" customFormat="false" ht="15" hidden="false" customHeight="false" outlineLevel="0" collapsed="false">
      <c r="A3442" s="9" t="s">
        <v>3719</v>
      </c>
      <c r="B3442" s="9" t="s">
        <v>3720</v>
      </c>
      <c r="C3442" s="9" t="s">
        <v>3721</v>
      </c>
      <c r="D3442" s="9" t="s">
        <v>3722</v>
      </c>
      <c r="E3442" s="9" t="s">
        <v>1660</v>
      </c>
      <c r="F3442" s="9" t="s">
        <v>197</v>
      </c>
      <c r="G3442" s="9" t="s">
        <v>198</v>
      </c>
      <c r="H3442" s="9" t="n">
        <v>1125</v>
      </c>
      <c r="I3442" s="29" t="n">
        <v>0.6</v>
      </c>
      <c r="J3442" s="9" t="n">
        <v>1</v>
      </c>
      <c r="K3442" s="30"/>
      <c r="L3442" s="30"/>
      <c r="M3442" s="30"/>
      <c r="N3442" s="30"/>
      <c r="O3442" s="30"/>
      <c r="P3442" s="30"/>
      <c r="Q3442" s="30"/>
      <c r="R3442" s="30"/>
      <c r="S3442" s="30"/>
      <c r="T3442" s="30"/>
      <c r="U3442" s="21" t="str">
        <f aca="false">IF(COUNT(K3442:T3442)=0,"SOURCE EMPTY / INDUSTRIAL ONLY",IF(MIN(K3442:T3442)=1,"SERVICE READY","HOLD"))</f>
        <v>SOURCE EMPTY / INDUSTRIAL ONLY</v>
      </c>
      <c r="V3442" s="9" t="n">
        <f aca="false">IF(U3442="SERVICE READY",1,0)</f>
        <v>0</v>
      </c>
      <c r="W3442" s="6"/>
      <c r="X3442" s="6"/>
      <c r="Y3442" s="6"/>
      <c r="Z3442" s="6"/>
    </row>
    <row r="3443" customFormat="false" ht="15" hidden="false" customHeight="false" outlineLevel="0" collapsed="false">
      <c r="A3443" s="9" t="s">
        <v>3723</v>
      </c>
      <c r="B3443" s="9" t="s">
        <v>3720</v>
      </c>
      <c r="C3443" s="9" t="s">
        <v>3721</v>
      </c>
      <c r="D3443" s="9" t="s">
        <v>3722</v>
      </c>
      <c r="E3443" s="9" t="s">
        <v>1660</v>
      </c>
      <c r="F3443" s="9" t="s">
        <v>200</v>
      </c>
      <c r="G3443" s="9" t="s">
        <v>201</v>
      </c>
      <c r="H3443" s="9" t="n">
        <v>1125</v>
      </c>
      <c r="I3443" s="29" t="n">
        <v>0.6</v>
      </c>
      <c r="J3443" s="9" t="n">
        <v>1</v>
      </c>
      <c r="K3443" s="30"/>
      <c r="L3443" s="30"/>
      <c r="M3443" s="30"/>
      <c r="N3443" s="30"/>
      <c r="O3443" s="30"/>
      <c r="P3443" s="30"/>
      <c r="Q3443" s="30"/>
      <c r="R3443" s="30"/>
      <c r="S3443" s="30"/>
      <c r="T3443" s="30"/>
      <c r="U3443" s="21" t="str">
        <f aca="false">IF(COUNT(K3443:T3443)=0,"SOURCE EMPTY / INDUSTRIAL ONLY",IF(MIN(K3443:T3443)=1,"SERVICE READY","HOLD"))</f>
        <v>SOURCE EMPTY / INDUSTRIAL ONLY</v>
      </c>
      <c r="V3443" s="9" t="n">
        <f aca="false">IF(U3443="SERVICE READY",1,0)</f>
        <v>0</v>
      </c>
      <c r="W3443" s="6"/>
      <c r="X3443" s="6"/>
      <c r="Y3443" s="6"/>
      <c r="Z3443" s="6"/>
    </row>
    <row r="3444" customFormat="false" ht="15" hidden="false" customHeight="false" outlineLevel="0" collapsed="false">
      <c r="A3444" s="9" t="s">
        <v>3724</v>
      </c>
      <c r="B3444" s="9" t="s">
        <v>3720</v>
      </c>
      <c r="C3444" s="9" t="s">
        <v>3721</v>
      </c>
      <c r="D3444" s="9" t="s">
        <v>3722</v>
      </c>
      <c r="E3444" s="9" t="s">
        <v>1660</v>
      </c>
      <c r="F3444" s="9" t="s">
        <v>203</v>
      </c>
      <c r="G3444" s="9" t="s">
        <v>198</v>
      </c>
      <c r="H3444" s="9" t="n">
        <v>1125</v>
      </c>
      <c r="I3444" s="29" t="n">
        <v>0.6</v>
      </c>
      <c r="J3444" s="9" t="n">
        <v>1</v>
      </c>
      <c r="K3444" s="30"/>
      <c r="L3444" s="30"/>
      <c r="M3444" s="30"/>
      <c r="N3444" s="30"/>
      <c r="O3444" s="30"/>
      <c r="P3444" s="30"/>
      <c r="Q3444" s="30"/>
      <c r="R3444" s="30"/>
      <c r="S3444" s="30"/>
      <c r="T3444" s="30"/>
      <c r="U3444" s="21" t="str">
        <f aca="false">IF(COUNT(K3444:T3444)=0,"SOURCE EMPTY / INDUSTRIAL ONLY",IF(MIN(K3444:T3444)=1,"SERVICE READY","HOLD"))</f>
        <v>SOURCE EMPTY / INDUSTRIAL ONLY</v>
      </c>
      <c r="V3444" s="9" t="n">
        <f aca="false">IF(U3444="SERVICE READY",1,0)</f>
        <v>0</v>
      </c>
      <c r="W3444" s="6"/>
      <c r="X3444" s="6"/>
      <c r="Y3444" s="6"/>
      <c r="Z3444" s="6"/>
    </row>
    <row r="3445" customFormat="false" ht="15" hidden="false" customHeight="false" outlineLevel="0" collapsed="false">
      <c r="A3445" s="9" t="s">
        <v>3725</v>
      </c>
      <c r="B3445" s="9" t="s">
        <v>3720</v>
      </c>
      <c r="C3445" s="9" t="s">
        <v>3721</v>
      </c>
      <c r="D3445" s="9" t="s">
        <v>3722</v>
      </c>
      <c r="E3445" s="9" t="s">
        <v>1660</v>
      </c>
      <c r="F3445" s="9" t="s">
        <v>205</v>
      </c>
      <c r="G3445" s="9" t="s">
        <v>201</v>
      </c>
      <c r="H3445" s="9" t="n">
        <v>1125</v>
      </c>
      <c r="I3445" s="29" t="n">
        <v>0.6</v>
      </c>
      <c r="J3445" s="9" t="n">
        <v>1</v>
      </c>
      <c r="K3445" s="30"/>
      <c r="L3445" s="30"/>
      <c r="M3445" s="30"/>
      <c r="N3445" s="30"/>
      <c r="O3445" s="30"/>
      <c r="P3445" s="30"/>
      <c r="Q3445" s="30"/>
      <c r="R3445" s="30"/>
      <c r="S3445" s="30"/>
      <c r="T3445" s="30"/>
      <c r="U3445" s="21" t="str">
        <f aca="false">IF(COUNT(K3445:T3445)=0,"SOURCE EMPTY / INDUSTRIAL ONLY",IF(MIN(K3445:T3445)=1,"SERVICE READY","HOLD"))</f>
        <v>SOURCE EMPTY / INDUSTRIAL ONLY</v>
      </c>
      <c r="V3445" s="9" t="n">
        <f aca="false">IF(U3445="SERVICE READY",1,0)</f>
        <v>0</v>
      </c>
      <c r="W3445" s="6"/>
      <c r="X3445" s="6"/>
      <c r="Y3445" s="6"/>
      <c r="Z3445" s="6"/>
    </row>
    <row r="3446" customFormat="false" ht="15" hidden="false" customHeight="false" outlineLevel="0" collapsed="false">
      <c r="A3446" s="9" t="s">
        <v>3726</v>
      </c>
      <c r="B3446" s="9" t="s">
        <v>3720</v>
      </c>
      <c r="C3446" s="9" t="s">
        <v>3721</v>
      </c>
      <c r="D3446" s="9" t="s">
        <v>3722</v>
      </c>
      <c r="E3446" s="9" t="s">
        <v>1660</v>
      </c>
      <c r="F3446" s="9" t="s">
        <v>207</v>
      </c>
      <c r="G3446" s="9" t="s">
        <v>198</v>
      </c>
      <c r="H3446" s="9" t="n">
        <v>1125</v>
      </c>
      <c r="I3446" s="29" t="n">
        <v>0.6</v>
      </c>
      <c r="J3446" s="9" t="n">
        <v>1</v>
      </c>
      <c r="K3446" s="30"/>
      <c r="L3446" s="30"/>
      <c r="M3446" s="30"/>
      <c r="N3446" s="30"/>
      <c r="O3446" s="30"/>
      <c r="P3446" s="30"/>
      <c r="Q3446" s="30"/>
      <c r="R3446" s="30"/>
      <c r="S3446" s="30"/>
      <c r="T3446" s="30"/>
      <c r="U3446" s="21" t="str">
        <f aca="false">IF(COUNT(K3446:T3446)=0,"SOURCE EMPTY / INDUSTRIAL ONLY",IF(MIN(K3446:T3446)=1,"SERVICE READY","HOLD"))</f>
        <v>SOURCE EMPTY / INDUSTRIAL ONLY</v>
      </c>
      <c r="V3446" s="9" t="n">
        <f aca="false">IF(U3446="SERVICE READY",1,0)</f>
        <v>0</v>
      </c>
      <c r="W3446" s="6"/>
      <c r="X3446" s="6"/>
      <c r="Y3446" s="6"/>
      <c r="Z3446" s="6"/>
    </row>
    <row r="3447" customFormat="false" ht="15" hidden="false" customHeight="false" outlineLevel="0" collapsed="false">
      <c r="A3447" s="9" t="s">
        <v>3727</v>
      </c>
      <c r="B3447" s="9" t="s">
        <v>3720</v>
      </c>
      <c r="C3447" s="9" t="s">
        <v>3721</v>
      </c>
      <c r="D3447" s="9" t="s">
        <v>3722</v>
      </c>
      <c r="E3447" s="9" t="s">
        <v>1660</v>
      </c>
      <c r="F3447" s="9" t="s">
        <v>209</v>
      </c>
      <c r="G3447" s="9" t="s">
        <v>201</v>
      </c>
      <c r="H3447" s="9" t="n">
        <v>1125</v>
      </c>
      <c r="I3447" s="29" t="n">
        <v>0.6</v>
      </c>
      <c r="J3447" s="9" t="n">
        <v>1</v>
      </c>
      <c r="K3447" s="30"/>
      <c r="L3447" s="30"/>
      <c r="M3447" s="30"/>
      <c r="N3447" s="30"/>
      <c r="O3447" s="30"/>
      <c r="P3447" s="30"/>
      <c r="Q3447" s="30"/>
      <c r="R3447" s="30"/>
      <c r="S3447" s="30"/>
      <c r="T3447" s="30"/>
      <c r="U3447" s="21" t="str">
        <f aca="false">IF(COUNT(K3447:T3447)=0,"SOURCE EMPTY / INDUSTRIAL ONLY",IF(MIN(K3447:T3447)=1,"SERVICE READY","HOLD"))</f>
        <v>SOURCE EMPTY / INDUSTRIAL ONLY</v>
      </c>
      <c r="V3447" s="9" t="n">
        <f aca="false">IF(U3447="SERVICE READY",1,0)</f>
        <v>0</v>
      </c>
      <c r="W3447" s="6"/>
      <c r="X3447" s="6"/>
      <c r="Y3447" s="6"/>
      <c r="Z3447" s="6"/>
    </row>
    <row r="3448" customFormat="false" ht="15" hidden="false" customHeight="false" outlineLevel="0" collapsed="false">
      <c r="A3448" s="9" t="s">
        <v>3728</v>
      </c>
      <c r="B3448" s="9" t="s">
        <v>3720</v>
      </c>
      <c r="C3448" s="9" t="s">
        <v>3721</v>
      </c>
      <c r="D3448" s="9" t="s">
        <v>3722</v>
      </c>
      <c r="E3448" s="9" t="s">
        <v>1660</v>
      </c>
      <c r="F3448" s="9" t="s">
        <v>211</v>
      </c>
      <c r="G3448" s="9" t="s">
        <v>198</v>
      </c>
      <c r="H3448" s="9" t="n">
        <v>1125</v>
      </c>
      <c r="I3448" s="29" t="n">
        <v>0.6</v>
      </c>
      <c r="J3448" s="9" t="n">
        <v>1</v>
      </c>
      <c r="K3448" s="30"/>
      <c r="L3448" s="30"/>
      <c r="M3448" s="30"/>
      <c r="N3448" s="30"/>
      <c r="O3448" s="30"/>
      <c r="P3448" s="30"/>
      <c r="Q3448" s="30"/>
      <c r="R3448" s="30"/>
      <c r="S3448" s="30"/>
      <c r="T3448" s="30"/>
      <c r="U3448" s="21" t="str">
        <f aca="false">IF(COUNT(K3448:T3448)=0,"SOURCE EMPTY / INDUSTRIAL ONLY",IF(MIN(K3448:T3448)=1,"SERVICE READY","HOLD"))</f>
        <v>SOURCE EMPTY / INDUSTRIAL ONLY</v>
      </c>
      <c r="V3448" s="9" t="n">
        <f aca="false">IF(U3448="SERVICE READY",1,0)</f>
        <v>0</v>
      </c>
      <c r="W3448" s="6"/>
      <c r="X3448" s="6"/>
      <c r="Y3448" s="6"/>
      <c r="Z3448" s="6"/>
    </row>
    <row r="3449" customFormat="false" ht="15" hidden="false" customHeight="false" outlineLevel="0" collapsed="false">
      <c r="A3449" s="9" t="s">
        <v>3729</v>
      </c>
      <c r="B3449" s="9" t="s">
        <v>3720</v>
      </c>
      <c r="C3449" s="9" t="s">
        <v>3721</v>
      </c>
      <c r="D3449" s="9" t="s">
        <v>3722</v>
      </c>
      <c r="E3449" s="9" t="s">
        <v>1660</v>
      </c>
      <c r="F3449" s="9" t="s">
        <v>197</v>
      </c>
      <c r="G3449" s="9" t="s">
        <v>201</v>
      </c>
      <c r="H3449" s="9" t="n">
        <v>1125</v>
      </c>
      <c r="I3449" s="29" t="n">
        <v>0.6</v>
      </c>
      <c r="J3449" s="9" t="n">
        <v>1</v>
      </c>
      <c r="K3449" s="30"/>
      <c r="L3449" s="30"/>
      <c r="M3449" s="30"/>
      <c r="N3449" s="30"/>
      <c r="O3449" s="30"/>
      <c r="P3449" s="30"/>
      <c r="Q3449" s="30"/>
      <c r="R3449" s="30"/>
      <c r="S3449" s="30"/>
      <c r="T3449" s="30"/>
      <c r="U3449" s="21" t="str">
        <f aca="false">IF(COUNT(K3449:T3449)=0,"SOURCE EMPTY / INDUSTRIAL ONLY",IF(MIN(K3449:T3449)=1,"SERVICE READY","HOLD"))</f>
        <v>SOURCE EMPTY / INDUSTRIAL ONLY</v>
      </c>
      <c r="V3449" s="9" t="n">
        <f aca="false">IF(U3449="SERVICE READY",1,0)</f>
        <v>0</v>
      </c>
      <c r="W3449" s="6"/>
      <c r="X3449" s="6"/>
      <c r="Y3449" s="6"/>
      <c r="Z3449" s="6"/>
    </row>
    <row r="3450" customFormat="false" ht="15" hidden="false" customHeight="false" outlineLevel="0" collapsed="false">
      <c r="A3450" s="9" t="s">
        <v>3730</v>
      </c>
      <c r="B3450" s="9" t="s">
        <v>3720</v>
      </c>
      <c r="C3450" s="9" t="s">
        <v>3721</v>
      </c>
      <c r="D3450" s="9" t="s">
        <v>3722</v>
      </c>
      <c r="E3450" s="9" t="s">
        <v>1660</v>
      </c>
      <c r="F3450" s="9" t="s">
        <v>200</v>
      </c>
      <c r="G3450" s="9" t="s">
        <v>198</v>
      </c>
      <c r="H3450" s="9" t="n">
        <v>1125</v>
      </c>
      <c r="I3450" s="29" t="n">
        <v>0.6</v>
      </c>
      <c r="J3450" s="9" t="n">
        <v>1</v>
      </c>
      <c r="K3450" s="30"/>
      <c r="L3450" s="30"/>
      <c r="M3450" s="30"/>
      <c r="N3450" s="30"/>
      <c r="O3450" s="30"/>
      <c r="P3450" s="30"/>
      <c r="Q3450" s="30"/>
      <c r="R3450" s="30"/>
      <c r="S3450" s="30"/>
      <c r="T3450" s="30"/>
      <c r="U3450" s="21" t="str">
        <f aca="false">IF(COUNT(K3450:T3450)=0,"SOURCE EMPTY / INDUSTRIAL ONLY",IF(MIN(K3450:T3450)=1,"SERVICE READY","HOLD"))</f>
        <v>SOURCE EMPTY / INDUSTRIAL ONLY</v>
      </c>
      <c r="V3450" s="9" t="n">
        <f aca="false">IF(U3450="SERVICE READY",1,0)</f>
        <v>0</v>
      </c>
      <c r="W3450" s="6"/>
      <c r="X3450" s="6"/>
      <c r="Y3450" s="6"/>
      <c r="Z3450" s="6"/>
    </row>
    <row r="3451" customFormat="false" ht="15" hidden="false" customHeight="false" outlineLevel="0" collapsed="false">
      <c r="A3451" s="9" t="s">
        <v>3731</v>
      </c>
      <c r="B3451" s="9" t="s">
        <v>3720</v>
      </c>
      <c r="C3451" s="9" t="s">
        <v>3721</v>
      </c>
      <c r="D3451" s="9" t="s">
        <v>3722</v>
      </c>
      <c r="E3451" s="9" t="s">
        <v>1660</v>
      </c>
      <c r="F3451" s="9" t="s">
        <v>203</v>
      </c>
      <c r="G3451" s="9" t="s">
        <v>201</v>
      </c>
      <c r="H3451" s="9" t="n">
        <v>1125</v>
      </c>
      <c r="I3451" s="29" t="n">
        <v>0.6</v>
      </c>
      <c r="J3451" s="9" t="n">
        <v>1</v>
      </c>
      <c r="K3451" s="30"/>
      <c r="L3451" s="30"/>
      <c r="M3451" s="30"/>
      <c r="N3451" s="30"/>
      <c r="O3451" s="30"/>
      <c r="P3451" s="30"/>
      <c r="Q3451" s="30"/>
      <c r="R3451" s="30"/>
      <c r="S3451" s="30"/>
      <c r="T3451" s="30"/>
      <c r="U3451" s="21" t="str">
        <f aca="false">IF(COUNT(K3451:T3451)=0,"SOURCE EMPTY / INDUSTRIAL ONLY",IF(MIN(K3451:T3451)=1,"SERVICE READY","HOLD"))</f>
        <v>SOURCE EMPTY / INDUSTRIAL ONLY</v>
      </c>
      <c r="V3451" s="9" t="n">
        <f aca="false">IF(U3451="SERVICE READY",1,0)</f>
        <v>0</v>
      </c>
      <c r="W3451" s="6"/>
      <c r="X3451" s="6"/>
      <c r="Y3451" s="6"/>
      <c r="Z3451" s="6"/>
    </row>
    <row r="3452" customFormat="false" ht="15" hidden="false" customHeight="false" outlineLevel="0" collapsed="false">
      <c r="A3452" s="9" t="s">
        <v>3732</v>
      </c>
      <c r="B3452" s="9" t="s">
        <v>3720</v>
      </c>
      <c r="C3452" s="9" t="s">
        <v>3721</v>
      </c>
      <c r="D3452" s="9" t="s">
        <v>3722</v>
      </c>
      <c r="E3452" s="9" t="s">
        <v>1660</v>
      </c>
      <c r="F3452" s="9" t="s">
        <v>205</v>
      </c>
      <c r="G3452" s="9" t="s">
        <v>198</v>
      </c>
      <c r="H3452" s="9" t="n">
        <v>1125</v>
      </c>
      <c r="I3452" s="29" t="n">
        <v>0.6</v>
      </c>
      <c r="J3452" s="9" t="n">
        <v>1</v>
      </c>
      <c r="K3452" s="30"/>
      <c r="L3452" s="30"/>
      <c r="M3452" s="30"/>
      <c r="N3452" s="30"/>
      <c r="O3452" s="30"/>
      <c r="P3452" s="30"/>
      <c r="Q3452" s="30"/>
      <c r="R3452" s="30"/>
      <c r="S3452" s="30"/>
      <c r="T3452" s="30"/>
      <c r="U3452" s="21" t="str">
        <f aca="false">IF(COUNT(K3452:T3452)=0,"SOURCE EMPTY / INDUSTRIAL ONLY",IF(MIN(K3452:T3452)=1,"SERVICE READY","HOLD"))</f>
        <v>SOURCE EMPTY / INDUSTRIAL ONLY</v>
      </c>
      <c r="V3452" s="9" t="n">
        <f aca="false">IF(U3452="SERVICE READY",1,0)</f>
        <v>0</v>
      </c>
      <c r="W3452" s="6"/>
      <c r="X3452" s="6"/>
      <c r="Y3452" s="6"/>
      <c r="Z3452" s="6"/>
    </row>
    <row r="3453" customFormat="false" ht="15" hidden="false" customHeight="false" outlineLevel="0" collapsed="false">
      <c r="A3453" s="9" t="s">
        <v>3733</v>
      </c>
      <c r="B3453" s="9" t="s">
        <v>3720</v>
      </c>
      <c r="C3453" s="9" t="s">
        <v>3721</v>
      </c>
      <c r="D3453" s="9" t="s">
        <v>3722</v>
      </c>
      <c r="E3453" s="9" t="s">
        <v>1660</v>
      </c>
      <c r="F3453" s="9" t="s">
        <v>207</v>
      </c>
      <c r="G3453" s="9" t="s">
        <v>201</v>
      </c>
      <c r="H3453" s="9" t="n">
        <v>1125</v>
      </c>
      <c r="I3453" s="29" t="n">
        <v>0.6</v>
      </c>
      <c r="J3453" s="9" t="n">
        <v>1</v>
      </c>
      <c r="K3453" s="30"/>
      <c r="L3453" s="30"/>
      <c r="M3453" s="30"/>
      <c r="N3453" s="30"/>
      <c r="O3453" s="30"/>
      <c r="P3453" s="30"/>
      <c r="Q3453" s="30"/>
      <c r="R3453" s="30"/>
      <c r="S3453" s="30"/>
      <c r="T3453" s="30"/>
      <c r="U3453" s="21" t="str">
        <f aca="false">IF(COUNT(K3453:T3453)=0,"SOURCE EMPTY / INDUSTRIAL ONLY",IF(MIN(K3453:T3453)=1,"SERVICE READY","HOLD"))</f>
        <v>SOURCE EMPTY / INDUSTRIAL ONLY</v>
      </c>
      <c r="V3453" s="9" t="n">
        <f aca="false">IF(U3453="SERVICE READY",1,0)</f>
        <v>0</v>
      </c>
      <c r="W3453" s="6"/>
      <c r="X3453" s="6"/>
      <c r="Y3453" s="6"/>
      <c r="Z3453" s="6"/>
    </row>
    <row r="3454" customFormat="false" ht="15" hidden="false" customHeight="false" outlineLevel="0" collapsed="false">
      <c r="A3454" s="9" t="s">
        <v>3734</v>
      </c>
      <c r="B3454" s="9" t="s">
        <v>3720</v>
      </c>
      <c r="C3454" s="9" t="s">
        <v>3721</v>
      </c>
      <c r="D3454" s="9" t="s">
        <v>3722</v>
      </c>
      <c r="E3454" s="9" t="s">
        <v>1660</v>
      </c>
      <c r="F3454" s="9" t="s">
        <v>209</v>
      </c>
      <c r="G3454" s="9" t="s">
        <v>198</v>
      </c>
      <c r="H3454" s="9" t="n">
        <v>1125</v>
      </c>
      <c r="I3454" s="29" t="n">
        <v>0.6</v>
      </c>
      <c r="J3454" s="9" t="n">
        <v>1</v>
      </c>
      <c r="K3454" s="30"/>
      <c r="L3454" s="30"/>
      <c r="M3454" s="30"/>
      <c r="N3454" s="30"/>
      <c r="O3454" s="30"/>
      <c r="P3454" s="30"/>
      <c r="Q3454" s="30"/>
      <c r="R3454" s="30"/>
      <c r="S3454" s="30"/>
      <c r="T3454" s="30"/>
      <c r="U3454" s="21" t="str">
        <f aca="false">IF(COUNT(K3454:T3454)=0,"SOURCE EMPTY / INDUSTRIAL ONLY",IF(MIN(K3454:T3454)=1,"SERVICE READY","HOLD"))</f>
        <v>SOURCE EMPTY / INDUSTRIAL ONLY</v>
      </c>
      <c r="V3454" s="9" t="n">
        <f aca="false">IF(U3454="SERVICE READY",1,0)</f>
        <v>0</v>
      </c>
      <c r="W3454" s="6"/>
      <c r="X3454" s="6"/>
      <c r="Y3454" s="6"/>
      <c r="Z3454" s="6"/>
    </row>
    <row r="3455" customFormat="false" ht="15" hidden="false" customHeight="false" outlineLevel="0" collapsed="false">
      <c r="A3455" s="9" t="s">
        <v>3735</v>
      </c>
      <c r="B3455" s="9" t="s">
        <v>3720</v>
      </c>
      <c r="C3455" s="9" t="s">
        <v>3721</v>
      </c>
      <c r="D3455" s="9" t="s">
        <v>3722</v>
      </c>
      <c r="E3455" s="9" t="s">
        <v>1660</v>
      </c>
      <c r="F3455" s="9" t="s">
        <v>211</v>
      </c>
      <c r="G3455" s="9" t="s">
        <v>201</v>
      </c>
      <c r="H3455" s="9" t="n">
        <v>1125</v>
      </c>
      <c r="I3455" s="29" t="n">
        <v>0.6</v>
      </c>
      <c r="J3455" s="9" t="n">
        <v>1</v>
      </c>
      <c r="K3455" s="30"/>
      <c r="L3455" s="30"/>
      <c r="M3455" s="30"/>
      <c r="N3455" s="30"/>
      <c r="O3455" s="30"/>
      <c r="P3455" s="30"/>
      <c r="Q3455" s="30"/>
      <c r="R3455" s="30"/>
      <c r="S3455" s="30"/>
      <c r="T3455" s="30"/>
      <c r="U3455" s="21" t="str">
        <f aca="false">IF(COUNT(K3455:T3455)=0,"SOURCE EMPTY / INDUSTRIAL ONLY",IF(MIN(K3455:T3455)=1,"SERVICE READY","HOLD"))</f>
        <v>SOURCE EMPTY / INDUSTRIAL ONLY</v>
      </c>
      <c r="V3455" s="9" t="n">
        <f aca="false">IF(U3455="SERVICE READY",1,0)</f>
        <v>0</v>
      </c>
      <c r="W3455" s="6"/>
      <c r="X3455" s="6"/>
      <c r="Y3455" s="6"/>
      <c r="Z3455" s="6"/>
    </row>
    <row r="3456" customFormat="false" ht="15" hidden="false" customHeight="false" outlineLevel="0" collapsed="false">
      <c r="A3456" s="9" t="s">
        <v>3736</v>
      </c>
      <c r="B3456" s="9" t="s">
        <v>3720</v>
      </c>
      <c r="C3456" s="9" t="s">
        <v>3721</v>
      </c>
      <c r="D3456" s="9" t="s">
        <v>3722</v>
      </c>
      <c r="E3456" s="9" t="s">
        <v>1660</v>
      </c>
      <c r="F3456" s="9" t="s">
        <v>197</v>
      </c>
      <c r="G3456" s="9" t="s">
        <v>198</v>
      </c>
      <c r="H3456" s="9" t="n">
        <v>1125</v>
      </c>
      <c r="I3456" s="29" t="n">
        <v>0.6</v>
      </c>
      <c r="J3456" s="9" t="n">
        <v>1</v>
      </c>
      <c r="K3456" s="30"/>
      <c r="L3456" s="30"/>
      <c r="M3456" s="30"/>
      <c r="N3456" s="30"/>
      <c r="O3456" s="30"/>
      <c r="P3456" s="30"/>
      <c r="Q3456" s="30"/>
      <c r="R3456" s="30"/>
      <c r="S3456" s="30"/>
      <c r="T3456" s="30"/>
      <c r="U3456" s="21" t="str">
        <f aca="false">IF(COUNT(K3456:T3456)=0,"SOURCE EMPTY / INDUSTRIAL ONLY",IF(MIN(K3456:T3456)=1,"SERVICE READY","HOLD"))</f>
        <v>SOURCE EMPTY / INDUSTRIAL ONLY</v>
      </c>
      <c r="V3456" s="9" t="n">
        <f aca="false">IF(U3456="SERVICE READY",1,0)</f>
        <v>0</v>
      </c>
      <c r="W3456" s="6"/>
      <c r="X3456" s="6"/>
      <c r="Y3456" s="6"/>
      <c r="Z3456" s="6"/>
    </row>
    <row r="3457" customFormat="false" ht="15" hidden="false" customHeight="false" outlineLevel="0" collapsed="false">
      <c r="A3457" s="9" t="s">
        <v>3737</v>
      </c>
      <c r="B3457" s="9" t="s">
        <v>3720</v>
      </c>
      <c r="C3457" s="9" t="s">
        <v>3721</v>
      </c>
      <c r="D3457" s="9" t="s">
        <v>3722</v>
      </c>
      <c r="E3457" s="9" t="s">
        <v>1660</v>
      </c>
      <c r="F3457" s="9" t="s">
        <v>200</v>
      </c>
      <c r="G3457" s="9" t="s">
        <v>201</v>
      </c>
      <c r="H3457" s="9" t="n">
        <v>1125</v>
      </c>
      <c r="I3457" s="29" t="n">
        <v>0.6</v>
      </c>
      <c r="J3457" s="9" t="n">
        <v>1</v>
      </c>
      <c r="K3457" s="30"/>
      <c r="L3457" s="30"/>
      <c r="M3457" s="30"/>
      <c r="N3457" s="30"/>
      <c r="O3457" s="30"/>
      <c r="P3457" s="30"/>
      <c r="Q3457" s="30"/>
      <c r="R3457" s="30"/>
      <c r="S3457" s="30"/>
      <c r="T3457" s="30"/>
      <c r="U3457" s="21" t="str">
        <f aca="false">IF(COUNT(K3457:T3457)=0,"SOURCE EMPTY / INDUSTRIAL ONLY",IF(MIN(K3457:T3457)=1,"SERVICE READY","HOLD"))</f>
        <v>SOURCE EMPTY / INDUSTRIAL ONLY</v>
      </c>
      <c r="V3457" s="9" t="n">
        <f aca="false">IF(U3457="SERVICE READY",1,0)</f>
        <v>0</v>
      </c>
      <c r="W3457" s="6"/>
      <c r="X3457" s="6"/>
      <c r="Y3457" s="6"/>
      <c r="Z3457" s="6"/>
    </row>
    <row r="3458" customFormat="false" ht="15" hidden="false" customHeight="false" outlineLevel="0" collapsed="false">
      <c r="A3458" s="9" t="s">
        <v>3738</v>
      </c>
      <c r="B3458" s="9" t="s">
        <v>3720</v>
      </c>
      <c r="C3458" s="9" t="s">
        <v>3721</v>
      </c>
      <c r="D3458" s="9" t="s">
        <v>3722</v>
      </c>
      <c r="E3458" s="9" t="s">
        <v>1660</v>
      </c>
      <c r="F3458" s="9" t="s">
        <v>203</v>
      </c>
      <c r="G3458" s="9" t="s">
        <v>198</v>
      </c>
      <c r="H3458" s="9" t="n">
        <v>1125</v>
      </c>
      <c r="I3458" s="29" t="n">
        <v>0.6</v>
      </c>
      <c r="J3458" s="9" t="n">
        <v>1</v>
      </c>
      <c r="K3458" s="30"/>
      <c r="L3458" s="30"/>
      <c r="M3458" s="30"/>
      <c r="N3458" s="30"/>
      <c r="O3458" s="30"/>
      <c r="P3458" s="30"/>
      <c r="Q3458" s="30"/>
      <c r="R3458" s="30"/>
      <c r="S3458" s="30"/>
      <c r="T3458" s="30"/>
      <c r="U3458" s="21" t="str">
        <f aca="false">IF(COUNT(K3458:T3458)=0,"SOURCE EMPTY / INDUSTRIAL ONLY",IF(MIN(K3458:T3458)=1,"SERVICE READY","HOLD"))</f>
        <v>SOURCE EMPTY / INDUSTRIAL ONLY</v>
      </c>
      <c r="V3458" s="9" t="n">
        <f aca="false">IF(U3458="SERVICE READY",1,0)</f>
        <v>0</v>
      </c>
      <c r="W3458" s="6"/>
      <c r="X3458" s="6"/>
      <c r="Y3458" s="6"/>
      <c r="Z3458" s="6"/>
    </row>
    <row r="3459" customFormat="false" ht="15" hidden="false" customHeight="false" outlineLevel="0" collapsed="false">
      <c r="A3459" s="9" t="s">
        <v>3739</v>
      </c>
      <c r="B3459" s="9" t="s">
        <v>3720</v>
      </c>
      <c r="C3459" s="9" t="s">
        <v>3721</v>
      </c>
      <c r="D3459" s="9" t="s">
        <v>3722</v>
      </c>
      <c r="E3459" s="9" t="s">
        <v>1660</v>
      </c>
      <c r="F3459" s="9" t="s">
        <v>205</v>
      </c>
      <c r="G3459" s="9" t="s">
        <v>201</v>
      </c>
      <c r="H3459" s="9" t="n">
        <v>1125</v>
      </c>
      <c r="I3459" s="29" t="n">
        <v>0.6</v>
      </c>
      <c r="J3459" s="9" t="n">
        <v>1</v>
      </c>
      <c r="K3459" s="30"/>
      <c r="L3459" s="30"/>
      <c r="M3459" s="30"/>
      <c r="N3459" s="30"/>
      <c r="O3459" s="30"/>
      <c r="P3459" s="30"/>
      <c r="Q3459" s="30"/>
      <c r="R3459" s="30"/>
      <c r="S3459" s="30"/>
      <c r="T3459" s="30"/>
      <c r="U3459" s="21" t="str">
        <f aca="false">IF(COUNT(K3459:T3459)=0,"SOURCE EMPTY / INDUSTRIAL ONLY",IF(MIN(K3459:T3459)=1,"SERVICE READY","HOLD"))</f>
        <v>SOURCE EMPTY / INDUSTRIAL ONLY</v>
      </c>
      <c r="V3459" s="9" t="n">
        <f aca="false">IF(U3459="SERVICE READY",1,0)</f>
        <v>0</v>
      </c>
      <c r="W3459" s="6"/>
      <c r="X3459" s="6"/>
      <c r="Y3459" s="6"/>
      <c r="Z3459" s="6"/>
    </row>
    <row r="3460" customFormat="false" ht="15" hidden="false" customHeight="false" outlineLevel="0" collapsed="false">
      <c r="A3460" s="9" t="s">
        <v>3740</v>
      </c>
      <c r="B3460" s="9" t="s">
        <v>3720</v>
      </c>
      <c r="C3460" s="9" t="s">
        <v>3721</v>
      </c>
      <c r="D3460" s="9" t="s">
        <v>3722</v>
      </c>
      <c r="E3460" s="9" t="s">
        <v>1660</v>
      </c>
      <c r="F3460" s="9" t="s">
        <v>207</v>
      </c>
      <c r="G3460" s="9" t="s">
        <v>198</v>
      </c>
      <c r="H3460" s="9" t="n">
        <v>1125</v>
      </c>
      <c r="I3460" s="29" t="n">
        <v>0.6</v>
      </c>
      <c r="J3460" s="9" t="n">
        <v>1</v>
      </c>
      <c r="K3460" s="30"/>
      <c r="L3460" s="30"/>
      <c r="M3460" s="30"/>
      <c r="N3460" s="30"/>
      <c r="O3460" s="30"/>
      <c r="P3460" s="30"/>
      <c r="Q3460" s="30"/>
      <c r="R3460" s="30"/>
      <c r="S3460" s="30"/>
      <c r="T3460" s="30"/>
      <c r="U3460" s="21" t="str">
        <f aca="false">IF(COUNT(K3460:T3460)=0,"SOURCE EMPTY / INDUSTRIAL ONLY",IF(MIN(K3460:T3460)=1,"SERVICE READY","HOLD"))</f>
        <v>SOURCE EMPTY / INDUSTRIAL ONLY</v>
      </c>
      <c r="V3460" s="9" t="n">
        <f aca="false">IF(U3460="SERVICE READY",1,0)</f>
        <v>0</v>
      </c>
      <c r="W3460" s="6"/>
      <c r="X3460" s="6"/>
      <c r="Y3460" s="6"/>
      <c r="Z3460" s="6"/>
    </row>
    <row r="3461" customFormat="false" ht="15" hidden="false" customHeight="false" outlineLevel="0" collapsed="false">
      <c r="A3461" s="9" t="s">
        <v>3741</v>
      </c>
      <c r="B3461" s="9" t="s">
        <v>3720</v>
      </c>
      <c r="C3461" s="9" t="s">
        <v>3721</v>
      </c>
      <c r="D3461" s="9" t="s">
        <v>3722</v>
      </c>
      <c r="E3461" s="9" t="s">
        <v>1660</v>
      </c>
      <c r="F3461" s="9" t="s">
        <v>209</v>
      </c>
      <c r="G3461" s="9" t="s">
        <v>201</v>
      </c>
      <c r="H3461" s="9" t="n">
        <v>1125</v>
      </c>
      <c r="I3461" s="29" t="n">
        <v>0.6</v>
      </c>
      <c r="J3461" s="9" t="n">
        <v>1</v>
      </c>
      <c r="K3461" s="30"/>
      <c r="L3461" s="30"/>
      <c r="M3461" s="30"/>
      <c r="N3461" s="30"/>
      <c r="O3461" s="30"/>
      <c r="P3461" s="30"/>
      <c r="Q3461" s="30"/>
      <c r="R3461" s="30"/>
      <c r="S3461" s="30"/>
      <c r="T3461" s="30"/>
      <c r="U3461" s="21" t="str">
        <f aca="false">IF(COUNT(K3461:T3461)=0,"SOURCE EMPTY / INDUSTRIAL ONLY",IF(MIN(K3461:T3461)=1,"SERVICE READY","HOLD"))</f>
        <v>SOURCE EMPTY / INDUSTRIAL ONLY</v>
      </c>
      <c r="V3461" s="9" t="n">
        <f aca="false">IF(U3461="SERVICE READY",1,0)</f>
        <v>0</v>
      </c>
      <c r="W3461" s="6"/>
      <c r="X3461" s="6"/>
      <c r="Y3461" s="6"/>
      <c r="Z3461" s="6"/>
    </row>
    <row r="3462" customFormat="false" ht="15" hidden="false" customHeight="false" outlineLevel="0" collapsed="false">
      <c r="A3462" s="9" t="s">
        <v>3742</v>
      </c>
      <c r="B3462" s="9" t="s">
        <v>3720</v>
      </c>
      <c r="C3462" s="9" t="s">
        <v>3721</v>
      </c>
      <c r="D3462" s="9" t="s">
        <v>3722</v>
      </c>
      <c r="E3462" s="9" t="s">
        <v>1660</v>
      </c>
      <c r="F3462" s="9" t="s">
        <v>211</v>
      </c>
      <c r="G3462" s="9" t="s">
        <v>198</v>
      </c>
      <c r="H3462" s="9" t="n">
        <v>1125</v>
      </c>
      <c r="I3462" s="29" t="n">
        <v>0.6</v>
      </c>
      <c r="J3462" s="9" t="n">
        <v>1</v>
      </c>
      <c r="K3462" s="30"/>
      <c r="L3462" s="30"/>
      <c r="M3462" s="30"/>
      <c r="N3462" s="30"/>
      <c r="O3462" s="30"/>
      <c r="P3462" s="30"/>
      <c r="Q3462" s="30"/>
      <c r="R3462" s="30"/>
      <c r="S3462" s="30"/>
      <c r="T3462" s="30"/>
      <c r="U3462" s="21" t="str">
        <f aca="false">IF(COUNT(K3462:T3462)=0,"SOURCE EMPTY / INDUSTRIAL ONLY",IF(MIN(K3462:T3462)=1,"SERVICE READY","HOLD"))</f>
        <v>SOURCE EMPTY / INDUSTRIAL ONLY</v>
      </c>
      <c r="V3462" s="9" t="n">
        <f aca="false">IF(U3462="SERVICE READY",1,0)</f>
        <v>0</v>
      </c>
      <c r="W3462" s="6"/>
      <c r="X3462" s="6"/>
      <c r="Y3462" s="6"/>
      <c r="Z3462" s="6"/>
    </row>
    <row r="3463" customFormat="false" ht="15" hidden="false" customHeight="false" outlineLevel="0" collapsed="false">
      <c r="A3463" s="9" t="s">
        <v>3743</v>
      </c>
      <c r="B3463" s="9" t="s">
        <v>3720</v>
      </c>
      <c r="C3463" s="9" t="s">
        <v>3721</v>
      </c>
      <c r="D3463" s="9" t="s">
        <v>3722</v>
      </c>
      <c r="E3463" s="9" t="s">
        <v>1660</v>
      </c>
      <c r="F3463" s="9" t="s">
        <v>197</v>
      </c>
      <c r="G3463" s="9" t="s">
        <v>201</v>
      </c>
      <c r="H3463" s="9" t="n">
        <v>1125</v>
      </c>
      <c r="I3463" s="29" t="n">
        <v>0.6</v>
      </c>
      <c r="J3463" s="9" t="n">
        <v>1</v>
      </c>
      <c r="K3463" s="30"/>
      <c r="L3463" s="30"/>
      <c r="M3463" s="30"/>
      <c r="N3463" s="30"/>
      <c r="O3463" s="30"/>
      <c r="P3463" s="30"/>
      <c r="Q3463" s="30"/>
      <c r="R3463" s="30"/>
      <c r="S3463" s="30"/>
      <c r="T3463" s="30"/>
      <c r="U3463" s="21" t="str">
        <f aca="false">IF(COUNT(K3463:T3463)=0,"SOURCE EMPTY / INDUSTRIAL ONLY",IF(MIN(K3463:T3463)=1,"SERVICE READY","HOLD"))</f>
        <v>SOURCE EMPTY / INDUSTRIAL ONLY</v>
      </c>
      <c r="V3463" s="9" t="n">
        <f aca="false">IF(U3463="SERVICE READY",1,0)</f>
        <v>0</v>
      </c>
      <c r="W3463" s="6"/>
      <c r="X3463" s="6"/>
      <c r="Y3463" s="6"/>
      <c r="Z3463" s="6"/>
    </row>
    <row r="3464" customFormat="false" ht="15" hidden="false" customHeight="false" outlineLevel="0" collapsed="false">
      <c r="A3464" s="9" t="s">
        <v>3744</v>
      </c>
      <c r="B3464" s="9" t="s">
        <v>3720</v>
      </c>
      <c r="C3464" s="9" t="s">
        <v>3721</v>
      </c>
      <c r="D3464" s="9" t="s">
        <v>3722</v>
      </c>
      <c r="E3464" s="9" t="s">
        <v>1660</v>
      </c>
      <c r="F3464" s="9" t="s">
        <v>200</v>
      </c>
      <c r="G3464" s="9" t="s">
        <v>198</v>
      </c>
      <c r="H3464" s="9" t="n">
        <v>1125</v>
      </c>
      <c r="I3464" s="29" t="n">
        <v>0.6</v>
      </c>
      <c r="J3464" s="9" t="n">
        <v>1</v>
      </c>
      <c r="K3464" s="30"/>
      <c r="L3464" s="30"/>
      <c r="M3464" s="30"/>
      <c r="N3464" s="30"/>
      <c r="O3464" s="30"/>
      <c r="P3464" s="30"/>
      <c r="Q3464" s="30"/>
      <c r="R3464" s="30"/>
      <c r="S3464" s="30"/>
      <c r="T3464" s="30"/>
      <c r="U3464" s="21" t="str">
        <f aca="false">IF(COUNT(K3464:T3464)=0,"SOURCE EMPTY / INDUSTRIAL ONLY",IF(MIN(K3464:T3464)=1,"SERVICE READY","HOLD"))</f>
        <v>SOURCE EMPTY / INDUSTRIAL ONLY</v>
      </c>
      <c r="V3464" s="9" t="n">
        <f aca="false">IF(U3464="SERVICE READY",1,0)</f>
        <v>0</v>
      </c>
      <c r="W3464" s="6"/>
      <c r="X3464" s="6"/>
      <c r="Y3464" s="6"/>
      <c r="Z3464" s="6"/>
    </row>
    <row r="3465" customFormat="false" ht="15" hidden="false" customHeight="false" outlineLevel="0" collapsed="false">
      <c r="A3465" s="9" t="s">
        <v>3745</v>
      </c>
      <c r="B3465" s="9" t="s">
        <v>3720</v>
      </c>
      <c r="C3465" s="9" t="s">
        <v>3721</v>
      </c>
      <c r="D3465" s="9" t="s">
        <v>3722</v>
      </c>
      <c r="E3465" s="9" t="s">
        <v>1660</v>
      </c>
      <c r="F3465" s="9" t="s">
        <v>203</v>
      </c>
      <c r="G3465" s="9" t="s">
        <v>201</v>
      </c>
      <c r="H3465" s="9" t="n">
        <v>1125</v>
      </c>
      <c r="I3465" s="29" t="n">
        <v>0.6</v>
      </c>
      <c r="J3465" s="9" t="n">
        <v>1</v>
      </c>
      <c r="K3465" s="30"/>
      <c r="L3465" s="30"/>
      <c r="M3465" s="30"/>
      <c r="N3465" s="30"/>
      <c r="O3465" s="30"/>
      <c r="P3465" s="30"/>
      <c r="Q3465" s="30"/>
      <c r="R3465" s="30"/>
      <c r="S3465" s="30"/>
      <c r="T3465" s="30"/>
      <c r="U3465" s="21" t="str">
        <f aca="false">IF(COUNT(K3465:T3465)=0,"SOURCE EMPTY / INDUSTRIAL ONLY",IF(MIN(K3465:T3465)=1,"SERVICE READY","HOLD"))</f>
        <v>SOURCE EMPTY / INDUSTRIAL ONLY</v>
      </c>
      <c r="V3465" s="9" t="n">
        <f aca="false">IF(U3465="SERVICE READY",1,0)</f>
        <v>0</v>
      </c>
      <c r="W3465" s="6"/>
      <c r="X3465" s="6"/>
      <c r="Y3465" s="6"/>
      <c r="Z3465" s="6"/>
    </row>
    <row r="3466" customFormat="false" ht="15" hidden="false" customHeight="false" outlineLevel="0" collapsed="false">
      <c r="A3466" s="9" t="s">
        <v>3746</v>
      </c>
      <c r="B3466" s="9" t="s">
        <v>3720</v>
      </c>
      <c r="C3466" s="9" t="s">
        <v>3721</v>
      </c>
      <c r="D3466" s="9" t="s">
        <v>3722</v>
      </c>
      <c r="E3466" s="9" t="s">
        <v>1660</v>
      </c>
      <c r="F3466" s="9" t="s">
        <v>205</v>
      </c>
      <c r="G3466" s="9" t="s">
        <v>198</v>
      </c>
      <c r="H3466" s="9" t="n">
        <v>1125</v>
      </c>
      <c r="I3466" s="29" t="n">
        <v>0.6</v>
      </c>
      <c r="J3466" s="9" t="n">
        <v>1</v>
      </c>
      <c r="K3466" s="30"/>
      <c r="L3466" s="30"/>
      <c r="M3466" s="30"/>
      <c r="N3466" s="30"/>
      <c r="O3466" s="30"/>
      <c r="P3466" s="30"/>
      <c r="Q3466" s="30"/>
      <c r="R3466" s="30"/>
      <c r="S3466" s="30"/>
      <c r="T3466" s="30"/>
      <c r="U3466" s="21" t="str">
        <f aca="false">IF(COUNT(K3466:T3466)=0,"SOURCE EMPTY / INDUSTRIAL ONLY",IF(MIN(K3466:T3466)=1,"SERVICE READY","HOLD"))</f>
        <v>SOURCE EMPTY / INDUSTRIAL ONLY</v>
      </c>
      <c r="V3466" s="9" t="n">
        <f aca="false">IF(U3466="SERVICE READY",1,0)</f>
        <v>0</v>
      </c>
      <c r="W3466" s="6"/>
      <c r="X3466" s="6"/>
      <c r="Y3466" s="6"/>
      <c r="Z3466" s="6"/>
    </row>
    <row r="3467" customFormat="false" ht="15" hidden="false" customHeight="false" outlineLevel="0" collapsed="false">
      <c r="A3467" s="9" t="s">
        <v>3747</v>
      </c>
      <c r="B3467" s="9" t="s">
        <v>3720</v>
      </c>
      <c r="C3467" s="9" t="s">
        <v>3721</v>
      </c>
      <c r="D3467" s="9" t="s">
        <v>3722</v>
      </c>
      <c r="E3467" s="9" t="s">
        <v>1660</v>
      </c>
      <c r="F3467" s="9" t="s">
        <v>207</v>
      </c>
      <c r="G3467" s="9" t="s">
        <v>201</v>
      </c>
      <c r="H3467" s="9" t="n">
        <v>1125</v>
      </c>
      <c r="I3467" s="29" t="n">
        <v>0.6</v>
      </c>
      <c r="J3467" s="9" t="n">
        <v>1</v>
      </c>
      <c r="K3467" s="30"/>
      <c r="L3467" s="30"/>
      <c r="M3467" s="30"/>
      <c r="N3467" s="30"/>
      <c r="O3467" s="30"/>
      <c r="P3467" s="30"/>
      <c r="Q3467" s="30"/>
      <c r="R3467" s="30"/>
      <c r="S3467" s="30"/>
      <c r="T3467" s="30"/>
      <c r="U3467" s="21" t="str">
        <f aca="false">IF(COUNT(K3467:T3467)=0,"SOURCE EMPTY / INDUSTRIAL ONLY",IF(MIN(K3467:T3467)=1,"SERVICE READY","HOLD"))</f>
        <v>SOURCE EMPTY / INDUSTRIAL ONLY</v>
      </c>
      <c r="V3467" s="9" t="n">
        <f aca="false">IF(U3467="SERVICE READY",1,0)</f>
        <v>0</v>
      </c>
      <c r="W3467" s="6"/>
      <c r="X3467" s="6"/>
      <c r="Y3467" s="6"/>
      <c r="Z3467" s="6"/>
    </row>
    <row r="3468" customFormat="false" ht="15" hidden="false" customHeight="false" outlineLevel="0" collapsed="false">
      <c r="A3468" s="9" t="s">
        <v>3748</v>
      </c>
      <c r="B3468" s="9" t="s">
        <v>3720</v>
      </c>
      <c r="C3468" s="9" t="s">
        <v>3721</v>
      </c>
      <c r="D3468" s="9" t="s">
        <v>3722</v>
      </c>
      <c r="E3468" s="9" t="s">
        <v>1660</v>
      </c>
      <c r="F3468" s="9" t="s">
        <v>209</v>
      </c>
      <c r="G3468" s="9" t="s">
        <v>198</v>
      </c>
      <c r="H3468" s="9" t="n">
        <v>1125</v>
      </c>
      <c r="I3468" s="29" t="n">
        <v>0.6</v>
      </c>
      <c r="J3468" s="9" t="n">
        <v>1</v>
      </c>
      <c r="K3468" s="30"/>
      <c r="L3468" s="30"/>
      <c r="M3468" s="30"/>
      <c r="N3468" s="30"/>
      <c r="O3468" s="30"/>
      <c r="P3468" s="30"/>
      <c r="Q3468" s="30"/>
      <c r="R3468" s="30"/>
      <c r="S3468" s="30"/>
      <c r="T3468" s="30"/>
      <c r="U3468" s="21" t="str">
        <f aca="false">IF(COUNT(K3468:T3468)=0,"SOURCE EMPTY / INDUSTRIAL ONLY",IF(MIN(K3468:T3468)=1,"SERVICE READY","HOLD"))</f>
        <v>SOURCE EMPTY / INDUSTRIAL ONLY</v>
      </c>
      <c r="V3468" s="9" t="n">
        <f aca="false">IF(U3468="SERVICE READY",1,0)</f>
        <v>0</v>
      </c>
      <c r="W3468" s="6"/>
      <c r="X3468" s="6"/>
      <c r="Y3468" s="6"/>
      <c r="Z3468" s="6"/>
    </row>
    <row r="3469" customFormat="false" ht="15" hidden="false" customHeight="false" outlineLevel="0" collapsed="false">
      <c r="A3469" s="9" t="s">
        <v>3749</v>
      </c>
      <c r="B3469" s="9" t="s">
        <v>3720</v>
      </c>
      <c r="C3469" s="9" t="s">
        <v>3721</v>
      </c>
      <c r="D3469" s="9" t="s">
        <v>3722</v>
      </c>
      <c r="E3469" s="9" t="s">
        <v>1660</v>
      </c>
      <c r="F3469" s="9" t="s">
        <v>211</v>
      </c>
      <c r="G3469" s="9" t="s">
        <v>201</v>
      </c>
      <c r="H3469" s="9" t="n">
        <v>1125</v>
      </c>
      <c r="I3469" s="29" t="n">
        <v>0.6</v>
      </c>
      <c r="J3469" s="9" t="n">
        <v>1</v>
      </c>
      <c r="K3469" s="30"/>
      <c r="L3469" s="30"/>
      <c r="M3469" s="30"/>
      <c r="N3469" s="30"/>
      <c r="O3469" s="30"/>
      <c r="P3469" s="30"/>
      <c r="Q3469" s="30"/>
      <c r="R3469" s="30"/>
      <c r="S3469" s="30"/>
      <c r="T3469" s="30"/>
      <c r="U3469" s="21" t="str">
        <f aca="false">IF(COUNT(K3469:T3469)=0,"SOURCE EMPTY / INDUSTRIAL ONLY",IF(MIN(K3469:T3469)=1,"SERVICE READY","HOLD"))</f>
        <v>SOURCE EMPTY / INDUSTRIAL ONLY</v>
      </c>
      <c r="V3469" s="9" t="n">
        <f aca="false">IF(U3469="SERVICE READY",1,0)</f>
        <v>0</v>
      </c>
      <c r="W3469" s="6"/>
      <c r="X3469" s="6"/>
      <c r="Y3469" s="6"/>
      <c r="Z3469" s="6"/>
    </row>
    <row r="3470" customFormat="false" ht="15" hidden="false" customHeight="false" outlineLevel="0" collapsed="false">
      <c r="A3470" s="9" t="s">
        <v>3750</v>
      </c>
      <c r="B3470" s="9" t="s">
        <v>3720</v>
      </c>
      <c r="C3470" s="9" t="s">
        <v>3721</v>
      </c>
      <c r="D3470" s="9" t="s">
        <v>3722</v>
      </c>
      <c r="E3470" s="9" t="s">
        <v>1660</v>
      </c>
      <c r="F3470" s="9" t="s">
        <v>197</v>
      </c>
      <c r="G3470" s="9" t="s">
        <v>198</v>
      </c>
      <c r="H3470" s="9" t="n">
        <v>1125</v>
      </c>
      <c r="I3470" s="29" t="n">
        <v>0.6</v>
      </c>
      <c r="J3470" s="9" t="n">
        <v>1</v>
      </c>
      <c r="K3470" s="30"/>
      <c r="L3470" s="30"/>
      <c r="M3470" s="30"/>
      <c r="N3470" s="30"/>
      <c r="O3470" s="30"/>
      <c r="P3470" s="30"/>
      <c r="Q3470" s="30"/>
      <c r="R3470" s="30"/>
      <c r="S3470" s="30"/>
      <c r="T3470" s="30"/>
      <c r="U3470" s="21" t="str">
        <f aca="false">IF(COUNT(K3470:T3470)=0,"SOURCE EMPTY / INDUSTRIAL ONLY",IF(MIN(K3470:T3470)=1,"SERVICE READY","HOLD"))</f>
        <v>SOURCE EMPTY / INDUSTRIAL ONLY</v>
      </c>
      <c r="V3470" s="9" t="n">
        <f aca="false">IF(U3470="SERVICE READY",1,0)</f>
        <v>0</v>
      </c>
      <c r="W3470" s="6"/>
      <c r="X3470" s="6"/>
      <c r="Y3470" s="6"/>
      <c r="Z3470" s="6"/>
    </row>
    <row r="3471" customFormat="false" ht="15" hidden="false" customHeight="false" outlineLevel="0" collapsed="false">
      <c r="A3471" s="9" t="s">
        <v>3751</v>
      </c>
      <c r="B3471" s="9" t="s">
        <v>3720</v>
      </c>
      <c r="C3471" s="9" t="s">
        <v>3721</v>
      </c>
      <c r="D3471" s="9" t="s">
        <v>3722</v>
      </c>
      <c r="E3471" s="9" t="s">
        <v>1660</v>
      </c>
      <c r="F3471" s="9" t="s">
        <v>200</v>
      </c>
      <c r="G3471" s="9" t="s">
        <v>201</v>
      </c>
      <c r="H3471" s="9" t="n">
        <v>1125</v>
      </c>
      <c r="I3471" s="29" t="n">
        <v>0.6</v>
      </c>
      <c r="J3471" s="9" t="n">
        <v>1</v>
      </c>
      <c r="K3471" s="30"/>
      <c r="L3471" s="30"/>
      <c r="M3471" s="30"/>
      <c r="N3471" s="30"/>
      <c r="O3471" s="30"/>
      <c r="P3471" s="30"/>
      <c r="Q3471" s="30"/>
      <c r="R3471" s="30"/>
      <c r="S3471" s="30"/>
      <c r="T3471" s="30"/>
      <c r="U3471" s="21" t="str">
        <f aca="false">IF(COUNT(K3471:T3471)=0,"SOURCE EMPTY / INDUSTRIAL ONLY",IF(MIN(K3471:T3471)=1,"SERVICE READY","HOLD"))</f>
        <v>SOURCE EMPTY / INDUSTRIAL ONLY</v>
      </c>
      <c r="V3471" s="9" t="n">
        <f aca="false">IF(U3471="SERVICE READY",1,0)</f>
        <v>0</v>
      </c>
      <c r="W3471" s="6"/>
      <c r="X3471" s="6"/>
      <c r="Y3471" s="6"/>
      <c r="Z3471" s="6"/>
    </row>
    <row r="3472" customFormat="false" ht="15" hidden="false" customHeight="false" outlineLevel="0" collapsed="false">
      <c r="A3472" s="9" t="s">
        <v>3752</v>
      </c>
      <c r="B3472" s="9" t="s">
        <v>3720</v>
      </c>
      <c r="C3472" s="9" t="s">
        <v>3721</v>
      </c>
      <c r="D3472" s="9" t="s">
        <v>3722</v>
      </c>
      <c r="E3472" s="9" t="s">
        <v>1660</v>
      </c>
      <c r="F3472" s="9" t="s">
        <v>203</v>
      </c>
      <c r="G3472" s="9" t="s">
        <v>198</v>
      </c>
      <c r="H3472" s="9" t="n">
        <v>1125</v>
      </c>
      <c r="I3472" s="29" t="n">
        <v>0.6</v>
      </c>
      <c r="J3472" s="9" t="n">
        <v>1</v>
      </c>
      <c r="K3472" s="30"/>
      <c r="L3472" s="30"/>
      <c r="M3472" s="30"/>
      <c r="N3472" s="30"/>
      <c r="O3472" s="30"/>
      <c r="P3472" s="30"/>
      <c r="Q3472" s="30"/>
      <c r="R3472" s="30"/>
      <c r="S3472" s="30"/>
      <c r="T3472" s="30"/>
      <c r="U3472" s="21" t="str">
        <f aca="false">IF(COUNT(K3472:T3472)=0,"SOURCE EMPTY / INDUSTRIAL ONLY",IF(MIN(K3472:T3472)=1,"SERVICE READY","HOLD"))</f>
        <v>SOURCE EMPTY / INDUSTRIAL ONLY</v>
      </c>
      <c r="V3472" s="9" t="n">
        <f aca="false">IF(U3472="SERVICE READY",1,0)</f>
        <v>0</v>
      </c>
      <c r="W3472" s="6"/>
      <c r="X3472" s="6"/>
      <c r="Y3472" s="6"/>
      <c r="Z3472" s="6"/>
    </row>
    <row r="3473" customFormat="false" ht="15" hidden="false" customHeight="false" outlineLevel="0" collapsed="false">
      <c r="A3473" s="9" t="s">
        <v>3753</v>
      </c>
      <c r="B3473" s="9" t="s">
        <v>3720</v>
      </c>
      <c r="C3473" s="9" t="s">
        <v>3721</v>
      </c>
      <c r="D3473" s="9" t="s">
        <v>3722</v>
      </c>
      <c r="E3473" s="9" t="s">
        <v>1660</v>
      </c>
      <c r="F3473" s="9" t="s">
        <v>205</v>
      </c>
      <c r="G3473" s="9" t="s">
        <v>201</v>
      </c>
      <c r="H3473" s="9" t="n">
        <v>1125</v>
      </c>
      <c r="I3473" s="29" t="n">
        <v>0.6</v>
      </c>
      <c r="J3473" s="9" t="n">
        <v>1</v>
      </c>
      <c r="K3473" s="30"/>
      <c r="L3473" s="30"/>
      <c r="M3473" s="30"/>
      <c r="N3473" s="30"/>
      <c r="O3473" s="30"/>
      <c r="P3473" s="30"/>
      <c r="Q3473" s="30"/>
      <c r="R3473" s="30"/>
      <c r="S3473" s="30"/>
      <c r="T3473" s="30"/>
      <c r="U3473" s="21" t="str">
        <f aca="false">IF(COUNT(K3473:T3473)=0,"SOURCE EMPTY / INDUSTRIAL ONLY",IF(MIN(K3473:T3473)=1,"SERVICE READY","HOLD"))</f>
        <v>SOURCE EMPTY / INDUSTRIAL ONLY</v>
      </c>
      <c r="V3473" s="9" t="n">
        <f aca="false">IF(U3473="SERVICE READY",1,0)</f>
        <v>0</v>
      </c>
      <c r="W3473" s="6"/>
      <c r="X3473" s="6"/>
      <c r="Y3473" s="6"/>
      <c r="Z3473" s="6"/>
    </row>
    <row r="3474" customFormat="false" ht="15" hidden="false" customHeight="false" outlineLevel="0" collapsed="false">
      <c r="A3474" s="9" t="s">
        <v>3754</v>
      </c>
      <c r="B3474" s="9" t="s">
        <v>3720</v>
      </c>
      <c r="C3474" s="9" t="s">
        <v>3721</v>
      </c>
      <c r="D3474" s="9" t="s">
        <v>3722</v>
      </c>
      <c r="E3474" s="9" t="s">
        <v>1660</v>
      </c>
      <c r="F3474" s="9" t="s">
        <v>207</v>
      </c>
      <c r="G3474" s="9" t="s">
        <v>198</v>
      </c>
      <c r="H3474" s="9" t="n">
        <v>1125</v>
      </c>
      <c r="I3474" s="29" t="n">
        <v>0.6</v>
      </c>
      <c r="J3474" s="9" t="n">
        <v>1</v>
      </c>
      <c r="K3474" s="30"/>
      <c r="L3474" s="30"/>
      <c r="M3474" s="30"/>
      <c r="N3474" s="30"/>
      <c r="O3474" s="30"/>
      <c r="P3474" s="30"/>
      <c r="Q3474" s="30"/>
      <c r="R3474" s="30"/>
      <c r="S3474" s="30"/>
      <c r="T3474" s="30"/>
      <c r="U3474" s="21" t="str">
        <f aca="false">IF(COUNT(K3474:T3474)=0,"SOURCE EMPTY / INDUSTRIAL ONLY",IF(MIN(K3474:T3474)=1,"SERVICE READY","HOLD"))</f>
        <v>SOURCE EMPTY / INDUSTRIAL ONLY</v>
      </c>
      <c r="V3474" s="9" t="n">
        <f aca="false">IF(U3474="SERVICE READY",1,0)</f>
        <v>0</v>
      </c>
      <c r="W3474" s="6"/>
      <c r="X3474" s="6"/>
      <c r="Y3474" s="6"/>
      <c r="Z3474" s="6"/>
    </row>
    <row r="3475" customFormat="false" ht="15" hidden="false" customHeight="false" outlineLevel="0" collapsed="false">
      <c r="A3475" s="9" t="s">
        <v>3755</v>
      </c>
      <c r="B3475" s="9" t="s">
        <v>3720</v>
      </c>
      <c r="C3475" s="9" t="s">
        <v>3721</v>
      </c>
      <c r="D3475" s="9" t="s">
        <v>3722</v>
      </c>
      <c r="E3475" s="9" t="s">
        <v>1660</v>
      </c>
      <c r="F3475" s="9" t="s">
        <v>209</v>
      </c>
      <c r="G3475" s="9" t="s">
        <v>201</v>
      </c>
      <c r="H3475" s="9" t="n">
        <v>1125</v>
      </c>
      <c r="I3475" s="29" t="n">
        <v>0.6</v>
      </c>
      <c r="J3475" s="9" t="n">
        <v>1</v>
      </c>
      <c r="K3475" s="30"/>
      <c r="L3475" s="30"/>
      <c r="M3475" s="30"/>
      <c r="N3475" s="30"/>
      <c r="O3475" s="30"/>
      <c r="P3475" s="30"/>
      <c r="Q3475" s="30"/>
      <c r="R3475" s="30"/>
      <c r="S3475" s="30"/>
      <c r="T3475" s="30"/>
      <c r="U3475" s="21" t="str">
        <f aca="false">IF(COUNT(K3475:T3475)=0,"SOURCE EMPTY / INDUSTRIAL ONLY",IF(MIN(K3475:T3475)=1,"SERVICE READY","HOLD"))</f>
        <v>SOURCE EMPTY / INDUSTRIAL ONLY</v>
      </c>
      <c r="V3475" s="9" t="n">
        <f aca="false">IF(U3475="SERVICE READY",1,0)</f>
        <v>0</v>
      </c>
      <c r="W3475" s="6"/>
      <c r="X3475" s="6"/>
      <c r="Y3475" s="6"/>
      <c r="Z3475" s="6"/>
    </row>
    <row r="3476" customFormat="false" ht="15" hidden="false" customHeight="false" outlineLevel="0" collapsed="false">
      <c r="A3476" s="9" t="s">
        <v>3756</v>
      </c>
      <c r="B3476" s="9" t="s">
        <v>3720</v>
      </c>
      <c r="C3476" s="9" t="s">
        <v>3721</v>
      </c>
      <c r="D3476" s="9" t="s">
        <v>3722</v>
      </c>
      <c r="E3476" s="9" t="s">
        <v>1660</v>
      </c>
      <c r="F3476" s="9" t="s">
        <v>211</v>
      </c>
      <c r="G3476" s="9" t="s">
        <v>198</v>
      </c>
      <c r="H3476" s="9" t="n">
        <v>1125</v>
      </c>
      <c r="I3476" s="29" t="n">
        <v>0.6</v>
      </c>
      <c r="J3476" s="9" t="n">
        <v>1</v>
      </c>
      <c r="K3476" s="30"/>
      <c r="L3476" s="30"/>
      <c r="M3476" s="30"/>
      <c r="N3476" s="30"/>
      <c r="O3476" s="30"/>
      <c r="P3476" s="30"/>
      <c r="Q3476" s="30"/>
      <c r="R3476" s="30"/>
      <c r="S3476" s="30"/>
      <c r="T3476" s="30"/>
      <c r="U3476" s="21" t="str">
        <f aca="false">IF(COUNT(K3476:T3476)=0,"SOURCE EMPTY / INDUSTRIAL ONLY",IF(MIN(K3476:T3476)=1,"SERVICE READY","HOLD"))</f>
        <v>SOURCE EMPTY / INDUSTRIAL ONLY</v>
      </c>
      <c r="V3476" s="9" t="n">
        <f aca="false">IF(U3476="SERVICE READY",1,0)</f>
        <v>0</v>
      </c>
      <c r="W3476" s="6"/>
      <c r="X3476" s="6"/>
      <c r="Y3476" s="6"/>
      <c r="Z3476" s="6"/>
    </row>
    <row r="3477" customFormat="false" ht="15" hidden="false" customHeight="false" outlineLevel="0" collapsed="false">
      <c r="A3477" s="9" t="s">
        <v>3757</v>
      </c>
      <c r="B3477" s="9" t="s">
        <v>3720</v>
      </c>
      <c r="C3477" s="9" t="s">
        <v>3721</v>
      </c>
      <c r="D3477" s="9" t="s">
        <v>3722</v>
      </c>
      <c r="E3477" s="9" t="s">
        <v>1660</v>
      </c>
      <c r="F3477" s="9" t="s">
        <v>197</v>
      </c>
      <c r="G3477" s="9" t="s">
        <v>201</v>
      </c>
      <c r="H3477" s="9" t="n">
        <v>1125</v>
      </c>
      <c r="I3477" s="29" t="n">
        <v>0.6</v>
      </c>
      <c r="J3477" s="9" t="n">
        <v>1</v>
      </c>
      <c r="K3477" s="30"/>
      <c r="L3477" s="30"/>
      <c r="M3477" s="30"/>
      <c r="N3477" s="30"/>
      <c r="O3477" s="30"/>
      <c r="P3477" s="30"/>
      <c r="Q3477" s="30"/>
      <c r="R3477" s="30"/>
      <c r="S3477" s="30"/>
      <c r="T3477" s="30"/>
      <c r="U3477" s="21" t="str">
        <f aca="false">IF(COUNT(K3477:T3477)=0,"SOURCE EMPTY / INDUSTRIAL ONLY",IF(MIN(K3477:T3477)=1,"SERVICE READY","HOLD"))</f>
        <v>SOURCE EMPTY / INDUSTRIAL ONLY</v>
      </c>
      <c r="V3477" s="9" t="n">
        <f aca="false">IF(U3477="SERVICE READY",1,0)</f>
        <v>0</v>
      </c>
      <c r="W3477" s="6"/>
      <c r="X3477" s="6"/>
      <c r="Y3477" s="6"/>
      <c r="Z3477" s="6"/>
    </row>
    <row r="3478" customFormat="false" ht="15" hidden="false" customHeight="false" outlineLevel="0" collapsed="false">
      <c r="A3478" s="9" t="s">
        <v>3758</v>
      </c>
      <c r="B3478" s="9" t="s">
        <v>3720</v>
      </c>
      <c r="C3478" s="9" t="s">
        <v>3721</v>
      </c>
      <c r="D3478" s="9" t="s">
        <v>3722</v>
      </c>
      <c r="E3478" s="9" t="s">
        <v>1660</v>
      </c>
      <c r="F3478" s="9" t="s">
        <v>200</v>
      </c>
      <c r="G3478" s="9" t="s">
        <v>198</v>
      </c>
      <c r="H3478" s="9" t="n">
        <v>1125</v>
      </c>
      <c r="I3478" s="29" t="n">
        <v>0.6</v>
      </c>
      <c r="J3478" s="9" t="n">
        <v>1</v>
      </c>
      <c r="K3478" s="30"/>
      <c r="L3478" s="30"/>
      <c r="M3478" s="30"/>
      <c r="N3478" s="30"/>
      <c r="O3478" s="30"/>
      <c r="P3478" s="30"/>
      <c r="Q3478" s="30"/>
      <c r="R3478" s="30"/>
      <c r="S3478" s="30"/>
      <c r="T3478" s="30"/>
      <c r="U3478" s="21" t="str">
        <f aca="false">IF(COUNT(K3478:T3478)=0,"SOURCE EMPTY / INDUSTRIAL ONLY",IF(MIN(K3478:T3478)=1,"SERVICE READY","HOLD"))</f>
        <v>SOURCE EMPTY / INDUSTRIAL ONLY</v>
      </c>
      <c r="V3478" s="9" t="n">
        <f aca="false">IF(U3478="SERVICE READY",1,0)</f>
        <v>0</v>
      </c>
      <c r="W3478" s="6"/>
      <c r="X3478" s="6"/>
      <c r="Y3478" s="6"/>
      <c r="Z3478" s="6"/>
    </row>
    <row r="3479" customFormat="false" ht="15" hidden="false" customHeight="false" outlineLevel="0" collapsed="false">
      <c r="A3479" s="9" t="s">
        <v>3759</v>
      </c>
      <c r="B3479" s="9" t="s">
        <v>3720</v>
      </c>
      <c r="C3479" s="9" t="s">
        <v>3721</v>
      </c>
      <c r="D3479" s="9" t="s">
        <v>3722</v>
      </c>
      <c r="E3479" s="9" t="s">
        <v>1660</v>
      </c>
      <c r="F3479" s="9" t="s">
        <v>203</v>
      </c>
      <c r="G3479" s="9" t="s">
        <v>201</v>
      </c>
      <c r="H3479" s="9" t="n">
        <v>1125</v>
      </c>
      <c r="I3479" s="29" t="n">
        <v>0.6</v>
      </c>
      <c r="J3479" s="9" t="n">
        <v>1</v>
      </c>
      <c r="K3479" s="30"/>
      <c r="L3479" s="30"/>
      <c r="M3479" s="30"/>
      <c r="N3479" s="30"/>
      <c r="O3479" s="30"/>
      <c r="P3479" s="30"/>
      <c r="Q3479" s="30"/>
      <c r="R3479" s="30"/>
      <c r="S3479" s="30"/>
      <c r="T3479" s="30"/>
      <c r="U3479" s="21" t="str">
        <f aca="false">IF(COUNT(K3479:T3479)=0,"SOURCE EMPTY / INDUSTRIAL ONLY",IF(MIN(K3479:T3479)=1,"SERVICE READY","HOLD"))</f>
        <v>SOURCE EMPTY / INDUSTRIAL ONLY</v>
      </c>
      <c r="V3479" s="9" t="n">
        <f aca="false">IF(U3479="SERVICE READY",1,0)</f>
        <v>0</v>
      </c>
      <c r="W3479" s="6"/>
      <c r="X3479" s="6"/>
      <c r="Y3479" s="6"/>
      <c r="Z3479" s="6"/>
    </row>
    <row r="3480" customFormat="false" ht="15" hidden="false" customHeight="false" outlineLevel="0" collapsed="false">
      <c r="A3480" s="9" t="s">
        <v>3760</v>
      </c>
      <c r="B3480" s="9" t="s">
        <v>3720</v>
      </c>
      <c r="C3480" s="9" t="s">
        <v>3721</v>
      </c>
      <c r="D3480" s="9" t="s">
        <v>3722</v>
      </c>
      <c r="E3480" s="9" t="s">
        <v>1660</v>
      </c>
      <c r="F3480" s="9" t="s">
        <v>205</v>
      </c>
      <c r="G3480" s="9" t="s">
        <v>198</v>
      </c>
      <c r="H3480" s="9" t="n">
        <v>1125</v>
      </c>
      <c r="I3480" s="29" t="n">
        <v>0.6</v>
      </c>
      <c r="J3480" s="9" t="n">
        <v>1</v>
      </c>
      <c r="K3480" s="30"/>
      <c r="L3480" s="30"/>
      <c r="M3480" s="30"/>
      <c r="N3480" s="30"/>
      <c r="O3480" s="30"/>
      <c r="P3480" s="30"/>
      <c r="Q3480" s="30"/>
      <c r="R3480" s="30"/>
      <c r="S3480" s="30"/>
      <c r="T3480" s="30"/>
      <c r="U3480" s="21" t="str">
        <f aca="false">IF(COUNT(K3480:T3480)=0,"SOURCE EMPTY / INDUSTRIAL ONLY",IF(MIN(K3480:T3480)=1,"SERVICE READY","HOLD"))</f>
        <v>SOURCE EMPTY / INDUSTRIAL ONLY</v>
      </c>
      <c r="V3480" s="9" t="n">
        <f aca="false">IF(U3480="SERVICE READY",1,0)</f>
        <v>0</v>
      </c>
      <c r="W3480" s="6"/>
      <c r="X3480" s="6"/>
      <c r="Y3480" s="6"/>
      <c r="Z3480" s="6"/>
    </row>
    <row r="3481" customFormat="false" ht="15" hidden="false" customHeight="false" outlineLevel="0" collapsed="false">
      <c r="A3481" s="9" t="s">
        <v>3761</v>
      </c>
      <c r="B3481" s="9" t="s">
        <v>3720</v>
      </c>
      <c r="C3481" s="9" t="s">
        <v>3721</v>
      </c>
      <c r="D3481" s="9" t="s">
        <v>3722</v>
      </c>
      <c r="E3481" s="9" t="s">
        <v>1660</v>
      </c>
      <c r="F3481" s="9" t="s">
        <v>207</v>
      </c>
      <c r="G3481" s="9" t="s">
        <v>201</v>
      </c>
      <c r="H3481" s="9" t="n">
        <v>1125</v>
      </c>
      <c r="I3481" s="29" t="n">
        <v>0.6</v>
      </c>
      <c r="J3481" s="9" t="n">
        <v>1</v>
      </c>
      <c r="K3481" s="30"/>
      <c r="L3481" s="30"/>
      <c r="M3481" s="30"/>
      <c r="N3481" s="30"/>
      <c r="O3481" s="30"/>
      <c r="P3481" s="30"/>
      <c r="Q3481" s="30"/>
      <c r="R3481" s="30"/>
      <c r="S3481" s="30"/>
      <c r="T3481" s="30"/>
      <c r="U3481" s="21" t="str">
        <f aca="false">IF(COUNT(K3481:T3481)=0,"SOURCE EMPTY / INDUSTRIAL ONLY",IF(MIN(K3481:T3481)=1,"SERVICE READY","HOLD"))</f>
        <v>SOURCE EMPTY / INDUSTRIAL ONLY</v>
      </c>
      <c r="V3481" s="9" t="n">
        <f aca="false">IF(U3481="SERVICE READY",1,0)</f>
        <v>0</v>
      </c>
      <c r="W3481" s="6"/>
      <c r="X3481" s="6"/>
      <c r="Y3481" s="6"/>
      <c r="Z3481" s="6"/>
    </row>
    <row r="3482" customFormat="false" ht="15" hidden="false" customHeight="false" outlineLevel="0" collapsed="false">
      <c r="A3482" s="9" t="s">
        <v>3762</v>
      </c>
      <c r="B3482" s="9" t="s">
        <v>3720</v>
      </c>
      <c r="C3482" s="9" t="s">
        <v>3721</v>
      </c>
      <c r="D3482" s="9" t="s">
        <v>3722</v>
      </c>
      <c r="E3482" s="9" t="s">
        <v>1660</v>
      </c>
      <c r="F3482" s="9" t="s">
        <v>209</v>
      </c>
      <c r="G3482" s="9" t="s">
        <v>198</v>
      </c>
      <c r="H3482" s="9" t="n">
        <v>1125</v>
      </c>
      <c r="I3482" s="29" t="n">
        <v>0.6</v>
      </c>
      <c r="J3482" s="9" t="n">
        <v>1</v>
      </c>
      <c r="K3482" s="30"/>
      <c r="L3482" s="30"/>
      <c r="M3482" s="30"/>
      <c r="N3482" s="30"/>
      <c r="O3482" s="30"/>
      <c r="P3482" s="30"/>
      <c r="Q3482" s="30"/>
      <c r="R3482" s="30"/>
      <c r="S3482" s="30"/>
      <c r="T3482" s="30"/>
      <c r="U3482" s="21" t="str">
        <f aca="false">IF(COUNT(K3482:T3482)=0,"SOURCE EMPTY / INDUSTRIAL ONLY",IF(MIN(K3482:T3482)=1,"SERVICE READY","HOLD"))</f>
        <v>SOURCE EMPTY / INDUSTRIAL ONLY</v>
      </c>
      <c r="V3482" s="9" t="n">
        <f aca="false">IF(U3482="SERVICE READY",1,0)</f>
        <v>0</v>
      </c>
      <c r="W3482" s="6"/>
      <c r="X3482" s="6"/>
      <c r="Y3482" s="6"/>
      <c r="Z3482" s="6"/>
    </row>
    <row r="3483" customFormat="false" ht="15" hidden="false" customHeight="false" outlineLevel="0" collapsed="false">
      <c r="A3483" s="9" t="s">
        <v>3763</v>
      </c>
      <c r="B3483" s="9" t="s">
        <v>3720</v>
      </c>
      <c r="C3483" s="9" t="s">
        <v>3721</v>
      </c>
      <c r="D3483" s="9" t="s">
        <v>3722</v>
      </c>
      <c r="E3483" s="9" t="s">
        <v>1660</v>
      </c>
      <c r="F3483" s="9" t="s">
        <v>211</v>
      </c>
      <c r="G3483" s="9" t="s">
        <v>201</v>
      </c>
      <c r="H3483" s="9" t="n">
        <v>1125</v>
      </c>
      <c r="I3483" s="29" t="n">
        <v>0.6</v>
      </c>
      <c r="J3483" s="9" t="n">
        <v>1</v>
      </c>
      <c r="K3483" s="30"/>
      <c r="L3483" s="30"/>
      <c r="M3483" s="30"/>
      <c r="N3483" s="30"/>
      <c r="O3483" s="30"/>
      <c r="P3483" s="30"/>
      <c r="Q3483" s="30"/>
      <c r="R3483" s="30"/>
      <c r="S3483" s="30"/>
      <c r="T3483" s="30"/>
      <c r="U3483" s="21" t="str">
        <f aca="false">IF(COUNT(K3483:T3483)=0,"SOURCE EMPTY / INDUSTRIAL ONLY",IF(MIN(K3483:T3483)=1,"SERVICE READY","HOLD"))</f>
        <v>SOURCE EMPTY / INDUSTRIAL ONLY</v>
      </c>
      <c r="V3483" s="9" t="n">
        <f aca="false">IF(U3483="SERVICE READY",1,0)</f>
        <v>0</v>
      </c>
      <c r="W3483" s="6"/>
      <c r="X3483" s="6"/>
      <c r="Y3483" s="6"/>
      <c r="Z3483" s="6"/>
    </row>
    <row r="3484" customFormat="false" ht="15" hidden="false" customHeight="false" outlineLevel="0" collapsed="false">
      <c r="A3484" s="9" t="s">
        <v>3764</v>
      </c>
      <c r="B3484" s="9" t="s">
        <v>3720</v>
      </c>
      <c r="C3484" s="9" t="s">
        <v>3721</v>
      </c>
      <c r="D3484" s="9" t="s">
        <v>3722</v>
      </c>
      <c r="E3484" s="9" t="s">
        <v>1660</v>
      </c>
      <c r="F3484" s="9" t="s">
        <v>197</v>
      </c>
      <c r="G3484" s="9" t="s">
        <v>198</v>
      </c>
      <c r="H3484" s="9" t="n">
        <v>1125</v>
      </c>
      <c r="I3484" s="29" t="n">
        <v>0.6</v>
      </c>
      <c r="J3484" s="9" t="n">
        <v>1</v>
      </c>
      <c r="K3484" s="30"/>
      <c r="L3484" s="30"/>
      <c r="M3484" s="30"/>
      <c r="N3484" s="30"/>
      <c r="O3484" s="30"/>
      <c r="P3484" s="30"/>
      <c r="Q3484" s="30"/>
      <c r="R3484" s="30"/>
      <c r="S3484" s="30"/>
      <c r="T3484" s="30"/>
      <c r="U3484" s="21" t="str">
        <f aca="false">IF(COUNT(K3484:T3484)=0,"SOURCE EMPTY / INDUSTRIAL ONLY",IF(MIN(K3484:T3484)=1,"SERVICE READY","HOLD"))</f>
        <v>SOURCE EMPTY / INDUSTRIAL ONLY</v>
      </c>
      <c r="V3484" s="9" t="n">
        <f aca="false">IF(U3484="SERVICE READY",1,0)</f>
        <v>0</v>
      </c>
      <c r="W3484" s="6"/>
      <c r="X3484" s="6"/>
      <c r="Y3484" s="6"/>
      <c r="Z3484" s="6"/>
    </row>
    <row r="3485" customFormat="false" ht="15" hidden="false" customHeight="false" outlineLevel="0" collapsed="false">
      <c r="A3485" s="9" t="s">
        <v>3765</v>
      </c>
      <c r="B3485" s="9" t="s">
        <v>3720</v>
      </c>
      <c r="C3485" s="9" t="s">
        <v>3721</v>
      </c>
      <c r="D3485" s="9" t="s">
        <v>3722</v>
      </c>
      <c r="E3485" s="9" t="s">
        <v>1660</v>
      </c>
      <c r="F3485" s="9" t="s">
        <v>200</v>
      </c>
      <c r="G3485" s="9" t="s">
        <v>201</v>
      </c>
      <c r="H3485" s="9" t="n">
        <v>1125</v>
      </c>
      <c r="I3485" s="29" t="n">
        <v>0.6</v>
      </c>
      <c r="J3485" s="9" t="n">
        <v>1</v>
      </c>
      <c r="K3485" s="30"/>
      <c r="L3485" s="30"/>
      <c r="M3485" s="30"/>
      <c r="N3485" s="30"/>
      <c r="O3485" s="30"/>
      <c r="P3485" s="30"/>
      <c r="Q3485" s="30"/>
      <c r="R3485" s="30"/>
      <c r="S3485" s="30"/>
      <c r="T3485" s="30"/>
      <c r="U3485" s="21" t="str">
        <f aca="false">IF(COUNT(K3485:T3485)=0,"SOURCE EMPTY / INDUSTRIAL ONLY",IF(MIN(K3485:T3485)=1,"SERVICE READY","HOLD"))</f>
        <v>SOURCE EMPTY / INDUSTRIAL ONLY</v>
      </c>
      <c r="V3485" s="9" t="n">
        <f aca="false">IF(U3485="SERVICE READY",1,0)</f>
        <v>0</v>
      </c>
      <c r="W3485" s="6"/>
      <c r="X3485" s="6"/>
      <c r="Y3485" s="6"/>
      <c r="Z3485" s="6"/>
    </row>
    <row r="3486" customFormat="false" ht="15" hidden="false" customHeight="false" outlineLevel="0" collapsed="false">
      <c r="A3486" s="9" t="s">
        <v>3766</v>
      </c>
      <c r="B3486" s="9" t="s">
        <v>3720</v>
      </c>
      <c r="C3486" s="9" t="s">
        <v>3721</v>
      </c>
      <c r="D3486" s="9" t="s">
        <v>3722</v>
      </c>
      <c r="E3486" s="9" t="s">
        <v>1660</v>
      </c>
      <c r="F3486" s="9" t="s">
        <v>203</v>
      </c>
      <c r="G3486" s="9" t="s">
        <v>198</v>
      </c>
      <c r="H3486" s="9" t="n">
        <v>1125</v>
      </c>
      <c r="I3486" s="29" t="n">
        <v>0.6</v>
      </c>
      <c r="J3486" s="9" t="n">
        <v>1</v>
      </c>
      <c r="K3486" s="30"/>
      <c r="L3486" s="30"/>
      <c r="M3486" s="30"/>
      <c r="N3486" s="30"/>
      <c r="O3486" s="30"/>
      <c r="P3486" s="30"/>
      <c r="Q3486" s="30"/>
      <c r="R3486" s="30"/>
      <c r="S3486" s="30"/>
      <c r="T3486" s="30"/>
      <c r="U3486" s="21" t="str">
        <f aca="false">IF(COUNT(K3486:T3486)=0,"SOURCE EMPTY / INDUSTRIAL ONLY",IF(MIN(K3486:T3486)=1,"SERVICE READY","HOLD"))</f>
        <v>SOURCE EMPTY / INDUSTRIAL ONLY</v>
      </c>
      <c r="V3486" s="9" t="n">
        <f aca="false">IF(U3486="SERVICE READY",1,0)</f>
        <v>0</v>
      </c>
      <c r="W3486" s="6"/>
      <c r="X3486" s="6"/>
      <c r="Y3486" s="6"/>
      <c r="Z3486" s="6"/>
    </row>
    <row r="3487" customFormat="false" ht="15" hidden="false" customHeight="false" outlineLevel="0" collapsed="false">
      <c r="A3487" s="9" t="s">
        <v>3767</v>
      </c>
      <c r="B3487" s="9" t="s">
        <v>3720</v>
      </c>
      <c r="C3487" s="9" t="s">
        <v>3721</v>
      </c>
      <c r="D3487" s="9" t="s">
        <v>3722</v>
      </c>
      <c r="E3487" s="9" t="s">
        <v>1660</v>
      </c>
      <c r="F3487" s="9" t="s">
        <v>205</v>
      </c>
      <c r="G3487" s="9" t="s">
        <v>201</v>
      </c>
      <c r="H3487" s="9" t="n">
        <v>1125</v>
      </c>
      <c r="I3487" s="29" t="n">
        <v>0.6</v>
      </c>
      <c r="J3487" s="9" t="n">
        <v>1</v>
      </c>
      <c r="K3487" s="30"/>
      <c r="L3487" s="30"/>
      <c r="M3487" s="30"/>
      <c r="N3487" s="30"/>
      <c r="O3487" s="30"/>
      <c r="P3487" s="30"/>
      <c r="Q3487" s="30"/>
      <c r="R3487" s="30"/>
      <c r="S3487" s="30"/>
      <c r="T3487" s="30"/>
      <c r="U3487" s="21" t="str">
        <f aca="false">IF(COUNT(K3487:T3487)=0,"SOURCE EMPTY / INDUSTRIAL ONLY",IF(MIN(K3487:T3487)=1,"SERVICE READY","HOLD"))</f>
        <v>SOURCE EMPTY / INDUSTRIAL ONLY</v>
      </c>
      <c r="V3487" s="9" t="n">
        <f aca="false">IF(U3487="SERVICE READY",1,0)</f>
        <v>0</v>
      </c>
      <c r="W3487" s="6"/>
      <c r="X3487" s="6"/>
      <c r="Y3487" s="6"/>
      <c r="Z3487" s="6"/>
    </row>
    <row r="3488" customFormat="false" ht="15" hidden="false" customHeight="false" outlineLevel="0" collapsed="false">
      <c r="A3488" s="9" t="s">
        <v>3768</v>
      </c>
      <c r="B3488" s="9" t="s">
        <v>3720</v>
      </c>
      <c r="C3488" s="9" t="s">
        <v>3721</v>
      </c>
      <c r="D3488" s="9" t="s">
        <v>3722</v>
      </c>
      <c r="E3488" s="9" t="s">
        <v>1660</v>
      </c>
      <c r="F3488" s="9" t="s">
        <v>207</v>
      </c>
      <c r="G3488" s="9" t="s">
        <v>198</v>
      </c>
      <c r="H3488" s="9" t="n">
        <v>1125</v>
      </c>
      <c r="I3488" s="29" t="n">
        <v>0.6</v>
      </c>
      <c r="J3488" s="9" t="n">
        <v>1</v>
      </c>
      <c r="K3488" s="30"/>
      <c r="L3488" s="30"/>
      <c r="M3488" s="30"/>
      <c r="N3488" s="30"/>
      <c r="O3488" s="30"/>
      <c r="P3488" s="30"/>
      <c r="Q3488" s="30"/>
      <c r="R3488" s="30"/>
      <c r="S3488" s="30"/>
      <c r="T3488" s="30"/>
      <c r="U3488" s="21" t="str">
        <f aca="false">IF(COUNT(K3488:T3488)=0,"SOURCE EMPTY / INDUSTRIAL ONLY",IF(MIN(K3488:T3488)=1,"SERVICE READY","HOLD"))</f>
        <v>SOURCE EMPTY / INDUSTRIAL ONLY</v>
      </c>
      <c r="V3488" s="9" t="n">
        <f aca="false">IF(U3488="SERVICE READY",1,0)</f>
        <v>0</v>
      </c>
      <c r="W3488" s="6"/>
      <c r="X3488" s="6"/>
      <c r="Y3488" s="6"/>
      <c r="Z3488" s="6"/>
    </row>
    <row r="3489" customFormat="false" ht="15" hidden="false" customHeight="false" outlineLevel="0" collapsed="false">
      <c r="A3489" s="9" t="s">
        <v>3769</v>
      </c>
      <c r="B3489" s="9" t="s">
        <v>3720</v>
      </c>
      <c r="C3489" s="9" t="s">
        <v>3721</v>
      </c>
      <c r="D3489" s="9" t="s">
        <v>3722</v>
      </c>
      <c r="E3489" s="9" t="s">
        <v>1660</v>
      </c>
      <c r="F3489" s="9" t="s">
        <v>209</v>
      </c>
      <c r="G3489" s="9" t="s">
        <v>201</v>
      </c>
      <c r="H3489" s="9" t="n">
        <v>1125</v>
      </c>
      <c r="I3489" s="29" t="n">
        <v>0.6</v>
      </c>
      <c r="J3489" s="9" t="n">
        <v>1</v>
      </c>
      <c r="K3489" s="30"/>
      <c r="L3489" s="30"/>
      <c r="M3489" s="30"/>
      <c r="N3489" s="30"/>
      <c r="O3489" s="30"/>
      <c r="P3489" s="30"/>
      <c r="Q3489" s="30"/>
      <c r="R3489" s="30"/>
      <c r="S3489" s="30"/>
      <c r="T3489" s="30"/>
      <c r="U3489" s="21" t="str">
        <f aca="false">IF(COUNT(K3489:T3489)=0,"SOURCE EMPTY / INDUSTRIAL ONLY",IF(MIN(K3489:T3489)=1,"SERVICE READY","HOLD"))</f>
        <v>SOURCE EMPTY / INDUSTRIAL ONLY</v>
      </c>
      <c r="V3489" s="9" t="n">
        <f aca="false">IF(U3489="SERVICE READY",1,0)</f>
        <v>0</v>
      </c>
      <c r="W3489" s="6"/>
      <c r="X3489" s="6"/>
      <c r="Y3489" s="6"/>
      <c r="Z3489" s="6"/>
    </row>
    <row r="3490" customFormat="false" ht="15" hidden="false" customHeight="false" outlineLevel="0" collapsed="false">
      <c r="A3490" s="9" t="s">
        <v>3770</v>
      </c>
      <c r="B3490" s="9" t="s">
        <v>3720</v>
      </c>
      <c r="C3490" s="9" t="s">
        <v>3721</v>
      </c>
      <c r="D3490" s="9" t="s">
        <v>3722</v>
      </c>
      <c r="E3490" s="9" t="s">
        <v>1660</v>
      </c>
      <c r="F3490" s="9" t="s">
        <v>211</v>
      </c>
      <c r="G3490" s="9" t="s">
        <v>198</v>
      </c>
      <c r="H3490" s="9" t="n">
        <v>1125</v>
      </c>
      <c r="I3490" s="29" t="n">
        <v>0.6</v>
      </c>
      <c r="J3490" s="9" t="n">
        <v>1</v>
      </c>
      <c r="K3490" s="30"/>
      <c r="L3490" s="30"/>
      <c r="M3490" s="30"/>
      <c r="N3490" s="30"/>
      <c r="O3490" s="30"/>
      <c r="P3490" s="30"/>
      <c r="Q3490" s="30"/>
      <c r="R3490" s="30"/>
      <c r="S3490" s="30"/>
      <c r="T3490" s="30"/>
      <c r="U3490" s="21" t="str">
        <f aca="false">IF(COUNT(K3490:T3490)=0,"SOURCE EMPTY / INDUSTRIAL ONLY",IF(MIN(K3490:T3490)=1,"SERVICE READY","HOLD"))</f>
        <v>SOURCE EMPTY / INDUSTRIAL ONLY</v>
      </c>
      <c r="V3490" s="9" t="n">
        <f aca="false">IF(U3490="SERVICE READY",1,0)</f>
        <v>0</v>
      </c>
      <c r="W3490" s="6"/>
      <c r="X3490" s="6"/>
      <c r="Y3490" s="6"/>
      <c r="Z3490" s="6"/>
    </row>
    <row r="3491" customFormat="false" ht="15" hidden="false" customHeight="false" outlineLevel="0" collapsed="false">
      <c r="A3491" s="9" t="s">
        <v>3771</v>
      </c>
      <c r="B3491" s="9" t="s">
        <v>3720</v>
      </c>
      <c r="C3491" s="9" t="s">
        <v>3721</v>
      </c>
      <c r="D3491" s="9" t="s">
        <v>3722</v>
      </c>
      <c r="E3491" s="9" t="s">
        <v>1660</v>
      </c>
      <c r="F3491" s="9" t="s">
        <v>197</v>
      </c>
      <c r="G3491" s="9" t="s">
        <v>201</v>
      </c>
      <c r="H3491" s="9" t="n">
        <v>1125</v>
      </c>
      <c r="I3491" s="29" t="n">
        <v>0.6</v>
      </c>
      <c r="J3491" s="9" t="n">
        <v>1</v>
      </c>
      <c r="K3491" s="30"/>
      <c r="L3491" s="30"/>
      <c r="M3491" s="30"/>
      <c r="N3491" s="30"/>
      <c r="O3491" s="30"/>
      <c r="P3491" s="30"/>
      <c r="Q3491" s="30"/>
      <c r="R3491" s="30"/>
      <c r="S3491" s="30"/>
      <c r="T3491" s="30"/>
      <c r="U3491" s="21" t="str">
        <f aca="false">IF(COUNT(K3491:T3491)=0,"SOURCE EMPTY / INDUSTRIAL ONLY",IF(MIN(K3491:T3491)=1,"SERVICE READY","HOLD"))</f>
        <v>SOURCE EMPTY / INDUSTRIAL ONLY</v>
      </c>
      <c r="V3491" s="9" t="n">
        <f aca="false">IF(U3491="SERVICE READY",1,0)</f>
        <v>0</v>
      </c>
      <c r="W3491" s="6"/>
      <c r="X3491" s="6"/>
      <c r="Y3491" s="6"/>
      <c r="Z3491" s="6"/>
    </row>
    <row r="3492" customFormat="false" ht="15" hidden="false" customHeight="false" outlineLevel="0" collapsed="false">
      <c r="A3492" s="9" t="s">
        <v>3772</v>
      </c>
      <c r="B3492" s="9" t="s">
        <v>3720</v>
      </c>
      <c r="C3492" s="9" t="s">
        <v>3721</v>
      </c>
      <c r="D3492" s="9" t="s">
        <v>3722</v>
      </c>
      <c r="E3492" s="9" t="s">
        <v>1660</v>
      </c>
      <c r="F3492" s="9" t="s">
        <v>200</v>
      </c>
      <c r="G3492" s="9" t="s">
        <v>198</v>
      </c>
      <c r="H3492" s="9" t="n">
        <v>1125</v>
      </c>
      <c r="I3492" s="29" t="n">
        <v>0.6</v>
      </c>
      <c r="J3492" s="9" t="n">
        <v>1</v>
      </c>
      <c r="K3492" s="30"/>
      <c r="L3492" s="30"/>
      <c r="M3492" s="30"/>
      <c r="N3492" s="30"/>
      <c r="O3492" s="30"/>
      <c r="P3492" s="30"/>
      <c r="Q3492" s="30"/>
      <c r="R3492" s="30"/>
      <c r="S3492" s="30"/>
      <c r="T3492" s="30"/>
      <c r="U3492" s="21" t="str">
        <f aca="false">IF(COUNT(K3492:T3492)=0,"SOURCE EMPTY / INDUSTRIAL ONLY",IF(MIN(K3492:T3492)=1,"SERVICE READY","HOLD"))</f>
        <v>SOURCE EMPTY / INDUSTRIAL ONLY</v>
      </c>
      <c r="V3492" s="9" t="n">
        <f aca="false">IF(U3492="SERVICE READY",1,0)</f>
        <v>0</v>
      </c>
      <c r="W3492" s="6"/>
      <c r="X3492" s="6"/>
      <c r="Y3492" s="6"/>
      <c r="Z3492" s="6"/>
    </row>
    <row r="3493" customFormat="false" ht="15" hidden="false" customHeight="false" outlineLevel="0" collapsed="false">
      <c r="A3493" s="9" t="s">
        <v>3773</v>
      </c>
      <c r="B3493" s="9" t="s">
        <v>3720</v>
      </c>
      <c r="C3493" s="9" t="s">
        <v>3721</v>
      </c>
      <c r="D3493" s="9" t="s">
        <v>3722</v>
      </c>
      <c r="E3493" s="9" t="s">
        <v>1660</v>
      </c>
      <c r="F3493" s="9" t="s">
        <v>203</v>
      </c>
      <c r="G3493" s="9" t="s">
        <v>201</v>
      </c>
      <c r="H3493" s="9" t="n">
        <v>1125</v>
      </c>
      <c r="I3493" s="29" t="n">
        <v>0.6</v>
      </c>
      <c r="J3493" s="9" t="n">
        <v>1</v>
      </c>
      <c r="K3493" s="30"/>
      <c r="L3493" s="30"/>
      <c r="M3493" s="30"/>
      <c r="N3493" s="30"/>
      <c r="O3493" s="30"/>
      <c r="P3493" s="30"/>
      <c r="Q3493" s="30"/>
      <c r="R3493" s="30"/>
      <c r="S3493" s="30"/>
      <c r="T3493" s="30"/>
      <c r="U3493" s="21" t="str">
        <f aca="false">IF(COUNT(K3493:T3493)=0,"SOURCE EMPTY / INDUSTRIAL ONLY",IF(MIN(K3493:T3493)=1,"SERVICE READY","HOLD"))</f>
        <v>SOURCE EMPTY / INDUSTRIAL ONLY</v>
      </c>
      <c r="V3493" s="9" t="n">
        <f aca="false">IF(U3493="SERVICE READY",1,0)</f>
        <v>0</v>
      </c>
      <c r="W3493" s="6"/>
      <c r="X3493" s="6"/>
      <c r="Y3493" s="6"/>
      <c r="Z3493" s="6"/>
    </row>
    <row r="3494" customFormat="false" ht="15" hidden="false" customHeight="false" outlineLevel="0" collapsed="false">
      <c r="A3494" s="9" t="s">
        <v>3774</v>
      </c>
      <c r="B3494" s="9" t="s">
        <v>3720</v>
      </c>
      <c r="C3494" s="9" t="s">
        <v>3721</v>
      </c>
      <c r="D3494" s="9" t="s">
        <v>3722</v>
      </c>
      <c r="E3494" s="9" t="s">
        <v>1660</v>
      </c>
      <c r="F3494" s="9" t="s">
        <v>205</v>
      </c>
      <c r="G3494" s="9" t="s">
        <v>198</v>
      </c>
      <c r="H3494" s="9" t="n">
        <v>1125</v>
      </c>
      <c r="I3494" s="29" t="n">
        <v>0.6</v>
      </c>
      <c r="J3494" s="9" t="n">
        <v>1</v>
      </c>
      <c r="K3494" s="30"/>
      <c r="L3494" s="30"/>
      <c r="M3494" s="30"/>
      <c r="N3494" s="30"/>
      <c r="O3494" s="30"/>
      <c r="P3494" s="30"/>
      <c r="Q3494" s="30"/>
      <c r="R3494" s="30"/>
      <c r="S3494" s="30"/>
      <c r="T3494" s="30"/>
      <c r="U3494" s="21" t="str">
        <f aca="false">IF(COUNT(K3494:T3494)=0,"SOURCE EMPTY / INDUSTRIAL ONLY",IF(MIN(K3494:T3494)=1,"SERVICE READY","HOLD"))</f>
        <v>SOURCE EMPTY / INDUSTRIAL ONLY</v>
      </c>
      <c r="V3494" s="9" t="n">
        <f aca="false">IF(U3494="SERVICE READY",1,0)</f>
        <v>0</v>
      </c>
      <c r="W3494" s="6"/>
      <c r="X3494" s="6"/>
      <c r="Y3494" s="6"/>
      <c r="Z3494" s="6"/>
    </row>
    <row r="3495" customFormat="false" ht="15" hidden="false" customHeight="false" outlineLevel="0" collapsed="false">
      <c r="A3495" s="9" t="s">
        <v>3775</v>
      </c>
      <c r="B3495" s="9" t="s">
        <v>3720</v>
      </c>
      <c r="C3495" s="9" t="s">
        <v>3721</v>
      </c>
      <c r="D3495" s="9" t="s">
        <v>3722</v>
      </c>
      <c r="E3495" s="9" t="s">
        <v>1660</v>
      </c>
      <c r="F3495" s="9" t="s">
        <v>207</v>
      </c>
      <c r="G3495" s="9" t="s">
        <v>201</v>
      </c>
      <c r="H3495" s="9" t="n">
        <v>1125</v>
      </c>
      <c r="I3495" s="29" t="n">
        <v>0.6</v>
      </c>
      <c r="J3495" s="9" t="n">
        <v>1</v>
      </c>
      <c r="K3495" s="30"/>
      <c r="L3495" s="30"/>
      <c r="M3495" s="30"/>
      <c r="N3495" s="30"/>
      <c r="O3495" s="30"/>
      <c r="P3495" s="30"/>
      <c r="Q3495" s="30"/>
      <c r="R3495" s="30"/>
      <c r="S3495" s="30"/>
      <c r="T3495" s="30"/>
      <c r="U3495" s="21" t="str">
        <f aca="false">IF(COUNT(K3495:T3495)=0,"SOURCE EMPTY / INDUSTRIAL ONLY",IF(MIN(K3495:T3495)=1,"SERVICE READY","HOLD"))</f>
        <v>SOURCE EMPTY / INDUSTRIAL ONLY</v>
      </c>
      <c r="V3495" s="9" t="n">
        <f aca="false">IF(U3495="SERVICE READY",1,0)</f>
        <v>0</v>
      </c>
      <c r="W3495" s="6"/>
      <c r="X3495" s="6"/>
      <c r="Y3495" s="6"/>
      <c r="Z3495" s="6"/>
    </row>
    <row r="3496" customFormat="false" ht="15" hidden="false" customHeight="false" outlineLevel="0" collapsed="false">
      <c r="A3496" s="9" t="s">
        <v>3776</v>
      </c>
      <c r="B3496" s="9" t="s">
        <v>3720</v>
      </c>
      <c r="C3496" s="9" t="s">
        <v>3721</v>
      </c>
      <c r="D3496" s="9" t="s">
        <v>3722</v>
      </c>
      <c r="E3496" s="9" t="s">
        <v>1660</v>
      </c>
      <c r="F3496" s="9" t="s">
        <v>209</v>
      </c>
      <c r="G3496" s="9" t="s">
        <v>198</v>
      </c>
      <c r="H3496" s="9" t="n">
        <v>1125</v>
      </c>
      <c r="I3496" s="29" t="n">
        <v>0.6</v>
      </c>
      <c r="J3496" s="9" t="n">
        <v>1</v>
      </c>
      <c r="K3496" s="30"/>
      <c r="L3496" s="30"/>
      <c r="M3496" s="30"/>
      <c r="N3496" s="30"/>
      <c r="O3496" s="30"/>
      <c r="P3496" s="30"/>
      <c r="Q3496" s="30"/>
      <c r="R3496" s="30"/>
      <c r="S3496" s="30"/>
      <c r="T3496" s="30"/>
      <c r="U3496" s="21" t="str">
        <f aca="false">IF(COUNT(K3496:T3496)=0,"SOURCE EMPTY / INDUSTRIAL ONLY",IF(MIN(K3496:T3496)=1,"SERVICE READY","HOLD"))</f>
        <v>SOURCE EMPTY / INDUSTRIAL ONLY</v>
      </c>
      <c r="V3496" s="9" t="n">
        <f aca="false">IF(U3496="SERVICE READY",1,0)</f>
        <v>0</v>
      </c>
      <c r="W3496" s="6"/>
      <c r="X3496" s="6"/>
      <c r="Y3496" s="6"/>
      <c r="Z3496" s="6"/>
    </row>
    <row r="3497" customFormat="false" ht="15" hidden="false" customHeight="false" outlineLevel="0" collapsed="false">
      <c r="A3497" s="9" t="s">
        <v>3777</v>
      </c>
      <c r="B3497" s="9" t="s">
        <v>3720</v>
      </c>
      <c r="C3497" s="9" t="s">
        <v>3721</v>
      </c>
      <c r="D3497" s="9" t="s">
        <v>3722</v>
      </c>
      <c r="E3497" s="9" t="s">
        <v>1660</v>
      </c>
      <c r="F3497" s="9" t="s">
        <v>211</v>
      </c>
      <c r="G3497" s="9" t="s">
        <v>201</v>
      </c>
      <c r="H3497" s="9" t="n">
        <v>1125</v>
      </c>
      <c r="I3497" s="29" t="n">
        <v>0.6</v>
      </c>
      <c r="J3497" s="9" t="n">
        <v>1</v>
      </c>
      <c r="K3497" s="30"/>
      <c r="L3497" s="30"/>
      <c r="M3497" s="30"/>
      <c r="N3497" s="30"/>
      <c r="O3497" s="30"/>
      <c r="P3497" s="30"/>
      <c r="Q3497" s="30"/>
      <c r="R3497" s="30"/>
      <c r="S3497" s="30"/>
      <c r="T3497" s="30"/>
      <c r="U3497" s="21" t="str">
        <f aca="false">IF(COUNT(K3497:T3497)=0,"SOURCE EMPTY / INDUSTRIAL ONLY",IF(MIN(K3497:T3497)=1,"SERVICE READY","HOLD"))</f>
        <v>SOURCE EMPTY / INDUSTRIAL ONLY</v>
      </c>
      <c r="V3497" s="9" t="n">
        <f aca="false">IF(U3497="SERVICE READY",1,0)</f>
        <v>0</v>
      </c>
      <c r="W3497" s="6"/>
      <c r="X3497" s="6"/>
      <c r="Y3497" s="6"/>
      <c r="Z3497" s="6"/>
    </row>
    <row r="3498" customFormat="false" ht="15" hidden="false" customHeight="false" outlineLevel="0" collapsed="false">
      <c r="A3498" s="9" t="s">
        <v>3778</v>
      </c>
      <c r="B3498" s="9" t="s">
        <v>3720</v>
      </c>
      <c r="C3498" s="9" t="s">
        <v>3721</v>
      </c>
      <c r="D3498" s="9" t="s">
        <v>3722</v>
      </c>
      <c r="E3498" s="9" t="s">
        <v>1660</v>
      </c>
      <c r="F3498" s="9" t="s">
        <v>197</v>
      </c>
      <c r="G3498" s="9" t="s">
        <v>198</v>
      </c>
      <c r="H3498" s="9" t="n">
        <v>1125</v>
      </c>
      <c r="I3498" s="29" t="n">
        <v>0.6</v>
      </c>
      <c r="J3498" s="9" t="n">
        <v>1</v>
      </c>
      <c r="K3498" s="30"/>
      <c r="L3498" s="30"/>
      <c r="M3498" s="30"/>
      <c r="N3498" s="30"/>
      <c r="O3498" s="30"/>
      <c r="P3498" s="30"/>
      <c r="Q3498" s="30"/>
      <c r="R3498" s="30"/>
      <c r="S3498" s="30"/>
      <c r="T3498" s="30"/>
      <c r="U3498" s="21" t="str">
        <f aca="false">IF(COUNT(K3498:T3498)=0,"SOURCE EMPTY / INDUSTRIAL ONLY",IF(MIN(K3498:T3498)=1,"SERVICE READY","HOLD"))</f>
        <v>SOURCE EMPTY / INDUSTRIAL ONLY</v>
      </c>
      <c r="V3498" s="9" t="n">
        <f aca="false">IF(U3498="SERVICE READY",1,0)</f>
        <v>0</v>
      </c>
      <c r="W3498" s="6"/>
      <c r="X3498" s="6"/>
      <c r="Y3498" s="6"/>
      <c r="Z3498" s="6"/>
    </row>
    <row r="3499" customFormat="false" ht="15" hidden="false" customHeight="false" outlineLevel="0" collapsed="false">
      <c r="A3499" s="9" t="s">
        <v>3779</v>
      </c>
      <c r="B3499" s="9" t="s">
        <v>3720</v>
      </c>
      <c r="C3499" s="9" t="s">
        <v>3721</v>
      </c>
      <c r="D3499" s="9" t="s">
        <v>3722</v>
      </c>
      <c r="E3499" s="9" t="s">
        <v>1660</v>
      </c>
      <c r="F3499" s="9" t="s">
        <v>200</v>
      </c>
      <c r="G3499" s="9" t="s">
        <v>221</v>
      </c>
      <c r="H3499" s="9" t="n">
        <v>1125</v>
      </c>
      <c r="I3499" s="29" t="n">
        <v>0.6</v>
      </c>
      <c r="J3499" s="9" t="n">
        <v>1</v>
      </c>
      <c r="K3499" s="30"/>
      <c r="L3499" s="30"/>
      <c r="M3499" s="30"/>
      <c r="N3499" s="30"/>
      <c r="O3499" s="30"/>
      <c r="P3499" s="30"/>
      <c r="Q3499" s="30"/>
      <c r="R3499" s="30"/>
      <c r="S3499" s="30"/>
      <c r="T3499" s="30"/>
      <c r="U3499" s="21" t="str">
        <f aca="false">IF(COUNT(K3499:T3499)=0,"SOURCE EMPTY / INDUSTRIAL ONLY",IF(MIN(K3499:T3499)=1,"SERVICE READY","HOLD"))</f>
        <v>SOURCE EMPTY / INDUSTRIAL ONLY</v>
      </c>
      <c r="V3499" s="9" t="n">
        <f aca="false">IF(U3499="SERVICE READY",1,0)</f>
        <v>0</v>
      </c>
      <c r="W3499" s="6"/>
      <c r="X3499" s="6"/>
      <c r="Y3499" s="6"/>
      <c r="Z3499" s="6"/>
    </row>
    <row r="3500" customFormat="false" ht="15" hidden="false" customHeight="false" outlineLevel="0" collapsed="false">
      <c r="A3500" s="9" t="s">
        <v>3780</v>
      </c>
      <c r="B3500" s="9" t="s">
        <v>3720</v>
      </c>
      <c r="C3500" s="9" t="s">
        <v>3721</v>
      </c>
      <c r="D3500" s="9" t="s">
        <v>3722</v>
      </c>
      <c r="E3500" s="9" t="s">
        <v>1660</v>
      </c>
      <c r="F3500" s="9" t="s">
        <v>203</v>
      </c>
      <c r="G3500" s="9" t="s">
        <v>221</v>
      </c>
      <c r="H3500" s="9" t="n">
        <v>1125</v>
      </c>
      <c r="I3500" s="29" t="n">
        <v>0.6</v>
      </c>
      <c r="J3500" s="9" t="n">
        <v>1</v>
      </c>
      <c r="K3500" s="30"/>
      <c r="L3500" s="30"/>
      <c r="M3500" s="30"/>
      <c r="N3500" s="30"/>
      <c r="O3500" s="30"/>
      <c r="P3500" s="30"/>
      <c r="Q3500" s="30"/>
      <c r="R3500" s="30"/>
      <c r="S3500" s="30"/>
      <c r="T3500" s="30"/>
      <c r="U3500" s="21" t="str">
        <f aca="false">IF(COUNT(K3500:T3500)=0,"SOURCE EMPTY / INDUSTRIAL ONLY",IF(MIN(K3500:T3500)=1,"SERVICE READY","HOLD"))</f>
        <v>SOURCE EMPTY / INDUSTRIAL ONLY</v>
      </c>
      <c r="V3500" s="9" t="n">
        <f aca="false">IF(U3500="SERVICE READY",1,0)</f>
        <v>0</v>
      </c>
      <c r="W3500" s="6"/>
      <c r="X3500" s="6"/>
      <c r="Y3500" s="6"/>
      <c r="Z3500" s="6"/>
    </row>
    <row r="3501" customFormat="false" ht="15" hidden="false" customHeight="false" outlineLevel="0" collapsed="false">
      <c r="A3501" s="9" t="s">
        <v>3781</v>
      </c>
      <c r="B3501" s="9" t="s">
        <v>3720</v>
      </c>
      <c r="C3501" s="9" t="s">
        <v>3721</v>
      </c>
      <c r="D3501" s="9" t="s">
        <v>3722</v>
      </c>
      <c r="E3501" s="9" t="s">
        <v>1660</v>
      </c>
      <c r="F3501" s="9" t="s">
        <v>205</v>
      </c>
      <c r="G3501" s="9" t="s">
        <v>221</v>
      </c>
      <c r="H3501" s="9" t="n">
        <v>1125</v>
      </c>
      <c r="I3501" s="29" t="n">
        <v>0.6</v>
      </c>
      <c r="J3501" s="9" t="n">
        <v>1</v>
      </c>
      <c r="K3501" s="30"/>
      <c r="L3501" s="30"/>
      <c r="M3501" s="30"/>
      <c r="N3501" s="30"/>
      <c r="O3501" s="30"/>
      <c r="P3501" s="30"/>
      <c r="Q3501" s="30"/>
      <c r="R3501" s="30"/>
      <c r="S3501" s="30"/>
      <c r="T3501" s="30"/>
      <c r="U3501" s="21" t="str">
        <f aca="false">IF(COUNT(K3501:T3501)=0,"SOURCE EMPTY / INDUSTRIAL ONLY",IF(MIN(K3501:T3501)=1,"SERVICE READY","HOLD"))</f>
        <v>SOURCE EMPTY / INDUSTRIAL ONLY</v>
      </c>
      <c r="V3501" s="9" t="n">
        <f aca="false">IF(U3501="SERVICE READY",1,0)</f>
        <v>0</v>
      </c>
      <c r="W3501" s="6"/>
      <c r="X3501" s="6"/>
      <c r="Y3501" s="6"/>
      <c r="Z3501" s="6"/>
    </row>
    <row r="3502" customFormat="false" ht="15" hidden="false" customHeight="false" outlineLevel="0" collapsed="false">
      <c r="A3502" s="9" t="s">
        <v>3782</v>
      </c>
      <c r="B3502" s="9" t="s">
        <v>3720</v>
      </c>
      <c r="C3502" s="9" t="s">
        <v>3721</v>
      </c>
      <c r="D3502" s="9" t="s">
        <v>3722</v>
      </c>
      <c r="E3502" s="9" t="s">
        <v>1660</v>
      </c>
      <c r="F3502" s="9" t="s">
        <v>207</v>
      </c>
      <c r="G3502" s="9" t="s">
        <v>221</v>
      </c>
      <c r="H3502" s="9" t="n">
        <v>1125</v>
      </c>
      <c r="I3502" s="29" t="n">
        <v>0.6</v>
      </c>
      <c r="J3502" s="9" t="n">
        <v>1</v>
      </c>
      <c r="K3502" s="30"/>
      <c r="L3502" s="30"/>
      <c r="M3502" s="30"/>
      <c r="N3502" s="30"/>
      <c r="O3502" s="30"/>
      <c r="P3502" s="30"/>
      <c r="Q3502" s="30"/>
      <c r="R3502" s="30"/>
      <c r="S3502" s="30"/>
      <c r="T3502" s="30"/>
      <c r="U3502" s="21" t="str">
        <f aca="false">IF(COUNT(K3502:T3502)=0,"SOURCE EMPTY / INDUSTRIAL ONLY",IF(MIN(K3502:T3502)=1,"SERVICE READY","HOLD"))</f>
        <v>SOURCE EMPTY / INDUSTRIAL ONLY</v>
      </c>
      <c r="V3502" s="9" t="n">
        <f aca="false">IF(U3502="SERVICE READY",1,0)</f>
        <v>0</v>
      </c>
      <c r="W3502" s="6"/>
      <c r="X3502" s="6"/>
      <c r="Y3502" s="6"/>
      <c r="Z3502" s="6"/>
    </row>
    <row r="3503" customFormat="false" ht="15" hidden="false" customHeight="false" outlineLevel="0" collapsed="false">
      <c r="A3503" s="9" t="s">
        <v>3783</v>
      </c>
      <c r="B3503" s="9" t="s">
        <v>3720</v>
      </c>
      <c r="C3503" s="9" t="s">
        <v>3721</v>
      </c>
      <c r="D3503" s="9" t="s">
        <v>3722</v>
      </c>
      <c r="E3503" s="9" t="s">
        <v>1660</v>
      </c>
      <c r="F3503" s="9" t="s">
        <v>209</v>
      </c>
      <c r="G3503" s="9" t="s">
        <v>221</v>
      </c>
      <c r="H3503" s="9" t="n">
        <v>1125</v>
      </c>
      <c r="I3503" s="29" t="n">
        <v>0.6</v>
      </c>
      <c r="J3503" s="9" t="n">
        <v>1</v>
      </c>
      <c r="K3503" s="30"/>
      <c r="L3503" s="30"/>
      <c r="M3503" s="30"/>
      <c r="N3503" s="30"/>
      <c r="O3503" s="30"/>
      <c r="P3503" s="30"/>
      <c r="Q3503" s="30"/>
      <c r="R3503" s="30"/>
      <c r="S3503" s="30"/>
      <c r="T3503" s="30"/>
      <c r="U3503" s="21" t="str">
        <f aca="false">IF(COUNT(K3503:T3503)=0,"SOURCE EMPTY / INDUSTRIAL ONLY",IF(MIN(K3503:T3503)=1,"SERVICE READY","HOLD"))</f>
        <v>SOURCE EMPTY / INDUSTRIAL ONLY</v>
      </c>
      <c r="V3503" s="9" t="n">
        <f aca="false">IF(U3503="SERVICE READY",1,0)</f>
        <v>0</v>
      </c>
      <c r="W3503" s="6"/>
      <c r="X3503" s="6"/>
      <c r="Y3503" s="6"/>
      <c r="Z3503" s="6"/>
    </row>
    <row r="3504" customFormat="false" ht="15" hidden="false" customHeight="false" outlineLevel="0" collapsed="false">
      <c r="A3504" s="9" t="s">
        <v>3784</v>
      </c>
      <c r="B3504" s="9" t="s">
        <v>3720</v>
      </c>
      <c r="C3504" s="9" t="s">
        <v>3721</v>
      </c>
      <c r="D3504" s="9" t="s">
        <v>3722</v>
      </c>
      <c r="E3504" s="9" t="s">
        <v>1660</v>
      </c>
      <c r="F3504" s="9" t="s">
        <v>211</v>
      </c>
      <c r="G3504" s="9" t="s">
        <v>221</v>
      </c>
      <c r="H3504" s="9" t="n">
        <v>1125</v>
      </c>
      <c r="I3504" s="29" t="n">
        <v>0.6</v>
      </c>
      <c r="J3504" s="9" t="n">
        <v>1</v>
      </c>
      <c r="K3504" s="30"/>
      <c r="L3504" s="30"/>
      <c r="M3504" s="30"/>
      <c r="N3504" s="30"/>
      <c r="O3504" s="30"/>
      <c r="P3504" s="30"/>
      <c r="Q3504" s="30"/>
      <c r="R3504" s="30"/>
      <c r="S3504" s="30"/>
      <c r="T3504" s="30"/>
      <c r="U3504" s="21" t="str">
        <f aca="false">IF(COUNT(K3504:T3504)=0,"SOURCE EMPTY / INDUSTRIAL ONLY",IF(MIN(K3504:T3504)=1,"SERVICE READY","HOLD"))</f>
        <v>SOURCE EMPTY / INDUSTRIAL ONLY</v>
      </c>
      <c r="V3504" s="9" t="n">
        <f aca="false">IF(U3504="SERVICE READY",1,0)</f>
        <v>0</v>
      </c>
      <c r="W3504" s="6"/>
      <c r="X3504" s="6"/>
      <c r="Y3504" s="6"/>
      <c r="Z3504" s="6"/>
    </row>
    <row r="3505" customFormat="false" ht="15" hidden="false" customHeight="false" outlineLevel="0" collapsed="false">
      <c r="A3505" s="9" t="s">
        <v>3785</v>
      </c>
      <c r="B3505" s="9" t="s">
        <v>3720</v>
      </c>
      <c r="C3505" s="9" t="s">
        <v>3721</v>
      </c>
      <c r="D3505" s="9" t="s">
        <v>3722</v>
      </c>
      <c r="E3505" s="9" t="s">
        <v>1660</v>
      </c>
      <c r="F3505" s="9" t="s">
        <v>197</v>
      </c>
      <c r="G3505" s="9" t="s">
        <v>221</v>
      </c>
      <c r="H3505" s="9" t="n">
        <v>1125</v>
      </c>
      <c r="I3505" s="29" t="n">
        <v>0.6</v>
      </c>
      <c r="J3505" s="9" t="n">
        <v>1</v>
      </c>
      <c r="K3505" s="30"/>
      <c r="L3505" s="30"/>
      <c r="M3505" s="30"/>
      <c r="N3505" s="30"/>
      <c r="O3505" s="30"/>
      <c r="P3505" s="30"/>
      <c r="Q3505" s="30"/>
      <c r="R3505" s="30"/>
      <c r="S3505" s="30"/>
      <c r="T3505" s="30"/>
      <c r="U3505" s="21" t="str">
        <f aca="false">IF(COUNT(K3505:T3505)=0,"SOURCE EMPTY / INDUSTRIAL ONLY",IF(MIN(K3505:T3505)=1,"SERVICE READY","HOLD"))</f>
        <v>SOURCE EMPTY / INDUSTRIAL ONLY</v>
      </c>
      <c r="V3505" s="9" t="n">
        <f aca="false">IF(U3505="SERVICE READY",1,0)</f>
        <v>0</v>
      </c>
      <c r="W3505" s="6"/>
      <c r="X3505" s="6"/>
      <c r="Y3505" s="6"/>
      <c r="Z3505" s="6"/>
    </row>
    <row r="3506" customFormat="false" ht="15" hidden="false" customHeight="false" outlineLevel="0" collapsed="false">
      <c r="A3506" s="9" t="s">
        <v>3786</v>
      </c>
      <c r="B3506" s="9" t="s">
        <v>3720</v>
      </c>
      <c r="C3506" s="9" t="s">
        <v>3721</v>
      </c>
      <c r="D3506" s="9" t="s">
        <v>3722</v>
      </c>
      <c r="E3506" s="9" t="s">
        <v>1660</v>
      </c>
      <c r="F3506" s="9" t="s">
        <v>200</v>
      </c>
      <c r="G3506" s="9" t="s">
        <v>221</v>
      </c>
      <c r="H3506" s="9" t="n">
        <v>1125</v>
      </c>
      <c r="I3506" s="29" t="n">
        <v>0.6</v>
      </c>
      <c r="J3506" s="9" t="n">
        <v>1</v>
      </c>
      <c r="K3506" s="30"/>
      <c r="L3506" s="30"/>
      <c r="M3506" s="30"/>
      <c r="N3506" s="30"/>
      <c r="O3506" s="30"/>
      <c r="P3506" s="30"/>
      <c r="Q3506" s="30"/>
      <c r="R3506" s="30"/>
      <c r="S3506" s="30"/>
      <c r="T3506" s="30"/>
      <c r="U3506" s="21" t="str">
        <f aca="false">IF(COUNT(K3506:T3506)=0,"SOURCE EMPTY / INDUSTRIAL ONLY",IF(MIN(K3506:T3506)=1,"SERVICE READY","HOLD"))</f>
        <v>SOURCE EMPTY / INDUSTRIAL ONLY</v>
      </c>
      <c r="V3506" s="9" t="n">
        <f aca="false">IF(U3506="SERVICE READY",1,0)</f>
        <v>0</v>
      </c>
      <c r="W3506" s="6"/>
      <c r="X3506" s="6"/>
      <c r="Y3506" s="6"/>
      <c r="Z3506" s="6"/>
    </row>
    <row r="3507" customFormat="false" ht="15" hidden="false" customHeight="false" outlineLevel="0" collapsed="false">
      <c r="A3507" s="9" t="s">
        <v>3787</v>
      </c>
      <c r="B3507" s="9" t="s">
        <v>3720</v>
      </c>
      <c r="C3507" s="9" t="s">
        <v>3721</v>
      </c>
      <c r="D3507" s="9" t="s">
        <v>3722</v>
      </c>
      <c r="E3507" s="9" t="s">
        <v>1660</v>
      </c>
      <c r="F3507" s="9" t="s">
        <v>203</v>
      </c>
      <c r="G3507" s="9" t="s">
        <v>221</v>
      </c>
      <c r="H3507" s="9" t="n">
        <v>1125</v>
      </c>
      <c r="I3507" s="29" t="n">
        <v>0.6</v>
      </c>
      <c r="J3507" s="9" t="n">
        <v>1</v>
      </c>
      <c r="K3507" s="30"/>
      <c r="L3507" s="30"/>
      <c r="M3507" s="30"/>
      <c r="N3507" s="30"/>
      <c r="O3507" s="30"/>
      <c r="P3507" s="30"/>
      <c r="Q3507" s="30"/>
      <c r="R3507" s="30"/>
      <c r="S3507" s="30"/>
      <c r="T3507" s="30"/>
      <c r="U3507" s="21" t="str">
        <f aca="false">IF(COUNT(K3507:T3507)=0,"SOURCE EMPTY / INDUSTRIAL ONLY",IF(MIN(K3507:T3507)=1,"SERVICE READY","HOLD"))</f>
        <v>SOURCE EMPTY / INDUSTRIAL ONLY</v>
      </c>
      <c r="V3507" s="9" t="n">
        <f aca="false">IF(U3507="SERVICE READY",1,0)</f>
        <v>0</v>
      </c>
      <c r="W3507" s="6"/>
      <c r="X3507" s="6"/>
      <c r="Y3507" s="6"/>
      <c r="Z3507" s="6"/>
    </row>
    <row r="3508" customFormat="false" ht="15" hidden="false" customHeight="false" outlineLevel="0" collapsed="false">
      <c r="A3508" s="9" t="s">
        <v>3788</v>
      </c>
      <c r="B3508" s="9" t="s">
        <v>3720</v>
      </c>
      <c r="C3508" s="9" t="s">
        <v>3721</v>
      </c>
      <c r="D3508" s="9" t="s">
        <v>3722</v>
      </c>
      <c r="E3508" s="9" t="s">
        <v>1660</v>
      </c>
      <c r="F3508" s="9" t="s">
        <v>205</v>
      </c>
      <c r="G3508" s="9" t="s">
        <v>221</v>
      </c>
      <c r="H3508" s="9" t="n">
        <v>1125</v>
      </c>
      <c r="I3508" s="29" t="n">
        <v>0.6</v>
      </c>
      <c r="J3508" s="9" t="n">
        <v>1</v>
      </c>
      <c r="K3508" s="30"/>
      <c r="L3508" s="30"/>
      <c r="M3508" s="30"/>
      <c r="N3508" s="30"/>
      <c r="O3508" s="30"/>
      <c r="P3508" s="30"/>
      <c r="Q3508" s="30"/>
      <c r="R3508" s="30"/>
      <c r="S3508" s="30"/>
      <c r="T3508" s="30"/>
      <c r="U3508" s="21" t="str">
        <f aca="false">IF(COUNT(K3508:T3508)=0,"SOURCE EMPTY / INDUSTRIAL ONLY",IF(MIN(K3508:T3508)=1,"SERVICE READY","HOLD"))</f>
        <v>SOURCE EMPTY / INDUSTRIAL ONLY</v>
      </c>
      <c r="V3508" s="9" t="n">
        <f aca="false">IF(U3508="SERVICE READY",1,0)</f>
        <v>0</v>
      </c>
      <c r="W3508" s="6"/>
      <c r="X3508" s="6"/>
      <c r="Y3508" s="6"/>
      <c r="Z3508" s="6"/>
    </row>
    <row r="3509" customFormat="false" ht="15" hidden="false" customHeight="false" outlineLevel="0" collapsed="false">
      <c r="A3509" s="9" t="s">
        <v>3789</v>
      </c>
      <c r="B3509" s="9" t="s">
        <v>3720</v>
      </c>
      <c r="C3509" s="9" t="s">
        <v>3721</v>
      </c>
      <c r="D3509" s="9" t="s">
        <v>3722</v>
      </c>
      <c r="E3509" s="9" t="s">
        <v>1660</v>
      </c>
      <c r="F3509" s="9" t="s">
        <v>207</v>
      </c>
      <c r="G3509" s="9" t="s">
        <v>221</v>
      </c>
      <c r="H3509" s="9" t="n">
        <v>1125</v>
      </c>
      <c r="I3509" s="29" t="n">
        <v>0.6</v>
      </c>
      <c r="J3509" s="9" t="n">
        <v>1</v>
      </c>
      <c r="K3509" s="30"/>
      <c r="L3509" s="30"/>
      <c r="M3509" s="30"/>
      <c r="N3509" s="30"/>
      <c r="O3509" s="30"/>
      <c r="P3509" s="30"/>
      <c r="Q3509" s="30"/>
      <c r="R3509" s="30"/>
      <c r="S3509" s="30"/>
      <c r="T3509" s="30"/>
      <c r="U3509" s="21" t="str">
        <f aca="false">IF(COUNT(K3509:T3509)=0,"SOURCE EMPTY / INDUSTRIAL ONLY",IF(MIN(K3509:T3509)=1,"SERVICE READY","HOLD"))</f>
        <v>SOURCE EMPTY / INDUSTRIAL ONLY</v>
      </c>
      <c r="V3509" s="9" t="n">
        <f aca="false">IF(U3509="SERVICE READY",1,0)</f>
        <v>0</v>
      </c>
      <c r="W3509" s="6"/>
      <c r="X3509" s="6"/>
      <c r="Y3509" s="6"/>
      <c r="Z3509" s="6"/>
    </row>
    <row r="3510" customFormat="false" ht="15" hidden="false" customHeight="false" outlineLevel="0" collapsed="false">
      <c r="A3510" s="9" t="s">
        <v>3790</v>
      </c>
      <c r="B3510" s="9" t="s">
        <v>3720</v>
      </c>
      <c r="C3510" s="9" t="s">
        <v>3721</v>
      </c>
      <c r="D3510" s="9" t="s">
        <v>3722</v>
      </c>
      <c r="E3510" s="9" t="s">
        <v>1660</v>
      </c>
      <c r="F3510" s="9" t="s">
        <v>209</v>
      </c>
      <c r="G3510" s="9" t="s">
        <v>221</v>
      </c>
      <c r="H3510" s="9" t="n">
        <v>1125</v>
      </c>
      <c r="I3510" s="29" t="n">
        <v>0.6</v>
      </c>
      <c r="J3510" s="9" t="n">
        <v>1</v>
      </c>
      <c r="K3510" s="30"/>
      <c r="L3510" s="30"/>
      <c r="M3510" s="30"/>
      <c r="N3510" s="30"/>
      <c r="O3510" s="30"/>
      <c r="P3510" s="30"/>
      <c r="Q3510" s="30"/>
      <c r="R3510" s="30"/>
      <c r="S3510" s="30"/>
      <c r="T3510" s="30"/>
      <c r="U3510" s="21" t="str">
        <f aca="false">IF(COUNT(K3510:T3510)=0,"SOURCE EMPTY / INDUSTRIAL ONLY",IF(MIN(K3510:T3510)=1,"SERVICE READY","HOLD"))</f>
        <v>SOURCE EMPTY / INDUSTRIAL ONLY</v>
      </c>
      <c r="V3510" s="9" t="n">
        <f aca="false">IF(U3510="SERVICE READY",1,0)</f>
        <v>0</v>
      </c>
      <c r="W3510" s="6"/>
      <c r="X3510" s="6"/>
      <c r="Y3510" s="6"/>
      <c r="Z3510" s="6"/>
    </row>
    <row r="3511" customFormat="false" ht="15" hidden="false" customHeight="false" outlineLevel="0" collapsed="false">
      <c r="A3511" s="9" t="s">
        <v>3791</v>
      </c>
      <c r="B3511" s="9" t="s">
        <v>3720</v>
      </c>
      <c r="C3511" s="9" t="s">
        <v>3721</v>
      </c>
      <c r="D3511" s="9" t="s">
        <v>3722</v>
      </c>
      <c r="E3511" s="9" t="s">
        <v>1660</v>
      </c>
      <c r="F3511" s="9" t="s">
        <v>211</v>
      </c>
      <c r="G3511" s="9" t="s">
        <v>221</v>
      </c>
      <c r="H3511" s="9" t="n">
        <v>1125</v>
      </c>
      <c r="I3511" s="29" t="n">
        <v>0.6</v>
      </c>
      <c r="J3511" s="9" t="n">
        <v>1</v>
      </c>
      <c r="K3511" s="30"/>
      <c r="L3511" s="30"/>
      <c r="M3511" s="30"/>
      <c r="N3511" s="30"/>
      <c r="O3511" s="30"/>
      <c r="P3511" s="30"/>
      <c r="Q3511" s="30"/>
      <c r="R3511" s="30"/>
      <c r="S3511" s="30"/>
      <c r="T3511" s="30"/>
      <c r="U3511" s="21" t="str">
        <f aca="false">IF(COUNT(K3511:T3511)=0,"SOURCE EMPTY / INDUSTRIAL ONLY",IF(MIN(K3511:T3511)=1,"SERVICE READY","HOLD"))</f>
        <v>SOURCE EMPTY / INDUSTRIAL ONLY</v>
      </c>
      <c r="V3511" s="9" t="n">
        <f aca="false">IF(U3511="SERVICE READY",1,0)</f>
        <v>0</v>
      </c>
      <c r="W3511" s="6"/>
      <c r="X3511" s="6"/>
      <c r="Y3511" s="6"/>
      <c r="Z3511" s="6"/>
    </row>
    <row r="3512" customFormat="false" ht="15" hidden="false" customHeight="false" outlineLevel="0" collapsed="false">
      <c r="A3512" s="9" t="s">
        <v>3792</v>
      </c>
      <c r="B3512" s="9" t="s">
        <v>3720</v>
      </c>
      <c r="C3512" s="9" t="s">
        <v>3721</v>
      </c>
      <c r="D3512" s="9" t="s">
        <v>3722</v>
      </c>
      <c r="E3512" s="9" t="s">
        <v>1660</v>
      </c>
      <c r="F3512" s="9" t="s">
        <v>197</v>
      </c>
      <c r="G3512" s="9" t="s">
        <v>221</v>
      </c>
      <c r="H3512" s="9" t="n">
        <v>1125</v>
      </c>
      <c r="I3512" s="29" t="n">
        <v>0.6</v>
      </c>
      <c r="J3512" s="9" t="n">
        <v>1</v>
      </c>
      <c r="K3512" s="30"/>
      <c r="L3512" s="30"/>
      <c r="M3512" s="30"/>
      <c r="N3512" s="30"/>
      <c r="O3512" s="30"/>
      <c r="P3512" s="30"/>
      <c r="Q3512" s="30"/>
      <c r="R3512" s="30"/>
      <c r="S3512" s="30"/>
      <c r="T3512" s="30"/>
      <c r="U3512" s="21" t="str">
        <f aca="false">IF(COUNT(K3512:T3512)=0,"SOURCE EMPTY / INDUSTRIAL ONLY",IF(MIN(K3512:T3512)=1,"SERVICE READY","HOLD"))</f>
        <v>SOURCE EMPTY / INDUSTRIAL ONLY</v>
      </c>
      <c r="V3512" s="9" t="n">
        <f aca="false">IF(U3512="SERVICE READY",1,0)</f>
        <v>0</v>
      </c>
      <c r="W3512" s="6"/>
      <c r="X3512" s="6"/>
      <c r="Y3512" s="6"/>
      <c r="Z3512" s="6"/>
    </row>
    <row r="3513" customFormat="false" ht="15" hidden="false" customHeight="false" outlineLevel="0" collapsed="false">
      <c r="A3513" s="9" t="s">
        <v>3793</v>
      </c>
      <c r="B3513" s="9" t="s">
        <v>3720</v>
      </c>
      <c r="C3513" s="9" t="s">
        <v>3721</v>
      </c>
      <c r="D3513" s="9" t="s">
        <v>3722</v>
      </c>
      <c r="E3513" s="9" t="s">
        <v>1660</v>
      </c>
      <c r="F3513" s="9" t="s">
        <v>200</v>
      </c>
      <c r="G3513" s="9" t="s">
        <v>221</v>
      </c>
      <c r="H3513" s="9" t="n">
        <v>1125</v>
      </c>
      <c r="I3513" s="29" t="n">
        <v>0.6</v>
      </c>
      <c r="J3513" s="9" t="n">
        <v>1</v>
      </c>
      <c r="K3513" s="30"/>
      <c r="L3513" s="30"/>
      <c r="M3513" s="30"/>
      <c r="N3513" s="30"/>
      <c r="O3513" s="30"/>
      <c r="P3513" s="30"/>
      <c r="Q3513" s="30"/>
      <c r="R3513" s="30"/>
      <c r="S3513" s="30"/>
      <c r="T3513" s="30"/>
      <c r="U3513" s="21" t="str">
        <f aca="false">IF(COUNT(K3513:T3513)=0,"SOURCE EMPTY / INDUSTRIAL ONLY",IF(MIN(K3513:T3513)=1,"SERVICE READY","HOLD"))</f>
        <v>SOURCE EMPTY / INDUSTRIAL ONLY</v>
      </c>
      <c r="V3513" s="9" t="n">
        <f aca="false">IF(U3513="SERVICE READY",1,0)</f>
        <v>0</v>
      </c>
      <c r="W3513" s="6"/>
      <c r="X3513" s="6"/>
      <c r="Y3513" s="6"/>
      <c r="Z3513" s="6"/>
    </row>
    <row r="3514" customFormat="false" ht="15" hidden="false" customHeight="false" outlineLevel="0" collapsed="false">
      <c r="A3514" s="9" t="s">
        <v>3794</v>
      </c>
      <c r="B3514" s="9" t="s">
        <v>3720</v>
      </c>
      <c r="C3514" s="9" t="s">
        <v>3721</v>
      </c>
      <c r="D3514" s="9" t="s">
        <v>3722</v>
      </c>
      <c r="E3514" s="9" t="s">
        <v>1660</v>
      </c>
      <c r="F3514" s="9" t="s">
        <v>203</v>
      </c>
      <c r="G3514" s="9" t="s">
        <v>221</v>
      </c>
      <c r="H3514" s="9" t="n">
        <v>1125</v>
      </c>
      <c r="I3514" s="29" t="n">
        <v>0.6</v>
      </c>
      <c r="J3514" s="9" t="n">
        <v>1</v>
      </c>
      <c r="K3514" s="30"/>
      <c r="L3514" s="30"/>
      <c r="M3514" s="30"/>
      <c r="N3514" s="30"/>
      <c r="O3514" s="30"/>
      <c r="P3514" s="30"/>
      <c r="Q3514" s="30"/>
      <c r="R3514" s="30"/>
      <c r="S3514" s="30"/>
      <c r="T3514" s="30"/>
      <c r="U3514" s="21" t="str">
        <f aca="false">IF(COUNT(K3514:T3514)=0,"SOURCE EMPTY / INDUSTRIAL ONLY",IF(MIN(K3514:T3514)=1,"SERVICE READY","HOLD"))</f>
        <v>SOURCE EMPTY / INDUSTRIAL ONLY</v>
      </c>
      <c r="V3514" s="9" t="n">
        <f aca="false">IF(U3514="SERVICE READY",1,0)</f>
        <v>0</v>
      </c>
      <c r="W3514" s="6"/>
      <c r="X3514" s="6"/>
      <c r="Y3514" s="6"/>
      <c r="Z3514" s="6"/>
    </row>
    <row r="3515" customFormat="false" ht="15" hidden="false" customHeight="false" outlineLevel="0" collapsed="false">
      <c r="A3515" s="9" t="s">
        <v>3795</v>
      </c>
      <c r="B3515" s="9" t="s">
        <v>3720</v>
      </c>
      <c r="C3515" s="9" t="s">
        <v>3721</v>
      </c>
      <c r="D3515" s="9" t="s">
        <v>3722</v>
      </c>
      <c r="E3515" s="9" t="s">
        <v>1660</v>
      </c>
      <c r="F3515" s="9" t="s">
        <v>205</v>
      </c>
      <c r="G3515" s="9" t="s">
        <v>221</v>
      </c>
      <c r="H3515" s="9" t="n">
        <v>1125</v>
      </c>
      <c r="I3515" s="29" t="n">
        <v>0.6</v>
      </c>
      <c r="J3515" s="9" t="n">
        <v>1</v>
      </c>
      <c r="K3515" s="30"/>
      <c r="L3515" s="30"/>
      <c r="M3515" s="30"/>
      <c r="N3515" s="30"/>
      <c r="O3515" s="30"/>
      <c r="P3515" s="30"/>
      <c r="Q3515" s="30"/>
      <c r="R3515" s="30"/>
      <c r="S3515" s="30"/>
      <c r="T3515" s="30"/>
      <c r="U3515" s="21" t="str">
        <f aca="false">IF(COUNT(K3515:T3515)=0,"SOURCE EMPTY / INDUSTRIAL ONLY",IF(MIN(K3515:T3515)=1,"SERVICE READY","HOLD"))</f>
        <v>SOURCE EMPTY / INDUSTRIAL ONLY</v>
      </c>
      <c r="V3515" s="9" t="n">
        <f aca="false">IF(U3515="SERVICE READY",1,0)</f>
        <v>0</v>
      </c>
      <c r="W3515" s="6"/>
      <c r="X3515" s="6"/>
      <c r="Y3515" s="6"/>
      <c r="Z3515" s="6"/>
    </row>
    <row r="3516" customFormat="false" ht="15" hidden="false" customHeight="false" outlineLevel="0" collapsed="false">
      <c r="A3516" s="9" t="s">
        <v>3796</v>
      </c>
      <c r="B3516" s="9" t="s">
        <v>3720</v>
      </c>
      <c r="C3516" s="9" t="s">
        <v>3721</v>
      </c>
      <c r="D3516" s="9" t="s">
        <v>3722</v>
      </c>
      <c r="E3516" s="9" t="s">
        <v>1660</v>
      </c>
      <c r="F3516" s="9" t="s">
        <v>207</v>
      </c>
      <c r="G3516" s="9" t="s">
        <v>221</v>
      </c>
      <c r="H3516" s="9" t="n">
        <v>1125</v>
      </c>
      <c r="I3516" s="29" t="n">
        <v>0.6</v>
      </c>
      <c r="J3516" s="9" t="n">
        <v>1</v>
      </c>
      <c r="K3516" s="30"/>
      <c r="L3516" s="30"/>
      <c r="M3516" s="30"/>
      <c r="N3516" s="30"/>
      <c r="O3516" s="30"/>
      <c r="P3516" s="30"/>
      <c r="Q3516" s="30"/>
      <c r="R3516" s="30"/>
      <c r="S3516" s="30"/>
      <c r="T3516" s="30"/>
      <c r="U3516" s="21" t="str">
        <f aca="false">IF(COUNT(K3516:T3516)=0,"SOURCE EMPTY / INDUSTRIAL ONLY",IF(MIN(K3516:T3516)=1,"SERVICE READY","HOLD"))</f>
        <v>SOURCE EMPTY / INDUSTRIAL ONLY</v>
      </c>
      <c r="V3516" s="9" t="n">
        <f aca="false">IF(U3516="SERVICE READY",1,0)</f>
        <v>0</v>
      </c>
      <c r="W3516" s="6"/>
      <c r="X3516" s="6"/>
      <c r="Y3516" s="6"/>
      <c r="Z3516" s="6"/>
    </row>
    <row r="3517" customFormat="false" ht="15" hidden="false" customHeight="false" outlineLevel="0" collapsed="false">
      <c r="A3517" s="9" t="s">
        <v>3797</v>
      </c>
      <c r="B3517" s="9" t="s">
        <v>3720</v>
      </c>
      <c r="C3517" s="9" t="s">
        <v>3721</v>
      </c>
      <c r="D3517" s="9" t="s">
        <v>3722</v>
      </c>
      <c r="E3517" s="9" t="s">
        <v>1660</v>
      </c>
      <c r="F3517" s="9" t="s">
        <v>209</v>
      </c>
      <c r="G3517" s="9" t="s">
        <v>221</v>
      </c>
      <c r="H3517" s="9" t="n">
        <v>1125</v>
      </c>
      <c r="I3517" s="29" t="n">
        <v>0.6</v>
      </c>
      <c r="J3517" s="9" t="n">
        <v>1</v>
      </c>
      <c r="K3517" s="30"/>
      <c r="L3517" s="30"/>
      <c r="M3517" s="30"/>
      <c r="N3517" s="30"/>
      <c r="O3517" s="30"/>
      <c r="P3517" s="30"/>
      <c r="Q3517" s="30"/>
      <c r="R3517" s="30"/>
      <c r="S3517" s="30"/>
      <c r="T3517" s="30"/>
      <c r="U3517" s="21" t="str">
        <f aca="false">IF(COUNT(K3517:T3517)=0,"SOURCE EMPTY / INDUSTRIAL ONLY",IF(MIN(K3517:T3517)=1,"SERVICE READY","HOLD"))</f>
        <v>SOURCE EMPTY / INDUSTRIAL ONLY</v>
      </c>
      <c r="V3517" s="9" t="n">
        <f aca="false">IF(U3517="SERVICE READY",1,0)</f>
        <v>0</v>
      </c>
      <c r="W3517" s="6"/>
      <c r="X3517" s="6"/>
      <c r="Y3517" s="6"/>
      <c r="Z3517" s="6"/>
    </row>
    <row r="3518" customFormat="false" ht="15" hidden="false" customHeight="false" outlineLevel="0" collapsed="false">
      <c r="A3518" s="9" t="s">
        <v>3798</v>
      </c>
      <c r="B3518" s="9" t="s">
        <v>3720</v>
      </c>
      <c r="C3518" s="9" t="s">
        <v>3721</v>
      </c>
      <c r="D3518" s="9" t="s">
        <v>3722</v>
      </c>
      <c r="E3518" s="9" t="s">
        <v>1660</v>
      </c>
      <c r="F3518" s="9" t="s">
        <v>211</v>
      </c>
      <c r="G3518" s="9" t="s">
        <v>221</v>
      </c>
      <c r="H3518" s="9" t="n">
        <v>1125</v>
      </c>
      <c r="I3518" s="29" t="n">
        <v>0.6</v>
      </c>
      <c r="J3518" s="9" t="n">
        <v>1</v>
      </c>
      <c r="K3518" s="30"/>
      <c r="L3518" s="30"/>
      <c r="M3518" s="30"/>
      <c r="N3518" s="30"/>
      <c r="O3518" s="30"/>
      <c r="P3518" s="30"/>
      <c r="Q3518" s="30"/>
      <c r="R3518" s="30"/>
      <c r="S3518" s="30"/>
      <c r="T3518" s="30"/>
      <c r="U3518" s="21" t="str">
        <f aca="false">IF(COUNT(K3518:T3518)=0,"SOURCE EMPTY / INDUSTRIAL ONLY",IF(MIN(K3518:T3518)=1,"SERVICE READY","HOLD"))</f>
        <v>SOURCE EMPTY / INDUSTRIAL ONLY</v>
      </c>
      <c r="V3518" s="9" t="n">
        <f aca="false">IF(U3518="SERVICE READY",1,0)</f>
        <v>0</v>
      </c>
      <c r="W3518" s="6"/>
      <c r="X3518" s="6"/>
      <c r="Y3518" s="6"/>
      <c r="Z3518" s="6"/>
    </row>
    <row r="3519" customFormat="false" ht="15" hidden="false" customHeight="false" outlineLevel="0" collapsed="false">
      <c r="A3519" s="9" t="s">
        <v>3799</v>
      </c>
      <c r="B3519" s="9" t="s">
        <v>3720</v>
      </c>
      <c r="C3519" s="9" t="s">
        <v>3721</v>
      </c>
      <c r="D3519" s="9" t="s">
        <v>3722</v>
      </c>
      <c r="E3519" s="9" t="s">
        <v>1660</v>
      </c>
      <c r="F3519" s="9" t="s">
        <v>197</v>
      </c>
      <c r="G3519" s="9" t="s">
        <v>221</v>
      </c>
      <c r="H3519" s="9" t="n">
        <v>1125</v>
      </c>
      <c r="I3519" s="29" t="n">
        <v>0.6</v>
      </c>
      <c r="J3519" s="9" t="n">
        <v>1</v>
      </c>
      <c r="K3519" s="30"/>
      <c r="L3519" s="30"/>
      <c r="M3519" s="30"/>
      <c r="N3519" s="30"/>
      <c r="O3519" s="30"/>
      <c r="P3519" s="30"/>
      <c r="Q3519" s="30"/>
      <c r="R3519" s="30"/>
      <c r="S3519" s="30"/>
      <c r="T3519" s="30"/>
      <c r="U3519" s="21" t="str">
        <f aca="false">IF(COUNT(K3519:T3519)=0,"SOURCE EMPTY / INDUSTRIAL ONLY",IF(MIN(K3519:T3519)=1,"SERVICE READY","HOLD"))</f>
        <v>SOURCE EMPTY / INDUSTRIAL ONLY</v>
      </c>
      <c r="V3519" s="9" t="n">
        <f aca="false">IF(U3519="SERVICE READY",1,0)</f>
        <v>0</v>
      </c>
      <c r="W3519" s="6"/>
      <c r="X3519" s="6"/>
      <c r="Y3519" s="6"/>
      <c r="Z3519" s="6"/>
    </row>
    <row r="3520" customFormat="false" ht="15" hidden="false" customHeight="false" outlineLevel="0" collapsed="false">
      <c r="A3520" s="9" t="s">
        <v>3800</v>
      </c>
      <c r="B3520" s="9" t="s">
        <v>3720</v>
      </c>
      <c r="C3520" s="9" t="s">
        <v>3721</v>
      </c>
      <c r="D3520" s="9" t="s">
        <v>3722</v>
      </c>
      <c r="E3520" s="9" t="s">
        <v>1660</v>
      </c>
      <c r="F3520" s="9" t="s">
        <v>200</v>
      </c>
      <c r="G3520" s="9" t="s">
        <v>221</v>
      </c>
      <c r="H3520" s="9" t="n">
        <v>1125</v>
      </c>
      <c r="I3520" s="29" t="n">
        <v>0.6</v>
      </c>
      <c r="J3520" s="9" t="n">
        <v>1</v>
      </c>
      <c r="K3520" s="30"/>
      <c r="L3520" s="30"/>
      <c r="M3520" s="30"/>
      <c r="N3520" s="30"/>
      <c r="O3520" s="30"/>
      <c r="P3520" s="30"/>
      <c r="Q3520" s="30"/>
      <c r="R3520" s="30"/>
      <c r="S3520" s="30"/>
      <c r="T3520" s="30"/>
      <c r="U3520" s="21" t="str">
        <f aca="false">IF(COUNT(K3520:T3520)=0,"SOURCE EMPTY / INDUSTRIAL ONLY",IF(MIN(K3520:T3520)=1,"SERVICE READY","HOLD"))</f>
        <v>SOURCE EMPTY / INDUSTRIAL ONLY</v>
      </c>
      <c r="V3520" s="9" t="n">
        <f aca="false">IF(U3520="SERVICE READY",1,0)</f>
        <v>0</v>
      </c>
      <c r="W3520" s="6"/>
      <c r="X3520" s="6"/>
      <c r="Y3520" s="6"/>
      <c r="Z3520" s="6"/>
    </row>
    <row r="3521" customFormat="false" ht="15" hidden="false" customHeight="false" outlineLevel="0" collapsed="false">
      <c r="A3521" s="9" t="s">
        <v>3801</v>
      </c>
      <c r="B3521" s="9" t="s">
        <v>3720</v>
      </c>
      <c r="C3521" s="9" t="s">
        <v>3721</v>
      </c>
      <c r="D3521" s="9" t="s">
        <v>3722</v>
      </c>
      <c r="E3521" s="9" t="s">
        <v>1660</v>
      </c>
      <c r="F3521" s="9" t="s">
        <v>203</v>
      </c>
      <c r="G3521" s="9" t="s">
        <v>221</v>
      </c>
      <c r="H3521" s="9" t="n">
        <v>1125</v>
      </c>
      <c r="I3521" s="29" t="n">
        <v>0.6</v>
      </c>
      <c r="J3521" s="9" t="n">
        <v>1</v>
      </c>
      <c r="K3521" s="30"/>
      <c r="L3521" s="30"/>
      <c r="M3521" s="30"/>
      <c r="N3521" s="30"/>
      <c r="O3521" s="30"/>
      <c r="P3521" s="30"/>
      <c r="Q3521" s="30"/>
      <c r="R3521" s="30"/>
      <c r="S3521" s="30"/>
      <c r="T3521" s="30"/>
      <c r="U3521" s="21" t="str">
        <f aca="false">IF(COUNT(K3521:T3521)=0,"SOURCE EMPTY / INDUSTRIAL ONLY",IF(MIN(K3521:T3521)=1,"SERVICE READY","HOLD"))</f>
        <v>SOURCE EMPTY / INDUSTRIAL ONLY</v>
      </c>
      <c r="V3521" s="9" t="n">
        <f aca="false">IF(U3521="SERVICE READY",1,0)</f>
        <v>0</v>
      </c>
      <c r="W3521" s="6"/>
      <c r="X3521" s="6"/>
      <c r="Y3521" s="6"/>
      <c r="Z3521" s="6"/>
    </row>
    <row r="3522" customFormat="false" ht="15" hidden="false" customHeight="false" outlineLevel="0" collapsed="false">
      <c r="A3522" s="9" t="s">
        <v>3802</v>
      </c>
      <c r="B3522" s="9" t="s">
        <v>3720</v>
      </c>
      <c r="C3522" s="9" t="s">
        <v>3721</v>
      </c>
      <c r="D3522" s="9" t="s">
        <v>3722</v>
      </c>
      <c r="E3522" s="9" t="s">
        <v>1660</v>
      </c>
      <c r="F3522" s="9" t="s">
        <v>205</v>
      </c>
      <c r="G3522" s="9" t="s">
        <v>221</v>
      </c>
      <c r="H3522" s="9" t="n">
        <v>1125</v>
      </c>
      <c r="I3522" s="29" t="n">
        <v>0.6</v>
      </c>
      <c r="J3522" s="9" t="n">
        <v>1</v>
      </c>
      <c r="K3522" s="30"/>
      <c r="L3522" s="30"/>
      <c r="M3522" s="30"/>
      <c r="N3522" s="30"/>
      <c r="O3522" s="30"/>
      <c r="P3522" s="30"/>
      <c r="Q3522" s="30"/>
      <c r="R3522" s="30"/>
      <c r="S3522" s="30"/>
      <c r="T3522" s="30"/>
      <c r="U3522" s="21" t="str">
        <f aca="false">IF(COUNT(K3522:T3522)=0,"SOURCE EMPTY / INDUSTRIAL ONLY",IF(MIN(K3522:T3522)=1,"SERVICE READY","HOLD"))</f>
        <v>SOURCE EMPTY / INDUSTRIAL ONLY</v>
      </c>
      <c r="V3522" s="9" t="n">
        <f aca="false">IF(U3522="SERVICE READY",1,0)</f>
        <v>0</v>
      </c>
      <c r="W3522" s="6"/>
      <c r="X3522" s="6"/>
      <c r="Y3522" s="6"/>
      <c r="Z3522" s="6"/>
    </row>
    <row r="3523" customFormat="false" ht="15" hidden="false" customHeight="false" outlineLevel="0" collapsed="false">
      <c r="A3523" s="9" t="s">
        <v>3803</v>
      </c>
      <c r="B3523" s="9" t="s">
        <v>3720</v>
      </c>
      <c r="C3523" s="9" t="s">
        <v>3721</v>
      </c>
      <c r="D3523" s="9" t="s">
        <v>3722</v>
      </c>
      <c r="E3523" s="9" t="s">
        <v>1660</v>
      </c>
      <c r="F3523" s="9" t="s">
        <v>207</v>
      </c>
      <c r="G3523" s="9" t="s">
        <v>221</v>
      </c>
      <c r="H3523" s="9" t="n">
        <v>1125</v>
      </c>
      <c r="I3523" s="29" t="n">
        <v>0.6</v>
      </c>
      <c r="J3523" s="9" t="n">
        <v>1</v>
      </c>
      <c r="K3523" s="30"/>
      <c r="L3523" s="30"/>
      <c r="M3523" s="30"/>
      <c r="N3523" s="30"/>
      <c r="O3523" s="30"/>
      <c r="P3523" s="30"/>
      <c r="Q3523" s="30"/>
      <c r="R3523" s="30"/>
      <c r="S3523" s="30"/>
      <c r="T3523" s="30"/>
      <c r="U3523" s="21" t="str">
        <f aca="false">IF(COUNT(K3523:T3523)=0,"SOURCE EMPTY / INDUSTRIAL ONLY",IF(MIN(K3523:T3523)=1,"SERVICE READY","HOLD"))</f>
        <v>SOURCE EMPTY / INDUSTRIAL ONLY</v>
      </c>
      <c r="V3523" s="9" t="n">
        <f aca="false">IF(U3523="SERVICE READY",1,0)</f>
        <v>0</v>
      </c>
      <c r="W3523" s="6"/>
      <c r="X3523" s="6"/>
      <c r="Y3523" s="6"/>
      <c r="Z3523" s="6"/>
    </row>
    <row r="3524" customFormat="false" ht="15" hidden="false" customHeight="false" outlineLevel="0" collapsed="false">
      <c r="A3524" s="9" t="s">
        <v>3804</v>
      </c>
      <c r="B3524" s="9" t="s">
        <v>3720</v>
      </c>
      <c r="C3524" s="9" t="s">
        <v>3721</v>
      </c>
      <c r="D3524" s="9" t="s">
        <v>3722</v>
      </c>
      <c r="E3524" s="9" t="s">
        <v>1660</v>
      </c>
      <c r="F3524" s="9" t="s">
        <v>209</v>
      </c>
      <c r="G3524" s="9" t="s">
        <v>221</v>
      </c>
      <c r="H3524" s="9" t="n">
        <v>1125</v>
      </c>
      <c r="I3524" s="29" t="n">
        <v>0.6</v>
      </c>
      <c r="J3524" s="9" t="n">
        <v>1</v>
      </c>
      <c r="K3524" s="30"/>
      <c r="L3524" s="30"/>
      <c r="M3524" s="30"/>
      <c r="N3524" s="30"/>
      <c r="O3524" s="30"/>
      <c r="P3524" s="30"/>
      <c r="Q3524" s="30"/>
      <c r="R3524" s="30"/>
      <c r="S3524" s="30"/>
      <c r="T3524" s="30"/>
      <c r="U3524" s="21" t="str">
        <f aca="false">IF(COUNT(K3524:T3524)=0,"SOURCE EMPTY / INDUSTRIAL ONLY",IF(MIN(K3524:T3524)=1,"SERVICE READY","HOLD"))</f>
        <v>SOURCE EMPTY / INDUSTRIAL ONLY</v>
      </c>
      <c r="V3524" s="9" t="n">
        <f aca="false">IF(U3524="SERVICE READY",1,0)</f>
        <v>0</v>
      </c>
      <c r="W3524" s="6"/>
      <c r="X3524" s="6"/>
      <c r="Y3524" s="6"/>
      <c r="Z3524" s="6"/>
    </row>
    <row r="3525" customFormat="false" ht="15" hidden="false" customHeight="false" outlineLevel="0" collapsed="false">
      <c r="A3525" s="9" t="s">
        <v>3805</v>
      </c>
      <c r="B3525" s="9" t="s">
        <v>3720</v>
      </c>
      <c r="C3525" s="9" t="s">
        <v>3721</v>
      </c>
      <c r="D3525" s="9" t="s">
        <v>3722</v>
      </c>
      <c r="E3525" s="9" t="s">
        <v>1660</v>
      </c>
      <c r="F3525" s="9" t="s">
        <v>211</v>
      </c>
      <c r="G3525" s="9" t="s">
        <v>221</v>
      </c>
      <c r="H3525" s="9" t="n">
        <v>1125</v>
      </c>
      <c r="I3525" s="29" t="n">
        <v>0.6</v>
      </c>
      <c r="J3525" s="9" t="n">
        <v>1</v>
      </c>
      <c r="K3525" s="30"/>
      <c r="L3525" s="30"/>
      <c r="M3525" s="30"/>
      <c r="N3525" s="30"/>
      <c r="O3525" s="30"/>
      <c r="P3525" s="30"/>
      <c r="Q3525" s="30"/>
      <c r="R3525" s="30"/>
      <c r="S3525" s="30"/>
      <c r="T3525" s="30"/>
      <c r="U3525" s="21" t="str">
        <f aca="false">IF(COUNT(K3525:T3525)=0,"SOURCE EMPTY / INDUSTRIAL ONLY",IF(MIN(K3525:T3525)=1,"SERVICE READY","HOLD"))</f>
        <v>SOURCE EMPTY / INDUSTRIAL ONLY</v>
      </c>
      <c r="V3525" s="9" t="n">
        <f aca="false">IF(U3525="SERVICE READY",1,0)</f>
        <v>0</v>
      </c>
      <c r="W3525" s="6"/>
      <c r="X3525" s="6"/>
      <c r="Y3525" s="6"/>
      <c r="Z3525" s="6"/>
    </row>
    <row r="3526" customFormat="false" ht="15" hidden="false" customHeight="false" outlineLevel="0" collapsed="false">
      <c r="A3526" s="9" t="s">
        <v>3806</v>
      </c>
      <c r="B3526" s="9" t="s">
        <v>3720</v>
      </c>
      <c r="C3526" s="9" t="s">
        <v>3721</v>
      </c>
      <c r="D3526" s="9" t="s">
        <v>3722</v>
      </c>
      <c r="E3526" s="9" t="s">
        <v>1660</v>
      </c>
      <c r="F3526" s="9" t="s">
        <v>197</v>
      </c>
      <c r="G3526" s="9" t="s">
        <v>221</v>
      </c>
      <c r="H3526" s="9" t="n">
        <v>1125</v>
      </c>
      <c r="I3526" s="29" t="n">
        <v>0.6</v>
      </c>
      <c r="J3526" s="9" t="n">
        <v>1</v>
      </c>
      <c r="K3526" s="30"/>
      <c r="L3526" s="30"/>
      <c r="M3526" s="30"/>
      <c r="N3526" s="30"/>
      <c r="O3526" s="30"/>
      <c r="P3526" s="30"/>
      <c r="Q3526" s="30"/>
      <c r="R3526" s="30"/>
      <c r="S3526" s="30"/>
      <c r="T3526" s="30"/>
      <c r="U3526" s="21" t="str">
        <f aca="false">IF(COUNT(K3526:T3526)=0,"SOURCE EMPTY / INDUSTRIAL ONLY",IF(MIN(K3526:T3526)=1,"SERVICE READY","HOLD"))</f>
        <v>SOURCE EMPTY / INDUSTRIAL ONLY</v>
      </c>
      <c r="V3526" s="9" t="n">
        <f aca="false">IF(U3526="SERVICE READY",1,0)</f>
        <v>0</v>
      </c>
      <c r="W3526" s="6"/>
      <c r="X3526" s="6"/>
      <c r="Y3526" s="6"/>
      <c r="Z3526" s="6"/>
    </row>
    <row r="3527" customFormat="false" ht="15" hidden="false" customHeight="false" outlineLevel="0" collapsed="false">
      <c r="A3527" s="9" t="s">
        <v>3807</v>
      </c>
      <c r="B3527" s="9" t="s">
        <v>3720</v>
      </c>
      <c r="C3527" s="9" t="s">
        <v>3721</v>
      </c>
      <c r="D3527" s="9" t="s">
        <v>3722</v>
      </c>
      <c r="E3527" s="9" t="s">
        <v>1660</v>
      </c>
      <c r="F3527" s="9" t="s">
        <v>200</v>
      </c>
      <c r="G3527" s="9" t="s">
        <v>221</v>
      </c>
      <c r="H3527" s="9" t="n">
        <v>1125</v>
      </c>
      <c r="I3527" s="29" t="n">
        <v>0.6</v>
      </c>
      <c r="J3527" s="9" t="n">
        <v>1</v>
      </c>
      <c r="K3527" s="30"/>
      <c r="L3527" s="30"/>
      <c r="M3527" s="30"/>
      <c r="N3527" s="30"/>
      <c r="O3527" s="30"/>
      <c r="P3527" s="30"/>
      <c r="Q3527" s="30"/>
      <c r="R3527" s="30"/>
      <c r="S3527" s="30"/>
      <c r="T3527" s="30"/>
      <c r="U3527" s="21" t="str">
        <f aca="false">IF(COUNT(K3527:T3527)=0,"SOURCE EMPTY / INDUSTRIAL ONLY",IF(MIN(K3527:T3527)=1,"SERVICE READY","HOLD"))</f>
        <v>SOURCE EMPTY / INDUSTRIAL ONLY</v>
      </c>
      <c r="V3527" s="9" t="n">
        <f aca="false">IF(U3527="SERVICE READY",1,0)</f>
        <v>0</v>
      </c>
      <c r="W3527" s="6"/>
      <c r="X3527" s="6"/>
      <c r="Y3527" s="6"/>
      <c r="Z3527" s="6"/>
    </row>
    <row r="3528" customFormat="false" ht="15" hidden="false" customHeight="false" outlineLevel="0" collapsed="false">
      <c r="A3528" s="9" t="s">
        <v>3808</v>
      </c>
      <c r="B3528" s="9" t="s">
        <v>3720</v>
      </c>
      <c r="C3528" s="9" t="s">
        <v>3721</v>
      </c>
      <c r="D3528" s="9" t="s">
        <v>3722</v>
      </c>
      <c r="E3528" s="9" t="s">
        <v>1660</v>
      </c>
      <c r="F3528" s="9" t="s">
        <v>203</v>
      </c>
      <c r="G3528" s="9" t="s">
        <v>221</v>
      </c>
      <c r="H3528" s="9" t="n">
        <v>1125</v>
      </c>
      <c r="I3528" s="29" t="n">
        <v>0.6</v>
      </c>
      <c r="J3528" s="9" t="n">
        <v>1</v>
      </c>
      <c r="K3528" s="30"/>
      <c r="L3528" s="30"/>
      <c r="M3528" s="30"/>
      <c r="N3528" s="30"/>
      <c r="O3528" s="30"/>
      <c r="P3528" s="30"/>
      <c r="Q3528" s="30"/>
      <c r="R3528" s="30"/>
      <c r="S3528" s="30"/>
      <c r="T3528" s="30"/>
      <c r="U3528" s="21" t="str">
        <f aca="false">IF(COUNT(K3528:T3528)=0,"SOURCE EMPTY / INDUSTRIAL ONLY",IF(MIN(K3528:T3528)=1,"SERVICE READY","HOLD"))</f>
        <v>SOURCE EMPTY / INDUSTRIAL ONLY</v>
      </c>
      <c r="V3528" s="9" t="n">
        <f aca="false">IF(U3528="SERVICE READY",1,0)</f>
        <v>0</v>
      </c>
      <c r="W3528" s="6"/>
      <c r="X3528" s="6"/>
      <c r="Y3528" s="6"/>
      <c r="Z3528" s="6"/>
    </row>
    <row r="3529" customFormat="false" ht="15" hidden="false" customHeight="false" outlineLevel="0" collapsed="false">
      <c r="A3529" s="9" t="s">
        <v>3809</v>
      </c>
      <c r="B3529" s="9" t="s">
        <v>3720</v>
      </c>
      <c r="C3529" s="9" t="s">
        <v>3721</v>
      </c>
      <c r="D3529" s="9" t="s">
        <v>3722</v>
      </c>
      <c r="E3529" s="9" t="s">
        <v>1660</v>
      </c>
      <c r="F3529" s="9" t="s">
        <v>205</v>
      </c>
      <c r="G3529" s="9" t="s">
        <v>221</v>
      </c>
      <c r="H3529" s="9" t="n">
        <v>1125</v>
      </c>
      <c r="I3529" s="29" t="n">
        <v>0.6</v>
      </c>
      <c r="J3529" s="9" t="n">
        <v>1</v>
      </c>
      <c r="K3529" s="30"/>
      <c r="L3529" s="30"/>
      <c r="M3529" s="30"/>
      <c r="N3529" s="30"/>
      <c r="O3529" s="30"/>
      <c r="P3529" s="30"/>
      <c r="Q3529" s="30"/>
      <c r="R3529" s="30"/>
      <c r="S3529" s="30"/>
      <c r="T3529" s="30"/>
      <c r="U3529" s="21" t="str">
        <f aca="false">IF(COUNT(K3529:T3529)=0,"SOURCE EMPTY / INDUSTRIAL ONLY",IF(MIN(K3529:T3529)=1,"SERVICE READY","HOLD"))</f>
        <v>SOURCE EMPTY / INDUSTRIAL ONLY</v>
      </c>
      <c r="V3529" s="9" t="n">
        <f aca="false">IF(U3529="SERVICE READY",1,0)</f>
        <v>0</v>
      </c>
      <c r="W3529" s="6"/>
      <c r="X3529" s="6"/>
      <c r="Y3529" s="6"/>
      <c r="Z3529" s="6"/>
    </row>
    <row r="3530" customFormat="false" ht="15" hidden="false" customHeight="false" outlineLevel="0" collapsed="false">
      <c r="A3530" s="9" t="s">
        <v>3810</v>
      </c>
      <c r="B3530" s="9" t="s">
        <v>3720</v>
      </c>
      <c r="C3530" s="9" t="s">
        <v>3721</v>
      </c>
      <c r="D3530" s="9" t="s">
        <v>3722</v>
      </c>
      <c r="E3530" s="9" t="s">
        <v>1660</v>
      </c>
      <c r="F3530" s="9" t="s">
        <v>207</v>
      </c>
      <c r="G3530" s="9" t="s">
        <v>221</v>
      </c>
      <c r="H3530" s="9" t="n">
        <v>1125</v>
      </c>
      <c r="I3530" s="29" t="n">
        <v>0.6</v>
      </c>
      <c r="J3530" s="9" t="n">
        <v>1</v>
      </c>
      <c r="K3530" s="30"/>
      <c r="L3530" s="30"/>
      <c r="M3530" s="30"/>
      <c r="N3530" s="30"/>
      <c r="O3530" s="30"/>
      <c r="P3530" s="30"/>
      <c r="Q3530" s="30"/>
      <c r="R3530" s="30"/>
      <c r="S3530" s="30"/>
      <c r="T3530" s="30"/>
      <c r="U3530" s="21" t="str">
        <f aca="false">IF(COUNT(K3530:T3530)=0,"SOURCE EMPTY / INDUSTRIAL ONLY",IF(MIN(K3530:T3530)=1,"SERVICE READY","HOLD"))</f>
        <v>SOURCE EMPTY / INDUSTRIAL ONLY</v>
      </c>
      <c r="V3530" s="9" t="n">
        <f aca="false">IF(U3530="SERVICE READY",1,0)</f>
        <v>0</v>
      </c>
      <c r="W3530" s="6"/>
      <c r="X3530" s="6"/>
      <c r="Y3530" s="6"/>
      <c r="Z3530" s="6"/>
    </row>
    <row r="3531" customFormat="false" ht="15" hidden="false" customHeight="false" outlineLevel="0" collapsed="false">
      <c r="A3531" s="9" t="s">
        <v>3811</v>
      </c>
      <c r="B3531" s="9" t="s">
        <v>3720</v>
      </c>
      <c r="C3531" s="9" t="s">
        <v>3721</v>
      </c>
      <c r="D3531" s="9" t="s">
        <v>3722</v>
      </c>
      <c r="E3531" s="9" t="s">
        <v>1660</v>
      </c>
      <c r="F3531" s="9" t="s">
        <v>209</v>
      </c>
      <c r="G3531" s="9" t="s">
        <v>221</v>
      </c>
      <c r="H3531" s="9" t="n">
        <v>1125</v>
      </c>
      <c r="I3531" s="29" t="n">
        <v>0.6</v>
      </c>
      <c r="J3531" s="9" t="n">
        <v>1</v>
      </c>
      <c r="K3531" s="30"/>
      <c r="L3531" s="30"/>
      <c r="M3531" s="30"/>
      <c r="N3531" s="30"/>
      <c r="O3531" s="30"/>
      <c r="P3531" s="30"/>
      <c r="Q3531" s="30"/>
      <c r="R3531" s="30"/>
      <c r="S3531" s="30"/>
      <c r="T3531" s="30"/>
      <c r="U3531" s="21" t="str">
        <f aca="false">IF(COUNT(K3531:T3531)=0,"SOURCE EMPTY / INDUSTRIAL ONLY",IF(MIN(K3531:T3531)=1,"SERVICE READY","HOLD"))</f>
        <v>SOURCE EMPTY / INDUSTRIAL ONLY</v>
      </c>
      <c r="V3531" s="9" t="n">
        <f aca="false">IF(U3531="SERVICE READY",1,0)</f>
        <v>0</v>
      </c>
      <c r="W3531" s="6"/>
      <c r="X3531" s="6"/>
      <c r="Y3531" s="6"/>
      <c r="Z3531" s="6"/>
    </row>
    <row r="3532" customFormat="false" ht="15" hidden="false" customHeight="false" outlineLevel="0" collapsed="false">
      <c r="A3532" s="9" t="s">
        <v>3812</v>
      </c>
      <c r="B3532" s="9" t="s">
        <v>3720</v>
      </c>
      <c r="C3532" s="9" t="s">
        <v>3721</v>
      </c>
      <c r="D3532" s="9" t="s">
        <v>3722</v>
      </c>
      <c r="E3532" s="9" t="s">
        <v>1660</v>
      </c>
      <c r="F3532" s="9" t="s">
        <v>211</v>
      </c>
      <c r="G3532" s="9" t="s">
        <v>221</v>
      </c>
      <c r="H3532" s="9" t="n">
        <v>1125</v>
      </c>
      <c r="I3532" s="29" t="n">
        <v>0.6</v>
      </c>
      <c r="J3532" s="9" t="n">
        <v>1</v>
      </c>
      <c r="K3532" s="30"/>
      <c r="L3532" s="30"/>
      <c r="M3532" s="30"/>
      <c r="N3532" s="30"/>
      <c r="O3532" s="30"/>
      <c r="P3532" s="30"/>
      <c r="Q3532" s="30"/>
      <c r="R3532" s="30"/>
      <c r="S3532" s="30"/>
      <c r="T3532" s="30"/>
      <c r="U3532" s="21" t="str">
        <f aca="false">IF(COUNT(K3532:T3532)=0,"SOURCE EMPTY / INDUSTRIAL ONLY",IF(MIN(K3532:T3532)=1,"SERVICE READY","HOLD"))</f>
        <v>SOURCE EMPTY / INDUSTRIAL ONLY</v>
      </c>
      <c r="V3532" s="9" t="n">
        <f aca="false">IF(U3532="SERVICE READY",1,0)</f>
        <v>0</v>
      </c>
      <c r="W3532" s="6"/>
      <c r="X3532" s="6"/>
      <c r="Y3532" s="6"/>
      <c r="Z3532" s="6"/>
    </row>
    <row r="3533" customFormat="false" ht="15" hidden="false" customHeight="false" outlineLevel="0" collapsed="false">
      <c r="A3533" s="9" t="s">
        <v>3813</v>
      </c>
      <c r="B3533" s="9" t="s">
        <v>3720</v>
      </c>
      <c r="C3533" s="9" t="s">
        <v>3721</v>
      </c>
      <c r="D3533" s="9" t="s">
        <v>3722</v>
      </c>
      <c r="E3533" s="9" t="s">
        <v>1660</v>
      </c>
      <c r="F3533" s="9" t="s">
        <v>197</v>
      </c>
      <c r="G3533" s="9" t="s">
        <v>221</v>
      </c>
      <c r="H3533" s="9" t="n">
        <v>1125</v>
      </c>
      <c r="I3533" s="29" t="n">
        <v>0.6</v>
      </c>
      <c r="J3533" s="9" t="n">
        <v>1</v>
      </c>
      <c r="K3533" s="30"/>
      <c r="L3533" s="30"/>
      <c r="M3533" s="30"/>
      <c r="N3533" s="30"/>
      <c r="O3533" s="30"/>
      <c r="P3533" s="30"/>
      <c r="Q3533" s="30"/>
      <c r="R3533" s="30"/>
      <c r="S3533" s="30"/>
      <c r="T3533" s="30"/>
      <c r="U3533" s="21" t="str">
        <f aca="false">IF(COUNT(K3533:T3533)=0,"SOURCE EMPTY / INDUSTRIAL ONLY",IF(MIN(K3533:T3533)=1,"SERVICE READY","HOLD"))</f>
        <v>SOURCE EMPTY / INDUSTRIAL ONLY</v>
      </c>
      <c r="V3533" s="9" t="n">
        <f aca="false">IF(U3533="SERVICE READY",1,0)</f>
        <v>0</v>
      </c>
      <c r="W3533" s="6"/>
      <c r="X3533" s="6"/>
      <c r="Y3533" s="6"/>
      <c r="Z3533" s="6"/>
    </row>
    <row r="3534" customFormat="false" ht="15" hidden="false" customHeight="false" outlineLevel="0" collapsed="false">
      <c r="A3534" s="9" t="s">
        <v>3814</v>
      </c>
      <c r="B3534" s="9" t="s">
        <v>3720</v>
      </c>
      <c r="C3534" s="9" t="s">
        <v>3721</v>
      </c>
      <c r="D3534" s="9" t="s">
        <v>3722</v>
      </c>
      <c r="E3534" s="9" t="s">
        <v>1660</v>
      </c>
      <c r="F3534" s="9" t="s">
        <v>200</v>
      </c>
      <c r="G3534" s="9" t="s">
        <v>221</v>
      </c>
      <c r="H3534" s="9" t="n">
        <v>1125</v>
      </c>
      <c r="I3534" s="29" t="n">
        <v>0.6</v>
      </c>
      <c r="J3534" s="9" t="n">
        <v>1</v>
      </c>
      <c r="K3534" s="30"/>
      <c r="L3534" s="30"/>
      <c r="M3534" s="30"/>
      <c r="N3534" s="30"/>
      <c r="O3534" s="30"/>
      <c r="P3534" s="30"/>
      <c r="Q3534" s="30"/>
      <c r="R3534" s="30"/>
      <c r="S3534" s="30"/>
      <c r="T3534" s="30"/>
      <c r="U3534" s="21" t="str">
        <f aca="false">IF(COUNT(K3534:T3534)=0,"SOURCE EMPTY / INDUSTRIAL ONLY",IF(MIN(K3534:T3534)=1,"SERVICE READY","HOLD"))</f>
        <v>SOURCE EMPTY / INDUSTRIAL ONLY</v>
      </c>
      <c r="V3534" s="9" t="n">
        <f aca="false">IF(U3534="SERVICE READY",1,0)</f>
        <v>0</v>
      </c>
      <c r="W3534" s="6"/>
      <c r="X3534" s="6"/>
      <c r="Y3534" s="6"/>
      <c r="Z3534" s="6"/>
    </row>
    <row r="3535" customFormat="false" ht="15" hidden="false" customHeight="false" outlineLevel="0" collapsed="false">
      <c r="A3535" s="9" t="s">
        <v>3815</v>
      </c>
      <c r="B3535" s="9" t="s">
        <v>3720</v>
      </c>
      <c r="C3535" s="9" t="s">
        <v>3721</v>
      </c>
      <c r="D3535" s="9" t="s">
        <v>3722</v>
      </c>
      <c r="E3535" s="9" t="s">
        <v>1660</v>
      </c>
      <c r="F3535" s="9" t="s">
        <v>203</v>
      </c>
      <c r="G3535" s="9" t="s">
        <v>221</v>
      </c>
      <c r="H3535" s="9" t="n">
        <v>1125</v>
      </c>
      <c r="I3535" s="29" t="n">
        <v>0.6</v>
      </c>
      <c r="J3535" s="9" t="n">
        <v>1</v>
      </c>
      <c r="K3535" s="30"/>
      <c r="L3535" s="30"/>
      <c r="M3535" s="30"/>
      <c r="N3535" s="30"/>
      <c r="O3535" s="30"/>
      <c r="P3535" s="30"/>
      <c r="Q3535" s="30"/>
      <c r="R3535" s="30"/>
      <c r="S3535" s="30"/>
      <c r="T3535" s="30"/>
      <c r="U3535" s="21" t="str">
        <f aca="false">IF(COUNT(K3535:T3535)=0,"SOURCE EMPTY / INDUSTRIAL ONLY",IF(MIN(K3535:T3535)=1,"SERVICE READY","HOLD"))</f>
        <v>SOURCE EMPTY / INDUSTRIAL ONLY</v>
      </c>
      <c r="V3535" s="9" t="n">
        <f aca="false">IF(U3535="SERVICE READY",1,0)</f>
        <v>0</v>
      </c>
      <c r="W3535" s="6"/>
      <c r="X3535" s="6"/>
      <c r="Y3535" s="6"/>
      <c r="Z3535" s="6"/>
    </row>
    <row r="3536" customFormat="false" ht="15" hidden="false" customHeight="false" outlineLevel="0" collapsed="false">
      <c r="A3536" s="9" t="s">
        <v>3816</v>
      </c>
      <c r="B3536" s="9" t="s">
        <v>3720</v>
      </c>
      <c r="C3536" s="9" t="s">
        <v>3721</v>
      </c>
      <c r="D3536" s="9" t="s">
        <v>3722</v>
      </c>
      <c r="E3536" s="9" t="s">
        <v>1660</v>
      </c>
      <c r="F3536" s="9" t="s">
        <v>205</v>
      </c>
      <c r="G3536" s="9" t="s">
        <v>221</v>
      </c>
      <c r="H3536" s="9" t="n">
        <v>1125</v>
      </c>
      <c r="I3536" s="29" t="n">
        <v>0.6</v>
      </c>
      <c r="J3536" s="9" t="n">
        <v>1</v>
      </c>
      <c r="K3536" s="30"/>
      <c r="L3536" s="30"/>
      <c r="M3536" s="30"/>
      <c r="N3536" s="30"/>
      <c r="O3536" s="30"/>
      <c r="P3536" s="30"/>
      <c r="Q3536" s="30"/>
      <c r="R3536" s="30"/>
      <c r="S3536" s="30"/>
      <c r="T3536" s="30"/>
      <c r="U3536" s="21" t="str">
        <f aca="false">IF(COUNT(K3536:T3536)=0,"SOURCE EMPTY / INDUSTRIAL ONLY",IF(MIN(K3536:T3536)=1,"SERVICE READY","HOLD"))</f>
        <v>SOURCE EMPTY / INDUSTRIAL ONLY</v>
      </c>
      <c r="V3536" s="9" t="n">
        <f aca="false">IF(U3536="SERVICE READY",1,0)</f>
        <v>0</v>
      </c>
      <c r="W3536" s="6"/>
      <c r="X3536" s="6"/>
      <c r="Y3536" s="6"/>
      <c r="Z3536" s="6"/>
    </row>
    <row r="3537" customFormat="false" ht="15" hidden="false" customHeight="false" outlineLevel="0" collapsed="false">
      <c r="A3537" s="9" t="s">
        <v>3817</v>
      </c>
      <c r="B3537" s="9" t="s">
        <v>3720</v>
      </c>
      <c r="C3537" s="9" t="s">
        <v>3721</v>
      </c>
      <c r="D3537" s="9" t="s">
        <v>3722</v>
      </c>
      <c r="E3537" s="9" t="s">
        <v>1660</v>
      </c>
      <c r="F3537" s="9" t="s">
        <v>207</v>
      </c>
      <c r="G3537" s="9" t="s">
        <v>221</v>
      </c>
      <c r="H3537" s="9" t="n">
        <v>1125</v>
      </c>
      <c r="I3537" s="29" t="n">
        <v>0.6</v>
      </c>
      <c r="J3537" s="9" t="n">
        <v>1</v>
      </c>
      <c r="K3537" s="30"/>
      <c r="L3537" s="30"/>
      <c r="M3537" s="30"/>
      <c r="N3537" s="30"/>
      <c r="O3537" s="30"/>
      <c r="P3537" s="30"/>
      <c r="Q3537" s="30"/>
      <c r="R3537" s="30"/>
      <c r="S3537" s="30"/>
      <c r="T3537" s="30"/>
      <c r="U3537" s="21" t="str">
        <f aca="false">IF(COUNT(K3537:T3537)=0,"SOURCE EMPTY / INDUSTRIAL ONLY",IF(MIN(K3537:T3537)=1,"SERVICE READY","HOLD"))</f>
        <v>SOURCE EMPTY / INDUSTRIAL ONLY</v>
      </c>
      <c r="V3537" s="9" t="n">
        <f aca="false">IF(U3537="SERVICE READY",1,0)</f>
        <v>0</v>
      </c>
      <c r="W3537" s="6"/>
      <c r="X3537" s="6"/>
      <c r="Y3537" s="6"/>
      <c r="Z3537" s="6"/>
    </row>
    <row r="3538" customFormat="false" ht="15" hidden="false" customHeight="false" outlineLevel="0" collapsed="false">
      <c r="A3538" s="9" t="s">
        <v>3818</v>
      </c>
      <c r="B3538" s="9" t="s">
        <v>3720</v>
      </c>
      <c r="C3538" s="9" t="s">
        <v>3721</v>
      </c>
      <c r="D3538" s="9" t="s">
        <v>3722</v>
      </c>
      <c r="E3538" s="9" t="s">
        <v>1660</v>
      </c>
      <c r="F3538" s="9" t="s">
        <v>209</v>
      </c>
      <c r="G3538" s="9" t="s">
        <v>221</v>
      </c>
      <c r="H3538" s="9" t="n">
        <v>1125</v>
      </c>
      <c r="I3538" s="29" t="n">
        <v>0.6</v>
      </c>
      <c r="J3538" s="9" t="n">
        <v>1</v>
      </c>
      <c r="K3538" s="30"/>
      <c r="L3538" s="30"/>
      <c r="M3538" s="30"/>
      <c r="N3538" s="30"/>
      <c r="O3538" s="30"/>
      <c r="P3538" s="30"/>
      <c r="Q3538" s="30"/>
      <c r="R3538" s="30"/>
      <c r="S3538" s="30"/>
      <c r="T3538" s="30"/>
      <c r="U3538" s="21" t="str">
        <f aca="false">IF(COUNT(K3538:T3538)=0,"SOURCE EMPTY / INDUSTRIAL ONLY",IF(MIN(K3538:T3538)=1,"SERVICE READY","HOLD"))</f>
        <v>SOURCE EMPTY / INDUSTRIAL ONLY</v>
      </c>
      <c r="V3538" s="9" t="n">
        <f aca="false">IF(U3538="SERVICE READY",1,0)</f>
        <v>0</v>
      </c>
      <c r="W3538" s="6"/>
      <c r="X3538" s="6"/>
      <c r="Y3538" s="6"/>
      <c r="Z3538" s="6"/>
    </row>
    <row r="3539" customFormat="false" ht="15" hidden="false" customHeight="false" outlineLevel="0" collapsed="false">
      <c r="A3539" s="9" t="s">
        <v>3819</v>
      </c>
      <c r="B3539" s="9" t="s">
        <v>3720</v>
      </c>
      <c r="C3539" s="9" t="s">
        <v>3721</v>
      </c>
      <c r="D3539" s="9" t="s">
        <v>3722</v>
      </c>
      <c r="E3539" s="9" t="s">
        <v>1660</v>
      </c>
      <c r="F3539" s="9" t="s">
        <v>211</v>
      </c>
      <c r="G3539" s="9" t="s">
        <v>221</v>
      </c>
      <c r="H3539" s="9" t="n">
        <v>1125</v>
      </c>
      <c r="I3539" s="29" t="n">
        <v>0.6</v>
      </c>
      <c r="J3539" s="9" t="n">
        <v>1</v>
      </c>
      <c r="K3539" s="30"/>
      <c r="L3539" s="30"/>
      <c r="M3539" s="30"/>
      <c r="N3539" s="30"/>
      <c r="O3539" s="30"/>
      <c r="P3539" s="30"/>
      <c r="Q3539" s="30"/>
      <c r="R3539" s="30"/>
      <c r="S3539" s="30"/>
      <c r="T3539" s="30"/>
      <c r="U3539" s="21" t="str">
        <f aca="false">IF(COUNT(K3539:T3539)=0,"SOURCE EMPTY / INDUSTRIAL ONLY",IF(MIN(K3539:T3539)=1,"SERVICE READY","HOLD"))</f>
        <v>SOURCE EMPTY / INDUSTRIAL ONLY</v>
      </c>
      <c r="V3539" s="9" t="n">
        <f aca="false">IF(U3539="SERVICE READY",1,0)</f>
        <v>0</v>
      </c>
      <c r="W3539" s="6"/>
      <c r="X3539" s="6"/>
      <c r="Y3539" s="6"/>
      <c r="Z3539" s="6"/>
    </row>
    <row r="3540" customFormat="false" ht="15" hidden="false" customHeight="false" outlineLevel="0" collapsed="false">
      <c r="A3540" s="9" t="s">
        <v>3820</v>
      </c>
      <c r="B3540" s="9" t="s">
        <v>3720</v>
      </c>
      <c r="C3540" s="9" t="s">
        <v>3721</v>
      </c>
      <c r="D3540" s="9" t="s">
        <v>3722</v>
      </c>
      <c r="E3540" s="9" t="s">
        <v>1660</v>
      </c>
      <c r="F3540" s="9" t="s">
        <v>197</v>
      </c>
      <c r="G3540" s="9" t="s">
        <v>221</v>
      </c>
      <c r="H3540" s="9" t="n">
        <v>1125</v>
      </c>
      <c r="I3540" s="29" t="n">
        <v>0.6</v>
      </c>
      <c r="J3540" s="9" t="n">
        <v>1</v>
      </c>
      <c r="K3540" s="30"/>
      <c r="L3540" s="30"/>
      <c r="M3540" s="30"/>
      <c r="N3540" s="30"/>
      <c r="O3540" s="30"/>
      <c r="P3540" s="30"/>
      <c r="Q3540" s="30"/>
      <c r="R3540" s="30"/>
      <c r="S3540" s="30"/>
      <c r="T3540" s="30"/>
      <c r="U3540" s="21" t="str">
        <f aca="false">IF(COUNT(K3540:T3540)=0,"SOURCE EMPTY / INDUSTRIAL ONLY",IF(MIN(K3540:T3540)=1,"SERVICE READY","HOLD"))</f>
        <v>SOURCE EMPTY / INDUSTRIAL ONLY</v>
      </c>
      <c r="V3540" s="9" t="n">
        <f aca="false">IF(U3540="SERVICE READY",1,0)</f>
        <v>0</v>
      </c>
      <c r="W3540" s="6"/>
      <c r="X3540" s="6"/>
      <c r="Y3540" s="6"/>
      <c r="Z3540" s="6"/>
    </row>
    <row r="3541" customFormat="false" ht="15" hidden="false" customHeight="false" outlineLevel="0" collapsed="false">
      <c r="A3541" s="9" t="s">
        <v>3821</v>
      </c>
      <c r="B3541" s="9" t="s">
        <v>3720</v>
      </c>
      <c r="C3541" s="9" t="s">
        <v>3721</v>
      </c>
      <c r="D3541" s="9" t="s">
        <v>3722</v>
      </c>
      <c r="E3541" s="9" t="s">
        <v>1660</v>
      </c>
      <c r="F3541" s="9" t="s">
        <v>200</v>
      </c>
      <c r="G3541" s="9" t="s">
        <v>221</v>
      </c>
      <c r="H3541" s="9" t="n">
        <v>1125</v>
      </c>
      <c r="I3541" s="29" t="n">
        <v>0.6</v>
      </c>
      <c r="J3541" s="9" t="n">
        <v>1</v>
      </c>
      <c r="K3541" s="30"/>
      <c r="L3541" s="30"/>
      <c r="M3541" s="30"/>
      <c r="N3541" s="30"/>
      <c r="O3541" s="30"/>
      <c r="P3541" s="30"/>
      <c r="Q3541" s="30"/>
      <c r="R3541" s="30"/>
      <c r="S3541" s="30"/>
      <c r="T3541" s="30"/>
      <c r="U3541" s="21" t="str">
        <f aca="false">IF(COUNT(K3541:T3541)=0,"SOURCE EMPTY / INDUSTRIAL ONLY",IF(MIN(K3541:T3541)=1,"SERVICE READY","HOLD"))</f>
        <v>SOURCE EMPTY / INDUSTRIAL ONLY</v>
      </c>
      <c r="V3541" s="9" t="n">
        <f aca="false">IF(U3541="SERVICE READY",1,0)</f>
        <v>0</v>
      </c>
      <c r="W3541" s="6"/>
      <c r="X3541" s="6"/>
      <c r="Y3541" s="6"/>
      <c r="Z3541" s="6"/>
    </row>
    <row r="3542" customFormat="false" ht="15" hidden="false" customHeight="false" outlineLevel="0" collapsed="false">
      <c r="A3542" s="9" t="s">
        <v>3822</v>
      </c>
      <c r="B3542" s="9" t="s">
        <v>3720</v>
      </c>
      <c r="C3542" s="9" t="s">
        <v>3721</v>
      </c>
      <c r="D3542" s="9" t="s">
        <v>3722</v>
      </c>
      <c r="E3542" s="9" t="s">
        <v>1660</v>
      </c>
      <c r="F3542" s="9" t="s">
        <v>203</v>
      </c>
      <c r="G3542" s="9" t="s">
        <v>221</v>
      </c>
      <c r="H3542" s="9" t="n">
        <v>1125</v>
      </c>
      <c r="I3542" s="29" t="n">
        <v>0.6</v>
      </c>
      <c r="J3542" s="9" t="n">
        <v>1</v>
      </c>
      <c r="K3542" s="30"/>
      <c r="L3542" s="30"/>
      <c r="M3542" s="30"/>
      <c r="N3542" s="30"/>
      <c r="O3542" s="30"/>
      <c r="P3542" s="30"/>
      <c r="Q3542" s="30"/>
      <c r="R3542" s="30"/>
      <c r="S3542" s="30"/>
      <c r="T3542" s="30"/>
      <c r="U3542" s="21" t="str">
        <f aca="false">IF(COUNT(K3542:T3542)=0,"SOURCE EMPTY / INDUSTRIAL ONLY",IF(MIN(K3542:T3542)=1,"SERVICE READY","HOLD"))</f>
        <v>SOURCE EMPTY / INDUSTRIAL ONLY</v>
      </c>
      <c r="V3542" s="9" t="n">
        <f aca="false">IF(U3542="SERVICE READY",1,0)</f>
        <v>0</v>
      </c>
      <c r="W3542" s="6"/>
      <c r="X3542" s="6"/>
      <c r="Y3542" s="6"/>
      <c r="Z3542" s="6"/>
    </row>
    <row r="3543" customFormat="false" ht="15" hidden="false" customHeight="false" outlineLevel="0" collapsed="false">
      <c r="A3543" s="9" t="s">
        <v>3823</v>
      </c>
      <c r="B3543" s="9" t="s">
        <v>3720</v>
      </c>
      <c r="C3543" s="9" t="s">
        <v>3721</v>
      </c>
      <c r="D3543" s="9" t="s">
        <v>3722</v>
      </c>
      <c r="E3543" s="9" t="s">
        <v>1660</v>
      </c>
      <c r="F3543" s="9" t="s">
        <v>205</v>
      </c>
      <c r="G3543" s="9" t="s">
        <v>221</v>
      </c>
      <c r="H3543" s="9" t="n">
        <v>1125</v>
      </c>
      <c r="I3543" s="29" t="n">
        <v>0.6</v>
      </c>
      <c r="J3543" s="9" t="n">
        <v>1</v>
      </c>
      <c r="K3543" s="30"/>
      <c r="L3543" s="30"/>
      <c r="M3543" s="30"/>
      <c r="N3543" s="30"/>
      <c r="O3543" s="30"/>
      <c r="P3543" s="30"/>
      <c r="Q3543" s="30"/>
      <c r="R3543" s="30"/>
      <c r="S3543" s="30"/>
      <c r="T3543" s="30"/>
      <c r="U3543" s="21" t="str">
        <f aca="false">IF(COUNT(K3543:T3543)=0,"SOURCE EMPTY / INDUSTRIAL ONLY",IF(MIN(K3543:T3543)=1,"SERVICE READY","HOLD"))</f>
        <v>SOURCE EMPTY / INDUSTRIAL ONLY</v>
      </c>
      <c r="V3543" s="9" t="n">
        <f aca="false">IF(U3543="SERVICE READY",1,0)</f>
        <v>0</v>
      </c>
      <c r="W3543" s="6"/>
      <c r="X3543" s="6"/>
      <c r="Y3543" s="6"/>
      <c r="Z3543" s="6"/>
    </row>
    <row r="3544" customFormat="false" ht="15" hidden="false" customHeight="false" outlineLevel="0" collapsed="false">
      <c r="A3544" s="9" t="s">
        <v>3824</v>
      </c>
      <c r="B3544" s="9" t="s">
        <v>3720</v>
      </c>
      <c r="C3544" s="9" t="s">
        <v>3721</v>
      </c>
      <c r="D3544" s="9" t="s">
        <v>3722</v>
      </c>
      <c r="E3544" s="9" t="s">
        <v>1660</v>
      </c>
      <c r="F3544" s="9" t="s">
        <v>207</v>
      </c>
      <c r="G3544" s="9" t="s">
        <v>221</v>
      </c>
      <c r="H3544" s="9" t="n">
        <v>1125</v>
      </c>
      <c r="I3544" s="29" t="n">
        <v>0.6</v>
      </c>
      <c r="J3544" s="9" t="n">
        <v>1</v>
      </c>
      <c r="K3544" s="30"/>
      <c r="L3544" s="30"/>
      <c r="M3544" s="30"/>
      <c r="N3544" s="30"/>
      <c r="O3544" s="30"/>
      <c r="P3544" s="30"/>
      <c r="Q3544" s="30"/>
      <c r="R3544" s="30"/>
      <c r="S3544" s="30"/>
      <c r="T3544" s="30"/>
      <c r="U3544" s="21" t="str">
        <f aca="false">IF(COUNT(K3544:T3544)=0,"SOURCE EMPTY / INDUSTRIAL ONLY",IF(MIN(K3544:T3544)=1,"SERVICE READY","HOLD"))</f>
        <v>SOURCE EMPTY / INDUSTRIAL ONLY</v>
      </c>
      <c r="V3544" s="9" t="n">
        <f aca="false">IF(U3544="SERVICE READY",1,0)</f>
        <v>0</v>
      </c>
      <c r="W3544" s="6"/>
      <c r="X3544" s="6"/>
      <c r="Y3544" s="6"/>
      <c r="Z3544" s="6"/>
    </row>
    <row r="3545" customFormat="false" ht="15" hidden="false" customHeight="false" outlineLevel="0" collapsed="false">
      <c r="A3545" s="9" t="s">
        <v>3825</v>
      </c>
      <c r="B3545" s="9" t="s">
        <v>3720</v>
      </c>
      <c r="C3545" s="9" t="s">
        <v>3721</v>
      </c>
      <c r="D3545" s="9" t="s">
        <v>3722</v>
      </c>
      <c r="E3545" s="9" t="s">
        <v>1660</v>
      </c>
      <c r="F3545" s="9" t="s">
        <v>209</v>
      </c>
      <c r="G3545" s="9" t="s">
        <v>221</v>
      </c>
      <c r="H3545" s="9" t="n">
        <v>1125</v>
      </c>
      <c r="I3545" s="29" t="n">
        <v>0.6</v>
      </c>
      <c r="J3545" s="9" t="n">
        <v>1</v>
      </c>
      <c r="K3545" s="30"/>
      <c r="L3545" s="30"/>
      <c r="M3545" s="30"/>
      <c r="N3545" s="30"/>
      <c r="O3545" s="30"/>
      <c r="P3545" s="30"/>
      <c r="Q3545" s="30"/>
      <c r="R3545" s="30"/>
      <c r="S3545" s="30"/>
      <c r="T3545" s="30"/>
      <c r="U3545" s="21" t="str">
        <f aca="false">IF(COUNT(K3545:T3545)=0,"SOURCE EMPTY / INDUSTRIAL ONLY",IF(MIN(K3545:T3545)=1,"SERVICE READY","HOLD"))</f>
        <v>SOURCE EMPTY / INDUSTRIAL ONLY</v>
      </c>
      <c r="V3545" s="9" t="n">
        <f aca="false">IF(U3545="SERVICE READY",1,0)</f>
        <v>0</v>
      </c>
      <c r="W3545" s="6"/>
      <c r="X3545" s="6"/>
      <c r="Y3545" s="6"/>
      <c r="Z3545" s="6"/>
    </row>
    <row r="3546" customFormat="false" ht="15" hidden="false" customHeight="false" outlineLevel="0" collapsed="false">
      <c r="A3546" s="9" t="s">
        <v>3826</v>
      </c>
      <c r="B3546" s="9" t="s">
        <v>3720</v>
      </c>
      <c r="C3546" s="9" t="s">
        <v>3721</v>
      </c>
      <c r="D3546" s="9" t="s">
        <v>3722</v>
      </c>
      <c r="E3546" s="9" t="s">
        <v>1660</v>
      </c>
      <c r="F3546" s="9" t="s">
        <v>211</v>
      </c>
      <c r="G3546" s="9" t="s">
        <v>221</v>
      </c>
      <c r="H3546" s="9" t="n">
        <v>1125</v>
      </c>
      <c r="I3546" s="29" t="n">
        <v>0.6</v>
      </c>
      <c r="J3546" s="9" t="n">
        <v>1</v>
      </c>
      <c r="K3546" s="30"/>
      <c r="L3546" s="30"/>
      <c r="M3546" s="30"/>
      <c r="N3546" s="30"/>
      <c r="O3546" s="30"/>
      <c r="P3546" s="30"/>
      <c r="Q3546" s="30"/>
      <c r="R3546" s="30"/>
      <c r="S3546" s="30"/>
      <c r="T3546" s="30"/>
      <c r="U3546" s="21" t="str">
        <f aca="false">IF(COUNT(K3546:T3546)=0,"SOURCE EMPTY / INDUSTRIAL ONLY",IF(MIN(K3546:T3546)=1,"SERVICE READY","HOLD"))</f>
        <v>SOURCE EMPTY / INDUSTRIAL ONLY</v>
      </c>
      <c r="V3546" s="9" t="n">
        <f aca="false">IF(U3546="SERVICE READY",1,0)</f>
        <v>0</v>
      </c>
      <c r="W3546" s="6"/>
      <c r="X3546" s="6"/>
      <c r="Y3546" s="6"/>
      <c r="Z3546" s="6"/>
    </row>
    <row r="3547" customFormat="false" ht="15" hidden="false" customHeight="false" outlineLevel="0" collapsed="false">
      <c r="A3547" s="9" t="s">
        <v>3827</v>
      </c>
      <c r="B3547" s="9" t="s">
        <v>3720</v>
      </c>
      <c r="C3547" s="9" t="s">
        <v>3721</v>
      </c>
      <c r="D3547" s="9" t="s">
        <v>3722</v>
      </c>
      <c r="E3547" s="9" t="s">
        <v>1660</v>
      </c>
      <c r="F3547" s="9" t="s">
        <v>197</v>
      </c>
      <c r="G3547" s="9" t="s">
        <v>221</v>
      </c>
      <c r="H3547" s="9" t="n">
        <v>1125</v>
      </c>
      <c r="I3547" s="29" t="n">
        <v>0.6</v>
      </c>
      <c r="J3547" s="9" t="n">
        <v>1</v>
      </c>
      <c r="K3547" s="30"/>
      <c r="L3547" s="30"/>
      <c r="M3547" s="30"/>
      <c r="N3547" s="30"/>
      <c r="O3547" s="30"/>
      <c r="P3547" s="30"/>
      <c r="Q3547" s="30"/>
      <c r="R3547" s="30"/>
      <c r="S3547" s="30"/>
      <c r="T3547" s="30"/>
      <c r="U3547" s="21" t="str">
        <f aca="false">IF(COUNT(K3547:T3547)=0,"SOURCE EMPTY / INDUSTRIAL ONLY",IF(MIN(K3547:T3547)=1,"SERVICE READY","HOLD"))</f>
        <v>SOURCE EMPTY / INDUSTRIAL ONLY</v>
      </c>
      <c r="V3547" s="9" t="n">
        <f aca="false">IF(U3547="SERVICE READY",1,0)</f>
        <v>0</v>
      </c>
      <c r="W3547" s="6"/>
      <c r="X3547" s="6"/>
      <c r="Y3547" s="6"/>
      <c r="Z3547" s="6"/>
    </row>
    <row r="3548" customFormat="false" ht="15" hidden="false" customHeight="false" outlineLevel="0" collapsed="false">
      <c r="A3548" s="9" t="s">
        <v>3828</v>
      </c>
      <c r="B3548" s="9" t="s">
        <v>3720</v>
      </c>
      <c r="C3548" s="9" t="s">
        <v>3721</v>
      </c>
      <c r="D3548" s="9" t="s">
        <v>3722</v>
      </c>
      <c r="E3548" s="9" t="s">
        <v>1660</v>
      </c>
      <c r="F3548" s="9" t="s">
        <v>200</v>
      </c>
      <c r="G3548" s="9" t="s">
        <v>221</v>
      </c>
      <c r="H3548" s="9" t="n">
        <v>1125</v>
      </c>
      <c r="I3548" s="29" t="n">
        <v>0.6</v>
      </c>
      <c r="J3548" s="9" t="n">
        <v>1</v>
      </c>
      <c r="K3548" s="30"/>
      <c r="L3548" s="30"/>
      <c r="M3548" s="30"/>
      <c r="N3548" s="30"/>
      <c r="O3548" s="30"/>
      <c r="P3548" s="30"/>
      <c r="Q3548" s="30"/>
      <c r="R3548" s="30"/>
      <c r="S3548" s="30"/>
      <c r="T3548" s="30"/>
      <c r="U3548" s="21" t="str">
        <f aca="false">IF(COUNT(K3548:T3548)=0,"SOURCE EMPTY / INDUSTRIAL ONLY",IF(MIN(K3548:T3548)=1,"SERVICE READY","HOLD"))</f>
        <v>SOURCE EMPTY / INDUSTRIAL ONLY</v>
      </c>
      <c r="V3548" s="9" t="n">
        <f aca="false">IF(U3548="SERVICE READY",1,0)</f>
        <v>0</v>
      </c>
      <c r="W3548" s="6"/>
      <c r="X3548" s="6"/>
      <c r="Y3548" s="6"/>
      <c r="Z3548" s="6"/>
    </row>
    <row r="3549" customFormat="false" ht="15" hidden="false" customHeight="false" outlineLevel="0" collapsed="false">
      <c r="A3549" s="9" t="s">
        <v>3829</v>
      </c>
      <c r="B3549" s="9" t="s">
        <v>3720</v>
      </c>
      <c r="C3549" s="9" t="s">
        <v>3721</v>
      </c>
      <c r="D3549" s="9" t="s">
        <v>3722</v>
      </c>
      <c r="E3549" s="9" t="s">
        <v>1660</v>
      </c>
      <c r="F3549" s="9" t="s">
        <v>203</v>
      </c>
      <c r="G3549" s="9" t="s">
        <v>221</v>
      </c>
      <c r="H3549" s="9" t="n">
        <v>1125</v>
      </c>
      <c r="I3549" s="29" t="n">
        <v>0.6</v>
      </c>
      <c r="J3549" s="9" t="n">
        <v>1</v>
      </c>
      <c r="K3549" s="30"/>
      <c r="L3549" s="30"/>
      <c r="M3549" s="30"/>
      <c r="N3549" s="30"/>
      <c r="O3549" s="30"/>
      <c r="P3549" s="30"/>
      <c r="Q3549" s="30"/>
      <c r="R3549" s="30"/>
      <c r="S3549" s="30"/>
      <c r="T3549" s="30"/>
      <c r="U3549" s="21" t="str">
        <f aca="false">IF(COUNT(K3549:T3549)=0,"SOURCE EMPTY / INDUSTRIAL ONLY",IF(MIN(K3549:T3549)=1,"SERVICE READY","HOLD"))</f>
        <v>SOURCE EMPTY / INDUSTRIAL ONLY</v>
      </c>
      <c r="V3549" s="9" t="n">
        <f aca="false">IF(U3549="SERVICE READY",1,0)</f>
        <v>0</v>
      </c>
      <c r="W3549" s="6"/>
      <c r="X3549" s="6"/>
      <c r="Y3549" s="6"/>
      <c r="Z3549" s="6"/>
    </row>
    <row r="3550" customFormat="false" ht="15" hidden="false" customHeight="false" outlineLevel="0" collapsed="false">
      <c r="A3550" s="9" t="s">
        <v>3830</v>
      </c>
      <c r="B3550" s="9" t="s">
        <v>3720</v>
      </c>
      <c r="C3550" s="9" t="s">
        <v>3721</v>
      </c>
      <c r="D3550" s="9" t="s">
        <v>3722</v>
      </c>
      <c r="E3550" s="9" t="s">
        <v>1660</v>
      </c>
      <c r="F3550" s="9" t="s">
        <v>205</v>
      </c>
      <c r="G3550" s="9" t="s">
        <v>221</v>
      </c>
      <c r="H3550" s="9" t="n">
        <v>1125</v>
      </c>
      <c r="I3550" s="29" t="n">
        <v>0.6</v>
      </c>
      <c r="J3550" s="9" t="n">
        <v>1</v>
      </c>
      <c r="K3550" s="30"/>
      <c r="L3550" s="30"/>
      <c r="M3550" s="30"/>
      <c r="N3550" s="30"/>
      <c r="O3550" s="30"/>
      <c r="P3550" s="30"/>
      <c r="Q3550" s="30"/>
      <c r="R3550" s="30"/>
      <c r="S3550" s="30"/>
      <c r="T3550" s="30"/>
      <c r="U3550" s="21" t="str">
        <f aca="false">IF(COUNT(K3550:T3550)=0,"SOURCE EMPTY / INDUSTRIAL ONLY",IF(MIN(K3550:T3550)=1,"SERVICE READY","HOLD"))</f>
        <v>SOURCE EMPTY / INDUSTRIAL ONLY</v>
      </c>
      <c r="V3550" s="9" t="n">
        <f aca="false">IF(U3550="SERVICE READY",1,0)</f>
        <v>0</v>
      </c>
      <c r="W3550" s="6"/>
      <c r="X3550" s="6"/>
      <c r="Y3550" s="6"/>
      <c r="Z3550" s="6"/>
    </row>
    <row r="3551" customFormat="false" ht="15" hidden="false" customHeight="false" outlineLevel="0" collapsed="false">
      <c r="A3551" s="9" t="s">
        <v>3831</v>
      </c>
      <c r="B3551" s="9" t="s">
        <v>3720</v>
      </c>
      <c r="C3551" s="9" t="s">
        <v>3721</v>
      </c>
      <c r="D3551" s="9" t="s">
        <v>3722</v>
      </c>
      <c r="E3551" s="9" t="s">
        <v>1660</v>
      </c>
      <c r="F3551" s="9" t="s">
        <v>207</v>
      </c>
      <c r="G3551" s="9" t="s">
        <v>221</v>
      </c>
      <c r="H3551" s="9" t="n">
        <v>1125</v>
      </c>
      <c r="I3551" s="29" t="n">
        <v>0.6</v>
      </c>
      <c r="J3551" s="9" t="n">
        <v>1</v>
      </c>
      <c r="K3551" s="30"/>
      <c r="L3551" s="30"/>
      <c r="M3551" s="30"/>
      <c r="N3551" s="30"/>
      <c r="O3551" s="30"/>
      <c r="P3551" s="30"/>
      <c r="Q3551" s="30"/>
      <c r="R3551" s="30"/>
      <c r="S3551" s="30"/>
      <c r="T3551" s="30"/>
      <c r="U3551" s="21" t="str">
        <f aca="false">IF(COUNT(K3551:T3551)=0,"SOURCE EMPTY / INDUSTRIAL ONLY",IF(MIN(K3551:T3551)=1,"SERVICE READY","HOLD"))</f>
        <v>SOURCE EMPTY / INDUSTRIAL ONLY</v>
      </c>
      <c r="V3551" s="9" t="n">
        <f aca="false">IF(U3551="SERVICE READY",1,0)</f>
        <v>0</v>
      </c>
      <c r="W3551" s="6"/>
      <c r="X3551" s="6"/>
      <c r="Y3551" s="6"/>
      <c r="Z3551" s="6"/>
    </row>
    <row r="3552" customFormat="false" ht="15" hidden="false" customHeight="false" outlineLevel="0" collapsed="false">
      <c r="A3552" s="9" t="s">
        <v>3832</v>
      </c>
      <c r="B3552" s="9" t="s">
        <v>3720</v>
      </c>
      <c r="C3552" s="9" t="s">
        <v>3721</v>
      </c>
      <c r="D3552" s="9" t="s">
        <v>3722</v>
      </c>
      <c r="E3552" s="9" t="s">
        <v>1660</v>
      </c>
      <c r="F3552" s="9" t="s">
        <v>209</v>
      </c>
      <c r="G3552" s="9" t="s">
        <v>221</v>
      </c>
      <c r="H3552" s="9" t="n">
        <v>1125</v>
      </c>
      <c r="I3552" s="29" t="n">
        <v>0.6</v>
      </c>
      <c r="J3552" s="9" t="n">
        <v>1</v>
      </c>
      <c r="K3552" s="30"/>
      <c r="L3552" s="30"/>
      <c r="M3552" s="30"/>
      <c r="N3552" s="30"/>
      <c r="O3552" s="30"/>
      <c r="P3552" s="30"/>
      <c r="Q3552" s="30"/>
      <c r="R3552" s="30"/>
      <c r="S3552" s="30"/>
      <c r="T3552" s="30"/>
      <c r="U3552" s="21" t="str">
        <f aca="false">IF(COUNT(K3552:T3552)=0,"SOURCE EMPTY / INDUSTRIAL ONLY",IF(MIN(K3552:T3552)=1,"SERVICE READY","HOLD"))</f>
        <v>SOURCE EMPTY / INDUSTRIAL ONLY</v>
      </c>
      <c r="V3552" s="9" t="n">
        <f aca="false">IF(U3552="SERVICE READY",1,0)</f>
        <v>0</v>
      </c>
      <c r="W3552" s="6"/>
      <c r="X3552" s="6"/>
      <c r="Y3552" s="6"/>
      <c r="Z3552" s="6"/>
    </row>
    <row r="3553" customFormat="false" ht="15" hidden="false" customHeight="false" outlineLevel="0" collapsed="false">
      <c r="A3553" s="9" t="s">
        <v>3833</v>
      </c>
      <c r="B3553" s="9" t="s">
        <v>3720</v>
      </c>
      <c r="C3553" s="9" t="s">
        <v>3721</v>
      </c>
      <c r="D3553" s="9" t="s">
        <v>3722</v>
      </c>
      <c r="E3553" s="9" t="s">
        <v>1660</v>
      </c>
      <c r="F3553" s="9" t="s">
        <v>211</v>
      </c>
      <c r="G3553" s="9" t="s">
        <v>221</v>
      </c>
      <c r="H3553" s="9" t="n">
        <v>1125</v>
      </c>
      <c r="I3553" s="29" t="n">
        <v>0.6</v>
      </c>
      <c r="J3553" s="9" t="n">
        <v>1</v>
      </c>
      <c r="K3553" s="30"/>
      <c r="L3553" s="30"/>
      <c r="M3553" s="30"/>
      <c r="N3553" s="30"/>
      <c r="O3553" s="30"/>
      <c r="P3553" s="30"/>
      <c r="Q3553" s="30"/>
      <c r="R3553" s="30"/>
      <c r="S3553" s="30"/>
      <c r="T3553" s="30"/>
      <c r="U3553" s="21" t="str">
        <f aca="false">IF(COUNT(K3553:T3553)=0,"SOURCE EMPTY / INDUSTRIAL ONLY",IF(MIN(K3553:T3553)=1,"SERVICE READY","HOLD"))</f>
        <v>SOURCE EMPTY / INDUSTRIAL ONLY</v>
      </c>
      <c r="V3553" s="9" t="n">
        <f aca="false">IF(U3553="SERVICE READY",1,0)</f>
        <v>0</v>
      </c>
      <c r="W3553" s="6"/>
      <c r="X3553" s="6"/>
      <c r="Y3553" s="6"/>
      <c r="Z3553" s="6"/>
    </row>
    <row r="3554" customFormat="false" ht="15" hidden="false" customHeight="false" outlineLevel="0" collapsed="false">
      <c r="A3554" s="9" t="s">
        <v>3834</v>
      </c>
      <c r="B3554" s="9" t="s">
        <v>3720</v>
      </c>
      <c r="C3554" s="9" t="s">
        <v>3721</v>
      </c>
      <c r="D3554" s="9" t="s">
        <v>3722</v>
      </c>
      <c r="E3554" s="9" t="s">
        <v>1660</v>
      </c>
      <c r="F3554" s="9" t="s">
        <v>197</v>
      </c>
      <c r="G3554" s="9" t="s">
        <v>221</v>
      </c>
      <c r="H3554" s="9" t="n">
        <v>1125</v>
      </c>
      <c r="I3554" s="29" t="n">
        <v>0.6</v>
      </c>
      <c r="J3554" s="9" t="n">
        <v>1</v>
      </c>
      <c r="K3554" s="30"/>
      <c r="L3554" s="30"/>
      <c r="M3554" s="30"/>
      <c r="N3554" s="30"/>
      <c r="O3554" s="30"/>
      <c r="P3554" s="30"/>
      <c r="Q3554" s="30"/>
      <c r="R3554" s="30"/>
      <c r="S3554" s="30"/>
      <c r="T3554" s="30"/>
      <c r="U3554" s="21" t="str">
        <f aca="false">IF(COUNT(K3554:T3554)=0,"SOURCE EMPTY / INDUSTRIAL ONLY",IF(MIN(K3554:T3554)=1,"SERVICE READY","HOLD"))</f>
        <v>SOURCE EMPTY / INDUSTRIAL ONLY</v>
      </c>
      <c r="V3554" s="9" t="n">
        <f aca="false">IF(U3554="SERVICE READY",1,0)</f>
        <v>0</v>
      </c>
      <c r="W3554" s="6"/>
      <c r="X3554" s="6"/>
      <c r="Y3554" s="6"/>
      <c r="Z3554" s="6"/>
    </row>
    <row r="3555" customFormat="false" ht="15" hidden="false" customHeight="false" outlineLevel="0" collapsed="false">
      <c r="A3555" s="9" t="s">
        <v>3835</v>
      </c>
      <c r="B3555" s="9" t="s">
        <v>3720</v>
      </c>
      <c r="C3555" s="9" t="s">
        <v>3721</v>
      </c>
      <c r="D3555" s="9" t="s">
        <v>3722</v>
      </c>
      <c r="E3555" s="9" t="s">
        <v>1660</v>
      </c>
      <c r="F3555" s="9" t="s">
        <v>200</v>
      </c>
      <c r="G3555" s="9" t="s">
        <v>221</v>
      </c>
      <c r="H3555" s="9" t="n">
        <v>1125</v>
      </c>
      <c r="I3555" s="29" t="n">
        <v>0.6</v>
      </c>
      <c r="J3555" s="9" t="n">
        <v>1</v>
      </c>
      <c r="K3555" s="30"/>
      <c r="L3555" s="30"/>
      <c r="M3555" s="30"/>
      <c r="N3555" s="30"/>
      <c r="O3555" s="30"/>
      <c r="P3555" s="30"/>
      <c r="Q3555" s="30"/>
      <c r="R3555" s="30"/>
      <c r="S3555" s="30"/>
      <c r="T3555" s="30"/>
      <c r="U3555" s="21" t="str">
        <f aca="false">IF(COUNT(K3555:T3555)=0,"SOURCE EMPTY / INDUSTRIAL ONLY",IF(MIN(K3555:T3555)=1,"SERVICE READY","HOLD"))</f>
        <v>SOURCE EMPTY / INDUSTRIAL ONLY</v>
      </c>
      <c r="V3555" s="9" t="n">
        <f aca="false">IF(U3555="SERVICE READY",1,0)</f>
        <v>0</v>
      </c>
      <c r="W3555" s="6"/>
      <c r="X3555" s="6"/>
      <c r="Y3555" s="6"/>
      <c r="Z3555" s="6"/>
    </row>
    <row r="3556" customFormat="false" ht="15" hidden="false" customHeight="false" outlineLevel="0" collapsed="false">
      <c r="A3556" s="9" t="s">
        <v>3836</v>
      </c>
      <c r="B3556" s="9" t="s">
        <v>3720</v>
      </c>
      <c r="C3556" s="9" t="s">
        <v>3721</v>
      </c>
      <c r="D3556" s="9" t="s">
        <v>3722</v>
      </c>
      <c r="E3556" s="9" t="s">
        <v>1660</v>
      </c>
      <c r="F3556" s="9" t="s">
        <v>203</v>
      </c>
      <c r="G3556" s="9" t="s">
        <v>221</v>
      </c>
      <c r="H3556" s="9" t="n">
        <v>1125</v>
      </c>
      <c r="I3556" s="29" t="n">
        <v>0.6</v>
      </c>
      <c r="J3556" s="9" t="n">
        <v>1</v>
      </c>
      <c r="K3556" s="30"/>
      <c r="L3556" s="30"/>
      <c r="M3556" s="30"/>
      <c r="N3556" s="30"/>
      <c r="O3556" s="30"/>
      <c r="P3556" s="30"/>
      <c r="Q3556" s="30"/>
      <c r="R3556" s="30"/>
      <c r="S3556" s="30"/>
      <c r="T3556" s="30"/>
      <c r="U3556" s="21" t="str">
        <f aca="false">IF(COUNT(K3556:T3556)=0,"SOURCE EMPTY / INDUSTRIAL ONLY",IF(MIN(K3556:T3556)=1,"SERVICE READY","HOLD"))</f>
        <v>SOURCE EMPTY / INDUSTRIAL ONLY</v>
      </c>
      <c r="V3556" s="9" t="n">
        <f aca="false">IF(U3556="SERVICE READY",1,0)</f>
        <v>0</v>
      </c>
      <c r="W3556" s="6"/>
      <c r="X3556" s="6"/>
      <c r="Y3556" s="6"/>
      <c r="Z3556" s="6"/>
    </row>
    <row r="3557" customFormat="false" ht="15" hidden="false" customHeight="false" outlineLevel="0" collapsed="false">
      <c r="A3557" s="9" t="s">
        <v>3837</v>
      </c>
      <c r="B3557" s="9" t="s">
        <v>3720</v>
      </c>
      <c r="C3557" s="9" t="s">
        <v>3721</v>
      </c>
      <c r="D3557" s="9" t="s">
        <v>3722</v>
      </c>
      <c r="E3557" s="9" t="s">
        <v>1660</v>
      </c>
      <c r="F3557" s="9" t="s">
        <v>205</v>
      </c>
      <c r="G3557" s="9" t="s">
        <v>221</v>
      </c>
      <c r="H3557" s="9" t="n">
        <v>1125</v>
      </c>
      <c r="I3557" s="29" t="n">
        <v>0.6</v>
      </c>
      <c r="J3557" s="9" t="n">
        <v>1</v>
      </c>
      <c r="K3557" s="30"/>
      <c r="L3557" s="30"/>
      <c r="M3557" s="30"/>
      <c r="N3557" s="30"/>
      <c r="O3557" s="30"/>
      <c r="P3557" s="30"/>
      <c r="Q3557" s="30"/>
      <c r="R3557" s="30"/>
      <c r="S3557" s="30"/>
      <c r="T3557" s="30"/>
      <c r="U3557" s="21" t="str">
        <f aca="false">IF(COUNT(K3557:T3557)=0,"SOURCE EMPTY / INDUSTRIAL ONLY",IF(MIN(K3557:T3557)=1,"SERVICE READY","HOLD"))</f>
        <v>SOURCE EMPTY / INDUSTRIAL ONLY</v>
      </c>
      <c r="V3557" s="9" t="n">
        <f aca="false">IF(U3557="SERVICE READY",1,0)</f>
        <v>0</v>
      </c>
      <c r="W3557" s="6"/>
      <c r="X3557" s="6"/>
      <c r="Y3557" s="6"/>
      <c r="Z3557" s="6"/>
    </row>
    <row r="3558" customFormat="false" ht="15" hidden="false" customHeight="false" outlineLevel="0" collapsed="false">
      <c r="A3558" s="9" t="s">
        <v>3838</v>
      </c>
      <c r="B3558" s="9" t="s">
        <v>3720</v>
      </c>
      <c r="C3558" s="9" t="s">
        <v>3721</v>
      </c>
      <c r="D3558" s="9" t="s">
        <v>3722</v>
      </c>
      <c r="E3558" s="9" t="s">
        <v>1660</v>
      </c>
      <c r="F3558" s="9" t="s">
        <v>207</v>
      </c>
      <c r="G3558" s="9" t="s">
        <v>221</v>
      </c>
      <c r="H3558" s="9" t="n">
        <v>1125</v>
      </c>
      <c r="I3558" s="29" t="n">
        <v>0.6</v>
      </c>
      <c r="J3558" s="9" t="n">
        <v>1</v>
      </c>
      <c r="K3558" s="30"/>
      <c r="L3558" s="30"/>
      <c r="M3558" s="30"/>
      <c r="N3558" s="30"/>
      <c r="O3558" s="30"/>
      <c r="P3558" s="30"/>
      <c r="Q3558" s="30"/>
      <c r="R3558" s="30"/>
      <c r="S3558" s="30"/>
      <c r="T3558" s="30"/>
      <c r="U3558" s="21" t="str">
        <f aca="false">IF(COUNT(K3558:T3558)=0,"SOURCE EMPTY / INDUSTRIAL ONLY",IF(MIN(K3558:T3558)=1,"SERVICE READY","HOLD"))</f>
        <v>SOURCE EMPTY / INDUSTRIAL ONLY</v>
      </c>
      <c r="V3558" s="9" t="n">
        <f aca="false">IF(U3558="SERVICE READY",1,0)</f>
        <v>0</v>
      </c>
      <c r="W3558" s="6"/>
      <c r="X3558" s="6"/>
      <c r="Y3558" s="6"/>
      <c r="Z3558" s="6"/>
    </row>
    <row r="3559" customFormat="false" ht="15" hidden="false" customHeight="false" outlineLevel="0" collapsed="false">
      <c r="A3559" s="9" t="s">
        <v>3839</v>
      </c>
      <c r="B3559" s="9" t="s">
        <v>3720</v>
      </c>
      <c r="C3559" s="9" t="s">
        <v>3721</v>
      </c>
      <c r="D3559" s="9" t="s">
        <v>3722</v>
      </c>
      <c r="E3559" s="9" t="s">
        <v>1660</v>
      </c>
      <c r="F3559" s="9" t="s">
        <v>209</v>
      </c>
      <c r="G3559" s="9" t="s">
        <v>221</v>
      </c>
      <c r="H3559" s="9" t="n">
        <v>1125</v>
      </c>
      <c r="I3559" s="29" t="n">
        <v>0.6</v>
      </c>
      <c r="J3559" s="9" t="n">
        <v>1</v>
      </c>
      <c r="K3559" s="30"/>
      <c r="L3559" s="30"/>
      <c r="M3559" s="30"/>
      <c r="N3559" s="30"/>
      <c r="O3559" s="30"/>
      <c r="P3559" s="30"/>
      <c r="Q3559" s="30"/>
      <c r="R3559" s="30"/>
      <c r="S3559" s="30"/>
      <c r="T3559" s="30"/>
      <c r="U3559" s="21" t="str">
        <f aca="false">IF(COUNT(K3559:T3559)=0,"SOURCE EMPTY / INDUSTRIAL ONLY",IF(MIN(K3559:T3559)=1,"SERVICE READY","HOLD"))</f>
        <v>SOURCE EMPTY / INDUSTRIAL ONLY</v>
      </c>
      <c r="V3559" s="9" t="n">
        <f aca="false">IF(U3559="SERVICE READY",1,0)</f>
        <v>0</v>
      </c>
      <c r="W3559" s="6"/>
      <c r="X3559" s="6"/>
      <c r="Y3559" s="6"/>
      <c r="Z3559" s="6"/>
    </row>
    <row r="3560" customFormat="false" ht="15" hidden="false" customHeight="false" outlineLevel="0" collapsed="false">
      <c r="A3560" s="9" t="s">
        <v>3840</v>
      </c>
      <c r="B3560" s="9" t="s">
        <v>3720</v>
      </c>
      <c r="C3560" s="9" t="s">
        <v>3721</v>
      </c>
      <c r="D3560" s="9" t="s">
        <v>3722</v>
      </c>
      <c r="E3560" s="9" t="s">
        <v>1660</v>
      </c>
      <c r="F3560" s="9" t="s">
        <v>211</v>
      </c>
      <c r="G3560" s="9" t="s">
        <v>221</v>
      </c>
      <c r="H3560" s="9" t="n">
        <v>1125</v>
      </c>
      <c r="I3560" s="29" t="n">
        <v>0.6</v>
      </c>
      <c r="J3560" s="9" t="n">
        <v>1</v>
      </c>
      <c r="K3560" s="30"/>
      <c r="L3560" s="30"/>
      <c r="M3560" s="30"/>
      <c r="N3560" s="30"/>
      <c r="O3560" s="30"/>
      <c r="P3560" s="30"/>
      <c r="Q3560" s="30"/>
      <c r="R3560" s="30"/>
      <c r="S3560" s="30"/>
      <c r="T3560" s="30"/>
      <c r="U3560" s="21" t="str">
        <f aca="false">IF(COUNT(K3560:T3560)=0,"SOURCE EMPTY / INDUSTRIAL ONLY",IF(MIN(K3560:T3560)=1,"SERVICE READY","HOLD"))</f>
        <v>SOURCE EMPTY / INDUSTRIAL ONLY</v>
      </c>
      <c r="V3560" s="9" t="n">
        <f aca="false">IF(U3560="SERVICE READY",1,0)</f>
        <v>0</v>
      </c>
      <c r="W3560" s="6"/>
      <c r="X3560" s="6"/>
      <c r="Y3560" s="6"/>
      <c r="Z3560" s="6"/>
    </row>
    <row r="3561" customFormat="false" ht="15" hidden="false" customHeight="false" outlineLevel="0" collapsed="false">
      <c r="A3561" s="9" t="s">
        <v>3841</v>
      </c>
      <c r="B3561" s="9" t="s">
        <v>3720</v>
      </c>
      <c r="C3561" s="9" t="s">
        <v>3721</v>
      </c>
      <c r="D3561" s="9" t="s">
        <v>3722</v>
      </c>
      <c r="E3561" s="9" t="s">
        <v>1660</v>
      </c>
      <c r="F3561" s="9" t="s">
        <v>197</v>
      </c>
      <c r="G3561" s="9" t="s">
        <v>221</v>
      </c>
      <c r="H3561" s="9" t="n">
        <v>1125</v>
      </c>
      <c r="I3561" s="29" t="n">
        <v>0.6</v>
      </c>
      <c r="J3561" s="9" t="n">
        <v>1</v>
      </c>
      <c r="K3561" s="30"/>
      <c r="L3561" s="30"/>
      <c r="M3561" s="30"/>
      <c r="N3561" s="30"/>
      <c r="O3561" s="30"/>
      <c r="P3561" s="30"/>
      <c r="Q3561" s="30"/>
      <c r="R3561" s="30"/>
      <c r="S3561" s="30"/>
      <c r="T3561" s="30"/>
      <c r="U3561" s="21" t="str">
        <f aca="false">IF(COUNT(K3561:T3561)=0,"SOURCE EMPTY / INDUSTRIAL ONLY",IF(MIN(K3561:T3561)=1,"SERVICE READY","HOLD"))</f>
        <v>SOURCE EMPTY / INDUSTRIAL ONLY</v>
      </c>
      <c r="V3561" s="9" t="n">
        <f aca="false">IF(U3561="SERVICE READY",1,0)</f>
        <v>0</v>
      </c>
      <c r="W3561" s="6"/>
      <c r="X3561" s="6"/>
      <c r="Y3561" s="6"/>
      <c r="Z3561" s="6"/>
    </row>
    <row r="3562" customFormat="false" ht="15" hidden="false" customHeight="false" outlineLevel="0" collapsed="false">
      <c r="A3562" s="9" t="s">
        <v>3842</v>
      </c>
      <c r="B3562" s="9" t="s">
        <v>3720</v>
      </c>
      <c r="C3562" s="9" t="s">
        <v>3721</v>
      </c>
      <c r="D3562" s="9" t="s">
        <v>3722</v>
      </c>
      <c r="E3562" s="9" t="s">
        <v>1660</v>
      </c>
      <c r="F3562" s="9" t="s">
        <v>200</v>
      </c>
      <c r="G3562" s="9" t="s">
        <v>221</v>
      </c>
      <c r="H3562" s="9" t="n">
        <v>1125</v>
      </c>
      <c r="I3562" s="29" t="n">
        <v>0.6</v>
      </c>
      <c r="J3562" s="9" t="n">
        <v>1</v>
      </c>
      <c r="K3562" s="30"/>
      <c r="L3562" s="30"/>
      <c r="M3562" s="30"/>
      <c r="N3562" s="30"/>
      <c r="O3562" s="30"/>
      <c r="P3562" s="30"/>
      <c r="Q3562" s="30"/>
      <c r="R3562" s="30"/>
      <c r="S3562" s="30"/>
      <c r="T3562" s="30"/>
      <c r="U3562" s="21" t="str">
        <f aca="false">IF(COUNT(K3562:T3562)=0,"SOURCE EMPTY / INDUSTRIAL ONLY",IF(MIN(K3562:T3562)=1,"SERVICE READY","HOLD"))</f>
        <v>SOURCE EMPTY / INDUSTRIAL ONLY</v>
      </c>
      <c r="V3562" s="9" t="n">
        <f aca="false">IF(U3562="SERVICE READY",1,0)</f>
        <v>0</v>
      </c>
      <c r="W3562" s="6"/>
      <c r="X3562" s="6"/>
      <c r="Y3562" s="6"/>
      <c r="Z3562" s="6"/>
    </row>
    <row r="3563" customFormat="false" ht="15" hidden="false" customHeight="false" outlineLevel="0" collapsed="false">
      <c r="A3563" s="9" t="s">
        <v>3843</v>
      </c>
      <c r="B3563" s="9" t="s">
        <v>3720</v>
      </c>
      <c r="C3563" s="9" t="s">
        <v>3721</v>
      </c>
      <c r="D3563" s="9" t="s">
        <v>3722</v>
      </c>
      <c r="E3563" s="9" t="s">
        <v>1660</v>
      </c>
      <c r="F3563" s="9" t="s">
        <v>203</v>
      </c>
      <c r="G3563" s="9" t="s">
        <v>221</v>
      </c>
      <c r="H3563" s="9" t="n">
        <v>1125</v>
      </c>
      <c r="I3563" s="29" t="n">
        <v>0.6</v>
      </c>
      <c r="J3563" s="9" t="n">
        <v>1</v>
      </c>
      <c r="K3563" s="30"/>
      <c r="L3563" s="30"/>
      <c r="M3563" s="30"/>
      <c r="N3563" s="30"/>
      <c r="O3563" s="30"/>
      <c r="P3563" s="30"/>
      <c r="Q3563" s="30"/>
      <c r="R3563" s="30"/>
      <c r="S3563" s="30"/>
      <c r="T3563" s="30"/>
      <c r="U3563" s="21" t="str">
        <f aca="false">IF(COUNT(K3563:T3563)=0,"SOURCE EMPTY / INDUSTRIAL ONLY",IF(MIN(K3563:T3563)=1,"SERVICE READY","HOLD"))</f>
        <v>SOURCE EMPTY / INDUSTRIAL ONLY</v>
      </c>
      <c r="V3563" s="9" t="n">
        <f aca="false">IF(U3563="SERVICE READY",1,0)</f>
        <v>0</v>
      </c>
      <c r="W3563" s="6"/>
      <c r="X3563" s="6"/>
      <c r="Y3563" s="6"/>
      <c r="Z3563" s="6"/>
    </row>
    <row r="3564" customFormat="false" ht="15" hidden="false" customHeight="false" outlineLevel="0" collapsed="false">
      <c r="A3564" s="9" t="s">
        <v>3844</v>
      </c>
      <c r="B3564" s="9" t="s">
        <v>3720</v>
      </c>
      <c r="C3564" s="9" t="s">
        <v>3721</v>
      </c>
      <c r="D3564" s="9" t="s">
        <v>3722</v>
      </c>
      <c r="E3564" s="9" t="s">
        <v>1660</v>
      </c>
      <c r="F3564" s="9" t="s">
        <v>205</v>
      </c>
      <c r="G3564" s="9" t="s">
        <v>221</v>
      </c>
      <c r="H3564" s="9" t="n">
        <v>1125</v>
      </c>
      <c r="I3564" s="29" t="n">
        <v>0.6</v>
      </c>
      <c r="J3564" s="9" t="n">
        <v>1</v>
      </c>
      <c r="K3564" s="30"/>
      <c r="L3564" s="30"/>
      <c r="M3564" s="30"/>
      <c r="N3564" s="30"/>
      <c r="O3564" s="30"/>
      <c r="P3564" s="30"/>
      <c r="Q3564" s="30"/>
      <c r="R3564" s="30"/>
      <c r="S3564" s="30"/>
      <c r="T3564" s="30"/>
      <c r="U3564" s="21" t="str">
        <f aca="false">IF(COUNT(K3564:T3564)=0,"SOURCE EMPTY / INDUSTRIAL ONLY",IF(MIN(K3564:T3564)=1,"SERVICE READY","HOLD"))</f>
        <v>SOURCE EMPTY / INDUSTRIAL ONLY</v>
      </c>
      <c r="V3564" s="9" t="n">
        <f aca="false">IF(U3564="SERVICE READY",1,0)</f>
        <v>0</v>
      </c>
      <c r="W3564" s="6"/>
      <c r="X3564" s="6"/>
      <c r="Y3564" s="6"/>
      <c r="Z3564" s="6"/>
    </row>
    <row r="3565" customFormat="false" ht="15" hidden="false" customHeight="false" outlineLevel="0" collapsed="false">
      <c r="A3565" s="9" t="s">
        <v>3845</v>
      </c>
      <c r="B3565" s="9" t="s">
        <v>3720</v>
      </c>
      <c r="C3565" s="9" t="s">
        <v>3721</v>
      </c>
      <c r="D3565" s="9" t="s">
        <v>3722</v>
      </c>
      <c r="E3565" s="9" t="s">
        <v>1660</v>
      </c>
      <c r="F3565" s="9" t="s">
        <v>207</v>
      </c>
      <c r="G3565" s="9" t="s">
        <v>221</v>
      </c>
      <c r="H3565" s="9" t="n">
        <v>1125</v>
      </c>
      <c r="I3565" s="29" t="n">
        <v>0.6</v>
      </c>
      <c r="J3565" s="9" t="n">
        <v>1</v>
      </c>
      <c r="K3565" s="30"/>
      <c r="L3565" s="30"/>
      <c r="M3565" s="30"/>
      <c r="N3565" s="30"/>
      <c r="O3565" s="30"/>
      <c r="P3565" s="30"/>
      <c r="Q3565" s="30"/>
      <c r="R3565" s="30"/>
      <c r="S3565" s="30"/>
      <c r="T3565" s="30"/>
      <c r="U3565" s="21" t="str">
        <f aca="false">IF(COUNT(K3565:T3565)=0,"SOURCE EMPTY / INDUSTRIAL ONLY",IF(MIN(K3565:T3565)=1,"SERVICE READY","HOLD"))</f>
        <v>SOURCE EMPTY / INDUSTRIAL ONLY</v>
      </c>
      <c r="V3565" s="9" t="n">
        <f aca="false">IF(U3565="SERVICE READY",1,0)</f>
        <v>0</v>
      </c>
      <c r="W3565" s="6"/>
      <c r="X3565" s="6"/>
      <c r="Y3565" s="6"/>
      <c r="Z3565" s="6"/>
    </row>
    <row r="3566" customFormat="false" ht="15" hidden="false" customHeight="false" outlineLevel="0" collapsed="false">
      <c r="A3566" s="9" t="s">
        <v>3846</v>
      </c>
      <c r="B3566" s="9" t="s">
        <v>3720</v>
      </c>
      <c r="C3566" s="9" t="s">
        <v>3721</v>
      </c>
      <c r="D3566" s="9" t="s">
        <v>3722</v>
      </c>
      <c r="E3566" s="9" t="s">
        <v>1660</v>
      </c>
      <c r="F3566" s="9" t="s">
        <v>209</v>
      </c>
      <c r="G3566" s="9" t="s">
        <v>221</v>
      </c>
      <c r="H3566" s="9" t="n">
        <v>1125</v>
      </c>
      <c r="I3566" s="29" t="n">
        <v>0.6</v>
      </c>
      <c r="J3566" s="9" t="n">
        <v>1</v>
      </c>
      <c r="K3566" s="30"/>
      <c r="L3566" s="30"/>
      <c r="M3566" s="30"/>
      <c r="N3566" s="30"/>
      <c r="O3566" s="30"/>
      <c r="P3566" s="30"/>
      <c r="Q3566" s="30"/>
      <c r="R3566" s="30"/>
      <c r="S3566" s="30"/>
      <c r="T3566" s="30"/>
      <c r="U3566" s="21" t="str">
        <f aca="false">IF(COUNT(K3566:T3566)=0,"SOURCE EMPTY / INDUSTRIAL ONLY",IF(MIN(K3566:T3566)=1,"SERVICE READY","HOLD"))</f>
        <v>SOURCE EMPTY / INDUSTRIAL ONLY</v>
      </c>
      <c r="V3566" s="9" t="n">
        <f aca="false">IF(U3566="SERVICE READY",1,0)</f>
        <v>0</v>
      </c>
      <c r="W3566" s="6"/>
      <c r="X3566" s="6"/>
      <c r="Y3566" s="6"/>
      <c r="Z3566" s="6"/>
    </row>
    <row r="3567" customFormat="false" ht="15" hidden="false" customHeight="false" outlineLevel="0" collapsed="false">
      <c r="A3567" s="9" t="s">
        <v>3847</v>
      </c>
      <c r="B3567" s="9" t="s">
        <v>3720</v>
      </c>
      <c r="C3567" s="9" t="s">
        <v>3721</v>
      </c>
      <c r="D3567" s="9" t="s">
        <v>3722</v>
      </c>
      <c r="E3567" s="9" t="s">
        <v>1660</v>
      </c>
      <c r="F3567" s="9" t="s">
        <v>211</v>
      </c>
      <c r="G3567" s="9" t="s">
        <v>221</v>
      </c>
      <c r="H3567" s="9" t="n">
        <v>1125</v>
      </c>
      <c r="I3567" s="29" t="n">
        <v>0.6</v>
      </c>
      <c r="J3567" s="9" t="n">
        <v>1</v>
      </c>
      <c r="K3567" s="30"/>
      <c r="L3567" s="30"/>
      <c r="M3567" s="30"/>
      <c r="N3567" s="30"/>
      <c r="O3567" s="30"/>
      <c r="P3567" s="30"/>
      <c r="Q3567" s="30"/>
      <c r="R3567" s="30"/>
      <c r="S3567" s="30"/>
      <c r="T3567" s="30"/>
      <c r="U3567" s="21" t="str">
        <f aca="false">IF(COUNT(K3567:T3567)=0,"SOURCE EMPTY / INDUSTRIAL ONLY",IF(MIN(K3567:T3567)=1,"SERVICE READY","HOLD"))</f>
        <v>SOURCE EMPTY / INDUSTRIAL ONLY</v>
      </c>
      <c r="V3567" s="9" t="n">
        <f aca="false">IF(U3567="SERVICE READY",1,0)</f>
        <v>0</v>
      </c>
      <c r="W3567" s="6"/>
      <c r="X3567" s="6"/>
      <c r="Y3567" s="6"/>
      <c r="Z3567" s="6"/>
    </row>
    <row r="3568" customFormat="false" ht="15" hidden="false" customHeight="false" outlineLevel="0" collapsed="false">
      <c r="A3568" s="9" t="s">
        <v>3848</v>
      </c>
      <c r="B3568" s="9" t="s">
        <v>3720</v>
      </c>
      <c r="C3568" s="9" t="s">
        <v>3721</v>
      </c>
      <c r="D3568" s="9" t="s">
        <v>3722</v>
      </c>
      <c r="E3568" s="9" t="s">
        <v>1660</v>
      </c>
      <c r="F3568" s="9" t="s">
        <v>197</v>
      </c>
      <c r="G3568" s="9" t="s">
        <v>221</v>
      </c>
      <c r="H3568" s="9" t="n">
        <v>1125</v>
      </c>
      <c r="I3568" s="29" t="n">
        <v>0.6</v>
      </c>
      <c r="J3568" s="9" t="n">
        <v>1</v>
      </c>
      <c r="K3568" s="30"/>
      <c r="L3568" s="30"/>
      <c r="M3568" s="30"/>
      <c r="N3568" s="30"/>
      <c r="O3568" s="30"/>
      <c r="P3568" s="30"/>
      <c r="Q3568" s="30"/>
      <c r="R3568" s="30"/>
      <c r="S3568" s="30"/>
      <c r="T3568" s="30"/>
      <c r="U3568" s="21" t="str">
        <f aca="false">IF(COUNT(K3568:T3568)=0,"SOURCE EMPTY / INDUSTRIAL ONLY",IF(MIN(K3568:T3568)=1,"SERVICE READY","HOLD"))</f>
        <v>SOURCE EMPTY / INDUSTRIAL ONLY</v>
      </c>
      <c r="V3568" s="9" t="n">
        <f aca="false">IF(U3568="SERVICE READY",1,0)</f>
        <v>0</v>
      </c>
      <c r="W3568" s="6"/>
      <c r="X3568" s="6"/>
      <c r="Y3568" s="6"/>
      <c r="Z3568" s="6"/>
    </row>
    <row r="3569" customFormat="false" ht="15" hidden="false" customHeight="false" outlineLevel="0" collapsed="false">
      <c r="A3569" s="9" t="s">
        <v>3849</v>
      </c>
      <c r="B3569" s="9" t="s">
        <v>3720</v>
      </c>
      <c r="C3569" s="9" t="s">
        <v>3721</v>
      </c>
      <c r="D3569" s="9" t="s">
        <v>3722</v>
      </c>
      <c r="E3569" s="9" t="s">
        <v>1660</v>
      </c>
      <c r="F3569" s="9" t="s">
        <v>200</v>
      </c>
      <c r="G3569" s="9" t="s">
        <v>221</v>
      </c>
      <c r="H3569" s="9" t="n">
        <v>1125</v>
      </c>
      <c r="I3569" s="29" t="n">
        <v>0.6</v>
      </c>
      <c r="J3569" s="9" t="n">
        <v>1</v>
      </c>
      <c r="K3569" s="30"/>
      <c r="L3569" s="30"/>
      <c r="M3569" s="30"/>
      <c r="N3569" s="30"/>
      <c r="O3569" s="30"/>
      <c r="P3569" s="30"/>
      <c r="Q3569" s="30"/>
      <c r="R3569" s="30"/>
      <c r="S3569" s="30"/>
      <c r="T3569" s="30"/>
      <c r="U3569" s="21" t="str">
        <f aca="false">IF(COUNT(K3569:T3569)=0,"SOURCE EMPTY / INDUSTRIAL ONLY",IF(MIN(K3569:T3569)=1,"SERVICE READY","HOLD"))</f>
        <v>SOURCE EMPTY / INDUSTRIAL ONLY</v>
      </c>
      <c r="V3569" s="9" t="n">
        <f aca="false">IF(U3569="SERVICE READY",1,0)</f>
        <v>0</v>
      </c>
      <c r="W3569" s="6"/>
      <c r="X3569" s="6"/>
      <c r="Y3569" s="6"/>
      <c r="Z3569" s="6"/>
    </row>
    <row r="3570" customFormat="false" ht="15" hidden="false" customHeight="false" outlineLevel="0" collapsed="false">
      <c r="A3570" s="9" t="s">
        <v>3850</v>
      </c>
      <c r="B3570" s="9" t="s">
        <v>3720</v>
      </c>
      <c r="C3570" s="9" t="s">
        <v>3721</v>
      </c>
      <c r="D3570" s="9" t="s">
        <v>3722</v>
      </c>
      <c r="E3570" s="9" t="s">
        <v>1660</v>
      </c>
      <c r="F3570" s="9" t="s">
        <v>203</v>
      </c>
      <c r="G3570" s="9" t="s">
        <v>221</v>
      </c>
      <c r="H3570" s="9" t="n">
        <v>1125</v>
      </c>
      <c r="I3570" s="29" t="n">
        <v>0.6</v>
      </c>
      <c r="J3570" s="9" t="n">
        <v>1</v>
      </c>
      <c r="K3570" s="30"/>
      <c r="L3570" s="30"/>
      <c r="M3570" s="30"/>
      <c r="N3570" s="30"/>
      <c r="O3570" s="30"/>
      <c r="P3570" s="30"/>
      <c r="Q3570" s="30"/>
      <c r="R3570" s="30"/>
      <c r="S3570" s="30"/>
      <c r="T3570" s="30"/>
      <c r="U3570" s="21" t="str">
        <f aca="false">IF(COUNT(K3570:T3570)=0,"SOURCE EMPTY / INDUSTRIAL ONLY",IF(MIN(K3570:T3570)=1,"SERVICE READY","HOLD"))</f>
        <v>SOURCE EMPTY / INDUSTRIAL ONLY</v>
      </c>
      <c r="V3570" s="9" t="n">
        <f aca="false">IF(U3570="SERVICE READY",1,0)</f>
        <v>0</v>
      </c>
      <c r="W3570" s="6"/>
      <c r="X3570" s="6"/>
      <c r="Y3570" s="6"/>
      <c r="Z3570" s="6"/>
    </row>
    <row r="3571" customFormat="false" ht="15" hidden="false" customHeight="false" outlineLevel="0" collapsed="false">
      <c r="A3571" s="9" t="s">
        <v>3851</v>
      </c>
      <c r="B3571" s="9" t="s">
        <v>3720</v>
      </c>
      <c r="C3571" s="9" t="s">
        <v>3721</v>
      </c>
      <c r="D3571" s="9" t="s">
        <v>3722</v>
      </c>
      <c r="E3571" s="9" t="s">
        <v>1660</v>
      </c>
      <c r="F3571" s="9" t="s">
        <v>205</v>
      </c>
      <c r="G3571" s="9" t="s">
        <v>221</v>
      </c>
      <c r="H3571" s="9" t="n">
        <v>1125</v>
      </c>
      <c r="I3571" s="29" t="n">
        <v>0.6</v>
      </c>
      <c r="J3571" s="9" t="n">
        <v>1</v>
      </c>
      <c r="K3571" s="30"/>
      <c r="L3571" s="30"/>
      <c r="M3571" s="30"/>
      <c r="N3571" s="30"/>
      <c r="O3571" s="30"/>
      <c r="P3571" s="30"/>
      <c r="Q3571" s="30"/>
      <c r="R3571" s="30"/>
      <c r="S3571" s="30"/>
      <c r="T3571" s="30"/>
      <c r="U3571" s="21" t="str">
        <f aca="false">IF(COUNT(K3571:T3571)=0,"SOURCE EMPTY / INDUSTRIAL ONLY",IF(MIN(K3571:T3571)=1,"SERVICE READY","HOLD"))</f>
        <v>SOURCE EMPTY / INDUSTRIAL ONLY</v>
      </c>
      <c r="V3571" s="9" t="n">
        <f aca="false">IF(U3571="SERVICE READY",1,0)</f>
        <v>0</v>
      </c>
      <c r="W3571" s="6"/>
      <c r="X3571" s="6"/>
      <c r="Y3571" s="6"/>
      <c r="Z3571" s="6"/>
    </row>
    <row r="3572" customFormat="false" ht="15" hidden="false" customHeight="false" outlineLevel="0" collapsed="false">
      <c r="A3572" s="9" t="s">
        <v>3852</v>
      </c>
      <c r="B3572" s="9" t="s">
        <v>3720</v>
      </c>
      <c r="C3572" s="9" t="s">
        <v>3721</v>
      </c>
      <c r="D3572" s="9" t="s">
        <v>3722</v>
      </c>
      <c r="E3572" s="9" t="s">
        <v>1660</v>
      </c>
      <c r="F3572" s="9" t="s">
        <v>207</v>
      </c>
      <c r="G3572" s="9" t="s">
        <v>221</v>
      </c>
      <c r="H3572" s="9" t="n">
        <v>1125</v>
      </c>
      <c r="I3572" s="29" t="n">
        <v>0.6</v>
      </c>
      <c r="J3572" s="9" t="n">
        <v>1</v>
      </c>
      <c r="K3572" s="30"/>
      <c r="L3572" s="30"/>
      <c r="M3572" s="30"/>
      <c r="N3572" s="30"/>
      <c r="O3572" s="30"/>
      <c r="P3572" s="30"/>
      <c r="Q3572" s="30"/>
      <c r="R3572" s="30"/>
      <c r="S3572" s="30"/>
      <c r="T3572" s="30"/>
      <c r="U3572" s="21" t="str">
        <f aca="false">IF(COUNT(K3572:T3572)=0,"SOURCE EMPTY / INDUSTRIAL ONLY",IF(MIN(K3572:T3572)=1,"SERVICE READY","HOLD"))</f>
        <v>SOURCE EMPTY / INDUSTRIAL ONLY</v>
      </c>
      <c r="V3572" s="9" t="n">
        <f aca="false">IF(U3572="SERVICE READY",1,0)</f>
        <v>0</v>
      </c>
      <c r="W3572" s="6"/>
      <c r="X3572" s="6"/>
      <c r="Y3572" s="6"/>
      <c r="Z3572" s="6"/>
    </row>
    <row r="3573" customFormat="false" ht="15" hidden="false" customHeight="false" outlineLevel="0" collapsed="false">
      <c r="A3573" s="9" t="s">
        <v>3853</v>
      </c>
      <c r="B3573" s="9" t="s">
        <v>3720</v>
      </c>
      <c r="C3573" s="9" t="s">
        <v>3721</v>
      </c>
      <c r="D3573" s="9" t="s">
        <v>3722</v>
      </c>
      <c r="E3573" s="9" t="s">
        <v>1660</v>
      </c>
      <c r="F3573" s="9" t="s">
        <v>209</v>
      </c>
      <c r="G3573" s="9" t="s">
        <v>221</v>
      </c>
      <c r="H3573" s="9" t="n">
        <v>1125</v>
      </c>
      <c r="I3573" s="29" t="n">
        <v>0.6</v>
      </c>
      <c r="J3573" s="9" t="n">
        <v>1</v>
      </c>
      <c r="K3573" s="30"/>
      <c r="L3573" s="30"/>
      <c r="M3573" s="30"/>
      <c r="N3573" s="30"/>
      <c r="O3573" s="30"/>
      <c r="P3573" s="30"/>
      <c r="Q3573" s="30"/>
      <c r="R3573" s="30"/>
      <c r="S3573" s="30"/>
      <c r="T3573" s="30"/>
      <c r="U3573" s="21" t="str">
        <f aca="false">IF(COUNT(K3573:T3573)=0,"SOURCE EMPTY / INDUSTRIAL ONLY",IF(MIN(K3573:T3573)=1,"SERVICE READY","HOLD"))</f>
        <v>SOURCE EMPTY / INDUSTRIAL ONLY</v>
      </c>
      <c r="V3573" s="9" t="n">
        <f aca="false">IF(U3573="SERVICE READY",1,0)</f>
        <v>0</v>
      </c>
      <c r="W3573" s="6"/>
      <c r="X3573" s="6"/>
      <c r="Y3573" s="6"/>
      <c r="Z3573" s="6"/>
    </row>
    <row r="3574" customFormat="false" ht="15" hidden="false" customHeight="false" outlineLevel="0" collapsed="false">
      <c r="A3574" s="9" t="s">
        <v>3854</v>
      </c>
      <c r="B3574" s="9" t="s">
        <v>3720</v>
      </c>
      <c r="C3574" s="9" t="s">
        <v>3721</v>
      </c>
      <c r="D3574" s="9" t="s">
        <v>3722</v>
      </c>
      <c r="E3574" s="9" t="s">
        <v>1660</v>
      </c>
      <c r="F3574" s="9" t="s">
        <v>211</v>
      </c>
      <c r="G3574" s="9" t="s">
        <v>221</v>
      </c>
      <c r="H3574" s="9" t="n">
        <v>1125</v>
      </c>
      <c r="I3574" s="29" t="n">
        <v>0.6</v>
      </c>
      <c r="J3574" s="9" t="n">
        <v>1</v>
      </c>
      <c r="K3574" s="30"/>
      <c r="L3574" s="30"/>
      <c r="M3574" s="30"/>
      <c r="N3574" s="30"/>
      <c r="O3574" s="30"/>
      <c r="P3574" s="30"/>
      <c r="Q3574" s="30"/>
      <c r="R3574" s="30"/>
      <c r="S3574" s="30"/>
      <c r="T3574" s="30"/>
      <c r="U3574" s="21" t="str">
        <f aca="false">IF(COUNT(K3574:T3574)=0,"SOURCE EMPTY / INDUSTRIAL ONLY",IF(MIN(K3574:T3574)=1,"SERVICE READY","HOLD"))</f>
        <v>SOURCE EMPTY / INDUSTRIAL ONLY</v>
      </c>
      <c r="V3574" s="9" t="n">
        <f aca="false">IF(U3574="SERVICE READY",1,0)</f>
        <v>0</v>
      </c>
      <c r="W3574" s="6"/>
      <c r="X3574" s="6"/>
      <c r="Y3574" s="6"/>
      <c r="Z3574" s="6"/>
    </row>
    <row r="3575" customFormat="false" ht="15" hidden="false" customHeight="false" outlineLevel="0" collapsed="false">
      <c r="A3575" s="9" t="s">
        <v>3855</v>
      </c>
      <c r="B3575" s="9" t="s">
        <v>3720</v>
      </c>
      <c r="C3575" s="9" t="s">
        <v>3721</v>
      </c>
      <c r="D3575" s="9" t="s">
        <v>3722</v>
      </c>
      <c r="E3575" s="9" t="s">
        <v>1660</v>
      </c>
      <c r="F3575" s="9" t="s">
        <v>197</v>
      </c>
      <c r="G3575" s="9" t="s">
        <v>221</v>
      </c>
      <c r="H3575" s="9" t="n">
        <v>1125</v>
      </c>
      <c r="I3575" s="29" t="n">
        <v>0.6</v>
      </c>
      <c r="J3575" s="9" t="n">
        <v>1</v>
      </c>
      <c r="K3575" s="30"/>
      <c r="L3575" s="30"/>
      <c r="M3575" s="30"/>
      <c r="N3575" s="30"/>
      <c r="O3575" s="30"/>
      <c r="P3575" s="30"/>
      <c r="Q3575" s="30"/>
      <c r="R3575" s="30"/>
      <c r="S3575" s="30"/>
      <c r="T3575" s="30"/>
      <c r="U3575" s="21" t="str">
        <f aca="false">IF(COUNT(K3575:T3575)=0,"SOURCE EMPTY / INDUSTRIAL ONLY",IF(MIN(K3575:T3575)=1,"SERVICE READY","HOLD"))</f>
        <v>SOURCE EMPTY / INDUSTRIAL ONLY</v>
      </c>
      <c r="V3575" s="9" t="n">
        <f aca="false">IF(U3575="SERVICE READY",1,0)</f>
        <v>0</v>
      </c>
      <c r="W3575" s="6"/>
      <c r="X3575" s="6"/>
      <c r="Y3575" s="6"/>
      <c r="Z3575" s="6"/>
    </row>
    <row r="3576" customFormat="false" ht="15" hidden="false" customHeight="false" outlineLevel="0" collapsed="false">
      <c r="A3576" s="9" t="s">
        <v>3856</v>
      </c>
      <c r="B3576" s="9" t="s">
        <v>3720</v>
      </c>
      <c r="C3576" s="9" t="s">
        <v>3721</v>
      </c>
      <c r="D3576" s="9" t="s">
        <v>3722</v>
      </c>
      <c r="E3576" s="9" t="s">
        <v>1660</v>
      </c>
      <c r="F3576" s="9" t="s">
        <v>200</v>
      </c>
      <c r="G3576" s="9" t="s">
        <v>221</v>
      </c>
      <c r="H3576" s="9" t="n">
        <v>1125</v>
      </c>
      <c r="I3576" s="29" t="n">
        <v>0.6</v>
      </c>
      <c r="J3576" s="9" t="n">
        <v>1</v>
      </c>
      <c r="K3576" s="30"/>
      <c r="L3576" s="30"/>
      <c r="M3576" s="30"/>
      <c r="N3576" s="30"/>
      <c r="O3576" s="30"/>
      <c r="P3576" s="30"/>
      <c r="Q3576" s="30"/>
      <c r="R3576" s="30"/>
      <c r="S3576" s="30"/>
      <c r="T3576" s="30"/>
      <c r="U3576" s="21" t="str">
        <f aca="false">IF(COUNT(K3576:T3576)=0,"SOURCE EMPTY / INDUSTRIAL ONLY",IF(MIN(K3576:T3576)=1,"SERVICE READY","HOLD"))</f>
        <v>SOURCE EMPTY / INDUSTRIAL ONLY</v>
      </c>
      <c r="V3576" s="9" t="n">
        <f aca="false">IF(U3576="SERVICE READY",1,0)</f>
        <v>0</v>
      </c>
      <c r="W3576" s="6"/>
      <c r="X3576" s="6"/>
      <c r="Y3576" s="6"/>
      <c r="Z3576" s="6"/>
    </row>
    <row r="3577" customFormat="false" ht="15" hidden="false" customHeight="false" outlineLevel="0" collapsed="false">
      <c r="A3577" s="9" t="s">
        <v>3857</v>
      </c>
      <c r="B3577" s="9" t="s">
        <v>3720</v>
      </c>
      <c r="C3577" s="9" t="s">
        <v>3721</v>
      </c>
      <c r="D3577" s="9" t="s">
        <v>3722</v>
      </c>
      <c r="E3577" s="9" t="s">
        <v>1660</v>
      </c>
      <c r="F3577" s="9" t="s">
        <v>203</v>
      </c>
      <c r="G3577" s="9" t="s">
        <v>221</v>
      </c>
      <c r="H3577" s="9" t="n">
        <v>1125</v>
      </c>
      <c r="I3577" s="29" t="n">
        <v>0.6</v>
      </c>
      <c r="J3577" s="9" t="n">
        <v>1</v>
      </c>
      <c r="K3577" s="30"/>
      <c r="L3577" s="30"/>
      <c r="M3577" s="30"/>
      <c r="N3577" s="30"/>
      <c r="O3577" s="30"/>
      <c r="P3577" s="30"/>
      <c r="Q3577" s="30"/>
      <c r="R3577" s="30"/>
      <c r="S3577" s="30"/>
      <c r="T3577" s="30"/>
      <c r="U3577" s="21" t="str">
        <f aca="false">IF(COUNT(K3577:T3577)=0,"SOURCE EMPTY / INDUSTRIAL ONLY",IF(MIN(K3577:T3577)=1,"SERVICE READY","HOLD"))</f>
        <v>SOURCE EMPTY / INDUSTRIAL ONLY</v>
      </c>
      <c r="V3577" s="9" t="n">
        <f aca="false">IF(U3577="SERVICE READY",1,0)</f>
        <v>0</v>
      </c>
      <c r="W3577" s="6"/>
      <c r="X3577" s="6"/>
      <c r="Y3577" s="6"/>
      <c r="Z3577" s="6"/>
    </row>
    <row r="3578" customFormat="false" ht="15" hidden="false" customHeight="false" outlineLevel="0" collapsed="false">
      <c r="A3578" s="9" t="s">
        <v>3858</v>
      </c>
      <c r="B3578" s="9" t="s">
        <v>3720</v>
      </c>
      <c r="C3578" s="9" t="s">
        <v>3721</v>
      </c>
      <c r="D3578" s="9" t="s">
        <v>3722</v>
      </c>
      <c r="E3578" s="9" t="s">
        <v>1660</v>
      </c>
      <c r="F3578" s="9" t="s">
        <v>205</v>
      </c>
      <c r="G3578" s="9" t="s">
        <v>221</v>
      </c>
      <c r="H3578" s="9" t="n">
        <v>1125</v>
      </c>
      <c r="I3578" s="29" t="n">
        <v>0.6</v>
      </c>
      <c r="J3578" s="9" t="n">
        <v>1</v>
      </c>
      <c r="K3578" s="30"/>
      <c r="L3578" s="30"/>
      <c r="M3578" s="30"/>
      <c r="N3578" s="30"/>
      <c r="O3578" s="30"/>
      <c r="P3578" s="30"/>
      <c r="Q3578" s="30"/>
      <c r="R3578" s="30"/>
      <c r="S3578" s="30"/>
      <c r="T3578" s="30"/>
      <c r="U3578" s="21" t="str">
        <f aca="false">IF(COUNT(K3578:T3578)=0,"SOURCE EMPTY / INDUSTRIAL ONLY",IF(MIN(K3578:T3578)=1,"SERVICE READY","HOLD"))</f>
        <v>SOURCE EMPTY / INDUSTRIAL ONLY</v>
      </c>
      <c r="V3578" s="9" t="n">
        <f aca="false">IF(U3578="SERVICE READY",1,0)</f>
        <v>0</v>
      </c>
      <c r="W3578" s="6"/>
      <c r="X3578" s="6"/>
      <c r="Y3578" s="6"/>
      <c r="Z3578" s="6"/>
    </row>
    <row r="3579" customFormat="false" ht="15" hidden="false" customHeight="false" outlineLevel="0" collapsed="false">
      <c r="A3579" s="9" t="s">
        <v>3859</v>
      </c>
      <c r="B3579" s="9" t="s">
        <v>3720</v>
      </c>
      <c r="C3579" s="9" t="s">
        <v>3721</v>
      </c>
      <c r="D3579" s="9" t="s">
        <v>3722</v>
      </c>
      <c r="E3579" s="9" t="s">
        <v>1660</v>
      </c>
      <c r="F3579" s="9" t="s">
        <v>207</v>
      </c>
      <c r="G3579" s="9" t="s">
        <v>221</v>
      </c>
      <c r="H3579" s="9" t="n">
        <v>1125</v>
      </c>
      <c r="I3579" s="29" t="n">
        <v>0.6</v>
      </c>
      <c r="J3579" s="9" t="n">
        <v>1</v>
      </c>
      <c r="K3579" s="30"/>
      <c r="L3579" s="30"/>
      <c r="M3579" s="30"/>
      <c r="N3579" s="30"/>
      <c r="O3579" s="30"/>
      <c r="P3579" s="30"/>
      <c r="Q3579" s="30"/>
      <c r="R3579" s="30"/>
      <c r="S3579" s="30"/>
      <c r="T3579" s="30"/>
      <c r="U3579" s="21" t="str">
        <f aca="false">IF(COUNT(K3579:T3579)=0,"SOURCE EMPTY / INDUSTRIAL ONLY",IF(MIN(K3579:T3579)=1,"SERVICE READY","HOLD"))</f>
        <v>SOURCE EMPTY / INDUSTRIAL ONLY</v>
      </c>
      <c r="V3579" s="9" t="n">
        <f aca="false">IF(U3579="SERVICE READY",1,0)</f>
        <v>0</v>
      </c>
      <c r="W3579" s="6"/>
      <c r="X3579" s="6"/>
      <c r="Y3579" s="6"/>
      <c r="Z3579" s="6"/>
    </row>
    <row r="3580" customFormat="false" ht="15" hidden="false" customHeight="false" outlineLevel="0" collapsed="false">
      <c r="A3580" s="9" t="s">
        <v>3860</v>
      </c>
      <c r="B3580" s="9" t="s">
        <v>3720</v>
      </c>
      <c r="C3580" s="9" t="s">
        <v>3721</v>
      </c>
      <c r="D3580" s="9" t="s">
        <v>3722</v>
      </c>
      <c r="E3580" s="9" t="s">
        <v>1660</v>
      </c>
      <c r="F3580" s="9" t="s">
        <v>209</v>
      </c>
      <c r="G3580" s="9" t="s">
        <v>221</v>
      </c>
      <c r="H3580" s="9" t="n">
        <v>1125</v>
      </c>
      <c r="I3580" s="29" t="n">
        <v>0.6</v>
      </c>
      <c r="J3580" s="9" t="n">
        <v>1</v>
      </c>
      <c r="K3580" s="30"/>
      <c r="L3580" s="30"/>
      <c r="M3580" s="30"/>
      <c r="N3580" s="30"/>
      <c r="O3580" s="30"/>
      <c r="P3580" s="30"/>
      <c r="Q3580" s="30"/>
      <c r="R3580" s="30"/>
      <c r="S3580" s="30"/>
      <c r="T3580" s="30"/>
      <c r="U3580" s="21" t="str">
        <f aca="false">IF(COUNT(K3580:T3580)=0,"SOURCE EMPTY / INDUSTRIAL ONLY",IF(MIN(K3580:T3580)=1,"SERVICE READY","HOLD"))</f>
        <v>SOURCE EMPTY / INDUSTRIAL ONLY</v>
      </c>
      <c r="V3580" s="9" t="n">
        <f aca="false">IF(U3580="SERVICE READY",1,0)</f>
        <v>0</v>
      </c>
      <c r="W3580" s="6"/>
      <c r="X3580" s="6"/>
      <c r="Y3580" s="6"/>
      <c r="Z3580" s="6"/>
    </row>
    <row r="3581" customFormat="false" ht="15" hidden="false" customHeight="false" outlineLevel="0" collapsed="false">
      <c r="A3581" s="9" t="s">
        <v>3861</v>
      </c>
      <c r="B3581" s="9" t="s">
        <v>3720</v>
      </c>
      <c r="C3581" s="9" t="s">
        <v>3721</v>
      </c>
      <c r="D3581" s="9" t="s">
        <v>3722</v>
      </c>
      <c r="E3581" s="9" t="s">
        <v>1660</v>
      </c>
      <c r="F3581" s="9" t="s">
        <v>211</v>
      </c>
      <c r="G3581" s="9" t="s">
        <v>221</v>
      </c>
      <c r="H3581" s="9" t="n">
        <v>1125</v>
      </c>
      <c r="I3581" s="29" t="n">
        <v>0.6</v>
      </c>
      <c r="J3581" s="9" t="n">
        <v>1</v>
      </c>
      <c r="K3581" s="30"/>
      <c r="L3581" s="30"/>
      <c r="M3581" s="30"/>
      <c r="N3581" s="30"/>
      <c r="O3581" s="30"/>
      <c r="P3581" s="30"/>
      <c r="Q3581" s="30"/>
      <c r="R3581" s="30"/>
      <c r="S3581" s="30"/>
      <c r="T3581" s="30"/>
      <c r="U3581" s="21" t="str">
        <f aca="false">IF(COUNT(K3581:T3581)=0,"SOURCE EMPTY / INDUSTRIAL ONLY",IF(MIN(K3581:T3581)=1,"SERVICE READY","HOLD"))</f>
        <v>SOURCE EMPTY / INDUSTRIAL ONLY</v>
      </c>
      <c r="V3581" s="9" t="n">
        <f aca="false">IF(U3581="SERVICE READY",1,0)</f>
        <v>0</v>
      </c>
      <c r="W3581" s="6"/>
      <c r="X3581" s="6"/>
      <c r="Y3581" s="6"/>
      <c r="Z3581" s="6"/>
    </row>
    <row r="3582" customFormat="false" ht="15" hidden="false" customHeight="false" outlineLevel="0" collapsed="false">
      <c r="A3582" s="9" t="s">
        <v>3862</v>
      </c>
      <c r="B3582" s="9" t="s">
        <v>3720</v>
      </c>
      <c r="C3582" s="9" t="s">
        <v>3721</v>
      </c>
      <c r="D3582" s="9" t="s">
        <v>3722</v>
      </c>
      <c r="E3582" s="9" t="s">
        <v>1660</v>
      </c>
      <c r="F3582" s="9" t="s">
        <v>197</v>
      </c>
      <c r="G3582" s="9" t="s">
        <v>221</v>
      </c>
      <c r="H3582" s="9" t="n">
        <v>1125</v>
      </c>
      <c r="I3582" s="29" t="n">
        <v>0.6</v>
      </c>
      <c r="J3582" s="9" t="n">
        <v>1</v>
      </c>
      <c r="K3582" s="30"/>
      <c r="L3582" s="30"/>
      <c r="M3582" s="30"/>
      <c r="N3582" s="30"/>
      <c r="O3582" s="30"/>
      <c r="P3582" s="30"/>
      <c r="Q3582" s="30"/>
      <c r="R3582" s="30"/>
      <c r="S3582" s="30"/>
      <c r="T3582" s="30"/>
      <c r="U3582" s="21" t="str">
        <f aca="false">IF(COUNT(K3582:T3582)=0,"SOURCE EMPTY / INDUSTRIAL ONLY",IF(MIN(K3582:T3582)=1,"SERVICE READY","HOLD"))</f>
        <v>SOURCE EMPTY / INDUSTRIAL ONLY</v>
      </c>
      <c r="V3582" s="9" t="n">
        <f aca="false">IF(U3582="SERVICE READY",1,0)</f>
        <v>0</v>
      </c>
      <c r="W3582" s="6"/>
      <c r="X3582" s="6"/>
      <c r="Y3582" s="6"/>
      <c r="Z3582" s="6"/>
    </row>
    <row r="3583" customFormat="false" ht="15" hidden="false" customHeight="false" outlineLevel="0" collapsed="false">
      <c r="A3583" s="9" t="s">
        <v>3863</v>
      </c>
      <c r="B3583" s="9" t="s">
        <v>3720</v>
      </c>
      <c r="C3583" s="9" t="s">
        <v>3721</v>
      </c>
      <c r="D3583" s="9" t="s">
        <v>3722</v>
      </c>
      <c r="E3583" s="9" t="s">
        <v>1660</v>
      </c>
      <c r="F3583" s="9" t="s">
        <v>200</v>
      </c>
      <c r="G3583" s="9" t="s">
        <v>221</v>
      </c>
      <c r="H3583" s="9" t="n">
        <v>1125</v>
      </c>
      <c r="I3583" s="29" t="n">
        <v>0.6</v>
      </c>
      <c r="J3583" s="9" t="n">
        <v>1</v>
      </c>
      <c r="K3583" s="30"/>
      <c r="L3583" s="30"/>
      <c r="M3583" s="30"/>
      <c r="N3583" s="30"/>
      <c r="O3583" s="30"/>
      <c r="P3583" s="30"/>
      <c r="Q3583" s="30"/>
      <c r="R3583" s="30"/>
      <c r="S3583" s="30"/>
      <c r="T3583" s="30"/>
      <c r="U3583" s="21" t="str">
        <f aca="false">IF(COUNT(K3583:T3583)=0,"SOURCE EMPTY / INDUSTRIAL ONLY",IF(MIN(K3583:T3583)=1,"SERVICE READY","HOLD"))</f>
        <v>SOURCE EMPTY / INDUSTRIAL ONLY</v>
      </c>
      <c r="V3583" s="9" t="n">
        <f aca="false">IF(U3583="SERVICE READY",1,0)</f>
        <v>0</v>
      </c>
      <c r="W3583" s="6"/>
      <c r="X3583" s="6"/>
      <c r="Y3583" s="6"/>
      <c r="Z3583" s="6"/>
    </row>
    <row r="3584" customFormat="false" ht="15" hidden="false" customHeight="false" outlineLevel="0" collapsed="false">
      <c r="A3584" s="9" t="s">
        <v>3864</v>
      </c>
      <c r="B3584" s="9" t="s">
        <v>3720</v>
      </c>
      <c r="C3584" s="9" t="s">
        <v>3721</v>
      </c>
      <c r="D3584" s="9" t="s">
        <v>3722</v>
      </c>
      <c r="E3584" s="9" t="s">
        <v>1660</v>
      </c>
      <c r="F3584" s="9" t="s">
        <v>203</v>
      </c>
      <c r="G3584" s="9" t="s">
        <v>221</v>
      </c>
      <c r="H3584" s="9" t="n">
        <v>1125</v>
      </c>
      <c r="I3584" s="29" t="n">
        <v>0.6</v>
      </c>
      <c r="J3584" s="9" t="n">
        <v>1</v>
      </c>
      <c r="K3584" s="30"/>
      <c r="L3584" s="30"/>
      <c r="M3584" s="30"/>
      <c r="N3584" s="30"/>
      <c r="O3584" s="30"/>
      <c r="P3584" s="30"/>
      <c r="Q3584" s="30"/>
      <c r="R3584" s="30"/>
      <c r="S3584" s="30"/>
      <c r="T3584" s="30"/>
      <c r="U3584" s="21" t="str">
        <f aca="false">IF(COUNT(K3584:T3584)=0,"SOURCE EMPTY / INDUSTRIAL ONLY",IF(MIN(K3584:T3584)=1,"SERVICE READY","HOLD"))</f>
        <v>SOURCE EMPTY / INDUSTRIAL ONLY</v>
      </c>
      <c r="V3584" s="9" t="n">
        <f aca="false">IF(U3584="SERVICE READY",1,0)</f>
        <v>0</v>
      </c>
      <c r="W3584" s="6"/>
      <c r="X3584" s="6"/>
      <c r="Y3584" s="6"/>
      <c r="Z3584" s="6"/>
    </row>
    <row r="3585" customFormat="false" ht="15" hidden="false" customHeight="false" outlineLevel="0" collapsed="false">
      <c r="A3585" s="9" t="s">
        <v>3865</v>
      </c>
      <c r="B3585" s="9" t="s">
        <v>3720</v>
      </c>
      <c r="C3585" s="9" t="s">
        <v>3721</v>
      </c>
      <c r="D3585" s="9" t="s">
        <v>3722</v>
      </c>
      <c r="E3585" s="9" t="s">
        <v>1660</v>
      </c>
      <c r="F3585" s="9" t="s">
        <v>205</v>
      </c>
      <c r="G3585" s="9" t="s">
        <v>221</v>
      </c>
      <c r="H3585" s="9" t="n">
        <v>1125</v>
      </c>
      <c r="I3585" s="29" t="n">
        <v>0.6</v>
      </c>
      <c r="J3585" s="9" t="n">
        <v>1</v>
      </c>
      <c r="K3585" s="30"/>
      <c r="L3585" s="30"/>
      <c r="M3585" s="30"/>
      <c r="N3585" s="30"/>
      <c r="O3585" s="30"/>
      <c r="P3585" s="30"/>
      <c r="Q3585" s="30"/>
      <c r="R3585" s="30"/>
      <c r="S3585" s="30"/>
      <c r="T3585" s="30"/>
      <c r="U3585" s="21" t="str">
        <f aca="false">IF(COUNT(K3585:T3585)=0,"SOURCE EMPTY / INDUSTRIAL ONLY",IF(MIN(K3585:T3585)=1,"SERVICE READY","HOLD"))</f>
        <v>SOURCE EMPTY / INDUSTRIAL ONLY</v>
      </c>
      <c r="V3585" s="9" t="n">
        <f aca="false">IF(U3585="SERVICE READY",1,0)</f>
        <v>0</v>
      </c>
      <c r="W3585" s="6"/>
      <c r="X3585" s="6"/>
      <c r="Y3585" s="6"/>
      <c r="Z3585" s="6"/>
    </row>
    <row r="3586" customFormat="false" ht="15" hidden="false" customHeight="false" outlineLevel="0" collapsed="false">
      <c r="A3586" s="9" t="s">
        <v>3866</v>
      </c>
      <c r="B3586" s="9" t="s">
        <v>3720</v>
      </c>
      <c r="C3586" s="9" t="s">
        <v>3721</v>
      </c>
      <c r="D3586" s="9" t="s">
        <v>3722</v>
      </c>
      <c r="E3586" s="9" t="s">
        <v>1660</v>
      </c>
      <c r="F3586" s="9" t="s">
        <v>207</v>
      </c>
      <c r="G3586" s="9" t="s">
        <v>221</v>
      </c>
      <c r="H3586" s="9" t="n">
        <v>1125</v>
      </c>
      <c r="I3586" s="29" t="n">
        <v>0.6</v>
      </c>
      <c r="J3586" s="9" t="n">
        <v>1</v>
      </c>
      <c r="K3586" s="30"/>
      <c r="L3586" s="30"/>
      <c r="M3586" s="30"/>
      <c r="N3586" s="30"/>
      <c r="O3586" s="30"/>
      <c r="P3586" s="30"/>
      <c r="Q3586" s="30"/>
      <c r="R3586" s="30"/>
      <c r="S3586" s="30"/>
      <c r="T3586" s="30"/>
      <c r="U3586" s="21" t="str">
        <f aca="false">IF(COUNT(K3586:T3586)=0,"SOURCE EMPTY / INDUSTRIAL ONLY",IF(MIN(K3586:T3586)=1,"SERVICE READY","HOLD"))</f>
        <v>SOURCE EMPTY / INDUSTRIAL ONLY</v>
      </c>
      <c r="V3586" s="9" t="n">
        <f aca="false">IF(U3586="SERVICE READY",1,0)</f>
        <v>0</v>
      </c>
      <c r="W3586" s="6"/>
      <c r="X3586" s="6"/>
      <c r="Y3586" s="6"/>
      <c r="Z3586" s="6"/>
    </row>
    <row r="3587" customFormat="false" ht="15" hidden="false" customHeight="false" outlineLevel="0" collapsed="false">
      <c r="A3587" s="9" t="s">
        <v>3867</v>
      </c>
      <c r="B3587" s="9" t="s">
        <v>3720</v>
      </c>
      <c r="C3587" s="9" t="s">
        <v>3721</v>
      </c>
      <c r="D3587" s="9" t="s">
        <v>3722</v>
      </c>
      <c r="E3587" s="9" t="s">
        <v>1660</v>
      </c>
      <c r="F3587" s="9" t="s">
        <v>209</v>
      </c>
      <c r="G3587" s="9" t="s">
        <v>221</v>
      </c>
      <c r="H3587" s="9" t="n">
        <v>1125</v>
      </c>
      <c r="I3587" s="29" t="n">
        <v>0.6</v>
      </c>
      <c r="J3587" s="9" t="n">
        <v>1</v>
      </c>
      <c r="K3587" s="30"/>
      <c r="L3587" s="30"/>
      <c r="M3587" s="30"/>
      <c r="N3587" s="30"/>
      <c r="O3587" s="30"/>
      <c r="P3587" s="30"/>
      <c r="Q3587" s="30"/>
      <c r="R3587" s="30"/>
      <c r="S3587" s="30"/>
      <c r="T3587" s="30"/>
      <c r="U3587" s="21" t="str">
        <f aca="false">IF(COUNT(K3587:T3587)=0,"SOURCE EMPTY / INDUSTRIAL ONLY",IF(MIN(K3587:T3587)=1,"SERVICE READY","HOLD"))</f>
        <v>SOURCE EMPTY / INDUSTRIAL ONLY</v>
      </c>
      <c r="V3587" s="9" t="n">
        <f aca="false">IF(U3587="SERVICE READY",1,0)</f>
        <v>0</v>
      </c>
      <c r="W3587" s="6"/>
      <c r="X3587" s="6"/>
      <c r="Y3587" s="6"/>
      <c r="Z3587" s="6"/>
    </row>
    <row r="3588" customFormat="false" ht="15" hidden="false" customHeight="false" outlineLevel="0" collapsed="false">
      <c r="A3588" s="9" t="s">
        <v>3868</v>
      </c>
      <c r="B3588" s="9" t="s">
        <v>3720</v>
      </c>
      <c r="C3588" s="9" t="s">
        <v>3721</v>
      </c>
      <c r="D3588" s="9" t="s">
        <v>3722</v>
      </c>
      <c r="E3588" s="9" t="s">
        <v>1660</v>
      </c>
      <c r="F3588" s="9" t="s">
        <v>211</v>
      </c>
      <c r="G3588" s="9" t="s">
        <v>221</v>
      </c>
      <c r="H3588" s="9" t="n">
        <v>1125</v>
      </c>
      <c r="I3588" s="29" t="n">
        <v>0.6</v>
      </c>
      <c r="J3588" s="9" t="n">
        <v>1</v>
      </c>
      <c r="K3588" s="30"/>
      <c r="L3588" s="30"/>
      <c r="M3588" s="30"/>
      <c r="N3588" s="30"/>
      <c r="O3588" s="30"/>
      <c r="P3588" s="30"/>
      <c r="Q3588" s="30"/>
      <c r="R3588" s="30"/>
      <c r="S3588" s="30"/>
      <c r="T3588" s="30"/>
      <c r="U3588" s="21" t="str">
        <f aca="false">IF(COUNT(K3588:T3588)=0,"SOURCE EMPTY / INDUSTRIAL ONLY",IF(MIN(K3588:T3588)=1,"SERVICE READY","HOLD"))</f>
        <v>SOURCE EMPTY / INDUSTRIAL ONLY</v>
      </c>
      <c r="V3588" s="9" t="n">
        <f aca="false">IF(U3588="SERVICE READY",1,0)</f>
        <v>0</v>
      </c>
      <c r="W3588" s="6"/>
      <c r="X3588" s="6"/>
      <c r="Y3588" s="6"/>
      <c r="Z3588" s="6"/>
    </row>
    <row r="3589" customFormat="false" ht="15" hidden="false" customHeight="false" outlineLevel="0" collapsed="false">
      <c r="A3589" s="9" t="s">
        <v>3869</v>
      </c>
      <c r="B3589" s="9" t="s">
        <v>3720</v>
      </c>
      <c r="C3589" s="9" t="s">
        <v>3721</v>
      </c>
      <c r="D3589" s="9" t="s">
        <v>3722</v>
      </c>
      <c r="E3589" s="9" t="s">
        <v>1660</v>
      </c>
      <c r="F3589" s="9" t="s">
        <v>197</v>
      </c>
      <c r="G3589" s="9" t="s">
        <v>221</v>
      </c>
      <c r="H3589" s="9" t="n">
        <v>1125</v>
      </c>
      <c r="I3589" s="29" t="n">
        <v>0.6</v>
      </c>
      <c r="J3589" s="9" t="n">
        <v>1</v>
      </c>
      <c r="K3589" s="30"/>
      <c r="L3589" s="30"/>
      <c r="M3589" s="30"/>
      <c r="N3589" s="30"/>
      <c r="O3589" s="30"/>
      <c r="P3589" s="30"/>
      <c r="Q3589" s="30"/>
      <c r="R3589" s="30"/>
      <c r="S3589" s="30"/>
      <c r="T3589" s="30"/>
      <c r="U3589" s="21" t="str">
        <f aca="false">IF(COUNT(K3589:T3589)=0,"SOURCE EMPTY / INDUSTRIAL ONLY",IF(MIN(K3589:T3589)=1,"SERVICE READY","HOLD"))</f>
        <v>SOURCE EMPTY / INDUSTRIAL ONLY</v>
      </c>
      <c r="V3589" s="9" t="n">
        <f aca="false">IF(U3589="SERVICE READY",1,0)</f>
        <v>0</v>
      </c>
      <c r="W3589" s="6"/>
      <c r="X3589" s="6"/>
      <c r="Y3589" s="6"/>
      <c r="Z3589" s="6"/>
    </row>
    <row r="3590" customFormat="false" ht="15" hidden="false" customHeight="false" outlineLevel="0" collapsed="false">
      <c r="A3590" s="9" t="s">
        <v>3870</v>
      </c>
      <c r="B3590" s="9" t="s">
        <v>3720</v>
      </c>
      <c r="C3590" s="9" t="s">
        <v>3721</v>
      </c>
      <c r="D3590" s="9" t="s">
        <v>3722</v>
      </c>
      <c r="E3590" s="9" t="s">
        <v>1660</v>
      </c>
      <c r="F3590" s="9" t="s">
        <v>200</v>
      </c>
      <c r="G3590" s="9" t="s">
        <v>221</v>
      </c>
      <c r="H3590" s="9" t="n">
        <v>1125</v>
      </c>
      <c r="I3590" s="29" t="n">
        <v>0.6</v>
      </c>
      <c r="J3590" s="9" t="n">
        <v>1</v>
      </c>
      <c r="K3590" s="30"/>
      <c r="L3590" s="30"/>
      <c r="M3590" s="30"/>
      <c r="N3590" s="30"/>
      <c r="O3590" s="30"/>
      <c r="P3590" s="30"/>
      <c r="Q3590" s="30"/>
      <c r="R3590" s="30"/>
      <c r="S3590" s="30"/>
      <c r="T3590" s="30"/>
      <c r="U3590" s="21" t="str">
        <f aca="false">IF(COUNT(K3590:T3590)=0,"SOURCE EMPTY / INDUSTRIAL ONLY",IF(MIN(K3590:T3590)=1,"SERVICE READY","HOLD"))</f>
        <v>SOURCE EMPTY / INDUSTRIAL ONLY</v>
      </c>
      <c r="V3590" s="9" t="n">
        <f aca="false">IF(U3590="SERVICE READY",1,0)</f>
        <v>0</v>
      </c>
      <c r="W3590" s="6"/>
      <c r="X3590" s="6"/>
      <c r="Y3590" s="6"/>
      <c r="Z3590" s="6"/>
    </row>
    <row r="3591" customFormat="false" ht="15" hidden="false" customHeight="false" outlineLevel="0" collapsed="false">
      <c r="A3591" s="9" t="s">
        <v>3871</v>
      </c>
      <c r="B3591" s="9" t="s">
        <v>3720</v>
      </c>
      <c r="C3591" s="9" t="s">
        <v>3721</v>
      </c>
      <c r="D3591" s="9" t="s">
        <v>3722</v>
      </c>
      <c r="E3591" s="9" t="s">
        <v>1660</v>
      </c>
      <c r="F3591" s="9" t="s">
        <v>203</v>
      </c>
      <c r="G3591" s="9" t="s">
        <v>221</v>
      </c>
      <c r="H3591" s="9" t="n">
        <v>1125</v>
      </c>
      <c r="I3591" s="29" t="n">
        <v>0.6</v>
      </c>
      <c r="J3591" s="9" t="n">
        <v>1</v>
      </c>
      <c r="K3591" s="30"/>
      <c r="L3591" s="30"/>
      <c r="M3591" s="30"/>
      <c r="N3591" s="30"/>
      <c r="O3591" s="30"/>
      <c r="P3591" s="30"/>
      <c r="Q3591" s="30"/>
      <c r="R3591" s="30"/>
      <c r="S3591" s="30"/>
      <c r="T3591" s="30"/>
      <c r="U3591" s="21" t="str">
        <f aca="false">IF(COUNT(K3591:T3591)=0,"SOURCE EMPTY / INDUSTRIAL ONLY",IF(MIN(K3591:T3591)=1,"SERVICE READY","HOLD"))</f>
        <v>SOURCE EMPTY / INDUSTRIAL ONLY</v>
      </c>
      <c r="V3591" s="9" t="n">
        <f aca="false">IF(U3591="SERVICE READY",1,0)</f>
        <v>0</v>
      </c>
      <c r="W3591" s="6"/>
      <c r="X3591" s="6"/>
      <c r="Y3591" s="6"/>
      <c r="Z3591" s="6"/>
    </row>
    <row r="3592" customFormat="false" ht="15" hidden="false" customHeight="false" outlineLevel="0" collapsed="false">
      <c r="A3592" s="9" t="s">
        <v>3872</v>
      </c>
      <c r="B3592" s="9" t="s">
        <v>3720</v>
      </c>
      <c r="C3592" s="9" t="s">
        <v>3721</v>
      </c>
      <c r="D3592" s="9" t="s">
        <v>3722</v>
      </c>
      <c r="E3592" s="9" t="s">
        <v>1660</v>
      </c>
      <c r="F3592" s="9" t="s">
        <v>205</v>
      </c>
      <c r="G3592" s="9" t="s">
        <v>221</v>
      </c>
      <c r="H3592" s="9" t="n">
        <v>1125</v>
      </c>
      <c r="I3592" s="29" t="n">
        <v>0.6</v>
      </c>
      <c r="J3592" s="9" t="n">
        <v>1</v>
      </c>
      <c r="K3592" s="30"/>
      <c r="L3592" s="30"/>
      <c r="M3592" s="30"/>
      <c r="N3592" s="30"/>
      <c r="O3592" s="30"/>
      <c r="P3592" s="30"/>
      <c r="Q3592" s="30"/>
      <c r="R3592" s="30"/>
      <c r="S3592" s="30"/>
      <c r="T3592" s="30"/>
      <c r="U3592" s="21" t="str">
        <f aca="false">IF(COUNT(K3592:T3592)=0,"SOURCE EMPTY / INDUSTRIAL ONLY",IF(MIN(K3592:T3592)=1,"SERVICE READY","HOLD"))</f>
        <v>SOURCE EMPTY / INDUSTRIAL ONLY</v>
      </c>
      <c r="V3592" s="9" t="n">
        <f aca="false">IF(U3592="SERVICE READY",1,0)</f>
        <v>0</v>
      </c>
      <c r="W3592" s="6"/>
      <c r="X3592" s="6"/>
      <c r="Y3592" s="6"/>
      <c r="Z3592" s="6"/>
    </row>
    <row r="3593" customFormat="false" ht="15" hidden="false" customHeight="false" outlineLevel="0" collapsed="false">
      <c r="A3593" s="9" t="s">
        <v>3873</v>
      </c>
      <c r="B3593" s="9" t="s">
        <v>3720</v>
      </c>
      <c r="C3593" s="9" t="s">
        <v>3721</v>
      </c>
      <c r="D3593" s="9" t="s">
        <v>3722</v>
      </c>
      <c r="E3593" s="9" t="s">
        <v>1660</v>
      </c>
      <c r="F3593" s="9" t="s">
        <v>207</v>
      </c>
      <c r="G3593" s="9" t="s">
        <v>221</v>
      </c>
      <c r="H3593" s="9" t="n">
        <v>1125</v>
      </c>
      <c r="I3593" s="29" t="n">
        <v>0.6</v>
      </c>
      <c r="J3593" s="9" t="n">
        <v>1</v>
      </c>
      <c r="K3593" s="30"/>
      <c r="L3593" s="30"/>
      <c r="M3593" s="30"/>
      <c r="N3593" s="30"/>
      <c r="O3593" s="30"/>
      <c r="P3593" s="30"/>
      <c r="Q3593" s="30"/>
      <c r="R3593" s="30"/>
      <c r="S3593" s="30"/>
      <c r="T3593" s="30"/>
      <c r="U3593" s="21" t="str">
        <f aca="false">IF(COUNT(K3593:T3593)=0,"SOURCE EMPTY / INDUSTRIAL ONLY",IF(MIN(K3593:T3593)=1,"SERVICE READY","HOLD"))</f>
        <v>SOURCE EMPTY / INDUSTRIAL ONLY</v>
      </c>
      <c r="V3593" s="9" t="n">
        <f aca="false">IF(U3593="SERVICE READY",1,0)</f>
        <v>0</v>
      </c>
      <c r="W3593" s="6"/>
      <c r="X3593" s="6"/>
      <c r="Y3593" s="6"/>
      <c r="Z3593" s="6"/>
    </row>
    <row r="3594" customFormat="false" ht="15" hidden="false" customHeight="false" outlineLevel="0" collapsed="false">
      <c r="A3594" s="9" t="s">
        <v>3874</v>
      </c>
      <c r="B3594" s="9" t="s">
        <v>3720</v>
      </c>
      <c r="C3594" s="9" t="s">
        <v>3721</v>
      </c>
      <c r="D3594" s="9" t="s">
        <v>3722</v>
      </c>
      <c r="E3594" s="9" t="s">
        <v>1660</v>
      </c>
      <c r="F3594" s="9" t="s">
        <v>209</v>
      </c>
      <c r="G3594" s="9" t="s">
        <v>221</v>
      </c>
      <c r="H3594" s="9" t="n">
        <v>1125</v>
      </c>
      <c r="I3594" s="29" t="n">
        <v>0.6</v>
      </c>
      <c r="J3594" s="9" t="n">
        <v>1</v>
      </c>
      <c r="K3594" s="30"/>
      <c r="L3594" s="30"/>
      <c r="M3594" s="30"/>
      <c r="N3594" s="30"/>
      <c r="O3594" s="30"/>
      <c r="P3594" s="30"/>
      <c r="Q3594" s="30"/>
      <c r="R3594" s="30"/>
      <c r="S3594" s="30"/>
      <c r="T3594" s="30"/>
      <c r="U3594" s="21" t="str">
        <f aca="false">IF(COUNT(K3594:T3594)=0,"SOURCE EMPTY / INDUSTRIAL ONLY",IF(MIN(K3594:T3594)=1,"SERVICE READY","HOLD"))</f>
        <v>SOURCE EMPTY / INDUSTRIAL ONLY</v>
      </c>
      <c r="V3594" s="9" t="n">
        <f aca="false">IF(U3594="SERVICE READY",1,0)</f>
        <v>0</v>
      </c>
      <c r="W3594" s="6"/>
      <c r="X3594" s="6"/>
      <c r="Y3594" s="6"/>
      <c r="Z3594" s="6"/>
    </row>
    <row r="3595" customFormat="false" ht="15" hidden="false" customHeight="false" outlineLevel="0" collapsed="false">
      <c r="A3595" s="9" t="s">
        <v>3875</v>
      </c>
      <c r="B3595" s="9" t="s">
        <v>3720</v>
      </c>
      <c r="C3595" s="9" t="s">
        <v>3721</v>
      </c>
      <c r="D3595" s="9" t="s">
        <v>3722</v>
      </c>
      <c r="E3595" s="9" t="s">
        <v>1660</v>
      </c>
      <c r="F3595" s="9" t="s">
        <v>211</v>
      </c>
      <c r="G3595" s="9" t="s">
        <v>221</v>
      </c>
      <c r="H3595" s="9" t="n">
        <v>1125</v>
      </c>
      <c r="I3595" s="29" t="n">
        <v>0.6</v>
      </c>
      <c r="J3595" s="9" t="n">
        <v>1</v>
      </c>
      <c r="K3595" s="30"/>
      <c r="L3595" s="30"/>
      <c r="M3595" s="30"/>
      <c r="N3595" s="30"/>
      <c r="O3595" s="30"/>
      <c r="P3595" s="30"/>
      <c r="Q3595" s="30"/>
      <c r="R3595" s="30"/>
      <c r="S3595" s="30"/>
      <c r="T3595" s="30"/>
      <c r="U3595" s="21" t="str">
        <f aca="false">IF(COUNT(K3595:T3595)=0,"SOURCE EMPTY / INDUSTRIAL ONLY",IF(MIN(K3595:T3595)=1,"SERVICE READY","HOLD"))</f>
        <v>SOURCE EMPTY / INDUSTRIAL ONLY</v>
      </c>
      <c r="V3595" s="9" t="n">
        <f aca="false">IF(U3595="SERVICE READY",1,0)</f>
        <v>0</v>
      </c>
      <c r="W3595" s="6"/>
      <c r="X3595" s="6"/>
      <c r="Y3595" s="6"/>
      <c r="Z3595" s="6"/>
    </row>
    <row r="3596" customFormat="false" ht="15" hidden="false" customHeight="false" outlineLevel="0" collapsed="false">
      <c r="A3596" s="9" t="s">
        <v>3876</v>
      </c>
      <c r="B3596" s="9" t="s">
        <v>3720</v>
      </c>
      <c r="C3596" s="9" t="s">
        <v>3721</v>
      </c>
      <c r="D3596" s="9" t="s">
        <v>3722</v>
      </c>
      <c r="E3596" s="9" t="s">
        <v>1660</v>
      </c>
      <c r="F3596" s="9" t="s">
        <v>197</v>
      </c>
      <c r="G3596" s="9" t="s">
        <v>221</v>
      </c>
      <c r="H3596" s="9" t="n">
        <v>1125</v>
      </c>
      <c r="I3596" s="29" t="n">
        <v>0.6</v>
      </c>
      <c r="J3596" s="9" t="n">
        <v>1</v>
      </c>
      <c r="K3596" s="30"/>
      <c r="L3596" s="30"/>
      <c r="M3596" s="30"/>
      <c r="N3596" s="30"/>
      <c r="O3596" s="30"/>
      <c r="P3596" s="30"/>
      <c r="Q3596" s="30"/>
      <c r="R3596" s="30"/>
      <c r="S3596" s="30"/>
      <c r="T3596" s="30"/>
      <c r="U3596" s="21" t="str">
        <f aca="false">IF(COUNT(K3596:T3596)=0,"SOURCE EMPTY / INDUSTRIAL ONLY",IF(MIN(K3596:T3596)=1,"SERVICE READY","HOLD"))</f>
        <v>SOURCE EMPTY / INDUSTRIAL ONLY</v>
      </c>
      <c r="V3596" s="9" t="n">
        <f aca="false">IF(U3596="SERVICE READY",1,0)</f>
        <v>0</v>
      </c>
      <c r="W3596" s="6"/>
      <c r="X3596" s="6"/>
      <c r="Y3596" s="6"/>
      <c r="Z3596" s="6"/>
    </row>
    <row r="3597" customFormat="false" ht="15" hidden="false" customHeight="false" outlineLevel="0" collapsed="false">
      <c r="A3597" s="9" t="s">
        <v>3877</v>
      </c>
      <c r="B3597" s="9" t="s">
        <v>3720</v>
      </c>
      <c r="C3597" s="9" t="s">
        <v>3721</v>
      </c>
      <c r="D3597" s="9" t="s">
        <v>3722</v>
      </c>
      <c r="E3597" s="9" t="s">
        <v>1660</v>
      </c>
      <c r="F3597" s="9" t="s">
        <v>200</v>
      </c>
      <c r="G3597" s="9" t="s">
        <v>221</v>
      </c>
      <c r="H3597" s="9" t="n">
        <v>1125</v>
      </c>
      <c r="I3597" s="29" t="n">
        <v>0.6</v>
      </c>
      <c r="J3597" s="9" t="n">
        <v>1</v>
      </c>
      <c r="K3597" s="30"/>
      <c r="L3597" s="30"/>
      <c r="M3597" s="30"/>
      <c r="N3597" s="30"/>
      <c r="O3597" s="30"/>
      <c r="P3597" s="30"/>
      <c r="Q3597" s="30"/>
      <c r="R3597" s="30"/>
      <c r="S3597" s="30"/>
      <c r="T3597" s="30"/>
      <c r="U3597" s="21" t="str">
        <f aca="false">IF(COUNT(K3597:T3597)=0,"SOURCE EMPTY / INDUSTRIAL ONLY",IF(MIN(K3597:T3597)=1,"SERVICE READY","HOLD"))</f>
        <v>SOURCE EMPTY / INDUSTRIAL ONLY</v>
      </c>
      <c r="V3597" s="9" t="n">
        <f aca="false">IF(U3597="SERVICE READY",1,0)</f>
        <v>0</v>
      </c>
      <c r="W3597" s="6"/>
      <c r="X3597" s="6"/>
      <c r="Y3597" s="6"/>
      <c r="Z3597" s="6"/>
    </row>
    <row r="3598" customFormat="false" ht="15" hidden="false" customHeight="false" outlineLevel="0" collapsed="false">
      <c r="A3598" s="9" t="s">
        <v>3878</v>
      </c>
      <c r="B3598" s="9" t="s">
        <v>3720</v>
      </c>
      <c r="C3598" s="9" t="s">
        <v>3721</v>
      </c>
      <c r="D3598" s="9" t="s">
        <v>3722</v>
      </c>
      <c r="E3598" s="9" t="s">
        <v>1660</v>
      </c>
      <c r="F3598" s="9" t="s">
        <v>203</v>
      </c>
      <c r="G3598" s="9" t="s">
        <v>221</v>
      </c>
      <c r="H3598" s="9" t="n">
        <v>1125</v>
      </c>
      <c r="I3598" s="29" t="n">
        <v>0.6</v>
      </c>
      <c r="J3598" s="9" t="n">
        <v>1</v>
      </c>
      <c r="K3598" s="30"/>
      <c r="L3598" s="30"/>
      <c r="M3598" s="30"/>
      <c r="N3598" s="30"/>
      <c r="O3598" s="30"/>
      <c r="P3598" s="30"/>
      <c r="Q3598" s="30"/>
      <c r="R3598" s="30"/>
      <c r="S3598" s="30"/>
      <c r="T3598" s="30"/>
      <c r="U3598" s="21" t="str">
        <f aca="false">IF(COUNT(K3598:T3598)=0,"SOURCE EMPTY / INDUSTRIAL ONLY",IF(MIN(K3598:T3598)=1,"SERVICE READY","HOLD"))</f>
        <v>SOURCE EMPTY / INDUSTRIAL ONLY</v>
      </c>
      <c r="V3598" s="9" t="n">
        <f aca="false">IF(U3598="SERVICE READY",1,0)</f>
        <v>0</v>
      </c>
      <c r="W3598" s="6"/>
      <c r="X3598" s="6"/>
      <c r="Y3598" s="6"/>
      <c r="Z3598" s="6"/>
    </row>
    <row r="3599" customFormat="false" ht="15" hidden="false" customHeight="false" outlineLevel="0" collapsed="false">
      <c r="A3599" s="9" t="s">
        <v>3879</v>
      </c>
      <c r="B3599" s="9" t="s">
        <v>3720</v>
      </c>
      <c r="C3599" s="9" t="s">
        <v>3721</v>
      </c>
      <c r="D3599" s="9" t="s">
        <v>3722</v>
      </c>
      <c r="E3599" s="9" t="s">
        <v>1660</v>
      </c>
      <c r="F3599" s="9" t="s">
        <v>205</v>
      </c>
      <c r="G3599" s="9" t="s">
        <v>221</v>
      </c>
      <c r="H3599" s="9" t="n">
        <v>1125</v>
      </c>
      <c r="I3599" s="29" t="n">
        <v>0.6</v>
      </c>
      <c r="J3599" s="9" t="n">
        <v>1</v>
      </c>
      <c r="K3599" s="30"/>
      <c r="L3599" s="30"/>
      <c r="M3599" s="30"/>
      <c r="N3599" s="30"/>
      <c r="O3599" s="30"/>
      <c r="P3599" s="30"/>
      <c r="Q3599" s="30"/>
      <c r="R3599" s="30"/>
      <c r="S3599" s="30"/>
      <c r="T3599" s="30"/>
      <c r="U3599" s="21" t="str">
        <f aca="false">IF(COUNT(K3599:T3599)=0,"SOURCE EMPTY / INDUSTRIAL ONLY",IF(MIN(K3599:T3599)=1,"SERVICE READY","HOLD"))</f>
        <v>SOURCE EMPTY / INDUSTRIAL ONLY</v>
      </c>
      <c r="V3599" s="9" t="n">
        <f aca="false">IF(U3599="SERVICE READY",1,0)</f>
        <v>0</v>
      </c>
      <c r="W3599" s="6"/>
      <c r="X3599" s="6"/>
      <c r="Y3599" s="6"/>
      <c r="Z3599" s="6"/>
    </row>
    <row r="3600" customFormat="false" ht="15" hidden="false" customHeight="false" outlineLevel="0" collapsed="false">
      <c r="A3600" s="9" t="s">
        <v>3880</v>
      </c>
      <c r="B3600" s="9" t="s">
        <v>3720</v>
      </c>
      <c r="C3600" s="9" t="s">
        <v>3721</v>
      </c>
      <c r="D3600" s="9" t="s">
        <v>3722</v>
      </c>
      <c r="E3600" s="9" t="s">
        <v>1660</v>
      </c>
      <c r="F3600" s="9" t="s">
        <v>207</v>
      </c>
      <c r="G3600" s="9" t="s">
        <v>221</v>
      </c>
      <c r="H3600" s="9" t="n">
        <v>1125</v>
      </c>
      <c r="I3600" s="29" t="n">
        <v>0.6</v>
      </c>
      <c r="J3600" s="9" t="n">
        <v>1</v>
      </c>
      <c r="K3600" s="30"/>
      <c r="L3600" s="30"/>
      <c r="M3600" s="30"/>
      <c r="N3600" s="30"/>
      <c r="O3600" s="30"/>
      <c r="P3600" s="30"/>
      <c r="Q3600" s="30"/>
      <c r="R3600" s="30"/>
      <c r="S3600" s="30"/>
      <c r="T3600" s="30"/>
      <c r="U3600" s="21" t="str">
        <f aca="false">IF(COUNT(K3600:T3600)=0,"SOURCE EMPTY / INDUSTRIAL ONLY",IF(MIN(K3600:T3600)=1,"SERVICE READY","HOLD"))</f>
        <v>SOURCE EMPTY / INDUSTRIAL ONLY</v>
      </c>
      <c r="V3600" s="9" t="n">
        <f aca="false">IF(U3600="SERVICE READY",1,0)</f>
        <v>0</v>
      </c>
      <c r="W3600" s="6"/>
      <c r="X3600" s="6"/>
      <c r="Y3600" s="6"/>
      <c r="Z3600" s="6"/>
    </row>
    <row r="3601" customFormat="false" ht="15" hidden="false" customHeight="false" outlineLevel="0" collapsed="false">
      <c r="A3601" s="9" t="s">
        <v>3881</v>
      </c>
      <c r="B3601" s="9" t="s">
        <v>3720</v>
      </c>
      <c r="C3601" s="9" t="s">
        <v>3721</v>
      </c>
      <c r="D3601" s="9" t="s">
        <v>3722</v>
      </c>
      <c r="E3601" s="9" t="s">
        <v>1660</v>
      </c>
      <c r="F3601" s="9" t="s">
        <v>209</v>
      </c>
      <c r="G3601" s="9" t="s">
        <v>221</v>
      </c>
      <c r="H3601" s="9" t="n">
        <v>1125</v>
      </c>
      <c r="I3601" s="29" t="n">
        <v>0.6</v>
      </c>
      <c r="J3601" s="9" t="n">
        <v>1</v>
      </c>
      <c r="K3601" s="30"/>
      <c r="L3601" s="30"/>
      <c r="M3601" s="30"/>
      <c r="N3601" s="30"/>
      <c r="O3601" s="30"/>
      <c r="P3601" s="30"/>
      <c r="Q3601" s="30"/>
      <c r="R3601" s="30"/>
      <c r="S3601" s="30"/>
      <c r="T3601" s="30"/>
      <c r="U3601" s="21" t="str">
        <f aca="false">IF(COUNT(K3601:T3601)=0,"SOURCE EMPTY / INDUSTRIAL ONLY",IF(MIN(K3601:T3601)=1,"SERVICE READY","HOLD"))</f>
        <v>SOURCE EMPTY / INDUSTRIAL ONLY</v>
      </c>
      <c r="V3601" s="9" t="n">
        <f aca="false">IF(U3601="SERVICE READY",1,0)</f>
        <v>0</v>
      </c>
      <c r="W3601" s="6"/>
      <c r="X3601" s="6"/>
      <c r="Y3601" s="6"/>
      <c r="Z3601" s="6"/>
    </row>
    <row r="3602" customFormat="false" ht="15" hidden="false" customHeight="false" outlineLevel="0" collapsed="false">
      <c r="A3602" s="9" t="s">
        <v>3882</v>
      </c>
      <c r="B3602" s="9" t="s">
        <v>3720</v>
      </c>
      <c r="C3602" s="9" t="s">
        <v>3721</v>
      </c>
      <c r="D3602" s="9" t="s">
        <v>3722</v>
      </c>
      <c r="E3602" s="9" t="s">
        <v>1660</v>
      </c>
      <c r="F3602" s="9" t="s">
        <v>211</v>
      </c>
      <c r="G3602" s="9" t="s">
        <v>221</v>
      </c>
      <c r="H3602" s="9" t="n">
        <v>1125</v>
      </c>
      <c r="I3602" s="29" t="n">
        <v>0.6</v>
      </c>
      <c r="J3602" s="9" t="n">
        <v>1</v>
      </c>
      <c r="K3602" s="30"/>
      <c r="L3602" s="30"/>
      <c r="M3602" s="30"/>
      <c r="N3602" s="30"/>
      <c r="O3602" s="30"/>
      <c r="P3602" s="30"/>
      <c r="Q3602" s="30"/>
      <c r="R3602" s="30"/>
      <c r="S3602" s="30"/>
      <c r="T3602" s="30"/>
      <c r="U3602" s="21" t="str">
        <f aca="false">IF(COUNT(K3602:T3602)=0,"SOURCE EMPTY / INDUSTRIAL ONLY",IF(MIN(K3602:T3602)=1,"SERVICE READY","HOLD"))</f>
        <v>SOURCE EMPTY / INDUSTRIAL ONLY</v>
      </c>
      <c r="V3602" s="9" t="n">
        <f aca="false">IF(U3602="SERVICE READY",1,0)</f>
        <v>0</v>
      </c>
      <c r="W3602" s="6"/>
      <c r="X3602" s="6"/>
      <c r="Y3602" s="6"/>
      <c r="Z3602" s="6"/>
    </row>
    <row r="3603" customFormat="false" ht="15" hidden="false" customHeight="false" outlineLevel="0" collapsed="false">
      <c r="A3603" s="9" t="s">
        <v>3883</v>
      </c>
      <c r="B3603" s="9" t="s">
        <v>3720</v>
      </c>
      <c r="C3603" s="9" t="s">
        <v>3721</v>
      </c>
      <c r="D3603" s="9" t="s">
        <v>3722</v>
      </c>
      <c r="E3603" s="9" t="s">
        <v>1660</v>
      </c>
      <c r="F3603" s="9" t="s">
        <v>197</v>
      </c>
      <c r="G3603" s="9" t="s">
        <v>221</v>
      </c>
      <c r="H3603" s="9" t="n">
        <v>1125</v>
      </c>
      <c r="I3603" s="29" t="n">
        <v>0.6</v>
      </c>
      <c r="J3603" s="9" t="n">
        <v>1</v>
      </c>
      <c r="K3603" s="30"/>
      <c r="L3603" s="30"/>
      <c r="M3603" s="30"/>
      <c r="N3603" s="30"/>
      <c r="O3603" s="30"/>
      <c r="P3603" s="30"/>
      <c r="Q3603" s="30"/>
      <c r="R3603" s="30"/>
      <c r="S3603" s="30"/>
      <c r="T3603" s="30"/>
      <c r="U3603" s="21" t="str">
        <f aca="false">IF(COUNT(K3603:T3603)=0,"SOURCE EMPTY / INDUSTRIAL ONLY",IF(MIN(K3603:T3603)=1,"SERVICE READY","HOLD"))</f>
        <v>SOURCE EMPTY / INDUSTRIAL ONLY</v>
      </c>
      <c r="V3603" s="9" t="n">
        <f aca="false">IF(U3603="SERVICE READY",1,0)</f>
        <v>0</v>
      </c>
      <c r="W3603" s="6"/>
      <c r="X3603" s="6"/>
      <c r="Y3603" s="6"/>
      <c r="Z3603" s="6"/>
    </row>
    <row r="3604" customFormat="false" ht="15" hidden="false" customHeight="false" outlineLevel="0" collapsed="false">
      <c r="A3604" s="9" t="s">
        <v>3884</v>
      </c>
      <c r="B3604" s="9" t="s">
        <v>3720</v>
      </c>
      <c r="C3604" s="9" t="s">
        <v>3721</v>
      </c>
      <c r="D3604" s="9" t="s">
        <v>3722</v>
      </c>
      <c r="E3604" s="9" t="s">
        <v>1660</v>
      </c>
      <c r="F3604" s="9" t="s">
        <v>200</v>
      </c>
      <c r="G3604" s="9" t="s">
        <v>221</v>
      </c>
      <c r="H3604" s="9" t="n">
        <v>1125</v>
      </c>
      <c r="I3604" s="29" t="n">
        <v>0.6</v>
      </c>
      <c r="J3604" s="9" t="n">
        <v>0</v>
      </c>
      <c r="K3604" s="30"/>
      <c r="L3604" s="30"/>
      <c r="M3604" s="30"/>
      <c r="N3604" s="30"/>
      <c r="O3604" s="30"/>
      <c r="P3604" s="30"/>
      <c r="Q3604" s="30"/>
      <c r="R3604" s="30"/>
      <c r="S3604" s="30"/>
      <c r="T3604" s="30"/>
      <c r="U3604" s="21" t="str">
        <f aca="false">IF(COUNT(K3604:T3604)=0,"SOURCE EMPTY / INDUSTRIAL ONLY",IF(MIN(K3604:T3604)=1,"SERVICE READY","HOLD"))</f>
        <v>SOURCE EMPTY / INDUSTRIAL ONLY</v>
      </c>
      <c r="V3604" s="9" t="n">
        <f aca="false">IF(U3604="SERVICE READY",1,0)</f>
        <v>0</v>
      </c>
      <c r="W3604" s="6"/>
      <c r="X3604" s="6"/>
      <c r="Y3604" s="6"/>
      <c r="Z3604" s="6"/>
    </row>
    <row r="3605" customFormat="false" ht="15" hidden="false" customHeight="false" outlineLevel="0" collapsed="false">
      <c r="A3605" s="9" t="s">
        <v>3885</v>
      </c>
      <c r="B3605" s="9" t="s">
        <v>3720</v>
      </c>
      <c r="C3605" s="9" t="s">
        <v>3721</v>
      </c>
      <c r="D3605" s="9" t="s">
        <v>3722</v>
      </c>
      <c r="E3605" s="9" t="s">
        <v>1660</v>
      </c>
      <c r="F3605" s="9" t="s">
        <v>203</v>
      </c>
      <c r="G3605" s="9" t="s">
        <v>221</v>
      </c>
      <c r="H3605" s="9" t="n">
        <v>1125</v>
      </c>
      <c r="I3605" s="29" t="n">
        <v>0.6</v>
      </c>
      <c r="J3605" s="9" t="n">
        <v>0</v>
      </c>
      <c r="K3605" s="30"/>
      <c r="L3605" s="30"/>
      <c r="M3605" s="30"/>
      <c r="N3605" s="30"/>
      <c r="O3605" s="30"/>
      <c r="P3605" s="30"/>
      <c r="Q3605" s="30"/>
      <c r="R3605" s="30"/>
      <c r="S3605" s="30"/>
      <c r="T3605" s="30"/>
      <c r="U3605" s="21" t="str">
        <f aca="false">IF(COUNT(K3605:T3605)=0,"SOURCE EMPTY / INDUSTRIAL ONLY",IF(MIN(K3605:T3605)=1,"SERVICE READY","HOLD"))</f>
        <v>SOURCE EMPTY / INDUSTRIAL ONLY</v>
      </c>
      <c r="V3605" s="9" t="n">
        <f aca="false">IF(U3605="SERVICE READY",1,0)</f>
        <v>0</v>
      </c>
      <c r="W3605" s="6"/>
      <c r="X3605" s="6"/>
      <c r="Y3605" s="6"/>
      <c r="Z3605" s="6"/>
    </row>
    <row r="3606" customFormat="false" ht="15" hidden="false" customHeight="false" outlineLevel="0" collapsed="false">
      <c r="A3606" s="9" t="s">
        <v>3886</v>
      </c>
      <c r="B3606" s="9" t="s">
        <v>3720</v>
      </c>
      <c r="C3606" s="9" t="s">
        <v>3721</v>
      </c>
      <c r="D3606" s="9" t="s">
        <v>3722</v>
      </c>
      <c r="E3606" s="9" t="s">
        <v>1660</v>
      </c>
      <c r="F3606" s="9" t="s">
        <v>205</v>
      </c>
      <c r="G3606" s="9" t="s">
        <v>221</v>
      </c>
      <c r="H3606" s="9" t="n">
        <v>1125</v>
      </c>
      <c r="I3606" s="29" t="n">
        <v>0.6</v>
      </c>
      <c r="J3606" s="9" t="n">
        <v>0</v>
      </c>
      <c r="K3606" s="30"/>
      <c r="L3606" s="30"/>
      <c r="M3606" s="30"/>
      <c r="N3606" s="30"/>
      <c r="O3606" s="30"/>
      <c r="P3606" s="30"/>
      <c r="Q3606" s="30"/>
      <c r="R3606" s="30"/>
      <c r="S3606" s="30"/>
      <c r="T3606" s="30"/>
      <c r="U3606" s="21" t="str">
        <f aca="false">IF(COUNT(K3606:T3606)=0,"SOURCE EMPTY / INDUSTRIAL ONLY",IF(MIN(K3606:T3606)=1,"SERVICE READY","HOLD"))</f>
        <v>SOURCE EMPTY / INDUSTRIAL ONLY</v>
      </c>
      <c r="V3606" s="9" t="n">
        <f aca="false">IF(U3606="SERVICE READY",1,0)</f>
        <v>0</v>
      </c>
      <c r="W3606" s="6"/>
      <c r="X3606" s="6"/>
      <c r="Y3606" s="6"/>
      <c r="Z3606" s="6"/>
    </row>
    <row r="3607" customFormat="false" ht="15" hidden="false" customHeight="false" outlineLevel="0" collapsed="false">
      <c r="A3607" s="9" t="s">
        <v>3887</v>
      </c>
      <c r="B3607" s="9" t="s">
        <v>3720</v>
      </c>
      <c r="C3607" s="9" t="s">
        <v>3721</v>
      </c>
      <c r="D3607" s="9" t="s">
        <v>3722</v>
      </c>
      <c r="E3607" s="9" t="s">
        <v>1660</v>
      </c>
      <c r="F3607" s="9" t="s">
        <v>207</v>
      </c>
      <c r="G3607" s="9" t="s">
        <v>221</v>
      </c>
      <c r="H3607" s="9" t="n">
        <v>1125</v>
      </c>
      <c r="I3607" s="29" t="n">
        <v>0.6</v>
      </c>
      <c r="J3607" s="9" t="n">
        <v>0</v>
      </c>
      <c r="K3607" s="30"/>
      <c r="L3607" s="30"/>
      <c r="M3607" s="30"/>
      <c r="N3607" s="30"/>
      <c r="O3607" s="30"/>
      <c r="P3607" s="30"/>
      <c r="Q3607" s="30"/>
      <c r="R3607" s="30"/>
      <c r="S3607" s="30"/>
      <c r="T3607" s="30"/>
      <c r="U3607" s="21" t="str">
        <f aca="false">IF(COUNT(K3607:T3607)=0,"SOURCE EMPTY / INDUSTRIAL ONLY",IF(MIN(K3607:T3607)=1,"SERVICE READY","HOLD"))</f>
        <v>SOURCE EMPTY / INDUSTRIAL ONLY</v>
      </c>
      <c r="V3607" s="9" t="n">
        <f aca="false">IF(U3607="SERVICE READY",1,0)</f>
        <v>0</v>
      </c>
      <c r="W3607" s="6"/>
      <c r="X3607" s="6"/>
      <c r="Y3607" s="6"/>
      <c r="Z3607" s="6"/>
    </row>
    <row r="3608" customFormat="false" ht="15" hidden="false" customHeight="false" outlineLevel="0" collapsed="false">
      <c r="A3608" s="9" t="s">
        <v>3888</v>
      </c>
      <c r="B3608" s="9" t="s">
        <v>3720</v>
      </c>
      <c r="C3608" s="9" t="s">
        <v>3721</v>
      </c>
      <c r="D3608" s="9" t="s">
        <v>3722</v>
      </c>
      <c r="E3608" s="9" t="s">
        <v>1660</v>
      </c>
      <c r="F3608" s="9" t="s">
        <v>209</v>
      </c>
      <c r="G3608" s="9" t="s">
        <v>221</v>
      </c>
      <c r="H3608" s="9" t="n">
        <v>1125</v>
      </c>
      <c r="I3608" s="29" t="n">
        <v>0.6</v>
      </c>
      <c r="J3608" s="9" t="n">
        <v>0</v>
      </c>
      <c r="K3608" s="30"/>
      <c r="L3608" s="30"/>
      <c r="M3608" s="30"/>
      <c r="N3608" s="30"/>
      <c r="O3608" s="30"/>
      <c r="P3608" s="30"/>
      <c r="Q3608" s="30"/>
      <c r="R3608" s="30"/>
      <c r="S3608" s="30"/>
      <c r="T3608" s="30"/>
      <c r="U3608" s="21" t="str">
        <f aca="false">IF(COUNT(K3608:T3608)=0,"SOURCE EMPTY / INDUSTRIAL ONLY",IF(MIN(K3608:T3608)=1,"SERVICE READY","HOLD"))</f>
        <v>SOURCE EMPTY / INDUSTRIAL ONLY</v>
      </c>
      <c r="V3608" s="9" t="n">
        <f aca="false">IF(U3608="SERVICE READY",1,0)</f>
        <v>0</v>
      </c>
      <c r="W3608" s="6"/>
      <c r="X3608" s="6"/>
      <c r="Y3608" s="6"/>
      <c r="Z3608" s="6"/>
    </row>
    <row r="3609" customFormat="false" ht="15" hidden="false" customHeight="false" outlineLevel="0" collapsed="false">
      <c r="A3609" s="9" t="s">
        <v>3889</v>
      </c>
      <c r="B3609" s="9" t="s">
        <v>3720</v>
      </c>
      <c r="C3609" s="9" t="s">
        <v>3721</v>
      </c>
      <c r="D3609" s="9" t="s">
        <v>3722</v>
      </c>
      <c r="E3609" s="9" t="s">
        <v>1660</v>
      </c>
      <c r="F3609" s="9" t="s">
        <v>211</v>
      </c>
      <c r="G3609" s="9" t="s">
        <v>221</v>
      </c>
      <c r="H3609" s="9" t="n">
        <v>1125</v>
      </c>
      <c r="I3609" s="29" t="n">
        <v>0.6</v>
      </c>
      <c r="J3609" s="9" t="n">
        <v>0</v>
      </c>
      <c r="K3609" s="30"/>
      <c r="L3609" s="30"/>
      <c r="M3609" s="30"/>
      <c r="N3609" s="30"/>
      <c r="O3609" s="30"/>
      <c r="P3609" s="30"/>
      <c r="Q3609" s="30"/>
      <c r="R3609" s="30"/>
      <c r="S3609" s="30"/>
      <c r="T3609" s="30"/>
      <c r="U3609" s="21" t="str">
        <f aca="false">IF(COUNT(K3609:T3609)=0,"SOURCE EMPTY / INDUSTRIAL ONLY",IF(MIN(K3609:T3609)=1,"SERVICE READY","HOLD"))</f>
        <v>SOURCE EMPTY / INDUSTRIAL ONLY</v>
      </c>
      <c r="V3609" s="9" t="n">
        <f aca="false">IF(U3609="SERVICE READY",1,0)</f>
        <v>0</v>
      </c>
      <c r="W3609" s="6"/>
      <c r="X3609" s="6"/>
      <c r="Y3609" s="6"/>
      <c r="Z3609" s="6"/>
    </row>
    <row r="3610" customFormat="false" ht="15" hidden="false" customHeight="false" outlineLevel="0" collapsed="false">
      <c r="A3610" s="9" t="s">
        <v>3890</v>
      </c>
      <c r="B3610" s="9" t="s">
        <v>3720</v>
      </c>
      <c r="C3610" s="9" t="s">
        <v>3721</v>
      </c>
      <c r="D3610" s="9" t="s">
        <v>3722</v>
      </c>
      <c r="E3610" s="9" t="s">
        <v>1660</v>
      </c>
      <c r="F3610" s="9" t="s">
        <v>197</v>
      </c>
      <c r="G3610" s="9" t="s">
        <v>221</v>
      </c>
      <c r="H3610" s="9" t="n">
        <v>1125</v>
      </c>
      <c r="I3610" s="29" t="n">
        <v>0.6</v>
      </c>
      <c r="J3610" s="9" t="n">
        <v>0</v>
      </c>
      <c r="K3610" s="30"/>
      <c r="L3610" s="30"/>
      <c r="M3610" s="30"/>
      <c r="N3610" s="30"/>
      <c r="O3610" s="30"/>
      <c r="P3610" s="30"/>
      <c r="Q3610" s="30"/>
      <c r="R3610" s="30"/>
      <c r="S3610" s="30"/>
      <c r="T3610" s="30"/>
      <c r="U3610" s="21" t="str">
        <f aca="false">IF(COUNT(K3610:T3610)=0,"SOURCE EMPTY / INDUSTRIAL ONLY",IF(MIN(K3610:T3610)=1,"SERVICE READY","HOLD"))</f>
        <v>SOURCE EMPTY / INDUSTRIAL ONLY</v>
      </c>
      <c r="V3610" s="9" t="n">
        <f aca="false">IF(U3610="SERVICE READY",1,0)</f>
        <v>0</v>
      </c>
      <c r="W3610" s="6"/>
      <c r="X3610" s="6"/>
      <c r="Y3610" s="6"/>
      <c r="Z3610" s="6"/>
    </row>
    <row r="3611" customFormat="false" ht="15" hidden="false" customHeight="false" outlineLevel="0" collapsed="false">
      <c r="A3611" s="9" t="s">
        <v>3891</v>
      </c>
      <c r="B3611" s="9" t="s">
        <v>3720</v>
      </c>
      <c r="C3611" s="9" t="s">
        <v>3721</v>
      </c>
      <c r="D3611" s="9" t="s">
        <v>3722</v>
      </c>
      <c r="E3611" s="9" t="s">
        <v>1660</v>
      </c>
      <c r="F3611" s="9" t="s">
        <v>200</v>
      </c>
      <c r="G3611" s="9" t="s">
        <v>221</v>
      </c>
      <c r="H3611" s="9" t="n">
        <v>1125</v>
      </c>
      <c r="I3611" s="29" t="n">
        <v>0.6</v>
      </c>
      <c r="J3611" s="9" t="n">
        <v>0</v>
      </c>
      <c r="K3611" s="30"/>
      <c r="L3611" s="30"/>
      <c r="M3611" s="30"/>
      <c r="N3611" s="30"/>
      <c r="O3611" s="30"/>
      <c r="P3611" s="30"/>
      <c r="Q3611" s="30"/>
      <c r="R3611" s="30"/>
      <c r="S3611" s="30"/>
      <c r="T3611" s="30"/>
      <c r="U3611" s="21" t="str">
        <f aca="false">IF(COUNT(K3611:T3611)=0,"SOURCE EMPTY / INDUSTRIAL ONLY",IF(MIN(K3611:T3611)=1,"SERVICE READY","HOLD"))</f>
        <v>SOURCE EMPTY / INDUSTRIAL ONLY</v>
      </c>
      <c r="V3611" s="9" t="n">
        <f aca="false">IF(U3611="SERVICE READY",1,0)</f>
        <v>0</v>
      </c>
      <c r="W3611" s="6"/>
      <c r="X3611" s="6"/>
      <c r="Y3611" s="6"/>
      <c r="Z3611" s="6"/>
    </row>
    <row r="3612" customFormat="false" ht="15" hidden="false" customHeight="false" outlineLevel="0" collapsed="false">
      <c r="A3612" s="9" t="s">
        <v>3892</v>
      </c>
      <c r="B3612" s="9" t="s">
        <v>3720</v>
      </c>
      <c r="C3612" s="9" t="s">
        <v>3721</v>
      </c>
      <c r="D3612" s="9" t="s">
        <v>3722</v>
      </c>
      <c r="E3612" s="9" t="s">
        <v>1660</v>
      </c>
      <c r="F3612" s="9" t="s">
        <v>203</v>
      </c>
      <c r="G3612" s="9" t="s">
        <v>221</v>
      </c>
      <c r="H3612" s="9" t="n">
        <v>1125</v>
      </c>
      <c r="I3612" s="29" t="n">
        <v>0.6</v>
      </c>
      <c r="J3612" s="9" t="n">
        <v>0</v>
      </c>
      <c r="K3612" s="30"/>
      <c r="L3612" s="30"/>
      <c r="M3612" s="30"/>
      <c r="N3612" s="30"/>
      <c r="O3612" s="30"/>
      <c r="P3612" s="30"/>
      <c r="Q3612" s="30"/>
      <c r="R3612" s="30"/>
      <c r="S3612" s="30"/>
      <c r="T3612" s="30"/>
      <c r="U3612" s="21" t="str">
        <f aca="false">IF(COUNT(K3612:T3612)=0,"SOURCE EMPTY / INDUSTRIAL ONLY",IF(MIN(K3612:T3612)=1,"SERVICE READY","HOLD"))</f>
        <v>SOURCE EMPTY / INDUSTRIAL ONLY</v>
      </c>
      <c r="V3612" s="9" t="n">
        <f aca="false">IF(U3612="SERVICE READY",1,0)</f>
        <v>0</v>
      </c>
      <c r="W3612" s="6"/>
      <c r="X3612" s="6"/>
      <c r="Y3612" s="6"/>
      <c r="Z3612" s="6"/>
    </row>
    <row r="3613" customFormat="false" ht="15" hidden="false" customHeight="false" outlineLevel="0" collapsed="false">
      <c r="A3613" s="9" t="s">
        <v>3893</v>
      </c>
      <c r="B3613" s="9" t="s">
        <v>3720</v>
      </c>
      <c r="C3613" s="9" t="s">
        <v>3721</v>
      </c>
      <c r="D3613" s="9" t="s">
        <v>3722</v>
      </c>
      <c r="E3613" s="9" t="s">
        <v>1660</v>
      </c>
      <c r="F3613" s="9" t="s">
        <v>205</v>
      </c>
      <c r="G3613" s="9" t="s">
        <v>221</v>
      </c>
      <c r="H3613" s="9" t="n">
        <v>1125</v>
      </c>
      <c r="I3613" s="29" t="n">
        <v>0.6</v>
      </c>
      <c r="J3613" s="9" t="n">
        <v>0</v>
      </c>
      <c r="K3613" s="30"/>
      <c r="L3613" s="30"/>
      <c r="M3613" s="30"/>
      <c r="N3613" s="30"/>
      <c r="O3613" s="30"/>
      <c r="P3613" s="30"/>
      <c r="Q3613" s="30"/>
      <c r="R3613" s="30"/>
      <c r="S3613" s="30"/>
      <c r="T3613" s="30"/>
      <c r="U3613" s="21" t="str">
        <f aca="false">IF(COUNT(K3613:T3613)=0,"SOURCE EMPTY / INDUSTRIAL ONLY",IF(MIN(K3613:T3613)=1,"SERVICE READY","HOLD"))</f>
        <v>SOURCE EMPTY / INDUSTRIAL ONLY</v>
      </c>
      <c r="V3613" s="9" t="n">
        <f aca="false">IF(U3613="SERVICE READY",1,0)</f>
        <v>0</v>
      </c>
      <c r="W3613" s="6"/>
      <c r="X3613" s="6"/>
      <c r="Y3613" s="6"/>
      <c r="Z3613" s="6"/>
    </row>
    <row r="3614" customFormat="false" ht="15" hidden="false" customHeight="false" outlineLevel="0" collapsed="false">
      <c r="A3614" s="9" t="s">
        <v>3894</v>
      </c>
      <c r="B3614" s="9" t="s">
        <v>3720</v>
      </c>
      <c r="C3614" s="9" t="s">
        <v>3721</v>
      </c>
      <c r="D3614" s="9" t="s">
        <v>3722</v>
      </c>
      <c r="E3614" s="9" t="s">
        <v>1660</v>
      </c>
      <c r="F3614" s="9" t="s">
        <v>207</v>
      </c>
      <c r="G3614" s="9" t="s">
        <v>221</v>
      </c>
      <c r="H3614" s="9" t="n">
        <v>1125</v>
      </c>
      <c r="I3614" s="29" t="n">
        <v>0.6</v>
      </c>
      <c r="J3614" s="9" t="n">
        <v>0</v>
      </c>
      <c r="K3614" s="30"/>
      <c r="L3614" s="30"/>
      <c r="M3614" s="30"/>
      <c r="N3614" s="30"/>
      <c r="O3614" s="30"/>
      <c r="P3614" s="30"/>
      <c r="Q3614" s="30"/>
      <c r="R3614" s="30"/>
      <c r="S3614" s="30"/>
      <c r="T3614" s="30"/>
      <c r="U3614" s="21" t="str">
        <f aca="false">IF(COUNT(K3614:T3614)=0,"SOURCE EMPTY / INDUSTRIAL ONLY",IF(MIN(K3614:T3614)=1,"SERVICE READY","HOLD"))</f>
        <v>SOURCE EMPTY / INDUSTRIAL ONLY</v>
      </c>
      <c r="V3614" s="9" t="n">
        <f aca="false">IF(U3614="SERVICE READY",1,0)</f>
        <v>0</v>
      </c>
      <c r="W3614" s="6"/>
      <c r="X3614" s="6"/>
      <c r="Y3614" s="6"/>
      <c r="Z3614" s="6"/>
    </row>
    <row r="3615" customFormat="false" ht="15" hidden="false" customHeight="false" outlineLevel="0" collapsed="false">
      <c r="A3615" s="9" t="s">
        <v>3895</v>
      </c>
      <c r="B3615" s="9" t="s">
        <v>3720</v>
      </c>
      <c r="C3615" s="9" t="s">
        <v>3721</v>
      </c>
      <c r="D3615" s="9" t="s">
        <v>3722</v>
      </c>
      <c r="E3615" s="9" t="s">
        <v>1660</v>
      </c>
      <c r="F3615" s="9" t="s">
        <v>209</v>
      </c>
      <c r="G3615" s="9" t="s">
        <v>221</v>
      </c>
      <c r="H3615" s="9" t="n">
        <v>1125</v>
      </c>
      <c r="I3615" s="29" t="n">
        <v>0.6</v>
      </c>
      <c r="J3615" s="9" t="n">
        <v>0</v>
      </c>
      <c r="K3615" s="30"/>
      <c r="L3615" s="30"/>
      <c r="M3615" s="30"/>
      <c r="N3615" s="30"/>
      <c r="O3615" s="30"/>
      <c r="P3615" s="30"/>
      <c r="Q3615" s="30"/>
      <c r="R3615" s="30"/>
      <c r="S3615" s="30"/>
      <c r="T3615" s="30"/>
      <c r="U3615" s="21" t="str">
        <f aca="false">IF(COUNT(K3615:T3615)=0,"SOURCE EMPTY / INDUSTRIAL ONLY",IF(MIN(K3615:T3615)=1,"SERVICE READY","HOLD"))</f>
        <v>SOURCE EMPTY / INDUSTRIAL ONLY</v>
      </c>
      <c r="V3615" s="9" t="n">
        <f aca="false">IF(U3615="SERVICE READY",1,0)</f>
        <v>0</v>
      </c>
      <c r="W3615" s="6"/>
      <c r="X3615" s="6"/>
      <c r="Y3615" s="6"/>
      <c r="Z3615" s="6"/>
    </row>
    <row r="3616" customFormat="false" ht="15" hidden="false" customHeight="false" outlineLevel="0" collapsed="false">
      <c r="A3616" s="9" t="s">
        <v>3896</v>
      </c>
      <c r="B3616" s="9" t="s">
        <v>3720</v>
      </c>
      <c r="C3616" s="9" t="s">
        <v>3721</v>
      </c>
      <c r="D3616" s="9" t="s">
        <v>3722</v>
      </c>
      <c r="E3616" s="9" t="s">
        <v>1660</v>
      </c>
      <c r="F3616" s="9" t="s">
        <v>211</v>
      </c>
      <c r="G3616" s="9" t="s">
        <v>221</v>
      </c>
      <c r="H3616" s="9" t="n">
        <v>1125</v>
      </c>
      <c r="I3616" s="29" t="n">
        <v>0.6</v>
      </c>
      <c r="J3616" s="9" t="n">
        <v>0</v>
      </c>
      <c r="K3616" s="30"/>
      <c r="L3616" s="30"/>
      <c r="M3616" s="30"/>
      <c r="N3616" s="30"/>
      <c r="O3616" s="30"/>
      <c r="P3616" s="30"/>
      <c r="Q3616" s="30"/>
      <c r="R3616" s="30"/>
      <c r="S3616" s="30"/>
      <c r="T3616" s="30"/>
      <c r="U3616" s="21" t="str">
        <f aca="false">IF(COUNT(K3616:T3616)=0,"SOURCE EMPTY / INDUSTRIAL ONLY",IF(MIN(K3616:T3616)=1,"SERVICE READY","HOLD"))</f>
        <v>SOURCE EMPTY / INDUSTRIAL ONLY</v>
      </c>
      <c r="V3616" s="9" t="n">
        <f aca="false">IF(U3616="SERVICE READY",1,0)</f>
        <v>0</v>
      </c>
      <c r="W3616" s="6"/>
      <c r="X3616" s="6"/>
      <c r="Y3616" s="6"/>
      <c r="Z3616" s="6"/>
    </row>
    <row r="3617" customFormat="false" ht="15" hidden="false" customHeight="false" outlineLevel="0" collapsed="false">
      <c r="A3617" s="9" t="s">
        <v>3897</v>
      </c>
      <c r="B3617" s="9" t="s">
        <v>3720</v>
      </c>
      <c r="C3617" s="9" t="s">
        <v>3721</v>
      </c>
      <c r="D3617" s="9" t="s">
        <v>3722</v>
      </c>
      <c r="E3617" s="9" t="s">
        <v>1660</v>
      </c>
      <c r="F3617" s="9" t="s">
        <v>197</v>
      </c>
      <c r="G3617" s="9" t="s">
        <v>221</v>
      </c>
      <c r="H3617" s="9" t="n">
        <v>1125</v>
      </c>
      <c r="I3617" s="29" t="n">
        <v>0.6</v>
      </c>
      <c r="J3617" s="9" t="n">
        <v>0</v>
      </c>
      <c r="K3617" s="30"/>
      <c r="L3617" s="30"/>
      <c r="M3617" s="30"/>
      <c r="N3617" s="30"/>
      <c r="O3617" s="30"/>
      <c r="P3617" s="30"/>
      <c r="Q3617" s="30"/>
      <c r="R3617" s="30"/>
      <c r="S3617" s="30"/>
      <c r="T3617" s="30"/>
      <c r="U3617" s="21" t="str">
        <f aca="false">IF(COUNT(K3617:T3617)=0,"SOURCE EMPTY / INDUSTRIAL ONLY",IF(MIN(K3617:T3617)=1,"SERVICE READY","HOLD"))</f>
        <v>SOURCE EMPTY / INDUSTRIAL ONLY</v>
      </c>
      <c r="V3617" s="9" t="n">
        <f aca="false">IF(U3617="SERVICE READY",1,0)</f>
        <v>0</v>
      </c>
      <c r="W3617" s="6"/>
      <c r="X3617" s="6"/>
      <c r="Y3617" s="6"/>
      <c r="Z3617" s="6"/>
    </row>
    <row r="3618" customFormat="false" ht="15" hidden="false" customHeight="false" outlineLevel="0" collapsed="false">
      <c r="A3618" s="9" t="s">
        <v>3898</v>
      </c>
      <c r="B3618" s="9" t="s">
        <v>3720</v>
      </c>
      <c r="C3618" s="9" t="s">
        <v>3721</v>
      </c>
      <c r="D3618" s="9" t="s">
        <v>3722</v>
      </c>
      <c r="E3618" s="9" t="s">
        <v>1660</v>
      </c>
      <c r="F3618" s="9" t="s">
        <v>200</v>
      </c>
      <c r="G3618" s="9" t="s">
        <v>221</v>
      </c>
      <c r="H3618" s="9" t="n">
        <v>1125</v>
      </c>
      <c r="I3618" s="29" t="n">
        <v>0.6</v>
      </c>
      <c r="J3618" s="9" t="n">
        <v>0</v>
      </c>
      <c r="K3618" s="30"/>
      <c r="L3618" s="30"/>
      <c r="M3618" s="30"/>
      <c r="N3618" s="30"/>
      <c r="O3618" s="30"/>
      <c r="P3618" s="30"/>
      <c r="Q3618" s="30"/>
      <c r="R3618" s="30"/>
      <c r="S3618" s="30"/>
      <c r="T3618" s="30"/>
      <c r="U3618" s="21" t="str">
        <f aca="false">IF(COUNT(K3618:T3618)=0,"SOURCE EMPTY / INDUSTRIAL ONLY",IF(MIN(K3618:T3618)=1,"SERVICE READY","HOLD"))</f>
        <v>SOURCE EMPTY / INDUSTRIAL ONLY</v>
      </c>
      <c r="V3618" s="9" t="n">
        <f aca="false">IF(U3618="SERVICE READY",1,0)</f>
        <v>0</v>
      </c>
      <c r="W3618" s="6"/>
      <c r="X3618" s="6"/>
      <c r="Y3618" s="6"/>
      <c r="Z3618" s="6"/>
    </row>
    <row r="3619" customFormat="false" ht="15" hidden="false" customHeight="false" outlineLevel="0" collapsed="false">
      <c r="A3619" s="9" t="s">
        <v>3899</v>
      </c>
      <c r="B3619" s="9" t="s">
        <v>3720</v>
      </c>
      <c r="C3619" s="9" t="s">
        <v>3721</v>
      </c>
      <c r="D3619" s="9" t="s">
        <v>3722</v>
      </c>
      <c r="E3619" s="9" t="s">
        <v>1660</v>
      </c>
      <c r="F3619" s="9" t="s">
        <v>203</v>
      </c>
      <c r="G3619" s="9" t="s">
        <v>221</v>
      </c>
      <c r="H3619" s="9" t="n">
        <v>1125</v>
      </c>
      <c r="I3619" s="29" t="n">
        <v>0.6</v>
      </c>
      <c r="J3619" s="9" t="n">
        <v>0</v>
      </c>
      <c r="K3619" s="30"/>
      <c r="L3619" s="30"/>
      <c r="M3619" s="30"/>
      <c r="N3619" s="30"/>
      <c r="O3619" s="30"/>
      <c r="P3619" s="30"/>
      <c r="Q3619" s="30"/>
      <c r="R3619" s="30"/>
      <c r="S3619" s="30"/>
      <c r="T3619" s="30"/>
      <c r="U3619" s="21" t="str">
        <f aca="false">IF(COUNT(K3619:T3619)=0,"SOURCE EMPTY / INDUSTRIAL ONLY",IF(MIN(K3619:T3619)=1,"SERVICE READY","HOLD"))</f>
        <v>SOURCE EMPTY / INDUSTRIAL ONLY</v>
      </c>
      <c r="V3619" s="9" t="n">
        <f aca="false">IF(U3619="SERVICE READY",1,0)</f>
        <v>0</v>
      </c>
      <c r="W3619" s="6"/>
      <c r="X3619" s="6"/>
      <c r="Y3619" s="6"/>
      <c r="Z3619" s="6"/>
    </row>
    <row r="3620" customFormat="false" ht="15" hidden="false" customHeight="false" outlineLevel="0" collapsed="false">
      <c r="A3620" s="9" t="s">
        <v>3900</v>
      </c>
      <c r="B3620" s="9" t="s">
        <v>3720</v>
      </c>
      <c r="C3620" s="9" t="s">
        <v>3721</v>
      </c>
      <c r="D3620" s="9" t="s">
        <v>3722</v>
      </c>
      <c r="E3620" s="9" t="s">
        <v>1660</v>
      </c>
      <c r="F3620" s="9" t="s">
        <v>205</v>
      </c>
      <c r="G3620" s="9" t="s">
        <v>221</v>
      </c>
      <c r="H3620" s="9" t="n">
        <v>1125</v>
      </c>
      <c r="I3620" s="29" t="n">
        <v>0.6</v>
      </c>
      <c r="J3620" s="9" t="n">
        <v>0</v>
      </c>
      <c r="K3620" s="30"/>
      <c r="L3620" s="30"/>
      <c r="M3620" s="30"/>
      <c r="N3620" s="30"/>
      <c r="O3620" s="30"/>
      <c r="P3620" s="30"/>
      <c r="Q3620" s="30"/>
      <c r="R3620" s="30"/>
      <c r="S3620" s="30"/>
      <c r="T3620" s="30"/>
      <c r="U3620" s="21" t="str">
        <f aca="false">IF(COUNT(K3620:T3620)=0,"SOURCE EMPTY / INDUSTRIAL ONLY",IF(MIN(K3620:T3620)=1,"SERVICE READY","HOLD"))</f>
        <v>SOURCE EMPTY / INDUSTRIAL ONLY</v>
      </c>
      <c r="V3620" s="9" t="n">
        <f aca="false">IF(U3620="SERVICE READY",1,0)</f>
        <v>0</v>
      </c>
      <c r="W3620" s="6"/>
      <c r="X3620" s="6"/>
      <c r="Y3620" s="6"/>
      <c r="Z3620" s="6"/>
    </row>
    <row r="3621" customFormat="false" ht="15" hidden="false" customHeight="false" outlineLevel="0" collapsed="false">
      <c r="A3621" s="9" t="s">
        <v>3901</v>
      </c>
      <c r="B3621" s="9" t="s">
        <v>3720</v>
      </c>
      <c r="C3621" s="9" t="s">
        <v>3721</v>
      </c>
      <c r="D3621" s="9" t="s">
        <v>3722</v>
      </c>
      <c r="E3621" s="9" t="s">
        <v>1660</v>
      </c>
      <c r="F3621" s="9" t="s">
        <v>207</v>
      </c>
      <c r="G3621" s="9" t="s">
        <v>221</v>
      </c>
      <c r="H3621" s="9" t="n">
        <v>1125</v>
      </c>
      <c r="I3621" s="29" t="n">
        <v>0.6</v>
      </c>
      <c r="J3621" s="9" t="n">
        <v>0</v>
      </c>
      <c r="K3621" s="30"/>
      <c r="L3621" s="30"/>
      <c r="M3621" s="30"/>
      <c r="N3621" s="30"/>
      <c r="O3621" s="30"/>
      <c r="P3621" s="30"/>
      <c r="Q3621" s="30"/>
      <c r="R3621" s="30"/>
      <c r="S3621" s="30"/>
      <c r="T3621" s="30"/>
      <c r="U3621" s="21" t="str">
        <f aca="false">IF(COUNT(K3621:T3621)=0,"SOURCE EMPTY / INDUSTRIAL ONLY",IF(MIN(K3621:T3621)=1,"SERVICE READY","HOLD"))</f>
        <v>SOURCE EMPTY / INDUSTRIAL ONLY</v>
      </c>
      <c r="V3621" s="9" t="n">
        <f aca="false">IF(U3621="SERVICE READY",1,0)</f>
        <v>0</v>
      </c>
      <c r="W3621" s="6"/>
      <c r="X3621" s="6"/>
      <c r="Y3621" s="6"/>
      <c r="Z3621" s="6"/>
    </row>
    <row r="3622" customFormat="false" ht="15" hidden="false" customHeight="false" outlineLevel="0" collapsed="false">
      <c r="A3622" s="9" t="s">
        <v>3902</v>
      </c>
      <c r="B3622" s="9" t="s">
        <v>3720</v>
      </c>
      <c r="C3622" s="9" t="s">
        <v>3721</v>
      </c>
      <c r="D3622" s="9" t="s">
        <v>3722</v>
      </c>
      <c r="E3622" s="9" t="s">
        <v>1660</v>
      </c>
      <c r="F3622" s="9" t="s">
        <v>209</v>
      </c>
      <c r="G3622" s="9" t="s">
        <v>221</v>
      </c>
      <c r="H3622" s="9" t="n">
        <v>1125</v>
      </c>
      <c r="I3622" s="29" t="n">
        <v>0.6</v>
      </c>
      <c r="J3622" s="9" t="n">
        <v>0</v>
      </c>
      <c r="K3622" s="30"/>
      <c r="L3622" s="30"/>
      <c r="M3622" s="30"/>
      <c r="N3622" s="30"/>
      <c r="O3622" s="30"/>
      <c r="P3622" s="30"/>
      <c r="Q3622" s="30"/>
      <c r="R3622" s="30"/>
      <c r="S3622" s="30"/>
      <c r="T3622" s="30"/>
      <c r="U3622" s="21" t="str">
        <f aca="false">IF(COUNT(K3622:T3622)=0,"SOURCE EMPTY / INDUSTRIAL ONLY",IF(MIN(K3622:T3622)=1,"SERVICE READY","HOLD"))</f>
        <v>SOURCE EMPTY / INDUSTRIAL ONLY</v>
      </c>
      <c r="V3622" s="9" t="n">
        <f aca="false">IF(U3622="SERVICE READY",1,0)</f>
        <v>0</v>
      </c>
      <c r="W3622" s="6"/>
      <c r="X3622" s="6"/>
      <c r="Y3622" s="6"/>
      <c r="Z3622" s="6"/>
    </row>
    <row r="3623" customFormat="false" ht="15" hidden="false" customHeight="false" outlineLevel="0" collapsed="false">
      <c r="A3623" s="9" t="s">
        <v>3903</v>
      </c>
      <c r="B3623" s="9" t="s">
        <v>3720</v>
      </c>
      <c r="C3623" s="9" t="s">
        <v>3721</v>
      </c>
      <c r="D3623" s="9" t="s">
        <v>3722</v>
      </c>
      <c r="E3623" s="9" t="s">
        <v>1660</v>
      </c>
      <c r="F3623" s="9" t="s">
        <v>211</v>
      </c>
      <c r="G3623" s="9" t="s">
        <v>221</v>
      </c>
      <c r="H3623" s="9" t="n">
        <v>1125</v>
      </c>
      <c r="I3623" s="29" t="n">
        <v>0.6</v>
      </c>
      <c r="J3623" s="9" t="n">
        <v>0</v>
      </c>
      <c r="K3623" s="30"/>
      <c r="L3623" s="30"/>
      <c r="M3623" s="30"/>
      <c r="N3623" s="30"/>
      <c r="O3623" s="30"/>
      <c r="P3623" s="30"/>
      <c r="Q3623" s="30"/>
      <c r="R3623" s="30"/>
      <c r="S3623" s="30"/>
      <c r="T3623" s="30"/>
      <c r="U3623" s="21" t="str">
        <f aca="false">IF(COUNT(K3623:T3623)=0,"SOURCE EMPTY / INDUSTRIAL ONLY",IF(MIN(K3623:T3623)=1,"SERVICE READY","HOLD"))</f>
        <v>SOURCE EMPTY / INDUSTRIAL ONLY</v>
      </c>
      <c r="V3623" s="9" t="n">
        <f aca="false">IF(U3623="SERVICE READY",1,0)</f>
        <v>0</v>
      </c>
      <c r="W3623" s="6"/>
      <c r="X3623" s="6"/>
      <c r="Y3623" s="6"/>
      <c r="Z3623" s="6"/>
    </row>
    <row r="3624" customFormat="false" ht="15" hidden="false" customHeight="false" outlineLevel="0" collapsed="false">
      <c r="A3624" s="9" t="s">
        <v>3904</v>
      </c>
      <c r="B3624" s="9" t="s">
        <v>3720</v>
      </c>
      <c r="C3624" s="9" t="s">
        <v>3721</v>
      </c>
      <c r="D3624" s="9" t="s">
        <v>3722</v>
      </c>
      <c r="E3624" s="9" t="s">
        <v>1660</v>
      </c>
      <c r="F3624" s="9" t="s">
        <v>197</v>
      </c>
      <c r="G3624" s="9" t="s">
        <v>221</v>
      </c>
      <c r="H3624" s="9" t="n">
        <v>1125</v>
      </c>
      <c r="I3624" s="29" t="n">
        <v>0.6</v>
      </c>
      <c r="J3624" s="9" t="n">
        <v>0</v>
      </c>
      <c r="K3624" s="30"/>
      <c r="L3624" s="30"/>
      <c r="M3624" s="30"/>
      <c r="N3624" s="30"/>
      <c r="O3624" s="30"/>
      <c r="P3624" s="30"/>
      <c r="Q3624" s="30"/>
      <c r="R3624" s="30"/>
      <c r="S3624" s="30"/>
      <c r="T3624" s="30"/>
      <c r="U3624" s="21" t="str">
        <f aca="false">IF(COUNT(K3624:T3624)=0,"SOURCE EMPTY / INDUSTRIAL ONLY",IF(MIN(K3624:T3624)=1,"SERVICE READY","HOLD"))</f>
        <v>SOURCE EMPTY / INDUSTRIAL ONLY</v>
      </c>
      <c r="V3624" s="9" t="n">
        <f aca="false">IF(U3624="SERVICE READY",1,0)</f>
        <v>0</v>
      </c>
      <c r="W3624" s="6"/>
      <c r="X3624" s="6"/>
      <c r="Y3624" s="6"/>
      <c r="Z3624" s="6"/>
    </row>
    <row r="3625" customFormat="false" ht="15" hidden="false" customHeight="false" outlineLevel="0" collapsed="false">
      <c r="A3625" s="9" t="s">
        <v>3905</v>
      </c>
      <c r="B3625" s="9" t="s">
        <v>3720</v>
      </c>
      <c r="C3625" s="9" t="s">
        <v>3721</v>
      </c>
      <c r="D3625" s="9" t="s">
        <v>3722</v>
      </c>
      <c r="E3625" s="9" t="s">
        <v>1660</v>
      </c>
      <c r="F3625" s="9" t="s">
        <v>200</v>
      </c>
      <c r="G3625" s="9" t="s">
        <v>221</v>
      </c>
      <c r="H3625" s="9" t="n">
        <v>1125</v>
      </c>
      <c r="I3625" s="29" t="n">
        <v>0.6</v>
      </c>
      <c r="J3625" s="9" t="n">
        <v>0</v>
      </c>
      <c r="K3625" s="30"/>
      <c r="L3625" s="30"/>
      <c r="M3625" s="30"/>
      <c r="N3625" s="30"/>
      <c r="O3625" s="30"/>
      <c r="P3625" s="30"/>
      <c r="Q3625" s="30"/>
      <c r="R3625" s="30"/>
      <c r="S3625" s="30"/>
      <c r="T3625" s="30"/>
      <c r="U3625" s="21" t="str">
        <f aca="false">IF(COUNT(K3625:T3625)=0,"SOURCE EMPTY / INDUSTRIAL ONLY",IF(MIN(K3625:T3625)=1,"SERVICE READY","HOLD"))</f>
        <v>SOURCE EMPTY / INDUSTRIAL ONLY</v>
      </c>
      <c r="V3625" s="9" t="n">
        <f aca="false">IF(U3625="SERVICE READY",1,0)</f>
        <v>0</v>
      </c>
      <c r="W3625" s="6"/>
      <c r="X3625" s="6"/>
      <c r="Y3625" s="6"/>
      <c r="Z3625" s="6"/>
    </row>
    <row r="3626" customFormat="false" ht="15" hidden="false" customHeight="false" outlineLevel="0" collapsed="false">
      <c r="A3626" s="9" t="s">
        <v>3906</v>
      </c>
      <c r="B3626" s="9" t="s">
        <v>3720</v>
      </c>
      <c r="C3626" s="9" t="s">
        <v>3721</v>
      </c>
      <c r="D3626" s="9" t="s">
        <v>3722</v>
      </c>
      <c r="E3626" s="9" t="s">
        <v>1660</v>
      </c>
      <c r="F3626" s="9" t="s">
        <v>203</v>
      </c>
      <c r="G3626" s="9" t="s">
        <v>221</v>
      </c>
      <c r="H3626" s="9" t="n">
        <v>1125</v>
      </c>
      <c r="I3626" s="29" t="n">
        <v>0.6</v>
      </c>
      <c r="J3626" s="9" t="n">
        <v>0</v>
      </c>
      <c r="K3626" s="30"/>
      <c r="L3626" s="30"/>
      <c r="M3626" s="30"/>
      <c r="N3626" s="30"/>
      <c r="O3626" s="30"/>
      <c r="P3626" s="30"/>
      <c r="Q3626" s="30"/>
      <c r="R3626" s="30"/>
      <c r="S3626" s="30"/>
      <c r="T3626" s="30"/>
      <c r="U3626" s="21" t="str">
        <f aca="false">IF(COUNT(K3626:T3626)=0,"SOURCE EMPTY / INDUSTRIAL ONLY",IF(MIN(K3626:T3626)=1,"SERVICE READY","HOLD"))</f>
        <v>SOURCE EMPTY / INDUSTRIAL ONLY</v>
      </c>
      <c r="V3626" s="9" t="n">
        <f aca="false">IF(U3626="SERVICE READY",1,0)</f>
        <v>0</v>
      </c>
      <c r="W3626" s="6"/>
      <c r="X3626" s="6"/>
      <c r="Y3626" s="6"/>
      <c r="Z3626" s="6"/>
    </row>
    <row r="3627" customFormat="false" ht="15" hidden="false" customHeight="false" outlineLevel="0" collapsed="false">
      <c r="A3627" s="9" t="s">
        <v>3907</v>
      </c>
      <c r="B3627" s="9" t="s">
        <v>3720</v>
      </c>
      <c r="C3627" s="9" t="s">
        <v>3721</v>
      </c>
      <c r="D3627" s="9" t="s">
        <v>3722</v>
      </c>
      <c r="E3627" s="9" t="s">
        <v>1660</v>
      </c>
      <c r="F3627" s="9" t="s">
        <v>205</v>
      </c>
      <c r="G3627" s="9" t="s">
        <v>221</v>
      </c>
      <c r="H3627" s="9" t="n">
        <v>1125</v>
      </c>
      <c r="I3627" s="29" t="n">
        <v>0.6</v>
      </c>
      <c r="J3627" s="9" t="n">
        <v>0</v>
      </c>
      <c r="K3627" s="30"/>
      <c r="L3627" s="30"/>
      <c r="M3627" s="30"/>
      <c r="N3627" s="30"/>
      <c r="O3627" s="30"/>
      <c r="P3627" s="30"/>
      <c r="Q3627" s="30"/>
      <c r="R3627" s="30"/>
      <c r="S3627" s="30"/>
      <c r="T3627" s="30"/>
      <c r="U3627" s="21" t="str">
        <f aca="false">IF(COUNT(K3627:T3627)=0,"SOURCE EMPTY / INDUSTRIAL ONLY",IF(MIN(K3627:T3627)=1,"SERVICE READY","HOLD"))</f>
        <v>SOURCE EMPTY / INDUSTRIAL ONLY</v>
      </c>
      <c r="V3627" s="9" t="n">
        <f aca="false">IF(U3627="SERVICE READY",1,0)</f>
        <v>0</v>
      </c>
      <c r="W3627" s="6"/>
      <c r="X3627" s="6"/>
      <c r="Y3627" s="6"/>
      <c r="Z3627" s="6"/>
    </row>
    <row r="3628" customFormat="false" ht="15" hidden="false" customHeight="false" outlineLevel="0" collapsed="false">
      <c r="A3628" s="9" t="s">
        <v>3908</v>
      </c>
      <c r="B3628" s="9" t="s">
        <v>3720</v>
      </c>
      <c r="C3628" s="9" t="s">
        <v>3721</v>
      </c>
      <c r="D3628" s="9" t="s">
        <v>3722</v>
      </c>
      <c r="E3628" s="9" t="s">
        <v>1660</v>
      </c>
      <c r="F3628" s="9" t="s">
        <v>207</v>
      </c>
      <c r="G3628" s="9" t="s">
        <v>221</v>
      </c>
      <c r="H3628" s="9" t="n">
        <v>1125</v>
      </c>
      <c r="I3628" s="29" t="n">
        <v>0.6</v>
      </c>
      <c r="J3628" s="9" t="n">
        <v>0</v>
      </c>
      <c r="K3628" s="30"/>
      <c r="L3628" s="30"/>
      <c r="M3628" s="30"/>
      <c r="N3628" s="30"/>
      <c r="O3628" s="30"/>
      <c r="P3628" s="30"/>
      <c r="Q3628" s="30"/>
      <c r="R3628" s="30"/>
      <c r="S3628" s="30"/>
      <c r="T3628" s="30"/>
      <c r="U3628" s="21" t="str">
        <f aca="false">IF(COUNT(K3628:T3628)=0,"SOURCE EMPTY / INDUSTRIAL ONLY",IF(MIN(K3628:T3628)=1,"SERVICE READY","HOLD"))</f>
        <v>SOURCE EMPTY / INDUSTRIAL ONLY</v>
      </c>
      <c r="V3628" s="9" t="n">
        <f aca="false">IF(U3628="SERVICE READY",1,0)</f>
        <v>0</v>
      </c>
      <c r="W3628" s="6"/>
      <c r="X3628" s="6"/>
      <c r="Y3628" s="6"/>
      <c r="Z3628" s="6"/>
    </row>
    <row r="3629" customFormat="false" ht="15" hidden="false" customHeight="false" outlineLevel="0" collapsed="false">
      <c r="A3629" s="9" t="s">
        <v>3909</v>
      </c>
      <c r="B3629" s="9" t="s">
        <v>3720</v>
      </c>
      <c r="C3629" s="9" t="s">
        <v>3721</v>
      </c>
      <c r="D3629" s="9" t="s">
        <v>3722</v>
      </c>
      <c r="E3629" s="9" t="s">
        <v>1660</v>
      </c>
      <c r="F3629" s="9" t="s">
        <v>209</v>
      </c>
      <c r="G3629" s="9" t="s">
        <v>221</v>
      </c>
      <c r="H3629" s="9" t="n">
        <v>1125</v>
      </c>
      <c r="I3629" s="29" t="n">
        <v>0.6</v>
      </c>
      <c r="J3629" s="9" t="n">
        <v>0</v>
      </c>
      <c r="K3629" s="30"/>
      <c r="L3629" s="30"/>
      <c r="M3629" s="30"/>
      <c r="N3629" s="30"/>
      <c r="O3629" s="30"/>
      <c r="P3629" s="30"/>
      <c r="Q3629" s="30"/>
      <c r="R3629" s="30"/>
      <c r="S3629" s="30"/>
      <c r="T3629" s="30"/>
      <c r="U3629" s="21" t="str">
        <f aca="false">IF(COUNT(K3629:T3629)=0,"SOURCE EMPTY / INDUSTRIAL ONLY",IF(MIN(K3629:T3629)=1,"SERVICE READY","HOLD"))</f>
        <v>SOURCE EMPTY / INDUSTRIAL ONLY</v>
      </c>
      <c r="V3629" s="9" t="n">
        <f aca="false">IF(U3629="SERVICE READY",1,0)</f>
        <v>0</v>
      </c>
      <c r="W3629" s="6"/>
      <c r="X3629" s="6"/>
      <c r="Y3629" s="6"/>
      <c r="Z3629" s="6"/>
    </row>
    <row r="3630" customFormat="false" ht="15" hidden="false" customHeight="false" outlineLevel="0" collapsed="false">
      <c r="A3630" s="9" t="s">
        <v>3910</v>
      </c>
      <c r="B3630" s="9" t="s">
        <v>3720</v>
      </c>
      <c r="C3630" s="9" t="s">
        <v>3721</v>
      </c>
      <c r="D3630" s="9" t="s">
        <v>3722</v>
      </c>
      <c r="E3630" s="9" t="s">
        <v>1660</v>
      </c>
      <c r="F3630" s="9" t="s">
        <v>211</v>
      </c>
      <c r="G3630" s="9" t="s">
        <v>221</v>
      </c>
      <c r="H3630" s="9" t="n">
        <v>1125</v>
      </c>
      <c r="I3630" s="29" t="n">
        <v>0.6</v>
      </c>
      <c r="J3630" s="9" t="n">
        <v>0</v>
      </c>
      <c r="K3630" s="30"/>
      <c r="L3630" s="30"/>
      <c r="M3630" s="30"/>
      <c r="N3630" s="30"/>
      <c r="O3630" s="30"/>
      <c r="P3630" s="30"/>
      <c r="Q3630" s="30"/>
      <c r="R3630" s="30"/>
      <c r="S3630" s="30"/>
      <c r="T3630" s="30"/>
      <c r="U3630" s="21" t="str">
        <f aca="false">IF(COUNT(K3630:T3630)=0,"SOURCE EMPTY / INDUSTRIAL ONLY",IF(MIN(K3630:T3630)=1,"SERVICE READY","HOLD"))</f>
        <v>SOURCE EMPTY / INDUSTRIAL ONLY</v>
      </c>
      <c r="V3630" s="9" t="n">
        <f aca="false">IF(U3630="SERVICE READY",1,0)</f>
        <v>0</v>
      </c>
      <c r="W3630" s="6"/>
      <c r="X3630" s="6"/>
      <c r="Y3630" s="6"/>
      <c r="Z3630" s="6"/>
    </row>
    <row r="3631" customFormat="false" ht="15" hidden="false" customHeight="false" outlineLevel="0" collapsed="false">
      <c r="A3631" s="9" t="s">
        <v>3911</v>
      </c>
      <c r="B3631" s="9" t="s">
        <v>3720</v>
      </c>
      <c r="C3631" s="9" t="s">
        <v>3721</v>
      </c>
      <c r="D3631" s="9" t="s">
        <v>3722</v>
      </c>
      <c r="E3631" s="9" t="s">
        <v>1660</v>
      </c>
      <c r="F3631" s="9" t="s">
        <v>197</v>
      </c>
      <c r="G3631" s="9" t="s">
        <v>221</v>
      </c>
      <c r="H3631" s="9" t="n">
        <v>1125</v>
      </c>
      <c r="I3631" s="29" t="n">
        <v>0.6</v>
      </c>
      <c r="J3631" s="9" t="n">
        <v>0</v>
      </c>
      <c r="K3631" s="30"/>
      <c r="L3631" s="30"/>
      <c r="M3631" s="30"/>
      <c r="N3631" s="30"/>
      <c r="O3631" s="30"/>
      <c r="P3631" s="30"/>
      <c r="Q3631" s="30"/>
      <c r="R3631" s="30"/>
      <c r="S3631" s="30"/>
      <c r="T3631" s="30"/>
      <c r="U3631" s="21" t="str">
        <f aca="false">IF(COUNT(K3631:T3631)=0,"SOURCE EMPTY / INDUSTRIAL ONLY",IF(MIN(K3631:T3631)=1,"SERVICE READY","HOLD"))</f>
        <v>SOURCE EMPTY / INDUSTRIAL ONLY</v>
      </c>
      <c r="V3631" s="9" t="n">
        <f aca="false">IF(U3631="SERVICE READY",1,0)</f>
        <v>0</v>
      </c>
      <c r="W3631" s="6"/>
      <c r="X3631" s="6"/>
      <c r="Y3631" s="6"/>
      <c r="Z3631" s="6"/>
    </row>
    <row r="3632" customFormat="false" ht="15" hidden="false" customHeight="false" outlineLevel="0" collapsed="false">
      <c r="A3632" s="9" t="s">
        <v>3912</v>
      </c>
      <c r="B3632" s="9" t="s">
        <v>3720</v>
      </c>
      <c r="C3632" s="9" t="s">
        <v>3721</v>
      </c>
      <c r="D3632" s="9" t="s">
        <v>3722</v>
      </c>
      <c r="E3632" s="9" t="s">
        <v>1660</v>
      </c>
      <c r="F3632" s="9" t="s">
        <v>200</v>
      </c>
      <c r="G3632" s="9" t="s">
        <v>221</v>
      </c>
      <c r="H3632" s="9" t="n">
        <v>1125</v>
      </c>
      <c r="I3632" s="29" t="n">
        <v>0.6</v>
      </c>
      <c r="J3632" s="9" t="n">
        <v>0</v>
      </c>
      <c r="K3632" s="30"/>
      <c r="L3632" s="30"/>
      <c r="M3632" s="30"/>
      <c r="N3632" s="30"/>
      <c r="O3632" s="30"/>
      <c r="P3632" s="30"/>
      <c r="Q3632" s="30"/>
      <c r="R3632" s="30"/>
      <c r="S3632" s="30"/>
      <c r="T3632" s="30"/>
      <c r="U3632" s="21" t="str">
        <f aca="false">IF(COUNT(K3632:T3632)=0,"SOURCE EMPTY / INDUSTRIAL ONLY",IF(MIN(K3632:T3632)=1,"SERVICE READY","HOLD"))</f>
        <v>SOURCE EMPTY / INDUSTRIAL ONLY</v>
      </c>
      <c r="V3632" s="9" t="n">
        <f aca="false">IF(U3632="SERVICE READY",1,0)</f>
        <v>0</v>
      </c>
      <c r="W3632" s="6"/>
      <c r="X3632" s="6"/>
      <c r="Y3632" s="6"/>
      <c r="Z3632" s="6"/>
    </row>
    <row r="3633" customFormat="false" ht="15" hidden="false" customHeight="false" outlineLevel="0" collapsed="false">
      <c r="A3633" s="9" t="s">
        <v>3913</v>
      </c>
      <c r="B3633" s="9" t="s">
        <v>3720</v>
      </c>
      <c r="C3633" s="9" t="s">
        <v>3721</v>
      </c>
      <c r="D3633" s="9" t="s">
        <v>3722</v>
      </c>
      <c r="E3633" s="9" t="s">
        <v>1660</v>
      </c>
      <c r="F3633" s="9" t="s">
        <v>203</v>
      </c>
      <c r="G3633" s="9" t="s">
        <v>221</v>
      </c>
      <c r="H3633" s="9" t="n">
        <v>1125</v>
      </c>
      <c r="I3633" s="29" t="n">
        <v>0.6</v>
      </c>
      <c r="J3633" s="9" t="n">
        <v>0</v>
      </c>
      <c r="K3633" s="30"/>
      <c r="L3633" s="30"/>
      <c r="M3633" s="30"/>
      <c r="N3633" s="30"/>
      <c r="O3633" s="30"/>
      <c r="P3633" s="30"/>
      <c r="Q3633" s="30"/>
      <c r="R3633" s="30"/>
      <c r="S3633" s="30"/>
      <c r="T3633" s="30"/>
      <c r="U3633" s="21" t="str">
        <f aca="false">IF(COUNT(K3633:T3633)=0,"SOURCE EMPTY / INDUSTRIAL ONLY",IF(MIN(K3633:T3633)=1,"SERVICE READY","HOLD"))</f>
        <v>SOURCE EMPTY / INDUSTRIAL ONLY</v>
      </c>
      <c r="V3633" s="9" t="n">
        <f aca="false">IF(U3633="SERVICE READY",1,0)</f>
        <v>0</v>
      </c>
      <c r="W3633" s="6"/>
      <c r="X3633" s="6"/>
      <c r="Y3633" s="6"/>
      <c r="Z3633" s="6"/>
    </row>
    <row r="3634" customFormat="false" ht="15" hidden="false" customHeight="false" outlineLevel="0" collapsed="false">
      <c r="A3634" s="9" t="s">
        <v>3914</v>
      </c>
      <c r="B3634" s="9" t="s">
        <v>3720</v>
      </c>
      <c r="C3634" s="9" t="s">
        <v>3721</v>
      </c>
      <c r="D3634" s="9" t="s">
        <v>3722</v>
      </c>
      <c r="E3634" s="9" t="s">
        <v>1660</v>
      </c>
      <c r="F3634" s="9" t="s">
        <v>205</v>
      </c>
      <c r="G3634" s="9" t="s">
        <v>221</v>
      </c>
      <c r="H3634" s="9" t="n">
        <v>1125</v>
      </c>
      <c r="I3634" s="29" t="n">
        <v>0.6</v>
      </c>
      <c r="J3634" s="9" t="n">
        <v>0</v>
      </c>
      <c r="K3634" s="30"/>
      <c r="L3634" s="30"/>
      <c r="M3634" s="30"/>
      <c r="N3634" s="30"/>
      <c r="O3634" s="30"/>
      <c r="P3634" s="30"/>
      <c r="Q3634" s="30"/>
      <c r="R3634" s="30"/>
      <c r="S3634" s="30"/>
      <c r="T3634" s="30"/>
      <c r="U3634" s="21" t="str">
        <f aca="false">IF(COUNT(K3634:T3634)=0,"SOURCE EMPTY / INDUSTRIAL ONLY",IF(MIN(K3634:T3634)=1,"SERVICE READY","HOLD"))</f>
        <v>SOURCE EMPTY / INDUSTRIAL ONLY</v>
      </c>
      <c r="V3634" s="9" t="n">
        <f aca="false">IF(U3634="SERVICE READY",1,0)</f>
        <v>0</v>
      </c>
      <c r="W3634" s="6"/>
      <c r="X3634" s="6"/>
      <c r="Y3634" s="6"/>
      <c r="Z3634" s="6"/>
    </row>
    <row r="3635" customFormat="false" ht="15" hidden="false" customHeight="false" outlineLevel="0" collapsed="false">
      <c r="A3635" s="9" t="s">
        <v>3915</v>
      </c>
      <c r="B3635" s="9" t="s">
        <v>3720</v>
      </c>
      <c r="C3635" s="9" t="s">
        <v>3721</v>
      </c>
      <c r="D3635" s="9" t="s">
        <v>3722</v>
      </c>
      <c r="E3635" s="9" t="s">
        <v>1660</v>
      </c>
      <c r="F3635" s="9" t="s">
        <v>207</v>
      </c>
      <c r="G3635" s="9" t="s">
        <v>221</v>
      </c>
      <c r="H3635" s="9" t="n">
        <v>1125</v>
      </c>
      <c r="I3635" s="29" t="n">
        <v>0.6</v>
      </c>
      <c r="J3635" s="9" t="n">
        <v>0</v>
      </c>
      <c r="K3635" s="30"/>
      <c r="L3635" s="30"/>
      <c r="M3635" s="30"/>
      <c r="N3635" s="30"/>
      <c r="O3635" s="30"/>
      <c r="P3635" s="30"/>
      <c r="Q3635" s="30"/>
      <c r="R3635" s="30"/>
      <c r="S3635" s="30"/>
      <c r="T3635" s="30"/>
      <c r="U3635" s="21" t="str">
        <f aca="false">IF(COUNT(K3635:T3635)=0,"SOURCE EMPTY / INDUSTRIAL ONLY",IF(MIN(K3635:T3635)=1,"SERVICE READY","HOLD"))</f>
        <v>SOURCE EMPTY / INDUSTRIAL ONLY</v>
      </c>
      <c r="V3635" s="9" t="n">
        <f aca="false">IF(U3635="SERVICE READY",1,0)</f>
        <v>0</v>
      </c>
      <c r="W3635" s="6"/>
      <c r="X3635" s="6"/>
      <c r="Y3635" s="6"/>
      <c r="Z3635" s="6"/>
    </row>
    <row r="3636" customFormat="false" ht="15" hidden="false" customHeight="false" outlineLevel="0" collapsed="false">
      <c r="A3636" s="9" t="s">
        <v>3916</v>
      </c>
      <c r="B3636" s="9" t="s">
        <v>3720</v>
      </c>
      <c r="C3636" s="9" t="s">
        <v>3721</v>
      </c>
      <c r="D3636" s="9" t="s">
        <v>3722</v>
      </c>
      <c r="E3636" s="9" t="s">
        <v>1660</v>
      </c>
      <c r="F3636" s="9" t="s">
        <v>209</v>
      </c>
      <c r="G3636" s="9" t="s">
        <v>221</v>
      </c>
      <c r="H3636" s="9" t="n">
        <v>1125</v>
      </c>
      <c r="I3636" s="29" t="n">
        <v>0.6</v>
      </c>
      <c r="J3636" s="9" t="n">
        <v>0</v>
      </c>
      <c r="K3636" s="30"/>
      <c r="L3636" s="30"/>
      <c r="M3636" s="30"/>
      <c r="N3636" s="30"/>
      <c r="O3636" s="30"/>
      <c r="P3636" s="30"/>
      <c r="Q3636" s="30"/>
      <c r="R3636" s="30"/>
      <c r="S3636" s="30"/>
      <c r="T3636" s="30"/>
      <c r="U3636" s="21" t="str">
        <f aca="false">IF(COUNT(K3636:T3636)=0,"SOURCE EMPTY / INDUSTRIAL ONLY",IF(MIN(K3636:T3636)=1,"SERVICE READY","HOLD"))</f>
        <v>SOURCE EMPTY / INDUSTRIAL ONLY</v>
      </c>
      <c r="V3636" s="9" t="n">
        <f aca="false">IF(U3636="SERVICE READY",1,0)</f>
        <v>0</v>
      </c>
      <c r="W3636" s="6"/>
      <c r="X3636" s="6"/>
      <c r="Y3636" s="6"/>
      <c r="Z3636" s="6"/>
    </row>
    <row r="3637" customFormat="false" ht="15" hidden="false" customHeight="false" outlineLevel="0" collapsed="false">
      <c r="A3637" s="9" t="s">
        <v>3917</v>
      </c>
      <c r="B3637" s="9" t="s">
        <v>3720</v>
      </c>
      <c r="C3637" s="9" t="s">
        <v>3721</v>
      </c>
      <c r="D3637" s="9" t="s">
        <v>3722</v>
      </c>
      <c r="E3637" s="9" t="s">
        <v>1660</v>
      </c>
      <c r="F3637" s="9" t="s">
        <v>211</v>
      </c>
      <c r="G3637" s="9" t="s">
        <v>221</v>
      </c>
      <c r="H3637" s="9" t="n">
        <v>1125</v>
      </c>
      <c r="I3637" s="29" t="n">
        <v>0.6</v>
      </c>
      <c r="J3637" s="9" t="n">
        <v>0</v>
      </c>
      <c r="K3637" s="30"/>
      <c r="L3637" s="30"/>
      <c r="M3637" s="30"/>
      <c r="N3637" s="30"/>
      <c r="O3637" s="30"/>
      <c r="P3637" s="30"/>
      <c r="Q3637" s="30"/>
      <c r="R3637" s="30"/>
      <c r="S3637" s="30"/>
      <c r="T3637" s="30"/>
      <c r="U3637" s="21" t="str">
        <f aca="false">IF(COUNT(K3637:T3637)=0,"SOURCE EMPTY / INDUSTRIAL ONLY",IF(MIN(K3637:T3637)=1,"SERVICE READY","HOLD"))</f>
        <v>SOURCE EMPTY / INDUSTRIAL ONLY</v>
      </c>
      <c r="V3637" s="9" t="n">
        <f aca="false">IF(U3637="SERVICE READY",1,0)</f>
        <v>0</v>
      </c>
      <c r="W3637" s="6"/>
      <c r="X3637" s="6"/>
      <c r="Y3637" s="6"/>
      <c r="Z3637" s="6"/>
    </row>
    <row r="3638" customFormat="false" ht="15" hidden="false" customHeight="false" outlineLevel="0" collapsed="false">
      <c r="A3638" s="9" t="s">
        <v>3918</v>
      </c>
      <c r="B3638" s="9" t="s">
        <v>3720</v>
      </c>
      <c r="C3638" s="9" t="s">
        <v>3721</v>
      </c>
      <c r="D3638" s="9" t="s">
        <v>3722</v>
      </c>
      <c r="E3638" s="9" t="s">
        <v>1660</v>
      </c>
      <c r="F3638" s="9" t="s">
        <v>197</v>
      </c>
      <c r="G3638" s="9" t="s">
        <v>221</v>
      </c>
      <c r="H3638" s="9" t="n">
        <v>1125</v>
      </c>
      <c r="I3638" s="29" t="n">
        <v>0.6</v>
      </c>
      <c r="J3638" s="9" t="n">
        <v>0</v>
      </c>
      <c r="K3638" s="30"/>
      <c r="L3638" s="30"/>
      <c r="M3638" s="30"/>
      <c r="N3638" s="30"/>
      <c r="O3638" s="30"/>
      <c r="P3638" s="30"/>
      <c r="Q3638" s="30"/>
      <c r="R3638" s="30"/>
      <c r="S3638" s="30"/>
      <c r="T3638" s="30"/>
      <c r="U3638" s="21" t="str">
        <f aca="false">IF(COUNT(K3638:T3638)=0,"SOURCE EMPTY / INDUSTRIAL ONLY",IF(MIN(K3638:T3638)=1,"SERVICE READY","HOLD"))</f>
        <v>SOURCE EMPTY / INDUSTRIAL ONLY</v>
      </c>
      <c r="V3638" s="9" t="n">
        <f aca="false">IF(U3638="SERVICE READY",1,0)</f>
        <v>0</v>
      </c>
      <c r="W3638" s="6"/>
      <c r="X3638" s="6"/>
      <c r="Y3638" s="6"/>
      <c r="Z3638" s="6"/>
    </row>
    <row r="3639" customFormat="false" ht="15" hidden="false" customHeight="false" outlineLevel="0" collapsed="false">
      <c r="A3639" s="9" t="s">
        <v>3919</v>
      </c>
      <c r="B3639" s="9" t="s">
        <v>3720</v>
      </c>
      <c r="C3639" s="9" t="s">
        <v>3721</v>
      </c>
      <c r="D3639" s="9" t="s">
        <v>3722</v>
      </c>
      <c r="E3639" s="9" t="s">
        <v>1660</v>
      </c>
      <c r="F3639" s="9" t="s">
        <v>200</v>
      </c>
      <c r="G3639" s="9" t="s">
        <v>221</v>
      </c>
      <c r="H3639" s="9" t="n">
        <v>1125</v>
      </c>
      <c r="I3639" s="29" t="n">
        <v>0.6</v>
      </c>
      <c r="J3639" s="9" t="n">
        <v>0</v>
      </c>
      <c r="K3639" s="30"/>
      <c r="L3639" s="30"/>
      <c r="M3639" s="30"/>
      <c r="N3639" s="30"/>
      <c r="O3639" s="30"/>
      <c r="P3639" s="30"/>
      <c r="Q3639" s="30"/>
      <c r="R3639" s="30"/>
      <c r="S3639" s="30"/>
      <c r="T3639" s="30"/>
      <c r="U3639" s="21" t="str">
        <f aca="false">IF(COUNT(K3639:T3639)=0,"SOURCE EMPTY / INDUSTRIAL ONLY",IF(MIN(K3639:T3639)=1,"SERVICE READY","HOLD"))</f>
        <v>SOURCE EMPTY / INDUSTRIAL ONLY</v>
      </c>
      <c r="V3639" s="9" t="n">
        <f aca="false">IF(U3639="SERVICE READY",1,0)</f>
        <v>0</v>
      </c>
      <c r="W3639" s="6"/>
      <c r="X3639" s="6"/>
      <c r="Y3639" s="6"/>
      <c r="Z3639" s="6"/>
    </row>
    <row r="3640" customFormat="false" ht="15" hidden="false" customHeight="false" outlineLevel="0" collapsed="false">
      <c r="A3640" s="9" t="s">
        <v>3920</v>
      </c>
      <c r="B3640" s="9" t="s">
        <v>3720</v>
      </c>
      <c r="C3640" s="9" t="s">
        <v>3721</v>
      </c>
      <c r="D3640" s="9" t="s">
        <v>3722</v>
      </c>
      <c r="E3640" s="9" t="s">
        <v>1660</v>
      </c>
      <c r="F3640" s="9" t="s">
        <v>203</v>
      </c>
      <c r="G3640" s="9" t="s">
        <v>221</v>
      </c>
      <c r="H3640" s="9" t="n">
        <v>1125</v>
      </c>
      <c r="I3640" s="29" t="n">
        <v>0.6</v>
      </c>
      <c r="J3640" s="9" t="n">
        <v>0</v>
      </c>
      <c r="K3640" s="30"/>
      <c r="L3640" s="30"/>
      <c r="M3640" s="30"/>
      <c r="N3640" s="30"/>
      <c r="O3640" s="30"/>
      <c r="P3640" s="30"/>
      <c r="Q3640" s="30"/>
      <c r="R3640" s="30"/>
      <c r="S3640" s="30"/>
      <c r="T3640" s="30"/>
      <c r="U3640" s="21" t="str">
        <f aca="false">IF(COUNT(K3640:T3640)=0,"SOURCE EMPTY / INDUSTRIAL ONLY",IF(MIN(K3640:T3640)=1,"SERVICE READY","HOLD"))</f>
        <v>SOURCE EMPTY / INDUSTRIAL ONLY</v>
      </c>
      <c r="V3640" s="9" t="n">
        <f aca="false">IF(U3640="SERVICE READY",1,0)</f>
        <v>0</v>
      </c>
      <c r="W3640" s="6"/>
      <c r="X3640" s="6"/>
      <c r="Y3640" s="6"/>
      <c r="Z3640" s="6"/>
    </row>
    <row r="3641" customFormat="false" ht="15" hidden="false" customHeight="false" outlineLevel="0" collapsed="false">
      <c r="A3641" s="9" t="s">
        <v>3921</v>
      </c>
      <c r="B3641" s="9" t="s">
        <v>3720</v>
      </c>
      <c r="C3641" s="9" t="s">
        <v>3721</v>
      </c>
      <c r="D3641" s="9" t="s">
        <v>3722</v>
      </c>
      <c r="E3641" s="9" t="s">
        <v>1660</v>
      </c>
      <c r="F3641" s="9" t="s">
        <v>205</v>
      </c>
      <c r="G3641" s="9" t="s">
        <v>221</v>
      </c>
      <c r="H3641" s="9" t="n">
        <v>1125</v>
      </c>
      <c r="I3641" s="29" t="n">
        <v>0.6</v>
      </c>
      <c r="J3641" s="9" t="n">
        <v>0</v>
      </c>
      <c r="K3641" s="30"/>
      <c r="L3641" s="30"/>
      <c r="M3641" s="30"/>
      <c r="N3641" s="30"/>
      <c r="O3641" s="30"/>
      <c r="P3641" s="30"/>
      <c r="Q3641" s="30"/>
      <c r="R3641" s="30"/>
      <c r="S3641" s="30"/>
      <c r="T3641" s="30"/>
      <c r="U3641" s="21" t="str">
        <f aca="false">IF(COUNT(K3641:T3641)=0,"SOURCE EMPTY / INDUSTRIAL ONLY",IF(MIN(K3641:T3641)=1,"SERVICE READY","HOLD"))</f>
        <v>SOURCE EMPTY / INDUSTRIAL ONLY</v>
      </c>
      <c r="V3641" s="9" t="n">
        <f aca="false">IF(U3641="SERVICE READY",1,0)</f>
        <v>0</v>
      </c>
      <c r="W3641" s="6"/>
      <c r="X3641" s="6"/>
      <c r="Y3641" s="6"/>
      <c r="Z3641" s="6"/>
    </row>
    <row r="3642" customFormat="false" ht="15" hidden="false" customHeight="false" outlineLevel="0" collapsed="false">
      <c r="A3642" s="9" t="s">
        <v>3922</v>
      </c>
      <c r="B3642" s="9" t="s">
        <v>3720</v>
      </c>
      <c r="C3642" s="9" t="s">
        <v>3721</v>
      </c>
      <c r="D3642" s="9" t="s">
        <v>3722</v>
      </c>
      <c r="E3642" s="9" t="s">
        <v>1660</v>
      </c>
      <c r="F3642" s="9" t="s">
        <v>207</v>
      </c>
      <c r="G3642" s="9" t="s">
        <v>221</v>
      </c>
      <c r="H3642" s="9" t="n">
        <v>1125</v>
      </c>
      <c r="I3642" s="29" t="n">
        <v>0.6</v>
      </c>
      <c r="J3642" s="9" t="n">
        <v>0</v>
      </c>
      <c r="K3642" s="30"/>
      <c r="L3642" s="30"/>
      <c r="M3642" s="30"/>
      <c r="N3642" s="30"/>
      <c r="O3642" s="30"/>
      <c r="P3642" s="30"/>
      <c r="Q3642" s="30"/>
      <c r="R3642" s="30"/>
      <c r="S3642" s="30"/>
      <c r="T3642" s="30"/>
      <c r="U3642" s="21" t="str">
        <f aca="false">IF(COUNT(K3642:T3642)=0,"SOURCE EMPTY / INDUSTRIAL ONLY",IF(MIN(K3642:T3642)=1,"SERVICE READY","HOLD"))</f>
        <v>SOURCE EMPTY / INDUSTRIAL ONLY</v>
      </c>
      <c r="V3642" s="9" t="n">
        <f aca="false">IF(U3642="SERVICE READY",1,0)</f>
        <v>0</v>
      </c>
      <c r="W3642" s="6"/>
      <c r="X3642" s="6"/>
      <c r="Y3642" s="6"/>
      <c r="Z3642" s="6"/>
    </row>
    <row r="3643" customFormat="false" ht="15" hidden="false" customHeight="false" outlineLevel="0" collapsed="false">
      <c r="A3643" s="9" t="s">
        <v>3923</v>
      </c>
      <c r="B3643" s="9" t="s">
        <v>3720</v>
      </c>
      <c r="C3643" s="9" t="s">
        <v>3721</v>
      </c>
      <c r="D3643" s="9" t="s">
        <v>3722</v>
      </c>
      <c r="E3643" s="9" t="s">
        <v>1660</v>
      </c>
      <c r="F3643" s="9" t="s">
        <v>209</v>
      </c>
      <c r="G3643" s="9" t="s">
        <v>221</v>
      </c>
      <c r="H3643" s="9" t="n">
        <v>1125</v>
      </c>
      <c r="I3643" s="29" t="n">
        <v>0.6</v>
      </c>
      <c r="J3643" s="9" t="n">
        <v>0</v>
      </c>
      <c r="K3643" s="30"/>
      <c r="L3643" s="30"/>
      <c r="M3643" s="30"/>
      <c r="N3643" s="30"/>
      <c r="O3643" s="30"/>
      <c r="P3643" s="30"/>
      <c r="Q3643" s="30"/>
      <c r="R3643" s="30"/>
      <c r="S3643" s="30"/>
      <c r="T3643" s="30"/>
      <c r="U3643" s="21" t="str">
        <f aca="false">IF(COUNT(K3643:T3643)=0,"SOURCE EMPTY / INDUSTRIAL ONLY",IF(MIN(K3643:T3643)=1,"SERVICE READY","HOLD"))</f>
        <v>SOURCE EMPTY / INDUSTRIAL ONLY</v>
      </c>
      <c r="V3643" s="9" t="n">
        <f aca="false">IF(U3643="SERVICE READY",1,0)</f>
        <v>0</v>
      </c>
      <c r="W3643" s="6"/>
      <c r="X3643" s="6"/>
      <c r="Y3643" s="6"/>
      <c r="Z3643" s="6"/>
    </row>
    <row r="3644" customFormat="false" ht="15" hidden="false" customHeight="false" outlineLevel="0" collapsed="false">
      <c r="A3644" s="9" t="s">
        <v>3924</v>
      </c>
      <c r="B3644" s="9" t="s">
        <v>3720</v>
      </c>
      <c r="C3644" s="9" t="s">
        <v>3721</v>
      </c>
      <c r="D3644" s="9" t="s">
        <v>3722</v>
      </c>
      <c r="E3644" s="9" t="s">
        <v>1660</v>
      </c>
      <c r="F3644" s="9" t="s">
        <v>211</v>
      </c>
      <c r="G3644" s="9" t="s">
        <v>221</v>
      </c>
      <c r="H3644" s="9" t="n">
        <v>1125</v>
      </c>
      <c r="I3644" s="29" t="n">
        <v>0.6</v>
      </c>
      <c r="J3644" s="9" t="n">
        <v>0</v>
      </c>
      <c r="K3644" s="30"/>
      <c r="L3644" s="30"/>
      <c r="M3644" s="30"/>
      <c r="N3644" s="30"/>
      <c r="O3644" s="30"/>
      <c r="P3644" s="30"/>
      <c r="Q3644" s="30"/>
      <c r="R3644" s="30"/>
      <c r="S3644" s="30"/>
      <c r="T3644" s="30"/>
      <c r="U3644" s="21" t="str">
        <f aca="false">IF(COUNT(K3644:T3644)=0,"SOURCE EMPTY / INDUSTRIAL ONLY",IF(MIN(K3644:T3644)=1,"SERVICE READY","HOLD"))</f>
        <v>SOURCE EMPTY / INDUSTRIAL ONLY</v>
      </c>
      <c r="V3644" s="9" t="n">
        <f aca="false">IF(U3644="SERVICE READY",1,0)</f>
        <v>0</v>
      </c>
      <c r="W3644" s="6"/>
      <c r="X3644" s="6"/>
      <c r="Y3644" s="6"/>
      <c r="Z3644" s="6"/>
    </row>
    <row r="3645" customFormat="false" ht="15" hidden="false" customHeight="false" outlineLevel="0" collapsed="false">
      <c r="A3645" s="9" t="s">
        <v>3925</v>
      </c>
      <c r="B3645" s="9" t="s">
        <v>3720</v>
      </c>
      <c r="C3645" s="9" t="s">
        <v>3721</v>
      </c>
      <c r="D3645" s="9" t="s">
        <v>3722</v>
      </c>
      <c r="E3645" s="9" t="s">
        <v>1660</v>
      </c>
      <c r="F3645" s="9" t="s">
        <v>197</v>
      </c>
      <c r="G3645" s="9" t="s">
        <v>221</v>
      </c>
      <c r="H3645" s="9" t="n">
        <v>1125</v>
      </c>
      <c r="I3645" s="29" t="n">
        <v>0.6</v>
      </c>
      <c r="J3645" s="9" t="n">
        <v>0</v>
      </c>
      <c r="K3645" s="30"/>
      <c r="L3645" s="30"/>
      <c r="M3645" s="30"/>
      <c r="N3645" s="30"/>
      <c r="O3645" s="30"/>
      <c r="P3645" s="30"/>
      <c r="Q3645" s="30"/>
      <c r="R3645" s="30"/>
      <c r="S3645" s="30"/>
      <c r="T3645" s="30"/>
      <c r="U3645" s="21" t="str">
        <f aca="false">IF(COUNT(K3645:T3645)=0,"SOURCE EMPTY / INDUSTRIAL ONLY",IF(MIN(K3645:T3645)=1,"SERVICE READY","HOLD"))</f>
        <v>SOURCE EMPTY / INDUSTRIAL ONLY</v>
      </c>
      <c r="V3645" s="9" t="n">
        <f aca="false">IF(U3645="SERVICE READY",1,0)</f>
        <v>0</v>
      </c>
      <c r="W3645" s="6"/>
      <c r="X3645" s="6"/>
      <c r="Y3645" s="6"/>
      <c r="Z3645" s="6"/>
    </row>
    <row r="3646" customFormat="false" ht="15" hidden="false" customHeight="false" outlineLevel="0" collapsed="false">
      <c r="A3646" s="9" t="s">
        <v>3926</v>
      </c>
      <c r="B3646" s="9" t="s">
        <v>3720</v>
      </c>
      <c r="C3646" s="9" t="s">
        <v>3721</v>
      </c>
      <c r="D3646" s="9" t="s">
        <v>3722</v>
      </c>
      <c r="E3646" s="9" t="s">
        <v>1660</v>
      </c>
      <c r="F3646" s="9" t="s">
        <v>200</v>
      </c>
      <c r="G3646" s="9" t="s">
        <v>221</v>
      </c>
      <c r="H3646" s="9" t="n">
        <v>1125</v>
      </c>
      <c r="I3646" s="29" t="n">
        <v>0.6</v>
      </c>
      <c r="J3646" s="9" t="n">
        <v>0</v>
      </c>
      <c r="K3646" s="30"/>
      <c r="L3646" s="30"/>
      <c r="M3646" s="30"/>
      <c r="N3646" s="30"/>
      <c r="O3646" s="30"/>
      <c r="P3646" s="30"/>
      <c r="Q3646" s="30"/>
      <c r="R3646" s="30"/>
      <c r="S3646" s="30"/>
      <c r="T3646" s="30"/>
      <c r="U3646" s="21" t="str">
        <f aca="false">IF(COUNT(K3646:T3646)=0,"SOURCE EMPTY / INDUSTRIAL ONLY",IF(MIN(K3646:T3646)=1,"SERVICE READY","HOLD"))</f>
        <v>SOURCE EMPTY / INDUSTRIAL ONLY</v>
      </c>
      <c r="V3646" s="9" t="n">
        <f aca="false">IF(U3646="SERVICE READY",1,0)</f>
        <v>0</v>
      </c>
      <c r="W3646" s="6"/>
      <c r="X3646" s="6"/>
      <c r="Y3646" s="6"/>
      <c r="Z3646" s="6"/>
    </row>
    <row r="3647" customFormat="false" ht="15" hidden="false" customHeight="false" outlineLevel="0" collapsed="false">
      <c r="A3647" s="9" t="s">
        <v>3927</v>
      </c>
      <c r="B3647" s="9" t="s">
        <v>3720</v>
      </c>
      <c r="C3647" s="9" t="s">
        <v>3721</v>
      </c>
      <c r="D3647" s="9" t="s">
        <v>3722</v>
      </c>
      <c r="E3647" s="9" t="s">
        <v>1660</v>
      </c>
      <c r="F3647" s="9" t="s">
        <v>203</v>
      </c>
      <c r="G3647" s="9" t="s">
        <v>221</v>
      </c>
      <c r="H3647" s="9" t="n">
        <v>1125</v>
      </c>
      <c r="I3647" s="29" t="n">
        <v>0.6</v>
      </c>
      <c r="J3647" s="9" t="n">
        <v>0</v>
      </c>
      <c r="K3647" s="30"/>
      <c r="L3647" s="30"/>
      <c r="M3647" s="30"/>
      <c r="N3647" s="30"/>
      <c r="O3647" s="30"/>
      <c r="P3647" s="30"/>
      <c r="Q3647" s="30"/>
      <c r="R3647" s="30"/>
      <c r="S3647" s="30"/>
      <c r="T3647" s="30"/>
      <c r="U3647" s="21" t="str">
        <f aca="false">IF(COUNT(K3647:T3647)=0,"SOURCE EMPTY / INDUSTRIAL ONLY",IF(MIN(K3647:T3647)=1,"SERVICE READY","HOLD"))</f>
        <v>SOURCE EMPTY / INDUSTRIAL ONLY</v>
      </c>
      <c r="V3647" s="9" t="n">
        <f aca="false">IF(U3647="SERVICE READY",1,0)</f>
        <v>0</v>
      </c>
      <c r="W3647" s="6"/>
      <c r="X3647" s="6"/>
      <c r="Y3647" s="6"/>
      <c r="Z3647" s="6"/>
    </row>
    <row r="3648" customFormat="false" ht="15" hidden="false" customHeight="false" outlineLevel="0" collapsed="false">
      <c r="A3648" s="9" t="s">
        <v>3928</v>
      </c>
      <c r="B3648" s="9" t="s">
        <v>3720</v>
      </c>
      <c r="C3648" s="9" t="s">
        <v>3721</v>
      </c>
      <c r="D3648" s="9" t="s">
        <v>3722</v>
      </c>
      <c r="E3648" s="9" t="s">
        <v>1660</v>
      </c>
      <c r="F3648" s="9" t="s">
        <v>205</v>
      </c>
      <c r="G3648" s="9" t="s">
        <v>221</v>
      </c>
      <c r="H3648" s="9" t="n">
        <v>1125</v>
      </c>
      <c r="I3648" s="29" t="n">
        <v>0.6</v>
      </c>
      <c r="J3648" s="9" t="n">
        <v>0</v>
      </c>
      <c r="K3648" s="30"/>
      <c r="L3648" s="30"/>
      <c r="M3648" s="30"/>
      <c r="N3648" s="30"/>
      <c r="O3648" s="30"/>
      <c r="P3648" s="30"/>
      <c r="Q3648" s="30"/>
      <c r="R3648" s="30"/>
      <c r="S3648" s="30"/>
      <c r="T3648" s="30"/>
      <c r="U3648" s="21" t="str">
        <f aca="false">IF(COUNT(K3648:T3648)=0,"SOURCE EMPTY / INDUSTRIAL ONLY",IF(MIN(K3648:T3648)=1,"SERVICE READY","HOLD"))</f>
        <v>SOURCE EMPTY / INDUSTRIAL ONLY</v>
      </c>
      <c r="V3648" s="9" t="n">
        <f aca="false">IF(U3648="SERVICE READY",1,0)</f>
        <v>0</v>
      </c>
      <c r="W3648" s="6"/>
      <c r="X3648" s="6"/>
      <c r="Y3648" s="6"/>
      <c r="Z3648" s="6"/>
    </row>
    <row r="3649" customFormat="false" ht="15" hidden="false" customHeight="false" outlineLevel="0" collapsed="false">
      <c r="A3649" s="9" t="s">
        <v>3929</v>
      </c>
      <c r="B3649" s="9" t="s">
        <v>3720</v>
      </c>
      <c r="C3649" s="9" t="s">
        <v>3721</v>
      </c>
      <c r="D3649" s="9" t="s">
        <v>3722</v>
      </c>
      <c r="E3649" s="9" t="s">
        <v>1660</v>
      </c>
      <c r="F3649" s="9" t="s">
        <v>207</v>
      </c>
      <c r="G3649" s="9" t="s">
        <v>221</v>
      </c>
      <c r="H3649" s="9" t="n">
        <v>1125</v>
      </c>
      <c r="I3649" s="29" t="n">
        <v>0.6</v>
      </c>
      <c r="J3649" s="9" t="n">
        <v>0</v>
      </c>
      <c r="K3649" s="30"/>
      <c r="L3649" s="30"/>
      <c r="M3649" s="30"/>
      <c r="N3649" s="30"/>
      <c r="O3649" s="30"/>
      <c r="P3649" s="30"/>
      <c r="Q3649" s="30"/>
      <c r="R3649" s="30"/>
      <c r="S3649" s="30"/>
      <c r="T3649" s="30"/>
      <c r="U3649" s="21" t="str">
        <f aca="false">IF(COUNT(K3649:T3649)=0,"SOURCE EMPTY / INDUSTRIAL ONLY",IF(MIN(K3649:T3649)=1,"SERVICE READY","HOLD"))</f>
        <v>SOURCE EMPTY / INDUSTRIAL ONLY</v>
      </c>
      <c r="V3649" s="9" t="n">
        <f aca="false">IF(U3649="SERVICE READY",1,0)</f>
        <v>0</v>
      </c>
      <c r="W3649" s="6"/>
      <c r="X3649" s="6"/>
      <c r="Y3649" s="6"/>
      <c r="Z3649" s="6"/>
    </row>
    <row r="3650" customFormat="false" ht="15" hidden="false" customHeight="false" outlineLevel="0" collapsed="false">
      <c r="A3650" s="9" t="s">
        <v>3930</v>
      </c>
      <c r="B3650" s="9" t="s">
        <v>3720</v>
      </c>
      <c r="C3650" s="9" t="s">
        <v>3721</v>
      </c>
      <c r="D3650" s="9" t="s">
        <v>3722</v>
      </c>
      <c r="E3650" s="9" t="s">
        <v>1660</v>
      </c>
      <c r="F3650" s="9" t="s">
        <v>209</v>
      </c>
      <c r="G3650" s="9" t="s">
        <v>221</v>
      </c>
      <c r="H3650" s="9" t="n">
        <v>1125</v>
      </c>
      <c r="I3650" s="29" t="n">
        <v>0.6</v>
      </c>
      <c r="J3650" s="9" t="n">
        <v>0</v>
      </c>
      <c r="K3650" s="30"/>
      <c r="L3650" s="30"/>
      <c r="M3650" s="30"/>
      <c r="N3650" s="30"/>
      <c r="O3650" s="30"/>
      <c r="P3650" s="30"/>
      <c r="Q3650" s="30"/>
      <c r="R3650" s="30"/>
      <c r="S3650" s="30"/>
      <c r="T3650" s="30"/>
      <c r="U3650" s="21" t="str">
        <f aca="false">IF(COUNT(K3650:T3650)=0,"SOURCE EMPTY / INDUSTRIAL ONLY",IF(MIN(K3650:T3650)=1,"SERVICE READY","HOLD"))</f>
        <v>SOURCE EMPTY / INDUSTRIAL ONLY</v>
      </c>
      <c r="V3650" s="9" t="n">
        <f aca="false">IF(U3650="SERVICE READY",1,0)</f>
        <v>0</v>
      </c>
      <c r="W3650" s="6"/>
      <c r="X3650" s="6"/>
      <c r="Y3650" s="6"/>
      <c r="Z3650" s="6"/>
    </row>
    <row r="3651" customFormat="false" ht="15" hidden="false" customHeight="false" outlineLevel="0" collapsed="false">
      <c r="A3651" s="9" t="s">
        <v>3931</v>
      </c>
      <c r="B3651" s="9" t="s">
        <v>3720</v>
      </c>
      <c r="C3651" s="9" t="s">
        <v>3721</v>
      </c>
      <c r="D3651" s="9" t="s">
        <v>3722</v>
      </c>
      <c r="E3651" s="9" t="s">
        <v>1660</v>
      </c>
      <c r="F3651" s="9" t="s">
        <v>211</v>
      </c>
      <c r="G3651" s="9" t="s">
        <v>221</v>
      </c>
      <c r="H3651" s="9" t="n">
        <v>1125</v>
      </c>
      <c r="I3651" s="29" t="n">
        <v>0.6</v>
      </c>
      <c r="J3651" s="9" t="n">
        <v>0</v>
      </c>
      <c r="K3651" s="30"/>
      <c r="L3651" s="30"/>
      <c r="M3651" s="30"/>
      <c r="N3651" s="30"/>
      <c r="O3651" s="30"/>
      <c r="P3651" s="30"/>
      <c r="Q3651" s="30"/>
      <c r="R3651" s="30"/>
      <c r="S3651" s="30"/>
      <c r="T3651" s="30"/>
      <c r="U3651" s="21" t="str">
        <f aca="false">IF(COUNT(K3651:T3651)=0,"SOURCE EMPTY / INDUSTRIAL ONLY",IF(MIN(K3651:T3651)=1,"SERVICE READY","HOLD"))</f>
        <v>SOURCE EMPTY / INDUSTRIAL ONLY</v>
      </c>
      <c r="V3651" s="9" t="n">
        <f aca="false">IF(U3651="SERVICE READY",1,0)</f>
        <v>0</v>
      </c>
      <c r="W3651" s="6"/>
      <c r="X3651" s="6"/>
      <c r="Y3651" s="6"/>
      <c r="Z3651" s="6"/>
    </row>
    <row r="3652" customFormat="false" ht="15" hidden="false" customHeight="false" outlineLevel="0" collapsed="false">
      <c r="A3652" s="9" t="s">
        <v>3932</v>
      </c>
      <c r="B3652" s="9" t="s">
        <v>3720</v>
      </c>
      <c r="C3652" s="9" t="s">
        <v>3721</v>
      </c>
      <c r="D3652" s="9" t="s">
        <v>3722</v>
      </c>
      <c r="E3652" s="9" t="s">
        <v>1660</v>
      </c>
      <c r="F3652" s="9" t="s">
        <v>197</v>
      </c>
      <c r="G3652" s="9" t="s">
        <v>221</v>
      </c>
      <c r="H3652" s="9" t="n">
        <v>1125</v>
      </c>
      <c r="I3652" s="29" t="n">
        <v>0.6</v>
      </c>
      <c r="J3652" s="9" t="n">
        <v>0</v>
      </c>
      <c r="K3652" s="30"/>
      <c r="L3652" s="30"/>
      <c r="M3652" s="30"/>
      <c r="N3652" s="30"/>
      <c r="O3652" s="30"/>
      <c r="P3652" s="30"/>
      <c r="Q3652" s="30"/>
      <c r="R3652" s="30"/>
      <c r="S3652" s="30"/>
      <c r="T3652" s="30"/>
      <c r="U3652" s="21" t="str">
        <f aca="false">IF(COUNT(K3652:T3652)=0,"SOURCE EMPTY / INDUSTRIAL ONLY",IF(MIN(K3652:T3652)=1,"SERVICE READY","HOLD"))</f>
        <v>SOURCE EMPTY / INDUSTRIAL ONLY</v>
      </c>
      <c r="V3652" s="9" t="n">
        <f aca="false">IF(U3652="SERVICE READY",1,0)</f>
        <v>0</v>
      </c>
      <c r="W3652" s="6"/>
      <c r="X3652" s="6"/>
      <c r="Y3652" s="6"/>
      <c r="Z3652" s="6"/>
    </row>
    <row r="3653" customFormat="false" ht="15" hidden="false" customHeight="false" outlineLevel="0" collapsed="false">
      <c r="A3653" s="9" t="s">
        <v>3933</v>
      </c>
      <c r="B3653" s="9" t="s">
        <v>3720</v>
      </c>
      <c r="C3653" s="9" t="s">
        <v>3721</v>
      </c>
      <c r="D3653" s="9" t="s">
        <v>3722</v>
      </c>
      <c r="E3653" s="9" t="s">
        <v>1660</v>
      </c>
      <c r="F3653" s="9" t="s">
        <v>200</v>
      </c>
      <c r="G3653" s="9" t="s">
        <v>221</v>
      </c>
      <c r="H3653" s="9" t="n">
        <v>1125</v>
      </c>
      <c r="I3653" s="29" t="n">
        <v>0.6</v>
      </c>
      <c r="J3653" s="9" t="n">
        <v>0</v>
      </c>
      <c r="K3653" s="30"/>
      <c r="L3653" s="30"/>
      <c r="M3653" s="30"/>
      <c r="N3653" s="30"/>
      <c r="O3653" s="30"/>
      <c r="P3653" s="30"/>
      <c r="Q3653" s="30"/>
      <c r="R3653" s="30"/>
      <c r="S3653" s="30"/>
      <c r="T3653" s="30"/>
      <c r="U3653" s="21" t="str">
        <f aca="false">IF(COUNT(K3653:T3653)=0,"SOURCE EMPTY / INDUSTRIAL ONLY",IF(MIN(K3653:T3653)=1,"SERVICE READY","HOLD"))</f>
        <v>SOURCE EMPTY / INDUSTRIAL ONLY</v>
      </c>
      <c r="V3653" s="9" t="n">
        <f aca="false">IF(U3653="SERVICE READY",1,0)</f>
        <v>0</v>
      </c>
      <c r="W3653" s="6"/>
      <c r="X3653" s="6"/>
      <c r="Y3653" s="6"/>
      <c r="Z3653" s="6"/>
    </row>
    <row r="3654" customFormat="false" ht="15" hidden="false" customHeight="false" outlineLevel="0" collapsed="false">
      <c r="A3654" s="9" t="s">
        <v>3934</v>
      </c>
      <c r="B3654" s="9" t="s">
        <v>3720</v>
      </c>
      <c r="C3654" s="9" t="s">
        <v>3721</v>
      </c>
      <c r="D3654" s="9" t="s">
        <v>3722</v>
      </c>
      <c r="E3654" s="9" t="s">
        <v>1660</v>
      </c>
      <c r="F3654" s="9" t="s">
        <v>203</v>
      </c>
      <c r="G3654" s="9" t="s">
        <v>221</v>
      </c>
      <c r="H3654" s="9" t="n">
        <v>1125</v>
      </c>
      <c r="I3654" s="29" t="n">
        <v>0.6</v>
      </c>
      <c r="J3654" s="9" t="n">
        <v>0</v>
      </c>
      <c r="K3654" s="30"/>
      <c r="L3654" s="30"/>
      <c r="M3654" s="30"/>
      <c r="N3654" s="30"/>
      <c r="O3654" s="30"/>
      <c r="P3654" s="30"/>
      <c r="Q3654" s="30"/>
      <c r="R3654" s="30"/>
      <c r="S3654" s="30"/>
      <c r="T3654" s="30"/>
      <c r="U3654" s="21" t="str">
        <f aca="false">IF(COUNT(K3654:T3654)=0,"SOURCE EMPTY / INDUSTRIAL ONLY",IF(MIN(K3654:T3654)=1,"SERVICE READY","HOLD"))</f>
        <v>SOURCE EMPTY / INDUSTRIAL ONLY</v>
      </c>
      <c r="V3654" s="9" t="n">
        <f aca="false">IF(U3654="SERVICE READY",1,0)</f>
        <v>0</v>
      </c>
      <c r="W3654" s="6"/>
      <c r="X3654" s="6"/>
      <c r="Y3654" s="6"/>
      <c r="Z3654" s="6"/>
    </row>
    <row r="3655" customFormat="false" ht="15" hidden="false" customHeight="false" outlineLevel="0" collapsed="false">
      <c r="A3655" s="9" t="s">
        <v>3935</v>
      </c>
      <c r="B3655" s="9" t="s">
        <v>3720</v>
      </c>
      <c r="C3655" s="9" t="s">
        <v>3721</v>
      </c>
      <c r="D3655" s="9" t="s">
        <v>3722</v>
      </c>
      <c r="E3655" s="9" t="s">
        <v>1660</v>
      </c>
      <c r="F3655" s="9" t="s">
        <v>205</v>
      </c>
      <c r="G3655" s="9" t="s">
        <v>221</v>
      </c>
      <c r="H3655" s="9" t="n">
        <v>1125</v>
      </c>
      <c r="I3655" s="29" t="n">
        <v>0.6</v>
      </c>
      <c r="J3655" s="9" t="n">
        <v>0</v>
      </c>
      <c r="K3655" s="30"/>
      <c r="L3655" s="30"/>
      <c r="M3655" s="30"/>
      <c r="N3655" s="30"/>
      <c r="O3655" s="30"/>
      <c r="P3655" s="30"/>
      <c r="Q3655" s="30"/>
      <c r="R3655" s="30"/>
      <c r="S3655" s="30"/>
      <c r="T3655" s="30"/>
      <c r="U3655" s="21" t="str">
        <f aca="false">IF(COUNT(K3655:T3655)=0,"SOURCE EMPTY / INDUSTRIAL ONLY",IF(MIN(K3655:T3655)=1,"SERVICE READY","HOLD"))</f>
        <v>SOURCE EMPTY / INDUSTRIAL ONLY</v>
      </c>
      <c r="V3655" s="9" t="n">
        <f aca="false">IF(U3655="SERVICE READY",1,0)</f>
        <v>0</v>
      </c>
      <c r="W3655" s="6"/>
      <c r="X3655" s="6"/>
      <c r="Y3655" s="6"/>
      <c r="Z3655" s="6"/>
    </row>
    <row r="3656" customFormat="false" ht="15" hidden="false" customHeight="false" outlineLevel="0" collapsed="false">
      <c r="A3656" s="9" t="s">
        <v>3936</v>
      </c>
      <c r="B3656" s="9" t="s">
        <v>3720</v>
      </c>
      <c r="C3656" s="9" t="s">
        <v>3721</v>
      </c>
      <c r="D3656" s="9" t="s">
        <v>3722</v>
      </c>
      <c r="E3656" s="9" t="s">
        <v>1660</v>
      </c>
      <c r="F3656" s="9" t="s">
        <v>207</v>
      </c>
      <c r="G3656" s="9" t="s">
        <v>221</v>
      </c>
      <c r="H3656" s="9" t="n">
        <v>1125</v>
      </c>
      <c r="I3656" s="29" t="n">
        <v>0.6</v>
      </c>
      <c r="J3656" s="9" t="n">
        <v>0</v>
      </c>
      <c r="K3656" s="30"/>
      <c r="L3656" s="30"/>
      <c r="M3656" s="30"/>
      <c r="N3656" s="30"/>
      <c r="O3656" s="30"/>
      <c r="P3656" s="30"/>
      <c r="Q3656" s="30"/>
      <c r="R3656" s="30"/>
      <c r="S3656" s="30"/>
      <c r="T3656" s="30"/>
      <c r="U3656" s="21" t="str">
        <f aca="false">IF(COUNT(K3656:T3656)=0,"SOURCE EMPTY / INDUSTRIAL ONLY",IF(MIN(K3656:T3656)=1,"SERVICE READY","HOLD"))</f>
        <v>SOURCE EMPTY / INDUSTRIAL ONLY</v>
      </c>
      <c r="V3656" s="9" t="n">
        <f aca="false">IF(U3656="SERVICE READY",1,0)</f>
        <v>0</v>
      </c>
      <c r="W3656" s="6"/>
      <c r="X3656" s="6"/>
      <c r="Y3656" s="6"/>
      <c r="Z3656" s="6"/>
    </row>
    <row r="3657" customFormat="false" ht="15" hidden="false" customHeight="false" outlineLevel="0" collapsed="false">
      <c r="A3657" s="9" t="s">
        <v>3937</v>
      </c>
      <c r="B3657" s="9" t="s">
        <v>3720</v>
      </c>
      <c r="C3657" s="9" t="s">
        <v>3721</v>
      </c>
      <c r="D3657" s="9" t="s">
        <v>3722</v>
      </c>
      <c r="E3657" s="9" t="s">
        <v>1660</v>
      </c>
      <c r="F3657" s="9" t="s">
        <v>209</v>
      </c>
      <c r="G3657" s="9" t="s">
        <v>221</v>
      </c>
      <c r="H3657" s="9" t="n">
        <v>1125</v>
      </c>
      <c r="I3657" s="29" t="n">
        <v>0.6</v>
      </c>
      <c r="J3657" s="9" t="n">
        <v>0</v>
      </c>
      <c r="K3657" s="30"/>
      <c r="L3657" s="30"/>
      <c r="M3657" s="30"/>
      <c r="N3657" s="30"/>
      <c r="O3657" s="30"/>
      <c r="P3657" s="30"/>
      <c r="Q3657" s="30"/>
      <c r="R3657" s="30"/>
      <c r="S3657" s="30"/>
      <c r="T3657" s="30"/>
      <c r="U3657" s="21" t="str">
        <f aca="false">IF(COUNT(K3657:T3657)=0,"SOURCE EMPTY / INDUSTRIAL ONLY",IF(MIN(K3657:T3657)=1,"SERVICE READY","HOLD"))</f>
        <v>SOURCE EMPTY / INDUSTRIAL ONLY</v>
      </c>
      <c r="V3657" s="9" t="n">
        <f aca="false">IF(U3657="SERVICE READY",1,0)</f>
        <v>0</v>
      </c>
      <c r="W3657" s="6"/>
      <c r="X3657" s="6"/>
      <c r="Y3657" s="6"/>
      <c r="Z3657" s="6"/>
    </row>
    <row r="3658" customFormat="false" ht="15" hidden="false" customHeight="false" outlineLevel="0" collapsed="false">
      <c r="A3658" s="9" t="s">
        <v>3938</v>
      </c>
      <c r="B3658" s="9" t="s">
        <v>3939</v>
      </c>
      <c r="C3658" s="9" t="s">
        <v>3940</v>
      </c>
      <c r="D3658" s="9" t="s">
        <v>3722</v>
      </c>
      <c r="E3658" s="9" t="s">
        <v>1660</v>
      </c>
      <c r="F3658" s="9" t="s">
        <v>197</v>
      </c>
      <c r="G3658" s="9" t="s">
        <v>198</v>
      </c>
      <c r="H3658" s="9" t="n">
        <v>875</v>
      </c>
      <c r="I3658" s="29" t="n">
        <v>0.5</v>
      </c>
      <c r="J3658" s="9" t="n">
        <v>1</v>
      </c>
      <c r="K3658" s="30"/>
      <c r="L3658" s="30"/>
      <c r="M3658" s="30"/>
      <c r="N3658" s="30"/>
      <c r="O3658" s="30"/>
      <c r="P3658" s="30"/>
      <c r="Q3658" s="30"/>
      <c r="R3658" s="30"/>
      <c r="S3658" s="30"/>
      <c r="T3658" s="30"/>
      <c r="U3658" s="21" t="str">
        <f aca="false">IF(COUNT(K3658:T3658)=0,"SOURCE EMPTY / INDUSTRIAL ONLY",IF(MIN(K3658:T3658)=1,"SERVICE READY","HOLD"))</f>
        <v>SOURCE EMPTY / INDUSTRIAL ONLY</v>
      </c>
      <c r="V3658" s="9" t="n">
        <f aca="false">IF(U3658="SERVICE READY",1,0)</f>
        <v>0</v>
      </c>
      <c r="W3658" s="6"/>
      <c r="X3658" s="6"/>
      <c r="Y3658" s="6"/>
      <c r="Z3658" s="6"/>
    </row>
    <row r="3659" customFormat="false" ht="15" hidden="false" customHeight="false" outlineLevel="0" collapsed="false">
      <c r="A3659" s="9" t="s">
        <v>3941</v>
      </c>
      <c r="B3659" s="9" t="s">
        <v>3939</v>
      </c>
      <c r="C3659" s="9" t="s">
        <v>3940</v>
      </c>
      <c r="D3659" s="9" t="s">
        <v>3722</v>
      </c>
      <c r="E3659" s="9" t="s">
        <v>1660</v>
      </c>
      <c r="F3659" s="9" t="s">
        <v>200</v>
      </c>
      <c r="G3659" s="9" t="s">
        <v>201</v>
      </c>
      <c r="H3659" s="9" t="n">
        <v>875</v>
      </c>
      <c r="I3659" s="29" t="n">
        <v>0.5</v>
      </c>
      <c r="J3659" s="9" t="n">
        <v>1</v>
      </c>
      <c r="K3659" s="30"/>
      <c r="L3659" s="30"/>
      <c r="M3659" s="30"/>
      <c r="N3659" s="30"/>
      <c r="O3659" s="30"/>
      <c r="P3659" s="30"/>
      <c r="Q3659" s="30"/>
      <c r="R3659" s="30"/>
      <c r="S3659" s="30"/>
      <c r="T3659" s="30"/>
      <c r="U3659" s="21" t="str">
        <f aca="false">IF(COUNT(K3659:T3659)=0,"SOURCE EMPTY / INDUSTRIAL ONLY",IF(MIN(K3659:T3659)=1,"SERVICE READY","HOLD"))</f>
        <v>SOURCE EMPTY / INDUSTRIAL ONLY</v>
      </c>
      <c r="V3659" s="9" t="n">
        <f aca="false">IF(U3659="SERVICE READY",1,0)</f>
        <v>0</v>
      </c>
      <c r="W3659" s="6"/>
      <c r="X3659" s="6"/>
      <c r="Y3659" s="6"/>
      <c r="Z3659" s="6"/>
    </row>
    <row r="3660" customFormat="false" ht="15" hidden="false" customHeight="false" outlineLevel="0" collapsed="false">
      <c r="A3660" s="9" t="s">
        <v>3942</v>
      </c>
      <c r="B3660" s="9" t="s">
        <v>3939</v>
      </c>
      <c r="C3660" s="9" t="s">
        <v>3940</v>
      </c>
      <c r="D3660" s="9" t="s">
        <v>3722</v>
      </c>
      <c r="E3660" s="9" t="s">
        <v>1660</v>
      </c>
      <c r="F3660" s="9" t="s">
        <v>203</v>
      </c>
      <c r="G3660" s="9" t="s">
        <v>198</v>
      </c>
      <c r="H3660" s="9" t="n">
        <v>875</v>
      </c>
      <c r="I3660" s="29" t="n">
        <v>0.5</v>
      </c>
      <c r="J3660" s="9" t="n">
        <v>1</v>
      </c>
      <c r="K3660" s="30"/>
      <c r="L3660" s="30"/>
      <c r="M3660" s="30"/>
      <c r="N3660" s="30"/>
      <c r="O3660" s="30"/>
      <c r="P3660" s="30"/>
      <c r="Q3660" s="30"/>
      <c r="R3660" s="30"/>
      <c r="S3660" s="30"/>
      <c r="T3660" s="30"/>
      <c r="U3660" s="21" t="str">
        <f aca="false">IF(COUNT(K3660:T3660)=0,"SOURCE EMPTY / INDUSTRIAL ONLY",IF(MIN(K3660:T3660)=1,"SERVICE READY","HOLD"))</f>
        <v>SOURCE EMPTY / INDUSTRIAL ONLY</v>
      </c>
      <c r="V3660" s="9" t="n">
        <f aca="false">IF(U3660="SERVICE READY",1,0)</f>
        <v>0</v>
      </c>
      <c r="W3660" s="6"/>
      <c r="X3660" s="6"/>
      <c r="Y3660" s="6"/>
      <c r="Z3660" s="6"/>
    </row>
    <row r="3661" customFormat="false" ht="15" hidden="false" customHeight="false" outlineLevel="0" collapsed="false">
      <c r="A3661" s="9" t="s">
        <v>3943</v>
      </c>
      <c r="B3661" s="9" t="s">
        <v>3939</v>
      </c>
      <c r="C3661" s="9" t="s">
        <v>3940</v>
      </c>
      <c r="D3661" s="9" t="s">
        <v>3722</v>
      </c>
      <c r="E3661" s="9" t="s">
        <v>1660</v>
      </c>
      <c r="F3661" s="9" t="s">
        <v>205</v>
      </c>
      <c r="G3661" s="9" t="s">
        <v>201</v>
      </c>
      <c r="H3661" s="9" t="n">
        <v>875</v>
      </c>
      <c r="I3661" s="29" t="n">
        <v>0.5</v>
      </c>
      <c r="J3661" s="9" t="n">
        <v>1</v>
      </c>
      <c r="K3661" s="30"/>
      <c r="L3661" s="30"/>
      <c r="M3661" s="30"/>
      <c r="N3661" s="30"/>
      <c r="O3661" s="30"/>
      <c r="P3661" s="30"/>
      <c r="Q3661" s="30"/>
      <c r="R3661" s="30"/>
      <c r="S3661" s="30"/>
      <c r="T3661" s="30"/>
      <c r="U3661" s="21" t="str">
        <f aca="false">IF(COUNT(K3661:T3661)=0,"SOURCE EMPTY / INDUSTRIAL ONLY",IF(MIN(K3661:T3661)=1,"SERVICE READY","HOLD"))</f>
        <v>SOURCE EMPTY / INDUSTRIAL ONLY</v>
      </c>
      <c r="V3661" s="9" t="n">
        <f aca="false">IF(U3661="SERVICE READY",1,0)</f>
        <v>0</v>
      </c>
      <c r="W3661" s="6"/>
      <c r="X3661" s="6"/>
      <c r="Y3661" s="6"/>
      <c r="Z3661" s="6"/>
    </row>
    <row r="3662" customFormat="false" ht="15" hidden="false" customHeight="false" outlineLevel="0" collapsed="false">
      <c r="A3662" s="9" t="s">
        <v>3944</v>
      </c>
      <c r="B3662" s="9" t="s">
        <v>3939</v>
      </c>
      <c r="C3662" s="9" t="s">
        <v>3940</v>
      </c>
      <c r="D3662" s="9" t="s">
        <v>3722</v>
      </c>
      <c r="E3662" s="9" t="s">
        <v>1660</v>
      </c>
      <c r="F3662" s="9" t="s">
        <v>207</v>
      </c>
      <c r="G3662" s="9" t="s">
        <v>198</v>
      </c>
      <c r="H3662" s="9" t="n">
        <v>875</v>
      </c>
      <c r="I3662" s="29" t="n">
        <v>0.5</v>
      </c>
      <c r="J3662" s="9" t="n">
        <v>1</v>
      </c>
      <c r="K3662" s="30"/>
      <c r="L3662" s="30"/>
      <c r="M3662" s="30"/>
      <c r="N3662" s="30"/>
      <c r="O3662" s="30"/>
      <c r="P3662" s="30"/>
      <c r="Q3662" s="30"/>
      <c r="R3662" s="30"/>
      <c r="S3662" s="30"/>
      <c r="T3662" s="30"/>
      <c r="U3662" s="21" t="str">
        <f aca="false">IF(COUNT(K3662:T3662)=0,"SOURCE EMPTY / INDUSTRIAL ONLY",IF(MIN(K3662:T3662)=1,"SERVICE READY","HOLD"))</f>
        <v>SOURCE EMPTY / INDUSTRIAL ONLY</v>
      </c>
      <c r="V3662" s="9" t="n">
        <f aca="false">IF(U3662="SERVICE READY",1,0)</f>
        <v>0</v>
      </c>
      <c r="W3662" s="6"/>
      <c r="X3662" s="6"/>
      <c r="Y3662" s="6"/>
      <c r="Z3662" s="6"/>
    </row>
    <row r="3663" customFormat="false" ht="15" hidden="false" customHeight="false" outlineLevel="0" collapsed="false">
      <c r="A3663" s="9" t="s">
        <v>3945</v>
      </c>
      <c r="B3663" s="9" t="s">
        <v>3939</v>
      </c>
      <c r="C3663" s="9" t="s">
        <v>3940</v>
      </c>
      <c r="D3663" s="9" t="s">
        <v>3722</v>
      </c>
      <c r="E3663" s="9" t="s">
        <v>1660</v>
      </c>
      <c r="F3663" s="9" t="s">
        <v>209</v>
      </c>
      <c r="G3663" s="9" t="s">
        <v>201</v>
      </c>
      <c r="H3663" s="9" t="n">
        <v>875</v>
      </c>
      <c r="I3663" s="29" t="n">
        <v>0.5</v>
      </c>
      <c r="J3663" s="9" t="n">
        <v>1</v>
      </c>
      <c r="K3663" s="30"/>
      <c r="L3663" s="30"/>
      <c r="M3663" s="30"/>
      <c r="N3663" s="30"/>
      <c r="O3663" s="30"/>
      <c r="P3663" s="30"/>
      <c r="Q3663" s="30"/>
      <c r="R3663" s="30"/>
      <c r="S3663" s="30"/>
      <c r="T3663" s="30"/>
      <c r="U3663" s="21" t="str">
        <f aca="false">IF(COUNT(K3663:T3663)=0,"SOURCE EMPTY / INDUSTRIAL ONLY",IF(MIN(K3663:T3663)=1,"SERVICE READY","HOLD"))</f>
        <v>SOURCE EMPTY / INDUSTRIAL ONLY</v>
      </c>
      <c r="V3663" s="9" t="n">
        <f aca="false">IF(U3663="SERVICE READY",1,0)</f>
        <v>0</v>
      </c>
      <c r="W3663" s="6"/>
      <c r="X3663" s="6"/>
      <c r="Y3663" s="6"/>
      <c r="Z3663" s="6"/>
    </row>
    <row r="3664" customFormat="false" ht="15" hidden="false" customHeight="false" outlineLevel="0" collapsed="false">
      <c r="A3664" s="9" t="s">
        <v>3946</v>
      </c>
      <c r="B3664" s="9" t="s">
        <v>3939</v>
      </c>
      <c r="C3664" s="9" t="s">
        <v>3940</v>
      </c>
      <c r="D3664" s="9" t="s">
        <v>3722</v>
      </c>
      <c r="E3664" s="9" t="s">
        <v>1660</v>
      </c>
      <c r="F3664" s="9" t="s">
        <v>211</v>
      </c>
      <c r="G3664" s="9" t="s">
        <v>198</v>
      </c>
      <c r="H3664" s="9" t="n">
        <v>875</v>
      </c>
      <c r="I3664" s="29" t="n">
        <v>0.5</v>
      </c>
      <c r="J3664" s="9" t="n">
        <v>1</v>
      </c>
      <c r="K3664" s="30"/>
      <c r="L3664" s="30"/>
      <c r="M3664" s="30"/>
      <c r="N3664" s="30"/>
      <c r="O3664" s="30"/>
      <c r="P3664" s="30"/>
      <c r="Q3664" s="30"/>
      <c r="R3664" s="30"/>
      <c r="S3664" s="30"/>
      <c r="T3664" s="30"/>
      <c r="U3664" s="21" t="str">
        <f aca="false">IF(COUNT(K3664:T3664)=0,"SOURCE EMPTY / INDUSTRIAL ONLY",IF(MIN(K3664:T3664)=1,"SERVICE READY","HOLD"))</f>
        <v>SOURCE EMPTY / INDUSTRIAL ONLY</v>
      </c>
      <c r="V3664" s="9" t="n">
        <f aca="false">IF(U3664="SERVICE READY",1,0)</f>
        <v>0</v>
      </c>
      <c r="W3664" s="6"/>
      <c r="X3664" s="6"/>
      <c r="Y3664" s="6"/>
      <c r="Z3664" s="6"/>
    </row>
    <row r="3665" customFormat="false" ht="15" hidden="false" customHeight="false" outlineLevel="0" collapsed="false">
      <c r="A3665" s="9" t="s">
        <v>3947</v>
      </c>
      <c r="B3665" s="9" t="s">
        <v>3939</v>
      </c>
      <c r="C3665" s="9" t="s">
        <v>3940</v>
      </c>
      <c r="D3665" s="9" t="s">
        <v>3722</v>
      </c>
      <c r="E3665" s="9" t="s">
        <v>1660</v>
      </c>
      <c r="F3665" s="9" t="s">
        <v>197</v>
      </c>
      <c r="G3665" s="9" t="s">
        <v>201</v>
      </c>
      <c r="H3665" s="9" t="n">
        <v>875</v>
      </c>
      <c r="I3665" s="29" t="n">
        <v>0.5</v>
      </c>
      <c r="J3665" s="9" t="n">
        <v>1</v>
      </c>
      <c r="K3665" s="30"/>
      <c r="L3665" s="30"/>
      <c r="M3665" s="30"/>
      <c r="N3665" s="30"/>
      <c r="O3665" s="30"/>
      <c r="P3665" s="30"/>
      <c r="Q3665" s="30"/>
      <c r="R3665" s="30"/>
      <c r="S3665" s="30"/>
      <c r="T3665" s="30"/>
      <c r="U3665" s="21" t="str">
        <f aca="false">IF(COUNT(K3665:T3665)=0,"SOURCE EMPTY / INDUSTRIAL ONLY",IF(MIN(K3665:T3665)=1,"SERVICE READY","HOLD"))</f>
        <v>SOURCE EMPTY / INDUSTRIAL ONLY</v>
      </c>
      <c r="V3665" s="9" t="n">
        <f aca="false">IF(U3665="SERVICE READY",1,0)</f>
        <v>0</v>
      </c>
      <c r="W3665" s="6"/>
      <c r="X3665" s="6"/>
      <c r="Y3665" s="6"/>
      <c r="Z3665" s="6"/>
    </row>
    <row r="3666" customFormat="false" ht="15" hidden="false" customHeight="false" outlineLevel="0" collapsed="false">
      <c r="A3666" s="9" t="s">
        <v>3948</v>
      </c>
      <c r="B3666" s="9" t="s">
        <v>3939</v>
      </c>
      <c r="C3666" s="9" t="s">
        <v>3940</v>
      </c>
      <c r="D3666" s="9" t="s">
        <v>3722</v>
      </c>
      <c r="E3666" s="9" t="s">
        <v>1660</v>
      </c>
      <c r="F3666" s="9" t="s">
        <v>200</v>
      </c>
      <c r="G3666" s="9" t="s">
        <v>198</v>
      </c>
      <c r="H3666" s="9" t="n">
        <v>875</v>
      </c>
      <c r="I3666" s="29" t="n">
        <v>0.5</v>
      </c>
      <c r="J3666" s="9" t="n">
        <v>1</v>
      </c>
      <c r="K3666" s="30"/>
      <c r="L3666" s="30"/>
      <c r="M3666" s="30"/>
      <c r="N3666" s="30"/>
      <c r="O3666" s="30"/>
      <c r="P3666" s="30"/>
      <c r="Q3666" s="30"/>
      <c r="R3666" s="30"/>
      <c r="S3666" s="30"/>
      <c r="T3666" s="30"/>
      <c r="U3666" s="21" t="str">
        <f aca="false">IF(COUNT(K3666:T3666)=0,"SOURCE EMPTY / INDUSTRIAL ONLY",IF(MIN(K3666:T3666)=1,"SERVICE READY","HOLD"))</f>
        <v>SOURCE EMPTY / INDUSTRIAL ONLY</v>
      </c>
      <c r="V3666" s="9" t="n">
        <f aca="false">IF(U3666="SERVICE READY",1,0)</f>
        <v>0</v>
      </c>
      <c r="W3666" s="6"/>
      <c r="X3666" s="6"/>
      <c r="Y3666" s="6"/>
      <c r="Z3666" s="6"/>
    </row>
    <row r="3667" customFormat="false" ht="15" hidden="false" customHeight="false" outlineLevel="0" collapsed="false">
      <c r="A3667" s="9" t="s">
        <v>3949</v>
      </c>
      <c r="B3667" s="9" t="s">
        <v>3939</v>
      </c>
      <c r="C3667" s="9" t="s">
        <v>3940</v>
      </c>
      <c r="D3667" s="9" t="s">
        <v>3722</v>
      </c>
      <c r="E3667" s="9" t="s">
        <v>1660</v>
      </c>
      <c r="F3667" s="9" t="s">
        <v>203</v>
      </c>
      <c r="G3667" s="9" t="s">
        <v>201</v>
      </c>
      <c r="H3667" s="9" t="n">
        <v>875</v>
      </c>
      <c r="I3667" s="29" t="n">
        <v>0.5</v>
      </c>
      <c r="J3667" s="9" t="n">
        <v>1</v>
      </c>
      <c r="K3667" s="30"/>
      <c r="L3667" s="30"/>
      <c r="M3667" s="30"/>
      <c r="N3667" s="30"/>
      <c r="O3667" s="30"/>
      <c r="P3667" s="30"/>
      <c r="Q3667" s="30"/>
      <c r="R3667" s="30"/>
      <c r="S3667" s="30"/>
      <c r="T3667" s="30"/>
      <c r="U3667" s="21" t="str">
        <f aca="false">IF(COUNT(K3667:T3667)=0,"SOURCE EMPTY / INDUSTRIAL ONLY",IF(MIN(K3667:T3667)=1,"SERVICE READY","HOLD"))</f>
        <v>SOURCE EMPTY / INDUSTRIAL ONLY</v>
      </c>
      <c r="V3667" s="9" t="n">
        <f aca="false">IF(U3667="SERVICE READY",1,0)</f>
        <v>0</v>
      </c>
      <c r="W3667" s="6"/>
      <c r="X3667" s="6"/>
      <c r="Y3667" s="6"/>
      <c r="Z3667" s="6"/>
    </row>
    <row r="3668" customFormat="false" ht="15" hidden="false" customHeight="false" outlineLevel="0" collapsed="false">
      <c r="A3668" s="9" t="s">
        <v>3950</v>
      </c>
      <c r="B3668" s="9" t="s">
        <v>3939</v>
      </c>
      <c r="C3668" s="9" t="s">
        <v>3940</v>
      </c>
      <c r="D3668" s="9" t="s">
        <v>3722</v>
      </c>
      <c r="E3668" s="9" t="s">
        <v>1660</v>
      </c>
      <c r="F3668" s="9" t="s">
        <v>205</v>
      </c>
      <c r="G3668" s="9" t="s">
        <v>198</v>
      </c>
      <c r="H3668" s="9" t="n">
        <v>875</v>
      </c>
      <c r="I3668" s="29" t="n">
        <v>0.5</v>
      </c>
      <c r="J3668" s="9" t="n">
        <v>1</v>
      </c>
      <c r="K3668" s="30"/>
      <c r="L3668" s="30"/>
      <c r="M3668" s="30"/>
      <c r="N3668" s="30"/>
      <c r="O3668" s="30"/>
      <c r="P3668" s="30"/>
      <c r="Q3668" s="30"/>
      <c r="R3668" s="30"/>
      <c r="S3668" s="30"/>
      <c r="T3668" s="30"/>
      <c r="U3668" s="21" t="str">
        <f aca="false">IF(COUNT(K3668:T3668)=0,"SOURCE EMPTY / INDUSTRIAL ONLY",IF(MIN(K3668:T3668)=1,"SERVICE READY","HOLD"))</f>
        <v>SOURCE EMPTY / INDUSTRIAL ONLY</v>
      </c>
      <c r="V3668" s="9" t="n">
        <f aca="false">IF(U3668="SERVICE READY",1,0)</f>
        <v>0</v>
      </c>
      <c r="W3668" s="6"/>
      <c r="X3668" s="6"/>
      <c r="Y3668" s="6"/>
      <c r="Z3668" s="6"/>
    </row>
    <row r="3669" customFormat="false" ht="15" hidden="false" customHeight="false" outlineLevel="0" collapsed="false">
      <c r="A3669" s="9" t="s">
        <v>3951</v>
      </c>
      <c r="B3669" s="9" t="s">
        <v>3939</v>
      </c>
      <c r="C3669" s="9" t="s">
        <v>3940</v>
      </c>
      <c r="D3669" s="9" t="s">
        <v>3722</v>
      </c>
      <c r="E3669" s="9" t="s">
        <v>1660</v>
      </c>
      <c r="F3669" s="9" t="s">
        <v>207</v>
      </c>
      <c r="G3669" s="9" t="s">
        <v>201</v>
      </c>
      <c r="H3669" s="9" t="n">
        <v>875</v>
      </c>
      <c r="I3669" s="29" t="n">
        <v>0.5</v>
      </c>
      <c r="J3669" s="9" t="n">
        <v>1</v>
      </c>
      <c r="K3669" s="30"/>
      <c r="L3669" s="30"/>
      <c r="M3669" s="30"/>
      <c r="N3669" s="30"/>
      <c r="O3669" s="30"/>
      <c r="P3669" s="30"/>
      <c r="Q3669" s="30"/>
      <c r="R3669" s="30"/>
      <c r="S3669" s="30"/>
      <c r="T3669" s="30"/>
      <c r="U3669" s="21" t="str">
        <f aca="false">IF(COUNT(K3669:T3669)=0,"SOURCE EMPTY / INDUSTRIAL ONLY",IF(MIN(K3669:T3669)=1,"SERVICE READY","HOLD"))</f>
        <v>SOURCE EMPTY / INDUSTRIAL ONLY</v>
      </c>
      <c r="V3669" s="9" t="n">
        <f aca="false">IF(U3669="SERVICE READY",1,0)</f>
        <v>0</v>
      </c>
      <c r="W3669" s="6"/>
      <c r="X3669" s="6"/>
      <c r="Y3669" s="6"/>
      <c r="Z3669" s="6"/>
    </row>
    <row r="3670" customFormat="false" ht="15" hidden="false" customHeight="false" outlineLevel="0" collapsed="false">
      <c r="A3670" s="9" t="s">
        <v>3952</v>
      </c>
      <c r="B3670" s="9" t="s">
        <v>3939</v>
      </c>
      <c r="C3670" s="9" t="s">
        <v>3940</v>
      </c>
      <c r="D3670" s="9" t="s">
        <v>3722</v>
      </c>
      <c r="E3670" s="9" t="s">
        <v>1660</v>
      </c>
      <c r="F3670" s="9" t="s">
        <v>209</v>
      </c>
      <c r="G3670" s="9" t="s">
        <v>198</v>
      </c>
      <c r="H3670" s="9" t="n">
        <v>875</v>
      </c>
      <c r="I3670" s="29" t="n">
        <v>0.5</v>
      </c>
      <c r="J3670" s="9" t="n">
        <v>1</v>
      </c>
      <c r="K3670" s="30"/>
      <c r="L3670" s="30"/>
      <c r="M3670" s="30"/>
      <c r="N3670" s="30"/>
      <c r="O3670" s="30"/>
      <c r="P3670" s="30"/>
      <c r="Q3670" s="30"/>
      <c r="R3670" s="30"/>
      <c r="S3670" s="30"/>
      <c r="T3670" s="30"/>
      <c r="U3670" s="21" t="str">
        <f aca="false">IF(COUNT(K3670:T3670)=0,"SOURCE EMPTY / INDUSTRIAL ONLY",IF(MIN(K3670:T3670)=1,"SERVICE READY","HOLD"))</f>
        <v>SOURCE EMPTY / INDUSTRIAL ONLY</v>
      </c>
      <c r="V3670" s="9" t="n">
        <f aca="false">IF(U3670="SERVICE READY",1,0)</f>
        <v>0</v>
      </c>
      <c r="W3670" s="6"/>
      <c r="X3670" s="6"/>
      <c r="Y3670" s="6"/>
      <c r="Z3670" s="6"/>
    </row>
    <row r="3671" customFormat="false" ht="15" hidden="false" customHeight="false" outlineLevel="0" collapsed="false">
      <c r="A3671" s="9" t="s">
        <v>3953</v>
      </c>
      <c r="B3671" s="9" t="s">
        <v>3939</v>
      </c>
      <c r="C3671" s="9" t="s">
        <v>3940</v>
      </c>
      <c r="D3671" s="9" t="s">
        <v>3722</v>
      </c>
      <c r="E3671" s="9" t="s">
        <v>1660</v>
      </c>
      <c r="F3671" s="9" t="s">
        <v>211</v>
      </c>
      <c r="G3671" s="9" t="s">
        <v>201</v>
      </c>
      <c r="H3671" s="9" t="n">
        <v>875</v>
      </c>
      <c r="I3671" s="29" t="n">
        <v>0.5</v>
      </c>
      <c r="J3671" s="9" t="n">
        <v>1</v>
      </c>
      <c r="K3671" s="30"/>
      <c r="L3671" s="30"/>
      <c r="M3671" s="30"/>
      <c r="N3671" s="30"/>
      <c r="O3671" s="30"/>
      <c r="P3671" s="30"/>
      <c r="Q3671" s="30"/>
      <c r="R3671" s="30"/>
      <c r="S3671" s="30"/>
      <c r="T3671" s="30"/>
      <c r="U3671" s="21" t="str">
        <f aca="false">IF(COUNT(K3671:T3671)=0,"SOURCE EMPTY / INDUSTRIAL ONLY",IF(MIN(K3671:T3671)=1,"SERVICE READY","HOLD"))</f>
        <v>SOURCE EMPTY / INDUSTRIAL ONLY</v>
      </c>
      <c r="V3671" s="9" t="n">
        <f aca="false">IF(U3671="SERVICE READY",1,0)</f>
        <v>0</v>
      </c>
      <c r="W3671" s="6"/>
      <c r="X3671" s="6"/>
      <c r="Y3671" s="6"/>
      <c r="Z3671" s="6"/>
    </row>
    <row r="3672" customFormat="false" ht="15" hidden="false" customHeight="false" outlineLevel="0" collapsed="false">
      <c r="A3672" s="9" t="s">
        <v>3954</v>
      </c>
      <c r="B3672" s="9" t="s">
        <v>3939</v>
      </c>
      <c r="C3672" s="9" t="s">
        <v>3940</v>
      </c>
      <c r="D3672" s="9" t="s">
        <v>3722</v>
      </c>
      <c r="E3672" s="9" t="s">
        <v>1660</v>
      </c>
      <c r="F3672" s="9" t="s">
        <v>197</v>
      </c>
      <c r="G3672" s="9" t="s">
        <v>198</v>
      </c>
      <c r="H3672" s="9" t="n">
        <v>875</v>
      </c>
      <c r="I3672" s="29" t="n">
        <v>0.5</v>
      </c>
      <c r="J3672" s="9" t="n">
        <v>1</v>
      </c>
      <c r="K3672" s="30"/>
      <c r="L3672" s="30"/>
      <c r="M3672" s="30"/>
      <c r="N3672" s="30"/>
      <c r="O3672" s="30"/>
      <c r="P3672" s="30"/>
      <c r="Q3672" s="30"/>
      <c r="R3672" s="30"/>
      <c r="S3672" s="30"/>
      <c r="T3672" s="30"/>
      <c r="U3672" s="21" t="str">
        <f aca="false">IF(COUNT(K3672:T3672)=0,"SOURCE EMPTY / INDUSTRIAL ONLY",IF(MIN(K3672:T3672)=1,"SERVICE READY","HOLD"))</f>
        <v>SOURCE EMPTY / INDUSTRIAL ONLY</v>
      </c>
      <c r="V3672" s="9" t="n">
        <f aca="false">IF(U3672="SERVICE READY",1,0)</f>
        <v>0</v>
      </c>
      <c r="W3672" s="6"/>
      <c r="X3672" s="6"/>
      <c r="Y3672" s="6"/>
      <c r="Z3672" s="6"/>
    </row>
    <row r="3673" customFormat="false" ht="15" hidden="false" customHeight="false" outlineLevel="0" collapsed="false">
      <c r="A3673" s="9" t="s">
        <v>3955</v>
      </c>
      <c r="B3673" s="9" t="s">
        <v>3939</v>
      </c>
      <c r="C3673" s="9" t="s">
        <v>3940</v>
      </c>
      <c r="D3673" s="9" t="s">
        <v>3722</v>
      </c>
      <c r="E3673" s="9" t="s">
        <v>1660</v>
      </c>
      <c r="F3673" s="9" t="s">
        <v>200</v>
      </c>
      <c r="G3673" s="9" t="s">
        <v>201</v>
      </c>
      <c r="H3673" s="9" t="n">
        <v>875</v>
      </c>
      <c r="I3673" s="29" t="n">
        <v>0.5</v>
      </c>
      <c r="J3673" s="9" t="n">
        <v>1</v>
      </c>
      <c r="K3673" s="30"/>
      <c r="L3673" s="30"/>
      <c r="M3673" s="30"/>
      <c r="N3673" s="30"/>
      <c r="O3673" s="30"/>
      <c r="P3673" s="30"/>
      <c r="Q3673" s="30"/>
      <c r="R3673" s="30"/>
      <c r="S3673" s="30"/>
      <c r="T3673" s="30"/>
      <c r="U3673" s="21" t="str">
        <f aca="false">IF(COUNT(K3673:T3673)=0,"SOURCE EMPTY / INDUSTRIAL ONLY",IF(MIN(K3673:T3673)=1,"SERVICE READY","HOLD"))</f>
        <v>SOURCE EMPTY / INDUSTRIAL ONLY</v>
      </c>
      <c r="V3673" s="9" t="n">
        <f aca="false">IF(U3673="SERVICE READY",1,0)</f>
        <v>0</v>
      </c>
      <c r="W3673" s="6"/>
      <c r="X3673" s="6"/>
      <c r="Y3673" s="6"/>
      <c r="Z3673" s="6"/>
    </row>
    <row r="3674" customFormat="false" ht="15" hidden="false" customHeight="false" outlineLevel="0" collapsed="false">
      <c r="A3674" s="9" t="s">
        <v>3956</v>
      </c>
      <c r="B3674" s="9" t="s">
        <v>3939</v>
      </c>
      <c r="C3674" s="9" t="s">
        <v>3940</v>
      </c>
      <c r="D3674" s="9" t="s">
        <v>3722</v>
      </c>
      <c r="E3674" s="9" t="s">
        <v>1660</v>
      </c>
      <c r="F3674" s="9" t="s">
        <v>203</v>
      </c>
      <c r="G3674" s="9" t="s">
        <v>198</v>
      </c>
      <c r="H3674" s="9" t="n">
        <v>875</v>
      </c>
      <c r="I3674" s="29" t="n">
        <v>0.5</v>
      </c>
      <c r="J3674" s="9" t="n">
        <v>1</v>
      </c>
      <c r="K3674" s="30"/>
      <c r="L3674" s="30"/>
      <c r="M3674" s="30"/>
      <c r="N3674" s="30"/>
      <c r="O3674" s="30"/>
      <c r="P3674" s="30"/>
      <c r="Q3674" s="30"/>
      <c r="R3674" s="30"/>
      <c r="S3674" s="30"/>
      <c r="T3674" s="30"/>
      <c r="U3674" s="21" t="str">
        <f aca="false">IF(COUNT(K3674:T3674)=0,"SOURCE EMPTY / INDUSTRIAL ONLY",IF(MIN(K3674:T3674)=1,"SERVICE READY","HOLD"))</f>
        <v>SOURCE EMPTY / INDUSTRIAL ONLY</v>
      </c>
      <c r="V3674" s="9" t="n">
        <f aca="false">IF(U3674="SERVICE READY",1,0)</f>
        <v>0</v>
      </c>
      <c r="W3674" s="6"/>
      <c r="X3674" s="6"/>
      <c r="Y3674" s="6"/>
      <c r="Z3674" s="6"/>
    </row>
    <row r="3675" customFormat="false" ht="15" hidden="false" customHeight="false" outlineLevel="0" collapsed="false">
      <c r="A3675" s="9" t="s">
        <v>3957</v>
      </c>
      <c r="B3675" s="9" t="s">
        <v>3939</v>
      </c>
      <c r="C3675" s="9" t="s">
        <v>3940</v>
      </c>
      <c r="D3675" s="9" t="s">
        <v>3722</v>
      </c>
      <c r="E3675" s="9" t="s">
        <v>1660</v>
      </c>
      <c r="F3675" s="9" t="s">
        <v>205</v>
      </c>
      <c r="G3675" s="9" t="s">
        <v>201</v>
      </c>
      <c r="H3675" s="9" t="n">
        <v>875</v>
      </c>
      <c r="I3675" s="29" t="n">
        <v>0.5</v>
      </c>
      <c r="J3675" s="9" t="n">
        <v>1</v>
      </c>
      <c r="K3675" s="30"/>
      <c r="L3675" s="30"/>
      <c r="M3675" s="30"/>
      <c r="N3675" s="30"/>
      <c r="O3675" s="30"/>
      <c r="P3675" s="30"/>
      <c r="Q3675" s="30"/>
      <c r="R3675" s="30"/>
      <c r="S3675" s="30"/>
      <c r="T3675" s="30"/>
      <c r="U3675" s="21" t="str">
        <f aca="false">IF(COUNT(K3675:T3675)=0,"SOURCE EMPTY / INDUSTRIAL ONLY",IF(MIN(K3675:T3675)=1,"SERVICE READY","HOLD"))</f>
        <v>SOURCE EMPTY / INDUSTRIAL ONLY</v>
      </c>
      <c r="V3675" s="9" t="n">
        <f aca="false">IF(U3675="SERVICE READY",1,0)</f>
        <v>0</v>
      </c>
      <c r="W3675" s="6"/>
      <c r="X3675" s="6"/>
      <c r="Y3675" s="6"/>
      <c r="Z3675" s="6"/>
    </row>
    <row r="3676" customFormat="false" ht="15" hidden="false" customHeight="false" outlineLevel="0" collapsed="false">
      <c r="A3676" s="9" t="s">
        <v>3958</v>
      </c>
      <c r="B3676" s="9" t="s">
        <v>3939</v>
      </c>
      <c r="C3676" s="9" t="s">
        <v>3940</v>
      </c>
      <c r="D3676" s="9" t="s">
        <v>3722</v>
      </c>
      <c r="E3676" s="9" t="s">
        <v>1660</v>
      </c>
      <c r="F3676" s="9" t="s">
        <v>207</v>
      </c>
      <c r="G3676" s="9" t="s">
        <v>198</v>
      </c>
      <c r="H3676" s="9" t="n">
        <v>875</v>
      </c>
      <c r="I3676" s="29" t="n">
        <v>0.5</v>
      </c>
      <c r="J3676" s="9" t="n">
        <v>1</v>
      </c>
      <c r="K3676" s="30"/>
      <c r="L3676" s="30"/>
      <c r="M3676" s="30"/>
      <c r="N3676" s="30"/>
      <c r="O3676" s="30"/>
      <c r="P3676" s="30"/>
      <c r="Q3676" s="30"/>
      <c r="R3676" s="30"/>
      <c r="S3676" s="30"/>
      <c r="T3676" s="30"/>
      <c r="U3676" s="21" t="str">
        <f aca="false">IF(COUNT(K3676:T3676)=0,"SOURCE EMPTY / INDUSTRIAL ONLY",IF(MIN(K3676:T3676)=1,"SERVICE READY","HOLD"))</f>
        <v>SOURCE EMPTY / INDUSTRIAL ONLY</v>
      </c>
      <c r="V3676" s="9" t="n">
        <f aca="false">IF(U3676="SERVICE READY",1,0)</f>
        <v>0</v>
      </c>
      <c r="W3676" s="6"/>
      <c r="X3676" s="6"/>
      <c r="Y3676" s="6"/>
      <c r="Z3676" s="6"/>
    </row>
    <row r="3677" customFormat="false" ht="15" hidden="false" customHeight="false" outlineLevel="0" collapsed="false">
      <c r="A3677" s="9" t="s">
        <v>3959</v>
      </c>
      <c r="B3677" s="9" t="s">
        <v>3939</v>
      </c>
      <c r="C3677" s="9" t="s">
        <v>3940</v>
      </c>
      <c r="D3677" s="9" t="s">
        <v>3722</v>
      </c>
      <c r="E3677" s="9" t="s">
        <v>1660</v>
      </c>
      <c r="F3677" s="9" t="s">
        <v>209</v>
      </c>
      <c r="G3677" s="9" t="s">
        <v>201</v>
      </c>
      <c r="H3677" s="9" t="n">
        <v>875</v>
      </c>
      <c r="I3677" s="29" t="n">
        <v>0.5</v>
      </c>
      <c r="J3677" s="9" t="n">
        <v>1</v>
      </c>
      <c r="K3677" s="30"/>
      <c r="L3677" s="30"/>
      <c r="M3677" s="30"/>
      <c r="N3677" s="30"/>
      <c r="O3677" s="30"/>
      <c r="P3677" s="30"/>
      <c r="Q3677" s="30"/>
      <c r="R3677" s="30"/>
      <c r="S3677" s="30"/>
      <c r="T3677" s="30"/>
      <c r="U3677" s="21" t="str">
        <f aca="false">IF(COUNT(K3677:T3677)=0,"SOURCE EMPTY / INDUSTRIAL ONLY",IF(MIN(K3677:T3677)=1,"SERVICE READY","HOLD"))</f>
        <v>SOURCE EMPTY / INDUSTRIAL ONLY</v>
      </c>
      <c r="V3677" s="9" t="n">
        <f aca="false">IF(U3677="SERVICE READY",1,0)</f>
        <v>0</v>
      </c>
      <c r="W3677" s="6"/>
      <c r="X3677" s="6"/>
      <c r="Y3677" s="6"/>
      <c r="Z3677" s="6"/>
    </row>
    <row r="3678" customFormat="false" ht="15" hidden="false" customHeight="false" outlineLevel="0" collapsed="false">
      <c r="A3678" s="9" t="s">
        <v>3960</v>
      </c>
      <c r="B3678" s="9" t="s">
        <v>3939</v>
      </c>
      <c r="C3678" s="9" t="s">
        <v>3940</v>
      </c>
      <c r="D3678" s="9" t="s">
        <v>3722</v>
      </c>
      <c r="E3678" s="9" t="s">
        <v>1660</v>
      </c>
      <c r="F3678" s="9" t="s">
        <v>211</v>
      </c>
      <c r="G3678" s="9" t="s">
        <v>198</v>
      </c>
      <c r="H3678" s="9" t="n">
        <v>875</v>
      </c>
      <c r="I3678" s="29" t="n">
        <v>0.5</v>
      </c>
      <c r="J3678" s="9" t="n">
        <v>1</v>
      </c>
      <c r="K3678" s="30"/>
      <c r="L3678" s="30"/>
      <c r="M3678" s="30"/>
      <c r="N3678" s="30"/>
      <c r="O3678" s="30"/>
      <c r="P3678" s="30"/>
      <c r="Q3678" s="30"/>
      <c r="R3678" s="30"/>
      <c r="S3678" s="30"/>
      <c r="T3678" s="30"/>
      <c r="U3678" s="21" t="str">
        <f aca="false">IF(COUNT(K3678:T3678)=0,"SOURCE EMPTY / INDUSTRIAL ONLY",IF(MIN(K3678:T3678)=1,"SERVICE READY","HOLD"))</f>
        <v>SOURCE EMPTY / INDUSTRIAL ONLY</v>
      </c>
      <c r="V3678" s="9" t="n">
        <f aca="false">IF(U3678="SERVICE READY",1,0)</f>
        <v>0</v>
      </c>
      <c r="W3678" s="6"/>
      <c r="X3678" s="6"/>
      <c r="Y3678" s="6"/>
      <c r="Z3678" s="6"/>
    </row>
    <row r="3679" customFormat="false" ht="15" hidden="false" customHeight="false" outlineLevel="0" collapsed="false">
      <c r="A3679" s="9" t="s">
        <v>3961</v>
      </c>
      <c r="B3679" s="9" t="s">
        <v>3939</v>
      </c>
      <c r="C3679" s="9" t="s">
        <v>3940</v>
      </c>
      <c r="D3679" s="9" t="s">
        <v>3722</v>
      </c>
      <c r="E3679" s="9" t="s">
        <v>1660</v>
      </c>
      <c r="F3679" s="9" t="s">
        <v>197</v>
      </c>
      <c r="G3679" s="9" t="s">
        <v>201</v>
      </c>
      <c r="H3679" s="9" t="n">
        <v>875</v>
      </c>
      <c r="I3679" s="29" t="n">
        <v>0.5</v>
      </c>
      <c r="J3679" s="9" t="n">
        <v>1</v>
      </c>
      <c r="K3679" s="30"/>
      <c r="L3679" s="30"/>
      <c r="M3679" s="30"/>
      <c r="N3679" s="30"/>
      <c r="O3679" s="30"/>
      <c r="P3679" s="30"/>
      <c r="Q3679" s="30"/>
      <c r="R3679" s="30"/>
      <c r="S3679" s="30"/>
      <c r="T3679" s="30"/>
      <c r="U3679" s="21" t="str">
        <f aca="false">IF(COUNT(K3679:T3679)=0,"SOURCE EMPTY / INDUSTRIAL ONLY",IF(MIN(K3679:T3679)=1,"SERVICE READY","HOLD"))</f>
        <v>SOURCE EMPTY / INDUSTRIAL ONLY</v>
      </c>
      <c r="V3679" s="9" t="n">
        <f aca="false">IF(U3679="SERVICE READY",1,0)</f>
        <v>0</v>
      </c>
      <c r="W3679" s="6"/>
      <c r="X3679" s="6"/>
      <c r="Y3679" s="6"/>
      <c r="Z3679" s="6"/>
    </row>
    <row r="3680" customFormat="false" ht="15" hidden="false" customHeight="false" outlineLevel="0" collapsed="false">
      <c r="A3680" s="9" t="s">
        <v>3962</v>
      </c>
      <c r="B3680" s="9" t="s">
        <v>3939</v>
      </c>
      <c r="C3680" s="9" t="s">
        <v>3940</v>
      </c>
      <c r="D3680" s="9" t="s">
        <v>3722</v>
      </c>
      <c r="E3680" s="9" t="s">
        <v>1660</v>
      </c>
      <c r="F3680" s="9" t="s">
        <v>200</v>
      </c>
      <c r="G3680" s="9" t="s">
        <v>198</v>
      </c>
      <c r="H3680" s="9" t="n">
        <v>875</v>
      </c>
      <c r="I3680" s="29" t="n">
        <v>0.5</v>
      </c>
      <c r="J3680" s="9" t="n">
        <v>1</v>
      </c>
      <c r="K3680" s="30"/>
      <c r="L3680" s="30"/>
      <c r="M3680" s="30"/>
      <c r="N3680" s="30"/>
      <c r="O3680" s="30"/>
      <c r="P3680" s="30"/>
      <c r="Q3680" s="30"/>
      <c r="R3680" s="30"/>
      <c r="S3680" s="30"/>
      <c r="T3680" s="30"/>
      <c r="U3680" s="21" t="str">
        <f aca="false">IF(COUNT(K3680:T3680)=0,"SOURCE EMPTY / INDUSTRIAL ONLY",IF(MIN(K3680:T3680)=1,"SERVICE READY","HOLD"))</f>
        <v>SOURCE EMPTY / INDUSTRIAL ONLY</v>
      </c>
      <c r="V3680" s="9" t="n">
        <f aca="false">IF(U3680="SERVICE READY",1,0)</f>
        <v>0</v>
      </c>
      <c r="W3680" s="6"/>
      <c r="X3680" s="6"/>
      <c r="Y3680" s="6"/>
      <c r="Z3680" s="6"/>
    </row>
    <row r="3681" customFormat="false" ht="15" hidden="false" customHeight="false" outlineLevel="0" collapsed="false">
      <c r="A3681" s="9" t="s">
        <v>3963</v>
      </c>
      <c r="B3681" s="9" t="s">
        <v>3939</v>
      </c>
      <c r="C3681" s="9" t="s">
        <v>3940</v>
      </c>
      <c r="D3681" s="9" t="s">
        <v>3722</v>
      </c>
      <c r="E3681" s="9" t="s">
        <v>1660</v>
      </c>
      <c r="F3681" s="9" t="s">
        <v>203</v>
      </c>
      <c r="G3681" s="9" t="s">
        <v>201</v>
      </c>
      <c r="H3681" s="9" t="n">
        <v>875</v>
      </c>
      <c r="I3681" s="29" t="n">
        <v>0.5</v>
      </c>
      <c r="J3681" s="9" t="n">
        <v>1</v>
      </c>
      <c r="K3681" s="30"/>
      <c r="L3681" s="30"/>
      <c r="M3681" s="30"/>
      <c r="N3681" s="30"/>
      <c r="O3681" s="30"/>
      <c r="P3681" s="30"/>
      <c r="Q3681" s="30"/>
      <c r="R3681" s="30"/>
      <c r="S3681" s="30"/>
      <c r="T3681" s="30"/>
      <c r="U3681" s="21" t="str">
        <f aca="false">IF(COUNT(K3681:T3681)=0,"SOURCE EMPTY / INDUSTRIAL ONLY",IF(MIN(K3681:T3681)=1,"SERVICE READY","HOLD"))</f>
        <v>SOURCE EMPTY / INDUSTRIAL ONLY</v>
      </c>
      <c r="V3681" s="9" t="n">
        <f aca="false">IF(U3681="SERVICE READY",1,0)</f>
        <v>0</v>
      </c>
      <c r="W3681" s="6"/>
      <c r="X3681" s="6"/>
      <c r="Y3681" s="6"/>
      <c r="Z3681" s="6"/>
    </row>
    <row r="3682" customFormat="false" ht="15" hidden="false" customHeight="false" outlineLevel="0" collapsed="false">
      <c r="A3682" s="9" t="s">
        <v>3964</v>
      </c>
      <c r="B3682" s="9" t="s">
        <v>3939</v>
      </c>
      <c r="C3682" s="9" t="s">
        <v>3940</v>
      </c>
      <c r="D3682" s="9" t="s">
        <v>3722</v>
      </c>
      <c r="E3682" s="9" t="s">
        <v>1660</v>
      </c>
      <c r="F3682" s="9" t="s">
        <v>205</v>
      </c>
      <c r="G3682" s="9" t="s">
        <v>198</v>
      </c>
      <c r="H3682" s="9" t="n">
        <v>875</v>
      </c>
      <c r="I3682" s="29" t="n">
        <v>0.5</v>
      </c>
      <c r="J3682" s="9" t="n">
        <v>1</v>
      </c>
      <c r="K3682" s="30"/>
      <c r="L3682" s="30"/>
      <c r="M3682" s="30"/>
      <c r="N3682" s="30"/>
      <c r="O3682" s="30"/>
      <c r="P3682" s="30"/>
      <c r="Q3682" s="30"/>
      <c r="R3682" s="30"/>
      <c r="S3682" s="30"/>
      <c r="T3682" s="30"/>
      <c r="U3682" s="21" t="str">
        <f aca="false">IF(COUNT(K3682:T3682)=0,"SOURCE EMPTY / INDUSTRIAL ONLY",IF(MIN(K3682:T3682)=1,"SERVICE READY","HOLD"))</f>
        <v>SOURCE EMPTY / INDUSTRIAL ONLY</v>
      </c>
      <c r="V3682" s="9" t="n">
        <f aca="false">IF(U3682="SERVICE READY",1,0)</f>
        <v>0</v>
      </c>
      <c r="W3682" s="6"/>
      <c r="X3682" s="6"/>
      <c r="Y3682" s="6"/>
      <c r="Z3682" s="6"/>
    </row>
    <row r="3683" customFormat="false" ht="15" hidden="false" customHeight="false" outlineLevel="0" collapsed="false">
      <c r="A3683" s="9" t="s">
        <v>3965</v>
      </c>
      <c r="B3683" s="9" t="s">
        <v>3939</v>
      </c>
      <c r="C3683" s="9" t="s">
        <v>3940</v>
      </c>
      <c r="D3683" s="9" t="s">
        <v>3722</v>
      </c>
      <c r="E3683" s="9" t="s">
        <v>1660</v>
      </c>
      <c r="F3683" s="9" t="s">
        <v>207</v>
      </c>
      <c r="G3683" s="9" t="s">
        <v>201</v>
      </c>
      <c r="H3683" s="9" t="n">
        <v>875</v>
      </c>
      <c r="I3683" s="29" t="n">
        <v>0.5</v>
      </c>
      <c r="J3683" s="9" t="n">
        <v>1</v>
      </c>
      <c r="K3683" s="30"/>
      <c r="L3683" s="30"/>
      <c r="M3683" s="30"/>
      <c r="N3683" s="30"/>
      <c r="O3683" s="30"/>
      <c r="P3683" s="30"/>
      <c r="Q3683" s="30"/>
      <c r="R3683" s="30"/>
      <c r="S3683" s="30"/>
      <c r="T3683" s="30"/>
      <c r="U3683" s="21" t="str">
        <f aca="false">IF(COUNT(K3683:T3683)=0,"SOURCE EMPTY / INDUSTRIAL ONLY",IF(MIN(K3683:T3683)=1,"SERVICE READY","HOLD"))</f>
        <v>SOURCE EMPTY / INDUSTRIAL ONLY</v>
      </c>
      <c r="V3683" s="9" t="n">
        <f aca="false">IF(U3683="SERVICE READY",1,0)</f>
        <v>0</v>
      </c>
      <c r="W3683" s="6"/>
      <c r="X3683" s="6"/>
      <c r="Y3683" s="6"/>
      <c r="Z3683" s="6"/>
    </row>
    <row r="3684" customFormat="false" ht="15" hidden="false" customHeight="false" outlineLevel="0" collapsed="false">
      <c r="A3684" s="9" t="s">
        <v>3966</v>
      </c>
      <c r="B3684" s="9" t="s">
        <v>3939</v>
      </c>
      <c r="C3684" s="9" t="s">
        <v>3940</v>
      </c>
      <c r="D3684" s="9" t="s">
        <v>3722</v>
      </c>
      <c r="E3684" s="9" t="s">
        <v>1660</v>
      </c>
      <c r="F3684" s="9" t="s">
        <v>209</v>
      </c>
      <c r="G3684" s="9" t="s">
        <v>198</v>
      </c>
      <c r="H3684" s="9" t="n">
        <v>875</v>
      </c>
      <c r="I3684" s="29" t="n">
        <v>0.5</v>
      </c>
      <c r="J3684" s="9" t="n">
        <v>1</v>
      </c>
      <c r="K3684" s="30"/>
      <c r="L3684" s="30"/>
      <c r="M3684" s="30"/>
      <c r="N3684" s="30"/>
      <c r="O3684" s="30"/>
      <c r="P3684" s="30"/>
      <c r="Q3684" s="30"/>
      <c r="R3684" s="30"/>
      <c r="S3684" s="30"/>
      <c r="T3684" s="30"/>
      <c r="U3684" s="21" t="str">
        <f aca="false">IF(COUNT(K3684:T3684)=0,"SOURCE EMPTY / INDUSTRIAL ONLY",IF(MIN(K3684:T3684)=1,"SERVICE READY","HOLD"))</f>
        <v>SOURCE EMPTY / INDUSTRIAL ONLY</v>
      </c>
      <c r="V3684" s="9" t="n">
        <f aca="false">IF(U3684="SERVICE READY",1,0)</f>
        <v>0</v>
      </c>
      <c r="W3684" s="6"/>
      <c r="X3684" s="6"/>
      <c r="Y3684" s="6"/>
      <c r="Z3684" s="6"/>
    </row>
    <row r="3685" customFormat="false" ht="15" hidden="false" customHeight="false" outlineLevel="0" collapsed="false">
      <c r="A3685" s="9" t="s">
        <v>3967</v>
      </c>
      <c r="B3685" s="9" t="s">
        <v>3939</v>
      </c>
      <c r="C3685" s="9" t="s">
        <v>3940</v>
      </c>
      <c r="D3685" s="9" t="s">
        <v>3722</v>
      </c>
      <c r="E3685" s="9" t="s">
        <v>1660</v>
      </c>
      <c r="F3685" s="9" t="s">
        <v>211</v>
      </c>
      <c r="G3685" s="9" t="s">
        <v>201</v>
      </c>
      <c r="H3685" s="9" t="n">
        <v>875</v>
      </c>
      <c r="I3685" s="29" t="n">
        <v>0.5</v>
      </c>
      <c r="J3685" s="9" t="n">
        <v>1</v>
      </c>
      <c r="K3685" s="30"/>
      <c r="L3685" s="30"/>
      <c r="M3685" s="30"/>
      <c r="N3685" s="30"/>
      <c r="O3685" s="30"/>
      <c r="P3685" s="30"/>
      <c r="Q3685" s="30"/>
      <c r="R3685" s="30"/>
      <c r="S3685" s="30"/>
      <c r="T3685" s="30"/>
      <c r="U3685" s="21" t="str">
        <f aca="false">IF(COUNT(K3685:T3685)=0,"SOURCE EMPTY / INDUSTRIAL ONLY",IF(MIN(K3685:T3685)=1,"SERVICE READY","HOLD"))</f>
        <v>SOURCE EMPTY / INDUSTRIAL ONLY</v>
      </c>
      <c r="V3685" s="9" t="n">
        <f aca="false">IF(U3685="SERVICE READY",1,0)</f>
        <v>0</v>
      </c>
      <c r="W3685" s="6"/>
      <c r="X3685" s="6"/>
      <c r="Y3685" s="6"/>
      <c r="Z3685" s="6"/>
    </row>
    <row r="3686" customFormat="false" ht="15" hidden="false" customHeight="false" outlineLevel="0" collapsed="false">
      <c r="A3686" s="9" t="s">
        <v>3968</v>
      </c>
      <c r="B3686" s="9" t="s">
        <v>3939</v>
      </c>
      <c r="C3686" s="9" t="s">
        <v>3940</v>
      </c>
      <c r="D3686" s="9" t="s">
        <v>3722</v>
      </c>
      <c r="E3686" s="9" t="s">
        <v>1660</v>
      </c>
      <c r="F3686" s="9" t="s">
        <v>197</v>
      </c>
      <c r="G3686" s="9" t="s">
        <v>198</v>
      </c>
      <c r="H3686" s="9" t="n">
        <v>875</v>
      </c>
      <c r="I3686" s="29" t="n">
        <v>0.5</v>
      </c>
      <c r="J3686" s="9" t="n">
        <v>1</v>
      </c>
      <c r="K3686" s="30"/>
      <c r="L3686" s="30"/>
      <c r="M3686" s="30"/>
      <c r="N3686" s="30"/>
      <c r="O3686" s="30"/>
      <c r="P3686" s="30"/>
      <c r="Q3686" s="30"/>
      <c r="R3686" s="30"/>
      <c r="S3686" s="30"/>
      <c r="T3686" s="30"/>
      <c r="U3686" s="21" t="str">
        <f aca="false">IF(COUNT(K3686:T3686)=0,"SOURCE EMPTY / INDUSTRIAL ONLY",IF(MIN(K3686:T3686)=1,"SERVICE READY","HOLD"))</f>
        <v>SOURCE EMPTY / INDUSTRIAL ONLY</v>
      </c>
      <c r="V3686" s="9" t="n">
        <f aca="false">IF(U3686="SERVICE READY",1,0)</f>
        <v>0</v>
      </c>
      <c r="W3686" s="6"/>
      <c r="X3686" s="6"/>
      <c r="Y3686" s="6"/>
      <c r="Z3686" s="6"/>
    </row>
    <row r="3687" customFormat="false" ht="15" hidden="false" customHeight="false" outlineLevel="0" collapsed="false">
      <c r="A3687" s="9" t="s">
        <v>3969</v>
      </c>
      <c r="B3687" s="9" t="s">
        <v>3939</v>
      </c>
      <c r="C3687" s="9" t="s">
        <v>3940</v>
      </c>
      <c r="D3687" s="9" t="s">
        <v>3722</v>
      </c>
      <c r="E3687" s="9" t="s">
        <v>1660</v>
      </c>
      <c r="F3687" s="9" t="s">
        <v>200</v>
      </c>
      <c r="G3687" s="9" t="s">
        <v>201</v>
      </c>
      <c r="H3687" s="9" t="n">
        <v>875</v>
      </c>
      <c r="I3687" s="29" t="n">
        <v>0.5</v>
      </c>
      <c r="J3687" s="9" t="n">
        <v>1</v>
      </c>
      <c r="K3687" s="30"/>
      <c r="L3687" s="30"/>
      <c r="M3687" s="30"/>
      <c r="N3687" s="30"/>
      <c r="O3687" s="30"/>
      <c r="P3687" s="30"/>
      <c r="Q3687" s="30"/>
      <c r="R3687" s="30"/>
      <c r="S3687" s="30"/>
      <c r="T3687" s="30"/>
      <c r="U3687" s="21" t="str">
        <f aca="false">IF(COUNT(K3687:T3687)=0,"SOURCE EMPTY / INDUSTRIAL ONLY",IF(MIN(K3687:T3687)=1,"SERVICE READY","HOLD"))</f>
        <v>SOURCE EMPTY / INDUSTRIAL ONLY</v>
      </c>
      <c r="V3687" s="9" t="n">
        <f aca="false">IF(U3687="SERVICE READY",1,0)</f>
        <v>0</v>
      </c>
      <c r="W3687" s="6"/>
      <c r="X3687" s="6"/>
      <c r="Y3687" s="6"/>
      <c r="Z3687" s="6"/>
    </row>
    <row r="3688" customFormat="false" ht="15" hidden="false" customHeight="false" outlineLevel="0" collapsed="false">
      <c r="A3688" s="9" t="s">
        <v>3970</v>
      </c>
      <c r="B3688" s="9" t="s">
        <v>3939</v>
      </c>
      <c r="C3688" s="9" t="s">
        <v>3940</v>
      </c>
      <c r="D3688" s="9" t="s">
        <v>3722</v>
      </c>
      <c r="E3688" s="9" t="s">
        <v>1660</v>
      </c>
      <c r="F3688" s="9" t="s">
        <v>203</v>
      </c>
      <c r="G3688" s="9" t="s">
        <v>198</v>
      </c>
      <c r="H3688" s="9" t="n">
        <v>875</v>
      </c>
      <c r="I3688" s="29" t="n">
        <v>0.5</v>
      </c>
      <c r="J3688" s="9" t="n">
        <v>1</v>
      </c>
      <c r="K3688" s="30"/>
      <c r="L3688" s="30"/>
      <c r="M3688" s="30"/>
      <c r="N3688" s="30"/>
      <c r="O3688" s="30"/>
      <c r="P3688" s="30"/>
      <c r="Q3688" s="30"/>
      <c r="R3688" s="30"/>
      <c r="S3688" s="30"/>
      <c r="T3688" s="30"/>
      <c r="U3688" s="21" t="str">
        <f aca="false">IF(COUNT(K3688:T3688)=0,"SOURCE EMPTY / INDUSTRIAL ONLY",IF(MIN(K3688:T3688)=1,"SERVICE READY","HOLD"))</f>
        <v>SOURCE EMPTY / INDUSTRIAL ONLY</v>
      </c>
      <c r="V3688" s="9" t="n">
        <f aca="false">IF(U3688="SERVICE READY",1,0)</f>
        <v>0</v>
      </c>
      <c r="W3688" s="6"/>
      <c r="X3688" s="6"/>
      <c r="Y3688" s="6"/>
      <c r="Z3688" s="6"/>
    </row>
    <row r="3689" customFormat="false" ht="15" hidden="false" customHeight="false" outlineLevel="0" collapsed="false">
      <c r="A3689" s="9" t="s">
        <v>3971</v>
      </c>
      <c r="B3689" s="9" t="s">
        <v>3939</v>
      </c>
      <c r="C3689" s="9" t="s">
        <v>3940</v>
      </c>
      <c r="D3689" s="9" t="s">
        <v>3722</v>
      </c>
      <c r="E3689" s="9" t="s">
        <v>1660</v>
      </c>
      <c r="F3689" s="9" t="s">
        <v>205</v>
      </c>
      <c r="G3689" s="9" t="s">
        <v>201</v>
      </c>
      <c r="H3689" s="9" t="n">
        <v>875</v>
      </c>
      <c r="I3689" s="29" t="n">
        <v>0.5</v>
      </c>
      <c r="J3689" s="9" t="n">
        <v>1</v>
      </c>
      <c r="K3689" s="30"/>
      <c r="L3689" s="30"/>
      <c r="M3689" s="30"/>
      <c r="N3689" s="30"/>
      <c r="O3689" s="30"/>
      <c r="P3689" s="30"/>
      <c r="Q3689" s="30"/>
      <c r="R3689" s="30"/>
      <c r="S3689" s="30"/>
      <c r="T3689" s="30"/>
      <c r="U3689" s="21" t="str">
        <f aca="false">IF(COUNT(K3689:T3689)=0,"SOURCE EMPTY / INDUSTRIAL ONLY",IF(MIN(K3689:T3689)=1,"SERVICE READY","HOLD"))</f>
        <v>SOURCE EMPTY / INDUSTRIAL ONLY</v>
      </c>
      <c r="V3689" s="9" t="n">
        <f aca="false">IF(U3689="SERVICE READY",1,0)</f>
        <v>0</v>
      </c>
      <c r="W3689" s="6"/>
      <c r="X3689" s="6"/>
      <c r="Y3689" s="6"/>
      <c r="Z3689" s="6"/>
    </row>
    <row r="3690" customFormat="false" ht="15" hidden="false" customHeight="false" outlineLevel="0" collapsed="false">
      <c r="A3690" s="9" t="s">
        <v>3972</v>
      </c>
      <c r="B3690" s="9" t="s">
        <v>3939</v>
      </c>
      <c r="C3690" s="9" t="s">
        <v>3940</v>
      </c>
      <c r="D3690" s="9" t="s">
        <v>3722</v>
      </c>
      <c r="E3690" s="9" t="s">
        <v>1660</v>
      </c>
      <c r="F3690" s="9" t="s">
        <v>207</v>
      </c>
      <c r="G3690" s="9" t="s">
        <v>198</v>
      </c>
      <c r="H3690" s="9" t="n">
        <v>875</v>
      </c>
      <c r="I3690" s="29" t="n">
        <v>0.5</v>
      </c>
      <c r="J3690" s="9" t="n">
        <v>1</v>
      </c>
      <c r="K3690" s="30"/>
      <c r="L3690" s="30"/>
      <c r="M3690" s="30"/>
      <c r="N3690" s="30"/>
      <c r="O3690" s="30"/>
      <c r="P3690" s="30"/>
      <c r="Q3690" s="30"/>
      <c r="R3690" s="30"/>
      <c r="S3690" s="30"/>
      <c r="T3690" s="30"/>
      <c r="U3690" s="21" t="str">
        <f aca="false">IF(COUNT(K3690:T3690)=0,"SOURCE EMPTY / INDUSTRIAL ONLY",IF(MIN(K3690:T3690)=1,"SERVICE READY","HOLD"))</f>
        <v>SOURCE EMPTY / INDUSTRIAL ONLY</v>
      </c>
      <c r="V3690" s="9" t="n">
        <f aca="false">IF(U3690="SERVICE READY",1,0)</f>
        <v>0</v>
      </c>
      <c r="W3690" s="6"/>
      <c r="X3690" s="6"/>
      <c r="Y3690" s="6"/>
      <c r="Z3690" s="6"/>
    </row>
    <row r="3691" customFormat="false" ht="15" hidden="false" customHeight="false" outlineLevel="0" collapsed="false">
      <c r="A3691" s="9" t="s">
        <v>3973</v>
      </c>
      <c r="B3691" s="9" t="s">
        <v>3939</v>
      </c>
      <c r="C3691" s="9" t="s">
        <v>3940</v>
      </c>
      <c r="D3691" s="9" t="s">
        <v>3722</v>
      </c>
      <c r="E3691" s="9" t="s">
        <v>1660</v>
      </c>
      <c r="F3691" s="9" t="s">
        <v>209</v>
      </c>
      <c r="G3691" s="9" t="s">
        <v>201</v>
      </c>
      <c r="H3691" s="9" t="n">
        <v>875</v>
      </c>
      <c r="I3691" s="29" t="n">
        <v>0.5</v>
      </c>
      <c r="J3691" s="9" t="n">
        <v>1</v>
      </c>
      <c r="K3691" s="30"/>
      <c r="L3691" s="30"/>
      <c r="M3691" s="30"/>
      <c r="N3691" s="30"/>
      <c r="O3691" s="30"/>
      <c r="P3691" s="30"/>
      <c r="Q3691" s="30"/>
      <c r="R3691" s="30"/>
      <c r="S3691" s="30"/>
      <c r="T3691" s="30"/>
      <c r="U3691" s="21" t="str">
        <f aca="false">IF(COUNT(K3691:T3691)=0,"SOURCE EMPTY / INDUSTRIAL ONLY",IF(MIN(K3691:T3691)=1,"SERVICE READY","HOLD"))</f>
        <v>SOURCE EMPTY / INDUSTRIAL ONLY</v>
      </c>
      <c r="V3691" s="9" t="n">
        <f aca="false">IF(U3691="SERVICE READY",1,0)</f>
        <v>0</v>
      </c>
      <c r="W3691" s="6"/>
      <c r="X3691" s="6"/>
      <c r="Y3691" s="6"/>
      <c r="Z3691" s="6"/>
    </row>
    <row r="3692" customFormat="false" ht="15" hidden="false" customHeight="false" outlineLevel="0" collapsed="false">
      <c r="A3692" s="9" t="s">
        <v>3974</v>
      </c>
      <c r="B3692" s="9" t="s">
        <v>3939</v>
      </c>
      <c r="C3692" s="9" t="s">
        <v>3940</v>
      </c>
      <c r="D3692" s="9" t="s">
        <v>3722</v>
      </c>
      <c r="E3692" s="9" t="s">
        <v>1660</v>
      </c>
      <c r="F3692" s="9" t="s">
        <v>211</v>
      </c>
      <c r="G3692" s="9" t="s">
        <v>198</v>
      </c>
      <c r="H3692" s="9" t="n">
        <v>875</v>
      </c>
      <c r="I3692" s="29" t="n">
        <v>0.5</v>
      </c>
      <c r="J3692" s="9" t="n">
        <v>1</v>
      </c>
      <c r="K3692" s="30"/>
      <c r="L3692" s="30"/>
      <c r="M3692" s="30"/>
      <c r="N3692" s="30"/>
      <c r="O3692" s="30"/>
      <c r="P3692" s="30"/>
      <c r="Q3692" s="30"/>
      <c r="R3692" s="30"/>
      <c r="S3692" s="30"/>
      <c r="T3692" s="30"/>
      <c r="U3692" s="21" t="str">
        <f aca="false">IF(COUNT(K3692:T3692)=0,"SOURCE EMPTY / INDUSTRIAL ONLY",IF(MIN(K3692:T3692)=1,"SERVICE READY","HOLD"))</f>
        <v>SOURCE EMPTY / INDUSTRIAL ONLY</v>
      </c>
      <c r="V3692" s="9" t="n">
        <f aca="false">IF(U3692="SERVICE READY",1,0)</f>
        <v>0</v>
      </c>
      <c r="W3692" s="6"/>
      <c r="X3692" s="6"/>
      <c r="Y3692" s="6"/>
      <c r="Z3692" s="6"/>
    </row>
    <row r="3693" customFormat="false" ht="15" hidden="false" customHeight="false" outlineLevel="0" collapsed="false">
      <c r="A3693" s="9" t="s">
        <v>3975</v>
      </c>
      <c r="B3693" s="9" t="s">
        <v>3939</v>
      </c>
      <c r="C3693" s="9" t="s">
        <v>3940</v>
      </c>
      <c r="D3693" s="9" t="s">
        <v>3722</v>
      </c>
      <c r="E3693" s="9" t="s">
        <v>1660</v>
      </c>
      <c r="F3693" s="9" t="s">
        <v>197</v>
      </c>
      <c r="G3693" s="9" t="s">
        <v>201</v>
      </c>
      <c r="H3693" s="9" t="n">
        <v>875</v>
      </c>
      <c r="I3693" s="29" t="n">
        <v>0.5</v>
      </c>
      <c r="J3693" s="9" t="n">
        <v>1</v>
      </c>
      <c r="K3693" s="30"/>
      <c r="L3693" s="30"/>
      <c r="M3693" s="30"/>
      <c r="N3693" s="30"/>
      <c r="O3693" s="30"/>
      <c r="P3693" s="30"/>
      <c r="Q3693" s="30"/>
      <c r="R3693" s="30"/>
      <c r="S3693" s="30"/>
      <c r="T3693" s="30"/>
      <c r="U3693" s="21" t="str">
        <f aca="false">IF(COUNT(K3693:T3693)=0,"SOURCE EMPTY / INDUSTRIAL ONLY",IF(MIN(K3693:T3693)=1,"SERVICE READY","HOLD"))</f>
        <v>SOURCE EMPTY / INDUSTRIAL ONLY</v>
      </c>
      <c r="V3693" s="9" t="n">
        <f aca="false">IF(U3693="SERVICE READY",1,0)</f>
        <v>0</v>
      </c>
      <c r="W3693" s="6"/>
      <c r="X3693" s="6"/>
      <c r="Y3693" s="6"/>
      <c r="Z3693" s="6"/>
    </row>
    <row r="3694" customFormat="false" ht="15" hidden="false" customHeight="false" outlineLevel="0" collapsed="false">
      <c r="A3694" s="9" t="s">
        <v>3976</v>
      </c>
      <c r="B3694" s="9" t="s">
        <v>3939</v>
      </c>
      <c r="C3694" s="9" t="s">
        <v>3940</v>
      </c>
      <c r="D3694" s="9" t="s">
        <v>3722</v>
      </c>
      <c r="E3694" s="9" t="s">
        <v>1660</v>
      </c>
      <c r="F3694" s="9" t="s">
        <v>200</v>
      </c>
      <c r="G3694" s="9" t="s">
        <v>198</v>
      </c>
      <c r="H3694" s="9" t="n">
        <v>875</v>
      </c>
      <c r="I3694" s="29" t="n">
        <v>0.5</v>
      </c>
      <c r="J3694" s="9" t="n">
        <v>1</v>
      </c>
      <c r="K3694" s="30"/>
      <c r="L3694" s="30"/>
      <c r="M3694" s="30"/>
      <c r="N3694" s="30"/>
      <c r="O3694" s="30"/>
      <c r="P3694" s="30"/>
      <c r="Q3694" s="30"/>
      <c r="R3694" s="30"/>
      <c r="S3694" s="30"/>
      <c r="T3694" s="30"/>
      <c r="U3694" s="21" t="str">
        <f aca="false">IF(COUNT(K3694:T3694)=0,"SOURCE EMPTY / INDUSTRIAL ONLY",IF(MIN(K3694:T3694)=1,"SERVICE READY","HOLD"))</f>
        <v>SOURCE EMPTY / INDUSTRIAL ONLY</v>
      </c>
      <c r="V3694" s="9" t="n">
        <f aca="false">IF(U3694="SERVICE READY",1,0)</f>
        <v>0</v>
      </c>
      <c r="W3694" s="6"/>
      <c r="X3694" s="6"/>
      <c r="Y3694" s="6"/>
      <c r="Z3694" s="6"/>
    </row>
    <row r="3695" customFormat="false" ht="15" hidden="false" customHeight="false" outlineLevel="0" collapsed="false">
      <c r="A3695" s="9" t="s">
        <v>3977</v>
      </c>
      <c r="B3695" s="9" t="s">
        <v>3939</v>
      </c>
      <c r="C3695" s="9" t="s">
        <v>3940</v>
      </c>
      <c r="D3695" s="9" t="s">
        <v>3722</v>
      </c>
      <c r="E3695" s="9" t="s">
        <v>1660</v>
      </c>
      <c r="F3695" s="9" t="s">
        <v>203</v>
      </c>
      <c r="G3695" s="9" t="s">
        <v>201</v>
      </c>
      <c r="H3695" s="9" t="n">
        <v>875</v>
      </c>
      <c r="I3695" s="29" t="n">
        <v>0.5</v>
      </c>
      <c r="J3695" s="9" t="n">
        <v>1</v>
      </c>
      <c r="K3695" s="30"/>
      <c r="L3695" s="30"/>
      <c r="M3695" s="30"/>
      <c r="N3695" s="30"/>
      <c r="O3695" s="30"/>
      <c r="P3695" s="30"/>
      <c r="Q3695" s="30"/>
      <c r="R3695" s="30"/>
      <c r="S3695" s="30"/>
      <c r="T3695" s="30"/>
      <c r="U3695" s="21" t="str">
        <f aca="false">IF(COUNT(K3695:T3695)=0,"SOURCE EMPTY / INDUSTRIAL ONLY",IF(MIN(K3695:T3695)=1,"SERVICE READY","HOLD"))</f>
        <v>SOURCE EMPTY / INDUSTRIAL ONLY</v>
      </c>
      <c r="V3695" s="9" t="n">
        <f aca="false">IF(U3695="SERVICE READY",1,0)</f>
        <v>0</v>
      </c>
      <c r="W3695" s="6"/>
      <c r="X3695" s="6"/>
      <c r="Y3695" s="6"/>
      <c r="Z3695" s="6"/>
    </row>
    <row r="3696" customFormat="false" ht="15" hidden="false" customHeight="false" outlineLevel="0" collapsed="false">
      <c r="A3696" s="9" t="s">
        <v>3978</v>
      </c>
      <c r="B3696" s="9" t="s">
        <v>3939</v>
      </c>
      <c r="C3696" s="9" t="s">
        <v>3940</v>
      </c>
      <c r="D3696" s="9" t="s">
        <v>3722</v>
      </c>
      <c r="E3696" s="9" t="s">
        <v>1660</v>
      </c>
      <c r="F3696" s="9" t="s">
        <v>205</v>
      </c>
      <c r="G3696" s="9" t="s">
        <v>198</v>
      </c>
      <c r="H3696" s="9" t="n">
        <v>875</v>
      </c>
      <c r="I3696" s="29" t="n">
        <v>0.5</v>
      </c>
      <c r="J3696" s="9" t="n">
        <v>1</v>
      </c>
      <c r="K3696" s="30"/>
      <c r="L3696" s="30"/>
      <c r="M3696" s="30"/>
      <c r="N3696" s="30"/>
      <c r="O3696" s="30"/>
      <c r="P3696" s="30"/>
      <c r="Q3696" s="30"/>
      <c r="R3696" s="30"/>
      <c r="S3696" s="30"/>
      <c r="T3696" s="30"/>
      <c r="U3696" s="21" t="str">
        <f aca="false">IF(COUNT(K3696:T3696)=0,"SOURCE EMPTY / INDUSTRIAL ONLY",IF(MIN(K3696:T3696)=1,"SERVICE READY","HOLD"))</f>
        <v>SOURCE EMPTY / INDUSTRIAL ONLY</v>
      </c>
      <c r="V3696" s="9" t="n">
        <f aca="false">IF(U3696="SERVICE READY",1,0)</f>
        <v>0</v>
      </c>
      <c r="W3696" s="6"/>
      <c r="X3696" s="6"/>
      <c r="Y3696" s="6"/>
      <c r="Z3696" s="6"/>
    </row>
    <row r="3697" customFormat="false" ht="15" hidden="false" customHeight="false" outlineLevel="0" collapsed="false">
      <c r="A3697" s="9" t="s">
        <v>3979</v>
      </c>
      <c r="B3697" s="9" t="s">
        <v>3939</v>
      </c>
      <c r="C3697" s="9" t="s">
        <v>3940</v>
      </c>
      <c r="D3697" s="9" t="s">
        <v>3722</v>
      </c>
      <c r="E3697" s="9" t="s">
        <v>1660</v>
      </c>
      <c r="F3697" s="9" t="s">
        <v>207</v>
      </c>
      <c r="G3697" s="9" t="s">
        <v>201</v>
      </c>
      <c r="H3697" s="9" t="n">
        <v>875</v>
      </c>
      <c r="I3697" s="29" t="n">
        <v>0.5</v>
      </c>
      <c r="J3697" s="9" t="n">
        <v>1</v>
      </c>
      <c r="K3697" s="30"/>
      <c r="L3697" s="30"/>
      <c r="M3697" s="30"/>
      <c r="N3697" s="30"/>
      <c r="O3697" s="30"/>
      <c r="P3697" s="30"/>
      <c r="Q3697" s="30"/>
      <c r="R3697" s="30"/>
      <c r="S3697" s="30"/>
      <c r="T3697" s="30"/>
      <c r="U3697" s="21" t="str">
        <f aca="false">IF(COUNT(K3697:T3697)=0,"SOURCE EMPTY / INDUSTRIAL ONLY",IF(MIN(K3697:T3697)=1,"SERVICE READY","HOLD"))</f>
        <v>SOURCE EMPTY / INDUSTRIAL ONLY</v>
      </c>
      <c r="V3697" s="9" t="n">
        <f aca="false">IF(U3697="SERVICE READY",1,0)</f>
        <v>0</v>
      </c>
      <c r="W3697" s="6"/>
      <c r="X3697" s="6"/>
      <c r="Y3697" s="6"/>
      <c r="Z3697" s="6"/>
    </row>
    <row r="3698" customFormat="false" ht="15" hidden="false" customHeight="false" outlineLevel="0" collapsed="false">
      <c r="A3698" s="9" t="s">
        <v>3980</v>
      </c>
      <c r="B3698" s="9" t="s">
        <v>3939</v>
      </c>
      <c r="C3698" s="9" t="s">
        <v>3940</v>
      </c>
      <c r="D3698" s="9" t="s">
        <v>3722</v>
      </c>
      <c r="E3698" s="9" t="s">
        <v>1660</v>
      </c>
      <c r="F3698" s="9" t="s">
        <v>209</v>
      </c>
      <c r="G3698" s="9" t="s">
        <v>198</v>
      </c>
      <c r="H3698" s="9" t="n">
        <v>875</v>
      </c>
      <c r="I3698" s="29" t="n">
        <v>0.5</v>
      </c>
      <c r="J3698" s="9" t="n">
        <v>1</v>
      </c>
      <c r="K3698" s="30"/>
      <c r="L3698" s="30"/>
      <c r="M3698" s="30"/>
      <c r="N3698" s="30"/>
      <c r="O3698" s="30"/>
      <c r="P3698" s="30"/>
      <c r="Q3698" s="30"/>
      <c r="R3698" s="30"/>
      <c r="S3698" s="30"/>
      <c r="T3698" s="30"/>
      <c r="U3698" s="21" t="str">
        <f aca="false">IF(COUNT(K3698:T3698)=0,"SOURCE EMPTY / INDUSTRIAL ONLY",IF(MIN(K3698:T3698)=1,"SERVICE READY","HOLD"))</f>
        <v>SOURCE EMPTY / INDUSTRIAL ONLY</v>
      </c>
      <c r="V3698" s="9" t="n">
        <f aca="false">IF(U3698="SERVICE READY",1,0)</f>
        <v>0</v>
      </c>
      <c r="W3698" s="6"/>
      <c r="X3698" s="6"/>
      <c r="Y3698" s="6"/>
      <c r="Z3698" s="6"/>
    </row>
    <row r="3699" customFormat="false" ht="15" hidden="false" customHeight="false" outlineLevel="0" collapsed="false">
      <c r="A3699" s="9" t="s">
        <v>3981</v>
      </c>
      <c r="B3699" s="9" t="s">
        <v>3939</v>
      </c>
      <c r="C3699" s="9" t="s">
        <v>3940</v>
      </c>
      <c r="D3699" s="9" t="s">
        <v>3722</v>
      </c>
      <c r="E3699" s="9" t="s">
        <v>1660</v>
      </c>
      <c r="F3699" s="9" t="s">
        <v>211</v>
      </c>
      <c r="G3699" s="9" t="s">
        <v>201</v>
      </c>
      <c r="H3699" s="9" t="n">
        <v>875</v>
      </c>
      <c r="I3699" s="29" t="n">
        <v>0.5</v>
      </c>
      <c r="J3699" s="9" t="n">
        <v>1</v>
      </c>
      <c r="K3699" s="30"/>
      <c r="L3699" s="30"/>
      <c r="M3699" s="30"/>
      <c r="N3699" s="30"/>
      <c r="O3699" s="30"/>
      <c r="P3699" s="30"/>
      <c r="Q3699" s="30"/>
      <c r="R3699" s="30"/>
      <c r="S3699" s="30"/>
      <c r="T3699" s="30"/>
      <c r="U3699" s="21" t="str">
        <f aca="false">IF(COUNT(K3699:T3699)=0,"SOURCE EMPTY / INDUSTRIAL ONLY",IF(MIN(K3699:T3699)=1,"SERVICE READY","HOLD"))</f>
        <v>SOURCE EMPTY / INDUSTRIAL ONLY</v>
      </c>
      <c r="V3699" s="9" t="n">
        <f aca="false">IF(U3699="SERVICE READY",1,0)</f>
        <v>0</v>
      </c>
      <c r="W3699" s="6"/>
      <c r="X3699" s="6"/>
      <c r="Y3699" s="6"/>
      <c r="Z3699" s="6"/>
    </row>
    <row r="3700" customFormat="false" ht="15" hidden="false" customHeight="false" outlineLevel="0" collapsed="false">
      <c r="A3700" s="9" t="s">
        <v>3982</v>
      </c>
      <c r="B3700" s="9" t="s">
        <v>3939</v>
      </c>
      <c r="C3700" s="9" t="s">
        <v>3940</v>
      </c>
      <c r="D3700" s="9" t="s">
        <v>3722</v>
      </c>
      <c r="E3700" s="9" t="s">
        <v>1660</v>
      </c>
      <c r="F3700" s="9" t="s">
        <v>197</v>
      </c>
      <c r="G3700" s="9" t="s">
        <v>198</v>
      </c>
      <c r="H3700" s="9" t="n">
        <v>875</v>
      </c>
      <c r="I3700" s="29" t="n">
        <v>0.5</v>
      </c>
      <c r="J3700" s="9" t="n">
        <v>1</v>
      </c>
      <c r="K3700" s="30"/>
      <c r="L3700" s="30"/>
      <c r="M3700" s="30"/>
      <c r="N3700" s="30"/>
      <c r="O3700" s="30"/>
      <c r="P3700" s="30"/>
      <c r="Q3700" s="30"/>
      <c r="R3700" s="30"/>
      <c r="S3700" s="30"/>
      <c r="T3700" s="30"/>
      <c r="U3700" s="21" t="str">
        <f aca="false">IF(COUNT(K3700:T3700)=0,"SOURCE EMPTY / INDUSTRIAL ONLY",IF(MIN(K3700:T3700)=1,"SERVICE READY","HOLD"))</f>
        <v>SOURCE EMPTY / INDUSTRIAL ONLY</v>
      </c>
      <c r="V3700" s="9" t="n">
        <f aca="false">IF(U3700="SERVICE READY",1,0)</f>
        <v>0</v>
      </c>
      <c r="W3700" s="6"/>
      <c r="X3700" s="6"/>
      <c r="Y3700" s="6"/>
      <c r="Z3700" s="6"/>
    </row>
    <row r="3701" customFormat="false" ht="15" hidden="false" customHeight="false" outlineLevel="0" collapsed="false">
      <c r="A3701" s="9" t="s">
        <v>3983</v>
      </c>
      <c r="B3701" s="9" t="s">
        <v>3939</v>
      </c>
      <c r="C3701" s="9" t="s">
        <v>3940</v>
      </c>
      <c r="D3701" s="9" t="s">
        <v>3722</v>
      </c>
      <c r="E3701" s="9" t="s">
        <v>1660</v>
      </c>
      <c r="F3701" s="9" t="s">
        <v>200</v>
      </c>
      <c r="G3701" s="9" t="s">
        <v>201</v>
      </c>
      <c r="H3701" s="9" t="n">
        <v>875</v>
      </c>
      <c r="I3701" s="29" t="n">
        <v>0.5</v>
      </c>
      <c r="J3701" s="9" t="n">
        <v>1</v>
      </c>
      <c r="K3701" s="30"/>
      <c r="L3701" s="30"/>
      <c r="M3701" s="30"/>
      <c r="N3701" s="30"/>
      <c r="O3701" s="30"/>
      <c r="P3701" s="30"/>
      <c r="Q3701" s="30"/>
      <c r="R3701" s="30"/>
      <c r="S3701" s="30"/>
      <c r="T3701" s="30"/>
      <c r="U3701" s="21" t="str">
        <f aca="false">IF(COUNT(K3701:T3701)=0,"SOURCE EMPTY / INDUSTRIAL ONLY",IF(MIN(K3701:T3701)=1,"SERVICE READY","HOLD"))</f>
        <v>SOURCE EMPTY / INDUSTRIAL ONLY</v>
      </c>
      <c r="V3701" s="9" t="n">
        <f aca="false">IF(U3701="SERVICE READY",1,0)</f>
        <v>0</v>
      </c>
      <c r="W3701" s="6"/>
      <c r="X3701" s="6"/>
      <c r="Y3701" s="6"/>
      <c r="Z3701" s="6"/>
    </row>
    <row r="3702" customFormat="false" ht="15" hidden="false" customHeight="false" outlineLevel="0" collapsed="false">
      <c r="A3702" s="9" t="s">
        <v>3984</v>
      </c>
      <c r="B3702" s="9" t="s">
        <v>3939</v>
      </c>
      <c r="C3702" s="9" t="s">
        <v>3940</v>
      </c>
      <c r="D3702" s="9" t="s">
        <v>3722</v>
      </c>
      <c r="E3702" s="9" t="s">
        <v>1660</v>
      </c>
      <c r="F3702" s="9" t="s">
        <v>203</v>
      </c>
      <c r="G3702" s="9" t="s">
        <v>198</v>
      </c>
      <c r="H3702" s="9" t="n">
        <v>875</v>
      </c>
      <c r="I3702" s="29" t="n">
        <v>0.5</v>
      </c>
      <c r="J3702" s="9" t="n">
        <v>1</v>
      </c>
      <c r="K3702" s="30"/>
      <c r="L3702" s="30"/>
      <c r="M3702" s="30"/>
      <c r="N3702" s="30"/>
      <c r="O3702" s="30"/>
      <c r="P3702" s="30"/>
      <c r="Q3702" s="30"/>
      <c r="R3702" s="30"/>
      <c r="S3702" s="30"/>
      <c r="T3702" s="30"/>
      <c r="U3702" s="21" t="str">
        <f aca="false">IF(COUNT(K3702:T3702)=0,"SOURCE EMPTY / INDUSTRIAL ONLY",IF(MIN(K3702:T3702)=1,"SERVICE READY","HOLD"))</f>
        <v>SOURCE EMPTY / INDUSTRIAL ONLY</v>
      </c>
      <c r="V3702" s="9" t="n">
        <f aca="false">IF(U3702="SERVICE READY",1,0)</f>
        <v>0</v>
      </c>
      <c r="W3702" s="6"/>
      <c r="X3702" s="6"/>
      <c r="Y3702" s="6"/>
      <c r="Z3702" s="6"/>
    </row>
    <row r="3703" customFormat="false" ht="15" hidden="false" customHeight="false" outlineLevel="0" collapsed="false">
      <c r="A3703" s="9" t="s">
        <v>3985</v>
      </c>
      <c r="B3703" s="9" t="s">
        <v>3939</v>
      </c>
      <c r="C3703" s="9" t="s">
        <v>3940</v>
      </c>
      <c r="D3703" s="9" t="s">
        <v>3722</v>
      </c>
      <c r="E3703" s="9" t="s">
        <v>1660</v>
      </c>
      <c r="F3703" s="9" t="s">
        <v>205</v>
      </c>
      <c r="G3703" s="9" t="s">
        <v>201</v>
      </c>
      <c r="H3703" s="9" t="n">
        <v>875</v>
      </c>
      <c r="I3703" s="29" t="n">
        <v>0.5</v>
      </c>
      <c r="J3703" s="9" t="n">
        <v>1</v>
      </c>
      <c r="K3703" s="30"/>
      <c r="L3703" s="30"/>
      <c r="M3703" s="30"/>
      <c r="N3703" s="30"/>
      <c r="O3703" s="30"/>
      <c r="P3703" s="30"/>
      <c r="Q3703" s="30"/>
      <c r="R3703" s="30"/>
      <c r="S3703" s="30"/>
      <c r="T3703" s="30"/>
      <c r="U3703" s="21" t="str">
        <f aca="false">IF(COUNT(K3703:T3703)=0,"SOURCE EMPTY / INDUSTRIAL ONLY",IF(MIN(K3703:T3703)=1,"SERVICE READY","HOLD"))</f>
        <v>SOURCE EMPTY / INDUSTRIAL ONLY</v>
      </c>
      <c r="V3703" s="9" t="n">
        <f aca="false">IF(U3703="SERVICE READY",1,0)</f>
        <v>0</v>
      </c>
      <c r="W3703" s="6"/>
      <c r="X3703" s="6"/>
      <c r="Y3703" s="6"/>
      <c r="Z3703" s="6"/>
    </row>
    <row r="3704" customFormat="false" ht="15" hidden="false" customHeight="false" outlineLevel="0" collapsed="false">
      <c r="A3704" s="9" t="s">
        <v>3986</v>
      </c>
      <c r="B3704" s="9" t="s">
        <v>3939</v>
      </c>
      <c r="C3704" s="9" t="s">
        <v>3940</v>
      </c>
      <c r="D3704" s="9" t="s">
        <v>3722</v>
      </c>
      <c r="E3704" s="9" t="s">
        <v>1660</v>
      </c>
      <c r="F3704" s="9" t="s">
        <v>207</v>
      </c>
      <c r="G3704" s="9" t="s">
        <v>198</v>
      </c>
      <c r="H3704" s="9" t="n">
        <v>875</v>
      </c>
      <c r="I3704" s="29" t="n">
        <v>0.5</v>
      </c>
      <c r="J3704" s="9" t="n">
        <v>1</v>
      </c>
      <c r="K3704" s="30"/>
      <c r="L3704" s="30"/>
      <c r="M3704" s="30"/>
      <c r="N3704" s="30"/>
      <c r="O3704" s="30"/>
      <c r="P3704" s="30"/>
      <c r="Q3704" s="30"/>
      <c r="R3704" s="30"/>
      <c r="S3704" s="30"/>
      <c r="T3704" s="30"/>
      <c r="U3704" s="21" t="str">
        <f aca="false">IF(COUNT(K3704:T3704)=0,"SOURCE EMPTY / INDUSTRIAL ONLY",IF(MIN(K3704:T3704)=1,"SERVICE READY","HOLD"))</f>
        <v>SOURCE EMPTY / INDUSTRIAL ONLY</v>
      </c>
      <c r="V3704" s="9" t="n">
        <f aca="false">IF(U3704="SERVICE READY",1,0)</f>
        <v>0</v>
      </c>
      <c r="W3704" s="6"/>
      <c r="X3704" s="6"/>
      <c r="Y3704" s="6"/>
      <c r="Z3704" s="6"/>
    </row>
    <row r="3705" customFormat="false" ht="15" hidden="false" customHeight="false" outlineLevel="0" collapsed="false">
      <c r="A3705" s="9" t="s">
        <v>3987</v>
      </c>
      <c r="B3705" s="9" t="s">
        <v>3939</v>
      </c>
      <c r="C3705" s="9" t="s">
        <v>3940</v>
      </c>
      <c r="D3705" s="9" t="s">
        <v>3722</v>
      </c>
      <c r="E3705" s="9" t="s">
        <v>1660</v>
      </c>
      <c r="F3705" s="9" t="s">
        <v>209</v>
      </c>
      <c r="G3705" s="9" t="s">
        <v>201</v>
      </c>
      <c r="H3705" s="9" t="n">
        <v>875</v>
      </c>
      <c r="I3705" s="29" t="n">
        <v>0.5</v>
      </c>
      <c r="J3705" s="9" t="n">
        <v>1</v>
      </c>
      <c r="K3705" s="30"/>
      <c r="L3705" s="30"/>
      <c r="M3705" s="30"/>
      <c r="N3705" s="30"/>
      <c r="O3705" s="30"/>
      <c r="P3705" s="30"/>
      <c r="Q3705" s="30"/>
      <c r="R3705" s="30"/>
      <c r="S3705" s="30"/>
      <c r="T3705" s="30"/>
      <c r="U3705" s="21" t="str">
        <f aca="false">IF(COUNT(K3705:T3705)=0,"SOURCE EMPTY / INDUSTRIAL ONLY",IF(MIN(K3705:T3705)=1,"SERVICE READY","HOLD"))</f>
        <v>SOURCE EMPTY / INDUSTRIAL ONLY</v>
      </c>
      <c r="V3705" s="9" t="n">
        <f aca="false">IF(U3705="SERVICE READY",1,0)</f>
        <v>0</v>
      </c>
      <c r="W3705" s="6"/>
      <c r="X3705" s="6"/>
      <c r="Y3705" s="6"/>
      <c r="Z3705" s="6"/>
    </row>
    <row r="3706" customFormat="false" ht="15" hidden="false" customHeight="false" outlineLevel="0" collapsed="false">
      <c r="A3706" s="9" t="s">
        <v>3988</v>
      </c>
      <c r="B3706" s="9" t="s">
        <v>3939</v>
      </c>
      <c r="C3706" s="9" t="s">
        <v>3940</v>
      </c>
      <c r="D3706" s="9" t="s">
        <v>3722</v>
      </c>
      <c r="E3706" s="9" t="s">
        <v>1660</v>
      </c>
      <c r="F3706" s="9" t="s">
        <v>211</v>
      </c>
      <c r="G3706" s="9" t="s">
        <v>198</v>
      </c>
      <c r="H3706" s="9" t="n">
        <v>875</v>
      </c>
      <c r="I3706" s="29" t="n">
        <v>0.5</v>
      </c>
      <c r="J3706" s="9" t="n">
        <v>1</v>
      </c>
      <c r="K3706" s="30"/>
      <c r="L3706" s="30"/>
      <c r="M3706" s="30"/>
      <c r="N3706" s="30"/>
      <c r="O3706" s="30"/>
      <c r="P3706" s="30"/>
      <c r="Q3706" s="30"/>
      <c r="R3706" s="30"/>
      <c r="S3706" s="30"/>
      <c r="T3706" s="30"/>
      <c r="U3706" s="21" t="str">
        <f aca="false">IF(COUNT(K3706:T3706)=0,"SOURCE EMPTY / INDUSTRIAL ONLY",IF(MIN(K3706:T3706)=1,"SERVICE READY","HOLD"))</f>
        <v>SOURCE EMPTY / INDUSTRIAL ONLY</v>
      </c>
      <c r="V3706" s="9" t="n">
        <f aca="false">IF(U3706="SERVICE READY",1,0)</f>
        <v>0</v>
      </c>
      <c r="W3706" s="6"/>
      <c r="X3706" s="6"/>
      <c r="Y3706" s="6"/>
      <c r="Z3706" s="6"/>
    </row>
    <row r="3707" customFormat="false" ht="15" hidden="false" customHeight="false" outlineLevel="0" collapsed="false">
      <c r="A3707" s="9" t="s">
        <v>3989</v>
      </c>
      <c r="B3707" s="9" t="s">
        <v>3939</v>
      </c>
      <c r="C3707" s="9" t="s">
        <v>3940</v>
      </c>
      <c r="D3707" s="9" t="s">
        <v>3722</v>
      </c>
      <c r="E3707" s="9" t="s">
        <v>1660</v>
      </c>
      <c r="F3707" s="9" t="s">
        <v>197</v>
      </c>
      <c r="G3707" s="9" t="s">
        <v>201</v>
      </c>
      <c r="H3707" s="9" t="n">
        <v>875</v>
      </c>
      <c r="I3707" s="29" t="n">
        <v>0.5</v>
      </c>
      <c r="J3707" s="9" t="n">
        <v>1</v>
      </c>
      <c r="K3707" s="30"/>
      <c r="L3707" s="30"/>
      <c r="M3707" s="30"/>
      <c r="N3707" s="30"/>
      <c r="O3707" s="30"/>
      <c r="P3707" s="30"/>
      <c r="Q3707" s="30"/>
      <c r="R3707" s="30"/>
      <c r="S3707" s="30"/>
      <c r="T3707" s="30"/>
      <c r="U3707" s="21" t="str">
        <f aca="false">IF(COUNT(K3707:T3707)=0,"SOURCE EMPTY / INDUSTRIAL ONLY",IF(MIN(K3707:T3707)=1,"SERVICE READY","HOLD"))</f>
        <v>SOURCE EMPTY / INDUSTRIAL ONLY</v>
      </c>
      <c r="V3707" s="9" t="n">
        <f aca="false">IF(U3707="SERVICE READY",1,0)</f>
        <v>0</v>
      </c>
      <c r="W3707" s="6"/>
      <c r="X3707" s="6"/>
      <c r="Y3707" s="6"/>
      <c r="Z3707" s="6"/>
    </row>
    <row r="3708" customFormat="false" ht="15" hidden="false" customHeight="false" outlineLevel="0" collapsed="false">
      <c r="A3708" s="9" t="s">
        <v>3990</v>
      </c>
      <c r="B3708" s="9" t="s">
        <v>3939</v>
      </c>
      <c r="C3708" s="9" t="s">
        <v>3940</v>
      </c>
      <c r="D3708" s="9" t="s">
        <v>3722</v>
      </c>
      <c r="E3708" s="9" t="s">
        <v>1660</v>
      </c>
      <c r="F3708" s="9" t="s">
        <v>200</v>
      </c>
      <c r="G3708" s="9" t="s">
        <v>198</v>
      </c>
      <c r="H3708" s="9" t="n">
        <v>875</v>
      </c>
      <c r="I3708" s="29" t="n">
        <v>0.5</v>
      </c>
      <c r="J3708" s="9" t="n">
        <v>1</v>
      </c>
      <c r="K3708" s="30"/>
      <c r="L3708" s="30"/>
      <c r="M3708" s="30"/>
      <c r="N3708" s="30"/>
      <c r="O3708" s="30"/>
      <c r="P3708" s="30"/>
      <c r="Q3708" s="30"/>
      <c r="R3708" s="30"/>
      <c r="S3708" s="30"/>
      <c r="T3708" s="30"/>
      <c r="U3708" s="21" t="str">
        <f aca="false">IF(COUNT(K3708:T3708)=0,"SOURCE EMPTY / INDUSTRIAL ONLY",IF(MIN(K3708:T3708)=1,"SERVICE READY","HOLD"))</f>
        <v>SOURCE EMPTY / INDUSTRIAL ONLY</v>
      </c>
      <c r="V3708" s="9" t="n">
        <f aca="false">IF(U3708="SERVICE READY",1,0)</f>
        <v>0</v>
      </c>
      <c r="W3708" s="6"/>
      <c r="X3708" s="6"/>
      <c r="Y3708" s="6"/>
      <c r="Z3708" s="6"/>
    </row>
    <row r="3709" customFormat="false" ht="15" hidden="false" customHeight="false" outlineLevel="0" collapsed="false">
      <c r="A3709" s="9" t="s">
        <v>3991</v>
      </c>
      <c r="B3709" s="9" t="s">
        <v>3939</v>
      </c>
      <c r="C3709" s="9" t="s">
        <v>3940</v>
      </c>
      <c r="D3709" s="9" t="s">
        <v>3722</v>
      </c>
      <c r="E3709" s="9" t="s">
        <v>1660</v>
      </c>
      <c r="F3709" s="9" t="s">
        <v>203</v>
      </c>
      <c r="G3709" s="9" t="s">
        <v>201</v>
      </c>
      <c r="H3709" s="9" t="n">
        <v>875</v>
      </c>
      <c r="I3709" s="29" t="n">
        <v>0.5</v>
      </c>
      <c r="J3709" s="9" t="n">
        <v>1</v>
      </c>
      <c r="K3709" s="30"/>
      <c r="L3709" s="30"/>
      <c r="M3709" s="30"/>
      <c r="N3709" s="30"/>
      <c r="O3709" s="30"/>
      <c r="P3709" s="30"/>
      <c r="Q3709" s="30"/>
      <c r="R3709" s="30"/>
      <c r="S3709" s="30"/>
      <c r="T3709" s="30"/>
      <c r="U3709" s="21" t="str">
        <f aca="false">IF(COUNT(K3709:T3709)=0,"SOURCE EMPTY / INDUSTRIAL ONLY",IF(MIN(K3709:T3709)=1,"SERVICE READY","HOLD"))</f>
        <v>SOURCE EMPTY / INDUSTRIAL ONLY</v>
      </c>
      <c r="V3709" s="9" t="n">
        <f aca="false">IF(U3709="SERVICE READY",1,0)</f>
        <v>0</v>
      </c>
      <c r="W3709" s="6"/>
      <c r="X3709" s="6"/>
      <c r="Y3709" s="6"/>
      <c r="Z3709" s="6"/>
    </row>
    <row r="3710" customFormat="false" ht="15" hidden="false" customHeight="false" outlineLevel="0" collapsed="false">
      <c r="A3710" s="9" t="s">
        <v>3992</v>
      </c>
      <c r="B3710" s="9" t="s">
        <v>3939</v>
      </c>
      <c r="C3710" s="9" t="s">
        <v>3940</v>
      </c>
      <c r="D3710" s="9" t="s">
        <v>3722</v>
      </c>
      <c r="E3710" s="9" t="s">
        <v>1660</v>
      </c>
      <c r="F3710" s="9" t="s">
        <v>205</v>
      </c>
      <c r="G3710" s="9" t="s">
        <v>198</v>
      </c>
      <c r="H3710" s="9" t="n">
        <v>875</v>
      </c>
      <c r="I3710" s="29" t="n">
        <v>0.5</v>
      </c>
      <c r="J3710" s="9" t="n">
        <v>1</v>
      </c>
      <c r="K3710" s="30"/>
      <c r="L3710" s="30"/>
      <c r="M3710" s="30"/>
      <c r="N3710" s="30"/>
      <c r="O3710" s="30"/>
      <c r="P3710" s="30"/>
      <c r="Q3710" s="30"/>
      <c r="R3710" s="30"/>
      <c r="S3710" s="30"/>
      <c r="T3710" s="30"/>
      <c r="U3710" s="21" t="str">
        <f aca="false">IF(COUNT(K3710:T3710)=0,"SOURCE EMPTY / INDUSTRIAL ONLY",IF(MIN(K3710:T3710)=1,"SERVICE READY","HOLD"))</f>
        <v>SOURCE EMPTY / INDUSTRIAL ONLY</v>
      </c>
      <c r="V3710" s="9" t="n">
        <f aca="false">IF(U3710="SERVICE READY",1,0)</f>
        <v>0</v>
      </c>
      <c r="W3710" s="6"/>
      <c r="X3710" s="6"/>
      <c r="Y3710" s="6"/>
      <c r="Z3710" s="6"/>
    </row>
    <row r="3711" customFormat="false" ht="15" hidden="false" customHeight="false" outlineLevel="0" collapsed="false">
      <c r="A3711" s="9" t="s">
        <v>3993</v>
      </c>
      <c r="B3711" s="9" t="s">
        <v>3939</v>
      </c>
      <c r="C3711" s="9" t="s">
        <v>3940</v>
      </c>
      <c r="D3711" s="9" t="s">
        <v>3722</v>
      </c>
      <c r="E3711" s="9" t="s">
        <v>1660</v>
      </c>
      <c r="F3711" s="9" t="s">
        <v>207</v>
      </c>
      <c r="G3711" s="9" t="s">
        <v>201</v>
      </c>
      <c r="H3711" s="9" t="n">
        <v>875</v>
      </c>
      <c r="I3711" s="29" t="n">
        <v>0.5</v>
      </c>
      <c r="J3711" s="9" t="n">
        <v>1</v>
      </c>
      <c r="K3711" s="30"/>
      <c r="L3711" s="30"/>
      <c r="M3711" s="30"/>
      <c r="N3711" s="30"/>
      <c r="O3711" s="30"/>
      <c r="P3711" s="30"/>
      <c r="Q3711" s="30"/>
      <c r="R3711" s="30"/>
      <c r="S3711" s="30"/>
      <c r="T3711" s="30"/>
      <c r="U3711" s="21" t="str">
        <f aca="false">IF(COUNT(K3711:T3711)=0,"SOURCE EMPTY / INDUSTRIAL ONLY",IF(MIN(K3711:T3711)=1,"SERVICE READY","HOLD"))</f>
        <v>SOURCE EMPTY / INDUSTRIAL ONLY</v>
      </c>
      <c r="V3711" s="9" t="n">
        <f aca="false">IF(U3711="SERVICE READY",1,0)</f>
        <v>0</v>
      </c>
      <c r="W3711" s="6"/>
      <c r="X3711" s="6"/>
      <c r="Y3711" s="6"/>
      <c r="Z3711" s="6"/>
    </row>
    <row r="3712" customFormat="false" ht="15" hidden="false" customHeight="false" outlineLevel="0" collapsed="false">
      <c r="A3712" s="9" t="s">
        <v>3994</v>
      </c>
      <c r="B3712" s="9" t="s">
        <v>3939</v>
      </c>
      <c r="C3712" s="9" t="s">
        <v>3940</v>
      </c>
      <c r="D3712" s="9" t="s">
        <v>3722</v>
      </c>
      <c r="E3712" s="9" t="s">
        <v>1660</v>
      </c>
      <c r="F3712" s="9" t="s">
        <v>209</v>
      </c>
      <c r="G3712" s="9" t="s">
        <v>198</v>
      </c>
      <c r="H3712" s="9" t="n">
        <v>875</v>
      </c>
      <c r="I3712" s="29" t="n">
        <v>0.5</v>
      </c>
      <c r="J3712" s="9" t="n">
        <v>1</v>
      </c>
      <c r="K3712" s="30"/>
      <c r="L3712" s="30"/>
      <c r="M3712" s="30"/>
      <c r="N3712" s="30"/>
      <c r="O3712" s="30"/>
      <c r="P3712" s="30"/>
      <c r="Q3712" s="30"/>
      <c r="R3712" s="30"/>
      <c r="S3712" s="30"/>
      <c r="T3712" s="30"/>
      <c r="U3712" s="21" t="str">
        <f aca="false">IF(COUNT(K3712:T3712)=0,"SOURCE EMPTY / INDUSTRIAL ONLY",IF(MIN(K3712:T3712)=1,"SERVICE READY","HOLD"))</f>
        <v>SOURCE EMPTY / INDUSTRIAL ONLY</v>
      </c>
      <c r="V3712" s="9" t="n">
        <f aca="false">IF(U3712="SERVICE READY",1,0)</f>
        <v>0</v>
      </c>
      <c r="W3712" s="6"/>
      <c r="X3712" s="6"/>
      <c r="Y3712" s="6"/>
      <c r="Z3712" s="6"/>
    </row>
    <row r="3713" customFormat="false" ht="15" hidden="false" customHeight="false" outlineLevel="0" collapsed="false">
      <c r="A3713" s="9" t="s">
        <v>3995</v>
      </c>
      <c r="B3713" s="9" t="s">
        <v>3939</v>
      </c>
      <c r="C3713" s="9" t="s">
        <v>3940</v>
      </c>
      <c r="D3713" s="9" t="s">
        <v>3722</v>
      </c>
      <c r="E3713" s="9" t="s">
        <v>1660</v>
      </c>
      <c r="F3713" s="9" t="s">
        <v>211</v>
      </c>
      <c r="G3713" s="9" t="s">
        <v>201</v>
      </c>
      <c r="H3713" s="9" t="n">
        <v>875</v>
      </c>
      <c r="I3713" s="29" t="n">
        <v>0.5</v>
      </c>
      <c r="J3713" s="9" t="n">
        <v>1</v>
      </c>
      <c r="K3713" s="30"/>
      <c r="L3713" s="30"/>
      <c r="M3713" s="30"/>
      <c r="N3713" s="30"/>
      <c r="O3713" s="30"/>
      <c r="P3713" s="30"/>
      <c r="Q3713" s="30"/>
      <c r="R3713" s="30"/>
      <c r="S3713" s="30"/>
      <c r="T3713" s="30"/>
      <c r="U3713" s="21" t="str">
        <f aca="false">IF(COUNT(K3713:T3713)=0,"SOURCE EMPTY / INDUSTRIAL ONLY",IF(MIN(K3713:T3713)=1,"SERVICE READY","HOLD"))</f>
        <v>SOURCE EMPTY / INDUSTRIAL ONLY</v>
      </c>
      <c r="V3713" s="9" t="n">
        <f aca="false">IF(U3713="SERVICE READY",1,0)</f>
        <v>0</v>
      </c>
      <c r="W3713" s="6"/>
      <c r="X3713" s="6"/>
      <c r="Y3713" s="6"/>
      <c r="Z3713" s="6"/>
    </row>
    <row r="3714" customFormat="false" ht="15" hidden="false" customHeight="false" outlineLevel="0" collapsed="false">
      <c r="A3714" s="9" t="s">
        <v>3996</v>
      </c>
      <c r="B3714" s="9" t="s">
        <v>3939</v>
      </c>
      <c r="C3714" s="9" t="s">
        <v>3940</v>
      </c>
      <c r="D3714" s="9" t="s">
        <v>3722</v>
      </c>
      <c r="E3714" s="9" t="s">
        <v>1660</v>
      </c>
      <c r="F3714" s="9" t="s">
        <v>197</v>
      </c>
      <c r="G3714" s="9" t="s">
        <v>198</v>
      </c>
      <c r="H3714" s="9" t="n">
        <v>875</v>
      </c>
      <c r="I3714" s="29" t="n">
        <v>0.5</v>
      </c>
      <c r="J3714" s="9" t="n">
        <v>1</v>
      </c>
      <c r="K3714" s="30"/>
      <c r="L3714" s="30"/>
      <c r="M3714" s="30"/>
      <c r="N3714" s="30"/>
      <c r="O3714" s="30"/>
      <c r="P3714" s="30"/>
      <c r="Q3714" s="30"/>
      <c r="R3714" s="30"/>
      <c r="S3714" s="30"/>
      <c r="T3714" s="30"/>
      <c r="U3714" s="21" t="str">
        <f aca="false">IF(COUNT(K3714:T3714)=0,"SOURCE EMPTY / INDUSTRIAL ONLY",IF(MIN(K3714:T3714)=1,"SERVICE READY","HOLD"))</f>
        <v>SOURCE EMPTY / INDUSTRIAL ONLY</v>
      </c>
      <c r="V3714" s="9" t="n">
        <f aca="false">IF(U3714="SERVICE READY",1,0)</f>
        <v>0</v>
      </c>
      <c r="W3714" s="6"/>
      <c r="X3714" s="6"/>
      <c r="Y3714" s="6"/>
      <c r="Z3714" s="6"/>
    </row>
    <row r="3715" customFormat="false" ht="15" hidden="false" customHeight="false" outlineLevel="0" collapsed="false">
      <c r="A3715" s="9" t="s">
        <v>3997</v>
      </c>
      <c r="B3715" s="9" t="s">
        <v>3939</v>
      </c>
      <c r="C3715" s="9" t="s">
        <v>3940</v>
      </c>
      <c r="D3715" s="9" t="s">
        <v>3722</v>
      </c>
      <c r="E3715" s="9" t="s">
        <v>1660</v>
      </c>
      <c r="F3715" s="9" t="s">
        <v>200</v>
      </c>
      <c r="G3715" s="9" t="s">
        <v>221</v>
      </c>
      <c r="H3715" s="9" t="n">
        <v>875</v>
      </c>
      <c r="I3715" s="29" t="n">
        <v>0.5</v>
      </c>
      <c r="J3715" s="9" t="n">
        <v>1</v>
      </c>
      <c r="K3715" s="30"/>
      <c r="L3715" s="30"/>
      <c r="M3715" s="30"/>
      <c r="N3715" s="30"/>
      <c r="O3715" s="30"/>
      <c r="P3715" s="30"/>
      <c r="Q3715" s="30"/>
      <c r="R3715" s="30"/>
      <c r="S3715" s="30"/>
      <c r="T3715" s="30"/>
      <c r="U3715" s="21" t="str">
        <f aca="false">IF(COUNT(K3715:T3715)=0,"SOURCE EMPTY / INDUSTRIAL ONLY",IF(MIN(K3715:T3715)=1,"SERVICE READY","HOLD"))</f>
        <v>SOURCE EMPTY / INDUSTRIAL ONLY</v>
      </c>
      <c r="V3715" s="9" t="n">
        <f aca="false">IF(U3715="SERVICE READY",1,0)</f>
        <v>0</v>
      </c>
      <c r="W3715" s="6"/>
      <c r="X3715" s="6"/>
      <c r="Y3715" s="6"/>
      <c r="Z3715" s="6"/>
    </row>
    <row r="3716" customFormat="false" ht="15" hidden="false" customHeight="false" outlineLevel="0" collapsed="false">
      <c r="A3716" s="9" t="s">
        <v>3998</v>
      </c>
      <c r="B3716" s="9" t="s">
        <v>3939</v>
      </c>
      <c r="C3716" s="9" t="s">
        <v>3940</v>
      </c>
      <c r="D3716" s="9" t="s">
        <v>3722</v>
      </c>
      <c r="E3716" s="9" t="s">
        <v>1660</v>
      </c>
      <c r="F3716" s="9" t="s">
        <v>203</v>
      </c>
      <c r="G3716" s="9" t="s">
        <v>221</v>
      </c>
      <c r="H3716" s="9" t="n">
        <v>875</v>
      </c>
      <c r="I3716" s="29" t="n">
        <v>0.5</v>
      </c>
      <c r="J3716" s="9" t="n">
        <v>1</v>
      </c>
      <c r="K3716" s="30"/>
      <c r="L3716" s="30"/>
      <c r="M3716" s="30"/>
      <c r="N3716" s="30"/>
      <c r="O3716" s="30"/>
      <c r="P3716" s="30"/>
      <c r="Q3716" s="30"/>
      <c r="R3716" s="30"/>
      <c r="S3716" s="30"/>
      <c r="T3716" s="30"/>
      <c r="U3716" s="21" t="str">
        <f aca="false">IF(COUNT(K3716:T3716)=0,"SOURCE EMPTY / INDUSTRIAL ONLY",IF(MIN(K3716:T3716)=1,"SERVICE READY","HOLD"))</f>
        <v>SOURCE EMPTY / INDUSTRIAL ONLY</v>
      </c>
      <c r="V3716" s="9" t="n">
        <f aca="false">IF(U3716="SERVICE READY",1,0)</f>
        <v>0</v>
      </c>
      <c r="W3716" s="6"/>
      <c r="X3716" s="6"/>
      <c r="Y3716" s="6"/>
      <c r="Z3716" s="6"/>
    </row>
    <row r="3717" customFormat="false" ht="15" hidden="false" customHeight="false" outlineLevel="0" collapsed="false">
      <c r="A3717" s="9" t="s">
        <v>3999</v>
      </c>
      <c r="B3717" s="9" t="s">
        <v>3939</v>
      </c>
      <c r="C3717" s="9" t="s">
        <v>3940</v>
      </c>
      <c r="D3717" s="9" t="s">
        <v>3722</v>
      </c>
      <c r="E3717" s="9" t="s">
        <v>1660</v>
      </c>
      <c r="F3717" s="9" t="s">
        <v>205</v>
      </c>
      <c r="G3717" s="9" t="s">
        <v>221</v>
      </c>
      <c r="H3717" s="9" t="n">
        <v>875</v>
      </c>
      <c r="I3717" s="29" t="n">
        <v>0.5</v>
      </c>
      <c r="J3717" s="9" t="n">
        <v>1</v>
      </c>
      <c r="K3717" s="30"/>
      <c r="L3717" s="30"/>
      <c r="M3717" s="30"/>
      <c r="N3717" s="30"/>
      <c r="O3717" s="30"/>
      <c r="P3717" s="30"/>
      <c r="Q3717" s="30"/>
      <c r="R3717" s="30"/>
      <c r="S3717" s="30"/>
      <c r="T3717" s="30"/>
      <c r="U3717" s="21" t="str">
        <f aca="false">IF(COUNT(K3717:T3717)=0,"SOURCE EMPTY / INDUSTRIAL ONLY",IF(MIN(K3717:T3717)=1,"SERVICE READY","HOLD"))</f>
        <v>SOURCE EMPTY / INDUSTRIAL ONLY</v>
      </c>
      <c r="V3717" s="9" t="n">
        <f aca="false">IF(U3717="SERVICE READY",1,0)</f>
        <v>0</v>
      </c>
      <c r="W3717" s="6"/>
      <c r="X3717" s="6"/>
      <c r="Y3717" s="6"/>
      <c r="Z3717" s="6"/>
    </row>
    <row r="3718" customFormat="false" ht="15" hidden="false" customHeight="false" outlineLevel="0" collapsed="false">
      <c r="A3718" s="9" t="s">
        <v>4000</v>
      </c>
      <c r="B3718" s="9" t="s">
        <v>3939</v>
      </c>
      <c r="C3718" s="9" t="s">
        <v>3940</v>
      </c>
      <c r="D3718" s="9" t="s">
        <v>3722</v>
      </c>
      <c r="E3718" s="9" t="s">
        <v>1660</v>
      </c>
      <c r="F3718" s="9" t="s">
        <v>207</v>
      </c>
      <c r="G3718" s="9" t="s">
        <v>221</v>
      </c>
      <c r="H3718" s="9" t="n">
        <v>875</v>
      </c>
      <c r="I3718" s="29" t="n">
        <v>0.5</v>
      </c>
      <c r="J3718" s="9" t="n">
        <v>1</v>
      </c>
      <c r="K3718" s="30"/>
      <c r="L3718" s="30"/>
      <c r="M3718" s="30"/>
      <c r="N3718" s="30"/>
      <c r="O3718" s="30"/>
      <c r="P3718" s="30"/>
      <c r="Q3718" s="30"/>
      <c r="R3718" s="30"/>
      <c r="S3718" s="30"/>
      <c r="T3718" s="30"/>
      <c r="U3718" s="21" t="str">
        <f aca="false">IF(COUNT(K3718:T3718)=0,"SOURCE EMPTY / INDUSTRIAL ONLY",IF(MIN(K3718:T3718)=1,"SERVICE READY","HOLD"))</f>
        <v>SOURCE EMPTY / INDUSTRIAL ONLY</v>
      </c>
      <c r="V3718" s="9" t="n">
        <f aca="false">IF(U3718="SERVICE READY",1,0)</f>
        <v>0</v>
      </c>
      <c r="W3718" s="6"/>
      <c r="X3718" s="6"/>
      <c r="Y3718" s="6"/>
      <c r="Z3718" s="6"/>
    </row>
    <row r="3719" customFormat="false" ht="15" hidden="false" customHeight="false" outlineLevel="0" collapsed="false">
      <c r="A3719" s="9" t="s">
        <v>4001</v>
      </c>
      <c r="B3719" s="9" t="s">
        <v>3939</v>
      </c>
      <c r="C3719" s="9" t="s">
        <v>3940</v>
      </c>
      <c r="D3719" s="9" t="s">
        <v>3722</v>
      </c>
      <c r="E3719" s="9" t="s">
        <v>1660</v>
      </c>
      <c r="F3719" s="9" t="s">
        <v>209</v>
      </c>
      <c r="G3719" s="9" t="s">
        <v>221</v>
      </c>
      <c r="H3719" s="9" t="n">
        <v>875</v>
      </c>
      <c r="I3719" s="29" t="n">
        <v>0.5</v>
      </c>
      <c r="J3719" s="9" t="n">
        <v>1</v>
      </c>
      <c r="K3719" s="30"/>
      <c r="L3719" s="30"/>
      <c r="M3719" s="30"/>
      <c r="N3719" s="30"/>
      <c r="O3719" s="30"/>
      <c r="P3719" s="30"/>
      <c r="Q3719" s="30"/>
      <c r="R3719" s="30"/>
      <c r="S3719" s="30"/>
      <c r="T3719" s="30"/>
      <c r="U3719" s="21" t="str">
        <f aca="false">IF(COUNT(K3719:T3719)=0,"SOURCE EMPTY / INDUSTRIAL ONLY",IF(MIN(K3719:T3719)=1,"SERVICE READY","HOLD"))</f>
        <v>SOURCE EMPTY / INDUSTRIAL ONLY</v>
      </c>
      <c r="V3719" s="9" t="n">
        <f aca="false">IF(U3719="SERVICE READY",1,0)</f>
        <v>0</v>
      </c>
      <c r="W3719" s="6"/>
      <c r="X3719" s="6"/>
      <c r="Y3719" s="6"/>
      <c r="Z3719" s="6"/>
    </row>
    <row r="3720" customFormat="false" ht="15" hidden="false" customHeight="false" outlineLevel="0" collapsed="false">
      <c r="A3720" s="9" t="s">
        <v>4002</v>
      </c>
      <c r="B3720" s="9" t="s">
        <v>3939</v>
      </c>
      <c r="C3720" s="9" t="s">
        <v>3940</v>
      </c>
      <c r="D3720" s="9" t="s">
        <v>3722</v>
      </c>
      <c r="E3720" s="9" t="s">
        <v>1660</v>
      </c>
      <c r="F3720" s="9" t="s">
        <v>211</v>
      </c>
      <c r="G3720" s="9" t="s">
        <v>221</v>
      </c>
      <c r="H3720" s="9" t="n">
        <v>875</v>
      </c>
      <c r="I3720" s="29" t="n">
        <v>0.5</v>
      </c>
      <c r="J3720" s="9" t="n">
        <v>1</v>
      </c>
      <c r="K3720" s="30"/>
      <c r="L3720" s="30"/>
      <c r="M3720" s="30"/>
      <c r="N3720" s="30"/>
      <c r="O3720" s="30"/>
      <c r="P3720" s="30"/>
      <c r="Q3720" s="30"/>
      <c r="R3720" s="30"/>
      <c r="S3720" s="30"/>
      <c r="T3720" s="30"/>
      <c r="U3720" s="21" t="str">
        <f aca="false">IF(COUNT(K3720:T3720)=0,"SOURCE EMPTY / INDUSTRIAL ONLY",IF(MIN(K3720:T3720)=1,"SERVICE READY","HOLD"))</f>
        <v>SOURCE EMPTY / INDUSTRIAL ONLY</v>
      </c>
      <c r="V3720" s="9" t="n">
        <f aca="false">IF(U3720="SERVICE READY",1,0)</f>
        <v>0</v>
      </c>
      <c r="W3720" s="6"/>
      <c r="X3720" s="6"/>
      <c r="Y3720" s="6"/>
      <c r="Z3720" s="6"/>
    </row>
    <row r="3721" customFormat="false" ht="15" hidden="false" customHeight="false" outlineLevel="0" collapsed="false">
      <c r="A3721" s="9" t="s">
        <v>4003</v>
      </c>
      <c r="B3721" s="9" t="s">
        <v>3939</v>
      </c>
      <c r="C3721" s="9" t="s">
        <v>3940</v>
      </c>
      <c r="D3721" s="9" t="s">
        <v>3722</v>
      </c>
      <c r="E3721" s="9" t="s">
        <v>1660</v>
      </c>
      <c r="F3721" s="9" t="s">
        <v>197</v>
      </c>
      <c r="G3721" s="9" t="s">
        <v>221</v>
      </c>
      <c r="H3721" s="9" t="n">
        <v>875</v>
      </c>
      <c r="I3721" s="29" t="n">
        <v>0.5</v>
      </c>
      <c r="J3721" s="9" t="n">
        <v>1</v>
      </c>
      <c r="K3721" s="30"/>
      <c r="L3721" s="30"/>
      <c r="M3721" s="30"/>
      <c r="N3721" s="30"/>
      <c r="O3721" s="30"/>
      <c r="P3721" s="30"/>
      <c r="Q3721" s="30"/>
      <c r="R3721" s="30"/>
      <c r="S3721" s="30"/>
      <c r="T3721" s="30"/>
      <c r="U3721" s="21" t="str">
        <f aca="false">IF(COUNT(K3721:T3721)=0,"SOURCE EMPTY / INDUSTRIAL ONLY",IF(MIN(K3721:T3721)=1,"SERVICE READY","HOLD"))</f>
        <v>SOURCE EMPTY / INDUSTRIAL ONLY</v>
      </c>
      <c r="V3721" s="9" t="n">
        <f aca="false">IF(U3721="SERVICE READY",1,0)</f>
        <v>0</v>
      </c>
      <c r="W3721" s="6"/>
      <c r="X3721" s="6"/>
      <c r="Y3721" s="6"/>
      <c r="Z3721" s="6"/>
    </row>
    <row r="3722" customFormat="false" ht="15" hidden="false" customHeight="false" outlineLevel="0" collapsed="false">
      <c r="A3722" s="9" t="s">
        <v>4004</v>
      </c>
      <c r="B3722" s="9" t="s">
        <v>3939</v>
      </c>
      <c r="C3722" s="9" t="s">
        <v>3940</v>
      </c>
      <c r="D3722" s="9" t="s">
        <v>3722</v>
      </c>
      <c r="E3722" s="9" t="s">
        <v>1660</v>
      </c>
      <c r="F3722" s="9" t="s">
        <v>200</v>
      </c>
      <c r="G3722" s="9" t="s">
        <v>221</v>
      </c>
      <c r="H3722" s="9" t="n">
        <v>875</v>
      </c>
      <c r="I3722" s="29" t="n">
        <v>0.5</v>
      </c>
      <c r="J3722" s="9" t="n">
        <v>1</v>
      </c>
      <c r="K3722" s="30"/>
      <c r="L3722" s="30"/>
      <c r="M3722" s="30"/>
      <c r="N3722" s="30"/>
      <c r="O3722" s="30"/>
      <c r="P3722" s="30"/>
      <c r="Q3722" s="30"/>
      <c r="R3722" s="30"/>
      <c r="S3722" s="30"/>
      <c r="T3722" s="30"/>
      <c r="U3722" s="21" t="str">
        <f aca="false">IF(COUNT(K3722:T3722)=0,"SOURCE EMPTY / INDUSTRIAL ONLY",IF(MIN(K3722:T3722)=1,"SERVICE READY","HOLD"))</f>
        <v>SOURCE EMPTY / INDUSTRIAL ONLY</v>
      </c>
      <c r="V3722" s="9" t="n">
        <f aca="false">IF(U3722="SERVICE READY",1,0)</f>
        <v>0</v>
      </c>
      <c r="W3722" s="6"/>
      <c r="X3722" s="6"/>
      <c r="Y3722" s="6"/>
      <c r="Z3722" s="6"/>
    </row>
    <row r="3723" customFormat="false" ht="15" hidden="false" customHeight="false" outlineLevel="0" collapsed="false">
      <c r="A3723" s="9" t="s">
        <v>4005</v>
      </c>
      <c r="B3723" s="9" t="s">
        <v>3939</v>
      </c>
      <c r="C3723" s="9" t="s">
        <v>3940</v>
      </c>
      <c r="D3723" s="9" t="s">
        <v>3722</v>
      </c>
      <c r="E3723" s="9" t="s">
        <v>1660</v>
      </c>
      <c r="F3723" s="9" t="s">
        <v>203</v>
      </c>
      <c r="G3723" s="9" t="s">
        <v>221</v>
      </c>
      <c r="H3723" s="9" t="n">
        <v>875</v>
      </c>
      <c r="I3723" s="29" t="n">
        <v>0.5</v>
      </c>
      <c r="J3723" s="9" t="n">
        <v>1</v>
      </c>
      <c r="K3723" s="30"/>
      <c r="L3723" s="30"/>
      <c r="M3723" s="30"/>
      <c r="N3723" s="30"/>
      <c r="O3723" s="30"/>
      <c r="P3723" s="30"/>
      <c r="Q3723" s="30"/>
      <c r="R3723" s="30"/>
      <c r="S3723" s="30"/>
      <c r="T3723" s="30"/>
      <c r="U3723" s="21" t="str">
        <f aca="false">IF(COUNT(K3723:T3723)=0,"SOURCE EMPTY / INDUSTRIAL ONLY",IF(MIN(K3723:T3723)=1,"SERVICE READY","HOLD"))</f>
        <v>SOURCE EMPTY / INDUSTRIAL ONLY</v>
      </c>
      <c r="V3723" s="9" t="n">
        <f aca="false">IF(U3723="SERVICE READY",1,0)</f>
        <v>0</v>
      </c>
      <c r="W3723" s="6"/>
      <c r="X3723" s="6"/>
      <c r="Y3723" s="6"/>
      <c r="Z3723" s="6"/>
    </row>
    <row r="3724" customFormat="false" ht="15" hidden="false" customHeight="false" outlineLevel="0" collapsed="false">
      <c r="A3724" s="9" t="s">
        <v>4006</v>
      </c>
      <c r="B3724" s="9" t="s">
        <v>3939</v>
      </c>
      <c r="C3724" s="9" t="s">
        <v>3940</v>
      </c>
      <c r="D3724" s="9" t="s">
        <v>3722</v>
      </c>
      <c r="E3724" s="9" t="s">
        <v>1660</v>
      </c>
      <c r="F3724" s="9" t="s">
        <v>205</v>
      </c>
      <c r="G3724" s="9" t="s">
        <v>221</v>
      </c>
      <c r="H3724" s="9" t="n">
        <v>875</v>
      </c>
      <c r="I3724" s="29" t="n">
        <v>0.5</v>
      </c>
      <c r="J3724" s="9" t="n">
        <v>1</v>
      </c>
      <c r="K3724" s="30"/>
      <c r="L3724" s="30"/>
      <c r="M3724" s="30"/>
      <c r="N3724" s="30"/>
      <c r="O3724" s="30"/>
      <c r="P3724" s="30"/>
      <c r="Q3724" s="30"/>
      <c r="R3724" s="30"/>
      <c r="S3724" s="30"/>
      <c r="T3724" s="30"/>
      <c r="U3724" s="21" t="str">
        <f aca="false">IF(COUNT(K3724:T3724)=0,"SOURCE EMPTY / INDUSTRIAL ONLY",IF(MIN(K3724:T3724)=1,"SERVICE READY","HOLD"))</f>
        <v>SOURCE EMPTY / INDUSTRIAL ONLY</v>
      </c>
      <c r="V3724" s="9" t="n">
        <f aca="false">IF(U3724="SERVICE READY",1,0)</f>
        <v>0</v>
      </c>
      <c r="W3724" s="6"/>
      <c r="X3724" s="6"/>
      <c r="Y3724" s="6"/>
      <c r="Z3724" s="6"/>
    </row>
    <row r="3725" customFormat="false" ht="15" hidden="false" customHeight="false" outlineLevel="0" collapsed="false">
      <c r="A3725" s="9" t="s">
        <v>4007</v>
      </c>
      <c r="B3725" s="9" t="s">
        <v>3939</v>
      </c>
      <c r="C3725" s="9" t="s">
        <v>3940</v>
      </c>
      <c r="D3725" s="9" t="s">
        <v>3722</v>
      </c>
      <c r="E3725" s="9" t="s">
        <v>1660</v>
      </c>
      <c r="F3725" s="9" t="s">
        <v>207</v>
      </c>
      <c r="G3725" s="9" t="s">
        <v>221</v>
      </c>
      <c r="H3725" s="9" t="n">
        <v>875</v>
      </c>
      <c r="I3725" s="29" t="n">
        <v>0.5</v>
      </c>
      <c r="J3725" s="9" t="n">
        <v>1</v>
      </c>
      <c r="K3725" s="30"/>
      <c r="L3725" s="30"/>
      <c r="M3725" s="30"/>
      <c r="N3725" s="30"/>
      <c r="O3725" s="30"/>
      <c r="P3725" s="30"/>
      <c r="Q3725" s="30"/>
      <c r="R3725" s="30"/>
      <c r="S3725" s="30"/>
      <c r="T3725" s="30"/>
      <c r="U3725" s="21" t="str">
        <f aca="false">IF(COUNT(K3725:T3725)=0,"SOURCE EMPTY / INDUSTRIAL ONLY",IF(MIN(K3725:T3725)=1,"SERVICE READY","HOLD"))</f>
        <v>SOURCE EMPTY / INDUSTRIAL ONLY</v>
      </c>
      <c r="V3725" s="9" t="n">
        <f aca="false">IF(U3725="SERVICE READY",1,0)</f>
        <v>0</v>
      </c>
      <c r="W3725" s="6"/>
      <c r="X3725" s="6"/>
      <c r="Y3725" s="6"/>
      <c r="Z3725" s="6"/>
    </row>
    <row r="3726" customFormat="false" ht="15" hidden="false" customHeight="false" outlineLevel="0" collapsed="false">
      <c r="A3726" s="9" t="s">
        <v>4008</v>
      </c>
      <c r="B3726" s="9" t="s">
        <v>3939</v>
      </c>
      <c r="C3726" s="9" t="s">
        <v>3940</v>
      </c>
      <c r="D3726" s="9" t="s">
        <v>3722</v>
      </c>
      <c r="E3726" s="9" t="s">
        <v>1660</v>
      </c>
      <c r="F3726" s="9" t="s">
        <v>209</v>
      </c>
      <c r="G3726" s="9" t="s">
        <v>221</v>
      </c>
      <c r="H3726" s="9" t="n">
        <v>875</v>
      </c>
      <c r="I3726" s="29" t="n">
        <v>0.5</v>
      </c>
      <c r="J3726" s="9" t="n">
        <v>1</v>
      </c>
      <c r="K3726" s="30"/>
      <c r="L3726" s="30"/>
      <c r="M3726" s="30"/>
      <c r="N3726" s="30"/>
      <c r="O3726" s="30"/>
      <c r="P3726" s="30"/>
      <c r="Q3726" s="30"/>
      <c r="R3726" s="30"/>
      <c r="S3726" s="30"/>
      <c r="T3726" s="30"/>
      <c r="U3726" s="21" t="str">
        <f aca="false">IF(COUNT(K3726:T3726)=0,"SOURCE EMPTY / INDUSTRIAL ONLY",IF(MIN(K3726:T3726)=1,"SERVICE READY","HOLD"))</f>
        <v>SOURCE EMPTY / INDUSTRIAL ONLY</v>
      </c>
      <c r="V3726" s="9" t="n">
        <f aca="false">IF(U3726="SERVICE READY",1,0)</f>
        <v>0</v>
      </c>
      <c r="W3726" s="6"/>
      <c r="X3726" s="6"/>
      <c r="Y3726" s="6"/>
      <c r="Z3726" s="6"/>
    </row>
    <row r="3727" customFormat="false" ht="15" hidden="false" customHeight="false" outlineLevel="0" collapsed="false">
      <c r="A3727" s="9" t="s">
        <v>4009</v>
      </c>
      <c r="B3727" s="9" t="s">
        <v>3939</v>
      </c>
      <c r="C3727" s="9" t="s">
        <v>3940</v>
      </c>
      <c r="D3727" s="9" t="s">
        <v>3722</v>
      </c>
      <c r="E3727" s="9" t="s">
        <v>1660</v>
      </c>
      <c r="F3727" s="9" t="s">
        <v>211</v>
      </c>
      <c r="G3727" s="9" t="s">
        <v>221</v>
      </c>
      <c r="H3727" s="9" t="n">
        <v>875</v>
      </c>
      <c r="I3727" s="29" t="n">
        <v>0.5</v>
      </c>
      <c r="J3727" s="9" t="n">
        <v>1</v>
      </c>
      <c r="K3727" s="30"/>
      <c r="L3727" s="30"/>
      <c r="M3727" s="30"/>
      <c r="N3727" s="30"/>
      <c r="O3727" s="30"/>
      <c r="P3727" s="30"/>
      <c r="Q3727" s="30"/>
      <c r="R3727" s="30"/>
      <c r="S3727" s="30"/>
      <c r="T3727" s="30"/>
      <c r="U3727" s="21" t="str">
        <f aca="false">IF(COUNT(K3727:T3727)=0,"SOURCE EMPTY / INDUSTRIAL ONLY",IF(MIN(K3727:T3727)=1,"SERVICE READY","HOLD"))</f>
        <v>SOURCE EMPTY / INDUSTRIAL ONLY</v>
      </c>
      <c r="V3727" s="9" t="n">
        <f aca="false">IF(U3727="SERVICE READY",1,0)</f>
        <v>0</v>
      </c>
      <c r="W3727" s="6"/>
      <c r="X3727" s="6"/>
      <c r="Y3727" s="6"/>
      <c r="Z3727" s="6"/>
    </row>
    <row r="3728" customFormat="false" ht="15" hidden="false" customHeight="false" outlineLevel="0" collapsed="false">
      <c r="A3728" s="9" t="s">
        <v>4010</v>
      </c>
      <c r="B3728" s="9" t="s">
        <v>3939</v>
      </c>
      <c r="C3728" s="9" t="s">
        <v>3940</v>
      </c>
      <c r="D3728" s="9" t="s">
        <v>3722</v>
      </c>
      <c r="E3728" s="9" t="s">
        <v>1660</v>
      </c>
      <c r="F3728" s="9" t="s">
        <v>197</v>
      </c>
      <c r="G3728" s="9" t="s">
        <v>221</v>
      </c>
      <c r="H3728" s="9" t="n">
        <v>875</v>
      </c>
      <c r="I3728" s="29" t="n">
        <v>0.5</v>
      </c>
      <c r="J3728" s="9" t="n">
        <v>1</v>
      </c>
      <c r="K3728" s="30"/>
      <c r="L3728" s="30"/>
      <c r="M3728" s="30"/>
      <c r="N3728" s="30"/>
      <c r="O3728" s="30"/>
      <c r="P3728" s="30"/>
      <c r="Q3728" s="30"/>
      <c r="R3728" s="30"/>
      <c r="S3728" s="30"/>
      <c r="T3728" s="30"/>
      <c r="U3728" s="21" t="str">
        <f aca="false">IF(COUNT(K3728:T3728)=0,"SOURCE EMPTY / INDUSTRIAL ONLY",IF(MIN(K3728:T3728)=1,"SERVICE READY","HOLD"))</f>
        <v>SOURCE EMPTY / INDUSTRIAL ONLY</v>
      </c>
      <c r="V3728" s="9" t="n">
        <f aca="false">IF(U3728="SERVICE READY",1,0)</f>
        <v>0</v>
      </c>
      <c r="W3728" s="6"/>
      <c r="X3728" s="6"/>
      <c r="Y3728" s="6"/>
      <c r="Z3728" s="6"/>
    </row>
    <row r="3729" customFormat="false" ht="15" hidden="false" customHeight="false" outlineLevel="0" collapsed="false">
      <c r="A3729" s="9" t="s">
        <v>4011</v>
      </c>
      <c r="B3729" s="9" t="s">
        <v>3939</v>
      </c>
      <c r="C3729" s="9" t="s">
        <v>3940</v>
      </c>
      <c r="D3729" s="9" t="s">
        <v>3722</v>
      </c>
      <c r="E3729" s="9" t="s">
        <v>1660</v>
      </c>
      <c r="F3729" s="9" t="s">
        <v>200</v>
      </c>
      <c r="G3729" s="9" t="s">
        <v>221</v>
      </c>
      <c r="H3729" s="9" t="n">
        <v>875</v>
      </c>
      <c r="I3729" s="29" t="n">
        <v>0.5</v>
      </c>
      <c r="J3729" s="9" t="n">
        <v>1</v>
      </c>
      <c r="K3729" s="30"/>
      <c r="L3729" s="30"/>
      <c r="M3729" s="30"/>
      <c r="N3729" s="30"/>
      <c r="O3729" s="30"/>
      <c r="P3729" s="30"/>
      <c r="Q3729" s="30"/>
      <c r="R3729" s="30"/>
      <c r="S3729" s="30"/>
      <c r="T3729" s="30"/>
      <c r="U3729" s="21" t="str">
        <f aca="false">IF(COUNT(K3729:T3729)=0,"SOURCE EMPTY / INDUSTRIAL ONLY",IF(MIN(K3729:T3729)=1,"SERVICE READY","HOLD"))</f>
        <v>SOURCE EMPTY / INDUSTRIAL ONLY</v>
      </c>
      <c r="V3729" s="9" t="n">
        <f aca="false">IF(U3729="SERVICE READY",1,0)</f>
        <v>0</v>
      </c>
      <c r="W3729" s="6"/>
      <c r="X3729" s="6"/>
      <c r="Y3729" s="6"/>
      <c r="Z3729" s="6"/>
    </row>
    <row r="3730" customFormat="false" ht="15" hidden="false" customHeight="false" outlineLevel="0" collapsed="false">
      <c r="A3730" s="9" t="s">
        <v>4012</v>
      </c>
      <c r="B3730" s="9" t="s">
        <v>3939</v>
      </c>
      <c r="C3730" s="9" t="s">
        <v>3940</v>
      </c>
      <c r="D3730" s="9" t="s">
        <v>3722</v>
      </c>
      <c r="E3730" s="9" t="s">
        <v>1660</v>
      </c>
      <c r="F3730" s="9" t="s">
        <v>203</v>
      </c>
      <c r="G3730" s="9" t="s">
        <v>221</v>
      </c>
      <c r="H3730" s="9" t="n">
        <v>875</v>
      </c>
      <c r="I3730" s="29" t="n">
        <v>0.5</v>
      </c>
      <c r="J3730" s="9" t="n">
        <v>1</v>
      </c>
      <c r="K3730" s="30"/>
      <c r="L3730" s="30"/>
      <c r="M3730" s="30"/>
      <c r="N3730" s="30"/>
      <c r="O3730" s="30"/>
      <c r="P3730" s="30"/>
      <c r="Q3730" s="30"/>
      <c r="R3730" s="30"/>
      <c r="S3730" s="30"/>
      <c r="T3730" s="30"/>
      <c r="U3730" s="21" t="str">
        <f aca="false">IF(COUNT(K3730:T3730)=0,"SOURCE EMPTY / INDUSTRIAL ONLY",IF(MIN(K3730:T3730)=1,"SERVICE READY","HOLD"))</f>
        <v>SOURCE EMPTY / INDUSTRIAL ONLY</v>
      </c>
      <c r="V3730" s="9" t="n">
        <f aca="false">IF(U3730="SERVICE READY",1,0)</f>
        <v>0</v>
      </c>
      <c r="W3730" s="6"/>
      <c r="X3730" s="6"/>
      <c r="Y3730" s="6"/>
      <c r="Z3730" s="6"/>
    </row>
    <row r="3731" customFormat="false" ht="15" hidden="false" customHeight="false" outlineLevel="0" collapsed="false">
      <c r="A3731" s="9" t="s">
        <v>4013</v>
      </c>
      <c r="B3731" s="9" t="s">
        <v>3939</v>
      </c>
      <c r="C3731" s="9" t="s">
        <v>3940</v>
      </c>
      <c r="D3731" s="9" t="s">
        <v>3722</v>
      </c>
      <c r="E3731" s="9" t="s">
        <v>1660</v>
      </c>
      <c r="F3731" s="9" t="s">
        <v>205</v>
      </c>
      <c r="G3731" s="9" t="s">
        <v>221</v>
      </c>
      <c r="H3731" s="9" t="n">
        <v>875</v>
      </c>
      <c r="I3731" s="29" t="n">
        <v>0.5</v>
      </c>
      <c r="J3731" s="9" t="n">
        <v>1</v>
      </c>
      <c r="K3731" s="30"/>
      <c r="L3731" s="30"/>
      <c r="M3731" s="30"/>
      <c r="N3731" s="30"/>
      <c r="O3731" s="30"/>
      <c r="P3731" s="30"/>
      <c r="Q3731" s="30"/>
      <c r="R3731" s="30"/>
      <c r="S3731" s="30"/>
      <c r="T3731" s="30"/>
      <c r="U3731" s="21" t="str">
        <f aca="false">IF(COUNT(K3731:T3731)=0,"SOURCE EMPTY / INDUSTRIAL ONLY",IF(MIN(K3731:T3731)=1,"SERVICE READY","HOLD"))</f>
        <v>SOURCE EMPTY / INDUSTRIAL ONLY</v>
      </c>
      <c r="V3731" s="9" t="n">
        <f aca="false">IF(U3731="SERVICE READY",1,0)</f>
        <v>0</v>
      </c>
      <c r="W3731" s="6"/>
      <c r="X3731" s="6"/>
      <c r="Y3731" s="6"/>
      <c r="Z3731" s="6"/>
    </row>
    <row r="3732" customFormat="false" ht="15" hidden="false" customHeight="false" outlineLevel="0" collapsed="false">
      <c r="A3732" s="9" t="s">
        <v>4014</v>
      </c>
      <c r="B3732" s="9" t="s">
        <v>3939</v>
      </c>
      <c r="C3732" s="9" t="s">
        <v>3940</v>
      </c>
      <c r="D3732" s="9" t="s">
        <v>3722</v>
      </c>
      <c r="E3732" s="9" t="s">
        <v>1660</v>
      </c>
      <c r="F3732" s="9" t="s">
        <v>207</v>
      </c>
      <c r="G3732" s="9" t="s">
        <v>221</v>
      </c>
      <c r="H3732" s="9" t="n">
        <v>875</v>
      </c>
      <c r="I3732" s="29" t="n">
        <v>0.5</v>
      </c>
      <c r="J3732" s="9" t="n">
        <v>1</v>
      </c>
      <c r="K3732" s="30"/>
      <c r="L3732" s="30"/>
      <c r="M3732" s="30"/>
      <c r="N3732" s="30"/>
      <c r="O3732" s="30"/>
      <c r="P3732" s="30"/>
      <c r="Q3732" s="30"/>
      <c r="R3732" s="30"/>
      <c r="S3732" s="30"/>
      <c r="T3732" s="30"/>
      <c r="U3732" s="21" t="str">
        <f aca="false">IF(COUNT(K3732:T3732)=0,"SOURCE EMPTY / INDUSTRIAL ONLY",IF(MIN(K3732:T3732)=1,"SERVICE READY","HOLD"))</f>
        <v>SOURCE EMPTY / INDUSTRIAL ONLY</v>
      </c>
      <c r="V3732" s="9" t="n">
        <f aca="false">IF(U3732="SERVICE READY",1,0)</f>
        <v>0</v>
      </c>
      <c r="W3732" s="6"/>
      <c r="X3732" s="6"/>
      <c r="Y3732" s="6"/>
      <c r="Z3732" s="6"/>
    </row>
    <row r="3733" customFormat="false" ht="15" hidden="false" customHeight="false" outlineLevel="0" collapsed="false">
      <c r="A3733" s="9" t="s">
        <v>4015</v>
      </c>
      <c r="B3733" s="9" t="s">
        <v>3939</v>
      </c>
      <c r="C3733" s="9" t="s">
        <v>3940</v>
      </c>
      <c r="D3733" s="9" t="s">
        <v>3722</v>
      </c>
      <c r="E3733" s="9" t="s">
        <v>1660</v>
      </c>
      <c r="F3733" s="9" t="s">
        <v>209</v>
      </c>
      <c r="G3733" s="9" t="s">
        <v>221</v>
      </c>
      <c r="H3733" s="9" t="n">
        <v>875</v>
      </c>
      <c r="I3733" s="29" t="n">
        <v>0.5</v>
      </c>
      <c r="J3733" s="9" t="n">
        <v>1</v>
      </c>
      <c r="K3733" s="30"/>
      <c r="L3733" s="30"/>
      <c r="M3733" s="30"/>
      <c r="N3733" s="30"/>
      <c r="O3733" s="30"/>
      <c r="P3733" s="30"/>
      <c r="Q3733" s="30"/>
      <c r="R3733" s="30"/>
      <c r="S3733" s="30"/>
      <c r="T3733" s="30"/>
      <c r="U3733" s="21" t="str">
        <f aca="false">IF(COUNT(K3733:T3733)=0,"SOURCE EMPTY / INDUSTRIAL ONLY",IF(MIN(K3733:T3733)=1,"SERVICE READY","HOLD"))</f>
        <v>SOURCE EMPTY / INDUSTRIAL ONLY</v>
      </c>
      <c r="V3733" s="9" t="n">
        <f aca="false">IF(U3733="SERVICE READY",1,0)</f>
        <v>0</v>
      </c>
      <c r="W3733" s="6"/>
      <c r="X3733" s="6"/>
      <c r="Y3733" s="6"/>
      <c r="Z3733" s="6"/>
    </row>
    <row r="3734" customFormat="false" ht="15" hidden="false" customHeight="false" outlineLevel="0" collapsed="false">
      <c r="A3734" s="9" t="s">
        <v>4016</v>
      </c>
      <c r="B3734" s="9" t="s">
        <v>3939</v>
      </c>
      <c r="C3734" s="9" t="s">
        <v>3940</v>
      </c>
      <c r="D3734" s="9" t="s">
        <v>3722</v>
      </c>
      <c r="E3734" s="9" t="s">
        <v>1660</v>
      </c>
      <c r="F3734" s="9" t="s">
        <v>211</v>
      </c>
      <c r="G3734" s="9" t="s">
        <v>221</v>
      </c>
      <c r="H3734" s="9" t="n">
        <v>875</v>
      </c>
      <c r="I3734" s="29" t="n">
        <v>0.5</v>
      </c>
      <c r="J3734" s="9" t="n">
        <v>1</v>
      </c>
      <c r="K3734" s="30"/>
      <c r="L3734" s="30"/>
      <c r="M3734" s="30"/>
      <c r="N3734" s="30"/>
      <c r="O3734" s="30"/>
      <c r="P3734" s="30"/>
      <c r="Q3734" s="30"/>
      <c r="R3734" s="30"/>
      <c r="S3734" s="30"/>
      <c r="T3734" s="30"/>
      <c r="U3734" s="21" t="str">
        <f aca="false">IF(COUNT(K3734:T3734)=0,"SOURCE EMPTY / INDUSTRIAL ONLY",IF(MIN(K3734:T3734)=1,"SERVICE READY","HOLD"))</f>
        <v>SOURCE EMPTY / INDUSTRIAL ONLY</v>
      </c>
      <c r="V3734" s="9" t="n">
        <f aca="false">IF(U3734="SERVICE READY",1,0)</f>
        <v>0</v>
      </c>
      <c r="W3734" s="6"/>
      <c r="X3734" s="6"/>
      <c r="Y3734" s="6"/>
      <c r="Z3734" s="6"/>
    </row>
    <row r="3735" customFormat="false" ht="15" hidden="false" customHeight="false" outlineLevel="0" collapsed="false">
      <c r="A3735" s="9" t="s">
        <v>4017</v>
      </c>
      <c r="B3735" s="9" t="s">
        <v>3939</v>
      </c>
      <c r="C3735" s="9" t="s">
        <v>3940</v>
      </c>
      <c r="D3735" s="9" t="s">
        <v>3722</v>
      </c>
      <c r="E3735" s="9" t="s">
        <v>1660</v>
      </c>
      <c r="F3735" s="9" t="s">
        <v>197</v>
      </c>
      <c r="G3735" s="9" t="s">
        <v>221</v>
      </c>
      <c r="H3735" s="9" t="n">
        <v>875</v>
      </c>
      <c r="I3735" s="29" t="n">
        <v>0.5</v>
      </c>
      <c r="J3735" s="9" t="n">
        <v>1</v>
      </c>
      <c r="K3735" s="30"/>
      <c r="L3735" s="30"/>
      <c r="M3735" s="30"/>
      <c r="N3735" s="30"/>
      <c r="O3735" s="30"/>
      <c r="P3735" s="30"/>
      <c r="Q3735" s="30"/>
      <c r="R3735" s="30"/>
      <c r="S3735" s="30"/>
      <c r="T3735" s="30"/>
      <c r="U3735" s="21" t="str">
        <f aca="false">IF(COUNT(K3735:T3735)=0,"SOURCE EMPTY / INDUSTRIAL ONLY",IF(MIN(K3735:T3735)=1,"SERVICE READY","HOLD"))</f>
        <v>SOURCE EMPTY / INDUSTRIAL ONLY</v>
      </c>
      <c r="V3735" s="9" t="n">
        <f aca="false">IF(U3735="SERVICE READY",1,0)</f>
        <v>0</v>
      </c>
      <c r="W3735" s="6"/>
      <c r="X3735" s="6"/>
      <c r="Y3735" s="6"/>
      <c r="Z3735" s="6"/>
    </row>
    <row r="3736" customFormat="false" ht="15" hidden="false" customHeight="false" outlineLevel="0" collapsed="false">
      <c r="A3736" s="9" t="s">
        <v>4018</v>
      </c>
      <c r="B3736" s="9" t="s">
        <v>3939</v>
      </c>
      <c r="C3736" s="9" t="s">
        <v>3940</v>
      </c>
      <c r="D3736" s="9" t="s">
        <v>3722</v>
      </c>
      <c r="E3736" s="9" t="s">
        <v>1660</v>
      </c>
      <c r="F3736" s="9" t="s">
        <v>200</v>
      </c>
      <c r="G3736" s="9" t="s">
        <v>221</v>
      </c>
      <c r="H3736" s="9" t="n">
        <v>875</v>
      </c>
      <c r="I3736" s="29" t="n">
        <v>0.5</v>
      </c>
      <c r="J3736" s="9" t="n">
        <v>1</v>
      </c>
      <c r="K3736" s="30"/>
      <c r="L3736" s="30"/>
      <c r="M3736" s="30"/>
      <c r="N3736" s="30"/>
      <c r="O3736" s="30"/>
      <c r="P3736" s="30"/>
      <c r="Q3736" s="30"/>
      <c r="R3736" s="30"/>
      <c r="S3736" s="30"/>
      <c r="T3736" s="30"/>
      <c r="U3736" s="21" t="str">
        <f aca="false">IF(COUNT(K3736:T3736)=0,"SOURCE EMPTY / INDUSTRIAL ONLY",IF(MIN(K3736:T3736)=1,"SERVICE READY","HOLD"))</f>
        <v>SOURCE EMPTY / INDUSTRIAL ONLY</v>
      </c>
      <c r="V3736" s="9" t="n">
        <f aca="false">IF(U3736="SERVICE READY",1,0)</f>
        <v>0</v>
      </c>
      <c r="W3736" s="6"/>
      <c r="X3736" s="6"/>
      <c r="Y3736" s="6"/>
      <c r="Z3736" s="6"/>
    </row>
    <row r="3737" customFormat="false" ht="15" hidden="false" customHeight="false" outlineLevel="0" collapsed="false">
      <c r="A3737" s="9" t="s">
        <v>4019</v>
      </c>
      <c r="B3737" s="9" t="s">
        <v>3939</v>
      </c>
      <c r="C3737" s="9" t="s">
        <v>3940</v>
      </c>
      <c r="D3737" s="9" t="s">
        <v>3722</v>
      </c>
      <c r="E3737" s="9" t="s">
        <v>1660</v>
      </c>
      <c r="F3737" s="9" t="s">
        <v>203</v>
      </c>
      <c r="G3737" s="9" t="s">
        <v>221</v>
      </c>
      <c r="H3737" s="9" t="n">
        <v>875</v>
      </c>
      <c r="I3737" s="29" t="n">
        <v>0.5</v>
      </c>
      <c r="J3737" s="9" t="n">
        <v>1</v>
      </c>
      <c r="K3737" s="30"/>
      <c r="L3737" s="30"/>
      <c r="M3737" s="30"/>
      <c r="N3737" s="30"/>
      <c r="O3737" s="30"/>
      <c r="P3737" s="30"/>
      <c r="Q3737" s="30"/>
      <c r="R3737" s="30"/>
      <c r="S3737" s="30"/>
      <c r="T3737" s="30"/>
      <c r="U3737" s="21" t="str">
        <f aca="false">IF(COUNT(K3737:T3737)=0,"SOURCE EMPTY / INDUSTRIAL ONLY",IF(MIN(K3737:T3737)=1,"SERVICE READY","HOLD"))</f>
        <v>SOURCE EMPTY / INDUSTRIAL ONLY</v>
      </c>
      <c r="V3737" s="9" t="n">
        <f aca="false">IF(U3737="SERVICE READY",1,0)</f>
        <v>0</v>
      </c>
      <c r="W3737" s="6"/>
      <c r="X3737" s="6"/>
      <c r="Y3737" s="6"/>
      <c r="Z3737" s="6"/>
    </row>
    <row r="3738" customFormat="false" ht="15" hidden="false" customHeight="false" outlineLevel="0" collapsed="false">
      <c r="A3738" s="9" t="s">
        <v>4020</v>
      </c>
      <c r="B3738" s="9" t="s">
        <v>3939</v>
      </c>
      <c r="C3738" s="9" t="s">
        <v>3940</v>
      </c>
      <c r="D3738" s="9" t="s">
        <v>3722</v>
      </c>
      <c r="E3738" s="9" t="s">
        <v>1660</v>
      </c>
      <c r="F3738" s="9" t="s">
        <v>205</v>
      </c>
      <c r="G3738" s="9" t="s">
        <v>221</v>
      </c>
      <c r="H3738" s="9" t="n">
        <v>875</v>
      </c>
      <c r="I3738" s="29" t="n">
        <v>0.5</v>
      </c>
      <c r="J3738" s="9" t="n">
        <v>1</v>
      </c>
      <c r="K3738" s="30"/>
      <c r="L3738" s="30"/>
      <c r="M3738" s="30"/>
      <c r="N3738" s="30"/>
      <c r="O3738" s="30"/>
      <c r="P3738" s="30"/>
      <c r="Q3738" s="30"/>
      <c r="R3738" s="30"/>
      <c r="S3738" s="30"/>
      <c r="T3738" s="30"/>
      <c r="U3738" s="21" t="str">
        <f aca="false">IF(COUNT(K3738:T3738)=0,"SOURCE EMPTY / INDUSTRIAL ONLY",IF(MIN(K3738:T3738)=1,"SERVICE READY","HOLD"))</f>
        <v>SOURCE EMPTY / INDUSTRIAL ONLY</v>
      </c>
      <c r="V3738" s="9" t="n">
        <f aca="false">IF(U3738="SERVICE READY",1,0)</f>
        <v>0</v>
      </c>
      <c r="W3738" s="6"/>
      <c r="X3738" s="6"/>
      <c r="Y3738" s="6"/>
      <c r="Z3738" s="6"/>
    </row>
    <row r="3739" customFormat="false" ht="15" hidden="false" customHeight="false" outlineLevel="0" collapsed="false">
      <c r="A3739" s="9" t="s">
        <v>4021</v>
      </c>
      <c r="B3739" s="9" t="s">
        <v>3939</v>
      </c>
      <c r="C3739" s="9" t="s">
        <v>3940</v>
      </c>
      <c r="D3739" s="9" t="s">
        <v>3722</v>
      </c>
      <c r="E3739" s="9" t="s">
        <v>1660</v>
      </c>
      <c r="F3739" s="9" t="s">
        <v>207</v>
      </c>
      <c r="G3739" s="9" t="s">
        <v>221</v>
      </c>
      <c r="H3739" s="9" t="n">
        <v>875</v>
      </c>
      <c r="I3739" s="29" t="n">
        <v>0.5</v>
      </c>
      <c r="J3739" s="9" t="n">
        <v>1</v>
      </c>
      <c r="K3739" s="30"/>
      <c r="L3739" s="30"/>
      <c r="M3739" s="30"/>
      <c r="N3739" s="30"/>
      <c r="O3739" s="30"/>
      <c r="P3739" s="30"/>
      <c r="Q3739" s="30"/>
      <c r="R3739" s="30"/>
      <c r="S3739" s="30"/>
      <c r="T3739" s="30"/>
      <c r="U3739" s="21" t="str">
        <f aca="false">IF(COUNT(K3739:T3739)=0,"SOURCE EMPTY / INDUSTRIAL ONLY",IF(MIN(K3739:T3739)=1,"SERVICE READY","HOLD"))</f>
        <v>SOURCE EMPTY / INDUSTRIAL ONLY</v>
      </c>
      <c r="V3739" s="9" t="n">
        <f aca="false">IF(U3739="SERVICE READY",1,0)</f>
        <v>0</v>
      </c>
      <c r="W3739" s="6"/>
      <c r="X3739" s="6"/>
      <c r="Y3739" s="6"/>
      <c r="Z3739" s="6"/>
    </row>
    <row r="3740" customFormat="false" ht="15" hidden="false" customHeight="false" outlineLevel="0" collapsed="false">
      <c r="A3740" s="9" t="s">
        <v>4022</v>
      </c>
      <c r="B3740" s="9" t="s">
        <v>3939</v>
      </c>
      <c r="C3740" s="9" t="s">
        <v>3940</v>
      </c>
      <c r="D3740" s="9" t="s">
        <v>3722</v>
      </c>
      <c r="E3740" s="9" t="s">
        <v>1660</v>
      </c>
      <c r="F3740" s="9" t="s">
        <v>209</v>
      </c>
      <c r="G3740" s="9" t="s">
        <v>221</v>
      </c>
      <c r="H3740" s="9" t="n">
        <v>875</v>
      </c>
      <c r="I3740" s="29" t="n">
        <v>0.5</v>
      </c>
      <c r="J3740" s="9" t="n">
        <v>1</v>
      </c>
      <c r="K3740" s="30"/>
      <c r="L3740" s="30"/>
      <c r="M3740" s="30"/>
      <c r="N3740" s="30"/>
      <c r="O3740" s="30"/>
      <c r="P3740" s="30"/>
      <c r="Q3740" s="30"/>
      <c r="R3740" s="30"/>
      <c r="S3740" s="30"/>
      <c r="T3740" s="30"/>
      <c r="U3740" s="21" t="str">
        <f aca="false">IF(COUNT(K3740:T3740)=0,"SOURCE EMPTY / INDUSTRIAL ONLY",IF(MIN(K3740:T3740)=1,"SERVICE READY","HOLD"))</f>
        <v>SOURCE EMPTY / INDUSTRIAL ONLY</v>
      </c>
      <c r="V3740" s="9" t="n">
        <f aca="false">IF(U3740="SERVICE READY",1,0)</f>
        <v>0</v>
      </c>
      <c r="W3740" s="6"/>
      <c r="X3740" s="6"/>
      <c r="Y3740" s="6"/>
      <c r="Z3740" s="6"/>
    </row>
    <row r="3741" customFormat="false" ht="15" hidden="false" customHeight="false" outlineLevel="0" collapsed="false">
      <c r="A3741" s="9" t="s">
        <v>4023</v>
      </c>
      <c r="B3741" s="9" t="s">
        <v>3939</v>
      </c>
      <c r="C3741" s="9" t="s">
        <v>3940</v>
      </c>
      <c r="D3741" s="9" t="s">
        <v>3722</v>
      </c>
      <c r="E3741" s="9" t="s">
        <v>1660</v>
      </c>
      <c r="F3741" s="9" t="s">
        <v>211</v>
      </c>
      <c r="G3741" s="9" t="s">
        <v>221</v>
      </c>
      <c r="H3741" s="9" t="n">
        <v>875</v>
      </c>
      <c r="I3741" s="29" t="n">
        <v>0.5</v>
      </c>
      <c r="J3741" s="9" t="n">
        <v>1</v>
      </c>
      <c r="K3741" s="30"/>
      <c r="L3741" s="30"/>
      <c r="M3741" s="30"/>
      <c r="N3741" s="30"/>
      <c r="O3741" s="30"/>
      <c r="P3741" s="30"/>
      <c r="Q3741" s="30"/>
      <c r="R3741" s="30"/>
      <c r="S3741" s="30"/>
      <c r="T3741" s="30"/>
      <c r="U3741" s="21" t="str">
        <f aca="false">IF(COUNT(K3741:T3741)=0,"SOURCE EMPTY / INDUSTRIAL ONLY",IF(MIN(K3741:T3741)=1,"SERVICE READY","HOLD"))</f>
        <v>SOURCE EMPTY / INDUSTRIAL ONLY</v>
      </c>
      <c r="V3741" s="9" t="n">
        <f aca="false">IF(U3741="SERVICE READY",1,0)</f>
        <v>0</v>
      </c>
      <c r="W3741" s="6"/>
      <c r="X3741" s="6"/>
      <c r="Y3741" s="6"/>
      <c r="Z3741" s="6"/>
    </row>
    <row r="3742" customFormat="false" ht="15" hidden="false" customHeight="false" outlineLevel="0" collapsed="false">
      <c r="A3742" s="9" t="s">
        <v>4024</v>
      </c>
      <c r="B3742" s="9" t="s">
        <v>3939</v>
      </c>
      <c r="C3742" s="9" t="s">
        <v>3940</v>
      </c>
      <c r="D3742" s="9" t="s">
        <v>3722</v>
      </c>
      <c r="E3742" s="9" t="s">
        <v>1660</v>
      </c>
      <c r="F3742" s="9" t="s">
        <v>197</v>
      </c>
      <c r="G3742" s="9" t="s">
        <v>221</v>
      </c>
      <c r="H3742" s="9" t="n">
        <v>875</v>
      </c>
      <c r="I3742" s="29" t="n">
        <v>0.5</v>
      </c>
      <c r="J3742" s="9" t="n">
        <v>1</v>
      </c>
      <c r="K3742" s="30"/>
      <c r="L3742" s="30"/>
      <c r="M3742" s="30"/>
      <c r="N3742" s="30"/>
      <c r="O3742" s="30"/>
      <c r="P3742" s="30"/>
      <c r="Q3742" s="30"/>
      <c r="R3742" s="30"/>
      <c r="S3742" s="30"/>
      <c r="T3742" s="30"/>
      <c r="U3742" s="21" t="str">
        <f aca="false">IF(COUNT(K3742:T3742)=0,"SOURCE EMPTY / INDUSTRIAL ONLY",IF(MIN(K3742:T3742)=1,"SERVICE READY","HOLD"))</f>
        <v>SOURCE EMPTY / INDUSTRIAL ONLY</v>
      </c>
      <c r="V3742" s="9" t="n">
        <f aca="false">IF(U3742="SERVICE READY",1,0)</f>
        <v>0</v>
      </c>
      <c r="W3742" s="6"/>
      <c r="X3742" s="6"/>
      <c r="Y3742" s="6"/>
      <c r="Z3742" s="6"/>
    </row>
    <row r="3743" customFormat="false" ht="15" hidden="false" customHeight="false" outlineLevel="0" collapsed="false">
      <c r="A3743" s="9" t="s">
        <v>4025</v>
      </c>
      <c r="B3743" s="9" t="s">
        <v>3939</v>
      </c>
      <c r="C3743" s="9" t="s">
        <v>3940</v>
      </c>
      <c r="D3743" s="9" t="s">
        <v>3722</v>
      </c>
      <c r="E3743" s="9" t="s">
        <v>1660</v>
      </c>
      <c r="F3743" s="9" t="s">
        <v>200</v>
      </c>
      <c r="G3743" s="9" t="s">
        <v>221</v>
      </c>
      <c r="H3743" s="9" t="n">
        <v>875</v>
      </c>
      <c r="I3743" s="29" t="n">
        <v>0.5</v>
      </c>
      <c r="J3743" s="9" t="n">
        <v>1</v>
      </c>
      <c r="K3743" s="30"/>
      <c r="L3743" s="30"/>
      <c r="M3743" s="30"/>
      <c r="N3743" s="30"/>
      <c r="O3743" s="30"/>
      <c r="P3743" s="30"/>
      <c r="Q3743" s="30"/>
      <c r="R3743" s="30"/>
      <c r="S3743" s="30"/>
      <c r="T3743" s="30"/>
      <c r="U3743" s="21" t="str">
        <f aca="false">IF(COUNT(K3743:T3743)=0,"SOURCE EMPTY / INDUSTRIAL ONLY",IF(MIN(K3743:T3743)=1,"SERVICE READY","HOLD"))</f>
        <v>SOURCE EMPTY / INDUSTRIAL ONLY</v>
      </c>
      <c r="V3743" s="9" t="n">
        <f aca="false">IF(U3743="SERVICE READY",1,0)</f>
        <v>0</v>
      </c>
      <c r="W3743" s="6"/>
      <c r="X3743" s="6"/>
      <c r="Y3743" s="6"/>
      <c r="Z3743" s="6"/>
    </row>
    <row r="3744" customFormat="false" ht="15" hidden="false" customHeight="false" outlineLevel="0" collapsed="false">
      <c r="A3744" s="9" t="s">
        <v>4026</v>
      </c>
      <c r="B3744" s="9" t="s">
        <v>3939</v>
      </c>
      <c r="C3744" s="9" t="s">
        <v>3940</v>
      </c>
      <c r="D3744" s="9" t="s">
        <v>3722</v>
      </c>
      <c r="E3744" s="9" t="s">
        <v>1660</v>
      </c>
      <c r="F3744" s="9" t="s">
        <v>203</v>
      </c>
      <c r="G3744" s="9" t="s">
        <v>221</v>
      </c>
      <c r="H3744" s="9" t="n">
        <v>875</v>
      </c>
      <c r="I3744" s="29" t="n">
        <v>0.5</v>
      </c>
      <c r="J3744" s="9" t="n">
        <v>1</v>
      </c>
      <c r="K3744" s="30"/>
      <c r="L3744" s="30"/>
      <c r="M3744" s="30"/>
      <c r="N3744" s="30"/>
      <c r="O3744" s="30"/>
      <c r="P3744" s="30"/>
      <c r="Q3744" s="30"/>
      <c r="R3744" s="30"/>
      <c r="S3744" s="30"/>
      <c r="T3744" s="30"/>
      <c r="U3744" s="21" t="str">
        <f aca="false">IF(COUNT(K3744:T3744)=0,"SOURCE EMPTY / INDUSTRIAL ONLY",IF(MIN(K3744:T3744)=1,"SERVICE READY","HOLD"))</f>
        <v>SOURCE EMPTY / INDUSTRIAL ONLY</v>
      </c>
      <c r="V3744" s="9" t="n">
        <f aca="false">IF(U3744="SERVICE READY",1,0)</f>
        <v>0</v>
      </c>
      <c r="W3744" s="6"/>
      <c r="X3744" s="6"/>
      <c r="Y3744" s="6"/>
      <c r="Z3744" s="6"/>
    </row>
    <row r="3745" customFormat="false" ht="15" hidden="false" customHeight="false" outlineLevel="0" collapsed="false">
      <c r="A3745" s="9" t="s">
        <v>4027</v>
      </c>
      <c r="B3745" s="9" t="s">
        <v>3939</v>
      </c>
      <c r="C3745" s="9" t="s">
        <v>3940</v>
      </c>
      <c r="D3745" s="9" t="s">
        <v>3722</v>
      </c>
      <c r="E3745" s="9" t="s">
        <v>1660</v>
      </c>
      <c r="F3745" s="9" t="s">
        <v>205</v>
      </c>
      <c r="G3745" s="9" t="s">
        <v>221</v>
      </c>
      <c r="H3745" s="9" t="n">
        <v>875</v>
      </c>
      <c r="I3745" s="29" t="n">
        <v>0.5</v>
      </c>
      <c r="J3745" s="9" t="n">
        <v>1</v>
      </c>
      <c r="K3745" s="30"/>
      <c r="L3745" s="30"/>
      <c r="M3745" s="30"/>
      <c r="N3745" s="30"/>
      <c r="O3745" s="30"/>
      <c r="P3745" s="30"/>
      <c r="Q3745" s="30"/>
      <c r="R3745" s="30"/>
      <c r="S3745" s="30"/>
      <c r="T3745" s="30"/>
      <c r="U3745" s="21" t="str">
        <f aca="false">IF(COUNT(K3745:T3745)=0,"SOURCE EMPTY / INDUSTRIAL ONLY",IF(MIN(K3745:T3745)=1,"SERVICE READY","HOLD"))</f>
        <v>SOURCE EMPTY / INDUSTRIAL ONLY</v>
      </c>
      <c r="V3745" s="9" t="n">
        <f aca="false">IF(U3745="SERVICE READY",1,0)</f>
        <v>0</v>
      </c>
      <c r="W3745" s="6"/>
      <c r="X3745" s="6"/>
      <c r="Y3745" s="6"/>
      <c r="Z3745" s="6"/>
    </row>
    <row r="3746" customFormat="false" ht="15" hidden="false" customHeight="false" outlineLevel="0" collapsed="false">
      <c r="A3746" s="9" t="s">
        <v>4028</v>
      </c>
      <c r="B3746" s="9" t="s">
        <v>3939</v>
      </c>
      <c r="C3746" s="9" t="s">
        <v>3940</v>
      </c>
      <c r="D3746" s="9" t="s">
        <v>3722</v>
      </c>
      <c r="E3746" s="9" t="s">
        <v>1660</v>
      </c>
      <c r="F3746" s="9" t="s">
        <v>207</v>
      </c>
      <c r="G3746" s="9" t="s">
        <v>221</v>
      </c>
      <c r="H3746" s="9" t="n">
        <v>875</v>
      </c>
      <c r="I3746" s="29" t="n">
        <v>0.5</v>
      </c>
      <c r="J3746" s="9" t="n">
        <v>1</v>
      </c>
      <c r="K3746" s="30"/>
      <c r="L3746" s="30"/>
      <c r="M3746" s="30"/>
      <c r="N3746" s="30"/>
      <c r="O3746" s="30"/>
      <c r="P3746" s="30"/>
      <c r="Q3746" s="30"/>
      <c r="R3746" s="30"/>
      <c r="S3746" s="30"/>
      <c r="T3746" s="30"/>
      <c r="U3746" s="21" t="str">
        <f aca="false">IF(COUNT(K3746:T3746)=0,"SOURCE EMPTY / INDUSTRIAL ONLY",IF(MIN(K3746:T3746)=1,"SERVICE READY","HOLD"))</f>
        <v>SOURCE EMPTY / INDUSTRIAL ONLY</v>
      </c>
      <c r="V3746" s="9" t="n">
        <f aca="false">IF(U3746="SERVICE READY",1,0)</f>
        <v>0</v>
      </c>
      <c r="W3746" s="6"/>
      <c r="X3746" s="6"/>
      <c r="Y3746" s="6"/>
      <c r="Z3746" s="6"/>
    </row>
    <row r="3747" customFormat="false" ht="15" hidden="false" customHeight="false" outlineLevel="0" collapsed="false">
      <c r="A3747" s="9" t="s">
        <v>4029</v>
      </c>
      <c r="B3747" s="9" t="s">
        <v>3939</v>
      </c>
      <c r="C3747" s="9" t="s">
        <v>3940</v>
      </c>
      <c r="D3747" s="9" t="s">
        <v>3722</v>
      </c>
      <c r="E3747" s="9" t="s">
        <v>1660</v>
      </c>
      <c r="F3747" s="9" t="s">
        <v>209</v>
      </c>
      <c r="G3747" s="9" t="s">
        <v>221</v>
      </c>
      <c r="H3747" s="9" t="n">
        <v>875</v>
      </c>
      <c r="I3747" s="29" t="n">
        <v>0.5</v>
      </c>
      <c r="J3747" s="9" t="n">
        <v>1</v>
      </c>
      <c r="K3747" s="30"/>
      <c r="L3747" s="30"/>
      <c r="M3747" s="30"/>
      <c r="N3747" s="30"/>
      <c r="O3747" s="30"/>
      <c r="P3747" s="30"/>
      <c r="Q3747" s="30"/>
      <c r="R3747" s="30"/>
      <c r="S3747" s="30"/>
      <c r="T3747" s="30"/>
      <c r="U3747" s="21" t="str">
        <f aca="false">IF(COUNT(K3747:T3747)=0,"SOURCE EMPTY / INDUSTRIAL ONLY",IF(MIN(K3747:T3747)=1,"SERVICE READY","HOLD"))</f>
        <v>SOURCE EMPTY / INDUSTRIAL ONLY</v>
      </c>
      <c r="V3747" s="9" t="n">
        <f aca="false">IF(U3747="SERVICE READY",1,0)</f>
        <v>0</v>
      </c>
      <c r="W3747" s="6"/>
      <c r="X3747" s="6"/>
      <c r="Y3747" s="6"/>
      <c r="Z3747" s="6"/>
    </row>
    <row r="3748" customFormat="false" ht="15" hidden="false" customHeight="false" outlineLevel="0" collapsed="false">
      <c r="A3748" s="9" t="s">
        <v>4030</v>
      </c>
      <c r="B3748" s="9" t="s">
        <v>3939</v>
      </c>
      <c r="C3748" s="9" t="s">
        <v>3940</v>
      </c>
      <c r="D3748" s="9" t="s">
        <v>3722</v>
      </c>
      <c r="E3748" s="9" t="s">
        <v>1660</v>
      </c>
      <c r="F3748" s="9" t="s">
        <v>211</v>
      </c>
      <c r="G3748" s="9" t="s">
        <v>221</v>
      </c>
      <c r="H3748" s="9" t="n">
        <v>875</v>
      </c>
      <c r="I3748" s="29" t="n">
        <v>0.5</v>
      </c>
      <c r="J3748" s="9" t="n">
        <v>1</v>
      </c>
      <c r="K3748" s="30"/>
      <c r="L3748" s="30"/>
      <c r="M3748" s="30"/>
      <c r="N3748" s="30"/>
      <c r="O3748" s="30"/>
      <c r="P3748" s="30"/>
      <c r="Q3748" s="30"/>
      <c r="R3748" s="30"/>
      <c r="S3748" s="30"/>
      <c r="T3748" s="30"/>
      <c r="U3748" s="21" t="str">
        <f aca="false">IF(COUNT(K3748:T3748)=0,"SOURCE EMPTY / INDUSTRIAL ONLY",IF(MIN(K3748:T3748)=1,"SERVICE READY","HOLD"))</f>
        <v>SOURCE EMPTY / INDUSTRIAL ONLY</v>
      </c>
      <c r="V3748" s="9" t="n">
        <f aca="false">IF(U3748="SERVICE READY",1,0)</f>
        <v>0</v>
      </c>
      <c r="W3748" s="6"/>
      <c r="X3748" s="6"/>
      <c r="Y3748" s="6"/>
      <c r="Z3748" s="6"/>
    </row>
    <row r="3749" customFormat="false" ht="15" hidden="false" customHeight="false" outlineLevel="0" collapsed="false">
      <c r="A3749" s="9" t="s">
        <v>4031</v>
      </c>
      <c r="B3749" s="9" t="s">
        <v>3939</v>
      </c>
      <c r="C3749" s="9" t="s">
        <v>3940</v>
      </c>
      <c r="D3749" s="9" t="s">
        <v>3722</v>
      </c>
      <c r="E3749" s="9" t="s">
        <v>1660</v>
      </c>
      <c r="F3749" s="9" t="s">
        <v>197</v>
      </c>
      <c r="G3749" s="9" t="s">
        <v>221</v>
      </c>
      <c r="H3749" s="9" t="n">
        <v>875</v>
      </c>
      <c r="I3749" s="29" t="n">
        <v>0.5</v>
      </c>
      <c r="J3749" s="9" t="n">
        <v>1</v>
      </c>
      <c r="K3749" s="30"/>
      <c r="L3749" s="30"/>
      <c r="M3749" s="30"/>
      <c r="N3749" s="30"/>
      <c r="O3749" s="30"/>
      <c r="P3749" s="30"/>
      <c r="Q3749" s="30"/>
      <c r="R3749" s="30"/>
      <c r="S3749" s="30"/>
      <c r="T3749" s="30"/>
      <c r="U3749" s="21" t="str">
        <f aca="false">IF(COUNT(K3749:T3749)=0,"SOURCE EMPTY / INDUSTRIAL ONLY",IF(MIN(K3749:T3749)=1,"SERVICE READY","HOLD"))</f>
        <v>SOURCE EMPTY / INDUSTRIAL ONLY</v>
      </c>
      <c r="V3749" s="9" t="n">
        <f aca="false">IF(U3749="SERVICE READY",1,0)</f>
        <v>0</v>
      </c>
      <c r="W3749" s="6"/>
      <c r="X3749" s="6"/>
      <c r="Y3749" s="6"/>
      <c r="Z3749" s="6"/>
    </row>
    <row r="3750" customFormat="false" ht="15" hidden="false" customHeight="false" outlineLevel="0" collapsed="false">
      <c r="A3750" s="9" t="s">
        <v>4032</v>
      </c>
      <c r="B3750" s="9" t="s">
        <v>3939</v>
      </c>
      <c r="C3750" s="9" t="s">
        <v>3940</v>
      </c>
      <c r="D3750" s="9" t="s">
        <v>3722</v>
      </c>
      <c r="E3750" s="9" t="s">
        <v>1660</v>
      </c>
      <c r="F3750" s="9" t="s">
        <v>200</v>
      </c>
      <c r="G3750" s="9" t="s">
        <v>221</v>
      </c>
      <c r="H3750" s="9" t="n">
        <v>875</v>
      </c>
      <c r="I3750" s="29" t="n">
        <v>0.5</v>
      </c>
      <c r="J3750" s="9" t="n">
        <v>1</v>
      </c>
      <c r="K3750" s="30"/>
      <c r="L3750" s="30"/>
      <c r="M3750" s="30"/>
      <c r="N3750" s="30"/>
      <c r="O3750" s="30"/>
      <c r="P3750" s="30"/>
      <c r="Q3750" s="30"/>
      <c r="R3750" s="30"/>
      <c r="S3750" s="30"/>
      <c r="T3750" s="30"/>
      <c r="U3750" s="21" t="str">
        <f aca="false">IF(COUNT(K3750:T3750)=0,"SOURCE EMPTY / INDUSTRIAL ONLY",IF(MIN(K3750:T3750)=1,"SERVICE READY","HOLD"))</f>
        <v>SOURCE EMPTY / INDUSTRIAL ONLY</v>
      </c>
      <c r="V3750" s="9" t="n">
        <f aca="false">IF(U3750="SERVICE READY",1,0)</f>
        <v>0</v>
      </c>
      <c r="W3750" s="6"/>
      <c r="X3750" s="6"/>
      <c r="Y3750" s="6"/>
      <c r="Z3750" s="6"/>
    </row>
    <row r="3751" customFormat="false" ht="15" hidden="false" customHeight="false" outlineLevel="0" collapsed="false">
      <c r="A3751" s="9" t="s">
        <v>4033</v>
      </c>
      <c r="B3751" s="9" t="s">
        <v>3939</v>
      </c>
      <c r="C3751" s="9" t="s">
        <v>3940</v>
      </c>
      <c r="D3751" s="9" t="s">
        <v>3722</v>
      </c>
      <c r="E3751" s="9" t="s">
        <v>1660</v>
      </c>
      <c r="F3751" s="9" t="s">
        <v>203</v>
      </c>
      <c r="G3751" s="9" t="s">
        <v>221</v>
      </c>
      <c r="H3751" s="9" t="n">
        <v>875</v>
      </c>
      <c r="I3751" s="29" t="n">
        <v>0.5</v>
      </c>
      <c r="J3751" s="9" t="n">
        <v>1</v>
      </c>
      <c r="K3751" s="30"/>
      <c r="L3751" s="30"/>
      <c r="M3751" s="30"/>
      <c r="N3751" s="30"/>
      <c r="O3751" s="30"/>
      <c r="P3751" s="30"/>
      <c r="Q3751" s="30"/>
      <c r="R3751" s="30"/>
      <c r="S3751" s="30"/>
      <c r="T3751" s="30"/>
      <c r="U3751" s="21" t="str">
        <f aca="false">IF(COUNT(K3751:T3751)=0,"SOURCE EMPTY / INDUSTRIAL ONLY",IF(MIN(K3751:T3751)=1,"SERVICE READY","HOLD"))</f>
        <v>SOURCE EMPTY / INDUSTRIAL ONLY</v>
      </c>
      <c r="V3751" s="9" t="n">
        <f aca="false">IF(U3751="SERVICE READY",1,0)</f>
        <v>0</v>
      </c>
      <c r="W3751" s="6"/>
      <c r="X3751" s="6"/>
      <c r="Y3751" s="6"/>
      <c r="Z3751" s="6"/>
    </row>
    <row r="3752" customFormat="false" ht="15" hidden="false" customHeight="false" outlineLevel="0" collapsed="false">
      <c r="A3752" s="9" t="s">
        <v>4034</v>
      </c>
      <c r="B3752" s="9" t="s">
        <v>3939</v>
      </c>
      <c r="C3752" s="9" t="s">
        <v>3940</v>
      </c>
      <c r="D3752" s="9" t="s">
        <v>3722</v>
      </c>
      <c r="E3752" s="9" t="s">
        <v>1660</v>
      </c>
      <c r="F3752" s="9" t="s">
        <v>205</v>
      </c>
      <c r="G3752" s="9" t="s">
        <v>221</v>
      </c>
      <c r="H3752" s="9" t="n">
        <v>875</v>
      </c>
      <c r="I3752" s="29" t="n">
        <v>0.5</v>
      </c>
      <c r="J3752" s="9" t="n">
        <v>1</v>
      </c>
      <c r="K3752" s="30"/>
      <c r="L3752" s="30"/>
      <c r="M3752" s="30"/>
      <c r="N3752" s="30"/>
      <c r="O3752" s="30"/>
      <c r="P3752" s="30"/>
      <c r="Q3752" s="30"/>
      <c r="R3752" s="30"/>
      <c r="S3752" s="30"/>
      <c r="T3752" s="30"/>
      <c r="U3752" s="21" t="str">
        <f aca="false">IF(COUNT(K3752:T3752)=0,"SOURCE EMPTY / INDUSTRIAL ONLY",IF(MIN(K3752:T3752)=1,"SERVICE READY","HOLD"))</f>
        <v>SOURCE EMPTY / INDUSTRIAL ONLY</v>
      </c>
      <c r="V3752" s="9" t="n">
        <f aca="false">IF(U3752="SERVICE READY",1,0)</f>
        <v>0</v>
      </c>
      <c r="W3752" s="6"/>
      <c r="X3752" s="6"/>
      <c r="Y3752" s="6"/>
      <c r="Z3752" s="6"/>
    </row>
    <row r="3753" customFormat="false" ht="15" hidden="false" customHeight="false" outlineLevel="0" collapsed="false">
      <c r="A3753" s="9" t="s">
        <v>4035</v>
      </c>
      <c r="B3753" s="9" t="s">
        <v>3939</v>
      </c>
      <c r="C3753" s="9" t="s">
        <v>3940</v>
      </c>
      <c r="D3753" s="9" t="s">
        <v>3722</v>
      </c>
      <c r="E3753" s="9" t="s">
        <v>1660</v>
      </c>
      <c r="F3753" s="9" t="s">
        <v>207</v>
      </c>
      <c r="G3753" s="9" t="s">
        <v>221</v>
      </c>
      <c r="H3753" s="9" t="n">
        <v>875</v>
      </c>
      <c r="I3753" s="29" t="n">
        <v>0.5</v>
      </c>
      <c r="J3753" s="9" t="n">
        <v>1</v>
      </c>
      <c r="K3753" s="30"/>
      <c r="L3753" s="30"/>
      <c r="M3753" s="30"/>
      <c r="N3753" s="30"/>
      <c r="O3753" s="30"/>
      <c r="P3753" s="30"/>
      <c r="Q3753" s="30"/>
      <c r="R3753" s="30"/>
      <c r="S3753" s="30"/>
      <c r="T3753" s="30"/>
      <c r="U3753" s="21" t="str">
        <f aca="false">IF(COUNT(K3753:T3753)=0,"SOURCE EMPTY / INDUSTRIAL ONLY",IF(MIN(K3753:T3753)=1,"SERVICE READY","HOLD"))</f>
        <v>SOURCE EMPTY / INDUSTRIAL ONLY</v>
      </c>
      <c r="V3753" s="9" t="n">
        <f aca="false">IF(U3753="SERVICE READY",1,0)</f>
        <v>0</v>
      </c>
      <c r="W3753" s="6"/>
      <c r="X3753" s="6"/>
      <c r="Y3753" s="6"/>
      <c r="Z3753" s="6"/>
    </row>
    <row r="3754" customFormat="false" ht="15" hidden="false" customHeight="false" outlineLevel="0" collapsed="false">
      <c r="A3754" s="9" t="s">
        <v>4036</v>
      </c>
      <c r="B3754" s="9" t="s">
        <v>3939</v>
      </c>
      <c r="C3754" s="9" t="s">
        <v>3940</v>
      </c>
      <c r="D3754" s="9" t="s">
        <v>3722</v>
      </c>
      <c r="E3754" s="9" t="s">
        <v>1660</v>
      </c>
      <c r="F3754" s="9" t="s">
        <v>209</v>
      </c>
      <c r="G3754" s="9" t="s">
        <v>221</v>
      </c>
      <c r="H3754" s="9" t="n">
        <v>875</v>
      </c>
      <c r="I3754" s="29" t="n">
        <v>0.5</v>
      </c>
      <c r="J3754" s="9" t="n">
        <v>1</v>
      </c>
      <c r="K3754" s="30"/>
      <c r="L3754" s="30"/>
      <c r="M3754" s="30"/>
      <c r="N3754" s="30"/>
      <c r="O3754" s="30"/>
      <c r="P3754" s="30"/>
      <c r="Q3754" s="30"/>
      <c r="R3754" s="30"/>
      <c r="S3754" s="30"/>
      <c r="T3754" s="30"/>
      <c r="U3754" s="21" t="str">
        <f aca="false">IF(COUNT(K3754:T3754)=0,"SOURCE EMPTY / INDUSTRIAL ONLY",IF(MIN(K3754:T3754)=1,"SERVICE READY","HOLD"))</f>
        <v>SOURCE EMPTY / INDUSTRIAL ONLY</v>
      </c>
      <c r="V3754" s="9" t="n">
        <f aca="false">IF(U3754="SERVICE READY",1,0)</f>
        <v>0</v>
      </c>
      <c r="W3754" s="6"/>
      <c r="X3754" s="6"/>
      <c r="Y3754" s="6"/>
      <c r="Z3754" s="6"/>
    </row>
    <row r="3755" customFormat="false" ht="15" hidden="false" customHeight="false" outlineLevel="0" collapsed="false">
      <c r="A3755" s="9" t="s">
        <v>4037</v>
      </c>
      <c r="B3755" s="9" t="s">
        <v>3939</v>
      </c>
      <c r="C3755" s="9" t="s">
        <v>3940</v>
      </c>
      <c r="D3755" s="9" t="s">
        <v>3722</v>
      </c>
      <c r="E3755" s="9" t="s">
        <v>1660</v>
      </c>
      <c r="F3755" s="9" t="s">
        <v>211</v>
      </c>
      <c r="G3755" s="9" t="s">
        <v>221</v>
      </c>
      <c r="H3755" s="9" t="n">
        <v>875</v>
      </c>
      <c r="I3755" s="29" t="n">
        <v>0.5</v>
      </c>
      <c r="J3755" s="9" t="n">
        <v>1</v>
      </c>
      <c r="K3755" s="30"/>
      <c r="L3755" s="30"/>
      <c r="M3755" s="30"/>
      <c r="N3755" s="30"/>
      <c r="O3755" s="30"/>
      <c r="P3755" s="30"/>
      <c r="Q3755" s="30"/>
      <c r="R3755" s="30"/>
      <c r="S3755" s="30"/>
      <c r="T3755" s="30"/>
      <c r="U3755" s="21" t="str">
        <f aca="false">IF(COUNT(K3755:T3755)=0,"SOURCE EMPTY / INDUSTRIAL ONLY",IF(MIN(K3755:T3755)=1,"SERVICE READY","HOLD"))</f>
        <v>SOURCE EMPTY / INDUSTRIAL ONLY</v>
      </c>
      <c r="V3755" s="9" t="n">
        <f aca="false">IF(U3755="SERVICE READY",1,0)</f>
        <v>0</v>
      </c>
      <c r="W3755" s="6"/>
      <c r="X3755" s="6"/>
      <c r="Y3755" s="6"/>
      <c r="Z3755" s="6"/>
    </row>
    <row r="3756" customFormat="false" ht="15" hidden="false" customHeight="false" outlineLevel="0" collapsed="false">
      <c r="A3756" s="9" t="s">
        <v>4038</v>
      </c>
      <c r="B3756" s="9" t="s">
        <v>3939</v>
      </c>
      <c r="C3756" s="9" t="s">
        <v>3940</v>
      </c>
      <c r="D3756" s="9" t="s">
        <v>3722</v>
      </c>
      <c r="E3756" s="9" t="s">
        <v>1660</v>
      </c>
      <c r="F3756" s="9" t="s">
        <v>197</v>
      </c>
      <c r="G3756" s="9" t="s">
        <v>221</v>
      </c>
      <c r="H3756" s="9" t="n">
        <v>875</v>
      </c>
      <c r="I3756" s="29" t="n">
        <v>0.5</v>
      </c>
      <c r="J3756" s="9" t="n">
        <v>1</v>
      </c>
      <c r="K3756" s="30"/>
      <c r="L3756" s="30"/>
      <c r="M3756" s="30"/>
      <c r="N3756" s="30"/>
      <c r="O3756" s="30"/>
      <c r="P3756" s="30"/>
      <c r="Q3756" s="30"/>
      <c r="R3756" s="30"/>
      <c r="S3756" s="30"/>
      <c r="T3756" s="30"/>
      <c r="U3756" s="21" t="str">
        <f aca="false">IF(COUNT(K3756:T3756)=0,"SOURCE EMPTY / INDUSTRIAL ONLY",IF(MIN(K3756:T3756)=1,"SERVICE READY","HOLD"))</f>
        <v>SOURCE EMPTY / INDUSTRIAL ONLY</v>
      </c>
      <c r="V3756" s="9" t="n">
        <f aca="false">IF(U3756="SERVICE READY",1,0)</f>
        <v>0</v>
      </c>
      <c r="W3756" s="6"/>
      <c r="X3756" s="6"/>
      <c r="Y3756" s="6"/>
      <c r="Z3756" s="6"/>
    </row>
    <row r="3757" customFormat="false" ht="15" hidden="false" customHeight="false" outlineLevel="0" collapsed="false">
      <c r="A3757" s="9" t="s">
        <v>4039</v>
      </c>
      <c r="B3757" s="9" t="s">
        <v>3939</v>
      </c>
      <c r="C3757" s="9" t="s">
        <v>3940</v>
      </c>
      <c r="D3757" s="9" t="s">
        <v>3722</v>
      </c>
      <c r="E3757" s="9" t="s">
        <v>1660</v>
      </c>
      <c r="F3757" s="9" t="s">
        <v>200</v>
      </c>
      <c r="G3757" s="9" t="s">
        <v>221</v>
      </c>
      <c r="H3757" s="9" t="n">
        <v>875</v>
      </c>
      <c r="I3757" s="29" t="n">
        <v>0.5</v>
      </c>
      <c r="J3757" s="9" t="n">
        <v>1</v>
      </c>
      <c r="K3757" s="30"/>
      <c r="L3757" s="30"/>
      <c r="M3757" s="30"/>
      <c r="N3757" s="30"/>
      <c r="O3757" s="30"/>
      <c r="P3757" s="30"/>
      <c r="Q3757" s="30"/>
      <c r="R3757" s="30"/>
      <c r="S3757" s="30"/>
      <c r="T3757" s="30"/>
      <c r="U3757" s="21" t="str">
        <f aca="false">IF(COUNT(K3757:T3757)=0,"SOURCE EMPTY / INDUSTRIAL ONLY",IF(MIN(K3757:T3757)=1,"SERVICE READY","HOLD"))</f>
        <v>SOURCE EMPTY / INDUSTRIAL ONLY</v>
      </c>
      <c r="V3757" s="9" t="n">
        <f aca="false">IF(U3757="SERVICE READY",1,0)</f>
        <v>0</v>
      </c>
      <c r="W3757" s="6"/>
      <c r="X3757" s="6"/>
      <c r="Y3757" s="6"/>
      <c r="Z3757" s="6"/>
    </row>
    <row r="3758" customFormat="false" ht="15" hidden="false" customHeight="false" outlineLevel="0" collapsed="false">
      <c r="A3758" s="9" t="s">
        <v>4040</v>
      </c>
      <c r="B3758" s="9" t="s">
        <v>3939</v>
      </c>
      <c r="C3758" s="9" t="s">
        <v>3940</v>
      </c>
      <c r="D3758" s="9" t="s">
        <v>3722</v>
      </c>
      <c r="E3758" s="9" t="s">
        <v>1660</v>
      </c>
      <c r="F3758" s="9" t="s">
        <v>203</v>
      </c>
      <c r="G3758" s="9" t="s">
        <v>221</v>
      </c>
      <c r="H3758" s="9" t="n">
        <v>875</v>
      </c>
      <c r="I3758" s="29" t="n">
        <v>0.5</v>
      </c>
      <c r="J3758" s="9" t="n">
        <v>1</v>
      </c>
      <c r="K3758" s="30"/>
      <c r="L3758" s="30"/>
      <c r="M3758" s="30"/>
      <c r="N3758" s="30"/>
      <c r="O3758" s="30"/>
      <c r="P3758" s="30"/>
      <c r="Q3758" s="30"/>
      <c r="R3758" s="30"/>
      <c r="S3758" s="30"/>
      <c r="T3758" s="30"/>
      <c r="U3758" s="21" t="str">
        <f aca="false">IF(COUNT(K3758:T3758)=0,"SOURCE EMPTY / INDUSTRIAL ONLY",IF(MIN(K3758:T3758)=1,"SERVICE READY","HOLD"))</f>
        <v>SOURCE EMPTY / INDUSTRIAL ONLY</v>
      </c>
      <c r="V3758" s="9" t="n">
        <f aca="false">IF(U3758="SERVICE READY",1,0)</f>
        <v>0</v>
      </c>
      <c r="W3758" s="6"/>
      <c r="X3758" s="6"/>
      <c r="Y3758" s="6"/>
      <c r="Z3758" s="6"/>
    </row>
    <row r="3759" customFormat="false" ht="15" hidden="false" customHeight="false" outlineLevel="0" collapsed="false">
      <c r="A3759" s="9" t="s">
        <v>4041</v>
      </c>
      <c r="B3759" s="9" t="s">
        <v>3939</v>
      </c>
      <c r="C3759" s="9" t="s">
        <v>3940</v>
      </c>
      <c r="D3759" s="9" t="s">
        <v>3722</v>
      </c>
      <c r="E3759" s="9" t="s">
        <v>1660</v>
      </c>
      <c r="F3759" s="9" t="s">
        <v>205</v>
      </c>
      <c r="G3759" s="9" t="s">
        <v>221</v>
      </c>
      <c r="H3759" s="9" t="n">
        <v>875</v>
      </c>
      <c r="I3759" s="29" t="n">
        <v>0.5</v>
      </c>
      <c r="J3759" s="9" t="n">
        <v>1</v>
      </c>
      <c r="K3759" s="30"/>
      <c r="L3759" s="30"/>
      <c r="M3759" s="30"/>
      <c r="N3759" s="30"/>
      <c r="O3759" s="30"/>
      <c r="P3759" s="30"/>
      <c r="Q3759" s="30"/>
      <c r="R3759" s="30"/>
      <c r="S3759" s="30"/>
      <c r="T3759" s="30"/>
      <c r="U3759" s="21" t="str">
        <f aca="false">IF(COUNT(K3759:T3759)=0,"SOURCE EMPTY / INDUSTRIAL ONLY",IF(MIN(K3759:T3759)=1,"SERVICE READY","HOLD"))</f>
        <v>SOURCE EMPTY / INDUSTRIAL ONLY</v>
      </c>
      <c r="V3759" s="9" t="n">
        <f aca="false">IF(U3759="SERVICE READY",1,0)</f>
        <v>0</v>
      </c>
      <c r="W3759" s="6"/>
      <c r="X3759" s="6"/>
      <c r="Y3759" s="6"/>
      <c r="Z3759" s="6"/>
    </row>
    <row r="3760" customFormat="false" ht="15" hidden="false" customHeight="false" outlineLevel="0" collapsed="false">
      <c r="A3760" s="9" t="s">
        <v>4042</v>
      </c>
      <c r="B3760" s="9" t="s">
        <v>3939</v>
      </c>
      <c r="C3760" s="9" t="s">
        <v>3940</v>
      </c>
      <c r="D3760" s="9" t="s">
        <v>3722</v>
      </c>
      <c r="E3760" s="9" t="s">
        <v>1660</v>
      </c>
      <c r="F3760" s="9" t="s">
        <v>207</v>
      </c>
      <c r="G3760" s="9" t="s">
        <v>221</v>
      </c>
      <c r="H3760" s="9" t="n">
        <v>875</v>
      </c>
      <c r="I3760" s="29" t="n">
        <v>0.5</v>
      </c>
      <c r="J3760" s="9" t="n">
        <v>1</v>
      </c>
      <c r="K3760" s="30"/>
      <c r="L3760" s="30"/>
      <c r="M3760" s="30"/>
      <c r="N3760" s="30"/>
      <c r="O3760" s="30"/>
      <c r="P3760" s="30"/>
      <c r="Q3760" s="30"/>
      <c r="R3760" s="30"/>
      <c r="S3760" s="30"/>
      <c r="T3760" s="30"/>
      <c r="U3760" s="21" t="str">
        <f aca="false">IF(COUNT(K3760:T3760)=0,"SOURCE EMPTY / INDUSTRIAL ONLY",IF(MIN(K3760:T3760)=1,"SERVICE READY","HOLD"))</f>
        <v>SOURCE EMPTY / INDUSTRIAL ONLY</v>
      </c>
      <c r="V3760" s="9" t="n">
        <f aca="false">IF(U3760="SERVICE READY",1,0)</f>
        <v>0</v>
      </c>
      <c r="W3760" s="6"/>
      <c r="X3760" s="6"/>
      <c r="Y3760" s="6"/>
      <c r="Z3760" s="6"/>
    </row>
    <row r="3761" customFormat="false" ht="15" hidden="false" customHeight="false" outlineLevel="0" collapsed="false">
      <c r="A3761" s="9" t="s">
        <v>4043</v>
      </c>
      <c r="B3761" s="9" t="s">
        <v>3939</v>
      </c>
      <c r="C3761" s="9" t="s">
        <v>3940</v>
      </c>
      <c r="D3761" s="9" t="s">
        <v>3722</v>
      </c>
      <c r="E3761" s="9" t="s">
        <v>1660</v>
      </c>
      <c r="F3761" s="9" t="s">
        <v>209</v>
      </c>
      <c r="G3761" s="9" t="s">
        <v>221</v>
      </c>
      <c r="H3761" s="9" t="n">
        <v>875</v>
      </c>
      <c r="I3761" s="29" t="n">
        <v>0.5</v>
      </c>
      <c r="J3761" s="9" t="n">
        <v>1</v>
      </c>
      <c r="K3761" s="30"/>
      <c r="L3761" s="30"/>
      <c r="M3761" s="30"/>
      <c r="N3761" s="30"/>
      <c r="O3761" s="30"/>
      <c r="P3761" s="30"/>
      <c r="Q3761" s="30"/>
      <c r="R3761" s="30"/>
      <c r="S3761" s="30"/>
      <c r="T3761" s="30"/>
      <c r="U3761" s="21" t="str">
        <f aca="false">IF(COUNT(K3761:T3761)=0,"SOURCE EMPTY / INDUSTRIAL ONLY",IF(MIN(K3761:T3761)=1,"SERVICE READY","HOLD"))</f>
        <v>SOURCE EMPTY / INDUSTRIAL ONLY</v>
      </c>
      <c r="V3761" s="9" t="n">
        <f aca="false">IF(U3761="SERVICE READY",1,0)</f>
        <v>0</v>
      </c>
      <c r="W3761" s="6"/>
      <c r="X3761" s="6"/>
      <c r="Y3761" s="6"/>
      <c r="Z3761" s="6"/>
    </row>
    <row r="3762" customFormat="false" ht="15" hidden="false" customHeight="false" outlineLevel="0" collapsed="false">
      <c r="A3762" s="9" t="s">
        <v>4044</v>
      </c>
      <c r="B3762" s="9" t="s">
        <v>3939</v>
      </c>
      <c r="C3762" s="9" t="s">
        <v>3940</v>
      </c>
      <c r="D3762" s="9" t="s">
        <v>3722</v>
      </c>
      <c r="E3762" s="9" t="s">
        <v>1660</v>
      </c>
      <c r="F3762" s="9" t="s">
        <v>211</v>
      </c>
      <c r="G3762" s="9" t="s">
        <v>221</v>
      </c>
      <c r="H3762" s="9" t="n">
        <v>875</v>
      </c>
      <c r="I3762" s="29" t="n">
        <v>0.5</v>
      </c>
      <c r="J3762" s="9" t="n">
        <v>1</v>
      </c>
      <c r="K3762" s="30"/>
      <c r="L3762" s="30"/>
      <c r="M3762" s="30"/>
      <c r="N3762" s="30"/>
      <c r="O3762" s="30"/>
      <c r="P3762" s="30"/>
      <c r="Q3762" s="30"/>
      <c r="R3762" s="30"/>
      <c r="S3762" s="30"/>
      <c r="T3762" s="30"/>
      <c r="U3762" s="21" t="str">
        <f aca="false">IF(COUNT(K3762:T3762)=0,"SOURCE EMPTY / INDUSTRIAL ONLY",IF(MIN(K3762:T3762)=1,"SERVICE READY","HOLD"))</f>
        <v>SOURCE EMPTY / INDUSTRIAL ONLY</v>
      </c>
      <c r="V3762" s="9" t="n">
        <f aca="false">IF(U3762="SERVICE READY",1,0)</f>
        <v>0</v>
      </c>
      <c r="W3762" s="6"/>
      <c r="X3762" s="6"/>
      <c r="Y3762" s="6"/>
      <c r="Z3762" s="6"/>
    </row>
    <row r="3763" customFormat="false" ht="15" hidden="false" customHeight="false" outlineLevel="0" collapsed="false">
      <c r="A3763" s="9" t="s">
        <v>4045</v>
      </c>
      <c r="B3763" s="9" t="s">
        <v>3939</v>
      </c>
      <c r="C3763" s="9" t="s">
        <v>3940</v>
      </c>
      <c r="D3763" s="9" t="s">
        <v>3722</v>
      </c>
      <c r="E3763" s="9" t="s">
        <v>1660</v>
      </c>
      <c r="F3763" s="9" t="s">
        <v>197</v>
      </c>
      <c r="G3763" s="9" t="s">
        <v>221</v>
      </c>
      <c r="H3763" s="9" t="n">
        <v>875</v>
      </c>
      <c r="I3763" s="29" t="n">
        <v>0.5</v>
      </c>
      <c r="J3763" s="9" t="n">
        <v>1</v>
      </c>
      <c r="K3763" s="30"/>
      <c r="L3763" s="30"/>
      <c r="M3763" s="30"/>
      <c r="N3763" s="30"/>
      <c r="O3763" s="30"/>
      <c r="P3763" s="30"/>
      <c r="Q3763" s="30"/>
      <c r="R3763" s="30"/>
      <c r="S3763" s="30"/>
      <c r="T3763" s="30"/>
      <c r="U3763" s="21" t="str">
        <f aca="false">IF(COUNT(K3763:T3763)=0,"SOURCE EMPTY / INDUSTRIAL ONLY",IF(MIN(K3763:T3763)=1,"SERVICE READY","HOLD"))</f>
        <v>SOURCE EMPTY / INDUSTRIAL ONLY</v>
      </c>
      <c r="V3763" s="9" t="n">
        <f aca="false">IF(U3763="SERVICE READY",1,0)</f>
        <v>0</v>
      </c>
      <c r="W3763" s="6"/>
      <c r="X3763" s="6"/>
      <c r="Y3763" s="6"/>
      <c r="Z3763" s="6"/>
    </row>
    <row r="3764" customFormat="false" ht="15" hidden="false" customHeight="false" outlineLevel="0" collapsed="false">
      <c r="A3764" s="9" t="s">
        <v>4046</v>
      </c>
      <c r="B3764" s="9" t="s">
        <v>3939</v>
      </c>
      <c r="C3764" s="9" t="s">
        <v>3940</v>
      </c>
      <c r="D3764" s="9" t="s">
        <v>3722</v>
      </c>
      <c r="E3764" s="9" t="s">
        <v>1660</v>
      </c>
      <c r="F3764" s="9" t="s">
        <v>200</v>
      </c>
      <c r="G3764" s="9" t="s">
        <v>221</v>
      </c>
      <c r="H3764" s="9" t="n">
        <v>875</v>
      </c>
      <c r="I3764" s="29" t="n">
        <v>0.5</v>
      </c>
      <c r="J3764" s="9" t="n">
        <v>1</v>
      </c>
      <c r="K3764" s="30"/>
      <c r="L3764" s="30"/>
      <c r="M3764" s="30"/>
      <c r="N3764" s="30"/>
      <c r="O3764" s="30"/>
      <c r="P3764" s="30"/>
      <c r="Q3764" s="30"/>
      <c r="R3764" s="30"/>
      <c r="S3764" s="30"/>
      <c r="T3764" s="30"/>
      <c r="U3764" s="21" t="str">
        <f aca="false">IF(COUNT(K3764:T3764)=0,"SOURCE EMPTY / INDUSTRIAL ONLY",IF(MIN(K3764:T3764)=1,"SERVICE READY","HOLD"))</f>
        <v>SOURCE EMPTY / INDUSTRIAL ONLY</v>
      </c>
      <c r="V3764" s="9" t="n">
        <f aca="false">IF(U3764="SERVICE READY",1,0)</f>
        <v>0</v>
      </c>
      <c r="W3764" s="6"/>
      <c r="X3764" s="6"/>
      <c r="Y3764" s="6"/>
      <c r="Z3764" s="6"/>
    </row>
    <row r="3765" customFormat="false" ht="15" hidden="false" customHeight="false" outlineLevel="0" collapsed="false">
      <c r="A3765" s="9" t="s">
        <v>4047</v>
      </c>
      <c r="B3765" s="9" t="s">
        <v>3939</v>
      </c>
      <c r="C3765" s="9" t="s">
        <v>3940</v>
      </c>
      <c r="D3765" s="9" t="s">
        <v>3722</v>
      </c>
      <c r="E3765" s="9" t="s">
        <v>1660</v>
      </c>
      <c r="F3765" s="9" t="s">
        <v>203</v>
      </c>
      <c r="G3765" s="9" t="s">
        <v>221</v>
      </c>
      <c r="H3765" s="9" t="n">
        <v>875</v>
      </c>
      <c r="I3765" s="29" t="n">
        <v>0.5</v>
      </c>
      <c r="J3765" s="9" t="n">
        <v>1</v>
      </c>
      <c r="K3765" s="30"/>
      <c r="L3765" s="30"/>
      <c r="M3765" s="30"/>
      <c r="N3765" s="30"/>
      <c r="O3765" s="30"/>
      <c r="P3765" s="30"/>
      <c r="Q3765" s="30"/>
      <c r="R3765" s="30"/>
      <c r="S3765" s="30"/>
      <c r="T3765" s="30"/>
      <c r="U3765" s="21" t="str">
        <f aca="false">IF(COUNT(K3765:T3765)=0,"SOURCE EMPTY / INDUSTRIAL ONLY",IF(MIN(K3765:T3765)=1,"SERVICE READY","HOLD"))</f>
        <v>SOURCE EMPTY / INDUSTRIAL ONLY</v>
      </c>
      <c r="V3765" s="9" t="n">
        <f aca="false">IF(U3765="SERVICE READY",1,0)</f>
        <v>0</v>
      </c>
      <c r="W3765" s="6"/>
      <c r="X3765" s="6"/>
      <c r="Y3765" s="6"/>
      <c r="Z3765" s="6"/>
    </row>
    <row r="3766" customFormat="false" ht="15" hidden="false" customHeight="false" outlineLevel="0" collapsed="false">
      <c r="A3766" s="9" t="s">
        <v>4048</v>
      </c>
      <c r="B3766" s="9" t="s">
        <v>3939</v>
      </c>
      <c r="C3766" s="9" t="s">
        <v>3940</v>
      </c>
      <c r="D3766" s="9" t="s">
        <v>3722</v>
      </c>
      <c r="E3766" s="9" t="s">
        <v>1660</v>
      </c>
      <c r="F3766" s="9" t="s">
        <v>205</v>
      </c>
      <c r="G3766" s="9" t="s">
        <v>221</v>
      </c>
      <c r="H3766" s="9" t="n">
        <v>875</v>
      </c>
      <c r="I3766" s="29" t="n">
        <v>0.5</v>
      </c>
      <c r="J3766" s="9" t="n">
        <v>1</v>
      </c>
      <c r="K3766" s="30"/>
      <c r="L3766" s="30"/>
      <c r="M3766" s="30"/>
      <c r="N3766" s="30"/>
      <c r="O3766" s="30"/>
      <c r="P3766" s="30"/>
      <c r="Q3766" s="30"/>
      <c r="R3766" s="30"/>
      <c r="S3766" s="30"/>
      <c r="T3766" s="30"/>
      <c r="U3766" s="21" t="str">
        <f aca="false">IF(COUNT(K3766:T3766)=0,"SOURCE EMPTY / INDUSTRIAL ONLY",IF(MIN(K3766:T3766)=1,"SERVICE READY","HOLD"))</f>
        <v>SOURCE EMPTY / INDUSTRIAL ONLY</v>
      </c>
      <c r="V3766" s="9" t="n">
        <f aca="false">IF(U3766="SERVICE READY",1,0)</f>
        <v>0</v>
      </c>
      <c r="W3766" s="6"/>
      <c r="X3766" s="6"/>
      <c r="Y3766" s="6"/>
      <c r="Z3766" s="6"/>
    </row>
    <row r="3767" customFormat="false" ht="15" hidden="false" customHeight="false" outlineLevel="0" collapsed="false">
      <c r="A3767" s="9" t="s">
        <v>4049</v>
      </c>
      <c r="B3767" s="9" t="s">
        <v>3939</v>
      </c>
      <c r="C3767" s="9" t="s">
        <v>3940</v>
      </c>
      <c r="D3767" s="9" t="s">
        <v>3722</v>
      </c>
      <c r="E3767" s="9" t="s">
        <v>1660</v>
      </c>
      <c r="F3767" s="9" t="s">
        <v>207</v>
      </c>
      <c r="G3767" s="9" t="s">
        <v>221</v>
      </c>
      <c r="H3767" s="9" t="n">
        <v>875</v>
      </c>
      <c r="I3767" s="29" t="n">
        <v>0.5</v>
      </c>
      <c r="J3767" s="9" t="n">
        <v>1</v>
      </c>
      <c r="K3767" s="30"/>
      <c r="L3767" s="30"/>
      <c r="M3767" s="30"/>
      <c r="N3767" s="30"/>
      <c r="O3767" s="30"/>
      <c r="P3767" s="30"/>
      <c r="Q3767" s="30"/>
      <c r="R3767" s="30"/>
      <c r="S3767" s="30"/>
      <c r="T3767" s="30"/>
      <c r="U3767" s="21" t="str">
        <f aca="false">IF(COUNT(K3767:T3767)=0,"SOURCE EMPTY / INDUSTRIAL ONLY",IF(MIN(K3767:T3767)=1,"SERVICE READY","HOLD"))</f>
        <v>SOURCE EMPTY / INDUSTRIAL ONLY</v>
      </c>
      <c r="V3767" s="9" t="n">
        <f aca="false">IF(U3767="SERVICE READY",1,0)</f>
        <v>0</v>
      </c>
      <c r="W3767" s="6"/>
      <c r="X3767" s="6"/>
      <c r="Y3767" s="6"/>
      <c r="Z3767" s="6"/>
    </row>
    <row r="3768" customFormat="false" ht="15" hidden="false" customHeight="false" outlineLevel="0" collapsed="false">
      <c r="A3768" s="9" t="s">
        <v>4050</v>
      </c>
      <c r="B3768" s="9" t="s">
        <v>3939</v>
      </c>
      <c r="C3768" s="9" t="s">
        <v>3940</v>
      </c>
      <c r="D3768" s="9" t="s">
        <v>3722</v>
      </c>
      <c r="E3768" s="9" t="s">
        <v>1660</v>
      </c>
      <c r="F3768" s="9" t="s">
        <v>209</v>
      </c>
      <c r="G3768" s="9" t="s">
        <v>221</v>
      </c>
      <c r="H3768" s="9" t="n">
        <v>875</v>
      </c>
      <c r="I3768" s="29" t="n">
        <v>0.5</v>
      </c>
      <c r="J3768" s="9" t="n">
        <v>1</v>
      </c>
      <c r="K3768" s="30"/>
      <c r="L3768" s="30"/>
      <c r="M3768" s="30"/>
      <c r="N3768" s="30"/>
      <c r="O3768" s="30"/>
      <c r="P3768" s="30"/>
      <c r="Q3768" s="30"/>
      <c r="R3768" s="30"/>
      <c r="S3768" s="30"/>
      <c r="T3768" s="30"/>
      <c r="U3768" s="21" t="str">
        <f aca="false">IF(COUNT(K3768:T3768)=0,"SOURCE EMPTY / INDUSTRIAL ONLY",IF(MIN(K3768:T3768)=1,"SERVICE READY","HOLD"))</f>
        <v>SOURCE EMPTY / INDUSTRIAL ONLY</v>
      </c>
      <c r="V3768" s="9" t="n">
        <f aca="false">IF(U3768="SERVICE READY",1,0)</f>
        <v>0</v>
      </c>
      <c r="W3768" s="6"/>
      <c r="X3768" s="6"/>
      <c r="Y3768" s="6"/>
      <c r="Z3768" s="6"/>
    </row>
    <row r="3769" customFormat="false" ht="15" hidden="false" customHeight="false" outlineLevel="0" collapsed="false">
      <c r="A3769" s="9" t="s">
        <v>4051</v>
      </c>
      <c r="B3769" s="9" t="s">
        <v>3939</v>
      </c>
      <c r="C3769" s="9" t="s">
        <v>3940</v>
      </c>
      <c r="D3769" s="9" t="s">
        <v>3722</v>
      </c>
      <c r="E3769" s="9" t="s">
        <v>1660</v>
      </c>
      <c r="F3769" s="9" t="s">
        <v>211</v>
      </c>
      <c r="G3769" s="9" t="s">
        <v>221</v>
      </c>
      <c r="H3769" s="9" t="n">
        <v>875</v>
      </c>
      <c r="I3769" s="29" t="n">
        <v>0.5</v>
      </c>
      <c r="J3769" s="9" t="n">
        <v>1</v>
      </c>
      <c r="K3769" s="30"/>
      <c r="L3769" s="30"/>
      <c r="M3769" s="30"/>
      <c r="N3769" s="30"/>
      <c r="O3769" s="30"/>
      <c r="P3769" s="30"/>
      <c r="Q3769" s="30"/>
      <c r="R3769" s="30"/>
      <c r="S3769" s="30"/>
      <c r="T3769" s="30"/>
      <c r="U3769" s="21" t="str">
        <f aca="false">IF(COUNT(K3769:T3769)=0,"SOURCE EMPTY / INDUSTRIAL ONLY",IF(MIN(K3769:T3769)=1,"SERVICE READY","HOLD"))</f>
        <v>SOURCE EMPTY / INDUSTRIAL ONLY</v>
      </c>
      <c r="V3769" s="9" t="n">
        <f aca="false">IF(U3769="SERVICE READY",1,0)</f>
        <v>0</v>
      </c>
      <c r="W3769" s="6"/>
      <c r="X3769" s="6"/>
      <c r="Y3769" s="6"/>
      <c r="Z3769" s="6"/>
    </row>
    <row r="3770" customFormat="false" ht="15" hidden="false" customHeight="false" outlineLevel="0" collapsed="false">
      <c r="A3770" s="9" t="s">
        <v>4052</v>
      </c>
      <c r="B3770" s="9" t="s">
        <v>3939</v>
      </c>
      <c r="C3770" s="9" t="s">
        <v>3940</v>
      </c>
      <c r="D3770" s="9" t="s">
        <v>3722</v>
      </c>
      <c r="E3770" s="9" t="s">
        <v>1660</v>
      </c>
      <c r="F3770" s="9" t="s">
        <v>197</v>
      </c>
      <c r="G3770" s="9" t="s">
        <v>221</v>
      </c>
      <c r="H3770" s="9" t="n">
        <v>875</v>
      </c>
      <c r="I3770" s="29" t="n">
        <v>0.5</v>
      </c>
      <c r="J3770" s="9" t="n">
        <v>1</v>
      </c>
      <c r="K3770" s="30"/>
      <c r="L3770" s="30"/>
      <c r="M3770" s="30"/>
      <c r="N3770" s="30"/>
      <c r="O3770" s="30"/>
      <c r="P3770" s="30"/>
      <c r="Q3770" s="30"/>
      <c r="R3770" s="30"/>
      <c r="S3770" s="30"/>
      <c r="T3770" s="30"/>
      <c r="U3770" s="21" t="str">
        <f aca="false">IF(COUNT(K3770:T3770)=0,"SOURCE EMPTY / INDUSTRIAL ONLY",IF(MIN(K3770:T3770)=1,"SERVICE READY","HOLD"))</f>
        <v>SOURCE EMPTY / INDUSTRIAL ONLY</v>
      </c>
      <c r="V3770" s="9" t="n">
        <f aca="false">IF(U3770="SERVICE READY",1,0)</f>
        <v>0</v>
      </c>
      <c r="W3770" s="6"/>
      <c r="X3770" s="6"/>
      <c r="Y3770" s="6"/>
      <c r="Z3770" s="6"/>
    </row>
    <row r="3771" customFormat="false" ht="15" hidden="false" customHeight="false" outlineLevel="0" collapsed="false">
      <c r="A3771" s="9" t="s">
        <v>4053</v>
      </c>
      <c r="B3771" s="9" t="s">
        <v>3939</v>
      </c>
      <c r="C3771" s="9" t="s">
        <v>3940</v>
      </c>
      <c r="D3771" s="9" t="s">
        <v>3722</v>
      </c>
      <c r="E3771" s="9" t="s">
        <v>1660</v>
      </c>
      <c r="F3771" s="9" t="s">
        <v>200</v>
      </c>
      <c r="G3771" s="9" t="s">
        <v>221</v>
      </c>
      <c r="H3771" s="9" t="n">
        <v>875</v>
      </c>
      <c r="I3771" s="29" t="n">
        <v>0.5</v>
      </c>
      <c r="J3771" s="9" t="n">
        <v>1</v>
      </c>
      <c r="K3771" s="30"/>
      <c r="L3771" s="30"/>
      <c r="M3771" s="30"/>
      <c r="N3771" s="30"/>
      <c r="O3771" s="30"/>
      <c r="P3771" s="30"/>
      <c r="Q3771" s="30"/>
      <c r="R3771" s="30"/>
      <c r="S3771" s="30"/>
      <c r="T3771" s="30"/>
      <c r="U3771" s="21" t="str">
        <f aca="false">IF(COUNT(K3771:T3771)=0,"SOURCE EMPTY / INDUSTRIAL ONLY",IF(MIN(K3771:T3771)=1,"SERVICE READY","HOLD"))</f>
        <v>SOURCE EMPTY / INDUSTRIAL ONLY</v>
      </c>
      <c r="V3771" s="9" t="n">
        <f aca="false">IF(U3771="SERVICE READY",1,0)</f>
        <v>0</v>
      </c>
      <c r="W3771" s="6"/>
      <c r="X3771" s="6"/>
      <c r="Y3771" s="6"/>
      <c r="Z3771" s="6"/>
    </row>
    <row r="3772" customFormat="false" ht="15" hidden="false" customHeight="false" outlineLevel="0" collapsed="false">
      <c r="A3772" s="9" t="s">
        <v>4054</v>
      </c>
      <c r="B3772" s="9" t="s">
        <v>3939</v>
      </c>
      <c r="C3772" s="9" t="s">
        <v>3940</v>
      </c>
      <c r="D3772" s="9" t="s">
        <v>3722</v>
      </c>
      <c r="E3772" s="9" t="s">
        <v>1660</v>
      </c>
      <c r="F3772" s="9" t="s">
        <v>203</v>
      </c>
      <c r="G3772" s="9" t="s">
        <v>221</v>
      </c>
      <c r="H3772" s="9" t="n">
        <v>875</v>
      </c>
      <c r="I3772" s="29" t="n">
        <v>0.5</v>
      </c>
      <c r="J3772" s="9" t="n">
        <v>1</v>
      </c>
      <c r="K3772" s="30"/>
      <c r="L3772" s="30"/>
      <c r="M3772" s="30"/>
      <c r="N3772" s="30"/>
      <c r="O3772" s="30"/>
      <c r="P3772" s="30"/>
      <c r="Q3772" s="30"/>
      <c r="R3772" s="30"/>
      <c r="S3772" s="30"/>
      <c r="T3772" s="30"/>
      <c r="U3772" s="21" t="str">
        <f aca="false">IF(COUNT(K3772:T3772)=0,"SOURCE EMPTY / INDUSTRIAL ONLY",IF(MIN(K3772:T3772)=1,"SERVICE READY","HOLD"))</f>
        <v>SOURCE EMPTY / INDUSTRIAL ONLY</v>
      </c>
      <c r="V3772" s="9" t="n">
        <f aca="false">IF(U3772="SERVICE READY",1,0)</f>
        <v>0</v>
      </c>
      <c r="W3772" s="6"/>
      <c r="X3772" s="6"/>
      <c r="Y3772" s="6"/>
      <c r="Z3772" s="6"/>
    </row>
    <row r="3773" customFormat="false" ht="15" hidden="false" customHeight="false" outlineLevel="0" collapsed="false">
      <c r="A3773" s="9" t="s">
        <v>4055</v>
      </c>
      <c r="B3773" s="9" t="s">
        <v>3939</v>
      </c>
      <c r="C3773" s="9" t="s">
        <v>3940</v>
      </c>
      <c r="D3773" s="9" t="s">
        <v>3722</v>
      </c>
      <c r="E3773" s="9" t="s">
        <v>1660</v>
      </c>
      <c r="F3773" s="9" t="s">
        <v>205</v>
      </c>
      <c r="G3773" s="9" t="s">
        <v>221</v>
      </c>
      <c r="H3773" s="9" t="n">
        <v>875</v>
      </c>
      <c r="I3773" s="29" t="n">
        <v>0.5</v>
      </c>
      <c r="J3773" s="9" t="n">
        <v>1</v>
      </c>
      <c r="K3773" s="30"/>
      <c r="L3773" s="30"/>
      <c r="M3773" s="30"/>
      <c r="N3773" s="30"/>
      <c r="O3773" s="30"/>
      <c r="P3773" s="30"/>
      <c r="Q3773" s="30"/>
      <c r="R3773" s="30"/>
      <c r="S3773" s="30"/>
      <c r="T3773" s="30"/>
      <c r="U3773" s="21" t="str">
        <f aca="false">IF(COUNT(K3773:T3773)=0,"SOURCE EMPTY / INDUSTRIAL ONLY",IF(MIN(K3773:T3773)=1,"SERVICE READY","HOLD"))</f>
        <v>SOURCE EMPTY / INDUSTRIAL ONLY</v>
      </c>
      <c r="V3773" s="9" t="n">
        <f aca="false">IF(U3773="SERVICE READY",1,0)</f>
        <v>0</v>
      </c>
      <c r="W3773" s="6"/>
      <c r="X3773" s="6"/>
      <c r="Y3773" s="6"/>
      <c r="Z3773" s="6"/>
    </row>
    <row r="3774" customFormat="false" ht="15" hidden="false" customHeight="false" outlineLevel="0" collapsed="false">
      <c r="A3774" s="9" t="s">
        <v>4056</v>
      </c>
      <c r="B3774" s="9" t="s">
        <v>3939</v>
      </c>
      <c r="C3774" s="9" t="s">
        <v>3940</v>
      </c>
      <c r="D3774" s="9" t="s">
        <v>3722</v>
      </c>
      <c r="E3774" s="9" t="s">
        <v>1660</v>
      </c>
      <c r="F3774" s="9" t="s">
        <v>207</v>
      </c>
      <c r="G3774" s="9" t="s">
        <v>221</v>
      </c>
      <c r="H3774" s="9" t="n">
        <v>875</v>
      </c>
      <c r="I3774" s="29" t="n">
        <v>0.5</v>
      </c>
      <c r="J3774" s="9" t="n">
        <v>1</v>
      </c>
      <c r="K3774" s="30"/>
      <c r="L3774" s="30"/>
      <c r="M3774" s="30"/>
      <c r="N3774" s="30"/>
      <c r="O3774" s="30"/>
      <c r="P3774" s="30"/>
      <c r="Q3774" s="30"/>
      <c r="R3774" s="30"/>
      <c r="S3774" s="30"/>
      <c r="T3774" s="30"/>
      <c r="U3774" s="21" t="str">
        <f aca="false">IF(COUNT(K3774:T3774)=0,"SOURCE EMPTY / INDUSTRIAL ONLY",IF(MIN(K3774:T3774)=1,"SERVICE READY","HOLD"))</f>
        <v>SOURCE EMPTY / INDUSTRIAL ONLY</v>
      </c>
      <c r="V3774" s="9" t="n">
        <f aca="false">IF(U3774="SERVICE READY",1,0)</f>
        <v>0</v>
      </c>
      <c r="W3774" s="6"/>
      <c r="X3774" s="6"/>
      <c r="Y3774" s="6"/>
      <c r="Z3774" s="6"/>
    </row>
    <row r="3775" customFormat="false" ht="15" hidden="false" customHeight="false" outlineLevel="0" collapsed="false">
      <c r="A3775" s="9" t="s">
        <v>4057</v>
      </c>
      <c r="B3775" s="9" t="s">
        <v>3939</v>
      </c>
      <c r="C3775" s="9" t="s">
        <v>3940</v>
      </c>
      <c r="D3775" s="9" t="s">
        <v>3722</v>
      </c>
      <c r="E3775" s="9" t="s">
        <v>1660</v>
      </c>
      <c r="F3775" s="9" t="s">
        <v>209</v>
      </c>
      <c r="G3775" s="9" t="s">
        <v>221</v>
      </c>
      <c r="H3775" s="9" t="n">
        <v>875</v>
      </c>
      <c r="I3775" s="29" t="n">
        <v>0.5</v>
      </c>
      <c r="J3775" s="9" t="n">
        <v>1</v>
      </c>
      <c r="K3775" s="30"/>
      <c r="L3775" s="30"/>
      <c r="M3775" s="30"/>
      <c r="N3775" s="30"/>
      <c r="O3775" s="30"/>
      <c r="P3775" s="30"/>
      <c r="Q3775" s="30"/>
      <c r="R3775" s="30"/>
      <c r="S3775" s="30"/>
      <c r="T3775" s="30"/>
      <c r="U3775" s="21" t="str">
        <f aca="false">IF(COUNT(K3775:T3775)=0,"SOURCE EMPTY / INDUSTRIAL ONLY",IF(MIN(K3775:T3775)=1,"SERVICE READY","HOLD"))</f>
        <v>SOURCE EMPTY / INDUSTRIAL ONLY</v>
      </c>
      <c r="V3775" s="9" t="n">
        <f aca="false">IF(U3775="SERVICE READY",1,0)</f>
        <v>0</v>
      </c>
      <c r="W3775" s="6"/>
      <c r="X3775" s="6"/>
      <c r="Y3775" s="6"/>
      <c r="Z3775" s="6"/>
    </row>
    <row r="3776" customFormat="false" ht="15" hidden="false" customHeight="false" outlineLevel="0" collapsed="false">
      <c r="A3776" s="9" t="s">
        <v>4058</v>
      </c>
      <c r="B3776" s="9" t="s">
        <v>3939</v>
      </c>
      <c r="C3776" s="9" t="s">
        <v>3940</v>
      </c>
      <c r="D3776" s="9" t="s">
        <v>3722</v>
      </c>
      <c r="E3776" s="9" t="s">
        <v>1660</v>
      </c>
      <c r="F3776" s="9" t="s">
        <v>211</v>
      </c>
      <c r="G3776" s="9" t="s">
        <v>221</v>
      </c>
      <c r="H3776" s="9" t="n">
        <v>875</v>
      </c>
      <c r="I3776" s="29" t="n">
        <v>0.5</v>
      </c>
      <c r="J3776" s="9" t="n">
        <v>1</v>
      </c>
      <c r="K3776" s="30"/>
      <c r="L3776" s="30"/>
      <c r="M3776" s="30"/>
      <c r="N3776" s="30"/>
      <c r="O3776" s="30"/>
      <c r="P3776" s="30"/>
      <c r="Q3776" s="30"/>
      <c r="R3776" s="30"/>
      <c r="S3776" s="30"/>
      <c r="T3776" s="30"/>
      <c r="U3776" s="21" t="str">
        <f aca="false">IF(COUNT(K3776:T3776)=0,"SOURCE EMPTY / INDUSTRIAL ONLY",IF(MIN(K3776:T3776)=1,"SERVICE READY","HOLD"))</f>
        <v>SOURCE EMPTY / INDUSTRIAL ONLY</v>
      </c>
      <c r="V3776" s="9" t="n">
        <f aca="false">IF(U3776="SERVICE READY",1,0)</f>
        <v>0</v>
      </c>
      <c r="W3776" s="6"/>
      <c r="X3776" s="6"/>
      <c r="Y3776" s="6"/>
      <c r="Z3776" s="6"/>
    </row>
    <row r="3777" customFormat="false" ht="15" hidden="false" customHeight="false" outlineLevel="0" collapsed="false">
      <c r="A3777" s="9" t="s">
        <v>4059</v>
      </c>
      <c r="B3777" s="9" t="s">
        <v>3939</v>
      </c>
      <c r="C3777" s="9" t="s">
        <v>3940</v>
      </c>
      <c r="D3777" s="9" t="s">
        <v>3722</v>
      </c>
      <c r="E3777" s="9" t="s">
        <v>1660</v>
      </c>
      <c r="F3777" s="9" t="s">
        <v>197</v>
      </c>
      <c r="G3777" s="9" t="s">
        <v>221</v>
      </c>
      <c r="H3777" s="9" t="n">
        <v>875</v>
      </c>
      <c r="I3777" s="29" t="n">
        <v>0.5</v>
      </c>
      <c r="J3777" s="9" t="n">
        <v>1</v>
      </c>
      <c r="K3777" s="30"/>
      <c r="L3777" s="30"/>
      <c r="M3777" s="30"/>
      <c r="N3777" s="30"/>
      <c r="O3777" s="30"/>
      <c r="P3777" s="30"/>
      <c r="Q3777" s="30"/>
      <c r="R3777" s="30"/>
      <c r="S3777" s="30"/>
      <c r="T3777" s="30"/>
      <c r="U3777" s="21" t="str">
        <f aca="false">IF(COUNT(K3777:T3777)=0,"SOURCE EMPTY / INDUSTRIAL ONLY",IF(MIN(K3777:T3777)=1,"SERVICE READY","HOLD"))</f>
        <v>SOURCE EMPTY / INDUSTRIAL ONLY</v>
      </c>
      <c r="V3777" s="9" t="n">
        <f aca="false">IF(U3777="SERVICE READY",1,0)</f>
        <v>0</v>
      </c>
      <c r="W3777" s="6"/>
      <c r="X3777" s="6"/>
      <c r="Y3777" s="6"/>
      <c r="Z3777" s="6"/>
    </row>
    <row r="3778" customFormat="false" ht="15" hidden="false" customHeight="false" outlineLevel="0" collapsed="false">
      <c r="A3778" s="9" t="s">
        <v>4060</v>
      </c>
      <c r="B3778" s="9" t="s">
        <v>3939</v>
      </c>
      <c r="C3778" s="9" t="s">
        <v>3940</v>
      </c>
      <c r="D3778" s="9" t="s">
        <v>3722</v>
      </c>
      <c r="E3778" s="9" t="s">
        <v>1660</v>
      </c>
      <c r="F3778" s="9" t="s">
        <v>200</v>
      </c>
      <c r="G3778" s="9" t="s">
        <v>221</v>
      </c>
      <c r="H3778" s="9" t="n">
        <v>875</v>
      </c>
      <c r="I3778" s="29" t="n">
        <v>0.5</v>
      </c>
      <c r="J3778" s="9" t="n">
        <v>1</v>
      </c>
      <c r="K3778" s="30"/>
      <c r="L3778" s="30"/>
      <c r="M3778" s="30"/>
      <c r="N3778" s="30"/>
      <c r="O3778" s="30"/>
      <c r="P3778" s="30"/>
      <c r="Q3778" s="30"/>
      <c r="R3778" s="30"/>
      <c r="S3778" s="30"/>
      <c r="T3778" s="30"/>
      <c r="U3778" s="21" t="str">
        <f aca="false">IF(COUNT(K3778:T3778)=0,"SOURCE EMPTY / INDUSTRIAL ONLY",IF(MIN(K3778:T3778)=1,"SERVICE READY","HOLD"))</f>
        <v>SOURCE EMPTY / INDUSTRIAL ONLY</v>
      </c>
      <c r="V3778" s="9" t="n">
        <f aca="false">IF(U3778="SERVICE READY",1,0)</f>
        <v>0</v>
      </c>
      <c r="W3778" s="6"/>
      <c r="X3778" s="6"/>
      <c r="Y3778" s="6"/>
      <c r="Z3778" s="6"/>
    </row>
    <row r="3779" customFormat="false" ht="15" hidden="false" customHeight="false" outlineLevel="0" collapsed="false">
      <c r="A3779" s="9" t="s">
        <v>4061</v>
      </c>
      <c r="B3779" s="9" t="s">
        <v>3939</v>
      </c>
      <c r="C3779" s="9" t="s">
        <v>3940</v>
      </c>
      <c r="D3779" s="9" t="s">
        <v>3722</v>
      </c>
      <c r="E3779" s="9" t="s">
        <v>1660</v>
      </c>
      <c r="F3779" s="9" t="s">
        <v>203</v>
      </c>
      <c r="G3779" s="9" t="s">
        <v>221</v>
      </c>
      <c r="H3779" s="9" t="n">
        <v>875</v>
      </c>
      <c r="I3779" s="29" t="n">
        <v>0.5</v>
      </c>
      <c r="J3779" s="9" t="n">
        <v>1</v>
      </c>
      <c r="K3779" s="30"/>
      <c r="L3779" s="30"/>
      <c r="M3779" s="30"/>
      <c r="N3779" s="30"/>
      <c r="O3779" s="30"/>
      <c r="P3779" s="30"/>
      <c r="Q3779" s="30"/>
      <c r="R3779" s="30"/>
      <c r="S3779" s="30"/>
      <c r="T3779" s="30"/>
      <c r="U3779" s="21" t="str">
        <f aca="false">IF(COUNT(K3779:T3779)=0,"SOURCE EMPTY / INDUSTRIAL ONLY",IF(MIN(K3779:T3779)=1,"SERVICE READY","HOLD"))</f>
        <v>SOURCE EMPTY / INDUSTRIAL ONLY</v>
      </c>
      <c r="V3779" s="9" t="n">
        <f aca="false">IF(U3779="SERVICE READY",1,0)</f>
        <v>0</v>
      </c>
      <c r="W3779" s="6"/>
      <c r="X3779" s="6"/>
      <c r="Y3779" s="6"/>
      <c r="Z3779" s="6"/>
    </row>
    <row r="3780" customFormat="false" ht="15" hidden="false" customHeight="false" outlineLevel="0" collapsed="false">
      <c r="A3780" s="9" t="s">
        <v>4062</v>
      </c>
      <c r="B3780" s="9" t="s">
        <v>3939</v>
      </c>
      <c r="C3780" s="9" t="s">
        <v>3940</v>
      </c>
      <c r="D3780" s="9" t="s">
        <v>3722</v>
      </c>
      <c r="E3780" s="9" t="s">
        <v>1660</v>
      </c>
      <c r="F3780" s="9" t="s">
        <v>205</v>
      </c>
      <c r="G3780" s="9" t="s">
        <v>221</v>
      </c>
      <c r="H3780" s="9" t="n">
        <v>875</v>
      </c>
      <c r="I3780" s="29" t="n">
        <v>0.5</v>
      </c>
      <c r="J3780" s="9" t="n">
        <v>1</v>
      </c>
      <c r="K3780" s="30"/>
      <c r="L3780" s="30"/>
      <c r="M3780" s="30"/>
      <c r="N3780" s="30"/>
      <c r="O3780" s="30"/>
      <c r="P3780" s="30"/>
      <c r="Q3780" s="30"/>
      <c r="R3780" s="30"/>
      <c r="S3780" s="30"/>
      <c r="T3780" s="30"/>
      <c r="U3780" s="21" t="str">
        <f aca="false">IF(COUNT(K3780:T3780)=0,"SOURCE EMPTY / INDUSTRIAL ONLY",IF(MIN(K3780:T3780)=1,"SERVICE READY","HOLD"))</f>
        <v>SOURCE EMPTY / INDUSTRIAL ONLY</v>
      </c>
      <c r="V3780" s="9" t="n">
        <f aca="false">IF(U3780="SERVICE READY",1,0)</f>
        <v>0</v>
      </c>
      <c r="W3780" s="6"/>
      <c r="X3780" s="6"/>
      <c r="Y3780" s="6"/>
      <c r="Z3780" s="6"/>
    </row>
    <row r="3781" customFormat="false" ht="15" hidden="false" customHeight="false" outlineLevel="0" collapsed="false">
      <c r="A3781" s="9" t="s">
        <v>4063</v>
      </c>
      <c r="B3781" s="9" t="s">
        <v>3939</v>
      </c>
      <c r="C3781" s="9" t="s">
        <v>3940</v>
      </c>
      <c r="D3781" s="9" t="s">
        <v>3722</v>
      </c>
      <c r="E3781" s="9" t="s">
        <v>1660</v>
      </c>
      <c r="F3781" s="9" t="s">
        <v>207</v>
      </c>
      <c r="G3781" s="9" t="s">
        <v>221</v>
      </c>
      <c r="H3781" s="9" t="n">
        <v>875</v>
      </c>
      <c r="I3781" s="29" t="n">
        <v>0.5</v>
      </c>
      <c r="J3781" s="9" t="n">
        <v>1</v>
      </c>
      <c r="K3781" s="30"/>
      <c r="L3781" s="30"/>
      <c r="M3781" s="30"/>
      <c r="N3781" s="30"/>
      <c r="O3781" s="30"/>
      <c r="P3781" s="30"/>
      <c r="Q3781" s="30"/>
      <c r="R3781" s="30"/>
      <c r="S3781" s="30"/>
      <c r="T3781" s="30"/>
      <c r="U3781" s="21" t="str">
        <f aca="false">IF(COUNT(K3781:T3781)=0,"SOURCE EMPTY / INDUSTRIAL ONLY",IF(MIN(K3781:T3781)=1,"SERVICE READY","HOLD"))</f>
        <v>SOURCE EMPTY / INDUSTRIAL ONLY</v>
      </c>
      <c r="V3781" s="9" t="n">
        <f aca="false">IF(U3781="SERVICE READY",1,0)</f>
        <v>0</v>
      </c>
      <c r="W3781" s="6"/>
      <c r="X3781" s="6"/>
      <c r="Y3781" s="6"/>
      <c r="Z3781" s="6"/>
    </row>
    <row r="3782" customFormat="false" ht="15" hidden="false" customHeight="false" outlineLevel="0" collapsed="false">
      <c r="A3782" s="9" t="s">
        <v>4064</v>
      </c>
      <c r="B3782" s="9" t="s">
        <v>3939</v>
      </c>
      <c r="C3782" s="9" t="s">
        <v>3940</v>
      </c>
      <c r="D3782" s="9" t="s">
        <v>3722</v>
      </c>
      <c r="E3782" s="9" t="s">
        <v>1660</v>
      </c>
      <c r="F3782" s="9" t="s">
        <v>209</v>
      </c>
      <c r="G3782" s="9" t="s">
        <v>221</v>
      </c>
      <c r="H3782" s="9" t="n">
        <v>875</v>
      </c>
      <c r="I3782" s="29" t="n">
        <v>0.5</v>
      </c>
      <c r="J3782" s="9" t="n">
        <v>1</v>
      </c>
      <c r="K3782" s="30"/>
      <c r="L3782" s="30"/>
      <c r="M3782" s="30"/>
      <c r="N3782" s="30"/>
      <c r="O3782" s="30"/>
      <c r="P3782" s="30"/>
      <c r="Q3782" s="30"/>
      <c r="R3782" s="30"/>
      <c r="S3782" s="30"/>
      <c r="T3782" s="30"/>
      <c r="U3782" s="21" t="str">
        <f aca="false">IF(COUNT(K3782:T3782)=0,"SOURCE EMPTY / INDUSTRIAL ONLY",IF(MIN(K3782:T3782)=1,"SERVICE READY","HOLD"))</f>
        <v>SOURCE EMPTY / INDUSTRIAL ONLY</v>
      </c>
      <c r="V3782" s="9" t="n">
        <f aca="false">IF(U3782="SERVICE READY",1,0)</f>
        <v>0</v>
      </c>
      <c r="W3782" s="6"/>
      <c r="X3782" s="6"/>
      <c r="Y3782" s="6"/>
      <c r="Z3782" s="6"/>
    </row>
    <row r="3783" customFormat="false" ht="15" hidden="false" customHeight="false" outlineLevel="0" collapsed="false">
      <c r="A3783" s="9" t="s">
        <v>4065</v>
      </c>
      <c r="B3783" s="9" t="s">
        <v>3939</v>
      </c>
      <c r="C3783" s="9" t="s">
        <v>3940</v>
      </c>
      <c r="D3783" s="9" t="s">
        <v>3722</v>
      </c>
      <c r="E3783" s="9" t="s">
        <v>1660</v>
      </c>
      <c r="F3783" s="9" t="s">
        <v>211</v>
      </c>
      <c r="G3783" s="9" t="s">
        <v>221</v>
      </c>
      <c r="H3783" s="9" t="n">
        <v>875</v>
      </c>
      <c r="I3783" s="29" t="n">
        <v>0.5</v>
      </c>
      <c r="J3783" s="9" t="n">
        <v>1</v>
      </c>
      <c r="K3783" s="30"/>
      <c r="L3783" s="30"/>
      <c r="M3783" s="30"/>
      <c r="N3783" s="30"/>
      <c r="O3783" s="30"/>
      <c r="P3783" s="30"/>
      <c r="Q3783" s="30"/>
      <c r="R3783" s="30"/>
      <c r="S3783" s="30"/>
      <c r="T3783" s="30"/>
      <c r="U3783" s="21" t="str">
        <f aca="false">IF(COUNT(K3783:T3783)=0,"SOURCE EMPTY / INDUSTRIAL ONLY",IF(MIN(K3783:T3783)=1,"SERVICE READY","HOLD"))</f>
        <v>SOURCE EMPTY / INDUSTRIAL ONLY</v>
      </c>
      <c r="V3783" s="9" t="n">
        <f aca="false">IF(U3783="SERVICE READY",1,0)</f>
        <v>0</v>
      </c>
      <c r="W3783" s="6"/>
      <c r="X3783" s="6"/>
      <c r="Y3783" s="6"/>
      <c r="Z3783" s="6"/>
    </row>
    <row r="3784" customFormat="false" ht="15" hidden="false" customHeight="false" outlineLevel="0" collapsed="false">
      <c r="A3784" s="9" t="s">
        <v>4066</v>
      </c>
      <c r="B3784" s="9" t="s">
        <v>3939</v>
      </c>
      <c r="C3784" s="9" t="s">
        <v>3940</v>
      </c>
      <c r="D3784" s="9" t="s">
        <v>3722</v>
      </c>
      <c r="E3784" s="9" t="s">
        <v>1660</v>
      </c>
      <c r="F3784" s="9" t="s">
        <v>197</v>
      </c>
      <c r="G3784" s="9" t="s">
        <v>221</v>
      </c>
      <c r="H3784" s="9" t="n">
        <v>875</v>
      </c>
      <c r="I3784" s="29" t="n">
        <v>0.5</v>
      </c>
      <c r="J3784" s="9" t="n">
        <v>1</v>
      </c>
      <c r="K3784" s="30"/>
      <c r="L3784" s="30"/>
      <c r="M3784" s="30"/>
      <c r="N3784" s="30"/>
      <c r="O3784" s="30"/>
      <c r="P3784" s="30"/>
      <c r="Q3784" s="30"/>
      <c r="R3784" s="30"/>
      <c r="S3784" s="30"/>
      <c r="T3784" s="30"/>
      <c r="U3784" s="21" t="str">
        <f aca="false">IF(COUNT(K3784:T3784)=0,"SOURCE EMPTY / INDUSTRIAL ONLY",IF(MIN(K3784:T3784)=1,"SERVICE READY","HOLD"))</f>
        <v>SOURCE EMPTY / INDUSTRIAL ONLY</v>
      </c>
      <c r="V3784" s="9" t="n">
        <f aca="false">IF(U3784="SERVICE READY",1,0)</f>
        <v>0</v>
      </c>
      <c r="W3784" s="6"/>
      <c r="X3784" s="6"/>
      <c r="Y3784" s="6"/>
      <c r="Z3784" s="6"/>
    </row>
    <row r="3785" customFormat="false" ht="15" hidden="false" customHeight="false" outlineLevel="0" collapsed="false">
      <c r="A3785" s="9" t="s">
        <v>4067</v>
      </c>
      <c r="B3785" s="9" t="s">
        <v>3939</v>
      </c>
      <c r="C3785" s="9" t="s">
        <v>3940</v>
      </c>
      <c r="D3785" s="9" t="s">
        <v>3722</v>
      </c>
      <c r="E3785" s="9" t="s">
        <v>1660</v>
      </c>
      <c r="F3785" s="9" t="s">
        <v>200</v>
      </c>
      <c r="G3785" s="9" t="s">
        <v>221</v>
      </c>
      <c r="H3785" s="9" t="n">
        <v>875</v>
      </c>
      <c r="I3785" s="29" t="n">
        <v>0.5</v>
      </c>
      <c r="J3785" s="9" t="n">
        <v>1</v>
      </c>
      <c r="K3785" s="30"/>
      <c r="L3785" s="30"/>
      <c r="M3785" s="30"/>
      <c r="N3785" s="30"/>
      <c r="O3785" s="30"/>
      <c r="P3785" s="30"/>
      <c r="Q3785" s="30"/>
      <c r="R3785" s="30"/>
      <c r="S3785" s="30"/>
      <c r="T3785" s="30"/>
      <c r="U3785" s="21" t="str">
        <f aca="false">IF(COUNT(K3785:T3785)=0,"SOURCE EMPTY / INDUSTRIAL ONLY",IF(MIN(K3785:T3785)=1,"SERVICE READY","HOLD"))</f>
        <v>SOURCE EMPTY / INDUSTRIAL ONLY</v>
      </c>
      <c r="V3785" s="9" t="n">
        <f aca="false">IF(U3785="SERVICE READY",1,0)</f>
        <v>0</v>
      </c>
      <c r="W3785" s="6"/>
      <c r="X3785" s="6"/>
      <c r="Y3785" s="6"/>
      <c r="Z3785" s="6"/>
    </row>
    <row r="3786" customFormat="false" ht="15" hidden="false" customHeight="false" outlineLevel="0" collapsed="false">
      <c r="A3786" s="9" t="s">
        <v>4068</v>
      </c>
      <c r="B3786" s="9" t="s">
        <v>3939</v>
      </c>
      <c r="C3786" s="9" t="s">
        <v>3940</v>
      </c>
      <c r="D3786" s="9" t="s">
        <v>3722</v>
      </c>
      <c r="E3786" s="9" t="s">
        <v>1660</v>
      </c>
      <c r="F3786" s="9" t="s">
        <v>203</v>
      </c>
      <c r="G3786" s="9" t="s">
        <v>221</v>
      </c>
      <c r="H3786" s="9" t="n">
        <v>875</v>
      </c>
      <c r="I3786" s="29" t="n">
        <v>0.5</v>
      </c>
      <c r="J3786" s="9" t="n">
        <v>1</v>
      </c>
      <c r="K3786" s="30"/>
      <c r="L3786" s="30"/>
      <c r="M3786" s="30"/>
      <c r="N3786" s="30"/>
      <c r="O3786" s="30"/>
      <c r="P3786" s="30"/>
      <c r="Q3786" s="30"/>
      <c r="R3786" s="30"/>
      <c r="S3786" s="30"/>
      <c r="T3786" s="30"/>
      <c r="U3786" s="21" t="str">
        <f aca="false">IF(COUNT(K3786:T3786)=0,"SOURCE EMPTY / INDUSTRIAL ONLY",IF(MIN(K3786:T3786)=1,"SERVICE READY","HOLD"))</f>
        <v>SOURCE EMPTY / INDUSTRIAL ONLY</v>
      </c>
      <c r="V3786" s="9" t="n">
        <f aca="false">IF(U3786="SERVICE READY",1,0)</f>
        <v>0</v>
      </c>
      <c r="W3786" s="6"/>
      <c r="X3786" s="6"/>
      <c r="Y3786" s="6"/>
      <c r="Z3786" s="6"/>
    </row>
    <row r="3787" customFormat="false" ht="15" hidden="false" customHeight="false" outlineLevel="0" collapsed="false">
      <c r="A3787" s="9" t="s">
        <v>4069</v>
      </c>
      <c r="B3787" s="9" t="s">
        <v>3939</v>
      </c>
      <c r="C3787" s="9" t="s">
        <v>3940</v>
      </c>
      <c r="D3787" s="9" t="s">
        <v>3722</v>
      </c>
      <c r="E3787" s="9" t="s">
        <v>1660</v>
      </c>
      <c r="F3787" s="9" t="s">
        <v>205</v>
      </c>
      <c r="G3787" s="9" t="s">
        <v>221</v>
      </c>
      <c r="H3787" s="9" t="n">
        <v>875</v>
      </c>
      <c r="I3787" s="29" t="n">
        <v>0.5</v>
      </c>
      <c r="J3787" s="9" t="n">
        <v>1</v>
      </c>
      <c r="K3787" s="30"/>
      <c r="L3787" s="30"/>
      <c r="M3787" s="30"/>
      <c r="N3787" s="30"/>
      <c r="O3787" s="30"/>
      <c r="P3787" s="30"/>
      <c r="Q3787" s="30"/>
      <c r="R3787" s="30"/>
      <c r="S3787" s="30"/>
      <c r="T3787" s="30"/>
      <c r="U3787" s="21" t="str">
        <f aca="false">IF(COUNT(K3787:T3787)=0,"SOURCE EMPTY / INDUSTRIAL ONLY",IF(MIN(K3787:T3787)=1,"SERVICE READY","HOLD"))</f>
        <v>SOURCE EMPTY / INDUSTRIAL ONLY</v>
      </c>
      <c r="V3787" s="9" t="n">
        <f aca="false">IF(U3787="SERVICE READY",1,0)</f>
        <v>0</v>
      </c>
      <c r="W3787" s="6"/>
      <c r="X3787" s="6"/>
      <c r="Y3787" s="6"/>
      <c r="Z3787" s="6"/>
    </row>
    <row r="3788" customFormat="false" ht="15" hidden="false" customHeight="false" outlineLevel="0" collapsed="false">
      <c r="A3788" s="9" t="s">
        <v>4070</v>
      </c>
      <c r="B3788" s="9" t="s">
        <v>3939</v>
      </c>
      <c r="C3788" s="9" t="s">
        <v>3940</v>
      </c>
      <c r="D3788" s="9" t="s">
        <v>3722</v>
      </c>
      <c r="E3788" s="9" t="s">
        <v>1660</v>
      </c>
      <c r="F3788" s="9" t="s">
        <v>207</v>
      </c>
      <c r="G3788" s="9" t="s">
        <v>221</v>
      </c>
      <c r="H3788" s="9" t="n">
        <v>875</v>
      </c>
      <c r="I3788" s="29" t="n">
        <v>0.5</v>
      </c>
      <c r="J3788" s="9" t="n">
        <v>1</v>
      </c>
      <c r="K3788" s="30"/>
      <c r="L3788" s="30"/>
      <c r="M3788" s="30"/>
      <c r="N3788" s="30"/>
      <c r="O3788" s="30"/>
      <c r="P3788" s="30"/>
      <c r="Q3788" s="30"/>
      <c r="R3788" s="30"/>
      <c r="S3788" s="30"/>
      <c r="T3788" s="30"/>
      <c r="U3788" s="21" t="str">
        <f aca="false">IF(COUNT(K3788:T3788)=0,"SOURCE EMPTY / INDUSTRIAL ONLY",IF(MIN(K3788:T3788)=1,"SERVICE READY","HOLD"))</f>
        <v>SOURCE EMPTY / INDUSTRIAL ONLY</v>
      </c>
      <c r="V3788" s="9" t="n">
        <f aca="false">IF(U3788="SERVICE READY",1,0)</f>
        <v>0</v>
      </c>
      <c r="W3788" s="6"/>
      <c r="X3788" s="6"/>
      <c r="Y3788" s="6"/>
      <c r="Z3788" s="6"/>
    </row>
    <row r="3789" customFormat="false" ht="15" hidden="false" customHeight="false" outlineLevel="0" collapsed="false">
      <c r="A3789" s="9" t="s">
        <v>4071</v>
      </c>
      <c r="B3789" s="9" t="s">
        <v>3939</v>
      </c>
      <c r="C3789" s="9" t="s">
        <v>3940</v>
      </c>
      <c r="D3789" s="9" t="s">
        <v>3722</v>
      </c>
      <c r="E3789" s="9" t="s">
        <v>1660</v>
      </c>
      <c r="F3789" s="9" t="s">
        <v>209</v>
      </c>
      <c r="G3789" s="9" t="s">
        <v>221</v>
      </c>
      <c r="H3789" s="9" t="n">
        <v>875</v>
      </c>
      <c r="I3789" s="29" t="n">
        <v>0.5</v>
      </c>
      <c r="J3789" s="9" t="n">
        <v>1</v>
      </c>
      <c r="K3789" s="30"/>
      <c r="L3789" s="30"/>
      <c r="M3789" s="30"/>
      <c r="N3789" s="30"/>
      <c r="O3789" s="30"/>
      <c r="P3789" s="30"/>
      <c r="Q3789" s="30"/>
      <c r="R3789" s="30"/>
      <c r="S3789" s="30"/>
      <c r="T3789" s="30"/>
      <c r="U3789" s="21" t="str">
        <f aca="false">IF(COUNT(K3789:T3789)=0,"SOURCE EMPTY / INDUSTRIAL ONLY",IF(MIN(K3789:T3789)=1,"SERVICE READY","HOLD"))</f>
        <v>SOURCE EMPTY / INDUSTRIAL ONLY</v>
      </c>
      <c r="V3789" s="9" t="n">
        <f aca="false">IF(U3789="SERVICE READY",1,0)</f>
        <v>0</v>
      </c>
      <c r="W3789" s="6"/>
      <c r="X3789" s="6"/>
      <c r="Y3789" s="6"/>
      <c r="Z3789" s="6"/>
    </row>
    <row r="3790" customFormat="false" ht="15" hidden="false" customHeight="false" outlineLevel="0" collapsed="false">
      <c r="A3790" s="9" t="s">
        <v>4072</v>
      </c>
      <c r="B3790" s="9" t="s">
        <v>3939</v>
      </c>
      <c r="C3790" s="9" t="s">
        <v>3940</v>
      </c>
      <c r="D3790" s="9" t="s">
        <v>3722</v>
      </c>
      <c r="E3790" s="9" t="s">
        <v>1660</v>
      </c>
      <c r="F3790" s="9" t="s">
        <v>211</v>
      </c>
      <c r="G3790" s="9" t="s">
        <v>221</v>
      </c>
      <c r="H3790" s="9" t="n">
        <v>875</v>
      </c>
      <c r="I3790" s="29" t="n">
        <v>0.5</v>
      </c>
      <c r="J3790" s="9" t="n">
        <v>1</v>
      </c>
      <c r="K3790" s="30"/>
      <c r="L3790" s="30"/>
      <c r="M3790" s="30"/>
      <c r="N3790" s="30"/>
      <c r="O3790" s="30"/>
      <c r="P3790" s="30"/>
      <c r="Q3790" s="30"/>
      <c r="R3790" s="30"/>
      <c r="S3790" s="30"/>
      <c r="T3790" s="30"/>
      <c r="U3790" s="21" t="str">
        <f aca="false">IF(COUNT(K3790:T3790)=0,"SOURCE EMPTY / INDUSTRIAL ONLY",IF(MIN(K3790:T3790)=1,"SERVICE READY","HOLD"))</f>
        <v>SOURCE EMPTY / INDUSTRIAL ONLY</v>
      </c>
      <c r="V3790" s="9" t="n">
        <f aca="false">IF(U3790="SERVICE READY",1,0)</f>
        <v>0</v>
      </c>
      <c r="W3790" s="6"/>
      <c r="X3790" s="6"/>
      <c r="Y3790" s="6"/>
      <c r="Z3790" s="6"/>
    </row>
    <row r="3791" customFormat="false" ht="15" hidden="false" customHeight="false" outlineLevel="0" collapsed="false">
      <c r="A3791" s="9" t="s">
        <v>4073</v>
      </c>
      <c r="B3791" s="9" t="s">
        <v>3939</v>
      </c>
      <c r="C3791" s="9" t="s">
        <v>3940</v>
      </c>
      <c r="D3791" s="9" t="s">
        <v>3722</v>
      </c>
      <c r="E3791" s="9" t="s">
        <v>1660</v>
      </c>
      <c r="F3791" s="9" t="s">
        <v>197</v>
      </c>
      <c r="G3791" s="9" t="s">
        <v>221</v>
      </c>
      <c r="H3791" s="9" t="n">
        <v>875</v>
      </c>
      <c r="I3791" s="29" t="n">
        <v>0.5</v>
      </c>
      <c r="J3791" s="9" t="n">
        <v>1</v>
      </c>
      <c r="K3791" s="30"/>
      <c r="L3791" s="30"/>
      <c r="M3791" s="30"/>
      <c r="N3791" s="30"/>
      <c r="O3791" s="30"/>
      <c r="P3791" s="30"/>
      <c r="Q3791" s="30"/>
      <c r="R3791" s="30"/>
      <c r="S3791" s="30"/>
      <c r="T3791" s="30"/>
      <c r="U3791" s="21" t="str">
        <f aca="false">IF(COUNT(K3791:T3791)=0,"SOURCE EMPTY / INDUSTRIAL ONLY",IF(MIN(K3791:T3791)=1,"SERVICE READY","HOLD"))</f>
        <v>SOURCE EMPTY / INDUSTRIAL ONLY</v>
      </c>
      <c r="V3791" s="9" t="n">
        <f aca="false">IF(U3791="SERVICE READY",1,0)</f>
        <v>0</v>
      </c>
      <c r="W3791" s="6"/>
      <c r="X3791" s="6"/>
      <c r="Y3791" s="6"/>
      <c r="Z3791" s="6"/>
    </row>
    <row r="3792" customFormat="false" ht="15" hidden="false" customHeight="false" outlineLevel="0" collapsed="false">
      <c r="A3792" s="9" t="s">
        <v>4074</v>
      </c>
      <c r="B3792" s="9" t="s">
        <v>3939</v>
      </c>
      <c r="C3792" s="9" t="s">
        <v>3940</v>
      </c>
      <c r="D3792" s="9" t="s">
        <v>3722</v>
      </c>
      <c r="E3792" s="9" t="s">
        <v>1660</v>
      </c>
      <c r="F3792" s="9" t="s">
        <v>200</v>
      </c>
      <c r="G3792" s="9" t="s">
        <v>221</v>
      </c>
      <c r="H3792" s="9" t="n">
        <v>875</v>
      </c>
      <c r="I3792" s="29" t="n">
        <v>0.5</v>
      </c>
      <c r="J3792" s="9" t="n">
        <v>1</v>
      </c>
      <c r="K3792" s="30"/>
      <c r="L3792" s="30"/>
      <c r="M3792" s="30"/>
      <c r="N3792" s="30"/>
      <c r="O3792" s="30"/>
      <c r="P3792" s="30"/>
      <c r="Q3792" s="30"/>
      <c r="R3792" s="30"/>
      <c r="S3792" s="30"/>
      <c r="T3792" s="30"/>
      <c r="U3792" s="21" t="str">
        <f aca="false">IF(COUNT(K3792:T3792)=0,"SOURCE EMPTY / INDUSTRIAL ONLY",IF(MIN(K3792:T3792)=1,"SERVICE READY","HOLD"))</f>
        <v>SOURCE EMPTY / INDUSTRIAL ONLY</v>
      </c>
      <c r="V3792" s="9" t="n">
        <f aca="false">IF(U3792="SERVICE READY",1,0)</f>
        <v>0</v>
      </c>
      <c r="W3792" s="6"/>
      <c r="X3792" s="6"/>
      <c r="Y3792" s="6"/>
      <c r="Z3792" s="6"/>
    </row>
    <row r="3793" customFormat="false" ht="15" hidden="false" customHeight="false" outlineLevel="0" collapsed="false">
      <c r="A3793" s="9" t="s">
        <v>4075</v>
      </c>
      <c r="B3793" s="9" t="s">
        <v>3939</v>
      </c>
      <c r="C3793" s="9" t="s">
        <v>3940</v>
      </c>
      <c r="D3793" s="9" t="s">
        <v>3722</v>
      </c>
      <c r="E3793" s="9" t="s">
        <v>1660</v>
      </c>
      <c r="F3793" s="9" t="s">
        <v>203</v>
      </c>
      <c r="G3793" s="9" t="s">
        <v>221</v>
      </c>
      <c r="H3793" s="9" t="n">
        <v>875</v>
      </c>
      <c r="I3793" s="29" t="n">
        <v>0.5</v>
      </c>
      <c r="J3793" s="9" t="n">
        <v>1</v>
      </c>
      <c r="K3793" s="30"/>
      <c r="L3793" s="30"/>
      <c r="M3793" s="30"/>
      <c r="N3793" s="30"/>
      <c r="O3793" s="30"/>
      <c r="P3793" s="30"/>
      <c r="Q3793" s="30"/>
      <c r="R3793" s="30"/>
      <c r="S3793" s="30"/>
      <c r="T3793" s="30"/>
      <c r="U3793" s="21" t="str">
        <f aca="false">IF(COUNT(K3793:T3793)=0,"SOURCE EMPTY / INDUSTRIAL ONLY",IF(MIN(K3793:T3793)=1,"SERVICE READY","HOLD"))</f>
        <v>SOURCE EMPTY / INDUSTRIAL ONLY</v>
      </c>
      <c r="V3793" s="9" t="n">
        <f aca="false">IF(U3793="SERVICE READY",1,0)</f>
        <v>0</v>
      </c>
      <c r="W3793" s="6"/>
      <c r="X3793" s="6"/>
      <c r="Y3793" s="6"/>
      <c r="Z3793" s="6"/>
    </row>
    <row r="3794" customFormat="false" ht="15" hidden="false" customHeight="false" outlineLevel="0" collapsed="false">
      <c r="A3794" s="9" t="s">
        <v>4076</v>
      </c>
      <c r="B3794" s="9" t="s">
        <v>3939</v>
      </c>
      <c r="C3794" s="9" t="s">
        <v>3940</v>
      </c>
      <c r="D3794" s="9" t="s">
        <v>3722</v>
      </c>
      <c r="E3794" s="9" t="s">
        <v>1660</v>
      </c>
      <c r="F3794" s="9" t="s">
        <v>205</v>
      </c>
      <c r="G3794" s="9" t="s">
        <v>221</v>
      </c>
      <c r="H3794" s="9" t="n">
        <v>875</v>
      </c>
      <c r="I3794" s="29" t="n">
        <v>0.5</v>
      </c>
      <c r="J3794" s="9" t="n">
        <v>1</v>
      </c>
      <c r="K3794" s="30"/>
      <c r="L3794" s="30"/>
      <c r="M3794" s="30"/>
      <c r="N3794" s="30"/>
      <c r="O3794" s="30"/>
      <c r="P3794" s="30"/>
      <c r="Q3794" s="30"/>
      <c r="R3794" s="30"/>
      <c r="S3794" s="30"/>
      <c r="T3794" s="30"/>
      <c r="U3794" s="21" t="str">
        <f aca="false">IF(COUNT(K3794:T3794)=0,"SOURCE EMPTY / INDUSTRIAL ONLY",IF(MIN(K3794:T3794)=1,"SERVICE READY","HOLD"))</f>
        <v>SOURCE EMPTY / INDUSTRIAL ONLY</v>
      </c>
      <c r="V3794" s="9" t="n">
        <f aca="false">IF(U3794="SERVICE READY",1,0)</f>
        <v>0</v>
      </c>
      <c r="W3794" s="6"/>
      <c r="X3794" s="6"/>
      <c r="Y3794" s="6"/>
      <c r="Z3794" s="6"/>
    </row>
    <row r="3795" customFormat="false" ht="15" hidden="false" customHeight="false" outlineLevel="0" collapsed="false">
      <c r="A3795" s="9" t="s">
        <v>4077</v>
      </c>
      <c r="B3795" s="9" t="s">
        <v>3939</v>
      </c>
      <c r="C3795" s="9" t="s">
        <v>3940</v>
      </c>
      <c r="D3795" s="9" t="s">
        <v>3722</v>
      </c>
      <c r="E3795" s="9" t="s">
        <v>1660</v>
      </c>
      <c r="F3795" s="9" t="s">
        <v>207</v>
      </c>
      <c r="G3795" s="9" t="s">
        <v>221</v>
      </c>
      <c r="H3795" s="9" t="n">
        <v>875</v>
      </c>
      <c r="I3795" s="29" t="n">
        <v>0.5</v>
      </c>
      <c r="J3795" s="9" t="n">
        <v>1</v>
      </c>
      <c r="K3795" s="30"/>
      <c r="L3795" s="30"/>
      <c r="M3795" s="30"/>
      <c r="N3795" s="30"/>
      <c r="O3795" s="30"/>
      <c r="P3795" s="30"/>
      <c r="Q3795" s="30"/>
      <c r="R3795" s="30"/>
      <c r="S3795" s="30"/>
      <c r="T3795" s="30"/>
      <c r="U3795" s="21" t="str">
        <f aca="false">IF(COUNT(K3795:T3795)=0,"SOURCE EMPTY / INDUSTRIAL ONLY",IF(MIN(K3795:T3795)=1,"SERVICE READY","HOLD"))</f>
        <v>SOURCE EMPTY / INDUSTRIAL ONLY</v>
      </c>
      <c r="V3795" s="9" t="n">
        <f aca="false">IF(U3795="SERVICE READY",1,0)</f>
        <v>0</v>
      </c>
      <c r="W3795" s="6"/>
      <c r="X3795" s="6"/>
      <c r="Y3795" s="6"/>
      <c r="Z3795" s="6"/>
    </row>
    <row r="3796" customFormat="false" ht="15" hidden="false" customHeight="false" outlineLevel="0" collapsed="false">
      <c r="A3796" s="9" t="s">
        <v>4078</v>
      </c>
      <c r="B3796" s="9" t="s">
        <v>3939</v>
      </c>
      <c r="C3796" s="9" t="s">
        <v>3940</v>
      </c>
      <c r="D3796" s="9" t="s">
        <v>3722</v>
      </c>
      <c r="E3796" s="9" t="s">
        <v>1660</v>
      </c>
      <c r="F3796" s="9" t="s">
        <v>209</v>
      </c>
      <c r="G3796" s="9" t="s">
        <v>221</v>
      </c>
      <c r="H3796" s="9" t="n">
        <v>875</v>
      </c>
      <c r="I3796" s="29" t="n">
        <v>0.5</v>
      </c>
      <c r="J3796" s="9" t="n">
        <v>1</v>
      </c>
      <c r="K3796" s="30"/>
      <c r="L3796" s="30"/>
      <c r="M3796" s="30"/>
      <c r="N3796" s="30"/>
      <c r="O3796" s="30"/>
      <c r="P3796" s="30"/>
      <c r="Q3796" s="30"/>
      <c r="R3796" s="30"/>
      <c r="S3796" s="30"/>
      <c r="T3796" s="30"/>
      <c r="U3796" s="21" t="str">
        <f aca="false">IF(COUNT(K3796:T3796)=0,"SOURCE EMPTY / INDUSTRIAL ONLY",IF(MIN(K3796:T3796)=1,"SERVICE READY","HOLD"))</f>
        <v>SOURCE EMPTY / INDUSTRIAL ONLY</v>
      </c>
      <c r="V3796" s="9" t="n">
        <f aca="false">IF(U3796="SERVICE READY",1,0)</f>
        <v>0</v>
      </c>
      <c r="W3796" s="6"/>
      <c r="X3796" s="6"/>
      <c r="Y3796" s="6"/>
      <c r="Z3796" s="6"/>
    </row>
    <row r="3797" customFormat="false" ht="15" hidden="false" customHeight="false" outlineLevel="0" collapsed="false">
      <c r="A3797" s="9" t="s">
        <v>4079</v>
      </c>
      <c r="B3797" s="9" t="s">
        <v>3939</v>
      </c>
      <c r="C3797" s="9" t="s">
        <v>3940</v>
      </c>
      <c r="D3797" s="9" t="s">
        <v>3722</v>
      </c>
      <c r="E3797" s="9" t="s">
        <v>1660</v>
      </c>
      <c r="F3797" s="9" t="s">
        <v>211</v>
      </c>
      <c r="G3797" s="9" t="s">
        <v>221</v>
      </c>
      <c r="H3797" s="9" t="n">
        <v>875</v>
      </c>
      <c r="I3797" s="29" t="n">
        <v>0.5</v>
      </c>
      <c r="J3797" s="9" t="n">
        <v>1</v>
      </c>
      <c r="K3797" s="30"/>
      <c r="L3797" s="30"/>
      <c r="M3797" s="30"/>
      <c r="N3797" s="30"/>
      <c r="O3797" s="30"/>
      <c r="P3797" s="30"/>
      <c r="Q3797" s="30"/>
      <c r="R3797" s="30"/>
      <c r="S3797" s="30"/>
      <c r="T3797" s="30"/>
      <c r="U3797" s="21" t="str">
        <f aca="false">IF(COUNT(K3797:T3797)=0,"SOURCE EMPTY / INDUSTRIAL ONLY",IF(MIN(K3797:T3797)=1,"SERVICE READY","HOLD"))</f>
        <v>SOURCE EMPTY / INDUSTRIAL ONLY</v>
      </c>
      <c r="V3797" s="9" t="n">
        <f aca="false">IF(U3797="SERVICE READY",1,0)</f>
        <v>0</v>
      </c>
      <c r="W3797" s="6"/>
      <c r="X3797" s="6"/>
      <c r="Y3797" s="6"/>
      <c r="Z3797" s="6"/>
    </row>
    <row r="3798" customFormat="false" ht="15" hidden="false" customHeight="false" outlineLevel="0" collapsed="false">
      <c r="A3798" s="9" t="s">
        <v>4080</v>
      </c>
      <c r="B3798" s="9" t="s">
        <v>3939</v>
      </c>
      <c r="C3798" s="9" t="s">
        <v>3940</v>
      </c>
      <c r="D3798" s="9" t="s">
        <v>3722</v>
      </c>
      <c r="E3798" s="9" t="s">
        <v>1660</v>
      </c>
      <c r="F3798" s="9" t="s">
        <v>197</v>
      </c>
      <c r="G3798" s="9" t="s">
        <v>221</v>
      </c>
      <c r="H3798" s="9" t="n">
        <v>875</v>
      </c>
      <c r="I3798" s="29" t="n">
        <v>0.5</v>
      </c>
      <c r="J3798" s="9" t="n">
        <v>1</v>
      </c>
      <c r="K3798" s="30"/>
      <c r="L3798" s="30"/>
      <c r="M3798" s="30"/>
      <c r="N3798" s="30"/>
      <c r="O3798" s="30"/>
      <c r="P3798" s="30"/>
      <c r="Q3798" s="30"/>
      <c r="R3798" s="30"/>
      <c r="S3798" s="30"/>
      <c r="T3798" s="30"/>
      <c r="U3798" s="21" t="str">
        <f aca="false">IF(COUNT(K3798:T3798)=0,"SOURCE EMPTY / INDUSTRIAL ONLY",IF(MIN(K3798:T3798)=1,"SERVICE READY","HOLD"))</f>
        <v>SOURCE EMPTY / INDUSTRIAL ONLY</v>
      </c>
      <c r="V3798" s="9" t="n">
        <f aca="false">IF(U3798="SERVICE READY",1,0)</f>
        <v>0</v>
      </c>
      <c r="W3798" s="6"/>
      <c r="X3798" s="6"/>
      <c r="Y3798" s="6"/>
      <c r="Z3798" s="6"/>
    </row>
    <row r="3799" customFormat="false" ht="15" hidden="false" customHeight="false" outlineLevel="0" collapsed="false">
      <c r="A3799" s="9" t="s">
        <v>4081</v>
      </c>
      <c r="B3799" s="9" t="s">
        <v>3939</v>
      </c>
      <c r="C3799" s="9" t="s">
        <v>3940</v>
      </c>
      <c r="D3799" s="9" t="s">
        <v>3722</v>
      </c>
      <c r="E3799" s="9" t="s">
        <v>1660</v>
      </c>
      <c r="F3799" s="9" t="s">
        <v>200</v>
      </c>
      <c r="G3799" s="9" t="s">
        <v>221</v>
      </c>
      <c r="H3799" s="9" t="n">
        <v>875</v>
      </c>
      <c r="I3799" s="29" t="n">
        <v>0.5</v>
      </c>
      <c r="J3799" s="9" t="n">
        <v>1</v>
      </c>
      <c r="K3799" s="30"/>
      <c r="L3799" s="30"/>
      <c r="M3799" s="30"/>
      <c r="N3799" s="30"/>
      <c r="O3799" s="30"/>
      <c r="P3799" s="30"/>
      <c r="Q3799" s="30"/>
      <c r="R3799" s="30"/>
      <c r="S3799" s="30"/>
      <c r="T3799" s="30"/>
      <c r="U3799" s="21" t="str">
        <f aca="false">IF(COUNT(K3799:T3799)=0,"SOURCE EMPTY / INDUSTRIAL ONLY",IF(MIN(K3799:T3799)=1,"SERVICE READY","HOLD"))</f>
        <v>SOURCE EMPTY / INDUSTRIAL ONLY</v>
      </c>
      <c r="V3799" s="9" t="n">
        <f aca="false">IF(U3799="SERVICE READY",1,0)</f>
        <v>0</v>
      </c>
      <c r="W3799" s="6"/>
      <c r="X3799" s="6"/>
      <c r="Y3799" s="6"/>
      <c r="Z3799" s="6"/>
    </row>
    <row r="3800" customFormat="false" ht="15" hidden="false" customHeight="false" outlineLevel="0" collapsed="false">
      <c r="A3800" s="9" t="s">
        <v>4082</v>
      </c>
      <c r="B3800" s="9" t="s">
        <v>3939</v>
      </c>
      <c r="C3800" s="9" t="s">
        <v>3940</v>
      </c>
      <c r="D3800" s="9" t="s">
        <v>3722</v>
      </c>
      <c r="E3800" s="9" t="s">
        <v>1660</v>
      </c>
      <c r="F3800" s="9" t="s">
        <v>203</v>
      </c>
      <c r="G3800" s="9" t="s">
        <v>221</v>
      </c>
      <c r="H3800" s="9" t="n">
        <v>875</v>
      </c>
      <c r="I3800" s="29" t="n">
        <v>0.5</v>
      </c>
      <c r="J3800" s="9" t="n">
        <v>1</v>
      </c>
      <c r="K3800" s="30"/>
      <c r="L3800" s="30"/>
      <c r="M3800" s="30"/>
      <c r="N3800" s="30"/>
      <c r="O3800" s="30"/>
      <c r="P3800" s="30"/>
      <c r="Q3800" s="30"/>
      <c r="R3800" s="30"/>
      <c r="S3800" s="30"/>
      <c r="T3800" s="30"/>
      <c r="U3800" s="21" t="str">
        <f aca="false">IF(COUNT(K3800:T3800)=0,"SOURCE EMPTY / INDUSTRIAL ONLY",IF(MIN(K3800:T3800)=1,"SERVICE READY","HOLD"))</f>
        <v>SOURCE EMPTY / INDUSTRIAL ONLY</v>
      </c>
      <c r="V3800" s="9" t="n">
        <f aca="false">IF(U3800="SERVICE READY",1,0)</f>
        <v>0</v>
      </c>
      <c r="W3800" s="6"/>
      <c r="X3800" s="6"/>
      <c r="Y3800" s="6"/>
      <c r="Z3800" s="6"/>
    </row>
    <row r="3801" customFormat="false" ht="15" hidden="false" customHeight="false" outlineLevel="0" collapsed="false">
      <c r="A3801" s="9" t="s">
        <v>4083</v>
      </c>
      <c r="B3801" s="9" t="s">
        <v>3939</v>
      </c>
      <c r="C3801" s="9" t="s">
        <v>3940</v>
      </c>
      <c r="D3801" s="9" t="s">
        <v>3722</v>
      </c>
      <c r="E3801" s="9" t="s">
        <v>1660</v>
      </c>
      <c r="F3801" s="9" t="s">
        <v>205</v>
      </c>
      <c r="G3801" s="9" t="s">
        <v>221</v>
      </c>
      <c r="H3801" s="9" t="n">
        <v>875</v>
      </c>
      <c r="I3801" s="29" t="n">
        <v>0.5</v>
      </c>
      <c r="J3801" s="9" t="n">
        <v>1</v>
      </c>
      <c r="K3801" s="30"/>
      <c r="L3801" s="30"/>
      <c r="M3801" s="30"/>
      <c r="N3801" s="30"/>
      <c r="O3801" s="30"/>
      <c r="P3801" s="30"/>
      <c r="Q3801" s="30"/>
      <c r="R3801" s="30"/>
      <c r="S3801" s="30"/>
      <c r="T3801" s="30"/>
      <c r="U3801" s="21" t="str">
        <f aca="false">IF(COUNT(K3801:T3801)=0,"SOURCE EMPTY / INDUSTRIAL ONLY",IF(MIN(K3801:T3801)=1,"SERVICE READY","HOLD"))</f>
        <v>SOURCE EMPTY / INDUSTRIAL ONLY</v>
      </c>
      <c r="V3801" s="9" t="n">
        <f aca="false">IF(U3801="SERVICE READY",1,0)</f>
        <v>0</v>
      </c>
      <c r="W3801" s="6"/>
      <c r="X3801" s="6"/>
      <c r="Y3801" s="6"/>
      <c r="Z3801" s="6"/>
    </row>
    <row r="3802" customFormat="false" ht="15" hidden="false" customHeight="false" outlineLevel="0" collapsed="false">
      <c r="A3802" s="9" t="s">
        <v>4084</v>
      </c>
      <c r="B3802" s="9" t="s">
        <v>3939</v>
      </c>
      <c r="C3802" s="9" t="s">
        <v>3940</v>
      </c>
      <c r="D3802" s="9" t="s">
        <v>3722</v>
      </c>
      <c r="E3802" s="9" t="s">
        <v>1660</v>
      </c>
      <c r="F3802" s="9" t="s">
        <v>207</v>
      </c>
      <c r="G3802" s="9" t="s">
        <v>221</v>
      </c>
      <c r="H3802" s="9" t="n">
        <v>875</v>
      </c>
      <c r="I3802" s="29" t="n">
        <v>0.5</v>
      </c>
      <c r="J3802" s="9" t="n">
        <v>1</v>
      </c>
      <c r="K3802" s="30"/>
      <c r="L3802" s="30"/>
      <c r="M3802" s="30"/>
      <c r="N3802" s="30"/>
      <c r="O3802" s="30"/>
      <c r="P3802" s="30"/>
      <c r="Q3802" s="30"/>
      <c r="R3802" s="30"/>
      <c r="S3802" s="30"/>
      <c r="T3802" s="30"/>
      <c r="U3802" s="21" t="str">
        <f aca="false">IF(COUNT(K3802:T3802)=0,"SOURCE EMPTY / INDUSTRIAL ONLY",IF(MIN(K3802:T3802)=1,"SERVICE READY","HOLD"))</f>
        <v>SOURCE EMPTY / INDUSTRIAL ONLY</v>
      </c>
      <c r="V3802" s="9" t="n">
        <f aca="false">IF(U3802="SERVICE READY",1,0)</f>
        <v>0</v>
      </c>
      <c r="W3802" s="6"/>
      <c r="X3802" s="6"/>
      <c r="Y3802" s="6"/>
      <c r="Z3802" s="6"/>
    </row>
    <row r="3803" customFormat="false" ht="15" hidden="false" customHeight="false" outlineLevel="0" collapsed="false">
      <c r="A3803" s="9" t="s">
        <v>4085</v>
      </c>
      <c r="B3803" s="9" t="s">
        <v>3939</v>
      </c>
      <c r="C3803" s="9" t="s">
        <v>3940</v>
      </c>
      <c r="D3803" s="9" t="s">
        <v>3722</v>
      </c>
      <c r="E3803" s="9" t="s">
        <v>1660</v>
      </c>
      <c r="F3803" s="9" t="s">
        <v>209</v>
      </c>
      <c r="G3803" s="9" t="s">
        <v>221</v>
      </c>
      <c r="H3803" s="9" t="n">
        <v>875</v>
      </c>
      <c r="I3803" s="29" t="n">
        <v>0.5</v>
      </c>
      <c r="J3803" s="9" t="n">
        <v>1</v>
      </c>
      <c r="K3803" s="30"/>
      <c r="L3803" s="30"/>
      <c r="M3803" s="30"/>
      <c r="N3803" s="30"/>
      <c r="O3803" s="30"/>
      <c r="P3803" s="30"/>
      <c r="Q3803" s="30"/>
      <c r="R3803" s="30"/>
      <c r="S3803" s="30"/>
      <c r="T3803" s="30"/>
      <c r="U3803" s="21" t="str">
        <f aca="false">IF(COUNT(K3803:T3803)=0,"SOURCE EMPTY / INDUSTRIAL ONLY",IF(MIN(K3803:T3803)=1,"SERVICE READY","HOLD"))</f>
        <v>SOURCE EMPTY / INDUSTRIAL ONLY</v>
      </c>
      <c r="V3803" s="9" t="n">
        <f aca="false">IF(U3803="SERVICE READY",1,0)</f>
        <v>0</v>
      </c>
      <c r="W3803" s="6"/>
      <c r="X3803" s="6"/>
      <c r="Y3803" s="6"/>
      <c r="Z3803" s="6"/>
    </row>
    <row r="3804" customFormat="false" ht="15" hidden="false" customHeight="false" outlineLevel="0" collapsed="false">
      <c r="A3804" s="9" t="s">
        <v>4086</v>
      </c>
      <c r="B3804" s="9" t="s">
        <v>3939</v>
      </c>
      <c r="C3804" s="9" t="s">
        <v>3940</v>
      </c>
      <c r="D3804" s="9" t="s">
        <v>3722</v>
      </c>
      <c r="E3804" s="9" t="s">
        <v>1660</v>
      </c>
      <c r="F3804" s="9" t="s">
        <v>211</v>
      </c>
      <c r="G3804" s="9" t="s">
        <v>221</v>
      </c>
      <c r="H3804" s="9" t="n">
        <v>875</v>
      </c>
      <c r="I3804" s="29" t="n">
        <v>0.5</v>
      </c>
      <c r="J3804" s="9" t="n">
        <v>1</v>
      </c>
      <c r="K3804" s="30"/>
      <c r="L3804" s="30"/>
      <c r="M3804" s="30"/>
      <c r="N3804" s="30"/>
      <c r="O3804" s="30"/>
      <c r="P3804" s="30"/>
      <c r="Q3804" s="30"/>
      <c r="R3804" s="30"/>
      <c r="S3804" s="30"/>
      <c r="T3804" s="30"/>
      <c r="U3804" s="21" t="str">
        <f aca="false">IF(COUNT(K3804:T3804)=0,"SOURCE EMPTY / INDUSTRIAL ONLY",IF(MIN(K3804:T3804)=1,"SERVICE READY","HOLD"))</f>
        <v>SOURCE EMPTY / INDUSTRIAL ONLY</v>
      </c>
      <c r="V3804" s="9" t="n">
        <f aca="false">IF(U3804="SERVICE READY",1,0)</f>
        <v>0</v>
      </c>
      <c r="W3804" s="6"/>
      <c r="X3804" s="6"/>
      <c r="Y3804" s="6"/>
      <c r="Z3804" s="6"/>
    </row>
    <row r="3805" customFormat="false" ht="15" hidden="false" customHeight="false" outlineLevel="0" collapsed="false">
      <c r="A3805" s="9" t="s">
        <v>4087</v>
      </c>
      <c r="B3805" s="9" t="s">
        <v>3939</v>
      </c>
      <c r="C3805" s="9" t="s">
        <v>3940</v>
      </c>
      <c r="D3805" s="9" t="s">
        <v>3722</v>
      </c>
      <c r="E3805" s="9" t="s">
        <v>1660</v>
      </c>
      <c r="F3805" s="9" t="s">
        <v>197</v>
      </c>
      <c r="G3805" s="9" t="s">
        <v>221</v>
      </c>
      <c r="H3805" s="9" t="n">
        <v>875</v>
      </c>
      <c r="I3805" s="29" t="n">
        <v>0.5</v>
      </c>
      <c r="J3805" s="9" t="n">
        <v>1</v>
      </c>
      <c r="K3805" s="30"/>
      <c r="L3805" s="30"/>
      <c r="M3805" s="30"/>
      <c r="N3805" s="30"/>
      <c r="O3805" s="30"/>
      <c r="P3805" s="30"/>
      <c r="Q3805" s="30"/>
      <c r="R3805" s="30"/>
      <c r="S3805" s="30"/>
      <c r="T3805" s="30"/>
      <c r="U3805" s="21" t="str">
        <f aca="false">IF(COUNT(K3805:T3805)=0,"SOURCE EMPTY / INDUSTRIAL ONLY",IF(MIN(K3805:T3805)=1,"SERVICE READY","HOLD"))</f>
        <v>SOURCE EMPTY / INDUSTRIAL ONLY</v>
      </c>
      <c r="V3805" s="9" t="n">
        <f aca="false">IF(U3805="SERVICE READY",1,0)</f>
        <v>0</v>
      </c>
      <c r="W3805" s="6"/>
      <c r="X3805" s="6"/>
      <c r="Y3805" s="6"/>
      <c r="Z3805" s="6"/>
    </row>
    <row r="3806" customFormat="false" ht="15" hidden="false" customHeight="false" outlineLevel="0" collapsed="false">
      <c r="A3806" s="9" t="s">
        <v>4088</v>
      </c>
      <c r="B3806" s="9" t="s">
        <v>3939</v>
      </c>
      <c r="C3806" s="9" t="s">
        <v>3940</v>
      </c>
      <c r="D3806" s="9" t="s">
        <v>3722</v>
      </c>
      <c r="E3806" s="9" t="s">
        <v>1660</v>
      </c>
      <c r="F3806" s="9" t="s">
        <v>200</v>
      </c>
      <c r="G3806" s="9" t="s">
        <v>221</v>
      </c>
      <c r="H3806" s="9" t="n">
        <v>875</v>
      </c>
      <c r="I3806" s="29" t="n">
        <v>0.5</v>
      </c>
      <c r="J3806" s="9" t="n">
        <v>1</v>
      </c>
      <c r="K3806" s="30"/>
      <c r="L3806" s="30"/>
      <c r="M3806" s="30"/>
      <c r="N3806" s="30"/>
      <c r="O3806" s="30"/>
      <c r="P3806" s="30"/>
      <c r="Q3806" s="30"/>
      <c r="R3806" s="30"/>
      <c r="S3806" s="30"/>
      <c r="T3806" s="30"/>
      <c r="U3806" s="21" t="str">
        <f aca="false">IF(COUNT(K3806:T3806)=0,"SOURCE EMPTY / INDUSTRIAL ONLY",IF(MIN(K3806:T3806)=1,"SERVICE READY","HOLD"))</f>
        <v>SOURCE EMPTY / INDUSTRIAL ONLY</v>
      </c>
      <c r="V3806" s="9" t="n">
        <f aca="false">IF(U3806="SERVICE READY",1,0)</f>
        <v>0</v>
      </c>
      <c r="W3806" s="6"/>
      <c r="X3806" s="6"/>
      <c r="Y3806" s="6"/>
      <c r="Z3806" s="6"/>
    </row>
    <row r="3807" customFormat="false" ht="15" hidden="false" customHeight="false" outlineLevel="0" collapsed="false">
      <c r="A3807" s="9" t="s">
        <v>4089</v>
      </c>
      <c r="B3807" s="9" t="s">
        <v>3939</v>
      </c>
      <c r="C3807" s="9" t="s">
        <v>3940</v>
      </c>
      <c r="D3807" s="9" t="s">
        <v>3722</v>
      </c>
      <c r="E3807" s="9" t="s">
        <v>1660</v>
      </c>
      <c r="F3807" s="9" t="s">
        <v>203</v>
      </c>
      <c r="G3807" s="9" t="s">
        <v>221</v>
      </c>
      <c r="H3807" s="9" t="n">
        <v>875</v>
      </c>
      <c r="I3807" s="29" t="n">
        <v>0.5</v>
      </c>
      <c r="J3807" s="9" t="n">
        <v>1</v>
      </c>
      <c r="K3807" s="30"/>
      <c r="L3807" s="30"/>
      <c r="M3807" s="30"/>
      <c r="N3807" s="30"/>
      <c r="O3807" s="30"/>
      <c r="P3807" s="30"/>
      <c r="Q3807" s="30"/>
      <c r="R3807" s="30"/>
      <c r="S3807" s="30"/>
      <c r="T3807" s="30"/>
      <c r="U3807" s="21" t="str">
        <f aca="false">IF(COUNT(K3807:T3807)=0,"SOURCE EMPTY / INDUSTRIAL ONLY",IF(MIN(K3807:T3807)=1,"SERVICE READY","HOLD"))</f>
        <v>SOURCE EMPTY / INDUSTRIAL ONLY</v>
      </c>
      <c r="V3807" s="9" t="n">
        <f aca="false">IF(U3807="SERVICE READY",1,0)</f>
        <v>0</v>
      </c>
      <c r="W3807" s="6"/>
      <c r="X3807" s="6"/>
      <c r="Y3807" s="6"/>
      <c r="Z3807" s="6"/>
    </row>
    <row r="3808" customFormat="false" ht="15" hidden="false" customHeight="false" outlineLevel="0" collapsed="false">
      <c r="A3808" s="9" t="s">
        <v>4090</v>
      </c>
      <c r="B3808" s="9" t="s">
        <v>3939</v>
      </c>
      <c r="C3808" s="9" t="s">
        <v>3940</v>
      </c>
      <c r="D3808" s="9" t="s">
        <v>3722</v>
      </c>
      <c r="E3808" s="9" t="s">
        <v>1660</v>
      </c>
      <c r="F3808" s="9" t="s">
        <v>205</v>
      </c>
      <c r="G3808" s="9" t="s">
        <v>221</v>
      </c>
      <c r="H3808" s="9" t="n">
        <v>875</v>
      </c>
      <c r="I3808" s="29" t="n">
        <v>0.5</v>
      </c>
      <c r="J3808" s="9" t="n">
        <v>1</v>
      </c>
      <c r="K3808" s="30"/>
      <c r="L3808" s="30"/>
      <c r="M3808" s="30"/>
      <c r="N3808" s="30"/>
      <c r="O3808" s="30"/>
      <c r="P3808" s="30"/>
      <c r="Q3808" s="30"/>
      <c r="R3808" s="30"/>
      <c r="S3808" s="30"/>
      <c r="T3808" s="30"/>
      <c r="U3808" s="21" t="str">
        <f aca="false">IF(COUNT(K3808:T3808)=0,"SOURCE EMPTY / INDUSTRIAL ONLY",IF(MIN(K3808:T3808)=1,"SERVICE READY","HOLD"))</f>
        <v>SOURCE EMPTY / INDUSTRIAL ONLY</v>
      </c>
      <c r="V3808" s="9" t="n">
        <f aca="false">IF(U3808="SERVICE READY",1,0)</f>
        <v>0</v>
      </c>
      <c r="W3808" s="6"/>
      <c r="X3808" s="6"/>
      <c r="Y3808" s="6"/>
      <c r="Z3808" s="6"/>
    </row>
    <row r="3809" customFormat="false" ht="15" hidden="false" customHeight="false" outlineLevel="0" collapsed="false">
      <c r="A3809" s="9" t="s">
        <v>4091</v>
      </c>
      <c r="B3809" s="9" t="s">
        <v>3939</v>
      </c>
      <c r="C3809" s="9" t="s">
        <v>3940</v>
      </c>
      <c r="D3809" s="9" t="s">
        <v>3722</v>
      </c>
      <c r="E3809" s="9" t="s">
        <v>1660</v>
      </c>
      <c r="F3809" s="9" t="s">
        <v>207</v>
      </c>
      <c r="G3809" s="9" t="s">
        <v>221</v>
      </c>
      <c r="H3809" s="9" t="n">
        <v>875</v>
      </c>
      <c r="I3809" s="29" t="n">
        <v>0.5</v>
      </c>
      <c r="J3809" s="9" t="n">
        <v>1</v>
      </c>
      <c r="K3809" s="30"/>
      <c r="L3809" s="30"/>
      <c r="M3809" s="30"/>
      <c r="N3809" s="30"/>
      <c r="O3809" s="30"/>
      <c r="P3809" s="30"/>
      <c r="Q3809" s="30"/>
      <c r="R3809" s="30"/>
      <c r="S3809" s="30"/>
      <c r="T3809" s="30"/>
      <c r="U3809" s="21" t="str">
        <f aca="false">IF(COUNT(K3809:T3809)=0,"SOURCE EMPTY / INDUSTRIAL ONLY",IF(MIN(K3809:T3809)=1,"SERVICE READY","HOLD"))</f>
        <v>SOURCE EMPTY / INDUSTRIAL ONLY</v>
      </c>
      <c r="V3809" s="9" t="n">
        <f aca="false">IF(U3809="SERVICE READY",1,0)</f>
        <v>0</v>
      </c>
      <c r="W3809" s="6"/>
      <c r="X3809" s="6"/>
      <c r="Y3809" s="6"/>
      <c r="Z3809" s="6"/>
    </row>
    <row r="3810" customFormat="false" ht="15" hidden="false" customHeight="false" outlineLevel="0" collapsed="false">
      <c r="A3810" s="9" t="s">
        <v>4092</v>
      </c>
      <c r="B3810" s="9" t="s">
        <v>3939</v>
      </c>
      <c r="C3810" s="9" t="s">
        <v>3940</v>
      </c>
      <c r="D3810" s="9" t="s">
        <v>3722</v>
      </c>
      <c r="E3810" s="9" t="s">
        <v>1660</v>
      </c>
      <c r="F3810" s="9" t="s">
        <v>209</v>
      </c>
      <c r="G3810" s="9" t="s">
        <v>221</v>
      </c>
      <c r="H3810" s="9" t="n">
        <v>875</v>
      </c>
      <c r="I3810" s="29" t="n">
        <v>0.5</v>
      </c>
      <c r="J3810" s="9" t="n">
        <v>1</v>
      </c>
      <c r="K3810" s="30"/>
      <c r="L3810" s="30"/>
      <c r="M3810" s="30"/>
      <c r="N3810" s="30"/>
      <c r="O3810" s="30"/>
      <c r="P3810" s="30"/>
      <c r="Q3810" s="30"/>
      <c r="R3810" s="30"/>
      <c r="S3810" s="30"/>
      <c r="T3810" s="30"/>
      <c r="U3810" s="21" t="str">
        <f aca="false">IF(COUNT(K3810:T3810)=0,"SOURCE EMPTY / INDUSTRIAL ONLY",IF(MIN(K3810:T3810)=1,"SERVICE READY","HOLD"))</f>
        <v>SOURCE EMPTY / INDUSTRIAL ONLY</v>
      </c>
      <c r="V3810" s="9" t="n">
        <f aca="false">IF(U3810="SERVICE READY",1,0)</f>
        <v>0</v>
      </c>
      <c r="W3810" s="6"/>
      <c r="X3810" s="6"/>
      <c r="Y3810" s="6"/>
      <c r="Z3810" s="6"/>
    </row>
    <row r="3811" customFormat="false" ht="15" hidden="false" customHeight="false" outlineLevel="0" collapsed="false">
      <c r="A3811" s="9" t="s">
        <v>4093</v>
      </c>
      <c r="B3811" s="9" t="s">
        <v>3939</v>
      </c>
      <c r="C3811" s="9" t="s">
        <v>3940</v>
      </c>
      <c r="D3811" s="9" t="s">
        <v>3722</v>
      </c>
      <c r="E3811" s="9" t="s">
        <v>1660</v>
      </c>
      <c r="F3811" s="9" t="s">
        <v>211</v>
      </c>
      <c r="G3811" s="9" t="s">
        <v>221</v>
      </c>
      <c r="H3811" s="9" t="n">
        <v>875</v>
      </c>
      <c r="I3811" s="29" t="n">
        <v>0.5</v>
      </c>
      <c r="J3811" s="9" t="n">
        <v>1</v>
      </c>
      <c r="K3811" s="30"/>
      <c r="L3811" s="30"/>
      <c r="M3811" s="30"/>
      <c r="N3811" s="30"/>
      <c r="O3811" s="30"/>
      <c r="P3811" s="30"/>
      <c r="Q3811" s="30"/>
      <c r="R3811" s="30"/>
      <c r="S3811" s="30"/>
      <c r="T3811" s="30"/>
      <c r="U3811" s="21" t="str">
        <f aca="false">IF(COUNT(K3811:T3811)=0,"SOURCE EMPTY / INDUSTRIAL ONLY",IF(MIN(K3811:T3811)=1,"SERVICE READY","HOLD"))</f>
        <v>SOURCE EMPTY / INDUSTRIAL ONLY</v>
      </c>
      <c r="V3811" s="9" t="n">
        <f aca="false">IF(U3811="SERVICE READY",1,0)</f>
        <v>0</v>
      </c>
      <c r="W3811" s="6"/>
      <c r="X3811" s="6"/>
      <c r="Y3811" s="6"/>
      <c r="Z3811" s="6"/>
    </row>
    <row r="3812" customFormat="false" ht="15" hidden="false" customHeight="false" outlineLevel="0" collapsed="false">
      <c r="A3812" s="9" t="s">
        <v>4094</v>
      </c>
      <c r="B3812" s="9" t="s">
        <v>3939</v>
      </c>
      <c r="C3812" s="9" t="s">
        <v>3940</v>
      </c>
      <c r="D3812" s="9" t="s">
        <v>3722</v>
      </c>
      <c r="E3812" s="9" t="s">
        <v>1660</v>
      </c>
      <c r="F3812" s="9" t="s">
        <v>197</v>
      </c>
      <c r="G3812" s="9" t="s">
        <v>221</v>
      </c>
      <c r="H3812" s="9" t="n">
        <v>875</v>
      </c>
      <c r="I3812" s="29" t="n">
        <v>0.5</v>
      </c>
      <c r="J3812" s="9" t="n">
        <v>1</v>
      </c>
      <c r="K3812" s="30"/>
      <c r="L3812" s="30"/>
      <c r="M3812" s="30"/>
      <c r="N3812" s="30"/>
      <c r="O3812" s="30"/>
      <c r="P3812" s="30"/>
      <c r="Q3812" s="30"/>
      <c r="R3812" s="30"/>
      <c r="S3812" s="30"/>
      <c r="T3812" s="30"/>
      <c r="U3812" s="21" t="str">
        <f aca="false">IF(COUNT(K3812:T3812)=0,"SOURCE EMPTY / INDUSTRIAL ONLY",IF(MIN(K3812:T3812)=1,"SERVICE READY","HOLD"))</f>
        <v>SOURCE EMPTY / INDUSTRIAL ONLY</v>
      </c>
      <c r="V3812" s="9" t="n">
        <f aca="false">IF(U3812="SERVICE READY",1,0)</f>
        <v>0</v>
      </c>
      <c r="W3812" s="6"/>
      <c r="X3812" s="6"/>
      <c r="Y3812" s="6"/>
      <c r="Z3812" s="6"/>
    </row>
    <row r="3813" customFormat="false" ht="15" hidden="false" customHeight="false" outlineLevel="0" collapsed="false">
      <c r="A3813" s="9" t="s">
        <v>4095</v>
      </c>
      <c r="B3813" s="9" t="s">
        <v>3939</v>
      </c>
      <c r="C3813" s="9" t="s">
        <v>3940</v>
      </c>
      <c r="D3813" s="9" t="s">
        <v>3722</v>
      </c>
      <c r="E3813" s="9" t="s">
        <v>1660</v>
      </c>
      <c r="F3813" s="9" t="s">
        <v>200</v>
      </c>
      <c r="G3813" s="9" t="s">
        <v>221</v>
      </c>
      <c r="H3813" s="9" t="n">
        <v>875</v>
      </c>
      <c r="I3813" s="29" t="n">
        <v>0.5</v>
      </c>
      <c r="J3813" s="9" t="n">
        <v>1</v>
      </c>
      <c r="K3813" s="30"/>
      <c r="L3813" s="30"/>
      <c r="M3813" s="30"/>
      <c r="N3813" s="30"/>
      <c r="O3813" s="30"/>
      <c r="P3813" s="30"/>
      <c r="Q3813" s="30"/>
      <c r="R3813" s="30"/>
      <c r="S3813" s="30"/>
      <c r="T3813" s="30"/>
      <c r="U3813" s="21" t="str">
        <f aca="false">IF(COUNT(K3813:T3813)=0,"SOURCE EMPTY / INDUSTRIAL ONLY",IF(MIN(K3813:T3813)=1,"SERVICE READY","HOLD"))</f>
        <v>SOURCE EMPTY / INDUSTRIAL ONLY</v>
      </c>
      <c r="V3813" s="9" t="n">
        <f aca="false">IF(U3813="SERVICE READY",1,0)</f>
        <v>0</v>
      </c>
      <c r="W3813" s="6"/>
      <c r="X3813" s="6"/>
      <c r="Y3813" s="6"/>
      <c r="Z3813" s="6"/>
    </row>
    <row r="3814" customFormat="false" ht="15" hidden="false" customHeight="false" outlineLevel="0" collapsed="false">
      <c r="A3814" s="9" t="s">
        <v>4096</v>
      </c>
      <c r="B3814" s="9" t="s">
        <v>3939</v>
      </c>
      <c r="C3814" s="9" t="s">
        <v>3940</v>
      </c>
      <c r="D3814" s="9" t="s">
        <v>3722</v>
      </c>
      <c r="E3814" s="9" t="s">
        <v>1660</v>
      </c>
      <c r="F3814" s="9" t="s">
        <v>203</v>
      </c>
      <c r="G3814" s="9" t="s">
        <v>221</v>
      </c>
      <c r="H3814" s="9" t="n">
        <v>875</v>
      </c>
      <c r="I3814" s="29" t="n">
        <v>0.5</v>
      </c>
      <c r="J3814" s="9" t="n">
        <v>1</v>
      </c>
      <c r="K3814" s="30"/>
      <c r="L3814" s="30"/>
      <c r="M3814" s="30"/>
      <c r="N3814" s="30"/>
      <c r="O3814" s="30"/>
      <c r="P3814" s="30"/>
      <c r="Q3814" s="30"/>
      <c r="R3814" s="30"/>
      <c r="S3814" s="30"/>
      <c r="T3814" s="30"/>
      <c r="U3814" s="21" t="str">
        <f aca="false">IF(COUNT(K3814:T3814)=0,"SOURCE EMPTY / INDUSTRIAL ONLY",IF(MIN(K3814:T3814)=1,"SERVICE READY","HOLD"))</f>
        <v>SOURCE EMPTY / INDUSTRIAL ONLY</v>
      </c>
      <c r="V3814" s="9" t="n">
        <f aca="false">IF(U3814="SERVICE READY",1,0)</f>
        <v>0</v>
      </c>
      <c r="W3814" s="6"/>
      <c r="X3814" s="6"/>
      <c r="Y3814" s="6"/>
      <c r="Z3814" s="6"/>
    </row>
    <row r="3815" customFormat="false" ht="15" hidden="false" customHeight="false" outlineLevel="0" collapsed="false">
      <c r="A3815" s="9" t="s">
        <v>4097</v>
      </c>
      <c r="B3815" s="9" t="s">
        <v>3939</v>
      </c>
      <c r="C3815" s="9" t="s">
        <v>3940</v>
      </c>
      <c r="D3815" s="9" t="s">
        <v>3722</v>
      </c>
      <c r="E3815" s="9" t="s">
        <v>1660</v>
      </c>
      <c r="F3815" s="9" t="s">
        <v>205</v>
      </c>
      <c r="G3815" s="9" t="s">
        <v>221</v>
      </c>
      <c r="H3815" s="9" t="n">
        <v>875</v>
      </c>
      <c r="I3815" s="29" t="n">
        <v>0.5</v>
      </c>
      <c r="J3815" s="9" t="n">
        <v>1</v>
      </c>
      <c r="K3815" s="30"/>
      <c r="L3815" s="30"/>
      <c r="M3815" s="30"/>
      <c r="N3815" s="30"/>
      <c r="O3815" s="30"/>
      <c r="P3815" s="30"/>
      <c r="Q3815" s="30"/>
      <c r="R3815" s="30"/>
      <c r="S3815" s="30"/>
      <c r="T3815" s="30"/>
      <c r="U3815" s="21" t="str">
        <f aca="false">IF(COUNT(K3815:T3815)=0,"SOURCE EMPTY / INDUSTRIAL ONLY",IF(MIN(K3815:T3815)=1,"SERVICE READY","HOLD"))</f>
        <v>SOURCE EMPTY / INDUSTRIAL ONLY</v>
      </c>
      <c r="V3815" s="9" t="n">
        <f aca="false">IF(U3815="SERVICE READY",1,0)</f>
        <v>0</v>
      </c>
      <c r="W3815" s="6"/>
      <c r="X3815" s="6"/>
      <c r="Y3815" s="6"/>
      <c r="Z3815" s="6"/>
    </row>
    <row r="3816" customFormat="false" ht="15" hidden="false" customHeight="false" outlineLevel="0" collapsed="false">
      <c r="A3816" s="9" t="s">
        <v>4098</v>
      </c>
      <c r="B3816" s="9" t="s">
        <v>3939</v>
      </c>
      <c r="C3816" s="9" t="s">
        <v>3940</v>
      </c>
      <c r="D3816" s="9" t="s">
        <v>3722</v>
      </c>
      <c r="E3816" s="9" t="s">
        <v>1660</v>
      </c>
      <c r="F3816" s="9" t="s">
        <v>207</v>
      </c>
      <c r="G3816" s="9" t="s">
        <v>221</v>
      </c>
      <c r="H3816" s="9" t="n">
        <v>875</v>
      </c>
      <c r="I3816" s="29" t="n">
        <v>0.5</v>
      </c>
      <c r="J3816" s="9" t="n">
        <v>1</v>
      </c>
      <c r="K3816" s="30"/>
      <c r="L3816" s="30"/>
      <c r="M3816" s="30"/>
      <c r="N3816" s="30"/>
      <c r="O3816" s="30"/>
      <c r="P3816" s="30"/>
      <c r="Q3816" s="30"/>
      <c r="R3816" s="30"/>
      <c r="S3816" s="30"/>
      <c r="T3816" s="30"/>
      <c r="U3816" s="21" t="str">
        <f aca="false">IF(COUNT(K3816:T3816)=0,"SOURCE EMPTY / INDUSTRIAL ONLY",IF(MIN(K3816:T3816)=1,"SERVICE READY","HOLD"))</f>
        <v>SOURCE EMPTY / INDUSTRIAL ONLY</v>
      </c>
      <c r="V3816" s="9" t="n">
        <f aca="false">IF(U3816="SERVICE READY",1,0)</f>
        <v>0</v>
      </c>
      <c r="W3816" s="6"/>
      <c r="X3816" s="6"/>
      <c r="Y3816" s="6"/>
      <c r="Z3816" s="6"/>
    </row>
    <row r="3817" customFormat="false" ht="15" hidden="false" customHeight="false" outlineLevel="0" collapsed="false">
      <c r="A3817" s="9" t="s">
        <v>4099</v>
      </c>
      <c r="B3817" s="9" t="s">
        <v>3939</v>
      </c>
      <c r="C3817" s="9" t="s">
        <v>3940</v>
      </c>
      <c r="D3817" s="9" t="s">
        <v>3722</v>
      </c>
      <c r="E3817" s="9" t="s">
        <v>1660</v>
      </c>
      <c r="F3817" s="9" t="s">
        <v>209</v>
      </c>
      <c r="G3817" s="9" t="s">
        <v>221</v>
      </c>
      <c r="H3817" s="9" t="n">
        <v>875</v>
      </c>
      <c r="I3817" s="29" t="n">
        <v>0.5</v>
      </c>
      <c r="J3817" s="9" t="n">
        <v>1</v>
      </c>
      <c r="K3817" s="30"/>
      <c r="L3817" s="30"/>
      <c r="M3817" s="30"/>
      <c r="N3817" s="30"/>
      <c r="O3817" s="30"/>
      <c r="P3817" s="30"/>
      <c r="Q3817" s="30"/>
      <c r="R3817" s="30"/>
      <c r="S3817" s="30"/>
      <c r="T3817" s="30"/>
      <c r="U3817" s="21" t="str">
        <f aca="false">IF(COUNT(K3817:T3817)=0,"SOURCE EMPTY / INDUSTRIAL ONLY",IF(MIN(K3817:T3817)=1,"SERVICE READY","HOLD"))</f>
        <v>SOURCE EMPTY / INDUSTRIAL ONLY</v>
      </c>
      <c r="V3817" s="9" t="n">
        <f aca="false">IF(U3817="SERVICE READY",1,0)</f>
        <v>0</v>
      </c>
      <c r="W3817" s="6"/>
      <c r="X3817" s="6"/>
      <c r="Y3817" s="6"/>
      <c r="Z3817" s="6"/>
    </row>
    <row r="3818" customFormat="false" ht="15" hidden="false" customHeight="false" outlineLevel="0" collapsed="false">
      <c r="A3818" s="9" t="s">
        <v>4100</v>
      </c>
      <c r="B3818" s="9" t="s">
        <v>3939</v>
      </c>
      <c r="C3818" s="9" t="s">
        <v>3940</v>
      </c>
      <c r="D3818" s="9" t="s">
        <v>3722</v>
      </c>
      <c r="E3818" s="9" t="s">
        <v>1660</v>
      </c>
      <c r="F3818" s="9" t="s">
        <v>211</v>
      </c>
      <c r="G3818" s="9" t="s">
        <v>221</v>
      </c>
      <c r="H3818" s="9" t="n">
        <v>875</v>
      </c>
      <c r="I3818" s="29" t="n">
        <v>0.5</v>
      </c>
      <c r="J3818" s="9" t="n">
        <v>1</v>
      </c>
      <c r="K3818" s="30"/>
      <c r="L3818" s="30"/>
      <c r="M3818" s="30"/>
      <c r="N3818" s="30"/>
      <c r="O3818" s="30"/>
      <c r="P3818" s="30"/>
      <c r="Q3818" s="30"/>
      <c r="R3818" s="30"/>
      <c r="S3818" s="30"/>
      <c r="T3818" s="30"/>
      <c r="U3818" s="21" t="str">
        <f aca="false">IF(COUNT(K3818:T3818)=0,"SOURCE EMPTY / INDUSTRIAL ONLY",IF(MIN(K3818:T3818)=1,"SERVICE READY","HOLD"))</f>
        <v>SOURCE EMPTY / INDUSTRIAL ONLY</v>
      </c>
      <c r="V3818" s="9" t="n">
        <f aca="false">IF(U3818="SERVICE READY",1,0)</f>
        <v>0</v>
      </c>
      <c r="W3818" s="6"/>
      <c r="X3818" s="6"/>
      <c r="Y3818" s="6"/>
      <c r="Z3818" s="6"/>
    </row>
    <row r="3819" customFormat="false" ht="15" hidden="false" customHeight="false" outlineLevel="0" collapsed="false">
      <c r="A3819" s="9" t="s">
        <v>4101</v>
      </c>
      <c r="B3819" s="9" t="s">
        <v>3939</v>
      </c>
      <c r="C3819" s="9" t="s">
        <v>3940</v>
      </c>
      <c r="D3819" s="9" t="s">
        <v>3722</v>
      </c>
      <c r="E3819" s="9" t="s">
        <v>1660</v>
      </c>
      <c r="F3819" s="9" t="s">
        <v>197</v>
      </c>
      <c r="G3819" s="9" t="s">
        <v>221</v>
      </c>
      <c r="H3819" s="9" t="n">
        <v>875</v>
      </c>
      <c r="I3819" s="29" t="n">
        <v>0.5</v>
      </c>
      <c r="J3819" s="9" t="n">
        <v>1</v>
      </c>
      <c r="K3819" s="30"/>
      <c r="L3819" s="30"/>
      <c r="M3819" s="30"/>
      <c r="N3819" s="30"/>
      <c r="O3819" s="30"/>
      <c r="P3819" s="30"/>
      <c r="Q3819" s="30"/>
      <c r="R3819" s="30"/>
      <c r="S3819" s="30"/>
      <c r="T3819" s="30"/>
      <c r="U3819" s="21" t="str">
        <f aca="false">IF(COUNT(K3819:T3819)=0,"SOURCE EMPTY / INDUSTRIAL ONLY",IF(MIN(K3819:T3819)=1,"SERVICE READY","HOLD"))</f>
        <v>SOURCE EMPTY / INDUSTRIAL ONLY</v>
      </c>
      <c r="V3819" s="9" t="n">
        <f aca="false">IF(U3819="SERVICE READY",1,0)</f>
        <v>0</v>
      </c>
      <c r="W3819" s="6"/>
      <c r="X3819" s="6"/>
      <c r="Y3819" s="6"/>
      <c r="Z3819" s="6"/>
    </row>
    <row r="3820" customFormat="false" ht="15" hidden="false" customHeight="false" outlineLevel="0" collapsed="false">
      <c r="A3820" s="9" t="s">
        <v>4102</v>
      </c>
      <c r="B3820" s="9" t="s">
        <v>3939</v>
      </c>
      <c r="C3820" s="9" t="s">
        <v>3940</v>
      </c>
      <c r="D3820" s="9" t="s">
        <v>3722</v>
      </c>
      <c r="E3820" s="9" t="s">
        <v>1660</v>
      </c>
      <c r="F3820" s="9" t="s">
        <v>200</v>
      </c>
      <c r="G3820" s="9" t="s">
        <v>221</v>
      </c>
      <c r="H3820" s="9" t="n">
        <v>875</v>
      </c>
      <c r="I3820" s="29" t="n">
        <v>0.5</v>
      </c>
      <c r="J3820" s="9" t="n">
        <v>0</v>
      </c>
      <c r="K3820" s="30"/>
      <c r="L3820" s="30"/>
      <c r="M3820" s="30"/>
      <c r="N3820" s="30"/>
      <c r="O3820" s="30"/>
      <c r="P3820" s="30"/>
      <c r="Q3820" s="30"/>
      <c r="R3820" s="30"/>
      <c r="S3820" s="30"/>
      <c r="T3820" s="30"/>
      <c r="U3820" s="21" t="str">
        <f aca="false">IF(COUNT(K3820:T3820)=0,"SOURCE EMPTY / INDUSTRIAL ONLY",IF(MIN(K3820:T3820)=1,"SERVICE READY","HOLD"))</f>
        <v>SOURCE EMPTY / INDUSTRIAL ONLY</v>
      </c>
      <c r="V3820" s="9" t="n">
        <f aca="false">IF(U3820="SERVICE READY",1,0)</f>
        <v>0</v>
      </c>
      <c r="W3820" s="6"/>
      <c r="X3820" s="6"/>
      <c r="Y3820" s="6"/>
      <c r="Z3820" s="6"/>
    </row>
    <row r="3821" customFormat="false" ht="15" hidden="false" customHeight="false" outlineLevel="0" collapsed="false">
      <c r="A3821" s="9" t="s">
        <v>4103</v>
      </c>
      <c r="B3821" s="9" t="s">
        <v>3939</v>
      </c>
      <c r="C3821" s="9" t="s">
        <v>3940</v>
      </c>
      <c r="D3821" s="9" t="s">
        <v>3722</v>
      </c>
      <c r="E3821" s="9" t="s">
        <v>1660</v>
      </c>
      <c r="F3821" s="9" t="s">
        <v>203</v>
      </c>
      <c r="G3821" s="9" t="s">
        <v>221</v>
      </c>
      <c r="H3821" s="9" t="n">
        <v>875</v>
      </c>
      <c r="I3821" s="29" t="n">
        <v>0.5</v>
      </c>
      <c r="J3821" s="9" t="n">
        <v>0</v>
      </c>
      <c r="K3821" s="30"/>
      <c r="L3821" s="30"/>
      <c r="M3821" s="30"/>
      <c r="N3821" s="30"/>
      <c r="O3821" s="30"/>
      <c r="P3821" s="30"/>
      <c r="Q3821" s="30"/>
      <c r="R3821" s="30"/>
      <c r="S3821" s="30"/>
      <c r="T3821" s="30"/>
      <c r="U3821" s="21" t="str">
        <f aca="false">IF(COUNT(K3821:T3821)=0,"SOURCE EMPTY / INDUSTRIAL ONLY",IF(MIN(K3821:T3821)=1,"SERVICE READY","HOLD"))</f>
        <v>SOURCE EMPTY / INDUSTRIAL ONLY</v>
      </c>
      <c r="V3821" s="9" t="n">
        <f aca="false">IF(U3821="SERVICE READY",1,0)</f>
        <v>0</v>
      </c>
      <c r="W3821" s="6"/>
      <c r="X3821" s="6"/>
      <c r="Y3821" s="6"/>
      <c r="Z3821" s="6"/>
    </row>
    <row r="3822" customFormat="false" ht="15" hidden="false" customHeight="false" outlineLevel="0" collapsed="false">
      <c r="A3822" s="9" t="s">
        <v>4104</v>
      </c>
      <c r="B3822" s="9" t="s">
        <v>3939</v>
      </c>
      <c r="C3822" s="9" t="s">
        <v>3940</v>
      </c>
      <c r="D3822" s="9" t="s">
        <v>3722</v>
      </c>
      <c r="E3822" s="9" t="s">
        <v>1660</v>
      </c>
      <c r="F3822" s="9" t="s">
        <v>205</v>
      </c>
      <c r="G3822" s="9" t="s">
        <v>221</v>
      </c>
      <c r="H3822" s="9" t="n">
        <v>875</v>
      </c>
      <c r="I3822" s="29" t="n">
        <v>0.5</v>
      </c>
      <c r="J3822" s="9" t="n">
        <v>0</v>
      </c>
      <c r="K3822" s="30"/>
      <c r="L3822" s="30"/>
      <c r="M3822" s="30"/>
      <c r="N3822" s="30"/>
      <c r="O3822" s="30"/>
      <c r="P3822" s="30"/>
      <c r="Q3822" s="30"/>
      <c r="R3822" s="30"/>
      <c r="S3822" s="30"/>
      <c r="T3822" s="30"/>
      <c r="U3822" s="21" t="str">
        <f aca="false">IF(COUNT(K3822:T3822)=0,"SOURCE EMPTY / INDUSTRIAL ONLY",IF(MIN(K3822:T3822)=1,"SERVICE READY","HOLD"))</f>
        <v>SOURCE EMPTY / INDUSTRIAL ONLY</v>
      </c>
      <c r="V3822" s="9" t="n">
        <f aca="false">IF(U3822="SERVICE READY",1,0)</f>
        <v>0</v>
      </c>
      <c r="W3822" s="6"/>
      <c r="X3822" s="6"/>
      <c r="Y3822" s="6"/>
      <c r="Z3822" s="6"/>
    </row>
    <row r="3823" customFormat="false" ht="15" hidden="false" customHeight="false" outlineLevel="0" collapsed="false">
      <c r="A3823" s="9" t="s">
        <v>4105</v>
      </c>
      <c r="B3823" s="9" t="s">
        <v>3939</v>
      </c>
      <c r="C3823" s="9" t="s">
        <v>3940</v>
      </c>
      <c r="D3823" s="9" t="s">
        <v>3722</v>
      </c>
      <c r="E3823" s="9" t="s">
        <v>1660</v>
      </c>
      <c r="F3823" s="9" t="s">
        <v>207</v>
      </c>
      <c r="G3823" s="9" t="s">
        <v>221</v>
      </c>
      <c r="H3823" s="9" t="n">
        <v>875</v>
      </c>
      <c r="I3823" s="29" t="n">
        <v>0.5</v>
      </c>
      <c r="J3823" s="9" t="n">
        <v>0</v>
      </c>
      <c r="K3823" s="30"/>
      <c r="L3823" s="30"/>
      <c r="M3823" s="30"/>
      <c r="N3823" s="30"/>
      <c r="O3823" s="30"/>
      <c r="P3823" s="30"/>
      <c r="Q3823" s="30"/>
      <c r="R3823" s="30"/>
      <c r="S3823" s="30"/>
      <c r="T3823" s="30"/>
      <c r="U3823" s="21" t="str">
        <f aca="false">IF(COUNT(K3823:T3823)=0,"SOURCE EMPTY / INDUSTRIAL ONLY",IF(MIN(K3823:T3823)=1,"SERVICE READY","HOLD"))</f>
        <v>SOURCE EMPTY / INDUSTRIAL ONLY</v>
      </c>
      <c r="V3823" s="9" t="n">
        <f aca="false">IF(U3823="SERVICE READY",1,0)</f>
        <v>0</v>
      </c>
      <c r="W3823" s="6"/>
      <c r="X3823" s="6"/>
      <c r="Y3823" s="6"/>
      <c r="Z3823" s="6"/>
    </row>
    <row r="3824" customFormat="false" ht="15" hidden="false" customHeight="false" outlineLevel="0" collapsed="false">
      <c r="A3824" s="9" t="s">
        <v>4106</v>
      </c>
      <c r="B3824" s="9" t="s">
        <v>3939</v>
      </c>
      <c r="C3824" s="9" t="s">
        <v>3940</v>
      </c>
      <c r="D3824" s="9" t="s">
        <v>3722</v>
      </c>
      <c r="E3824" s="9" t="s">
        <v>1660</v>
      </c>
      <c r="F3824" s="9" t="s">
        <v>209</v>
      </c>
      <c r="G3824" s="9" t="s">
        <v>221</v>
      </c>
      <c r="H3824" s="9" t="n">
        <v>875</v>
      </c>
      <c r="I3824" s="29" t="n">
        <v>0.5</v>
      </c>
      <c r="J3824" s="9" t="n">
        <v>0</v>
      </c>
      <c r="K3824" s="30"/>
      <c r="L3824" s="30"/>
      <c r="M3824" s="30"/>
      <c r="N3824" s="30"/>
      <c r="O3824" s="30"/>
      <c r="P3824" s="30"/>
      <c r="Q3824" s="30"/>
      <c r="R3824" s="30"/>
      <c r="S3824" s="30"/>
      <c r="T3824" s="30"/>
      <c r="U3824" s="21" t="str">
        <f aca="false">IF(COUNT(K3824:T3824)=0,"SOURCE EMPTY / INDUSTRIAL ONLY",IF(MIN(K3824:T3824)=1,"SERVICE READY","HOLD"))</f>
        <v>SOURCE EMPTY / INDUSTRIAL ONLY</v>
      </c>
      <c r="V3824" s="9" t="n">
        <f aca="false">IF(U3824="SERVICE READY",1,0)</f>
        <v>0</v>
      </c>
      <c r="W3824" s="6"/>
      <c r="X3824" s="6"/>
      <c r="Y3824" s="6"/>
      <c r="Z3824" s="6"/>
    </row>
    <row r="3825" customFormat="false" ht="15" hidden="false" customHeight="false" outlineLevel="0" collapsed="false">
      <c r="A3825" s="9" t="s">
        <v>4107</v>
      </c>
      <c r="B3825" s="9" t="s">
        <v>3939</v>
      </c>
      <c r="C3825" s="9" t="s">
        <v>3940</v>
      </c>
      <c r="D3825" s="9" t="s">
        <v>3722</v>
      </c>
      <c r="E3825" s="9" t="s">
        <v>1660</v>
      </c>
      <c r="F3825" s="9" t="s">
        <v>211</v>
      </c>
      <c r="G3825" s="9" t="s">
        <v>221</v>
      </c>
      <c r="H3825" s="9" t="n">
        <v>875</v>
      </c>
      <c r="I3825" s="29" t="n">
        <v>0.5</v>
      </c>
      <c r="J3825" s="9" t="n">
        <v>0</v>
      </c>
      <c r="K3825" s="30"/>
      <c r="L3825" s="30"/>
      <c r="M3825" s="30"/>
      <c r="N3825" s="30"/>
      <c r="O3825" s="30"/>
      <c r="P3825" s="30"/>
      <c r="Q3825" s="30"/>
      <c r="R3825" s="30"/>
      <c r="S3825" s="30"/>
      <c r="T3825" s="30"/>
      <c r="U3825" s="21" t="str">
        <f aca="false">IF(COUNT(K3825:T3825)=0,"SOURCE EMPTY / INDUSTRIAL ONLY",IF(MIN(K3825:T3825)=1,"SERVICE READY","HOLD"))</f>
        <v>SOURCE EMPTY / INDUSTRIAL ONLY</v>
      </c>
      <c r="V3825" s="9" t="n">
        <f aca="false">IF(U3825="SERVICE READY",1,0)</f>
        <v>0</v>
      </c>
      <c r="W3825" s="6"/>
      <c r="X3825" s="6"/>
      <c r="Y3825" s="6"/>
      <c r="Z3825" s="6"/>
    </row>
    <row r="3826" customFormat="false" ht="15" hidden="false" customHeight="false" outlineLevel="0" collapsed="false">
      <c r="A3826" s="9" t="s">
        <v>4108</v>
      </c>
      <c r="B3826" s="9" t="s">
        <v>3939</v>
      </c>
      <c r="C3826" s="9" t="s">
        <v>3940</v>
      </c>
      <c r="D3826" s="9" t="s">
        <v>3722</v>
      </c>
      <c r="E3826" s="9" t="s">
        <v>1660</v>
      </c>
      <c r="F3826" s="9" t="s">
        <v>197</v>
      </c>
      <c r="G3826" s="9" t="s">
        <v>221</v>
      </c>
      <c r="H3826" s="9" t="n">
        <v>875</v>
      </c>
      <c r="I3826" s="29" t="n">
        <v>0.5</v>
      </c>
      <c r="J3826" s="9" t="n">
        <v>0</v>
      </c>
      <c r="K3826" s="30"/>
      <c r="L3826" s="30"/>
      <c r="M3826" s="30"/>
      <c r="N3826" s="30"/>
      <c r="O3826" s="30"/>
      <c r="P3826" s="30"/>
      <c r="Q3826" s="30"/>
      <c r="R3826" s="30"/>
      <c r="S3826" s="30"/>
      <c r="T3826" s="30"/>
      <c r="U3826" s="21" t="str">
        <f aca="false">IF(COUNT(K3826:T3826)=0,"SOURCE EMPTY / INDUSTRIAL ONLY",IF(MIN(K3826:T3826)=1,"SERVICE READY","HOLD"))</f>
        <v>SOURCE EMPTY / INDUSTRIAL ONLY</v>
      </c>
      <c r="V3826" s="9" t="n">
        <f aca="false">IF(U3826="SERVICE READY",1,0)</f>
        <v>0</v>
      </c>
      <c r="W3826" s="6"/>
      <c r="X3826" s="6"/>
      <c r="Y3826" s="6"/>
      <c r="Z3826" s="6"/>
    </row>
    <row r="3827" customFormat="false" ht="15" hidden="false" customHeight="false" outlineLevel="0" collapsed="false">
      <c r="A3827" s="9" t="s">
        <v>4109</v>
      </c>
      <c r="B3827" s="9" t="s">
        <v>3939</v>
      </c>
      <c r="C3827" s="9" t="s">
        <v>3940</v>
      </c>
      <c r="D3827" s="9" t="s">
        <v>3722</v>
      </c>
      <c r="E3827" s="9" t="s">
        <v>1660</v>
      </c>
      <c r="F3827" s="9" t="s">
        <v>200</v>
      </c>
      <c r="G3827" s="9" t="s">
        <v>221</v>
      </c>
      <c r="H3827" s="9" t="n">
        <v>875</v>
      </c>
      <c r="I3827" s="29" t="n">
        <v>0.5</v>
      </c>
      <c r="J3827" s="9" t="n">
        <v>0</v>
      </c>
      <c r="K3827" s="30"/>
      <c r="L3827" s="30"/>
      <c r="M3827" s="30"/>
      <c r="N3827" s="30"/>
      <c r="O3827" s="30"/>
      <c r="P3827" s="30"/>
      <c r="Q3827" s="30"/>
      <c r="R3827" s="30"/>
      <c r="S3827" s="30"/>
      <c r="T3827" s="30"/>
      <c r="U3827" s="21" t="str">
        <f aca="false">IF(COUNT(K3827:T3827)=0,"SOURCE EMPTY / INDUSTRIAL ONLY",IF(MIN(K3827:T3827)=1,"SERVICE READY","HOLD"))</f>
        <v>SOURCE EMPTY / INDUSTRIAL ONLY</v>
      </c>
      <c r="V3827" s="9" t="n">
        <f aca="false">IF(U3827="SERVICE READY",1,0)</f>
        <v>0</v>
      </c>
      <c r="W3827" s="6"/>
      <c r="X3827" s="6"/>
      <c r="Y3827" s="6"/>
      <c r="Z3827" s="6"/>
    </row>
    <row r="3828" customFormat="false" ht="15" hidden="false" customHeight="false" outlineLevel="0" collapsed="false">
      <c r="A3828" s="9" t="s">
        <v>4110</v>
      </c>
      <c r="B3828" s="9" t="s">
        <v>3939</v>
      </c>
      <c r="C3828" s="9" t="s">
        <v>3940</v>
      </c>
      <c r="D3828" s="9" t="s">
        <v>3722</v>
      </c>
      <c r="E3828" s="9" t="s">
        <v>1660</v>
      </c>
      <c r="F3828" s="9" t="s">
        <v>203</v>
      </c>
      <c r="G3828" s="9" t="s">
        <v>221</v>
      </c>
      <c r="H3828" s="9" t="n">
        <v>875</v>
      </c>
      <c r="I3828" s="29" t="n">
        <v>0.5</v>
      </c>
      <c r="J3828" s="9" t="n">
        <v>0</v>
      </c>
      <c r="K3828" s="30"/>
      <c r="L3828" s="30"/>
      <c r="M3828" s="30"/>
      <c r="N3828" s="30"/>
      <c r="O3828" s="30"/>
      <c r="P3828" s="30"/>
      <c r="Q3828" s="30"/>
      <c r="R3828" s="30"/>
      <c r="S3828" s="30"/>
      <c r="T3828" s="30"/>
      <c r="U3828" s="21" t="str">
        <f aca="false">IF(COUNT(K3828:T3828)=0,"SOURCE EMPTY / INDUSTRIAL ONLY",IF(MIN(K3828:T3828)=1,"SERVICE READY","HOLD"))</f>
        <v>SOURCE EMPTY / INDUSTRIAL ONLY</v>
      </c>
      <c r="V3828" s="9" t="n">
        <f aca="false">IF(U3828="SERVICE READY",1,0)</f>
        <v>0</v>
      </c>
      <c r="W3828" s="6"/>
      <c r="X3828" s="6"/>
      <c r="Y3828" s="6"/>
      <c r="Z3828" s="6"/>
    </row>
    <row r="3829" customFormat="false" ht="15" hidden="false" customHeight="false" outlineLevel="0" collapsed="false">
      <c r="A3829" s="9" t="s">
        <v>4111</v>
      </c>
      <c r="B3829" s="9" t="s">
        <v>3939</v>
      </c>
      <c r="C3829" s="9" t="s">
        <v>3940</v>
      </c>
      <c r="D3829" s="9" t="s">
        <v>3722</v>
      </c>
      <c r="E3829" s="9" t="s">
        <v>1660</v>
      </c>
      <c r="F3829" s="9" t="s">
        <v>205</v>
      </c>
      <c r="G3829" s="9" t="s">
        <v>221</v>
      </c>
      <c r="H3829" s="9" t="n">
        <v>875</v>
      </c>
      <c r="I3829" s="29" t="n">
        <v>0.5</v>
      </c>
      <c r="J3829" s="9" t="n">
        <v>0</v>
      </c>
      <c r="K3829" s="30"/>
      <c r="L3829" s="30"/>
      <c r="M3829" s="30"/>
      <c r="N3829" s="30"/>
      <c r="O3829" s="30"/>
      <c r="P3829" s="30"/>
      <c r="Q3829" s="30"/>
      <c r="R3829" s="30"/>
      <c r="S3829" s="30"/>
      <c r="T3829" s="30"/>
      <c r="U3829" s="21" t="str">
        <f aca="false">IF(COUNT(K3829:T3829)=0,"SOURCE EMPTY / INDUSTRIAL ONLY",IF(MIN(K3829:T3829)=1,"SERVICE READY","HOLD"))</f>
        <v>SOURCE EMPTY / INDUSTRIAL ONLY</v>
      </c>
      <c r="V3829" s="9" t="n">
        <f aca="false">IF(U3829="SERVICE READY",1,0)</f>
        <v>0</v>
      </c>
      <c r="W3829" s="6"/>
      <c r="X3829" s="6"/>
      <c r="Y3829" s="6"/>
      <c r="Z3829" s="6"/>
    </row>
    <row r="3830" customFormat="false" ht="15" hidden="false" customHeight="false" outlineLevel="0" collapsed="false">
      <c r="A3830" s="9" t="s">
        <v>4112</v>
      </c>
      <c r="B3830" s="9" t="s">
        <v>3939</v>
      </c>
      <c r="C3830" s="9" t="s">
        <v>3940</v>
      </c>
      <c r="D3830" s="9" t="s">
        <v>3722</v>
      </c>
      <c r="E3830" s="9" t="s">
        <v>1660</v>
      </c>
      <c r="F3830" s="9" t="s">
        <v>207</v>
      </c>
      <c r="G3830" s="9" t="s">
        <v>221</v>
      </c>
      <c r="H3830" s="9" t="n">
        <v>875</v>
      </c>
      <c r="I3830" s="29" t="n">
        <v>0.5</v>
      </c>
      <c r="J3830" s="9" t="n">
        <v>0</v>
      </c>
      <c r="K3830" s="30"/>
      <c r="L3830" s="30"/>
      <c r="M3830" s="30"/>
      <c r="N3830" s="30"/>
      <c r="O3830" s="30"/>
      <c r="P3830" s="30"/>
      <c r="Q3830" s="30"/>
      <c r="R3830" s="30"/>
      <c r="S3830" s="30"/>
      <c r="T3830" s="30"/>
      <c r="U3830" s="21" t="str">
        <f aca="false">IF(COUNT(K3830:T3830)=0,"SOURCE EMPTY / INDUSTRIAL ONLY",IF(MIN(K3830:T3830)=1,"SERVICE READY","HOLD"))</f>
        <v>SOURCE EMPTY / INDUSTRIAL ONLY</v>
      </c>
      <c r="V3830" s="9" t="n">
        <f aca="false">IF(U3830="SERVICE READY",1,0)</f>
        <v>0</v>
      </c>
      <c r="W3830" s="6"/>
      <c r="X3830" s="6"/>
      <c r="Y3830" s="6"/>
      <c r="Z3830" s="6"/>
    </row>
    <row r="3831" customFormat="false" ht="15" hidden="false" customHeight="false" outlineLevel="0" collapsed="false">
      <c r="A3831" s="9" t="s">
        <v>4113</v>
      </c>
      <c r="B3831" s="9" t="s">
        <v>3939</v>
      </c>
      <c r="C3831" s="9" t="s">
        <v>3940</v>
      </c>
      <c r="D3831" s="9" t="s">
        <v>3722</v>
      </c>
      <c r="E3831" s="9" t="s">
        <v>1660</v>
      </c>
      <c r="F3831" s="9" t="s">
        <v>209</v>
      </c>
      <c r="G3831" s="9" t="s">
        <v>221</v>
      </c>
      <c r="H3831" s="9" t="n">
        <v>875</v>
      </c>
      <c r="I3831" s="29" t="n">
        <v>0.5</v>
      </c>
      <c r="J3831" s="9" t="n">
        <v>0</v>
      </c>
      <c r="K3831" s="30"/>
      <c r="L3831" s="30"/>
      <c r="M3831" s="30"/>
      <c r="N3831" s="30"/>
      <c r="O3831" s="30"/>
      <c r="P3831" s="30"/>
      <c r="Q3831" s="30"/>
      <c r="R3831" s="30"/>
      <c r="S3831" s="30"/>
      <c r="T3831" s="30"/>
      <c r="U3831" s="21" t="str">
        <f aca="false">IF(COUNT(K3831:T3831)=0,"SOURCE EMPTY / INDUSTRIAL ONLY",IF(MIN(K3831:T3831)=1,"SERVICE READY","HOLD"))</f>
        <v>SOURCE EMPTY / INDUSTRIAL ONLY</v>
      </c>
      <c r="V3831" s="9" t="n">
        <f aca="false">IF(U3831="SERVICE READY",1,0)</f>
        <v>0</v>
      </c>
      <c r="W3831" s="6"/>
      <c r="X3831" s="6"/>
      <c r="Y3831" s="6"/>
      <c r="Z3831" s="6"/>
    </row>
    <row r="3832" customFormat="false" ht="15" hidden="false" customHeight="false" outlineLevel="0" collapsed="false">
      <c r="A3832" s="9" t="s">
        <v>4114</v>
      </c>
      <c r="B3832" s="9" t="s">
        <v>3939</v>
      </c>
      <c r="C3832" s="9" t="s">
        <v>3940</v>
      </c>
      <c r="D3832" s="9" t="s">
        <v>3722</v>
      </c>
      <c r="E3832" s="9" t="s">
        <v>1660</v>
      </c>
      <c r="F3832" s="9" t="s">
        <v>211</v>
      </c>
      <c r="G3832" s="9" t="s">
        <v>221</v>
      </c>
      <c r="H3832" s="9" t="n">
        <v>875</v>
      </c>
      <c r="I3832" s="29" t="n">
        <v>0.5</v>
      </c>
      <c r="J3832" s="9" t="n">
        <v>0</v>
      </c>
      <c r="K3832" s="30"/>
      <c r="L3832" s="30"/>
      <c r="M3832" s="30"/>
      <c r="N3832" s="30"/>
      <c r="O3832" s="30"/>
      <c r="P3832" s="30"/>
      <c r="Q3832" s="30"/>
      <c r="R3832" s="30"/>
      <c r="S3832" s="30"/>
      <c r="T3832" s="30"/>
      <c r="U3832" s="21" t="str">
        <f aca="false">IF(COUNT(K3832:T3832)=0,"SOURCE EMPTY / INDUSTRIAL ONLY",IF(MIN(K3832:T3832)=1,"SERVICE READY","HOLD"))</f>
        <v>SOURCE EMPTY / INDUSTRIAL ONLY</v>
      </c>
      <c r="V3832" s="9" t="n">
        <f aca="false">IF(U3832="SERVICE READY",1,0)</f>
        <v>0</v>
      </c>
      <c r="W3832" s="6"/>
      <c r="X3832" s="6"/>
      <c r="Y3832" s="6"/>
      <c r="Z3832" s="6"/>
    </row>
    <row r="3833" customFormat="false" ht="15" hidden="false" customHeight="false" outlineLevel="0" collapsed="false">
      <c r="A3833" s="9" t="s">
        <v>4115</v>
      </c>
      <c r="B3833" s="9" t="s">
        <v>3939</v>
      </c>
      <c r="C3833" s="9" t="s">
        <v>3940</v>
      </c>
      <c r="D3833" s="9" t="s">
        <v>3722</v>
      </c>
      <c r="E3833" s="9" t="s">
        <v>1660</v>
      </c>
      <c r="F3833" s="9" t="s">
        <v>197</v>
      </c>
      <c r="G3833" s="9" t="s">
        <v>221</v>
      </c>
      <c r="H3833" s="9" t="n">
        <v>875</v>
      </c>
      <c r="I3833" s="29" t="n">
        <v>0.5</v>
      </c>
      <c r="J3833" s="9" t="n">
        <v>0</v>
      </c>
      <c r="K3833" s="30"/>
      <c r="L3833" s="30"/>
      <c r="M3833" s="30"/>
      <c r="N3833" s="30"/>
      <c r="O3833" s="30"/>
      <c r="P3833" s="30"/>
      <c r="Q3833" s="30"/>
      <c r="R3833" s="30"/>
      <c r="S3833" s="30"/>
      <c r="T3833" s="30"/>
      <c r="U3833" s="21" t="str">
        <f aca="false">IF(COUNT(K3833:T3833)=0,"SOURCE EMPTY / INDUSTRIAL ONLY",IF(MIN(K3833:T3833)=1,"SERVICE READY","HOLD"))</f>
        <v>SOURCE EMPTY / INDUSTRIAL ONLY</v>
      </c>
      <c r="V3833" s="9" t="n">
        <f aca="false">IF(U3833="SERVICE READY",1,0)</f>
        <v>0</v>
      </c>
      <c r="W3833" s="6"/>
      <c r="X3833" s="6"/>
      <c r="Y3833" s="6"/>
      <c r="Z3833" s="6"/>
    </row>
    <row r="3834" customFormat="false" ht="15" hidden="false" customHeight="false" outlineLevel="0" collapsed="false">
      <c r="A3834" s="9" t="s">
        <v>4116</v>
      </c>
      <c r="B3834" s="9" t="s">
        <v>3939</v>
      </c>
      <c r="C3834" s="9" t="s">
        <v>3940</v>
      </c>
      <c r="D3834" s="9" t="s">
        <v>3722</v>
      </c>
      <c r="E3834" s="9" t="s">
        <v>1660</v>
      </c>
      <c r="F3834" s="9" t="s">
        <v>200</v>
      </c>
      <c r="G3834" s="9" t="s">
        <v>221</v>
      </c>
      <c r="H3834" s="9" t="n">
        <v>875</v>
      </c>
      <c r="I3834" s="29" t="n">
        <v>0.5</v>
      </c>
      <c r="J3834" s="9" t="n">
        <v>0</v>
      </c>
      <c r="K3834" s="30"/>
      <c r="L3834" s="30"/>
      <c r="M3834" s="30"/>
      <c r="N3834" s="30"/>
      <c r="O3834" s="30"/>
      <c r="P3834" s="30"/>
      <c r="Q3834" s="30"/>
      <c r="R3834" s="30"/>
      <c r="S3834" s="30"/>
      <c r="T3834" s="30"/>
      <c r="U3834" s="21" t="str">
        <f aca="false">IF(COUNT(K3834:T3834)=0,"SOURCE EMPTY / INDUSTRIAL ONLY",IF(MIN(K3834:T3834)=1,"SERVICE READY","HOLD"))</f>
        <v>SOURCE EMPTY / INDUSTRIAL ONLY</v>
      </c>
      <c r="V3834" s="9" t="n">
        <f aca="false">IF(U3834="SERVICE READY",1,0)</f>
        <v>0</v>
      </c>
      <c r="W3834" s="6"/>
      <c r="X3834" s="6"/>
      <c r="Y3834" s="6"/>
      <c r="Z3834" s="6"/>
    </row>
    <row r="3835" customFormat="false" ht="15" hidden="false" customHeight="false" outlineLevel="0" collapsed="false">
      <c r="A3835" s="9" t="s">
        <v>4117</v>
      </c>
      <c r="B3835" s="9" t="s">
        <v>3939</v>
      </c>
      <c r="C3835" s="9" t="s">
        <v>3940</v>
      </c>
      <c r="D3835" s="9" t="s">
        <v>3722</v>
      </c>
      <c r="E3835" s="9" t="s">
        <v>1660</v>
      </c>
      <c r="F3835" s="9" t="s">
        <v>203</v>
      </c>
      <c r="G3835" s="9" t="s">
        <v>221</v>
      </c>
      <c r="H3835" s="9" t="n">
        <v>875</v>
      </c>
      <c r="I3835" s="29" t="n">
        <v>0.5</v>
      </c>
      <c r="J3835" s="9" t="n">
        <v>0</v>
      </c>
      <c r="K3835" s="30"/>
      <c r="L3835" s="30"/>
      <c r="M3835" s="30"/>
      <c r="N3835" s="30"/>
      <c r="O3835" s="30"/>
      <c r="P3835" s="30"/>
      <c r="Q3835" s="30"/>
      <c r="R3835" s="30"/>
      <c r="S3835" s="30"/>
      <c r="T3835" s="30"/>
      <c r="U3835" s="21" t="str">
        <f aca="false">IF(COUNT(K3835:T3835)=0,"SOURCE EMPTY / INDUSTRIAL ONLY",IF(MIN(K3835:T3835)=1,"SERVICE READY","HOLD"))</f>
        <v>SOURCE EMPTY / INDUSTRIAL ONLY</v>
      </c>
      <c r="V3835" s="9" t="n">
        <f aca="false">IF(U3835="SERVICE READY",1,0)</f>
        <v>0</v>
      </c>
      <c r="W3835" s="6"/>
      <c r="X3835" s="6"/>
      <c r="Y3835" s="6"/>
      <c r="Z3835" s="6"/>
    </row>
    <row r="3836" customFormat="false" ht="15" hidden="false" customHeight="false" outlineLevel="0" collapsed="false">
      <c r="A3836" s="9" t="s">
        <v>4118</v>
      </c>
      <c r="B3836" s="9" t="s">
        <v>3939</v>
      </c>
      <c r="C3836" s="9" t="s">
        <v>3940</v>
      </c>
      <c r="D3836" s="9" t="s">
        <v>3722</v>
      </c>
      <c r="E3836" s="9" t="s">
        <v>1660</v>
      </c>
      <c r="F3836" s="9" t="s">
        <v>205</v>
      </c>
      <c r="G3836" s="9" t="s">
        <v>221</v>
      </c>
      <c r="H3836" s="9" t="n">
        <v>875</v>
      </c>
      <c r="I3836" s="29" t="n">
        <v>0.5</v>
      </c>
      <c r="J3836" s="9" t="n">
        <v>0</v>
      </c>
      <c r="K3836" s="30"/>
      <c r="L3836" s="30"/>
      <c r="M3836" s="30"/>
      <c r="N3836" s="30"/>
      <c r="O3836" s="30"/>
      <c r="P3836" s="30"/>
      <c r="Q3836" s="30"/>
      <c r="R3836" s="30"/>
      <c r="S3836" s="30"/>
      <c r="T3836" s="30"/>
      <c r="U3836" s="21" t="str">
        <f aca="false">IF(COUNT(K3836:T3836)=0,"SOURCE EMPTY / INDUSTRIAL ONLY",IF(MIN(K3836:T3836)=1,"SERVICE READY","HOLD"))</f>
        <v>SOURCE EMPTY / INDUSTRIAL ONLY</v>
      </c>
      <c r="V3836" s="9" t="n">
        <f aca="false">IF(U3836="SERVICE READY",1,0)</f>
        <v>0</v>
      </c>
      <c r="W3836" s="6"/>
      <c r="X3836" s="6"/>
      <c r="Y3836" s="6"/>
      <c r="Z3836" s="6"/>
    </row>
    <row r="3837" customFormat="false" ht="15" hidden="false" customHeight="false" outlineLevel="0" collapsed="false">
      <c r="A3837" s="9" t="s">
        <v>4119</v>
      </c>
      <c r="B3837" s="9" t="s">
        <v>3939</v>
      </c>
      <c r="C3837" s="9" t="s">
        <v>3940</v>
      </c>
      <c r="D3837" s="9" t="s">
        <v>3722</v>
      </c>
      <c r="E3837" s="9" t="s">
        <v>1660</v>
      </c>
      <c r="F3837" s="9" t="s">
        <v>207</v>
      </c>
      <c r="G3837" s="9" t="s">
        <v>221</v>
      </c>
      <c r="H3837" s="9" t="n">
        <v>875</v>
      </c>
      <c r="I3837" s="29" t="n">
        <v>0.5</v>
      </c>
      <c r="J3837" s="9" t="n">
        <v>0</v>
      </c>
      <c r="K3837" s="30"/>
      <c r="L3837" s="30"/>
      <c r="M3837" s="30"/>
      <c r="N3837" s="30"/>
      <c r="O3837" s="30"/>
      <c r="P3837" s="30"/>
      <c r="Q3837" s="30"/>
      <c r="R3837" s="30"/>
      <c r="S3837" s="30"/>
      <c r="T3837" s="30"/>
      <c r="U3837" s="21" t="str">
        <f aca="false">IF(COUNT(K3837:T3837)=0,"SOURCE EMPTY / INDUSTRIAL ONLY",IF(MIN(K3837:T3837)=1,"SERVICE READY","HOLD"))</f>
        <v>SOURCE EMPTY / INDUSTRIAL ONLY</v>
      </c>
      <c r="V3837" s="9" t="n">
        <f aca="false">IF(U3837="SERVICE READY",1,0)</f>
        <v>0</v>
      </c>
      <c r="W3837" s="6"/>
      <c r="X3837" s="6"/>
      <c r="Y3837" s="6"/>
      <c r="Z3837" s="6"/>
    </row>
    <row r="3838" customFormat="false" ht="15" hidden="false" customHeight="false" outlineLevel="0" collapsed="false">
      <c r="A3838" s="9" t="s">
        <v>4120</v>
      </c>
      <c r="B3838" s="9" t="s">
        <v>3939</v>
      </c>
      <c r="C3838" s="9" t="s">
        <v>3940</v>
      </c>
      <c r="D3838" s="9" t="s">
        <v>3722</v>
      </c>
      <c r="E3838" s="9" t="s">
        <v>1660</v>
      </c>
      <c r="F3838" s="9" t="s">
        <v>209</v>
      </c>
      <c r="G3838" s="9" t="s">
        <v>221</v>
      </c>
      <c r="H3838" s="9" t="n">
        <v>875</v>
      </c>
      <c r="I3838" s="29" t="n">
        <v>0.5</v>
      </c>
      <c r="J3838" s="9" t="n">
        <v>0</v>
      </c>
      <c r="K3838" s="30"/>
      <c r="L3838" s="30"/>
      <c r="M3838" s="30"/>
      <c r="N3838" s="30"/>
      <c r="O3838" s="30"/>
      <c r="P3838" s="30"/>
      <c r="Q3838" s="30"/>
      <c r="R3838" s="30"/>
      <c r="S3838" s="30"/>
      <c r="T3838" s="30"/>
      <c r="U3838" s="21" t="str">
        <f aca="false">IF(COUNT(K3838:T3838)=0,"SOURCE EMPTY / INDUSTRIAL ONLY",IF(MIN(K3838:T3838)=1,"SERVICE READY","HOLD"))</f>
        <v>SOURCE EMPTY / INDUSTRIAL ONLY</v>
      </c>
      <c r="V3838" s="9" t="n">
        <f aca="false">IF(U3838="SERVICE READY",1,0)</f>
        <v>0</v>
      </c>
      <c r="W3838" s="6"/>
      <c r="X3838" s="6"/>
      <c r="Y3838" s="6"/>
      <c r="Z3838" s="6"/>
    </row>
    <row r="3839" customFormat="false" ht="15" hidden="false" customHeight="false" outlineLevel="0" collapsed="false">
      <c r="A3839" s="9" t="s">
        <v>4121</v>
      </c>
      <c r="B3839" s="9" t="s">
        <v>3939</v>
      </c>
      <c r="C3839" s="9" t="s">
        <v>3940</v>
      </c>
      <c r="D3839" s="9" t="s">
        <v>3722</v>
      </c>
      <c r="E3839" s="9" t="s">
        <v>1660</v>
      </c>
      <c r="F3839" s="9" t="s">
        <v>211</v>
      </c>
      <c r="G3839" s="9" t="s">
        <v>221</v>
      </c>
      <c r="H3839" s="9" t="n">
        <v>875</v>
      </c>
      <c r="I3839" s="29" t="n">
        <v>0.5</v>
      </c>
      <c r="J3839" s="9" t="n">
        <v>0</v>
      </c>
      <c r="K3839" s="30"/>
      <c r="L3839" s="30"/>
      <c r="M3839" s="30"/>
      <c r="N3839" s="30"/>
      <c r="O3839" s="30"/>
      <c r="P3839" s="30"/>
      <c r="Q3839" s="30"/>
      <c r="R3839" s="30"/>
      <c r="S3839" s="30"/>
      <c r="T3839" s="30"/>
      <c r="U3839" s="21" t="str">
        <f aca="false">IF(COUNT(K3839:T3839)=0,"SOURCE EMPTY / INDUSTRIAL ONLY",IF(MIN(K3839:T3839)=1,"SERVICE READY","HOLD"))</f>
        <v>SOURCE EMPTY / INDUSTRIAL ONLY</v>
      </c>
      <c r="V3839" s="9" t="n">
        <f aca="false">IF(U3839="SERVICE READY",1,0)</f>
        <v>0</v>
      </c>
      <c r="W3839" s="6"/>
      <c r="X3839" s="6"/>
      <c r="Y3839" s="6"/>
      <c r="Z3839" s="6"/>
    </row>
    <row r="3840" customFormat="false" ht="15" hidden="false" customHeight="false" outlineLevel="0" collapsed="false">
      <c r="A3840" s="9" t="s">
        <v>4122</v>
      </c>
      <c r="B3840" s="9" t="s">
        <v>3939</v>
      </c>
      <c r="C3840" s="9" t="s">
        <v>3940</v>
      </c>
      <c r="D3840" s="9" t="s">
        <v>3722</v>
      </c>
      <c r="E3840" s="9" t="s">
        <v>1660</v>
      </c>
      <c r="F3840" s="9" t="s">
        <v>197</v>
      </c>
      <c r="G3840" s="9" t="s">
        <v>221</v>
      </c>
      <c r="H3840" s="9" t="n">
        <v>875</v>
      </c>
      <c r="I3840" s="29" t="n">
        <v>0.5</v>
      </c>
      <c r="J3840" s="9" t="n">
        <v>0</v>
      </c>
      <c r="K3840" s="30"/>
      <c r="L3840" s="30"/>
      <c r="M3840" s="30"/>
      <c r="N3840" s="30"/>
      <c r="O3840" s="30"/>
      <c r="P3840" s="30"/>
      <c r="Q3840" s="30"/>
      <c r="R3840" s="30"/>
      <c r="S3840" s="30"/>
      <c r="T3840" s="30"/>
      <c r="U3840" s="21" t="str">
        <f aca="false">IF(COUNT(K3840:T3840)=0,"SOURCE EMPTY / INDUSTRIAL ONLY",IF(MIN(K3840:T3840)=1,"SERVICE READY","HOLD"))</f>
        <v>SOURCE EMPTY / INDUSTRIAL ONLY</v>
      </c>
      <c r="V3840" s="9" t="n">
        <f aca="false">IF(U3840="SERVICE READY",1,0)</f>
        <v>0</v>
      </c>
      <c r="W3840" s="6"/>
      <c r="X3840" s="6"/>
      <c r="Y3840" s="6"/>
      <c r="Z3840" s="6"/>
    </row>
    <row r="3841" customFormat="false" ht="15" hidden="false" customHeight="false" outlineLevel="0" collapsed="false">
      <c r="A3841" s="9" t="s">
        <v>4123</v>
      </c>
      <c r="B3841" s="9" t="s">
        <v>3939</v>
      </c>
      <c r="C3841" s="9" t="s">
        <v>3940</v>
      </c>
      <c r="D3841" s="9" t="s">
        <v>3722</v>
      </c>
      <c r="E3841" s="9" t="s">
        <v>1660</v>
      </c>
      <c r="F3841" s="9" t="s">
        <v>200</v>
      </c>
      <c r="G3841" s="9" t="s">
        <v>221</v>
      </c>
      <c r="H3841" s="9" t="n">
        <v>875</v>
      </c>
      <c r="I3841" s="29" t="n">
        <v>0.5</v>
      </c>
      <c r="J3841" s="9" t="n">
        <v>0</v>
      </c>
      <c r="K3841" s="30"/>
      <c r="L3841" s="30"/>
      <c r="M3841" s="30"/>
      <c r="N3841" s="30"/>
      <c r="O3841" s="30"/>
      <c r="P3841" s="30"/>
      <c r="Q3841" s="30"/>
      <c r="R3841" s="30"/>
      <c r="S3841" s="30"/>
      <c r="T3841" s="30"/>
      <c r="U3841" s="21" t="str">
        <f aca="false">IF(COUNT(K3841:T3841)=0,"SOURCE EMPTY / INDUSTRIAL ONLY",IF(MIN(K3841:T3841)=1,"SERVICE READY","HOLD"))</f>
        <v>SOURCE EMPTY / INDUSTRIAL ONLY</v>
      </c>
      <c r="V3841" s="9" t="n">
        <f aca="false">IF(U3841="SERVICE READY",1,0)</f>
        <v>0</v>
      </c>
      <c r="W3841" s="6"/>
      <c r="X3841" s="6"/>
      <c r="Y3841" s="6"/>
      <c r="Z3841" s="6"/>
    </row>
    <row r="3842" customFormat="false" ht="15" hidden="false" customHeight="false" outlineLevel="0" collapsed="false">
      <c r="A3842" s="9" t="s">
        <v>4124</v>
      </c>
      <c r="B3842" s="9" t="s">
        <v>3939</v>
      </c>
      <c r="C3842" s="9" t="s">
        <v>3940</v>
      </c>
      <c r="D3842" s="9" t="s">
        <v>3722</v>
      </c>
      <c r="E3842" s="9" t="s">
        <v>1660</v>
      </c>
      <c r="F3842" s="9" t="s">
        <v>203</v>
      </c>
      <c r="G3842" s="9" t="s">
        <v>221</v>
      </c>
      <c r="H3842" s="9" t="n">
        <v>875</v>
      </c>
      <c r="I3842" s="29" t="n">
        <v>0.5</v>
      </c>
      <c r="J3842" s="9" t="n">
        <v>0</v>
      </c>
      <c r="K3842" s="30"/>
      <c r="L3842" s="30"/>
      <c r="M3842" s="30"/>
      <c r="N3842" s="30"/>
      <c r="O3842" s="30"/>
      <c r="P3842" s="30"/>
      <c r="Q3842" s="30"/>
      <c r="R3842" s="30"/>
      <c r="S3842" s="30"/>
      <c r="T3842" s="30"/>
      <c r="U3842" s="21" t="str">
        <f aca="false">IF(COUNT(K3842:T3842)=0,"SOURCE EMPTY / INDUSTRIAL ONLY",IF(MIN(K3842:T3842)=1,"SERVICE READY","HOLD"))</f>
        <v>SOURCE EMPTY / INDUSTRIAL ONLY</v>
      </c>
      <c r="V3842" s="9" t="n">
        <f aca="false">IF(U3842="SERVICE READY",1,0)</f>
        <v>0</v>
      </c>
      <c r="W3842" s="6"/>
      <c r="X3842" s="6"/>
      <c r="Y3842" s="6"/>
      <c r="Z3842" s="6"/>
    </row>
    <row r="3843" customFormat="false" ht="15" hidden="false" customHeight="false" outlineLevel="0" collapsed="false">
      <c r="A3843" s="9" t="s">
        <v>4125</v>
      </c>
      <c r="B3843" s="9" t="s">
        <v>3939</v>
      </c>
      <c r="C3843" s="9" t="s">
        <v>3940</v>
      </c>
      <c r="D3843" s="9" t="s">
        <v>3722</v>
      </c>
      <c r="E3843" s="9" t="s">
        <v>1660</v>
      </c>
      <c r="F3843" s="9" t="s">
        <v>205</v>
      </c>
      <c r="G3843" s="9" t="s">
        <v>221</v>
      </c>
      <c r="H3843" s="9" t="n">
        <v>875</v>
      </c>
      <c r="I3843" s="29" t="n">
        <v>0.5</v>
      </c>
      <c r="J3843" s="9" t="n">
        <v>0</v>
      </c>
      <c r="K3843" s="30"/>
      <c r="L3843" s="30"/>
      <c r="M3843" s="30"/>
      <c r="N3843" s="30"/>
      <c r="O3843" s="30"/>
      <c r="P3843" s="30"/>
      <c r="Q3843" s="30"/>
      <c r="R3843" s="30"/>
      <c r="S3843" s="30"/>
      <c r="T3843" s="30"/>
      <c r="U3843" s="21" t="str">
        <f aca="false">IF(COUNT(K3843:T3843)=0,"SOURCE EMPTY / INDUSTRIAL ONLY",IF(MIN(K3843:T3843)=1,"SERVICE READY","HOLD"))</f>
        <v>SOURCE EMPTY / INDUSTRIAL ONLY</v>
      </c>
      <c r="V3843" s="9" t="n">
        <f aca="false">IF(U3843="SERVICE READY",1,0)</f>
        <v>0</v>
      </c>
      <c r="W3843" s="6"/>
      <c r="X3843" s="6"/>
      <c r="Y3843" s="6"/>
      <c r="Z3843" s="6"/>
    </row>
    <row r="3844" customFormat="false" ht="15" hidden="false" customHeight="false" outlineLevel="0" collapsed="false">
      <c r="A3844" s="9" t="s">
        <v>4126</v>
      </c>
      <c r="B3844" s="9" t="s">
        <v>3939</v>
      </c>
      <c r="C3844" s="9" t="s">
        <v>3940</v>
      </c>
      <c r="D3844" s="9" t="s">
        <v>3722</v>
      </c>
      <c r="E3844" s="9" t="s">
        <v>1660</v>
      </c>
      <c r="F3844" s="9" t="s">
        <v>207</v>
      </c>
      <c r="G3844" s="9" t="s">
        <v>221</v>
      </c>
      <c r="H3844" s="9" t="n">
        <v>875</v>
      </c>
      <c r="I3844" s="29" t="n">
        <v>0.5</v>
      </c>
      <c r="J3844" s="9" t="n">
        <v>0</v>
      </c>
      <c r="K3844" s="30"/>
      <c r="L3844" s="30"/>
      <c r="M3844" s="30"/>
      <c r="N3844" s="30"/>
      <c r="O3844" s="30"/>
      <c r="P3844" s="30"/>
      <c r="Q3844" s="30"/>
      <c r="R3844" s="30"/>
      <c r="S3844" s="30"/>
      <c r="T3844" s="30"/>
      <c r="U3844" s="21" t="str">
        <f aca="false">IF(COUNT(K3844:T3844)=0,"SOURCE EMPTY / INDUSTRIAL ONLY",IF(MIN(K3844:T3844)=1,"SERVICE READY","HOLD"))</f>
        <v>SOURCE EMPTY / INDUSTRIAL ONLY</v>
      </c>
      <c r="V3844" s="9" t="n">
        <f aca="false">IF(U3844="SERVICE READY",1,0)</f>
        <v>0</v>
      </c>
      <c r="W3844" s="6"/>
      <c r="X3844" s="6"/>
      <c r="Y3844" s="6"/>
      <c r="Z3844" s="6"/>
    </row>
    <row r="3845" customFormat="false" ht="15" hidden="false" customHeight="false" outlineLevel="0" collapsed="false">
      <c r="A3845" s="9" t="s">
        <v>4127</v>
      </c>
      <c r="B3845" s="9" t="s">
        <v>3939</v>
      </c>
      <c r="C3845" s="9" t="s">
        <v>3940</v>
      </c>
      <c r="D3845" s="9" t="s">
        <v>3722</v>
      </c>
      <c r="E3845" s="9" t="s">
        <v>1660</v>
      </c>
      <c r="F3845" s="9" t="s">
        <v>209</v>
      </c>
      <c r="G3845" s="9" t="s">
        <v>221</v>
      </c>
      <c r="H3845" s="9" t="n">
        <v>875</v>
      </c>
      <c r="I3845" s="29" t="n">
        <v>0.5</v>
      </c>
      <c r="J3845" s="9" t="n">
        <v>0</v>
      </c>
      <c r="K3845" s="30"/>
      <c r="L3845" s="30"/>
      <c r="M3845" s="30"/>
      <c r="N3845" s="30"/>
      <c r="O3845" s="30"/>
      <c r="P3845" s="30"/>
      <c r="Q3845" s="30"/>
      <c r="R3845" s="30"/>
      <c r="S3845" s="30"/>
      <c r="T3845" s="30"/>
      <c r="U3845" s="21" t="str">
        <f aca="false">IF(COUNT(K3845:T3845)=0,"SOURCE EMPTY / INDUSTRIAL ONLY",IF(MIN(K3845:T3845)=1,"SERVICE READY","HOLD"))</f>
        <v>SOURCE EMPTY / INDUSTRIAL ONLY</v>
      </c>
      <c r="V3845" s="9" t="n">
        <f aca="false">IF(U3845="SERVICE READY",1,0)</f>
        <v>0</v>
      </c>
      <c r="W3845" s="6"/>
      <c r="X3845" s="6"/>
      <c r="Y3845" s="6"/>
      <c r="Z3845" s="6"/>
    </row>
    <row r="3846" customFormat="false" ht="15" hidden="false" customHeight="false" outlineLevel="0" collapsed="false">
      <c r="A3846" s="9" t="s">
        <v>4128</v>
      </c>
      <c r="B3846" s="9" t="s">
        <v>3939</v>
      </c>
      <c r="C3846" s="9" t="s">
        <v>3940</v>
      </c>
      <c r="D3846" s="9" t="s">
        <v>3722</v>
      </c>
      <c r="E3846" s="9" t="s">
        <v>1660</v>
      </c>
      <c r="F3846" s="9" t="s">
        <v>211</v>
      </c>
      <c r="G3846" s="9" t="s">
        <v>221</v>
      </c>
      <c r="H3846" s="9" t="n">
        <v>875</v>
      </c>
      <c r="I3846" s="29" t="n">
        <v>0.5</v>
      </c>
      <c r="J3846" s="9" t="n">
        <v>0</v>
      </c>
      <c r="K3846" s="30"/>
      <c r="L3846" s="30"/>
      <c r="M3846" s="30"/>
      <c r="N3846" s="30"/>
      <c r="O3846" s="30"/>
      <c r="P3846" s="30"/>
      <c r="Q3846" s="30"/>
      <c r="R3846" s="30"/>
      <c r="S3846" s="30"/>
      <c r="T3846" s="30"/>
      <c r="U3846" s="21" t="str">
        <f aca="false">IF(COUNT(K3846:T3846)=0,"SOURCE EMPTY / INDUSTRIAL ONLY",IF(MIN(K3846:T3846)=1,"SERVICE READY","HOLD"))</f>
        <v>SOURCE EMPTY / INDUSTRIAL ONLY</v>
      </c>
      <c r="V3846" s="9" t="n">
        <f aca="false">IF(U3846="SERVICE READY",1,0)</f>
        <v>0</v>
      </c>
      <c r="W3846" s="6"/>
      <c r="X3846" s="6"/>
      <c r="Y3846" s="6"/>
      <c r="Z3846" s="6"/>
    </row>
    <row r="3847" customFormat="false" ht="15" hidden="false" customHeight="false" outlineLevel="0" collapsed="false">
      <c r="A3847" s="9" t="s">
        <v>4129</v>
      </c>
      <c r="B3847" s="9" t="s">
        <v>3939</v>
      </c>
      <c r="C3847" s="9" t="s">
        <v>3940</v>
      </c>
      <c r="D3847" s="9" t="s">
        <v>3722</v>
      </c>
      <c r="E3847" s="9" t="s">
        <v>1660</v>
      </c>
      <c r="F3847" s="9" t="s">
        <v>197</v>
      </c>
      <c r="G3847" s="9" t="s">
        <v>221</v>
      </c>
      <c r="H3847" s="9" t="n">
        <v>875</v>
      </c>
      <c r="I3847" s="29" t="n">
        <v>0.5</v>
      </c>
      <c r="J3847" s="9" t="n">
        <v>0</v>
      </c>
      <c r="K3847" s="30"/>
      <c r="L3847" s="30"/>
      <c r="M3847" s="30"/>
      <c r="N3847" s="30"/>
      <c r="O3847" s="30"/>
      <c r="P3847" s="30"/>
      <c r="Q3847" s="30"/>
      <c r="R3847" s="30"/>
      <c r="S3847" s="30"/>
      <c r="T3847" s="30"/>
      <c r="U3847" s="21" t="str">
        <f aca="false">IF(COUNT(K3847:T3847)=0,"SOURCE EMPTY / INDUSTRIAL ONLY",IF(MIN(K3847:T3847)=1,"SERVICE READY","HOLD"))</f>
        <v>SOURCE EMPTY / INDUSTRIAL ONLY</v>
      </c>
      <c r="V3847" s="9" t="n">
        <f aca="false">IF(U3847="SERVICE READY",1,0)</f>
        <v>0</v>
      </c>
      <c r="W3847" s="6"/>
      <c r="X3847" s="6"/>
      <c r="Y3847" s="6"/>
      <c r="Z3847" s="6"/>
    </row>
    <row r="3848" customFormat="false" ht="15" hidden="false" customHeight="false" outlineLevel="0" collapsed="false">
      <c r="A3848" s="9" t="s">
        <v>4130</v>
      </c>
      <c r="B3848" s="9" t="s">
        <v>3939</v>
      </c>
      <c r="C3848" s="9" t="s">
        <v>3940</v>
      </c>
      <c r="D3848" s="9" t="s">
        <v>3722</v>
      </c>
      <c r="E3848" s="9" t="s">
        <v>1660</v>
      </c>
      <c r="F3848" s="9" t="s">
        <v>200</v>
      </c>
      <c r="G3848" s="9" t="s">
        <v>221</v>
      </c>
      <c r="H3848" s="9" t="n">
        <v>875</v>
      </c>
      <c r="I3848" s="29" t="n">
        <v>0.5</v>
      </c>
      <c r="J3848" s="9" t="n">
        <v>0</v>
      </c>
      <c r="K3848" s="30"/>
      <c r="L3848" s="30"/>
      <c r="M3848" s="30"/>
      <c r="N3848" s="30"/>
      <c r="O3848" s="30"/>
      <c r="P3848" s="30"/>
      <c r="Q3848" s="30"/>
      <c r="R3848" s="30"/>
      <c r="S3848" s="30"/>
      <c r="T3848" s="30"/>
      <c r="U3848" s="21" t="str">
        <f aca="false">IF(COUNT(K3848:T3848)=0,"SOURCE EMPTY / INDUSTRIAL ONLY",IF(MIN(K3848:T3848)=1,"SERVICE READY","HOLD"))</f>
        <v>SOURCE EMPTY / INDUSTRIAL ONLY</v>
      </c>
      <c r="V3848" s="9" t="n">
        <f aca="false">IF(U3848="SERVICE READY",1,0)</f>
        <v>0</v>
      </c>
      <c r="W3848" s="6"/>
      <c r="X3848" s="6"/>
      <c r="Y3848" s="6"/>
      <c r="Z3848" s="6"/>
    </row>
    <row r="3849" customFormat="false" ht="15" hidden="false" customHeight="false" outlineLevel="0" collapsed="false">
      <c r="A3849" s="9" t="s">
        <v>4131</v>
      </c>
      <c r="B3849" s="9" t="s">
        <v>3939</v>
      </c>
      <c r="C3849" s="9" t="s">
        <v>3940</v>
      </c>
      <c r="D3849" s="9" t="s">
        <v>3722</v>
      </c>
      <c r="E3849" s="9" t="s">
        <v>1660</v>
      </c>
      <c r="F3849" s="9" t="s">
        <v>203</v>
      </c>
      <c r="G3849" s="9" t="s">
        <v>221</v>
      </c>
      <c r="H3849" s="9" t="n">
        <v>875</v>
      </c>
      <c r="I3849" s="29" t="n">
        <v>0.5</v>
      </c>
      <c r="J3849" s="9" t="n">
        <v>0</v>
      </c>
      <c r="K3849" s="30"/>
      <c r="L3849" s="30"/>
      <c r="M3849" s="30"/>
      <c r="N3849" s="30"/>
      <c r="O3849" s="30"/>
      <c r="P3849" s="30"/>
      <c r="Q3849" s="30"/>
      <c r="R3849" s="30"/>
      <c r="S3849" s="30"/>
      <c r="T3849" s="30"/>
      <c r="U3849" s="21" t="str">
        <f aca="false">IF(COUNT(K3849:T3849)=0,"SOURCE EMPTY / INDUSTRIAL ONLY",IF(MIN(K3849:T3849)=1,"SERVICE READY","HOLD"))</f>
        <v>SOURCE EMPTY / INDUSTRIAL ONLY</v>
      </c>
      <c r="V3849" s="9" t="n">
        <f aca="false">IF(U3849="SERVICE READY",1,0)</f>
        <v>0</v>
      </c>
      <c r="W3849" s="6"/>
      <c r="X3849" s="6"/>
      <c r="Y3849" s="6"/>
      <c r="Z3849" s="6"/>
    </row>
    <row r="3850" customFormat="false" ht="15" hidden="false" customHeight="false" outlineLevel="0" collapsed="false">
      <c r="A3850" s="9" t="s">
        <v>4132</v>
      </c>
      <c r="B3850" s="9" t="s">
        <v>3939</v>
      </c>
      <c r="C3850" s="9" t="s">
        <v>3940</v>
      </c>
      <c r="D3850" s="9" t="s">
        <v>3722</v>
      </c>
      <c r="E3850" s="9" t="s">
        <v>1660</v>
      </c>
      <c r="F3850" s="9" t="s">
        <v>205</v>
      </c>
      <c r="G3850" s="9" t="s">
        <v>221</v>
      </c>
      <c r="H3850" s="9" t="n">
        <v>875</v>
      </c>
      <c r="I3850" s="29" t="n">
        <v>0.5</v>
      </c>
      <c r="J3850" s="9" t="n">
        <v>0</v>
      </c>
      <c r="K3850" s="30"/>
      <c r="L3850" s="30"/>
      <c r="M3850" s="30"/>
      <c r="N3850" s="30"/>
      <c r="O3850" s="30"/>
      <c r="P3850" s="30"/>
      <c r="Q3850" s="30"/>
      <c r="R3850" s="30"/>
      <c r="S3850" s="30"/>
      <c r="T3850" s="30"/>
      <c r="U3850" s="21" t="str">
        <f aca="false">IF(COUNT(K3850:T3850)=0,"SOURCE EMPTY / INDUSTRIAL ONLY",IF(MIN(K3850:T3850)=1,"SERVICE READY","HOLD"))</f>
        <v>SOURCE EMPTY / INDUSTRIAL ONLY</v>
      </c>
      <c r="V3850" s="9" t="n">
        <f aca="false">IF(U3850="SERVICE READY",1,0)</f>
        <v>0</v>
      </c>
      <c r="W3850" s="6"/>
      <c r="X3850" s="6"/>
      <c r="Y3850" s="6"/>
      <c r="Z3850" s="6"/>
    </row>
    <row r="3851" customFormat="false" ht="15" hidden="false" customHeight="false" outlineLevel="0" collapsed="false">
      <c r="A3851" s="9" t="s">
        <v>4133</v>
      </c>
      <c r="B3851" s="9" t="s">
        <v>3939</v>
      </c>
      <c r="C3851" s="9" t="s">
        <v>3940</v>
      </c>
      <c r="D3851" s="9" t="s">
        <v>3722</v>
      </c>
      <c r="E3851" s="9" t="s">
        <v>1660</v>
      </c>
      <c r="F3851" s="9" t="s">
        <v>207</v>
      </c>
      <c r="G3851" s="9" t="s">
        <v>221</v>
      </c>
      <c r="H3851" s="9" t="n">
        <v>875</v>
      </c>
      <c r="I3851" s="29" t="n">
        <v>0.5</v>
      </c>
      <c r="J3851" s="9" t="n">
        <v>0</v>
      </c>
      <c r="K3851" s="30"/>
      <c r="L3851" s="30"/>
      <c r="M3851" s="30"/>
      <c r="N3851" s="30"/>
      <c r="O3851" s="30"/>
      <c r="P3851" s="30"/>
      <c r="Q3851" s="30"/>
      <c r="R3851" s="30"/>
      <c r="S3851" s="30"/>
      <c r="T3851" s="30"/>
      <c r="U3851" s="21" t="str">
        <f aca="false">IF(COUNT(K3851:T3851)=0,"SOURCE EMPTY / INDUSTRIAL ONLY",IF(MIN(K3851:T3851)=1,"SERVICE READY","HOLD"))</f>
        <v>SOURCE EMPTY / INDUSTRIAL ONLY</v>
      </c>
      <c r="V3851" s="9" t="n">
        <f aca="false">IF(U3851="SERVICE READY",1,0)</f>
        <v>0</v>
      </c>
      <c r="W3851" s="6"/>
      <c r="X3851" s="6"/>
      <c r="Y3851" s="6"/>
      <c r="Z3851" s="6"/>
    </row>
    <row r="3852" customFormat="false" ht="15" hidden="false" customHeight="false" outlineLevel="0" collapsed="false">
      <c r="A3852" s="9" t="s">
        <v>4134</v>
      </c>
      <c r="B3852" s="9" t="s">
        <v>3939</v>
      </c>
      <c r="C3852" s="9" t="s">
        <v>3940</v>
      </c>
      <c r="D3852" s="9" t="s">
        <v>3722</v>
      </c>
      <c r="E3852" s="9" t="s">
        <v>1660</v>
      </c>
      <c r="F3852" s="9" t="s">
        <v>209</v>
      </c>
      <c r="G3852" s="9" t="s">
        <v>221</v>
      </c>
      <c r="H3852" s="9" t="n">
        <v>875</v>
      </c>
      <c r="I3852" s="29" t="n">
        <v>0.5</v>
      </c>
      <c r="J3852" s="9" t="n">
        <v>0</v>
      </c>
      <c r="K3852" s="30"/>
      <c r="L3852" s="30"/>
      <c r="M3852" s="30"/>
      <c r="N3852" s="30"/>
      <c r="O3852" s="30"/>
      <c r="P3852" s="30"/>
      <c r="Q3852" s="30"/>
      <c r="R3852" s="30"/>
      <c r="S3852" s="30"/>
      <c r="T3852" s="30"/>
      <c r="U3852" s="21" t="str">
        <f aca="false">IF(COUNT(K3852:T3852)=0,"SOURCE EMPTY / INDUSTRIAL ONLY",IF(MIN(K3852:T3852)=1,"SERVICE READY","HOLD"))</f>
        <v>SOURCE EMPTY / INDUSTRIAL ONLY</v>
      </c>
      <c r="V3852" s="9" t="n">
        <f aca="false">IF(U3852="SERVICE READY",1,0)</f>
        <v>0</v>
      </c>
      <c r="W3852" s="6"/>
      <c r="X3852" s="6"/>
      <c r="Y3852" s="6"/>
      <c r="Z3852" s="6"/>
    </row>
    <row r="3853" customFormat="false" ht="15" hidden="false" customHeight="false" outlineLevel="0" collapsed="false">
      <c r="A3853" s="9" t="s">
        <v>4135</v>
      </c>
      <c r="B3853" s="9" t="s">
        <v>3939</v>
      </c>
      <c r="C3853" s="9" t="s">
        <v>3940</v>
      </c>
      <c r="D3853" s="9" t="s">
        <v>3722</v>
      </c>
      <c r="E3853" s="9" t="s">
        <v>1660</v>
      </c>
      <c r="F3853" s="9" t="s">
        <v>211</v>
      </c>
      <c r="G3853" s="9" t="s">
        <v>221</v>
      </c>
      <c r="H3853" s="9" t="n">
        <v>875</v>
      </c>
      <c r="I3853" s="29" t="n">
        <v>0.5</v>
      </c>
      <c r="J3853" s="9" t="n">
        <v>0</v>
      </c>
      <c r="K3853" s="30"/>
      <c r="L3853" s="30"/>
      <c r="M3853" s="30"/>
      <c r="N3853" s="30"/>
      <c r="O3853" s="30"/>
      <c r="P3853" s="30"/>
      <c r="Q3853" s="30"/>
      <c r="R3853" s="30"/>
      <c r="S3853" s="30"/>
      <c r="T3853" s="30"/>
      <c r="U3853" s="21" t="str">
        <f aca="false">IF(COUNT(K3853:T3853)=0,"SOURCE EMPTY / INDUSTRIAL ONLY",IF(MIN(K3853:T3853)=1,"SERVICE READY","HOLD"))</f>
        <v>SOURCE EMPTY / INDUSTRIAL ONLY</v>
      </c>
      <c r="V3853" s="9" t="n">
        <f aca="false">IF(U3853="SERVICE READY",1,0)</f>
        <v>0</v>
      </c>
      <c r="W3853" s="6"/>
      <c r="X3853" s="6"/>
      <c r="Y3853" s="6"/>
      <c r="Z3853" s="6"/>
    </row>
    <row r="3854" customFormat="false" ht="15" hidden="false" customHeight="false" outlineLevel="0" collapsed="false">
      <c r="A3854" s="9" t="s">
        <v>4136</v>
      </c>
      <c r="B3854" s="9" t="s">
        <v>3939</v>
      </c>
      <c r="C3854" s="9" t="s">
        <v>3940</v>
      </c>
      <c r="D3854" s="9" t="s">
        <v>3722</v>
      </c>
      <c r="E3854" s="9" t="s">
        <v>1660</v>
      </c>
      <c r="F3854" s="9" t="s">
        <v>197</v>
      </c>
      <c r="G3854" s="9" t="s">
        <v>221</v>
      </c>
      <c r="H3854" s="9" t="n">
        <v>875</v>
      </c>
      <c r="I3854" s="29" t="n">
        <v>0.5</v>
      </c>
      <c r="J3854" s="9" t="n">
        <v>0</v>
      </c>
      <c r="K3854" s="30"/>
      <c r="L3854" s="30"/>
      <c r="M3854" s="30"/>
      <c r="N3854" s="30"/>
      <c r="O3854" s="30"/>
      <c r="P3854" s="30"/>
      <c r="Q3854" s="30"/>
      <c r="R3854" s="30"/>
      <c r="S3854" s="30"/>
      <c r="T3854" s="30"/>
      <c r="U3854" s="21" t="str">
        <f aca="false">IF(COUNT(K3854:T3854)=0,"SOURCE EMPTY / INDUSTRIAL ONLY",IF(MIN(K3854:T3854)=1,"SERVICE READY","HOLD"))</f>
        <v>SOURCE EMPTY / INDUSTRIAL ONLY</v>
      </c>
      <c r="V3854" s="9" t="n">
        <f aca="false">IF(U3854="SERVICE READY",1,0)</f>
        <v>0</v>
      </c>
      <c r="W3854" s="6"/>
      <c r="X3854" s="6"/>
      <c r="Y3854" s="6"/>
      <c r="Z3854" s="6"/>
    </row>
    <row r="3855" customFormat="false" ht="15" hidden="false" customHeight="false" outlineLevel="0" collapsed="false">
      <c r="A3855" s="9" t="s">
        <v>4137</v>
      </c>
      <c r="B3855" s="9" t="s">
        <v>3939</v>
      </c>
      <c r="C3855" s="9" t="s">
        <v>3940</v>
      </c>
      <c r="D3855" s="9" t="s">
        <v>3722</v>
      </c>
      <c r="E3855" s="9" t="s">
        <v>1660</v>
      </c>
      <c r="F3855" s="9" t="s">
        <v>200</v>
      </c>
      <c r="G3855" s="9" t="s">
        <v>221</v>
      </c>
      <c r="H3855" s="9" t="n">
        <v>875</v>
      </c>
      <c r="I3855" s="29" t="n">
        <v>0.5</v>
      </c>
      <c r="J3855" s="9" t="n">
        <v>0</v>
      </c>
      <c r="K3855" s="30"/>
      <c r="L3855" s="30"/>
      <c r="M3855" s="30"/>
      <c r="N3855" s="30"/>
      <c r="O3855" s="30"/>
      <c r="P3855" s="30"/>
      <c r="Q3855" s="30"/>
      <c r="R3855" s="30"/>
      <c r="S3855" s="30"/>
      <c r="T3855" s="30"/>
      <c r="U3855" s="21" t="str">
        <f aca="false">IF(COUNT(K3855:T3855)=0,"SOURCE EMPTY / INDUSTRIAL ONLY",IF(MIN(K3855:T3855)=1,"SERVICE READY","HOLD"))</f>
        <v>SOURCE EMPTY / INDUSTRIAL ONLY</v>
      </c>
      <c r="V3855" s="9" t="n">
        <f aca="false">IF(U3855="SERVICE READY",1,0)</f>
        <v>0</v>
      </c>
      <c r="W3855" s="6"/>
      <c r="X3855" s="6"/>
      <c r="Y3855" s="6"/>
      <c r="Z3855" s="6"/>
    </row>
    <row r="3856" customFormat="false" ht="15" hidden="false" customHeight="false" outlineLevel="0" collapsed="false">
      <c r="A3856" s="9" t="s">
        <v>4138</v>
      </c>
      <c r="B3856" s="9" t="s">
        <v>3939</v>
      </c>
      <c r="C3856" s="9" t="s">
        <v>3940</v>
      </c>
      <c r="D3856" s="9" t="s">
        <v>3722</v>
      </c>
      <c r="E3856" s="9" t="s">
        <v>1660</v>
      </c>
      <c r="F3856" s="9" t="s">
        <v>203</v>
      </c>
      <c r="G3856" s="9" t="s">
        <v>221</v>
      </c>
      <c r="H3856" s="9" t="n">
        <v>875</v>
      </c>
      <c r="I3856" s="29" t="n">
        <v>0.5</v>
      </c>
      <c r="J3856" s="9" t="n">
        <v>0</v>
      </c>
      <c r="K3856" s="30"/>
      <c r="L3856" s="30"/>
      <c r="M3856" s="30"/>
      <c r="N3856" s="30"/>
      <c r="O3856" s="30"/>
      <c r="P3856" s="30"/>
      <c r="Q3856" s="30"/>
      <c r="R3856" s="30"/>
      <c r="S3856" s="30"/>
      <c r="T3856" s="30"/>
      <c r="U3856" s="21" t="str">
        <f aca="false">IF(COUNT(K3856:T3856)=0,"SOURCE EMPTY / INDUSTRIAL ONLY",IF(MIN(K3856:T3856)=1,"SERVICE READY","HOLD"))</f>
        <v>SOURCE EMPTY / INDUSTRIAL ONLY</v>
      </c>
      <c r="V3856" s="9" t="n">
        <f aca="false">IF(U3856="SERVICE READY",1,0)</f>
        <v>0</v>
      </c>
      <c r="W3856" s="6"/>
      <c r="X3856" s="6"/>
      <c r="Y3856" s="6"/>
      <c r="Z3856" s="6"/>
    </row>
    <row r="3857" customFormat="false" ht="15" hidden="false" customHeight="false" outlineLevel="0" collapsed="false">
      <c r="A3857" s="9" t="s">
        <v>4139</v>
      </c>
      <c r="B3857" s="9" t="s">
        <v>3939</v>
      </c>
      <c r="C3857" s="9" t="s">
        <v>3940</v>
      </c>
      <c r="D3857" s="9" t="s">
        <v>3722</v>
      </c>
      <c r="E3857" s="9" t="s">
        <v>1660</v>
      </c>
      <c r="F3857" s="9" t="s">
        <v>205</v>
      </c>
      <c r="G3857" s="9" t="s">
        <v>221</v>
      </c>
      <c r="H3857" s="9" t="n">
        <v>875</v>
      </c>
      <c r="I3857" s="29" t="n">
        <v>0.5</v>
      </c>
      <c r="J3857" s="9" t="n">
        <v>0</v>
      </c>
      <c r="K3857" s="30"/>
      <c r="L3857" s="30"/>
      <c r="M3857" s="30"/>
      <c r="N3857" s="30"/>
      <c r="O3857" s="30"/>
      <c r="P3857" s="30"/>
      <c r="Q3857" s="30"/>
      <c r="R3857" s="30"/>
      <c r="S3857" s="30"/>
      <c r="T3857" s="30"/>
      <c r="U3857" s="21" t="str">
        <f aca="false">IF(COUNT(K3857:T3857)=0,"SOURCE EMPTY / INDUSTRIAL ONLY",IF(MIN(K3857:T3857)=1,"SERVICE READY","HOLD"))</f>
        <v>SOURCE EMPTY / INDUSTRIAL ONLY</v>
      </c>
      <c r="V3857" s="9" t="n">
        <f aca="false">IF(U3857="SERVICE READY",1,0)</f>
        <v>0</v>
      </c>
      <c r="W3857" s="6"/>
      <c r="X3857" s="6"/>
      <c r="Y3857" s="6"/>
      <c r="Z3857" s="6"/>
    </row>
    <row r="3858" customFormat="false" ht="15" hidden="false" customHeight="false" outlineLevel="0" collapsed="false">
      <c r="A3858" s="9" t="s">
        <v>4140</v>
      </c>
      <c r="B3858" s="9" t="s">
        <v>3939</v>
      </c>
      <c r="C3858" s="9" t="s">
        <v>3940</v>
      </c>
      <c r="D3858" s="9" t="s">
        <v>3722</v>
      </c>
      <c r="E3858" s="9" t="s">
        <v>1660</v>
      </c>
      <c r="F3858" s="9" t="s">
        <v>207</v>
      </c>
      <c r="G3858" s="9" t="s">
        <v>221</v>
      </c>
      <c r="H3858" s="9" t="n">
        <v>875</v>
      </c>
      <c r="I3858" s="29" t="n">
        <v>0.5</v>
      </c>
      <c r="J3858" s="9" t="n">
        <v>0</v>
      </c>
      <c r="K3858" s="30"/>
      <c r="L3858" s="30"/>
      <c r="M3858" s="30"/>
      <c r="N3858" s="30"/>
      <c r="O3858" s="30"/>
      <c r="P3858" s="30"/>
      <c r="Q3858" s="30"/>
      <c r="R3858" s="30"/>
      <c r="S3858" s="30"/>
      <c r="T3858" s="30"/>
      <c r="U3858" s="21" t="str">
        <f aca="false">IF(COUNT(K3858:T3858)=0,"SOURCE EMPTY / INDUSTRIAL ONLY",IF(MIN(K3858:T3858)=1,"SERVICE READY","HOLD"))</f>
        <v>SOURCE EMPTY / INDUSTRIAL ONLY</v>
      </c>
      <c r="V3858" s="9" t="n">
        <f aca="false">IF(U3858="SERVICE READY",1,0)</f>
        <v>0</v>
      </c>
      <c r="W3858" s="6"/>
      <c r="X3858" s="6"/>
      <c r="Y3858" s="6"/>
      <c r="Z3858" s="6"/>
    </row>
    <row r="3859" customFormat="false" ht="15" hidden="false" customHeight="false" outlineLevel="0" collapsed="false">
      <c r="A3859" s="9" t="s">
        <v>4141</v>
      </c>
      <c r="B3859" s="9" t="s">
        <v>3939</v>
      </c>
      <c r="C3859" s="9" t="s">
        <v>3940</v>
      </c>
      <c r="D3859" s="9" t="s">
        <v>3722</v>
      </c>
      <c r="E3859" s="9" t="s">
        <v>1660</v>
      </c>
      <c r="F3859" s="9" t="s">
        <v>209</v>
      </c>
      <c r="G3859" s="9" t="s">
        <v>221</v>
      </c>
      <c r="H3859" s="9" t="n">
        <v>875</v>
      </c>
      <c r="I3859" s="29" t="n">
        <v>0.5</v>
      </c>
      <c r="J3859" s="9" t="n">
        <v>0</v>
      </c>
      <c r="K3859" s="30"/>
      <c r="L3859" s="30"/>
      <c r="M3859" s="30"/>
      <c r="N3859" s="30"/>
      <c r="O3859" s="30"/>
      <c r="P3859" s="30"/>
      <c r="Q3859" s="30"/>
      <c r="R3859" s="30"/>
      <c r="S3859" s="30"/>
      <c r="T3859" s="30"/>
      <c r="U3859" s="21" t="str">
        <f aca="false">IF(COUNT(K3859:T3859)=0,"SOURCE EMPTY / INDUSTRIAL ONLY",IF(MIN(K3859:T3859)=1,"SERVICE READY","HOLD"))</f>
        <v>SOURCE EMPTY / INDUSTRIAL ONLY</v>
      </c>
      <c r="V3859" s="9" t="n">
        <f aca="false">IF(U3859="SERVICE READY",1,0)</f>
        <v>0</v>
      </c>
      <c r="W3859" s="6"/>
      <c r="X3859" s="6"/>
      <c r="Y3859" s="6"/>
      <c r="Z3859" s="6"/>
    </row>
    <row r="3860" customFormat="false" ht="15" hidden="false" customHeight="false" outlineLevel="0" collapsed="false">
      <c r="A3860" s="9" t="s">
        <v>4142</v>
      </c>
      <c r="B3860" s="9" t="s">
        <v>3939</v>
      </c>
      <c r="C3860" s="9" t="s">
        <v>3940</v>
      </c>
      <c r="D3860" s="9" t="s">
        <v>3722</v>
      </c>
      <c r="E3860" s="9" t="s">
        <v>1660</v>
      </c>
      <c r="F3860" s="9" t="s">
        <v>211</v>
      </c>
      <c r="G3860" s="9" t="s">
        <v>221</v>
      </c>
      <c r="H3860" s="9" t="n">
        <v>875</v>
      </c>
      <c r="I3860" s="29" t="n">
        <v>0.5</v>
      </c>
      <c r="J3860" s="9" t="n">
        <v>0</v>
      </c>
      <c r="K3860" s="30"/>
      <c r="L3860" s="30"/>
      <c r="M3860" s="30"/>
      <c r="N3860" s="30"/>
      <c r="O3860" s="30"/>
      <c r="P3860" s="30"/>
      <c r="Q3860" s="30"/>
      <c r="R3860" s="30"/>
      <c r="S3860" s="30"/>
      <c r="T3860" s="30"/>
      <c r="U3860" s="21" t="str">
        <f aca="false">IF(COUNT(K3860:T3860)=0,"SOURCE EMPTY / INDUSTRIAL ONLY",IF(MIN(K3860:T3860)=1,"SERVICE READY","HOLD"))</f>
        <v>SOURCE EMPTY / INDUSTRIAL ONLY</v>
      </c>
      <c r="V3860" s="9" t="n">
        <f aca="false">IF(U3860="SERVICE READY",1,0)</f>
        <v>0</v>
      </c>
      <c r="W3860" s="6"/>
      <c r="X3860" s="6"/>
      <c r="Y3860" s="6"/>
      <c r="Z3860" s="6"/>
    </row>
    <row r="3861" customFormat="false" ht="15" hidden="false" customHeight="false" outlineLevel="0" collapsed="false">
      <c r="A3861" s="9" t="s">
        <v>4143</v>
      </c>
      <c r="B3861" s="9" t="s">
        <v>3939</v>
      </c>
      <c r="C3861" s="9" t="s">
        <v>3940</v>
      </c>
      <c r="D3861" s="9" t="s">
        <v>3722</v>
      </c>
      <c r="E3861" s="9" t="s">
        <v>1660</v>
      </c>
      <c r="F3861" s="9" t="s">
        <v>197</v>
      </c>
      <c r="G3861" s="9" t="s">
        <v>221</v>
      </c>
      <c r="H3861" s="9" t="n">
        <v>875</v>
      </c>
      <c r="I3861" s="29" t="n">
        <v>0.5</v>
      </c>
      <c r="J3861" s="9" t="n">
        <v>0</v>
      </c>
      <c r="K3861" s="30"/>
      <c r="L3861" s="30"/>
      <c r="M3861" s="30"/>
      <c r="N3861" s="30"/>
      <c r="O3861" s="30"/>
      <c r="P3861" s="30"/>
      <c r="Q3861" s="30"/>
      <c r="R3861" s="30"/>
      <c r="S3861" s="30"/>
      <c r="T3861" s="30"/>
      <c r="U3861" s="21" t="str">
        <f aca="false">IF(COUNT(K3861:T3861)=0,"SOURCE EMPTY / INDUSTRIAL ONLY",IF(MIN(K3861:T3861)=1,"SERVICE READY","HOLD"))</f>
        <v>SOURCE EMPTY / INDUSTRIAL ONLY</v>
      </c>
      <c r="V3861" s="9" t="n">
        <f aca="false">IF(U3861="SERVICE READY",1,0)</f>
        <v>0</v>
      </c>
      <c r="W3861" s="6"/>
      <c r="X3861" s="6"/>
      <c r="Y3861" s="6"/>
      <c r="Z3861" s="6"/>
    </row>
    <row r="3862" customFormat="false" ht="15" hidden="false" customHeight="false" outlineLevel="0" collapsed="false">
      <c r="A3862" s="9" t="s">
        <v>4144</v>
      </c>
      <c r="B3862" s="9" t="s">
        <v>3939</v>
      </c>
      <c r="C3862" s="9" t="s">
        <v>3940</v>
      </c>
      <c r="D3862" s="9" t="s">
        <v>3722</v>
      </c>
      <c r="E3862" s="9" t="s">
        <v>1660</v>
      </c>
      <c r="F3862" s="9" t="s">
        <v>200</v>
      </c>
      <c r="G3862" s="9" t="s">
        <v>221</v>
      </c>
      <c r="H3862" s="9" t="n">
        <v>875</v>
      </c>
      <c r="I3862" s="29" t="n">
        <v>0.5</v>
      </c>
      <c r="J3862" s="9" t="n">
        <v>0</v>
      </c>
      <c r="K3862" s="30"/>
      <c r="L3862" s="30"/>
      <c r="M3862" s="30"/>
      <c r="N3862" s="30"/>
      <c r="O3862" s="30"/>
      <c r="P3862" s="30"/>
      <c r="Q3862" s="30"/>
      <c r="R3862" s="30"/>
      <c r="S3862" s="30"/>
      <c r="T3862" s="30"/>
      <c r="U3862" s="21" t="str">
        <f aca="false">IF(COUNT(K3862:T3862)=0,"SOURCE EMPTY / INDUSTRIAL ONLY",IF(MIN(K3862:T3862)=1,"SERVICE READY","HOLD"))</f>
        <v>SOURCE EMPTY / INDUSTRIAL ONLY</v>
      </c>
      <c r="V3862" s="9" t="n">
        <f aca="false">IF(U3862="SERVICE READY",1,0)</f>
        <v>0</v>
      </c>
      <c r="W3862" s="6"/>
      <c r="X3862" s="6"/>
      <c r="Y3862" s="6"/>
      <c r="Z3862" s="6"/>
    </row>
    <row r="3863" customFormat="false" ht="15" hidden="false" customHeight="false" outlineLevel="0" collapsed="false">
      <c r="A3863" s="9" t="s">
        <v>4145</v>
      </c>
      <c r="B3863" s="9" t="s">
        <v>3939</v>
      </c>
      <c r="C3863" s="9" t="s">
        <v>3940</v>
      </c>
      <c r="D3863" s="9" t="s">
        <v>3722</v>
      </c>
      <c r="E3863" s="9" t="s">
        <v>1660</v>
      </c>
      <c r="F3863" s="9" t="s">
        <v>203</v>
      </c>
      <c r="G3863" s="9" t="s">
        <v>221</v>
      </c>
      <c r="H3863" s="9" t="n">
        <v>875</v>
      </c>
      <c r="I3863" s="29" t="n">
        <v>0.5</v>
      </c>
      <c r="J3863" s="9" t="n">
        <v>0</v>
      </c>
      <c r="K3863" s="30"/>
      <c r="L3863" s="30"/>
      <c r="M3863" s="30"/>
      <c r="N3863" s="30"/>
      <c r="O3863" s="30"/>
      <c r="P3863" s="30"/>
      <c r="Q3863" s="30"/>
      <c r="R3863" s="30"/>
      <c r="S3863" s="30"/>
      <c r="T3863" s="30"/>
      <c r="U3863" s="21" t="str">
        <f aca="false">IF(COUNT(K3863:T3863)=0,"SOURCE EMPTY / INDUSTRIAL ONLY",IF(MIN(K3863:T3863)=1,"SERVICE READY","HOLD"))</f>
        <v>SOURCE EMPTY / INDUSTRIAL ONLY</v>
      </c>
      <c r="V3863" s="9" t="n">
        <f aca="false">IF(U3863="SERVICE READY",1,0)</f>
        <v>0</v>
      </c>
      <c r="W3863" s="6"/>
      <c r="X3863" s="6"/>
      <c r="Y3863" s="6"/>
      <c r="Z3863" s="6"/>
    </row>
    <row r="3864" customFormat="false" ht="15" hidden="false" customHeight="false" outlineLevel="0" collapsed="false">
      <c r="A3864" s="9" t="s">
        <v>4146</v>
      </c>
      <c r="B3864" s="9" t="s">
        <v>3939</v>
      </c>
      <c r="C3864" s="9" t="s">
        <v>3940</v>
      </c>
      <c r="D3864" s="9" t="s">
        <v>3722</v>
      </c>
      <c r="E3864" s="9" t="s">
        <v>1660</v>
      </c>
      <c r="F3864" s="9" t="s">
        <v>205</v>
      </c>
      <c r="G3864" s="9" t="s">
        <v>221</v>
      </c>
      <c r="H3864" s="9" t="n">
        <v>875</v>
      </c>
      <c r="I3864" s="29" t="n">
        <v>0.5</v>
      </c>
      <c r="J3864" s="9" t="n">
        <v>0</v>
      </c>
      <c r="K3864" s="30"/>
      <c r="L3864" s="30"/>
      <c r="M3864" s="30"/>
      <c r="N3864" s="30"/>
      <c r="O3864" s="30"/>
      <c r="P3864" s="30"/>
      <c r="Q3864" s="30"/>
      <c r="R3864" s="30"/>
      <c r="S3864" s="30"/>
      <c r="T3864" s="30"/>
      <c r="U3864" s="21" t="str">
        <f aca="false">IF(COUNT(K3864:T3864)=0,"SOURCE EMPTY / INDUSTRIAL ONLY",IF(MIN(K3864:T3864)=1,"SERVICE READY","HOLD"))</f>
        <v>SOURCE EMPTY / INDUSTRIAL ONLY</v>
      </c>
      <c r="V3864" s="9" t="n">
        <f aca="false">IF(U3864="SERVICE READY",1,0)</f>
        <v>0</v>
      </c>
      <c r="W3864" s="6"/>
      <c r="X3864" s="6"/>
      <c r="Y3864" s="6"/>
      <c r="Z3864" s="6"/>
    </row>
    <row r="3865" customFormat="false" ht="15" hidden="false" customHeight="false" outlineLevel="0" collapsed="false">
      <c r="A3865" s="9" t="s">
        <v>4147</v>
      </c>
      <c r="B3865" s="9" t="s">
        <v>3939</v>
      </c>
      <c r="C3865" s="9" t="s">
        <v>3940</v>
      </c>
      <c r="D3865" s="9" t="s">
        <v>3722</v>
      </c>
      <c r="E3865" s="9" t="s">
        <v>1660</v>
      </c>
      <c r="F3865" s="9" t="s">
        <v>207</v>
      </c>
      <c r="G3865" s="9" t="s">
        <v>221</v>
      </c>
      <c r="H3865" s="9" t="n">
        <v>875</v>
      </c>
      <c r="I3865" s="29" t="n">
        <v>0.5</v>
      </c>
      <c r="J3865" s="9" t="n">
        <v>0</v>
      </c>
      <c r="K3865" s="30"/>
      <c r="L3865" s="30"/>
      <c r="M3865" s="30"/>
      <c r="N3865" s="30"/>
      <c r="O3865" s="30"/>
      <c r="P3865" s="30"/>
      <c r="Q3865" s="30"/>
      <c r="R3865" s="30"/>
      <c r="S3865" s="30"/>
      <c r="T3865" s="30"/>
      <c r="U3865" s="21" t="str">
        <f aca="false">IF(COUNT(K3865:T3865)=0,"SOURCE EMPTY / INDUSTRIAL ONLY",IF(MIN(K3865:T3865)=1,"SERVICE READY","HOLD"))</f>
        <v>SOURCE EMPTY / INDUSTRIAL ONLY</v>
      </c>
      <c r="V3865" s="9" t="n">
        <f aca="false">IF(U3865="SERVICE READY",1,0)</f>
        <v>0</v>
      </c>
      <c r="W3865" s="6"/>
      <c r="X3865" s="6"/>
      <c r="Y3865" s="6"/>
      <c r="Z3865" s="6"/>
    </row>
    <row r="3866" customFormat="false" ht="15" hidden="false" customHeight="false" outlineLevel="0" collapsed="false">
      <c r="A3866" s="9" t="s">
        <v>4148</v>
      </c>
      <c r="B3866" s="9" t="s">
        <v>3939</v>
      </c>
      <c r="C3866" s="9" t="s">
        <v>3940</v>
      </c>
      <c r="D3866" s="9" t="s">
        <v>3722</v>
      </c>
      <c r="E3866" s="9" t="s">
        <v>1660</v>
      </c>
      <c r="F3866" s="9" t="s">
        <v>209</v>
      </c>
      <c r="G3866" s="9" t="s">
        <v>221</v>
      </c>
      <c r="H3866" s="9" t="n">
        <v>875</v>
      </c>
      <c r="I3866" s="29" t="n">
        <v>0.5</v>
      </c>
      <c r="J3866" s="9" t="n">
        <v>0</v>
      </c>
      <c r="K3866" s="30"/>
      <c r="L3866" s="30"/>
      <c r="M3866" s="30"/>
      <c r="N3866" s="30"/>
      <c r="O3866" s="30"/>
      <c r="P3866" s="30"/>
      <c r="Q3866" s="30"/>
      <c r="R3866" s="30"/>
      <c r="S3866" s="30"/>
      <c r="T3866" s="30"/>
      <c r="U3866" s="21" t="str">
        <f aca="false">IF(COUNT(K3866:T3866)=0,"SOURCE EMPTY / INDUSTRIAL ONLY",IF(MIN(K3866:T3866)=1,"SERVICE READY","HOLD"))</f>
        <v>SOURCE EMPTY / INDUSTRIAL ONLY</v>
      </c>
      <c r="V3866" s="9" t="n">
        <f aca="false">IF(U3866="SERVICE READY",1,0)</f>
        <v>0</v>
      </c>
      <c r="W3866" s="6"/>
      <c r="X3866" s="6"/>
      <c r="Y3866" s="6"/>
      <c r="Z3866" s="6"/>
    </row>
    <row r="3867" customFormat="false" ht="15" hidden="false" customHeight="false" outlineLevel="0" collapsed="false">
      <c r="A3867" s="9" t="s">
        <v>4149</v>
      </c>
      <c r="B3867" s="9" t="s">
        <v>3939</v>
      </c>
      <c r="C3867" s="9" t="s">
        <v>3940</v>
      </c>
      <c r="D3867" s="9" t="s">
        <v>3722</v>
      </c>
      <c r="E3867" s="9" t="s">
        <v>1660</v>
      </c>
      <c r="F3867" s="9" t="s">
        <v>211</v>
      </c>
      <c r="G3867" s="9" t="s">
        <v>221</v>
      </c>
      <c r="H3867" s="9" t="n">
        <v>875</v>
      </c>
      <c r="I3867" s="29" t="n">
        <v>0.5</v>
      </c>
      <c r="J3867" s="9" t="n">
        <v>0</v>
      </c>
      <c r="K3867" s="30"/>
      <c r="L3867" s="30"/>
      <c r="M3867" s="30"/>
      <c r="N3867" s="30"/>
      <c r="O3867" s="30"/>
      <c r="P3867" s="30"/>
      <c r="Q3867" s="30"/>
      <c r="R3867" s="30"/>
      <c r="S3867" s="30"/>
      <c r="T3867" s="30"/>
      <c r="U3867" s="21" t="str">
        <f aca="false">IF(COUNT(K3867:T3867)=0,"SOURCE EMPTY / INDUSTRIAL ONLY",IF(MIN(K3867:T3867)=1,"SERVICE READY","HOLD"))</f>
        <v>SOURCE EMPTY / INDUSTRIAL ONLY</v>
      </c>
      <c r="V3867" s="9" t="n">
        <f aca="false">IF(U3867="SERVICE READY",1,0)</f>
        <v>0</v>
      </c>
      <c r="W3867" s="6"/>
      <c r="X3867" s="6"/>
      <c r="Y3867" s="6"/>
      <c r="Z3867" s="6"/>
    </row>
    <row r="3868" customFormat="false" ht="15" hidden="false" customHeight="false" outlineLevel="0" collapsed="false">
      <c r="A3868" s="9" t="s">
        <v>4150</v>
      </c>
      <c r="B3868" s="9" t="s">
        <v>3939</v>
      </c>
      <c r="C3868" s="9" t="s">
        <v>3940</v>
      </c>
      <c r="D3868" s="9" t="s">
        <v>3722</v>
      </c>
      <c r="E3868" s="9" t="s">
        <v>1660</v>
      </c>
      <c r="F3868" s="9" t="s">
        <v>197</v>
      </c>
      <c r="G3868" s="9" t="s">
        <v>221</v>
      </c>
      <c r="H3868" s="9" t="n">
        <v>875</v>
      </c>
      <c r="I3868" s="29" t="n">
        <v>0.5</v>
      </c>
      <c r="J3868" s="9" t="n">
        <v>0</v>
      </c>
      <c r="K3868" s="30"/>
      <c r="L3868" s="30"/>
      <c r="M3868" s="30"/>
      <c r="N3868" s="30"/>
      <c r="O3868" s="30"/>
      <c r="P3868" s="30"/>
      <c r="Q3868" s="30"/>
      <c r="R3868" s="30"/>
      <c r="S3868" s="30"/>
      <c r="T3868" s="30"/>
      <c r="U3868" s="21" t="str">
        <f aca="false">IF(COUNT(K3868:T3868)=0,"SOURCE EMPTY / INDUSTRIAL ONLY",IF(MIN(K3868:T3868)=1,"SERVICE READY","HOLD"))</f>
        <v>SOURCE EMPTY / INDUSTRIAL ONLY</v>
      </c>
      <c r="V3868" s="9" t="n">
        <f aca="false">IF(U3868="SERVICE READY",1,0)</f>
        <v>0</v>
      </c>
      <c r="W3868" s="6"/>
      <c r="X3868" s="6"/>
      <c r="Y3868" s="6"/>
      <c r="Z3868" s="6"/>
    </row>
    <row r="3869" customFormat="false" ht="15" hidden="false" customHeight="false" outlineLevel="0" collapsed="false">
      <c r="A3869" s="9" t="s">
        <v>4151</v>
      </c>
      <c r="B3869" s="9" t="s">
        <v>3939</v>
      </c>
      <c r="C3869" s="9" t="s">
        <v>3940</v>
      </c>
      <c r="D3869" s="9" t="s">
        <v>3722</v>
      </c>
      <c r="E3869" s="9" t="s">
        <v>1660</v>
      </c>
      <c r="F3869" s="9" t="s">
        <v>200</v>
      </c>
      <c r="G3869" s="9" t="s">
        <v>221</v>
      </c>
      <c r="H3869" s="9" t="n">
        <v>875</v>
      </c>
      <c r="I3869" s="29" t="n">
        <v>0.5</v>
      </c>
      <c r="J3869" s="9" t="n">
        <v>0</v>
      </c>
      <c r="K3869" s="30"/>
      <c r="L3869" s="30"/>
      <c r="M3869" s="30"/>
      <c r="N3869" s="30"/>
      <c r="O3869" s="30"/>
      <c r="P3869" s="30"/>
      <c r="Q3869" s="30"/>
      <c r="R3869" s="30"/>
      <c r="S3869" s="30"/>
      <c r="T3869" s="30"/>
      <c r="U3869" s="21" t="str">
        <f aca="false">IF(COUNT(K3869:T3869)=0,"SOURCE EMPTY / INDUSTRIAL ONLY",IF(MIN(K3869:T3869)=1,"SERVICE READY","HOLD"))</f>
        <v>SOURCE EMPTY / INDUSTRIAL ONLY</v>
      </c>
      <c r="V3869" s="9" t="n">
        <f aca="false">IF(U3869="SERVICE READY",1,0)</f>
        <v>0</v>
      </c>
      <c r="W3869" s="6"/>
      <c r="X3869" s="6"/>
      <c r="Y3869" s="6"/>
      <c r="Z3869" s="6"/>
    </row>
    <row r="3870" customFormat="false" ht="15" hidden="false" customHeight="false" outlineLevel="0" collapsed="false">
      <c r="A3870" s="9" t="s">
        <v>4152</v>
      </c>
      <c r="B3870" s="9" t="s">
        <v>3939</v>
      </c>
      <c r="C3870" s="9" t="s">
        <v>3940</v>
      </c>
      <c r="D3870" s="9" t="s">
        <v>3722</v>
      </c>
      <c r="E3870" s="9" t="s">
        <v>1660</v>
      </c>
      <c r="F3870" s="9" t="s">
        <v>203</v>
      </c>
      <c r="G3870" s="9" t="s">
        <v>221</v>
      </c>
      <c r="H3870" s="9" t="n">
        <v>875</v>
      </c>
      <c r="I3870" s="29" t="n">
        <v>0.5</v>
      </c>
      <c r="J3870" s="9" t="n">
        <v>0</v>
      </c>
      <c r="K3870" s="30"/>
      <c r="L3870" s="30"/>
      <c r="M3870" s="30"/>
      <c r="N3870" s="30"/>
      <c r="O3870" s="30"/>
      <c r="P3870" s="30"/>
      <c r="Q3870" s="30"/>
      <c r="R3870" s="30"/>
      <c r="S3870" s="30"/>
      <c r="T3870" s="30"/>
      <c r="U3870" s="21" t="str">
        <f aca="false">IF(COUNT(K3870:T3870)=0,"SOURCE EMPTY / INDUSTRIAL ONLY",IF(MIN(K3870:T3870)=1,"SERVICE READY","HOLD"))</f>
        <v>SOURCE EMPTY / INDUSTRIAL ONLY</v>
      </c>
      <c r="V3870" s="9" t="n">
        <f aca="false">IF(U3870="SERVICE READY",1,0)</f>
        <v>0</v>
      </c>
      <c r="W3870" s="6"/>
      <c r="X3870" s="6"/>
      <c r="Y3870" s="6"/>
      <c r="Z3870" s="6"/>
    </row>
    <row r="3871" customFormat="false" ht="15" hidden="false" customHeight="false" outlineLevel="0" collapsed="false">
      <c r="A3871" s="9" t="s">
        <v>4153</v>
      </c>
      <c r="B3871" s="9" t="s">
        <v>3939</v>
      </c>
      <c r="C3871" s="9" t="s">
        <v>3940</v>
      </c>
      <c r="D3871" s="9" t="s">
        <v>3722</v>
      </c>
      <c r="E3871" s="9" t="s">
        <v>1660</v>
      </c>
      <c r="F3871" s="9" t="s">
        <v>205</v>
      </c>
      <c r="G3871" s="9" t="s">
        <v>221</v>
      </c>
      <c r="H3871" s="9" t="n">
        <v>875</v>
      </c>
      <c r="I3871" s="29" t="n">
        <v>0.5</v>
      </c>
      <c r="J3871" s="9" t="n">
        <v>0</v>
      </c>
      <c r="K3871" s="30"/>
      <c r="L3871" s="30"/>
      <c r="M3871" s="30"/>
      <c r="N3871" s="30"/>
      <c r="O3871" s="30"/>
      <c r="P3871" s="30"/>
      <c r="Q3871" s="30"/>
      <c r="R3871" s="30"/>
      <c r="S3871" s="30"/>
      <c r="T3871" s="30"/>
      <c r="U3871" s="21" t="str">
        <f aca="false">IF(COUNT(K3871:T3871)=0,"SOURCE EMPTY / INDUSTRIAL ONLY",IF(MIN(K3871:T3871)=1,"SERVICE READY","HOLD"))</f>
        <v>SOURCE EMPTY / INDUSTRIAL ONLY</v>
      </c>
      <c r="V3871" s="9" t="n">
        <f aca="false">IF(U3871="SERVICE READY",1,0)</f>
        <v>0</v>
      </c>
      <c r="W3871" s="6"/>
      <c r="X3871" s="6"/>
      <c r="Y3871" s="6"/>
      <c r="Z3871" s="6"/>
    </row>
    <row r="3872" customFormat="false" ht="15" hidden="false" customHeight="false" outlineLevel="0" collapsed="false">
      <c r="A3872" s="9" t="s">
        <v>4154</v>
      </c>
      <c r="B3872" s="9" t="s">
        <v>3939</v>
      </c>
      <c r="C3872" s="9" t="s">
        <v>3940</v>
      </c>
      <c r="D3872" s="9" t="s">
        <v>3722</v>
      </c>
      <c r="E3872" s="9" t="s">
        <v>1660</v>
      </c>
      <c r="F3872" s="9" t="s">
        <v>207</v>
      </c>
      <c r="G3872" s="9" t="s">
        <v>221</v>
      </c>
      <c r="H3872" s="9" t="n">
        <v>875</v>
      </c>
      <c r="I3872" s="29" t="n">
        <v>0.5</v>
      </c>
      <c r="J3872" s="9" t="n">
        <v>0</v>
      </c>
      <c r="K3872" s="30"/>
      <c r="L3872" s="30"/>
      <c r="M3872" s="30"/>
      <c r="N3872" s="30"/>
      <c r="O3872" s="30"/>
      <c r="P3872" s="30"/>
      <c r="Q3872" s="30"/>
      <c r="R3872" s="30"/>
      <c r="S3872" s="30"/>
      <c r="T3872" s="30"/>
      <c r="U3872" s="21" t="str">
        <f aca="false">IF(COUNT(K3872:T3872)=0,"SOURCE EMPTY / INDUSTRIAL ONLY",IF(MIN(K3872:T3872)=1,"SERVICE READY","HOLD"))</f>
        <v>SOURCE EMPTY / INDUSTRIAL ONLY</v>
      </c>
      <c r="V3872" s="9" t="n">
        <f aca="false">IF(U3872="SERVICE READY",1,0)</f>
        <v>0</v>
      </c>
      <c r="W3872" s="6"/>
      <c r="X3872" s="6"/>
      <c r="Y3872" s="6"/>
      <c r="Z3872" s="6"/>
    </row>
    <row r="3873" customFormat="false" ht="15" hidden="false" customHeight="false" outlineLevel="0" collapsed="false">
      <c r="A3873" s="9" t="s">
        <v>4155</v>
      </c>
      <c r="B3873" s="9" t="s">
        <v>3939</v>
      </c>
      <c r="C3873" s="9" t="s">
        <v>3940</v>
      </c>
      <c r="D3873" s="9" t="s">
        <v>3722</v>
      </c>
      <c r="E3873" s="9" t="s">
        <v>1660</v>
      </c>
      <c r="F3873" s="9" t="s">
        <v>209</v>
      </c>
      <c r="G3873" s="9" t="s">
        <v>221</v>
      </c>
      <c r="H3873" s="9" t="n">
        <v>875</v>
      </c>
      <c r="I3873" s="29" t="n">
        <v>0.5</v>
      </c>
      <c r="J3873" s="9" t="n">
        <v>0</v>
      </c>
      <c r="K3873" s="30"/>
      <c r="L3873" s="30"/>
      <c r="M3873" s="30"/>
      <c r="N3873" s="30"/>
      <c r="O3873" s="30"/>
      <c r="P3873" s="30"/>
      <c r="Q3873" s="30"/>
      <c r="R3873" s="30"/>
      <c r="S3873" s="30"/>
      <c r="T3873" s="30"/>
      <c r="U3873" s="21" t="str">
        <f aca="false">IF(COUNT(K3873:T3873)=0,"SOURCE EMPTY / INDUSTRIAL ONLY",IF(MIN(K3873:T3873)=1,"SERVICE READY","HOLD"))</f>
        <v>SOURCE EMPTY / INDUSTRIAL ONLY</v>
      </c>
      <c r="V3873" s="9" t="n">
        <f aca="false">IF(U3873="SERVICE READY",1,0)</f>
        <v>0</v>
      </c>
      <c r="W3873" s="6"/>
      <c r="X3873" s="6"/>
      <c r="Y3873" s="6"/>
      <c r="Z3873" s="6"/>
    </row>
    <row r="3874" customFormat="false" ht="15" hidden="false" customHeight="false" outlineLevel="0" collapsed="false">
      <c r="A3874" s="9" t="s">
        <v>4156</v>
      </c>
      <c r="B3874" s="9" t="s">
        <v>4157</v>
      </c>
      <c r="C3874" s="9" t="s">
        <v>4158</v>
      </c>
      <c r="D3874" s="9" t="s">
        <v>3722</v>
      </c>
      <c r="E3874" s="9" t="s">
        <v>196</v>
      </c>
      <c r="F3874" s="9" t="s">
        <v>197</v>
      </c>
      <c r="G3874" s="9" t="s">
        <v>198</v>
      </c>
      <c r="H3874" s="9" t="n">
        <v>450</v>
      </c>
      <c r="I3874" s="29" t="n">
        <v>0.3</v>
      </c>
      <c r="J3874" s="9" t="n">
        <v>1</v>
      </c>
      <c r="K3874" s="30"/>
      <c r="L3874" s="30"/>
      <c r="M3874" s="30"/>
      <c r="N3874" s="30"/>
      <c r="O3874" s="30"/>
      <c r="P3874" s="30"/>
      <c r="Q3874" s="30"/>
      <c r="R3874" s="30"/>
      <c r="S3874" s="30"/>
      <c r="T3874" s="30"/>
      <c r="U3874" s="21" t="str">
        <f aca="false">IF(COUNT(K3874:T3874)=0,"SOURCE EMPTY / INDUSTRIAL ONLY",IF(MIN(K3874:T3874)=1,"SERVICE READY","HOLD"))</f>
        <v>SOURCE EMPTY / INDUSTRIAL ONLY</v>
      </c>
      <c r="V3874" s="9" t="n">
        <f aca="false">IF(U3874="SERVICE READY",1,0)</f>
        <v>0</v>
      </c>
      <c r="W3874" s="6"/>
      <c r="X3874" s="6"/>
      <c r="Y3874" s="6"/>
      <c r="Z3874" s="6"/>
    </row>
    <row r="3875" customFormat="false" ht="15" hidden="false" customHeight="false" outlineLevel="0" collapsed="false">
      <c r="A3875" s="9" t="s">
        <v>4159</v>
      </c>
      <c r="B3875" s="9" t="s">
        <v>4157</v>
      </c>
      <c r="C3875" s="9" t="s">
        <v>4158</v>
      </c>
      <c r="D3875" s="9" t="s">
        <v>3722</v>
      </c>
      <c r="E3875" s="9" t="s">
        <v>196</v>
      </c>
      <c r="F3875" s="9" t="s">
        <v>200</v>
      </c>
      <c r="G3875" s="9" t="s">
        <v>201</v>
      </c>
      <c r="H3875" s="9" t="n">
        <v>450</v>
      </c>
      <c r="I3875" s="29" t="n">
        <v>0.3</v>
      </c>
      <c r="J3875" s="9" t="n">
        <v>1</v>
      </c>
      <c r="K3875" s="30"/>
      <c r="L3875" s="30"/>
      <c r="M3875" s="30"/>
      <c r="N3875" s="30"/>
      <c r="O3875" s="30"/>
      <c r="P3875" s="30"/>
      <c r="Q3875" s="30"/>
      <c r="R3875" s="30"/>
      <c r="S3875" s="30"/>
      <c r="T3875" s="30"/>
      <c r="U3875" s="21" t="str">
        <f aca="false">IF(COUNT(K3875:T3875)=0,"SOURCE EMPTY / INDUSTRIAL ONLY",IF(MIN(K3875:T3875)=1,"SERVICE READY","HOLD"))</f>
        <v>SOURCE EMPTY / INDUSTRIAL ONLY</v>
      </c>
      <c r="V3875" s="9" t="n">
        <f aca="false">IF(U3875="SERVICE READY",1,0)</f>
        <v>0</v>
      </c>
      <c r="W3875" s="6"/>
      <c r="X3875" s="6"/>
      <c r="Y3875" s="6"/>
      <c r="Z3875" s="6"/>
    </row>
    <row r="3876" customFormat="false" ht="15" hidden="false" customHeight="false" outlineLevel="0" collapsed="false">
      <c r="A3876" s="9" t="s">
        <v>4160</v>
      </c>
      <c r="B3876" s="9" t="s">
        <v>4157</v>
      </c>
      <c r="C3876" s="9" t="s">
        <v>4158</v>
      </c>
      <c r="D3876" s="9" t="s">
        <v>3722</v>
      </c>
      <c r="E3876" s="9" t="s">
        <v>196</v>
      </c>
      <c r="F3876" s="9" t="s">
        <v>203</v>
      </c>
      <c r="G3876" s="9" t="s">
        <v>198</v>
      </c>
      <c r="H3876" s="9" t="n">
        <v>450</v>
      </c>
      <c r="I3876" s="29" t="n">
        <v>0.3</v>
      </c>
      <c r="J3876" s="9" t="n">
        <v>1</v>
      </c>
      <c r="K3876" s="30"/>
      <c r="L3876" s="30"/>
      <c r="M3876" s="30"/>
      <c r="N3876" s="30"/>
      <c r="O3876" s="30"/>
      <c r="P3876" s="30"/>
      <c r="Q3876" s="30"/>
      <c r="R3876" s="30"/>
      <c r="S3876" s="30"/>
      <c r="T3876" s="30"/>
      <c r="U3876" s="21" t="str">
        <f aca="false">IF(COUNT(K3876:T3876)=0,"SOURCE EMPTY / INDUSTRIAL ONLY",IF(MIN(K3876:T3876)=1,"SERVICE READY","HOLD"))</f>
        <v>SOURCE EMPTY / INDUSTRIAL ONLY</v>
      </c>
      <c r="V3876" s="9" t="n">
        <f aca="false">IF(U3876="SERVICE READY",1,0)</f>
        <v>0</v>
      </c>
      <c r="W3876" s="6"/>
      <c r="X3876" s="6"/>
      <c r="Y3876" s="6"/>
      <c r="Z3876" s="6"/>
    </row>
    <row r="3877" customFormat="false" ht="15" hidden="false" customHeight="false" outlineLevel="0" collapsed="false">
      <c r="A3877" s="9" t="s">
        <v>4161</v>
      </c>
      <c r="B3877" s="9" t="s">
        <v>4157</v>
      </c>
      <c r="C3877" s="9" t="s">
        <v>4158</v>
      </c>
      <c r="D3877" s="9" t="s">
        <v>3722</v>
      </c>
      <c r="E3877" s="9" t="s">
        <v>196</v>
      </c>
      <c r="F3877" s="9" t="s">
        <v>205</v>
      </c>
      <c r="G3877" s="9" t="s">
        <v>201</v>
      </c>
      <c r="H3877" s="9" t="n">
        <v>450</v>
      </c>
      <c r="I3877" s="29" t="n">
        <v>0.3</v>
      </c>
      <c r="J3877" s="9" t="n">
        <v>1</v>
      </c>
      <c r="K3877" s="30"/>
      <c r="L3877" s="30"/>
      <c r="M3877" s="30"/>
      <c r="N3877" s="30"/>
      <c r="O3877" s="30"/>
      <c r="P3877" s="30"/>
      <c r="Q3877" s="30"/>
      <c r="R3877" s="30"/>
      <c r="S3877" s="30"/>
      <c r="T3877" s="30"/>
      <c r="U3877" s="21" t="str">
        <f aca="false">IF(COUNT(K3877:T3877)=0,"SOURCE EMPTY / INDUSTRIAL ONLY",IF(MIN(K3877:T3877)=1,"SERVICE READY","HOLD"))</f>
        <v>SOURCE EMPTY / INDUSTRIAL ONLY</v>
      </c>
      <c r="V3877" s="9" t="n">
        <f aca="false">IF(U3877="SERVICE READY",1,0)</f>
        <v>0</v>
      </c>
      <c r="W3877" s="6"/>
      <c r="X3877" s="6"/>
      <c r="Y3877" s="6"/>
      <c r="Z3877" s="6"/>
    </row>
    <row r="3878" customFormat="false" ht="15" hidden="false" customHeight="false" outlineLevel="0" collapsed="false">
      <c r="A3878" s="9" t="s">
        <v>4162</v>
      </c>
      <c r="B3878" s="9" t="s">
        <v>4157</v>
      </c>
      <c r="C3878" s="9" t="s">
        <v>4158</v>
      </c>
      <c r="D3878" s="9" t="s">
        <v>3722</v>
      </c>
      <c r="E3878" s="9" t="s">
        <v>196</v>
      </c>
      <c r="F3878" s="9" t="s">
        <v>207</v>
      </c>
      <c r="G3878" s="9" t="s">
        <v>198</v>
      </c>
      <c r="H3878" s="9" t="n">
        <v>450</v>
      </c>
      <c r="I3878" s="29" t="n">
        <v>0.3</v>
      </c>
      <c r="J3878" s="9" t="n">
        <v>1</v>
      </c>
      <c r="K3878" s="30"/>
      <c r="L3878" s="30"/>
      <c r="M3878" s="30"/>
      <c r="N3878" s="30"/>
      <c r="O3878" s="30"/>
      <c r="P3878" s="30"/>
      <c r="Q3878" s="30"/>
      <c r="R3878" s="30"/>
      <c r="S3878" s="30"/>
      <c r="T3878" s="30"/>
      <c r="U3878" s="21" t="str">
        <f aca="false">IF(COUNT(K3878:T3878)=0,"SOURCE EMPTY / INDUSTRIAL ONLY",IF(MIN(K3878:T3878)=1,"SERVICE READY","HOLD"))</f>
        <v>SOURCE EMPTY / INDUSTRIAL ONLY</v>
      </c>
      <c r="V3878" s="9" t="n">
        <f aca="false">IF(U3878="SERVICE READY",1,0)</f>
        <v>0</v>
      </c>
      <c r="W3878" s="6"/>
      <c r="X3878" s="6"/>
      <c r="Y3878" s="6"/>
      <c r="Z3878" s="6"/>
    </row>
    <row r="3879" customFormat="false" ht="15" hidden="false" customHeight="false" outlineLevel="0" collapsed="false">
      <c r="A3879" s="9" t="s">
        <v>4163</v>
      </c>
      <c r="B3879" s="9" t="s">
        <v>4157</v>
      </c>
      <c r="C3879" s="9" t="s">
        <v>4158</v>
      </c>
      <c r="D3879" s="9" t="s">
        <v>3722</v>
      </c>
      <c r="E3879" s="9" t="s">
        <v>196</v>
      </c>
      <c r="F3879" s="9" t="s">
        <v>209</v>
      </c>
      <c r="G3879" s="9" t="s">
        <v>201</v>
      </c>
      <c r="H3879" s="9" t="n">
        <v>450</v>
      </c>
      <c r="I3879" s="29" t="n">
        <v>0.3</v>
      </c>
      <c r="J3879" s="9" t="n">
        <v>1</v>
      </c>
      <c r="K3879" s="30"/>
      <c r="L3879" s="30"/>
      <c r="M3879" s="30"/>
      <c r="N3879" s="30"/>
      <c r="O3879" s="30"/>
      <c r="P3879" s="30"/>
      <c r="Q3879" s="30"/>
      <c r="R3879" s="30"/>
      <c r="S3879" s="30"/>
      <c r="T3879" s="30"/>
      <c r="U3879" s="21" t="str">
        <f aca="false">IF(COUNT(K3879:T3879)=0,"SOURCE EMPTY / INDUSTRIAL ONLY",IF(MIN(K3879:T3879)=1,"SERVICE READY","HOLD"))</f>
        <v>SOURCE EMPTY / INDUSTRIAL ONLY</v>
      </c>
      <c r="V3879" s="9" t="n">
        <f aca="false">IF(U3879="SERVICE READY",1,0)</f>
        <v>0</v>
      </c>
      <c r="W3879" s="6"/>
      <c r="X3879" s="6"/>
      <c r="Y3879" s="6"/>
      <c r="Z3879" s="6"/>
    </row>
    <row r="3880" customFormat="false" ht="15" hidden="false" customHeight="false" outlineLevel="0" collapsed="false">
      <c r="A3880" s="9" t="s">
        <v>4164</v>
      </c>
      <c r="B3880" s="9" t="s">
        <v>4157</v>
      </c>
      <c r="C3880" s="9" t="s">
        <v>4158</v>
      </c>
      <c r="D3880" s="9" t="s">
        <v>3722</v>
      </c>
      <c r="E3880" s="9" t="s">
        <v>196</v>
      </c>
      <c r="F3880" s="9" t="s">
        <v>211</v>
      </c>
      <c r="G3880" s="9" t="s">
        <v>198</v>
      </c>
      <c r="H3880" s="9" t="n">
        <v>450</v>
      </c>
      <c r="I3880" s="29" t="n">
        <v>0.3</v>
      </c>
      <c r="J3880" s="9" t="n">
        <v>1</v>
      </c>
      <c r="K3880" s="30"/>
      <c r="L3880" s="30"/>
      <c r="M3880" s="30"/>
      <c r="N3880" s="30"/>
      <c r="O3880" s="30"/>
      <c r="P3880" s="30"/>
      <c r="Q3880" s="30"/>
      <c r="R3880" s="30"/>
      <c r="S3880" s="30"/>
      <c r="T3880" s="30"/>
      <c r="U3880" s="21" t="str">
        <f aca="false">IF(COUNT(K3880:T3880)=0,"SOURCE EMPTY / INDUSTRIAL ONLY",IF(MIN(K3880:T3880)=1,"SERVICE READY","HOLD"))</f>
        <v>SOURCE EMPTY / INDUSTRIAL ONLY</v>
      </c>
      <c r="V3880" s="9" t="n">
        <f aca="false">IF(U3880="SERVICE READY",1,0)</f>
        <v>0</v>
      </c>
      <c r="W3880" s="6"/>
      <c r="X3880" s="6"/>
      <c r="Y3880" s="6"/>
      <c r="Z3880" s="6"/>
    </row>
    <row r="3881" customFormat="false" ht="15" hidden="false" customHeight="false" outlineLevel="0" collapsed="false">
      <c r="A3881" s="9" t="s">
        <v>4165</v>
      </c>
      <c r="B3881" s="9" t="s">
        <v>4157</v>
      </c>
      <c r="C3881" s="9" t="s">
        <v>4158</v>
      </c>
      <c r="D3881" s="9" t="s">
        <v>3722</v>
      </c>
      <c r="E3881" s="9" t="s">
        <v>196</v>
      </c>
      <c r="F3881" s="9" t="s">
        <v>197</v>
      </c>
      <c r="G3881" s="9" t="s">
        <v>201</v>
      </c>
      <c r="H3881" s="9" t="n">
        <v>450</v>
      </c>
      <c r="I3881" s="29" t="n">
        <v>0.3</v>
      </c>
      <c r="J3881" s="9" t="n">
        <v>1</v>
      </c>
      <c r="K3881" s="30"/>
      <c r="L3881" s="30"/>
      <c r="M3881" s="30"/>
      <c r="N3881" s="30"/>
      <c r="O3881" s="30"/>
      <c r="P3881" s="30"/>
      <c r="Q3881" s="30"/>
      <c r="R3881" s="30"/>
      <c r="S3881" s="30"/>
      <c r="T3881" s="30"/>
      <c r="U3881" s="21" t="str">
        <f aca="false">IF(COUNT(K3881:T3881)=0,"SOURCE EMPTY / INDUSTRIAL ONLY",IF(MIN(K3881:T3881)=1,"SERVICE READY","HOLD"))</f>
        <v>SOURCE EMPTY / INDUSTRIAL ONLY</v>
      </c>
      <c r="V3881" s="9" t="n">
        <f aca="false">IF(U3881="SERVICE READY",1,0)</f>
        <v>0</v>
      </c>
      <c r="W3881" s="6"/>
      <c r="X3881" s="6"/>
      <c r="Y3881" s="6"/>
      <c r="Z3881" s="6"/>
    </row>
    <row r="3882" customFormat="false" ht="15" hidden="false" customHeight="false" outlineLevel="0" collapsed="false">
      <c r="A3882" s="9" t="s">
        <v>4166</v>
      </c>
      <c r="B3882" s="9" t="s">
        <v>4157</v>
      </c>
      <c r="C3882" s="9" t="s">
        <v>4158</v>
      </c>
      <c r="D3882" s="9" t="s">
        <v>3722</v>
      </c>
      <c r="E3882" s="9" t="s">
        <v>196</v>
      </c>
      <c r="F3882" s="9" t="s">
        <v>200</v>
      </c>
      <c r="G3882" s="9" t="s">
        <v>198</v>
      </c>
      <c r="H3882" s="9" t="n">
        <v>450</v>
      </c>
      <c r="I3882" s="29" t="n">
        <v>0.3</v>
      </c>
      <c r="J3882" s="9" t="n">
        <v>1</v>
      </c>
      <c r="K3882" s="30"/>
      <c r="L3882" s="30"/>
      <c r="M3882" s="30"/>
      <c r="N3882" s="30"/>
      <c r="O3882" s="30"/>
      <c r="P3882" s="30"/>
      <c r="Q3882" s="30"/>
      <c r="R3882" s="30"/>
      <c r="S3882" s="30"/>
      <c r="T3882" s="30"/>
      <c r="U3882" s="21" t="str">
        <f aca="false">IF(COUNT(K3882:T3882)=0,"SOURCE EMPTY / INDUSTRIAL ONLY",IF(MIN(K3882:T3882)=1,"SERVICE READY","HOLD"))</f>
        <v>SOURCE EMPTY / INDUSTRIAL ONLY</v>
      </c>
      <c r="V3882" s="9" t="n">
        <f aca="false">IF(U3882="SERVICE READY",1,0)</f>
        <v>0</v>
      </c>
      <c r="W3882" s="6"/>
      <c r="X3882" s="6"/>
      <c r="Y3882" s="6"/>
      <c r="Z3882" s="6"/>
    </row>
    <row r="3883" customFormat="false" ht="15" hidden="false" customHeight="false" outlineLevel="0" collapsed="false">
      <c r="A3883" s="9" t="s">
        <v>4167</v>
      </c>
      <c r="B3883" s="9" t="s">
        <v>4157</v>
      </c>
      <c r="C3883" s="9" t="s">
        <v>4158</v>
      </c>
      <c r="D3883" s="9" t="s">
        <v>3722</v>
      </c>
      <c r="E3883" s="9" t="s">
        <v>196</v>
      </c>
      <c r="F3883" s="9" t="s">
        <v>203</v>
      </c>
      <c r="G3883" s="9" t="s">
        <v>201</v>
      </c>
      <c r="H3883" s="9" t="n">
        <v>450</v>
      </c>
      <c r="I3883" s="29" t="n">
        <v>0.3</v>
      </c>
      <c r="J3883" s="9" t="n">
        <v>1</v>
      </c>
      <c r="K3883" s="30"/>
      <c r="L3883" s="30"/>
      <c r="M3883" s="30"/>
      <c r="N3883" s="30"/>
      <c r="O3883" s="30"/>
      <c r="P3883" s="30"/>
      <c r="Q3883" s="30"/>
      <c r="R3883" s="30"/>
      <c r="S3883" s="30"/>
      <c r="T3883" s="30"/>
      <c r="U3883" s="21" t="str">
        <f aca="false">IF(COUNT(K3883:T3883)=0,"SOURCE EMPTY / INDUSTRIAL ONLY",IF(MIN(K3883:T3883)=1,"SERVICE READY","HOLD"))</f>
        <v>SOURCE EMPTY / INDUSTRIAL ONLY</v>
      </c>
      <c r="V3883" s="9" t="n">
        <f aca="false">IF(U3883="SERVICE READY",1,0)</f>
        <v>0</v>
      </c>
      <c r="W3883" s="6"/>
      <c r="X3883" s="6"/>
      <c r="Y3883" s="6"/>
      <c r="Z3883" s="6"/>
    </row>
    <row r="3884" customFormat="false" ht="15" hidden="false" customHeight="false" outlineLevel="0" collapsed="false">
      <c r="A3884" s="9" t="s">
        <v>4168</v>
      </c>
      <c r="B3884" s="9" t="s">
        <v>4157</v>
      </c>
      <c r="C3884" s="9" t="s">
        <v>4158</v>
      </c>
      <c r="D3884" s="9" t="s">
        <v>3722</v>
      </c>
      <c r="E3884" s="9" t="s">
        <v>196</v>
      </c>
      <c r="F3884" s="9" t="s">
        <v>205</v>
      </c>
      <c r="G3884" s="9" t="s">
        <v>198</v>
      </c>
      <c r="H3884" s="9" t="n">
        <v>450</v>
      </c>
      <c r="I3884" s="29" t="n">
        <v>0.3</v>
      </c>
      <c r="J3884" s="9" t="n">
        <v>1</v>
      </c>
      <c r="K3884" s="30"/>
      <c r="L3884" s="30"/>
      <c r="M3884" s="30"/>
      <c r="N3884" s="30"/>
      <c r="O3884" s="30"/>
      <c r="P3884" s="30"/>
      <c r="Q3884" s="30"/>
      <c r="R3884" s="30"/>
      <c r="S3884" s="30"/>
      <c r="T3884" s="30"/>
      <c r="U3884" s="21" t="str">
        <f aca="false">IF(COUNT(K3884:T3884)=0,"SOURCE EMPTY / INDUSTRIAL ONLY",IF(MIN(K3884:T3884)=1,"SERVICE READY","HOLD"))</f>
        <v>SOURCE EMPTY / INDUSTRIAL ONLY</v>
      </c>
      <c r="V3884" s="9" t="n">
        <f aca="false">IF(U3884="SERVICE READY",1,0)</f>
        <v>0</v>
      </c>
      <c r="W3884" s="6"/>
      <c r="X3884" s="6"/>
      <c r="Y3884" s="6"/>
      <c r="Z3884" s="6"/>
    </row>
    <row r="3885" customFormat="false" ht="15" hidden="false" customHeight="false" outlineLevel="0" collapsed="false">
      <c r="A3885" s="9" t="s">
        <v>4169</v>
      </c>
      <c r="B3885" s="9" t="s">
        <v>4157</v>
      </c>
      <c r="C3885" s="9" t="s">
        <v>4158</v>
      </c>
      <c r="D3885" s="9" t="s">
        <v>3722</v>
      </c>
      <c r="E3885" s="9" t="s">
        <v>196</v>
      </c>
      <c r="F3885" s="9" t="s">
        <v>207</v>
      </c>
      <c r="G3885" s="9" t="s">
        <v>201</v>
      </c>
      <c r="H3885" s="9" t="n">
        <v>450</v>
      </c>
      <c r="I3885" s="29" t="n">
        <v>0.3</v>
      </c>
      <c r="J3885" s="9" t="n">
        <v>1</v>
      </c>
      <c r="K3885" s="30"/>
      <c r="L3885" s="30"/>
      <c r="M3885" s="30"/>
      <c r="N3885" s="30"/>
      <c r="O3885" s="30"/>
      <c r="P3885" s="30"/>
      <c r="Q3885" s="30"/>
      <c r="R3885" s="30"/>
      <c r="S3885" s="30"/>
      <c r="T3885" s="30"/>
      <c r="U3885" s="21" t="str">
        <f aca="false">IF(COUNT(K3885:T3885)=0,"SOURCE EMPTY / INDUSTRIAL ONLY",IF(MIN(K3885:T3885)=1,"SERVICE READY","HOLD"))</f>
        <v>SOURCE EMPTY / INDUSTRIAL ONLY</v>
      </c>
      <c r="V3885" s="9" t="n">
        <f aca="false">IF(U3885="SERVICE READY",1,0)</f>
        <v>0</v>
      </c>
      <c r="W3885" s="6"/>
      <c r="X3885" s="6"/>
      <c r="Y3885" s="6"/>
      <c r="Z3885" s="6"/>
    </row>
    <row r="3886" customFormat="false" ht="15" hidden="false" customHeight="false" outlineLevel="0" collapsed="false">
      <c r="A3886" s="9" t="s">
        <v>4170</v>
      </c>
      <c r="B3886" s="9" t="s">
        <v>4157</v>
      </c>
      <c r="C3886" s="9" t="s">
        <v>4158</v>
      </c>
      <c r="D3886" s="9" t="s">
        <v>3722</v>
      </c>
      <c r="E3886" s="9" t="s">
        <v>196</v>
      </c>
      <c r="F3886" s="9" t="s">
        <v>209</v>
      </c>
      <c r="G3886" s="9" t="s">
        <v>198</v>
      </c>
      <c r="H3886" s="9" t="n">
        <v>450</v>
      </c>
      <c r="I3886" s="29" t="n">
        <v>0.3</v>
      </c>
      <c r="J3886" s="9" t="n">
        <v>1</v>
      </c>
      <c r="K3886" s="30"/>
      <c r="L3886" s="30"/>
      <c r="M3886" s="30"/>
      <c r="N3886" s="30"/>
      <c r="O3886" s="30"/>
      <c r="P3886" s="30"/>
      <c r="Q3886" s="30"/>
      <c r="R3886" s="30"/>
      <c r="S3886" s="30"/>
      <c r="T3886" s="30"/>
      <c r="U3886" s="21" t="str">
        <f aca="false">IF(COUNT(K3886:T3886)=0,"SOURCE EMPTY / INDUSTRIAL ONLY",IF(MIN(K3886:T3886)=1,"SERVICE READY","HOLD"))</f>
        <v>SOURCE EMPTY / INDUSTRIAL ONLY</v>
      </c>
      <c r="V3886" s="9" t="n">
        <f aca="false">IF(U3886="SERVICE READY",1,0)</f>
        <v>0</v>
      </c>
      <c r="W3886" s="6"/>
      <c r="X3886" s="6"/>
      <c r="Y3886" s="6"/>
      <c r="Z3886" s="6"/>
    </row>
    <row r="3887" customFormat="false" ht="15" hidden="false" customHeight="false" outlineLevel="0" collapsed="false">
      <c r="A3887" s="9" t="s">
        <v>4171</v>
      </c>
      <c r="B3887" s="9" t="s">
        <v>4157</v>
      </c>
      <c r="C3887" s="9" t="s">
        <v>4158</v>
      </c>
      <c r="D3887" s="9" t="s">
        <v>3722</v>
      </c>
      <c r="E3887" s="9" t="s">
        <v>196</v>
      </c>
      <c r="F3887" s="9" t="s">
        <v>211</v>
      </c>
      <c r="G3887" s="9" t="s">
        <v>201</v>
      </c>
      <c r="H3887" s="9" t="n">
        <v>450</v>
      </c>
      <c r="I3887" s="29" t="n">
        <v>0.3</v>
      </c>
      <c r="J3887" s="9" t="n">
        <v>1</v>
      </c>
      <c r="K3887" s="30"/>
      <c r="L3887" s="30"/>
      <c r="M3887" s="30"/>
      <c r="N3887" s="30"/>
      <c r="O3887" s="30"/>
      <c r="P3887" s="30"/>
      <c r="Q3887" s="30"/>
      <c r="R3887" s="30"/>
      <c r="S3887" s="30"/>
      <c r="T3887" s="30"/>
      <c r="U3887" s="21" t="str">
        <f aca="false">IF(COUNT(K3887:T3887)=0,"SOURCE EMPTY / INDUSTRIAL ONLY",IF(MIN(K3887:T3887)=1,"SERVICE READY","HOLD"))</f>
        <v>SOURCE EMPTY / INDUSTRIAL ONLY</v>
      </c>
      <c r="V3887" s="9" t="n">
        <f aca="false">IF(U3887="SERVICE READY",1,0)</f>
        <v>0</v>
      </c>
      <c r="W3887" s="6"/>
      <c r="X3887" s="6"/>
      <c r="Y3887" s="6"/>
      <c r="Z3887" s="6"/>
    </row>
    <row r="3888" customFormat="false" ht="15" hidden="false" customHeight="false" outlineLevel="0" collapsed="false">
      <c r="A3888" s="9" t="s">
        <v>4172</v>
      </c>
      <c r="B3888" s="9" t="s">
        <v>4157</v>
      </c>
      <c r="C3888" s="9" t="s">
        <v>4158</v>
      </c>
      <c r="D3888" s="9" t="s">
        <v>3722</v>
      </c>
      <c r="E3888" s="9" t="s">
        <v>196</v>
      </c>
      <c r="F3888" s="9" t="s">
        <v>197</v>
      </c>
      <c r="G3888" s="9" t="s">
        <v>198</v>
      </c>
      <c r="H3888" s="9" t="n">
        <v>450</v>
      </c>
      <c r="I3888" s="29" t="n">
        <v>0.3</v>
      </c>
      <c r="J3888" s="9" t="n">
        <v>1</v>
      </c>
      <c r="K3888" s="30"/>
      <c r="L3888" s="30"/>
      <c r="M3888" s="30"/>
      <c r="N3888" s="30"/>
      <c r="O3888" s="30"/>
      <c r="P3888" s="30"/>
      <c r="Q3888" s="30"/>
      <c r="R3888" s="30"/>
      <c r="S3888" s="30"/>
      <c r="T3888" s="30"/>
      <c r="U3888" s="21" t="str">
        <f aca="false">IF(COUNT(K3888:T3888)=0,"SOURCE EMPTY / INDUSTRIAL ONLY",IF(MIN(K3888:T3888)=1,"SERVICE READY","HOLD"))</f>
        <v>SOURCE EMPTY / INDUSTRIAL ONLY</v>
      </c>
      <c r="V3888" s="9" t="n">
        <f aca="false">IF(U3888="SERVICE READY",1,0)</f>
        <v>0</v>
      </c>
      <c r="W3888" s="6"/>
      <c r="X3888" s="6"/>
      <c r="Y3888" s="6"/>
      <c r="Z3888" s="6"/>
    </row>
    <row r="3889" customFormat="false" ht="15" hidden="false" customHeight="false" outlineLevel="0" collapsed="false">
      <c r="A3889" s="9" t="s">
        <v>4173</v>
      </c>
      <c r="B3889" s="9" t="s">
        <v>4157</v>
      </c>
      <c r="C3889" s="9" t="s">
        <v>4158</v>
      </c>
      <c r="D3889" s="9" t="s">
        <v>3722</v>
      </c>
      <c r="E3889" s="9" t="s">
        <v>196</v>
      </c>
      <c r="F3889" s="9" t="s">
        <v>200</v>
      </c>
      <c r="G3889" s="9" t="s">
        <v>201</v>
      </c>
      <c r="H3889" s="9" t="n">
        <v>450</v>
      </c>
      <c r="I3889" s="29" t="n">
        <v>0.3</v>
      </c>
      <c r="J3889" s="9" t="n">
        <v>1</v>
      </c>
      <c r="K3889" s="30"/>
      <c r="L3889" s="30"/>
      <c r="M3889" s="30"/>
      <c r="N3889" s="30"/>
      <c r="O3889" s="30"/>
      <c r="P3889" s="30"/>
      <c r="Q3889" s="30"/>
      <c r="R3889" s="30"/>
      <c r="S3889" s="30"/>
      <c r="T3889" s="30"/>
      <c r="U3889" s="21" t="str">
        <f aca="false">IF(COUNT(K3889:T3889)=0,"SOURCE EMPTY / INDUSTRIAL ONLY",IF(MIN(K3889:T3889)=1,"SERVICE READY","HOLD"))</f>
        <v>SOURCE EMPTY / INDUSTRIAL ONLY</v>
      </c>
      <c r="V3889" s="9" t="n">
        <f aca="false">IF(U3889="SERVICE READY",1,0)</f>
        <v>0</v>
      </c>
      <c r="W3889" s="6"/>
      <c r="X3889" s="6"/>
      <c r="Y3889" s="6"/>
      <c r="Z3889" s="6"/>
    </row>
    <row r="3890" customFormat="false" ht="15" hidden="false" customHeight="false" outlineLevel="0" collapsed="false">
      <c r="A3890" s="9" t="s">
        <v>4174</v>
      </c>
      <c r="B3890" s="9" t="s">
        <v>4157</v>
      </c>
      <c r="C3890" s="9" t="s">
        <v>4158</v>
      </c>
      <c r="D3890" s="9" t="s">
        <v>3722</v>
      </c>
      <c r="E3890" s="9" t="s">
        <v>196</v>
      </c>
      <c r="F3890" s="9" t="s">
        <v>203</v>
      </c>
      <c r="G3890" s="9" t="s">
        <v>198</v>
      </c>
      <c r="H3890" s="9" t="n">
        <v>450</v>
      </c>
      <c r="I3890" s="29" t="n">
        <v>0.3</v>
      </c>
      <c r="J3890" s="9" t="n">
        <v>1</v>
      </c>
      <c r="K3890" s="30"/>
      <c r="L3890" s="30"/>
      <c r="M3890" s="30"/>
      <c r="N3890" s="30"/>
      <c r="O3890" s="30"/>
      <c r="P3890" s="30"/>
      <c r="Q3890" s="30"/>
      <c r="R3890" s="30"/>
      <c r="S3890" s="30"/>
      <c r="T3890" s="30"/>
      <c r="U3890" s="21" t="str">
        <f aca="false">IF(COUNT(K3890:T3890)=0,"SOURCE EMPTY / INDUSTRIAL ONLY",IF(MIN(K3890:T3890)=1,"SERVICE READY","HOLD"))</f>
        <v>SOURCE EMPTY / INDUSTRIAL ONLY</v>
      </c>
      <c r="V3890" s="9" t="n">
        <f aca="false">IF(U3890="SERVICE READY",1,0)</f>
        <v>0</v>
      </c>
      <c r="W3890" s="6"/>
      <c r="X3890" s="6"/>
      <c r="Y3890" s="6"/>
      <c r="Z3890" s="6"/>
    </row>
    <row r="3891" customFormat="false" ht="15" hidden="false" customHeight="false" outlineLevel="0" collapsed="false">
      <c r="A3891" s="9" t="s">
        <v>4175</v>
      </c>
      <c r="B3891" s="9" t="s">
        <v>4157</v>
      </c>
      <c r="C3891" s="9" t="s">
        <v>4158</v>
      </c>
      <c r="D3891" s="9" t="s">
        <v>3722</v>
      </c>
      <c r="E3891" s="9" t="s">
        <v>196</v>
      </c>
      <c r="F3891" s="9" t="s">
        <v>205</v>
      </c>
      <c r="G3891" s="9" t="s">
        <v>201</v>
      </c>
      <c r="H3891" s="9" t="n">
        <v>450</v>
      </c>
      <c r="I3891" s="29" t="n">
        <v>0.3</v>
      </c>
      <c r="J3891" s="9" t="n">
        <v>1</v>
      </c>
      <c r="K3891" s="30"/>
      <c r="L3891" s="30"/>
      <c r="M3891" s="30"/>
      <c r="N3891" s="30"/>
      <c r="O3891" s="30"/>
      <c r="P3891" s="30"/>
      <c r="Q3891" s="30"/>
      <c r="R3891" s="30"/>
      <c r="S3891" s="30"/>
      <c r="T3891" s="30"/>
      <c r="U3891" s="21" t="str">
        <f aca="false">IF(COUNT(K3891:T3891)=0,"SOURCE EMPTY / INDUSTRIAL ONLY",IF(MIN(K3891:T3891)=1,"SERVICE READY","HOLD"))</f>
        <v>SOURCE EMPTY / INDUSTRIAL ONLY</v>
      </c>
      <c r="V3891" s="9" t="n">
        <f aca="false">IF(U3891="SERVICE READY",1,0)</f>
        <v>0</v>
      </c>
      <c r="W3891" s="6"/>
      <c r="X3891" s="6"/>
      <c r="Y3891" s="6"/>
      <c r="Z3891" s="6"/>
    </row>
    <row r="3892" customFormat="false" ht="15" hidden="false" customHeight="false" outlineLevel="0" collapsed="false">
      <c r="A3892" s="9" t="s">
        <v>4176</v>
      </c>
      <c r="B3892" s="9" t="s">
        <v>4157</v>
      </c>
      <c r="C3892" s="9" t="s">
        <v>4158</v>
      </c>
      <c r="D3892" s="9" t="s">
        <v>3722</v>
      </c>
      <c r="E3892" s="9" t="s">
        <v>196</v>
      </c>
      <c r="F3892" s="9" t="s">
        <v>207</v>
      </c>
      <c r="G3892" s="9" t="s">
        <v>198</v>
      </c>
      <c r="H3892" s="9" t="n">
        <v>450</v>
      </c>
      <c r="I3892" s="29" t="n">
        <v>0.3</v>
      </c>
      <c r="J3892" s="9" t="n">
        <v>1</v>
      </c>
      <c r="K3892" s="30"/>
      <c r="L3892" s="30"/>
      <c r="M3892" s="30"/>
      <c r="N3892" s="30"/>
      <c r="O3892" s="30"/>
      <c r="P3892" s="30"/>
      <c r="Q3892" s="30"/>
      <c r="R3892" s="30"/>
      <c r="S3892" s="30"/>
      <c r="T3892" s="30"/>
      <c r="U3892" s="21" t="str">
        <f aca="false">IF(COUNT(K3892:T3892)=0,"SOURCE EMPTY / INDUSTRIAL ONLY",IF(MIN(K3892:T3892)=1,"SERVICE READY","HOLD"))</f>
        <v>SOURCE EMPTY / INDUSTRIAL ONLY</v>
      </c>
      <c r="V3892" s="9" t="n">
        <f aca="false">IF(U3892="SERVICE READY",1,0)</f>
        <v>0</v>
      </c>
      <c r="W3892" s="6"/>
      <c r="X3892" s="6"/>
      <c r="Y3892" s="6"/>
      <c r="Z3892" s="6"/>
    </row>
    <row r="3893" customFormat="false" ht="15" hidden="false" customHeight="false" outlineLevel="0" collapsed="false">
      <c r="A3893" s="9" t="s">
        <v>4177</v>
      </c>
      <c r="B3893" s="9" t="s">
        <v>4157</v>
      </c>
      <c r="C3893" s="9" t="s">
        <v>4158</v>
      </c>
      <c r="D3893" s="9" t="s">
        <v>3722</v>
      </c>
      <c r="E3893" s="9" t="s">
        <v>196</v>
      </c>
      <c r="F3893" s="9" t="s">
        <v>209</v>
      </c>
      <c r="G3893" s="9" t="s">
        <v>201</v>
      </c>
      <c r="H3893" s="9" t="n">
        <v>450</v>
      </c>
      <c r="I3893" s="29" t="n">
        <v>0.3</v>
      </c>
      <c r="J3893" s="9" t="n">
        <v>1</v>
      </c>
      <c r="K3893" s="30"/>
      <c r="L3893" s="30"/>
      <c r="M3893" s="30"/>
      <c r="N3893" s="30"/>
      <c r="O3893" s="30"/>
      <c r="P3893" s="30"/>
      <c r="Q3893" s="30"/>
      <c r="R3893" s="30"/>
      <c r="S3893" s="30"/>
      <c r="T3893" s="30"/>
      <c r="U3893" s="21" t="str">
        <f aca="false">IF(COUNT(K3893:T3893)=0,"SOURCE EMPTY / INDUSTRIAL ONLY",IF(MIN(K3893:T3893)=1,"SERVICE READY","HOLD"))</f>
        <v>SOURCE EMPTY / INDUSTRIAL ONLY</v>
      </c>
      <c r="V3893" s="9" t="n">
        <f aca="false">IF(U3893="SERVICE READY",1,0)</f>
        <v>0</v>
      </c>
      <c r="W3893" s="6"/>
      <c r="X3893" s="6"/>
      <c r="Y3893" s="6"/>
      <c r="Z3893" s="6"/>
    </row>
    <row r="3894" customFormat="false" ht="15" hidden="false" customHeight="false" outlineLevel="0" collapsed="false">
      <c r="A3894" s="9" t="s">
        <v>4178</v>
      </c>
      <c r="B3894" s="9" t="s">
        <v>4157</v>
      </c>
      <c r="C3894" s="9" t="s">
        <v>4158</v>
      </c>
      <c r="D3894" s="9" t="s">
        <v>3722</v>
      </c>
      <c r="E3894" s="9" t="s">
        <v>196</v>
      </c>
      <c r="F3894" s="9" t="s">
        <v>211</v>
      </c>
      <c r="G3894" s="9" t="s">
        <v>198</v>
      </c>
      <c r="H3894" s="9" t="n">
        <v>450</v>
      </c>
      <c r="I3894" s="29" t="n">
        <v>0.3</v>
      </c>
      <c r="J3894" s="9" t="n">
        <v>1</v>
      </c>
      <c r="K3894" s="30"/>
      <c r="L3894" s="30"/>
      <c r="M3894" s="30"/>
      <c r="N3894" s="30"/>
      <c r="O3894" s="30"/>
      <c r="P3894" s="30"/>
      <c r="Q3894" s="30"/>
      <c r="R3894" s="30"/>
      <c r="S3894" s="30"/>
      <c r="T3894" s="30"/>
      <c r="U3894" s="21" t="str">
        <f aca="false">IF(COUNT(K3894:T3894)=0,"SOURCE EMPTY / INDUSTRIAL ONLY",IF(MIN(K3894:T3894)=1,"SERVICE READY","HOLD"))</f>
        <v>SOURCE EMPTY / INDUSTRIAL ONLY</v>
      </c>
      <c r="V3894" s="9" t="n">
        <f aca="false">IF(U3894="SERVICE READY",1,0)</f>
        <v>0</v>
      </c>
      <c r="W3894" s="6"/>
      <c r="X3894" s="6"/>
      <c r="Y3894" s="6"/>
      <c r="Z3894" s="6"/>
    </row>
    <row r="3895" customFormat="false" ht="15" hidden="false" customHeight="false" outlineLevel="0" collapsed="false">
      <c r="A3895" s="9" t="s">
        <v>4179</v>
      </c>
      <c r="B3895" s="9" t="s">
        <v>4157</v>
      </c>
      <c r="C3895" s="9" t="s">
        <v>4158</v>
      </c>
      <c r="D3895" s="9" t="s">
        <v>3722</v>
      </c>
      <c r="E3895" s="9" t="s">
        <v>196</v>
      </c>
      <c r="F3895" s="9" t="s">
        <v>197</v>
      </c>
      <c r="G3895" s="9" t="s">
        <v>201</v>
      </c>
      <c r="H3895" s="9" t="n">
        <v>450</v>
      </c>
      <c r="I3895" s="29" t="n">
        <v>0.3</v>
      </c>
      <c r="J3895" s="9" t="n">
        <v>1</v>
      </c>
      <c r="K3895" s="30"/>
      <c r="L3895" s="30"/>
      <c r="M3895" s="30"/>
      <c r="N3895" s="30"/>
      <c r="O3895" s="30"/>
      <c r="P3895" s="30"/>
      <c r="Q3895" s="30"/>
      <c r="R3895" s="30"/>
      <c r="S3895" s="30"/>
      <c r="T3895" s="30"/>
      <c r="U3895" s="21" t="str">
        <f aca="false">IF(COUNT(K3895:T3895)=0,"SOURCE EMPTY / INDUSTRIAL ONLY",IF(MIN(K3895:T3895)=1,"SERVICE READY","HOLD"))</f>
        <v>SOURCE EMPTY / INDUSTRIAL ONLY</v>
      </c>
      <c r="V3895" s="9" t="n">
        <f aca="false">IF(U3895="SERVICE READY",1,0)</f>
        <v>0</v>
      </c>
      <c r="W3895" s="6"/>
      <c r="X3895" s="6"/>
      <c r="Y3895" s="6"/>
      <c r="Z3895" s="6"/>
    </row>
    <row r="3896" customFormat="false" ht="15" hidden="false" customHeight="false" outlineLevel="0" collapsed="false">
      <c r="A3896" s="9" t="s">
        <v>4180</v>
      </c>
      <c r="B3896" s="9" t="s">
        <v>4157</v>
      </c>
      <c r="C3896" s="9" t="s">
        <v>4158</v>
      </c>
      <c r="D3896" s="9" t="s">
        <v>3722</v>
      </c>
      <c r="E3896" s="9" t="s">
        <v>196</v>
      </c>
      <c r="F3896" s="9" t="s">
        <v>200</v>
      </c>
      <c r="G3896" s="9" t="s">
        <v>198</v>
      </c>
      <c r="H3896" s="9" t="n">
        <v>450</v>
      </c>
      <c r="I3896" s="29" t="n">
        <v>0.3</v>
      </c>
      <c r="J3896" s="9" t="n">
        <v>1</v>
      </c>
      <c r="K3896" s="30"/>
      <c r="L3896" s="30"/>
      <c r="M3896" s="30"/>
      <c r="N3896" s="30"/>
      <c r="O3896" s="30"/>
      <c r="P3896" s="30"/>
      <c r="Q3896" s="30"/>
      <c r="R3896" s="30"/>
      <c r="S3896" s="30"/>
      <c r="T3896" s="30"/>
      <c r="U3896" s="21" t="str">
        <f aca="false">IF(COUNT(K3896:T3896)=0,"SOURCE EMPTY / INDUSTRIAL ONLY",IF(MIN(K3896:T3896)=1,"SERVICE READY","HOLD"))</f>
        <v>SOURCE EMPTY / INDUSTRIAL ONLY</v>
      </c>
      <c r="V3896" s="9" t="n">
        <f aca="false">IF(U3896="SERVICE READY",1,0)</f>
        <v>0</v>
      </c>
      <c r="W3896" s="6"/>
      <c r="X3896" s="6"/>
      <c r="Y3896" s="6"/>
      <c r="Z3896" s="6"/>
    </row>
    <row r="3897" customFormat="false" ht="15" hidden="false" customHeight="false" outlineLevel="0" collapsed="false">
      <c r="A3897" s="9" t="s">
        <v>4181</v>
      </c>
      <c r="B3897" s="9" t="s">
        <v>4157</v>
      </c>
      <c r="C3897" s="9" t="s">
        <v>4158</v>
      </c>
      <c r="D3897" s="9" t="s">
        <v>3722</v>
      </c>
      <c r="E3897" s="9" t="s">
        <v>196</v>
      </c>
      <c r="F3897" s="9" t="s">
        <v>203</v>
      </c>
      <c r="G3897" s="9" t="s">
        <v>201</v>
      </c>
      <c r="H3897" s="9" t="n">
        <v>450</v>
      </c>
      <c r="I3897" s="29" t="n">
        <v>0.3</v>
      </c>
      <c r="J3897" s="9" t="n">
        <v>1</v>
      </c>
      <c r="K3897" s="30"/>
      <c r="L3897" s="30"/>
      <c r="M3897" s="30"/>
      <c r="N3897" s="30"/>
      <c r="O3897" s="30"/>
      <c r="P3897" s="30"/>
      <c r="Q3897" s="30"/>
      <c r="R3897" s="30"/>
      <c r="S3897" s="30"/>
      <c r="T3897" s="30"/>
      <c r="U3897" s="21" t="str">
        <f aca="false">IF(COUNT(K3897:T3897)=0,"SOURCE EMPTY / INDUSTRIAL ONLY",IF(MIN(K3897:T3897)=1,"SERVICE READY","HOLD"))</f>
        <v>SOURCE EMPTY / INDUSTRIAL ONLY</v>
      </c>
      <c r="V3897" s="9" t="n">
        <f aca="false">IF(U3897="SERVICE READY",1,0)</f>
        <v>0</v>
      </c>
      <c r="W3897" s="6"/>
      <c r="X3897" s="6"/>
      <c r="Y3897" s="6"/>
      <c r="Z3897" s="6"/>
    </row>
    <row r="3898" customFormat="false" ht="15" hidden="false" customHeight="false" outlineLevel="0" collapsed="false">
      <c r="A3898" s="9" t="s">
        <v>4182</v>
      </c>
      <c r="B3898" s="9" t="s">
        <v>4157</v>
      </c>
      <c r="C3898" s="9" t="s">
        <v>4158</v>
      </c>
      <c r="D3898" s="9" t="s">
        <v>3722</v>
      </c>
      <c r="E3898" s="9" t="s">
        <v>196</v>
      </c>
      <c r="F3898" s="9" t="s">
        <v>205</v>
      </c>
      <c r="G3898" s="9" t="s">
        <v>198</v>
      </c>
      <c r="H3898" s="9" t="n">
        <v>450</v>
      </c>
      <c r="I3898" s="29" t="n">
        <v>0.3</v>
      </c>
      <c r="J3898" s="9" t="n">
        <v>1</v>
      </c>
      <c r="K3898" s="30"/>
      <c r="L3898" s="30"/>
      <c r="M3898" s="30"/>
      <c r="N3898" s="30"/>
      <c r="O3898" s="30"/>
      <c r="P3898" s="30"/>
      <c r="Q3898" s="30"/>
      <c r="R3898" s="30"/>
      <c r="S3898" s="30"/>
      <c r="T3898" s="30"/>
      <c r="U3898" s="21" t="str">
        <f aca="false">IF(COUNT(K3898:T3898)=0,"SOURCE EMPTY / INDUSTRIAL ONLY",IF(MIN(K3898:T3898)=1,"SERVICE READY","HOLD"))</f>
        <v>SOURCE EMPTY / INDUSTRIAL ONLY</v>
      </c>
      <c r="V3898" s="9" t="n">
        <f aca="false">IF(U3898="SERVICE READY",1,0)</f>
        <v>0</v>
      </c>
      <c r="W3898" s="6"/>
      <c r="X3898" s="6"/>
      <c r="Y3898" s="6"/>
      <c r="Z3898" s="6"/>
    </row>
    <row r="3899" customFormat="false" ht="15" hidden="false" customHeight="false" outlineLevel="0" collapsed="false">
      <c r="A3899" s="9" t="s">
        <v>4183</v>
      </c>
      <c r="B3899" s="9" t="s">
        <v>4157</v>
      </c>
      <c r="C3899" s="9" t="s">
        <v>4158</v>
      </c>
      <c r="D3899" s="9" t="s">
        <v>3722</v>
      </c>
      <c r="E3899" s="9" t="s">
        <v>196</v>
      </c>
      <c r="F3899" s="9" t="s">
        <v>207</v>
      </c>
      <c r="G3899" s="9" t="s">
        <v>201</v>
      </c>
      <c r="H3899" s="9" t="n">
        <v>450</v>
      </c>
      <c r="I3899" s="29" t="n">
        <v>0.3</v>
      </c>
      <c r="J3899" s="9" t="n">
        <v>1</v>
      </c>
      <c r="K3899" s="30"/>
      <c r="L3899" s="30"/>
      <c r="M3899" s="30"/>
      <c r="N3899" s="30"/>
      <c r="O3899" s="30"/>
      <c r="P3899" s="30"/>
      <c r="Q3899" s="30"/>
      <c r="R3899" s="30"/>
      <c r="S3899" s="30"/>
      <c r="T3899" s="30"/>
      <c r="U3899" s="21" t="str">
        <f aca="false">IF(COUNT(K3899:T3899)=0,"SOURCE EMPTY / INDUSTRIAL ONLY",IF(MIN(K3899:T3899)=1,"SERVICE READY","HOLD"))</f>
        <v>SOURCE EMPTY / INDUSTRIAL ONLY</v>
      </c>
      <c r="V3899" s="9" t="n">
        <f aca="false">IF(U3899="SERVICE READY",1,0)</f>
        <v>0</v>
      </c>
      <c r="W3899" s="6"/>
      <c r="X3899" s="6"/>
      <c r="Y3899" s="6"/>
      <c r="Z3899" s="6"/>
    </row>
    <row r="3900" customFormat="false" ht="15" hidden="false" customHeight="false" outlineLevel="0" collapsed="false">
      <c r="A3900" s="9" t="s">
        <v>4184</v>
      </c>
      <c r="B3900" s="9" t="s">
        <v>4157</v>
      </c>
      <c r="C3900" s="9" t="s">
        <v>4158</v>
      </c>
      <c r="D3900" s="9" t="s">
        <v>3722</v>
      </c>
      <c r="E3900" s="9" t="s">
        <v>196</v>
      </c>
      <c r="F3900" s="9" t="s">
        <v>209</v>
      </c>
      <c r="G3900" s="9" t="s">
        <v>198</v>
      </c>
      <c r="H3900" s="9" t="n">
        <v>450</v>
      </c>
      <c r="I3900" s="29" t="n">
        <v>0.3</v>
      </c>
      <c r="J3900" s="9" t="n">
        <v>1</v>
      </c>
      <c r="K3900" s="30"/>
      <c r="L3900" s="30"/>
      <c r="M3900" s="30"/>
      <c r="N3900" s="30"/>
      <c r="O3900" s="30"/>
      <c r="P3900" s="30"/>
      <c r="Q3900" s="30"/>
      <c r="R3900" s="30"/>
      <c r="S3900" s="30"/>
      <c r="T3900" s="30"/>
      <c r="U3900" s="21" t="str">
        <f aca="false">IF(COUNT(K3900:T3900)=0,"SOURCE EMPTY / INDUSTRIAL ONLY",IF(MIN(K3900:T3900)=1,"SERVICE READY","HOLD"))</f>
        <v>SOURCE EMPTY / INDUSTRIAL ONLY</v>
      </c>
      <c r="V3900" s="9" t="n">
        <f aca="false">IF(U3900="SERVICE READY",1,0)</f>
        <v>0</v>
      </c>
      <c r="W3900" s="6"/>
      <c r="X3900" s="6"/>
      <c r="Y3900" s="6"/>
      <c r="Z3900" s="6"/>
    </row>
    <row r="3901" customFormat="false" ht="15" hidden="false" customHeight="false" outlineLevel="0" collapsed="false">
      <c r="A3901" s="9" t="s">
        <v>4185</v>
      </c>
      <c r="B3901" s="9" t="s">
        <v>4157</v>
      </c>
      <c r="C3901" s="9" t="s">
        <v>4158</v>
      </c>
      <c r="D3901" s="9" t="s">
        <v>3722</v>
      </c>
      <c r="E3901" s="9" t="s">
        <v>196</v>
      </c>
      <c r="F3901" s="9" t="s">
        <v>211</v>
      </c>
      <c r="G3901" s="9" t="s">
        <v>201</v>
      </c>
      <c r="H3901" s="9" t="n">
        <v>450</v>
      </c>
      <c r="I3901" s="29" t="n">
        <v>0.3</v>
      </c>
      <c r="J3901" s="9" t="n">
        <v>1</v>
      </c>
      <c r="K3901" s="30"/>
      <c r="L3901" s="30"/>
      <c r="M3901" s="30"/>
      <c r="N3901" s="30"/>
      <c r="O3901" s="30"/>
      <c r="P3901" s="30"/>
      <c r="Q3901" s="30"/>
      <c r="R3901" s="30"/>
      <c r="S3901" s="30"/>
      <c r="T3901" s="30"/>
      <c r="U3901" s="21" t="str">
        <f aca="false">IF(COUNT(K3901:T3901)=0,"SOURCE EMPTY / INDUSTRIAL ONLY",IF(MIN(K3901:T3901)=1,"SERVICE READY","HOLD"))</f>
        <v>SOURCE EMPTY / INDUSTRIAL ONLY</v>
      </c>
      <c r="V3901" s="9" t="n">
        <f aca="false">IF(U3901="SERVICE READY",1,0)</f>
        <v>0</v>
      </c>
      <c r="W3901" s="6"/>
      <c r="X3901" s="6"/>
      <c r="Y3901" s="6"/>
      <c r="Z3901" s="6"/>
    </row>
    <row r="3902" customFormat="false" ht="15" hidden="false" customHeight="false" outlineLevel="0" collapsed="false">
      <c r="A3902" s="9" t="s">
        <v>4186</v>
      </c>
      <c r="B3902" s="9" t="s">
        <v>4157</v>
      </c>
      <c r="C3902" s="9" t="s">
        <v>4158</v>
      </c>
      <c r="D3902" s="9" t="s">
        <v>3722</v>
      </c>
      <c r="E3902" s="9" t="s">
        <v>196</v>
      </c>
      <c r="F3902" s="9" t="s">
        <v>197</v>
      </c>
      <c r="G3902" s="9" t="s">
        <v>198</v>
      </c>
      <c r="H3902" s="9" t="n">
        <v>450</v>
      </c>
      <c r="I3902" s="29" t="n">
        <v>0.3</v>
      </c>
      <c r="J3902" s="9" t="n">
        <v>1</v>
      </c>
      <c r="K3902" s="30"/>
      <c r="L3902" s="30"/>
      <c r="M3902" s="30"/>
      <c r="N3902" s="30"/>
      <c r="O3902" s="30"/>
      <c r="P3902" s="30"/>
      <c r="Q3902" s="30"/>
      <c r="R3902" s="30"/>
      <c r="S3902" s="30"/>
      <c r="T3902" s="30"/>
      <c r="U3902" s="21" t="str">
        <f aca="false">IF(COUNT(K3902:T3902)=0,"SOURCE EMPTY / INDUSTRIAL ONLY",IF(MIN(K3902:T3902)=1,"SERVICE READY","HOLD"))</f>
        <v>SOURCE EMPTY / INDUSTRIAL ONLY</v>
      </c>
      <c r="V3902" s="9" t="n">
        <f aca="false">IF(U3902="SERVICE READY",1,0)</f>
        <v>0</v>
      </c>
      <c r="W3902" s="6"/>
      <c r="X3902" s="6"/>
      <c r="Y3902" s="6"/>
      <c r="Z3902" s="6"/>
    </row>
    <row r="3903" customFormat="false" ht="15" hidden="false" customHeight="false" outlineLevel="0" collapsed="false">
      <c r="A3903" s="9" t="s">
        <v>4187</v>
      </c>
      <c r="B3903" s="9" t="s">
        <v>4157</v>
      </c>
      <c r="C3903" s="9" t="s">
        <v>4158</v>
      </c>
      <c r="D3903" s="9" t="s">
        <v>3722</v>
      </c>
      <c r="E3903" s="9" t="s">
        <v>196</v>
      </c>
      <c r="F3903" s="9" t="s">
        <v>200</v>
      </c>
      <c r="G3903" s="9" t="s">
        <v>201</v>
      </c>
      <c r="H3903" s="9" t="n">
        <v>450</v>
      </c>
      <c r="I3903" s="29" t="n">
        <v>0.3</v>
      </c>
      <c r="J3903" s="9" t="n">
        <v>1</v>
      </c>
      <c r="K3903" s="30"/>
      <c r="L3903" s="30"/>
      <c r="M3903" s="30"/>
      <c r="N3903" s="30"/>
      <c r="O3903" s="30"/>
      <c r="P3903" s="30"/>
      <c r="Q3903" s="30"/>
      <c r="R3903" s="30"/>
      <c r="S3903" s="30"/>
      <c r="T3903" s="30"/>
      <c r="U3903" s="21" t="str">
        <f aca="false">IF(COUNT(K3903:T3903)=0,"SOURCE EMPTY / INDUSTRIAL ONLY",IF(MIN(K3903:T3903)=1,"SERVICE READY","HOLD"))</f>
        <v>SOURCE EMPTY / INDUSTRIAL ONLY</v>
      </c>
      <c r="V3903" s="9" t="n">
        <f aca="false">IF(U3903="SERVICE READY",1,0)</f>
        <v>0</v>
      </c>
      <c r="W3903" s="6"/>
      <c r="X3903" s="6"/>
      <c r="Y3903" s="6"/>
      <c r="Z3903" s="6"/>
    </row>
    <row r="3904" customFormat="false" ht="15" hidden="false" customHeight="false" outlineLevel="0" collapsed="false">
      <c r="A3904" s="9" t="s">
        <v>4188</v>
      </c>
      <c r="B3904" s="9" t="s">
        <v>4157</v>
      </c>
      <c r="C3904" s="9" t="s">
        <v>4158</v>
      </c>
      <c r="D3904" s="9" t="s">
        <v>3722</v>
      </c>
      <c r="E3904" s="9" t="s">
        <v>196</v>
      </c>
      <c r="F3904" s="9" t="s">
        <v>203</v>
      </c>
      <c r="G3904" s="9" t="s">
        <v>198</v>
      </c>
      <c r="H3904" s="9" t="n">
        <v>450</v>
      </c>
      <c r="I3904" s="29" t="n">
        <v>0.3</v>
      </c>
      <c r="J3904" s="9" t="n">
        <v>1</v>
      </c>
      <c r="K3904" s="30"/>
      <c r="L3904" s="30"/>
      <c r="M3904" s="30"/>
      <c r="N3904" s="30"/>
      <c r="O3904" s="30"/>
      <c r="P3904" s="30"/>
      <c r="Q3904" s="30"/>
      <c r="R3904" s="30"/>
      <c r="S3904" s="30"/>
      <c r="T3904" s="30"/>
      <c r="U3904" s="21" t="str">
        <f aca="false">IF(COUNT(K3904:T3904)=0,"SOURCE EMPTY / INDUSTRIAL ONLY",IF(MIN(K3904:T3904)=1,"SERVICE READY","HOLD"))</f>
        <v>SOURCE EMPTY / INDUSTRIAL ONLY</v>
      </c>
      <c r="V3904" s="9" t="n">
        <f aca="false">IF(U3904="SERVICE READY",1,0)</f>
        <v>0</v>
      </c>
      <c r="W3904" s="6"/>
      <c r="X3904" s="6"/>
      <c r="Y3904" s="6"/>
      <c r="Z3904" s="6"/>
    </row>
    <row r="3905" customFormat="false" ht="15" hidden="false" customHeight="false" outlineLevel="0" collapsed="false">
      <c r="A3905" s="9" t="s">
        <v>4189</v>
      </c>
      <c r="B3905" s="9" t="s">
        <v>4157</v>
      </c>
      <c r="C3905" s="9" t="s">
        <v>4158</v>
      </c>
      <c r="D3905" s="9" t="s">
        <v>3722</v>
      </c>
      <c r="E3905" s="9" t="s">
        <v>196</v>
      </c>
      <c r="F3905" s="9" t="s">
        <v>205</v>
      </c>
      <c r="G3905" s="9" t="s">
        <v>201</v>
      </c>
      <c r="H3905" s="9" t="n">
        <v>450</v>
      </c>
      <c r="I3905" s="29" t="n">
        <v>0.3</v>
      </c>
      <c r="J3905" s="9" t="n">
        <v>1</v>
      </c>
      <c r="K3905" s="30"/>
      <c r="L3905" s="30"/>
      <c r="M3905" s="30"/>
      <c r="N3905" s="30"/>
      <c r="O3905" s="30"/>
      <c r="P3905" s="30"/>
      <c r="Q3905" s="30"/>
      <c r="R3905" s="30"/>
      <c r="S3905" s="30"/>
      <c r="T3905" s="30"/>
      <c r="U3905" s="21" t="str">
        <f aca="false">IF(COUNT(K3905:T3905)=0,"SOURCE EMPTY / INDUSTRIAL ONLY",IF(MIN(K3905:T3905)=1,"SERVICE READY","HOLD"))</f>
        <v>SOURCE EMPTY / INDUSTRIAL ONLY</v>
      </c>
      <c r="V3905" s="9" t="n">
        <f aca="false">IF(U3905="SERVICE READY",1,0)</f>
        <v>0</v>
      </c>
      <c r="W3905" s="6"/>
      <c r="X3905" s="6"/>
      <c r="Y3905" s="6"/>
      <c r="Z3905" s="6"/>
    </row>
    <row r="3906" customFormat="false" ht="15" hidden="false" customHeight="false" outlineLevel="0" collapsed="false">
      <c r="A3906" s="9" t="s">
        <v>4190</v>
      </c>
      <c r="B3906" s="9" t="s">
        <v>4157</v>
      </c>
      <c r="C3906" s="9" t="s">
        <v>4158</v>
      </c>
      <c r="D3906" s="9" t="s">
        <v>3722</v>
      </c>
      <c r="E3906" s="9" t="s">
        <v>196</v>
      </c>
      <c r="F3906" s="9" t="s">
        <v>207</v>
      </c>
      <c r="G3906" s="9" t="s">
        <v>198</v>
      </c>
      <c r="H3906" s="9" t="n">
        <v>450</v>
      </c>
      <c r="I3906" s="29" t="n">
        <v>0.3</v>
      </c>
      <c r="J3906" s="9" t="n">
        <v>1</v>
      </c>
      <c r="K3906" s="30"/>
      <c r="L3906" s="30"/>
      <c r="M3906" s="30"/>
      <c r="N3906" s="30"/>
      <c r="O3906" s="30"/>
      <c r="P3906" s="30"/>
      <c r="Q3906" s="30"/>
      <c r="R3906" s="30"/>
      <c r="S3906" s="30"/>
      <c r="T3906" s="30"/>
      <c r="U3906" s="21" t="str">
        <f aca="false">IF(COUNT(K3906:T3906)=0,"SOURCE EMPTY / INDUSTRIAL ONLY",IF(MIN(K3906:T3906)=1,"SERVICE READY","HOLD"))</f>
        <v>SOURCE EMPTY / INDUSTRIAL ONLY</v>
      </c>
      <c r="V3906" s="9" t="n">
        <f aca="false">IF(U3906="SERVICE READY",1,0)</f>
        <v>0</v>
      </c>
      <c r="W3906" s="6"/>
      <c r="X3906" s="6"/>
      <c r="Y3906" s="6"/>
      <c r="Z3906" s="6"/>
    </row>
    <row r="3907" customFormat="false" ht="15" hidden="false" customHeight="false" outlineLevel="0" collapsed="false">
      <c r="A3907" s="9" t="s">
        <v>4191</v>
      </c>
      <c r="B3907" s="9" t="s">
        <v>4157</v>
      </c>
      <c r="C3907" s="9" t="s">
        <v>4158</v>
      </c>
      <c r="D3907" s="9" t="s">
        <v>3722</v>
      </c>
      <c r="E3907" s="9" t="s">
        <v>196</v>
      </c>
      <c r="F3907" s="9" t="s">
        <v>209</v>
      </c>
      <c r="G3907" s="9" t="s">
        <v>201</v>
      </c>
      <c r="H3907" s="9" t="n">
        <v>450</v>
      </c>
      <c r="I3907" s="29" t="n">
        <v>0.3</v>
      </c>
      <c r="J3907" s="9" t="n">
        <v>1</v>
      </c>
      <c r="K3907" s="30"/>
      <c r="L3907" s="30"/>
      <c r="M3907" s="30"/>
      <c r="N3907" s="30"/>
      <c r="O3907" s="30"/>
      <c r="P3907" s="30"/>
      <c r="Q3907" s="30"/>
      <c r="R3907" s="30"/>
      <c r="S3907" s="30"/>
      <c r="T3907" s="30"/>
      <c r="U3907" s="21" t="str">
        <f aca="false">IF(COUNT(K3907:T3907)=0,"SOURCE EMPTY / INDUSTRIAL ONLY",IF(MIN(K3907:T3907)=1,"SERVICE READY","HOLD"))</f>
        <v>SOURCE EMPTY / INDUSTRIAL ONLY</v>
      </c>
      <c r="V3907" s="9" t="n">
        <f aca="false">IF(U3907="SERVICE READY",1,0)</f>
        <v>0</v>
      </c>
      <c r="W3907" s="6"/>
      <c r="X3907" s="6"/>
      <c r="Y3907" s="6"/>
      <c r="Z3907" s="6"/>
    </row>
    <row r="3908" customFormat="false" ht="15" hidden="false" customHeight="false" outlineLevel="0" collapsed="false">
      <c r="A3908" s="9" t="s">
        <v>4192</v>
      </c>
      <c r="B3908" s="9" t="s">
        <v>4157</v>
      </c>
      <c r="C3908" s="9" t="s">
        <v>4158</v>
      </c>
      <c r="D3908" s="9" t="s">
        <v>3722</v>
      </c>
      <c r="E3908" s="9" t="s">
        <v>196</v>
      </c>
      <c r="F3908" s="9" t="s">
        <v>211</v>
      </c>
      <c r="G3908" s="9" t="s">
        <v>198</v>
      </c>
      <c r="H3908" s="9" t="n">
        <v>450</v>
      </c>
      <c r="I3908" s="29" t="n">
        <v>0.3</v>
      </c>
      <c r="J3908" s="9" t="n">
        <v>1</v>
      </c>
      <c r="K3908" s="30"/>
      <c r="L3908" s="30"/>
      <c r="M3908" s="30"/>
      <c r="N3908" s="30"/>
      <c r="O3908" s="30"/>
      <c r="P3908" s="30"/>
      <c r="Q3908" s="30"/>
      <c r="R3908" s="30"/>
      <c r="S3908" s="30"/>
      <c r="T3908" s="30"/>
      <c r="U3908" s="21" t="str">
        <f aca="false">IF(COUNT(K3908:T3908)=0,"SOURCE EMPTY / INDUSTRIAL ONLY",IF(MIN(K3908:T3908)=1,"SERVICE READY","HOLD"))</f>
        <v>SOURCE EMPTY / INDUSTRIAL ONLY</v>
      </c>
      <c r="V3908" s="9" t="n">
        <f aca="false">IF(U3908="SERVICE READY",1,0)</f>
        <v>0</v>
      </c>
      <c r="W3908" s="6"/>
      <c r="X3908" s="6"/>
      <c r="Y3908" s="6"/>
      <c r="Z3908" s="6"/>
    </row>
    <row r="3909" customFormat="false" ht="15" hidden="false" customHeight="false" outlineLevel="0" collapsed="false">
      <c r="A3909" s="9" t="s">
        <v>4193</v>
      </c>
      <c r="B3909" s="9" t="s">
        <v>4157</v>
      </c>
      <c r="C3909" s="9" t="s">
        <v>4158</v>
      </c>
      <c r="D3909" s="9" t="s">
        <v>3722</v>
      </c>
      <c r="E3909" s="9" t="s">
        <v>196</v>
      </c>
      <c r="F3909" s="9" t="s">
        <v>197</v>
      </c>
      <c r="G3909" s="9" t="s">
        <v>201</v>
      </c>
      <c r="H3909" s="9" t="n">
        <v>450</v>
      </c>
      <c r="I3909" s="29" t="n">
        <v>0.3</v>
      </c>
      <c r="J3909" s="9" t="n">
        <v>1</v>
      </c>
      <c r="K3909" s="30"/>
      <c r="L3909" s="30"/>
      <c r="M3909" s="30"/>
      <c r="N3909" s="30"/>
      <c r="O3909" s="30"/>
      <c r="P3909" s="30"/>
      <c r="Q3909" s="30"/>
      <c r="R3909" s="30"/>
      <c r="S3909" s="30"/>
      <c r="T3909" s="30"/>
      <c r="U3909" s="21" t="str">
        <f aca="false">IF(COUNT(K3909:T3909)=0,"SOURCE EMPTY / INDUSTRIAL ONLY",IF(MIN(K3909:T3909)=1,"SERVICE READY","HOLD"))</f>
        <v>SOURCE EMPTY / INDUSTRIAL ONLY</v>
      </c>
      <c r="V3909" s="9" t="n">
        <f aca="false">IF(U3909="SERVICE READY",1,0)</f>
        <v>0</v>
      </c>
      <c r="W3909" s="6"/>
      <c r="X3909" s="6"/>
      <c r="Y3909" s="6"/>
      <c r="Z3909" s="6"/>
    </row>
    <row r="3910" customFormat="false" ht="15" hidden="false" customHeight="false" outlineLevel="0" collapsed="false">
      <c r="A3910" s="9" t="s">
        <v>4194</v>
      </c>
      <c r="B3910" s="9" t="s">
        <v>4157</v>
      </c>
      <c r="C3910" s="9" t="s">
        <v>4158</v>
      </c>
      <c r="D3910" s="9" t="s">
        <v>3722</v>
      </c>
      <c r="E3910" s="9" t="s">
        <v>196</v>
      </c>
      <c r="F3910" s="9" t="s">
        <v>200</v>
      </c>
      <c r="G3910" s="9" t="s">
        <v>198</v>
      </c>
      <c r="H3910" s="9" t="n">
        <v>450</v>
      </c>
      <c r="I3910" s="29" t="n">
        <v>0.3</v>
      </c>
      <c r="J3910" s="9" t="n">
        <v>1</v>
      </c>
      <c r="K3910" s="30"/>
      <c r="L3910" s="30"/>
      <c r="M3910" s="30"/>
      <c r="N3910" s="30"/>
      <c r="O3910" s="30"/>
      <c r="P3910" s="30"/>
      <c r="Q3910" s="30"/>
      <c r="R3910" s="30"/>
      <c r="S3910" s="30"/>
      <c r="T3910" s="30"/>
      <c r="U3910" s="21" t="str">
        <f aca="false">IF(COUNT(K3910:T3910)=0,"SOURCE EMPTY / INDUSTRIAL ONLY",IF(MIN(K3910:T3910)=1,"SERVICE READY","HOLD"))</f>
        <v>SOURCE EMPTY / INDUSTRIAL ONLY</v>
      </c>
      <c r="V3910" s="9" t="n">
        <f aca="false">IF(U3910="SERVICE READY",1,0)</f>
        <v>0</v>
      </c>
      <c r="W3910" s="6"/>
      <c r="X3910" s="6"/>
      <c r="Y3910" s="6"/>
      <c r="Z3910" s="6"/>
    </row>
    <row r="3911" customFormat="false" ht="15" hidden="false" customHeight="false" outlineLevel="0" collapsed="false">
      <c r="A3911" s="9" t="s">
        <v>4195</v>
      </c>
      <c r="B3911" s="9" t="s">
        <v>4157</v>
      </c>
      <c r="C3911" s="9" t="s">
        <v>4158</v>
      </c>
      <c r="D3911" s="9" t="s">
        <v>3722</v>
      </c>
      <c r="E3911" s="9" t="s">
        <v>196</v>
      </c>
      <c r="F3911" s="9" t="s">
        <v>203</v>
      </c>
      <c r="G3911" s="9" t="s">
        <v>201</v>
      </c>
      <c r="H3911" s="9" t="n">
        <v>450</v>
      </c>
      <c r="I3911" s="29" t="n">
        <v>0.3</v>
      </c>
      <c r="J3911" s="9" t="n">
        <v>1</v>
      </c>
      <c r="K3911" s="30"/>
      <c r="L3911" s="30"/>
      <c r="M3911" s="30"/>
      <c r="N3911" s="30"/>
      <c r="O3911" s="30"/>
      <c r="P3911" s="30"/>
      <c r="Q3911" s="30"/>
      <c r="R3911" s="30"/>
      <c r="S3911" s="30"/>
      <c r="T3911" s="30"/>
      <c r="U3911" s="21" t="str">
        <f aca="false">IF(COUNT(K3911:T3911)=0,"SOURCE EMPTY / INDUSTRIAL ONLY",IF(MIN(K3911:T3911)=1,"SERVICE READY","HOLD"))</f>
        <v>SOURCE EMPTY / INDUSTRIAL ONLY</v>
      </c>
      <c r="V3911" s="9" t="n">
        <f aca="false">IF(U3911="SERVICE READY",1,0)</f>
        <v>0</v>
      </c>
      <c r="W3911" s="6"/>
      <c r="X3911" s="6"/>
      <c r="Y3911" s="6"/>
      <c r="Z3911" s="6"/>
    </row>
    <row r="3912" customFormat="false" ht="15" hidden="false" customHeight="false" outlineLevel="0" collapsed="false">
      <c r="A3912" s="9" t="s">
        <v>4196</v>
      </c>
      <c r="B3912" s="9" t="s">
        <v>4157</v>
      </c>
      <c r="C3912" s="9" t="s">
        <v>4158</v>
      </c>
      <c r="D3912" s="9" t="s">
        <v>3722</v>
      </c>
      <c r="E3912" s="9" t="s">
        <v>196</v>
      </c>
      <c r="F3912" s="9" t="s">
        <v>205</v>
      </c>
      <c r="G3912" s="9" t="s">
        <v>198</v>
      </c>
      <c r="H3912" s="9" t="n">
        <v>450</v>
      </c>
      <c r="I3912" s="29" t="n">
        <v>0.3</v>
      </c>
      <c r="J3912" s="9" t="n">
        <v>1</v>
      </c>
      <c r="K3912" s="30"/>
      <c r="L3912" s="30"/>
      <c r="M3912" s="30"/>
      <c r="N3912" s="30"/>
      <c r="O3912" s="30"/>
      <c r="P3912" s="30"/>
      <c r="Q3912" s="30"/>
      <c r="R3912" s="30"/>
      <c r="S3912" s="30"/>
      <c r="T3912" s="30"/>
      <c r="U3912" s="21" t="str">
        <f aca="false">IF(COUNT(K3912:T3912)=0,"SOURCE EMPTY / INDUSTRIAL ONLY",IF(MIN(K3912:T3912)=1,"SERVICE READY","HOLD"))</f>
        <v>SOURCE EMPTY / INDUSTRIAL ONLY</v>
      </c>
      <c r="V3912" s="9" t="n">
        <f aca="false">IF(U3912="SERVICE READY",1,0)</f>
        <v>0</v>
      </c>
      <c r="W3912" s="6"/>
      <c r="X3912" s="6"/>
      <c r="Y3912" s="6"/>
      <c r="Z3912" s="6"/>
    </row>
    <row r="3913" customFormat="false" ht="15" hidden="false" customHeight="false" outlineLevel="0" collapsed="false">
      <c r="A3913" s="9" t="s">
        <v>4197</v>
      </c>
      <c r="B3913" s="9" t="s">
        <v>4157</v>
      </c>
      <c r="C3913" s="9" t="s">
        <v>4158</v>
      </c>
      <c r="D3913" s="9" t="s">
        <v>3722</v>
      </c>
      <c r="E3913" s="9" t="s">
        <v>196</v>
      </c>
      <c r="F3913" s="9" t="s">
        <v>207</v>
      </c>
      <c r="G3913" s="9" t="s">
        <v>201</v>
      </c>
      <c r="H3913" s="9" t="n">
        <v>450</v>
      </c>
      <c r="I3913" s="29" t="n">
        <v>0.3</v>
      </c>
      <c r="J3913" s="9" t="n">
        <v>1</v>
      </c>
      <c r="K3913" s="30"/>
      <c r="L3913" s="30"/>
      <c r="M3913" s="30"/>
      <c r="N3913" s="30"/>
      <c r="O3913" s="30"/>
      <c r="P3913" s="30"/>
      <c r="Q3913" s="30"/>
      <c r="R3913" s="30"/>
      <c r="S3913" s="30"/>
      <c r="T3913" s="30"/>
      <c r="U3913" s="21" t="str">
        <f aca="false">IF(COUNT(K3913:T3913)=0,"SOURCE EMPTY / INDUSTRIAL ONLY",IF(MIN(K3913:T3913)=1,"SERVICE READY","HOLD"))</f>
        <v>SOURCE EMPTY / INDUSTRIAL ONLY</v>
      </c>
      <c r="V3913" s="9" t="n">
        <f aca="false">IF(U3913="SERVICE READY",1,0)</f>
        <v>0</v>
      </c>
      <c r="W3913" s="6"/>
      <c r="X3913" s="6"/>
      <c r="Y3913" s="6"/>
      <c r="Z3913" s="6"/>
    </row>
    <row r="3914" customFormat="false" ht="15" hidden="false" customHeight="false" outlineLevel="0" collapsed="false">
      <c r="A3914" s="9" t="s">
        <v>4198</v>
      </c>
      <c r="B3914" s="9" t="s">
        <v>4157</v>
      </c>
      <c r="C3914" s="9" t="s">
        <v>4158</v>
      </c>
      <c r="D3914" s="9" t="s">
        <v>3722</v>
      </c>
      <c r="E3914" s="9" t="s">
        <v>196</v>
      </c>
      <c r="F3914" s="9" t="s">
        <v>209</v>
      </c>
      <c r="G3914" s="9" t="s">
        <v>198</v>
      </c>
      <c r="H3914" s="9" t="n">
        <v>450</v>
      </c>
      <c r="I3914" s="29" t="n">
        <v>0.3</v>
      </c>
      <c r="J3914" s="9" t="n">
        <v>1</v>
      </c>
      <c r="K3914" s="30"/>
      <c r="L3914" s="30"/>
      <c r="M3914" s="30"/>
      <c r="N3914" s="30"/>
      <c r="O3914" s="30"/>
      <c r="P3914" s="30"/>
      <c r="Q3914" s="30"/>
      <c r="R3914" s="30"/>
      <c r="S3914" s="30"/>
      <c r="T3914" s="30"/>
      <c r="U3914" s="21" t="str">
        <f aca="false">IF(COUNT(K3914:T3914)=0,"SOURCE EMPTY / INDUSTRIAL ONLY",IF(MIN(K3914:T3914)=1,"SERVICE READY","HOLD"))</f>
        <v>SOURCE EMPTY / INDUSTRIAL ONLY</v>
      </c>
      <c r="V3914" s="9" t="n">
        <f aca="false">IF(U3914="SERVICE READY",1,0)</f>
        <v>0</v>
      </c>
      <c r="W3914" s="6"/>
      <c r="X3914" s="6"/>
      <c r="Y3914" s="6"/>
      <c r="Z3914" s="6"/>
    </row>
    <row r="3915" customFormat="false" ht="15" hidden="false" customHeight="false" outlineLevel="0" collapsed="false">
      <c r="A3915" s="9" t="s">
        <v>4199</v>
      </c>
      <c r="B3915" s="9" t="s">
        <v>4157</v>
      </c>
      <c r="C3915" s="9" t="s">
        <v>4158</v>
      </c>
      <c r="D3915" s="9" t="s">
        <v>3722</v>
      </c>
      <c r="E3915" s="9" t="s">
        <v>196</v>
      </c>
      <c r="F3915" s="9" t="s">
        <v>211</v>
      </c>
      <c r="G3915" s="9" t="s">
        <v>201</v>
      </c>
      <c r="H3915" s="9" t="n">
        <v>450</v>
      </c>
      <c r="I3915" s="29" t="n">
        <v>0.3</v>
      </c>
      <c r="J3915" s="9" t="n">
        <v>1</v>
      </c>
      <c r="K3915" s="30"/>
      <c r="L3915" s="30"/>
      <c r="M3915" s="30"/>
      <c r="N3915" s="30"/>
      <c r="O3915" s="30"/>
      <c r="P3915" s="30"/>
      <c r="Q3915" s="30"/>
      <c r="R3915" s="30"/>
      <c r="S3915" s="30"/>
      <c r="T3915" s="30"/>
      <c r="U3915" s="21" t="str">
        <f aca="false">IF(COUNT(K3915:T3915)=0,"SOURCE EMPTY / INDUSTRIAL ONLY",IF(MIN(K3915:T3915)=1,"SERVICE READY","HOLD"))</f>
        <v>SOURCE EMPTY / INDUSTRIAL ONLY</v>
      </c>
      <c r="V3915" s="9" t="n">
        <f aca="false">IF(U3915="SERVICE READY",1,0)</f>
        <v>0</v>
      </c>
      <c r="W3915" s="6"/>
      <c r="X3915" s="6"/>
      <c r="Y3915" s="6"/>
      <c r="Z3915" s="6"/>
    </row>
    <row r="3916" customFormat="false" ht="15" hidden="false" customHeight="false" outlineLevel="0" collapsed="false">
      <c r="A3916" s="9" t="s">
        <v>4200</v>
      </c>
      <c r="B3916" s="9" t="s">
        <v>4157</v>
      </c>
      <c r="C3916" s="9" t="s">
        <v>4158</v>
      </c>
      <c r="D3916" s="9" t="s">
        <v>3722</v>
      </c>
      <c r="E3916" s="9" t="s">
        <v>196</v>
      </c>
      <c r="F3916" s="9" t="s">
        <v>197</v>
      </c>
      <c r="G3916" s="9" t="s">
        <v>221</v>
      </c>
      <c r="H3916" s="9" t="n">
        <v>450</v>
      </c>
      <c r="I3916" s="29" t="n">
        <v>0.3</v>
      </c>
      <c r="J3916" s="9" t="n">
        <v>1</v>
      </c>
      <c r="K3916" s="30"/>
      <c r="L3916" s="30"/>
      <c r="M3916" s="30"/>
      <c r="N3916" s="30"/>
      <c r="O3916" s="30"/>
      <c r="P3916" s="30"/>
      <c r="Q3916" s="30"/>
      <c r="R3916" s="30"/>
      <c r="S3916" s="30"/>
      <c r="T3916" s="30"/>
      <c r="U3916" s="21" t="str">
        <f aca="false">IF(COUNT(K3916:T3916)=0,"SOURCE EMPTY / INDUSTRIAL ONLY",IF(MIN(K3916:T3916)=1,"SERVICE READY","HOLD"))</f>
        <v>SOURCE EMPTY / INDUSTRIAL ONLY</v>
      </c>
      <c r="V3916" s="9" t="n">
        <f aca="false">IF(U3916="SERVICE READY",1,0)</f>
        <v>0</v>
      </c>
      <c r="W3916" s="6"/>
      <c r="X3916" s="6"/>
      <c r="Y3916" s="6"/>
      <c r="Z3916" s="6"/>
    </row>
    <row r="3917" customFormat="false" ht="15" hidden="false" customHeight="false" outlineLevel="0" collapsed="false">
      <c r="A3917" s="9" t="s">
        <v>4201</v>
      </c>
      <c r="B3917" s="9" t="s">
        <v>4157</v>
      </c>
      <c r="C3917" s="9" t="s">
        <v>4158</v>
      </c>
      <c r="D3917" s="9" t="s">
        <v>3722</v>
      </c>
      <c r="E3917" s="9" t="s">
        <v>196</v>
      </c>
      <c r="F3917" s="9" t="s">
        <v>200</v>
      </c>
      <c r="G3917" s="9" t="s">
        <v>221</v>
      </c>
      <c r="H3917" s="9" t="n">
        <v>450</v>
      </c>
      <c r="I3917" s="29" t="n">
        <v>0.3</v>
      </c>
      <c r="J3917" s="9" t="n">
        <v>1</v>
      </c>
      <c r="K3917" s="30"/>
      <c r="L3917" s="30"/>
      <c r="M3917" s="30"/>
      <c r="N3917" s="30"/>
      <c r="O3917" s="30"/>
      <c r="P3917" s="30"/>
      <c r="Q3917" s="30"/>
      <c r="R3917" s="30"/>
      <c r="S3917" s="30"/>
      <c r="T3917" s="30"/>
      <c r="U3917" s="21" t="str">
        <f aca="false">IF(COUNT(K3917:T3917)=0,"SOURCE EMPTY / INDUSTRIAL ONLY",IF(MIN(K3917:T3917)=1,"SERVICE READY","HOLD"))</f>
        <v>SOURCE EMPTY / INDUSTRIAL ONLY</v>
      </c>
      <c r="V3917" s="9" t="n">
        <f aca="false">IF(U3917="SERVICE READY",1,0)</f>
        <v>0</v>
      </c>
      <c r="W3917" s="6"/>
      <c r="X3917" s="6"/>
      <c r="Y3917" s="6"/>
      <c r="Z3917" s="6"/>
    </row>
    <row r="3918" customFormat="false" ht="15" hidden="false" customHeight="false" outlineLevel="0" collapsed="false">
      <c r="A3918" s="9" t="s">
        <v>4202</v>
      </c>
      <c r="B3918" s="9" t="s">
        <v>4157</v>
      </c>
      <c r="C3918" s="9" t="s">
        <v>4158</v>
      </c>
      <c r="D3918" s="9" t="s">
        <v>3722</v>
      </c>
      <c r="E3918" s="9" t="s">
        <v>196</v>
      </c>
      <c r="F3918" s="9" t="s">
        <v>203</v>
      </c>
      <c r="G3918" s="9" t="s">
        <v>221</v>
      </c>
      <c r="H3918" s="9" t="n">
        <v>450</v>
      </c>
      <c r="I3918" s="29" t="n">
        <v>0.3</v>
      </c>
      <c r="J3918" s="9" t="n">
        <v>1</v>
      </c>
      <c r="K3918" s="30"/>
      <c r="L3918" s="30"/>
      <c r="M3918" s="30"/>
      <c r="N3918" s="30"/>
      <c r="O3918" s="30"/>
      <c r="P3918" s="30"/>
      <c r="Q3918" s="30"/>
      <c r="R3918" s="30"/>
      <c r="S3918" s="30"/>
      <c r="T3918" s="30"/>
      <c r="U3918" s="21" t="str">
        <f aca="false">IF(COUNT(K3918:T3918)=0,"SOURCE EMPTY / INDUSTRIAL ONLY",IF(MIN(K3918:T3918)=1,"SERVICE READY","HOLD"))</f>
        <v>SOURCE EMPTY / INDUSTRIAL ONLY</v>
      </c>
      <c r="V3918" s="9" t="n">
        <f aca="false">IF(U3918="SERVICE READY",1,0)</f>
        <v>0</v>
      </c>
      <c r="W3918" s="6"/>
      <c r="X3918" s="6"/>
      <c r="Y3918" s="6"/>
      <c r="Z3918" s="6"/>
    </row>
    <row r="3919" customFormat="false" ht="15" hidden="false" customHeight="false" outlineLevel="0" collapsed="false">
      <c r="A3919" s="9" t="s">
        <v>4203</v>
      </c>
      <c r="B3919" s="9" t="s">
        <v>4157</v>
      </c>
      <c r="C3919" s="9" t="s">
        <v>4158</v>
      </c>
      <c r="D3919" s="9" t="s">
        <v>3722</v>
      </c>
      <c r="E3919" s="9" t="s">
        <v>196</v>
      </c>
      <c r="F3919" s="9" t="s">
        <v>205</v>
      </c>
      <c r="G3919" s="9" t="s">
        <v>221</v>
      </c>
      <c r="H3919" s="9" t="n">
        <v>450</v>
      </c>
      <c r="I3919" s="29" t="n">
        <v>0.3</v>
      </c>
      <c r="J3919" s="9" t="n">
        <v>1</v>
      </c>
      <c r="K3919" s="30"/>
      <c r="L3919" s="30"/>
      <c r="M3919" s="30"/>
      <c r="N3919" s="30"/>
      <c r="O3919" s="30"/>
      <c r="P3919" s="30"/>
      <c r="Q3919" s="30"/>
      <c r="R3919" s="30"/>
      <c r="S3919" s="30"/>
      <c r="T3919" s="30"/>
      <c r="U3919" s="21" t="str">
        <f aca="false">IF(COUNT(K3919:T3919)=0,"SOURCE EMPTY / INDUSTRIAL ONLY",IF(MIN(K3919:T3919)=1,"SERVICE READY","HOLD"))</f>
        <v>SOURCE EMPTY / INDUSTRIAL ONLY</v>
      </c>
      <c r="V3919" s="9" t="n">
        <f aca="false">IF(U3919="SERVICE READY",1,0)</f>
        <v>0</v>
      </c>
      <c r="W3919" s="6"/>
      <c r="X3919" s="6"/>
      <c r="Y3919" s="6"/>
      <c r="Z3919" s="6"/>
    </row>
    <row r="3920" customFormat="false" ht="15" hidden="false" customHeight="false" outlineLevel="0" collapsed="false">
      <c r="A3920" s="9" t="s">
        <v>4204</v>
      </c>
      <c r="B3920" s="9" t="s">
        <v>4157</v>
      </c>
      <c r="C3920" s="9" t="s">
        <v>4158</v>
      </c>
      <c r="D3920" s="9" t="s">
        <v>3722</v>
      </c>
      <c r="E3920" s="9" t="s">
        <v>196</v>
      </c>
      <c r="F3920" s="9" t="s">
        <v>207</v>
      </c>
      <c r="G3920" s="9" t="s">
        <v>221</v>
      </c>
      <c r="H3920" s="9" t="n">
        <v>450</v>
      </c>
      <c r="I3920" s="29" t="n">
        <v>0.3</v>
      </c>
      <c r="J3920" s="9" t="n">
        <v>1</v>
      </c>
      <c r="K3920" s="30"/>
      <c r="L3920" s="30"/>
      <c r="M3920" s="30"/>
      <c r="N3920" s="30"/>
      <c r="O3920" s="30"/>
      <c r="P3920" s="30"/>
      <c r="Q3920" s="30"/>
      <c r="R3920" s="30"/>
      <c r="S3920" s="30"/>
      <c r="T3920" s="30"/>
      <c r="U3920" s="21" t="str">
        <f aca="false">IF(COUNT(K3920:T3920)=0,"SOURCE EMPTY / INDUSTRIAL ONLY",IF(MIN(K3920:T3920)=1,"SERVICE READY","HOLD"))</f>
        <v>SOURCE EMPTY / INDUSTRIAL ONLY</v>
      </c>
      <c r="V3920" s="9" t="n">
        <f aca="false">IF(U3920="SERVICE READY",1,0)</f>
        <v>0</v>
      </c>
      <c r="W3920" s="6"/>
      <c r="X3920" s="6"/>
      <c r="Y3920" s="6"/>
      <c r="Z3920" s="6"/>
    </row>
    <row r="3921" customFormat="false" ht="15" hidden="false" customHeight="false" outlineLevel="0" collapsed="false">
      <c r="A3921" s="9" t="s">
        <v>4205</v>
      </c>
      <c r="B3921" s="9" t="s">
        <v>4157</v>
      </c>
      <c r="C3921" s="9" t="s">
        <v>4158</v>
      </c>
      <c r="D3921" s="9" t="s">
        <v>3722</v>
      </c>
      <c r="E3921" s="9" t="s">
        <v>196</v>
      </c>
      <c r="F3921" s="9" t="s">
        <v>209</v>
      </c>
      <c r="G3921" s="9" t="s">
        <v>221</v>
      </c>
      <c r="H3921" s="9" t="n">
        <v>450</v>
      </c>
      <c r="I3921" s="29" t="n">
        <v>0.3</v>
      </c>
      <c r="J3921" s="9" t="n">
        <v>1</v>
      </c>
      <c r="K3921" s="30"/>
      <c r="L3921" s="30"/>
      <c r="M3921" s="30"/>
      <c r="N3921" s="30"/>
      <c r="O3921" s="30"/>
      <c r="P3921" s="30"/>
      <c r="Q3921" s="30"/>
      <c r="R3921" s="30"/>
      <c r="S3921" s="30"/>
      <c r="T3921" s="30"/>
      <c r="U3921" s="21" t="str">
        <f aca="false">IF(COUNT(K3921:T3921)=0,"SOURCE EMPTY / INDUSTRIAL ONLY",IF(MIN(K3921:T3921)=1,"SERVICE READY","HOLD"))</f>
        <v>SOURCE EMPTY / INDUSTRIAL ONLY</v>
      </c>
      <c r="V3921" s="9" t="n">
        <f aca="false">IF(U3921="SERVICE READY",1,0)</f>
        <v>0</v>
      </c>
      <c r="W3921" s="6"/>
      <c r="X3921" s="6"/>
      <c r="Y3921" s="6"/>
      <c r="Z3921" s="6"/>
    </row>
    <row r="3922" customFormat="false" ht="15" hidden="false" customHeight="false" outlineLevel="0" collapsed="false">
      <c r="A3922" s="9" t="s">
        <v>4206</v>
      </c>
      <c r="B3922" s="9" t="s">
        <v>4157</v>
      </c>
      <c r="C3922" s="9" t="s">
        <v>4158</v>
      </c>
      <c r="D3922" s="9" t="s">
        <v>3722</v>
      </c>
      <c r="E3922" s="9" t="s">
        <v>196</v>
      </c>
      <c r="F3922" s="9" t="s">
        <v>211</v>
      </c>
      <c r="G3922" s="9" t="s">
        <v>221</v>
      </c>
      <c r="H3922" s="9" t="n">
        <v>450</v>
      </c>
      <c r="I3922" s="29" t="n">
        <v>0.3</v>
      </c>
      <c r="J3922" s="9" t="n">
        <v>1</v>
      </c>
      <c r="K3922" s="30"/>
      <c r="L3922" s="30"/>
      <c r="M3922" s="30"/>
      <c r="N3922" s="30"/>
      <c r="O3922" s="30"/>
      <c r="P3922" s="30"/>
      <c r="Q3922" s="30"/>
      <c r="R3922" s="30"/>
      <c r="S3922" s="30"/>
      <c r="T3922" s="30"/>
      <c r="U3922" s="21" t="str">
        <f aca="false">IF(COUNT(K3922:T3922)=0,"SOURCE EMPTY / INDUSTRIAL ONLY",IF(MIN(K3922:T3922)=1,"SERVICE READY","HOLD"))</f>
        <v>SOURCE EMPTY / INDUSTRIAL ONLY</v>
      </c>
      <c r="V3922" s="9" t="n">
        <f aca="false">IF(U3922="SERVICE READY",1,0)</f>
        <v>0</v>
      </c>
      <c r="W3922" s="6"/>
      <c r="X3922" s="6"/>
      <c r="Y3922" s="6"/>
      <c r="Z3922" s="6"/>
    </row>
    <row r="3923" customFormat="false" ht="15" hidden="false" customHeight="false" outlineLevel="0" collapsed="false">
      <c r="A3923" s="9" t="s">
        <v>4207</v>
      </c>
      <c r="B3923" s="9" t="s">
        <v>4157</v>
      </c>
      <c r="C3923" s="9" t="s">
        <v>4158</v>
      </c>
      <c r="D3923" s="9" t="s">
        <v>3722</v>
      </c>
      <c r="E3923" s="9" t="s">
        <v>196</v>
      </c>
      <c r="F3923" s="9" t="s">
        <v>197</v>
      </c>
      <c r="G3923" s="9" t="s">
        <v>221</v>
      </c>
      <c r="H3923" s="9" t="n">
        <v>450</v>
      </c>
      <c r="I3923" s="29" t="n">
        <v>0.3</v>
      </c>
      <c r="J3923" s="9" t="n">
        <v>1</v>
      </c>
      <c r="K3923" s="30"/>
      <c r="L3923" s="30"/>
      <c r="M3923" s="30"/>
      <c r="N3923" s="30"/>
      <c r="O3923" s="30"/>
      <c r="P3923" s="30"/>
      <c r="Q3923" s="30"/>
      <c r="R3923" s="30"/>
      <c r="S3923" s="30"/>
      <c r="T3923" s="30"/>
      <c r="U3923" s="21" t="str">
        <f aca="false">IF(COUNT(K3923:T3923)=0,"SOURCE EMPTY / INDUSTRIAL ONLY",IF(MIN(K3923:T3923)=1,"SERVICE READY","HOLD"))</f>
        <v>SOURCE EMPTY / INDUSTRIAL ONLY</v>
      </c>
      <c r="V3923" s="9" t="n">
        <f aca="false">IF(U3923="SERVICE READY",1,0)</f>
        <v>0</v>
      </c>
      <c r="W3923" s="6"/>
      <c r="X3923" s="6"/>
      <c r="Y3923" s="6"/>
      <c r="Z3923" s="6"/>
    </row>
    <row r="3924" customFormat="false" ht="15" hidden="false" customHeight="false" outlineLevel="0" collapsed="false">
      <c r="A3924" s="9" t="s">
        <v>4208</v>
      </c>
      <c r="B3924" s="9" t="s">
        <v>4157</v>
      </c>
      <c r="C3924" s="9" t="s">
        <v>4158</v>
      </c>
      <c r="D3924" s="9" t="s">
        <v>3722</v>
      </c>
      <c r="E3924" s="9" t="s">
        <v>196</v>
      </c>
      <c r="F3924" s="9" t="s">
        <v>200</v>
      </c>
      <c r="G3924" s="9" t="s">
        <v>221</v>
      </c>
      <c r="H3924" s="9" t="n">
        <v>450</v>
      </c>
      <c r="I3924" s="29" t="n">
        <v>0.3</v>
      </c>
      <c r="J3924" s="9" t="n">
        <v>1</v>
      </c>
      <c r="K3924" s="30"/>
      <c r="L3924" s="30"/>
      <c r="M3924" s="30"/>
      <c r="N3924" s="30"/>
      <c r="O3924" s="30"/>
      <c r="P3924" s="30"/>
      <c r="Q3924" s="30"/>
      <c r="R3924" s="30"/>
      <c r="S3924" s="30"/>
      <c r="T3924" s="30"/>
      <c r="U3924" s="21" t="str">
        <f aca="false">IF(COUNT(K3924:T3924)=0,"SOURCE EMPTY / INDUSTRIAL ONLY",IF(MIN(K3924:T3924)=1,"SERVICE READY","HOLD"))</f>
        <v>SOURCE EMPTY / INDUSTRIAL ONLY</v>
      </c>
      <c r="V3924" s="9" t="n">
        <f aca="false">IF(U3924="SERVICE READY",1,0)</f>
        <v>0</v>
      </c>
      <c r="W3924" s="6"/>
      <c r="X3924" s="6"/>
      <c r="Y3924" s="6"/>
      <c r="Z3924" s="6"/>
    </row>
    <row r="3925" customFormat="false" ht="15" hidden="false" customHeight="false" outlineLevel="0" collapsed="false">
      <c r="A3925" s="9" t="s">
        <v>4209</v>
      </c>
      <c r="B3925" s="9" t="s">
        <v>4157</v>
      </c>
      <c r="C3925" s="9" t="s">
        <v>4158</v>
      </c>
      <c r="D3925" s="9" t="s">
        <v>3722</v>
      </c>
      <c r="E3925" s="9" t="s">
        <v>196</v>
      </c>
      <c r="F3925" s="9" t="s">
        <v>203</v>
      </c>
      <c r="G3925" s="9" t="s">
        <v>221</v>
      </c>
      <c r="H3925" s="9" t="n">
        <v>450</v>
      </c>
      <c r="I3925" s="29" t="n">
        <v>0.3</v>
      </c>
      <c r="J3925" s="9" t="n">
        <v>1</v>
      </c>
      <c r="K3925" s="30"/>
      <c r="L3925" s="30"/>
      <c r="M3925" s="30"/>
      <c r="N3925" s="30"/>
      <c r="O3925" s="30"/>
      <c r="P3925" s="30"/>
      <c r="Q3925" s="30"/>
      <c r="R3925" s="30"/>
      <c r="S3925" s="30"/>
      <c r="T3925" s="30"/>
      <c r="U3925" s="21" t="str">
        <f aca="false">IF(COUNT(K3925:T3925)=0,"SOURCE EMPTY / INDUSTRIAL ONLY",IF(MIN(K3925:T3925)=1,"SERVICE READY","HOLD"))</f>
        <v>SOURCE EMPTY / INDUSTRIAL ONLY</v>
      </c>
      <c r="V3925" s="9" t="n">
        <f aca="false">IF(U3925="SERVICE READY",1,0)</f>
        <v>0</v>
      </c>
      <c r="W3925" s="6"/>
      <c r="X3925" s="6"/>
      <c r="Y3925" s="6"/>
      <c r="Z3925" s="6"/>
    </row>
    <row r="3926" customFormat="false" ht="15" hidden="false" customHeight="false" outlineLevel="0" collapsed="false">
      <c r="A3926" s="9" t="s">
        <v>4210</v>
      </c>
      <c r="B3926" s="9" t="s">
        <v>4157</v>
      </c>
      <c r="C3926" s="9" t="s">
        <v>4158</v>
      </c>
      <c r="D3926" s="9" t="s">
        <v>3722</v>
      </c>
      <c r="E3926" s="9" t="s">
        <v>196</v>
      </c>
      <c r="F3926" s="9" t="s">
        <v>205</v>
      </c>
      <c r="G3926" s="9" t="s">
        <v>221</v>
      </c>
      <c r="H3926" s="9" t="n">
        <v>450</v>
      </c>
      <c r="I3926" s="29" t="n">
        <v>0.3</v>
      </c>
      <c r="J3926" s="9" t="n">
        <v>1</v>
      </c>
      <c r="K3926" s="30"/>
      <c r="L3926" s="30"/>
      <c r="M3926" s="30"/>
      <c r="N3926" s="30"/>
      <c r="O3926" s="30"/>
      <c r="P3926" s="30"/>
      <c r="Q3926" s="30"/>
      <c r="R3926" s="30"/>
      <c r="S3926" s="30"/>
      <c r="T3926" s="30"/>
      <c r="U3926" s="21" t="str">
        <f aca="false">IF(COUNT(K3926:T3926)=0,"SOURCE EMPTY / INDUSTRIAL ONLY",IF(MIN(K3926:T3926)=1,"SERVICE READY","HOLD"))</f>
        <v>SOURCE EMPTY / INDUSTRIAL ONLY</v>
      </c>
      <c r="V3926" s="9" t="n">
        <f aca="false">IF(U3926="SERVICE READY",1,0)</f>
        <v>0</v>
      </c>
      <c r="W3926" s="6"/>
      <c r="X3926" s="6"/>
      <c r="Y3926" s="6"/>
      <c r="Z3926" s="6"/>
    </row>
    <row r="3927" customFormat="false" ht="15" hidden="false" customHeight="false" outlineLevel="0" collapsed="false">
      <c r="A3927" s="9" t="s">
        <v>4211</v>
      </c>
      <c r="B3927" s="9" t="s">
        <v>4157</v>
      </c>
      <c r="C3927" s="9" t="s">
        <v>4158</v>
      </c>
      <c r="D3927" s="9" t="s">
        <v>3722</v>
      </c>
      <c r="E3927" s="9" t="s">
        <v>196</v>
      </c>
      <c r="F3927" s="9" t="s">
        <v>207</v>
      </c>
      <c r="G3927" s="9" t="s">
        <v>221</v>
      </c>
      <c r="H3927" s="9" t="n">
        <v>450</v>
      </c>
      <c r="I3927" s="29" t="n">
        <v>0.3</v>
      </c>
      <c r="J3927" s="9" t="n">
        <v>1</v>
      </c>
      <c r="K3927" s="30"/>
      <c r="L3927" s="30"/>
      <c r="M3927" s="30"/>
      <c r="N3927" s="30"/>
      <c r="O3927" s="30"/>
      <c r="P3927" s="30"/>
      <c r="Q3927" s="30"/>
      <c r="R3927" s="30"/>
      <c r="S3927" s="30"/>
      <c r="T3927" s="30"/>
      <c r="U3927" s="21" t="str">
        <f aca="false">IF(COUNT(K3927:T3927)=0,"SOURCE EMPTY / INDUSTRIAL ONLY",IF(MIN(K3927:T3927)=1,"SERVICE READY","HOLD"))</f>
        <v>SOURCE EMPTY / INDUSTRIAL ONLY</v>
      </c>
      <c r="V3927" s="9" t="n">
        <f aca="false">IF(U3927="SERVICE READY",1,0)</f>
        <v>0</v>
      </c>
      <c r="W3927" s="6"/>
      <c r="X3927" s="6"/>
      <c r="Y3927" s="6"/>
      <c r="Z3927" s="6"/>
    </row>
    <row r="3928" customFormat="false" ht="15" hidden="false" customHeight="false" outlineLevel="0" collapsed="false">
      <c r="A3928" s="9" t="s">
        <v>4212</v>
      </c>
      <c r="B3928" s="9" t="s">
        <v>4157</v>
      </c>
      <c r="C3928" s="9" t="s">
        <v>4158</v>
      </c>
      <c r="D3928" s="9" t="s">
        <v>3722</v>
      </c>
      <c r="E3928" s="9" t="s">
        <v>196</v>
      </c>
      <c r="F3928" s="9" t="s">
        <v>209</v>
      </c>
      <c r="G3928" s="9" t="s">
        <v>221</v>
      </c>
      <c r="H3928" s="9" t="n">
        <v>450</v>
      </c>
      <c r="I3928" s="29" t="n">
        <v>0.3</v>
      </c>
      <c r="J3928" s="9" t="n">
        <v>1</v>
      </c>
      <c r="K3928" s="30"/>
      <c r="L3928" s="30"/>
      <c r="M3928" s="30"/>
      <c r="N3928" s="30"/>
      <c r="O3928" s="30"/>
      <c r="P3928" s="30"/>
      <c r="Q3928" s="30"/>
      <c r="R3928" s="30"/>
      <c r="S3928" s="30"/>
      <c r="T3928" s="30"/>
      <c r="U3928" s="21" t="str">
        <f aca="false">IF(COUNT(K3928:T3928)=0,"SOURCE EMPTY / INDUSTRIAL ONLY",IF(MIN(K3928:T3928)=1,"SERVICE READY","HOLD"))</f>
        <v>SOURCE EMPTY / INDUSTRIAL ONLY</v>
      </c>
      <c r="V3928" s="9" t="n">
        <f aca="false">IF(U3928="SERVICE READY",1,0)</f>
        <v>0</v>
      </c>
      <c r="W3928" s="6"/>
      <c r="X3928" s="6"/>
      <c r="Y3928" s="6"/>
      <c r="Z3928" s="6"/>
    </row>
    <row r="3929" customFormat="false" ht="15" hidden="false" customHeight="false" outlineLevel="0" collapsed="false">
      <c r="A3929" s="9" t="s">
        <v>4213</v>
      </c>
      <c r="B3929" s="9" t="s">
        <v>4157</v>
      </c>
      <c r="C3929" s="9" t="s">
        <v>4158</v>
      </c>
      <c r="D3929" s="9" t="s">
        <v>3722</v>
      </c>
      <c r="E3929" s="9" t="s">
        <v>196</v>
      </c>
      <c r="F3929" s="9" t="s">
        <v>211</v>
      </c>
      <c r="G3929" s="9" t="s">
        <v>221</v>
      </c>
      <c r="H3929" s="9" t="n">
        <v>450</v>
      </c>
      <c r="I3929" s="29" t="n">
        <v>0.3</v>
      </c>
      <c r="J3929" s="9" t="n">
        <v>1</v>
      </c>
      <c r="K3929" s="30"/>
      <c r="L3929" s="30"/>
      <c r="M3929" s="30"/>
      <c r="N3929" s="30"/>
      <c r="O3929" s="30"/>
      <c r="P3929" s="30"/>
      <c r="Q3929" s="30"/>
      <c r="R3929" s="30"/>
      <c r="S3929" s="30"/>
      <c r="T3929" s="30"/>
      <c r="U3929" s="21" t="str">
        <f aca="false">IF(COUNT(K3929:T3929)=0,"SOURCE EMPTY / INDUSTRIAL ONLY",IF(MIN(K3929:T3929)=1,"SERVICE READY","HOLD"))</f>
        <v>SOURCE EMPTY / INDUSTRIAL ONLY</v>
      </c>
      <c r="V3929" s="9" t="n">
        <f aca="false">IF(U3929="SERVICE READY",1,0)</f>
        <v>0</v>
      </c>
      <c r="W3929" s="6"/>
      <c r="X3929" s="6"/>
      <c r="Y3929" s="6"/>
      <c r="Z3929" s="6"/>
    </row>
    <row r="3930" customFormat="false" ht="15" hidden="false" customHeight="false" outlineLevel="0" collapsed="false">
      <c r="A3930" s="9" t="s">
        <v>4214</v>
      </c>
      <c r="B3930" s="9" t="s">
        <v>4157</v>
      </c>
      <c r="C3930" s="9" t="s">
        <v>4158</v>
      </c>
      <c r="D3930" s="9" t="s">
        <v>3722</v>
      </c>
      <c r="E3930" s="9" t="s">
        <v>196</v>
      </c>
      <c r="F3930" s="9" t="s">
        <v>197</v>
      </c>
      <c r="G3930" s="9" t="s">
        <v>221</v>
      </c>
      <c r="H3930" s="9" t="n">
        <v>450</v>
      </c>
      <c r="I3930" s="29" t="n">
        <v>0.3</v>
      </c>
      <c r="J3930" s="9" t="n">
        <v>1</v>
      </c>
      <c r="K3930" s="30"/>
      <c r="L3930" s="30"/>
      <c r="M3930" s="30"/>
      <c r="N3930" s="30"/>
      <c r="O3930" s="30"/>
      <c r="P3930" s="30"/>
      <c r="Q3930" s="30"/>
      <c r="R3930" s="30"/>
      <c r="S3930" s="30"/>
      <c r="T3930" s="30"/>
      <c r="U3930" s="21" t="str">
        <f aca="false">IF(COUNT(K3930:T3930)=0,"SOURCE EMPTY / INDUSTRIAL ONLY",IF(MIN(K3930:T3930)=1,"SERVICE READY","HOLD"))</f>
        <v>SOURCE EMPTY / INDUSTRIAL ONLY</v>
      </c>
      <c r="V3930" s="9" t="n">
        <f aca="false">IF(U3930="SERVICE READY",1,0)</f>
        <v>0</v>
      </c>
      <c r="W3930" s="6"/>
      <c r="X3930" s="6"/>
      <c r="Y3930" s="6"/>
      <c r="Z3930" s="6"/>
    </row>
    <row r="3931" customFormat="false" ht="15" hidden="false" customHeight="false" outlineLevel="0" collapsed="false">
      <c r="A3931" s="9" t="s">
        <v>4215</v>
      </c>
      <c r="B3931" s="9" t="s">
        <v>4157</v>
      </c>
      <c r="C3931" s="9" t="s">
        <v>4158</v>
      </c>
      <c r="D3931" s="9" t="s">
        <v>3722</v>
      </c>
      <c r="E3931" s="9" t="s">
        <v>196</v>
      </c>
      <c r="F3931" s="9" t="s">
        <v>200</v>
      </c>
      <c r="G3931" s="9" t="s">
        <v>221</v>
      </c>
      <c r="H3931" s="9" t="n">
        <v>450</v>
      </c>
      <c r="I3931" s="29" t="n">
        <v>0.3</v>
      </c>
      <c r="J3931" s="9" t="n">
        <v>1</v>
      </c>
      <c r="K3931" s="30"/>
      <c r="L3931" s="30"/>
      <c r="M3931" s="30"/>
      <c r="N3931" s="30"/>
      <c r="O3931" s="30"/>
      <c r="P3931" s="30"/>
      <c r="Q3931" s="30"/>
      <c r="R3931" s="30"/>
      <c r="S3931" s="30"/>
      <c r="T3931" s="30"/>
      <c r="U3931" s="21" t="str">
        <f aca="false">IF(COUNT(K3931:T3931)=0,"SOURCE EMPTY / INDUSTRIAL ONLY",IF(MIN(K3931:T3931)=1,"SERVICE READY","HOLD"))</f>
        <v>SOURCE EMPTY / INDUSTRIAL ONLY</v>
      </c>
      <c r="V3931" s="9" t="n">
        <f aca="false">IF(U3931="SERVICE READY",1,0)</f>
        <v>0</v>
      </c>
      <c r="W3931" s="6"/>
      <c r="X3931" s="6"/>
      <c r="Y3931" s="6"/>
      <c r="Z3931" s="6"/>
    </row>
    <row r="3932" customFormat="false" ht="15" hidden="false" customHeight="false" outlineLevel="0" collapsed="false">
      <c r="A3932" s="9" t="s">
        <v>4216</v>
      </c>
      <c r="B3932" s="9" t="s">
        <v>4157</v>
      </c>
      <c r="C3932" s="9" t="s">
        <v>4158</v>
      </c>
      <c r="D3932" s="9" t="s">
        <v>3722</v>
      </c>
      <c r="E3932" s="9" t="s">
        <v>196</v>
      </c>
      <c r="F3932" s="9" t="s">
        <v>203</v>
      </c>
      <c r="G3932" s="9" t="s">
        <v>221</v>
      </c>
      <c r="H3932" s="9" t="n">
        <v>450</v>
      </c>
      <c r="I3932" s="29" t="n">
        <v>0.3</v>
      </c>
      <c r="J3932" s="9" t="n">
        <v>1</v>
      </c>
      <c r="K3932" s="30"/>
      <c r="L3932" s="30"/>
      <c r="M3932" s="30"/>
      <c r="N3932" s="30"/>
      <c r="O3932" s="30"/>
      <c r="P3932" s="30"/>
      <c r="Q3932" s="30"/>
      <c r="R3932" s="30"/>
      <c r="S3932" s="30"/>
      <c r="T3932" s="30"/>
      <c r="U3932" s="21" t="str">
        <f aca="false">IF(COUNT(K3932:T3932)=0,"SOURCE EMPTY / INDUSTRIAL ONLY",IF(MIN(K3932:T3932)=1,"SERVICE READY","HOLD"))</f>
        <v>SOURCE EMPTY / INDUSTRIAL ONLY</v>
      </c>
      <c r="V3932" s="9" t="n">
        <f aca="false">IF(U3932="SERVICE READY",1,0)</f>
        <v>0</v>
      </c>
      <c r="W3932" s="6"/>
      <c r="X3932" s="6"/>
      <c r="Y3932" s="6"/>
      <c r="Z3932" s="6"/>
    </row>
    <row r="3933" customFormat="false" ht="15" hidden="false" customHeight="false" outlineLevel="0" collapsed="false">
      <c r="A3933" s="9" t="s">
        <v>4217</v>
      </c>
      <c r="B3933" s="9" t="s">
        <v>4157</v>
      </c>
      <c r="C3933" s="9" t="s">
        <v>4158</v>
      </c>
      <c r="D3933" s="9" t="s">
        <v>3722</v>
      </c>
      <c r="E3933" s="9" t="s">
        <v>196</v>
      </c>
      <c r="F3933" s="9" t="s">
        <v>205</v>
      </c>
      <c r="G3933" s="9" t="s">
        <v>221</v>
      </c>
      <c r="H3933" s="9" t="n">
        <v>450</v>
      </c>
      <c r="I3933" s="29" t="n">
        <v>0.3</v>
      </c>
      <c r="J3933" s="9" t="n">
        <v>1</v>
      </c>
      <c r="K3933" s="30"/>
      <c r="L3933" s="30"/>
      <c r="M3933" s="30"/>
      <c r="N3933" s="30"/>
      <c r="O3933" s="30"/>
      <c r="P3933" s="30"/>
      <c r="Q3933" s="30"/>
      <c r="R3933" s="30"/>
      <c r="S3933" s="30"/>
      <c r="T3933" s="30"/>
      <c r="U3933" s="21" t="str">
        <f aca="false">IF(COUNT(K3933:T3933)=0,"SOURCE EMPTY / INDUSTRIAL ONLY",IF(MIN(K3933:T3933)=1,"SERVICE READY","HOLD"))</f>
        <v>SOURCE EMPTY / INDUSTRIAL ONLY</v>
      </c>
      <c r="V3933" s="9" t="n">
        <f aca="false">IF(U3933="SERVICE READY",1,0)</f>
        <v>0</v>
      </c>
      <c r="W3933" s="6"/>
      <c r="X3933" s="6"/>
      <c r="Y3933" s="6"/>
      <c r="Z3933" s="6"/>
    </row>
    <row r="3934" customFormat="false" ht="15" hidden="false" customHeight="false" outlineLevel="0" collapsed="false">
      <c r="A3934" s="9" t="s">
        <v>4218</v>
      </c>
      <c r="B3934" s="9" t="s">
        <v>4157</v>
      </c>
      <c r="C3934" s="9" t="s">
        <v>4158</v>
      </c>
      <c r="D3934" s="9" t="s">
        <v>3722</v>
      </c>
      <c r="E3934" s="9" t="s">
        <v>196</v>
      </c>
      <c r="F3934" s="9" t="s">
        <v>207</v>
      </c>
      <c r="G3934" s="9" t="s">
        <v>221</v>
      </c>
      <c r="H3934" s="9" t="n">
        <v>450</v>
      </c>
      <c r="I3934" s="29" t="n">
        <v>0.3</v>
      </c>
      <c r="J3934" s="9" t="n">
        <v>1</v>
      </c>
      <c r="K3934" s="30"/>
      <c r="L3934" s="30"/>
      <c r="M3934" s="30"/>
      <c r="N3934" s="30"/>
      <c r="O3934" s="30"/>
      <c r="P3934" s="30"/>
      <c r="Q3934" s="30"/>
      <c r="R3934" s="30"/>
      <c r="S3934" s="30"/>
      <c r="T3934" s="30"/>
      <c r="U3934" s="21" t="str">
        <f aca="false">IF(COUNT(K3934:T3934)=0,"SOURCE EMPTY / INDUSTRIAL ONLY",IF(MIN(K3934:T3934)=1,"SERVICE READY","HOLD"))</f>
        <v>SOURCE EMPTY / INDUSTRIAL ONLY</v>
      </c>
      <c r="V3934" s="9" t="n">
        <f aca="false">IF(U3934="SERVICE READY",1,0)</f>
        <v>0</v>
      </c>
      <c r="W3934" s="6"/>
      <c r="X3934" s="6"/>
      <c r="Y3934" s="6"/>
      <c r="Z3934" s="6"/>
    </row>
    <row r="3935" customFormat="false" ht="15" hidden="false" customHeight="false" outlineLevel="0" collapsed="false">
      <c r="A3935" s="9" t="s">
        <v>4219</v>
      </c>
      <c r="B3935" s="9" t="s">
        <v>4157</v>
      </c>
      <c r="C3935" s="9" t="s">
        <v>4158</v>
      </c>
      <c r="D3935" s="9" t="s">
        <v>3722</v>
      </c>
      <c r="E3935" s="9" t="s">
        <v>196</v>
      </c>
      <c r="F3935" s="9" t="s">
        <v>209</v>
      </c>
      <c r="G3935" s="9" t="s">
        <v>221</v>
      </c>
      <c r="H3935" s="9" t="n">
        <v>450</v>
      </c>
      <c r="I3935" s="29" t="n">
        <v>0.3</v>
      </c>
      <c r="J3935" s="9" t="n">
        <v>1</v>
      </c>
      <c r="K3935" s="30"/>
      <c r="L3935" s="30"/>
      <c r="M3935" s="30"/>
      <c r="N3935" s="30"/>
      <c r="O3935" s="30"/>
      <c r="P3935" s="30"/>
      <c r="Q3935" s="30"/>
      <c r="R3935" s="30"/>
      <c r="S3935" s="30"/>
      <c r="T3935" s="30"/>
      <c r="U3935" s="21" t="str">
        <f aca="false">IF(COUNT(K3935:T3935)=0,"SOURCE EMPTY / INDUSTRIAL ONLY",IF(MIN(K3935:T3935)=1,"SERVICE READY","HOLD"))</f>
        <v>SOURCE EMPTY / INDUSTRIAL ONLY</v>
      </c>
      <c r="V3935" s="9" t="n">
        <f aca="false">IF(U3935="SERVICE READY",1,0)</f>
        <v>0</v>
      </c>
      <c r="W3935" s="6"/>
      <c r="X3935" s="6"/>
      <c r="Y3935" s="6"/>
      <c r="Z3935" s="6"/>
    </row>
    <row r="3936" customFormat="false" ht="15" hidden="false" customHeight="false" outlineLevel="0" collapsed="false">
      <c r="A3936" s="9" t="s">
        <v>4220</v>
      </c>
      <c r="B3936" s="9" t="s">
        <v>4157</v>
      </c>
      <c r="C3936" s="9" t="s">
        <v>4158</v>
      </c>
      <c r="D3936" s="9" t="s">
        <v>3722</v>
      </c>
      <c r="E3936" s="9" t="s">
        <v>196</v>
      </c>
      <c r="F3936" s="9" t="s">
        <v>211</v>
      </c>
      <c r="G3936" s="9" t="s">
        <v>221</v>
      </c>
      <c r="H3936" s="9" t="n">
        <v>450</v>
      </c>
      <c r="I3936" s="29" t="n">
        <v>0.3</v>
      </c>
      <c r="J3936" s="9" t="n">
        <v>1</v>
      </c>
      <c r="K3936" s="30"/>
      <c r="L3936" s="30"/>
      <c r="M3936" s="30"/>
      <c r="N3936" s="30"/>
      <c r="O3936" s="30"/>
      <c r="P3936" s="30"/>
      <c r="Q3936" s="30"/>
      <c r="R3936" s="30"/>
      <c r="S3936" s="30"/>
      <c r="T3936" s="30"/>
      <c r="U3936" s="21" t="str">
        <f aca="false">IF(COUNT(K3936:T3936)=0,"SOURCE EMPTY / INDUSTRIAL ONLY",IF(MIN(K3936:T3936)=1,"SERVICE READY","HOLD"))</f>
        <v>SOURCE EMPTY / INDUSTRIAL ONLY</v>
      </c>
      <c r="V3936" s="9" t="n">
        <f aca="false">IF(U3936="SERVICE READY",1,0)</f>
        <v>0</v>
      </c>
      <c r="W3936" s="6"/>
      <c r="X3936" s="6"/>
      <c r="Y3936" s="6"/>
      <c r="Z3936" s="6"/>
    </row>
    <row r="3937" customFormat="false" ht="15" hidden="false" customHeight="false" outlineLevel="0" collapsed="false">
      <c r="A3937" s="9" t="s">
        <v>4221</v>
      </c>
      <c r="B3937" s="9" t="s">
        <v>4157</v>
      </c>
      <c r="C3937" s="9" t="s">
        <v>4158</v>
      </c>
      <c r="D3937" s="9" t="s">
        <v>3722</v>
      </c>
      <c r="E3937" s="9" t="s">
        <v>196</v>
      </c>
      <c r="F3937" s="9" t="s">
        <v>197</v>
      </c>
      <c r="G3937" s="9" t="s">
        <v>221</v>
      </c>
      <c r="H3937" s="9" t="n">
        <v>450</v>
      </c>
      <c r="I3937" s="29" t="n">
        <v>0.3</v>
      </c>
      <c r="J3937" s="9" t="n">
        <v>1</v>
      </c>
      <c r="K3937" s="30"/>
      <c r="L3937" s="30"/>
      <c r="M3937" s="30"/>
      <c r="N3937" s="30"/>
      <c r="O3937" s="30"/>
      <c r="P3937" s="30"/>
      <c r="Q3937" s="30"/>
      <c r="R3937" s="30"/>
      <c r="S3937" s="30"/>
      <c r="T3937" s="30"/>
      <c r="U3937" s="21" t="str">
        <f aca="false">IF(COUNT(K3937:T3937)=0,"SOURCE EMPTY / INDUSTRIAL ONLY",IF(MIN(K3937:T3937)=1,"SERVICE READY","HOLD"))</f>
        <v>SOURCE EMPTY / INDUSTRIAL ONLY</v>
      </c>
      <c r="V3937" s="9" t="n">
        <f aca="false">IF(U3937="SERVICE READY",1,0)</f>
        <v>0</v>
      </c>
      <c r="W3937" s="6"/>
      <c r="X3937" s="6"/>
      <c r="Y3937" s="6"/>
      <c r="Z3937" s="6"/>
    </row>
    <row r="3938" customFormat="false" ht="15" hidden="false" customHeight="false" outlineLevel="0" collapsed="false">
      <c r="A3938" s="9" t="s">
        <v>4222</v>
      </c>
      <c r="B3938" s="9" t="s">
        <v>4157</v>
      </c>
      <c r="C3938" s="9" t="s">
        <v>4158</v>
      </c>
      <c r="D3938" s="9" t="s">
        <v>3722</v>
      </c>
      <c r="E3938" s="9" t="s">
        <v>196</v>
      </c>
      <c r="F3938" s="9" t="s">
        <v>200</v>
      </c>
      <c r="G3938" s="9" t="s">
        <v>221</v>
      </c>
      <c r="H3938" s="9" t="n">
        <v>450</v>
      </c>
      <c r="I3938" s="29" t="n">
        <v>0.3</v>
      </c>
      <c r="J3938" s="9" t="n">
        <v>1</v>
      </c>
      <c r="K3938" s="30"/>
      <c r="L3938" s="30"/>
      <c r="M3938" s="30"/>
      <c r="N3938" s="30"/>
      <c r="O3938" s="30"/>
      <c r="P3938" s="30"/>
      <c r="Q3938" s="30"/>
      <c r="R3938" s="30"/>
      <c r="S3938" s="30"/>
      <c r="T3938" s="30"/>
      <c r="U3938" s="21" t="str">
        <f aca="false">IF(COUNT(K3938:T3938)=0,"SOURCE EMPTY / INDUSTRIAL ONLY",IF(MIN(K3938:T3938)=1,"SERVICE READY","HOLD"))</f>
        <v>SOURCE EMPTY / INDUSTRIAL ONLY</v>
      </c>
      <c r="V3938" s="9" t="n">
        <f aca="false">IF(U3938="SERVICE READY",1,0)</f>
        <v>0</v>
      </c>
      <c r="W3938" s="6"/>
      <c r="X3938" s="6"/>
      <c r="Y3938" s="6"/>
      <c r="Z3938" s="6"/>
    </row>
    <row r="3939" customFormat="false" ht="15" hidden="false" customHeight="false" outlineLevel="0" collapsed="false">
      <c r="A3939" s="9" t="s">
        <v>4223</v>
      </c>
      <c r="B3939" s="9" t="s">
        <v>4157</v>
      </c>
      <c r="C3939" s="9" t="s">
        <v>4158</v>
      </c>
      <c r="D3939" s="9" t="s">
        <v>3722</v>
      </c>
      <c r="E3939" s="9" t="s">
        <v>196</v>
      </c>
      <c r="F3939" s="9" t="s">
        <v>203</v>
      </c>
      <c r="G3939" s="9" t="s">
        <v>221</v>
      </c>
      <c r="H3939" s="9" t="n">
        <v>450</v>
      </c>
      <c r="I3939" s="29" t="n">
        <v>0.3</v>
      </c>
      <c r="J3939" s="9" t="n">
        <v>1</v>
      </c>
      <c r="K3939" s="30"/>
      <c r="L3939" s="30"/>
      <c r="M3939" s="30"/>
      <c r="N3939" s="30"/>
      <c r="O3939" s="30"/>
      <c r="P3939" s="30"/>
      <c r="Q3939" s="30"/>
      <c r="R3939" s="30"/>
      <c r="S3939" s="30"/>
      <c r="T3939" s="30"/>
      <c r="U3939" s="21" t="str">
        <f aca="false">IF(COUNT(K3939:T3939)=0,"SOURCE EMPTY / INDUSTRIAL ONLY",IF(MIN(K3939:T3939)=1,"SERVICE READY","HOLD"))</f>
        <v>SOURCE EMPTY / INDUSTRIAL ONLY</v>
      </c>
      <c r="V3939" s="9" t="n">
        <f aca="false">IF(U3939="SERVICE READY",1,0)</f>
        <v>0</v>
      </c>
      <c r="W3939" s="6"/>
      <c r="X3939" s="6"/>
      <c r="Y3939" s="6"/>
      <c r="Z3939" s="6"/>
    </row>
    <row r="3940" customFormat="false" ht="15" hidden="false" customHeight="false" outlineLevel="0" collapsed="false">
      <c r="A3940" s="9" t="s">
        <v>4224</v>
      </c>
      <c r="B3940" s="9" t="s">
        <v>4157</v>
      </c>
      <c r="C3940" s="9" t="s">
        <v>4158</v>
      </c>
      <c r="D3940" s="9" t="s">
        <v>3722</v>
      </c>
      <c r="E3940" s="9" t="s">
        <v>196</v>
      </c>
      <c r="F3940" s="9" t="s">
        <v>205</v>
      </c>
      <c r="G3940" s="9" t="s">
        <v>221</v>
      </c>
      <c r="H3940" s="9" t="n">
        <v>450</v>
      </c>
      <c r="I3940" s="29" t="n">
        <v>0.3</v>
      </c>
      <c r="J3940" s="9" t="n">
        <v>1</v>
      </c>
      <c r="K3940" s="30"/>
      <c r="L3940" s="30"/>
      <c r="M3940" s="30"/>
      <c r="N3940" s="30"/>
      <c r="O3940" s="30"/>
      <c r="P3940" s="30"/>
      <c r="Q3940" s="30"/>
      <c r="R3940" s="30"/>
      <c r="S3940" s="30"/>
      <c r="T3940" s="30"/>
      <c r="U3940" s="21" t="str">
        <f aca="false">IF(COUNT(K3940:T3940)=0,"SOURCE EMPTY / INDUSTRIAL ONLY",IF(MIN(K3940:T3940)=1,"SERVICE READY","HOLD"))</f>
        <v>SOURCE EMPTY / INDUSTRIAL ONLY</v>
      </c>
      <c r="V3940" s="9" t="n">
        <f aca="false">IF(U3940="SERVICE READY",1,0)</f>
        <v>0</v>
      </c>
      <c r="W3940" s="6"/>
      <c r="X3940" s="6"/>
      <c r="Y3940" s="6"/>
      <c r="Z3940" s="6"/>
    </row>
    <row r="3941" customFormat="false" ht="15" hidden="false" customHeight="false" outlineLevel="0" collapsed="false">
      <c r="A3941" s="9" t="s">
        <v>4225</v>
      </c>
      <c r="B3941" s="9" t="s">
        <v>4157</v>
      </c>
      <c r="C3941" s="9" t="s">
        <v>4158</v>
      </c>
      <c r="D3941" s="9" t="s">
        <v>3722</v>
      </c>
      <c r="E3941" s="9" t="s">
        <v>196</v>
      </c>
      <c r="F3941" s="9" t="s">
        <v>207</v>
      </c>
      <c r="G3941" s="9" t="s">
        <v>221</v>
      </c>
      <c r="H3941" s="9" t="n">
        <v>450</v>
      </c>
      <c r="I3941" s="29" t="n">
        <v>0.3</v>
      </c>
      <c r="J3941" s="9" t="n">
        <v>1</v>
      </c>
      <c r="K3941" s="30"/>
      <c r="L3941" s="30"/>
      <c r="M3941" s="30"/>
      <c r="N3941" s="30"/>
      <c r="O3941" s="30"/>
      <c r="P3941" s="30"/>
      <c r="Q3941" s="30"/>
      <c r="R3941" s="30"/>
      <c r="S3941" s="30"/>
      <c r="T3941" s="30"/>
      <c r="U3941" s="21" t="str">
        <f aca="false">IF(COUNT(K3941:T3941)=0,"SOURCE EMPTY / INDUSTRIAL ONLY",IF(MIN(K3941:T3941)=1,"SERVICE READY","HOLD"))</f>
        <v>SOURCE EMPTY / INDUSTRIAL ONLY</v>
      </c>
      <c r="V3941" s="9" t="n">
        <f aca="false">IF(U3941="SERVICE READY",1,0)</f>
        <v>0</v>
      </c>
      <c r="W3941" s="6"/>
      <c r="X3941" s="6"/>
      <c r="Y3941" s="6"/>
      <c r="Z3941" s="6"/>
    </row>
    <row r="3942" customFormat="false" ht="15" hidden="false" customHeight="false" outlineLevel="0" collapsed="false">
      <c r="A3942" s="9" t="s">
        <v>4226</v>
      </c>
      <c r="B3942" s="9" t="s">
        <v>4157</v>
      </c>
      <c r="C3942" s="9" t="s">
        <v>4158</v>
      </c>
      <c r="D3942" s="9" t="s">
        <v>3722</v>
      </c>
      <c r="E3942" s="9" t="s">
        <v>196</v>
      </c>
      <c r="F3942" s="9" t="s">
        <v>209</v>
      </c>
      <c r="G3942" s="9" t="s">
        <v>221</v>
      </c>
      <c r="H3942" s="9" t="n">
        <v>450</v>
      </c>
      <c r="I3942" s="29" t="n">
        <v>0.3</v>
      </c>
      <c r="J3942" s="9" t="n">
        <v>1</v>
      </c>
      <c r="K3942" s="30"/>
      <c r="L3942" s="30"/>
      <c r="M3942" s="30"/>
      <c r="N3942" s="30"/>
      <c r="O3942" s="30"/>
      <c r="P3942" s="30"/>
      <c r="Q3942" s="30"/>
      <c r="R3942" s="30"/>
      <c r="S3942" s="30"/>
      <c r="T3942" s="30"/>
      <c r="U3942" s="21" t="str">
        <f aca="false">IF(COUNT(K3942:T3942)=0,"SOURCE EMPTY / INDUSTRIAL ONLY",IF(MIN(K3942:T3942)=1,"SERVICE READY","HOLD"))</f>
        <v>SOURCE EMPTY / INDUSTRIAL ONLY</v>
      </c>
      <c r="V3942" s="9" t="n">
        <f aca="false">IF(U3942="SERVICE READY",1,0)</f>
        <v>0</v>
      </c>
      <c r="W3942" s="6"/>
      <c r="X3942" s="6"/>
      <c r="Y3942" s="6"/>
      <c r="Z3942" s="6"/>
    </row>
    <row r="3943" customFormat="false" ht="15" hidden="false" customHeight="false" outlineLevel="0" collapsed="false">
      <c r="A3943" s="9" t="s">
        <v>4227</v>
      </c>
      <c r="B3943" s="9" t="s">
        <v>4157</v>
      </c>
      <c r="C3943" s="9" t="s">
        <v>4158</v>
      </c>
      <c r="D3943" s="9" t="s">
        <v>3722</v>
      </c>
      <c r="E3943" s="9" t="s">
        <v>196</v>
      </c>
      <c r="F3943" s="9" t="s">
        <v>211</v>
      </c>
      <c r="G3943" s="9" t="s">
        <v>221</v>
      </c>
      <c r="H3943" s="9" t="n">
        <v>450</v>
      </c>
      <c r="I3943" s="29" t="n">
        <v>0.3</v>
      </c>
      <c r="J3943" s="9" t="n">
        <v>1</v>
      </c>
      <c r="K3943" s="30"/>
      <c r="L3943" s="30"/>
      <c r="M3943" s="30"/>
      <c r="N3943" s="30"/>
      <c r="O3943" s="30"/>
      <c r="P3943" s="30"/>
      <c r="Q3943" s="30"/>
      <c r="R3943" s="30"/>
      <c r="S3943" s="30"/>
      <c r="T3943" s="30"/>
      <c r="U3943" s="21" t="str">
        <f aca="false">IF(COUNT(K3943:T3943)=0,"SOURCE EMPTY / INDUSTRIAL ONLY",IF(MIN(K3943:T3943)=1,"SERVICE READY","HOLD"))</f>
        <v>SOURCE EMPTY / INDUSTRIAL ONLY</v>
      </c>
      <c r="V3943" s="9" t="n">
        <f aca="false">IF(U3943="SERVICE READY",1,0)</f>
        <v>0</v>
      </c>
      <c r="W3943" s="6"/>
      <c r="X3943" s="6"/>
      <c r="Y3943" s="6"/>
      <c r="Z3943" s="6"/>
    </row>
    <row r="3944" customFormat="false" ht="15" hidden="false" customHeight="false" outlineLevel="0" collapsed="false">
      <c r="A3944" s="9" t="s">
        <v>4228</v>
      </c>
      <c r="B3944" s="9" t="s">
        <v>4157</v>
      </c>
      <c r="C3944" s="9" t="s">
        <v>4158</v>
      </c>
      <c r="D3944" s="9" t="s">
        <v>3722</v>
      </c>
      <c r="E3944" s="9" t="s">
        <v>196</v>
      </c>
      <c r="F3944" s="9" t="s">
        <v>197</v>
      </c>
      <c r="G3944" s="9" t="s">
        <v>221</v>
      </c>
      <c r="H3944" s="9" t="n">
        <v>450</v>
      </c>
      <c r="I3944" s="29" t="n">
        <v>0.3</v>
      </c>
      <c r="J3944" s="9" t="n">
        <v>1</v>
      </c>
      <c r="K3944" s="30"/>
      <c r="L3944" s="30"/>
      <c r="M3944" s="30"/>
      <c r="N3944" s="30"/>
      <c r="O3944" s="30"/>
      <c r="P3944" s="30"/>
      <c r="Q3944" s="30"/>
      <c r="R3944" s="30"/>
      <c r="S3944" s="30"/>
      <c r="T3944" s="30"/>
      <c r="U3944" s="21" t="str">
        <f aca="false">IF(COUNT(K3944:T3944)=0,"SOURCE EMPTY / INDUSTRIAL ONLY",IF(MIN(K3944:T3944)=1,"SERVICE READY","HOLD"))</f>
        <v>SOURCE EMPTY / INDUSTRIAL ONLY</v>
      </c>
      <c r="V3944" s="9" t="n">
        <f aca="false">IF(U3944="SERVICE READY",1,0)</f>
        <v>0</v>
      </c>
      <c r="W3944" s="6"/>
      <c r="X3944" s="6"/>
      <c r="Y3944" s="6"/>
      <c r="Z3944" s="6"/>
    </row>
    <row r="3945" customFormat="false" ht="15" hidden="false" customHeight="false" outlineLevel="0" collapsed="false">
      <c r="A3945" s="9" t="s">
        <v>4229</v>
      </c>
      <c r="B3945" s="9" t="s">
        <v>4157</v>
      </c>
      <c r="C3945" s="9" t="s">
        <v>4158</v>
      </c>
      <c r="D3945" s="9" t="s">
        <v>3722</v>
      </c>
      <c r="E3945" s="9" t="s">
        <v>196</v>
      </c>
      <c r="F3945" s="9" t="s">
        <v>200</v>
      </c>
      <c r="G3945" s="9" t="s">
        <v>221</v>
      </c>
      <c r="H3945" s="9" t="n">
        <v>450</v>
      </c>
      <c r="I3945" s="29" t="n">
        <v>0.3</v>
      </c>
      <c r="J3945" s="9" t="n">
        <v>1</v>
      </c>
      <c r="K3945" s="30"/>
      <c r="L3945" s="30"/>
      <c r="M3945" s="30"/>
      <c r="N3945" s="30"/>
      <c r="O3945" s="30"/>
      <c r="P3945" s="30"/>
      <c r="Q3945" s="30"/>
      <c r="R3945" s="30"/>
      <c r="S3945" s="30"/>
      <c r="T3945" s="30"/>
      <c r="U3945" s="21" t="str">
        <f aca="false">IF(COUNT(K3945:T3945)=0,"SOURCE EMPTY / INDUSTRIAL ONLY",IF(MIN(K3945:T3945)=1,"SERVICE READY","HOLD"))</f>
        <v>SOURCE EMPTY / INDUSTRIAL ONLY</v>
      </c>
      <c r="V3945" s="9" t="n">
        <f aca="false">IF(U3945="SERVICE READY",1,0)</f>
        <v>0</v>
      </c>
      <c r="W3945" s="6"/>
      <c r="X3945" s="6"/>
      <c r="Y3945" s="6"/>
      <c r="Z3945" s="6"/>
    </row>
    <row r="3946" customFormat="false" ht="15" hidden="false" customHeight="false" outlineLevel="0" collapsed="false">
      <c r="A3946" s="9" t="s">
        <v>4230</v>
      </c>
      <c r="B3946" s="9" t="s">
        <v>4157</v>
      </c>
      <c r="C3946" s="9" t="s">
        <v>4158</v>
      </c>
      <c r="D3946" s="9" t="s">
        <v>3722</v>
      </c>
      <c r="E3946" s="9" t="s">
        <v>196</v>
      </c>
      <c r="F3946" s="9" t="s">
        <v>203</v>
      </c>
      <c r="G3946" s="9" t="s">
        <v>221</v>
      </c>
      <c r="H3946" s="9" t="n">
        <v>450</v>
      </c>
      <c r="I3946" s="29" t="n">
        <v>0.3</v>
      </c>
      <c r="J3946" s="9" t="n">
        <v>1</v>
      </c>
      <c r="K3946" s="30"/>
      <c r="L3946" s="30"/>
      <c r="M3946" s="30"/>
      <c r="N3946" s="30"/>
      <c r="O3946" s="30"/>
      <c r="P3946" s="30"/>
      <c r="Q3946" s="30"/>
      <c r="R3946" s="30"/>
      <c r="S3946" s="30"/>
      <c r="T3946" s="30"/>
      <c r="U3946" s="21" t="str">
        <f aca="false">IF(COUNT(K3946:T3946)=0,"SOURCE EMPTY / INDUSTRIAL ONLY",IF(MIN(K3946:T3946)=1,"SERVICE READY","HOLD"))</f>
        <v>SOURCE EMPTY / INDUSTRIAL ONLY</v>
      </c>
      <c r="V3946" s="9" t="n">
        <f aca="false">IF(U3946="SERVICE READY",1,0)</f>
        <v>0</v>
      </c>
      <c r="W3946" s="6"/>
      <c r="X3946" s="6"/>
      <c r="Y3946" s="6"/>
      <c r="Z3946" s="6"/>
    </row>
    <row r="3947" customFormat="false" ht="15" hidden="false" customHeight="false" outlineLevel="0" collapsed="false">
      <c r="A3947" s="9" t="s">
        <v>4231</v>
      </c>
      <c r="B3947" s="9" t="s">
        <v>4157</v>
      </c>
      <c r="C3947" s="9" t="s">
        <v>4158</v>
      </c>
      <c r="D3947" s="9" t="s">
        <v>3722</v>
      </c>
      <c r="E3947" s="9" t="s">
        <v>196</v>
      </c>
      <c r="F3947" s="9" t="s">
        <v>205</v>
      </c>
      <c r="G3947" s="9" t="s">
        <v>221</v>
      </c>
      <c r="H3947" s="9" t="n">
        <v>450</v>
      </c>
      <c r="I3947" s="29" t="n">
        <v>0.3</v>
      </c>
      <c r="J3947" s="9" t="n">
        <v>1</v>
      </c>
      <c r="K3947" s="30"/>
      <c r="L3947" s="30"/>
      <c r="M3947" s="30"/>
      <c r="N3947" s="30"/>
      <c r="O3947" s="30"/>
      <c r="P3947" s="30"/>
      <c r="Q3947" s="30"/>
      <c r="R3947" s="30"/>
      <c r="S3947" s="30"/>
      <c r="T3947" s="30"/>
      <c r="U3947" s="21" t="str">
        <f aca="false">IF(COUNT(K3947:T3947)=0,"SOURCE EMPTY / INDUSTRIAL ONLY",IF(MIN(K3947:T3947)=1,"SERVICE READY","HOLD"))</f>
        <v>SOURCE EMPTY / INDUSTRIAL ONLY</v>
      </c>
      <c r="V3947" s="9" t="n">
        <f aca="false">IF(U3947="SERVICE READY",1,0)</f>
        <v>0</v>
      </c>
      <c r="W3947" s="6"/>
      <c r="X3947" s="6"/>
      <c r="Y3947" s="6"/>
      <c r="Z3947" s="6"/>
    </row>
    <row r="3948" customFormat="false" ht="15" hidden="false" customHeight="false" outlineLevel="0" collapsed="false">
      <c r="A3948" s="9" t="s">
        <v>4232</v>
      </c>
      <c r="B3948" s="9" t="s">
        <v>4157</v>
      </c>
      <c r="C3948" s="9" t="s">
        <v>4158</v>
      </c>
      <c r="D3948" s="9" t="s">
        <v>3722</v>
      </c>
      <c r="E3948" s="9" t="s">
        <v>196</v>
      </c>
      <c r="F3948" s="9" t="s">
        <v>207</v>
      </c>
      <c r="G3948" s="9" t="s">
        <v>221</v>
      </c>
      <c r="H3948" s="9" t="n">
        <v>450</v>
      </c>
      <c r="I3948" s="29" t="n">
        <v>0.3</v>
      </c>
      <c r="J3948" s="9" t="n">
        <v>1</v>
      </c>
      <c r="K3948" s="30"/>
      <c r="L3948" s="30"/>
      <c r="M3948" s="30"/>
      <c r="N3948" s="30"/>
      <c r="O3948" s="30"/>
      <c r="P3948" s="30"/>
      <c r="Q3948" s="30"/>
      <c r="R3948" s="30"/>
      <c r="S3948" s="30"/>
      <c r="T3948" s="30"/>
      <c r="U3948" s="21" t="str">
        <f aca="false">IF(COUNT(K3948:T3948)=0,"SOURCE EMPTY / INDUSTRIAL ONLY",IF(MIN(K3948:T3948)=1,"SERVICE READY","HOLD"))</f>
        <v>SOURCE EMPTY / INDUSTRIAL ONLY</v>
      </c>
      <c r="V3948" s="9" t="n">
        <f aca="false">IF(U3948="SERVICE READY",1,0)</f>
        <v>0</v>
      </c>
      <c r="W3948" s="6"/>
      <c r="X3948" s="6"/>
      <c r="Y3948" s="6"/>
      <c r="Z3948" s="6"/>
    </row>
    <row r="3949" customFormat="false" ht="15" hidden="false" customHeight="false" outlineLevel="0" collapsed="false">
      <c r="A3949" s="9" t="s">
        <v>4233</v>
      </c>
      <c r="B3949" s="9" t="s">
        <v>4157</v>
      </c>
      <c r="C3949" s="9" t="s">
        <v>4158</v>
      </c>
      <c r="D3949" s="9" t="s">
        <v>3722</v>
      </c>
      <c r="E3949" s="9" t="s">
        <v>196</v>
      </c>
      <c r="F3949" s="9" t="s">
        <v>209</v>
      </c>
      <c r="G3949" s="9" t="s">
        <v>221</v>
      </c>
      <c r="H3949" s="9" t="n">
        <v>450</v>
      </c>
      <c r="I3949" s="29" t="n">
        <v>0.3</v>
      </c>
      <c r="J3949" s="9" t="n">
        <v>1</v>
      </c>
      <c r="K3949" s="30"/>
      <c r="L3949" s="30"/>
      <c r="M3949" s="30"/>
      <c r="N3949" s="30"/>
      <c r="O3949" s="30"/>
      <c r="P3949" s="30"/>
      <c r="Q3949" s="30"/>
      <c r="R3949" s="30"/>
      <c r="S3949" s="30"/>
      <c r="T3949" s="30"/>
      <c r="U3949" s="21" t="str">
        <f aca="false">IF(COUNT(K3949:T3949)=0,"SOURCE EMPTY / INDUSTRIAL ONLY",IF(MIN(K3949:T3949)=1,"SERVICE READY","HOLD"))</f>
        <v>SOURCE EMPTY / INDUSTRIAL ONLY</v>
      </c>
      <c r="V3949" s="9" t="n">
        <f aca="false">IF(U3949="SERVICE READY",1,0)</f>
        <v>0</v>
      </c>
      <c r="W3949" s="6"/>
      <c r="X3949" s="6"/>
      <c r="Y3949" s="6"/>
      <c r="Z3949" s="6"/>
    </row>
    <row r="3950" customFormat="false" ht="15" hidden="false" customHeight="false" outlineLevel="0" collapsed="false">
      <c r="A3950" s="9" t="s">
        <v>4234</v>
      </c>
      <c r="B3950" s="9" t="s">
        <v>4157</v>
      </c>
      <c r="C3950" s="9" t="s">
        <v>4158</v>
      </c>
      <c r="D3950" s="9" t="s">
        <v>3722</v>
      </c>
      <c r="E3950" s="9" t="s">
        <v>196</v>
      </c>
      <c r="F3950" s="9" t="s">
        <v>211</v>
      </c>
      <c r="G3950" s="9" t="s">
        <v>221</v>
      </c>
      <c r="H3950" s="9" t="n">
        <v>450</v>
      </c>
      <c r="I3950" s="29" t="n">
        <v>0.3</v>
      </c>
      <c r="J3950" s="9" t="n">
        <v>1</v>
      </c>
      <c r="K3950" s="30"/>
      <c r="L3950" s="30"/>
      <c r="M3950" s="30"/>
      <c r="N3950" s="30"/>
      <c r="O3950" s="30"/>
      <c r="P3950" s="30"/>
      <c r="Q3950" s="30"/>
      <c r="R3950" s="30"/>
      <c r="S3950" s="30"/>
      <c r="T3950" s="30"/>
      <c r="U3950" s="21" t="str">
        <f aca="false">IF(COUNT(K3950:T3950)=0,"SOURCE EMPTY / INDUSTRIAL ONLY",IF(MIN(K3950:T3950)=1,"SERVICE READY","HOLD"))</f>
        <v>SOURCE EMPTY / INDUSTRIAL ONLY</v>
      </c>
      <c r="V3950" s="9" t="n">
        <f aca="false">IF(U3950="SERVICE READY",1,0)</f>
        <v>0</v>
      </c>
      <c r="W3950" s="6"/>
      <c r="X3950" s="6"/>
      <c r="Y3950" s="6"/>
      <c r="Z3950" s="6"/>
    </row>
    <row r="3951" customFormat="false" ht="15" hidden="false" customHeight="false" outlineLevel="0" collapsed="false">
      <c r="A3951" s="9" t="s">
        <v>4235</v>
      </c>
      <c r="B3951" s="9" t="s">
        <v>4157</v>
      </c>
      <c r="C3951" s="9" t="s">
        <v>4158</v>
      </c>
      <c r="D3951" s="9" t="s">
        <v>3722</v>
      </c>
      <c r="E3951" s="9" t="s">
        <v>196</v>
      </c>
      <c r="F3951" s="9" t="s">
        <v>197</v>
      </c>
      <c r="G3951" s="9" t="s">
        <v>221</v>
      </c>
      <c r="H3951" s="9" t="n">
        <v>450</v>
      </c>
      <c r="I3951" s="29" t="n">
        <v>0.3</v>
      </c>
      <c r="J3951" s="9" t="n">
        <v>1</v>
      </c>
      <c r="K3951" s="30"/>
      <c r="L3951" s="30"/>
      <c r="M3951" s="30"/>
      <c r="N3951" s="30"/>
      <c r="O3951" s="30"/>
      <c r="P3951" s="30"/>
      <c r="Q3951" s="30"/>
      <c r="R3951" s="30"/>
      <c r="S3951" s="30"/>
      <c r="T3951" s="30"/>
      <c r="U3951" s="21" t="str">
        <f aca="false">IF(COUNT(K3951:T3951)=0,"SOURCE EMPTY / INDUSTRIAL ONLY",IF(MIN(K3951:T3951)=1,"SERVICE READY","HOLD"))</f>
        <v>SOURCE EMPTY / INDUSTRIAL ONLY</v>
      </c>
      <c r="V3951" s="9" t="n">
        <f aca="false">IF(U3951="SERVICE READY",1,0)</f>
        <v>0</v>
      </c>
      <c r="W3951" s="6"/>
      <c r="X3951" s="6"/>
      <c r="Y3951" s="6"/>
      <c r="Z3951" s="6"/>
    </row>
    <row r="3952" customFormat="false" ht="15" hidden="false" customHeight="false" outlineLevel="0" collapsed="false">
      <c r="A3952" s="9" t="s">
        <v>4236</v>
      </c>
      <c r="B3952" s="9" t="s">
        <v>4157</v>
      </c>
      <c r="C3952" s="9" t="s">
        <v>4158</v>
      </c>
      <c r="D3952" s="9" t="s">
        <v>3722</v>
      </c>
      <c r="E3952" s="9" t="s">
        <v>196</v>
      </c>
      <c r="F3952" s="9" t="s">
        <v>200</v>
      </c>
      <c r="G3952" s="9" t="s">
        <v>221</v>
      </c>
      <c r="H3952" s="9" t="n">
        <v>450</v>
      </c>
      <c r="I3952" s="29" t="n">
        <v>0.3</v>
      </c>
      <c r="J3952" s="9" t="n">
        <v>1</v>
      </c>
      <c r="K3952" s="30"/>
      <c r="L3952" s="30"/>
      <c r="M3952" s="30"/>
      <c r="N3952" s="30"/>
      <c r="O3952" s="30"/>
      <c r="P3952" s="30"/>
      <c r="Q3952" s="30"/>
      <c r="R3952" s="30"/>
      <c r="S3952" s="30"/>
      <c r="T3952" s="30"/>
      <c r="U3952" s="21" t="str">
        <f aca="false">IF(COUNT(K3952:T3952)=0,"SOURCE EMPTY / INDUSTRIAL ONLY",IF(MIN(K3952:T3952)=1,"SERVICE READY","HOLD"))</f>
        <v>SOURCE EMPTY / INDUSTRIAL ONLY</v>
      </c>
      <c r="V3952" s="9" t="n">
        <f aca="false">IF(U3952="SERVICE READY",1,0)</f>
        <v>0</v>
      </c>
      <c r="W3952" s="6"/>
      <c r="X3952" s="6"/>
      <c r="Y3952" s="6"/>
      <c r="Z3952" s="6"/>
    </row>
    <row r="3953" customFormat="false" ht="15" hidden="false" customHeight="false" outlineLevel="0" collapsed="false">
      <c r="A3953" s="9" t="s">
        <v>4237</v>
      </c>
      <c r="B3953" s="9" t="s">
        <v>4157</v>
      </c>
      <c r="C3953" s="9" t="s">
        <v>4158</v>
      </c>
      <c r="D3953" s="9" t="s">
        <v>3722</v>
      </c>
      <c r="E3953" s="9" t="s">
        <v>196</v>
      </c>
      <c r="F3953" s="9" t="s">
        <v>203</v>
      </c>
      <c r="G3953" s="9" t="s">
        <v>221</v>
      </c>
      <c r="H3953" s="9" t="n">
        <v>450</v>
      </c>
      <c r="I3953" s="29" t="n">
        <v>0.3</v>
      </c>
      <c r="J3953" s="9" t="n">
        <v>1</v>
      </c>
      <c r="K3953" s="30"/>
      <c r="L3953" s="30"/>
      <c r="M3953" s="30"/>
      <c r="N3953" s="30"/>
      <c r="O3953" s="30"/>
      <c r="P3953" s="30"/>
      <c r="Q3953" s="30"/>
      <c r="R3953" s="30"/>
      <c r="S3953" s="30"/>
      <c r="T3953" s="30"/>
      <c r="U3953" s="21" t="str">
        <f aca="false">IF(COUNT(K3953:T3953)=0,"SOURCE EMPTY / INDUSTRIAL ONLY",IF(MIN(K3953:T3953)=1,"SERVICE READY","HOLD"))</f>
        <v>SOURCE EMPTY / INDUSTRIAL ONLY</v>
      </c>
      <c r="V3953" s="9" t="n">
        <f aca="false">IF(U3953="SERVICE READY",1,0)</f>
        <v>0</v>
      </c>
      <c r="W3953" s="6"/>
      <c r="X3953" s="6"/>
      <c r="Y3953" s="6"/>
      <c r="Z3953" s="6"/>
    </row>
    <row r="3954" customFormat="false" ht="15" hidden="false" customHeight="false" outlineLevel="0" collapsed="false">
      <c r="A3954" s="9" t="s">
        <v>4238</v>
      </c>
      <c r="B3954" s="9" t="s">
        <v>4157</v>
      </c>
      <c r="C3954" s="9" t="s">
        <v>4158</v>
      </c>
      <c r="D3954" s="9" t="s">
        <v>3722</v>
      </c>
      <c r="E3954" s="9" t="s">
        <v>196</v>
      </c>
      <c r="F3954" s="9" t="s">
        <v>205</v>
      </c>
      <c r="G3954" s="9" t="s">
        <v>221</v>
      </c>
      <c r="H3954" s="9" t="n">
        <v>450</v>
      </c>
      <c r="I3954" s="29" t="n">
        <v>0.3</v>
      </c>
      <c r="J3954" s="9" t="n">
        <v>1</v>
      </c>
      <c r="K3954" s="30"/>
      <c r="L3954" s="30"/>
      <c r="M3954" s="30"/>
      <c r="N3954" s="30"/>
      <c r="O3954" s="30"/>
      <c r="P3954" s="30"/>
      <c r="Q3954" s="30"/>
      <c r="R3954" s="30"/>
      <c r="S3954" s="30"/>
      <c r="T3954" s="30"/>
      <c r="U3954" s="21" t="str">
        <f aca="false">IF(COUNT(K3954:T3954)=0,"SOURCE EMPTY / INDUSTRIAL ONLY",IF(MIN(K3954:T3954)=1,"SERVICE READY","HOLD"))</f>
        <v>SOURCE EMPTY / INDUSTRIAL ONLY</v>
      </c>
      <c r="V3954" s="9" t="n">
        <f aca="false">IF(U3954="SERVICE READY",1,0)</f>
        <v>0</v>
      </c>
      <c r="W3954" s="6"/>
      <c r="X3954" s="6"/>
      <c r="Y3954" s="6"/>
      <c r="Z3954" s="6"/>
    </row>
    <row r="3955" customFormat="false" ht="15" hidden="false" customHeight="false" outlineLevel="0" collapsed="false">
      <c r="A3955" s="9" t="s">
        <v>4239</v>
      </c>
      <c r="B3955" s="9" t="s">
        <v>4157</v>
      </c>
      <c r="C3955" s="9" t="s">
        <v>4158</v>
      </c>
      <c r="D3955" s="9" t="s">
        <v>3722</v>
      </c>
      <c r="E3955" s="9" t="s">
        <v>196</v>
      </c>
      <c r="F3955" s="9" t="s">
        <v>207</v>
      </c>
      <c r="G3955" s="9" t="s">
        <v>221</v>
      </c>
      <c r="H3955" s="9" t="n">
        <v>450</v>
      </c>
      <c r="I3955" s="29" t="n">
        <v>0.3</v>
      </c>
      <c r="J3955" s="9" t="n">
        <v>1</v>
      </c>
      <c r="K3955" s="30"/>
      <c r="L3955" s="30"/>
      <c r="M3955" s="30"/>
      <c r="N3955" s="30"/>
      <c r="O3955" s="30"/>
      <c r="P3955" s="30"/>
      <c r="Q3955" s="30"/>
      <c r="R3955" s="30"/>
      <c r="S3955" s="30"/>
      <c r="T3955" s="30"/>
      <c r="U3955" s="21" t="str">
        <f aca="false">IF(COUNT(K3955:T3955)=0,"SOURCE EMPTY / INDUSTRIAL ONLY",IF(MIN(K3955:T3955)=1,"SERVICE READY","HOLD"))</f>
        <v>SOURCE EMPTY / INDUSTRIAL ONLY</v>
      </c>
      <c r="V3955" s="9" t="n">
        <f aca="false">IF(U3955="SERVICE READY",1,0)</f>
        <v>0</v>
      </c>
      <c r="W3955" s="6"/>
      <c r="X3955" s="6"/>
      <c r="Y3955" s="6"/>
      <c r="Z3955" s="6"/>
    </row>
    <row r="3956" customFormat="false" ht="15" hidden="false" customHeight="false" outlineLevel="0" collapsed="false">
      <c r="A3956" s="9" t="s">
        <v>4240</v>
      </c>
      <c r="B3956" s="9" t="s">
        <v>4157</v>
      </c>
      <c r="C3956" s="9" t="s">
        <v>4158</v>
      </c>
      <c r="D3956" s="9" t="s">
        <v>3722</v>
      </c>
      <c r="E3956" s="9" t="s">
        <v>196</v>
      </c>
      <c r="F3956" s="9" t="s">
        <v>209</v>
      </c>
      <c r="G3956" s="9" t="s">
        <v>221</v>
      </c>
      <c r="H3956" s="9" t="n">
        <v>450</v>
      </c>
      <c r="I3956" s="29" t="n">
        <v>0.3</v>
      </c>
      <c r="J3956" s="9" t="n">
        <v>1</v>
      </c>
      <c r="K3956" s="30"/>
      <c r="L3956" s="30"/>
      <c r="M3956" s="30"/>
      <c r="N3956" s="30"/>
      <c r="O3956" s="30"/>
      <c r="P3956" s="30"/>
      <c r="Q3956" s="30"/>
      <c r="R3956" s="30"/>
      <c r="S3956" s="30"/>
      <c r="T3956" s="30"/>
      <c r="U3956" s="21" t="str">
        <f aca="false">IF(COUNT(K3956:T3956)=0,"SOURCE EMPTY / INDUSTRIAL ONLY",IF(MIN(K3956:T3956)=1,"SERVICE READY","HOLD"))</f>
        <v>SOURCE EMPTY / INDUSTRIAL ONLY</v>
      </c>
      <c r="V3956" s="9" t="n">
        <f aca="false">IF(U3956="SERVICE READY",1,0)</f>
        <v>0</v>
      </c>
      <c r="W3956" s="6"/>
      <c r="X3956" s="6"/>
      <c r="Y3956" s="6"/>
      <c r="Z3956" s="6"/>
    </row>
    <row r="3957" customFormat="false" ht="15" hidden="false" customHeight="false" outlineLevel="0" collapsed="false">
      <c r="A3957" s="9" t="s">
        <v>4241</v>
      </c>
      <c r="B3957" s="9" t="s">
        <v>4157</v>
      </c>
      <c r="C3957" s="9" t="s">
        <v>4158</v>
      </c>
      <c r="D3957" s="9" t="s">
        <v>3722</v>
      </c>
      <c r="E3957" s="9" t="s">
        <v>196</v>
      </c>
      <c r="F3957" s="9" t="s">
        <v>211</v>
      </c>
      <c r="G3957" s="9" t="s">
        <v>221</v>
      </c>
      <c r="H3957" s="9" t="n">
        <v>450</v>
      </c>
      <c r="I3957" s="29" t="n">
        <v>0.3</v>
      </c>
      <c r="J3957" s="9" t="n">
        <v>1</v>
      </c>
      <c r="K3957" s="30"/>
      <c r="L3957" s="30"/>
      <c r="M3957" s="30"/>
      <c r="N3957" s="30"/>
      <c r="O3957" s="30"/>
      <c r="P3957" s="30"/>
      <c r="Q3957" s="30"/>
      <c r="R3957" s="30"/>
      <c r="S3957" s="30"/>
      <c r="T3957" s="30"/>
      <c r="U3957" s="21" t="str">
        <f aca="false">IF(COUNT(K3957:T3957)=0,"SOURCE EMPTY / INDUSTRIAL ONLY",IF(MIN(K3957:T3957)=1,"SERVICE READY","HOLD"))</f>
        <v>SOURCE EMPTY / INDUSTRIAL ONLY</v>
      </c>
      <c r="V3957" s="9" t="n">
        <f aca="false">IF(U3957="SERVICE READY",1,0)</f>
        <v>0</v>
      </c>
      <c r="W3957" s="6"/>
      <c r="X3957" s="6"/>
      <c r="Y3957" s="6"/>
      <c r="Z3957" s="6"/>
    </row>
    <row r="3958" customFormat="false" ht="15" hidden="false" customHeight="false" outlineLevel="0" collapsed="false">
      <c r="A3958" s="9" t="s">
        <v>4242</v>
      </c>
      <c r="B3958" s="9" t="s">
        <v>4157</v>
      </c>
      <c r="C3958" s="9" t="s">
        <v>4158</v>
      </c>
      <c r="D3958" s="9" t="s">
        <v>3722</v>
      </c>
      <c r="E3958" s="9" t="s">
        <v>196</v>
      </c>
      <c r="F3958" s="9" t="s">
        <v>197</v>
      </c>
      <c r="G3958" s="9" t="s">
        <v>221</v>
      </c>
      <c r="H3958" s="9" t="n">
        <v>450</v>
      </c>
      <c r="I3958" s="29" t="n">
        <v>0.3</v>
      </c>
      <c r="J3958" s="9" t="n">
        <v>1</v>
      </c>
      <c r="K3958" s="30"/>
      <c r="L3958" s="30"/>
      <c r="M3958" s="30"/>
      <c r="N3958" s="30"/>
      <c r="O3958" s="30"/>
      <c r="P3958" s="30"/>
      <c r="Q3958" s="30"/>
      <c r="R3958" s="30"/>
      <c r="S3958" s="30"/>
      <c r="T3958" s="30"/>
      <c r="U3958" s="21" t="str">
        <f aca="false">IF(COUNT(K3958:T3958)=0,"SOURCE EMPTY / INDUSTRIAL ONLY",IF(MIN(K3958:T3958)=1,"SERVICE READY","HOLD"))</f>
        <v>SOURCE EMPTY / INDUSTRIAL ONLY</v>
      </c>
      <c r="V3958" s="9" t="n">
        <f aca="false">IF(U3958="SERVICE READY",1,0)</f>
        <v>0</v>
      </c>
      <c r="W3958" s="6"/>
      <c r="X3958" s="6"/>
      <c r="Y3958" s="6"/>
      <c r="Z3958" s="6"/>
    </row>
    <row r="3959" customFormat="false" ht="15" hidden="false" customHeight="false" outlineLevel="0" collapsed="false">
      <c r="A3959" s="9" t="s">
        <v>4243</v>
      </c>
      <c r="B3959" s="9" t="s">
        <v>4157</v>
      </c>
      <c r="C3959" s="9" t="s">
        <v>4158</v>
      </c>
      <c r="D3959" s="9" t="s">
        <v>3722</v>
      </c>
      <c r="E3959" s="9" t="s">
        <v>196</v>
      </c>
      <c r="F3959" s="9" t="s">
        <v>200</v>
      </c>
      <c r="G3959" s="9" t="s">
        <v>221</v>
      </c>
      <c r="H3959" s="9" t="n">
        <v>450</v>
      </c>
      <c r="I3959" s="29" t="n">
        <v>0.3</v>
      </c>
      <c r="J3959" s="9" t="n">
        <v>1</v>
      </c>
      <c r="K3959" s="30"/>
      <c r="L3959" s="30"/>
      <c r="M3959" s="30"/>
      <c r="N3959" s="30"/>
      <c r="O3959" s="30"/>
      <c r="P3959" s="30"/>
      <c r="Q3959" s="30"/>
      <c r="R3959" s="30"/>
      <c r="S3959" s="30"/>
      <c r="T3959" s="30"/>
      <c r="U3959" s="21" t="str">
        <f aca="false">IF(COUNT(K3959:T3959)=0,"SOURCE EMPTY / INDUSTRIAL ONLY",IF(MIN(K3959:T3959)=1,"SERVICE READY","HOLD"))</f>
        <v>SOURCE EMPTY / INDUSTRIAL ONLY</v>
      </c>
      <c r="V3959" s="9" t="n">
        <f aca="false">IF(U3959="SERVICE READY",1,0)</f>
        <v>0</v>
      </c>
      <c r="W3959" s="6"/>
      <c r="X3959" s="6"/>
      <c r="Y3959" s="6"/>
      <c r="Z3959" s="6"/>
    </row>
    <row r="3960" customFormat="false" ht="15" hidden="false" customHeight="false" outlineLevel="0" collapsed="false">
      <c r="A3960" s="9" t="s">
        <v>4244</v>
      </c>
      <c r="B3960" s="9" t="s">
        <v>4157</v>
      </c>
      <c r="C3960" s="9" t="s">
        <v>4158</v>
      </c>
      <c r="D3960" s="9" t="s">
        <v>3722</v>
      </c>
      <c r="E3960" s="9" t="s">
        <v>196</v>
      </c>
      <c r="F3960" s="9" t="s">
        <v>203</v>
      </c>
      <c r="G3960" s="9" t="s">
        <v>221</v>
      </c>
      <c r="H3960" s="9" t="n">
        <v>450</v>
      </c>
      <c r="I3960" s="29" t="n">
        <v>0.3</v>
      </c>
      <c r="J3960" s="9" t="n">
        <v>1</v>
      </c>
      <c r="K3960" s="30"/>
      <c r="L3960" s="30"/>
      <c r="M3960" s="30"/>
      <c r="N3960" s="30"/>
      <c r="O3960" s="30"/>
      <c r="P3960" s="30"/>
      <c r="Q3960" s="30"/>
      <c r="R3960" s="30"/>
      <c r="S3960" s="30"/>
      <c r="T3960" s="30"/>
      <c r="U3960" s="21" t="str">
        <f aca="false">IF(COUNT(K3960:T3960)=0,"SOURCE EMPTY / INDUSTRIAL ONLY",IF(MIN(K3960:T3960)=1,"SERVICE READY","HOLD"))</f>
        <v>SOURCE EMPTY / INDUSTRIAL ONLY</v>
      </c>
      <c r="V3960" s="9" t="n">
        <f aca="false">IF(U3960="SERVICE READY",1,0)</f>
        <v>0</v>
      </c>
      <c r="W3960" s="6"/>
      <c r="X3960" s="6"/>
      <c r="Y3960" s="6"/>
      <c r="Z3960" s="6"/>
    </row>
    <row r="3961" customFormat="false" ht="15" hidden="false" customHeight="false" outlineLevel="0" collapsed="false">
      <c r="A3961" s="9" t="s">
        <v>4245</v>
      </c>
      <c r="B3961" s="9" t="s">
        <v>4157</v>
      </c>
      <c r="C3961" s="9" t="s">
        <v>4158</v>
      </c>
      <c r="D3961" s="9" t="s">
        <v>3722</v>
      </c>
      <c r="E3961" s="9" t="s">
        <v>196</v>
      </c>
      <c r="F3961" s="9" t="s">
        <v>205</v>
      </c>
      <c r="G3961" s="9" t="s">
        <v>221</v>
      </c>
      <c r="H3961" s="9" t="n">
        <v>450</v>
      </c>
      <c r="I3961" s="29" t="n">
        <v>0.3</v>
      </c>
      <c r="J3961" s="9" t="n">
        <v>1</v>
      </c>
      <c r="K3961" s="30"/>
      <c r="L3961" s="30"/>
      <c r="M3961" s="30"/>
      <c r="N3961" s="30"/>
      <c r="O3961" s="30"/>
      <c r="P3961" s="30"/>
      <c r="Q3961" s="30"/>
      <c r="R3961" s="30"/>
      <c r="S3961" s="30"/>
      <c r="T3961" s="30"/>
      <c r="U3961" s="21" t="str">
        <f aca="false">IF(COUNT(K3961:T3961)=0,"SOURCE EMPTY / INDUSTRIAL ONLY",IF(MIN(K3961:T3961)=1,"SERVICE READY","HOLD"))</f>
        <v>SOURCE EMPTY / INDUSTRIAL ONLY</v>
      </c>
      <c r="V3961" s="9" t="n">
        <f aca="false">IF(U3961="SERVICE READY",1,0)</f>
        <v>0</v>
      </c>
      <c r="W3961" s="6"/>
      <c r="X3961" s="6"/>
      <c r="Y3961" s="6"/>
      <c r="Z3961" s="6"/>
    </row>
    <row r="3962" customFormat="false" ht="15" hidden="false" customHeight="false" outlineLevel="0" collapsed="false">
      <c r="A3962" s="9" t="s">
        <v>4246</v>
      </c>
      <c r="B3962" s="9" t="s">
        <v>4157</v>
      </c>
      <c r="C3962" s="9" t="s">
        <v>4158</v>
      </c>
      <c r="D3962" s="9" t="s">
        <v>3722</v>
      </c>
      <c r="E3962" s="9" t="s">
        <v>196</v>
      </c>
      <c r="F3962" s="9" t="s">
        <v>207</v>
      </c>
      <c r="G3962" s="9" t="s">
        <v>221</v>
      </c>
      <c r="H3962" s="9" t="n">
        <v>450</v>
      </c>
      <c r="I3962" s="29" t="n">
        <v>0.3</v>
      </c>
      <c r="J3962" s="9" t="n">
        <v>1</v>
      </c>
      <c r="K3962" s="30"/>
      <c r="L3962" s="30"/>
      <c r="M3962" s="30"/>
      <c r="N3962" s="30"/>
      <c r="O3962" s="30"/>
      <c r="P3962" s="30"/>
      <c r="Q3962" s="30"/>
      <c r="R3962" s="30"/>
      <c r="S3962" s="30"/>
      <c r="T3962" s="30"/>
      <c r="U3962" s="21" t="str">
        <f aca="false">IF(COUNT(K3962:T3962)=0,"SOURCE EMPTY / INDUSTRIAL ONLY",IF(MIN(K3962:T3962)=1,"SERVICE READY","HOLD"))</f>
        <v>SOURCE EMPTY / INDUSTRIAL ONLY</v>
      </c>
      <c r="V3962" s="9" t="n">
        <f aca="false">IF(U3962="SERVICE READY",1,0)</f>
        <v>0</v>
      </c>
      <c r="W3962" s="6"/>
      <c r="X3962" s="6"/>
      <c r="Y3962" s="6"/>
      <c r="Z3962" s="6"/>
    </row>
    <row r="3963" customFormat="false" ht="15" hidden="false" customHeight="false" outlineLevel="0" collapsed="false">
      <c r="A3963" s="9" t="s">
        <v>4247</v>
      </c>
      <c r="B3963" s="9" t="s">
        <v>4157</v>
      </c>
      <c r="C3963" s="9" t="s">
        <v>4158</v>
      </c>
      <c r="D3963" s="9" t="s">
        <v>3722</v>
      </c>
      <c r="E3963" s="9" t="s">
        <v>196</v>
      </c>
      <c r="F3963" s="9" t="s">
        <v>209</v>
      </c>
      <c r="G3963" s="9" t="s">
        <v>221</v>
      </c>
      <c r="H3963" s="9" t="n">
        <v>450</v>
      </c>
      <c r="I3963" s="29" t="n">
        <v>0.3</v>
      </c>
      <c r="J3963" s="9" t="n">
        <v>1</v>
      </c>
      <c r="K3963" s="30"/>
      <c r="L3963" s="30"/>
      <c r="M3963" s="30"/>
      <c r="N3963" s="30"/>
      <c r="O3963" s="30"/>
      <c r="P3963" s="30"/>
      <c r="Q3963" s="30"/>
      <c r="R3963" s="30"/>
      <c r="S3963" s="30"/>
      <c r="T3963" s="30"/>
      <c r="U3963" s="21" t="str">
        <f aca="false">IF(COUNT(K3963:T3963)=0,"SOURCE EMPTY / INDUSTRIAL ONLY",IF(MIN(K3963:T3963)=1,"SERVICE READY","HOLD"))</f>
        <v>SOURCE EMPTY / INDUSTRIAL ONLY</v>
      </c>
      <c r="V3963" s="9" t="n">
        <f aca="false">IF(U3963="SERVICE READY",1,0)</f>
        <v>0</v>
      </c>
      <c r="W3963" s="6"/>
      <c r="X3963" s="6"/>
      <c r="Y3963" s="6"/>
      <c r="Z3963" s="6"/>
    </row>
    <row r="3964" customFormat="false" ht="15" hidden="false" customHeight="false" outlineLevel="0" collapsed="false">
      <c r="A3964" s="9" t="s">
        <v>4248</v>
      </c>
      <c r="B3964" s="9" t="s">
        <v>4157</v>
      </c>
      <c r="C3964" s="9" t="s">
        <v>4158</v>
      </c>
      <c r="D3964" s="9" t="s">
        <v>3722</v>
      </c>
      <c r="E3964" s="9" t="s">
        <v>196</v>
      </c>
      <c r="F3964" s="9" t="s">
        <v>211</v>
      </c>
      <c r="G3964" s="9" t="s">
        <v>221</v>
      </c>
      <c r="H3964" s="9" t="n">
        <v>450</v>
      </c>
      <c r="I3964" s="29" t="n">
        <v>0.3</v>
      </c>
      <c r="J3964" s="9" t="n">
        <v>1</v>
      </c>
      <c r="K3964" s="30"/>
      <c r="L3964" s="30"/>
      <c r="M3964" s="30"/>
      <c r="N3964" s="30"/>
      <c r="O3964" s="30"/>
      <c r="P3964" s="30"/>
      <c r="Q3964" s="30"/>
      <c r="R3964" s="30"/>
      <c r="S3964" s="30"/>
      <c r="T3964" s="30"/>
      <c r="U3964" s="21" t="str">
        <f aca="false">IF(COUNT(K3964:T3964)=0,"SOURCE EMPTY / INDUSTRIAL ONLY",IF(MIN(K3964:T3964)=1,"SERVICE READY","HOLD"))</f>
        <v>SOURCE EMPTY / INDUSTRIAL ONLY</v>
      </c>
      <c r="V3964" s="9" t="n">
        <f aca="false">IF(U3964="SERVICE READY",1,0)</f>
        <v>0</v>
      </c>
      <c r="W3964" s="6"/>
      <c r="X3964" s="6"/>
      <c r="Y3964" s="6"/>
      <c r="Z3964" s="6"/>
    </row>
    <row r="3965" customFormat="false" ht="15" hidden="false" customHeight="false" outlineLevel="0" collapsed="false">
      <c r="A3965" s="9" t="s">
        <v>4249</v>
      </c>
      <c r="B3965" s="9" t="s">
        <v>4157</v>
      </c>
      <c r="C3965" s="9" t="s">
        <v>4158</v>
      </c>
      <c r="D3965" s="9" t="s">
        <v>3722</v>
      </c>
      <c r="E3965" s="9" t="s">
        <v>196</v>
      </c>
      <c r="F3965" s="9" t="s">
        <v>197</v>
      </c>
      <c r="G3965" s="9" t="s">
        <v>221</v>
      </c>
      <c r="H3965" s="9" t="n">
        <v>450</v>
      </c>
      <c r="I3965" s="29" t="n">
        <v>0.3</v>
      </c>
      <c r="J3965" s="9" t="n">
        <v>1</v>
      </c>
      <c r="K3965" s="30"/>
      <c r="L3965" s="30"/>
      <c r="M3965" s="30"/>
      <c r="N3965" s="30"/>
      <c r="O3965" s="30"/>
      <c r="P3965" s="30"/>
      <c r="Q3965" s="30"/>
      <c r="R3965" s="30"/>
      <c r="S3965" s="30"/>
      <c r="T3965" s="30"/>
      <c r="U3965" s="21" t="str">
        <f aca="false">IF(COUNT(K3965:T3965)=0,"SOURCE EMPTY / INDUSTRIAL ONLY",IF(MIN(K3965:T3965)=1,"SERVICE READY","HOLD"))</f>
        <v>SOURCE EMPTY / INDUSTRIAL ONLY</v>
      </c>
      <c r="V3965" s="9" t="n">
        <f aca="false">IF(U3965="SERVICE READY",1,0)</f>
        <v>0</v>
      </c>
      <c r="W3965" s="6"/>
      <c r="X3965" s="6"/>
      <c r="Y3965" s="6"/>
      <c r="Z3965" s="6"/>
    </row>
    <row r="3966" customFormat="false" ht="15" hidden="false" customHeight="false" outlineLevel="0" collapsed="false">
      <c r="A3966" s="9" t="s">
        <v>4250</v>
      </c>
      <c r="B3966" s="9" t="s">
        <v>4157</v>
      </c>
      <c r="C3966" s="9" t="s">
        <v>4158</v>
      </c>
      <c r="D3966" s="9" t="s">
        <v>3722</v>
      </c>
      <c r="E3966" s="9" t="s">
        <v>196</v>
      </c>
      <c r="F3966" s="9" t="s">
        <v>200</v>
      </c>
      <c r="G3966" s="9" t="s">
        <v>221</v>
      </c>
      <c r="H3966" s="9" t="n">
        <v>450</v>
      </c>
      <c r="I3966" s="29" t="n">
        <v>0.3</v>
      </c>
      <c r="J3966" s="9" t="n">
        <v>1</v>
      </c>
      <c r="K3966" s="30"/>
      <c r="L3966" s="30"/>
      <c r="M3966" s="30"/>
      <c r="N3966" s="30"/>
      <c r="O3966" s="30"/>
      <c r="P3966" s="30"/>
      <c r="Q3966" s="30"/>
      <c r="R3966" s="30"/>
      <c r="S3966" s="30"/>
      <c r="T3966" s="30"/>
      <c r="U3966" s="21" t="str">
        <f aca="false">IF(COUNT(K3966:T3966)=0,"SOURCE EMPTY / INDUSTRIAL ONLY",IF(MIN(K3966:T3966)=1,"SERVICE READY","HOLD"))</f>
        <v>SOURCE EMPTY / INDUSTRIAL ONLY</v>
      </c>
      <c r="V3966" s="9" t="n">
        <f aca="false">IF(U3966="SERVICE READY",1,0)</f>
        <v>0</v>
      </c>
      <c r="W3966" s="6"/>
      <c r="X3966" s="6"/>
      <c r="Y3966" s="6"/>
      <c r="Z3966" s="6"/>
    </row>
    <row r="3967" customFormat="false" ht="15" hidden="false" customHeight="false" outlineLevel="0" collapsed="false">
      <c r="A3967" s="9" t="s">
        <v>4251</v>
      </c>
      <c r="B3967" s="9" t="s">
        <v>4157</v>
      </c>
      <c r="C3967" s="9" t="s">
        <v>4158</v>
      </c>
      <c r="D3967" s="9" t="s">
        <v>3722</v>
      </c>
      <c r="E3967" s="9" t="s">
        <v>196</v>
      </c>
      <c r="F3967" s="9" t="s">
        <v>203</v>
      </c>
      <c r="G3967" s="9" t="s">
        <v>221</v>
      </c>
      <c r="H3967" s="9" t="n">
        <v>450</v>
      </c>
      <c r="I3967" s="29" t="n">
        <v>0.3</v>
      </c>
      <c r="J3967" s="9" t="n">
        <v>1</v>
      </c>
      <c r="K3967" s="30"/>
      <c r="L3967" s="30"/>
      <c r="M3967" s="30"/>
      <c r="N3967" s="30"/>
      <c r="O3967" s="30"/>
      <c r="P3967" s="30"/>
      <c r="Q3967" s="30"/>
      <c r="R3967" s="30"/>
      <c r="S3967" s="30"/>
      <c r="T3967" s="30"/>
      <c r="U3967" s="21" t="str">
        <f aca="false">IF(COUNT(K3967:T3967)=0,"SOURCE EMPTY / INDUSTRIAL ONLY",IF(MIN(K3967:T3967)=1,"SERVICE READY","HOLD"))</f>
        <v>SOURCE EMPTY / INDUSTRIAL ONLY</v>
      </c>
      <c r="V3967" s="9" t="n">
        <f aca="false">IF(U3967="SERVICE READY",1,0)</f>
        <v>0</v>
      </c>
      <c r="W3967" s="6"/>
      <c r="X3967" s="6"/>
      <c r="Y3967" s="6"/>
      <c r="Z3967" s="6"/>
    </row>
    <row r="3968" customFormat="false" ht="15" hidden="false" customHeight="false" outlineLevel="0" collapsed="false">
      <c r="A3968" s="9" t="s">
        <v>4252</v>
      </c>
      <c r="B3968" s="9" t="s">
        <v>4157</v>
      </c>
      <c r="C3968" s="9" t="s">
        <v>4158</v>
      </c>
      <c r="D3968" s="9" t="s">
        <v>3722</v>
      </c>
      <c r="E3968" s="9" t="s">
        <v>196</v>
      </c>
      <c r="F3968" s="9" t="s">
        <v>205</v>
      </c>
      <c r="G3968" s="9" t="s">
        <v>221</v>
      </c>
      <c r="H3968" s="9" t="n">
        <v>450</v>
      </c>
      <c r="I3968" s="29" t="n">
        <v>0.3</v>
      </c>
      <c r="J3968" s="9" t="n">
        <v>1</v>
      </c>
      <c r="K3968" s="30"/>
      <c r="L3968" s="30"/>
      <c r="M3968" s="30"/>
      <c r="N3968" s="30"/>
      <c r="O3968" s="30"/>
      <c r="P3968" s="30"/>
      <c r="Q3968" s="30"/>
      <c r="R3968" s="30"/>
      <c r="S3968" s="30"/>
      <c r="T3968" s="30"/>
      <c r="U3968" s="21" t="str">
        <f aca="false">IF(COUNT(K3968:T3968)=0,"SOURCE EMPTY / INDUSTRIAL ONLY",IF(MIN(K3968:T3968)=1,"SERVICE READY","HOLD"))</f>
        <v>SOURCE EMPTY / INDUSTRIAL ONLY</v>
      </c>
      <c r="V3968" s="9" t="n">
        <f aca="false">IF(U3968="SERVICE READY",1,0)</f>
        <v>0</v>
      </c>
      <c r="W3968" s="6"/>
      <c r="X3968" s="6"/>
      <c r="Y3968" s="6"/>
      <c r="Z3968" s="6"/>
    </row>
    <row r="3969" customFormat="false" ht="15" hidden="false" customHeight="false" outlineLevel="0" collapsed="false">
      <c r="A3969" s="9" t="s">
        <v>4253</v>
      </c>
      <c r="B3969" s="9" t="s">
        <v>4157</v>
      </c>
      <c r="C3969" s="9" t="s">
        <v>4158</v>
      </c>
      <c r="D3969" s="9" t="s">
        <v>3722</v>
      </c>
      <c r="E3969" s="9" t="s">
        <v>196</v>
      </c>
      <c r="F3969" s="9" t="s">
        <v>207</v>
      </c>
      <c r="G3969" s="9" t="s">
        <v>221</v>
      </c>
      <c r="H3969" s="9" t="n">
        <v>450</v>
      </c>
      <c r="I3969" s="29" t="n">
        <v>0.3</v>
      </c>
      <c r="J3969" s="9" t="n">
        <v>1</v>
      </c>
      <c r="K3969" s="30"/>
      <c r="L3969" s="30"/>
      <c r="M3969" s="30"/>
      <c r="N3969" s="30"/>
      <c r="O3969" s="30"/>
      <c r="P3969" s="30"/>
      <c r="Q3969" s="30"/>
      <c r="R3969" s="30"/>
      <c r="S3969" s="30"/>
      <c r="T3969" s="30"/>
      <c r="U3969" s="21" t="str">
        <f aca="false">IF(COUNT(K3969:T3969)=0,"SOURCE EMPTY / INDUSTRIAL ONLY",IF(MIN(K3969:T3969)=1,"SERVICE READY","HOLD"))</f>
        <v>SOURCE EMPTY / INDUSTRIAL ONLY</v>
      </c>
      <c r="V3969" s="9" t="n">
        <f aca="false">IF(U3969="SERVICE READY",1,0)</f>
        <v>0</v>
      </c>
      <c r="W3969" s="6"/>
      <c r="X3969" s="6"/>
      <c r="Y3969" s="6"/>
      <c r="Z3969" s="6"/>
    </row>
    <row r="3970" customFormat="false" ht="15" hidden="false" customHeight="false" outlineLevel="0" collapsed="false">
      <c r="A3970" s="9" t="s">
        <v>4254</v>
      </c>
      <c r="B3970" s="9" t="s">
        <v>4157</v>
      </c>
      <c r="C3970" s="9" t="s">
        <v>4158</v>
      </c>
      <c r="D3970" s="9" t="s">
        <v>3722</v>
      </c>
      <c r="E3970" s="9" t="s">
        <v>196</v>
      </c>
      <c r="F3970" s="9" t="s">
        <v>209</v>
      </c>
      <c r="G3970" s="9" t="s">
        <v>221</v>
      </c>
      <c r="H3970" s="9" t="n">
        <v>450</v>
      </c>
      <c r="I3970" s="29" t="n">
        <v>0.3</v>
      </c>
      <c r="J3970" s="9" t="n">
        <v>1</v>
      </c>
      <c r="K3970" s="30"/>
      <c r="L3970" s="30"/>
      <c r="M3970" s="30"/>
      <c r="N3970" s="30"/>
      <c r="O3970" s="30"/>
      <c r="P3970" s="30"/>
      <c r="Q3970" s="30"/>
      <c r="R3970" s="30"/>
      <c r="S3970" s="30"/>
      <c r="T3970" s="30"/>
      <c r="U3970" s="21" t="str">
        <f aca="false">IF(COUNT(K3970:T3970)=0,"SOURCE EMPTY / INDUSTRIAL ONLY",IF(MIN(K3970:T3970)=1,"SERVICE READY","HOLD"))</f>
        <v>SOURCE EMPTY / INDUSTRIAL ONLY</v>
      </c>
      <c r="V3970" s="9" t="n">
        <f aca="false">IF(U3970="SERVICE READY",1,0)</f>
        <v>0</v>
      </c>
      <c r="W3970" s="6"/>
      <c r="X3970" s="6"/>
      <c r="Y3970" s="6"/>
      <c r="Z3970" s="6"/>
    </row>
    <row r="3971" customFormat="false" ht="15" hidden="false" customHeight="false" outlineLevel="0" collapsed="false">
      <c r="A3971" s="9" t="s">
        <v>4255</v>
      </c>
      <c r="B3971" s="9" t="s">
        <v>4157</v>
      </c>
      <c r="C3971" s="9" t="s">
        <v>4158</v>
      </c>
      <c r="D3971" s="9" t="s">
        <v>3722</v>
      </c>
      <c r="E3971" s="9" t="s">
        <v>196</v>
      </c>
      <c r="F3971" s="9" t="s">
        <v>211</v>
      </c>
      <c r="G3971" s="9" t="s">
        <v>221</v>
      </c>
      <c r="H3971" s="9" t="n">
        <v>450</v>
      </c>
      <c r="I3971" s="29" t="n">
        <v>0.3</v>
      </c>
      <c r="J3971" s="9" t="n">
        <v>1</v>
      </c>
      <c r="K3971" s="30"/>
      <c r="L3971" s="30"/>
      <c r="M3971" s="30"/>
      <c r="N3971" s="30"/>
      <c r="O3971" s="30"/>
      <c r="P3971" s="30"/>
      <c r="Q3971" s="30"/>
      <c r="R3971" s="30"/>
      <c r="S3971" s="30"/>
      <c r="T3971" s="30"/>
      <c r="U3971" s="21" t="str">
        <f aca="false">IF(COUNT(K3971:T3971)=0,"SOURCE EMPTY / INDUSTRIAL ONLY",IF(MIN(K3971:T3971)=1,"SERVICE READY","HOLD"))</f>
        <v>SOURCE EMPTY / INDUSTRIAL ONLY</v>
      </c>
      <c r="V3971" s="9" t="n">
        <f aca="false">IF(U3971="SERVICE READY",1,0)</f>
        <v>0</v>
      </c>
      <c r="W3971" s="6"/>
      <c r="X3971" s="6"/>
      <c r="Y3971" s="6"/>
      <c r="Z3971" s="6"/>
    </row>
    <row r="3972" customFormat="false" ht="15" hidden="false" customHeight="false" outlineLevel="0" collapsed="false">
      <c r="A3972" s="9" t="s">
        <v>4256</v>
      </c>
      <c r="B3972" s="9" t="s">
        <v>4157</v>
      </c>
      <c r="C3972" s="9" t="s">
        <v>4158</v>
      </c>
      <c r="D3972" s="9" t="s">
        <v>3722</v>
      </c>
      <c r="E3972" s="9" t="s">
        <v>196</v>
      </c>
      <c r="F3972" s="9" t="s">
        <v>197</v>
      </c>
      <c r="G3972" s="9" t="s">
        <v>221</v>
      </c>
      <c r="H3972" s="9" t="n">
        <v>450</v>
      </c>
      <c r="I3972" s="29" t="n">
        <v>0.3</v>
      </c>
      <c r="J3972" s="9" t="n">
        <v>1</v>
      </c>
      <c r="K3972" s="30"/>
      <c r="L3972" s="30"/>
      <c r="M3972" s="30"/>
      <c r="N3972" s="30"/>
      <c r="O3972" s="30"/>
      <c r="P3972" s="30"/>
      <c r="Q3972" s="30"/>
      <c r="R3972" s="30"/>
      <c r="S3972" s="30"/>
      <c r="T3972" s="30"/>
      <c r="U3972" s="21" t="str">
        <f aca="false">IF(COUNT(K3972:T3972)=0,"SOURCE EMPTY / INDUSTRIAL ONLY",IF(MIN(K3972:T3972)=1,"SERVICE READY","HOLD"))</f>
        <v>SOURCE EMPTY / INDUSTRIAL ONLY</v>
      </c>
      <c r="V3972" s="9" t="n">
        <f aca="false">IF(U3972="SERVICE READY",1,0)</f>
        <v>0</v>
      </c>
      <c r="W3972" s="6"/>
      <c r="X3972" s="6"/>
      <c r="Y3972" s="6"/>
      <c r="Z3972" s="6"/>
    </row>
    <row r="3973" customFormat="false" ht="15" hidden="false" customHeight="false" outlineLevel="0" collapsed="false">
      <c r="A3973" s="9" t="s">
        <v>4257</v>
      </c>
      <c r="B3973" s="9" t="s">
        <v>4157</v>
      </c>
      <c r="C3973" s="9" t="s">
        <v>4158</v>
      </c>
      <c r="D3973" s="9" t="s">
        <v>3722</v>
      </c>
      <c r="E3973" s="9" t="s">
        <v>196</v>
      </c>
      <c r="F3973" s="9" t="s">
        <v>200</v>
      </c>
      <c r="G3973" s="9" t="s">
        <v>221</v>
      </c>
      <c r="H3973" s="9" t="n">
        <v>450</v>
      </c>
      <c r="I3973" s="29" t="n">
        <v>0.3</v>
      </c>
      <c r="J3973" s="9" t="n">
        <v>1</v>
      </c>
      <c r="K3973" s="30"/>
      <c r="L3973" s="30"/>
      <c r="M3973" s="30"/>
      <c r="N3973" s="30"/>
      <c r="O3973" s="30"/>
      <c r="P3973" s="30"/>
      <c r="Q3973" s="30"/>
      <c r="R3973" s="30"/>
      <c r="S3973" s="30"/>
      <c r="T3973" s="30"/>
      <c r="U3973" s="21" t="str">
        <f aca="false">IF(COUNT(K3973:T3973)=0,"SOURCE EMPTY / INDUSTRIAL ONLY",IF(MIN(K3973:T3973)=1,"SERVICE READY","HOLD"))</f>
        <v>SOURCE EMPTY / INDUSTRIAL ONLY</v>
      </c>
      <c r="V3973" s="9" t="n">
        <f aca="false">IF(U3973="SERVICE READY",1,0)</f>
        <v>0</v>
      </c>
      <c r="W3973" s="6"/>
      <c r="X3973" s="6"/>
      <c r="Y3973" s="6"/>
      <c r="Z3973" s="6"/>
    </row>
    <row r="3974" customFormat="false" ht="15" hidden="false" customHeight="false" outlineLevel="0" collapsed="false">
      <c r="A3974" s="9" t="s">
        <v>4258</v>
      </c>
      <c r="B3974" s="9" t="s">
        <v>4157</v>
      </c>
      <c r="C3974" s="9" t="s">
        <v>4158</v>
      </c>
      <c r="D3974" s="9" t="s">
        <v>3722</v>
      </c>
      <c r="E3974" s="9" t="s">
        <v>196</v>
      </c>
      <c r="F3974" s="9" t="s">
        <v>203</v>
      </c>
      <c r="G3974" s="9" t="s">
        <v>221</v>
      </c>
      <c r="H3974" s="9" t="n">
        <v>450</v>
      </c>
      <c r="I3974" s="29" t="n">
        <v>0.3</v>
      </c>
      <c r="J3974" s="9" t="n">
        <v>1</v>
      </c>
      <c r="K3974" s="30"/>
      <c r="L3974" s="30"/>
      <c r="M3974" s="30"/>
      <c r="N3974" s="30"/>
      <c r="O3974" s="30"/>
      <c r="P3974" s="30"/>
      <c r="Q3974" s="30"/>
      <c r="R3974" s="30"/>
      <c r="S3974" s="30"/>
      <c r="T3974" s="30"/>
      <c r="U3974" s="21" t="str">
        <f aca="false">IF(COUNT(K3974:T3974)=0,"SOURCE EMPTY / INDUSTRIAL ONLY",IF(MIN(K3974:T3974)=1,"SERVICE READY","HOLD"))</f>
        <v>SOURCE EMPTY / INDUSTRIAL ONLY</v>
      </c>
      <c r="V3974" s="9" t="n">
        <f aca="false">IF(U3974="SERVICE READY",1,0)</f>
        <v>0</v>
      </c>
      <c r="W3974" s="6"/>
      <c r="X3974" s="6"/>
      <c r="Y3974" s="6"/>
      <c r="Z3974" s="6"/>
    </row>
    <row r="3975" customFormat="false" ht="15" hidden="false" customHeight="false" outlineLevel="0" collapsed="false">
      <c r="A3975" s="9" t="s">
        <v>4259</v>
      </c>
      <c r="B3975" s="9" t="s">
        <v>4157</v>
      </c>
      <c r="C3975" s="9" t="s">
        <v>4158</v>
      </c>
      <c r="D3975" s="9" t="s">
        <v>3722</v>
      </c>
      <c r="E3975" s="9" t="s">
        <v>196</v>
      </c>
      <c r="F3975" s="9" t="s">
        <v>205</v>
      </c>
      <c r="G3975" s="9" t="s">
        <v>221</v>
      </c>
      <c r="H3975" s="9" t="n">
        <v>450</v>
      </c>
      <c r="I3975" s="29" t="n">
        <v>0.3</v>
      </c>
      <c r="J3975" s="9" t="n">
        <v>1</v>
      </c>
      <c r="K3975" s="30"/>
      <c r="L3975" s="30"/>
      <c r="M3975" s="30"/>
      <c r="N3975" s="30"/>
      <c r="O3975" s="30"/>
      <c r="P3975" s="30"/>
      <c r="Q3975" s="30"/>
      <c r="R3975" s="30"/>
      <c r="S3975" s="30"/>
      <c r="T3975" s="30"/>
      <c r="U3975" s="21" t="str">
        <f aca="false">IF(COUNT(K3975:T3975)=0,"SOURCE EMPTY / INDUSTRIAL ONLY",IF(MIN(K3975:T3975)=1,"SERVICE READY","HOLD"))</f>
        <v>SOURCE EMPTY / INDUSTRIAL ONLY</v>
      </c>
      <c r="V3975" s="9" t="n">
        <f aca="false">IF(U3975="SERVICE READY",1,0)</f>
        <v>0</v>
      </c>
      <c r="W3975" s="6"/>
      <c r="X3975" s="6"/>
      <c r="Y3975" s="6"/>
      <c r="Z3975" s="6"/>
    </row>
    <row r="3976" customFormat="false" ht="15" hidden="false" customHeight="false" outlineLevel="0" collapsed="false">
      <c r="A3976" s="9" t="s">
        <v>4260</v>
      </c>
      <c r="B3976" s="9" t="s">
        <v>4157</v>
      </c>
      <c r="C3976" s="9" t="s">
        <v>4158</v>
      </c>
      <c r="D3976" s="9" t="s">
        <v>3722</v>
      </c>
      <c r="E3976" s="9" t="s">
        <v>196</v>
      </c>
      <c r="F3976" s="9" t="s">
        <v>207</v>
      </c>
      <c r="G3976" s="9" t="s">
        <v>221</v>
      </c>
      <c r="H3976" s="9" t="n">
        <v>450</v>
      </c>
      <c r="I3976" s="29" t="n">
        <v>0.3</v>
      </c>
      <c r="J3976" s="9" t="n">
        <v>1</v>
      </c>
      <c r="K3976" s="30"/>
      <c r="L3976" s="30"/>
      <c r="M3976" s="30"/>
      <c r="N3976" s="30"/>
      <c r="O3976" s="30"/>
      <c r="P3976" s="30"/>
      <c r="Q3976" s="30"/>
      <c r="R3976" s="30"/>
      <c r="S3976" s="30"/>
      <c r="T3976" s="30"/>
      <c r="U3976" s="21" t="str">
        <f aca="false">IF(COUNT(K3976:T3976)=0,"SOURCE EMPTY / INDUSTRIAL ONLY",IF(MIN(K3976:T3976)=1,"SERVICE READY","HOLD"))</f>
        <v>SOURCE EMPTY / INDUSTRIAL ONLY</v>
      </c>
      <c r="V3976" s="9" t="n">
        <f aca="false">IF(U3976="SERVICE READY",1,0)</f>
        <v>0</v>
      </c>
      <c r="W3976" s="6"/>
      <c r="X3976" s="6"/>
      <c r="Y3976" s="6"/>
      <c r="Z3976" s="6"/>
    </row>
    <row r="3977" customFormat="false" ht="15" hidden="false" customHeight="false" outlineLevel="0" collapsed="false">
      <c r="A3977" s="9" t="s">
        <v>4261</v>
      </c>
      <c r="B3977" s="9" t="s">
        <v>4157</v>
      </c>
      <c r="C3977" s="9" t="s">
        <v>4158</v>
      </c>
      <c r="D3977" s="9" t="s">
        <v>3722</v>
      </c>
      <c r="E3977" s="9" t="s">
        <v>196</v>
      </c>
      <c r="F3977" s="9" t="s">
        <v>209</v>
      </c>
      <c r="G3977" s="9" t="s">
        <v>221</v>
      </c>
      <c r="H3977" s="9" t="n">
        <v>450</v>
      </c>
      <c r="I3977" s="29" t="n">
        <v>0.3</v>
      </c>
      <c r="J3977" s="9" t="n">
        <v>1</v>
      </c>
      <c r="K3977" s="30"/>
      <c r="L3977" s="30"/>
      <c r="M3977" s="30"/>
      <c r="N3977" s="30"/>
      <c r="O3977" s="30"/>
      <c r="P3977" s="30"/>
      <c r="Q3977" s="30"/>
      <c r="R3977" s="30"/>
      <c r="S3977" s="30"/>
      <c r="T3977" s="30"/>
      <c r="U3977" s="21" t="str">
        <f aca="false">IF(COUNT(K3977:T3977)=0,"SOURCE EMPTY / INDUSTRIAL ONLY",IF(MIN(K3977:T3977)=1,"SERVICE READY","HOLD"))</f>
        <v>SOURCE EMPTY / INDUSTRIAL ONLY</v>
      </c>
      <c r="V3977" s="9" t="n">
        <f aca="false">IF(U3977="SERVICE READY",1,0)</f>
        <v>0</v>
      </c>
      <c r="W3977" s="6"/>
      <c r="X3977" s="6"/>
      <c r="Y3977" s="6"/>
      <c r="Z3977" s="6"/>
    </row>
    <row r="3978" customFormat="false" ht="15" hidden="false" customHeight="false" outlineLevel="0" collapsed="false">
      <c r="A3978" s="9" t="s">
        <v>4262</v>
      </c>
      <c r="B3978" s="9" t="s">
        <v>4157</v>
      </c>
      <c r="C3978" s="9" t="s">
        <v>4158</v>
      </c>
      <c r="D3978" s="9" t="s">
        <v>3722</v>
      </c>
      <c r="E3978" s="9" t="s">
        <v>196</v>
      </c>
      <c r="F3978" s="9" t="s">
        <v>211</v>
      </c>
      <c r="G3978" s="9" t="s">
        <v>221</v>
      </c>
      <c r="H3978" s="9" t="n">
        <v>450</v>
      </c>
      <c r="I3978" s="29" t="n">
        <v>0.3</v>
      </c>
      <c r="J3978" s="9" t="n">
        <v>1</v>
      </c>
      <c r="K3978" s="30"/>
      <c r="L3978" s="30"/>
      <c r="M3978" s="30"/>
      <c r="N3978" s="30"/>
      <c r="O3978" s="30"/>
      <c r="P3978" s="30"/>
      <c r="Q3978" s="30"/>
      <c r="R3978" s="30"/>
      <c r="S3978" s="30"/>
      <c r="T3978" s="30"/>
      <c r="U3978" s="21" t="str">
        <f aca="false">IF(COUNT(K3978:T3978)=0,"SOURCE EMPTY / INDUSTRIAL ONLY",IF(MIN(K3978:T3978)=1,"SERVICE READY","HOLD"))</f>
        <v>SOURCE EMPTY / INDUSTRIAL ONLY</v>
      </c>
      <c r="V3978" s="9" t="n">
        <f aca="false">IF(U3978="SERVICE READY",1,0)</f>
        <v>0</v>
      </c>
      <c r="W3978" s="6"/>
      <c r="X3978" s="6"/>
      <c r="Y3978" s="6"/>
      <c r="Z3978" s="6"/>
    </row>
    <row r="3979" customFormat="false" ht="15" hidden="false" customHeight="false" outlineLevel="0" collapsed="false">
      <c r="A3979" s="9" t="s">
        <v>4263</v>
      </c>
      <c r="B3979" s="9" t="s">
        <v>4157</v>
      </c>
      <c r="C3979" s="9" t="s">
        <v>4158</v>
      </c>
      <c r="D3979" s="9" t="s">
        <v>3722</v>
      </c>
      <c r="E3979" s="9" t="s">
        <v>196</v>
      </c>
      <c r="F3979" s="9" t="s">
        <v>197</v>
      </c>
      <c r="G3979" s="9" t="s">
        <v>221</v>
      </c>
      <c r="H3979" s="9" t="n">
        <v>450</v>
      </c>
      <c r="I3979" s="29" t="n">
        <v>0.3</v>
      </c>
      <c r="J3979" s="9" t="n">
        <v>1</v>
      </c>
      <c r="K3979" s="30"/>
      <c r="L3979" s="30"/>
      <c r="M3979" s="30"/>
      <c r="N3979" s="30"/>
      <c r="O3979" s="30"/>
      <c r="P3979" s="30"/>
      <c r="Q3979" s="30"/>
      <c r="R3979" s="30"/>
      <c r="S3979" s="30"/>
      <c r="T3979" s="30"/>
      <c r="U3979" s="21" t="str">
        <f aca="false">IF(COUNT(K3979:T3979)=0,"SOURCE EMPTY / INDUSTRIAL ONLY",IF(MIN(K3979:T3979)=1,"SERVICE READY","HOLD"))</f>
        <v>SOURCE EMPTY / INDUSTRIAL ONLY</v>
      </c>
      <c r="V3979" s="9" t="n">
        <f aca="false">IF(U3979="SERVICE READY",1,0)</f>
        <v>0</v>
      </c>
      <c r="W3979" s="6"/>
      <c r="X3979" s="6"/>
      <c r="Y3979" s="6"/>
      <c r="Z3979" s="6"/>
    </row>
    <row r="3980" customFormat="false" ht="15" hidden="false" customHeight="false" outlineLevel="0" collapsed="false">
      <c r="A3980" s="9" t="s">
        <v>4264</v>
      </c>
      <c r="B3980" s="9" t="s">
        <v>4157</v>
      </c>
      <c r="C3980" s="9" t="s">
        <v>4158</v>
      </c>
      <c r="D3980" s="9" t="s">
        <v>3722</v>
      </c>
      <c r="E3980" s="9" t="s">
        <v>196</v>
      </c>
      <c r="F3980" s="9" t="s">
        <v>200</v>
      </c>
      <c r="G3980" s="9" t="s">
        <v>221</v>
      </c>
      <c r="H3980" s="9" t="n">
        <v>450</v>
      </c>
      <c r="I3980" s="29" t="n">
        <v>0.3</v>
      </c>
      <c r="J3980" s="9" t="n">
        <v>1</v>
      </c>
      <c r="K3980" s="30"/>
      <c r="L3980" s="30"/>
      <c r="M3980" s="30"/>
      <c r="N3980" s="30"/>
      <c r="O3980" s="30"/>
      <c r="P3980" s="30"/>
      <c r="Q3980" s="30"/>
      <c r="R3980" s="30"/>
      <c r="S3980" s="30"/>
      <c r="T3980" s="30"/>
      <c r="U3980" s="21" t="str">
        <f aca="false">IF(COUNT(K3980:T3980)=0,"SOURCE EMPTY / INDUSTRIAL ONLY",IF(MIN(K3980:T3980)=1,"SERVICE READY","HOLD"))</f>
        <v>SOURCE EMPTY / INDUSTRIAL ONLY</v>
      </c>
      <c r="V3980" s="9" t="n">
        <f aca="false">IF(U3980="SERVICE READY",1,0)</f>
        <v>0</v>
      </c>
      <c r="W3980" s="6"/>
      <c r="X3980" s="6"/>
      <c r="Y3980" s="6"/>
      <c r="Z3980" s="6"/>
    </row>
    <row r="3981" customFormat="false" ht="15" hidden="false" customHeight="false" outlineLevel="0" collapsed="false">
      <c r="A3981" s="9" t="s">
        <v>4265</v>
      </c>
      <c r="B3981" s="9" t="s">
        <v>4157</v>
      </c>
      <c r="C3981" s="9" t="s">
        <v>4158</v>
      </c>
      <c r="D3981" s="9" t="s">
        <v>3722</v>
      </c>
      <c r="E3981" s="9" t="s">
        <v>196</v>
      </c>
      <c r="F3981" s="9" t="s">
        <v>203</v>
      </c>
      <c r="G3981" s="9" t="s">
        <v>221</v>
      </c>
      <c r="H3981" s="9" t="n">
        <v>450</v>
      </c>
      <c r="I3981" s="29" t="n">
        <v>0.3</v>
      </c>
      <c r="J3981" s="9" t="n">
        <v>1</v>
      </c>
      <c r="K3981" s="30"/>
      <c r="L3981" s="30"/>
      <c r="M3981" s="30"/>
      <c r="N3981" s="30"/>
      <c r="O3981" s="30"/>
      <c r="P3981" s="30"/>
      <c r="Q3981" s="30"/>
      <c r="R3981" s="30"/>
      <c r="S3981" s="30"/>
      <c r="T3981" s="30"/>
      <c r="U3981" s="21" t="str">
        <f aca="false">IF(COUNT(K3981:T3981)=0,"SOURCE EMPTY / INDUSTRIAL ONLY",IF(MIN(K3981:T3981)=1,"SERVICE READY","HOLD"))</f>
        <v>SOURCE EMPTY / INDUSTRIAL ONLY</v>
      </c>
      <c r="V3981" s="9" t="n">
        <f aca="false">IF(U3981="SERVICE READY",1,0)</f>
        <v>0</v>
      </c>
      <c r="W3981" s="6"/>
      <c r="X3981" s="6"/>
      <c r="Y3981" s="6"/>
      <c r="Z3981" s="6"/>
    </row>
    <row r="3982" customFormat="false" ht="15" hidden="false" customHeight="false" outlineLevel="0" collapsed="false">
      <c r="A3982" s="9" t="s">
        <v>4266</v>
      </c>
      <c r="B3982" s="9" t="s">
        <v>4157</v>
      </c>
      <c r="C3982" s="9" t="s">
        <v>4158</v>
      </c>
      <c r="D3982" s="9" t="s">
        <v>3722</v>
      </c>
      <c r="E3982" s="9" t="s">
        <v>196</v>
      </c>
      <c r="F3982" s="9" t="s">
        <v>205</v>
      </c>
      <c r="G3982" s="9" t="s">
        <v>221</v>
      </c>
      <c r="H3982" s="9" t="n">
        <v>450</v>
      </c>
      <c r="I3982" s="29" t="n">
        <v>0.3</v>
      </c>
      <c r="J3982" s="9" t="n">
        <v>1</v>
      </c>
      <c r="K3982" s="30"/>
      <c r="L3982" s="30"/>
      <c r="M3982" s="30"/>
      <c r="N3982" s="30"/>
      <c r="O3982" s="30"/>
      <c r="P3982" s="30"/>
      <c r="Q3982" s="30"/>
      <c r="R3982" s="30"/>
      <c r="S3982" s="30"/>
      <c r="T3982" s="30"/>
      <c r="U3982" s="21" t="str">
        <f aca="false">IF(COUNT(K3982:T3982)=0,"SOURCE EMPTY / INDUSTRIAL ONLY",IF(MIN(K3982:T3982)=1,"SERVICE READY","HOLD"))</f>
        <v>SOURCE EMPTY / INDUSTRIAL ONLY</v>
      </c>
      <c r="V3982" s="9" t="n">
        <f aca="false">IF(U3982="SERVICE READY",1,0)</f>
        <v>0</v>
      </c>
      <c r="W3982" s="6"/>
      <c r="X3982" s="6"/>
      <c r="Y3982" s="6"/>
      <c r="Z3982" s="6"/>
    </row>
    <row r="3983" customFormat="false" ht="15" hidden="false" customHeight="false" outlineLevel="0" collapsed="false">
      <c r="A3983" s="9" t="s">
        <v>4267</v>
      </c>
      <c r="B3983" s="9" t="s">
        <v>4157</v>
      </c>
      <c r="C3983" s="9" t="s">
        <v>4158</v>
      </c>
      <c r="D3983" s="9" t="s">
        <v>3722</v>
      </c>
      <c r="E3983" s="9" t="s">
        <v>196</v>
      </c>
      <c r="F3983" s="9" t="s">
        <v>207</v>
      </c>
      <c r="G3983" s="9" t="s">
        <v>221</v>
      </c>
      <c r="H3983" s="9" t="n">
        <v>450</v>
      </c>
      <c r="I3983" s="29" t="n">
        <v>0.3</v>
      </c>
      <c r="J3983" s="9" t="n">
        <v>1</v>
      </c>
      <c r="K3983" s="30"/>
      <c r="L3983" s="30"/>
      <c r="M3983" s="30"/>
      <c r="N3983" s="30"/>
      <c r="O3983" s="30"/>
      <c r="P3983" s="30"/>
      <c r="Q3983" s="30"/>
      <c r="R3983" s="30"/>
      <c r="S3983" s="30"/>
      <c r="T3983" s="30"/>
      <c r="U3983" s="21" t="str">
        <f aca="false">IF(COUNT(K3983:T3983)=0,"SOURCE EMPTY / INDUSTRIAL ONLY",IF(MIN(K3983:T3983)=1,"SERVICE READY","HOLD"))</f>
        <v>SOURCE EMPTY / INDUSTRIAL ONLY</v>
      </c>
      <c r="V3983" s="9" t="n">
        <f aca="false">IF(U3983="SERVICE READY",1,0)</f>
        <v>0</v>
      </c>
      <c r="W3983" s="6"/>
      <c r="X3983" s="6"/>
      <c r="Y3983" s="6"/>
      <c r="Z3983" s="6"/>
    </row>
    <row r="3984" customFormat="false" ht="15" hidden="false" customHeight="false" outlineLevel="0" collapsed="false">
      <c r="A3984" s="9" t="s">
        <v>4268</v>
      </c>
      <c r="B3984" s="9" t="s">
        <v>4157</v>
      </c>
      <c r="C3984" s="9" t="s">
        <v>4158</v>
      </c>
      <c r="D3984" s="9" t="s">
        <v>3722</v>
      </c>
      <c r="E3984" s="9" t="s">
        <v>196</v>
      </c>
      <c r="F3984" s="9" t="s">
        <v>209</v>
      </c>
      <c r="G3984" s="9" t="s">
        <v>221</v>
      </c>
      <c r="H3984" s="9" t="n">
        <v>450</v>
      </c>
      <c r="I3984" s="29" t="n">
        <v>0.3</v>
      </c>
      <c r="J3984" s="9" t="n">
        <v>1</v>
      </c>
      <c r="K3984" s="30"/>
      <c r="L3984" s="30"/>
      <c r="M3984" s="30"/>
      <c r="N3984" s="30"/>
      <c r="O3984" s="30"/>
      <c r="P3984" s="30"/>
      <c r="Q3984" s="30"/>
      <c r="R3984" s="30"/>
      <c r="S3984" s="30"/>
      <c r="T3984" s="30"/>
      <c r="U3984" s="21" t="str">
        <f aca="false">IF(COUNT(K3984:T3984)=0,"SOURCE EMPTY / INDUSTRIAL ONLY",IF(MIN(K3984:T3984)=1,"SERVICE READY","HOLD"))</f>
        <v>SOURCE EMPTY / INDUSTRIAL ONLY</v>
      </c>
      <c r="V3984" s="9" t="n">
        <f aca="false">IF(U3984="SERVICE READY",1,0)</f>
        <v>0</v>
      </c>
      <c r="W3984" s="6"/>
      <c r="X3984" s="6"/>
      <c r="Y3984" s="6"/>
      <c r="Z3984" s="6"/>
    </row>
    <row r="3985" customFormat="false" ht="15" hidden="false" customHeight="false" outlineLevel="0" collapsed="false">
      <c r="A3985" s="9" t="s">
        <v>4269</v>
      </c>
      <c r="B3985" s="9" t="s">
        <v>4157</v>
      </c>
      <c r="C3985" s="9" t="s">
        <v>4158</v>
      </c>
      <c r="D3985" s="9" t="s">
        <v>3722</v>
      </c>
      <c r="E3985" s="9" t="s">
        <v>196</v>
      </c>
      <c r="F3985" s="9" t="s">
        <v>211</v>
      </c>
      <c r="G3985" s="9" t="s">
        <v>221</v>
      </c>
      <c r="H3985" s="9" t="n">
        <v>450</v>
      </c>
      <c r="I3985" s="29" t="n">
        <v>0.3</v>
      </c>
      <c r="J3985" s="9" t="n">
        <v>1</v>
      </c>
      <c r="K3985" s="30"/>
      <c r="L3985" s="30"/>
      <c r="M3985" s="30"/>
      <c r="N3985" s="30"/>
      <c r="O3985" s="30"/>
      <c r="P3985" s="30"/>
      <c r="Q3985" s="30"/>
      <c r="R3985" s="30"/>
      <c r="S3985" s="30"/>
      <c r="T3985" s="30"/>
      <c r="U3985" s="21" t="str">
        <f aca="false">IF(COUNT(K3985:T3985)=0,"SOURCE EMPTY / INDUSTRIAL ONLY",IF(MIN(K3985:T3985)=1,"SERVICE READY","HOLD"))</f>
        <v>SOURCE EMPTY / INDUSTRIAL ONLY</v>
      </c>
      <c r="V3985" s="9" t="n">
        <f aca="false">IF(U3985="SERVICE READY",1,0)</f>
        <v>0</v>
      </c>
      <c r="W3985" s="6"/>
      <c r="X3985" s="6"/>
      <c r="Y3985" s="6"/>
      <c r="Z3985" s="6"/>
    </row>
    <row r="3986" customFormat="false" ht="15" hidden="false" customHeight="false" outlineLevel="0" collapsed="false">
      <c r="A3986" s="9" t="s">
        <v>4270</v>
      </c>
      <c r="B3986" s="9" t="s">
        <v>4157</v>
      </c>
      <c r="C3986" s="9" t="s">
        <v>4158</v>
      </c>
      <c r="D3986" s="9" t="s">
        <v>3722</v>
      </c>
      <c r="E3986" s="9" t="s">
        <v>196</v>
      </c>
      <c r="F3986" s="9" t="s">
        <v>197</v>
      </c>
      <c r="G3986" s="9" t="s">
        <v>221</v>
      </c>
      <c r="H3986" s="9" t="n">
        <v>450</v>
      </c>
      <c r="I3986" s="29" t="n">
        <v>0.3</v>
      </c>
      <c r="J3986" s="9" t="n">
        <v>1</v>
      </c>
      <c r="K3986" s="30"/>
      <c r="L3986" s="30"/>
      <c r="M3986" s="30"/>
      <c r="N3986" s="30"/>
      <c r="O3986" s="30"/>
      <c r="P3986" s="30"/>
      <c r="Q3986" s="30"/>
      <c r="R3986" s="30"/>
      <c r="S3986" s="30"/>
      <c r="T3986" s="30"/>
      <c r="U3986" s="21" t="str">
        <f aca="false">IF(COUNT(K3986:T3986)=0,"SOURCE EMPTY / INDUSTRIAL ONLY",IF(MIN(K3986:T3986)=1,"SERVICE READY","HOLD"))</f>
        <v>SOURCE EMPTY / INDUSTRIAL ONLY</v>
      </c>
      <c r="V3986" s="9" t="n">
        <f aca="false">IF(U3986="SERVICE READY",1,0)</f>
        <v>0</v>
      </c>
      <c r="W3986" s="6"/>
      <c r="X3986" s="6"/>
      <c r="Y3986" s="6"/>
      <c r="Z3986" s="6"/>
    </row>
    <row r="3987" customFormat="false" ht="15" hidden="false" customHeight="false" outlineLevel="0" collapsed="false">
      <c r="A3987" s="9" t="s">
        <v>4271</v>
      </c>
      <c r="B3987" s="9" t="s">
        <v>4157</v>
      </c>
      <c r="C3987" s="9" t="s">
        <v>4158</v>
      </c>
      <c r="D3987" s="9" t="s">
        <v>3722</v>
      </c>
      <c r="E3987" s="9" t="s">
        <v>196</v>
      </c>
      <c r="F3987" s="9" t="s">
        <v>200</v>
      </c>
      <c r="G3987" s="9" t="s">
        <v>221</v>
      </c>
      <c r="H3987" s="9" t="n">
        <v>450</v>
      </c>
      <c r="I3987" s="29" t="n">
        <v>0.3</v>
      </c>
      <c r="J3987" s="9" t="n">
        <v>1</v>
      </c>
      <c r="K3987" s="30"/>
      <c r="L3987" s="30"/>
      <c r="M3987" s="30"/>
      <c r="N3987" s="30"/>
      <c r="O3987" s="30"/>
      <c r="P3987" s="30"/>
      <c r="Q3987" s="30"/>
      <c r="R3987" s="30"/>
      <c r="S3987" s="30"/>
      <c r="T3987" s="30"/>
      <c r="U3987" s="21" t="str">
        <f aca="false">IF(COUNT(K3987:T3987)=0,"SOURCE EMPTY / INDUSTRIAL ONLY",IF(MIN(K3987:T3987)=1,"SERVICE READY","HOLD"))</f>
        <v>SOURCE EMPTY / INDUSTRIAL ONLY</v>
      </c>
      <c r="V3987" s="9" t="n">
        <f aca="false">IF(U3987="SERVICE READY",1,0)</f>
        <v>0</v>
      </c>
      <c r="W3987" s="6"/>
      <c r="X3987" s="6"/>
      <c r="Y3987" s="6"/>
      <c r="Z3987" s="6"/>
    </row>
    <row r="3988" customFormat="false" ht="15" hidden="false" customHeight="false" outlineLevel="0" collapsed="false">
      <c r="A3988" s="9" t="s">
        <v>4272</v>
      </c>
      <c r="B3988" s="9" t="s">
        <v>4157</v>
      </c>
      <c r="C3988" s="9" t="s">
        <v>4158</v>
      </c>
      <c r="D3988" s="9" t="s">
        <v>3722</v>
      </c>
      <c r="E3988" s="9" t="s">
        <v>196</v>
      </c>
      <c r="F3988" s="9" t="s">
        <v>203</v>
      </c>
      <c r="G3988" s="9" t="s">
        <v>221</v>
      </c>
      <c r="H3988" s="9" t="n">
        <v>450</v>
      </c>
      <c r="I3988" s="29" t="n">
        <v>0.3</v>
      </c>
      <c r="J3988" s="9" t="n">
        <v>1</v>
      </c>
      <c r="K3988" s="30"/>
      <c r="L3988" s="30"/>
      <c r="M3988" s="30"/>
      <c r="N3988" s="30"/>
      <c r="O3988" s="30"/>
      <c r="P3988" s="30"/>
      <c r="Q3988" s="30"/>
      <c r="R3988" s="30"/>
      <c r="S3988" s="30"/>
      <c r="T3988" s="30"/>
      <c r="U3988" s="21" t="str">
        <f aca="false">IF(COUNT(K3988:T3988)=0,"SOURCE EMPTY / INDUSTRIAL ONLY",IF(MIN(K3988:T3988)=1,"SERVICE READY","HOLD"))</f>
        <v>SOURCE EMPTY / INDUSTRIAL ONLY</v>
      </c>
      <c r="V3988" s="9" t="n">
        <f aca="false">IF(U3988="SERVICE READY",1,0)</f>
        <v>0</v>
      </c>
      <c r="W3988" s="6"/>
      <c r="X3988" s="6"/>
      <c r="Y3988" s="6"/>
      <c r="Z3988" s="6"/>
    </row>
    <row r="3989" customFormat="false" ht="15" hidden="false" customHeight="false" outlineLevel="0" collapsed="false">
      <c r="A3989" s="9" t="s">
        <v>4273</v>
      </c>
      <c r="B3989" s="9" t="s">
        <v>4157</v>
      </c>
      <c r="C3989" s="9" t="s">
        <v>4158</v>
      </c>
      <c r="D3989" s="9" t="s">
        <v>3722</v>
      </c>
      <c r="E3989" s="9" t="s">
        <v>196</v>
      </c>
      <c r="F3989" s="9" t="s">
        <v>205</v>
      </c>
      <c r="G3989" s="9" t="s">
        <v>221</v>
      </c>
      <c r="H3989" s="9" t="n">
        <v>450</v>
      </c>
      <c r="I3989" s="29" t="n">
        <v>0.3</v>
      </c>
      <c r="J3989" s="9" t="n">
        <v>1</v>
      </c>
      <c r="K3989" s="30"/>
      <c r="L3989" s="30"/>
      <c r="M3989" s="30"/>
      <c r="N3989" s="30"/>
      <c r="O3989" s="30"/>
      <c r="P3989" s="30"/>
      <c r="Q3989" s="30"/>
      <c r="R3989" s="30"/>
      <c r="S3989" s="30"/>
      <c r="T3989" s="30"/>
      <c r="U3989" s="21" t="str">
        <f aca="false">IF(COUNT(K3989:T3989)=0,"SOURCE EMPTY / INDUSTRIAL ONLY",IF(MIN(K3989:T3989)=1,"SERVICE READY","HOLD"))</f>
        <v>SOURCE EMPTY / INDUSTRIAL ONLY</v>
      </c>
      <c r="V3989" s="9" t="n">
        <f aca="false">IF(U3989="SERVICE READY",1,0)</f>
        <v>0</v>
      </c>
      <c r="W3989" s="6"/>
      <c r="X3989" s="6"/>
      <c r="Y3989" s="6"/>
      <c r="Z3989" s="6"/>
    </row>
    <row r="3990" customFormat="false" ht="15" hidden="false" customHeight="false" outlineLevel="0" collapsed="false">
      <c r="A3990" s="9" t="s">
        <v>4274</v>
      </c>
      <c r="B3990" s="9" t="s">
        <v>4157</v>
      </c>
      <c r="C3990" s="9" t="s">
        <v>4158</v>
      </c>
      <c r="D3990" s="9" t="s">
        <v>3722</v>
      </c>
      <c r="E3990" s="9" t="s">
        <v>196</v>
      </c>
      <c r="F3990" s="9" t="s">
        <v>207</v>
      </c>
      <c r="G3990" s="9" t="s">
        <v>221</v>
      </c>
      <c r="H3990" s="9" t="n">
        <v>450</v>
      </c>
      <c r="I3990" s="29" t="n">
        <v>0.3</v>
      </c>
      <c r="J3990" s="9" t="n">
        <v>1</v>
      </c>
      <c r="K3990" s="30"/>
      <c r="L3990" s="30"/>
      <c r="M3990" s="30"/>
      <c r="N3990" s="30"/>
      <c r="O3990" s="30"/>
      <c r="P3990" s="30"/>
      <c r="Q3990" s="30"/>
      <c r="R3990" s="30"/>
      <c r="S3990" s="30"/>
      <c r="T3990" s="30"/>
      <c r="U3990" s="21" t="str">
        <f aca="false">IF(COUNT(K3990:T3990)=0,"SOURCE EMPTY / INDUSTRIAL ONLY",IF(MIN(K3990:T3990)=1,"SERVICE READY","HOLD"))</f>
        <v>SOURCE EMPTY / INDUSTRIAL ONLY</v>
      </c>
      <c r="V3990" s="9" t="n">
        <f aca="false">IF(U3990="SERVICE READY",1,0)</f>
        <v>0</v>
      </c>
      <c r="W3990" s="6"/>
      <c r="X3990" s="6"/>
      <c r="Y3990" s="6"/>
      <c r="Z3990" s="6"/>
    </row>
    <row r="3991" customFormat="false" ht="15" hidden="false" customHeight="false" outlineLevel="0" collapsed="false">
      <c r="A3991" s="9" t="s">
        <v>4275</v>
      </c>
      <c r="B3991" s="9" t="s">
        <v>4157</v>
      </c>
      <c r="C3991" s="9" t="s">
        <v>4158</v>
      </c>
      <c r="D3991" s="9" t="s">
        <v>3722</v>
      </c>
      <c r="E3991" s="9" t="s">
        <v>196</v>
      </c>
      <c r="F3991" s="9" t="s">
        <v>209</v>
      </c>
      <c r="G3991" s="9" t="s">
        <v>221</v>
      </c>
      <c r="H3991" s="9" t="n">
        <v>450</v>
      </c>
      <c r="I3991" s="29" t="n">
        <v>0.3</v>
      </c>
      <c r="J3991" s="9" t="n">
        <v>1</v>
      </c>
      <c r="K3991" s="30"/>
      <c r="L3991" s="30"/>
      <c r="M3991" s="30"/>
      <c r="N3991" s="30"/>
      <c r="O3991" s="30"/>
      <c r="P3991" s="30"/>
      <c r="Q3991" s="30"/>
      <c r="R3991" s="30"/>
      <c r="S3991" s="30"/>
      <c r="T3991" s="30"/>
      <c r="U3991" s="21" t="str">
        <f aca="false">IF(COUNT(K3991:T3991)=0,"SOURCE EMPTY / INDUSTRIAL ONLY",IF(MIN(K3991:T3991)=1,"SERVICE READY","HOLD"))</f>
        <v>SOURCE EMPTY / INDUSTRIAL ONLY</v>
      </c>
      <c r="V3991" s="9" t="n">
        <f aca="false">IF(U3991="SERVICE READY",1,0)</f>
        <v>0</v>
      </c>
      <c r="W3991" s="6"/>
      <c r="X3991" s="6"/>
      <c r="Y3991" s="6"/>
      <c r="Z3991" s="6"/>
    </row>
    <row r="3992" customFormat="false" ht="15" hidden="false" customHeight="false" outlineLevel="0" collapsed="false">
      <c r="A3992" s="9" t="s">
        <v>4276</v>
      </c>
      <c r="B3992" s="9" t="s">
        <v>4157</v>
      </c>
      <c r="C3992" s="9" t="s">
        <v>4158</v>
      </c>
      <c r="D3992" s="9" t="s">
        <v>3722</v>
      </c>
      <c r="E3992" s="9" t="s">
        <v>196</v>
      </c>
      <c r="F3992" s="9" t="s">
        <v>211</v>
      </c>
      <c r="G3992" s="9" t="s">
        <v>221</v>
      </c>
      <c r="H3992" s="9" t="n">
        <v>450</v>
      </c>
      <c r="I3992" s="29" t="n">
        <v>0.3</v>
      </c>
      <c r="J3992" s="9" t="n">
        <v>1</v>
      </c>
      <c r="K3992" s="30"/>
      <c r="L3992" s="30"/>
      <c r="M3992" s="30"/>
      <c r="N3992" s="30"/>
      <c r="O3992" s="30"/>
      <c r="P3992" s="30"/>
      <c r="Q3992" s="30"/>
      <c r="R3992" s="30"/>
      <c r="S3992" s="30"/>
      <c r="T3992" s="30"/>
      <c r="U3992" s="21" t="str">
        <f aca="false">IF(COUNT(K3992:T3992)=0,"SOURCE EMPTY / INDUSTRIAL ONLY",IF(MIN(K3992:T3992)=1,"SERVICE READY","HOLD"))</f>
        <v>SOURCE EMPTY / INDUSTRIAL ONLY</v>
      </c>
      <c r="V3992" s="9" t="n">
        <f aca="false">IF(U3992="SERVICE READY",1,0)</f>
        <v>0</v>
      </c>
      <c r="W3992" s="6"/>
      <c r="X3992" s="6"/>
      <c r="Y3992" s="6"/>
      <c r="Z3992" s="6"/>
    </row>
    <row r="3993" customFormat="false" ht="15" hidden="false" customHeight="false" outlineLevel="0" collapsed="false">
      <c r="A3993" s="9" t="s">
        <v>4277</v>
      </c>
      <c r="B3993" s="9" t="s">
        <v>4157</v>
      </c>
      <c r="C3993" s="9" t="s">
        <v>4158</v>
      </c>
      <c r="D3993" s="9" t="s">
        <v>3722</v>
      </c>
      <c r="E3993" s="9" t="s">
        <v>196</v>
      </c>
      <c r="F3993" s="9" t="s">
        <v>197</v>
      </c>
      <c r="G3993" s="9" t="s">
        <v>221</v>
      </c>
      <c r="H3993" s="9" t="n">
        <v>450</v>
      </c>
      <c r="I3993" s="29" t="n">
        <v>0.3</v>
      </c>
      <c r="J3993" s="9" t="n">
        <v>1</v>
      </c>
      <c r="K3993" s="30"/>
      <c r="L3993" s="30"/>
      <c r="M3993" s="30"/>
      <c r="N3993" s="30"/>
      <c r="O3993" s="30"/>
      <c r="P3993" s="30"/>
      <c r="Q3993" s="30"/>
      <c r="R3993" s="30"/>
      <c r="S3993" s="30"/>
      <c r="T3993" s="30"/>
      <c r="U3993" s="21" t="str">
        <f aca="false">IF(COUNT(K3993:T3993)=0,"SOURCE EMPTY / INDUSTRIAL ONLY",IF(MIN(K3993:T3993)=1,"SERVICE READY","HOLD"))</f>
        <v>SOURCE EMPTY / INDUSTRIAL ONLY</v>
      </c>
      <c r="V3993" s="9" t="n">
        <f aca="false">IF(U3993="SERVICE READY",1,0)</f>
        <v>0</v>
      </c>
      <c r="W3993" s="6"/>
      <c r="X3993" s="6"/>
      <c r="Y3993" s="6"/>
      <c r="Z3993" s="6"/>
    </row>
    <row r="3994" customFormat="false" ht="15" hidden="false" customHeight="false" outlineLevel="0" collapsed="false">
      <c r="A3994" s="9" t="s">
        <v>4278</v>
      </c>
      <c r="B3994" s="9" t="s">
        <v>4157</v>
      </c>
      <c r="C3994" s="9" t="s">
        <v>4158</v>
      </c>
      <c r="D3994" s="9" t="s">
        <v>3722</v>
      </c>
      <c r="E3994" s="9" t="s">
        <v>196</v>
      </c>
      <c r="F3994" s="9" t="s">
        <v>200</v>
      </c>
      <c r="G3994" s="9" t="s">
        <v>221</v>
      </c>
      <c r="H3994" s="9" t="n">
        <v>450</v>
      </c>
      <c r="I3994" s="29" t="n">
        <v>0.3</v>
      </c>
      <c r="J3994" s="9" t="n">
        <v>1</v>
      </c>
      <c r="K3994" s="30"/>
      <c r="L3994" s="30"/>
      <c r="M3994" s="30"/>
      <c r="N3994" s="30"/>
      <c r="O3994" s="30"/>
      <c r="P3994" s="30"/>
      <c r="Q3994" s="30"/>
      <c r="R3994" s="30"/>
      <c r="S3994" s="30"/>
      <c r="T3994" s="30"/>
      <c r="U3994" s="21" t="str">
        <f aca="false">IF(COUNT(K3994:T3994)=0,"SOURCE EMPTY / INDUSTRIAL ONLY",IF(MIN(K3994:T3994)=1,"SERVICE READY","HOLD"))</f>
        <v>SOURCE EMPTY / INDUSTRIAL ONLY</v>
      </c>
      <c r="V3994" s="9" t="n">
        <f aca="false">IF(U3994="SERVICE READY",1,0)</f>
        <v>0</v>
      </c>
      <c r="W3994" s="6"/>
      <c r="X3994" s="6"/>
      <c r="Y3994" s="6"/>
      <c r="Z3994" s="6"/>
    </row>
    <row r="3995" customFormat="false" ht="15" hidden="false" customHeight="false" outlineLevel="0" collapsed="false">
      <c r="A3995" s="9" t="s">
        <v>4279</v>
      </c>
      <c r="B3995" s="9" t="s">
        <v>4157</v>
      </c>
      <c r="C3995" s="9" t="s">
        <v>4158</v>
      </c>
      <c r="D3995" s="9" t="s">
        <v>3722</v>
      </c>
      <c r="E3995" s="9" t="s">
        <v>196</v>
      </c>
      <c r="F3995" s="9" t="s">
        <v>203</v>
      </c>
      <c r="G3995" s="9" t="s">
        <v>221</v>
      </c>
      <c r="H3995" s="9" t="n">
        <v>450</v>
      </c>
      <c r="I3995" s="29" t="n">
        <v>0.3</v>
      </c>
      <c r="J3995" s="9" t="n">
        <v>1</v>
      </c>
      <c r="K3995" s="30"/>
      <c r="L3995" s="30"/>
      <c r="M3995" s="30"/>
      <c r="N3995" s="30"/>
      <c r="O3995" s="30"/>
      <c r="P3995" s="30"/>
      <c r="Q3995" s="30"/>
      <c r="R3995" s="30"/>
      <c r="S3995" s="30"/>
      <c r="T3995" s="30"/>
      <c r="U3995" s="21" t="str">
        <f aca="false">IF(COUNT(K3995:T3995)=0,"SOURCE EMPTY / INDUSTRIAL ONLY",IF(MIN(K3995:T3995)=1,"SERVICE READY","HOLD"))</f>
        <v>SOURCE EMPTY / INDUSTRIAL ONLY</v>
      </c>
      <c r="V3995" s="9" t="n">
        <f aca="false">IF(U3995="SERVICE READY",1,0)</f>
        <v>0</v>
      </c>
      <c r="W3995" s="6"/>
      <c r="X3995" s="6"/>
      <c r="Y3995" s="6"/>
      <c r="Z3995" s="6"/>
    </row>
    <row r="3996" customFormat="false" ht="15" hidden="false" customHeight="false" outlineLevel="0" collapsed="false">
      <c r="A3996" s="9" t="s">
        <v>4280</v>
      </c>
      <c r="B3996" s="9" t="s">
        <v>4157</v>
      </c>
      <c r="C3996" s="9" t="s">
        <v>4158</v>
      </c>
      <c r="D3996" s="9" t="s">
        <v>3722</v>
      </c>
      <c r="E3996" s="9" t="s">
        <v>196</v>
      </c>
      <c r="F3996" s="9" t="s">
        <v>205</v>
      </c>
      <c r="G3996" s="9" t="s">
        <v>221</v>
      </c>
      <c r="H3996" s="9" t="n">
        <v>450</v>
      </c>
      <c r="I3996" s="29" t="n">
        <v>0.3</v>
      </c>
      <c r="J3996" s="9" t="n">
        <v>1</v>
      </c>
      <c r="K3996" s="30"/>
      <c r="L3996" s="30"/>
      <c r="M3996" s="30"/>
      <c r="N3996" s="30"/>
      <c r="O3996" s="30"/>
      <c r="P3996" s="30"/>
      <c r="Q3996" s="30"/>
      <c r="R3996" s="30"/>
      <c r="S3996" s="30"/>
      <c r="T3996" s="30"/>
      <c r="U3996" s="21" t="str">
        <f aca="false">IF(COUNT(K3996:T3996)=0,"SOURCE EMPTY / INDUSTRIAL ONLY",IF(MIN(K3996:T3996)=1,"SERVICE READY","HOLD"))</f>
        <v>SOURCE EMPTY / INDUSTRIAL ONLY</v>
      </c>
      <c r="V3996" s="9" t="n">
        <f aca="false">IF(U3996="SERVICE READY",1,0)</f>
        <v>0</v>
      </c>
      <c r="W3996" s="6"/>
      <c r="X3996" s="6"/>
      <c r="Y3996" s="6"/>
      <c r="Z3996" s="6"/>
    </row>
    <row r="3997" customFormat="false" ht="15" hidden="false" customHeight="false" outlineLevel="0" collapsed="false">
      <c r="A3997" s="9" t="s">
        <v>4281</v>
      </c>
      <c r="B3997" s="9" t="s">
        <v>4157</v>
      </c>
      <c r="C3997" s="9" t="s">
        <v>4158</v>
      </c>
      <c r="D3997" s="9" t="s">
        <v>3722</v>
      </c>
      <c r="E3997" s="9" t="s">
        <v>196</v>
      </c>
      <c r="F3997" s="9" t="s">
        <v>207</v>
      </c>
      <c r="G3997" s="9" t="s">
        <v>221</v>
      </c>
      <c r="H3997" s="9" t="n">
        <v>450</v>
      </c>
      <c r="I3997" s="29" t="n">
        <v>0.3</v>
      </c>
      <c r="J3997" s="9" t="n">
        <v>0</v>
      </c>
      <c r="K3997" s="30"/>
      <c r="L3997" s="30"/>
      <c r="M3997" s="30"/>
      <c r="N3997" s="30"/>
      <c r="O3997" s="30"/>
      <c r="P3997" s="30"/>
      <c r="Q3997" s="30"/>
      <c r="R3997" s="30"/>
      <c r="S3997" s="30"/>
      <c r="T3997" s="30"/>
      <c r="U3997" s="21" t="str">
        <f aca="false">IF(COUNT(K3997:T3997)=0,"SOURCE EMPTY / INDUSTRIAL ONLY",IF(MIN(K3997:T3997)=1,"SERVICE READY","HOLD"))</f>
        <v>SOURCE EMPTY / INDUSTRIAL ONLY</v>
      </c>
      <c r="V3997" s="9" t="n">
        <f aca="false">IF(U3997="SERVICE READY",1,0)</f>
        <v>0</v>
      </c>
      <c r="W3997" s="6"/>
      <c r="X3997" s="6"/>
      <c r="Y3997" s="6"/>
      <c r="Z3997" s="6"/>
    </row>
    <row r="3998" customFormat="false" ht="15" hidden="false" customHeight="false" outlineLevel="0" collapsed="false">
      <c r="A3998" s="9" t="s">
        <v>4282</v>
      </c>
      <c r="B3998" s="9" t="s">
        <v>4157</v>
      </c>
      <c r="C3998" s="9" t="s">
        <v>4158</v>
      </c>
      <c r="D3998" s="9" t="s">
        <v>3722</v>
      </c>
      <c r="E3998" s="9" t="s">
        <v>196</v>
      </c>
      <c r="F3998" s="9" t="s">
        <v>209</v>
      </c>
      <c r="G3998" s="9" t="s">
        <v>221</v>
      </c>
      <c r="H3998" s="9" t="n">
        <v>450</v>
      </c>
      <c r="I3998" s="29" t="n">
        <v>0.3</v>
      </c>
      <c r="J3998" s="9" t="n">
        <v>0</v>
      </c>
      <c r="K3998" s="30"/>
      <c r="L3998" s="30"/>
      <c r="M3998" s="30"/>
      <c r="N3998" s="30"/>
      <c r="O3998" s="30"/>
      <c r="P3998" s="30"/>
      <c r="Q3998" s="30"/>
      <c r="R3998" s="30"/>
      <c r="S3998" s="30"/>
      <c r="T3998" s="30"/>
      <c r="U3998" s="21" t="str">
        <f aca="false">IF(COUNT(K3998:T3998)=0,"SOURCE EMPTY / INDUSTRIAL ONLY",IF(MIN(K3998:T3998)=1,"SERVICE READY","HOLD"))</f>
        <v>SOURCE EMPTY / INDUSTRIAL ONLY</v>
      </c>
      <c r="V3998" s="9" t="n">
        <f aca="false">IF(U3998="SERVICE READY",1,0)</f>
        <v>0</v>
      </c>
      <c r="W3998" s="6"/>
      <c r="X3998" s="6"/>
      <c r="Y3998" s="6"/>
      <c r="Z3998" s="6"/>
    </row>
    <row r="3999" customFormat="false" ht="15" hidden="false" customHeight="false" outlineLevel="0" collapsed="false">
      <c r="A3999" s="9" t="s">
        <v>4283</v>
      </c>
      <c r="B3999" s="9" t="s">
        <v>4157</v>
      </c>
      <c r="C3999" s="9" t="s">
        <v>4158</v>
      </c>
      <c r="D3999" s="9" t="s">
        <v>3722</v>
      </c>
      <c r="E3999" s="9" t="s">
        <v>196</v>
      </c>
      <c r="F3999" s="9" t="s">
        <v>211</v>
      </c>
      <c r="G3999" s="9" t="s">
        <v>221</v>
      </c>
      <c r="H3999" s="9" t="n">
        <v>450</v>
      </c>
      <c r="I3999" s="29" t="n">
        <v>0.3</v>
      </c>
      <c r="J3999" s="9" t="n">
        <v>0</v>
      </c>
      <c r="K3999" s="30"/>
      <c r="L3999" s="30"/>
      <c r="M3999" s="30"/>
      <c r="N3999" s="30"/>
      <c r="O3999" s="30"/>
      <c r="P3999" s="30"/>
      <c r="Q3999" s="30"/>
      <c r="R3999" s="30"/>
      <c r="S3999" s="30"/>
      <c r="T3999" s="30"/>
      <c r="U3999" s="21" t="str">
        <f aca="false">IF(COUNT(K3999:T3999)=0,"SOURCE EMPTY / INDUSTRIAL ONLY",IF(MIN(K3999:T3999)=1,"SERVICE READY","HOLD"))</f>
        <v>SOURCE EMPTY / INDUSTRIAL ONLY</v>
      </c>
      <c r="V3999" s="9" t="n">
        <f aca="false">IF(U3999="SERVICE READY",1,0)</f>
        <v>0</v>
      </c>
      <c r="W3999" s="6"/>
      <c r="X3999" s="6"/>
      <c r="Y3999" s="6"/>
      <c r="Z3999" s="6"/>
    </row>
    <row r="4000" customFormat="false" ht="15" hidden="false" customHeight="false" outlineLevel="0" collapsed="false">
      <c r="A4000" s="9" t="s">
        <v>4284</v>
      </c>
      <c r="B4000" s="9" t="s">
        <v>4157</v>
      </c>
      <c r="C4000" s="9" t="s">
        <v>4158</v>
      </c>
      <c r="D4000" s="9" t="s">
        <v>3722</v>
      </c>
      <c r="E4000" s="9" t="s">
        <v>196</v>
      </c>
      <c r="F4000" s="9" t="s">
        <v>197</v>
      </c>
      <c r="G4000" s="9" t="s">
        <v>221</v>
      </c>
      <c r="H4000" s="9" t="n">
        <v>450</v>
      </c>
      <c r="I4000" s="29" t="n">
        <v>0.3</v>
      </c>
      <c r="J4000" s="9" t="n">
        <v>0</v>
      </c>
      <c r="K4000" s="30"/>
      <c r="L4000" s="30"/>
      <c r="M4000" s="30"/>
      <c r="N4000" s="30"/>
      <c r="O4000" s="30"/>
      <c r="P4000" s="30"/>
      <c r="Q4000" s="30"/>
      <c r="R4000" s="30"/>
      <c r="S4000" s="30"/>
      <c r="T4000" s="30"/>
      <c r="U4000" s="21" t="str">
        <f aca="false">IF(COUNT(K4000:T4000)=0,"SOURCE EMPTY / INDUSTRIAL ONLY",IF(MIN(K4000:T4000)=1,"SERVICE READY","HOLD"))</f>
        <v>SOURCE EMPTY / INDUSTRIAL ONLY</v>
      </c>
      <c r="V4000" s="9" t="n">
        <f aca="false">IF(U4000="SERVICE READY",1,0)</f>
        <v>0</v>
      </c>
      <c r="W4000" s="6"/>
      <c r="X4000" s="6"/>
      <c r="Y4000" s="6"/>
      <c r="Z4000" s="6"/>
    </row>
    <row r="4001" customFormat="false" ht="15" hidden="false" customHeight="false" outlineLevel="0" collapsed="false">
      <c r="A4001" s="9" t="s">
        <v>4285</v>
      </c>
      <c r="B4001" s="9" t="s">
        <v>4157</v>
      </c>
      <c r="C4001" s="9" t="s">
        <v>4158</v>
      </c>
      <c r="D4001" s="9" t="s">
        <v>3722</v>
      </c>
      <c r="E4001" s="9" t="s">
        <v>196</v>
      </c>
      <c r="F4001" s="9" t="s">
        <v>200</v>
      </c>
      <c r="G4001" s="9" t="s">
        <v>221</v>
      </c>
      <c r="H4001" s="9" t="n">
        <v>450</v>
      </c>
      <c r="I4001" s="29" t="n">
        <v>0.3</v>
      </c>
      <c r="J4001" s="9" t="n">
        <v>0</v>
      </c>
      <c r="K4001" s="30"/>
      <c r="L4001" s="30"/>
      <c r="M4001" s="30"/>
      <c r="N4001" s="30"/>
      <c r="O4001" s="30"/>
      <c r="P4001" s="30"/>
      <c r="Q4001" s="30"/>
      <c r="R4001" s="30"/>
      <c r="S4001" s="30"/>
      <c r="T4001" s="30"/>
      <c r="U4001" s="21" t="str">
        <f aca="false">IF(COUNT(K4001:T4001)=0,"SOURCE EMPTY / INDUSTRIAL ONLY",IF(MIN(K4001:T4001)=1,"SERVICE READY","HOLD"))</f>
        <v>SOURCE EMPTY / INDUSTRIAL ONLY</v>
      </c>
      <c r="V4001" s="9" t="n">
        <f aca="false">IF(U4001="SERVICE READY",1,0)</f>
        <v>0</v>
      </c>
      <c r="W4001" s="6"/>
      <c r="X4001" s="6"/>
      <c r="Y4001" s="6"/>
      <c r="Z4001" s="6"/>
    </row>
    <row r="4002" customFormat="false" ht="15" hidden="false" customHeight="false" outlineLevel="0" collapsed="false">
      <c r="A4002" s="9" t="s">
        <v>4286</v>
      </c>
      <c r="B4002" s="9" t="s">
        <v>4157</v>
      </c>
      <c r="C4002" s="9" t="s">
        <v>4158</v>
      </c>
      <c r="D4002" s="9" t="s">
        <v>3722</v>
      </c>
      <c r="E4002" s="9" t="s">
        <v>196</v>
      </c>
      <c r="F4002" s="9" t="s">
        <v>203</v>
      </c>
      <c r="G4002" s="9" t="s">
        <v>221</v>
      </c>
      <c r="H4002" s="9" t="n">
        <v>450</v>
      </c>
      <c r="I4002" s="29" t="n">
        <v>0.3</v>
      </c>
      <c r="J4002" s="9" t="n">
        <v>0</v>
      </c>
      <c r="K4002" s="30"/>
      <c r="L4002" s="30"/>
      <c r="M4002" s="30"/>
      <c r="N4002" s="30"/>
      <c r="O4002" s="30"/>
      <c r="P4002" s="30"/>
      <c r="Q4002" s="30"/>
      <c r="R4002" s="30"/>
      <c r="S4002" s="30"/>
      <c r="T4002" s="30"/>
      <c r="U4002" s="21" t="str">
        <f aca="false">IF(COUNT(K4002:T4002)=0,"SOURCE EMPTY / INDUSTRIAL ONLY",IF(MIN(K4002:T4002)=1,"SERVICE READY","HOLD"))</f>
        <v>SOURCE EMPTY / INDUSTRIAL ONLY</v>
      </c>
      <c r="V4002" s="9" t="n">
        <f aca="false">IF(U4002="SERVICE READY",1,0)</f>
        <v>0</v>
      </c>
      <c r="W4002" s="6"/>
      <c r="X4002" s="6"/>
      <c r="Y4002" s="6"/>
      <c r="Z4002" s="6"/>
    </row>
    <row r="4003" customFormat="false" ht="15" hidden="false" customHeight="false" outlineLevel="0" collapsed="false">
      <c r="A4003" s="9" t="s">
        <v>4287</v>
      </c>
      <c r="B4003" s="9" t="s">
        <v>4157</v>
      </c>
      <c r="C4003" s="9" t="s">
        <v>4158</v>
      </c>
      <c r="D4003" s="9" t="s">
        <v>3722</v>
      </c>
      <c r="E4003" s="9" t="s">
        <v>196</v>
      </c>
      <c r="F4003" s="9" t="s">
        <v>205</v>
      </c>
      <c r="G4003" s="9" t="s">
        <v>221</v>
      </c>
      <c r="H4003" s="9" t="n">
        <v>450</v>
      </c>
      <c r="I4003" s="29" t="n">
        <v>0.3</v>
      </c>
      <c r="J4003" s="9" t="n">
        <v>0</v>
      </c>
      <c r="K4003" s="30"/>
      <c r="L4003" s="30"/>
      <c r="M4003" s="30"/>
      <c r="N4003" s="30"/>
      <c r="O4003" s="30"/>
      <c r="P4003" s="30"/>
      <c r="Q4003" s="30"/>
      <c r="R4003" s="30"/>
      <c r="S4003" s="30"/>
      <c r="T4003" s="30"/>
      <c r="U4003" s="21" t="str">
        <f aca="false">IF(COUNT(K4003:T4003)=0,"SOURCE EMPTY / INDUSTRIAL ONLY",IF(MIN(K4003:T4003)=1,"SERVICE READY","HOLD"))</f>
        <v>SOURCE EMPTY / INDUSTRIAL ONLY</v>
      </c>
      <c r="V4003" s="9" t="n">
        <f aca="false">IF(U4003="SERVICE READY",1,0)</f>
        <v>0</v>
      </c>
      <c r="W4003" s="6"/>
      <c r="X4003" s="6"/>
      <c r="Y4003" s="6"/>
      <c r="Z4003" s="6"/>
    </row>
    <row r="4004" customFormat="false" ht="15" hidden="false" customHeight="false" outlineLevel="0" collapsed="false">
      <c r="A4004" s="9" t="s">
        <v>4288</v>
      </c>
      <c r="B4004" s="9" t="s">
        <v>4157</v>
      </c>
      <c r="C4004" s="9" t="s">
        <v>4158</v>
      </c>
      <c r="D4004" s="9" t="s">
        <v>3722</v>
      </c>
      <c r="E4004" s="9" t="s">
        <v>196</v>
      </c>
      <c r="F4004" s="9" t="s">
        <v>207</v>
      </c>
      <c r="G4004" s="9" t="s">
        <v>221</v>
      </c>
      <c r="H4004" s="9" t="n">
        <v>450</v>
      </c>
      <c r="I4004" s="29" t="n">
        <v>0.3</v>
      </c>
      <c r="J4004" s="9" t="n">
        <v>0</v>
      </c>
      <c r="K4004" s="30"/>
      <c r="L4004" s="30"/>
      <c r="M4004" s="30"/>
      <c r="N4004" s="30"/>
      <c r="O4004" s="30"/>
      <c r="P4004" s="30"/>
      <c r="Q4004" s="30"/>
      <c r="R4004" s="30"/>
      <c r="S4004" s="30"/>
      <c r="T4004" s="30"/>
      <c r="U4004" s="21" t="str">
        <f aca="false">IF(COUNT(K4004:T4004)=0,"SOURCE EMPTY / INDUSTRIAL ONLY",IF(MIN(K4004:T4004)=1,"SERVICE READY","HOLD"))</f>
        <v>SOURCE EMPTY / INDUSTRIAL ONLY</v>
      </c>
      <c r="V4004" s="9" t="n">
        <f aca="false">IF(U4004="SERVICE READY",1,0)</f>
        <v>0</v>
      </c>
      <c r="W4004" s="6"/>
      <c r="X4004" s="6"/>
      <c r="Y4004" s="6"/>
      <c r="Z4004" s="6"/>
    </row>
    <row r="4005" customFormat="false" ht="15" hidden="false" customHeight="false" outlineLevel="0" collapsed="false">
      <c r="A4005" s="9" t="s">
        <v>4289</v>
      </c>
      <c r="B4005" s="9" t="s">
        <v>4157</v>
      </c>
      <c r="C4005" s="9" t="s">
        <v>4158</v>
      </c>
      <c r="D4005" s="9" t="s">
        <v>3722</v>
      </c>
      <c r="E4005" s="9" t="s">
        <v>196</v>
      </c>
      <c r="F4005" s="9" t="s">
        <v>209</v>
      </c>
      <c r="G4005" s="9" t="s">
        <v>221</v>
      </c>
      <c r="H4005" s="9" t="n">
        <v>450</v>
      </c>
      <c r="I4005" s="29" t="n">
        <v>0.3</v>
      </c>
      <c r="J4005" s="9" t="n">
        <v>0</v>
      </c>
      <c r="K4005" s="30"/>
      <c r="L4005" s="30"/>
      <c r="M4005" s="30"/>
      <c r="N4005" s="30"/>
      <c r="O4005" s="30"/>
      <c r="P4005" s="30"/>
      <c r="Q4005" s="30"/>
      <c r="R4005" s="30"/>
      <c r="S4005" s="30"/>
      <c r="T4005" s="30"/>
      <c r="U4005" s="21" t="str">
        <f aca="false">IF(COUNT(K4005:T4005)=0,"SOURCE EMPTY / INDUSTRIAL ONLY",IF(MIN(K4005:T4005)=1,"SERVICE READY","HOLD"))</f>
        <v>SOURCE EMPTY / INDUSTRIAL ONLY</v>
      </c>
      <c r="V4005" s="9" t="n">
        <f aca="false">IF(U4005="SERVICE READY",1,0)</f>
        <v>0</v>
      </c>
      <c r="W4005" s="6"/>
      <c r="X4005" s="6"/>
      <c r="Y4005" s="6"/>
      <c r="Z4005" s="6"/>
    </row>
    <row r="4006" customFormat="false" ht="15" hidden="false" customHeight="false" outlineLevel="0" collapsed="false">
      <c r="A4006" s="9" t="s">
        <v>4290</v>
      </c>
      <c r="B4006" s="9" t="s">
        <v>4157</v>
      </c>
      <c r="C4006" s="9" t="s">
        <v>4158</v>
      </c>
      <c r="D4006" s="9" t="s">
        <v>3722</v>
      </c>
      <c r="E4006" s="9" t="s">
        <v>196</v>
      </c>
      <c r="F4006" s="9" t="s">
        <v>211</v>
      </c>
      <c r="G4006" s="9" t="s">
        <v>221</v>
      </c>
      <c r="H4006" s="9" t="n">
        <v>450</v>
      </c>
      <c r="I4006" s="29" t="n">
        <v>0.3</v>
      </c>
      <c r="J4006" s="9" t="n">
        <v>0</v>
      </c>
      <c r="K4006" s="30"/>
      <c r="L4006" s="30"/>
      <c r="M4006" s="30"/>
      <c r="N4006" s="30"/>
      <c r="O4006" s="30"/>
      <c r="P4006" s="30"/>
      <c r="Q4006" s="30"/>
      <c r="R4006" s="30"/>
      <c r="S4006" s="30"/>
      <c r="T4006" s="30"/>
      <c r="U4006" s="21" t="str">
        <f aca="false">IF(COUNT(K4006:T4006)=0,"SOURCE EMPTY / INDUSTRIAL ONLY",IF(MIN(K4006:T4006)=1,"SERVICE READY","HOLD"))</f>
        <v>SOURCE EMPTY / INDUSTRIAL ONLY</v>
      </c>
      <c r="V4006" s="9" t="n">
        <f aca="false">IF(U4006="SERVICE READY",1,0)</f>
        <v>0</v>
      </c>
      <c r="W4006" s="6"/>
      <c r="X4006" s="6"/>
      <c r="Y4006" s="6"/>
      <c r="Z4006" s="6"/>
    </row>
    <row r="4007" customFormat="false" ht="15" hidden="false" customHeight="false" outlineLevel="0" collapsed="false">
      <c r="A4007" s="9" t="s">
        <v>4291</v>
      </c>
      <c r="B4007" s="9" t="s">
        <v>4157</v>
      </c>
      <c r="C4007" s="9" t="s">
        <v>4158</v>
      </c>
      <c r="D4007" s="9" t="s">
        <v>3722</v>
      </c>
      <c r="E4007" s="9" t="s">
        <v>196</v>
      </c>
      <c r="F4007" s="9" t="s">
        <v>197</v>
      </c>
      <c r="G4007" s="9" t="s">
        <v>221</v>
      </c>
      <c r="H4007" s="9" t="n">
        <v>450</v>
      </c>
      <c r="I4007" s="29" t="n">
        <v>0.3</v>
      </c>
      <c r="J4007" s="9" t="n">
        <v>0</v>
      </c>
      <c r="K4007" s="30"/>
      <c r="L4007" s="30"/>
      <c r="M4007" s="30"/>
      <c r="N4007" s="30"/>
      <c r="O4007" s="30"/>
      <c r="P4007" s="30"/>
      <c r="Q4007" s="30"/>
      <c r="R4007" s="30"/>
      <c r="S4007" s="30"/>
      <c r="T4007" s="30"/>
      <c r="U4007" s="21" t="str">
        <f aca="false">IF(COUNT(K4007:T4007)=0,"SOURCE EMPTY / INDUSTRIAL ONLY",IF(MIN(K4007:T4007)=1,"SERVICE READY","HOLD"))</f>
        <v>SOURCE EMPTY / INDUSTRIAL ONLY</v>
      </c>
      <c r="V4007" s="9" t="n">
        <f aca="false">IF(U4007="SERVICE READY",1,0)</f>
        <v>0</v>
      </c>
      <c r="W4007" s="6"/>
      <c r="X4007" s="6"/>
      <c r="Y4007" s="6"/>
      <c r="Z4007" s="6"/>
    </row>
    <row r="4008" customFormat="false" ht="15" hidden="false" customHeight="false" outlineLevel="0" collapsed="false">
      <c r="A4008" s="9" t="s">
        <v>4292</v>
      </c>
      <c r="B4008" s="9" t="s">
        <v>4157</v>
      </c>
      <c r="C4008" s="9" t="s">
        <v>4158</v>
      </c>
      <c r="D4008" s="9" t="s">
        <v>3722</v>
      </c>
      <c r="E4008" s="9" t="s">
        <v>196</v>
      </c>
      <c r="F4008" s="9" t="s">
        <v>200</v>
      </c>
      <c r="G4008" s="9" t="s">
        <v>221</v>
      </c>
      <c r="H4008" s="9" t="n">
        <v>450</v>
      </c>
      <c r="I4008" s="29" t="n">
        <v>0.3</v>
      </c>
      <c r="J4008" s="9" t="n">
        <v>0</v>
      </c>
      <c r="K4008" s="30"/>
      <c r="L4008" s="30"/>
      <c r="M4008" s="30"/>
      <c r="N4008" s="30"/>
      <c r="O4008" s="30"/>
      <c r="P4008" s="30"/>
      <c r="Q4008" s="30"/>
      <c r="R4008" s="30"/>
      <c r="S4008" s="30"/>
      <c r="T4008" s="30"/>
      <c r="U4008" s="21" t="str">
        <f aca="false">IF(COUNT(K4008:T4008)=0,"SOURCE EMPTY / INDUSTRIAL ONLY",IF(MIN(K4008:T4008)=1,"SERVICE READY","HOLD"))</f>
        <v>SOURCE EMPTY / INDUSTRIAL ONLY</v>
      </c>
      <c r="V4008" s="9" t="n">
        <f aca="false">IF(U4008="SERVICE READY",1,0)</f>
        <v>0</v>
      </c>
      <c r="W4008" s="6"/>
      <c r="X4008" s="6"/>
      <c r="Y4008" s="6"/>
      <c r="Z4008" s="6"/>
    </row>
    <row r="4009" customFormat="false" ht="15" hidden="false" customHeight="false" outlineLevel="0" collapsed="false">
      <c r="A4009" s="9" t="s">
        <v>4293</v>
      </c>
      <c r="B4009" s="9" t="s">
        <v>4157</v>
      </c>
      <c r="C4009" s="9" t="s">
        <v>4158</v>
      </c>
      <c r="D4009" s="9" t="s">
        <v>3722</v>
      </c>
      <c r="E4009" s="9" t="s">
        <v>196</v>
      </c>
      <c r="F4009" s="9" t="s">
        <v>203</v>
      </c>
      <c r="G4009" s="9" t="s">
        <v>221</v>
      </c>
      <c r="H4009" s="9" t="n">
        <v>450</v>
      </c>
      <c r="I4009" s="29" t="n">
        <v>0.3</v>
      </c>
      <c r="J4009" s="9" t="n">
        <v>0</v>
      </c>
      <c r="K4009" s="30"/>
      <c r="L4009" s="30"/>
      <c r="M4009" s="30"/>
      <c r="N4009" s="30"/>
      <c r="O4009" s="30"/>
      <c r="P4009" s="30"/>
      <c r="Q4009" s="30"/>
      <c r="R4009" s="30"/>
      <c r="S4009" s="30"/>
      <c r="T4009" s="30"/>
      <c r="U4009" s="21" t="str">
        <f aca="false">IF(COUNT(K4009:T4009)=0,"SOURCE EMPTY / INDUSTRIAL ONLY",IF(MIN(K4009:T4009)=1,"SERVICE READY","HOLD"))</f>
        <v>SOURCE EMPTY / INDUSTRIAL ONLY</v>
      </c>
      <c r="V4009" s="9" t="n">
        <f aca="false">IF(U4009="SERVICE READY",1,0)</f>
        <v>0</v>
      </c>
      <c r="W4009" s="6"/>
      <c r="X4009" s="6"/>
      <c r="Y4009" s="6"/>
      <c r="Z4009" s="6"/>
    </row>
    <row r="4010" customFormat="false" ht="15" hidden="false" customHeight="false" outlineLevel="0" collapsed="false">
      <c r="A4010" s="9" t="s">
        <v>4294</v>
      </c>
      <c r="B4010" s="9" t="s">
        <v>4157</v>
      </c>
      <c r="C4010" s="9" t="s">
        <v>4158</v>
      </c>
      <c r="D4010" s="9" t="s">
        <v>3722</v>
      </c>
      <c r="E4010" s="9" t="s">
        <v>196</v>
      </c>
      <c r="F4010" s="9" t="s">
        <v>205</v>
      </c>
      <c r="G4010" s="9" t="s">
        <v>221</v>
      </c>
      <c r="H4010" s="9" t="n">
        <v>450</v>
      </c>
      <c r="I4010" s="29" t="n">
        <v>0.3</v>
      </c>
      <c r="J4010" s="9" t="n">
        <v>0</v>
      </c>
      <c r="K4010" s="30"/>
      <c r="L4010" s="30"/>
      <c r="M4010" s="30"/>
      <c r="N4010" s="30"/>
      <c r="O4010" s="30"/>
      <c r="P4010" s="30"/>
      <c r="Q4010" s="30"/>
      <c r="R4010" s="30"/>
      <c r="S4010" s="30"/>
      <c r="T4010" s="30"/>
      <c r="U4010" s="21" t="str">
        <f aca="false">IF(COUNT(K4010:T4010)=0,"SOURCE EMPTY / INDUSTRIAL ONLY",IF(MIN(K4010:T4010)=1,"SERVICE READY","HOLD"))</f>
        <v>SOURCE EMPTY / INDUSTRIAL ONLY</v>
      </c>
      <c r="V4010" s="9" t="n">
        <f aca="false">IF(U4010="SERVICE READY",1,0)</f>
        <v>0</v>
      </c>
      <c r="W4010" s="6"/>
      <c r="X4010" s="6"/>
      <c r="Y4010" s="6"/>
      <c r="Z4010" s="6"/>
    </row>
    <row r="4011" customFormat="false" ht="15" hidden="false" customHeight="false" outlineLevel="0" collapsed="false">
      <c r="A4011" s="9" t="s">
        <v>4295</v>
      </c>
      <c r="B4011" s="9" t="s">
        <v>4157</v>
      </c>
      <c r="C4011" s="9" t="s">
        <v>4158</v>
      </c>
      <c r="D4011" s="9" t="s">
        <v>3722</v>
      </c>
      <c r="E4011" s="9" t="s">
        <v>196</v>
      </c>
      <c r="F4011" s="9" t="s">
        <v>207</v>
      </c>
      <c r="G4011" s="9" t="s">
        <v>221</v>
      </c>
      <c r="H4011" s="9" t="n">
        <v>450</v>
      </c>
      <c r="I4011" s="29" t="n">
        <v>0.3</v>
      </c>
      <c r="J4011" s="9" t="n">
        <v>0</v>
      </c>
      <c r="K4011" s="30"/>
      <c r="L4011" s="30"/>
      <c r="M4011" s="30"/>
      <c r="N4011" s="30"/>
      <c r="O4011" s="30"/>
      <c r="P4011" s="30"/>
      <c r="Q4011" s="30"/>
      <c r="R4011" s="30"/>
      <c r="S4011" s="30"/>
      <c r="T4011" s="30"/>
      <c r="U4011" s="21" t="str">
        <f aca="false">IF(COUNT(K4011:T4011)=0,"SOURCE EMPTY / INDUSTRIAL ONLY",IF(MIN(K4011:T4011)=1,"SERVICE READY","HOLD"))</f>
        <v>SOURCE EMPTY / INDUSTRIAL ONLY</v>
      </c>
      <c r="V4011" s="9" t="n">
        <f aca="false">IF(U4011="SERVICE READY",1,0)</f>
        <v>0</v>
      </c>
      <c r="W4011" s="6"/>
      <c r="X4011" s="6"/>
      <c r="Y4011" s="6"/>
      <c r="Z4011" s="6"/>
    </row>
    <row r="4012" customFormat="false" ht="15" hidden="false" customHeight="false" outlineLevel="0" collapsed="false">
      <c r="A4012" s="9" t="s">
        <v>4296</v>
      </c>
      <c r="B4012" s="9" t="s">
        <v>4157</v>
      </c>
      <c r="C4012" s="9" t="s">
        <v>4158</v>
      </c>
      <c r="D4012" s="9" t="s">
        <v>3722</v>
      </c>
      <c r="E4012" s="9" t="s">
        <v>196</v>
      </c>
      <c r="F4012" s="9" t="s">
        <v>209</v>
      </c>
      <c r="G4012" s="9" t="s">
        <v>221</v>
      </c>
      <c r="H4012" s="9" t="n">
        <v>450</v>
      </c>
      <c r="I4012" s="29" t="n">
        <v>0.3</v>
      </c>
      <c r="J4012" s="9" t="n">
        <v>0</v>
      </c>
      <c r="K4012" s="30"/>
      <c r="L4012" s="30"/>
      <c r="M4012" s="30"/>
      <c r="N4012" s="30"/>
      <c r="O4012" s="30"/>
      <c r="P4012" s="30"/>
      <c r="Q4012" s="30"/>
      <c r="R4012" s="30"/>
      <c r="S4012" s="30"/>
      <c r="T4012" s="30"/>
      <c r="U4012" s="21" t="str">
        <f aca="false">IF(COUNT(K4012:T4012)=0,"SOURCE EMPTY / INDUSTRIAL ONLY",IF(MIN(K4012:T4012)=1,"SERVICE READY","HOLD"))</f>
        <v>SOURCE EMPTY / INDUSTRIAL ONLY</v>
      </c>
      <c r="V4012" s="9" t="n">
        <f aca="false">IF(U4012="SERVICE READY",1,0)</f>
        <v>0</v>
      </c>
      <c r="W4012" s="6"/>
      <c r="X4012" s="6"/>
      <c r="Y4012" s="6"/>
      <c r="Z4012" s="6"/>
    </row>
    <row r="4013" customFormat="false" ht="15" hidden="false" customHeight="false" outlineLevel="0" collapsed="false">
      <c r="A4013" s="9" t="s">
        <v>4297</v>
      </c>
      <c r="B4013" s="9" t="s">
        <v>4157</v>
      </c>
      <c r="C4013" s="9" t="s">
        <v>4158</v>
      </c>
      <c r="D4013" s="9" t="s">
        <v>3722</v>
      </c>
      <c r="E4013" s="9" t="s">
        <v>196</v>
      </c>
      <c r="F4013" s="9" t="s">
        <v>211</v>
      </c>
      <c r="G4013" s="9" t="s">
        <v>221</v>
      </c>
      <c r="H4013" s="9" t="n">
        <v>450</v>
      </c>
      <c r="I4013" s="29" t="n">
        <v>0.3</v>
      </c>
      <c r="J4013" s="9" t="n">
        <v>0</v>
      </c>
      <c r="K4013" s="30"/>
      <c r="L4013" s="30"/>
      <c r="M4013" s="30"/>
      <c r="N4013" s="30"/>
      <c r="O4013" s="30"/>
      <c r="P4013" s="30"/>
      <c r="Q4013" s="30"/>
      <c r="R4013" s="30"/>
      <c r="S4013" s="30"/>
      <c r="T4013" s="30"/>
      <c r="U4013" s="21" t="str">
        <f aca="false">IF(COUNT(K4013:T4013)=0,"SOURCE EMPTY / INDUSTRIAL ONLY",IF(MIN(K4013:T4013)=1,"SERVICE READY","HOLD"))</f>
        <v>SOURCE EMPTY / INDUSTRIAL ONLY</v>
      </c>
      <c r="V4013" s="9" t="n">
        <f aca="false">IF(U4013="SERVICE READY",1,0)</f>
        <v>0</v>
      </c>
      <c r="W4013" s="6"/>
      <c r="X4013" s="6"/>
      <c r="Y4013" s="6"/>
      <c r="Z4013" s="6"/>
    </row>
    <row r="4014" customFormat="false" ht="15" hidden="false" customHeight="false" outlineLevel="0" collapsed="false">
      <c r="A4014" s="9" t="s">
        <v>4298</v>
      </c>
      <c r="B4014" s="9" t="s">
        <v>4157</v>
      </c>
      <c r="C4014" s="9" t="s">
        <v>4158</v>
      </c>
      <c r="D4014" s="9" t="s">
        <v>3722</v>
      </c>
      <c r="E4014" s="9" t="s">
        <v>196</v>
      </c>
      <c r="F4014" s="9" t="s">
        <v>197</v>
      </c>
      <c r="G4014" s="9" t="s">
        <v>221</v>
      </c>
      <c r="H4014" s="9" t="n">
        <v>450</v>
      </c>
      <c r="I4014" s="29" t="n">
        <v>0.3</v>
      </c>
      <c r="J4014" s="9" t="n">
        <v>0</v>
      </c>
      <c r="K4014" s="30"/>
      <c r="L4014" s="30"/>
      <c r="M4014" s="30"/>
      <c r="N4014" s="30"/>
      <c r="O4014" s="30"/>
      <c r="P4014" s="30"/>
      <c r="Q4014" s="30"/>
      <c r="R4014" s="30"/>
      <c r="S4014" s="30"/>
      <c r="T4014" s="30"/>
      <c r="U4014" s="21" t="str">
        <f aca="false">IF(COUNT(K4014:T4014)=0,"SOURCE EMPTY / INDUSTRIAL ONLY",IF(MIN(K4014:T4014)=1,"SERVICE READY","HOLD"))</f>
        <v>SOURCE EMPTY / INDUSTRIAL ONLY</v>
      </c>
      <c r="V4014" s="9" t="n">
        <f aca="false">IF(U4014="SERVICE READY",1,0)</f>
        <v>0</v>
      </c>
      <c r="W4014" s="6"/>
      <c r="X4014" s="6"/>
      <c r="Y4014" s="6"/>
      <c r="Z4014" s="6"/>
    </row>
    <row r="4015" customFormat="false" ht="15" hidden="false" customHeight="false" outlineLevel="0" collapsed="false">
      <c r="A4015" s="9" t="s">
        <v>4299</v>
      </c>
      <c r="B4015" s="9" t="s">
        <v>4157</v>
      </c>
      <c r="C4015" s="9" t="s">
        <v>4158</v>
      </c>
      <c r="D4015" s="9" t="s">
        <v>3722</v>
      </c>
      <c r="E4015" s="9" t="s">
        <v>196</v>
      </c>
      <c r="F4015" s="9" t="s">
        <v>200</v>
      </c>
      <c r="G4015" s="9" t="s">
        <v>221</v>
      </c>
      <c r="H4015" s="9" t="n">
        <v>450</v>
      </c>
      <c r="I4015" s="29" t="n">
        <v>0.3</v>
      </c>
      <c r="J4015" s="9" t="n">
        <v>0</v>
      </c>
      <c r="K4015" s="30"/>
      <c r="L4015" s="30"/>
      <c r="M4015" s="30"/>
      <c r="N4015" s="30"/>
      <c r="O4015" s="30"/>
      <c r="P4015" s="30"/>
      <c r="Q4015" s="30"/>
      <c r="R4015" s="30"/>
      <c r="S4015" s="30"/>
      <c r="T4015" s="30"/>
      <c r="U4015" s="21" t="str">
        <f aca="false">IF(COUNT(K4015:T4015)=0,"SOURCE EMPTY / INDUSTRIAL ONLY",IF(MIN(K4015:T4015)=1,"SERVICE READY","HOLD"))</f>
        <v>SOURCE EMPTY / INDUSTRIAL ONLY</v>
      </c>
      <c r="V4015" s="9" t="n">
        <f aca="false">IF(U4015="SERVICE READY",1,0)</f>
        <v>0</v>
      </c>
      <c r="W4015" s="6"/>
      <c r="X4015" s="6"/>
      <c r="Y4015" s="6"/>
      <c r="Z4015" s="6"/>
    </row>
    <row r="4016" customFormat="false" ht="15" hidden="false" customHeight="false" outlineLevel="0" collapsed="false">
      <c r="A4016" s="9" t="s">
        <v>4300</v>
      </c>
      <c r="B4016" s="9" t="s">
        <v>4157</v>
      </c>
      <c r="C4016" s="9" t="s">
        <v>4158</v>
      </c>
      <c r="D4016" s="9" t="s">
        <v>3722</v>
      </c>
      <c r="E4016" s="9" t="s">
        <v>196</v>
      </c>
      <c r="F4016" s="9" t="s">
        <v>203</v>
      </c>
      <c r="G4016" s="9" t="s">
        <v>221</v>
      </c>
      <c r="H4016" s="9" t="n">
        <v>450</v>
      </c>
      <c r="I4016" s="29" t="n">
        <v>0.3</v>
      </c>
      <c r="J4016" s="9" t="n">
        <v>0</v>
      </c>
      <c r="K4016" s="30"/>
      <c r="L4016" s="30"/>
      <c r="M4016" s="30"/>
      <c r="N4016" s="30"/>
      <c r="O4016" s="30"/>
      <c r="P4016" s="30"/>
      <c r="Q4016" s="30"/>
      <c r="R4016" s="30"/>
      <c r="S4016" s="30"/>
      <c r="T4016" s="30"/>
      <c r="U4016" s="21" t="str">
        <f aca="false">IF(COUNT(K4016:T4016)=0,"SOURCE EMPTY / INDUSTRIAL ONLY",IF(MIN(K4016:T4016)=1,"SERVICE READY","HOLD"))</f>
        <v>SOURCE EMPTY / INDUSTRIAL ONLY</v>
      </c>
      <c r="V4016" s="9" t="n">
        <f aca="false">IF(U4016="SERVICE READY",1,0)</f>
        <v>0</v>
      </c>
      <c r="W4016" s="6"/>
      <c r="X4016" s="6"/>
      <c r="Y4016" s="6"/>
      <c r="Z4016" s="6"/>
    </row>
    <row r="4017" customFormat="false" ht="15" hidden="false" customHeight="false" outlineLevel="0" collapsed="false">
      <c r="A4017" s="9" t="s">
        <v>4301</v>
      </c>
      <c r="B4017" s="9" t="s">
        <v>4157</v>
      </c>
      <c r="C4017" s="9" t="s">
        <v>4158</v>
      </c>
      <c r="D4017" s="9" t="s">
        <v>3722</v>
      </c>
      <c r="E4017" s="9" t="s">
        <v>196</v>
      </c>
      <c r="F4017" s="9" t="s">
        <v>205</v>
      </c>
      <c r="G4017" s="9" t="s">
        <v>221</v>
      </c>
      <c r="H4017" s="9" t="n">
        <v>450</v>
      </c>
      <c r="I4017" s="29" t="n">
        <v>0.3</v>
      </c>
      <c r="J4017" s="9" t="n">
        <v>0</v>
      </c>
      <c r="K4017" s="30"/>
      <c r="L4017" s="30"/>
      <c r="M4017" s="30"/>
      <c r="N4017" s="30"/>
      <c r="O4017" s="30"/>
      <c r="P4017" s="30"/>
      <c r="Q4017" s="30"/>
      <c r="R4017" s="30"/>
      <c r="S4017" s="30"/>
      <c r="T4017" s="30"/>
      <c r="U4017" s="21" t="str">
        <f aca="false">IF(COUNT(K4017:T4017)=0,"SOURCE EMPTY / INDUSTRIAL ONLY",IF(MIN(K4017:T4017)=1,"SERVICE READY","HOLD"))</f>
        <v>SOURCE EMPTY / INDUSTRIAL ONLY</v>
      </c>
      <c r="V4017" s="9" t="n">
        <f aca="false">IF(U4017="SERVICE READY",1,0)</f>
        <v>0</v>
      </c>
      <c r="W4017" s="6"/>
      <c r="X4017" s="6"/>
      <c r="Y4017" s="6"/>
      <c r="Z4017" s="6"/>
    </row>
    <row r="4018" customFormat="false" ht="15" hidden="false" customHeight="false" outlineLevel="0" collapsed="false">
      <c r="A4018" s="9" t="s">
        <v>4302</v>
      </c>
      <c r="B4018" s="9" t="s">
        <v>4157</v>
      </c>
      <c r="C4018" s="9" t="s">
        <v>4158</v>
      </c>
      <c r="D4018" s="9" t="s">
        <v>3722</v>
      </c>
      <c r="E4018" s="9" t="s">
        <v>196</v>
      </c>
      <c r="F4018" s="9" t="s">
        <v>207</v>
      </c>
      <c r="G4018" s="9" t="s">
        <v>221</v>
      </c>
      <c r="H4018" s="9" t="n">
        <v>450</v>
      </c>
      <c r="I4018" s="29" t="n">
        <v>0.3</v>
      </c>
      <c r="J4018" s="9" t="n">
        <v>0</v>
      </c>
      <c r="K4018" s="30"/>
      <c r="L4018" s="30"/>
      <c r="M4018" s="30"/>
      <c r="N4018" s="30"/>
      <c r="O4018" s="30"/>
      <c r="P4018" s="30"/>
      <c r="Q4018" s="30"/>
      <c r="R4018" s="30"/>
      <c r="S4018" s="30"/>
      <c r="T4018" s="30"/>
      <c r="U4018" s="21" t="str">
        <f aca="false">IF(COUNT(K4018:T4018)=0,"SOURCE EMPTY / INDUSTRIAL ONLY",IF(MIN(K4018:T4018)=1,"SERVICE READY","HOLD"))</f>
        <v>SOURCE EMPTY / INDUSTRIAL ONLY</v>
      </c>
      <c r="V4018" s="9" t="n">
        <f aca="false">IF(U4018="SERVICE READY",1,0)</f>
        <v>0</v>
      </c>
      <c r="W4018" s="6"/>
      <c r="X4018" s="6"/>
      <c r="Y4018" s="6"/>
      <c r="Z4018" s="6"/>
    </row>
    <row r="4019" customFormat="false" ht="15" hidden="false" customHeight="false" outlineLevel="0" collapsed="false">
      <c r="A4019" s="9" t="s">
        <v>4303</v>
      </c>
      <c r="B4019" s="9" t="s">
        <v>4157</v>
      </c>
      <c r="C4019" s="9" t="s">
        <v>4158</v>
      </c>
      <c r="D4019" s="9" t="s">
        <v>3722</v>
      </c>
      <c r="E4019" s="9" t="s">
        <v>196</v>
      </c>
      <c r="F4019" s="9" t="s">
        <v>209</v>
      </c>
      <c r="G4019" s="9" t="s">
        <v>221</v>
      </c>
      <c r="H4019" s="9" t="n">
        <v>450</v>
      </c>
      <c r="I4019" s="29" t="n">
        <v>0.3</v>
      </c>
      <c r="J4019" s="9" t="n">
        <v>0</v>
      </c>
      <c r="K4019" s="30"/>
      <c r="L4019" s="30"/>
      <c r="M4019" s="30"/>
      <c r="N4019" s="30"/>
      <c r="O4019" s="30"/>
      <c r="P4019" s="30"/>
      <c r="Q4019" s="30"/>
      <c r="R4019" s="30"/>
      <c r="S4019" s="30"/>
      <c r="T4019" s="30"/>
      <c r="U4019" s="21" t="str">
        <f aca="false">IF(COUNT(K4019:T4019)=0,"SOURCE EMPTY / INDUSTRIAL ONLY",IF(MIN(K4019:T4019)=1,"SERVICE READY","HOLD"))</f>
        <v>SOURCE EMPTY / INDUSTRIAL ONLY</v>
      </c>
      <c r="V4019" s="9" t="n">
        <f aca="false">IF(U4019="SERVICE READY",1,0)</f>
        <v>0</v>
      </c>
      <c r="W4019" s="6"/>
      <c r="X4019" s="6"/>
      <c r="Y4019" s="6"/>
      <c r="Z4019" s="6"/>
    </row>
    <row r="4020" customFormat="false" ht="15" hidden="false" customHeight="false" outlineLevel="0" collapsed="false">
      <c r="A4020" s="9" t="s">
        <v>4304</v>
      </c>
      <c r="B4020" s="9" t="s">
        <v>4157</v>
      </c>
      <c r="C4020" s="9" t="s">
        <v>4158</v>
      </c>
      <c r="D4020" s="9" t="s">
        <v>3722</v>
      </c>
      <c r="E4020" s="9" t="s">
        <v>196</v>
      </c>
      <c r="F4020" s="9" t="s">
        <v>211</v>
      </c>
      <c r="G4020" s="9" t="s">
        <v>221</v>
      </c>
      <c r="H4020" s="9" t="n">
        <v>450</v>
      </c>
      <c r="I4020" s="29" t="n">
        <v>0.3</v>
      </c>
      <c r="J4020" s="9" t="n">
        <v>0</v>
      </c>
      <c r="K4020" s="30"/>
      <c r="L4020" s="30"/>
      <c r="M4020" s="30"/>
      <c r="N4020" s="30"/>
      <c r="O4020" s="30"/>
      <c r="P4020" s="30"/>
      <c r="Q4020" s="30"/>
      <c r="R4020" s="30"/>
      <c r="S4020" s="30"/>
      <c r="T4020" s="30"/>
      <c r="U4020" s="21" t="str">
        <f aca="false">IF(COUNT(K4020:T4020)=0,"SOURCE EMPTY / INDUSTRIAL ONLY",IF(MIN(K4020:T4020)=1,"SERVICE READY","HOLD"))</f>
        <v>SOURCE EMPTY / INDUSTRIAL ONLY</v>
      </c>
      <c r="V4020" s="9" t="n">
        <f aca="false">IF(U4020="SERVICE READY",1,0)</f>
        <v>0</v>
      </c>
      <c r="W4020" s="6"/>
      <c r="X4020" s="6"/>
      <c r="Y4020" s="6"/>
      <c r="Z4020" s="6"/>
    </row>
    <row r="4021" customFormat="false" ht="15" hidden="false" customHeight="false" outlineLevel="0" collapsed="false">
      <c r="A4021" s="9" t="s">
        <v>4305</v>
      </c>
      <c r="B4021" s="9" t="s">
        <v>4157</v>
      </c>
      <c r="C4021" s="9" t="s">
        <v>4158</v>
      </c>
      <c r="D4021" s="9" t="s">
        <v>3722</v>
      </c>
      <c r="E4021" s="9" t="s">
        <v>196</v>
      </c>
      <c r="F4021" s="9" t="s">
        <v>197</v>
      </c>
      <c r="G4021" s="9" t="s">
        <v>221</v>
      </c>
      <c r="H4021" s="9" t="n">
        <v>450</v>
      </c>
      <c r="I4021" s="29" t="n">
        <v>0.3</v>
      </c>
      <c r="J4021" s="9" t="n">
        <v>0</v>
      </c>
      <c r="K4021" s="30"/>
      <c r="L4021" s="30"/>
      <c r="M4021" s="30"/>
      <c r="N4021" s="30"/>
      <c r="O4021" s="30"/>
      <c r="P4021" s="30"/>
      <c r="Q4021" s="30"/>
      <c r="R4021" s="30"/>
      <c r="S4021" s="30"/>
      <c r="T4021" s="30"/>
      <c r="U4021" s="21" t="str">
        <f aca="false">IF(COUNT(K4021:T4021)=0,"SOURCE EMPTY / INDUSTRIAL ONLY",IF(MIN(K4021:T4021)=1,"SERVICE READY","HOLD"))</f>
        <v>SOURCE EMPTY / INDUSTRIAL ONLY</v>
      </c>
      <c r="V4021" s="9" t="n">
        <f aca="false">IF(U4021="SERVICE READY",1,0)</f>
        <v>0</v>
      </c>
      <c r="W4021" s="6"/>
      <c r="X4021" s="6"/>
      <c r="Y4021" s="6"/>
      <c r="Z4021" s="6"/>
    </row>
    <row r="4022" customFormat="false" ht="15" hidden="false" customHeight="false" outlineLevel="0" collapsed="false">
      <c r="A4022" s="9" t="s">
        <v>4306</v>
      </c>
      <c r="B4022" s="9" t="s">
        <v>4157</v>
      </c>
      <c r="C4022" s="9" t="s">
        <v>4158</v>
      </c>
      <c r="D4022" s="9" t="s">
        <v>3722</v>
      </c>
      <c r="E4022" s="9" t="s">
        <v>196</v>
      </c>
      <c r="F4022" s="9" t="s">
        <v>200</v>
      </c>
      <c r="G4022" s="9" t="s">
        <v>221</v>
      </c>
      <c r="H4022" s="9" t="n">
        <v>450</v>
      </c>
      <c r="I4022" s="29" t="n">
        <v>0.3</v>
      </c>
      <c r="J4022" s="9" t="n">
        <v>0</v>
      </c>
      <c r="K4022" s="30"/>
      <c r="L4022" s="30"/>
      <c r="M4022" s="30"/>
      <c r="N4022" s="30"/>
      <c r="O4022" s="30"/>
      <c r="P4022" s="30"/>
      <c r="Q4022" s="30"/>
      <c r="R4022" s="30"/>
      <c r="S4022" s="30"/>
      <c r="T4022" s="30"/>
      <c r="U4022" s="21" t="str">
        <f aca="false">IF(COUNT(K4022:T4022)=0,"SOURCE EMPTY / INDUSTRIAL ONLY",IF(MIN(K4022:T4022)=1,"SERVICE READY","HOLD"))</f>
        <v>SOURCE EMPTY / INDUSTRIAL ONLY</v>
      </c>
      <c r="V4022" s="9" t="n">
        <f aca="false">IF(U4022="SERVICE READY",1,0)</f>
        <v>0</v>
      </c>
      <c r="W4022" s="6"/>
      <c r="X4022" s="6"/>
      <c r="Y4022" s="6"/>
      <c r="Z4022" s="6"/>
    </row>
    <row r="4023" customFormat="false" ht="15" hidden="false" customHeight="false" outlineLevel="0" collapsed="false">
      <c r="A4023" s="9" t="s">
        <v>4307</v>
      </c>
      <c r="B4023" s="9" t="s">
        <v>4157</v>
      </c>
      <c r="C4023" s="9" t="s">
        <v>4158</v>
      </c>
      <c r="D4023" s="9" t="s">
        <v>3722</v>
      </c>
      <c r="E4023" s="9" t="s">
        <v>196</v>
      </c>
      <c r="F4023" s="9" t="s">
        <v>203</v>
      </c>
      <c r="G4023" s="9" t="s">
        <v>221</v>
      </c>
      <c r="H4023" s="9" t="n">
        <v>450</v>
      </c>
      <c r="I4023" s="29" t="n">
        <v>0.3</v>
      </c>
      <c r="J4023" s="9" t="n">
        <v>0</v>
      </c>
      <c r="K4023" s="30"/>
      <c r="L4023" s="30"/>
      <c r="M4023" s="30"/>
      <c r="N4023" s="30"/>
      <c r="O4023" s="30"/>
      <c r="P4023" s="30"/>
      <c r="Q4023" s="30"/>
      <c r="R4023" s="30"/>
      <c r="S4023" s="30"/>
      <c r="T4023" s="30"/>
      <c r="U4023" s="21" t="str">
        <f aca="false">IF(COUNT(K4023:T4023)=0,"SOURCE EMPTY / INDUSTRIAL ONLY",IF(MIN(K4023:T4023)=1,"SERVICE READY","HOLD"))</f>
        <v>SOURCE EMPTY / INDUSTRIAL ONLY</v>
      </c>
      <c r="V4023" s="9" t="n">
        <f aca="false">IF(U4023="SERVICE READY",1,0)</f>
        <v>0</v>
      </c>
      <c r="W4023" s="6"/>
      <c r="X4023" s="6"/>
      <c r="Y4023" s="6"/>
      <c r="Z4023" s="6"/>
    </row>
    <row r="4024" customFormat="false" ht="15" hidden="false" customHeight="false" outlineLevel="0" collapsed="false">
      <c r="A4024" s="9" t="s">
        <v>4308</v>
      </c>
      <c r="B4024" s="9" t="s">
        <v>4157</v>
      </c>
      <c r="C4024" s="9" t="s">
        <v>4158</v>
      </c>
      <c r="D4024" s="9" t="s">
        <v>3722</v>
      </c>
      <c r="E4024" s="9" t="s">
        <v>196</v>
      </c>
      <c r="F4024" s="9" t="s">
        <v>205</v>
      </c>
      <c r="G4024" s="9" t="s">
        <v>221</v>
      </c>
      <c r="H4024" s="9" t="n">
        <v>450</v>
      </c>
      <c r="I4024" s="29" t="n">
        <v>0.3</v>
      </c>
      <c r="J4024" s="9" t="n">
        <v>0</v>
      </c>
      <c r="K4024" s="30"/>
      <c r="L4024" s="30"/>
      <c r="M4024" s="30"/>
      <c r="N4024" s="30"/>
      <c r="O4024" s="30"/>
      <c r="P4024" s="30"/>
      <c r="Q4024" s="30"/>
      <c r="R4024" s="30"/>
      <c r="S4024" s="30"/>
      <c r="T4024" s="30"/>
      <c r="U4024" s="21" t="str">
        <f aca="false">IF(COUNT(K4024:T4024)=0,"SOURCE EMPTY / INDUSTRIAL ONLY",IF(MIN(K4024:T4024)=1,"SERVICE READY","HOLD"))</f>
        <v>SOURCE EMPTY / INDUSTRIAL ONLY</v>
      </c>
      <c r="V4024" s="9" t="n">
        <f aca="false">IF(U4024="SERVICE READY",1,0)</f>
        <v>0</v>
      </c>
      <c r="W4024" s="6"/>
      <c r="X4024" s="6"/>
      <c r="Y4024" s="6"/>
      <c r="Z4024" s="6"/>
    </row>
    <row r="4025" customFormat="false" ht="15" hidden="false" customHeight="false" outlineLevel="0" collapsed="false">
      <c r="A4025" s="9" t="s">
        <v>4309</v>
      </c>
      <c r="B4025" s="9" t="s">
        <v>4157</v>
      </c>
      <c r="C4025" s="9" t="s">
        <v>4158</v>
      </c>
      <c r="D4025" s="9" t="s">
        <v>3722</v>
      </c>
      <c r="E4025" s="9" t="s">
        <v>196</v>
      </c>
      <c r="F4025" s="9" t="s">
        <v>207</v>
      </c>
      <c r="G4025" s="9" t="s">
        <v>221</v>
      </c>
      <c r="H4025" s="9" t="n">
        <v>450</v>
      </c>
      <c r="I4025" s="29" t="n">
        <v>0.3</v>
      </c>
      <c r="J4025" s="9" t="n">
        <v>0</v>
      </c>
      <c r="K4025" s="30"/>
      <c r="L4025" s="30"/>
      <c r="M4025" s="30"/>
      <c r="N4025" s="30"/>
      <c r="O4025" s="30"/>
      <c r="P4025" s="30"/>
      <c r="Q4025" s="30"/>
      <c r="R4025" s="30"/>
      <c r="S4025" s="30"/>
      <c r="T4025" s="30"/>
      <c r="U4025" s="21" t="str">
        <f aca="false">IF(COUNT(K4025:T4025)=0,"SOURCE EMPTY / INDUSTRIAL ONLY",IF(MIN(K4025:T4025)=1,"SERVICE READY","HOLD"))</f>
        <v>SOURCE EMPTY / INDUSTRIAL ONLY</v>
      </c>
      <c r="V4025" s="9" t="n">
        <f aca="false">IF(U4025="SERVICE READY",1,0)</f>
        <v>0</v>
      </c>
      <c r="W4025" s="6"/>
      <c r="X4025" s="6"/>
      <c r="Y4025" s="6"/>
      <c r="Z4025" s="6"/>
    </row>
    <row r="4026" customFormat="false" ht="15" hidden="false" customHeight="false" outlineLevel="0" collapsed="false">
      <c r="A4026" s="9" t="s">
        <v>4310</v>
      </c>
      <c r="B4026" s="9" t="s">
        <v>4157</v>
      </c>
      <c r="C4026" s="9" t="s">
        <v>4158</v>
      </c>
      <c r="D4026" s="9" t="s">
        <v>3722</v>
      </c>
      <c r="E4026" s="9" t="s">
        <v>196</v>
      </c>
      <c r="F4026" s="9" t="s">
        <v>209</v>
      </c>
      <c r="G4026" s="9" t="s">
        <v>221</v>
      </c>
      <c r="H4026" s="9" t="n">
        <v>450</v>
      </c>
      <c r="I4026" s="29" t="n">
        <v>0.3</v>
      </c>
      <c r="J4026" s="9" t="n">
        <v>0</v>
      </c>
      <c r="K4026" s="30"/>
      <c r="L4026" s="30"/>
      <c r="M4026" s="30"/>
      <c r="N4026" s="30"/>
      <c r="O4026" s="30"/>
      <c r="P4026" s="30"/>
      <c r="Q4026" s="30"/>
      <c r="R4026" s="30"/>
      <c r="S4026" s="30"/>
      <c r="T4026" s="30"/>
      <c r="U4026" s="21" t="str">
        <f aca="false">IF(COUNT(K4026:T4026)=0,"SOURCE EMPTY / INDUSTRIAL ONLY",IF(MIN(K4026:T4026)=1,"SERVICE READY","HOLD"))</f>
        <v>SOURCE EMPTY / INDUSTRIAL ONLY</v>
      </c>
      <c r="V4026" s="9" t="n">
        <f aca="false">IF(U4026="SERVICE READY",1,0)</f>
        <v>0</v>
      </c>
      <c r="W4026" s="6"/>
      <c r="X4026" s="6"/>
      <c r="Y4026" s="6"/>
      <c r="Z4026" s="6"/>
    </row>
    <row r="4027" customFormat="false" ht="15" hidden="false" customHeight="false" outlineLevel="0" collapsed="false">
      <c r="A4027" s="9" t="s">
        <v>4311</v>
      </c>
      <c r="B4027" s="9" t="s">
        <v>4157</v>
      </c>
      <c r="C4027" s="9" t="s">
        <v>4158</v>
      </c>
      <c r="D4027" s="9" t="s">
        <v>3722</v>
      </c>
      <c r="E4027" s="9" t="s">
        <v>196</v>
      </c>
      <c r="F4027" s="9" t="s">
        <v>211</v>
      </c>
      <c r="G4027" s="9" t="s">
        <v>221</v>
      </c>
      <c r="H4027" s="9" t="n">
        <v>450</v>
      </c>
      <c r="I4027" s="29" t="n">
        <v>0.3</v>
      </c>
      <c r="J4027" s="9" t="n">
        <v>0</v>
      </c>
      <c r="K4027" s="30"/>
      <c r="L4027" s="30"/>
      <c r="M4027" s="30"/>
      <c r="N4027" s="30"/>
      <c r="O4027" s="30"/>
      <c r="P4027" s="30"/>
      <c r="Q4027" s="30"/>
      <c r="R4027" s="30"/>
      <c r="S4027" s="30"/>
      <c r="T4027" s="30"/>
      <c r="U4027" s="21" t="str">
        <f aca="false">IF(COUNT(K4027:T4027)=0,"SOURCE EMPTY / INDUSTRIAL ONLY",IF(MIN(K4027:T4027)=1,"SERVICE READY","HOLD"))</f>
        <v>SOURCE EMPTY / INDUSTRIAL ONLY</v>
      </c>
      <c r="V4027" s="9" t="n">
        <f aca="false">IF(U4027="SERVICE READY",1,0)</f>
        <v>0</v>
      </c>
      <c r="W4027" s="6"/>
      <c r="X4027" s="6"/>
      <c r="Y4027" s="6"/>
      <c r="Z4027" s="6"/>
    </row>
    <row r="4028" customFormat="false" ht="15" hidden="false" customHeight="false" outlineLevel="0" collapsed="false">
      <c r="A4028" s="9" t="s">
        <v>4312</v>
      </c>
      <c r="B4028" s="9" t="s">
        <v>4157</v>
      </c>
      <c r="C4028" s="9" t="s">
        <v>4158</v>
      </c>
      <c r="D4028" s="9" t="s">
        <v>3722</v>
      </c>
      <c r="E4028" s="9" t="s">
        <v>196</v>
      </c>
      <c r="F4028" s="9" t="s">
        <v>197</v>
      </c>
      <c r="G4028" s="9" t="s">
        <v>221</v>
      </c>
      <c r="H4028" s="9" t="n">
        <v>450</v>
      </c>
      <c r="I4028" s="29" t="n">
        <v>0.3</v>
      </c>
      <c r="J4028" s="9" t="n">
        <v>0</v>
      </c>
      <c r="K4028" s="30"/>
      <c r="L4028" s="30"/>
      <c r="M4028" s="30"/>
      <c r="N4028" s="30"/>
      <c r="O4028" s="30"/>
      <c r="P4028" s="30"/>
      <c r="Q4028" s="30"/>
      <c r="R4028" s="30"/>
      <c r="S4028" s="30"/>
      <c r="T4028" s="30"/>
      <c r="U4028" s="21" t="str">
        <f aca="false">IF(COUNT(K4028:T4028)=0,"SOURCE EMPTY / INDUSTRIAL ONLY",IF(MIN(K4028:T4028)=1,"SERVICE READY","HOLD"))</f>
        <v>SOURCE EMPTY / INDUSTRIAL ONLY</v>
      </c>
      <c r="V4028" s="9" t="n">
        <f aca="false">IF(U4028="SERVICE READY",1,0)</f>
        <v>0</v>
      </c>
      <c r="W4028" s="6"/>
      <c r="X4028" s="6"/>
      <c r="Y4028" s="6"/>
      <c r="Z4028" s="6"/>
    </row>
    <row r="4029" customFormat="false" ht="15" hidden="false" customHeight="false" outlineLevel="0" collapsed="false">
      <c r="A4029" s="9" t="s">
        <v>4313</v>
      </c>
      <c r="B4029" s="9" t="s">
        <v>4157</v>
      </c>
      <c r="C4029" s="9" t="s">
        <v>4158</v>
      </c>
      <c r="D4029" s="9" t="s">
        <v>3722</v>
      </c>
      <c r="E4029" s="9" t="s">
        <v>196</v>
      </c>
      <c r="F4029" s="9" t="s">
        <v>200</v>
      </c>
      <c r="G4029" s="9" t="s">
        <v>221</v>
      </c>
      <c r="H4029" s="9" t="n">
        <v>450</v>
      </c>
      <c r="I4029" s="29" t="n">
        <v>0.3</v>
      </c>
      <c r="J4029" s="9" t="n">
        <v>0</v>
      </c>
      <c r="K4029" s="30"/>
      <c r="L4029" s="30"/>
      <c r="M4029" s="30"/>
      <c r="N4029" s="30"/>
      <c r="O4029" s="30"/>
      <c r="P4029" s="30"/>
      <c r="Q4029" s="30"/>
      <c r="R4029" s="30"/>
      <c r="S4029" s="30"/>
      <c r="T4029" s="30"/>
      <c r="U4029" s="21" t="str">
        <f aca="false">IF(COUNT(K4029:T4029)=0,"SOURCE EMPTY / INDUSTRIAL ONLY",IF(MIN(K4029:T4029)=1,"SERVICE READY","HOLD"))</f>
        <v>SOURCE EMPTY / INDUSTRIAL ONLY</v>
      </c>
      <c r="V4029" s="9" t="n">
        <f aca="false">IF(U4029="SERVICE READY",1,0)</f>
        <v>0</v>
      </c>
      <c r="W4029" s="6"/>
      <c r="X4029" s="6"/>
      <c r="Y4029" s="6"/>
      <c r="Z4029" s="6"/>
    </row>
    <row r="4030" customFormat="false" ht="15" hidden="false" customHeight="false" outlineLevel="0" collapsed="false">
      <c r="A4030" s="9" t="s">
        <v>4314</v>
      </c>
      <c r="B4030" s="9" t="s">
        <v>4157</v>
      </c>
      <c r="C4030" s="9" t="s">
        <v>4158</v>
      </c>
      <c r="D4030" s="9" t="s">
        <v>3722</v>
      </c>
      <c r="E4030" s="9" t="s">
        <v>196</v>
      </c>
      <c r="F4030" s="9" t="s">
        <v>203</v>
      </c>
      <c r="G4030" s="9" t="s">
        <v>221</v>
      </c>
      <c r="H4030" s="9" t="n">
        <v>450</v>
      </c>
      <c r="I4030" s="29" t="n">
        <v>0.3</v>
      </c>
      <c r="J4030" s="9" t="n">
        <v>0</v>
      </c>
      <c r="K4030" s="30"/>
      <c r="L4030" s="30"/>
      <c r="M4030" s="30"/>
      <c r="N4030" s="30"/>
      <c r="O4030" s="30"/>
      <c r="P4030" s="30"/>
      <c r="Q4030" s="30"/>
      <c r="R4030" s="30"/>
      <c r="S4030" s="30"/>
      <c r="T4030" s="30"/>
      <c r="U4030" s="21" t="str">
        <f aca="false">IF(COUNT(K4030:T4030)=0,"SOURCE EMPTY / INDUSTRIAL ONLY",IF(MIN(K4030:T4030)=1,"SERVICE READY","HOLD"))</f>
        <v>SOURCE EMPTY / INDUSTRIAL ONLY</v>
      </c>
      <c r="V4030" s="9" t="n">
        <f aca="false">IF(U4030="SERVICE READY",1,0)</f>
        <v>0</v>
      </c>
      <c r="W4030" s="6"/>
      <c r="X4030" s="6"/>
      <c r="Y4030" s="6"/>
      <c r="Z4030" s="6"/>
    </row>
    <row r="4031" customFormat="false" ht="15" hidden="false" customHeight="false" outlineLevel="0" collapsed="false">
      <c r="A4031" s="9" t="s">
        <v>4315</v>
      </c>
      <c r="B4031" s="9" t="s">
        <v>4157</v>
      </c>
      <c r="C4031" s="9" t="s">
        <v>4158</v>
      </c>
      <c r="D4031" s="9" t="s">
        <v>3722</v>
      </c>
      <c r="E4031" s="9" t="s">
        <v>196</v>
      </c>
      <c r="F4031" s="9" t="s">
        <v>205</v>
      </c>
      <c r="G4031" s="9" t="s">
        <v>221</v>
      </c>
      <c r="H4031" s="9" t="n">
        <v>450</v>
      </c>
      <c r="I4031" s="29" t="n">
        <v>0.3</v>
      </c>
      <c r="J4031" s="9" t="n">
        <v>0</v>
      </c>
      <c r="K4031" s="30"/>
      <c r="L4031" s="30"/>
      <c r="M4031" s="30"/>
      <c r="N4031" s="30"/>
      <c r="O4031" s="30"/>
      <c r="P4031" s="30"/>
      <c r="Q4031" s="30"/>
      <c r="R4031" s="30"/>
      <c r="S4031" s="30"/>
      <c r="T4031" s="30"/>
      <c r="U4031" s="21" t="str">
        <f aca="false">IF(COUNT(K4031:T4031)=0,"SOURCE EMPTY / INDUSTRIAL ONLY",IF(MIN(K4031:T4031)=1,"SERVICE READY","HOLD"))</f>
        <v>SOURCE EMPTY / INDUSTRIAL ONLY</v>
      </c>
      <c r="V4031" s="9" t="n">
        <f aca="false">IF(U4031="SERVICE READY",1,0)</f>
        <v>0</v>
      </c>
      <c r="W4031" s="6"/>
      <c r="X4031" s="6"/>
      <c r="Y4031" s="6"/>
      <c r="Z4031" s="6"/>
    </row>
    <row r="4032" customFormat="false" ht="15" hidden="false" customHeight="false" outlineLevel="0" collapsed="false">
      <c r="A4032" s="9" t="s">
        <v>4316</v>
      </c>
      <c r="B4032" s="9" t="s">
        <v>4157</v>
      </c>
      <c r="C4032" s="9" t="s">
        <v>4158</v>
      </c>
      <c r="D4032" s="9" t="s">
        <v>3722</v>
      </c>
      <c r="E4032" s="9" t="s">
        <v>196</v>
      </c>
      <c r="F4032" s="9" t="s">
        <v>207</v>
      </c>
      <c r="G4032" s="9" t="s">
        <v>221</v>
      </c>
      <c r="H4032" s="9" t="n">
        <v>450</v>
      </c>
      <c r="I4032" s="29" t="n">
        <v>0.3</v>
      </c>
      <c r="J4032" s="9" t="n">
        <v>0</v>
      </c>
      <c r="K4032" s="30"/>
      <c r="L4032" s="30"/>
      <c r="M4032" s="30"/>
      <c r="N4032" s="30"/>
      <c r="O4032" s="30"/>
      <c r="P4032" s="30"/>
      <c r="Q4032" s="30"/>
      <c r="R4032" s="30"/>
      <c r="S4032" s="30"/>
      <c r="T4032" s="30"/>
      <c r="U4032" s="21" t="str">
        <f aca="false">IF(COUNT(K4032:T4032)=0,"SOURCE EMPTY / INDUSTRIAL ONLY",IF(MIN(K4032:T4032)=1,"SERVICE READY","HOLD"))</f>
        <v>SOURCE EMPTY / INDUSTRIAL ONLY</v>
      </c>
      <c r="V4032" s="9" t="n">
        <f aca="false">IF(U4032="SERVICE READY",1,0)</f>
        <v>0</v>
      </c>
      <c r="W4032" s="6"/>
      <c r="X4032" s="6"/>
      <c r="Y4032" s="6"/>
      <c r="Z4032" s="6"/>
    </row>
    <row r="4033" customFormat="false" ht="15" hidden="false" customHeight="false" outlineLevel="0" collapsed="false">
      <c r="A4033" s="9" t="s">
        <v>4317</v>
      </c>
      <c r="B4033" s="9" t="s">
        <v>4157</v>
      </c>
      <c r="C4033" s="9" t="s">
        <v>4158</v>
      </c>
      <c r="D4033" s="9" t="s">
        <v>3722</v>
      </c>
      <c r="E4033" s="9" t="s">
        <v>196</v>
      </c>
      <c r="F4033" s="9" t="s">
        <v>209</v>
      </c>
      <c r="G4033" s="9" t="s">
        <v>221</v>
      </c>
      <c r="H4033" s="9" t="n">
        <v>450</v>
      </c>
      <c r="I4033" s="29" t="n">
        <v>0.3</v>
      </c>
      <c r="J4033" s="9" t="n">
        <v>0</v>
      </c>
      <c r="K4033" s="30"/>
      <c r="L4033" s="30"/>
      <c r="M4033" s="30"/>
      <c r="N4033" s="30"/>
      <c r="O4033" s="30"/>
      <c r="P4033" s="30"/>
      <c r="Q4033" s="30"/>
      <c r="R4033" s="30"/>
      <c r="S4033" s="30"/>
      <c r="T4033" s="30"/>
      <c r="U4033" s="21" t="str">
        <f aca="false">IF(COUNT(K4033:T4033)=0,"SOURCE EMPTY / INDUSTRIAL ONLY",IF(MIN(K4033:T4033)=1,"SERVICE READY","HOLD"))</f>
        <v>SOURCE EMPTY / INDUSTRIAL ONLY</v>
      </c>
      <c r="V4033" s="9" t="n">
        <f aca="false">IF(U4033="SERVICE READY",1,0)</f>
        <v>0</v>
      </c>
      <c r="W4033" s="6"/>
      <c r="X4033" s="6"/>
      <c r="Y4033" s="6"/>
      <c r="Z4033" s="6"/>
    </row>
    <row r="4034" customFormat="false" ht="15" hidden="false" customHeight="false" outlineLevel="0" collapsed="false">
      <c r="A4034" s="9" t="s">
        <v>4318</v>
      </c>
      <c r="B4034" s="9" t="s">
        <v>4157</v>
      </c>
      <c r="C4034" s="9" t="s">
        <v>4158</v>
      </c>
      <c r="D4034" s="9" t="s">
        <v>3722</v>
      </c>
      <c r="E4034" s="9" t="s">
        <v>196</v>
      </c>
      <c r="F4034" s="9" t="s">
        <v>211</v>
      </c>
      <c r="G4034" s="9" t="s">
        <v>221</v>
      </c>
      <c r="H4034" s="9" t="n">
        <v>450</v>
      </c>
      <c r="I4034" s="29" t="n">
        <v>0.3</v>
      </c>
      <c r="J4034" s="9" t="n">
        <v>0</v>
      </c>
      <c r="K4034" s="30"/>
      <c r="L4034" s="30"/>
      <c r="M4034" s="30"/>
      <c r="N4034" s="30"/>
      <c r="O4034" s="30"/>
      <c r="P4034" s="30"/>
      <c r="Q4034" s="30"/>
      <c r="R4034" s="30"/>
      <c r="S4034" s="30"/>
      <c r="T4034" s="30"/>
      <c r="U4034" s="21" t="str">
        <f aca="false">IF(COUNT(K4034:T4034)=0,"SOURCE EMPTY / INDUSTRIAL ONLY",IF(MIN(K4034:T4034)=1,"SERVICE READY","HOLD"))</f>
        <v>SOURCE EMPTY / INDUSTRIAL ONLY</v>
      </c>
      <c r="V4034" s="9" t="n">
        <f aca="false">IF(U4034="SERVICE READY",1,0)</f>
        <v>0</v>
      </c>
      <c r="W4034" s="6"/>
      <c r="X4034" s="6"/>
      <c r="Y4034" s="6"/>
      <c r="Z4034" s="6"/>
    </row>
    <row r="4035" customFormat="false" ht="15" hidden="false" customHeight="false" outlineLevel="0" collapsed="false">
      <c r="A4035" s="9" t="s">
        <v>4319</v>
      </c>
      <c r="B4035" s="9" t="s">
        <v>4157</v>
      </c>
      <c r="C4035" s="9" t="s">
        <v>4158</v>
      </c>
      <c r="D4035" s="9" t="s">
        <v>3722</v>
      </c>
      <c r="E4035" s="9" t="s">
        <v>196</v>
      </c>
      <c r="F4035" s="9" t="s">
        <v>197</v>
      </c>
      <c r="G4035" s="9" t="s">
        <v>221</v>
      </c>
      <c r="H4035" s="9" t="n">
        <v>450</v>
      </c>
      <c r="I4035" s="29" t="n">
        <v>0.3</v>
      </c>
      <c r="J4035" s="9" t="n">
        <v>0</v>
      </c>
      <c r="K4035" s="30"/>
      <c r="L4035" s="30"/>
      <c r="M4035" s="30"/>
      <c r="N4035" s="30"/>
      <c r="O4035" s="30"/>
      <c r="P4035" s="30"/>
      <c r="Q4035" s="30"/>
      <c r="R4035" s="30"/>
      <c r="S4035" s="30"/>
      <c r="T4035" s="30"/>
      <c r="U4035" s="21" t="str">
        <f aca="false">IF(COUNT(K4035:T4035)=0,"SOURCE EMPTY / INDUSTRIAL ONLY",IF(MIN(K4035:T4035)=1,"SERVICE READY","HOLD"))</f>
        <v>SOURCE EMPTY / INDUSTRIAL ONLY</v>
      </c>
      <c r="V4035" s="9" t="n">
        <f aca="false">IF(U4035="SERVICE READY",1,0)</f>
        <v>0</v>
      </c>
      <c r="W4035" s="6"/>
      <c r="X4035" s="6"/>
      <c r="Y4035" s="6"/>
      <c r="Z4035" s="6"/>
    </row>
    <row r="4036" customFormat="false" ht="15" hidden="false" customHeight="false" outlineLevel="0" collapsed="false">
      <c r="A4036" s="9" t="s">
        <v>4320</v>
      </c>
      <c r="B4036" s="9" t="s">
        <v>4157</v>
      </c>
      <c r="C4036" s="9" t="s">
        <v>4158</v>
      </c>
      <c r="D4036" s="9" t="s">
        <v>3722</v>
      </c>
      <c r="E4036" s="9" t="s">
        <v>196</v>
      </c>
      <c r="F4036" s="9" t="s">
        <v>200</v>
      </c>
      <c r="G4036" s="9" t="s">
        <v>221</v>
      </c>
      <c r="H4036" s="9" t="n">
        <v>450</v>
      </c>
      <c r="I4036" s="29" t="n">
        <v>0.3</v>
      </c>
      <c r="J4036" s="9" t="n">
        <v>0</v>
      </c>
      <c r="K4036" s="30"/>
      <c r="L4036" s="30"/>
      <c r="M4036" s="30"/>
      <c r="N4036" s="30"/>
      <c r="O4036" s="30"/>
      <c r="P4036" s="30"/>
      <c r="Q4036" s="30"/>
      <c r="R4036" s="30"/>
      <c r="S4036" s="30"/>
      <c r="T4036" s="30"/>
      <c r="U4036" s="21" t="str">
        <f aca="false">IF(COUNT(K4036:T4036)=0,"SOURCE EMPTY / INDUSTRIAL ONLY",IF(MIN(K4036:T4036)=1,"SERVICE READY","HOLD"))</f>
        <v>SOURCE EMPTY / INDUSTRIAL ONLY</v>
      </c>
      <c r="V4036" s="9" t="n">
        <f aca="false">IF(U4036="SERVICE READY",1,0)</f>
        <v>0</v>
      </c>
      <c r="W4036" s="6"/>
      <c r="X4036" s="6"/>
      <c r="Y4036" s="6"/>
      <c r="Z4036" s="6"/>
    </row>
    <row r="4037" customFormat="false" ht="15" hidden="false" customHeight="false" outlineLevel="0" collapsed="false">
      <c r="A4037" s="9" t="s">
        <v>4321</v>
      </c>
      <c r="B4037" s="9" t="s">
        <v>4157</v>
      </c>
      <c r="C4037" s="9" t="s">
        <v>4158</v>
      </c>
      <c r="D4037" s="9" t="s">
        <v>3722</v>
      </c>
      <c r="E4037" s="9" t="s">
        <v>196</v>
      </c>
      <c r="F4037" s="9" t="s">
        <v>203</v>
      </c>
      <c r="G4037" s="9" t="s">
        <v>221</v>
      </c>
      <c r="H4037" s="9" t="n">
        <v>450</v>
      </c>
      <c r="I4037" s="29" t="n">
        <v>0.3</v>
      </c>
      <c r="J4037" s="9" t="n">
        <v>0</v>
      </c>
      <c r="K4037" s="30"/>
      <c r="L4037" s="30"/>
      <c r="M4037" s="30"/>
      <c r="N4037" s="30"/>
      <c r="O4037" s="30"/>
      <c r="P4037" s="30"/>
      <c r="Q4037" s="30"/>
      <c r="R4037" s="30"/>
      <c r="S4037" s="30"/>
      <c r="T4037" s="30"/>
      <c r="U4037" s="21" t="str">
        <f aca="false">IF(COUNT(K4037:T4037)=0,"SOURCE EMPTY / INDUSTRIAL ONLY",IF(MIN(K4037:T4037)=1,"SERVICE READY","HOLD"))</f>
        <v>SOURCE EMPTY / INDUSTRIAL ONLY</v>
      </c>
      <c r="V4037" s="9" t="n">
        <f aca="false">IF(U4037="SERVICE READY",1,0)</f>
        <v>0</v>
      </c>
      <c r="W4037" s="6"/>
      <c r="X4037" s="6"/>
      <c r="Y4037" s="6"/>
      <c r="Z4037" s="6"/>
    </row>
    <row r="4038" customFormat="false" ht="15" hidden="false" customHeight="false" outlineLevel="0" collapsed="false">
      <c r="A4038" s="9" t="s">
        <v>4322</v>
      </c>
      <c r="B4038" s="9" t="s">
        <v>4323</v>
      </c>
      <c r="C4038" s="9" t="s">
        <v>4324</v>
      </c>
      <c r="D4038" s="9" t="s">
        <v>3722</v>
      </c>
      <c r="E4038" s="9" t="s">
        <v>1660</v>
      </c>
      <c r="F4038" s="9" t="s">
        <v>197</v>
      </c>
      <c r="G4038" s="9" t="s">
        <v>198</v>
      </c>
      <c r="H4038" s="9" t="n">
        <v>750</v>
      </c>
      <c r="I4038" s="29" t="n">
        <v>0.4</v>
      </c>
      <c r="J4038" s="9" t="n">
        <v>1</v>
      </c>
      <c r="K4038" s="30"/>
      <c r="L4038" s="30"/>
      <c r="M4038" s="30"/>
      <c r="N4038" s="30"/>
      <c r="O4038" s="30"/>
      <c r="P4038" s="30"/>
      <c r="Q4038" s="30"/>
      <c r="R4038" s="30"/>
      <c r="S4038" s="30"/>
      <c r="T4038" s="30"/>
      <c r="U4038" s="21" t="str">
        <f aca="false">IF(COUNT(K4038:T4038)=0,"SOURCE EMPTY / INDUSTRIAL ONLY",IF(MIN(K4038:T4038)=1,"SERVICE READY","HOLD"))</f>
        <v>SOURCE EMPTY / INDUSTRIAL ONLY</v>
      </c>
      <c r="V4038" s="9" t="n">
        <f aca="false">IF(U4038="SERVICE READY",1,0)</f>
        <v>0</v>
      </c>
      <c r="W4038" s="6"/>
      <c r="X4038" s="6"/>
      <c r="Y4038" s="6"/>
      <c r="Z4038" s="6"/>
    </row>
    <row r="4039" customFormat="false" ht="15" hidden="false" customHeight="false" outlineLevel="0" collapsed="false">
      <c r="A4039" s="9" t="s">
        <v>4325</v>
      </c>
      <c r="B4039" s="9" t="s">
        <v>4323</v>
      </c>
      <c r="C4039" s="9" t="s">
        <v>4324</v>
      </c>
      <c r="D4039" s="9" t="s">
        <v>3722</v>
      </c>
      <c r="E4039" s="9" t="s">
        <v>1660</v>
      </c>
      <c r="F4039" s="9" t="s">
        <v>200</v>
      </c>
      <c r="G4039" s="9" t="s">
        <v>201</v>
      </c>
      <c r="H4039" s="9" t="n">
        <v>750</v>
      </c>
      <c r="I4039" s="29" t="n">
        <v>0.4</v>
      </c>
      <c r="J4039" s="9" t="n">
        <v>1</v>
      </c>
      <c r="K4039" s="30"/>
      <c r="L4039" s="30"/>
      <c r="M4039" s="30"/>
      <c r="N4039" s="30"/>
      <c r="O4039" s="30"/>
      <c r="P4039" s="30"/>
      <c r="Q4039" s="30"/>
      <c r="R4039" s="30"/>
      <c r="S4039" s="30"/>
      <c r="T4039" s="30"/>
      <c r="U4039" s="21" t="str">
        <f aca="false">IF(COUNT(K4039:T4039)=0,"SOURCE EMPTY / INDUSTRIAL ONLY",IF(MIN(K4039:T4039)=1,"SERVICE READY","HOLD"))</f>
        <v>SOURCE EMPTY / INDUSTRIAL ONLY</v>
      </c>
      <c r="V4039" s="9" t="n">
        <f aca="false">IF(U4039="SERVICE READY",1,0)</f>
        <v>0</v>
      </c>
      <c r="W4039" s="6"/>
      <c r="X4039" s="6"/>
      <c r="Y4039" s="6"/>
      <c r="Z4039" s="6"/>
    </row>
    <row r="4040" customFormat="false" ht="15" hidden="false" customHeight="false" outlineLevel="0" collapsed="false">
      <c r="A4040" s="9" t="s">
        <v>4326</v>
      </c>
      <c r="B4040" s="9" t="s">
        <v>4323</v>
      </c>
      <c r="C4040" s="9" t="s">
        <v>4324</v>
      </c>
      <c r="D4040" s="9" t="s">
        <v>3722</v>
      </c>
      <c r="E4040" s="9" t="s">
        <v>1660</v>
      </c>
      <c r="F4040" s="9" t="s">
        <v>203</v>
      </c>
      <c r="G4040" s="9" t="s">
        <v>198</v>
      </c>
      <c r="H4040" s="9" t="n">
        <v>750</v>
      </c>
      <c r="I4040" s="29" t="n">
        <v>0.4</v>
      </c>
      <c r="J4040" s="9" t="n">
        <v>1</v>
      </c>
      <c r="K4040" s="30"/>
      <c r="L4040" s="30"/>
      <c r="M4040" s="30"/>
      <c r="N4040" s="30"/>
      <c r="O4040" s="30"/>
      <c r="P4040" s="30"/>
      <c r="Q4040" s="30"/>
      <c r="R4040" s="30"/>
      <c r="S4040" s="30"/>
      <c r="T4040" s="30"/>
      <c r="U4040" s="21" t="str">
        <f aca="false">IF(COUNT(K4040:T4040)=0,"SOURCE EMPTY / INDUSTRIAL ONLY",IF(MIN(K4040:T4040)=1,"SERVICE READY","HOLD"))</f>
        <v>SOURCE EMPTY / INDUSTRIAL ONLY</v>
      </c>
      <c r="V4040" s="9" t="n">
        <f aca="false">IF(U4040="SERVICE READY",1,0)</f>
        <v>0</v>
      </c>
      <c r="W4040" s="6"/>
      <c r="X4040" s="6"/>
      <c r="Y4040" s="6"/>
      <c r="Z4040" s="6"/>
    </row>
    <row r="4041" customFormat="false" ht="15" hidden="false" customHeight="false" outlineLevel="0" collapsed="false">
      <c r="A4041" s="9" t="s">
        <v>4327</v>
      </c>
      <c r="B4041" s="9" t="s">
        <v>4323</v>
      </c>
      <c r="C4041" s="9" t="s">
        <v>4324</v>
      </c>
      <c r="D4041" s="9" t="s">
        <v>3722</v>
      </c>
      <c r="E4041" s="9" t="s">
        <v>1660</v>
      </c>
      <c r="F4041" s="9" t="s">
        <v>205</v>
      </c>
      <c r="G4041" s="9" t="s">
        <v>201</v>
      </c>
      <c r="H4041" s="9" t="n">
        <v>750</v>
      </c>
      <c r="I4041" s="29" t="n">
        <v>0.4</v>
      </c>
      <c r="J4041" s="9" t="n">
        <v>1</v>
      </c>
      <c r="K4041" s="30"/>
      <c r="L4041" s="30"/>
      <c r="M4041" s="30"/>
      <c r="N4041" s="30"/>
      <c r="O4041" s="30"/>
      <c r="P4041" s="30"/>
      <c r="Q4041" s="30"/>
      <c r="R4041" s="30"/>
      <c r="S4041" s="30"/>
      <c r="T4041" s="30"/>
      <c r="U4041" s="21" t="str">
        <f aca="false">IF(COUNT(K4041:T4041)=0,"SOURCE EMPTY / INDUSTRIAL ONLY",IF(MIN(K4041:T4041)=1,"SERVICE READY","HOLD"))</f>
        <v>SOURCE EMPTY / INDUSTRIAL ONLY</v>
      </c>
      <c r="V4041" s="9" t="n">
        <f aca="false">IF(U4041="SERVICE READY",1,0)</f>
        <v>0</v>
      </c>
      <c r="W4041" s="6"/>
      <c r="X4041" s="6"/>
      <c r="Y4041" s="6"/>
      <c r="Z4041" s="6"/>
    </row>
    <row r="4042" customFormat="false" ht="15" hidden="false" customHeight="false" outlineLevel="0" collapsed="false">
      <c r="A4042" s="9" t="s">
        <v>4328</v>
      </c>
      <c r="B4042" s="9" t="s">
        <v>4323</v>
      </c>
      <c r="C4042" s="9" t="s">
        <v>4324</v>
      </c>
      <c r="D4042" s="9" t="s">
        <v>3722</v>
      </c>
      <c r="E4042" s="9" t="s">
        <v>1660</v>
      </c>
      <c r="F4042" s="9" t="s">
        <v>207</v>
      </c>
      <c r="G4042" s="9" t="s">
        <v>198</v>
      </c>
      <c r="H4042" s="9" t="n">
        <v>750</v>
      </c>
      <c r="I4042" s="29" t="n">
        <v>0.4</v>
      </c>
      <c r="J4042" s="9" t="n">
        <v>1</v>
      </c>
      <c r="K4042" s="30"/>
      <c r="L4042" s="30"/>
      <c r="M4042" s="30"/>
      <c r="N4042" s="30"/>
      <c r="O4042" s="30"/>
      <c r="P4042" s="30"/>
      <c r="Q4042" s="30"/>
      <c r="R4042" s="30"/>
      <c r="S4042" s="30"/>
      <c r="T4042" s="30"/>
      <c r="U4042" s="21" t="str">
        <f aca="false">IF(COUNT(K4042:T4042)=0,"SOURCE EMPTY / INDUSTRIAL ONLY",IF(MIN(K4042:T4042)=1,"SERVICE READY","HOLD"))</f>
        <v>SOURCE EMPTY / INDUSTRIAL ONLY</v>
      </c>
      <c r="V4042" s="9" t="n">
        <f aca="false">IF(U4042="SERVICE READY",1,0)</f>
        <v>0</v>
      </c>
      <c r="W4042" s="6"/>
      <c r="X4042" s="6"/>
      <c r="Y4042" s="6"/>
      <c r="Z4042" s="6"/>
    </row>
    <row r="4043" customFormat="false" ht="15" hidden="false" customHeight="false" outlineLevel="0" collapsed="false">
      <c r="A4043" s="9" t="s">
        <v>4329</v>
      </c>
      <c r="B4043" s="9" t="s">
        <v>4323</v>
      </c>
      <c r="C4043" s="9" t="s">
        <v>4324</v>
      </c>
      <c r="D4043" s="9" t="s">
        <v>3722</v>
      </c>
      <c r="E4043" s="9" t="s">
        <v>1660</v>
      </c>
      <c r="F4043" s="9" t="s">
        <v>209</v>
      </c>
      <c r="G4043" s="9" t="s">
        <v>201</v>
      </c>
      <c r="H4043" s="9" t="n">
        <v>750</v>
      </c>
      <c r="I4043" s="29" t="n">
        <v>0.4</v>
      </c>
      <c r="J4043" s="9" t="n">
        <v>1</v>
      </c>
      <c r="K4043" s="30"/>
      <c r="L4043" s="30"/>
      <c r="M4043" s="30"/>
      <c r="N4043" s="30"/>
      <c r="O4043" s="30"/>
      <c r="P4043" s="30"/>
      <c r="Q4043" s="30"/>
      <c r="R4043" s="30"/>
      <c r="S4043" s="30"/>
      <c r="T4043" s="30"/>
      <c r="U4043" s="21" t="str">
        <f aca="false">IF(COUNT(K4043:T4043)=0,"SOURCE EMPTY / INDUSTRIAL ONLY",IF(MIN(K4043:T4043)=1,"SERVICE READY","HOLD"))</f>
        <v>SOURCE EMPTY / INDUSTRIAL ONLY</v>
      </c>
      <c r="V4043" s="9" t="n">
        <f aca="false">IF(U4043="SERVICE READY",1,0)</f>
        <v>0</v>
      </c>
      <c r="W4043" s="6"/>
      <c r="X4043" s="6"/>
      <c r="Y4043" s="6"/>
      <c r="Z4043" s="6"/>
    </row>
    <row r="4044" customFormat="false" ht="15" hidden="false" customHeight="false" outlineLevel="0" collapsed="false">
      <c r="A4044" s="9" t="s">
        <v>4330</v>
      </c>
      <c r="B4044" s="9" t="s">
        <v>4323</v>
      </c>
      <c r="C4044" s="9" t="s">
        <v>4324</v>
      </c>
      <c r="D4044" s="9" t="s">
        <v>3722</v>
      </c>
      <c r="E4044" s="9" t="s">
        <v>1660</v>
      </c>
      <c r="F4044" s="9" t="s">
        <v>211</v>
      </c>
      <c r="G4044" s="9" t="s">
        <v>198</v>
      </c>
      <c r="H4044" s="9" t="n">
        <v>750</v>
      </c>
      <c r="I4044" s="29" t="n">
        <v>0.4</v>
      </c>
      <c r="J4044" s="9" t="n">
        <v>1</v>
      </c>
      <c r="K4044" s="30"/>
      <c r="L4044" s="30"/>
      <c r="M4044" s="30"/>
      <c r="N4044" s="30"/>
      <c r="O4044" s="30"/>
      <c r="P4044" s="30"/>
      <c r="Q4044" s="30"/>
      <c r="R4044" s="30"/>
      <c r="S4044" s="30"/>
      <c r="T4044" s="30"/>
      <c r="U4044" s="21" t="str">
        <f aca="false">IF(COUNT(K4044:T4044)=0,"SOURCE EMPTY / INDUSTRIAL ONLY",IF(MIN(K4044:T4044)=1,"SERVICE READY","HOLD"))</f>
        <v>SOURCE EMPTY / INDUSTRIAL ONLY</v>
      </c>
      <c r="V4044" s="9" t="n">
        <f aca="false">IF(U4044="SERVICE READY",1,0)</f>
        <v>0</v>
      </c>
      <c r="W4044" s="6"/>
      <c r="X4044" s="6"/>
      <c r="Y4044" s="6"/>
      <c r="Z4044" s="6"/>
    </row>
    <row r="4045" customFormat="false" ht="15" hidden="false" customHeight="false" outlineLevel="0" collapsed="false">
      <c r="A4045" s="9" t="s">
        <v>4331</v>
      </c>
      <c r="B4045" s="9" t="s">
        <v>4323</v>
      </c>
      <c r="C4045" s="9" t="s">
        <v>4324</v>
      </c>
      <c r="D4045" s="9" t="s">
        <v>3722</v>
      </c>
      <c r="E4045" s="9" t="s">
        <v>1660</v>
      </c>
      <c r="F4045" s="9" t="s">
        <v>197</v>
      </c>
      <c r="G4045" s="9" t="s">
        <v>201</v>
      </c>
      <c r="H4045" s="9" t="n">
        <v>750</v>
      </c>
      <c r="I4045" s="29" t="n">
        <v>0.4</v>
      </c>
      <c r="J4045" s="9" t="n">
        <v>1</v>
      </c>
      <c r="K4045" s="30"/>
      <c r="L4045" s="30"/>
      <c r="M4045" s="30"/>
      <c r="N4045" s="30"/>
      <c r="O4045" s="30"/>
      <c r="P4045" s="30"/>
      <c r="Q4045" s="30"/>
      <c r="R4045" s="30"/>
      <c r="S4045" s="30"/>
      <c r="T4045" s="30"/>
      <c r="U4045" s="21" t="str">
        <f aca="false">IF(COUNT(K4045:T4045)=0,"SOURCE EMPTY / INDUSTRIAL ONLY",IF(MIN(K4045:T4045)=1,"SERVICE READY","HOLD"))</f>
        <v>SOURCE EMPTY / INDUSTRIAL ONLY</v>
      </c>
      <c r="V4045" s="9" t="n">
        <f aca="false">IF(U4045="SERVICE READY",1,0)</f>
        <v>0</v>
      </c>
      <c r="W4045" s="6"/>
      <c r="X4045" s="6"/>
      <c r="Y4045" s="6"/>
      <c r="Z4045" s="6"/>
    </row>
    <row r="4046" customFormat="false" ht="15" hidden="false" customHeight="false" outlineLevel="0" collapsed="false">
      <c r="A4046" s="9" t="s">
        <v>4332</v>
      </c>
      <c r="B4046" s="9" t="s">
        <v>4323</v>
      </c>
      <c r="C4046" s="9" t="s">
        <v>4324</v>
      </c>
      <c r="D4046" s="9" t="s">
        <v>3722</v>
      </c>
      <c r="E4046" s="9" t="s">
        <v>1660</v>
      </c>
      <c r="F4046" s="9" t="s">
        <v>200</v>
      </c>
      <c r="G4046" s="9" t="s">
        <v>198</v>
      </c>
      <c r="H4046" s="9" t="n">
        <v>750</v>
      </c>
      <c r="I4046" s="29" t="n">
        <v>0.4</v>
      </c>
      <c r="J4046" s="9" t="n">
        <v>1</v>
      </c>
      <c r="K4046" s="30"/>
      <c r="L4046" s="30"/>
      <c r="M4046" s="30"/>
      <c r="N4046" s="30"/>
      <c r="O4046" s="30"/>
      <c r="P4046" s="30"/>
      <c r="Q4046" s="30"/>
      <c r="R4046" s="30"/>
      <c r="S4046" s="30"/>
      <c r="T4046" s="30"/>
      <c r="U4046" s="21" t="str">
        <f aca="false">IF(COUNT(K4046:T4046)=0,"SOURCE EMPTY / INDUSTRIAL ONLY",IF(MIN(K4046:T4046)=1,"SERVICE READY","HOLD"))</f>
        <v>SOURCE EMPTY / INDUSTRIAL ONLY</v>
      </c>
      <c r="V4046" s="9" t="n">
        <f aca="false">IF(U4046="SERVICE READY",1,0)</f>
        <v>0</v>
      </c>
      <c r="W4046" s="6"/>
      <c r="X4046" s="6"/>
      <c r="Y4046" s="6"/>
      <c r="Z4046" s="6"/>
    </row>
    <row r="4047" customFormat="false" ht="15" hidden="false" customHeight="false" outlineLevel="0" collapsed="false">
      <c r="A4047" s="9" t="s">
        <v>4333</v>
      </c>
      <c r="B4047" s="9" t="s">
        <v>4323</v>
      </c>
      <c r="C4047" s="9" t="s">
        <v>4324</v>
      </c>
      <c r="D4047" s="9" t="s">
        <v>3722</v>
      </c>
      <c r="E4047" s="9" t="s">
        <v>1660</v>
      </c>
      <c r="F4047" s="9" t="s">
        <v>203</v>
      </c>
      <c r="G4047" s="9" t="s">
        <v>201</v>
      </c>
      <c r="H4047" s="9" t="n">
        <v>750</v>
      </c>
      <c r="I4047" s="29" t="n">
        <v>0.4</v>
      </c>
      <c r="J4047" s="9" t="n">
        <v>1</v>
      </c>
      <c r="K4047" s="30"/>
      <c r="L4047" s="30"/>
      <c r="M4047" s="30"/>
      <c r="N4047" s="30"/>
      <c r="O4047" s="30"/>
      <c r="P4047" s="30"/>
      <c r="Q4047" s="30"/>
      <c r="R4047" s="30"/>
      <c r="S4047" s="30"/>
      <c r="T4047" s="30"/>
      <c r="U4047" s="21" t="str">
        <f aca="false">IF(COUNT(K4047:T4047)=0,"SOURCE EMPTY / INDUSTRIAL ONLY",IF(MIN(K4047:T4047)=1,"SERVICE READY","HOLD"))</f>
        <v>SOURCE EMPTY / INDUSTRIAL ONLY</v>
      </c>
      <c r="V4047" s="9" t="n">
        <f aca="false">IF(U4047="SERVICE READY",1,0)</f>
        <v>0</v>
      </c>
      <c r="W4047" s="6"/>
      <c r="X4047" s="6"/>
      <c r="Y4047" s="6"/>
      <c r="Z4047" s="6"/>
    </row>
    <row r="4048" customFormat="false" ht="15" hidden="false" customHeight="false" outlineLevel="0" collapsed="false">
      <c r="A4048" s="9" t="s">
        <v>4334</v>
      </c>
      <c r="B4048" s="9" t="s">
        <v>4323</v>
      </c>
      <c r="C4048" s="9" t="s">
        <v>4324</v>
      </c>
      <c r="D4048" s="9" t="s">
        <v>3722</v>
      </c>
      <c r="E4048" s="9" t="s">
        <v>1660</v>
      </c>
      <c r="F4048" s="9" t="s">
        <v>205</v>
      </c>
      <c r="G4048" s="9" t="s">
        <v>198</v>
      </c>
      <c r="H4048" s="9" t="n">
        <v>750</v>
      </c>
      <c r="I4048" s="29" t="n">
        <v>0.4</v>
      </c>
      <c r="J4048" s="9" t="n">
        <v>1</v>
      </c>
      <c r="K4048" s="30"/>
      <c r="L4048" s="30"/>
      <c r="M4048" s="30"/>
      <c r="N4048" s="30"/>
      <c r="O4048" s="30"/>
      <c r="P4048" s="30"/>
      <c r="Q4048" s="30"/>
      <c r="R4048" s="30"/>
      <c r="S4048" s="30"/>
      <c r="T4048" s="30"/>
      <c r="U4048" s="21" t="str">
        <f aca="false">IF(COUNT(K4048:T4048)=0,"SOURCE EMPTY / INDUSTRIAL ONLY",IF(MIN(K4048:T4048)=1,"SERVICE READY","HOLD"))</f>
        <v>SOURCE EMPTY / INDUSTRIAL ONLY</v>
      </c>
      <c r="V4048" s="9" t="n">
        <f aca="false">IF(U4048="SERVICE READY",1,0)</f>
        <v>0</v>
      </c>
      <c r="W4048" s="6"/>
      <c r="X4048" s="6"/>
      <c r="Y4048" s="6"/>
      <c r="Z4048" s="6"/>
    </row>
    <row r="4049" customFormat="false" ht="15" hidden="false" customHeight="false" outlineLevel="0" collapsed="false">
      <c r="A4049" s="9" t="s">
        <v>4335</v>
      </c>
      <c r="B4049" s="9" t="s">
        <v>4323</v>
      </c>
      <c r="C4049" s="9" t="s">
        <v>4324</v>
      </c>
      <c r="D4049" s="9" t="s">
        <v>3722</v>
      </c>
      <c r="E4049" s="9" t="s">
        <v>1660</v>
      </c>
      <c r="F4049" s="9" t="s">
        <v>207</v>
      </c>
      <c r="G4049" s="9" t="s">
        <v>201</v>
      </c>
      <c r="H4049" s="9" t="n">
        <v>750</v>
      </c>
      <c r="I4049" s="29" t="n">
        <v>0.4</v>
      </c>
      <c r="J4049" s="9" t="n">
        <v>1</v>
      </c>
      <c r="K4049" s="30"/>
      <c r="L4049" s="30"/>
      <c r="M4049" s="30"/>
      <c r="N4049" s="30"/>
      <c r="O4049" s="30"/>
      <c r="P4049" s="30"/>
      <c r="Q4049" s="30"/>
      <c r="R4049" s="30"/>
      <c r="S4049" s="30"/>
      <c r="T4049" s="30"/>
      <c r="U4049" s="21" t="str">
        <f aca="false">IF(COUNT(K4049:T4049)=0,"SOURCE EMPTY / INDUSTRIAL ONLY",IF(MIN(K4049:T4049)=1,"SERVICE READY","HOLD"))</f>
        <v>SOURCE EMPTY / INDUSTRIAL ONLY</v>
      </c>
      <c r="V4049" s="9" t="n">
        <f aca="false">IF(U4049="SERVICE READY",1,0)</f>
        <v>0</v>
      </c>
      <c r="W4049" s="6"/>
      <c r="X4049" s="6"/>
      <c r="Y4049" s="6"/>
      <c r="Z4049" s="6"/>
    </row>
    <row r="4050" customFormat="false" ht="15" hidden="false" customHeight="false" outlineLevel="0" collapsed="false">
      <c r="A4050" s="9" t="s">
        <v>4336</v>
      </c>
      <c r="B4050" s="9" t="s">
        <v>4323</v>
      </c>
      <c r="C4050" s="9" t="s">
        <v>4324</v>
      </c>
      <c r="D4050" s="9" t="s">
        <v>3722</v>
      </c>
      <c r="E4050" s="9" t="s">
        <v>1660</v>
      </c>
      <c r="F4050" s="9" t="s">
        <v>209</v>
      </c>
      <c r="G4050" s="9" t="s">
        <v>198</v>
      </c>
      <c r="H4050" s="9" t="n">
        <v>750</v>
      </c>
      <c r="I4050" s="29" t="n">
        <v>0.4</v>
      </c>
      <c r="J4050" s="9" t="n">
        <v>1</v>
      </c>
      <c r="K4050" s="30"/>
      <c r="L4050" s="30"/>
      <c r="M4050" s="30"/>
      <c r="N4050" s="30"/>
      <c r="O4050" s="30"/>
      <c r="P4050" s="30"/>
      <c r="Q4050" s="30"/>
      <c r="R4050" s="30"/>
      <c r="S4050" s="30"/>
      <c r="T4050" s="30"/>
      <c r="U4050" s="21" t="str">
        <f aca="false">IF(COUNT(K4050:T4050)=0,"SOURCE EMPTY / INDUSTRIAL ONLY",IF(MIN(K4050:T4050)=1,"SERVICE READY","HOLD"))</f>
        <v>SOURCE EMPTY / INDUSTRIAL ONLY</v>
      </c>
      <c r="V4050" s="9" t="n">
        <f aca="false">IF(U4050="SERVICE READY",1,0)</f>
        <v>0</v>
      </c>
      <c r="W4050" s="6"/>
      <c r="X4050" s="6"/>
      <c r="Y4050" s="6"/>
      <c r="Z4050" s="6"/>
    </row>
    <row r="4051" customFormat="false" ht="15" hidden="false" customHeight="false" outlineLevel="0" collapsed="false">
      <c r="A4051" s="9" t="s">
        <v>4337</v>
      </c>
      <c r="B4051" s="9" t="s">
        <v>4323</v>
      </c>
      <c r="C4051" s="9" t="s">
        <v>4324</v>
      </c>
      <c r="D4051" s="9" t="s">
        <v>3722</v>
      </c>
      <c r="E4051" s="9" t="s">
        <v>1660</v>
      </c>
      <c r="F4051" s="9" t="s">
        <v>211</v>
      </c>
      <c r="G4051" s="9" t="s">
        <v>201</v>
      </c>
      <c r="H4051" s="9" t="n">
        <v>750</v>
      </c>
      <c r="I4051" s="29" t="n">
        <v>0.4</v>
      </c>
      <c r="J4051" s="9" t="n">
        <v>1</v>
      </c>
      <c r="K4051" s="30"/>
      <c r="L4051" s="30"/>
      <c r="M4051" s="30"/>
      <c r="N4051" s="30"/>
      <c r="O4051" s="30"/>
      <c r="P4051" s="30"/>
      <c r="Q4051" s="30"/>
      <c r="R4051" s="30"/>
      <c r="S4051" s="30"/>
      <c r="T4051" s="30"/>
      <c r="U4051" s="21" t="str">
        <f aca="false">IF(COUNT(K4051:T4051)=0,"SOURCE EMPTY / INDUSTRIAL ONLY",IF(MIN(K4051:T4051)=1,"SERVICE READY","HOLD"))</f>
        <v>SOURCE EMPTY / INDUSTRIAL ONLY</v>
      </c>
      <c r="V4051" s="9" t="n">
        <f aca="false">IF(U4051="SERVICE READY",1,0)</f>
        <v>0</v>
      </c>
      <c r="W4051" s="6"/>
      <c r="X4051" s="6"/>
      <c r="Y4051" s="6"/>
      <c r="Z4051" s="6"/>
    </row>
    <row r="4052" customFormat="false" ht="15" hidden="false" customHeight="false" outlineLevel="0" collapsed="false">
      <c r="A4052" s="9" t="s">
        <v>4338</v>
      </c>
      <c r="B4052" s="9" t="s">
        <v>4323</v>
      </c>
      <c r="C4052" s="9" t="s">
        <v>4324</v>
      </c>
      <c r="D4052" s="9" t="s">
        <v>3722</v>
      </c>
      <c r="E4052" s="9" t="s">
        <v>1660</v>
      </c>
      <c r="F4052" s="9" t="s">
        <v>197</v>
      </c>
      <c r="G4052" s="9" t="s">
        <v>198</v>
      </c>
      <c r="H4052" s="9" t="n">
        <v>750</v>
      </c>
      <c r="I4052" s="29" t="n">
        <v>0.4</v>
      </c>
      <c r="J4052" s="9" t="n">
        <v>1</v>
      </c>
      <c r="K4052" s="30"/>
      <c r="L4052" s="30"/>
      <c r="M4052" s="30"/>
      <c r="N4052" s="30"/>
      <c r="O4052" s="30"/>
      <c r="P4052" s="30"/>
      <c r="Q4052" s="30"/>
      <c r="R4052" s="30"/>
      <c r="S4052" s="30"/>
      <c r="T4052" s="30"/>
      <c r="U4052" s="21" t="str">
        <f aca="false">IF(COUNT(K4052:T4052)=0,"SOURCE EMPTY / INDUSTRIAL ONLY",IF(MIN(K4052:T4052)=1,"SERVICE READY","HOLD"))</f>
        <v>SOURCE EMPTY / INDUSTRIAL ONLY</v>
      </c>
      <c r="V4052" s="9" t="n">
        <f aca="false">IF(U4052="SERVICE READY",1,0)</f>
        <v>0</v>
      </c>
      <c r="W4052" s="6"/>
      <c r="X4052" s="6"/>
      <c r="Y4052" s="6"/>
      <c r="Z4052" s="6"/>
    </row>
    <row r="4053" customFormat="false" ht="15" hidden="false" customHeight="false" outlineLevel="0" collapsed="false">
      <c r="A4053" s="9" t="s">
        <v>4339</v>
      </c>
      <c r="B4053" s="9" t="s">
        <v>4323</v>
      </c>
      <c r="C4053" s="9" t="s">
        <v>4324</v>
      </c>
      <c r="D4053" s="9" t="s">
        <v>3722</v>
      </c>
      <c r="E4053" s="9" t="s">
        <v>1660</v>
      </c>
      <c r="F4053" s="9" t="s">
        <v>200</v>
      </c>
      <c r="G4053" s="9" t="s">
        <v>201</v>
      </c>
      <c r="H4053" s="9" t="n">
        <v>750</v>
      </c>
      <c r="I4053" s="29" t="n">
        <v>0.4</v>
      </c>
      <c r="J4053" s="9" t="n">
        <v>1</v>
      </c>
      <c r="K4053" s="30"/>
      <c r="L4053" s="30"/>
      <c r="M4053" s="30"/>
      <c r="N4053" s="30"/>
      <c r="O4053" s="30"/>
      <c r="P4053" s="30"/>
      <c r="Q4053" s="30"/>
      <c r="R4053" s="30"/>
      <c r="S4053" s="30"/>
      <c r="T4053" s="30"/>
      <c r="U4053" s="21" t="str">
        <f aca="false">IF(COUNT(K4053:T4053)=0,"SOURCE EMPTY / INDUSTRIAL ONLY",IF(MIN(K4053:T4053)=1,"SERVICE READY","HOLD"))</f>
        <v>SOURCE EMPTY / INDUSTRIAL ONLY</v>
      </c>
      <c r="V4053" s="9" t="n">
        <f aca="false">IF(U4053="SERVICE READY",1,0)</f>
        <v>0</v>
      </c>
      <c r="W4053" s="6"/>
      <c r="X4053" s="6"/>
      <c r="Y4053" s="6"/>
      <c r="Z4053" s="6"/>
    </row>
    <row r="4054" customFormat="false" ht="15" hidden="false" customHeight="false" outlineLevel="0" collapsed="false">
      <c r="A4054" s="9" t="s">
        <v>4340</v>
      </c>
      <c r="B4054" s="9" t="s">
        <v>4323</v>
      </c>
      <c r="C4054" s="9" t="s">
        <v>4324</v>
      </c>
      <c r="D4054" s="9" t="s">
        <v>3722</v>
      </c>
      <c r="E4054" s="9" t="s">
        <v>1660</v>
      </c>
      <c r="F4054" s="9" t="s">
        <v>203</v>
      </c>
      <c r="G4054" s="9" t="s">
        <v>198</v>
      </c>
      <c r="H4054" s="9" t="n">
        <v>750</v>
      </c>
      <c r="I4054" s="29" t="n">
        <v>0.4</v>
      </c>
      <c r="J4054" s="9" t="n">
        <v>1</v>
      </c>
      <c r="K4054" s="30"/>
      <c r="L4054" s="30"/>
      <c r="M4054" s="30"/>
      <c r="N4054" s="30"/>
      <c r="O4054" s="30"/>
      <c r="P4054" s="30"/>
      <c r="Q4054" s="30"/>
      <c r="R4054" s="30"/>
      <c r="S4054" s="30"/>
      <c r="T4054" s="30"/>
      <c r="U4054" s="21" t="str">
        <f aca="false">IF(COUNT(K4054:T4054)=0,"SOURCE EMPTY / INDUSTRIAL ONLY",IF(MIN(K4054:T4054)=1,"SERVICE READY","HOLD"))</f>
        <v>SOURCE EMPTY / INDUSTRIAL ONLY</v>
      </c>
      <c r="V4054" s="9" t="n">
        <f aca="false">IF(U4054="SERVICE READY",1,0)</f>
        <v>0</v>
      </c>
      <c r="W4054" s="6"/>
      <c r="X4054" s="6"/>
      <c r="Y4054" s="6"/>
      <c r="Z4054" s="6"/>
    </row>
    <row r="4055" customFormat="false" ht="15" hidden="false" customHeight="false" outlineLevel="0" collapsed="false">
      <c r="A4055" s="9" t="s">
        <v>4341</v>
      </c>
      <c r="B4055" s="9" t="s">
        <v>4323</v>
      </c>
      <c r="C4055" s="9" t="s">
        <v>4324</v>
      </c>
      <c r="D4055" s="9" t="s">
        <v>3722</v>
      </c>
      <c r="E4055" s="9" t="s">
        <v>1660</v>
      </c>
      <c r="F4055" s="9" t="s">
        <v>205</v>
      </c>
      <c r="G4055" s="9" t="s">
        <v>201</v>
      </c>
      <c r="H4055" s="9" t="n">
        <v>750</v>
      </c>
      <c r="I4055" s="29" t="n">
        <v>0.4</v>
      </c>
      <c r="J4055" s="9" t="n">
        <v>1</v>
      </c>
      <c r="K4055" s="30"/>
      <c r="L4055" s="30"/>
      <c r="M4055" s="30"/>
      <c r="N4055" s="30"/>
      <c r="O4055" s="30"/>
      <c r="P4055" s="30"/>
      <c r="Q4055" s="30"/>
      <c r="R4055" s="30"/>
      <c r="S4055" s="30"/>
      <c r="T4055" s="30"/>
      <c r="U4055" s="21" t="str">
        <f aca="false">IF(COUNT(K4055:T4055)=0,"SOURCE EMPTY / INDUSTRIAL ONLY",IF(MIN(K4055:T4055)=1,"SERVICE READY","HOLD"))</f>
        <v>SOURCE EMPTY / INDUSTRIAL ONLY</v>
      </c>
      <c r="V4055" s="9" t="n">
        <f aca="false">IF(U4055="SERVICE READY",1,0)</f>
        <v>0</v>
      </c>
      <c r="W4055" s="6"/>
      <c r="X4055" s="6"/>
      <c r="Y4055" s="6"/>
      <c r="Z4055" s="6"/>
    </row>
    <row r="4056" customFormat="false" ht="15" hidden="false" customHeight="false" outlineLevel="0" collapsed="false">
      <c r="A4056" s="9" t="s">
        <v>4342</v>
      </c>
      <c r="B4056" s="9" t="s">
        <v>4323</v>
      </c>
      <c r="C4056" s="9" t="s">
        <v>4324</v>
      </c>
      <c r="D4056" s="9" t="s">
        <v>3722</v>
      </c>
      <c r="E4056" s="9" t="s">
        <v>1660</v>
      </c>
      <c r="F4056" s="9" t="s">
        <v>207</v>
      </c>
      <c r="G4056" s="9" t="s">
        <v>198</v>
      </c>
      <c r="H4056" s="9" t="n">
        <v>750</v>
      </c>
      <c r="I4056" s="29" t="n">
        <v>0.4</v>
      </c>
      <c r="J4056" s="9" t="n">
        <v>1</v>
      </c>
      <c r="K4056" s="30"/>
      <c r="L4056" s="30"/>
      <c r="M4056" s="30"/>
      <c r="N4056" s="30"/>
      <c r="O4056" s="30"/>
      <c r="P4056" s="30"/>
      <c r="Q4056" s="30"/>
      <c r="R4056" s="30"/>
      <c r="S4056" s="30"/>
      <c r="T4056" s="30"/>
      <c r="U4056" s="21" t="str">
        <f aca="false">IF(COUNT(K4056:T4056)=0,"SOURCE EMPTY / INDUSTRIAL ONLY",IF(MIN(K4056:T4056)=1,"SERVICE READY","HOLD"))</f>
        <v>SOURCE EMPTY / INDUSTRIAL ONLY</v>
      </c>
      <c r="V4056" s="9" t="n">
        <f aca="false">IF(U4056="SERVICE READY",1,0)</f>
        <v>0</v>
      </c>
      <c r="W4056" s="6"/>
      <c r="X4056" s="6"/>
      <c r="Y4056" s="6"/>
      <c r="Z4056" s="6"/>
    </row>
    <row r="4057" customFormat="false" ht="15" hidden="false" customHeight="false" outlineLevel="0" collapsed="false">
      <c r="A4057" s="9" t="s">
        <v>4343</v>
      </c>
      <c r="B4057" s="9" t="s">
        <v>4323</v>
      </c>
      <c r="C4057" s="9" t="s">
        <v>4324</v>
      </c>
      <c r="D4057" s="9" t="s">
        <v>3722</v>
      </c>
      <c r="E4057" s="9" t="s">
        <v>1660</v>
      </c>
      <c r="F4057" s="9" t="s">
        <v>209</v>
      </c>
      <c r="G4057" s="9" t="s">
        <v>201</v>
      </c>
      <c r="H4057" s="9" t="n">
        <v>750</v>
      </c>
      <c r="I4057" s="29" t="n">
        <v>0.4</v>
      </c>
      <c r="J4057" s="9" t="n">
        <v>1</v>
      </c>
      <c r="K4057" s="30"/>
      <c r="L4057" s="30"/>
      <c r="M4057" s="30"/>
      <c r="N4057" s="30"/>
      <c r="O4057" s="30"/>
      <c r="P4057" s="30"/>
      <c r="Q4057" s="30"/>
      <c r="R4057" s="30"/>
      <c r="S4057" s="30"/>
      <c r="T4057" s="30"/>
      <c r="U4057" s="21" t="str">
        <f aca="false">IF(COUNT(K4057:T4057)=0,"SOURCE EMPTY / INDUSTRIAL ONLY",IF(MIN(K4057:T4057)=1,"SERVICE READY","HOLD"))</f>
        <v>SOURCE EMPTY / INDUSTRIAL ONLY</v>
      </c>
      <c r="V4057" s="9" t="n">
        <f aca="false">IF(U4057="SERVICE READY",1,0)</f>
        <v>0</v>
      </c>
      <c r="W4057" s="6"/>
      <c r="X4057" s="6"/>
      <c r="Y4057" s="6"/>
      <c r="Z4057" s="6"/>
    </row>
    <row r="4058" customFormat="false" ht="15" hidden="false" customHeight="false" outlineLevel="0" collapsed="false">
      <c r="A4058" s="9" t="s">
        <v>4344</v>
      </c>
      <c r="B4058" s="9" t="s">
        <v>4323</v>
      </c>
      <c r="C4058" s="9" t="s">
        <v>4324</v>
      </c>
      <c r="D4058" s="9" t="s">
        <v>3722</v>
      </c>
      <c r="E4058" s="9" t="s">
        <v>1660</v>
      </c>
      <c r="F4058" s="9" t="s">
        <v>211</v>
      </c>
      <c r="G4058" s="9" t="s">
        <v>198</v>
      </c>
      <c r="H4058" s="9" t="n">
        <v>750</v>
      </c>
      <c r="I4058" s="29" t="n">
        <v>0.4</v>
      </c>
      <c r="J4058" s="9" t="n">
        <v>1</v>
      </c>
      <c r="K4058" s="30"/>
      <c r="L4058" s="30"/>
      <c r="M4058" s="30"/>
      <c r="N4058" s="30"/>
      <c r="O4058" s="30"/>
      <c r="P4058" s="30"/>
      <c r="Q4058" s="30"/>
      <c r="R4058" s="30"/>
      <c r="S4058" s="30"/>
      <c r="T4058" s="30"/>
      <c r="U4058" s="21" t="str">
        <f aca="false">IF(COUNT(K4058:T4058)=0,"SOURCE EMPTY / INDUSTRIAL ONLY",IF(MIN(K4058:T4058)=1,"SERVICE READY","HOLD"))</f>
        <v>SOURCE EMPTY / INDUSTRIAL ONLY</v>
      </c>
      <c r="V4058" s="9" t="n">
        <f aca="false">IF(U4058="SERVICE READY",1,0)</f>
        <v>0</v>
      </c>
      <c r="W4058" s="6"/>
      <c r="X4058" s="6"/>
      <c r="Y4058" s="6"/>
      <c r="Z4058" s="6"/>
    </row>
    <row r="4059" customFormat="false" ht="15" hidden="false" customHeight="false" outlineLevel="0" collapsed="false">
      <c r="A4059" s="9" t="s">
        <v>4345</v>
      </c>
      <c r="B4059" s="9" t="s">
        <v>4323</v>
      </c>
      <c r="C4059" s="9" t="s">
        <v>4324</v>
      </c>
      <c r="D4059" s="9" t="s">
        <v>3722</v>
      </c>
      <c r="E4059" s="9" t="s">
        <v>1660</v>
      </c>
      <c r="F4059" s="9" t="s">
        <v>197</v>
      </c>
      <c r="G4059" s="9" t="s">
        <v>201</v>
      </c>
      <c r="H4059" s="9" t="n">
        <v>750</v>
      </c>
      <c r="I4059" s="29" t="n">
        <v>0.4</v>
      </c>
      <c r="J4059" s="9" t="n">
        <v>1</v>
      </c>
      <c r="K4059" s="30"/>
      <c r="L4059" s="30"/>
      <c r="M4059" s="30"/>
      <c r="N4059" s="30"/>
      <c r="O4059" s="30"/>
      <c r="P4059" s="30"/>
      <c r="Q4059" s="30"/>
      <c r="R4059" s="30"/>
      <c r="S4059" s="30"/>
      <c r="T4059" s="30"/>
      <c r="U4059" s="21" t="str">
        <f aca="false">IF(COUNT(K4059:T4059)=0,"SOURCE EMPTY / INDUSTRIAL ONLY",IF(MIN(K4059:T4059)=1,"SERVICE READY","HOLD"))</f>
        <v>SOURCE EMPTY / INDUSTRIAL ONLY</v>
      </c>
      <c r="V4059" s="9" t="n">
        <f aca="false">IF(U4059="SERVICE READY",1,0)</f>
        <v>0</v>
      </c>
      <c r="W4059" s="6"/>
      <c r="X4059" s="6"/>
      <c r="Y4059" s="6"/>
      <c r="Z4059" s="6"/>
    </row>
    <row r="4060" customFormat="false" ht="15" hidden="false" customHeight="false" outlineLevel="0" collapsed="false">
      <c r="A4060" s="9" t="s">
        <v>4346</v>
      </c>
      <c r="B4060" s="9" t="s">
        <v>4323</v>
      </c>
      <c r="C4060" s="9" t="s">
        <v>4324</v>
      </c>
      <c r="D4060" s="9" t="s">
        <v>3722</v>
      </c>
      <c r="E4060" s="9" t="s">
        <v>1660</v>
      </c>
      <c r="F4060" s="9" t="s">
        <v>200</v>
      </c>
      <c r="G4060" s="9" t="s">
        <v>198</v>
      </c>
      <c r="H4060" s="9" t="n">
        <v>750</v>
      </c>
      <c r="I4060" s="29" t="n">
        <v>0.4</v>
      </c>
      <c r="J4060" s="9" t="n">
        <v>1</v>
      </c>
      <c r="K4060" s="30"/>
      <c r="L4060" s="30"/>
      <c r="M4060" s="30"/>
      <c r="N4060" s="30"/>
      <c r="O4060" s="30"/>
      <c r="P4060" s="30"/>
      <c r="Q4060" s="30"/>
      <c r="R4060" s="30"/>
      <c r="S4060" s="30"/>
      <c r="T4060" s="30"/>
      <c r="U4060" s="21" t="str">
        <f aca="false">IF(COUNT(K4060:T4060)=0,"SOURCE EMPTY / INDUSTRIAL ONLY",IF(MIN(K4060:T4060)=1,"SERVICE READY","HOLD"))</f>
        <v>SOURCE EMPTY / INDUSTRIAL ONLY</v>
      </c>
      <c r="V4060" s="9" t="n">
        <f aca="false">IF(U4060="SERVICE READY",1,0)</f>
        <v>0</v>
      </c>
      <c r="W4060" s="6"/>
      <c r="X4060" s="6"/>
      <c r="Y4060" s="6"/>
      <c r="Z4060" s="6"/>
    </row>
    <row r="4061" customFormat="false" ht="15" hidden="false" customHeight="false" outlineLevel="0" collapsed="false">
      <c r="A4061" s="9" t="s">
        <v>4347</v>
      </c>
      <c r="B4061" s="9" t="s">
        <v>4323</v>
      </c>
      <c r="C4061" s="9" t="s">
        <v>4324</v>
      </c>
      <c r="D4061" s="9" t="s">
        <v>3722</v>
      </c>
      <c r="E4061" s="9" t="s">
        <v>1660</v>
      </c>
      <c r="F4061" s="9" t="s">
        <v>203</v>
      </c>
      <c r="G4061" s="9" t="s">
        <v>201</v>
      </c>
      <c r="H4061" s="9" t="n">
        <v>750</v>
      </c>
      <c r="I4061" s="29" t="n">
        <v>0.4</v>
      </c>
      <c r="J4061" s="9" t="n">
        <v>1</v>
      </c>
      <c r="K4061" s="30"/>
      <c r="L4061" s="30"/>
      <c r="M4061" s="30"/>
      <c r="N4061" s="30"/>
      <c r="O4061" s="30"/>
      <c r="P4061" s="30"/>
      <c r="Q4061" s="30"/>
      <c r="R4061" s="30"/>
      <c r="S4061" s="30"/>
      <c r="T4061" s="30"/>
      <c r="U4061" s="21" t="str">
        <f aca="false">IF(COUNT(K4061:T4061)=0,"SOURCE EMPTY / INDUSTRIAL ONLY",IF(MIN(K4061:T4061)=1,"SERVICE READY","HOLD"))</f>
        <v>SOURCE EMPTY / INDUSTRIAL ONLY</v>
      </c>
      <c r="V4061" s="9" t="n">
        <f aca="false">IF(U4061="SERVICE READY",1,0)</f>
        <v>0</v>
      </c>
      <c r="W4061" s="6"/>
      <c r="X4061" s="6"/>
      <c r="Y4061" s="6"/>
      <c r="Z4061" s="6"/>
    </row>
    <row r="4062" customFormat="false" ht="15" hidden="false" customHeight="false" outlineLevel="0" collapsed="false">
      <c r="A4062" s="9" t="s">
        <v>4348</v>
      </c>
      <c r="B4062" s="9" t="s">
        <v>4323</v>
      </c>
      <c r="C4062" s="9" t="s">
        <v>4324</v>
      </c>
      <c r="D4062" s="9" t="s">
        <v>3722</v>
      </c>
      <c r="E4062" s="9" t="s">
        <v>1660</v>
      </c>
      <c r="F4062" s="9" t="s">
        <v>205</v>
      </c>
      <c r="G4062" s="9" t="s">
        <v>198</v>
      </c>
      <c r="H4062" s="9" t="n">
        <v>750</v>
      </c>
      <c r="I4062" s="29" t="n">
        <v>0.4</v>
      </c>
      <c r="J4062" s="9" t="n">
        <v>1</v>
      </c>
      <c r="K4062" s="30"/>
      <c r="L4062" s="30"/>
      <c r="M4062" s="30"/>
      <c r="N4062" s="30"/>
      <c r="O4062" s="30"/>
      <c r="P4062" s="30"/>
      <c r="Q4062" s="30"/>
      <c r="R4062" s="30"/>
      <c r="S4062" s="30"/>
      <c r="T4062" s="30"/>
      <c r="U4062" s="21" t="str">
        <f aca="false">IF(COUNT(K4062:T4062)=0,"SOURCE EMPTY / INDUSTRIAL ONLY",IF(MIN(K4062:T4062)=1,"SERVICE READY","HOLD"))</f>
        <v>SOURCE EMPTY / INDUSTRIAL ONLY</v>
      </c>
      <c r="V4062" s="9" t="n">
        <f aca="false">IF(U4062="SERVICE READY",1,0)</f>
        <v>0</v>
      </c>
      <c r="W4062" s="6"/>
      <c r="X4062" s="6"/>
      <c r="Y4062" s="6"/>
      <c r="Z4062" s="6"/>
    </row>
    <row r="4063" customFormat="false" ht="15" hidden="false" customHeight="false" outlineLevel="0" collapsed="false">
      <c r="A4063" s="9" t="s">
        <v>4349</v>
      </c>
      <c r="B4063" s="9" t="s">
        <v>4323</v>
      </c>
      <c r="C4063" s="9" t="s">
        <v>4324</v>
      </c>
      <c r="D4063" s="9" t="s">
        <v>3722</v>
      </c>
      <c r="E4063" s="9" t="s">
        <v>1660</v>
      </c>
      <c r="F4063" s="9" t="s">
        <v>207</v>
      </c>
      <c r="G4063" s="9" t="s">
        <v>201</v>
      </c>
      <c r="H4063" s="9" t="n">
        <v>750</v>
      </c>
      <c r="I4063" s="29" t="n">
        <v>0.4</v>
      </c>
      <c r="J4063" s="9" t="n">
        <v>1</v>
      </c>
      <c r="K4063" s="30"/>
      <c r="L4063" s="30"/>
      <c r="M4063" s="30"/>
      <c r="N4063" s="30"/>
      <c r="O4063" s="30"/>
      <c r="P4063" s="30"/>
      <c r="Q4063" s="30"/>
      <c r="R4063" s="30"/>
      <c r="S4063" s="30"/>
      <c r="T4063" s="30"/>
      <c r="U4063" s="21" t="str">
        <f aca="false">IF(COUNT(K4063:T4063)=0,"SOURCE EMPTY / INDUSTRIAL ONLY",IF(MIN(K4063:T4063)=1,"SERVICE READY","HOLD"))</f>
        <v>SOURCE EMPTY / INDUSTRIAL ONLY</v>
      </c>
      <c r="V4063" s="9" t="n">
        <f aca="false">IF(U4063="SERVICE READY",1,0)</f>
        <v>0</v>
      </c>
      <c r="W4063" s="6"/>
      <c r="X4063" s="6"/>
      <c r="Y4063" s="6"/>
      <c r="Z4063" s="6"/>
    </row>
    <row r="4064" customFormat="false" ht="15" hidden="false" customHeight="false" outlineLevel="0" collapsed="false">
      <c r="A4064" s="9" t="s">
        <v>4350</v>
      </c>
      <c r="B4064" s="9" t="s">
        <v>4323</v>
      </c>
      <c r="C4064" s="9" t="s">
        <v>4324</v>
      </c>
      <c r="D4064" s="9" t="s">
        <v>3722</v>
      </c>
      <c r="E4064" s="9" t="s">
        <v>1660</v>
      </c>
      <c r="F4064" s="9" t="s">
        <v>209</v>
      </c>
      <c r="G4064" s="9" t="s">
        <v>198</v>
      </c>
      <c r="H4064" s="9" t="n">
        <v>750</v>
      </c>
      <c r="I4064" s="29" t="n">
        <v>0.4</v>
      </c>
      <c r="J4064" s="9" t="n">
        <v>1</v>
      </c>
      <c r="K4064" s="30"/>
      <c r="L4064" s="30"/>
      <c r="M4064" s="30"/>
      <c r="N4064" s="30"/>
      <c r="O4064" s="30"/>
      <c r="P4064" s="30"/>
      <c r="Q4064" s="30"/>
      <c r="R4064" s="30"/>
      <c r="S4064" s="30"/>
      <c r="T4064" s="30"/>
      <c r="U4064" s="21" t="str">
        <f aca="false">IF(COUNT(K4064:T4064)=0,"SOURCE EMPTY / INDUSTRIAL ONLY",IF(MIN(K4064:T4064)=1,"SERVICE READY","HOLD"))</f>
        <v>SOURCE EMPTY / INDUSTRIAL ONLY</v>
      </c>
      <c r="V4064" s="9" t="n">
        <f aca="false">IF(U4064="SERVICE READY",1,0)</f>
        <v>0</v>
      </c>
      <c r="W4064" s="6"/>
      <c r="X4064" s="6"/>
      <c r="Y4064" s="6"/>
      <c r="Z4064" s="6"/>
    </row>
    <row r="4065" customFormat="false" ht="15" hidden="false" customHeight="false" outlineLevel="0" collapsed="false">
      <c r="A4065" s="9" t="s">
        <v>4351</v>
      </c>
      <c r="B4065" s="9" t="s">
        <v>4323</v>
      </c>
      <c r="C4065" s="9" t="s">
        <v>4324</v>
      </c>
      <c r="D4065" s="9" t="s">
        <v>3722</v>
      </c>
      <c r="E4065" s="9" t="s">
        <v>1660</v>
      </c>
      <c r="F4065" s="9" t="s">
        <v>211</v>
      </c>
      <c r="G4065" s="9" t="s">
        <v>201</v>
      </c>
      <c r="H4065" s="9" t="n">
        <v>750</v>
      </c>
      <c r="I4065" s="29" t="n">
        <v>0.4</v>
      </c>
      <c r="J4065" s="9" t="n">
        <v>1</v>
      </c>
      <c r="K4065" s="30"/>
      <c r="L4065" s="30"/>
      <c r="M4065" s="30"/>
      <c r="N4065" s="30"/>
      <c r="O4065" s="30"/>
      <c r="P4065" s="30"/>
      <c r="Q4065" s="30"/>
      <c r="R4065" s="30"/>
      <c r="S4065" s="30"/>
      <c r="T4065" s="30"/>
      <c r="U4065" s="21" t="str">
        <f aca="false">IF(COUNT(K4065:T4065)=0,"SOURCE EMPTY / INDUSTRIAL ONLY",IF(MIN(K4065:T4065)=1,"SERVICE READY","HOLD"))</f>
        <v>SOURCE EMPTY / INDUSTRIAL ONLY</v>
      </c>
      <c r="V4065" s="9" t="n">
        <f aca="false">IF(U4065="SERVICE READY",1,0)</f>
        <v>0</v>
      </c>
      <c r="W4065" s="6"/>
      <c r="X4065" s="6"/>
      <c r="Y4065" s="6"/>
      <c r="Z4065" s="6"/>
    </row>
    <row r="4066" customFormat="false" ht="15" hidden="false" customHeight="false" outlineLevel="0" collapsed="false">
      <c r="A4066" s="9" t="s">
        <v>4352</v>
      </c>
      <c r="B4066" s="9" t="s">
        <v>4323</v>
      </c>
      <c r="C4066" s="9" t="s">
        <v>4324</v>
      </c>
      <c r="D4066" s="9" t="s">
        <v>3722</v>
      </c>
      <c r="E4066" s="9" t="s">
        <v>1660</v>
      </c>
      <c r="F4066" s="9" t="s">
        <v>197</v>
      </c>
      <c r="G4066" s="9" t="s">
        <v>198</v>
      </c>
      <c r="H4066" s="9" t="n">
        <v>750</v>
      </c>
      <c r="I4066" s="29" t="n">
        <v>0.4</v>
      </c>
      <c r="J4066" s="9" t="n">
        <v>1</v>
      </c>
      <c r="K4066" s="30"/>
      <c r="L4066" s="30"/>
      <c r="M4066" s="30"/>
      <c r="N4066" s="30"/>
      <c r="O4066" s="30"/>
      <c r="P4066" s="30"/>
      <c r="Q4066" s="30"/>
      <c r="R4066" s="30"/>
      <c r="S4066" s="30"/>
      <c r="T4066" s="30"/>
      <c r="U4066" s="21" t="str">
        <f aca="false">IF(COUNT(K4066:T4066)=0,"SOURCE EMPTY / INDUSTRIAL ONLY",IF(MIN(K4066:T4066)=1,"SERVICE READY","HOLD"))</f>
        <v>SOURCE EMPTY / INDUSTRIAL ONLY</v>
      </c>
      <c r="V4066" s="9" t="n">
        <f aca="false">IF(U4066="SERVICE READY",1,0)</f>
        <v>0</v>
      </c>
      <c r="W4066" s="6"/>
      <c r="X4066" s="6"/>
      <c r="Y4066" s="6"/>
      <c r="Z4066" s="6"/>
    </row>
    <row r="4067" customFormat="false" ht="15" hidden="false" customHeight="false" outlineLevel="0" collapsed="false">
      <c r="A4067" s="9" t="s">
        <v>4353</v>
      </c>
      <c r="B4067" s="9" t="s">
        <v>4323</v>
      </c>
      <c r="C4067" s="9" t="s">
        <v>4324</v>
      </c>
      <c r="D4067" s="9" t="s">
        <v>3722</v>
      </c>
      <c r="E4067" s="9" t="s">
        <v>1660</v>
      </c>
      <c r="F4067" s="9" t="s">
        <v>200</v>
      </c>
      <c r="G4067" s="9" t="s">
        <v>201</v>
      </c>
      <c r="H4067" s="9" t="n">
        <v>750</v>
      </c>
      <c r="I4067" s="29" t="n">
        <v>0.4</v>
      </c>
      <c r="J4067" s="9" t="n">
        <v>1</v>
      </c>
      <c r="K4067" s="30"/>
      <c r="L4067" s="30"/>
      <c r="M4067" s="30"/>
      <c r="N4067" s="30"/>
      <c r="O4067" s="30"/>
      <c r="P4067" s="30"/>
      <c r="Q4067" s="30"/>
      <c r="R4067" s="30"/>
      <c r="S4067" s="30"/>
      <c r="T4067" s="30"/>
      <c r="U4067" s="21" t="str">
        <f aca="false">IF(COUNT(K4067:T4067)=0,"SOURCE EMPTY / INDUSTRIAL ONLY",IF(MIN(K4067:T4067)=1,"SERVICE READY","HOLD"))</f>
        <v>SOURCE EMPTY / INDUSTRIAL ONLY</v>
      </c>
      <c r="V4067" s="9" t="n">
        <f aca="false">IF(U4067="SERVICE READY",1,0)</f>
        <v>0</v>
      </c>
      <c r="W4067" s="6"/>
      <c r="X4067" s="6"/>
      <c r="Y4067" s="6"/>
      <c r="Z4067" s="6"/>
    </row>
    <row r="4068" customFormat="false" ht="15" hidden="false" customHeight="false" outlineLevel="0" collapsed="false">
      <c r="A4068" s="9" t="s">
        <v>4354</v>
      </c>
      <c r="B4068" s="9" t="s">
        <v>4323</v>
      </c>
      <c r="C4068" s="9" t="s">
        <v>4324</v>
      </c>
      <c r="D4068" s="9" t="s">
        <v>3722</v>
      </c>
      <c r="E4068" s="9" t="s">
        <v>1660</v>
      </c>
      <c r="F4068" s="9" t="s">
        <v>203</v>
      </c>
      <c r="G4068" s="9" t="s">
        <v>198</v>
      </c>
      <c r="H4068" s="9" t="n">
        <v>750</v>
      </c>
      <c r="I4068" s="29" t="n">
        <v>0.4</v>
      </c>
      <c r="J4068" s="9" t="n">
        <v>1</v>
      </c>
      <c r="K4068" s="30"/>
      <c r="L4068" s="30"/>
      <c r="M4068" s="30"/>
      <c r="N4068" s="30"/>
      <c r="O4068" s="30"/>
      <c r="P4068" s="30"/>
      <c r="Q4068" s="30"/>
      <c r="R4068" s="30"/>
      <c r="S4068" s="30"/>
      <c r="T4068" s="30"/>
      <c r="U4068" s="21" t="str">
        <f aca="false">IF(COUNT(K4068:T4068)=0,"SOURCE EMPTY / INDUSTRIAL ONLY",IF(MIN(K4068:T4068)=1,"SERVICE READY","HOLD"))</f>
        <v>SOURCE EMPTY / INDUSTRIAL ONLY</v>
      </c>
      <c r="V4068" s="9" t="n">
        <f aca="false">IF(U4068="SERVICE READY",1,0)</f>
        <v>0</v>
      </c>
      <c r="W4068" s="6"/>
      <c r="X4068" s="6"/>
      <c r="Y4068" s="6"/>
      <c r="Z4068" s="6"/>
    </row>
    <row r="4069" customFormat="false" ht="15" hidden="false" customHeight="false" outlineLevel="0" collapsed="false">
      <c r="A4069" s="9" t="s">
        <v>4355</v>
      </c>
      <c r="B4069" s="9" t="s">
        <v>4323</v>
      </c>
      <c r="C4069" s="9" t="s">
        <v>4324</v>
      </c>
      <c r="D4069" s="9" t="s">
        <v>3722</v>
      </c>
      <c r="E4069" s="9" t="s">
        <v>1660</v>
      </c>
      <c r="F4069" s="9" t="s">
        <v>205</v>
      </c>
      <c r="G4069" s="9" t="s">
        <v>201</v>
      </c>
      <c r="H4069" s="9" t="n">
        <v>750</v>
      </c>
      <c r="I4069" s="29" t="n">
        <v>0.4</v>
      </c>
      <c r="J4069" s="9" t="n">
        <v>1</v>
      </c>
      <c r="K4069" s="30"/>
      <c r="L4069" s="30"/>
      <c r="M4069" s="30"/>
      <c r="N4069" s="30"/>
      <c r="O4069" s="30"/>
      <c r="P4069" s="30"/>
      <c r="Q4069" s="30"/>
      <c r="R4069" s="30"/>
      <c r="S4069" s="30"/>
      <c r="T4069" s="30"/>
      <c r="U4069" s="21" t="str">
        <f aca="false">IF(COUNT(K4069:T4069)=0,"SOURCE EMPTY / INDUSTRIAL ONLY",IF(MIN(K4069:T4069)=1,"SERVICE READY","HOLD"))</f>
        <v>SOURCE EMPTY / INDUSTRIAL ONLY</v>
      </c>
      <c r="V4069" s="9" t="n">
        <f aca="false">IF(U4069="SERVICE READY",1,0)</f>
        <v>0</v>
      </c>
      <c r="W4069" s="6"/>
      <c r="X4069" s="6"/>
      <c r="Y4069" s="6"/>
      <c r="Z4069" s="6"/>
    </row>
    <row r="4070" customFormat="false" ht="15" hidden="false" customHeight="false" outlineLevel="0" collapsed="false">
      <c r="A4070" s="9" t="s">
        <v>4356</v>
      </c>
      <c r="B4070" s="9" t="s">
        <v>4323</v>
      </c>
      <c r="C4070" s="9" t="s">
        <v>4324</v>
      </c>
      <c r="D4070" s="9" t="s">
        <v>3722</v>
      </c>
      <c r="E4070" s="9" t="s">
        <v>1660</v>
      </c>
      <c r="F4070" s="9" t="s">
        <v>207</v>
      </c>
      <c r="G4070" s="9" t="s">
        <v>198</v>
      </c>
      <c r="H4070" s="9" t="n">
        <v>750</v>
      </c>
      <c r="I4070" s="29" t="n">
        <v>0.4</v>
      </c>
      <c r="J4070" s="9" t="n">
        <v>1</v>
      </c>
      <c r="K4070" s="30"/>
      <c r="L4070" s="30"/>
      <c r="M4070" s="30"/>
      <c r="N4070" s="30"/>
      <c r="O4070" s="30"/>
      <c r="P4070" s="30"/>
      <c r="Q4070" s="30"/>
      <c r="R4070" s="30"/>
      <c r="S4070" s="30"/>
      <c r="T4070" s="30"/>
      <c r="U4070" s="21" t="str">
        <f aca="false">IF(COUNT(K4070:T4070)=0,"SOURCE EMPTY / INDUSTRIAL ONLY",IF(MIN(K4070:T4070)=1,"SERVICE READY","HOLD"))</f>
        <v>SOURCE EMPTY / INDUSTRIAL ONLY</v>
      </c>
      <c r="V4070" s="9" t="n">
        <f aca="false">IF(U4070="SERVICE READY",1,0)</f>
        <v>0</v>
      </c>
      <c r="W4070" s="6"/>
      <c r="X4070" s="6"/>
      <c r="Y4070" s="6"/>
      <c r="Z4070" s="6"/>
    </row>
    <row r="4071" customFormat="false" ht="15" hidden="false" customHeight="false" outlineLevel="0" collapsed="false">
      <c r="A4071" s="9" t="s">
        <v>4357</v>
      </c>
      <c r="B4071" s="9" t="s">
        <v>4323</v>
      </c>
      <c r="C4071" s="9" t="s">
        <v>4324</v>
      </c>
      <c r="D4071" s="9" t="s">
        <v>3722</v>
      </c>
      <c r="E4071" s="9" t="s">
        <v>1660</v>
      </c>
      <c r="F4071" s="9" t="s">
        <v>209</v>
      </c>
      <c r="G4071" s="9" t="s">
        <v>201</v>
      </c>
      <c r="H4071" s="9" t="n">
        <v>750</v>
      </c>
      <c r="I4071" s="29" t="n">
        <v>0.4</v>
      </c>
      <c r="J4071" s="9" t="n">
        <v>1</v>
      </c>
      <c r="K4071" s="30"/>
      <c r="L4071" s="30"/>
      <c r="M4071" s="30"/>
      <c r="N4071" s="30"/>
      <c r="O4071" s="30"/>
      <c r="P4071" s="30"/>
      <c r="Q4071" s="30"/>
      <c r="R4071" s="30"/>
      <c r="S4071" s="30"/>
      <c r="T4071" s="30"/>
      <c r="U4071" s="21" t="str">
        <f aca="false">IF(COUNT(K4071:T4071)=0,"SOURCE EMPTY / INDUSTRIAL ONLY",IF(MIN(K4071:T4071)=1,"SERVICE READY","HOLD"))</f>
        <v>SOURCE EMPTY / INDUSTRIAL ONLY</v>
      </c>
      <c r="V4071" s="9" t="n">
        <f aca="false">IF(U4071="SERVICE READY",1,0)</f>
        <v>0</v>
      </c>
      <c r="W4071" s="6"/>
      <c r="X4071" s="6"/>
      <c r="Y4071" s="6"/>
      <c r="Z4071" s="6"/>
    </row>
    <row r="4072" customFormat="false" ht="15" hidden="false" customHeight="false" outlineLevel="0" collapsed="false">
      <c r="A4072" s="9" t="s">
        <v>4358</v>
      </c>
      <c r="B4072" s="9" t="s">
        <v>4323</v>
      </c>
      <c r="C4072" s="9" t="s">
        <v>4324</v>
      </c>
      <c r="D4072" s="9" t="s">
        <v>3722</v>
      </c>
      <c r="E4072" s="9" t="s">
        <v>1660</v>
      </c>
      <c r="F4072" s="9" t="s">
        <v>211</v>
      </c>
      <c r="G4072" s="9" t="s">
        <v>198</v>
      </c>
      <c r="H4072" s="9" t="n">
        <v>750</v>
      </c>
      <c r="I4072" s="29" t="n">
        <v>0.4</v>
      </c>
      <c r="J4072" s="9" t="n">
        <v>1</v>
      </c>
      <c r="K4072" s="30"/>
      <c r="L4072" s="30"/>
      <c r="M4072" s="30"/>
      <c r="N4072" s="30"/>
      <c r="O4072" s="30"/>
      <c r="P4072" s="30"/>
      <c r="Q4072" s="30"/>
      <c r="R4072" s="30"/>
      <c r="S4072" s="30"/>
      <c r="T4072" s="30"/>
      <c r="U4072" s="21" t="str">
        <f aca="false">IF(COUNT(K4072:T4072)=0,"SOURCE EMPTY / INDUSTRIAL ONLY",IF(MIN(K4072:T4072)=1,"SERVICE READY","HOLD"))</f>
        <v>SOURCE EMPTY / INDUSTRIAL ONLY</v>
      </c>
      <c r="V4072" s="9" t="n">
        <f aca="false">IF(U4072="SERVICE READY",1,0)</f>
        <v>0</v>
      </c>
      <c r="W4072" s="6"/>
      <c r="X4072" s="6"/>
      <c r="Y4072" s="6"/>
      <c r="Z4072" s="6"/>
    </row>
    <row r="4073" customFormat="false" ht="15" hidden="false" customHeight="false" outlineLevel="0" collapsed="false">
      <c r="A4073" s="9" t="s">
        <v>4359</v>
      </c>
      <c r="B4073" s="9" t="s">
        <v>4323</v>
      </c>
      <c r="C4073" s="9" t="s">
        <v>4324</v>
      </c>
      <c r="D4073" s="9" t="s">
        <v>3722</v>
      </c>
      <c r="E4073" s="9" t="s">
        <v>1660</v>
      </c>
      <c r="F4073" s="9" t="s">
        <v>197</v>
      </c>
      <c r="G4073" s="9" t="s">
        <v>201</v>
      </c>
      <c r="H4073" s="9" t="n">
        <v>750</v>
      </c>
      <c r="I4073" s="29" t="n">
        <v>0.4</v>
      </c>
      <c r="J4073" s="9" t="n">
        <v>1</v>
      </c>
      <c r="K4073" s="30"/>
      <c r="L4073" s="30"/>
      <c r="M4073" s="30"/>
      <c r="N4073" s="30"/>
      <c r="O4073" s="30"/>
      <c r="P4073" s="30"/>
      <c r="Q4073" s="30"/>
      <c r="R4073" s="30"/>
      <c r="S4073" s="30"/>
      <c r="T4073" s="30"/>
      <c r="U4073" s="21" t="str">
        <f aca="false">IF(COUNT(K4073:T4073)=0,"SOURCE EMPTY / INDUSTRIAL ONLY",IF(MIN(K4073:T4073)=1,"SERVICE READY","HOLD"))</f>
        <v>SOURCE EMPTY / INDUSTRIAL ONLY</v>
      </c>
      <c r="V4073" s="9" t="n">
        <f aca="false">IF(U4073="SERVICE READY",1,0)</f>
        <v>0</v>
      </c>
      <c r="W4073" s="6"/>
      <c r="X4073" s="6"/>
      <c r="Y4073" s="6"/>
      <c r="Z4073" s="6"/>
    </row>
    <row r="4074" customFormat="false" ht="15" hidden="false" customHeight="false" outlineLevel="0" collapsed="false">
      <c r="A4074" s="9" t="s">
        <v>4360</v>
      </c>
      <c r="B4074" s="9" t="s">
        <v>4323</v>
      </c>
      <c r="C4074" s="9" t="s">
        <v>4324</v>
      </c>
      <c r="D4074" s="9" t="s">
        <v>3722</v>
      </c>
      <c r="E4074" s="9" t="s">
        <v>1660</v>
      </c>
      <c r="F4074" s="9" t="s">
        <v>200</v>
      </c>
      <c r="G4074" s="9" t="s">
        <v>198</v>
      </c>
      <c r="H4074" s="9" t="n">
        <v>750</v>
      </c>
      <c r="I4074" s="29" t="n">
        <v>0.4</v>
      </c>
      <c r="J4074" s="9" t="n">
        <v>1</v>
      </c>
      <c r="K4074" s="30"/>
      <c r="L4074" s="30"/>
      <c r="M4074" s="30"/>
      <c r="N4074" s="30"/>
      <c r="O4074" s="30"/>
      <c r="P4074" s="30"/>
      <c r="Q4074" s="30"/>
      <c r="R4074" s="30"/>
      <c r="S4074" s="30"/>
      <c r="T4074" s="30"/>
      <c r="U4074" s="21" t="str">
        <f aca="false">IF(COUNT(K4074:T4074)=0,"SOURCE EMPTY / INDUSTRIAL ONLY",IF(MIN(K4074:T4074)=1,"SERVICE READY","HOLD"))</f>
        <v>SOURCE EMPTY / INDUSTRIAL ONLY</v>
      </c>
      <c r="V4074" s="9" t="n">
        <f aca="false">IF(U4074="SERVICE READY",1,0)</f>
        <v>0</v>
      </c>
      <c r="W4074" s="6"/>
      <c r="X4074" s="6"/>
      <c r="Y4074" s="6"/>
      <c r="Z4074" s="6"/>
    </row>
    <row r="4075" customFormat="false" ht="15" hidden="false" customHeight="false" outlineLevel="0" collapsed="false">
      <c r="A4075" s="9" t="s">
        <v>4361</v>
      </c>
      <c r="B4075" s="9" t="s">
        <v>4323</v>
      </c>
      <c r="C4075" s="9" t="s">
        <v>4324</v>
      </c>
      <c r="D4075" s="9" t="s">
        <v>3722</v>
      </c>
      <c r="E4075" s="9" t="s">
        <v>1660</v>
      </c>
      <c r="F4075" s="9" t="s">
        <v>203</v>
      </c>
      <c r="G4075" s="9" t="s">
        <v>201</v>
      </c>
      <c r="H4075" s="9" t="n">
        <v>750</v>
      </c>
      <c r="I4075" s="29" t="n">
        <v>0.4</v>
      </c>
      <c r="J4075" s="9" t="n">
        <v>1</v>
      </c>
      <c r="K4075" s="30"/>
      <c r="L4075" s="30"/>
      <c r="M4075" s="30"/>
      <c r="N4075" s="30"/>
      <c r="O4075" s="30"/>
      <c r="P4075" s="30"/>
      <c r="Q4075" s="30"/>
      <c r="R4075" s="30"/>
      <c r="S4075" s="30"/>
      <c r="T4075" s="30"/>
      <c r="U4075" s="21" t="str">
        <f aca="false">IF(COUNT(K4075:T4075)=0,"SOURCE EMPTY / INDUSTRIAL ONLY",IF(MIN(K4075:T4075)=1,"SERVICE READY","HOLD"))</f>
        <v>SOURCE EMPTY / INDUSTRIAL ONLY</v>
      </c>
      <c r="V4075" s="9" t="n">
        <f aca="false">IF(U4075="SERVICE READY",1,0)</f>
        <v>0</v>
      </c>
      <c r="W4075" s="6"/>
      <c r="X4075" s="6"/>
      <c r="Y4075" s="6"/>
      <c r="Z4075" s="6"/>
    </row>
    <row r="4076" customFormat="false" ht="15" hidden="false" customHeight="false" outlineLevel="0" collapsed="false">
      <c r="A4076" s="9" t="s">
        <v>4362</v>
      </c>
      <c r="B4076" s="9" t="s">
        <v>4323</v>
      </c>
      <c r="C4076" s="9" t="s">
        <v>4324</v>
      </c>
      <c r="D4076" s="9" t="s">
        <v>3722</v>
      </c>
      <c r="E4076" s="9" t="s">
        <v>1660</v>
      </c>
      <c r="F4076" s="9" t="s">
        <v>205</v>
      </c>
      <c r="G4076" s="9" t="s">
        <v>198</v>
      </c>
      <c r="H4076" s="9" t="n">
        <v>750</v>
      </c>
      <c r="I4076" s="29" t="n">
        <v>0.4</v>
      </c>
      <c r="J4076" s="9" t="n">
        <v>1</v>
      </c>
      <c r="K4076" s="30"/>
      <c r="L4076" s="30"/>
      <c r="M4076" s="30"/>
      <c r="N4076" s="30"/>
      <c r="O4076" s="30"/>
      <c r="P4076" s="30"/>
      <c r="Q4076" s="30"/>
      <c r="R4076" s="30"/>
      <c r="S4076" s="30"/>
      <c r="T4076" s="30"/>
      <c r="U4076" s="21" t="str">
        <f aca="false">IF(COUNT(K4076:T4076)=0,"SOURCE EMPTY / INDUSTRIAL ONLY",IF(MIN(K4076:T4076)=1,"SERVICE READY","HOLD"))</f>
        <v>SOURCE EMPTY / INDUSTRIAL ONLY</v>
      </c>
      <c r="V4076" s="9" t="n">
        <f aca="false">IF(U4076="SERVICE READY",1,0)</f>
        <v>0</v>
      </c>
      <c r="W4076" s="6"/>
      <c r="X4076" s="6"/>
      <c r="Y4076" s="6"/>
      <c r="Z4076" s="6"/>
    </row>
    <row r="4077" customFormat="false" ht="15" hidden="false" customHeight="false" outlineLevel="0" collapsed="false">
      <c r="A4077" s="9" t="s">
        <v>4363</v>
      </c>
      <c r="B4077" s="9" t="s">
        <v>4323</v>
      </c>
      <c r="C4077" s="9" t="s">
        <v>4324</v>
      </c>
      <c r="D4077" s="9" t="s">
        <v>3722</v>
      </c>
      <c r="E4077" s="9" t="s">
        <v>1660</v>
      </c>
      <c r="F4077" s="9" t="s">
        <v>207</v>
      </c>
      <c r="G4077" s="9" t="s">
        <v>201</v>
      </c>
      <c r="H4077" s="9" t="n">
        <v>750</v>
      </c>
      <c r="I4077" s="29" t="n">
        <v>0.4</v>
      </c>
      <c r="J4077" s="9" t="n">
        <v>1</v>
      </c>
      <c r="K4077" s="30"/>
      <c r="L4077" s="30"/>
      <c r="M4077" s="30"/>
      <c r="N4077" s="30"/>
      <c r="O4077" s="30"/>
      <c r="P4077" s="30"/>
      <c r="Q4077" s="30"/>
      <c r="R4077" s="30"/>
      <c r="S4077" s="30"/>
      <c r="T4077" s="30"/>
      <c r="U4077" s="21" t="str">
        <f aca="false">IF(COUNT(K4077:T4077)=0,"SOURCE EMPTY / INDUSTRIAL ONLY",IF(MIN(K4077:T4077)=1,"SERVICE READY","HOLD"))</f>
        <v>SOURCE EMPTY / INDUSTRIAL ONLY</v>
      </c>
      <c r="V4077" s="9" t="n">
        <f aca="false">IF(U4077="SERVICE READY",1,0)</f>
        <v>0</v>
      </c>
      <c r="W4077" s="6"/>
      <c r="X4077" s="6"/>
      <c r="Y4077" s="6"/>
      <c r="Z4077" s="6"/>
    </row>
    <row r="4078" customFormat="false" ht="15" hidden="false" customHeight="false" outlineLevel="0" collapsed="false">
      <c r="A4078" s="9" t="s">
        <v>4364</v>
      </c>
      <c r="B4078" s="9" t="s">
        <v>4323</v>
      </c>
      <c r="C4078" s="9" t="s">
        <v>4324</v>
      </c>
      <c r="D4078" s="9" t="s">
        <v>3722</v>
      </c>
      <c r="E4078" s="9" t="s">
        <v>1660</v>
      </c>
      <c r="F4078" s="9" t="s">
        <v>209</v>
      </c>
      <c r="G4078" s="9" t="s">
        <v>198</v>
      </c>
      <c r="H4078" s="9" t="n">
        <v>750</v>
      </c>
      <c r="I4078" s="29" t="n">
        <v>0.4</v>
      </c>
      <c r="J4078" s="9" t="n">
        <v>1</v>
      </c>
      <c r="K4078" s="30"/>
      <c r="L4078" s="30"/>
      <c r="M4078" s="30"/>
      <c r="N4078" s="30"/>
      <c r="O4078" s="30"/>
      <c r="P4078" s="30"/>
      <c r="Q4078" s="30"/>
      <c r="R4078" s="30"/>
      <c r="S4078" s="30"/>
      <c r="T4078" s="30"/>
      <c r="U4078" s="21" t="str">
        <f aca="false">IF(COUNT(K4078:T4078)=0,"SOURCE EMPTY / INDUSTRIAL ONLY",IF(MIN(K4078:T4078)=1,"SERVICE READY","HOLD"))</f>
        <v>SOURCE EMPTY / INDUSTRIAL ONLY</v>
      </c>
      <c r="V4078" s="9" t="n">
        <f aca="false">IF(U4078="SERVICE READY",1,0)</f>
        <v>0</v>
      </c>
      <c r="W4078" s="6"/>
      <c r="X4078" s="6"/>
      <c r="Y4078" s="6"/>
      <c r="Z4078" s="6"/>
    </row>
    <row r="4079" customFormat="false" ht="15" hidden="false" customHeight="false" outlineLevel="0" collapsed="false">
      <c r="A4079" s="9" t="s">
        <v>4365</v>
      </c>
      <c r="B4079" s="9" t="s">
        <v>4323</v>
      </c>
      <c r="C4079" s="9" t="s">
        <v>4324</v>
      </c>
      <c r="D4079" s="9" t="s">
        <v>3722</v>
      </c>
      <c r="E4079" s="9" t="s">
        <v>1660</v>
      </c>
      <c r="F4079" s="9" t="s">
        <v>211</v>
      </c>
      <c r="G4079" s="9" t="s">
        <v>201</v>
      </c>
      <c r="H4079" s="9" t="n">
        <v>750</v>
      </c>
      <c r="I4079" s="29" t="n">
        <v>0.4</v>
      </c>
      <c r="J4079" s="9" t="n">
        <v>1</v>
      </c>
      <c r="K4079" s="30"/>
      <c r="L4079" s="30"/>
      <c r="M4079" s="30"/>
      <c r="N4079" s="30"/>
      <c r="O4079" s="30"/>
      <c r="P4079" s="30"/>
      <c r="Q4079" s="30"/>
      <c r="R4079" s="30"/>
      <c r="S4079" s="30"/>
      <c r="T4079" s="30"/>
      <c r="U4079" s="21" t="str">
        <f aca="false">IF(COUNT(K4079:T4079)=0,"SOURCE EMPTY / INDUSTRIAL ONLY",IF(MIN(K4079:T4079)=1,"SERVICE READY","HOLD"))</f>
        <v>SOURCE EMPTY / INDUSTRIAL ONLY</v>
      </c>
      <c r="V4079" s="9" t="n">
        <f aca="false">IF(U4079="SERVICE READY",1,0)</f>
        <v>0</v>
      </c>
      <c r="W4079" s="6"/>
      <c r="X4079" s="6"/>
      <c r="Y4079" s="6"/>
      <c r="Z4079" s="6"/>
    </row>
    <row r="4080" customFormat="false" ht="15" hidden="false" customHeight="false" outlineLevel="0" collapsed="false">
      <c r="A4080" s="9" t="s">
        <v>4366</v>
      </c>
      <c r="B4080" s="9" t="s">
        <v>4323</v>
      </c>
      <c r="C4080" s="9" t="s">
        <v>4324</v>
      </c>
      <c r="D4080" s="9" t="s">
        <v>3722</v>
      </c>
      <c r="E4080" s="9" t="s">
        <v>1660</v>
      </c>
      <c r="F4080" s="9" t="s">
        <v>197</v>
      </c>
      <c r="G4080" s="9" t="s">
        <v>198</v>
      </c>
      <c r="H4080" s="9" t="n">
        <v>750</v>
      </c>
      <c r="I4080" s="29" t="n">
        <v>0.4</v>
      </c>
      <c r="J4080" s="9" t="n">
        <v>1</v>
      </c>
      <c r="K4080" s="30"/>
      <c r="L4080" s="30"/>
      <c r="M4080" s="30"/>
      <c r="N4080" s="30"/>
      <c r="O4080" s="30"/>
      <c r="P4080" s="30"/>
      <c r="Q4080" s="30"/>
      <c r="R4080" s="30"/>
      <c r="S4080" s="30"/>
      <c r="T4080" s="30"/>
      <c r="U4080" s="21" t="str">
        <f aca="false">IF(COUNT(K4080:T4080)=0,"SOURCE EMPTY / INDUSTRIAL ONLY",IF(MIN(K4080:T4080)=1,"SERVICE READY","HOLD"))</f>
        <v>SOURCE EMPTY / INDUSTRIAL ONLY</v>
      </c>
      <c r="V4080" s="9" t="n">
        <f aca="false">IF(U4080="SERVICE READY",1,0)</f>
        <v>0</v>
      </c>
      <c r="W4080" s="6"/>
      <c r="X4080" s="6"/>
      <c r="Y4080" s="6"/>
      <c r="Z4080" s="6"/>
    </row>
    <row r="4081" customFormat="false" ht="15" hidden="false" customHeight="false" outlineLevel="0" collapsed="false">
      <c r="A4081" s="9" t="s">
        <v>4367</v>
      </c>
      <c r="B4081" s="9" t="s">
        <v>4323</v>
      </c>
      <c r="C4081" s="9" t="s">
        <v>4324</v>
      </c>
      <c r="D4081" s="9" t="s">
        <v>3722</v>
      </c>
      <c r="E4081" s="9" t="s">
        <v>1660</v>
      </c>
      <c r="F4081" s="9" t="s">
        <v>200</v>
      </c>
      <c r="G4081" s="9" t="s">
        <v>201</v>
      </c>
      <c r="H4081" s="9" t="n">
        <v>750</v>
      </c>
      <c r="I4081" s="29" t="n">
        <v>0.4</v>
      </c>
      <c r="J4081" s="9" t="n">
        <v>1</v>
      </c>
      <c r="K4081" s="30"/>
      <c r="L4081" s="30"/>
      <c r="M4081" s="30"/>
      <c r="N4081" s="30"/>
      <c r="O4081" s="30"/>
      <c r="P4081" s="30"/>
      <c r="Q4081" s="30"/>
      <c r="R4081" s="30"/>
      <c r="S4081" s="30"/>
      <c r="T4081" s="30"/>
      <c r="U4081" s="21" t="str">
        <f aca="false">IF(COUNT(K4081:T4081)=0,"SOURCE EMPTY / INDUSTRIAL ONLY",IF(MIN(K4081:T4081)=1,"SERVICE READY","HOLD"))</f>
        <v>SOURCE EMPTY / INDUSTRIAL ONLY</v>
      </c>
      <c r="V4081" s="9" t="n">
        <f aca="false">IF(U4081="SERVICE READY",1,0)</f>
        <v>0</v>
      </c>
      <c r="W4081" s="6"/>
      <c r="X4081" s="6"/>
      <c r="Y4081" s="6"/>
      <c r="Z4081" s="6"/>
    </row>
    <row r="4082" customFormat="false" ht="15" hidden="false" customHeight="false" outlineLevel="0" collapsed="false">
      <c r="A4082" s="9" t="s">
        <v>4368</v>
      </c>
      <c r="B4082" s="9" t="s">
        <v>4323</v>
      </c>
      <c r="C4082" s="9" t="s">
        <v>4324</v>
      </c>
      <c r="D4082" s="9" t="s">
        <v>3722</v>
      </c>
      <c r="E4082" s="9" t="s">
        <v>1660</v>
      </c>
      <c r="F4082" s="9" t="s">
        <v>203</v>
      </c>
      <c r="G4082" s="9" t="s">
        <v>198</v>
      </c>
      <c r="H4082" s="9" t="n">
        <v>750</v>
      </c>
      <c r="I4082" s="29" t="n">
        <v>0.4</v>
      </c>
      <c r="J4082" s="9" t="n">
        <v>1</v>
      </c>
      <c r="K4082" s="30"/>
      <c r="L4082" s="30"/>
      <c r="M4082" s="30"/>
      <c r="N4082" s="30"/>
      <c r="O4082" s="30"/>
      <c r="P4082" s="30"/>
      <c r="Q4082" s="30"/>
      <c r="R4082" s="30"/>
      <c r="S4082" s="30"/>
      <c r="T4082" s="30"/>
      <c r="U4082" s="21" t="str">
        <f aca="false">IF(COUNT(K4082:T4082)=0,"SOURCE EMPTY / INDUSTRIAL ONLY",IF(MIN(K4082:T4082)=1,"SERVICE READY","HOLD"))</f>
        <v>SOURCE EMPTY / INDUSTRIAL ONLY</v>
      </c>
      <c r="V4082" s="9" t="n">
        <f aca="false">IF(U4082="SERVICE READY",1,0)</f>
        <v>0</v>
      </c>
      <c r="W4082" s="6"/>
      <c r="X4082" s="6"/>
      <c r="Y4082" s="6"/>
      <c r="Z4082" s="6"/>
    </row>
    <row r="4083" customFormat="false" ht="15" hidden="false" customHeight="false" outlineLevel="0" collapsed="false">
      <c r="A4083" s="9" t="s">
        <v>4369</v>
      </c>
      <c r="B4083" s="9" t="s">
        <v>4323</v>
      </c>
      <c r="C4083" s="9" t="s">
        <v>4324</v>
      </c>
      <c r="D4083" s="9" t="s">
        <v>3722</v>
      </c>
      <c r="E4083" s="9" t="s">
        <v>1660</v>
      </c>
      <c r="F4083" s="9" t="s">
        <v>205</v>
      </c>
      <c r="G4083" s="9" t="s">
        <v>221</v>
      </c>
      <c r="H4083" s="9" t="n">
        <v>750</v>
      </c>
      <c r="I4083" s="29" t="n">
        <v>0.4</v>
      </c>
      <c r="J4083" s="9" t="n">
        <v>1</v>
      </c>
      <c r="K4083" s="30"/>
      <c r="L4083" s="30"/>
      <c r="M4083" s="30"/>
      <c r="N4083" s="30"/>
      <c r="O4083" s="30"/>
      <c r="P4083" s="30"/>
      <c r="Q4083" s="30"/>
      <c r="R4083" s="30"/>
      <c r="S4083" s="30"/>
      <c r="T4083" s="30"/>
      <c r="U4083" s="21" t="str">
        <f aca="false">IF(COUNT(K4083:T4083)=0,"SOURCE EMPTY / INDUSTRIAL ONLY",IF(MIN(K4083:T4083)=1,"SERVICE READY","HOLD"))</f>
        <v>SOURCE EMPTY / INDUSTRIAL ONLY</v>
      </c>
      <c r="V4083" s="9" t="n">
        <f aca="false">IF(U4083="SERVICE READY",1,0)</f>
        <v>0</v>
      </c>
      <c r="W4083" s="6"/>
      <c r="X4083" s="6"/>
      <c r="Y4083" s="6"/>
      <c r="Z4083" s="6"/>
    </row>
    <row r="4084" customFormat="false" ht="15" hidden="false" customHeight="false" outlineLevel="0" collapsed="false">
      <c r="A4084" s="9" t="s">
        <v>4370</v>
      </c>
      <c r="B4084" s="9" t="s">
        <v>4323</v>
      </c>
      <c r="C4084" s="9" t="s">
        <v>4324</v>
      </c>
      <c r="D4084" s="9" t="s">
        <v>3722</v>
      </c>
      <c r="E4084" s="9" t="s">
        <v>1660</v>
      </c>
      <c r="F4084" s="9" t="s">
        <v>207</v>
      </c>
      <c r="G4084" s="9" t="s">
        <v>221</v>
      </c>
      <c r="H4084" s="9" t="n">
        <v>750</v>
      </c>
      <c r="I4084" s="29" t="n">
        <v>0.4</v>
      </c>
      <c r="J4084" s="9" t="n">
        <v>1</v>
      </c>
      <c r="K4084" s="30"/>
      <c r="L4084" s="30"/>
      <c r="M4084" s="30"/>
      <c r="N4084" s="30"/>
      <c r="O4084" s="30"/>
      <c r="P4084" s="30"/>
      <c r="Q4084" s="30"/>
      <c r="R4084" s="30"/>
      <c r="S4084" s="30"/>
      <c r="T4084" s="30"/>
      <c r="U4084" s="21" t="str">
        <f aca="false">IF(COUNT(K4084:T4084)=0,"SOURCE EMPTY / INDUSTRIAL ONLY",IF(MIN(K4084:T4084)=1,"SERVICE READY","HOLD"))</f>
        <v>SOURCE EMPTY / INDUSTRIAL ONLY</v>
      </c>
      <c r="V4084" s="9" t="n">
        <f aca="false">IF(U4084="SERVICE READY",1,0)</f>
        <v>0</v>
      </c>
      <c r="W4084" s="6"/>
      <c r="X4084" s="6"/>
      <c r="Y4084" s="6"/>
      <c r="Z4084" s="6"/>
    </row>
    <row r="4085" customFormat="false" ht="15" hidden="false" customHeight="false" outlineLevel="0" collapsed="false">
      <c r="A4085" s="9" t="s">
        <v>4371</v>
      </c>
      <c r="B4085" s="9" t="s">
        <v>4323</v>
      </c>
      <c r="C4085" s="9" t="s">
        <v>4324</v>
      </c>
      <c r="D4085" s="9" t="s">
        <v>3722</v>
      </c>
      <c r="E4085" s="9" t="s">
        <v>1660</v>
      </c>
      <c r="F4085" s="9" t="s">
        <v>209</v>
      </c>
      <c r="G4085" s="9" t="s">
        <v>221</v>
      </c>
      <c r="H4085" s="9" t="n">
        <v>750</v>
      </c>
      <c r="I4085" s="29" t="n">
        <v>0.4</v>
      </c>
      <c r="J4085" s="9" t="n">
        <v>1</v>
      </c>
      <c r="K4085" s="30"/>
      <c r="L4085" s="30"/>
      <c r="M4085" s="30"/>
      <c r="N4085" s="30"/>
      <c r="O4085" s="30"/>
      <c r="P4085" s="30"/>
      <c r="Q4085" s="30"/>
      <c r="R4085" s="30"/>
      <c r="S4085" s="30"/>
      <c r="T4085" s="30"/>
      <c r="U4085" s="21" t="str">
        <f aca="false">IF(COUNT(K4085:T4085)=0,"SOURCE EMPTY / INDUSTRIAL ONLY",IF(MIN(K4085:T4085)=1,"SERVICE READY","HOLD"))</f>
        <v>SOURCE EMPTY / INDUSTRIAL ONLY</v>
      </c>
      <c r="V4085" s="9" t="n">
        <f aca="false">IF(U4085="SERVICE READY",1,0)</f>
        <v>0</v>
      </c>
      <c r="W4085" s="6"/>
      <c r="X4085" s="6"/>
      <c r="Y4085" s="6"/>
      <c r="Z4085" s="6"/>
    </row>
    <row r="4086" customFormat="false" ht="15" hidden="false" customHeight="false" outlineLevel="0" collapsed="false">
      <c r="A4086" s="9" t="s">
        <v>4372</v>
      </c>
      <c r="B4086" s="9" t="s">
        <v>4323</v>
      </c>
      <c r="C4086" s="9" t="s">
        <v>4324</v>
      </c>
      <c r="D4086" s="9" t="s">
        <v>3722</v>
      </c>
      <c r="E4086" s="9" t="s">
        <v>1660</v>
      </c>
      <c r="F4086" s="9" t="s">
        <v>211</v>
      </c>
      <c r="G4086" s="9" t="s">
        <v>221</v>
      </c>
      <c r="H4086" s="9" t="n">
        <v>750</v>
      </c>
      <c r="I4086" s="29" t="n">
        <v>0.4</v>
      </c>
      <c r="J4086" s="9" t="n">
        <v>1</v>
      </c>
      <c r="K4086" s="30"/>
      <c r="L4086" s="30"/>
      <c r="M4086" s="30"/>
      <c r="N4086" s="30"/>
      <c r="O4086" s="30"/>
      <c r="P4086" s="30"/>
      <c r="Q4086" s="30"/>
      <c r="R4086" s="30"/>
      <c r="S4086" s="30"/>
      <c r="T4086" s="30"/>
      <c r="U4086" s="21" t="str">
        <f aca="false">IF(COUNT(K4086:T4086)=0,"SOURCE EMPTY / INDUSTRIAL ONLY",IF(MIN(K4086:T4086)=1,"SERVICE READY","HOLD"))</f>
        <v>SOURCE EMPTY / INDUSTRIAL ONLY</v>
      </c>
      <c r="V4086" s="9" t="n">
        <f aca="false">IF(U4086="SERVICE READY",1,0)</f>
        <v>0</v>
      </c>
      <c r="W4086" s="6"/>
      <c r="X4086" s="6"/>
      <c r="Y4086" s="6"/>
      <c r="Z4086" s="6"/>
    </row>
    <row r="4087" customFormat="false" ht="15" hidden="false" customHeight="false" outlineLevel="0" collapsed="false">
      <c r="A4087" s="9" t="s">
        <v>4373</v>
      </c>
      <c r="B4087" s="9" t="s">
        <v>4323</v>
      </c>
      <c r="C4087" s="9" t="s">
        <v>4324</v>
      </c>
      <c r="D4087" s="9" t="s">
        <v>3722</v>
      </c>
      <c r="E4087" s="9" t="s">
        <v>1660</v>
      </c>
      <c r="F4087" s="9" t="s">
        <v>197</v>
      </c>
      <c r="G4087" s="9" t="s">
        <v>221</v>
      </c>
      <c r="H4087" s="9" t="n">
        <v>750</v>
      </c>
      <c r="I4087" s="29" t="n">
        <v>0.4</v>
      </c>
      <c r="J4087" s="9" t="n">
        <v>1</v>
      </c>
      <c r="K4087" s="30"/>
      <c r="L4087" s="30"/>
      <c r="M4087" s="30"/>
      <c r="N4087" s="30"/>
      <c r="O4087" s="30"/>
      <c r="P4087" s="30"/>
      <c r="Q4087" s="30"/>
      <c r="R4087" s="30"/>
      <c r="S4087" s="30"/>
      <c r="T4087" s="30"/>
      <c r="U4087" s="21" t="str">
        <f aca="false">IF(COUNT(K4087:T4087)=0,"SOURCE EMPTY / INDUSTRIAL ONLY",IF(MIN(K4087:T4087)=1,"SERVICE READY","HOLD"))</f>
        <v>SOURCE EMPTY / INDUSTRIAL ONLY</v>
      </c>
      <c r="V4087" s="9" t="n">
        <f aca="false">IF(U4087="SERVICE READY",1,0)</f>
        <v>0</v>
      </c>
      <c r="W4087" s="6"/>
      <c r="X4087" s="6"/>
      <c r="Y4087" s="6"/>
      <c r="Z4087" s="6"/>
    </row>
    <row r="4088" customFormat="false" ht="15" hidden="false" customHeight="false" outlineLevel="0" collapsed="false">
      <c r="A4088" s="9" t="s">
        <v>4374</v>
      </c>
      <c r="B4088" s="9" t="s">
        <v>4323</v>
      </c>
      <c r="C4088" s="9" t="s">
        <v>4324</v>
      </c>
      <c r="D4088" s="9" t="s">
        <v>3722</v>
      </c>
      <c r="E4088" s="9" t="s">
        <v>1660</v>
      </c>
      <c r="F4088" s="9" t="s">
        <v>200</v>
      </c>
      <c r="G4088" s="9" t="s">
        <v>221</v>
      </c>
      <c r="H4088" s="9" t="n">
        <v>750</v>
      </c>
      <c r="I4088" s="29" t="n">
        <v>0.4</v>
      </c>
      <c r="J4088" s="9" t="n">
        <v>1</v>
      </c>
      <c r="K4088" s="30"/>
      <c r="L4088" s="30"/>
      <c r="M4088" s="30"/>
      <c r="N4088" s="30"/>
      <c r="O4088" s="30"/>
      <c r="P4088" s="30"/>
      <c r="Q4088" s="30"/>
      <c r="R4088" s="30"/>
      <c r="S4088" s="30"/>
      <c r="T4088" s="30"/>
      <c r="U4088" s="21" t="str">
        <f aca="false">IF(COUNT(K4088:T4088)=0,"SOURCE EMPTY / INDUSTRIAL ONLY",IF(MIN(K4088:T4088)=1,"SERVICE READY","HOLD"))</f>
        <v>SOURCE EMPTY / INDUSTRIAL ONLY</v>
      </c>
      <c r="V4088" s="9" t="n">
        <f aca="false">IF(U4088="SERVICE READY",1,0)</f>
        <v>0</v>
      </c>
      <c r="W4088" s="6"/>
      <c r="X4088" s="6"/>
      <c r="Y4088" s="6"/>
      <c r="Z4088" s="6"/>
    </row>
    <row r="4089" customFormat="false" ht="15" hidden="false" customHeight="false" outlineLevel="0" collapsed="false">
      <c r="A4089" s="9" t="s">
        <v>4375</v>
      </c>
      <c r="B4089" s="9" t="s">
        <v>4323</v>
      </c>
      <c r="C4089" s="9" t="s">
        <v>4324</v>
      </c>
      <c r="D4089" s="9" t="s">
        <v>3722</v>
      </c>
      <c r="E4089" s="9" t="s">
        <v>1660</v>
      </c>
      <c r="F4089" s="9" t="s">
        <v>203</v>
      </c>
      <c r="G4089" s="9" t="s">
        <v>221</v>
      </c>
      <c r="H4089" s="9" t="n">
        <v>750</v>
      </c>
      <c r="I4089" s="29" t="n">
        <v>0.4</v>
      </c>
      <c r="J4089" s="9" t="n">
        <v>1</v>
      </c>
      <c r="K4089" s="30"/>
      <c r="L4089" s="30"/>
      <c r="M4089" s="30"/>
      <c r="N4089" s="30"/>
      <c r="O4089" s="30"/>
      <c r="P4089" s="30"/>
      <c r="Q4089" s="30"/>
      <c r="R4089" s="30"/>
      <c r="S4089" s="30"/>
      <c r="T4089" s="30"/>
      <c r="U4089" s="21" t="str">
        <f aca="false">IF(COUNT(K4089:T4089)=0,"SOURCE EMPTY / INDUSTRIAL ONLY",IF(MIN(K4089:T4089)=1,"SERVICE READY","HOLD"))</f>
        <v>SOURCE EMPTY / INDUSTRIAL ONLY</v>
      </c>
      <c r="V4089" s="9" t="n">
        <f aca="false">IF(U4089="SERVICE READY",1,0)</f>
        <v>0</v>
      </c>
      <c r="W4089" s="6"/>
      <c r="X4089" s="6"/>
      <c r="Y4089" s="6"/>
      <c r="Z4089" s="6"/>
    </row>
    <row r="4090" customFormat="false" ht="15" hidden="false" customHeight="false" outlineLevel="0" collapsed="false">
      <c r="A4090" s="9" t="s">
        <v>4376</v>
      </c>
      <c r="B4090" s="9" t="s">
        <v>4323</v>
      </c>
      <c r="C4090" s="9" t="s">
        <v>4324</v>
      </c>
      <c r="D4090" s="9" t="s">
        <v>3722</v>
      </c>
      <c r="E4090" s="9" t="s">
        <v>1660</v>
      </c>
      <c r="F4090" s="9" t="s">
        <v>205</v>
      </c>
      <c r="G4090" s="9" t="s">
        <v>221</v>
      </c>
      <c r="H4090" s="9" t="n">
        <v>750</v>
      </c>
      <c r="I4090" s="29" t="n">
        <v>0.4</v>
      </c>
      <c r="J4090" s="9" t="n">
        <v>1</v>
      </c>
      <c r="K4090" s="30"/>
      <c r="L4090" s="30"/>
      <c r="M4090" s="30"/>
      <c r="N4090" s="30"/>
      <c r="O4090" s="30"/>
      <c r="P4090" s="30"/>
      <c r="Q4090" s="30"/>
      <c r="R4090" s="30"/>
      <c r="S4090" s="30"/>
      <c r="T4090" s="30"/>
      <c r="U4090" s="21" t="str">
        <f aca="false">IF(COUNT(K4090:T4090)=0,"SOURCE EMPTY / INDUSTRIAL ONLY",IF(MIN(K4090:T4090)=1,"SERVICE READY","HOLD"))</f>
        <v>SOURCE EMPTY / INDUSTRIAL ONLY</v>
      </c>
      <c r="V4090" s="9" t="n">
        <f aca="false">IF(U4090="SERVICE READY",1,0)</f>
        <v>0</v>
      </c>
      <c r="W4090" s="6"/>
      <c r="X4090" s="6"/>
      <c r="Y4090" s="6"/>
      <c r="Z4090" s="6"/>
    </row>
    <row r="4091" customFormat="false" ht="15" hidden="false" customHeight="false" outlineLevel="0" collapsed="false">
      <c r="A4091" s="9" t="s">
        <v>4377</v>
      </c>
      <c r="B4091" s="9" t="s">
        <v>4323</v>
      </c>
      <c r="C4091" s="9" t="s">
        <v>4324</v>
      </c>
      <c r="D4091" s="9" t="s">
        <v>3722</v>
      </c>
      <c r="E4091" s="9" t="s">
        <v>1660</v>
      </c>
      <c r="F4091" s="9" t="s">
        <v>207</v>
      </c>
      <c r="G4091" s="9" t="s">
        <v>221</v>
      </c>
      <c r="H4091" s="9" t="n">
        <v>750</v>
      </c>
      <c r="I4091" s="29" t="n">
        <v>0.4</v>
      </c>
      <c r="J4091" s="9" t="n">
        <v>1</v>
      </c>
      <c r="K4091" s="30"/>
      <c r="L4091" s="30"/>
      <c r="M4091" s="30"/>
      <c r="N4091" s="30"/>
      <c r="O4091" s="30"/>
      <c r="P4091" s="30"/>
      <c r="Q4091" s="30"/>
      <c r="R4091" s="30"/>
      <c r="S4091" s="30"/>
      <c r="T4091" s="30"/>
      <c r="U4091" s="21" t="str">
        <f aca="false">IF(COUNT(K4091:T4091)=0,"SOURCE EMPTY / INDUSTRIAL ONLY",IF(MIN(K4091:T4091)=1,"SERVICE READY","HOLD"))</f>
        <v>SOURCE EMPTY / INDUSTRIAL ONLY</v>
      </c>
      <c r="V4091" s="9" t="n">
        <f aca="false">IF(U4091="SERVICE READY",1,0)</f>
        <v>0</v>
      </c>
      <c r="W4091" s="6"/>
      <c r="X4091" s="6"/>
      <c r="Y4091" s="6"/>
      <c r="Z4091" s="6"/>
    </row>
    <row r="4092" customFormat="false" ht="15" hidden="false" customHeight="false" outlineLevel="0" collapsed="false">
      <c r="A4092" s="9" t="s">
        <v>4378</v>
      </c>
      <c r="B4092" s="9" t="s">
        <v>4323</v>
      </c>
      <c r="C4092" s="9" t="s">
        <v>4324</v>
      </c>
      <c r="D4092" s="9" t="s">
        <v>3722</v>
      </c>
      <c r="E4092" s="9" t="s">
        <v>1660</v>
      </c>
      <c r="F4092" s="9" t="s">
        <v>209</v>
      </c>
      <c r="G4092" s="9" t="s">
        <v>221</v>
      </c>
      <c r="H4092" s="9" t="n">
        <v>750</v>
      </c>
      <c r="I4092" s="29" t="n">
        <v>0.4</v>
      </c>
      <c r="J4092" s="9" t="n">
        <v>1</v>
      </c>
      <c r="K4092" s="30"/>
      <c r="L4092" s="30"/>
      <c r="M4092" s="30"/>
      <c r="N4092" s="30"/>
      <c r="O4092" s="30"/>
      <c r="P4092" s="30"/>
      <c r="Q4092" s="30"/>
      <c r="R4092" s="30"/>
      <c r="S4092" s="30"/>
      <c r="T4092" s="30"/>
      <c r="U4092" s="21" t="str">
        <f aca="false">IF(COUNT(K4092:T4092)=0,"SOURCE EMPTY / INDUSTRIAL ONLY",IF(MIN(K4092:T4092)=1,"SERVICE READY","HOLD"))</f>
        <v>SOURCE EMPTY / INDUSTRIAL ONLY</v>
      </c>
      <c r="V4092" s="9" t="n">
        <f aca="false">IF(U4092="SERVICE READY",1,0)</f>
        <v>0</v>
      </c>
      <c r="W4092" s="6"/>
      <c r="X4092" s="6"/>
      <c r="Y4092" s="6"/>
      <c r="Z4092" s="6"/>
    </row>
    <row r="4093" customFormat="false" ht="15" hidden="false" customHeight="false" outlineLevel="0" collapsed="false">
      <c r="A4093" s="9" t="s">
        <v>4379</v>
      </c>
      <c r="B4093" s="9" t="s">
        <v>4323</v>
      </c>
      <c r="C4093" s="9" t="s">
        <v>4324</v>
      </c>
      <c r="D4093" s="9" t="s">
        <v>3722</v>
      </c>
      <c r="E4093" s="9" t="s">
        <v>1660</v>
      </c>
      <c r="F4093" s="9" t="s">
        <v>211</v>
      </c>
      <c r="G4093" s="9" t="s">
        <v>221</v>
      </c>
      <c r="H4093" s="9" t="n">
        <v>750</v>
      </c>
      <c r="I4093" s="29" t="n">
        <v>0.4</v>
      </c>
      <c r="J4093" s="9" t="n">
        <v>1</v>
      </c>
      <c r="K4093" s="30"/>
      <c r="L4093" s="30"/>
      <c r="M4093" s="30"/>
      <c r="N4093" s="30"/>
      <c r="O4093" s="30"/>
      <c r="P4093" s="30"/>
      <c r="Q4093" s="30"/>
      <c r="R4093" s="30"/>
      <c r="S4093" s="30"/>
      <c r="T4093" s="30"/>
      <c r="U4093" s="21" t="str">
        <f aca="false">IF(COUNT(K4093:T4093)=0,"SOURCE EMPTY / INDUSTRIAL ONLY",IF(MIN(K4093:T4093)=1,"SERVICE READY","HOLD"))</f>
        <v>SOURCE EMPTY / INDUSTRIAL ONLY</v>
      </c>
      <c r="V4093" s="9" t="n">
        <f aca="false">IF(U4093="SERVICE READY",1,0)</f>
        <v>0</v>
      </c>
      <c r="W4093" s="6"/>
      <c r="X4093" s="6"/>
      <c r="Y4093" s="6"/>
      <c r="Z4093" s="6"/>
    </row>
    <row r="4094" customFormat="false" ht="15" hidden="false" customHeight="false" outlineLevel="0" collapsed="false">
      <c r="A4094" s="9" t="s">
        <v>4380</v>
      </c>
      <c r="B4094" s="9" t="s">
        <v>4323</v>
      </c>
      <c r="C4094" s="9" t="s">
        <v>4324</v>
      </c>
      <c r="D4094" s="9" t="s">
        <v>3722</v>
      </c>
      <c r="E4094" s="9" t="s">
        <v>1660</v>
      </c>
      <c r="F4094" s="9" t="s">
        <v>197</v>
      </c>
      <c r="G4094" s="9" t="s">
        <v>221</v>
      </c>
      <c r="H4094" s="9" t="n">
        <v>750</v>
      </c>
      <c r="I4094" s="29" t="n">
        <v>0.4</v>
      </c>
      <c r="J4094" s="9" t="n">
        <v>1</v>
      </c>
      <c r="K4094" s="30"/>
      <c r="L4094" s="30"/>
      <c r="M4094" s="30"/>
      <c r="N4094" s="30"/>
      <c r="O4094" s="30"/>
      <c r="P4094" s="30"/>
      <c r="Q4094" s="30"/>
      <c r="R4094" s="30"/>
      <c r="S4094" s="30"/>
      <c r="T4094" s="30"/>
      <c r="U4094" s="21" t="str">
        <f aca="false">IF(COUNT(K4094:T4094)=0,"SOURCE EMPTY / INDUSTRIAL ONLY",IF(MIN(K4094:T4094)=1,"SERVICE READY","HOLD"))</f>
        <v>SOURCE EMPTY / INDUSTRIAL ONLY</v>
      </c>
      <c r="V4094" s="9" t="n">
        <f aca="false">IF(U4094="SERVICE READY",1,0)</f>
        <v>0</v>
      </c>
      <c r="W4094" s="6"/>
      <c r="X4094" s="6"/>
      <c r="Y4094" s="6"/>
      <c r="Z4094" s="6"/>
    </row>
    <row r="4095" customFormat="false" ht="15" hidden="false" customHeight="false" outlineLevel="0" collapsed="false">
      <c r="A4095" s="9" t="s">
        <v>4381</v>
      </c>
      <c r="B4095" s="9" t="s">
        <v>4323</v>
      </c>
      <c r="C4095" s="9" t="s">
        <v>4324</v>
      </c>
      <c r="D4095" s="9" t="s">
        <v>3722</v>
      </c>
      <c r="E4095" s="9" t="s">
        <v>1660</v>
      </c>
      <c r="F4095" s="9" t="s">
        <v>200</v>
      </c>
      <c r="G4095" s="9" t="s">
        <v>221</v>
      </c>
      <c r="H4095" s="9" t="n">
        <v>750</v>
      </c>
      <c r="I4095" s="29" t="n">
        <v>0.4</v>
      </c>
      <c r="J4095" s="9" t="n">
        <v>1</v>
      </c>
      <c r="K4095" s="30"/>
      <c r="L4095" s="30"/>
      <c r="M4095" s="30"/>
      <c r="N4095" s="30"/>
      <c r="O4095" s="30"/>
      <c r="P4095" s="30"/>
      <c r="Q4095" s="30"/>
      <c r="R4095" s="30"/>
      <c r="S4095" s="30"/>
      <c r="T4095" s="30"/>
      <c r="U4095" s="21" t="str">
        <f aca="false">IF(COUNT(K4095:T4095)=0,"SOURCE EMPTY / INDUSTRIAL ONLY",IF(MIN(K4095:T4095)=1,"SERVICE READY","HOLD"))</f>
        <v>SOURCE EMPTY / INDUSTRIAL ONLY</v>
      </c>
      <c r="V4095" s="9" t="n">
        <f aca="false">IF(U4095="SERVICE READY",1,0)</f>
        <v>0</v>
      </c>
      <c r="W4095" s="6"/>
      <c r="X4095" s="6"/>
      <c r="Y4095" s="6"/>
      <c r="Z4095" s="6"/>
    </row>
    <row r="4096" customFormat="false" ht="15" hidden="false" customHeight="false" outlineLevel="0" collapsed="false">
      <c r="A4096" s="9" t="s">
        <v>4382</v>
      </c>
      <c r="B4096" s="9" t="s">
        <v>4323</v>
      </c>
      <c r="C4096" s="9" t="s">
        <v>4324</v>
      </c>
      <c r="D4096" s="9" t="s">
        <v>3722</v>
      </c>
      <c r="E4096" s="9" t="s">
        <v>1660</v>
      </c>
      <c r="F4096" s="9" t="s">
        <v>203</v>
      </c>
      <c r="G4096" s="9" t="s">
        <v>221</v>
      </c>
      <c r="H4096" s="9" t="n">
        <v>750</v>
      </c>
      <c r="I4096" s="29" t="n">
        <v>0.4</v>
      </c>
      <c r="J4096" s="9" t="n">
        <v>1</v>
      </c>
      <c r="K4096" s="30"/>
      <c r="L4096" s="30"/>
      <c r="M4096" s="30"/>
      <c r="N4096" s="30"/>
      <c r="O4096" s="30"/>
      <c r="P4096" s="30"/>
      <c r="Q4096" s="30"/>
      <c r="R4096" s="30"/>
      <c r="S4096" s="30"/>
      <c r="T4096" s="30"/>
      <c r="U4096" s="21" t="str">
        <f aca="false">IF(COUNT(K4096:T4096)=0,"SOURCE EMPTY / INDUSTRIAL ONLY",IF(MIN(K4096:T4096)=1,"SERVICE READY","HOLD"))</f>
        <v>SOURCE EMPTY / INDUSTRIAL ONLY</v>
      </c>
      <c r="V4096" s="9" t="n">
        <f aca="false">IF(U4096="SERVICE READY",1,0)</f>
        <v>0</v>
      </c>
      <c r="W4096" s="6"/>
      <c r="X4096" s="6"/>
      <c r="Y4096" s="6"/>
      <c r="Z4096" s="6"/>
    </row>
    <row r="4097" customFormat="false" ht="15" hidden="false" customHeight="false" outlineLevel="0" collapsed="false">
      <c r="A4097" s="9" t="s">
        <v>4383</v>
      </c>
      <c r="B4097" s="9" t="s">
        <v>4323</v>
      </c>
      <c r="C4097" s="9" t="s">
        <v>4324</v>
      </c>
      <c r="D4097" s="9" t="s">
        <v>3722</v>
      </c>
      <c r="E4097" s="9" t="s">
        <v>1660</v>
      </c>
      <c r="F4097" s="9" t="s">
        <v>205</v>
      </c>
      <c r="G4097" s="9" t="s">
        <v>221</v>
      </c>
      <c r="H4097" s="9" t="n">
        <v>750</v>
      </c>
      <c r="I4097" s="29" t="n">
        <v>0.4</v>
      </c>
      <c r="J4097" s="9" t="n">
        <v>1</v>
      </c>
      <c r="K4097" s="30"/>
      <c r="L4097" s="30"/>
      <c r="M4097" s="30"/>
      <c r="N4097" s="30"/>
      <c r="O4097" s="30"/>
      <c r="P4097" s="30"/>
      <c r="Q4097" s="30"/>
      <c r="R4097" s="30"/>
      <c r="S4097" s="30"/>
      <c r="T4097" s="30"/>
      <c r="U4097" s="21" t="str">
        <f aca="false">IF(COUNT(K4097:T4097)=0,"SOURCE EMPTY / INDUSTRIAL ONLY",IF(MIN(K4097:T4097)=1,"SERVICE READY","HOLD"))</f>
        <v>SOURCE EMPTY / INDUSTRIAL ONLY</v>
      </c>
      <c r="V4097" s="9" t="n">
        <f aca="false">IF(U4097="SERVICE READY",1,0)</f>
        <v>0</v>
      </c>
      <c r="W4097" s="6"/>
      <c r="X4097" s="6"/>
      <c r="Y4097" s="6"/>
      <c r="Z4097" s="6"/>
    </row>
    <row r="4098" customFormat="false" ht="15" hidden="false" customHeight="false" outlineLevel="0" collapsed="false">
      <c r="A4098" s="9" t="s">
        <v>4384</v>
      </c>
      <c r="B4098" s="9" t="s">
        <v>4323</v>
      </c>
      <c r="C4098" s="9" t="s">
        <v>4324</v>
      </c>
      <c r="D4098" s="9" t="s">
        <v>3722</v>
      </c>
      <c r="E4098" s="9" t="s">
        <v>1660</v>
      </c>
      <c r="F4098" s="9" t="s">
        <v>207</v>
      </c>
      <c r="G4098" s="9" t="s">
        <v>221</v>
      </c>
      <c r="H4098" s="9" t="n">
        <v>750</v>
      </c>
      <c r="I4098" s="29" t="n">
        <v>0.4</v>
      </c>
      <c r="J4098" s="9" t="n">
        <v>1</v>
      </c>
      <c r="K4098" s="30"/>
      <c r="L4098" s="30"/>
      <c r="M4098" s="30"/>
      <c r="N4098" s="30"/>
      <c r="O4098" s="30"/>
      <c r="P4098" s="30"/>
      <c r="Q4098" s="30"/>
      <c r="R4098" s="30"/>
      <c r="S4098" s="30"/>
      <c r="T4098" s="30"/>
      <c r="U4098" s="21" t="str">
        <f aca="false">IF(COUNT(K4098:T4098)=0,"SOURCE EMPTY / INDUSTRIAL ONLY",IF(MIN(K4098:T4098)=1,"SERVICE READY","HOLD"))</f>
        <v>SOURCE EMPTY / INDUSTRIAL ONLY</v>
      </c>
      <c r="V4098" s="9" t="n">
        <f aca="false">IF(U4098="SERVICE READY",1,0)</f>
        <v>0</v>
      </c>
      <c r="W4098" s="6"/>
      <c r="X4098" s="6"/>
      <c r="Y4098" s="6"/>
      <c r="Z4098" s="6"/>
    </row>
    <row r="4099" customFormat="false" ht="15" hidden="false" customHeight="false" outlineLevel="0" collapsed="false">
      <c r="A4099" s="9" t="s">
        <v>4385</v>
      </c>
      <c r="B4099" s="9" t="s">
        <v>4323</v>
      </c>
      <c r="C4099" s="9" t="s">
        <v>4324</v>
      </c>
      <c r="D4099" s="9" t="s">
        <v>3722</v>
      </c>
      <c r="E4099" s="9" t="s">
        <v>1660</v>
      </c>
      <c r="F4099" s="9" t="s">
        <v>209</v>
      </c>
      <c r="G4099" s="9" t="s">
        <v>221</v>
      </c>
      <c r="H4099" s="9" t="n">
        <v>750</v>
      </c>
      <c r="I4099" s="29" t="n">
        <v>0.4</v>
      </c>
      <c r="J4099" s="9" t="n">
        <v>1</v>
      </c>
      <c r="K4099" s="30"/>
      <c r="L4099" s="30"/>
      <c r="M4099" s="30"/>
      <c r="N4099" s="30"/>
      <c r="O4099" s="30"/>
      <c r="P4099" s="30"/>
      <c r="Q4099" s="30"/>
      <c r="R4099" s="30"/>
      <c r="S4099" s="30"/>
      <c r="T4099" s="30"/>
      <c r="U4099" s="21" t="str">
        <f aca="false">IF(COUNT(K4099:T4099)=0,"SOURCE EMPTY / INDUSTRIAL ONLY",IF(MIN(K4099:T4099)=1,"SERVICE READY","HOLD"))</f>
        <v>SOURCE EMPTY / INDUSTRIAL ONLY</v>
      </c>
      <c r="V4099" s="9" t="n">
        <f aca="false">IF(U4099="SERVICE READY",1,0)</f>
        <v>0</v>
      </c>
      <c r="W4099" s="6"/>
      <c r="X4099" s="6"/>
      <c r="Y4099" s="6"/>
      <c r="Z4099" s="6"/>
    </row>
    <row r="4100" customFormat="false" ht="15" hidden="false" customHeight="false" outlineLevel="0" collapsed="false">
      <c r="A4100" s="9" t="s">
        <v>4386</v>
      </c>
      <c r="B4100" s="9" t="s">
        <v>4323</v>
      </c>
      <c r="C4100" s="9" t="s">
        <v>4324</v>
      </c>
      <c r="D4100" s="9" t="s">
        <v>3722</v>
      </c>
      <c r="E4100" s="9" t="s">
        <v>1660</v>
      </c>
      <c r="F4100" s="9" t="s">
        <v>211</v>
      </c>
      <c r="G4100" s="9" t="s">
        <v>221</v>
      </c>
      <c r="H4100" s="9" t="n">
        <v>750</v>
      </c>
      <c r="I4100" s="29" t="n">
        <v>0.4</v>
      </c>
      <c r="J4100" s="9" t="n">
        <v>1</v>
      </c>
      <c r="K4100" s="30"/>
      <c r="L4100" s="30"/>
      <c r="M4100" s="30"/>
      <c r="N4100" s="30"/>
      <c r="O4100" s="30"/>
      <c r="P4100" s="30"/>
      <c r="Q4100" s="30"/>
      <c r="R4100" s="30"/>
      <c r="S4100" s="30"/>
      <c r="T4100" s="30"/>
      <c r="U4100" s="21" t="str">
        <f aca="false">IF(COUNT(K4100:T4100)=0,"SOURCE EMPTY / INDUSTRIAL ONLY",IF(MIN(K4100:T4100)=1,"SERVICE READY","HOLD"))</f>
        <v>SOURCE EMPTY / INDUSTRIAL ONLY</v>
      </c>
      <c r="V4100" s="9" t="n">
        <f aca="false">IF(U4100="SERVICE READY",1,0)</f>
        <v>0</v>
      </c>
      <c r="W4100" s="6"/>
      <c r="X4100" s="6"/>
      <c r="Y4100" s="6"/>
      <c r="Z4100" s="6"/>
    </row>
    <row r="4101" customFormat="false" ht="15" hidden="false" customHeight="false" outlineLevel="0" collapsed="false">
      <c r="A4101" s="9" t="s">
        <v>4387</v>
      </c>
      <c r="B4101" s="9" t="s">
        <v>4323</v>
      </c>
      <c r="C4101" s="9" t="s">
        <v>4324</v>
      </c>
      <c r="D4101" s="9" t="s">
        <v>3722</v>
      </c>
      <c r="E4101" s="9" t="s">
        <v>1660</v>
      </c>
      <c r="F4101" s="9" t="s">
        <v>197</v>
      </c>
      <c r="G4101" s="9" t="s">
        <v>221</v>
      </c>
      <c r="H4101" s="9" t="n">
        <v>750</v>
      </c>
      <c r="I4101" s="29" t="n">
        <v>0.4</v>
      </c>
      <c r="J4101" s="9" t="n">
        <v>1</v>
      </c>
      <c r="K4101" s="30"/>
      <c r="L4101" s="30"/>
      <c r="M4101" s="30"/>
      <c r="N4101" s="30"/>
      <c r="O4101" s="30"/>
      <c r="P4101" s="30"/>
      <c r="Q4101" s="30"/>
      <c r="R4101" s="30"/>
      <c r="S4101" s="30"/>
      <c r="T4101" s="30"/>
      <c r="U4101" s="21" t="str">
        <f aca="false">IF(COUNT(K4101:T4101)=0,"SOURCE EMPTY / INDUSTRIAL ONLY",IF(MIN(K4101:T4101)=1,"SERVICE READY","HOLD"))</f>
        <v>SOURCE EMPTY / INDUSTRIAL ONLY</v>
      </c>
      <c r="V4101" s="9" t="n">
        <f aca="false">IF(U4101="SERVICE READY",1,0)</f>
        <v>0</v>
      </c>
      <c r="W4101" s="6"/>
      <c r="X4101" s="6"/>
      <c r="Y4101" s="6"/>
      <c r="Z4101" s="6"/>
    </row>
    <row r="4102" customFormat="false" ht="15" hidden="false" customHeight="false" outlineLevel="0" collapsed="false">
      <c r="A4102" s="9" t="s">
        <v>4388</v>
      </c>
      <c r="B4102" s="9" t="s">
        <v>4323</v>
      </c>
      <c r="C4102" s="9" t="s">
        <v>4324</v>
      </c>
      <c r="D4102" s="9" t="s">
        <v>3722</v>
      </c>
      <c r="E4102" s="9" t="s">
        <v>1660</v>
      </c>
      <c r="F4102" s="9" t="s">
        <v>200</v>
      </c>
      <c r="G4102" s="9" t="s">
        <v>221</v>
      </c>
      <c r="H4102" s="9" t="n">
        <v>750</v>
      </c>
      <c r="I4102" s="29" t="n">
        <v>0.4</v>
      </c>
      <c r="J4102" s="9" t="n">
        <v>1</v>
      </c>
      <c r="K4102" s="30"/>
      <c r="L4102" s="30"/>
      <c r="M4102" s="30"/>
      <c r="N4102" s="30"/>
      <c r="O4102" s="30"/>
      <c r="P4102" s="30"/>
      <c r="Q4102" s="30"/>
      <c r="R4102" s="30"/>
      <c r="S4102" s="30"/>
      <c r="T4102" s="30"/>
      <c r="U4102" s="21" t="str">
        <f aca="false">IF(COUNT(K4102:T4102)=0,"SOURCE EMPTY / INDUSTRIAL ONLY",IF(MIN(K4102:T4102)=1,"SERVICE READY","HOLD"))</f>
        <v>SOURCE EMPTY / INDUSTRIAL ONLY</v>
      </c>
      <c r="V4102" s="9" t="n">
        <f aca="false">IF(U4102="SERVICE READY",1,0)</f>
        <v>0</v>
      </c>
      <c r="W4102" s="6"/>
      <c r="X4102" s="6"/>
      <c r="Y4102" s="6"/>
      <c r="Z4102" s="6"/>
    </row>
    <row r="4103" customFormat="false" ht="15" hidden="false" customHeight="false" outlineLevel="0" collapsed="false">
      <c r="A4103" s="9" t="s">
        <v>4389</v>
      </c>
      <c r="B4103" s="9" t="s">
        <v>4323</v>
      </c>
      <c r="C4103" s="9" t="s">
        <v>4324</v>
      </c>
      <c r="D4103" s="9" t="s">
        <v>3722</v>
      </c>
      <c r="E4103" s="9" t="s">
        <v>1660</v>
      </c>
      <c r="F4103" s="9" t="s">
        <v>203</v>
      </c>
      <c r="G4103" s="9" t="s">
        <v>221</v>
      </c>
      <c r="H4103" s="9" t="n">
        <v>750</v>
      </c>
      <c r="I4103" s="29" t="n">
        <v>0.4</v>
      </c>
      <c r="J4103" s="9" t="n">
        <v>1</v>
      </c>
      <c r="K4103" s="30"/>
      <c r="L4103" s="30"/>
      <c r="M4103" s="30"/>
      <c r="N4103" s="30"/>
      <c r="O4103" s="30"/>
      <c r="P4103" s="30"/>
      <c r="Q4103" s="30"/>
      <c r="R4103" s="30"/>
      <c r="S4103" s="30"/>
      <c r="T4103" s="30"/>
      <c r="U4103" s="21" t="str">
        <f aca="false">IF(COUNT(K4103:T4103)=0,"SOURCE EMPTY / INDUSTRIAL ONLY",IF(MIN(K4103:T4103)=1,"SERVICE READY","HOLD"))</f>
        <v>SOURCE EMPTY / INDUSTRIAL ONLY</v>
      </c>
      <c r="V4103" s="9" t="n">
        <f aca="false">IF(U4103="SERVICE READY",1,0)</f>
        <v>0</v>
      </c>
      <c r="W4103" s="6"/>
      <c r="X4103" s="6"/>
      <c r="Y4103" s="6"/>
      <c r="Z4103" s="6"/>
    </row>
    <row r="4104" customFormat="false" ht="15" hidden="false" customHeight="false" outlineLevel="0" collapsed="false">
      <c r="A4104" s="9" t="s">
        <v>4390</v>
      </c>
      <c r="B4104" s="9" t="s">
        <v>4323</v>
      </c>
      <c r="C4104" s="9" t="s">
        <v>4324</v>
      </c>
      <c r="D4104" s="9" t="s">
        <v>3722</v>
      </c>
      <c r="E4104" s="9" t="s">
        <v>1660</v>
      </c>
      <c r="F4104" s="9" t="s">
        <v>205</v>
      </c>
      <c r="G4104" s="9" t="s">
        <v>221</v>
      </c>
      <c r="H4104" s="9" t="n">
        <v>750</v>
      </c>
      <c r="I4104" s="29" t="n">
        <v>0.4</v>
      </c>
      <c r="J4104" s="9" t="n">
        <v>1</v>
      </c>
      <c r="K4104" s="30"/>
      <c r="L4104" s="30"/>
      <c r="M4104" s="30"/>
      <c r="N4104" s="30"/>
      <c r="O4104" s="30"/>
      <c r="P4104" s="30"/>
      <c r="Q4104" s="30"/>
      <c r="R4104" s="30"/>
      <c r="S4104" s="30"/>
      <c r="T4104" s="30"/>
      <c r="U4104" s="21" t="str">
        <f aca="false">IF(COUNT(K4104:T4104)=0,"SOURCE EMPTY / INDUSTRIAL ONLY",IF(MIN(K4104:T4104)=1,"SERVICE READY","HOLD"))</f>
        <v>SOURCE EMPTY / INDUSTRIAL ONLY</v>
      </c>
      <c r="V4104" s="9" t="n">
        <f aca="false">IF(U4104="SERVICE READY",1,0)</f>
        <v>0</v>
      </c>
      <c r="W4104" s="6"/>
      <c r="X4104" s="6"/>
      <c r="Y4104" s="6"/>
      <c r="Z4104" s="6"/>
    </row>
    <row r="4105" customFormat="false" ht="15" hidden="false" customHeight="false" outlineLevel="0" collapsed="false">
      <c r="A4105" s="9" t="s">
        <v>4391</v>
      </c>
      <c r="B4105" s="9" t="s">
        <v>4323</v>
      </c>
      <c r="C4105" s="9" t="s">
        <v>4324</v>
      </c>
      <c r="D4105" s="9" t="s">
        <v>3722</v>
      </c>
      <c r="E4105" s="9" t="s">
        <v>1660</v>
      </c>
      <c r="F4105" s="9" t="s">
        <v>207</v>
      </c>
      <c r="G4105" s="9" t="s">
        <v>221</v>
      </c>
      <c r="H4105" s="9" t="n">
        <v>750</v>
      </c>
      <c r="I4105" s="29" t="n">
        <v>0.4</v>
      </c>
      <c r="J4105" s="9" t="n">
        <v>1</v>
      </c>
      <c r="K4105" s="30"/>
      <c r="L4105" s="30"/>
      <c r="M4105" s="30"/>
      <c r="N4105" s="30"/>
      <c r="O4105" s="30"/>
      <c r="P4105" s="30"/>
      <c r="Q4105" s="30"/>
      <c r="R4105" s="30"/>
      <c r="S4105" s="30"/>
      <c r="T4105" s="30"/>
      <c r="U4105" s="21" t="str">
        <f aca="false">IF(COUNT(K4105:T4105)=0,"SOURCE EMPTY / INDUSTRIAL ONLY",IF(MIN(K4105:T4105)=1,"SERVICE READY","HOLD"))</f>
        <v>SOURCE EMPTY / INDUSTRIAL ONLY</v>
      </c>
      <c r="V4105" s="9" t="n">
        <f aca="false">IF(U4105="SERVICE READY",1,0)</f>
        <v>0</v>
      </c>
      <c r="W4105" s="6"/>
      <c r="X4105" s="6"/>
      <c r="Y4105" s="6"/>
      <c r="Z4105" s="6"/>
    </row>
    <row r="4106" customFormat="false" ht="15" hidden="false" customHeight="false" outlineLevel="0" collapsed="false">
      <c r="A4106" s="9" t="s">
        <v>4392</v>
      </c>
      <c r="B4106" s="9" t="s">
        <v>4323</v>
      </c>
      <c r="C4106" s="9" t="s">
        <v>4324</v>
      </c>
      <c r="D4106" s="9" t="s">
        <v>3722</v>
      </c>
      <c r="E4106" s="9" t="s">
        <v>1660</v>
      </c>
      <c r="F4106" s="9" t="s">
        <v>209</v>
      </c>
      <c r="G4106" s="9" t="s">
        <v>221</v>
      </c>
      <c r="H4106" s="9" t="n">
        <v>750</v>
      </c>
      <c r="I4106" s="29" t="n">
        <v>0.4</v>
      </c>
      <c r="J4106" s="9" t="n">
        <v>1</v>
      </c>
      <c r="K4106" s="30"/>
      <c r="L4106" s="30"/>
      <c r="M4106" s="30"/>
      <c r="N4106" s="30"/>
      <c r="O4106" s="30"/>
      <c r="P4106" s="30"/>
      <c r="Q4106" s="30"/>
      <c r="R4106" s="30"/>
      <c r="S4106" s="30"/>
      <c r="T4106" s="30"/>
      <c r="U4106" s="21" t="str">
        <f aca="false">IF(COUNT(K4106:T4106)=0,"SOURCE EMPTY / INDUSTRIAL ONLY",IF(MIN(K4106:T4106)=1,"SERVICE READY","HOLD"))</f>
        <v>SOURCE EMPTY / INDUSTRIAL ONLY</v>
      </c>
      <c r="V4106" s="9" t="n">
        <f aca="false">IF(U4106="SERVICE READY",1,0)</f>
        <v>0</v>
      </c>
      <c r="W4106" s="6"/>
      <c r="X4106" s="6"/>
      <c r="Y4106" s="6"/>
      <c r="Z4106" s="6"/>
    </row>
    <row r="4107" customFormat="false" ht="15" hidden="false" customHeight="false" outlineLevel="0" collapsed="false">
      <c r="A4107" s="9" t="s">
        <v>4393</v>
      </c>
      <c r="B4107" s="9" t="s">
        <v>4323</v>
      </c>
      <c r="C4107" s="9" t="s">
        <v>4324</v>
      </c>
      <c r="D4107" s="9" t="s">
        <v>3722</v>
      </c>
      <c r="E4107" s="9" t="s">
        <v>1660</v>
      </c>
      <c r="F4107" s="9" t="s">
        <v>211</v>
      </c>
      <c r="G4107" s="9" t="s">
        <v>221</v>
      </c>
      <c r="H4107" s="9" t="n">
        <v>750</v>
      </c>
      <c r="I4107" s="29" t="n">
        <v>0.4</v>
      </c>
      <c r="J4107" s="9" t="n">
        <v>1</v>
      </c>
      <c r="K4107" s="30"/>
      <c r="L4107" s="30"/>
      <c r="M4107" s="30"/>
      <c r="N4107" s="30"/>
      <c r="O4107" s="30"/>
      <c r="P4107" s="30"/>
      <c r="Q4107" s="30"/>
      <c r="R4107" s="30"/>
      <c r="S4107" s="30"/>
      <c r="T4107" s="30"/>
      <c r="U4107" s="21" t="str">
        <f aca="false">IF(COUNT(K4107:T4107)=0,"SOURCE EMPTY / INDUSTRIAL ONLY",IF(MIN(K4107:T4107)=1,"SERVICE READY","HOLD"))</f>
        <v>SOURCE EMPTY / INDUSTRIAL ONLY</v>
      </c>
      <c r="V4107" s="9" t="n">
        <f aca="false">IF(U4107="SERVICE READY",1,0)</f>
        <v>0</v>
      </c>
      <c r="W4107" s="6"/>
      <c r="X4107" s="6"/>
      <c r="Y4107" s="6"/>
      <c r="Z4107" s="6"/>
    </row>
    <row r="4108" customFormat="false" ht="15" hidden="false" customHeight="false" outlineLevel="0" collapsed="false">
      <c r="A4108" s="9" t="s">
        <v>4394</v>
      </c>
      <c r="B4108" s="9" t="s">
        <v>4323</v>
      </c>
      <c r="C4108" s="9" t="s">
        <v>4324</v>
      </c>
      <c r="D4108" s="9" t="s">
        <v>3722</v>
      </c>
      <c r="E4108" s="9" t="s">
        <v>1660</v>
      </c>
      <c r="F4108" s="9" t="s">
        <v>197</v>
      </c>
      <c r="G4108" s="9" t="s">
        <v>221</v>
      </c>
      <c r="H4108" s="9" t="n">
        <v>750</v>
      </c>
      <c r="I4108" s="29" t="n">
        <v>0.4</v>
      </c>
      <c r="J4108" s="9" t="n">
        <v>1</v>
      </c>
      <c r="K4108" s="30"/>
      <c r="L4108" s="30"/>
      <c r="M4108" s="30"/>
      <c r="N4108" s="30"/>
      <c r="O4108" s="30"/>
      <c r="P4108" s="30"/>
      <c r="Q4108" s="30"/>
      <c r="R4108" s="30"/>
      <c r="S4108" s="30"/>
      <c r="T4108" s="30"/>
      <c r="U4108" s="21" t="str">
        <f aca="false">IF(COUNT(K4108:T4108)=0,"SOURCE EMPTY / INDUSTRIAL ONLY",IF(MIN(K4108:T4108)=1,"SERVICE READY","HOLD"))</f>
        <v>SOURCE EMPTY / INDUSTRIAL ONLY</v>
      </c>
      <c r="V4108" s="9" t="n">
        <f aca="false">IF(U4108="SERVICE READY",1,0)</f>
        <v>0</v>
      </c>
      <c r="W4108" s="6"/>
      <c r="X4108" s="6"/>
      <c r="Y4108" s="6"/>
      <c r="Z4108" s="6"/>
    </row>
    <row r="4109" customFormat="false" ht="15" hidden="false" customHeight="false" outlineLevel="0" collapsed="false">
      <c r="A4109" s="9" t="s">
        <v>4395</v>
      </c>
      <c r="B4109" s="9" t="s">
        <v>4323</v>
      </c>
      <c r="C4109" s="9" t="s">
        <v>4324</v>
      </c>
      <c r="D4109" s="9" t="s">
        <v>3722</v>
      </c>
      <c r="E4109" s="9" t="s">
        <v>1660</v>
      </c>
      <c r="F4109" s="9" t="s">
        <v>200</v>
      </c>
      <c r="G4109" s="9" t="s">
        <v>221</v>
      </c>
      <c r="H4109" s="9" t="n">
        <v>750</v>
      </c>
      <c r="I4109" s="29" t="n">
        <v>0.4</v>
      </c>
      <c r="J4109" s="9" t="n">
        <v>1</v>
      </c>
      <c r="K4109" s="30"/>
      <c r="L4109" s="30"/>
      <c r="M4109" s="30"/>
      <c r="N4109" s="30"/>
      <c r="O4109" s="30"/>
      <c r="P4109" s="30"/>
      <c r="Q4109" s="30"/>
      <c r="R4109" s="30"/>
      <c r="S4109" s="30"/>
      <c r="T4109" s="30"/>
      <c r="U4109" s="21" t="str">
        <f aca="false">IF(COUNT(K4109:T4109)=0,"SOURCE EMPTY / INDUSTRIAL ONLY",IF(MIN(K4109:T4109)=1,"SERVICE READY","HOLD"))</f>
        <v>SOURCE EMPTY / INDUSTRIAL ONLY</v>
      </c>
      <c r="V4109" s="9" t="n">
        <f aca="false">IF(U4109="SERVICE READY",1,0)</f>
        <v>0</v>
      </c>
      <c r="W4109" s="6"/>
      <c r="X4109" s="6"/>
      <c r="Y4109" s="6"/>
      <c r="Z4109" s="6"/>
    </row>
    <row r="4110" customFormat="false" ht="15" hidden="false" customHeight="false" outlineLevel="0" collapsed="false">
      <c r="A4110" s="9" t="s">
        <v>4396</v>
      </c>
      <c r="B4110" s="9" t="s">
        <v>4323</v>
      </c>
      <c r="C4110" s="9" t="s">
        <v>4324</v>
      </c>
      <c r="D4110" s="9" t="s">
        <v>3722</v>
      </c>
      <c r="E4110" s="9" t="s">
        <v>1660</v>
      </c>
      <c r="F4110" s="9" t="s">
        <v>203</v>
      </c>
      <c r="G4110" s="9" t="s">
        <v>221</v>
      </c>
      <c r="H4110" s="9" t="n">
        <v>750</v>
      </c>
      <c r="I4110" s="29" t="n">
        <v>0.4</v>
      </c>
      <c r="J4110" s="9" t="n">
        <v>1</v>
      </c>
      <c r="K4110" s="30"/>
      <c r="L4110" s="30"/>
      <c r="M4110" s="30"/>
      <c r="N4110" s="30"/>
      <c r="O4110" s="30"/>
      <c r="P4110" s="30"/>
      <c r="Q4110" s="30"/>
      <c r="R4110" s="30"/>
      <c r="S4110" s="30"/>
      <c r="T4110" s="30"/>
      <c r="U4110" s="21" t="str">
        <f aca="false">IF(COUNT(K4110:T4110)=0,"SOURCE EMPTY / INDUSTRIAL ONLY",IF(MIN(K4110:T4110)=1,"SERVICE READY","HOLD"))</f>
        <v>SOURCE EMPTY / INDUSTRIAL ONLY</v>
      </c>
      <c r="V4110" s="9" t="n">
        <f aca="false">IF(U4110="SERVICE READY",1,0)</f>
        <v>0</v>
      </c>
      <c r="W4110" s="6"/>
      <c r="X4110" s="6"/>
      <c r="Y4110" s="6"/>
      <c r="Z4110" s="6"/>
    </row>
    <row r="4111" customFormat="false" ht="15" hidden="false" customHeight="false" outlineLevel="0" collapsed="false">
      <c r="A4111" s="9" t="s">
        <v>4397</v>
      </c>
      <c r="B4111" s="9" t="s">
        <v>4323</v>
      </c>
      <c r="C4111" s="9" t="s">
        <v>4324</v>
      </c>
      <c r="D4111" s="9" t="s">
        <v>3722</v>
      </c>
      <c r="E4111" s="9" t="s">
        <v>1660</v>
      </c>
      <c r="F4111" s="9" t="s">
        <v>205</v>
      </c>
      <c r="G4111" s="9" t="s">
        <v>221</v>
      </c>
      <c r="H4111" s="9" t="n">
        <v>750</v>
      </c>
      <c r="I4111" s="29" t="n">
        <v>0.4</v>
      </c>
      <c r="J4111" s="9" t="n">
        <v>1</v>
      </c>
      <c r="K4111" s="30"/>
      <c r="L4111" s="30"/>
      <c r="M4111" s="30"/>
      <c r="N4111" s="30"/>
      <c r="O4111" s="30"/>
      <c r="P4111" s="30"/>
      <c r="Q4111" s="30"/>
      <c r="R4111" s="30"/>
      <c r="S4111" s="30"/>
      <c r="T4111" s="30"/>
      <c r="U4111" s="21" t="str">
        <f aca="false">IF(COUNT(K4111:T4111)=0,"SOURCE EMPTY / INDUSTRIAL ONLY",IF(MIN(K4111:T4111)=1,"SERVICE READY","HOLD"))</f>
        <v>SOURCE EMPTY / INDUSTRIAL ONLY</v>
      </c>
      <c r="V4111" s="9" t="n">
        <f aca="false">IF(U4111="SERVICE READY",1,0)</f>
        <v>0</v>
      </c>
      <c r="W4111" s="6"/>
      <c r="X4111" s="6"/>
      <c r="Y4111" s="6"/>
      <c r="Z4111" s="6"/>
    </row>
    <row r="4112" customFormat="false" ht="15" hidden="false" customHeight="false" outlineLevel="0" collapsed="false">
      <c r="A4112" s="9" t="s">
        <v>4398</v>
      </c>
      <c r="B4112" s="9" t="s">
        <v>4323</v>
      </c>
      <c r="C4112" s="9" t="s">
        <v>4324</v>
      </c>
      <c r="D4112" s="9" t="s">
        <v>3722</v>
      </c>
      <c r="E4112" s="9" t="s">
        <v>1660</v>
      </c>
      <c r="F4112" s="9" t="s">
        <v>207</v>
      </c>
      <c r="G4112" s="9" t="s">
        <v>221</v>
      </c>
      <c r="H4112" s="9" t="n">
        <v>750</v>
      </c>
      <c r="I4112" s="29" t="n">
        <v>0.4</v>
      </c>
      <c r="J4112" s="9" t="n">
        <v>1</v>
      </c>
      <c r="K4112" s="30"/>
      <c r="L4112" s="30"/>
      <c r="M4112" s="30"/>
      <c r="N4112" s="30"/>
      <c r="O4112" s="30"/>
      <c r="P4112" s="30"/>
      <c r="Q4112" s="30"/>
      <c r="R4112" s="30"/>
      <c r="S4112" s="30"/>
      <c r="T4112" s="30"/>
      <c r="U4112" s="21" t="str">
        <f aca="false">IF(COUNT(K4112:T4112)=0,"SOURCE EMPTY / INDUSTRIAL ONLY",IF(MIN(K4112:T4112)=1,"SERVICE READY","HOLD"))</f>
        <v>SOURCE EMPTY / INDUSTRIAL ONLY</v>
      </c>
      <c r="V4112" s="9" t="n">
        <f aca="false">IF(U4112="SERVICE READY",1,0)</f>
        <v>0</v>
      </c>
      <c r="W4112" s="6"/>
      <c r="X4112" s="6"/>
      <c r="Y4112" s="6"/>
      <c r="Z4112" s="6"/>
    </row>
    <row r="4113" customFormat="false" ht="15" hidden="false" customHeight="false" outlineLevel="0" collapsed="false">
      <c r="A4113" s="9" t="s">
        <v>4399</v>
      </c>
      <c r="B4113" s="9" t="s">
        <v>4323</v>
      </c>
      <c r="C4113" s="9" t="s">
        <v>4324</v>
      </c>
      <c r="D4113" s="9" t="s">
        <v>3722</v>
      </c>
      <c r="E4113" s="9" t="s">
        <v>1660</v>
      </c>
      <c r="F4113" s="9" t="s">
        <v>209</v>
      </c>
      <c r="G4113" s="9" t="s">
        <v>221</v>
      </c>
      <c r="H4113" s="9" t="n">
        <v>750</v>
      </c>
      <c r="I4113" s="29" t="n">
        <v>0.4</v>
      </c>
      <c r="J4113" s="9" t="n">
        <v>1</v>
      </c>
      <c r="K4113" s="30"/>
      <c r="L4113" s="30"/>
      <c r="M4113" s="30"/>
      <c r="N4113" s="30"/>
      <c r="O4113" s="30"/>
      <c r="P4113" s="30"/>
      <c r="Q4113" s="30"/>
      <c r="R4113" s="30"/>
      <c r="S4113" s="30"/>
      <c r="T4113" s="30"/>
      <c r="U4113" s="21" t="str">
        <f aca="false">IF(COUNT(K4113:T4113)=0,"SOURCE EMPTY / INDUSTRIAL ONLY",IF(MIN(K4113:T4113)=1,"SERVICE READY","HOLD"))</f>
        <v>SOURCE EMPTY / INDUSTRIAL ONLY</v>
      </c>
      <c r="V4113" s="9" t="n">
        <f aca="false">IF(U4113="SERVICE READY",1,0)</f>
        <v>0</v>
      </c>
      <c r="W4113" s="6"/>
      <c r="X4113" s="6"/>
      <c r="Y4113" s="6"/>
      <c r="Z4113" s="6"/>
    </row>
    <row r="4114" customFormat="false" ht="15" hidden="false" customHeight="false" outlineLevel="0" collapsed="false">
      <c r="A4114" s="9" t="s">
        <v>4400</v>
      </c>
      <c r="B4114" s="9" t="s">
        <v>4323</v>
      </c>
      <c r="C4114" s="9" t="s">
        <v>4324</v>
      </c>
      <c r="D4114" s="9" t="s">
        <v>3722</v>
      </c>
      <c r="E4114" s="9" t="s">
        <v>1660</v>
      </c>
      <c r="F4114" s="9" t="s">
        <v>211</v>
      </c>
      <c r="G4114" s="9" t="s">
        <v>221</v>
      </c>
      <c r="H4114" s="9" t="n">
        <v>750</v>
      </c>
      <c r="I4114" s="29" t="n">
        <v>0.4</v>
      </c>
      <c r="J4114" s="9" t="n">
        <v>1</v>
      </c>
      <c r="K4114" s="30"/>
      <c r="L4114" s="30"/>
      <c r="M4114" s="30"/>
      <c r="N4114" s="30"/>
      <c r="O4114" s="30"/>
      <c r="P4114" s="30"/>
      <c r="Q4114" s="30"/>
      <c r="R4114" s="30"/>
      <c r="S4114" s="30"/>
      <c r="T4114" s="30"/>
      <c r="U4114" s="21" t="str">
        <f aca="false">IF(COUNT(K4114:T4114)=0,"SOURCE EMPTY / INDUSTRIAL ONLY",IF(MIN(K4114:T4114)=1,"SERVICE READY","HOLD"))</f>
        <v>SOURCE EMPTY / INDUSTRIAL ONLY</v>
      </c>
      <c r="V4114" s="9" t="n">
        <f aca="false">IF(U4114="SERVICE READY",1,0)</f>
        <v>0</v>
      </c>
      <c r="W4114" s="6"/>
      <c r="X4114" s="6"/>
      <c r="Y4114" s="6"/>
      <c r="Z4114" s="6"/>
    </row>
    <row r="4115" customFormat="false" ht="15" hidden="false" customHeight="false" outlineLevel="0" collapsed="false">
      <c r="A4115" s="9" t="s">
        <v>4401</v>
      </c>
      <c r="B4115" s="9" t="s">
        <v>4323</v>
      </c>
      <c r="C4115" s="9" t="s">
        <v>4324</v>
      </c>
      <c r="D4115" s="9" t="s">
        <v>3722</v>
      </c>
      <c r="E4115" s="9" t="s">
        <v>1660</v>
      </c>
      <c r="F4115" s="9" t="s">
        <v>197</v>
      </c>
      <c r="G4115" s="9" t="s">
        <v>221</v>
      </c>
      <c r="H4115" s="9" t="n">
        <v>750</v>
      </c>
      <c r="I4115" s="29" t="n">
        <v>0.4</v>
      </c>
      <c r="J4115" s="9" t="n">
        <v>1</v>
      </c>
      <c r="K4115" s="30"/>
      <c r="L4115" s="30"/>
      <c r="M4115" s="30"/>
      <c r="N4115" s="30"/>
      <c r="O4115" s="30"/>
      <c r="P4115" s="30"/>
      <c r="Q4115" s="30"/>
      <c r="R4115" s="30"/>
      <c r="S4115" s="30"/>
      <c r="T4115" s="30"/>
      <c r="U4115" s="21" t="str">
        <f aca="false">IF(COUNT(K4115:T4115)=0,"SOURCE EMPTY / INDUSTRIAL ONLY",IF(MIN(K4115:T4115)=1,"SERVICE READY","HOLD"))</f>
        <v>SOURCE EMPTY / INDUSTRIAL ONLY</v>
      </c>
      <c r="V4115" s="9" t="n">
        <f aca="false">IF(U4115="SERVICE READY",1,0)</f>
        <v>0</v>
      </c>
      <c r="W4115" s="6"/>
      <c r="X4115" s="6"/>
      <c r="Y4115" s="6"/>
      <c r="Z4115" s="6"/>
    </row>
    <row r="4116" customFormat="false" ht="15" hidden="false" customHeight="false" outlineLevel="0" collapsed="false">
      <c r="A4116" s="9" t="s">
        <v>4402</v>
      </c>
      <c r="B4116" s="9" t="s">
        <v>4323</v>
      </c>
      <c r="C4116" s="9" t="s">
        <v>4324</v>
      </c>
      <c r="D4116" s="9" t="s">
        <v>3722</v>
      </c>
      <c r="E4116" s="9" t="s">
        <v>1660</v>
      </c>
      <c r="F4116" s="9" t="s">
        <v>200</v>
      </c>
      <c r="G4116" s="9" t="s">
        <v>221</v>
      </c>
      <c r="H4116" s="9" t="n">
        <v>750</v>
      </c>
      <c r="I4116" s="29" t="n">
        <v>0.4</v>
      </c>
      <c r="J4116" s="9" t="n">
        <v>1</v>
      </c>
      <c r="K4116" s="30"/>
      <c r="L4116" s="30"/>
      <c r="M4116" s="30"/>
      <c r="N4116" s="30"/>
      <c r="O4116" s="30"/>
      <c r="P4116" s="30"/>
      <c r="Q4116" s="30"/>
      <c r="R4116" s="30"/>
      <c r="S4116" s="30"/>
      <c r="T4116" s="30"/>
      <c r="U4116" s="21" t="str">
        <f aca="false">IF(COUNT(K4116:T4116)=0,"SOURCE EMPTY / INDUSTRIAL ONLY",IF(MIN(K4116:T4116)=1,"SERVICE READY","HOLD"))</f>
        <v>SOURCE EMPTY / INDUSTRIAL ONLY</v>
      </c>
      <c r="V4116" s="9" t="n">
        <f aca="false">IF(U4116="SERVICE READY",1,0)</f>
        <v>0</v>
      </c>
      <c r="W4116" s="6"/>
      <c r="X4116" s="6"/>
      <c r="Y4116" s="6"/>
      <c r="Z4116" s="6"/>
    </row>
    <row r="4117" customFormat="false" ht="15" hidden="false" customHeight="false" outlineLevel="0" collapsed="false">
      <c r="A4117" s="9" t="s">
        <v>4403</v>
      </c>
      <c r="B4117" s="9" t="s">
        <v>4323</v>
      </c>
      <c r="C4117" s="9" t="s">
        <v>4324</v>
      </c>
      <c r="D4117" s="9" t="s">
        <v>3722</v>
      </c>
      <c r="E4117" s="9" t="s">
        <v>1660</v>
      </c>
      <c r="F4117" s="9" t="s">
        <v>203</v>
      </c>
      <c r="G4117" s="9" t="s">
        <v>221</v>
      </c>
      <c r="H4117" s="9" t="n">
        <v>750</v>
      </c>
      <c r="I4117" s="29" t="n">
        <v>0.4</v>
      </c>
      <c r="J4117" s="9" t="n">
        <v>1</v>
      </c>
      <c r="K4117" s="30"/>
      <c r="L4117" s="30"/>
      <c r="M4117" s="30"/>
      <c r="N4117" s="30"/>
      <c r="O4117" s="30"/>
      <c r="P4117" s="30"/>
      <c r="Q4117" s="30"/>
      <c r="R4117" s="30"/>
      <c r="S4117" s="30"/>
      <c r="T4117" s="30"/>
      <c r="U4117" s="21" t="str">
        <f aca="false">IF(COUNT(K4117:T4117)=0,"SOURCE EMPTY / INDUSTRIAL ONLY",IF(MIN(K4117:T4117)=1,"SERVICE READY","HOLD"))</f>
        <v>SOURCE EMPTY / INDUSTRIAL ONLY</v>
      </c>
      <c r="V4117" s="9" t="n">
        <f aca="false">IF(U4117="SERVICE READY",1,0)</f>
        <v>0</v>
      </c>
      <c r="W4117" s="6"/>
      <c r="X4117" s="6"/>
      <c r="Y4117" s="6"/>
      <c r="Z4117" s="6"/>
    </row>
    <row r="4118" customFormat="false" ht="15" hidden="false" customHeight="false" outlineLevel="0" collapsed="false">
      <c r="A4118" s="9" t="s">
        <v>4404</v>
      </c>
      <c r="B4118" s="9" t="s">
        <v>4323</v>
      </c>
      <c r="C4118" s="9" t="s">
        <v>4324</v>
      </c>
      <c r="D4118" s="9" t="s">
        <v>3722</v>
      </c>
      <c r="E4118" s="9" t="s">
        <v>1660</v>
      </c>
      <c r="F4118" s="9" t="s">
        <v>205</v>
      </c>
      <c r="G4118" s="9" t="s">
        <v>221</v>
      </c>
      <c r="H4118" s="9" t="n">
        <v>750</v>
      </c>
      <c r="I4118" s="29" t="n">
        <v>0.4</v>
      </c>
      <c r="J4118" s="9" t="n">
        <v>1</v>
      </c>
      <c r="K4118" s="30"/>
      <c r="L4118" s="30"/>
      <c r="M4118" s="30"/>
      <c r="N4118" s="30"/>
      <c r="O4118" s="30"/>
      <c r="P4118" s="30"/>
      <c r="Q4118" s="30"/>
      <c r="R4118" s="30"/>
      <c r="S4118" s="30"/>
      <c r="T4118" s="30"/>
      <c r="U4118" s="21" t="str">
        <f aca="false">IF(COUNT(K4118:T4118)=0,"SOURCE EMPTY / INDUSTRIAL ONLY",IF(MIN(K4118:T4118)=1,"SERVICE READY","HOLD"))</f>
        <v>SOURCE EMPTY / INDUSTRIAL ONLY</v>
      </c>
      <c r="V4118" s="9" t="n">
        <f aca="false">IF(U4118="SERVICE READY",1,0)</f>
        <v>0</v>
      </c>
      <c r="W4118" s="6"/>
      <c r="X4118" s="6"/>
      <c r="Y4118" s="6"/>
      <c r="Z4118" s="6"/>
    </row>
    <row r="4119" customFormat="false" ht="15" hidden="false" customHeight="false" outlineLevel="0" collapsed="false">
      <c r="A4119" s="9" t="s">
        <v>4405</v>
      </c>
      <c r="B4119" s="9" t="s">
        <v>4323</v>
      </c>
      <c r="C4119" s="9" t="s">
        <v>4324</v>
      </c>
      <c r="D4119" s="9" t="s">
        <v>3722</v>
      </c>
      <c r="E4119" s="9" t="s">
        <v>1660</v>
      </c>
      <c r="F4119" s="9" t="s">
        <v>207</v>
      </c>
      <c r="G4119" s="9" t="s">
        <v>221</v>
      </c>
      <c r="H4119" s="9" t="n">
        <v>750</v>
      </c>
      <c r="I4119" s="29" t="n">
        <v>0.4</v>
      </c>
      <c r="J4119" s="9" t="n">
        <v>1</v>
      </c>
      <c r="K4119" s="30"/>
      <c r="L4119" s="30"/>
      <c r="M4119" s="30"/>
      <c r="N4119" s="30"/>
      <c r="O4119" s="30"/>
      <c r="P4119" s="30"/>
      <c r="Q4119" s="30"/>
      <c r="R4119" s="30"/>
      <c r="S4119" s="30"/>
      <c r="T4119" s="30"/>
      <c r="U4119" s="21" t="str">
        <f aca="false">IF(COUNT(K4119:T4119)=0,"SOURCE EMPTY / INDUSTRIAL ONLY",IF(MIN(K4119:T4119)=1,"SERVICE READY","HOLD"))</f>
        <v>SOURCE EMPTY / INDUSTRIAL ONLY</v>
      </c>
      <c r="V4119" s="9" t="n">
        <f aca="false">IF(U4119="SERVICE READY",1,0)</f>
        <v>0</v>
      </c>
      <c r="W4119" s="6"/>
      <c r="X4119" s="6"/>
      <c r="Y4119" s="6"/>
      <c r="Z4119" s="6"/>
    </row>
    <row r="4120" customFormat="false" ht="15" hidden="false" customHeight="false" outlineLevel="0" collapsed="false">
      <c r="A4120" s="9" t="s">
        <v>4406</v>
      </c>
      <c r="B4120" s="9" t="s">
        <v>4323</v>
      </c>
      <c r="C4120" s="9" t="s">
        <v>4324</v>
      </c>
      <c r="D4120" s="9" t="s">
        <v>3722</v>
      </c>
      <c r="E4120" s="9" t="s">
        <v>1660</v>
      </c>
      <c r="F4120" s="9" t="s">
        <v>209</v>
      </c>
      <c r="G4120" s="9" t="s">
        <v>221</v>
      </c>
      <c r="H4120" s="9" t="n">
        <v>750</v>
      </c>
      <c r="I4120" s="29" t="n">
        <v>0.4</v>
      </c>
      <c r="J4120" s="9" t="n">
        <v>1</v>
      </c>
      <c r="K4120" s="30"/>
      <c r="L4120" s="30"/>
      <c r="M4120" s="30"/>
      <c r="N4120" s="30"/>
      <c r="O4120" s="30"/>
      <c r="P4120" s="30"/>
      <c r="Q4120" s="30"/>
      <c r="R4120" s="30"/>
      <c r="S4120" s="30"/>
      <c r="T4120" s="30"/>
      <c r="U4120" s="21" t="str">
        <f aca="false">IF(COUNT(K4120:T4120)=0,"SOURCE EMPTY / INDUSTRIAL ONLY",IF(MIN(K4120:T4120)=1,"SERVICE READY","HOLD"))</f>
        <v>SOURCE EMPTY / INDUSTRIAL ONLY</v>
      </c>
      <c r="V4120" s="9" t="n">
        <f aca="false">IF(U4120="SERVICE READY",1,0)</f>
        <v>0</v>
      </c>
      <c r="W4120" s="6"/>
      <c r="X4120" s="6"/>
      <c r="Y4120" s="6"/>
      <c r="Z4120" s="6"/>
    </row>
    <row r="4121" customFormat="false" ht="15" hidden="false" customHeight="false" outlineLevel="0" collapsed="false">
      <c r="A4121" s="9" t="s">
        <v>4407</v>
      </c>
      <c r="B4121" s="9" t="s">
        <v>4323</v>
      </c>
      <c r="C4121" s="9" t="s">
        <v>4324</v>
      </c>
      <c r="D4121" s="9" t="s">
        <v>3722</v>
      </c>
      <c r="E4121" s="9" t="s">
        <v>1660</v>
      </c>
      <c r="F4121" s="9" t="s">
        <v>211</v>
      </c>
      <c r="G4121" s="9" t="s">
        <v>221</v>
      </c>
      <c r="H4121" s="9" t="n">
        <v>750</v>
      </c>
      <c r="I4121" s="29" t="n">
        <v>0.4</v>
      </c>
      <c r="J4121" s="9" t="n">
        <v>1</v>
      </c>
      <c r="K4121" s="30"/>
      <c r="L4121" s="30"/>
      <c r="M4121" s="30"/>
      <c r="N4121" s="30"/>
      <c r="O4121" s="30"/>
      <c r="P4121" s="30"/>
      <c r="Q4121" s="30"/>
      <c r="R4121" s="30"/>
      <c r="S4121" s="30"/>
      <c r="T4121" s="30"/>
      <c r="U4121" s="21" t="str">
        <f aca="false">IF(COUNT(K4121:T4121)=0,"SOURCE EMPTY / INDUSTRIAL ONLY",IF(MIN(K4121:T4121)=1,"SERVICE READY","HOLD"))</f>
        <v>SOURCE EMPTY / INDUSTRIAL ONLY</v>
      </c>
      <c r="V4121" s="9" t="n">
        <f aca="false">IF(U4121="SERVICE READY",1,0)</f>
        <v>0</v>
      </c>
      <c r="W4121" s="6"/>
      <c r="X4121" s="6"/>
      <c r="Y4121" s="6"/>
      <c r="Z4121" s="6"/>
    </row>
    <row r="4122" customFormat="false" ht="15" hidden="false" customHeight="false" outlineLevel="0" collapsed="false">
      <c r="A4122" s="9" t="s">
        <v>4408</v>
      </c>
      <c r="B4122" s="9" t="s">
        <v>4323</v>
      </c>
      <c r="C4122" s="9" t="s">
        <v>4324</v>
      </c>
      <c r="D4122" s="9" t="s">
        <v>3722</v>
      </c>
      <c r="E4122" s="9" t="s">
        <v>1660</v>
      </c>
      <c r="F4122" s="9" t="s">
        <v>197</v>
      </c>
      <c r="G4122" s="9" t="s">
        <v>221</v>
      </c>
      <c r="H4122" s="9" t="n">
        <v>750</v>
      </c>
      <c r="I4122" s="29" t="n">
        <v>0.4</v>
      </c>
      <c r="J4122" s="9" t="n">
        <v>1</v>
      </c>
      <c r="K4122" s="30"/>
      <c r="L4122" s="30"/>
      <c r="M4122" s="30"/>
      <c r="N4122" s="30"/>
      <c r="O4122" s="30"/>
      <c r="P4122" s="30"/>
      <c r="Q4122" s="30"/>
      <c r="R4122" s="30"/>
      <c r="S4122" s="30"/>
      <c r="T4122" s="30"/>
      <c r="U4122" s="21" t="str">
        <f aca="false">IF(COUNT(K4122:T4122)=0,"SOURCE EMPTY / INDUSTRIAL ONLY",IF(MIN(K4122:T4122)=1,"SERVICE READY","HOLD"))</f>
        <v>SOURCE EMPTY / INDUSTRIAL ONLY</v>
      </c>
      <c r="V4122" s="9" t="n">
        <f aca="false">IF(U4122="SERVICE READY",1,0)</f>
        <v>0</v>
      </c>
      <c r="W4122" s="6"/>
      <c r="X4122" s="6"/>
      <c r="Y4122" s="6"/>
      <c r="Z4122" s="6"/>
    </row>
    <row r="4123" customFormat="false" ht="15" hidden="false" customHeight="false" outlineLevel="0" collapsed="false">
      <c r="A4123" s="9" t="s">
        <v>4409</v>
      </c>
      <c r="B4123" s="9" t="s">
        <v>4323</v>
      </c>
      <c r="C4123" s="9" t="s">
        <v>4324</v>
      </c>
      <c r="D4123" s="9" t="s">
        <v>3722</v>
      </c>
      <c r="E4123" s="9" t="s">
        <v>1660</v>
      </c>
      <c r="F4123" s="9" t="s">
        <v>200</v>
      </c>
      <c r="G4123" s="9" t="s">
        <v>221</v>
      </c>
      <c r="H4123" s="9" t="n">
        <v>750</v>
      </c>
      <c r="I4123" s="29" t="n">
        <v>0.4</v>
      </c>
      <c r="J4123" s="9" t="n">
        <v>1</v>
      </c>
      <c r="K4123" s="30"/>
      <c r="L4123" s="30"/>
      <c r="M4123" s="30"/>
      <c r="N4123" s="30"/>
      <c r="O4123" s="30"/>
      <c r="P4123" s="30"/>
      <c r="Q4123" s="30"/>
      <c r="R4123" s="30"/>
      <c r="S4123" s="30"/>
      <c r="T4123" s="30"/>
      <c r="U4123" s="21" t="str">
        <f aca="false">IF(COUNT(K4123:T4123)=0,"SOURCE EMPTY / INDUSTRIAL ONLY",IF(MIN(K4123:T4123)=1,"SERVICE READY","HOLD"))</f>
        <v>SOURCE EMPTY / INDUSTRIAL ONLY</v>
      </c>
      <c r="V4123" s="9" t="n">
        <f aca="false">IF(U4123="SERVICE READY",1,0)</f>
        <v>0</v>
      </c>
      <c r="W4123" s="6"/>
      <c r="X4123" s="6"/>
      <c r="Y4123" s="6"/>
      <c r="Z4123" s="6"/>
    </row>
    <row r="4124" customFormat="false" ht="15" hidden="false" customHeight="false" outlineLevel="0" collapsed="false">
      <c r="A4124" s="9" t="s">
        <v>4410</v>
      </c>
      <c r="B4124" s="9" t="s">
        <v>4323</v>
      </c>
      <c r="C4124" s="9" t="s">
        <v>4324</v>
      </c>
      <c r="D4124" s="9" t="s">
        <v>3722</v>
      </c>
      <c r="E4124" s="9" t="s">
        <v>1660</v>
      </c>
      <c r="F4124" s="9" t="s">
        <v>203</v>
      </c>
      <c r="G4124" s="9" t="s">
        <v>221</v>
      </c>
      <c r="H4124" s="9" t="n">
        <v>750</v>
      </c>
      <c r="I4124" s="29" t="n">
        <v>0.4</v>
      </c>
      <c r="J4124" s="9" t="n">
        <v>1</v>
      </c>
      <c r="K4124" s="30"/>
      <c r="L4124" s="30"/>
      <c r="M4124" s="30"/>
      <c r="N4124" s="30"/>
      <c r="O4124" s="30"/>
      <c r="P4124" s="30"/>
      <c r="Q4124" s="30"/>
      <c r="R4124" s="30"/>
      <c r="S4124" s="30"/>
      <c r="T4124" s="30"/>
      <c r="U4124" s="21" t="str">
        <f aca="false">IF(COUNT(K4124:T4124)=0,"SOURCE EMPTY / INDUSTRIAL ONLY",IF(MIN(K4124:T4124)=1,"SERVICE READY","HOLD"))</f>
        <v>SOURCE EMPTY / INDUSTRIAL ONLY</v>
      </c>
      <c r="V4124" s="9" t="n">
        <f aca="false">IF(U4124="SERVICE READY",1,0)</f>
        <v>0</v>
      </c>
      <c r="W4124" s="6"/>
      <c r="X4124" s="6"/>
      <c r="Y4124" s="6"/>
      <c r="Z4124" s="6"/>
    </row>
    <row r="4125" customFormat="false" ht="15" hidden="false" customHeight="false" outlineLevel="0" collapsed="false">
      <c r="A4125" s="9" t="s">
        <v>4411</v>
      </c>
      <c r="B4125" s="9" t="s">
        <v>4323</v>
      </c>
      <c r="C4125" s="9" t="s">
        <v>4324</v>
      </c>
      <c r="D4125" s="9" t="s">
        <v>3722</v>
      </c>
      <c r="E4125" s="9" t="s">
        <v>1660</v>
      </c>
      <c r="F4125" s="9" t="s">
        <v>205</v>
      </c>
      <c r="G4125" s="9" t="s">
        <v>221</v>
      </c>
      <c r="H4125" s="9" t="n">
        <v>750</v>
      </c>
      <c r="I4125" s="29" t="n">
        <v>0.4</v>
      </c>
      <c r="J4125" s="9" t="n">
        <v>1</v>
      </c>
      <c r="K4125" s="30"/>
      <c r="L4125" s="30"/>
      <c r="M4125" s="30"/>
      <c r="N4125" s="30"/>
      <c r="O4125" s="30"/>
      <c r="P4125" s="30"/>
      <c r="Q4125" s="30"/>
      <c r="R4125" s="30"/>
      <c r="S4125" s="30"/>
      <c r="T4125" s="30"/>
      <c r="U4125" s="21" t="str">
        <f aca="false">IF(COUNT(K4125:T4125)=0,"SOURCE EMPTY / INDUSTRIAL ONLY",IF(MIN(K4125:T4125)=1,"SERVICE READY","HOLD"))</f>
        <v>SOURCE EMPTY / INDUSTRIAL ONLY</v>
      </c>
      <c r="V4125" s="9" t="n">
        <f aca="false">IF(U4125="SERVICE READY",1,0)</f>
        <v>0</v>
      </c>
      <c r="W4125" s="6"/>
      <c r="X4125" s="6"/>
      <c r="Y4125" s="6"/>
      <c r="Z4125" s="6"/>
    </row>
    <row r="4126" customFormat="false" ht="15" hidden="false" customHeight="false" outlineLevel="0" collapsed="false">
      <c r="A4126" s="9" t="s">
        <v>4412</v>
      </c>
      <c r="B4126" s="9" t="s">
        <v>4323</v>
      </c>
      <c r="C4126" s="9" t="s">
        <v>4324</v>
      </c>
      <c r="D4126" s="9" t="s">
        <v>3722</v>
      </c>
      <c r="E4126" s="9" t="s">
        <v>1660</v>
      </c>
      <c r="F4126" s="9" t="s">
        <v>207</v>
      </c>
      <c r="G4126" s="9" t="s">
        <v>221</v>
      </c>
      <c r="H4126" s="9" t="n">
        <v>750</v>
      </c>
      <c r="I4126" s="29" t="n">
        <v>0.4</v>
      </c>
      <c r="J4126" s="9" t="n">
        <v>1</v>
      </c>
      <c r="K4126" s="30"/>
      <c r="L4126" s="30"/>
      <c r="M4126" s="30"/>
      <c r="N4126" s="30"/>
      <c r="O4126" s="30"/>
      <c r="P4126" s="30"/>
      <c r="Q4126" s="30"/>
      <c r="R4126" s="30"/>
      <c r="S4126" s="30"/>
      <c r="T4126" s="30"/>
      <c r="U4126" s="21" t="str">
        <f aca="false">IF(COUNT(K4126:T4126)=0,"SOURCE EMPTY / INDUSTRIAL ONLY",IF(MIN(K4126:T4126)=1,"SERVICE READY","HOLD"))</f>
        <v>SOURCE EMPTY / INDUSTRIAL ONLY</v>
      </c>
      <c r="V4126" s="9" t="n">
        <f aca="false">IF(U4126="SERVICE READY",1,0)</f>
        <v>0</v>
      </c>
      <c r="W4126" s="6"/>
      <c r="X4126" s="6"/>
      <c r="Y4126" s="6"/>
      <c r="Z4126" s="6"/>
    </row>
    <row r="4127" customFormat="false" ht="15" hidden="false" customHeight="false" outlineLevel="0" collapsed="false">
      <c r="A4127" s="9" t="s">
        <v>4413</v>
      </c>
      <c r="B4127" s="9" t="s">
        <v>4323</v>
      </c>
      <c r="C4127" s="9" t="s">
        <v>4324</v>
      </c>
      <c r="D4127" s="9" t="s">
        <v>3722</v>
      </c>
      <c r="E4127" s="9" t="s">
        <v>1660</v>
      </c>
      <c r="F4127" s="9" t="s">
        <v>209</v>
      </c>
      <c r="G4127" s="9" t="s">
        <v>221</v>
      </c>
      <c r="H4127" s="9" t="n">
        <v>750</v>
      </c>
      <c r="I4127" s="29" t="n">
        <v>0.4</v>
      </c>
      <c r="J4127" s="9" t="n">
        <v>1</v>
      </c>
      <c r="K4127" s="30"/>
      <c r="L4127" s="30"/>
      <c r="M4127" s="30"/>
      <c r="N4127" s="30"/>
      <c r="O4127" s="30"/>
      <c r="P4127" s="30"/>
      <c r="Q4127" s="30"/>
      <c r="R4127" s="30"/>
      <c r="S4127" s="30"/>
      <c r="T4127" s="30"/>
      <c r="U4127" s="21" t="str">
        <f aca="false">IF(COUNT(K4127:T4127)=0,"SOURCE EMPTY / INDUSTRIAL ONLY",IF(MIN(K4127:T4127)=1,"SERVICE READY","HOLD"))</f>
        <v>SOURCE EMPTY / INDUSTRIAL ONLY</v>
      </c>
      <c r="V4127" s="9" t="n">
        <f aca="false">IF(U4127="SERVICE READY",1,0)</f>
        <v>0</v>
      </c>
      <c r="W4127" s="6"/>
      <c r="X4127" s="6"/>
      <c r="Y4127" s="6"/>
      <c r="Z4127" s="6"/>
    </row>
    <row r="4128" customFormat="false" ht="15" hidden="false" customHeight="false" outlineLevel="0" collapsed="false">
      <c r="A4128" s="9" t="s">
        <v>4414</v>
      </c>
      <c r="B4128" s="9" t="s">
        <v>4323</v>
      </c>
      <c r="C4128" s="9" t="s">
        <v>4324</v>
      </c>
      <c r="D4128" s="9" t="s">
        <v>3722</v>
      </c>
      <c r="E4128" s="9" t="s">
        <v>1660</v>
      </c>
      <c r="F4128" s="9" t="s">
        <v>211</v>
      </c>
      <c r="G4128" s="9" t="s">
        <v>221</v>
      </c>
      <c r="H4128" s="9" t="n">
        <v>750</v>
      </c>
      <c r="I4128" s="29" t="n">
        <v>0.4</v>
      </c>
      <c r="J4128" s="9" t="n">
        <v>1</v>
      </c>
      <c r="K4128" s="30"/>
      <c r="L4128" s="30"/>
      <c r="M4128" s="30"/>
      <c r="N4128" s="30"/>
      <c r="O4128" s="30"/>
      <c r="P4128" s="30"/>
      <c r="Q4128" s="30"/>
      <c r="R4128" s="30"/>
      <c r="S4128" s="30"/>
      <c r="T4128" s="30"/>
      <c r="U4128" s="21" t="str">
        <f aca="false">IF(COUNT(K4128:T4128)=0,"SOURCE EMPTY / INDUSTRIAL ONLY",IF(MIN(K4128:T4128)=1,"SERVICE READY","HOLD"))</f>
        <v>SOURCE EMPTY / INDUSTRIAL ONLY</v>
      </c>
      <c r="V4128" s="9" t="n">
        <f aca="false">IF(U4128="SERVICE READY",1,0)</f>
        <v>0</v>
      </c>
      <c r="W4128" s="6"/>
      <c r="X4128" s="6"/>
      <c r="Y4128" s="6"/>
      <c r="Z4128" s="6"/>
    </row>
    <row r="4129" customFormat="false" ht="15" hidden="false" customHeight="false" outlineLevel="0" collapsed="false">
      <c r="A4129" s="9" t="s">
        <v>4415</v>
      </c>
      <c r="B4129" s="9" t="s">
        <v>4323</v>
      </c>
      <c r="C4129" s="9" t="s">
        <v>4324</v>
      </c>
      <c r="D4129" s="9" t="s">
        <v>3722</v>
      </c>
      <c r="E4129" s="9" t="s">
        <v>1660</v>
      </c>
      <c r="F4129" s="9" t="s">
        <v>197</v>
      </c>
      <c r="G4129" s="9" t="s">
        <v>221</v>
      </c>
      <c r="H4129" s="9" t="n">
        <v>750</v>
      </c>
      <c r="I4129" s="29" t="n">
        <v>0.4</v>
      </c>
      <c r="J4129" s="9" t="n">
        <v>1</v>
      </c>
      <c r="K4129" s="30"/>
      <c r="L4129" s="30"/>
      <c r="M4129" s="30"/>
      <c r="N4129" s="30"/>
      <c r="O4129" s="30"/>
      <c r="P4129" s="30"/>
      <c r="Q4129" s="30"/>
      <c r="R4129" s="30"/>
      <c r="S4129" s="30"/>
      <c r="T4129" s="30"/>
      <c r="U4129" s="21" t="str">
        <f aca="false">IF(COUNT(K4129:T4129)=0,"SOURCE EMPTY / INDUSTRIAL ONLY",IF(MIN(K4129:T4129)=1,"SERVICE READY","HOLD"))</f>
        <v>SOURCE EMPTY / INDUSTRIAL ONLY</v>
      </c>
      <c r="V4129" s="9" t="n">
        <f aca="false">IF(U4129="SERVICE READY",1,0)</f>
        <v>0</v>
      </c>
      <c r="W4129" s="6"/>
      <c r="X4129" s="6"/>
      <c r="Y4129" s="6"/>
      <c r="Z4129" s="6"/>
    </row>
    <row r="4130" customFormat="false" ht="15" hidden="false" customHeight="false" outlineLevel="0" collapsed="false">
      <c r="A4130" s="9" t="s">
        <v>4416</v>
      </c>
      <c r="B4130" s="9" t="s">
        <v>4323</v>
      </c>
      <c r="C4130" s="9" t="s">
        <v>4324</v>
      </c>
      <c r="D4130" s="9" t="s">
        <v>3722</v>
      </c>
      <c r="E4130" s="9" t="s">
        <v>1660</v>
      </c>
      <c r="F4130" s="9" t="s">
        <v>200</v>
      </c>
      <c r="G4130" s="9" t="s">
        <v>221</v>
      </c>
      <c r="H4130" s="9" t="n">
        <v>750</v>
      </c>
      <c r="I4130" s="29" t="n">
        <v>0.4</v>
      </c>
      <c r="J4130" s="9" t="n">
        <v>1</v>
      </c>
      <c r="K4130" s="30"/>
      <c r="L4130" s="30"/>
      <c r="M4130" s="30"/>
      <c r="N4130" s="30"/>
      <c r="O4130" s="30"/>
      <c r="P4130" s="30"/>
      <c r="Q4130" s="30"/>
      <c r="R4130" s="30"/>
      <c r="S4130" s="30"/>
      <c r="T4130" s="30"/>
      <c r="U4130" s="21" t="str">
        <f aca="false">IF(COUNT(K4130:T4130)=0,"SOURCE EMPTY / INDUSTRIAL ONLY",IF(MIN(K4130:T4130)=1,"SERVICE READY","HOLD"))</f>
        <v>SOURCE EMPTY / INDUSTRIAL ONLY</v>
      </c>
      <c r="V4130" s="9" t="n">
        <f aca="false">IF(U4130="SERVICE READY",1,0)</f>
        <v>0</v>
      </c>
      <c r="W4130" s="6"/>
      <c r="X4130" s="6"/>
      <c r="Y4130" s="6"/>
      <c r="Z4130" s="6"/>
    </row>
    <row r="4131" customFormat="false" ht="15" hidden="false" customHeight="false" outlineLevel="0" collapsed="false">
      <c r="A4131" s="9" t="s">
        <v>4417</v>
      </c>
      <c r="B4131" s="9" t="s">
        <v>4323</v>
      </c>
      <c r="C4131" s="9" t="s">
        <v>4324</v>
      </c>
      <c r="D4131" s="9" t="s">
        <v>3722</v>
      </c>
      <c r="E4131" s="9" t="s">
        <v>1660</v>
      </c>
      <c r="F4131" s="9" t="s">
        <v>203</v>
      </c>
      <c r="G4131" s="9" t="s">
        <v>221</v>
      </c>
      <c r="H4131" s="9" t="n">
        <v>750</v>
      </c>
      <c r="I4131" s="29" t="n">
        <v>0.4</v>
      </c>
      <c r="J4131" s="9" t="n">
        <v>1</v>
      </c>
      <c r="K4131" s="30"/>
      <c r="L4131" s="30"/>
      <c r="M4131" s="30"/>
      <c r="N4131" s="30"/>
      <c r="O4131" s="30"/>
      <c r="P4131" s="30"/>
      <c r="Q4131" s="30"/>
      <c r="R4131" s="30"/>
      <c r="S4131" s="30"/>
      <c r="T4131" s="30"/>
      <c r="U4131" s="21" t="str">
        <f aca="false">IF(COUNT(K4131:T4131)=0,"SOURCE EMPTY / INDUSTRIAL ONLY",IF(MIN(K4131:T4131)=1,"SERVICE READY","HOLD"))</f>
        <v>SOURCE EMPTY / INDUSTRIAL ONLY</v>
      </c>
      <c r="V4131" s="9" t="n">
        <f aca="false">IF(U4131="SERVICE READY",1,0)</f>
        <v>0</v>
      </c>
      <c r="W4131" s="6"/>
      <c r="X4131" s="6"/>
      <c r="Y4131" s="6"/>
      <c r="Z4131" s="6"/>
    </row>
    <row r="4132" customFormat="false" ht="15" hidden="false" customHeight="false" outlineLevel="0" collapsed="false">
      <c r="A4132" s="9" t="s">
        <v>4418</v>
      </c>
      <c r="B4132" s="9" t="s">
        <v>4323</v>
      </c>
      <c r="C4132" s="9" t="s">
        <v>4324</v>
      </c>
      <c r="D4132" s="9" t="s">
        <v>3722</v>
      </c>
      <c r="E4132" s="9" t="s">
        <v>1660</v>
      </c>
      <c r="F4132" s="9" t="s">
        <v>205</v>
      </c>
      <c r="G4132" s="9" t="s">
        <v>221</v>
      </c>
      <c r="H4132" s="9" t="n">
        <v>750</v>
      </c>
      <c r="I4132" s="29" t="n">
        <v>0.4</v>
      </c>
      <c r="J4132" s="9" t="n">
        <v>1</v>
      </c>
      <c r="K4132" s="30"/>
      <c r="L4132" s="30"/>
      <c r="M4132" s="30"/>
      <c r="N4132" s="30"/>
      <c r="O4132" s="30"/>
      <c r="P4132" s="30"/>
      <c r="Q4132" s="30"/>
      <c r="R4132" s="30"/>
      <c r="S4132" s="30"/>
      <c r="T4132" s="30"/>
      <c r="U4132" s="21" t="str">
        <f aca="false">IF(COUNT(K4132:T4132)=0,"SOURCE EMPTY / INDUSTRIAL ONLY",IF(MIN(K4132:T4132)=1,"SERVICE READY","HOLD"))</f>
        <v>SOURCE EMPTY / INDUSTRIAL ONLY</v>
      </c>
      <c r="V4132" s="9" t="n">
        <f aca="false">IF(U4132="SERVICE READY",1,0)</f>
        <v>0</v>
      </c>
      <c r="W4132" s="6"/>
      <c r="X4132" s="6"/>
      <c r="Y4132" s="6"/>
      <c r="Z4132" s="6"/>
    </row>
    <row r="4133" customFormat="false" ht="15" hidden="false" customHeight="false" outlineLevel="0" collapsed="false">
      <c r="A4133" s="9" t="s">
        <v>4419</v>
      </c>
      <c r="B4133" s="9" t="s">
        <v>4323</v>
      </c>
      <c r="C4133" s="9" t="s">
        <v>4324</v>
      </c>
      <c r="D4133" s="9" t="s">
        <v>3722</v>
      </c>
      <c r="E4133" s="9" t="s">
        <v>1660</v>
      </c>
      <c r="F4133" s="9" t="s">
        <v>207</v>
      </c>
      <c r="G4133" s="9" t="s">
        <v>221</v>
      </c>
      <c r="H4133" s="9" t="n">
        <v>750</v>
      </c>
      <c r="I4133" s="29" t="n">
        <v>0.4</v>
      </c>
      <c r="J4133" s="9" t="n">
        <v>1</v>
      </c>
      <c r="K4133" s="30"/>
      <c r="L4133" s="30"/>
      <c r="M4133" s="30"/>
      <c r="N4133" s="30"/>
      <c r="O4133" s="30"/>
      <c r="P4133" s="30"/>
      <c r="Q4133" s="30"/>
      <c r="R4133" s="30"/>
      <c r="S4133" s="30"/>
      <c r="T4133" s="30"/>
      <c r="U4133" s="21" t="str">
        <f aca="false">IF(COUNT(K4133:T4133)=0,"SOURCE EMPTY / INDUSTRIAL ONLY",IF(MIN(K4133:T4133)=1,"SERVICE READY","HOLD"))</f>
        <v>SOURCE EMPTY / INDUSTRIAL ONLY</v>
      </c>
      <c r="V4133" s="9" t="n">
        <f aca="false">IF(U4133="SERVICE READY",1,0)</f>
        <v>0</v>
      </c>
      <c r="W4133" s="6"/>
      <c r="X4133" s="6"/>
      <c r="Y4133" s="6"/>
      <c r="Z4133" s="6"/>
    </row>
    <row r="4134" customFormat="false" ht="15" hidden="false" customHeight="false" outlineLevel="0" collapsed="false">
      <c r="A4134" s="9" t="s">
        <v>4420</v>
      </c>
      <c r="B4134" s="9" t="s">
        <v>4323</v>
      </c>
      <c r="C4134" s="9" t="s">
        <v>4324</v>
      </c>
      <c r="D4134" s="9" t="s">
        <v>3722</v>
      </c>
      <c r="E4134" s="9" t="s">
        <v>1660</v>
      </c>
      <c r="F4134" s="9" t="s">
        <v>209</v>
      </c>
      <c r="G4134" s="9" t="s">
        <v>221</v>
      </c>
      <c r="H4134" s="9" t="n">
        <v>750</v>
      </c>
      <c r="I4134" s="29" t="n">
        <v>0.4</v>
      </c>
      <c r="J4134" s="9" t="n">
        <v>1</v>
      </c>
      <c r="K4134" s="30"/>
      <c r="L4134" s="30"/>
      <c r="M4134" s="30"/>
      <c r="N4134" s="30"/>
      <c r="O4134" s="30"/>
      <c r="P4134" s="30"/>
      <c r="Q4134" s="30"/>
      <c r="R4134" s="30"/>
      <c r="S4134" s="30"/>
      <c r="T4134" s="30"/>
      <c r="U4134" s="21" t="str">
        <f aca="false">IF(COUNT(K4134:T4134)=0,"SOURCE EMPTY / INDUSTRIAL ONLY",IF(MIN(K4134:T4134)=1,"SERVICE READY","HOLD"))</f>
        <v>SOURCE EMPTY / INDUSTRIAL ONLY</v>
      </c>
      <c r="V4134" s="9" t="n">
        <f aca="false">IF(U4134="SERVICE READY",1,0)</f>
        <v>0</v>
      </c>
      <c r="W4134" s="6"/>
      <c r="X4134" s="6"/>
      <c r="Y4134" s="6"/>
      <c r="Z4134" s="6"/>
    </row>
    <row r="4135" customFormat="false" ht="15" hidden="false" customHeight="false" outlineLevel="0" collapsed="false">
      <c r="A4135" s="9" t="s">
        <v>4421</v>
      </c>
      <c r="B4135" s="9" t="s">
        <v>4323</v>
      </c>
      <c r="C4135" s="9" t="s">
        <v>4324</v>
      </c>
      <c r="D4135" s="9" t="s">
        <v>3722</v>
      </c>
      <c r="E4135" s="9" t="s">
        <v>1660</v>
      </c>
      <c r="F4135" s="9" t="s">
        <v>211</v>
      </c>
      <c r="G4135" s="9" t="s">
        <v>221</v>
      </c>
      <c r="H4135" s="9" t="n">
        <v>750</v>
      </c>
      <c r="I4135" s="29" t="n">
        <v>0.4</v>
      </c>
      <c r="J4135" s="9" t="n">
        <v>1</v>
      </c>
      <c r="K4135" s="30"/>
      <c r="L4135" s="30"/>
      <c r="M4135" s="30"/>
      <c r="N4135" s="30"/>
      <c r="O4135" s="30"/>
      <c r="P4135" s="30"/>
      <c r="Q4135" s="30"/>
      <c r="R4135" s="30"/>
      <c r="S4135" s="30"/>
      <c r="T4135" s="30"/>
      <c r="U4135" s="21" t="str">
        <f aca="false">IF(COUNT(K4135:T4135)=0,"SOURCE EMPTY / INDUSTRIAL ONLY",IF(MIN(K4135:T4135)=1,"SERVICE READY","HOLD"))</f>
        <v>SOURCE EMPTY / INDUSTRIAL ONLY</v>
      </c>
      <c r="V4135" s="9" t="n">
        <f aca="false">IF(U4135="SERVICE READY",1,0)</f>
        <v>0</v>
      </c>
      <c r="W4135" s="6"/>
      <c r="X4135" s="6"/>
      <c r="Y4135" s="6"/>
      <c r="Z4135" s="6"/>
    </row>
    <row r="4136" customFormat="false" ht="15" hidden="false" customHeight="false" outlineLevel="0" collapsed="false">
      <c r="A4136" s="9" t="s">
        <v>4422</v>
      </c>
      <c r="B4136" s="9" t="s">
        <v>4323</v>
      </c>
      <c r="C4136" s="9" t="s">
        <v>4324</v>
      </c>
      <c r="D4136" s="9" t="s">
        <v>3722</v>
      </c>
      <c r="E4136" s="9" t="s">
        <v>1660</v>
      </c>
      <c r="F4136" s="9" t="s">
        <v>197</v>
      </c>
      <c r="G4136" s="9" t="s">
        <v>221</v>
      </c>
      <c r="H4136" s="9" t="n">
        <v>750</v>
      </c>
      <c r="I4136" s="29" t="n">
        <v>0.4</v>
      </c>
      <c r="J4136" s="9" t="n">
        <v>1</v>
      </c>
      <c r="K4136" s="30"/>
      <c r="L4136" s="30"/>
      <c r="M4136" s="30"/>
      <c r="N4136" s="30"/>
      <c r="O4136" s="30"/>
      <c r="P4136" s="30"/>
      <c r="Q4136" s="30"/>
      <c r="R4136" s="30"/>
      <c r="S4136" s="30"/>
      <c r="T4136" s="30"/>
      <c r="U4136" s="21" t="str">
        <f aca="false">IF(COUNT(K4136:T4136)=0,"SOURCE EMPTY / INDUSTRIAL ONLY",IF(MIN(K4136:T4136)=1,"SERVICE READY","HOLD"))</f>
        <v>SOURCE EMPTY / INDUSTRIAL ONLY</v>
      </c>
      <c r="V4136" s="9" t="n">
        <f aca="false">IF(U4136="SERVICE READY",1,0)</f>
        <v>0</v>
      </c>
      <c r="W4136" s="6"/>
      <c r="X4136" s="6"/>
      <c r="Y4136" s="6"/>
      <c r="Z4136" s="6"/>
    </row>
    <row r="4137" customFormat="false" ht="15" hidden="false" customHeight="false" outlineLevel="0" collapsed="false">
      <c r="A4137" s="9" t="s">
        <v>4423</v>
      </c>
      <c r="B4137" s="9" t="s">
        <v>4323</v>
      </c>
      <c r="C4137" s="9" t="s">
        <v>4324</v>
      </c>
      <c r="D4137" s="9" t="s">
        <v>3722</v>
      </c>
      <c r="E4137" s="9" t="s">
        <v>1660</v>
      </c>
      <c r="F4137" s="9" t="s">
        <v>200</v>
      </c>
      <c r="G4137" s="9" t="s">
        <v>221</v>
      </c>
      <c r="H4137" s="9" t="n">
        <v>750</v>
      </c>
      <c r="I4137" s="29" t="n">
        <v>0.4</v>
      </c>
      <c r="J4137" s="9" t="n">
        <v>1</v>
      </c>
      <c r="K4137" s="30"/>
      <c r="L4137" s="30"/>
      <c r="M4137" s="30"/>
      <c r="N4137" s="30"/>
      <c r="O4137" s="30"/>
      <c r="P4137" s="30"/>
      <c r="Q4137" s="30"/>
      <c r="R4137" s="30"/>
      <c r="S4137" s="30"/>
      <c r="T4137" s="30"/>
      <c r="U4137" s="21" t="str">
        <f aca="false">IF(COUNT(K4137:T4137)=0,"SOURCE EMPTY / INDUSTRIAL ONLY",IF(MIN(K4137:T4137)=1,"SERVICE READY","HOLD"))</f>
        <v>SOURCE EMPTY / INDUSTRIAL ONLY</v>
      </c>
      <c r="V4137" s="9" t="n">
        <f aca="false">IF(U4137="SERVICE READY",1,0)</f>
        <v>0</v>
      </c>
      <c r="W4137" s="6"/>
      <c r="X4137" s="6"/>
      <c r="Y4137" s="6"/>
      <c r="Z4137" s="6"/>
    </row>
    <row r="4138" customFormat="false" ht="15" hidden="false" customHeight="false" outlineLevel="0" collapsed="false">
      <c r="A4138" s="9" t="s">
        <v>4424</v>
      </c>
      <c r="B4138" s="9" t="s">
        <v>4323</v>
      </c>
      <c r="C4138" s="9" t="s">
        <v>4324</v>
      </c>
      <c r="D4138" s="9" t="s">
        <v>3722</v>
      </c>
      <c r="E4138" s="9" t="s">
        <v>1660</v>
      </c>
      <c r="F4138" s="9" t="s">
        <v>203</v>
      </c>
      <c r="G4138" s="9" t="s">
        <v>221</v>
      </c>
      <c r="H4138" s="9" t="n">
        <v>750</v>
      </c>
      <c r="I4138" s="29" t="n">
        <v>0.4</v>
      </c>
      <c r="J4138" s="9" t="n">
        <v>1</v>
      </c>
      <c r="K4138" s="30"/>
      <c r="L4138" s="30"/>
      <c r="M4138" s="30"/>
      <c r="N4138" s="30"/>
      <c r="O4138" s="30"/>
      <c r="P4138" s="30"/>
      <c r="Q4138" s="30"/>
      <c r="R4138" s="30"/>
      <c r="S4138" s="30"/>
      <c r="T4138" s="30"/>
      <c r="U4138" s="21" t="str">
        <f aca="false">IF(COUNT(K4138:T4138)=0,"SOURCE EMPTY / INDUSTRIAL ONLY",IF(MIN(K4138:T4138)=1,"SERVICE READY","HOLD"))</f>
        <v>SOURCE EMPTY / INDUSTRIAL ONLY</v>
      </c>
      <c r="V4138" s="9" t="n">
        <f aca="false">IF(U4138="SERVICE READY",1,0)</f>
        <v>0</v>
      </c>
      <c r="W4138" s="6"/>
      <c r="X4138" s="6"/>
      <c r="Y4138" s="6"/>
      <c r="Z4138" s="6"/>
    </row>
    <row r="4139" customFormat="false" ht="15" hidden="false" customHeight="false" outlineLevel="0" collapsed="false">
      <c r="A4139" s="9" t="s">
        <v>4425</v>
      </c>
      <c r="B4139" s="9" t="s">
        <v>4323</v>
      </c>
      <c r="C4139" s="9" t="s">
        <v>4324</v>
      </c>
      <c r="D4139" s="9" t="s">
        <v>3722</v>
      </c>
      <c r="E4139" s="9" t="s">
        <v>1660</v>
      </c>
      <c r="F4139" s="9" t="s">
        <v>205</v>
      </c>
      <c r="G4139" s="9" t="s">
        <v>221</v>
      </c>
      <c r="H4139" s="9" t="n">
        <v>750</v>
      </c>
      <c r="I4139" s="29" t="n">
        <v>0.4</v>
      </c>
      <c r="J4139" s="9" t="n">
        <v>1</v>
      </c>
      <c r="K4139" s="30"/>
      <c r="L4139" s="30"/>
      <c r="M4139" s="30"/>
      <c r="N4139" s="30"/>
      <c r="O4139" s="30"/>
      <c r="P4139" s="30"/>
      <c r="Q4139" s="30"/>
      <c r="R4139" s="30"/>
      <c r="S4139" s="30"/>
      <c r="T4139" s="30"/>
      <c r="U4139" s="21" t="str">
        <f aca="false">IF(COUNT(K4139:T4139)=0,"SOURCE EMPTY / INDUSTRIAL ONLY",IF(MIN(K4139:T4139)=1,"SERVICE READY","HOLD"))</f>
        <v>SOURCE EMPTY / INDUSTRIAL ONLY</v>
      </c>
      <c r="V4139" s="9" t="n">
        <f aca="false">IF(U4139="SERVICE READY",1,0)</f>
        <v>0</v>
      </c>
      <c r="W4139" s="6"/>
      <c r="X4139" s="6"/>
      <c r="Y4139" s="6"/>
      <c r="Z4139" s="6"/>
    </row>
    <row r="4140" customFormat="false" ht="15" hidden="false" customHeight="false" outlineLevel="0" collapsed="false">
      <c r="A4140" s="9" t="s">
        <v>4426</v>
      </c>
      <c r="B4140" s="9" t="s">
        <v>4323</v>
      </c>
      <c r="C4140" s="9" t="s">
        <v>4324</v>
      </c>
      <c r="D4140" s="9" t="s">
        <v>3722</v>
      </c>
      <c r="E4140" s="9" t="s">
        <v>1660</v>
      </c>
      <c r="F4140" s="9" t="s">
        <v>207</v>
      </c>
      <c r="G4140" s="9" t="s">
        <v>221</v>
      </c>
      <c r="H4140" s="9" t="n">
        <v>750</v>
      </c>
      <c r="I4140" s="29" t="n">
        <v>0.4</v>
      </c>
      <c r="J4140" s="9" t="n">
        <v>1</v>
      </c>
      <c r="K4140" s="30"/>
      <c r="L4140" s="30"/>
      <c r="M4140" s="30"/>
      <c r="N4140" s="30"/>
      <c r="O4140" s="30"/>
      <c r="P4140" s="30"/>
      <c r="Q4140" s="30"/>
      <c r="R4140" s="30"/>
      <c r="S4140" s="30"/>
      <c r="T4140" s="30"/>
      <c r="U4140" s="21" t="str">
        <f aca="false">IF(COUNT(K4140:T4140)=0,"SOURCE EMPTY / INDUSTRIAL ONLY",IF(MIN(K4140:T4140)=1,"SERVICE READY","HOLD"))</f>
        <v>SOURCE EMPTY / INDUSTRIAL ONLY</v>
      </c>
      <c r="V4140" s="9" t="n">
        <f aca="false">IF(U4140="SERVICE READY",1,0)</f>
        <v>0</v>
      </c>
      <c r="W4140" s="6"/>
      <c r="X4140" s="6"/>
      <c r="Y4140" s="6"/>
      <c r="Z4140" s="6"/>
    </row>
    <row r="4141" customFormat="false" ht="15" hidden="false" customHeight="false" outlineLevel="0" collapsed="false">
      <c r="A4141" s="9" t="s">
        <v>4427</v>
      </c>
      <c r="B4141" s="9" t="s">
        <v>4323</v>
      </c>
      <c r="C4141" s="9" t="s">
        <v>4324</v>
      </c>
      <c r="D4141" s="9" t="s">
        <v>3722</v>
      </c>
      <c r="E4141" s="9" t="s">
        <v>1660</v>
      </c>
      <c r="F4141" s="9" t="s">
        <v>209</v>
      </c>
      <c r="G4141" s="9" t="s">
        <v>221</v>
      </c>
      <c r="H4141" s="9" t="n">
        <v>750</v>
      </c>
      <c r="I4141" s="29" t="n">
        <v>0.4</v>
      </c>
      <c r="J4141" s="9" t="n">
        <v>1</v>
      </c>
      <c r="K4141" s="30"/>
      <c r="L4141" s="30"/>
      <c r="M4141" s="30"/>
      <c r="N4141" s="30"/>
      <c r="O4141" s="30"/>
      <c r="P4141" s="30"/>
      <c r="Q4141" s="30"/>
      <c r="R4141" s="30"/>
      <c r="S4141" s="30"/>
      <c r="T4141" s="30"/>
      <c r="U4141" s="21" t="str">
        <f aca="false">IF(COUNT(K4141:T4141)=0,"SOURCE EMPTY / INDUSTRIAL ONLY",IF(MIN(K4141:T4141)=1,"SERVICE READY","HOLD"))</f>
        <v>SOURCE EMPTY / INDUSTRIAL ONLY</v>
      </c>
      <c r="V4141" s="9" t="n">
        <f aca="false">IF(U4141="SERVICE READY",1,0)</f>
        <v>0</v>
      </c>
      <c r="W4141" s="6"/>
      <c r="X4141" s="6"/>
      <c r="Y4141" s="6"/>
      <c r="Z4141" s="6"/>
    </row>
    <row r="4142" customFormat="false" ht="15" hidden="false" customHeight="false" outlineLevel="0" collapsed="false">
      <c r="A4142" s="9" t="s">
        <v>4428</v>
      </c>
      <c r="B4142" s="9" t="s">
        <v>4323</v>
      </c>
      <c r="C4142" s="9" t="s">
        <v>4324</v>
      </c>
      <c r="D4142" s="9" t="s">
        <v>3722</v>
      </c>
      <c r="E4142" s="9" t="s">
        <v>1660</v>
      </c>
      <c r="F4142" s="9" t="s">
        <v>211</v>
      </c>
      <c r="G4142" s="9" t="s">
        <v>221</v>
      </c>
      <c r="H4142" s="9" t="n">
        <v>750</v>
      </c>
      <c r="I4142" s="29" t="n">
        <v>0.4</v>
      </c>
      <c r="J4142" s="9" t="n">
        <v>1</v>
      </c>
      <c r="K4142" s="30"/>
      <c r="L4142" s="30"/>
      <c r="M4142" s="30"/>
      <c r="N4142" s="30"/>
      <c r="O4142" s="30"/>
      <c r="P4142" s="30"/>
      <c r="Q4142" s="30"/>
      <c r="R4142" s="30"/>
      <c r="S4142" s="30"/>
      <c r="T4142" s="30"/>
      <c r="U4142" s="21" t="str">
        <f aca="false">IF(COUNT(K4142:T4142)=0,"SOURCE EMPTY / INDUSTRIAL ONLY",IF(MIN(K4142:T4142)=1,"SERVICE READY","HOLD"))</f>
        <v>SOURCE EMPTY / INDUSTRIAL ONLY</v>
      </c>
      <c r="V4142" s="9" t="n">
        <f aca="false">IF(U4142="SERVICE READY",1,0)</f>
        <v>0</v>
      </c>
      <c r="W4142" s="6"/>
      <c r="X4142" s="6"/>
      <c r="Y4142" s="6"/>
      <c r="Z4142" s="6"/>
    </row>
    <row r="4143" customFormat="false" ht="15" hidden="false" customHeight="false" outlineLevel="0" collapsed="false">
      <c r="A4143" s="9" t="s">
        <v>4429</v>
      </c>
      <c r="B4143" s="9" t="s">
        <v>4323</v>
      </c>
      <c r="C4143" s="9" t="s">
        <v>4324</v>
      </c>
      <c r="D4143" s="9" t="s">
        <v>3722</v>
      </c>
      <c r="E4143" s="9" t="s">
        <v>1660</v>
      </c>
      <c r="F4143" s="9" t="s">
        <v>197</v>
      </c>
      <c r="G4143" s="9" t="s">
        <v>221</v>
      </c>
      <c r="H4143" s="9" t="n">
        <v>750</v>
      </c>
      <c r="I4143" s="29" t="n">
        <v>0.4</v>
      </c>
      <c r="J4143" s="9" t="n">
        <v>1</v>
      </c>
      <c r="K4143" s="30"/>
      <c r="L4143" s="30"/>
      <c r="M4143" s="30"/>
      <c r="N4143" s="30"/>
      <c r="O4143" s="30"/>
      <c r="P4143" s="30"/>
      <c r="Q4143" s="30"/>
      <c r="R4143" s="30"/>
      <c r="S4143" s="30"/>
      <c r="T4143" s="30"/>
      <c r="U4143" s="21" t="str">
        <f aca="false">IF(COUNT(K4143:T4143)=0,"SOURCE EMPTY / INDUSTRIAL ONLY",IF(MIN(K4143:T4143)=1,"SERVICE READY","HOLD"))</f>
        <v>SOURCE EMPTY / INDUSTRIAL ONLY</v>
      </c>
      <c r="V4143" s="9" t="n">
        <f aca="false">IF(U4143="SERVICE READY",1,0)</f>
        <v>0</v>
      </c>
      <c r="W4143" s="6"/>
      <c r="X4143" s="6"/>
      <c r="Y4143" s="6"/>
      <c r="Z4143" s="6"/>
    </row>
    <row r="4144" customFormat="false" ht="15" hidden="false" customHeight="false" outlineLevel="0" collapsed="false">
      <c r="A4144" s="9" t="s">
        <v>4430</v>
      </c>
      <c r="B4144" s="9" t="s">
        <v>4323</v>
      </c>
      <c r="C4144" s="9" t="s">
        <v>4324</v>
      </c>
      <c r="D4144" s="9" t="s">
        <v>3722</v>
      </c>
      <c r="E4144" s="9" t="s">
        <v>1660</v>
      </c>
      <c r="F4144" s="9" t="s">
        <v>200</v>
      </c>
      <c r="G4144" s="9" t="s">
        <v>221</v>
      </c>
      <c r="H4144" s="9" t="n">
        <v>750</v>
      </c>
      <c r="I4144" s="29" t="n">
        <v>0.4</v>
      </c>
      <c r="J4144" s="9" t="n">
        <v>1</v>
      </c>
      <c r="K4144" s="30"/>
      <c r="L4144" s="30"/>
      <c r="M4144" s="30"/>
      <c r="N4144" s="30"/>
      <c r="O4144" s="30"/>
      <c r="P4144" s="30"/>
      <c r="Q4144" s="30"/>
      <c r="R4144" s="30"/>
      <c r="S4144" s="30"/>
      <c r="T4144" s="30"/>
      <c r="U4144" s="21" t="str">
        <f aca="false">IF(COUNT(K4144:T4144)=0,"SOURCE EMPTY / INDUSTRIAL ONLY",IF(MIN(K4144:T4144)=1,"SERVICE READY","HOLD"))</f>
        <v>SOURCE EMPTY / INDUSTRIAL ONLY</v>
      </c>
      <c r="V4144" s="9" t="n">
        <f aca="false">IF(U4144="SERVICE READY",1,0)</f>
        <v>0</v>
      </c>
      <c r="W4144" s="6"/>
      <c r="X4144" s="6"/>
      <c r="Y4144" s="6"/>
      <c r="Z4144" s="6"/>
    </row>
    <row r="4145" customFormat="false" ht="15" hidden="false" customHeight="false" outlineLevel="0" collapsed="false">
      <c r="A4145" s="9" t="s">
        <v>4431</v>
      </c>
      <c r="B4145" s="9" t="s">
        <v>4323</v>
      </c>
      <c r="C4145" s="9" t="s">
        <v>4324</v>
      </c>
      <c r="D4145" s="9" t="s">
        <v>3722</v>
      </c>
      <c r="E4145" s="9" t="s">
        <v>1660</v>
      </c>
      <c r="F4145" s="9" t="s">
        <v>203</v>
      </c>
      <c r="G4145" s="9" t="s">
        <v>221</v>
      </c>
      <c r="H4145" s="9" t="n">
        <v>750</v>
      </c>
      <c r="I4145" s="29" t="n">
        <v>0.4</v>
      </c>
      <c r="J4145" s="9" t="n">
        <v>1</v>
      </c>
      <c r="K4145" s="30"/>
      <c r="L4145" s="30"/>
      <c r="M4145" s="30"/>
      <c r="N4145" s="30"/>
      <c r="O4145" s="30"/>
      <c r="P4145" s="30"/>
      <c r="Q4145" s="30"/>
      <c r="R4145" s="30"/>
      <c r="S4145" s="30"/>
      <c r="T4145" s="30"/>
      <c r="U4145" s="21" t="str">
        <f aca="false">IF(COUNT(K4145:T4145)=0,"SOURCE EMPTY / INDUSTRIAL ONLY",IF(MIN(K4145:T4145)=1,"SERVICE READY","HOLD"))</f>
        <v>SOURCE EMPTY / INDUSTRIAL ONLY</v>
      </c>
      <c r="V4145" s="9" t="n">
        <f aca="false">IF(U4145="SERVICE READY",1,0)</f>
        <v>0</v>
      </c>
      <c r="W4145" s="6"/>
      <c r="X4145" s="6"/>
      <c r="Y4145" s="6"/>
      <c r="Z4145" s="6"/>
    </row>
    <row r="4146" customFormat="false" ht="15" hidden="false" customHeight="false" outlineLevel="0" collapsed="false">
      <c r="A4146" s="9" t="s">
        <v>4432</v>
      </c>
      <c r="B4146" s="9" t="s">
        <v>4323</v>
      </c>
      <c r="C4146" s="9" t="s">
        <v>4324</v>
      </c>
      <c r="D4146" s="9" t="s">
        <v>3722</v>
      </c>
      <c r="E4146" s="9" t="s">
        <v>1660</v>
      </c>
      <c r="F4146" s="9" t="s">
        <v>205</v>
      </c>
      <c r="G4146" s="9" t="s">
        <v>221</v>
      </c>
      <c r="H4146" s="9" t="n">
        <v>750</v>
      </c>
      <c r="I4146" s="29" t="n">
        <v>0.4</v>
      </c>
      <c r="J4146" s="9" t="n">
        <v>1</v>
      </c>
      <c r="K4146" s="30"/>
      <c r="L4146" s="30"/>
      <c r="M4146" s="30"/>
      <c r="N4146" s="30"/>
      <c r="O4146" s="30"/>
      <c r="P4146" s="30"/>
      <c r="Q4146" s="30"/>
      <c r="R4146" s="30"/>
      <c r="S4146" s="30"/>
      <c r="T4146" s="30"/>
      <c r="U4146" s="21" t="str">
        <f aca="false">IF(COUNT(K4146:T4146)=0,"SOURCE EMPTY / INDUSTRIAL ONLY",IF(MIN(K4146:T4146)=1,"SERVICE READY","HOLD"))</f>
        <v>SOURCE EMPTY / INDUSTRIAL ONLY</v>
      </c>
      <c r="V4146" s="9" t="n">
        <f aca="false">IF(U4146="SERVICE READY",1,0)</f>
        <v>0</v>
      </c>
      <c r="W4146" s="6"/>
      <c r="X4146" s="6"/>
      <c r="Y4146" s="6"/>
      <c r="Z4146" s="6"/>
    </row>
    <row r="4147" customFormat="false" ht="15" hidden="false" customHeight="false" outlineLevel="0" collapsed="false">
      <c r="A4147" s="9" t="s">
        <v>4433</v>
      </c>
      <c r="B4147" s="9" t="s">
        <v>4323</v>
      </c>
      <c r="C4147" s="9" t="s">
        <v>4324</v>
      </c>
      <c r="D4147" s="9" t="s">
        <v>3722</v>
      </c>
      <c r="E4147" s="9" t="s">
        <v>1660</v>
      </c>
      <c r="F4147" s="9" t="s">
        <v>207</v>
      </c>
      <c r="G4147" s="9" t="s">
        <v>221</v>
      </c>
      <c r="H4147" s="9" t="n">
        <v>750</v>
      </c>
      <c r="I4147" s="29" t="n">
        <v>0.4</v>
      </c>
      <c r="J4147" s="9" t="n">
        <v>1</v>
      </c>
      <c r="K4147" s="30"/>
      <c r="L4147" s="30"/>
      <c r="M4147" s="30"/>
      <c r="N4147" s="30"/>
      <c r="O4147" s="30"/>
      <c r="P4147" s="30"/>
      <c r="Q4147" s="30"/>
      <c r="R4147" s="30"/>
      <c r="S4147" s="30"/>
      <c r="T4147" s="30"/>
      <c r="U4147" s="21" t="str">
        <f aca="false">IF(COUNT(K4147:T4147)=0,"SOURCE EMPTY / INDUSTRIAL ONLY",IF(MIN(K4147:T4147)=1,"SERVICE READY","HOLD"))</f>
        <v>SOURCE EMPTY / INDUSTRIAL ONLY</v>
      </c>
      <c r="V4147" s="9" t="n">
        <f aca="false">IF(U4147="SERVICE READY",1,0)</f>
        <v>0</v>
      </c>
      <c r="W4147" s="6"/>
      <c r="X4147" s="6"/>
      <c r="Y4147" s="6"/>
      <c r="Z4147" s="6"/>
    </row>
    <row r="4148" customFormat="false" ht="15" hidden="false" customHeight="false" outlineLevel="0" collapsed="false">
      <c r="A4148" s="9" t="s">
        <v>4434</v>
      </c>
      <c r="B4148" s="9" t="s">
        <v>4323</v>
      </c>
      <c r="C4148" s="9" t="s">
        <v>4324</v>
      </c>
      <c r="D4148" s="9" t="s">
        <v>3722</v>
      </c>
      <c r="E4148" s="9" t="s">
        <v>1660</v>
      </c>
      <c r="F4148" s="9" t="s">
        <v>209</v>
      </c>
      <c r="G4148" s="9" t="s">
        <v>221</v>
      </c>
      <c r="H4148" s="9" t="n">
        <v>750</v>
      </c>
      <c r="I4148" s="29" t="n">
        <v>0.4</v>
      </c>
      <c r="J4148" s="9" t="n">
        <v>1</v>
      </c>
      <c r="K4148" s="30"/>
      <c r="L4148" s="30"/>
      <c r="M4148" s="30"/>
      <c r="N4148" s="30"/>
      <c r="O4148" s="30"/>
      <c r="P4148" s="30"/>
      <c r="Q4148" s="30"/>
      <c r="R4148" s="30"/>
      <c r="S4148" s="30"/>
      <c r="T4148" s="30"/>
      <c r="U4148" s="21" t="str">
        <f aca="false">IF(COUNT(K4148:T4148)=0,"SOURCE EMPTY / INDUSTRIAL ONLY",IF(MIN(K4148:T4148)=1,"SERVICE READY","HOLD"))</f>
        <v>SOURCE EMPTY / INDUSTRIAL ONLY</v>
      </c>
      <c r="V4148" s="9" t="n">
        <f aca="false">IF(U4148="SERVICE READY",1,0)</f>
        <v>0</v>
      </c>
      <c r="W4148" s="6"/>
      <c r="X4148" s="6"/>
      <c r="Y4148" s="6"/>
      <c r="Z4148" s="6"/>
    </row>
    <row r="4149" customFormat="false" ht="15" hidden="false" customHeight="false" outlineLevel="0" collapsed="false">
      <c r="A4149" s="9" t="s">
        <v>4435</v>
      </c>
      <c r="B4149" s="9" t="s">
        <v>4323</v>
      </c>
      <c r="C4149" s="9" t="s">
        <v>4324</v>
      </c>
      <c r="D4149" s="9" t="s">
        <v>3722</v>
      </c>
      <c r="E4149" s="9" t="s">
        <v>1660</v>
      </c>
      <c r="F4149" s="9" t="s">
        <v>211</v>
      </c>
      <c r="G4149" s="9" t="s">
        <v>221</v>
      </c>
      <c r="H4149" s="9" t="n">
        <v>750</v>
      </c>
      <c r="I4149" s="29" t="n">
        <v>0.4</v>
      </c>
      <c r="J4149" s="9" t="n">
        <v>1</v>
      </c>
      <c r="K4149" s="30"/>
      <c r="L4149" s="30"/>
      <c r="M4149" s="30"/>
      <c r="N4149" s="30"/>
      <c r="O4149" s="30"/>
      <c r="P4149" s="30"/>
      <c r="Q4149" s="30"/>
      <c r="R4149" s="30"/>
      <c r="S4149" s="30"/>
      <c r="T4149" s="30"/>
      <c r="U4149" s="21" t="str">
        <f aca="false">IF(COUNT(K4149:T4149)=0,"SOURCE EMPTY / INDUSTRIAL ONLY",IF(MIN(K4149:T4149)=1,"SERVICE READY","HOLD"))</f>
        <v>SOURCE EMPTY / INDUSTRIAL ONLY</v>
      </c>
      <c r="V4149" s="9" t="n">
        <f aca="false">IF(U4149="SERVICE READY",1,0)</f>
        <v>0</v>
      </c>
      <c r="W4149" s="6"/>
      <c r="X4149" s="6"/>
      <c r="Y4149" s="6"/>
      <c r="Z4149" s="6"/>
    </row>
    <row r="4150" customFormat="false" ht="15" hidden="false" customHeight="false" outlineLevel="0" collapsed="false">
      <c r="A4150" s="9" t="s">
        <v>4436</v>
      </c>
      <c r="B4150" s="9" t="s">
        <v>4323</v>
      </c>
      <c r="C4150" s="9" t="s">
        <v>4324</v>
      </c>
      <c r="D4150" s="9" t="s">
        <v>3722</v>
      </c>
      <c r="E4150" s="9" t="s">
        <v>1660</v>
      </c>
      <c r="F4150" s="9" t="s">
        <v>197</v>
      </c>
      <c r="G4150" s="9" t="s">
        <v>221</v>
      </c>
      <c r="H4150" s="9" t="n">
        <v>750</v>
      </c>
      <c r="I4150" s="29" t="n">
        <v>0.4</v>
      </c>
      <c r="J4150" s="9" t="n">
        <v>1</v>
      </c>
      <c r="K4150" s="30"/>
      <c r="L4150" s="30"/>
      <c r="M4150" s="30"/>
      <c r="N4150" s="30"/>
      <c r="O4150" s="30"/>
      <c r="P4150" s="30"/>
      <c r="Q4150" s="30"/>
      <c r="R4150" s="30"/>
      <c r="S4150" s="30"/>
      <c r="T4150" s="30"/>
      <c r="U4150" s="21" t="str">
        <f aca="false">IF(COUNT(K4150:T4150)=0,"SOURCE EMPTY / INDUSTRIAL ONLY",IF(MIN(K4150:T4150)=1,"SERVICE READY","HOLD"))</f>
        <v>SOURCE EMPTY / INDUSTRIAL ONLY</v>
      </c>
      <c r="V4150" s="9" t="n">
        <f aca="false">IF(U4150="SERVICE READY",1,0)</f>
        <v>0</v>
      </c>
      <c r="W4150" s="6"/>
      <c r="X4150" s="6"/>
      <c r="Y4150" s="6"/>
      <c r="Z4150" s="6"/>
    </row>
    <row r="4151" customFormat="false" ht="15" hidden="false" customHeight="false" outlineLevel="0" collapsed="false">
      <c r="A4151" s="9" t="s">
        <v>4437</v>
      </c>
      <c r="B4151" s="9" t="s">
        <v>4323</v>
      </c>
      <c r="C4151" s="9" t="s">
        <v>4324</v>
      </c>
      <c r="D4151" s="9" t="s">
        <v>3722</v>
      </c>
      <c r="E4151" s="9" t="s">
        <v>1660</v>
      </c>
      <c r="F4151" s="9" t="s">
        <v>200</v>
      </c>
      <c r="G4151" s="9" t="s">
        <v>221</v>
      </c>
      <c r="H4151" s="9" t="n">
        <v>750</v>
      </c>
      <c r="I4151" s="29" t="n">
        <v>0.4</v>
      </c>
      <c r="J4151" s="9" t="n">
        <v>1</v>
      </c>
      <c r="K4151" s="30"/>
      <c r="L4151" s="30"/>
      <c r="M4151" s="30"/>
      <c r="N4151" s="30"/>
      <c r="O4151" s="30"/>
      <c r="P4151" s="30"/>
      <c r="Q4151" s="30"/>
      <c r="R4151" s="30"/>
      <c r="S4151" s="30"/>
      <c r="T4151" s="30"/>
      <c r="U4151" s="21" t="str">
        <f aca="false">IF(COUNT(K4151:T4151)=0,"SOURCE EMPTY / INDUSTRIAL ONLY",IF(MIN(K4151:T4151)=1,"SERVICE READY","HOLD"))</f>
        <v>SOURCE EMPTY / INDUSTRIAL ONLY</v>
      </c>
      <c r="V4151" s="9" t="n">
        <f aca="false">IF(U4151="SERVICE READY",1,0)</f>
        <v>0</v>
      </c>
      <c r="W4151" s="6"/>
      <c r="X4151" s="6"/>
      <c r="Y4151" s="6"/>
      <c r="Z4151" s="6"/>
    </row>
    <row r="4152" customFormat="false" ht="15" hidden="false" customHeight="false" outlineLevel="0" collapsed="false">
      <c r="A4152" s="9" t="s">
        <v>4438</v>
      </c>
      <c r="B4152" s="9" t="s">
        <v>4323</v>
      </c>
      <c r="C4152" s="9" t="s">
        <v>4324</v>
      </c>
      <c r="D4152" s="9" t="s">
        <v>3722</v>
      </c>
      <c r="E4152" s="9" t="s">
        <v>1660</v>
      </c>
      <c r="F4152" s="9" t="s">
        <v>203</v>
      </c>
      <c r="G4152" s="9" t="s">
        <v>221</v>
      </c>
      <c r="H4152" s="9" t="n">
        <v>750</v>
      </c>
      <c r="I4152" s="29" t="n">
        <v>0.4</v>
      </c>
      <c r="J4152" s="9" t="n">
        <v>1</v>
      </c>
      <c r="K4152" s="30"/>
      <c r="L4152" s="30"/>
      <c r="M4152" s="30"/>
      <c r="N4152" s="30"/>
      <c r="O4152" s="30"/>
      <c r="P4152" s="30"/>
      <c r="Q4152" s="30"/>
      <c r="R4152" s="30"/>
      <c r="S4152" s="30"/>
      <c r="T4152" s="30"/>
      <c r="U4152" s="21" t="str">
        <f aca="false">IF(COUNT(K4152:T4152)=0,"SOURCE EMPTY / INDUSTRIAL ONLY",IF(MIN(K4152:T4152)=1,"SERVICE READY","HOLD"))</f>
        <v>SOURCE EMPTY / INDUSTRIAL ONLY</v>
      </c>
      <c r="V4152" s="9" t="n">
        <f aca="false">IF(U4152="SERVICE READY",1,0)</f>
        <v>0</v>
      </c>
      <c r="W4152" s="6"/>
      <c r="X4152" s="6"/>
      <c r="Y4152" s="6"/>
      <c r="Z4152" s="6"/>
    </row>
    <row r="4153" customFormat="false" ht="15" hidden="false" customHeight="false" outlineLevel="0" collapsed="false">
      <c r="A4153" s="9" t="s">
        <v>4439</v>
      </c>
      <c r="B4153" s="9" t="s">
        <v>4323</v>
      </c>
      <c r="C4153" s="9" t="s">
        <v>4324</v>
      </c>
      <c r="D4153" s="9" t="s">
        <v>3722</v>
      </c>
      <c r="E4153" s="9" t="s">
        <v>1660</v>
      </c>
      <c r="F4153" s="9" t="s">
        <v>205</v>
      </c>
      <c r="G4153" s="9" t="s">
        <v>221</v>
      </c>
      <c r="H4153" s="9" t="n">
        <v>750</v>
      </c>
      <c r="I4153" s="29" t="n">
        <v>0.4</v>
      </c>
      <c r="J4153" s="9" t="n">
        <v>1</v>
      </c>
      <c r="K4153" s="30"/>
      <c r="L4153" s="30"/>
      <c r="M4153" s="30"/>
      <c r="N4153" s="30"/>
      <c r="O4153" s="30"/>
      <c r="P4153" s="30"/>
      <c r="Q4153" s="30"/>
      <c r="R4153" s="30"/>
      <c r="S4153" s="30"/>
      <c r="T4153" s="30"/>
      <c r="U4153" s="21" t="str">
        <f aca="false">IF(COUNT(K4153:T4153)=0,"SOURCE EMPTY / INDUSTRIAL ONLY",IF(MIN(K4153:T4153)=1,"SERVICE READY","HOLD"))</f>
        <v>SOURCE EMPTY / INDUSTRIAL ONLY</v>
      </c>
      <c r="V4153" s="9" t="n">
        <f aca="false">IF(U4153="SERVICE READY",1,0)</f>
        <v>0</v>
      </c>
      <c r="W4153" s="6"/>
      <c r="X4153" s="6"/>
      <c r="Y4153" s="6"/>
      <c r="Z4153" s="6"/>
    </row>
    <row r="4154" customFormat="false" ht="15" hidden="false" customHeight="false" outlineLevel="0" collapsed="false">
      <c r="A4154" s="9" t="s">
        <v>4440</v>
      </c>
      <c r="B4154" s="9" t="s">
        <v>4323</v>
      </c>
      <c r="C4154" s="9" t="s">
        <v>4324</v>
      </c>
      <c r="D4154" s="9" t="s">
        <v>3722</v>
      </c>
      <c r="E4154" s="9" t="s">
        <v>1660</v>
      </c>
      <c r="F4154" s="9" t="s">
        <v>207</v>
      </c>
      <c r="G4154" s="9" t="s">
        <v>221</v>
      </c>
      <c r="H4154" s="9" t="n">
        <v>750</v>
      </c>
      <c r="I4154" s="29" t="n">
        <v>0.4</v>
      </c>
      <c r="J4154" s="9" t="n">
        <v>1</v>
      </c>
      <c r="K4154" s="30"/>
      <c r="L4154" s="30"/>
      <c r="M4154" s="30"/>
      <c r="N4154" s="30"/>
      <c r="O4154" s="30"/>
      <c r="P4154" s="30"/>
      <c r="Q4154" s="30"/>
      <c r="R4154" s="30"/>
      <c r="S4154" s="30"/>
      <c r="T4154" s="30"/>
      <c r="U4154" s="21" t="str">
        <f aca="false">IF(COUNT(K4154:T4154)=0,"SOURCE EMPTY / INDUSTRIAL ONLY",IF(MIN(K4154:T4154)=1,"SERVICE READY","HOLD"))</f>
        <v>SOURCE EMPTY / INDUSTRIAL ONLY</v>
      </c>
      <c r="V4154" s="9" t="n">
        <f aca="false">IF(U4154="SERVICE READY",1,0)</f>
        <v>0</v>
      </c>
      <c r="W4154" s="6"/>
      <c r="X4154" s="6"/>
      <c r="Y4154" s="6"/>
      <c r="Z4154" s="6"/>
    </row>
    <row r="4155" customFormat="false" ht="15" hidden="false" customHeight="false" outlineLevel="0" collapsed="false">
      <c r="A4155" s="9" t="s">
        <v>4441</v>
      </c>
      <c r="B4155" s="9" t="s">
        <v>4323</v>
      </c>
      <c r="C4155" s="9" t="s">
        <v>4324</v>
      </c>
      <c r="D4155" s="9" t="s">
        <v>3722</v>
      </c>
      <c r="E4155" s="9" t="s">
        <v>1660</v>
      </c>
      <c r="F4155" s="9" t="s">
        <v>209</v>
      </c>
      <c r="G4155" s="9" t="s">
        <v>221</v>
      </c>
      <c r="H4155" s="9" t="n">
        <v>750</v>
      </c>
      <c r="I4155" s="29" t="n">
        <v>0.4</v>
      </c>
      <c r="J4155" s="9" t="n">
        <v>1</v>
      </c>
      <c r="K4155" s="30"/>
      <c r="L4155" s="30"/>
      <c r="M4155" s="30"/>
      <c r="N4155" s="30"/>
      <c r="O4155" s="30"/>
      <c r="P4155" s="30"/>
      <c r="Q4155" s="30"/>
      <c r="R4155" s="30"/>
      <c r="S4155" s="30"/>
      <c r="T4155" s="30"/>
      <c r="U4155" s="21" t="str">
        <f aca="false">IF(COUNT(K4155:T4155)=0,"SOURCE EMPTY / INDUSTRIAL ONLY",IF(MIN(K4155:T4155)=1,"SERVICE READY","HOLD"))</f>
        <v>SOURCE EMPTY / INDUSTRIAL ONLY</v>
      </c>
      <c r="V4155" s="9" t="n">
        <f aca="false">IF(U4155="SERVICE READY",1,0)</f>
        <v>0</v>
      </c>
      <c r="W4155" s="6"/>
      <c r="X4155" s="6"/>
      <c r="Y4155" s="6"/>
      <c r="Z4155" s="6"/>
    </row>
    <row r="4156" customFormat="false" ht="15" hidden="false" customHeight="false" outlineLevel="0" collapsed="false">
      <c r="A4156" s="9" t="s">
        <v>4442</v>
      </c>
      <c r="B4156" s="9" t="s">
        <v>4323</v>
      </c>
      <c r="C4156" s="9" t="s">
        <v>4324</v>
      </c>
      <c r="D4156" s="9" t="s">
        <v>3722</v>
      </c>
      <c r="E4156" s="9" t="s">
        <v>1660</v>
      </c>
      <c r="F4156" s="9" t="s">
        <v>211</v>
      </c>
      <c r="G4156" s="9" t="s">
        <v>221</v>
      </c>
      <c r="H4156" s="9" t="n">
        <v>750</v>
      </c>
      <c r="I4156" s="29" t="n">
        <v>0.4</v>
      </c>
      <c r="J4156" s="9" t="n">
        <v>1</v>
      </c>
      <c r="K4156" s="30"/>
      <c r="L4156" s="30"/>
      <c r="M4156" s="30"/>
      <c r="N4156" s="30"/>
      <c r="O4156" s="30"/>
      <c r="P4156" s="30"/>
      <c r="Q4156" s="30"/>
      <c r="R4156" s="30"/>
      <c r="S4156" s="30"/>
      <c r="T4156" s="30"/>
      <c r="U4156" s="21" t="str">
        <f aca="false">IF(COUNT(K4156:T4156)=0,"SOURCE EMPTY / INDUSTRIAL ONLY",IF(MIN(K4156:T4156)=1,"SERVICE READY","HOLD"))</f>
        <v>SOURCE EMPTY / INDUSTRIAL ONLY</v>
      </c>
      <c r="V4156" s="9" t="n">
        <f aca="false">IF(U4156="SERVICE READY",1,0)</f>
        <v>0</v>
      </c>
      <c r="W4156" s="6"/>
      <c r="X4156" s="6"/>
      <c r="Y4156" s="6"/>
      <c r="Z4156" s="6"/>
    </row>
    <row r="4157" customFormat="false" ht="15" hidden="false" customHeight="false" outlineLevel="0" collapsed="false">
      <c r="A4157" s="9" t="s">
        <v>4443</v>
      </c>
      <c r="B4157" s="9" t="s">
        <v>4323</v>
      </c>
      <c r="C4157" s="9" t="s">
        <v>4324</v>
      </c>
      <c r="D4157" s="9" t="s">
        <v>3722</v>
      </c>
      <c r="E4157" s="9" t="s">
        <v>1660</v>
      </c>
      <c r="F4157" s="9" t="s">
        <v>197</v>
      </c>
      <c r="G4157" s="9" t="s">
        <v>221</v>
      </c>
      <c r="H4157" s="9" t="n">
        <v>750</v>
      </c>
      <c r="I4157" s="29" t="n">
        <v>0.4</v>
      </c>
      <c r="J4157" s="9" t="n">
        <v>0</v>
      </c>
      <c r="K4157" s="30"/>
      <c r="L4157" s="30"/>
      <c r="M4157" s="30"/>
      <c r="N4157" s="30"/>
      <c r="O4157" s="30"/>
      <c r="P4157" s="30"/>
      <c r="Q4157" s="30"/>
      <c r="R4157" s="30"/>
      <c r="S4157" s="30"/>
      <c r="T4157" s="30"/>
      <c r="U4157" s="21" t="str">
        <f aca="false">IF(COUNT(K4157:T4157)=0,"SOURCE EMPTY / INDUSTRIAL ONLY",IF(MIN(K4157:T4157)=1,"SERVICE READY","HOLD"))</f>
        <v>SOURCE EMPTY / INDUSTRIAL ONLY</v>
      </c>
      <c r="V4157" s="9" t="n">
        <f aca="false">IF(U4157="SERVICE READY",1,0)</f>
        <v>0</v>
      </c>
      <c r="W4157" s="6"/>
      <c r="X4157" s="6"/>
      <c r="Y4157" s="6"/>
      <c r="Z4157" s="6"/>
    </row>
    <row r="4158" customFormat="false" ht="15" hidden="false" customHeight="false" outlineLevel="0" collapsed="false">
      <c r="A4158" s="9" t="s">
        <v>4444</v>
      </c>
      <c r="B4158" s="9" t="s">
        <v>4323</v>
      </c>
      <c r="C4158" s="9" t="s">
        <v>4324</v>
      </c>
      <c r="D4158" s="9" t="s">
        <v>3722</v>
      </c>
      <c r="E4158" s="9" t="s">
        <v>1660</v>
      </c>
      <c r="F4158" s="9" t="s">
        <v>200</v>
      </c>
      <c r="G4158" s="9" t="s">
        <v>221</v>
      </c>
      <c r="H4158" s="9" t="n">
        <v>750</v>
      </c>
      <c r="I4158" s="29" t="n">
        <v>0.4</v>
      </c>
      <c r="J4158" s="9" t="n">
        <v>0</v>
      </c>
      <c r="K4158" s="30"/>
      <c r="L4158" s="30"/>
      <c r="M4158" s="30"/>
      <c r="N4158" s="30"/>
      <c r="O4158" s="30"/>
      <c r="P4158" s="30"/>
      <c r="Q4158" s="30"/>
      <c r="R4158" s="30"/>
      <c r="S4158" s="30"/>
      <c r="T4158" s="30"/>
      <c r="U4158" s="21" t="str">
        <f aca="false">IF(COUNT(K4158:T4158)=0,"SOURCE EMPTY / INDUSTRIAL ONLY",IF(MIN(K4158:T4158)=1,"SERVICE READY","HOLD"))</f>
        <v>SOURCE EMPTY / INDUSTRIAL ONLY</v>
      </c>
      <c r="V4158" s="9" t="n">
        <f aca="false">IF(U4158="SERVICE READY",1,0)</f>
        <v>0</v>
      </c>
      <c r="W4158" s="6"/>
      <c r="X4158" s="6"/>
      <c r="Y4158" s="6"/>
      <c r="Z4158" s="6"/>
    </row>
    <row r="4159" customFormat="false" ht="15" hidden="false" customHeight="false" outlineLevel="0" collapsed="false">
      <c r="A4159" s="9" t="s">
        <v>4445</v>
      </c>
      <c r="B4159" s="9" t="s">
        <v>4323</v>
      </c>
      <c r="C4159" s="9" t="s">
        <v>4324</v>
      </c>
      <c r="D4159" s="9" t="s">
        <v>3722</v>
      </c>
      <c r="E4159" s="9" t="s">
        <v>1660</v>
      </c>
      <c r="F4159" s="9" t="s">
        <v>203</v>
      </c>
      <c r="G4159" s="9" t="s">
        <v>221</v>
      </c>
      <c r="H4159" s="9" t="n">
        <v>750</v>
      </c>
      <c r="I4159" s="29" t="n">
        <v>0.4</v>
      </c>
      <c r="J4159" s="9" t="n">
        <v>0</v>
      </c>
      <c r="K4159" s="30"/>
      <c r="L4159" s="30"/>
      <c r="M4159" s="30"/>
      <c r="N4159" s="30"/>
      <c r="O4159" s="30"/>
      <c r="P4159" s="30"/>
      <c r="Q4159" s="30"/>
      <c r="R4159" s="30"/>
      <c r="S4159" s="30"/>
      <c r="T4159" s="30"/>
      <c r="U4159" s="21" t="str">
        <f aca="false">IF(COUNT(K4159:T4159)=0,"SOURCE EMPTY / INDUSTRIAL ONLY",IF(MIN(K4159:T4159)=1,"SERVICE READY","HOLD"))</f>
        <v>SOURCE EMPTY / INDUSTRIAL ONLY</v>
      </c>
      <c r="V4159" s="9" t="n">
        <f aca="false">IF(U4159="SERVICE READY",1,0)</f>
        <v>0</v>
      </c>
      <c r="W4159" s="6"/>
      <c r="X4159" s="6"/>
      <c r="Y4159" s="6"/>
      <c r="Z4159" s="6"/>
    </row>
    <row r="4160" customFormat="false" ht="15" hidden="false" customHeight="false" outlineLevel="0" collapsed="false">
      <c r="A4160" s="9" t="s">
        <v>4446</v>
      </c>
      <c r="B4160" s="9" t="s">
        <v>4323</v>
      </c>
      <c r="C4160" s="9" t="s">
        <v>4324</v>
      </c>
      <c r="D4160" s="9" t="s">
        <v>3722</v>
      </c>
      <c r="E4160" s="9" t="s">
        <v>1660</v>
      </c>
      <c r="F4160" s="9" t="s">
        <v>205</v>
      </c>
      <c r="G4160" s="9" t="s">
        <v>221</v>
      </c>
      <c r="H4160" s="9" t="n">
        <v>750</v>
      </c>
      <c r="I4160" s="29" t="n">
        <v>0.4</v>
      </c>
      <c r="J4160" s="9" t="n">
        <v>0</v>
      </c>
      <c r="K4160" s="30"/>
      <c r="L4160" s="30"/>
      <c r="M4160" s="30"/>
      <c r="N4160" s="30"/>
      <c r="O4160" s="30"/>
      <c r="P4160" s="30"/>
      <c r="Q4160" s="30"/>
      <c r="R4160" s="30"/>
      <c r="S4160" s="30"/>
      <c r="T4160" s="30"/>
      <c r="U4160" s="21" t="str">
        <f aca="false">IF(COUNT(K4160:T4160)=0,"SOURCE EMPTY / INDUSTRIAL ONLY",IF(MIN(K4160:T4160)=1,"SERVICE READY","HOLD"))</f>
        <v>SOURCE EMPTY / INDUSTRIAL ONLY</v>
      </c>
      <c r="V4160" s="9" t="n">
        <f aca="false">IF(U4160="SERVICE READY",1,0)</f>
        <v>0</v>
      </c>
      <c r="W4160" s="6"/>
      <c r="X4160" s="6"/>
      <c r="Y4160" s="6"/>
      <c r="Z4160" s="6"/>
    </row>
    <row r="4161" customFormat="false" ht="15" hidden="false" customHeight="false" outlineLevel="0" collapsed="false">
      <c r="A4161" s="9" t="s">
        <v>4447</v>
      </c>
      <c r="B4161" s="9" t="s">
        <v>4323</v>
      </c>
      <c r="C4161" s="9" t="s">
        <v>4324</v>
      </c>
      <c r="D4161" s="9" t="s">
        <v>3722</v>
      </c>
      <c r="E4161" s="9" t="s">
        <v>1660</v>
      </c>
      <c r="F4161" s="9" t="s">
        <v>207</v>
      </c>
      <c r="G4161" s="9" t="s">
        <v>221</v>
      </c>
      <c r="H4161" s="9" t="n">
        <v>750</v>
      </c>
      <c r="I4161" s="29" t="n">
        <v>0.4</v>
      </c>
      <c r="J4161" s="9" t="n">
        <v>0</v>
      </c>
      <c r="K4161" s="30"/>
      <c r="L4161" s="30"/>
      <c r="M4161" s="30"/>
      <c r="N4161" s="30"/>
      <c r="O4161" s="30"/>
      <c r="P4161" s="30"/>
      <c r="Q4161" s="30"/>
      <c r="R4161" s="30"/>
      <c r="S4161" s="30"/>
      <c r="T4161" s="30"/>
      <c r="U4161" s="21" t="str">
        <f aca="false">IF(COUNT(K4161:T4161)=0,"SOURCE EMPTY / INDUSTRIAL ONLY",IF(MIN(K4161:T4161)=1,"SERVICE READY","HOLD"))</f>
        <v>SOURCE EMPTY / INDUSTRIAL ONLY</v>
      </c>
      <c r="V4161" s="9" t="n">
        <f aca="false">IF(U4161="SERVICE READY",1,0)</f>
        <v>0</v>
      </c>
      <c r="W4161" s="6"/>
      <c r="X4161" s="6"/>
      <c r="Y4161" s="6"/>
      <c r="Z4161" s="6"/>
    </row>
    <row r="4162" customFormat="false" ht="15" hidden="false" customHeight="false" outlineLevel="0" collapsed="false">
      <c r="A4162" s="9" t="s">
        <v>4448</v>
      </c>
      <c r="B4162" s="9" t="s">
        <v>4323</v>
      </c>
      <c r="C4162" s="9" t="s">
        <v>4324</v>
      </c>
      <c r="D4162" s="9" t="s">
        <v>3722</v>
      </c>
      <c r="E4162" s="9" t="s">
        <v>1660</v>
      </c>
      <c r="F4162" s="9" t="s">
        <v>209</v>
      </c>
      <c r="G4162" s="9" t="s">
        <v>221</v>
      </c>
      <c r="H4162" s="9" t="n">
        <v>750</v>
      </c>
      <c r="I4162" s="29" t="n">
        <v>0.4</v>
      </c>
      <c r="J4162" s="9" t="n">
        <v>0</v>
      </c>
      <c r="K4162" s="30"/>
      <c r="L4162" s="30"/>
      <c r="M4162" s="30"/>
      <c r="N4162" s="30"/>
      <c r="O4162" s="30"/>
      <c r="P4162" s="30"/>
      <c r="Q4162" s="30"/>
      <c r="R4162" s="30"/>
      <c r="S4162" s="30"/>
      <c r="T4162" s="30"/>
      <c r="U4162" s="21" t="str">
        <f aca="false">IF(COUNT(K4162:T4162)=0,"SOURCE EMPTY / INDUSTRIAL ONLY",IF(MIN(K4162:T4162)=1,"SERVICE READY","HOLD"))</f>
        <v>SOURCE EMPTY / INDUSTRIAL ONLY</v>
      </c>
      <c r="V4162" s="9" t="n">
        <f aca="false">IF(U4162="SERVICE READY",1,0)</f>
        <v>0</v>
      </c>
      <c r="W4162" s="6"/>
      <c r="X4162" s="6"/>
      <c r="Y4162" s="6"/>
      <c r="Z4162" s="6"/>
    </row>
    <row r="4163" customFormat="false" ht="15" hidden="false" customHeight="false" outlineLevel="0" collapsed="false">
      <c r="A4163" s="9" t="s">
        <v>4449</v>
      </c>
      <c r="B4163" s="9" t="s">
        <v>4323</v>
      </c>
      <c r="C4163" s="9" t="s">
        <v>4324</v>
      </c>
      <c r="D4163" s="9" t="s">
        <v>3722</v>
      </c>
      <c r="E4163" s="9" t="s">
        <v>1660</v>
      </c>
      <c r="F4163" s="9" t="s">
        <v>211</v>
      </c>
      <c r="G4163" s="9" t="s">
        <v>221</v>
      </c>
      <c r="H4163" s="9" t="n">
        <v>750</v>
      </c>
      <c r="I4163" s="29" t="n">
        <v>0.4</v>
      </c>
      <c r="J4163" s="9" t="n">
        <v>0</v>
      </c>
      <c r="K4163" s="30"/>
      <c r="L4163" s="30"/>
      <c r="M4163" s="30"/>
      <c r="N4163" s="30"/>
      <c r="O4163" s="30"/>
      <c r="P4163" s="30"/>
      <c r="Q4163" s="30"/>
      <c r="R4163" s="30"/>
      <c r="S4163" s="30"/>
      <c r="T4163" s="30"/>
      <c r="U4163" s="21" t="str">
        <f aca="false">IF(COUNT(K4163:T4163)=0,"SOURCE EMPTY / INDUSTRIAL ONLY",IF(MIN(K4163:T4163)=1,"SERVICE READY","HOLD"))</f>
        <v>SOURCE EMPTY / INDUSTRIAL ONLY</v>
      </c>
      <c r="V4163" s="9" t="n">
        <f aca="false">IF(U4163="SERVICE READY",1,0)</f>
        <v>0</v>
      </c>
      <c r="W4163" s="6"/>
      <c r="X4163" s="6"/>
      <c r="Y4163" s="6"/>
      <c r="Z4163" s="6"/>
    </row>
    <row r="4164" customFormat="false" ht="15" hidden="false" customHeight="false" outlineLevel="0" collapsed="false">
      <c r="A4164" s="9" t="s">
        <v>4450</v>
      </c>
      <c r="B4164" s="9" t="s">
        <v>4323</v>
      </c>
      <c r="C4164" s="9" t="s">
        <v>4324</v>
      </c>
      <c r="D4164" s="9" t="s">
        <v>3722</v>
      </c>
      <c r="E4164" s="9" t="s">
        <v>1660</v>
      </c>
      <c r="F4164" s="9" t="s">
        <v>197</v>
      </c>
      <c r="G4164" s="9" t="s">
        <v>221</v>
      </c>
      <c r="H4164" s="9" t="n">
        <v>750</v>
      </c>
      <c r="I4164" s="29" t="n">
        <v>0.4</v>
      </c>
      <c r="J4164" s="9" t="n">
        <v>0</v>
      </c>
      <c r="K4164" s="30"/>
      <c r="L4164" s="30"/>
      <c r="M4164" s="30"/>
      <c r="N4164" s="30"/>
      <c r="O4164" s="30"/>
      <c r="P4164" s="30"/>
      <c r="Q4164" s="30"/>
      <c r="R4164" s="30"/>
      <c r="S4164" s="30"/>
      <c r="T4164" s="30"/>
      <c r="U4164" s="21" t="str">
        <f aca="false">IF(COUNT(K4164:T4164)=0,"SOURCE EMPTY / INDUSTRIAL ONLY",IF(MIN(K4164:T4164)=1,"SERVICE READY","HOLD"))</f>
        <v>SOURCE EMPTY / INDUSTRIAL ONLY</v>
      </c>
      <c r="V4164" s="9" t="n">
        <f aca="false">IF(U4164="SERVICE READY",1,0)</f>
        <v>0</v>
      </c>
      <c r="W4164" s="6"/>
      <c r="X4164" s="6"/>
      <c r="Y4164" s="6"/>
      <c r="Z4164" s="6"/>
    </row>
    <row r="4165" customFormat="false" ht="15" hidden="false" customHeight="false" outlineLevel="0" collapsed="false">
      <c r="A4165" s="9" t="s">
        <v>4451</v>
      </c>
      <c r="B4165" s="9" t="s">
        <v>4323</v>
      </c>
      <c r="C4165" s="9" t="s">
        <v>4324</v>
      </c>
      <c r="D4165" s="9" t="s">
        <v>3722</v>
      </c>
      <c r="E4165" s="9" t="s">
        <v>1660</v>
      </c>
      <c r="F4165" s="9" t="s">
        <v>200</v>
      </c>
      <c r="G4165" s="9" t="s">
        <v>221</v>
      </c>
      <c r="H4165" s="9" t="n">
        <v>750</v>
      </c>
      <c r="I4165" s="29" t="n">
        <v>0.4</v>
      </c>
      <c r="J4165" s="9" t="n">
        <v>0</v>
      </c>
      <c r="K4165" s="30"/>
      <c r="L4165" s="30"/>
      <c r="M4165" s="30"/>
      <c r="N4165" s="30"/>
      <c r="O4165" s="30"/>
      <c r="P4165" s="30"/>
      <c r="Q4165" s="30"/>
      <c r="R4165" s="30"/>
      <c r="S4165" s="30"/>
      <c r="T4165" s="30"/>
      <c r="U4165" s="21" t="str">
        <f aca="false">IF(COUNT(K4165:T4165)=0,"SOURCE EMPTY / INDUSTRIAL ONLY",IF(MIN(K4165:T4165)=1,"SERVICE READY","HOLD"))</f>
        <v>SOURCE EMPTY / INDUSTRIAL ONLY</v>
      </c>
      <c r="V4165" s="9" t="n">
        <f aca="false">IF(U4165="SERVICE READY",1,0)</f>
        <v>0</v>
      </c>
      <c r="W4165" s="6"/>
      <c r="X4165" s="6"/>
      <c r="Y4165" s="6"/>
      <c r="Z4165" s="6"/>
    </row>
    <row r="4166" customFormat="false" ht="15" hidden="false" customHeight="false" outlineLevel="0" collapsed="false">
      <c r="A4166" s="9" t="s">
        <v>4452</v>
      </c>
      <c r="B4166" s="9" t="s">
        <v>4323</v>
      </c>
      <c r="C4166" s="9" t="s">
        <v>4324</v>
      </c>
      <c r="D4166" s="9" t="s">
        <v>3722</v>
      </c>
      <c r="E4166" s="9" t="s">
        <v>1660</v>
      </c>
      <c r="F4166" s="9" t="s">
        <v>203</v>
      </c>
      <c r="G4166" s="9" t="s">
        <v>221</v>
      </c>
      <c r="H4166" s="9" t="n">
        <v>750</v>
      </c>
      <c r="I4166" s="29" t="n">
        <v>0.4</v>
      </c>
      <c r="J4166" s="9" t="n">
        <v>0</v>
      </c>
      <c r="K4166" s="30"/>
      <c r="L4166" s="30"/>
      <c r="M4166" s="30"/>
      <c r="N4166" s="30"/>
      <c r="O4166" s="30"/>
      <c r="P4166" s="30"/>
      <c r="Q4166" s="30"/>
      <c r="R4166" s="30"/>
      <c r="S4166" s="30"/>
      <c r="T4166" s="30"/>
      <c r="U4166" s="21" t="str">
        <f aca="false">IF(COUNT(K4166:T4166)=0,"SOURCE EMPTY / INDUSTRIAL ONLY",IF(MIN(K4166:T4166)=1,"SERVICE READY","HOLD"))</f>
        <v>SOURCE EMPTY / INDUSTRIAL ONLY</v>
      </c>
      <c r="V4166" s="9" t="n">
        <f aca="false">IF(U4166="SERVICE READY",1,0)</f>
        <v>0</v>
      </c>
      <c r="W4166" s="6"/>
      <c r="X4166" s="6"/>
      <c r="Y4166" s="6"/>
      <c r="Z4166" s="6"/>
    </row>
    <row r="4167" customFormat="false" ht="15" hidden="false" customHeight="false" outlineLevel="0" collapsed="false">
      <c r="A4167" s="9" t="s">
        <v>4453</v>
      </c>
      <c r="B4167" s="9" t="s">
        <v>4323</v>
      </c>
      <c r="C4167" s="9" t="s">
        <v>4324</v>
      </c>
      <c r="D4167" s="9" t="s">
        <v>3722</v>
      </c>
      <c r="E4167" s="9" t="s">
        <v>1660</v>
      </c>
      <c r="F4167" s="9" t="s">
        <v>205</v>
      </c>
      <c r="G4167" s="9" t="s">
        <v>221</v>
      </c>
      <c r="H4167" s="9" t="n">
        <v>750</v>
      </c>
      <c r="I4167" s="29" t="n">
        <v>0.4</v>
      </c>
      <c r="J4167" s="9" t="n">
        <v>0</v>
      </c>
      <c r="K4167" s="30"/>
      <c r="L4167" s="30"/>
      <c r="M4167" s="30"/>
      <c r="N4167" s="30"/>
      <c r="O4167" s="30"/>
      <c r="P4167" s="30"/>
      <c r="Q4167" s="30"/>
      <c r="R4167" s="30"/>
      <c r="S4167" s="30"/>
      <c r="T4167" s="30"/>
      <c r="U4167" s="21" t="str">
        <f aca="false">IF(COUNT(K4167:T4167)=0,"SOURCE EMPTY / INDUSTRIAL ONLY",IF(MIN(K4167:T4167)=1,"SERVICE READY","HOLD"))</f>
        <v>SOURCE EMPTY / INDUSTRIAL ONLY</v>
      </c>
      <c r="V4167" s="9" t="n">
        <f aca="false">IF(U4167="SERVICE READY",1,0)</f>
        <v>0</v>
      </c>
      <c r="W4167" s="6"/>
      <c r="X4167" s="6"/>
      <c r="Y4167" s="6"/>
      <c r="Z4167" s="6"/>
    </row>
    <row r="4168" customFormat="false" ht="15" hidden="false" customHeight="false" outlineLevel="0" collapsed="false">
      <c r="A4168" s="9" t="s">
        <v>4454</v>
      </c>
      <c r="B4168" s="9" t="s">
        <v>4323</v>
      </c>
      <c r="C4168" s="9" t="s">
        <v>4324</v>
      </c>
      <c r="D4168" s="9" t="s">
        <v>3722</v>
      </c>
      <c r="E4168" s="9" t="s">
        <v>1660</v>
      </c>
      <c r="F4168" s="9" t="s">
        <v>207</v>
      </c>
      <c r="G4168" s="9" t="s">
        <v>221</v>
      </c>
      <c r="H4168" s="9" t="n">
        <v>750</v>
      </c>
      <c r="I4168" s="29" t="n">
        <v>0.4</v>
      </c>
      <c r="J4168" s="9" t="n">
        <v>0</v>
      </c>
      <c r="K4168" s="30"/>
      <c r="L4168" s="30"/>
      <c r="M4168" s="30"/>
      <c r="N4168" s="30"/>
      <c r="O4168" s="30"/>
      <c r="P4168" s="30"/>
      <c r="Q4168" s="30"/>
      <c r="R4168" s="30"/>
      <c r="S4168" s="30"/>
      <c r="T4168" s="30"/>
      <c r="U4168" s="21" t="str">
        <f aca="false">IF(COUNT(K4168:T4168)=0,"SOURCE EMPTY / INDUSTRIAL ONLY",IF(MIN(K4168:T4168)=1,"SERVICE READY","HOLD"))</f>
        <v>SOURCE EMPTY / INDUSTRIAL ONLY</v>
      </c>
      <c r="V4168" s="9" t="n">
        <f aca="false">IF(U4168="SERVICE READY",1,0)</f>
        <v>0</v>
      </c>
      <c r="W4168" s="6"/>
      <c r="X4168" s="6"/>
      <c r="Y4168" s="6"/>
      <c r="Z4168" s="6"/>
    </row>
    <row r="4169" customFormat="false" ht="15" hidden="false" customHeight="false" outlineLevel="0" collapsed="false">
      <c r="A4169" s="9" t="s">
        <v>4455</v>
      </c>
      <c r="B4169" s="9" t="s">
        <v>4323</v>
      </c>
      <c r="C4169" s="9" t="s">
        <v>4324</v>
      </c>
      <c r="D4169" s="9" t="s">
        <v>3722</v>
      </c>
      <c r="E4169" s="9" t="s">
        <v>1660</v>
      </c>
      <c r="F4169" s="9" t="s">
        <v>209</v>
      </c>
      <c r="G4169" s="9" t="s">
        <v>221</v>
      </c>
      <c r="H4169" s="9" t="n">
        <v>750</v>
      </c>
      <c r="I4169" s="29" t="n">
        <v>0.4</v>
      </c>
      <c r="J4169" s="9" t="n">
        <v>0</v>
      </c>
      <c r="K4169" s="30"/>
      <c r="L4169" s="30"/>
      <c r="M4169" s="30"/>
      <c r="N4169" s="30"/>
      <c r="O4169" s="30"/>
      <c r="P4169" s="30"/>
      <c r="Q4169" s="30"/>
      <c r="R4169" s="30"/>
      <c r="S4169" s="30"/>
      <c r="T4169" s="30"/>
      <c r="U4169" s="21" t="str">
        <f aca="false">IF(COUNT(K4169:T4169)=0,"SOURCE EMPTY / INDUSTRIAL ONLY",IF(MIN(K4169:T4169)=1,"SERVICE READY","HOLD"))</f>
        <v>SOURCE EMPTY / INDUSTRIAL ONLY</v>
      </c>
      <c r="V4169" s="9" t="n">
        <f aca="false">IF(U4169="SERVICE READY",1,0)</f>
        <v>0</v>
      </c>
      <c r="W4169" s="6"/>
      <c r="X4169" s="6"/>
      <c r="Y4169" s="6"/>
      <c r="Z4169" s="6"/>
    </row>
    <row r="4170" customFormat="false" ht="15" hidden="false" customHeight="false" outlineLevel="0" collapsed="false">
      <c r="A4170" s="9" t="s">
        <v>4456</v>
      </c>
      <c r="B4170" s="9" t="s">
        <v>4323</v>
      </c>
      <c r="C4170" s="9" t="s">
        <v>4324</v>
      </c>
      <c r="D4170" s="9" t="s">
        <v>3722</v>
      </c>
      <c r="E4170" s="9" t="s">
        <v>1660</v>
      </c>
      <c r="F4170" s="9" t="s">
        <v>211</v>
      </c>
      <c r="G4170" s="9" t="s">
        <v>221</v>
      </c>
      <c r="H4170" s="9" t="n">
        <v>750</v>
      </c>
      <c r="I4170" s="29" t="n">
        <v>0.4</v>
      </c>
      <c r="J4170" s="9" t="n">
        <v>0</v>
      </c>
      <c r="K4170" s="30"/>
      <c r="L4170" s="30"/>
      <c r="M4170" s="30"/>
      <c r="N4170" s="30"/>
      <c r="O4170" s="30"/>
      <c r="P4170" s="30"/>
      <c r="Q4170" s="30"/>
      <c r="R4170" s="30"/>
      <c r="S4170" s="30"/>
      <c r="T4170" s="30"/>
      <c r="U4170" s="21" t="str">
        <f aca="false">IF(COUNT(K4170:T4170)=0,"SOURCE EMPTY / INDUSTRIAL ONLY",IF(MIN(K4170:T4170)=1,"SERVICE READY","HOLD"))</f>
        <v>SOURCE EMPTY / INDUSTRIAL ONLY</v>
      </c>
      <c r="V4170" s="9" t="n">
        <f aca="false">IF(U4170="SERVICE READY",1,0)</f>
        <v>0</v>
      </c>
      <c r="W4170" s="6"/>
      <c r="X4170" s="6"/>
      <c r="Y4170" s="6"/>
      <c r="Z4170" s="6"/>
    </row>
    <row r="4171" customFormat="false" ht="15" hidden="false" customHeight="false" outlineLevel="0" collapsed="false">
      <c r="A4171" s="9" t="s">
        <v>4457</v>
      </c>
      <c r="B4171" s="9" t="s">
        <v>4323</v>
      </c>
      <c r="C4171" s="9" t="s">
        <v>4324</v>
      </c>
      <c r="D4171" s="9" t="s">
        <v>3722</v>
      </c>
      <c r="E4171" s="9" t="s">
        <v>1660</v>
      </c>
      <c r="F4171" s="9" t="s">
        <v>197</v>
      </c>
      <c r="G4171" s="9" t="s">
        <v>221</v>
      </c>
      <c r="H4171" s="9" t="n">
        <v>750</v>
      </c>
      <c r="I4171" s="29" t="n">
        <v>0.4</v>
      </c>
      <c r="J4171" s="9" t="n">
        <v>0</v>
      </c>
      <c r="K4171" s="30"/>
      <c r="L4171" s="30"/>
      <c r="M4171" s="30"/>
      <c r="N4171" s="30"/>
      <c r="O4171" s="30"/>
      <c r="P4171" s="30"/>
      <c r="Q4171" s="30"/>
      <c r="R4171" s="30"/>
      <c r="S4171" s="30"/>
      <c r="T4171" s="30"/>
      <c r="U4171" s="21" t="str">
        <f aca="false">IF(COUNT(K4171:T4171)=0,"SOURCE EMPTY / INDUSTRIAL ONLY",IF(MIN(K4171:T4171)=1,"SERVICE READY","HOLD"))</f>
        <v>SOURCE EMPTY / INDUSTRIAL ONLY</v>
      </c>
      <c r="V4171" s="9" t="n">
        <f aca="false">IF(U4171="SERVICE READY",1,0)</f>
        <v>0</v>
      </c>
      <c r="W4171" s="6"/>
      <c r="X4171" s="6"/>
      <c r="Y4171" s="6"/>
      <c r="Z4171" s="6"/>
    </row>
    <row r="4172" customFormat="false" ht="15" hidden="false" customHeight="false" outlineLevel="0" collapsed="false">
      <c r="A4172" s="9" t="s">
        <v>4458</v>
      </c>
      <c r="B4172" s="9" t="s">
        <v>4323</v>
      </c>
      <c r="C4172" s="9" t="s">
        <v>4324</v>
      </c>
      <c r="D4172" s="9" t="s">
        <v>3722</v>
      </c>
      <c r="E4172" s="9" t="s">
        <v>1660</v>
      </c>
      <c r="F4172" s="9" t="s">
        <v>200</v>
      </c>
      <c r="G4172" s="9" t="s">
        <v>221</v>
      </c>
      <c r="H4172" s="9" t="n">
        <v>750</v>
      </c>
      <c r="I4172" s="29" t="n">
        <v>0.4</v>
      </c>
      <c r="J4172" s="9" t="n">
        <v>0</v>
      </c>
      <c r="K4172" s="30"/>
      <c r="L4172" s="30"/>
      <c r="M4172" s="30"/>
      <c r="N4172" s="30"/>
      <c r="O4172" s="30"/>
      <c r="P4172" s="30"/>
      <c r="Q4172" s="30"/>
      <c r="R4172" s="30"/>
      <c r="S4172" s="30"/>
      <c r="T4172" s="30"/>
      <c r="U4172" s="21" t="str">
        <f aca="false">IF(COUNT(K4172:T4172)=0,"SOURCE EMPTY / INDUSTRIAL ONLY",IF(MIN(K4172:T4172)=1,"SERVICE READY","HOLD"))</f>
        <v>SOURCE EMPTY / INDUSTRIAL ONLY</v>
      </c>
      <c r="V4172" s="9" t="n">
        <f aca="false">IF(U4172="SERVICE READY",1,0)</f>
        <v>0</v>
      </c>
      <c r="W4172" s="6"/>
      <c r="X4172" s="6"/>
      <c r="Y4172" s="6"/>
      <c r="Z4172" s="6"/>
    </row>
    <row r="4173" customFormat="false" ht="15" hidden="false" customHeight="false" outlineLevel="0" collapsed="false">
      <c r="A4173" s="9" t="s">
        <v>4459</v>
      </c>
      <c r="B4173" s="9" t="s">
        <v>4323</v>
      </c>
      <c r="C4173" s="9" t="s">
        <v>4324</v>
      </c>
      <c r="D4173" s="9" t="s">
        <v>3722</v>
      </c>
      <c r="E4173" s="9" t="s">
        <v>1660</v>
      </c>
      <c r="F4173" s="9" t="s">
        <v>203</v>
      </c>
      <c r="G4173" s="9" t="s">
        <v>221</v>
      </c>
      <c r="H4173" s="9" t="n">
        <v>750</v>
      </c>
      <c r="I4173" s="29" t="n">
        <v>0.4</v>
      </c>
      <c r="J4173" s="9" t="n">
        <v>0</v>
      </c>
      <c r="K4173" s="30"/>
      <c r="L4173" s="30"/>
      <c r="M4173" s="30"/>
      <c r="N4173" s="30"/>
      <c r="O4173" s="30"/>
      <c r="P4173" s="30"/>
      <c r="Q4173" s="30"/>
      <c r="R4173" s="30"/>
      <c r="S4173" s="30"/>
      <c r="T4173" s="30"/>
      <c r="U4173" s="21" t="str">
        <f aca="false">IF(COUNT(K4173:T4173)=0,"SOURCE EMPTY / INDUSTRIAL ONLY",IF(MIN(K4173:T4173)=1,"SERVICE READY","HOLD"))</f>
        <v>SOURCE EMPTY / INDUSTRIAL ONLY</v>
      </c>
      <c r="V4173" s="9" t="n">
        <f aca="false">IF(U4173="SERVICE READY",1,0)</f>
        <v>0</v>
      </c>
      <c r="W4173" s="6"/>
      <c r="X4173" s="6"/>
      <c r="Y4173" s="6"/>
      <c r="Z4173" s="6"/>
    </row>
    <row r="4174" customFormat="false" ht="15" hidden="false" customHeight="false" outlineLevel="0" collapsed="false">
      <c r="A4174" s="9" t="s">
        <v>4460</v>
      </c>
      <c r="B4174" s="9" t="s">
        <v>4323</v>
      </c>
      <c r="C4174" s="9" t="s">
        <v>4324</v>
      </c>
      <c r="D4174" s="9" t="s">
        <v>3722</v>
      </c>
      <c r="E4174" s="9" t="s">
        <v>1660</v>
      </c>
      <c r="F4174" s="9" t="s">
        <v>205</v>
      </c>
      <c r="G4174" s="9" t="s">
        <v>221</v>
      </c>
      <c r="H4174" s="9" t="n">
        <v>750</v>
      </c>
      <c r="I4174" s="29" t="n">
        <v>0.4</v>
      </c>
      <c r="J4174" s="9" t="n">
        <v>0</v>
      </c>
      <c r="K4174" s="30"/>
      <c r="L4174" s="30"/>
      <c r="M4174" s="30"/>
      <c r="N4174" s="30"/>
      <c r="O4174" s="30"/>
      <c r="P4174" s="30"/>
      <c r="Q4174" s="30"/>
      <c r="R4174" s="30"/>
      <c r="S4174" s="30"/>
      <c r="T4174" s="30"/>
      <c r="U4174" s="21" t="str">
        <f aca="false">IF(COUNT(K4174:T4174)=0,"SOURCE EMPTY / INDUSTRIAL ONLY",IF(MIN(K4174:T4174)=1,"SERVICE READY","HOLD"))</f>
        <v>SOURCE EMPTY / INDUSTRIAL ONLY</v>
      </c>
      <c r="V4174" s="9" t="n">
        <f aca="false">IF(U4174="SERVICE READY",1,0)</f>
        <v>0</v>
      </c>
      <c r="W4174" s="6"/>
      <c r="X4174" s="6"/>
      <c r="Y4174" s="6"/>
      <c r="Z4174" s="6"/>
    </row>
    <row r="4175" customFormat="false" ht="15" hidden="false" customHeight="false" outlineLevel="0" collapsed="false">
      <c r="A4175" s="9" t="s">
        <v>4461</v>
      </c>
      <c r="B4175" s="9" t="s">
        <v>4323</v>
      </c>
      <c r="C4175" s="9" t="s">
        <v>4324</v>
      </c>
      <c r="D4175" s="9" t="s">
        <v>3722</v>
      </c>
      <c r="E4175" s="9" t="s">
        <v>1660</v>
      </c>
      <c r="F4175" s="9" t="s">
        <v>207</v>
      </c>
      <c r="G4175" s="9" t="s">
        <v>221</v>
      </c>
      <c r="H4175" s="9" t="n">
        <v>750</v>
      </c>
      <c r="I4175" s="29" t="n">
        <v>0.4</v>
      </c>
      <c r="J4175" s="9" t="n">
        <v>0</v>
      </c>
      <c r="K4175" s="30"/>
      <c r="L4175" s="30"/>
      <c r="M4175" s="30"/>
      <c r="N4175" s="30"/>
      <c r="O4175" s="30"/>
      <c r="P4175" s="30"/>
      <c r="Q4175" s="30"/>
      <c r="R4175" s="30"/>
      <c r="S4175" s="30"/>
      <c r="T4175" s="30"/>
      <c r="U4175" s="21" t="str">
        <f aca="false">IF(COUNT(K4175:T4175)=0,"SOURCE EMPTY / INDUSTRIAL ONLY",IF(MIN(K4175:T4175)=1,"SERVICE READY","HOLD"))</f>
        <v>SOURCE EMPTY / INDUSTRIAL ONLY</v>
      </c>
      <c r="V4175" s="9" t="n">
        <f aca="false">IF(U4175="SERVICE READY",1,0)</f>
        <v>0</v>
      </c>
      <c r="W4175" s="6"/>
      <c r="X4175" s="6"/>
      <c r="Y4175" s="6"/>
      <c r="Z4175" s="6"/>
    </row>
    <row r="4176" customFormat="false" ht="15" hidden="false" customHeight="false" outlineLevel="0" collapsed="false">
      <c r="A4176" s="9" t="s">
        <v>4462</v>
      </c>
      <c r="B4176" s="9" t="s">
        <v>4323</v>
      </c>
      <c r="C4176" s="9" t="s">
        <v>4324</v>
      </c>
      <c r="D4176" s="9" t="s">
        <v>3722</v>
      </c>
      <c r="E4176" s="9" t="s">
        <v>1660</v>
      </c>
      <c r="F4176" s="9" t="s">
        <v>209</v>
      </c>
      <c r="G4176" s="9" t="s">
        <v>221</v>
      </c>
      <c r="H4176" s="9" t="n">
        <v>750</v>
      </c>
      <c r="I4176" s="29" t="n">
        <v>0.4</v>
      </c>
      <c r="J4176" s="9" t="n">
        <v>0</v>
      </c>
      <c r="K4176" s="30"/>
      <c r="L4176" s="30"/>
      <c r="M4176" s="30"/>
      <c r="N4176" s="30"/>
      <c r="O4176" s="30"/>
      <c r="P4176" s="30"/>
      <c r="Q4176" s="30"/>
      <c r="R4176" s="30"/>
      <c r="S4176" s="30"/>
      <c r="T4176" s="30"/>
      <c r="U4176" s="21" t="str">
        <f aca="false">IF(COUNT(K4176:T4176)=0,"SOURCE EMPTY / INDUSTRIAL ONLY",IF(MIN(K4176:T4176)=1,"SERVICE READY","HOLD"))</f>
        <v>SOURCE EMPTY / INDUSTRIAL ONLY</v>
      </c>
      <c r="V4176" s="9" t="n">
        <f aca="false">IF(U4176="SERVICE READY",1,0)</f>
        <v>0</v>
      </c>
      <c r="W4176" s="6"/>
      <c r="X4176" s="6"/>
      <c r="Y4176" s="6"/>
      <c r="Z4176" s="6"/>
    </row>
    <row r="4177" customFormat="false" ht="15" hidden="false" customHeight="false" outlineLevel="0" collapsed="false">
      <c r="A4177" s="9" t="s">
        <v>4463</v>
      </c>
      <c r="B4177" s="9" t="s">
        <v>4323</v>
      </c>
      <c r="C4177" s="9" t="s">
        <v>4324</v>
      </c>
      <c r="D4177" s="9" t="s">
        <v>3722</v>
      </c>
      <c r="E4177" s="9" t="s">
        <v>1660</v>
      </c>
      <c r="F4177" s="9" t="s">
        <v>211</v>
      </c>
      <c r="G4177" s="9" t="s">
        <v>221</v>
      </c>
      <c r="H4177" s="9" t="n">
        <v>750</v>
      </c>
      <c r="I4177" s="29" t="n">
        <v>0.4</v>
      </c>
      <c r="J4177" s="9" t="n">
        <v>0</v>
      </c>
      <c r="K4177" s="30"/>
      <c r="L4177" s="30"/>
      <c r="M4177" s="30"/>
      <c r="N4177" s="30"/>
      <c r="O4177" s="30"/>
      <c r="P4177" s="30"/>
      <c r="Q4177" s="30"/>
      <c r="R4177" s="30"/>
      <c r="S4177" s="30"/>
      <c r="T4177" s="30"/>
      <c r="U4177" s="21" t="str">
        <f aca="false">IF(COUNT(K4177:T4177)=0,"SOURCE EMPTY / INDUSTRIAL ONLY",IF(MIN(K4177:T4177)=1,"SERVICE READY","HOLD"))</f>
        <v>SOURCE EMPTY / INDUSTRIAL ONLY</v>
      </c>
      <c r="V4177" s="9" t="n">
        <f aca="false">IF(U4177="SERVICE READY",1,0)</f>
        <v>0</v>
      </c>
      <c r="W4177" s="6"/>
      <c r="X4177" s="6"/>
      <c r="Y4177" s="6"/>
      <c r="Z4177" s="6"/>
    </row>
    <row r="4178" customFormat="false" ht="15" hidden="false" customHeight="false" outlineLevel="0" collapsed="false">
      <c r="A4178" s="9" t="s">
        <v>4464</v>
      </c>
      <c r="B4178" s="9" t="s">
        <v>4323</v>
      </c>
      <c r="C4178" s="9" t="s">
        <v>4324</v>
      </c>
      <c r="D4178" s="9" t="s">
        <v>3722</v>
      </c>
      <c r="E4178" s="9" t="s">
        <v>1660</v>
      </c>
      <c r="F4178" s="9" t="s">
        <v>197</v>
      </c>
      <c r="G4178" s="9" t="s">
        <v>221</v>
      </c>
      <c r="H4178" s="9" t="n">
        <v>750</v>
      </c>
      <c r="I4178" s="29" t="n">
        <v>0.4</v>
      </c>
      <c r="J4178" s="9" t="n">
        <v>0</v>
      </c>
      <c r="K4178" s="30"/>
      <c r="L4178" s="30"/>
      <c r="M4178" s="30"/>
      <c r="N4178" s="30"/>
      <c r="O4178" s="30"/>
      <c r="P4178" s="30"/>
      <c r="Q4178" s="30"/>
      <c r="R4178" s="30"/>
      <c r="S4178" s="30"/>
      <c r="T4178" s="30"/>
      <c r="U4178" s="21" t="str">
        <f aca="false">IF(COUNT(K4178:T4178)=0,"SOURCE EMPTY / INDUSTRIAL ONLY",IF(MIN(K4178:T4178)=1,"SERVICE READY","HOLD"))</f>
        <v>SOURCE EMPTY / INDUSTRIAL ONLY</v>
      </c>
      <c r="V4178" s="9" t="n">
        <f aca="false">IF(U4178="SERVICE READY",1,0)</f>
        <v>0</v>
      </c>
      <c r="W4178" s="6"/>
      <c r="X4178" s="6"/>
      <c r="Y4178" s="6"/>
      <c r="Z4178" s="6"/>
    </row>
    <row r="4179" customFormat="false" ht="15" hidden="false" customHeight="false" outlineLevel="0" collapsed="false">
      <c r="A4179" s="9" t="s">
        <v>4465</v>
      </c>
      <c r="B4179" s="9" t="s">
        <v>4323</v>
      </c>
      <c r="C4179" s="9" t="s">
        <v>4324</v>
      </c>
      <c r="D4179" s="9" t="s">
        <v>3722</v>
      </c>
      <c r="E4179" s="9" t="s">
        <v>1660</v>
      </c>
      <c r="F4179" s="9" t="s">
        <v>200</v>
      </c>
      <c r="G4179" s="9" t="s">
        <v>221</v>
      </c>
      <c r="H4179" s="9" t="n">
        <v>750</v>
      </c>
      <c r="I4179" s="29" t="n">
        <v>0.4</v>
      </c>
      <c r="J4179" s="9" t="n">
        <v>0</v>
      </c>
      <c r="K4179" s="30"/>
      <c r="L4179" s="30"/>
      <c r="M4179" s="30"/>
      <c r="N4179" s="30"/>
      <c r="O4179" s="30"/>
      <c r="P4179" s="30"/>
      <c r="Q4179" s="30"/>
      <c r="R4179" s="30"/>
      <c r="S4179" s="30"/>
      <c r="T4179" s="30"/>
      <c r="U4179" s="21" t="str">
        <f aca="false">IF(COUNT(K4179:T4179)=0,"SOURCE EMPTY / INDUSTRIAL ONLY",IF(MIN(K4179:T4179)=1,"SERVICE READY","HOLD"))</f>
        <v>SOURCE EMPTY / INDUSTRIAL ONLY</v>
      </c>
      <c r="V4179" s="9" t="n">
        <f aca="false">IF(U4179="SERVICE READY",1,0)</f>
        <v>0</v>
      </c>
      <c r="W4179" s="6"/>
      <c r="X4179" s="6"/>
      <c r="Y4179" s="6"/>
      <c r="Z4179" s="6"/>
    </row>
    <row r="4180" customFormat="false" ht="15" hidden="false" customHeight="false" outlineLevel="0" collapsed="false">
      <c r="A4180" s="9" t="s">
        <v>4466</v>
      </c>
      <c r="B4180" s="9" t="s">
        <v>4323</v>
      </c>
      <c r="C4180" s="9" t="s">
        <v>4324</v>
      </c>
      <c r="D4180" s="9" t="s">
        <v>3722</v>
      </c>
      <c r="E4180" s="9" t="s">
        <v>1660</v>
      </c>
      <c r="F4180" s="9" t="s">
        <v>203</v>
      </c>
      <c r="G4180" s="9" t="s">
        <v>221</v>
      </c>
      <c r="H4180" s="9" t="n">
        <v>750</v>
      </c>
      <c r="I4180" s="29" t="n">
        <v>0.4</v>
      </c>
      <c r="J4180" s="9" t="n">
        <v>0</v>
      </c>
      <c r="K4180" s="30"/>
      <c r="L4180" s="30"/>
      <c r="M4180" s="30"/>
      <c r="N4180" s="30"/>
      <c r="O4180" s="30"/>
      <c r="P4180" s="30"/>
      <c r="Q4180" s="30"/>
      <c r="R4180" s="30"/>
      <c r="S4180" s="30"/>
      <c r="T4180" s="30"/>
      <c r="U4180" s="21" t="str">
        <f aca="false">IF(COUNT(K4180:T4180)=0,"SOURCE EMPTY / INDUSTRIAL ONLY",IF(MIN(K4180:T4180)=1,"SERVICE READY","HOLD"))</f>
        <v>SOURCE EMPTY / INDUSTRIAL ONLY</v>
      </c>
      <c r="V4180" s="9" t="n">
        <f aca="false">IF(U4180="SERVICE READY",1,0)</f>
        <v>0</v>
      </c>
      <c r="W4180" s="6"/>
      <c r="X4180" s="6"/>
      <c r="Y4180" s="6"/>
      <c r="Z4180" s="6"/>
    </row>
    <row r="4181" customFormat="false" ht="15" hidden="false" customHeight="false" outlineLevel="0" collapsed="false">
      <c r="A4181" s="9" t="s">
        <v>4467</v>
      </c>
      <c r="B4181" s="9" t="s">
        <v>4323</v>
      </c>
      <c r="C4181" s="9" t="s">
        <v>4324</v>
      </c>
      <c r="D4181" s="9" t="s">
        <v>3722</v>
      </c>
      <c r="E4181" s="9" t="s">
        <v>1660</v>
      </c>
      <c r="F4181" s="9" t="s">
        <v>205</v>
      </c>
      <c r="G4181" s="9" t="s">
        <v>221</v>
      </c>
      <c r="H4181" s="9" t="n">
        <v>750</v>
      </c>
      <c r="I4181" s="29" t="n">
        <v>0.4</v>
      </c>
      <c r="J4181" s="9" t="n">
        <v>0</v>
      </c>
      <c r="K4181" s="30"/>
      <c r="L4181" s="30"/>
      <c r="M4181" s="30"/>
      <c r="N4181" s="30"/>
      <c r="O4181" s="30"/>
      <c r="P4181" s="30"/>
      <c r="Q4181" s="30"/>
      <c r="R4181" s="30"/>
      <c r="S4181" s="30"/>
      <c r="T4181" s="30"/>
      <c r="U4181" s="21" t="str">
        <f aca="false">IF(COUNT(K4181:T4181)=0,"SOURCE EMPTY / INDUSTRIAL ONLY",IF(MIN(K4181:T4181)=1,"SERVICE READY","HOLD"))</f>
        <v>SOURCE EMPTY / INDUSTRIAL ONLY</v>
      </c>
      <c r="V4181" s="9" t="n">
        <f aca="false">IF(U4181="SERVICE READY",1,0)</f>
        <v>0</v>
      </c>
      <c r="W4181" s="6"/>
      <c r="X4181" s="6"/>
      <c r="Y4181" s="6"/>
      <c r="Z4181" s="6"/>
    </row>
    <row r="4182" customFormat="false" ht="15" hidden="false" customHeight="false" outlineLevel="0" collapsed="false">
      <c r="A4182" s="9" t="s">
        <v>4468</v>
      </c>
      <c r="B4182" s="9" t="s">
        <v>4323</v>
      </c>
      <c r="C4182" s="9" t="s">
        <v>4324</v>
      </c>
      <c r="D4182" s="9" t="s">
        <v>3722</v>
      </c>
      <c r="E4182" s="9" t="s">
        <v>1660</v>
      </c>
      <c r="F4182" s="9" t="s">
        <v>207</v>
      </c>
      <c r="G4182" s="9" t="s">
        <v>221</v>
      </c>
      <c r="H4182" s="9" t="n">
        <v>750</v>
      </c>
      <c r="I4182" s="29" t="n">
        <v>0.4</v>
      </c>
      <c r="J4182" s="9" t="n">
        <v>0</v>
      </c>
      <c r="K4182" s="30"/>
      <c r="L4182" s="30"/>
      <c r="M4182" s="30"/>
      <c r="N4182" s="30"/>
      <c r="O4182" s="30"/>
      <c r="P4182" s="30"/>
      <c r="Q4182" s="30"/>
      <c r="R4182" s="30"/>
      <c r="S4182" s="30"/>
      <c r="T4182" s="30"/>
      <c r="U4182" s="21" t="str">
        <f aca="false">IF(COUNT(K4182:T4182)=0,"SOURCE EMPTY / INDUSTRIAL ONLY",IF(MIN(K4182:T4182)=1,"SERVICE READY","HOLD"))</f>
        <v>SOURCE EMPTY / INDUSTRIAL ONLY</v>
      </c>
      <c r="V4182" s="9" t="n">
        <f aca="false">IF(U4182="SERVICE READY",1,0)</f>
        <v>0</v>
      </c>
      <c r="W4182" s="6"/>
      <c r="X4182" s="6"/>
      <c r="Y4182" s="6"/>
      <c r="Z4182" s="6"/>
    </row>
    <row r="4183" customFormat="false" ht="15" hidden="false" customHeight="false" outlineLevel="0" collapsed="false">
      <c r="A4183" s="9" t="s">
        <v>4469</v>
      </c>
      <c r="B4183" s="9" t="s">
        <v>4323</v>
      </c>
      <c r="C4183" s="9" t="s">
        <v>4324</v>
      </c>
      <c r="D4183" s="9" t="s">
        <v>3722</v>
      </c>
      <c r="E4183" s="9" t="s">
        <v>1660</v>
      </c>
      <c r="F4183" s="9" t="s">
        <v>209</v>
      </c>
      <c r="G4183" s="9" t="s">
        <v>221</v>
      </c>
      <c r="H4183" s="9" t="n">
        <v>750</v>
      </c>
      <c r="I4183" s="29" t="n">
        <v>0.4</v>
      </c>
      <c r="J4183" s="9" t="n">
        <v>0</v>
      </c>
      <c r="K4183" s="30"/>
      <c r="L4183" s="30"/>
      <c r="M4183" s="30"/>
      <c r="N4183" s="30"/>
      <c r="O4183" s="30"/>
      <c r="P4183" s="30"/>
      <c r="Q4183" s="30"/>
      <c r="R4183" s="30"/>
      <c r="S4183" s="30"/>
      <c r="T4183" s="30"/>
      <c r="U4183" s="21" t="str">
        <f aca="false">IF(COUNT(K4183:T4183)=0,"SOURCE EMPTY / INDUSTRIAL ONLY",IF(MIN(K4183:T4183)=1,"SERVICE READY","HOLD"))</f>
        <v>SOURCE EMPTY / INDUSTRIAL ONLY</v>
      </c>
      <c r="V4183" s="9" t="n">
        <f aca="false">IF(U4183="SERVICE READY",1,0)</f>
        <v>0</v>
      </c>
      <c r="W4183" s="6"/>
      <c r="X4183" s="6"/>
      <c r="Y4183" s="6"/>
      <c r="Z4183" s="6"/>
    </row>
    <row r="4184" customFormat="false" ht="15" hidden="false" customHeight="false" outlineLevel="0" collapsed="false">
      <c r="A4184" s="9" t="s">
        <v>4470</v>
      </c>
      <c r="B4184" s="9" t="s">
        <v>4323</v>
      </c>
      <c r="C4184" s="9" t="s">
        <v>4324</v>
      </c>
      <c r="D4184" s="9" t="s">
        <v>3722</v>
      </c>
      <c r="E4184" s="9" t="s">
        <v>1660</v>
      </c>
      <c r="F4184" s="9" t="s">
        <v>211</v>
      </c>
      <c r="G4184" s="9" t="s">
        <v>221</v>
      </c>
      <c r="H4184" s="9" t="n">
        <v>750</v>
      </c>
      <c r="I4184" s="29" t="n">
        <v>0.4</v>
      </c>
      <c r="J4184" s="9" t="n">
        <v>0</v>
      </c>
      <c r="K4184" s="30"/>
      <c r="L4184" s="30"/>
      <c r="M4184" s="30"/>
      <c r="N4184" s="30"/>
      <c r="O4184" s="30"/>
      <c r="P4184" s="30"/>
      <c r="Q4184" s="30"/>
      <c r="R4184" s="30"/>
      <c r="S4184" s="30"/>
      <c r="T4184" s="30"/>
      <c r="U4184" s="21" t="str">
        <f aca="false">IF(COUNT(K4184:T4184)=0,"SOURCE EMPTY / INDUSTRIAL ONLY",IF(MIN(K4184:T4184)=1,"SERVICE READY","HOLD"))</f>
        <v>SOURCE EMPTY / INDUSTRIAL ONLY</v>
      </c>
      <c r="V4184" s="9" t="n">
        <f aca="false">IF(U4184="SERVICE READY",1,0)</f>
        <v>0</v>
      </c>
      <c r="W4184" s="6"/>
      <c r="X4184" s="6"/>
      <c r="Y4184" s="6"/>
      <c r="Z4184" s="6"/>
    </row>
    <row r="4185" customFormat="false" ht="15" hidden="false" customHeight="false" outlineLevel="0" collapsed="false">
      <c r="A4185" s="9" t="s">
        <v>4471</v>
      </c>
      <c r="B4185" s="9" t="s">
        <v>4323</v>
      </c>
      <c r="C4185" s="9" t="s">
        <v>4324</v>
      </c>
      <c r="D4185" s="9" t="s">
        <v>3722</v>
      </c>
      <c r="E4185" s="9" t="s">
        <v>1660</v>
      </c>
      <c r="F4185" s="9" t="s">
        <v>197</v>
      </c>
      <c r="G4185" s="9" t="s">
        <v>221</v>
      </c>
      <c r="H4185" s="9" t="n">
        <v>750</v>
      </c>
      <c r="I4185" s="29" t="n">
        <v>0.4</v>
      </c>
      <c r="J4185" s="9" t="n">
        <v>0</v>
      </c>
      <c r="K4185" s="30"/>
      <c r="L4185" s="30"/>
      <c r="M4185" s="30"/>
      <c r="N4185" s="30"/>
      <c r="O4185" s="30"/>
      <c r="P4185" s="30"/>
      <c r="Q4185" s="30"/>
      <c r="R4185" s="30"/>
      <c r="S4185" s="30"/>
      <c r="T4185" s="30"/>
      <c r="U4185" s="21" t="str">
        <f aca="false">IF(COUNT(K4185:T4185)=0,"SOURCE EMPTY / INDUSTRIAL ONLY",IF(MIN(K4185:T4185)=1,"SERVICE READY","HOLD"))</f>
        <v>SOURCE EMPTY / INDUSTRIAL ONLY</v>
      </c>
      <c r="V4185" s="9" t="n">
        <f aca="false">IF(U4185="SERVICE READY",1,0)</f>
        <v>0</v>
      </c>
      <c r="W4185" s="6"/>
      <c r="X4185" s="6"/>
      <c r="Y4185" s="6"/>
      <c r="Z4185" s="6"/>
    </row>
    <row r="4186" customFormat="false" ht="15" hidden="false" customHeight="false" outlineLevel="0" collapsed="false">
      <c r="A4186" s="9" t="s">
        <v>4472</v>
      </c>
      <c r="B4186" s="9" t="s">
        <v>4323</v>
      </c>
      <c r="C4186" s="9" t="s">
        <v>4324</v>
      </c>
      <c r="D4186" s="9" t="s">
        <v>3722</v>
      </c>
      <c r="E4186" s="9" t="s">
        <v>1660</v>
      </c>
      <c r="F4186" s="9" t="s">
        <v>200</v>
      </c>
      <c r="G4186" s="9" t="s">
        <v>221</v>
      </c>
      <c r="H4186" s="9" t="n">
        <v>750</v>
      </c>
      <c r="I4186" s="29" t="n">
        <v>0.4</v>
      </c>
      <c r="J4186" s="9" t="n">
        <v>0</v>
      </c>
      <c r="K4186" s="30"/>
      <c r="L4186" s="30"/>
      <c r="M4186" s="30"/>
      <c r="N4186" s="30"/>
      <c r="O4186" s="30"/>
      <c r="P4186" s="30"/>
      <c r="Q4186" s="30"/>
      <c r="R4186" s="30"/>
      <c r="S4186" s="30"/>
      <c r="T4186" s="30"/>
      <c r="U4186" s="21" t="str">
        <f aca="false">IF(COUNT(K4186:T4186)=0,"SOURCE EMPTY / INDUSTRIAL ONLY",IF(MIN(K4186:T4186)=1,"SERVICE READY","HOLD"))</f>
        <v>SOURCE EMPTY / INDUSTRIAL ONLY</v>
      </c>
      <c r="V4186" s="9" t="n">
        <f aca="false">IF(U4186="SERVICE READY",1,0)</f>
        <v>0</v>
      </c>
      <c r="W4186" s="6"/>
      <c r="X4186" s="6"/>
      <c r="Y4186" s="6"/>
      <c r="Z4186" s="6"/>
    </row>
    <row r="4187" customFormat="false" ht="15" hidden="false" customHeight="false" outlineLevel="0" collapsed="false">
      <c r="A4187" s="9" t="s">
        <v>4473</v>
      </c>
      <c r="B4187" s="9" t="s">
        <v>4323</v>
      </c>
      <c r="C4187" s="9" t="s">
        <v>4324</v>
      </c>
      <c r="D4187" s="9" t="s">
        <v>3722</v>
      </c>
      <c r="E4187" s="9" t="s">
        <v>1660</v>
      </c>
      <c r="F4187" s="9" t="s">
        <v>203</v>
      </c>
      <c r="G4187" s="9" t="s">
        <v>221</v>
      </c>
      <c r="H4187" s="9" t="n">
        <v>750</v>
      </c>
      <c r="I4187" s="29" t="n">
        <v>0.4</v>
      </c>
      <c r="J4187" s="9" t="n">
        <v>0</v>
      </c>
      <c r="K4187" s="30"/>
      <c r="L4187" s="30"/>
      <c r="M4187" s="30"/>
      <c r="N4187" s="30"/>
      <c r="O4187" s="30"/>
      <c r="P4187" s="30"/>
      <c r="Q4187" s="30"/>
      <c r="R4187" s="30"/>
      <c r="S4187" s="30"/>
      <c r="T4187" s="30"/>
      <c r="U4187" s="21" t="str">
        <f aca="false">IF(COUNT(K4187:T4187)=0,"SOURCE EMPTY / INDUSTRIAL ONLY",IF(MIN(K4187:T4187)=1,"SERVICE READY","HOLD"))</f>
        <v>SOURCE EMPTY / INDUSTRIAL ONLY</v>
      </c>
      <c r="V4187" s="9" t="n">
        <f aca="false">IF(U4187="SERVICE READY",1,0)</f>
        <v>0</v>
      </c>
      <c r="W4187" s="6"/>
      <c r="X4187" s="6"/>
      <c r="Y4187" s="6"/>
      <c r="Z4187" s="6"/>
    </row>
    <row r="4188" customFormat="false" ht="15" hidden="false" customHeight="false" outlineLevel="0" collapsed="false">
      <c r="A4188" s="9" t="s">
        <v>4474</v>
      </c>
      <c r="B4188" s="9" t="s">
        <v>4323</v>
      </c>
      <c r="C4188" s="9" t="s">
        <v>4324</v>
      </c>
      <c r="D4188" s="9" t="s">
        <v>3722</v>
      </c>
      <c r="E4188" s="9" t="s">
        <v>1660</v>
      </c>
      <c r="F4188" s="9" t="s">
        <v>205</v>
      </c>
      <c r="G4188" s="9" t="s">
        <v>221</v>
      </c>
      <c r="H4188" s="9" t="n">
        <v>750</v>
      </c>
      <c r="I4188" s="29" t="n">
        <v>0.4</v>
      </c>
      <c r="J4188" s="9" t="n">
        <v>0</v>
      </c>
      <c r="K4188" s="30"/>
      <c r="L4188" s="30"/>
      <c r="M4188" s="30"/>
      <c r="N4188" s="30"/>
      <c r="O4188" s="30"/>
      <c r="P4188" s="30"/>
      <c r="Q4188" s="30"/>
      <c r="R4188" s="30"/>
      <c r="S4188" s="30"/>
      <c r="T4188" s="30"/>
      <c r="U4188" s="21" t="str">
        <f aca="false">IF(COUNT(K4188:T4188)=0,"SOURCE EMPTY / INDUSTRIAL ONLY",IF(MIN(K4188:T4188)=1,"SERVICE READY","HOLD"))</f>
        <v>SOURCE EMPTY / INDUSTRIAL ONLY</v>
      </c>
      <c r="V4188" s="9" t="n">
        <f aca="false">IF(U4188="SERVICE READY",1,0)</f>
        <v>0</v>
      </c>
      <c r="W4188" s="6"/>
      <c r="X4188" s="6"/>
      <c r="Y4188" s="6"/>
      <c r="Z4188" s="6"/>
    </row>
    <row r="4189" customFormat="false" ht="15" hidden="false" customHeight="false" outlineLevel="0" collapsed="false">
      <c r="A4189" s="9" t="s">
        <v>4475</v>
      </c>
      <c r="B4189" s="9" t="s">
        <v>4323</v>
      </c>
      <c r="C4189" s="9" t="s">
        <v>4324</v>
      </c>
      <c r="D4189" s="9" t="s">
        <v>3722</v>
      </c>
      <c r="E4189" s="9" t="s">
        <v>1660</v>
      </c>
      <c r="F4189" s="9" t="s">
        <v>207</v>
      </c>
      <c r="G4189" s="9" t="s">
        <v>221</v>
      </c>
      <c r="H4189" s="9" t="n">
        <v>750</v>
      </c>
      <c r="I4189" s="29" t="n">
        <v>0.4</v>
      </c>
      <c r="J4189" s="9" t="n">
        <v>0</v>
      </c>
      <c r="K4189" s="30"/>
      <c r="L4189" s="30"/>
      <c r="M4189" s="30"/>
      <c r="N4189" s="30"/>
      <c r="O4189" s="30"/>
      <c r="P4189" s="30"/>
      <c r="Q4189" s="30"/>
      <c r="R4189" s="30"/>
      <c r="S4189" s="30"/>
      <c r="T4189" s="30"/>
      <c r="U4189" s="21" t="str">
        <f aca="false">IF(COUNT(K4189:T4189)=0,"SOURCE EMPTY / INDUSTRIAL ONLY",IF(MIN(K4189:T4189)=1,"SERVICE READY","HOLD"))</f>
        <v>SOURCE EMPTY / INDUSTRIAL ONLY</v>
      </c>
      <c r="V4189" s="9" t="n">
        <f aca="false">IF(U4189="SERVICE READY",1,0)</f>
        <v>0</v>
      </c>
      <c r="W4189" s="6"/>
      <c r="X4189" s="6"/>
      <c r="Y4189" s="6"/>
      <c r="Z4189" s="6"/>
    </row>
    <row r="4190" customFormat="false" ht="15" hidden="false" customHeight="false" outlineLevel="0" collapsed="false">
      <c r="A4190" s="9" t="s">
        <v>4476</v>
      </c>
      <c r="B4190" s="9" t="s">
        <v>4323</v>
      </c>
      <c r="C4190" s="9" t="s">
        <v>4324</v>
      </c>
      <c r="D4190" s="9" t="s">
        <v>3722</v>
      </c>
      <c r="E4190" s="9" t="s">
        <v>1660</v>
      </c>
      <c r="F4190" s="9" t="s">
        <v>209</v>
      </c>
      <c r="G4190" s="9" t="s">
        <v>221</v>
      </c>
      <c r="H4190" s="9" t="n">
        <v>750</v>
      </c>
      <c r="I4190" s="29" t="n">
        <v>0.4</v>
      </c>
      <c r="J4190" s="9" t="n">
        <v>0</v>
      </c>
      <c r="K4190" s="30"/>
      <c r="L4190" s="30"/>
      <c r="M4190" s="30"/>
      <c r="N4190" s="30"/>
      <c r="O4190" s="30"/>
      <c r="P4190" s="30"/>
      <c r="Q4190" s="30"/>
      <c r="R4190" s="30"/>
      <c r="S4190" s="30"/>
      <c r="T4190" s="30"/>
      <c r="U4190" s="21" t="str">
        <f aca="false">IF(COUNT(K4190:T4190)=0,"SOURCE EMPTY / INDUSTRIAL ONLY",IF(MIN(K4190:T4190)=1,"SERVICE READY","HOLD"))</f>
        <v>SOURCE EMPTY / INDUSTRIAL ONLY</v>
      </c>
      <c r="V4190" s="9" t="n">
        <f aca="false">IF(U4190="SERVICE READY",1,0)</f>
        <v>0</v>
      </c>
      <c r="W4190" s="6"/>
      <c r="X4190" s="6"/>
      <c r="Y4190" s="6"/>
      <c r="Z4190" s="6"/>
    </row>
    <row r="4191" customFormat="false" ht="15" hidden="false" customHeight="false" outlineLevel="0" collapsed="false">
      <c r="A4191" s="9" t="s">
        <v>4477</v>
      </c>
      <c r="B4191" s="9" t="s">
        <v>4323</v>
      </c>
      <c r="C4191" s="9" t="s">
        <v>4324</v>
      </c>
      <c r="D4191" s="9" t="s">
        <v>3722</v>
      </c>
      <c r="E4191" s="9" t="s">
        <v>1660</v>
      </c>
      <c r="F4191" s="9" t="s">
        <v>211</v>
      </c>
      <c r="G4191" s="9" t="s">
        <v>221</v>
      </c>
      <c r="H4191" s="9" t="n">
        <v>750</v>
      </c>
      <c r="I4191" s="29" t="n">
        <v>0.4</v>
      </c>
      <c r="J4191" s="9" t="n">
        <v>0</v>
      </c>
      <c r="K4191" s="30"/>
      <c r="L4191" s="30"/>
      <c r="M4191" s="30"/>
      <c r="N4191" s="30"/>
      <c r="O4191" s="30"/>
      <c r="P4191" s="30"/>
      <c r="Q4191" s="30"/>
      <c r="R4191" s="30"/>
      <c r="S4191" s="30"/>
      <c r="T4191" s="30"/>
      <c r="U4191" s="21" t="str">
        <f aca="false">IF(COUNT(K4191:T4191)=0,"SOURCE EMPTY / INDUSTRIAL ONLY",IF(MIN(K4191:T4191)=1,"SERVICE READY","HOLD"))</f>
        <v>SOURCE EMPTY / INDUSTRIAL ONLY</v>
      </c>
      <c r="V4191" s="9" t="n">
        <f aca="false">IF(U4191="SERVICE READY",1,0)</f>
        <v>0</v>
      </c>
      <c r="W4191" s="6"/>
      <c r="X4191" s="6"/>
      <c r="Y4191" s="6"/>
      <c r="Z4191" s="6"/>
    </row>
    <row r="4192" customFormat="false" ht="15" hidden="false" customHeight="false" outlineLevel="0" collapsed="false">
      <c r="A4192" s="9" t="s">
        <v>4478</v>
      </c>
      <c r="B4192" s="9" t="s">
        <v>4323</v>
      </c>
      <c r="C4192" s="9" t="s">
        <v>4324</v>
      </c>
      <c r="D4192" s="9" t="s">
        <v>3722</v>
      </c>
      <c r="E4192" s="9" t="s">
        <v>1660</v>
      </c>
      <c r="F4192" s="9" t="s">
        <v>197</v>
      </c>
      <c r="G4192" s="9" t="s">
        <v>221</v>
      </c>
      <c r="H4192" s="9" t="n">
        <v>750</v>
      </c>
      <c r="I4192" s="29" t="n">
        <v>0.4</v>
      </c>
      <c r="J4192" s="9" t="n">
        <v>0</v>
      </c>
      <c r="K4192" s="30"/>
      <c r="L4192" s="30"/>
      <c r="M4192" s="30"/>
      <c r="N4192" s="30"/>
      <c r="O4192" s="30"/>
      <c r="P4192" s="30"/>
      <c r="Q4192" s="30"/>
      <c r="R4192" s="30"/>
      <c r="S4192" s="30"/>
      <c r="T4192" s="30"/>
      <c r="U4192" s="21" t="str">
        <f aca="false">IF(COUNT(K4192:T4192)=0,"SOURCE EMPTY / INDUSTRIAL ONLY",IF(MIN(K4192:T4192)=1,"SERVICE READY","HOLD"))</f>
        <v>SOURCE EMPTY / INDUSTRIAL ONLY</v>
      </c>
      <c r="V4192" s="9" t="n">
        <f aca="false">IF(U4192="SERVICE READY",1,0)</f>
        <v>0</v>
      </c>
      <c r="W4192" s="6"/>
      <c r="X4192" s="6"/>
      <c r="Y4192" s="6"/>
      <c r="Z4192" s="6"/>
    </row>
    <row r="4193" customFormat="false" ht="15" hidden="false" customHeight="false" outlineLevel="0" collapsed="false">
      <c r="A4193" s="9" t="s">
        <v>4479</v>
      </c>
      <c r="B4193" s="9" t="s">
        <v>4323</v>
      </c>
      <c r="C4193" s="9" t="s">
        <v>4324</v>
      </c>
      <c r="D4193" s="9" t="s">
        <v>3722</v>
      </c>
      <c r="E4193" s="9" t="s">
        <v>1660</v>
      </c>
      <c r="F4193" s="9" t="s">
        <v>200</v>
      </c>
      <c r="G4193" s="9" t="s">
        <v>221</v>
      </c>
      <c r="H4193" s="9" t="n">
        <v>750</v>
      </c>
      <c r="I4193" s="29" t="n">
        <v>0.4</v>
      </c>
      <c r="J4193" s="9" t="n">
        <v>0</v>
      </c>
      <c r="K4193" s="30"/>
      <c r="L4193" s="30"/>
      <c r="M4193" s="30"/>
      <c r="N4193" s="30"/>
      <c r="O4193" s="30"/>
      <c r="P4193" s="30"/>
      <c r="Q4193" s="30"/>
      <c r="R4193" s="30"/>
      <c r="S4193" s="30"/>
      <c r="T4193" s="30"/>
      <c r="U4193" s="21" t="str">
        <f aca="false">IF(COUNT(K4193:T4193)=0,"SOURCE EMPTY / INDUSTRIAL ONLY",IF(MIN(K4193:T4193)=1,"SERVICE READY","HOLD"))</f>
        <v>SOURCE EMPTY / INDUSTRIAL ONLY</v>
      </c>
      <c r="V4193" s="9" t="n">
        <f aca="false">IF(U4193="SERVICE READY",1,0)</f>
        <v>0</v>
      </c>
      <c r="W4193" s="6"/>
      <c r="X4193" s="6"/>
      <c r="Y4193" s="6"/>
      <c r="Z4193" s="6"/>
    </row>
    <row r="4194" customFormat="false" ht="15" hidden="false" customHeight="false" outlineLevel="0" collapsed="false">
      <c r="A4194" s="9" t="s">
        <v>4480</v>
      </c>
      <c r="B4194" s="9" t="s">
        <v>4323</v>
      </c>
      <c r="C4194" s="9" t="s">
        <v>4324</v>
      </c>
      <c r="D4194" s="9" t="s">
        <v>3722</v>
      </c>
      <c r="E4194" s="9" t="s">
        <v>1660</v>
      </c>
      <c r="F4194" s="9" t="s">
        <v>203</v>
      </c>
      <c r="G4194" s="9" t="s">
        <v>221</v>
      </c>
      <c r="H4194" s="9" t="n">
        <v>750</v>
      </c>
      <c r="I4194" s="29" t="n">
        <v>0.4</v>
      </c>
      <c r="J4194" s="9" t="n">
        <v>0</v>
      </c>
      <c r="K4194" s="30"/>
      <c r="L4194" s="30"/>
      <c r="M4194" s="30"/>
      <c r="N4194" s="30"/>
      <c r="O4194" s="30"/>
      <c r="P4194" s="30"/>
      <c r="Q4194" s="30"/>
      <c r="R4194" s="30"/>
      <c r="S4194" s="30"/>
      <c r="T4194" s="30"/>
      <c r="U4194" s="21" t="str">
        <f aca="false">IF(COUNT(K4194:T4194)=0,"SOURCE EMPTY / INDUSTRIAL ONLY",IF(MIN(K4194:T4194)=1,"SERVICE READY","HOLD"))</f>
        <v>SOURCE EMPTY / INDUSTRIAL ONLY</v>
      </c>
      <c r="V4194" s="9" t="n">
        <f aca="false">IF(U4194="SERVICE READY",1,0)</f>
        <v>0</v>
      </c>
      <c r="W4194" s="6"/>
      <c r="X4194" s="6"/>
      <c r="Y4194" s="6"/>
      <c r="Z4194" s="6"/>
    </row>
    <row r="4195" customFormat="false" ht="15" hidden="false" customHeight="false" outlineLevel="0" collapsed="false">
      <c r="A4195" s="9" t="s">
        <v>4481</v>
      </c>
      <c r="B4195" s="9" t="s">
        <v>4323</v>
      </c>
      <c r="C4195" s="9" t="s">
        <v>4324</v>
      </c>
      <c r="D4195" s="9" t="s">
        <v>3722</v>
      </c>
      <c r="E4195" s="9" t="s">
        <v>1660</v>
      </c>
      <c r="F4195" s="9" t="s">
        <v>205</v>
      </c>
      <c r="G4195" s="9" t="s">
        <v>221</v>
      </c>
      <c r="H4195" s="9" t="n">
        <v>750</v>
      </c>
      <c r="I4195" s="29" t="n">
        <v>0.4</v>
      </c>
      <c r="J4195" s="9" t="n">
        <v>0</v>
      </c>
      <c r="K4195" s="30"/>
      <c r="L4195" s="30"/>
      <c r="M4195" s="30"/>
      <c r="N4195" s="30"/>
      <c r="O4195" s="30"/>
      <c r="P4195" s="30"/>
      <c r="Q4195" s="30"/>
      <c r="R4195" s="30"/>
      <c r="S4195" s="30"/>
      <c r="T4195" s="30"/>
      <c r="U4195" s="21" t="str">
        <f aca="false">IF(COUNT(K4195:T4195)=0,"SOURCE EMPTY / INDUSTRIAL ONLY",IF(MIN(K4195:T4195)=1,"SERVICE READY","HOLD"))</f>
        <v>SOURCE EMPTY / INDUSTRIAL ONLY</v>
      </c>
      <c r="V4195" s="9" t="n">
        <f aca="false">IF(U4195="SERVICE READY",1,0)</f>
        <v>0</v>
      </c>
      <c r="W4195" s="6"/>
      <c r="X4195" s="6"/>
      <c r="Y4195" s="6"/>
      <c r="Z4195" s="6"/>
    </row>
    <row r="4196" customFormat="false" ht="15" hidden="false" customHeight="false" outlineLevel="0" collapsed="false">
      <c r="A4196" s="9" t="s">
        <v>4482</v>
      </c>
      <c r="B4196" s="9" t="s">
        <v>4483</v>
      </c>
      <c r="C4196" s="9" t="s">
        <v>4484</v>
      </c>
      <c r="D4196" s="9" t="s">
        <v>3722</v>
      </c>
      <c r="E4196" s="9" t="s">
        <v>323</v>
      </c>
      <c r="F4196" s="9" t="s">
        <v>197</v>
      </c>
      <c r="G4196" s="9" t="s">
        <v>198</v>
      </c>
      <c r="H4196" s="9" t="n">
        <v>625</v>
      </c>
      <c r="I4196" s="29" t="n">
        <v>0.4</v>
      </c>
      <c r="J4196" s="9" t="n">
        <v>1</v>
      </c>
      <c r="K4196" s="30"/>
      <c r="L4196" s="30"/>
      <c r="M4196" s="30"/>
      <c r="N4196" s="30"/>
      <c r="O4196" s="30"/>
      <c r="P4196" s="30"/>
      <c r="Q4196" s="30"/>
      <c r="R4196" s="30"/>
      <c r="S4196" s="30"/>
      <c r="T4196" s="30"/>
      <c r="U4196" s="21" t="str">
        <f aca="false">IF(COUNT(K4196:T4196)=0,"SOURCE EMPTY / INDUSTRIAL ONLY",IF(MIN(K4196:T4196)=1,"SERVICE READY","HOLD"))</f>
        <v>SOURCE EMPTY / INDUSTRIAL ONLY</v>
      </c>
      <c r="V4196" s="9" t="n">
        <f aca="false">IF(U4196="SERVICE READY",1,0)</f>
        <v>0</v>
      </c>
      <c r="W4196" s="6"/>
      <c r="X4196" s="6"/>
      <c r="Y4196" s="6"/>
      <c r="Z4196" s="6"/>
    </row>
    <row r="4197" customFormat="false" ht="15" hidden="false" customHeight="false" outlineLevel="0" collapsed="false">
      <c r="A4197" s="9" t="s">
        <v>4485</v>
      </c>
      <c r="B4197" s="9" t="s">
        <v>4483</v>
      </c>
      <c r="C4197" s="9" t="s">
        <v>4484</v>
      </c>
      <c r="D4197" s="9" t="s">
        <v>3722</v>
      </c>
      <c r="E4197" s="9" t="s">
        <v>323</v>
      </c>
      <c r="F4197" s="9" t="s">
        <v>200</v>
      </c>
      <c r="G4197" s="9" t="s">
        <v>201</v>
      </c>
      <c r="H4197" s="9" t="n">
        <v>625</v>
      </c>
      <c r="I4197" s="29" t="n">
        <v>0.4</v>
      </c>
      <c r="J4197" s="9" t="n">
        <v>1</v>
      </c>
      <c r="K4197" s="30"/>
      <c r="L4197" s="30"/>
      <c r="M4197" s="30"/>
      <c r="N4197" s="30"/>
      <c r="O4197" s="30"/>
      <c r="P4197" s="30"/>
      <c r="Q4197" s="30"/>
      <c r="R4197" s="30"/>
      <c r="S4197" s="30"/>
      <c r="T4197" s="30"/>
      <c r="U4197" s="21" t="str">
        <f aca="false">IF(COUNT(K4197:T4197)=0,"SOURCE EMPTY / INDUSTRIAL ONLY",IF(MIN(K4197:T4197)=1,"SERVICE READY","HOLD"))</f>
        <v>SOURCE EMPTY / INDUSTRIAL ONLY</v>
      </c>
      <c r="V4197" s="9" t="n">
        <f aca="false">IF(U4197="SERVICE READY",1,0)</f>
        <v>0</v>
      </c>
      <c r="W4197" s="6"/>
      <c r="X4197" s="6"/>
      <c r="Y4197" s="6"/>
      <c r="Z4197" s="6"/>
    </row>
    <row r="4198" customFormat="false" ht="15" hidden="false" customHeight="false" outlineLevel="0" collapsed="false">
      <c r="A4198" s="9" t="s">
        <v>4486</v>
      </c>
      <c r="B4198" s="9" t="s">
        <v>4483</v>
      </c>
      <c r="C4198" s="9" t="s">
        <v>4484</v>
      </c>
      <c r="D4198" s="9" t="s">
        <v>3722</v>
      </c>
      <c r="E4198" s="9" t="s">
        <v>323</v>
      </c>
      <c r="F4198" s="9" t="s">
        <v>203</v>
      </c>
      <c r="G4198" s="9" t="s">
        <v>198</v>
      </c>
      <c r="H4198" s="9" t="n">
        <v>625</v>
      </c>
      <c r="I4198" s="29" t="n">
        <v>0.4</v>
      </c>
      <c r="J4198" s="9" t="n">
        <v>1</v>
      </c>
      <c r="K4198" s="30"/>
      <c r="L4198" s="30"/>
      <c r="M4198" s="30"/>
      <c r="N4198" s="30"/>
      <c r="O4198" s="30"/>
      <c r="P4198" s="30"/>
      <c r="Q4198" s="30"/>
      <c r="R4198" s="30"/>
      <c r="S4198" s="30"/>
      <c r="T4198" s="30"/>
      <c r="U4198" s="21" t="str">
        <f aca="false">IF(COUNT(K4198:T4198)=0,"SOURCE EMPTY / INDUSTRIAL ONLY",IF(MIN(K4198:T4198)=1,"SERVICE READY","HOLD"))</f>
        <v>SOURCE EMPTY / INDUSTRIAL ONLY</v>
      </c>
      <c r="V4198" s="9" t="n">
        <f aca="false">IF(U4198="SERVICE READY",1,0)</f>
        <v>0</v>
      </c>
      <c r="W4198" s="6"/>
      <c r="X4198" s="6"/>
      <c r="Y4198" s="6"/>
      <c r="Z4198" s="6"/>
    </row>
    <row r="4199" customFormat="false" ht="15" hidden="false" customHeight="false" outlineLevel="0" collapsed="false">
      <c r="A4199" s="9" t="s">
        <v>4487</v>
      </c>
      <c r="B4199" s="9" t="s">
        <v>4483</v>
      </c>
      <c r="C4199" s="9" t="s">
        <v>4484</v>
      </c>
      <c r="D4199" s="9" t="s">
        <v>3722</v>
      </c>
      <c r="E4199" s="9" t="s">
        <v>323</v>
      </c>
      <c r="F4199" s="9" t="s">
        <v>205</v>
      </c>
      <c r="G4199" s="9" t="s">
        <v>201</v>
      </c>
      <c r="H4199" s="9" t="n">
        <v>625</v>
      </c>
      <c r="I4199" s="29" t="n">
        <v>0.4</v>
      </c>
      <c r="J4199" s="9" t="n">
        <v>1</v>
      </c>
      <c r="K4199" s="30"/>
      <c r="L4199" s="30"/>
      <c r="M4199" s="30"/>
      <c r="N4199" s="30"/>
      <c r="O4199" s="30"/>
      <c r="P4199" s="30"/>
      <c r="Q4199" s="30"/>
      <c r="R4199" s="30"/>
      <c r="S4199" s="30"/>
      <c r="T4199" s="30"/>
      <c r="U4199" s="21" t="str">
        <f aca="false">IF(COUNT(K4199:T4199)=0,"SOURCE EMPTY / INDUSTRIAL ONLY",IF(MIN(K4199:T4199)=1,"SERVICE READY","HOLD"))</f>
        <v>SOURCE EMPTY / INDUSTRIAL ONLY</v>
      </c>
      <c r="V4199" s="9" t="n">
        <f aca="false">IF(U4199="SERVICE READY",1,0)</f>
        <v>0</v>
      </c>
      <c r="W4199" s="6"/>
      <c r="X4199" s="6"/>
      <c r="Y4199" s="6"/>
      <c r="Z4199" s="6"/>
    </row>
    <row r="4200" customFormat="false" ht="15" hidden="false" customHeight="false" outlineLevel="0" collapsed="false">
      <c r="A4200" s="9" t="s">
        <v>4488</v>
      </c>
      <c r="B4200" s="9" t="s">
        <v>4483</v>
      </c>
      <c r="C4200" s="9" t="s">
        <v>4484</v>
      </c>
      <c r="D4200" s="9" t="s">
        <v>3722</v>
      </c>
      <c r="E4200" s="9" t="s">
        <v>323</v>
      </c>
      <c r="F4200" s="9" t="s">
        <v>207</v>
      </c>
      <c r="G4200" s="9" t="s">
        <v>198</v>
      </c>
      <c r="H4200" s="9" t="n">
        <v>625</v>
      </c>
      <c r="I4200" s="29" t="n">
        <v>0.4</v>
      </c>
      <c r="J4200" s="9" t="n">
        <v>1</v>
      </c>
      <c r="K4200" s="30"/>
      <c r="L4200" s="30"/>
      <c r="M4200" s="30"/>
      <c r="N4200" s="30"/>
      <c r="O4200" s="30"/>
      <c r="P4200" s="30"/>
      <c r="Q4200" s="30"/>
      <c r="R4200" s="30"/>
      <c r="S4200" s="30"/>
      <c r="T4200" s="30"/>
      <c r="U4200" s="21" t="str">
        <f aca="false">IF(COUNT(K4200:T4200)=0,"SOURCE EMPTY / INDUSTRIAL ONLY",IF(MIN(K4200:T4200)=1,"SERVICE READY","HOLD"))</f>
        <v>SOURCE EMPTY / INDUSTRIAL ONLY</v>
      </c>
      <c r="V4200" s="9" t="n">
        <f aca="false">IF(U4200="SERVICE READY",1,0)</f>
        <v>0</v>
      </c>
      <c r="W4200" s="6"/>
      <c r="X4200" s="6"/>
      <c r="Y4200" s="6"/>
      <c r="Z4200" s="6"/>
    </row>
    <row r="4201" customFormat="false" ht="15" hidden="false" customHeight="false" outlineLevel="0" collapsed="false">
      <c r="A4201" s="9" t="s">
        <v>4489</v>
      </c>
      <c r="B4201" s="9" t="s">
        <v>4483</v>
      </c>
      <c r="C4201" s="9" t="s">
        <v>4484</v>
      </c>
      <c r="D4201" s="9" t="s">
        <v>3722</v>
      </c>
      <c r="E4201" s="9" t="s">
        <v>323</v>
      </c>
      <c r="F4201" s="9" t="s">
        <v>209</v>
      </c>
      <c r="G4201" s="9" t="s">
        <v>201</v>
      </c>
      <c r="H4201" s="9" t="n">
        <v>625</v>
      </c>
      <c r="I4201" s="29" t="n">
        <v>0.4</v>
      </c>
      <c r="J4201" s="9" t="n">
        <v>1</v>
      </c>
      <c r="K4201" s="30"/>
      <c r="L4201" s="30"/>
      <c r="M4201" s="30"/>
      <c r="N4201" s="30"/>
      <c r="O4201" s="30"/>
      <c r="P4201" s="30"/>
      <c r="Q4201" s="30"/>
      <c r="R4201" s="30"/>
      <c r="S4201" s="30"/>
      <c r="T4201" s="30"/>
      <c r="U4201" s="21" t="str">
        <f aca="false">IF(COUNT(K4201:T4201)=0,"SOURCE EMPTY / INDUSTRIAL ONLY",IF(MIN(K4201:T4201)=1,"SERVICE READY","HOLD"))</f>
        <v>SOURCE EMPTY / INDUSTRIAL ONLY</v>
      </c>
      <c r="V4201" s="9" t="n">
        <f aca="false">IF(U4201="SERVICE READY",1,0)</f>
        <v>0</v>
      </c>
      <c r="W4201" s="6"/>
      <c r="X4201" s="6"/>
      <c r="Y4201" s="6"/>
      <c r="Z4201" s="6"/>
    </row>
    <row r="4202" customFormat="false" ht="15" hidden="false" customHeight="false" outlineLevel="0" collapsed="false">
      <c r="A4202" s="9" t="s">
        <v>4490</v>
      </c>
      <c r="B4202" s="9" t="s">
        <v>4483</v>
      </c>
      <c r="C4202" s="9" t="s">
        <v>4484</v>
      </c>
      <c r="D4202" s="9" t="s">
        <v>3722</v>
      </c>
      <c r="E4202" s="9" t="s">
        <v>323</v>
      </c>
      <c r="F4202" s="9" t="s">
        <v>211</v>
      </c>
      <c r="G4202" s="9" t="s">
        <v>198</v>
      </c>
      <c r="H4202" s="9" t="n">
        <v>625</v>
      </c>
      <c r="I4202" s="29" t="n">
        <v>0.4</v>
      </c>
      <c r="J4202" s="9" t="n">
        <v>1</v>
      </c>
      <c r="K4202" s="30"/>
      <c r="L4202" s="30"/>
      <c r="M4202" s="30"/>
      <c r="N4202" s="30"/>
      <c r="O4202" s="30"/>
      <c r="P4202" s="30"/>
      <c r="Q4202" s="30"/>
      <c r="R4202" s="30"/>
      <c r="S4202" s="30"/>
      <c r="T4202" s="30"/>
      <c r="U4202" s="21" t="str">
        <f aca="false">IF(COUNT(K4202:T4202)=0,"SOURCE EMPTY / INDUSTRIAL ONLY",IF(MIN(K4202:T4202)=1,"SERVICE READY","HOLD"))</f>
        <v>SOURCE EMPTY / INDUSTRIAL ONLY</v>
      </c>
      <c r="V4202" s="9" t="n">
        <f aca="false">IF(U4202="SERVICE READY",1,0)</f>
        <v>0</v>
      </c>
      <c r="W4202" s="6"/>
      <c r="X4202" s="6"/>
      <c r="Y4202" s="6"/>
      <c r="Z4202" s="6"/>
    </row>
    <row r="4203" customFormat="false" ht="15" hidden="false" customHeight="false" outlineLevel="0" collapsed="false">
      <c r="A4203" s="9" t="s">
        <v>4491</v>
      </c>
      <c r="B4203" s="9" t="s">
        <v>4483</v>
      </c>
      <c r="C4203" s="9" t="s">
        <v>4484</v>
      </c>
      <c r="D4203" s="9" t="s">
        <v>3722</v>
      </c>
      <c r="E4203" s="9" t="s">
        <v>323</v>
      </c>
      <c r="F4203" s="9" t="s">
        <v>197</v>
      </c>
      <c r="G4203" s="9" t="s">
        <v>201</v>
      </c>
      <c r="H4203" s="9" t="n">
        <v>625</v>
      </c>
      <c r="I4203" s="29" t="n">
        <v>0.4</v>
      </c>
      <c r="J4203" s="9" t="n">
        <v>1</v>
      </c>
      <c r="K4203" s="30"/>
      <c r="L4203" s="30"/>
      <c r="M4203" s="30"/>
      <c r="N4203" s="30"/>
      <c r="O4203" s="30"/>
      <c r="P4203" s="30"/>
      <c r="Q4203" s="30"/>
      <c r="R4203" s="30"/>
      <c r="S4203" s="30"/>
      <c r="T4203" s="30"/>
      <c r="U4203" s="21" t="str">
        <f aca="false">IF(COUNT(K4203:T4203)=0,"SOURCE EMPTY / INDUSTRIAL ONLY",IF(MIN(K4203:T4203)=1,"SERVICE READY","HOLD"))</f>
        <v>SOURCE EMPTY / INDUSTRIAL ONLY</v>
      </c>
      <c r="V4203" s="9" t="n">
        <f aca="false">IF(U4203="SERVICE READY",1,0)</f>
        <v>0</v>
      </c>
      <c r="W4203" s="6"/>
      <c r="X4203" s="6"/>
      <c r="Y4203" s="6"/>
      <c r="Z4203" s="6"/>
    </row>
    <row r="4204" customFormat="false" ht="15" hidden="false" customHeight="false" outlineLevel="0" collapsed="false">
      <c r="A4204" s="9" t="s">
        <v>4492</v>
      </c>
      <c r="B4204" s="9" t="s">
        <v>4483</v>
      </c>
      <c r="C4204" s="9" t="s">
        <v>4484</v>
      </c>
      <c r="D4204" s="9" t="s">
        <v>3722</v>
      </c>
      <c r="E4204" s="9" t="s">
        <v>323</v>
      </c>
      <c r="F4204" s="9" t="s">
        <v>200</v>
      </c>
      <c r="G4204" s="9" t="s">
        <v>198</v>
      </c>
      <c r="H4204" s="9" t="n">
        <v>625</v>
      </c>
      <c r="I4204" s="29" t="n">
        <v>0.4</v>
      </c>
      <c r="J4204" s="9" t="n">
        <v>1</v>
      </c>
      <c r="K4204" s="30"/>
      <c r="L4204" s="30"/>
      <c r="M4204" s="30"/>
      <c r="N4204" s="30"/>
      <c r="O4204" s="30"/>
      <c r="P4204" s="30"/>
      <c r="Q4204" s="30"/>
      <c r="R4204" s="30"/>
      <c r="S4204" s="30"/>
      <c r="T4204" s="30"/>
      <c r="U4204" s="21" t="str">
        <f aca="false">IF(COUNT(K4204:T4204)=0,"SOURCE EMPTY / INDUSTRIAL ONLY",IF(MIN(K4204:T4204)=1,"SERVICE READY","HOLD"))</f>
        <v>SOURCE EMPTY / INDUSTRIAL ONLY</v>
      </c>
      <c r="V4204" s="9" t="n">
        <f aca="false">IF(U4204="SERVICE READY",1,0)</f>
        <v>0</v>
      </c>
      <c r="W4204" s="6"/>
      <c r="X4204" s="6"/>
      <c r="Y4204" s="6"/>
      <c r="Z4204" s="6"/>
    </row>
    <row r="4205" customFormat="false" ht="15" hidden="false" customHeight="false" outlineLevel="0" collapsed="false">
      <c r="A4205" s="9" t="s">
        <v>4493</v>
      </c>
      <c r="B4205" s="9" t="s">
        <v>4483</v>
      </c>
      <c r="C4205" s="9" t="s">
        <v>4484</v>
      </c>
      <c r="D4205" s="9" t="s">
        <v>3722</v>
      </c>
      <c r="E4205" s="9" t="s">
        <v>323</v>
      </c>
      <c r="F4205" s="9" t="s">
        <v>203</v>
      </c>
      <c r="G4205" s="9" t="s">
        <v>201</v>
      </c>
      <c r="H4205" s="9" t="n">
        <v>625</v>
      </c>
      <c r="I4205" s="29" t="n">
        <v>0.4</v>
      </c>
      <c r="J4205" s="9" t="n">
        <v>1</v>
      </c>
      <c r="K4205" s="30"/>
      <c r="L4205" s="30"/>
      <c r="M4205" s="30"/>
      <c r="N4205" s="30"/>
      <c r="O4205" s="30"/>
      <c r="P4205" s="30"/>
      <c r="Q4205" s="30"/>
      <c r="R4205" s="30"/>
      <c r="S4205" s="30"/>
      <c r="T4205" s="30"/>
      <c r="U4205" s="21" t="str">
        <f aca="false">IF(COUNT(K4205:T4205)=0,"SOURCE EMPTY / INDUSTRIAL ONLY",IF(MIN(K4205:T4205)=1,"SERVICE READY","HOLD"))</f>
        <v>SOURCE EMPTY / INDUSTRIAL ONLY</v>
      </c>
      <c r="V4205" s="9" t="n">
        <f aca="false">IF(U4205="SERVICE READY",1,0)</f>
        <v>0</v>
      </c>
      <c r="W4205" s="6"/>
      <c r="X4205" s="6"/>
      <c r="Y4205" s="6"/>
      <c r="Z4205" s="6"/>
    </row>
    <row r="4206" customFormat="false" ht="15" hidden="false" customHeight="false" outlineLevel="0" collapsed="false">
      <c r="A4206" s="9" t="s">
        <v>4494</v>
      </c>
      <c r="B4206" s="9" t="s">
        <v>4483</v>
      </c>
      <c r="C4206" s="9" t="s">
        <v>4484</v>
      </c>
      <c r="D4206" s="9" t="s">
        <v>3722</v>
      </c>
      <c r="E4206" s="9" t="s">
        <v>323</v>
      </c>
      <c r="F4206" s="9" t="s">
        <v>205</v>
      </c>
      <c r="G4206" s="9" t="s">
        <v>198</v>
      </c>
      <c r="H4206" s="9" t="n">
        <v>625</v>
      </c>
      <c r="I4206" s="29" t="n">
        <v>0.4</v>
      </c>
      <c r="J4206" s="9" t="n">
        <v>1</v>
      </c>
      <c r="K4206" s="30"/>
      <c r="L4206" s="30"/>
      <c r="M4206" s="30"/>
      <c r="N4206" s="30"/>
      <c r="O4206" s="30"/>
      <c r="P4206" s="30"/>
      <c r="Q4206" s="30"/>
      <c r="R4206" s="30"/>
      <c r="S4206" s="30"/>
      <c r="T4206" s="30"/>
      <c r="U4206" s="21" t="str">
        <f aca="false">IF(COUNT(K4206:T4206)=0,"SOURCE EMPTY / INDUSTRIAL ONLY",IF(MIN(K4206:T4206)=1,"SERVICE READY","HOLD"))</f>
        <v>SOURCE EMPTY / INDUSTRIAL ONLY</v>
      </c>
      <c r="V4206" s="9" t="n">
        <f aca="false">IF(U4206="SERVICE READY",1,0)</f>
        <v>0</v>
      </c>
      <c r="W4206" s="6"/>
      <c r="X4206" s="6"/>
      <c r="Y4206" s="6"/>
      <c r="Z4206" s="6"/>
    </row>
    <row r="4207" customFormat="false" ht="15" hidden="false" customHeight="false" outlineLevel="0" collapsed="false">
      <c r="A4207" s="9" t="s">
        <v>4495</v>
      </c>
      <c r="B4207" s="9" t="s">
        <v>4483</v>
      </c>
      <c r="C4207" s="9" t="s">
        <v>4484</v>
      </c>
      <c r="D4207" s="9" t="s">
        <v>3722</v>
      </c>
      <c r="E4207" s="9" t="s">
        <v>323</v>
      </c>
      <c r="F4207" s="9" t="s">
        <v>207</v>
      </c>
      <c r="G4207" s="9" t="s">
        <v>201</v>
      </c>
      <c r="H4207" s="9" t="n">
        <v>625</v>
      </c>
      <c r="I4207" s="29" t="n">
        <v>0.4</v>
      </c>
      <c r="J4207" s="9" t="n">
        <v>1</v>
      </c>
      <c r="K4207" s="30"/>
      <c r="L4207" s="30"/>
      <c r="M4207" s="30"/>
      <c r="N4207" s="30"/>
      <c r="O4207" s="30"/>
      <c r="P4207" s="30"/>
      <c r="Q4207" s="30"/>
      <c r="R4207" s="30"/>
      <c r="S4207" s="30"/>
      <c r="T4207" s="30"/>
      <c r="U4207" s="21" t="str">
        <f aca="false">IF(COUNT(K4207:T4207)=0,"SOURCE EMPTY / INDUSTRIAL ONLY",IF(MIN(K4207:T4207)=1,"SERVICE READY","HOLD"))</f>
        <v>SOURCE EMPTY / INDUSTRIAL ONLY</v>
      </c>
      <c r="V4207" s="9" t="n">
        <f aca="false">IF(U4207="SERVICE READY",1,0)</f>
        <v>0</v>
      </c>
      <c r="W4207" s="6"/>
      <c r="X4207" s="6"/>
      <c r="Y4207" s="6"/>
      <c r="Z4207" s="6"/>
    </row>
    <row r="4208" customFormat="false" ht="15" hidden="false" customHeight="false" outlineLevel="0" collapsed="false">
      <c r="A4208" s="9" t="s">
        <v>4496</v>
      </c>
      <c r="B4208" s="9" t="s">
        <v>4483</v>
      </c>
      <c r="C4208" s="9" t="s">
        <v>4484</v>
      </c>
      <c r="D4208" s="9" t="s">
        <v>3722</v>
      </c>
      <c r="E4208" s="9" t="s">
        <v>323</v>
      </c>
      <c r="F4208" s="9" t="s">
        <v>209</v>
      </c>
      <c r="G4208" s="9" t="s">
        <v>198</v>
      </c>
      <c r="H4208" s="9" t="n">
        <v>625</v>
      </c>
      <c r="I4208" s="29" t="n">
        <v>0.4</v>
      </c>
      <c r="J4208" s="9" t="n">
        <v>1</v>
      </c>
      <c r="K4208" s="30"/>
      <c r="L4208" s="30"/>
      <c r="M4208" s="30"/>
      <c r="N4208" s="30"/>
      <c r="O4208" s="30"/>
      <c r="P4208" s="30"/>
      <c r="Q4208" s="30"/>
      <c r="R4208" s="30"/>
      <c r="S4208" s="30"/>
      <c r="T4208" s="30"/>
      <c r="U4208" s="21" t="str">
        <f aca="false">IF(COUNT(K4208:T4208)=0,"SOURCE EMPTY / INDUSTRIAL ONLY",IF(MIN(K4208:T4208)=1,"SERVICE READY","HOLD"))</f>
        <v>SOURCE EMPTY / INDUSTRIAL ONLY</v>
      </c>
      <c r="V4208" s="9" t="n">
        <f aca="false">IF(U4208="SERVICE READY",1,0)</f>
        <v>0</v>
      </c>
      <c r="W4208" s="6"/>
      <c r="X4208" s="6"/>
      <c r="Y4208" s="6"/>
      <c r="Z4208" s="6"/>
    </row>
    <row r="4209" customFormat="false" ht="15" hidden="false" customHeight="false" outlineLevel="0" collapsed="false">
      <c r="A4209" s="9" t="s">
        <v>4497</v>
      </c>
      <c r="B4209" s="9" t="s">
        <v>4483</v>
      </c>
      <c r="C4209" s="9" t="s">
        <v>4484</v>
      </c>
      <c r="D4209" s="9" t="s">
        <v>3722</v>
      </c>
      <c r="E4209" s="9" t="s">
        <v>323</v>
      </c>
      <c r="F4209" s="9" t="s">
        <v>211</v>
      </c>
      <c r="G4209" s="9" t="s">
        <v>201</v>
      </c>
      <c r="H4209" s="9" t="n">
        <v>625</v>
      </c>
      <c r="I4209" s="29" t="n">
        <v>0.4</v>
      </c>
      <c r="J4209" s="9" t="n">
        <v>1</v>
      </c>
      <c r="K4209" s="30"/>
      <c r="L4209" s="30"/>
      <c r="M4209" s="30"/>
      <c r="N4209" s="30"/>
      <c r="O4209" s="30"/>
      <c r="P4209" s="30"/>
      <c r="Q4209" s="30"/>
      <c r="R4209" s="30"/>
      <c r="S4209" s="30"/>
      <c r="T4209" s="30"/>
      <c r="U4209" s="21" t="str">
        <f aca="false">IF(COUNT(K4209:T4209)=0,"SOURCE EMPTY / INDUSTRIAL ONLY",IF(MIN(K4209:T4209)=1,"SERVICE READY","HOLD"))</f>
        <v>SOURCE EMPTY / INDUSTRIAL ONLY</v>
      </c>
      <c r="V4209" s="9" t="n">
        <f aca="false">IF(U4209="SERVICE READY",1,0)</f>
        <v>0</v>
      </c>
      <c r="W4209" s="6"/>
      <c r="X4209" s="6"/>
      <c r="Y4209" s="6"/>
      <c r="Z4209" s="6"/>
    </row>
    <row r="4210" customFormat="false" ht="15" hidden="false" customHeight="false" outlineLevel="0" collapsed="false">
      <c r="A4210" s="9" t="s">
        <v>4498</v>
      </c>
      <c r="B4210" s="9" t="s">
        <v>4483</v>
      </c>
      <c r="C4210" s="9" t="s">
        <v>4484</v>
      </c>
      <c r="D4210" s="9" t="s">
        <v>3722</v>
      </c>
      <c r="E4210" s="9" t="s">
        <v>323</v>
      </c>
      <c r="F4210" s="9" t="s">
        <v>197</v>
      </c>
      <c r="G4210" s="9" t="s">
        <v>198</v>
      </c>
      <c r="H4210" s="9" t="n">
        <v>625</v>
      </c>
      <c r="I4210" s="29" t="n">
        <v>0.4</v>
      </c>
      <c r="J4210" s="9" t="n">
        <v>1</v>
      </c>
      <c r="K4210" s="30"/>
      <c r="L4210" s="30"/>
      <c r="M4210" s="30"/>
      <c r="N4210" s="30"/>
      <c r="O4210" s="30"/>
      <c r="P4210" s="30"/>
      <c r="Q4210" s="30"/>
      <c r="R4210" s="30"/>
      <c r="S4210" s="30"/>
      <c r="T4210" s="30"/>
      <c r="U4210" s="21" t="str">
        <f aca="false">IF(COUNT(K4210:T4210)=0,"SOURCE EMPTY / INDUSTRIAL ONLY",IF(MIN(K4210:T4210)=1,"SERVICE READY","HOLD"))</f>
        <v>SOURCE EMPTY / INDUSTRIAL ONLY</v>
      </c>
      <c r="V4210" s="9" t="n">
        <f aca="false">IF(U4210="SERVICE READY",1,0)</f>
        <v>0</v>
      </c>
      <c r="W4210" s="6"/>
      <c r="X4210" s="6"/>
      <c r="Y4210" s="6"/>
      <c r="Z4210" s="6"/>
    </row>
    <row r="4211" customFormat="false" ht="15" hidden="false" customHeight="false" outlineLevel="0" collapsed="false">
      <c r="A4211" s="9" t="s">
        <v>4499</v>
      </c>
      <c r="B4211" s="9" t="s">
        <v>4483</v>
      </c>
      <c r="C4211" s="9" t="s">
        <v>4484</v>
      </c>
      <c r="D4211" s="9" t="s">
        <v>3722</v>
      </c>
      <c r="E4211" s="9" t="s">
        <v>323</v>
      </c>
      <c r="F4211" s="9" t="s">
        <v>200</v>
      </c>
      <c r="G4211" s="9" t="s">
        <v>201</v>
      </c>
      <c r="H4211" s="9" t="n">
        <v>625</v>
      </c>
      <c r="I4211" s="29" t="n">
        <v>0.4</v>
      </c>
      <c r="J4211" s="9" t="n">
        <v>1</v>
      </c>
      <c r="K4211" s="30"/>
      <c r="L4211" s="30"/>
      <c r="M4211" s="30"/>
      <c r="N4211" s="30"/>
      <c r="O4211" s="30"/>
      <c r="P4211" s="30"/>
      <c r="Q4211" s="30"/>
      <c r="R4211" s="30"/>
      <c r="S4211" s="30"/>
      <c r="T4211" s="30"/>
      <c r="U4211" s="21" t="str">
        <f aca="false">IF(COUNT(K4211:T4211)=0,"SOURCE EMPTY / INDUSTRIAL ONLY",IF(MIN(K4211:T4211)=1,"SERVICE READY","HOLD"))</f>
        <v>SOURCE EMPTY / INDUSTRIAL ONLY</v>
      </c>
      <c r="V4211" s="9" t="n">
        <f aca="false">IF(U4211="SERVICE READY",1,0)</f>
        <v>0</v>
      </c>
      <c r="W4211" s="6"/>
      <c r="X4211" s="6"/>
      <c r="Y4211" s="6"/>
      <c r="Z4211" s="6"/>
    </row>
    <row r="4212" customFormat="false" ht="15" hidden="false" customHeight="false" outlineLevel="0" collapsed="false">
      <c r="A4212" s="9" t="s">
        <v>4500</v>
      </c>
      <c r="B4212" s="9" t="s">
        <v>4483</v>
      </c>
      <c r="C4212" s="9" t="s">
        <v>4484</v>
      </c>
      <c r="D4212" s="9" t="s">
        <v>3722</v>
      </c>
      <c r="E4212" s="9" t="s">
        <v>323</v>
      </c>
      <c r="F4212" s="9" t="s">
        <v>203</v>
      </c>
      <c r="G4212" s="9" t="s">
        <v>198</v>
      </c>
      <c r="H4212" s="9" t="n">
        <v>625</v>
      </c>
      <c r="I4212" s="29" t="n">
        <v>0.4</v>
      </c>
      <c r="J4212" s="9" t="n">
        <v>1</v>
      </c>
      <c r="K4212" s="30"/>
      <c r="L4212" s="30"/>
      <c r="M4212" s="30"/>
      <c r="N4212" s="30"/>
      <c r="O4212" s="30"/>
      <c r="P4212" s="30"/>
      <c r="Q4212" s="30"/>
      <c r="R4212" s="30"/>
      <c r="S4212" s="30"/>
      <c r="T4212" s="30"/>
      <c r="U4212" s="21" t="str">
        <f aca="false">IF(COUNT(K4212:T4212)=0,"SOURCE EMPTY / INDUSTRIAL ONLY",IF(MIN(K4212:T4212)=1,"SERVICE READY","HOLD"))</f>
        <v>SOURCE EMPTY / INDUSTRIAL ONLY</v>
      </c>
      <c r="V4212" s="9" t="n">
        <f aca="false">IF(U4212="SERVICE READY",1,0)</f>
        <v>0</v>
      </c>
      <c r="W4212" s="6"/>
      <c r="X4212" s="6"/>
      <c r="Y4212" s="6"/>
      <c r="Z4212" s="6"/>
    </row>
    <row r="4213" customFormat="false" ht="15" hidden="false" customHeight="false" outlineLevel="0" collapsed="false">
      <c r="A4213" s="9" t="s">
        <v>4501</v>
      </c>
      <c r="B4213" s="9" t="s">
        <v>4483</v>
      </c>
      <c r="C4213" s="9" t="s">
        <v>4484</v>
      </c>
      <c r="D4213" s="9" t="s">
        <v>3722</v>
      </c>
      <c r="E4213" s="9" t="s">
        <v>323</v>
      </c>
      <c r="F4213" s="9" t="s">
        <v>205</v>
      </c>
      <c r="G4213" s="9" t="s">
        <v>201</v>
      </c>
      <c r="H4213" s="9" t="n">
        <v>625</v>
      </c>
      <c r="I4213" s="29" t="n">
        <v>0.4</v>
      </c>
      <c r="J4213" s="9" t="n">
        <v>1</v>
      </c>
      <c r="K4213" s="30"/>
      <c r="L4213" s="30"/>
      <c r="M4213" s="30"/>
      <c r="N4213" s="30"/>
      <c r="O4213" s="30"/>
      <c r="P4213" s="30"/>
      <c r="Q4213" s="30"/>
      <c r="R4213" s="30"/>
      <c r="S4213" s="30"/>
      <c r="T4213" s="30"/>
      <c r="U4213" s="21" t="str">
        <f aca="false">IF(COUNT(K4213:T4213)=0,"SOURCE EMPTY / INDUSTRIAL ONLY",IF(MIN(K4213:T4213)=1,"SERVICE READY","HOLD"))</f>
        <v>SOURCE EMPTY / INDUSTRIAL ONLY</v>
      </c>
      <c r="V4213" s="9" t="n">
        <f aca="false">IF(U4213="SERVICE READY",1,0)</f>
        <v>0</v>
      </c>
      <c r="W4213" s="6"/>
      <c r="X4213" s="6"/>
      <c r="Y4213" s="6"/>
      <c r="Z4213" s="6"/>
    </row>
    <row r="4214" customFormat="false" ht="15" hidden="false" customHeight="false" outlineLevel="0" collapsed="false">
      <c r="A4214" s="9" t="s">
        <v>4502</v>
      </c>
      <c r="B4214" s="9" t="s">
        <v>4483</v>
      </c>
      <c r="C4214" s="9" t="s">
        <v>4484</v>
      </c>
      <c r="D4214" s="9" t="s">
        <v>3722</v>
      </c>
      <c r="E4214" s="9" t="s">
        <v>323</v>
      </c>
      <c r="F4214" s="9" t="s">
        <v>207</v>
      </c>
      <c r="G4214" s="9" t="s">
        <v>198</v>
      </c>
      <c r="H4214" s="9" t="n">
        <v>625</v>
      </c>
      <c r="I4214" s="29" t="n">
        <v>0.4</v>
      </c>
      <c r="J4214" s="9" t="n">
        <v>1</v>
      </c>
      <c r="K4214" s="30"/>
      <c r="L4214" s="30"/>
      <c r="M4214" s="30"/>
      <c r="N4214" s="30"/>
      <c r="O4214" s="30"/>
      <c r="P4214" s="30"/>
      <c r="Q4214" s="30"/>
      <c r="R4214" s="30"/>
      <c r="S4214" s="30"/>
      <c r="T4214" s="30"/>
      <c r="U4214" s="21" t="str">
        <f aca="false">IF(COUNT(K4214:T4214)=0,"SOURCE EMPTY / INDUSTRIAL ONLY",IF(MIN(K4214:T4214)=1,"SERVICE READY","HOLD"))</f>
        <v>SOURCE EMPTY / INDUSTRIAL ONLY</v>
      </c>
      <c r="V4214" s="9" t="n">
        <f aca="false">IF(U4214="SERVICE READY",1,0)</f>
        <v>0</v>
      </c>
      <c r="W4214" s="6"/>
      <c r="X4214" s="6"/>
      <c r="Y4214" s="6"/>
      <c r="Z4214" s="6"/>
    </row>
    <row r="4215" customFormat="false" ht="15" hidden="false" customHeight="false" outlineLevel="0" collapsed="false">
      <c r="A4215" s="9" t="s">
        <v>4503</v>
      </c>
      <c r="B4215" s="9" t="s">
        <v>4483</v>
      </c>
      <c r="C4215" s="9" t="s">
        <v>4484</v>
      </c>
      <c r="D4215" s="9" t="s">
        <v>3722</v>
      </c>
      <c r="E4215" s="9" t="s">
        <v>323</v>
      </c>
      <c r="F4215" s="9" t="s">
        <v>209</v>
      </c>
      <c r="G4215" s="9" t="s">
        <v>201</v>
      </c>
      <c r="H4215" s="9" t="n">
        <v>625</v>
      </c>
      <c r="I4215" s="29" t="n">
        <v>0.4</v>
      </c>
      <c r="J4215" s="9" t="n">
        <v>1</v>
      </c>
      <c r="K4215" s="30"/>
      <c r="L4215" s="30"/>
      <c r="M4215" s="30"/>
      <c r="N4215" s="30"/>
      <c r="O4215" s="30"/>
      <c r="P4215" s="30"/>
      <c r="Q4215" s="30"/>
      <c r="R4215" s="30"/>
      <c r="S4215" s="30"/>
      <c r="T4215" s="30"/>
      <c r="U4215" s="21" t="str">
        <f aca="false">IF(COUNT(K4215:T4215)=0,"SOURCE EMPTY / INDUSTRIAL ONLY",IF(MIN(K4215:T4215)=1,"SERVICE READY","HOLD"))</f>
        <v>SOURCE EMPTY / INDUSTRIAL ONLY</v>
      </c>
      <c r="V4215" s="9" t="n">
        <f aca="false">IF(U4215="SERVICE READY",1,0)</f>
        <v>0</v>
      </c>
      <c r="W4215" s="6"/>
      <c r="X4215" s="6"/>
      <c r="Y4215" s="6"/>
      <c r="Z4215" s="6"/>
    </row>
    <row r="4216" customFormat="false" ht="15" hidden="false" customHeight="false" outlineLevel="0" collapsed="false">
      <c r="A4216" s="9" t="s">
        <v>4504</v>
      </c>
      <c r="B4216" s="9" t="s">
        <v>4483</v>
      </c>
      <c r="C4216" s="9" t="s">
        <v>4484</v>
      </c>
      <c r="D4216" s="9" t="s">
        <v>3722</v>
      </c>
      <c r="E4216" s="9" t="s">
        <v>323</v>
      </c>
      <c r="F4216" s="9" t="s">
        <v>211</v>
      </c>
      <c r="G4216" s="9" t="s">
        <v>198</v>
      </c>
      <c r="H4216" s="9" t="n">
        <v>625</v>
      </c>
      <c r="I4216" s="29" t="n">
        <v>0.4</v>
      </c>
      <c r="J4216" s="9" t="n">
        <v>1</v>
      </c>
      <c r="K4216" s="30"/>
      <c r="L4216" s="30"/>
      <c r="M4216" s="30"/>
      <c r="N4216" s="30"/>
      <c r="O4216" s="30"/>
      <c r="P4216" s="30"/>
      <c r="Q4216" s="30"/>
      <c r="R4216" s="30"/>
      <c r="S4216" s="30"/>
      <c r="T4216" s="30"/>
      <c r="U4216" s="21" t="str">
        <f aca="false">IF(COUNT(K4216:T4216)=0,"SOURCE EMPTY / INDUSTRIAL ONLY",IF(MIN(K4216:T4216)=1,"SERVICE READY","HOLD"))</f>
        <v>SOURCE EMPTY / INDUSTRIAL ONLY</v>
      </c>
      <c r="V4216" s="9" t="n">
        <f aca="false">IF(U4216="SERVICE READY",1,0)</f>
        <v>0</v>
      </c>
      <c r="W4216" s="6"/>
      <c r="X4216" s="6"/>
      <c r="Y4216" s="6"/>
      <c r="Z4216" s="6"/>
    </row>
    <row r="4217" customFormat="false" ht="15" hidden="false" customHeight="false" outlineLevel="0" collapsed="false">
      <c r="A4217" s="9" t="s">
        <v>4505</v>
      </c>
      <c r="B4217" s="9" t="s">
        <v>4483</v>
      </c>
      <c r="C4217" s="9" t="s">
        <v>4484</v>
      </c>
      <c r="D4217" s="9" t="s">
        <v>3722</v>
      </c>
      <c r="E4217" s="9" t="s">
        <v>323</v>
      </c>
      <c r="F4217" s="9" t="s">
        <v>197</v>
      </c>
      <c r="G4217" s="9" t="s">
        <v>201</v>
      </c>
      <c r="H4217" s="9" t="n">
        <v>625</v>
      </c>
      <c r="I4217" s="29" t="n">
        <v>0.4</v>
      </c>
      <c r="J4217" s="9" t="n">
        <v>1</v>
      </c>
      <c r="K4217" s="30"/>
      <c r="L4217" s="30"/>
      <c r="M4217" s="30"/>
      <c r="N4217" s="30"/>
      <c r="O4217" s="30"/>
      <c r="P4217" s="30"/>
      <c r="Q4217" s="30"/>
      <c r="R4217" s="30"/>
      <c r="S4217" s="30"/>
      <c r="T4217" s="30"/>
      <c r="U4217" s="21" t="str">
        <f aca="false">IF(COUNT(K4217:T4217)=0,"SOURCE EMPTY / INDUSTRIAL ONLY",IF(MIN(K4217:T4217)=1,"SERVICE READY","HOLD"))</f>
        <v>SOURCE EMPTY / INDUSTRIAL ONLY</v>
      </c>
      <c r="V4217" s="9" t="n">
        <f aca="false">IF(U4217="SERVICE READY",1,0)</f>
        <v>0</v>
      </c>
      <c r="W4217" s="6"/>
      <c r="X4217" s="6"/>
      <c r="Y4217" s="6"/>
      <c r="Z4217" s="6"/>
    </row>
    <row r="4218" customFormat="false" ht="15" hidden="false" customHeight="false" outlineLevel="0" collapsed="false">
      <c r="A4218" s="9" t="s">
        <v>4506</v>
      </c>
      <c r="B4218" s="9" t="s">
        <v>4483</v>
      </c>
      <c r="C4218" s="9" t="s">
        <v>4484</v>
      </c>
      <c r="D4218" s="9" t="s">
        <v>3722</v>
      </c>
      <c r="E4218" s="9" t="s">
        <v>323</v>
      </c>
      <c r="F4218" s="9" t="s">
        <v>200</v>
      </c>
      <c r="G4218" s="9" t="s">
        <v>198</v>
      </c>
      <c r="H4218" s="9" t="n">
        <v>625</v>
      </c>
      <c r="I4218" s="29" t="n">
        <v>0.4</v>
      </c>
      <c r="J4218" s="9" t="n">
        <v>1</v>
      </c>
      <c r="K4218" s="30"/>
      <c r="L4218" s="30"/>
      <c r="M4218" s="30"/>
      <c r="N4218" s="30"/>
      <c r="O4218" s="30"/>
      <c r="P4218" s="30"/>
      <c r="Q4218" s="30"/>
      <c r="R4218" s="30"/>
      <c r="S4218" s="30"/>
      <c r="T4218" s="30"/>
      <c r="U4218" s="21" t="str">
        <f aca="false">IF(COUNT(K4218:T4218)=0,"SOURCE EMPTY / INDUSTRIAL ONLY",IF(MIN(K4218:T4218)=1,"SERVICE READY","HOLD"))</f>
        <v>SOURCE EMPTY / INDUSTRIAL ONLY</v>
      </c>
      <c r="V4218" s="9" t="n">
        <f aca="false">IF(U4218="SERVICE READY",1,0)</f>
        <v>0</v>
      </c>
      <c r="W4218" s="6"/>
      <c r="X4218" s="6"/>
      <c r="Y4218" s="6"/>
      <c r="Z4218" s="6"/>
    </row>
    <row r="4219" customFormat="false" ht="15" hidden="false" customHeight="false" outlineLevel="0" collapsed="false">
      <c r="A4219" s="9" t="s">
        <v>4507</v>
      </c>
      <c r="B4219" s="9" t="s">
        <v>4483</v>
      </c>
      <c r="C4219" s="9" t="s">
        <v>4484</v>
      </c>
      <c r="D4219" s="9" t="s">
        <v>3722</v>
      </c>
      <c r="E4219" s="9" t="s">
        <v>323</v>
      </c>
      <c r="F4219" s="9" t="s">
        <v>203</v>
      </c>
      <c r="G4219" s="9" t="s">
        <v>201</v>
      </c>
      <c r="H4219" s="9" t="n">
        <v>625</v>
      </c>
      <c r="I4219" s="29" t="n">
        <v>0.4</v>
      </c>
      <c r="J4219" s="9" t="n">
        <v>1</v>
      </c>
      <c r="K4219" s="30"/>
      <c r="L4219" s="30"/>
      <c r="M4219" s="30"/>
      <c r="N4219" s="30"/>
      <c r="O4219" s="30"/>
      <c r="P4219" s="30"/>
      <c r="Q4219" s="30"/>
      <c r="R4219" s="30"/>
      <c r="S4219" s="30"/>
      <c r="T4219" s="30"/>
      <c r="U4219" s="21" t="str">
        <f aca="false">IF(COUNT(K4219:T4219)=0,"SOURCE EMPTY / INDUSTRIAL ONLY",IF(MIN(K4219:T4219)=1,"SERVICE READY","HOLD"))</f>
        <v>SOURCE EMPTY / INDUSTRIAL ONLY</v>
      </c>
      <c r="V4219" s="9" t="n">
        <f aca="false">IF(U4219="SERVICE READY",1,0)</f>
        <v>0</v>
      </c>
      <c r="W4219" s="6"/>
      <c r="X4219" s="6"/>
      <c r="Y4219" s="6"/>
      <c r="Z4219" s="6"/>
    </row>
    <row r="4220" customFormat="false" ht="15" hidden="false" customHeight="false" outlineLevel="0" collapsed="false">
      <c r="A4220" s="9" t="s">
        <v>4508</v>
      </c>
      <c r="B4220" s="9" t="s">
        <v>4483</v>
      </c>
      <c r="C4220" s="9" t="s">
        <v>4484</v>
      </c>
      <c r="D4220" s="9" t="s">
        <v>3722</v>
      </c>
      <c r="E4220" s="9" t="s">
        <v>323</v>
      </c>
      <c r="F4220" s="9" t="s">
        <v>205</v>
      </c>
      <c r="G4220" s="9" t="s">
        <v>198</v>
      </c>
      <c r="H4220" s="9" t="n">
        <v>625</v>
      </c>
      <c r="I4220" s="29" t="n">
        <v>0.4</v>
      </c>
      <c r="J4220" s="9" t="n">
        <v>1</v>
      </c>
      <c r="K4220" s="30"/>
      <c r="L4220" s="30"/>
      <c r="M4220" s="30"/>
      <c r="N4220" s="30"/>
      <c r="O4220" s="30"/>
      <c r="P4220" s="30"/>
      <c r="Q4220" s="30"/>
      <c r="R4220" s="30"/>
      <c r="S4220" s="30"/>
      <c r="T4220" s="30"/>
      <c r="U4220" s="21" t="str">
        <f aca="false">IF(COUNT(K4220:T4220)=0,"SOURCE EMPTY / INDUSTRIAL ONLY",IF(MIN(K4220:T4220)=1,"SERVICE READY","HOLD"))</f>
        <v>SOURCE EMPTY / INDUSTRIAL ONLY</v>
      </c>
      <c r="V4220" s="9" t="n">
        <f aca="false">IF(U4220="SERVICE READY",1,0)</f>
        <v>0</v>
      </c>
      <c r="W4220" s="6"/>
      <c r="X4220" s="6"/>
      <c r="Y4220" s="6"/>
      <c r="Z4220" s="6"/>
    </row>
    <row r="4221" customFormat="false" ht="15" hidden="false" customHeight="false" outlineLevel="0" collapsed="false">
      <c r="A4221" s="9" t="s">
        <v>4509</v>
      </c>
      <c r="B4221" s="9" t="s">
        <v>4483</v>
      </c>
      <c r="C4221" s="9" t="s">
        <v>4484</v>
      </c>
      <c r="D4221" s="9" t="s">
        <v>3722</v>
      </c>
      <c r="E4221" s="9" t="s">
        <v>323</v>
      </c>
      <c r="F4221" s="9" t="s">
        <v>207</v>
      </c>
      <c r="G4221" s="9" t="s">
        <v>201</v>
      </c>
      <c r="H4221" s="9" t="n">
        <v>625</v>
      </c>
      <c r="I4221" s="29" t="n">
        <v>0.4</v>
      </c>
      <c r="J4221" s="9" t="n">
        <v>1</v>
      </c>
      <c r="K4221" s="30"/>
      <c r="L4221" s="30"/>
      <c r="M4221" s="30"/>
      <c r="N4221" s="30"/>
      <c r="O4221" s="30"/>
      <c r="P4221" s="30"/>
      <c r="Q4221" s="30"/>
      <c r="R4221" s="30"/>
      <c r="S4221" s="30"/>
      <c r="T4221" s="30"/>
      <c r="U4221" s="21" t="str">
        <f aca="false">IF(COUNT(K4221:T4221)=0,"SOURCE EMPTY / INDUSTRIAL ONLY",IF(MIN(K4221:T4221)=1,"SERVICE READY","HOLD"))</f>
        <v>SOURCE EMPTY / INDUSTRIAL ONLY</v>
      </c>
      <c r="V4221" s="9" t="n">
        <f aca="false">IF(U4221="SERVICE READY",1,0)</f>
        <v>0</v>
      </c>
      <c r="W4221" s="6"/>
      <c r="X4221" s="6"/>
      <c r="Y4221" s="6"/>
      <c r="Z4221" s="6"/>
    </row>
    <row r="4222" customFormat="false" ht="15" hidden="false" customHeight="false" outlineLevel="0" collapsed="false">
      <c r="A4222" s="9" t="s">
        <v>4510</v>
      </c>
      <c r="B4222" s="9" t="s">
        <v>4483</v>
      </c>
      <c r="C4222" s="9" t="s">
        <v>4484</v>
      </c>
      <c r="D4222" s="9" t="s">
        <v>3722</v>
      </c>
      <c r="E4222" s="9" t="s">
        <v>323</v>
      </c>
      <c r="F4222" s="9" t="s">
        <v>209</v>
      </c>
      <c r="G4222" s="9" t="s">
        <v>198</v>
      </c>
      <c r="H4222" s="9" t="n">
        <v>625</v>
      </c>
      <c r="I4222" s="29" t="n">
        <v>0.4</v>
      </c>
      <c r="J4222" s="9" t="n">
        <v>1</v>
      </c>
      <c r="K4222" s="30"/>
      <c r="L4222" s="30"/>
      <c r="M4222" s="30"/>
      <c r="N4222" s="30"/>
      <c r="O4222" s="30"/>
      <c r="P4222" s="30"/>
      <c r="Q4222" s="30"/>
      <c r="R4222" s="30"/>
      <c r="S4222" s="30"/>
      <c r="T4222" s="30"/>
      <c r="U4222" s="21" t="str">
        <f aca="false">IF(COUNT(K4222:T4222)=0,"SOURCE EMPTY / INDUSTRIAL ONLY",IF(MIN(K4222:T4222)=1,"SERVICE READY","HOLD"))</f>
        <v>SOURCE EMPTY / INDUSTRIAL ONLY</v>
      </c>
      <c r="V4222" s="9" t="n">
        <f aca="false">IF(U4222="SERVICE READY",1,0)</f>
        <v>0</v>
      </c>
      <c r="W4222" s="6"/>
      <c r="X4222" s="6"/>
      <c r="Y4222" s="6"/>
      <c r="Z4222" s="6"/>
    </row>
    <row r="4223" customFormat="false" ht="15" hidden="false" customHeight="false" outlineLevel="0" collapsed="false">
      <c r="A4223" s="9" t="s">
        <v>4511</v>
      </c>
      <c r="B4223" s="9" t="s">
        <v>4483</v>
      </c>
      <c r="C4223" s="9" t="s">
        <v>4484</v>
      </c>
      <c r="D4223" s="9" t="s">
        <v>3722</v>
      </c>
      <c r="E4223" s="9" t="s">
        <v>323</v>
      </c>
      <c r="F4223" s="9" t="s">
        <v>211</v>
      </c>
      <c r="G4223" s="9" t="s">
        <v>201</v>
      </c>
      <c r="H4223" s="9" t="n">
        <v>625</v>
      </c>
      <c r="I4223" s="29" t="n">
        <v>0.4</v>
      </c>
      <c r="J4223" s="9" t="n">
        <v>1</v>
      </c>
      <c r="K4223" s="30"/>
      <c r="L4223" s="30"/>
      <c r="M4223" s="30"/>
      <c r="N4223" s="30"/>
      <c r="O4223" s="30"/>
      <c r="P4223" s="30"/>
      <c r="Q4223" s="30"/>
      <c r="R4223" s="30"/>
      <c r="S4223" s="30"/>
      <c r="T4223" s="30"/>
      <c r="U4223" s="21" t="str">
        <f aca="false">IF(COUNT(K4223:T4223)=0,"SOURCE EMPTY / INDUSTRIAL ONLY",IF(MIN(K4223:T4223)=1,"SERVICE READY","HOLD"))</f>
        <v>SOURCE EMPTY / INDUSTRIAL ONLY</v>
      </c>
      <c r="V4223" s="9" t="n">
        <f aca="false">IF(U4223="SERVICE READY",1,0)</f>
        <v>0</v>
      </c>
      <c r="W4223" s="6"/>
      <c r="X4223" s="6"/>
      <c r="Y4223" s="6"/>
      <c r="Z4223" s="6"/>
    </row>
    <row r="4224" customFormat="false" ht="15" hidden="false" customHeight="false" outlineLevel="0" collapsed="false">
      <c r="A4224" s="9" t="s">
        <v>4512</v>
      </c>
      <c r="B4224" s="9" t="s">
        <v>4483</v>
      </c>
      <c r="C4224" s="9" t="s">
        <v>4484</v>
      </c>
      <c r="D4224" s="9" t="s">
        <v>3722</v>
      </c>
      <c r="E4224" s="9" t="s">
        <v>323</v>
      </c>
      <c r="F4224" s="9" t="s">
        <v>197</v>
      </c>
      <c r="G4224" s="9" t="s">
        <v>198</v>
      </c>
      <c r="H4224" s="9" t="n">
        <v>625</v>
      </c>
      <c r="I4224" s="29" t="n">
        <v>0.4</v>
      </c>
      <c r="J4224" s="9" t="n">
        <v>1</v>
      </c>
      <c r="K4224" s="30"/>
      <c r="L4224" s="30"/>
      <c r="M4224" s="30"/>
      <c r="N4224" s="30"/>
      <c r="O4224" s="30"/>
      <c r="P4224" s="30"/>
      <c r="Q4224" s="30"/>
      <c r="R4224" s="30"/>
      <c r="S4224" s="30"/>
      <c r="T4224" s="30"/>
      <c r="U4224" s="21" t="str">
        <f aca="false">IF(COUNT(K4224:T4224)=0,"SOURCE EMPTY / INDUSTRIAL ONLY",IF(MIN(K4224:T4224)=1,"SERVICE READY","HOLD"))</f>
        <v>SOURCE EMPTY / INDUSTRIAL ONLY</v>
      </c>
      <c r="V4224" s="9" t="n">
        <f aca="false">IF(U4224="SERVICE READY",1,0)</f>
        <v>0</v>
      </c>
      <c r="W4224" s="6"/>
      <c r="X4224" s="6"/>
      <c r="Y4224" s="6"/>
      <c r="Z4224" s="6"/>
    </row>
    <row r="4225" customFormat="false" ht="15" hidden="false" customHeight="false" outlineLevel="0" collapsed="false">
      <c r="A4225" s="9" t="s">
        <v>4513</v>
      </c>
      <c r="B4225" s="9" t="s">
        <v>4483</v>
      </c>
      <c r="C4225" s="9" t="s">
        <v>4484</v>
      </c>
      <c r="D4225" s="9" t="s">
        <v>3722</v>
      </c>
      <c r="E4225" s="9" t="s">
        <v>323</v>
      </c>
      <c r="F4225" s="9" t="s">
        <v>200</v>
      </c>
      <c r="G4225" s="9" t="s">
        <v>201</v>
      </c>
      <c r="H4225" s="9" t="n">
        <v>625</v>
      </c>
      <c r="I4225" s="29" t="n">
        <v>0.4</v>
      </c>
      <c r="J4225" s="9" t="n">
        <v>1</v>
      </c>
      <c r="K4225" s="30"/>
      <c r="L4225" s="30"/>
      <c r="M4225" s="30"/>
      <c r="N4225" s="30"/>
      <c r="O4225" s="30"/>
      <c r="P4225" s="30"/>
      <c r="Q4225" s="30"/>
      <c r="R4225" s="30"/>
      <c r="S4225" s="30"/>
      <c r="T4225" s="30"/>
      <c r="U4225" s="21" t="str">
        <f aca="false">IF(COUNT(K4225:T4225)=0,"SOURCE EMPTY / INDUSTRIAL ONLY",IF(MIN(K4225:T4225)=1,"SERVICE READY","HOLD"))</f>
        <v>SOURCE EMPTY / INDUSTRIAL ONLY</v>
      </c>
      <c r="V4225" s="9" t="n">
        <f aca="false">IF(U4225="SERVICE READY",1,0)</f>
        <v>0</v>
      </c>
      <c r="W4225" s="6"/>
      <c r="X4225" s="6"/>
      <c r="Y4225" s="6"/>
      <c r="Z4225" s="6"/>
    </row>
    <row r="4226" customFormat="false" ht="15" hidden="false" customHeight="false" outlineLevel="0" collapsed="false">
      <c r="A4226" s="9" t="s">
        <v>4514</v>
      </c>
      <c r="B4226" s="9" t="s">
        <v>4483</v>
      </c>
      <c r="C4226" s="9" t="s">
        <v>4484</v>
      </c>
      <c r="D4226" s="9" t="s">
        <v>3722</v>
      </c>
      <c r="E4226" s="9" t="s">
        <v>323</v>
      </c>
      <c r="F4226" s="9" t="s">
        <v>203</v>
      </c>
      <c r="G4226" s="9" t="s">
        <v>198</v>
      </c>
      <c r="H4226" s="9" t="n">
        <v>625</v>
      </c>
      <c r="I4226" s="29" t="n">
        <v>0.4</v>
      </c>
      <c r="J4226" s="9" t="n">
        <v>1</v>
      </c>
      <c r="K4226" s="30"/>
      <c r="L4226" s="30"/>
      <c r="M4226" s="30"/>
      <c r="N4226" s="30"/>
      <c r="O4226" s="30"/>
      <c r="P4226" s="30"/>
      <c r="Q4226" s="30"/>
      <c r="R4226" s="30"/>
      <c r="S4226" s="30"/>
      <c r="T4226" s="30"/>
      <c r="U4226" s="21" t="str">
        <f aca="false">IF(COUNT(K4226:T4226)=0,"SOURCE EMPTY / INDUSTRIAL ONLY",IF(MIN(K4226:T4226)=1,"SERVICE READY","HOLD"))</f>
        <v>SOURCE EMPTY / INDUSTRIAL ONLY</v>
      </c>
      <c r="V4226" s="9" t="n">
        <f aca="false">IF(U4226="SERVICE READY",1,0)</f>
        <v>0</v>
      </c>
      <c r="W4226" s="6"/>
      <c r="X4226" s="6"/>
      <c r="Y4226" s="6"/>
      <c r="Z4226" s="6"/>
    </row>
    <row r="4227" customFormat="false" ht="15" hidden="false" customHeight="false" outlineLevel="0" collapsed="false">
      <c r="A4227" s="9" t="s">
        <v>4515</v>
      </c>
      <c r="B4227" s="9" t="s">
        <v>4483</v>
      </c>
      <c r="C4227" s="9" t="s">
        <v>4484</v>
      </c>
      <c r="D4227" s="9" t="s">
        <v>3722</v>
      </c>
      <c r="E4227" s="9" t="s">
        <v>323</v>
      </c>
      <c r="F4227" s="9" t="s">
        <v>205</v>
      </c>
      <c r="G4227" s="9" t="s">
        <v>201</v>
      </c>
      <c r="H4227" s="9" t="n">
        <v>625</v>
      </c>
      <c r="I4227" s="29" t="n">
        <v>0.4</v>
      </c>
      <c r="J4227" s="9" t="n">
        <v>1</v>
      </c>
      <c r="K4227" s="30"/>
      <c r="L4227" s="30"/>
      <c r="M4227" s="30"/>
      <c r="N4227" s="30"/>
      <c r="O4227" s="30"/>
      <c r="P4227" s="30"/>
      <c r="Q4227" s="30"/>
      <c r="R4227" s="30"/>
      <c r="S4227" s="30"/>
      <c r="T4227" s="30"/>
      <c r="U4227" s="21" t="str">
        <f aca="false">IF(COUNT(K4227:T4227)=0,"SOURCE EMPTY / INDUSTRIAL ONLY",IF(MIN(K4227:T4227)=1,"SERVICE READY","HOLD"))</f>
        <v>SOURCE EMPTY / INDUSTRIAL ONLY</v>
      </c>
      <c r="V4227" s="9" t="n">
        <f aca="false">IF(U4227="SERVICE READY",1,0)</f>
        <v>0</v>
      </c>
      <c r="W4227" s="6"/>
      <c r="X4227" s="6"/>
      <c r="Y4227" s="6"/>
      <c r="Z4227" s="6"/>
    </row>
    <row r="4228" customFormat="false" ht="15" hidden="false" customHeight="false" outlineLevel="0" collapsed="false">
      <c r="A4228" s="9" t="s">
        <v>4516</v>
      </c>
      <c r="B4228" s="9" t="s">
        <v>4483</v>
      </c>
      <c r="C4228" s="9" t="s">
        <v>4484</v>
      </c>
      <c r="D4228" s="9" t="s">
        <v>3722</v>
      </c>
      <c r="E4228" s="9" t="s">
        <v>323</v>
      </c>
      <c r="F4228" s="9" t="s">
        <v>207</v>
      </c>
      <c r="G4228" s="9" t="s">
        <v>198</v>
      </c>
      <c r="H4228" s="9" t="n">
        <v>625</v>
      </c>
      <c r="I4228" s="29" t="n">
        <v>0.4</v>
      </c>
      <c r="J4228" s="9" t="n">
        <v>1</v>
      </c>
      <c r="K4228" s="30"/>
      <c r="L4228" s="30"/>
      <c r="M4228" s="30"/>
      <c r="N4228" s="30"/>
      <c r="O4228" s="30"/>
      <c r="P4228" s="30"/>
      <c r="Q4228" s="30"/>
      <c r="R4228" s="30"/>
      <c r="S4228" s="30"/>
      <c r="T4228" s="30"/>
      <c r="U4228" s="21" t="str">
        <f aca="false">IF(COUNT(K4228:T4228)=0,"SOURCE EMPTY / INDUSTRIAL ONLY",IF(MIN(K4228:T4228)=1,"SERVICE READY","HOLD"))</f>
        <v>SOURCE EMPTY / INDUSTRIAL ONLY</v>
      </c>
      <c r="V4228" s="9" t="n">
        <f aca="false">IF(U4228="SERVICE READY",1,0)</f>
        <v>0</v>
      </c>
      <c r="W4228" s="6"/>
      <c r="X4228" s="6"/>
      <c r="Y4228" s="6"/>
      <c r="Z4228" s="6"/>
    </row>
    <row r="4229" customFormat="false" ht="15" hidden="false" customHeight="false" outlineLevel="0" collapsed="false">
      <c r="A4229" s="9" t="s">
        <v>4517</v>
      </c>
      <c r="B4229" s="9" t="s">
        <v>4483</v>
      </c>
      <c r="C4229" s="9" t="s">
        <v>4484</v>
      </c>
      <c r="D4229" s="9" t="s">
        <v>3722</v>
      </c>
      <c r="E4229" s="9" t="s">
        <v>323</v>
      </c>
      <c r="F4229" s="9" t="s">
        <v>209</v>
      </c>
      <c r="G4229" s="9" t="s">
        <v>201</v>
      </c>
      <c r="H4229" s="9" t="n">
        <v>625</v>
      </c>
      <c r="I4229" s="29" t="n">
        <v>0.4</v>
      </c>
      <c r="J4229" s="9" t="n">
        <v>1</v>
      </c>
      <c r="K4229" s="30"/>
      <c r="L4229" s="30"/>
      <c r="M4229" s="30"/>
      <c r="N4229" s="30"/>
      <c r="O4229" s="30"/>
      <c r="P4229" s="30"/>
      <c r="Q4229" s="30"/>
      <c r="R4229" s="30"/>
      <c r="S4229" s="30"/>
      <c r="T4229" s="30"/>
      <c r="U4229" s="21" t="str">
        <f aca="false">IF(COUNT(K4229:T4229)=0,"SOURCE EMPTY / INDUSTRIAL ONLY",IF(MIN(K4229:T4229)=1,"SERVICE READY","HOLD"))</f>
        <v>SOURCE EMPTY / INDUSTRIAL ONLY</v>
      </c>
      <c r="V4229" s="9" t="n">
        <f aca="false">IF(U4229="SERVICE READY",1,0)</f>
        <v>0</v>
      </c>
      <c r="W4229" s="6"/>
      <c r="X4229" s="6"/>
      <c r="Y4229" s="6"/>
      <c r="Z4229" s="6"/>
    </row>
    <row r="4230" customFormat="false" ht="15" hidden="false" customHeight="false" outlineLevel="0" collapsed="false">
      <c r="A4230" s="9" t="s">
        <v>4518</v>
      </c>
      <c r="B4230" s="9" t="s">
        <v>4483</v>
      </c>
      <c r="C4230" s="9" t="s">
        <v>4484</v>
      </c>
      <c r="D4230" s="9" t="s">
        <v>3722</v>
      </c>
      <c r="E4230" s="9" t="s">
        <v>323</v>
      </c>
      <c r="F4230" s="9" t="s">
        <v>211</v>
      </c>
      <c r="G4230" s="9" t="s">
        <v>221</v>
      </c>
      <c r="H4230" s="9" t="n">
        <v>625</v>
      </c>
      <c r="I4230" s="29" t="n">
        <v>0.4</v>
      </c>
      <c r="J4230" s="9" t="n">
        <v>1</v>
      </c>
      <c r="K4230" s="30"/>
      <c r="L4230" s="30"/>
      <c r="M4230" s="30"/>
      <c r="N4230" s="30"/>
      <c r="O4230" s="30"/>
      <c r="P4230" s="30"/>
      <c r="Q4230" s="30"/>
      <c r="R4230" s="30"/>
      <c r="S4230" s="30"/>
      <c r="T4230" s="30"/>
      <c r="U4230" s="21" t="str">
        <f aca="false">IF(COUNT(K4230:T4230)=0,"SOURCE EMPTY / INDUSTRIAL ONLY",IF(MIN(K4230:T4230)=1,"SERVICE READY","HOLD"))</f>
        <v>SOURCE EMPTY / INDUSTRIAL ONLY</v>
      </c>
      <c r="V4230" s="9" t="n">
        <f aca="false">IF(U4230="SERVICE READY",1,0)</f>
        <v>0</v>
      </c>
      <c r="W4230" s="6"/>
      <c r="X4230" s="6"/>
      <c r="Y4230" s="6"/>
      <c r="Z4230" s="6"/>
    </row>
    <row r="4231" customFormat="false" ht="15" hidden="false" customHeight="false" outlineLevel="0" collapsed="false">
      <c r="A4231" s="9" t="s">
        <v>4519</v>
      </c>
      <c r="B4231" s="9" t="s">
        <v>4483</v>
      </c>
      <c r="C4231" s="9" t="s">
        <v>4484</v>
      </c>
      <c r="D4231" s="9" t="s">
        <v>3722</v>
      </c>
      <c r="E4231" s="9" t="s">
        <v>323</v>
      </c>
      <c r="F4231" s="9" t="s">
        <v>197</v>
      </c>
      <c r="G4231" s="9" t="s">
        <v>221</v>
      </c>
      <c r="H4231" s="9" t="n">
        <v>625</v>
      </c>
      <c r="I4231" s="29" t="n">
        <v>0.4</v>
      </c>
      <c r="J4231" s="9" t="n">
        <v>1</v>
      </c>
      <c r="K4231" s="30"/>
      <c r="L4231" s="30"/>
      <c r="M4231" s="30"/>
      <c r="N4231" s="30"/>
      <c r="O4231" s="30"/>
      <c r="P4231" s="30"/>
      <c r="Q4231" s="30"/>
      <c r="R4231" s="30"/>
      <c r="S4231" s="30"/>
      <c r="T4231" s="30"/>
      <c r="U4231" s="21" t="str">
        <f aca="false">IF(COUNT(K4231:T4231)=0,"SOURCE EMPTY / INDUSTRIAL ONLY",IF(MIN(K4231:T4231)=1,"SERVICE READY","HOLD"))</f>
        <v>SOURCE EMPTY / INDUSTRIAL ONLY</v>
      </c>
      <c r="V4231" s="9" t="n">
        <f aca="false">IF(U4231="SERVICE READY",1,0)</f>
        <v>0</v>
      </c>
      <c r="W4231" s="6"/>
      <c r="X4231" s="6"/>
      <c r="Y4231" s="6"/>
      <c r="Z4231" s="6"/>
    </row>
    <row r="4232" customFormat="false" ht="15" hidden="false" customHeight="false" outlineLevel="0" collapsed="false">
      <c r="A4232" s="9" t="s">
        <v>4520</v>
      </c>
      <c r="B4232" s="9" t="s">
        <v>4483</v>
      </c>
      <c r="C4232" s="9" t="s">
        <v>4484</v>
      </c>
      <c r="D4232" s="9" t="s">
        <v>3722</v>
      </c>
      <c r="E4232" s="9" t="s">
        <v>323</v>
      </c>
      <c r="F4232" s="9" t="s">
        <v>200</v>
      </c>
      <c r="G4232" s="9" t="s">
        <v>221</v>
      </c>
      <c r="H4232" s="9" t="n">
        <v>625</v>
      </c>
      <c r="I4232" s="29" t="n">
        <v>0.4</v>
      </c>
      <c r="J4232" s="9" t="n">
        <v>1</v>
      </c>
      <c r="K4232" s="30"/>
      <c r="L4232" s="30"/>
      <c r="M4232" s="30"/>
      <c r="N4232" s="30"/>
      <c r="O4232" s="30"/>
      <c r="P4232" s="30"/>
      <c r="Q4232" s="30"/>
      <c r="R4232" s="30"/>
      <c r="S4232" s="30"/>
      <c r="T4232" s="30"/>
      <c r="U4232" s="21" t="str">
        <f aca="false">IF(COUNT(K4232:T4232)=0,"SOURCE EMPTY / INDUSTRIAL ONLY",IF(MIN(K4232:T4232)=1,"SERVICE READY","HOLD"))</f>
        <v>SOURCE EMPTY / INDUSTRIAL ONLY</v>
      </c>
      <c r="V4232" s="9" t="n">
        <f aca="false">IF(U4232="SERVICE READY",1,0)</f>
        <v>0</v>
      </c>
      <c r="W4232" s="6"/>
      <c r="X4232" s="6"/>
      <c r="Y4232" s="6"/>
      <c r="Z4232" s="6"/>
    </row>
    <row r="4233" customFormat="false" ht="15" hidden="false" customHeight="false" outlineLevel="0" collapsed="false">
      <c r="A4233" s="9" t="s">
        <v>4521</v>
      </c>
      <c r="B4233" s="9" t="s">
        <v>4483</v>
      </c>
      <c r="C4233" s="9" t="s">
        <v>4484</v>
      </c>
      <c r="D4233" s="9" t="s">
        <v>3722</v>
      </c>
      <c r="E4233" s="9" t="s">
        <v>323</v>
      </c>
      <c r="F4233" s="9" t="s">
        <v>203</v>
      </c>
      <c r="G4233" s="9" t="s">
        <v>221</v>
      </c>
      <c r="H4233" s="9" t="n">
        <v>625</v>
      </c>
      <c r="I4233" s="29" t="n">
        <v>0.4</v>
      </c>
      <c r="J4233" s="9" t="n">
        <v>1</v>
      </c>
      <c r="K4233" s="30"/>
      <c r="L4233" s="30"/>
      <c r="M4233" s="30"/>
      <c r="N4233" s="30"/>
      <c r="O4233" s="30"/>
      <c r="P4233" s="30"/>
      <c r="Q4233" s="30"/>
      <c r="R4233" s="30"/>
      <c r="S4233" s="30"/>
      <c r="T4233" s="30"/>
      <c r="U4233" s="21" t="str">
        <f aca="false">IF(COUNT(K4233:T4233)=0,"SOURCE EMPTY / INDUSTRIAL ONLY",IF(MIN(K4233:T4233)=1,"SERVICE READY","HOLD"))</f>
        <v>SOURCE EMPTY / INDUSTRIAL ONLY</v>
      </c>
      <c r="V4233" s="9" t="n">
        <f aca="false">IF(U4233="SERVICE READY",1,0)</f>
        <v>0</v>
      </c>
      <c r="W4233" s="6"/>
      <c r="X4233" s="6"/>
      <c r="Y4233" s="6"/>
      <c r="Z4233" s="6"/>
    </row>
    <row r="4234" customFormat="false" ht="15" hidden="false" customHeight="false" outlineLevel="0" collapsed="false">
      <c r="A4234" s="9" t="s">
        <v>4522</v>
      </c>
      <c r="B4234" s="9" t="s">
        <v>4483</v>
      </c>
      <c r="C4234" s="9" t="s">
        <v>4484</v>
      </c>
      <c r="D4234" s="9" t="s">
        <v>3722</v>
      </c>
      <c r="E4234" s="9" t="s">
        <v>323</v>
      </c>
      <c r="F4234" s="9" t="s">
        <v>205</v>
      </c>
      <c r="G4234" s="9" t="s">
        <v>221</v>
      </c>
      <c r="H4234" s="9" t="n">
        <v>625</v>
      </c>
      <c r="I4234" s="29" t="n">
        <v>0.4</v>
      </c>
      <c r="J4234" s="9" t="n">
        <v>1</v>
      </c>
      <c r="K4234" s="30"/>
      <c r="L4234" s="30"/>
      <c r="M4234" s="30"/>
      <c r="N4234" s="30"/>
      <c r="O4234" s="30"/>
      <c r="P4234" s="30"/>
      <c r="Q4234" s="30"/>
      <c r="R4234" s="30"/>
      <c r="S4234" s="30"/>
      <c r="T4234" s="30"/>
      <c r="U4234" s="21" t="str">
        <f aca="false">IF(COUNT(K4234:T4234)=0,"SOURCE EMPTY / INDUSTRIAL ONLY",IF(MIN(K4234:T4234)=1,"SERVICE READY","HOLD"))</f>
        <v>SOURCE EMPTY / INDUSTRIAL ONLY</v>
      </c>
      <c r="V4234" s="9" t="n">
        <f aca="false">IF(U4234="SERVICE READY",1,0)</f>
        <v>0</v>
      </c>
      <c r="W4234" s="6"/>
      <c r="X4234" s="6"/>
      <c r="Y4234" s="6"/>
      <c r="Z4234" s="6"/>
    </row>
    <row r="4235" customFormat="false" ht="15" hidden="false" customHeight="false" outlineLevel="0" collapsed="false">
      <c r="A4235" s="9" t="s">
        <v>4523</v>
      </c>
      <c r="B4235" s="9" t="s">
        <v>4483</v>
      </c>
      <c r="C4235" s="9" t="s">
        <v>4484</v>
      </c>
      <c r="D4235" s="9" t="s">
        <v>3722</v>
      </c>
      <c r="E4235" s="9" t="s">
        <v>323</v>
      </c>
      <c r="F4235" s="9" t="s">
        <v>207</v>
      </c>
      <c r="G4235" s="9" t="s">
        <v>221</v>
      </c>
      <c r="H4235" s="9" t="n">
        <v>625</v>
      </c>
      <c r="I4235" s="29" t="n">
        <v>0.4</v>
      </c>
      <c r="J4235" s="9" t="n">
        <v>1</v>
      </c>
      <c r="K4235" s="30"/>
      <c r="L4235" s="30"/>
      <c r="M4235" s="30"/>
      <c r="N4235" s="30"/>
      <c r="O4235" s="30"/>
      <c r="P4235" s="30"/>
      <c r="Q4235" s="30"/>
      <c r="R4235" s="30"/>
      <c r="S4235" s="30"/>
      <c r="T4235" s="30"/>
      <c r="U4235" s="21" t="str">
        <f aca="false">IF(COUNT(K4235:T4235)=0,"SOURCE EMPTY / INDUSTRIAL ONLY",IF(MIN(K4235:T4235)=1,"SERVICE READY","HOLD"))</f>
        <v>SOURCE EMPTY / INDUSTRIAL ONLY</v>
      </c>
      <c r="V4235" s="9" t="n">
        <f aca="false">IF(U4235="SERVICE READY",1,0)</f>
        <v>0</v>
      </c>
      <c r="W4235" s="6"/>
      <c r="X4235" s="6"/>
      <c r="Y4235" s="6"/>
      <c r="Z4235" s="6"/>
    </row>
    <row r="4236" customFormat="false" ht="15" hidden="false" customHeight="false" outlineLevel="0" collapsed="false">
      <c r="A4236" s="9" t="s">
        <v>4524</v>
      </c>
      <c r="B4236" s="9" t="s">
        <v>4483</v>
      </c>
      <c r="C4236" s="9" t="s">
        <v>4484</v>
      </c>
      <c r="D4236" s="9" t="s">
        <v>3722</v>
      </c>
      <c r="E4236" s="9" t="s">
        <v>323</v>
      </c>
      <c r="F4236" s="9" t="s">
        <v>209</v>
      </c>
      <c r="G4236" s="9" t="s">
        <v>221</v>
      </c>
      <c r="H4236" s="9" t="n">
        <v>625</v>
      </c>
      <c r="I4236" s="29" t="n">
        <v>0.4</v>
      </c>
      <c r="J4236" s="9" t="n">
        <v>1</v>
      </c>
      <c r="K4236" s="30"/>
      <c r="L4236" s="30"/>
      <c r="M4236" s="30"/>
      <c r="N4236" s="30"/>
      <c r="O4236" s="30"/>
      <c r="P4236" s="30"/>
      <c r="Q4236" s="30"/>
      <c r="R4236" s="30"/>
      <c r="S4236" s="30"/>
      <c r="T4236" s="30"/>
      <c r="U4236" s="21" t="str">
        <f aca="false">IF(COUNT(K4236:T4236)=0,"SOURCE EMPTY / INDUSTRIAL ONLY",IF(MIN(K4236:T4236)=1,"SERVICE READY","HOLD"))</f>
        <v>SOURCE EMPTY / INDUSTRIAL ONLY</v>
      </c>
      <c r="V4236" s="9" t="n">
        <f aca="false">IF(U4236="SERVICE READY",1,0)</f>
        <v>0</v>
      </c>
      <c r="W4236" s="6"/>
      <c r="X4236" s="6"/>
      <c r="Y4236" s="6"/>
      <c r="Z4236" s="6"/>
    </row>
    <row r="4237" customFormat="false" ht="15" hidden="false" customHeight="false" outlineLevel="0" collapsed="false">
      <c r="A4237" s="9" t="s">
        <v>4525</v>
      </c>
      <c r="B4237" s="9" t="s">
        <v>4483</v>
      </c>
      <c r="C4237" s="9" t="s">
        <v>4484</v>
      </c>
      <c r="D4237" s="9" t="s">
        <v>3722</v>
      </c>
      <c r="E4237" s="9" t="s">
        <v>323</v>
      </c>
      <c r="F4237" s="9" t="s">
        <v>211</v>
      </c>
      <c r="G4237" s="9" t="s">
        <v>221</v>
      </c>
      <c r="H4237" s="9" t="n">
        <v>625</v>
      </c>
      <c r="I4237" s="29" t="n">
        <v>0.4</v>
      </c>
      <c r="J4237" s="9" t="n">
        <v>1</v>
      </c>
      <c r="K4237" s="30"/>
      <c r="L4237" s="30"/>
      <c r="M4237" s="30"/>
      <c r="N4237" s="30"/>
      <c r="O4237" s="30"/>
      <c r="P4237" s="30"/>
      <c r="Q4237" s="30"/>
      <c r="R4237" s="30"/>
      <c r="S4237" s="30"/>
      <c r="T4237" s="30"/>
      <c r="U4237" s="21" t="str">
        <f aca="false">IF(COUNT(K4237:T4237)=0,"SOURCE EMPTY / INDUSTRIAL ONLY",IF(MIN(K4237:T4237)=1,"SERVICE READY","HOLD"))</f>
        <v>SOURCE EMPTY / INDUSTRIAL ONLY</v>
      </c>
      <c r="V4237" s="9" t="n">
        <f aca="false">IF(U4237="SERVICE READY",1,0)</f>
        <v>0</v>
      </c>
      <c r="W4237" s="6"/>
      <c r="X4237" s="6"/>
      <c r="Y4237" s="6"/>
      <c r="Z4237" s="6"/>
    </row>
    <row r="4238" customFormat="false" ht="15" hidden="false" customHeight="false" outlineLevel="0" collapsed="false">
      <c r="A4238" s="9" t="s">
        <v>4526</v>
      </c>
      <c r="B4238" s="9" t="s">
        <v>4483</v>
      </c>
      <c r="C4238" s="9" t="s">
        <v>4484</v>
      </c>
      <c r="D4238" s="9" t="s">
        <v>3722</v>
      </c>
      <c r="E4238" s="9" t="s">
        <v>323</v>
      </c>
      <c r="F4238" s="9" t="s">
        <v>197</v>
      </c>
      <c r="G4238" s="9" t="s">
        <v>221</v>
      </c>
      <c r="H4238" s="9" t="n">
        <v>625</v>
      </c>
      <c r="I4238" s="29" t="n">
        <v>0.4</v>
      </c>
      <c r="J4238" s="9" t="n">
        <v>1</v>
      </c>
      <c r="K4238" s="30"/>
      <c r="L4238" s="30"/>
      <c r="M4238" s="30"/>
      <c r="N4238" s="30"/>
      <c r="O4238" s="30"/>
      <c r="P4238" s="30"/>
      <c r="Q4238" s="30"/>
      <c r="R4238" s="30"/>
      <c r="S4238" s="30"/>
      <c r="T4238" s="30"/>
      <c r="U4238" s="21" t="str">
        <f aca="false">IF(COUNT(K4238:T4238)=0,"SOURCE EMPTY / INDUSTRIAL ONLY",IF(MIN(K4238:T4238)=1,"SERVICE READY","HOLD"))</f>
        <v>SOURCE EMPTY / INDUSTRIAL ONLY</v>
      </c>
      <c r="V4238" s="9" t="n">
        <f aca="false">IF(U4238="SERVICE READY",1,0)</f>
        <v>0</v>
      </c>
      <c r="W4238" s="6"/>
      <c r="X4238" s="6"/>
      <c r="Y4238" s="6"/>
      <c r="Z4238" s="6"/>
    </row>
    <row r="4239" customFormat="false" ht="15" hidden="false" customHeight="false" outlineLevel="0" collapsed="false">
      <c r="A4239" s="9" t="s">
        <v>4527</v>
      </c>
      <c r="B4239" s="9" t="s">
        <v>4483</v>
      </c>
      <c r="C4239" s="9" t="s">
        <v>4484</v>
      </c>
      <c r="D4239" s="9" t="s">
        <v>3722</v>
      </c>
      <c r="E4239" s="9" t="s">
        <v>323</v>
      </c>
      <c r="F4239" s="9" t="s">
        <v>200</v>
      </c>
      <c r="G4239" s="9" t="s">
        <v>221</v>
      </c>
      <c r="H4239" s="9" t="n">
        <v>625</v>
      </c>
      <c r="I4239" s="29" t="n">
        <v>0.4</v>
      </c>
      <c r="J4239" s="9" t="n">
        <v>1</v>
      </c>
      <c r="K4239" s="30"/>
      <c r="L4239" s="30"/>
      <c r="M4239" s="30"/>
      <c r="N4239" s="30"/>
      <c r="O4239" s="30"/>
      <c r="P4239" s="30"/>
      <c r="Q4239" s="30"/>
      <c r="R4239" s="30"/>
      <c r="S4239" s="30"/>
      <c r="T4239" s="30"/>
      <c r="U4239" s="21" t="str">
        <f aca="false">IF(COUNT(K4239:T4239)=0,"SOURCE EMPTY / INDUSTRIAL ONLY",IF(MIN(K4239:T4239)=1,"SERVICE READY","HOLD"))</f>
        <v>SOURCE EMPTY / INDUSTRIAL ONLY</v>
      </c>
      <c r="V4239" s="9" t="n">
        <f aca="false">IF(U4239="SERVICE READY",1,0)</f>
        <v>0</v>
      </c>
      <c r="W4239" s="6"/>
      <c r="X4239" s="6"/>
      <c r="Y4239" s="6"/>
      <c r="Z4239" s="6"/>
    </row>
    <row r="4240" customFormat="false" ht="15" hidden="false" customHeight="false" outlineLevel="0" collapsed="false">
      <c r="A4240" s="9" t="s">
        <v>4528</v>
      </c>
      <c r="B4240" s="9" t="s">
        <v>4483</v>
      </c>
      <c r="C4240" s="9" t="s">
        <v>4484</v>
      </c>
      <c r="D4240" s="9" t="s">
        <v>3722</v>
      </c>
      <c r="E4240" s="9" t="s">
        <v>323</v>
      </c>
      <c r="F4240" s="9" t="s">
        <v>203</v>
      </c>
      <c r="G4240" s="9" t="s">
        <v>221</v>
      </c>
      <c r="H4240" s="9" t="n">
        <v>625</v>
      </c>
      <c r="I4240" s="29" t="n">
        <v>0.4</v>
      </c>
      <c r="J4240" s="9" t="n">
        <v>1</v>
      </c>
      <c r="K4240" s="30"/>
      <c r="L4240" s="30"/>
      <c r="M4240" s="30"/>
      <c r="N4240" s="30"/>
      <c r="O4240" s="30"/>
      <c r="P4240" s="30"/>
      <c r="Q4240" s="30"/>
      <c r="R4240" s="30"/>
      <c r="S4240" s="30"/>
      <c r="T4240" s="30"/>
      <c r="U4240" s="21" t="str">
        <f aca="false">IF(COUNT(K4240:T4240)=0,"SOURCE EMPTY / INDUSTRIAL ONLY",IF(MIN(K4240:T4240)=1,"SERVICE READY","HOLD"))</f>
        <v>SOURCE EMPTY / INDUSTRIAL ONLY</v>
      </c>
      <c r="V4240" s="9" t="n">
        <f aca="false">IF(U4240="SERVICE READY",1,0)</f>
        <v>0</v>
      </c>
      <c r="W4240" s="6"/>
      <c r="X4240" s="6"/>
      <c r="Y4240" s="6"/>
      <c r="Z4240" s="6"/>
    </row>
    <row r="4241" customFormat="false" ht="15" hidden="false" customHeight="false" outlineLevel="0" collapsed="false">
      <c r="A4241" s="9" t="s">
        <v>4529</v>
      </c>
      <c r="B4241" s="9" t="s">
        <v>4483</v>
      </c>
      <c r="C4241" s="9" t="s">
        <v>4484</v>
      </c>
      <c r="D4241" s="9" t="s">
        <v>3722</v>
      </c>
      <c r="E4241" s="9" t="s">
        <v>323</v>
      </c>
      <c r="F4241" s="9" t="s">
        <v>205</v>
      </c>
      <c r="G4241" s="9" t="s">
        <v>221</v>
      </c>
      <c r="H4241" s="9" t="n">
        <v>625</v>
      </c>
      <c r="I4241" s="29" t="n">
        <v>0.4</v>
      </c>
      <c r="J4241" s="9" t="n">
        <v>1</v>
      </c>
      <c r="K4241" s="30"/>
      <c r="L4241" s="30"/>
      <c r="M4241" s="30"/>
      <c r="N4241" s="30"/>
      <c r="O4241" s="30"/>
      <c r="P4241" s="30"/>
      <c r="Q4241" s="30"/>
      <c r="R4241" s="30"/>
      <c r="S4241" s="30"/>
      <c r="T4241" s="30"/>
      <c r="U4241" s="21" t="str">
        <f aca="false">IF(COUNT(K4241:T4241)=0,"SOURCE EMPTY / INDUSTRIAL ONLY",IF(MIN(K4241:T4241)=1,"SERVICE READY","HOLD"))</f>
        <v>SOURCE EMPTY / INDUSTRIAL ONLY</v>
      </c>
      <c r="V4241" s="9" t="n">
        <f aca="false">IF(U4241="SERVICE READY",1,0)</f>
        <v>0</v>
      </c>
      <c r="W4241" s="6"/>
      <c r="X4241" s="6"/>
      <c r="Y4241" s="6"/>
      <c r="Z4241" s="6"/>
    </row>
    <row r="4242" customFormat="false" ht="15" hidden="false" customHeight="false" outlineLevel="0" collapsed="false">
      <c r="A4242" s="9" t="s">
        <v>4530</v>
      </c>
      <c r="B4242" s="9" t="s">
        <v>4483</v>
      </c>
      <c r="C4242" s="9" t="s">
        <v>4484</v>
      </c>
      <c r="D4242" s="9" t="s">
        <v>3722</v>
      </c>
      <c r="E4242" s="9" t="s">
        <v>323</v>
      </c>
      <c r="F4242" s="9" t="s">
        <v>207</v>
      </c>
      <c r="G4242" s="9" t="s">
        <v>221</v>
      </c>
      <c r="H4242" s="9" t="n">
        <v>625</v>
      </c>
      <c r="I4242" s="29" t="n">
        <v>0.4</v>
      </c>
      <c r="J4242" s="9" t="n">
        <v>1</v>
      </c>
      <c r="K4242" s="30"/>
      <c r="L4242" s="30"/>
      <c r="M4242" s="30"/>
      <c r="N4242" s="30"/>
      <c r="O4242" s="30"/>
      <c r="P4242" s="30"/>
      <c r="Q4242" s="30"/>
      <c r="R4242" s="30"/>
      <c r="S4242" s="30"/>
      <c r="T4242" s="30"/>
      <c r="U4242" s="21" t="str">
        <f aca="false">IF(COUNT(K4242:T4242)=0,"SOURCE EMPTY / INDUSTRIAL ONLY",IF(MIN(K4242:T4242)=1,"SERVICE READY","HOLD"))</f>
        <v>SOURCE EMPTY / INDUSTRIAL ONLY</v>
      </c>
      <c r="V4242" s="9" t="n">
        <f aca="false">IF(U4242="SERVICE READY",1,0)</f>
        <v>0</v>
      </c>
      <c r="W4242" s="6"/>
      <c r="X4242" s="6"/>
      <c r="Y4242" s="6"/>
      <c r="Z4242" s="6"/>
    </row>
    <row r="4243" customFormat="false" ht="15" hidden="false" customHeight="false" outlineLevel="0" collapsed="false">
      <c r="A4243" s="9" t="s">
        <v>4531</v>
      </c>
      <c r="B4243" s="9" t="s">
        <v>4483</v>
      </c>
      <c r="C4243" s="9" t="s">
        <v>4484</v>
      </c>
      <c r="D4243" s="9" t="s">
        <v>3722</v>
      </c>
      <c r="E4243" s="9" t="s">
        <v>323</v>
      </c>
      <c r="F4243" s="9" t="s">
        <v>209</v>
      </c>
      <c r="G4243" s="9" t="s">
        <v>221</v>
      </c>
      <c r="H4243" s="9" t="n">
        <v>625</v>
      </c>
      <c r="I4243" s="29" t="n">
        <v>0.4</v>
      </c>
      <c r="J4243" s="9" t="n">
        <v>1</v>
      </c>
      <c r="K4243" s="30"/>
      <c r="L4243" s="30"/>
      <c r="M4243" s="30"/>
      <c r="N4243" s="30"/>
      <c r="O4243" s="30"/>
      <c r="P4243" s="30"/>
      <c r="Q4243" s="30"/>
      <c r="R4243" s="30"/>
      <c r="S4243" s="30"/>
      <c r="T4243" s="30"/>
      <c r="U4243" s="21" t="str">
        <f aca="false">IF(COUNT(K4243:T4243)=0,"SOURCE EMPTY / INDUSTRIAL ONLY",IF(MIN(K4243:T4243)=1,"SERVICE READY","HOLD"))</f>
        <v>SOURCE EMPTY / INDUSTRIAL ONLY</v>
      </c>
      <c r="V4243" s="9" t="n">
        <f aca="false">IF(U4243="SERVICE READY",1,0)</f>
        <v>0</v>
      </c>
      <c r="W4243" s="6"/>
      <c r="X4243" s="6"/>
      <c r="Y4243" s="6"/>
      <c r="Z4243" s="6"/>
    </row>
    <row r="4244" customFormat="false" ht="15" hidden="false" customHeight="false" outlineLevel="0" collapsed="false">
      <c r="A4244" s="9" t="s">
        <v>4532</v>
      </c>
      <c r="B4244" s="9" t="s">
        <v>4483</v>
      </c>
      <c r="C4244" s="9" t="s">
        <v>4484</v>
      </c>
      <c r="D4244" s="9" t="s">
        <v>3722</v>
      </c>
      <c r="E4244" s="9" t="s">
        <v>323</v>
      </c>
      <c r="F4244" s="9" t="s">
        <v>211</v>
      </c>
      <c r="G4244" s="9" t="s">
        <v>221</v>
      </c>
      <c r="H4244" s="9" t="n">
        <v>625</v>
      </c>
      <c r="I4244" s="29" t="n">
        <v>0.4</v>
      </c>
      <c r="J4244" s="9" t="n">
        <v>1</v>
      </c>
      <c r="K4244" s="30"/>
      <c r="L4244" s="30"/>
      <c r="M4244" s="30"/>
      <c r="N4244" s="30"/>
      <c r="O4244" s="30"/>
      <c r="P4244" s="30"/>
      <c r="Q4244" s="30"/>
      <c r="R4244" s="30"/>
      <c r="S4244" s="30"/>
      <c r="T4244" s="30"/>
      <c r="U4244" s="21" t="str">
        <f aca="false">IF(COUNT(K4244:T4244)=0,"SOURCE EMPTY / INDUSTRIAL ONLY",IF(MIN(K4244:T4244)=1,"SERVICE READY","HOLD"))</f>
        <v>SOURCE EMPTY / INDUSTRIAL ONLY</v>
      </c>
      <c r="V4244" s="9" t="n">
        <f aca="false">IF(U4244="SERVICE READY",1,0)</f>
        <v>0</v>
      </c>
      <c r="W4244" s="6"/>
      <c r="X4244" s="6"/>
      <c r="Y4244" s="6"/>
      <c r="Z4244" s="6"/>
    </row>
    <row r="4245" customFormat="false" ht="15" hidden="false" customHeight="false" outlineLevel="0" collapsed="false">
      <c r="A4245" s="9" t="s">
        <v>4533</v>
      </c>
      <c r="B4245" s="9" t="s">
        <v>4483</v>
      </c>
      <c r="C4245" s="9" t="s">
        <v>4484</v>
      </c>
      <c r="D4245" s="9" t="s">
        <v>3722</v>
      </c>
      <c r="E4245" s="9" t="s">
        <v>323</v>
      </c>
      <c r="F4245" s="9" t="s">
        <v>197</v>
      </c>
      <c r="G4245" s="9" t="s">
        <v>221</v>
      </c>
      <c r="H4245" s="9" t="n">
        <v>625</v>
      </c>
      <c r="I4245" s="29" t="n">
        <v>0.4</v>
      </c>
      <c r="J4245" s="9" t="n">
        <v>1</v>
      </c>
      <c r="K4245" s="30"/>
      <c r="L4245" s="30"/>
      <c r="M4245" s="30"/>
      <c r="N4245" s="30"/>
      <c r="O4245" s="30"/>
      <c r="P4245" s="30"/>
      <c r="Q4245" s="30"/>
      <c r="R4245" s="30"/>
      <c r="S4245" s="30"/>
      <c r="T4245" s="30"/>
      <c r="U4245" s="21" t="str">
        <f aca="false">IF(COUNT(K4245:T4245)=0,"SOURCE EMPTY / INDUSTRIAL ONLY",IF(MIN(K4245:T4245)=1,"SERVICE READY","HOLD"))</f>
        <v>SOURCE EMPTY / INDUSTRIAL ONLY</v>
      </c>
      <c r="V4245" s="9" t="n">
        <f aca="false">IF(U4245="SERVICE READY",1,0)</f>
        <v>0</v>
      </c>
      <c r="W4245" s="6"/>
      <c r="X4245" s="6"/>
      <c r="Y4245" s="6"/>
      <c r="Z4245" s="6"/>
    </row>
    <row r="4246" customFormat="false" ht="15" hidden="false" customHeight="false" outlineLevel="0" collapsed="false">
      <c r="A4246" s="9" t="s">
        <v>4534</v>
      </c>
      <c r="B4246" s="9" t="s">
        <v>4483</v>
      </c>
      <c r="C4246" s="9" t="s">
        <v>4484</v>
      </c>
      <c r="D4246" s="9" t="s">
        <v>3722</v>
      </c>
      <c r="E4246" s="9" t="s">
        <v>323</v>
      </c>
      <c r="F4246" s="9" t="s">
        <v>200</v>
      </c>
      <c r="G4246" s="9" t="s">
        <v>221</v>
      </c>
      <c r="H4246" s="9" t="n">
        <v>625</v>
      </c>
      <c r="I4246" s="29" t="n">
        <v>0.4</v>
      </c>
      <c r="J4246" s="9" t="n">
        <v>1</v>
      </c>
      <c r="K4246" s="30"/>
      <c r="L4246" s="30"/>
      <c r="M4246" s="30"/>
      <c r="N4246" s="30"/>
      <c r="O4246" s="30"/>
      <c r="P4246" s="30"/>
      <c r="Q4246" s="30"/>
      <c r="R4246" s="30"/>
      <c r="S4246" s="30"/>
      <c r="T4246" s="30"/>
      <c r="U4246" s="21" t="str">
        <f aca="false">IF(COUNT(K4246:T4246)=0,"SOURCE EMPTY / INDUSTRIAL ONLY",IF(MIN(K4246:T4246)=1,"SERVICE READY","HOLD"))</f>
        <v>SOURCE EMPTY / INDUSTRIAL ONLY</v>
      </c>
      <c r="V4246" s="9" t="n">
        <f aca="false">IF(U4246="SERVICE READY",1,0)</f>
        <v>0</v>
      </c>
      <c r="W4246" s="6"/>
      <c r="X4246" s="6"/>
      <c r="Y4246" s="6"/>
      <c r="Z4246" s="6"/>
    </row>
    <row r="4247" customFormat="false" ht="15" hidden="false" customHeight="false" outlineLevel="0" collapsed="false">
      <c r="A4247" s="9" t="s">
        <v>4535</v>
      </c>
      <c r="B4247" s="9" t="s">
        <v>4483</v>
      </c>
      <c r="C4247" s="9" t="s">
        <v>4484</v>
      </c>
      <c r="D4247" s="9" t="s">
        <v>3722</v>
      </c>
      <c r="E4247" s="9" t="s">
        <v>323</v>
      </c>
      <c r="F4247" s="9" t="s">
        <v>203</v>
      </c>
      <c r="G4247" s="9" t="s">
        <v>221</v>
      </c>
      <c r="H4247" s="9" t="n">
        <v>625</v>
      </c>
      <c r="I4247" s="29" t="n">
        <v>0.4</v>
      </c>
      <c r="J4247" s="9" t="n">
        <v>1</v>
      </c>
      <c r="K4247" s="30"/>
      <c r="L4247" s="30"/>
      <c r="M4247" s="30"/>
      <c r="N4247" s="30"/>
      <c r="O4247" s="30"/>
      <c r="P4247" s="30"/>
      <c r="Q4247" s="30"/>
      <c r="R4247" s="30"/>
      <c r="S4247" s="30"/>
      <c r="T4247" s="30"/>
      <c r="U4247" s="21" t="str">
        <f aca="false">IF(COUNT(K4247:T4247)=0,"SOURCE EMPTY / INDUSTRIAL ONLY",IF(MIN(K4247:T4247)=1,"SERVICE READY","HOLD"))</f>
        <v>SOURCE EMPTY / INDUSTRIAL ONLY</v>
      </c>
      <c r="V4247" s="9" t="n">
        <f aca="false">IF(U4247="SERVICE READY",1,0)</f>
        <v>0</v>
      </c>
      <c r="W4247" s="6"/>
      <c r="X4247" s="6"/>
      <c r="Y4247" s="6"/>
      <c r="Z4247" s="6"/>
    </row>
    <row r="4248" customFormat="false" ht="15" hidden="false" customHeight="false" outlineLevel="0" collapsed="false">
      <c r="A4248" s="9" t="s">
        <v>4536</v>
      </c>
      <c r="B4248" s="9" t="s">
        <v>4483</v>
      </c>
      <c r="C4248" s="9" t="s">
        <v>4484</v>
      </c>
      <c r="D4248" s="9" t="s">
        <v>3722</v>
      </c>
      <c r="E4248" s="9" t="s">
        <v>323</v>
      </c>
      <c r="F4248" s="9" t="s">
        <v>205</v>
      </c>
      <c r="G4248" s="9" t="s">
        <v>221</v>
      </c>
      <c r="H4248" s="9" t="n">
        <v>625</v>
      </c>
      <c r="I4248" s="29" t="n">
        <v>0.4</v>
      </c>
      <c r="J4248" s="9" t="n">
        <v>1</v>
      </c>
      <c r="K4248" s="30"/>
      <c r="L4248" s="30"/>
      <c r="M4248" s="30"/>
      <c r="N4248" s="30"/>
      <c r="O4248" s="30"/>
      <c r="P4248" s="30"/>
      <c r="Q4248" s="30"/>
      <c r="R4248" s="30"/>
      <c r="S4248" s="30"/>
      <c r="T4248" s="30"/>
      <c r="U4248" s="21" t="str">
        <f aca="false">IF(COUNT(K4248:T4248)=0,"SOURCE EMPTY / INDUSTRIAL ONLY",IF(MIN(K4248:T4248)=1,"SERVICE READY","HOLD"))</f>
        <v>SOURCE EMPTY / INDUSTRIAL ONLY</v>
      </c>
      <c r="V4248" s="9" t="n">
        <f aca="false">IF(U4248="SERVICE READY",1,0)</f>
        <v>0</v>
      </c>
      <c r="W4248" s="6"/>
      <c r="X4248" s="6"/>
      <c r="Y4248" s="6"/>
      <c r="Z4248" s="6"/>
    </row>
    <row r="4249" customFormat="false" ht="15" hidden="false" customHeight="false" outlineLevel="0" collapsed="false">
      <c r="A4249" s="9" t="s">
        <v>4537</v>
      </c>
      <c r="B4249" s="9" t="s">
        <v>4483</v>
      </c>
      <c r="C4249" s="9" t="s">
        <v>4484</v>
      </c>
      <c r="D4249" s="9" t="s">
        <v>3722</v>
      </c>
      <c r="E4249" s="9" t="s">
        <v>323</v>
      </c>
      <c r="F4249" s="9" t="s">
        <v>207</v>
      </c>
      <c r="G4249" s="9" t="s">
        <v>221</v>
      </c>
      <c r="H4249" s="9" t="n">
        <v>625</v>
      </c>
      <c r="I4249" s="29" t="n">
        <v>0.4</v>
      </c>
      <c r="J4249" s="9" t="n">
        <v>1</v>
      </c>
      <c r="K4249" s="30"/>
      <c r="L4249" s="30"/>
      <c r="M4249" s="30"/>
      <c r="N4249" s="30"/>
      <c r="O4249" s="30"/>
      <c r="P4249" s="30"/>
      <c r="Q4249" s="30"/>
      <c r="R4249" s="30"/>
      <c r="S4249" s="30"/>
      <c r="T4249" s="30"/>
      <c r="U4249" s="21" t="str">
        <f aca="false">IF(COUNT(K4249:T4249)=0,"SOURCE EMPTY / INDUSTRIAL ONLY",IF(MIN(K4249:T4249)=1,"SERVICE READY","HOLD"))</f>
        <v>SOURCE EMPTY / INDUSTRIAL ONLY</v>
      </c>
      <c r="V4249" s="9" t="n">
        <f aca="false">IF(U4249="SERVICE READY",1,0)</f>
        <v>0</v>
      </c>
      <c r="W4249" s="6"/>
      <c r="X4249" s="6"/>
      <c r="Y4249" s="6"/>
      <c r="Z4249" s="6"/>
    </row>
    <row r="4250" customFormat="false" ht="15" hidden="false" customHeight="false" outlineLevel="0" collapsed="false">
      <c r="A4250" s="9" t="s">
        <v>4538</v>
      </c>
      <c r="B4250" s="9" t="s">
        <v>4483</v>
      </c>
      <c r="C4250" s="9" t="s">
        <v>4484</v>
      </c>
      <c r="D4250" s="9" t="s">
        <v>3722</v>
      </c>
      <c r="E4250" s="9" t="s">
        <v>323</v>
      </c>
      <c r="F4250" s="9" t="s">
        <v>209</v>
      </c>
      <c r="G4250" s="9" t="s">
        <v>221</v>
      </c>
      <c r="H4250" s="9" t="n">
        <v>625</v>
      </c>
      <c r="I4250" s="29" t="n">
        <v>0.4</v>
      </c>
      <c r="J4250" s="9" t="n">
        <v>1</v>
      </c>
      <c r="K4250" s="30"/>
      <c r="L4250" s="30"/>
      <c r="M4250" s="30"/>
      <c r="N4250" s="30"/>
      <c r="O4250" s="30"/>
      <c r="P4250" s="30"/>
      <c r="Q4250" s="30"/>
      <c r="R4250" s="30"/>
      <c r="S4250" s="30"/>
      <c r="T4250" s="30"/>
      <c r="U4250" s="21" t="str">
        <f aca="false">IF(COUNT(K4250:T4250)=0,"SOURCE EMPTY / INDUSTRIAL ONLY",IF(MIN(K4250:T4250)=1,"SERVICE READY","HOLD"))</f>
        <v>SOURCE EMPTY / INDUSTRIAL ONLY</v>
      </c>
      <c r="V4250" s="9" t="n">
        <f aca="false">IF(U4250="SERVICE READY",1,0)</f>
        <v>0</v>
      </c>
      <c r="W4250" s="6"/>
      <c r="X4250" s="6"/>
      <c r="Y4250" s="6"/>
      <c r="Z4250" s="6"/>
    </row>
    <row r="4251" customFormat="false" ht="15" hidden="false" customHeight="false" outlineLevel="0" collapsed="false">
      <c r="A4251" s="9" t="s">
        <v>4539</v>
      </c>
      <c r="B4251" s="9" t="s">
        <v>4483</v>
      </c>
      <c r="C4251" s="9" t="s">
        <v>4484</v>
      </c>
      <c r="D4251" s="9" t="s">
        <v>3722</v>
      </c>
      <c r="E4251" s="9" t="s">
        <v>323</v>
      </c>
      <c r="F4251" s="9" t="s">
        <v>211</v>
      </c>
      <c r="G4251" s="9" t="s">
        <v>221</v>
      </c>
      <c r="H4251" s="9" t="n">
        <v>625</v>
      </c>
      <c r="I4251" s="29" t="n">
        <v>0.4</v>
      </c>
      <c r="J4251" s="9" t="n">
        <v>1</v>
      </c>
      <c r="K4251" s="30"/>
      <c r="L4251" s="30"/>
      <c r="M4251" s="30"/>
      <c r="N4251" s="30"/>
      <c r="O4251" s="30"/>
      <c r="P4251" s="30"/>
      <c r="Q4251" s="30"/>
      <c r="R4251" s="30"/>
      <c r="S4251" s="30"/>
      <c r="T4251" s="30"/>
      <c r="U4251" s="21" t="str">
        <f aca="false">IF(COUNT(K4251:T4251)=0,"SOURCE EMPTY / INDUSTRIAL ONLY",IF(MIN(K4251:T4251)=1,"SERVICE READY","HOLD"))</f>
        <v>SOURCE EMPTY / INDUSTRIAL ONLY</v>
      </c>
      <c r="V4251" s="9" t="n">
        <f aca="false">IF(U4251="SERVICE READY",1,0)</f>
        <v>0</v>
      </c>
      <c r="W4251" s="6"/>
      <c r="X4251" s="6"/>
      <c r="Y4251" s="6"/>
      <c r="Z4251" s="6"/>
    </row>
    <row r="4252" customFormat="false" ht="15" hidden="false" customHeight="false" outlineLevel="0" collapsed="false">
      <c r="A4252" s="9" t="s">
        <v>4540</v>
      </c>
      <c r="B4252" s="9" t="s">
        <v>4483</v>
      </c>
      <c r="C4252" s="9" t="s">
        <v>4484</v>
      </c>
      <c r="D4252" s="9" t="s">
        <v>3722</v>
      </c>
      <c r="E4252" s="9" t="s">
        <v>323</v>
      </c>
      <c r="F4252" s="9" t="s">
        <v>197</v>
      </c>
      <c r="G4252" s="9" t="s">
        <v>221</v>
      </c>
      <c r="H4252" s="9" t="n">
        <v>625</v>
      </c>
      <c r="I4252" s="29" t="n">
        <v>0.4</v>
      </c>
      <c r="J4252" s="9" t="n">
        <v>1</v>
      </c>
      <c r="K4252" s="30"/>
      <c r="L4252" s="30"/>
      <c r="M4252" s="30"/>
      <c r="N4252" s="30"/>
      <c r="O4252" s="30"/>
      <c r="P4252" s="30"/>
      <c r="Q4252" s="30"/>
      <c r="R4252" s="30"/>
      <c r="S4252" s="30"/>
      <c r="T4252" s="30"/>
      <c r="U4252" s="21" t="str">
        <f aca="false">IF(COUNT(K4252:T4252)=0,"SOURCE EMPTY / INDUSTRIAL ONLY",IF(MIN(K4252:T4252)=1,"SERVICE READY","HOLD"))</f>
        <v>SOURCE EMPTY / INDUSTRIAL ONLY</v>
      </c>
      <c r="V4252" s="9" t="n">
        <f aca="false">IF(U4252="SERVICE READY",1,0)</f>
        <v>0</v>
      </c>
      <c r="W4252" s="6"/>
      <c r="X4252" s="6"/>
      <c r="Y4252" s="6"/>
      <c r="Z4252" s="6"/>
    </row>
    <row r="4253" customFormat="false" ht="15" hidden="false" customHeight="false" outlineLevel="0" collapsed="false">
      <c r="A4253" s="9" t="s">
        <v>4541</v>
      </c>
      <c r="B4253" s="9" t="s">
        <v>4483</v>
      </c>
      <c r="C4253" s="9" t="s">
        <v>4484</v>
      </c>
      <c r="D4253" s="9" t="s">
        <v>3722</v>
      </c>
      <c r="E4253" s="9" t="s">
        <v>323</v>
      </c>
      <c r="F4253" s="9" t="s">
        <v>200</v>
      </c>
      <c r="G4253" s="9" t="s">
        <v>221</v>
      </c>
      <c r="H4253" s="9" t="n">
        <v>625</v>
      </c>
      <c r="I4253" s="29" t="n">
        <v>0.4</v>
      </c>
      <c r="J4253" s="9" t="n">
        <v>1</v>
      </c>
      <c r="K4253" s="30"/>
      <c r="L4253" s="30"/>
      <c r="M4253" s="30"/>
      <c r="N4253" s="30"/>
      <c r="O4253" s="30"/>
      <c r="P4253" s="30"/>
      <c r="Q4253" s="30"/>
      <c r="R4253" s="30"/>
      <c r="S4253" s="30"/>
      <c r="T4253" s="30"/>
      <c r="U4253" s="21" t="str">
        <f aca="false">IF(COUNT(K4253:T4253)=0,"SOURCE EMPTY / INDUSTRIAL ONLY",IF(MIN(K4253:T4253)=1,"SERVICE READY","HOLD"))</f>
        <v>SOURCE EMPTY / INDUSTRIAL ONLY</v>
      </c>
      <c r="V4253" s="9" t="n">
        <f aca="false">IF(U4253="SERVICE READY",1,0)</f>
        <v>0</v>
      </c>
      <c r="W4253" s="6"/>
      <c r="X4253" s="6"/>
      <c r="Y4253" s="6"/>
      <c r="Z4253" s="6"/>
    </row>
    <row r="4254" customFormat="false" ht="15" hidden="false" customHeight="false" outlineLevel="0" collapsed="false">
      <c r="A4254" s="9" t="s">
        <v>4542</v>
      </c>
      <c r="B4254" s="9" t="s">
        <v>4483</v>
      </c>
      <c r="C4254" s="9" t="s">
        <v>4484</v>
      </c>
      <c r="D4254" s="9" t="s">
        <v>3722</v>
      </c>
      <c r="E4254" s="9" t="s">
        <v>323</v>
      </c>
      <c r="F4254" s="9" t="s">
        <v>203</v>
      </c>
      <c r="G4254" s="9" t="s">
        <v>221</v>
      </c>
      <c r="H4254" s="9" t="n">
        <v>625</v>
      </c>
      <c r="I4254" s="29" t="n">
        <v>0.4</v>
      </c>
      <c r="J4254" s="9" t="n">
        <v>1</v>
      </c>
      <c r="K4254" s="30"/>
      <c r="L4254" s="30"/>
      <c r="M4254" s="30"/>
      <c r="N4254" s="30"/>
      <c r="O4254" s="30"/>
      <c r="P4254" s="30"/>
      <c r="Q4254" s="30"/>
      <c r="R4254" s="30"/>
      <c r="S4254" s="30"/>
      <c r="T4254" s="30"/>
      <c r="U4254" s="21" t="str">
        <f aca="false">IF(COUNT(K4254:T4254)=0,"SOURCE EMPTY / INDUSTRIAL ONLY",IF(MIN(K4254:T4254)=1,"SERVICE READY","HOLD"))</f>
        <v>SOURCE EMPTY / INDUSTRIAL ONLY</v>
      </c>
      <c r="V4254" s="9" t="n">
        <f aca="false">IF(U4254="SERVICE READY",1,0)</f>
        <v>0</v>
      </c>
      <c r="W4254" s="6"/>
      <c r="X4254" s="6"/>
      <c r="Y4254" s="6"/>
      <c r="Z4254" s="6"/>
    </row>
    <row r="4255" customFormat="false" ht="15" hidden="false" customHeight="false" outlineLevel="0" collapsed="false">
      <c r="A4255" s="9" t="s">
        <v>4543</v>
      </c>
      <c r="B4255" s="9" t="s">
        <v>4483</v>
      </c>
      <c r="C4255" s="9" t="s">
        <v>4484</v>
      </c>
      <c r="D4255" s="9" t="s">
        <v>3722</v>
      </c>
      <c r="E4255" s="9" t="s">
        <v>323</v>
      </c>
      <c r="F4255" s="9" t="s">
        <v>205</v>
      </c>
      <c r="G4255" s="9" t="s">
        <v>221</v>
      </c>
      <c r="H4255" s="9" t="n">
        <v>625</v>
      </c>
      <c r="I4255" s="29" t="n">
        <v>0.4</v>
      </c>
      <c r="J4255" s="9" t="n">
        <v>1</v>
      </c>
      <c r="K4255" s="30"/>
      <c r="L4255" s="30"/>
      <c r="M4255" s="30"/>
      <c r="N4255" s="30"/>
      <c r="O4255" s="30"/>
      <c r="P4255" s="30"/>
      <c r="Q4255" s="30"/>
      <c r="R4255" s="30"/>
      <c r="S4255" s="30"/>
      <c r="T4255" s="30"/>
      <c r="U4255" s="21" t="str">
        <f aca="false">IF(COUNT(K4255:T4255)=0,"SOURCE EMPTY / INDUSTRIAL ONLY",IF(MIN(K4255:T4255)=1,"SERVICE READY","HOLD"))</f>
        <v>SOURCE EMPTY / INDUSTRIAL ONLY</v>
      </c>
      <c r="V4255" s="9" t="n">
        <f aca="false">IF(U4255="SERVICE READY",1,0)</f>
        <v>0</v>
      </c>
      <c r="W4255" s="6"/>
      <c r="X4255" s="6"/>
      <c r="Y4255" s="6"/>
      <c r="Z4255" s="6"/>
    </row>
    <row r="4256" customFormat="false" ht="15" hidden="false" customHeight="false" outlineLevel="0" collapsed="false">
      <c r="A4256" s="9" t="s">
        <v>4544</v>
      </c>
      <c r="B4256" s="9" t="s">
        <v>4483</v>
      </c>
      <c r="C4256" s="9" t="s">
        <v>4484</v>
      </c>
      <c r="D4256" s="9" t="s">
        <v>3722</v>
      </c>
      <c r="E4256" s="9" t="s">
        <v>323</v>
      </c>
      <c r="F4256" s="9" t="s">
        <v>207</v>
      </c>
      <c r="G4256" s="9" t="s">
        <v>221</v>
      </c>
      <c r="H4256" s="9" t="n">
        <v>625</v>
      </c>
      <c r="I4256" s="29" t="n">
        <v>0.4</v>
      </c>
      <c r="J4256" s="9" t="n">
        <v>1</v>
      </c>
      <c r="K4256" s="30"/>
      <c r="L4256" s="30"/>
      <c r="M4256" s="30"/>
      <c r="N4256" s="30"/>
      <c r="O4256" s="30"/>
      <c r="P4256" s="30"/>
      <c r="Q4256" s="30"/>
      <c r="R4256" s="30"/>
      <c r="S4256" s="30"/>
      <c r="T4256" s="30"/>
      <c r="U4256" s="21" t="str">
        <f aca="false">IF(COUNT(K4256:T4256)=0,"SOURCE EMPTY / INDUSTRIAL ONLY",IF(MIN(K4256:T4256)=1,"SERVICE READY","HOLD"))</f>
        <v>SOURCE EMPTY / INDUSTRIAL ONLY</v>
      </c>
      <c r="V4256" s="9" t="n">
        <f aca="false">IF(U4256="SERVICE READY",1,0)</f>
        <v>0</v>
      </c>
      <c r="W4256" s="6"/>
      <c r="X4256" s="6"/>
      <c r="Y4256" s="6"/>
      <c r="Z4256" s="6"/>
    </row>
    <row r="4257" customFormat="false" ht="15" hidden="false" customHeight="false" outlineLevel="0" collapsed="false">
      <c r="A4257" s="9" t="s">
        <v>4545</v>
      </c>
      <c r="B4257" s="9" t="s">
        <v>4483</v>
      </c>
      <c r="C4257" s="9" t="s">
        <v>4484</v>
      </c>
      <c r="D4257" s="9" t="s">
        <v>3722</v>
      </c>
      <c r="E4257" s="9" t="s">
        <v>323</v>
      </c>
      <c r="F4257" s="9" t="s">
        <v>209</v>
      </c>
      <c r="G4257" s="9" t="s">
        <v>221</v>
      </c>
      <c r="H4257" s="9" t="n">
        <v>625</v>
      </c>
      <c r="I4257" s="29" t="n">
        <v>0.4</v>
      </c>
      <c r="J4257" s="9" t="n">
        <v>1</v>
      </c>
      <c r="K4257" s="30"/>
      <c r="L4257" s="30"/>
      <c r="M4257" s="30"/>
      <c r="N4257" s="30"/>
      <c r="O4257" s="30"/>
      <c r="P4257" s="30"/>
      <c r="Q4257" s="30"/>
      <c r="R4257" s="30"/>
      <c r="S4257" s="30"/>
      <c r="T4257" s="30"/>
      <c r="U4257" s="21" t="str">
        <f aca="false">IF(COUNT(K4257:T4257)=0,"SOURCE EMPTY / INDUSTRIAL ONLY",IF(MIN(K4257:T4257)=1,"SERVICE READY","HOLD"))</f>
        <v>SOURCE EMPTY / INDUSTRIAL ONLY</v>
      </c>
      <c r="V4257" s="9" t="n">
        <f aca="false">IF(U4257="SERVICE READY",1,0)</f>
        <v>0</v>
      </c>
      <c r="W4257" s="6"/>
      <c r="X4257" s="6"/>
      <c r="Y4257" s="6"/>
      <c r="Z4257" s="6"/>
    </row>
    <row r="4258" customFormat="false" ht="15" hidden="false" customHeight="false" outlineLevel="0" collapsed="false">
      <c r="A4258" s="9" t="s">
        <v>4546</v>
      </c>
      <c r="B4258" s="9" t="s">
        <v>4483</v>
      </c>
      <c r="C4258" s="9" t="s">
        <v>4484</v>
      </c>
      <c r="D4258" s="9" t="s">
        <v>3722</v>
      </c>
      <c r="E4258" s="9" t="s">
        <v>323</v>
      </c>
      <c r="F4258" s="9" t="s">
        <v>211</v>
      </c>
      <c r="G4258" s="9" t="s">
        <v>221</v>
      </c>
      <c r="H4258" s="9" t="n">
        <v>625</v>
      </c>
      <c r="I4258" s="29" t="n">
        <v>0.4</v>
      </c>
      <c r="J4258" s="9" t="n">
        <v>1</v>
      </c>
      <c r="K4258" s="30"/>
      <c r="L4258" s="30"/>
      <c r="M4258" s="30"/>
      <c r="N4258" s="30"/>
      <c r="O4258" s="30"/>
      <c r="P4258" s="30"/>
      <c r="Q4258" s="30"/>
      <c r="R4258" s="30"/>
      <c r="S4258" s="30"/>
      <c r="T4258" s="30"/>
      <c r="U4258" s="21" t="str">
        <f aca="false">IF(COUNT(K4258:T4258)=0,"SOURCE EMPTY / INDUSTRIAL ONLY",IF(MIN(K4258:T4258)=1,"SERVICE READY","HOLD"))</f>
        <v>SOURCE EMPTY / INDUSTRIAL ONLY</v>
      </c>
      <c r="V4258" s="9" t="n">
        <f aca="false">IF(U4258="SERVICE READY",1,0)</f>
        <v>0</v>
      </c>
      <c r="W4258" s="6"/>
      <c r="X4258" s="6"/>
      <c r="Y4258" s="6"/>
      <c r="Z4258" s="6"/>
    </row>
    <row r="4259" customFormat="false" ht="15" hidden="false" customHeight="false" outlineLevel="0" collapsed="false">
      <c r="A4259" s="9" t="s">
        <v>4547</v>
      </c>
      <c r="B4259" s="9" t="s">
        <v>4483</v>
      </c>
      <c r="C4259" s="9" t="s">
        <v>4484</v>
      </c>
      <c r="D4259" s="9" t="s">
        <v>3722</v>
      </c>
      <c r="E4259" s="9" t="s">
        <v>323</v>
      </c>
      <c r="F4259" s="9" t="s">
        <v>197</v>
      </c>
      <c r="G4259" s="9" t="s">
        <v>221</v>
      </c>
      <c r="H4259" s="9" t="n">
        <v>625</v>
      </c>
      <c r="I4259" s="29" t="n">
        <v>0.4</v>
      </c>
      <c r="J4259" s="9" t="n">
        <v>1</v>
      </c>
      <c r="K4259" s="30"/>
      <c r="L4259" s="30"/>
      <c r="M4259" s="30"/>
      <c r="N4259" s="30"/>
      <c r="O4259" s="30"/>
      <c r="P4259" s="30"/>
      <c r="Q4259" s="30"/>
      <c r="R4259" s="30"/>
      <c r="S4259" s="30"/>
      <c r="T4259" s="30"/>
      <c r="U4259" s="21" t="str">
        <f aca="false">IF(COUNT(K4259:T4259)=0,"SOURCE EMPTY / INDUSTRIAL ONLY",IF(MIN(K4259:T4259)=1,"SERVICE READY","HOLD"))</f>
        <v>SOURCE EMPTY / INDUSTRIAL ONLY</v>
      </c>
      <c r="V4259" s="9" t="n">
        <f aca="false">IF(U4259="SERVICE READY",1,0)</f>
        <v>0</v>
      </c>
      <c r="W4259" s="6"/>
      <c r="X4259" s="6"/>
      <c r="Y4259" s="6"/>
      <c r="Z4259" s="6"/>
    </row>
    <row r="4260" customFormat="false" ht="15" hidden="false" customHeight="false" outlineLevel="0" collapsed="false">
      <c r="A4260" s="9" t="s">
        <v>4548</v>
      </c>
      <c r="B4260" s="9" t="s">
        <v>4483</v>
      </c>
      <c r="C4260" s="9" t="s">
        <v>4484</v>
      </c>
      <c r="D4260" s="9" t="s">
        <v>3722</v>
      </c>
      <c r="E4260" s="9" t="s">
        <v>323</v>
      </c>
      <c r="F4260" s="9" t="s">
        <v>200</v>
      </c>
      <c r="G4260" s="9" t="s">
        <v>221</v>
      </c>
      <c r="H4260" s="9" t="n">
        <v>625</v>
      </c>
      <c r="I4260" s="29" t="n">
        <v>0.4</v>
      </c>
      <c r="J4260" s="9" t="n">
        <v>1</v>
      </c>
      <c r="K4260" s="30"/>
      <c r="L4260" s="30"/>
      <c r="M4260" s="30"/>
      <c r="N4260" s="30"/>
      <c r="O4260" s="30"/>
      <c r="P4260" s="30"/>
      <c r="Q4260" s="30"/>
      <c r="R4260" s="30"/>
      <c r="S4260" s="30"/>
      <c r="T4260" s="30"/>
      <c r="U4260" s="21" t="str">
        <f aca="false">IF(COUNT(K4260:T4260)=0,"SOURCE EMPTY / INDUSTRIAL ONLY",IF(MIN(K4260:T4260)=1,"SERVICE READY","HOLD"))</f>
        <v>SOURCE EMPTY / INDUSTRIAL ONLY</v>
      </c>
      <c r="V4260" s="9" t="n">
        <f aca="false">IF(U4260="SERVICE READY",1,0)</f>
        <v>0</v>
      </c>
      <c r="W4260" s="6"/>
      <c r="X4260" s="6"/>
      <c r="Y4260" s="6"/>
      <c r="Z4260" s="6"/>
    </row>
    <row r="4261" customFormat="false" ht="15" hidden="false" customHeight="false" outlineLevel="0" collapsed="false">
      <c r="A4261" s="9" t="s">
        <v>4549</v>
      </c>
      <c r="B4261" s="9" t="s">
        <v>4483</v>
      </c>
      <c r="C4261" s="9" t="s">
        <v>4484</v>
      </c>
      <c r="D4261" s="9" t="s">
        <v>3722</v>
      </c>
      <c r="E4261" s="9" t="s">
        <v>323</v>
      </c>
      <c r="F4261" s="9" t="s">
        <v>203</v>
      </c>
      <c r="G4261" s="9" t="s">
        <v>221</v>
      </c>
      <c r="H4261" s="9" t="n">
        <v>625</v>
      </c>
      <c r="I4261" s="29" t="n">
        <v>0.4</v>
      </c>
      <c r="J4261" s="9" t="n">
        <v>1</v>
      </c>
      <c r="K4261" s="30"/>
      <c r="L4261" s="30"/>
      <c r="M4261" s="30"/>
      <c r="N4261" s="30"/>
      <c r="O4261" s="30"/>
      <c r="P4261" s="30"/>
      <c r="Q4261" s="30"/>
      <c r="R4261" s="30"/>
      <c r="S4261" s="30"/>
      <c r="T4261" s="30"/>
      <c r="U4261" s="21" t="str">
        <f aca="false">IF(COUNT(K4261:T4261)=0,"SOURCE EMPTY / INDUSTRIAL ONLY",IF(MIN(K4261:T4261)=1,"SERVICE READY","HOLD"))</f>
        <v>SOURCE EMPTY / INDUSTRIAL ONLY</v>
      </c>
      <c r="V4261" s="9" t="n">
        <f aca="false">IF(U4261="SERVICE READY",1,0)</f>
        <v>0</v>
      </c>
      <c r="W4261" s="6"/>
      <c r="X4261" s="6"/>
      <c r="Y4261" s="6"/>
      <c r="Z4261" s="6"/>
    </row>
    <row r="4262" customFormat="false" ht="15" hidden="false" customHeight="false" outlineLevel="0" collapsed="false">
      <c r="A4262" s="9" t="s">
        <v>4550</v>
      </c>
      <c r="B4262" s="9" t="s">
        <v>4483</v>
      </c>
      <c r="C4262" s="9" t="s">
        <v>4484</v>
      </c>
      <c r="D4262" s="9" t="s">
        <v>3722</v>
      </c>
      <c r="E4262" s="9" t="s">
        <v>323</v>
      </c>
      <c r="F4262" s="9" t="s">
        <v>205</v>
      </c>
      <c r="G4262" s="9" t="s">
        <v>221</v>
      </c>
      <c r="H4262" s="9" t="n">
        <v>625</v>
      </c>
      <c r="I4262" s="29" t="n">
        <v>0.4</v>
      </c>
      <c r="J4262" s="9" t="n">
        <v>1</v>
      </c>
      <c r="K4262" s="30"/>
      <c r="L4262" s="30"/>
      <c r="M4262" s="30"/>
      <c r="N4262" s="30"/>
      <c r="O4262" s="30"/>
      <c r="P4262" s="30"/>
      <c r="Q4262" s="30"/>
      <c r="R4262" s="30"/>
      <c r="S4262" s="30"/>
      <c r="T4262" s="30"/>
      <c r="U4262" s="21" t="str">
        <f aca="false">IF(COUNT(K4262:T4262)=0,"SOURCE EMPTY / INDUSTRIAL ONLY",IF(MIN(K4262:T4262)=1,"SERVICE READY","HOLD"))</f>
        <v>SOURCE EMPTY / INDUSTRIAL ONLY</v>
      </c>
      <c r="V4262" s="9" t="n">
        <f aca="false">IF(U4262="SERVICE READY",1,0)</f>
        <v>0</v>
      </c>
      <c r="W4262" s="6"/>
      <c r="X4262" s="6"/>
      <c r="Y4262" s="6"/>
      <c r="Z4262" s="6"/>
    </row>
    <row r="4263" customFormat="false" ht="15" hidden="false" customHeight="false" outlineLevel="0" collapsed="false">
      <c r="A4263" s="9" t="s">
        <v>4551</v>
      </c>
      <c r="B4263" s="9" t="s">
        <v>4483</v>
      </c>
      <c r="C4263" s="9" t="s">
        <v>4484</v>
      </c>
      <c r="D4263" s="9" t="s">
        <v>3722</v>
      </c>
      <c r="E4263" s="9" t="s">
        <v>323</v>
      </c>
      <c r="F4263" s="9" t="s">
        <v>207</v>
      </c>
      <c r="G4263" s="9" t="s">
        <v>221</v>
      </c>
      <c r="H4263" s="9" t="n">
        <v>625</v>
      </c>
      <c r="I4263" s="29" t="n">
        <v>0.4</v>
      </c>
      <c r="J4263" s="9" t="n">
        <v>1</v>
      </c>
      <c r="K4263" s="30"/>
      <c r="L4263" s="30"/>
      <c r="M4263" s="30"/>
      <c r="N4263" s="30"/>
      <c r="O4263" s="30"/>
      <c r="P4263" s="30"/>
      <c r="Q4263" s="30"/>
      <c r="R4263" s="30"/>
      <c r="S4263" s="30"/>
      <c r="T4263" s="30"/>
      <c r="U4263" s="21" t="str">
        <f aca="false">IF(COUNT(K4263:T4263)=0,"SOURCE EMPTY / INDUSTRIAL ONLY",IF(MIN(K4263:T4263)=1,"SERVICE READY","HOLD"))</f>
        <v>SOURCE EMPTY / INDUSTRIAL ONLY</v>
      </c>
      <c r="V4263" s="9" t="n">
        <f aca="false">IF(U4263="SERVICE READY",1,0)</f>
        <v>0</v>
      </c>
      <c r="W4263" s="6"/>
      <c r="X4263" s="6"/>
      <c r="Y4263" s="6"/>
      <c r="Z4263" s="6"/>
    </row>
    <row r="4264" customFormat="false" ht="15" hidden="false" customHeight="false" outlineLevel="0" collapsed="false">
      <c r="A4264" s="9" t="s">
        <v>4552</v>
      </c>
      <c r="B4264" s="9" t="s">
        <v>4483</v>
      </c>
      <c r="C4264" s="9" t="s">
        <v>4484</v>
      </c>
      <c r="D4264" s="9" t="s">
        <v>3722</v>
      </c>
      <c r="E4264" s="9" t="s">
        <v>323</v>
      </c>
      <c r="F4264" s="9" t="s">
        <v>209</v>
      </c>
      <c r="G4264" s="9" t="s">
        <v>221</v>
      </c>
      <c r="H4264" s="9" t="n">
        <v>625</v>
      </c>
      <c r="I4264" s="29" t="n">
        <v>0.4</v>
      </c>
      <c r="J4264" s="9" t="n">
        <v>1</v>
      </c>
      <c r="K4264" s="30"/>
      <c r="L4264" s="30"/>
      <c r="M4264" s="30"/>
      <c r="N4264" s="30"/>
      <c r="O4264" s="30"/>
      <c r="P4264" s="30"/>
      <c r="Q4264" s="30"/>
      <c r="R4264" s="30"/>
      <c r="S4264" s="30"/>
      <c r="T4264" s="30"/>
      <c r="U4264" s="21" t="str">
        <f aca="false">IF(COUNT(K4264:T4264)=0,"SOURCE EMPTY / INDUSTRIAL ONLY",IF(MIN(K4264:T4264)=1,"SERVICE READY","HOLD"))</f>
        <v>SOURCE EMPTY / INDUSTRIAL ONLY</v>
      </c>
      <c r="V4264" s="9" t="n">
        <f aca="false">IF(U4264="SERVICE READY",1,0)</f>
        <v>0</v>
      </c>
      <c r="W4264" s="6"/>
      <c r="X4264" s="6"/>
      <c r="Y4264" s="6"/>
      <c r="Z4264" s="6"/>
    </row>
    <row r="4265" customFormat="false" ht="15" hidden="false" customHeight="false" outlineLevel="0" collapsed="false">
      <c r="A4265" s="9" t="s">
        <v>4553</v>
      </c>
      <c r="B4265" s="9" t="s">
        <v>4483</v>
      </c>
      <c r="C4265" s="9" t="s">
        <v>4484</v>
      </c>
      <c r="D4265" s="9" t="s">
        <v>3722</v>
      </c>
      <c r="E4265" s="9" t="s">
        <v>323</v>
      </c>
      <c r="F4265" s="9" t="s">
        <v>211</v>
      </c>
      <c r="G4265" s="9" t="s">
        <v>221</v>
      </c>
      <c r="H4265" s="9" t="n">
        <v>625</v>
      </c>
      <c r="I4265" s="29" t="n">
        <v>0.4</v>
      </c>
      <c r="J4265" s="9" t="n">
        <v>1</v>
      </c>
      <c r="K4265" s="30"/>
      <c r="L4265" s="30"/>
      <c r="M4265" s="30"/>
      <c r="N4265" s="30"/>
      <c r="O4265" s="30"/>
      <c r="P4265" s="30"/>
      <c r="Q4265" s="30"/>
      <c r="R4265" s="30"/>
      <c r="S4265" s="30"/>
      <c r="T4265" s="30"/>
      <c r="U4265" s="21" t="str">
        <f aca="false">IF(COUNT(K4265:T4265)=0,"SOURCE EMPTY / INDUSTRIAL ONLY",IF(MIN(K4265:T4265)=1,"SERVICE READY","HOLD"))</f>
        <v>SOURCE EMPTY / INDUSTRIAL ONLY</v>
      </c>
      <c r="V4265" s="9" t="n">
        <f aca="false">IF(U4265="SERVICE READY",1,0)</f>
        <v>0</v>
      </c>
      <c r="W4265" s="6"/>
      <c r="X4265" s="6"/>
      <c r="Y4265" s="6"/>
      <c r="Z4265" s="6"/>
    </row>
    <row r="4266" customFormat="false" ht="15" hidden="false" customHeight="false" outlineLevel="0" collapsed="false">
      <c r="A4266" s="9" t="s">
        <v>4554</v>
      </c>
      <c r="B4266" s="9" t="s">
        <v>4483</v>
      </c>
      <c r="C4266" s="9" t="s">
        <v>4484</v>
      </c>
      <c r="D4266" s="9" t="s">
        <v>3722</v>
      </c>
      <c r="E4266" s="9" t="s">
        <v>323</v>
      </c>
      <c r="F4266" s="9" t="s">
        <v>197</v>
      </c>
      <c r="G4266" s="9" t="s">
        <v>221</v>
      </c>
      <c r="H4266" s="9" t="n">
        <v>625</v>
      </c>
      <c r="I4266" s="29" t="n">
        <v>0.4</v>
      </c>
      <c r="J4266" s="9" t="n">
        <v>1</v>
      </c>
      <c r="K4266" s="30"/>
      <c r="L4266" s="30"/>
      <c r="M4266" s="30"/>
      <c r="N4266" s="30"/>
      <c r="O4266" s="30"/>
      <c r="P4266" s="30"/>
      <c r="Q4266" s="30"/>
      <c r="R4266" s="30"/>
      <c r="S4266" s="30"/>
      <c r="T4266" s="30"/>
      <c r="U4266" s="21" t="str">
        <f aca="false">IF(COUNT(K4266:T4266)=0,"SOURCE EMPTY / INDUSTRIAL ONLY",IF(MIN(K4266:T4266)=1,"SERVICE READY","HOLD"))</f>
        <v>SOURCE EMPTY / INDUSTRIAL ONLY</v>
      </c>
      <c r="V4266" s="9" t="n">
        <f aca="false">IF(U4266="SERVICE READY",1,0)</f>
        <v>0</v>
      </c>
      <c r="W4266" s="6"/>
      <c r="X4266" s="6"/>
      <c r="Y4266" s="6"/>
      <c r="Z4266" s="6"/>
    </row>
    <row r="4267" customFormat="false" ht="15" hidden="false" customHeight="false" outlineLevel="0" collapsed="false">
      <c r="A4267" s="9" t="s">
        <v>4555</v>
      </c>
      <c r="B4267" s="9" t="s">
        <v>4483</v>
      </c>
      <c r="C4267" s="9" t="s">
        <v>4484</v>
      </c>
      <c r="D4267" s="9" t="s">
        <v>3722</v>
      </c>
      <c r="E4267" s="9" t="s">
        <v>323</v>
      </c>
      <c r="F4267" s="9" t="s">
        <v>200</v>
      </c>
      <c r="G4267" s="9" t="s">
        <v>221</v>
      </c>
      <c r="H4267" s="9" t="n">
        <v>625</v>
      </c>
      <c r="I4267" s="29" t="n">
        <v>0.4</v>
      </c>
      <c r="J4267" s="9" t="n">
        <v>1</v>
      </c>
      <c r="K4267" s="30"/>
      <c r="L4267" s="30"/>
      <c r="M4267" s="30"/>
      <c r="N4267" s="30"/>
      <c r="O4267" s="30"/>
      <c r="P4267" s="30"/>
      <c r="Q4267" s="30"/>
      <c r="R4267" s="30"/>
      <c r="S4267" s="30"/>
      <c r="T4267" s="30"/>
      <c r="U4267" s="21" t="str">
        <f aca="false">IF(COUNT(K4267:T4267)=0,"SOURCE EMPTY / INDUSTRIAL ONLY",IF(MIN(K4267:T4267)=1,"SERVICE READY","HOLD"))</f>
        <v>SOURCE EMPTY / INDUSTRIAL ONLY</v>
      </c>
      <c r="V4267" s="9" t="n">
        <f aca="false">IF(U4267="SERVICE READY",1,0)</f>
        <v>0</v>
      </c>
      <c r="W4267" s="6"/>
      <c r="X4267" s="6"/>
      <c r="Y4267" s="6"/>
      <c r="Z4267" s="6"/>
    </row>
    <row r="4268" customFormat="false" ht="15" hidden="false" customHeight="false" outlineLevel="0" collapsed="false">
      <c r="A4268" s="9" t="s">
        <v>4556</v>
      </c>
      <c r="B4268" s="9" t="s">
        <v>4483</v>
      </c>
      <c r="C4268" s="9" t="s">
        <v>4484</v>
      </c>
      <c r="D4268" s="9" t="s">
        <v>3722</v>
      </c>
      <c r="E4268" s="9" t="s">
        <v>323</v>
      </c>
      <c r="F4268" s="9" t="s">
        <v>203</v>
      </c>
      <c r="G4268" s="9" t="s">
        <v>221</v>
      </c>
      <c r="H4268" s="9" t="n">
        <v>625</v>
      </c>
      <c r="I4268" s="29" t="n">
        <v>0.4</v>
      </c>
      <c r="J4268" s="9" t="n">
        <v>1</v>
      </c>
      <c r="K4268" s="30"/>
      <c r="L4268" s="30"/>
      <c r="M4268" s="30"/>
      <c r="N4268" s="30"/>
      <c r="O4268" s="30"/>
      <c r="P4268" s="30"/>
      <c r="Q4268" s="30"/>
      <c r="R4268" s="30"/>
      <c r="S4268" s="30"/>
      <c r="T4268" s="30"/>
      <c r="U4268" s="21" t="str">
        <f aca="false">IF(COUNT(K4268:T4268)=0,"SOURCE EMPTY / INDUSTRIAL ONLY",IF(MIN(K4268:T4268)=1,"SERVICE READY","HOLD"))</f>
        <v>SOURCE EMPTY / INDUSTRIAL ONLY</v>
      </c>
      <c r="V4268" s="9" t="n">
        <f aca="false">IF(U4268="SERVICE READY",1,0)</f>
        <v>0</v>
      </c>
      <c r="W4268" s="6"/>
      <c r="X4268" s="6"/>
      <c r="Y4268" s="6"/>
      <c r="Z4268" s="6"/>
    </row>
    <row r="4269" customFormat="false" ht="15" hidden="false" customHeight="false" outlineLevel="0" collapsed="false">
      <c r="A4269" s="9" t="s">
        <v>4557</v>
      </c>
      <c r="B4269" s="9" t="s">
        <v>4483</v>
      </c>
      <c r="C4269" s="9" t="s">
        <v>4484</v>
      </c>
      <c r="D4269" s="9" t="s">
        <v>3722</v>
      </c>
      <c r="E4269" s="9" t="s">
        <v>323</v>
      </c>
      <c r="F4269" s="9" t="s">
        <v>205</v>
      </c>
      <c r="G4269" s="9" t="s">
        <v>221</v>
      </c>
      <c r="H4269" s="9" t="n">
        <v>625</v>
      </c>
      <c r="I4269" s="29" t="n">
        <v>0.4</v>
      </c>
      <c r="J4269" s="9" t="n">
        <v>1</v>
      </c>
      <c r="K4269" s="30"/>
      <c r="L4269" s="30"/>
      <c r="M4269" s="30"/>
      <c r="N4269" s="30"/>
      <c r="O4269" s="30"/>
      <c r="P4269" s="30"/>
      <c r="Q4269" s="30"/>
      <c r="R4269" s="30"/>
      <c r="S4269" s="30"/>
      <c r="T4269" s="30"/>
      <c r="U4269" s="21" t="str">
        <f aca="false">IF(COUNT(K4269:T4269)=0,"SOURCE EMPTY / INDUSTRIAL ONLY",IF(MIN(K4269:T4269)=1,"SERVICE READY","HOLD"))</f>
        <v>SOURCE EMPTY / INDUSTRIAL ONLY</v>
      </c>
      <c r="V4269" s="9" t="n">
        <f aca="false">IF(U4269="SERVICE READY",1,0)</f>
        <v>0</v>
      </c>
      <c r="W4269" s="6"/>
      <c r="X4269" s="6"/>
      <c r="Y4269" s="6"/>
      <c r="Z4269" s="6"/>
    </row>
    <row r="4270" customFormat="false" ht="15" hidden="false" customHeight="false" outlineLevel="0" collapsed="false">
      <c r="A4270" s="9" t="s">
        <v>4558</v>
      </c>
      <c r="B4270" s="9" t="s">
        <v>4483</v>
      </c>
      <c r="C4270" s="9" t="s">
        <v>4484</v>
      </c>
      <c r="D4270" s="9" t="s">
        <v>3722</v>
      </c>
      <c r="E4270" s="9" t="s">
        <v>323</v>
      </c>
      <c r="F4270" s="9" t="s">
        <v>207</v>
      </c>
      <c r="G4270" s="9" t="s">
        <v>221</v>
      </c>
      <c r="H4270" s="9" t="n">
        <v>625</v>
      </c>
      <c r="I4270" s="29" t="n">
        <v>0.4</v>
      </c>
      <c r="J4270" s="9" t="n">
        <v>1</v>
      </c>
      <c r="K4270" s="30"/>
      <c r="L4270" s="30"/>
      <c r="M4270" s="30"/>
      <c r="N4270" s="30"/>
      <c r="O4270" s="30"/>
      <c r="P4270" s="30"/>
      <c r="Q4270" s="30"/>
      <c r="R4270" s="30"/>
      <c r="S4270" s="30"/>
      <c r="T4270" s="30"/>
      <c r="U4270" s="21" t="str">
        <f aca="false">IF(COUNT(K4270:T4270)=0,"SOURCE EMPTY / INDUSTRIAL ONLY",IF(MIN(K4270:T4270)=1,"SERVICE READY","HOLD"))</f>
        <v>SOURCE EMPTY / INDUSTRIAL ONLY</v>
      </c>
      <c r="V4270" s="9" t="n">
        <f aca="false">IF(U4270="SERVICE READY",1,0)</f>
        <v>0</v>
      </c>
      <c r="W4270" s="6"/>
      <c r="X4270" s="6"/>
      <c r="Y4270" s="6"/>
      <c r="Z4270" s="6"/>
    </row>
    <row r="4271" customFormat="false" ht="15" hidden="false" customHeight="false" outlineLevel="0" collapsed="false">
      <c r="A4271" s="9" t="s">
        <v>4559</v>
      </c>
      <c r="B4271" s="9" t="s">
        <v>4483</v>
      </c>
      <c r="C4271" s="9" t="s">
        <v>4484</v>
      </c>
      <c r="D4271" s="9" t="s">
        <v>3722</v>
      </c>
      <c r="E4271" s="9" t="s">
        <v>323</v>
      </c>
      <c r="F4271" s="9" t="s">
        <v>209</v>
      </c>
      <c r="G4271" s="9" t="s">
        <v>221</v>
      </c>
      <c r="H4271" s="9" t="n">
        <v>625</v>
      </c>
      <c r="I4271" s="29" t="n">
        <v>0.4</v>
      </c>
      <c r="J4271" s="9" t="n">
        <v>1</v>
      </c>
      <c r="K4271" s="30"/>
      <c r="L4271" s="30"/>
      <c r="M4271" s="30"/>
      <c r="N4271" s="30"/>
      <c r="O4271" s="30"/>
      <c r="P4271" s="30"/>
      <c r="Q4271" s="30"/>
      <c r="R4271" s="30"/>
      <c r="S4271" s="30"/>
      <c r="T4271" s="30"/>
      <c r="U4271" s="21" t="str">
        <f aca="false">IF(COUNT(K4271:T4271)=0,"SOURCE EMPTY / INDUSTRIAL ONLY",IF(MIN(K4271:T4271)=1,"SERVICE READY","HOLD"))</f>
        <v>SOURCE EMPTY / INDUSTRIAL ONLY</v>
      </c>
      <c r="V4271" s="9" t="n">
        <f aca="false">IF(U4271="SERVICE READY",1,0)</f>
        <v>0</v>
      </c>
      <c r="W4271" s="6"/>
      <c r="X4271" s="6"/>
      <c r="Y4271" s="6"/>
      <c r="Z4271" s="6"/>
    </row>
    <row r="4272" customFormat="false" ht="15" hidden="false" customHeight="false" outlineLevel="0" collapsed="false">
      <c r="A4272" s="9" t="s">
        <v>4560</v>
      </c>
      <c r="B4272" s="9" t="s">
        <v>4483</v>
      </c>
      <c r="C4272" s="9" t="s">
        <v>4484</v>
      </c>
      <c r="D4272" s="9" t="s">
        <v>3722</v>
      </c>
      <c r="E4272" s="9" t="s">
        <v>323</v>
      </c>
      <c r="F4272" s="9" t="s">
        <v>211</v>
      </c>
      <c r="G4272" s="9" t="s">
        <v>221</v>
      </c>
      <c r="H4272" s="9" t="n">
        <v>625</v>
      </c>
      <c r="I4272" s="29" t="n">
        <v>0.4</v>
      </c>
      <c r="J4272" s="9" t="n">
        <v>1</v>
      </c>
      <c r="K4272" s="30"/>
      <c r="L4272" s="30"/>
      <c r="M4272" s="30"/>
      <c r="N4272" s="30"/>
      <c r="O4272" s="30"/>
      <c r="P4272" s="30"/>
      <c r="Q4272" s="30"/>
      <c r="R4272" s="30"/>
      <c r="S4272" s="30"/>
      <c r="T4272" s="30"/>
      <c r="U4272" s="21" t="str">
        <f aca="false">IF(COUNT(K4272:T4272)=0,"SOURCE EMPTY / INDUSTRIAL ONLY",IF(MIN(K4272:T4272)=1,"SERVICE READY","HOLD"))</f>
        <v>SOURCE EMPTY / INDUSTRIAL ONLY</v>
      </c>
      <c r="V4272" s="9" t="n">
        <f aca="false">IF(U4272="SERVICE READY",1,0)</f>
        <v>0</v>
      </c>
      <c r="W4272" s="6"/>
      <c r="X4272" s="6"/>
      <c r="Y4272" s="6"/>
      <c r="Z4272" s="6"/>
    </row>
    <row r="4273" customFormat="false" ht="15" hidden="false" customHeight="false" outlineLevel="0" collapsed="false">
      <c r="A4273" s="9" t="s">
        <v>4561</v>
      </c>
      <c r="B4273" s="9" t="s">
        <v>4483</v>
      </c>
      <c r="C4273" s="9" t="s">
        <v>4484</v>
      </c>
      <c r="D4273" s="9" t="s">
        <v>3722</v>
      </c>
      <c r="E4273" s="9" t="s">
        <v>323</v>
      </c>
      <c r="F4273" s="9" t="s">
        <v>197</v>
      </c>
      <c r="G4273" s="9" t="s">
        <v>221</v>
      </c>
      <c r="H4273" s="9" t="n">
        <v>625</v>
      </c>
      <c r="I4273" s="29" t="n">
        <v>0.4</v>
      </c>
      <c r="J4273" s="9" t="n">
        <v>1</v>
      </c>
      <c r="K4273" s="30"/>
      <c r="L4273" s="30"/>
      <c r="M4273" s="30"/>
      <c r="N4273" s="30"/>
      <c r="O4273" s="30"/>
      <c r="P4273" s="30"/>
      <c r="Q4273" s="30"/>
      <c r="R4273" s="30"/>
      <c r="S4273" s="30"/>
      <c r="T4273" s="30"/>
      <c r="U4273" s="21" t="str">
        <f aca="false">IF(COUNT(K4273:T4273)=0,"SOURCE EMPTY / INDUSTRIAL ONLY",IF(MIN(K4273:T4273)=1,"SERVICE READY","HOLD"))</f>
        <v>SOURCE EMPTY / INDUSTRIAL ONLY</v>
      </c>
      <c r="V4273" s="9" t="n">
        <f aca="false">IF(U4273="SERVICE READY",1,0)</f>
        <v>0</v>
      </c>
      <c r="W4273" s="6"/>
      <c r="X4273" s="6"/>
      <c r="Y4273" s="6"/>
      <c r="Z4273" s="6"/>
    </row>
    <row r="4274" customFormat="false" ht="15" hidden="false" customHeight="false" outlineLevel="0" collapsed="false">
      <c r="A4274" s="9" t="s">
        <v>4562</v>
      </c>
      <c r="B4274" s="9" t="s">
        <v>4483</v>
      </c>
      <c r="C4274" s="9" t="s">
        <v>4484</v>
      </c>
      <c r="D4274" s="9" t="s">
        <v>3722</v>
      </c>
      <c r="E4274" s="9" t="s">
        <v>323</v>
      </c>
      <c r="F4274" s="9" t="s">
        <v>200</v>
      </c>
      <c r="G4274" s="9" t="s">
        <v>221</v>
      </c>
      <c r="H4274" s="9" t="n">
        <v>625</v>
      </c>
      <c r="I4274" s="29" t="n">
        <v>0.4</v>
      </c>
      <c r="J4274" s="9" t="n">
        <v>1</v>
      </c>
      <c r="K4274" s="30"/>
      <c r="L4274" s="30"/>
      <c r="M4274" s="30"/>
      <c r="N4274" s="30"/>
      <c r="O4274" s="30"/>
      <c r="P4274" s="30"/>
      <c r="Q4274" s="30"/>
      <c r="R4274" s="30"/>
      <c r="S4274" s="30"/>
      <c r="T4274" s="30"/>
      <c r="U4274" s="21" t="str">
        <f aca="false">IF(COUNT(K4274:T4274)=0,"SOURCE EMPTY / INDUSTRIAL ONLY",IF(MIN(K4274:T4274)=1,"SERVICE READY","HOLD"))</f>
        <v>SOURCE EMPTY / INDUSTRIAL ONLY</v>
      </c>
      <c r="V4274" s="9" t="n">
        <f aca="false">IF(U4274="SERVICE READY",1,0)</f>
        <v>0</v>
      </c>
      <c r="W4274" s="6"/>
      <c r="X4274" s="6"/>
      <c r="Y4274" s="6"/>
      <c r="Z4274" s="6"/>
    </row>
    <row r="4275" customFormat="false" ht="15" hidden="false" customHeight="false" outlineLevel="0" collapsed="false">
      <c r="A4275" s="9" t="s">
        <v>4563</v>
      </c>
      <c r="B4275" s="9" t="s">
        <v>4483</v>
      </c>
      <c r="C4275" s="9" t="s">
        <v>4484</v>
      </c>
      <c r="D4275" s="9" t="s">
        <v>3722</v>
      </c>
      <c r="E4275" s="9" t="s">
        <v>323</v>
      </c>
      <c r="F4275" s="9" t="s">
        <v>203</v>
      </c>
      <c r="G4275" s="9" t="s">
        <v>221</v>
      </c>
      <c r="H4275" s="9" t="n">
        <v>625</v>
      </c>
      <c r="I4275" s="29" t="n">
        <v>0.4</v>
      </c>
      <c r="J4275" s="9" t="n">
        <v>1</v>
      </c>
      <c r="K4275" s="30"/>
      <c r="L4275" s="30"/>
      <c r="M4275" s="30"/>
      <c r="N4275" s="30"/>
      <c r="O4275" s="30"/>
      <c r="P4275" s="30"/>
      <c r="Q4275" s="30"/>
      <c r="R4275" s="30"/>
      <c r="S4275" s="30"/>
      <c r="T4275" s="30"/>
      <c r="U4275" s="21" t="str">
        <f aca="false">IF(COUNT(K4275:T4275)=0,"SOURCE EMPTY / INDUSTRIAL ONLY",IF(MIN(K4275:T4275)=1,"SERVICE READY","HOLD"))</f>
        <v>SOURCE EMPTY / INDUSTRIAL ONLY</v>
      </c>
      <c r="V4275" s="9" t="n">
        <f aca="false">IF(U4275="SERVICE READY",1,0)</f>
        <v>0</v>
      </c>
      <c r="W4275" s="6"/>
      <c r="X4275" s="6"/>
      <c r="Y4275" s="6"/>
      <c r="Z4275" s="6"/>
    </row>
    <row r="4276" customFormat="false" ht="15" hidden="false" customHeight="false" outlineLevel="0" collapsed="false">
      <c r="A4276" s="9" t="s">
        <v>4564</v>
      </c>
      <c r="B4276" s="9" t="s">
        <v>4483</v>
      </c>
      <c r="C4276" s="9" t="s">
        <v>4484</v>
      </c>
      <c r="D4276" s="9" t="s">
        <v>3722</v>
      </c>
      <c r="E4276" s="9" t="s">
        <v>323</v>
      </c>
      <c r="F4276" s="9" t="s">
        <v>205</v>
      </c>
      <c r="G4276" s="9" t="s">
        <v>221</v>
      </c>
      <c r="H4276" s="9" t="n">
        <v>625</v>
      </c>
      <c r="I4276" s="29" t="n">
        <v>0.4</v>
      </c>
      <c r="J4276" s="9" t="n">
        <v>1</v>
      </c>
      <c r="K4276" s="30"/>
      <c r="L4276" s="30"/>
      <c r="M4276" s="30"/>
      <c r="N4276" s="30"/>
      <c r="O4276" s="30"/>
      <c r="P4276" s="30"/>
      <c r="Q4276" s="30"/>
      <c r="R4276" s="30"/>
      <c r="S4276" s="30"/>
      <c r="T4276" s="30"/>
      <c r="U4276" s="21" t="str">
        <f aca="false">IF(COUNT(K4276:T4276)=0,"SOURCE EMPTY / INDUSTRIAL ONLY",IF(MIN(K4276:T4276)=1,"SERVICE READY","HOLD"))</f>
        <v>SOURCE EMPTY / INDUSTRIAL ONLY</v>
      </c>
      <c r="V4276" s="9" t="n">
        <f aca="false">IF(U4276="SERVICE READY",1,0)</f>
        <v>0</v>
      </c>
      <c r="W4276" s="6"/>
      <c r="X4276" s="6"/>
      <c r="Y4276" s="6"/>
      <c r="Z4276" s="6"/>
    </row>
    <row r="4277" customFormat="false" ht="15" hidden="false" customHeight="false" outlineLevel="0" collapsed="false">
      <c r="A4277" s="9" t="s">
        <v>4565</v>
      </c>
      <c r="B4277" s="9" t="s">
        <v>4483</v>
      </c>
      <c r="C4277" s="9" t="s">
        <v>4484</v>
      </c>
      <c r="D4277" s="9" t="s">
        <v>3722</v>
      </c>
      <c r="E4277" s="9" t="s">
        <v>323</v>
      </c>
      <c r="F4277" s="9" t="s">
        <v>207</v>
      </c>
      <c r="G4277" s="9" t="s">
        <v>221</v>
      </c>
      <c r="H4277" s="9" t="n">
        <v>625</v>
      </c>
      <c r="I4277" s="29" t="n">
        <v>0.4</v>
      </c>
      <c r="J4277" s="9" t="n">
        <v>1</v>
      </c>
      <c r="K4277" s="30"/>
      <c r="L4277" s="30"/>
      <c r="M4277" s="30"/>
      <c r="N4277" s="30"/>
      <c r="O4277" s="30"/>
      <c r="P4277" s="30"/>
      <c r="Q4277" s="30"/>
      <c r="R4277" s="30"/>
      <c r="S4277" s="30"/>
      <c r="T4277" s="30"/>
      <c r="U4277" s="21" t="str">
        <f aca="false">IF(COUNT(K4277:T4277)=0,"SOURCE EMPTY / INDUSTRIAL ONLY",IF(MIN(K4277:T4277)=1,"SERVICE READY","HOLD"))</f>
        <v>SOURCE EMPTY / INDUSTRIAL ONLY</v>
      </c>
      <c r="V4277" s="9" t="n">
        <f aca="false">IF(U4277="SERVICE READY",1,0)</f>
        <v>0</v>
      </c>
      <c r="W4277" s="6"/>
      <c r="X4277" s="6"/>
      <c r="Y4277" s="6"/>
      <c r="Z4277" s="6"/>
    </row>
    <row r="4278" customFormat="false" ht="15" hidden="false" customHeight="false" outlineLevel="0" collapsed="false">
      <c r="A4278" s="9" t="s">
        <v>4566</v>
      </c>
      <c r="B4278" s="9" t="s">
        <v>4483</v>
      </c>
      <c r="C4278" s="9" t="s">
        <v>4484</v>
      </c>
      <c r="D4278" s="9" t="s">
        <v>3722</v>
      </c>
      <c r="E4278" s="9" t="s">
        <v>323</v>
      </c>
      <c r="F4278" s="9" t="s">
        <v>209</v>
      </c>
      <c r="G4278" s="9" t="s">
        <v>221</v>
      </c>
      <c r="H4278" s="9" t="n">
        <v>625</v>
      </c>
      <c r="I4278" s="29" t="n">
        <v>0.4</v>
      </c>
      <c r="J4278" s="9" t="n">
        <v>1</v>
      </c>
      <c r="K4278" s="30"/>
      <c r="L4278" s="30"/>
      <c r="M4278" s="30"/>
      <c r="N4278" s="30"/>
      <c r="O4278" s="30"/>
      <c r="P4278" s="30"/>
      <c r="Q4278" s="30"/>
      <c r="R4278" s="30"/>
      <c r="S4278" s="30"/>
      <c r="T4278" s="30"/>
      <c r="U4278" s="21" t="str">
        <f aca="false">IF(COUNT(K4278:T4278)=0,"SOURCE EMPTY / INDUSTRIAL ONLY",IF(MIN(K4278:T4278)=1,"SERVICE READY","HOLD"))</f>
        <v>SOURCE EMPTY / INDUSTRIAL ONLY</v>
      </c>
      <c r="V4278" s="9" t="n">
        <f aca="false">IF(U4278="SERVICE READY",1,0)</f>
        <v>0</v>
      </c>
      <c r="W4278" s="6"/>
      <c r="X4278" s="6"/>
      <c r="Y4278" s="6"/>
      <c r="Z4278" s="6"/>
    </row>
    <row r="4279" customFormat="false" ht="15" hidden="false" customHeight="false" outlineLevel="0" collapsed="false">
      <c r="A4279" s="9" t="s">
        <v>4567</v>
      </c>
      <c r="B4279" s="9" t="s">
        <v>4483</v>
      </c>
      <c r="C4279" s="9" t="s">
        <v>4484</v>
      </c>
      <c r="D4279" s="9" t="s">
        <v>3722</v>
      </c>
      <c r="E4279" s="9" t="s">
        <v>323</v>
      </c>
      <c r="F4279" s="9" t="s">
        <v>211</v>
      </c>
      <c r="G4279" s="9" t="s">
        <v>221</v>
      </c>
      <c r="H4279" s="9" t="n">
        <v>625</v>
      </c>
      <c r="I4279" s="29" t="n">
        <v>0.4</v>
      </c>
      <c r="J4279" s="9" t="n">
        <v>1</v>
      </c>
      <c r="K4279" s="30"/>
      <c r="L4279" s="30"/>
      <c r="M4279" s="30"/>
      <c r="N4279" s="30"/>
      <c r="O4279" s="30"/>
      <c r="P4279" s="30"/>
      <c r="Q4279" s="30"/>
      <c r="R4279" s="30"/>
      <c r="S4279" s="30"/>
      <c r="T4279" s="30"/>
      <c r="U4279" s="21" t="str">
        <f aca="false">IF(COUNT(K4279:T4279)=0,"SOURCE EMPTY / INDUSTRIAL ONLY",IF(MIN(K4279:T4279)=1,"SERVICE READY","HOLD"))</f>
        <v>SOURCE EMPTY / INDUSTRIAL ONLY</v>
      </c>
      <c r="V4279" s="9" t="n">
        <f aca="false">IF(U4279="SERVICE READY",1,0)</f>
        <v>0</v>
      </c>
      <c r="W4279" s="6"/>
      <c r="X4279" s="6"/>
      <c r="Y4279" s="6"/>
      <c r="Z4279" s="6"/>
    </row>
    <row r="4280" customFormat="false" ht="15" hidden="false" customHeight="false" outlineLevel="0" collapsed="false">
      <c r="A4280" s="9" t="s">
        <v>4568</v>
      </c>
      <c r="B4280" s="9" t="s">
        <v>4483</v>
      </c>
      <c r="C4280" s="9" t="s">
        <v>4484</v>
      </c>
      <c r="D4280" s="9" t="s">
        <v>3722</v>
      </c>
      <c r="E4280" s="9" t="s">
        <v>323</v>
      </c>
      <c r="F4280" s="9" t="s">
        <v>197</v>
      </c>
      <c r="G4280" s="9" t="s">
        <v>221</v>
      </c>
      <c r="H4280" s="9" t="n">
        <v>625</v>
      </c>
      <c r="I4280" s="29" t="n">
        <v>0.4</v>
      </c>
      <c r="J4280" s="9" t="n">
        <v>1</v>
      </c>
      <c r="K4280" s="30"/>
      <c r="L4280" s="30"/>
      <c r="M4280" s="30"/>
      <c r="N4280" s="30"/>
      <c r="O4280" s="30"/>
      <c r="P4280" s="30"/>
      <c r="Q4280" s="30"/>
      <c r="R4280" s="30"/>
      <c r="S4280" s="30"/>
      <c r="T4280" s="30"/>
      <c r="U4280" s="21" t="str">
        <f aca="false">IF(COUNT(K4280:T4280)=0,"SOURCE EMPTY / INDUSTRIAL ONLY",IF(MIN(K4280:T4280)=1,"SERVICE READY","HOLD"))</f>
        <v>SOURCE EMPTY / INDUSTRIAL ONLY</v>
      </c>
      <c r="V4280" s="9" t="n">
        <f aca="false">IF(U4280="SERVICE READY",1,0)</f>
        <v>0</v>
      </c>
      <c r="W4280" s="6"/>
      <c r="X4280" s="6"/>
      <c r="Y4280" s="6"/>
      <c r="Z4280" s="6"/>
    </row>
    <row r="4281" customFormat="false" ht="15" hidden="false" customHeight="false" outlineLevel="0" collapsed="false">
      <c r="A4281" s="9" t="s">
        <v>4569</v>
      </c>
      <c r="B4281" s="9" t="s">
        <v>4483</v>
      </c>
      <c r="C4281" s="9" t="s">
        <v>4484</v>
      </c>
      <c r="D4281" s="9" t="s">
        <v>3722</v>
      </c>
      <c r="E4281" s="9" t="s">
        <v>323</v>
      </c>
      <c r="F4281" s="9" t="s">
        <v>200</v>
      </c>
      <c r="G4281" s="9" t="s">
        <v>221</v>
      </c>
      <c r="H4281" s="9" t="n">
        <v>625</v>
      </c>
      <c r="I4281" s="29" t="n">
        <v>0.4</v>
      </c>
      <c r="J4281" s="9" t="n">
        <v>1</v>
      </c>
      <c r="K4281" s="30"/>
      <c r="L4281" s="30"/>
      <c r="M4281" s="30"/>
      <c r="N4281" s="30"/>
      <c r="O4281" s="30"/>
      <c r="P4281" s="30"/>
      <c r="Q4281" s="30"/>
      <c r="R4281" s="30"/>
      <c r="S4281" s="30"/>
      <c r="T4281" s="30"/>
      <c r="U4281" s="21" t="str">
        <f aca="false">IF(COUNT(K4281:T4281)=0,"SOURCE EMPTY / INDUSTRIAL ONLY",IF(MIN(K4281:T4281)=1,"SERVICE READY","HOLD"))</f>
        <v>SOURCE EMPTY / INDUSTRIAL ONLY</v>
      </c>
      <c r="V4281" s="9" t="n">
        <f aca="false">IF(U4281="SERVICE READY",1,0)</f>
        <v>0</v>
      </c>
      <c r="W4281" s="6"/>
      <c r="X4281" s="6"/>
      <c r="Y4281" s="6"/>
      <c r="Z4281" s="6"/>
    </row>
    <row r="4282" customFormat="false" ht="15" hidden="false" customHeight="false" outlineLevel="0" collapsed="false">
      <c r="A4282" s="9" t="s">
        <v>4570</v>
      </c>
      <c r="B4282" s="9" t="s">
        <v>4483</v>
      </c>
      <c r="C4282" s="9" t="s">
        <v>4484</v>
      </c>
      <c r="D4282" s="9" t="s">
        <v>3722</v>
      </c>
      <c r="E4282" s="9" t="s">
        <v>323</v>
      </c>
      <c r="F4282" s="9" t="s">
        <v>203</v>
      </c>
      <c r="G4282" s="9" t="s">
        <v>221</v>
      </c>
      <c r="H4282" s="9" t="n">
        <v>625</v>
      </c>
      <c r="I4282" s="29" t="n">
        <v>0.4</v>
      </c>
      <c r="J4282" s="9" t="n">
        <v>1</v>
      </c>
      <c r="K4282" s="30"/>
      <c r="L4282" s="30"/>
      <c r="M4282" s="30"/>
      <c r="N4282" s="30"/>
      <c r="O4282" s="30"/>
      <c r="P4282" s="30"/>
      <c r="Q4282" s="30"/>
      <c r="R4282" s="30"/>
      <c r="S4282" s="30"/>
      <c r="T4282" s="30"/>
      <c r="U4282" s="21" t="str">
        <f aca="false">IF(COUNT(K4282:T4282)=0,"SOURCE EMPTY / INDUSTRIAL ONLY",IF(MIN(K4282:T4282)=1,"SERVICE READY","HOLD"))</f>
        <v>SOURCE EMPTY / INDUSTRIAL ONLY</v>
      </c>
      <c r="V4282" s="9" t="n">
        <f aca="false">IF(U4282="SERVICE READY",1,0)</f>
        <v>0</v>
      </c>
      <c r="W4282" s="6"/>
      <c r="X4282" s="6"/>
      <c r="Y4282" s="6"/>
      <c r="Z4282" s="6"/>
    </row>
    <row r="4283" customFormat="false" ht="15" hidden="false" customHeight="false" outlineLevel="0" collapsed="false">
      <c r="A4283" s="9" t="s">
        <v>4571</v>
      </c>
      <c r="B4283" s="9" t="s">
        <v>4483</v>
      </c>
      <c r="C4283" s="9" t="s">
        <v>4484</v>
      </c>
      <c r="D4283" s="9" t="s">
        <v>3722</v>
      </c>
      <c r="E4283" s="9" t="s">
        <v>323</v>
      </c>
      <c r="F4283" s="9" t="s">
        <v>205</v>
      </c>
      <c r="G4283" s="9" t="s">
        <v>221</v>
      </c>
      <c r="H4283" s="9" t="n">
        <v>625</v>
      </c>
      <c r="I4283" s="29" t="n">
        <v>0.4</v>
      </c>
      <c r="J4283" s="9" t="n">
        <v>1</v>
      </c>
      <c r="K4283" s="30"/>
      <c r="L4283" s="30"/>
      <c r="M4283" s="30"/>
      <c r="N4283" s="30"/>
      <c r="O4283" s="30"/>
      <c r="P4283" s="30"/>
      <c r="Q4283" s="30"/>
      <c r="R4283" s="30"/>
      <c r="S4283" s="30"/>
      <c r="T4283" s="30"/>
      <c r="U4283" s="21" t="str">
        <f aca="false">IF(COUNT(K4283:T4283)=0,"SOURCE EMPTY / INDUSTRIAL ONLY",IF(MIN(K4283:T4283)=1,"SERVICE READY","HOLD"))</f>
        <v>SOURCE EMPTY / INDUSTRIAL ONLY</v>
      </c>
      <c r="V4283" s="9" t="n">
        <f aca="false">IF(U4283="SERVICE READY",1,0)</f>
        <v>0</v>
      </c>
      <c r="W4283" s="6"/>
      <c r="X4283" s="6"/>
      <c r="Y4283" s="6"/>
      <c r="Z4283" s="6"/>
    </row>
    <row r="4284" customFormat="false" ht="15" hidden="false" customHeight="false" outlineLevel="0" collapsed="false">
      <c r="A4284" s="9" t="s">
        <v>4572</v>
      </c>
      <c r="B4284" s="9" t="s">
        <v>4483</v>
      </c>
      <c r="C4284" s="9" t="s">
        <v>4484</v>
      </c>
      <c r="D4284" s="9" t="s">
        <v>3722</v>
      </c>
      <c r="E4284" s="9" t="s">
        <v>323</v>
      </c>
      <c r="F4284" s="9" t="s">
        <v>207</v>
      </c>
      <c r="G4284" s="9" t="s">
        <v>221</v>
      </c>
      <c r="H4284" s="9" t="n">
        <v>625</v>
      </c>
      <c r="I4284" s="29" t="n">
        <v>0.4</v>
      </c>
      <c r="J4284" s="9" t="n">
        <v>1</v>
      </c>
      <c r="K4284" s="30"/>
      <c r="L4284" s="30"/>
      <c r="M4284" s="30"/>
      <c r="N4284" s="30"/>
      <c r="O4284" s="30"/>
      <c r="P4284" s="30"/>
      <c r="Q4284" s="30"/>
      <c r="R4284" s="30"/>
      <c r="S4284" s="30"/>
      <c r="T4284" s="30"/>
      <c r="U4284" s="21" t="str">
        <f aca="false">IF(COUNT(K4284:T4284)=0,"SOURCE EMPTY / INDUSTRIAL ONLY",IF(MIN(K4284:T4284)=1,"SERVICE READY","HOLD"))</f>
        <v>SOURCE EMPTY / INDUSTRIAL ONLY</v>
      </c>
      <c r="V4284" s="9" t="n">
        <f aca="false">IF(U4284="SERVICE READY",1,0)</f>
        <v>0</v>
      </c>
      <c r="W4284" s="6"/>
      <c r="X4284" s="6"/>
      <c r="Y4284" s="6"/>
      <c r="Z4284" s="6"/>
    </row>
    <row r="4285" customFormat="false" ht="15" hidden="false" customHeight="false" outlineLevel="0" collapsed="false">
      <c r="A4285" s="9" t="s">
        <v>4573</v>
      </c>
      <c r="B4285" s="9" t="s">
        <v>4483</v>
      </c>
      <c r="C4285" s="9" t="s">
        <v>4484</v>
      </c>
      <c r="D4285" s="9" t="s">
        <v>3722</v>
      </c>
      <c r="E4285" s="9" t="s">
        <v>323</v>
      </c>
      <c r="F4285" s="9" t="s">
        <v>209</v>
      </c>
      <c r="G4285" s="9" t="s">
        <v>221</v>
      </c>
      <c r="H4285" s="9" t="n">
        <v>625</v>
      </c>
      <c r="I4285" s="29" t="n">
        <v>0.4</v>
      </c>
      <c r="J4285" s="9" t="n">
        <v>1</v>
      </c>
      <c r="K4285" s="30"/>
      <c r="L4285" s="30"/>
      <c r="M4285" s="30"/>
      <c r="N4285" s="30"/>
      <c r="O4285" s="30"/>
      <c r="P4285" s="30"/>
      <c r="Q4285" s="30"/>
      <c r="R4285" s="30"/>
      <c r="S4285" s="30"/>
      <c r="T4285" s="30"/>
      <c r="U4285" s="21" t="str">
        <f aca="false">IF(COUNT(K4285:T4285)=0,"SOURCE EMPTY / INDUSTRIAL ONLY",IF(MIN(K4285:T4285)=1,"SERVICE READY","HOLD"))</f>
        <v>SOURCE EMPTY / INDUSTRIAL ONLY</v>
      </c>
      <c r="V4285" s="9" t="n">
        <f aca="false">IF(U4285="SERVICE READY",1,0)</f>
        <v>0</v>
      </c>
      <c r="W4285" s="6"/>
      <c r="X4285" s="6"/>
      <c r="Y4285" s="6"/>
      <c r="Z4285" s="6"/>
    </row>
    <row r="4286" customFormat="false" ht="15" hidden="false" customHeight="false" outlineLevel="0" collapsed="false">
      <c r="A4286" s="9" t="s">
        <v>4574</v>
      </c>
      <c r="B4286" s="9" t="s">
        <v>4483</v>
      </c>
      <c r="C4286" s="9" t="s">
        <v>4484</v>
      </c>
      <c r="D4286" s="9" t="s">
        <v>3722</v>
      </c>
      <c r="E4286" s="9" t="s">
        <v>323</v>
      </c>
      <c r="F4286" s="9" t="s">
        <v>211</v>
      </c>
      <c r="G4286" s="9" t="s">
        <v>221</v>
      </c>
      <c r="H4286" s="9" t="n">
        <v>625</v>
      </c>
      <c r="I4286" s="29" t="n">
        <v>0.4</v>
      </c>
      <c r="J4286" s="9" t="n">
        <v>1</v>
      </c>
      <c r="K4286" s="30"/>
      <c r="L4286" s="30"/>
      <c r="M4286" s="30"/>
      <c r="N4286" s="30"/>
      <c r="O4286" s="30"/>
      <c r="P4286" s="30"/>
      <c r="Q4286" s="30"/>
      <c r="R4286" s="30"/>
      <c r="S4286" s="30"/>
      <c r="T4286" s="30"/>
      <c r="U4286" s="21" t="str">
        <f aca="false">IF(COUNT(K4286:T4286)=0,"SOURCE EMPTY / INDUSTRIAL ONLY",IF(MIN(K4286:T4286)=1,"SERVICE READY","HOLD"))</f>
        <v>SOURCE EMPTY / INDUSTRIAL ONLY</v>
      </c>
      <c r="V4286" s="9" t="n">
        <f aca="false">IF(U4286="SERVICE READY",1,0)</f>
        <v>0</v>
      </c>
      <c r="W4286" s="6"/>
      <c r="X4286" s="6"/>
      <c r="Y4286" s="6"/>
      <c r="Z4286" s="6"/>
    </row>
    <row r="4287" customFormat="false" ht="15" hidden="false" customHeight="false" outlineLevel="0" collapsed="false">
      <c r="A4287" s="9" t="s">
        <v>4575</v>
      </c>
      <c r="B4287" s="9" t="s">
        <v>4483</v>
      </c>
      <c r="C4287" s="9" t="s">
        <v>4484</v>
      </c>
      <c r="D4287" s="9" t="s">
        <v>3722</v>
      </c>
      <c r="E4287" s="9" t="s">
        <v>323</v>
      </c>
      <c r="F4287" s="9" t="s">
        <v>197</v>
      </c>
      <c r="G4287" s="9" t="s">
        <v>221</v>
      </c>
      <c r="H4287" s="9" t="n">
        <v>625</v>
      </c>
      <c r="I4287" s="29" t="n">
        <v>0.4</v>
      </c>
      <c r="J4287" s="9" t="n">
        <v>1</v>
      </c>
      <c r="K4287" s="30"/>
      <c r="L4287" s="30"/>
      <c r="M4287" s="30"/>
      <c r="N4287" s="30"/>
      <c r="O4287" s="30"/>
      <c r="P4287" s="30"/>
      <c r="Q4287" s="30"/>
      <c r="R4287" s="30"/>
      <c r="S4287" s="30"/>
      <c r="T4287" s="30"/>
      <c r="U4287" s="21" t="str">
        <f aca="false">IF(COUNT(K4287:T4287)=0,"SOURCE EMPTY / INDUSTRIAL ONLY",IF(MIN(K4287:T4287)=1,"SERVICE READY","HOLD"))</f>
        <v>SOURCE EMPTY / INDUSTRIAL ONLY</v>
      </c>
      <c r="V4287" s="9" t="n">
        <f aca="false">IF(U4287="SERVICE READY",1,0)</f>
        <v>0</v>
      </c>
      <c r="W4287" s="6"/>
      <c r="X4287" s="6"/>
      <c r="Y4287" s="6"/>
      <c r="Z4287" s="6"/>
    </row>
    <row r="4288" customFormat="false" ht="15" hidden="false" customHeight="false" outlineLevel="0" collapsed="false">
      <c r="A4288" s="9" t="s">
        <v>4576</v>
      </c>
      <c r="B4288" s="9" t="s">
        <v>4483</v>
      </c>
      <c r="C4288" s="9" t="s">
        <v>4484</v>
      </c>
      <c r="D4288" s="9" t="s">
        <v>3722</v>
      </c>
      <c r="E4288" s="9" t="s">
        <v>323</v>
      </c>
      <c r="F4288" s="9" t="s">
        <v>200</v>
      </c>
      <c r="G4288" s="9" t="s">
        <v>221</v>
      </c>
      <c r="H4288" s="9" t="n">
        <v>625</v>
      </c>
      <c r="I4288" s="29" t="n">
        <v>0.4</v>
      </c>
      <c r="J4288" s="9" t="n">
        <v>1</v>
      </c>
      <c r="K4288" s="30"/>
      <c r="L4288" s="30"/>
      <c r="M4288" s="30"/>
      <c r="N4288" s="30"/>
      <c r="O4288" s="30"/>
      <c r="P4288" s="30"/>
      <c r="Q4288" s="30"/>
      <c r="R4288" s="30"/>
      <c r="S4288" s="30"/>
      <c r="T4288" s="30"/>
      <c r="U4288" s="21" t="str">
        <f aca="false">IF(COUNT(K4288:T4288)=0,"SOURCE EMPTY / INDUSTRIAL ONLY",IF(MIN(K4288:T4288)=1,"SERVICE READY","HOLD"))</f>
        <v>SOURCE EMPTY / INDUSTRIAL ONLY</v>
      </c>
      <c r="V4288" s="9" t="n">
        <f aca="false">IF(U4288="SERVICE READY",1,0)</f>
        <v>0</v>
      </c>
      <c r="W4288" s="6"/>
      <c r="X4288" s="6"/>
      <c r="Y4288" s="6"/>
      <c r="Z4288" s="6"/>
    </row>
    <row r="4289" customFormat="false" ht="15" hidden="false" customHeight="false" outlineLevel="0" collapsed="false">
      <c r="A4289" s="9" t="s">
        <v>4577</v>
      </c>
      <c r="B4289" s="9" t="s">
        <v>4483</v>
      </c>
      <c r="C4289" s="9" t="s">
        <v>4484</v>
      </c>
      <c r="D4289" s="9" t="s">
        <v>3722</v>
      </c>
      <c r="E4289" s="9" t="s">
        <v>323</v>
      </c>
      <c r="F4289" s="9" t="s">
        <v>203</v>
      </c>
      <c r="G4289" s="9" t="s">
        <v>221</v>
      </c>
      <c r="H4289" s="9" t="n">
        <v>625</v>
      </c>
      <c r="I4289" s="29" t="n">
        <v>0.4</v>
      </c>
      <c r="J4289" s="9" t="n">
        <v>1</v>
      </c>
      <c r="K4289" s="30"/>
      <c r="L4289" s="30"/>
      <c r="M4289" s="30"/>
      <c r="N4289" s="30"/>
      <c r="O4289" s="30"/>
      <c r="P4289" s="30"/>
      <c r="Q4289" s="30"/>
      <c r="R4289" s="30"/>
      <c r="S4289" s="30"/>
      <c r="T4289" s="30"/>
      <c r="U4289" s="21" t="str">
        <f aca="false">IF(COUNT(K4289:T4289)=0,"SOURCE EMPTY / INDUSTRIAL ONLY",IF(MIN(K4289:T4289)=1,"SERVICE READY","HOLD"))</f>
        <v>SOURCE EMPTY / INDUSTRIAL ONLY</v>
      </c>
      <c r="V4289" s="9" t="n">
        <f aca="false">IF(U4289="SERVICE READY",1,0)</f>
        <v>0</v>
      </c>
      <c r="W4289" s="6"/>
      <c r="X4289" s="6"/>
      <c r="Y4289" s="6"/>
      <c r="Z4289" s="6"/>
    </row>
    <row r="4290" customFormat="false" ht="15" hidden="false" customHeight="false" outlineLevel="0" collapsed="false">
      <c r="A4290" s="9" t="s">
        <v>4578</v>
      </c>
      <c r="B4290" s="9" t="s">
        <v>4483</v>
      </c>
      <c r="C4290" s="9" t="s">
        <v>4484</v>
      </c>
      <c r="D4290" s="9" t="s">
        <v>3722</v>
      </c>
      <c r="E4290" s="9" t="s">
        <v>323</v>
      </c>
      <c r="F4290" s="9" t="s">
        <v>205</v>
      </c>
      <c r="G4290" s="9" t="s">
        <v>221</v>
      </c>
      <c r="H4290" s="9" t="n">
        <v>625</v>
      </c>
      <c r="I4290" s="29" t="n">
        <v>0.4</v>
      </c>
      <c r="J4290" s="9" t="n">
        <v>1</v>
      </c>
      <c r="K4290" s="30"/>
      <c r="L4290" s="30"/>
      <c r="M4290" s="30"/>
      <c r="N4290" s="30"/>
      <c r="O4290" s="30"/>
      <c r="P4290" s="30"/>
      <c r="Q4290" s="30"/>
      <c r="R4290" s="30"/>
      <c r="S4290" s="30"/>
      <c r="T4290" s="30"/>
      <c r="U4290" s="21" t="str">
        <f aca="false">IF(COUNT(K4290:T4290)=0,"SOURCE EMPTY / INDUSTRIAL ONLY",IF(MIN(K4290:T4290)=1,"SERVICE READY","HOLD"))</f>
        <v>SOURCE EMPTY / INDUSTRIAL ONLY</v>
      </c>
      <c r="V4290" s="9" t="n">
        <f aca="false">IF(U4290="SERVICE READY",1,0)</f>
        <v>0</v>
      </c>
      <c r="W4290" s="6"/>
      <c r="X4290" s="6"/>
      <c r="Y4290" s="6"/>
      <c r="Z4290" s="6"/>
    </row>
    <row r="4291" customFormat="false" ht="15" hidden="false" customHeight="false" outlineLevel="0" collapsed="false">
      <c r="A4291" s="9" t="s">
        <v>4579</v>
      </c>
      <c r="B4291" s="9" t="s">
        <v>4483</v>
      </c>
      <c r="C4291" s="9" t="s">
        <v>4484</v>
      </c>
      <c r="D4291" s="9" t="s">
        <v>3722</v>
      </c>
      <c r="E4291" s="9" t="s">
        <v>323</v>
      </c>
      <c r="F4291" s="9" t="s">
        <v>207</v>
      </c>
      <c r="G4291" s="9" t="s">
        <v>221</v>
      </c>
      <c r="H4291" s="9" t="n">
        <v>625</v>
      </c>
      <c r="I4291" s="29" t="n">
        <v>0.4</v>
      </c>
      <c r="J4291" s="9" t="n">
        <v>1</v>
      </c>
      <c r="K4291" s="30"/>
      <c r="L4291" s="30"/>
      <c r="M4291" s="30"/>
      <c r="N4291" s="30"/>
      <c r="O4291" s="30"/>
      <c r="P4291" s="30"/>
      <c r="Q4291" s="30"/>
      <c r="R4291" s="30"/>
      <c r="S4291" s="30"/>
      <c r="T4291" s="30"/>
      <c r="U4291" s="21" t="str">
        <f aca="false">IF(COUNT(K4291:T4291)=0,"SOURCE EMPTY / INDUSTRIAL ONLY",IF(MIN(K4291:T4291)=1,"SERVICE READY","HOLD"))</f>
        <v>SOURCE EMPTY / INDUSTRIAL ONLY</v>
      </c>
      <c r="V4291" s="9" t="n">
        <f aca="false">IF(U4291="SERVICE READY",1,0)</f>
        <v>0</v>
      </c>
      <c r="W4291" s="6"/>
      <c r="X4291" s="6"/>
      <c r="Y4291" s="6"/>
      <c r="Z4291" s="6"/>
    </row>
    <row r="4292" customFormat="false" ht="15" hidden="false" customHeight="false" outlineLevel="0" collapsed="false">
      <c r="A4292" s="9" t="s">
        <v>4580</v>
      </c>
      <c r="B4292" s="9" t="s">
        <v>4483</v>
      </c>
      <c r="C4292" s="9" t="s">
        <v>4484</v>
      </c>
      <c r="D4292" s="9" t="s">
        <v>3722</v>
      </c>
      <c r="E4292" s="9" t="s">
        <v>323</v>
      </c>
      <c r="F4292" s="9" t="s">
        <v>209</v>
      </c>
      <c r="G4292" s="9" t="s">
        <v>221</v>
      </c>
      <c r="H4292" s="9" t="n">
        <v>625</v>
      </c>
      <c r="I4292" s="29" t="n">
        <v>0.4</v>
      </c>
      <c r="J4292" s="9" t="n">
        <v>1</v>
      </c>
      <c r="K4292" s="30"/>
      <c r="L4292" s="30"/>
      <c r="M4292" s="30"/>
      <c r="N4292" s="30"/>
      <c r="O4292" s="30"/>
      <c r="P4292" s="30"/>
      <c r="Q4292" s="30"/>
      <c r="R4292" s="30"/>
      <c r="S4292" s="30"/>
      <c r="T4292" s="30"/>
      <c r="U4292" s="21" t="str">
        <f aca="false">IF(COUNT(K4292:T4292)=0,"SOURCE EMPTY / INDUSTRIAL ONLY",IF(MIN(K4292:T4292)=1,"SERVICE READY","HOLD"))</f>
        <v>SOURCE EMPTY / INDUSTRIAL ONLY</v>
      </c>
      <c r="V4292" s="9" t="n">
        <f aca="false">IF(U4292="SERVICE READY",1,0)</f>
        <v>0</v>
      </c>
      <c r="W4292" s="6"/>
      <c r="X4292" s="6"/>
      <c r="Y4292" s="6"/>
      <c r="Z4292" s="6"/>
    </row>
    <row r="4293" customFormat="false" ht="15" hidden="false" customHeight="false" outlineLevel="0" collapsed="false">
      <c r="A4293" s="9" t="s">
        <v>4581</v>
      </c>
      <c r="B4293" s="9" t="s">
        <v>4483</v>
      </c>
      <c r="C4293" s="9" t="s">
        <v>4484</v>
      </c>
      <c r="D4293" s="9" t="s">
        <v>3722</v>
      </c>
      <c r="E4293" s="9" t="s">
        <v>323</v>
      </c>
      <c r="F4293" s="9" t="s">
        <v>211</v>
      </c>
      <c r="G4293" s="9" t="s">
        <v>221</v>
      </c>
      <c r="H4293" s="9" t="n">
        <v>625</v>
      </c>
      <c r="I4293" s="29" t="n">
        <v>0.4</v>
      </c>
      <c r="J4293" s="9" t="n">
        <v>1</v>
      </c>
      <c r="K4293" s="30"/>
      <c r="L4293" s="30"/>
      <c r="M4293" s="30"/>
      <c r="N4293" s="30"/>
      <c r="O4293" s="30"/>
      <c r="P4293" s="30"/>
      <c r="Q4293" s="30"/>
      <c r="R4293" s="30"/>
      <c r="S4293" s="30"/>
      <c r="T4293" s="30"/>
      <c r="U4293" s="21" t="str">
        <f aca="false">IF(COUNT(K4293:T4293)=0,"SOURCE EMPTY / INDUSTRIAL ONLY",IF(MIN(K4293:T4293)=1,"SERVICE READY","HOLD"))</f>
        <v>SOURCE EMPTY / INDUSTRIAL ONLY</v>
      </c>
      <c r="V4293" s="9" t="n">
        <f aca="false">IF(U4293="SERVICE READY",1,0)</f>
        <v>0</v>
      </c>
      <c r="W4293" s="6"/>
      <c r="X4293" s="6"/>
      <c r="Y4293" s="6"/>
      <c r="Z4293" s="6"/>
    </row>
    <row r="4294" customFormat="false" ht="15" hidden="false" customHeight="false" outlineLevel="0" collapsed="false">
      <c r="A4294" s="9" t="s">
        <v>4582</v>
      </c>
      <c r="B4294" s="9" t="s">
        <v>4483</v>
      </c>
      <c r="C4294" s="9" t="s">
        <v>4484</v>
      </c>
      <c r="D4294" s="9" t="s">
        <v>3722</v>
      </c>
      <c r="E4294" s="9" t="s">
        <v>323</v>
      </c>
      <c r="F4294" s="9" t="s">
        <v>197</v>
      </c>
      <c r="G4294" s="9" t="s">
        <v>221</v>
      </c>
      <c r="H4294" s="9" t="n">
        <v>625</v>
      </c>
      <c r="I4294" s="29" t="n">
        <v>0.4</v>
      </c>
      <c r="J4294" s="9" t="n">
        <v>1</v>
      </c>
      <c r="K4294" s="30"/>
      <c r="L4294" s="30"/>
      <c r="M4294" s="30"/>
      <c r="N4294" s="30"/>
      <c r="O4294" s="30"/>
      <c r="P4294" s="30"/>
      <c r="Q4294" s="30"/>
      <c r="R4294" s="30"/>
      <c r="S4294" s="30"/>
      <c r="T4294" s="30"/>
      <c r="U4294" s="21" t="str">
        <f aca="false">IF(COUNT(K4294:T4294)=0,"SOURCE EMPTY / INDUSTRIAL ONLY",IF(MIN(K4294:T4294)=1,"SERVICE READY","HOLD"))</f>
        <v>SOURCE EMPTY / INDUSTRIAL ONLY</v>
      </c>
      <c r="V4294" s="9" t="n">
        <f aca="false">IF(U4294="SERVICE READY",1,0)</f>
        <v>0</v>
      </c>
      <c r="W4294" s="6"/>
      <c r="X4294" s="6"/>
      <c r="Y4294" s="6"/>
      <c r="Z4294" s="6"/>
    </row>
    <row r="4295" customFormat="false" ht="15" hidden="false" customHeight="false" outlineLevel="0" collapsed="false">
      <c r="A4295" s="9" t="s">
        <v>4583</v>
      </c>
      <c r="B4295" s="9" t="s">
        <v>4483</v>
      </c>
      <c r="C4295" s="9" t="s">
        <v>4484</v>
      </c>
      <c r="D4295" s="9" t="s">
        <v>3722</v>
      </c>
      <c r="E4295" s="9" t="s">
        <v>323</v>
      </c>
      <c r="F4295" s="9" t="s">
        <v>200</v>
      </c>
      <c r="G4295" s="9" t="s">
        <v>221</v>
      </c>
      <c r="H4295" s="9" t="n">
        <v>625</v>
      </c>
      <c r="I4295" s="29" t="n">
        <v>0.4</v>
      </c>
      <c r="J4295" s="9" t="n">
        <v>0</v>
      </c>
      <c r="K4295" s="30"/>
      <c r="L4295" s="30"/>
      <c r="M4295" s="30"/>
      <c r="N4295" s="30"/>
      <c r="O4295" s="30"/>
      <c r="P4295" s="30"/>
      <c r="Q4295" s="30"/>
      <c r="R4295" s="30"/>
      <c r="S4295" s="30"/>
      <c r="T4295" s="30"/>
      <c r="U4295" s="21" t="str">
        <f aca="false">IF(COUNT(K4295:T4295)=0,"SOURCE EMPTY / INDUSTRIAL ONLY",IF(MIN(K4295:T4295)=1,"SERVICE READY","HOLD"))</f>
        <v>SOURCE EMPTY / INDUSTRIAL ONLY</v>
      </c>
      <c r="V4295" s="9" t="n">
        <f aca="false">IF(U4295="SERVICE READY",1,0)</f>
        <v>0</v>
      </c>
      <c r="W4295" s="6"/>
      <c r="X4295" s="6"/>
      <c r="Y4295" s="6"/>
      <c r="Z4295" s="6"/>
    </row>
    <row r="4296" customFormat="false" ht="15" hidden="false" customHeight="false" outlineLevel="0" collapsed="false">
      <c r="A4296" s="9" t="s">
        <v>4584</v>
      </c>
      <c r="B4296" s="9" t="s">
        <v>4483</v>
      </c>
      <c r="C4296" s="9" t="s">
        <v>4484</v>
      </c>
      <c r="D4296" s="9" t="s">
        <v>3722</v>
      </c>
      <c r="E4296" s="9" t="s">
        <v>323</v>
      </c>
      <c r="F4296" s="9" t="s">
        <v>203</v>
      </c>
      <c r="G4296" s="9" t="s">
        <v>221</v>
      </c>
      <c r="H4296" s="9" t="n">
        <v>625</v>
      </c>
      <c r="I4296" s="29" t="n">
        <v>0.4</v>
      </c>
      <c r="J4296" s="9" t="n">
        <v>0</v>
      </c>
      <c r="K4296" s="30"/>
      <c r="L4296" s="30"/>
      <c r="M4296" s="30"/>
      <c r="N4296" s="30"/>
      <c r="O4296" s="30"/>
      <c r="P4296" s="30"/>
      <c r="Q4296" s="30"/>
      <c r="R4296" s="30"/>
      <c r="S4296" s="30"/>
      <c r="T4296" s="30"/>
      <c r="U4296" s="21" t="str">
        <f aca="false">IF(COUNT(K4296:T4296)=0,"SOURCE EMPTY / INDUSTRIAL ONLY",IF(MIN(K4296:T4296)=1,"SERVICE READY","HOLD"))</f>
        <v>SOURCE EMPTY / INDUSTRIAL ONLY</v>
      </c>
      <c r="V4296" s="9" t="n">
        <f aca="false">IF(U4296="SERVICE READY",1,0)</f>
        <v>0</v>
      </c>
      <c r="W4296" s="6"/>
      <c r="X4296" s="6"/>
      <c r="Y4296" s="6"/>
      <c r="Z4296" s="6"/>
    </row>
    <row r="4297" customFormat="false" ht="15" hidden="false" customHeight="false" outlineLevel="0" collapsed="false">
      <c r="A4297" s="9" t="s">
        <v>4585</v>
      </c>
      <c r="B4297" s="9" t="s">
        <v>4483</v>
      </c>
      <c r="C4297" s="9" t="s">
        <v>4484</v>
      </c>
      <c r="D4297" s="9" t="s">
        <v>3722</v>
      </c>
      <c r="E4297" s="9" t="s">
        <v>323</v>
      </c>
      <c r="F4297" s="9" t="s">
        <v>205</v>
      </c>
      <c r="G4297" s="9" t="s">
        <v>221</v>
      </c>
      <c r="H4297" s="9" t="n">
        <v>625</v>
      </c>
      <c r="I4297" s="29" t="n">
        <v>0.4</v>
      </c>
      <c r="J4297" s="9" t="n">
        <v>0</v>
      </c>
      <c r="K4297" s="30"/>
      <c r="L4297" s="30"/>
      <c r="M4297" s="30"/>
      <c r="N4297" s="30"/>
      <c r="O4297" s="30"/>
      <c r="P4297" s="30"/>
      <c r="Q4297" s="30"/>
      <c r="R4297" s="30"/>
      <c r="S4297" s="30"/>
      <c r="T4297" s="30"/>
      <c r="U4297" s="21" t="str">
        <f aca="false">IF(COUNT(K4297:T4297)=0,"SOURCE EMPTY / INDUSTRIAL ONLY",IF(MIN(K4297:T4297)=1,"SERVICE READY","HOLD"))</f>
        <v>SOURCE EMPTY / INDUSTRIAL ONLY</v>
      </c>
      <c r="V4297" s="9" t="n">
        <f aca="false">IF(U4297="SERVICE READY",1,0)</f>
        <v>0</v>
      </c>
      <c r="W4297" s="6"/>
      <c r="X4297" s="6"/>
      <c r="Y4297" s="6"/>
      <c r="Z4297" s="6"/>
    </row>
    <row r="4298" customFormat="false" ht="15" hidden="false" customHeight="false" outlineLevel="0" collapsed="false">
      <c r="A4298" s="9" t="s">
        <v>4586</v>
      </c>
      <c r="B4298" s="9" t="s">
        <v>4483</v>
      </c>
      <c r="C4298" s="9" t="s">
        <v>4484</v>
      </c>
      <c r="D4298" s="9" t="s">
        <v>3722</v>
      </c>
      <c r="E4298" s="9" t="s">
        <v>323</v>
      </c>
      <c r="F4298" s="9" t="s">
        <v>207</v>
      </c>
      <c r="G4298" s="9" t="s">
        <v>221</v>
      </c>
      <c r="H4298" s="9" t="n">
        <v>625</v>
      </c>
      <c r="I4298" s="29" t="n">
        <v>0.4</v>
      </c>
      <c r="J4298" s="9" t="n">
        <v>0</v>
      </c>
      <c r="K4298" s="30"/>
      <c r="L4298" s="30"/>
      <c r="M4298" s="30"/>
      <c r="N4298" s="30"/>
      <c r="O4298" s="30"/>
      <c r="P4298" s="30"/>
      <c r="Q4298" s="30"/>
      <c r="R4298" s="30"/>
      <c r="S4298" s="30"/>
      <c r="T4298" s="30"/>
      <c r="U4298" s="21" t="str">
        <f aca="false">IF(COUNT(K4298:T4298)=0,"SOURCE EMPTY / INDUSTRIAL ONLY",IF(MIN(K4298:T4298)=1,"SERVICE READY","HOLD"))</f>
        <v>SOURCE EMPTY / INDUSTRIAL ONLY</v>
      </c>
      <c r="V4298" s="9" t="n">
        <f aca="false">IF(U4298="SERVICE READY",1,0)</f>
        <v>0</v>
      </c>
      <c r="W4298" s="6"/>
      <c r="X4298" s="6"/>
      <c r="Y4298" s="6"/>
      <c r="Z4298" s="6"/>
    </row>
    <row r="4299" customFormat="false" ht="15" hidden="false" customHeight="false" outlineLevel="0" collapsed="false">
      <c r="A4299" s="9" t="s">
        <v>4587</v>
      </c>
      <c r="B4299" s="9" t="s">
        <v>4483</v>
      </c>
      <c r="C4299" s="9" t="s">
        <v>4484</v>
      </c>
      <c r="D4299" s="9" t="s">
        <v>3722</v>
      </c>
      <c r="E4299" s="9" t="s">
        <v>323</v>
      </c>
      <c r="F4299" s="9" t="s">
        <v>209</v>
      </c>
      <c r="G4299" s="9" t="s">
        <v>221</v>
      </c>
      <c r="H4299" s="9" t="n">
        <v>625</v>
      </c>
      <c r="I4299" s="29" t="n">
        <v>0.4</v>
      </c>
      <c r="J4299" s="9" t="n">
        <v>0</v>
      </c>
      <c r="K4299" s="30"/>
      <c r="L4299" s="30"/>
      <c r="M4299" s="30"/>
      <c r="N4299" s="30"/>
      <c r="O4299" s="30"/>
      <c r="P4299" s="30"/>
      <c r="Q4299" s="30"/>
      <c r="R4299" s="30"/>
      <c r="S4299" s="30"/>
      <c r="T4299" s="30"/>
      <c r="U4299" s="21" t="str">
        <f aca="false">IF(COUNT(K4299:T4299)=0,"SOURCE EMPTY / INDUSTRIAL ONLY",IF(MIN(K4299:T4299)=1,"SERVICE READY","HOLD"))</f>
        <v>SOURCE EMPTY / INDUSTRIAL ONLY</v>
      </c>
      <c r="V4299" s="9" t="n">
        <f aca="false">IF(U4299="SERVICE READY",1,0)</f>
        <v>0</v>
      </c>
      <c r="W4299" s="6"/>
      <c r="X4299" s="6"/>
      <c r="Y4299" s="6"/>
      <c r="Z4299" s="6"/>
    </row>
    <row r="4300" customFormat="false" ht="15" hidden="false" customHeight="false" outlineLevel="0" collapsed="false">
      <c r="A4300" s="9" t="s">
        <v>4588</v>
      </c>
      <c r="B4300" s="9" t="s">
        <v>4483</v>
      </c>
      <c r="C4300" s="9" t="s">
        <v>4484</v>
      </c>
      <c r="D4300" s="9" t="s">
        <v>3722</v>
      </c>
      <c r="E4300" s="9" t="s">
        <v>323</v>
      </c>
      <c r="F4300" s="9" t="s">
        <v>211</v>
      </c>
      <c r="G4300" s="9" t="s">
        <v>221</v>
      </c>
      <c r="H4300" s="9" t="n">
        <v>625</v>
      </c>
      <c r="I4300" s="29" t="n">
        <v>0.4</v>
      </c>
      <c r="J4300" s="9" t="n">
        <v>0</v>
      </c>
      <c r="K4300" s="30"/>
      <c r="L4300" s="30"/>
      <c r="M4300" s="30"/>
      <c r="N4300" s="30"/>
      <c r="O4300" s="30"/>
      <c r="P4300" s="30"/>
      <c r="Q4300" s="30"/>
      <c r="R4300" s="30"/>
      <c r="S4300" s="30"/>
      <c r="T4300" s="30"/>
      <c r="U4300" s="21" t="str">
        <f aca="false">IF(COUNT(K4300:T4300)=0,"SOURCE EMPTY / INDUSTRIAL ONLY",IF(MIN(K4300:T4300)=1,"SERVICE READY","HOLD"))</f>
        <v>SOURCE EMPTY / INDUSTRIAL ONLY</v>
      </c>
      <c r="V4300" s="9" t="n">
        <f aca="false">IF(U4300="SERVICE READY",1,0)</f>
        <v>0</v>
      </c>
      <c r="W4300" s="6"/>
      <c r="X4300" s="6"/>
      <c r="Y4300" s="6"/>
      <c r="Z4300" s="6"/>
    </row>
    <row r="4301" customFormat="false" ht="15" hidden="false" customHeight="false" outlineLevel="0" collapsed="false">
      <c r="A4301" s="9" t="s">
        <v>4589</v>
      </c>
      <c r="B4301" s="9" t="s">
        <v>4483</v>
      </c>
      <c r="C4301" s="9" t="s">
        <v>4484</v>
      </c>
      <c r="D4301" s="9" t="s">
        <v>3722</v>
      </c>
      <c r="E4301" s="9" t="s">
        <v>323</v>
      </c>
      <c r="F4301" s="9" t="s">
        <v>197</v>
      </c>
      <c r="G4301" s="9" t="s">
        <v>221</v>
      </c>
      <c r="H4301" s="9" t="n">
        <v>625</v>
      </c>
      <c r="I4301" s="29" t="n">
        <v>0.4</v>
      </c>
      <c r="J4301" s="9" t="n">
        <v>0</v>
      </c>
      <c r="K4301" s="30"/>
      <c r="L4301" s="30"/>
      <c r="M4301" s="30"/>
      <c r="N4301" s="30"/>
      <c r="O4301" s="30"/>
      <c r="P4301" s="30"/>
      <c r="Q4301" s="30"/>
      <c r="R4301" s="30"/>
      <c r="S4301" s="30"/>
      <c r="T4301" s="30"/>
      <c r="U4301" s="21" t="str">
        <f aca="false">IF(COUNT(K4301:T4301)=0,"SOURCE EMPTY / INDUSTRIAL ONLY",IF(MIN(K4301:T4301)=1,"SERVICE READY","HOLD"))</f>
        <v>SOURCE EMPTY / INDUSTRIAL ONLY</v>
      </c>
      <c r="V4301" s="9" t="n">
        <f aca="false">IF(U4301="SERVICE READY",1,0)</f>
        <v>0</v>
      </c>
      <c r="W4301" s="6"/>
      <c r="X4301" s="6"/>
      <c r="Y4301" s="6"/>
      <c r="Z4301" s="6"/>
    </row>
    <row r="4302" customFormat="false" ht="15" hidden="false" customHeight="false" outlineLevel="0" collapsed="false">
      <c r="A4302" s="9" t="s">
        <v>4590</v>
      </c>
      <c r="B4302" s="9" t="s">
        <v>4483</v>
      </c>
      <c r="C4302" s="9" t="s">
        <v>4484</v>
      </c>
      <c r="D4302" s="9" t="s">
        <v>3722</v>
      </c>
      <c r="E4302" s="9" t="s">
        <v>323</v>
      </c>
      <c r="F4302" s="9" t="s">
        <v>200</v>
      </c>
      <c r="G4302" s="9" t="s">
        <v>221</v>
      </c>
      <c r="H4302" s="9" t="n">
        <v>625</v>
      </c>
      <c r="I4302" s="29" t="n">
        <v>0.4</v>
      </c>
      <c r="J4302" s="9" t="n">
        <v>0</v>
      </c>
      <c r="K4302" s="30"/>
      <c r="L4302" s="30"/>
      <c r="M4302" s="30"/>
      <c r="N4302" s="30"/>
      <c r="O4302" s="30"/>
      <c r="P4302" s="30"/>
      <c r="Q4302" s="30"/>
      <c r="R4302" s="30"/>
      <c r="S4302" s="30"/>
      <c r="T4302" s="30"/>
      <c r="U4302" s="21" t="str">
        <f aca="false">IF(COUNT(K4302:T4302)=0,"SOURCE EMPTY / INDUSTRIAL ONLY",IF(MIN(K4302:T4302)=1,"SERVICE READY","HOLD"))</f>
        <v>SOURCE EMPTY / INDUSTRIAL ONLY</v>
      </c>
      <c r="V4302" s="9" t="n">
        <f aca="false">IF(U4302="SERVICE READY",1,0)</f>
        <v>0</v>
      </c>
      <c r="W4302" s="6"/>
      <c r="X4302" s="6"/>
      <c r="Y4302" s="6"/>
      <c r="Z4302" s="6"/>
    </row>
    <row r="4303" customFormat="false" ht="15" hidden="false" customHeight="false" outlineLevel="0" collapsed="false">
      <c r="A4303" s="9" t="s">
        <v>4591</v>
      </c>
      <c r="B4303" s="9" t="s">
        <v>4483</v>
      </c>
      <c r="C4303" s="9" t="s">
        <v>4484</v>
      </c>
      <c r="D4303" s="9" t="s">
        <v>3722</v>
      </c>
      <c r="E4303" s="9" t="s">
        <v>323</v>
      </c>
      <c r="F4303" s="9" t="s">
        <v>203</v>
      </c>
      <c r="G4303" s="9" t="s">
        <v>221</v>
      </c>
      <c r="H4303" s="9" t="n">
        <v>625</v>
      </c>
      <c r="I4303" s="29" t="n">
        <v>0.4</v>
      </c>
      <c r="J4303" s="9" t="n">
        <v>0</v>
      </c>
      <c r="K4303" s="30"/>
      <c r="L4303" s="30"/>
      <c r="M4303" s="30"/>
      <c r="N4303" s="30"/>
      <c r="O4303" s="30"/>
      <c r="P4303" s="30"/>
      <c r="Q4303" s="30"/>
      <c r="R4303" s="30"/>
      <c r="S4303" s="30"/>
      <c r="T4303" s="30"/>
      <c r="U4303" s="21" t="str">
        <f aca="false">IF(COUNT(K4303:T4303)=0,"SOURCE EMPTY / INDUSTRIAL ONLY",IF(MIN(K4303:T4303)=1,"SERVICE READY","HOLD"))</f>
        <v>SOURCE EMPTY / INDUSTRIAL ONLY</v>
      </c>
      <c r="V4303" s="9" t="n">
        <f aca="false">IF(U4303="SERVICE READY",1,0)</f>
        <v>0</v>
      </c>
      <c r="W4303" s="6"/>
      <c r="X4303" s="6"/>
      <c r="Y4303" s="6"/>
      <c r="Z4303" s="6"/>
    </row>
    <row r="4304" customFormat="false" ht="15" hidden="false" customHeight="false" outlineLevel="0" collapsed="false">
      <c r="A4304" s="9" t="s">
        <v>4592</v>
      </c>
      <c r="B4304" s="9" t="s">
        <v>4483</v>
      </c>
      <c r="C4304" s="9" t="s">
        <v>4484</v>
      </c>
      <c r="D4304" s="9" t="s">
        <v>3722</v>
      </c>
      <c r="E4304" s="9" t="s">
        <v>323</v>
      </c>
      <c r="F4304" s="9" t="s">
        <v>205</v>
      </c>
      <c r="G4304" s="9" t="s">
        <v>221</v>
      </c>
      <c r="H4304" s="9" t="n">
        <v>625</v>
      </c>
      <c r="I4304" s="29" t="n">
        <v>0.4</v>
      </c>
      <c r="J4304" s="9" t="n">
        <v>0</v>
      </c>
      <c r="K4304" s="30"/>
      <c r="L4304" s="30"/>
      <c r="M4304" s="30"/>
      <c r="N4304" s="30"/>
      <c r="O4304" s="30"/>
      <c r="P4304" s="30"/>
      <c r="Q4304" s="30"/>
      <c r="R4304" s="30"/>
      <c r="S4304" s="30"/>
      <c r="T4304" s="30"/>
      <c r="U4304" s="21" t="str">
        <f aca="false">IF(COUNT(K4304:T4304)=0,"SOURCE EMPTY / INDUSTRIAL ONLY",IF(MIN(K4304:T4304)=1,"SERVICE READY","HOLD"))</f>
        <v>SOURCE EMPTY / INDUSTRIAL ONLY</v>
      </c>
      <c r="V4304" s="9" t="n">
        <f aca="false">IF(U4304="SERVICE READY",1,0)</f>
        <v>0</v>
      </c>
      <c r="W4304" s="6"/>
      <c r="X4304" s="6"/>
      <c r="Y4304" s="6"/>
      <c r="Z4304" s="6"/>
    </row>
    <row r="4305" customFormat="false" ht="15" hidden="false" customHeight="false" outlineLevel="0" collapsed="false">
      <c r="A4305" s="9" t="s">
        <v>4593</v>
      </c>
      <c r="B4305" s="9" t="s">
        <v>4483</v>
      </c>
      <c r="C4305" s="9" t="s">
        <v>4484</v>
      </c>
      <c r="D4305" s="9" t="s">
        <v>3722</v>
      </c>
      <c r="E4305" s="9" t="s">
        <v>323</v>
      </c>
      <c r="F4305" s="9" t="s">
        <v>207</v>
      </c>
      <c r="G4305" s="9" t="s">
        <v>221</v>
      </c>
      <c r="H4305" s="9" t="n">
        <v>625</v>
      </c>
      <c r="I4305" s="29" t="n">
        <v>0.4</v>
      </c>
      <c r="J4305" s="9" t="n">
        <v>0</v>
      </c>
      <c r="K4305" s="30"/>
      <c r="L4305" s="30"/>
      <c r="M4305" s="30"/>
      <c r="N4305" s="30"/>
      <c r="O4305" s="30"/>
      <c r="P4305" s="30"/>
      <c r="Q4305" s="30"/>
      <c r="R4305" s="30"/>
      <c r="S4305" s="30"/>
      <c r="T4305" s="30"/>
      <c r="U4305" s="21" t="str">
        <f aca="false">IF(COUNT(K4305:T4305)=0,"SOURCE EMPTY / INDUSTRIAL ONLY",IF(MIN(K4305:T4305)=1,"SERVICE READY","HOLD"))</f>
        <v>SOURCE EMPTY / INDUSTRIAL ONLY</v>
      </c>
      <c r="V4305" s="9" t="n">
        <f aca="false">IF(U4305="SERVICE READY",1,0)</f>
        <v>0</v>
      </c>
      <c r="W4305" s="6"/>
      <c r="X4305" s="6"/>
      <c r="Y4305" s="6"/>
      <c r="Z4305" s="6"/>
    </row>
    <row r="4306" customFormat="false" ht="15" hidden="false" customHeight="false" outlineLevel="0" collapsed="false">
      <c r="A4306" s="9" t="s">
        <v>4594</v>
      </c>
      <c r="B4306" s="9" t="s">
        <v>4483</v>
      </c>
      <c r="C4306" s="9" t="s">
        <v>4484</v>
      </c>
      <c r="D4306" s="9" t="s">
        <v>3722</v>
      </c>
      <c r="E4306" s="9" t="s">
        <v>323</v>
      </c>
      <c r="F4306" s="9" t="s">
        <v>209</v>
      </c>
      <c r="G4306" s="9" t="s">
        <v>221</v>
      </c>
      <c r="H4306" s="9" t="n">
        <v>625</v>
      </c>
      <c r="I4306" s="29" t="n">
        <v>0.4</v>
      </c>
      <c r="J4306" s="9" t="n">
        <v>0</v>
      </c>
      <c r="K4306" s="30"/>
      <c r="L4306" s="30"/>
      <c r="M4306" s="30"/>
      <c r="N4306" s="30"/>
      <c r="O4306" s="30"/>
      <c r="P4306" s="30"/>
      <c r="Q4306" s="30"/>
      <c r="R4306" s="30"/>
      <c r="S4306" s="30"/>
      <c r="T4306" s="30"/>
      <c r="U4306" s="21" t="str">
        <f aca="false">IF(COUNT(K4306:T4306)=0,"SOURCE EMPTY / INDUSTRIAL ONLY",IF(MIN(K4306:T4306)=1,"SERVICE READY","HOLD"))</f>
        <v>SOURCE EMPTY / INDUSTRIAL ONLY</v>
      </c>
      <c r="V4306" s="9" t="n">
        <f aca="false">IF(U4306="SERVICE READY",1,0)</f>
        <v>0</v>
      </c>
      <c r="W4306" s="6"/>
      <c r="X4306" s="6"/>
      <c r="Y4306" s="6"/>
      <c r="Z4306" s="6"/>
    </row>
    <row r="4307" customFormat="false" ht="15" hidden="false" customHeight="false" outlineLevel="0" collapsed="false">
      <c r="A4307" s="9" t="s">
        <v>4595</v>
      </c>
      <c r="B4307" s="9" t="s">
        <v>4483</v>
      </c>
      <c r="C4307" s="9" t="s">
        <v>4484</v>
      </c>
      <c r="D4307" s="9" t="s">
        <v>3722</v>
      </c>
      <c r="E4307" s="9" t="s">
        <v>323</v>
      </c>
      <c r="F4307" s="9" t="s">
        <v>211</v>
      </c>
      <c r="G4307" s="9" t="s">
        <v>221</v>
      </c>
      <c r="H4307" s="9" t="n">
        <v>625</v>
      </c>
      <c r="I4307" s="29" t="n">
        <v>0.4</v>
      </c>
      <c r="J4307" s="9" t="n">
        <v>0</v>
      </c>
      <c r="K4307" s="30"/>
      <c r="L4307" s="30"/>
      <c r="M4307" s="30"/>
      <c r="N4307" s="30"/>
      <c r="O4307" s="30"/>
      <c r="P4307" s="30"/>
      <c r="Q4307" s="30"/>
      <c r="R4307" s="30"/>
      <c r="S4307" s="30"/>
      <c r="T4307" s="30"/>
      <c r="U4307" s="21" t="str">
        <f aca="false">IF(COUNT(K4307:T4307)=0,"SOURCE EMPTY / INDUSTRIAL ONLY",IF(MIN(K4307:T4307)=1,"SERVICE READY","HOLD"))</f>
        <v>SOURCE EMPTY / INDUSTRIAL ONLY</v>
      </c>
      <c r="V4307" s="9" t="n">
        <f aca="false">IF(U4307="SERVICE READY",1,0)</f>
        <v>0</v>
      </c>
      <c r="W4307" s="6"/>
      <c r="X4307" s="6"/>
      <c r="Y4307" s="6"/>
      <c r="Z4307" s="6"/>
    </row>
    <row r="4308" customFormat="false" ht="15" hidden="false" customHeight="false" outlineLevel="0" collapsed="false">
      <c r="A4308" s="9" t="s">
        <v>4596</v>
      </c>
      <c r="B4308" s="9" t="s">
        <v>4483</v>
      </c>
      <c r="C4308" s="9" t="s">
        <v>4484</v>
      </c>
      <c r="D4308" s="9" t="s">
        <v>3722</v>
      </c>
      <c r="E4308" s="9" t="s">
        <v>323</v>
      </c>
      <c r="F4308" s="9" t="s">
        <v>197</v>
      </c>
      <c r="G4308" s="9" t="s">
        <v>221</v>
      </c>
      <c r="H4308" s="9" t="n">
        <v>625</v>
      </c>
      <c r="I4308" s="29" t="n">
        <v>0.4</v>
      </c>
      <c r="J4308" s="9" t="n">
        <v>0</v>
      </c>
      <c r="K4308" s="30"/>
      <c r="L4308" s="30"/>
      <c r="M4308" s="30"/>
      <c r="N4308" s="30"/>
      <c r="O4308" s="30"/>
      <c r="P4308" s="30"/>
      <c r="Q4308" s="30"/>
      <c r="R4308" s="30"/>
      <c r="S4308" s="30"/>
      <c r="T4308" s="30"/>
      <c r="U4308" s="21" t="str">
        <f aca="false">IF(COUNT(K4308:T4308)=0,"SOURCE EMPTY / INDUSTRIAL ONLY",IF(MIN(K4308:T4308)=1,"SERVICE READY","HOLD"))</f>
        <v>SOURCE EMPTY / INDUSTRIAL ONLY</v>
      </c>
      <c r="V4308" s="9" t="n">
        <f aca="false">IF(U4308="SERVICE READY",1,0)</f>
        <v>0</v>
      </c>
      <c r="W4308" s="6"/>
      <c r="X4308" s="6"/>
      <c r="Y4308" s="6"/>
      <c r="Z4308" s="6"/>
    </row>
    <row r="4309" customFormat="false" ht="15" hidden="false" customHeight="false" outlineLevel="0" collapsed="false">
      <c r="A4309" s="9" t="s">
        <v>4597</v>
      </c>
      <c r="B4309" s="9" t="s">
        <v>4483</v>
      </c>
      <c r="C4309" s="9" t="s">
        <v>4484</v>
      </c>
      <c r="D4309" s="9" t="s">
        <v>3722</v>
      </c>
      <c r="E4309" s="9" t="s">
        <v>323</v>
      </c>
      <c r="F4309" s="9" t="s">
        <v>200</v>
      </c>
      <c r="G4309" s="9" t="s">
        <v>221</v>
      </c>
      <c r="H4309" s="9" t="n">
        <v>625</v>
      </c>
      <c r="I4309" s="29" t="n">
        <v>0.4</v>
      </c>
      <c r="J4309" s="9" t="n">
        <v>0</v>
      </c>
      <c r="K4309" s="30"/>
      <c r="L4309" s="30"/>
      <c r="M4309" s="30"/>
      <c r="N4309" s="30"/>
      <c r="O4309" s="30"/>
      <c r="P4309" s="30"/>
      <c r="Q4309" s="30"/>
      <c r="R4309" s="30"/>
      <c r="S4309" s="30"/>
      <c r="T4309" s="30"/>
      <c r="U4309" s="21" t="str">
        <f aca="false">IF(COUNT(K4309:T4309)=0,"SOURCE EMPTY / INDUSTRIAL ONLY",IF(MIN(K4309:T4309)=1,"SERVICE READY","HOLD"))</f>
        <v>SOURCE EMPTY / INDUSTRIAL ONLY</v>
      </c>
      <c r="V4309" s="9" t="n">
        <f aca="false">IF(U4309="SERVICE READY",1,0)</f>
        <v>0</v>
      </c>
      <c r="W4309" s="6"/>
      <c r="X4309" s="6"/>
      <c r="Y4309" s="6"/>
      <c r="Z4309" s="6"/>
    </row>
    <row r="4310" customFormat="false" ht="15" hidden="false" customHeight="false" outlineLevel="0" collapsed="false">
      <c r="A4310" s="9" t="s">
        <v>4598</v>
      </c>
      <c r="B4310" s="9" t="s">
        <v>4483</v>
      </c>
      <c r="C4310" s="9" t="s">
        <v>4484</v>
      </c>
      <c r="D4310" s="9" t="s">
        <v>3722</v>
      </c>
      <c r="E4310" s="9" t="s">
        <v>323</v>
      </c>
      <c r="F4310" s="9" t="s">
        <v>203</v>
      </c>
      <c r="G4310" s="9" t="s">
        <v>221</v>
      </c>
      <c r="H4310" s="9" t="n">
        <v>625</v>
      </c>
      <c r="I4310" s="29" t="n">
        <v>0.4</v>
      </c>
      <c r="J4310" s="9" t="n">
        <v>0</v>
      </c>
      <c r="K4310" s="30"/>
      <c r="L4310" s="30"/>
      <c r="M4310" s="30"/>
      <c r="N4310" s="30"/>
      <c r="O4310" s="30"/>
      <c r="P4310" s="30"/>
      <c r="Q4310" s="30"/>
      <c r="R4310" s="30"/>
      <c r="S4310" s="30"/>
      <c r="T4310" s="30"/>
      <c r="U4310" s="21" t="str">
        <f aca="false">IF(COUNT(K4310:T4310)=0,"SOURCE EMPTY / INDUSTRIAL ONLY",IF(MIN(K4310:T4310)=1,"SERVICE READY","HOLD"))</f>
        <v>SOURCE EMPTY / INDUSTRIAL ONLY</v>
      </c>
      <c r="V4310" s="9" t="n">
        <f aca="false">IF(U4310="SERVICE READY",1,0)</f>
        <v>0</v>
      </c>
      <c r="W4310" s="6"/>
      <c r="X4310" s="6"/>
      <c r="Y4310" s="6"/>
      <c r="Z4310" s="6"/>
    </row>
    <row r="4311" customFormat="false" ht="15" hidden="false" customHeight="false" outlineLevel="0" collapsed="false">
      <c r="A4311" s="9" t="s">
        <v>4599</v>
      </c>
      <c r="B4311" s="9" t="s">
        <v>4483</v>
      </c>
      <c r="C4311" s="9" t="s">
        <v>4484</v>
      </c>
      <c r="D4311" s="9" t="s">
        <v>3722</v>
      </c>
      <c r="E4311" s="9" t="s">
        <v>323</v>
      </c>
      <c r="F4311" s="9" t="s">
        <v>205</v>
      </c>
      <c r="G4311" s="9" t="s">
        <v>221</v>
      </c>
      <c r="H4311" s="9" t="n">
        <v>625</v>
      </c>
      <c r="I4311" s="29" t="n">
        <v>0.4</v>
      </c>
      <c r="J4311" s="9" t="n">
        <v>0</v>
      </c>
      <c r="K4311" s="30"/>
      <c r="L4311" s="30"/>
      <c r="M4311" s="30"/>
      <c r="N4311" s="30"/>
      <c r="O4311" s="30"/>
      <c r="P4311" s="30"/>
      <c r="Q4311" s="30"/>
      <c r="R4311" s="30"/>
      <c r="S4311" s="30"/>
      <c r="T4311" s="30"/>
      <c r="U4311" s="21" t="str">
        <f aca="false">IF(COUNT(K4311:T4311)=0,"SOURCE EMPTY / INDUSTRIAL ONLY",IF(MIN(K4311:T4311)=1,"SERVICE READY","HOLD"))</f>
        <v>SOURCE EMPTY / INDUSTRIAL ONLY</v>
      </c>
      <c r="V4311" s="9" t="n">
        <f aca="false">IF(U4311="SERVICE READY",1,0)</f>
        <v>0</v>
      </c>
      <c r="W4311" s="6"/>
      <c r="X4311" s="6"/>
      <c r="Y4311" s="6"/>
      <c r="Z4311" s="6"/>
    </row>
    <row r="4312" customFormat="false" ht="15" hidden="false" customHeight="false" outlineLevel="0" collapsed="false">
      <c r="A4312" s="9" t="s">
        <v>4600</v>
      </c>
      <c r="B4312" s="9" t="s">
        <v>4483</v>
      </c>
      <c r="C4312" s="9" t="s">
        <v>4484</v>
      </c>
      <c r="D4312" s="9" t="s">
        <v>3722</v>
      </c>
      <c r="E4312" s="9" t="s">
        <v>323</v>
      </c>
      <c r="F4312" s="9" t="s">
        <v>207</v>
      </c>
      <c r="G4312" s="9" t="s">
        <v>221</v>
      </c>
      <c r="H4312" s="9" t="n">
        <v>625</v>
      </c>
      <c r="I4312" s="29" t="n">
        <v>0.4</v>
      </c>
      <c r="J4312" s="9" t="n">
        <v>0</v>
      </c>
      <c r="K4312" s="30"/>
      <c r="L4312" s="30"/>
      <c r="M4312" s="30"/>
      <c r="N4312" s="30"/>
      <c r="O4312" s="30"/>
      <c r="P4312" s="30"/>
      <c r="Q4312" s="30"/>
      <c r="R4312" s="30"/>
      <c r="S4312" s="30"/>
      <c r="T4312" s="30"/>
      <c r="U4312" s="21" t="str">
        <f aca="false">IF(COUNT(K4312:T4312)=0,"SOURCE EMPTY / INDUSTRIAL ONLY",IF(MIN(K4312:T4312)=1,"SERVICE READY","HOLD"))</f>
        <v>SOURCE EMPTY / INDUSTRIAL ONLY</v>
      </c>
      <c r="V4312" s="9" t="n">
        <f aca="false">IF(U4312="SERVICE READY",1,0)</f>
        <v>0</v>
      </c>
      <c r="W4312" s="6"/>
      <c r="X4312" s="6"/>
      <c r="Y4312" s="6"/>
      <c r="Z4312" s="6"/>
    </row>
    <row r="4313" customFormat="false" ht="15" hidden="false" customHeight="false" outlineLevel="0" collapsed="false">
      <c r="A4313" s="9" t="s">
        <v>4601</v>
      </c>
      <c r="B4313" s="9" t="s">
        <v>4483</v>
      </c>
      <c r="C4313" s="9" t="s">
        <v>4484</v>
      </c>
      <c r="D4313" s="9" t="s">
        <v>3722</v>
      </c>
      <c r="E4313" s="9" t="s">
        <v>323</v>
      </c>
      <c r="F4313" s="9" t="s">
        <v>209</v>
      </c>
      <c r="G4313" s="9" t="s">
        <v>221</v>
      </c>
      <c r="H4313" s="9" t="n">
        <v>625</v>
      </c>
      <c r="I4313" s="29" t="n">
        <v>0.4</v>
      </c>
      <c r="J4313" s="9" t="n">
        <v>0</v>
      </c>
      <c r="K4313" s="30"/>
      <c r="L4313" s="30"/>
      <c r="M4313" s="30"/>
      <c r="N4313" s="30"/>
      <c r="O4313" s="30"/>
      <c r="P4313" s="30"/>
      <c r="Q4313" s="30"/>
      <c r="R4313" s="30"/>
      <c r="S4313" s="30"/>
      <c r="T4313" s="30"/>
      <c r="U4313" s="21" t="str">
        <f aca="false">IF(COUNT(K4313:T4313)=0,"SOURCE EMPTY / INDUSTRIAL ONLY",IF(MIN(K4313:T4313)=1,"SERVICE READY","HOLD"))</f>
        <v>SOURCE EMPTY / INDUSTRIAL ONLY</v>
      </c>
      <c r="V4313" s="9" t="n">
        <f aca="false">IF(U4313="SERVICE READY",1,0)</f>
        <v>0</v>
      </c>
      <c r="W4313" s="6"/>
      <c r="X4313" s="6"/>
      <c r="Y4313" s="6"/>
      <c r="Z4313" s="6"/>
    </row>
    <row r="4314" customFormat="false" ht="15" hidden="false" customHeight="false" outlineLevel="0" collapsed="false">
      <c r="A4314" s="9" t="s">
        <v>4602</v>
      </c>
      <c r="B4314" s="9" t="s">
        <v>4483</v>
      </c>
      <c r="C4314" s="9" t="s">
        <v>4484</v>
      </c>
      <c r="D4314" s="9" t="s">
        <v>3722</v>
      </c>
      <c r="E4314" s="9" t="s">
        <v>323</v>
      </c>
      <c r="F4314" s="9" t="s">
        <v>211</v>
      </c>
      <c r="G4314" s="9" t="s">
        <v>221</v>
      </c>
      <c r="H4314" s="9" t="n">
        <v>625</v>
      </c>
      <c r="I4314" s="29" t="n">
        <v>0.4</v>
      </c>
      <c r="J4314" s="9" t="n">
        <v>0</v>
      </c>
      <c r="K4314" s="30"/>
      <c r="L4314" s="30"/>
      <c r="M4314" s="30"/>
      <c r="N4314" s="30"/>
      <c r="O4314" s="30"/>
      <c r="P4314" s="30"/>
      <c r="Q4314" s="30"/>
      <c r="R4314" s="30"/>
      <c r="S4314" s="30"/>
      <c r="T4314" s="30"/>
      <c r="U4314" s="21" t="str">
        <f aca="false">IF(COUNT(K4314:T4314)=0,"SOURCE EMPTY / INDUSTRIAL ONLY",IF(MIN(K4314:T4314)=1,"SERVICE READY","HOLD"))</f>
        <v>SOURCE EMPTY / INDUSTRIAL ONLY</v>
      </c>
      <c r="V4314" s="9" t="n">
        <f aca="false">IF(U4314="SERVICE READY",1,0)</f>
        <v>0</v>
      </c>
      <c r="W4314" s="6"/>
      <c r="X4314" s="6"/>
      <c r="Y4314" s="6"/>
      <c r="Z4314" s="6"/>
    </row>
    <row r="4315" customFormat="false" ht="15" hidden="false" customHeight="false" outlineLevel="0" collapsed="false">
      <c r="A4315" s="9" t="s">
        <v>4603</v>
      </c>
      <c r="B4315" s="9" t="s">
        <v>4483</v>
      </c>
      <c r="C4315" s="9" t="s">
        <v>4484</v>
      </c>
      <c r="D4315" s="9" t="s">
        <v>3722</v>
      </c>
      <c r="E4315" s="9" t="s">
        <v>323</v>
      </c>
      <c r="F4315" s="9" t="s">
        <v>197</v>
      </c>
      <c r="G4315" s="9" t="s">
        <v>221</v>
      </c>
      <c r="H4315" s="9" t="n">
        <v>625</v>
      </c>
      <c r="I4315" s="29" t="n">
        <v>0.4</v>
      </c>
      <c r="J4315" s="9" t="n">
        <v>0</v>
      </c>
      <c r="K4315" s="30"/>
      <c r="L4315" s="30"/>
      <c r="M4315" s="30"/>
      <c r="N4315" s="30"/>
      <c r="O4315" s="30"/>
      <c r="P4315" s="30"/>
      <c r="Q4315" s="30"/>
      <c r="R4315" s="30"/>
      <c r="S4315" s="30"/>
      <c r="T4315" s="30"/>
      <c r="U4315" s="21" t="str">
        <f aca="false">IF(COUNT(K4315:T4315)=0,"SOURCE EMPTY / INDUSTRIAL ONLY",IF(MIN(K4315:T4315)=1,"SERVICE READY","HOLD"))</f>
        <v>SOURCE EMPTY / INDUSTRIAL ONLY</v>
      </c>
      <c r="V4315" s="9" t="n">
        <f aca="false">IF(U4315="SERVICE READY",1,0)</f>
        <v>0</v>
      </c>
      <c r="W4315" s="6"/>
      <c r="X4315" s="6"/>
      <c r="Y4315" s="6"/>
      <c r="Z4315" s="6"/>
    </row>
    <row r="4316" customFormat="false" ht="15" hidden="false" customHeight="false" outlineLevel="0" collapsed="false">
      <c r="A4316" s="9" t="s">
        <v>4604</v>
      </c>
      <c r="B4316" s="9" t="s">
        <v>4483</v>
      </c>
      <c r="C4316" s="9" t="s">
        <v>4484</v>
      </c>
      <c r="D4316" s="9" t="s">
        <v>3722</v>
      </c>
      <c r="E4316" s="9" t="s">
        <v>323</v>
      </c>
      <c r="F4316" s="9" t="s">
        <v>200</v>
      </c>
      <c r="G4316" s="9" t="s">
        <v>221</v>
      </c>
      <c r="H4316" s="9" t="n">
        <v>625</v>
      </c>
      <c r="I4316" s="29" t="n">
        <v>0.4</v>
      </c>
      <c r="J4316" s="9" t="n">
        <v>0</v>
      </c>
      <c r="K4316" s="30"/>
      <c r="L4316" s="30"/>
      <c r="M4316" s="30"/>
      <c r="N4316" s="30"/>
      <c r="O4316" s="30"/>
      <c r="P4316" s="30"/>
      <c r="Q4316" s="30"/>
      <c r="R4316" s="30"/>
      <c r="S4316" s="30"/>
      <c r="T4316" s="30"/>
      <c r="U4316" s="21" t="str">
        <f aca="false">IF(COUNT(K4316:T4316)=0,"SOURCE EMPTY / INDUSTRIAL ONLY",IF(MIN(K4316:T4316)=1,"SERVICE READY","HOLD"))</f>
        <v>SOURCE EMPTY / INDUSTRIAL ONLY</v>
      </c>
      <c r="V4316" s="9" t="n">
        <f aca="false">IF(U4316="SERVICE READY",1,0)</f>
        <v>0</v>
      </c>
      <c r="W4316" s="6"/>
      <c r="X4316" s="6"/>
      <c r="Y4316" s="6"/>
      <c r="Z4316" s="6"/>
    </row>
    <row r="4317" customFormat="false" ht="15" hidden="false" customHeight="false" outlineLevel="0" collapsed="false">
      <c r="A4317" s="9" t="s">
        <v>4605</v>
      </c>
      <c r="B4317" s="9" t="s">
        <v>4483</v>
      </c>
      <c r="C4317" s="9" t="s">
        <v>4484</v>
      </c>
      <c r="D4317" s="9" t="s">
        <v>3722</v>
      </c>
      <c r="E4317" s="9" t="s">
        <v>323</v>
      </c>
      <c r="F4317" s="9" t="s">
        <v>203</v>
      </c>
      <c r="G4317" s="9" t="s">
        <v>221</v>
      </c>
      <c r="H4317" s="9" t="n">
        <v>625</v>
      </c>
      <c r="I4317" s="29" t="n">
        <v>0.4</v>
      </c>
      <c r="J4317" s="9" t="n">
        <v>0</v>
      </c>
      <c r="K4317" s="30"/>
      <c r="L4317" s="30"/>
      <c r="M4317" s="30"/>
      <c r="N4317" s="30"/>
      <c r="O4317" s="30"/>
      <c r="P4317" s="30"/>
      <c r="Q4317" s="30"/>
      <c r="R4317" s="30"/>
      <c r="S4317" s="30"/>
      <c r="T4317" s="30"/>
      <c r="U4317" s="21" t="str">
        <f aca="false">IF(COUNT(K4317:T4317)=0,"SOURCE EMPTY / INDUSTRIAL ONLY",IF(MIN(K4317:T4317)=1,"SERVICE READY","HOLD"))</f>
        <v>SOURCE EMPTY / INDUSTRIAL ONLY</v>
      </c>
      <c r="V4317" s="9" t="n">
        <f aca="false">IF(U4317="SERVICE READY",1,0)</f>
        <v>0</v>
      </c>
      <c r="W4317" s="6"/>
      <c r="X4317" s="6"/>
      <c r="Y4317" s="6"/>
      <c r="Z4317" s="6"/>
    </row>
    <row r="4318" customFormat="false" ht="15" hidden="false" customHeight="false" outlineLevel="0" collapsed="false">
      <c r="A4318" s="9" t="s">
        <v>4606</v>
      </c>
      <c r="B4318" s="9" t="s">
        <v>4483</v>
      </c>
      <c r="C4318" s="9" t="s">
        <v>4484</v>
      </c>
      <c r="D4318" s="9" t="s">
        <v>3722</v>
      </c>
      <c r="E4318" s="9" t="s">
        <v>323</v>
      </c>
      <c r="F4318" s="9" t="s">
        <v>205</v>
      </c>
      <c r="G4318" s="9" t="s">
        <v>221</v>
      </c>
      <c r="H4318" s="9" t="n">
        <v>625</v>
      </c>
      <c r="I4318" s="29" t="n">
        <v>0.4</v>
      </c>
      <c r="J4318" s="9" t="n">
        <v>0</v>
      </c>
      <c r="K4318" s="30"/>
      <c r="L4318" s="30"/>
      <c r="M4318" s="30"/>
      <c r="N4318" s="30"/>
      <c r="O4318" s="30"/>
      <c r="P4318" s="30"/>
      <c r="Q4318" s="30"/>
      <c r="R4318" s="30"/>
      <c r="S4318" s="30"/>
      <c r="T4318" s="30"/>
      <c r="U4318" s="21" t="str">
        <f aca="false">IF(COUNT(K4318:T4318)=0,"SOURCE EMPTY / INDUSTRIAL ONLY",IF(MIN(K4318:T4318)=1,"SERVICE READY","HOLD"))</f>
        <v>SOURCE EMPTY / INDUSTRIAL ONLY</v>
      </c>
      <c r="V4318" s="9" t="n">
        <f aca="false">IF(U4318="SERVICE READY",1,0)</f>
        <v>0</v>
      </c>
      <c r="W4318" s="6"/>
      <c r="X4318" s="6"/>
      <c r="Y4318" s="6"/>
      <c r="Z4318" s="6"/>
    </row>
    <row r="4319" customFormat="false" ht="15" hidden="false" customHeight="false" outlineLevel="0" collapsed="false">
      <c r="A4319" s="9" t="s">
        <v>4607</v>
      </c>
      <c r="B4319" s="9" t="s">
        <v>4483</v>
      </c>
      <c r="C4319" s="9" t="s">
        <v>4484</v>
      </c>
      <c r="D4319" s="9" t="s">
        <v>3722</v>
      </c>
      <c r="E4319" s="9" t="s">
        <v>323</v>
      </c>
      <c r="F4319" s="9" t="s">
        <v>207</v>
      </c>
      <c r="G4319" s="9" t="s">
        <v>221</v>
      </c>
      <c r="H4319" s="9" t="n">
        <v>625</v>
      </c>
      <c r="I4319" s="29" t="n">
        <v>0.4</v>
      </c>
      <c r="J4319" s="9" t="n">
        <v>0</v>
      </c>
      <c r="K4319" s="30"/>
      <c r="L4319" s="30"/>
      <c r="M4319" s="30"/>
      <c r="N4319" s="30"/>
      <c r="O4319" s="30"/>
      <c r="P4319" s="30"/>
      <c r="Q4319" s="30"/>
      <c r="R4319" s="30"/>
      <c r="S4319" s="30"/>
      <c r="T4319" s="30"/>
      <c r="U4319" s="21" t="str">
        <f aca="false">IF(COUNT(K4319:T4319)=0,"SOURCE EMPTY / INDUSTRIAL ONLY",IF(MIN(K4319:T4319)=1,"SERVICE READY","HOLD"))</f>
        <v>SOURCE EMPTY / INDUSTRIAL ONLY</v>
      </c>
      <c r="V4319" s="9" t="n">
        <f aca="false">IF(U4319="SERVICE READY",1,0)</f>
        <v>0</v>
      </c>
      <c r="W4319" s="6"/>
      <c r="X4319" s="6"/>
      <c r="Y4319" s="6"/>
      <c r="Z4319" s="6"/>
    </row>
    <row r="4320" customFormat="false" ht="15" hidden="false" customHeight="false" outlineLevel="0" collapsed="false">
      <c r="A4320" s="9" t="s">
        <v>4608</v>
      </c>
      <c r="B4320" s="9" t="s">
        <v>4483</v>
      </c>
      <c r="C4320" s="9" t="s">
        <v>4484</v>
      </c>
      <c r="D4320" s="9" t="s">
        <v>3722</v>
      </c>
      <c r="E4320" s="9" t="s">
        <v>323</v>
      </c>
      <c r="F4320" s="9" t="s">
        <v>209</v>
      </c>
      <c r="G4320" s="9" t="s">
        <v>221</v>
      </c>
      <c r="H4320" s="9" t="n">
        <v>625</v>
      </c>
      <c r="I4320" s="29" t="n">
        <v>0.4</v>
      </c>
      <c r="J4320" s="9" t="n">
        <v>0</v>
      </c>
      <c r="K4320" s="30"/>
      <c r="L4320" s="30"/>
      <c r="M4320" s="30"/>
      <c r="N4320" s="30"/>
      <c r="O4320" s="30"/>
      <c r="P4320" s="30"/>
      <c r="Q4320" s="30"/>
      <c r="R4320" s="30"/>
      <c r="S4320" s="30"/>
      <c r="T4320" s="30"/>
      <c r="U4320" s="21" t="str">
        <f aca="false">IF(COUNT(K4320:T4320)=0,"SOURCE EMPTY / INDUSTRIAL ONLY",IF(MIN(K4320:T4320)=1,"SERVICE READY","HOLD"))</f>
        <v>SOURCE EMPTY / INDUSTRIAL ONLY</v>
      </c>
      <c r="V4320" s="9" t="n">
        <f aca="false">IF(U4320="SERVICE READY",1,0)</f>
        <v>0</v>
      </c>
      <c r="W4320" s="6"/>
      <c r="X4320" s="6"/>
      <c r="Y4320" s="6"/>
      <c r="Z4320" s="6"/>
    </row>
    <row r="4321" customFormat="false" ht="15" hidden="false" customHeight="false" outlineLevel="0" collapsed="false">
      <c r="A4321" s="9" t="s">
        <v>4609</v>
      </c>
      <c r="B4321" s="9" t="s">
        <v>4483</v>
      </c>
      <c r="C4321" s="9" t="s">
        <v>4484</v>
      </c>
      <c r="D4321" s="9" t="s">
        <v>3722</v>
      </c>
      <c r="E4321" s="9" t="s">
        <v>323</v>
      </c>
      <c r="F4321" s="9" t="s">
        <v>211</v>
      </c>
      <c r="G4321" s="9" t="s">
        <v>221</v>
      </c>
      <c r="H4321" s="9" t="n">
        <v>625</v>
      </c>
      <c r="I4321" s="29" t="n">
        <v>0.4</v>
      </c>
      <c r="J4321" s="9" t="n">
        <v>0</v>
      </c>
      <c r="K4321" s="30"/>
      <c r="L4321" s="30"/>
      <c r="M4321" s="30"/>
      <c r="N4321" s="30"/>
      <c r="O4321" s="30"/>
      <c r="P4321" s="30"/>
      <c r="Q4321" s="30"/>
      <c r="R4321" s="30"/>
      <c r="S4321" s="30"/>
      <c r="T4321" s="30"/>
      <c r="U4321" s="21" t="str">
        <f aca="false">IF(COUNT(K4321:T4321)=0,"SOURCE EMPTY / INDUSTRIAL ONLY",IF(MIN(K4321:T4321)=1,"SERVICE READY","HOLD"))</f>
        <v>SOURCE EMPTY / INDUSTRIAL ONLY</v>
      </c>
      <c r="V4321" s="9" t="n">
        <f aca="false">IF(U4321="SERVICE READY",1,0)</f>
        <v>0</v>
      </c>
      <c r="W4321" s="6"/>
      <c r="X4321" s="6"/>
      <c r="Y4321" s="6"/>
      <c r="Z4321" s="6"/>
    </row>
    <row r="4322" customFormat="false" ht="15" hidden="false" customHeight="false" outlineLevel="0" collapsed="false">
      <c r="A4322" s="9" t="s">
        <v>4610</v>
      </c>
      <c r="B4322" s="9" t="s">
        <v>4483</v>
      </c>
      <c r="C4322" s="9" t="s">
        <v>4484</v>
      </c>
      <c r="D4322" s="9" t="s">
        <v>3722</v>
      </c>
      <c r="E4322" s="9" t="s">
        <v>323</v>
      </c>
      <c r="F4322" s="9" t="s">
        <v>197</v>
      </c>
      <c r="G4322" s="9" t="s">
        <v>221</v>
      </c>
      <c r="H4322" s="9" t="n">
        <v>625</v>
      </c>
      <c r="I4322" s="29" t="n">
        <v>0.4</v>
      </c>
      <c r="J4322" s="9" t="n">
        <v>0</v>
      </c>
      <c r="K4322" s="30"/>
      <c r="L4322" s="30"/>
      <c r="M4322" s="30"/>
      <c r="N4322" s="30"/>
      <c r="O4322" s="30"/>
      <c r="P4322" s="30"/>
      <c r="Q4322" s="30"/>
      <c r="R4322" s="30"/>
      <c r="S4322" s="30"/>
      <c r="T4322" s="30"/>
      <c r="U4322" s="21" t="str">
        <f aca="false">IF(COUNT(K4322:T4322)=0,"SOURCE EMPTY / INDUSTRIAL ONLY",IF(MIN(K4322:T4322)=1,"SERVICE READY","HOLD"))</f>
        <v>SOURCE EMPTY / INDUSTRIAL ONLY</v>
      </c>
      <c r="V4322" s="9" t="n">
        <f aca="false">IF(U4322="SERVICE READY",1,0)</f>
        <v>0</v>
      </c>
      <c r="W4322" s="6"/>
      <c r="X4322" s="6"/>
      <c r="Y4322" s="6"/>
      <c r="Z4322" s="6"/>
    </row>
    <row r="4323" customFormat="false" ht="15" hidden="false" customHeight="false" outlineLevel="0" collapsed="false">
      <c r="A4323" s="9" t="s">
        <v>4611</v>
      </c>
      <c r="B4323" s="9" t="s">
        <v>4483</v>
      </c>
      <c r="C4323" s="9" t="s">
        <v>4484</v>
      </c>
      <c r="D4323" s="9" t="s">
        <v>3722</v>
      </c>
      <c r="E4323" s="9" t="s">
        <v>323</v>
      </c>
      <c r="F4323" s="9" t="s">
        <v>200</v>
      </c>
      <c r="G4323" s="9" t="s">
        <v>221</v>
      </c>
      <c r="H4323" s="9" t="n">
        <v>625</v>
      </c>
      <c r="I4323" s="29" t="n">
        <v>0.4</v>
      </c>
      <c r="J4323" s="9" t="n">
        <v>0</v>
      </c>
      <c r="K4323" s="30"/>
      <c r="L4323" s="30"/>
      <c r="M4323" s="30"/>
      <c r="N4323" s="30"/>
      <c r="O4323" s="30"/>
      <c r="P4323" s="30"/>
      <c r="Q4323" s="30"/>
      <c r="R4323" s="30"/>
      <c r="S4323" s="30"/>
      <c r="T4323" s="30"/>
      <c r="U4323" s="21" t="str">
        <f aca="false">IF(COUNT(K4323:T4323)=0,"SOURCE EMPTY / INDUSTRIAL ONLY",IF(MIN(K4323:T4323)=1,"SERVICE READY","HOLD"))</f>
        <v>SOURCE EMPTY / INDUSTRIAL ONLY</v>
      </c>
      <c r="V4323" s="9" t="n">
        <f aca="false">IF(U4323="SERVICE READY",1,0)</f>
        <v>0</v>
      </c>
      <c r="W4323" s="6"/>
      <c r="X4323" s="6"/>
      <c r="Y4323" s="6"/>
      <c r="Z4323" s="6"/>
    </row>
    <row r="4324" customFormat="false" ht="15" hidden="false" customHeight="false" outlineLevel="0" collapsed="false">
      <c r="A4324" s="9" t="s">
        <v>4612</v>
      </c>
      <c r="B4324" s="9" t="s">
        <v>4483</v>
      </c>
      <c r="C4324" s="9" t="s">
        <v>4484</v>
      </c>
      <c r="D4324" s="9" t="s">
        <v>3722</v>
      </c>
      <c r="E4324" s="9" t="s">
        <v>323</v>
      </c>
      <c r="F4324" s="9" t="s">
        <v>203</v>
      </c>
      <c r="G4324" s="9" t="s">
        <v>221</v>
      </c>
      <c r="H4324" s="9" t="n">
        <v>625</v>
      </c>
      <c r="I4324" s="29" t="n">
        <v>0.4</v>
      </c>
      <c r="J4324" s="9" t="n">
        <v>0</v>
      </c>
      <c r="K4324" s="30"/>
      <c r="L4324" s="30"/>
      <c r="M4324" s="30"/>
      <c r="N4324" s="30"/>
      <c r="O4324" s="30"/>
      <c r="P4324" s="30"/>
      <c r="Q4324" s="30"/>
      <c r="R4324" s="30"/>
      <c r="S4324" s="30"/>
      <c r="T4324" s="30"/>
      <c r="U4324" s="21" t="str">
        <f aca="false">IF(COUNT(K4324:T4324)=0,"SOURCE EMPTY / INDUSTRIAL ONLY",IF(MIN(K4324:T4324)=1,"SERVICE READY","HOLD"))</f>
        <v>SOURCE EMPTY / INDUSTRIAL ONLY</v>
      </c>
      <c r="V4324" s="9" t="n">
        <f aca="false">IF(U4324="SERVICE READY",1,0)</f>
        <v>0</v>
      </c>
      <c r="W4324" s="6"/>
      <c r="X4324" s="6"/>
      <c r="Y4324" s="6"/>
      <c r="Z4324" s="6"/>
    </row>
    <row r="4325" customFormat="false" ht="15" hidden="false" customHeight="false" outlineLevel="0" collapsed="false">
      <c r="A4325" s="9" t="s">
        <v>4613</v>
      </c>
      <c r="B4325" s="9" t="s">
        <v>4483</v>
      </c>
      <c r="C4325" s="9" t="s">
        <v>4484</v>
      </c>
      <c r="D4325" s="9" t="s">
        <v>3722</v>
      </c>
      <c r="E4325" s="9" t="s">
        <v>323</v>
      </c>
      <c r="F4325" s="9" t="s">
        <v>205</v>
      </c>
      <c r="G4325" s="9" t="s">
        <v>221</v>
      </c>
      <c r="H4325" s="9" t="n">
        <v>625</v>
      </c>
      <c r="I4325" s="29" t="n">
        <v>0.4</v>
      </c>
      <c r="J4325" s="9" t="n">
        <v>0</v>
      </c>
      <c r="K4325" s="30"/>
      <c r="L4325" s="30"/>
      <c r="M4325" s="30"/>
      <c r="N4325" s="30"/>
      <c r="O4325" s="30"/>
      <c r="P4325" s="30"/>
      <c r="Q4325" s="30"/>
      <c r="R4325" s="30"/>
      <c r="S4325" s="30"/>
      <c r="T4325" s="30"/>
      <c r="U4325" s="21" t="str">
        <f aca="false">IF(COUNT(K4325:T4325)=0,"SOURCE EMPTY / INDUSTRIAL ONLY",IF(MIN(K4325:T4325)=1,"SERVICE READY","HOLD"))</f>
        <v>SOURCE EMPTY / INDUSTRIAL ONLY</v>
      </c>
      <c r="V4325" s="9" t="n">
        <f aca="false">IF(U4325="SERVICE READY",1,0)</f>
        <v>0</v>
      </c>
      <c r="W4325" s="6"/>
      <c r="X4325" s="6"/>
      <c r="Y4325" s="6"/>
      <c r="Z4325" s="6"/>
    </row>
    <row r="4326" customFormat="false" ht="15" hidden="false" customHeight="false" outlineLevel="0" collapsed="false">
      <c r="A4326" s="9" t="s">
        <v>4614</v>
      </c>
      <c r="B4326" s="9" t="s">
        <v>4483</v>
      </c>
      <c r="C4326" s="9" t="s">
        <v>4484</v>
      </c>
      <c r="D4326" s="9" t="s">
        <v>3722</v>
      </c>
      <c r="E4326" s="9" t="s">
        <v>323</v>
      </c>
      <c r="F4326" s="9" t="s">
        <v>207</v>
      </c>
      <c r="G4326" s="9" t="s">
        <v>221</v>
      </c>
      <c r="H4326" s="9" t="n">
        <v>625</v>
      </c>
      <c r="I4326" s="29" t="n">
        <v>0.4</v>
      </c>
      <c r="J4326" s="9" t="n">
        <v>0</v>
      </c>
      <c r="K4326" s="30"/>
      <c r="L4326" s="30"/>
      <c r="M4326" s="30"/>
      <c r="N4326" s="30"/>
      <c r="O4326" s="30"/>
      <c r="P4326" s="30"/>
      <c r="Q4326" s="30"/>
      <c r="R4326" s="30"/>
      <c r="S4326" s="30"/>
      <c r="T4326" s="30"/>
      <c r="U4326" s="21" t="str">
        <f aca="false">IF(COUNT(K4326:T4326)=0,"SOURCE EMPTY / INDUSTRIAL ONLY",IF(MIN(K4326:T4326)=1,"SERVICE READY","HOLD"))</f>
        <v>SOURCE EMPTY / INDUSTRIAL ONLY</v>
      </c>
      <c r="V4326" s="9" t="n">
        <f aca="false">IF(U4326="SERVICE READY",1,0)</f>
        <v>0</v>
      </c>
      <c r="W4326" s="6"/>
      <c r="X4326" s="6"/>
      <c r="Y4326" s="6"/>
      <c r="Z4326" s="6"/>
    </row>
    <row r="4327" customFormat="false" ht="15" hidden="false" customHeight="false" outlineLevel="0" collapsed="false">
      <c r="A4327" s="9" t="s">
        <v>4615</v>
      </c>
      <c r="B4327" s="9" t="s">
        <v>4483</v>
      </c>
      <c r="C4327" s="9" t="s">
        <v>4484</v>
      </c>
      <c r="D4327" s="9" t="s">
        <v>3722</v>
      </c>
      <c r="E4327" s="9" t="s">
        <v>323</v>
      </c>
      <c r="F4327" s="9" t="s">
        <v>209</v>
      </c>
      <c r="G4327" s="9" t="s">
        <v>221</v>
      </c>
      <c r="H4327" s="9" t="n">
        <v>625</v>
      </c>
      <c r="I4327" s="29" t="n">
        <v>0.4</v>
      </c>
      <c r="J4327" s="9" t="n">
        <v>0</v>
      </c>
      <c r="K4327" s="30"/>
      <c r="L4327" s="30"/>
      <c r="M4327" s="30"/>
      <c r="N4327" s="30"/>
      <c r="O4327" s="30"/>
      <c r="P4327" s="30"/>
      <c r="Q4327" s="30"/>
      <c r="R4327" s="30"/>
      <c r="S4327" s="30"/>
      <c r="T4327" s="30"/>
      <c r="U4327" s="21" t="str">
        <f aca="false">IF(COUNT(K4327:T4327)=0,"SOURCE EMPTY / INDUSTRIAL ONLY",IF(MIN(K4327:T4327)=1,"SERVICE READY","HOLD"))</f>
        <v>SOURCE EMPTY / INDUSTRIAL ONLY</v>
      </c>
      <c r="V4327" s="9" t="n">
        <f aca="false">IF(U4327="SERVICE READY",1,0)</f>
        <v>0</v>
      </c>
      <c r="W4327" s="6"/>
      <c r="X4327" s="6"/>
      <c r="Y4327" s="6"/>
      <c r="Z4327" s="6"/>
    </row>
    <row r="4328" customFormat="false" ht="15" hidden="false" customHeight="false" outlineLevel="0" collapsed="false">
      <c r="A4328" s="9" t="s">
        <v>4616</v>
      </c>
      <c r="B4328" s="9" t="s">
        <v>4617</v>
      </c>
      <c r="C4328" s="9" t="s">
        <v>4618</v>
      </c>
      <c r="D4328" s="9" t="s">
        <v>3722</v>
      </c>
      <c r="E4328" s="9" t="s">
        <v>323</v>
      </c>
      <c r="F4328" s="9" t="s">
        <v>197</v>
      </c>
      <c r="G4328" s="9" t="s">
        <v>198</v>
      </c>
      <c r="H4328" s="9" t="n">
        <v>875</v>
      </c>
      <c r="I4328" s="29" t="n">
        <v>0.35</v>
      </c>
      <c r="J4328" s="9" t="n">
        <v>1</v>
      </c>
      <c r="K4328" s="30"/>
      <c r="L4328" s="30"/>
      <c r="M4328" s="30"/>
      <c r="N4328" s="30"/>
      <c r="O4328" s="30"/>
      <c r="P4328" s="30"/>
      <c r="Q4328" s="30"/>
      <c r="R4328" s="30"/>
      <c r="S4328" s="30"/>
      <c r="T4328" s="30"/>
      <c r="U4328" s="21" t="str">
        <f aca="false">IF(COUNT(K4328:T4328)=0,"SOURCE EMPTY / INDUSTRIAL ONLY",IF(MIN(K4328:T4328)=1,"SERVICE READY","HOLD"))</f>
        <v>SOURCE EMPTY / INDUSTRIAL ONLY</v>
      </c>
      <c r="V4328" s="9" t="n">
        <f aca="false">IF(U4328="SERVICE READY",1,0)</f>
        <v>0</v>
      </c>
      <c r="W4328" s="6"/>
      <c r="X4328" s="6"/>
      <c r="Y4328" s="6"/>
      <c r="Z4328" s="6"/>
    </row>
    <row r="4329" customFormat="false" ht="15" hidden="false" customHeight="false" outlineLevel="0" collapsed="false">
      <c r="A4329" s="9" t="s">
        <v>4619</v>
      </c>
      <c r="B4329" s="9" t="s">
        <v>4617</v>
      </c>
      <c r="C4329" s="9" t="s">
        <v>4618</v>
      </c>
      <c r="D4329" s="9" t="s">
        <v>3722</v>
      </c>
      <c r="E4329" s="9" t="s">
        <v>323</v>
      </c>
      <c r="F4329" s="9" t="s">
        <v>200</v>
      </c>
      <c r="G4329" s="9" t="s">
        <v>201</v>
      </c>
      <c r="H4329" s="9" t="n">
        <v>875</v>
      </c>
      <c r="I4329" s="29" t="n">
        <v>0.35</v>
      </c>
      <c r="J4329" s="9" t="n">
        <v>1</v>
      </c>
      <c r="K4329" s="30"/>
      <c r="L4329" s="30"/>
      <c r="M4329" s="30"/>
      <c r="N4329" s="30"/>
      <c r="O4329" s="30"/>
      <c r="P4329" s="30"/>
      <c r="Q4329" s="30"/>
      <c r="R4329" s="30"/>
      <c r="S4329" s="30"/>
      <c r="T4329" s="30"/>
      <c r="U4329" s="21" t="str">
        <f aca="false">IF(COUNT(K4329:T4329)=0,"SOURCE EMPTY / INDUSTRIAL ONLY",IF(MIN(K4329:T4329)=1,"SERVICE READY","HOLD"))</f>
        <v>SOURCE EMPTY / INDUSTRIAL ONLY</v>
      </c>
      <c r="V4329" s="9" t="n">
        <f aca="false">IF(U4329="SERVICE READY",1,0)</f>
        <v>0</v>
      </c>
      <c r="W4329" s="6"/>
      <c r="X4329" s="6"/>
      <c r="Y4329" s="6"/>
      <c r="Z4329" s="6"/>
    </row>
    <row r="4330" customFormat="false" ht="15" hidden="false" customHeight="false" outlineLevel="0" collapsed="false">
      <c r="A4330" s="9" t="s">
        <v>4620</v>
      </c>
      <c r="B4330" s="9" t="s">
        <v>4617</v>
      </c>
      <c r="C4330" s="9" t="s">
        <v>4618</v>
      </c>
      <c r="D4330" s="9" t="s">
        <v>3722</v>
      </c>
      <c r="E4330" s="9" t="s">
        <v>323</v>
      </c>
      <c r="F4330" s="9" t="s">
        <v>203</v>
      </c>
      <c r="G4330" s="9" t="s">
        <v>198</v>
      </c>
      <c r="H4330" s="9" t="n">
        <v>875</v>
      </c>
      <c r="I4330" s="29" t="n">
        <v>0.35</v>
      </c>
      <c r="J4330" s="9" t="n">
        <v>1</v>
      </c>
      <c r="K4330" s="30"/>
      <c r="L4330" s="30"/>
      <c r="M4330" s="30"/>
      <c r="N4330" s="30"/>
      <c r="O4330" s="30"/>
      <c r="P4330" s="30"/>
      <c r="Q4330" s="30"/>
      <c r="R4330" s="30"/>
      <c r="S4330" s="30"/>
      <c r="T4330" s="30"/>
      <c r="U4330" s="21" t="str">
        <f aca="false">IF(COUNT(K4330:T4330)=0,"SOURCE EMPTY / INDUSTRIAL ONLY",IF(MIN(K4330:T4330)=1,"SERVICE READY","HOLD"))</f>
        <v>SOURCE EMPTY / INDUSTRIAL ONLY</v>
      </c>
      <c r="V4330" s="9" t="n">
        <f aca="false">IF(U4330="SERVICE READY",1,0)</f>
        <v>0</v>
      </c>
      <c r="W4330" s="6"/>
      <c r="X4330" s="6"/>
      <c r="Y4330" s="6"/>
      <c r="Z4330" s="6"/>
    </row>
    <row r="4331" customFormat="false" ht="15" hidden="false" customHeight="false" outlineLevel="0" collapsed="false">
      <c r="A4331" s="9" t="s">
        <v>4621</v>
      </c>
      <c r="B4331" s="9" t="s">
        <v>4617</v>
      </c>
      <c r="C4331" s="9" t="s">
        <v>4618</v>
      </c>
      <c r="D4331" s="9" t="s">
        <v>3722</v>
      </c>
      <c r="E4331" s="9" t="s">
        <v>323</v>
      </c>
      <c r="F4331" s="9" t="s">
        <v>205</v>
      </c>
      <c r="G4331" s="9" t="s">
        <v>201</v>
      </c>
      <c r="H4331" s="9" t="n">
        <v>875</v>
      </c>
      <c r="I4331" s="29" t="n">
        <v>0.35</v>
      </c>
      <c r="J4331" s="9" t="n">
        <v>1</v>
      </c>
      <c r="K4331" s="30"/>
      <c r="L4331" s="30"/>
      <c r="M4331" s="30"/>
      <c r="N4331" s="30"/>
      <c r="O4331" s="30"/>
      <c r="P4331" s="30"/>
      <c r="Q4331" s="30"/>
      <c r="R4331" s="30"/>
      <c r="S4331" s="30"/>
      <c r="T4331" s="30"/>
      <c r="U4331" s="21" t="str">
        <f aca="false">IF(COUNT(K4331:T4331)=0,"SOURCE EMPTY / INDUSTRIAL ONLY",IF(MIN(K4331:T4331)=1,"SERVICE READY","HOLD"))</f>
        <v>SOURCE EMPTY / INDUSTRIAL ONLY</v>
      </c>
      <c r="V4331" s="9" t="n">
        <f aca="false">IF(U4331="SERVICE READY",1,0)</f>
        <v>0</v>
      </c>
      <c r="W4331" s="6"/>
      <c r="X4331" s="6"/>
      <c r="Y4331" s="6"/>
      <c r="Z4331" s="6"/>
    </row>
    <row r="4332" customFormat="false" ht="15" hidden="false" customHeight="false" outlineLevel="0" collapsed="false">
      <c r="A4332" s="9" t="s">
        <v>4622</v>
      </c>
      <c r="B4332" s="9" t="s">
        <v>4617</v>
      </c>
      <c r="C4332" s="9" t="s">
        <v>4618</v>
      </c>
      <c r="D4332" s="9" t="s">
        <v>3722</v>
      </c>
      <c r="E4332" s="9" t="s">
        <v>323</v>
      </c>
      <c r="F4332" s="9" t="s">
        <v>207</v>
      </c>
      <c r="G4332" s="9" t="s">
        <v>198</v>
      </c>
      <c r="H4332" s="9" t="n">
        <v>875</v>
      </c>
      <c r="I4332" s="29" t="n">
        <v>0.35</v>
      </c>
      <c r="J4332" s="9" t="n">
        <v>1</v>
      </c>
      <c r="K4332" s="30"/>
      <c r="L4332" s="30"/>
      <c r="M4332" s="30"/>
      <c r="N4332" s="30"/>
      <c r="O4332" s="30"/>
      <c r="P4332" s="30"/>
      <c r="Q4332" s="30"/>
      <c r="R4332" s="30"/>
      <c r="S4332" s="30"/>
      <c r="T4332" s="30"/>
      <c r="U4332" s="21" t="str">
        <f aca="false">IF(COUNT(K4332:T4332)=0,"SOURCE EMPTY / INDUSTRIAL ONLY",IF(MIN(K4332:T4332)=1,"SERVICE READY","HOLD"))</f>
        <v>SOURCE EMPTY / INDUSTRIAL ONLY</v>
      </c>
      <c r="V4332" s="9" t="n">
        <f aca="false">IF(U4332="SERVICE READY",1,0)</f>
        <v>0</v>
      </c>
      <c r="W4332" s="6"/>
      <c r="X4332" s="6"/>
      <c r="Y4332" s="6"/>
      <c r="Z4332" s="6"/>
    </row>
    <row r="4333" customFormat="false" ht="15" hidden="false" customHeight="false" outlineLevel="0" collapsed="false">
      <c r="A4333" s="9" t="s">
        <v>4623</v>
      </c>
      <c r="B4333" s="9" t="s">
        <v>4617</v>
      </c>
      <c r="C4333" s="9" t="s">
        <v>4618</v>
      </c>
      <c r="D4333" s="9" t="s">
        <v>3722</v>
      </c>
      <c r="E4333" s="9" t="s">
        <v>323</v>
      </c>
      <c r="F4333" s="9" t="s">
        <v>209</v>
      </c>
      <c r="G4333" s="9" t="s">
        <v>201</v>
      </c>
      <c r="H4333" s="9" t="n">
        <v>875</v>
      </c>
      <c r="I4333" s="29" t="n">
        <v>0.35</v>
      </c>
      <c r="J4333" s="9" t="n">
        <v>1</v>
      </c>
      <c r="K4333" s="30"/>
      <c r="L4333" s="30"/>
      <c r="M4333" s="30"/>
      <c r="N4333" s="30"/>
      <c r="O4333" s="30"/>
      <c r="P4333" s="30"/>
      <c r="Q4333" s="30"/>
      <c r="R4333" s="30"/>
      <c r="S4333" s="30"/>
      <c r="T4333" s="30"/>
      <c r="U4333" s="21" t="str">
        <f aca="false">IF(COUNT(K4333:T4333)=0,"SOURCE EMPTY / INDUSTRIAL ONLY",IF(MIN(K4333:T4333)=1,"SERVICE READY","HOLD"))</f>
        <v>SOURCE EMPTY / INDUSTRIAL ONLY</v>
      </c>
      <c r="V4333" s="9" t="n">
        <f aca="false">IF(U4333="SERVICE READY",1,0)</f>
        <v>0</v>
      </c>
      <c r="W4333" s="6"/>
      <c r="X4333" s="6"/>
      <c r="Y4333" s="6"/>
      <c r="Z4333" s="6"/>
    </row>
    <row r="4334" customFormat="false" ht="15" hidden="false" customHeight="false" outlineLevel="0" collapsed="false">
      <c r="A4334" s="9" t="s">
        <v>4624</v>
      </c>
      <c r="B4334" s="9" t="s">
        <v>4617</v>
      </c>
      <c r="C4334" s="9" t="s">
        <v>4618</v>
      </c>
      <c r="D4334" s="9" t="s">
        <v>3722</v>
      </c>
      <c r="E4334" s="9" t="s">
        <v>323</v>
      </c>
      <c r="F4334" s="9" t="s">
        <v>211</v>
      </c>
      <c r="G4334" s="9" t="s">
        <v>198</v>
      </c>
      <c r="H4334" s="9" t="n">
        <v>875</v>
      </c>
      <c r="I4334" s="29" t="n">
        <v>0.35</v>
      </c>
      <c r="J4334" s="9" t="n">
        <v>1</v>
      </c>
      <c r="K4334" s="30"/>
      <c r="L4334" s="30"/>
      <c r="M4334" s="30"/>
      <c r="N4334" s="30"/>
      <c r="O4334" s="30"/>
      <c r="P4334" s="30"/>
      <c r="Q4334" s="30"/>
      <c r="R4334" s="30"/>
      <c r="S4334" s="30"/>
      <c r="T4334" s="30"/>
      <c r="U4334" s="21" t="str">
        <f aca="false">IF(COUNT(K4334:T4334)=0,"SOURCE EMPTY / INDUSTRIAL ONLY",IF(MIN(K4334:T4334)=1,"SERVICE READY","HOLD"))</f>
        <v>SOURCE EMPTY / INDUSTRIAL ONLY</v>
      </c>
      <c r="V4334" s="9" t="n">
        <f aca="false">IF(U4334="SERVICE READY",1,0)</f>
        <v>0</v>
      </c>
      <c r="W4334" s="6"/>
      <c r="X4334" s="6"/>
      <c r="Y4334" s="6"/>
      <c r="Z4334" s="6"/>
    </row>
    <row r="4335" customFormat="false" ht="15" hidden="false" customHeight="false" outlineLevel="0" collapsed="false">
      <c r="A4335" s="9" t="s">
        <v>4625</v>
      </c>
      <c r="B4335" s="9" t="s">
        <v>4617</v>
      </c>
      <c r="C4335" s="9" t="s">
        <v>4618</v>
      </c>
      <c r="D4335" s="9" t="s">
        <v>3722</v>
      </c>
      <c r="E4335" s="9" t="s">
        <v>323</v>
      </c>
      <c r="F4335" s="9" t="s">
        <v>197</v>
      </c>
      <c r="G4335" s="9" t="s">
        <v>201</v>
      </c>
      <c r="H4335" s="9" t="n">
        <v>875</v>
      </c>
      <c r="I4335" s="29" t="n">
        <v>0.35</v>
      </c>
      <c r="J4335" s="9" t="n">
        <v>1</v>
      </c>
      <c r="K4335" s="30"/>
      <c r="L4335" s="30"/>
      <c r="M4335" s="30"/>
      <c r="N4335" s="30"/>
      <c r="O4335" s="30"/>
      <c r="P4335" s="30"/>
      <c r="Q4335" s="30"/>
      <c r="R4335" s="30"/>
      <c r="S4335" s="30"/>
      <c r="T4335" s="30"/>
      <c r="U4335" s="21" t="str">
        <f aca="false">IF(COUNT(K4335:T4335)=0,"SOURCE EMPTY / INDUSTRIAL ONLY",IF(MIN(K4335:T4335)=1,"SERVICE READY","HOLD"))</f>
        <v>SOURCE EMPTY / INDUSTRIAL ONLY</v>
      </c>
      <c r="V4335" s="9" t="n">
        <f aca="false">IF(U4335="SERVICE READY",1,0)</f>
        <v>0</v>
      </c>
      <c r="W4335" s="6"/>
      <c r="X4335" s="6"/>
      <c r="Y4335" s="6"/>
      <c r="Z4335" s="6"/>
    </row>
    <row r="4336" customFormat="false" ht="15" hidden="false" customHeight="false" outlineLevel="0" collapsed="false">
      <c r="A4336" s="9" t="s">
        <v>4626</v>
      </c>
      <c r="B4336" s="9" t="s">
        <v>4617</v>
      </c>
      <c r="C4336" s="9" t="s">
        <v>4618</v>
      </c>
      <c r="D4336" s="9" t="s">
        <v>3722</v>
      </c>
      <c r="E4336" s="9" t="s">
        <v>323</v>
      </c>
      <c r="F4336" s="9" t="s">
        <v>200</v>
      </c>
      <c r="G4336" s="9" t="s">
        <v>198</v>
      </c>
      <c r="H4336" s="9" t="n">
        <v>875</v>
      </c>
      <c r="I4336" s="29" t="n">
        <v>0.35</v>
      </c>
      <c r="J4336" s="9" t="n">
        <v>1</v>
      </c>
      <c r="K4336" s="30"/>
      <c r="L4336" s="30"/>
      <c r="M4336" s="30"/>
      <c r="N4336" s="30"/>
      <c r="O4336" s="30"/>
      <c r="P4336" s="30"/>
      <c r="Q4336" s="30"/>
      <c r="R4336" s="30"/>
      <c r="S4336" s="30"/>
      <c r="T4336" s="30"/>
      <c r="U4336" s="21" t="str">
        <f aca="false">IF(COUNT(K4336:T4336)=0,"SOURCE EMPTY / INDUSTRIAL ONLY",IF(MIN(K4336:T4336)=1,"SERVICE READY","HOLD"))</f>
        <v>SOURCE EMPTY / INDUSTRIAL ONLY</v>
      </c>
      <c r="V4336" s="9" t="n">
        <f aca="false">IF(U4336="SERVICE READY",1,0)</f>
        <v>0</v>
      </c>
      <c r="W4336" s="6"/>
      <c r="X4336" s="6"/>
      <c r="Y4336" s="6"/>
      <c r="Z4336" s="6"/>
    </row>
    <row r="4337" customFormat="false" ht="15" hidden="false" customHeight="false" outlineLevel="0" collapsed="false">
      <c r="A4337" s="9" t="s">
        <v>4627</v>
      </c>
      <c r="B4337" s="9" t="s">
        <v>4617</v>
      </c>
      <c r="C4337" s="9" t="s">
        <v>4618</v>
      </c>
      <c r="D4337" s="9" t="s">
        <v>3722</v>
      </c>
      <c r="E4337" s="9" t="s">
        <v>323</v>
      </c>
      <c r="F4337" s="9" t="s">
        <v>203</v>
      </c>
      <c r="G4337" s="9" t="s">
        <v>201</v>
      </c>
      <c r="H4337" s="9" t="n">
        <v>875</v>
      </c>
      <c r="I4337" s="29" t="n">
        <v>0.35</v>
      </c>
      <c r="J4337" s="9" t="n">
        <v>1</v>
      </c>
      <c r="K4337" s="30"/>
      <c r="L4337" s="30"/>
      <c r="M4337" s="30"/>
      <c r="N4337" s="30"/>
      <c r="O4337" s="30"/>
      <c r="P4337" s="30"/>
      <c r="Q4337" s="30"/>
      <c r="R4337" s="30"/>
      <c r="S4337" s="30"/>
      <c r="T4337" s="30"/>
      <c r="U4337" s="21" t="str">
        <f aca="false">IF(COUNT(K4337:T4337)=0,"SOURCE EMPTY / INDUSTRIAL ONLY",IF(MIN(K4337:T4337)=1,"SERVICE READY","HOLD"))</f>
        <v>SOURCE EMPTY / INDUSTRIAL ONLY</v>
      </c>
      <c r="V4337" s="9" t="n">
        <f aca="false">IF(U4337="SERVICE READY",1,0)</f>
        <v>0</v>
      </c>
      <c r="W4337" s="6"/>
      <c r="X4337" s="6"/>
      <c r="Y4337" s="6"/>
      <c r="Z4337" s="6"/>
    </row>
    <row r="4338" customFormat="false" ht="15" hidden="false" customHeight="false" outlineLevel="0" collapsed="false">
      <c r="A4338" s="9" t="s">
        <v>4628</v>
      </c>
      <c r="B4338" s="9" t="s">
        <v>4617</v>
      </c>
      <c r="C4338" s="9" t="s">
        <v>4618</v>
      </c>
      <c r="D4338" s="9" t="s">
        <v>3722</v>
      </c>
      <c r="E4338" s="9" t="s">
        <v>323</v>
      </c>
      <c r="F4338" s="9" t="s">
        <v>205</v>
      </c>
      <c r="G4338" s="9" t="s">
        <v>198</v>
      </c>
      <c r="H4338" s="9" t="n">
        <v>875</v>
      </c>
      <c r="I4338" s="29" t="n">
        <v>0.35</v>
      </c>
      <c r="J4338" s="9" t="n">
        <v>1</v>
      </c>
      <c r="K4338" s="30"/>
      <c r="L4338" s="30"/>
      <c r="M4338" s="30"/>
      <c r="N4338" s="30"/>
      <c r="O4338" s="30"/>
      <c r="P4338" s="30"/>
      <c r="Q4338" s="30"/>
      <c r="R4338" s="30"/>
      <c r="S4338" s="30"/>
      <c r="T4338" s="30"/>
      <c r="U4338" s="21" t="str">
        <f aca="false">IF(COUNT(K4338:T4338)=0,"SOURCE EMPTY / INDUSTRIAL ONLY",IF(MIN(K4338:T4338)=1,"SERVICE READY","HOLD"))</f>
        <v>SOURCE EMPTY / INDUSTRIAL ONLY</v>
      </c>
      <c r="V4338" s="9" t="n">
        <f aca="false">IF(U4338="SERVICE READY",1,0)</f>
        <v>0</v>
      </c>
      <c r="W4338" s="6"/>
      <c r="X4338" s="6"/>
      <c r="Y4338" s="6"/>
      <c r="Z4338" s="6"/>
    </row>
    <row r="4339" customFormat="false" ht="15" hidden="false" customHeight="false" outlineLevel="0" collapsed="false">
      <c r="A4339" s="9" t="s">
        <v>4629</v>
      </c>
      <c r="B4339" s="9" t="s">
        <v>4617</v>
      </c>
      <c r="C4339" s="9" t="s">
        <v>4618</v>
      </c>
      <c r="D4339" s="9" t="s">
        <v>3722</v>
      </c>
      <c r="E4339" s="9" t="s">
        <v>323</v>
      </c>
      <c r="F4339" s="9" t="s">
        <v>207</v>
      </c>
      <c r="G4339" s="9" t="s">
        <v>201</v>
      </c>
      <c r="H4339" s="9" t="n">
        <v>875</v>
      </c>
      <c r="I4339" s="29" t="n">
        <v>0.35</v>
      </c>
      <c r="J4339" s="9" t="n">
        <v>1</v>
      </c>
      <c r="K4339" s="30"/>
      <c r="L4339" s="30"/>
      <c r="M4339" s="30"/>
      <c r="N4339" s="30"/>
      <c r="O4339" s="30"/>
      <c r="P4339" s="30"/>
      <c r="Q4339" s="30"/>
      <c r="R4339" s="30"/>
      <c r="S4339" s="30"/>
      <c r="T4339" s="30"/>
      <c r="U4339" s="21" t="str">
        <f aca="false">IF(COUNT(K4339:T4339)=0,"SOURCE EMPTY / INDUSTRIAL ONLY",IF(MIN(K4339:T4339)=1,"SERVICE READY","HOLD"))</f>
        <v>SOURCE EMPTY / INDUSTRIAL ONLY</v>
      </c>
      <c r="V4339" s="9" t="n">
        <f aca="false">IF(U4339="SERVICE READY",1,0)</f>
        <v>0</v>
      </c>
      <c r="W4339" s="6"/>
      <c r="X4339" s="6"/>
      <c r="Y4339" s="6"/>
      <c r="Z4339" s="6"/>
    </row>
    <row r="4340" customFormat="false" ht="15" hidden="false" customHeight="false" outlineLevel="0" collapsed="false">
      <c r="A4340" s="9" t="s">
        <v>4630</v>
      </c>
      <c r="B4340" s="9" t="s">
        <v>4617</v>
      </c>
      <c r="C4340" s="9" t="s">
        <v>4618</v>
      </c>
      <c r="D4340" s="9" t="s">
        <v>3722</v>
      </c>
      <c r="E4340" s="9" t="s">
        <v>323</v>
      </c>
      <c r="F4340" s="9" t="s">
        <v>209</v>
      </c>
      <c r="G4340" s="9" t="s">
        <v>198</v>
      </c>
      <c r="H4340" s="9" t="n">
        <v>875</v>
      </c>
      <c r="I4340" s="29" t="n">
        <v>0.35</v>
      </c>
      <c r="J4340" s="9" t="n">
        <v>1</v>
      </c>
      <c r="K4340" s="30"/>
      <c r="L4340" s="30"/>
      <c r="M4340" s="30"/>
      <c r="N4340" s="30"/>
      <c r="O4340" s="30"/>
      <c r="P4340" s="30"/>
      <c r="Q4340" s="30"/>
      <c r="R4340" s="30"/>
      <c r="S4340" s="30"/>
      <c r="T4340" s="30"/>
      <c r="U4340" s="21" t="str">
        <f aca="false">IF(COUNT(K4340:T4340)=0,"SOURCE EMPTY / INDUSTRIAL ONLY",IF(MIN(K4340:T4340)=1,"SERVICE READY","HOLD"))</f>
        <v>SOURCE EMPTY / INDUSTRIAL ONLY</v>
      </c>
      <c r="V4340" s="9" t="n">
        <f aca="false">IF(U4340="SERVICE READY",1,0)</f>
        <v>0</v>
      </c>
      <c r="W4340" s="6"/>
      <c r="X4340" s="6"/>
      <c r="Y4340" s="6"/>
      <c r="Z4340" s="6"/>
    </row>
    <row r="4341" customFormat="false" ht="15" hidden="false" customHeight="false" outlineLevel="0" collapsed="false">
      <c r="A4341" s="9" t="s">
        <v>4631</v>
      </c>
      <c r="B4341" s="9" t="s">
        <v>4617</v>
      </c>
      <c r="C4341" s="9" t="s">
        <v>4618</v>
      </c>
      <c r="D4341" s="9" t="s">
        <v>3722</v>
      </c>
      <c r="E4341" s="9" t="s">
        <v>323</v>
      </c>
      <c r="F4341" s="9" t="s">
        <v>211</v>
      </c>
      <c r="G4341" s="9" t="s">
        <v>201</v>
      </c>
      <c r="H4341" s="9" t="n">
        <v>875</v>
      </c>
      <c r="I4341" s="29" t="n">
        <v>0.35</v>
      </c>
      <c r="J4341" s="9" t="n">
        <v>1</v>
      </c>
      <c r="K4341" s="30"/>
      <c r="L4341" s="30"/>
      <c r="M4341" s="30"/>
      <c r="N4341" s="30"/>
      <c r="O4341" s="30"/>
      <c r="P4341" s="30"/>
      <c r="Q4341" s="30"/>
      <c r="R4341" s="30"/>
      <c r="S4341" s="30"/>
      <c r="T4341" s="30"/>
      <c r="U4341" s="21" t="str">
        <f aca="false">IF(COUNT(K4341:T4341)=0,"SOURCE EMPTY / INDUSTRIAL ONLY",IF(MIN(K4341:T4341)=1,"SERVICE READY","HOLD"))</f>
        <v>SOURCE EMPTY / INDUSTRIAL ONLY</v>
      </c>
      <c r="V4341" s="9" t="n">
        <f aca="false">IF(U4341="SERVICE READY",1,0)</f>
        <v>0</v>
      </c>
      <c r="W4341" s="6"/>
      <c r="X4341" s="6"/>
      <c r="Y4341" s="6"/>
      <c r="Z4341" s="6"/>
    </row>
    <row r="4342" customFormat="false" ht="15" hidden="false" customHeight="false" outlineLevel="0" collapsed="false">
      <c r="A4342" s="9" t="s">
        <v>4632</v>
      </c>
      <c r="B4342" s="9" t="s">
        <v>4617</v>
      </c>
      <c r="C4342" s="9" t="s">
        <v>4618</v>
      </c>
      <c r="D4342" s="9" t="s">
        <v>3722</v>
      </c>
      <c r="E4342" s="9" t="s">
        <v>323</v>
      </c>
      <c r="F4342" s="9" t="s">
        <v>197</v>
      </c>
      <c r="G4342" s="9" t="s">
        <v>198</v>
      </c>
      <c r="H4342" s="9" t="n">
        <v>875</v>
      </c>
      <c r="I4342" s="29" t="n">
        <v>0.35</v>
      </c>
      <c r="J4342" s="9" t="n">
        <v>1</v>
      </c>
      <c r="K4342" s="30"/>
      <c r="L4342" s="30"/>
      <c r="M4342" s="30"/>
      <c r="N4342" s="30"/>
      <c r="O4342" s="30"/>
      <c r="P4342" s="30"/>
      <c r="Q4342" s="30"/>
      <c r="R4342" s="30"/>
      <c r="S4342" s="30"/>
      <c r="T4342" s="30"/>
      <c r="U4342" s="21" t="str">
        <f aca="false">IF(COUNT(K4342:T4342)=0,"SOURCE EMPTY / INDUSTRIAL ONLY",IF(MIN(K4342:T4342)=1,"SERVICE READY","HOLD"))</f>
        <v>SOURCE EMPTY / INDUSTRIAL ONLY</v>
      </c>
      <c r="V4342" s="9" t="n">
        <f aca="false">IF(U4342="SERVICE READY",1,0)</f>
        <v>0</v>
      </c>
      <c r="W4342" s="6"/>
      <c r="X4342" s="6"/>
      <c r="Y4342" s="6"/>
      <c r="Z4342" s="6"/>
    </row>
    <row r="4343" customFormat="false" ht="15" hidden="false" customHeight="false" outlineLevel="0" collapsed="false">
      <c r="A4343" s="9" t="s">
        <v>4633</v>
      </c>
      <c r="B4343" s="9" t="s">
        <v>4617</v>
      </c>
      <c r="C4343" s="9" t="s">
        <v>4618</v>
      </c>
      <c r="D4343" s="9" t="s">
        <v>3722</v>
      </c>
      <c r="E4343" s="9" t="s">
        <v>323</v>
      </c>
      <c r="F4343" s="9" t="s">
        <v>200</v>
      </c>
      <c r="G4343" s="9" t="s">
        <v>201</v>
      </c>
      <c r="H4343" s="9" t="n">
        <v>875</v>
      </c>
      <c r="I4343" s="29" t="n">
        <v>0.35</v>
      </c>
      <c r="J4343" s="9" t="n">
        <v>1</v>
      </c>
      <c r="K4343" s="30"/>
      <c r="L4343" s="30"/>
      <c r="M4343" s="30"/>
      <c r="N4343" s="30"/>
      <c r="O4343" s="30"/>
      <c r="P4343" s="30"/>
      <c r="Q4343" s="30"/>
      <c r="R4343" s="30"/>
      <c r="S4343" s="30"/>
      <c r="T4343" s="30"/>
      <c r="U4343" s="21" t="str">
        <f aca="false">IF(COUNT(K4343:T4343)=0,"SOURCE EMPTY / INDUSTRIAL ONLY",IF(MIN(K4343:T4343)=1,"SERVICE READY","HOLD"))</f>
        <v>SOURCE EMPTY / INDUSTRIAL ONLY</v>
      </c>
      <c r="V4343" s="9" t="n">
        <f aca="false">IF(U4343="SERVICE READY",1,0)</f>
        <v>0</v>
      </c>
      <c r="W4343" s="6"/>
      <c r="X4343" s="6"/>
      <c r="Y4343" s="6"/>
      <c r="Z4343" s="6"/>
    </row>
    <row r="4344" customFormat="false" ht="15" hidden="false" customHeight="false" outlineLevel="0" collapsed="false">
      <c r="A4344" s="9" t="s">
        <v>4634</v>
      </c>
      <c r="B4344" s="9" t="s">
        <v>4617</v>
      </c>
      <c r="C4344" s="9" t="s">
        <v>4618</v>
      </c>
      <c r="D4344" s="9" t="s">
        <v>3722</v>
      </c>
      <c r="E4344" s="9" t="s">
        <v>323</v>
      </c>
      <c r="F4344" s="9" t="s">
        <v>203</v>
      </c>
      <c r="G4344" s="9" t="s">
        <v>198</v>
      </c>
      <c r="H4344" s="9" t="n">
        <v>875</v>
      </c>
      <c r="I4344" s="29" t="n">
        <v>0.35</v>
      </c>
      <c r="J4344" s="9" t="n">
        <v>1</v>
      </c>
      <c r="K4344" s="30"/>
      <c r="L4344" s="30"/>
      <c r="M4344" s="30"/>
      <c r="N4344" s="30"/>
      <c r="O4344" s="30"/>
      <c r="P4344" s="30"/>
      <c r="Q4344" s="30"/>
      <c r="R4344" s="30"/>
      <c r="S4344" s="30"/>
      <c r="T4344" s="30"/>
      <c r="U4344" s="21" t="str">
        <f aca="false">IF(COUNT(K4344:T4344)=0,"SOURCE EMPTY / INDUSTRIAL ONLY",IF(MIN(K4344:T4344)=1,"SERVICE READY","HOLD"))</f>
        <v>SOURCE EMPTY / INDUSTRIAL ONLY</v>
      </c>
      <c r="V4344" s="9" t="n">
        <f aca="false">IF(U4344="SERVICE READY",1,0)</f>
        <v>0</v>
      </c>
      <c r="W4344" s="6"/>
      <c r="X4344" s="6"/>
      <c r="Y4344" s="6"/>
      <c r="Z4344" s="6"/>
    </row>
    <row r="4345" customFormat="false" ht="15" hidden="false" customHeight="false" outlineLevel="0" collapsed="false">
      <c r="A4345" s="9" t="s">
        <v>4635</v>
      </c>
      <c r="B4345" s="9" t="s">
        <v>4617</v>
      </c>
      <c r="C4345" s="9" t="s">
        <v>4618</v>
      </c>
      <c r="D4345" s="9" t="s">
        <v>3722</v>
      </c>
      <c r="E4345" s="9" t="s">
        <v>323</v>
      </c>
      <c r="F4345" s="9" t="s">
        <v>205</v>
      </c>
      <c r="G4345" s="9" t="s">
        <v>201</v>
      </c>
      <c r="H4345" s="9" t="n">
        <v>875</v>
      </c>
      <c r="I4345" s="29" t="n">
        <v>0.35</v>
      </c>
      <c r="J4345" s="9" t="n">
        <v>1</v>
      </c>
      <c r="K4345" s="30"/>
      <c r="L4345" s="30"/>
      <c r="M4345" s="30"/>
      <c r="N4345" s="30"/>
      <c r="O4345" s="30"/>
      <c r="P4345" s="30"/>
      <c r="Q4345" s="30"/>
      <c r="R4345" s="30"/>
      <c r="S4345" s="30"/>
      <c r="T4345" s="30"/>
      <c r="U4345" s="21" t="str">
        <f aca="false">IF(COUNT(K4345:T4345)=0,"SOURCE EMPTY / INDUSTRIAL ONLY",IF(MIN(K4345:T4345)=1,"SERVICE READY","HOLD"))</f>
        <v>SOURCE EMPTY / INDUSTRIAL ONLY</v>
      </c>
      <c r="V4345" s="9" t="n">
        <f aca="false">IF(U4345="SERVICE READY",1,0)</f>
        <v>0</v>
      </c>
      <c r="W4345" s="6"/>
      <c r="X4345" s="6"/>
      <c r="Y4345" s="6"/>
      <c r="Z4345" s="6"/>
    </row>
    <row r="4346" customFormat="false" ht="15" hidden="false" customHeight="false" outlineLevel="0" collapsed="false">
      <c r="A4346" s="9" t="s">
        <v>4636</v>
      </c>
      <c r="B4346" s="9" t="s">
        <v>4617</v>
      </c>
      <c r="C4346" s="9" t="s">
        <v>4618</v>
      </c>
      <c r="D4346" s="9" t="s">
        <v>3722</v>
      </c>
      <c r="E4346" s="9" t="s">
        <v>323</v>
      </c>
      <c r="F4346" s="9" t="s">
        <v>207</v>
      </c>
      <c r="G4346" s="9" t="s">
        <v>198</v>
      </c>
      <c r="H4346" s="9" t="n">
        <v>875</v>
      </c>
      <c r="I4346" s="29" t="n">
        <v>0.35</v>
      </c>
      <c r="J4346" s="9" t="n">
        <v>1</v>
      </c>
      <c r="K4346" s="30"/>
      <c r="L4346" s="30"/>
      <c r="M4346" s="30"/>
      <c r="N4346" s="30"/>
      <c r="O4346" s="30"/>
      <c r="P4346" s="30"/>
      <c r="Q4346" s="30"/>
      <c r="R4346" s="30"/>
      <c r="S4346" s="30"/>
      <c r="T4346" s="30"/>
      <c r="U4346" s="21" t="str">
        <f aca="false">IF(COUNT(K4346:T4346)=0,"SOURCE EMPTY / INDUSTRIAL ONLY",IF(MIN(K4346:T4346)=1,"SERVICE READY","HOLD"))</f>
        <v>SOURCE EMPTY / INDUSTRIAL ONLY</v>
      </c>
      <c r="V4346" s="9" t="n">
        <f aca="false">IF(U4346="SERVICE READY",1,0)</f>
        <v>0</v>
      </c>
      <c r="W4346" s="6"/>
      <c r="X4346" s="6"/>
      <c r="Y4346" s="6"/>
      <c r="Z4346" s="6"/>
    </row>
    <row r="4347" customFormat="false" ht="15" hidden="false" customHeight="false" outlineLevel="0" collapsed="false">
      <c r="A4347" s="9" t="s">
        <v>4637</v>
      </c>
      <c r="B4347" s="9" t="s">
        <v>4617</v>
      </c>
      <c r="C4347" s="9" t="s">
        <v>4618</v>
      </c>
      <c r="D4347" s="9" t="s">
        <v>3722</v>
      </c>
      <c r="E4347" s="9" t="s">
        <v>323</v>
      </c>
      <c r="F4347" s="9" t="s">
        <v>209</v>
      </c>
      <c r="G4347" s="9" t="s">
        <v>201</v>
      </c>
      <c r="H4347" s="9" t="n">
        <v>875</v>
      </c>
      <c r="I4347" s="29" t="n">
        <v>0.35</v>
      </c>
      <c r="J4347" s="9" t="n">
        <v>1</v>
      </c>
      <c r="K4347" s="30"/>
      <c r="L4347" s="30"/>
      <c r="M4347" s="30"/>
      <c r="N4347" s="30"/>
      <c r="O4347" s="30"/>
      <c r="P4347" s="30"/>
      <c r="Q4347" s="30"/>
      <c r="R4347" s="30"/>
      <c r="S4347" s="30"/>
      <c r="T4347" s="30"/>
      <c r="U4347" s="21" t="str">
        <f aca="false">IF(COUNT(K4347:T4347)=0,"SOURCE EMPTY / INDUSTRIAL ONLY",IF(MIN(K4347:T4347)=1,"SERVICE READY","HOLD"))</f>
        <v>SOURCE EMPTY / INDUSTRIAL ONLY</v>
      </c>
      <c r="V4347" s="9" t="n">
        <f aca="false">IF(U4347="SERVICE READY",1,0)</f>
        <v>0</v>
      </c>
      <c r="W4347" s="6"/>
      <c r="X4347" s="6"/>
      <c r="Y4347" s="6"/>
      <c r="Z4347" s="6"/>
    </row>
    <row r="4348" customFormat="false" ht="15" hidden="false" customHeight="false" outlineLevel="0" collapsed="false">
      <c r="A4348" s="9" t="s">
        <v>4638</v>
      </c>
      <c r="B4348" s="9" t="s">
        <v>4617</v>
      </c>
      <c r="C4348" s="9" t="s">
        <v>4618</v>
      </c>
      <c r="D4348" s="9" t="s">
        <v>3722</v>
      </c>
      <c r="E4348" s="9" t="s">
        <v>323</v>
      </c>
      <c r="F4348" s="9" t="s">
        <v>211</v>
      </c>
      <c r="G4348" s="9" t="s">
        <v>198</v>
      </c>
      <c r="H4348" s="9" t="n">
        <v>875</v>
      </c>
      <c r="I4348" s="29" t="n">
        <v>0.35</v>
      </c>
      <c r="J4348" s="9" t="n">
        <v>1</v>
      </c>
      <c r="K4348" s="30"/>
      <c r="L4348" s="30"/>
      <c r="M4348" s="30"/>
      <c r="N4348" s="30"/>
      <c r="O4348" s="30"/>
      <c r="P4348" s="30"/>
      <c r="Q4348" s="30"/>
      <c r="R4348" s="30"/>
      <c r="S4348" s="30"/>
      <c r="T4348" s="30"/>
      <c r="U4348" s="21" t="str">
        <f aca="false">IF(COUNT(K4348:T4348)=0,"SOURCE EMPTY / INDUSTRIAL ONLY",IF(MIN(K4348:T4348)=1,"SERVICE READY","HOLD"))</f>
        <v>SOURCE EMPTY / INDUSTRIAL ONLY</v>
      </c>
      <c r="V4348" s="9" t="n">
        <f aca="false">IF(U4348="SERVICE READY",1,0)</f>
        <v>0</v>
      </c>
      <c r="W4348" s="6"/>
      <c r="X4348" s="6"/>
      <c r="Y4348" s="6"/>
      <c r="Z4348" s="6"/>
    </row>
    <row r="4349" customFormat="false" ht="15" hidden="false" customHeight="false" outlineLevel="0" collapsed="false">
      <c r="A4349" s="9" t="s">
        <v>4639</v>
      </c>
      <c r="B4349" s="9" t="s">
        <v>4617</v>
      </c>
      <c r="C4349" s="9" t="s">
        <v>4618</v>
      </c>
      <c r="D4349" s="9" t="s">
        <v>3722</v>
      </c>
      <c r="E4349" s="9" t="s">
        <v>323</v>
      </c>
      <c r="F4349" s="9" t="s">
        <v>197</v>
      </c>
      <c r="G4349" s="9" t="s">
        <v>201</v>
      </c>
      <c r="H4349" s="9" t="n">
        <v>875</v>
      </c>
      <c r="I4349" s="29" t="n">
        <v>0.35</v>
      </c>
      <c r="J4349" s="9" t="n">
        <v>1</v>
      </c>
      <c r="K4349" s="30"/>
      <c r="L4349" s="30"/>
      <c r="M4349" s="30"/>
      <c r="N4349" s="30"/>
      <c r="O4349" s="30"/>
      <c r="P4349" s="30"/>
      <c r="Q4349" s="30"/>
      <c r="R4349" s="30"/>
      <c r="S4349" s="30"/>
      <c r="T4349" s="30"/>
      <c r="U4349" s="21" t="str">
        <f aca="false">IF(COUNT(K4349:T4349)=0,"SOURCE EMPTY / INDUSTRIAL ONLY",IF(MIN(K4349:T4349)=1,"SERVICE READY","HOLD"))</f>
        <v>SOURCE EMPTY / INDUSTRIAL ONLY</v>
      </c>
      <c r="V4349" s="9" t="n">
        <f aca="false">IF(U4349="SERVICE READY",1,0)</f>
        <v>0</v>
      </c>
      <c r="W4349" s="6"/>
      <c r="X4349" s="6"/>
      <c r="Y4349" s="6"/>
      <c r="Z4349" s="6"/>
    </row>
    <row r="4350" customFormat="false" ht="15" hidden="false" customHeight="false" outlineLevel="0" collapsed="false">
      <c r="A4350" s="9" t="s">
        <v>4640</v>
      </c>
      <c r="B4350" s="9" t="s">
        <v>4617</v>
      </c>
      <c r="C4350" s="9" t="s">
        <v>4618</v>
      </c>
      <c r="D4350" s="9" t="s">
        <v>3722</v>
      </c>
      <c r="E4350" s="9" t="s">
        <v>323</v>
      </c>
      <c r="F4350" s="9" t="s">
        <v>200</v>
      </c>
      <c r="G4350" s="9" t="s">
        <v>198</v>
      </c>
      <c r="H4350" s="9" t="n">
        <v>875</v>
      </c>
      <c r="I4350" s="29" t="n">
        <v>0.35</v>
      </c>
      <c r="J4350" s="9" t="n">
        <v>1</v>
      </c>
      <c r="K4350" s="30"/>
      <c r="L4350" s="30"/>
      <c r="M4350" s="30"/>
      <c r="N4350" s="30"/>
      <c r="O4350" s="30"/>
      <c r="P4350" s="30"/>
      <c r="Q4350" s="30"/>
      <c r="R4350" s="30"/>
      <c r="S4350" s="30"/>
      <c r="T4350" s="30"/>
      <c r="U4350" s="21" t="str">
        <f aca="false">IF(COUNT(K4350:T4350)=0,"SOURCE EMPTY / INDUSTRIAL ONLY",IF(MIN(K4350:T4350)=1,"SERVICE READY","HOLD"))</f>
        <v>SOURCE EMPTY / INDUSTRIAL ONLY</v>
      </c>
      <c r="V4350" s="9" t="n">
        <f aca="false">IF(U4350="SERVICE READY",1,0)</f>
        <v>0</v>
      </c>
      <c r="W4350" s="6"/>
      <c r="X4350" s="6"/>
      <c r="Y4350" s="6"/>
      <c r="Z4350" s="6"/>
    </row>
    <row r="4351" customFormat="false" ht="15" hidden="false" customHeight="false" outlineLevel="0" collapsed="false">
      <c r="A4351" s="9" t="s">
        <v>4641</v>
      </c>
      <c r="B4351" s="9" t="s">
        <v>4617</v>
      </c>
      <c r="C4351" s="9" t="s">
        <v>4618</v>
      </c>
      <c r="D4351" s="9" t="s">
        <v>3722</v>
      </c>
      <c r="E4351" s="9" t="s">
        <v>323</v>
      </c>
      <c r="F4351" s="9" t="s">
        <v>203</v>
      </c>
      <c r="G4351" s="9" t="s">
        <v>201</v>
      </c>
      <c r="H4351" s="9" t="n">
        <v>875</v>
      </c>
      <c r="I4351" s="29" t="n">
        <v>0.35</v>
      </c>
      <c r="J4351" s="9" t="n">
        <v>1</v>
      </c>
      <c r="K4351" s="30"/>
      <c r="L4351" s="30"/>
      <c r="M4351" s="30"/>
      <c r="N4351" s="30"/>
      <c r="O4351" s="30"/>
      <c r="P4351" s="30"/>
      <c r="Q4351" s="30"/>
      <c r="R4351" s="30"/>
      <c r="S4351" s="30"/>
      <c r="T4351" s="30"/>
      <c r="U4351" s="21" t="str">
        <f aca="false">IF(COUNT(K4351:T4351)=0,"SOURCE EMPTY / INDUSTRIAL ONLY",IF(MIN(K4351:T4351)=1,"SERVICE READY","HOLD"))</f>
        <v>SOURCE EMPTY / INDUSTRIAL ONLY</v>
      </c>
      <c r="V4351" s="9" t="n">
        <f aca="false">IF(U4351="SERVICE READY",1,0)</f>
        <v>0</v>
      </c>
      <c r="W4351" s="6"/>
      <c r="X4351" s="6"/>
      <c r="Y4351" s="6"/>
      <c r="Z4351" s="6"/>
    </row>
    <row r="4352" customFormat="false" ht="15" hidden="false" customHeight="false" outlineLevel="0" collapsed="false">
      <c r="A4352" s="9" t="s">
        <v>4642</v>
      </c>
      <c r="B4352" s="9" t="s">
        <v>4617</v>
      </c>
      <c r="C4352" s="9" t="s">
        <v>4618</v>
      </c>
      <c r="D4352" s="9" t="s">
        <v>3722</v>
      </c>
      <c r="E4352" s="9" t="s">
        <v>323</v>
      </c>
      <c r="F4352" s="9" t="s">
        <v>205</v>
      </c>
      <c r="G4352" s="9" t="s">
        <v>198</v>
      </c>
      <c r="H4352" s="9" t="n">
        <v>875</v>
      </c>
      <c r="I4352" s="29" t="n">
        <v>0.35</v>
      </c>
      <c r="J4352" s="9" t="n">
        <v>1</v>
      </c>
      <c r="K4352" s="30"/>
      <c r="L4352" s="30"/>
      <c r="M4352" s="30"/>
      <c r="N4352" s="30"/>
      <c r="O4352" s="30"/>
      <c r="P4352" s="30"/>
      <c r="Q4352" s="30"/>
      <c r="R4352" s="30"/>
      <c r="S4352" s="30"/>
      <c r="T4352" s="30"/>
      <c r="U4352" s="21" t="str">
        <f aca="false">IF(COUNT(K4352:T4352)=0,"SOURCE EMPTY / INDUSTRIAL ONLY",IF(MIN(K4352:T4352)=1,"SERVICE READY","HOLD"))</f>
        <v>SOURCE EMPTY / INDUSTRIAL ONLY</v>
      </c>
      <c r="V4352" s="9" t="n">
        <f aca="false">IF(U4352="SERVICE READY",1,0)</f>
        <v>0</v>
      </c>
      <c r="W4352" s="6"/>
      <c r="X4352" s="6"/>
      <c r="Y4352" s="6"/>
      <c r="Z4352" s="6"/>
    </row>
    <row r="4353" customFormat="false" ht="15" hidden="false" customHeight="false" outlineLevel="0" collapsed="false">
      <c r="A4353" s="9" t="s">
        <v>4643</v>
      </c>
      <c r="B4353" s="9" t="s">
        <v>4617</v>
      </c>
      <c r="C4353" s="9" t="s">
        <v>4618</v>
      </c>
      <c r="D4353" s="9" t="s">
        <v>3722</v>
      </c>
      <c r="E4353" s="9" t="s">
        <v>323</v>
      </c>
      <c r="F4353" s="9" t="s">
        <v>207</v>
      </c>
      <c r="G4353" s="9" t="s">
        <v>201</v>
      </c>
      <c r="H4353" s="9" t="n">
        <v>875</v>
      </c>
      <c r="I4353" s="29" t="n">
        <v>0.35</v>
      </c>
      <c r="J4353" s="9" t="n">
        <v>1</v>
      </c>
      <c r="K4353" s="30"/>
      <c r="L4353" s="30"/>
      <c r="M4353" s="30"/>
      <c r="N4353" s="30"/>
      <c r="O4353" s="30"/>
      <c r="P4353" s="30"/>
      <c r="Q4353" s="30"/>
      <c r="R4353" s="30"/>
      <c r="S4353" s="30"/>
      <c r="T4353" s="30"/>
      <c r="U4353" s="21" t="str">
        <f aca="false">IF(COUNT(K4353:T4353)=0,"SOURCE EMPTY / INDUSTRIAL ONLY",IF(MIN(K4353:T4353)=1,"SERVICE READY","HOLD"))</f>
        <v>SOURCE EMPTY / INDUSTRIAL ONLY</v>
      </c>
      <c r="V4353" s="9" t="n">
        <f aca="false">IF(U4353="SERVICE READY",1,0)</f>
        <v>0</v>
      </c>
      <c r="W4353" s="6"/>
      <c r="X4353" s="6"/>
      <c r="Y4353" s="6"/>
      <c r="Z4353" s="6"/>
    </row>
    <row r="4354" customFormat="false" ht="15" hidden="false" customHeight="false" outlineLevel="0" collapsed="false">
      <c r="A4354" s="9" t="s">
        <v>4644</v>
      </c>
      <c r="B4354" s="9" t="s">
        <v>4617</v>
      </c>
      <c r="C4354" s="9" t="s">
        <v>4618</v>
      </c>
      <c r="D4354" s="9" t="s">
        <v>3722</v>
      </c>
      <c r="E4354" s="9" t="s">
        <v>323</v>
      </c>
      <c r="F4354" s="9" t="s">
        <v>209</v>
      </c>
      <c r="G4354" s="9" t="s">
        <v>198</v>
      </c>
      <c r="H4354" s="9" t="n">
        <v>875</v>
      </c>
      <c r="I4354" s="29" t="n">
        <v>0.35</v>
      </c>
      <c r="J4354" s="9" t="n">
        <v>1</v>
      </c>
      <c r="K4354" s="30"/>
      <c r="L4354" s="30"/>
      <c r="M4354" s="30"/>
      <c r="N4354" s="30"/>
      <c r="O4354" s="30"/>
      <c r="P4354" s="30"/>
      <c r="Q4354" s="30"/>
      <c r="R4354" s="30"/>
      <c r="S4354" s="30"/>
      <c r="T4354" s="30"/>
      <c r="U4354" s="21" t="str">
        <f aca="false">IF(COUNT(K4354:T4354)=0,"SOURCE EMPTY / INDUSTRIAL ONLY",IF(MIN(K4354:T4354)=1,"SERVICE READY","HOLD"))</f>
        <v>SOURCE EMPTY / INDUSTRIAL ONLY</v>
      </c>
      <c r="V4354" s="9" t="n">
        <f aca="false">IF(U4354="SERVICE READY",1,0)</f>
        <v>0</v>
      </c>
      <c r="W4354" s="6"/>
      <c r="X4354" s="6"/>
      <c r="Y4354" s="6"/>
      <c r="Z4354" s="6"/>
    </row>
    <row r="4355" customFormat="false" ht="15" hidden="false" customHeight="false" outlineLevel="0" collapsed="false">
      <c r="A4355" s="9" t="s">
        <v>4645</v>
      </c>
      <c r="B4355" s="9" t="s">
        <v>4617</v>
      </c>
      <c r="C4355" s="9" t="s">
        <v>4618</v>
      </c>
      <c r="D4355" s="9" t="s">
        <v>3722</v>
      </c>
      <c r="E4355" s="9" t="s">
        <v>323</v>
      </c>
      <c r="F4355" s="9" t="s">
        <v>211</v>
      </c>
      <c r="G4355" s="9" t="s">
        <v>201</v>
      </c>
      <c r="H4355" s="9" t="n">
        <v>875</v>
      </c>
      <c r="I4355" s="29" t="n">
        <v>0.35</v>
      </c>
      <c r="J4355" s="9" t="n">
        <v>1</v>
      </c>
      <c r="K4355" s="30"/>
      <c r="L4355" s="30"/>
      <c r="M4355" s="30"/>
      <c r="N4355" s="30"/>
      <c r="O4355" s="30"/>
      <c r="P4355" s="30"/>
      <c r="Q4355" s="30"/>
      <c r="R4355" s="30"/>
      <c r="S4355" s="30"/>
      <c r="T4355" s="30"/>
      <c r="U4355" s="21" t="str">
        <f aca="false">IF(COUNT(K4355:T4355)=0,"SOURCE EMPTY / INDUSTRIAL ONLY",IF(MIN(K4355:T4355)=1,"SERVICE READY","HOLD"))</f>
        <v>SOURCE EMPTY / INDUSTRIAL ONLY</v>
      </c>
      <c r="V4355" s="9" t="n">
        <f aca="false">IF(U4355="SERVICE READY",1,0)</f>
        <v>0</v>
      </c>
      <c r="W4355" s="6"/>
      <c r="X4355" s="6"/>
      <c r="Y4355" s="6"/>
      <c r="Z4355" s="6"/>
    </row>
    <row r="4356" customFormat="false" ht="15" hidden="false" customHeight="false" outlineLevel="0" collapsed="false">
      <c r="A4356" s="9" t="s">
        <v>4646</v>
      </c>
      <c r="B4356" s="9" t="s">
        <v>4617</v>
      </c>
      <c r="C4356" s="9" t="s">
        <v>4618</v>
      </c>
      <c r="D4356" s="9" t="s">
        <v>3722</v>
      </c>
      <c r="E4356" s="9" t="s">
        <v>323</v>
      </c>
      <c r="F4356" s="9" t="s">
        <v>197</v>
      </c>
      <c r="G4356" s="9" t="s">
        <v>198</v>
      </c>
      <c r="H4356" s="9" t="n">
        <v>875</v>
      </c>
      <c r="I4356" s="29" t="n">
        <v>0.35</v>
      </c>
      <c r="J4356" s="9" t="n">
        <v>1</v>
      </c>
      <c r="K4356" s="30"/>
      <c r="L4356" s="30"/>
      <c r="M4356" s="30"/>
      <c r="N4356" s="30"/>
      <c r="O4356" s="30"/>
      <c r="P4356" s="30"/>
      <c r="Q4356" s="30"/>
      <c r="R4356" s="30"/>
      <c r="S4356" s="30"/>
      <c r="T4356" s="30"/>
      <c r="U4356" s="21" t="str">
        <f aca="false">IF(COUNT(K4356:T4356)=0,"SOURCE EMPTY / INDUSTRIAL ONLY",IF(MIN(K4356:T4356)=1,"SERVICE READY","HOLD"))</f>
        <v>SOURCE EMPTY / INDUSTRIAL ONLY</v>
      </c>
      <c r="V4356" s="9" t="n">
        <f aca="false">IF(U4356="SERVICE READY",1,0)</f>
        <v>0</v>
      </c>
      <c r="W4356" s="6"/>
      <c r="X4356" s="6"/>
      <c r="Y4356" s="6"/>
      <c r="Z4356" s="6"/>
    </row>
    <row r="4357" customFormat="false" ht="15" hidden="false" customHeight="false" outlineLevel="0" collapsed="false">
      <c r="A4357" s="9" t="s">
        <v>4647</v>
      </c>
      <c r="B4357" s="9" t="s">
        <v>4617</v>
      </c>
      <c r="C4357" s="9" t="s">
        <v>4618</v>
      </c>
      <c r="D4357" s="9" t="s">
        <v>3722</v>
      </c>
      <c r="E4357" s="9" t="s">
        <v>323</v>
      </c>
      <c r="F4357" s="9" t="s">
        <v>200</v>
      </c>
      <c r="G4357" s="9" t="s">
        <v>201</v>
      </c>
      <c r="H4357" s="9" t="n">
        <v>875</v>
      </c>
      <c r="I4357" s="29" t="n">
        <v>0.35</v>
      </c>
      <c r="J4357" s="9" t="n">
        <v>1</v>
      </c>
      <c r="K4357" s="30"/>
      <c r="L4357" s="30"/>
      <c r="M4357" s="30"/>
      <c r="N4357" s="30"/>
      <c r="O4357" s="30"/>
      <c r="P4357" s="30"/>
      <c r="Q4357" s="30"/>
      <c r="R4357" s="30"/>
      <c r="S4357" s="30"/>
      <c r="T4357" s="30"/>
      <c r="U4357" s="21" t="str">
        <f aca="false">IF(COUNT(K4357:T4357)=0,"SOURCE EMPTY / INDUSTRIAL ONLY",IF(MIN(K4357:T4357)=1,"SERVICE READY","HOLD"))</f>
        <v>SOURCE EMPTY / INDUSTRIAL ONLY</v>
      </c>
      <c r="V4357" s="9" t="n">
        <f aca="false">IF(U4357="SERVICE READY",1,0)</f>
        <v>0</v>
      </c>
      <c r="W4357" s="6"/>
      <c r="X4357" s="6"/>
      <c r="Y4357" s="6"/>
      <c r="Z4357" s="6"/>
    </row>
    <row r="4358" customFormat="false" ht="15" hidden="false" customHeight="false" outlineLevel="0" collapsed="false">
      <c r="A4358" s="9" t="s">
        <v>4648</v>
      </c>
      <c r="B4358" s="9" t="s">
        <v>4617</v>
      </c>
      <c r="C4358" s="9" t="s">
        <v>4618</v>
      </c>
      <c r="D4358" s="9" t="s">
        <v>3722</v>
      </c>
      <c r="E4358" s="9" t="s">
        <v>323</v>
      </c>
      <c r="F4358" s="9" t="s">
        <v>203</v>
      </c>
      <c r="G4358" s="9" t="s">
        <v>221</v>
      </c>
      <c r="H4358" s="9" t="n">
        <v>875</v>
      </c>
      <c r="I4358" s="29" t="n">
        <v>0.35</v>
      </c>
      <c r="J4358" s="9" t="n">
        <v>1</v>
      </c>
      <c r="K4358" s="30"/>
      <c r="L4358" s="30"/>
      <c r="M4358" s="30"/>
      <c r="N4358" s="30"/>
      <c r="O4358" s="30"/>
      <c r="P4358" s="30"/>
      <c r="Q4358" s="30"/>
      <c r="R4358" s="30"/>
      <c r="S4358" s="30"/>
      <c r="T4358" s="30"/>
      <c r="U4358" s="21" t="str">
        <f aca="false">IF(COUNT(K4358:T4358)=0,"SOURCE EMPTY / INDUSTRIAL ONLY",IF(MIN(K4358:T4358)=1,"SERVICE READY","HOLD"))</f>
        <v>SOURCE EMPTY / INDUSTRIAL ONLY</v>
      </c>
      <c r="V4358" s="9" t="n">
        <f aca="false">IF(U4358="SERVICE READY",1,0)</f>
        <v>0</v>
      </c>
      <c r="W4358" s="6"/>
      <c r="X4358" s="6"/>
      <c r="Y4358" s="6"/>
      <c r="Z4358" s="6"/>
    </row>
    <row r="4359" customFormat="false" ht="15" hidden="false" customHeight="false" outlineLevel="0" collapsed="false">
      <c r="A4359" s="9" t="s">
        <v>4649</v>
      </c>
      <c r="B4359" s="9" t="s">
        <v>4617</v>
      </c>
      <c r="C4359" s="9" t="s">
        <v>4618</v>
      </c>
      <c r="D4359" s="9" t="s">
        <v>3722</v>
      </c>
      <c r="E4359" s="9" t="s">
        <v>323</v>
      </c>
      <c r="F4359" s="9" t="s">
        <v>205</v>
      </c>
      <c r="G4359" s="9" t="s">
        <v>221</v>
      </c>
      <c r="H4359" s="9" t="n">
        <v>875</v>
      </c>
      <c r="I4359" s="29" t="n">
        <v>0.35</v>
      </c>
      <c r="J4359" s="9" t="n">
        <v>1</v>
      </c>
      <c r="K4359" s="30"/>
      <c r="L4359" s="30"/>
      <c r="M4359" s="30"/>
      <c r="N4359" s="30"/>
      <c r="O4359" s="30"/>
      <c r="P4359" s="30"/>
      <c r="Q4359" s="30"/>
      <c r="R4359" s="30"/>
      <c r="S4359" s="30"/>
      <c r="T4359" s="30"/>
      <c r="U4359" s="21" t="str">
        <f aca="false">IF(COUNT(K4359:T4359)=0,"SOURCE EMPTY / INDUSTRIAL ONLY",IF(MIN(K4359:T4359)=1,"SERVICE READY","HOLD"))</f>
        <v>SOURCE EMPTY / INDUSTRIAL ONLY</v>
      </c>
      <c r="V4359" s="9" t="n">
        <f aca="false">IF(U4359="SERVICE READY",1,0)</f>
        <v>0</v>
      </c>
      <c r="W4359" s="6"/>
      <c r="X4359" s="6"/>
      <c r="Y4359" s="6"/>
      <c r="Z4359" s="6"/>
    </row>
    <row r="4360" customFormat="false" ht="15" hidden="false" customHeight="false" outlineLevel="0" collapsed="false">
      <c r="A4360" s="9" t="s">
        <v>4650</v>
      </c>
      <c r="B4360" s="9" t="s">
        <v>4617</v>
      </c>
      <c r="C4360" s="9" t="s">
        <v>4618</v>
      </c>
      <c r="D4360" s="9" t="s">
        <v>3722</v>
      </c>
      <c r="E4360" s="9" t="s">
        <v>323</v>
      </c>
      <c r="F4360" s="9" t="s">
        <v>207</v>
      </c>
      <c r="G4360" s="9" t="s">
        <v>221</v>
      </c>
      <c r="H4360" s="9" t="n">
        <v>875</v>
      </c>
      <c r="I4360" s="29" t="n">
        <v>0.35</v>
      </c>
      <c r="J4360" s="9" t="n">
        <v>1</v>
      </c>
      <c r="K4360" s="30"/>
      <c r="L4360" s="30"/>
      <c r="M4360" s="30"/>
      <c r="N4360" s="30"/>
      <c r="O4360" s="30"/>
      <c r="P4360" s="30"/>
      <c r="Q4360" s="30"/>
      <c r="R4360" s="30"/>
      <c r="S4360" s="30"/>
      <c r="T4360" s="30"/>
      <c r="U4360" s="21" t="str">
        <f aca="false">IF(COUNT(K4360:T4360)=0,"SOURCE EMPTY / INDUSTRIAL ONLY",IF(MIN(K4360:T4360)=1,"SERVICE READY","HOLD"))</f>
        <v>SOURCE EMPTY / INDUSTRIAL ONLY</v>
      </c>
      <c r="V4360" s="9" t="n">
        <f aca="false">IF(U4360="SERVICE READY",1,0)</f>
        <v>0</v>
      </c>
      <c r="W4360" s="6"/>
      <c r="X4360" s="6"/>
      <c r="Y4360" s="6"/>
      <c r="Z4360" s="6"/>
    </row>
    <row r="4361" customFormat="false" ht="15" hidden="false" customHeight="false" outlineLevel="0" collapsed="false">
      <c r="A4361" s="9" t="s">
        <v>4651</v>
      </c>
      <c r="B4361" s="9" t="s">
        <v>4617</v>
      </c>
      <c r="C4361" s="9" t="s">
        <v>4618</v>
      </c>
      <c r="D4361" s="9" t="s">
        <v>3722</v>
      </c>
      <c r="E4361" s="9" t="s">
        <v>323</v>
      </c>
      <c r="F4361" s="9" t="s">
        <v>209</v>
      </c>
      <c r="G4361" s="9" t="s">
        <v>221</v>
      </c>
      <c r="H4361" s="9" t="n">
        <v>875</v>
      </c>
      <c r="I4361" s="29" t="n">
        <v>0.35</v>
      </c>
      <c r="J4361" s="9" t="n">
        <v>1</v>
      </c>
      <c r="K4361" s="30"/>
      <c r="L4361" s="30"/>
      <c r="M4361" s="30"/>
      <c r="N4361" s="30"/>
      <c r="O4361" s="30"/>
      <c r="P4361" s="30"/>
      <c r="Q4361" s="30"/>
      <c r="R4361" s="30"/>
      <c r="S4361" s="30"/>
      <c r="T4361" s="30"/>
      <c r="U4361" s="21" t="str">
        <f aca="false">IF(COUNT(K4361:T4361)=0,"SOURCE EMPTY / INDUSTRIAL ONLY",IF(MIN(K4361:T4361)=1,"SERVICE READY","HOLD"))</f>
        <v>SOURCE EMPTY / INDUSTRIAL ONLY</v>
      </c>
      <c r="V4361" s="9" t="n">
        <f aca="false">IF(U4361="SERVICE READY",1,0)</f>
        <v>0</v>
      </c>
      <c r="W4361" s="6"/>
      <c r="X4361" s="6"/>
      <c r="Y4361" s="6"/>
      <c r="Z4361" s="6"/>
    </row>
    <row r="4362" customFormat="false" ht="15" hidden="false" customHeight="false" outlineLevel="0" collapsed="false">
      <c r="A4362" s="9" t="s">
        <v>4652</v>
      </c>
      <c r="B4362" s="9" t="s">
        <v>4617</v>
      </c>
      <c r="C4362" s="9" t="s">
        <v>4618</v>
      </c>
      <c r="D4362" s="9" t="s">
        <v>3722</v>
      </c>
      <c r="E4362" s="9" t="s">
        <v>323</v>
      </c>
      <c r="F4362" s="9" t="s">
        <v>211</v>
      </c>
      <c r="G4362" s="9" t="s">
        <v>221</v>
      </c>
      <c r="H4362" s="9" t="n">
        <v>875</v>
      </c>
      <c r="I4362" s="29" t="n">
        <v>0.35</v>
      </c>
      <c r="J4362" s="9" t="n">
        <v>1</v>
      </c>
      <c r="K4362" s="30"/>
      <c r="L4362" s="30"/>
      <c r="M4362" s="30"/>
      <c r="N4362" s="30"/>
      <c r="O4362" s="30"/>
      <c r="P4362" s="30"/>
      <c r="Q4362" s="30"/>
      <c r="R4362" s="30"/>
      <c r="S4362" s="30"/>
      <c r="T4362" s="30"/>
      <c r="U4362" s="21" t="str">
        <f aca="false">IF(COUNT(K4362:T4362)=0,"SOURCE EMPTY / INDUSTRIAL ONLY",IF(MIN(K4362:T4362)=1,"SERVICE READY","HOLD"))</f>
        <v>SOURCE EMPTY / INDUSTRIAL ONLY</v>
      </c>
      <c r="V4362" s="9" t="n">
        <f aca="false">IF(U4362="SERVICE READY",1,0)</f>
        <v>0</v>
      </c>
      <c r="W4362" s="6"/>
      <c r="X4362" s="6"/>
      <c r="Y4362" s="6"/>
      <c r="Z4362" s="6"/>
    </row>
    <row r="4363" customFormat="false" ht="15" hidden="false" customHeight="false" outlineLevel="0" collapsed="false">
      <c r="A4363" s="9" t="s">
        <v>4653</v>
      </c>
      <c r="B4363" s="9" t="s">
        <v>4617</v>
      </c>
      <c r="C4363" s="9" t="s">
        <v>4618</v>
      </c>
      <c r="D4363" s="9" t="s">
        <v>3722</v>
      </c>
      <c r="E4363" s="9" t="s">
        <v>323</v>
      </c>
      <c r="F4363" s="9" t="s">
        <v>197</v>
      </c>
      <c r="G4363" s="9" t="s">
        <v>221</v>
      </c>
      <c r="H4363" s="9" t="n">
        <v>875</v>
      </c>
      <c r="I4363" s="29" t="n">
        <v>0.35</v>
      </c>
      <c r="J4363" s="9" t="n">
        <v>1</v>
      </c>
      <c r="K4363" s="30"/>
      <c r="L4363" s="30"/>
      <c r="M4363" s="30"/>
      <c r="N4363" s="30"/>
      <c r="O4363" s="30"/>
      <c r="P4363" s="30"/>
      <c r="Q4363" s="30"/>
      <c r="R4363" s="30"/>
      <c r="S4363" s="30"/>
      <c r="T4363" s="30"/>
      <c r="U4363" s="21" t="str">
        <f aca="false">IF(COUNT(K4363:T4363)=0,"SOURCE EMPTY / INDUSTRIAL ONLY",IF(MIN(K4363:T4363)=1,"SERVICE READY","HOLD"))</f>
        <v>SOURCE EMPTY / INDUSTRIAL ONLY</v>
      </c>
      <c r="V4363" s="9" t="n">
        <f aca="false">IF(U4363="SERVICE READY",1,0)</f>
        <v>0</v>
      </c>
      <c r="W4363" s="6"/>
      <c r="X4363" s="6"/>
      <c r="Y4363" s="6"/>
      <c r="Z4363" s="6"/>
    </row>
    <row r="4364" customFormat="false" ht="15" hidden="false" customHeight="false" outlineLevel="0" collapsed="false">
      <c r="A4364" s="9" t="s">
        <v>4654</v>
      </c>
      <c r="B4364" s="9" t="s">
        <v>4617</v>
      </c>
      <c r="C4364" s="9" t="s">
        <v>4618</v>
      </c>
      <c r="D4364" s="9" t="s">
        <v>3722</v>
      </c>
      <c r="E4364" s="9" t="s">
        <v>323</v>
      </c>
      <c r="F4364" s="9" t="s">
        <v>200</v>
      </c>
      <c r="G4364" s="9" t="s">
        <v>221</v>
      </c>
      <c r="H4364" s="9" t="n">
        <v>875</v>
      </c>
      <c r="I4364" s="29" t="n">
        <v>0.35</v>
      </c>
      <c r="J4364" s="9" t="n">
        <v>1</v>
      </c>
      <c r="K4364" s="30"/>
      <c r="L4364" s="30"/>
      <c r="M4364" s="30"/>
      <c r="N4364" s="30"/>
      <c r="O4364" s="30"/>
      <c r="P4364" s="30"/>
      <c r="Q4364" s="30"/>
      <c r="R4364" s="30"/>
      <c r="S4364" s="30"/>
      <c r="T4364" s="30"/>
      <c r="U4364" s="21" t="str">
        <f aca="false">IF(COUNT(K4364:T4364)=0,"SOURCE EMPTY / INDUSTRIAL ONLY",IF(MIN(K4364:T4364)=1,"SERVICE READY","HOLD"))</f>
        <v>SOURCE EMPTY / INDUSTRIAL ONLY</v>
      </c>
      <c r="V4364" s="9" t="n">
        <f aca="false">IF(U4364="SERVICE READY",1,0)</f>
        <v>0</v>
      </c>
      <c r="W4364" s="6"/>
      <c r="X4364" s="6"/>
      <c r="Y4364" s="6"/>
      <c r="Z4364" s="6"/>
    </row>
    <row r="4365" customFormat="false" ht="15" hidden="false" customHeight="false" outlineLevel="0" collapsed="false">
      <c r="A4365" s="9" t="s">
        <v>4655</v>
      </c>
      <c r="B4365" s="9" t="s">
        <v>4617</v>
      </c>
      <c r="C4365" s="9" t="s">
        <v>4618</v>
      </c>
      <c r="D4365" s="9" t="s">
        <v>3722</v>
      </c>
      <c r="E4365" s="9" t="s">
        <v>323</v>
      </c>
      <c r="F4365" s="9" t="s">
        <v>203</v>
      </c>
      <c r="G4365" s="9" t="s">
        <v>221</v>
      </c>
      <c r="H4365" s="9" t="n">
        <v>875</v>
      </c>
      <c r="I4365" s="29" t="n">
        <v>0.35</v>
      </c>
      <c r="J4365" s="9" t="n">
        <v>1</v>
      </c>
      <c r="K4365" s="30"/>
      <c r="L4365" s="30"/>
      <c r="M4365" s="30"/>
      <c r="N4365" s="30"/>
      <c r="O4365" s="30"/>
      <c r="P4365" s="30"/>
      <c r="Q4365" s="30"/>
      <c r="R4365" s="30"/>
      <c r="S4365" s="30"/>
      <c r="T4365" s="30"/>
      <c r="U4365" s="21" t="str">
        <f aca="false">IF(COUNT(K4365:T4365)=0,"SOURCE EMPTY / INDUSTRIAL ONLY",IF(MIN(K4365:T4365)=1,"SERVICE READY","HOLD"))</f>
        <v>SOURCE EMPTY / INDUSTRIAL ONLY</v>
      </c>
      <c r="V4365" s="9" t="n">
        <f aca="false">IF(U4365="SERVICE READY",1,0)</f>
        <v>0</v>
      </c>
      <c r="W4365" s="6"/>
      <c r="X4365" s="6"/>
      <c r="Y4365" s="6"/>
      <c r="Z4365" s="6"/>
    </row>
    <row r="4366" customFormat="false" ht="15" hidden="false" customHeight="false" outlineLevel="0" collapsed="false">
      <c r="A4366" s="9" t="s">
        <v>4656</v>
      </c>
      <c r="B4366" s="9" t="s">
        <v>4617</v>
      </c>
      <c r="C4366" s="9" t="s">
        <v>4618</v>
      </c>
      <c r="D4366" s="9" t="s">
        <v>3722</v>
      </c>
      <c r="E4366" s="9" t="s">
        <v>323</v>
      </c>
      <c r="F4366" s="9" t="s">
        <v>205</v>
      </c>
      <c r="G4366" s="9" t="s">
        <v>221</v>
      </c>
      <c r="H4366" s="9" t="n">
        <v>875</v>
      </c>
      <c r="I4366" s="29" t="n">
        <v>0.35</v>
      </c>
      <c r="J4366" s="9" t="n">
        <v>1</v>
      </c>
      <c r="K4366" s="30"/>
      <c r="L4366" s="30"/>
      <c r="M4366" s="30"/>
      <c r="N4366" s="30"/>
      <c r="O4366" s="30"/>
      <c r="P4366" s="30"/>
      <c r="Q4366" s="30"/>
      <c r="R4366" s="30"/>
      <c r="S4366" s="30"/>
      <c r="T4366" s="30"/>
      <c r="U4366" s="21" t="str">
        <f aca="false">IF(COUNT(K4366:T4366)=0,"SOURCE EMPTY / INDUSTRIAL ONLY",IF(MIN(K4366:T4366)=1,"SERVICE READY","HOLD"))</f>
        <v>SOURCE EMPTY / INDUSTRIAL ONLY</v>
      </c>
      <c r="V4366" s="9" t="n">
        <f aca="false">IF(U4366="SERVICE READY",1,0)</f>
        <v>0</v>
      </c>
      <c r="W4366" s="6"/>
      <c r="X4366" s="6"/>
      <c r="Y4366" s="6"/>
      <c r="Z4366" s="6"/>
    </row>
    <row r="4367" customFormat="false" ht="15" hidden="false" customHeight="false" outlineLevel="0" collapsed="false">
      <c r="A4367" s="9" t="s">
        <v>4657</v>
      </c>
      <c r="B4367" s="9" t="s">
        <v>4617</v>
      </c>
      <c r="C4367" s="9" t="s">
        <v>4618</v>
      </c>
      <c r="D4367" s="9" t="s">
        <v>3722</v>
      </c>
      <c r="E4367" s="9" t="s">
        <v>323</v>
      </c>
      <c r="F4367" s="9" t="s">
        <v>207</v>
      </c>
      <c r="G4367" s="9" t="s">
        <v>221</v>
      </c>
      <c r="H4367" s="9" t="n">
        <v>875</v>
      </c>
      <c r="I4367" s="29" t="n">
        <v>0.35</v>
      </c>
      <c r="J4367" s="9" t="n">
        <v>1</v>
      </c>
      <c r="K4367" s="30"/>
      <c r="L4367" s="30"/>
      <c r="M4367" s="30"/>
      <c r="N4367" s="30"/>
      <c r="O4367" s="30"/>
      <c r="P4367" s="30"/>
      <c r="Q4367" s="30"/>
      <c r="R4367" s="30"/>
      <c r="S4367" s="30"/>
      <c r="T4367" s="30"/>
      <c r="U4367" s="21" t="str">
        <f aca="false">IF(COUNT(K4367:T4367)=0,"SOURCE EMPTY / INDUSTRIAL ONLY",IF(MIN(K4367:T4367)=1,"SERVICE READY","HOLD"))</f>
        <v>SOURCE EMPTY / INDUSTRIAL ONLY</v>
      </c>
      <c r="V4367" s="9" t="n">
        <f aca="false">IF(U4367="SERVICE READY",1,0)</f>
        <v>0</v>
      </c>
      <c r="W4367" s="6"/>
      <c r="X4367" s="6"/>
      <c r="Y4367" s="6"/>
      <c r="Z4367" s="6"/>
    </row>
    <row r="4368" customFormat="false" ht="15" hidden="false" customHeight="false" outlineLevel="0" collapsed="false">
      <c r="A4368" s="9" t="s">
        <v>4658</v>
      </c>
      <c r="B4368" s="9" t="s">
        <v>4617</v>
      </c>
      <c r="C4368" s="9" t="s">
        <v>4618</v>
      </c>
      <c r="D4368" s="9" t="s">
        <v>3722</v>
      </c>
      <c r="E4368" s="9" t="s">
        <v>323</v>
      </c>
      <c r="F4368" s="9" t="s">
        <v>209</v>
      </c>
      <c r="G4368" s="9" t="s">
        <v>221</v>
      </c>
      <c r="H4368" s="9" t="n">
        <v>875</v>
      </c>
      <c r="I4368" s="29" t="n">
        <v>0.35</v>
      </c>
      <c r="J4368" s="9" t="n">
        <v>1</v>
      </c>
      <c r="K4368" s="30"/>
      <c r="L4368" s="30"/>
      <c r="M4368" s="30"/>
      <c r="N4368" s="30"/>
      <c r="O4368" s="30"/>
      <c r="P4368" s="30"/>
      <c r="Q4368" s="30"/>
      <c r="R4368" s="30"/>
      <c r="S4368" s="30"/>
      <c r="T4368" s="30"/>
      <c r="U4368" s="21" t="str">
        <f aca="false">IF(COUNT(K4368:T4368)=0,"SOURCE EMPTY / INDUSTRIAL ONLY",IF(MIN(K4368:T4368)=1,"SERVICE READY","HOLD"))</f>
        <v>SOURCE EMPTY / INDUSTRIAL ONLY</v>
      </c>
      <c r="V4368" s="9" t="n">
        <f aca="false">IF(U4368="SERVICE READY",1,0)</f>
        <v>0</v>
      </c>
      <c r="W4368" s="6"/>
      <c r="X4368" s="6"/>
      <c r="Y4368" s="6"/>
      <c r="Z4368" s="6"/>
    </row>
    <row r="4369" customFormat="false" ht="15" hidden="false" customHeight="false" outlineLevel="0" collapsed="false">
      <c r="A4369" s="9" t="s">
        <v>4659</v>
      </c>
      <c r="B4369" s="9" t="s">
        <v>4617</v>
      </c>
      <c r="C4369" s="9" t="s">
        <v>4618</v>
      </c>
      <c r="D4369" s="9" t="s">
        <v>3722</v>
      </c>
      <c r="E4369" s="9" t="s">
        <v>323</v>
      </c>
      <c r="F4369" s="9" t="s">
        <v>211</v>
      </c>
      <c r="G4369" s="9" t="s">
        <v>221</v>
      </c>
      <c r="H4369" s="9" t="n">
        <v>875</v>
      </c>
      <c r="I4369" s="29" t="n">
        <v>0.35</v>
      </c>
      <c r="J4369" s="9" t="n">
        <v>1</v>
      </c>
      <c r="K4369" s="30"/>
      <c r="L4369" s="30"/>
      <c r="M4369" s="30"/>
      <c r="N4369" s="30"/>
      <c r="O4369" s="30"/>
      <c r="P4369" s="30"/>
      <c r="Q4369" s="30"/>
      <c r="R4369" s="30"/>
      <c r="S4369" s="30"/>
      <c r="T4369" s="30"/>
      <c r="U4369" s="21" t="str">
        <f aca="false">IF(COUNT(K4369:T4369)=0,"SOURCE EMPTY / INDUSTRIAL ONLY",IF(MIN(K4369:T4369)=1,"SERVICE READY","HOLD"))</f>
        <v>SOURCE EMPTY / INDUSTRIAL ONLY</v>
      </c>
      <c r="V4369" s="9" t="n">
        <f aca="false">IF(U4369="SERVICE READY",1,0)</f>
        <v>0</v>
      </c>
      <c r="W4369" s="6"/>
      <c r="X4369" s="6"/>
      <c r="Y4369" s="6"/>
      <c r="Z4369" s="6"/>
    </row>
    <row r="4370" customFormat="false" ht="15" hidden="false" customHeight="false" outlineLevel="0" collapsed="false">
      <c r="A4370" s="9" t="s">
        <v>4660</v>
      </c>
      <c r="B4370" s="9" t="s">
        <v>4617</v>
      </c>
      <c r="C4370" s="9" t="s">
        <v>4618</v>
      </c>
      <c r="D4370" s="9" t="s">
        <v>3722</v>
      </c>
      <c r="E4370" s="9" t="s">
        <v>323</v>
      </c>
      <c r="F4370" s="9" t="s">
        <v>197</v>
      </c>
      <c r="G4370" s="9" t="s">
        <v>221</v>
      </c>
      <c r="H4370" s="9" t="n">
        <v>875</v>
      </c>
      <c r="I4370" s="29" t="n">
        <v>0.35</v>
      </c>
      <c r="J4370" s="9" t="n">
        <v>1</v>
      </c>
      <c r="K4370" s="30"/>
      <c r="L4370" s="30"/>
      <c r="M4370" s="30"/>
      <c r="N4370" s="30"/>
      <c r="O4370" s="30"/>
      <c r="P4370" s="30"/>
      <c r="Q4370" s="30"/>
      <c r="R4370" s="30"/>
      <c r="S4370" s="30"/>
      <c r="T4370" s="30"/>
      <c r="U4370" s="21" t="str">
        <f aca="false">IF(COUNT(K4370:T4370)=0,"SOURCE EMPTY / INDUSTRIAL ONLY",IF(MIN(K4370:T4370)=1,"SERVICE READY","HOLD"))</f>
        <v>SOURCE EMPTY / INDUSTRIAL ONLY</v>
      </c>
      <c r="V4370" s="9" t="n">
        <f aca="false">IF(U4370="SERVICE READY",1,0)</f>
        <v>0</v>
      </c>
      <c r="W4370" s="6"/>
      <c r="X4370" s="6"/>
      <c r="Y4370" s="6"/>
      <c r="Z4370" s="6"/>
    </row>
    <row r="4371" customFormat="false" ht="15" hidden="false" customHeight="false" outlineLevel="0" collapsed="false">
      <c r="A4371" s="9" t="s">
        <v>4661</v>
      </c>
      <c r="B4371" s="9" t="s">
        <v>4617</v>
      </c>
      <c r="C4371" s="9" t="s">
        <v>4618</v>
      </c>
      <c r="D4371" s="9" t="s">
        <v>3722</v>
      </c>
      <c r="E4371" s="9" t="s">
        <v>323</v>
      </c>
      <c r="F4371" s="9" t="s">
        <v>200</v>
      </c>
      <c r="G4371" s="9" t="s">
        <v>221</v>
      </c>
      <c r="H4371" s="9" t="n">
        <v>875</v>
      </c>
      <c r="I4371" s="29" t="n">
        <v>0.35</v>
      </c>
      <c r="J4371" s="9" t="n">
        <v>1</v>
      </c>
      <c r="K4371" s="30"/>
      <c r="L4371" s="30"/>
      <c r="M4371" s="30"/>
      <c r="N4371" s="30"/>
      <c r="O4371" s="30"/>
      <c r="P4371" s="30"/>
      <c r="Q4371" s="30"/>
      <c r="R4371" s="30"/>
      <c r="S4371" s="30"/>
      <c r="T4371" s="30"/>
      <c r="U4371" s="21" t="str">
        <f aca="false">IF(COUNT(K4371:T4371)=0,"SOURCE EMPTY / INDUSTRIAL ONLY",IF(MIN(K4371:T4371)=1,"SERVICE READY","HOLD"))</f>
        <v>SOURCE EMPTY / INDUSTRIAL ONLY</v>
      </c>
      <c r="V4371" s="9" t="n">
        <f aca="false">IF(U4371="SERVICE READY",1,0)</f>
        <v>0</v>
      </c>
      <c r="W4371" s="6"/>
      <c r="X4371" s="6"/>
      <c r="Y4371" s="6"/>
      <c r="Z4371" s="6"/>
    </row>
    <row r="4372" customFormat="false" ht="15" hidden="false" customHeight="false" outlineLevel="0" collapsed="false">
      <c r="A4372" s="9" t="s">
        <v>4662</v>
      </c>
      <c r="B4372" s="9" t="s">
        <v>4617</v>
      </c>
      <c r="C4372" s="9" t="s">
        <v>4618</v>
      </c>
      <c r="D4372" s="9" t="s">
        <v>3722</v>
      </c>
      <c r="E4372" s="9" t="s">
        <v>323</v>
      </c>
      <c r="F4372" s="9" t="s">
        <v>203</v>
      </c>
      <c r="G4372" s="9" t="s">
        <v>221</v>
      </c>
      <c r="H4372" s="9" t="n">
        <v>875</v>
      </c>
      <c r="I4372" s="29" t="n">
        <v>0.35</v>
      </c>
      <c r="J4372" s="9" t="n">
        <v>1</v>
      </c>
      <c r="K4372" s="30"/>
      <c r="L4372" s="30"/>
      <c r="M4372" s="30"/>
      <c r="N4372" s="30"/>
      <c r="O4372" s="30"/>
      <c r="P4372" s="30"/>
      <c r="Q4372" s="30"/>
      <c r="R4372" s="30"/>
      <c r="S4372" s="30"/>
      <c r="T4372" s="30"/>
      <c r="U4372" s="21" t="str">
        <f aca="false">IF(COUNT(K4372:T4372)=0,"SOURCE EMPTY / INDUSTRIAL ONLY",IF(MIN(K4372:T4372)=1,"SERVICE READY","HOLD"))</f>
        <v>SOURCE EMPTY / INDUSTRIAL ONLY</v>
      </c>
      <c r="V4372" s="9" t="n">
        <f aca="false">IF(U4372="SERVICE READY",1,0)</f>
        <v>0</v>
      </c>
      <c r="W4372" s="6"/>
      <c r="X4372" s="6"/>
      <c r="Y4372" s="6"/>
      <c r="Z4372" s="6"/>
    </row>
    <row r="4373" customFormat="false" ht="15" hidden="false" customHeight="false" outlineLevel="0" collapsed="false">
      <c r="A4373" s="9" t="s">
        <v>4663</v>
      </c>
      <c r="B4373" s="9" t="s">
        <v>4617</v>
      </c>
      <c r="C4373" s="9" t="s">
        <v>4618</v>
      </c>
      <c r="D4373" s="9" t="s">
        <v>3722</v>
      </c>
      <c r="E4373" s="9" t="s">
        <v>323</v>
      </c>
      <c r="F4373" s="9" t="s">
        <v>205</v>
      </c>
      <c r="G4373" s="9" t="s">
        <v>221</v>
      </c>
      <c r="H4373" s="9" t="n">
        <v>875</v>
      </c>
      <c r="I4373" s="29" t="n">
        <v>0.35</v>
      </c>
      <c r="J4373" s="9" t="n">
        <v>1</v>
      </c>
      <c r="K4373" s="30"/>
      <c r="L4373" s="30"/>
      <c r="M4373" s="30"/>
      <c r="N4373" s="30"/>
      <c r="O4373" s="30"/>
      <c r="P4373" s="30"/>
      <c r="Q4373" s="30"/>
      <c r="R4373" s="30"/>
      <c r="S4373" s="30"/>
      <c r="T4373" s="30"/>
      <c r="U4373" s="21" t="str">
        <f aca="false">IF(COUNT(K4373:T4373)=0,"SOURCE EMPTY / INDUSTRIAL ONLY",IF(MIN(K4373:T4373)=1,"SERVICE READY","HOLD"))</f>
        <v>SOURCE EMPTY / INDUSTRIAL ONLY</v>
      </c>
      <c r="V4373" s="9" t="n">
        <f aca="false">IF(U4373="SERVICE READY",1,0)</f>
        <v>0</v>
      </c>
      <c r="W4373" s="6"/>
      <c r="X4373" s="6"/>
      <c r="Y4373" s="6"/>
      <c r="Z4373" s="6"/>
    </row>
    <row r="4374" customFormat="false" ht="15" hidden="false" customHeight="false" outlineLevel="0" collapsed="false">
      <c r="A4374" s="9" t="s">
        <v>4664</v>
      </c>
      <c r="B4374" s="9" t="s">
        <v>4617</v>
      </c>
      <c r="C4374" s="9" t="s">
        <v>4618</v>
      </c>
      <c r="D4374" s="9" t="s">
        <v>3722</v>
      </c>
      <c r="E4374" s="9" t="s">
        <v>323</v>
      </c>
      <c r="F4374" s="9" t="s">
        <v>207</v>
      </c>
      <c r="G4374" s="9" t="s">
        <v>221</v>
      </c>
      <c r="H4374" s="9" t="n">
        <v>875</v>
      </c>
      <c r="I4374" s="29" t="n">
        <v>0.35</v>
      </c>
      <c r="J4374" s="9" t="n">
        <v>1</v>
      </c>
      <c r="K4374" s="30"/>
      <c r="L4374" s="30"/>
      <c r="M4374" s="30"/>
      <c r="N4374" s="30"/>
      <c r="O4374" s="30"/>
      <c r="P4374" s="30"/>
      <c r="Q4374" s="30"/>
      <c r="R4374" s="30"/>
      <c r="S4374" s="30"/>
      <c r="T4374" s="30"/>
      <c r="U4374" s="21" t="str">
        <f aca="false">IF(COUNT(K4374:T4374)=0,"SOURCE EMPTY / INDUSTRIAL ONLY",IF(MIN(K4374:T4374)=1,"SERVICE READY","HOLD"))</f>
        <v>SOURCE EMPTY / INDUSTRIAL ONLY</v>
      </c>
      <c r="V4374" s="9" t="n">
        <f aca="false">IF(U4374="SERVICE READY",1,0)</f>
        <v>0</v>
      </c>
      <c r="W4374" s="6"/>
      <c r="X4374" s="6"/>
      <c r="Y4374" s="6"/>
      <c r="Z4374" s="6"/>
    </row>
    <row r="4375" customFormat="false" ht="15" hidden="false" customHeight="false" outlineLevel="0" collapsed="false">
      <c r="A4375" s="9" t="s">
        <v>4665</v>
      </c>
      <c r="B4375" s="9" t="s">
        <v>4617</v>
      </c>
      <c r="C4375" s="9" t="s">
        <v>4618</v>
      </c>
      <c r="D4375" s="9" t="s">
        <v>3722</v>
      </c>
      <c r="E4375" s="9" t="s">
        <v>323</v>
      </c>
      <c r="F4375" s="9" t="s">
        <v>209</v>
      </c>
      <c r="G4375" s="9" t="s">
        <v>221</v>
      </c>
      <c r="H4375" s="9" t="n">
        <v>875</v>
      </c>
      <c r="I4375" s="29" t="n">
        <v>0.35</v>
      </c>
      <c r="J4375" s="9" t="n">
        <v>1</v>
      </c>
      <c r="K4375" s="30"/>
      <c r="L4375" s="30"/>
      <c r="M4375" s="30"/>
      <c r="N4375" s="30"/>
      <c r="O4375" s="30"/>
      <c r="P4375" s="30"/>
      <c r="Q4375" s="30"/>
      <c r="R4375" s="30"/>
      <c r="S4375" s="30"/>
      <c r="T4375" s="30"/>
      <c r="U4375" s="21" t="str">
        <f aca="false">IF(COUNT(K4375:T4375)=0,"SOURCE EMPTY / INDUSTRIAL ONLY",IF(MIN(K4375:T4375)=1,"SERVICE READY","HOLD"))</f>
        <v>SOURCE EMPTY / INDUSTRIAL ONLY</v>
      </c>
      <c r="V4375" s="9" t="n">
        <f aca="false">IF(U4375="SERVICE READY",1,0)</f>
        <v>0</v>
      </c>
      <c r="W4375" s="6"/>
      <c r="X4375" s="6"/>
      <c r="Y4375" s="6"/>
      <c r="Z4375" s="6"/>
    </row>
    <row r="4376" customFormat="false" ht="15" hidden="false" customHeight="false" outlineLevel="0" collapsed="false">
      <c r="A4376" s="9" t="s">
        <v>4666</v>
      </c>
      <c r="B4376" s="9" t="s">
        <v>4617</v>
      </c>
      <c r="C4376" s="9" t="s">
        <v>4618</v>
      </c>
      <c r="D4376" s="9" t="s">
        <v>3722</v>
      </c>
      <c r="E4376" s="9" t="s">
        <v>323</v>
      </c>
      <c r="F4376" s="9" t="s">
        <v>211</v>
      </c>
      <c r="G4376" s="9" t="s">
        <v>221</v>
      </c>
      <c r="H4376" s="9" t="n">
        <v>875</v>
      </c>
      <c r="I4376" s="29" t="n">
        <v>0.35</v>
      </c>
      <c r="J4376" s="9" t="n">
        <v>1</v>
      </c>
      <c r="K4376" s="30"/>
      <c r="L4376" s="30"/>
      <c r="M4376" s="30"/>
      <c r="N4376" s="30"/>
      <c r="O4376" s="30"/>
      <c r="P4376" s="30"/>
      <c r="Q4376" s="30"/>
      <c r="R4376" s="30"/>
      <c r="S4376" s="30"/>
      <c r="T4376" s="30"/>
      <c r="U4376" s="21" t="str">
        <f aca="false">IF(COUNT(K4376:T4376)=0,"SOURCE EMPTY / INDUSTRIAL ONLY",IF(MIN(K4376:T4376)=1,"SERVICE READY","HOLD"))</f>
        <v>SOURCE EMPTY / INDUSTRIAL ONLY</v>
      </c>
      <c r="V4376" s="9" t="n">
        <f aca="false">IF(U4376="SERVICE READY",1,0)</f>
        <v>0</v>
      </c>
      <c r="W4376" s="6"/>
      <c r="X4376" s="6"/>
      <c r="Y4376" s="6"/>
      <c r="Z4376" s="6"/>
    </row>
    <row r="4377" customFormat="false" ht="15" hidden="false" customHeight="false" outlineLevel="0" collapsed="false">
      <c r="A4377" s="9" t="s">
        <v>4667</v>
      </c>
      <c r="B4377" s="9" t="s">
        <v>4617</v>
      </c>
      <c r="C4377" s="9" t="s">
        <v>4618</v>
      </c>
      <c r="D4377" s="9" t="s">
        <v>3722</v>
      </c>
      <c r="E4377" s="9" t="s">
        <v>323</v>
      </c>
      <c r="F4377" s="9" t="s">
        <v>197</v>
      </c>
      <c r="G4377" s="9" t="s">
        <v>221</v>
      </c>
      <c r="H4377" s="9" t="n">
        <v>875</v>
      </c>
      <c r="I4377" s="29" t="n">
        <v>0.35</v>
      </c>
      <c r="J4377" s="9" t="n">
        <v>1</v>
      </c>
      <c r="K4377" s="30"/>
      <c r="L4377" s="30"/>
      <c r="M4377" s="30"/>
      <c r="N4377" s="30"/>
      <c r="O4377" s="30"/>
      <c r="P4377" s="30"/>
      <c r="Q4377" s="30"/>
      <c r="R4377" s="30"/>
      <c r="S4377" s="30"/>
      <c r="T4377" s="30"/>
      <c r="U4377" s="21" t="str">
        <f aca="false">IF(COUNT(K4377:T4377)=0,"SOURCE EMPTY / INDUSTRIAL ONLY",IF(MIN(K4377:T4377)=1,"SERVICE READY","HOLD"))</f>
        <v>SOURCE EMPTY / INDUSTRIAL ONLY</v>
      </c>
      <c r="V4377" s="9" t="n">
        <f aca="false">IF(U4377="SERVICE READY",1,0)</f>
        <v>0</v>
      </c>
      <c r="W4377" s="6"/>
      <c r="X4377" s="6"/>
      <c r="Y4377" s="6"/>
      <c r="Z4377" s="6"/>
    </row>
    <row r="4378" customFormat="false" ht="15" hidden="false" customHeight="false" outlineLevel="0" collapsed="false">
      <c r="A4378" s="9" t="s">
        <v>4668</v>
      </c>
      <c r="B4378" s="9" t="s">
        <v>4617</v>
      </c>
      <c r="C4378" s="9" t="s">
        <v>4618</v>
      </c>
      <c r="D4378" s="9" t="s">
        <v>3722</v>
      </c>
      <c r="E4378" s="9" t="s">
        <v>323</v>
      </c>
      <c r="F4378" s="9" t="s">
        <v>200</v>
      </c>
      <c r="G4378" s="9" t="s">
        <v>221</v>
      </c>
      <c r="H4378" s="9" t="n">
        <v>875</v>
      </c>
      <c r="I4378" s="29" t="n">
        <v>0.35</v>
      </c>
      <c r="J4378" s="9" t="n">
        <v>1</v>
      </c>
      <c r="K4378" s="30"/>
      <c r="L4378" s="30"/>
      <c r="M4378" s="30"/>
      <c r="N4378" s="30"/>
      <c r="O4378" s="30"/>
      <c r="P4378" s="30"/>
      <c r="Q4378" s="30"/>
      <c r="R4378" s="30"/>
      <c r="S4378" s="30"/>
      <c r="T4378" s="30"/>
      <c r="U4378" s="21" t="str">
        <f aca="false">IF(COUNT(K4378:T4378)=0,"SOURCE EMPTY / INDUSTRIAL ONLY",IF(MIN(K4378:T4378)=1,"SERVICE READY","HOLD"))</f>
        <v>SOURCE EMPTY / INDUSTRIAL ONLY</v>
      </c>
      <c r="V4378" s="9" t="n">
        <f aca="false">IF(U4378="SERVICE READY",1,0)</f>
        <v>0</v>
      </c>
      <c r="W4378" s="6"/>
      <c r="X4378" s="6"/>
      <c r="Y4378" s="6"/>
      <c r="Z4378" s="6"/>
    </row>
    <row r="4379" customFormat="false" ht="15" hidden="false" customHeight="false" outlineLevel="0" collapsed="false">
      <c r="A4379" s="9" t="s">
        <v>4669</v>
      </c>
      <c r="B4379" s="9" t="s">
        <v>4617</v>
      </c>
      <c r="C4379" s="9" t="s">
        <v>4618</v>
      </c>
      <c r="D4379" s="9" t="s">
        <v>3722</v>
      </c>
      <c r="E4379" s="9" t="s">
        <v>323</v>
      </c>
      <c r="F4379" s="9" t="s">
        <v>203</v>
      </c>
      <c r="G4379" s="9" t="s">
        <v>221</v>
      </c>
      <c r="H4379" s="9" t="n">
        <v>875</v>
      </c>
      <c r="I4379" s="29" t="n">
        <v>0.35</v>
      </c>
      <c r="J4379" s="9" t="n">
        <v>1</v>
      </c>
      <c r="K4379" s="30"/>
      <c r="L4379" s="30"/>
      <c r="M4379" s="30"/>
      <c r="N4379" s="30"/>
      <c r="O4379" s="30"/>
      <c r="P4379" s="30"/>
      <c r="Q4379" s="30"/>
      <c r="R4379" s="30"/>
      <c r="S4379" s="30"/>
      <c r="T4379" s="30"/>
      <c r="U4379" s="21" t="str">
        <f aca="false">IF(COUNT(K4379:T4379)=0,"SOURCE EMPTY / INDUSTRIAL ONLY",IF(MIN(K4379:T4379)=1,"SERVICE READY","HOLD"))</f>
        <v>SOURCE EMPTY / INDUSTRIAL ONLY</v>
      </c>
      <c r="V4379" s="9" t="n">
        <f aca="false">IF(U4379="SERVICE READY",1,0)</f>
        <v>0</v>
      </c>
      <c r="W4379" s="6"/>
      <c r="X4379" s="6"/>
      <c r="Y4379" s="6"/>
      <c r="Z4379" s="6"/>
    </row>
    <row r="4380" customFormat="false" ht="15" hidden="false" customHeight="false" outlineLevel="0" collapsed="false">
      <c r="A4380" s="9" t="s">
        <v>4670</v>
      </c>
      <c r="B4380" s="9" t="s">
        <v>4617</v>
      </c>
      <c r="C4380" s="9" t="s">
        <v>4618</v>
      </c>
      <c r="D4380" s="9" t="s">
        <v>3722</v>
      </c>
      <c r="E4380" s="9" t="s">
        <v>323</v>
      </c>
      <c r="F4380" s="9" t="s">
        <v>205</v>
      </c>
      <c r="G4380" s="9" t="s">
        <v>221</v>
      </c>
      <c r="H4380" s="9" t="n">
        <v>875</v>
      </c>
      <c r="I4380" s="29" t="n">
        <v>0.35</v>
      </c>
      <c r="J4380" s="9" t="n">
        <v>1</v>
      </c>
      <c r="K4380" s="30"/>
      <c r="L4380" s="30"/>
      <c r="M4380" s="30"/>
      <c r="N4380" s="30"/>
      <c r="O4380" s="30"/>
      <c r="P4380" s="30"/>
      <c r="Q4380" s="30"/>
      <c r="R4380" s="30"/>
      <c r="S4380" s="30"/>
      <c r="T4380" s="30"/>
      <c r="U4380" s="21" t="str">
        <f aca="false">IF(COUNT(K4380:T4380)=0,"SOURCE EMPTY / INDUSTRIAL ONLY",IF(MIN(K4380:T4380)=1,"SERVICE READY","HOLD"))</f>
        <v>SOURCE EMPTY / INDUSTRIAL ONLY</v>
      </c>
      <c r="V4380" s="9" t="n">
        <f aca="false">IF(U4380="SERVICE READY",1,0)</f>
        <v>0</v>
      </c>
      <c r="W4380" s="6"/>
      <c r="X4380" s="6"/>
      <c r="Y4380" s="6"/>
      <c r="Z4380" s="6"/>
    </row>
    <row r="4381" customFormat="false" ht="15" hidden="false" customHeight="false" outlineLevel="0" collapsed="false">
      <c r="A4381" s="9" t="s">
        <v>4671</v>
      </c>
      <c r="B4381" s="9" t="s">
        <v>4617</v>
      </c>
      <c r="C4381" s="9" t="s">
        <v>4618</v>
      </c>
      <c r="D4381" s="9" t="s">
        <v>3722</v>
      </c>
      <c r="E4381" s="9" t="s">
        <v>323</v>
      </c>
      <c r="F4381" s="9" t="s">
        <v>207</v>
      </c>
      <c r="G4381" s="9" t="s">
        <v>221</v>
      </c>
      <c r="H4381" s="9" t="n">
        <v>875</v>
      </c>
      <c r="I4381" s="29" t="n">
        <v>0.35</v>
      </c>
      <c r="J4381" s="9" t="n">
        <v>1</v>
      </c>
      <c r="K4381" s="30"/>
      <c r="L4381" s="30"/>
      <c r="M4381" s="30"/>
      <c r="N4381" s="30"/>
      <c r="O4381" s="30"/>
      <c r="P4381" s="30"/>
      <c r="Q4381" s="30"/>
      <c r="R4381" s="30"/>
      <c r="S4381" s="30"/>
      <c r="T4381" s="30"/>
      <c r="U4381" s="21" t="str">
        <f aca="false">IF(COUNT(K4381:T4381)=0,"SOURCE EMPTY / INDUSTRIAL ONLY",IF(MIN(K4381:T4381)=1,"SERVICE READY","HOLD"))</f>
        <v>SOURCE EMPTY / INDUSTRIAL ONLY</v>
      </c>
      <c r="V4381" s="9" t="n">
        <f aca="false">IF(U4381="SERVICE READY",1,0)</f>
        <v>0</v>
      </c>
      <c r="W4381" s="6"/>
      <c r="X4381" s="6"/>
      <c r="Y4381" s="6"/>
      <c r="Z4381" s="6"/>
    </row>
    <row r="4382" customFormat="false" ht="15" hidden="false" customHeight="false" outlineLevel="0" collapsed="false">
      <c r="A4382" s="9" t="s">
        <v>4672</v>
      </c>
      <c r="B4382" s="9" t="s">
        <v>4617</v>
      </c>
      <c r="C4382" s="9" t="s">
        <v>4618</v>
      </c>
      <c r="D4382" s="9" t="s">
        <v>3722</v>
      </c>
      <c r="E4382" s="9" t="s">
        <v>323</v>
      </c>
      <c r="F4382" s="9" t="s">
        <v>209</v>
      </c>
      <c r="G4382" s="9" t="s">
        <v>221</v>
      </c>
      <c r="H4382" s="9" t="n">
        <v>875</v>
      </c>
      <c r="I4382" s="29" t="n">
        <v>0.35</v>
      </c>
      <c r="J4382" s="9" t="n">
        <v>1</v>
      </c>
      <c r="K4382" s="30"/>
      <c r="L4382" s="30"/>
      <c r="M4382" s="30"/>
      <c r="N4382" s="30"/>
      <c r="O4382" s="30"/>
      <c r="P4382" s="30"/>
      <c r="Q4382" s="30"/>
      <c r="R4382" s="30"/>
      <c r="S4382" s="30"/>
      <c r="T4382" s="30"/>
      <c r="U4382" s="21" t="str">
        <f aca="false">IF(COUNT(K4382:T4382)=0,"SOURCE EMPTY / INDUSTRIAL ONLY",IF(MIN(K4382:T4382)=1,"SERVICE READY","HOLD"))</f>
        <v>SOURCE EMPTY / INDUSTRIAL ONLY</v>
      </c>
      <c r="V4382" s="9" t="n">
        <f aca="false">IF(U4382="SERVICE READY",1,0)</f>
        <v>0</v>
      </c>
      <c r="W4382" s="6"/>
      <c r="X4382" s="6"/>
      <c r="Y4382" s="6"/>
      <c r="Z4382" s="6"/>
    </row>
    <row r="4383" customFormat="false" ht="15" hidden="false" customHeight="false" outlineLevel="0" collapsed="false">
      <c r="A4383" s="9" t="s">
        <v>4673</v>
      </c>
      <c r="B4383" s="9" t="s">
        <v>4617</v>
      </c>
      <c r="C4383" s="9" t="s">
        <v>4618</v>
      </c>
      <c r="D4383" s="9" t="s">
        <v>3722</v>
      </c>
      <c r="E4383" s="9" t="s">
        <v>323</v>
      </c>
      <c r="F4383" s="9" t="s">
        <v>211</v>
      </c>
      <c r="G4383" s="9" t="s">
        <v>221</v>
      </c>
      <c r="H4383" s="9" t="n">
        <v>875</v>
      </c>
      <c r="I4383" s="29" t="n">
        <v>0.35</v>
      </c>
      <c r="J4383" s="9" t="n">
        <v>1</v>
      </c>
      <c r="K4383" s="30"/>
      <c r="L4383" s="30"/>
      <c r="M4383" s="30"/>
      <c r="N4383" s="30"/>
      <c r="O4383" s="30"/>
      <c r="P4383" s="30"/>
      <c r="Q4383" s="30"/>
      <c r="R4383" s="30"/>
      <c r="S4383" s="30"/>
      <c r="T4383" s="30"/>
      <c r="U4383" s="21" t="str">
        <f aca="false">IF(COUNT(K4383:T4383)=0,"SOURCE EMPTY / INDUSTRIAL ONLY",IF(MIN(K4383:T4383)=1,"SERVICE READY","HOLD"))</f>
        <v>SOURCE EMPTY / INDUSTRIAL ONLY</v>
      </c>
      <c r="V4383" s="9" t="n">
        <f aca="false">IF(U4383="SERVICE READY",1,0)</f>
        <v>0</v>
      </c>
      <c r="W4383" s="6"/>
      <c r="X4383" s="6"/>
      <c r="Y4383" s="6"/>
      <c r="Z4383" s="6"/>
    </row>
    <row r="4384" customFormat="false" ht="15" hidden="false" customHeight="false" outlineLevel="0" collapsed="false">
      <c r="A4384" s="9" t="s">
        <v>4674</v>
      </c>
      <c r="B4384" s="9" t="s">
        <v>4617</v>
      </c>
      <c r="C4384" s="9" t="s">
        <v>4618</v>
      </c>
      <c r="D4384" s="9" t="s">
        <v>3722</v>
      </c>
      <c r="E4384" s="9" t="s">
        <v>323</v>
      </c>
      <c r="F4384" s="9" t="s">
        <v>197</v>
      </c>
      <c r="G4384" s="9" t="s">
        <v>221</v>
      </c>
      <c r="H4384" s="9" t="n">
        <v>875</v>
      </c>
      <c r="I4384" s="29" t="n">
        <v>0.35</v>
      </c>
      <c r="J4384" s="9" t="n">
        <v>1</v>
      </c>
      <c r="K4384" s="30"/>
      <c r="L4384" s="30"/>
      <c r="M4384" s="30"/>
      <c r="N4384" s="30"/>
      <c r="O4384" s="30"/>
      <c r="P4384" s="30"/>
      <c r="Q4384" s="30"/>
      <c r="R4384" s="30"/>
      <c r="S4384" s="30"/>
      <c r="T4384" s="30"/>
      <c r="U4384" s="21" t="str">
        <f aca="false">IF(COUNT(K4384:T4384)=0,"SOURCE EMPTY / INDUSTRIAL ONLY",IF(MIN(K4384:T4384)=1,"SERVICE READY","HOLD"))</f>
        <v>SOURCE EMPTY / INDUSTRIAL ONLY</v>
      </c>
      <c r="V4384" s="9" t="n">
        <f aca="false">IF(U4384="SERVICE READY",1,0)</f>
        <v>0</v>
      </c>
      <c r="W4384" s="6"/>
      <c r="X4384" s="6"/>
      <c r="Y4384" s="6"/>
      <c r="Z4384" s="6"/>
    </row>
    <row r="4385" customFormat="false" ht="15" hidden="false" customHeight="false" outlineLevel="0" collapsed="false">
      <c r="A4385" s="9" t="s">
        <v>4675</v>
      </c>
      <c r="B4385" s="9" t="s">
        <v>4617</v>
      </c>
      <c r="C4385" s="9" t="s">
        <v>4618</v>
      </c>
      <c r="D4385" s="9" t="s">
        <v>3722</v>
      </c>
      <c r="E4385" s="9" t="s">
        <v>323</v>
      </c>
      <c r="F4385" s="9" t="s">
        <v>200</v>
      </c>
      <c r="G4385" s="9" t="s">
        <v>221</v>
      </c>
      <c r="H4385" s="9" t="n">
        <v>875</v>
      </c>
      <c r="I4385" s="29" t="n">
        <v>0.35</v>
      </c>
      <c r="J4385" s="9" t="n">
        <v>1</v>
      </c>
      <c r="K4385" s="30"/>
      <c r="L4385" s="30"/>
      <c r="M4385" s="30"/>
      <c r="N4385" s="30"/>
      <c r="O4385" s="30"/>
      <c r="P4385" s="30"/>
      <c r="Q4385" s="30"/>
      <c r="R4385" s="30"/>
      <c r="S4385" s="30"/>
      <c r="T4385" s="30"/>
      <c r="U4385" s="21" t="str">
        <f aca="false">IF(COUNT(K4385:T4385)=0,"SOURCE EMPTY / INDUSTRIAL ONLY",IF(MIN(K4385:T4385)=1,"SERVICE READY","HOLD"))</f>
        <v>SOURCE EMPTY / INDUSTRIAL ONLY</v>
      </c>
      <c r="V4385" s="9" t="n">
        <f aca="false">IF(U4385="SERVICE READY",1,0)</f>
        <v>0</v>
      </c>
      <c r="W4385" s="6"/>
      <c r="X4385" s="6"/>
      <c r="Y4385" s="6"/>
      <c r="Z4385" s="6"/>
    </row>
    <row r="4386" customFormat="false" ht="15" hidden="false" customHeight="false" outlineLevel="0" collapsed="false">
      <c r="A4386" s="9" t="s">
        <v>4676</v>
      </c>
      <c r="B4386" s="9" t="s">
        <v>4617</v>
      </c>
      <c r="C4386" s="9" t="s">
        <v>4618</v>
      </c>
      <c r="D4386" s="9" t="s">
        <v>3722</v>
      </c>
      <c r="E4386" s="9" t="s">
        <v>323</v>
      </c>
      <c r="F4386" s="9" t="s">
        <v>203</v>
      </c>
      <c r="G4386" s="9" t="s">
        <v>221</v>
      </c>
      <c r="H4386" s="9" t="n">
        <v>875</v>
      </c>
      <c r="I4386" s="29" t="n">
        <v>0.35</v>
      </c>
      <c r="J4386" s="9" t="n">
        <v>1</v>
      </c>
      <c r="K4386" s="30"/>
      <c r="L4386" s="30"/>
      <c r="M4386" s="30"/>
      <c r="N4386" s="30"/>
      <c r="O4386" s="30"/>
      <c r="P4386" s="30"/>
      <c r="Q4386" s="30"/>
      <c r="R4386" s="30"/>
      <c r="S4386" s="30"/>
      <c r="T4386" s="30"/>
      <c r="U4386" s="21" t="str">
        <f aca="false">IF(COUNT(K4386:T4386)=0,"SOURCE EMPTY / INDUSTRIAL ONLY",IF(MIN(K4386:T4386)=1,"SERVICE READY","HOLD"))</f>
        <v>SOURCE EMPTY / INDUSTRIAL ONLY</v>
      </c>
      <c r="V4386" s="9" t="n">
        <f aca="false">IF(U4386="SERVICE READY",1,0)</f>
        <v>0</v>
      </c>
      <c r="W4386" s="6"/>
      <c r="X4386" s="6"/>
      <c r="Y4386" s="6"/>
      <c r="Z4386" s="6"/>
    </row>
    <row r="4387" customFormat="false" ht="15" hidden="false" customHeight="false" outlineLevel="0" collapsed="false">
      <c r="A4387" s="9" t="s">
        <v>4677</v>
      </c>
      <c r="B4387" s="9" t="s">
        <v>4617</v>
      </c>
      <c r="C4387" s="9" t="s">
        <v>4618</v>
      </c>
      <c r="D4387" s="9" t="s">
        <v>3722</v>
      </c>
      <c r="E4387" s="9" t="s">
        <v>323</v>
      </c>
      <c r="F4387" s="9" t="s">
        <v>205</v>
      </c>
      <c r="G4387" s="9" t="s">
        <v>221</v>
      </c>
      <c r="H4387" s="9" t="n">
        <v>875</v>
      </c>
      <c r="I4387" s="29" t="n">
        <v>0.35</v>
      </c>
      <c r="J4387" s="9" t="n">
        <v>1</v>
      </c>
      <c r="K4387" s="30"/>
      <c r="L4387" s="30"/>
      <c r="M4387" s="30"/>
      <c r="N4387" s="30"/>
      <c r="O4387" s="30"/>
      <c r="P4387" s="30"/>
      <c r="Q4387" s="30"/>
      <c r="R4387" s="30"/>
      <c r="S4387" s="30"/>
      <c r="T4387" s="30"/>
      <c r="U4387" s="21" t="str">
        <f aca="false">IF(COUNT(K4387:T4387)=0,"SOURCE EMPTY / INDUSTRIAL ONLY",IF(MIN(K4387:T4387)=1,"SERVICE READY","HOLD"))</f>
        <v>SOURCE EMPTY / INDUSTRIAL ONLY</v>
      </c>
      <c r="V4387" s="9" t="n">
        <f aca="false">IF(U4387="SERVICE READY",1,0)</f>
        <v>0</v>
      </c>
      <c r="W4387" s="6"/>
      <c r="X4387" s="6"/>
      <c r="Y4387" s="6"/>
      <c r="Z4387" s="6"/>
    </row>
    <row r="4388" customFormat="false" ht="15" hidden="false" customHeight="false" outlineLevel="0" collapsed="false">
      <c r="A4388" s="9" t="s">
        <v>4678</v>
      </c>
      <c r="B4388" s="9" t="s">
        <v>4617</v>
      </c>
      <c r="C4388" s="9" t="s">
        <v>4618</v>
      </c>
      <c r="D4388" s="9" t="s">
        <v>3722</v>
      </c>
      <c r="E4388" s="9" t="s">
        <v>323</v>
      </c>
      <c r="F4388" s="9" t="s">
        <v>207</v>
      </c>
      <c r="G4388" s="9" t="s">
        <v>221</v>
      </c>
      <c r="H4388" s="9" t="n">
        <v>875</v>
      </c>
      <c r="I4388" s="29" t="n">
        <v>0.35</v>
      </c>
      <c r="J4388" s="9" t="n">
        <v>1</v>
      </c>
      <c r="K4388" s="30"/>
      <c r="L4388" s="30"/>
      <c r="M4388" s="30"/>
      <c r="N4388" s="30"/>
      <c r="O4388" s="30"/>
      <c r="P4388" s="30"/>
      <c r="Q4388" s="30"/>
      <c r="R4388" s="30"/>
      <c r="S4388" s="30"/>
      <c r="T4388" s="30"/>
      <c r="U4388" s="21" t="str">
        <f aca="false">IF(COUNT(K4388:T4388)=0,"SOURCE EMPTY / INDUSTRIAL ONLY",IF(MIN(K4388:T4388)=1,"SERVICE READY","HOLD"))</f>
        <v>SOURCE EMPTY / INDUSTRIAL ONLY</v>
      </c>
      <c r="V4388" s="9" t="n">
        <f aca="false">IF(U4388="SERVICE READY",1,0)</f>
        <v>0</v>
      </c>
      <c r="W4388" s="6"/>
      <c r="X4388" s="6"/>
      <c r="Y4388" s="6"/>
      <c r="Z4388" s="6"/>
    </row>
    <row r="4389" customFormat="false" ht="15" hidden="false" customHeight="false" outlineLevel="0" collapsed="false">
      <c r="A4389" s="9" t="s">
        <v>4679</v>
      </c>
      <c r="B4389" s="9" t="s">
        <v>4617</v>
      </c>
      <c r="C4389" s="9" t="s">
        <v>4618</v>
      </c>
      <c r="D4389" s="9" t="s">
        <v>3722</v>
      </c>
      <c r="E4389" s="9" t="s">
        <v>323</v>
      </c>
      <c r="F4389" s="9" t="s">
        <v>209</v>
      </c>
      <c r="G4389" s="9" t="s">
        <v>221</v>
      </c>
      <c r="H4389" s="9" t="n">
        <v>875</v>
      </c>
      <c r="I4389" s="29" t="n">
        <v>0.35</v>
      </c>
      <c r="J4389" s="9" t="n">
        <v>1</v>
      </c>
      <c r="K4389" s="30"/>
      <c r="L4389" s="30"/>
      <c r="M4389" s="30"/>
      <c r="N4389" s="30"/>
      <c r="O4389" s="30"/>
      <c r="P4389" s="30"/>
      <c r="Q4389" s="30"/>
      <c r="R4389" s="30"/>
      <c r="S4389" s="30"/>
      <c r="T4389" s="30"/>
      <c r="U4389" s="21" t="str">
        <f aca="false">IF(COUNT(K4389:T4389)=0,"SOURCE EMPTY / INDUSTRIAL ONLY",IF(MIN(K4389:T4389)=1,"SERVICE READY","HOLD"))</f>
        <v>SOURCE EMPTY / INDUSTRIAL ONLY</v>
      </c>
      <c r="V4389" s="9" t="n">
        <f aca="false">IF(U4389="SERVICE READY",1,0)</f>
        <v>0</v>
      </c>
      <c r="W4389" s="6"/>
      <c r="X4389" s="6"/>
      <c r="Y4389" s="6"/>
      <c r="Z4389" s="6"/>
    </row>
    <row r="4390" customFormat="false" ht="15" hidden="false" customHeight="false" outlineLevel="0" collapsed="false">
      <c r="A4390" s="9" t="s">
        <v>4680</v>
      </c>
      <c r="B4390" s="9" t="s">
        <v>4617</v>
      </c>
      <c r="C4390" s="9" t="s">
        <v>4618</v>
      </c>
      <c r="D4390" s="9" t="s">
        <v>3722</v>
      </c>
      <c r="E4390" s="9" t="s">
        <v>323</v>
      </c>
      <c r="F4390" s="9" t="s">
        <v>211</v>
      </c>
      <c r="G4390" s="9" t="s">
        <v>221</v>
      </c>
      <c r="H4390" s="9" t="n">
        <v>875</v>
      </c>
      <c r="I4390" s="29" t="n">
        <v>0.35</v>
      </c>
      <c r="J4390" s="9" t="n">
        <v>1</v>
      </c>
      <c r="K4390" s="30"/>
      <c r="L4390" s="30"/>
      <c r="M4390" s="30"/>
      <c r="N4390" s="30"/>
      <c r="O4390" s="30"/>
      <c r="P4390" s="30"/>
      <c r="Q4390" s="30"/>
      <c r="R4390" s="30"/>
      <c r="S4390" s="30"/>
      <c r="T4390" s="30"/>
      <c r="U4390" s="21" t="str">
        <f aca="false">IF(COUNT(K4390:T4390)=0,"SOURCE EMPTY / INDUSTRIAL ONLY",IF(MIN(K4390:T4390)=1,"SERVICE READY","HOLD"))</f>
        <v>SOURCE EMPTY / INDUSTRIAL ONLY</v>
      </c>
      <c r="V4390" s="9" t="n">
        <f aca="false">IF(U4390="SERVICE READY",1,0)</f>
        <v>0</v>
      </c>
      <c r="W4390" s="6"/>
      <c r="X4390" s="6"/>
      <c r="Y4390" s="6"/>
      <c r="Z4390" s="6"/>
    </row>
    <row r="4391" customFormat="false" ht="15" hidden="false" customHeight="false" outlineLevel="0" collapsed="false">
      <c r="A4391" s="9" t="s">
        <v>4681</v>
      </c>
      <c r="B4391" s="9" t="s">
        <v>4617</v>
      </c>
      <c r="C4391" s="9" t="s">
        <v>4618</v>
      </c>
      <c r="D4391" s="9" t="s">
        <v>3722</v>
      </c>
      <c r="E4391" s="9" t="s">
        <v>323</v>
      </c>
      <c r="F4391" s="9" t="s">
        <v>197</v>
      </c>
      <c r="G4391" s="9" t="s">
        <v>221</v>
      </c>
      <c r="H4391" s="9" t="n">
        <v>875</v>
      </c>
      <c r="I4391" s="29" t="n">
        <v>0.35</v>
      </c>
      <c r="J4391" s="9" t="n">
        <v>1</v>
      </c>
      <c r="K4391" s="30"/>
      <c r="L4391" s="30"/>
      <c r="M4391" s="30"/>
      <c r="N4391" s="30"/>
      <c r="O4391" s="30"/>
      <c r="P4391" s="30"/>
      <c r="Q4391" s="30"/>
      <c r="R4391" s="30"/>
      <c r="S4391" s="30"/>
      <c r="T4391" s="30"/>
      <c r="U4391" s="21" t="str">
        <f aca="false">IF(COUNT(K4391:T4391)=0,"SOURCE EMPTY / INDUSTRIAL ONLY",IF(MIN(K4391:T4391)=1,"SERVICE READY","HOLD"))</f>
        <v>SOURCE EMPTY / INDUSTRIAL ONLY</v>
      </c>
      <c r="V4391" s="9" t="n">
        <f aca="false">IF(U4391="SERVICE READY",1,0)</f>
        <v>0</v>
      </c>
      <c r="W4391" s="6"/>
      <c r="X4391" s="6"/>
      <c r="Y4391" s="6"/>
      <c r="Z4391" s="6"/>
    </row>
    <row r="4392" customFormat="false" ht="15" hidden="false" customHeight="false" outlineLevel="0" collapsed="false">
      <c r="A4392" s="9" t="s">
        <v>4682</v>
      </c>
      <c r="B4392" s="9" t="s">
        <v>4617</v>
      </c>
      <c r="C4392" s="9" t="s">
        <v>4618</v>
      </c>
      <c r="D4392" s="9" t="s">
        <v>3722</v>
      </c>
      <c r="E4392" s="9" t="s">
        <v>323</v>
      </c>
      <c r="F4392" s="9" t="s">
        <v>200</v>
      </c>
      <c r="G4392" s="9" t="s">
        <v>221</v>
      </c>
      <c r="H4392" s="9" t="n">
        <v>875</v>
      </c>
      <c r="I4392" s="29" t="n">
        <v>0.35</v>
      </c>
      <c r="J4392" s="9" t="n">
        <v>1</v>
      </c>
      <c r="K4392" s="30"/>
      <c r="L4392" s="30"/>
      <c r="M4392" s="30"/>
      <c r="N4392" s="30"/>
      <c r="O4392" s="30"/>
      <c r="P4392" s="30"/>
      <c r="Q4392" s="30"/>
      <c r="R4392" s="30"/>
      <c r="S4392" s="30"/>
      <c r="T4392" s="30"/>
      <c r="U4392" s="21" t="str">
        <f aca="false">IF(COUNT(K4392:T4392)=0,"SOURCE EMPTY / INDUSTRIAL ONLY",IF(MIN(K4392:T4392)=1,"SERVICE READY","HOLD"))</f>
        <v>SOURCE EMPTY / INDUSTRIAL ONLY</v>
      </c>
      <c r="V4392" s="9" t="n">
        <f aca="false">IF(U4392="SERVICE READY",1,0)</f>
        <v>0</v>
      </c>
      <c r="W4392" s="6"/>
      <c r="X4392" s="6"/>
      <c r="Y4392" s="6"/>
      <c r="Z4392" s="6"/>
    </row>
    <row r="4393" customFormat="false" ht="15" hidden="false" customHeight="false" outlineLevel="0" collapsed="false">
      <c r="A4393" s="9" t="s">
        <v>4683</v>
      </c>
      <c r="B4393" s="9" t="s">
        <v>4617</v>
      </c>
      <c r="C4393" s="9" t="s">
        <v>4618</v>
      </c>
      <c r="D4393" s="9" t="s">
        <v>3722</v>
      </c>
      <c r="E4393" s="9" t="s">
        <v>323</v>
      </c>
      <c r="F4393" s="9" t="s">
        <v>203</v>
      </c>
      <c r="G4393" s="9" t="s">
        <v>221</v>
      </c>
      <c r="H4393" s="9" t="n">
        <v>875</v>
      </c>
      <c r="I4393" s="29" t="n">
        <v>0.35</v>
      </c>
      <c r="J4393" s="9" t="n">
        <v>1</v>
      </c>
      <c r="K4393" s="30"/>
      <c r="L4393" s="30"/>
      <c r="M4393" s="30"/>
      <c r="N4393" s="30"/>
      <c r="O4393" s="30"/>
      <c r="P4393" s="30"/>
      <c r="Q4393" s="30"/>
      <c r="R4393" s="30"/>
      <c r="S4393" s="30"/>
      <c r="T4393" s="30"/>
      <c r="U4393" s="21" t="str">
        <f aca="false">IF(COUNT(K4393:T4393)=0,"SOURCE EMPTY / INDUSTRIAL ONLY",IF(MIN(K4393:T4393)=1,"SERVICE READY","HOLD"))</f>
        <v>SOURCE EMPTY / INDUSTRIAL ONLY</v>
      </c>
      <c r="V4393" s="9" t="n">
        <f aca="false">IF(U4393="SERVICE READY",1,0)</f>
        <v>0</v>
      </c>
      <c r="W4393" s="6"/>
      <c r="X4393" s="6"/>
      <c r="Y4393" s="6"/>
      <c r="Z4393" s="6"/>
    </row>
    <row r="4394" customFormat="false" ht="15" hidden="false" customHeight="false" outlineLevel="0" collapsed="false">
      <c r="A4394" s="9" t="s">
        <v>4684</v>
      </c>
      <c r="B4394" s="9" t="s">
        <v>4617</v>
      </c>
      <c r="C4394" s="9" t="s">
        <v>4618</v>
      </c>
      <c r="D4394" s="9" t="s">
        <v>3722</v>
      </c>
      <c r="E4394" s="9" t="s">
        <v>323</v>
      </c>
      <c r="F4394" s="9" t="s">
        <v>205</v>
      </c>
      <c r="G4394" s="9" t="s">
        <v>221</v>
      </c>
      <c r="H4394" s="9" t="n">
        <v>875</v>
      </c>
      <c r="I4394" s="29" t="n">
        <v>0.35</v>
      </c>
      <c r="J4394" s="9" t="n">
        <v>1</v>
      </c>
      <c r="K4394" s="30"/>
      <c r="L4394" s="30"/>
      <c r="M4394" s="30"/>
      <c r="N4394" s="30"/>
      <c r="O4394" s="30"/>
      <c r="P4394" s="30"/>
      <c r="Q4394" s="30"/>
      <c r="R4394" s="30"/>
      <c r="S4394" s="30"/>
      <c r="T4394" s="30"/>
      <c r="U4394" s="21" t="str">
        <f aca="false">IF(COUNT(K4394:T4394)=0,"SOURCE EMPTY / INDUSTRIAL ONLY",IF(MIN(K4394:T4394)=1,"SERVICE READY","HOLD"))</f>
        <v>SOURCE EMPTY / INDUSTRIAL ONLY</v>
      </c>
      <c r="V4394" s="9" t="n">
        <f aca="false">IF(U4394="SERVICE READY",1,0)</f>
        <v>0</v>
      </c>
      <c r="W4394" s="6"/>
      <c r="X4394" s="6"/>
      <c r="Y4394" s="6"/>
      <c r="Z4394" s="6"/>
    </row>
    <row r="4395" customFormat="false" ht="15" hidden="false" customHeight="false" outlineLevel="0" collapsed="false">
      <c r="A4395" s="9" t="s">
        <v>4685</v>
      </c>
      <c r="B4395" s="9" t="s">
        <v>4617</v>
      </c>
      <c r="C4395" s="9" t="s">
        <v>4618</v>
      </c>
      <c r="D4395" s="9" t="s">
        <v>3722</v>
      </c>
      <c r="E4395" s="9" t="s">
        <v>323</v>
      </c>
      <c r="F4395" s="9" t="s">
        <v>207</v>
      </c>
      <c r="G4395" s="9" t="s">
        <v>221</v>
      </c>
      <c r="H4395" s="9" t="n">
        <v>875</v>
      </c>
      <c r="I4395" s="29" t="n">
        <v>0.35</v>
      </c>
      <c r="J4395" s="9" t="n">
        <v>1</v>
      </c>
      <c r="K4395" s="30"/>
      <c r="L4395" s="30"/>
      <c r="M4395" s="30"/>
      <c r="N4395" s="30"/>
      <c r="O4395" s="30"/>
      <c r="P4395" s="30"/>
      <c r="Q4395" s="30"/>
      <c r="R4395" s="30"/>
      <c r="S4395" s="30"/>
      <c r="T4395" s="30"/>
      <c r="U4395" s="21" t="str">
        <f aca="false">IF(COUNT(K4395:T4395)=0,"SOURCE EMPTY / INDUSTRIAL ONLY",IF(MIN(K4395:T4395)=1,"SERVICE READY","HOLD"))</f>
        <v>SOURCE EMPTY / INDUSTRIAL ONLY</v>
      </c>
      <c r="V4395" s="9" t="n">
        <f aca="false">IF(U4395="SERVICE READY",1,0)</f>
        <v>0</v>
      </c>
      <c r="W4395" s="6"/>
      <c r="X4395" s="6"/>
      <c r="Y4395" s="6"/>
      <c r="Z4395" s="6"/>
    </row>
    <row r="4396" customFormat="false" ht="15" hidden="false" customHeight="false" outlineLevel="0" collapsed="false">
      <c r="A4396" s="9" t="s">
        <v>4686</v>
      </c>
      <c r="B4396" s="9" t="s">
        <v>4617</v>
      </c>
      <c r="C4396" s="9" t="s">
        <v>4618</v>
      </c>
      <c r="D4396" s="9" t="s">
        <v>3722</v>
      </c>
      <c r="E4396" s="9" t="s">
        <v>323</v>
      </c>
      <c r="F4396" s="9" t="s">
        <v>209</v>
      </c>
      <c r="G4396" s="9" t="s">
        <v>221</v>
      </c>
      <c r="H4396" s="9" t="n">
        <v>875</v>
      </c>
      <c r="I4396" s="29" t="n">
        <v>0.35</v>
      </c>
      <c r="J4396" s="9" t="n">
        <v>1</v>
      </c>
      <c r="K4396" s="30"/>
      <c r="L4396" s="30"/>
      <c r="M4396" s="30"/>
      <c r="N4396" s="30"/>
      <c r="O4396" s="30"/>
      <c r="P4396" s="30"/>
      <c r="Q4396" s="30"/>
      <c r="R4396" s="30"/>
      <c r="S4396" s="30"/>
      <c r="T4396" s="30"/>
      <c r="U4396" s="21" t="str">
        <f aca="false">IF(COUNT(K4396:T4396)=0,"SOURCE EMPTY / INDUSTRIAL ONLY",IF(MIN(K4396:T4396)=1,"SERVICE READY","HOLD"))</f>
        <v>SOURCE EMPTY / INDUSTRIAL ONLY</v>
      </c>
      <c r="V4396" s="9" t="n">
        <f aca="false">IF(U4396="SERVICE READY",1,0)</f>
        <v>0</v>
      </c>
      <c r="W4396" s="6"/>
      <c r="X4396" s="6"/>
      <c r="Y4396" s="6"/>
      <c r="Z4396" s="6"/>
    </row>
    <row r="4397" customFormat="false" ht="15" hidden="false" customHeight="false" outlineLevel="0" collapsed="false">
      <c r="A4397" s="9" t="s">
        <v>4687</v>
      </c>
      <c r="B4397" s="9" t="s">
        <v>4617</v>
      </c>
      <c r="C4397" s="9" t="s">
        <v>4618</v>
      </c>
      <c r="D4397" s="9" t="s">
        <v>3722</v>
      </c>
      <c r="E4397" s="9" t="s">
        <v>323</v>
      </c>
      <c r="F4397" s="9" t="s">
        <v>211</v>
      </c>
      <c r="G4397" s="9" t="s">
        <v>221</v>
      </c>
      <c r="H4397" s="9" t="n">
        <v>875</v>
      </c>
      <c r="I4397" s="29" t="n">
        <v>0.35</v>
      </c>
      <c r="J4397" s="9" t="n">
        <v>1</v>
      </c>
      <c r="K4397" s="30"/>
      <c r="L4397" s="30"/>
      <c r="M4397" s="30"/>
      <c r="N4397" s="30"/>
      <c r="O4397" s="30"/>
      <c r="P4397" s="30"/>
      <c r="Q4397" s="30"/>
      <c r="R4397" s="30"/>
      <c r="S4397" s="30"/>
      <c r="T4397" s="30"/>
      <c r="U4397" s="21" t="str">
        <f aca="false">IF(COUNT(K4397:T4397)=0,"SOURCE EMPTY / INDUSTRIAL ONLY",IF(MIN(K4397:T4397)=1,"SERVICE READY","HOLD"))</f>
        <v>SOURCE EMPTY / INDUSTRIAL ONLY</v>
      </c>
      <c r="V4397" s="9" t="n">
        <f aca="false">IF(U4397="SERVICE READY",1,0)</f>
        <v>0</v>
      </c>
      <c r="W4397" s="6"/>
      <c r="X4397" s="6"/>
      <c r="Y4397" s="6"/>
      <c r="Z4397" s="6"/>
    </row>
    <row r="4398" customFormat="false" ht="15" hidden="false" customHeight="false" outlineLevel="0" collapsed="false">
      <c r="A4398" s="9" t="s">
        <v>4688</v>
      </c>
      <c r="B4398" s="9" t="s">
        <v>4617</v>
      </c>
      <c r="C4398" s="9" t="s">
        <v>4618</v>
      </c>
      <c r="D4398" s="9" t="s">
        <v>3722</v>
      </c>
      <c r="E4398" s="9" t="s">
        <v>323</v>
      </c>
      <c r="F4398" s="9" t="s">
        <v>197</v>
      </c>
      <c r="G4398" s="9" t="s">
        <v>221</v>
      </c>
      <c r="H4398" s="9" t="n">
        <v>875</v>
      </c>
      <c r="I4398" s="29" t="n">
        <v>0.35</v>
      </c>
      <c r="J4398" s="9" t="n">
        <v>1</v>
      </c>
      <c r="K4398" s="30"/>
      <c r="L4398" s="30"/>
      <c r="M4398" s="30"/>
      <c r="N4398" s="30"/>
      <c r="O4398" s="30"/>
      <c r="P4398" s="30"/>
      <c r="Q4398" s="30"/>
      <c r="R4398" s="30"/>
      <c r="S4398" s="30"/>
      <c r="T4398" s="30"/>
      <c r="U4398" s="21" t="str">
        <f aca="false">IF(COUNT(K4398:T4398)=0,"SOURCE EMPTY / INDUSTRIAL ONLY",IF(MIN(K4398:T4398)=1,"SERVICE READY","HOLD"))</f>
        <v>SOURCE EMPTY / INDUSTRIAL ONLY</v>
      </c>
      <c r="V4398" s="9" t="n">
        <f aca="false">IF(U4398="SERVICE READY",1,0)</f>
        <v>0</v>
      </c>
      <c r="W4398" s="6"/>
      <c r="X4398" s="6"/>
      <c r="Y4398" s="6"/>
      <c r="Z4398" s="6"/>
    </row>
    <row r="4399" customFormat="false" ht="15" hidden="false" customHeight="false" outlineLevel="0" collapsed="false">
      <c r="A4399" s="9" t="s">
        <v>4689</v>
      </c>
      <c r="B4399" s="9" t="s">
        <v>4617</v>
      </c>
      <c r="C4399" s="9" t="s">
        <v>4618</v>
      </c>
      <c r="D4399" s="9" t="s">
        <v>3722</v>
      </c>
      <c r="E4399" s="9" t="s">
        <v>323</v>
      </c>
      <c r="F4399" s="9" t="s">
        <v>200</v>
      </c>
      <c r="G4399" s="9" t="s">
        <v>221</v>
      </c>
      <c r="H4399" s="9" t="n">
        <v>875</v>
      </c>
      <c r="I4399" s="29" t="n">
        <v>0.35</v>
      </c>
      <c r="J4399" s="9" t="n">
        <v>1</v>
      </c>
      <c r="K4399" s="30"/>
      <c r="L4399" s="30"/>
      <c r="M4399" s="30"/>
      <c r="N4399" s="30"/>
      <c r="O4399" s="30"/>
      <c r="P4399" s="30"/>
      <c r="Q4399" s="30"/>
      <c r="R4399" s="30"/>
      <c r="S4399" s="30"/>
      <c r="T4399" s="30"/>
      <c r="U4399" s="21" t="str">
        <f aca="false">IF(COUNT(K4399:T4399)=0,"SOURCE EMPTY / INDUSTRIAL ONLY",IF(MIN(K4399:T4399)=1,"SERVICE READY","HOLD"))</f>
        <v>SOURCE EMPTY / INDUSTRIAL ONLY</v>
      </c>
      <c r="V4399" s="9" t="n">
        <f aca="false">IF(U4399="SERVICE READY",1,0)</f>
        <v>0</v>
      </c>
      <c r="W4399" s="6"/>
      <c r="X4399" s="6"/>
      <c r="Y4399" s="6"/>
      <c r="Z4399" s="6"/>
    </row>
    <row r="4400" customFormat="false" ht="15" hidden="false" customHeight="false" outlineLevel="0" collapsed="false">
      <c r="A4400" s="9" t="s">
        <v>4690</v>
      </c>
      <c r="B4400" s="9" t="s">
        <v>4617</v>
      </c>
      <c r="C4400" s="9" t="s">
        <v>4618</v>
      </c>
      <c r="D4400" s="9" t="s">
        <v>3722</v>
      </c>
      <c r="E4400" s="9" t="s">
        <v>323</v>
      </c>
      <c r="F4400" s="9" t="s">
        <v>203</v>
      </c>
      <c r="G4400" s="9" t="s">
        <v>221</v>
      </c>
      <c r="H4400" s="9" t="n">
        <v>875</v>
      </c>
      <c r="I4400" s="29" t="n">
        <v>0.35</v>
      </c>
      <c r="J4400" s="9" t="n">
        <v>1</v>
      </c>
      <c r="K4400" s="30"/>
      <c r="L4400" s="30"/>
      <c r="M4400" s="30"/>
      <c r="N4400" s="30"/>
      <c r="O4400" s="30"/>
      <c r="P4400" s="30"/>
      <c r="Q4400" s="30"/>
      <c r="R4400" s="30"/>
      <c r="S4400" s="30"/>
      <c r="T4400" s="30"/>
      <c r="U4400" s="21" t="str">
        <f aca="false">IF(COUNT(K4400:T4400)=0,"SOURCE EMPTY / INDUSTRIAL ONLY",IF(MIN(K4400:T4400)=1,"SERVICE READY","HOLD"))</f>
        <v>SOURCE EMPTY / INDUSTRIAL ONLY</v>
      </c>
      <c r="V4400" s="9" t="n">
        <f aca="false">IF(U4400="SERVICE READY",1,0)</f>
        <v>0</v>
      </c>
      <c r="W4400" s="6"/>
      <c r="X4400" s="6"/>
      <c r="Y4400" s="6"/>
      <c r="Z4400" s="6"/>
    </row>
    <row r="4401" customFormat="false" ht="15" hidden="false" customHeight="false" outlineLevel="0" collapsed="false">
      <c r="A4401" s="9" t="s">
        <v>4691</v>
      </c>
      <c r="B4401" s="9" t="s">
        <v>4617</v>
      </c>
      <c r="C4401" s="9" t="s">
        <v>4618</v>
      </c>
      <c r="D4401" s="9" t="s">
        <v>3722</v>
      </c>
      <c r="E4401" s="9" t="s">
        <v>323</v>
      </c>
      <c r="F4401" s="9" t="s">
        <v>205</v>
      </c>
      <c r="G4401" s="9" t="s">
        <v>221</v>
      </c>
      <c r="H4401" s="9" t="n">
        <v>875</v>
      </c>
      <c r="I4401" s="29" t="n">
        <v>0.35</v>
      </c>
      <c r="J4401" s="9" t="n">
        <v>1</v>
      </c>
      <c r="K4401" s="30"/>
      <c r="L4401" s="30"/>
      <c r="M4401" s="30"/>
      <c r="N4401" s="30"/>
      <c r="O4401" s="30"/>
      <c r="P4401" s="30"/>
      <c r="Q4401" s="30"/>
      <c r="R4401" s="30"/>
      <c r="S4401" s="30"/>
      <c r="T4401" s="30"/>
      <c r="U4401" s="21" t="str">
        <f aca="false">IF(COUNT(K4401:T4401)=0,"SOURCE EMPTY / INDUSTRIAL ONLY",IF(MIN(K4401:T4401)=1,"SERVICE READY","HOLD"))</f>
        <v>SOURCE EMPTY / INDUSTRIAL ONLY</v>
      </c>
      <c r="V4401" s="9" t="n">
        <f aca="false">IF(U4401="SERVICE READY",1,0)</f>
        <v>0</v>
      </c>
      <c r="W4401" s="6"/>
      <c r="X4401" s="6"/>
      <c r="Y4401" s="6"/>
      <c r="Z4401" s="6"/>
    </row>
    <row r="4402" customFormat="false" ht="15" hidden="false" customHeight="false" outlineLevel="0" collapsed="false">
      <c r="A4402" s="9" t="s">
        <v>4692</v>
      </c>
      <c r="B4402" s="9" t="s">
        <v>4617</v>
      </c>
      <c r="C4402" s="9" t="s">
        <v>4618</v>
      </c>
      <c r="D4402" s="9" t="s">
        <v>3722</v>
      </c>
      <c r="E4402" s="9" t="s">
        <v>323</v>
      </c>
      <c r="F4402" s="9" t="s">
        <v>207</v>
      </c>
      <c r="G4402" s="9" t="s">
        <v>221</v>
      </c>
      <c r="H4402" s="9" t="n">
        <v>875</v>
      </c>
      <c r="I4402" s="29" t="n">
        <v>0.35</v>
      </c>
      <c r="J4402" s="9" t="n">
        <v>1</v>
      </c>
      <c r="K4402" s="30"/>
      <c r="L4402" s="30"/>
      <c r="M4402" s="30"/>
      <c r="N4402" s="30"/>
      <c r="O4402" s="30"/>
      <c r="P4402" s="30"/>
      <c r="Q4402" s="30"/>
      <c r="R4402" s="30"/>
      <c r="S4402" s="30"/>
      <c r="T4402" s="30"/>
      <c r="U4402" s="21" t="str">
        <f aca="false">IF(COUNT(K4402:T4402)=0,"SOURCE EMPTY / INDUSTRIAL ONLY",IF(MIN(K4402:T4402)=1,"SERVICE READY","HOLD"))</f>
        <v>SOURCE EMPTY / INDUSTRIAL ONLY</v>
      </c>
      <c r="V4402" s="9" t="n">
        <f aca="false">IF(U4402="SERVICE READY",1,0)</f>
        <v>0</v>
      </c>
      <c r="W4402" s="6"/>
      <c r="X4402" s="6"/>
      <c r="Y4402" s="6"/>
      <c r="Z4402" s="6"/>
    </row>
    <row r="4403" customFormat="false" ht="15" hidden="false" customHeight="false" outlineLevel="0" collapsed="false">
      <c r="A4403" s="9" t="s">
        <v>4693</v>
      </c>
      <c r="B4403" s="9" t="s">
        <v>4617</v>
      </c>
      <c r="C4403" s="9" t="s">
        <v>4618</v>
      </c>
      <c r="D4403" s="9" t="s">
        <v>3722</v>
      </c>
      <c r="E4403" s="9" t="s">
        <v>323</v>
      </c>
      <c r="F4403" s="9" t="s">
        <v>209</v>
      </c>
      <c r="G4403" s="9" t="s">
        <v>221</v>
      </c>
      <c r="H4403" s="9" t="n">
        <v>875</v>
      </c>
      <c r="I4403" s="29" t="n">
        <v>0.35</v>
      </c>
      <c r="J4403" s="9" t="n">
        <v>1</v>
      </c>
      <c r="K4403" s="30"/>
      <c r="L4403" s="30"/>
      <c r="M4403" s="30"/>
      <c r="N4403" s="30"/>
      <c r="O4403" s="30"/>
      <c r="P4403" s="30"/>
      <c r="Q4403" s="30"/>
      <c r="R4403" s="30"/>
      <c r="S4403" s="30"/>
      <c r="T4403" s="30"/>
      <c r="U4403" s="21" t="str">
        <f aca="false">IF(COUNT(K4403:T4403)=0,"SOURCE EMPTY / INDUSTRIAL ONLY",IF(MIN(K4403:T4403)=1,"SERVICE READY","HOLD"))</f>
        <v>SOURCE EMPTY / INDUSTRIAL ONLY</v>
      </c>
      <c r="V4403" s="9" t="n">
        <f aca="false">IF(U4403="SERVICE READY",1,0)</f>
        <v>0</v>
      </c>
      <c r="W4403" s="6"/>
      <c r="X4403" s="6"/>
      <c r="Y4403" s="6"/>
      <c r="Z4403" s="6"/>
    </row>
    <row r="4404" customFormat="false" ht="15" hidden="false" customHeight="false" outlineLevel="0" collapsed="false">
      <c r="A4404" s="9" t="s">
        <v>4694</v>
      </c>
      <c r="B4404" s="9" t="s">
        <v>4617</v>
      </c>
      <c r="C4404" s="9" t="s">
        <v>4618</v>
      </c>
      <c r="D4404" s="9" t="s">
        <v>3722</v>
      </c>
      <c r="E4404" s="9" t="s">
        <v>323</v>
      </c>
      <c r="F4404" s="9" t="s">
        <v>211</v>
      </c>
      <c r="G4404" s="9" t="s">
        <v>221</v>
      </c>
      <c r="H4404" s="9" t="n">
        <v>875</v>
      </c>
      <c r="I4404" s="29" t="n">
        <v>0.35</v>
      </c>
      <c r="J4404" s="9" t="n">
        <v>1</v>
      </c>
      <c r="K4404" s="30"/>
      <c r="L4404" s="30"/>
      <c r="M4404" s="30"/>
      <c r="N4404" s="30"/>
      <c r="O4404" s="30"/>
      <c r="P4404" s="30"/>
      <c r="Q4404" s="30"/>
      <c r="R4404" s="30"/>
      <c r="S4404" s="30"/>
      <c r="T4404" s="30"/>
      <c r="U4404" s="21" t="str">
        <f aca="false">IF(COUNT(K4404:T4404)=0,"SOURCE EMPTY / INDUSTRIAL ONLY",IF(MIN(K4404:T4404)=1,"SERVICE READY","HOLD"))</f>
        <v>SOURCE EMPTY / INDUSTRIAL ONLY</v>
      </c>
      <c r="V4404" s="9" t="n">
        <f aca="false">IF(U4404="SERVICE READY",1,0)</f>
        <v>0</v>
      </c>
      <c r="W4404" s="6"/>
      <c r="X4404" s="6"/>
      <c r="Y4404" s="6"/>
      <c r="Z4404" s="6"/>
    </row>
    <row r="4405" customFormat="false" ht="15" hidden="false" customHeight="false" outlineLevel="0" collapsed="false">
      <c r="A4405" s="9" t="s">
        <v>4695</v>
      </c>
      <c r="B4405" s="9" t="s">
        <v>4617</v>
      </c>
      <c r="C4405" s="9" t="s">
        <v>4618</v>
      </c>
      <c r="D4405" s="9" t="s">
        <v>3722</v>
      </c>
      <c r="E4405" s="9" t="s">
        <v>323</v>
      </c>
      <c r="F4405" s="9" t="s">
        <v>197</v>
      </c>
      <c r="G4405" s="9" t="s">
        <v>221</v>
      </c>
      <c r="H4405" s="9" t="n">
        <v>875</v>
      </c>
      <c r="I4405" s="29" t="n">
        <v>0.35</v>
      </c>
      <c r="J4405" s="9" t="n">
        <v>1</v>
      </c>
      <c r="K4405" s="30"/>
      <c r="L4405" s="30"/>
      <c r="M4405" s="30"/>
      <c r="N4405" s="30"/>
      <c r="O4405" s="30"/>
      <c r="P4405" s="30"/>
      <c r="Q4405" s="30"/>
      <c r="R4405" s="30"/>
      <c r="S4405" s="30"/>
      <c r="T4405" s="30"/>
      <c r="U4405" s="21" t="str">
        <f aca="false">IF(COUNT(K4405:T4405)=0,"SOURCE EMPTY / INDUSTRIAL ONLY",IF(MIN(K4405:T4405)=1,"SERVICE READY","HOLD"))</f>
        <v>SOURCE EMPTY / INDUSTRIAL ONLY</v>
      </c>
      <c r="V4405" s="9" t="n">
        <f aca="false">IF(U4405="SERVICE READY",1,0)</f>
        <v>0</v>
      </c>
      <c r="W4405" s="6"/>
      <c r="X4405" s="6"/>
      <c r="Y4405" s="6"/>
      <c r="Z4405" s="6"/>
    </row>
    <row r="4406" customFormat="false" ht="15" hidden="false" customHeight="false" outlineLevel="0" collapsed="false">
      <c r="A4406" s="9" t="s">
        <v>4696</v>
      </c>
      <c r="B4406" s="9" t="s">
        <v>4617</v>
      </c>
      <c r="C4406" s="9" t="s">
        <v>4618</v>
      </c>
      <c r="D4406" s="9" t="s">
        <v>3722</v>
      </c>
      <c r="E4406" s="9" t="s">
        <v>323</v>
      </c>
      <c r="F4406" s="9" t="s">
        <v>200</v>
      </c>
      <c r="G4406" s="9" t="s">
        <v>221</v>
      </c>
      <c r="H4406" s="9" t="n">
        <v>875</v>
      </c>
      <c r="I4406" s="29" t="n">
        <v>0.35</v>
      </c>
      <c r="J4406" s="9" t="n">
        <v>1</v>
      </c>
      <c r="K4406" s="30"/>
      <c r="L4406" s="30"/>
      <c r="M4406" s="30"/>
      <c r="N4406" s="30"/>
      <c r="O4406" s="30"/>
      <c r="P4406" s="30"/>
      <c r="Q4406" s="30"/>
      <c r="R4406" s="30"/>
      <c r="S4406" s="30"/>
      <c r="T4406" s="30"/>
      <c r="U4406" s="21" t="str">
        <f aca="false">IF(COUNT(K4406:T4406)=0,"SOURCE EMPTY / INDUSTRIAL ONLY",IF(MIN(K4406:T4406)=1,"SERVICE READY","HOLD"))</f>
        <v>SOURCE EMPTY / INDUSTRIAL ONLY</v>
      </c>
      <c r="V4406" s="9" t="n">
        <f aca="false">IF(U4406="SERVICE READY",1,0)</f>
        <v>0</v>
      </c>
      <c r="W4406" s="6"/>
      <c r="X4406" s="6"/>
      <c r="Y4406" s="6"/>
      <c r="Z4406" s="6"/>
    </row>
    <row r="4407" customFormat="false" ht="15" hidden="false" customHeight="false" outlineLevel="0" collapsed="false">
      <c r="A4407" s="9" t="s">
        <v>4697</v>
      </c>
      <c r="B4407" s="9" t="s">
        <v>4617</v>
      </c>
      <c r="C4407" s="9" t="s">
        <v>4618</v>
      </c>
      <c r="D4407" s="9" t="s">
        <v>3722</v>
      </c>
      <c r="E4407" s="9" t="s">
        <v>323</v>
      </c>
      <c r="F4407" s="9" t="s">
        <v>203</v>
      </c>
      <c r="G4407" s="9" t="s">
        <v>221</v>
      </c>
      <c r="H4407" s="9" t="n">
        <v>875</v>
      </c>
      <c r="I4407" s="29" t="n">
        <v>0.35</v>
      </c>
      <c r="J4407" s="9" t="n">
        <v>1</v>
      </c>
      <c r="K4407" s="30"/>
      <c r="L4407" s="30"/>
      <c r="M4407" s="30"/>
      <c r="N4407" s="30"/>
      <c r="O4407" s="30"/>
      <c r="P4407" s="30"/>
      <c r="Q4407" s="30"/>
      <c r="R4407" s="30"/>
      <c r="S4407" s="30"/>
      <c r="T4407" s="30"/>
      <c r="U4407" s="21" t="str">
        <f aca="false">IF(COUNT(K4407:T4407)=0,"SOURCE EMPTY / INDUSTRIAL ONLY",IF(MIN(K4407:T4407)=1,"SERVICE READY","HOLD"))</f>
        <v>SOURCE EMPTY / INDUSTRIAL ONLY</v>
      </c>
      <c r="V4407" s="9" t="n">
        <f aca="false">IF(U4407="SERVICE READY",1,0)</f>
        <v>0</v>
      </c>
      <c r="W4407" s="6"/>
      <c r="X4407" s="6"/>
      <c r="Y4407" s="6"/>
      <c r="Z4407" s="6"/>
    </row>
    <row r="4408" customFormat="false" ht="15" hidden="false" customHeight="false" outlineLevel="0" collapsed="false">
      <c r="A4408" s="9" t="s">
        <v>4698</v>
      </c>
      <c r="B4408" s="9" t="s">
        <v>4617</v>
      </c>
      <c r="C4408" s="9" t="s">
        <v>4618</v>
      </c>
      <c r="D4408" s="9" t="s">
        <v>3722</v>
      </c>
      <c r="E4408" s="9" t="s">
        <v>323</v>
      </c>
      <c r="F4408" s="9" t="s">
        <v>205</v>
      </c>
      <c r="G4408" s="9" t="s">
        <v>221</v>
      </c>
      <c r="H4408" s="9" t="n">
        <v>875</v>
      </c>
      <c r="I4408" s="29" t="n">
        <v>0.35</v>
      </c>
      <c r="J4408" s="9" t="n">
        <v>1</v>
      </c>
      <c r="K4408" s="30"/>
      <c r="L4408" s="30"/>
      <c r="M4408" s="30"/>
      <c r="N4408" s="30"/>
      <c r="O4408" s="30"/>
      <c r="P4408" s="30"/>
      <c r="Q4408" s="30"/>
      <c r="R4408" s="30"/>
      <c r="S4408" s="30"/>
      <c r="T4408" s="30"/>
      <c r="U4408" s="21" t="str">
        <f aca="false">IF(COUNT(K4408:T4408)=0,"SOURCE EMPTY / INDUSTRIAL ONLY",IF(MIN(K4408:T4408)=1,"SERVICE READY","HOLD"))</f>
        <v>SOURCE EMPTY / INDUSTRIAL ONLY</v>
      </c>
      <c r="V4408" s="9" t="n">
        <f aca="false">IF(U4408="SERVICE READY",1,0)</f>
        <v>0</v>
      </c>
      <c r="W4408" s="6"/>
      <c r="X4408" s="6"/>
      <c r="Y4408" s="6"/>
      <c r="Z4408" s="6"/>
    </row>
    <row r="4409" customFormat="false" ht="15" hidden="false" customHeight="false" outlineLevel="0" collapsed="false">
      <c r="A4409" s="9" t="s">
        <v>4699</v>
      </c>
      <c r="B4409" s="9" t="s">
        <v>4617</v>
      </c>
      <c r="C4409" s="9" t="s">
        <v>4618</v>
      </c>
      <c r="D4409" s="9" t="s">
        <v>3722</v>
      </c>
      <c r="E4409" s="9" t="s">
        <v>323</v>
      </c>
      <c r="F4409" s="9" t="s">
        <v>207</v>
      </c>
      <c r="G4409" s="9" t="s">
        <v>221</v>
      </c>
      <c r="H4409" s="9" t="n">
        <v>875</v>
      </c>
      <c r="I4409" s="29" t="n">
        <v>0.35</v>
      </c>
      <c r="J4409" s="9" t="n">
        <v>1</v>
      </c>
      <c r="K4409" s="30"/>
      <c r="L4409" s="30"/>
      <c r="M4409" s="30"/>
      <c r="N4409" s="30"/>
      <c r="O4409" s="30"/>
      <c r="P4409" s="30"/>
      <c r="Q4409" s="30"/>
      <c r="R4409" s="30"/>
      <c r="S4409" s="30"/>
      <c r="T4409" s="30"/>
      <c r="U4409" s="21" t="str">
        <f aca="false">IF(COUNT(K4409:T4409)=0,"SOURCE EMPTY / INDUSTRIAL ONLY",IF(MIN(K4409:T4409)=1,"SERVICE READY","HOLD"))</f>
        <v>SOURCE EMPTY / INDUSTRIAL ONLY</v>
      </c>
      <c r="V4409" s="9" t="n">
        <f aca="false">IF(U4409="SERVICE READY",1,0)</f>
        <v>0</v>
      </c>
      <c r="W4409" s="6"/>
      <c r="X4409" s="6"/>
      <c r="Y4409" s="6"/>
      <c r="Z4409" s="6"/>
    </row>
    <row r="4410" customFormat="false" ht="15" hidden="false" customHeight="false" outlineLevel="0" collapsed="false">
      <c r="A4410" s="9" t="s">
        <v>4700</v>
      </c>
      <c r="B4410" s="9" t="s">
        <v>4617</v>
      </c>
      <c r="C4410" s="9" t="s">
        <v>4618</v>
      </c>
      <c r="D4410" s="9" t="s">
        <v>3722</v>
      </c>
      <c r="E4410" s="9" t="s">
        <v>323</v>
      </c>
      <c r="F4410" s="9" t="s">
        <v>209</v>
      </c>
      <c r="G4410" s="9" t="s">
        <v>221</v>
      </c>
      <c r="H4410" s="9" t="n">
        <v>875</v>
      </c>
      <c r="I4410" s="29" t="n">
        <v>0.35</v>
      </c>
      <c r="J4410" s="9" t="n">
        <v>1</v>
      </c>
      <c r="K4410" s="30"/>
      <c r="L4410" s="30"/>
      <c r="M4410" s="30"/>
      <c r="N4410" s="30"/>
      <c r="O4410" s="30"/>
      <c r="P4410" s="30"/>
      <c r="Q4410" s="30"/>
      <c r="R4410" s="30"/>
      <c r="S4410" s="30"/>
      <c r="T4410" s="30"/>
      <c r="U4410" s="21" t="str">
        <f aca="false">IF(COUNT(K4410:T4410)=0,"SOURCE EMPTY / INDUSTRIAL ONLY",IF(MIN(K4410:T4410)=1,"SERVICE READY","HOLD"))</f>
        <v>SOURCE EMPTY / INDUSTRIAL ONLY</v>
      </c>
      <c r="V4410" s="9" t="n">
        <f aca="false">IF(U4410="SERVICE READY",1,0)</f>
        <v>0</v>
      </c>
      <c r="W4410" s="6"/>
      <c r="X4410" s="6"/>
      <c r="Y4410" s="6"/>
      <c r="Z4410" s="6"/>
    </row>
    <row r="4411" customFormat="false" ht="15" hidden="false" customHeight="false" outlineLevel="0" collapsed="false">
      <c r="A4411" s="9" t="s">
        <v>4701</v>
      </c>
      <c r="B4411" s="9" t="s">
        <v>4617</v>
      </c>
      <c r="C4411" s="9" t="s">
        <v>4618</v>
      </c>
      <c r="D4411" s="9" t="s">
        <v>3722</v>
      </c>
      <c r="E4411" s="9" t="s">
        <v>323</v>
      </c>
      <c r="F4411" s="9" t="s">
        <v>211</v>
      </c>
      <c r="G4411" s="9" t="s">
        <v>221</v>
      </c>
      <c r="H4411" s="9" t="n">
        <v>875</v>
      </c>
      <c r="I4411" s="29" t="n">
        <v>0.35</v>
      </c>
      <c r="J4411" s="9" t="n">
        <v>0</v>
      </c>
      <c r="K4411" s="30"/>
      <c r="L4411" s="30"/>
      <c r="M4411" s="30"/>
      <c r="N4411" s="30"/>
      <c r="O4411" s="30"/>
      <c r="P4411" s="30"/>
      <c r="Q4411" s="30"/>
      <c r="R4411" s="30"/>
      <c r="S4411" s="30"/>
      <c r="T4411" s="30"/>
      <c r="U4411" s="21" t="str">
        <f aca="false">IF(COUNT(K4411:T4411)=0,"SOURCE EMPTY / INDUSTRIAL ONLY",IF(MIN(K4411:T4411)=1,"SERVICE READY","HOLD"))</f>
        <v>SOURCE EMPTY / INDUSTRIAL ONLY</v>
      </c>
      <c r="V4411" s="9" t="n">
        <f aca="false">IF(U4411="SERVICE READY",1,0)</f>
        <v>0</v>
      </c>
      <c r="W4411" s="6"/>
      <c r="X4411" s="6"/>
      <c r="Y4411" s="6"/>
      <c r="Z4411" s="6"/>
    </row>
    <row r="4412" customFormat="false" ht="15" hidden="false" customHeight="false" outlineLevel="0" collapsed="false">
      <c r="A4412" s="9" t="s">
        <v>4702</v>
      </c>
      <c r="B4412" s="9" t="s">
        <v>4617</v>
      </c>
      <c r="C4412" s="9" t="s">
        <v>4618</v>
      </c>
      <c r="D4412" s="9" t="s">
        <v>3722</v>
      </c>
      <c r="E4412" s="9" t="s">
        <v>323</v>
      </c>
      <c r="F4412" s="9" t="s">
        <v>197</v>
      </c>
      <c r="G4412" s="9" t="s">
        <v>221</v>
      </c>
      <c r="H4412" s="9" t="n">
        <v>875</v>
      </c>
      <c r="I4412" s="29" t="n">
        <v>0.35</v>
      </c>
      <c r="J4412" s="9" t="n">
        <v>0</v>
      </c>
      <c r="K4412" s="30"/>
      <c r="L4412" s="30"/>
      <c r="M4412" s="30"/>
      <c r="N4412" s="30"/>
      <c r="O4412" s="30"/>
      <c r="P4412" s="30"/>
      <c r="Q4412" s="30"/>
      <c r="R4412" s="30"/>
      <c r="S4412" s="30"/>
      <c r="T4412" s="30"/>
      <c r="U4412" s="21" t="str">
        <f aca="false">IF(COUNT(K4412:T4412)=0,"SOURCE EMPTY / INDUSTRIAL ONLY",IF(MIN(K4412:T4412)=1,"SERVICE READY","HOLD"))</f>
        <v>SOURCE EMPTY / INDUSTRIAL ONLY</v>
      </c>
      <c r="V4412" s="9" t="n">
        <f aca="false">IF(U4412="SERVICE READY",1,0)</f>
        <v>0</v>
      </c>
      <c r="W4412" s="6"/>
      <c r="X4412" s="6"/>
      <c r="Y4412" s="6"/>
      <c r="Z4412" s="6"/>
    </row>
    <row r="4413" customFormat="false" ht="15" hidden="false" customHeight="false" outlineLevel="0" collapsed="false">
      <c r="A4413" s="9" t="s">
        <v>4703</v>
      </c>
      <c r="B4413" s="9" t="s">
        <v>4617</v>
      </c>
      <c r="C4413" s="9" t="s">
        <v>4618</v>
      </c>
      <c r="D4413" s="9" t="s">
        <v>3722</v>
      </c>
      <c r="E4413" s="9" t="s">
        <v>323</v>
      </c>
      <c r="F4413" s="9" t="s">
        <v>200</v>
      </c>
      <c r="G4413" s="9" t="s">
        <v>221</v>
      </c>
      <c r="H4413" s="9" t="n">
        <v>875</v>
      </c>
      <c r="I4413" s="29" t="n">
        <v>0.35</v>
      </c>
      <c r="J4413" s="9" t="n">
        <v>0</v>
      </c>
      <c r="K4413" s="30"/>
      <c r="L4413" s="30"/>
      <c r="M4413" s="30"/>
      <c r="N4413" s="30"/>
      <c r="O4413" s="30"/>
      <c r="P4413" s="30"/>
      <c r="Q4413" s="30"/>
      <c r="R4413" s="30"/>
      <c r="S4413" s="30"/>
      <c r="T4413" s="30"/>
      <c r="U4413" s="21" t="str">
        <f aca="false">IF(COUNT(K4413:T4413)=0,"SOURCE EMPTY / INDUSTRIAL ONLY",IF(MIN(K4413:T4413)=1,"SERVICE READY","HOLD"))</f>
        <v>SOURCE EMPTY / INDUSTRIAL ONLY</v>
      </c>
      <c r="V4413" s="9" t="n">
        <f aca="false">IF(U4413="SERVICE READY",1,0)</f>
        <v>0</v>
      </c>
      <c r="W4413" s="6"/>
      <c r="X4413" s="6"/>
      <c r="Y4413" s="6"/>
      <c r="Z4413" s="6"/>
    </row>
    <row r="4414" customFormat="false" ht="15" hidden="false" customHeight="false" outlineLevel="0" collapsed="false">
      <c r="A4414" s="9" t="s">
        <v>4704</v>
      </c>
      <c r="B4414" s="9" t="s">
        <v>4617</v>
      </c>
      <c r="C4414" s="9" t="s">
        <v>4618</v>
      </c>
      <c r="D4414" s="9" t="s">
        <v>3722</v>
      </c>
      <c r="E4414" s="9" t="s">
        <v>323</v>
      </c>
      <c r="F4414" s="9" t="s">
        <v>203</v>
      </c>
      <c r="G4414" s="9" t="s">
        <v>221</v>
      </c>
      <c r="H4414" s="9" t="n">
        <v>875</v>
      </c>
      <c r="I4414" s="29" t="n">
        <v>0.35</v>
      </c>
      <c r="J4414" s="9" t="n">
        <v>0</v>
      </c>
      <c r="K4414" s="30"/>
      <c r="L4414" s="30"/>
      <c r="M4414" s="30"/>
      <c r="N4414" s="30"/>
      <c r="O4414" s="30"/>
      <c r="P4414" s="30"/>
      <c r="Q4414" s="30"/>
      <c r="R4414" s="30"/>
      <c r="S4414" s="30"/>
      <c r="T4414" s="30"/>
      <c r="U4414" s="21" t="str">
        <f aca="false">IF(COUNT(K4414:T4414)=0,"SOURCE EMPTY / INDUSTRIAL ONLY",IF(MIN(K4414:T4414)=1,"SERVICE READY","HOLD"))</f>
        <v>SOURCE EMPTY / INDUSTRIAL ONLY</v>
      </c>
      <c r="V4414" s="9" t="n">
        <f aca="false">IF(U4414="SERVICE READY",1,0)</f>
        <v>0</v>
      </c>
      <c r="W4414" s="6"/>
      <c r="X4414" s="6"/>
      <c r="Y4414" s="6"/>
      <c r="Z4414" s="6"/>
    </row>
    <row r="4415" customFormat="false" ht="15" hidden="false" customHeight="false" outlineLevel="0" collapsed="false">
      <c r="A4415" s="9" t="s">
        <v>4705</v>
      </c>
      <c r="B4415" s="9" t="s">
        <v>4617</v>
      </c>
      <c r="C4415" s="9" t="s">
        <v>4618</v>
      </c>
      <c r="D4415" s="9" t="s">
        <v>3722</v>
      </c>
      <c r="E4415" s="9" t="s">
        <v>323</v>
      </c>
      <c r="F4415" s="9" t="s">
        <v>205</v>
      </c>
      <c r="G4415" s="9" t="s">
        <v>221</v>
      </c>
      <c r="H4415" s="9" t="n">
        <v>875</v>
      </c>
      <c r="I4415" s="29" t="n">
        <v>0.35</v>
      </c>
      <c r="J4415" s="9" t="n">
        <v>0</v>
      </c>
      <c r="K4415" s="30"/>
      <c r="L4415" s="30"/>
      <c r="M4415" s="30"/>
      <c r="N4415" s="30"/>
      <c r="O4415" s="30"/>
      <c r="P4415" s="30"/>
      <c r="Q4415" s="30"/>
      <c r="R4415" s="30"/>
      <c r="S4415" s="30"/>
      <c r="T4415" s="30"/>
      <c r="U4415" s="21" t="str">
        <f aca="false">IF(COUNT(K4415:T4415)=0,"SOURCE EMPTY / INDUSTRIAL ONLY",IF(MIN(K4415:T4415)=1,"SERVICE READY","HOLD"))</f>
        <v>SOURCE EMPTY / INDUSTRIAL ONLY</v>
      </c>
      <c r="V4415" s="9" t="n">
        <f aca="false">IF(U4415="SERVICE READY",1,0)</f>
        <v>0</v>
      </c>
      <c r="W4415" s="6"/>
      <c r="X4415" s="6"/>
      <c r="Y4415" s="6"/>
      <c r="Z4415" s="6"/>
    </row>
    <row r="4416" customFormat="false" ht="15" hidden="false" customHeight="false" outlineLevel="0" collapsed="false">
      <c r="A4416" s="9" t="s">
        <v>4706</v>
      </c>
      <c r="B4416" s="9" t="s">
        <v>4617</v>
      </c>
      <c r="C4416" s="9" t="s">
        <v>4618</v>
      </c>
      <c r="D4416" s="9" t="s">
        <v>3722</v>
      </c>
      <c r="E4416" s="9" t="s">
        <v>323</v>
      </c>
      <c r="F4416" s="9" t="s">
        <v>207</v>
      </c>
      <c r="G4416" s="9" t="s">
        <v>221</v>
      </c>
      <c r="H4416" s="9" t="n">
        <v>875</v>
      </c>
      <c r="I4416" s="29" t="n">
        <v>0.35</v>
      </c>
      <c r="J4416" s="9" t="n">
        <v>0</v>
      </c>
      <c r="K4416" s="30"/>
      <c r="L4416" s="30"/>
      <c r="M4416" s="30"/>
      <c r="N4416" s="30"/>
      <c r="O4416" s="30"/>
      <c r="P4416" s="30"/>
      <c r="Q4416" s="30"/>
      <c r="R4416" s="30"/>
      <c r="S4416" s="30"/>
      <c r="T4416" s="30"/>
      <c r="U4416" s="21" t="str">
        <f aca="false">IF(COUNT(K4416:T4416)=0,"SOURCE EMPTY / INDUSTRIAL ONLY",IF(MIN(K4416:T4416)=1,"SERVICE READY","HOLD"))</f>
        <v>SOURCE EMPTY / INDUSTRIAL ONLY</v>
      </c>
      <c r="V4416" s="9" t="n">
        <f aca="false">IF(U4416="SERVICE READY",1,0)</f>
        <v>0</v>
      </c>
      <c r="W4416" s="6"/>
      <c r="X4416" s="6"/>
      <c r="Y4416" s="6"/>
      <c r="Z4416" s="6"/>
    </row>
    <row r="4417" customFormat="false" ht="15" hidden="false" customHeight="false" outlineLevel="0" collapsed="false">
      <c r="A4417" s="9" t="s">
        <v>4707</v>
      </c>
      <c r="B4417" s="9" t="s">
        <v>4617</v>
      </c>
      <c r="C4417" s="9" t="s">
        <v>4618</v>
      </c>
      <c r="D4417" s="9" t="s">
        <v>3722</v>
      </c>
      <c r="E4417" s="9" t="s">
        <v>323</v>
      </c>
      <c r="F4417" s="9" t="s">
        <v>209</v>
      </c>
      <c r="G4417" s="9" t="s">
        <v>221</v>
      </c>
      <c r="H4417" s="9" t="n">
        <v>875</v>
      </c>
      <c r="I4417" s="29" t="n">
        <v>0.35</v>
      </c>
      <c r="J4417" s="9" t="n">
        <v>0</v>
      </c>
      <c r="K4417" s="30"/>
      <c r="L4417" s="30"/>
      <c r="M4417" s="30"/>
      <c r="N4417" s="30"/>
      <c r="O4417" s="30"/>
      <c r="P4417" s="30"/>
      <c r="Q4417" s="30"/>
      <c r="R4417" s="30"/>
      <c r="S4417" s="30"/>
      <c r="T4417" s="30"/>
      <c r="U4417" s="21" t="str">
        <f aca="false">IF(COUNT(K4417:T4417)=0,"SOURCE EMPTY / INDUSTRIAL ONLY",IF(MIN(K4417:T4417)=1,"SERVICE READY","HOLD"))</f>
        <v>SOURCE EMPTY / INDUSTRIAL ONLY</v>
      </c>
      <c r="V4417" s="9" t="n">
        <f aca="false">IF(U4417="SERVICE READY",1,0)</f>
        <v>0</v>
      </c>
      <c r="W4417" s="6"/>
      <c r="X4417" s="6"/>
      <c r="Y4417" s="6"/>
      <c r="Z4417" s="6"/>
    </row>
    <row r="4418" customFormat="false" ht="15" hidden="false" customHeight="false" outlineLevel="0" collapsed="false">
      <c r="A4418" s="9" t="s">
        <v>4708</v>
      </c>
      <c r="B4418" s="9" t="s">
        <v>4617</v>
      </c>
      <c r="C4418" s="9" t="s">
        <v>4618</v>
      </c>
      <c r="D4418" s="9" t="s">
        <v>3722</v>
      </c>
      <c r="E4418" s="9" t="s">
        <v>323</v>
      </c>
      <c r="F4418" s="9" t="s">
        <v>211</v>
      </c>
      <c r="G4418" s="9" t="s">
        <v>221</v>
      </c>
      <c r="H4418" s="9" t="n">
        <v>875</v>
      </c>
      <c r="I4418" s="29" t="n">
        <v>0.35</v>
      </c>
      <c r="J4418" s="9" t="n">
        <v>0</v>
      </c>
      <c r="K4418" s="30"/>
      <c r="L4418" s="30"/>
      <c r="M4418" s="30"/>
      <c r="N4418" s="30"/>
      <c r="O4418" s="30"/>
      <c r="P4418" s="30"/>
      <c r="Q4418" s="30"/>
      <c r="R4418" s="30"/>
      <c r="S4418" s="30"/>
      <c r="T4418" s="30"/>
      <c r="U4418" s="21" t="str">
        <f aca="false">IF(COUNT(K4418:T4418)=0,"SOURCE EMPTY / INDUSTRIAL ONLY",IF(MIN(K4418:T4418)=1,"SERVICE READY","HOLD"))</f>
        <v>SOURCE EMPTY / INDUSTRIAL ONLY</v>
      </c>
      <c r="V4418" s="9" t="n">
        <f aca="false">IF(U4418="SERVICE READY",1,0)</f>
        <v>0</v>
      </c>
      <c r="W4418" s="6"/>
      <c r="X4418" s="6"/>
      <c r="Y4418" s="6"/>
      <c r="Z4418" s="6"/>
    </row>
    <row r="4419" customFormat="false" ht="15" hidden="false" customHeight="false" outlineLevel="0" collapsed="false">
      <c r="A4419" s="9" t="s">
        <v>4709</v>
      </c>
      <c r="B4419" s="9" t="s">
        <v>4617</v>
      </c>
      <c r="C4419" s="9" t="s">
        <v>4618</v>
      </c>
      <c r="D4419" s="9" t="s">
        <v>3722</v>
      </c>
      <c r="E4419" s="9" t="s">
        <v>323</v>
      </c>
      <c r="F4419" s="9" t="s">
        <v>197</v>
      </c>
      <c r="G4419" s="9" t="s">
        <v>221</v>
      </c>
      <c r="H4419" s="9" t="n">
        <v>875</v>
      </c>
      <c r="I4419" s="29" t="n">
        <v>0.35</v>
      </c>
      <c r="J4419" s="9" t="n">
        <v>0</v>
      </c>
      <c r="K4419" s="30"/>
      <c r="L4419" s="30"/>
      <c r="M4419" s="30"/>
      <c r="N4419" s="30"/>
      <c r="O4419" s="30"/>
      <c r="P4419" s="30"/>
      <c r="Q4419" s="30"/>
      <c r="R4419" s="30"/>
      <c r="S4419" s="30"/>
      <c r="T4419" s="30"/>
      <c r="U4419" s="21" t="str">
        <f aca="false">IF(COUNT(K4419:T4419)=0,"SOURCE EMPTY / INDUSTRIAL ONLY",IF(MIN(K4419:T4419)=1,"SERVICE READY","HOLD"))</f>
        <v>SOURCE EMPTY / INDUSTRIAL ONLY</v>
      </c>
      <c r="V4419" s="9" t="n">
        <f aca="false">IF(U4419="SERVICE READY",1,0)</f>
        <v>0</v>
      </c>
      <c r="W4419" s="6"/>
      <c r="X4419" s="6"/>
      <c r="Y4419" s="6"/>
      <c r="Z4419" s="6"/>
    </row>
    <row r="4420" customFormat="false" ht="15" hidden="false" customHeight="false" outlineLevel="0" collapsed="false">
      <c r="A4420" s="9" t="s">
        <v>4710</v>
      </c>
      <c r="B4420" s="9" t="s">
        <v>4617</v>
      </c>
      <c r="C4420" s="9" t="s">
        <v>4618</v>
      </c>
      <c r="D4420" s="9" t="s">
        <v>3722</v>
      </c>
      <c r="E4420" s="9" t="s">
        <v>323</v>
      </c>
      <c r="F4420" s="9" t="s">
        <v>200</v>
      </c>
      <c r="G4420" s="9" t="s">
        <v>221</v>
      </c>
      <c r="H4420" s="9" t="n">
        <v>875</v>
      </c>
      <c r="I4420" s="29" t="n">
        <v>0.35</v>
      </c>
      <c r="J4420" s="9" t="n">
        <v>0</v>
      </c>
      <c r="K4420" s="30"/>
      <c r="L4420" s="30"/>
      <c r="M4420" s="30"/>
      <c r="N4420" s="30"/>
      <c r="O4420" s="30"/>
      <c r="P4420" s="30"/>
      <c r="Q4420" s="30"/>
      <c r="R4420" s="30"/>
      <c r="S4420" s="30"/>
      <c r="T4420" s="30"/>
      <c r="U4420" s="21" t="str">
        <f aca="false">IF(COUNT(K4420:T4420)=0,"SOURCE EMPTY / INDUSTRIAL ONLY",IF(MIN(K4420:T4420)=1,"SERVICE READY","HOLD"))</f>
        <v>SOURCE EMPTY / INDUSTRIAL ONLY</v>
      </c>
      <c r="V4420" s="9" t="n">
        <f aca="false">IF(U4420="SERVICE READY",1,0)</f>
        <v>0</v>
      </c>
      <c r="W4420" s="6"/>
      <c r="X4420" s="6"/>
      <c r="Y4420" s="6"/>
      <c r="Z4420" s="6"/>
    </row>
    <row r="4421" customFormat="false" ht="15" hidden="false" customHeight="false" outlineLevel="0" collapsed="false">
      <c r="A4421" s="9" t="s">
        <v>4711</v>
      </c>
      <c r="B4421" s="9" t="s">
        <v>4617</v>
      </c>
      <c r="C4421" s="9" t="s">
        <v>4618</v>
      </c>
      <c r="D4421" s="9" t="s">
        <v>3722</v>
      </c>
      <c r="E4421" s="9" t="s">
        <v>323</v>
      </c>
      <c r="F4421" s="9" t="s">
        <v>203</v>
      </c>
      <c r="G4421" s="9" t="s">
        <v>221</v>
      </c>
      <c r="H4421" s="9" t="n">
        <v>875</v>
      </c>
      <c r="I4421" s="29" t="n">
        <v>0.35</v>
      </c>
      <c r="J4421" s="9" t="n">
        <v>0</v>
      </c>
      <c r="K4421" s="30"/>
      <c r="L4421" s="30"/>
      <c r="M4421" s="30"/>
      <c r="N4421" s="30"/>
      <c r="O4421" s="30"/>
      <c r="P4421" s="30"/>
      <c r="Q4421" s="30"/>
      <c r="R4421" s="30"/>
      <c r="S4421" s="30"/>
      <c r="T4421" s="30"/>
      <c r="U4421" s="21" t="str">
        <f aca="false">IF(COUNT(K4421:T4421)=0,"SOURCE EMPTY / INDUSTRIAL ONLY",IF(MIN(K4421:T4421)=1,"SERVICE READY","HOLD"))</f>
        <v>SOURCE EMPTY / INDUSTRIAL ONLY</v>
      </c>
      <c r="V4421" s="9" t="n">
        <f aca="false">IF(U4421="SERVICE READY",1,0)</f>
        <v>0</v>
      </c>
      <c r="W4421" s="6"/>
      <c r="X4421" s="6"/>
      <c r="Y4421" s="6"/>
      <c r="Z4421" s="6"/>
    </row>
    <row r="4422" customFormat="false" ht="15" hidden="false" customHeight="false" outlineLevel="0" collapsed="false">
      <c r="A4422" s="9" t="s">
        <v>4712</v>
      </c>
      <c r="B4422" s="9" t="s">
        <v>4617</v>
      </c>
      <c r="C4422" s="9" t="s">
        <v>4618</v>
      </c>
      <c r="D4422" s="9" t="s">
        <v>3722</v>
      </c>
      <c r="E4422" s="9" t="s">
        <v>323</v>
      </c>
      <c r="F4422" s="9" t="s">
        <v>205</v>
      </c>
      <c r="G4422" s="9" t="s">
        <v>221</v>
      </c>
      <c r="H4422" s="9" t="n">
        <v>875</v>
      </c>
      <c r="I4422" s="29" t="n">
        <v>0.35</v>
      </c>
      <c r="J4422" s="9" t="n">
        <v>0</v>
      </c>
      <c r="K4422" s="30"/>
      <c r="L4422" s="30"/>
      <c r="M4422" s="30"/>
      <c r="N4422" s="30"/>
      <c r="O4422" s="30"/>
      <c r="P4422" s="30"/>
      <c r="Q4422" s="30"/>
      <c r="R4422" s="30"/>
      <c r="S4422" s="30"/>
      <c r="T4422" s="30"/>
      <c r="U4422" s="21" t="str">
        <f aca="false">IF(COUNT(K4422:T4422)=0,"SOURCE EMPTY / INDUSTRIAL ONLY",IF(MIN(K4422:T4422)=1,"SERVICE READY","HOLD"))</f>
        <v>SOURCE EMPTY / INDUSTRIAL ONLY</v>
      </c>
      <c r="V4422" s="9" t="n">
        <f aca="false">IF(U4422="SERVICE READY",1,0)</f>
        <v>0</v>
      </c>
      <c r="W4422" s="6"/>
      <c r="X4422" s="6"/>
      <c r="Y4422" s="6"/>
      <c r="Z4422" s="6"/>
    </row>
    <row r="4423" customFormat="false" ht="15" hidden="false" customHeight="false" outlineLevel="0" collapsed="false">
      <c r="A4423" s="9" t="s">
        <v>4713</v>
      </c>
      <c r="B4423" s="9" t="s">
        <v>4617</v>
      </c>
      <c r="C4423" s="9" t="s">
        <v>4618</v>
      </c>
      <c r="D4423" s="9" t="s">
        <v>3722</v>
      </c>
      <c r="E4423" s="9" t="s">
        <v>323</v>
      </c>
      <c r="F4423" s="9" t="s">
        <v>207</v>
      </c>
      <c r="G4423" s="9" t="s">
        <v>221</v>
      </c>
      <c r="H4423" s="9" t="n">
        <v>875</v>
      </c>
      <c r="I4423" s="29" t="n">
        <v>0.35</v>
      </c>
      <c r="J4423" s="9" t="n">
        <v>0</v>
      </c>
      <c r="K4423" s="30"/>
      <c r="L4423" s="30"/>
      <c r="M4423" s="30"/>
      <c r="N4423" s="30"/>
      <c r="O4423" s="30"/>
      <c r="P4423" s="30"/>
      <c r="Q4423" s="30"/>
      <c r="R4423" s="30"/>
      <c r="S4423" s="30"/>
      <c r="T4423" s="30"/>
      <c r="U4423" s="21" t="str">
        <f aca="false">IF(COUNT(K4423:T4423)=0,"SOURCE EMPTY / INDUSTRIAL ONLY",IF(MIN(K4423:T4423)=1,"SERVICE READY","HOLD"))</f>
        <v>SOURCE EMPTY / INDUSTRIAL ONLY</v>
      </c>
      <c r="V4423" s="9" t="n">
        <f aca="false">IF(U4423="SERVICE READY",1,0)</f>
        <v>0</v>
      </c>
      <c r="W4423" s="6"/>
      <c r="X4423" s="6"/>
      <c r="Y4423" s="6"/>
      <c r="Z4423" s="6"/>
    </row>
    <row r="4424" customFormat="false" ht="15" hidden="false" customHeight="false" outlineLevel="0" collapsed="false">
      <c r="A4424" s="9" t="s">
        <v>4714</v>
      </c>
      <c r="B4424" s="9" t="s">
        <v>4617</v>
      </c>
      <c r="C4424" s="9" t="s">
        <v>4618</v>
      </c>
      <c r="D4424" s="9" t="s">
        <v>3722</v>
      </c>
      <c r="E4424" s="9" t="s">
        <v>323</v>
      </c>
      <c r="F4424" s="9" t="s">
        <v>209</v>
      </c>
      <c r="G4424" s="9" t="s">
        <v>221</v>
      </c>
      <c r="H4424" s="9" t="n">
        <v>875</v>
      </c>
      <c r="I4424" s="29" t="n">
        <v>0.35</v>
      </c>
      <c r="J4424" s="9" t="n">
        <v>0</v>
      </c>
      <c r="K4424" s="30"/>
      <c r="L4424" s="30"/>
      <c r="M4424" s="30"/>
      <c r="N4424" s="30"/>
      <c r="O4424" s="30"/>
      <c r="P4424" s="30"/>
      <c r="Q4424" s="30"/>
      <c r="R4424" s="30"/>
      <c r="S4424" s="30"/>
      <c r="T4424" s="30"/>
      <c r="U4424" s="21" t="str">
        <f aca="false">IF(COUNT(K4424:T4424)=0,"SOURCE EMPTY / INDUSTRIAL ONLY",IF(MIN(K4424:T4424)=1,"SERVICE READY","HOLD"))</f>
        <v>SOURCE EMPTY / INDUSTRIAL ONLY</v>
      </c>
      <c r="V4424" s="9" t="n">
        <f aca="false">IF(U4424="SERVICE READY",1,0)</f>
        <v>0</v>
      </c>
      <c r="W4424" s="6"/>
      <c r="X4424" s="6"/>
      <c r="Y4424" s="6"/>
      <c r="Z4424" s="6"/>
    </row>
    <row r="4425" customFormat="false" ht="15" hidden="false" customHeight="false" outlineLevel="0" collapsed="false">
      <c r="A4425" s="9" t="s">
        <v>4715</v>
      </c>
      <c r="B4425" s="9" t="s">
        <v>4617</v>
      </c>
      <c r="C4425" s="9" t="s">
        <v>4618</v>
      </c>
      <c r="D4425" s="9" t="s">
        <v>3722</v>
      </c>
      <c r="E4425" s="9" t="s">
        <v>323</v>
      </c>
      <c r="F4425" s="9" t="s">
        <v>211</v>
      </c>
      <c r="G4425" s="9" t="s">
        <v>221</v>
      </c>
      <c r="H4425" s="9" t="n">
        <v>875</v>
      </c>
      <c r="I4425" s="29" t="n">
        <v>0.35</v>
      </c>
      <c r="J4425" s="9" t="n">
        <v>0</v>
      </c>
      <c r="K4425" s="30"/>
      <c r="L4425" s="30"/>
      <c r="M4425" s="30"/>
      <c r="N4425" s="30"/>
      <c r="O4425" s="30"/>
      <c r="P4425" s="30"/>
      <c r="Q4425" s="30"/>
      <c r="R4425" s="30"/>
      <c r="S4425" s="30"/>
      <c r="T4425" s="30"/>
      <c r="U4425" s="21" t="str">
        <f aca="false">IF(COUNT(K4425:T4425)=0,"SOURCE EMPTY / INDUSTRIAL ONLY",IF(MIN(K4425:T4425)=1,"SERVICE READY","HOLD"))</f>
        <v>SOURCE EMPTY / INDUSTRIAL ONLY</v>
      </c>
      <c r="V4425" s="9" t="n">
        <f aca="false">IF(U4425="SERVICE READY",1,0)</f>
        <v>0</v>
      </c>
      <c r="W4425" s="6"/>
      <c r="X4425" s="6"/>
      <c r="Y4425" s="6"/>
      <c r="Z4425" s="6"/>
    </row>
    <row r="4426" customFormat="false" ht="15" hidden="false" customHeight="false" outlineLevel="0" collapsed="false">
      <c r="A4426" s="9" t="s">
        <v>4716</v>
      </c>
      <c r="B4426" s="9" t="s">
        <v>4617</v>
      </c>
      <c r="C4426" s="9" t="s">
        <v>4618</v>
      </c>
      <c r="D4426" s="9" t="s">
        <v>3722</v>
      </c>
      <c r="E4426" s="9" t="s">
        <v>323</v>
      </c>
      <c r="F4426" s="9" t="s">
        <v>197</v>
      </c>
      <c r="G4426" s="9" t="s">
        <v>221</v>
      </c>
      <c r="H4426" s="9" t="n">
        <v>875</v>
      </c>
      <c r="I4426" s="29" t="n">
        <v>0.35</v>
      </c>
      <c r="J4426" s="9" t="n">
        <v>0</v>
      </c>
      <c r="K4426" s="30"/>
      <c r="L4426" s="30"/>
      <c r="M4426" s="30"/>
      <c r="N4426" s="30"/>
      <c r="O4426" s="30"/>
      <c r="P4426" s="30"/>
      <c r="Q4426" s="30"/>
      <c r="R4426" s="30"/>
      <c r="S4426" s="30"/>
      <c r="T4426" s="30"/>
      <c r="U4426" s="21" t="str">
        <f aca="false">IF(COUNT(K4426:T4426)=0,"SOURCE EMPTY / INDUSTRIAL ONLY",IF(MIN(K4426:T4426)=1,"SERVICE READY","HOLD"))</f>
        <v>SOURCE EMPTY / INDUSTRIAL ONLY</v>
      </c>
      <c r="V4426" s="9" t="n">
        <f aca="false">IF(U4426="SERVICE READY",1,0)</f>
        <v>0</v>
      </c>
      <c r="W4426" s="6"/>
      <c r="X4426" s="6"/>
      <c r="Y4426" s="6"/>
      <c r="Z4426" s="6"/>
    </row>
    <row r="4427" customFormat="false" ht="15" hidden="false" customHeight="false" outlineLevel="0" collapsed="false">
      <c r="A4427" s="9" t="s">
        <v>4717</v>
      </c>
      <c r="B4427" s="9" t="s">
        <v>4617</v>
      </c>
      <c r="C4427" s="9" t="s">
        <v>4618</v>
      </c>
      <c r="D4427" s="9" t="s">
        <v>3722</v>
      </c>
      <c r="E4427" s="9" t="s">
        <v>323</v>
      </c>
      <c r="F4427" s="9" t="s">
        <v>200</v>
      </c>
      <c r="G4427" s="9" t="s">
        <v>221</v>
      </c>
      <c r="H4427" s="9" t="n">
        <v>875</v>
      </c>
      <c r="I4427" s="29" t="n">
        <v>0.35</v>
      </c>
      <c r="J4427" s="9" t="n">
        <v>0</v>
      </c>
      <c r="K4427" s="30"/>
      <c r="L4427" s="30"/>
      <c r="M4427" s="30"/>
      <c r="N4427" s="30"/>
      <c r="O4427" s="30"/>
      <c r="P4427" s="30"/>
      <c r="Q4427" s="30"/>
      <c r="R4427" s="30"/>
      <c r="S4427" s="30"/>
      <c r="T4427" s="30"/>
      <c r="U4427" s="21" t="str">
        <f aca="false">IF(COUNT(K4427:T4427)=0,"SOURCE EMPTY / INDUSTRIAL ONLY",IF(MIN(K4427:T4427)=1,"SERVICE READY","HOLD"))</f>
        <v>SOURCE EMPTY / INDUSTRIAL ONLY</v>
      </c>
      <c r="V4427" s="9" t="n">
        <f aca="false">IF(U4427="SERVICE READY",1,0)</f>
        <v>0</v>
      </c>
      <c r="W4427" s="6"/>
      <c r="X4427" s="6"/>
      <c r="Y4427" s="6"/>
      <c r="Z4427" s="6"/>
    </row>
    <row r="4428" customFormat="false" ht="15" hidden="false" customHeight="false" outlineLevel="0" collapsed="false">
      <c r="A4428" s="9" t="s">
        <v>4718</v>
      </c>
      <c r="B4428" s="9" t="s">
        <v>4617</v>
      </c>
      <c r="C4428" s="9" t="s">
        <v>4618</v>
      </c>
      <c r="D4428" s="9" t="s">
        <v>3722</v>
      </c>
      <c r="E4428" s="9" t="s">
        <v>323</v>
      </c>
      <c r="F4428" s="9" t="s">
        <v>203</v>
      </c>
      <c r="G4428" s="9" t="s">
        <v>221</v>
      </c>
      <c r="H4428" s="9" t="n">
        <v>875</v>
      </c>
      <c r="I4428" s="29" t="n">
        <v>0.35</v>
      </c>
      <c r="J4428" s="9" t="n">
        <v>0</v>
      </c>
      <c r="K4428" s="30"/>
      <c r="L4428" s="30"/>
      <c r="M4428" s="30"/>
      <c r="N4428" s="30"/>
      <c r="O4428" s="30"/>
      <c r="P4428" s="30"/>
      <c r="Q4428" s="30"/>
      <c r="R4428" s="30"/>
      <c r="S4428" s="30"/>
      <c r="T4428" s="30"/>
      <c r="U4428" s="21" t="str">
        <f aca="false">IF(COUNT(K4428:T4428)=0,"SOURCE EMPTY / INDUSTRIAL ONLY",IF(MIN(K4428:T4428)=1,"SERVICE READY","HOLD"))</f>
        <v>SOURCE EMPTY / INDUSTRIAL ONLY</v>
      </c>
      <c r="V4428" s="9" t="n">
        <f aca="false">IF(U4428="SERVICE READY",1,0)</f>
        <v>0</v>
      </c>
      <c r="W4428" s="6"/>
      <c r="X4428" s="6"/>
      <c r="Y4428" s="6"/>
      <c r="Z4428" s="6"/>
    </row>
    <row r="4429" customFormat="false" ht="15" hidden="false" customHeight="false" outlineLevel="0" collapsed="false">
      <c r="A4429" s="9" t="s">
        <v>4719</v>
      </c>
      <c r="B4429" s="9" t="s">
        <v>4617</v>
      </c>
      <c r="C4429" s="9" t="s">
        <v>4618</v>
      </c>
      <c r="D4429" s="9" t="s">
        <v>3722</v>
      </c>
      <c r="E4429" s="9" t="s">
        <v>323</v>
      </c>
      <c r="F4429" s="9" t="s">
        <v>205</v>
      </c>
      <c r="G4429" s="9" t="s">
        <v>221</v>
      </c>
      <c r="H4429" s="9" t="n">
        <v>875</v>
      </c>
      <c r="I4429" s="29" t="n">
        <v>0.35</v>
      </c>
      <c r="J4429" s="9" t="n">
        <v>0</v>
      </c>
      <c r="K4429" s="30"/>
      <c r="L4429" s="30"/>
      <c r="M4429" s="30"/>
      <c r="N4429" s="30"/>
      <c r="O4429" s="30"/>
      <c r="P4429" s="30"/>
      <c r="Q4429" s="30"/>
      <c r="R4429" s="30"/>
      <c r="S4429" s="30"/>
      <c r="T4429" s="30"/>
      <c r="U4429" s="21" t="str">
        <f aca="false">IF(COUNT(K4429:T4429)=0,"SOURCE EMPTY / INDUSTRIAL ONLY",IF(MIN(K4429:T4429)=1,"SERVICE READY","HOLD"))</f>
        <v>SOURCE EMPTY / INDUSTRIAL ONLY</v>
      </c>
      <c r="V4429" s="9" t="n">
        <f aca="false">IF(U4429="SERVICE READY",1,0)</f>
        <v>0</v>
      </c>
      <c r="W4429" s="6"/>
      <c r="X4429" s="6"/>
      <c r="Y4429" s="6"/>
      <c r="Z4429" s="6"/>
    </row>
    <row r="4430" customFormat="false" ht="15" hidden="false" customHeight="false" outlineLevel="0" collapsed="false">
      <c r="A4430" s="9" t="s">
        <v>4720</v>
      </c>
      <c r="B4430" s="9" t="s">
        <v>4617</v>
      </c>
      <c r="C4430" s="9" t="s">
        <v>4618</v>
      </c>
      <c r="D4430" s="9" t="s">
        <v>3722</v>
      </c>
      <c r="E4430" s="9" t="s">
        <v>323</v>
      </c>
      <c r="F4430" s="9" t="s">
        <v>207</v>
      </c>
      <c r="G4430" s="9" t="s">
        <v>221</v>
      </c>
      <c r="H4430" s="9" t="n">
        <v>875</v>
      </c>
      <c r="I4430" s="29" t="n">
        <v>0.35</v>
      </c>
      <c r="J4430" s="9" t="n">
        <v>0</v>
      </c>
      <c r="K4430" s="30"/>
      <c r="L4430" s="30"/>
      <c r="M4430" s="30"/>
      <c r="N4430" s="30"/>
      <c r="O4430" s="30"/>
      <c r="P4430" s="30"/>
      <c r="Q4430" s="30"/>
      <c r="R4430" s="30"/>
      <c r="S4430" s="30"/>
      <c r="T4430" s="30"/>
      <c r="U4430" s="21" t="str">
        <f aca="false">IF(COUNT(K4430:T4430)=0,"SOURCE EMPTY / INDUSTRIAL ONLY",IF(MIN(K4430:T4430)=1,"SERVICE READY","HOLD"))</f>
        <v>SOURCE EMPTY / INDUSTRIAL ONLY</v>
      </c>
      <c r="V4430" s="9" t="n">
        <f aca="false">IF(U4430="SERVICE READY",1,0)</f>
        <v>0</v>
      </c>
      <c r="W4430" s="6"/>
      <c r="X4430" s="6"/>
      <c r="Y4430" s="6"/>
      <c r="Z4430" s="6"/>
    </row>
    <row r="4431" customFormat="false" ht="15" hidden="false" customHeight="false" outlineLevel="0" collapsed="false">
      <c r="A4431" s="9" t="s">
        <v>4721</v>
      </c>
      <c r="B4431" s="9" t="s">
        <v>4617</v>
      </c>
      <c r="C4431" s="9" t="s">
        <v>4618</v>
      </c>
      <c r="D4431" s="9" t="s">
        <v>3722</v>
      </c>
      <c r="E4431" s="9" t="s">
        <v>323</v>
      </c>
      <c r="F4431" s="9" t="s">
        <v>209</v>
      </c>
      <c r="G4431" s="9" t="s">
        <v>221</v>
      </c>
      <c r="H4431" s="9" t="n">
        <v>875</v>
      </c>
      <c r="I4431" s="29" t="n">
        <v>0.35</v>
      </c>
      <c r="J4431" s="9" t="n">
        <v>0</v>
      </c>
      <c r="K4431" s="30"/>
      <c r="L4431" s="30"/>
      <c r="M4431" s="30"/>
      <c r="N4431" s="30"/>
      <c r="O4431" s="30"/>
      <c r="P4431" s="30"/>
      <c r="Q4431" s="30"/>
      <c r="R4431" s="30"/>
      <c r="S4431" s="30"/>
      <c r="T4431" s="30"/>
      <c r="U4431" s="21" t="str">
        <f aca="false">IF(COUNT(K4431:T4431)=0,"SOURCE EMPTY / INDUSTRIAL ONLY",IF(MIN(K4431:T4431)=1,"SERVICE READY","HOLD"))</f>
        <v>SOURCE EMPTY / INDUSTRIAL ONLY</v>
      </c>
      <c r="V4431" s="9" t="n">
        <f aca="false">IF(U4431="SERVICE READY",1,0)</f>
        <v>0</v>
      </c>
      <c r="W4431" s="6"/>
      <c r="X4431" s="6"/>
      <c r="Y4431" s="6"/>
      <c r="Z4431" s="6"/>
    </row>
    <row r="4432" customFormat="false" ht="15" hidden="false" customHeight="false" outlineLevel="0" collapsed="false">
      <c r="A4432" s="9" t="s">
        <v>4722</v>
      </c>
      <c r="B4432" s="9" t="s">
        <v>4617</v>
      </c>
      <c r="C4432" s="9" t="s">
        <v>4618</v>
      </c>
      <c r="D4432" s="9" t="s">
        <v>3722</v>
      </c>
      <c r="E4432" s="9" t="s">
        <v>323</v>
      </c>
      <c r="F4432" s="9" t="s">
        <v>211</v>
      </c>
      <c r="G4432" s="9" t="s">
        <v>221</v>
      </c>
      <c r="H4432" s="9" t="n">
        <v>875</v>
      </c>
      <c r="I4432" s="29" t="n">
        <v>0.35</v>
      </c>
      <c r="J4432" s="9" t="n">
        <v>0</v>
      </c>
      <c r="K4432" s="30"/>
      <c r="L4432" s="30"/>
      <c r="M4432" s="30"/>
      <c r="N4432" s="30"/>
      <c r="O4432" s="30"/>
      <c r="P4432" s="30"/>
      <c r="Q4432" s="30"/>
      <c r="R4432" s="30"/>
      <c r="S4432" s="30"/>
      <c r="T4432" s="30"/>
      <c r="U4432" s="21" t="str">
        <f aca="false">IF(COUNT(K4432:T4432)=0,"SOURCE EMPTY / INDUSTRIAL ONLY",IF(MIN(K4432:T4432)=1,"SERVICE READY","HOLD"))</f>
        <v>SOURCE EMPTY / INDUSTRIAL ONLY</v>
      </c>
      <c r="V4432" s="9" t="n">
        <f aca="false">IF(U4432="SERVICE READY",1,0)</f>
        <v>0</v>
      </c>
      <c r="W4432" s="6"/>
      <c r="X4432" s="6"/>
      <c r="Y4432" s="6"/>
      <c r="Z4432" s="6"/>
    </row>
    <row r="4433" customFormat="false" ht="15" hidden="false" customHeight="false" outlineLevel="0" collapsed="false">
      <c r="A4433" s="9" t="s">
        <v>4723</v>
      </c>
      <c r="B4433" s="9" t="s">
        <v>4617</v>
      </c>
      <c r="C4433" s="9" t="s">
        <v>4618</v>
      </c>
      <c r="D4433" s="9" t="s">
        <v>3722</v>
      </c>
      <c r="E4433" s="9" t="s">
        <v>323</v>
      </c>
      <c r="F4433" s="9" t="s">
        <v>197</v>
      </c>
      <c r="G4433" s="9" t="s">
        <v>221</v>
      </c>
      <c r="H4433" s="9" t="n">
        <v>875</v>
      </c>
      <c r="I4433" s="29" t="n">
        <v>0.35</v>
      </c>
      <c r="J4433" s="9" t="n">
        <v>0</v>
      </c>
      <c r="K4433" s="30"/>
      <c r="L4433" s="30"/>
      <c r="M4433" s="30"/>
      <c r="N4433" s="30"/>
      <c r="O4433" s="30"/>
      <c r="P4433" s="30"/>
      <c r="Q4433" s="30"/>
      <c r="R4433" s="30"/>
      <c r="S4433" s="30"/>
      <c r="T4433" s="30"/>
      <c r="U4433" s="21" t="str">
        <f aca="false">IF(COUNT(K4433:T4433)=0,"SOURCE EMPTY / INDUSTRIAL ONLY",IF(MIN(K4433:T4433)=1,"SERVICE READY","HOLD"))</f>
        <v>SOURCE EMPTY / INDUSTRIAL ONLY</v>
      </c>
      <c r="V4433" s="9" t="n">
        <f aca="false">IF(U4433="SERVICE READY",1,0)</f>
        <v>0</v>
      </c>
      <c r="W4433" s="6"/>
      <c r="X4433" s="6"/>
      <c r="Y4433" s="6"/>
      <c r="Z4433" s="6"/>
    </row>
    <row r="4434" customFormat="false" ht="15" hidden="false" customHeight="false" outlineLevel="0" collapsed="false">
      <c r="A4434" s="9" t="s">
        <v>4724</v>
      </c>
      <c r="B4434" s="9" t="s">
        <v>4617</v>
      </c>
      <c r="C4434" s="9" t="s">
        <v>4618</v>
      </c>
      <c r="D4434" s="9" t="s">
        <v>3722</v>
      </c>
      <c r="E4434" s="9" t="s">
        <v>323</v>
      </c>
      <c r="F4434" s="9" t="s">
        <v>200</v>
      </c>
      <c r="G4434" s="9" t="s">
        <v>221</v>
      </c>
      <c r="H4434" s="9" t="n">
        <v>875</v>
      </c>
      <c r="I4434" s="29" t="n">
        <v>0.35</v>
      </c>
      <c r="J4434" s="9" t="n">
        <v>0</v>
      </c>
      <c r="K4434" s="30"/>
      <c r="L4434" s="30"/>
      <c r="M4434" s="30"/>
      <c r="N4434" s="30"/>
      <c r="O4434" s="30"/>
      <c r="P4434" s="30"/>
      <c r="Q4434" s="30"/>
      <c r="R4434" s="30"/>
      <c r="S4434" s="30"/>
      <c r="T4434" s="30"/>
      <c r="U4434" s="21" t="str">
        <f aca="false">IF(COUNT(K4434:T4434)=0,"SOURCE EMPTY / INDUSTRIAL ONLY",IF(MIN(K4434:T4434)=1,"SERVICE READY","HOLD"))</f>
        <v>SOURCE EMPTY / INDUSTRIAL ONLY</v>
      </c>
      <c r="V4434" s="9" t="n">
        <f aca="false">IF(U4434="SERVICE READY",1,0)</f>
        <v>0</v>
      </c>
      <c r="W4434" s="6"/>
      <c r="X4434" s="6"/>
      <c r="Y4434" s="6"/>
      <c r="Z4434" s="6"/>
    </row>
    <row r="4435" customFormat="false" ht="15" hidden="false" customHeight="false" outlineLevel="0" collapsed="false">
      <c r="A4435" s="9" t="s">
        <v>4725</v>
      </c>
      <c r="B4435" s="9" t="s">
        <v>4617</v>
      </c>
      <c r="C4435" s="9" t="s">
        <v>4618</v>
      </c>
      <c r="D4435" s="9" t="s">
        <v>3722</v>
      </c>
      <c r="E4435" s="9" t="s">
        <v>323</v>
      </c>
      <c r="F4435" s="9" t="s">
        <v>203</v>
      </c>
      <c r="G4435" s="9" t="s">
        <v>221</v>
      </c>
      <c r="H4435" s="9" t="n">
        <v>875</v>
      </c>
      <c r="I4435" s="29" t="n">
        <v>0.35</v>
      </c>
      <c r="J4435" s="9" t="n">
        <v>0</v>
      </c>
      <c r="K4435" s="30"/>
      <c r="L4435" s="30"/>
      <c r="M4435" s="30"/>
      <c r="N4435" s="30"/>
      <c r="O4435" s="30"/>
      <c r="P4435" s="30"/>
      <c r="Q4435" s="30"/>
      <c r="R4435" s="30"/>
      <c r="S4435" s="30"/>
      <c r="T4435" s="30"/>
      <c r="U4435" s="21" t="str">
        <f aca="false">IF(COUNT(K4435:T4435)=0,"SOURCE EMPTY / INDUSTRIAL ONLY",IF(MIN(K4435:T4435)=1,"SERVICE READY","HOLD"))</f>
        <v>SOURCE EMPTY / INDUSTRIAL ONLY</v>
      </c>
      <c r="V4435" s="9" t="n">
        <f aca="false">IF(U4435="SERVICE READY",1,0)</f>
        <v>0</v>
      </c>
      <c r="W4435" s="6"/>
      <c r="X4435" s="6"/>
      <c r="Y4435" s="6"/>
      <c r="Z4435" s="6"/>
    </row>
    <row r="4436" customFormat="false" ht="15" hidden="false" customHeight="false" outlineLevel="0" collapsed="false">
      <c r="A4436" s="9" t="s">
        <v>4726</v>
      </c>
      <c r="B4436" s="9" t="s">
        <v>4617</v>
      </c>
      <c r="C4436" s="9" t="s">
        <v>4618</v>
      </c>
      <c r="D4436" s="9" t="s">
        <v>3722</v>
      </c>
      <c r="E4436" s="9" t="s">
        <v>323</v>
      </c>
      <c r="F4436" s="9" t="s">
        <v>205</v>
      </c>
      <c r="G4436" s="9" t="s">
        <v>221</v>
      </c>
      <c r="H4436" s="9" t="n">
        <v>875</v>
      </c>
      <c r="I4436" s="29" t="n">
        <v>0.35</v>
      </c>
      <c r="J4436" s="9" t="n">
        <v>0</v>
      </c>
      <c r="K4436" s="30"/>
      <c r="L4436" s="30"/>
      <c r="M4436" s="30"/>
      <c r="N4436" s="30"/>
      <c r="O4436" s="30"/>
      <c r="P4436" s="30"/>
      <c r="Q4436" s="30"/>
      <c r="R4436" s="30"/>
      <c r="S4436" s="30"/>
      <c r="T4436" s="30"/>
      <c r="U4436" s="21" t="str">
        <f aca="false">IF(COUNT(K4436:T4436)=0,"SOURCE EMPTY / INDUSTRIAL ONLY",IF(MIN(K4436:T4436)=1,"SERVICE READY","HOLD"))</f>
        <v>SOURCE EMPTY / INDUSTRIAL ONLY</v>
      </c>
      <c r="V4436" s="9" t="n">
        <f aca="false">IF(U4436="SERVICE READY",1,0)</f>
        <v>0</v>
      </c>
      <c r="W4436" s="6"/>
      <c r="X4436" s="6"/>
      <c r="Y4436" s="6"/>
      <c r="Z4436" s="6"/>
    </row>
    <row r="4437" customFormat="false" ht="15" hidden="false" customHeight="false" outlineLevel="0" collapsed="false">
      <c r="A4437" s="9" t="s">
        <v>4727</v>
      </c>
      <c r="B4437" s="9" t="s">
        <v>4617</v>
      </c>
      <c r="C4437" s="9" t="s">
        <v>4618</v>
      </c>
      <c r="D4437" s="9" t="s">
        <v>3722</v>
      </c>
      <c r="E4437" s="9" t="s">
        <v>323</v>
      </c>
      <c r="F4437" s="9" t="s">
        <v>207</v>
      </c>
      <c r="G4437" s="9" t="s">
        <v>221</v>
      </c>
      <c r="H4437" s="9" t="n">
        <v>875</v>
      </c>
      <c r="I4437" s="29" t="n">
        <v>0.35</v>
      </c>
      <c r="J4437" s="9" t="n">
        <v>0</v>
      </c>
      <c r="K4437" s="30"/>
      <c r="L4437" s="30"/>
      <c r="M4437" s="30"/>
      <c r="N4437" s="30"/>
      <c r="O4437" s="30"/>
      <c r="P4437" s="30"/>
      <c r="Q4437" s="30"/>
      <c r="R4437" s="30"/>
      <c r="S4437" s="30"/>
      <c r="T4437" s="30"/>
      <c r="U4437" s="21" t="str">
        <f aca="false">IF(COUNT(K4437:T4437)=0,"SOURCE EMPTY / INDUSTRIAL ONLY",IF(MIN(K4437:T4437)=1,"SERVICE READY","HOLD"))</f>
        <v>SOURCE EMPTY / INDUSTRIAL ONLY</v>
      </c>
      <c r="V4437" s="9" t="n">
        <f aca="false">IF(U4437="SERVICE READY",1,0)</f>
        <v>0</v>
      </c>
      <c r="W4437" s="6"/>
      <c r="X4437" s="6"/>
      <c r="Y4437" s="6"/>
      <c r="Z4437" s="6"/>
    </row>
    <row r="4438" customFormat="false" ht="15" hidden="false" customHeight="false" outlineLevel="0" collapsed="false">
      <c r="A4438" s="9" t="s">
        <v>4728</v>
      </c>
      <c r="B4438" s="9" t="s">
        <v>4729</v>
      </c>
      <c r="C4438" s="9" t="s">
        <v>4730</v>
      </c>
      <c r="D4438" s="9" t="s">
        <v>4731</v>
      </c>
      <c r="E4438" s="9" t="s">
        <v>196</v>
      </c>
      <c r="F4438" s="9" t="s">
        <v>197</v>
      </c>
      <c r="G4438" s="9" t="s">
        <v>198</v>
      </c>
      <c r="H4438" s="9" t="n">
        <v>18996</v>
      </c>
      <c r="I4438" s="29" t="n">
        <v>6.866</v>
      </c>
      <c r="J4438" s="9" t="n">
        <v>1</v>
      </c>
      <c r="K4438" s="30"/>
      <c r="L4438" s="30"/>
      <c r="M4438" s="30"/>
      <c r="N4438" s="30"/>
      <c r="O4438" s="30"/>
      <c r="P4438" s="30"/>
      <c r="Q4438" s="30"/>
      <c r="R4438" s="30"/>
      <c r="S4438" s="30"/>
      <c r="T4438" s="30"/>
      <c r="U4438" s="21" t="str">
        <f aca="false">IF(COUNT(K4438:T4438)=0,"SOURCE EMPTY / INDUSTRIAL ONLY",IF(MIN(K4438:T4438)=1,"SERVICE READY","HOLD"))</f>
        <v>SOURCE EMPTY / INDUSTRIAL ONLY</v>
      </c>
      <c r="V4438" s="9" t="n">
        <f aca="false">IF(U4438="SERVICE READY",1,0)</f>
        <v>0</v>
      </c>
      <c r="W4438" s="6"/>
      <c r="X4438" s="6"/>
      <c r="Y4438" s="6"/>
      <c r="Z4438" s="6"/>
    </row>
    <row r="4439" customFormat="false" ht="15" hidden="false" customHeight="false" outlineLevel="0" collapsed="false">
      <c r="A4439" s="9" t="s">
        <v>4732</v>
      </c>
      <c r="B4439" s="9" t="s">
        <v>4729</v>
      </c>
      <c r="C4439" s="9" t="s">
        <v>4730</v>
      </c>
      <c r="D4439" s="9" t="s">
        <v>4731</v>
      </c>
      <c r="E4439" s="9" t="s">
        <v>196</v>
      </c>
      <c r="F4439" s="9" t="s">
        <v>200</v>
      </c>
      <c r="G4439" s="9" t="s">
        <v>201</v>
      </c>
      <c r="H4439" s="9" t="n">
        <v>18996</v>
      </c>
      <c r="I4439" s="29" t="n">
        <v>6.866</v>
      </c>
      <c r="J4439" s="9" t="n">
        <v>1</v>
      </c>
      <c r="K4439" s="30"/>
      <c r="L4439" s="30"/>
      <c r="M4439" s="30"/>
      <c r="N4439" s="30"/>
      <c r="O4439" s="30"/>
      <c r="P4439" s="30"/>
      <c r="Q4439" s="30"/>
      <c r="R4439" s="30"/>
      <c r="S4439" s="30"/>
      <c r="T4439" s="30"/>
      <c r="U4439" s="21" t="str">
        <f aca="false">IF(COUNT(K4439:T4439)=0,"SOURCE EMPTY / INDUSTRIAL ONLY",IF(MIN(K4439:T4439)=1,"SERVICE READY","HOLD"))</f>
        <v>SOURCE EMPTY / INDUSTRIAL ONLY</v>
      </c>
      <c r="V4439" s="9" t="n">
        <f aca="false">IF(U4439="SERVICE READY",1,0)</f>
        <v>0</v>
      </c>
      <c r="W4439" s="6"/>
      <c r="X4439" s="6"/>
      <c r="Y4439" s="6"/>
      <c r="Z4439" s="6"/>
    </row>
    <row r="4440" customFormat="false" ht="15" hidden="false" customHeight="false" outlineLevel="0" collapsed="false">
      <c r="A4440" s="9" t="s">
        <v>4733</v>
      </c>
      <c r="B4440" s="9" t="s">
        <v>4729</v>
      </c>
      <c r="C4440" s="9" t="s">
        <v>4730</v>
      </c>
      <c r="D4440" s="9" t="s">
        <v>4731</v>
      </c>
      <c r="E4440" s="9" t="s">
        <v>196</v>
      </c>
      <c r="F4440" s="9" t="s">
        <v>203</v>
      </c>
      <c r="G4440" s="9" t="s">
        <v>198</v>
      </c>
      <c r="H4440" s="9" t="n">
        <v>18996</v>
      </c>
      <c r="I4440" s="29" t="n">
        <v>6.866</v>
      </c>
      <c r="J4440" s="9" t="n">
        <v>1</v>
      </c>
      <c r="K4440" s="30"/>
      <c r="L4440" s="30"/>
      <c r="M4440" s="30"/>
      <c r="N4440" s="30"/>
      <c r="O4440" s="30"/>
      <c r="P4440" s="30"/>
      <c r="Q4440" s="30"/>
      <c r="R4440" s="30"/>
      <c r="S4440" s="30"/>
      <c r="T4440" s="30"/>
      <c r="U4440" s="21" t="str">
        <f aca="false">IF(COUNT(K4440:T4440)=0,"SOURCE EMPTY / INDUSTRIAL ONLY",IF(MIN(K4440:T4440)=1,"SERVICE READY","HOLD"))</f>
        <v>SOURCE EMPTY / INDUSTRIAL ONLY</v>
      </c>
      <c r="V4440" s="9" t="n">
        <f aca="false">IF(U4440="SERVICE READY",1,0)</f>
        <v>0</v>
      </c>
      <c r="W4440" s="6"/>
      <c r="X4440" s="6"/>
      <c r="Y4440" s="6"/>
      <c r="Z4440" s="6"/>
    </row>
    <row r="4441" customFormat="false" ht="15" hidden="false" customHeight="false" outlineLevel="0" collapsed="false">
      <c r="A4441" s="9" t="s">
        <v>4734</v>
      </c>
      <c r="B4441" s="9" t="s">
        <v>4729</v>
      </c>
      <c r="C4441" s="9" t="s">
        <v>4730</v>
      </c>
      <c r="D4441" s="9" t="s">
        <v>4731</v>
      </c>
      <c r="E4441" s="9" t="s">
        <v>196</v>
      </c>
      <c r="F4441" s="9" t="s">
        <v>205</v>
      </c>
      <c r="G4441" s="9" t="s">
        <v>201</v>
      </c>
      <c r="H4441" s="9" t="n">
        <v>18996</v>
      </c>
      <c r="I4441" s="29" t="n">
        <v>6.866</v>
      </c>
      <c r="J4441" s="9" t="n">
        <v>1</v>
      </c>
      <c r="K4441" s="30"/>
      <c r="L4441" s="30"/>
      <c r="M4441" s="30"/>
      <c r="N4441" s="30"/>
      <c r="O4441" s="30"/>
      <c r="P4441" s="30"/>
      <c r="Q4441" s="30"/>
      <c r="R4441" s="30"/>
      <c r="S4441" s="30"/>
      <c r="T4441" s="30"/>
      <c r="U4441" s="21" t="str">
        <f aca="false">IF(COUNT(K4441:T4441)=0,"SOURCE EMPTY / INDUSTRIAL ONLY",IF(MIN(K4441:T4441)=1,"SERVICE READY","HOLD"))</f>
        <v>SOURCE EMPTY / INDUSTRIAL ONLY</v>
      </c>
      <c r="V4441" s="9" t="n">
        <f aca="false">IF(U4441="SERVICE READY",1,0)</f>
        <v>0</v>
      </c>
      <c r="W4441" s="6"/>
      <c r="X4441" s="6"/>
      <c r="Y4441" s="6"/>
      <c r="Z4441" s="6"/>
    </row>
    <row r="4442" customFormat="false" ht="15" hidden="false" customHeight="false" outlineLevel="0" collapsed="false">
      <c r="A4442" s="9" t="s">
        <v>4735</v>
      </c>
      <c r="B4442" s="9" t="s">
        <v>4729</v>
      </c>
      <c r="C4442" s="9" t="s">
        <v>4730</v>
      </c>
      <c r="D4442" s="9" t="s">
        <v>4731</v>
      </c>
      <c r="E4442" s="9" t="s">
        <v>196</v>
      </c>
      <c r="F4442" s="9" t="s">
        <v>207</v>
      </c>
      <c r="G4442" s="9" t="s">
        <v>198</v>
      </c>
      <c r="H4442" s="9" t="n">
        <v>18996</v>
      </c>
      <c r="I4442" s="29" t="n">
        <v>6.866</v>
      </c>
      <c r="J4442" s="9" t="n">
        <v>1</v>
      </c>
      <c r="K4442" s="30"/>
      <c r="L4442" s="30"/>
      <c r="M4442" s="30"/>
      <c r="N4442" s="30"/>
      <c r="O4442" s="30"/>
      <c r="P4442" s="30"/>
      <c r="Q4442" s="30"/>
      <c r="R4442" s="30"/>
      <c r="S4442" s="30"/>
      <c r="T4442" s="30"/>
      <c r="U4442" s="21" t="str">
        <f aca="false">IF(COUNT(K4442:T4442)=0,"SOURCE EMPTY / INDUSTRIAL ONLY",IF(MIN(K4442:T4442)=1,"SERVICE READY","HOLD"))</f>
        <v>SOURCE EMPTY / INDUSTRIAL ONLY</v>
      </c>
      <c r="V4442" s="9" t="n">
        <f aca="false">IF(U4442="SERVICE READY",1,0)</f>
        <v>0</v>
      </c>
      <c r="W4442" s="6"/>
      <c r="X4442" s="6"/>
      <c r="Y4442" s="6"/>
      <c r="Z4442" s="6"/>
    </row>
    <row r="4443" customFormat="false" ht="15" hidden="false" customHeight="false" outlineLevel="0" collapsed="false">
      <c r="A4443" s="9" t="s">
        <v>4736</v>
      </c>
      <c r="B4443" s="9" t="s">
        <v>4729</v>
      </c>
      <c r="C4443" s="9" t="s">
        <v>4730</v>
      </c>
      <c r="D4443" s="9" t="s">
        <v>4731</v>
      </c>
      <c r="E4443" s="9" t="s">
        <v>196</v>
      </c>
      <c r="F4443" s="9" t="s">
        <v>209</v>
      </c>
      <c r="G4443" s="9" t="s">
        <v>201</v>
      </c>
      <c r="H4443" s="9" t="n">
        <v>18996</v>
      </c>
      <c r="I4443" s="29" t="n">
        <v>6.866</v>
      </c>
      <c r="J4443" s="9" t="n">
        <v>1</v>
      </c>
      <c r="K4443" s="30"/>
      <c r="L4443" s="30"/>
      <c r="M4443" s="30"/>
      <c r="N4443" s="30"/>
      <c r="O4443" s="30"/>
      <c r="P4443" s="30"/>
      <c r="Q4443" s="30"/>
      <c r="R4443" s="30"/>
      <c r="S4443" s="30"/>
      <c r="T4443" s="30"/>
      <c r="U4443" s="21" t="str">
        <f aca="false">IF(COUNT(K4443:T4443)=0,"SOURCE EMPTY / INDUSTRIAL ONLY",IF(MIN(K4443:T4443)=1,"SERVICE READY","HOLD"))</f>
        <v>SOURCE EMPTY / INDUSTRIAL ONLY</v>
      </c>
      <c r="V4443" s="9" t="n">
        <f aca="false">IF(U4443="SERVICE READY",1,0)</f>
        <v>0</v>
      </c>
      <c r="W4443" s="6"/>
      <c r="X4443" s="6"/>
      <c r="Y4443" s="6"/>
      <c r="Z4443" s="6"/>
    </row>
    <row r="4444" customFormat="false" ht="15" hidden="false" customHeight="false" outlineLevel="0" collapsed="false">
      <c r="A4444" s="9" t="s">
        <v>4737</v>
      </c>
      <c r="B4444" s="9" t="s">
        <v>4729</v>
      </c>
      <c r="C4444" s="9" t="s">
        <v>4730</v>
      </c>
      <c r="D4444" s="9" t="s">
        <v>4731</v>
      </c>
      <c r="E4444" s="9" t="s">
        <v>196</v>
      </c>
      <c r="F4444" s="9" t="s">
        <v>211</v>
      </c>
      <c r="G4444" s="9" t="s">
        <v>198</v>
      </c>
      <c r="H4444" s="9" t="n">
        <v>18996</v>
      </c>
      <c r="I4444" s="29" t="n">
        <v>6.866</v>
      </c>
      <c r="J4444" s="9" t="n">
        <v>1</v>
      </c>
      <c r="K4444" s="30"/>
      <c r="L4444" s="30"/>
      <c r="M4444" s="30"/>
      <c r="N4444" s="30"/>
      <c r="O4444" s="30"/>
      <c r="P4444" s="30"/>
      <c r="Q4444" s="30"/>
      <c r="R4444" s="30"/>
      <c r="S4444" s="30"/>
      <c r="T4444" s="30"/>
      <c r="U4444" s="21" t="str">
        <f aca="false">IF(COUNT(K4444:T4444)=0,"SOURCE EMPTY / INDUSTRIAL ONLY",IF(MIN(K4444:T4444)=1,"SERVICE READY","HOLD"))</f>
        <v>SOURCE EMPTY / INDUSTRIAL ONLY</v>
      </c>
      <c r="V4444" s="9" t="n">
        <f aca="false">IF(U4444="SERVICE READY",1,0)</f>
        <v>0</v>
      </c>
      <c r="W4444" s="6"/>
      <c r="X4444" s="6"/>
      <c r="Y4444" s="6"/>
      <c r="Z4444" s="6"/>
    </row>
    <row r="4445" customFormat="false" ht="15" hidden="false" customHeight="false" outlineLevel="0" collapsed="false">
      <c r="A4445" s="9" t="s">
        <v>4738</v>
      </c>
      <c r="B4445" s="9" t="s">
        <v>4729</v>
      </c>
      <c r="C4445" s="9" t="s">
        <v>4730</v>
      </c>
      <c r="D4445" s="9" t="s">
        <v>4731</v>
      </c>
      <c r="E4445" s="9" t="s">
        <v>196</v>
      </c>
      <c r="F4445" s="9" t="s">
        <v>197</v>
      </c>
      <c r="G4445" s="9" t="s">
        <v>201</v>
      </c>
      <c r="H4445" s="9" t="n">
        <v>18996</v>
      </c>
      <c r="I4445" s="29" t="n">
        <v>6.866</v>
      </c>
      <c r="J4445" s="9" t="n">
        <v>1</v>
      </c>
      <c r="K4445" s="30"/>
      <c r="L4445" s="30"/>
      <c r="M4445" s="30"/>
      <c r="N4445" s="30"/>
      <c r="O4445" s="30"/>
      <c r="P4445" s="30"/>
      <c r="Q4445" s="30"/>
      <c r="R4445" s="30"/>
      <c r="S4445" s="30"/>
      <c r="T4445" s="30"/>
      <c r="U4445" s="21" t="str">
        <f aca="false">IF(COUNT(K4445:T4445)=0,"SOURCE EMPTY / INDUSTRIAL ONLY",IF(MIN(K4445:T4445)=1,"SERVICE READY","HOLD"))</f>
        <v>SOURCE EMPTY / INDUSTRIAL ONLY</v>
      </c>
      <c r="V4445" s="9" t="n">
        <f aca="false">IF(U4445="SERVICE READY",1,0)</f>
        <v>0</v>
      </c>
      <c r="W4445" s="6"/>
      <c r="X4445" s="6"/>
      <c r="Y4445" s="6"/>
      <c r="Z4445" s="6"/>
    </row>
    <row r="4446" customFormat="false" ht="15" hidden="false" customHeight="false" outlineLevel="0" collapsed="false">
      <c r="A4446" s="9" t="s">
        <v>4739</v>
      </c>
      <c r="B4446" s="9" t="s">
        <v>4729</v>
      </c>
      <c r="C4446" s="9" t="s">
        <v>4730</v>
      </c>
      <c r="D4446" s="9" t="s">
        <v>4731</v>
      </c>
      <c r="E4446" s="9" t="s">
        <v>196</v>
      </c>
      <c r="F4446" s="9" t="s">
        <v>200</v>
      </c>
      <c r="G4446" s="9" t="s">
        <v>198</v>
      </c>
      <c r="H4446" s="9" t="n">
        <v>18996</v>
      </c>
      <c r="I4446" s="29" t="n">
        <v>6.866</v>
      </c>
      <c r="J4446" s="9" t="n">
        <v>1</v>
      </c>
      <c r="K4446" s="30"/>
      <c r="L4446" s="30"/>
      <c r="M4446" s="30"/>
      <c r="N4446" s="30"/>
      <c r="O4446" s="30"/>
      <c r="P4446" s="30"/>
      <c r="Q4446" s="30"/>
      <c r="R4446" s="30"/>
      <c r="S4446" s="30"/>
      <c r="T4446" s="30"/>
      <c r="U4446" s="21" t="str">
        <f aca="false">IF(COUNT(K4446:T4446)=0,"SOURCE EMPTY / INDUSTRIAL ONLY",IF(MIN(K4446:T4446)=1,"SERVICE READY","HOLD"))</f>
        <v>SOURCE EMPTY / INDUSTRIAL ONLY</v>
      </c>
      <c r="V4446" s="9" t="n">
        <f aca="false">IF(U4446="SERVICE READY",1,0)</f>
        <v>0</v>
      </c>
      <c r="W4446" s="6"/>
      <c r="X4446" s="6"/>
      <c r="Y4446" s="6"/>
      <c r="Z4446" s="6"/>
    </row>
    <row r="4447" customFormat="false" ht="15" hidden="false" customHeight="false" outlineLevel="0" collapsed="false">
      <c r="A4447" s="9" t="s">
        <v>4740</v>
      </c>
      <c r="B4447" s="9" t="s">
        <v>4729</v>
      </c>
      <c r="C4447" s="9" t="s">
        <v>4730</v>
      </c>
      <c r="D4447" s="9" t="s">
        <v>4731</v>
      </c>
      <c r="E4447" s="9" t="s">
        <v>196</v>
      </c>
      <c r="F4447" s="9" t="s">
        <v>203</v>
      </c>
      <c r="G4447" s="9" t="s">
        <v>201</v>
      </c>
      <c r="H4447" s="9" t="n">
        <v>18996</v>
      </c>
      <c r="I4447" s="29" t="n">
        <v>6.866</v>
      </c>
      <c r="J4447" s="9" t="n">
        <v>1</v>
      </c>
      <c r="K4447" s="30"/>
      <c r="L4447" s="30"/>
      <c r="M4447" s="30"/>
      <c r="N4447" s="30"/>
      <c r="O4447" s="30"/>
      <c r="P4447" s="30"/>
      <c r="Q4447" s="30"/>
      <c r="R4447" s="30"/>
      <c r="S4447" s="30"/>
      <c r="T4447" s="30"/>
      <c r="U4447" s="21" t="str">
        <f aca="false">IF(COUNT(K4447:T4447)=0,"SOURCE EMPTY / INDUSTRIAL ONLY",IF(MIN(K4447:T4447)=1,"SERVICE READY","HOLD"))</f>
        <v>SOURCE EMPTY / INDUSTRIAL ONLY</v>
      </c>
      <c r="V4447" s="9" t="n">
        <f aca="false">IF(U4447="SERVICE READY",1,0)</f>
        <v>0</v>
      </c>
      <c r="W4447" s="6"/>
      <c r="X4447" s="6"/>
      <c r="Y4447" s="6"/>
      <c r="Z4447" s="6"/>
    </row>
    <row r="4448" customFormat="false" ht="15" hidden="false" customHeight="false" outlineLevel="0" collapsed="false">
      <c r="A4448" s="9" t="s">
        <v>4741</v>
      </c>
      <c r="B4448" s="9" t="s">
        <v>4729</v>
      </c>
      <c r="C4448" s="9" t="s">
        <v>4730</v>
      </c>
      <c r="D4448" s="9" t="s">
        <v>4731</v>
      </c>
      <c r="E4448" s="9" t="s">
        <v>196</v>
      </c>
      <c r="F4448" s="9" t="s">
        <v>205</v>
      </c>
      <c r="G4448" s="9" t="s">
        <v>198</v>
      </c>
      <c r="H4448" s="9" t="n">
        <v>18996</v>
      </c>
      <c r="I4448" s="29" t="n">
        <v>6.866</v>
      </c>
      <c r="J4448" s="9" t="n">
        <v>1</v>
      </c>
      <c r="K4448" s="30"/>
      <c r="L4448" s="30"/>
      <c r="M4448" s="30"/>
      <c r="N4448" s="30"/>
      <c r="O4448" s="30"/>
      <c r="P4448" s="30"/>
      <c r="Q4448" s="30"/>
      <c r="R4448" s="30"/>
      <c r="S4448" s="30"/>
      <c r="T4448" s="30"/>
      <c r="U4448" s="21" t="str">
        <f aca="false">IF(COUNT(K4448:T4448)=0,"SOURCE EMPTY / INDUSTRIAL ONLY",IF(MIN(K4448:T4448)=1,"SERVICE READY","HOLD"))</f>
        <v>SOURCE EMPTY / INDUSTRIAL ONLY</v>
      </c>
      <c r="V4448" s="9" t="n">
        <f aca="false">IF(U4448="SERVICE READY",1,0)</f>
        <v>0</v>
      </c>
      <c r="W4448" s="6"/>
      <c r="X4448" s="6"/>
      <c r="Y4448" s="6"/>
      <c r="Z4448" s="6"/>
    </row>
    <row r="4449" customFormat="false" ht="15" hidden="false" customHeight="false" outlineLevel="0" collapsed="false">
      <c r="A4449" s="9" t="s">
        <v>4742</v>
      </c>
      <c r="B4449" s="9" t="s">
        <v>4729</v>
      </c>
      <c r="C4449" s="9" t="s">
        <v>4730</v>
      </c>
      <c r="D4449" s="9" t="s">
        <v>4731</v>
      </c>
      <c r="E4449" s="9" t="s">
        <v>196</v>
      </c>
      <c r="F4449" s="9" t="s">
        <v>207</v>
      </c>
      <c r="G4449" s="9" t="s">
        <v>201</v>
      </c>
      <c r="H4449" s="9" t="n">
        <v>18996</v>
      </c>
      <c r="I4449" s="29" t="n">
        <v>6.866</v>
      </c>
      <c r="J4449" s="9" t="n">
        <v>1</v>
      </c>
      <c r="K4449" s="30"/>
      <c r="L4449" s="30"/>
      <c r="M4449" s="30"/>
      <c r="N4449" s="30"/>
      <c r="O4449" s="30"/>
      <c r="P4449" s="30"/>
      <c r="Q4449" s="30"/>
      <c r="R4449" s="30"/>
      <c r="S4449" s="30"/>
      <c r="T4449" s="30"/>
      <c r="U4449" s="21" t="str">
        <f aca="false">IF(COUNT(K4449:T4449)=0,"SOURCE EMPTY / INDUSTRIAL ONLY",IF(MIN(K4449:T4449)=1,"SERVICE READY","HOLD"))</f>
        <v>SOURCE EMPTY / INDUSTRIAL ONLY</v>
      </c>
      <c r="V4449" s="9" t="n">
        <f aca="false">IF(U4449="SERVICE READY",1,0)</f>
        <v>0</v>
      </c>
      <c r="W4449" s="6"/>
      <c r="X4449" s="6"/>
      <c r="Y4449" s="6"/>
      <c r="Z4449" s="6"/>
    </row>
    <row r="4450" customFormat="false" ht="15" hidden="false" customHeight="false" outlineLevel="0" collapsed="false">
      <c r="A4450" s="9" t="s">
        <v>4743</v>
      </c>
      <c r="B4450" s="9" t="s">
        <v>4729</v>
      </c>
      <c r="C4450" s="9" t="s">
        <v>4730</v>
      </c>
      <c r="D4450" s="9" t="s">
        <v>4731</v>
      </c>
      <c r="E4450" s="9" t="s">
        <v>196</v>
      </c>
      <c r="F4450" s="9" t="s">
        <v>209</v>
      </c>
      <c r="G4450" s="9" t="s">
        <v>198</v>
      </c>
      <c r="H4450" s="9" t="n">
        <v>18996</v>
      </c>
      <c r="I4450" s="29" t="n">
        <v>6.866</v>
      </c>
      <c r="J4450" s="9" t="n">
        <v>1</v>
      </c>
      <c r="K4450" s="30"/>
      <c r="L4450" s="30"/>
      <c r="M4450" s="30"/>
      <c r="N4450" s="30"/>
      <c r="O4450" s="30"/>
      <c r="P4450" s="30"/>
      <c r="Q4450" s="30"/>
      <c r="R4450" s="30"/>
      <c r="S4450" s="30"/>
      <c r="T4450" s="30"/>
      <c r="U4450" s="21" t="str">
        <f aca="false">IF(COUNT(K4450:T4450)=0,"SOURCE EMPTY / INDUSTRIAL ONLY",IF(MIN(K4450:T4450)=1,"SERVICE READY","HOLD"))</f>
        <v>SOURCE EMPTY / INDUSTRIAL ONLY</v>
      </c>
      <c r="V4450" s="9" t="n">
        <f aca="false">IF(U4450="SERVICE READY",1,0)</f>
        <v>0</v>
      </c>
      <c r="W4450" s="6"/>
      <c r="X4450" s="6"/>
      <c r="Y4450" s="6"/>
      <c r="Z4450" s="6"/>
    </row>
    <row r="4451" customFormat="false" ht="15" hidden="false" customHeight="false" outlineLevel="0" collapsed="false">
      <c r="A4451" s="9" t="s">
        <v>4744</v>
      </c>
      <c r="B4451" s="9" t="s">
        <v>4729</v>
      </c>
      <c r="C4451" s="9" t="s">
        <v>4730</v>
      </c>
      <c r="D4451" s="9" t="s">
        <v>4731</v>
      </c>
      <c r="E4451" s="9" t="s">
        <v>196</v>
      </c>
      <c r="F4451" s="9" t="s">
        <v>211</v>
      </c>
      <c r="G4451" s="9" t="s">
        <v>201</v>
      </c>
      <c r="H4451" s="9" t="n">
        <v>18996</v>
      </c>
      <c r="I4451" s="29" t="n">
        <v>6.866</v>
      </c>
      <c r="J4451" s="9" t="n">
        <v>1</v>
      </c>
      <c r="K4451" s="30"/>
      <c r="L4451" s="30"/>
      <c r="M4451" s="30"/>
      <c r="N4451" s="30"/>
      <c r="O4451" s="30"/>
      <c r="P4451" s="30"/>
      <c r="Q4451" s="30"/>
      <c r="R4451" s="30"/>
      <c r="S4451" s="30"/>
      <c r="T4451" s="30"/>
      <c r="U4451" s="21" t="str">
        <f aca="false">IF(COUNT(K4451:T4451)=0,"SOURCE EMPTY / INDUSTRIAL ONLY",IF(MIN(K4451:T4451)=1,"SERVICE READY","HOLD"))</f>
        <v>SOURCE EMPTY / INDUSTRIAL ONLY</v>
      </c>
      <c r="V4451" s="9" t="n">
        <f aca="false">IF(U4451="SERVICE READY",1,0)</f>
        <v>0</v>
      </c>
      <c r="W4451" s="6"/>
      <c r="X4451" s="6"/>
      <c r="Y4451" s="6"/>
      <c r="Z4451" s="6"/>
    </row>
    <row r="4452" customFormat="false" ht="15" hidden="false" customHeight="false" outlineLevel="0" collapsed="false">
      <c r="A4452" s="9" t="s">
        <v>4745</v>
      </c>
      <c r="B4452" s="9" t="s">
        <v>4729</v>
      </c>
      <c r="C4452" s="9" t="s">
        <v>4730</v>
      </c>
      <c r="D4452" s="9" t="s">
        <v>4731</v>
      </c>
      <c r="E4452" s="9" t="s">
        <v>196</v>
      </c>
      <c r="F4452" s="9" t="s">
        <v>197</v>
      </c>
      <c r="G4452" s="9" t="s">
        <v>198</v>
      </c>
      <c r="H4452" s="9" t="n">
        <v>18996</v>
      </c>
      <c r="I4452" s="29" t="n">
        <v>6.866</v>
      </c>
      <c r="J4452" s="9" t="n">
        <v>1</v>
      </c>
      <c r="K4452" s="30"/>
      <c r="L4452" s="30"/>
      <c r="M4452" s="30"/>
      <c r="N4452" s="30"/>
      <c r="O4452" s="30"/>
      <c r="P4452" s="30"/>
      <c r="Q4452" s="30"/>
      <c r="R4452" s="30"/>
      <c r="S4452" s="30"/>
      <c r="T4452" s="30"/>
      <c r="U4452" s="21" t="str">
        <f aca="false">IF(COUNT(K4452:T4452)=0,"SOURCE EMPTY / INDUSTRIAL ONLY",IF(MIN(K4452:T4452)=1,"SERVICE READY","HOLD"))</f>
        <v>SOURCE EMPTY / INDUSTRIAL ONLY</v>
      </c>
      <c r="V4452" s="9" t="n">
        <f aca="false">IF(U4452="SERVICE READY",1,0)</f>
        <v>0</v>
      </c>
      <c r="W4452" s="6"/>
      <c r="X4452" s="6"/>
      <c r="Y4452" s="6"/>
      <c r="Z4452" s="6"/>
    </row>
    <row r="4453" customFormat="false" ht="15" hidden="false" customHeight="false" outlineLevel="0" collapsed="false">
      <c r="A4453" s="9" t="s">
        <v>4746</v>
      </c>
      <c r="B4453" s="9" t="s">
        <v>4729</v>
      </c>
      <c r="C4453" s="9" t="s">
        <v>4730</v>
      </c>
      <c r="D4453" s="9" t="s">
        <v>4731</v>
      </c>
      <c r="E4453" s="9" t="s">
        <v>196</v>
      </c>
      <c r="F4453" s="9" t="s">
        <v>200</v>
      </c>
      <c r="G4453" s="9" t="s">
        <v>201</v>
      </c>
      <c r="H4453" s="9" t="n">
        <v>18996</v>
      </c>
      <c r="I4453" s="29" t="n">
        <v>6.866</v>
      </c>
      <c r="J4453" s="9" t="n">
        <v>1</v>
      </c>
      <c r="K4453" s="30"/>
      <c r="L4453" s="30"/>
      <c r="M4453" s="30"/>
      <c r="N4453" s="30"/>
      <c r="O4453" s="30"/>
      <c r="P4453" s="30"/>
      <c r="Q4453" s="30"/>
      <c r="R4453" s="30"/>
      <c r="S4453" s="30"/>
      <c r="T4453" s="30"/>
      <c r="U4453" s="21" t="str">
        <f aca="false">IF(COUNT(K4453:T4453)=0,"SOURCE EMPTY / INDUSTRIAL ONLY",IF(MIN(K4453:T4453)=1,"SERVICE READY","HOLD"))</f>
        <v>SOURCE EMPTY / INDUSTRIAL ONLY</v>
      </c>
      <c r="V4453" s="9" t="n">
        <f aca="false">IF(U4453="SERVICE READY",1,0)</f>
        <v>0</v>
      </c>
      <c r="W4453" s="6"/>
      <c r="X4453" s="6"/>
      <c r="Y4453" s="6"/>
      <c r="Z4453" s="6"/>
    </row>
    <row r="4454" customFormat="false" ht="15" hidden="false" customHeight="false" outlineLevel="0" collapsed="false">
      <c r="A4454" s="9" t="s">
        <v>4747</v>
      </c>
      <c r="B4454" s="9" t="s">
        <v>4729</v>
      </c>
      <c r="C4454" s="9" t="s">
        <v>4730</v>
      </c>
      <c r="D4454" s="9" t="s">
        <v>4731</v>
      </c>
      <c r="E4454" s="9" t="s">
        <v>196</v>
      </c>
      <c r="F4454" s="9" t="s">
        <v>203</v>
      </c>
      <c r="G4454" s="9" t="s">
        <v>198</v>
      </c>
      <c r="H4454" s="9" t="n">
        <v>18996</v>
      </c>
      <c r="I4454" s="29" t="n">
        <v>6.866</v>
      </c>
      <c r="J4454" s="9" t="n">
        <v>1</v>
      </c>
      <c r="K4454" s="30"/>
      <c r="L4454" s="30"/>
      <c r="M4454" s="30"/>
      <c r="N4454" s="30"/>
      <c r="O4454" s="30"/>
      <c r="P4454" s="30"/>
      <c r="Q4454" s="30"/>
      <c r="R4454" s="30"/>
      <c r="S4454" s="30"/>
      <c r="T4454" s="30"/>
      <c r="U4454" s="21" t="str">
        <f aca="false">IF(COUNT(K4454:T4454)=0,"SOURCE EMPTY / INDUSTRIAL ONLY",IF(MIN(K4454:T4454)=1,"SERVICE READY","HOLD"))</f>
        <v>SOURCE EMPTY / INDUSTRIAL ONLY</v>
      </c>
      <c r="V4454" s="9" t="n">
        <f aca="false">IF(U4454="SERVICE READY",1,0)</f>
        <v>0</v>
      </c>
      <c r="W4454" s="6"/>
      <c r="X4454" s="6"/>
      <c r="Y4454" s="6"/>
      <c r="Z4454" s="6"/>
    </row>
    <row r="4455" customFormat="false" ht="15" hidden="false" customHeight="false" outlineLevel="0" collapsed="false">
      <c r="A4455" s="9" t="s">
        <v>4748</v>
      </c>
      <c r="B4455" s="9" t="s">
        <v>4729</v>
      </c>
      <c r="C4455" s="9" t="s">
        <v>4730</v>
      </c>
      <c r="D4455" s="9" t="s">
        <v>4731</v>
      </c>
      <c r="E4455" s="9" t="s">
        <v>196</v>
      </c>
      <c r="F4455" s="9" t="s">
        <v>205</v>
      </c>
      <c r="G4455" s="9" t="s">
        <v>201</v>
      </c>
      <c r="H4455" s="9" t="n">
        <v>18996</v>
      </c>
      <c r="I4455" s="29" t="n">
        <v>6.866</v>
      </c>
      <c r="J4455" s="9" t="n">
        <v>1</v>
      </c>
      <c r="K4455" s="30"/>
      <c r="L4455" s="30"/>
      <c r="M4455" s="30"/>
      <c r="N4455" s="30"/>
      <c r="O4455" s="30"/>
      <c r="P4455" s="30"/>
      <c r="Q4455" s="30"/>
      <c r="R4455" s="30"/>
      <c r="S4455" s="30"/>
      <c r="T4455" s="30"/>
      <c r="U4455" s="21" t="str">
        <f aca="false">IF(COUNT(K4455:T4455)=0,"SOURCE EMPTY / INDUSTRIAL ONLY",IF(MIN(K4455:T4455)=1,"SERVICE READY","HOLD"))</f>
        <v>SOURCE EMPTY / INDUSTRIAL ONLY</v>
      </c>
      <c r="V4455" s="9" t="n">
        <f aca="false">IF(U4455="SERVICE READY",1,0)</f>
        <v>0</v>
      </c>
      <c r="W4455" s="6"/>
      <c r="X4455" s="6"/>
      <c r="Y4455" s="6"/>
      <c r="Z4455" s="6"/>
    </row>
    <row r="4456" customFormat="false" ht="15" hidden="false" customHeight="false" outlineLevel="0" collapsed="false">
      <c r="A4456" s="9" t="s">
        <v>4749</v>
      </c>
      <c r="B4456" s="9" t="s">
        <v>4729</v>
      </c>
      <c r="C4456" s="9" t="s">
        <v>4730</v>
      </c>
      <c r="D4456" s="9" t="s">
        <v>4731</v>
      </c>
      <c r="E4456" s="9" t="s">
        <v>196</v>
      </c>
      <c r="F4456" s="9" t="s">
        <v>207</v>
      </c>
      <c r="G4456" s="9" t="s">
        <v>198</v>
      </c>
      <c r="H4456" s="9" t="n">
        <v>18996</v>
      </c>
      <c r="I4456" s="29" t="n">
        <v>6.866</v>
      </c>
      <c r="J4456" s="9" t="n">
        <v>1</v>
      </c>
      <c r="K4456" s="30"/>
      <c r="L4456" s="30"/>
      <c r="M4456" s="30"/>
      <c r="N4456" s="30"/>
      <c r="O4456" s="30"/>
      <c r="P4456" s="30"/>
      <c r="Q4456" s="30"/>
      <c r="R4456" s="30"/>
      <c r="S4456" s="30"/>
      <c r="T4456" s="30"/>
      <c r="U4456" s="21" t="str">
        <f aca="false">IF(COUNT(K4456:T4456)=0,"SOURCE EMPTY / INDUSTRIAL ONLY",IF(MIN(K4456:T4456)=1,"SERVICE READY","HOLD"))</f>
        <v>SOURCE EMPTY / INDUSTRIAL ONLY</v>
      </c>
      <c r="V4456" s="9" t="n">
        <f aca="false">IF(U4456="SERVICE READY",1,0)</f>
        <v>0</v>
      </c>
      <c r="W4456" s="6"/>
      <c r="X4456" s="6"/>
      <c r="Y4456" s="6"/>
      <c r="Z4456" s="6"/>
    </row>
    <row r="4457" customFormat="false" ht="15" hidden="false" customHeight="false" outlineLevel="0" collapsed="false">
      <c r="A4457" s="9" t="s">
        <v>4750</v>
      </c>
      <c r="B4457" s="9" t="s">
        <v>4729</v>
      </c>
      <c r="C4457" s="9" t="s">
        <v>4730</v>
      </c>
      <c r="D4457" s="9" t="s">
        <v>4731</v>
      </c>
      <c r="E4457" s="9" t="s">
        <v>196</v>
      </c>
      <c r="F4457" s="9" t="s">
        <v>209</v>
      </c>
      <c r="G4457" s="9" t="s">
        <v>201</v>
      </c>
      <c r="H4457" s="9" t="n">
        <v>18996</v>
      </c>
      <c r="I4457" s="29" t="n">
        <v>6.866</v>
      </c>
      <c r="J4457" s="9" t="n">
        <v>1</v>
      </c>
      <c r="K4457" s="30"/>
      <c r="L4457" s="30"/>
      <c r="M4457" s="30"/>
      <c r="N4457" s="30"/>
      <c r="O4457" s="30"/>
      <c r="P4457" s="30"/>
      <c r="Q4457" s="30"/>
      <c r="R4457" s="30"/>
      <c r="S4457" s="30"/>
      <c r="T4457" s="30"/>
      <c r="U4457" s="21" t="str">
        <f aca="false">IF(COUNT(K4457:T4457)=0,"SOURCE EMPTY / INDUSTRIAL ONLY",IF(MIN(K4457:T4457)=1,"SERVICE READY","HOLD"))</f>
        <v>SOURCE EMPTY / INDUSTRIAL ONLY</v>
      </c>
      <c r="V4457" s="9" t="n">
        <f aca="false">IF(U4457="SERVICE READY",1,0)</f>
        <v>0</v>
      </c>
      <c r="W4457" s="6"/>
      <c r="X4457" s="6"/>
      <c r="Y4457" s="6"/>
      <c r="Z4457" s="6"/>
    </row>
    <row r="4458" customFormat="false" ht="15" hidden="false" customHeight="false" outlineLevel="0" collapsed="false">
      <c r="A4458" s="9" t="s">
        <v>4751</v>
      </c>
      <c r="B4458" s="9" t="s">
        <v>4729</v>
      </c>
      <c r="C4458" s="9" t="s">
        <v>4730</v>
      </c>
      <c r="D4458" s="9" t="s">
        <v>4731</v>
      </c>
      <c r="E4458" s="9" t="s">
        <v>196</v>
      </c>
      <c r="F4458" s="9" t="s">
        <v>211</v>
      </c>
      <c r="G4458" s="9" t="s">
        <v>198</v>
      </c>
      <c r="H4458" s="9" t="n">
        <v>18996</v>
      </c>
      <c r="I4458" s="29" t="n">
        <v>6.866</v>
      </c>
      <c r="J4458" s="9" t="n">
        <v>1</v>
      </c>
      <c r="K4458" s="30"/>
      <c r="L4458" s="30"/>
      <c r="M4458" s="30"/>
      <c r="N4458" s="30"/>
      <c r="O4458" s="30"/>
      <c r="P4458" s="30"/>
      <c r="Q4458" s="30"/>
      <c r="R4458" s="30"/>
      <c r="S4458" s="30"/>
      <c r="T4458" s="30"/>
      <c r="U4458" s="21" t="str">
        <f aca="false">IF(COUNT(K4458:T4458)=0,"SOURCE EMPTY / INDUSTRIAL ONLY",IF(MIN(K4458:T4458)=1,"SERVICE READY","HOLD"))</f>
        <v>SOURCE EMPTY / INDUSTRIAL ONLY</v>
      </c>
      <c r="V4458" s="9" t="n">
        <f aca="false">IF(U4458="SERVICE READY",1,0)</f>
        <v>0</v>
      </c>
      <c r="W4458" s="6"/>
      <c r="X4458" s="6"/>
      <c r="Y4458" s="6"/>
      <c r="Z4458" s="6"/>
    </row>
    <row r="4459" customFormat="false" ht="15" hidden="false" customHeight="false" outlineLevel="0" collapsed="false">
      <c r="A4459" s="9" t="s">
        <v>4752</v>
      </c>
      <c r="B4459" s="9" t="s">
        <v>4729</v>
      </c>
      <c r="C4459" s="9" t="s">
        <v>4730</v>
      </c>
      <c r="D4459" s="9" t="s">
        <v>4731</v>
      </c>
      <c r="E4459" s="9" t="s">
        <v>196</v>
      </c>
      <c r="F4459" s="9" t="s">
        <v>197</v>
      </c>
      <c r="G4459" s="9" t="s">
        <v>201</v>
      </c>
      <c r="H4459" s="9" t="n">
        <v>18996</v>
      </c>
      <c r="I4459" s="29" t="n">
        <v>6.866</v>
      </c>
      <c r="J4459" s="9" t="n">
        <v>1</v>
      </c>
      <c r="K4459" s="30"/>
      <c r="L4459" s="30"/>
      <c r="M4459" s="30"/>
      <c r="N4459" s="30"/>
      <c r="O4459" s="30"/>
      <c r="P4459" s="30"/>
      <c r="Q4459" s="30"/>
      <c r="R4459" s="30"/>
      <c r="S4459" s="30"/>
      <c r="T4459" s="30"/>
      <c r="U4459" s="21" t="str">
        <f aca="false">IF(COUNT(K4459:T4459)=0,"SOURCE EMPTY / INDUSTRIAL ONLY",IF(MIN(K4459:T4459)=1,"SERVICE READY","HOLD"))</f>
        <v>SOURCE EMPTY / INDUSTRIAL ONLY</v>
      </c>
      <c r="V4459" s="9" t="n">
        <f aca="false">IF(U4459="SERVICE READY",1,0)</f>
        <v>0</v>
      </c>
      <c r="W4459" s="6"/>
      <c r="X4459" s="6"/>
      <c r="Y4459" s="6"/>
      <c r="Z4459" s="6"/>
    </row>
    <row r="4460" customFormat="false" ht="15" hidden="false" customHeight="false" outlineLevel="0" collapsed="false">
      <c r="A4460" s="9" t="s">
        <v>4753</v>
      </c>
      <c r="B4460" s="9" t="s">
        <v>4729</v>
      </c>
      <c r="C4460" s="9" t="s">
        <v>4730</v>
      </c>
      <c r="D4460" s="9" t="s">
        <v>4731</v>
      </c>
      <c r="E4460" s="9" t="s">
        <v>196</v>
      </c>
      <c r="F4460" s="9" t="s">
        <v>200</v>
      </c>
      <c r="G4460" s="9" t="s">
        <v>198</v>
      </c>
      <c r="H4460" s="9" t="n">
        <v>18996</v>
      </c>
      <c r="I4460" s="29" t="n">
        <v>6.866</v>
      </c>
      <c r="J4460" s="9" t="n">
        <v>1</v>
      </c>
      <c r="K4460" s="30"/>
      <c r="L4460" s="30"/>
      <c r="M4460" s="30"/>
      <c r="N4460" s="30"/>
      <c r="O4460" s="30"/>
      <c r="P4460" s="30"/>
      <c r="Q4460" s="30"/>
      <c r="R4460" s="30"/>
      <c r="S4460" s="30"/>
      <c r="T4460" s="30"/>
      <c r="U4460" s="21" t="str">
        <f aca="false">IF(COUNT(K4460:T4460)=0,"SOURCE EMPTY / INDUSTRIAL ONLY",IF(MIN(K4460:T4460)=1,"SERVICE READY","HOLD"))</f>
        <v>SOURCE EMPTY / INDUSTRIAL ONLY</v>
      </c>
      <c r="V4460" s="9" t="n">
        <f aca="false">IF(U4460="SERVICE READY",1,0)</f>
        <v>0</v>
      </c>
      <c r="W4460" s="6"/>
      <c r="X4460" s="6"/>
      <c r="Y4460" s="6"/>
      <c r="Z4460" s="6"/>
    </row>
    <row r="4461" customFormat="false" ht="15" hidden="false" customHeight="false" outlineLevel="0" collapsed="false">
      <c r="A4461" s="9" t="s">
        <v>4754</v>
      </c>
      <c r="B4461" s="9" t="s">
        <v>4729</v>
      </c>
      <c r="C4461" s="9" t="s">
        <v>4730</v>
      </c>
      <c r="D4461" s="9" t="s">
        <v>4731</v>
      </c>
      <c r="E4461" s="9" t="s">
        <v>196</v>
      </c>
      <c r="F4461" s="9" t="s">
        <v>203</v>
      </c>
      <c r="G4461" s="9" t="s">
        <v>201</v>
      </c>
      <c r="H4461" s="9" t="n">
        <v>18996</v>
      </c>
      <c r="I4461" s="29" t="n">
        <v>6.866</v>
      </c>
      <c r="J4461" s="9" t="n">
        <v>1</v>
      </c>
      <c r="K4461" s="30"/>
      <c r="L4461" s="30"/>
      <c r="M4461" s="30"/>
      <c r="N4461" s="30"/>
      <c r="O4461" s="30"/>
      <c r="P4461" s="30"/>
      <c r="Q4461" s="30"/>
      <c r="R4461" s="30"/>
      <c r="S4461" s="30"/>
      <c r="T4461" s="30"/>
      <c r="U4461" s="21" t="str">
        <f aca="false">IF(COUNT(K4461:T4461)=0,"SOURCE EMPTY / INDUSTRIAL ONLY",IF(MIN(K4461:T4461)=1,"SERVICE READY","HOLD"))</f>
        <v>SOURCE EMPTY / INDUSTRIAL ONLY</v>
      </c>
      <c r="V4461" s="9" t="n">
        <f aca="false">IF(U4461="SERVICE READY",1,0)</f>
        <v>0</v>
      </c>
      <c r="W4461" s="6"/>
      <c r="X4461" s="6"/>
      <c r="Y4461" s="6"/>
      <c r="Z4461" s="6"/>
    </row>
    <row r="4462" customFormat="false" ht="15" hidden="false" customHeight="false" outlineLevel="0" collapsed="false">
      <c r="A4462" s="9" t="s">
        <v>4755</v>
      </c>
      <c r="B4462" s="9" t="s">
        <v>4729</v>
      </c>
      <c r="C4462" s="9" t="s">
        <v>4730</v>
      </c>
      <c r="D4462" s="9" t="s">
        <v>4731</v>
      </c>
      <c r="E4462" s="9" t="s">
        <v>196</v>
      </c>
      <c r="F4462" s="9" t="s">
        <v>205</v>
      </c>
      <c r="G4462" s="9" t="s">
        <v>198</v>
      </c>
      <c r="H4462" s="9" t="n">
        <v>18996</v>
      </c>
      <c r="I4462" s="29" t="n">
        <v>6.866</v>
      </c>
      <c r="J4462" s="9" t="n">
        <v>1</v>
      </c>
      <c r="K4462" s="30"/>
      <c r="L4462" s="30"/>
      <c r="M4462" s="30"/>
      <c r="N4462" s="30"/>
      <c r="O4462" s="30"/>
      <c r="P4462" s="30"/>
      <c r="Q4462" s="30"/>
      <c r="R4462" s="30"/>
      <c r="S4462" s="30"/>
      <c r="T4462" s="30"/>
      <c r="U4462" s="21" t="str">
        <f aca="false">IF(COUNT(K4462:T4462)=0,"SOURCE EMPTY / INDUSTRIAL ONLY",IF(MIN(K4462:T4462)=1,"SERVICE READY","HOLD"))</f>
        <v>SOURCE EMPTY / INDUSTRIAL ONLY</v>
      </c>
      <c r="V4462" s="9" t="n">
        <f aca="false">IF(U4462="SERVICE READY",1,0)</f>
        <v>0</v>
      </c>
      <c r="W4462" s="6"/>
      <c r="X4462" s="6"/>
      <c r="Y4462" s="6"/>
      <c r="Z4462" s="6"/>
    </row>
    <row r="4463" customFormat="false" ht="15" hidden="false" customHeight="false" outlineLevel="0" collapsed="false">
      <c r="A4463" s="9" t="s">
        <v>4756</v>
      </c>
      <c r="B4463" s="9" t="s">
        <v>4729</v>
      </c>
      <c r="C4463" s="9" t="s">
        <v>4730</v>
      </c>
      <c r="D4463" s="9" t="s">
        <v>4731</v>
      </c>
      <c r="E4463" s="9" t="s">
        <v>196</v>
      </c>
      <c r="F4463" s="9" t="s">
        <v>207</v>
      </c>
      <c r="G4463" s="9" t="s">
        <v>201</v>
      </c>
      <c r="H4463" s="9" t="n">
        <v>18996</v>
      </c>
      <c r="I4463" s="29" t="n">
        <v>6.866</v>
      </c>
      <c r="J4463" s="9" t="n">
        <v>1</v>
      </c>
      <c r="K4463" s="30"/>
      <c r="L4463" s="30"/>
      <c r="M4463" s="30"/>
      <c r="N4463" s="30"/>
      <c r="O4463" s="30"/>
      <c r="P4463" s="30"/>
      <c r="Q4463" s="30"/>
      <c r="R4463" s="30"/>
      <c r="S4463" s="30"/>
      <c r="T4463" s="30"/>
      <c r="U4463" s="21" t="str">
        <f aca="false">IF(COUNT(K4463:T4463)=0,"SOURCE EMPTY / INDUSTRIAL ONLY",IF(MIN(K4463:T4463)=1,"SERVICE READY","HOLD"))</f>
        <v>SOURCE EMPTY / INDUSTRIAL ONLY</v>
      </c>
      <c r="V4463" s="9" t="n">
        <f aca="false">IF(U4463="SERVICE READY",1,0)</f>
        <v>0</v>
      </c>
      <c r="W4463" s="6"/>
      <c r="X4463" s="6"/>
      <c r="Y4463" s="6"/>
      <c r="Z4463" s="6"/>
    </row>
    <row r="4464" customFormat="false" ht="15" hidden="false" customHeight="false" outlineLevel="0" collapsed="false">
      <c r="A4464" s="9" t="s">
        <v>4757</v>
      </c>
      <c r="B4464" s="9" t="s">
        <v>4729</v>
      </c>
      <c r="C4464" s="9" t="s">
        <v>4730</v>
      </c>
      <c r="D4464" s="9" t="s">
        <v>4731</v>
      </c>
      <c r="E4464" s="9" t="s">
        <v>196</v>
      </c>
      <c r="F4464" s="9" t="s">
        <v>209</v>
      </c>
      <c r="G4464" s="9" t="s">
        <v>198</v>
      </c>
      <c r="H4464" s="9" t="n">
        <v>18996</v>
      </c>
      <c r="I4464" s="29" t="n">
        <v>6.866</v>
      </c>
      <c r="J4464" s="9" t="n">
        <v>1</v>
      </c>
      <c r="K4464" s="30"/>
      <c r="L4464" s="30"/>
      <c r="M4464" s="30"/>
      <c r="N4464" s="30"/>
      <c r="O4464" s="30"/>
      <c r="P4464" s="30"/>
      <c r="Q4464" s="30"/>
      <c r="R4464" s="30"/>
      <c r="S4464" s="30"/>
      <c r="T4464" s="30"/>
      <c r="U4464" s="21" t="str">
        <f aca="false">IF(COUNT(K4464:T4464)=0,"SOURCE EMPTY / INDUSTRIAL ONLY",IF(MIN(K4464:T4464)=1,"SERVICE READY","HOLD"))</f>
        <v>SOURCE EMPTY / INDUSTRIAL ONLY</v>
      </c>
      <c r="V4464" s="9" t="n">
        <f aca="false">IF(U4464="SERVICE READY",1,0)</f>
        <v>0</v>
      </c>
      <c r="W4464" s="6"/>
      <c r="X4464" s="6"/>
      <c r="Y4464" s="6"/>
      <c r="Z4464" s="6"/>
    </row>
    <row r="4465" customFormat="false" ht="15" hidden="false" customHeight="false" outlineLevel="0" collapsed="false">
      <c r="A4465" s="9" t="s">
        <v>4758</v>
      </c>
      <c r="B4465" s="9" t="s">
        <v>4729</v>
      </c>
      <c r="C4465" s="9" t="s">
        <v>4730</v>
      </c>
      <c r="D4465" s="9" t="s">
        <v>4731</v>
      </c>
      <c r="E4465" s="9" t="s">
        <v>196</v>
      </c>
      <c r="F4465" s="9" t="s">
        <v>211</v>
      </c>
      <c r="G4465" s="9" t="s">
        <v>201</v>
      </c>
      <c r="H4465" s="9" t="n">
        <v>18996</v>
      </c>
      <c r="I4465" s="29" t="n">
        <v>6.866</v>
      </c>
      <c r="J4465" s="9" t="n">
        <v>1</v>
      </c>
      <c r="K4465" s="30"/>
      <c r="L4465" s="30"/>
      <c r="M4465" s="30"/>
      <c r="N4465" s="30"/>
      <c r="O4465" s="30"/>
      <c r="P4465" s="30"/>
      <c r="Q4465" s="30"/>
      <c r="R4465" s="30"/>
      <c r="S4465" s="30"/>
      <c r="T4465" s="30"/>
      <c r="U4465" s="21" t="str">
        <f aca="false">IF(COUNT(K4465:T4465)=0,"SOURCE EMPTY / INDUSTRIAL ONLY",IF(MIN(K4465:T4465)=1,"SERVICE READY","HOLD"))</f>
        <v>SOURCE EMPTY / INDUSTRIAL ONLY</v>
      </c>
      <c r="V4465" s="9" t="n">
        <f aca="false">IF(U4465="SERVICE READY",1,0)</f>
        <v>0</v>
      </c>
      <c r="W4465" s="6"/>
      <c r="X4465" s="6"/>
      <c r="Y4465" s="6"/>
      <c r="Z4465" s="6"/>
    </row>
    <row r="4466" customFormat="false" ht="15" hidden="false" customHeight="false" outlineLevel="0" collapsed="false">
      <c r="A4466" s="9" t="s">
        <v>4759</v>
      </c>
      <c r="B4466" s="9" t="s">
        <v>4729</v>
      </c>
      <c r="C4466" s="9" t="s">
        <v>4730</v>
      </c>
      <c r="D4466" s="9" t="s">
        <v>4731</v>
      </c>
      <c r="E4466" s="9" t="s">
        <v>196</v>
      </c>
      <c r="F4466" s="9" t="s">
        <v>197</v>
      </c>
      <c r="G4466" s="9" t="s">
        <v>198</v>
      </c>
      <c r="H4466" s="9" t="n">
        <v>18996</v>
      </c>
      <c r="I4466" s="29" t="n">
        <v>6.866</v>
      </c>
      <c r="J4466" s="9" t="n">
        <v>1</v>
      </c>
      <c r="K4466" s="30"/>
      <c r="L4466" s="30"/>
      <c r="M4466" s="30"/>
      <c r="N4466" s="30"/>
      <c r="O4466" s="30"/>
      <c r="P4466" s="30"/>
      <c r="Q4466" s="30"/>
      <c r="R4466" s="30"/>
      <c r="S4466" s="30"/>
      <c r="T4466" s="30"/>
      <c r="U4466" s="21" t="str">
        <f aca="false">IF(COUNT(K4466:T4466)=0,"SOURCE EMPTY / INDUSTRIAL ONLY",IF(MIN(K4466:T4466)=1,"SERVICE READY","HOLD"))</f>
        <v>SOURCE EMPTY / INDUSTRIAL ONLY</v>
      </c>
      <c r="V4466" s="9" t="n">
        <f aca="false">IF(U4466="SERVICE READY",1,0)</f>
        <v>0</v>
      </c>
      <c r="W4466" s="6"/>
      <c r="X4466" s="6"/>
      <c r="Y4466" s="6"/>
      <c r="Z4466" s="6"/>
    </row>
    <row r="4467" customFormat="false" ht="15" hidden="false" customHeight="false" outlineLevel="0" collapsed="false">
      <c r="A4467" s="9" t="s">
        <v>4760</v>
      </c>
      <c r="B4467" s="9" t="s">
        <v>4729</v>
      </c>
      <c r="C4467" s="9" t="s">
        <v>4730</v>
      </c>
      <c r="D4467" s="9" t="s">
        <v>4731</v>
      </c>
      <c r="E4467" s="9" t="s">
        <v>196</v>
      </c>
      <c r="F4467" s="9" t="s">
        <v>200</v>
      </c>
      <c r="G4467" s="9" t="s">
        <v>201</v>
      </c>
      <c r="H4467" s="9" t="n">
        <v>18996</v>
      </c>
      <c r="I4467" s="29" t="n">
        <v>6.866</v>
      </c>
      <c r="J4467" s="9" t="n">
        <v>1</v>
      </c>
      <c r="K4467" s="30"/>
      <c r="L4467" s="30"/>
      <c r="M4467" s="30"/>
      <c r="N4467" s="30"/>
      <c r="O4467" s="30"/>
      <c r="P4467" s="30"/>
      <c r="Q4467" s="30"/>
      <c r="R4467" s="30"/>
      <c r="S4467" s="30"/>
      <c r="T4467" s="30"/>
      <c r="U4467" s="21" t="str">
        <f aca="false">IF(COUNT(K4467:T4467)=0,"SOURCE EMPTY / INDUSTRIAL ONLY",IF(MIN(K4467:T4467)=1,"SERVICE READY","HOLD"))</f>
        <v>SOURCE EMPTY / INDUSTRIAL ONLY</v>
      </c>
      <c r="V4467" s="9" t="n">
        <f aca="false">IF(U4467="SERVICE READY",1,0)</f>
        <v>0</v>
      </c>
      <c r="W4467" s="6"/>
      <c r="X4467" s="6"/>
      <c r="Y4467" s="6"/>
      <c r="Z4467" s="6"/>
    </row>
    <row r="4468" customFormat="false" ht="15" hidden="false" customHeight="false" outlineLevel="0" collapsed="false">
      <c r="A4468" s="9" t="s">
        <v>4761</v>
      </c>
      <c r="B4468" s="9" t="s">
        <v>4729</v>
      </c>
      <c r="C4468" s="9" t="s">
        <v>4730</v>
      </c>
      <c r="D4468" s="9" t="s">
        <v>4731</v>
      </c>
      <c r="E4468" s="9" t="s">
        <v>196</v>
      </c>
      <c r="F4468" s="9" t="s">
        <v>203</v>
      </c>
      <c r="G4468" s="9" t="s">
        <v>198</v>
      </c>
      <c r="H4468" s="9" t="n">
        <v>18996</v>
      </c>
      <c r="I4468" s="29" t="n">
        <v>6.866</v>
      </c>
      <c r="J4468" s="9" t="n">
        <v>1</v>
      </c>
      <c r="K4468" s="30"/>
      <c r="L4468" s="30"/>
      <c r="M4468" s="30"/>
      <c r="N4468" s="30"/>
      <c r="O4468" s="30"/>
      <c r="P4468" s="30"/>
      <c r="Q4468" s="30"/>
      <c r="R4468" s="30"/>
      <c r="S4468" s="30"/>
      <c r="T4468" s="30"/>
      <c r="U4468" s="21" t="str">
        <f aca="false">IF(COUNT(K4468:T4468)=0,"SOURCE EMPTY / INDUSTRIAL ONLY",IF(MIN(K4468:T4468)=1,"SERVICE READY","HOLD"))</f>
        <v>SOURCE EMPTY / INDUSTRIAL ONLY</v>
      </c>
      <c r="V4468" s="9" t="n">
        <f aca="false">IF(U4468="SERVICE READY",1,0)</f>
        <v>0</v>
      </c>
      <c r="W4468" s="6"/>
      <c r="X4468" s="6"/>
      <c r="Y4468" s="6"/>
      <c r="Z4468" s="6"/>
    </row>
    <row r="4469" customFormat="false" ht="15" hidden="false" customHeight="false" outlineLevel="0" collapsed="false">
      <c r="A4469" s="9" t="s">
        <v>4762</v>
      </c>
      <c r="B4469" s="9" t="s">
        <v>4729</v>
      </c>
      <c r="C4469" s="9" t="s">
        <v>4730</v>
      </c>
      <c r="D4469" s="9" t="s">
        <v>4731</v>
      </c>
      <c r="E4469" s="9" t="s">
        <v>196</v>
      </c>
      <c r="F4469" s="9" t="s">
        <v>205</v>
      </c>
      <c r="G4469" s="9" t="s">
        <v>201</v>
      </c>
      <c r="H4469" s="9" t="n">
        <v>18996</v>
      </c>
      <c r="I4469" s="29" t="n">
        <v>6.866</v>
      </c>
      <c r="J4469" s="9" t="n">
        <v>1</v>
      </c>
      <c r="K4469" s="30"/>
      <c r="L4469" s="30"/>
      <c r="M4469" s="30"/>
      <c r="N4469" s="30"/>
      <c r="O4469" s="30"/>
      <c r="P4469" s="30"/>
      <c r="Q4469" s="30"/>
      <c r="R4469" s="30"/>
      <c r="S4469" s="30"/>
      <c r="T4469" s="30"/>
      <c r="U4469" s="21" t="str">
        <f aca="false">IF(COUNT(K4469:T4469)=0,"SOURCE EMPTY / INDUSTRIAL ONLY",IF(MIN(K4469:T4469)=1,"SERVICE READY","HOLD"))</f>
        <v>SOURCE EMPTY / INDUSTRIAL ONLY</v>
      </c>
      <c r="V4469" s="9" t="n">
        <f aca="false">IF(U4469="SERVICE READY",1,0)</f>
        <v>0</v>
      </c>
      <c r="W4469" s="6"/>
      <c r="X4469" s="6"/>
      <c r="Y4469" s="6"/>
      <c r="Z4469" s="6"/>
    </row>
    <row r="4470" customFormat="false" ht="15" hidden="false" customHeight="false" outlineLevel="0" collapsed="false">
      <c r="A4470" s="9" t="s">
        <v>4763</v>
      </c>
      <c r="B4470" s="9" t="s">
        <v>4729</v>
      </c>
      <c r="C4470" s="9" t="s">
        <v>4730</v>
      </c>
      <c r="D4470" s="9" t="s">
        <v>4731</v>
      </c>
      <c r="E4470" s="9" t="s">
        <v>196</v>
      </c>
      <c r="F4470" s="9" t="s">
        <v>207</v>
      </c>
      <c r="G4470" s="9" t="s">
        <v>198</v>
      </c>
      <c r="H4470" s="9" t="n">
        <v>18996</v>
      </c>
      <c r="I4470" s="29" t="n">
        <v>6.866</v>
      </c>
      <c r="J4470" s="9" t="n">
        <v>1</v>
      </c>
      <c r="K4470" s="30"/>
      <c r="L4470" s="30"/>
      <c r="M4470" s="30"/>
      <c r="N4470" s="30"/>
      <c r="O4470" s="30"/>
      <c r="P4470" s="30"/>
      <c r="Q4470" s="30"/>
      <c r="R4470" s="30"/>
      <c r="S4470" s="30"/>
      <c r="T4470" s="30"/>
      <c r="U4470" s="21" t="str">
        <f aca="false">IF(COUNT(K4470:T4470)=0,"SOURCE EMPTY / INDUSTRIAL ONLY",IF(MIN(K4470:T4470)=1,"SERVICE READY","HOLD"))</f>
        <v>SOURCE EMPTY / INDUSTRIAL ONLY</v>
      </c>
      <c r="V4470" s="9" t="n">
        <f aca="false">IF(U4470="SERVICE READY",1,0)</f>
        <v>0</v>
      </c>
      <c r="W4470" s="6"/>
      <c r="X4470" s="6"/>
      <c r="Y4470" s="6"/>
      <c r="Z4470" s="6"/>
    </row>
    <row r="4471" customFormat="false" ht="15" hidden="false" customHeight="false" outlineLevel="0" collapsed="false">
      <c r="A4471" s="9" t="s">
        <v>4764</v>
      </c>
      <c r="B4471" s="9" t="s">
        <v>4729</v>
      </c>
      <c r="C4471" s="9" t="s">
        <v>4730</v>
      </c>
      <c r="D4471" s="9" t="s">
        <v>4731</v>
      </c>
      <c r="E4471" s="9" t="s">
        <v>196</v>
      </c>
      <c r="F4471" s="9" t="s">
        <v>209</v>
      </c>
      <c r="G4471" s="9" t="s">
        <v>201</v>
      </c>
      <c r="H4471" s="9" t="n">
        <v>18996</v>
      </c>
      <c r="I4471" s="29" t="n">
        <v>6.866</v>
      </c>
      <c r="J4471" s="9" t="n">
        <v>1</v>
      </c>
      <c r="K4471" s="30"/>
      <c r="L4471" s="30"/>
      <c r="M4471" s="30"/>
      <c r="N4471" s="30"/>
      <c r="O4471" s="30"/>
      <c r="P4471" s="30"/>
      <c r="Q4471" s="30"/>
      <c r="R4471" s="30"/>
      <c r="S4471" s="30"/>
      <c r="T4471" s="30"/>
      <c r="U4471" s="21" t="str">
        <f aca="false">IF(COUNT(K4471:T4471)=0,"SOURCE EMPTY / INDUSTRIAL ONLY",IF(MIN(K4471:T4471)=1,"SERVICE READY","HOLD"))</f>
        <v>SOURCE EMPTY / INDUSTRIAL ONLY</v>
      </c>
      <c r="V4471" s="9" t="n">
        <f aca="false">IF(U4471="SERVICE READY",1,0)</f>
        <v>0</v>
      </c>
      <c r="W4471" s="6"/>
      <c r="X4471" s="6"/>
      <c r="Y4471" s="6"/>
      <c r="Z4471" s="6"/>
    </row>
    <row r="4472" customFormat="false" ht="15" hidden="false" customHeight="false" outlineLevel="0" collapsed="false">
      <c r="A4472" s="9" t="s">
        <v>4765</v>
      </c>
      <c r="B4472" s="9" t="s">
        <v>4729</v>
      </c>
      <c r="C4472" s="9" t="s">
        <v>4730</v>
      </c>
      <c r="D4472" s="9" t="s">
        <v>4731</v>
      </c>
      <c r="E4472" s="9" t="s">
        <v>196</v>
      </c>
      <c r="F4472" s="9" t="s">
        <v>211</v>
      </c>
      <c r="G4472" s="9" t="s">
        <v>198</v>
      </c>
      <c r="H4472" s="9" t="n">
        <v>18996</v>
      </c>
      <c r="I4472" s="29" t="n">
        <v>6.866</v>
      </c>
      <c r="J4472" s="9" t="n">
        <v>1</v>
      </c>
      <c r="K4472" s="30"/>
      <c r="L4472" s="30"/>
      <c r="M4472" s="30"/>
      <c r="N4472" s="30"/>
      <c r="O4472" s="30"/>
      <c r="P4472" s="30"/>
      <c r="Q4472" s="30"/>
      <c r="R4472" s="30"/>
      <c r="S4472" s="30"/>
      <c r="T4472" s="30"/>
      <c r="U4472" s="21" t="str">
        <f aca="false">IF(COUNT(K4472:T4472)=0,"SOURCE EMPTY / INDUSTRIAL ONLY",IF(MIN(K4472:T4472)=1,"SERVICE READY","HOLD"))</f>
        <v>SOURCE EMPTY / INDUSTRIAL ONLY</v>
      </c>
      <c r="V4472" s="9" t="n">
        <f aca="false">IF(U4472="SERVICE READY",1,0)</f>
        <v>0</v>
      </c>
      <c r="W4472" s="6"/>
      <c r="X4472" s="6"/>
      <c r="Y4472" s="6"/>
      <c r="Z4472" s="6"/>
    </row>
    <row r="4473" customFormat="false" ht="15" hidden="false" customHeight="false" outlineLevel="0" collapsed="false">
      <c r="A4473" s="9" t="s">
        <v>4766</v>
      </c>
      <c r="B4473" s="9" t="s">
        <v>4729</v>
      </c>
      <c r="C4473" s="9" t="s">
        <v>4730</v>
      </c>
      <c r="D4473" s="9" t="s">
        <v>4731</v>
      </c>
      <c r="E4473" s="9" t="s">
        <v>196</v>
      </c>
      <c r="F4473" s="9" t="s">
        <v>197</v>
      </c>
      <c r="G4473" s="9" t="s">
        <v>201</v>
      </c>
      <c r="H4473" s="9" t="n">
        <v>18996</v>
      </c>
      <c r="I4473" s="29" t="n">
        <v>6.866</v>
      </c>
      <c r="J4473" s="9" t="n">
        <v>1</v>
      </c>
      <c r="K4473" s="30"/>
      <c r="L4473" s="30"/>
      <c r="M4473" s="30"/>
      <c r="N4473" s="30"/>
      <c r="O4473" s="30"/>
      <c r="P4473" s="30"/>
      <c r="Q4473" s="30"/>
      <c r="R4473" s="30"/>
      <c r="S4473" s="30"/>
      <c r="T4473" s="30"/>
      <c r="U4473" s="21" t="str">
        <f aca="false">IF(COUNT(K4473:T4473)=0,"SOURCE EMPTY / INDUSTRIAL ONLY",IF(MIN(K4473:T4473)=1,"SERVICE READY","HOLD"))</f>
        <v>SOURCE EMPTY / INDUSTRIAL ONLY</v>
      </c>
      <c r="V4473" s="9" t="n">
        <f aca="false">IF(U4473="SERVICE READY",1,0)</f>
        <v>0</v>
      </c>
      <c r="W4473" s="6"/>
      <c r="X4473" s="6"/>
      <c r="Y4473" s="6"/>
      <c r="Z4473" s="6"/>
    </row>
    <row r="4474" customFormat="false" ht="15" hidden="false" customHeight="false" outlineLevel="0" collapsed="false">
      <c r="A4474" s="9" t="s">
        <v>4767</v>
      </c>
      <c r="B4474" s="9" t="s">
        <v>4729</v>
      </c>
      <c r="C4474" s="9" t="s">
        <v>4730</v>
      </c>
      <c r="D4474" s="9" t="s">
        <v>4731</v>
      </c>
      <c r="E4474" s="9" t="s">
        <v>196</v>
      </c>
      <c r="F4474" s="9" t="s">
        <v>200</v>
      </c>
      <c r="G4474" s="9" t="s">
        <v>198</v>
      </c>
      <c r="H4474" s="9" t="n">
        <v>18996</v>
      </c>
      <c r="I4474" s="29" t="n">
        <v>6.866</v>
      </c>
      <c r="J4474" s="9" t="n">
        <v>1</v>
      </c>
      <c r="K4474" s="30"/>
      <c r="L4474" s="30"/>
      <c r="M4474" s="30"/>
      <c r="N4474" s="30"/>
      <c r="O4474" s="30"/>
      <c r="P4474" s="30"/>
      <c r="Q4474" s="30"/>
      <c r="R4474" s="30"/>
      <c r="S4474" s="30"/>
      <c r="T4474" s="30"/>
      <c r="U4474" s="21" t="str">
        <f aca="false">IF(COUNT(K4474:T4474)=0,"SOURCE EMPTY / INDUSTRIAL ONLY",IF(MIN(K4474:T4474)=1,"SERVICE READY","HOLD"))</f>
        <v>SOURCE EMPTY / INDUSTRIAL ONLY</v>
      </c>
      <c r="V4474" s="9" t="n">
        <f aca="false">IF(U4474="SERVICE READY",1,0)</f>
        <v>0</v>
      </c>
      <c r="W4474" s="6"/>
      <c r="X4474" s="6"/>
      <c r="Y4474" s="6"/>
      <c r="Z4474" s="6"/>
    </row>
    <row r="4475" customFormat="false" ht="15" hidden="false" customHeight="false" outlineLevel="0" collapsed="false">
      <c r="A4475" s="9" t="s">
        <v>4768</v>
      </c>
      <c r="B4475" s="9" t="s">
        <v>4729</v>
      </c>
      <c r="C4475" s="9" t="s">
        <v>4730</v>
      </c>
      <c r="D4475" s="9" t="s">
        <v>4731</v>
      </c>
      <c r="E4475" s="9" t="s">
        <v>196</v>
      </c>
      <c r="F4475" s="9" t="s">
        <v>203</v>
      </c>
      <c r="G4475" s="9" t="s">
        <v>201</v>
      </c>
      <c r="H4475" s="9" t="n">
        <v>18996</v>
      </c>
      <c r="I4475" s="29" t="n">
        <v>6.866</v>
      </c>
      <c r="J4475" s="9" t="n">
        <v>1</v>
      </c>
      <c r="K4475" s="30"/>
      <c r="L4475" s="30"/>
      <c r="M4475" s="30"/>
      <c r="N4475" s="30"/>
      <c r="O4475" s="30"/>
      <c r="P4475" s="30"/>
      <c r="Q4475" s="30"/>
      <c r="R4475" s="30"/>
      <c r="S4475" s="30"/>
      <c r="T4475" s="30"/>
      <c r="U4475" s="21" t="str">
        <f aca="false">IF(COUNT(K4475:T4475)=0,"SOURCE EMPTY / INDUSTRIAL ONLY",IF(MIN(K4475:T4475)=1,"SERVICE READY","HOLD"))</f>
        <v>SOURCE EMPTY / INDUSTRIAL ONLY</v>
      </c>
      <c r="V4475" s="9" t="n">
        <f aca="false">IF(U4475="SERVICE READY",1,0)</f>
        <v>0</v>
      </c>
      <c r="W4475" s="6"/>
      <c r="X4475" s="6"/>
      <c r="Y4475" s="6"/>
      <c r="Z4475" s="6"/>
    </row>
    <row r="4476" customFormat="false" ht="15" hidden="false" customHeight="false" outlineLevel="0" collapsed="false">
      <c r="A4476" s="9" t="s">
        <v>4769</v>
      </c>
      <c r="B4476" s="9" t="s">
        <v>4729</v>
      </c>
      <c r="C4476" s="9" t="s">
        <v>4730</v>
      </c>
      <c r="D4476" s="9" t="s">
        <v>4731</v>
      </c>
      <c r="E4476" s="9" t="s">
        <v>196</v>
      </c>
      <c r="F4476" s="9" t="s">
        <v>205</v>
      </c>
      <c r="G4476" s="9" t="s">
        <v>221</v>
      </c>
      <c r="H4476" s="9" t="n">
        <v>18996</v>
      </c>
      <c r="I4476" s="29" t="n">
        <v>6.866</v>
      </c>
      <c r="J4476" s="9" t="n">
        <v>1</v>
      </c>
      <c r="K4476" s="30"/>
      <c r="L4476" s="30"/>
      <c r="M4476" s="30"/>
      <c r="N4476" s="30"/>
      <c r="O4476" s="30"/>
      <c r="P4476" s="30"/>
      <c r="Q4476" s="30"/>
      <c r="R4476" s="30"/>
      <c r="S4476" s="30"/>
      <c r="T4476" s="30"/>
      <c r="U4476" s="21" t="str">
        <f aca="false">IF(COUNT(K4476:T4476)=0,"SOURCE EMPTY / INDUSTRIAL ONLY",IF(MIN(K4476:T4476)=1,"SERVICE READY","HOLD"))</f>
        <v>SOURCE EMPTY / INDUSTRIAL ONLY</v>
      </c>
      <c r="V4476" s="9" t="n">
        <f aca="false">IF(U4476="SERVICE READY",1,0)</f>
        <v>0</v>
      </c>
      <c r="W4476" s="6"/>
      <c r="X4476" s="6"/>
      <c r="Y4476" s="6"/>
      <c r="Z4476" s="6"/>
    </row>
    <row r="4477" customFormat="false" ht="15" hidden="false" customHeight="false" outlineLevel="0" collapsed="false">
      <c r="A4477" s="9" t="s">
        <v>4770</v>
      </c>
      <c r="B4477" s="9" t="s">
        <v>4729</v>
      </c>
      <c r="C4477" s="9" t="s">
        <v>4730</v>
      </c>
      <c r="D4477" s="9" t="s">
        <v>4731</v>
      </c>
      <c r="E4477" s="9" t="s">
        <v>196</v>
      </c>
      <c r="F4477" s="9" t="s">
        <v>207</v>
      </c>
      <c r="G4477" s="9" t="s">
        <v>221</v>
      </c>
      <c r="H4477" s="9" t="n">
        <v>18996</v>
      </c>
      <c r="I4477" s="29" t="n">
        <v>6.866</v>
      </c>
      <c r="J4477" s="9" t="n">
        <v>1</v>
      </c>
      <c r="K4477" s="30"/>
      <c r="L4477" s="30"/>
      <c r="M4477" s="30"/>
      <c r="N4477" s="30"/>
      <c r="O4477" s="30"/>
      <c r="P4477" s="30"/>
      <c r="Q4477" s="30"/>
      <c r="R4477" s="30"/>
      <c r="S4477" s="30"/>
      <c r="T4477" s="30"/>
      <c r="U4477" s="21" t="str">
        <f aca="false">IF(COUNT(K4477:T4477)=0,"SOURCE EMPTY / INDUSTRIAL ONLY",IF(MIN(K4477:T4477)=1,"SERVICE READY","HOLD"))</f>
        <v>SOURCE EMPTY / INDUSTRIAL ONLY</v>
      </c>
      <c r="V4477" s="9" t="n">
        <f aca="false">IF(U4477="SERVICE READY",1,0)</f>
        <v>0</v>
      </c>
      <c r="W4477" s="6"/>
      <c r="X4477" s="6"/>
      <c r="Y4477" s="6"/>
      <c r="Z4477" s="6"/>
    </row>
    <row r="4478" customFormat="false" ht="15" hidden="false" customHeight="false" outlineLevel="0" collapsed="false">
      <c r="A4478" s="9" t="s">
        <v>4771</v>
      </c>
      <c r="B4478" s="9" t="s">
        <v>4729</v>
      </c>
      <c r="C4478" s="9" t="s">
        <v>4730</v>
      </c>
      <c r="D4478" s="9" t="s">
        <v>4731</v>
      </c>
      <c r="E4478" s="9" t="s">
        <v>196</v>
      </c>
      <c r="F4478" s="9" t="s">
        <v>209</v>
      </c>
      <c r="G4478" s="9" t="s">
        <v>221</v>
      </c>
      <c r="H4478" s="9" t="n">
        <v>18996</v>
      </c>
      <c r="I4478" s="29" t="n">
        <v>6.866</v>
      </c>
      <c r="J4478" s="9" t="n">
        <v>1</v>
      </c>
      <c r="K4478" s="30"/>
      <c r="L4478" s="30"/>
      <c r="M4478" s="30"/>
      <c r="N4478" s="30"/>
      <c r="O4478" s="30"/>
      <c r="P4478" s="30"/>
      <c r="Q4478" s="30"/>
      <c r="R4478" s="30"/>
      <c r="S4478" s="30"/>
      <c r="T4478" s="30"/>
      <c r="U4478" s="21" t="str">
        <f aca="false">IF(COUNT(K4478:T4478)=0,"SOURCE EMPTY / INDUSTRIAL ONLY",IF(MIN(K4478:T4478)=1,"SERVICE READY","HOLD"))</f>
        <v>SOURCE EMPTY / INDUSTRIAL ONLY</v>
      </c>
      <c r="V4478" s="9" t="n">
        <f aca="false">IF(U4478="SERVICE READY",1,0)</f>
        <v>0</v>
      </c>
      <c r="W4478" s="6"/>
      <c r="X4478" s="6"/>
      <c r="Y4478" s="6"/>
      <c r="Z4478" s="6"/>
    </row>
    <row r="4479" customFormat="false" ht="15" hidden="false" customHeight="false" outlineLevel="0" collapsed="false">
      <c r="A4479" s="9" t="s">
        <v>4772</v>
      </c>
      <c r="B4479" s="9" t="s">
        <v>4729</v>
      </c>
      <c r="C4479" s="9" t="s">
        <v>4730</v>
      </c>
      <c r="D4479" s="9" t="s">
        <v>4731</v>
      </c>
      <c r="E4479" s="9" t="s">
        <v>196</v>
      </c>
      <c r="F4479" s="9" t="s">
        <v>211</v>
      </c>
      <c r="G4479" s="9" t="s">
        <v>221</v>
      </c>
      <c r="H4479" s="9" t="n">
        <v>18996</v>
      </c>
      <c r="I4479" s="29" t="n">
        <v>6.866</v>
      </c>
      <c r="J4479" s="9" t="n">
        <v>1</v>
      </c>
      <c r="K4479" s="30"/>
      <c r="L4479" s="30"/>
      <c r="M4479" s="30"/>
      <c r="N4479" s="30"/>
      <c r="O4479" s="30"/>
      <c r="P4479" s="30"/>
      <c r="Q4479" s="30"/>
      <c r="R4479" s="30"/>
      <c r="S4479" s="30"/>
      <c r="T4479" s="30"/>
      <c r="U4479" s="21" t="str">
        <f aca="false">IF(COUNT(K4479:T4479)=0,"SOURCE EMPTY / INDUSTRIAL ONLY",IF(MIN(K4479:T4479)=1,"SERVICE READY","HOLD"))</f>
        <v>SOURCE EMPTY / INDUSTRIAL ONLY</v>
      </c>
      <c r="V4479" s="9" t="n">
        <f aca="false">IF(U4479="SERVICE READY",1,0)</f>
        <v>0</v>
      </c>
      <c r="W4479" s="6"/>
      <c r="X4479" s="6"/>
      <c r="Y4479" s="6"/>
      <c r="Z4479" s="6"/>
    </row>
    <row r="4480" customFormat="false" ht="15" hidden="false" customHeight="false" outlineLevel="0" collapsed="false">
      <c r="A4480" s="9" t="s">
        <v>4773</v>
      </c>
      <c r="B4480" s="9" t="s">
        <v>4729</v>
      </c>
      <c r="C4480" s="9" t="s">
        <v>4730</v>
      </c>
      <c r="D4480" s="9" t="s">
        <v>4731</v>
      </c>
      <c r="E4480" s="9" t="s">
        <v>196</v>
      </c>
      <c r="F4480" s="9" t="s">
        <v>197</v>
      </c>
      <c r="G4480" s="9" t="s">
        <v>221</v>
      </c>
      <c r="H4480" s="9" t="n">
        <v>18996</v>
      </c>
      <c r="I4480" s="29" t="n">
        <v>6.866</v>
      </c>
      <c r="J4480" s="9" t="n">
        <v>1</v>
      </c>
      <c r="K4480" s="30"/>
      <c r="L4480" s="30"/>
      <c r="M4480" s="30"/>
      <c r="N4480" s="30"/>
      <c r="O4480" s="30"/>
      <c r="P4480" s="30"/>
      <c r="Q4480" s="30"/>
      <c r="R4480" s="30"/>
      <c r="S4480" s="30"/>
      <c r="T4480" s="30"/>
      <c r="U4480" s="21" t="str">
        <f aca="false">IF(COUNT(K4480:T4480)=0,"SOURCE EMPTY / INDUSTRIAL ONLY",IF(MIN(K4480:T4480)=1,"SERVICE READY","HOLD"))</f>
        <v>SOURCE EMPTY / INDUSTRIAL ONLY</v>
      </c>
      <c r="V4480" s="9" t="n">
        <f aca="false">IF(U4480="SERVICE READY",1,0)</f>
        <v>0</v>
      </c>
      <c r="W4480" s="6"/>
      <c r="X4480" s="6"/>
      <c r="Y4480" s="6"/>
      <c r="Z4480" s="6"/>
    </row>
    <row r="4481" customFormat="false" ht="15" hidden="false" customHeight="false" outlineLevel="0" collapsed="false">
      <c r="A4481" s="9" t="s">
        <v>4774</v>
      </c>
      <c r="B4481" s="9" t="s">
        <v>4729</v>
      </c>
      <c r="C4481" s="9" t="s">
        <v>4730</v>
      </c>
      <c r="D4481" s="9" t="s">
        <v>4731</v>
      </c>
      <c r="E4481" s="9" t="s">
        <v>196</v>
      </c>
      <c r="F4481" s="9" t="s">
        <v>200</v>
      </c>
      <c r="G4481" s="9" t="s">
        <v>221</v>
      </c>
      <c r="H4481" s="9" t="n">
        <v>18996</v>
      </c>
      <c r="I4481" s="29" t="n">
        <v>6.866</v>
      </c>
      <c r="J4481" s="9" t="n">
        <v>1</v>
      </c>
      <c r="K4481" s="30"/>
      <c r="L4481" s="30"/>
      <c r="M4481" s="30"/>
      <c r="N4481" s="30"/>
      <c r="O4481" s="30"/>
      <c r="P4481" s="30"/>
      <c r="Q4481" s="30"/>
      <c r="R4481" s="30"/>
      <c r="S4481" s="30"/>
      <c r="T4481" s="30"/>
      <c r="U4481" s="21" t="str">
        <f aca="false">IF(COUNT(K4481:T4481)=0,"SOURCE EMPTY / INDUSTRIAL ONLY",IF(MIN(K4481:T4481)=1,"SERVICE READY","HOLD"))</f>
        <v>SOURCE EMPTY / INDUSTRIAL ONLY</v>
      </c>
      <c r="V4481" s="9" t="n">
        <f aca="false">IF(U4481="SERVICE READY",1,0)</f>
        <v>0</v>
      </c>
      <c r="W4481" s="6"/>
      <c r="X4481" s="6"/>
      <c r="Y4481" s="6"/>
      <c r="Z4481" s="6"/>
    </row>
    <row r="4482" customFormat="false" ht="15" hidden="false" customHeight="false" outlineLevel="0" collapsed="false">
      <c r="A4482" s="9" t="s">
        <v>4775</v>
      </c>
      <c r="B4482" s="9" t="s">
        <v>4729</v>
      </c>
      <c r="C4482" s="9" t="s">
        <v>4730</v>
      </c>
      <c r="D4482" s="9" t="s">
        <v>4731</v>
      </c>
      <c r="E4482" s="9" t="s">
        <v>196</v>
      </c>
      <c r="F4482" s="9" t="s">
        <v>203</v>
      </c>
      <c r="G4482" s="9" t="s">
        <v>221</v>
      </c>
      <c r="H4482" s="9" t="n">
        <v>18996</v>
      </c>
      <c r="I4482" s="29" t="n">
        <v>6.866</v>
      </c>
      <c r="J4482" s="9" t="n">
        <v>1</v>
      </c>
      <c r="K4482" s="30"/>
      <c r="L4482" s="30"/>
      <c r="M4482" s="30"/>
      <c r="N4482" s="30"/>
      <c r="O4482" s="30"/>
      <c r="P4482" s="30"/>
      <c r="Q4482" s="30"/>
      <c r="R4482" s="30"/>
      <c r="S4482" s="30"/>
      <c r="T4482" s="30"/>
      <c r="U4482" s="21" t="str">
        <f aca="false">IF(COUNT(K4482:T4482)=0,"SOURCE EMPTY / INDUSTRIAL ONLY",IF(MIN(K4482:T4482)=1,"SERVICE READY","HOLD"))</f>
        <v>SOURCE EMPTY / INDUSTRIAL ONLY</v>
      </c>
      <c r="V4482" s="9" t="n">
        <f aca="false">IF(U4482="SERVICE READY",1,0)</f>
        <v>0</v>
      </c>
      <c r="W4482" s="6"/>
      <c r="X4482" s="6"/>
      <c r="Y4482" s="6"/>
      <c r="Z4482" s="6"/>
    </row>
    <row r="4483" customFormat="false" ht="15" hidden="false" customHeight="false" outlineLevel="0" collapsed="false">
      <c r="A4483" s="9" t="s">
        <v>4776</v>
      </c>
      <c r="B4483" s="9" t="s">
        <v>4729</v>
      </c>
      <c r="C4483" s="9" t="s">
        <v>4730</v>
      </c>
      <c r="D4483" s="9" t="s">
        <v>4731</v>
      </c>
      <c r="E4483" s="9" t="s">
        <v>196</v>
      </c>
      <c r="F4483" s="9" t="s">
        <v>205</v>
      </c>
      <c r="G4483" s="9" t="s">
        <v>221</v>
      </c>
      <c r="H4483" s="9" t="n">
        <v>18996</v>
      </c>
      <c r="I4483" s="29" t="n">
        <v>6.866</v>
      </c>
      <c r="J4483" s="9" t="n">
        <v>1</v>
      </c>
      <c r="K4483" s="30"/>
      <c r="L4483" s="30"/>
      <c r="M4483" s="30"/>
      <c r="N4483" s="30"/>
      <c r="O4483" s="30"/>
      <c r="P4483" s="30"/>
      <c r="Q4483" s="30"/>
      <c r="R4483" s="30"/>
      <c r="S4483" s="30"/>
      <c r="T4483" s="30"/>
      <c r="U4483" s="21" t="str">
        <f aca="false">IF(COUNT(K4483:T4483)=0,"SOURCE EMPTY / INDUSTRIAL ONLY",IF(MIN(K4483:T4483)=1,"SERVICE READY","HOLD"))</f>
        <v>SOURCE EMPTY / INDUSTRIAL ONLY</v>
      </c>
      <c r="V4483" s="9" t="n">
        <f aca="false">IF(U4483="SERVICE READY",1,0)</f>
        <v>0</v>
      </c>
      <c r="W4483" s="6"/>
      <c r="X4483" s="6"/>
      <c r="Y4483" s="6"/>
      <c r="Z4483" s="6"/>
    </row>
    <row r="4484" customFormat="false" ht="15" hidden="false" customHeight="false" outlineLevel="0" collapsed="false">
      <c r="A4484" s="9" t="s">
        <v>4777</v>
      </c>
      <c r="B4484" s="9" t="s">
        <v>4729</v>
      </c>
      <c r="C4484" s="9" t="s">
        <v>4730</v>
      </c>
      <c r="D4484" s="9" t="s">
        <v>4731</v>
      </c>
      <c r="E4484" s="9" t="s">
        <v>196</v>
      </c>
      <c r="F4484" s="9" t="s">
        <v>207</v>
      </c>
      <c r="G4484" s="9" t="s">
        <v>221</v>
      </c>
      <c r="H4484" s="9" t="n">
        <v>18996</v>
      </c>
      <c r="I4484" s="29" t="n">
        <v>6.866</v>
      </c>
      <c r="J4484" s="9" t="n">
        <v>1</v>
      </c>
      <c r="K4484" s="30"/>
      <c r="L4484" s="30"/>
      <c r="M4484" s="30"/>
      <c r="N4484" s="30"/>
      <c r="O4484" s="30"/>
      <c r="P4484" s="30"/>
      <c r="Q4484" s="30"/>
      <c r="R4484" s="30"/>
      <c r="S4484" s="30"/>
      <c r="T4484" s="30"/>
      <c r="U4484" s="21" t="str">
        <f aca="false">IF(COUNT(K4484:T4484)=0,"SOURCE EMPTY / INDUSTRIAL ONLY",IF(MIN(K4484:T4484)=1,"SERVICE READY","HOLD"))</f>
        <v>SOURCE EMPTY / INDUSTRIAL ONLY</v>
      </c>
      <c r="V4484" s="9" t="n">
        <f aca="false">IF(U4484="SERVICE READY",1,0)</f>
        <v>0</v>
      </c>
      <c r="W4484" s="6"/>
      <c r="X4484" s="6"/>
      <c r="Y4484" s="6"/>
      <c r="Z4484" s="6"/>
    </row>
    <row r="4485" customFormat="false" ht="15" hidden="false" customHeight="false" outlineLevel="0" collapsed="false">
      <c r="A4485" s="9" t="s">
        <v>4778</v>
      </c>
      <c r="B4485" s="9" t="s">
        <v>4729</v>
      </c>
      <c r="C4485" s="9" t="s">
        <v>4730</v>
      </c>
      <c r="D4485" s="9" t="s">
        <v>4731</v>
      </c>
      <c r="E4485" s="9" t="s">
        <v>196</v>
      </c>
      <c r="F4485" s="9" t="s">
        <v>209</v>
      </c>
      <c r="G4485" s="9" t="s">
        <v>221</v>
      </c>
      <c r="H4485" s="9" t="n">
        <v>18996</v>
      </c>
      <c r="I4485" s="29" t="n">
        <v>6.866</v>
      </c>
      <c r="J4485" s="9" t="n">
        <v>1</v>
      </c>
      <c r="K4485" s="30"/>
      <c r="L4485" s="30"/>
      <c r="M4485" s="30"/>
      <c r="N4485" s="30"/>
      <c r="O4485" s="30"/>
      <c r="P4485" s="30"/>
      <c r="Q4485" s="30"/>
      <c r="R4485" s="30"/>
      <c r="S4485" s="30"/>
      <c r="T4485" s="30"/>
      <c r="U4485" s="21" t="str">
        <f aca="false">IF(COUNT(K4485:T4485)=0,"SOURCE EMPTY / INDUSTRIAL ONLY",IF(MIN(K4485:T4485)=1,"SERVICE READY","HOLD"))</f>
        <v>SOURCE EMPTY / INDUSTRIAL ONLY</v>
      </c>
      <c r="V4485" s="9" t="n">
        <f aca="false">IF(U4485="SERVICE READY",1,0)</f>
        <v>0</v>
      </c>
      <c r="W4485" s="6"/>
      <c r="X4485" s="6"/>
      <c r="Y4485" s="6"/>
      <c r="Z4485" s="6"/>
    </row>
    <row r="4486" customFormat="false" ht="15" hidden="false" customHeight="false" outlineLevel="0" collapsed="false">
      <c r="A4486" s="9" t="s">
        <v>4779</v>
      </c>
      <c r="B4486" s="9" t="s">
        <v>4729</v>
      </c>
      <c r="C4486" s="9" t="s">
        <v>4730</v>
      </c>
      <c r="D4486" s="9" t="s">
        <v>4731</v>
      </c>
      <c r="E4486" s="9" t="s">
        <v>196</v>
      </c>
      <c r="F4486" s="9" t="s">
        <v>211</v>
      </c>
      <c r="G4486" s="9" t="s">
        <v>221</v>
      </c>
      <c r="H4486" s="9" t="n">
        <v>18996</v>
      </c>
      <c r="I4486" s="29" t="n">
        <v>6.866</v>
      </c>
      <c r="J4486" s="9" t="n">
        <v>1</v>
      </c>
      <c r="K4486" s="30"/>
      <c r="L4486" s="30"/>
      <c r="M4486" s="30"/>
      <c r="N4486" s="30"/>
      <c r="O4486" s="30"/>
      <c r="P4486" s="30"/>
      <c r="Q4486" s="30"/>
      <c r="R4486" s="30"/>
      <c r="S4486" s="30"/>
      <c r="T4486" s="30"/>
      <c r="U4486" s="21" t="str">
        <f aca="false">IF(COUNT(K4486:T4486)=0,"SOURCE EMPTY / INDUSTRIAL ONLY",IF(MIN(K4486:T4486)=1,"SERVICE READY","HOLD"))</f>
        <v>SOURCE EMPTY / INDUSTRIAL ONLY</v>
      </c>
      <c r="V4486" s="9" t="n">
        <f aca="false">IF(U4486="SERVICE READY",1,0)</f>
        <v>0</v>
      </c>
      <c r="W4486" s="6"/>
      <c r="X4486" s="6"/>
      <c r="Y4486" s="6"/>
      <c r="Z4486" s="6"/>
    </row>
    <row r="4487" customFormat="false" ht="15" hidden="false" customHeight="false" outlineLevel="0" collapsed="false">
      <c r="A4487" s="9" t="s">
        <v>4780</v>
      </c>
      <c r="B4487" s="9" t="s">
        <v>4729</v>
      </c>
      <c r="C4487" s="9" t="s">
        <v>4730</v>
      </c>
      <c r="D4487" s="9" t="s">
        <v>4731</v>
      </c>
      <c r="E4487" s="9" t="s">
        <v>196</v>
      </c>
      <c r="F4487" s="9" t="s">
        <v>197</v>
      </c>
      <c r="G4487" s="9" t="s">
        <v>221</v>
      </c>
      <c r="H4487" s="9" t="n">
        <v>18996</v>
      </c>
      <c r="I4487" s="29" t="n">
        <v>6.866</v>
      </c>
      <c r="J4487" s="9" t="n">
        <v>1</v>
      </c>
      <c r="K4487" s="30"/>
      <c r="L4487" s="30"/>
      <c r="M4487" s="30"/>
      <c r="N4487" s="30"/>
      <c r="O4487" s="30"/>
      <c r="P4487" s="30"/>
      <c r="Q4487" s="30"/>
      <c r="R4487" s="30"/>
      <c r="S4487" s="30"/>
      <c r="T4487" s="30"/>
      <c r="U4487" s="21" t="str">
        <f aca="false">IF(COUNT(K4487:T4487)=0,"SOURCE EMPTY / INDUSTRIAL ONLY",IF(MIN(K4487:T4487)=1,"SERVICE READY","HOLD"))</f>
        <v>SOURCE EMPTY / INDUSTRIAL ONLY</v>
      </c>
      <c r="V4487" s="9" t="n">
        <f aca="false">IF(U4487="SERVICE READY",1,0)</f>
        <v>0</v>
      </c>
      <c r="W4487" s="6"/>
      <c r="X4487" s="6"/>
      <c r="Y4487" s="6"/>
      <c r="Z4487" s="6"/>
    </row>
    <row r="4488" customFormat="false" ht="15" hidden="false" customHeight="false" outlineLevel="0" collapsed="false">
      <c r="A4488" s="9" t="s">
        <v>4781</v>
      </c>
      <c r="B4488" s="9" t="s">
        <v>4729</v>
      </c>
      <c r="C4488" s="9" t="s">
        <v>4730</v>
      </c>
      <c r="D4488" s="9" t="s">
        <v>4731</v>
      </c>
      <c r="E4488" s="9" t="s">
        <v>196</v>
      </c>
      <c r="F4488" s="9" t="s">
        <v>200</v>
      </c>
      <c r="G4488" s="9" t="s">
        <v>221</v>
      </c>
      <c r="H4488" s="9" t="n">
        <v>18996</v>
      </c>
      <c r="I4488" s="29" t="n">
        <v>6.866</v>
      </c>
      <c r="J4488" s="9" t="n">
        <v>1</v>
      </c>
      <c r="K4488" s="30"/>
      <c r="L4488" s="30"/>
      <c r="M4488" s="30"/>
      <c r="N4488" s="30"/>
      <c r="O4488" s="30"/>
      <c r="P4488" s="30"/>
      <c r="Q4488" s="30"/>
      <c r="R4488" s="30"/>
      <c r="S4488" s="30"/>
      <c r="T4488" s="30"/>
      <c r="U4488" s="21" t="str">
        <f aca="false">IF(COUNT(K4488:T4488)=0,"SOURCE EMPTY / INDUSTRIAL ONLY",IF(MIN(K4488:T4488)=1,"SERVICE READY","HOLD"))</f>
        <v>SOURCE EMPTY / INDUSTRIAL ONLY</v>
      </c>
      <c r="V4488" s="9" t="n">
        <f aca="false">IF(U4488="SERVICE READY",1,0)</f>
        <v>0</v>
      </c>
      <c r="W4488" s="6"/>
      <c r="X4488" s="6"/>
      <c r="Y4488" s="6"/>
      <c r="Z4488" s="6"/>
    </row>
    <row r="4489" customFormat="false" ht="15" hidden="false" customHeight="false" outlineLevel="0" collapsed="false">
      <c r="A4489" s="9" t="s">
        <v>4782</v>
      </c>
      <c r="B4489" s="9" t="s">
        <v>4729</v>
      </c>
      <c r="C4489" s="9" t="s">
        <v>4730</v>
      </c>
      <c r="D4489" s="9" t="s">
        <v>4731</v>
      </c>
      <c r="E4489" s="9" t="s">
        <v>196</v>
      </c>
      <c r="F4489" s="9" t="s">
        <v>203</v>
      </c>
      <c r="G4489" s="9" t="s">
        <v>221</v>
      </c>
      <c r="H4489" s="9" t="n">
        <v>18996</v>
      </c>
      <c r="I4489" s="29" t="n">
        <v>6.866</v>
      </c>
      <c r="J4489" s="9" t="n">
        <v>1</v>
      </c>
      <c r="K4489" s="30"/>
      <c r="L4489" s="30"/>
      <c r="M4489" s="30"/>
      <c r="N4489" s="30"/>
      <c r="O4489" s="30"/>
      <c r="P4489" s="30"/>
      <c r="Q4489" s="30"/>
      <c r="R4489" s="30"/>
      <c r="S4489" s="30"/>
      <c r="T4489" s="30"/>
      <c r="U4489" s="21" t="str">
        <f aca="false">IF(COUNT(K4489:T4489)=0,"SOURCE EMPTY / INDUSTRIAL ONLY",IF(MIN(K4489:T4489)=1,"SERVICE READY","HOLD"))</f>
        <v>SOURCE EMPTY / INDUSTRIAL ONLY</v>
      </c>
      <c r="V4489" s="9" t="n">
        <f aca="false">IF(U4489="SERVICE READY",1,0)</f>
        <v>0</v>
      </c>
      <c r="W4489" s="6"/>
      <c r="X4489" s="6"/>
      <c r="Y4489" s="6"/>
      <c r="Z4489" s="6"/>
    </row>
    <row r="4490" customFormat="false" ht="15" hidden="false" customHeight="false" outlineLevel="0" collapsed="false">
      <c r="A4490" s="9" t="s">
        <v>4783</v>
      </c>
      <c r="B4490" s="9" t="s">
        <v>4729</v>
      </c>
      <c r="C4490" s="9" t="s">
        <v>4730</v>
      </c>
      <c r="D4490" s="9" t="s">
        <v>4731</v>
      </c>
      <c r="E4490" s="9" t="s">
        <v>196</v>
      </c>
      <c r="F4490" s="9" t="s">
        <v>205</v>
      </c>
      <c r="G4490" s="9" t="s">
        <v>221</v>
      </c>
      <c r="H4490" s="9" t="n">
        <v>18996</v>
      </c>
      <c r="I4490" s="29" t="n">
        <v>6.866</v>
      </c>
      <c r="J4490" s="9" t="n">
        <v>1</v>
      </c>
      <c r="K4490" s="30"/>
      <c r="L4490" s="30"/>
      <c r="M4490" s="30"/>
      <c r="N4490" s="30"/>
      <c r="O4490" s="30"/>
      <c r="P4490" s="30"/>
      <c r="Q4490" s="30"/>
      <c r="R4490" s="30"/>
      <c r="S4490" s="30"/>
      <c r="T4490" s="30"/>
      <c r="U4490" s="21" t="str">
        <f aca="false">IF(COUNT(K4490:T4490)=0,"SOURCE EMPTY / INDUSTRIAL ONLY",IF(MIN(K4490:T4490)=1,"SERVICE READY","HOLD"))</f>
        <v>SOURCE EMPTY / INDUSTRIAL ONLY</v>
      </c>
      <c r="V4490" s="9" t="n">
        <f aca="false">IF(U4490="SERVICE READY",1,0)</f>
        <v>0</v>
      </c>
      <c r="W4490" s="6"/>
      <c r="X4490" s="6"/>
      <c r="Y4490" s="6"/>
      <c r="Z4490" s="6"/>
    </row>
    <row r="4491" customFormat="false" ht="15" hidden="false" customHeight="false" outlineLevel="0" collapsed="false">
      <c r="A4491" s="9" t="s">
        <v>4784</v>
      </c>
      <c r="B4491" s="9" t="s">
        <v>4729</v>
      </c>
      <c r="C4491" s="9" t="s">
        <v>4730</v>
      </c>
      <c r="D4491" s="9" t="s">
        <v>4731</v>
      </c>
      <c r="E4491" s="9" t="s">
        <v>196</v>
      </c>
      <c r="F4491" s="9" t="s">
        <v>207</v>
      </c>
      <c r="G4491" s="9" t="s">
        <v>221</v>
      </c>
      <c r="H4491" s="9" t="n">
        <v>18996</v>
      </c>
      <c r="I4491" s="29" t="n">
        <v>6.866</v>
      </c>
      <c r="J4491" s="9" t="n">
        <v>1</v>
      </c>
      <c r="K4491" s="30"/>
      <c r="L4491" s="30"/>
      <c r="M4491" s="30"/>
      <c r="N4491" s="30"/>
      <c r="O4491" s="30"/>
      <c r="P4491" s="30"/>
      <c r="Q4491" s="30"/>
      <c r="R4491" s="30"/>
      <c r="S4491" s="30"/>
      <c r="T4491" s="30"/>
      <c r="U4491" s="21" t="str">
        <f aca="false">IF(COUNT(K4491:T4491)=0,"SOURCE EMPTY / INDUSTRIAL ONLY",IF(MIN(K4491:T4491)=1,"SERVICE READY","HOLD"))</f>
        <v>SOURCE EMPTY / INDUSTRIAL ONLY</v>
      </c>
      <c r="V4491" s="9" t="n">
        <f aca="false">IF(U4491="SERVICE READY",1,0)</f>
        <v>0</v>
      </c>
      <c r="W4491" s="6"/>
      <c r="X4491" s="6"/>
      <c r="Y4491" s="6"/>
      <c r="Z4491" s="6"/>
    </row>
    <row r="4492" customFormat="false" ht="15" hidden="false" customHeight="false" outlineLevel="0" collapsed="false">
      <c r="A4492" s="9" t="s">
        <v>4785</v>
      </c>
      <c r="B4492" s="9" t="s">
        <v>4729</v>
      </c>
      <c r="C4492" s="9" t="s">
        <v>4730</v>
      </c>
      <c r="D4492" s="9" t="s">
        <v>4731</v>
      </c>
      <c r="E4492" s="9" t="s">
        <v>196</v>
      </c>
      <c r="F4492" s="9" t="s">
        <v>209</v>
      </c>
      <c r="G4492" s="9" t="s">
        <v>221</v>
      </c>
      <c r="H4492" s="9" t="n">
        <v>18996</v>
      </c>
      <c r="I4492" s="29" t="n">
        <v>6.866</v>
      </c>
      <c r="J4492" s="9" t="n">
        <v>1</v>
      </c>
      <c r="K4492" s="30"/>
      <c r="L4492" s="30"/>
      <c r="M4492" s="30"/>
      <c r="N4492" s="30"/>
      <c r="O4492" s="30"/>
      <c r="P4492" s="30"/>
      <c r="Q4492" s="30"/>
      <c r="R4492" s="30"/>
      <c r="S4492" s="30"/>
      <c r="T4492" s="30"/>
      <c r="U4492" s="21" t="str">
        <f aca="false">IF(COUNT(K4492:T4492)=0,"SOURCE EMPTY / INDUSTRIAL ONLY",IF(MIN(K4492:T4492)=1,"SERVICE READY","HOLD"))</f>
        <v>SOURCE EMPTY / INDUSTRIAL ONLY</v>
      </c>
      <c r="V4492" s="9" t="n">
        <f aca="false">IF(U4492="SERVICE READY",1,0)</f>
        <v>0</v>
      </c>
      <c r="W4492" s="6"/>
      <c r="X4492" s="6"/>
      <c r="Y4492" s="6"/>
      <c r="Z4492" s="6"/>
    </row>
    <row r="4493" customFormat="false" ht="15" hidden="false" customHeight="false" outlineLevel="0" collapsed="false">
      <c r="A4493" s="9" t="s">
        <v>4786</v>
      </c>
      <c r="B4493" s="9" t="s">
        <v>4729</v>
      </c>
      <c r="C4493" s="9" t="s">
        <v>4730</v>
      </c>
      <c r="D4493" s="9" t="s">
        <v>4731</v>
      </c>
      <c r="E4493" s="9" t="s">
        <v>196</v>
      </c>
      <c r="F4493" s="9" t="s">
        <v>211</v>
      </c>
      <c r="G4493" s="9" t="s">
        <v>221</v>
      </c>
      <c r="H4493" s="9" t="n">
        <v>18996</v>
      </c>
      <c r="I4493" s="29" t="n">
        <v>6.866</v>
      </c>
      <c r="J4493" s="9" t="n">
        <v>1</v>
      </c>
      <c r="K4493" s="30"/>
      <c r="L4493" s="30"/>
      <c r="M4493" s="30"/>
      <c r="N4493" s="30"/>
      <c r="O4493" s="30"/>
      <c r="P4493" s="30"/>
      <c r="Q4493" s="30"/>
      <c r="R4493" s="30"/>
      <c r="S4493" s="30"/>
      <c r="T4493" s="30"/>
      <c r="U4493" s="21" t="str">
        <f aca="false">IF(COUNT(K4493:T4493)=0,"SOURCE EMPTY / INDUSTRIAL ONLY",IF(MIN(K4493:T4493)=1,"SERVICE READY","HOLD"))</f>
        <v>SOURCE EMPTY / INDUSTRIAL ONLY</v>
      </c>
      <c r="V4493" s="9" t="n">
        <f aca="false">IF(U4493="SERVICE READY",1,0)</f>
        <v>0</v>
      </c>
      <c r="W4493" s="6"/>
      <c r="X4493" s="6"/>
      <c r="Y4493" s="6"/>
      <c r="Z4493" s="6"/>
    </row>
    <row r="4494" customFormat="false" ht="15" hidden="false" customHeight="false" outlineLevel="0" collapsed="false">
      <c r="A4494" s="9" t="s">
        <v>4787</v>
      </c>
      <c r="B4494" s="9" t="s">
        <v>4729</v>
      </c>
      <c r="C4494" s="9" t="s">
        <v>4730</v>
      </c>
      <c r="D4494" s="9" t="s">
        <v>4731</v>
      </c>
      <c r="E4494" s="9" t="s">
        <v>196</v>
      </c>
      <c r="F4494" s="9" t="s">
        <v>197</v>
      </c>
      <c r="G4494" s="9" t="s">
        <v>221</v>
      </c>
      <c r="H4494" s="9" t="n">
        <v>18996</v>
      </c>
      <c r="I4494" s="29" t="n">
        <v>6.866</v>
      </c>
      <c r="J4494" s="9" t="n">
        <v>1</v>
      </c>
      <c r="K4494" s="30"/>
      <c r="L4494" s="30"/>
      <c r="M4494" s="30"/>
      <c r="N4494" s="30"/>
      <c r="O4494" s="30"/>
      <c r="P4494" s="30"/>
      <c r="Q4494" s="30"/>
      <c r="R4494" s="30"/>
      <c r="S4494" s="30"/>
      <c r="T4494" s="30"/>
      <c r="U4494" s="21" t="str">
        <f aca="false">IF(COUNT(K4494:T4494)=0,"SOURCE EMPTY / INDUSTRIAL ONLY",IF(MIN(K4494:T4494)=1,"SERVICE READY","HOLD"))</f>
        <v>SOURCE EMPTY / INDUSTRIAL ONLY</v>
      </c>
      <c r="V4494" s="9" t="n">
        <f aca="false">IF(U4494="SERVICE READY",1,0)</f>
        <v>0</v>
      </c>
      <c r="W4494" s="6"/>
      <c r="X4494" s="6"/>
      <c r="Y4494" s="6"/>
      <c r="Z4494" s="6"/>
    </row>
    <row r="4495" customFormat="false" ht="15" hidden="false" customHeight="false" outlineLevel="0" collapsed="false">
      <c r="A4495" s="9" t="s">
        <v>4788</v>
      </c>
      <c r="B4495" s="9" t="s">
        <v>4729</v>
      </c>
      <c r="C4495" s="9" t="s">
        <v>4730</v>
      </c>
      <c r="D4495" s="9" t="s">
        <v>4731</v>
      </c>
      <c r="E4495" s="9" t="s">
        <v>196</v>
      </c>
      <c r="F4495" s="9" t="s">
        <v>200</v>
      </c>
      <c r="G4495" s="9" t="s">
        <v>221</v>
      </c>
      <c r="H4495" s="9" t="n">
        <v>18996</v>
      </c>
      <c r="I4495" s="29" t="n">
        <v>6.866</v>
      </c>
      <c r="J4495" s="9" t="n">
        <v>1</v>
      </c>
      <c r="K4495" s="30"/>
      <c r="L4495" s="30"/>
      <c r="M4495" s="30"/>
      <c r="N4495" s="30"/>
      <c r="O4495" s="30"/>
      <c r="P4495" s="30"/>
      <c r="Q4495" s="30"/>
      <c r="R4495" s="30"/>
      <c r="S4495" s="30"/>
      <c r="T4495" s="30"/>
      <c r="U4495" s="21" t="str">
        <f aca="false">IF(COUNT(K4495:T4495)=0,"SOURCE EMPTY / INDUSTRIAL ONLY",IF(MIN(K4495:T4495)=1,"SERVICE READY","HOLD"))</f>
        <v>SOURCE EMPTY / INDUSTRIAL ONLY</v>
      </c>
      <c r="V4495" s="9" t="n">
        <f aca="false">IF(U4495="SERVICE READY",1,0)</f>
        <v>0</v>
      </c>
      <c r="W4495" s="6"/>
      <c r="X4495" s="6"/>
      <c r="Y4495" s="6"/>
      <c r="Z4495" s="6"/>
    </row>
    <row r="4496" customFormat="false" ht="15" hidden="false" customHeight="false" outlineLevel="0" collapsed="false">
      <c r="A4496" s="9" t="s">
        <v>4789</v>
      </c>
      <c r="B4496" s="9" t="s">
        <v>4729</v>
      </c>
      <c r="C4496" s="9" t="s">
        <v>4730</v>
      </c>
      <c r="D4496" s="9" t="s">
        <v>4731</v>
      </c>
      <c r="E4496" s="9" t="s">
        <v>196</v>
      </c>
      <c r="F4496" s="9" t="s">
        <v>203</v>
      </c>
      <c r="G4496" s="9" t="s">
        <v>221</v>
      </c>
      <c r="H4496" s="9" t="n">
        <v>18996</v>
      </c>
      <c r="I4496" s="29" t="n">
        <v>6.866</v>
      </c>
      <c r="J4496" s="9" t="n">
        <v>1</v>
      </c>
      <c r="K4496" s="30"/>
      <c r="L4496" s="30"/>
      <c r="M4496" s="30"/>
      <c r="N4496" s="30"/>
      <c r="O4496" s="30"/>
      <c r="P4496" s="30"/>
      <c r="Q4496" s="30"/>
      <c r="R4496" s="30"/>
      <c r="S4496" s="30"/>
      <c r="T4496" s="30"/>
      <c r="U4496" s="21" t="str">
        <f aca="false">IF(COUNT(K4496:T4496)=0,"SOURCE EMPTY / INDUSTRIAL ONLY",IF(MIN(K4496:T4496)=1,"SERVICE READY","HOLD"))</f>
        <v>SOURCE EMPTY / INDUSTRIAL ONLY</v>
      </c>
      <c r="V4496" s="9" t="n">
        <f aca="false">IF(U4496="SERVICE READY",1,0)</f>
        <v>0</v>
      </c>
      <c r="W4496" s="6"/>
      <c r="X4496" s="6"/>
      <c r="Y4496" s="6"/>
      <c r="Z4496" s="6"/>
    </row>
    <row r="4497" customFormat="false" ht="15" hidden="false" customHeight="false" outlineLevel="0" collapsed="false">
      <c r="A4497" s="9" t="s">
        <v>4790</v>
      </c>
      <c r="B4497" s="9" t="s">
        <v>4729</v>
      </c>
      <c r="C4497" s="9" t="s">
        <v>4730</v>
      </c>
      <c r="D4497" s="9" t="s">
        <v>4731</v>
      </c>
      <c r="E4497" s="9" t="s">
        <v>196</v>
      </c>
      <c r="F4497" s="9" t="s">
        <v>205</v>
      </c>
      <c r="G4497" s="9" t="s">
        <v>221</v>
      </c>
      <c r="H4497" s="9" t="n">
        <v>18996</v>
      </c>
      <c r="I4497" s="29" t="n">
        <v>6.866</v>
      </c>
      <c r="J4497" s="9" t="n">
        <v>1</v>
      </c>
      <c r="K4497" s="30"/>
      <c r="L4497" s="30"/>
      <c r="M4497" s="30"/>
      <c r="N4497" s="30"/>
      <c r="O4497" s="30"/>
      <c r="P4497" s="30"/>
      <c r="Q4497" s="30"/>
      <c r="R4497" s="30"/>
      <c r="S4497" s="30"/>
      <c r="T4497" s="30"/>
      <c r="U4497" s="21" t="str">
        <f aca="false">IF(COUNT(K4497:T4497)=0,"SOURCE EMPTY / INDUSTRIAL ONLY",IF(MIN(K4497:T4497)=1,"SERVICE READY","HOLD"))</f>
        <v>SOURCE EMPTY / INDUSTRIAL ONLY</v>
      </c>
      <c r="V4497" s="9" t="n">
        <f aca="false">IF(U4497="SERVICE READY",1,0)</f>
        <v>0</v>
      </c>
      <c r="W4497" s="6"/>
      <c r="X4497" s="6"/>
      <c r="Y4497" s="6"/>
      <c r="Z4497" s="6"/>
    </row>
    <row r="4498" customFormat="false" ht="15" hidden="false" customHeight="false" outlineLevel="0" collapsed="false">
      <c r="A4498" s="9" t="s">
        <v>4791</v>
      </c>
      <c r="B4498" s="9" t="s">
        <v>4729</v>
      </c>
      <c r="C4498" s="9" t="s">
        <v>4730</v>
      </c>
      <c r="D4498" s="9" t="s">
        <v>4731</v>
      </c>
      <c r="E4498" s="9" t="s">
        <v>196</v>
      </c>
      <c r="F4498" s="9" t="s">
        <v>207</v>
      </c>
      <c r="G4498" s="9" t="s">
        <v>221</v>
      </c>
      <c r="H4498" s="9" t="n">
        <v>18996</v>
      </c>
      <c r="I4498" s="29" t="n">
        <v>6.866</v>
      </c>
      <c r="J4498" s="9" t="n">
        <v>1</v>
      </c>
      <c r="K4498" s="30"/>
      <c r="L4498" s="30"/>
      <c r="M4498" s="30"/>
      <c r="N4498" s="30"/>
      <c r="O4498" s="30"/>
      <c r="P4498" s="30"/>
      <c r="Q4498" s="30"/>
      <c r="R4498" s="30"/>
      <c r="S4498" s="30"/>
      <c r="T4498" s="30"/>
      <c r="U4498" s="21" t="str">
        <f aca="false">IF(COUNT(K4498:T4498)=0,"SOURCE EMPTY / INDUSTRIAL ONLY",IF(MIN(K4498:T4498)=1,"SERVICE READY","HOLD"))</f>
        <v>SOURCE EMPTY / INDUSTRIAL ONLY</v>
      </c>
      <c r="V4498" s="9" t="n">
        <f aca="false">IF(U4498="SERVICE READY",1,0)</f>
        <v>0</v>
      </c>
      <c r="W4498" s="6"/>
      <c r="X4498" s="6"/>
      <c r="Y4498" s="6"/>
      <c r="Z4498" s="6"/>
    </row>
    <row r="4499" customFormat="false" ht="15" hidden="false" customHeight="false" outlineLevel="0" collapsed="false">
      <c r="A4499" s="9" t="s">
        <v>4792</v>
      </c>
      <c r="B4499" s="9" t="s">
        <v>4729</v>
      </c>
      <c r="C4499" s="9" t="s">
        <v>4730</v>
      </c>
      <c r="D4499" s="9" t="s">
        <v>4731</v>
      </c>
      <c r="E4499" s="9" t="s">
        <v>196</v>
      </c>
      <c r="F4499" s="9" t="s">
        <v>209</v>
      </c>
      <c r="G4499" s="9" t="s">
        <v>221</v>
      </c>
      <c r="H4499" s="9" t="n">
        <v>18996</v>
      </c>
      <c r="I4499" s="29" t="n">
        <v>6.866</v>
      </c>
      <c r="J4499" s="9" t="n">
        <v>1</v>
      </c>
      <c r="K4499" s="30"/>
      <c r="L4499" s="30"/>
      <c r="M4499" s="30"/>
      <c r="N4499" s="30"/>
      <c r="O4499" s="30"/>
      <c r="P4499" s="30"/>
      <c r="Q4499" s="30"/>
      <c r="R4499" s="30"/>
      <c r="S4499" s="30"/>
      <c r="T4499" s="30"/>
      <c r="U4499" s="21" t="str">
        <f aca="false">IF(COUNT(K4499:T4499)=0,"SOURCE EMPTY / INDUSTRIAL ONLY",IF(MIN(K4499:T4499)=1,"SERVICE READY","HOLD"))</f>
        <v>SOURCE EMPTY / INDUSTRIAL ONLY</v>
      </c>
      <c r="V4499" s="9" t="n">
        <f aca="false">IF(U4499="SERVICE READY",1,0)</f>
        <v>0</v>
      </c>
      <c r="W4499" s="6"/>
      <c r="X4499" s="6"/>
      <c r="Y4499" s="6"/>
      <c r="Z4499" s="6"/>
    </row>
    <row r="4500" customFormat="false" ht="15" hidden="false" customHeight="false" outlineLevel="0" collapsed="false">
      <c r="A4500" s="9" t="s">
        <v>4793</v>
      </c>
      <c r="B4500" s="9" t="s">
        <v>4729</v>
      </c>
      <c r="C4500" s="9" t="s">
        <v>4730</v>
      </c>
      <c r="D4500" s="9" t="s">
        <v>4731</v>
      </c>
      <c r="E4500" s="9" t="s">
        <v>196</v>
      </c>
      <c r="F4500" s="9" t="s">
        <v>211</v>
      </c>
      <c r="G4500" s="9" t="s">
        <v>221</v>
      </c>
      <c r="H4500" s="9" t="n">
        <v>18996</v>
      </c>
      <c r="I4500" s="29" t="n">
        <v>6.866</v>
      </c>
      <c r="J4500" s="9" t="n">
        <v>1</v>
      </c>
      <c r="K4500" s="30"/>
      <c r="L4500" s="30"/>
      <c r="M4500" s="30"/>
      <c r="N4500" s="30"/>
      <c r="O4500" s="30"/>
      <c r="P4500" s="30"/>
      <c r="Q4500" s="30"/>
      <c r="R4500" s="30"/>
      <c r="S4500" s="30"/>
      <c r="T4500" s="30"/>
      <c r="U4500" s="21" t="str">
        <f aca="false">IF(COUNT(K4500:T4500)=0,"SOURCE EMPTY / INDUSTRIAL ONLY",IF(MIN(K4500:T4500)=1,"SERVICE READY","HOLD"))</f>
        <v>SOURCE EMPTY / INDUSTRIAL ONLY</v>
      </c>
      <c r="V4500" s="9" t="n">
        <f aca="false">IF(U4500="SERVICE READY",1,0)</f>
        <v>0</v>
      </c>
      <c r="W4500" s="6"/>
      <c r="X4500" s="6"/>
      <c r="Y4500" s="6"/>
      <c r="Z4500" s="6"/>
    </row>
    <row r="4501" customFormat="false" ht="15" hidden="false" customHeight="false" outlineLevel="0" collapsed="false">
      <c r="A4501" s="9" t="s">
        <v>4794</v>
      </c>
      <c r="B4501" s="9" t="s">
        <v>4729</v>
      </c>
      <c r="C4501" s="9" t="s">
        <v>4730</v>
      </c>
      <c r="D4501" s="9" t="s">
        <v>4731</v>
      </c>
      <c r="E4501" s="9" t="s">
        <v>196</v>
      </c>
      <c r="F4501" s="9" t="s">
        <v>197</v>
      </c>
      <c r="G4501" s="9" t="s">
        <v>221</v>
      </c>
      <c r="H4501" s="9" t="n">
        <v>18996</v>
      </c>
      <c r="I4501" s="29" t="n">
        <v>6.866</v>
      </c>
      <c r="J4501" s="9" t="n">
        <v>1</v>
      </c>
      <c r="K4501" s="30"/>
      <c r="L4501" s="30"/>
      <c r="M4501" s="30"/>
      <c r="N4501" s="30"/>
      <c r="O4501" s="30"/>
      <c r="P4501" s="30"/>
      <c r="Q4501" s="30"/>
      <c r="R4501" s="30"/>
      <c r="S4501" s="30"/>
      <c r="T4501" s="30"/>
      <c r="U4501" s="21" t="str">
        <f aca="false">IF(COUNT(K4501:T4501)=0,"SOURCE EMPTY / INDUSTRIAL ONLY",IF(MIN(K4501:T4501)=1,"SERVICE READY","HOLD"))</f>
        <v>SOURCE EMPTY / INDUSTRIAL ONLY</v>
      </c>
      <c r="V4501" s="9" t="n">
        <f aca="false">IF(U4501="SERVICE READY",1,0)</f>
        <v>0</v>
      </c>
      <c r="W4501" s="6"/>
      <c r="X4501" s="6"/>
      <c r="Y4501" s="6"/>
      <c r="Z4501" s="6"/>
    </row>
    <row r="4502" customFormat="false" ht="15" hidden="false" customHeight="false" outlineLevel="0" collapsed="false">
      <c r="A4502" s="9" t="s">
        <v>4795</v>
      </c>
      <c r="B4502" s="9" t="s">
        <v>4729</v>
      </c>
      <c r="C4502" s="9" t="s">
        <v>4730</v>
      </c>
      <c r="D4502" s="9" t="s">
        <v>4731</v>
      </c>
      <c r="E4502" s="9" t="s">
        <v>196</v>
      </c>
      <c r="F4502" s="9" t="s">
        <v>200</v>
      </c>
      <c r="G4502" s="9" t="s">
        <v>221</v>
      </c>
      <c r="H4502" s="9" t="n">
        <v>18996</v>
      </c>
      <c r="I4502" s="29" t="n">
        <v>6.866</v>
      </c>
      <c r="J4502" s="9" t="n">
        <v>1</v>
      </c>
      <c r="K4502" s="30"/>
      <c r="L4502" s="30"/>
      <c r="M4502" s="30"/>
      <c r="N4502" s="30"/>
      <c r="O4502" s="30"/>
      <c r="P4502" s="30"/>
      <c r="Q4502" s="30"/>
      <c r="R4502" s="30"/>
      <c r="S4502" s="30"/>
      <c r="T4502" s="30"/>
      <c r="U4502" s="21" t="str">
        <f aca="false">IF(COUNT(K4502:T4502)=0,"SOURCE EMPTY / INDUSTRIAL ONLY",IF(MIN(K4502:T4502)=1,"SERVICE READY","HOLD"))</f>
        <v>SOURCE EMPTY / INDUSTRIAL ONLY</v>
      </c>
      <c r="V4502" s="9" t="n">
        <f aca="false">IF(U4502="SERVICE READY",1,0)</f>
        <v>0</v>
      </c>
      <c r="W4502" s="6"/>
      <c r="X4502" s="6"/>
      <c r="Y4502" s="6"/>
      <c r="Z4502" s="6"/>
    </row>
    <row r="4503" customFormat="false" ht="15" hidden="false" customHeight="false" outlineLevel="0" collapsed="false">
      <c r="A4503" s="9" t="s">
        <v>4796</v>
      </c>
      <c r="B4503" s="9" t="s">
        <v>4729</v>
      </c>
      <c r="C4503" s="9" t="s">
        <v>4730</v>
      </c>
      <c r="D4503" s="9" t="s">
        <v>4731</v>
      </c>
      <c r="E4503" s="9" t="s">
        <v>196</v>
      </c>
      <c r="F4503" s="9" t="s">
        <v>203</v>
      </c>
      <c r="G4503" s="9" t="s">
        <v>221</v>
      </c>
      <c r="H4503" s="9" t="n">
        <v>18996</v>
      </c>
      <c r="I4503" s="29" t="n">
        <v>6.866</v>
      </c>
      <c r="J4503" s="9" t="n">
        <v>1</v>
      </c>
      <c r="K4503" s="30"/>
      <c r="L4503" s="30"/>
      <c r="M4503" s="30"/>
      <c r="N4503" s="30"/>
      <c r="O4503" s="30"/>
      <c r="P4503" s="30"/>
      <c r="Q4503" s="30"/>
      <c r="R4503" s="30"/>
      <c r="S4503" s="30"/>
      <c r="T4503" s="30"/>
      <c r="U4503" s="21" t="str">
        <f aca="false">IF(COUNT(K4503:T4503)=0,"SOURCE EMPTY / INDUSTRIAL ONLY",IF(MIN(K4503:T4503)=1,"SERVICE READY","HOLD"))</f>
        <v>SOURCE EMPTY / INDUSTRIAL ONLY</v>
      </c>
      <c r="V4503" s="9" t="n">
        <f aca="false">IF(U4503="SERVICE READY",1,0)</f>
        <v>0</v>
      </c>
      <c r="W4503" s="6"/>
      <c r="X4503" s="6"/>
      <c r="Y4503" s="6"/>
      <c r="Z4503" s="6"/>
    </row>
    <row r="4504" customFormat="false" ht="15" hidden="false" customHeight="false" outlineLevel="0" collapsed="false">
      <c r="A4504" s="9" t="s">
        <v>4797</v>
      </c>
      <c r="B4504" s="9" t="s">
        <v>4729</v>
      </c>
      <c r="C4504" s="9" t="s">
        <v>4730</v>
      </c>
      <c r="D4504" s="9" t="s">
        <v>4731</v>
      </c>
      <c r="E4504" s="9" t="s">
        <v>196</v>
      </c>
      <c r="F4504" s="9" t="s">
        <v>205</v>
      </c>
      <c r="G4504" s="9" t="s">
        <v>221</v>
      </c>
      <c r="H4504" s="9" t="n">
        <v>18996</v>
      </c>
      <c r="I4504" s="29" t="n">
        <v>6.866</v>
      </c>
      <c r="J4504" s="9" t="n">
        <v>1</v>
      </c>
      <c r="K4504" s="30"/>
      <c r="L4504" s="30"/>
      <c r="M4504" s="30"/>
      <c r="N4504" s="30"/>
      <c r="O4504" s="30"/>
      <c r="P4504" s="30"/>
      <c r="Q4504" s="30"/>
      <c r="R4504" s="30"/>
      <c r="S4504" s="30"/>
      <c r="T4504" s="30"/>
      <c r="U4504" s="21" t="str">
        <f aca="false">IF(COUNT(K4504:T4504)=0,"SOURCE EMPTY / INDUSTRIAL ONLY",IF(MIN(K4504:T4504)=1,"SERVICE READY","HOLD"))</f>
        <v>SOURCE EMPTY / INDUSTRIAL ONLY</v>
      </c>
      <c r="V4504" s="9" t="n">
        <f aca="false">IF(U4504="SERVICE READY",1,0)</f>
        <v>0</v>
      </c>
      <c r="W4504" s="6"/>
      <c r="X4504" s="6"/>
      <c r="Y4504" s="6"/>
      <c r="Z4504" s="6"/>
    </row>
    <row r="4505" customFormat="false" ht="15" hidden="false" customHeight="false" outlineLevel="0" collapsed="false">
      <c r="A4505" s="9" t="s">
        <v>4798</v>
      </c>
      <c r="B4505" s="9" t="s">
        <v>4729</v>
      </c>
      <c r="C4505" s="9" t="s">
        <v>4730</v>
      </c>
      <c r="D4505" s="9" t="s">
        <v>4731</v>
      </c>
      <c r="E4505" s="9" t="s">
        <v>196</v>
      </c>
      <c r="F4505" s="9" t="s">
        <v>207</v>
      </c>
      <c r="G4505" s="9" t="s">
        <v>221</v>
      </c>
      <c r="H4505" s="9" t="n">
        <v>18996</v>
      </c>
      <c r="I4505" s="29" t="n">
        <v>6.866</v>
      </c>
      <c r="J4505" s="9" t="n">
        <v>1</v>
      </c>
      <c r="K4505" s="30"/>
      <c r="L4505" s="30"/>
      <c r="M4505" s="30"/>
      <c r="N4505" s="30"/>
      <c r="O4505" s="30"/>
      <c r="P4505" s="30"/>
      <c r="Q4505" s="30"/>
      <c r="R4505" s="30"/>
      <c r="S4505" s="30"/>
      <c r="T4505" s="30"/>
      <c r="U4505" s="21" t="str">
        <f aca="false">IF(COUNT(K4505:T4505)=0,"SOURCE EMPTY / INDUSTRIAL ONLY",IF(MIN(K4505:T4505)=1,"SERVICE READY","HOLD"))</f>
        <v>SOURCE EMPTY / INDUSTRIAL ONLY</v>
      </c>
      <c r="V4505" s="9" t="n">
        <f aca="false">IF(U4505="SERVICE READY",1,0)</f>
        <v>0</v>
      </c>
      <c r="W4505" s="6"/>
      <c r="X4505" s="6"/>
      <c r="Y4505" s="6"/>
      <c r="Z4505" s="6"/>
    </row>
    <row r="4506" customFormat="false" ht="15" hidden="false" customHeight="false" outlineLevel="0" collapsed="false">
      <c r="A4506" s="9" t="s">
        <v>4799</v>
      </c>
      <c r="B4506" s="9" t="s">
        <v>4729</v>
      </c>
      <c r="C4506" s="9" t="s">
        <v>4730</v>
      </c>
      <c r="D4506" s="9" t="s">
        <v>4731</v>
      </c>
      <c r="E4506" s="9" t="s">
        <v>196</v>
      </c>
      <c r="F4506" s="9" t="s">
        <v>209</v>
      </c>
      <c r="G4506" s="9" t="s">
        <v>221</v>
      </c>
      <c r="H4506" s="9" t="n">
        <v>18996</v>
      </c>
      <c r="I4506" s="29" t="n">
        <v>6.866</v>
      </c>
      <c r="J4506" s="9" t="n">
        <v>1</v>
      </c>
      <c r="K4506" s="30"/>
      <c r="L4506" s="30"/>
      <c r="M4506" s="30"/>
      <c r="N4506" s="30"/>
      <c r="O4506" s="30"/>
      <c r="P4506" s="30"/>
      <c r="Q4506" s="30"/>
      <c r="R4506" s="30"/>
      <c r="S4506" s="30"/>
      <c r="T4506" s="30"/>
      <c r="U4506" s="21" t="str">
        <f aca="false">IF(COUNT(K4506:T4506)=0,"SOURCE EMPTY / INDUSTRIAL ONLY",IF(MIN(K4506:T4506)=1,"SERVICE READY","HOLD"))</f>
        <v>SOURCE EMPTY / INDUSTRIAL ONLY</v>
      </c>
      <c r="V4506" s="9" t="n">
        <f aca="false">IF(U4506="SERVICE READY",1,0)</f>
        <v>0</v>
      </c>
      <c r="W4506" s="6"/>
      <c r="X4506" s="6"/>
      <c r="Y4506" s="6"/>
      <c r="Z4506" s="6"/>
    </row>
    <row r="4507" customFormat="false" ht="15" hidden="false" customHeight="false" outlineLevel="0" collapsed="false">
      <c r="A4507" s="9" t="s">
        <v>4800</v>
      </c>
      <c r="B4507" s="9" t="s">
        <v>4729</v>
      </c>
      <c r="C4507" s="9" t="s">
        <v>4730</v>
      </c>
      <c r="D4507" s="9" t="s">
        <v>4731</v>
      </c>
      <c r="E4507" s="9" t="s">
        <v>196</v>
      </c>
      <c r="F4507" s="9" t="s">
        <v>211</v>
      </c>
      <c r="G4507" s="9" t="s">
        <v>221</v>
      </c>
      <c r="H4507" s="9" t="n">
        <v>18996</v>
      </c>
      <c r="I4507" s="29" t="n">
        <v>6.866</v>
      </c>
      <c r="J4507" s="9" t="n">
        <v>1</v>
      </c>
      <c r="K4507" s="30"/>
      <c r="L4507" s="30"/>
      <c r="M4507" s="30"/>
      <c r="N4507" s="30"/>
      <c r="O4507" s="30"/>
      <c r="P4507" s="30"/>
      <c r="Q4507" s="30"/>
      <c r="R4507" s="30"/>
      <c r="S4507" s="30"/>
      <c r="T4507" s="30"/>
      <c r="U4507" s="21" t="str">
        <f aca="false">IF(COUNT(K4507:T4507)=0,"SOURCE EMPTY / INDUSTRIAL ONLY",IF(MIN(K4507:T4507)=1,"SERVICE READY","HOLD"))</f>
        <v>SOURCE EMPTY / INDUSTRIAL ONLY</v>
      </c>
      <c r="V4507" s="9" t="n">
        <f aca="false">IF(U4507="SERVICE READY",1,0)</f>
        <v>0</v>
      </c>
      <c r="W4507" s="6"/>
      <c r="X4507" s="6"/>
      <c r="Y4507" s="6"/>
      <c r="Z4507" s="6"/>
    </row>
    <row r="4508" customFormat="false" ht="15" hidden="false" customHeight="false" outlineLevel="0" collapsed="false">
      <c r="A4508" s="9" t="s">
        <v>4801</v>
      </c>
      <c r="B4508" s="9" t="s">
        <v>4729</v>
      </c>
      <c r="C4508" s="9" t="s">
        <v>4730</v>
      </c>
      <c r="D4508" s="9" t="s">
        <v>4731</v>
      </c>
      <c r="E4508" s="9" t="s">
        <v>196</v>
      </c>
      <c r="F4508" s="9" t="s">
        <v>197</v>
      </c>
      <c r="G4508" s="9" t="s">
        <v>221</v>
      </c>
      <c r="H4508" s="9" t="n">
        <v>18996</v>
      </c>
      <c r="I4508" s="29" t="n">
        <v>6.866</v>
      </c>
      <c r="J4508" s="9" t="n">
        <v>1</v>
      </c>
      <c r="K4508" s="30"/>
      <c r="L4508" s="30"/>
      <c r="M4508" s="30"/>
      <c r="N4508" s="30"/>
      <c r="O4508" s="30"/>
      <c r="P4508" s="30"/>
      <c r="Q4508" s="30"/>
      <c r="R4508" s="30"/>
      <c r="S4508" s="30"/>
      <c r="T4508" s="30"/>
      <c r="U4508" s="21" t="str">
        <f aca="false">IF(COUNT(K4508:T4508)=0,"SOURCE EMPTY / INDUSTRIAL ONLY",IF(MIN(K4508:T4508)=1,"SERVICE READY","HOLD"))</f>
        <v>SOURCE EMPTY / INDUSTRIAL ONLY</v>
      </c>
      <c r="V4508" s="9" t="n">
        <f aca="false">IF(U4508="SERVICE READY",1,0)</f>
        <v>0</v>
      </c>
      <c r="W4508" s="6"/>
      <c r="X4508" s="6"/>
      <c r="Y4508" s="6"/>
      <c r="Z4508" s="6"/>
    </row>
    <row r="4509" customFormat="false" ht="15" hidden="false" customHeight="false" outlineLevel="0" collapsed="false">
      <c r="A4509" s="9" t="s">
        <v>4802</v>
      </c>
      <c r="B4509" s="9" t="s">
        <v>4729</v>
      </c>
      <c r="C4509" s="9" t="s">
        <v>4730</v>
      </c>
      <c r="D4509" s="9" t="s">
        <v>4731</v>
      </c>
      <c r="E4509" s="9" t="s">
        <v>196</v>
      </c>
      <c r="F4509" s="9" t="s">
        <v>200</v>
      </c>
      <c r="G4509" s="9" t="s">
        <v>221</v>
      </c>
      <c r="H4509" s="9" t="n">
        <v>18996</v>
      </c>
      <c r="I4509" s="29" t="n">
        <v>6.866</v>
      </c>
      <c r="J4509" s="9" t="n">
        <v>1</v>
      </c>
      <c r="K4509" s="30"/>
      <c r="L4509" s="30"/>
      <c r="M4509" s="30"/>
      <c r="N4509" s="30"/>
      <c r="O4509" s="30"/>
      <c r="P4509" s="30"/>
      <c r="Q4509" s="30"/>
      <c r="R4509" s="30"/>
      <c r="S4509" s="30"/>
      <c r="T4509" s="30"/>
      <c r="U4509" s="21" t="str">
        <f aca="false">IF(COUNT(K4509:T4509)=0,"SOURCE EMPTY / INDUSTRIAL ONLY",IF(MIN(K4509:T4509)=1,"SERVICE READY","HOLD"))</f>
        <v>SOURCE EMPTY / INDUSTRIAL ONLY</v>
      </c>
      <c r="V4509" s="9" t="n">
        <f aca="false">IF(U4509="SERVICE READY",1,0)</f>
        <v>0</v>
      </c>
      <c r="W4509" s="6"/>
      <c r="X4509" s="6"/>
      <c r="Y4509" s="6"/>
      <c r="Z4509" s="6"/>
    </row>
    <row r="4510" customFormat="false" ht="15" hidden="false" customHeight="false" outlineLevel="0" collapsed="false">
      <c r="A4510" s="9" t="s">
        <v>4803</v>
      </c>
      <c r="B4510" s="9" t="s">
        <v>4729</v>
      </c>
      <c r="C4510" s="9" t="s">
        <v>4730</v>
      </c>
      <c r="D4510" s="9" t="s">
        <v>4731</v>
      </c>
      <c r="E4510" s="9" t="s">
        <v>196</v>
      </c>
      <c r="F4510" s="9" t="s">
        <v>203</v>
      </c>
      <c r="G4510" s="9" t="s">
        <v>221</v>
      </c>
      <c r="H4510" s="9" t="n">
        <v>18996</v>
      </c>
      <c r="I4510" s="29" t="n">
        <v>6.866</v>
      </c>
      <c r="J4510" s="9" t="n">
        <v>1</v>
      </c>
      <c r="K4510" s="30"/>
      <c r="L4510" s="30"/>
      <c r="M4510" s="30"/>
      <c r="N4510" s="30"/>
      <c r="O4510" s="30"/>
      <c r="P4510" s="30"/>
      <c r="Q4510" s="30"/>
      <c r="R4510" s="30"/>
      <c r="S4510" s="30"/>
      <c r="T4510" s="30"/>
      <c r="U4510" s="21" t="str">
        <f aca="false">IF(COUNT(K4510:T4510)=0,"SOURCE EMPTY / INDUSTRIAL ONLY",IF(MIN(K4510:T4510)=1,"SERVICE READY","HOLD"))</f>
        <v>SOURCE EMPTY / INDUSTRIAL ONLY</v>
      </c>
      <c r="V4510" s="9" t="n">
        <f aca="false">IF(U4510="SERVICE READY",1,0)</f>
        <v>0</v>
      </c>
      <c r="W4510" s="6"/>
      <c r="X4510" s="6"/>
      <c r="Y4510" s="6"/>
      <c r="Z4510" s="6"/>
    </row>
    <row r="4511" customFormat="false" ht="15" hidden="false" customHeight="false" outlineLevel="0" collapsed="false">
      <c r="A4511" s="9" t="s">
        <v>4804</v>
      </c>
      <c r="B4511" s="9" t="s">
        <v>4729</v>
      </c>
      <c r="C4511" s="9" t="s">
        <v>4730</v>
      </c>
      <c r="D4511" s="9" t="s">
        <v>4731</v>
      </c>
      <c r="E4511" s="9" t="s">
        <v>196</v>
      </c>
      <c r="F4511" s="9" t="s">
        <v>205</v>
      </c>
      <c r="G4511" s="9" t="s">
        <v>221</v>
      </c>
      <c r="H4511" s="9" t="n">
        <v>18996</v>
      </c>
      <c r="I4511" s="29" t="n">
        <v>6.866</v>
      </c>
      <c r="J4511" s="9" t="n">
        <v>1</v>
      </c>
      <c r="K4511" s="30"/>
      <c r="L4511" s="30"/>
      <c r="M4511" s="30"/>
      <c r="N4511" s="30"/>
      <c r="O4511" s="30"/>
      <c r="P4511" s="30"/>
      <c r="Q4511" s="30"/>
      <c r="R4511" s="30"/>
      <c r="S4511" s="30"/>
      <c r="T4511" s="30"/>
      <c r="U4511" s="21" t="str">
        <f aca="false">IF(COUNT(K4511:T4511)=0,"SOURCE EMPTY / INDUSTRIAL ONLY",IF(MIN(K4511:T4511)=1,"SERVICE READY","HOLD"))</f>
        <v>SOURCE EMPTY / INDUSTRIAL ONLY</v>
      </c>
      <c r="V4511" s="9" t="n">
        <f aca="false">IF(U4511="SERVICE READY",1,0)</f>
        <v>0</v>
      </c>
      <c r="W4511" s="6"/>
      <c r="X4511" s="6"/>
      <c r="Y4511" s="6"/>
      <c r="Z4511" s="6"/>
    </row>
    <row r="4512" customFormat="false" ht="15" hidden="false" customHeight="false" outlineLevel="0" collapsed="false">
      <c r="A4512" s="9" t="s">
        <v>4805</v>
      </c>
      <c r="B4512" s="9" t="s">
        <v>4729</v>
      </c>
      <c r="C4512" s="9" t="s">
        <v>4730</v>
      </c>
      <c r="D4512" s="9" t="s">
        <v>4731</v>
      </c>
      <c r="E4512" s="9" t="s">
        <v>196</v>
      </c>
      <c r="F4512" s="9" t="s">
        <v>207</v>
      </c>
      <c r="G4512" s="9" t="s">
        <v>221</v>
      </c>
      <c r="H4512" s="9" t="n">
        <v>18996</v>
      </c>
      <c r="I4512" s="29" t="n">
        <v>6.866</v>
      </c>
      <c r="J4512" s="9" t="n">
        <v>1</v>
      </c>
      <c r="K4512" s="30"/>
      <c r="L4512" s="30"/>
      <c r="M4512" s="30"/>
      <c r="N4512" s="30"/>
      <c r="O4512" s="30"/>
      <c r="P4512" s="30"/>
      <c r="Q4512" s="30"/>
      <c r="R4512" s="30"/>
      <c r="S4512" s="30"/>
      <c r="T4512" s="30"/>
      <c r="U4512" s="21" t="str">
        <f aca="false">IF(COUNT(K4512:T4512)=0,"SOURCE EMPTY / INDUSTRIAL ONLY",IF(MIN(K4512:T4512)=1,"SERVICE READY","HOLD"))</f>
        <v>SOURCE EMPTY / INDUSTRIAL ONLY</v>
      </c>
      <c r="V4512" s="9" t="n">
        <f aca="false">IF(U4512="SERVICE READY",1,0)</f>
        <v>0</v>
      </c>
      <c r="W4512" s="6"/>
      <c r="X4512" s="6"/>
      <c r="Y4512" s="6"/>
      <c r="Z4512" s="6"/>
    </row>
    <row r="4513" customFormat="false" ht="15" hidden="false" customHeight="false" outlineLevel="0" collapsed="false">
      <c r="A4513" s="9" t="s">
        <v>4806</v>
      </c>
      <c r="B4513" s="9" t="s">
        <v>4729</v>
      </c>
      <c r="C4513" s="9" t="s">
        <v>4730</v>
      </c>
      <c r="D4513" s="9" t="s">
        <v>4731</v>
      </c>
      <c r="E4513" s="9" t="s">
        <v>196</v>
      </c>
      <c r="F4513" s="9" t="s">
        <v>209</v>
      </c>
      <c r="G4513" s="9" t="s">
        <v>221</v>
      </c>
      <c r="H4513" s="9" t="n">
        <v>18996</v>
      </c>
      <c r="I4513" s="29" t="n">
        <v>6.866</v>
      </c>
      <c r="J4513" s="9" t="n">
        <v>1</v>
      </c>
      <c r="K4513" s="30"/>
      <c r="L4513" s="30"/>
      <c r="M4513" s="30"/>
      <c r="N4513" s="30"/>
      <c r="O4513" s="30"/>
      <c r="P4513" s="30"/>
      <c r="Q4513" s="30"/>
      <c r="R4513" s="30"/>
      <c r="S4513" s="30"/>
      <c r="T4513" s="30"/>
      <c r="U4513" s="21" t="str">
        <f aca="false">IF(COUNT(K4513:T4513)=0,"SOURCE EMPTY / INDUSTRIAL ONLY",IF(MIN(K4513:T4513)=1,"SERVICE READY","HOLD"))</f>
        <v>SOURCE EMPTY / INDUSTRIAL ONLY</v>
      </c>
      <c r="V4513" s="9" t="n">
        <f aca="false">IF(U4513="SERVICE READY",1,0)</f>
        <v>0</v>
      </c>
      <c r="W4513" s="6"/>
      <c r="X4513" s="6"/>
      <c r="Y4513" s="6"/>
      <c r="Z4513" s="6"/>
    </row>
    <row r="4514" customFormat="false" ht="15" hidden="false" customHeight="false" outlineLevel="0" collapsed="false">
      <c r="A4514" s="9" t="s">
        <v>4807</v>
      </c>
      <c r="B4514" s="9" t="s">
        <v>4729</v>
      </c>
      <c r="C4514" s="9" t="s">
        <v>4730</v>
      </c>
      <c r="D4514" s="9" t="s">
        <v>4731</v>
      </c>
      <c r="E4514" s="9" t="s">
        <v>196</v>
      </c>
      <c r="F4514" s="9" t="s">
        <v>211</v>
      </c>
      <c r="G4514" s="9" t="s">
        <v>221</v>
      </c>
      <c r="H4514" s="9" t="n">
        <v>18996</v>
      </c>
      <c r="I4514" s="29" t="n">
        <v>6.866</v>
      </c>
      <c r="J4514" s="9" t="n">
        <v>1</v>
      </c>
      <c r="K4514" s="30"/>
      <c r="L4514" s="30"/>
      <c r="M4514" s="30"/>
      <c r="N4514" s="30"/>
      <c r="O4514" s="30"/>
      <c r="P4514" s="30"/>
      <c r="Q4514" s="30"/>
      <c r="R4514" s="30"/>
      <c r="S4514" s="30"/>
      <c r="T4514" s="30"/>
      <c r="U4514" s="21" t="str">
        <f aca="false">IF(COUNT(K4514:T4514)=0,"SOURCE EMPTY / INDUSTRIAL ONLY",IF(MIN(K4514:T4514)=1,"SERVICE READY","HOLD"))</f>
        <v>SOURCE EMPTY / INDUSTRIAL ONLY</v>
      </c>
      <c r="V4514" s="9" t="n">
        <f aca="false">IF(U4514="SERVICE READY",1,0)</f>
        <v>0</v>
      </c>
      <c r="W4514" s="6"/>
      <c r="X4514" s="6"/>
      <c r="Y4514" s="6"/>
      <c r="Z4514" s="6"/>
    </row>
    <row r="4515" customFormat="false" ht="15" hidden="false" customHeight="false" outlineLevel="0" collapsed="false">
      <c r="A4515" s="9" t="s">
        <v>4808</v>
      </c>
      <c r="B4515" s="9" t="s">
        <v>4729</v>
      </c>
      <c r="C4515" s="9" t="s">
        <v>4730</v>
      </c>
      <c r="D4515" s="9" t="s">
        <v>4731</v>
      </c>
      <c r="E4515" s="9" t="s">
        <v>196</v>
      </c>
      <c r="F4515" s="9" t="s">
        <v>197</v>
      </c>
      <c r="G4515" s="9" t="s">
        <v>221</v>
      </c>
      <c r="H4515" s="9" t="n">
        <v>18996</v>
      </c>
      <c r="I4515" s="29" t="n">
        <v>6.866</v>
      </c>
      <c r="J4515" s="9" t="n">
        <v>1</v>
      </c>
      <c r="K4515" s="30"/>
      <c r="L4515" s="30"/>
      <c r="M4515" s="30"/>
      <c r="N4515" s="30"/>
      <c r="O4515" s="30"/>
      <c r="P4515" s="30"/>
      <c r="Q4515" s="30"/>
      <c r="R4515" s="30"/>
      <c r="S4515" s="30"/>
      <c r="T4515" s="30"/>
      <c r="U4515" s="21" t="str">
        <f aca="false">IF(COUNT(K4515:T4515)=0,"SOURCE EMPTY / INDUSTRIAL ONLY",IF(MIN(K4515:T4515)=1,"SERVICE READY","HOLD"))</f>
        <v>SOURCE EMPTY / INDUSTRIAL ONLY</v>
      </c>
      <c r="V4515" s="9" t="n">
        <f aca="false">IF(U4515="SERVICE READY",1,0)</f>
        <v>0</v>
      </c>
      <c r="W4515" s="6"/>
      <c r="X4515" s="6"/>
      <c r="Y4515" s="6"/>
      <c r="Z4515" s="6"/>
    </row>
    <row r="4516" customFormat="false" ht="15" hidden="false" customHeight="false" outlineLevel="0" collapsed="false">
      <c r="A4516" s="9" t="s">
        <v>4809</v>
      </c>
      <c r="B4516" s="9" t="s">
        <v>4729</v>
      </c>
      <c r="C4516" s="9" t="s">
        <v>4730</v>
      </c>
      <c r="D4516" s="9" t="s">
        <v>4731</v>
      </c>
      <c r="E4516" s="9" t="s">
        <v>196</v>
      </c>
      <c r="F4516" s="9" t="s">
        <v>200</v>
      </c>
      <c r="G4516" s="9" t="s">
        <v>221</v>
      </c>
      <c r="H4516" s="9" t="n">
        <v>18996</v>
      </c>
      <c r="I4516" s="29" t="n">
        <v>6.866</v>
      </c>
      <c r="J4516" s="9" t="n">
        <v>1</v>
      </c>
      <c r="K4516" s="30"/>
      <c r="L4516" s="30"/>
      <c r="M4516" s="30"/>
      <c r="N4516" s="30"/>
      <c r="O4516" s="30"/>
      <c r="P4516" s="30"/>
      <c r="Q4516" s="30"/>
      <c r="R4516" s="30"/>
      <c r="S4516" s="30"/>
      <c r="T4516" s="30"/>
      <c r="U4516" s="21" t="str">
        <f aca="false">IF(COUNT(K4516:T4516)=0,"SOURCE EMPTY / INDUSTRIAL ONLY",IF(MIN(K4516:T4516)=1,"SERVICE READY","HOLD"))</f>
        <v>SOURCE EMPTY / INDUSTRIAL ONLY</v>
      </c>
      <c r="V4516" s="9" t="n">
        <f aca="false">IF(U4516="SERVICE READY",1,0)</f>
        <v>0</v>
      </c>
      <c r="W4516" s="6"/>
      <c r="X4516" s="6"/>
      <c r="Y4516" s="6"/>
      <c r="Z4516" s="6"/>
    </row>
    <row r="4517" customFormat="false" ht="15" hidden="false" customHeight="false" outlineLevel="0" collapsed="false">
      <c r="A4517" s="9" t="s">
        <v>4810</v>
      </c>
      <c r="B4517" s="9" t="s">
        <v>4729</v>
      </c>
      <c r="C4517" s="9" t="s">
        <v>4730</v>
      </c>
      <c r="D4517" s="9" t="s">
        <v>4731</v>
      </c>
      <c r="E4517" s="9" t="s">
        <v>196</v>
      </c>
      <c r="F4517" s="9" t="s">
        <v>203</v>
      </c>
      <c r="G4517" s="9" t="s">
        <v>221</v>
      </c>
      <c r="H4517" s="9" t="n">
        <v>18996</v>
      </c>
      <c r="I4517" s="29" t="n">
        <v>6.866</v>
      </c>
      <c r="J4517" s="9" t="n">
        <v>1</v>
      </c>
      <c r="K4517" s="30"/>
      <c r="L4517" s="30"/>
      <c r="M4517" s="30"/>
      <c r="N4517" s="30"/>
      <c r="O4517" s="30"/>
      <c r="P4517" s="30"/>
      <c r="Q4517" s="30"/>
      <c r="R4517" s="30"/>
      <c r="S4517" s="30"/>
      <c r="T4517" s="30"/>
      <c r="U4517" s="21" t="str">
        <f aca="false">IF(COUNT(K4517:T4517)=0,"SOURCE EMPTY / INDUSTRIAL ONLY",IF(MIN(K4517:T4517)=1,"SERVICE READY","HOLD"))</f>
        <v>SOURCE EMPTY / INDUSTRIAL ONLY</v>
      </c>
      <c r="V4517" s="9" t="n">
        <f aca="false">IF(U4517="SERVICE READY",1,0)</f>
        <v>0</v>
      </c>
      <c r="W4517" s="6"/>
      <c r="X4517" s="6"/>
      <c r="Y4517" s="6"/>
      <c r="Z4517" s="6"/>
    </row>
    <row r="4518" customFormat="false" ht="15" hidden="false" customHeight="false" outlineLevel="0" collapsed="false">
      <c r="A4518" s="9" t="s">
        <v>4811</v>
      </c>
      <c r="B4518" s="9" t="s">
        <v>4729</v>
      </c>
      <c r="C4518" s="9" t="s">
        <v>4730</v>
      </c>
      <c r="D4518" s="9" t="s">
        <v>4731</v>
      </c>
      <c r="E4518" s="9" t="s">
        <v>196</v>
      </c>
      <c r="F4518" s="9" t="s">
        <v>205</v>
      </c>
      <c r="G4518" s="9" t="s">
        <v>221</v>
      </c>
      <c r="H4518" s="9" t="n">
        <v>18996</v>
      </c>
      <c r="I4518" s="29" t="n">
        <v>6.866</v>
      </c>
      <c r="J4518" s="9" t="n">
        <v>1</v>
      </c>
      <c r="K4518" s="30"/>
      <c r="L4518" s="30"/>
      <c r="M4518" s="30"/>
      <c r="N4518" s="30"/>
      <c r="O4518" s="30"/>
      <c r="P4518" s="30"/>
      <c r="Q4518" s="30"/>
      <c r="R4518" s="30"/>
      <c r="S4518" s="30"/>
      <c r="T4518" s="30"/>
      <c r="U4518" s="21" t="str">
        <f aca="false">IF(COUNT(K4518:T4518)=0,"SOURCE EMPTY / INDUSTRIAL ONLY",IF(MIN(K4518:T4518)=1,"SERVICE READY","HOLD"))</f>
        <v>SOURCE EMPTY / INDUSTRIAL ONLY</v>
      </c>
      <c r="V4518" s="9" t="n">
        <f aca="false">IF(U4518="SERVICE READY",1,0)</f>
        <v>0</v>
      </c>
      <c r="W4518" s="6"/>
      <c r="X4518" s="6"/>
      <c r="Y4518" s="6"/>
      <c r="Z4518" s="6"/>
    </row>
    <row r="4519" customFormat="false" ht="15" hidden="false" customHeight="false" outlineLevel="0" collapsed="false">
      <c r="A4519" s="9" t="s">
        <v>4812</v>
      </c>
      <c r="B4519" s="9" t="s">
        <v>4729</v>
      </c>
      <c r="C4519" s="9" t="s">
        <v>4730</v>
      </c>
      <c r="D4519" s="9" t="s">
        <v>4731</v>
      </c>
      <c r="E4519" s="9" t="s">
        <v>196</v>
      </c>
      <c r="F4519" s="9" t="s">
        <v>207</v>
      </c>
      <c r="G4519" s="9" t="s">
        <v>221</v>
      </c>
      <c r="H4519" s="9" t="n">
        <v>18996</v>
      </c>
      <c r="I4519" s="29" t="n">
        <v>6.866</v>
      </c>
      <c r="J4519" s="9" t="n">
        <v>1</v>
      </c>
      <c r="K4519" s="30"/>
      <c r="L4519" s="30"/>
      <c r="M4519" s="30"/>
      <c r="N4519" s="30"/>
      <c r="O4519" s="30"/>
      <c r="P4519" s="30"/>
      <c r="Q4519" s="30"/>
      <c r="R4519" s="30"/>
      <c r="S4519" s="30"/>
      <c r="T4519" s="30"/>
      <c r="U4519" s="21" t="str">
        <f aca="false">IF(COUNT(K4519:T4519)=0,"SOURCE EMPTY / INDUSTRIAL ONLY",IF(MIN(K4519:T4519)=1,"SERVICE READY","HOLD"))</f>
        <v>SOURCE EMPTY / INDUSTRIAL ONLY</v>
      </c>
      <c r="V4519" s="9" t="n">
        <f aca="false">IF(U4519="SERVICE READY",1,0)</f>
        <v>0</v>
      </c>
      <c r="W4519" s="6"/>
      <c r="X4519" s="6"/>
      <c r="Y4519" s="6"/>
      <c r="Z4519" s="6"/>
    </row>
    <row r="4520" customFormat="false" ht="15" hidden="false" customHeight="false" outlineLevel="0" collapsed="false">
      <c r="A4520" s="9" t="s">
        <v>4813</v>
      </c>
      <c r="B4520" s="9" t="s">
        <v>4729</v>
      </c>
      <c r="C4520" s="9" t="s">
        <v>4730</v>
      </c>
      <c r="D4520" s="9" t="s">
        <v>4731</v>
      </c>
      <c r="E4520" s="9" t="s">
        <v>196</v>
      </c>
      <c r="F4520" s="9" t="s">
        <v>209</v>
      </c>
      <c r="G4520" s="9" t="s">
        <v>221</v>
      </c>
      <c r="H4520" s="9" t="n">
        <v>18996</v>
      </c>
      <c r="I4520" s="29" t="n">
        <v>6.866</v>
      </c>
      <c r="J4520" s="9" t="n">
        <v>1</v>
      </c>
      <c r="K4520" s="30"/>
      <c r="L4520" s="30"/>
      <c r="M4520" s="30"/>
      <c r="N4520" s="30"/>
      <c r="O4520" s="30"/>
      <c r="P4520" s="30"/>
      <c r="Q4520" s="30"/>
      <c r="R4520" s="30"/>
      <c r="S4520" s="30"/>
      <c r="T4520" s="30"/>
      <c r="U4520" s="21" t="str">
        <f aca="false">IF(COUNT(K4520:T4520)=0,"SOURCE EMPTY / INDUSTRIAL ONLY",IF(MIN(K4520:T4520)=1,"SERVICE READY","HOLD"))</f>
        <v>SOURCE EMPTY / INDUSTRIAL ONLY</v>
      </c>
      <c r="V4520" s="9" t="n">
        <f aca="false">IF(U4520="SERVICE READY",1,0)</f>
        <v>0</v>
      </c>
      <c r="W4520" s="6"/>
      <c r="X4520" s="6"/>
      <c r="Y4520" s="6"/>
      <c r="Z4520" s="6"/>
    </row>
    <row r="4521" customFormat="false" ht="15" hidden="false" customHeight="false" outlineLevel="0" collapsed="false">
      <c r="A4521" s="9" t="s">
        <v>4814</v>
      </c>
      <c r="B4521" s="9" t="s">
        <v>4729</v>
      </c>
      <c r="C4521" s="9" t="s">
        <v>4730</v>
      </c>
      <c r="D4521" s="9" t="s">
        <v>4731</v>
      </c>
      <c r="E4521" s="9" t="s">
        <v>196</v>
      </c>
      <c r="F4521" s="9" t="s">
        <v>211</v>
      </c>
      <c r="G4521" s="9" t="s">
        <v>221</v>
      </c>
      <c r="H4521" s="9" t="n">
        <v>18996</v>
      </c>
      <c r="I4521" s="29" t="n">
        <v>6.866</v>
      </c>
      <c r="J4521" s="9" t="n">
        <v>1</v>
      </c>
      <c r="K4521" s="30"/>
      <c r="L4521" s="30"/>
      <c r="M4521" s="30"/>
      <c r="N4521" s="30"/>
      <c r="O4521" s="30"/>
      <c r="P4521" s="30"/>
      <c r="Q4521" s="30"/>
      <c r="R4521" s="30"/>
      <c r="S4521" s="30"/>
      <c r="T4521" s="30"/>
      <c r="U4521" s="21" t="str">
        <f aca="false">IF(COUNT(K4521:T4521)=0,"SOURCE EMPTY / INDUSTRIAL ONLY",IF(MIN(K4521:T4521)=1,"SERVICE READY","HOLD"))</f>
        <v>SOURCE EMPTY / INDUSTRIAL ONLY</v>
      </c>
      <c r="V4521" s="9" t="n">
        <f aca="false">IF(U4521="SERVICE READY",1,0)</f>
        <v>0</v>
      </c>
      <c r="W4521" s="6"/>
      <c r="X4521" s="6"/>
      <c r="Y4521" s="6"/>
      <c r="Z4521" s="6"/>
    </row>
    <row r="4522" customFormat="false" ht="15" hidden="false" customHeight="false" outlineLevel="0" collapsed="false">
      <c r="A4522" s="9" t="s">
        <v>4815</v>
      </c>
      <c r="B4522" s="9" t="s">
        <v>4729</v>
      </c>
      <c r="C4522" s="9" t="s">
        <v>4730</v>
      </c>
      <c r="D4522" s="9" t="s">
        <v>4731</v>
      </c>
      <c r="E4522" s="9" t="s">
        <v>196</v>
      </c>
      <c r="F4522" s="9" t="s">
        <v>197</v>
      </c>
      <c r="G4522" s="9" t="s">
        <v>221</v>
      </c>
      <c r="H4522" s="9" t="n">
        <v>18996</v>
      </c>
      <c r="I4522" s="29" t="n">
        <v>6.866</v>
      </c>
      <c r="J4522" s="9" t="n">
        <v>1</v>
      </c>
      <c r="K4522" s="30"/>
      <c r="L4522" s="30"/>
      <c r="M4522" s="30"/>
      <c r="N4522" s="30"/>
      <c r="O4522" s="30"/>
      <c r="P4522" s="30"/>
      <c r="Q4522" s="30"/>
      <c r="R4522" s="30"/>
      <c r="S4522" s="30"/>
      <c r="T4522" s="30"/>
      <c r="U4522" s="21" t="str">
        <f aca="false">IF(COUNT(K4522:T4522)=0,"SOURCE EMPTY / INDUSTRIAL ONLY",IF(MIN(K4522:T4522)=1,"SERVICE READY","HOLD"))</f>
        <v>SOURCE EMPTY / INDUSTRIAL ONLY</v>
      </c>
      <c r="V4522" s="9" t="n">
        <f aca="false">IF(U4522="SERVICE READY",1,0)</f>
        <v>0</v>
      </c>
      <c r="W4522" s="6"/>
      <c r="X4522" s="6"/>
      <c r="Y4522" s="6"/>
      <c r="Z4522" s="6"/>
    </row>
    <row r="4523" customFormat="false" ht="15" hidden="false" customHeight="false" outlineLevel="0" collapsed="false">
      <c r="A4523" s="9" t="s">
        <v>4816</v>
      </c>
      <c r="B4523" s="9" t="s">
        <v>4729</v>
      </c>
      <c r="C4523" s="9" t="s">
        <v>4730</v>
      </c>
      <c r="D4523" s="9" t="s">
        <v>4731</v>
      </c>
      <c r="E4523" s="9" t="s">
        <v>196</v>
      </c>
      <c r="F4523" s="9" t="s">
        <v>200</v>
      </c>
      <c r="G4523" s="9" t="s">
        <v>221</v>
      </c>
      <c r="H4523" s="9" t="n">
        <v>18996</v>
      </c>
      <c r="I4523" s="29" t="n">
        <v>6.866</v>
      </c>
      <c r="J4523" s="9" t="n">
        <v>1</v>
      </c>
      <c r="K4523" s="30"/>
      <c r="L4523" s="30"/>
      <c r="M4523" s="30"/>
      <c r="N4523" s="30"/>
      <c r="O4523" s="30"/>
      <c r="P4523" s="30"/>
      <c r="Q4523" s="30"/>
      <c r="R4523" s="30"/>
      <c r="S4523" s="30"/>
      <c r="T4523" s="30"/>
      <c r="U4523" s="21" t="str">
        <f aca="false">IF(COUNT(K4523:T4523)=0,"SOURCE EMPTY / INDUSTRIAL ONLY",IF(MIN(K4523:T4523)=1,"SERVICE READY","HOLD"))</f>
        <v>SOURCE EMPTY / INDUSTRIAL ONLY</v>
      </c>
      <c r="V4523" s="9" t="n">
        <f aca="false">IF(U4523="SERVICE READY",1,0)</f>
        <v>0</v>
      </c>
      <c r="W4523" s="6"/>
      <c r="X4523" s="6"/>
      <c r="Y4523" s="6"/>
      <c r="Z4523" s="6"/>
    </row>
    <row r="4524" customFormat="false" ht="15" hidden="false" customHeight="false" outlineLevel="0" collapsed="false">
      <c r="A4524" s="9" t="s">
        <v>4817</v>
      </c>
      <c r="B4524" s="9" t="s">
        <v>4729</v>
      </c>
      <c r="C4524" s="9" t="s">
        <v>4730</v>
      </c>
      <c r="D4524" s="9" t="s">
        <v>4731</v>
      </c>
      <c r="E4524" s="9" t="s">
        <v>196</v>
      </c>
      <c r="F4524" s="9" t="s">
        <v>203</v>
      </c>
      <c r="G4524" s="9" t="s">
        <v>221</v>
      </c>
      <c r="H4524" s="9" t="n">
        <v>18996</v>
      </c>
      <c r="I4524" s="29" t="n">
        <v>6.866</v>
      </c>
      <c r="J4524" s="9" t="n">
        <v>1</v>
      </c>
      <c r="K4524" s="30"/>
      <c r="L4524" s="30"/>
      <c r="M4524" s="30"/>
      <c r="N4524" s="30"/>
      <c r="O4524" s="30"/>
      <c r="P4524" s="30"/>
      <c r="Q4524" s="30"/>
      <c r="R4524" s="30"/>
      <c r="S4524" s="30"/>
      <c r="T4524" s="30"/>
      <c r="U4524" s="21" t="str">
        <f aca="false">IF(COUNT(K4524:T4524)=0,"SOURCE EMPTY / INDUSTRIAL ONLY",IF(MIN(K4524:T4524)=1,"SERVICE READY","HOLD"))</f>
        <v>SOURCE EMPTY / INDUSTRIAL ONLY</v>
      </c>
      <c r="V4524" s="9" t="n">
        <f aca="false">IF(U4524="SERVICE READY",1,0)</f>
        <v>0</v>
      </c>
      <c r="W4524" s="6"/>
      <c r="X4524" s="6"/>
      <c r="Y4524" s="6"/>
      <c r="Z4524" s="6"/>
    </row>
    <row r="4525" customFormat="false" ht="15" hidden="false" customHeight="false" outlineLevel="0" collapsed="false">
      <c r="A4525" s="9" t="s">
        <v>4818</v>
      </c>
      <c r="B4525" s="9" t="s">
        <v>4729</v>
      </c>
      <c r="C4525" s="9" t="s">
        <v>4730</v>
      </c>
      <c r="D4525" s="9" t="s">
        <v>4731</v>
      </c>
      <c r="E4525" s="9" t="s">
        <v>196</v>
      </c>
      <c r="F4525" s="9" t="s">
        <v>205</v>
      </c>
      <c r="G4525" s="9" t="s">
        <v>221</v>
      </c>
      <c r="H4525" s="9" t="n">
        <v>18996</v>
      </c>
      <c r="I4525" s="29" t="n">
        <v>6.866</v>
      </c>
      <c r="J4525" s="9" t="n">
        <v>1</v>
      </c>
      <c r="K4525" s="30"/>
      <c r="L4525" s="30"/>
      <c r="M4525" s="30"/>
      <c r="N4525" s="30"/>
      <c r="O4525" s="30"/>
      <c r="P4525" s="30"/>
      <c r="Q4525" s="30"/>
      <c r="R4525" s="30"/>
      <c r="S4525" s="30"/>
      <c r="T4525" s="30"/>
      <c r="U4525" s="21" t="str">
        <f aca="false">IF(COUNT(K4525:T4525)=0,"SOURCE EMPTY / INDUSTRIAL ONLY",IF(MIN(K4525:T4525)=1,"SERVICE READY","HOLD"))</f>
        <v>SOURCE EMPTY / INDUSTRIAL ONLY</v>
      </c>
      <c r="V4525" s="9" t="n">
        <f aca="false">IF(U4525="SERVICE READY",1,0)</f>
        <v>0</v>
      </c>
      <c r="W4525" s="6"/>
      <c r="X4525" s="6"/>
      <c r="Y4525" s="6"/>
      <c r="Z4525" s="6"/>
    </row>
    <row r="4526" customFormat="false" ht="15" hidden="false" customHeight="false" outlineLevel="0" collapsed="false">
      <c r="A4526" s="9" t="s">
        <v>4819</v>
      </c>
      <c r="B4526" s="9" t="s">
        <v>4729</v>
      </c>
      <c r="C4526" s="9" t="s">
        <v>4730</v>
      </c>
      <c r="D4526" s="9" t="s">
        <v>4731</v>
      </c>
      <c r="E4526" s="9" t="s">
        <v>196</v>
      </c>
      <c r="F4526" s="9" t="s">
        <v>207</v>
      </c>
      <c r="G4526" s="9" t="s">
        <v>221</v>
      </c>
      <c r="H4526" s="9" t="n">
        <v>18996</v>
      </c>
      <c r="I4526" s="29" t="n">
        <v>6.866</v>
      </c>
      <c r="J4526" s="9" t="n">
        <v>1</v>
      </c>
      <c r="K4526" s="30"/>
      <c r="L4526" s="30"/>
      <c r="M4526" s="30"/>
      <c r="N4526" s="30"/>
      <c r="O4526" s="30"/>
      <c r="P4526" s="30"/>
      <c r="Q4526" s="30"/>
      <c r="R4526" s="30"/>
      <c r="S4526" s="30"/>
      <c r="T4526" s="30"/>
      <c r="U4526" s="21" t="str">
        <f aca="false">IF(COUNT(K4526:T4526)=0,"SOURCE EMPTY / INDUSTRIAL ONLY",IF(MIN(K4526:T4526)=1,"SERVICE READY","HOLD"))</f>
        <v>SOURCE EMPTY / INDUSTRIAL ONLY</v>
      </c>
      <c r="V4526" s="9" t="n">
        <f aca="false">IF(U4526="SERVICE READY",1,0)</f>
        <v>0</v>
      </c>
      <c r="W4526" s="6"/>
      <c r="X4526" s="6"/>
      <c r="Y4526" s="6"/>
      <c r="Z4526" s="6"/>
    </row>
    <row r="4527" customFormat="false" ht="15" hidden="false" customHeight="false" outlineLevel="0" collapsed="false">
      <c r="A4527" s="9" t="s">
        <v>4820</v>
      </c>
      <c r="B4527" s="9" t="s">
        <v>4729</v>
      </c>
      <c r="C4527" s="9" t="s">
        <v>4730</v>
      </c>
      <c r="D4527" s="9" t="s">
        <v>4731</v>
      </c>
      <c r="E4527" s="9" t="s">
        <v>196</v>
      </c>
      <c r="F4527" s="9" t="s">
        <v>209</v>
      </c>
      <c r="G4527" s="9" t="s">
        <v>221</v>
      </c>
      <c r="H4527" s="9" t="n">
        <v>18996</v>
      </c>
      <c r="I4527" s="29" t="n">
        <v>6.866</v>
      </c>
      <c r="J4527" s="9" t="n">
        <v>1</v>
      </c>
      <c r="K4527" s="30"/>
      <c r="L4527" s="30"/>
      <c r="M4527" s="30"/>
      <c r="N4527" s="30"/>
      <c r="O4527" s="30"/>
      <c r="P4527" s="30"/>
      <c r="Q4527" s="30"/>
      <c r="R4527" s="30"/>
      <c r="S4527" s="30"/>
      <c r="T4527" s="30"/>
      <c r="U4527" s="21" t="str">
        <f aca="false">IF(COUNT(K4527:T4527)=0,"SOURCE EMPTY / INDUSTRIAL ONLY",IF(MIN(K4527:T4527)=1,"SERVICE READY","HOLD"))</f>
        <v>SOURCE EMPTY / INDUSTRIAL ONLY</v>
      </c>
      <c r="V4527" s="9" t="n">
        <f aca="false">IF(U4527="SERVICE READY",1,0)</f>
        <v>0</v>
      </c>
      <c r="W4527" s="6"/>
      <c r="X4527" s="6"/>
      <c r="Y4527" s="6"/>
      <c r="Z4527" s="6"/>
    </row>
    <row r="4528" customFormat="false" ht="15" hidden="false" customHeight="false" outlineLevel="0" collapsed="false">
      <c r="A4528" s="9" t="s">
        <v>4821</v>
      </c>
      <c r="B4528" s="9" t="s">
        <v>4729</v>
      </c>
      <c r="C4528" s="9" t="s">
        <v>4730</v>
      </c>
      <c r="D4528" s="9" t="s">
        <v>4731</v>
      </c>
      <c r="E4528" s="9" t="s">
        <v>196</v>
      </c>
      <c r="F4528" s="9" t="s">
        <v>211</v>
      </c>
      <c r="G4528" s="9" t="s">
        <v>221</v>
      </c>
      <c r="H4528" s="9" t="n">
        <v>18996</v>
      </c>
      <c r="I4528" s="29" t="n">
        <v>6.866</v>
      </c>
      <c r="J4528" s="9" t="n">
        <v>1</v>
      </c>
      <c r="K4528" s="30"/>
      <c r="L4528" s="30"/>
      <c r="M4528" s="30"/>
      <c r="N4528" s="30"/>
      <c r="O4528" s="30"/>
      <c r="P4528" s="30"/>
      <c r="Q4528" s="30"/>
      <c r="R4528" s="30"/>
      <c r="S4528" s="30"/>
      <c r="T4528" s="30"/>
      <c r="U4528" s="21" t="str">
        <f aca="false">IF(COUNT(K4528:T4528)=0,"SOURCE EMPTY / INDUSTRIAL ONLY",IF(MIN(K4528:T4528)=1,"SERVICE READY","HOLD"))</f>
        <v>SOURCE EMPTY / INDUSTRIAL ONLY</v>
      </c>
      <c r="V4528" s="9" t="n">
        <f aca="false">IF(U4528="SERVICE READY",1,0)</f>
        <v>0</v>
      </c>
      <c r="W4528" s="6"/>
      <c r="X4528" s="6"/>
      <c r="Y4528" s="6"/>
      <c r="Z4528" s="6"/>
    </row>
    <row r="4529" customFormat="false" ht="15" hidden="false" customHeight="false" outlineLevel="0" collapsed="false">
      <c r="A4529" s="9" t="s">
        <v>4822</v>
      </c>
      <c r="B4529" s="9" t="s">
        <v>4729</v>
      </c>
      <c r="C4529" s="9" t="s">
        <v>4730</v>
      </c>
      <c r="D4529" s="9" t="s">
        <v>4731</v>
      </c>
      <c r="E4529" s="9" t="s">
        <v>196</v>
      </c>
      <c r="F4529" s="9" t="s">
        <v>197</v>
      </c>
      <c r="G4529" s="9" t="s">
        <v>221</v>
      </c>
      <c r="H4529" s="9" t="n">
        <v>18996</v>
      </c>
      <c r="I4529" s="29" t="n">
        <v>6.866</v>
      </c>
      <c r="J4529" s="9" t="n">
        <v>1</v>
      </c>
      <c r="K4529" s="30"/>
      <c r="L4529" s="30"/>
      <c r="M4529" s="30"/>
      <c r="N4529" s="30"/>
      <c r="O4529" s="30"/>
      <c r="P4529" s="30"/>
      <c r="Q4529" s="30"/>
      <c r="R4529" s="30"/>
      <c r="S4529" s="30"/>
      <c r="T4529" s="30"/>
      <c r="U4529" s="21" t="str">
        <f aca="false">IF(COUNT(K4529:T4529)=0,"SOURCE EMPTY / INDUSTRIAL ONLY",IF(MIN(K4529:T4529)=1,"SERVICE READY","HOLD"))</f>
        <v>SOURCE EMPTY / INDUSTRIAL ONLY</v>
      </c>
      <c r="V4529" s="9" t="n">
        <f aca="false">IF(U4529="SERVICE READY",1,0)</f>
        <v>0</v>
      </c>
      <c r="W4529" s="6"/>
      <c r="X4529" s="6"/>
      <c r="Y4529" s="6"/>
      <c r="Z4529" s="6"/>
    </row>
    <row r="4530" customFormat="false" ht="15" hidden="false" customHeight="false" outlineLevel="0" collapsed="false">
      <c r="A4530" s="9" t="s">
        <v>4823</v>
      </c>
      <c r="B4530" s="9" t="s">
        <v>4729</v>
      </c>
      <c r="C4530" s="9" t="s">
        <v>4730</v>
      </c>
      <c r="D4530" s="9" t="s">
        <v>4731</v>
      </c>
      <c r="E4530" s="9" t="s">
        <v>196</v>
      </c>
      <c r="F4530" s="9" t="s">
        <v>200</v>
      </c>
      <c r="G4530" s="9" t="s">
        <v>221</v>
      </c>
      <c r="H4530" s="9" t="n">
        <v>18996</v>
      </c>
      <c r="I4530" s="29" t="n">
        <v>6.866</v>
      </c>
      <c r="J4530" s="9" t="n">
        <v>1</v>
      </c>
      <c r="K4530" s="30"/>
      <c r="L4530" s="30"/>
      <c r="M4530" s="30"/>
      <c r="N4530" s="30"/>
      <c r="O4530" s="30"/>
      <c r="P4530" s="30"/>
      <c r="Q4530" s="30"/>
      <c r="R4530" s="30"/>
      <c r="S4530" s="30"/>
      <c r="T4530" s="30"/>
      <c r="U4530" s="21" t="str">
        <f aca="false">IF(COUNT(K4530:T4530)=0,"SOURCE EMPTY / INDUSTRIAL ONLY",IF(MIN(K4530:T4530)=1,"SERVICE READY","HOLD"))</f>
        <v>SOURCE EMPTY / INDUSTRIAL ONLY</v>
      </c>
      <c r="V4530" s="9" t="n">
        <f aca="false">IF(U4530="SERVICE READY",1,0)</f>
        <v>0</v>
      </c>
      <c r="W4530" s="6"/>
      <c r="X4530" s="6"/>
      <c r="Y4530" s="6"/>
      <c r="Z4530" s="6"/>
    </row>
    <row r="4531" customFormat="false" ht="15" hidden="false" customHeight="false" outlineLevel="0" collapsed="false">
      <c r="A4531" s="9" t="s">
        <v>4824</v>
      </c>
      <c r="B4531" s="9" t="s">
        <v>4729</v>
      </c>
      <c r="C4531" s="9" t="s">
        <v>4730</v>
      </c>
      <c r="D4531" s="9" t="s">
        <v>4731</v>
      </c>
      <c r="E4531" s="9" t="s">
        <v>196</v>
      </c>
      <c r="F4531" s="9" t="s">
        <v>203</v>
      </c>
      <c r="G4531" s="9" t="s">
        <v>221</v>
      </c>
      <c r="H4531" s="9" t="n">
        <v>18996</v>
      </c>
      <c r="I4531" s="29" t="n">
        <v>6.866</v>
      </c>
      <c r="J4531" s="9" t="n">
        <v>1</v>
      </c>
      <c r="K4531" s="30"/>
      <c r="L4531" s="30"/>
      <c r="M4531" s="30"/>
      <c r="N4531" s="30"/>
      <c r="O4531" s="30"/>
      <c r="P4531" s="30"/>
      <c r="Q4531" s="30"/>
      <c r="R4531" s="30"/>
      <c r="S4531" s="30"/>
      <c r="T4531" s="30"/>
      <c r="U4531" s="21" t="str">
        <f aca="false">IF(COUNT(K4531:T4531)=0,"SOURCE EMPTY / INDUSTRIAL ONLY",IF(MIN(K4531:T4531)=1,"SERVICE READY","HOLD"))</f>
        <v>SOURCE EMPTY / INDUSTRIAL ONLY</v>
      </c>
      <c r="V4531" s="9" t="n">
        <f aca="false">IF(U4531="SERVICE READY",1,0)</f>
        <v>0</v>
      </c>
      <c r="W4531" s="6"/>
      <c r="X4531" s="6"/>
      <c r="Y4531" s="6"/>
      <c r="Z4531" s="6"/>
    </row>
    <row r="4532" customFormat="false" ht="15" hidden="false" customHeight="false" outlineLevel="0" collapsed="false">
      <c r="A4532" s="9" t="s">
        <v>4825</v>
      </c>
      <c r="B4532" s="9" t="s">
        <v>4729</v>
      </c>
      <c r="C4532" s="9" t="s">
        <v>4730</v>
      </c>
      <c r="D4532" s="9" t="s">
        <v>4731</v>
      </c>
      <c r="E4532" s="9" t="s">
        <v>196</v>
      </c>
      <c r="F4532" s="9" t="s">
        <v>205</v>
      </c>
      <c r="G4532" s="9" t="s">
        <v>221</v>
      </c>
      <c r="H4532" s="9" t="n">
        <v>18996</v>
      </c>
      <c r="I4532" s="29" t="n">
        <v>6.866</v>
      </c>
      <c r="J4532" s="9" t="n">
        <v>1</v>
      </c>
      <c r="K4532" s="30"/>
      <c r="L4532" s="30"/>
      <c r="M4532" s="30"/>
      <c r="N4532" s="30"/>
      <c r="O4532" s="30"/>
      <c r="P4532" s="30"/>
      <c r="Q4532" s="30"/>
      <c r="R4532" s="30"/>
      <c r="S4532" s="30"/>
      <c r="T4532" s="30"/>
      <c r="U4532" s="21" t="str">
        <f aca="false">IF(COUNT(K4532:T4532)=0,"SOURCE EMPTY / INDUSTRIAL ONLY",IF(MIN(K4532:T4532)=1,"SERVICE READY","HOLD"))</f>
        <v>SOURCE EMPTY / INDUSTRIAL ONLY</v>
      </c>
      <c r="V4532" s="9" t="n">
        <f aca="false">IF(U4532="SERVICE READY",1,0)</f>
        <v>0</v>
      </c>
      <c r="W4532" s="6"/>
      <c r="X4532" s="6"/>
      <c r="Y4532" s="6"/>
      <c r="Z4532" s="6"/>
    </row>
    <row r="4533" customFormat="false" ht="15" hidden="false" customHeight="false" outlineLevel="0" collapsed="false">
      <c r="A4533" s="9" t="s">
        <v>4826</v>
      </c>
      <c r="B4533" s="9" t="s">
        <v>4729</v>
      </c>
      <c r="C4533" s="9" t="s">
        <v>4730</v>
      </c>
      <c r="D4533" s="9" t="s">
        <v>4731</v>
      </c>
      <c r="E4533" s="9" t="s">
        <v>196</v>
      </c>
      <c r="F4533" s="9" t="s">
        <v>207</v>
      </c>
      <c r="G4533" s="9" t="s">
        <v>221</v>
      </c>
      <c r="H4533" s="9" t="n">
        <v>18996</v>
      </c>
      <c r="I4533" s="29" t="n">
        <v>6.866</v>
      </c>
      <c r="J4533" s="9" t="n">
        <v>1</v>
      </c>
      <c r="K4533" s="30"/>
      <c r="L4533" s="30"/>
      <c r="M4533" s="30"/>
      <c r="N4533" s="30"/>
      <c r="O4533" s="30"/>
      <c r="P4533" s="30"/>
      <c r="Q4533" s="30"/>
      <c r="R4533" s="30"/>
      <c r="S4533" s="30"/>
      <c r="T4533" s="30"/>
      <c r="U4533" s="21" t="str">
        <f aca="false">IF(COUNT(K4533:T4533)=0,"SOURCE EMPTY / INDUSTRIAL ONLY",IF(MIN(K4533:T4533)=1,"SERVICE READY","HOLD"))</f>
        <v>SOURCE EMPTY / INDUSTRIAL ONLY</v>
      </c>
      <c r="V4533" s="9" t="n">
        <f aca="false">IF(U4533="SERVICE READY",1,0)</f>
        <v>0</v>
      </c>
      <c r="W4533" s="6"/>
      <c r="X4533" s="6"/>
      <c r="Y4533" s="6"/>
      <c r="Z4533" s="6"/>
    </row>
    <row r="4534" customFormat="false" ht="15" hidden="false" customHeight="false" outlineLevel="0" collapsed="false">
      <c r="A4534" s="9" t="s">
        <v>4827</v>
      </c>
      <c r="B4534" s="9" t="s">
        <v>4729</v>
      </c>
      <c r="C4534" s="9" t="s">
        <v>4730</v>
      </c>
      <c r="D4534" s="9" t="s">
        <v>4731</v>
      </c>
      <c r="E4534" s="9" t="s">
        <v>196</v>
      </c>
      <c r="F4534" s="9" t="s">
        <v>209</v>
      </c>
      <c r="G4534" s="9" t="s">
        <v>221</v>
      </c>
      <c r="H4534" s="9" t="n">
        <v>18996</v>
      </c>
      <c r="I4534" s="29" t="n">
        <v>6.866</v>
      </c>
      <c r="J4534" s="9" t="n">
        <v>1</v>
      </c>
      <c r="K4534" s="30"/>
      <c r="L4534" s="30"/>
      <c r="M4534" s="30"/>
      <c r="N4534" s="30"/>
      <c r="O4534" s="30"/>
      <c r="P4534" s="30"/>
      <c r="Q4534" s="30"/>
      <c r="R4534" s="30"/>
      <c r="S4534" s="30"/>
      <c r="T4534" s="30"/>
      <c r="U4534" s="21" t="str">
        <f aca="false">IF(COUNT(K4534:T4534)=0,"SOURCE EMPTY / INDUSTRIAL ONLY",IF(MIN(K4534:T4534)=1,"SERVICE READY","HOLD"))</f>
        <v>SOURCE EMPTY / INDUSTRIAL ONLY</v>
      </c>
      <c r="V4534" s="9" t="n">
        <f aca="false">IF(U4534="SERVICE READY",1,0)</f>
        <v>0</v>
      </c>
      <c r="W4534" s="6"/>
      <c r="X4534" s="6"/>
      <c r="Y4534" s="6"/>
      <c r="Z4534" s="6"/>
    </row>
    <row r="4535" customFormat="false" ht="15" hidden="false" customHeight="false" outlineLevel="0" collapsed="false">
      <c r="A4535" s="9" t="s">
        <v>4828</v>
      </c>
      <c r="B4535" s="9" t="s">
        <v>4729</v>
      </c>
      <c r="C4535" s="9" t="s">
        <v>4730</v>
      </c>
      <c r="D4535" s="9" t="s">
        <v>4731</v>
      </c>
      <c r="E4535" s="9" t="s">
        <v>196</v>
      </c>
      <c r="F4535" s="9" t="s">
        <v>211</v>
      </c>
      <c r="G4535" s="9" t="s">
        <v>221</v>
      </c>
      <c r="H4535" s="9" t="n">
        <v>18996</v>
      </c>
      <c r="I4535" s="29" t="n">
        <v>6.866</v>
      </c>
      <c r="J4535" s="9" t="n">
        <v>1</v>
      </c>
      <c r="K4535" s="30"/>
      <c r="L4535" s="30"/>
      <c r="M4535" s="30"/>
      <c r="N4535" s="30"/>
      <c r="O4535" s="30"/>
      <c r="P4535" s="30"/>
      <c r="Q4535" s="30"/>
      <c r="R4535" s="30"/>
      <c r="S4535" s="30"/>
      <c r="T4535" s="30"/>
      <c r="U4535" s="21" t="str">
        <f aca="false">IF(COUNT(K4535:T4535)=0,"SOURCE EMPTY / INDUSTRIAL ONLY",IF(MIN(K4535:T4535)=1,"SERVICE READY","HOLD"))</f>
        <v>SOURCE EMPTY / INDUSTRIAL ONLY</v>
      </c>
      <c r="V4535" s="9" t="n">
        <f aca="false">IF(U4535="SERVICE READY",1,0)</f>
        <v>0</v>
      </c>
      <c r="W4535" s="6"/>
      <c r="X4535" s="6"/>
      <c r="Y4535" s="6"/>
      <c r="Z4535" s="6"/>
    </row>
    <row r="4536" customFormat="false" ht="15" hidden="false" customHeight="false" outlineLevel="0" collapsed="false">
      <c r="A4536" s="9" t="s">
        <v>4829</v>
      </c>
      <c r="B4536" s="9" t="s">
        <v>4729</v>
      </c>
      <c r="C4536" s="9" t="s">
        <v>4730</v>
      </c>
      <c r="D4536" s="9" t="s">
        <v>4731</v>
      </c>
      <c r="E4536" s="9" t="s">
        <v>196</v>
      </c>
      <c r="F4536" s="9" t="s">
        <v>197</v>
      </c>
      <c r="G4536" s="9" t="s">
        <v>221</v>
      </c>
      <c r="H4536" s="9" t="n">
        <v>18996</v>
      </c>
      <c r="I4536" s="29" t="n">
        <v>6.866</v>
      </c>
      <c r="J4536" s="9" t="n">
        <v>1</v>
      </c>
      <c r="K4536" s="30"/>
      <c r="L4536" s="30"/>
      <c r="M4536" s="30"/>
      <c r="N4536" s="30"/>
      <c r="O4536" s="30"/>
      <c r="P4536" s="30"/>
      <c r="Q4536" s="30"/>
      <c r="R4536" s="30"/>
      <c r="S4536" s="30"/>
      <c r="T4536" s="30"/>
      <c r="U4536" s="21" t="str">
        <f aca="false">IF(COUNT(K4536:T4536)=0,"SOURCE EMPTY / INDUSTRIAL ONLY",IF(MIN(K4536:T4536)=1,"SERVICE READY","HOLD"))</f>
        <v>SOURCE EMPTY / INDUSTRIAL ONLY</v>
      </c>
      <c r="V4536" s="9" t="n">
        <f aca="false">IF(U4536="SERVICE READY",1,0)</f>
        <v>0</v>
      </c>
      <c r="W4536" s="6"/>
      <c r="X4536" s="6"/>
      <c r="Y4536" s="6"/>
      <c r="Z4536" s="6"/>
    </row>
    <row r="4537" customFormat="false" ht="15" hidden="false" customHeight="false" outlineLevel="0" collapsed="false">
      <c r="A4537" s="9" t="s">
        <v>4830</v>
      </c>
      <c r="B4537" s="9" t="s">
        <v>4729</v>
      </c>
      <c r="C4537" s="9" t="s">
        <v>4730</v>
      </c>
      <c r="D4537" s="9" t="s">
        <v>4731</v>
      </c>
      <c r="E4537" s="9" t="s">
        <v>196</v>
      </c>
      <c r="F4537" s="9" t="s">
        <v>200</v>
      </c>
      <c r="G4537" s="9" t="s">
        <v>221</v>
      </c>
      <c r="H4537" s="9" t="n">
        <v>18996</v>
      </c>
      <c r="I4537" s="29" t="n">
        <v>6.866</v>
      </c>
      <c r="J4537" s="9" t="n">
        <v>1</v>
      </c>
      <c r="K4537" s="30"/>
      <c r="L4537" s="30"/>
      <c r="M4537" s="30"/>
      <c r="N4537" s="30"/>
      <c r="O4537" s="30"/>
      <c r="P4537" s="30"/>
      <c r="Q4537" s="30"/>
      <c r="R4537" s="30"/>
      <c r="S4537" s="30"/>
      <c r="T4537" s="30"/>
      <c r="U4537" s="21" t="str">
        <f aca="false">IF(COUNT(K4537:T4537)=0,"SOURCE EMPTY / INDUSTRIAL ONLY",IF(MIN(K4537:T4537)=1,"SERVICE READY","HOLD"))</f>
        <v>SOURCE EMPTY / INDUSTRIAL ONLY</v>
      </c>
      <c r="V4537" s="9" t="n">
        <f aca="false">IF(U4537="SERVICE READY",1,0)</f>
        <v>0</v>
      </c>
      <c r="W4537" s="6"/>
      <c r="X4537" s="6"/>
      <c r="Y4537" s="6"/>
      <c r="Z4537" s="6"/>
    </row>
    <row r="4538" customFormat="false" ht="15" hidden="false" customHeight="false" outlineLevel="0" collapsed="false">
      <c r="A4538" s="9" t="s">
        <v>4831</v>
      </c>
      <c r="B4538" s="9" t="s">
        <v>4729</v>
      </c>
      <c r="C4538" s="9" t="s">
        <v>4730</v>
      </c>
      <c r="D4538" s="9" t="s">
        <v>4731</v>
      </c>
      <c r="E4538" s="9" t="s">
        <v>196</v>
      </c>
      <c r="F4538" s="9" t="s">
        <v>203</v>
      </c>
      <c r="G4538" s="9" t="s">
        <v>221</v>
      </c>
      <c r="H4538" s="9" t="n">
        <v>18996</v>
      </c>
      <c r="I4538" s="29" t="n">
        <v>6.866</v>
      </c>
      <c r="J4538" s="9" t="n">
        <v>1</v>
      </c>
      <c r="K4538" s="30"/>
      <c r="L4538" s="30"/>
      <c r="M4538" s="30"/>
      <c r="N4538" s="30"/>
      <c r="O4538" s="30"/>
      <c r="P4538" s="30"/>
      <c r="Q4538" s="30"/>
      <c r="R4538" s="30"/>
      <c r="S4538" s="30"/>
      <c r="T4538" s="30"/>
      <c r="U4538" s="21" t="str">
        <f aca="false">IF(COUNT(K4538:T4538)=0,"SOURCE EMPTY / INDUSTRIAL ONLY",IF(MIN(K4538:T4538)=1,"SERVICE READY","HOLD"))</f>
        <v>SOURCE EMPTY / INDUSTRIAL ONLY</v>
      </c>
      <c r="V4538" s="9" t="n">
        <f aca="false">IF(U4538="SERVICE READY",1,0)</f>
        <v>0</v>
      </c>
      <c r="W4538" s="6"/>
      <c r="X4538" s="6"/>
      <c r="Y4538" s="6"/>
      <c r="Z4538" s="6"/>
    </row>
    <row r="4539" customFormat="false" ht="15" hidden="false" customHeight="false" outlineLevel="0" collapsed="false">
      <c r="A4539" s="9" t="s">
        <v>4832</v>
      </c>
      <c r="B4539" s="9" t="s">
        <v>4729</v>
      </c>
      <c r="C4539" s="9" t="s">
        <v>4730</v>
      </c>
      <c r="D4539" s="9" t="s">
        <v>4731</v>
      </c>
      <c r="E4539" s="9" t="s">
        <v>196</v>
      </c>
      <c r="F4539" s="9" t="s">
        <v>205</v>
      </c>
      <c r="G4539" s="9" t="s">
        <v>221</v>
      </c>
      <c r="H4539" s="9" t="n">
        <v>18996</v>
      </c>
      <c r="I4539" s="29" t="n">
        <v>6.866</v>
      </c>
      <c r="J4539" s="9" t="n">
        <v>1</v>
      </c>
      <c r="K4539" s="30"/>
      <c r="L4539" s="30"/>
      <c r="M4539" s="30"/>
      <c r="N4539" s="30"/>
      <c r="O4539" s="30"/>
      <c r="P4539" s="30"/>
      <c r="Q4539" s="30"/>
      <c r="R4539" s="30"/>
      <c r="S4539" s="30"/>
      <c r="T4539" s="30"/>
      <c r="U4539" s="21" t="str">
        <f aca="false">IF(COUNT(K4539:T4539)=0,"SOURCE EMPTY / INDUSTRIAL ONLY",IF(MIN(K4539:T4539)=1,"SERVICE READY","HOLD"))</f>
        <v>SOURCE EMPTY / INDUSTRIAL ONLY</v>
      </c>
      <c r="V4539" s="9" t="n">
        <f aca="false">IF(U4539="SERVICE READY",1,0)</f>
        <v>0</v>
      </c>
      <c r="W4539" s="6"/>
      <c r="X4539" s="6"/>
      <c r="Y4539" s="6"/>
      <c r="Z4539" s="6"/>
    </row>
    <row r="4540" customFormat="false" ht="15" hidden="false" customHeight="false" outlineLevel="0" collapsed="false">
      <c r="A4540" s="9" t="s">
        <v>4833</v>
      </c>
      <c r="B4540" s="9" t="s">
        <v>4729</v>
      </c>
      <c r="C4540" s="9" t="s">
        <v>4730</v>
      </c>
      <c r="D4540" s="9" t="s">
        <v>4731</v>
      </c>
      <c r="E4540" s="9" t="s">
        <v>196</v>
      </c>
      <c r="F4540" s="9" t="s">
        <v>207</v>
      </c>
      <c r="G4540" s="9" t="s">
        <v>221</v>
      </c>
      <c r="H4540" s="9" t="n">
        <v>18996</v>
      </c>
      <c r="I4540" s="29" t="n">
        <v>6.866</v>
      </c>
      <c r="J4540" s="9" t="n">
        <v>1</v>
      </c>
      <c r="K4540" s="30"/>
      <c r="L4540" s="30"/>
      <c r="M4540" s="30"/>
      <c r="N4540" s="30"/>
      <c r="O4540" s="30"/>
      <c r="P4540" s="30"/>
      <c r="Q4540" s="30"/>
      <c r="R4540" s="30"/>
      <c r="S4540" s="30"/>
      <c r="T4540" s="30"/>
      <c r="U4540" s="21" t="str">
        <f aca="false">IF(COUNT(K4540:T4540)=0,"SOURCE EMPTY / INDUSTRIAL ONLY",IF(MIN(K4540:T4540)=1,"SERVICE READY","HOLD"))</f>
        <v>SOURCE EMPTY / INDUSTRIAL ONLY</v>
      </c>
      <c r="V4540" s="9" t="n">
        <f aca="false">IF(U4540="SERVICE READY",1,0)</f>
        <v>0</v>
      </c>
      <c r="W4540" s="6"/>
      <c r="X4540" s="6"/>
      <c r="Y4540" s="6"/>
      <c r="Z4540" s="6"/>
    </row>
    <row r="4541" customFormat="false" ht="15" hidden="false" customHeight="false" outlineLevel="0" collapsed="false">
      <c r="A4541" s="9" t="s">
        <v>4834</v>
      </c>
      <c r="B4541" s="9" t="s">
        <v>4729</v>
      </c>
      <c r="C4541" s="9" t="s">
        <v>4730</v>
      </c>
      <c r="D4541" s="9" t="s">
        <v>4731</v>
      </c>
      <c r="E4541" s="9" t="s">
        <v>196</v>
      </c>
      <c r="F4541" s="9" t="s">
        <v>209</v>
      </c>
      <c r="G4541" s="9" t="s">
        <v>221</v>
      </c>
      <c r="H4541" s="9" t="n">
        <v>18996</v>
      </c>
      <c r="I4541" s="29" t="n">
        <v>6.866</v>
      </c>
      <c r="J4541" s="9" t="n">
        <v>1</v>
      </c>
      <c r="K4541" s="30"/>
      <c r="L4541" s="30"/>
      <c r="M4541" s="30"/>
      <c r="N4541" s="30"/>
      <c r="O4541" s="30"/>
      <c r="P4541" s="30"/>
      <c r="Q4541" s="30"/>
      <c r="R4541" s="30"/>
      <c r="S4541" s="30"/>
      <c r="T4541" s="30"/>
      <c r="U4541" s="21" t="str">
        <f aca="false">IF(COUNT(K4541:T4541)=0,"SOURCE EMPTY / INDUSTRIAL ONLY",IF(MIN(K4541:T4541)=1,"SERVICE READY","HOLD"))</f>
        <v>SOURCE EMPTY / INDUSTRIAL ONLY</v>
      </c>
      <c r="V4541" s="9" t="n">
        <f aca="false">IF(U4541="SERVICE READY",1,0)</f>
        <v>0</v>
      </c>
      <c r="W4541" s="6"/>
      <c r="X4541" s="6"/>
      <c r="Y4541" s="6"/>
      <c r="Z4541" s="6"/>
    </row>
    <row r="4542" customFormat="false" ht="15" hidden="false" customHeight="false" outlineLevel="0" collapsed="false">
      <c r="A4542" s="9" t="s">
        <v>4835</v>
      </c>
      <c r="B4542" s="9" t="s">
        <v>4729</v>
      </c>
      <c r="C4542" s="9" t="s">
        <v>4730</v>
      </c>
      <c r="D4542" s="9" t="s">
        <v>4731</v>
      </c>
      <c r="E4542" s="9" t="s">
        <v>196</v>
      </c>
      <c r="F4542" s="9" t="s">
        <v>211</v>
      </c>
      <c r="G4542" s="9" t="s">
        <v>221</v>
      </c>
      <c r="H4542" s="9" t="n">
        <v>18996</v>
      </c>
      <c r="I4542" s="29" t="n">
        <v>6.866</v>
      </c>
      <c r="J4542" s="9" t="n">
        <v>0</v>
      </c>
      <c r="K4542" s="30"/>
      <c r="L4542" s="30"/>
      <c r="M4542" s="30"/>
      <c r="N4542" s="30"/>
      <c r="O4542" s="30"/>
      <c r="P4542" s="30"/>
      <c r="Q4542" s="30"/>
      <c r="R4542" s="30"/>
      <c r="S4542" s="30"/>
      <c r="T4542" s="30"/>
      <c r="U4542" s="21" t="str">
        <f aca="false">IF(COUNT(K4542:T4542)=0,"SOURCE EMPTY / INDUSTRIAL ONLY",IF(MIN(K4542:T4542)=1,"SERVICE READY","HOLD"))</f>
        <v>SOURCE EMPTY / INDUSTRIAL ONLY</v>
      </c>
      <c r="V4542" s="9" t="n">
        <f aca="false">IF(U4542="SERVICE READY",1,0)</f>
        <v>0</v>
      </c>
      <c r="W4542" s="6"/>
      <c r="X4542" s="6"/>
      <c r="Y4542" s="6"/>
      <c r="Z4542" s="6"/>
    </row>
    <row r="4543" customFormat="false" ht="15" hidden="false" customHeight="false" outlineLevel="0" collapsed="false">
      <c r="A4543" s="9" t="s">
        <v>4836</v>
      </c>
      <c r="B4543" s="9" t="s">
        <v>4729</v>
      </c>
      <c r="C4543" s="9" t="s">
        <v>4730</v>
      </c>
      <c r="D4543" s="9" t="s">
        <v>4731</v>
      </c>
      <c r="E4543" s="9" t="s">
        <v>196</v>
      </c>
      <c r="F4543" s="9" t="s">
        <v>197</v>
      </c>
      <c r="G4543" s="9" t="s">
        <v>221</v>
      </c>
      <c r="H4543" s="9" t="n">
        <v>18996</v>
      </c>
      <c r="I4543" s="29" t="n">
        <v>6.866</v>
      </c>
      <c r="J4543" s="9" t="n">
        <v>0</v>
      </c>
      <c r="K4543" s="30"/>
      <c r="L4543" s="30"/>
      <c r="M4543" s="30"/>
      <c r="N4543" s="30"/>
      <c r="O4543" s="30"/>
      <c r="P4543" s="30"/>
      <c r="Q4543" s="30"/>
      <c r="R4543" s="30"/>
      <c r="S4543" s="30"/>
      <c r="T4543" s="30"/>
      <c r="U4543" s="21" t="str">
        <f aca="false">IF(COUNT(K4543:T4543)=0,"SOURCE EMPTY / INDUSTRIAL ONLY",IF(MIN(K4543:T4543)=1,"SERVICE READY","HOLD"))</f>
        <v>SOURCE EMPTY / INDUSTRIAL ONLY</v>
      </c>
      <c r="V4543" s="9" t="n">
        <f aca="false">IF(U4543="SERVICE READY",1,0)</f>
        <v>0</v>
      </c>
      <c r="W4543" s="6"/>
      <c r="X4543" s="6"/>
      <c r="Y4543" s="6"/>
      <c r="Z4543" s="6"/>
    </row>
    <row r="4544" customFormat="false" ht="15" hidden="false" customHeight="false" outlineLevel="0" collapsed="false">
      <c r="A4544" s="9" t="s">
        <v>4837</v>
      </c>
      <c r="B4544" s="9" t="s">
        <v>4729</v>
      </c>
      <c r="C4544" s="9" t="s">
        <v>4730</v>
      </c>
      <c r="D4544" s="9" t="s">
        <v>4731</v>
      </c>
      <c r="E4544" s="9" t="s">
        <v>196</v>
      </c>
      <c r="F4544" s="9" t="s">
        <v>200</v>
      </c>
      <c r="G4544" s="9" t="s">
        <v>221</v>
      </c>
      <c r="H4544" s="9" t="n">
        <v>18996</v>
      </c>
      <c r="I4544" s="29" t="n">
        <v>6.866</v>
      </c>
      <c r="J4544" s="9" t="n">
        <v>0</v>
      </c>
      <c r="K4544" s="30"/>
      <c r="L4544" s="30"/>
      <c r="M4544" s="30"/>
      <c r="N4544" s="30"/>
      <c r="O4544" s="30"/>
      <c r="P4544" s="30"/>
      <c r="Q4544" s="30"/>
      <c r="R4544" s="30"/>
      <c r="S4544" s="30"/>
      <c r="T4544" s="30"/>
      <c r="U4544" s="21" t="str">
        <f aca="false">IF(COUNT(K4544:T4544)=0,"SOURCE EMPTY / INDUSTRIAL ONLY",IF(MIN(K4544:T4544)=1,"SERVICE READY","HOLD"))</f>
        <v>SOURCE EMPTY / INDUSTRIAL ONLY</v>
      </c>
      <c r="V4544" s="9" t="n">
        <f aca="false">IF(U4544="SERVICE READY",1,0)</f>
        <v>0</v>
      </c>
      <c r="W4544" s="6"/>
      <c r="X4544" s="6"/>
      <c r="Y4544" s="6"/>
      <c r="Z4544" s="6"/>
    </row>
    <row r="4545" customFormat="false" ht="15" hidden="false" customHeight="false" outlineLevel="0" collapsed="false">
      <c r="A4545" s="9" t="s">
        <v>4838</v>
      </c>
      <c r="B4545" s="9" t="s">
        <v>4729</v>
      </c>
      <c r="C4545" s="9" t="s">
        <v>4730</v>
      </c>
      <c r="D4545" s="9" t="s">
        <v>4731</v>
      </c>
      <c r="E4545" s="9" t="s">
        <v>196</v>
      </c>
      <c r="F4545" s="9" t="s">
        <v>203</v>
      </c>
      <c r="G4545" s="9" t="s">
        <v>221</v>
      </c>
      <c r="H4545" s="9" t="n">
        <v>18996</v>
      </c>
      <c r="I4545" s="29" t="n">
        <v>6.866</v>
      </c>
      <c r="J4545" s="9" t="n">
        <v>0</v>
      </c>
      <c r="K4545" s="30"/>
      <c r="L4545" s="30"/>
      <c r="M4545" s="30"/>
      <c r="N4545" s="30"/>
      <c r="O4545" s="30"/>
      <c r="P4545" s="30"/>
      <c r="Q4545" s="30"/>
      <c r="R4545" s="30"/>
      <c r="S4545" s="30"/>
      <c r="T4545" s="30"/>
      <c r="U4545" s="21" t="str">
        <f aca="false">IF(COUNT(K4545:T4545)=0,"SOURCE EMPTY / INDUSTRIAL ONLY",IF(MIN(K4545:T4545)=1,"SERVICE READY","HOLD"))</f>
        <v>SOURCE EMPTY / INDUSTRIAL ONLY</v>
      </c>
      <c r="V4545" s="9" t="n">
        <f aca="false">IF(U4545="SERVICE READY",1,0)</f>
        <v>0</v>
      </c>
      <c r="W4545" s="6"/>
      <c r="X4545" s="6"/>
      <c r="Y4545" s="6"/>
      <c r="Z4545" s="6"/>
    </row>
    <row r="4546" customFormat="false" ht="15" hidden="false" customHeight="false" outlineLevel="0" collapsed="false">
      <c r="A4546" s="9" t="s">
        <v>4839</v>
      </c>
      <c r="B4546" s="9" t="s">
        <v>4729</v>
      </c>
      <c r="C4546" s="9" t="s">
        <v>4730</v>
      </c>
      <c r="D4546" s="9" t="s">
        <v>4731</v>
      </c>
      <c r="E4546" s="9" t="s">
        <v>196</v>
      </c>
      <c r="F4546" s="9" t="s">
        <v>205</v>
      </c>
      <c r="G4546" s="9" t="s">
        <v>221</v>
      </c>
      <c r="H4546" s="9" t="n">
        <v>18996</v>
      </c>
      <c r="I4546" s="29" t="n">
        <v>6.866</v>
      </c>
      <c r="J4546" s="9" t="n">
        <v>0</v>
      </c>
      <c r="K4546" s="30"/>
      <c r="L4546" s="30"/>
      <c r="M4546" s="30"/>
      <c r="N4546" s="30"/>
      <c r="O4546" s="30"/>
      <c r="P4546" s="30"/>
      <c r="Q4546" s="30"/>
      <c r="R4546" s="30"/>
      <c r="S4546" s="30"/>
      <c r="T4546" s="30"/>
      <c r="U4546" s="21" t="str">
        <f aca="false">IF(COUNT(K4546:T4546)=0,"SOURCE EMPTY / INDUSTRIAL ONLY",IF(MIN(K4546:T4546)=1,"SERVICE READY","HOLD"))</f>
        <v>SOURCE EMPTY / INDUSTRIAL ONLY</v>
      </c>
      <c r="V4546" s="9" t="n">
        <f aca="false">IF(U4546="SERVICE READY",1,0)</f>
        <v>0</v>
      </c>
      <c r="W4546" s="6"/>
      <c r="X4546" s="6"/>
      <c r="Y4546" s="6"/>
      <c r="Z4546" s="6"/>
    </row>
    <row r="4547" customFormat="false" ht="15" hidden="false" customHeight="false" outlineLevel="0" collapsed="false">
      <c r="A4547" s="9" t="s">
        <v>4840</v>
      </c>
      <c r="B4547" s="9" t="s">
        <v>4729</v>
      </c>
      <c r="C4547" s="9" t="s">
        <v>4730</v>
      </c>
      <c r="D4547" s="9" t="s">
        <v>4731</v>
      </c>
      <c r="E4547" s="9" t="s">
        <v>196</v>
      </c>
      <c r="F4547" s="9" t="s">
        <v>207</v>
      </c>
      <c r="G4547" s="9" t="s">
        <v>221</v>
      </c>
      <c r="H4547" s="9" t="n">
        <v>18996</v>
      </c>
      <c r="I4547" s="29" t="n">
        <v>6.866</v>
      </c>
      <c r="J4547" s="9" t="n">
        <v>0</v>
      </c>
      <c r="K4547" s="30"/>
      <c r="L4547" s="30"/>
      <c r="M4547" s="30"/>
      <c r="N4547" s="30"/>
      <c r="O4547" s="30"/>
      <c r="P4547" s="30"/>
      <c r="Q4547" s="30"/>
      <c r="R4547" s="30"/>
      <c r="S4547" s="30"/>
      <c r="T4547" s="30"/>
      <c r="U4547" s="21" t="str">
        <f aca="false">IF(COUNT(K4547:T4547)=0,"SOURCE EMPTY / INDUSTRIAL ONLY",IF(MIN(K4547:T4547)=1,"SERVICE READY","HOLD"))</f>
        <v>SOURCE EMPTY / INDUSTRIAL ONLY</v>
      </c>
      <c r="V4547" s="9" t="n">
        <f aca="false">IF(U4547="SERVICE READY",1,0)</f>
        <v>0</v>
      </c>
      <c r="W4547" s="6"/>
      <c r="X4547" s="6"/>
      <c r="Y4547" s="6"/>
      <c r="Z4547" s="6"/>
    </row>
    <row r="4548" customFormat="false" ht="15" hidden="false" customHeight="false" outlineLevel="0" collapsed="false">
      <c r="A4548" s="9" t="s">
        <v>4841</v>
      </c>
      <c r="B4548" s="9" t="s">
        <v>4729</v>
      </c>
      <c r="C4548" s="9" t="s">
        <v>4730</v>
      </c>
      <c r="D4548" s="9" t="s">
        <v>4731</v>
      </c>
      <c r="E4548" s="9" t="s">
        <v>196</v>
      </c>
      <c r="F4548" s="9" t="s">
        <v>209</v>
      </c>
      <c r="G4548" s="9" t="s">
        <v>221</v>
      </c>
      <c r="H4548" s="9" t="n">
        <v>18996</v>
      </c>
      <c r="I4548" s="29" t="n">
        <v>6.866</v>
      </c>
      <c r="J4548" s="9" t="n">
        <v>0</v>
      </c>
      <c r="K4548" s="30"/>
      <c r="L4548" s="30"/>
      <c r="M4548" s="30"/>
      <c r="N4548" s="30"/>
      <c r="O4548" s="30"/>
      <c r="P4548" s="30"/>
      <c r="Q4548" s="30"/>
      <c r="R4548" s="30"/>
      <c r="S4548" s="30"/>
      <c r="T4548" s="30"/>
      <c r="U4548" s="21" t="str">
        <f aca="false">IF(COUNT(K4548:T4548)=0,"SOURCE EMPTY / INDUSTRIAL ONLY",IF(MIN(K4548:T4548)=1,"SERVICE READY","HOLD"))</f>
        <v>SOURCE EMPTY / INDUSTRIAL ONLY</v>
      </c>
      <c r="V4548" s="9" t="n">
        <f aca="false">IF(U4548="SERVICE READY",1,0)</f>
        <v>0</v>
      </c>
      <c r="W4548" s="6"/>
      <c r="X4548" s="6"/>
      <c r="Y4548" s="6"/>
      <c r="Z4548" s="6"/>
    </row>
    <row r="4549" customFormat="false" ht="15" hidden="false" customHeight="false" outlineLevel="0" collapsed="false">
      <c r="A4549" s="9" t="s">
        <v>4842</v>
      </c>
      <c r="B4549" s="9" t="s">
        <v>4729</v>
      </c>
      <c r="C4549" s="9" t="s">
        <v>4730</v>
      </c>
      <c r="D4549" s="9" t="s">
        <v>4731</v>
      </c>
      <c r="E4549" s="9" t="s">
        <v>196</v>
      </c>
      <c r="F4549" s="9" t="s">
        <v>211</v>
      </c>
      <c r="G4549" s="9" t="s">
        <v>221</v>
      </c>
      <c r="H4549" s="9" t="n">
        <v>18996</v>
      </c>
      <c r="I4549" s="29" t="n">
        <v>6.866</v>
      </c>
      <c r="J4549" s="9" t="n">
        <v>0</v>
      </c>
      <c r="K4549" s="30"/>
      <c r="L4549" s="30"/>
      <c r="M4549" s="30"/>
      <c r="N4549" s="30"/>
      <c r="O4549" s="30"/>
      <c r="P4549" s="30"/>
      <c r="Q4549" s="30"/>
      <c r="R4549" s="30"/>
      <c r="S4549" s="30"/>
      <c r="T4549" s="30"/>
      <c r="U4549" s="21" t="str">
        <f aca="false">IF(COUNT(K4549:T4549)=0,"SOURCE EMPTY / INDUSTRIAL ONLY",IF(MIN(K4549:T4549)=1,"SERVICE READY","HOLD"))</f>
        <v>SOURCE EMPTY / INDUSTRIAL ONLY</v>
      </c>
      <c r="V4549" s="9" t="n">
        <f aca="false">IF(U4549="SERVICE READY",1,0)</f>
        <v>0</v>
      </c>
      <c r="W4549" s="6"/>
      <c r="X4549" s="6"/>
      <c r="Y4549" s="6"/>
      <c r="Z4549" s="6"/>
    </row>
    <row r="4550" customFormat="false" ht="15" hidden="false" customHeight="false" outlineLevel="0" collapsed="false">
      <c r="A4550" s="9" t="s">
        <v>4843</v>
      </c>
      <c r="B4550" s="9" t="s">
        <v>4729</v>
      </c>
      <c r="C4550" s="9" t="s">
        <v>4730</v>
      </c>
      <c r="D4550" s="9" t="s">
        <v>4731</v>
      </c>
      <c r="E4550" s="9" t="s">
        <v>196</v>
      </c>
      <c r="F4550" s="9" t="s">
        <v>197</v>
      </c>
      <c r="G4550" s="9" t="s">
        <v>221</v>
      </c>
      <c r="H4550" s="9" t="n">
        <v>18996</v>
      </c>
      <c r="I4550" s="29" t="n">
        <v>6.866</v>
      </c>
      <c r="J4550" s="9" t="n">
        <v>0</v>
      </c>
      <c r="K4550" s="30"/>
      <c r="L4550" s="30"/>
      <c r="M4550" s="30"/>
      <c r="N4550" s="30"/>
      <c r="O4550" s="30"/>
      <c r="P4550" s="30"/>
      <c r="Q4550" s="30"/>
      <c r="R4550" s="30"/>
      <c r="S4550" s="30"/>
      <c r="T4550" s="30"/>
      <c r="U4550" s="21" t="str">
        <f aca="false">IF(COUNT(K4550:T4550)=0,"SOURCE EMPTY / INDUSTRIAL ONLY",IF(MIN(K4550:T4550)=1,"SERVICE READY","HOLD"))</f>
        <v>SOURCE EMPTY / INDUSTRIAL ONLY</v>
      </c>
      <c r="V4550" s="9" t="n">
        <f aca="false">IF(U4550="SERVICE READY",1,0)</f>
        <v>0</v>
      </c>
      <c r="W4550" s="6"/>
      <c r="X4550" s="6"/>
      <c r="Y4550" s="6"/>
      <c r="Z4550" s="6"/>
    </row>
    <row r="4551" customFormat="false" ht="15" hidden="false" customHeight="false" outlineLevel="0" collapsed="false">
      <c r="A4551" s="9" t="s">
        <v>4844</v>
      </c>
      <c r="B4551" s="9" t="s">
        <v>4729</v>
      </c>
      <c r="C4551" s="9" t="s">
        <v>4730</v>
      </c>
      <c r="D4551" s="9" t="s">
        <v>4731</v>
      </c>
      <c r="E4551" s="9" t="s">
        <v>196</v>
      </c>
      <c r="F4551" s="9" t="s">
        <v>200</v>
      </c>
      <c r="G4551" s="9" t="s">
        <v>221</v>
      </c>
      <c r="H4551" s="9" t="n">
        <v>18996</v>
      </c>
      <c r="I4551" s="29" t="n">
        <v>6.866</v>
      </c>
      <c r="J4551" s="9" t="n">
        <v>0</v>
      </c>
      <c r="K4551" s="30"/>
      <c r="L4551" s="30"/>
      <c r="M4551" s="30"/>
      <c r="N4551" s="30"/>
      <c r="O4551" s="30"/>
      <c r="P4551" s="30"/>
      <c r="Q4551" s="30"/>
      <c r="R4551" s="30"/>
      <c r="S4551" s="30"/>
      <c r="T4551" s="30"/>
      <c r="U4551" s="21" t="str">
        <f aca="false">IF(COUNT(K4551:T4551)=0,"SOURCE EMPTY / INDUSTRIAL ONLY",IF(MIN(K4551:T4551)=1,"SERVICE READY","HOLD"))</f>
        <v>SOURCE EMPTY / INDUSTRIAL ONLY</v>
      </c>
      <c r="V4551" s="9" t="n">
        <f aca="false">IF(U4551="SERVICE READY",1,0)</f>
        <v>0</v>
      </c>
      <c r="W4551" s="6"/>
      <c r="X4551" s="6"/>
      <c r="Y4551" s="6"/>
      <c r="Z4551" s="6"/>
    </row>
    <row r="4552" customFormat="false" ht="15" hidden="false" customHeight="false" outlineLevel="0" collapsed="false">
      <c r="A4552" s="9" t="s">
        <v>4845</v>
      </c>
      <c r="B4552" s="9" t="s">
        <v>4729</v>
      </c>
      <c r="C4552" s="9" t="s">
        <v>4730</v>
      </c>
      <c r="D4552" s="9" t="s">
        <v>4731</v>
      </c>
      <c r="E4552" s="9" t="s">
        <v>196</v>
      </c>
      <c r="F4552" s="9" t="s">
        <v>203</v>
      </c>
      <c r="G4552" s="9" t="s">
        <v>221</v>
      </c>
      <c r="H4552" s="9" t="n">
        <v>18996</v>
      </c>
      <c r="I4552" s="29" t="n">
        <v>6.866</v>
      </c>
      <c r="J4552" s="9" t="n">
        <v>0</v>
      </c>
      <c r="K4552" s="30"/>
      <c r="L4552" s="30"/>
      <c r="M4552" s="30"/>
      <c r="N4552" s="30"/>
      <c r="O4552" s="30"/>
      <c r="P4552" s="30"/>
      <c r="Q4552" s="30"/>
      <c r="R4552" s="30"/>
      <c r="S4552" s="30"/>
      <c r="T4552" s="30"/>
      <c r="U4552" s="21" t="str">
        <f aca="false">IF(COUNT(K4552:T4552)=0,"SOURCE EMPTY / INDUSTRIAL ONLY",IF(MIN(K4552:T4552)=1,"SERVICE READY","HOLD"))</f>
        <v>SOURCE EMPTY / INDUSTRIAL ONLY</v>
      </c>
      <c r="V4552" s="9" t="n">
        <f aca="false">IF(U4552="SERVICE READY",1,0)</f>
        <v>0</v>
      </c>
      <c r="W4552" s="6"/>
      <c r="X4552" s="6"/>
      <c r="Y4552" s="6"/>
      <c r="Z4552" s="6"/>
    </row>
    <row r="4553" customFormat="false" ht="15" hidden="false" customHeight="false" outlineLevel="0" collapsed="false">
      <c r="A4553" s="9" t="s">
        <v>4846</v>
      </c>
      <c r="B4553" s="9" t="s">
        <v>4729</v>
      </c>
      <c r="C4553" s="9" t="s">
        <v>4730</v>
      </c>
      <c r="D4553" s="9" t="s">
        <v>4731</v>
      </c>
      <c r="E4553" s="9" t="s">
        <v>196</v>
      </c>
      <c r="F4553" s="9" t="s">
        <v>205</v>
      </c>
      <c r="G4553" s="9" t="s">
        <v>221</v>
      </c>
      <c r="H4553" s="9" t="n">
        <v>18996</v>
      </c>
      <c r="I4553" s="29" t="n">
        <v>6.866</v>
      </c>
      <c r="J4553" s="9" t="n">
        <v>0</v>
      </c>
      <c r="K4553" s="30"/>
      <c r="L4553" s="30"/>
      <c r="M4553" s="30"/>
      <c r="N4553" s="30"/>
      <c r="O4553" s="30"/>
      <c r="P4553" s="30"/>
      <c r="Q4553" s="30"/>
      <c r="R4553" s="30"/>
      <c r="S4553" s="30"/>
      <c r="T4553" s="30"/>
      <c r="U4553" s="21" t="str">
        <f aca="false">IF(COUNT(K4553:T4553)=0,"SOURCE EMPTY / INDUSTRIAL ONLY",IF(MIN(K4553:T4553)=1,"SERVICE READY","HOLD"))</f>
        <v>SOURCE EMPTY / INDUSTRIAL ONLY</v>
      </c>
      <c r="V4553" s="9" t="n">
        <f aca="false">IF(U4553="SERVICE READY",1,0)</f>
        <v>0</v>
      </c>
      <c r="W4553" s="6"/>
      <c r="X4553" s="6"/>
      <c r="Y4553" s="6"/>
      <c r="Z4553" s="6"/>
    </row>
    <row r="4554" customFormat="false" ht="15" hidden="false" customHeight="false" outlineLevel="0" collapsed="false">
      <c r="A4554" s="9" t="s">
        <v>4847</v>
      </c>
      <c r="B4554" s="9" t="s">
        <v>4729</v>
      </c>
      <c r="C4554" s="9" t="s">
        <v>4730</v>
      </c>
      <c r="D4554" s="9" t="s">
        <v>4731</v>
      </c>
      <c r="E4554" s="9" t="s">
        <v>196</v>
      </c>
      <c r="F4554" s="9" t="s">
        <v>207</v>
      </c>
      <c r="G4554" s="9" t="s">
        <v>221</v>
      </c>
      <c r="H4554" s="9" t="n">
        <v>18996</v>
      </c>
      <c r="I4554" s="29" t="n">
        <v>6.866</v>
      </c>
      <c r="J4554" s="9" t="n">
        <v>0</v>
      </c>
      <c r="K4554" s="30"/>
      <c r="L4554" s="30"/>
      <c r="M4554" s="30"/>
      <c r="N4554" s="30"/>
      <c r="O4554" s="30"/>
      <c r="P4554" s="30"/>
      <c r="Q4554" s="30"/>
      <c r="R4554" s="30"/>
      <c r="S4554" s="30"/>
      <c r="T4554" s="30"/>
      <c r="U4554" s="21" t="str">
        <f aca="false">IF(COUNT(K4554:T4554)=0,"SOURCE EMPTY / INDUSTRIAL ONLY",IF(MIN(K4554:T4554)=1,"SERVICE READY","HOLD"))</f>
        <v>SOURCE EMPTY / INDUSTRIAL ONLY</v>
      </c>
      <c r="V4554" s="9" t="n">
        <f aca="false">IF(U4554="SERVICE READY",1,0)</f>
        <v>0</v>
      </c>
      <c r="W4554" s="6"/>
      <c r="X4554" s="6"/>
      <c r="Y4554" s="6"/>
      <c r="Z4554" s="6"/>
    </row>
    <row r="4555" customFormat="false" ht="15" hidden="false" customHeight="false" outlineLevel="0" collapsed="false">
      <c r="A4555" s="9" t="s">
        <v>4848</v>
      </c>
      <c r="B4555" s="9" t="s">
        <v>4729</v>
      </c>
      <c r="C4555" s="9" t="s">
        <v>4730</v>
      </c>
      <c r="D4555" s="9" t="s">
        <v>4731</v>
      </c>
      <c r="E4555" s="9" t="s">
        <v>196</v>
      </c>
      <c r="F4555" s="9" t="s">
        <v>209</v>
      </c>
      <c r="G4555" s="9" t="s">
        <v>221</v>
      </c>
      <c r="H4555" s="9" t="n">
        <v>18996</v>
      </c>
      <c r="I4555" s="29" t="n">
        <v>6.866</v>
      </c>
      <c r="J4555" s="9" t="n">
        <v>0</v>
      </c>
      <c r="K4555" s="30"/>
      <c r="L4555" s="30"/>
      <c r="M4555" s="30"/>
      <c r="N4555" s="30"/>
      <c r="O4555" s="30"/>
      <c r="P4555" s="30"/>
      <c r="Q4555" s="30"/>
      <c r="R4555" s="30"/>
      <c r="S4555" s="30"/>
      <c r="T4555" s="30"/>
      <c r="U4555" s="21" t="str">
        <f aca="false">IF(COUNT(K4555:T4555)=0,"SOURCE EMPTY / INDUSTRIAL ONLY",IF(MIN(K4555:T4555)=1,"SERVICE READY","HOLD"))</f>
        <v>SOURCE EMPTY / INDUSTRIAL ONLY</v>
      </c>
      <c r="V4555" s="9" t="n">
        <f aca="false">IF(U4555="SERVICE READY",1,0)</f>
        <v>0</v>
      </c>
      <c r="W4555" s="6"/>
      <c r="X4555" s="6"/>
      <c r="Y4555" s="6"/>
      <c r="Z4555" s="6"/>
    </row>
    <row r="4556" customFormat="false" ht="15" hidden="false" customHeight="false" outlineLevel="0" collapsed="false">
      <c r="A4556" s="9" t="s">
        <v>4849</v>
      </c>
      <c r="B4556" s="9" t="s">
        <v>4729</v>
      </c>
      <c r="C4556" s="9" t="s">
        <v>4730</v>
      </c>
      <c r="D4556" s="9" t="s">
        <v>4731</v>
      </c>
      <c r="E4556" s="9" t="s">
        <v>196</v>
      </c>
      <c r="F4556" s="9" t="s">
        <v>211</v>
      </c>
      <c r="G4556" s="9" t="s">
        <v>221</v>
      </c>
      <c r="H4556" s="9" t="n">
        <v>18996</v>
      </c>
      <c r="I4556" s="29" t="n">
        <v>6.866</v>
      </c>
      <c r="J4556" s="9" t="n">
        <v>0</v>
      </c>
      <c r="K4556" s="30"/>
      <c r="L4556" s="30"/>
      <c r="M4556" s="30"/>
      <c r="N4556" s="30"/>
      <c r="O4556" s="30"/>
      <c r="P4556" s="30"/>
      <c r="Q4556" s="30"/>
      <c r="R4556" s="30"/>
      <c r="S4556" s="30"/>
      <c r="T4556" s="30"/>
      <c r="U4556" s="21" t="str">
        <f aca="false">IF(COUNT(K4556:T4556)=0,"SOURCE EMPTY / INDUSTRIAL ONLY",IF(MIN(K4556:T4556)=1,"SERVICE READY","HOLD"))</f>
        <v>SOURCE EMPTY / INDUSTRIAL ONLY</v>
      </c>
      <c r="V4556" s="9" t="n">
        <f aca="false">IF(U4556="SERVICE READY",1,0)</f>
        <v>0</v>
      </c>
      <c r="W4556" s="6"/>
      <c r="X4556" s="6"/>
      <c r="Y4556" s="6"/>
      <c r="Z4556" s="6"/>
    </row>
    <row r="4557" customFormat="false" ht="15" hidden="false" customHeight="false" outlineLevel="0" collapsed="false">
      <c r="A4557" s="9" t="s">
        <v>4850</v>
      </c>
      <c r="B4557" s="9" t="s">
        <v>4729</v>
      </c>
      <c r="C4557" s="9" t="s">
        <v>4730</v>
      </c>
      <c r="D4557" s="9" t="s">
        <v>4731</v>
      </c>
      <c r="E4557" s="9" t="s">
        <v>196</v>
      </c>
      <c r="F4557" s="9" t="s">
        <v>197</v>
      </c>
      <c r="G4557" s="9" t="s">
        <v>221</v>
      </c>
      <c r="H4557" s="9" t="n">
        <v>18996</v>
      </c>
      <c r="I4557" s="29" t="n">
        <v>6.866</v>
      </c>
      <c r="J4557" s="9" t="n">
        <v>0</v>
      </c>
      <c r="K4557" s="30"/>
      <c r="L4557" s="30"/>
      <c r="M4557" s="30"/>
      <c r="N4557" s="30"/>
      <c r="O4557" s="30"/>
      <c r="P4557" s="30"/>
      <c r="Q4557" s="30"/>
      <c r="R4557" s="30"/>
      <c r="S4557" s="30"/>
      <c r="T4557" s="30"/>
      <c r="U4557" s="21" t="str">
        <f aca="false">IF(COUNT(K4557:T4557)=0,"SOURCE EMPTY / INDUSTRIAL ONLY",IF(MIN(K4557:T4557)=1,"SERVICE READY","HOLD"))</f>
        <v>SOURCE EMPTY / INDUSTRIAL ONLY</v>
      </c>
      <c r="V4557" s="9" t="n">
        <f aca="false">IF(U4557="SERVICE READY",1,0)</f>
        <v>0</v>
      </c>
      <c r="W4557" s="6"/>
      <c r="X4557" s="6"/>
      <c r="Y4557" s="6"/>
      <c r="Z4557" s="6"/>
    </row>
    <row r="4558" customFormat="false" ht="15" hidden="false" customHeight="false" outlineLevel="0" collapsed="false">
      <c r="A4558" s="9" t="s">
        <v>4851</v>
      </c>
      <c r="B4558" s="9" t="s">
        <v>4729</v>
      </c>
      <c r="C4558" s="9" t="s">
        <v>4730</v>
      </c>
      <c r="D4558" s="9" t="s">
        <v>4731</v>
      </c>
      <c r="E4558" s="9" t="s">
        <v>196</v>
      </c>
      <c r="F4558" s="9" t="s">
        <v>200</v>
      </c>
      <c r="G4558" s="9" t="s">
        <v>221</v>
      </c>
      <c r="H4558" s="9" t="n">
        <v>18996</v>
      </c>
      <c r="I4558" s="29" t="n">
        <v>6.866</v>
      </c>
      <c r="J4558" s="9" t="n">
        <v>0</v>
      </c>
      <c r="K4558" s="30"/>
      <c r="L4558" s="30"/>
      <c r="M4558" s="30"/>
      <c r="N4558" s="30"/>
      <c r="O4558" s="30"/>
      <c r="P4558" s="30"/>
      <c r="Q4558" s="30"/>
      <c r="R4558" s="30"/>
      <c r="S4558" s="30"/>
      <c r="T4558" s="30"/>
      <c r="U4558" s="21" t="str">
        <f aca="false">IF(COUNT(K4558:T4558)=0,"SOURCE EMPTY / INDUSTRIAL ONLY",IF(MIN(K4558:T4558)=1,"SERVICE READY","HOLD"))</f>
        <v>SOURCE EMPTY / INDUSTRIAL ONLY</v>
      </c>
      <c r="V4558" s="9" t="n">
        <f aca="false">IF(U4558="SERVICE READY",1,0)</f>
        <v>0</v>
      </c>
      <c r="W4558" s="6"/>
      <c r="X4558" s="6"/>
      <c r="Y4558" s="6"/>
      <c r="Z4558" s="6"/>
    </row>
    <row r="4559" customFormat="false" ht="15" hidden="false" customHeight="false" outlineLevel="0" collapsed="false">
      <c r="A4559" s="9" t="s">
        <v>4852</v>
      </c>
      <c r="B4559" s="9" t="s">
        <v>4729</v>
      </c>
      <c r="C4559" s="9" t="s">
        <v>4730</v>
      </c>
      <c r="D4559" s="9" t="s">
        <v>4731</v>
      </c>
      <c r="E4559" s="9" t="s">
        <v>196</v>
      </c>
      <c r="F4559" s="9" t="s">
        <v>203</v>
      </c>
      <c r="G4559" s="9" t="s">
        <v>221</v>
      </c>
      <c r="H4559" s="9" t="n">
        <v>18996</v>
      </c>
      <c r="I4559" s="29" t="n">
        <v>6.866</v>
      </c>
      <c r="J4559" s="9" t="n">
        <v>0</v>
      </c>
      <c r="K4559" s="30"/>
      <c r="L4559" s="30"/>
      <c r="M4559" s="30"/>
      <c r="N4559" s="30"/>
      <c r="O4559" s="30"/>
      <c r="P4559" s="30"/>
      <c r="Q4559" s="30"/>
      <c r="R4559" s="30"/>
      <c r="S4559" s="30"/>
      <c r="T4559" s="30"/>
      <c r="U4559" s="21" t="str">
        <f aca="false">IF(COUNT(K4559:T4559)=0,"SOURCE EMPTY / INDUSTRIAL ONLY",IF(MIN(K4559:T4559)=1,"SERVICE READY","HOLD"))</f>
        <v>SOURCE EMPTY / INDUSTRIAL ONLY</v>
      </c>
      <c r="V4559" s="9" t="n">
        <f aca="false">IF(U4559="SERVICE READY",1,0)</f>
        <v>0</v>
      </c>
      <c r="W4559" s="6"/>
      <c r="X4559" s="6"/>
      <c r="Y4559" s="6"/>
      <c r="Z4559" s="6"/>
    </row>
    <row r="4560" customFormat="false" ht="15" hidden="false" customHeight="false" outlineLevel="0" collapsed="false">
      <c r="A4560" s="9" t="s">
        <v>4853</v>
      </c>
      <c r="B4560" s="9" t="s">
        <v>4729</v>
      </c>
      <c r="C4560" s="9" t="s">
        <v>4730</v>
      </c>
      <c r="D4560" s="9" t="s">
        <v>4731</v>
      </c>
      <c r="E4560" s="9" t="s">
        <v>196</v>
      </c>
      <c r="F4560" s="9" t="s">
        <v>205</v>
      </c>
      <c r="G4560" s="9" t="s">
        <v>221</v>
      </c>
      <c r="H4560" s="9" t="n">
        <v>18996</v>
      </c>
      <c r="I4560" s="29" t="n">
        <v>6.866</v>
      </c>
      <c r="J4560" s="9" t="n">
        <v>0</v>
      </c>
      <c r="K4560" s="30"/>
      <c r="L4560" s="30"/>
      <c r="M4560" s="30"/>
      <c r="N4560" s="30"/>
      <c r="O4560" s="30"/>
      <c r="P4560" s="30"/>
      <c r="Q4560" s="30"/>
      <c r="R4560" s="30"/>
      <c r="S4560" s="30"/>
      <c r="T4560" s="30"/>
      <c r="U4560" s="21" t="str">
        <f aca="false">IF(COUNT(K4560:T4560)=0,"SOURCE EMPTY / INDUSTRIAL ONLY",IF(MIN(K4560:T4560)=1,"SERVICE READY","HOLD"))</f>
        <v>SOURCE EMPTY / INDUSTRIAL ONLY</v>
      </c>
      <c r="V4560" s="9" t="n">
        <f aca="false">IF(U4560="SERVICE READY",1,0)</f>
        <v>0</v>
      </c>
      <c r="W4560" s="6"/>
      <c r="X4560" s="6"/>
      <c r="Y4560" s="6"/>
      <c r="Z4560" s="6"/>
    </row>
    <row r="4561" customFormat="false" ht="15" hidden="false" customHeight="false" outlineLevel="0" collapsed="false">
      <c r="A4561" s="9" t="s">
        <v>4854</v>
      </c>
      <c r="B4561" s="9" t="s">
        <v>4729</v>
      </c>
      <c r="C4561" s="9" t="s">
        <v>4730</v>
      </c>
      <c r="D4561" s="9" t="s">
        <v>4731</v>
      </c>
      <c r="E4561" s="9" t="s">
        <v>196</v>
      </c>
      <c r="F4561" s="9" t="s">
        <v>207</v>
      </c>
      <c r="G4561" s="9" t="s">
        <v>221</v>
      </c>
      <c r="H4561" s="9" t="n">
        <v>18996</v>
      </c>
      <c r="I4561" s="29" t="n">
        <v>6.866</v>
      </c>
      <c r="J4561" s="9" t="n">
        <v>0</v>
      </c>
      <c r="K4561" s="30"/>
      <c r="L4561" s="30"/>
      <c r="M4561" s="30"/>
      <c r="N4561" s="30"/>
      <c r="O4561" s="30"/>
      <c r="P4561" s="30"/>
      <c r="Q4561" s="30"/>
      <c r="R4561" s="30"/>
      <c r="S4561" s="30"/>
      <c r="T4561" s="30"/>
      <c r="U4561" s="21" t="str">
        <f aca="false">IF(COUNT(K4561:T4561)=0,"SOURCE EMPTY / INDUSTRIAL ONLY",IF(MIN(K4561:T4561)=1,"SERVICE READY","HOLD"))</f>
        <v>SOURCE EMPTY / INDUSTRIAL ONLY</v>
      </c>
      <c r="V4561" s="9" t="n">
        <f aca="false">IF(U4561="SERVICE READY",1,0)</f>
        <v>0</v>
      </c>
      <c r="W4561" s="6"/>
      <c r="X4561" s="6"/>
      <c r="Y4561" s="6"/>
      <c r="Z4561" s="6"/>
    </row>
    <row r="4562" customFormat="false" ht="15" hidden="false" customHeight="false" outlineLevel="0" collapsed="false">
      <c r="A4562" s="9" t="s">
        <v>4855</v>
      </c>
      <c r="B4562" s="9" t="s">
        <v>4729</v>
      </c>
      <c r="C4562" s="9" t="s">
        <v>4730</v>
      </c>
      <c r="D4562" s="9" t="s">
        <v>4731</v>
      </c>
      <c r="E4562" s="9" t="s">
        <v>196</v>
      </c>
      <c r="F4562" s="9" t="s">
        <v>209</v>
      </c>
      <c r="G4562" s="9" t="s">
        <v>221</v>
      </c>
      <c r="H4562" s="9" t="n">
        <v>18996</v>
      </c>
      <c r="I4562" s="29" t="n">
        <v>6.866</v>
      </c>
      <c r="J4562" s="9" t="n">
        <v>0</v>
      </c>
      <c r="K4562" s="30"/>
      <c r="L4562" s="30"/>
      <c r="M4562" s="30"/>
      <c r="N4562" s="30"/>
      <c r="O4562" s="30"/>
      <c r="P4562" s="30"/>
      <c r="Q4562" s="30"/>
      <c r="R4562" s="30"/>
      <c r="S4562" s="30"/>
      <c r="T4562" s="30"/>
      <c r="U4562" s="21" t="str">
        <f aca="false">IF(COUNT(K4562:T4562)=0,"SOURCE EMPTY / INDUSTRIAL ONLY",IF(MIN(K4562:T4562)=1,"SERVICE READY","HOLD"))</f>
        <v>SOURCE EMPTY / INDUSTRIAL ONLY</v>
      </c>
      <c r="V4562" s="9" t="n">
        <f aca="false">IF(U4562="SERVICE READY",1,0)</f>
        <v>0</v>
      </c>
      <c r="W4562" s="6"/>
      <c r="X4562" s="6"/>
      <c r="Y4562" s="6"/>
      <c r="Z4562" s="6"/>
    </row>
    <row r="4563" customFormat="false" ht="15" hidden="false" customHeight="false" outlineLevel="0" collapsed="false">
      <c r="A4563" s="9" t="s">
        <v>4856</v>
      </c>
      <c r="B4563" s="9" t="s">
        <v>4729</v>
      </c>
      <c r="C4563" s="9" t="s">
        <v>4730</v>
      </c>
      <c r="D4563" s="9" t="s">
        <v>4731</v>
      </c>
      <c r="E4563" s="9" t="s">
        <v>196</v>
      </c>
      <c r="F4563" s="9" t="s">
        <v>211</v>
      </c>
      <c r="G4563" s="9" t="s">
        <v>221</v>
      </c>
      <c r="H4563" s="9" t="n">
        <v>18996</v>
      </c>
      <c r="I4563" s="29" t="n">
        <v>6.866</v>
      </c>
      <c r="J4563" s="9" t="n">
        <v>0</v>
      </c>
      <c r="K4563" s="30"/>
      <c r="L4563" s="30"/>
      <c r="M4563" s="30"/>
      <c r="N4563" s="30"/>
      <c r="O4563" s="30"/>
      <c r="P4563" s="30"/>
      <c r="Q4563" s="30"/>
      <c r="R4563" s="30"/>
      <c r="S4563" s="30"/>
      <c r="T4563" s="30"/>
      <c r="U4563" s="21" t="str">
        <f aca="false">IF(COUNT(K4563:T4563)=0,"SOURCE EMPTY / INDUSTRIAL ONLY",IF(MIN(K4563:T4563)=1,"SERVICE READY","HOLD"))</f>
        <v>SOURCE EMPTY / INDUSTRIAL ONLY</v>
      </c>
      <c r="V4563" s="9" t="n">
        <f aca="false">IF(U4563="SERVICE READY",1,0)</f>
        <v>0</v>
      </c>
      <c r="W4563" s="6"/>
      <c r="X4563" s="6"/>
      <c r="Y4563" s="6"/>
      <c r="Z4563" s="6"/>
    </row>
    <row r="4564" customFormat="false" ht="15" hidden="false" customHeight="false" outlineLevel="0" collapsed="false">
      <c r="A4564" s="9" t="s">
        <v>4857</v>
      </c>
      <c r="B4564" s="9" t="s">
        <v>4729</v>
      </c>
      <c r="C4564" s="9" t="s">
        <v>4730</v>
      </c>
      <c r="D4564" s="9" t="s">
        <v>4731</v>
      </c>
      <c r="E4564" s="9" t="s">
        <v>196</v>
      </c>
      <c r="F4564" s="9" t="s">
        <v>197</v>
      </c>
      <c r="G4564" s="9" t="s">
        <v>221</v>
      </c>
      <c r="H4564" s="9" t="n">
        <v>18996</v>
      </c>
      <c r="I4564" s="29" t="n">
        <v>6.866</v>
      </c>
      <c r="J4564" s="9" t="n">
        <v>0</v>
      </c>
      <c r="K4564" s="30"/>
      <c r="L4564" s="30"/>
      <c r="M4564" s="30"/>
      <c r="N4564" s="30"/>
      <c r="O4564" s="30"/>
      <c r="P4564" s="30"/>
      <c r="Q4564" s="30"/>
      <c r="R4564" s="30"/>
      <c r="S4564" s="30"/>
      <c r="T4564" s="30"/>
      <c r="U4564" s="21" t="str">
        <f aca="false">IF(COUNT(K4564:T4564)=0,"SOURCE EMPTY / INDUSTRIAL ONLY",IF(MIN(K4564:T4564)=1,"SERVICE READY","HOLD"))</f>
        <v>SOURCE EMPTY / INDUSTRIAL ONLY</v>
      </c>
      <c r="V4564" s="9" t="n">
        <f aca="false">IF(U4564="SERVICE READY",1,0)</f>
        <v>0</v>
      </c>
      <c r="W4564" s="6"/>
      <c r="X4564" s="6"/>
      <c r="Y4564" s="6"/>
      <c r="Z4564" s="6"/>
    </row>
    <row r="4565" customFormat="false" ht="15" hidden="false" customHeight="false" outlineLevel="0" collapsed="false">
      <c r="A4565" s="9" t="s">
        <v>4858</v>
      </c>
      <c r="B4565" s="9" t="s">
        <v>4729</v>
      </c>
      <c r="C4565" s="9" t="s">
        <v>4730</v>
      </c>
      <c r="D4565" s="9" t="s">
        <v>4731</v>
      </c>
      <c r="E4565" s="9" t="s">
        <v>196</v>
      </c>
      <c r="F4565" s="9" t="s">
        <v>200</v>
      </c>
      <c r="G4565" s="9" t="s">
        <v>221</v>
      </c>
      <c r="H4565" s="9" t="n">
        <v>18996</v>
      </c>
      <c r="I4565" s="29" t="n">
        <v>6.866</v>
      </c>
      <c r="J4565" s="9" t="n">
        <v>0</v>
      </c>
      <c r="K4565" s="30"/>
      <c r="L4565" s="30"/>
      <c r="M4565" s="30"/>
      <c r="N4565" s="30"/>
      <c r="O4565" s="30"/>
      <c r="P4565" s="30"/>
      <c r="Q4565" s="30"/>
      <c r="R4565" s="30"/>
      <c r="S4565" s="30"/>
      <c r="T4565" s="30"/>
      <c r="U4565" s="21" t="str">
        <f aca="false">IF(COUNT(K4565:T4565)=0,"SOURCE EMPTY / INDUSTRIAL ONLY",IF(MIN(K4565:T4565)=1,"SERVICE READY","HOLD"))</f>
        <v>SOURCE EMPTY / INDUSTRIAL ONLY</v>
      </c>
      <c r="V4565" s="9" t="n">
        <f aca="false">IF(U4565="SERVICE READY",1,0)</f>
        <v>0</v>
      </c>
      <c r="W4565" s="6"/>
      <c r="X4565" s="6"/>
      <c r="Y4565" s="6"/>
      <c r="Z4565" s="6"/>
    </row>
    <row r="4566" customFormat="false" ht="15" hidden="false" customHeight="false" outlineLevel="0" collapsed="false">
      <c r="A4566" s="9" t="s">
        <v>4859</v>
      </c>
      <c r="B4566" s="9" t="s">
        <v>4729</v>
      </c>
      <c r="C4566" s="9" t="s">
        <v>4730</v>
      </c>
      <c r="D4566" s="9" t="s">
        <v>4731</v>
      </c>
      <c r="E4566" s="9" t="s">
        <v>196</v>
      </c>
      <c r="F4566" s="9" t="s">
        <v>203</v>
      </c>
      <c r="G4566" s="9" t="s">
        <v>221</v>
      </c>
      <c r="H4566" s="9" t="n">
        <v>18995</v>
      </c>
      <c r="I4566" s="29" t="n">
        <v>6.866</v>
      </c>
      <c r="J4566" s="9" t="n">
        <v>0</v>
      </c>
      <c r="K4566" s="30"/>
      <c r="L4566" s="30"/>
      <c r="M4566" s="30"/>
      <c r="N4566" s="30"/>
      <c r="O4566" s="30"/>
      <c r="P4566" s="30"/>
      <c r="Q4566" s="30"/>
      <c r="R4566" s="30"/>
      <c r="S4566" s="30"/>
      <c r="T4566" s="30"/>
      <c r="U4566" s="21" t="str">
        <f aca="false">IF(COUNT(K4566:T4566)=0,"SOURCE EMPTY / INDUSTRIAL ONLY",IF(MIN(K4566:T4566)=1,"SERVICE READY","HOLD"))</f>
        <v>SOURCE EMPTY / INDUSTRIAL ONLY</v>
      </c>
      <c r="V4566" s="9" t="n">
        <f aca="false">IF(U4566="SERVICE READY",1,0)</f>
        <v>0</v>
      </c>
      <c r="W4566" s="6"/>
      <c r="X4566" s="6"/>
      <c r="Y4566" s="6"/>
      <c r="Z4566" s="6"/>
    </row>
    <row r="4567" customFormat="false" ht="15" hidden="false" customHeight="false" outlineLevel="0" collapsed="false">
      <c r="A4567" s="9" t="s">
        <v>4860</v>
      </c>
      <c r="B4567" s="9" t="s">
        <v>4729</v>
      </c>
      <c r="C4567" s="9" t="s">
        <v>4730</v>
      </c>
      <c r="D4567" s="9" t="s">
        <v>4731</v>
      </c>
      <c r="E4567" s="9" t="s">
        <v>196</v>
      </c>
      <c r="F4567" s="9" t="s">
        <v>205</v>
      </c>
      <c r="G4567" s="9" t="s">
        <v>221</v>
      </c>
      <c r="H4567" s="9" t="n">
        <v>18995</v>
      </c>
      <c r="I4567" s="29" t="n">
        <v>6.866</v>
      </c>
      <c r="J4567" s="9" t="n">
        <v>0</v>
      </c>
      <c r="K4567" s="30"/>
      <c r="L4567" s="30"/>
      <c r="M4567" s="30"/>
      <c r="N4567" s="30"/>
      <c r="O4567" s="30"/>
      <c r="P4567" s="30"/>
      <c r="Q4567" s="30"/>
      <c r="R4567" s="30"/>
      <c r="S4567" s="30"/>
      <c r="T4567" s="30"/>
      <c r="U4567" s="21" t="str">
        <f aca="false">IF(COUNT(K4567:T4567)=0,"SOURCE EMPTY / INDUSTRIAL ONLY",IF(MIN(K4567:T4567)=1,"SERVICE READY","HOLD"))</f>
        <v>SOURCE EMPTY / INDUSTRIAL ONLY</v>
      </c>
      <c r="V4567" s="9" t="n">
        <f aca="false">IF(U4567="SERVICE READY",1,0)</f>
        <v>0</v>
      </c>
      <c r="W4567" s="6"/>
      <c r="X4567" s="6"/>
      <c r="Y4567" s="6"/>
      <c r="Z4567" s="6"/>
    </row>
    <row r="4568" customFormat="false" ht="15" hidden="false" customHeight="false" outlineLevel="0" collapsed="false">
      <c r="A4568" s="9" t="s">
        <v>4861</v>
      </c>
      <c r="B4568" s="9" t="s">
        <v>4729</v>
      </c>
      <c r="C4568" s="9" t="s">
        <v>4730</v>
      </c>
      <c r="D4568" s="9" t="s">
        <v>4731</v>
      </c>
      <c r="E4568" s="9" t="s">
        <v>196</v>
      </c>
      <c r="F4568" s="9" t="s">
        <v>207</v>
      </c>
      <c r="G4568" s="9" t="s">
        <v>221</v>
      </c>
      <c r="H4568" s="9" t="n">
        <v>18995</v>
      </c>
      <c r="I4568" s="29" t="n">
        <v>6.866</v>
      </c>
      <c r="J4568" s="9" t="n">
        <v>0</v>
      </c>
      <c r="K4568" s="30"/>
      <c r="L4568" s="30"/>
      <c r="M4568" s="30"/>
      <c r="N4568" s="30"/>
      <c r="O4568" s="30"/>
      <c r="P4568" s="30"/>
      <c r="Q4568" s="30"/>
      <c r="R4568" s="30"/>
      <c r="S4568" s="30"/>
      <c r="T4568" s="30"/>
      <c r="U4568" s="21" t="str">
        <f aca="false">IF(COUNT(K4568:T4568)=0,"SOURCE EMPTY / INDUSTRIAL ONLY",IF(MIN(K4568:T4568)=1,"SERVICE READY","HOLD"))</f>
        <v>SOURCE EMPTY / INDUSTRIAL ONLY</v>
      </c>
      <c r="V4568" s="9" t="n">
        <f aca="false">IF(U4568="SERVICE READY",1,0)</f>
        <v>0</v>
      </c>
      <c r="W4568" s="6"/>
      <c r="X4568" s="6"/>
      <c r="Y4568" s="6"/>
      <c r="Z4568" s="6"/>
    </row>
    <row r="4569" customFormat="false" ht="15" hidden="false" customHeight="false" outlineLevel="0" collapsed="false">
      <c r="A4569" s="9" t="s">
        <v>4862</v>
      </c>
      <c r="B4569" s="9" t="s">
        <v>4729</v>
      </c>
      <c r="C4569" s="9" t="s">
        <v>4730</v>
      </c>
      <c r="D4569" s="9" t="s">
        <v>4731</v>
      </c>
      <c r="E4569" s="9" t="s">
        <v>196</v>
      </c>
      <c r="F4569" s="9" t="s">
        <v>209</v>
      </c>
      <c r="G4569" s="9" t="s">
        <v>221</v>
      </c>
      <c r="H4569" s="9" t="n">
        <v>18995</v>
      </c>
      <c r="I4569" s="29" t="n">
        <v>6.866</v>
      </c>
      <c r="J4569" s="9" t="n">
        <v>0</v>
      </c>
      <c r="K4569" s="30"/>
      <c r="L4569" s="30"/>
      <c r="M4569" s="30"/>
      <c r="N4569" s="30"/>
      <c r="O4569" s="30"/>
      <c r="P4569" s="30"/>
      <c r="Q4569" s="30"/>
      <c r="R4569" s="30"/>
      <c r="S4569" s="30"/>
      <c r="T4569" s="30"/>
      <c r="U4569" s="21" t="str">
        <f aca="false">IF(COUNT(K4569:T4569)=0,"SOURCE EMPTY / INDUSTRIAL ONLY",IF(MIN(K4569:T4569)=1,"SERVICE READY","HOLD"))</f>
        <v>SOURCE EMPTY / INDUSTRIAL ONLY</v>
      </c>
      <c r="V4569" s="9" t="n">
        <f aca="false">IF(U4569="SERVICE READY",1,0)</f>
        <v>0</v>
      </c>
      <c r="W4569" s="6"/>
      <c r="X4569" s="6"/>
      <c r="Y4569" s="6"/>
      <c r="Z4569" s="6"/>
    </row>
    <row r="4570" customFormat="false" ht="15" hidden="false" customHeight="false" outlineLevel="0" collapsed="false">
      <c r="A4570" s="9" t="s">
        <v>4863</v>
      </c>
      <c r="B4570" s="9" t="s">
        <v>4729</v>
      </c>
      <c r="C4570" s="9" t="s">
        <v>4730</v>
      </c>
      <c r="D4570" s="9" t="s">
        <v>4731</v>
      </c>
      <c r="E4570" s="9" t="s">
        <v>196</v>
      </c>
      <c r="F4570" s="9" t="s">
        <v>211</v>
      </c>
      <c r="G4570" s="9" t="s">
        <v>221</v>
      </c>
      <c r="H4570" s="9" t="n">
        <v>18995</v>
      </c>
      <c r="I4570" s="29" t="n">
        <v>6.866</v>
      </c>
      <c r="J4570" s="9" t="n">
        <v>0</v>
      </c>
      <c r="K4570" s="30"/>
      <c r="L4570" s="30"/>
      <c r="M4570" s="30"/>
      <c r="N4570" s="30"/>
      <c r="O4570" s="30"/>
      <c r="P4570" s="30"/>
      <c r="Q4570" s="30"/>
      <c r="R4570" s="30"/>
      <c r="S4570" s="30"/>
      <c r="T4570" s="30"/>
      <c r="U4570" s="21" t="str">
        <f aca="false">IF(COUNT(K4570:T4570)=0,"SOURCE EMPTY / INDUSTRIAL ONLY",IF(MIN(K4570:T4570)=1,"SERVICE READY","HOLD"))</f>
        <v>SOURCE EMPTY / INDUSTRIAL ONLY</v>
      </c>
      <c r="V4570" s="9" t="n">
        <f aca="false">IF(U4570="SERVICE READY",1,0)</f>
        <v>0</v>
      </c>
      <c r="W4570" s="6"/>
      <c r="X4570" s="6"/>
      <c r="Y4570" s="6"/>
      <c r="Z4570" s="6"/>
    </row>
    <row r="4571" customFormat="false" ht="15" hidden="false" customHeight="false" outlineLevel="0" collapsed="false">
      <c r="A4571" s="9" t="s">
        <v>4864</v>
      </c>
      <c r="B4571" s="9" t="s">
        <v>4729</v>
      </c>
      <c r="C4571" s="9" t="s">
        <v>4730</v>
      </c>
      <c r="D4571" s="9" t="s">
        <v>4731</v>
      </c>
      <c r="E4571" s="9" t="s">
        <v>196</v>
      </c>
      <c r="F4571" s="9" t="s">
        <v>197</v>
      </c>
      <c r="G4571" s="9" t="s">
        <v>221</v>
      </c>
      <c r="H4571" s="9" t="n">
        <v>18995</v>
      </c>
      <c r="I4571" s="29" t="n">
        <v>6.866</v>
      </c>
      <c r="J4571" s="9" t="n">
        <v>0</v>
      </c>
      <c r="K4571" s="30"/>
      <c r="L4571" s="30"/>
      <c r="M4571" s="30"/>
      <c r="N4571" s="30"/>
      <c r="O4571" s="30"/>
      <c r="P4571" s="30"/>
      <c r="Q4571" s="30"/>
      <c r="R4571" s="30"/>
      <c r="S4571" s="30"/>
      <c r="T4571" s="30"/>
      <c r="U4571" s="21" t="str">
        <f aca="false">IF(COUNT(K4571:T4571)=0,"SOURCE EMPTY / INDUSTRIAL ONLY",IF(MIN(K4571:T4571)=1,"SERVICE READY","HOLD"))</f>
        <v>SOURCE EMPTY / INDUSTRIAL ONLY</v>
      </c>
      <c r="V4571" s="9" t="n">
        <f aca="false">IF(U4571="SERVICE READY",1,0)</f>
        <v>0</v>
      </c>
      <c r="W4571" s="6"/>
      <c r="X4571" s="6"/>
      <c r="Y4571" s="6"/>
      <c r="Z4571" s="6"/>
    </row>
    <row r="4572" customFormat="false" ht="15" hidden="false" customHeight="false" outlineLevel="0" collapsed="false">
      <c r="A4572" s="9" t="s">
        <v>4865</v>
      </c>
      <c r="B4572" s="9" t="s">
        <v>4729</v>
      </c>
      <c r="C4572" s="9" t="s">
        <v>4730</v>
      </c>
      <c r="D4572" s="9" t="s">
        <v>4731</v>
      </c>
      <c r="E4572" s="9" t="s">
        <v>196</v>
      </c>
      <c r="F4572" s="9" t="s">
        <v>200</v>
      </c>
      <c r="G4572" s="9" t="s">
        <v>221</v>
      </c>
      <c r="H4572" s="9" t="n">
        <v>18995</v>
      </c>
      <c r="I4572" s="29" t="n">
        <v>6.866</v>
      </c>
      <c r="J4572" s="9" t="n">
        <v>0</v>
      </c>
      <c r="K4572" s="30"/>
      <c r="L4572" s="30"/>
      <c r="M4572" s="30"/>
      <c r="N4572" s="30"/>
      <c r="O4572" s="30"/>
      <c r="P4572" s="30"/>
      <c r="Q4572" s="30"/>
      <c r="R4572" s="30"/>
      <c r="S4572" s="30"/>
      <c r="T4572" s="30"/>
      <c r="U4572" s="21" t="str">
        <f aca="false">IF(COUNT(K4572:T4572)=0,"SOURCE EMPTY / INDUSTRIAL ONLY",IF(MIN(K4572:T4572)=1,"SERVICE READY","HOLD"))</f>
        <v>SOURCE EMPTY / INDUSTRIAL ONLY</v>
      </c>
      <c r="V4572" s="9" t="n">
        <f aca="false">IF(U4572="SERVICE READY",1,0)</f>
        <v>0</v>
      </c>
      <c r="W4572" s="6"/>
      <c r="X4572" s="6"/>
      <c r="Y4572" s="6"/>
      <c r="Z4572" s="6"/>
    </row>
    <row r="4573" customFormat="false" ht="15" hidden="false" customHeight="false" outlineLevel="0" collapsed="false">
      <c r="A4573" s="9" t="s">
        <v>4866</v>
      </c>
      <c r="B4573" s="9" t="s">
        <v>4729</v>
      </c>
      <c r="C4573" s="9" t="s">
        <v>4730</v>
      </c>
      <c r="D4573" s="9" t="s">
        <v>4731</v>
      </c>
      <c r="E4573" s="9" t="s">
        <v>196</v>
      </c>
      <c r="F4573" s="9" t="s">
        <v>203</v>
      </c>
      <c r="G4573" s="9" t="s">
        <v>221</v>
      </c>
      <c r="H4573" s="9" t="n">
        <v>18995</v>
      </c>
      <c r="I4573" s="29" t="n">
        <v>6.866</v>
      </c>
      <c r="J4573" s="9" t="n">
        <v>0</v>
      </c>
      <c r="K4573" s="30"/>
      <c r="L4573" s="30"/>
      <c r="M4573" s="30"/>
      <c r="N4573" s="30"/>
      <c r="O4573" s="30"/>
      <c r="P4573" s="30"/>
      <c r="Q4573" s="30"/>
      <c r="R4573" s="30"/>
      <c r="S4573" s="30"/>
      <c r="T4573" s="30"/>
      <c r="U4573" s="21" t="str">
        <f aca="false">IF(COUNT(K4573:T4573)=0,"SOURCE EMPTY / INDUSTRIAL ONLY",IF(MIN(K4573:T4573)=1,"SERVICE READY","HOLD"))</f>
        <v>SOURCE EMPTY / INDUSTRIAL ONLY</v>
      </c>
      <c r="V4573" s="9" t="n">
        <f aca="false">IF(U4573="SERVICE READY",1,0)</f>
        <v>0</v>
      </c>
      <c r="W4573" s="6"/>
      <c r="X4573" s="6"/>
      <c r="Y4573" s="6"/>
      <c r="Z4573" s="6"/>
    </row>
    <row r="4574" customFormat="false" ht="15" hidden="false" customHeight="false" outlineLevel="0" collapsed="false">
      <c r="A4574" s="9" t="s">
        <v>4867</v>
      </c>
      <c r="B4574" s="9" t="s">
        <v>4729</v>
      </c>
      <c r="C4574" s="9" t="s">
        <v>4730</v>
      </c>
      <c r="D4574" s="9" t="s">
        <v>4731</v>
      </c>
      <c r="E4574" s="9" t="s">
        <v>196</v>
      </c>
      <c r="F4574" s="9" t="s">
        <v>205</v>
      </c>
      <c r="G4574" s="9" t="s">
        <v>221</v>
      </c>
      <c r="H4574" s="9" t="n">
        <v>18995</v>
      </c>
      <c r="I4574" s="29" t="n">
        <v>6.866</v>
      </c>
      <c r="J4574" s="9" t="n">
        <v>0</v>
      </c>
      <c r="K4574" s="30"/>
      <c r="L4574" s="30"/>
      <c r="M4574" s="30"/>
      <c r="N4574" s="30"/>
      <c r="O4574" s="30"/>
      <c r="P4574" s="30"/>
      <c r="Q4574" s="30"/>
      <c r="R4574" s="30"/>
      <c r="S4574" s="30"/>
      <c r="T4574" s="30"/>
      <c r="U4574" s="21" t="str">
        <f aca="false">IF(COUNT(K4574:T4574)=0,"SOURCE EMPTY / INDUSTRIAL ONLY",IF(MIN(K4574:T4574)=1,"SERVICE READY","HOLD"))</f>
        <v>SOURCE EMPTY / INDUSTRIAL ONLY</v>
      </c>
      <c r="V4574" s="9" t="n">
        <f aca="false">IF(U4574="SERVICE READY",1,0)</f>
        <v>0</v>
      </c>
      <c r="W4574" s="6"/>
      <c r="X4574" s="6"/>
      <c r="Y4574" s="6"/>
      <c r="Z4574" s="6"/>
    </row>
    <row r="4575" customFormat="false" ht="15" hidden="false" customHeight="false" outlineLevel="0" collapsed="false">
      <c r="A4575" s="9" t="s">
        <v>4868</v>
      </c>
      <c r="B4575" s="9" t="s">
        <v>4729</v>
      </c>
      <c r="C4575" s="9" t="s">
        <v>4730</v>
      </c>
      <c r="D4575" s="9" t="s">
        <v>4731</v>
      </c>
      <c r="E4575" s="9" t="s">
        <v>196</v>
      </c>
      <c r="F4575" s="9" t="s">
        <v>207</v>
      </c>
      <c r="G4575" s="9" t="s">
        <v>221</v>
      </c>
      <c r="H4575" s="9" t="n">
        <v>18995</v>
      </c>
      <c r="I4575" s="29" t="n">
        <v>6.866</v>
      </c>
      <c r="J4575" s="9" t="n">
        <v>0</v>
      </c>
      <c r="K4575" s="30"/>
      <c r="L4575" s="30"/>
      <c r="M4575" s="30"/>
      <c r="N4575" s="30"/>
      <c r="O4575" s="30"/>
      <c r="P4575" s="30"/>
      <c r="Q4575" s="30"/>
      <c r="R4575" s="30"/>
      <c r="S4575" s="30"/>
      <c r="T4575" s="30"/>
      <c r="U4575" s="21" t="str">
        <f aca="false">IF(COUNT(K4575:T4575)=0,"SOURCE EMPTY / INDUSTRIAL ONLY",IF(MIN(K4575:T4575)=1,"SERVICE READY","HOLD"))</f>
        <v>SOURCE EMPTY / INDUSTRIAL ONLY</v>
      </c>
      <c r="V4575" s="9" t="n">
        <f aca="false">IF(U4575="SERVICE READY",1,0)</f>
        <v>0</v>
      </c>
      <c r="W4575" s="6"/>
      <c r="X4575" s="6"/>
      <c r="Y4575" s="6"/>
      <c r="Z4575" s="6"/>
    </row>
    <row r="4576" customFormat="false" ht="15" hidden="false" customHeight="false" outlineLevel="0" collapsed="false">
      <c r="A4576" s="9" t="s">
        <v>4869</v>
      </c>
      <c r="B4576" s="9" t="s">
        <v>4729</v>
      </c>
      <c r="C4576" s="9" t="s">
        <v>4730</v>
      </c>
      <c r="D4576" s="9" t="s">
        <v>4731</v>
      </c>
      <c r="E4576" s="9" t="s">
        <v>196</v>
      </c>
      <c r="F4576" s="9" t="s">
        <v>209</v>
      </c>
      <c r="G4576" s="9" t="s">
        <v>221</v>
      </c>
      <c r="H4576" s="9" t="n">
        <v>18995</v>
      </c>
      <c r="I4576" s="29" t="n">
        <v>6.866</v>
      </c>
      <c r="J4576" s="9" t="n">
        <v>0</v>
      </c>
      <c r="K4576" s="30"/>
      <c r="L4576" s="30"/>
      <c r="M4576" s="30"/>
      <c r="N4576" s="30"/>
      <c r="O4576" s="30"/>
      <c r="P4576" s="30"/>
      <c r="Q4576" s="30"/>
      <c r="R4576" s="30"/>
      <c r="S4576" s="30"/>
      <c r="T4576" s="30"/>
      <c r="U4576" s="21" t="str">
        <f aca="false">IF(COUNT(K4576:T4576)=0,"SOURCE EMPTY / INDUSTRIAL ONLY",IF(MIN(K4576:T4576)=1,"SERVICE READY","HOLD"))</f>
        <v>SOURCE EMPTY / INDUSTRIAL ONLY</v>
      </c>
      <c r="V4576" s="9" t="n">
        <f aca="false">IF(U4576="SERVICE READY",1,0)</f>
        <v>0</v>
      </c>
      <c r="W4576" s="6"/>
      <c r="X4576" s="6"/>
      <c r="Y4576" s="6"/>
      <c r="Z4576" s="6"/>
    </row>
    <row r="4577" customFormat="false" ht="15" hidden="false" customHeight="false" outlineLevel="0" collapsed="false">
      <c r="A4577" s="9" t="s">
        <v>4870</v>
      </c>
      <c r="B4577" s="9" t="s">
        <v>4729</v>
      </c>
      <c r="C4577" s="9" t="s">
        <v>4730</v>
      </c>
      <c r="D4577" s="9" t="s">
        <v>4731</v>
      </c>
      <c r="E4577" s="9" t="s">
        <v>196</v>
      </c>
      <c r="F4577" s="9" t="s">
        <v>211</v>
      </c>
      <c r="G4577" s="9" t="s">
        <v>221</v>
      </c>
      <c r="H4577" s="9" t="n">
        <v>18995</v>
      </c>
      <c r="I4577" s="29" t="n">
        <v>6.866</v>
      </c>
      <c r="J4577" s="9" t="n">
        <v>0</v>
      </c>
      <c r="K4577" s="30"/>
      <c r="L4577" s="30"/>
      <c r="M4577" s="30"/>
      <c r="N4577" s="30"/>
      <c r="O4577" s="30"/>
      <c r="P4577" s="30"/>
      <c r="Q4577" s="30"/>
      <c r="R4577" s="30"/>
      <c r="S4577" s="30"/>
      <c r="T4577" s="30"/>
      <c r="U4577" s="21" t="str">
        <f aca="false">IF(COUNT(K4577:T4577)=0,"SOURCE EMPTY / INDUSTRIAL ONLY",IF(MIN(K4577:T4577)=1,"SERVICE READY","HOLD"))</f>
        <v>SOURCE EMPTY / INDUSTRIAL ONLY</v>
      </c>
      <c r="V4577" s="9" t="n">
        <f aca="false">IF(U4577="SERVICE READY",1,0)</f>
        <v>0</v>
      </c>
      <c r="W4577" s="6"/>
      <c r="X4577" s="6"/>
      <c r="Y4577" s="6"/>
      <c r="Z4577" s="6"/>
    </row>
    <row r="4578" customFormat="false" ht="15" hidden="false" customHeight="false" outlineLevel="0" collapsed="false">
      <c r="A4578" s="9" t="s">
        <v>4871</v>
      </c>
      <c r="B4578" s="9" t="s">
        <v>4729</v>
      </c>
      <c r="C4578" s="9" t="s">
        <v>4730</v>
      </c>
      <c r="D4578" s="9" t="s">
        <v>4731</v>
      </c>
      <c r="E4578" s="9" t="s">
        <v>196</v>
      </c>
      <c r="F4578" s="9" t="s">
        <v>197</v>
      </c>
      <c r="G4578" s="9" t="s">
        <v>221</v>
      </c>
      <c r="H4578" s="9" t="n">
        <v>18995</v>
      </c>
      <c r="I4578" s="29" t="n">
        <v>6.866</v>
      </c>
      <c r="J4578" s="9" t="n">
        <v>0</v>
      </c>
      <c r="K4578" s="30"/>
      <c r="L4578" s="30"/>
      <c r="M4578" s="30"/>
      <c r="N4578" s="30"/>
      <c r="O4578" s="30"/>
      <c r="P4578" s="30"/>
      <c r="Q4578" s="30"/>
      <c r="R4578" s="30"/>
      <c r="S4578" s="30"/>
      <c r="T4578" s="30"/>
      <c r="U4578" s="21" t="str">
        <f aca="false">IF(COUNT(K4578:T4578)=0,"SOURCE EMPTY / INDUSTRIAL ONLY",IF(MIN(K4578:T4578)=1,"SERVICE READY","HOLD"))</f>
        <v>SOURCE EMPTY / INDUSTRIAL ONLY</v>
      </c>
      <c r="V4578" s="9" t="n">
        <f aca="false">IF(U4578="SERVICE READY",1,0)</f>
        <v>0</v>
      </c>
      <c r="W4578" s="6"/>
      <c r="X4578" s="6"/>
      <c r="Y4578" s="6"/>
      <c r="Z4578" s="6"/>
    </row>
    <row r="4579" customFormat="false" ht="15" hidden="false" customHeight="false" outlineLevel="0" collapsed="false">
      <c r="A4579" s="9" t="s">
        <v>4872</v>
      </c>
      <c r="B4579" s="9" t="s">
        <v>4729</v>
      </c>
      <c r="C4579" s="9" t="s">
        <v>4730</v>
      </c>
      <c r="D4579" s="9" t="s">
        <v>4731</v>
      </c>
      <c r="E4579" s="9" t="s">
        <v>196</v>
      </c>
      <c r="F4579" s="9" t="s">
        <v>200</v>
      </c>
      <c r="G4579" s="9" t="s">
        <v>221</v>
      </c>
      <c r="H4579" s="9" t="n">
        <v>18995</v>
      </c>
      <c r="I4579" s="29" t="n">
        <v>6.866</v>
      </c>
      <c r="J4579" s="9" t="n">
        <v>0</v>
      </c>
      <c r="K4579" s="30"/>
      <c r="L4579" s="30"/>
      <c r="M4579" s="30"/>
      <c r="N4579" s="30"/>
      <c r="O4579" s="30"/>
      <c r="P4579" s="30"/>
      <c r="Q4579" s="30"/>
      <c r="R4579" s="30"/>
      <c r="S4579" s="30"/>
      <c r="T4579" s="30"/>
      <c r="U4579" s="21" t="str">
        <f aca="false">IF(COUNT(K4579:T4579)=0,"SOURCE EMPTY / INDUSTRIAL ONLY",IF(MIN(K4579:T4579)=1,"SERVICE READY","HOLD"))</f>
        <v>SOURCE EMPTY / INDUSTRIAL ONLY</v>
      </c>
      <c r="V4579" s="9" t="n">
        <f aca="false">IF(U4579="SERVICE READY",1,0)</f>
        <v>0</v>
      </c>
      <c r="W4579" s="6"/>
      <c r="X4579" s="6"/>
      <c r="Y4579" s="6"/>
      <c r="Z4579" s="6"/>
    </row>
    <row r="4580" customFormat="false" ht="15" hidden="false" customHeight="false" outlineLevel="0" collapsed="false">
      <c r="A4580" s="9" t="s">
        <v>4873</v>
      </c>
      <c r="B4580" s="9" t="s">
        <v>4729</v>
      </c>
      <c r="C4580" s="9" t="s">
        <v>4730</v>
      </c>
      <c r="D4580" s="9" t="s">
        <v>4731</v>
      </c>
      <c r="E4580" s="9" t="s">
        <v>196</v>
      </c>
      <c r="F4580" s="9" t="s">
        <v>203</v>
      </c>
      <c r="G4580" s="9" t="s">
        <v>221</v>
      </c>
      <c r="H4580" s="9" t="n">
        <v>18995</v>
      </c>
      <c r="I4580" s="29" t="n">
        <v>6.866</v>
      </c>
      <c r="J4580" s="9" t="n">
        <v>0</v>
      </c>
      <c r="K4580" s="30"/>
      <c r="L4580" s="30"/>
      <c r="M4580" s="30"/>
      <c r="N4580" s="30"/>
      <c r="O4580" s="30"/>
      <c r="P4580" s="30"/>
      <c r="Q4580" s="30"/>
      <c r="R4580" s="30"/>
      <c r="S4580" s="30"/>
      <c r="T4580" s="30"/>
      <c r="U4580" s="21" t="str">
        <f aca="false">IF(COUNT(K4580:T4580)=0,"SOURCE EMPTY / INDUSTRIAL ONLY",IF(MIN(K4580:T4580)=1,"SERVICE READY","HOLD"))</f>
        <v>SOURCE EMPTY / INDUSTRIAL ONLY</v>
      </c>
      <c r="V4580" s="9" t="n">
        <f aca="false">IF(U4580="SERVICE READY",1,0)</f>
        <v>0</v>
      </c>
      <c r="W4580" s="6"/>
      <c r="X4580" s="6"/>
      <c r="Y4580" s="6"/>
      <c r="Z4580" s="6"/>
    </row>
    <row r="4581" customFormat="false" ht="15" hidden="false" customHeight="false" outlineLevel="0" collapsed="false">
      <c r="A4581" s="9" t="s">
        <v>4874</v>
      </c>
      <c r="B4581" s="9" t="s">
        <v>4729</v>
      </c>
      <c r="C4581" s="9" t="s">
        <v>4730</v>
      </c>
      <c r="D4581" s="9" t="s">
        <v>4731</v>
      </c>
      <c r="E4581" s="9" t="s">
        <v>196</v>
      </c>
      <c r="F4581" s="9" t="s">
        <v>205</v>
      </c>
      <c r="G4581" s="9" t="s">
        <v>221</v>
      </c>
      <c r="H4581" s="9" t="n">
        <v>18995</v>
      </c>
      <c r="I4581" s="29" t="n">
        <v>6.866</v>
      </c>
      <c r="J4581" s="9" t="n">
        <v>0</v>
      </c>
      <c r="K4581" s="30"/>
      <c r="L4581" s="30"/>
      <c r="M4581" s="30"/>
      <c r="N4581" s="30"/>
      <c r="O4581" s="30"/>
      <c r="P4581" s="30"/>
      <c r="Q4581" s="30"/>
      <c r="R4581" s="30"/>
      <c r="S4581" s="30"/>
      <c r="T4581" s="30"/>
      <c r="U4581" s="21" t="str">
        <f aca="false">IF(COUNT(K4581:T4581)=0,"SOURCE EMPTY / INDUSTRIAL ONLY",IF(MIN(K4581:T4581)=1,"SERVICE READY","HOLD"))</f>
        <v>SOURCE EMPTY / INDUSTRIAL ONLY</v>
      </c>
      <c r="V4581" s="9" t="n">
        <f aca="false">IF(U4581="SERVICE READY",1,0)</f>
        <v>0</v>
      </c>
      <c r="W4581" s="6"/>
      <c r="X4581" s="6"/>
      <c r="Y4581" s="6"/>
      <c r="Z4581" s="6"/>
    </row>
    <row r="4582" customFormat="false" ht="15" hidden="false" customHeight="false" outlineLevel="0" collapsed="false">
      <c r="A4582" s="9" t="s">
        <v>4875</v>
      </c>
      <c r="B4582" s="9" t="s">
        <v>4729</v>
      </c>
      <c r="C4582" s="9" t="s">
        <v>4730</v>
      </c>
      <c r="D4582" s="9" t="s">
        <v>4731</v>
      </c>
      <c r="E4582" s="9" t="s">
        <v>196</v>
      </c>
      <c r="F4582" s="9" t="s">
        <v>207</v>
      </c>
      <c r="G4582" s="9" t="s">
        <v>221</v>
      </c>
      <c r="H4582" s="9" t="n">
        <v>18995</v>
      </c>
      <c r="I4582" s="29" t="n">
        <v>6.866</v>
      </c>
      <c r="J4582" s="9" t="n">
        <v>0</v>
      </c>
      <c r="K4582" s="30"/>
      <c r="L4582" s="30"/>
      <c r="M4582" s="30"/>
      <c r="N4582" s="30"/>
      <c r="O4582" s="30"/>
      <c r="P4582" s="30"/>
      <c r="Q4582" s="30"/>
      <c r="R4582" s="30"/>
      <c r="S4582" s="30"/>
      <c r="T4582" s="30"/>
      <c r="U4582" s="21" t="str">
        <f aca="false">IF(COUNT(K4582:T4582)=0,"SOURCE EMPTY / INDUSTRIAL ONLY",IF(MIN(K4582:T4582)=1,"SERVICE READY","HOLD"))</f>
        <v>SOURCE EMPTY / INDUSTRIAL ONLY</v>
      </c>
      <c r="V4582" s="9" t="n">
        <f aca="false">IF(U4582="SERVICE READY",1,0)</f>
        <v>0</v>
      </c>
      <c r="W4582" s="6"/>
      <c r="X4582" s="6"/>
      <c r="Y4582" s="6"/>
      <c r="Z4582" s="6"/>
    </row>
    <row r="4583" customFormat="false" ht="15" hidden="false" customHeight="false" outlineLevel="0" collapsed="false">
      <c r="A4583" s="9" t="s">
        <v>4876</v>
      </c>
      <c r="B4583" s="9" t="s">
        <v>4729</v>
      </c>
      <c r="C4583" s="9" t="s">
        <v>4730</v>
      </c>
      <c r="D4583" s="9" t="s">
        <v>4731</v>
      </c>
      <c r="E4583" s="9" t="s">
        <v>196</v>
      </c>
      <c r="F4583" s="9" t="s">
        <v>209</v>
      </c>
      <c r="G4583" s="9" t="s">
        <v>221</v>
      </c>
      <c r="H4583" s="9" t="n">
        <v>18995</v>
      </c>
      <c r="I4583" s="29" t="n">
        <v>6.866</v>
      </c>
      <c r="J4583" s="9" t="n">
        <v>0</v>
      </c>
      <c r="K4583" s="30"/>
      <c r="L4583" s="30"/>
      <c r="M4583" s="30"/>
      <c r="N4583" s="30"/>
      <c r="O4583" s="30"/>
      <c r="P4583" s="30"/>
      <c r="Q4583" s="30"/>
      <c r="R4583" s="30"/>
      <c r="S4583" s="30"/>
      <c r="T4583" s="30"/>
      <c r="U4583" s="21" t="str">
        <f aca="false">IF(COUNT(K4583:T4583)=0,"SOURCE EMPTY / INDUSTRIAL ONLY",IF(MIN(K4583:T4583)=1,"SERVICE READY","HOLD"))</f>
        <v>SOURCE EMPTY / INDUSTRIAL ONLY</v>
      </c>
      <c r="V4583" s="9" t="n">
        <f aca="false">IF(U4583="SERVICE READY",1,0)</f>
        <v>0</v>
      </c>
      <c r="W4583" s="6"/>
      <c r="X4583" s="6"/>
      <c r="Y4583" s="6"/>
      <c r="Z4583" s="6"/>
    </row>
    <row r="4584" customFormat="false" ht="15" hidden="false" customHeight="false" outlineLevel="0" collapsed="false">
      <c r="A4584" s="9" t="s">
        <v>4877</v>
      </c>
      <c r="B4584" s="9" t="s">
        <v>4729</v>
      </c>
      <c r="C4584" s="9" t="s">
        <v>4730</v>
      </c>
      <c r="D4584" s="9" t="s">
        <v>4731</v>
      </c>
      <c r="E4584" s="9" t="s">
        <v>196</v>
      </c>
      <c r="F4584" s="9" t="s">
        <v>211</v>
      </c>
      <c r="G4584" s="9" t="s">
        <v>221</v>
      </c>
      <c r="H4584" s="9" t="n">
        <v>18995</v>
      </c>
      <c r="I4584" s="29" t="n">
        <v>6.866</v>
      </c>
      <c r="J4584" s="9" t="n">
        <v>0</v>
      </c>
      <c r="K4584" s="30"/>
      <c r="L4584" s="30"/>
      <c r="M4584" s="30"/>
      <c r="N4584" s="30"/>
      <c r="O4584" s="30"/>
      <c r="P4584" s="30"/>
      <c r="Q4584" s="30"/>
      <c r="R4584" s="30"/>
      <c r="S4584" s="30"/>
      <c r="T4584" s="30"/>
      <c r="U4584" s="21" t="str">
        <f aca="false">IF(COUNT(K4584:T4584)=0,"SOURCE EMPTY / INDUSTRIAL ONLY",IF(MIN(K4584:T4584)=1,"SERVICE READY","HOLD"))</f>
        <v>SOURCE EMPTY / INDUSTRIAL ONLY</v>
      </c>
      <c r="V4584" s="9" t="n">
        <f aca="false">IF(U4584="SERVICE READY",1,0)</f>
        <v>0</v>
      </c>
      <c r="W4584" s="6"/>
      <c r="X4584" s="6"/>
      <c r="Y4584" s="6"/>
      <c r="Z4584" s="6"/>
    </row>
    <row r="4585" customFormat="false" ht="15" hidden="false" customHeight="false" outlineLevel="0" collapsed="false">
      <c r="A4585" s="9" t="s">
        <v>4878</v>
      </c>
      <c r="B4585" s="9" t="s">
        <v>4729</v>
      </c>
      <c r="C4585" s="9" t="s">
        <v>4730</v>
      </c>
      <c r="D4585" s="9" t="s">
        <v>4731</v>
      </c>
      <c r="E4585" s="9" t="s">
        <v>196</v>
      </c>
      <c r="F4585" s="9" t="s">
        <v>197</v>
      </c>
      <c r="G4585" s="9" t="s">
        <v>221</v>
      </c>
      <c r="H4585" s="9" t="n">
        <v>18995</v>
      </c>
      <c r="I4585" s="29" t="n">
        <v>6.866</v>
      </c>
      <c r="J4585" s="9" t="n">
        <v>0</v>
      </c>
      <c r="K4585" s="30"/>
      <c r="L4585" s="30"/>
      <c r="M4585" s="30"/>
      <c r="N4585" s="30"/>
      <c r="O4585" s="30"/>
      <c r="P4585" s="30"/>
      <c r="Q4585" s="30"/>
      <c r="R4585" s="30"/>
      <c r="S4585" s="30"/>
      <c r="T4585" s="30"/>
      <c r="U4585" s="21" t="str">
        <f aca="false">IF(COUNT(K4585:T4585)=0,"SOURCE EMPTY / INDUSTRIAL ONLY",IF(MIN(K4585:T4585)=1,"SERVICE READY","HOLD"))</f>
        <v>SOURCE EMPTY / INDUSTRIAL ONLY</v>
      </c>
      <c r="V4585" s="9" t="n">
        <f aca="false">IF(U4585="SERVICE READY",1,0)</f>
        <v>0</v>
      </c>
      <c r="W4585" s="6"/>
      <c r="X4585" s="6"/>
      <c r="Y4585" s="6"/>
      <c r="Z4585" s="6"/>
    </row>
    <row r="4586" customFormat="false" ht="15" hidden="false" customHeight="false" outlineLevel="0" collapsed="false">
      <c r="A4586" s="9" t="s">
        <v>4879</v>
      </c>
      <c r="B4586" s="9" t="s">
        <v>4729</v>
      </c>
      <c r="C4586" s="9" t="s">
        <v>4730</v>
      </c>
      <c r="D4586" s="9" t="s">
        <v>4731</v>
      </c>
      <c r="E4586" s="9" t="s">
        <v>196</v>
      </c>
      <c r="F4586" s="9" t="s">
        <v>200</v>
      </c>
      <c r="G4586" s="9" t="s">
        <v>221</v>
      </c>
      <c r="H4586" s="9" t="n">
        <v>18995</v>
      </c>
      <c r="I4586" s="29" t="n">
        <v>6.866</v>
      </c>
      <c r="J4586" s="9" t="n">
        <v>0</v>
      </c>
      <c r="K4586" s="30"/>
      <c r="L4586" s="30"/>
      <c r="M4586" s="30"/>
      <c r="N4586" s="30"/>
      <c r="O4586" s="30"/>
      <c r="P4586" s="30"/>
      <c r="Q4586" s="30"/>
      <c r="R4586" s="30"/>
      <c r="S4586" s="30"/>
      <c r="T4586" s="30"/>
      <c r="U4586" s="21" t="str">
        <f aca="false">IF(COUNT(K4586:T4586)=0,"SOURCE EMPTY / INDUSTRIAL ONLY",IF(MIN(K4586:T4586)=1,"SERVICE READY","HOLD"))</f>
        <v>SOURCE EMPTY / INDUSTRIAL ONLY</v>
      </c>
      <c r="V4586" s="9" t="n">
        <f aca="false">IF(U4586="SERVICE READY",1,0)</f>
        <v>0</v>
      </c>
      <c r="W4586" s="6"/>
      <c r="X4586" s="6"/>
      <c r="Y4586" s="6"/>
      <c r="Z4586" s="6"/>
    </row>
    <row r="4587" customFormat="false" ht="15" hidden="false" customHeight="false" outlineLevel="0" collapsed="false">
      <c r="A4587" s="9" t="s">
        <v>4880</v>
      </c>
      <c r="B4587" s="9" t="s">
        <v>4729</v>
      </c>
      <c r="C4587" s="9" t="s">
        <v>4730</v>
      </c>
      <c r="D4587" s="9" t="s">
        <v>4731</v>
      </c>
      <c r="E4587" s="9" t="s">
        <v>196</v>
      </c>
      <c r="F4587" s="9" t="s">
        <v>203</v>
      </c>
      <c r="G4587" s="9" t="s">
        <v>221</v>
      </c>
      <c r="H4587" s="9" t="n">
        <v>18995</v>
      </c>
      <c r="I4587" s="29" t="n">
        <v>6.866</v>
      </c>
      <c r="J4587" s="9" t="n">
        <v>0</v>
      </c>
      <c r="K4587" s="30"/>
      <c r="L4587" s="30"/>
      <c r="M4587" s="30"/>
      <c r="N4587" s="30"/>
      <c r="O4587" s="30"/>
      <c r="P4587" s="30"/>
      <c r="Q4587" s="30"/>
      <c r="R4587" s="30"/>
      <c r="S4587" s="30"/>
      <c r="T4587" s="30"/>
      <c r="U4587" s="21" t="str">
        <f aca="false">IF(COUNT(K4587:T4587)=0,"SOURCE EMPTY / INDUSTRIAL ONLY",IF(MIN(K4587:T4587)=1,"SERVICE READY","HOLD"))</f>
        <v>SOURCE EMPTY / INDUSTRIAL ONLY</v>
      </c>
      <c r="V4587" s="9" t="n">
        <f aca="false">IF(U4587="SERVICE READY",1,0)</f>
        <v>0</v>
      </c>
      <c r="W4587" s="6"/>
      <c r="X4587" s="6"/>
      <c r="Y4587" s="6"/>
      <c r="Z4587" s="6"/>
    </row>
    <row r="4588" customFormat="false" ht="15" hidden="false" customHeight="false" outlineLevel="0" collapsed="false">
      <c r="A4588" s="9" t="s">
        <v>4881</v>
      </c>
      <c r="B4588" s="9" t="s">
        <v>4729</v>
      </c>
      <c r="C4588" s="9" t="s">
        <v>4730</v>
      </c>
      <c r="D4588" s="9" t="s">
        <v>4731</v>
      </c>
      <c r="E4588" s="9" t="s">
        <v>196</v>
      </c>
      <c r="F4588" s="9" t="s">
        <v>205</v>
      </c>
      <c r="G4588" s="9" t="s">
        <v>221</v>
      </c>
      <c r="H4588" s="9" t="n">
        <v>18995</v>
      </c>
      <c r="I4588" s="29" t="n">
        <v>6.866</v>
      </c>
      <c r="J4588" s="9" t="n">
        <v>0</v>
      </c>
      <c r="K4588" s="30"/>
      <c r="L4588" s="30"/>
      <c r="M4588" s="30"/>
      <c r="N4588" s="30"/>
      <c r="O4588" s="30"/>
      <c r="P4588" s="30"/>
      <c r="Q4588" s="30"/>
      <c r="R4588" s="30"/>
      <c r="S4588" s="30"/>
      <c r="T4588" s="30"/>
      <c r="U4588" s="21" t="str">
        <f aca="false">IF(COUNT(K4588:T4588)=0,"SOURCE EMPTY / INDUSTRIAL ONLY",IF(MIN(K4588:T4588)=1,"SERVICE READY","HOLD"))</f>
        <v>SOURCE EMPTY / INDUSTRIAL ONLY</v>
      </c>
      <c r="V4588" s="9" t="n">
        <f aca="false">IF(U4588="SERVICE READY",1,0)</f>
        <v>0</v>
      </c>
      <c r="W4588" s="6"/>
      <c r="X4588" s="6"/>
      <c r="Y4588" s="6"/>
      <c r="Z4588" s="6"/>
    </row>
    <row r="4589" customFormat="false" ht="15" hidden="false" customHeight="false" outlineLevel="0" collapsed="false">
      <c r="A4589" s="9" t="s">
        <v>4882</v>
      </c>
      <c r="B4589" s="9" t="s">
        <v>4729</v>
      </c>
      <c r="C4589" s="9" t="s">
        <v>4730</v>
      </c>
      <c r="D4589" s="9" t="s">
        <v>4731</v>
      </c>
      <c r="E4589" s="9" t="s">
        <v>196</v>
      </c>
      <c r="F4589" s="9" t="s">
        <v>207</v>
      </c>
      <c r="G4589" s="9" t="s">
        <v>221</v>
      </c>
      <c r="H4589" s="9" t="n">
        <v>18995</v>
      </c>
      <c r="I4589" s="29" t="n">
        <v>6.866</v>
      </c>
      <c r="J4589" s="9" t="n">
        <v>0</v>
      </c>
      <c r="K4589" s="30"/>
      <c r="L4589" s="30"/>
      <c r="M4589" s="30"/>
      <c r="N4589" s="30"/>
      <c r="O4589" s="30"/>
      <c r="P4589" s="30"/>
      <c r="Q4589" s="30"/>
      <c r="R4589" s="30"/>
      <c r="S4589" s="30"/>
      <c r="T4589" s="30"/>
      <c r="U4589" s="21" t="str">
        <f aca="false">IF(COUNT(K4589:T4589)=0,"SOURCE EMPTY / INDUSTRIAL ONLY",IF(MIN(K4589:T4589)=1,"SERVICE READY","HOLD"))</f>
        <v>SOURCE EMPTY / INDUSTRIAL ONLY</v>
      </c>
      <c r="V4589" s="9" t="n">
        <f aca="false">IF(U4589="SERVICE READY",1,0)</f>
        <v>0</v>
      </c>
      <c r="W4589" s="6"/>
      <c r="X4589" s="6"/>
      <c r="Y4589" s="6"/>
      <c r="Z4589" s="6"/>
    </row>
    <row r="4590" customFormat="false" ht="15" hidden="false" customHeight="false" outlineLevel="0" collapsed="false">
      <c r="A4590" s="9" t="s">
        <v>4883</v>
      </c>
      <c r="B4590" s="9" t="s">
        <v>4729</v>
      </c>
      <c r="C4590" s="9" t="s">
        <v>4730</v>
      </c>
      <c r="D4590" s="9" t="s">
        <v>4731</v>
      </c>
      <c r="E4590" s="9" t="s">
        <v>196</v>
      </c>
      <c r="F4590" s="9" t="s">
        <v>209</v>
      </c>
      <c r="G4590" s="9" t="s">
        <v>221</v>
      </c>
      <c r="H4590" s="9" t="n">
        <v>18995</v>
      </c>
      <c r="I4590" s="29" t="n">
        <v>6.866</v>
      </c>
      <c r="J4590" s="9" t="n">
        <v>0</v>
      </c>
      <c r="K4590" s="30"/>
      <c r="L4590" s="30"/>
      <c r="M4590" s="30"/>
      <c r="N4590" s="30"/>
      <c r="O4590" s="30"/>
      <c r="P4590" s="30"/>
      <c r="Q4590" s="30"/>
      <c r="R4590" s="30"/>
      <c r="S4590" s="30"/>
      <c r="T4590" s="30"/>
      <c r="U4590" s="21" t="str">
        <f aca="false">IF(COUNT(K4590:T4590)=0,"SOURCE EMPTY / INDUSTRIAL ONLY",IF(MIN(K4590:T4590)=1,"SERVICE READY","HOLD"))</f>
        <v>SOURCE EMPTY / INDUSTRIAL ONLY</v>
      </c>
      <c r="V4590" s="9" t="n">
        <f aca="false">IF(U4590="SERVICE READY",1,0)</f>
        <v>0</v>
      </c>
      <c r="W4590" s="6"/>
      <c r="X4590" s="6"/>
      <c r="Y4590" s="6"/>
      <c r="Z4590" s="6"/>
    </row>
    <row r="4591" customFormat="false" ht="15" hidden="false" customHeight="false" outlineLevel="0" collapsed="false">
      <c r="A4591" s="9" t="s">
        <v>4884</v>
      </c>
      <c r="B4591" s="9" t="s">
        <v>4729</v>
      </c>
      <c r="C4591" s="9" t="s">
        <v>4730</v>
      </c>
      <c r="D4591" s="9" t="s">
        <v>4731</v>
      </c>
      <c r="E4591" s="9" t="s">
        <v>196</v>
      </c>
      <c r="F4591" s="9" t="s">
        <v>211</v>
      </c>
      <c r="G4591" s="9" t="s">
        <v>221</v>
      </c>
      <c r="H4591" s="9" t="n">
        <v>18995</v>
      </c>
      <c r="I4591" s="29" t="n">
        <v>6.866</v>
      </c>
      <c r="J4591" s="9" t="n">
        <v>0</v>
      </c>
      <c r="K4591" s="30"/>
      <c r="L4591" s="30"/>
      <c r="M4591" s="30"/>
      <c r="N4591" s="30"/>
      <c r="O4591" s="30"/>
      <c r="P4591" s="30"/>
      <c r="Q4591" s="30"/>
      <c r="R4591" s="30"/>
      <c r="S4591" s="30"/>
      <c r="T4591" s="30"/>
      <c r="U4591" s="21" t="str">
        <f aca="false">IF(COUNT(K4591:T4591)=0,"SOURCE EMPTY / INDUSTRIAL ONLY",IF(MIN(K4591:T4591)=1,"SERVICE READY","HOLD"))</f>
        <v>SOURCE EMPTY / INDUSTRIAL ONLY</v>
      </c>
      <c r="V4591" s="9" t="n">
        <f aca="false">IF(U4591="SERVICE READY",1,0)</f>
        <v>0</v>
      </c>
      <c r="W4591" s="6"/>
      <c r="X4591" s="6"/>
      <c r="Y4591" s="6"/>
      <c r="Z4591" s="6"/>
    </row>
    <row r="4592" customFormat="false" ht="15" hidden="false" customHeight="false" outlineLevel="0" collapsed="false">
      <c r="A4592" s="9" t="s">
        <v>4885</v>
      </c>
      <c r="B4592" s="9" t="s">
        <v>4729</v>
      </c>
      <c r="C4592" s="9" t="s">
        <v>4730</v>
      </c>
      <c r="D4592" s="9" t="s">
        <v>4731</v>
      </c>
      <c r="E4592" s="9" t="s">
        <v>196</v>
      </c>
      <c r="F4592" s="9" t="s">
        <v>197</v>
      </c>
      <c r="G4592" s="9" t="s">
        <v>221</v>
      </c>
      <c r="H4592" s="9" t="n">
        <v>18995</v>
      </c>
      <c r="I4592" s="29" t="n">
        <v>6.866</v>
      </c>
      <c r="J4592" s="9" t="n">
        <v>0</v>
      </c>
      <c r="K4592" s="30"/>
      <c r="L4592" s="30"/>
      <c r="M4592" s="30"/>
      <c r="N4592" s="30"/>
      <c r="O4592" s="30"/>
      <c r="P4592" s="30"/>
      <c r="Q4592" s="30"/>
      <c r="R4592" s="30"/>
      <c r="S4592" s="30"/>
      <c r="T4592" s="30"/>
      <c r="U4592" s="21" t="str">
        <f aca="false">IF(COUNT(K4592:T4592)=0,"SOURCE EMPTY / INDUSTRIAL ONLY",IF(MIN(K4592:T4592)=1,"SERVICE READY","HOLD"))</f>
        <v>SOURCE EMPTY / INDUSTRIAL ONLY</v>
      </c>
      <c r="V4592" s="9" t="n">
        <f aca="false">IF(U4592="SERVICE READY",1,0)</f>
        <v>0</v>
      </c>
      <c r="W4592" s="6"/>
      <c r="X4592" s="6"/>
      <c r="Y4592" s="6"/>
      <c r="Z4592" s="6"/>
    </row>
    <row r="4593" customFormat="false" ht="15" hidden="false" customHeight="false" outlineLevel="0" collapsed="false">
      <c r="A4593" s="9" t="s">
        <v>4886</v>
      </c>
      <c r="B4593" s="9" t="s">
        <v>4729</v>
      </c>
      <c r="C4593" s="9" t="s">
        <v>4730</v>
      </c>
      <c r="D4593" s="9" t="s">
        <v>4731</v>
      </c>
      <c r="E4593" s="9" t="s">
        <v>196</v>
      </c>
      <c r="F4593" s="9" t="s">
        <v>200</v>
      </c>
      <c r="G4593" s="9" t="s">
        <v>221</v>
      </c>
      <c r="H4593" s="9" t="n">
        <v>18995</v>
      </c>
      <c r="I4593" s="29" t="n">
        <v>6.866</v>
      </c>
      <c r="J4593" s="9" t="n">
        <v>0</v>
      </c>
      <c r="K4593" s="30"/>
      <c r="L4593" s="30"/>
      <c r="M4593" s="30"/>
      <c r="N4593" s="30"/>
      <c r="O4593" s="30"/>
      <c r="P4593" s="30"/>
      <c r="Q4593" s="30"/>
      <c r="R4593" s="30"/>
      <c r="S4593" s="30"/>
      <c r="T4593" s="30"/>
      <c r="U4593" s="21" t="str">
        <f aca="false">IF(COUNT(K4593:T4593)=0,"SOURCE EMPTY / INDUSTRIAL ONLY",IF(MIN(K4593:T4593)=1,"SERVICE READY","HOLD"))</f>
        <v>SOURCE EMPTY / INDUSTRIAL ONLY</v>
      </c>
      <c r="V4593" s="9" t="n">
        <f aca="false">IF(U4593="SERVICE READY",1,0)</f>
        <v>0</v>
      </c>
      <c r="W4593" s="6"/>
      <c r="X4593" s="6"/>
      <c r="Y4593" s="6"/>
      <c r="Z4593" s="6"/>
    </row>
    <row r="4594" customFormat="false" ht="15" hidden="false" customHeight="false" outlineLevel="0" collapsed="false">
      <c r="A4594" s="9" t="s">
        <v>4887</v>
      </c>
      <c r="B4594" s="9" t="s">
        <v>4729</v>
      </c>
      <c r="C4594" s="9" t="s">
        <v>4730</v>
      </c>
      <c r="D4594" s="9" t="s">
        <v>4731</v>
      </c>
      <c r="E4594" s="9" t="s">
        <v>196</v>
      </c>
      <c r="F4594" s="9" t="s">
        <v>203</v>
      </c>
      <c r="G4594" s="9" t="s">
        <v>221</v>
      </c>
      <c r="H4594" s="9" t="n">
        <v>18995</v>
      </c>
      <c r="I4594" s="29" t="n">
        <v>6.866</v>
      </c>
      <c r="J4594" s="9" t="n">
        <v>0</v>
      </c>
      <c r="K4594" s="30"/>
      <c r="L4594" s="30"/>
      <c r="M4594" s="30"/>
      <c r="N4594" s="30"/>
      <c r="O4594" s="30"/>
      <c r="P4594" s="30"/>
      <c r="Q4594" s="30"/>
      <c r="R4594" s="30"/>
      <c r="S4594" s="30"/>
      <c r="T4594" s="30"/>
      <c r="U4594" s="21" t="str">
        <f aca="false">IF(COUNT(K4594:T4594)=0,"SOURCE EMPTY / INDUSTRIAL ONLY",IF(MIN(K4594:T4594)=1,"SERVICE READY","HOLD"))</f>
        <v>SOURCE EMPTY / INDUSTRIAL ONLY</v>
      </c>
      <c r="V4594" s="9" t="n">
        <f aca="false">IF(U4594="SERVICE READY",1,0)</f>
        <v>0</v>
      </c>
      <c r="W4594" s="6"/>
      <c r="X4594" s="6"/>
      <c r="Y4594" s="6"/>
      <c r="Z4594" s="6"/>
    </row>
    <row r="4595" customFormat="false" ht="15" hidden="false" customHeight="false" outlineLevel="0" collapsed="false">
      <c r="A4595" s="9" t="s">
        <v>4888</v>
      </c>
      <c r="B4595" s="9" t="s">
        <v>4729</v>
      </c>
      <c r="C4595" s="9" t="s">
        <v>4730</v>
      </c>
      <c r="D4595" s="9" t="s">
        <v>4731</v>
      </c>
      <c r="E4595" s="9" t="s">
        <v>196</v>
      </c>
      <c r="F4595" s="9" t="s">
        <v>205</v>
      </c>
      <c r="G4595" s="9" t="s">
        <v>221</v>
      </c>
      <c r="H4595" s="9" t="n">
        <v>18995</v>
      </c>
      <c r="I4595" s="29" t="n">
        <v>6.866</v>
      </c>
      <c r="J4595" s="9" t="n">
        <v>0</v>
      </c>
      <c r="K4595" s="30"/>
      <c r="L4595" s="30"/>
      <c r="M4595" s="30"/>
      <c r="N4595" s="30"/>
      <c r="O4595" s="30"/>
      <c r="P4595" s="30"/>
      <c r="Q4595" s="30"/>
      <c r="R4595" s="30"/>
      <c r="S4595" s="30"/>
      <c r="T4595" s="30"/>
      <c r="U4595" s="21" t="str">
        <f aca="false">IF(COUNT(K4595:T4595)=0,"SOURCE EMPTY / INDUSTRIAL ONLY",IF(MIN(K4595:T4595)=1,"SERVICE READY","HOLD"))</f>
        <v>SOURCE EMPTY / INDUSTRIAL ONLY</v>
      </c>
      <c r="V4595" s="9" t="n">
        <f aca="false">IF(U4595="SERVICE READY",1,0)</f>
        <v>0</v>
      </c>
      <c r="W4595" s="6"/>
      <c r="X4595" s="6"/>
      <c r="Y4595" s="6"/>
      <c r="Z4595" s="6"/>
    </row>
    <row r="4596" customFormat="false" ht="15" hidden="false" customHeight="false" outlineLevel="0" collapsed="false">
      <c r="A4596" s="9" t="s">
        <v>4889</v>
      </c>
      <c r="B4596" s="9" t="s">
        <v>4729</v>
      </c>
      <c r="C4596" s="9" t="s">
        <v>4730</v>
      </c>
      <c r="D4596" s="9" t="s">
        <v>4731</v>
      </c>
      <c r="E4596" s="9" t="s">
        <v>196</v>
      </c>
      <c r="F4596" s="9" t="s">
        <v>207</v>
      </c>
      <c r="G4596" s="9" t="s">
        <v>221</v>
      </c>
      <c r="H4596" s="9" t="n">
        <v>18995</v>
      </c>
      <c r="I4596" s="29" t="n">
        <v>6.866</v>
      </c>
      <c r="J4596" s="9" t="n">
        <v>0</v>
      </c>
      <c r="K4596" s="30"/>
      <c r="L4596" s="30"/>
      <c r="M4596" s="30"/>
      <c r="N4596" s="30"/>
      <c r="O4596" s="30"/>
      <c r="P4596" s="30"/>
      <c r="Q4596" s="30"/>
      <c r="R4596" s="30"/>
      <c r="S4596" s="30"/>
      <c r="T4596" s="30"/>
      <c r="U4596" s="21" t="str">
        <f aca="false">IF(COUNT(K4596:T4596)=0,"SOURCE EMPTY / INDUSTRIAL ONLY",IF(MIN(K4596:T4596)=1,"SERVICE READY","HOLD"))</f>
        <v>SOURCE EMPTY / INDUSTRIAL ONLY</v>
      </c>
      <c r="V4596" s="9" t="n">
        <f aca="false">IF(U4596="SERVICE READY",1,0)</f>
        <v>0</v>
      </c>
      <c r="W4596" s="6"/>
      <c r="X4596" s="6"/>
      <c r="Y4596" s="6"/>
      <c r="Z4596" s="6"/>
    </row>
    <row r="4597" customFormat="false" ht="15" hidden="false" customHeight="false" outlineLevel="0" collapsed="false">
      <c r="A4597" s="9" t="s">
        <v>4890</v>
      </c>
      <c r="B4597" s="9" t="s">
        <v>4729</v>
      </c>
      <c r="C4597" s="9" t="s">
        <v>4730</v>
      </c>
      <c r="D4597" s="9" t="s">
        <v>4731</v>
      </c>
      <c r="E4597" s="9" t="s">
        <v>196</v>
      </c>
      <c r="F4597" s="9" t="s">
        <v>209</v>
      </c>
      <c r="G4597" s="9" t="s">
        <v>221</v>
      </c>
      <c r="H4597" s="9" t="n">
        <v>18995</v>
      </c>
      <c r="I4597" s="29" t="n">
        <v>6.866</v>
      </c>
      <c r="J4597" s="9" t="n">
        <v>0</v>
      </c>
      <c r="K4597" s="30"/>
      <c r="L4597" s="30"/>
      <c r="M4597" s="30"/>
      <c r="N4597" s="30"/>
      <c r="O4597" s="30"/>
      <c r="P4597" s="30"/>
      <c r="Q4597" s="30"/>
      <c r="R4597" s="30"/>
      <c r="S4597" s="30"/>
      <c r="T4597" s="30"/>
      <c r="U4597" s="21" t="str">
        <f aca="false">IF(COUNT(K4597:T4597)=0,"SOURCE EMPTY / INDUSTRIAL ONLY",IF(MIN(K4597:T4597)=1,"SERVICE READY","HOLD"))</f>
        <v>SOURCE EMPTY / INDUSTRIAL ONLY</v>
      </c>
      <c r="V4597" s="9" t="n">
        <f aca="false">IF(U4597="SERVICE READY",1,0)</f>
        <v>0</v>
      </c>
      <c r="W4597" s="6"/>
      <c r="X4597" s="6"/>
      <c r="Y4597" s="6"/>
      <c r="Z4597" s="6"/>
    </row>
    <row r="4598" customFormat="false" ht="15" hidden="false" customHeight="false" outlineLevel="0" collapsed="false">
      <c r="A4598" s="9" t="s">
        <v>4891</v>
      </c>
      <c r="B4598" s="9" t="s">
        <v>4892</v>
      </c>
      <c r="C4598" s="9" t="s">
        <v>4893</v>
      </c>
      <c r="D4598" s="9" t="s">
        <v>4731</v>
      </c>
      <c r="E4598" s="9" t="s">
        <v>1660</v>
      </c>
      <c r="F4598" s="9" t="s">
        <v>197</v>
      </c>
      <c r="G4598" s="9" t="s">
        <v>198</v>
      </c>
      <c r="H4598" s="9" t="n">
        <v>5400</v>
      </c>
      <c r="I4598" s="29" t="n">
        <v>2</v>
      </c>
      <c r="J4598" s="9" t="n">
        <v>1</v>
      </c>
      <c r="K4598" s="30"/>
      <c r="L4598" s="30"/>
      <c r="M4598" s="30"/>
      <c r="N4598" s="30"/>
      <c r="O4598" s="30"/>
      <c r="P4598" s="30"/>
      <c r="Q4598" s="30"/>
      <c r="R4598" s="30"/>
      <c r="S4598" s="30"/>
      <c r="T4598" s="30"/>
      <c r="U4598" s="21" t="str">
        <f aca="false">IF(COUNT(K4598:T4598)=0,"SOURCE EMPTY / INDUSTRIAL ONLY",IF(MIN(K4598:T4598)=1,"SERVICE READY","HOLD"))</f>
        <v>SOURCE EMPTY / INDUSTRIAL ONLY</v>
      </c>
      <c r="V4598" s="9" t="n">
        <f aca="false">IF(U4598="SERVICE READY",1,0)</f>
        <v>0</v>
      </c>
      <c r="W4598" s="6"/>
      <c r="X4598" s="6"/>
      <c r="Y4598" s="6"/>
      <c r="Z4598" s="6"/>
    </row>
    <row r="4599" customFormat="false" ht="15" hidden="false" customHeight="false" outlineLevel="0" collapsed="false">
      <c r="A4599" s="9" t="s">
        <v>4894</v>
      </c>
      <c r="B4599" s="9" t="s">
        <v>4892</v>
      </c>
      <c r="C4599" s="9" t="s">
        <v>4893</v>
      </c>
      <c r="D4599" s="9" t="s">
        <v>4731</v>
      </c>
      <c r="E4599" s="9" t="s">
        <v>1660</v>
      </c>
      <c r="F4599" s="9" t="s">
        <v>200</v>
      </c>
      <c r="G4599" s="9" t="s">
        <v>201</v>
      </c>
      <c r="H4599" s="9" t="n">
        <v>5400</v>
      </c>
      <c r="I4599" s="29" t="n">
        <v>2</v>
      </c>
      <c r="J4599" s="9" t="n">
        <v>1</v>
      </c>
      <c r="K4599" s="30"/>
      <c r="L4599" s="30"/>
      <c r="M4599" s="30"/>
      <c r="N4599" s="30"/>
      <c r="O4599" s="30"/>
      <c r="P4599" s="30"/>
      <c r="Q4599" s="30"/>
      <c r="R4599" s="30"/>
      <c r="S4599" s="30"/>
      <c r="T4599" s="30"/>
      <c r="U4599" s="21" t="str">
        <f aca="false">IF(COUNT(K4599:T4599)=0,"SOURCE EMPTY / INDUSTRIAL ONLY",IF(MIN(K4599:T4599)=1,"SERVICE READY","HOLD"))</f>
        <v>SOURCE EMPTY / INDUSTRIAL ONLY</v>
      </c>
      <c r="V4599" s="9" t="n">
        <f aca="false">IF(U4599="SERVICE READY",1,0)</f>
        <v>0</v>
      </c>
      <c r="W4599" s="6"/>
      <c r="X4599" s="6"/>
      <c r="Y4599" s="6"/>
      <c r="Z4599" s="6"/>
    </row>
    <row r="4600" customFormat="false" ht="15" hidden="false" customHeight="false" outlineLevel="0" collapsed="false">
      <c r="A4600" s="9" t="s">
        <v>4895</v>
      </c>
      <c r="B4600" s="9" t="s">
        <v>4892</v>
      </c>
      <c r="C4600" s="9" t="s">
        <v>4893</v>
      </c>
      <c r="D4600" s="9" t="s">
        <v>4731</v>
      </c>
      <c r="E4600" s="9" t="s">
        <v>1660</v>
      </c>
      <c r="F4600" s="9" t="s">
        <v>203</v>
      </c>
      <c r="G4600" s="9" t="s">
        <v>198</v>
      </c>
      <c r="H4600" s="9" t="n">
        <v>5400</v>
      </c>
      <c r="I4600" s="29" t="n">
        <v>2</v>
      </c>
      <c r="J4600" s="9" t="n">
        <v>1</v>
      </c>
      <c r="K4600" s="30"/>
      <c r="L4600" s="30"/>
      <c r="M4600" s="30"/>
      <c r="N4600" s="30"/>
      <c r="O4600" s="30"/>
      <c r="P4600" s="30"/>
      <c r="Q4600" s="30"/>
      <c r="R4600" s="30"/>
      <c r="S4600" s="30"/>
      <c r="T4600" s="30"/>
      <c r="U4600" s="21" t="str">
        <f aca="false">IF(COUNT(K4600:T4600)=0,"SOURCE EMPTY / INDUSTRIAL ONLY",IF(MIN(K4600:T4600)=1,"SERVICE READY","HOLD"))</f>
        <v>SOURCE EMPTY / INDUSTRIAL ONLY</v>
      </c>
      <c r="V4600" s="9" t="n">
        <f aca="false">IF(U4600="SERVICE READY",1,0)</f>
        <v>0</v>
      </c>
      <c r="W4600" s="6"/>
      <c r="X4600" s="6"/>
      <c r="Y4600" s="6"/>
      <c r="Z4600" s="6"/>
    </row>
    <row r="4601" customFormat="false" ht="15" hidden="false" customHeight="false" outlineLevel="0" collapsed="false">
      <c r="A4601" s="9" t="s">
        <v>4896</v>
      </c>
      <c r="B4601" s="9" t="s">
        <v>4892</v>
      </c>
      <c r="C4601" s="9" t="s">
        <v>4893</v>
      </c>
      <c r="D4601" s="9" t="s">
        <v>4731</v>
      </c>
      <c r="E4601" s="9" t="s">
        <v>1660</v>
      </c>
      <c r="F4601" s="9" t="s">
        <v>205</v>
      </c>
      <c r="G4601" s="9" t="s">
        <v>201</v>
      </c>
      <c r="H4601" s="9" t="n">
        <v>5400</v>
      </c>
      <c r="I4601" s="29" t="n">
        <v>2</v>
      </c>
      <c r="J4601" s="9" t="n">
        <v>1</v>
      </c>
      <c r="K4601" s="30"/>
      <c r="L4601" s="30"/>
      <c r="M4601" s="30"/>
      <c r="N4601" s="30"/>
      <c r="O4601" s="30"/>
      <c r="P4601" s="30"/>
      <c r="Q4601" s="30"/>
      <c r="R4601" s="30"/>
      <c r="S4601" s="30"/>
      <c r="T4601" s="30"/>
      <c r="U4601" s="21" t="str">
        <f aca="false">IF(COUNT(K4601:T4601)=0,"SOURCE EMPTY / INDUSTRIAL ONLY",IF(MIN(K4601:T4601)=1,"SERVICE READY","HOLD"))</f>
        <v>SOURCE EMPTY / INDUSTRIAL ONLY</v>
      </c>
      <c r="V4601" s="9" t="n">
        <f aca="false">IF(U4601="SERVICE READY",1,0)</f>
        <v>0</v>
      </c>
      <c r="W4601" s="6"/>
      <c r="X4601" s="6"/>
      <c r="Y4601" s="6"/>
      <c r="Z4601" s="6"/>
    </row>
    <row r="4602" customFormat="false" ht="15" hidden="false" customHeight="false" outlineLevel="0" collapsed="false">
      <c r="A4602" s="9" t="s">
        <v>4897</v>
      </c>
      <c r="B4602" s="9" t="s">
        <v>4892</v>
      </c>
      <c r="C4602" s="9" t="s">
        <v>4893</v>
      </c>
      <c r="D4602" s="9" t="s">
        <v>4731</v>
      </c>
      <c r="E4602" s="9" t="s">
        <v>1660</v>
      </c>
      <c r="F4602" s="9" t="s">
        <v>207</v>
      </c>
      <c r="G4602" s="9" t="s">
        <v>198</v>
      </c>
      <c r="H4602" s="9" t="n">
        <v>5400</v>
      </c>
      <c r="I4602" s="29" t="n">
        <v>2</v>
      </c>
      <c r="J4602" s="9" t="n">
        <v>1</v>
      </c>
      <c r="K4602" s="30"/>
      <c r="L4602" s="30"/>
      <c r="M4602" s="30"/>
      <c r="N4602" s="30"/>
      <c r="O4602" s="30"/>
      <c r="P4602" s="30"/>
      <c r="Q4602" s="30"/>
      <c r="R4602" s="30"/>
      <c r="S4602" s="30"/>
      <c r="T4602" s="30"/>
      <c r="U4602" s="21" t="str">
        <f aca="false">IF(COUNT(K4602:T4602)=0,"SOURCE EMPTY / INDUSTRIAL ONLY",IF(MIN(K4602:T4602)=1,"SERVICE READY","HOLD"))</f>
        <v>SOURCE EMPTY / INDUSTRIAL ONLY</v>
      </c>
      <c r="V4602" s="9" t="n">
        <f aca="false">IF(U4602="SERVICE READY",1,0)</f>
        <v>0</v>
      </c>
      <c r="W4602" s="6"/>
      <c r="X4602" s="6"/>
      <c r="Y4602" s="6"/>
      <c r="Z4602" s="6"/>
    </row>
    <row r="4603" customFormat="false" ht="15" hidden="false" customHeight="false" outlineLevel="0" collapsed="false">
      <c r="A4603" s="9" t="s">
        <v>4898</v>
      </c>
      <c r="B4603" s="9" t="s">
        <v>4892</v>
      </c>
      <c r="C4603" s="9" t="s">
        <v>4893</v>
      </c>
      <c r="D4603" s="9" t="s">
        <v>4731</v>
      </c>
      <c r="E4603" s="9" t="s">
        <v>1660</v>
      </c>
      <c r="F4603" s="9" t="s">
        <v>209</v>
      </c>
      <c r="G4603" s="9" t="s">
        <v>201</v>
      </c>
      <c r="H4603" s="9" t="n">
        <v>5400</v>
      </c>
      <c r="I4603" s="29" t="n">
        <v>2</v>
      </c>
      <c r="J4603" s="9" t="n">
        <v>1</v>
      </c>
      <c r="K4603" s="30"/>
      <c r="L4603" s="30"/>
      <c r="M4603" s="30"/>
      <c r="N4603" s="30"/>
      <c r="O4603" s="30"/>
      <c r="P4603" s="30"/>
      <c r="Q4603" s="30"/>
      <c r="R4603" s="30"/>
      <c r="S4603" s="30"/>
      <c r="T4603" s="30"/>
      <c r="U4603" s="21" t="str">
        <f aca="false">IF(COUNT(K4603:T4603)=0,"SOURCE EMPTY / INDUSTRIAL ONLY",IF(MIN(K4603:T4603)=1,"SERVICE READY","HOLD"))</f>
        <v>SOURCE EMPTY / INDUSTRIAL ONLY</v>
      </c>
      <c r="V4603" s="9" t="n">
        <f aca="false">IF(U4603="SERVICE READY",1,0)</f>
        <v>0</v>
      </c>
      <c r="W4603" s="6"/>
      <c r="X4603" s="6"/>
      <c r="Y4603" s="6"/>
      <c r="Z4603" s="6"/>
    </row>
    <row r="4604" customFormat="false" ht="15" hidden="false" customHeight="false" outlineLevel="0" collapsed="false">
      <c r="A4604" s="9" t="s">
        <v>4899</v>
      </c>
      <c r="B4604" s="9" t="s">
        <v>4892</v>
      </c>
      <c r="C4604" s="9" t="s">
        <v>4893</v>
      </c>
      <c r="D4604" s="9" t="s">
        <v>4731</v>
      </c>
      <c r="E4604" s="9" t="s">
        <v>1660</v>
      </c>
      <c r="F4604" s="9" t="s">
        <v>211</v>
      </c>
      <c r="G4604" s="9" t="s">
        <v>198</v>
      </c>
      <c r="H4604" s="9" t="n">
        <v>5400</v>
      </c>
      <c r="I4604" s="29" t="n">
        <v>2</v>
      </c>
      <c r="J4604" s="9" t="n">
        <v>1</v>
      </c>
      <c r="K4604" s="30"/>
      <c r="L4604" s="30"/>
      <c r="M4604" s="30"/>
      <c r="N4604" s="30"/>
      <c r="O4604" s="30"/>
      <c r="P4604" s="30"/>
      <c r="Q4604" s="30"/>
      <c r="R4604" s="30"/>
      <c r="S4604" s="30"/>
      <c r="T4604" s="30"/>
      <c r="U4604" s="21" t="str">
        <f aca="false">IF(COUNT(K4604:T4604)=0,"SOURCE EMPTY / INDUSTRIAL ONLY",IF(MIN(K4604:T4604)=1,"SERVICE READY","HOLD"))</f>
        <v>SOURCE EMPTY / INDUSTRIAL ONLY</v>
      </c>
      <c r="V4604" s="9" t="n">
        <f aca="false">IF(U4604="SERVICE READY",1,0)</f>
        <v>0</v>
      </c>
      <c r="W4604" s="6"/>
      <c r="X4604" s="6"/>
      <c r="Y4604" s="6"/>
      <c r="Z4604" s="6"/>
    </row>
    <row r="4605" customFormat="false" ht="15" hidden="false" customHeight="false" outlineLevel="0" collapsed="false">
      <c r="A4605" s="9" t="s">
        <v>4900</v>
      </c>
      <c r="B4605" s="9" t="s">
        <v>4892</v>
      </c>
      <c r="C4605" s="9" t="s">
        <v>4893</v>
      </c>
      <c r="D4605" s="9" t="s">
        <v>4731</v>
      </c>
      <c r="E4605" s="9" t="s">
        <v>1660</v>
      </c>
      <c r="F4605" s="9" t="s">
        <v>197</v>
      </c>
      <c r="G4605" s="9" t="s">
        <v>201</v>
      </c>
      <c r="H4605" s="9" t="n">
        <v>5400</v>
      </c>
      <c r="I4605" s="29" t="n">
        <v>2</v>
      </c>
      <c r="J4605" s="9" t="n">
        <v>1</v>
      </c>
      <c r="K4605" s="30"/>
      <c r="L4605" s="30"/>
      <c r="M4605" s="30"/>
      <c r="N4605" s="30"/>
      <c r="O4605" s="30"/>
      <c r="P4605" s="30"/>
      <c r="Q4605" s="30"/>
      <c r="R4605" s="30"/>
      <c r="S4605" s="30"/>
      <c r="T4605" s="30"/>
      <c r="U4605" s="21" t="str">
        <f aca="false">IF(COUNT(K4605:T4605)=0,"SOURCE EMPTY / INDUSTRIAL ONLY",IF(MIN(K4605:T4605)=1,"SERVICE READY","HOLD"))</f>
        <v>SOURCE EMPTY / INDUSTRIAL ONLY</v>
      </c>
      <c r="V4605" s="9" t="n">
        <f aca="false">IF(U4605="SERVICE READY",1,0)</f>
        <v>0</v>
      </c>
      <c r="W4605" s="6"/>
      <c r="X4605" s="6"/>
      <c r="Y4605" s="6"/>
      <c r="Z4605" s="6"/>
    </row>
    <row r="4606" customFormat="false" ht="15" hidden="false" customHeight="false" outlineLevel="0" collapsed="false">
      <c r="A4606" s="9" t="s">
        <v>4901</v>
      </c>
      <c r="B4606" s="9" t="s">
        <v>4892</v>
      </c>
      <c r="C4606" s="9" t="s">
        <v>4893</v>
      </c>
      <c r="D4606" s="9" t="s">
        <v>4731</v>
      </c>
      <c r="E4606" s="9" t="s">
        <v>1660</v>
      </c>
      <c r="F4606" s="9" t="s">
        <v>200</v>
      </c>
      <c r="G4606" s="9" t="s">
        <v>198</v>
      </c>
      <c r="H4606" s="9" t="n">
        <v>5400</v>
      </c>
      <c r="I4606" s="29" t="n">
        <v>2</v>
      </c>
      <c r="J4606" s="9" t="n">
        <v>1</v>
      </c>
      <c r="K4606" s="30"/>
      <c r="L4606" s="30"/>
      <c r="M4606" s="30"/>
      <c r="N4606" s="30"/>
      <c r="O4606" s="30"/>
      <c r="P4606" s="30"/>
      <c r="Q4606" s="30"/>
      <c r="R4606" s="30"/>
      <c r="S4606" s="30"/>
      <c r="T4606" s="30"/>
      <c r="U4606" s="21" t="str">
        <f aca="false">IF(COUNT(K4606:T4606)=0,"SOURCE EMPTY / INDUSTRIAL ONLY",IF(MIN(K4606:T4606)=1,"SERVICE READY","HOLD"))</f>
        <v>SOURCE EMPTY / INDUSTRIAL ONLY</v>
      </c>
      <c r="V4606" s="9" t="n">
        <f aca="false">IF(U4606="SERVICE READY",1,0)</f>
        <v>0</v>
      </c>
      <c r="W4606" s="6"/>
      <c r="X4606" s="6"/>
      <c r="Y4606" s="6"/>
      <c r="Z4606" s="6"/>
    </row>
    <row r="4607" customFormat="false" ht="15" hidden="false" customHeight="false" outlineLevel="0" collapsed="false">
      <c r="A4607" s="9" t="s">
        <v>4902</v>
      </c>
      <c r="B4607" s="9" t="s">
        <v>4892</v>
      </c>
      <c r="C4607" s="9" t="s">
        <v>4893</v>
      </c>
      <c r="D4607" s="9" t="s">
        <v>4731</v>
      </c>
      <c r="E4607" s="9" t="s">
        <v>1660</v>
      </c>
      <c r="F4607" s="9" t="s">
        <v>203</v>
      </c>
      <c r="G4607" s="9" t="s">
        <v>201</v>
      </c>
      <c r="H4607" s="9" t="n">
        <v>5400</v>
      </c>
      <c r="I4607" s="29" t="n">
        <v>2</v>
      </c>
      <c r="J4607" s="9" t="n">
        <v>1</v>
      </c>
      <c r="K4607" s="30"/>
      <c r="L4607" s="30"/>
      <c r="M4607" s="30"/>
      <c r="N4607" s="30"/>
      <c r="O4607" s="30"/>
      <c r="P4607" s="30"/>
      <c r="Q4607" s="30"/>
      <c r="R4607" s="30"/>
      <c r="S4607" s="30"/>
      <c r="T4607" s="30"/>
      <c r="U4607" s="21" t="str">
        <f aca="false">IF(COUNT(K4607:T4607)=0,"SOURCE EMPTY / INDUSTRIAL ONLY",IF(MIN(K4607:T4607)=1,"SERVICE READY","HOLD"))</f>
        <v>SOURCE EMPTY / INDUSTRIAL ONLY</v>
      </c>
      <c r="V4607" s="9" t="n">
        <f aca="false">IF(U4607="SERVICE READY",1,0)</f>
        <v>0</v>
      </c>
      <c r="W4607" s="6"/>
      <c r="X4607" s="6"/>
      <c r="Y4607" s="6"/>
      <c r="Z4607" s="6"/>
    </row>
    <row r="4608" customFormat="false" ht="15" hidden="false" customHeight="false" outlineLevel="0" collapsed="false">
      <c r="A4608" s="9" t="s">
        <v>4903</v>
      </c>
      <c r="B4608" s="9" t="s">
        <v>4892</v>
      </c>
      <c r="C4608" s="9" t="s">
        <v>4893</v>
      </c>
      <c r="D4608" s="9" t="s">
        <v>4731</v>
      </c>
      <c r="E4608" s="9" t="s">
        <v>1660</v>
      </c>
      <c r="F4608" s="9" t="s">
        <v>205</v>
      </c>
      <c r="G4608" s="9" t="s">
        <v>198</v>
      </c>
      <c r="H4608" s="9" t="n">
        <v>5400</v>
      </c>
      <c r="I4608" s="29" t="n">
        <v>2</v>
      </c>
      <c r="J4608" s="9" t="n">
        <v>1</v>
      </c>
      <c r="K4608" s="30"/>
      <c r="L4608" s="30"/>
      <c r="M4608" s="30"/>
      <c r="N4608" s="30"/>
      <c r="O4608" s="30"/>
      <c r="P4608" s="30"/>
      <c r="Q4608" s="30"/>
      <c r="R4608" s="30"/>
      <c r="S4608" s="30"/>
      <c r="T4608" s="30"/>
      <c r="U4608" s="21" t="str">
        <f aca="false">IF(COUNT(K4608:T4608)=0,"SOURCE EMPTY / INDUSTRIAL ONLY",IF(MIN(K4608:T4608)=1,"SERVICE READY","HOLD"))</f>
        <v>SOURCE EMPTY / INDUSTRIAL ONLY</v>
      </c>
      <c r="V4608" s="9" t="n">
        <f aca="false">IF(U4608="SERVICE READY",1,0)</f>
        <v>0</v>
      </c>
      <c r="W4608" s="6"/>
      <c r="X4608" s="6"/>
      <c r="Y4608" s="6"/>
      <c r="Z4608" s="6"/>
    </row>
    <row r="4609" customFormat="false" ht="15" hidden="false" customHeight="false" outlineLevel="0" collapsed="false">
      <c r="A4609" s="9" t="s">
        <v>4904</v>
      </c>
      <c r="B4609" s="9" t="s">
        <v>4892</v>
      </c>
      <c r="C4609" s="9" t="s">
        <v>4893</v>
      </c>
      <c r="D4609" s="9" t="s">
        <v>4731</v>
      </c>
      <c r="E4609" s="9" t="s">
        <v>1660</v>
      </c>
      <c r="F4609" s="9" t="s">
        <v>207</v>
      </c>
      <c r="G4609" s="9" t="s">
        <v>201</v>
      </c>
      <c r="H4609" s="9" t="n">
        <v>5400</v>
      </c>
      <c r="I4609" s="29" t="n">
        <v>2</v>
      </c>
      <c r="J4609" s="9" t="n">
        <v>1</v>
      </c>
      <c r="K4609" s="30"/>
      <c r="L4609" s="30"/>
      <c r="M4609" s="30"/>
      <c r="N4609" s="30"/>
      <c r="O4609" s="30"/>
      <c r="P4609" s="30"/>
      <c r="Q4609" s="30"/>
      <c r="R4609" s="30"/>
      <c r="S4609" s="30"/>
      <c r="T4609" s="30"/>
      <c r="U4609" s="21" t="str">
        <f aca="false">IF(COUNT(K4609:T4609)=0,"SOURCE EMPTY / INDUSTRIAL ONLY",IF(MIN(K4609:T4609)=1,"SERVICE READY","HOLD"))</f>
        <v>SOURCE EMPTY / INDUSTRIAL ONLY</v>
      </c>
      <c r="V4609" s="9" t="n">
        <f aca="false">IF(U4609="SERVICE READY",1,0)</f>
        <v>0</v>
      </c>
      <c r="W4609" s="6"/>
      <c r="X4609" s="6"/>
      <c r="Y4609" s="6"/>
      <c r="Z4609" s="6"/>
    </row>
    <row r="4610" customFormat="false" ht="15" hidden="false" customHeight="false" outlineLevel="0" collapsed="false">
      <c r="A4610" s="9" t="s">
        <v>4905</v>
      </c>
      <c r="B4610" s="9" t="s">
        <v>4892</v>
      </c>
      <c r="C4610" s="9" t="s">
        <v>4893</v>
      </c>
      <c r="D4610" s="9" t="s">
        <v>4731</v>
      </c>
      <c r="E4610" s="9" t="s">
        <v>1660</v>
      </c>
      <c r="F4610" s="9" t="s">
        <v>209</v>
      </c>
      <c r="G4610" s="9" t="s">
        <v>198</v>
      </c>
      <c r="H4610" s="9" t="n">
        <v>5400</v>
      </c>
      <c r="I4610" s="29" t="n">
        <v>2</v>
      </c>
      <c r="J4610" s="9" t="n">
        <v>1</v>
      </c>
      <c r="K4610" s="30"/>
      <c r="L4610" s="30"/>
      <c r="M4610" s="30"/>
      <c r="N4610" s="30"/>
      <c r="O4610" s="30"/>
      <c r="P4610" s="30"/>
      <c r="Q4610" s="30"/>
      <c r="R4610" s="30"/>
      <c r="S4610" s="30"/>
      <c r="T4610" s="30"/>
      <c r="U4610" s="21" t="str">
        <f aca="false">IF(COUNT(K4610:T4610)=0,"SOURCE EMPTY / INDUSTRIAL ONLY",IF(MIN(K4610:T4610)=1,"SERVICE READY","HOLD"))</f>
        <v>SOURCE EMPTY / INDUSTRIAL ONLY</v>
      </c>
      <c r="V4610" s="9" t="n">
        <f aca="false">IF(U4610="SERVICE READY",1,0)</f>
        <v>0</v>
      </c>
      <c r="W4610" s="6"/>
      <c r="X4610" s="6"/>
      <c r="Y4610" s="6"/>
      <c r="Z4610" s="6"/>
    </row>
    <row r="4611" customFormat="false" ht="15" hidden="false" customHeight="false" outlineLevel="0" collapsed="false">
      <c r="A4611" s="9" t="s">
        <v>4906</v>
      </c>
      <c r="B4611" s="9" t="s">
        <v>4892</v>
      </c>
      <c r="C4611" s="9" t="s">
        <v>4893</v>
      </c>
      <c r="D4611" s="9" t="s">
        <v>4731</v>
      </c>
      <c r="E4611" s="9" t="s">
        <v>1660</v>
      </c>
      <c r="F4611" s="9" t="s">
        <v>211</v>
      </c>
      <c r="G4611" s="9" t="s">
        <v>201</v>
      </c>
      <c r="H4611" s="9" t="n">
        <v>5400</v>
      </c>
      <c r="I4611" s="29" t="n">
        <v>2</v>
      </c>
      <c r="J4611" s="9" t="n">
        <v>1</v>
      </c>
      <c r="K4611" s="30"/>
      <c r="L4611" s="30"/>
      <c r="M4611" s="30"/>
      <c r="N4611" s="30"/>
      <c r="O4611" s="30"/>
      <c r="P4611" s="30"/>
      <c r="Q4611" s="30"/>
      <c r="R4611" s="30"/>
      <c r="S4611" s="30"/>
      <c r="T4611" s="30"/>
      <c r="U4611" s="21" t="str">
        <f aca="false">IF(COUNT(K4611:T4611)=0,"SOURCE EMPTY / INDUSTRIAL ONLY",IF(MIN(K4611:T4611)=1,"SERVICE READY","HOLD"))</f>
        <v>SOURCE EMPTY / INDUSTRIAL ONLY</v>
      </c>
      <c r="V4611" s="9" t="n">
        <f aca="false">IF(U4611="SERVICE READY",1,0)</f>
        <v>0</v>
      </c>
      <c r="W4611" s="6"/>
      <c r="X4611" s="6"/>
      <c r="Y4611" s="6"/>
      <c r="Z4611" s="6"/>
    </row>
    <row r="4612" customFormat="false" ht="15" hidden="false" customHeight="false" outlineLevel="0" collapsed="false">
      <c r="A4612" s="9" t="s">
        <v>4907</v>
      </c>
      <c r="B4612" s="9" t="s">
        <v>4892</v>
      </c>
      <c r="C4612" s="9" t="s">
        <v>4893</v>
      </c>
      <c r="D4612" s="9" t="s">
        <v>4731</v>
      </c>
      <c r="E4612" s="9" t="s">
        <v>1660</v>
      </c>
      <c r="F4612" s="9" t="s">
        <v>197</v>
      </c>
      <c r="G4612" s="9" t="s">
        <v>198</v>
      </c>
      <c r="H4612" s="9" t="n">
        <v>5400</v>
      </c>
      <c r="I4612" s="29" t="n">
        <v>2</v>
      </c>
      <c r="J4612" s="9" t="n">
        <v>1</v>
      </c>
      <c r="K4612" s="30"/>
      <c r="L4612" s="30"/>
      <c r="M4612" s="30"/>
      <c r="N4612" s="30"/>
      <c r="O4612" s="30"/>
      <c r="P4612" s="30"/>
      <c r="Q4612" s="30"/>
      <c r="R4612" s="30"/>
      <c r="S4612" s="30"/>
      <c r="T4612" s="30"/>
      <c r="U4612" s="21" t="str">
        <f aca="false">IF(COUNT(K4612:T4612)=0,"SOURCE EMPTY / INDUSTRIAL ONLY",IF(MIN(K4612:T4612)=1,"SERVICE READY","HOLD"))</f>
        <v>SOURCE EMPTY / INDUSTRIAL ONLY</v>
      </c>
      <c r="V4612" s="9" t="n">
        <f aca="false">IF(U4612="SERVICE READY",1,0)</f>
        <v>0</v>
      </c>
      <c r="W4612" s="6"/>
      <c r="X4612" s="6"/>
      <c r="Y4612" s="6"/>
      <c r="Z4612" s="6"/>
    </row>
    <row r="4613" customFormat="false" ht="15" hidden="false" customHeight="false" outlineLevel="0" collapsed="false">
      <c r="A4613" s="9" t="s">
        <v>4908</v>
      </c>
      <c r="B4613" s="9" t="s">
        <v>4892</v>
      </c>
      <c r="C4613" s="9" t="s">
        <v>4893</v>
      </c>
      <c r="D4613" s="9" t="s">
        <v>4731</v>
      </c>
      <c r="E4613" s="9" t="s">
        <v>1660</v>
      </c>
      <c r="F4613" s="9" t="s">
        <v>200</v>
      </c>
      <c r="G4613" s="9" t="s">
        <v>201</v>
      </c>
      <c r="H4613" s="9" t="n">
        <v>5400</v>
      </c>
      <c r="I4613" s="29" t="n">
        <v>2</v>
      </c>
      <c r="J4613" s="9" t="n">
        <v>1</v>
      </c>
      <c r="K4613" s="30"/>
      <c r="L4613" s="30"/>
      <c r="M4613" s="30"/>
      <c r="N4613" s="30"/>
      <c r="O4613" s="30"/>
      <c r="P4613" s="30"/>
      <c r="Q4613" s="30"/>
      <c r="R4613" s="30"/>
      <c r="S4613" s="30"/>
      <c r="T4613" s="30"/>
      <c r="U4613" s="21" t="str">
        <f aca="false">IF(COUNT(K4613:T4613)=0,"SOURCE EMPTY / INDUSTRIAL ONLY",IF(MIN(K4613:T4613)=1,"SERVICE READY","HOLD"))</f>
        <v>SOURCE EMPTY / INDUSTRIAL ONLY</v>
      </c>
      <c r="V4613" s="9" t="n">
        <f aca="false">IF(U4613="SERVICE READY",1,0)</f>
        <v>0</v>
      </c>
      <c r="W4613" s="6"/>
      <c r="X4613" s="6"/>
      <c r="Y4613" s="6"/>
      <c r="Z4613" s="6"/>
    </row>
    <row r="4614" customFormat="false" ht="15" hidden="false" customHeight="false" outlineLevel="0" collapsed="false">
      <c r="A4614" s="9" t="s">
        <v>4909</v>
      </c>
      <c r="B4614" s="9" t="s">
        <v>4892</v>
      </c>
      <c r="C4614" s="9" t="s">
        <v>4893</v>
      </c>
      <c r="D4614" s="9" t="s">
        <v>4731</v>
      </c>
      <c r="E4614" s="9" t="s">
        <v>1660</v>
      </c>
      <c r="F4614" s="9" t="s">
        <v>203</v>
      </c>
      <c r="G4614" s="9" t="s">
        <v>198</v>
      </c>
      <c r="H4614" s="9" t="n">
        <v>5400</v>
      </c>
      <c r="I4614" s="29" t="n">
        <v>2</v>
      </c>
      <c r="J4614" s="9" t="n">
        <v>1</v>
      </c>
      <c r="K4614" s="30"/>
      <c r="L4614" s="30"/>
      <c r="M4614" s="30"/>
      <c r="N4614" s="30"/>
      <c r="O4614" s="30"/>
      <c r="P4614" s="30"/>
      <c r="Q4614" s="30"/>
      <c r="R4614" s="30"/>
      <c r="S4614" s="30"/>
      <c r="T4614" s="30"/>
      <c r="U4614" s="21" t="str">
        <f aca="false">IF(COUNT(K4614:T4614)=0,"SOURCE EMPTY / INDUSTRIAL ONLY",IF(MIN(K4614:T4614)=1,"SERVICE READY","HOLD"))</f>
        <v>SOURCE EMPTY / INDUSTRIAL ONLY</v>
      </c>
      <c r="V4614" s="9" t="n">
        <f aca="false">IF(U4614="SERVICE READY",1,0)</f>
        <v>0</v>
      </c>
      <c r="W4614" s="6"/>
      <c r="X4614" s="6"/>
      <c r="Y4614" s="6"/>
      <c r="Z4614" s="6"/>
    </row>
    <row r="4615" customFormat="false" ht="15" hidden="false" customHeight="false" outlineLevel="0" collapsed="false">
      <c r="A4615" s="9" t="s">
        <v>4910</v>
      </c>
      <c r="B4615" s="9" t="s">
        <v>4892</v>
      </c>
      <c r="C4615" s="9" t="s">
        <v>4893</v>
      </c>
      <c r="D4615" s="9" t="s">
        <v>4731</v>
      </c>
      <c r="E4615" s="9" t="s">
        <v>1660</v>
      </c>
      <c r="F4615" s="9" t="s">
        <v>205</v>
      </c>
      <c r="G4615" s="9" t="s">
        <v>201</v>
      </c>
      <c r="H4615" s="9" t="n">
        <v>5400</v>
      </c>
      <c r="I4615" s="29" t="n">
        <v>2</v>
      </c>
      <c r="J4615" s="9" t="n">
        <v>1</v>
      </c>
      <c r="K4615" s="30"/>
      <c r="L4615" s="30"/>
      <c r="M4615" s="30"/>
      <c r="N4615" s="30"/>
      <c r="O4615" s="30"/>
      <c r="P4615" s="30"/>
      <c r="Q4615" s="30"/>
      <c r="R4615" s="30"/>
      <c r="S4615" s="30"/>
      <c r="T4615" s="30"/>
      <c r="U4615" s="21" t="str">
        <f aca="false">IF(COUNT(K4615:T4615)=0,"SOURCE EMPTY / INDUSTRIAL ONLY",IF(MIN(K4615:T4615)=1,"SERVICE READY","HOLD"))</f>
        <v>SOURCE EMPTY / INDUSTRIAL ONLY</v>
      </c>
      <c r="V4615" s="9" t="n">
        <f aca="false">IF(U4615="SERVICE READY",1,0)</f>
        <v>0</v>
      </c>
      <c r="W4615" s="6"/>
      <c r="X4615" s="6"/>
      <c r="Y4615" s="6"/>
      <c r="Z4615" s="6"/>
    </row>
    <row r="4616" customFormat="false" ht="15" hidden="false" customHeight="false" outlineLevel="0" collapsed="false">
      <c r="A4616" s="9" t="s">
        <v>4911</v>
      </c>
      <c r="B4616" s="9" t="s">
        <v>4892</v>
      </c>
      <c r="C4616" s="9" t="s">
        <v>4893</v>
      </c>
      <c r="D4616" s="9" t="s">
        <v>4731</v>
      </c>
      <c r="E4616" s="9" t="s">
        <v>1660</v>
      </c>
      <c r="F4616" s="9" t="s">
        <v>207</v>
      </c>
      <c r="G4616" s="9" t="s">
        <v>198</v>
      </c>
      <c r="H4616" s="9" t="n">
        <v>5400</v>
      </c>
      <c r="I4616" s="29" t="n">
        <v>2</v>
      </c>
      <c r="J4616" s="9" t="n">
        <v>1</v>
      </c>
      <c r="K4616" s="30"/>
      <c r="L4616" s="30"/>
      <c r="M4616" s="30"/>
      <c r="N4616" s="30"/>
      <c r="O4616" s="30"/>
      <c r="P4616" s="30"/>
      <c r="Q4616" s="30"/>
      <c r="R4616" s="30"/>
      <c r="S4616" s="30"/>
      <c r="T4616" s="30"/>
      <c r="U4616" s="21" t="str">
        <f aca="false">IF(COUNT(K4616:T4616)=0,"SOURCE EMPTY / INDUSTRIAL ONLY",IF(MIN(K4616:T4616)=1,"SERVICE READY","HOLD"))</f>
        <v>SOURCE EMPTY / INDUSTRIAL ONLY</v>
      </c>
      <c r="V4616" s="9" t="n">
        <f aca="false">IF(U4616="SERVICE READY",1,0)</f>
        <v>0</v>
      </c>
      <c r="W4616" s="6"/>
      <c r="X4616" s="6"/>
      <c r="Y4616" s="6"/>
      <c r="Z4616" s="6"/>
    </row>
    <row r="4617" customFormat="false" ht="15" hidden="false" customHeight="false" outlineLevel="0" collapsed="false">
      <c r="A4617" s="9" t="s">
        <v>4912</v>
      </c>
      <c r="B4617" s="9" t="s">
        <v>4892</v>
      </c>
      <c r="C4617" s="9" t="s">
        <v>4893</v>
      </c>
      <c r="D4617" s="9" t="s">
        <v>4731</v>
      </c>
      <c r="E4617" s="9" t="s">
        <v>1660</v>
      </c>
      <c r="F4617" s="9" t="s">
        <v>209</v>
      </c>
      <c r="G4617" s="9" t="s">
        <v>201</v>
      </c>
      <c r="H4617" s="9" t="n">
        <v>5400</v>
      </c>
      <c r="I4617" s="29" t="n">
        <v>2</v>
      </c>
      <c r="J4617" s="9" t="n">
        <v>1</v>
      </c>
      <c r="K4617" s="30"/>
      <c r="L4617" s="30"/>
      <c r="M4617" s="30"/>
      <c r="N4617" s="30"/>
      <c r="O4617" s="30"/>
      <c r="P4617" s="30"/>
      <c r="Q4617" s="30"/>
      <c r="R4617" s="30"/>
      <c r="S4617" s="30"/>
      <c r="T4617" s="30"/>
      <c r="U4617" s="21" t="str">
        <f aca="false">IF(COUNT(K4617:T4617)=0,"SOURCE EMPTY / INDUSTRIAL ONLY",IF(MIN(K4617:T4617)=1,"SERVICE READY","HOLD"))</f>
        <v>SOURCE EMPTY / INDUSTRIAL ONLY</v>
      </c>
      <c r="V4617" s="9" t="n">
        <f aca="false">IF(U4617="SERVICE READY",1,0)</f>
        <v>0</v>
      </c>
      <c r="W4617" s="6"/>
      <c r="X4617" s="6"/>
      <c r="Y4617" s="6"/>
      <c r="Z4617" s="6"/>
    </row>
    <row r="4618" customFormat="false" ht="15" hidden="false" customHeight="false" outlineLevel="0" collapsed="false">
      <c r="A4618" s="9" t="s">
        <v>4913</v>
      </c>
      <c r="B4618" s="9" t="s">
        <v>4892</v>
      </c>
      <c r="C4618" s="9" t="s">
        <v>4893</v>
      </c>
      <c r="D4618" s="9" t="s">
        <v>4731</v>
      </c>
      <c r="E4618" s="9" t="s">
        <v>1660</v>
      </c>
      <c r="F4618" s="9" t="s">
        <v>211</v>
      </c>
      <c r="G4618" s="9" t="s">
        <v>198</v>
      </c>
      <c r="H4618" s="9" t="n">
        <v>5400</v>
      </c>
      <c r="I4618" s="29" t="n">
        <v>2</v>
      </c>
      <c r="J4618" s="9" t="n">
        <v>1</v>
      </c>
      <c r="K4618" s="30"/>
      <c r="L4618" s="30"/>
      <c r="M4618" s="30"/>
      <c r="N4618" s="30"/>
      <c r="O4618" s="30"/>
      <c r="P4618" s="30"/>
      <c r="Q4618" s="30"/>
      <c r="R4618" s="30"/>
      <c r="S4618" s="30"/>
      <c r="T4618" s="30"/>
      <c r="U4618" s="21" t="str">
        <f aca="false">IF(COUNT(K4618:T4618)=0,"SOURCE EMPTY / INDUSTRIAL ONLY",IF(MIN(K4618:T4618)=1,"SERVICE READY","HOLD"))</f>
        <v>SOURCE EMPTY / INDUSTRIAL ONLY</v>
      </c>
      <c r="V4618" s="9" t="n">
        <f aca="false">IF(U4618="SERVICE READY",1,0)</f>
        <v>0</v>
      </c>
      <c r="W4618" s="6"/>
      <c r="X4618" s="6"/>
      <c r="Y4618" s="6"/>
      <c r="Z4618" s="6"/>
    </row>
    <row r="4619" customFormat="false" ht="15" hidden="false" customHeight="false" outlineLevel="0" collapsed="false">
      <c r="A4619" s="9" t="s">
        <v>4914</v>
      </c>
      <c r="B4619" s="9" t="s">
        <v>4892</v>
      </c>
      <c r="C4619" s="9" t="s">
        <v>4893</v>
      </c>
      <c r="D4619" s="9" t="s">
        <v>4731</v>
      </c>
      <c r="E4619" s="9" t="s">
        <v>1660</v>
      </c>
      <c r="F4619" s="9" t="s">
        <v>197</v>
      </c>
      <c r="G4619" s="9" t="s">
        <v>201</v>
      </c>
      <c r="H4619" s="9" t="n">
        <v>5400</v>
      </c>
      <c r="I4619" s="29" t="n">
        <v>2</v>
      </c>
      <c r="J4619" s="9" t="n">
        <v>1</v>
      </c>
      <c r="K4619" s="30"/>
      <c r="L4619" s="30"/>
      <c r="M4619" s="30"/>
      <c r="N4619" s="30"/>
      <c r="O4619" s="30"/>
      <c r="P4619" s="30"/>
      <c r="Q4619" s="30"/>
      <c r="R4619" s="30"/>
      <c r="S4619" s="30"/>
      <c r="T4619" s="30"/>
      <c r="U4619" s="21" t="str">
        <f aca="false">IF(COUNT(K4619:T4619)=0,"SOURCE EMPTY / INDUSTRIAL ONLY",IF(MIN(K4619:T4619)=1,"SERVICE READY","HOLD"))</f>
        <v>SOURCE EMPTY / INDUSTRIAL ONLY</v>
      </c>
      <c r="V4619" s="9" t="n">
        <f aca="false">IF(U4619="SERVICE READY",1,0)</f>
        <v>0</v>
      </c>
      <c r="W4619" s="6"/>
      <c r="X4619" s="6"/>
      <c r="Y4619" s="6"/>
      <c r="Z4619" s="6"/>
    </row>
    <row r="4620" customFormat="false" ht="15" hidden="false" customHeight="false" outlineLevel="0" collapsed="false">
      <c r="A4620" s="9" t="s">
        <v>4915</v>
      </c>
      <c r="B4620" s="9" t="s">
        <v>4892</v>
      </c>
      <c r="C4620" s="9" t="s">
        <v>4893</v>
      </c>
      <c r="D4620" s="9" t="s">
        <v>4731</v>
      </c>
      <c r="E4620" s="9" t="s">
        <v>1660</v>
      </c>
      <c r="F4620" s="9" t="s">
        <v>200</v>
      </c>
      <c r="G4620" s="9" t="s">
        <v>198</v>
      </c>
      <c r="H4620" s="9" t="n">
        <v>5400</v>
      </c>
      <c r="I4620" s="29" t="n">
        <v>2</v>
      </c>
      <c r="J4620" s="9" t="n">
        <v>1</v>
      </c>
      <c r="K4620" s="30"/>
      <c r="L4620" s="30"/>
      <c r="M4620" s="30"/>
      <c r="N4620" s="30"/>
      <c r="O4620" s="30"/>
      <c r="P4620" s="30"/>
      <c r="Q4620" s="30"/>
      <c r="R4620" s="30"/>
      <c r="S4620" s="30"/>
      <c r="T4620" s="30"/>
      <c r="U4620" s="21" t="str">
        <f aca="false">IF(COUNT(K4620:T4620)=0,"SOURCE EMPTY / INDUSTRIAL ONLY",IF(MIN(K4620:T4620)=1,"SERVICE READY","HOLD"))</f>
        <v>SOURCE EMPTY / INDUSTRIAL ONLY</v>
      </c>
      <c r="V4620" s="9" t="n">
        <f aca="false">IF(U4620="SERVICE READY",1,0)</f>
        <v>0</v>
      </c>
      <c r="W4620" s="6"/>
      <c r="X4620" s="6"/>
      <c r="Y4620" s="6"/>
      <c r="Z4620" s="6"/>
    </row>
    <row r="4621" customFormat="false" ht="15" hidden="false" customHeight="false" outlineLevel="0" collapsed="false">
      <c r="A4621" s="9" t="s">
        <v>4916</v>
      </c>
      <c r="B4621" s="9" t="s">
        <v>4892</v>
      </c>
      <c r="C4621" s="9" t="s">
        <v>4893</v>
      </c>
      <c r="D4621" s="9" t="s">
        <v>4731</v>
      </c>
      <c r="E4621" s="9" t="s">
        <v>1660</v>
      </c>
      <c r="F4621" s="9" t="s">
        <v>203</v>
      </c>
      <c r="G4621" s="9" t="s">
        <v>201</v>
      </c>
      <c r="H4621" s="9" t="n">
        <v>5400</v>
      </c>
      <c r="I4621" s="29" t="n">
        <v>2</v>
      </c>
      <c r="J4621" s="9" t="n">
        <v>1</v>
      </c>
      <c r="K4621" s="30"/>
      <c r="L4621" s="30"/>
      <c r="M4621" s="30"/>
      <c r="N4621" s="30"/>
      <c r="O4621" s="30"/>
      <c r="P4621" s="30"/>
      <c r="Q4621" s="30"/>
      <c r="R4621" s="30"/>
      <c r="S4621" s="30"/>
      <c r="T4621" s="30"/>
      <c r="U4621" s="21" t="str">
        <f aca="false">IF(COUNT(K4621:T4621)=0,"SOURCE EMPTY / INDUSTRIAL ONLY",IF(MIN(K4621:T4621)=1,"SERVICE READY","HOLD"))</f>
        <v>SOURCE EMPTY / INDUSTRIAL ONLY</v>
      </c>
      <c r="V4621" s="9" t="n">
        <f aca="false">IF(U4621="SERVICE READY",1,0)</f>
        <v>0</v>
      </c>
      <c r="W4621" s="6"/>
      <c r="X4621" s="6"/>
      <c r="Y4621" s="6"/>
      <c r="Z4621" s="6"/>
    </row>
    <row r="4622" customFormat="false" ht="15" hidden="false" customHeight="false" outlineLevel="0" collapsed="false">
      <c r="A4622" s="9" t="s">
        <v>4917</v>
      </c>
      <c r="B4622" s="9" t="s">
        <v>4892</v>
      </c>
      <c r="C4622" s="9" t="s">
        <v>4893</v>
      </c>
      <c r="D4622" s="9" t="s">
        <v>4731</v>
      </c>
      <c r="E4622" s="9" t="s">
        <v>1660</v>
      </c>
      <c r="F4622" s="9" t="s">
        <v>205</v>
      </c>
      <c r="G4622" s="9" t="s">
        <v>198</v>
      </c>
      <c r="H4622" s="9" t="n">
        <v>5400</v>
      </c>
      <c r="I4622" s="29" t="n">
        <v>2</v>
      </c>
      <c r="J4622" s="9" t="n">
        <v>1</v>
      </c>
      <c r="K4622" s="30"/>
      <c r="L4622" s="30"/>
      <c r="M4622" s="30"/>
      <c r="N4622" s="30"/>
      <c r="O4622" s="30"/>
      <c r="P4622" s="30"/>
      <c r="Q4622" s="30"/>
      <c r="R4622" s="30"/>
      <c r="S4622" s="30"/>
      <c r="T4622" s="30"/>
      <c r="U4622" s="21" t="str">
        <f aca="false">IF(COUNT(K4622:T4622)=0,"SOURCE EMPTY / INDUSTRIAL ONLY",IF(MIN(K4622:T4622)=1,"SERVICE READY","HOLD"))</f>
        <v>SOURCE EMPTY / INDUSTRIAL ONLY</v>
      </c>
      <c r="V4622" s="9" t="n">
        <f aca="false">IF(U4622="SERVICE READY",1,0)</f>
        <v>0</v>
      </c>
      <c r="W4622" s="6"/>
      <c r="X4622" s="6"/>
      <c r="Y4622" s="6"/>
      <c r="Z4622" s="6"/>
    </row>
    <row r="4623" customFormat="false" ht="15" hidden="false" customHeight="false" outlineLevel="0" collapsed="false">
      <c r="A4623" s="9" t="s">
        <v>4918</v>
      </c>
      <c r="B4623" s="9" t="s">
        <v>4892</v>
      </c>
      <c r="C4623" s="9" t="s">
        <v>4893</v>
      </c>
      <c r="D4623" s="9" t="s">
        <v>4731</v>
      </c>
      <c r="E4623" s="9" t="s">
        <v>1660</v>
      </c>
      <c r="F4623" s="9" t="s">
        <v>207</v>
      </c>
      <c r="G4623" s="9" t="s">
        <v>201</v>
      </c>
      <c r="H4623" s="9" t="n">
        <v>5400</v>
      </c>
      <c r="I4623" s="29" t="n">
        <v>2</v>
      </c>
      <c r="J4623" s="9" t="n">
        <v>1</v>
      </c>
      <c r="K4623" s="30"/>
      <c r="L4623" s="30"/>
      <c r="M4623" s="30"/>
      <c r="N4623" s="30"/>
      <c r="O4623" s="30"/>
      <c r="P4623" s="30"/>
      <c r="Q4623" s="30"/>
      <c r="R4623" s="30"/>
      <c r="S4623" s="30"/>
      <c r="T4623" s="30"/>
      <c r="U4623" s="21" t="str">
        <f aca="false">IF(COUNT(K4623:T4623)=0,"SOURCE EMPTY / INDUSTRIAL ONLY",IF(MIN(K4623:T4623)=1,"SERVICE READY","HOLD"))</f>
        <v>SOURCE EMPTY / INDUSTRIAL ONLY</v>
      </c>
      <c r="V4623" s="9" t="n">
        <f aca="false">IF(U4623="SERVICE READY",1,0)</f>
        <v>0</v>
      </c>
      <c r="W4623" s="6"/>
      <c r="X4623" s="6"/>
      <c r="Y4623" s="6"/>
      <c r="Z4623" s="6"/>
    </row>
    <row r="4624" customFormat="false" ht="15" hidden="false" customHeight="false" outlineLevel="0" collapsed="false">
      <c r="A4624" s="9" t="s">
        <v>4919</v>
      </c>
      <c r="B4624" s="9" t="s">
        <v>4892</v>
      </c>
      <c r="C4624" s="9" t="s">
        <v>4893</v>
      </c>
      <c r="D4624" s="9" t="s">
        <v>4731</v>
      </c>
      <c r="E4624" s="9" t="s">
        <v>1660</v>
      </c>
      <c r="F4624" s="9" t="s">
        <v>209</v>
      </c>
      <c r="G4624" s="9" t="s">
        <v>198</v>
      </c>
      <c r="H4624" s="9" t="n">
        <v>5400</v>
      </c>
      <c r="I4624" s="29" t="n">
        <v>2</v>
      </c>
      <c r="J4624" s="9" t="n">
        <v>1</v>
      </c>
      <c r="K4624" s="30"/>
      <c r="L4624" s="30"/>
      <c r="M4624" s="30"/>
      <c r="N4624" s="30"/>
      <c r="O4624" s="30"/>
      <c r="P4624" s="30"/>
      <c r="Q4624" s="30"/>
      <c r="R4624" s="30"/>
      <c r="S4624" s="30"/>
      <c r="T4624" s="30"/>
      <c r="U4624" s="21" t="str">
        <f aca="false">IF(COUNT(K4624:T4624)=0,"SOURCE EMPTY / INDUSTRIAL ONLY",IF(MIN(K4624:T4624)=1,"SERVICE READY","HOLD"))</f>
        <v>SOURCE EMPTY / INDUSTRIAL ONLY</v>
      </c>
      <c r="V4624" s="9" t="n">
        <f aca="false">IF(U4624="SERVICE READY",1,0)</f>
        <v>0</v>
      </c>
      <c r="W4624" s="6"/>
      <c r="X4624" s="6"/>
      <c r="Y4624" s="6"/>
      <c r="Z4624" s="6"/>
    </row>
    <row r="4625" customFormat="false" ht="15" hidden="false" customHeight="false" outlineLevel="0" collapsed="false">
      <c r="A4625" s="9" t="s">
        <v>4920</v>
      </c>
      <c r="B4625" s="9" t="s">
        <v>4892</v>
      </c>
      <c r="C4625" s="9" t="s">
        <v>4893</v>
      </c>
      <c r="D4625" s="9" t="s">
        <v>4731</v>
      </c>
      <c r="E4625" s="9" t="s">
        <v>1660</v>
      </c>
      <c r="F4625" s="9" t="s">
        <v>211</v>
      </c>
      <c r="G4625" s="9" t="s">
        <v>201</v>
      </c>
      <c r="H4625" s="9" t="n">
        <v>5400</v>
      </c>
      <c r="I4625" s="29" t="n">
        <v>2</v>
      </c>
      <c r="J4625" s="9" t="n">
        <v>1</v>
      </c>
      <c r="K4625" s="30"/>
      <c r="L4625" s="30"/>
      <c r="M4625" s="30"/>
      <c r="N4625" s="30"/>
      <c r="O4625" s="30"/>
      <c r="P4625" s="30"/>
      <c r="Q4625" s="30"/>
      <c r="R4625" s="30"/>
      <c r="S4625" s="30"/>
      <c r="T4625" s="30"/>
      <c r="U4625" s="21" t="str">
        <f aca="false">IF(COUNT(K4625:T4625)=0,"SOURCE EMPTY / INDUSTRIAL ONLY",IF(MIN(K4625:T4625)=1,"SERVICE READY","HOLD"))</f>
        <v>SOURCE EMPTY / INDUSTRIAL ONLY</v>
      </c>
      <c r="V4625" s="9" t="n">
        <f aca="false">IF(U4625="SERVICE READY",1,0)</f>
        <v>0</v>
      </c>
      <c r="W4625" s="6"/>
      <c r="X4625" s="6"/>
      <c r="Y4625" s="6"/>
      <c r="Z4625" s="6"/>
    </row>
    <row r="4626" customFormat="false" ht="15" hidden="false" customHeight="false" outlineLevel="0" collapsed="false">
      <c r="A4626" s="9" t="s">
        <v>4921</v>
      </c>
      <c r="B4626" s="9" t="s">
        <v>4892</v>
      </c>
      <c r="C4626" s="9" t="s">
        <v>4893</v>
      </c>
      <c r="D4626" s="9" t="s">
        <v>4731</v>
      </c>
      <c r="E4626" s="9" t="s">
        <v>1660</v>
      </c>
      <c r="F4626" s="9" t="s">
        <v>197</v>
      </c>
      <c r="G4626" s="9" t="s">
        <v>198</v>
      </c>
      <c r="H4626" s="9" t="n">
        <v>5400</v>
      </c>
      <c r="I4626" s="29" t="n">
        <v>2</v>
      </c>
      <c r="J4626" s="9" t="n">
        <v>1</v>
      </c>
      <c r="K4626" s="30"/>
      <c r="L4626" s="30"/>
      <c r="M4626" s="30"/>
      <c r="N4626" s="30"/>
      <c r="O4626" s="30"/>
      <c r="P4626" s="30"/>
      <c r="Q4626" s="30"/>
      <c r="R4626" s="30"/>
      <c r="S4626" s="30"/>
      <c r="T4626" s="30"/>
      <c r="U4626" s="21" t="str">
        <f aca="false">IF(COUNT(K4626:T4626)=0,"SOURCE EMPTY / INDUSTRIAL ONLY",IF(MIN(K4626:T4626)=1,"SERVICE READY","HOLD"))</f>
        <v>SOURCE EMPTY / INDUSTRIAL ONLY</v>
      </c>
      <c r="V4626" s="9" t="n">
        <f aca="false">IF(U4626="SERVICE READY",1,0)</f>
        <v>0</v>
      </c>
      <c r="W4626" s="6"/>
      <c r="X4626" s="6"/>
      <c r="Y4626" s="6"/>
      <c r="Z4626" s="6"/>
    </row>
    <row r="4627" customFormat="false" ht="15" hidden="false" customHeight="false" outlineLevel="0" collapsed="false">
      <c r="A4627" s="9" t="s">
        <v>4922</v>
      </c>
      <c r="B4627" s="9" t="s">
        <v>4892</v>
      </c>
      <c r="C4627" s="9" t="s">
        <v>4893</v>
      </c>
      <c r="D4627" s="9" t="s">
        <v>4731</v>
      </c>
      <c r="E4627" s="9" t="s">
        <v>1660</v>
      </c>
      <c r="F4627" s="9" t="s">
        <v>200</v>
      </c>
      <c r="G4627" s="9" t="s">
        <v>201</v>
      </c>
      <c r="H4627" s="9" t="n">
        <v>5400</v>
      </c>
      <c r="I4627" s="29" t="n">
        <v>2</v>
      </c>
      <c r="J4627" s="9" t="n">
        <v>1</v>
      </c>
      <c r="K4627" s="30"/>
      <c r="L4627" s="30"/>
      <c r="M4627" s="30"/>
      <c r="N4627" s="30"/>
      <c r="O4627" s="30"/>
      <c r="P4627" s="30"/>
      <c r="Q4627" s="30"/>
      <c r="R4627" s="30"/>
      <c r="S4627" s="30"/>
      <c r="T4627" s="30"/>
      <c r="U4627" s="21" t="str">
        <f aca="false">IF(COUNT(K4627:T4627)=0,"SOURCE EMPTY / INDUSTRIAL ONLY",IF(MIN(K4627:T4627)=1,"SERVICE READY","HOLD"))</f>
        <v>SOURCE EMPTY / INDUSTRIAL ONLY</v>
      </c>
      <c r="V4627" s="9" t="n">
        <f aca="false">IF(U4627="SERVICE READY",1,0)</f>
        <v>0</v>
      </c>
      <c r="W4627" s="6"/>
      <c r="X4627" s="6"/>
      <c r="Y4627" s="6"/>
      <c r="Z4627" s="6"/>
    </row>
    <row r="4628" customFormat="false" ht="15" hidden="false" customHeight="false" outlineLevel="0" collapsed="false">
      <c r="A4628" s="9" t="s">
        <v>4923</v>
      </c>
      <c r="B4628" s="9" t="s">
        <v>4892</v>
      </c>
      <c r="C4628" s="9" t="s">
        <v>4893</v>
      </c>
      <c r="D4628" s="9" t="s">
        <v>4731</v>
      </c>
      <c r="E4628" s="9" t="s">
        <v>1660</v>
      </c>
      <c r="F4628" s="9" t="s">
        <v>203</v>
      </c>
      <c r="G4628" s="9" t="s">
        <v>221</v>
      </c>
      <c r="H4628" s="9" t="n">
        <v>5400</v>
      </c>
      <c r="I4628" s="29" t="n">
        <v>2</v>
      </c>
      <c r="J4628" s="9" t="n">
        <v>1</v>
      </c>
      <c r="K4628" s="30"/>
      <c r="L4628" s="30"/>
      <c r="M4628" s="30"/>
      <c r="N4628" s="30"/>
      <c r="O4628" s="30"/>
      <c r="P4628" s="30"/>
      <c r="Q4628" s="30"/>
      <c r="R4628" s="30"/>
      <c r="S4628" s="30"/>
      <c r="T4628" s="30"/>
      <c r="U4628" s="21" t="str">
        <f aca="false">IF(COUNT(K4628:T4628)=0,"SOURCE EMPTY / INDUSTRIAL ONLY",IF(MIN(K4628:T4628)=1,"SERVICE READY","HOLD"))</f>
        <v>SOURCE EMPTY / INDUSTRIAL ONLY</v>
      </c>
      <c r="V4628" s="9" t="n">
        <f aca="false">IF(U4628="SERVICE READY",1,0)</f>
        <v>0</v>
      </c>
      <c r="W4628" s="6"/>
      <c r="X4628" s="6"/>
      <c r="Y4628" s="6"/>
      <c r="Z4628" s="6"/>
    </row>
    <row r="4629" customFormat="false" ht="15" hidden="false" customHeight="false" outlineLevel="0" collapsed="false">
      <c r="A4629" s="9" t="s">
        <v>4924</v>
      </c>
      <c r="B4629" s="9" t="s">
        <v>4892</v>
      </c>
      <c r="C4629" s="9" t="s">
        <v>4893</v>
      </c>
      <c r="D4629" s="9" t="s">
        <v>4731</v>
      </c>
      <c r="E4629" s="9" t="s">
        <v>1660</v>
      </c>
      <c r="F4629" s="9" t="s">
        <v>205</v>
      </c>
      <c r="G4629" s="9" t="s">
        <v>221</v>
      </c>
      <c r="H4629" s="9" t="n">
        <v>5400</v>
      </c>
      <c r="I4629" s="29" t="n">
        <v>2</v>
      </c>
      <c r="J4629" s="9" t="n">
        <v>1</v>
      </c>
      <c r="K4629" s="30"/>
      <c r="L4629" s="30"/>
      <c r="M4629" s="30"/>
      <c r="N4629" s="30"/>
      <c r="O4629" s="30"/>
      <c r="P4629" s="30"/>
      <c r="Q4629" s="30"/>
      <c r="R4629" s="30"/>
      <c r="S4629" s="30"/>
      <c r="T4629" s="30"/>
      <c r="U4629" s="21" t="str">
        <f aca="false">IF(COUNT(K4629:T4629)=0,"SOURCE EMPTY / INDUSTRIAL ONLY",IF(MIN(K4629:T4629)=1,"SERVICE READY","HOLD"))</f>
        <v>SOURCE EMPTY / INDUSTRIAL ONLY</v>
      </c>
      <c r="V4629" s="9" t="n">
        <f aca="false">IF(U4629="SERVICE READY",1,0)</f>
        <v>0</v>
      </c>
      <c r="W4629" s="6"/>
      <c r="X4629" s="6"/>
      <c r="Y4629" s="6"/>
      <c r="Z4629" s="6"/>
    </row>
    <row r="4630" customFormat="false" ht="15" hidden="false" customHeight="false" outlineLevel="0" collapsed="false">
      <c r="A4630" s="9" t="s">
        <v>4925</v>
      </c>
      <c r="B4630" s="9" t="s">
        <v>4892</v>
      </c>
      <c r="C4630" s="9" t="s">
        <v>4893</v>
      </c>
      <c r="D4630" s="9" t="s">
        <v>4731</v>
      </c>
      <c r="E4630" s="9" t="s">
        <v>1660</v>
      </c>
      <c r="F4630" s="9" t="s">
        <v>207</v>
      </c>
      <c r="G4630" s="9" t="s">
        <v>221</v>
      </c>
      <c r="H4630" s="9" t="n">
        <v>5400</v>
      </c>
      <c r="I4630" s="29" t="n">
        <v>2</v>
      </c>
      <c r="J4630" s="9" t="n">
        <v>1</v>
      </c>
      <c r="K4630" s="30"/>
      <c r="L4630" s="30"/>
      <c r="M4630" s="30"/>
      <c r="N4630" s="30"/>
      <c r="O4630" s="30"/>
      <c r="P4630" s="30"/>
      <c r="Q4630" s="30"/>
      <c r="R4630" s="30"/>
      <c r="S4630" s="30"/>
      <c r="T4630" s="30"/>
      <c r="U4630" s="21" t="str">
        <f aca="false">IF(COUNT(K4630:T4630)=0,"SOURCE EMPTY / INDUSTRIAL ONLY",IF(MIN(K4630:T4630)=1,"SERVICE READY","HOLD"))</f>
        <v>SOURCE EMPTY / INDUSTRIAL ONLY</v>
      </c>
      <c r="V4630" s="9" t="n">
        <f aca="false">IF(U4630="SERVICE READY",1,0)</f>
        <v>0</v>
      </c>
      <c r="W4630" s="6"/>
      <c r="X4630" s="6"/>
      <c r="Y4630" s="6"/>
      <c r="Z4630" s="6"/>
    </row>
    <row r="4631" customFormat="false" ht="15" hidden="false" customHeight="false" outlineLevel="0" collapsed="false">
      <c r="A4631" s="9" t="s">
        <v>4926</v>
      </c>
      <c r="B4631" s="9" t="s">
        <v>4892</v>
      </c>
      <c r="C4631" s="9" t="s">
        <v>4893</v>
      </c>
      <c r="D4631" s="9" t="s">
        <v>4731</v>
      </c>
      <c r="E4631" s="9" t="s">
        <v>1660</v>
      </c>
      <c r="F4631" s="9" t="s">
        <v>209</v>
      </c>
      <c r="G4631" s="9" t="s">
        <v>221</v>
      </c>
      <c r="H4631" s="9" t="n">
        <v>5400</v>
      </c>
      <c r="I4631" s="29" t="n">
        <v>2</v>
      </c>
      <c r="J4631" s="9" t="n">
        <v>1</v>
      </c>
      <c r="K4631" s="30"/>
      <c r="L4631" s="30"/>
      <c r="M4631" s="30"/>
      <c r="N4631" s="30"/>
      <c r="O4631" s="30"/>
      <c r="P4631" s="30"/>
      <c r="Q4631" s="30"/>
      <c r="R4631" s="30"/>
      <c r="S4631" s="30"/>
      <c r="T4631" s="30"/>
      <c r="U4631" s="21" t="str">
        <f aca="false">IF(COUNT(K4631:T4631)=0,"SOURCE EMPTY / INDUSTRIAL ONLY",IF(MIN(K4631:T4631)=1,"SERVICE READY","HOLD"))</f>
        <v>SOURCE EMPTY / INDUSTRIAL ONLY</v>
      </c>
      <c r="V4631" s="9" t="n">
        <f aca="false">IF(U4631="SERVICE READY",1,0)</f>
        <v>0</v>
      </c>
      <c r="W4631" s="6"/>
      <c r="X4631" s="6"/>
      <c r="Y4631" s="6"/>
      <c r="Z4631" s="6"/>
    </row>
    <row r="4632" customFormat="false" ht="15" hidden="false" customHeight="false" outlineLevel="0" collapsed="false">
      <c r="A4632" s="9" t="s">
        <v>4927</v>
      </c>
      <c r="B4632" s="9" t="s">
        <v>4892</v>
      </c>
      <c r="C4632" s="9" t="s">
        <v>4893</v>
      </c>
      <c r="D4632" s="9" t="s">
        <v>4731</v>
      </c>
      <c r="E4632" s="9" t="s">
        <v>1660</v>
      </c>
      <c r="F4632" s="9" t="s">
        <v>211</v>
      </c>
      <c r="G4632" s="9" t="s">
        <v>221</v>
      </c>
      <c r="H4632" s="9" t="n">
        <v>5400</v>
      </c>
      <c r="I4632" s="29" t="n">
        <v>2</v>
      </c>
      <c r="J4632" s="9" t="n">
        <v>1</v>
      </c>
      <c r="K4632" s="30"/>
      <c r="L4632" s="30"/>
      <c r="M4632" s="30"/>
      <c r="N4632" s="30"/>
      <c r="O4632" s="30"/>
      <c r="P4632" s="30"/>
      <c r="Q4632" s="30"/>
      <c r="R4632" s="30"/>
      <c r="S4632" s="30"/>
      <c r="T4632" s="30"/>
      <c r="U4632" s="21" t="str">
        <f aca="false">IF(COUNT(K4632:T4632)=0,"SOURCE EMPTY / INDUSTRIAL ONLY",IF(MIN(K4632:T4632)=1,"SERVICE READY","HOLD"))</f>
        <v>SOURCE EMPTY / INDUSTRIAL ONLY</v>
      </c>
      <c r="V4632" s="9" t="n">
        <f aca="false">IF(U4632="SERVICE READY",1,0)</f>
        <v>0</v>
      </c>
      <c r="W4632" s="6"/>
      <c r="X4632" s="6"/>
      <c r="Y4632" s="6"/>
      <c r="Z4632" s="6"/>
    </row>
    <row r="4633" customFormat="false" ht="15" hidden="false" customHeight="false" outlineLevel="0" collapsed="false">
      <c r="A4633" s="9" t="s">
        <v>4928</v>
      </c>
      <c r="B4633" s="9" t="s">
        <v>4892</v>
      </c>
      <c r="C4633" s="9" t="s">
        <v>4893</v>
      </c>
      <c r="D4633" s="9" t="s">
        <v>4731</v>
      </c>
      <c r="E4633" s="9" t="s">
        <v>1660</v>
      </c>
      <c r="F4633" s="9" t="s">
        <v>197</v>
      </c>
      <c r="G4633" s="9" t="s">
        <v>221</v>
      </c>
      <c r="H4633" s="9" t="n">
        <v>5400</v>
      </c>
      <c r="I4633" s="29" t="n">
        <v>2</v>
      </c>
      <c r="J4633" s="9" t="n">
        <v>1</v>
      </c>
      <c r="K4633" s="30"/>
      <c r="L4633" s="30"/>
      <c r="M4633" s="30"/>
      <c r="N4633" s="30"/>
      <c r="O4633" s="30"/>
      <c r="P4633" s="30"/>
      <c r="Q4633" s="30"/>
      <c r="R4633" s="30"/>
      <c r="S4633" s="30"/>
      <c r="T4633" s="30"/>
      <c r="U4633" s="21" t="str">
        <f aca="false">IF(COUNT(K4633:T4633)=0,"SOURCE EMPTY / INDUSTRIAL ONLY",IF(MIN(K4633:T4633)=1,"SERVICE READY","HOLD"))</f>
        <v>SOURCE EMPTY / INDUSTRIAL ONLY</v>
      </c>
      <c r="V4633" s="9" t="n">
        <f aca="false">IF(U4633="SERVICE READY",1,0)</f>
        <v>0</v>
      </c>
      <c r="W4633" s="6"/>
      <c r="X4633" s="6"/>
      <c r="Y4633" s="6"/>
      <c r="Z4633" s="6"/>
    </row>
    <row r="4634" customFormat="false" ht="15" hidden="false" customHeight="false" outlineLevel="0" collapsed="false">
      <c r="A4634" s="9" t="s">
        <v>4929</v>
      </c>
      <c r="B4634" s="9" t="s">
        <v>4892</v>
      </c>
      <c r="C4634" s="9" t="s">
        <v>4893</v>
      </c>
      <c r="D4634" s="9" t="s">
        <v>4731</v>
      </c>
      <c r="E4634" s="9" t="s">
        <v>1660</v>
      </c>
      <c r="F4634" s="9" t="s">
        <v>200</v>
      </c>
      <c r="G4634" s="9" t="s">
        <v>221</v>
      </c>
      <c r="H4634" s="9" t="n">
        <v>5400</v>
      </c>
      <c r="I4634" s="29" t="n">
        <v>2</v>
      </c>
      <c r="J4634" s="9" t="n">
        <v>1</v>
      </c>
      <c r="K4634" s="30"/>
      <c r="L4634" s="30"/>
      <c r="M4634" s="30"/>
      <c r="N4634" s="30"/>
      <c r="O4634" s="30"/>
      <c r="P4634" s="30"/>
      <c r="Q4634" s="30"/>
      <c r="R4634" s="30"/>
      <c r="S4634" s="30"/>
      <c r="T4634" s="30"/>
      <c r="U4634" s="21" t="str">
        <f aca="false">IF(COUNT(K4634:T4634)=0,"SOURCE EMPTY / INDUSTRIAL ONLY",IF(MIN(K4634:T4634)=1,"SERVICE READY","HOLD"))</f>
        <v>SOURCE EMPTY / INDUSTRIAL ONLY</v>
      </c>
      <c r="V4634" s="9" t="n">
        <f aca="false">IF(U4634="SERVICE READY",1,0)</f>
        <v>0</v>
      </c>
      <c r="W4634" s="6"/>
      <c r="X4634" s="6"/>
      <c r="Y4634" s="6"/>
      <c r="Z4634" s="6"/>
    </row>
    <row r="4635" customFormat="false" ht="15" hidden="false" customHeight="false" outlineLevel="0" collapsed="false">
      <c r="A4635" s="9" t="s">
        <v>4930</v>
      </c>
      <c r="B4635" s="9" t="s">
        <v>4892</v>
      </c>
      <c r="C4635" s="9" t="s">
        <v>4893</v>
      </c>
      <c r="D4635" s="9" t="s">
        <v>4731</v>
      </c>
      <c r="E4635" s="9" t="s">
        <v>1660</v>
      </c>
      <c r="F4635" s="9" t="s">
        <v>203</v>
      </c>
      <c r="G4635" s="9" t="s">
        <v>221</v>
      </c>
      <c r="H4635" s="9" t="n">
        <v>5400</v>
      </c>
      <c r="I4635" s="29" t="n">
        <v>2</v>
      </c>
      <c r="J4635" s="9" t="n">
        <v>1</v>
      </c>
      <c r="K4635" s="30"/>
      <c r="L4635" s="30"/>
      <c r="M4635" s="30"/>
      <c r="N4635" s="30"/>
      <c r="O4635" s="30"/>
      <c r="P4635" s="30"/>
      <c r="Q4635" s="30"/>
      <c r="R4635" s="30"/>
      <c r="S4635" s="30"/>
      <c r="T4635" s="30"/>
      <c r="U4635" s="21" t="str">
        <f aca="false">IF(COUNT(K4635:T4635)=0,"SOURCE EMPTY / INDUSTRIAL ONLY",IF(MIN(K4635:T4635)=1,"SERVICE READY","HOLD"))</f>
        <v>SOURCE EMPTY / INDUSTRIAL ONLY</v>
      </c>
      <c r="V4635" s="9" t="n">
        <f aca="false">IF(U4635="SERVICE READY",1,0)</f>
        <v>0</v>
      </c>
      <c r="W4635" s="6"/>
      <c r="X4635" s="6"/>
      <c r="Y4635" s="6"/>
      <c r="Z4635" s="6"/>
    </row>
    <row r="4636" customFormat="false" ht="15" hidden="false" customHeight="false" outlineLevel="0" collapsed="false">
      <c r="A4636" s="9" t="s">
        <v>4931</v>
      </c>
      <c r="B4636" s="9" t="s">
        <v>4892</v>
      </c>
      <c r="C4636" s="9" t="s">
        <v>4893</v>
      </c>
      <c r="D4636" s="9" t="s">
        <v>4731</v>
      </c>
      <c r="E4636" s="9" t="s">
        <v>1660</v>
      </c>
      <c r="F4636" s="9" t="s">
        <v>205</v>
      </c>
      <c r="G4636" s="9" t="s">
        <v>221</v>
      </c>
      <c r="H4636" s="9" t="n">
        <v>5400</v>
      </c>
      <c r="I4636" s="29" t="n">
        <v>2</v>
      </c>
      <c r="J4636" s="9" t="n">
        <v>1</v>
      </c>
      <c r="K4636" s="30"/>
      <c r="L4636" s="30"/>
      <c r="M4636" s="30"/>
      <c r="N4636" s="30"/>
      <c r="O4636" s="30"/>
      <c r="P4636" s="30"/>
      <c r="Q4636" s="30"/>
      <c r="R4636" s="30"/>
      <c r="S4636" s="30"/>
      <c r="T4636" s="30"/>
      <c r="U4636" s="21" t="str">
        <f aca="false">IF(COUNT(K4636:T4636)=0,"SOURCE EMPTY / INDUSTRIAL ONLY",IF(MIN(K4636:T4636)=1,"SERVICE READY","HOLD"))</f>
        <v>SOURCE EMPTY / INDUSTRIAL ONLY</v>
      </c>
      <c r="V4636" s="9" t="n">
        <f aca="false">IF(U4636="SERVICE READY",1,0)</f>
        <v>0</v>
      </c>
      <c r="W4636" s="6"/>
      <c r="X4636" s="6"/>
      <c r="Y4636" s="6"/>
      <c r="Z4636" s="6"/>
    </row>
    <row r="4637" customFormat="false" ht="15" hidden="false" customHeight="false" outlineLevel="0" collapsed="false">
      <c r="A4637" s="9" t="s">
        <v>4932</v>
      </c>
      <c r="B4637" s="9" t="s">
        <v>4892</v>
      </c>
      <c r="C4637" s="9" t="s">
        <v>4893</v>
      </c>
      <c r="D4637" s="9" t="s">
        <v>4731</v>
      </c>
      <c r="E4637" s="9" t="s">
        <v>1660</v>
      </c>
      <c r="F4637" s="9" t="s">
        <v>207</v>
      </c>
      <c r="G4637" s="9" t="s">
        <v>221</v>
      </c>
      <c r="H4637" s="9" t="n">
        <v>5400</v>
      </c>
      <c r="I4637" s="29" t="n">
        <v>2</v>
      </c>
      <c r="J4637" s="9" t="n">
        <v>1</v>
      </c>
      <c r="K4637" s="30"/>
      <c r="L4637" s="30"/>
      <c r="M4637" s="30"/>
      <c r="N4637" s="30"/>
      <c r="O4637" s="30"/>
      <c r="P4637" s="30"/>
      <c r="Q4637" s="30"/>
      <c r="R4637" s="30"/>
      <c r="S4637" s="30"/>
      <c r="T4637" s="30"/>
      <c r="U4637" s="21" t="str">
        <f aca="false">IF(COUNT(K4637:T4637)=0,"SOURCE EMPTY / INDUSTRIAL ONLY",IF(MIN(K4637:T4637)=1,"SERVICE READY","HOLD"))</f>
        <v>SOURCE EMPTY / INDUSTRIAL ONLY</v>
      </c>
      <c r="V4637" s="9" t="n">
        <f aca="false">IF(U4637="SERVICE READY",1,0)</f>
        <v>0</v>
      </c>
      <c r="W4637" s="6"/>
      <c r="X4637" s="6"/>
      <c r="Y4637" s="6"/>
      <c r="Z4637" s="6"/>
    </row>
    <row r="4638" customFormat="false" ht="15" hidden="false" customHeight="false" outlineLevel="0" collapsed="false">
      <c r="A4638" s="9" t="s">
        <v>4933</v>
      </c>
      <c r="B4638" s="9" t="s">
        <v>4892</v>
      </c>
      <c r="C4638" s="9" t="s">
        <v>4893</v>
      </c>
      <c r="D4638" s="9" t="s">
        <v>4731</v>
      </c>
      <c r="E4638" s="9" t="s">
        <v>1660</v>
      </c>
      <c r="F4638" s="9" t="s">
        <v>209</v>
      </c>
      <c r="G4638" s="9" t="s">
        <v>221</v>
      </c>
      <c r="H4638" s="9" t="n">
        <v>5400</v>
      </c>
      <c r="I4638" s="29" t="n">
        <v>2</v>
      </c>
      <c r="J4638" s="9" t="n">
        <v>1</v>
      </c>
      <c r="K4638" s="30"/>
      <c r="L4638" s="30"/>
      <c r="M4638" s="30"/>
      <c r="N4638" s="30"/>
      <c r="O4638" s="30"/>
      <c r="P4638" s="30"/>
      <c r="Q4638" s="30"/>
      <c r="R4638" s="30"/>
      <c r="S4638" s="30"/>
      <c r="T4638" s="30"/>
      <c r="U4638" s="21" t="str">
        <f aca="false">IF(COUNT(K4638:T4638)=0,"SOURCE EMPTY / INDUSTRIAL ONLY",IF(MIN(K4638:T4638)=1,"SERVICE READY","HOLD"))</f>
        <v>SOURCE EMPTY / INDUSTRIAL ONLY</v>
      </c>
      <c r="V4638" s="9" t="n">
        <f aca="false">IF(U4638="SERVICE READY",1,0)</f>
        <v>0</v>
      </c>
      <c r="W4638" s="6"/>
      <c r="X4638" s="6"/>
      <c r="Y4638" s="6"/>
      <c r="Z4638" s="6"/>
    </row>
    <row r="4639" customFormat="false" ht="15" hidden="false" customHeight="false" outlineLevel="0" collapsed="false">
      <c r="A4639" s="9" t="s">
        <v>4934</v>
      </c>
      <c r="B4639" s="9" t="s">
        <v>4892</v>
      </c>
      <c r="C4639" s="9" t="s">
        <v>4893</v>
      </c>
      <c r="D4639" s="9" t="s">
        <v>4731</v>
      </c>
      <c r="E4639" s="9" t="s">
        <v>1660</v>
      </c>
      <c r="F4639" s="9" t="s">
        <v>211</v>
      </c>
      <c r="G4639" s="9" t="s">
        <v>221</v>
      </c>
      <c r="H4639" s="9" t="n">
        <v>5400</v>
      </c>
      <c r="I4639" s="29" t="n">
        <v>2</v>
      </c>
      <c r="J4639" s="9" t="n">
        <v>1</v>
      </c>
      <c r="K4639" s="30"/>
      <c r="L4639" s="30"/>
      <c r="M4639" s="30"/>
      <c r="N4639" s="30"/>
      <c r="O4639" s="30"/>
      <c r="P4639" s="30"/>
      <c r="Q4639" s="30"/>
      <c r="R4639" s="30"/>
      <c r="S4639" s="30"/>
      <c r="T4639" s="30"/>
      <c r="U4639" s="21" t="str">
        <f aca="false">IF(COUNT(K4639:T4639)=0,"SOURCE EMPTY / INDUSTRIAL ONLY",IF(MIN(K4639:T4639)=1,"SERVICE READY","HOLD"))</f>
        <v>SOURCE EMPTY / INDUSTRIAL ONLY</v>
      </c>
      <c r="V4639" s="9" t="n">
        <f aca="false">IF(U4639="SERVICE READY",1,0)</f>
        <v>0</v>
      </c>
      <c r="W4639" s="6"/>
      <c r="X4639" s="6"/>
      <c r="Y4639" s="6"/>
      <c r="Z4639" s="6"/>
    </row>
    <row r="4640" customFormat="false" ht="15" hidden="false" customHeight="false" outlineLevel="0" collapsed="false">
      <c r="A4640" s="9" t="s">
        <v>4935</v>
      </c>
      <c r="B4640" s="9" t="s">
        <v>4892</v>
      </c>
      <c r="C4640" s="9" t="s">
        <v>4893</v>
      </c>
      <c r="D4640" s="9" t="s">
        <v>4731</v>
      </c>
      <c r="E4640" s="9" t="s">
        <v>1660</v>
      </c>
      <c r="F4640" s="9" t="s">
        <v>197</v>
      </c>
      <c r="G4640" s="9" t="s">
        <v>221</v>
      </c>
      <c r="H4640" s="9" t="n">
        <v>5400</v>
      </c>
      <c r="I4640" s="29" t="n">
        <v>2</v>
      </c>
      <c r="J4640" s="9" t="n">
        <v>1</v>
      </c>
      <c r="K4640" s="30"/>
      <c r="L4640" s="30"/>
      <c r="M4640" s="30"/>
      <c r="N4640" s="30"/>
      <c r="O4640" s="30"/>
      <c r="P4640" s="30"/>
      <c r="Q4640" s="30"/>
      <c r="R4640" s="30"/>
      <c r="S4640" s="30"/>
      <c r="T4640" s="30"/>
      <c r="U4640" s="21" t="str">
        <f aca="false">IF(COUNT(K4640:T4640)=0,"SOURCE EMPTY / INDUSTRIAL ONLY",IF(MIN(K4640:T4640)=1,"SERVICE READY","HOLD"))</f>
        <v>SOURCE EMPTY / INDUSTRIAL ONLY</v>
      </c>
      <c r="V4640" s="9" t="n">
        <f aca="false">IF(U4640="SERVICE READY",1,0)</f>
        <v>0</v>
      </c>
      <c r="W4640" s="6"/>
      <c r="X4640" s="6"/>
      <c r="Y4640" s="6"/>
      <c r="Z4640" s="6"/>
    </row>
    <row r="4641" customFormat="false" ht="15" hidden="false" customHeight="false" outlineLevel="0" collapsed="false">
      <c r="A4641" s="9" t="s">
        <v>4936</v>
      </c>
      <c r="B4641" s="9" t="s">
        <v>4892</v>
      </c>
      <c r="C4641" s="9" t="s">
        <v>4893</v>
      </c>
      <c r="D4641" s="9" t="s">
        <v>4731</v>
      </c>
      <c r="E4641" s="9" t="s">
        <v>1660</v>
      </c>
      <c r="F4641" s="9" t="s">
        <v>200</v>
      </c>
      <c r="G4641" s="9" t="s">
        <v>221</v>
      </c>
      <c r="H4641" s="9" t="n">
        <v>5400</v>
      </c>
      <c r="I4641" s="29" t="n">
        <v>2</v>
      </c>
      <c r="J4641" s="9" t="n">
        <v>1</v>
      </c>
      <c r="K4641" s="30"/>
      <c r="L4641" s="30"/>
      <c r="M4641" s="30"/>
      <c r="N4641" s="30"/>
      <c r="O4641" s="30"/>
      <c r="P4641" s="30"/>
      <c r="Q4641" s="30"/>
      <c r="R4641" s="30"/>
      <c r="S4641" s="30"/>
      <c r="T4641" s="30"/>
      <c r="U4641" s="21" t="str">
        <f aca="false">IF(COUNT(K4641:T4641)=0,"SOURCE EMPTY / INDUSTRIAL ONLY",IF(MIN(K4641:T4641)=1,"SERVICE READY","HOLD"))</f>
        <v>SOURCE EMPTY / INDUSTRIAL ONLY</v>
      </c>
      <c r="V4641" s="9" t="n">
        <f aca="false">IF(U4641="SERVICE READY",1,0)</f>
        <v>0</v>
      </c>
      <c r="W4641" s="6"/>
      <c r="X4641" s="6"/>
      <c r="Y4641" s="6"/>
      <c r="Z4641" s="6"/>
    </row>
    <row r="4642" customFormat="false" ht="15" hidden="false" customHeight="false" outlineLevel="0" collapsed="false">
      <c r="A4642" s="9" t="s">
        <v>4937</v>
      </c>
      <c r="B4642" s="9" t="s">
        <v>4892</v>
      </c>
      <c r="C4642" s="9" t="s">
        <v>4893</v>
      </c>
      <c r="D4642" s="9" t="s">
        <v>4731</v>
      </c>
      <c r="E4642" s="9" t="s">
        <v>1660</v>
      </c>
      <c r="F4642" s="9" t="s">
        <v>203</v>
      </c>
      <c r="G4642" s="9" t="s">
        <v>221</v>
      </c>
      <c r="H4642" s="9" t="n">
        <v>5400</v>
      </c>
      <c r="I4642" s="29" t="n">
        <v>2</v>
      </c>
      <c r="J4642" s="9" t="n">
        <v>1</v>
      </c>
      <c r="K4642" s="30"/>
      <c r="L4642" s="30"/>
      <c r="M4642" s="30"/>
      <c r="N4642" s="30"/>
      <c r="O4642" s="30"/>
      <c r="P4642" s="30"/>
      <c r="Q4642" s="30"/>
      <c r="R4642" s="30"/>
      <c r="S4642" s="30"/>
      <c r="T4642" s="30"/>
      <c r="U4642" s="21" t="str">
        <f aca="false">IF(COUNT(K4642:T4642)=0,"SOURCE EMPTY / INDUSTRIAL ONLY",IF(MIN(K4642:T4642)=1,"SERVICE READY","HOLD"))</f>
        <v>SOURCE EMPTY / INDUSTRIAL ONLY</v>
      </c>
      <c r="V4642" s="9" t="n">
        <f aca="false">IF(U4642="SERVICE READY",1,0)</f>
        <v>0</v>
      </c>
      <c r="W4642" s="6"/>
      <c r="X4642" s="6"/>
      <c r="Y4642" s="6"/>
      <c r="Z4642" s="6"/>
    </row>
    <row r="4643" customFormat="false" ht="15" hidden="false" customHeight="false" outlineLevel="0" collapsed="false">
      <c r="A4643" s="9" t="s">
        <v>4938</v>
      </c>
      <c r="B4643" s="9" t="s">
        <v>4892</v>
      </c>
      <c r="C4643" s="9" t="s">
        <v>4893</v>
      </c>
      <c r="D4643" s="9" t="s">
        <v>4731</v>
      </c>
      <c r="E4643" s="9" t="s">
        <v>1660</v>
      </c>
      <c r="F4643" s="9" t="s">
        <v>205</v>
      </c>
      <c r="G4643" s="9" t="s">
        <v>221</v>
      </c>
      <c r="H4643" s="9" t="n">
        <v>5400</v>
      </c>
      <c r="I4643" s="29" t="n">
        <v>2</v>
      </c>
      <c r="J4643" s="9" t="n">
        <v>1</v>
      </c>
      <c r="K4643" s="30"/>
      <c r="L4643" s="30"/>
      <c r="M4643" s="30"/>
      <c r="N4643" s="30"/>
      <c r="O4643" s="30"/>
      <c r="P4643" s="30"/>
      <c r="Q4643" s="30"/>
      <c r="R4643" s="30"/>
      <c r="S4643" s="30"/>
      <c r="T4643" s="30"/>
      <c r="U4643" s="21" t="str">
        <f aca="false">IF(COUNT(K4643:T4643)=0,"SOURCE EMPTY / INDUSTRIAL ONLY",IF(MIN(K4643:T4643)=1,"SERVICE READY","HOLD"))</f>
        <v>SOURCE EMPTY / INDUSTRIAL ONLY</v>
      </c>
      <c r="V4643" s="9" t="n">
        <f aca="false">IF(U4643="SERVICE READY",1,0)</f>
        <v>0</v>
      </c>
      <c r="W4643" s="6"/>
      <c r="X4643" s="6"/>
      <c r="Y4643" s="6"/>
      <c r="Z4643" s="6"/>
    </row>
    <row r="4644" customFormat="false" ht="15" hidden="false" customHeight="false" outlineLevel="0" collapsed="false">
      <c r="A4644" s="9" t="s">
        <v>4939</v>
      </c>
      <c r="B4644" s="9" t="s">
        <v>4892</v>
      </c>
      <c r="C4644" s="9" t="s">
        <v>4893</v>
      </c>
      <c r="D4644" s="9" t="s">
        <v>4731</v>
      </c>
      <c r="E4644" s="9" t="s">
        <v>1660</v>
      </c>
      <c r="F4644" s="9" t="s">
        <v>207</v>
      </c>
      <c r="G4644" s="9" t="s">
        <v>221</v>
      </c>
      <c r="H4644" s="9" t="n">
        <v>5400</v>
      </c>
      <c r="I4644" s="29" t="n">
        <v>2</v>
      </c>
      <c r="J4644" s="9" t="n">
        <v>1</v>
      </c>
      <c r="K4644" s="30"/>
      <c r="L4644" s="30"/>
      <c r="M4644" s="30"/>
      <c r="N4644" s="30"/>
      <c r="O4644" s="30"/>
      <c r="P4644" s="30"/>
      <c r="Q4644" s="30"/>
      <c r="R4644" s="30"/>
      <c r="S4644" s="30"/>
      <c r="T4644" s="30"/>
      <c r="U4644" s="21" t="str">
        <f aca="false">IF(COUNT(K4644:T4644)=0,"SOURCE EMPTY / INDUSTRIAL ONLY",IF(MIN(K4644:T4644)=1,"SERVICE READY","HOLD"))</f>
        <v>SOURCE EMPTY / INDUSTRIAL ONLY</v>
      </c>
      <c r="V4644" s="9" t="n">
        <f aca="false">IF(U4644="SERVICE READY",1,0)</f>
        <v>0</v>
      </c>
      <c r="W4644" s="6"/>
      <c r="X4644" s="6"/>
      <c r="Y4644" s="6"/>
      <c r="Z4644" s="6"/>
    </row>
    <row r="4645" customFormat="false" ht="15" hidden="false" customHeight="false" outlineLevel="0" collapsed="false">
      <c r="A4645" s="9" t="s">
        <v>4940</v>
      </c>
      <c r="B4645" s="9" t="s">
        <v>4892</v>
      </c>
      <c r="C4645" s="9" t="s">
        <v>4893</v>
      </c>
      <c r="D4645" s="9" t="s">
        <v>4731</v>
      </c>
      <c r="E4645" s="9" t="s">
        <v>1660</v>
      </c>
      <c r="F4645" s="9" t="s">
        <v>209</v>
      </c>
      <c r="G4645" s="9" t="s">
        <v>221</v>
      </c>
      <c r="H4645" s="9" t="n">
        <v>5400</v>
      </c>
      <c r="I4645" s="29" t="n">
        <v>2</v>
      </c>
      <c r="J4645" s="9" t="n">
        <v>1</v>
      </c>
      <c r="K4645" s="30"/>
      <c r="L4645" s="30"/>
      <c r="M4645" s="30"/>
      <c r="N4645" s="30"/>
      <c r="O4645" s="30"/>
      <c r="P4645" s="30"/>
      <c r="Q4645" s="30"/>
      <c r="R4645" s="30"/>
      <c r="S4645" s="30"/>
      <c r="T4645" s="30"/>
      <c r="U4645" s="21" t="str">
        <f aca="false">IF(COUNT(K4645:T4645)=0,"SOURCE EMPTY / INDUSTRIAL ONLY",IF(MIN(K4645:T4645)=1,"SERVICE READY","HOLD"))</f>
        <v>SOURCE EMPTY / INDUSTRIAL ONLY</v>
      </c>
      <c r="V4645" s="9" t="n">
        <f aca="false">IF(U4645="SERVICE READY",1,0)</f>
        <v>0</v>
      </c>
      <c r="W4645" s="6"/>
      <c r="X4645" s="6"/>
      <c r="Y4645" s="6"/>
      <c r="Z4645" s="6"/>
    </row>
    <row r="4646" customFormat="false" ht="15" hidden="false" customHeight="false" outlineLevel="0" collapsed="false">
      <c r="A4646" s="9" t="s">
        <v>4941</v>
      </c>
      <c r="B4646" s="9" t="s">
        <v>4892</v>
      </c>
      <c r="C4646" s="9" t="s">
        <v>4893</v>
      </c>
      <c r="D4646" s="9" t="s">
        <v>4731</v>
      </c>
      <c r="E4646" s="9" t="s">
        <v>1660</v>
      </c>
      <c r="F4646" s="9" t="s">
        <v>211</v>
      </c>
      <c r="G4646" s="9" t="s">
        <v>221</v>
      </c>
      <c r="H4646" s="9" t="n">
        <v>5400</v>
      </c>
      <c r="I4646" s="29" t="n">
        <v>2</v>
      </c>
      <c r="J4646" s="9" t="n">
        <v>1</v>
      </c>
      <c r="K4646" s="30"/>
      <c r="L4646" s="30"/>
      <c r="M4646" s="30"/>
      <c r="N4646" s="30"/>
      <c r="O4646" s="30"/>
      <c r="P4646" s="30"/>
      <c r="Q4646" s="30"/>
      <c r="R4646" s="30"/>
      <c r="S4646" s="30"/>
      <c r="T4646" s="30"/>
      <c r="U4646" s="21" t="str">
        <f aca="false">IF(COUNT(K4646:T4646)=0,"SOURCE EMPTY / INDUSTRIAL ONLY",IF(MIN(K4646:T4646)=1,"SERVICE READY","HOLD"))</f>
        <v>SOURCE EMPTY / INDUSTRIAL ONLY</v>
      </c>
      <c r="V4646" s="9" t="n">
        <f aca="false">IF(U4646="SERVICE READY",1,0)</f>
        <v>0</v>
      </c>
      <c r="W4646" s="6"/>
      <c r="X4646" s="6"/>
      <c r="Y4646" s="6"/>
      <c r="Z4646" s="6"/>
    </row>
    <row r="4647" customFormat="false" ht="15" hidden="false" customHeight="false" outlineLevel="0" collapsed="false">
      <c r="A4647" s="9" t="s">
        <v>4942</v>
      </c>
      <c r="B4647" s="9" t="s">
        <v>4892</v>
      </c>
      <c r="C4647" s="9" t="s">
        <v>4893</v>
      </c>
      <c r="D4647" s="9" t="s">
        <v>4731</v>
      </c>
      <c r="E4647" s="9" t="s">
        <v>1660</v>
      </c>
      <c r="F4647" s="9" t="s">
        <v>197</v>
      </c>
      <c r="G4647" s="9" t="s">
        <v>221</v>
      </c>
      <c r="H4647" s="9" t="n">
        <v>5400</v>
      </c>
      <c r="I4647" s="29" t="n">
        <v>2</v>
      </c>
      <c r="J4647" s="9" t="n">
        <v>1</v>
      </c>
      <c r="K4647" s="30"/>
      <c r="L4647" s="30"/>
      <c r="M4647" s="30"/>
      <c r="N4647" s="30"/>
      <c r="O4647" s="30"/>
      <c r="P4647" s="30"/>
      <c r="Q4647" s="30"/>
      <c r="R4647" s="30"/>
      <c r="S4647" s="30"/>
      <c r="T4647" s="30"/>
      <c r="U4647" s="21" t="str">
        <f aca="false">IF(COUNT(K4647:T4647)=0,"SOURCE EMPTY / INDUSTRIAL ONLY",IF(MIN(K4647:T4647)=1,"SERVICE READY","HOLD"))</f>
        <v>SOURCE EMPTY / INDUSTRIAL ONLY</v>
      </c>
      <c r="V4647" s="9" t="n">
        <f aca="false">IF(U4647="SERVICE READY",1,0)</f>
        <v>0</v>
      </c>
      <c r="W4647" s="6"/>
      <c r="X4647" s="6"/>
      <c r="Y4647" s="6"/>
      <c r="Z4647" s="6"/>
    </row>
    <row r="4648" customFormat="false" ht="15" hidden="false" customHeight="false" outlineLevel="0" collapsed="false">
      <c r="A4648" s="9" t="s">
        <v>4943</v>
      </c>
      <c r="B4648" s="9" t="s">
        <v>4892</v>
      </c>
      <c r="C4648" s="9" t="s">
        <v>4893</v>
      </c>
      <c r="D4648" s="9" t="s">
        <v>4731</v>
      </c>
      <c r="E4648" s="9" t="s">
        <v>1660</v>
      </c>
      <c r="F4648" s="9" t="s">
        <v>200</v>
      </c>
      <c r="G4648" s="9" t="s">
        <v>221</v>
      </c>
      <c r="H4648" s="9" t="n">
        <v>5400</v>
      </c>
      <c r="I4648" s="29" t="n">
        <v>2</v>
      </c>
      <c r="J4648" s="9" t="n">
        <v>1</v>
      </c>
      <c r="K4648" s="30"/>
      <c r="L4648" s="30"/>
      <c r="M4648" s="30"/>
      <c r="N4648" s="30"/>
      <c r="O4648" s="30"/>
      <c r="P4648" s="30"/>
      <c r="Q4648" s="30"/>
      <c r="R4648" s="30"/>
      <c r="S4648" s="30"/>
      <c r="T4648" s="30"/>
      <c r="U4648" s="21" t="str">
        <f aca="false">IF(COUNT(K4648:T4648)=0,"SOURCE EMPTY / INDUSTRIAL ONLY",IF(MIN(K4648:T4648)=1,"SERVICE READY","HOLD"))</f>
        <v>SOURCE EMPTY / INDUSTRIAL ONLY</v>
      </c>
      <c r="V4648" s="9" t="n">
        <f aca="false">IF(U4648="SERVICE READY",1,0)</f>
        <v>0</v>
      </c>
      <c r="W4648" s="6"/>
      <c r="X4648" s="6"/>
      <c r="Y4648" s="6"/>
      <c r="Z4648" s="6"/>
    </row>
    <row r="4649" customFormat="false" ht="15" hidden="false" customHeight="false" outlineLevel="0" collapsed="false">
      <c r="A4649" s="9" t="s">
        <v>4944</v>
      </c>
      <c r="B4649" s="9" t="s">
        <v>4892</v>
      </c>
      <c r="C4649" s="9" t="s">
        <v>4893</v>
      </c>
      <c r="D4649" s="9" t="s">
        <v>4731</v>
      </c>
      <c r="E4649" s="9" t="s">
        <v>1660</v>
      </c>
      <c r="F4649" s="9" t="s">
        <v>203</v>
      </c>
      <c r="G4649" s="9" t="s">
        <v>221</v>
      </c>
      <c r="H4649" s="9" t="n">
        <v>5400</v>
      </c>
      <c r="I4649" s="29" t="n">
        <v>2</v>
      </c>
      <c r="J4649" s="9" t="n">
        <v>1</v>
      </c>
      <c r="K4649" s="30"/>
      <c r="L4649" s="30"/>
      <c r="M4649" s="30"/>
      <c r="N4649" s="30"/>
      <c r="O4649" s="30"/>
      <c r="P4649" s="30"/>
      <c r="Q4649" s="30"/>
      <c r="R4649" s="30"/>
      <c r="S4649" s="30"/>
      <c r="T4649" s="30"/>
      <c r="U4649" s="21" t="str">
        <f aca="false">IF(COUNT(K4649:T4649)=0,"SOURCE EMPTY / INDUSTRIAL ONLY",IF(MIN(K4649:T4649)=1,"SERVICE READY","HOLD"))</f>
        <v>SOURCE EMPTY / INDUSTRIAL ONLY</v>
      </c>
      <c r="V4649" s="9" t="n">
        <f aca="false">IF(U4649="SERVICE READY",1,0)</f>
        <v>0</v>
      </c>
      <c r="W4649" s="6"/>
      <c r="X4649" s="6"/>
      <c r="Y4649" s="6"/>
      <c r="Z4649" s="6"/>
    </row>
    <row r="4650" customFormat="false" ht="15" hidden="false" customHeight="false" outlineLevel="0" collapsed="false">
      <c r="A4650" s="9" t="s">
        <v>4945</v>
      </c>
      <c r="B4650" s="9" t="s">
        <v>4892</v>
      </c>
      <c r="C4650" s="9" t="s">
        <v>4893</v>
      </c>
      <c r="D4650" s="9" t="s">
        <v>4731</v>
      </c>
      <c r="E4650" s="9" t="s">
        <v>1660</v>
      </c>
      <c r="F4650" s="9" t="s">
        <v>205</v>
      </c>
      <c r="G4650" s="9" t="s">
        <v>221</v>
      </c>
      <c r="H4650" s="9" t="n">
        <v>5400</v>
      </c>
      <c r="I4650" s="29" t="n">
        <v>2</v>
      </c>
      <c r="J4650" s="9" t="n">
        <v>1</v>
      </c>
      <c r="K4650" s="30"/>
      <c r="L4650" s="30"/>
      <c r="M4650" s="30"/>
      <c r="N4650" s="30"/>
      <c r="O4650" s="30"/>
      <c r="P4650" s="30"/>
      <c r="Q4650" s="30"/>
      <c r="R4650" s="30"/>
      <c r="S4650" s="30"/>
      <c r="T4650" s="30"/>
      <c r="U4650" s="21" t="str">
        <f aca="false">IF(COUNT(K4650:T4650)=0,"SOURCE EMPTY / INDUSTRIAL ONLY",IF(MIN(K4650:T4650)=1,"SERVICE READY","HOLD"))</f>
        <v>SOURCE EMPTY / INDUSTRIAL ONLY</v>
      </c>
      <c r="V4650" s="9" t="n">
        <f aca="false">IF(U4650="SERVICE READY",1,0)</f>
        <v>0</v>
      </c>
      <c r="W4650" s="6"/>
      <c r="X4650" s="6"/>
      <c r="Y4650" s="6"/>
      <c r="Z4650" s="6"/>
    </row>
    <row r="4651" customFormat="false" ht="15" hidden="false" customHeight="false" outlineLevel="0" collapsed="false">
      <c r="A4651" s="9" t="s">
        <v>4946</v>
      </c>
      <c r="B4651" s="9" t="s">
        <v>4892</v>
      </c>
      <c r="C4651" s="9" t="s">
        <v>4893</v>
      </c>
      <c r="D4651" s="9" t="s">
        <v>4731</v>
      </c>
      <c r="E4651" s="9" t="s">
        <v>1660</v>
      </c>
      <c r="F4651" s="9" t="s">
        <v>207</v>
      </c>
      <c r="G4651" s="9" t="s">
        <v>221</v>
      </c>
      <c r="H4651" s="9" t="n">
        <v>5400</v>
      </c>
      <c r="I4651" s="29" t="n">
        <v>2</v>
      </c>
      <c r="J4651" s="9" t="n">
        <v>1</v>
      </c>
      <c r="K4651" s="30"/>
      <c r="L4651" s="30"/>
      <c r="M4651" s="30"/>
      <c r="N4651" s="30"/>
      <c r="O4651" s="30"/>
      <c r="P4651" s="30"/>
      <c r="Q4651" s="30"/>
      <c r="R4651" s="30"/>
      <c r="S4651" s="30"/>
      <c r="T4651" s="30"/>
      <c r="U4651" s="21" t="str">
        <f aca="false">IF(COUNT(K4651:T4651)=0,"SOURCE EMPTY / INDUSTRIAL ONLY",IF(MIN(K4651:T4651)=1,"SERVICE READY","HOLD"))</f>
        <v>SOURCE EMPTY / INDUSTRIAL ONLY</v>
      </c>
      <c r="V4651" s="9" t="n">
        <f aca="false">IF(U4651="SERVICE READY",1,0)</f>
        <v>0</v>
      </c>
      <c r="W4651" s="6"/>
      <c r="X4651" s="6"/>
      <c r="Y4651" s="6"/>
      <c r="Z4651" s="6"/>
    </row>
    <row r="4652" customFormat="false" ht="15" hidden="false" customHeight="false" outlineLevel="0" collapsed="false">
      <c r="A4652" s="9" t="s">
        <v>4947</v>
      </c>
      <c r="B4652" s="9" t="s">
        <v>4892</v>
      </c>
      <c r="C4652" s="9" t="s">
        <v>4893</v>
      </c>
      <c r="D4652" s="9" t="s">
        <v>4731</v>
      </c>
      <c r="E4652" s="9" t="s">
        <v>1660</v>
      </c>
      <c r="F4652" s="9" t="s">
        <v>209</v>
      </c>
      <c r="G4652" s="9" t="s">
        <v>221</v>
      </c>
      <c r="H4652" s="9" t="n">
        <v>5400</v>
      </c>
      <c r="I4652" s="29" t="n">
        <v>2</v>
      </c>
      <c r="J4652" s="9" t="n">
        <v>1</v>
      </c>
      <c r="K4652" s="30"/>
      <c r="L4652" s="30"/>
      <c r="M4652" s="30"/>
      <c r="N4652" s="30"/>
      <c r="O4652" s="30"/>
      <c r="P4652" s="30"/>
      <c r="Q4652" s="30"/>
      <c r="R4652" s="30"/>
      <c r="S4652" s="30"/>
      <c r="T4652" s="30"/>
      <c r="U4652" s="21" t="str">
        <f aca="false">IF(COUNT(K4652:T4652)=0,"SOURCE EMPTY / INDUSTRIAL ONLY",IF(MIN(K4652:T4652)=1,"SERVICE READY","HOLD"))</f>
        <v>SOURCE EMPTY / INDUSTRIAL ONLY</v>
      </c>
      <c r="V4652" s="9" t="n">
        <f aca="false">IF(U4652="SERVICE READY",1,0)</f>
        <v>0</v>
      </c>
      <c r="W4652" s="6"/>
      <c r="X4652" s="6"/>
      <c r="Y4652" s="6"/>
      <c r="Z4652" s="6"/>
    </row>
    <row r="4653" customFormat="false" ht="15" hidden="false" customHeight="false" outlineLevel="0" collapsed="false">
      <c r="A4653" s="9" t="s">
        <v>4948</v>
      </c>
      <c r="B4653" s="9" t="s">
        <v>4892</v>
      </c>
      <c r="C4653" s="9" t="s">
        <v>4893</v>
      </c>
      <c r="D4653" s="9" t="s">
        <v>4731</v>
      </c>
      <c r="E4653" s="9" t="s">
        <v>1660</v>
      </c>
      <c r="F4653" s="9" t="s">
        <v>211</v>
      </c>
      <c r="G4653" s="9" t="s">
        <v>221</v>
      </c>
      <c r="H4653" s="9" t="n">
        <v>5400</v>
      </c>
      <c r="I4653" s="29" t="n">
        <v>2</v>
      </c>
      <c r="J4653" s="9" t="n">
        <v>1</v>
      </c>
      <c r="K4653" s="30"/>
      <c r="L4653" s="30"/>
      <c r="M4653" s="30"/>
      <c r="N4653" s="30"/>
      <c r="O4653" s="30"/>
      <c r="P4653" s="30"/>
      <c r="Q4653" s="30"/>
      <c r="R4653" s="30"/>
      <c r="S4653" s="30"/>
      <c r="T4653" s="30"/>
      <c r="U4653" s="21" t="str">
        <f aca="false">IF(COUNT(K4653:T4653)=0,"SOURCE EMPTY / INDUSTRIAL ONLY",IF(MIN(K4653:T4653)=1,"SERVICE READY","HOLD"))</f>
        <v>SOURCE EMPTY / INDUSTRIAL ONLY</v>
      </c>
      <c r="V4653" s="9" t="n">
        <f aca="false">IF(U4653="SERVICE READY",1,0)</f>
        <v>0</v>
      </c>
      <c r="W4653" s="6"/>
      <c r="X4653" s="6"/>
      <c r="Y4653" s="6"/>
      <c r="Z4653" s="6"/>
    </row>
    <row r="4654" customFormat="false" ht="15" hidden="false" customHeight="false" outlineLevel="0" collapsed="false">
      <c r="A4654" s="9" t="s">
        <v>4949</v>
      </c>
      <c r="B4654" s="9" t="s">
        <v>4892</v>
      </c>
      <c r="C4654" s="9" t="s">
        <v>4893</v>
      </c>
      <c r="D4654" s="9" t="s">
        <v>4731</v>
      </c>
      <c r="E4654" s="9" t="s">
        <v>1660</v>
      </c>
      <c r="F4654" s="9" t="s">
        <v>197</v>
      </c>
      <c r="G4654" s="9" t="s">
        <v>221</v>
      </c>
      <c r="H4654" s="9" t="n">
        <v>5400</v>
      </c>
      <c r="I4654" s="29" t="n">
        <v>2</v>
      </c>
      <c r="J4654" s="9" t="n">
        <v>1</v>
      </c>
      <c r="K4654" s="30"/>
      <c r="L4654" s="30"/>
      <c r="M4654" s="30"/>
      <c r="N4654" s="30"/>
      <c r="O4654" s="30"/>
      <c r="P4654" s="30"/>
      <c r="Q4654" s="30"/>
      <c r="R4654" s="30"/>
      <c r="S4654" s="30"/>
      <c r="T4654" s="30"/>
      <c r="U4654" s="21" t="str">
        <f aca="false">IF(COUNT(K4654:T4654)=0,"SOURCE EMPTY / INDUSTRIAL ONLY",IF(MIN(K4654:T4654)=1,"SERVICE READY","HOLD"))</f>
        <v>SOURCE EMPTY / INDUSTRIAL ONLY</v>
      </c>
      <c r="V4654" s="9" t="n">
        <f aca="false">IF(U4654="SERVICE READY",1,0)</f>
        <v>0</v>
      </c>
      <c r="W4654" s="6"/>
      <c r="X4654" s="6"/>
      <c r="Y4654" s="6"/>
      <c r="Z4654" s="6"/>
    </row>
    <row r="4655" customFormat="false" ht="15" hidden="false" customHeight="false" outlineLevel="0" collapsed="false">
      <c r="A4655" s="9" t="s">
        <v>4950</v>
      </c>
      <c r="B4655" s="9" t="s">
        <v>4892</v>
      </c>
      <c r="C4655" s="9" t="s">
        <v>4893</v>
      </c>
      <c r="D4655" s="9" t="s">
        <v>4731</v>
      </c>
      <c r="E4655" s="9" t="s">
        <v>1660</v>
      </c>
      <c r="F4655" s="9" t="s">
        <v>200</v>
      </c>
      <c r="G4655" s="9" t="s">
        <v>221</v>
      </c>
      <c r="H4655" s="9" t="n">
        <v>5400</v>
      </c>
      <c r="I4655" s="29" t="n">
        <v>2</v>
      </c>
      <c r="J4655" s="9" t="n">
        <v>1</v>
      </c>
      <c r="K4655" s="30"/>
      <c r="L4655" s="30"/>
      <c r="M4655" s="30"/>
      <c r="N4655" s="30"/>
      <c r="O4655" s="30"/>
      <c r="P4655" s="30"/>
      <c r="Q4655" s="30"/>
      <c r="R4655" s="30"/>
      <c r="S4655" s="30"/>
      <c r="T4655" s="30"/>
      <c r="U4655" s="21" t="str">
        <f aca="false">IF(COUNT(K4655:T4655)=0,"SOURCE EMPTY / INDUSTRIAL ONLY",IF(MIN(K4655:T4655)=1,"SERVICE READY","HOLD"))</f>
        <v>SOURCE EMPTY / INDUSTRIAL ONLY</v>
      </c>
      <c r="V4655" s="9" t="n">
        <f aca="false">IF(U4655="SERVICE READY",1,0)</f>
        <v>0</v>
      </c>
      <c r="W4655" s="6"/>
      <c r="X4655" s="6"/>
      <c r="Y4655" s="6"/>
      <c r="Z4655" s="6"/>
    </row>
    <row r="4656" customFormat="false" ht="15" hidden="false" customHeight="false" outlineLevel="0" collapsed="false">
      <c r="A4656" s="9" t="s">
        <v>4951</v>
      </c>
      <c r="B4656" s="9" t="s">
        <v>4892</v>
      </c>
      <c r="C4656" s="9" t="s">
        <v>4893</v>
      </c>
      <c r="D4656" s="9" t="s">
        <v>4731</v>
      </c>
      <c r="E4656" s="9" t="s">
        <v>1660</v>
      </c>
      <c r="F4656" s="9" t="s">
        <v>203</v>
      </c>
      <c r="G4656" s="9" t="s">
        <v>221</v>
      </c>
      <c r="H4656" s="9" t="n">
        <v>5400</v>
      </c>
      <c r="I4656" s="29" t="n">
        <v>2</v>
      </c>
      <c r="J4656" s="9" t="n">
        <v>1</v>
      </c>
      <c r="K4656" s="30"/>
      <c r="L4656" s="30"/>
      <c r="M4656" s="30"/>
      <c r="N4656" s="30"/>
      <c r="O4656" s="30"/>
      <c r="P4656" s="30"/>
      <c r="Q4656" s="30"/>
      <c r="R4656" s="30"/>
      <c r="S4656" s="30"/>
      <c r="T4656" s="30"/>
      <c r="U4656" s="21" t="str">
        <f aca="false">IF(COUNT(K4656:T4656)=0,"SOURCE EMPTY / INDUSTRIAL ONLY",IF(MIN(K4656:T4656)=1,"SERVICE READY","HOLD"))</f>
        <v>SOURCE EMPTY / INDUSTRIAL ONLY</v>
      </c>
      <c r="V4656" s="9" t="n">
        <f aca="false">IF(U4656="SERVICE READY",1,0)</f>
        <v>0</v>
      </c>
      <c r="W4656" s="6"/>
      <c r="X4656" s="6"/>
      <c r="Y4656" s="6"/>
      <c r="Z4656" s="6"/>
    </row>
    <row r="4657" customFormat="false" ht="15" hidden="false" customHeight="false" outlineLevel="0" collapsed="false">
      <c r="A4657" s="9" t="s">
        <v>4952</v>
      </c>
      <c r="B4657" s="9" t="s">
        <v>4892</v>
      </c>
      <c r="C4657" s="9" t="s">
        <v>4893</v>
      </c>
      <c r="D4657" s="9" t="s">
        <v>4731</v>
      </c>
      <c r="E4657" s="9" t="s">
        <v>1660</v>
      </c>
      <c r="F4657" s="9" t="s">
        <v>205</v>
      </c>
      <c r="G4657" s="9" t="s">
        <v>221</v>
      </c>
      <c r="H4657" s="9" t="n">
        <v>5400</v>
      </c>
      <c r="I4657" s="29" t="n">
        <v>2</v>
      </c>
      <c r="J4657" s="9" t="n">
        <v>1</v>
      </c>
      <c r="K4657" s="30"/>
      <c r="L4657" s="30"/>
      <c r="M4657" s="30"/>
      <c r="N4657" s="30"/>
      <c r="O4657" s="30"/>
      <c r="P4657" s="30"/>
      <c r="Q4657" s="30"/>
      <c r="R4657" s="30"/>
      <c r="S4657" s="30"/>
      <c r="T4657" s="30"/>
      <c r="U4657" s="21" t="str">
        <f aca="false">IF(COUNT(K4657:T4657)=0,"SOURCE EMPTY / INDUSTRIAL ONLY",IF(MIN(K4657:T4657)=1,"SERVICE READY","HOLD"))</f>
        <v>SOURCE EMPTY / INDUSTRIAL ONLY</v>
      </c>
      <c r="V4657" s="9" t="n">
        <f aca="false">IF(U4657="SERVICE READY",1,0)</f>
        <v>0</v>
      </c>
      <c r="W4657" s="6"/>
      <c r="X4657" s="6"/>
      <c r="Y4657" s="6"/>
      <c r="Z4657" s="6"/>
    </row>
    <row r="4658" customFormat="false" ht="15" hidden="false" customHeight="false" outlineLevel="0" collapsed="false">
      <c r="A4658" s="9" t="s">
        <v>4953</v>
      </c>
      <c r="B4658" s="9" t="s">
        <v>4892</v>
      </c>
      <c r="C4658" s="9" t="s">
        <v>4893</v>
      </c>
      <c r="D4658" s="9" t="s">
        <v>4731</v>
      </c>
      <c r="E4658" s="9" t="s">
        <v>1660</v>
      </c>
      <c r="F4658" s="9" t="s">
        <v>207</v>
      </c>
      <c r="G4658" s="9" t="s">
        <v>221</v>
      </c>
      <c r="H4658" s="9" t="n">
        <v>5400</v>
      </c>
      <c r="I4658" s="29" t="n">
        <v>2</v>
      </c>
      <c r="J4658" s="9" t="n">
        <v>1</v>
      </c>
      <c r="K4658" s="30"/>
      <c r="L4658" s="30"/>
      <c r="M4658" s="30"/>
      <c r="N4658" s="30"/>
      <c r="O4658" s="30"/>
      <c r="P4658" s="30"/>
      <c r="Q4658" s="30"/>
      <c r="R4658" s="30"/>
      <c r="S4658" s="30"/>
      <c r="T4658" s="30"/>
      <c r="U4658" s="21" t="str">
        <f aca="false">IF(COUNT(K4658:T4658)=0,"SOURCE EMPTY / INDUSTRIAL ONLY",IF(MIN(K4658:T4658)=1,"SERVICE READY","HOLD"))</f>
        <v>SOURCE EMPTY / INDUSTRIAL ONLY</v>
      </c>
      <c r="V4658" s="9" t="n">
        <f aca="false">IF(U4658="SERVICE READY",1,0)</f>
        <v>0</v>
      </c>
      <c r="W4658" s="6"/>
      <c r="X4658" s="6"/>
      <c r="Y4658" s="6"/>
      <c r="Z4658" s="6"/>
    </row>
    <row r="4659" customFormat="false" ht="15" hidden="false" customHeight="false" outlineLevel="0" collapsed="false">
      <c r="A4659" s="9" t="s">
        <v>4954</v>
      </c>
      <c r="B4659" s="9" t="s">
        <v>4892</v>
      </c>
      <c r="C4659" s="9" t="s">
        <v>4893</v>
      </c>
      <c r="D4659" s="9" t="s">
        <v>4731</v>
      </c>
      <c r="E4659" s="9" t="s">
        <v>1660</v>
      </c>
      <c r="F4659" s="9" t="s">
        <v>209</v>
      </c>
      <c r="G4659" s="9" t="s">
        <v>221</v>
      </c>
      <c r="H4659" s="9" t="n">
        <v>5400</v>
      </c>
      <c r="I4659" s="29" t="n">
        <v>2</v>
      </c>
      <c r="J4659" s="9" t="n">
        <v>1</v>
      </c>
      <c r="K4659" s="30"/>
      <c r="L4659" s="30"/>
      <c r="M4659" s="30"/>
      <c r="N4659" s="30"/>
      <c r="O4659" s="30"/>
      <c r="P4659" s="30"/>
      <c r="Q4659" s="30"/>
      <c r="R4659" s="30"/>
      <c r="S4659" s="30"/>
      <c r="T4659" s="30"/>
      <c r="U4659" s="21" t="str">
        <f aca="false">IF(COUNT(K4659:T4659)=0,"SOURCE EMPTY / INDUSTRIAL ONLY",IF(MIN(K4659:T4659)=1,"SERVICE READY","HOLD"))</f>
        <v>SOURCE EMPTY / INDUSTRIAL ONLY</v>
      </c>
      <c r="V4659" s="9" t="n">
        <f aca="false">IF(U4659="SERVICE READY",1,0)</f>
        <v>0</v>
      </c>
      <c r="W4659" s="6"/>
      <c r="X4659" s="6"/>
      <c r="Y4659" s="6"/>
      <c r="Z4659" s="6"/>
    </row>
    <row r="4660" customFormat="false" ht="15" hidden="false" customHeight="false" outlineLevel="0" collapsed="false">
      <c r="A4660" s="9" t="s">
        <v>4955</v>
      </c>
      <c r="B4660" s="9" t="s">
        <v>4892</v>
      </c>
      <c r="C4660" s="9" t="s">
        <v>4893</v>
      </c>
      <c r="D4660" s="9" t="s">
        <v>4731</v>
      </c>
      <c r="E4660" s="9" t="s">
        <v>1660</v>
      </c>
      <c r="F4660" s="9" t="s">
        <v>211</v>
      </c>
      <c r="G4660" s="9" t="s">
        <v>221</v>
      </c>
      <c r="H4660" s="9" t="n">
        <v>5400</v>
      </c>
      <c r="I4660" s="29" t="n">
        <v>2</v>
      </c>
      <c r="J4660" s="9" t="n">
        <v>1</v>
      </c>
      <c r="K4660" s="30"/>
      <c r="L4660" s="30"/>
      <c r="M4660" s="30"/>
      <c r="N4660" s="30"/>
      <c r="O4660" s="30"/>
      <c r="P4660" s="30"/>
      <c r="Q4660" s="30"/>
      <c r="R4660" s="30"/>
      <c r="S4660" s="30"/>
      <c r="T4660" s="30"/>
      <c r="U4660" s="21" t="str">
        <f aca="false">IF(COUNT(K4660:T4660)=0,"SOURCE EMPTY / INDUSTRIAL ONLY",IF(MIN(K4660:T4660)=1,"SERVICE READY","HOLD"))</f>
        <v>SOURCE EMPTY / INDUSTRIAL ONLY</v>
      </c>
      <c r="V4660" s="9" t="n">
        <f aca="false">IF(U4660="SERVICE READY",1,0)</f>
        <v>0</v>
      </c>
      <c r="W4660" s="6"/>
      <c r="X4660" s="6"/>
      <c r="Y4660" s="6"/>
      <c r="Z4660" s="6"/>
    </row>
    <row r="4661" customFormat="false" ht="15" hidden="false" customHeight="false" outlineLevel="0" collapsed="false">
      <c r="A4661" s="9" t="s">
        <v>4956</v>
      </c>
      <c r="B4661" s="9" t="s">
        <v>4892</v>
      </c>
      <c r="C4661" s="9" t="s">
        <v>4893</v>
      </c>
      <c r="D4661" s="9" t="s">
        <v>4731</v>
      </c>
      <c r="E4661" s="9" t="s">
        <v>1660</v>
      </c>
      <c r="F4661" s="9" t="s">
        <v>197</v>
      </c>
      <c r="G4661" s="9" t="s">
        <v>221</v>
      </c>
      <c r="H4661" s="9" t="n">
        <v>5400</v>
      </c>
      <c r="I4661" s="29" t="n">
        <v>2</v>
      </c>
      <c r="J4661" s="9" t="n">
        <v>1</v>
      </c>
      <c r="K4661" s="30"/>
      <c r="L4661" s="30"/>
      <c r="M4661" s="30"/>
      <c r="N4661" s="30"/>
      <c r="O4661" s="30"/>
      <c r="P4661" s="30"/>
      <c r="Q4661" s="30"/>
      <c r="R4661" s="30"/>
      <c r="S4661" s="30"/>
      <c r="T4661" s="30"/>
      <c r="U4661" s="21" t="str">
        <f aca="false">IF(COUNT(K4661:T4661)=0,"SOURCE EMPTY / INDUSTRIAL ONLY",IF(MIN(K4661:T4661)=1,"SERVICE READY","HOLD"))</f>
        <v>SOURCE EMPTY / INDUSTRIAL ONLY</v>
      </c>
      <c r="V4661" s="9" t="n">
        <f aca="false">IF(U4661="SERVICE READY",1,0)</f>
        <v>0</v>
      </c>
      <c r="W4661" s="6"/>
      <c r="X4661" s="6"/>
      <c r="Y4661" s="6"/>
      <c r="Z4661" s="6"/>
    </row>
    <row r="4662" customFormat="false" ht="15" hidden="false" customHeight="false" outlineLevel="0" collapsed="false">
      <c r="A4662" s="9" t="s">
        <v>4957</v>
      </c>
      <c r="B4662" s="9" t="s">
        <v>4892</v>
      </c>
      <c r="C4662" s="9" t="s">
        <v>4893</v>
      </c>
      <c r="D4662" s="9" t="s">
        <v>4731</v>
      </c>
      <c r="E4662" s="9" t="s">
        <v>1660</v>
      </c>
      <c r="F4662" s="9" t="s">
        <v>200</v>
      </c>
      <c r="G4662" s="9" t="s">
        <v>221</v>
      </c>
      <c r="H4662" s="9" t="n">
        <v>5400</v>
      </c>
      <c r="I4662" s="29" t="n">
        <v>2</v>
      </c>
      <c r="J4662" s="9" t="n">
        <v>1</v>
      </c>
      <c r="K4662" s="30"/>
      <c r="L4662" s="30"/>
      <c r="M4662" s="30"/>
      <c r="N4662" s="30"/>
      <c r="O4662" s="30"/>
      <c r="P4662" s="30"/>
      <c r="Q4662" s="30"/>
      <c r="R4662" s="30"/>
      <c r="S4662" s="30"/>
      <c r="T4662" s="30"/>
      <c r="U4662" s="21" t="str">
        <f aca="false">IF(COUNT(K4662:T4662)=0,"SOURCE EMPTY / INDUSTRIAL ONLY",IF(MIN(K4662:T4662)=1,"SERVICE READY","HOLD"))</f>
        <v>SOURCE EMPTY / INDUSTRIAL ONLY</v>
      </c>
      <c r="V4662" s="9" t="n">
        <f aca="false">IF(U4662="SERVICE READY",1,0)</f>
        <v>0</v>
      </c>
      <c r="W4662" s="6"/>
      <c r="X4662" s="6"/>
      <c r="Y4662" s="6"/>
      <c r="Z4662" s="6"/>
    </row>
    <row r="4663" customFormat="false" ht="15" hidden="false" customHeight="false" outlineLevel="0" collapsed="false">
      <c r="A4663" s="9" t="s">
        <v>4958</v>
      </c>
      <c r="B4663" s="9" t="s">
        <v>4892</v>
      </c>
      <c r="C4663" s="9" t="s">
        <v>4893</v>
      </c>
      <c r="D4663" s="9" t="s">
        <v>4731</v>
      </c>
      <c r="E4663" s="9" t="s">
        <v>1660</v>
      </c>
      <c r="F4663" s="9" t="s">
        <v>203</v>
      </c>
      <c r="G4663" s="9" t="s">
        <v>221</v>
      </c>
      <c r="H4663" s="9" t="n">
        <v>5400</v>
      </c>
      <c r="I4663" s="29" t="n">
        <v>2</v>
      </c>
      <c r="J4663" s="9" t="n">
        <v>1</v>
      </c>
      <c r="K4663" s="30"/>
      <c r="L4663" s="30"/>
      <c r="M4663" s="30"/>
      <c r="N4663" s="30"/>
      <c r="O4663" s="30"/>
      <c r="P4663" s="30"/>
      <c r="Q4663" s="30"/>
      <c r="R4663" s="30"/>
      <c r="S4663" s="30"/>
      <c r="T4663" s="30"/>
      <c r="U4663" s="21" t="str">
        <f aca="false">IF(COUNT(K4663:T4663)=0,"SOURCE EMPTY / INDUSTRIAL ONLY",IF(MIN(K4663:T4663)=1,"SERVICE READY","HOLD"))</f>
        <v>SOURCE EMPTY / INDUSTRIAL ONLY</v>
      </c>
      <c r="V4663" s="9" t="n">
        <f aca="false">IF(U4663="SERVICE READY",1,0)</f>
        <v>0</v>
      </c>
      <c r="W4663" s="6"/>
      <c r="X4663" s="6"/>
      <c r="Y4663" s="6"/>
      <c r="Z4663" s="6"/>
    </row>
    <row r="4664" customFormat="false" ht="15" hidden="false" customHeight="false" outlineLevel="0" collapsed="false">
      <c r="A4664" s="9" t="s">
        <v>4959</v>
      </c>
      <c r="B4664" s="9" t="s">
        <v>4892</v>
      </c>
      <c r="C4664" s="9" t="s">
        <v>4893</v>
      </c>
      <c r="D4664" s="9" t="s">
        <v>4731</v>
      </c>
      <c r="E4664" s="9" t="s">
        <v>1660</v>
      </c>
      <c r="F4664" s="9" t="s">
        <v>205</v>
      </c>
      <c r="G4664" s="9" t="s">
        <v>221</v>
      </c>
      <c r="H4664" s="9" t="n">
        <v>5400</v>
      </c>
      <c r="I4664" s="29" t="n">
        <v>2</v>
      </c>
      <c r="J4664" s="9" t="n">
        <v>1</v>
      </c>
      <c r="K4664" s="30"/>
      <c r="L4664" s="30"/>
      <c r="M4664" s="30"/>
      <c r="N4664" s="30"/>
      <c r="O4664" s="30"/>
      <c r="P4664" s="30"/>
      <c r="Q4664" s="30"/>
      <c r="R4664" s="30"/>
      <c r="S4664" s="30"/>
      <c r="T4664" s="30"/>
      <c r="U4664" s="21" t="str">
        <f aca="false">IF(COUNT(K4664:T4664)=0,"SOURCE EMPTY / INDUSTRIAL ONLY",IF(MIN(K4664:T4664)=1,"SERVICE READY","HOLD"))</f>
        <v>SOURCE EMPTY / INDUSTRIAL ONLY</v>
      </c>
      <c r="V4664" s="9" t="n">
        <f aca="false">IF(U4664="SERVICE READY",1,0)</f>
        <v>0</v>
      </c>
      <c r="W4664" s="6"/>
      <c r="X4664" s="6"/>
      <c r="Y4664" s="6"/>
      <c r="Z4664" s="6"/>
    </row>
    <row r="4665" customFormat="false" ht="15" hidden="false" customHeight="false" outlineLevel="0" collapsed="false">
      <c r="A4665" s="9" t="s">
        <v>4960</v>
      </c>
      <c r="B4665" s="9" t="s">
        <v>4892</v>
      </c>
      <c r="C4665" s="9" t="s">
        <v>4893</v>
      </c>
      <c r="D4665" s="9" t="s">
        <v>4731</v>
      </c>
      <c r="E4665" s="9" t="s">
        <v>1660</v>
      </c>
      <c r="F4665" s="9" t="s">
        <v>207</v>
      </c>
      <c r="G4665" s="9" t="s">
        <v>221</v>
      </c>
      <c r="H4665" s="9" t="n">
        <v>5400</v>
      </c>
      <c r="I4665" s="29" t="n">
        <v>2</v>
      </c>
      <c r="J4665" s="9" t="n">
        <v>1</v>
      </c>
      <c r="K4665" s="30"/>
      <c r="L4665" s="30"/>
      <c r="M4665" s="30"/>
      <c r="N4665" s="30"/>
      <c r="O4665" s="30"/>
      <c r="P4665" s="30"/>
      <c r="Q4665" s="30"/>
      <c r="R4665" s="30"/>
      <c r="S4665" s="30"/>
      <c r="T4665" s="30"/>
      <c r="U4665" s="21" t="str">
        <f aca="false">IF(COUNT(K4665:T4665)=0,"SOURCE EMPTY / INDUSTRIAL ONLY",IF(MIN(K4665:T4665)=1,"SERVICE READY","HOLD"))</f>
        <v>SOURCE EMPTY / INDUSTRIAL ONLY</v>
      </c>
      <c r="V4665" s="9" t="n">
        <f aca="false">IF(U4665="SERVICE READY",1,0)</f>
        <v>0</v>
      </c>
      <c r="W4665" s="6"/>
      <c r="X4665" s="6"/>
      <c r="Y4665" s="6"/>
      <c r="Z4665" s="6"/>
    </row>
    <row r="4666" customFormat="false" ht="15" hidden="false" customHeight="false" outlineLevel="0" collapsed="false">
      <c r="A4666" s="9" t="s">
        <v>4961</v>
      </c>
      <c r="B4666" s="9" t="s">
        <v>4892</v>
      </c>
      <c r="C4666" s="9" t="s">
        <v>4893</v>
      </c>
      <c r="D4666" s="9" t="s">
        <v>4731</v>
      </c>
      <c r="E4666" s="9" t="s">
        <v>1660</v>
      </c>
      <c r="F4666" s="9" t="s">
        <v>209</v>
      </c>
      <c r="G4666" s="9" t="s">
        <v>221</v>
      </c>
      <c r="H4666" s="9" t="n">
        <v>5400</v>
      </c>
      <c r="I4666" s="29" t="n">
        <v>2</v>
      </c>
      <c r="J4666" s="9" t="n">
        <v>1</v>
      </c>
      <c r="K4666" s="30"/>
      <c r="L4666" s="30"/>
      <c r="M4666" s="30"/>
      <c r="N4666" s="30"/>
      <c r="O4666" s="30"/>
      <c r="P4666" s="30"/>
      <c r="Q4666" s="30"/>
      <c r="R4666" s="30"/>
      <c r="S4666" s="30"/>
      <c r="T4666" s="30"/>
      <c r="U4666" s="21" t="str">
        <f aca="false">IF(COUNT(K4666:T4666)=0,"SOURCE EMPTY / INDUSTRIAL ONLY",IF(MIN(K4666:T4666)=1,"SERVICE READY","HOLD"))</f>
        <v>SOURCE EMPTY / INDUSTRIAL ONLY</v>
      </c>
      <c r="V4666" s="9" t="n">
        <f aca="false">IF(U4666="SERVICE READY",1,0)</f>
        <v>0</v>
      </c>
      <c r="W4666" s="6"/>
      <c r="X4666" s="6"/>
      <c r="Y4666" s="6"/>
      <c r="Z4666" s="6"/>
    </row>
    <row r="4667" customFormat="false" ht="15" hidden="false" customHeight="false" outlineLevel="0" collapsed="false">
      <c r="A4667" s="9" t="s">
        <v>4962</v>
      </c>
      <c r="B4667" s="9" t="s">
        <v>4892</v>
      </c>
      <c r="C4667" s="9" t="s">
        <v>4893</v>
      </c>
      <c r="D4667" s="9" t="s">
        <v>4731</v>
      </c>
      <c r="E4667" s="9" t="s">
        <v>1660</v>
      </c>
      <c r="F4667" s="9" t="s">
        <v>211</v>
      </c>
      <c r="G4667" s="9" t="s">
        <v>221</v>
      </c>
      <c r="H4667" s="9" t="n">
        <v>5400</v>
      </c>
      <c r="I4667" s="29" t="n">
        <v>2</v>
      </c>
      <c r="J4667" s="9" t="n">
        <v>1</v>
      </c>
      <c r="K4667" s="30"/>
      <c r="L4667" s="30"/>
      <c r="M4667" s="30"/>
      <c r="N4667" s="30"/>
      <c r="O4667" s="30"/>
      <c r="P4667" s="30"/>
      <c r="Q4667" s="30"/>
      <c r="R4667" s="30"/>
      <c r="S4667" s="30"/>
      <c r="T4667" s="30"/>
      <c r="U4667" s="21" t="str">
        <f aca="false">IF(COUNT(K4667:T4667)=0,"SOURCE EMPTY / INDUSTRIAL ONLY",IF(MIN(K4667:T4667)=1,"SERVICE READY","HOLD"))</f>
        <v>SOURCE EMPTY / INDUSTRIAL ONLY</v>
      </c>
      <c r="V4667" s="9" t="n">
        <f aca="false">IF(U4667="SERVICE READY",1,0)</f>
        <v>0</v>
      </c>
      <c r="W4667" s="6"/>
      <c r="X4667" s="6"/>
      <c r="Y4667" s="6"/>
      <c r="Z4667" s="6"/>
    </row>
    <row r="4668" customFormat="false" ht="15" hidden="false" customHeight="false" outlineLevel="0" collapsed="false">
      <c r="A4668" s="9" t="s">
        <v>4963</v>
      </c>
      <c r="B4668" s="9" t="s">
        <v>4892</v>
      </c>
      <c r="C4668" s="9" t="s">
        <v>4893</v>
      </c>
      <c r="D4668" s="9" t="s">
        <v>4731</v>
      </c>
      <c r="E4668" s="9" t="s">
        <v>1660</v>
      </c>
      <c r="F4668" s="9" t="s">
        <v>197</v>
      </c>
      <c r="G4668" s="9" t="s">
        <v>221</v>
      </c>
      <c r="H4668" s="9" t="n">
        <v>5400</v>
      </c>
      <c r="I4668" s="29" t="n">
        <v>2</v>
      </c>
      <c r="J4668" s="9" t="n">
        <v>1</v>
      </c>
      <c r="K4668" s="30"/>
      <c r="L4668" s="30"/>
      <c r="M4668" s="30"/>
      <c r="N4668" s="30"/>
      <c r="O4668" s="30"/>
      <c r="P4668" s="30"/>
      <c r="Q4668" s="30"/>
      <c r="R4668" s="30"/>
      <c r="S4668" s="30"/>
      <c r="T4668" s="30"/>
      <c r="U4668" s="21" t="str">
        <f aca="false">IF(COUNT(K4668:T4668)=0,"SOURCE EMPTY / INDUSTRIAL ONLY",IF(MIN(K4668:T4668)=1,"SERVICE READY","HOLD"))</f>
        <v>SOURCE EMPTY / INDUSTRIAL ONLY</v>
      </c>
      <c r="V4668" s="9" t="n">
        <f aca="false">IF(U4668="SERVICE READY",1,0)</f>
        <v>0</v>
      </c>
      <c r="W4668" s="6"/>
      <c r="X4668" s="6"/>
      <c r="Y4668" s="6"/>
      <c r="Z4668" s="6"/>
    </row>
    <row r="4669" customFormat="false" ht="15" hidden="false" customHeight="false" outlineLevel="0" collapsed="false">
      <c r="A4669" s="9" t="s">
        <v>4964</v>
      </c>
      <c r="B4669" s="9" t="s">
        <v>4892</v>
      </c>
      <c r="C4669" s="9" t="s">
        <v>4893</v>
      </c>
      <c r="D4669" s="9" t="s">
        <v>4731</v>
      </c>
      <c r="E4669" s="9" t="s">
        <v>1660</v>
      </c>
      <c r="F4669" s="9" t="s">
        <v>200</v>
      </c>
      <c r="G4669" s="9" t="s">
        <v>221</v>
      </c>
      <c r="H4669" s="9" t="n">
        <v>5400</v>
      </c>
      <c r="I4669" s="29" t="n">
        <v>2</v>
      </c>
      <c r="J4669" s="9" t="n">
        <v>1</v>
      </c>
      <c r="K4669" s="30"/>
      <c r="L4669" s="30"/>
      <c r="M4669" s="30"/>
      <c r="N4669" s="30"/>
      <c r="O4669" s="30"/>
      <c r="P4669" s="30"/>
      <c r="Q4669" s="30"/>
      <c r="R4669" s="30"/>
      <c r="S4669" s="30"/>
      <c r="T4669" s="30"/>
      <c r="U4669" s="21" t="str">
        <f aca="false">IF(COUNT(K4669:T4669)=0,"SOURCE EMPTY / INDUSTRIAL ONLY",IF(MIN(K4669:T4669)=1,"SERVICE READY","HOLD"))</f>
        <v>SOURCE EMPTY / INDUSTRIAL ONLY</v>
      </c>
      <c r="V4669" s="9" t="n">
        <f aca="false">IF(U4669="SERVICE READY",1,0)</f>
        <v>0</v>
      </c>
      <c r="W4669" s="6"/>
      <c r="X4669" s="6"/>
      <c r="Y4669" s="6"/>
      <c r="Z4669" s="6"/>
    </row>
    <row r="4670" customFormat="false" ht="15" hidden="false" customHeight="false" outlineLevel="0" collapsed="false">
      <c r="A4670" s="9" t="s">
        <v>4965</v>
      </c>
      <c r="B4670" s="9" t="s">
        <v>4892</v>
      </c>
      <c r="C4670" s="9" t="s">
        <v>4893</v>
      </c>
      <c r="D4670" s="9" t="s">
        <v>4731</v>
      </c>
      <c r="E4670" s="9" t="s">
        <v>1660</v>
      </c>
      <c r="F4670" s="9" t="s">
        <v>203</v>
      </c>
      <c r="G4670" s="9" t="s">
        <v>221</v>
      </c>
      <c r="H4670" s="9" t="n">
        <v>5400</v>
      </c>
      <c r="I4670" s="29" t="n">
        <v>2</v>
      </c>
      <c r="J4670" s="9" t="n">
        <v>1</v>
      </c>
      <c r="K4670" s="30"/>
      <c r="L4670" s="30"/>
      <c r="M4670" s="30"/>
      <c r="N4670" s="30"/>
      <c r="O4670" s="30"/>
      <c r="P4670" s="30"/>
      <c r="Q4670" s="30"/>
      <c r="R4670" s="30"/>
      <c r="S4670" s="30"/>
      <c r="T4670" s="30"/>
      <c r="U4670" s="21" t="str">
        <f aca="false">IF(COUNT(K4670:T4670)=0,"SOURCE EMPTY / INDUSTRIAL ONLY",IF(MIN(K4670:T4670)=1,"SERVICE READY","HOLD"))</f>
        <v>SOURCE EMPTY / INDUSTRIAL ONLY</v>
      </c>
      <c r="V4670" s="9" t="n">
        <f aca="false">IF(U4670="SERVICE READY",1,0)</f>
        <v>0</v>
      </c>
      <c r="W4670" s="6"/>
      <c r="X4670" s="6"/>
      <c r="Y4670" s="6"/>
      <c r="Z4670" s="6"/>
    </row>
    <row r="4671" customFormat="false" ht="15" hidden="false" customHeight="false" outlineLevel="0" collapsed="false">
      <c r="A4671" s="9" t="s">
        <v>4966</v>
      </c>
      <c r="B4671" s="9" t="s">
        <v>4892</v>
      </c>
      <c r="C4671" s="9" t="s">
        <v>4893</v>
      </c>
      <c r="D4671" s="9" t="s">
        <v>4731</v>
      </c>
      <c r="E4671" s="9" t="s">
        <v>1660</v>
      </c>
      <c r="F4671" s="9" t="s">
        <v>205</v>
      </c>
      <c r="G4671" s="9" t="s">
        <v>221</v>
      </c>
      <c r="H4671" s="9" t="n">
        <v>5400</v>
      </c>
      <c r="I4671" s="29" t="n">
        <v>2</v>
      </c>
      <c r="J4671" s="9" t="n">
        <v>1</v>
      </c>
      <c r="K4671" s="30"/>
      <c r="L4671" s="30"/>
      <c r="M4671" s="30"/>
      <c r="N4671" s="30"/>
      <c r="O4671" s="30"/>
      <c r="P4671" s="30"/>
      <c r="Q4671" s="30"/>
      <c r="R4671" s="30"/>
      <c r="S4671" s="30"/>
      <c r="T4671" s="30"/>
      <c r="U4671" s="21" t="str">
        <f aca="false">IF(COUNT(K4671:T4671)=0,"SOURCE EMPTY / INDUSTRIAL ONLY",IF(MIN(K4671:T4671)=1,"SERVICE READY","HOLD"))</f>
        <v>SOURCE EMPTY / INDUSTRIAL ONLY</v>
      </c>
      <c r="V4671" s="9" t="n">
        <f aca="false">IF(U4671="SERVICE READY",1,0)</f>
        <v>0</v>
      </c>
      <c r="W4671" s="6"/>
      <c r="X4671" s="6"/>
      <c r="Y4671" s="6"/>
      <c r="Z4671" s="6"/>
    </row>
    <row r="4672" customFormat="false" ht="15" hidden="false" customHeight="false" outlineLevel="0" collapsed="false">
      <c r="A4672" s="9" t="s">
        <v>4967</v>
      </c>
      <c r="B4672" s="9" t="s">
        <v>4892</v>
      </c>
      <c r="C4672" s="9" t="s">
        <v>4893</v>
      </c>
      <c r="D4672" s="9" t="s">
        <v>4731</v>
      </c>
      <c r="E4672" s="9" t="s">
        <v>1660</v>
      </c>
      <c r="F4672" s="9" t="s">
        <v>207</v>
      </c>
      <c r="G4672" s="9" t="s">
        <v>221</v>
      </c>
      <c r="H4672" s="9" t="n">
        <v>5400</v>
      </c>
      <c r="I4672" s="29" t="n">
        <v>2</v>
      </c>
      <c r="J4672" s="9" t="n">
        <v>1</v>
      </c>
      <c r="K4672" s="30"/>
      <c r="L4672" s="30"/>
      <c r="M4672" s="30"/>
      <c r="N4672" s="30"/>
      <c r="O4672" s="30"/>
      <c r="P4672" s="30"/>
      <c r="Q4672" s="30"/>
      <c r="R4672" s="30"/>
      <c r="S4672" s="30"/>
      <c r="T4672" s="30"/>
      <c r="U4672" s="21" t="str">
        <f aca="false">IF(COUNT(K4672:T4672)=0,"SOURCE EMPTY / INDUSTRIAL ONLY",IF(MIN(K4672:T4672)=1,"SERVICE READY","HOLD"))</f>
        <v>SOURCE EMPTY / INDUSTRIAL ONLY</v>
      </c>
      <c r="V4672" s="9" t="n">
        <f aca="false">IF(U4672="SERVICE READY",1,0)</f>
        <v>0</v>
      </c>
      <c r="W4672" s="6"/>
      <c r="X4672" s="6"/>
      <c r="Y4672" s="6"/>
      <c r="Z4672" s="6"/>
    </row>
    <row r="4673" customFormat="false" ht="15" hidden="false" customHeight="false" outlineLevel="0" collapsed="false">
      <c r="A4673" s="9" t="s">
        <v>4968</v>
      </c>
      <c r="B4673" s="9" t="s">
        <v>4892</v>
      </c>
      <c r="C4673" s="9" t="s">
        <v>4893</v>
      </c>
      <c r="D4673" s="9" t="s">
        <v>4731</v>
      </c>
      <c r="E4673" s="9" t="s">
        <v>1660</v>
      </c>
      <c r="F4673" s="9" t="s">
        <v>209</v>
      </c>
      <c r="G4673" s="9" t="s">
        <v>221</v>
      </c>
      <c r="H4673" s="9" t="n">
        <v>5400</v>
      </c>
      <c r="I4673" s="29" t="n">
        <v>2</v>
      </c>
      <c r="J4673" s="9" t="n">
        <v>1</v>
      </c>
      <c r="K4673" s="30"/>
      <c r="L4673" s="30"/>
      <c r="M4673" s="30"/>
      <c r="N4673" s="30"/>
      <c r="O4673" s="30"/>
      <c r="P4673" s="30"/>
      <c r="Q4673" s="30"/>
      <c r="R4673" s="30"/>
      <c r="S4673" s="30"/>
      <c r="T4673" s="30"/>
      <c r="U4673" s="21" t="str">
        <f aca="false">IF(COUNT(K4673:T4673)=0,"SOURCE EMPTY / INDUSTRIAL ONLY",IF(MIN(K4673:T4673)=1,"SERVICE READY","HOLD"))</f>
        <v>SOURCE EMPTY / INDUSTRIAL ONLY</v>
      </c>
      <c r="V4673" s="9" t="n">
        <f aca="false">IF(U4673="SERVICE READY",1,0)</f>
        <v>0</v>
      </c>
      <c r="W4673" s="6"/>
      <c r="X4673" s="6"/>
      <c r="Y4673" s="6"/>
      <c r="Z4673" s="6"/>
    </row>
    <row r="4674" customFormat="false" ht="15" hidden="false" customHeight="false" outlineLevel="0" collapsed="false">
      <c r="A4674" s="9" t="s">
        <v>4969</v>
      </c>
      <c r="B4674" s="9" t="s">
        <v>4892</v>
      </c>
      <c r="C4674" s="9" t="s">
        <v>4893</v>
      </c>
      <c r="D4674" s="9" t="s">
        <v>4731</v>
      </c>
      <c r="E4674" s="9" t="s">
        <v>1660</v>
      </c>
      <c r="F4674" s="9" t="s">
        <v>211</v>
      </c>
      <c r="G4674" s="9" t="s">
        <v>221</v>
      </c>
      <c r="H4674" s="9" t="n">
        <v>5400</v>
      </c>
      <c r="I4674" s="29" t="n">
        <v>2</v>
      </c>
      <c r="J4674" s="9" t="n">
        <v>1</v>
      </c>
      <c r="K4674" s="30"/>
      <c r="L4674" s="30"/>
      <c r="M4674" s="30"/>
      <c r="N4674" s="30"/>
      <c r="O4674" s="30"/>
      <c r="P4674" s="30"/>
      <c r="Q4674" s="30"/>
      <c r="R4674" s="30"/>
      <c r="S4674" s="30"/>
      <c r="T4674" s="30"/>
      <c r="U4674" s="21" t="str">
        <f aca="false">IF(COUNT(K4674:T4674)=0,"SOURCE EMPTY / INDUSTRIAL ONLY",IF(MIN(K4674:T4674)=1,"SERVICE READY","HOLD"))</f>
        <v>SOURCE EMPTY / INDUSTRIAL ONLY</v>
      </c>
      <c r="V4674" s="9" t="n">
        <f aca="false">IF(U4674="SERVICE READY",1,0)</f>
        <v>0</v>
      </c>
      <c r="W4674" s="6"/>
      <c r="X4674" s="6"/>
      <c r="Y4674" s="6"/>
      <c r="Z4674" s="6"/>
    </row>
    <row r="4675" customFormat="false" ht="15" hidden="false" customHeight="false" outlineLevel="0" collapsed="false">
      <c r="A4675" s="9" t="s">
        <v>4970</v>
      </c>
      <c r="B4675" s="9" t="s">
        <v>4892</v>
      </c>
      <c r="C4675" s="9" t="s">
        <v>4893</v>
      </c>
      <c r="D4675" s="9" t="s">
        <v>4731</v>
      </c>
      <c r="E4675" s="9" t="s">
        <v>1660</v>
      </c>
      <c r="F4675" s="9" t="s">
        <v>197</v>
      </c>
      <c r="G4675" s="9" t="s">
        <v>221</v>
      </c>
      <c r="H4675" s="9" t="n">
        <v>5400</v>
      </c>
      <c r="I4675" s="29" t="n">
        <v>2</v>
      </c>
      <c r="J4675" s="9" t="n">
        <v>1</v>
      </c>
      <c r="K4675" s="30"/>
      <c r="L4675" s="30"/>
      <c r="M4675" s="30"/>
      <c r="N4675" s="30"/>
      <c r="O4675" s="30"/>
      <c r="P4675" s="30"/>
      <c r="Q4675" s="30"/>
      <c r="R4675" s="30"/>
      <c r="S4675" s="30"/>
      <c r="T4675" s="30"/>
      <c r="U4675" s="21" t="str">
        <f aca="false">IF(COUNT(K4675:T4675)=0,"SOURCE EMPTY / INDUSTRIAL ONLY",IF(MIN(K4675:T4675)=1,"SERVICE READY","HOLD"))</f>
        <v>SOURCE EMPTY / INDUSTRIAL ONLY</v>
      </c>
      <c r="V4675" s="9" t="n">
        <f aca="false">IF(U4675="SERVICE READY",1,0)</f>
        <v>0</v>
      </c>
      <c r="W4675" s="6"/>
      <c r="X4675" s="6"/>
      <c r="Y4675" s="6"/>
      <c r="Z4675" s="6"/>
    </row>
    <row r="4676" customFormat="false" ht="15" hidden="false" customHeight="false" outlineLevel="0" collapsed="false">
      <c r="A4676" s="9" t="s">
        <v>4971</v>
      </c>
      <c r="B4676" s="9" t="s">
        <v>4892</v>
      </c>
      <c r="C4676" s="9" t="s">
        <v>4893</v>
      </c>
      <c r="D4676" s="9" t="s">
        <v>4731</v>
      </c>
      <c r="E4676" s="9" t="s">
        <v>1660</v>
      </c>
      <c r="F4676" s="9" t="s">
        <v>200</v>
      </c>
      <c r="G4676" s="9" t="s">
        <v>221</v>
      </c>
      <c r="H4676" s="9" t="n">
        <v>5400</v>
      </c>
      <c r="I4676" s="29" t="n">
        <v>2</v>
      </c>
      <c r="J4676" s="9" t="n">
        <v>1</v>
      </c>
      <c r="K4676" s="30"/>
      <c r="L4676" s="30"/>
      <c r="M4676" s="30"/>
      <c r="N4676" s="30"/>
      <c r="O4676" s="30"/>
      <c r="P4676" s="30"/>
      <c r="Q4676" s="30"/>
      <c r="R4676" s="30"/>
      <c r="S4676" s="30"/>
      <c r="T4676" s="30"/>
      <c r="U4676" s="21" t="str">
        <f aca="false">IF(COUNT(K4676:T4676)=0,"SOURCE EMPTY / INDUSTRIAL ONLY",IF(MIN(K4676:T4676)=1,"SERVICE READY","HOLD"))</f>
        <v>SOURCE EMPTY / INDUSTRIAL ONLY</v>
      </c>
      <c r="V4676" s="9" t="n">
        <f aca="false">IF(U4676="SERVICE READY",1,0)</f>
        <v>0</v>
      </c>
      <c r="W4676" s="6"/>
      <c r="X4676" s="6"/>
      <c r="Y4676" s="6"/>
      <c r="Z4676" s="6"/>
    </row>
    <row r="4677" customFormat="false" ht="15" hidden="false" customHeight="false" outlineLevel="0" collapsed="false">
      <c r="A4677" s="9" t="s">
        <v>4972</v>
      </c>
      <c r="B4677" s="9" t="s">
        <v>4892</v>
      </c>
      <c r="C4677" s="9" t="s">
        <v>4893</v>
      </c>
      <c r="D4677" s="9" t="s">
        <v>4731</v>
      </c>
      <c r="E4677" s="9" t="s">
        <v>1660</v>
      </c>
      <c r="F4677" s="9" t="s">
        <v>203</v>
      </c>
      <c r="G4677" s="9" t="s">
        <v>221</v>
      </c>
      <c r="H4677" s="9" t="n">
        <v>5400</v>
      </c>
      <c r="I4677" s="29" t="n">
        <v>2</v>
      </c>
      <c r="J4677" s="9" t="n">
        <v>1</v>
      </c>
      <c r="K4677" s="30"/>
      <c r="L4677" s="30"/>
      <c r="M4677" s="30"/>
      <c r="N4677" s="30"/>
      <c r="O4677" s="30"/>
      <c r="P4677" s="30"/>
      <c r="Q4677" s="30"/>
      <c r="R4677" s="30"/>
      <c r="S4677" s="30"/>
      <c r="T4677" s="30"/>
      <c r="U4677" s="21" t="str">
        <f aca="false">IF(COUNT(K4677:T4677)=0,"SOURCE EMPTY / INDUSTRIAL ONLY",IF(MIN(K4677:T4677)=1,"SERVICE READY","HOLD"))</f>
        <v>SOURCE EMPTY / INDUSTRIAL ONLY</v>
      </c>
      <c r="V4677" s="9" t="n">
        <f aca="false">IF(U4677="SERVICE READY",1,0)</f>
        <v>0</v>
      </c>
      <c r="W4677" s="6"/>
      <c r="X4677" s="6"/>
      <c r="Y4677" s="6"/>
      <c r="Z4677" s="6"/>
    </row>
    <row r="4678" customFormat="false" ht="15" hidden="false" customHeight="false" outlineLevel="0" collapsed="false">
      <c r="A4678" s="9" t="s">
        <v>4973</v>
      </c>
      <c r="B4678" s="9" t="s">
        <v>4892</v>
      </c>
      <c r="C4678" s="9" t="s">
        <v>4893</v>
      </c>
      <c r="D4678" s="9" t="s">
        <v>4731</v>
      </c>
      <c r="E4678" s="9" t="s">
        <v>1660</v>
      </c>
      <c r="F4678" s="9" t="s">
        <v>205</v>
      </c>
      <c r="G4678" s="9" t="s">
        <v>221</v>
      </c>
      <c r="H4678" s="9" t="n">
        <v>5400</v>
      </c>
      <c r="I4678" s="29" t="n">
        <v>2</v>
      </c>
      <c r="J4678" s="9" t="n">
        <v>1</v>
      </c>
      <c r="K4678" s="30"/>
      <c r="L4678" s="30"/>
      <c r="M4678" s="30"/>
      <c r="N4678" s="30"/>
      <c r="O4678" s="30"/>
      <c r="P4678" s="30"/>
      <c r="Q4678" s="30"/>
      <c r="R4678" s="30"/>
      <c r="S4678" s="30"/>
      <c r="T4678" s="30"/>
      <c r="U4678" s="21" t="str">
        <f aca="false">IF(COUNT(K4678:T4678)=0,"SOURCE EMPTY / INDUSTRIAL ONLY",IF(MIN(K4678:T4678)=1,"SERVICE READY","HOLD"))</f>
        <v>SOURCE EMPTY / INDUSTRIAL ONLY</v>
      </c>
      <c r="V4678" s="9" t="n">
        <f aca="false">IF(U4678="SERVICE READY",1,0)</f>
        <v>0</v>
      </c>
      <c r="W4678" s="6"/>
      <c r="X4678" s="6"/>
      <c r="Y4678" s="6"/>
      <c r="Z4678" s="6"/>
    </row>
    <row r="4679" customFormat="false" ht="15" hidden="false" customHeight="false" outlineLevel="0" collapsed="false">
      <c r="A4679" s="9" t="s">
        <v>4974</v>
      </c>
      <c r="B4679" s="9" t="s">
        <v>4892</v>
      </c>
      <c r="C4679" s="9" t="s">
        <v>4893</v>
      </c>
      <c r="D4679" s="9" t="s">
        <v>4731</v>
      </c>
      <c r="E4679" s="9" t="s">
        <v>1660</v>
      </c>
      <c r="F4679" s="9" t="s">
        <v>207</v>
      </c>
      <c r="G4679" s="9" t="s">
        <v>221</v>
      </c>
      <c r="H4679" s="9" t="n">
        <v>5400</v>
      </c>
      <c r="I4679" s="29" t="n">
        <v>2</v>
      </c>
      <c r="J4679" s="9" t="n">
        <v>1</v>
      </c>
      <c r="K4679" s="30"/>
      <c r="L4679" s="30"/>
      <c r="M4679" s="30"/>
      <c r="N4679" s="30"/>
      <c r="O4679" s="30"/>
      <c r="P4679" s="30"/>
      <c r="Q4679" s="30"/>
      <c r="R4679" s="30"/>
      <c r="S4679" s="30"/>
      <c r="T4679" s="30"/>
      <c r="U4679" s="21" t="str">
        <f aca="false">IF(COUNT(K4679:T4679)=0,"SOURCE EMPTY / INDUSTRIAL ONLY",IF(MIN(K4679:T4679)=1,"SERVICE READY","HOLD"))</f>
        <v>SOURCE EMPTY / INDUSTRIAL ONLY</v>
      </c>
      <c r="V4679" s="9" t="n">
        <f aca="false">IF(U4679="SERVICE READY",1,0)</f>
        <v>0</v>
      </c>
      <c r="W4679" s="6"/>
      <c r="X4679" s="6"/>
      <c r="Y4679" s="6"/>
      <c r="Z4679" s="6"/>
    </row>
    <row r="4680" customFormat="false" ht="15" hidden="false" customHeight="false" outlineLevel="0" collapsed="false">
      <c r="A4680" s="9" t="s">
        <v>4975</v>
      </c>
      <c r="B4680" s="9" t="s">
        <v>4892</v>
      </c>
      <c r="C4680" s="9" t="s">
        <v>4893</v>
      </c>
      <c r="D4680" s="9" t="s">
        <v>4731</v>
      </c>
      <c r="E4680" s="9" t="s">
        <v>1660</v>
      </c>
      <c r="F4680" s="9" t="s">
        <v>209</v>
      </c>
      <c r="G4680" s="9" t="s">
        <v>221</v>
      </c>
      <c r="H4680" s="9" t="n">
        <v>5400</v>
      </c>
      <c r="I4680" s="29" t="n">
        <v>2</v>
      </c>
      <c r="J4680" s="9" t="n">
        <v>0</v>
      </c>
      <c r="K4680" s="30"/>
      <c r="L4680" s="30"/>
      <c r="M4680" s="30"/>
      <c r="N4680" s="30"/>
      <c r="O4680" s="30"/>
      <c r="P4680" s="30"/>
      <c r="Q4680" s="30"/>
      <c r="R4680" s="30"/>
      <c r="S4680" s="30"/>
      <c r="T4680" s="30"/>
      <c r="U4680" s="21" t="str">
        <f aca="false">IF(COUNT(K4680:T4680)=0,"SOURCE EMPTY / INDUSTRIAL ONLY",IF(MIN(K4680:T4680)=1,"SERVICE READY","HOLD"))</f>
        <v>SOURCE EMPTY / INDUSTRIAL ONLY</v>
      </c>
      <c r="V4680" s="9" t="n">
        <f aca="false">IF(U4680="SERVICE READY",1,0)</f>
        <v>0</v>
      </c>
      <c r="W4680" s="6"/>
      <c r="X4680" s="6"/>
      <c r="Y4680" s="6"/>
      <c r="Z4680" s="6"/>
    </row>
    <row r="4681" customFormat="false" ht="15" hidden="false" customHeight="false" outlineLevel="0" collapsed="false">
      <c r="A4681" s="9" t="s">
        <v>4976</v>
      </c>
      <c r="B4681" s="9" t="s">
        <v>4892</v>
      </c>
      <c r="C4681" s="9" t="s">
        <v>4893</v>
      </c>
      <c r="D4681" s="9" t="s">
        <v>4731</v>
      </c>
      <c r="E4681" s="9" t="s">
        <v>1660</v>
      </c>
      <c r="F4681" s="9" t="s">
        <v>211</v>
      </c>
      <c r="G4681" s="9" t="s">
        <v>221</v>
      </c>
      <c r="H4681" s="9" t="n">
        <v>5400</v>
      </c>
      <c r="I4681" s="29" t="n">
        <v>2</v>
      </c>
      <c r="J4681" s="9" t="n">
        <v>0</v>
      </c>
      <c r="K4681" s="30"/>
      <c r="L4681" s="30"/>
      <c r="M4681" s="30"/>
      <c r="N4681" s="30"/>
      <c r="O4681" s="30"/>
      <c r="P4681" s="30"/>
      <c r="Q4681" s="30"/>
      <c r="R4681" s="30"/>
      <c r="S4681" s="30"/>
      <c r="T4681" s="30"/>
      <c r="U4681" s="21" t="str">
        <f aca="false">IF(COUNT(K4681:T4681)=0,"SOURCE EMPTY / INDUSTRIAL ONLY",IF(MIN(K4681:T4681)=1,"SERVICE READY","HOLD"))</f>
        <v>SOURCE EMPTY / INDUSTRIAL ONLY</v>
      </c>
      <c r="V4681" s="9" t="n">
        <f aca="false">IF(U4681="SERVICE READY",1,0)</f>
        <v>0</v>
      </c>
      <c r="W4681" s="6"/>
      <c r="X4681" s="6"/>
      <c r="Y4681" s="6"/>
      <c r="Z4681" s="6"/>
    </row>
    <row r="4682" customFormat="false" ht="15" hidden="false" customHeight="false" outlineLevel="0" collapsed="false">
      <c r="A4682" s="9" t="s">
        <v>4977</v>
      </c>
      <c r="B4682" s="9" t="s">
        <v>4892</v>
      </c>
      <c r="C4682" s="9" t="s">
        <v>4893</v>
      </c>
      <c r="D4682" s="9" t="s">
        <v>4731</v>
      </c>
      <c r="E4682" s="9" t="s">
        <v>1660</v>
      </c>
      <c r="F4682" s="9" t="s">
        <v>197</v>
      </c>
      <c r="G4682" s="9" t="s">
        <v>221</v>
      </c>
      <c r="H4682" s="9" t="n">
        <v>5400</v>
      </c>
      <c r="I4682" s="29" t="n">
        <v>2</v>
      </c>
      <c r="J4682" s="9" t="n">
        <v>0</v>
      </c>
      <c r="K4682" s="30"/>
      <c r="L4682" s="30"/>
      <c r="M4682" s="30"/>
      <c r="N4682" s="30"/>
      <c r="O4682" s="30"/>
      <c r="P4682" s="30"/>
      <c r="Q4682" s="30"/>
      <c r="R4682" s="30"/>
      <c r="S4682" s="30"/>
      <c r="T4682" s="30"/>
      <c r="U4682" s="21" t="str">
        <f aca="false">IF(COUNT(K4682:T4682)=0,"SOURCE EMPTY / INDUSTRIAL ONLY",IF(MIN(K4682:T4682)=1,"SERVICE READY","HOLD"))</f>
        <v>SOURCE EMPTY / INDUSTRIAL ONLY</v>
      </c>
      <c r="V4682" s="9" t="n">
        <f aca="false">IF(U4682="SERVICE READY",1,0)</f>
        <v>0</v>
      </c>
      <c r="W4682" s="6"/>
      <c r="X4682" s="6"/>
      <c r="Y4682" s="6"/>
      <c r="Z4682" s="6"/>
    </row>
    <row r="4683" customFormat="false" ht="15" hidden="false" customHeight="false" outlineLevel="0" collapsed="false">
      <c r="A4683" s="9" t="s">
        <v>4978</v>
      </c>
      <c r="B4683" s="9" t="s">
        <v>4892</v>
      </c>
      <c r="C4683" s="9" t="s">
        <v>4893</v>
      </c>
      <c r="D4683" s="9" t="s">
        <v>4731</v>
      </c>
      <c r="E4683" s="9" t="s">
        <v>1660</v>
      </c>
      <c r="F4683" s="9" t="s">
        <v>200</v>
      </c>
      <c r="G4683" s="9" t="s">
        <v>221</v>
      </c>
      <c r="H4683" s="9" t="n">
        <v>5400</v>
      </c>
      <c r="I4683" s="29" t="n">
        <v>2</v>
      </c>
      <c r="J4683" s="9" t="n">
        <v>0</v>
      </c>
      <c r="K4683" s="30"/>
      <c r="L4683" s="30"/>
      <c r="M4683" s="30"/>
      <c r="N4683" s="30"/>
      <c r="O4683" s="30"/>
      <c r="P4683" s="30"/>
      <c r="Q4683" s="30"/>
      <c r="R4683" s="30"/>
      <c r="S4683" s="30"/>
      <c r="T4683" s="30"/>
      <c r="U4683" s="21" t="str">
        <f aca="false">IF(COUNT(K4683:T4683)=0,"SOURCE EMPTY / INDUSTRIAL ONLY",IF(MIN(K4683:T4683)=1,"SERVICE READY","HOLD"))</f>
        <v>SOURCE EMPTY / INDUSTRIAL ONLY</v>
      </c>
      <c r="V4683" s="9" t="n">
        <f aca="false">IF(U4683="SERVICE READY",1,0)</f>
        <v>0</v>
      </c>
      <c r="W4683" s="6"/>
      <c r="X4683" s="6"/>
      <c r="Y4683" s="6"/>
      <c r="Z4683" s="6"/>
    </row>
    <row r="4684" customFormat="false" ht="15" hidden="false" customHeight="false" outlineLevel="0" collapsed="false">
      <c r="A4684" s="9" t="s">
        <v>4979</v>
      </c>
      <c r="B4684" s="9" t="s">
        <v>4892</v>
      </c>
      <c r="C4684" s="9" t="s">
        <v>4893</v>
      </c>
      <c r="D4684" s="9" t="s">
        <v>4731</v>
      </c>
      <c r="E4684" s="9" t="s">
        <v>1660</v>
      </c>
      <c r="F4684" s="9" t="s">
        <v>203</v>
      </c>
      <c r="G4684" s="9" t="s">
        <v>221</v>
      </c>
      <c r="H4684" s="9" t="n">
        <v>5400</v>
      </c>
      <c r="I4684" s="29" t="n">
        <v>2</v>
      </c>
      <c r="J4684" s="9" t="n">
        <v>0</v>
      </c>
      <c r="K4684" s="30"/>
      <c r="L4684" s="30"/>
      <c r="M4684" s="30"/>
      <c r="N4684" s="30"/>
      <c r="O4684" s="30"/>
      <c r="P4684" s="30"/>
      <c r="Q4684" s="30"/>
      <c r="R4684" s="30"/>
      <c r="S4684" s="30"/>
      <c r="T4684" s="30"/>
      <c r="U4684" s="21" t="str">
        <f aca="false">IF(COUNT(K4684:T4684)=0,"SOURCE EMPTY / INDUSTRIAL ONLY",IF(MIN(K4684:T4684)=1,"SERVICE READY","HOLD"))</f>
        <v>SOURCE EMPTY / INDUSTRIAL ONLY</v>
      </c>
      <c r="V4684" s="9" t="n">
        <f aca="false">IF(U4684="SERVICE READY",1,0)</f>
        <v>0</v>
      </c>
      <c r="W4684" s="6"/>
      <c r="X4684" s="6"/>
      <c r="Y4684" s="6"/>
      <c r="Z4684" s="6"/>
    </row>
    <row r="4685" customFormat="false" ht="15" hidden="false" customHeight="false" outlineLevel="0" collapsed="false">
      <c r="A4685" s="9" t="s">
        <v>4980</v>
      </c>
      <c r="B4685" s="9" t="s">
        <v>4892</v>
      </c>
      <c r="C4685" s="9" t="s">
        <v>4893</v>
      </c>
      <c r="D4685" s="9" t="s">
        <v>4731</v>
      </c>
      <c r="E4685" s="9" t="s">
        <v>1660</v>
      </c>
      <c r="F4685" s="9" t="s">
        <v>205</v>
      </c>
      <c r="G4685" s="9" t="s">
        <v>221</v>
      </c>
      <c r="H4685" s="9" t="n">
        <v>5400</v>
      </c>
      <c r="I4685" s="29" t="n">
        <v>2</v>
      </c>
      <c r="J4685" s="9" t="n">
        <v>0</v>
      </c>
      <c r="K4685" s="30"/>
      <c r="L4685" s="30"/>
      <c r="M4685" s="30"/>
      <c r="N4685" s="30"/>
      <c r="O4685" s="30"/>
      <c r="P4685" s="30"/>
      <c r="Q4685" s="30"/>
      <c r="R4685" s="30"/>
      <c r="S4685" s="30"/>
      <c r="T4685" s="30"/>
      <c r="U4685" s="21" t="str">
        <f aca="false">IF(COUNT(K4685:T4685)=0,"SOURCE EMPTY / INDUSTRIAL ONLY",IF(MIN(K4685:T4685)=1,"SERVICE READY","HOLD"))</f>
        <v>SOURCE EMPTY / INDUSTRIAL ONLY</v>
      </c>
      <c r="V4685" s="9" t="n">
        <f aca="false">IF(U4685="SERVICE READY",1,0)</f>
        <v>0</v>
      </c>
      <c r="W4685" s="6"/>
      <c r="X4685" s="6"/>
      <c r="Y4685" s="6"/>
      <c r="Z4685" s="6"/>
    </row>
    <row r="4686" customFormat="false" ht="15" hidden="false" customHeight="false" outlineLevel="0" collapsed="false">
      <c r="A4686" s="9" t="s">
        <v>4981</v>
      </c>
      <c r="B4686" s="9" t="s">
        <v>4892</v>
      </c>
      <c r="C4686" s="9" t="s">
        <v>4893</v>
      </c>
      <c r="D4686" s="9" t="s">
        <v>4731</v>
      </c>
      <c r="E4686" s="9" t="s">
        <v>1660</v>
      </c>
      <c r="F4686" s="9" t="s">
        <v>207</v>
      </c>
      <c r="G4686" s="9" t="s">
        <v>221</v>
      </c>
      <c r="H4686" s="9" t="n">
        <v>5400</v>
      </c>
      <c r="I4686" s="29" t="n">
        <v>2</v>
      </c>
      <c r="J4686" s="9" t="n">
        <v>0</v>
      </c>
      <c r="K4686" s="30"/>
      <c r="L4686" s="30"/>
      <c r="M4686" s="30"/>
      <c r="N4686" s="30"/>
      <c r="O4686" s="30"/>
      <c r="P4686" s="30"/>
      <c r="Q4686" s="30"/>
      <c r="R4686" s="30"/>
      <c r="S4686" s="30"/>
      <c r="T4686" s="30"/>
      <c r="U4686" s="21" t="str">
        <f aca="false">IF(COUNT(K4686:T4686)=0,"SOURCE EMPTY / INDUSTRIAL ONLY",IF(MIN(K4686:T4686)=1,"SERVICE READY","HOLD"))</f>
        <v>SOURCE EMPTY / INDUSTRIAL ONLY</v>
      </c>
      <c r="V4686" s="9" t="n">
        <f aca="false">IF(U4686="SERVICE READY",1,0)</f>
        <v>0</v>
      </c>
      <c r="W4686" s="6"/>
      <c r="X4686" s="6"/>
      <c r="Y4686" s="6"/>
      <c r="Z4686" s="6"/>
    </row>
    <row r="4687" customFormat="false" ht="15" hidden="false" customHeight="false" outlineLevel="0" collapsed="false">
      <c r="A4687" s="9" t="s">
        <v>4982</v>
      </c>
      <c r="B4687" s="9" t="s">
        <v>4892</v>
      </c>
      <c r="C4687" s="9" t="s">
        <v>4893</v>
      </c>
      <c r="D4687" s="9" t="s">
        <v>4731</v>
      </c>
      <c r="E4687" s="9" t="s">
        <v>1660</v>
      </c>
      <c r="F4687" s="9" t="s">
        <v>209</v>
      </c>
      <c r="G4687" s="9" t="s">
        <v>221</v>
      </c>
      <c r="H4687" s="9" t="n">
        <v>5400</v>
      </c>
      <c r="I4687" s="29" t="n">
        <v>2</v>
      </c>
      <c r="J4687" s="9" t="n">
        <v>0</v>
      </c>
      <c r="K4687" s="30"/>
      <c r="L4687" s="30"/>
      <c r="M4687" s="30"/>
      <c r="N4687" s="30"/>
      <c r="O4687" s="30"/>
      <c r="P4687" s="30"/>
      <c r="Q4687" s="30"/>
      <c r="R4687" s="30"/>
      <c r="S4687" s="30"/>
      <c r="T4687" s="30"/>
      <c r="U4687" s="21" t="str">
        <f aca="false">IF(COUNT(K4687:T4687)=0,"SOURCE EMPTY / INDUSTRIAL ONLY",IF(MIN(K4687:T4687)=1,"SERVICE READY","HOLD"))</f>
        <v>SOURCE EMPTY / INDUSTRIAL ONLY</v>
      </c>
      <c r="V4687" s="9" t="n">
        <f aca="false">IF(U4687="SERVICE READY",1,0)</f>
        <v>0</v>
      </c>
      <c r="W4687" s="6"/>
      <c r="X4687" s="6"/>
      <c r="Y4687" s="6"/>
      <c r="Z4687" s="6"/>
    </row>
    <row r="4688" customFormat="false" ht="15" hidden="false" customHeight="false" outlineLevel="0" collapsed="false">
      <c r="A4688" s="9" t="s">
        <v>4983</v>
      </c>
      <c r="B4688" s="9" t="s">
        <v>4892</v>
      </c>
      <c r="C4688" s="9" t="s">
        <v>4893</v>
      </c>
      <c r="D4688" s="9" t="s">
        <v>4731</v>
      </c>
      <c r="E4688" s="9" t="s">
        <v>1660</v>
      </c>
      <c r="F4688" s="9" t="s">
        <v>211</v>
      </c>
      <c r="G4688" s="9" t="s">
        <v>221</v>
      </c>
      <c r="H4688" s="9" t="n">
        <v>5400</v>
      </c>
      <c r="I4688" s="29" t="n">
        <v>2</v>
      </c>
      <c r="J4688" s="9" t="n">
        <v>0</v>
      </c>
      <c r="K4688" s="30"/>
      <c r="L4688" s="30"/>
      <c r="M4688" s="30"/>
      <c r="N4688" s="30"/>
      <c r="O4688" s="30"/>
      <c r="P4688" s="30"/>
      <c r="Q4688" s="30"/>
      <c r="R4688" s="30"/>
      <c r="S4688" s="30"/>
      <c r="T4688" s="30"/>
      <c r="U4688" s="21" t="str">
        <f aca="false">IF(COUNT(K4688:T4688)=0,"SOURCE EMPTY / INDUSTRIAL ONLY",IF(MIN(K4688:T4688)=1,"SERVICE READY","HOLD"))</f>
        <v>SOURCE EMPTY / INDUSTRIAL ONLY</v>
      </c>
      <c r="V4688" s="9" t="n">
        <f aca="false">IF(U4688="SERVICE READY",1,0)</f>
        <v>0</v>
      </c>
      <c r="W4688" s="6"/>
      <c r="X4688" s="6"/>
      <c r="Y4688" s="6"/>
      <c r="Z4688" s="6"/>
    </row>
    <row r="4689" customFormat="false" ht="15" hidden="false" customHeight="false" outlineLevel="0" collapsed="false">
      <c r="A4689" s="9" t="s">
        <v>4984</v>
      </c>
      <c r="B4689" s="9" t="s">
        <v>4892</v>
      </c>
      <c r="C4689" s="9" t="s">
        <v>4893</v>
      </c>
      <c r="D4689" s="9" t="s">
        <v>4731</v>
      </c>
      <c r="E4689" s="9" t="s">
        <v>1660</v>
      </c>
      <c r="F4689" s="9" t="s">
        <v>197</v>
      </c>
      <c r="G4689" s="9" t="s">
        <v>221</v>
      </c>
      <c r="H4689" s="9" t="n">
        <v>5400</v>
      </c>
      <c r="I4689" s="29" t="n">
        <v>2</v>
      </c>
      <c r="J4689" s="9" t="n">
        <v>0</v>
      </c>
      <c r="K4689" s="30"/>
      <c r="L4689" s="30"/>
      <c r="M4689" s="30"/>
      <c r="N4689" s="30"/>
      <c r="O4689" s="30"/>
      <c r="P4689" s="30"/>
      <c r="Q4689" s="30"/>
      <c r="R4689" s="30"/>
      <c r="S4689" s="30"/>
      <c r="T4689" s="30"/>
      <c r="U4689" s="21" t="str">
        <f aca="false">IF(COUNT(K4689:T4689)=0,"SOURCE EMPTY / INDUSTRIAL ONLY",IF(MIN(K4689:T4689)=1,"SERVICE READY","HOLD"))</f>
        <v>SOURCE EMPTY / INDUSTRIAL ONLY</v>
      </c>
      <c r="V4689" s="9" t="n">
        <f aca="false">IF(U4689="SERVICE READY",1,0)</f>
        <v>0</v>
      </c>
      <c r="W4689" s="6"/>
      <c r="X4689" s="6"/>
      <c r="Y4689" s="6"/>
      <c r="Z4689" s="6"/>
    </row>
    <row r="4690" customFormat="false" ht="15" hidden="false" customHeight="false" outlineLevel="0" collapsed="false">
      <c r="A4690" s="9" t="s">
        <v>4985</v>
      </c>
      <c r="B4690" s="9" t="s">
        <v>4892</v>
      </c>
      <c r="C4690" s="9" t="s">
        <v>4893</v>
      </c>
      <c r="D4690" s="9" t="s">
        <v>4731</v>
      </c>
      <c r="E4690" s="9" t="s">
        <v>1660</v>
      </c>
      <c r="F4690" s="9" t="s">
        <v>200</v>
      </c>
      <c r="G4690" s="9" t="s">
        <v>221</v>
      </c>
      <c r="H4690" s="9" t="n">
        <v>5400</v>
      </c>
      <c r="I4690" s="29" t="n">
        <v>2</v>
      </c>
      <c r="J4690" s="9" t="n">
        <v>0</v>
      </c>
      <c r="K4690" s="30"/>
      <c r="L4690" s="30"/>
      <c r="M4690" s="30"/>
      <c r="N4690" s="30"/>
      <c r="O4690" s="30"/>
      <c r="P4690" s="30"/>
      <c r="Q4690" s="30"/>
      <c r="R4690" s="30"/>
      <c r="S4690" s="30"/>
      <c r="T4690" s="30"/>
      <c r="U4690" s="21" t="str">
        <f aca="false">IF(COUNT(K4690:T4690)=0,"SOURCE EMPTY / INDUSTRIAL ONLY",IF(MIN(K4690:T4690)=1,"SERVICE READY","HOLD"))</f>
        <v>SOURCE EMPTY / INDUSTRIAL ONLY</v>
      </c>
      <c r="V4690" s="9" t="n">
        <f aca="false">IF(U4690="SERVICE READY",1,0)</f>
        <v>0</v>
      </c>
      <c r="W4690" s="6"/>
      <c r="X4690" s="6"/>
      <c r="Y4690" s="6"/>
      <c r="Z4690" s="6"/>
    </row>
    <row r="4691" customFormat="false" ht="15" hidden="false" customHeight="false" outlineLevel="0" collapsed="false">
      <c r="A4691" s="9" t="s">
        <v>4986</v>
      </c>
      <c r="B4691" s="9" t="s">
        <v>4892</v>
      </c>
      <c r="C4691" s="9" t="s">
        <v>4893</v>
      </c>
      <c r="D4691" s="9" t="s">
        <v>4731</v>
      </c>
      <c r="E4691" s="9" t="s">
        <v>1660</v>
      </c>
      <c r="F4691" s="9" t="s">
        <v>203</v>
      </c>
      <c r="G4691" s="9" t="s">
        <v>221</v>
      </c>
      <c r="H4691" s="9" t="n">
        <v>5400</v>
      </c>
      <c r="I4691" s="29" t="n">
        <v>2</v>
      </c>
      <c r="J4691" s="9" t="n">
        <v>0</v>
      </c>
      <c r="K4691" s="30"/>
      <c r="L4691" s="30"/>
      <c r="M4691" s="30"/>
      <c r="N4691" s="30"/>
      <c r="O4691" s="30"/>
      <c r="P4691" s="30"/>
      <c r="Q4691" s="30"/>
      <c r="R4691" s="30"/>
      <c r="S4691" s="30"/>
      <c r="T4691" s="30"/>
      <c r="U4691" s="21" t="str">
        <f aca="false">IF(COUNT(K4691:T4691)=0,"SOURCE EMPTY / INDUSTRIAL ONLY",IF(MIN(K4691:T4691)=1,"SERVICE READY","HOLD"))</f>
        <v>SOURCE EMPTY / INDUSTRIAL ONLY</v>
      </c>
      <c r="V4691" s="9" t="n">
        <f aca="false">IF(U4691="SERVICE READY",1,0)</f>
        <v>0</v>
      </c>
      <c r="W4691" s="6"/>
      <c r="X4691" s="6"/>
      <c r="Y4691" s="6"/>
      <c r="Z4691" s="6"/>
    </row>
    <row r="4692" customFormat="false" ht="15" hidden="false" customHeight="false" outlineLevel="0" collapsed="false">
      <c r="A4692" s="9" t="s">
        <v>4987</v>
      </c>
      <c r="B4692" s="9" t="s">
        <v>4892</v>
      </c>
      <c r="C4692" s="9" t="s">
        <v>4893</v>
      </c>
      <c r="D4692" s="9" t="s">
        <v>4731</v>
      </c>
      <c r="E4692" s="9" t="s">
        <v>1660</v>
      </c>
      <c r="F4692" s="9" t="s">
        <v>205</v>
      </c>
      <c r="G4692" s="9" t="s">
        <v>221</v>
      </c>
      <c r="H4692" s="9" t="n">
        <v>5400</v>
      </c>
      <c r="I4692" s="29" t="n">
        <v>2</v>
      </c>
      <c r="J4692" s="9" t="n">
        <v>0</v>
      </c>
      <c r="K4692" s="30"/>
      <c r="L4692" s="30"/>
      <c r="M4692" s="30"/>
      <c r="N4692" s="30"/>
      <c r="O4692" s="30"/>
      <c r="P4692" s="30"/>
      <c r="Q4692" s="30"/>
      <c r="R4692" s="30"/>
      <c r="S4692" s="30"/>
      <c r="T4692" s="30"/>
      <c r="U4692" s="21" t="str">
        <f aca="false">IF(COUNT(K4692:T4692)=0,"SOURCE EMPTY / INDUSTRIAL ONLY",IF(MIN(K4692:T4692)=1,"SERVICE READY","HOLD"))</f>
        <v>SOURCE EMPTY / INDUSTRIAL ONLY</v>
      </c>
      <c r="V4692" s="9" t="n">
        <f aca="false">IF(U4692="SERVICE READY",1,0)</f>
        <v>0</v>
      </c>
      <c r="W4692" s="6"/>
      <c r="X4692" s="6"/>
      <c r="Y4692" s="6"/>
      <c r="Z4692" s="6"/>
    </row>
    <row r="4693" customFormat="false" ht="15" hidden="false" customHeight="false" outlineLevel="0" collapsed="false">
      <c r="A4693" s="9" t="s">
        <v>4988</v>
      </c>
      <c r="B4693" s="9" t="s">
        <v>4892</v>
      </c>
      <c r="C4693" s="9" t="s">
        <v>4893</v>
      </c>
      <c r="D4693" s="9" t="s">
        <v>4731</v>
      </c>
      <c r="E4693" s="9" t="s">
        <v>1660</v>
      </c>
      <c r="F4693" s="9" t="s">
        <v>207</v>
      </c>
      <c r="G4693" s="9" t="s">
        <v>221</v>
      </c>
      <c r="H4693" s="9" t="n">
        <v>5400</v>
      </c>
      <c r="I4693" s="29" t="n">
        <v>2</v>
      </c>
      <c r="J4693" s="9" t="n">
        <v>0</v>
      </c>
      <c r="K4693" s="30"/>
      <c r="L4693" s="30"/>
      <c r="M4693" s="30"/>
      <c r="N4693" s="30"/>
      <c r="O4693" s="30"/>
      <c r="P4693" s="30"/>
      <c r="Q4693" s="30"/>
      <c r="R4693" s="30"/>
      <c r="S4693" s="30"/>
      <c r="T4693" s="30"/>
      <c r="U4693" s="21" t="str">
        <f aca="false">IF(COUNT(K4693:T4693)=0,"SOURCE EMPTY / INDUSTRIAL ONLY",IF(MIN(K4693:T4693)=1,"SERVICE READY","HOLD"))</f>
        <v>SOURCE EMPTY / INDUSTRIAL ONLY</v>
      </c>
      <c r="V4693" s="9" t="n">
        <f aca="false">IF(U4693="SERVICE READY",1,0)</f>
        <v>0</v>
      </c>
      <c r="W4693" s="6"/>
      <c r="X4693" s="6"/>
      <c r="Y4693" s="6"/>
      <c r="Z4693" s="6"/>
    </row>
    <row r="4694" customFormat="false" ht="15" hidden="false" customHeight="false" outlineLevel="0" collapsed="false">
      <c r="A4694" s="9" t="s">
        <v>4989</v>
      </c>
      <c r="B4694" s="9" t="s">
        <v>4892</v>
      </c>
      <c r="C4694" s="9" t="s">
        <v>4893</v>
      </c>
      <c r="D4694" s="9" t="s">
        <v>4731</v>
      </c>
      <c r="E4694" s="9" t="s">
        <v>1660</v>
      </c>
      <c r="F4694" s="9" t="s">
        <v>209</v>
      </c>
      <c r="G4694" s="9" t="s">
        <v>221</v>
      </c>
      <c r="H4694" s="9" t="n">
        <v>5400</v>
      </c>
      <c r="I4694" s="29" t="n">
        <v>2</v>
      </c>
      <c r="J4694" s="9" t="n">
        <v>0</v>
      </c>
      <c r="K4694" s="30"/>
      <c r="L4694" s="30"/>
      <c r="M4694" s="30"/>
      <c r="N4694" s="30"/>
      <c r="O4694" s="30"/>
      <c r="P4694" s="30"/>
      <c r="Q4694" s="30"/>
      <c r="R4694" s="30"/>
      <c r="S4694" s="30"/>
      <c r="T4694" s="30"/>
      <c r="U4694" s="21" t="str">
        <f aca="false">IF(COUNT(K4694:T4694)=0,"SOURCE EMPTY / INDUSTRIAL ONLY",IF(MIN(K4694:T4694)=1,"SERVICE READY","HOLD"))</f>
        <v>SOURCE EMPTY / INDUSTRIAL ONLY</v>
      </c>
      <c r="V4694" s="9" t="n">
        <f aca="false">IF(U4694="SERVICE READY",1,0)</f>
        <v>0</v>
      </c>
      <c r="W4694" s="6"/>
      <c r="X4694" s="6"/>
      <c r="Y4694" s="6"/>
      <c r="Z4694" s="6"/>
    </row>
    <row r="4695" customFormat="false" ht="15" hidden="false" customHeight="false" outlineLevel="0" collapsed="false">
      <c r="A4695" s="9" t="s">
        <v>4990</v>
      </c>
      <c r="B4695" s="9" t="s">
        <v>4892</v>
      </c>
      <c r="C4695" s="9" t="s">
        <v>4893</v>
      </c>
      <c r="D4695" s="9" t="s">
        <v>4731</v>
      </c>
      <c r="E4695" s="9" t="s">
        <v>1660</v>
      </c>
      <c r="F4695" s="9" t="s">
        <v>211</v>
      </c>
      <c r="G4695" s="9" t="s">
        <v>221</v>
      </c>
      <c r="H4695" s="9" t="n">
        <v>5400</v>
      </c>
      <c r="I4695" s="29" t="n">
        <v>2</v>
      </c>
      <c r="J4695" s="9" t="n">
        <v>0</v>
      </c>
      <c r="K4695" s="30"/>
      <c r="L4695" s="30"/>
      <c r="M4695" s="30"/>
      <c r="N4695" s="30"/>
      <c r="O4695" s="30"/>
      <c r="P4695" s="30"/>
      <c r="Q4695" s="30"/>
      <c r="R4695" s="30"/>
      <c r="S4695" s="30"/>
      <c r="T4695" s="30"/>
      <c r="U4695" s="21" t="str">
        <f aca="false">IF(COUNT(K4695:T4695)=0,"SOURCE EMPTY / INDUSTRIAL ONLY",IF(MIN(K4695:T4695)=1,"SERVICE READY","HOLD"))</f>
        <v>SOURCE EMPTY / INDUSTRIAL ONLY</v>
      </c>
      <c r="V4695" s="9" t="n">
        <f aca="false">IF(U4695="SERVICE READY",1,0)</f>
        <v>0</v>
      </c>
      <c r="W4695" s="6"/>
      <c r="X4695" s="6"/>
      <c r="Y4695" s="6"/>
      <c r="Z4695" s="6"/>
    </row>
    <row r="4696" customFormat="false" ht="15" hidden="false" customHeight="false" outlineLevel="0" collapsed="false">
      <c r="A4696" s="9" t="s">
        <v>4991</v>
      </c>
      <c r="B4696" s="9" t="s">
        <v>4892</v>
      </c>
      <c r="C4696" s="9" t="s">
        <v>4893</v>
      </c>
      <c r="D4696" s="9" t="s">
        <v>4731</v>
      </c>
      <c r="E4696" s="9" t="s">
        <v>1660</v>
      </c>
      <c r="F4696" s="9" t="s">
        <v>197</v>
      </c>
      <c r="G4696" s="9" t="s">
        <v>221</v>
      </c>
      <c r="H4696" s="9" t="n">
        <v>5400</v>
      </c>
      <c r="I4696" s="29" t="n">
        <v>2</v>
      </c>
      <c r="J4696" s="9" t="n">
        <v>0</v>
      </c>
      <c r="K4696" s="30"/>
      <c r="L4696" s="30"/>
      <c r="M4696" s="30"/>
      <c r="N4696" s="30"/>
      <c r="O4696" s="30"/>
      <c r="P4696" s="30"/>
      <c r="Q4696" s="30"/>
      <c r="R4696" s="30"/>
      <c r="S4696" s="30"/>
      <c r="T4696" s="30"/>
      <c r="U4696" s="21" t="str">
        <f aca="false">IF(COUNT(K4696:T4696)=0,"SOURCE EMPTY / INDUSTRIAL ONLY",IF(MIN(K4696:T4696)=1,"SERVICE READY","HOLD"))</f>
        <v>SOURCE EMPTY / INDUSTRIAL ONLY</v>
      </c>
      <c r="V4696" s="9" t="n">
        <f aca="false">IF(U4696="SERVICE READY",1,0)</f>
        <v>0</v>
      </c>
      <c r="W4696" s="6"/>
      <c r="X4696" s="6"/>
      <c r="Y4696" s="6"/>
      <c r="Z4696" s="6"/>
    </row>
    <row r="4697" customFormat="false" ht="15" hidden="false" customHeight="false" outlineLevel="0" collapsed="false">
      <c r="A4697" s="9" t="s">
        <v>4992</v>
      </c>
      <c r="B4697" s="9" t="s">
        <v>4892</v>
      </c>
      <c r="C4697" s="9" t="s">
        <v>4893</v>
      </c>
      <c r="D4697" s="9" t="s">
        <v>4731</v>
      </c>
      <c r="E4697" s="9" t="s">
        <v>1660</v>
      </c>
      <c r="F4697" s="9" t="s">
        <v>200</v>
      </c>
      <c r="G4697" s="9" t="s">
        <v>221</v>
      </c>
      <c r="H4697" s="9" t="n">
        <v>5400</v>
      </c>
      <c r="I4697" s="29" t="n">
        <v>2</v>
      </c>
      <c r="J4697" s="9" t="n">
        <v>0</v>
      </c>
      <c r="K4697" s="30"/>
      <c r="L4697" s="30"/>
      <c r="M4697" s="30"/>
      <c r="N4697" s="30"/>
      <c r="O4697" s="30"/>
      <c r="P4697" s="30"/>
      <c r="Q4697" s="30"/>
      <c r="R4697" s="30"/>
      <c r="S4697" s="30"/>
      <c r="T4697" s="30"/>
      <c r="U4697" s="21" t="str">
        <f aca="false">IF(COUNT(K4697:T4697)=0,"SOURCE EMPTY / INDUSTRIAL ONLY",IF(MIN(K4697:T4697)=1,"SERVICE READY","HOLD"))</f>
        <v>SOURCE EMPTY / INDUSTRIAL ONLY</v>
      </c>
      <c r="V4697" s="9" t="n">
        <f aca="false">IF(U4697="SERVICE READY",1,0)</f>
        <v>0</v>
      </c>
      <c r="W4697" s="6"/>
      <c r="X4697" s="6"/>
      <c r="Y4697" s="6"/>
      <c r="Z4697" s="6"/>
    </row>
    <row r="4698" customFormat="false" ht="15" hidden="false" customHeight="false" outlineLevel="0" collapsed="false">
      <c r="A4698" s="9" t="s">
        <v>4993</v>
      </c>
      <c r="B4698" s="9" t="s">
        <v>4892</v>
      </c>
      <c r="C4698" s="9" t="s">
        <v>4893</v>
      </c>
      <c r="D4698" s="9" t="s">
        <v>4731</v>
      </c>
      <c r="E4698" s="9" t="s">
        <v>1660</v>
      </c>
      <c r="F4698" s="9" t="s">
        <v>203</v>
      </c>
      <c r="G4698" s="9" t="s">
        <v>221</v>
      </c>
      <c r="H4698" s="9" t="n">
        <v>5400</v>
      </c>
      <c r="I4698" s="29" t="n">
        <v>2</v>
      </c>
      <c r="J4698" s="9" t="n">
        <v>0</v>
      </c>
      <c r="K4698" s="30"/>
      <c r="L4698" s="30"/>
      <c r="M4698" s="30"/>
      <c r="N4698" s="30"/>
      <c r="O4698" s="30"/>
      <c r="P4698" s="30"/>
      <c r="Q4698" s="30"/>
      <c r="R4698" s="30"/>
      <c r="S4698" s="30"/>
      <c r="T4698" s="30"/>
      <c r="U4698" s="21" t="str">
        <f aca="false">IF(COUNT(K4698:T4698)=0,"SOURCE EMPTY / INDUSTRIAL ONLY",IF(MIN(K4698:T4698)=1,"SERVICE READY","HOLD"))</f>
        <v>SOURCE EMPTY / INDUSTRIAL ONLY</v>
      </c>
      <c r="V4698" s="9" t="n">
        <f aca="false">IF(U4698="SERVICE READY",1,0)</f>
        <v>0</v>
      </c>
      <c r="W4698" s="6"/>
      <c r="X4698" s="6"/>
      <c r="Y4698" s="6"/>
      <c r="Z4698" s="6"/>
    </row>
    <row r="4699" customFormat="false" ht="15" hidden="false" customHeight="false" outlineLevel="0" collapsed="false">
      <c r="A4699" s="9" t="s">
        <v>4994</v>
      </c>
      <c r="B4699" s="9" t="s">
        <v>4892</v>
      </c>
      <c r="C4699" s="9" t="s">
        <v>4893</v>
      </c>
      <c r="D4699" s="9" t="s">
        <v>4731</v>
      </c>
      <c r="E4699" s="9" t="s">
        <v>1660</v>
      </c>
      <c r="F4699" s="9" t="s">
        <v>205</v>
      </c>
      <c r="G4699" s="9" t="s">
        <v>221</v>
      </c>
      <c r="H4699" s="9" t="n">
        <v>5400</v>
      </c>
      <c r="I4699" s="29" t="n">
        <v>2</v>
      </c>
      <c r="J4699" s="9" t="n">
        <v>0</v>
      </c>
      <c r="K4699" s="30"/>
      <c r="L4699" s="30"/>
      <c r="M4699" s="30"/>
      <c r="N4699" s="30"/>
      <c r="O4699" s="30"/>
      <c r="P4699" s="30"/>
      <c r="Q4699" s="30"/>
      <c r="R4699" s="30"/>
      <c r="S4699" s="30"/>
      <c r="T4699" s="30"/>
      <c r="U4699" s="21" t="str">
        <f aca="false">IF(COUNT(K4699:T4699)=0,"SOURCE EMPTY / INDUSTRIAL ONLY",IF(MIN(K4699:T4699)=1,"SERVICE READY","HOLD"))</f>
        <v>SOURCE EMPTY / INDUSTRIAL ONLY</v>
      </c>
      <c r="V4699" s="9" t="n">
        <f aca="false">IF(U4699="SERVICE READY",1,0)</f>
        <v>0</v>
      </c>
      <c r="W4699" s="6"/>
      <c r="X4699" s="6"/>
      <c r="Y4699" s="6"/>
      <c r="Z4699" s="6"/>
    </row>
    <row r="4700" customFormat="false" ht="15" hidden="false" customHeight="false" outlineLevel="0" collapsed="false">
      <c r="A4700" s="9" t="s">
        <v>4995</v>
      </c>
      <c r="B4700" s="9" t="s">
        <v>4892</v>
      </c>
      <c r="C4700" s="9" t="s">
        <v>4893</v>
      </c>
      <c r="D4700" s="9" t="s">
        <v>4731</v>
      </c>
      <c r="E4700" s="9" t="s">
        <v>1660</v>
      </c>
      <c r="F4700" s="9" t="s">
        <v>207</v>
      </c>
      <c r="G4700" s="9" t="s">
        <v>221</v>
      </c>
      <c r="H4700" s="9" t="n">
        <v>5400</v>
      </c>
      <c r="I4700" s="29" t="n">
        <v>2</v>
      </c>
      <c r="J4700" s="9" t="n">
        <v>0</v>
      </c>
      <c r="K4700" s="30"/>
      <c r="L4700" s="30"/>
      <c r="M4700" s="30"/>
      <c r="N4700" s="30"/>
      <c r="O4700" s="30"/>
      <c r="P4700" s="30"/>
      <c r="Q4700" s="30"/>
      <c r="R4700" s="30"/>
      <c r="S4700" s="30"/>
      <c r="T4700" s="30"/>
      <c r="U4700" s="21" t="str">
        <f aca="false">IF(COUNT(K4700:T4700)=0,"SOURCE EMPTY / INDUSTRIAL ONLY",IF(MIN(K4700:T4700)=1,"SERVICE READY","HOLD"))</f>
        <v>SOURCE EMPTY / INDUSTRIAL ONLY</v>
      </c>
      <c r="V4700" s="9" t="n">
        <f aca="false">IF(U4700="SERVICE READY",1,0)</f>
        <v>0</v>
      </c>
      <c r="W4700" s="6"/>
      <c r="X4700" s="6"/>
      <c r="Y4700" s="6"/>
      <c r="Z4700" s="6"/>
    </row>
    <row r="4701" customFormat="false" ht="15" hidden="false" customHeight="false" outlineLevel="0" collapsed="false">
      <c r="A4701" s="9" t="s">
        <v>4996</v>
      </c>
      <c r="B4701" s="9" t="s">
        <v>4892</v>
      </c>
      <c r="C4701" s="9" t="s">
        <v>4893</v>
      </c>
      <c r="D4701" s="9" t="s">
        <v>4731</v>
      </c>
      <c r="E4701" s="9" t="s">
        <v>1660</v>
      </c>
      <c r="F4701" s="9" t="s">
        <v>209</v>
      </c>
      <c r="G4701" s="9" t="s">
        <v>221</v>
      </c>
      <c r="H4701" s="9" t="n">
        <v>5400</v>
      </c>
      <c r="I4701" s="29" t="n">
        <v>2</v>
      </c>
      <c r="J4701" s="9" t="n">
        <v>0</v>
      </c>
      <c r="K4701" s="30"/>
      <c r="L4701" s="30"/>
      <c r="M4701" s="30"/>
      <c r="N4701" s="30"/>
      <c r="O4701" s="30"/>
      <c r="P4701" s="30"/>
      <c r="Q4701" s="30"/>
      <c r="R4701" s="30"/>
      <c r="S4701" s="30"/>
      <c r="T4701" s="30"/>
      <c r="U4701" s="21" t="str">
        <f aca="false">IF(COUNT(K4701:T4701)=0,"SOURCE EMPTY / INDUSTRIAL ONLY",IF(MIN(K4701:T4701)=1,"SERVICE READY","HOLD"))</f>
        <v>SOURCE EMPTY / INDUSTRIAL ONLY</v>
      </c>
      <c r="V4701" s="9" t="n">
        <f aca="false">IF(U4701="SERVICE READY",1,0)</f>
        <v>0</v>
      </c>
      <c r="W4701" s="6"/>
      <c r="X4701" s="6"/>
      <c r="Y4701" s="6"/>
      <c r="Z4701" s="6"/>
    </row>
    <row r="4702" customFormat="false" ht="15" hidden="false" customHeight="false" outlineLevel="0" collapsed="false">
      <c r="A4702" s="9" t="s">
        <v>4997</v>
      </c>
      <c r="B4702" s="9" t="s">
        <v>4892</v>
      </c>
      <c r="C4702" s="9" t="s">
        <v>4893</v>
      </c>
      <c r="D4702" s="9" t="s">
        <v>4731</v>
      </c>
      <c r="E4702" s="9" t="s">
        <v>1660</v>
      </c>
      <c r="F4702" s="9" t="s">
        <v>211</v>
      </c>
      <c r="G4702" s="9" t="s">
        <v>221</v>
      </c>
      <c r="H4702" s="9" t="n">
        <v>5400</v>
      </c>
      <c r="I4702" s="29" t="n">
        <v>2</v>
      </c>
      <c r="J4702" s="9" t="n">
        <v>0</v>
      </c>
      <c r="K4702" s="30"/>
      <c r="L4702" s="30"/>
      <c r="M4702" s="30"/>
      <c r="N4702" s="30"/>
      <c r="O4702" s="30"/>
      <c r="P4702" s="30"/>
      <c r="Q4702" s="30"/>
      <c r="R4702" s="30"/>
      <c r="S4702" s="30"/>
      <c r="T4702" s="30"/>
      <c r="U4702" s="21" t="str">
        <f aca="false">IF(COUNT(K4702:T4702)=0,"SOURCE EMPTY / INDUSTRIAL ONLY",IF(MIN(K4702:T4702)=1,"SERVICE READY","HOLD"))</f>
        <v>SOURCE EMPTY / INDUSTRIAL ONLY</v>
      </c>
      <c r="V4702" s="9" t="n">
        <f aca="false">IF(U4702="SERVICE READY",1,0)</f>
        <v>0</v>
      </c>
      <c r="W4702" s="6"/>
      <c r="X4702" s="6"/>
      <c r="Y4702" s="6"/>
      <c r="Z4702" s="6"/>
    </row>
    <row r="4703" customFormat="false" ht="15" hidden="false" customHeight="false" outlineLevel="0" collapsed="false">
      <c r="A4703" s="9" t="s">
        <v>4998</v>
      </c>
      <c r="B4703" s="9" t="s">
        <v>4892</v>
      </c>
      <c r="C4703" s="9" t="s">
        <v>4893</v>
      </c>
      <c r="D4703" s="9" t="s">
        <v>4731</v>
      </c>
      <c r="E4703" s="9" t="s">
        <v>1660</v>
      </c>
      <c r="F4703" s="9" t="s">
        <v>197</v>
      </c>
      <c r="G4703" s="9" t="s">
        <v>221</v>
      </c>
      <c r="H4703" s="9" t="n">
        <v>5400</v>
      </c>
      <c r="I4703" s="29" t="n">
        <v>2</v>
      </c>
      <c r="J4703" s="9" t="n">
        <v>0</v>
      </c>
      <c r="K4703" s="30"/>
      <c r="L4703" s="30"/>
      <c r="M4703" s="30"/>
      <c r="N4703" s="30"/>
      <c r="O4703" s="30"/>
      <c r="P4703" s="30"/>
      <c r="Q4703" s="30"/>
      <c r="R4703" s="30"/>
      <c r="S4703" s="30"/>
      <c r="T4703" s="30"/>
      <c r="U4703" s="21" t="str">
        <f aca="false">IF(COUNT(K4703:T4703)=0,"SOURCE EMPTY / INDUSTRIAL ONLY",IF(MIN(K4703:T4703)=1,"SERVICE READY","HOLD"))</f>
        <v>SOURCE EMPTY / INDUSTRIAL ONLY</v>
      </c>
      <c r="V4703" s="9" t="n">
        <f aca="false">IF(U4703="SERVICE READY",1,0)</f>
        <v>0</v>
      </c>
      <c r="W4703" s="6"/>
      <c r="X4703" s="6"/>
      <c r="Y4703" s="6"/>
      <c r="Z4703" s="6"/>
    </row>
    <row r="4704" customFormat="false" ht="15" hidden="false" customHeight="false" outlineLevel="0" collapsed="false">
      <c r="A4704" s="9" t="s">
        <v>4999</v>
      </c>
      <c r="B4704" s="9" t="s">
        <v>4892</v>
      </c>
      <c r="C4704" s="9" t="s">
        <v>4893</v>
      </c>
      <c r="D4704" s="9" t="s">
        <v>4731</v>
      </c>
      <c r="E4704" s="9" t="s">
        <v>1660</v>
      </c>
      <c r="F4704" s="9" t="s">
        <v>200</v>
      </c>
      <c r="G4704" s="9" t="s">
        <v>221</v>
      </c>
      <c r="H4704" s="9" t="n">
        <v>5400</v>
      </c>
      <c r="I4704" s="29" t="n">
        <v>2</v>
      </c>
      <c r="J4704" s="9" t="n">
        <v>0</v>
      </c>
      <c r="K4704" s="30"/>
      <c r="L4704" s="30"/>
      <c r="M4704" s="30"/>
      <c r="N4704" s="30"/>
      <c r="O4704" s="30"/>
      <c r="P4704" s="30"/>
      <c r="Q4704" s="30"/>
      <c r="R4704" s="30"/>
      <c r="S4704" s="30"/>
      <c r="T4704" s="30"/>
      <c r="U4704" s="21" t="str">
        <f aca="false">IF(COUNT(K4704:T4704)=0,"SOURCE EMPTY / INDUSTRIAL ONLY",IF(MIN(K4704:T4704)=1,"SERVICE READY","HOLD"))</f>
        <v>SOURCE EMPTY / INDUSTRIAL ONLY</v>
      </c>
      <c r="V4704" s="9" t="n">
        <f aca="false">IF(U4704="SERVICE READY",1,0)</f>
        <v>0</v>
      </c>
      <c r="W4704" s="6"/>
      <c r="X4704" s="6"/>
      <c r="Y4704" s="6"/>
      <c r="Z4704" s="6"/>
    </row>
    <row r="4705" customFormat="false" ht="15" hidden="false" customHeight="false" outlineLevel="0" collapsed="false">
      <c r="A4705" s="9" t="s">
        <v>5000</v>
      </c>
      <c r="B4705" s="9" t="s">
        <v>4892</v>
      </c>
      <c r="C4705" s="9" t="s">
        <v>4893</v>
      </c>
      <c r="D4705" s="9" t="s">
        <v>4731</v>
      </c>
      <c r="E4705" s="9" t="s">
        <v>1660</v>
      </c>
      <c r="F4705" s="9" t="s">
        <v>203</v>
      </c>
      <c r="G4705" s="9" t="s">
        <v>221</v>
      </c>
      <c r="H4705" s="9" t="n">
        <v>5400</v>
      </c>
      <c r="I4705" s="29" t="n">
        <v>2</v>
      </c>
      <c r="J4705" s="9" t="n">
        <v>0</v>
      </c>
      <c r="K4705" s="30"/>
      <c r="L4705" s="30"/>
      <c r="M4705" s="30"/>
      <c r="N4705" s="30"/>
      <c r="O4705" s="30"/>
      <c r="P4705" s="30"/>
      <c r="Q4705" s="30"/>
      <c r="R4705" s="30"/>
      <c r="S4705" s="30"/>
      <c r="T4705" s="30"/>
      <c r="U4705" s="21" t="str">
        <f aca="false">IF(COUNT(K4705:T4705)=0,"SOURCE EMPTY / INDUSTRIAL ONLY",IF(MIN(K4705:T4705)=1,"SERVICE READY","HOLD"))</f>
        <v>SOURCE EMPTY / INDUSTRIAL ONLY</v>
      </c>
      <c r="V4705" s="9" t="n">
        <f aca="false">IF(U4705="SERVICE READY",1,0)</f>
        <v>0</v>
      </c>
      <c r="W4705" s="6"/>
      <c r="X4705" s="6"/>
      <c r="Y4705" s="6"/>
      <c r="Z4705" s="6"/>
    </row>
    <row r="4706" customFormat="false" ht="15" hidden="false" customHeight="false" outlineLevel="0" collapsed="false">
      <c r="A4706" s="9" t="s">
        <v>5001</v>
      </c>
      <c r="B4706" s="9" t="s">
        <v>4892</v>
      </c>
      <c r="C4706" s="9" t="s">
        <v>4893</v>
      </c>
      <c r="D4706" s="9" t="s">
        <v>4731</v>
      </c>
      <c r="E4706" s="9" t="s">
        <v>1660</v>
      </c>
      <c r="F4706" s="9" t="s">
        <v>205</v>
      </c>
      <c r="G4706" s="9" t="s">
        <v>221</v>
      </c>
      <c r="H4706" s="9" t="n">
        <v>5400</v>
      </c>
      <c r="I4706" s="29" t="n">
        <v>2</v>
      </c>
      <c r="J4706" s="9" t="n">
        <v>0</v>
      </c>
      <c r="K4706" s="30"/>
      <c r="L4706" s="30"/>
      <c r="M4706" s="30"/>
      <c r="N4706" s="30"/>
      <c r="O4706" s="30"/>
      <c r="P4706" s="30"/>
      <c r="Q4706" s="30"/>
      <c r="R4706" s="30"/>
      <c r="S4706" s="30"/>
      <c r="T4706" s="30"/>
      <c r="U4706" s="21" t="str">
        <f aca="false">IF(COUNT(K4706:T4706)=0,"SOURCE EMPTY / INDUSTRIAL ONLY",IF(MIN(K4706:T4706)=1,"SERVICE READY","HOLD"))</f>
        <v>SOURCE EMPTY / INDUSTRIAL ONLY</v>
      </c>
      <c r="V4706" s="9" t="n">
        <f aca="false">IF(U4706="SERVICE READY",1,0)</f>
        <v>0</v>
      </c>
      <c r="W4706" s="6"/>
      <c r="X4706" s="6"/>
      <c r="Y4706" s="6"/>
      <c r="Z4706" s="6"/>
    </row>
    <row r="4707" customFormat="false" ht="15" hidden="false" customHeight="false" outlineLevel="0" collapsed="false">
      <c r="A4707" s="9" t="s">
        <v>5002</v>
      </c>
      <c r="B4707" s="9" t="s">
        <v>4892</v>
      </c>
      <c r="C4707" s="9" t="s">
        <v>4893</v>
      </c>
      <c r="D4707" s="9" t="s">
        <v>4731</v>
      </c>
      <c r="E4707" s="9" t="s">
        <v>1660</v>
      </c>
      <c r="F4707" s="9" t="s">
        <v>207</v>
      </c>
      <c r="G4707" s="9" t="s">
        <v>221</v>
      </c>
      <c r="H4707" s="9" t="n">
        <v>5400</v>
      </c>
      <c r="I4707" s="29" t="n">
        <v>2</v>
      </c>
      <c r="J4707" s="9" t="n">
        <v>0</v>
      </c>
      <c r="K4707" s="30"/>
      <c r="L4707" s="30"/>
      <c r="M4707" s="30"/>
      <c r="N4707" s="30"/>
      <c r="O4707" s="30"/>
      <c r="P4707" s="30"/>
      <c r="Q4707" s="30"/>
      <c r="R4707" s="30"/>
      <c r="S4707" s="30"/>
      <c r="T4707" s="30"/>
      <c r="U4707" s="21" t="str">
        <f aca="false">IF(COUNT(K4707:T4707)=0,"SOURCE EMPTY / INDUSTRIAL ONLY",IF(MIN(K4707:T4707)=1,"SERVICE READY","HOLD"))</f>
        <v>SOURCE EMPTY / INDUSTRIAL ONLY</v>
      </c>
      <c r="V4707" s="9" t="n">
        <f aca="false">IF(U4707="SERVICE READY",1,0)</f>
        <v>0</v>
      </c>
      <c r="W4707" s="6"/>
      <c r="X4707" s="6"/>
      <c r="Y4707" s="6"/>
      <c r="Z4707" s="6"/>
    </row>
    <row r="4708" customFormat="false" ht="15" hidden="false" customHeight="false" outlineLevel="0" collapsed="false">
      <c r="A4708" s="9" t="s">
        <v>5003</v>
      </c>
      <c r="B4708" s="9" t="s">
        <v>4892</v>
      </c>
      <c r="C4708" s="9" t="s">
        <v>4893</v>
      </c>
      <c r="D4708" s="9" t="s">
        <v>4731</v>
      </c>
      <c r="E4708" s="9" t="s">
        <v>1660</v>
      </c>
      <c r="F4708" s="9" t="s">
        <v>209</v>
      </c>
      <c r="G4708" s="9" t="s">
        <v>221</v>
      </c>
      <c r="H4708" s="9" t="n">
        <v>5400</v>
      </c>
      <c r="I4708" s="29" t="n">
        <v>2</v>
      </c>
      <c r="J4708" s="9" t="n">
        <v>0</v>
      </c>
      <c r="K4708" s="30"/>
      <c r="L4708" s="30"/>
      <c r="M4708" s="30"/>
      <c r="N4708" s="30"/>
      <c r="O4708" s="30"/>
      <c r="P4708" s="30"/>
      <c r="Q4708" s="30"/>
      <c r="R4708" s="30"/>
      <c r="S4708" s="30"/>
      <c r="T4708" s="30"/>
      <c r="U4708" s="21" t="str">
        <f aca="false">IF(COUNT(K4708:T4708)=0,"SOURCE EMPTY / INDUSTRIAL ONLY",IF(MIN(K4708:T4708)=1,"SERVICE READY","HOLD"))</f>
        <v>SOURCE EMPTY / INDUSTRIAL ONLY</v>
      </c>
      <c r="V4708" s="9" t="n">
        <f aca="false">IF(U4708="SERVICE READY",1,0)</f>
        <v>0</v>
      </c>
      <c r="W4708" s="6"/>
      <c r="X4708" s="6"/>
      <c r="Y4708" s="6"/>
      <c r="Z4708" s="6"/>
    </row>
    <row r="4709" customFormat="false" ht="15" hidden="false" customHeight="false" outlineLevel="0" collapsed="false">
      <c r="A4709" s="9" t="s">
        <v>5004</v>
      </c>
      <c r="B4709" s="9" t="s">
        <v>4892</v>
      </c>
      <c r="C4709" s="9" t="s">
        <v>4893</v>
      </c>
      <c r="D4709" s="9" t="s">
        <v>4731</v>
      </c>
      <c r="E4709" s="9" t="s">
        <v>1660</v>
      </c>
      <c r="F4709" s="9" t="s">
        <v>211</v>
      </c>
      <c r="G4709" s="9" t="s">
        <v>221</v>
      </c>
      <c r="H4709" s="9" t="n">
        <v>5400</v>
      </c>
      <c r="I4709" s="29" t="n">
        <v>2</v>
      </c>
      <c r="J4709" s="9" t="n">
        <v>0</v>
      </c>
      <c r="K4709" s="30"/>
      <c r="L4709" s="30"/>
      <c r="M4709" s="30"/>
      <c r="N4709" s="30"/>
      <c r="O4709" s="30"/>
      <c r="P4709" s="30"/>
      <c r="Q4709" s="30"/>
      <c r="R4709" s="30"/>
      <c r="S4709" s="30"/>
      <c r="T4709" s="30"/>
      <c r="U4709" s="21" t="str">
        <f aca="false">IF(COUNT(K4709:T4709)=0,"SOURCE EMPTY / INDUSTRIAL ONLY",IF(MIN(K4709:T4709)=1,"SERVICE READY","HOLD"))</f>
        <v>SOURCE EMPTY / INDUSTRIAL ONLY</v>
      </c>
      <c r="V4709" s="9" t="n">
        <f aca="false">IF(U4709="SERVICE READY",1,0)</f>
        <v>0</v>
      </c>
      <c r="W4709" s="6"/>
      <c r="X4709" s="6"/>
      <c r="Y4709" s="6"/>
      <c r="Z4709" s="6"/>
    </row>
    <row r="4710" customFormat="false" ht="15" hidden="false" customHeight="false" outlineLevel="0" collapsed="false">
      <c r="A4710" s="9" t="s">
        <v>5005</v>
      </c>
      <c r="B4710" s="9" t="s">
        <v>4892</v>
      </c>
      <c r="C4710" s="9" t="s">
        <v>4893</v>
      </c>
      <c r="D4710" s="9" t="s">
        <v>4731</v>
      </c>
      <c r="E4710" s="9" t="s">
        <v>1660</v>
      </c>
      <c r="F4710" s="9" t="s">
        <v>197</v>
      </c>
      <c r="G4710" s="9" t="s">
        <v>221</v>
      </c>
      <c r="H4710" s="9" t="n">
        <v>5400</v>
      </c>
      <c r="I4710" s="29" t="n">
        <v>2</v>
      </c>
      <c r="J4710" s="9" t="n">
        <v>0</v>
      </c>
      <c r="K4710" s="30"/>
      <c r="L4710" s="30"/>
      <c r="M4710" s="30"/>
      <c r="N4710" s="30"/>
      <c r="O4710" s="30"/>
      <c r="P4710" s="30"/>
      <c r="Q4710" s="30"/>
      <c r="R4710" s="30"/>
      <c r="S4710" s="30"/>
      <c r="T4710" s="30"/>
      <c r="U4710" s="21" t="str">
        <f aca="false">IF(COUNT(K4710:T4710)=0,"SOURCE EMPTY / INDUSTRIAL ONLY",IF(MIN(K4710:T4710)=1,"SERVICE READY","HOLD"))</f>
        <v>SOURCE EMPTY / INDUSTRIAL ONLY</v>
      </c>
      <c r="V4710" s="9" t="n">
        <f aca="false">IF(U4710="SERVICE READY",1,0)</f>
        <v>0</v>
      </c>
      <c r="W4710" s="6"/>
      <c r="X4710" s="6"/>
      <c r="Y4710" s="6"/>
      <c r="Z4710" s="6"/>
    </row>
    <row r="4711" customFormat="false" ht="15" hidden="false" customHeight="false" outlineLevel="0" collapsed="false">
      <c r="A4711" s="9" t="s">
        <v>5006</v>
      </c>
      <c r="B4711" s="9" t="s">
        <v>4892</v>
      </c>
      <c r="C4711" s="9" t="s">
        <v>4893</v>
      </c>
      <c r="D4711" s="9" t="s">
        <v>4731</v>
      </c>
      <c r="E4711" s="9" t="s">
        <v>1660</v>
      </c>
      <c r="F4711" s="9" t="s">
        <v>200</v>
      </c>
      <c r="G4711" s="9" t="s">
        <v>221</v>
      </c>
      <c r="H4711" s="9" t="n">
        <v>5400</v>
      </c>
      <c r="I4711" s="29" t="n">
        <v>2</v>
      </c>
      <c r="J4711" s="9" t="n">
        <v>0</v>
      </c>
      <c r="K4711" s="30"/>
      <c r="L4711" s="30"/>
      <c r="M4711" s="30"/>
      <c r="N4711" s="30"/>
      <c r="O4711" s="30"/>
      <c r="P4711" s="30"/>
      <c r="Q4711" s="30"/>
      <c r="R4711" s="30"/>
      <c r="S4711" s="30"/>
      <c r="T4711" s="30"/>
      <c r="U4711" s="21" t="str">
        <f aca="false">IF(COUNT(K4711:T4711)=0,"SOURCE EMPTY / INDUSTRIAL ONLY",IF(MIN(K4711:T4711)=1,"SERVICE READY","HOLD"))</f>
        <v>SOURCE EMPTY / INDUSTRIAL ONLY</v>
      </c>
      <c r="V4711" s="9" t="n">
        <f aca="false">IF(U4711="SERVICE READY",1,0)</f>
        <v>0</v>
      </c>
      <c r="W4711" s="6"/>
      <c r="X4711" s="6"/>
      <c r="Y4711" s="6"/>
      <c r="Z4711" s="6"/>
    </row>
    <row r="4712" customFormat="false" ht="15" hidden="false" customHeight="false" outlineLevel="0" collapsed="false">
      <c r="A4712" s="9" t="s">
        <v>5007</v>
      </c>
      <c r="B4712" s="9" t="s">
        <v>4892</v>
      </c>
      <c r="C4712" s="9" t="s">
        <v>4893</v>
      </c>
      <c r="D4712" s="9" t="s">
        <v>4731</v>
      </c>
      <c r="E4712" s="9" t="s">
        <v>1660</v>
      </c>
      <c r="F4712" s="9" t="s">
        <v>203</v>
      </c>
      <c r="G4712" s="9" t="s">
        <v>221</v>
      </c>
      <c r="H4712" s="9" t="n">
        <v>5400</v>
      </c>
      <c r="I4712" s="29" t="n">
        <v>2</v>
      </c>
      <c r="J4712" s="9" t="n">
        <v>0</v>
      </c>
      <c r="K4712" s="30"/>
      <c r="L4712" s="30"/>
      <c r="M4712" s="30"/>
      <c r="N4712" s="30"/>
      <c r="O4712" s="30"/>
      <c r="P4712" s="30"/>
      <c r="Q4712" s="30"/>
      <c r="R4712" s="30"/>
      <c r="S4712" s="30"/>
      <c r="T4712" s="30"/>
      <c r="U4712" s="21" t="str">
        <f aca="false">IF(COUNT(K4712:T4712)=0,"SOURCE EMPTY / INDUSTRIAL ONLY",IF(MIN(K4712:T4712)=1,"SERVICE READY","HOLD"))</f>
        <v>SOURCE EMPTY / INDUSTRIAL ONLY</v>
      </c>
      <c r="V4712" s="9" t="n">
        <f aca="false">IF(U4712="SERVICE READY",1,0)</f>
        <v>0</v>
      </c>
      <c r="W4712" s="6"/>
      <c r="X4712" s="6"/>
      <c r="Y4712" s="6"/>
      <c r="Z4712" s="6"/>
    </row>
    <row r="4713" customFormat="false" ht="15" hidden="false" customHeight="false" outlineLevel="0" collapsed="false">
      <c r="A4713" s="9" t="s">
        <v>5008</v>
      </c>
      <c r="B4713" s="9" t="s">
        <v>4892</v>
      </c>
      <c r="C4713" s="9" t="s">
        <v>4893</v>
      </c>
      <c r="D4713" s="9" t="s">
        <v>4731</v>
      </c>
      <c r="E4713" s="9" t="s">
        <v>1660</v>
      </c>
      <c r="F4713" s="9" t="s">
        <v>205</v>
      </c>
      <c r="G4713" s="9" t="s">
        <v>221</v>
      </c>
      <c r="H4713" s="9" t="n">
        <v>5400</v>
      </c>
      <c r="I4713" s="29" t="n">
        <v>2</v>
      </c>
      <c r="J4713" s="9" t="n">
        <v>0</v>
      </c>
      <c r="K4713" s="30"/>
      <c r="L4713" s="30"/>
      <c r="M4713" s="30"/>
      <c r="N4713" s="30"/>
      <c r="O4713" s="30"/>
      <c r="P4713" s="30"/>
      <c r="Q4713" s="30"/>
      <c r="R4713" s="30"/>
      <c r="S4713" s="30"/>
      <c r="T4713" s="30"/>
      <c r="U4713" s="21" t="str">
        <f aca="false">IF(COUNT(K4713:T4713)=0,"SOURCE EMPTY / INDUSTRIAL ONLY",IF(MIN(K4713:T4713)=1,"SERVICE READY","HOLD"))</f>
        <v>SOURCE EMPTY / INDUSTRIAL ONLY</v>
      </c>
      <c r="V4713" s="9" t="n">
        <f aca="false">IF(U4713="SERVICE READY",1,0)</f>
        <v>0</v>
      </c>
      <c r="W4713" s="6"/>
      <c r="X4713" s="6"/>
      <c r="Y4713" s="6"/>
      <c r="Z4713" s="6"/>
    </row>
    <row r="4714" customFormat="false" ht="15" hidden="false" customHeight="false" outlineLevel="0" collapsed="false">
      <c r="A4714" s="9" t="s">
        <v>5009</v>
      </c>
      <c r="B4714" s="9" t="s">
        <v>4892</v>
      </c>
      <c r="C4714" s="9" t="s">
        <v>4893</v>
      </c>
      <c r="D4714" s="9" t="s">
        <v>4731</v>
      </c>
      <c r="E4714" s="9" t="s">
        <v>1660</v>
      </c>
      <c r="F4714" s="9" t="s">
        <v>207</v>
      </c>
      <c r="G4714" s="9" t="s">
        <v>221</v>
      </c>
      <c r="H4714" s="9" t="n">
        <v>5400</v>
      </c>
      <c r="I4714" s="29" t="n">
        <v>2</v>
      </c>
      <c r="J4714" s="9" t="n">
        <v>0</v>
      </c>
      <c r="K4714" s="30"/>
      <c r="L4714" s="30"/>
      <c r="M4714" s="30"/>
      <c r="N4714" s="30"/>
      <c r="O4714" s="30"/>
      <c r="P4714" s="30"/>
      <c r="Q4714" s="30"/>
      <c r="R4714" s="30"/>
      <c r="S4714" s="30"/>
      <c r="T4714" s="30"/>
      <c r="U4714" s="21" t="str">
        <f aca="false">IF(COUNT(K4714:T4714)=0,"SOURCE EMPTY / INDUSTRIAL ONLY",IF(MIN(K4714:T4714)=1,"SERVICE READY","HOLD"))</f>
        <v>SOURCE EMPTY / INDUSTRIAL ONLY</v>
      </c>
      <c r="V4714" s="9" t="n">
        <f aca="false">IF(U4714="SERVICE READY",1,0)</f>
        <v>0</v>
      </c>
      <c r="W4714" s="6"/>
      <c r="X4714" s="6"/>
      <c r="Y4714" s="6"/>
      <c r="Z4714" s="6"/>
    </row>
    <row r="4715" customFormat="false" ht="15" hidden="false" customHeight="false" outlineLevel="0" collapsed="false">
      <c r="A4715" s="9" t="s">
        <v>5010</v>
      </c>
      <c r="B4715" s="9" t="s">
        <v>4892</v>
      </c>
      <c r="C4715" s="9" t="s">
        <v>4893</v>
      </c>
      <c r="D4715" s="9" t="s">
        <v>4731</v>
      </c>
      <c r="E4715" s="9" t="s">
        <v>1660</v>
      </c>
      <c r="F4715" s="9" t="s">
        <v>209</v>
      </c>
      <c r="G4715" s="9" t="s">
        <v>221</v>
      </c>
      <c r="H4715" s="9" t="n">
        <v>5400</v>
      </c>
      <c r="I4715" s="29" t="n">
        <v>2</v>
      </c>
      <c r="J4715" s="9" t="n">
        <v>0</v>
      </c>
      <c r="K4715" s="30"/>
      <c r="L4715" s="30"/>
      <c r="M4715" s="30"/>
      <c r="N4715" s="30"/>
      <c r="O4715" s="30"/>
      <c r="P4715" s="30"/>
      <c r="Q4715" s="30"/>
      <c r="R4715" s="30"/>
      <c r="S4715" s="30"/>
      <c r="T4715" s="30"/>
      <c r="U4715" s="21" t="str">
        <f aca="false">IF(COUNT(K4715:T4715)=0,"SOURCE EMPTY / INDUSTRIAL ONLY",IF(MIN(K4715:T4715)=1,"SERVICE READY","HOLD"))</f>
        <v>SOURCE EMPTY / INDUSTRIAL ONLY</v>
      </c>
      <c r="V4715" s="9" t="n">
        <f aca="false">IF(U4715="SERVICE READY",1,0)</f>
        <v>0</v>
      </c>
      <c r="W4715" s="6"/>
      <c r="X4715" s="6"/>
      <c r="Y4715" s="6"/>
      <c r="Z4715" s="6"/>
    </row>
    <row r="4716" customFormat="false" ht="15" hidden="false" customHeight="false" outlineLevel="0" collapsed="false">
      <c r="A4716" s="9" t="s">
        <v>5011</v>
      </c>
      <c r="B4716" s="9" t="s">
        <v>4892</v>
      </c>
      <c r="C4716" s="9" t="s">
        <v>4893</v>
      </c>
      <c r="D4716" s="9" t="s">
        <v>4731</v>
      </c>
      <c r="E4716" s="9" t="s">
        <v>1660</v>
      </c>
      <c r="F4716" s="9" t="s">
        <v>211</v>
      </c>
      <c r="G4716" s="9" t="s">
        <v>221</v>
      </c>
      <c r="H4716" s="9" t="n">
        <v>5400</v>
      </c>
      <c r="I4716" s="29" t="n">
        <v>2</v>
      </c>
      <c r="J4716" s="9" t="n">
        <v>0</v>
      </c>
      <c r="K4716" s="30"/>
      <c r="L4716" s="30"/>
      <c r="M4716" s="30"/>
      <c r="N4716" s="30"/>
      <c r="O4716" s="30"/>
      <c r="P4716" s="30"/>
      <c r="Q4716" s="30"/>
      <c r="R4716" s="30"/>
      <c r="S4716" s="30"/>
      <c r="T4716" s="30"/>
      <c r="U4716" s="21" t="str">
        <f aca="false">IF(COUNT(K4716:T4716)=0,"SOURCE EMPTY / INDUSTRIAL ONLY",IF(MIN(K4716:T4716)=1,"SERVICE READY","HOLD"))</f>
        <v>SOURCE EMPTY / INDUSTRIAL ONLY</v>
      </c>
      <c r="V4716" s="9" t="n">
        <f aca="false">IF(U4716="SERVICE READY",1,0)</f>
        <v>0</v>
      </c>
      <c r="W4716" s="6"/>
      <c r="X4716" s="6"/>
      <c r="Y4716" s="6"/>
      <c r="Z4716" s="6"/>
    </row>
    <row r="4717" customFormat="false" ht="15" hidden="false" customHeight="false" outlineLevel="0" collapsed="false">
      <c r="A4717" s="9" t="s">
        <v>5012</v>
      </c>
      <c r="B4717" s="9" t="s">
        <v>4892</v>
      </c>
      <c r="C4717" s="9" t="s">
        <v>4893</v>
      </c>
      <c r="D4717" s="9" t="s">
        <v>4731</v>
      </c>
      <c r="E4717" s="9" t="s">
        <v>1660</v>
      </c>
      <c r="F4717" s="9" t="s">
        <v>197</v>
      </c>
      <c r="G4717" s="9" t="s">
        <v>221</v>
      </c>
      <c r="H4717" s="9" t="n">
        <v>5400</v>
      </c>
      <c r="I4717" s="29" t="n">
        <v>2</v>
      </c>
      <c r="J4717" s="9" t="n">
        <v>0</v>
      </c>
      <c r="K4717" s="30"/>
      <c r="L4717" s="30"/>
      <c r="M4717" s="30"/>
      <c r="N4717" s="30"/>
      <c r="O4717" s="30"/>
      <c r="P4717" s="30"/>
      <c r="Q4717" s="30"/>
      <c r="R4717" s="30"/>
      <c r="S4717" s="30"/>
      <c r="T4717" s="30"/>
      <c r="U4717" s="21" t="str">
        <f aca="false">IF(COUNT(K4717:T4717)=0,"SOURCE EMPTY / INDUSTRIAL ONLY",IF(MIN(K4717:T4717)=1,"SERVICE READY","HOLD"))</f>
        <v>SOURCE EMPTY / INDUSTRIAL ONLY</v>
      </c>
      <c r="V4717" s="9" t="n">
        <f aca="false">IF(U4717="SERVICE READY",1,0)</f>
        <v>0</v>
      </c>
      <c r="W4717" s="6"/>
      <c r="X4717" s="6"/>
      <c r="Y4717" s="6"/>
      <c r="Z4717" s="6"/>
    </row>
    <row r="4718" customFormat="false" ht="15" hidden="false" customHeight="false" outlineLevel="0" collapsed="false">
      <c r="A4718" s="9" t="s">
        <v>5013</v>
      </c>
      <c r="B4718" s="9" t="s">
        <v>4892</v>
      </c>
      <c r="C4718" s="9" t="s">
        <v>4893</v>
      </c>
      <c r="D4718" s="9" t="s">
        <v>4731</v>
      </c>
      <c r="E4718" s="9" t="s">
        <v>1660</v>
      </c>
      <c r="F4718" s="9" t="s">
        <v>200</v>
      </c>
      <c r="G4718" s="9" t="s">
        <v>221</v>
      </c>
      <c r="H4718" s="9" t="n">
        <v>5400</v>
      </c>
      <c r="I4718" s="29" t="n">
        <v>2</v>
      </c>
      <c r="J4718" s="9" t="n">
        <v>0</v>
      </c>
      <c r="K4718" s="30"/>
      <c r="L4718" s="30"/>
      <c r="M4718" s="30"/>
      <c r="N4718" s="30"/>
      <c r="O4718" s="30"/>
      <c r="P4718" s="30"/>
      <c r="Q4718" s="30"/>
      <c r="R4718" s="30"/>
      <c r="S4718" s="30"/>
      <c r="T4718" s="30"/>
      <c r="U4718" s="21" t="str">
        <f aca="false">IF(COUNT(K4718:T4718)=0,"SOURCE EMPTY / INDUSTRIAL ONLY",IF(MIN(K4718:T4718)=1,"SERVICE READY","HOLD"))</f>
        <v>SOURCE EMPTY / INDUSTRIAL ONLY</v>
      </c>
      <c r="V4718" s="9" t="n">
        <f aca="false">IF(U4718="SERVICE READY",1,0)</f>
        <v>0</v>
      </c>
      <c r="W4718" s="6"/>
      <c r="X4718" s="6"/>
      <c r="Y4718" s="6"/>
      <c r="Z4718" s="6"/>
    </row>
    <row r="4719" customFormat="false" ht="15" hidden="false" customHeight="false" outlineLevel="0" collapsed="false">
      <c r="A4719" s="9" t="s">
        <v>5014</v>
      </c>
      <c r="B4719" s="9" t="s">
        <v>4892</v>
      </c>
      <c r="C4719" s="9" t="s">
        <v>4893</v>
      </c>
      <c r="D4719" s="9" t="s">
        <v>4731</v>
      </c>
      <c r="E4719" s="9" t="s">
        <v>1660</v>
      </c>
      <c r="F4719" s="9" t="s">
        <v>203</v>
      </c>
      <c r="G4719" s="9" t="s">
        <v>221</v>
      </c>
      <c r="H4719" s="9" t="n">
        <v>5400</v>
      </c>
      <c r="I4719" s="29" t="n">
        <v>2</v>
      </c>
      <c r="J4719" s="9" t="n">
        <v>0</v>
      </c>
      <c r="K4719" s="30"/>
      <c r="L4719" s="30"/>
      <c r="M4719" s="30"/>
      <c r="N4719" s="30"/>
      <c r="O4719" s="30"/>
      <c r="P4719" s="30"/>
      <c r="Q4719" s="30"/>
      <c r="R4719" s="30"/>
      <c r="S4719" s="30"/>
      <c r="T4719" s="30"/>
      <c r="U4719" s="21" t="str">
        <f aca="false">IF(COUNT(K4719:T4719)=0,"SOURCE EMPTY / INDUSTRIAL ONLY",IF(MIN(K4719:T4719)=1,"SERVICE READY","HOLD"))</f>
        <v>SOURCE EMPTY / INDUSTRIAL ONLY</v>
      </c>
      <c r="V4719" s="9" t="n">
        <f aca="false">IF(U4719="SERVICE READY",1,0)</f>
        <v>0</v>
      </c>
      <c r="W4719" s="6"/>
      <c r="X4719" s="6"/>
      <c r="Y4719" s="6"/>
      <c r="Z4719" s="6"/>
    </row>
    <row r="4720" customFormat="false" ht="15" hidden="false" customHeight="false" outlineLevel="0" collapsed="false">
      <c r="A4720" s="9" t="s">
        <v>5015</v>
      </c>
      <c r="B4720" s="9" t="s">
        <v>4892</v>
      </c>
      <c r="C4720" s="9" t="s">
        <v>4893</v>
      </c>
      <c r="D4720" s="9" t="s">
        <v>4731</v>
      </c>
      <c r="E4720" s="9" t="s">
        <v>1660</v>
      </c>
      <c r="F4720" s="9" t="s">
        <v>205</v>
      </c>
      <c r="G4720" s="9" t="s">
        <v>221</v>
      </c>
      <c r="H4720" s="9" t="n">
        <v>5400</v>
      </c>
      <c r="I4720" s="29" t="n">
        <v>2</v>
      </c>
      <c r="J4720" s="9" t="n">
        <v>0</v>
      </c>
      <c r="K4720" s="30"/>
      <c r="L4720" s="30"/>
      <c r="M4720" s="30"/>
      <c r="N4720" s="30"/>
      <c r="O4720" s="30"/>
      <c r="P4720" s="30"/>
      <c r="Q4720" s="30"/>
      <c r="R4720" s="30"/>
      <c r="S4720" s="30"/>
      <c r="T4720" s="30"/>
      <c r="U4720" s="21" t="str">
        <f aca="false">IF(COUNT(K4720:T4720)=0,"SOURCE EMPTY / INDUSTRIAL ONLY",IF(MIN(K4720:T4720)=1,"SERVICE READY","HOLD"))</f>
        <v>SOURCE EMPTY / INDUSTRIAL ONLY</v>
      </c>
      <c r="V4720" s="9" t="n">
        <f aca="false">IF(U4720="SERVICE READY",1,0)</f>
        <v>0</v>
      </c>
      <c r="W4720" s="6"/>
      <c r="X4720" s="6"/>
      <c r="Y4720" s="6"/>
      <c r="Z4720" s="6"/>
    </row>
    <row r="4721" customFormat="false" ht="15" hidden="false" customHeight="false" outlineLevel="0" collapsed="false">
      <c r="A4721" s="9" t="s">
        <v>5016</v>
      </c>
      <c r="B4721" s="9" t="s">
        <v>4892</v>
      </c>
      <c r="C4721" s="9" t="s">
        <v>4893</v>
      </c>
      <c r="D4721" s="9" t="s">
        <v>4731</v>
      </c>
      <c r="E4721" s="9" t="s">
        <v>1660</v>
      </c>
      <c r="F4721" s="9" t="s">
        <v>207</v>
      </c>
      <c r="G4721" s="9" t="s">
        <v>221</v>
      </c>
      <c r="H4721" s="9" t="n">
        <v>5400</v>
      </c>
      <c r="I4721" s="29" t="n">
        <v>2</v>
      </c>
      <c r="J4721" s="9" t="n">
        <v>0</v>
      </c>
      <c r="K4721" s="30"/>
      <c r="L4721" s="30"/>
      <c r="M4721" s="30"/>
      <c r="N4721" s="30"/>
      <c r="O4721" s="30"/>
      <c r="P4721" s="30"/>
      <c r="Q4721" s="30"/>
      <c r="R4721" s="30"/>
      <c r="S4721" s="30"/>
      <c r="T4721" s="30"/>
      <c r="U4721" s="21" t="str">
        <f aca="false">IF(COUNT(K4721:T4721)=0,"SOURCE EMPTY / INDUSTRIAL ONLY",IF(MIN(K4721:T4721)=1,"SERVICE READY","HOLD"))</f>
        <v>SOURCE EMPTY / INDUSTRIAL ONLY</v>
      </c>
      <c r="V4721" s="9" t="n">
        <f aca="false">IF(U4721="SERVICE READY",1,0)</f>
        <v>0</v>
      </c>
      <c r="W4721" s="6"/>
      <c r="X4721" s="6"/>
      <c r="Y4721" s="6"/>
      <c r="Z4721" s="6"/>
    </row>
    <row r="4722" customFormat="false" ht="15" hidden="false" customHeight="false" outlineLevel="0" collapsed="false">
      <c r="A4722" s="9" t="s">
        <v>5017</v>
      </c>
      <c r="B4722" s="9" t="s">
        <v>4892</v>
      </c>
      <c r="C4722" s="9" t="s">
        <v>4893</v>
      </c>
      <c r="D4722" s="9" t="s">
        <v>4731</v>
      </c>
      <c r="E4722" s="9" t="s">
        <v>1660</v>
      </c>
      <c r="F4722" s="9" t="s">
        <v>209</v>
      </c>
      <c r="G4722" s="9" t="s">
        <v>221</v>
      </c>
      <c r="H4722" s="9" t="n">
        <v>5400</v>
      </c>
      <c r="I4722" s="29" t="n">
        <v>2</v>
      </c>
      <c r="J4722" s="9" t="n">
        <v>0</v>
      </c>
      <c r="K4722" s="30"/>
      <c r="L4722" s="30"/>
      <c r="M4722" s="30"/>
      <c r="N4722" s="30"/>
      <c r="O4722" s="30"/>
      <c r="P4722" s="30"/>
      <c r="Q4722" s="30"/>
      <c r="R4722" s="30"/>
      <c r="S4722" s="30"/>
      <c r="T4722" s="30"/>
      <c r="U4722" s="21" t="str">
        <f aca="false">IF(COUNT(K4722:T4722)=0,"SOURCE EMPTY / INDUSTRIAL ONLY",IF(MIN(K4722:T4722)=1,"SERVICE READY","HOLD"))</f>
        <v>SOURCE EMPTY / INDUSTRIAL ONLY</v>
      </c>
      <c r="V4722" s="9" t="n">
        <f aca="false">IF(U4722="SERVICE READY",1,0)</f>
        <v>0</v>
      </c>
      <c r="W4722" s="6"/>
      <c r="X4722" s="6"/>
      <c r="Y4722" s="6"/>
      <c r="Z4722" s="6"/>
    </row>
    <row r="4723" customFormat="false" ht="15" hidden="false" customHeight="false" outlineLevel="0" collapsed="false">
      <c r="A4723" s="9" t="s">
        <v>5018</v>
      </c>
      <c r="B4723" s="9" t="s">
        <v>5019</v>
      </c>
      <c r="C4723" s="9" t="s">
        <v>5020</v>
      </c>
      <c r="D4723" s="9" t="s">
        <v>4731</v>
      </c>
      <c r="E4723" s="9" t="s">
        <v>1660</v>
      </c>
      <c r="F4723" s="9" t="s">
        <v>197</v>
      </c>
      <c r="G4723" s="9" t="s">
        <v>198</v>
      </c>
      <c r="H4723" s="9" t="n">
        <v>1950</v>
      </c>
      <c r="I4723" s="29" t="n">
        <v>1.5</v>
      </c>
      <c r="J4723" s="9" t="n">
        <v>1</v>
      </c>
      <c r="K4723" s="30"/>
      <c r="L4723" s="30"/>
      <c r="M4723" s="30"/>
      <c r="N4723" s="30"/>
      <c r="O4723" s="30"/>
      <c r="P4723" s="30"/>
      <c r="Q4723" s="30"/>
      <c r="R4723" s="30"/>
      <c r="S4723" s="30"/>
      <c r="T4723" s="30"/>
      <c r="U4723" s="21" t="str">
        <f aca="false">IF(COUNT(K4723:T4723)=0,"SOURCE EMPTY / INDUSTRIAL ONLY",IF(MIN(K4723:T4723)=1,"SERVICE READY","HOLD"))</f>
        <v>SOURCE EMPTY / INDUSTRIAL ONLY</v>
      </c>
      <c r="V4723" s="9" t="n">
        <f aca="false">IF(U4723="SERVICE READY",1,0)</f>
        <v>0</v>
      </c>
      <c r="W4723" s="6"/>
      <c r="X4723" s="6"/>
      <c r="Y4723" s="6"/>
      <c r="Z4723" s="6"/>
    </row>
    <row r="4724" customFormat="false" ht="15" hidden="false" customHeight="false" outlineLevel="0" collapsed="false">
      <c r="A4724" s="9" t="s">
        <v>5021</v>
      </c>
      <c r="B4724" s="9" t="s">
        <v>5019</v>
      </c>
      <c r="C4724" s="9" t="s">
        <v>5020</v>
      </c>
      <c r="D4724" s="9" t="s">
        <v>4731</v>
      </c>
      <c r="E4724" s="9" t="s">
        <v>1660</v>
      </c>
      <c r="F4724" s="9" t="s">
        <v>200</v>
      </c>
      <c r="G4724" s="9" t="s">
        <v>201</v>
      </c>
      <c r="H4724" s="9" t="n">
        <v>1950</v>
      </c>
      <c r="I4724" s="29" t="n">
        <v>1.5</v>
      </c>
      <c r="J4724" s="9" t="n">
        <v>1</v>
      </c>
      <c r="K4724" s="30"/>
      <c r="L4724" s="30"/>
      <c r="M4724" s="30"/>
      <c r="N4724" s="30"/>
      <c r="O4724" s="30"/>
      <c r="P4724" s="30"/>
      <c r="Q4724" s="30"/>
      <c r="R4724" s="30"/>
      <c r="S4724" s="30"/>
      <c r="T4724" s="30"/>
      <c r="U4724" s="21" t="str">
        <f aca="false">IF(COUNT(K4724:T4724)=0,"SOURCE EMPTY / INDUSTRIAL ONLY",IF(MIN(K4724:T4724)=1,"SERVICE READY","HOLD"))</f>
        <v>SOURCE EMPTY / INDUSTRIAL ONLY</v>
      </c>
      <c r="V4724" s="9" t="n">
        <f aca="false">IF(U4724="SERVICE READY",1,0)</f>
        <v>0</v>
      </c>
      <c r="W4724" s="6"/>
      <c r="X4724" s="6"/>
      <c r="Y4724" s="6"/>
      <c r="Z4724" s="6"/>
    </row>
    <row r="4725" customFormat="false" ht="15" hidden="false" customHeight="false" outlineLevel="0" collapsed="false">
      <c r="A4725" s="9" t="s">
        <v>5022</v>
      </c>
      <c r="B4725" s="9" t="s">
        <v>5019</v>
      </c>
      <c r="C4725" s="9" t="s">
        <v>5020</v>
      </c>
      <c r="D4725" s="9" t="s">
        <v>4731</v>
      </c>
      <c r="E4725" s="9" t="s">
        <v>1660</v>
      </c>
      <c r="F4725" s="9" t="s">
        <v>203</v>
      </c>
      <c r="G4725" s="9" t="s">
        <v>198</v>
      </c>
      <c r="H4725" s="9" t="n">
        <v>1950</v>
      </c>
      <c r="I4725" s="29" t="n">
        <v>1.5</v>
      </c>
      <c r="J4725" s="9" t="n">
        <v>1</v>
      </c>
      <c r="K4725" s="30"/>
      <c r="L4725" s="30"/>
      <c r="M4725" s="30"/>
      <c r="N4725" s="30"/>
      <c r="O4725" s="30"/>
      <c r="P4725" s="30"/>
      <c r="Q4725" s="30"/>
      <c r="R4725" s="30"/>
      <c r="S4725" s="30"/>
      <c r="T4725" s="30"/>
      <c r="U4725" s="21" t="str">
        <f aca="false">IF(COUNT(K4725:T4725)=0,"SOURCE EMPTY / INDUSTRIAL ONLY",IF(MIN(K4725:T4725)=1,"SERVICE READY","HOLD"))</f>
        <v>SOURCE EMPTY / INDUSTRIAL ONLY</v>
      </c>
      <c r="V4725" s="9" t="n">
        <f aca="false">IF(U4725="SERVICE READY",1,0)</f>
        <v>0</v>
      </c>
      <c r="W4725" s="6"/>
      <c r="X4725" s="6"/>
      <c r="Y4725" s="6"/>
      <c r="Z4725" s="6"/>
    </row>
    <row r="4726" customFormat="false" ht="15" hidden="false" customHeight="false" outlineLevel="0" collapsed="false">
      <c r="A4726" s="9" t="s">
        <v>5023</v>
      </c>
      <c r="B4726" s="9" t="s">
        <v>5019</v>
      </c>
      <c r="C4726" s="9" t="s">
        <v>5020</v>
      </c>
      <c r="D4726" s="9" t="s">
        <v>4731</v>
      </c>
      <c r="E4726" s="9" t="s">
        <v>1660</v>
      </c>
      <c r="F4726" s="9" t="s">
        <v>205</v>
      </c>
      <c r="G4726" s="9" t="s">
        <v>201</v>
      </c>
      <c r="H4726" s="9" t="n">
        <v>1950</v>
      </c>
      <c r="I4726" s="29" t="n">
        <v>1.5</v>
      </c>
      <c r="J4726" s="9" t="n">
        <v>1</v>
      </c>
      <c r="K4726" s="30"/>
      <c r="L4726" s="30"/>
      <c r="M4726" s="30"/>
      <c r="N4726" s="30"/>
      <c r="O4726" s="30"/>
      <c r="P4726" s="30"/>
      <c r="Q4726" s="30"/>
      <c r="R4726" s="30"/>
      <c r="S4726" s="30"/>
      <c r="T4726" s="30"/>
      <c r="U4726" s="21" t="str">
        <f aca="false">IF(COUNT(K4726:T4726)=0,"SOURCE EMPTY / INDUSTRIAL ONLY",IF(MIN(K4726:T4726)=1,"SERVICE READY","HOLD"))</f>
        <v>SOURCE EMPTY / INDUSTRIAL ONLY</v>
      </c>
      <c r="V4726" s="9" t="n">
        <f aca="false">IF(U4726="SERVICE READY",1,0)</f>
        <v>0</v>
      </c>
      <c r="W4726" s="6"/>
      <c r="X4726" s="6"/>
      <c r="Y4726" s="6"/>
      <c r="Z4726" s="6"/>
    </row>
    <row r="4727" customFormat="false" ht="15" hidden="false" customHeight="false" outlineLevel="0" collapsed="false">
      <c r="A4727" s="9" t="s">
        <v>5024</v>
      </c>
      <c r="B4727" s="9" t="s">
        <v>5019</v>
      </c>
      <c r="C4727" s="9" t="s">
        <v>5020</v>
      </c>
      <c r="D4727" s="9" t="s">
        <v>4731</v>
      </c>
      <c r="E4727" s="9" t="s">
        <v>1660</v>
      </c>
      <c r="F4727" s="9" t="s">
        <v>207</v>
      </c>
      <c r="G4727" s="9" t="s">
        <v>198</v>
      </c>
      <c r="H4727" s="9" t="n">
        <v>1950</v>
      </c>
      <c r="I4727" s="29" t="n">
        <v>1.5</v>
      </c>
      <c r="J4727" s="9" t="n">
        <v>1</v>
      </c>
      <c r="K4727" s="30"/>
      <c r="L4727" s="30"/>
      <c r="M4727" s="30"/>
      <c r="N4727" s="30"/>
      <c r="O4727" s="30"/>
      <c r="P4727" s="30"/>
      <c r="Q4727" s="30"/>
      <c r="R4727" s="30"/>
      <c r="S4727" s="30"/>
      <c r="T4727" s="30"/>
      <c r="U4727" s="21" t="str">
        <f aca="false">IF(COUNT(K4727:T4727)=0,"SOURCE EMPTY / INDUSTRIAL ONLY",IF(MIN(K4727:T4727)=1,"SERVICE READY","HOLD"))</f>
        <v>SOURCE EMPTY / INDUSTRIAL ONLY</v>
      </c>
      <c r="V4727" s="9" t="n">
        <f aca="false">IF(U4727="SERVICE READY",1,0)</f>
        <v>0</v>
      </c>
      <c r="W4727" s="6"/>
      <c r="X4727" s="6"/>
      <c r="Y4727" s="6"/>
      <c r="Z4727" s="6"/>
    </row>
    <row r="4728" customFormat="false" ht="15" hidden="false" customHeight="false" outlineLevel="0" collapsed="false">
      <c r="A4728" s="9" t="s">
        <v>5025</v>
      </c>
      <c r="B4728" s="9" t="s">
        <v>5019</v>
      </c>
      <c r="C4728" s="9" t="s">
        <v>5020</v>
      </c>
      <c r="D4728" s="9" t="s">
        <v>4731</v>
      </c>
      <c r="E4728" s="9" t="s">
        <v>1660</v>
      </c>
      <c r="F4728" s="9" t="s">
        <v>209</v>
      </c>
      <c r="G4728" s="9" t="s">
        <v>201</v>
      </c>
      <c r="H4728" s="9" t="n">
        <v>1950</v>
      </c>
      <c r="I4728" s="29" t="n">
        <v>1.5</v>
      </c>
      <c r="J4728" s="9" t="n">
        <v>1</v>
      </c>
      <c r="K4728" s="30"/>
      <c r="L4728" s="30"/>
      <c r="M4728" s="30"/>
      <c r="N4728" s="30"/>
      <c r="O4728" s="30"/>
      <c r="P4728" s="30"/>
      <c r="Q4728" s="30"/>
      <c r="R4728" s="30"/>
      <c r="S4728" s="30"/>
      <c r="T4728" s="30"/>
      <c r="U4728" s="21" t="str">
        <f aca="false">IF(COUNT(K4728:T4728)=0,"SOURCE EMPTY / INDUSTRIAL ONLY",IF(MIN(K4728:T4728)=1,"SERVICE READY","HOLD"))</f>
        <v>SOURCE EMPTY / INDUSTRIAL ONLY</v>
      </c>
      <c r="V4728" s="9" t="n">
        <f aca="false">IF(U4728="SERVICE READY",1,0)</f>
        <v>0</v>
      </c>
      <c r="W4728" s="6"/>
      <c r="X4728" s="6"/>
      <c r="Y4728" s="6"/>
      <c r="Z4728" s="6"/>
    </row>
    <row r="4729" customFormat="false" ht="15" hidden="false" customHeight="false" outlineLevel="0" collapsed="false">
      <c r="A4729" s="9" t="s">
        <v>5026</v>
      </c>
      <c r="B4729" s="9" t="s">
        <v>5019</v>
      </c>
      <c r="C4729" s="9" t="s">
        <v>5020</v>
      </c>
      <c r="D4729" s="9" t="s">
        <v>4731</v>
      </c>
      <c r="E4729" s="9" t="s">
        <v>1660</v>
      </c>
      <c r="F4729" s="9" t="s">
        <v>211</v>
      </c>
      <c r="G4729" s="9" t="s">
        <v>198</v>
      </c>
      <c r="H4729" s="9" t="n">
        <v>1950</v>
      </c>
      <c r="I4729" s="29" t="n">
        <v>1.5</v>
      </c>
      <c r="J4729" s="9" t="n">
        <v>1</v>
      </c>
      <c r="K4729" s="30"/>
      <c r="L4729" s="30"/>
      <c r="M4729" s="30"/>
      <c r="N4729" s="30"/>
      <c r="O4729" s="30"/>
      <c r="P4729" s="30"/>
      <c r="Q4729" s="30"/>
      <c r="R4729" s="30"/>
      <c r="S4729" s="30"/>
      <c r="T4729" s="30"/>
      <c r="U4729" s="21" t="str">
        <f aca="false">IF(COUNT(K4729:T4729)=0,"SOURCE EMPTY / INDUSTRIAL ONLY",IF(MIN(K4729:T4729)=1,"SERVICE READY","HOLD"))</f>
        <v>SOURCE EMPTY / INDUSTRIAL ONLY</v>
      </c>
      <c r="V4729" s="9" t="n">
        <f aca="false">IF(U4729="SERVICE READY",1,0)</f>
        <v>0</v>
      </c>
      <c r="W4729" s="6"/>
      <c r="X4729" s="6"/>
      <c r="Y4729" s="6"/>
      <c r="Z4729" s="6"/>
    </row>
    <row r="4730" customFormat="false" ht="15" hidden="false" customHeight="false" outlineLevel="0" collapsed="false">
      <c r="A4730" s="9" t="s">
        <v>5027</v>
      </c>
      <c r="B4730" s="9" t="s">
        <v>5019</v>
      </c>
      <c r="C4730" s="9" t="s">
        <v>5020</v>
      </c>
      <c r="D4730" s="9" t="s">
        <v>4731</v>
      </c>
      <c r="E4730" s="9" t="s">
        <v>1660</v>
      </c>
      <c r="F4730" s="9" t="s">
        <v>197</v>
      </c>
      <c r="G4730" s="9" t="s">
        <v>201</v>
      </c>
      <c r="H4730" s="9" t="n">
        <v>1950</v>
      </c>
      <c r="I4730" s="29" t="n">
        <v>1.5</v>
      </c>
      <c r="J4730" s="9" t="n">
        <v>1</v>
      </c>
      <c r="K4730" s="30"/>
      <c r="L4730" s="30"/>
      <c r="M4730" s="30"/>
      <c r="N4730" s="30"/>
      <c r="O4730" s="30"/>
      <c r="P4730" s="30"/>
      <c r="Q4730" s="30"/>
      <c r="R4730" s="30"/>
      <c r="S4730" s="30"/>
      <c r="T4730" s="30"/>
      <c r="U4730" s="21" t="str">
        <f aca="false">IF(COUNT(K4730:T4730)=0,"SOURCE EMPTY / INDUSTRIAL ONLY",IF(MIN(K4730:T4730)=1,"SERVICE READY","HOLD"))</f>
        <v>SOURCE EMPTY / INDUSTRIAL ONLY</v>
      </c>
      <c r="V4730" s="9" t="n">
        <f aca="false">IF(U4730="SERVICE READY",1,0)</f>
        <v>0</v>
      </c>
      <c r="W4730" s="6"/>
      <c r="X4730" s="6"/>
      <c r="Y4730" s="6"/>
      <c r="Z4730" s="6"/>
    </row>
    <row r="4731" customFormat="false" ht="15" hidden="false" customHeight="false" outlineLevel="0" collapsed="false">
      <c r="A4731" s="9" t="s">
        <v>5028</v>
      </c>
      <c r="B4731" s="9" t="s">
        <v>5019</v>
      </c>
      <c r="C4731" s="9" t="s">
        <v>5020</v>
      </c>
      <c r="D4731" s="9" t="s">
        <v>4731</v>
      </c>
      <c r="E4731" s="9" t="s">
        <v>1660</v>
      </c>
      <c r="F4731" s="9" t="s">
        <v>200</v>
      </c>
      <c r="G4731" s="9" t="s">
        <v>198</v>
      </c>
      <c r="H4731" s="9" t="n">
        <v>1950</v>
      </c>
      <c r="I4731" s="29" t="n">
        <v>1.5</v>
      </c>
      <c r="J4731" s="9" t="n">
        <v>1</v>
      </c>
      <c r="K4731" s="30"/>
      <c r="L4731" s="30"/>
      <c r="M4731" s="30"/>
      <c r="N4731" s="30"/>
      <c r="O4731" s="30"/>
      <c r="P4731" s="30"/>
      <c r="Q4731" s="30"/>
      <c r="R4731" s="30"/>
      <c r="S4731" s="30"/>
      <c r="T4731" s="30"/>
      <c r="U4731" s="21" t="str">
        <f aca="false">IF(COUNT(K4731:T4731)=0,"SOURCE EMPTY / INDUSTRIAL ONLY",IF(MIN(K4731:T4731)=1,"SERVICE READY","HOLD"))</f>
        <v>SOURCE EMPTY / INDUSTRIAL ONLY</v>
      </c>
      <c r="V4731" s="9" t="n">
        <f aca="false">IF(U4731="SERVICE READY",1,0)</f>
        <v>0</v>
      </c>
      <c r="W4731" s="6"/>
      <c r="X4731" s="6"/>
      <c r="Y4731" s="6"/>
      <c r="Z4731" s="6"/>
    </row>
    <row r="4732" customFormat="false" ht="15" hidden="false" customHeight="false" outlineLevel="0" collapsed="false">
      <c r="A4732" s="9" t="s">
        <v>5029</v>
      </c>
      <c r="B4732" s="9" t="s">
        <v>5019</v>
      </c>
      <c r="C4732" s="9" t="s">
        <v>5020</v>
      </c>
      <c r="D4732" s="9" t="s">
        <v>4731</v>
      </c>
      <c r="E4732" s="9" t="s">
        <v>1660</v>
      </c>
      <c r="F4732" s="9" t="s">
        <v>203</v>
      </c>
      <c r="G4732" s="9" t="s">
        <v>201</v>
      </c>
      <c r="H4732" s="9" t="n">
        <v>1950</v>
      </c>
      <c r="I4732" s="29" t="n">
        <v>1.5</v>
      </c>
      <c r="J4732" s="9" t="n">
        <v>1</v>
      </c>
      <c r="K4732" s="30"/>
      <c r="L4732" s="30"/>
      <c r="M4732" s="30"/>
      <c r="N4732" s="30"/>
      <c r="O4732" s="30"/>
      <c r="P4732" s="30"/>
      <c r="Q4732" s="30"/>
      <c r="R4732" s="30"/>
      <c r="S4732" s="30"/>
      <c r="T4732" s="30"/>
      <c r="U4732" s="21" t="str">
        <f aca="false">IF(COUNT(K4732:T4732)=0,"SOURCE EMPTY / INDUSTRIAL ONLY",IF(MIN(K4732:T4732)=1,"SERVICE READY","HOLD"))</f>
        <v>SOURCE EMPTY / INDUSTRIAL ONLY</v>
      </c>
      <c r="V4732" s="9" t="n">
        <f aca="false">IF(U4732="SERVICE READY",1,0)</f>
        <v>0</v>
      </c>
      <c r="W4732" s="6"/>
      <c r="X4732" s="6"/>
      <c r="Y4732" s="6"/>
      <c r="Z4732" s="6"/>
    </row>
    <row r="4733" customFormat="false" ht="15" hidden="false" customHeight="false" outlineLevel="0" collapsed="false">
      <c r="A4733" s="9" t="s">
        <v>5030</v>
      </c>
      <c r="B4733" s="9" t="s">
        <v>5019</v>
      </c>
      <c r="C4733" s="9" t="s">
        <v>5020</v>
      </c>
      <c r="D4733" s="9" t="s">
        <v>4731</v>
      </c>
      <c r="E4733" s="9" t="s">
        <v>1660</v>
      </c>
      <c r="F4733" s="9" t="s">
        <v>205</v>
      </c>
      <c r="G4733" s="9" t="s">
        <v>198</v>
      </c>
      <c r="H4733" s="9" t="n">
        <v>1950</v>
      </c>
      <c r="I4733" s="29" t="n">
        <v>1.5</v>
      </c>
      <c r="J4733" s="9" t="n">
        <v>1</v>
      </c>
      <c r="K4733" s="30"/>
      <c r="L4733" s="30"/>
      <c r="M4733" s="30"/>
      <c r="N4733" s="30"/>
      <c r="O4733" s="30"/>
      <c r="P4733" s="30"/>
      <c r="Q4733" s="30"/>
      <c r="R4733" s="30"/>
      <c r="S4733" s="30"/>
      <c r="T4733" s="30"/>
      <c r="U4733" s="21" t="str">
        <f aca="false">IF(COUNT(K4733:T4733)=0,"SOURCE EMPTY / INDUSTRIAL ONLY",IF(MIN(K4733:T4733)=1,"SERVICE READY","HOLD"))</f>
        <v>SOURCE EMPTY / INDUSTRIAL ONLY</v>
      </c>
      <c r="V4733" s="9" t="n">
        <f aca="false">IF(U4733="SERVICE READY",1,0)</f>
        <v>0</v>
      </c>
      <c r="W4733" s="6"/>
      <c r="X4733" s="6"/>
      <c r="Y4733" s="6"/>
      <c r="Z4733" s="6"/>
    </row>
    <row r="4734" customFormat="false" ht="15" hidden="false" customHeight="false" outlineLevel="0" collapsed="false">
      <c r="A4734" s="9" t="s">
        <v>5031</v>
      </c>
      <c r="B4734" s="9" t="s">
        <v>5019</v>
      </c>
      <c r="C4734" s="9" t="s">
        <v>5020</v>
      </c>
      <c r="D4734" s="9" t="s">
        <v>4731</v>
      </c>
      <c r="E4734" s="9" t="s">
        <v>1660</v>
      </c>
      <c r="F4734" s="9" t="s">
        <v>207</v>
      </c>
      <c r="G4734" s="9" t="s">
        <v>201</v>
      </c>
      <c r="H4734" s="9" t="n">
        <v>1950</v>
      </c>
      <c r="I4734" s="29" t="n">
        <v>1.5</v>
      </c>
      <c r="J4734" s="9" t="n">
        <v>1</v>
      </c>
      <c r="K4734" s="30"/>
      <c r="L4734" s="30"/>
      <c r="M4734" s="30"/>
      <c r="N4734" s="30"/>
      <c r="O4734" s="30"/>
      <c r="P4734" s="30"/>
      <c r="Q4734" s="30"/>
      <c r="R4734" s="30"/>
      <c r="S4734" s="30"/>
      <c r="T4734" s="30"/>
      <c r="U4734" s="21" t="str">
        <f aca="false">IF(COUNT(K4734:T4734)=0,"SOURCE EMPTY / INDUSTRIAL ONLY",IF(MIN(K4734:T4734)=1,"SERVICE READY","HOLD"))</f>
        <v>SOURCE EMPTY / INDUSTRIAL ONLY</v>
      </c>
      <c r="V4734" s="9" t="n">
        <f aca="false">IF(U4734="SERVICE READY",1,0)</f>
        <v>0</v>
      </c>
      <c r="W4734" s="6"/>
      <c r="X4734" s="6"/>
      <c r="Y4734" s="6"/>
      <c r="Z4734" s="6"/>
    </row>
    <row r="4735" customFormat="false" ht="15" hidden="false" customHeight="false" outlineLevel="0" collapsed="false">
      <c r="A4735" s="9" t="s">
        <v>5032</v>
      </c>
      <c r="B4735" s="9" t="s">
        <v>5019</v>
      </c>
      <c r="C4735" s="9" t="s">
        <v>5020</v>
      </c>
      <c r="D4735" s="9" t="s">
        <v>4731</v>
      </c>
      <c r="E4735" s="9" t="s">
        <v>1660</v>
      </c>
      <c r="F4735" s="9" t="s">
        <v>209</v>
      </c>
      <c r="G4735" s="9" t="s">
        <v>198</v>
      </c>
      <c r="H4735" s="9" t="n">
        <v>1950</v>
      </c>
      <c r="I4735" s="29" t="n">
        <v>1.5</v>
      </c>
      <c r="J4735" s="9" t="n">
        <v>1</v>
      </c>
      <c r="K4735" s="30"/>
      <c r="L4735" s="30"/>
      <c r="M4735" s="30"/>
      <c r="N4735" s="30"/>
      <c r="O4735" s="30"/>
      <c r="P4735" s="30"/>
      <c r="Q4735" s="30"/>
      <c r="R4735" s="30"/>
      <c r="S4735" s="30"/>
      <c r="T4735" s="30"/>
      <c r="U4735" s="21" t="str">
        <f aca="false">IF(COUNT(K4735:T4735)=0,"SOURCE EMPTY / INDUSTRIAL ONLY",IF(MIN(K4735:T4735)=1,"SERVICE READY","HOLD"))</f>
        <v>SOURCE EMPTY / INDUSTRIAL ONLY</v>
      </c>
      <c r="V4735" s="9" t="n">
        <f aca="false">IF(U4735="SERVICE READY",1,0)</f>
        <v>0</v>
      </c>
      <c r="W4735" s="6"/>
      <c r="X4735" s="6"/>
      <c r="Y4735" s="6"/>
      <c r="Z4735" s="6"/>
    </row>
    <row r="4736" customFormat="false" ht="15" hidden="false" customHeight="false" outlineLevel="0" collapsed="false">
      <c r="A4736" s="9" t="s">
        <v>5033</v>
      </c>
      <c r="B4736" s="9" t="s">
        <v>5019</v>
      </c>
      <c r="C4736" s="9" t="s">
        <v>5020</v>
      </c>
      <c r="D4736" s="9" t="s">
        <v>4731</v>
      </c>
      <c r="E4736" s="9" t="s">
        <v>1660</v>
      </c>
      <c r="F4736" s="9" t="s">
        <v>211</v>
      </c>
      <c r="G4736" s="9" t="s">
        <v>201</v>
      </c>
      <c r="H4736" s="9" t="n">
        <v>1950</v>
      </c>
      <c r="I4736" s="29" t="n">
        <v>1.5</v>
      </c>
      <c r="J4736" s="9" t="n">
        <v>1</v>
      </c>
      <c r="K4736" s="30"/>
      <c r="L4736" s="30"/>
      <c r="M4736" s="30"/>
      <c r="N4736" s="30"/>
      <c r="O4736" s="30"/>
      <c r="P4736" s="30"/>
      <c r="Q4736" s="30"/>
      <c r="R4736" s="30"/>
      <c r="S4736" s="30"/>
      <c r="T4736" s="30"/>
      <c r="U4736" s="21" t="str">
        <f aca="false">IF(COUNT(K4736:T4736)=0,"SOURCE EMPTY / INDUSTRIAL ONLY",IF(MIN(K4736:T4736)=1,"SERVICE READY","HOLD"))</f>
        <v>SOURCE EMPTY / INDUSTRIAL ONLY</v>
      </c>
      <c r="V4736" s="9" t="n">
        <f aca="false">IF(U4736="SERVICE READY",1,0)</f>
        <v>0</v>
      </c>
      <c r="W4736" s="6"/>
      <c r="X4736" s="6"/>
      <c r="Y4736" s="6"/>
      <c r="Z4736" s="6"/>
    </row>
    <row r="4737" customFormat="false" ht="15" hidden="false" customHeight="false" outlineLevel="0" collapsed="false">
      <c r="A4737" s="9" t="s">
        <v>5034</v>
      </c>
      <c r="B4737" s="9" t="s">
        <v>5019</v>
      </c>
      <c r="C4737" s="9" t="s">
        <v>5020</v>
      </c>
      <c r="D4737" s="9" t="s">
        <v>4731</v>
      </c>
      <c r="E4737" s="9" t="s">
        <v>1660</v>
      </c>
      <c r="F4737" s="9" t="s">
        <v>197</v>
      </c>
      <c r="G4737" s="9" t="s">
        <v>198</v>
      </c>
      <c r="H4737" s="9" t="n">
        <v>1950</v>
      </c>
      <c r="I4737" s="29" t="n">
        <v>1.5</v>
      </c>
      <c r="J4737" s="9" t="n">
        <v>1</v>
      </c>
      <c r="K4737" s="30"/>
      <c r="L4737" s="30"/>
      <c r="M4737" s="30"/>
      <c r="N4737" s="30"/>
      <c r="O4737" s="30"/>
      <c r="P4737" s="30"/>
      <c r="Q4737" s="30"/>
      <c r="R4737" s="30"/>
      <c r="S4737" s="30"/>
      <c r="T4737" s="30"/>
      <c r="U4737" s="21" t="str">
        <f aca="false">IF(COUNT(K4737:T4737)=0,"SOURCE EMPTY / INDUSTRIAL ONLY",IF(MIN(K4737:T4737)=1,"SERVICE READY","HOLD"))</f>
        <v>SOURCE EMPTY / INDUSTRIAL ONLY</v>
      </c>
      <c r="V4737" s="9" t="n">
        <f aca="false">IF(U4737="SERVICE READY",1,0)</f>
        <v>0</v>
      </c>
      <c r="W4737" s="6"/>
      <c r="X4737" s="6"/>
      <c r="Y4737" s="6"/>
      <c r="Z4737" s="6"/>
    </row>
    <row r="4738" customFormat="false" ht="15" hidden="false" customHeight="false" outlineLevel="0" collapsed="false">
      <c r="A4738" s="9" t="s">
        <v>5035</v>
      </c>
      <c r="B4738" s="9" t="s">
        <v>5019</v>
      </c>
      <c r="C4738" s="9" t="s">
        <v>5020</v>
      </c>
      <c r="D4738" s="9" t="s">
        <v>4731</v>
      </c>
      <c r="E4738" s="9" t="s">
        <v>1660</v>
      </c>
      <c r="F4738" s="9" t="s">
        <v>200</v>
      </c>
      <c r="G4738" s="9" t="s">
        <v>201</v>
      </c>
      <c r="H4738" s="9" t="n">
        <v>1950</v>
      </c>
      <c r="I4738" s="29" t="n">
        <v>1.5</v>
      </c>
      <c r="J4738" s="9" t="n">
        <v>1</v>
      </c>
      <c r="K4738" s="30"/>
      <c r="L4738" s="30"/>
      <c r="M4738" s="30"/>
      <c r="N4738" s="30"/>
      <c r="O4738" s="30"/>
      <c r="P4738" s="30"/>
      <c r="Q4738" s="30"/>
      <c r="R4738" s="30"/>
      <c r="S4738" s="30"/>
      <c r="T4738" s="30"/>
      <c r="U4738" s="21" t="str">
        <f aca="false">IF(COUNT(K4738:T4738)=0,"SOURCE EMPTY / INDUSTRIAL ONLY",IF(MIN(K4738:T4738)=1,"SERVICE READY","HOLD"))</f>
        <v>SOURCE EMPTY / INDUSTRIAL ONLY</v>
      </c>
      <c r="V4738" s="9" t="n">
        <f aca="false">IF(U4738="SERVICE READY",1,0)</f>
        <v>0</v>
      </c>
      <c r="W4738" s="6"/>
      <c r="X4738" s="6"/>
      <c r="Y4738" s="6"/>
      <c r="Z4738" s="6"/>
    </row>
    <row r="4739" customFormat="false" ht="15" hidden="false" customHeight="false" outlineLevel="0" collapsed="false">
      <c r="A4739" s="9" t="s">
        <v>5036</v>
      </c>
      <c r="B4739" s="9" t="s">
        <v>5019</v>
      </c>
      <c r="C4739" s="9" t="s">
        <v>5020</v>
      </c>
      <c r="D4739" s="9" t="s">
        <v>4731</v>
      </c>
      <c r="E4739" s="9" t="s">
        <v>1660</v>
      </c>
      <c r="F4739" s="9" t="s">
        <v>203</v>
      </c>
      <c r="G4739" s="9" t="s">
        <v>198</v>
      </c>
      <c r="H4739" s="9" t="n">
        <v>1950</v>
      </c>
      <c r="I4739" s="29" t="n">
        <v>1.5</v>
      </c>
      <c r="J4739" s="9" t="n">
        <v>1</v>
      </c>
      <c r="K4739" s="30"/>
      <c r="L4739" s="30"/>
      <c r="M4739" s="30"/>
      <c r="N4739" s="30"/>
      <c r="O4739" s="30"/>
      <c r="P4739" s="30"/>
      <c r="Q4739" s="30"/>
      <c r="R4739" s="30"/>
      <c r="S4739" s="30"/>
      <c r="T4739" s="30"/>
      <c r="U4739" s="21" t="str">
        <f aca="false">IF(COUNT(K4739:T4739)=0,"SOURCE EMPTY / INDUSTRIAL ONLY",IF(MIN(K4739:T4739)=1,"SERVICE READY","HOLD"))</f>
        <v>SOURCE EMPTY / INDUSTRIAL ONLY</v>
      </c>
      <c r="V4739" s="9" t="n">
        <f aca="false">IF(U4739="SERVICE READY",1,0)</f>
        <v>0</v>
      </c>
      <c r="W4739" s="6"/>
      <c r="X4739" s="6"/>
      <c r="Y4739" s="6"/>
      <c r="Z4739" s="6"/>
    </row>
    <row r="4740" customFormat="false" ht="15" hidden="false" customHeight="false" outlineLevel="0" collapsed="false">
      <c r="A4740" s="9" t="s">
        <v>5037</v>
      </c>
      <c r="B4740" s="9" t="s">
        <v>5019</v>
      </c>
      <c r="C4740" s="9" t="s">
        <v>5020</v>
      </c>
      <c r="D4740" s="9" t="s">
        <v>4731</v>
      </c>
      <c r="E4740" s="9" t="s">
        <v>1660</v>
      </c>
      <c r="F4740" s="9" t="s">
        <v>205</v>
      </c>
      <c r="G4740" s="9" t="s">
        <v>201</v>
      </c>
      <c r="H4740" s="9" t="n">
        <v>1950</v>
      </c>
      <c r="I4740" s="29" t="n">
        <v>1.5</v>
      </c>
      <c r="J4740" s="9" t="n">
        <v>1</v>
      </c>
      <c r="K4740" s="30"/>
      <c r="L4740" s="30"/>
      <c r="M4740" s="30"/>
      <c r="N4740" s="30"/>
      <c r="O4740" s="30"/>
      <c r="P4740" s="30"/>
      <c r="Q4740" s="30"/>
      <c r="R4740" s="30"/>
      <c r="S4740" s="30"/>
      <c r="T4740" s="30"/>
      <c r="U4740" s="21" t="str">
        <f aca="false">IF(COUNT(K4740:T4740)=0,"SOURCE EMPTY / INDUSTRIAL ONLY",IF(MIN(K4740:T4740)=1,"SERVICE READY","HOLD"))</f>
        <v>SOURCE EMPTY / INDUSTRIAL ONLY</v>
      </c>
      <c r="V4740" s="9" t="n">
        <f aca="false">IF(U4740="SERVICE READY",1,0)</f>
        <v>0</v>
      </c>
      <c r="W4740" s="6"/>
      <c r="X4740" s="6"/>
      <c r="Y4740" s="6"/>
      <c r="Z4740" s="6"/>
    </row>
    <row r="4741" customFormat="false" ht="15" hidden="false" customHeight="false" outlineLevel="0" collapsed="false">
      <c r="A4741" s="9" t="s">
        <v>5038</v>
      </c>
      <c r="B4741" s="9" t="s">
        <v>5019</v>
      </c>
      <c r="C4741" s="9" t="s">
        <v>5020</v>
      </c>
      <c r="D4741" s="9" t="s">
        <v>4731</v>
      </c>
      <c r="E4741" s="9" t="s">
        <v>1660</v>
      </c>
      <c r="F4741" s="9" t="s">
        <v>207</v>
      </c>
      <c r="G4741" s="9" t="s">
        <v>198</v>
      </c>
      <c r="H4741" s="9" t="n">
        <v>1950</v>
      </c>
      <c r="I4741" s="29" t="n">
        <v>1.5</v>
      </c>
      <c r="J4741" s="9" t="n">
        <v>1</v>
      </c>
      <c r="K4741" s="30"/>
      <c r="L4741" s="30"/>
      <c r="M4741" s="30"/>
      <c r="N4741" s="30"/>
      <c r="O4741" s="30"/>
      <c r="P4741" s="30"/>
      <c r="Q4741" s="30"/>
      <c r="R4741" s="30"/>
      <c r="S4741" s="30"/>
      <c r="T4741" s="30"/>
      <c r="U4741" s="21" t="str">
        <f aca="false">IF(COUNT(K4741:T4741)=0,"SOURCE EMPTY / INDUSTRIAL ONLY",IF(MIN(K4741:T4741)=1,"SERVICE READY","HOLD"))</f>
        <v>SOURCE EMPTY / INDUSTRIAL ONLY</v>
      </c>
      <c r="V4741" s="9" t="n">
        <f aca="false">IF(U4741="SERVICE READY",1,0)</f>
        <v>0</v>
      </c>
      <c r="W4741" s="6"/>
      <c r="X4741" s="6"/>
      <c r="Y4741" s="6"/>
      <c r="Z4741" s="6"/>
    </row>
    <row r="4742" customFormat="false" ht="15" hidden="false" customHeight="false" outlineLevel="0" collapsed="false">
      <c r="A4742" s="9" t="s">
        <v>5039</v>
      </c>
      <c r="B4742" s="9" t="s">
        <v>5019</v>
      </c>
      <c r="C4742" s="9" t="s">
        <v>5020</v>
      </c>
      <c r="D4742" s="9" t="s">
        <v>4731</v>
      </c>
      <c r="E4742" s="9" t="s">
        <v>1660</v>
      </c>
      <c r="F4742" s="9" t="s">
        <v>209</v>
      </c>
      <c r="G4742" s="9" t="s">
        <v>201</v>
      </c>
      <c r="H4742" s="9" t="n">
        <v>1950</v>
      </c>
      <c r="I4742" s="29" t="n">
        <v>1.5</v>
      </c>
      <c r="J4742" s="9" t="n">
        <v>1</v>
      </c>
      <c r="K4742" s="30"/>
      <c r="L4742" s="30"/>
      <c r="M4742" s="30"/>
      <c r="N4742" s="30"/>
      <c r="O4742" s="30"/>
      <c r="P4742" s="30"/>
      <c r="Q4742" s="30"/>
      <c r="R4742" s="30"/>
      <c r="S4742" s="30"/>
      <c r="T4742" s="30"/>
      <c r="U4742" s="21" t="str">
        <f aca="false">IF(COUNT(K4742:T4742)=0,"SOURCE EMPTY / INDUSTRIAL ONLY",IF(MIN(K4742:T4742)=1,"SERVICE READY","HOLD"))</f>
        <v>SOURCE EMPTY / INDUSTRIAL ONLY</v>
      </c>
      <c r="V4742" s="9" t="n">
        <f aca="false">IF(U4742="SERVICE READY",1,0)</f>
        <v>0</v>
      </c>
      <c r="W4742" s="6"/>
      <c r="X4742" s="6"/>
      <c r="Y4742" s="6"/>
      <c r="Z4742" s="6"/>
    </row>
    <row r="4743" customFormat="false" ht="15" hidden="false" customHeight="false" outlineLevel="0" collapsed="false">
      <c r="A4743" s="9" t="s">
        <v>5040</v>
      </c>
      <c r="B4743" s="9" t="s">
        <v>5019</v>
      </c>
      <c r="C4743" s="9" t="s">
        <v>5020</v>
      </c>
      <c r="D4743" s="9" t="s">
        <v>4731</v>
      </c>
      <c r="E4743" s="9" t="s">
        <v>1660</v>
      </c>
      <c r="F4743" s="9" t="s">
        <v>211</v>
      </c>
      <c r="G4743" s="9" t="s">
        <v>198</v>
      </c>
      <c r="H4743" s="9" t="n">
        <v>1950</v>
      </c>
      <c r="I4743" s="29" t="n">
        <v>1.5</v>
      </c>
      <c r="J4743" s="9" t="n">
        <v>1</v>
      </c>
      <c r="K4743" s="30"/>
      <c r="L4743" s="30"/>
      <c r="M4743" s="30"/>
      <c r="N4743" s="30"/>
      <c r="O4743" s="30"/>
      <c r="P4743" s="30"/>
      <c r="Q4743" s="30"/>
      <c r="R4743" s="30"/>
      <c r="S4743" s="30"/>
      <c r="T4743" s="30"/>
      <c r="U4743" s="21" t="str">
        <f aca="false">IF(COUNT(K4743:T4743)=0,"SOURCE EMPTY / INDUSTRIAL ONLY",IF(MIN(K4743:T4743)=1,"SERVICE READY","HOLD"))</f>
        <v>SOURCE EMPTY / INDUSTRIAL ONLY</v>
      </c>
      <c r="V4743" s="9" t="n">
        <f aca="false">IF(U4743="SERVICE READY",1,0)</f>
        <v>0</v>
      </c>
      <c r="W4743" s="6"/>
      <c r="X4743" s="6"/>
      <c r="Y4743" s="6"/>
      <c r="Z4743" s="6"/>
    </row>
    <row r="4744" customFormat="false" ht="15" hidden="false" customHeight="false" outlineLevel="0" collapsed="false">
      <c r="A4744" s="9" t="s">
        <v>5041</v>
      </c>
      <c r="B4744" s="9" t="s">
        <v>5019</v>
      </c>
      <c r="C4744" s="9" t="s">
        <v>5020</v>
      </c>
      <c r="D4744" s="9" t="s">
        <v>4731</v>
      </c>
      <c r="E4744" s="9" t="s">
        <v>1660</v>
      </c>
      <c r="F4744" s="9" t="s">
        <v>197</v>
      </c>
      <c r="G4744" s="9" t="s">
        <v>201</v>
      </c>
      <c r="H4744" s="9" t="n">
        <v>1950</v>
      </c>
      <c r="I4744" s="29" t="n">
        <v>1.5</v>
      </c>
      <c r="J4744" s="9" t="n">
        <v>1</v>
      </c>
      <c r="K4744" s="30"/>
      <c r="L4744" s="30"/>
      <c r="M4744" s="30"/>
      <c r="N4744" s="30"/>
      <c r="O4744" s="30"/>
      <c r="P4744" s="30"/>
      <c r="Q4744" s="30"/>
      <c r="R4744" s="30"/>
      <c r="S4744" s="30"/>
      <c r="T4744" s="30"/>
      <c r="U4744" s="21" t="str">
        <f aca="false">IF(COUNT(K4744:T4744)=0,"SOURCE EMPTY / INDUSTRIAL ONLY",IF(MIN(K4744:T4744)=1,"SERVICE READY","HOLD"))</f>
        <v>SOURCE EMPTY / INDUSTRIAL ONLY</v>
      </c>
      <c r="V4744" s="9" t="n">
        <f aca="false">IF(U4744="SERVICE READY",1,0)</f>
        <v>0</v>
      </c>
      <c r="W4744" s="6"/>
      <c r="X4744" s="6"/>
      <c r="Y4744" s="6"/>
      <c r="Z4744" s="6"/>
    </row>
    <row r="4745" customFormat="false" ht="15" hidden="false" customHeight="false" outlineLevel="0" collapsed="false">
      <c r="A4745" s="9" t="s">
        <v>5042</v>
      </c>
      <c r="B4745" s="9" t="s">
        <v>5019</v>
      </c>
      <c r="C4745" s="9" t="s">
        <v>5020</v>
      </c>
      <c r="D4745" s="9" t="s">
        <v>4731</v>
      </c>
      <c r="E4745" s="9" t="s">
        <v>1660</v>
      </c>
      <c r="F4745" s="9" t="s">
        <v>200</v>
      </c>
      <c r="G4745" s="9" t="s">
        <v>198</v>
      </c>
      <c r="H4745" s="9" t="n">
        <v>1950</v>
      </c>
      <c r="I4745" s="29" t="n">
        <v>1.5</v>
      </c>
      <c r="J4745" s="9" t="n">
        <v>1</v>
      </c>
      <c r="K4745" s="30"/>
      <c r="L4745" s="30"/>
      <c r="M4745" s="30"/>
      <c r="N4745" s="30"/>
      <c r="O4745" s="30"/>
      <c r="P4745" s="30"/>
      <c r="Q4745" s="30"/>
      <c r="R4745" s="30"/>
      <c r="S4745" s="30"/>
      <c r="T4745" s="30"/>
      <c r="U4745" s="21" t="str">
        <f aca="false">IF(COUNT(K4745:T4745)=0,"SOURCE EMPTY / INDUSTRIAL ONLY",IF(MIN(K4745:T4745)=1,"SERVICE READY","HOLD"))</f>
        <v>SOURCE EMPTY / INDUSTRIAL ONLY</v>
      </c>
      <c r="V4745" s="9" t="n">
        <f aca="false">IF(U4745="SERVICE READY",1,0)</f>
        <v>0</v>
      </c>
      <c r="W4745" s="6"/>
      <c r="X4745" s="6"/>
      <c r="Y4745" s="6"/>
      <c r="Z4745" s="6"/>
    </row>
    <row r="4746" customFormat="false" ht="15" hidden="false" customHeight="false" outlineLevel="0" collapsed="false">
      <c r="A4746" s="9" t="s">
        <v>5043</v>
      </c>
      <c r="B4746" s="9" t="s">
        <v>5019</v>
      </c>
      <c r="C4746" s="9" t="s">
        <v>5020</v>
      </c>
      <c r="D4746" s="9" t="s">
        <v>4731</v>
      </c>
      <c r="E4746" s="9" t="s">
        <v>1660</v>
      </c>
      <c r="F4746" s="9" t="s">
        <v>203</v>
      </c>
      <c r="G4746" s="9" t="s">
        <v>201</v>
      </c>
      <c r="H4746" s="9" t="n">
        <v>1950</v>
      </c>
      <c r="I4746" s="29" t="n">
        <v>1.5</v>
      </c>
      <c r="J4746" s="9" t="n">
        <v>1</v>
      </c>
      <c r="K4746" s="30"/>
      <c r="L4746" s="30"/>
      <c r="M4746" s="30"/>
      <c r="N4746" s="30"/>
      <c r="O4746" s="30"/>
      <c r="P4746" s="30"/>
      <c r="Q4746" s="30"/>
      <c r="R4746" s="30"/>
      <c r="S4746" s="30"/>
      <c r="T4746" s="30"/>
      <c r="U4746" s="21" t="str">
        <f aca="false">IF(COUNT(K4746:T4746)=0,"SOURCE EMPTY / INDUSTRIAL ONLY",IF(MIN(K4746:T4746)=1,"SERVICE READY","HOLD"))</f>
        <v>SOURCE EMPTY / INDUSTRIAL ONLY</v>
      </c>
      <c r="V4746" s="9" t="n">
        <f aca="false">IF(U4746="SERVICE READY",1,0)</f>
        <v>0</v>
      </c>
      <c r="W4746" s="6"/>
      <c r="X4746" s="6"/>
      <c r="Y4746" s="6"/>
      <c r="Z4746" s="6"/>
    </row>
    <row r="4747" customFormat="false" ht="15" hidden="false" customHeight="false" outlineLevel="0" collapsed="false">
      <c r="A4747" s="9" t="s">
        <v>5044</v>
      </c>
      <c r="B4747" s="9" t="s">
        <v>5019</v>
      </c>
      <c r="C4747" s="9" t="s">
        <v>5020</v>
      </c>
      <c r="D4747" s="9" t="s">
        <v>4731</v>
      </c>
      <c r="E4747" s="9" t="s">
        <v>1660</v>
      </c>
      <c r="F4747" s="9" t="s">
        <v>205</v>
      </c>
      <c r="G4747" s="9" t="s">
        <v>198</v>
      </c>
      <c r="H4747" s="9" t="n">
        <v>1950</v>
      </c>
      <c r="I4747" s="29" t="n">
        <v>1.5</v>
      </c>
      <c r="J4747" s="9" t="n">
        <v>1</v>
      </c>
      <c r="K4747" s="30"/>
      <c r="L4747" s="30"/>
      <c r="M4747" s="30"/>
      <c r="N4747" s="30"/>
      <c r="O4747" s="30"/>
      <c r="P4747" s="30"/>
      <c r="Q4747" s="30"/>
      <c r="R4747" s="30"/>
      <c r="S4747" s="30"/>
      <c r="T4747" s="30"/>
      <c r="U4747" s="21" t="str">
        <f aca="false">IF(COUNT(K4747:T4747)=0,"SOURCE EMPTY / INDUSTRIAL ONLY",IF(MIN(K4747:T4747)=1,"SERVICE READY","HOLD"))</f>
        <v>SOURCE EMPTY / INDUSTRIAL ONLY</v>
      </c>
      <c r="V4747" s="9" t="n">
        <f aca="false">IF(U4747="SERVICE READY",1,0)</f>
        <v>0</v>
      </c>
      <c r="W4747" s="6"/>
      <c r="X4747" s="6"/>
      <c r="Y4747" s="6"/>
      <c r="Z4747" s="6"/>
    </row>
    <row r="4748" customFormat="false" ht="15" hidden="false" customHeight="false" outlineLevel="0" collapsed="false">
      <c r="A4748" s="9" t="s">
        <v>5045</v>
      </c>
      <c r="B4748" s="9" t="s">
        <v>5019</v>
      </c>
      <c r="C4748" s="9" t="s">
        <v>5020</v>
      </c>
      <c r="D4748" s="9" t="s">
        <v>4731</v>
      </c>
      <c r="E4748" s="9" t="s">
        <v>1660</v>
      </c>
      <c r="F4748" s="9" t="s">
        <v>207</v>
      </c>
      <c r="G4748" s="9" t="s">
        <v>201</v>
      </c>
      <c r="H4748" s="9" t="n">
        <v>1950</v>
      </c>
      <c r="I4748" s="29" t="n">
        <v>1.5</v>
      </c>
      <c r="J4748" s="9" t="n">
        <v>1</v>
      </c>
      <c r="K4748" s="30"/>
      <c r="L4748" s="30"/>
      <c r="M4748" s="30"/>
      <c r="N4748" s="30"/>
      <c r="O4748" s="30"/>
      <c r="P4748" s="30"/>
      <c r="Q4748" s="30"/>
      <c r="R4748" s="30"/>
      <c r="S4748" s="30"/>
      <c r="T4748" s="30"/>
      <c r="U4748" s="21" t="str">
        <f aca="false">IF(COUNT(K4748:T4748)=0,"SOURCE EMPTY / INDUSTRIAL ONLY",IF(MIN(K4748:T4748)=1,"SERVICE READY","HOLD"))</f>
        <v>SOURCE EMPTY / INDUSTRIAL ONLY</v>
      </c>
      <c r="V4748" s="9" t="n">
        <f aca="false">IF(U4748="SERVICE READY",1,0)</f>
        <v>0</v>
      </c>
      <c r="W4748" s="6"/>
      <c r="X4748" s="6"/>
      <c r="Y4748" s="6"/>
      <c r="Z4748" s="6"/>
    </row>
    <row r="4749" customFormat="false" ht="15" hidden="false" customHeight="false" outlineLevel="0" collapsed="false">
      <c r="A4749" s="9" t="s">
        <v>5046</v>
      </c>
      <c r="B4749" s="9" t="s">
        <v>5019</v>
      </c>
      <c r="C4749" s="9" t="s">
        <v>5020</v>
      </c>
      <c r="D4749" s="9" t="s">
        <v>4731</v>
      </c>
      <c r="E4749" s="9" t="s">
        <v>1660</v>
      </c>
      <c r="F4749" s="9" t="s">
        <v>209</v>
      </c>
      <c r="G4749" s="9" t="s">
        <v>198</v>
      </c>
      <c r="H4749" s="9" t="n">
        <v>1950</v>
      </c>
      <c r="I4749" s="29" t="n">
        <v>1.5</v>
      </c>
      <c r="J4749" s="9" t="n">
        <v>1</v>
      </c>
      <c r="K4749" s="30"/>
      <c r="L4749" s="30"/>
      <c r="M4749" s="30"/>
      <c r="N4749" s="30"/>
      <c r="O4749" s="30"/>
      <c r="P4749" s="30"/>
      <c r="Q4749" s="30"/>
      <c r="R4749" s="30"/>
      <c r="S4749" s="30"/>
      <c r="T4749" s="30"/>
      <c r="U4749" s="21" t="str">
        <f aca="false">IF(COUNT(K4749:T4749)=0,"SOURCE EMPTY / INDUSTRIAL ONLY",IF(MIN(K4749:T4749)=1,"SERVICE READY","HOLD"))</f>
        <v>SOURCE EMPTY / INDUSTRIAL ONLY</v>
      </c>
      <c r="V4749" s="9" t="n">
        <f aca="false">IF(U4749="SERVICE READY",1,0)</f>
        <v>0</v>
      </c>
      <c r="W4749" s="6"/>
      <c r="X4749" s="6"/>
      <c r="Y4749" s="6"/>
      <c r="Z4749" s="6"/>
    </row>
    <row r="4750" customFormat="false" ht="15" hidden="false" customHeight="false" outlineLevel="0" collapsed="false">
      <c r="A4750" s="9" t="s">
        <v>5047</v>
      </c>
      <c r="B4750" s="9" t="s">
        <v>5019</v>
      </c>
      <c r="C4750" s="9" t="s">
        <v>5020</v>
      </c>
      <c r="D4750" s="9" t="s">
        <v>4731</v>
      </c>
      <c r="E4750" s="9" t="s">
        <v>1660</v>
      </c>
      <c r="F4750" s="9" t="s">
        <v>211</v>
      </c>
      <c r="G4750" s="9" t="s">
        <v>201</v>
      </c>
      <c r="H4750" s="9" t="n">
        <v>1950</v>
      </c>
      <c r="I4750" s="29" t="n">
        <v>1.5</v>
      </c>
      <c r="J4750" s="9" t="n">
        <v>1</v>
      </c>
      <c r="K4750" s="30"/>
      <c r="L4750" s="30"/>
      <c r="M4750" s="30"/>
      <c r="N4750" s="30"/>
      <c r="O4750" s="30"/>
      <c r="P4750" s="30"/>
      <c r="Q4750" s="30"/>
      <c r="R4750" s="30"/>
      <c r="S4750" s="30"/>
      <c r="T4750" s="30"/>
      <c r="U4750" s="21" t="str">
        <f aca="false">IF(COUNT(K4750:T4750)=0,"SOURCE EMPTY / INDUSTRIAL ONLY",IF(MIN(K4750:T4750)=1,"SERVICE READY","HOLD"))</f>
        <v>SOURCE EMPTY / INDUSTRIAL ONLY</v>
      </c>
      <c r="V4750" s="9" t="n">
        <f aca="false">IF(U4750="SERVICE READY",1,0)</f>
        <v>0</v>
      </c>
      <c r="W4750" s="6"/>
      <c r="X4750" s="6"/>
      <c r="Y4750" s="6"/>
      <c r="Z4750" s="6"/>
    </row>
    <row r="4751" customFormat="false" ht="15" hidden="false" customHeight="false" outlineLevel="0" collapsed="false">
      <c r="A4751" s="9" t="s">
        <v>5048</v>
      </c>
      <c r="B4751" s="9" t="s">
        <v>5019</v>
      </c>
      <c r="C4751" s="9" t="s">
        <v>5020</v>
      </c>
      <c r="D4751" s="9" t="s">
        <v>4731</v>
      </c>
      <c r="E4751" s="9" t="s">
        <v>1660</v>
      </c>
      <c r="F4751" s="9" t="s">
        <v>197</v>
      </c>
      <c r="G4751" s="9" t="s">
        <v>198</v>
      </c>
      <c r="H4751" s="9" t="n">
        <v>1950</v>
      </c>
      <c r="I4751" s="29" t="n">
        <v>1.5</v>
      </c>
      <c r="J4751" s="9" t="n">
        <v>1</v>
      </c>
      <c r="K4751" s="30"/>
      <c r="L4751" s="30"/>
      <c r="M4751" s="30"/>
      <c r="N4751" s="30"/>
      <c r="O4751" s="30"/>
      <c r="P4751" s="30"/>
      <c r="Q4751" s="30"/>
      <c r="R4751" s="30"/>
      <c r="S4751" s="30"/>
      <c r="T4751" s="30"/>
      <c r="U4751" s="21" t="str">
        <f aca="false">IF(COUNT(K4751:T4751)=0,"SOURCE EMPTY / INDUSTRIAL ONLY",IF(MIN(K4751:T4751)=1,"SERVICE READY","HOLD"))</f>
        <v>SOURCE EMPTY / INDUSTRIAL ONLY</v>
      </c>
      <c r="V4751" s="9" t="n">
        <f aca="false">IF(U4751="SERVICE READY",1,0)</f>
        <v>0</v>
      </c>
      <c r="W4751" s="6"/>
      <c r="X4751" s="6"/>
      <c r="Y4751" s="6"/>
      <c r="Z4751" s="6"/>
    </row>
    <row r="4752" customFormat="false" ht="15" hidden="false" customHeight="false" outlineLevel="0" collapsed="false">
      <c r="A4752" s="9" t="s">
        <v>5049</v>
      </c>
      <c r="B4752" s="9" t="s">
        <v>5019</v>
      </c>
      <c r="C4752" s="9" t="s">
        <v>5020</v>
      </c>
      <c r="D4752" s="9" t="s">
        <v>4731</v>
      </c>
      <c r="E4752" s="9" t="s">
        <v>1660</v>
      </c>
      <c r="F4752" s="9" t="s">
        <v>200</v>
      </c>
      <c r="G4752" s="9" t="s">
        <v>201</v>
      </c>
      <c r="H4752" s="9" t="n">
        <v>1950</v>
      </c>
      <c r="I4752" s="29" t="n">
        <v>1.5</v>
      </c>
      <c r="J4752" s="9" t="n">
        <v>1</v>
      </c>
      <c r="K4752" s="30"/>
      <c r="L4752" s="30"/>
      <c r="M4752" s="30"/>
      <c r="N4752" s="30"/>
      <c r="O4752" s="30"/>
      <c r="P4752" s="30"/>
      <c r="Q4752" s="30"/>
      <c r="R4752" s="30"/>
      <c r="S4752" s="30"/>
      <c r="T4752" s="30"/>
      <c r="U4752" s="21" t="str">
        <f aca="false">IF(COUNT(K4752:T4752)=0,"SOURCE EMPTY / INDUSTRIAL ONLY",IF(MIN(K4752:T4752)=1,"SERVICE READY","HOLD"))</f>
        <v>SOURCE EMPTY / INDUSTRIAL ONLY</v>
      </c>
      <c r="V4752" s="9" t="n">
        <f aca="false">IF(U4752="SERVICE READY",1,0)</f>
        <v>0</v>
      </c>
      <c r="W4752" s="6"/>
      <c r="X4752" s="6"/>
      <c r="Y4752" s="6"/>
      <c r="Z4752" s="6"/>
    </row>
    <row r="4753" customFormat="false" ht="15" hidden="false" customHeight="false" outlineLevel="0" collapsed="false">
      <c r="A4753" s="9" t="s">
        <v>5050</v>
      </c>
      <c r="B4753" s="9" t="s">
        <v>5019</v>
      </c>
      <c r="C4753" s="9" t="s">
        <v>5020</v>
      </c>
      <c r="D4753" s="9" t="s">
        <v>4731</v>
      </c>
      <c r="E4753" s="9" t="s">
        <v>1660</v>
      </c>
      <c r="F4753" s="9" t="s">
        <v>203</v>
      </c>
      <c r="G4753" s="9" t="s">
        <v>198</v>
      </c>
      <c r="H4753" s="9" t="n">
        <v>1950</v>
      </c>
      <c r="I4753" s="29" t="n">
        <v>1.5</v>
      </c>
      <c r="J4753" s="9" t="n">
        <v>1</v>
      </c>
      <c r="K4753" s="30"/>
      <c r="L4753" s="30"/>
      <c r="M4753" s="30"/>
      <c r="N4753" s="30"/>
      <c r="O4753" s="30"/>
      <c r="P4753" s="30"/>
      <c r="Q4753" s="30"/>
      <c r="R4753" s="30"/>
      <c r="S4753" s="30"/>
      <c r="T4753" s="30"/>
      <c r="U4753" s="21" t="str">
        <f aca="false">IF(COUNT(K4753:T4753)=0,"SOURCE EMPTY / INDUSTRIAL ONLY",IF(MIN(K4753:T4753)=1,"SERVICE READY","HOLD"))</f>
        <v>SOURCE EMPTY / INDUSTRIAL ONLY</v>
      </c>
      <c r="V4753" s="9" t="n">
        <f aca="false">IF(U4753="SERVICE READY",1,0)</f>
        <v>0</v>
      </c>
      <c r="W4753" s="6"/>
      <c r="X4753" s="6"/>
      <c r="Y4753" s="6"/>
      <c r="Z4753" s="6"/>
    </row>
    <row r="4754" customFormat="false" ht="15" hidden="false" customHeight="false" outlineLevel="0" collapsed="false">
      <c r="A4754" s="9" t="s">
        <v>5051</v>
      </c>
      <c r="B4754" s="9" t="s">
        <v>5019</v>
      </c>
      <c r="C4754" s="9" t="s">
        <v>5020</v>
      </c>
      <c r="D4754" s="9" t="s">
        <v>4731</v>
      </c>
      <c r="E4754" s="9" t="s">
        <v>1660</v>
      </c>
      <c r="F4754" s="9" t="s">
        <v>205</v>
      </c>
      <c r="G4754" s="9" t="s">
        <v>201</v>
      </c>
      <c r="H4754" s="9" t="n">
        <v>1950</v>
      </c>
      <c r="I4754" s="29" t="n">
        <v>1.5</v>
      </c>
      <c r="J4754" s="9" t="n">
        <v>1</v>
      </c>
      <c r="K4754" s="30"/>
      <c r="L4754" s="30"/>
      <c r="M4754" s="30"/>
      <c r="N4754" s="30"/>
      <c r="O4754" s="30"/>
      <c r="P4754" s="30"/>
      <c r="Q4754" s="30"/>
      <c r="R4754" s="30"/>
      <c r="S4754" s="30"/>
      <c r="T4754" s="30"/>
      <c r="U4754" s="21" t="str">
        <f aca="false">IF(COUNT(K4754:T4754)=0,"SOURCE EMPTY / INDUSTRIAL ONLY",IF(MIN(K4754:T4754)=1,"SERVICE READY","HOLD"))</f>
        <v>SOURCE EMPTY / INDUSTRIAL ONLY</v>
      </c>
      <c r="V4754" s="9" t="n">
        <f aca="false">IF(U4754="SERVICE READY",1,0)</f>
        <v>0</v>
      </c>
      <c r="W4754" s="6"/>
      <c r="X4754" s="6"/>
      <c r="Y4754" s="6"/>
      <c r="Z4754" s="6"/>
    </row>
    <row r="4755" customFormat="false" ht="15" hidden="false" customHeight="false" outlineLevel="0" collapsed="false">
      <c r="A4755" s="9" t="s">
        <v>5052</v>
      </c>
      <c r="B4755" s="9" t="s">
        <v>5019</v>
      </c>
      <c r="C4755" s="9" t="s">
        <v>5020</v>
      </c>
      <c r="D4755" s="9" t="s">
        <v>4731</v>
      </c>
      <c r="E4755" s="9" t="s">
        <v>1660</v>
      </c>
      <c r="F4755" s="9" t="s">
        <v>207</v>
      </c>
      <c r="G4755" s="9" t="s">
        <v>198</v>
      </c>
      <c r="H4755" s="9" t="n">
        <v>1950</v>
      </c>
      <c r="I4755" s="29" t="n">
        <v>1.5</v>
      </c>
      <c r="J4755" s="9" t="n">
        <v>1</v>
      </c>
      <c r="K4755" s="30"/>
      <c r="L4755" s="30"/>
      <c r="M4755" s="30"/>
      <c r="N4755" s="30"/>
      <c r="O4755" s="30"/>
      <c r="P4755" s="30"/>
      <c r="Q4755" s="30"/>
      <c r="R4755" s="30"/>
      <c r="S4755" s="30"/>
      <c r="T4755" s="30"/>
      <c r="U4755" s="21" t="str">
        <f aca="false">IF(COUNT(K4755:T4755)=0,"SOURCE EMPTY / INDUSTRIAL ONLY",IF(MIN(K4755:T4755)=1,"SERVICE READY","HOLD"))</f>
        <v>SOURCE EMPTY / INDUSTRIAL ONLY</v>
      </c>
      <c r="V4755" s="9" t="n">
        <f aca="false">IF(U4755="SERVICE READY",1,0)</f>
        <v>0</v>
      </c>
      <c r="W4755" s="6"/>
      <c r="X4755" s="6"/>
      <c r="Y4755" s="6"/>
      <c r="Z4755" s="6"/>
    </row>
    <row r="4756" customFormat="false" ht="15" hidden="false" customHeight="false" outlineLevel="0" collapsed="false">
      <c r="A4756" s="9" t="s">
        <v>5053</v>
      </c>
      <c r="B4756" s="9" t="s">
        <v>5019</v>
      </c>
      <c r="C4756" s="9" t="s">
        <v>5020</v>
      </c>
      <c r="D4756" s="9" t="s">
        <v>4731</v>
      </c>
      <c r="E4756" s="9" t="s">
        <v>1660</v>
      </c>
      <c r="F4756" s="9" t="s">
        <v>209</v>
      </c>
      <c r="G4756" s="9" t="s">
        <v>201</v>
      </c>
      <c r="H4756" s="9" t="n">
        <v>1950</v>
      </c>
      <c r="I4756" s="29" t="n">
        <v>1.5</v>
      </c>
      <c r="J4756" s="9" t="n">
        <v>1</v>
      </c>
      <c r="K4756" s="30"/>
      <c r="L4756" s="30"/>
      <c r="M4756" s="30"/>
      <c r="N4756" s="30"/>
      <c r="O4756" s="30"/>
      <c r="P4756" s="30"/>
      <c r="Q4756" s="30"/>
      <c r="R4756" s="30"/>
      <c r="S4756" s="30"/>
      <c r="T4756" s="30"/>
      <c r="U4756" s="21" t="str">
        <f aca="false">IF(COUNT(K4756:T4756)=0,"SOURCE EMPTY / INDUSTRIAL ONLY",IF(MIN(K4756:T4756)=1,"SERVICE READY","HOLD"))</f>
        <v>SOURCE EMPTY / INDUSTRIAL ONLY</v>
      </c>
      <c r="V4756" s="9" t="n">
        <f aca="false">IF(U4756="SERVICE READY",1,0)</f>
        <v>0</v>
      </c>
      <c r="W4756" s="6"/>
      <c r="X4756" s="6"/>
      <c r="Y4756" s="6"/>
      <c r="Z4756" s="6"/>
    </row>
    <row r="4757" customFormat="false" ht="15" hidden="false" customHeight="false" outlineLevel="0" collapsed="false">
      <c r="A4757" s="9" t="s">
        <v>5054</v>
      </c>
      <c r="B4757" s="9" t="s">
        <v>5019</v>
      </c>
      <c r="C4757" s="9" t="s">
        <v>5020</v>
      </c>
      <c r="D4757" s="9" t="s">
        <v>4731</v>
      </c>
      <c r="E4757" s="9" t="s">
        <v>1660</v>
      </c>
      <c r="F4757" s="9" t="s">
        <v>211</v>
      </c>
      <c r="G4757" s="9" t="s">
        <v>198</v>
      </c>
      <c r="H4757" s="9" t="n">
        <v>1950</v>
      </c>
      <c r="I4757" s="29" t="n">
        <v>1.5</v>
      </c>
      <c r="J4757" s="9" t="n">
        <v>1</v>
      </c>
      <c r="K4757" s="30"/>
      <c r="L4757" s="30"/>
      <c r="M4757" s="30"/>
      <c r="N4757" s="30"/>
      <c r="O4757" s="30"/>
      <c r="P4757" s="30"/>
      <c r="Q4757" s="30"/>
      <c r="R4757" s="30"/>
      <c r="S4757" s="30"/>
      <c r="T4757" s="30"/>
      <c r="U4757" s="21" t="str">
        <f aca="false">IF(COUNT(K4757:T4757)=0,"SOURCE EMPTY / INDUSTRIAL ONLY",IF(MIN(K4757:T4757)=1,"SERVICE READY","HOLD"))</f>
        <v>SOURCE EMPTY / INDUSTRIAL ONLY</v>
      </c>
      <c r="V4757" s="9" t="n">
        <f aca="false">IF(U4757="SERVICE READY",1,0)</f>
        <v>0</v>
      </c>
      <c r="W4757" s="6"/>
      <c r="X4757" s="6"/>
      <c r="Y4757" s="6"/>
      <c r="Z4757" s="6"/>
    </row>
    <row r="4758" customFormat="false" ht="15" hidden="false" customHeight="false" outlineLevel="0" collapsed="false">
      <c r="A4758" s="9" t="s">
        <v>5055</v>
      </c>
      <c r="B4758" s="9" t="s">
        <v>5019</v>
      </c>
      <c r="C4758" s="9" t="s">
        <v>5020</v>
      </c>
      <c r="D4758" s="9" t="s">
        <v>4731</v>
      </c>
      <c r="E4758" s="9" t="s">
        <v>1660</v>
      </c>
      <c r="F4758" s="9" t="s">
        <v>197</v>
      </c>
      <c r="G4758" s="9" t="s">
        <v>201</v>
      </c>
      <c r="H4758" s="9" t="n">
        <v>1950</v>
      </c>
      <c r="I4758" s="29" t="n">
        <v>1.5</v>
      </c>
      <c r="J4758" s="9" t="n">
        <v>1</v>
      </c>
      <c r="K4758" s="30"/>
      <c r="L4758" s="30"/>
      <c r="M4758" s="30"/>
      <c r="N4758" s="30"/>
      <c r="O4758" s="30"/>
      <c r="P4758" s="30"/>
      <c r="Q4758" s="30"/>
      <c r="R4758" s="30"/>
      <c r="S4758" s="30"/>
      <c r="T4758" s="30"/>
      <c r="U4758" s="21" t="str">
        <f aca="false">IF(COUNT(K4758:T4758)=0,"SOURCE EMPTY / INDUSTRIAL ONLY",IF(MIN(K4758:T4758)=1,"SERVICE READY","HOLD"))</f>
        <v>SOURCE EMPTY / INDUSTRIAL ONLY</v>
      </c>
      <c r="V4758" s="9" t="n">
        <f aca="false">IF(U4758="SERVICE READY",1,0)</f>
        <v>0</v>
      </c>
      <c r="W4758" s="6"/>
      <c r="X4758" s="6"/>
      <c r="Y4758" s="6"/>
      <c r="Z4758" s="6"/>
    </row>
    <row r="4759" customFormat="false" ht="15" hidden="false" customHeight="false" outlineLevel="0" collapsed="false">
      <c r="A4759" s="9" t="s">
        <v>5056</v>
      </c>
      <c r="B4759" s="9" t="s">
        <v>5019</v>
      </c>
      <c r="C4759" s="9" t="s">
        <v>5020</v>
      </c>
      <c r="D4759" s="9" t="s">
        <v>4731</v>
      </c>
      <c r="E4759" s="9" t="s">
        <v>1660</v>
      </c>
      <c r="F4759" s="9" t="s">
        <v>200</v>
      </c>
      <c r="G4759" s="9" t="s">
        <v>198</v>
      </c>
      <c r="H4759" s="9" t="n">
        <v>1950</v>
      </c>
      <c r="I4759" s="29" t="n">
        <v>1.5</v>
      </c>
      <c r="J4759" s="9" t="n">
        <v>1</v>
      </c>
      <c r="K4759" s="30"/>
      <c r="L4759" s="30"/>
      <c r="M4759" s="30"/>
      <c r="N4759" s="30"/>
      <c r="O4759" s="30"/>
      <c r="P4759" s="30"/>
      <c r="Q4759" s="30"/>
      <c r="R4759" s="30"/>
      <c r="S4759" s="30"/>
      <c r="T4759" s="30"/>
      <c r="U4759" s="21" t="str">
        <f aca="false">IF(COUNT(K4759:T4759)=0,"SOURCE EMPTY / INDUSTRIAL ONLY",IF(MIN(K4759:T4759)=1,"SERVICE READY","HOLD"))</f>
        <v>SOURCE EMPTY / INDUSTRIAL ONLY</v>
      </c>
      <c r="V4759" s="9" t="n">
        <f aca="false">IF(U4759="SERVICE READY",1,0)</f>
        <v>0</v>
      </c>
      <c r="W4759" s="6"/>
      <c r="X4759" s="6"/>
      <c r="Y4759" s="6"/>
      <c r="Z4759" s="6"/>
    </row>
    <row r="4760" customFormat="false" ht="15" hidden="false" customHeight="false" outlineLevel="0" collapsed="false">
      <c r="A4760" s="9" t="s">
        <v>5057</v>
      </c>
      <c r="B4760" s="9" t="s">
        <v>5019</v>
      </c>
      <c r="C4760" s="9" t="s">
        <v>5020</v>
      </c>
      <c r="D4760" s="9" t="s">
        <v>4731</v>
      </c>
      <c r="E4760" s="9" t="s">
        <v>1660</v>
      </c>
      <c r="F4760" s="9" t="s">
        <v>203</v>
      </c>
      <c r="G4760" s="9" t="s">
        <v>201</v>
      </c>
      <c r="H4760" s="9" t="n">
        <v>1950</v>
      </c>
      <c r="I4760" s="29" t="n">
        <v>1.5</v>
      </c>
      <c r="J4760" s="9" t="n">
        <v>1</v>
      </c>
      <c r="K4760" s="30"/>
      <c r="L4760" s="30"/>
      <c r="M4760" s="30"/>
      <c r="N4760" s="30"/>
      <c r="O4760" s="30"/>
      <c r="P4760" s="30"/>
      <c r="Q4760" s="30"/>
      <c r="R4760" s="30"/>
      <c r="S4760" s="30"/>
      <c r="T4760" s="30"/>
      <c r="U4760" s="21" t="str">
        <f aca="false">IF(COUNT(K4760:T4760)=0,"SOURCE EMPTY / INDUSTRIAL ONLY",IF(MIN(K4760:T4760)=1,"SERVICE READY","HOLD"))</f>
        <v>SOURCE EMPTY / INDUSTRIAL ONLY</v>
      </c>
      <c r="V4760" s="9" t="n">
        <f aca="false">IF(U4760="SERVICE READY",1,0)</f>
        <v>0</v>
      </c>
      <c r="W4760" s="6"/>
      <c r="X4760" s="6"/>
      <c r="Y4760" s="6"/>
      <c r="Z4760" s="6"/>
    </row>
    <row r="4761" customFormat="false" ht="15" hidden="false" customHeight="false" outlineLevel="0" collapsed="false">
      <c r="A4761" s="9" t="s">
        <v>5058</v>
      </c>
      <c r="B4761" s="9" t="s">
        <v>5019</v>
      </c>
      <c r="C4761" s="9" t="s">
        <v>5020</v>
      </c>
      <c r="D4761" s="9" t="s">
        <v>4731</v>
      </c>
      <c r="E4761" s="9" t="s">
        <v>1660</v>
      </c>
      <c r="F4761" s="9" t="s">
        <v>205</v>
      </c>
      <c r="G4761" s="9" t="s">
        <v>198</v>
      </c>
      <c r="H4761" s="9" t="n">
        <v>1950</v>
      </c>
      <c r="I4761" s="29" t="n">
        <v>1.5</v>
      </c>
      <c r="J4761" s="9" t="n">
        <v>1</v>
      </c>
      <c r="K4761" s="30"/>
      <c r="L4761" s="30"/>
      <c r="M4761" s="30"/>
      <c r="N4761" s="30"/>
      <c r="O4761" s="30"/>
      <c r="P4761" s="30"/>
      <c r="Q4761" s="30"/>
      <c r="R4761" s="30"/>
      <c r="S4761" s="30"/>
      <c r="T4761" s="30"/>
      <c r="U4761" s="21" t="str">
        <f aca="false">IF(COUNT(K4761:T4761)=0,"SOURCE EMPTY / INDUSTRIAL ONLY",IF(MIN(K4761:T4761)=1,"SERVICE READY","HOLD"))</f>
        <v>SOURCE EMPTY / INDUSTRIAL ONLY</v>
      </c>
      <c r="V4761" s="9" t="n">
        <f aca="false">IF(U4761="SERVICE READY",1,0)</f>
        <v>0</v>
      </c>
      <c r="W4761" s="6"/>
      <c r="X4761" s="6"/>
      <c r="Y4761" s="6"/>
      <c r="Z4761" s="6"/>
    </row>
    <row r="4762" customFormat="false" ht="15" hidden="false" customHeight="false" outlineLevel="0" collapsed="false">
      <c r="A4762" s="9" t="s">
        <v>5059</v>
      </c>
      <c r="B4762" s="9" t="s">
        <v>5019</v>
      </c>
      <c r="C4762" s="9" t="s">
        <v>5020</v>
      </c>
      <c r="D4762" s="9" t="s">
        <v>4731</v>
      </c>
      <c r="E4762" s="9" t="s">
        <v>1660</v>
      </c>
      <c r="F4762" s="9" t="s">
        <v>207</v>
      </c>
      <c r="G4762" s="9" t="s">
        <v>201</v>
      </c>
      <c r="H4762" s="9" t="n">
        <v>1950</v>
      </c>
      <c r="I4762" s="29" t="n">
        <v>1.5</v>
      </c>
      <c r="J4762" s="9" t="n">
        <v>1</v>
      </c>
      <c r="K4762" s="30"/>
      <c r="L4762" s="30"/>
      <c r="M4762" s="30"/>
      <c r="N4762" s="30"/>
      <c r="O4762" s="30"/>
      <c r="P4762" s="30"/>
      <c r="Q4762" s="30"/>
      <c r="R4762" s="30"/>
      <c r="S4762" s="30"/>
      <c r="T4762" s="30"/>
      <c r="U4762" s="21" t="str">
        <f aca="false">IF(COUNT(K4762:T4762)=0,"SOURCE EMPTY / INDUSTRIAL ONLY",IF(MIN(K4762:T4762)=1,"SERVICE READY","HOLD"))</f>
        <v>SOURCE EMPTY / INDUSTRIAL ONLY</v>
      </c>
      <c r="V4762" s="9" t="n">
        <f aca="false">IF(U4762="SERVICE READY",1,0)</f>
        <v>0</v>
      </c>
      <c r="W4762" s="6"/>
      <c r="X4762" s="6"/>
      <c r="Y4762" s="6"/>
      <c r="Z4762" s="6"/>
    </row>
    <row r="4763" customFormat="false" ht="15" hidden="false" customHeight="false" outlineLevel="0" collapsed="false">
      <c r="A4763" s="9" t="s">
        <v>5060</v>
      </c>
      <c r="B4763" s="9" t="s">
        <v>5019</v>
      </c>
      <c r="C4763" s="9" t="s">
        <v>5020</v>
      </c>
      <c r="D4763" s="9" t="s">
        <v>4731</v>
      </c>
      <c r="E4763" s="9" t="s">
        <v>1660</v>
      </c>
      <c r="F4763" s="9" t="s">
        <v>209</v>
      </c>
      <c r="G4763" s="9" t="s">
        <v>198</v>
      </c>
      <c r="H4763" s="9" t="n">
        <v>1950</v>
      </c>
      <c r="I4763" s="29" t="n">
        <v>1.5</v>
      </c>
      <c r="J4763" s="9" t="n">
        <v>1</v>
      </c>
      <c r="K4763" s="30"/>
      <c r="L4763" s="30"/>
      <c r="M4763" s="30"/>
      <c r="N4763" s="30"/>
      <c r="O4763" s="30"/>
      <c r="P4763" s="30"/>
      <c r="Q4763" s="30"/>
      <c r="R4763" s="30"/>
      <c r="S4763" s="30"/>
      <c r="T4763" s="30"/>
      <c r="U4763" s="21" t="str">
        <f aca="false">IF(COUNT(K4763:T4763)=0,"SOURCE EMPTY / INDUSTRIAL ONLY",IF(MIN(K4763:T4763)=1,"SERVICE READY","HOLD"))</f>
        <v>SOURCE EMPTY / INDUSTRIAL ONLY</v>
      </c>
      <c r="V4763" s="9" t="n">
        <f aca="false">IF(U4763="SERVICE READY",1,0)</f>
        <v>0</v>
      </c>
      <c r="W4763" s="6"/>
      <c r="X4763" s="6"/>
      <c r="Y4763" s="6"/>
      <c r="Z4763" s="6"/>
    </row>
    <row r="4764" customFormat="false" ht="15" hidden="false" customHeight="false" outlineLevel="0" collapsed="false">
      <c r="A4764" s="9" t="s">
        <v>5061</v>
      </c>
      <c r="B4764" s="9" t="s">
        <v>5019</v>
      </c>
      <c r="C4764" s="9" t="s">
        <v>5020</v>
      </c>
      <c r="D4764" s="9" t="s">
        <v>4731</v>
      </c>
      <c r="E4764" s="9" t="s">
        <v>1660</v>
      </c>
      <c r="F4764" s="9" t="s">
        <v>211</v>
      </c>
      <c r="G4764" s="9" t="s">
        <v>201</v>
      </c>
      <c r="H4764" s="9" t="n">
        <v>1950</v>
      </c>
      <c r="I4764" s="29" t="n">
        <v>1.5</v>
      </c>
      <c r="J4764" s="9" t="n">
        <v>1</v>
      </c>
      <c r="K4764" s="30"/>
      <c r="L4764" s="30"/>
      <c r="M4764" s="30"/>
      <c r="N4764" s="30"/>
      <c r="O4764" s="30"/>
      <c r="P4764" s="30"/>
      <c r="Q4764" s="30"/>
      <c r="R4764" s="30"/>
      <c r="S4764" s="30"/>
      <c r="T4764" s="30"/>
      <c r="U4764" s="21" t="str">
        <f aca="false">IF(COUNT(K4764:T4764)=0,"SOURCE EMPTY / INDUSTRIAL ONLY",IF(MIN(K4764:T4764)=1,"SERVICE READY","HOLD"))</f>
        <v>SOURCE EMPTY / INDUSTRIAL ONLY</v>
      </c>
      <c r="V4764" s="9" t="n">
        <f aca="false">IF(U4764="SERVICE READY",1,0)</f>
        <v>0</v>
      </c>
      <c r="W4764" s="6"/>
      <c r="X4764" s="6"/>
      <c r="Y4764" s="6"/>
      <c r="Z4764" s="6"/>
    </row>
    <row r="4765" customFormat="false" ht="15" hidden="false" customHeight="false" outlineLevel="0" collapsed="false">
      <c r="A4765" s="9" t="s">
        <v>5062</v>
      </c>
      <c r="B4765" s="9" t="s">
        <v>5019</v>
      </c>
      <c r="C4765" s="9" t="s">
        <v>5020</v>
      </c>
      <c r="D4765" s="9" t="s">
        <v>4731</v>
      </c>
      <c r="E4765" s="9" t="s">
        <v>1660</v>
      </c>
      <c r="F4765" s="9" t="s">
        <v>197</v>
      </c>
      <c r="G4765" s="9" t="s">
        <v>198</v>
      </c>
      <c r="H4765" s="9" t="n">
        <v>1950</v>
      </c>
      <c r="I4765" s="29" t="n">
        <v>1.5</v>
      </c>
      <c r="J4765" s="9" t="n">
        <v>1</v>
      </c>
      <c r="K4765" s="30"/>
      <c r="L4765" s="30"/>
      <c r="M4765" s="30"/>
      <c r="N4765" s="30"/>
      <c r="O4765" s="30"/>
      <c r="P4765" s="30"/>
      <c r="Q4765" s="30"/>
      <c r="R4765" s="30"/>
      <c r="S4765" s="30"/>
      <c r="T4765" s="30"/>
      <c r="U4765" s="21" t="str">
        <f aca="false">IF(COUNT(K4765:T4765)=0,"SOURCE EMPTY / INDUSTRIAL ONLY",IF(MIN(K4765:T4765)=1,"SERVICE READY","HOLD"))</f>
        <v>SOURCE EMPTY / INDUSTRIAL ONLY</v>
      </c>
      <c r="V4765" s="9" t="n">
        <f aca="false">IF(U4765="SERVICE READY",1,0)</f>
        <v>0</v>
      </c>
      <c r="W4765" s="6"/>
      <c r="X4765" s="6"/>
      <c r="Y4765" s="6"/>
      <c r="Z4765" s="6"/>
    </row>
    <row r="4766" customFormat="false" ht="15" hidden="false" customHeight="false" outlineLevel="0" collapsed="false">
      <c r="A4766" s="9" t="s">
        <v>5063</v>
      </c>
      <c r="B4766" s="9" t="s">
        <v>5019</v>
      </c>
      <c r="C4766" s="9" t="s">
        <v>5020</v>
      </c>
      <c r="D4766" s="9" t="s">
        <v>4731</v>
      </c>
      <c r="E4766" s="9" t="s">
        <v>1660</v>
      </c>
      <c r="F4766" s="9" t="s">
        <v>200</v>
      </c>
      <c r="G4766" s="9" t="s">
        <v>201</v>
      </c>
      <c r="H4766" s="9" t="n">
        <v>1950</v>
      </c>
      <c r="I4766" s="29" t="n">
        <v>1.5</v>
      </c>
      <c r="J4766" s="9" t="n">
        <v>1</v>
      </c>
      <c r="K4766" s="30"/>
      <c r="L4766" s="30"/>
      <c r="M4766" s="30"/>
      <c r="N4766" s="30"/>
      <c r="O4766" s="30"/>
      <c r="P4766" s="30"/>
      <c r="Q4766" s="30"/>
      <c r="R4766" s="30"/>
      <c r="S4766" s="30"/>
      <c r="T4766" s="30"/>
      <c r="U4766" s="21" t="str">
        <f aca="false">IF(COUNT(K4766:T4766)=0,"SOURCE EMPTY / INDUSTRIAL ONLY",IF(MIN(K4766:T4766)=1,"SERVICE READY","HOLD"))</f>
        <v>SOURCE EMPTY / INDUSTRIAL ONLY</v>
      </c>
      <c r="V4766" s="9" t="n">
        <f aca="false">IF(U4766="SERVICE READY",1,0)</f>
        <v>0</v>
      </c>
      <c r="W4766" s="6"/>
      <c r="X4766" s="6"/>
      <c r="Y4766" s="6"/>
      <c r="Z4766" s="6"/>
    </row>
    <row r="4767" customFormat="false" ht="15" hidden="false" customHeight="false" outlineLevel="0" collapsed="false">
      <c r="A4767" s="9" t="s">
        <v>5064</v>
      </c>
      <c r="B4767" s="9" t="s">
        <v>5019</v>
      </c>
      <c r="C4767" s="9" t="s">
        <v>5020</v>
      </c>
      <c r="D4767" s="9" t="s">
        <v>4731</v>
      </c>
      <c r="E4767" s="9" t="s">
        <v>1660</v>
      </c>
      <c r="F4767" s="9" t="s">
        <v>203</v>
      </c>
      <c r="G4767" s="9" t="s">
        <v>198</v>
      </c>
      <c r="H4767" s="9" t="n">
        <v>1950</v>
      </c>
      <c r="I4767" s="29" t="n">
        <v>1.5</v>
      </c>
      <c r="J4767" s="9" t="n">
        <v>1</v>
      </c>
      <c r="K4767" s="30"/>
      <c r="L4767" s="30"/>
      <c r="M4767" s="30"/>
      <c r="N4767" s="30"/>
      <c r="O4767" s="30"/>
      <c r="P4767" s="30"/>
      <c r="Q4767" s="30"/>
      <c r="R4767" s="30"/>
      <c r="S4767" s="30"/>
      <c r="T4767" s="30"/>
      <c r="U4767" s="21" t="str">
        <f aca="false">IF(COUNT(K4767:T4767)=0,"SOURCE EMPTY / INDUSTRIAL ONLY",IF(MIN(K4767:T4767)=1,"SERVICE READY","HOLD"))</f>
        <v>SOURCE EMPTY / INDUSTRIAL ONLY</v>
      </c>
      <c r="V4767" s="9" t="n">
        <f aca="false">IF(U4767="SERVICE READY",1,0)</f>
        <v>0</v>
      </c>
      <c r="W4767" s="6"/>
      <c r="X4767" s="6"/>
      <c r="Y4767" s="6"/>
      <c r="Z4767" s="6"/>
    </row>
    <row r="4768" customFormat="false" ht="15" hidden="false" customHeight="false" outlineLevel="0" collapsed="false">
      <c r="A4768" s="9" t="s">
        <v>5065</v>
      </c>
      <c r="B4768" s="9" t="s">
        <v>5019</v>
      </c>
      <c r="C4768" s="9" t="s">
        <v>5020</v>
      </c>
      <c r="D4768" s="9" t="s">
        <v>4731</v>
      </c>
      <c r="E4768" s="9" t="s">
        <v>1660</v>
      </c>
      <c r="F4768" s="9" t="s">
        <v>205</v>
      </c>
      <c r="G4768" s="9" t="s">
        <v>221</v>
      </c>
      <c r="H4768" s="9" t="n">
        <v>1950</v>
      </c>
      <c r="I4768" s="29" t="n">
        <v>1.5</v>
      </c>
      <c r="J4768" s="9" t="n">
        <v>1</v>
      </c>
      <c r="K4768" s="30"/>
      <c r="L4768" s="30"/>
      <c r="M4768" s="30"/>
      <c r="N4768" s="30"/>
      <c r="O4768" s="30"/>
      <c r="P4768" s="30"/>
      <c r="Q4768" s="30"/>
      <c r="R4768" s="30"/>
      <c r="S4768" s="30"/>
      <c r="T4768" s="30"/>
      <c r="U4768" s="21" t="str">
        <f aca="false">IF(COUNT(K4768:T4768)=0,"SOURCE EMPTY / INDUSTRIAL ONLY",IF(MIN(K4768:T4768)=1,"SERVICE READY","HOLD"))</f>
        <v>SOURCE EMPTY / INDUSTRIAL ONLY</v>
      </c>
      <c r="V4768" s="9" t="n">
        <f aca="false">IF(U4768="SERVICE READY",1,0)</f>
        <v>0</v>
      </c>
      <c r="W4768" s="6"/>
      <c r="X4768" s="6"/>
      <c r="Y4768" s="6"/>
      <c r="Z4768" s="6"/>
    </row>
    <row r="4769" customFormat="false" ht="15" hidden="false" customHeight="false" outlineLevel="0" collapsed="false">
      <c r="A4769" s="9" t="s">
        <v>5066</v>
      </c>
      <c r="B4769" s="9" t="s">
        <v>5019</v>
      </c>
      <c r="C4769" s="9" t="s">
        <v>5020</v>
      </c>
      <c r="D4769" s="9" t="s">
        <v>4731</v>
      </c>
      <c r="E4769" s="9" t="s">
        <v>1660</v>
      </c>
      <c r="F4769" s="9" t="s">
        <v>207</v>
      </c>
      <c r="G4769" s="9" t="s">
        <v>221</v>
      </c>
      <c r="H4769" s="9" t="n">
        <v>1950</v>
      </c>
      <c r="I4769" s="29" t="n">
        <v>1.5</v>
      </c>
      <c r="J4769" s="9" t="n">
        <v>1</v>
      </c>
      <c r="K4769" s="30"/>
      <c r="L4769" s="30"/>
      <c r="M4769" s="30"/>
      <c r="N4769" s="30"/>
      <c r="O4769" s="30"/>
      <c r="P4769" s="30"/>
      <c r="Q4769" s="30"/>
      <c r="R4769" s="30"/>
      <c r="S4769" s="30"/>
      <c r="T4769" s="30"/>
      <c r="U4769" s="21" t="str">
        <f aca="false">IF(COUNT(K4769:T4769)=0,"SOURCE EMPTY / INDUSTRIAL ONLY",IF(MIN(K4769:T4769)=1,"SERVICE READY","HOLD"))</f>
        <v>SOURCE EMPTY / INDUSTRIAL ONLY</v>
      </c>
      <c r="V4769" s="9" t="n">
        <f aca="false">IF(U4769="SERVICE READY",1,0)</f>
        <v>0</v>
      </c>
      <c r="W4769" s="6"/>
      <c r="X4769" s="6"/>
      <c r="Y4769" s="6"/>
      <c r="Z4769" s="6"/>
    </row>
    <row r="4770" customFormat="false" ht="15" hidden="false" customHeight="false" outlineLevel="0" collapsed="false">
      <c r="A4770" s="9" t="s">
        <v>5067</v>
      </c>
      <c r="B4770" s="9" t="s">
        <v>5019</v>
      </c>
      <c r="C4770" s="9" t="s">
        <v>5020</v>
      </c>
      <c r="D4770" s="9" t="s">
        <v>4731</v>
      </c>
      <c r="E4770" s="9" t="s">
        <v>1660</v>
      </c>
      <c r="F4770" s="9" t="s">
        <v>209</v>
      </c>
      <c r="G4770" s="9" t="s">
        <v>221</v>
      </c>
      <c r="H4770" s="9" t="n">
        <v>1950</v>
      </c>
      <c r="I4770" s="29" t="n">
        <v>1.5</v>
      </c>
      <c r="J4770" s="9" t="n">
        <v>1</v>
      </c>
      <c r="K4770" s="30"/>
      <c r="L4770" s="30"/>
      <c r="M4770" s="30"/>
      <c r="N4770" s="30"/>
      <c r="O4770" s="30"/>
      <c r="P4770" s="30"/>
      <c r="Q4770" s="30"/>
      <c r="R4770" s="30"/>
      <c r="S4770" s="30"/>
      <c r="T4770" s="30"/>
      <c r="U4770" s="21" t="str">
        <f aca="false">IF(COUNT(K4770:T4770)=0,"SOURCE EMPTY / INDUSTRIAL ONLY",IF(MIN(K4770:T4770)=1,"SERVICE READY","HOLD"))</f>
        <v>SOURCE EMPTY / INDUSTRIAL ONLY</v>
      </c>
      <c r="V4770" s="9" t="n">
        <f aca="false">IF(U4770="SERVICE READY",1,0)</f>
        <v>0</v>
      </c>
      <c r="W4770" s="6"/>
      <c r="X4770" s="6"/>
      <c r="Y4770" s="6"/>
      <c r="Z4770" s="6"/>
    </row>
    <row r="4771" customFormat="false" ht="15" hidden="false" customHeight="false" outlineLevel="0" collapsed="false">
      <c r="A4771" s="9" t="s">
        <v>5068</v>
      </c>
      <c r="B4771" s="9" t="s">
        <v>5019</v>
      </c>
      <c r="C4771" s="9" t="s">
        <v>5020</v>
      </c>
      <c r="D4771" s="9" t="s">
        <v>4731</v>
      </c>
      <c r="E4771" s="9" t="s">
        <v>1660</v>
      </c>
      <c r="F4771" s="9" t="s">
        <v>211</v>
      </c>
      <c r="G4771" s="9" t="s">
        <v>221</v>
      </c>
      <c r="H4771" s="9" t="n">
        <v>1950</v>
      </c>
      <c r="I4771" s="29" t="n">
        <v>1.5</v>
      </c>
      <c r="J4771" s="9" t="n">
        <v>1</v>
      </c>
      <c r="K4771" s="30"/>
      <c r="L4771" s="30"/>
      <c r="M4771" s="30"/>
      <c r="N4771" s="30"/>
      <c r="O4771" s="30"/>
      <c r="P4771" s="30"/>
      <c r="Q4771" s="30"/>
      <c r="R4771" s="30"/>
      <c r="S4771" s="30"/>
      <c r="T4771" s="30"/>
      <c r="U4771" s="21" t="str">
        <f aca="false">IF(COUNT(K4771:T4771)=0,"SOURCE EMPTY / INDUSTRIAL ONLY",IF(MIN(K4771:T4771)=1,"SERVICE READY","HOLD"))</f>
        <v>SOURCE EMPTY / INDUSTRIAL ONLY</v>
      </c>
      <c r="V4771" s="9" t="n">
        <f aca="false">IF(U4771="SERVICE READY",1,0)</f>
        <v>0</v>
      </c>
      <c r="W4771" s="6"/>
      <c r="X4771" s="6"/>
      <c r="Y4771" s="6"/>
      <c r="Z4771" s="6"/>
    </row>
    <row r="4772" customFormat="false" ht="15" hidden="false" customHeight="false" outlineLevel="0" collapsed="false">
      <c r="A4772" s="9" t="s">
        <v>5069</v>
      </c>
      <c r="B4772" s="9" t="s">
        <v>5019</v>
      </c>
      <c r="C4772" s="9" t="s">
        <v>5020</v>
      </c>
      <c r="D4772" s="9" t="s">
        <v>4731</v>
      </c>
      <c r="E4772" s="9" t="s">
        <v>1660</v>
      </c>
      <c r="F4772" s="9" t="s">
        <v>197</v>
      </c>
      <c r="G4772" s="9" t="s">
        <v>221</v>
      </c>
      <c r="H4772" s="9" t="n">
        <v>1950</v>
      </c>
      <c r="I4772" s="29" t="n">
        <v>1.5</v>
      </c>
      <c r="J4772" s="9" t="n">
        <v>1</v>
      </c>
      <c r="K4772" s="30"/>
      <c r="L4772" s="30"/>
      <c r="M4772" s="30"/>
      <c r="N4772" s="30"/>
      <c r="O4772" s="30"/>
      <c r="P4772" s="30"/>
      <c r="Q4772" s="30"/>
      <c r="R4772" s="30"/>
      <c r="S4772" s="30"/>
      <c r="T4772" s="30"/>
      <c r="U4772" s="21" t="str">
        <f aca="false">IF(COUNT(K4772:T4772)=0,"SOURCE EMPTY / INDUSTRIAL ONLY",IF(MIN(K4772:T4772)=1,"SERVICE READY","HOLD"))</f>
        <v>SOURCE EMPTY / INDUSTRIAL ONLY</v>
      </c>
      <c r="V4772" s="9" t="n">
        <f aca="false">IF(U4772="SERVICE READY",1,0)</f>
        <v>0</v>
      </c>
      <c r="W4772" s="6"/>
      <c r="X4772" s="6"/>
      <c r="Y4772" s="6"/>
      <c r="Z4772" s="6"/>
    </row>
    <row r="4773" customFormat="false" ht="15" hidden="false" customHeight="false" outlineLevel="0" collapsed="false">
      <c r="A4773" s="9" t="s">
        <v>5070</v>
      </c>
      <c r="B4773" s="9" t="s">
        <v>5019</v>
      </c>
      <c r="C4773" s="9" t="s">
        <v>5020</v>
      </c>
      <c r="D4773" s="9" t="s">
        <v>4731</v>
      </c>
      <c r="E4773" s="9" t="s">
        <v>1660</v>
      </c>
      <c r="F4773" s="9" t="s">
        <v>200</v>
      </c>
      <c r="G4773" s="9" t="s">
        <v>221</v>
      </c>
      <c r="H4773" s="9" t="n">
        <v>1950</v>
      </c>
      <c r="I4773" s="29" t="n">
        <v>1.5</v>
      </c>
      <c r="J4773" s="9" t="n">
        <v>1</v>
      </c>
      <c r="K4773" s="30"/>
      <c r="L4773" s="30"/>
      <c r="M4773" s="30"/>
      <c r="N4773" s="30"/>
      <c r="O4773" s="30"/>
      <c r="P4773" s="30"/>
      <c r="Q4773" s="30"/>
      <c r="R4773" s="30"/>
      <c r="S4773" s="30"/>
      <c r="T4773" s="30"/>
      <c r="U4773" s="21" t="str">
        <f aca="false">IF(COUNT(K4773:T4773)=0,"SOURCE EMPTY / INDUSTRIAL ONLY",IF(MIN(K4773:T4773)=1,"SERVICE READY","HOLD"))</f>
        <v>SOURCE EMPTY / INDUSTRIAL ONLY</v>
      </c>
      <c r="V4773" s="9" t="n">
        <f aca="false">IF(U4773="SERVICE READY",1,0)</f>
        <v>0</v>
      </c>
      <c r="W4773" s="6"/>
      <c r="X4773" s="6"/>
      <c r="Y4773" s="6"/>
      <c r="Z4773" s="6"/>
    </row>
    <row r="4774" customFormat="false" ht="15" hidden="false" customHeight="false" outlineLevel="0" collapsed="false">
      <c r="A4774" s="9" t="s">
        <v>5071</v>
      </c>
      <c r="B4774" s="9" t="s">
        <v>5019</v>
      </c>
      <c r="C4774" s="9" t="s">
        <v>5020</v>
      </c>
      <c r="D4774" s="9" t="s">
        <v>4731</v>
      </c>
      <c r="E4774" s="9" t="s">
        <v>1660</v>
      </c>
      <c r="F4774" s="9" t="s">
        <v>203</v>
      </c>
      <c r="G4774" s="9" t="s">
        <v>221</v>
      </c>
      <c r="H4774" s="9" t="n">
        <v>1950</v>
      </c>
      <c r="I4774" s="29" t="n">
        <v>1.5</v>
      </c>
      <c r="J4774" s="9" t="n">
        <v>1</v>
      </c>
      <c r="K4774" s="30"/>
      <c r="L4774" s="30"/>
      <c r="M4774" s="30"/>
      <c r="N4774" s="30"/>
      <c r="O4774" s="30"/>
      <c r="P4774" s="30"/>
      <c r="Q4774" s="30"/>
      <c r="R4774" s="30"/>
      <c r="S4774" s="30"/>
      <c r="T4774" s="30"/>
      <c r="U4774" s="21" t="str">
        <f aca="false">IF(COUNT(K4774:T4774)=0,"SOURCE EMPTY / INDUSTRIAL ONLY",IF(MIN(K4774:T4774)=1,"SERVICE READY","HOLD"))</f>
        <v>SOURCE EMPTY / INDUSTRIAL ONLY</v>
      </c>
      <c r="V4774" s="9" t="n">
        <f aca="false">IF(U4774="SERVICE READY",1,0)</f>
        <v>0</v>
      </c>
      <c r="W4774" s="6"/>
      <c r="X4774" s="6"/>
      <c r="Y4774" s="6"/>
      <c r="Z4774" s="6"/>
    </row>
    <row r="4775" customFormat="false" ht="15" hidden="false" customHeight="false" outlineLevel="0" collapsed="false">
      <c r="A4775" s="9" t="s">
        <v>5072</v>
      </c>
      <c r="B4775" s="9" t="s">
        <v>5019</v>
      </c>
      <c r="C4775" s="9" t="s">
        <v>5020</v>
      </c>
      <c r="D4775" s="9" t="s">
        <v>4731</v>
      </c>
      <c r="E4775" s="9" t="s">
        <v>1660</v>
      </c>
      <c r="F4775" s="9" t="s">
        <v>205</v>
      </c>
      <c r="G4775" s="9" t="s">
        <v>221</v>
      </c>
      <c r="H4775" s="9" t="n">
        <v>1950</v>
      </c>
      <c r="I4775" s="29" t="n">
        <v>1.5</v>
      </c>
      <c r="J4775" s="9" t="n">
        <v>1</v>
      </c>
      <c r="K4775" s="30"/>
      <c r="L4775" s="30"/>
      <c r="M4775" s="30"/>
      <c r="N4775" s="30"/>
      <c r="O4775" s="30"/>
      <c r="P4775" s="30"/>
      <c r="Q4775" s="30"/>
      <c r="R4775" s="30"/>
      <c r="S4775" s="30"/>
      <c r="T4775" s="30"/>
      <c r="U4775" s="21" t="str">
        <f aca="false">IF(COUNT(K4775:T4775)=0,"SOURCE EMPTY / INDUSTRIAL ONLY",IF(MIN(K4775:T4775)=1,"SERVICE READY","HOLD"))</f>
        <v>SOURCE EMPTY / INDUSTRIAL ONLY</v>
      </c>
      <c r="V4775" s="9" t="n">
        <f aca="false">IF(U4775="SERVICE READY",1,0)</f>
        <v>0</v>
      </c>
      <c r="W4775" s="6"/>
      <c r="X4775" s="6"/>
      <c r="Y4775" s="6"/>
      <c r="Z4775" s="6"/>
    </row>
    <row r="4776" customFormat="false" ht="15" hidden="false" customHeight="false" outlineLevel="0" collapsed="false">
      <c r="A4776" s="9" t="s">
        <v>5073</v>
      </c>
      <c r="B4776" s="9" t="s">
        <v>5019</v>
      </c>
      <c r="C4776" s="9" t="s">
        <v>5020</v>
      </c>
      <c r="D4776" s="9" t="s">
        <v>4731</v>
      </c>
      <c r="E4776" s="9" t="s">
        <v>1660</v>
      </c>
      <c r="F4776" s="9" t="s">
        <v>207</v>
      </c>
      <c r="G4776" s="9" t="s">
        <v>221</v>
      </c>
      <c r="H4776" s="9" t="n">
        <v>1950</v>
      </c>
      <c r="I4776" s="29" t="n">
        <v>1.5</v>
      </c>
      <c r="J4776" s="9" t="n">
        <v>1</v>
      </c>
      <c r="K4776" s="30"/>
      <c r="L4776" s="30"/>
      <c r="M4776" s="30"/>
      <c r="N4776" s="30"/>
      <c r="O4776" s="30"/>
      <c r="P4776" s="30"/>
      <c r="Q4776" s="30"/>
      <c r="R4776" s="30"/>
      <c r="S4776" s="30"/>
      <c r="T4776" s="30"/>
      <c r="U4776" s="21" t="str">
        <f aca="false">IF(COUNT(K4776:T4776)=0,"SOURCE EMPTY / INDUSTRIAL ONLY",IF(MIN(K4776:T4776)=1,"SERVICE READY","HOLD"))</f>
        <v>SOURCE EMPTY / INDUSTRIAL ONLY</v>
      </c>
      <c r="V4776" s="9" t="n">
        <f aca="false">IF(U4776="SERVICE READY",1,0)</f>
        <v>0</v>
      </c>
      <c r="W4776" s="6"/>
      <c r="X4776" s="6"/>
      <c r="Y4776" s="6"/>
      <c r="Z4776" s="6"/>
    </row>
    <row r="4777" customFormat="false" ht="15" hidden="false" customHeight="false" outlineLevel="0" collapsed="false">
      <c r="A4777" s="9" t="s">
        <v>5074</v>
      </c>
      <c r="B4777" s="9" t="s">
        <v>5019</v>
      </c>
      <c r="C4777" s="9" t="s">
        <v>5020</v>
      </c>
      <c r="D4777" s="9" t="s">
        <v>4731</v>
      </c>
      <c r="E4777" s="9" t="s">
        <v>1660</v>
      </c>
      <c r="F4777" s="9" t="s">
        <v>209</v>
      </c>
      <c r="G4777" s="9" t="s">
        <v>221</v>
      </c>
      <c r="H4777" s="9" t="n">
        <v>1950</v>
      </c>
      <c r="I4777" s="29" t="n">
        <v>1.5</v>
      </c>
      <c r="J4777" s="9" t="n">
        <v>1</v>
      </c>
      <c r="K4777" s="30"/>
      <c r="L4777" s="30"/>
      <c r="M4777" s="30"/>
      <c r="N4777" s="30"/>
      <c r="O4777" s="30"/>
      <c r="P4777" s="30"/>
      <c r="Q4777" s="30"/>
      <c r="R4777" s="30"/>
      <c r="S4777" s="30"/>
      <c r="T4777" s="30"/>
      <c r="U4777" s="21" t="str">
        <f aca="false">IF(COUNT(K4777:T4777)=0,"SOURCE EMPTY / INDUSTRIAL ONLY",IF(MIN(K4777:T4777)=1,"SERVICE READY","HOLD"))</f>
        <v>SOURCE EMPTY / INDUSTRIAL ONLY</v>
      </c>
      <c r="V4777" s="9" t="n">
        <f aca="false">IF(U4777="SERVICE READY",1,0)</f>
        <v>0</v>
      </c>
      <c r="W4777" s="6"/>
      <c r="X4777" s="6"/>
      <c r="Y4777" s="6"/>
      <c r="Z4777" s="6"/>
    </row>
    <row r="4778" customFormat="false" ht="15" hidden="false" customHeight="false" outlineLevel="0" collapsed="false">
      <c r="A4778" s="9" t="s">
        <v>5075</v>
      </c>
      <c r="B4778" s="9" t="s">
        <v>5019</v>
      </c>
      <c r="C4778" s="9" t="s">
        <v>5020</v>
      </c>
      <c r="D4778" s="9" t="s">
        <v>4731</v>
      </c>
      <c r="E4778" s="9" t="s">
        <v>1660</v>
      </c>
      <c r="F4778" s="9" t="s">
        <v>211</v>
      </c>
      <c r="G4778" s="9" t="s">
        <v>221</v>
      </c>
      <c r="H4778" s="9" t="n">
        <v>1950</v>
      </c>
      <c r="I4778" s="29" t="n">
        <v>1.5</v>
      </c>
      <c r="J4778" s="9" t="n">
        <v>1</v>
      </c>
      <c r="K4778" s="30"/>
      <c r="L4778" s="30"/>
      <c r="M4778" s="30"/>
      <c r="N4778" s="30"/>
      <c r="O4778" s="30"/>
      <c r="P4778" s="30"/>
      <c r="Q4778" s="30"/>
      <c r="R4778" s="30"/>
      <c r="S4778" s="30"/>
      <c r="T4778" s="30"/>
      <c r="U4778" s="21" t="str">
        <f aca="false">IF(COUNT(K4778:T4778)=0,"SOURCE EMPTY / INDUSTRIAL ONLY",IF(MIN(K4778:T4778)=1,"SERVICE READY","HOLD"))</f>
        <v>SOURCE EMPTY / INDUSTRIAL ONLY</v>
      </c>
      <c r="V4778" s="9" t="n">
        <f aca="false">IF(U4778="SERVICE READY",1,0)</f>
        <v>0</v>
      </c>
      <c r="W4778" s="6"/>
      <c r="X4778" s="6"/>
      <c r="Y4778" s="6"/>
      <c r="Z4778" s="6"/>
    </row>
    <row r="4779" customFormat="false" ht="15" hidden="false" customHeight="false" outlineLevel="0" collapsed="false">
      <c r="A4779" s="9" t="s">
        <v>5076</v>
      </c>
      <c r="B4779" s="9" t="s">
        <v>5019</v>
      </c>
      <c r="C4779" s="9" t="s">
        <v>5020</v>
      </c>
      <c r="D4779" s="9" t="s">
        <v>4731</v>
      </c>
      <c r="E4779" s="9" t="s">
        <v>1660</v>
      </c>
      <c r="F4779" s="9" t="s">
        <v>197</v>
      </c>
      <c r="G4779" s="9" t="s">
        <v>221</v>
      </c>
      <c r="H4779" s="9" t="n">
        <v>1950</v>
      </c>
      <c r="I4779" s="29" t="n">
        <v>1.5</v>
      </c>
      <c r="J4779" s="9" t="n">
        <v>1</v>
      </c>
      <c r="K4779" s="30"/>
      <c r="L4779" s="30"/>
      <c r="M4779" s="30"/>
      <c r="N4779" s="30"/>
      <c r="O4779" s="30"/>
      <c r="P4779" s="30"/>
      <c r="Q4779" s="30"/>
      <c r="R4779" s="30"/>
      <c r="S4779" s="30"/>
      <c r="T4779" s="30"/>
      <c r="U4779" s="21" t="str">
        <f aca="false">IF(COUNT(K4779:T4779)=0,"SOURCE EMPTY / INDUSTRIAL ONLY",IF(MIN(K4779:T4779)=1,"SERVICE READY","HOLD"))</f>
        <v>SOURCE EMPTY / INDUSTRIAL ONLY</v>
      </c>
      <c r="V4779" s="9" t="n">
        <f aca="false">IF(U4779="SERVICE READY",1,0)</f>
        <v>0</v>
      </c>
      <c r="W4779" s="6"/>
      <c r="X4779" s="6"/>
      <c r="Y4779" s="6"/>
      <c r="Z4779" s="6"/>
    </row>
    <row r="4780" customFormat="false" ht="15" hidden="false" customHeight="false" outlineLevel="0" collapsed="false">
      <c r="A4780" s="9" t="s">
        <v>5077</v>
      </c>
      <c r="B4780" s="9" t="s">
        <v>5019</v>
      </c>
      <c r="C4780" s="9" t="s">
        <v>5020</v>
      </c>
      <c r="D4780" s="9" t="s">
        <v>4731</v>
      </c>
      <c r="E4780" s="9" t="s">
        <v>1660</v>
      </c>
      <c r="F4780" s="9" t="s">
        <v>200</v>
      </c>
      <c r="G4780" s="9" t="s">
        <v>221</v>
      </c>
      <c r="H4780" s="9" t="n">
        <v>1950</v>
      </c>
      <c r="I4780" s="29" t="n">
        <v>1.5</v>
      </c>
      <c r="J4780" s="9" t="n">
        <v>1</v>
      </c>
      <c r="K4780" s="30"/>
      <c r="L4780" s="30"/>
      <c r="M4780" s="30"/>
      <c r="N4780" s="30"/>
      <c r="O4780" s="30"/>
      <c r="P4780" s="30"/>
      <c r="Q4780" s="30"/>
      <c r="R4780" s="30"/>
      <c r="S4780" s="30"/>
      <c r="T4780" s="30"/>
      <c r="U4780" s="21" t="str">
        <f aca="false">IF(COUNT(K4780:T4780)=0,"SOURCE EMPTY / INDUSTRIAL ONLY",IF(MIN(K4780:T4780)=1,"SERVICE READY","HOLD"))</f>
        <v>SOURCE EMPTY / INDUSTRIAL ONLY</v>
      </c>
      <c r="V4780" s="9" t="n">
        <f aca="false">IF(U4780="SERVICE READY",1,0)</f>
        <v>0</v>
      </c>
      <c r="W4780" s="6"/>
      <c r="X4780" s="6"/>
      <c r="Y4780" s="6"/>
      <c r="Z4780" s="6"/>
    </row>
    <row r="4781" customFormat="false" ht="15" hidden="false" customHeight="false" outlineLevel="0" collapsed="false">
      <c r="A4781" s="9" t="s">
        <v>5078</v>
      </c>
      <c r="B4781" s="9" t="s">
        <v>5019</v>
      </c>
      <c r="C4781" s="9" t="s">
        <v>5020</v>
      </c>
      <c r="D4781" s="9" t="s">
        <v>4731</v>
      </c>
      <c r="E4781" s="9" t="s">
        <v>1660</v>
      </c>
      <c r="F4781" s="9" t="s">
        <v>203</v>
      </c>
      <c r="G4781" s="9" t="s">
        <v>221</v>
      </c>
      <c r="H4781" s="9" t="n">
        <v>1950</v>
      </c>
      <c r="I4781" s="29" t="n">
        <v>1.5</v>
      </c>
      <c r="J4781" s="9" t="n">
        <v>1</v>
      </c>
      <c r="K4781" s="30"/>
      <c r="L4781" s="30"/>
      <c r="M4781" s="30"/>
      <c r="N4781" s="30"/>
      <c r="O4781" s="30"/>
      <c r="P4781" s="30"/>
      <c r="Q4781" s="30"/>
      <c r="R4781" s="30"/>
      <c r="S4781" s="30"/>
      <c r="T4781" s="30"/>
      <c r="U4781" s="21" t="str">
        <f aca="false">IF(COUNT(K4781:T4781)=0,"SOURCE EMPTY / INDUSTRIAL ONLY",IF(MIN(K4781:T4781)=1,"SERVICE READY","HOLD"))</f>
        <v>SOURCE EMPTY / INDUSTRIAL ONLY</v>
      </c>
      <c r="V4781" s="9" t="n">
        <f aca="false">IF(U4781="SERVICE READY",1,0)</f>
        <v>0</v>
      </c>
      <c r="W4781" s="6"/>
      <c r="X4781" s="6"/>
      <c r="Y4781" s="6"/>
      <c r="Z4781" s="6"/>
    </row>
    <row r="4782" customFormat="false" ht="15" hidden="false" customHeight="false" outlineLevel="0" collapsed="false">
      <c r="A4782" s="9" t="s">
        <v>5079</v>
      </c>
      <c r="B4782" s="9" t="s">
        <v>5019</v>
      </c>
      <c r="C4782" s="9" t="s">
        <v>5020</v>
      </c>
      <c r="D4782" s="9" t="s">
        <v>4731</v>
      </c>
      <c r="E4782" s="9" t="s">
        <v>1660</v>
      </c>
      <c r="F4782" s="9" t="s">
        <v>205</v>
      </c>
      <c r="G4782" s="9" t="s">
        <v>221</v>
      </c>
      <c r="H4782" s="9" t="n">
        <v>1950</v>
      </c>
      <c r="I4782" s="29" t="n">
        <v>1.5</v>
      </c>
      <c r="J4782" s="9" t="n">
        <v>1</v>
      </c>
      <c r="K4782" s="30"/>
      <c r="L4782" s="30"/>
      <c r="M4782" s="30"/>
      <c r="N4782" s="30"/>
      <c r="O4782" s="30"/>
      <c r="P4782" s="30"/>
      <c r="Q4782" s="30"/>
      <c r="R4782" s="30"/>
      <c r="S4782" s="30"/>
      <c r="T4782" s="30"/>
      <c r="U4782" s="21" t="str">
        <f aca="false">IF(COUNT(K4782:T4782)=0,"SOURCE EMPTY / INDUSTRIAL ONLY",IF(MIN(K4782:T4782)=1,"SERVICE READY","HOLD"))</f>
        <v>SOURCE EMPTY / INDUSTRIAL ONLY</v>
      </c>
      <c r="V4782" s="9" t="n">
        <f aca="false">IF(U4782="SERVICE READY",1,0)</f>
        <v>0</v>
      </c>
      <c r="W4782" s="6"/>
      <c r="X4782" s="6"/>
      <c r="Y4782" s="6"/>
      <c r="Z4782" s="6"/>
    </row>
    <row r="4783" customFormat="false" ht="15" hidden="false" customHeight="false" outlineLevel="0" collapsed="false">
      <c r="A4783" s="9" t="s">
        <v>5080</v>
      </c>
      <c r="B4783" s="9" t="s">
        <v>5019</v>
      </c>
      <c r="C4783" s="9" t="s">
        <v>5020</v>
      </c>
      <c r="D4783" s="9" t="s">
        <v>4731</v>
      </c>
      <c r="E4783" s="9" t="s">
        <v>1660</v>
      </c>
      <c r="F4783" s="9" t="s">
        <v>207</v>
      </c>
      <c r="G4783" s="9" t="s">
        <v>221</v>
      </c>
      <c r="H4783" s="9" t="n">
        <v>1950</v>
      </c>
      <c r="I4783" s="29" t="n">
        <v>1.5</v>
      </c>
      <c r="J4783" s="9" t="n">
        <v>1</v>
      </c>
      <c r="K4783" s="30"/>
      <c r="L4783" s="30"/>
      <c r="M4783" s="30"/>
      <c r="N4783" s="30"/>
      <c r="O4783" s="30"/>
      <c r="P4783" s="30"/>
      <c r="Q4783" s="30"/>
      <c r="R4783" s="30"/>
      <c r="S4783" s="30"/>
      <c r="T4783" s="30"/>
      <c r="U4783" s="21" t="str">
        <f aca="false">IF(COUNT(K4783:T4783)=0,"SOURCE EMPTY / INDUSTRIAL ONLY",IF(MIN(K4783:T4783)=1,"SERVICE READY","HOLD"))</f>
        <v>SOURCE EMPTY / INDUSTRIAL ONLY</v>
      </c>
      <c r="V4783" s="9" t="n">
        <f aca="false">IF(U4783="SERVICE READY",1,0)</f>
        <v>0</v>
      </c>
      <c r="W4783" s="6"/>
      <c r="X4783" s="6"/>
      <c r="Y4783" s="6"/>
      <c r="Z4783" s="6"/>
    </row>
    <row r="4784" customFormat="false" ht="15" hidden="false" customHeight="false" outlineLevel="0" collapsed="false">
      <c r="A4784" s="9" t="s">
        <v>5081</v>
      </c>
      <c r="B4784" s="9" t="s">
        <v>5019</v>
      </c>
      <c r="C4784" s="9" t="s">
        <v>5020</v>
      </c>
      <c r="D4784" s="9" t="s">
        <v>4731</v>
      </c>
      <c r="E4784" s="9" t="s">
        <v>1660</v>
      </c>
      <c r="F4784" s="9" t="s">
        <v>209</v>
      </c>
      <c r="G4784" s="9" t="s">
        <v>221</v>
      </c>
      <c r="H4784" s="9" t="n">
        <v>1950</v>
      </c>
      <c r="I4784" s="29" t="n">
        <v>1.5</v>
      </c>
      <c r="J4784" s="9" t="n">
        <v>1</v>
      </c>
      <c r="K4784" s="30"/>
      <c r="L4784" s="30"/>
      <c r="M4784" s="30"/>
      <c r="N4784" s="30"/>
      <c r="O4784" s="30"/>
      <c r="P4784" s="30"/>
      <c r="Q4784" s="30"/>
      <c r="R4784" s="30"/>
      <c r="S4784" s="30"/>
      <c r="T4784" s="30"/>
      <c r="U4784" s="21" t="str">
        <f aca="false">IF(COUNT(K4784:T4784)=0,"SOURCE EMPTY / INDUSTRIAL ONLY",IF(MIN(K4784:T4784)=1,"SERVICE READY","HOLD"))</f>
        <v>SOURCE EMPTY / INDUSTRIAL ONLY</v>
      </c>
      <c r="V4784" s="9" t="n">
        <f aca="false">IF(U4784="SERVICE READY",1,0)</f>
        <v>0</v>
      </c>
      <c r="W4784" s="6"/>
      <c r="X4784" s="6"/>
      <c r="Y4784" s="6"/>
      <c r="Z4784" s="6"/>
    </row>
    <row r="4785" customFormat="false" ht="15" hidden="false" customHeight="false" outlineLevel="0" collapsed="false">
      <c r="A4785" s="9" t="s">
        <v>5082</v>
      </c>
      <c r="B4785" s="9" t="s">
        <v>5019</v>
      </c>
      <c r="C4785" s="9" t="s">
        <v>5020</v>
      </c>
      <c r="D4785" s="9" t="s">
        <v>4731</v>
      </c>
      <c r="E4785" s="9" t="s">
        <v>1660</v>
      </c>
      <c r="F4785" s="9" t="s">
        <v>211</v>
      </c>
      <c r="G4785" s="9" t="s">
        <v>221</v>
      </c>
      <c r="H4785" s="9" t="n">
        <v>1950</v>
      </c>
      <c r="I4785" s="29" t="n">
        <v>1.5</v>
      </c>
      <c r="J4785" s="9" t="n">
        <v>1</v>
      </c>
      <c r="K4785" s="30"/>
      <c r="L4785" s="30"/>
      <c r="M4785" s="30"/>
      <c r="N4785" s="30"/>
      <c r="O4785" s="30"/>
      <c r="P4785" s="30"/>
      <c r="Q4785" s="30"/>
      <c r="R4785" s="30"/>
      <c r="S4785" s="30"/>
      <c r="T4785" s="30"/>
      <c r="U4785" s="21" t="str">
        <f aca="false">IF(COUNT(K4785:T4785)=0,"SOURCE EMPTY / INDUSTRIAL ONLY",IF(MIN(K4785:T4785)=1,"SERVICE READY","HOLD"))</f>
        <v>SOURCE EMPTY / INDUSTRIAL ONLY</v>
      </c>
      <c r="V4785" s="9" t="n">
        <f aca="false">IF(U4785="SERVICE READY",1,0)</f>
        <v>0</v>
      </c>
      <c r="W4785" s="6"/>
      <c r="X4785" s="6"/>
      <c r="Y4785" s="6"/>
      <c r="Z4785" s="6"/>
    </row>
    <row r="4786" customFormat="false" ht="15" hidden="false" customHeight="false" outlineLevel="0" collapsed="false">
      <c r="A4786" s="9" t="s">
        <v>5083</v>
      </c>
      <c r="B4786" s="9" t="s">
        <v>5019</v>
      </c>
      <c r="C4786" s="9" t="s">
        <v>5020</v>
      </c>
      <c r="D4786" s="9" t="s">
        <v>4731</v>
      </c>
      <c r="E4786" s="9" t="s">
        <v>1660</v>
      </c>
      <c r="F4786" s="9" t="s">
        <v>197</v>
      </c>
      <c r="G4786" s="9" t="s">
        <v>221</v>
      </c>
      <c r="H4786" s="9" t="n">
        <v>1950</v>
      </c>
      <c r="I4786" s="29" t="n">
        <v>1.5</v>
      </c>
      <c r="J4786" s="9" t="n">
        <v>1</v>
      </c>
      <c r="K4786" s="30"/>
      <c r="L4786" s="30"/>
      <c r="M4786" s="30"/>
      <c r="N4786" s="30"/>
      <c r="O4786" s="30"/>
      <c r="P4786" s="30"/>
      <c r="Q4786" s="30"/>
      <c r="R4786" s="30"/>
      <c r="S4786" s="30"/>
      <c r="T4786" s="30"/>
      <c r="U4786" s="21" t="str">
        <f aca="false">IF(COUNT(K4786:T4786)=0,"SOURCE EMPTY / INDUSTRIAL ONLY",IF(MIN(K4786:T4786)=1,"SERVICE READY","HOLD"))</f>
        <v>SOURCE EMPTY / INDUSTRIAL ONLY</v>
      </c>
      <c r="V4786" s="9" t="n">
        <f aca="false">IF(U4786="SERVICE READY",1,0)</f>
        <v>0</v>
      </c>
      <c r="W4786" s="6"/>
      <c r="X4786" s="6"/>
      <c r="Y4786" s="6"/>
      <c r="Z4786" s="6"/>
    </row>
    <row r="4787" customFormat="false" ht="15" hidden="false" customHeight="false" outlineLevel="0" collapsed="false">
      <c r="A4787" s="9" t="s">
        <v>5084</v>
      </c>
      <c r="B4787" s="9" t="s">
        <v>5019</v>
      </c>
      <c r="C4787" s="9" t="s">
        <v>5020</v>
      </c>
      <c r="D4787" s="9" t="s">
        <v>4731</v>
      </c>
      <c r="E4787" s="9" t="s">
        <v>1660</v>
      </c>
      <c r="F4787" s="9" t="s">
        <v>200</v>
      </c>
      <c r="G4787" s="9" t="s">
        <v>221</v>
      </c>
      <c r="H4787" s="9" t="n">
        <v>1950</v>
      </c>
      <c r="I4787" s="29" t="n">
        <v>1.5</v>
      </c>
      <c r="J4787" s="9" t="n">
        <v>1</v>
      </c>
      <c r="K4787" s="30"/>
      <c r="L4787" s="30"/>
      <c r="M4787" s="30"/>
      <c r="N4787" s="30"/>
      <c r="O4787" s="30"/>
      <c r="P4787" s="30"/>
      <c r="Q4787" s="30"/>
      <c r="R4787" s="30"/>
      <c r="S4787" s="30"/>
      <c r="T4787" s="30"/>
      <c r="U4787" s="21" t="str">
        <f aca="false">IF(COUNT(K4787:T4787)=0,"SOURCE EMPTY / INDUSTRIAL ONLY",IF(MIN(K4787:T4787)=1,"SERVICE READY","HOLD"))</f>
        <v>SOURCE EMPTY / INDUSTRIAL ONLY</v>
      </c>
      <c r="V4787" s="9" t="n">
        <f aca="false">IF(U4787="SERVICE READY",1,0)</f>
        <v>0</v>
      </c>
      <c r="W4787" s="6"/>
      <c r="X4787" s="6"/>
      <c r="Y4787" s="6"/>
      <c r="Z4787" s="6"/>
    </row>
    <row r="4788" customFormat="false" ht="15" hidden="false" customHeight="false" outlineLevel="0" collapsed="false">
      <c r="A4788" s="9" t="s">
        <v>5085</v>
      </c>
      <c r="B4788" s="9" t="s">
        <v>5019</v>
      </c>
      <c r="C4788" s="9" t="s">
        <v>5020</v>
      </c>
      <c r="D4788" s="9" t="s">
        <v>4731</v>
      </c>
      <c r="E4788" s="9" t="s">
        <v>1660</v>
      </c>
      <c r="F4788" s="9" t="s">
        <v>203</v>
      </c>
      <c r="G4788" s="9" t="s">
        <v>221</v>
      </c>
      <c r="H4788" s="9" t="n">
        <v>1950</v>
      </c>
      <c r="I4788" s="29" t="n">
        <v>1.5</v>
      </c>
      <c r="J4788" s="9" t="n">
        <v>1</v>
      </c>
      <c r="K4788" s="30"/>
      <c r="L4788" s="30"/>
      <c r="M4788" s="30"/>
      <c r="N4788" s="30"/>
      <c r="O4788" s="30"/>
      <c r="P4788" s="30"/>
      <c r="Q4788" s="30"/>
      <c r="R4788" s="30"/>
      <c r="S4788" s="30"/>
      <c r="T4788" s="30"/>
      <c r="U4788" s="21" t="str">
        <f aca="false">IF(COUNT(K4788:T4788)=0,"SOURCE EMPTY / INDUSTRIAL ONLY",IF(MIN(K4788:T4788)=1,"SERVICE READY","HOLD"))</f>
        <v>SOURCE EMPTY / INDUSTRIAL ONLY</v>
      </c>
      <c r="V4788" s="9" t="n">
        <f aca="false">IF(U4788="SERVICE READY",1,0)</f>
        <v>0</v>
      </c>
      <c r="W4788" s="6"/>
      <c r="X4788" s="6"/>
      <c r="Y4788" s="6"/>
      <c r="Z4788" s="6"/>
    </row>
    <row r="4789" customFormat="false" ht="15" hidden="false" customHeight="false" outlineLevel="0" collapsed="false">
      <c r="A4789" s="9" t="s">
        <v>5086</v>
      </c>
      <c r="B4789" s="9" t="s">
        <v>5019</v>
      </c>
      <c r="C4789" s="9" t="s">
        <v>5020</v>
      </c>
      <c r="D4789" s="9" t="s">
        <v>4731</v>
      </c>
      <c r="E4789" s="9" t="s">
        <v>1660</v>
      </c>
      <c r="F4789" s="9" t="s">
        <v>205</v>
      </c>
      <c r="G4789" s="9" t="s">
        <v>221</v>
      </c>
      <c r="H4789" s="9" t="n">
        <v>1950</v>
      </c>
      <c r="I4789" s="29" t="n">
        <v>1.5</v>
      </c>
      <c r="J4789" s="9" t="n">
        <v>1</v>
      </c>
      <c r="K4789" s="30"/>
      <c r="L4789" s="30"/>
      <c r="M4789" s="30"/>
      <c r="N4789" s="30"/>
      <c r="O4789" s="30"/>
      <c r="P4789" s="30"/>
      <c r="Q4789" s="30"/>
      <c r="R4789" s="30"/>
      <c r="S4789" s="30"/>
      <c r="T4789" s="30"/>
      <c r="U4789" s="21" t="str">
        <f aca="false">IF(COUNT(K4789:T4789)=0,"SOURCE EMPTY / INDUSTRIAL ONLY",IF(MIN(K4789:T4789)=1,"SERVICE READY","HOLD"))</f>
        <v>SOURCE EMPTY / INDUSTRIAL ONLY</v>
      </c>
      <c r="V4789" s="9" t="n">
        <f aca="false">IF(U4789="SERVICE READY",1,0)</f>
        <v>0</v>
      </c>
      <c r="W4789" s="6"/>
      <c r="X4789" s="6"/>
      <c r="Y4789" s="6"/>
      <c r="Z4789" s="6"/>
    </row>
    <row r="4790" customFormat="false" ht="15" hidden="false" customHeight="false" outlineLevel="0" collapsed="false">
      <c r="A4790" s="9" t="s">
        <v>5087</v>
      </c>
      <c r="B4790" s="9" t="s">
        <v>5019</v>
      </c>
      <c r="C4790" s="9" t="s">
        <v>5020</v>
      </c>
      <c r="D4790" s="9" t="s">
        <v>4731</v>
      </c>
      <c r="E4790" s="9" t="s">
        <v>1660</v>
      </c>
      <c r="F4790" s="9" t="s">
        <v>207</v>
      </c>
      <c r="G4790" s="9" t="s">
        <v>221</v>
      </c>
      <c r="H4790" s="9" t="n">
        <v>1950</v>
      </c>
      <c r="I4790" s="29" t="n">
        <v>1.5</v>
      </c>
      <c r="J4790" s="9" t="n">
        <v>1</v>
      </c>
      <c r="K4790" s="30"/>
      <c r="L4790" s="30"/>
      <c r="M4790" s="30"/>
      <c r="N4790" s="30"/>
      <c r="O4790" s="30"/>
      <c r="P4790" s="30"/>
      <c r="Q4790" s="30"/>
      <c r="R4790" s="30"/>
      <c r="S4790" s="30"/>
      <c r="T4790" s="30"/>
      <c r="U4790" s="21" t="str">
        <f aca="false">IF(COUNT(K4790:T4790)=0,"SOURCE EMPTY / INDUSTRIAL ONLY",IF(MIN(K4790:T4790)=1,"SERVICE READY","HOLD"))</f>
        <v>SOURCE EMPTY / INDUSTRIAL ONLY</v>
      </c>
      <c r="V4790" s="9" t="n">
        <f aca="false">IF(U4790="SERVICE READY",1,0)</f>
        <v>0</v>
      </c>
      <c r="W4790" s="6"/>
      <c r="X4790" s="6"/>
      <c r="Y4790" s="6"/>
      <c r="Z4790" s="6"/>
    </row>
    <row r="4791" customFormat="false" ht="15" hidden="false" customHeight="false" outlineLevel="0" collapsed="false">
      <c r="A4791" s="9" t="s">
        <v>5088</v>
      </c>
      <c r="B4791" s="9" t="s">
        <v>5019</v>
      </c>
      <c r="C4791" s="9" t="s">
        <v>5020</v>
      </c>
      <c r="D4791" s="9" t="s">
        <v>4731</v>
      </c>
      <c r="E4791" s="9" t="s">
        <v>1660</v>
      </c>
      <c r="F4791" s="9" t="s">
        <v>209</v>
      </c>
      <c r="G4791" s="9" t="s">
        <v>221</v>
      </c>
      <c r="H4791" s="9" t="n">
        <v>1950</v>
      </c>
      <c r="I4791" s="29" t="n">
        <v>1.5</v>
      </c>
      <c r="J4791" s="9" t="n">
        <v>1</v>
      </c>
      <c r="K4791" s="30"/>
      <c r="L4791" s="30"/>
      <c r="M4791" s="30"/>
      <c r="N4791" s="30"/>
      <c r="O4791" s="30"/>
      <c r="P4791" s="30"/>
      <c r="Q4791" s="30"/>
      <c r="R4791" s="30"/>
      <c r="S4791" s="30"/>
      <c r="T4791" s="30"/>
      <c r="U4791" s="21" t="str">
        <f aca="false">IF(COUNT(K4791:T4791)=0,"SOURCE EMPTY / INDUSTRIAL ONLY",IF(MIN(K4791:T4791)=1,"SERVICE READY","HOLD"))</f>
        <v>SOURCE EMPTY / INDUSTRIAL ONLY</v>
      </c>
      <c r="V4791" s="9" t="n">
        <f aca="false">IF(U4791="SERVICE READY",1,0)</f>
        <v>0</v>
      </c>
      <c r="W4791" s="6"/>
      <c r="X4791" s="6"/>
      <c r="Y4791" s="6"/>
      <c r="Z4791" s="6"/>
    </row>
    <row r="4792" customFormat="false" ht="15" hidden="false" customHeight="false" outlineLevel="0" collapsed="false">
      <c r="A4792" s="9" t="s">
        <v>5089</v>
      </c>
      <c r="B4792" s="9" t="s">
        <v>5019</v>
      </c>
      <c r="C4792" s="9" t="s">
        <v>5020</v>
      </c>
      <c r="D4792" s="9" t="s">
        <v>4731</v>
      </c>
      <c r="E4792" s="9" t="s">
        <v>1660</v>
      </c>
      <c r="F4792" s="9" t="s">
        <v>211</v>
      </c>
      <c r="G4792" s="9" t="s">
        <v>221</v>
      </c>
      <c r="H4792" s="9" t="n">
        <v>1950</v>
      </c>
      <c r="I4792" s="29" t="n">
        <v>1.5</v>
      </c>
      <c r="J4792" s="9" t="n">
        <v>1</v>
      </c>
      <c r="K4792" s="30"/>
      <c r="L4792" s="30"/>
      <c r="M4792" s="30"/>
      <c r="N4792" s="30"/>
      <c r="O4792" s="30"/>
      <c r="P4792" s="30"/>
      <c r="Q4792" s="30"/>
      <c r="R4792" s="30"/>
      <c r="S4792" s="30"/>
      <c r="T4792" s="30"/>
      <c r="U4792" s="21" t="str">
        <f aca="false">IF(COUNT(K4792:T4792)=0,"SOURCE EMPTY / INDUSTRIAL ONLY",IF(MIN(K4792:T4792)=1,"SERVICE READY","HOLD"))</f>
        <v>SOURCE EMPTY / INDUSTRIAL ONLY</v>
      </c>
      <c r="V4792" s="9" t="n">
        <f aca="false">IF(U4792="SERVICE READY",1,0)</f>
        <v>0</v>
      </c>
      <c r="W4792" s="6"/>
      <c r="X4792" s="6"/>
      <c r="Y4792" s="6"/>
      <c r="Z4792" s="6"/>
    </row>
    <row r="4793" customFormat="false" ht="15" hidden="false" customHeight="false" outlineLevel="0" collapsed="false">
      <c r="A4793" s="9" t="s">
        <v>5090</v>
      </c>
      <c r="B4793" s="9" t="s">
        <v>5019</v>
      </c>
      <c r="C4793" s="9" t="s">
        <v>5020</v>
      </c>
      <c r="D4793" s="9" t="s">
        <v>4731</v>
      </c>
      <c r="E4793" s="9" t="s">
        <v>1660</v>
      </c>
      <c r="F4793" s="9" t="s">
        <v>197</v>
      </c>
      <c r="G4793" s="9" t="s">
        <v>221</v>
      </c>
      <c r="H4793" s="9" t="n">
        <v>1950</v>
      </c>
      <c r="I4793" s="29" t="n">
        <v>1.5</v>
      </c>
      <c r="J4793" s="9" t="n">
        <v>1</v>
      </c>
      <c r="K4793" s="30"/>
      <c r="L4793" s="30"/>
      <c r="M4793" s="30"/>
      <c r="N4793" s="30"/>
      <c r="O4793" s="30"/>
      <c r="P4793" s="30"/>
      <c r="Q4793" s="30"/>
      <c r="R4793" s="30"/>
      <c r="S4793" s="30"/>
      <c r="T4793" s="30"/>
      <c r="U4793" s="21" t="str">
        <f aca="false">IF(COUNT(K4793:T4793)=0,"SOURCE EMPTY / INDUSTRIAL ONLY",IF(MIN(K4793:T4793)=1,"SERVICE READY","HOLD"))</f>
        <v>SOURCE EMPTY / INDUSTRIAL ONLY</v>
      </c>
      <c r="V4793" s="9" t="n">
        <f aca="false">IF(U4793="SERVICE READY",1,0)</f>
        <v>0</v>
      </c>
      <c r="W4793" s="6"/>
      <c r="X4793" s="6"/>
      <c r="Y4793" s="6"/>
      <c r="Z4793" s="6"/>
    </row>
    <row r="4794" customFormat="false" ht="15" hidden="false" customHeight="false" outlineLevel="0" collapsed="false">
      <c r="A4794" s="9" t="s">
        <v>5091</v>
      </c>
      <c r="B4794" s="9" t="s">
        <v>5019</v>
      </c>
      <c r="C4794" s="9" t="s">
        <v>5020</v>
      </c>
      <c r="D4794" s="9" t="s">
        <v>4731</v>
      </c>
      <c r="E4794" s="9" t="s">
        <v>1660</v>
      </c>
      <c r="F4794" s="9" t="s">
        <v>200</v>
      </c>
      <c r="G4794" s="9" t="s">
        <v>221</v>
      </c>
      <c r="H4794" s="9" t="n">
        <v>1950</v>
      </c>
      <c r="I4794" s="29" t="n">
        <v>1.5</v>
      </c>
      <c r="J4794" s="9" t="n">
        <v>1</v>
      </c>
      <c r="K4794" s="30"/>
      <c r="L4794" s="30"/>
      <c r="M4794" s="30"/>
      <c r="N4794" s="30"/>
      <c r="O4794" s="30"/>
      <c r="P4794" s="30"/>
      <c r="Q4794" s="30"/>
      <c r="R4794" s="30"/>
      <c r="S4794" s="30"/>
      <c r="T4794" s="30"/>
      <c r="U4794" s="21" t="str">
        <f aca="false">IF(COUNT(K4794:T4794)=0,"SOURCE EMPTY / INDUSTRIAL ONLY",IF(MIN(K4794:T4794)=1,"SERVICE READY","HOLD"))</f>
        <v>SOURCE EMPTY / INDUSTRIAL ONLY</v>
      </c>
      <c r="V4794" s="9" t="n">
        <f aca="false">IF(U4794="SERVICE READY",1,0)</f>
        <v>0</v>
      </c>
      <c r="W4794" s="6"/>
      <c r="X4794" s="6"/>
      <c r="Y4794" s="6"/>
      <c r="Z4794" s="6"/>
    </row>
    <row r="4795" customFormat="false" ht="15" hidden="false" customHeight="false" outlineLevel="0" collapsed="false">
      <c r="A4795" s="9" t="s">
        <v>5092</v>
      </c>
      <c r="B4795" s="9" t="s">
        <v>5019</v>
      </c>
      <c r="C4795" s="9" t="s">
        <v>5020</v>
      </c>
      <c r="D4795" s="9" t="s">
        <v>4731</v>
      </c>
      <c r="E4795" s="9" t="s">
        <v>1660</v>
      </c>
      <c r="F4795" s="9" t="s">
        <v>203</v>
      </c>
      <c r="G4795" s="9" t="s">
        <v>221</v>
      </c>
      <c r="H4795" s="9" t="n">
        <v>1950</v>
      </c>
      <c r="I4795" s="29" t="n">
        <v>1.5</v>
      </c>
      <c r="J4795" s="9" t="n">
        <v>1</v>
      </c>
      <c r="K4795" s="30"/>
      <c r="L4795" s="30"/>
      <c r="M4795" s="30"/>
      <c r="N4795" s="30"/>
      <c r="O4795" s="30"/>
      <c r="P4795" s="30"/>
      <c r="Q4795" s="30"/>
      <c r="R4795" s="30"/>
      <c r="S4795" s="30"/>
      <c r="T4795" s="30"/>
      <c r="U4795" s="21" t="str">
        <f aca="false">IF(COUNT(K4795:T4795)=0,"SOURCE EMPTY / INDUSTRIAL ONLY",IF(MIN(K4795:T4795)=1,"SERVICE READY","HOLD"))</f>
        <v>SOURCE EMPTY / INDUSTRIAL ONLY</v>
      </c>
      <c r="V4795" s="9" t="n">
        <f aca="false">IF(U4795="SERVICE READY",1,0)</f>
        <v>0</v>
      </c>
      <c r="W4795" s="6"/>
      <c r="X4795" s="6"/>
      <c r="Y4795" s="6"/>
      <c r="Z4795" s="6"/>
    </row>
    <row r="4796" customFormat="false" ht="15" hidden="false" customHeight="false" outlineLevel="0" collapsed="false">
      <c r="A4796" s="9" t="s">
        <v>5093</v>
      </c>
      <c r="B4796" s="9" t="s">
        <v>5019</v>
      </c>
      <c r="C4796" s="9" t="s">
        <v>5020</v>
      </c>
      <c r="D4796" s="9" t="s">
        <v>4731</v>
      </c>
      <c r="E4796" s="9" t="s">
        <v>1660</v>
      </c>
      <c r="F4796" s="9" t="s">
        <v>205</v>
      </c>
      <c r="G4796" s="9" t="s">
        <v>221</v>
      </c>
      <c r="H4796" s="9" t="n">
        <v>1950</v>
      </c>
      <c r="I4796" s="29" t="n">
        <v>1.5</v>
      </c>
      <c r="J4796" s="9" t="n">
        <v>1</v>
      </c>
      <c r="K4796" s="30"/>
      <c r="L4796" s="30"/>
      <c r="M4796" s="30"/>
      <c r="N4796" s="30"/>
      <c r="O4796" s="30"/>
      <c r="P4796" s="30"/>
      <c r="Q4796" s="30"/>
      <c r="R4796" s="30"/>
      <c r="S4796" s="30"/>
      <c r="T4796" s="30"/>
      <c r="U4796" s="21" t="str">
        <f aca="false">IF(COUNT(K4796:T4796)=0,"SOURCE EMPTY / INDUSTRIAL ONLY",IF(MIN(K4796:T4796)=1,"SERVICE READY","HOLD"))</f>
        <v>SOURCE EMPTY / INDUSTRIAL ONLY</v>
      </c>
      <c r="V4796" s="9" t="n">
        <f aca="false">IF(U4796="SERVICE READY",1,0)</f>
        <v>0</v>
      </c>
      <c r="W4796" s="6"/>
      <c r="X4796" s="6"/>
      <c r="Y4796" s="6"/>
      <c r="Z4796" s="6"/>
    </row>
    <row r="4797" customFormat="false" ht="15" hidden="false" customHeight="false" outlineLevel="0" collapsed="false">
      <c r="A4797" s="9" t="s">
        <v>5094</v>
      </c>
      <c r="B4797" s="9" t="s">
        <v>5019</v>
      </c>
      <c r="C4797" s="9" t="s">
        <v>5020</v>
      </c>
      <c r="D4797" s="9" t="s">
        <v>4731</v>
      </c>
      <c r="E4797" s="9" t="s">
        <v>1660</v>
      </c>
      <c r="F4797" s="9" t="s">
        <v>207</v>
      </c>
      <c r="G4797" s="9" t="s">
        <v>221</v>
      </c>
      <c r="H4797" s="9" t="n">
        <v>1950</v>
      </c>
      <c r="I4797" s="29" t="n">
        <v>1.5</v>
      </c>
      <c r="J4797" s="9" t="n">
        <v>1</v>
      </c>
      <c r="K4797" s="30"/>
      <c r="L4797" s="30"/>
      <c r="M4797" s="30"/>
      <c r="N4797" s="30"/>
      <c r="O4797" s="30"/>
      <c r="P4797" s="30"/>
      <c r="Q4797" s="30"/>
      <c r="R4797" s="30"/>
      <c r="S4797" s="30"/>
      <c r="T4797" s="30"/>
      <c r="U4797" s="21" t="str">
        <f aca="false">IF(COUNT(K4797:T4797)=0,"SOURCE EMPTY / INDUSTRIAL ONLY",IF(MIN(K4797:T4797)=1,"SERVICE READY","HOLD"))</f>
        <v>SOURCE EMPTY / INDUSTRIAL ONLY</v>
      </c>
      <c r="V4797" s="9" t="n">
        <f aca="false">IF(U4797="SERVICE READY",1,0)</f>
        <v>0</v>
      </c>
      <c r="W4797" s="6"/>
      <c r="X4797" s="6"/>
      <c r="Y4797" s="6"/>
      <c r="Z4797" s="6"/>
    </row>
    <row r="4798" customFormat="false" ht="15" hidden="false" customHeight="false" outlineLevel="0" collapsed="false">
      <c r="A4798" s="9" t="s">
        <v>5095</v>
      </c>
      <c r="B4798" s="9" t="s">
        <v>5019</v>
      </c>
      <c r="C4798" s="9" t="s">
        <v>5020</v>
      </c>
      <c r="D4798" s="9" t="s">
        <v>4731</v>
      </c>
      <c r="E4798" s="9" t="s">
        <v>1660</v>
      </c>
      <c r="F4798" s="9" t="s">
        <v>209</v>
      </c>
      <c r="G4798" s="9" t="s">
        <v>221</v>
      </c>
      <c r="H4798" s="9" t="n">
        <v>1950</v>
      </c>
      <c r="I4798" s="29" t="n">
        <v>1.5</v>
      </c>
      <c r="J4798" s="9" t="n">
        <v>1</v>
      </c>
      <c r="K4798" s="30"/>
      <c r="L4798" s="30"/>
      <c r="M4798" s="30"/>
      <c r="N4798" s="30"/>
      <c r="O4798" s="30"/>
      <c r="P4798" s="30"/>
      <c r="Q4798" s="30"/>
      <c r="R4798" s="30"/>
      <c r="S4798" s="30"/>
      <c r="T4798" s="30"/>
      <c r="U4798" s="21" t="str">
        <f aca="false">IF(COUNT(K4798:T4798)=0,"SOURCE EMPTY / INDUSTRIAL ONLY",IF(MIN(K4798:T4798)=1,"SERVICE READY","HOLD"))</f>
        <v>SOURCE EMPTY / INDUSTRIAL ONLY</v>
      </c>
      <c r="V4798" s="9" t="n">
        <f aca="false">IF(U4798="SERVICE READY",1,0)</f>
        <v>0</v>
      </c>
      <c r="W4798" s="6"/>
      <c r="X4798" s="6"/>
      <c r="Y4798" s="6"/>
      <c r="Z4798" s="6"/>
    </row>
    <row r="4799" customFormat="false" ht="15" hidden="false" customHeight="false" outlineLevel="0" collapsed="false">
      <c r="A4799" s="9" t="s">
        <v>5096</v>
      </c>
      <c r="B4799" s="9" t="s">
        <v>5019</v>
      </c>
      <c r="C4799" s="9" t="s">
        <v>5020</v>
      </c>
      <c r="D4799" s="9" t="s">
        <v>4731</v>
      </c>
      <c r="E4799" s="9" t="s">
        <v>1660</v>
      </c>
      <c r="F4799" s="9" t="s">
        <v>211</v>
      </c>
      <c r="G4799" s="9" t="s">
        <v>221</v>
      </c>
      <c r="H4799" s="9" t="n">
        <v>1950</v>
      </c>
      <c r="I4799" s="29" t="n">
        <v>1.5</v>
      </c>
      <c r="J4799" s="9" t="n">
        <v>1</v>
      </c>
      <c r="K4799" s="30"/>
      <c r="L4799" s="30"/>
      <c r="M4799" s="30"/>
      <c r="N4799" s="30"/>
      <c r="O4799" s="30"/>
      <c r="P4799" s="30"/>
      <c r="Q4799" s="30"/>
      <c r="R4799" s="30"/>
      <c r="S4799" s="30"/>
      <c r="T4799" s="30"/>
      <c r="U4799" s="21" t="str">
        <f aca="false">IF(COUNT(K4799:T4799)=0,"SOURCE EMPTY / INDUSTRIAL ONLY",IF(MIN(K4799:T4799)=1,"SERVICE READY","HOLD"))</f>
        <v>SOURCE EMPTY / INDUSTRIAL ONLY</v>
      </c>
      <c r="V4799" s="9" t="n">
        <f aca="false">IF(U4799="SERVICE READY",1,0)</f>
        <v>0</v>
      </c>
      <c r="W4799" s="6"/>
      <c r="X4799" s="6"/>
      <c r="Y4799" s="6"/>
      <c r="Z4799" s="6"/>
    </row>
    <row r="4800" customFormat="false" ht="15" hidden="false" customHeight="false" outlineLevel="0" collapsed="false">
      <c r="A4800" s="9" t="s">
        <v>5097</v>
      </c>
      <c r="B4800" s="9" t="s">
        <v>5019</v>
      </c>
      <c r="C4800" s="9" t="s">
        <v>5020</v>
      </c>
      <c r="D4800" s="9" t="s">
        <v>4731</v>
      </c>
      <c r="E4800" s="9" t="s">
        <v>1660</v>
      </c>
      <c r="F4800" s="9" t="s">
        <v>197</v>
      </c>
      <c r="G4800" s="9" t="s">
        <v>221</v>
      </c>
      <c r="H4800" s="9" t="n">
        <v>1950</v>
      </c>
      <c r="I4800" s="29" t="n">
        <v>1.5</v>
      </c>
      <c r="J4800" s="9" t="n">
        <v>1</v>
      </c>
      <c r="K4800" s="30"/>
      <c r="L4800" s="30"/>
      <c r="M4800" s="30"/>
      <c r="N4800" s="30"/>
      <c r="O4800" s="30"/>
      <c r="P4800" s="30"/>
      <c r="Q4800" s="30"/>
      <c r="R4800" s="30"/>
      <c r="S4800" s="30"/>
      <c r="T4800" s="30"/>
      <c r="U4800" s="21" t="str">
        <f aca="false">IF(COUNT(K4800:T4800)=0,"SOURCE EMPTY / INDUSTRIAL ONLY",IF(MIN(K4800:T4800)=1,"SERVICE READY","HOLD"))</f>
        <v>SOURCE EMPTY / INDUSTRIAL ONLY</v>
      </c>
      <c r="V4800" s="9" t="n">
        <f aca="false">IF(U4800="SERVICE READY",1,0)</f>
        <v>0</v>
      </c>
      <c r="W4800" s="6"/>
      <c r="X4800" s="6"/>
      <c r="Y4800" s="6"/>
      <c r="Z4800" s="6"/>
    </row>
    <row r="4801" customFormat="false" ht="15" hidden="false" customHeight="false" outlineLevel="0" collapsed="false">
      <c r="A4801" s="9" t="s">
        <v>5098</v>
      </c>
      <c r="B4801" s="9" t="s">
        <v>5019</v>
      </c>
      <c r="C4801" s="9" t="s">
        <v>5020</v>
      </c>
      <c r="D4801" s="9" t="s">
        <v>4731</v>
      </c>
      <c r="E4801" s="9" t="s">
        <v>1660</v>
      </c>
      <c r="F4801" s="9" t="s">
        <v>200</v>
      </c>
      <c r="G4801" s="9" t="s">
        <v>221</v>
      </c>
      <c r="H4801" s="9" t="n">
        <v>1950</v>
      </c>
      <c r="I4801" s="29" t="n">
        <v>1.5</v>
      </c>
      <c r="J4801" s="9" t="n">
        <v>1</v>
      </c>
      <c r="K4801" s="30"/>
      <c r="L4801" s="30"/>
      <c r="M4801" s="30"/>
      <c r="N4801" s="30"/>
      <c r="O4801" s="30"/>
      <c r="P4801" s="30"/>
      <c r="Q4801" s="30"/>
      <c r="R4801" s="30"/>
      <c r="S4801" s="30"/>
      <c r="T4801" s="30"/>
      <c r="U4801" s="21" t="str">
        <f aca="false">IF(COUNT(K4801:T4801)=0,"SOURCE EMPTY / INDUSTRIAL ONLY",IF(MIN(K4801:T4801)=1,"SERVICE READY","HOLD"))</f>
        <v>SOURCE EMPTY / INDUSTRIAL ONLY</v>
      </c>
      <c r="V4801" s="9" t="n">
        <f aca="false">IF(U4801="SERVICE READY",1,0)</f>
        <v>0</v>
      </c>
      <c r="W4801" s="6"/>
      <c r="X4801" s="6"/>
      <c r="Y4801" s="6"/>
      <c r="Z4801" s="6"/>
    </row>
    <row r="4802" customFormat="false" ht="15" hidden="false" customHeight="false" outlineLevel="0" collapsed="false">
      <c r="A4802" s="9" t="s">
        <v>5099</v>
      </c>
      <c r="B4802" s="9" t="s">
        <v>5019</v>
      </c>
      <c r="C4802" s="9" t="s">
        <v>5020</v>
      </c>
      <c r="D4802" s="9" t="s">
        <v>4731</v>
      </c>
      <c r="E4802" s="9" t="s">
        <v>1660</v>
      </c>
      <c r="F4802" s="9" t="s">
        <v>203</v>
      </c>
      <c r="G4802" s="9" t="s">
        <v>221</v>
      </c>
      <c r="H4802" s="9" t="n">
        <v>1950</v>
      </c>
      <c r="I4802" s="29" t="n">
        <v>1.5</v>
      </c>
      <c r="J4802" s="9" t="n">
        <v>1</v>
      </c>
      <c r="K4802" s="30"/>
      <c r="L4802" s="30"/>
      <c r="M4802" s="30"/>
      <c r="N4802" s="30"/>
      <c r="O4802" s="30"/>
      <c r="P4802" s="30"/>
      <c r="Q4802" s="30"/>
      <c r="R4802" s="30"/>
      <c r="S4802" s="30"/>
      <c r="T4802" s="30"/>
      <c r="U4802" s="21" t="str">
        <f aca="false">IF(COUNT(K4802:T4802)=0,"SOURCE EMPTY / INDUSTRIAL ONLY",IF(MIN(K4802:T4802)=1,"SERVICE READY","HOLD"))</f>
        <v>SOURCE EMPTY / INDUSTRIAL ONLY</v>
      </c>
      <c r="V4802" s="9" t="n">
        <f aca="false">IF(U4802="SERVICE READY",1,0)</f>
        <v>0</v>
      </c>
      <c r="W4802" s="6"/>
      <c r="X4802" s="6"/>
      <c r="Y4802" s="6"/>
      <c r="Z4802" s="6"/>
    </row>
    <row r="4803" customFormat="false" ht="15" hidden="false" customHeight="false" outlineLevel="0" collapsed="false">
      <c r="A4803" s="9" t="s">
        <v>5100</v>
      </c>
      <c r="B4803" s="9" t="s">
        <v>5019</v>
      </c>
      <c r="C4803" s="9" t="s">
        <v>5020</v>
      </c>
      <c r="D4803" s="9" t="s">
        <v>4731</v>
      </c>
      <c r="E4803" s="9" t="s">
        <v>1660</v>
      </c>
      <c r="F4803" s="9" t="s">
        <v>205</v>
      </c>
      <c r="G4803" s="9" t="s">
        <v>221</v>
      </c>
      <c r="H4803" s="9" t="n">
        <v>1950</v>
      </c>
      <c r="I4803" s="29" t="n">
        <v>1.5</v>
      </c>
      <c r="J4803" s="9" t="n">
        <v>1</v>
      </c>
      <c r="K4803" s="30"/>
      <c r="L4803" s="30"/>
      <c r="M4803" s="30"/>
      <c r="N4803" s="30"/>
      <c r="O4803" s="30"/>
      <c r="P4803" s="30"/>
      <c r="Q4803" s="30"/>
      <c r="R4803" s="30"/>
      <c r="S4803" s="30"/>
      <c r="T4803" s="30"/>
      <c r="U4803" s="21" t="str">
        <f aca="false">IF(COUNT(K4803:T4803)=0,"SOURCE EMPTY / INDUSTRIAL ONLY",IF(MIN(K4803:T4803)=1,"SERVICE READY","HOLD"))</f>
        <v>SOURCE EMPTY / INDUSTRIAL ONLY</v>
      </c>
      <c r="V4803" s="9" t="n">
        <f aca="false">IF(U4803="SERVICE READY",1,0)</f>
        <v>0</v>
      </c>
      <c r="W4803" s="6"/>
      <c r="X4803" s="6"/>
      <c r="Y4803" s="6"/>
      <c r="Z4803" s="6"/>
    </row>
    <row r="4804" customFormat="false" ht="15" hidden="false" customHeight="false" outlineLevel="0" collapsed="false">
      <c r="A4804" s="9" t="s">
        <v>5101</v>
      </c>
      <c r="B4804" s="9" t="s">
        <v>5019</v>
      </c>
      <c r="C4804" s="9" t="s">
        <v>5020</v>
      </c>
      <c r="D4804" s="9" t="s">
        <v>4731</v>
      </c>
      <c r="E4804" s="9" t="s">
        <v>1660</v>
      </c>
      <c r="F4804" s="9" t="s">
        <v>207</v>
      </c>
      <c r="G4804" s="9" t="s">
        <v>221</v>
      </c>
      <c r="H4804" s="9" t="n">
        <v>1950</v>
      </c>
      <c r="I4804" s="29" t="n">
        <v>1.5</v>
      </c>
      <c r="J4804" s="9" t="n">
        <v>1</v>
      </c>
      <c r="K4804" s="30"/>
      <c r="L4804" s="30"/>
      <c r="M4804" s="30"/>
      <c r="N4804" s="30"/>
      <c r="O4804" s="30"/>
      <c r="P4804" s="30"/>
      <c r="Q4804" s="30"/>
      <c r="R4804" s="30"/>
      <c r="S4804" s="30"/>
      <c r="T4804" s="30"/>
      <c r="U4804" s="21" t="str">
        <f aca="false">IF(COUNT(K4804:T4804)=0,"SOURCE EMPTY / INDUSTRIAL ONLY",IF(MIN(K4804:T4804)=1,"SERVICE READY","HOLD"))</f>
        <v>SOURCE EMPTY / INDUSTRIAL ONLY</v>
      </c>
      <c r="V4804" s="9" t="n">
        <f aca="false">IF(U4804="SERVICE READY",1,0)</f>
        <v>0</v>
      </c>
      <c r="W4804" s="6"/>
      <c r="X4804" s="6"/>
      <c r="Y4804" s="6"/>
      <c r="Z4804" s="6"/>
    </row>
    <row r="4805" customFormat="false" ht="15" hidden="false" customHeight="false" outlineLevel="0" collapsed="false">
      <c r="A4805" s="9" t="s">
        <v>5102</v>
      </c>
      <c r="B4805" s="9" t="s">
        <v>5019</v>
      </c>
      <c r="C4805" s="9" t="s">
        <v>5020</v>
      </c>
      <c r="D4805" s="9" t="s">
        <v>4731</v>
      </c>
      <c r="E4805" s="9" t="s">
        <v>1660</v>
      </c>
      <c r="F4805" s="9" t="s">
        <v>209</v>
      </c>
      <c r="G4805" s="9" t="s">
        <v>221</v>
      </c>
      <c r="H4805" s="9" t="n">
        <v>1950</v>
      </c>
      <c r="I4805" s="29" t="n">
        <v>1.5</v>
      </c>
      <c r="J4805" s="9" t="n">
        <v>1</v>
      </c>
      <c r="K4805" s="30"/>
      <c r="L4805" s="30"/>
      <c r="M4805" s="30"/>
      <c r="N4805" s="30"/>
      <c r="O4805" s="30"/>
      <c r="P4805" s="30"/>
      <c r="Q4805" s="30"/>
      <c r="R4805" s="30"/>
      <c r="S4805" s="30"/>
      <c r="T4805" s="30"/>
      <c r="U4805" s="21" t="str">
        <f aca="false">IF(COUNT(K4805:T4805)=0,"SOURCE EMPTY / INDUSTRIAL ONLY",IF(MIN(K4805:T4805)=1,"SERVICE READY","HOLD"))</f>
        <v>SOURCE EMPTY / INDUSTRIAL ONLY</v>
      </c>
      <c r="V4805" s="9" t="n">
        <f aca="false">IF(U4805="SERVICE READY",1,0)</f>
        <v>0</v>
      </c>
      <c r="W4805" s="6"/>
      <c r="X4805" s="6"/>
      <c r="Y4805" s="6"/>
      <c r="Z4805" s="6"/>
    </row>
    <row r="4806" customFormat="false" ht="15" hidden="false" customHeight="false" outlineLevel="0" collapsed="false">
      <c r="A4806" s="9" t="s">
        <v>5103</v>
      </c>
      <c r="B4806" s="9" t="s">
        <v>5019</v>
      </c>
      <c r="C4806" s="9" t="s">
        <v>5020</v>
      </c>
      <c r="D4806" s="9" t="s">
        <v>4731</v>
      </c>
      <c r="E4806" s="9" t="s">
        <v>1660</v>
      </c>
      <c r="F4806" s="9" t="s">
        <v>211</v>
      </c>
      <c r="G4806" s="9" t="s">
        <v>221</v>
      </c>
      <c r="H4806" s="9" t="n">
        <v>1950</v>
      </c>
      <c r="I4806" s="29" t="n">
        <v>1.5</v>
      </c>
      <c r="J4806" s="9" t="n">
        <v>1</v>
      </c>
      <c r="K4806" s="30"/>
      <c r="L4806" s="30"/>
      <c r="M4806" s="30"/>
      <c r="N4806" s="30"/>
      <c r="O4806" s="30"/>
      <c r="P4806" s="30"/>
      <c r="Q4806" s="30"/>
      <c r="R4806" s="30"/>
      <c r="S4806" s="30"/>
      <c r="T4806" s="30"/>
      <c r="U4806" s="21" t="str">
        <f aca="false">IF(COUNT(K4806:T4806)=0,"SOURCE EMPTY / INDUSTRIAL ONLY",IF(MIN(K4806:T4806)=1,"SERVICE READY","HOLD"))</f>
        <v>SOURCE EMPTY / INDUSTRIAL ONLY</v>
      </c>
      <c r="V4806" s="9" t="n">
        <f aca="false">IF(U4806="SERVICE READY",1,0)</f>
        <v>0</v>
      </c>
      <c r="W4806" s="6"/>
      <c r="X4806" s="6"/>
      <c r="Y4806" s="6"/>
      <c r="Z4806" s="6"/>
    </row>
    <row r="4807" customFormat="false" ht="15" hidden="false" customHeight="false" outlineLevel="0" collapsed="false">
      <c r="A4807" s="9" t="s">
        <v>5104</v>
      </c>
      <c r="B4807" s="9" t="s">
        <v>5019</v>
      </c>
      <c r="C4807" s="9" t="s">
        <v>5020</v>
      </c>
      <c r="D4807" s="9" t="s">
        <v>4731</v>
      </c>
      <c r="E4807" s="9" t="s">
        <v>1660</v>
      </c>
      <c r="F4807" s="9" t="s">
        <v>197</v>
      </c>
      <c r="G4807" s="9" t="s">
        <v>221</v>
      </c>
      <c r="H4807" s="9" t="n">
        <v>1950</v>
      </c>
      <c r="I4807" s="29" t="n">
        <v>1.5</v>
      </c>
      <c r="J4807" s="9" t="n">
        <v>1</v>
      </c>
      <c r="K4807" s="30"/>
      <c r="L4807" s="30"/>
      <c r="M4807" s="30"/>
      <c r="N4807" s="30"/>
      <c r="O4807" s="30"/>
      <c r="P4807" s="30"/>
      <c r="Q4807" s="30"/>
      <c r="R4807" s="30"/>
      <c r="S4807" s="30"/>
      <c r="T4807" s="30"/>
      <c r="U4807" s="21" t="str">
        <f aca="false">IF(COUNT(K4807:T4807)=0,"SOURCE EMPTY / INDUSTRIAL ONLY",IF(MIN(K4807:T4807)=1,"SERVICE READY","HOLD"))</f>
        <v>SOURCE EMPTY / INDUSTRIAL ONLY</v>
      </c>
      <c r="V4807" s="9" t="n">
        <f aca="false">IF(U4807="SERVICE READY",1,0)</f>
        <v>0</v>
      </c>
      <c r="W4807" s="6"/>
      <c r="X4807" s="6"/>
      <c r="Y4807" s="6"/>
      <c r="Z4807" s="6"/>
    </row>
    <row r="4808" customFormat="false" ht="15" hidden="false" customHeight="false" outlineLevel="0" collapsed="false">
      <c r="A4808" s="9" t="s">
        <v>5105</v>
      </c>
      <c r="B4808" s="9" t="s">
        <v>5019</v>
      </c>
      <c r="C4808" s="9" t="s">
        <v>5020</v>
      </c>
      <c r="D4808" s="9" t="s">
        <v>4731</v>
      </c>
      <c r="E4808" s="9" t="s">
        <v>1660</v>
      </c>
      <c r="F4808" s="9" t="s">
        <v>200</v>
      </c>
      <c r="G4808" s="9" t="s">
        <v>221</v>
      </c>
      <c r="H4808" s="9" t="n">
        <v>1950</v>
      </c>
      <c r="I4808" s="29" t="n">
        <v>1.5</v>
      </c>
      <c r="J4808" s="9" t="n">
        <v>1</v>
      </c>
      <c r="K4808" s="30"/>
      <c r="L4808" s="30"/>
      <c r="M4808" s="30"/>
      <c r="N4808" s="30"/>
      <c r="O4808" s="30"/>
      <c r="P4808" s="30"/>
      <c r="Q4808" s="30"/>
      <c r="R4808" s="30"/>
      <c r="S4808" s="30"/>
      <c r="T4808" s="30"/>
      <c r="U4808" s="21" t="str">
        <f aca="false">IF(COUNT(K4808:T4808)=0,"SOURCE EMPTY / INDUSTRIAL ONLY",IF(MIN(K4808:T4808)=1,"SERVICE READY","HOLD"))</f>
        <v>SOURCE EMPTY / INDUSTRIAL ONLY</v>
      </c>
      <c r="V4808" s="9" t="n">
        <f aca="false">IF(U4808="SERVICE READY",1,0)</f>
        <v>0</v>
      </c>
      <c r="W4808" s="6"/>
      <c r="X4808" s="6"/>
      <c r="Y4808" s="6"/>
      <c r="Z4808" s="6"/>
    </row>
    <row r="4809" customFormat="false" ht="15" hidden="false" customHeight="false" outlineLevel="0" collapsed="false">
      <c r="A4809" s="9" t="s">
        <v>5106</v>
      </c>
      <c r="B4809" s="9" t="s">
        <v>5019</v>
      </c>
      <c r="C4809" s="9" t="s">
        <v>5020</v>
      </c>
      <c r="D4809" s="9" t="s">
        <v>4731</v>
      </c>
      <c r="E4809" s="9" t="s">
        <v>1660</v>
      </c>
      <c r="F4809" s="9" t="s">
        <v>203</v>
      </c>
      <c r="G4809" s="9" t="s">
        <v>221</v>
      </c>
      <c r="H4809" s="9" t="n">
        <v>1950</v>
      </c>
      <c r="I4809" s="29" t="n">
        <v>1.5</v>
      </c>
      <c r="J4809" s="9" t="n">
        <v>1</v>
      </c>
      <c r="K4809" s="30"/>
      <c r="L4809" s="30"/>
      <c r="M4809" s="30"/>
      <c r="N4809" s="30"/>
      <c r="O4809" s="30"/>
      <c r="P4809" s="30"/>
      <c r="Q4809" s="30"/>
      <c r="R4809" s="30"/>
      <c r="S4809" s="30"/>
      <c r="T4809" s="30"/>
      <c r="U4809" s="21" t="str">
        <f aca="false">IF(COUNT(K4809:T4809)=0,"SOURCE EMPTY / INDUSTRIAL ONLY",IF(MIN(K4809:T4809)=1,"SERVICE READY","HOLD"))</f>
        <v>SOURCE EMPTY / INDUSTRIAL ONLY</v>
      </c>
      <c r="V4809" s="9" t="n">
        <f aca="false">IF(U4809="SERVICE READY",1,0)</f>
        <v>0</v>
      </c>
      <c r="W4809" s="6"/>
      <c r="X4809" s="6"/>
      <c r="Y4809" s="6"/>
      <c r="Z4809" s="6"/>
    </row>
    <row r="4810" customFormat="false" ht="15" hidden="false" customHeight="false" outlineLevel="0" collapsed="false">
      <c r="A4810" s="9" t="s">
        <v>5107</v>
      </c>
      <c r="B4810" s="9" t="s">
        <v>5019</v>
      </c>
      <c r="C4810" s="9" t="s">
        <v>5020</v>
      </c>
      <c r="D4810" s="9" t="s">
        <v>4731</v>
      </c>
      <c r="E4810" s="9" t="s">
        <v>1660</v>
      </c>
      <c r="F4810" s="9" t="s">
        <v>205</v>
      </c>
      <c r="G4810" s="9" t="s">
        <v>221</v>
      </c>
      <c r="H4810" s="9" t="n">
        <v>1950</v>
      </c>
      <c r="I4810" s="29" t="n">
        <v>1.5</v>
      </c>
      <c r="J4810" s="9" t="n">
        <v>1</v>
      </c>
      <c r="K4810" s="30"/>
      <c r="L4810" s="30"/>
      <c r="M4810" s="30"/>
      <c r="N4810" s="30"/>
      <c r="O4810" s="30"/>
      <c r="P4810" s="30"/>
      <c r="Q4810" s="30"/>
      <c r="R4810" s="30"/>
      <c r="S4810" s="30"/>
      <c r="T4810" s="30"/>
      <c r="U4810" s="21" t="str">
        <f aca="false">IF(COUNT(K4810:T4810)=0,"SOURCE EMPTY / INDUSTRIAL ONLY",IF(MIN(K4810:T4810)=1,"SERVICE READY","HOLD"))</f>
        <v>SOURCE EMPTY / INDUSTRIAL ONLY</v>
      </c>
      <c r="V4810" s="9" t="n">
        <f aca="false">IF(U4810="SERVICE READY",1,0)</f>
        <v>0</v>
      </c>
      <c r="W4810" s="6"/>
      <c r="X4810" s="6"/>
      <c r="Y4810" s="6"/>
      <c r="Z4810" s="6"/>
    </row>
    <row r="4811" customFormat="false" ht="15" hidden="false" customHeight="false" outlineLevel="0" collapsed="false">
      <c r="A4811" s="9" t="s">
        <v>5108</v>
      </c>
      <c r="B4811" s="9" t="s">
        <v>5019</v>
      </c>
      <c r="C4811" s="9" t="s">
        <v>5020</v>
      </c>
      <c r="D4811" s="9" t="s">
        <v>4731</v>
      </c>
      <c r="E4811" s="9" t="s">
        <v>1660</v>
      </c>
      <c r="F4811" s="9" t="s">
        <v>207</v>
      </c>
      <c r="G4811" s="9" t="s">
        <v>221</v>
      </c>
      <c r="H4811" s="9" t="n">
        <v>1950</v>
      </c>
      <c r="I4811" s="29" t="n">
        <v>1.5</v>
      </c>
      <c r="J4811" s="9" t="n">
        <v>1</v>
      </c>
      <c r="K4811" s="30"/>
      <c r="L4811" s="30"/>
      <c r="M4811" s="30"/>
      <c r="N4811" s="30"/>
      <c r="O4811" s="30"/>
      <c r="P4811" s="30"/>
      <c r="Q4811" s="30"/>
      <c r="R4811" s="30"/>
      <c r="S4811" s="30"/>
      <c r="T4811" s="30"/>
      <c r="U4811" s="21" t="str">
        <f aca="false">IF(COUNT(K4811:T4811)=0,"SOURCE EMPTY / INDUSTRIAL ONLY",IF(MIN(K4811:T4811)=1,"SERVICE READY","HOLD"))</f>
        <v>SOURCE EMPTY / INDUSTRIAL ONLY</v>
      </c>
      <c r="V4811" s="9" t="n">
        <f aca="false">IF(U4811="SERVICE READY",1,0)</f>
        <v>0</v>
      </c>
      <c r="W4811" s="6"/>
      <c r="X4811" s="6"/>
      <c r="Y4811" s="6"/>
      <c r="Z4811" s="6"/>
    </row>
    <row r="4812" customFormat="false" ht="15" hidden="false" customHeight="false" outlineLevel="0" collapsed="false">
      <c r="A4812" s="9" t="s">
        <v>5109</v>
      </c>
      <c r="B4812" s="9" t="s">
        <v>5019</v>
      </c>
      <c r="C4812" s="9" t="s">
        <v>5020</v>
      </c>
      <c r="D4812" s="9" t="s">
        <v>4731</v>
      </c>
      <c r="E4812" s="9" t="s">
        <v>1660</v>
      </c>
      <c r="F4812" s="9" t="s">
        <v>209</v>
      </c>
      <c r="G4812" s="9" t="s">
        <v>221</v>
      </c>
      <c r="H4812" s="9" t="n">
        <v>1950</v>
      </c>
      <c r="I4812" s="29" t="n">
        <v>1.5</v>
      </c>
      <c r="J4812" s="9" t="n">
        <v>1</v>
      </c>
      <c r="K4812" s="30"/>
      <c r="L4812" s="30"/>
      <c r="M4812" s="30"/>
      <c r="N4812" s="30"/>
      <c r="O4812" s="30"/>
      <c r="P4812" s="30"/>
      <c r="Q4812" s="30"/>
      <c r="R4812" s="30"/>
      <c r="S4812" s="30"/>
      <c r="T4812" s="30"/>
      <c r="U4812" s="21" t="str">
        <f aca="false">IF(COUNT(K4812:T4812)=0,"SOURCE EMPTY / INDUSTRIAL ONLY",IF(MIN(K4812:T4812)=1,"SERVICE READY","HOLD"))</f>
        <v>SOURCE EMPTY / INDUSTRIAL ONLY</v>
      </c>
      <c r="V4812" s="9" t="n">
        <f aca="false">IF(U4812="SERVICE READY",1,0)</f>
        <v>0</v>
      </c>
      <c r="W4812" s="6"/>
      <c r="X4812" s="6"/>
      <c r="Y4812" s="6"/>
      <c r="Z4812" s="6"/>
    </row>
    <row r="4813" customFormat="false" ht="15" hidden="false" customHeight="false" outlineLevel="0" collapsed="false">
      <c r="A4813" s="9" t="s">
        <v>5110</v>
      </c>
      <c r="B4813" s="9" t="s">
        <v>5019</v>
      </c>
      <c r="C4813" s="9" t="s">
        <v>5020</v>
      </c>
      <c r="D4813" s="9" t="s">
        <v>4731</v>
      </c>
      <c r="E4813" s="9" t="s">
        <v>1660</v>
      </c>
      <c r="F4813" s="9" t="s">
        <v>211</v>
      </c>
      <c r="G4813" s="9" t="s">
        <v>221</v>
      </c>
      <c r="H4813" s="9" t="n">
        <v>1950</v>
      </c>
      <c r="I4813" s="29" t="n">
        <v>1.5</v>
      </c>
      <c r="J4813" s="9" t="n">
        <v>1</v>
      </c>
      <c r="K4813" s="30"/>
      <c r="L4813" s="30"/>
      <c r="M4813" s="30"/>
      <c r="N4813" s="30"/>
      <c r="O4813" s="30"/>
      <c r="P4813" s="30"/>
      <c r="Q4813" s="30"/>
      <c r="R4813" s="30"/>
      <c r="S4813" s="30"/>
      <c r="T4813" s="30"/>
      <c r="U4813" s="21" t="str">
        <f aca="false">IF(COUNT(K4813:T4813)=0,"SOURCE EMPTY / INDUSTRIAL ONLY",IF(MIN(K4813:T4813)=1,"SERVICE READY","HOLD"))</f>
        <v>SOURCE EMPTY / INDUSTRIAL ONLY</v>
      </c>
      <c r="V4813" s="9" t="n">
        <f aca="false">IF(U4813="SERVICE READY",1,0)</f>
        <v>0</v>
      </c>
      <c r="W4813" s="6"/>
      <c r="X4813" s="6"/>
      <c r="Y4813" s="6"/>
      <c r="Z4813" s="6"/>
    </row>
    <row r="4814" customFormat="false" ht="15" hidden="false" customHeight="false" outlineLevel="0" collapsed="false">
      <c r="A4814" s="9" t="s">
        <v>5111</v>
      </c>
      <c r="B4814" s="9" t="s">
        <v>5019</v>
      </c>
      <c r="C4814" s="9" t="s">
        <v>5020</v>
      </c>
      <c r="D4814" s="9" t="s">
        <v>4731</v>
      </c>
      <c r="E4814" s="9" t="s">
        <v>1660</v>
      </c>
      <c r="F4814" s="9" t="s">
        <v>197</v>
      </c>
      <c r="G4814" s="9" t="s">
        <v>221</v>
      </c>
      <c r="H4814" s="9" t="n">
        <v>1950</v>
      </c>
      <c r="I4814" s="29" t="n">
        <v>1.5</v>
      </c>
      <c r="J4814" s="9" t="n">
        <v>1</v>
      </c>
      <c r="K4814" s="30"/>
      <c r="L4814" s="30"/>
      <c r="M4814" s="30"/>
      <c r="N4814" s="30"/>
      <c r="O4814" s="30"/>
      <c r="P4814" s="30"/>
      <c r="Q4814" s="30"/>
      <c r="R4814" s="30"/>
      <c r="S4814" s="30"/>
      <c r="T4814" s="30"/>
      <c r="U4814" s="21" t="str">
        <f aca="false">IF(COUNT(K4814:T4814)=0,"SOURCE EMPTY / INDUSTRIAL ONLY",IF(MIN(K4814:T4814)=1,"SERVICE READY","HOLD"))</f>
        <v>SOURCE EMPTY / INDUSTRIAL ONLY</v>
      </c>
      <c r="V4814" s="9" t="n">
        <f aca="false">IF(U4814="SERVICE READY",1,0)</f>
        <v>0</v>
      </c>
      <c r="W4814" s="6"/>
      <c r="X4814" s="6"/>
      <c r="Y4814" s="6"/>
      <c r="Z4814" s="6"/>
    </row>
    <row r="4815" customFormat="false" ht="15" hidden="false" customHeight="false" outlineLevel="0" collapsed="false">
      <c r="A4815" s="9" t="s">
        <v>5112</v>
      </c>
      <c r="B4815" s="9" t="s">
        <v>5019</v>
      </c>
      <c r="C4815" s="9" t="s">
        <v>5020</v>
      </c>
      <c r="D4815" s="9" t="s">
        <v>4731</v>
      </c>
      <c r="E4815" s="9" t="s">
        <v>1660</v>
      </c>
      <c r="F4815" s="9" t="s">
        <v>200</v>
      </c>
      <c r="G4815" s="9" t="s">
        <v>221</v>
      </c>
      <c r="H4815" s="9" t="n">
        <v>1950</v>
      </c>
      <c r="I4815" s="29" t="n">
        <v>1.5</v>
      </c>
      <c r="J4815" s="9" t="n">
        <v>1</v>
      </c>
      <c r="K4815" s="30"/>
      <c r="L4815" s="30"/>
      <c r="M4815" s="30"/>
      <c r="N4815" s="30"/>
      <c r="O4815" s="30"/>
      <c r="P4815" s="30"/>
      <c r="Q4815" s="30"/>
      <c r="R4815" s="30"/>
      <c r="S4815" s="30"/>
      <c r="T4815" s="30"/>
      <c r="U4815" s="21" t="str">
        <f aca="false">IF(COUNT(K4815:T4815)=0,"SOURCE EMPTY / INDUSTRIAL ONLY",IF(MIN(K4815:T4815)=1,"SERVICE READY","HOLD"))</f>
        <v>SOURCE EMPTY / INDUSTRIAL ONLY</v>
      </c>
      <c r="V4815" s="9" t="n">
        <f aca="false">IF(U4815="SERVICE READY",1,0)</f>
        <v>0</v>
      </c>
      <c r="W4815" s="6"/>
      <c r="X4815" s="6"/>
      <c r="Y4815" s="6"/>
      <c r="Z4815" s="6"/>
    </row>
    <row r="4816" customFormat="false" ht="15" hidden="false" customHeight="false" outlineLevel="0" collapsed="false">
      <c r="A4816" s="9" t="s">
        <v>5113</v>
      </c>
      <c r="B4816" s="9" t="s">
        <v>5019</v>
      </c>
      <c r="C4816" s="9" t="s">
        <v>5020</v>
      </c>
      <c r="D4816" s="9" t="s">
        <v>4731</v>
      </c>
      <c r="E4816" s="9" t="s">
        <v>1660</v>
      </c>
      <c r="F4816" s="9" t="s">
        <v>203</v>
      </c>
      <c r="G4816" s="9" t="s">
        <v>221</v>
      </c>
      <c r="H4816" s="9" t="n">
        <v>1950</v>
      </c>
      <c r="I4816" s="29" t="n">
        <v>1.5</v>
      </c>
      <c r="J4816" s="9" t="n">
        <v>1</v>
      </c>
      <c r="K4816" s="30"/>
      <c r="L4816" s="30"/>
      <c r="M4816" s="30"/>
      <c r="N4816" s="30"/>
      <c r="O4816" s="30"/>
      <c r="P4816" s="30"/>
      <c r="Q4816" s="30"/>
      <c r="R4816" s="30"/>
      <c r="S4816" s="30"/>
      <c r="T4816" s="30"/>
      <c r="U4816" s="21" t="str">
        <f aca="false">IF(COUNT(K4816:T4816)=0,"SOURCE EMPTY / INDUSTRIAL ONLY",IF(MIN(K4816:T4816)=1,"SERVICE READY","HOLD"))</f>
        <v>SOURCE EMPTY / INDUSTRIAL ONLY</v>
      </c>
      <c r="V4816" s="9" t="n">
        <f aca="false">IF(U4816="SERVICE READY",1,0)</f>
        <v>0</v>
      </c>
      <c r="W4816" s="6"/>
      <c r="X4816" s="6"/>
      <c r="Y4816" s="6"/>
      <c r="Z4816" s="6"/>
    </row>
    <row r="4817" customFormat="false" ht="15" hidden="false" customHeight="false" outlineLevel="0" collapsed="false">
      <c r="A4817" s="9" t="s">
        <v>5114</v>
      </c>
      <c r="B4817" s="9" t="s">
        <v>5019</v>
      </c>
      <c r="C4817" s="9" t="s">
        <v>5020</v>
      </c>
      <c r="D4817" s="9" t="s">
        <v>4731</v>
      </c>
      <c r="E4817" s="9" t="s">
        <v>1660</v>
      </c>
      <c r="F4817" s="9" t="s">
        <v>205</v>
      </c>
      <c r="G4817" s="9" t="s">
        <v>221</v>
      </c>
      <c r="H4817" s="9" t="n">
        <v>1950</v>
      </c>
      <c r="I4817" s="29" t="n">
        <v>1.5</v>
      </c>
      <c r="J4817" s="9" t="n">
        <v>1</v>
      </c>
      <c r="K4817" s="30"/>
      <c r="L4817" s="30"/>
      <c r="M4817" s="30"/>
      <c r="N4817" s="30"/>
      <c r="O4817" s="30"/>
      <c r="P4817" s="30"/>
      <c r="Q4817" s="30"/>
      <c r="R4817" s="30"/>
      <c r="S4817" s="30"/>
      <c r="T4817" s="30"/>
      <c r="U4817" s="21" t="str">
        <f aca="false">IF(COUNT(K4817:T4817)=0,"SOURCE EMPTY / INDUSTRIAL ONLY",IF(MIN(K4817:T4817)=1,"SERVICE READY","HOLD"))</f>
        <v>SOURCE EMPTY / INDUSTRIAL ONLY</v>
      </c>
      <c r="V4817" s="9" t="n">
        <f aca="false">IF(U4817="SERVICE READY",1,0)</f>
        <v>0</v>
      </c>
      <c r="W4817" s="6"/>
      <c r="X4817" s="6"/>
      <c r="Y4817" s="6"/>
      <c r="Z4817" s="6"/>
    </row>
    <row r="4818" customFormat="false" ht="15" hidden="false" customHeight="false" outlineLevel="0" collapsed="false">
      <c r="A4818" s="9" t="s">
        <v>5115</v>
      </c>
      <c r="B4818" s="9" t="s">
        <v>5019</v>
      </c>
      <c r="C4818" s="9" t="s">
        <v>5020</v>
      </c>
      <c r="D4818" s="9" t="s">
        <v>4731</v>
      </c>
      <c r="E4818" s="9" t="s">
        <v>1660</v>
      </c>
      <c r="F4818" s="9" t="s">
        <v>207</v>
      </c>
      <c r="G4818" s="9" t="s">
        <v>221</v>
      </c>
      <c r="H4818" s="9" t="n">
        <v>1950</v>
      </c>
      <c r="I4818" s="29" t="n">
        <v>1.5</v>
      </c>
      <c r="J4818" s="9" t="n">
        <v>1</v>
      </c>
      <c r="K4818" s="30"/>
      <c r="L4818" s="30"/>
      <c r="M4818" s="30"/>
      <c r="N4818" s="30"/>
      <c r="O4818" s="30"/>
      <c r="P4818" s="30"/>
      <c r="Q4818" s="30"/>
      <c r="R4818" s="30"/>
      <c r="S4818" s="30"/>
      <c r="T4818" s="30"/>
      <c r="U4818" s="21" t="str">
        <f aca="false">IF(COUNT(K4818:T4818)=0,"SOURCE EMPTY / INDUSTRIAL ONLY",IF(MIN(K4818:T4818)=1,"SERVICE READY","HOLD"))</f>
        <v>SOURCE EMPTY / INDUSTRIAL ONLY</v>
      </c>
      <c r="V4818" s="9" t="n">
        <f aca="false">IF(U4818="SERVICE READY",1,0)</f>
        <v>0</v>
      </c>
      <c r="W4818" s="6"/>
      <c r="X4818" s="6"/>
      <c r="Y4818" s="6"/>
      <c r="Z4818" s="6"/>
    </row>
    <row r="4819" customFormat="false" ht="15" hidden="false" customHeight="false" outlineLevel="0" collapsed="false">
      <c r="A4819" s="9" t="s">
        <v>5116</v>
      </c>
      <c r="B4819" s="9" t="s">
        <v>5019</v>
      </c>
      <c r="C4819" s="9" t="s">
        <v>5020</v>
      </c>
      <c r="D4819" s="9" t="s">
        <v>4731</v>
      </c>
      <c r="E4819" s="9" t="s">
        <v>1660</v>
      </c>
      <c r="F4819" s="9" t="s">
        <v>209</v>
      </c>
      <c r="G4819" s="9" t="s">
        <v>221</v>
      </c>
      <c r="H4819" s="9" t="n">
        <v>1950</v>
      </c>
      <c r="I4819" s="29" t="n">
        <v>1.5</v>
      </c>
      <c r="J4819" s="9" t="n">
        <v>1</v>
      </c>
      <c r="K4819" s="30"/>
      <c r="L4819" s="30"/>
      <c r="M4819" s="30"/>
      <c r="N4819" s="30"/>
      <c r="O4819" s="30"/>
      <c r="P4819" s="30"/>
      <c r="Q4819" s="30"/>
      <c r="R4819" s="30"/>
      <c r="S4819" s="30"/>
      <c r="T4819" s="30"/>
      <c r="U4819" s="21" t="str">
        <f aca="false">IF(COUNT(K4819:T4819)=0,"SOURCE EMPTY / INDUSTRIAL ONLY",IF(MIN(K4819:T4819)=1,"SERVICE READY","HOLD"))</f>
        <v>SOURCE EMPTY / INDUSTRIAL ONLY</v>
      </c>
      <c r="V4819" s="9" t="n">
        <f aca="false">IF(U4819="SERVICE READY",1,0)</f>
        <v>0</v>
      </c>
      <c r="W4819" s="6"/>
      <c r="X4819" s="6"/>
      <c r="Y4819" s="6"/>
      <c r="Z4819" s="6"/>
    </row>
    <row r="4820" customFormat="false" ht="15" hidden="false" customHeight="false" outlineLevel="0" collapsed="false">
      <c r="A4820" s="9" t="s">
        <v>5117</v>
      </c>
      <c r="B4820" s="9" t="s">
        <v>5019</v>
      </c>
      <c r="C4820" s="9" t="s">
        <v>5020</v>
      </c>
      <c r="D4820" s="9" t="s">
        <v>4731</v>
      </c>
      <c r="E4820" s="9" t="s">
        <v>1660</v>
      </c>
      <c r="F4820" s="9" t="s">
        <v>211</v>
      </c>
      <c r="G4820" s="9" t="s">
        <v>221</v>
      </c>
      <c r="H4820" s="9" t="n">
        <v>1950</v>
      </c>
      <c r="I4820" s="29" t="n">
        <v>1.5</v>
      </c>
      <c r="J4820" s="9" t="n">
        <v>1</v>
      </c>
      <c r="K4820" s="30"/>
      <c r="L4820" s="30"/>
      <c r="M4820" s="30"/>
      <c r="N4820" s="30"/>
      <c r="O4820" s="30"/>
      <c r="P4820" s="30"/>
      <c r="Q4820" s="30"/>
      <c r="R4820" s="30"/>
      <c r="S4820" s="30"/>
      <c r="T4820" s="30"/>
      <c r="U4820" s="21" t="str">
        <f aca="false">IF(COUNT(K4820:T4820)=0,"SOURCE EMPTY / INDUSTRIAL ONLY",IF(MIN(K4820:T4820)=1,"SERVICE READY","HOLD"))</f>
        <v>SOURCE EMPTY / INDUSTRIAL ONLY</v>
      </c>
      <c r="V4820" s="9" t="n">
        <f aca="false">IF(U4820="SERVICE READY",1,0)</f>
        <v>0</v>
      </c>
      <c r="W4820" s="6"/>
      <c r="X4820" s="6"/>
      <c r="Y4820" s="6"/>
      <c r="Z4820" s="6"/>
    </row>
    <row r="4821" customFormat="false" ht="15" hidden="false" customHeight="false" outlineLevel="0" collapsed="false">
      <c r="A4821" s="9" t="s">
        <v>5118</v>
      </c>
      <c r="B4821" s="9" t="s">
        <v>5019</v>
      </c>
      <c r="C4821" s="9" t="s">
        <v>5020</v>
      </c>
      <c r="D4821" s="9" t="s">
        <v>4731</v>
      </c>
      <c r="E4821" s="9" t="s">
        <v>1660</v>
      </c>
      <c r="F4821" s="9" t="s">
        <v>197</v>
      </c>
      <c r="G4821" s="9" t="s">
        <v>221</v>
      </c>
      <c r="H4821" s="9" t="n">
        <v>1950</v>
      </c>
      <c r="I4821" s="29" t="n">
        <v>1.5</v>
      </c>
      <c r="J4821" s="9" t="n">
        <v>1</v>
      </c>
      <c r="K4821" s="30"/>
      <c r="L4821" s="30"/>
      <c r="M4821" s="30"/>
      <c r="N4821" s="30"/>
      <c r="O4821" s="30"/>
      <c r="P4821" s="30"/>
      <c r="Q4821" s="30"/>
      <c r="R4821" s="30"/>
      <c r="S4821" s="30"/>
      <c r="T4821" s="30"/>
      <c r="U4821" s="21" t="str">
        <f aca="false">IF(COUNT(K4821:T4821)=0,"SOURCE EMPTY / INDUSTRIAL ONLY",IF(MIN(K4821:T4821)=1,"SERVICE READY","HOLD"))</f>
        <v>SOURCE EMPTY / INDUSTRIAL ONLY</v>
      </c>
      <c r="V4821" s="9" t="n">
        <f aca="false">IF(U4821="SERVICE READY",1,0)</f>
        <v>0</v>
      </c>
      <c r="W4821" s="6"/>
      <c r="X4821" s="6"/>
      <c r="Y4821" s="6"/>
      <c r="Z4821" s="6"/>
    </row>
    <row r="4822" customFormat="false" ht="15" hidden="false" customHeight="false" outlineLevel="0" collapsed="false">
      <c r="A4822" s="9" t="s">
        <v>5119</v>
      </c>
      <c r="B4822" s="9" t="s">
        <v>5019</v>
      </c>
      <c r="C4822" s="9" t="s">
        <v>5020</v>
      </c>
      <c r="D4822" s="9" t="s">
        <v>4731</v>
      </c>
      <c r="E4822" s="9" t="s">
        <v>1660</v>
      </c>
      <c r="F4822" s="9" t="s">
        <v>200</v>
      </c>
      <c r="G4822" s="9" t="s">
        <v>221</v>
      </c>
      <c r="H4822" s="9" t="n">
        <v>1950</v>
      </c>
      <c r="I4822" s="29" t="n">
        <v>1.5</v>
      </c>
      <c r="J4822" s="9" t="n">
        <v>1</v>
      </c>
      <c r="K4822" s="30"/>
      <c r="L4822" s="30"/>
      <c r="M4822" s="30"/>
      <c r="N4822" s="30"/>
      <c r="O4822" s="30"/>
      <c r="P4822" s="30"/>
      <c r="Q4822" s="30"/>
      <c r="R4822" s="30"/>
      <c r="S4822" s="30"/>
      <c r="T4822" s="30"/>
      <c r="U4822" s="21" t="str">
        <f aca="false">IF(COUNT(K4822:T4822)=0,"SOURCE EMPTY / INDUSTRIAL ONLY",IF(MIN(K4822:T4822)=1,"SERVICE READY","HOLD"))</f>
        <v>SOURCE EMPTY / INDUSTRIAL ONLY</v>
      </c>
      <c r="V4822" s="9" t="n">
        <f aca="false">IF(U4822="SERVICE READY",1,0)</f>
        <v>0</v>
      </c>
      <c r="W4822" s="6"/>
      <c r="X4822" s="6"/>
      <c r="Y4822" s="6"/>
      <c r="Z4822" s="6"/>
    </row>
    <row r="4823" customFormat="false" ht="15" hidden="false" customHeight="false" outlineLevel="0" collapsed="false">
      <c r="A4823" s="9" t="s">
        <v>5120</v>
      </c>
      <c r="B4823" s="9" t="s">
        <v>5019</v>
      </c>
      <c r="C4823" s="9" t="s">
        <v>5020</v>
      </c>
      <c r="D4823" s="9" t="s">
        <v>4731</v>
      </c>
      <c r="E4823" s="9" t="s">
        <v>1660</v>
      </c>
      <c r="F4823" s="9" t="s">
        <v>203</v>
      </c>
      <c r="G4823" s="9" t="s">
        <v>221</v>
      </c>
      <c r="H4823" s="9" t="n">
        <v>1950</v>
      </c>
      <c r="I4823" s="29" t="n">
        <v>1.5</v>
      </c>
      <c r="J4823" s="9" t="n">
        <v>1</v>
      </c>
      <c r="K4823" s="30"/>
      <c r="L4823" s="30"/>
      <c r="M4823" s="30"/>
      <c r="N4823" s="30"/>
      <c r="O4823" s="30"/>
      <c r="P4823" s="30"/>
      <c r="Q4823" s="30"/>
      <c r="R4823" s="30"/>
      <c r="S4823" s="30"/>
      <c r="T4823" s="30"/>
      <c r="U4823" s="21" t="str">
        <f aca="false">IF(COUNT(K4823:T4823)=0,"SOURCE EMPTY / INDUSTRIAL ONLY",IF(MIN(K4823:T4823)=1,"SERVICE READY","HOLD"))</f>
        <v>SOURCE EMPTY / INDUSTRIAL ONLY</v>
      </c>
      <c r="V4823" s="9" t="n">
        <f aca="false">IF(U4823="SERVICE READY",1,0)</f>
        <v>0</v>
      </c>
      <c r="W4823" s="6"/>
      <c r="X4823" s="6"/>
      <c r="Y4823" s="6"/>
      <c r="Z4823" s="6"/>
    </row>
    <row r="4824" customFormat="false" ht="15" hidden="false" customHeight="false" outlineLevel="0" collapsed="false">
      <c r="A4824" s="9" t="s">
        <v>5121</v>
      </c>
      <c r="B4824" s="9" t="s">
        <v>5019</v>
      </c>
      <c r="C4824" s="9" t="s">
        <v>5020</v>
      </c>
      <c r="D4824" s="9" t="s">
        <v>4731</v>
      </c>
      <c r="E4824" s="9" t="s">
        <v>1660</v>
      </c>
      <c r="F4824" s="9" t="s">
        <v>205</v>
      </c>
      <c r="G4824" s="9" t="s">
        <v>221</v>
      </c>
      <c r="H4824" s="9" t="n">
        <v>1950</v>
      </c>
      <c r="I4824" s="29" t="n">
        <v>1.5</v>
      </c>
      <c r="J4824" s="9" t="n">
        <v>1</v>
      </c>
      <c r="K4824" s="30"/>
      <c r="L4824" s="30"/>
      <c r="M4824" s="30"/>
      <c r="N4824" s="30"/>
      <c r="O4824" s="30"/>
      <c r="P4824" s="30"/>
      <c r="Q4824" s="30"/>
      <c r="R4824" s="30"/>
      <c r="S4824" s="30"/>
      <c r="T4824" s="30"/>
      <c r="U4824" s="21" t="str">
        <f aca="false">IF(COUNT(K4824:T4824)=0,"SOURCE EMPTY / INDUSTRIAL ONLY",IF(MIN(K4824:T4824)=1,"SERVICE READY","HOLD"))</f>
        <v>SOURCE EMPTY / INDUSTRIAL ONLY</v>
      </c>
      <c r="V4824" s="9" t="n">
        <f aca="false">IF(U4824="SERVICE READY",1,0)</f>
        <v>0</v>
      </c>
      <c r="W4824" s="6"/>
      <c r="X4824" s="6"/>
      <c r="Y4824" s="6"/>
      <c r="Z4824" s="6"/>
    </row>
    <row r="4825" customFormat="false" ht="15" hidden="false" customHeight="false" outlineLevel="0" collapsed="false">
      <c r="A4825" s="9" t="s">
        <v>5122</v>
      </c>
      <c r="B4825" s="9" t="s">
        <v>5019</v>
      </c>
      <c r="C4825" s="9" t="s">
        <v>5020</v>
      </c>
      <c r="D4825" s="9" t="s">
        <v>4731</v>
      </c>
      <c r="E4825" s="9" t="s">
        <v>1660</v>
      </c>
      <c r="F4825" s="9" t="s">
        <v>207</v>
      </c>
      <c r="G4825" s="9" t="s">
        <v>221</v>
      </c>
      <c r="H4825" s="9" t="n">
        <v>1950</v>
      </c>
      <c r="I4825" s="29" t="n">
        <v>1.5</v>
      </c>
      <c r="J4825" s="9" t="n">
        <v>1</v>
      </c>
      <c r="K4825" s="30"/>
      <c r="L4825" s="30"/>
      <c r="M4825" s="30"/>
      <c r="N4825" s="30"/>
      <c r="O4825" s="30"/>
      <c r="P4825" s="30"/>
      <c r="Q4825" s="30"/>
      <c r="R4825" s="30"/>
      <c r="S4825" s="30"/>
      <c r="T4825" s="30"/>
      <c r="U4825" s="21" t="str">
        <f aca="false">IF(COUNT(K4825:T4825)=0,"SOURCE EMPTY / INDUSTRIAL ONLY",IF(MIN(K4825:T4825)=1,"SERVICE READY","HOLD"))</f>
        <v>SOURCE EMPTY / INDUSTRIAL ONLY</v>
      </c>
      <c r="V4825" s="9" t="n">
        <f aca="false">IF(U4825="SERVICE READY",1,0)</f>
        <v>0</v>
      </c>
      <c r="W4825" s="6"/>
      <c r="X4825" s="6"/>
      <c r="Y4825" s="6"/>
      <c r="Z4825" s="6"/>
    </row>
    <row r="4826" customFormat="false" ht="15" hidden="false" customHeight="false" outlineLevel="0" collapsed="false">
      <c r="A4826" s="9" t="s">
        <v>5123</v>
      </c>
      <c r="B4826" s="9" t="s">
        <v>5019</v>
      </c>
      <c r="C4826" s="9" t="s">
        <v>5020</v>
      </c>
      <c r="D4826" s="9" t="s">
        <v>4731</v>
      </c>
      <c r="E4826" s="9" t="s">
        <v>1660</v>
      </c>
      <c r="F4826" s="9" t="s">
        <v>209</v>
      </c>
      <c r="G4826" s="9" t="s">
        <v>221</v>
      </c>
      <c r="H4826" s="9" t="n">
        <v>1950</v>
      </c>
      <c r="I4826" s="29" t="n">
        <v>1.5</v>
      </c>
      <c r="J4826" s="9" t="n">
        <v>1</v>
      </c>
      <c r="K4826" s="30"/>
      <c r="L4826" s="30"/>
      <c r="M4826" s="30"/>
      <c r="N4826" s="30"/>
      <c r="O4826" s="30"/>
      <c r="P4826" s="30"/>
      <c r="Q4826" s="30"/>
      <c r="R4826" s="30"/>
      <c r="S4826" s="30"/>
      <c r="T4826" s="30"/>
      <c r="U4826" s="21" t="str">
        <f aca="false">IF(COUNT(K4826:T4826)=0,"SOURCE EMPTY / INDUSTRIAL ONLY",IF(MIN(K4826:T4826)=1,"SERVICE READY","HOLD"))</f>
        <v>SOURCE EMPTY / INDUSTRIAL ONLY</v>
      </c>
      <c r="V4826" s="9" t="n">
        <f aca="false">IF(U4826="SERVICE READY",1,0)</f>
        <v>0</v>
      </c>
      <c r="W4826" s="6"/>
      <c r="X4826" s="6"/>
      <c r="Y4826" s="6"/>
      <c r="Z4826" s="6"/>
    </row>
    <row r="4827" customFormat="false" ht="15" hidden="false" customHeight="false" outlineLevel="0" collapsed="false">
      <c r="A4827" s="9" t="s">
        <v>5124</v>
      </c>
      <c r="B4827" s="9" t="s">
        <v>5019</v>
      </c>
      <c r="C4827" s="9" t="s">
        <v>5020</v>
      </c>
      <c r="D4827" s="9" t="s">
        <v>4731</v>
      </c>
      <c r="E4827" s="9" t="s">
        <v>1660</v>
      </c>
      <c r="F4827" s="9" t="s">
        <v>211</v>
      </c>
      <c r="G4827" s="9" t="s">
        <v>221</v>
      </c>
      <c r="H4827" s="9" t="n">
        <v>1950</v>
      </c>
      <c r="I4827" s="29" t="n">
        <v>1.5</v>
      </c>
      <c r="J4827" s="9" t="n">
        <v>1</v>
      </c>
      <c r="K4827" s="30"/>
      <c r="L4827" s="30"/>
      <c r="M4827" s="30"/>
      <c r="N4827" s="30"/>
      <c r="O4827" s="30"/>
      <c r="P4827" s="30"/>
      <c r="Q4827" s="30"/>
      <c r="R4827" s="30"/>
      <c r="S4827" s="30"/>
      <c r="T4827" s="30"/>
      <c r="U4827" s="21" t="str">
        <f aca="false">IF(COUNT(K4827:T4827)=0,"SOURCE EMPTY / INDUSTRIAL ONLY",IF(MIN(K4827:T4827)=1,"SERVICE READY","HOLD"))</f>
        <v>SOURCE EMPTY / INDUSTRIAL ONLY</v>
      </c>
      <c r="V4827" s="9" t="n">
        <f aca="false">IF(U4827="SERVICE READY",1,0)</f>
        <v>0</v>
      </c>
      <c r="W4827" s="6"/>
      <c r="X4827" s="6"/>
      <c r="Y4827" s="6"/>
      <c r="Z4827" s="6"/>
    </row>
    <row r="4828" customFormat="false" ht="15" hidden="false" customHeight="false" outlineLevel="0" collapsed="false">
      <c r="A4828" s="9" t="s">
        <v>5125</v>
      </c>
      <c r="B4828" s="9" t="s">
        <v>5019</v>
      </c>
      <c r="C4828" s="9" t="s">
        <v>5020</v>
      </c>
      <c r="D4828" s="9" t="s">
        <v>4731</v>
      </c>
      <c r="E4828" s="9" t="s">
        <v>1660</v>
      </c>
      <c r="F4828" s="9" t="s">
        <v>197</v>
      </c>
      <c r="G4828" s="9" t="s">
        <v>221</v>
      </c>
      <c r="H4828" s="9" t="n">
        <v>1950</v>
      </c>
      <c r="I4828" s="29" t="n">
        <v>1.5</v>
      </c>
      <c r="J4828" s="9" t="n">
        <v>1</v>
      </c>
      <c r="K4828" s="30"/>
      <c r="L4828" s="30"/>
      <c r="M4828" s="30"/>
      <c r="N4828" s="30"/>
      <c r="O4828" s="30"/>
      <c r="P4828" s="30"/>
      <c r="Q4828" s="30"/>
      <c r="R4828" s="30"/>
      <c r="S4828" s="30"/>
      <c r="T4828" s="30"/>
      <c r="U4828" s="21" t="str">
        <f aca="false">IF(COUNT(K4828:T4828)=0,"SOURCE EMPTY / INDUSTRIAL ONLY",IF(MIN(K4828:T4828)=1,"SERVICE READY","HOLD"))</f>
        <v>SOURCE EMPTY / INDUSTRIAL ONLY</v>
      </c>
      <c r="V4828" s="9" t="n">
        <f aca="false">IF(U4828="SERVICE READY",1,0)</f>
        <v>0</v>
      </c>
      <c r="W4828" s="6"/>
      <c r="X4828" s="6"/>
      <c r="Y4828" s="6"/>
      <c r="Z4828" s="6"/>
    </row>
    <row r="4829" customFormat="false" ht="15" hidden="false" customHeight="false" outlineLevel="0" collapsed="false">
      <c r="A4829" s="9" t="s">
        <v>5126</v>
      </c>
      <c r="B4829" s="9" t="s">
        <v>5019</v>
      </c>
      <c r="C4829" s="9" t="s">
        <v>5020</v>
      </c>
      <c r="D4829" s="9" t="s">
        <v>4731</v>
      </c>
      <c r="E4829" s="9" t="s">
        <v>1660</v>
      </c>
      <c r="F4829" s="9" t="s">
        <v>200</v>
      </c>
      <c r="G4829" s="9" t="s">
        <v>221</v>
      </c>
      <c r="H4829" s="9" t="n">
        <v>1950</v>
      </c>
      <c r="I4829" s="29" t="n">
        <v>1.5</v>
      </c>
      <c r="J4829" s="9" t="n">
        <v>1</v>
      </c>
      <c r="K4829" s="30"/>
      <c r="L4829" s="30"/>
      <c r="M4829" s="30"/>
      <c r="N4829" s="30"/>
      <c r="O4829" s="30"/>
      <c r="P4829" s="30"/>
      <c r="Q4829" s="30"/>
      <c r="R4829" s="30"/>
      <c r="S4829" s="30"/>
      <c r="T4829" s="30"/>
      <c r="U4829" s="21" t="str">
        <f aca="false">IF(COUNT(K4829:T4829)=0,"SOURCE EMPTY / INDUSTRIAL ONLY",IF(MIN(K4829:T4829)=1,"SERVICE READY","HOLD"))</f>
        <v>SOURCE EMPTY / INDUSTRIAL ONLY</v>
      </c>
      <c r="V4829" s="9" t="n">
        <f aca="false">IF(U4829="SERVICE READY",1,0)</f>
        <v>0</v>
      </c>
      <c r="W4829" s="6"/>
      <c r="X4829" s="6"/>
      <c r="Y4829" s="6"/>
      <c r="Z4829" s="6"/>
    </row>
    <row r="4830" customFormat="false" ht="15" hidden="false" customHeight="false" outlineLevel="0" collapsed="false">
      <c r="A4830" s="9" t="s">
        <v>5127</v>
      </c>
      <c r="B4830" s="9" t="s">
        <v>5019</v>
      </c>
      <c r="C4830" s="9" t="s">
        <v>5020</v>
      </c>
      <c r="D4830" s="9" t="s">
        <v>4731</v>
      </c>
      <c r="E4830" s="9" t="s">
        <v>1660</v>
      </c>
      <c r="F4830" s="9" t="s">
        <v>203</v>
      </c>
      <c r="G4830" s="9" t="s">
        <v>221</v>
      </c>
      <c r="H4830" s="9" t="n">
        <v>1950</v>
      </c>
      <c r="I4830" s="29" t="n">
        <v>1.5</v>
      </c>
      <c r="J4830" s="9" t="n">
        <v>1</v>
      </c>
      <c r="K4830" s="30"/>
      <c r="L4830" s="30"/>
      <c r="M4830" s="30"/>
      <c r="N4830" s="30"/>
      <c r="O4830" s="30"/>
      <c r="P4830" s="30"/>
      <c r="Q4830" s="30"/>
      <c r="R4830" s="30"/>
      <c r="S4830" s="30"/>
      <c r="T4830" s="30"/>
      <c r="U4830" s="21" t="str">
        <f aca="false">IF(COUNT(K4830:T4830)=0,"SOURCE EMPTY / INDUSTRIAL ONLY",IF(MIN(K4830:T4830)=1,"SERVICE READY","HOLD"))</f>
        <v>SOURCE EMPTY / INDUSTRIAL ONLY</v>
      </c>
      <c r="V4830" s="9" t="n">
        <f aca="false">IF(U4830="SERVICE READY",1,0)</f>
        <v>0</v>
      </c>
      <c r="W4830" s="6"/>
      <c r="X4830" s="6"/>
      <c r="Y4830" s="6"/>
      <c r="Z4830" s="6"/>
    </row>
    <row r="4831" customFormat="false" ht="15" hidden="false" customHeight="false" outlineLevel="0" collapsed="false">
      <c r="A4831" s="9" t="s">
        <v>5128</v>
      </c>
      <c r="B4831" s="9" t="s">
        <v>5019</v>
      </c>
      <c r="C4831" s="9" t="s">
        <v>5020</v>
      </c>
      <c r="D4831" s="9" t="s">
        <v>4731</v>
      </c>
      <c r="E4831" s="9" t="s">
        <v>1660</v>
      </c>
      <c r="F4831" s="9" t="s">
        <v>205</v>
      </c>
      <c r="G4831" s="9" t="s">
        <v>221</v>
      </c>
      <c r="H4831" s="9" t="n">
        <v>1950</v>
      </c>
      <c r="I4831" s="29" t="n">
        <v>1.5</v>
      </c>
      <c r="J4831" s="9" t="n">
        <v>1</v>
      </c>
      <c r="K4831" s="30"/>
      <c r="L4831" s="30"/>
      <c r="M4831" s="30"/>
      <c r="N4831" s="30"/>
      <c r="O4831" s="30"/>
      <c r="P4831" s="30"/>
      <c r="Q4831" s="30"/>
      <c r="R4831" s="30"/>
      <c r="S4831" s="30"/>
      <c r="T4831" s="30"/>
      <c r="U4831" s="21" t="str">
        <f aca="false">IF(COUNT(K4831:T4831)=0,"SOURCE EMPTY / INDUSTRIAL ONLY",IF(MIN(K4831:T4831)=1,"SERVICE READY","HOLD"))</f>
        <v>SOURCE EMPTY / INDUSTRIAL ONLY</v>
      </c>
      <c r="V4831" s="9" t="n">
        <f aca="false">IF(U4831="SERVICE READY",1,0)</f>
        <v>0</v>
      </c>
      <c r="W4831" s="6"/>
      <c r="X4831" s="6"/>
      <c r="Y4831" s="6"/>
      <c r="Z4831" s="6"/>
    </row>
    <row r="4832" customFormat="false" ht="15" hidden="false" customHeight="false" outlineLevel="0" collapsed="false">
      <c r="A4832" s="9" t="s">
        <v>5129</v>
      </c>
      <c r="B4832" s="9" t="s">
        <v>5019</v>
      </c>
      <c r="C4832" s="9" t="s">
        <v>5020</v>
      </c>
      <c r="D4832" s="9" t="s">
        <v>4731</v>
      </c>
      <c r="E4832" s="9" t="s">
        <v>1660</v>
      </c>
      <c r="F4832" s="9" t="s">
        <v>207</v>
      </c>
      <c r="G4832" s="9" t="s">
        <v>221</v>
      </c>
      <c r="H4832" s="9" t="n">
        <v>1950</v>
      </c>
      <c r="I4832" s="29" t="n">
        <v>1.5</v>
      </c>
      <c r="J4832" s="9" t="n">
        <v>1</v>
      </c>
      <c r="K4832" s="30"/>
      <c r="L4832" s="30"/>
      <c r="M4832" s="30"/>
      <c r="N4832" s="30"/>
      <c r="O4832" s="30"/>
      <c r="P4832" s="30"/>
      <c r="Q4832" s="30"/>
      <c r="R4832" s="30"/>
      <c r="S4832" s="30"/>
      <c r="T4832" s="30"/>
      <c r="U4832" s="21" t="str">
        <f aca="false">IF(COUNT(K4832:T4832)=0,"SOURCE EMPTY / INDUSTRIAL ONLY",IF(MIN(K4832:T4832)=1,"SERVICE READY","HOLD"))</f>
        <v>SOURCE EMPTY / INDUSTRIAL ONLY</v>
      </c>
      <c r="V4832" s="9" t="n">
        <f aca="false">IF(U4832="SERVICE READY",1,0)</f>
        <v>0</v>
      </c>
      <c r="W4832" s="6"/>
      <c r="X4832" s="6"/>
      <c r="Y4832" s="6"/>
      <c r="Z4832" s="6"/>
    </row>
    <row r="4833" customFormat="false" ht="15" hidden="false" customHeight="false" outlineLevel="0" collapsed="false">
      <c r="A4833" s="9" t="s">
        <v>5130</v>
      </c>
      <c r="B4833" s="9" t="s">
        <v>5019</v>
      </c>
      <c r="C4833" s="9" t="s">
        <v>5020</v>
      </c>
      <c r="D4833" s="9" t="s">
        <v>4731</v>
      </c>
      <c r="E4833" s="9" t="s">
        <v>1660</v>
      </c>
      <c r="F4833" s="9" t="s">
        <v>209</v>
      </c>
      <c r="G4833" s="9" t="s">
        <v>221</v>
      </c>
      <c r="H4833" s="9" t="n">
        <v>1950</v>
      </c>
      <c r="I4833" s="29" t="n">
        <v>1.5</v>
      </c>
      <c r="J4833" s="9" t="n">
        <v>1</v>
      </c>
      <c r="K4833" s="30"/>
      <c r="L4833" s="30"/>
      <c r="M4833" s="30"/>
      <c r="N4833" s="30"/>
      <c r="O4833" s="30"/>
      <c r="P4833" s="30"/>
      <c r="Q4833" s="30"/>
      <c r="R4833" s="30"/>
      <c r="S4833" s="30"/>
      <c r="T4833" s="30"/>
      <c r="U4833" s="21" t="str">
        <f aca="false">IF(COUNT(K4833:T4833)=0,"SOURCE EMPTY / INDUSTRIAL ONLY",IF(MIN(K4833:T4833)=1,"SERVICE READY","HOLD"))</f>
        <v>SOURCE EMPTY / INDUSTRIAL ONLY</v>
      </c>
      <c r="V4833" s="9" t="n">
        <f aca="false">IF(U4833="SERVICE READY",1,0)</f>
        <v>0</v>
      </c>
      <c r="W4833" s="6"/>
      <c r="X4833" s="6"/>
      <c r="Y4833" s="6"/>
      <c r="Z4833" s="6"/>
    </row>
    <row r="4834" customFormat="false" ht="15" hidden="false" customHeight="false" outlineLevel="0" collapsed="false">
      <c r="A4834" s="9" t="s">
        <v>5131</v>
      </c>
      <c r="B4834" s="9" t="s">
        <v>5019</v>
      </c>
      <c r="C4834" s="9" t="s">
        <v>5020</v>
      </c>
      <c r="D4834" s="9" t="s">
        <v>4731</v>
      </c>
      <c r="E4834" s="9" t="s">
        <v>1660</v>
      </c>
      <c r="F4834" s="9" t="s">
        <v>211</v>
      </c>
      <c r="G4834" s="9" t="s">
        <v>221</v>
      </c>
      <c r="H4834" s="9" t="n">
        <v>1950</v>
      </c>
      <c r="I4834" s="29" t="n">
        <v>1.5</v>
      </c>
      <c r="J4834" s="9" t="n">
        <v>1</v>
      </c>
      <c r="K4834" s="30"/>
      <c r="L4834" s="30"/>
      <c r="M4834" s="30"/>
      <c r="N4834" s="30"/>
      <c r="O4834" s="30"/>
      <c r="P4834" s="30"/>
      <c r="Q4834" s="30"/>
      <c r="R4834" s="30"/>
      <c r="S4834" s="30"/>
      <c r="T4834" s="30"/>
      <c r="U4834" s="21" t="str">
        <f aca="false">IF(COUNT(K4834:T4834)=0,"SOURCE EMPTY / INDUSTRIAL ONLY",IF(MIN(K4834:T4834)=1,"SERVICE READY","HOLD"))</f>
        <v>SOURCE EMPTY / INDUSTRIAL ONLY</v>
      </c>
      <c r="V4834" s="9" t="n">
        <f aca="false">IF(U4834="SERVICE READY",1,0)</f>
        <v>0</v>
      </c>
      <c r="W4834" s="6"/>
      <c r="X4834" s="6"/>
      <c r="Y4834" s="6"/>
      <c r="Z4834" s="6"/>
    </row>
    <row r="4835" customFormat="false" ht="15" hidden="false" customHeight="false" outlineLevel="0" collapsed="false">
      <c r="A4835" s="9" t="s">
        <v>5132</v>
      </c>
      <c r="B4835" s="9" t="s">
        <v>5019</v>
      </c>
      <c r="C4835" s="9" t="s">
        <v>5020</v>
      </c>
      <c r="D4835" s="9" t="s">
        <v>4731</v>
      </c>
      <c r="E4835" s="9" t="s">
        <v>1660</v>
      </c>
      <c r="F4835" s="9" t="s">
        <v>197</v>
      </c>
      <c r="G4835" s="9" t="s">
        <v>221</v>
      </c>
      <c r="H4835" s="9" t="n">
        <v>1950</v>
      </c>
      <c r="I4835" s="29" t="n">
        <v>1.5</v>
      </c>
      <c r="J4835" s="9" t="n">
        <v>1</v>
      </c>
      <c r="K4835" s="30"/>
      <c r="L4835" s="30"/>
      <c r="M4835" s="30"/>
      <c r="N4835" s="30"/>
      <c r="O4835" s="30"/>
      <c r="P4835" s="30"/>
      <c r="Q4835" s="30"/>
      <c r="R4835" s="30"/>
      <c r="S4835" s="30"/>
      <c r="T4835" s="30"/>
      <c r="U4835" s="21" t="str">
        <f aca="false">IF(COUNT(K4835:T4835)=0,"SOURCE EMPTY / INDUSTRIAL ONLY",IF(MIN(K4835:T4835)=1,"SERVICE READY","HOLD"))</f>
        <v>SOURCE EMPTY / INDUSTRIAL ONLY</v>
      </c>
      <c r="V4835" s="9" t="n">
        <f aca="false">IF(U4835="SERVICE READY",1,0)</f>
        <v>0</v>
      </c>
      <c r="W4835" s="6"/>
      <c r="X4835" s="6"/>
      <c r="Y4835" s="6"/>
      <c r="Z4835" s="6"/>
    </row>
    <row r="4836" customFormat="false" ht="15" hidden="false" customHeight="false" outlineLevel="0" collapsed="false">
      <c r="A4836" s="9" t="s">
        <v>5133</v>
      </c>
      <c r="B4836" s="9" t="s">
        <v>5019</v>
      </c>
      <c r="C4836" s="9" t="s">
        <v>5020</v>
      </c>
      <c r="D4836" s="9" t="s">
        <v>4731</v>
      </c>
      <c r="E4836" s="9" t="s">
        <v>1660</v>
      </c>
      <c r="F4836" s="9" t="s">
        <v>200</v>
      </c>
      <c r="G4836" s="9" t="s">
        <v>221</v>
      </c>
      <c r="H4836" s="9" t="n">
        <v>1950</v>
      </c>
      <c r="I4836" s="29" t="n">
        <v>1.5</v>
      </c>
      <c r="J4836" s="9" t="n">
        <v>1</v>
      </c>
      <c r="K4836" s="30"/>
      <c r="L4836" s="30"/>
      <c r="M4836" s="30"/>
      <c r="N4836" s="30"/>
      <c r="O4836" s="30"/>
      <c r="P4836" s="30"/>
      <c r="Q4836" s="30"/>
      <c r="R4836" s="30"/>
      <c r="S4836" s="30"/>
      <c r="T4836" s="30"/>
      <c r="U4836" s="21" t="str">
        <f aca="false">IF(COUNT(K4836:T4836)=0,"SOURCE EMPTY / INDUSTRIAL ONLY",IF(MIN(K4836:T4836)=1,"SERVICE READY","HOLD"))</f>
        <v>SOURCE EMPTY / INDUSTRIAL ONLY</v>
      </c>
      <c r="V4836" s="9" t="n">
        <f aca="false">IF(U4836="SERVICE READY",1,0)</f>
        <v>0</v>
      </c>
      <c r="W4836" s="6"/>
      <c r="X4836" s="6"/>
      <c r="Y4836" s="6"/>
      <c r="Z4836" s="6"/>
    </row>
    <row r="4837" customFormat="false" ht="15" hidden="false" customHeight="false" outlineLevel="0" collapsed="false">
      <c r="A4837" s="9" t="s">
        <v>5134</v>
      </c>
      <c r="B4837" s="9" t="s">
        <v>5019</v>
      </c>
      <c r="C4837" s="9" t="s">
        <v>5020</v>
      </c>
      <c r="D4837" s="9" t="s">
        <v>4731</v>
      </c>
      <c r="E4837" s="9" t="s">
        <v>1660</v>
      </c>
      <c r="F4837" s="9" t="s">
        <v>203</v>
      </c>
      <c r="G4837" s="9" t="s">
        <v>221</v>
      </c>
      <c r="H4837" s="9" t="n">
        <v>1950</v>
      </c>
      <c r="I4837" s="29" t="n">
        <v>1.5</v>
      </c>
      <c r="J4837" s="9" t="n">
        <v>1</v>
      </c>
      <c r="K4837" s="30"/>
      <c r="L4837" s="30"/>
      <c r="M4837" s="30"/>
      <c r="N4837" s="30"/>
      <c r="O4837" s="30"/>
      <c r="P4837" s="30"/>
      <c r="Q4837" s="30"/>
      <c r="R4837" s="30"/>
      <c r="S4837" s="30"/>
      <c r="T4837" s="30"/>
      <c r="U4837" s="21" t="str">
        <f aca="false">IF(COUNT(K4837:T4837)=0,"SOURCE EMPTY / INDUSTRIAL ONLY",IF(MIN(K4837:T4837)=1,"SERVICE READY","HOLD"))</f>
        <v>SOURCE EMPTY / INDUSTRIAL ONLY</v>
      </c>
      <c r="V4837" s="9" t="n">
        <f aca="false">IF(U4837="SERVICE READY",1,0)</f>
        <v>0</v>
      </c>
      <c r="W4837" s="6"/>
      <c r="X4837" s="6"/>
      <c r="Y4837" s="6"/>
      <c r="Z4837" s="6"/>
    </row>
    <row r="4838" customFormat="false" ht="15" hidden="false" customHeight="false" outlineLevel="0" collapsed="false">
      <c r="A4838" s="9" t="s">
        <v>5135</v>
      </c>
      <c r="B4838" s="9" t="s">
        <v>5019</v>
      </c>
      <c r="C4838" s="9" t="s">
        <v>5020</v>
      </c>
      <c r="D4838" s="9" t="s">
        <v>4731</v>
      </c>
      <c r="E4838" s="9" t="s">
        <v>1660</v>
      </c>
      <c r="F4838" s="9" t="s">
        <v>205</v>
      </c>
      <c r="G4838" s="9" t="s">
        <v>221</v>
      </c>
      <c r="H4838" s="9" t="n">
        <v>1950</v>
      </c>
      <c r="I4838" s="29" t="n">
        <v>1.5</v>
      </c>
      <c r="J4838" s="9" t="n">
        <v>1</v>
      </c>
      <c r="K4838" s="30"/>
      <c r="L4838" s="30"/>
      <c r="M4838" s="30"/>
      <c r="N4838" s="30"/>
      <c r="O4838" s="30"/>
      <c r="P4838" s="30"/>
      <c r="Q4838" s="30"/>
      <c r="R4838" s="30"/>
      <c r="S4838" s="30"/>
      <c r="T4838" s="30"/>
      <c r="U4838" s="21" t="str">
        <f aca="false">IF(COUNT(K4838:T4838)=0,"SOURCE EMPTY / INDUSTRIAL ONLY",IF(MIN(K4838:T4838)=1,"SERVICE READY","HOLD"))</f>
        <v>SOURCE EMPTY / INDUSTRIAL ONLY</v>
      </c>
      <c r="V4838" s="9" t="n">
        <f aca="false">IF(U4838="SERVICE READY",1,0)</f>
        <v>0</v>
      </c>
      <c r="W4838" s="6"/>
      <c r="X4838" s="6"/>
      <c r="Y4838" s="6"/>
      <c r="Z4838" s="6"/>
    </row>
    <row r="4839" customFormat="false" ht="15" hidden="false" customHeight="false" outlineLevel="0" collapsed="false">
      <c r="A4839" s="9" t="s">
        <v>5136</v>
      </c>
      <c r="B4839" s="9" t="s">
        <v>5019</v>
      </c>
      <c r="C4839" s="9" t="s">
        <v>5020</v>
      </c>
      <c r="D4839" s="9" t="s">
        <v>4731</v>
      </c>
      <c r="E4839" s="9" t="s">
        <v>1660</v>
      </c>
      <c r="F4839" s="9" t="s">
        <v>207</v>
      </c>
      <c r="G4839" s="9" t="s">
        <v>221</v>
      </c>
      <c r="H4839" s="9" t="n">
        <v>1950</v>
      </c>
      <c r="I4839" s="29" t="n">
        <v>1.5</v>
      </c>
      <c r="J4839" s="9" t="n">
        <v>1</v>
      </c>
      <c r="K4839" s="30"/>
      <c r="L4839" s="30"/>
      <c r="M4839" s="30"/>
      <c r="N4839" s="30"/>
      <c r="O4839" s="30"/>
      <c r="P4839" s="30"/>
      <c r="Q4839" s="30"/>
      <c r="R4839" s="30"/>
      <c r="S4839" s="30"/>
      <c r="T4839" s="30"/>
      <c r="U4839" s="21" t="str">
        <f aca="false">IF(COUNT(K4839:T4839)=0,"SOURCE EMPTY / INDUSTRIAL ONLY",IF(MIN(K4839:T4839)=1,"SERVICE READY","HOLD"))</f>
        <v>SOURCE EMPTY / INDUSTRIAL ONLY</v>
      </c>
      <c r="V4839" s="9" t="n">
        <f aca="false">IF(U4839="SERVICE READY",1,0)</f>
        <v>0</v>
      </c>
      <c r="W4839" s="6"/>
      <c r="X4839" s="6"/>
      <c r="Y4839" s="6"/>
      <c r="Z4839" s="6"/>
    </row>
    <row r="4840" customFormat="false" ht="15" hidden="false" customHeight="false" outlineLevel="0" collapsed="false">
      <c r="A4840" s="9" t="s">
        <v>5137</v>
      </c>
      <c r="B4840" s="9" t="s">
        <v>5019</v>
      </c>
      <c r="C4840" s="9" t="s">
        <v>5020</v>
      </c>
      <c r="D4840" s="9" t="s">
        <v>4731</v>
      </c>
      <c r="E4840" s="9" t="s">
        <v>1660</v>
      </c>
      <c r="F4840" s="9" t="s">
        <v>209</v>
      </c>
      <c r="G4840" s="9" t="s">
        <v>221</v>
      </c>
      <c r="H4840" s="9" t="n">
        <v>1950</v>
      </c>
      <c r="I4840" s="29" t="n">
        <v>1.5</v>
      </c>
      <c r="J4840" s="9" t="n">
        <v>1</v>
      </c>
      <c r="K4840" s="30"/>
      <c r="L4840" s="30"/>
      <c r="M4840" s="30"/>
      <c r="N4840" s="30"/>
      <c r="O4840" s="30"/>
      <c r="P4840" s="30"/>
      <c r="Q4840" s="30"/>
      <c r="R4840" s="30"/>
      <c r="S4840" s="30"/>
      <c r="T4840" s="30"/>
      <c r="U4840" s="21" t="str">
        <f aca="false">IF(COUNT(K4840:T4840)=0,"SOURCE EMPTY / INDUSTRIAL ONLY",IF(MIN(K4840:T4840)=1,"SERVICE READY","HOLD"))</f>
        <v>SOURCE EMPTY / INDUSTRIAL ONLY</v>
      </c>
      <c r="V4840" s="9" t="n">
        <f aca="false">IF(U4840="SERVICE READY",1,0)</f>
        <v>0</v>
      </c>
      <c r="W4840" s="6"/>
      <c r="X4840" s="6"/>
      <c r="Y4840" s="6"/>
      <c r="Z4840" s="6"/>
    </row>
    <row r="4841" customFormat="false" ht="15" hidden="false" customHeight="false" outlineLevel="0" collapsed="false">
      <c r="A4841" s="9" t="s">
        <v>5138</v>
      </c>
      <c r="B4841" s="9" t="s">
        <v>5019</v>
      </c>
      <c r="C4841" s="9" t="s">
        <v>5020</v>
      </c>
      <c r="D4841" s="9" t="s">
        <v>4731</v>
      </c>
      <c r="E4841" s="9" t="s">
        <v>1660</v>
      </c>
      <c r="F4841" s="9" t="s">
        <v>211</v>
      </c>
      <c r="G4841" s="9" t="s">
        <v>221</v>
      </c>
      <c r="H4841" s="9" t="n">
        <v>1950</v>
      </c>
      <c r="I4841" s="29" t="n">
        <v>1.5</v>
      </c>
      <c r="J4841" s="9" t="n">
        <v>1</v>
      </c>
      <c r="K4841" s="30"/>
      <c r="L4841" s="30"/>
      <c r="M4841" s="30"/>
      <c r="N4841" s="30"/>
      <c r="O4841" s="30"/>
      <c r="P4841" s="30"/>
      <c r="Q4841" s="30"/>
      <c r="R4841" s="30"/>
      <c r="S4841" s="30"/>
      <c r="T4841" s="30"/>
      <c r="U4841" s="21" t="str">
        <f aca="false">IF(COUNT(K4841:T4841)=0,"SOURCE EMPTY / INDUSTRIAL ONLY",IF(MIN(K4841:T4841)=1,"SERVICE READY","HOLD"))</f>
        <v>SOURCE EMPTY / INDUSTRIAL ONLY</v>
      </c>
      <c r="V4841" s="9" t="n">
        <f aca="false">IF(U4841="SERVICE READY",1,0)</f>
        <v>0</v>
      </c>
      <c r="W4841" s="6"/>
      <c r="X4841" s="6"/>
      <c r="Y4841" s="6"/>
      <c r="Z4841" s="6"/>
    </row>
    <row r="4842" customFormat="false" ht="15" hidden="false" customHeight="false" outlineLevel="0" collapsed="false">
      <c r="A4842" s="9" t="s">
        <v>5139</v>
      </c>
      <c r="B4842" s="9" t="s">
        <v>5019</v>
      </c>
      <c r="C4842" s="9" t="s">
        <v>5020</v>
      </c>
      <c r="D4842" s="9" t="s">
        <v>4731</v>
      </c>
      <c r="E4842" s="9" t="s">
        <v>1660</v>
      </c>
      <c r="F4842" s="9" t="s">
        <v>197</v>
      </c>
      <c r="G4842" s="9" t="s">
        <v>221</v>
      </c>
      <c r="H4842" s="9" t="n">
        <v>1950</v>
      </c>
      <c r="I4842" s="29" t="n">
        <v>1.5</v>
      </c>
      <c r="J4842" s="9" t="n">
        <v>1</v>
      </c>
      <c r="K4842" s="30"/>
      <c r="L4842" s="30"/>
      <c r="M4842" s="30"/>
      <c r="N4842" s="30"/>
      <c r="O4842" s="30"/>
      <c r="P4842" s="30"/>
      <c r="Q4842" s="30"/>
      <c r="R4842" s="30"/>
      <c r="S4842" s="30"/>
      <c r="T4842" s="30"/>
      <c r="U4842" s="21" t="str">
        <f aca="false">IF(COUNT(K4842:T4842)=0,"SOURCE EMPTY / INDUSTRIAL ONLY",IF(MIN(K4842:T4842)=1,"SERVICE READY","HOLD"))</f>
        <v>SOURCE EMPTY / INDUSTRIAL ONLY</v>
      </c>
      <c r="V4842" s="9" t="n">
        <f aca="false">IF(U4842="SERVICE READY",1,0)</f>
        <v>0</v>
      </c>
      <c r="W4842" s="6"/>
      <c r="X4842" s="6"/>
      <c r="Y4842" s="6"/>
      <c r="Z4842" s="6"/>
    </row>
    <row r="4843" customFormat="false" ht="15" hidden="false" customHeight="false" outlineLevel="0" collapsed="false">
      <c r="A4843" s="9" t="s">
        <v>5140</v>
      </c>
      <c r="B4843" s="9" t="s">
        <v>5019</v>
      </c>
      <c r="C4843" s="9" t="s">
        <v>5020</v>
      </c>
      <c r="D4843" s="9" t="s">
        <v>4731</v>
      </c>
      <c r="E4843" s="9" t="s">
        <v>1660</v>
      </c>
      <c r="F4843" s="9" t="s">
        <v>200</v>
      </c>
      <c r="G4843" s="9" t="s">
        <v>221</v>
      </c>
      <c r="H4843" s="9" t="n">
        <v>1950</v>
      </c>
      <c r="I4843" s="29" t="n">
        <v>1.5</v>
      </c>
      <c r="J4843" s="9" t="n">
        <v>1</v>
      </c>
      <c r="K4843" s="30"/>
      <c r="L4843" s="30"/>
      <c r="M4843" s="30"/>
      <c r="N4843" s="30"/>
      <c r="O4843" s="30"/>
      <c r="P4843" s="30"/>
      <c r="Q4843" s="30"/>
      <c r="R4843" s="30"/>
      <c r="S4843" s="30"/>
      <c r="T4843" s="30"/>
      <c r="U4843" s="21" t="str">
        <f aca="false">IF(COUNT(K4843:T4843)=0,"SOURCE EMPTY / INDUSTRIAL ONLY",IF(MIN(K4843:T4843)=1,"SERVICE READY","HOLD"))</f>
        <v>SOURCE EMPTY / INDUSTRIAL ONLY</v>
      </c>
      <c r="V4843" s="9" t="n">
        <f aca="false">IF(U4843="SERVICE READY",1,0)</f>
        <v>0</v>
      </c>
      <c r="W4843" s="6"/>
      <c r="X4843" s="6"/>
      <c r="Y4843" s="6"/>
      <c r="Z4843" s="6"/>
    </row>
    <row r="4844" customFormat="false" ht="15" hidden="false" customHeight="false" outlineLevel="0" collapsed="false">
      <c r="A4844" s="9" t="s">
        <v>5141</v>
      </c>
      <c r="B4844" s="9" t="s">
        <v>5019</v>
      </c>
      <c r="C4844" s="9" t="s">
        <v>5020</v>
      </c>
      <c r="D4844" s="9" t="s">
        <v>4731</v>
      </c>
      <c r="E4844" s="9" t="s">
        <v>1660</v>
      </c>
      <c r="F4844" s="9" t="s">
        <v>203</v>
      </c>
      <c r="G4844" s="9" t="s">
        <v>221</v>
      </c>
      <c r="H4844" s="9" t="n">
        <v>1950</v>
      </c>
      <c r="I4844" s="29" t="n">
        <v>1.5</v>
      </c>
      <c r="J4844" s="9" t="n">
        <v>1</v>
      </c>
      <c r="K4844" s="30"/>
      <c r="L4844" s="30"/>
      <c r="M4844" s="30"/>
      <c r="N4844" s="30"/>
      <c r="O4844" s="30"/>
      <c r="P4844" s="30"/>
      <c r="Q4844" s="30"/>
      <c r="R4844" s="30"/>
      <c r="S4844" s="30"/>
      <c r="T4844" s="30"/>
      <c r="U4844" s="21" t="str">
        <f aca="false">IF(COUNT(K4844:T4844)=0,"SOURCE EMPTY / INDUSTRIAL ONLY",IF(MIN(K4844:T4844)=1,"SERVICE READY","HOLD"))</f>
        <v>SOURCE EMPTY / INDUSTRIAL ONLY</v>
      </c>
      <c r="V4844" s="9" t="n">
        <f aca="false">IF(U4844="SERVICE READY",1,0)</f>
        <v>0</v>
      </c>
      <c r="W4844" s="6"/>
      <c r="X4844" s="6"/>
      <c r="Y4844" s="6"/>
      <c r="Z4844" s="6"/>
    </row>
    <row r="4845" customFormat="false" ht="15" hidden="false" customHeight="false" outlineLevel="0" collapsed="false">
      <c r="A4845" s="9" t="s">
        <v>5142</v>
      </c>
      <c r="B4845" s="9" t="s">
        <v>5019</v>
      </c>
      <c r="C4845" s="9" t="s">
        <v>5020</v>
      </c>
      <c r="D4845" s="9" t="s">
        <v>4731</v>
      </c>
      <c r="E4845" s="9" t="s">
        <v>1660</v>
      </c>
      <c r="F4845" s="9" t="s">
        <v>205</v>
      </c>
      <c r="G4845" s="9" t="s">
        <v>221</v>
      </c>
      <c r="H4845" s="9" t="n">
        <v>1950</v>
      </c>
      <c r="I4845" s="29" t="n">
        <v>1.5</v>
      </c>
      <c r="J4845" s="9" t="n">
        <v>1</v>
      </c>
      <c r="K4845" s="30"/>
      <c r="L4845" s="30"/>
      <c r="M4845" s="30"/>
      <c r="N4845" s="30"/>
      <c r="O4845" s="30"/>
      <c r="P4845" s="30"/>
      <c r="Q4845" s="30"/>
      <c r="R4845" s="30"/>
      <c r="S4845" s="30"/>
      <c r="T4845" s="30"/>
      <c r="U4845" s="21" t="str">
        <f aca="false">IF(COUNT(K4845:T4845)=0,"SOURCE EMPTY / INDUSTRIAL ONLY",IF(MIN(K4845:T4845)=1,"SERVICE READY","HOLD"))</f>
        <v>SOURCE EMPTY / INDUSTRIAL ONLY</v>
      </c>
      <c r="V4845" s="9" t="n">
        <f aca="false">IF(U4845="SERVICE READY",1,0)</f>
        <v>0</v>
      </c>
      <c r="W4845" s="6"/>
      <c r="X4845" s="6"/>
      <c r="Y4845" s="6"/>
      <c r="Z4845" s="6"/>
    </row>
    <row r="4846" customFormat="false" ht="15" hidden="false" customHeight="false" outlineLevel="0" collapsed="false">
      <c r="A4846" s="9" t="s">
        <v>5143</v>
      </c>
      <c r="B4846" s="9" t="s">
        <v>5019</v>
      </c>
      <c r="C4846" s="9" t="s">
        <v>5020</v>
      </c>
      <c r="D4846" s="9" t="s">
        <v>4731</v>
      </c>
      <c r="E4846" s="9" t="s">
        <v>1660</v>
      </c>
      <c r="F4846" s="9" t="s">
        <v>207</v>
      </c>
      <c r="G4846" s="9" t="s">
        <v>221</v>
      </c>
      <c r="H4846" s="9" t="n">
        <v>1950</v>
      </c>
      <c r="I4846" s="29" t="n">
        <v>1.5</v>
      </c>
      <c r="J4846" s="9" t="n">
        <v>1</v>
      </c>
      <c r="K4846" s="30"/>
      <c r="L4846" s="30"/>
      <c r="M4846" s="30"/>
      <c r="N4846" s="30"/>
      <c r="O4846" s="30"/>
      <c r="P4846" s="30"/>
      <c r="Q4846" s="30"/>
      <c r="R4846" s="30"/>
      <c r="S4846" s="30"/>
      <c r="T4846" s="30"/>
      <c r="U4846" s="21" t="str">
        <f aca="false">IF(COUNT(K4846:T4846)=0,"SOURCE EMPTY / INDUSTRIAL ONLY",IF(MIN(K4846:T4846)=1,"SERVICE READY","HOLD"))</f>
        <v>SOURCE EMPTY / INDUSTRIAL ONLY</v>
      </c>
      <c r="V4846" s="9" t="n">
        <f aca="false">IF(U4846="SERVICE READY",1,0)</f>
        <v>0</v>
      </c>
      <c r="W4846" s="6"/>
      <c r="X4846" s="6"/>
      <c r="Y4846" s="6"/>
      <c r="Z4846" s="6"/>
    </row>
    <row r="4847" customFormat="false" ht="15" hidden="false" customHeight="false" outlineLevel="0" collapsed="false">
      <c r="A4847" s="9" t="s">
        <v>5144</v>
      </c>
      <c r="B4847" s="9" t="s">
        <v>5019</v>
      </c>
      <c r="C4847" s="9" t="s">
        <v>5020</v>
      </c>
      <c r="D4847" s="9" t="s">
        <v>4731</v>
      </c>
      <c r="E4847" s="9" t="s">
        <v>1660</v>
      </c>
      <c r="F4847" s="9" t="s">
        <v>209</v>
      </c>
      <c r="G4847" s="9" t="s">
        <v>221</v>
      </c>
      <c r="H4847" s="9" t="n">
        <v>1950</v>
      </c>
      <c r="I4847" s="29" t="n">
        <v>1.5</v>
      </c>
      <c r="J4847" s="9" t="n">
        <v>1</v>
      </c>
      <c r="K4847" s="30"/>
      <c r="L4847" s="30"/>
      <c r="M4847" s="30"/>
      <c r="N4847" s="30"/>
      <c r="O4847" s="30"/>
      <c r="P4847" s="30"/>
      <c r="Q4847" s="30"/>
      <c r="R4847" s="30"/>
      <c r="S4847" s="30"/>
      <c r="T4847" s="30"/>
      <c r="U4847" s="21" t="str">
        <f aca="false">IF(COUNT(K4847:T4847)=0,"SOURCE EMPTY / INDUSTRIAL ONLY",IF(MIN(K4847:T4847)=1,"SERVICE READY","HOLD"))</f>
        <v>SOURCE EMPTY / INDUSTRIAL ONLY</v>
      </c>
      <c r="V4847" s="9" t="n">
        <f aca="false">IF(U4847="SERVICE READY",1,0)</f>
        <v>0</v>
      </c>
      <c r="W4847" s="6"/>
      <c r="X4847" s="6"/>
      <c r="Y4847" s="6"/>
      <c r="Z4847" s="6"/>
    </row>
    <row r="4848" customFormat="false" ht="15" hidden="false" customHeight="false" outlineLevel="0" collapsed="false">
      <c r="A4848" s="9" t="s">
        <v>5145</v>
      </c>
      <c r="B4848" s="9" t="s">
        <v>5019</v>
      </c>
      <c r="C4848" s="9" t="s">
        <v>5020</v>
      </c>
      <c r="D4848" s="9" t="s">
        <v>4731</v>
      </c>
      <c r="E4848" s="9" t="s">
        <v>1660</v>
      </c>
      <c r="F4848" s="9" t="s">
        <v>211</v>
      </c>
      <c r="G4848" s="9" t="s">
        <v>221</v>
      </c>
      <c r="H4848" s="9" t="n">
        <v>1950</v>
      </c>
      <c r="I4848" s="29" t="n">
        <v>1.5</v>
      </c>
      <c r="J4848" s="9" t="n">
        <v>1</v>
      </c>
      <c r="K4848" s="30"/>
      <c r="L4848" s="30"/>
      <c r="M4848" s="30"/>
      <c r="N4848" s="30"/>
      <c r="O4848" s="30"/>
      <c r="P4848" s="30"/>
      <c r="Q4848" s="30"/>
      <c r="R4848" s="30"/>
      <c r="S4848" s="30"/>
      <c r="T4848" s="30"/>
      <c r="U4848" s="21" t="str">
        <f aca="false">IF(COUNT(K4848:T4848)=0,"SOURCE EMPTY / INDUSTRIAL ONLY",IF(MIN(K4848:T4848)=1,"SERVICE READY","HOLD"))</f>
        <v>SOURCE EMPTY / INDUSTRIAL ONLY</v>
      </c>
      <c r="V4848" s="9" t="n">
        <f aca="false">IF(U4848="SERVICE READY",1,0)</f>
        <v>0</v>
      </c>
      <c r="W4848" s="6"/>
      <c r="X4848" s="6"/>
      <c r="Y4848" s="6"/>
      <c r="Z4848" s="6"/>
    </row>
    <row r="4849" customFormat="false" ht="15" hidden="false" customHeight="false" outlineLevel="0" collapsed="false">
      <c r="A4849" s="9" t="s">
        <v>5146</v>
      </c>
      <c r="B4849" s="9" t="s">
        <v>5019</v>
      </c>
      <c r="C4849" s="9" t="s">
        <v>5020</v>
      </c>
      <c r="D4849" s="9" t="s">
        <v>4731</v>
      </c>
      <c r="E4849" s="9" t="s">
        <v>1660</v>
      </c>
      <c r="F4849" s="9" t="s">
        <v>197</v>
      </c>
      <c r="G4849" s="9" t="s">
        <v>221</v>
      </c>
      <c r="H4849" s="9" t="n">
        <v>1950</v>
      </c>
      <c r="I4849" s="29" t="n">
        <v>1.5</v>
      </c>
      <c r="J4849" s="9" t="n">
        <v>1</v>
      </c>
      <c r="K4849" s="30"/>
      <c r="L4849" s="30"/>
      <c r="M4849" s="30"/>
      <c r="N4849" s="30"/>
      <c r="O4849" s="30"/>
      <c r="P4849" s="30"/>
      <c r="Q4849" s="30"/>
      <c r="R4849" s="30"/>
      <c r="S4849" s="30"/>
      <c r="T4849" s="30"/>
      <c r="U4849" s="21" t="str">
        <f aca="false">IF(COUNT(K4849:T4849)=0,"SOURCE EMPTY / INDUSTRIAL ONLY",IF(MIN(K4849:T4849)=1,"SERVICE READY","HOLD"))</f>
        <v>SOURCE EMPTY / INDUSTRIAL ONLY</v>
      </c>
      <c r="V4849" s="9" t="n">
        <f aca="false">IF(U4849="SERVICE READY",1,0)</f>
        <v>0</v>
      </c>
      <c r="W4849" s="6"/>
      <c r="X4849" s="6"/>
      <c r="Y4849" s="6"/>
      <c r="Z4849" s="6"/>
    </row>
    <row r="4850" customFormat="false" ht="15" hidden="false" customHeight="false" outlineLevel="0" collapsed="false">
      <c r="A4850" s="9" t="s">
        <v>5147</v>
      </c>
      <c r="B4850" s="9" t="s">
        <v>5019</v>
      </c>
      <c r="C4850" s="9" t="s">
        <v>5020</v>
      </c>
      <c r="D4850" s="9" t="s">
        <v>4731</v>
      </c>
      <c r="E4850" s="9" t="s">
        <v>1660</v>
      </c>
      <c r="F4850" s="9" t="s">
        <v>200</v>
      </c>
      <c r="G4850" s="9" t="s">
        <v>221</v>
      </c>
      <c r="H4850" s="9" t="n">
        <v>1950</v>
      </c>
      <c r="I4850" s="29" t="n">
        <v>1.5</v>
      </c>
      <c r="J4850" s="9" t="n">
        <v>1</v>
      </c>
      <c r="K4850" s="30"/>
      <c r="L4850" s="30"/>
      <c r="M4850" s="30"/>
      <c r="N4850" s="30"/>
      <c r="O4850" s="30"/>
      <c r="P4850" s="30"/>
      <c r="Q4850" s="30"/>
      <c r="R4850" s="30"/>
      <c r="S4850" s="30"/>
      <c r="T4850" s="30"/>
      <c r="U4850" s="21" t="str">
        <f aca="false">IF(COUNT(K4850:T4850)=0,"SOURCE EMPTY / INDUSTRIAL ONLY",IF(MIN(K4850:T4850)=1,"SERVICE READY","HOLD"))</f>
        <v>SOURCE EMPTY / INDUSTRIAL ONLY</v>
      </c>
      <c r="V4850" s="9" t="n">
        <f aca="false">IF(U4850="SERVICE READY",1,0)</f>
        <v>0</v>
      </c>
      <c r="W4850" s="6"/>
      <c r="X4850" s="6"/>
      <c r="Y4850" s="6"/>
      <c r="Z4850" s="6"/>
    </row>
    <row r="4851" customFormat="false" ht="15" hidden="false" customHeight="false" outlineLevel="0" collapsed="false">
      <c r="A4851" s="9" t="s">
        <v>5148</v>
      </c>
      <c r="B4851" s="9" t="s">
        <v>5019</v>
      </c>
      <c r="C4851" s="9" t="s">
        <v>5020</v>
      </c>
      <c r="D4851" s="9" t="s">
        <v>4731</v>
      </c>
      <c r="E4851" s="9" t="s">
        <v>1660</v>
      </c>
      <c r="F4851" s="9" t="s">
        <v>203</v>
      </c>
      <c r="G4851" s="9" t="s">
        <v>221</v>
      </c>
      <c r="H4851" s="9" t="n">
        <v>1950</v>
      </c>
      <c r="I4851" s="29" t="n">
        <v>1.5</v>
      </c>
      <c r="J4851" s="9" t="n">
        <v>1</v>
      </c>
      <c r="K4851" s="30"/>
      <c r="L4851" s="30"/>
      <c r="M4851" s="30"/>
      <c r="N4851" s="30"/>
      <c r="O4851" s="30"/>
      <c r="P4851" s="30"/>
      <c r="Q4851" s="30"/>
      <c r="R4851" s="30"/>
      <c r="S4851" s="30"/>
      <c r="T4851" s="30"/>
      <c r="U4851" s="21" t="str">
        <f aca="false">IF(COUNT(K4851:T4851)=0,"SOURCE EMPTY / INDUSTRIAL ONLY",IF(MIN(K4851:T4851)=1,"SERVICE READY","HOLD"))</f>
        <v>SOURCE EMPTY / INDUSTRIAL ONLY</v>
      </c>
      <c r="V4851" s="9" t="n">
        <f aca="false">IF(U4851="SERVICE READY",1,0)</f>
        <v>0</v>
      </c>
      <c r="W4851" s="6"/>
      <c r="X4851" s="6"/>
      <c r="Y4851" s="6"/>
      <c r="Z4851" s="6"/>
    </row>
    <row r="4852" customFormat="false" ht="15" hidden="false" customHeight="false" outlineLevel="0" collapsed="false">
      <c r="A4852" s="9" t="s">
        <v>5149</v>
      </c>
      <c r="B4852" s="9" t="s">
        <v>5019</v>
      </c>
      <c r="C4852" s="9" t="s">
        <v>5020</v>
      </c>
      <c r="D4852" s="9" t="s">
        <v>4731</v>
      </c>
      <c r="E4852" s="9" t="s">
        <v>1660</v>
      </c>
      <c r="F4852" s="9" t="s">
        <v>205</v>
      </c>
      <c r="G4852" s="9" t="s">
        <v>221</v>
      </c>
      <c r="H4852" s="9" t="n">
        <v>1950</v>
      </c>
      <c r="I4852" s="29" t="n">
        <v>1.5</v>
      </c>
      <c r="J4852" s="9" t="n">
        <v>1</v>
      </c>
      <c r="K4852" s="30"/>
      <c r="L4852" s="30"/>
      <c r="M4852" s="30"/>
      <c r="N4852" s="30"/>
      <c r="O4852" s="30"/>
      <c r="P4852" s="30"/>
      <c r="Q4852" s="30"/>
      <c r="R4852" s="30"/>
      <c r="S4852" s="30"/>
      <c r="T4852" s="30"/>
      <c r="U4852" s="21" t="str">
        <f aca="false">IF(COUNT(K4852:T4852)=0,"SOURCE EMPTY / INDUSTRIAL ONLY",IF(MIN(K4852:T4852)=1,"SERVICE READY","HOLD"))</f>
        <v>SOURCE EMPTY / INDUSTRIAL ONLY</v>
      </c>
      <c r="V4852" s="9" t="n">
        <f aca="false">IF(U4852="SERVICE READY",1,0)</f>
        <v>0</v>
      </c>
      <c r="W4852" s="6"/>
      <c r="X4852" s="6"/>
      <c r="Y4852" s="6"/>
      <c r="Z4852" s="6"/>
    </row>
    <row r="4853" customFormat="false" ht="15" hidden="false" customHeight="false" outlineLevel="0" collapsed="false">
      <c r="A4853" s="9" t="s">
        <v>5150</v>
      </c>
      <c r="B4853" s="9" t="s">
        <v>5019</v>
      </c>
      <c r="C4853" s="9" t="s">
        <v>5020</v>
      </c>
      <c r="D4853" s="9" t="s">
        <v>4731</v>
      </c>
      <c r="E4853" s="9" t="s">
        <v>1660</v>
      </c>
      <c r="F4853" s="9" t="s">
        <v>207</v>
      </c>
      <c r="G4853" s="9" t="s">
        <v>221</v>
      </c>
      <c r="H4853" s="9" t="n">
        <v>1950</v>
      </c>
      <c r="I4853" s="29" t="n">
        <v>1.5</v>
      </c>
      <c r="J4853" s="9" t="n">
        <v>0</v>
      </c>
      <c r="K4853" s="30"/>
      <c r="L4853" s="30"/>
      <c r="M4853" s="30"/>
      <c r="N4853" s="30"/>
      <c r="O4853" s="30"/>
      <c r="P4853" s="30"/>
      <c r="Q4853" s="30"/>
      <c r="R4853" s="30"/>
      <c r="S4853" s="30"/>
      <c r="T4853" s="30"/>
      <c r="U4853" s="21" t="str">
        <f aca="false">IF(COUNT(K4853:T4853)=0,"SOURCE EMPTY / INDUSTRIAL ONLY",IF(MIN(K4853:T4853)=1,"SERVICE READY","HOLD"))</f>
        <v>SOURCE EMPTY / INDUSTRIAL ONLY</v>
      </c>
      <c r="V4853" s="9" t="n">
        <f aca="false">IF(U4853="SERVICE READY",1,0)</f>
        <v>0</v>
      </c>
      <c r="W4853" s="6"/>
      <c r="X4853" s="6"/>
      <c r="Y4853" s="6"/>
      <c r="Z4853" s="6"/>
    </row>
    <row r="4854" customFormat="false" ht="15" hidden="false" customHeight="false" outlineLevel="0" collapsed="false">
      <c r="A4854" s="9" t="s">
        <v>5151</v>
      </c>
      <c r="B4854" s="9" t="s">
        <v>5019</v>
      </c>
      <c r="C4854" s="9" t="s">
        <v>5020</v>
      </c>
      <c r="D4854" s="9" t="s">
        <v>4731</v>
      </c>
      <c r="E4854" s="9" t="s">
        <v>1660</v>
      </c>
      <c r="F4854" s="9" t="s">
        <v>209</v>
      </c>
      <c r="G4854" s="9" t="s">
        <v>221</v>
      </c>
      <c r="H4854" s="9" t="n">
        <v>1950</v>
      </c>
      <c r="I4854" s="29" t="n">
        <v>1.5</v>
      </c>
      <c r="J4854" s="9" t="n">
        <v>0</v>
      </c>
      <c r="K4854" s="30"/>
      <c r="L4854" s="30"/>
      <c r="M4854" s="30"/>
      <c r="N4854" s="30"/>
      <c r="O4854" s="30"/>
      <c r="P4854" s="30"/>
      <c r="Q4854" s="30"/>
      <c r="R4854" s="30"/>
      <c r="S4854" s="30"/>
      <c r="T4854" s="30"/>
      <c r="U4854" s="21" t="str">
        <f aca="false">IF(COUNT(K4854:T4854)=0,"SOURCE EMPTY / INDUSTRIAL ONLY",IF(MIN(K4854:T4854)=1,"SERVICE READY","HOLD"))</f>
        <v>SOURCE EMPTY / INDUSTRIAL ONLY</v>
      </c>
      <c r="V4854" s="9" t="n">
        <f aca="false">IF(U4854="SERVICE READY",1,0)</f>
        <v>0</v>
      </c>
      <c r="W4854" s="6"/>
      <c r="X4854" s="6"/>
      <c r="Y4854" s="6"/>
      <c r="Z4854" s="6"/>
    </row>
    <row r="4855" customFormat="false" ht="15" hidden="false" customHeight="false" outlineLevel="0" collapsed="false">
      <c r="A4855" s="9" t="s">
        <v>5152</v>
      </c>
      <c r="B4855" s="9" t="s">
        <v>5019</v>
      </c>
      <c r="C4855" s="9" t="s">
        <v>5020</v>
      </c>
      <c r="D4855" s="9" t="s">
        <v>4731</v>
      </c>
      <c r="E4855" s="9" t="s">
        <v>1660</v>
      </c>
      <c r="F4855" s="9" t="s">
        <v>211</v>
      </c>
      <c r="G4855" s="9" t="s">
        <v>221</v>
      </c>
      <c r="H4855" s="9" t="n">
        <v>1950</v>
      </c>
      <c r="I4855" s="29" t="n">
        <v>1.5</v>
      </c>
      <c r="J4855" s="9" t="n">
        <v>0</v>
      </c>
      <c r="K4855" s="30"/>
      <c r="L4855" s="30"/>
      <c r="M4855" s="30"/>
      <c r="N4855" s="30"/>
      <c r="O4855" s="30"/>
      <c r="P4855" s="30"/>
      <c r="Q4855" s="30"/>
      <c r="R4855" s="30"/>
      <c r="S4855" s="30"/>
      <c r="T4855" s="30"/>
      <c r="U4855" s="21" t="str">
        <f aca="false">IF(COUNT(K4855:T4855)=0,"SOURCE EMPTY / INDUSTRIAL ONLY",IF(MIN(K4855:T4855)=1,"SERVICE READY","HOLD"))</f>
        <v>SOURCE EMPTY / INDUSTRIAL ONLY</v>
      </c>
      <c r="V4855" s="9" t="n">
        <f aca="false">IF(U4855="SERVICE READY",1,0)</f>
        <v>0</v>
      </c>
      <c r="W4855" s="6"/>
      <c r="X4855" s="6"/>
      <c r="Y4855" s="6"/>
      <c r="Z4855" s="6"/>
    </row>
    <row r="4856" customFormat="false" ht="15" hidden="false" customHeight="false" outlineLevel="0" collapsed="false">
      <c r="A4856" s="9" t="s">
        <v>5153</v>
      </c>
      <c r="B4856" s="9" t="s">
        <v>5019</v>
      </c>
      <c r="C4856" s="9" t="s">
        <v>5020</v>
      </c>
      <c r="D4856" s="9" t="s">
        <v>4731</v>
      </c>
      <c r="E4856" s="9" t="s">
        <v>1660</v>
      </c>
      <c r="F4856" s="9" t="s">
        <v>197</v>
      </c>
      <c r="G4856" s="9" t="s">
        <v>221</v>
      </c>
      <c r="H4856" s="9" t="n">
        <v>1950</v>
      </c>
      <c r="I4856" s="29" t="n">
        <v>1.5</v>
      </c>
      <c r="J4856" s="9" t="n">
        <v>0</v>
      </c>
      <c r="K4856" s="30"/>
      <c r="L4856" s="30"/>
      <c r="M4856" s="30"/>
      <c r="N4856" s="30"/>
      <c r="O4856" s="30"/>
      <c r="P4856" s="30"/>
      <c r="Q4856" s="30"/>
      <c r="R4856" s="30"/>
      <c r="S4856" s="30"/>
      <c r="T4856" s="30"/>
      <c r="U4856" s="21" t="str">
        <f aca="false">IF(COUNT(K4856:T4856)=0,"SOURCE EMPTY / INDUSTRIAL ONLY",IF(MIN(K4856:T4856)=1,"SERVICE READY","HOLD"))</f>
        <v>SOURCE EMPTY / INDUSTRIAL ONLY</v>
      </c>
      <c r="V4856" s="9" t="n">
        <f aca="false">IF(U4856="SERVICE READY",1,0)</f>
        <v>0</v>
      </c>
      <c r="W4856" s="6"/>
      <c r="X4856" s="6"/>
      <c r="Y4856" s="6"/>
      <c r="Z4856" s="6"/>
    </row>
    <row r="4857" customFormat="false" ht="15" hidden="false" customHeight="false" outlineLevel="0" collapsed="false">
      <c r="A4857" s="9" t="s">
        <v>5154</v>
      </c>
      <c r="B4857" s="9" t="s">
        <v>5019</v>
      </c>
      <c r="C4857" s="9" t="s">
        <v>5020</v>
      </c>
      <c r="D4857" s="9" t="s">
        <v>4731</v>
      </c>
      <c r="E4857" s="9" t="s">
        <v>1660</v>
      </c>
      <c r="F4857" s="9" t="s">
        <v>200</v>
      </c>
      <c r="G4857" s="9" t="s">
        <v>221</v>
      </c>
      <c r="H4857" s="9" t="n">
        <v>1950</v>
      </c>
      <c r="I4857" s="29" t="n">
        <v>1.5</v>
      </c>
      <c r="J4857" s="9" t="n">
        <v>0</v>
      </c>
      <c r="K4857" s="30"/>
      <c r="L4857" s="30"/>
      <c r="M4857" s="30"/>
      <c r="N4857" s="30"/>
      <c r="O4857" s="30"/>
      <c r="P4857" s="30"/>
      <c r="Q4857" s="30"/>
      <c r="R4857" s="30"/>
      <c r="S4857" s="30"/>
      <c r="T4857" s="30"/>
      <c r="U4857" s="21" t="str">
        <f aca="false">IF(COUNT(K4857:T4857)=0,"SOURCE EMPTY / INDUSTRIAL ONLY",IF(MIN(K4857:T4857)=1,"SERVICE READY","HOLD"))</f>
        <v>SOURCE EMPTY / INDUSTRIAL ONLY</v>
      </c>
      <c r="V4857" s="9" t="n">
        <f aca="false">IF(U4857="SERVICE READY",1,0)</f>
        <v>0</v>
      </c>
      <c r="W4857" s="6"/>
      <c r="X4857" s="6"/>
      <c r="Y4857" s="6"/>
      <c r="Z4857" s="6"/>
    </row>
    <row r="4858" customFormat="false" ht="15" hidden="false" customHeight="false" outlineLevel="0" collapsed="false">
      <c r="A4858" s="9" t="s">
        <v>5155</v>
      </c>
      <c r="B4858" s="9" t="s">
        <v>5019</v>
      </c>
      <c r="C4858" s="9" t="s">
        <v>5020</v>
      </c>
      <c r="D4858" s="9" t="s">
        <v>4731</v>
      </c>
      <c r="E4858" s="9" t="s">
        <v>1660</v>
      </c>
      <c r="F4858" s="9" t="s">
        <v>203</v>
      </c>
      <c r="G4858" s="9" t="s">
        <v>221</v>
      </c>
      <c r="H4858" s="9" t="n">
        <v>1950</v>
      </c>
      <c r="I4858" s="29" t="n">
        <v>1.5</v>
      </c>
      <c r="J4858" s="9" t="n">
        <v>0</v>
      </c>
      <c r="K4858" s="30"/>
      <c r="L4858" s="30"/>
      <c r="M4858" s="30"/>
      <c r="N4858" s="30"/>
      <c r="O4858" s="30"/>
      <c r="P4858" s="30"/>
      <c r="Q4858" s="30"/>
      <c r="R4858" s="30"/>
      <c r="S4858" s="30"/>
      <c r="T4858" s="30"/>
      <c r="U4858" s="21" t="str">
        <f aca="false">IF(COUNT(K4858:T4858)=0,"SOURCE EMPTY / INDUSTRIAL ONLY",IF(MIN(K4858:T4858)=1,"SERVICE READY","HOLD"))</f>
        <v>SOURCE EMPTY / INDUSTRIAL ONLY</v>
      </c>
      <c r="V4858" s="9" t="n">
        <f aca="false">IF(U4858="SERVICE READY",1,0)</f>
        <v>0</v>
      </c>
      <c r="W4858" s="6"/>
      <c r="X4858" s="6"/>
      <c r="Y4858" s="6"/>
      <c r="Z4858" s="6"/>
    </row>
    <row r="4859" customFormat="false" ht="15" hidden="false" customHeight="false" outlineLevel="0" collapsed="false">
      <c r="A4859" s="9" t="s">
        <v>5156</v>
      </c>
      <c r="B4859" s="9" t="s">
        <v>5019</v>
      </c>
      <c r="C4859" s="9" t="s">
        <v>5020</v>
      </c>
      <c r="D4859" s="9" t="s">
        <v>4731</v>
      </c>
      <c r="E4859" s="9" t="s">
        <v>1660</v>
      </c>
      <c r="F4859" s="9" t="s">
        <v>205</v>
      </c>
      <c r="G4859" s="9" t="s">
        <v>221</v>
      </c>
      <c r="H4859" s="9" t="n">
        <v>1950</v>
      </c>
      <c r="I4859" s="29" t="n">
        <v>1.5</v>
      </c>
      <c r="J4859" s="9" t="n">
        <v>0</v>
      </c>
      <c r="K4859" s="30"/>
      <c r="L4859" s="30"/>
      <c r="M4859" s="30"/>
      <c r="N4859" s="30"/>
      <c r="O4859" s="30"/>
      <c r="P4859" s="30"/>
      <c r="Q4859" s="30"/>
      <c r="R4859" s="30"/>
      <c r="S4859" s="30"/>
      <c r="T4859" s="30"/>
      <c r="U4859" s="21" t="str">
        <f aca="false">IF(COUNT(K4859:T4859)=0,"SOURCE EMPTY / INDUSTRIAL ONLY",IF(MIN(K4859:T4859)=1,"SERVICE READY","HOLD"))</f>
        <v>SOURCE EMPTY / INDUSTRIAL ONLY</v>
      </c>
      <c r="V4859" s="9" t="n">
        <f aca="false">IF(U4859="SERVICE READY",1,0)</f>
        <v>0</v>
      </c>
      <c r="W4859" s="6"/>
      <c r="X4859" s="6"/>
      <c r="Y4859" s="6"/>
      <c r="Z4859" s="6"/>
    </row>
    <row r="4860" customFormat="false" ht="15" hidden="false" customHeight="false" outlineLevel="0" collapsed="false">
      <c r="A4860" s="9" t="s">
        <v>5157</v>
      </c>
      <c r="B4860" s="9" t="s">
        <v>5019</v>
      </c>
      <c r="C4860" s="9" t="s">
        <v>5020</v>
      </c>
      <c r="D4860" s="9" t="s">
        <v>4731</v>
      </c>
      <c r="E4860" s="9" t="s">
        <v>1660</v>
      </c>
      <c r="F4860" s="9" t="s">
        <v>207</v>
      </c>
      <c r="G4860" s="9" t="s">
        <v>221</v>
      </c>
      <c r="H4860" s="9" t="n">
        <v>1950</v>
      </c>
      <c r="I4860" s="29" t="n">
        <v>1.5</v>
      </c>
      <c r="J4860" s="9" t="n">
        <v>0</v>
      </c>
      <c r="K4860" s="30"/>
      <c r="L4860" s="30"/>
      <c r="M4860" s="30"/>
      <c r="N4860" s="30"/>
      <c r="O4860" s="30"/>
      <c r="P4860" s="30"/>
      <c r="Q4860" s="30"/>
      <c r="R4860" s="30"/>
      <c r="S4860" s="30"/>
      <c r="T4860" s="30"/>
      <c r="U4860" s="21" t="str">
        <f aca="false">IF(COUNT(K4860:T4860)=0,"SOURCE EMPTY / INDUSTRIAL ONLY",IF(MIN(K4860:T4860)=1,"SERVICE READY","HOLD"))</f>
        <v>SOURCE EMPTY / INDUSTRIAL ONLY</v>
      </c>
      <c r="V4860" s="9" t="n">
        <f aca="false">IF(U4860="SERVICE READY",1,0)</f>
        <v>0</v>
      </c>
      <c r="W4860" s="6"/>
      <c r="X4860" s="6"/>
      <c r="Y4860" s="6"/>
      <c r="Z4860" s="6"/>
    </row>
    <row r="4861" customFormat="false" ht="15" hidden="false" customHeight="false" outlineLevel="0" collapsed="false">
      <c r="A4861" s="9" t="s">
        <v>5158</v>
      </c>
      <c r="B4861" s="9" t="s">
        <v>5019</v>
      </c>
      <c r="C4861" s="9" t="s">
        <v>5020</v>
      </c>
      <c r="D4861" s="9" t="s">
        <v>4731</v>
      </c>
      <c r="E4861" s="9" t="s">
        <v>1660</v>
      </c>
      <c r="F4861" s="9" t="s">
        <v>209</v>
      </c>
      <c r="G4861" s="9" t="s">
        <v>221</v>
      </c>
      <c r="H4861" s="9" t="n">
        <v>1950</v>
      </c>
      <c r="I4861" s="29" t="n">
        <v>1.5</v>
      </c>
      <c r="J4861" s="9" t="n">
        <v>0</v>
      </c>
      <c r="K4861" s="30"/>
      <c r="L4861" s="30"/>
      <c r="M4861" s="30"/>
      <c r="N4861" s="30"/>
      <c r="O4861" s="30"/>
      <c r="P4861" s="30"/>
      <c r="Q4861" s="30"/>
      <c r="R4861" s="30"/>
      <c r="S4861" s="30"/>
      <c r="T4861" s="30"/>
      <c r="U4861" s="21" t="str">
        <f aca="false">IF(COUNT(K4861:T4861)=0,"SOURCE EMPTY / INDUSTRIAL ONLY",IF(MIN(K4861:T4861)=1,"SERVICE READY","HOLD"))</f>
        <v>SOURCE EMPTY / INDUSTRIAL ONLY</v>
      </c>
      <c r="V4861" s="9" t="n">
        <f aca="false">IF(U4861="SERVICE READY",1,0)</f>
        <v>0</v>
      </c>
      <c r="W4861" s="6"/>
      <c r="X4861" s="6"/>
      <c r="Y4861" s="6"/>
      <c r="Z4861" s="6"/>
    </row>
    <row r="4862" customFormat="false" ht="15" hidden="false" customHeight="false" outlineLevel="0" collapsed="false">
      <c r="A4862" s="9" t="s">
        <v>5159</v>
      </c>
      <c r="B4862" s="9" t="s">
        <v>5019</v>
      </c>
      <c r="C4862" s="9" t="s">
        <v>5020</v>
      </c>
      <c r="D4862" s="9" t="s">
        <v>4731</v>
      </c>
      <c r="E4862" s="9" t="s">
        <v>1660</v>
      </c>
      <c r="F4862" s="9" t="s">
        <v>211</v>
      </c>
      <c r="G4862" s="9" t="s">
        <v>221</v>
      </c>
      <c r="H4862" s="9" t="n">
        <v>1950</v>
      </c>
      <c r="I4862" s="29" t="n">
        <v>1.5</v>
      </c>
      <c r="J4862" s="9" t="n">
        <v>0</v>
      </c>
      <c r="K4862" s="30"/>
      <c r="L4862" s="30"/>
      <c r="M4862" s="30"/>
      <c r="N4862" s="30"/>
      <c r="O4862" s="30"/>
      <c r="P4862" s="30"/>
      <c r="Q4862" s="30"/>
      <c r="R4862" s="30"/>
      <c r="S4862" s="30"/>
      <c r="T4862" s="30"/>
      <c r="U4862" s="21" t="str">
        <f aca="false">IF(COUNT(K4862:T4862)=0,"SOURCE EMPTY / INDUSTRIAL ONLY",IF(MIN(K4862:T4862)=1,"SERVICE READY","HOLD"))</f>
        <v>SOURCE EMPTY / INDUSTRIAL ONLY</v>
      </c>
      <c r="V4862" s="9" t="n">
        <f aca="false">IF(U4862="SERVICE READY",1,0)</f>
        <v>0</v>
      </c>
      <c r="W4862" s="6"/>
      <c r="X4862" s="6"/>
      <c r="Y4862" s="6"/>
      <c r="Z4862" s="6"/>
    </row>
    <row r="4863" customFormat="false" ht="15" hidden="false" customHeight="false" outlineLevel="0" collapsed="false">
      <c r="A4863" s="9" t="s">
        <v>5160</v>
      </c>
      <c r="B4863" s="9" t="s">
        <v>5019</v>
      </c>
      <c r="C4863" s="9" t="s">
        <v>5020</v>
      </c>
      <c r="D4863" s="9" t="s">
        <v>4731</v>
      </c>
      <c r="E4863" s="9" t="s">
        <v>1660</v>
      </c>
      <c r="F4863" s="9" t="s">
        <v>197</v>
      </c>
      <c r="G4863" s="9" t="s">
        <v>221</v>
      </c>
      <c r="H4863" s="9" t="n">
        <v>1950</v>
      </c>
      <c r="I4863" s="29" t="n">
        <v>1.5</v>
      </c>
      <c r="J4863" s="9" t="n">
        <v>0</v>
      </c>
      <c r="K4863" s="30"/>
      <c r="L4863" s="30"/>
      <c r="M4863" s="30"/>
      <c r="N4863" s="30"/>
      <c r="O4863" s="30"/>
      <c r="P4863" s="30"/>
      <c r="Q4863" s="30"/>
      <c r="R4863" s="30"/>
      <c r="S4863" s="30"/>
      <c r="T4863" s="30"/>
      <c r="U4863" s="21" t="str">
        <f aca="false">IF(COUNT(K4863:T4863)=0,"SOURCE EMPTY / INDUSTRIAL ONLY",IF(MIN(K4863:T4863)=1,"SERVICE READY","HOLD"))</f>
        <v>SOURCE EMPTY / INDUSTRIAL ONLY</v>
      </c>
      <c r="V4863" s="9" t="n">
        <f aca="false">IF(U4863="SERVICE READY",1,0)</f>
        <v>0</v>
      </c>
      <c r="W4863" s="6"/>
      <c r="X4863" s="6"/>
      <c r="Y4863" s="6"/>
      <c r="Z4863" s="6"/>
    </row>
    <row r="4864" customFormat="false" ht="15" hidden="false" customHeight="false" outlineLevel="0" collapsed="false">
      <c r="A4864" s="9" t="s">
        <v>5161</v>
      </c>
      <c r="B4864" s="9" t="s">
        <v>5019</v>
      </c>
      <c r="C4864" s="9" t="s">
        <v>5020</v>
      </c>
      <c r="D4864" s="9" t="s">
        <v>4731</v>
      </c>
      <c r="E4864" s="9" t="s">
        <v>1660</v>
      </c>
      <c r="F4864" s="9" t="s">
        <v>200</v>
      </c>
      <c r="G4864" s="9" t="s">
        <v>221</v>
      </c>
      <c r="H4864" s="9" t="n">
        <v>1950</v>
      </c>
      <c r="I4864" s="29" t="n">
        <v>1.5</v>
      </c>
      <c r="J4864" s="9" t="n">
        <v>0</v>
      </c>
      <c r="K4864" s="30"/>
      <c r="L4864" s="30"/>
      <c r="M4864" s="30"/>
      <c r="N4864" s="30"/>
      <c r="O4864" s="30"/>
      <c r="P4864" s="30"/>
      <c r="Q4864" s="30"/>
      <c r="R4864" s="30"/>
      <c r="S4864" s="30"/>
      <c r="T4864" s="30"/>
      <c r="U4864" s="21" t="str">
        <f aca="false">IF(COUNT(K4864:T4864)=0,"SOURCE EMPTY / INDUSTRIAL ONLY",IF(MIN(K4864:T4864)=1,"SERVICE READY","HOLD"))</f>
        <v>SOURCE EMPTY / INDUSTRIAL ONLY</v>
      </c>
      <c r="V4864" s="9" t="n">
        <f aca="false">IF(U4864="SERVICE READY",1,0)</f>
        <v>0</v>
      </c>
      <c r="W4864" s="6"/>
      <c r="X4864" s="6"/>
      <c r="Y4864" s="6"/>
      <c r="Z4864" s="6"/>
    </row>
    <row r="4865" customFormat="false" ht="15" hidden="false" customHeight="false" outlineLevel="0" collapsed="false">
      <c r="A4865" s="9" t="s">
        <v>5162</v>
      </c>
      <c r="B4865" s="9" t="s">
        <v>5019</v>
      </c>
      <c r="C4865" s="9" t="s">
        <v>5020</v>
      </c>
      <c r="D4865" s="9" t="s">
        <v>4731</v>
      </c>
      <c r="E4865" s="9" t="s">
        <v>1660</v>
      </c>
      <c r="F4865" s="9" t="s">
        <v>203</v>
      </c>
      <c r="G4865" s="9" t="s">
        <v>221</v>
      </c>
      <c r="H4865" s="9" t="n">
        <v>1950</v>
      </c>
      <c r="I4865" s="29" t="n">
        <v>1.5</v>
      </c>
      <c r="J4865" s="9" t="n">
        <v>0</v>
      </c>
      <c r="K4865" s="30"/>
      <c r="L4865" s="30"/>
      <c r="M4865" s="30"/>
      <c r="N4865" s="30"/>
      <c r="O4865" s="30"/>
      <c r="P4865" s="30"/>
      <c r="Q4865" s="30"/>
      <c r="R4865" s="30"/>
      <c r="S4865" s="30"/>
      <c r="T4865" s="30"/>
      <c r="U4865" s="21" t="str">
        <f aca="false">IF(COUNT(K4865:T4865)=0,"SOURCE EMPTY / INDUSTRIAL ONLY",IF(MIN(K4865:T4865)=1,"SERVICE READY","HOLD"))</f>
        <v>SOURCE EMPTY / INDUSTRIAL ONLY</v>
      </c>
      <c r="V4865" s="9" t="n">
        <f aca="false">IF(U4865="SERVICE READY",1,0)</f>
        <v>0</v>
      </c>
      <c r="W4865" s="6"/>
      <c r="X4865" s="6"/>
      <c r="Y4865" s="6"/>
      <c r="Z4865" s="6"/>
    </row>
    <row r="4866" customFormat="false" ht="15" hidden="false" customHeight="false" outlineLevel="0" collapsed="false">
      <c r="A4866" s="9" t="s">
        <v>5163</v>
      </c>
      <c r="B4866" s="9" t="s">
        <v>5019</v>
      </c>
      <c r="C4866" s="9" t="s">
        <v>5020</v>
      </c>
      <c r="D4866" s="9" t="s">
        <v>4731</v>
      </c>
      <c r="E4866" s="9" t="s">
        <v>1660</v>
      </c>
      <c r="F4866" s="9" t="s">
        <v>205</v>
      </c>
      <c r="G4866" s="9" t="s">
        <v>221</v>
      </c>
      <c r="H4866" s="9" t="n">
        <v>1950</v>
      </c>
      <c r="I4866" s="29" t="n">
        <v>1.5</v>
      </c>
      <c r="J4866" s="9" t="n">
        <v>0</v>
      </c>
      <c r="K4866" s="30"/>
      <c r="L4866" s="30"/>
      <c r="M4866" s="30"/>
      <c r="N4866" s="30"/>
      <c r="O4866" s="30"/>
      <c r="P4866" s="30"/>
      <c r="Q4866" s="30"/>
      <c r="R4866" s="30"/>
      <c r="S4866" s="30"/>
      <c r="T4866" s="30"/>
      <c r="U4866" s="21" t="str">
        <f aca="false">IF(COUNT(K4866:T4866)=0,"SOURCE EMPTY / INDUSTRIAL ONLY",IF(MIN(K4866:T4866)=1,"SERVICE READY","HOLD"))</f>
        <v>SOURCE EMPTY / INDUSTRIAL ONLY</v>
      </c>
      <c r="V4866" s="9" t="n">
        <f aca="false">IF(U4866="SERVICE READY",1,0)</f>
        <v>0</v>
      </c>
      <c r="W4866" s="6"/>
      <c r="X4866" s="6"/>
      <c r="Y4866" s="6"/>
      <c r="Z4866" s="6"/>
    </row>
    <row r="4867" customFormat="false" ht="15" hidden="false" customHeight="false" outlineLevel="0" collapsed="false">
      <c r="A4867" s="9" t="s">
        <v>5164</v>
      </c>
      <c r="B4867" s="9" t="s">
        <v>5019</v>
      </c>
      <c r="C4867" s="9" t="s">
        <v>5020</v>
      </c>
      <c r="D4867" s="9" t="s">
        <v>4731</v>
      </c>
      <c r="E4867" s="9" t="s">
        <v>1660</v>
      </c>
      <c r="F4867" s="9" t="s">
        <v>207</v>
      </c>
      <c r="G4867" s="9" t="s">
        <v>221</v>
      </c>
      <c r="H4867" s="9" t="n">
        <v>1950</v>
      </c>
      <c r="I4867" s="29" t="n">
        <v>1.5</v>
      </c>
      <c r="J4867" s="9" t="n">
        <v>0</v>
      </c>
      <c r="K4867" s="30"/>
      <c r="L4867" s="30"/>
      <c r="M4867" s="30"/>
      <c r="N4867" s="30"/>
      <c r="O4867" s="30"/>
      <c r="P4867" s="30"/>
      <c r="Q4867" s="30"/>
      <c r="R4867" s="30"/>
      <c r="S4867" s="30"/>
      <c r="T4867" s="30"/>
      <c r="U4867" s="21" t="str">
        <f aca="false">IF(COUNT(K4867:T4867)=0,"SOURCE EMPTY / INDUSTRIAL ONLY",IF(MIN(K4867:T4867)=1,"SERVICE READY","HOLD"))</f>
        <v>SOURCE EMPTY / INDUSTRIAL ONLY</v>
      </c>
      <c r="V4867" s="9" t="n">
        <f aca="false">IF(U4867="SERVICE READY",1,0)</f>
        <v>0</v>
      </c>
      <c r="W4867" s="6"/>
      <c r="X4867" s="6"/>
      <c r="Y4867" s="6"/>
      <c r="Z4867" s="6"/>
    </row>
    <row r="4868" customFormat="false" ht="15" hidden="false" customHeight="false" outlineLevel="0" collapsed="false">
      <c r="A4868" s="9" t="s">
        <v>5165</v>
      </c>
      <c r="B4868" s="9" t="s">
        <v>5019</v>
      </c>
      <c r="C4868" s="9" t="s">
        <v>5020</v>
      </c>
      <c r="D4868" s="9" t="s">
        <v>4731</v>
      </c>
      <c r="E4868" s="9" t="s">
        <v>1660</v>
      </c>
      <c r="F4868" s="9" t="s">
        <v>209</v>
      </c>
      <c r="G4868" s="9" t="s">
        <v>221</v>
      </c>
      <c r="H4868" s="9" t="n">
        <v>1950</v>
      </c>
      <c r="I4868" s="29" t="n">
        <v>1.5</v>
      </c>
      <c r="J4868" s="9" t="n">
        <v>0</v>
      </c>
      <c r="K4868" s="30"/>
      <c r="L4868" s="30"/>
      <c r="M4868" s="30"/>
      <c r="N4868" s="30"/>
      <c r="O4868" s="30"/>
      <c r="P4868" s="30"/>
      <c r="Q4868" s="30"/>
      <c r="R4868" s="30"/>
      <c r="S4868" s="30"/>
      <c r="T4868" s="30"/>
      <c r="U4868" s="21" t="str">
        <f aca="false">IF(COUNT(K4868:T4868)=0,"SOURCE EMPTY / INDUSTRIAL ONLY",IF(MIN(K4868:T4868)=1,"SERVICE READY","HOLD"))</f>
        <v>SOURCE EMPTY / INDUSTRIAL ONLY</v>
      </c>
      <c r="V4868" s="9" t="n">
        <f aca="false">IF(U4868="SERVICE READY",1,0)</f>
        <v>0</v>
      </c>
      <c r="W4868" s="6"/>
      <c r="X4868" s="6"/>
      <c r="Y4868" s="6"/>
      <c r="Z4868" s="6"/>
    </row>
    <row r="4869" customFormat="false" ht="15" hidden="false" customHeight="false" outlineLevel="0" collapsed="false">
      <c r="A4869" s="9" t="s">
        <v>5166</v>
      </c>
      <c r="B4869" s="9" t="s">
        <v>5019</v>
      </c>
      <c r="C4869" s="9" t="s">
        <v>5020</v>
      </c>
      <c r="D4869" s="9" t="s">
        <v>4731</v>
      </c>
      <c r="E4869" s="9" t="s">
        <v>1660</v>
      </c>
      <c r="F4869" s="9" t="s">
        <v>211</v>
      </c>
      <c r="G4869" s="9" t="s">
        <v>221</v>
      </c>
      <c r="H4869" s="9" t="n">
        <v>1950</v>
      </c>
      <c r="I4869" s="29" t="n">
        <v>1.5</v>
      </c>
      <c r="J4869" s="9" t="n">
        <v>0</v>
      </c>
      <c r="K4869" s="30"/>
      <c r="L4869" s="30"/>
      <c r="M4869" s="30"/>
      <c r="N4869" s="30"/>
      <c r="O4869" s="30"/>
      <c r="P4869" s="30"/>
      <c r="Q4869" s="30"/>
      <c r="R4869" s="30"/>
      <c r="S4869" s="30"/>
      <c r="T4869" s="30"/>
      <c r="U4869" s="21" t="str">
        <f aca="false">IF(COUNT(K4869:T4869)=0,"SOURCE EMPTY / INDUSTRIAL ONLY",IF(MIN(K4869:T4869)=1,"SERVICE READY","HOLD"))</f>
        <v>SOURCE EMPTY / INDUSTRIAL ONLY</v>
      </c>
      <c r="V4869" s="9" t="n">
        <f aca="false">IF(U4869="SERVICE READY",1,0)</f>
        <v>0</v>
      </c>
      <c r="W4869" s="6"/>
      <c r="X4869" s="6"/>
      <c r="Y4869" s="6"/>
      <c r="Z4869" s="6"/>
    </row>
    <row r="4870" customFormat="false" ht="15" hidden="false" customHeight="false" outlineLevel="0" collapsed="false">
      <c r="A4870" s="9" t="s">
        <v>5167</v>
      </c>
      <c r="B4870" s="9" t="s">
        <v>5019</v>
      </c>
      <c r="C4870" s="9" t="s">
        <v>5020</v>
      </c>
      <c r="D4870" s="9" t="s">
        <v>4731</v>
      </c>
      <c r="E4870" s="9" t="s">
        <v>1660</v>
      </c>
      <c r="F4870" s="9" t="s">
        <v>197</v>
      </c>
      <c r="G4870" s="9" t="s">
        <v>221</v>
      </c>
      <c r="H4870" s="9" t="n">
        <v>1950</v>
      </c>
      <c r="I4870" s="29" t="n">
        <v>1.5</v>
      </c>
      <c r="J4870" s="9" t="n">
        <v>0</v>
      </c>
      <c r="K4870" s="30"/>
      <c r="L4870" s="30"/>
      <c r="M4870" s="30"/>
      <c r="N4870" s="30"/>
      <c r="O4870" s="30"/>
      <c r="P4870" s="30"/>
      <c r="Q4870" s="30"/>
      <c r="R4870" s="30"/>
      <c r="S4870" s="30"/>
      <c r="T4870" s="30"/>
      <c r="U4870" s="21" t="str">
        <f aca="false">IF(COUNT(K4870:T4870)=0,"SOURCE EMPTY / INDUSTRIAL ONLY",IF(MIN(K4870:T4870)=1,"SERVICE READY","HOLD"))</f>
        <v>SOURCE EMPTY / INDUSTRIAL ONLY</v>
      </c>
      <c r="V4870" s="9" t="n">
        <f aca="false">IF(U4870="SERVICE READY",1,0)</f>
        <v>0</v>
      </c>
      <c r="W4870" s="6"/>
      <c r="X4870" s="6"/>
      <c r="Y4870" s="6"/>
      <c r="Z4870" s="6"/>
    </row>
    <row r="4871" customFormat="false" ht="15" hidden="false" customHeight="false" outlineLevel="0" collapsed="false">
      <c r="A4871" s="9" t="s">
        <v>5168</v>
      </c>
      <c r="B4871" s="9" t="s">
        <v>5019</v>
      </c>
      <c r="C4871" s="9" t="s">
        <v>5020</v>
      </c>
      <c r="D4871" s="9" t="s">
        <v>4731</v>
      </c>
      <c r="E4871" s="9" t="s">
        <v>1660</v>
      </c>
      <c r="F4871" s="9" t="s">
        <v>200</v>
      </c>
      <c r="G4871" s="9" t="s">
        <v>221</v>
      </c>
      <c r="H4871" s="9" t="n">
        <v>1950</v>
      </c>
      <c r="I4871" s="29" t="n">
        <v>1.5</v>
      </c>
      <c r="J4871" s="9" t="n">
        <v>0</v>
      </c>
      <c r="K4871" s="30"/>
      <c r="L4871" s="30"/>
      <c r="M4871" s="30"/>
      <c r="N4871" s="30"/>
      <c r="O4871" s="30"/>
      <c r="P4871" s="30"/>
      <c r="Q4871" s="30"/>
      <c r="R4871" s="30"/>
      <c r="S4871" s="30"/>
      <c r="T4871" s="30"/>
      <c r="U4871" s="21" t="str">
        <f aca="false">IF(COUNT(K4871:T4871)=0,"SOURCE EMPTY / INDUSTRIAL ONLY",IF(MIN(K4871:T4871)=1,"SERVICE READY","HOLD"))</f>
        <v>SOURCE EMPTY / INDUSTRIAL ONLY</v>
      </c>
      <c r="V4871" s="9" t="n">
        <f aca="false">IF(U4871="SERVICE READY",1,0)</f>
        <v>0</v>
      </c>
      <c r="W4871" s="6"/>
      <c r="X4871" s="6"/>
      <c r="Y4871" s="6"/>
      <c r="Z4871" s="6"/>
    </row>
    <row r="4872" customFormat="false" ht="15" hidden="false" customHeight="false" outlineLevel="0" collapsed="false">
      <c r="A4872" s="9" t="s">
        <v>5169</v>
      </c>
      <c r="B4872" s="9" t="s">
        <v>5019</v>
      </c>
      <c r="C4872" s="9" t="s">
        <v>5020</v>
      </c>
      <c r="D4872" s="9" t="s">
        <v>4731</v>
      </c>
      <c r="E4872" s="9" t="s">
        <v>1660</v>
      </c>
      <c r="F4872" s="9" t="s">
        <v>203</v>
      </c>
      <c r="G4872" s="9" t="s">
        <v>221</v>
      </c>
      <c r="H4872" s="9" t="n">
        <v>1950</v>
      </c>
      <c r="I4872" s="29" t="n">
        <v>1.5</v>
      </c>
      <c r="J4872" s="9" t="n">
        <v>0</v>
      </c>
      <c r="K4872" s="30"/>
      <c r="L4872" s="30"/>
      <c r="M4872" s="30"/>
      <c r="N4872" s="30"/>
      <c r="O4872" s="30"/>
      <c r="P4872" s="30"/>
      <c r="Q4872" s="30"/>
      <c r="R4872" s="30"/>
      <c r="S4872" s="30"/>
      <c r="T4872" s="30"/>
      <c r="U4872" s="21" t="str">
        <f aca="false">IF(COUNT(K4872:T4872)=0,"SOURCE EMPTY / INDUSTRIAL ONLY",IF(MIN(K4872:T4872)=1,"SERVICE READY","HOLD"))</f>
        <v>SOURCE EMPTY / INDUSTRIAL ONLY</v>
      </c>
      <c r="V4872" s="9" t="n">
        <f aca="false">IF(U4872="SERVICE READY",1,0)</f>
        <v>0</v>
      </c>
      <c r="W4872" s="6"/>
      <c r="X4872" s="6"/>
      <c r="Y4872" s="6"/>
      <c r="Z4872" s="6"/>
    </row>
    <row r="4873" customFormat="false" ht="15" hidden="false" customHeight="false" outlineLevel="0" collapsed="false">
      <c r="A4873" s="9" t="s">
        <v>5170</v>
      </c>
      <c r="B4873" s="9" t="s">
        <v>5019</v>
      </c>
      <c r="C4873" s="9" t="s">
        <v>5020</v>
      </c>
      <c r="D4873" s="9" t="s">
        <v>4731</v>
      </c>
      <c r="E4873" s="9" t="s">
        <v>1660</v>
      </c>
      <c r="F4873" s="9" t="s">
        <v>205</v>
      </c>
      <c r="G4873" s="9" t="s">
        <v>221</v>
      </c>
      <c r="H4873" s="9" t="n">
        <v>1950</v>
      </c>
      <c r="I4873" s="29" t="n">
        <v>1.5</v>
      </c>
      <c r="J4873" s="9" t="n">
        <v>0</v>
      </c>
      <c r="K4873" s="30"/>
      <c r="L4873" s="30"/>
      <c r="M4873" s="30"/>
      <c r="N4873" s="30"/>
      <c r="O4873" s="30"/>
      <c r="P4873" s="30"/>
      <c r="Q4873" s="30"/>
      <c r="R4873" s="30"/>
      <c r="S4873" s="30"/>
      <c r="T4873" s="30"/>
      <c r="U4873" s="21" t="str">
        <f aca="false">IF(COUNT(K4873:T4873)=0,"SOURCE EMPTY / INDUSTRIAL ONLY",IF(MIN(K4873:T4873)=1,"SERVICE READY","HOLD"))</f>
        <v>SOURCE EMPTY / INDUSTRIAL ONLY</v>
      </c>
      <c r="V4873" s="9" t="n">
        <f aca="false">IF(U4873="SERVICE READY",1,0)</f>
        <v>0</v>
      </c>
      <c r="W4873" s="6"/>
      <c r="X4873" s="6"/>
      <c r="Y4873" s="6"/>
      <c r="Z4873" s="6"/>
    </row>
    <row r="4874" customFormat="false" ht="15" hidden="false" customHeight="false" outlineLevel="0" collapsed="false">
      <c r="A4874" s="9" t="s">
        <v>5171</v>
      </c>
      <c r="B4874" s="9" t="s">
        <v>5019</v>
      </c>
      <c r="C4874" s="9" t="s">
        <v>5020</v>
      </c>
      <c r="D4874" s="9" t="s">
        <v>4731</v>
      </c>
      <c r="E4874" s="9" t="s">
        <v>1660</v>
      </c>
      <c r="F4874" s="9" t="s">
        <v>207</v>
      </c>
      <c r="G4874" s="9" t="s">
        <v>221</v>
      </c>
      <c r="H4874" s="9" t="n">
        <v>1950</v>
      </c>
      <c r="I4874" s="29" t="n">
        <v>1.5</v>
      </c>
      <c r="J4874" s="9" t="n">
        <v>0</v>
      </c>
      <c r="K4874" s="30"/>
      <c r="L4874" s="30"/>
      <c r="M4874" s="30"/>
      <c r="N4874" s="30"/>
      <c r="O4874" s="30"/>
      <c r="P4874" s="30"/>
      <c r="Q4874" s="30"/>
      <c r="R4874" s="30"/>
      <c r="S4874" s="30"/>
      <c r="T4874" s="30"/>
      <c r="U4874" s="21" t="str">
        <f aca="false">IF(COUNT(K4874:T4874)=0,"SOURCE EMPTY / INDUSTRIAL ONLY",IF(MIN(K4874:T4874)=1,"SERVICE READY","HOLD"))</f>
        <v>SOURCE EMPTY / INDUSTRIAL ONLY</v>
      </c>
      <c r="V4874" s="9" t="n">
        <f aca="false">IF(U4874="SERVICE READY",1,0)</f>
        <v>0</v>
      </c>
      <c r="W4874" s="6"/>
      <c r="X4874" s="6"/>
      <c r="Y4874" s="6"/>
      <c r="Z4874" s="6"/>
    </row>
    <row r="4875" customFormat="false" ht="15" hidden="false" customHeight="false" outlineLevel="0" collapsed="false">
      <c r="A4875" s="9" t="s">
        <v>5172</v>
      </c>
      <c r="B4875" s="9" t="s">
        <v>5019</v>
      </c>
      <c r="C4875" s="9" t="s">
        <v>5020</v>
      </c>
      <c r="D4875" s="9" t="s">
        <v>4731</v>
      </c>
      <c r="E4875" s="9" t="s">
        <v>1660</v>
      </c>
      <c r="F4875" s="9" t="s">
        <v>209</v>
      </c>
      <c r="G4875" s="9" t="s">
        <v>221</v>
      </c>
      <c r="H4875" s="9" t="n">
        <v>1950</v>
      </c>
      <c r="I4875" s="29" t="n">
        <v>1.5</v>
      </c>
      <c r="J4875" s="9" t="n">
        <v>0</v>
      </c>
      <c r="K4875" s="30"/>
      <c r="L4875" s="30"/>
      <c r="M4875" s="30"/>
      <c r="N4875" s="30"/>
      <c r="O4875" s="30"/>
      <c r="P4875" s="30"/>
      <c r="Q4875" s="30"/>
      <c r="R4875" s="30"/>
      <c r="S4875" s="30"/>
      <c r="T4875" s="30"/>
      <c r="U4875" s="21" t="str">
        <f aca="false">IF(COUNT(K4875:T4875)=0,"SOURCE EMPTY / INDUSTRIAL ONLY",IF(MIN(K4875:T4875)=1,"SERVICE READY","HOLD"))</f>
        <v>SOURCE EMPTY / INDUSTRIAL ONLY</v>
      </c>
      <c r="V4875" s="9" t="n">
        <f aca="false">IF(U4875="SERVICE READY",1,0)</f>
        <v>0</v>
      </c>
      <c r="W4875" s="6"/>
      <c r="X4875" s="6"/>
      <c r="Y4875" s="6"/>
      <c r="Z4875" s="6"/>
    </row>
    <row r="4876" customFormat="false" ht="15" hidden="false" customHeight="false" outlineLevel="0" collapsed="false">
      <c r="A4876" s="9" t="s">
        <v>5173</v>
      </c>
      <c r="B4876" s="9" t="s">
        <v>5019</v>
      </c>
      <c r="C4876" s="9" t="s">
        <v>5020</v>
      </c>
      <c r="D4876" s="9" t="s">
        <v>4731</v>
      </c>
      <c r="E4876" s="9" t="s">
        <v>1660</v>
      </c>
      <c r="F4876" s="9" t="s">
        <v>211</v>
      </c>
      <c r="G4876" s="9" t="s">
        <v>221</v>
      </c>
      <c r="H4876" s="9" t="n">
        <v>1950</v>
      </c>
      <c r="I4876" s="29" t="n">
        <v>1.5</v>
      </c>
      <c r="J4876" s="9" t="n">
        <v>0</v>
      </c>
      <c r="K4876" s="30"/>
      <c r="L4876" s="30"/>
      <c r="M4876" s="30"/>
      <c r="N4876" s="30"/>
      <c r="O4876" s="30"/>
      <c r="P4876" s="30"/>
      <c r="Q4876" s="30"/>
      <c r="R4876" s="30"/>
      <c r="S4876" s="30"/>
      <c r="T4876" s="30"/>
      <c r="U4876" s="21" t="str">
        <f aca="false">IF(COUNT(K4876:T4876)=0,"SOURCE EMPTY / INDUSTRIAL ONLY",IF(MIN(K4876:T4876)=1,"SERVICE READY","HOLD"))</f>
        <v>SOURCE EMPTY / INDUSTRIAL ONLY</v>
      </c>
      <c r="V4876" s="9" t="n">
        <f aca="false">IF(U4876="SERVICE READY",1,0)</f>
        <v>0</v>
      </c>
      <c r="W4876" s="6"/>
      <c r="X4876" s="6"/>
      <c r="Y4876" s="6"/>
      <c r="Z4876" s="6"/>
    </row>
    <row r="4877" customFormat="false" ht="15" hidden="false" customHeight="false" outlineLevel="0" collapsed="false">
      <c r="A4877" s="9" t="s">
        <v>5174</v>
      </c>
      <c r="B4877" s="9" t="s">
        <v>5019</v>
      </c>
      <c r="C4877" s="9" t="s">
        <v>5020</v>
      </c>
      <c r="D4877" s="9" t="s">
        <v>4731</v>
      </c>
      <c r="E4877" s="9" t="s">
        <v>1660</v>
      </c>
      <c r="F4877" s="9" t="s">
        <v>197</v>
      </c>
      <c r="G4877" s="9" t="s">
        <v>221</v>
      </c>
      <c r="H4877" s="9" t="n">
        <v>1950</v>
      </c>
      <c r="I4877" s="29" t="n">
        <v>1.5</v>
      </c>
      <c r="J4877" s="9" t="n">
        <v>0</v>
      </c>
      <c r="K4877" s="30"/>
      <c r="L4877" s="30"/>
      <c r="M4877" s="30"/>
      <c r="N4877" s="30"/>
      <c r="O4877" s="30"/>
      <c r="P4877" s="30"/>
      <c r="Q4877" s="30"/>
      <c r="R4877" s="30"/>
      <c r="S4877" s="30"/>
      <c r="T4877" s="30"/>
      <c r="U4877" s="21" t="str">
        <f aca="false">IF(COUNT(K4877:T4877)=0,"SOURCE EMPTY / INDUSTRIAL ONLY",IF(MIN(K4877:T4877)=1,"SERVICE READY","HOLD"))</f>
        <v>SOURCE EMPTY / INDUSTRIAL ONLY</v>
      </c>
      <c r="V4877" s="9" t="n">
        <f aca="false">IF(U4877="SERVICE READY",1,0)</f>
        <v>0</v>
      </c>
      <c r="W4877" s="6"/>
      <c r="X4877" s="6"/>
      <c r="Y4877" s="6"/>
      <c r="Z4877" s="6"/>
    </row>
    <row r="4878" customFormat="false" ht="15" hidden="false" customHeight="false" outlineLevel="0" collapsed="false">
      <c r="A4878" s="9" t="s">
        <v>5175</v>
      </c>
      <c r="B4878" s="9" t="s">
        <v>5019</v>
      </c>
      <c r="C4878" s="9" t="s">
        <v>5020</v>
      </c>
      <c r="D4878" s="9" t="s">
        <v>4731</v>
      </c>
      <c r="E4878" s="9" t="s">
        <v>1660</v>
      </c>
      <c r="F4878" s="9" t="s">
        <v>200</v>
      </c>
      <c r="G4878" s="9" t="s">
        <v>221</v>
      </c>
      <c r="H4878" s="9" t="n">
        <v>1950</v>
      </c>
      <c r="I4878" s="29" t="n">
        <v>1.5</v>
      </c>
      <c r="J4878" s="9" t="n">
        <v>0</v>
      </c>
      <c r="K4878" s="30"/>
      <c r="L4878" s="30"/>
      <c r="M4878" s="30"/>
      <c r="N4878" s="30"/>
      <c r="O4878" s="30"/>
      <c r="P4878" s="30"/>
      <c r="Q4878" s="30"/>
      <c r="R4878" s="30"/>
      <c r="S4878" s="30"/>
      <c r="T4878" s="30"/>
      <c r="U4878" s="21" t="str">
        <f aca="false">IF(COUNT(K4878:T4878)=0,"SOURCE EMPTY / INDUSTRIAL ONLY",IF(MIN(K4878:T4878)=1,"SERVICE READY","HOLD"))</f>
        <v>SOURCE EMPTY / INDUSTRIAL ONLY</v>
      </c>
      <c r="V4878" s="9" t="n">
        <f aca="false">IF(U4878="SERVICE READY",1,0)</f>
        <v>0</v>
      </c>
      <c r="W4878" s="6"/>
      <c r="X4878" s="6"/>
      <c r="Y4878" s="6"/>
      <c r="Z4878" s="6"/>
    </row>
    <row r="4879" customFormat="false" ht="15" hidden="false" customHeight="false" outlineLevel="0" collapsed="false">
      <c r="A4879" s="9" t="s">
        <v>5176</v>
      </c>
      <c r="B4879" s="9" t="s">
        <v>5019</v>
      </c>
      <c r="C4879" s="9" t="s">
        <v>5020</v>
      </c>
      <c r="D4879" s="9" t="s">
        <v>4731</v>
      </c>
      <c r="E4879" s="9" t="s">
        <v>1660</v>
      </c>
      <c r="F4879" s="9" t="s">
        <v>203</v>
      </c>
      <c r="G4879" s="9" t="s">
        <v>221</v>
      </c>
      <c r="H4879" s="9" t="n">
        <v>1950</v>
      </c>
      <c r="I4879" s="29" t="n">
        <v>1.5</v>
      </c>
      <c r="J4879" s="9" t="n">
        <v>0</v>
      </c>
      <c r="K4879" s="30"/>
      <c r="L4879" s="30"/>
      <c r="M4879" s="30"/>
      <c r="N4879" s="30"/>
      <c r="O4879" s="30"/>
      <c r="P4879" s="30"/>
      <c r="Q4879" s="30"/>
      <c r="R4879" s="30"/>
      <c r="S4879" s="30"/>
      <c r="T4879" s="30"/>
      <c r="U4879" s="21" t="str">
        <f aca="false">IF(COUNT(K4879:T4879)=0,"SOURCE EMPTY / INDUSTRIAL ONLY",IF(MIN(K4879:T4879)=1,"SERVICE READY","HOLD"))</f>
        <v>SOURCE EMPTY / INDUSTRIAL ONLY</v>
      </c>
      <c r="V4879" s="9" t="n">
        <f aca="false">IF(U4879="SERVICE READY",1,0)</f>
        <v>0</v>
      </c>
      <c r="W4879" s="6"/>
      <c r="X4879" s="6"/>
      <c r="Y4879" s="6"/>
      <c r="Z4879" s="6"/>
    </row>
    <row r="4880" customFormat="false" ht="15" hidden="false" customHeight="false" outlineLevel="0" collapsed="false">
      <c r="A4880" s="9" t="s">
        <v>5177</v>
      </c>
      <c r="B4880" s="9" t="s">
        <v>5019</v>
      </c>
      <c r="C4880" s="9" t="s">
        <v>5020</v>
      </c>
      <c r="D4880" s="9" t="s">
        <v>4731</v>
      </c>
      <c r="E4880" s="9" t="s">
        <v>1660</v>
      </c>
      <c r="F4880" s="9" t="s">
        <v>205</v>
      </c>
      <c r="G4880" s="9" t="s">
        <v>221</v>
      </c>
      <c r="H4880" s="9" t="n">
        <v>1950</v>
      </c>
      <c r="I4880" s="29" t="n">
        <v>1.5</v>
      </c>
      <c r="J4880" s="9" t="n">
        <v>0</v>
      </c>
      <c r="K4880" s="30"/>
      <c r="L4880" s="30"/>
      <c r="M4880" s="30"/>
      <c r="N4880" s="30"/>
      <c r="O4880" s="30"/>
      <c r="P4880" s="30"/>
      <c r="Q4880" s="30"/>
      <c r="R4880" s="30"/>
      <c r="S4880" s="30"/>
      <c r="T4880" s="30"/>
      <c r="U4880" s="21" t="str">
        <f aca="false">IF(COUNT(K4880:T4880)=0,"SOURCE EMPTY / INDUSTRIAL ONLY",IF(MIN(K4880:T4880)=1,"SERVICE READY","HOLD"))</f>
        <v>SOURCE EMPTY / INDUSTRIAL ONLY</v>
      </c>
      <c r="V4880" s="9" t="n">
        <f aca="false">IF(U4880="SERVICE READY",1,0)</f>
        <v>0</v>
      </c>
      <c r="W4880" s="6"/>
      <c r="X4880" s="6"/>
      <c r="Y4880" s="6"/>
      <c r="Z4880" s="6"/>
    </row>
    <row r="4881" customFormat="false" ht="15" hidden="false" customHeight="false" outlineLevel="0" collapsed="false">
      <c r="A4881" s="9" t="s">
        <v>5178</v>
      </c>
      <c r="B4881" s="9" t="s">
        <v>5019</v>
      </c>
      <c r="C4881" s="9" t="s">
        <v>5020</v>
      </c>
      <c r="D4881" s="9" t="s">
        <v>4731</v>
      </c>
      <c r="E4881" s="9" t="s">
        <v>1660</v>
      </c>
      <c r="F4881" s="9" t="s">
        <v>207</v>
      </c>
      <c r="G4881" s="9" t="s">
        <v>221</v>
      </c>
      <c r="H4881" s="9" t="n">
        <v>1950</v>
      </c>
      <c r="I4881" s="29" t="n">
        <v>1.5</v>
      </c>
      <c r="J4881" s="9" t="n">
        <v>0</v>
      </c>
      <c r="K4881" s="30"/>
      <c r="L4881" s="30"/>
      <c r="M4881" s="30"/>
      <c r="N4881" s="30"/>
      <c r="O4881" s="30"/>
      <c r="P4881" s="30"/>
      <c r="Q4881" s="30"/>
      <c r="R4881" s="30"/>
      <c r="S4881" s="30"/>
      <c r="T4881" s="30"/>
      <c r="U4881" s="21" t="str">
        <f aca="false">IF(COUNT(K4881:T4881)=0,"SOURCE EMPTY / INDUSTRIAL ONLY",IF(MIN(K4881:T4881)=1,"SERVICE READY","HOLD"))</f>
        <v>SOURCE EMPTY / INDUSTRIAL ONLY</v>
      </c>
      <c r="V4881" s="9" t="n">
        <f aca="false">IF(U4881="SERVICE READY",1,0)</f>
        <v>0</v>
      </c>
      <c r="W4881" s="6"/>
      <c r="X4881" s="6"/>
      <c r="Y4881" s="6"/>
      <c r="Z4881" s="6"/>
    </row>
    <row r="4882" customFormat="false" ht="15" hidden="false" customHeight="false" outlineLevel="0" collapsed="false">
      <c r="A4882" s="9" t="s">
        <v>5179</v>
      </c>
      <c r="B4882" s="9" t="s">
        <v>5019</v>
      </c>
      <c r="C4882" s="9" t="s">
        <v>5020</v>
      </c>
      <c r="D4882" s="9" t="s">
        <v>4731</v>
      </c>
      <c r="E4882" s="9" t="s">
        <v>1660</v>
      </c>
      <c r="F4882" s="9" t="s">
        <v>209</v>
      </c>
      <c r="G4882" s="9" t="s">
        <v>221</v>
      </c>
      <c r="H4882" s="9" t="n">
        <v>1950</v>
      </c>
      <c r="I4882" s="29" t="n">
        <v>1.5</v>
      </c>
      <c r="J4882" s="9" t="n">
        <v>0</v>
      </c>
      <c r="K4882" s="30"/>
      <c r="L4882" s="30"/>
      <c r="M4882" s="30"/>
      <c r="N4882" s="30"/>
      <c r="O4882" s="30"/>
      <c r="P4882" s="30"/>
      <c r="Q4882" s="30"/>
      <c r="R4882" s="30"/>
      <c r="S4882" s="30"/>
      <c r="T4882" s="30"/>
      <c r="U4882" s="21" t="str">
        <f aca="false">IF(COUNT(K4882:T4882)=0,"SOURCE EMPTY / INDUSTRIAL ONLY",IF(MIN(K4882:T4882)=1,"SERVICE READY","HOLD"))</f>
        <v>SOURCE EMPTY / INDUSTRIAL ONLY</v>
      </c>
      <c r="V4882" s="9" t="n">
        <f aca="false">IF(U4882="SERVICE READY",1,0)</f>
        <v>0</v>
      </c>
      <c r="W4882" s="6"/>
      <c r="X4882" s="6"/>
      <c r="Y4882" s="6"/>
      <c r="Z4882" s="6"/>
    </row>
    <row r="4883" customFormat="false" ht="15" hidden="false" customHeight="false" outlineLevel="0" collapsed="false">
      <c r="A4883" s="9" t="s">
        <v>5180</v>
      </c>
      <c r="B4883" s="9" t="s">
        <v>5019</v>
      </c>
      <c r="C4883" s="9" t="s">
        <v>5020</v>
      </c>
      <c r="D4883" s="9" t="s">
        <v>4731</v>
      </c>
      <c r="E4883" s="9" t="s">
        <v>1660</v>
      </c>
      <c r="F4883" s="9" t="s">
        <v>211</v>
      </c>
      <c r="G4883" s="9" t="s">
        <v>221</v>
      </c>
      <c r="H4883" s="9" t="n">
        <v>1950</v>
      </c>
      <c r="I4883" s="29" t="n">
        <v>1.5</v>
      </c>
      <c r="J4883" s="9" t="n">
        <v>0</v>
      </c>
      <c r="K4883" s="30"/>
      <c r="L4883" s="30"/>
      <c r="M4883" s="30"/>
      <c r="N4883" s="30"/>
      <c r="O4883" s="30"/>
      <c r="P4883" s="30"/>
      <c r="Q4883" s="30"/>
      <c r="R4883" s="30"/>
      <c r="S4883" s="30"/>
      <c r="T4883" s="30"/>
      <c r="U4883" s="21" t="str">
        <f aca="false">IF(COUNT(K4883:T4883)=0,"SOURCE EMPTY / INDUSTRIAL ONLY",IF(MIN(K4883:T4883)=1,"SERVICE READY","HOLD"))</f>
        <v>SOURCE EMPTY / INDUSTRIAL ONLY</v>
      </c>
      <c r="V4883" s="9" t="n">
        <f aca="false">IF(U4883="SERVICE READY",1,0)</f>
        <v>0</v>
      </c>
      <c r="W4883" s="6"/>
      <c r="X4883" s="6"/>
      <c r="Y4883" s="6"/>
      <c r="Z4883" s="6"/>
    </row>
    <row r="4884" customFormat="false" ht="15" hidden="false" customHeight="false" outlineLevel="0" collapsed="false">
      <c r="A4884" s="9" t="s">
        <v>5181</v>
      </c>
      <c r="B4884" s="9" t="s">
        <v>5019</v>
      </c>
      <c r="C4884" s="9" t="s">
        <v>5020</v>
      </c>
      <c r="D4884" s="9" t="s">
        <v>4731</v>
      </c>
      <c r="E4884" s="9" t="s">
        <v>1660</v>
      </c>
      <c r="F4884" s="9" t="s">
        <v>197</v>
      </c>
      <c r="G4884" s="9" t="s">
        <v>221</v>
      </c>
      <c r="H4884" s="9" t="n">
        <v>1950</v>
      </c>
      <c r="I4884" s="29" t="n">
        <v>1.5</v>
      </c>
      <c r="J4884" s="9" t="n">
        <v>0</v>
      </c>
      <c r="K4884" s="30"/>
      <c r="L4884" s="30"/>
      <c r="M4884" s="30"/>
      <c r="N4884" s="30"/>
      <c r="O4884" s="30"/>
      <c r="P4884" s="30"/>
      <c r="Q4884" s="30"/>
      <c r="R4884" s="30"/>
      <c r="S4884" s="30"/>
      <c r="T4884" s="30"/>
      <c r="U4884" s="21" t="str">
        <f aca="false">IF(COUNT(K4884:T4884)=0,"SOURCE EMPTY / INDUSTRIAL ONLY",IF(MIN(K4884:T4884)=1,"SERVICE READY","HOLD"))</f>
        <v>SOURCE EMPTY / INDUSTRIAL ONLY</v>
      </c>
      <c r="V4884" s="9" t="n">
        <f aca="false">IF(U4884="SERVICE READY",1,0)</f>
        <v>0</v>
      </c>
      <c r="W4884" s="6"/>
      <c r="X4884" s="6"/>
      <c r="Y4884" s="6"/>
      <c r="Z4884" s="6"/>
    </row>
    <row r="4885" customFormat="false" ht="15" hidden="false" customHeight="false" outlineLevel="0" collapsed="false">
      <c r="A4885" s="9" t="s">
        <v>5182</v>
      </c>
      <c r="B4885" s="9" t="s">
        <v>5019</v>
      </c>
      <c r="C4885" s="9" t="s">
        <v>5020</v>
      </c>
      <c r="D4885" s="9" t="s">
        <v>4731</v>
      </c>
      <c r="E4885" s="9" t="s">
        <v>1660</v>
      </c>
      <c r="F4885" s="9" t="s">
        <v>200</v>
      </c>
      <c r="G4885" s="9" t="s">
        <v>221</v>
      </c>
      <c r="H4885" s="9" t="n">
        <v>1950</v>
      </c>
      <c r="I4885" s="29" t="n">
        <v>1.5</v>
      </c>
      <c r="J4885" s="9" t="n">
        <v>0</v>
      </c>
      <c r="K4885" s="30"/>
      <c r="L4885" s="30"/>
      <c r="M4885" s="30"/>
      <c r="N4885" s="30"/>
      <c r="O4885" s="30"/>
      <c r="P4885" s="30"/>
      <c r="Q4885" s="30"/>
      <c r="R4885" s="30"/>
      <c r="S4885" s="30"/>
      <c r="T4885" s="30"/>
      <c r="U4885" s="21" t="str">
        <f aca="false">IF(COUNT(K4885:T4885)=0,"SOURCE EMPTY / INDUSTRIAL ONLY",IF(MIN(K4885:T4885)=1,"SERVICE READY","HOLD"))</f>
        <v>SOURCE EMPTY / INDUSTRIAL ONLY</v>
      </c>
      <c r="V4885" s="9" t="n">
        <f aca="false">IF(U4885="SERVICE READY",1,0)</f>
        <v>0</v>
      </c>
      <c r="W4885" s="6"/>
      <c r="X4885" s="6"/>
      <c r="Y4885" s="6"/>
      <c r="Z4885" s="6"/>
    </row>
    <row r="4886" customFormat="false" ht="15" hidden="false" customHeight="false" outlineLevel="0" collapsed="false">
      <c r="A4886" s="9" t="s">
        <v>5183</v>
      </c>
      <c r="B4886" s="9" t="s">
        <v>5019</v>
      </c>
      <c r="C4886" s="9" t="s">
        <v>5020</v>
      </c>
      <c r="D4886" s="9" t="s">
        <v>4731</v>
      </c>
      <c r="E4886" s="9" t="s">
        <v>1660</v>
      </c>
      <c r="F4886" s="9" t="s">
        <v>203</v>
      </c>
      <c r="G4886" s="9" t="s">
        <v>221</v>
      </c>
      <c r="H4886" s="9" t="n">
        <v>1950</v>
      </c>
      <c r="I4886" s="29" t="n">
        <v>1.5</v>
      </c>
      <c r="J4886" s="9" t="n">
        <v>0</v>
      </c>
      <c r="K4886" s="30"/>
      <c r="L4886" s="30"/>
      <c r="M4886" s="30"/>
      <c r="N4886" s="30"/>
      <c r="O4886" s="30"/>
      <c r="P4886" s="30"/>
      <c r="Q4886" s="30"/>
      <c r="R4886" s="30"/>
      <c r="S4886" s="30"/>
      <c r="T4886" s="30"/>
      <c r="U4886" s="21" t="str">
        <f aca="false">IF(COUNT(K4886:T4886)=0,"SOURCE EMPTY / INDUSTRIAL ONLY",IF(MIN(K4886:T4886)=1,"SERVICE READY","HOLD"))</f>
        <v>SOURCE EMPTY / INDUSTRIAL ONLY</v>
      </c>
      <c r="V4886" s="9" t="n">
        <f aca="false">IF(U4886="SERVICE READY",1,0)</f>
        <v>0</v>
      </c>
      <c r="W4886" s="6"/>
      <c r="X4886" s="6"/>
      <c r="Y4886" s="6"/>
      <c r="Z4886" s="6"/>
    </row>
    <row r="4887" customFormat="false" ht="15" hidden="false" customHeight="false" outlineLevel="0" collapsed="false">
      <c r="A4887" s="9" t="s">
        <v>5184</v>
      </c>
      <c r="B4887" s="9" t="s">
        <v>5019</v>
      </c>
      <c r="C4887" s="9" t="s">
        <v>5020</v>
      </c>
      <c r="D4887" s="9" t="s">
        <v>4731</v>
      </c>
      <c r="E4887" s="9" t="s">
        <v>1660</v>
      </c>
      <c r="F4887" s="9" t="s">
        <v>205</v>
      </c>
      <c r="G4887" s="9" t="s">
        <v>221</v>
      </c>
      <c r="H4887" s="9" t="n">
        <v>1950</v>
      </c>
      <c r="I4887" s="29" t="n">
        <v>1.5</v>
      </c>
      <c r="J4887" s="9" t="n">
        <v>0</v>
      </c>
      <c r="K4887" s="30"/>
      <c r="L4887" s="30"/>
      <c r="M4887" s="30"/>
      <c r="N4887" s="30"/>
      <c r="O4887" s="30"/>
      <c r="P4887" s="30"/>
      <c r="Q4887" s="30"/>
      <c r="R4887" s="30"/>
      <c r="S4887" s="30"/>
      <c r="T4887" s="30"/>
      <c r="U4887" s="21" t="str">
        <f aca="false">IF(COUNT(K4887:T4887)=0,"SOURCE EMPTY / INDUSTRIAL ONLY",IF(MIN(K4887:T4887)=1,"SERVICE READY","HOLD"))</f>
        <v>SOURCE EMPTY / INDUSTRIAL ONLY</v>
      </c>
      <c r="V4887" s="9" t="n">
        <f aca="false">IF(U4887="SERVICE READY",1,0)</f>
        <v>0</v>
      </c>
      <c r="W4887" s="6"/>
      <c r="X4887" s="6"/>
      <c r="Y4887" s="6"/>
      <c r="Z4887" s="6"/>
    </row>
    <row r="4888" customFormat="false" ht="15" hidden="false" customHeight="false" outlineLevel="0" collapsed="false">
      <c r="A4888" s="9" t="s">
        <v>5185</v>
      </c>
      <c r="B4888" s="9" t="s">
        <v>5019</v>
      </c>
      <c r="C4888" s="9" t="s">
        <v>5020</v>
      </c>
      <c r="D4888" s="9" t="s">
        <v>4731</v>
      </c>
      <c r="E4888" s="9" t="s">
        <v>1660</v>
      </c>
      <c r="F4888" s="9" t="s">
        <v>207</v>
      </c>
      <c r="G4888" s="9" t="s">
        <v>221</v>
      </c>
      <c r="H4888" s="9" t="n">
        <v>1950</v>
      </c>
      <c r="I4888" s="29" t="n">
        <v>1.5</v>
      </c>
      <c r="J4888" s="9" t="n">
        <v>0</v>
      </c>
      <c r="K4888" s="30"/>
      <c r="L4888" s="30"/>
      <c r="M4888" s="30"/>
      <c r="N4888" s="30"/>
      <c r="O4888" s="30"/>
      <c r="P4888" s="30"/>
      <c r="Q4888" s="30"/>
      <c r="R4888" s="30"/>
      <c r="S4888" s="30"/>
      <c r="T4888" s="30"/>
      <c r="U4888" s="21" t="str">
        <f aca="false">IF(COUNT(K4888:T4888)=0,"SOURCE EMPTY / INDUSTRIAL ONLY",IF(MIN(K4888:T4888)=1,"SERVICE READY","HOLD"))</f>
        <v>SOURCE EMPTY / INDUSTRIAL ONLY</v>
      </c>
      <c r="V4888" s="9" t="n">
        <f aca="false">IF(U4888="SERVICE READY",1,0)</f>
        <v>0</v>
      </c>
      <c r="W4888" s="6"/>
      <c r="X4888" s="6"/>
      <c r="Y4888" s="6"/>
      <c r="Z4888" s="6"/>
    </row>
    <row r="4889" customFormat="false" ht="15" hidden="false" customHeight="false" outlineLevel="0" collapsed="false">
      <c r="A4889" s="9" t="s">
        <v>5186</v>
      </c>
      <c r="B4889" s="9" t="s">
        <v>5019</v>
      </c>
      <c r="C4889" s="9" t="s">
        <v>5020</v>
      </c>
      <c r="D4889" s="9" t="s">
        <v>4731</v>
      </c>
      <c r="E4889" s="9" t="s">
        <v>1660</v>
      </c>
      <c r="F4889" s="9" t="s">
        <v>209</v>
      </c>
      <c r="G4889" s="9" t="s">
        <v>221</v>
      </c>
      <c r="H4889" s="9" t="n">
        <v>1950</v>
      </c>
      <c r="I4889" s="29" t="n">
        <v>1.5</v>
      </c>
      <c r="J4889" s="9" t="n">
        <v>0</v>
      </c>
      <c r="K4889" s="30"/>
      <c r="L4889" s="30"/>
      <c r="M4889" s="30"/>
      <c r="N4889" s="30"/>
      <c r="O4889" s="30"/>
      <c r="P4889" s="30"/>
      <c r="Q4889" s="30"/>
      <c r="R4889" s="30"/>
      <c r="S4889" s="30"/>
      <c r="T4889" s="30"/>
      <c r="U4889" s="21" t="str">
        <f aca="false">IF(COUNT(K4889:T4889)=0,"SOURCE EMPTY / INDUSTRIAL ONLY",IF(MIN(K4889:T4889)=1,"SERVICE READY","HOLD"))</f>
        <v>SOURCE EMPTY / INDUSTRIAL ONLY</v>
      </c>
      <c r="V4889" s="9" t="n">
        <f aca="false">IF(U4889="SERVICE READY",1,0)</f>
        <v>0</v>
      </c>
      <c r="W4889" s="6"/>
      <c r="X4889" s="6"/>
      <c r="Y4889" s="6"/>
      <c r="Z4889" s="6"/>
    </row>
    <row r="4890" customFormat="false" ht="15" hidden="false" customHeight="false" outlineLevel="0" collapsed="false">
      <c r="A4890" s="9" t="s">
        <v>5187</v>
      </c>
      <c r="B4890" s="9" t="s">
        <v>5019</v>
      </c>
      <c r="C4890" s="9" t="s">
        <v>5020</v>
      </c>
      <c r="D4890" s="9" t="s">
        <v>4731</v>
      </c>
      <c r="E4890" s="9" t="s">
        <v>1660</v>
      </c>
      <c r="F4890" s="9" t="s">
        <v>211</v>
      </c>
      <c r="G4890" s="9" t="s">
        <v>221</v>
      </c>
      <c r="H4890" s="9" t="n">
        <v>1950</v>
      </c>
      <c r="I4890" s="29" t="n">
        <v>1.5</v>
      </c>
      <c r="J4890" s="9" t="n">
        <v>0</v>
      </c>
      <c r="K4890" s="30"/>
      <c r="L4890" s="30"/>
      <c r="M4890" s="30"/>
      <c r="N4890" s="30"/>
      <c r="O4890" s="30"/>
      <c r="P4890" s="30"/>
      <c r="Q4890" s="30"/>
      <c r="R4890" s="30"/>
      <c r="S4890" s="30"/>
      <c r="T4890" s="30"/>
      <c r="U4890" s="21" t="str">
        <f aca="false">IF(COUNT(K4890:T4890)=0,"SOURCE EMPTY / INDUSTRIAL ONLY",IF(MIN(K4890:T4890)=1,"SERVICE READY","HOLD"))</f>
        <v>SOURCE EMPTY / INDUSTRIAL ONLY</v>
      </c>
      <c r="V4890" s="9" t="n">
        <f aca="false">IF(U4890="SERVICE READY",1,0)</f>
        <v>0</v>
      </c>
      <c r="W4890" s="6"/>
      <c r="X4890" s="6"/>
      <c r="Y4890" s="6"/>
      <c r="Z4890" s="6"/>
    </row>
    <row r="4891" customFormat="false" ht="15" hidden="false" customHeight="false" outlineLevel="0" collapsed="false">
      <c r="A4891" s="9" t="s">
        <v>5188</v>
      </c>
      <c r="B4891" s="9" t="s">
        <v>5019</v>
      </c>
      <c r="C4891" s="9" t="s">
        <v>5020</v>
      </c>
      <c r="D4891" s="9" t="s">
        <v>4731</v>
      </c>
      <c r="E4891" s="9" t="s">
        <v>1660</v>
      </c>
      <c r="F4891" s="9" t="s">
        <v>197</v>
      </c>
      <c r="G4891" s="9" t="s">
        <v>221</v>
      </c>
      <c r="H4891" s="9" t="n">
        <v>1950</v>
      </c>
      <c r="I4891" s="29" t="n">
        <v>1.5</v>
      </c>
      <c r="J4891" s="9" t="n">
        <v>0</v>
      </c>
      <c r="K4891" s="30"/>
      <c r="L4891" s="30"/>
      <c r="M4891" s="30"/>
      <c r="N4891" s="30"/>
      <c r="O4891" s="30"/>
      <c r="P4891" s="30"/>
      <c r="Q4891" s="30"/>
      <c r="R4891" s="30"/>
      <c r="S4891" s="30"/>
      <c r="T4891" s="30"/>
      <c r="U4891" s="21" t="str">
        <f aca="false">IF(COUNT(K4891:T4891)=0,"SOURCE EMPTY / INDUSTRIAL ONLY",IF(MIN(K4891:T4891)=1,"SERVICE READY","HOLD"))</f>
        <v>SOURCE EMPTY / INDUSTRIAL ONLY</v>
      </c>
      <c r="V4891" s="9" t="n">
        <f aca="false">IF(U4891="SERVICE READY",1,0)</f>
        <v>0</v>
      </c>
      <c r="W4891" s="6"/>
      <c r="X4891" s="6"/>
      <c r="Y4891" s="6"/>
      <c r="Z4891" s="6"/>
    </row>
    <row r="4892" customFormat="false" ht="15" hidden="false" customHeight="false" outlineLevel="0" collapsed="false">
      <c r="A4892" s="9" t="s">
        <v>5189</v>
      </c>
      <c r="B4892" s="9" t="s">
        <v>5019</v>
      </c>
      <c r="C4892" s="9" t="s">
        <v>5020</v>
      </c>
      <c r="D4892" s="9" t="s">
        <v>4731</v>
      </c>
      <c r="E4892" s="9" t="s">
        <v>1660</v>
      </c>
      <c r="F4892" s="9" t="s">
        <v>200</v>
      </c>
      <c r="G4892" s="9" t="s">
        <v>221</v>
      </c>
      <c r="H4892" s="9" t="n">
        <v>1950</v>
      </c>
      <c r="I4892" s="29" t="n">
        <v>1.5</v>
      </c>
      <c r="J4892" s="9" t="n">
        <v>0</v>
      </c>
      <c r="K4892" s="30"/>
      <c r="L4892" s="30"/>
      <c r="M4892" s="30"/>
      <c r="N4892" s="30"/>
      <c r="O4892" s="30"/>
      <c r="P4892" s="30"/>
      <c r="Q4892" s="30"/>
      <c r="R4892" s="30"/>
      <c r="S4892" s="30"/>
      <c r="T4892" s="30"/>
      <c r="U4892" s="21" t="str">
        <f aca="false">IF(COUNT(K4892:T4892)=0,"SOURCE EMPTY / INDUSTRIAL ONLY",IF(MIN(K4892:T4892)=1,"SERVICE READY","HOLD"))</f>
        <v>SOURCE EMPTY / INDUSTRIAL ONLY</v>
      </c>
      <c r="V4892" s="9" t="n">
        <f aca="false">IF(U4892="SERVICE READY",1,0)</f>
        <v>0</v>
      </c>
      <c r="W4892" s="6"/>
      <c r="X4892" s="6"/>
      <c r="Y4892" s="6"/>
      <c r="Z4892" s="6"/>
    </row>
    <row r="4893" customFormat="false" ht="15" hidden="false" customHeight="false" outlineLevel="0" collapsed="false">
      <c r="A4893" s="9" t="s">
        <v>5190</v>
      </c>
      <c r="B4893" s="9" t="s">
        <v>5019</v>
      </c>
      <c r="C4893" s="9" t="s">
        <v>5020</v>
      </c>
      <c r="D4893" s="9" t="s">
        <v>4731</v>
      </c>
      <c r="E4893" s="9" t="s">
        <v>1660</v>
      </c>
      <c r="F4893" s="9" t="s">
        <v>203</v>
      </c>
      <c r="G4893" s="9" t="s">
        <v>221</v>
      </c>
      <c r="H4893" s="9" t="n">
        <v>1950</v>
      </c>
      <c r="I4893" s="29" t="n">
        <v>1.5</v>
      </c>
      <c r="J4893" s="9" t="n">
        <v>0</v>
      </c>
      <c r="K4893" s="30"/>
      <c r="L4893" s="30"/>
      <c r="M4893" s="30"/>
      <c r="N4893" s="30"/>
      <c r="O4893" s="30"/>
      <c r="P4893" s="30"/>
      <c r="Q4893" s="30"/>
      <c r="R4893" s="30"/>
      <c r="S4893" s="30"/>
      <c r="T4893" s="30"/>
      <c r="U4893" s="21" t="str">
        <f aca="false">IF(COUNT(K4893:T4893)=0,"SOURCE EMPTY / INDUSTRIAL ONLY",IF(MIN(K4893:T4893)=1,"SERVICE READY","HOLD"))</f>
        <v>SOURCE EMPTY / INDUSTRIAL ONLY</v>
      </c>
      <c r="V4893" s="9" t="n">
        <f aca="false">IF(U4893="SERVICE READY",1,0)</f>
        <v>0</v>
      </c>
      <c r="W4893" s="6"/>
      <c r="X4893" s="6"/>
      <c r="Y4893" s="6"/>
      <c r="Z4893" s="6"/>
    </row>
    <row r="4894" customFormat="false" ht="15" hidden="false" customHeight="false" outlineLevel="0" collapsed="false">
      <c r="A4894" s="9" t="s">
        <v>5191</v>
      </c>
      <c r="B4894" s="9" t="s">
        <v>5019</v>
      </c>
      <c r="C4894" s="9" t="s">
        <v>5020</v>
      </c>
      <c r="D4894" s="9" t="s">
        <v>4731</v>
      </c>
      <c r="E4894" s="9" t="s">
        <v>1660</v>
      </c>
      <c r="F4894" s="9" t="s">
        <v>205</v>
      </c>
      <c r="G4894" s="9" t="s">
        <v>221</v>
      </c>
      <c r="H4894" s="9" t="n">
        <v>1950</v>
      </c>
      <c r="I4894" s="29" t="n">
        <v>1.5</v>
      </c>
      <c r="J4894" s="9" t="n">
        <v>0</v>
      </c>
      <c r="K4894" s="30"/>
      <c r="L4894" s="30"/>
      <c r="M4894" s="30"/>
      <c r="N4894" s="30"/>
      <c r="O4894" s="30"/>
      <c r="P4894" s="30"/>
      <c r="Q4894" s="30"/>
      <c r="R4894" s="30"/>
      <c r="S4894" s="30"/>
      <c r="T4894" s="30"/>
      <c r="U4894" s="21" t="str">
        <f aca="false">IF(COUNT(K4894:T4894)=0,"SOURCE EMPTY / INDUSTRIAL ONLY",IF(MIN(K4894:T4894)=1,"SERVICE READY","HOLD"))</f>
        <v>SOURCE EMPTY / INDUSTRIAL ONLY</v>
      </c>
      <c r="V4894" s="9" t="n">
        <f aca="false">IF(U4894="SERVICE READY",1,0)</f>
        <v>0</v>
      </c>
      <c r="W4894" s="6"/>
      <c r="X4894" s="6"/>
      <c r="Y4894" s="6"/>
      <c r="Z4894" s="6"/>
    </row>
    <row r="4895" customFormat="false" ht="15" hidden="false" customHeight="false" outlineLevel="0" collapsed="false">
      <c r="A4895" s="9" t="s">
        <v>5192</v>
      </c>
      <c r="B4895" s="9" t="s">
        <v>5019</v>
      </c>
      <c r="C4895" s="9" t="s">
        <v>5020</v>
      </c>
      <c r="D4895" s="9" t="s">
        <v>4731</v>
      </c>
      <c r="E4895" s="9" t="s">
        <v>1660</v>
      </c>
      <c r="F4895" s="9" t="s">
        <v>207</v>
      </c>
      <c r="G4895" s="9" t="s">
        <v>221</v>
      </c>
      <c r="H4895" s="9" t="n">
        <v>1950</v>
      </c>
      <c r="I4895" s="29" t="n">
        <v>1.5</v>
      </c>
      <c r="J4895" s="9" t="n">
        <v>0</v>
      </c>
      <c r="K4895" s="30"/>
      <c r="L4895" s="30"/>
      <c r="M4895" s="30"/>
      <c r="N4895" s="30"/>
      <c r="O4895" s="30"/>
      <c r="P4895" s="30"/>
      <c r="Q4895" s="30"/>
      <c r="R4895" s="30"/>
      <c r="S4895" s="30"/>
      <c r="T4895" s="30"/>
      <c r="U4895" s="21" t="str">
        <f aca="false">IF(COUNT(K4895:T4895)=0,"SOURCE EMPTY / INDUSTRIAL ONLY",IF(MIN(K4895:T4895)=1,"SERVICE READY","HOLD"))</f>
        <v>SOURCE EMPTY / INDUSTRIAL ONLY</v>
      </c>
      <c r="V4895" s="9" t="n">
        <f aca="false">IF(U4895="SERVICE READY",1,0)</f>
        <v>0</v>
      </c>
      <c r="W4895" s="6"/>
      <c r="X4895" s="6"/>
      <c r="Y4895" s="6"/>
      <c r="Z4895" s="6"/>
    </row>
    <row r="4896" customFormat="false" ht="15" hidden="false" customHeight="false" outlineLevel="0" collapsed="false">
      <c r="A4896" s="9" t="s">
        <v>5193</v>
      </c>
      <c r="B4896" s="9" t="s">
        <v>5019</v>
      </c>
      <c r="C4896" s="9" t="s">
        <v>5020</v>
      </c>
      <c r="D4896" s="9" t="s">
        <v>4731</v>
      </c>
      <c r="E4896" s="9" t="s">
        <v>1660</v>
      </c>
      <c r="F4896" s="9" t="s">
        <v>209</v>
      </c>
      <c r="G4896" s="9" t="s">
        <v>221</v>
      </c>
      <c r="H4896" s="9" t="n">
        <v>1950</v>
      </c>
      <c r="I4896" s="29" t="n">
        <v>1.5</v>
      </c>
      <c r="J4896" s="9" t="n">
        <v>0</v>
      </c>
      <c r="K4896" s="30"/>
      <c r="L4896" s="30"/>
      <c r="M4896" s="30"/>
      <c r="N4896" s="30"/>
      <c r="O4896" s="30"/>
      <c r="P4896" s="30"/>
      <c r="Q4896" s="30"/>
      <c r="R4896" s="30"/>
      <c r="S4896" s="30"/>
      <c r="T4896" s="30"/>
      <c r="U4896" s="21" t="str">
        <f aca="false">IF(COUNT(K4896:T4896)=0,"SOURCE EMPTY / INDUSTRIAL ONLY",IF(MIN(K4896:T4896)=1,"SERVICE READY","HOLD"))</f>
        <v>SOURCE EMPTY / INDUSTRIAL ONLY</v>
      </c>
      <c r="V4896" s="9" t="n">
        <f aca="false">IF(U4896="SERVICE READY",1,0)</f>
        <v>0</v>
      </c>
      <c r="W4896" s="6"/>
      <c r="X4896" s="6"/>
      <c r="Y4896" s="6"/>
      <c r="Z4896" s="6"/>
    </row>
    <row r="4897" customFormat="false" ht="15" hidden="false" customHeight="false" outlineLevel="0" collapsed="false">
      <c r="A4897" s="9" t="s">
        <v>5194</v>
      </c>
      <c r="B4897" s="9" t="s">
        <v>5019</v>
      </c>
      <c r="C4897" s="9" t="s">
        <v>5020</v>
      </c>
      <c r="D4897" s="9" t="s">
        <v>4731</v>
      </c>
      <c r="E4897" s="9" t="s">
        <v>1660</v>
      </c>
      <c r="F4897" s="9" t="s">
        <v>211</v>
      </c>
      <c r="G4897" s="9" t="s">
        <v>221</v>
      </c>
      <c r="H4897" s="9" t="n">
        <v>1950</v>
      </c>
      <c r="I4897" s="29" t="n">
        <v>1.5</v>
      </c>
      <c r="J4897" s="9" t="n">
        <v>0</v>
      </c>
      <c r="K4897" s="30"/>
      <c r="L4897" s="30"/>
      <c r="M4897" s="30"/>
      <c r="N4897" s="30"/>
      <c r="O4897" s="30"/>
      <c r="P4897" s="30"/>
      <c r="Q4897" s="30"/>
      <c r="R4897" s="30"/>
      <c r="S4897" s="30"/>
      <c r="T4897" s="30"/>
      <c r="U4897" s="21" t="str">
        <f aca="false">IF(COUNT(K4897:T4897)=0,"SOURCE EMPTY / INDUSTRIAL ONLY",IF(MIN(K4897:T4897)=1,"SERVICE READY","HOLD"))</f>
        <v>SOURCE EMPTY / INDUSTRIAL ONLY</v>
      </c>
      <c r="V4897" s="9" t="n">
        <f aca="false">IF(U4897="SERVICE READY",1,0)</f>
        <v>0</v>
      </c>
      <c r="W4897" s="6"/>
      <c r="X4897" s="6"/>
      <c r="Y4897" s="6"/>
      <c r="Z4897" s="6"/>
    </row>
    <row r="4898" customFormat="false" ht="15" hidden="false" customHeight="false" outlineLevel="0" collapsed="false">
      <c r="A4898" s="9" t="s">
        <v>5195</v>
      </c>
      <c r="B4898" s="9" t="s">
        <v>5019</v>
      </c>
      <c r="C4898" s="9" t="s">
        <v>5020</v>
      </c>
      <c r="D4898" s="9" t="s">
        <v>4731</v>
      </c>
      <c r="E4898" s="9" t="s">
        <v>1660</v>
      </c>
      <c r="F4898" s="9" t="s">
        <v>197</v>
      </c>
      <c r="G4898" s="9" t="s">
        <v>221</v>
      </c>
      <c r="H4898" s="9" t="n">
        <v>1950</v>
      </c>
      <c r="I4898" s="29" t="n">
        <v>1.5</v>
      </c>
      <c r="J4898" s="9" t="n">
        <v>0</v>
      </c>
      <c r="K4898" s="30"/>
      <c r="L4898" s="30"/>
      <c r="M4898" s="30"/>
      <c r="N4898" s="30"/>
      <c r="O4898" s="30"/>
      <c r="P4898" s="30"/>
      <c r="Q4898" s="30"/>
      <c r="R4898" s="30"/>
      <c r="S4898" s="30"/>
      <c r="T4898" s="30"/>
      <c r="U4898" s="21" t="str">
        <f aca="false">IF(COUNT(K4898:T4898)=0,"SOURCE EMPTY / INDUSTRIAL ONLY",IF(MIN(K4898:T4898)=1,"SERVICE READY","HOLD"))</f>
        <v>SOURCE EMPTY / INDUSTRIAL ONLY</v>
      </c>
      <c r="V4898" s="9" t="n">
        <f aca="false">IF(U4898="SERVICE READY",1,0)</f>
        <v>0</v>
      </c>
      <c r="W4898" s="6"/>
      <c r="X4898" s="6"/>
      <c r="Y4898" s="6"/>
      <c r="Z4898" s="6"/>
    </row>
    <row r="4899" customFormat="false" ht="15" hidden="false" customHeight="false" outlineLevel="0" collapsed="false">
      <c r="A4899" s="9" t="s">
        <v>5196</v>
      </c>
      <c r="B4899" s="9" t="s">
        <v>5019</v>
      </c>
      <c r="C4899" s="9" t="s">
        <v>5020</v>
      </c>
      <c r="D4899" s="9" t="s">
        <v>4731</v>
      </c>
      <c r="E4899" s="9" t="s">
        <v>1660</v>
      </c>
      <c r="F4899" s="9" t="s">
        <v>200</v>
      </c>
      <c r="G4899" s="9" t="s">
        <v>221</v>
      </c>
      <c r="H4899" s="9" t="n">
        <v>1950</v>
      </c>
      <c r="I4899" s="29" t="n">
        <v>1.5</v>
      </c>
      <c r="J4899" s="9" t="n">
        <v>0</v>
      </c>
      <c r="K4899" s="30"/>
      <c r="L4899" s="30"/>
      <c r="M4899" s="30"/>
      <c r="N4899" s="30"/>
      <c r="O4899" s="30"/>
      <c r="P4899" s="30"/>
      <c r="Q4899" s="30"/>
      <c r="R4899" s="30"/>
      <c r="S4899" s="30"/>
      <c r="T4899" s="30"/>
      <c r="U4899" s="21" t="str">
        <f aca="false">IF(COUNT(K4899:T4899)=0,"SOURCE EMPTY / INDUSTRIAL ONLY",IF(MIN(K4899:T4899)=1,"SERVICE READY","HOLD"))</f>
        <v>SOURCE EMPTY / INDUSTRIAL ONLY</v>
      </c>
      <c r="V4899" s="9" t="n">
        <f aca="false">IF(U4899="SERVICE READY",1,0)</f>
        <v>0</v>
      </c>
      <c r="W4899" s="6"/>
      <c r="X4899" s="6"/>
      <c r="Y4899" s="6"/>
      <c r="Z4899" s="6"/>
    </row>
    <row r="4900" customFormat="false" ht="15" hidden="false" customHeight="false" outlineLevel="0" collapsed="false">
      <c r="A4900" s="9" t="s">
        <v>5197</v>
      </c>
      <c r="B4900" s="9" t="s">
        <v>5019</v>
      </c>
      <c r="C4900" s="9" t="s">
        <v>5020</v>
      </c>
      <c r="D4900" s="9" t="s">
        <v>4731</v>
      </c>
      <c r="E4900" s="9" t="s">
        <v>1660</v>
      </c>
      <c r="F4900" s="9" t="s">
        <v>203</v>
      </c>
      <c r="G4900" s="9" t="s">
        <v>221</v>
      </c>
      <c r="H4900" s="9" t="n">
        <v>1950</v>
      </c>
      <c r="I4900" s="29" t="n">
        <v>1.5</v>
      </c>
      <c r="J4900" s="9" t="n">
        <v>0</v>
      </c>
      <c r="K4900" s="30"/>
      <c r="L4900" s="30"/>
      <c r="M4900" s="30"/>
      <c r="N4900" s="30"/>
      <c r="O4900" s="30"/>
      <c r="P4900" s="30"/>
      <c r="Q4900" s="30"/>
      <c r="R4900" s="30"/>
      <c r="S4900" s="30"/>
      <c r="T4900" s="30"/>
      <c r="U4900" s="21" t="str">
        <f aca="false">IF(COUNT(K4900:T4900)=0,"SOURCE EMPTY / INDUSTRIAL ONLY",IF(MIN(K4900:T4900)=1,"SERVICE READY","HOLD"))</f>
        <v>SOURCE EMPTY / INDUSTRIAL ONLY</v>
      </c>
      <c r="V4900" s="9" t="n">
        <f aca="false">IF(U4900="SERVICE READY",1,0)</f>
        <v>0</v>
      </c>
      <c r="W4900" s="6"/>
      <c r="X4900" s="6"/>
      <c r="Y4900" s="6"/>
      <c r="Z4900" s="6"/>
    </row>
    <row r="4901" customFormat="false" ht="15" hidden="false" customHeight="false" outlineLevel="0" collapsed="false">
      <c r="A4901" s="9" t="s">
        <v>5198</v>
      </c>
      <c r="B4901" s="9" t="s">
        <v>5019</v>
      </c>
      <c r="C4901" s="9" t="s">
        <v>5020</v>
      </c>
      <c r="D4901" s="9" t="s">
        <v>4731</v>
      </c>
      <c r="E4901" s="9" t="s">
        <v>1660</v>
      </c>
      <c r="F4901" s="9" t="s">
        <v>205</v>
      </c>
      <c r="G4901" s="9" t="s">
        <v>221</v>
      </c>
      <c r="H4901" s="9" t="n">
        <v>1950</v>
      </c>
      <c r="I4901" s="29" t="n">
        <v>1.5</v>
      </c>
      <c r="J4901" s="9" t="n">
        <v>0</v>
      </c>
      <c r="K4901" s="30"/>
      <c r="L4901" s="30"/>
      <c r="M4901" s="30"/>
      <c r="N4901" s="30"/>
      <c r="O4901" s="30"/>
      <c r="P4901" s="30"/>
      <c r="Q4901" s="30"/>
      <c r="R4901" s="30"/>
      <c r="S4901" s="30"/>
      <c r="T4901" s="30"/>
      <c r="U4901" s="21" t="str">
        <f aca="false">IF(COUNT(K4901:T4901)=0,"SOURCE EMPTY / INDUSTRIAL ONLY",IF(MIN(K4901:T4901)=1,"SERVICE READY","HOLD"))</f>
        <v>SOURCE EMPTY / INDUSTRIAL ONLY</v>
      </c>
      <c r="V4901" s="9" t="n">
        <f aca="false">IF(U4901="SERVICE READY",1,0)</f>
        <v>0</v>
      </c>
      <c r="W4901" s="6"/>
      <c r="X4901" s="6"/>
      <c r="Y4901" s="6"/>
      <c r="Z4901" s="6"/>
    </row>
    <row r="4902" customFormat="false" ht="15" hidden="false" customHeight="false" outlineLevel="0" collapsed="false">
      <c r="A4902" s="9" t="s">
        <v>5199</v>
      </c>
      <c r="B4902" s="9" t="s">
        <v>5019</v>
      </c>
      <c r="C4902" s="9" t="s">
        <v>5020</v>
      </c>
      <c r="D4902" s="9" t="s">
        <v>4731</v>
      </c>
      <c r="E4902" s="9" t="s">
        <v>1660</v>
      </c>
      <c r="F4902" s="9" t="s">
        <v>207</v>
      </c>
      <c r="G4902" s="9" t="s">
        <v>221</v>
      </c>
      <c r="H4902" s="9" t="n">
        <v>1950</v>
      </c>
      <c r="I4902" s="29" t="n">
        <v>1.5</v>
      </c>
      <c r="J4902" s="9" t="n">
        <v>0</v>
      </c>
      <c r="K4902" s="30"/>
      <c r="L4902" s="30"/>
      <c r="M4902" s="30"/>
      <c r="N4902" s="30"/>
      <c r="O4902" s="30"/>
      <c r="P4902" s="30"/>
      <c r="Q4902" s="30"/>
      <c r="R4902" s="30"/>
      <c r="S4902" s="30"/>
      <c r="T4902" s="30"/>
      <c r="U4902" s="21" t="str">
        <f aca="false">IF(COUNT(K4902:T4902)=0,"SOURCE EMPTY / INDUSTRIAL ONLY",IF(MIN(K4902:T4902)=1,"SERVICE READY","HOLD"))</f>
        <v>SOURCE EMPTY / INDUSTRIAL ONLY</v>
      </c>
      <c r="V4902" s="9" t="n">
        <f aca="false">IF(U4902="SERVICE READY",1,0)</f>
        <v>0</v>
      </c>
      <c r="W4902" s="6"/>
      <c r="X4902" s="6"/>
      <c r="Y4902" s="6"/>
      <c r="Z4902" s="6"/>
    </row>
    <row r="4903" customFormat="false" ht="15" hidden="false" customHeight="false" outlineLevel="0" collapsed="false">
      <c r="A4903" s="9" t="s">
        <v>5200</v>
      </c>
      <c r="B4903" s="9" t="s">
        <v>5019</v>
      </c>
      <c r="C4903" s="9" t="s">
        <v>5020</v>
      </c>
      <c r="D4903" s="9" t="s">
        <v>4731</v>
      </c>
      <c r="E4903" s="9" t="s">
        <v>1660</v>
      </c>
      <c r="F4903" s="9" t="s">
        <v>209</v>
      </c>
      <c r="G4903" s="9" t="s">
        <v>221</v>
      </c>
      <c r="H4903" s="9" t="n">
        <v>1950</v>
      </c>
      <c r="I4903" s="29" t="n">
        <v>1.5</v>
      </c>
      <c r="J4903" s="9" t="n">
        <v>0</v>
      </c>
      <c r="K4903" s="30"/>
      <c r="L4903" s="30"/>
      <c r="M4903" s="30"/>
      <c r="N4903" s="30"/>
      <c r="O4903" s="30"/>
      <c r="P4903" s="30"/>
      <c r="Q4903" s="30"/>
      <c r="R4903" s="30"/>
      <c r="S4903" s="30"/>
      <c r="T4903" s="30"/>
      <c r="U4903" s="21" t="str">
        <f aca="false">IF(COUNT(K4903:T4903)=0,"SOURCE EMPTY / INDUSTRIAL ONLY",IF(MIN(K4903:T4903)=1,"SERVICE READY","HOLD"))</f>
        <v>SOURCE EMPTY / INDUSTRIAL ONLY</v>
      </c>
      <c r="V4903" s="9" t="n">
        <f aca="false">IF(U4903="SERVICE READY",1,0)</f>
        <v>0</v>
      </c>
      <c r="W4903" s="6"/>
      <c r="X4903" s="6"/>
      <c r="Y4903" s="6"/>
      <c r="Z4903" s="6"/>
    </row>
    <row r="4904" customFormat="false" ht="15" hidden="false" customHeight="false" outlineLevel="0" collapsed="false">
      <c r="A4904" s="9" t="s">
        <v>5201</v>
      </c>
      <c r="B4904" s="9" t="s">
        <v>5019</v>
      </c>
      <c r="C4904" s="9" t="s">
        <v>5020</v>
      </c>
      <c r="D4904" s="9" t="s">
        <v>4731</v>
      </c>
      <c r="E4904" s="9" t="s">
        <v>1660</v>
      </c>
      <c r="F4904" s="9" t="s">
        <v>211</v>
      </c>
      <c r="G4904" s="9" t="s">
        <v>221</v>
      </c>
      <c r="H4904" s="9" t="n">
        <v>1950</v>
      </c>
      <c r="I4904" s="29" t="n">
        <v>1.5</v>
      </c>
      <c r="J4904" s="9" t="n">
        <v>0</v>
      </c>
      <c r="K4904" s="30"/>
      <c r="L4904" s="30"/>
      <c r="M4904" s="30"/>
      <c r="N4904" s="30"/>
      <c r="O4904" s="30"/>
      <c r="P4904" s="30"/>
      <c r="Q4904" s="30"/>
      <c r="R4904" s="30"/>
      <c r="S4904" s="30"/>
      <c r="T4904" s="30"/>
      <c r="U4904" s="21" t="str">
        <f aca="false">IF(COUNT(K4904:T4904)=0,"SOURCE EMPTY / INDUSTRIAL ONLY",IF(MIN(K4904:T4904)=1,"SERVICE READY","HOLD"))</f>
        <v>SOURCE EMPTY / INDUSTRIAL ONLY</v>
      </c>
      <c r="V4904" s="9" t="n">
        <f aca="false">IF(U4904="SERVICE READY",1,0)</f>
        <v>0</v>
      </c>
      <c r="W4904" s="6"/>
      <c r="X4904" s="6"/>
      <c r="Y4904" s="6"/>
      <c r="Z4904" s="6"/>
    </row>
    <row r="4905" customFormat="false" ht="15" hidden="false" customHeight="false" outlineLevel="0" collapsed="false">
      <c r="A4905" s="9" t="s">
        <v>5202</v>
      </c>
      <c r="B4905" s="9" t="s">
        <v>5019</v>
      </c>
      <c r="C4905" s="9" t="s">
        <v>5020</v>
      </c>
      <c r="D4905" s="9" t="s">
        <v>4731</v>
      </c>
      <c r="E4905" s="9" t="s">
        <v>1660</v>
      </c>
      <c r="F4905" s="9" t="s">
        <v>197</v>
      </c>
      <c r="G4905" s="9" t="s">
        <v>221</v>
      </c>
      <c r="H4905" s="9" t="n">
        <v>1950</v>
      </c>
      <c r="I4905" s="29" t="n">
        <v>1.5</v>
      </c>
      <c r="J4905" s="9" t="n">
        <v>0</v>
      </c>
      <c r="K4905" s="30"/>
      <c r="L4905" s="30"/>
      <c r="M4905" s="30"/>
      <c r="N4905" s="30"/>
      <c r="O4905" s="30"/>
      <c r="P4905" s="30"/>
      <c r="Q4905" s="30"/>
      <c r="R4905" s="30"/>
      <c r="S4905" s="30"/>
      <c r="T4905" s="30"/>
      <c r="U4905" s="21" t="str">
        <f aca="false">IF(COUNT(K4905:T4905)=0,"SOURCE EMPTY / INDUSTRIAL ONLY",IF(MIN(K4905:T4905)=1,"SERVICE READY","HOLD"))</f>
        <v>SOURCE EMPTY / INDUSTRIAL ONLY</v>
      </c>
      <c r="V4905" s="9" t="n">
        <f aca="false">IF(U4905="SERVICE READY",1,0)</f>
        <v>0</v>
      </c>
      <c r="W4905" s="6"/>
      <c r="X4905" s="6"/>
      <c r="Y4905" s="6"/>
      <c r="Z4905" s="6"/>
    </row>
    <row r="4906" customFormat="false" ht="15" hidden="false" customHeight="false" outlineLevel="0" collapsed="false">
      <c r="A4906" s="9" t="s">
        <v>5203</v>
      </c>
      <c r="B4906" s="9" t="s">
        <v>5019</v>
      </c>
      <c r="C4906" s="9" t="s">
        <v>5020</v>
      </c>
      <c r="D4906" s="9" t="s">
        <v>4731</v>
      </c>
      <c r="E4906" s="9" t="s">
        <v>1660</v>
      </c>
      <c r="F4906" s="9" t="s">
        <v>200</v>
      </c>
      <c r="G4906" s="9" t="s">
        <v>221</v>
      </c>
      <c r="H4906" s="9" t="n">
        <v>1950</v>
      </c>
      <c r="I4906" s="29" t="n">
        <v>1.5</v>
      </c>
      <c r="J4906" s="9" t="n">
        <v>0</v>
      </c>
      <c r="K4906" s="30"/>
      <c r="L4906" s="30"/>
      <c r="M4906" s="30"/>
      <c r="N4906" s="30"/>
      <c r="O4906" s="30"/>
      <c r="P4906" s="30"/>
      <c r="Q4906" s="30"/>
      <c r="R4906" s="30"/>
      <c r="S4906" s="30"/>
      <c r="T4906" s="30"/>
      <c r="U4906" s="21" t="str">
        <f aca="false">IF(COUNT(K4906:T4906)=0,"SOURCE EMPTY / INDUSTRIAL ONLY",IF(MIN(K4906:T4906)=1,"SERVICE READY","HOLD"))</f>
        <v>SOURCE EMPTY / INDUSTRIAL ONLY</v>
      </c>
      <c r="V4906" s="9" t="n">
        <f aca="false">IF(U4906="SERVICE READY",1,0)</f>
        <v>0</v>
      </c>
      <c r="W4906" s="6"/>
      <c r="X4906" s="6"/>
      <c r="Y4906" s="6"/>
      <c r="Z4906" s="6"/>
    </row>
    <row r="4907" customFormat="false" ht="15" hidden="false" customHeight="false" outlineLevel="0" collapsed="false">
      <c r="A4907" s="9" t="s">
        <v>5204</v>
      </c>
      <c r="B4907" s="9" t="s">
        <v>5019</v>
      </c>
      <c r="C4907" s="9" t="s">
        <v>5020</v>
      </c>
      <c r="D4907" s="9" t="s">
        <v>4731</v>
      </c>
      <c r="E4907" s="9" t="s">
        <v>1660</v>
      </c>
      <c r="F4907" s="9" t="s">
        <v>203</v>
      </c>
      <c r="G4907" s="9" t="s">
        <v>221</v>
      </c>
      <c r="H4907" s="9" t="n">
        <v>1950</v>
      </c>
      <c r="I4907" s="29" t="n">
        <v>1.5</v>
      </c>
      <c r="J4907" s="9" t="n">
        <v>0</v>
      </c>
      <c r="K4907" s="30"/>
      <c r="L4907" s="30"/>
      <c r="M4907" s="30"/>
      <c r="N4907" s="30"/>
      <c r="O4907" s="30"/>
      <c r="P4907" s="30"/>
      <c r="Q4907" s="30"/>
      <c r="R4907" s="30"/>
      <c r="S4907" s="30"/>
      <c r="T4907" s="30"/>
      <c r="U4907" s="21" t="str">
        <f aca="false">IF(COUNT(K4907:T4907)=0,"SOURCE EMPTY / INDUSTRIAL ONLY",IF(MIN(K4907:T4907)=1,"SERVICE READY","HOLD"))</f>
        <v>SOURCE EMPTY / INDUSTRIAL ONLY</v>
      </c>
      <c r="V4907" s="9" t="n">
        <f aca="false">IF(U4907="SERVICE READY",1,0)</f>
        <v>0</v>
      </c>
      <c r="W4907" s="6"/>
      <c r="X4907" s="6"/>
      <c r="Y4907" s="6"/>
      <c r="Z4907" s="6"/>
    </row>
    <row r="4908" customFormat="false" ht="15" hidden="false" customHeight="false" outlineLevel="0" collapsed="false">
      <c r="A4908" s="9" t="s">
        <v>5205</v>
      </c>
      <c r="B4908" s="9" t="s">
        <v>5019</v>
      </c>
      <c r="C4908" s="9" t="s">
        <v>5020</v>
      </c>
      <c r="D4908" s="9" t="s">
        <v>4731</v>
      </c>
      <c r="E4908" s="9" t="s">
        <v>1660</v>
      </c>
      <c r="F4908" s="9" t="s">
        <v>205</v>
      </c>
      <c r="G4908" s="9" t="s">
        <v>221</v>
      </c>
      <c r="H4908" s="9" t="n">
        <v>1950</v>
      </c>
      <c r="I4908" s="29" t="n">
        <v>1.5</v>
      </c>
      <c r="J4908" s="9" t="n">
        <v>0</v>
      </c>
      <c r="K4908" s="30"/>
      <c r="L4908" s="30"/>
      <c r="M4908" s="30"/>
      <c r="N4908" s="30"/>
      <c r="O4908" s="30"/>
      <c r="P4908" s="30"/>
      <c r="Q4908" s="30"/>
      <c r="R4908" s="30"/>
      <c r="S4908" s="30"/>
      <c r="T4908" s="30"/>
      <c r="U4908" s="21" t="str">
        <f aca="false">IF(COUNT(K4908:T4908)=0,"SOURCE EMPTY / INDUSTRIAL ONLY",IF(MIN(K4908:T4908)=1,"SERVICE READY","HOLD"))</f>
        <v>SOURCE EMPTY / INDUSTRIAL ONLY</v>
      </c>
      <c r="V4908" s="9" t="n">
        <f aca="false">IF(U4908="SERVICE READY",1,0)</f>
        <v>0</v>
      </c>
      <c r="W4908" s="6"/>
      <c r="X4908" s="6"/>
      <c r="Y4908" s="6"/>
      <c r="Z4908" s="6"/>
    </row>
    <row r="4909" customFormat="false" ht="15" hidden="false" customHeight="false" outlineLevel="0" collapsed="false">
      <c r="A4909" s="9" t="s">
        <v>5206</v>
      </c>
      <c r="B4909" s="9" t="s">
        <v>5019</v>
      </c>
      <c r="C4909" s="9" t="s">
        <v>5020</v>
      </c>
      <c r="D4909" s="9" t="s">
        <v>4731</v>
      </c>
      <c r="E4909" s="9" t="s">
        <v>1660</v>
      </c>
      <c r="F4909" s="9" t="s">
        <v>207</v>
      </c>
      <c r="G4909" s="9" t="s">
        <v>221</v>
      </c>
      <c r="H4909" s="9" t="n">
        <v>1950</v>
      </c>
      <c r="I4909" s="29" t="n">
        <v>1.5</v>
      </c>
      <c r="J4909" s="9" t="n">
        <v>0</v>
      </c>
      <c r="K4909" s="30"/>
      <c r="L4909" s="30"/>
      <c r="M4909" s="30"/>
      <c r="N4909" s="30"/>
      <c r="O4909" s="30"/>
      <c r="P4909" s="30"/>
      <c r="Q4909" s="30"/>
      <c r="R4909" s="30"/>
      <c r="S4909" s="30"/>
      <c r="T4909" s="30"/>
      <c r="U4909" s="21" t="str">
        <f aca="false">IF(COUNT(K4909:T4909)=0,"SOURCE EMPTY / INDUSTRIAL ONLY",IF(MIN(K4909:T4909)=1,"SERVICE READY","HOLD"))</f>
        <v>SOURCE EMPTY / INDUSTRIAL ONLY</v>
      </c>
      <c r="V4909" s="9" t="n">
        <f aca="false">IF(U4909="SERVICE READY",1,0)</f>
        <v>0</v>
      </c>
      <c r="W4909" s="6"/>
      <c r="X4909" s="6"/>
      <c r="Y4909" s="6"/>
      <c r="Z4909" s="6"/>
    </row>
    <row r="4910" customFormat="false" ht="15" hidden="false" customHeight="false" outlineLevel="0" collapsed="false">
      <c r="A4910" s="9" t="s">
        <v>5207</v>
      </c>
      <c r="B4910" s="9" t="s">
        <v>5019</v>
      </c>
      <c r="C4910" s="9" t="s">
        <v>5020</v>
      </c>
      <c r="D4910" s="9" t="s">
        <v>4731</v>
      </c>
      <c r="E4910" s="9" t="s">
        <v>1660</v>
      </c>
      <c r="F4910" s="9" t="s">
        <v>209</v>
      </c>
      <c r="G4910" s="9" t="s">
        <v>221</v>
      </c>
      <c r="H4910" s="9" t="n">
        <v>1950</v>
      </c>
      <c r="I4910" s="29" t="n">
        <v>1.5</v>
      </c>
      <c r="J4910" s="9" t="n">
        <v>0</v>
      </c>
      <c r="K4910" s="30"/>
      <c r="L4910" s="30"/>
      <c r="M4910" s="30"/>
      <c r="N4910" s="30"/>
      <c r="O4910" s="30"/>
      <c r="P4910" s="30"/>
      <c r="Q4910" s="30"/>
      <c r="R4910" s="30"/>
      <c r="S4910" s="30"/>
      <c r="T4910" s="30"/>
      <c r="U4910" s="21" t="str">
        <f aca="false">IF(COUNT(K4910:T4910)=0,"SOURCE EMPTY / INDUSTRIAL ONLY",IF(MIN(K4910:T4910)=1,"SERVICE READY","HOLD"))</f>
        <v>SOURCE EMPTY / INDUSTRIAL ONLY</v>
      </c>
      <c r="V4910" s="9" t="n">
        <f aca="false">IF(U4910="SERVICE READY",1,0)</f>
        <v>0</v>
      </c>
      <c r="W4910" s="6"/>
      <c r="X4910" s="6"/>
      <c r="Y4910" s="6"/>
      <c r="Z4910" s="6"/>
    </row>
    <row r="4911" customFormat="false" ht="15" hidden="false" customHeight="false" outlineLevel="0" collapsed="false">
      <c r="A4911" s="9" t="s">
        <v>5208</v>
      </c>
      <c r="B4911" s="9" t="s">
        <v>5019</v>
      </c>
      <c r="C4911" s="9" t="s">
        <v>5020</v>
      </c>
      <c r="D4911" s="9" t="s">
        <v>4731</v>
      </c>
      <c r="E4911" s="9" t="s">
        <v>1660</v>
      </c>
      <c r="F4911" s="9" t="s">
        <v>211</v>
      </c>
      <c r="G4911" s="9" t="s">
        <v>221</v>
      </c>
      <c r="H4911" s="9" t="n">
        <v>1950</v>
      </c>
      <c r="I4911" s="29" t="n">
        <v>1.5</v>
      </c>
      <c r="J4911" s="9" t="n">
        <v>0</v>
      </c>
      <c r="K4911" s="30"/>
      <c r="L4911" s="30"/>
      <c r="M4911" s="30"/>
      <c r="N4911" s="30"/>
      <c r="O4911" s="30"/>
      <c r="P4911" s="30"/>
      <c r="Q4911" s="30"/>
      <c r="R4911" s="30"/>
      <c r="S4911" s="30"/>
      <c r="T4911" s="30"/>
      <c r="U4911" s="21" t="str">
        <f aca="false">IF(COUNT(K4911:T4911)=0,"SOURCE EMPTY / INDUSTRIAL ONLY",IF(MIN(K4911:T4911)=1,"SERVICE READY","HOLD"))</f>
        <v>SOURCE EMPTY / INDUSTRIAL ONLY</v>
      </c>
      <c r="V4911" s="9" t="n">
        <f aca="false">IF(U4911="SERVICE READY",1,0)</f>
        <v>0</v>
      </c>
      <c r="W4911" s="6"/>
      <c r="X4911" s="6"/>
      <c r="Y4911" s="6"/>
      <c r="Z4911" s="6"/>
    </row>
    <row r="4912" customFormat="false" ht="15" hidden="false" customHeight="false" outlineLevel="0" collapsed="false">
      <c r="A4912" s="9" t="s">
        <v>5209</v>
      </c>
      <c r="B4912" s="9" t="s">
        <v>5019</v>
      </c>
      <c r="C4912" s="9" t="s">
        <v>5020</v>
      </c>
      <c r="D4912" s="9" t="s">
        <v>4731</v>
      </c>
      <c r="E4912" s="9" t="s">
        <v>1660</v>
      </c>
      <c r="F4912" s="9" t="s">
        <v>197</v>
      </c>
      <c r="G4912" s="9" t="s">
        <v>221</v>
      </c>
      <c r="H4912" s="9" t="n">
        <v>1950</v>
      </c>
      <c r="I4912" s="29" t="n">
        <v>1.5</v>
      </c>
      <c r="J4912" s="9" t="n">
        <v>0</v>
      </c>
      <c r="K4912" s="30"/>
      <c r="L4912" s="30"/>
      <c r="M4912" s="30"/>
      <c r="N4912" s="30"/>
      <c r="O4912" s="30"/>
      <c r="P4912" s="30"/>
      <c r="Q4912" s="30"/>
      <c r="R4912" s="30"/>
      <c r="S4912" s="30"/>
      <c r="T4912" s="30"/>
      <c r="U4912" s="21" t="str">
        <f aca="false">IF(COUNT(K4912:T4912)=0,"SOURCE EMPTY / INDUSTRIAL ONLY",IF(MIN(K4912:T4912)=1,"SERVICE READY","HOLD"))</f>
        <v>SOURCE EMPTY / INDUSTRIAL ONLY</v>
      </c>
      <c r="V4912" s="9" t="n">
        <f aca="false">IF(U4912="SERVICE READY",1,0)</f>
        <v>0</v>
      </c>
      <c r="W4912" s="6"/>
      <c r="X4912" s="6"/>
      <c r="Y4912" s="6"/>
      <c r="Z4912" s="6"/>
    </row>
    <row r="4913" customFormat="false" ht="15" hidden="false" customHeight="false" outlineLevel="0" collapsed="false">
      <c r="A4913" s="9" t="s">
        <v>5210</v>
      </c>
      <c r="B4913" s="9" t="s">
        <v>5019</v>
      </c>
      <c r="C4913" s="9" t="s">
        <v>5020</v>
      </c>
      <c r="D4913" s="9" t="s">
        <v>4731</v>
      </c>
      <c r="E4913" s="9" t="s">
        <v>1660</v>
      </c>
      <c r="F4913" s="9" t="s">
        <v>200</v>
      </c>
      <c r="G4913" s="9" t="s">
        <v>221</v>
      </c>
      <c r="H4913" s="9" t="n">
        <v>1950</v>
      </c>
      <c r="I4913" s="29" t="n">
        <v>1.5</v>
      </c>
      <c r="J4913" s="9" t="n">
        <v>0</v>
      </c>
      <c r="K4913" s="30"/>
      <c r="L4913" s="30"/>
      <c r="M4913" s="30"/>
      <c r="N4913" s="30"/>
      <c r="O4913" s="30"/>
      <c r="P4913" s="30"/>
      <c r="Q4913" s="30"/>
      <c r="R4913" s="30"/>
      <c r="S4913" s="30"/>
      <c r="T4913" s="30"/>
      <c r="U4913" s="21" t="str">
        <f aca="false">IF(COUNT(K4913:T4913)=0,"SOURCE EMPTY / INDUSTRIAL ONLY",IF(MIN(K4913:T4913)=1,"SERVICE READY","HOLD"))</f>
        <v>SOURCE EMPTY / INDUSTRIAL ONLY</v>
      </c>
      <c r="V4913" s="9" t="n">
        <f aca="false">IF(U4913="SERVICE READY",1,0)</f>
        <v>0</v>
      </c>
      <c r="W4913" s="6"/>
      <c r="X4913" s="6"/>
      <c r="Y4913" s="6"/>
      <c r="Z4913" s="6"/>
    </row>
    <row r="4914" customFormat="false" ht="15" hidden="false" customHeight="false" outlineLevel="0" collapsed="false">
      <c r="A4914" s="9" t="s">
        <v>5211</v>
      </c>
      <c r="B4914" s="9" t="s">
        <v>5019</v>
      </c>
      <c r="C4914" s="9" t="s">
        <v>5020</v>
      </c>
      <c r="D4914" s="9" t="s">
        <v>4731</v>
      </c>
      <c r="E4914" s="9" t="s">
        <v>1660</v>
      </c>
      <c r="F4914" s="9" t="s">
        <v>203</v>
      </c>
      <c r="G4914" s="9" t="s">
        <v>221</v>
      </c>
      <c r="H4914" s="9" t="n">
        <v>1950</v>
      </c>
      <c r="I4914" s="29" t="n">
        <v>1.5</v>
      </c>
      <c r="J4914" s="9" t="n">
        <v>0</v>
      </c>
      <c r="K4914" s="30"/>
      <c r="L4914" s="30"/>
      <c r="M4914" s="30"/>
      <c r="N4914" s="30"/>
      <c r="O4914" s="30"/>
      <c r="P4914" s="30"/>
      <c r="Q4914" s="30"/>
      <c r="R4914" s="30"/>
      <c r="S4914" s="30"/>
      <c r="T4914" s="30"/>
      <c r="U4914" s="21" t="str">
        <f aca="false">IF(COUNT(K4914:T4914)=0,"SOURCE EMPTY / INDUSTRIAL ONLY",IF(MIN(K4914:T4914)=1,"SERVICE READY","HOLD"))</f>
        <v>SOURCE EMPTY / INDUSTRIAL ONLY</v>
      </c>
      <c r="V4914" s="9" t="n">
        <f aca="false">IF(U4914="SERVICE READY",1,0)</f>
        <v>0</v>
      </c>
      <c r="W4914" s="6"/>
      <c r="X4914" s="6"/>
      <c r="Y4914" s="6"/>
      <c r="Z4914" s="6"/>
    </row>
    <row r="4915" customFormat="false" ht="15" hidden="false" customHeight="false" outlineLevel="0" collapsed="false">
      <c r="A4915" s="9" t="s">
        <v>5212</v>
      </c>
      <c r="B4915" s="9" t="s">
        <v>5019</v>
      </c>
      <c r="C4915" s="9" t="s">
        <v>5020</v>
      </c>
      <c r="D4915" s="9" t="s">
        <v>4731</v>
      </c>
      <c r="E4915" s="9" t="s">
        <v>1660</v>
      </c>
      <c r="F4915" s="9" t="s">
        <v>205</v>
      </c>
      <c r="G4915" s="9" t="s">
        <v>221</v>
      </c>
      <c r="H4915" s="9" t="n">
        <v>1950</v>
      </c>
      <c r="I4915" s="29" t="n">
        <v>1.5</v>
      </c>
      <c r="J4915" s="9" t="n">
        <v>0</v>
      </c>
      <c r="K4915" s="30"/>
      <c r="L4915" s="30"/>
      <c r="M4915" s="30"/>
      <c r="N4915" s="30"/>
      <c r="O4915" s="30"/>
      <c r="P4915" s="30"/>
      <c r="Q4915" s="30"/>
      <c r="R4915" s="30"/>
      <c r="S4915" s="30"/>
      <c r="T4915" s="30"/>
      <c r="U4915" s="21" t="str">
        <f aca="false">IF(COUNT(K4915:T4915)=0,"SOURCE EMPTY / INDUSTRIAL ONLY",IF(MIN(K4915:T4915)=1,"SERVICE READY","HOLD"))</f>
        <v>SOURCE EMPTY / INDUSTRIAL ONLY</v>
      </c>
      <c r="V4915" s="9" t="n">
        <f aca="false">IF(U4915="SERVICE READY",1,0)</f>
        <v>0</v>
      </c>
      <c r="W4915" s="6"/>
      <c r="X4915" s="6"/>
      <c r="Y4915" s="6"/>
      <c r="Z4915" s="6"/>
    </row>
    <row r="4916" customFormat="false" ht="15" hidden="false" customHeight="false" outlineLevel="0" collapsed="false">
      <c r="A4916" s="9" t="s">
        <v>5213</v>
      </c>
      <c r="B4916" s="9" t="s">
        <v>5019</v>
      </c>
      <c r="C4916" s="9" t="s">
        <v>5020</v>
      </c>
      <c r="D4916" s="9" t="s">
        <v>4731</v>
      </c>
      <c r="E4916" s="9" t="s">
        <v>1660</v>
      </c>
      <c r="F4916" s="9" t="s">
        <v>207</v>
      </c>
      <c r="G4916" s="9" t="s">
        <v>221</v>
      </c>
      <c r="H4916" s="9" t="n">
        <v>1950</v>
      </c>
      <c r="I4916" s="29" t="n">
        <v>1.5</v>
      </c>
      <c r="J4916" s="9" t="n">
        <v>0</v>
      </c>
      <c r="K4916" s="30"/>
      <c r="L4916" s="30"/>
      <c r="M4916" s="30"/>
      <c r="N4916" s="30"/>
      <c r="O4916" s="30"/>
      <c r="P4916" s="30"/>
      <c r="Q4916" s="30"/>
      <c r="R4916" s="30"/>
      <c r="S4916" s="30"/>
      <c r="T4916" s="30"/>
      <c r="U4916" s="21" t="str">
        <f aca="false">IF(COUNT(K4916:T4916)=0,"SOURCE EMPTY / INDUSTRIAL ONLY",IF(MIN(K4916:T4916)=1,"SERVICE READY","HOLD"))</f>
        <v>SOURCE EMPTY / INDUSTRIAL ONLY</v>
      </c>
      <c r="V4916" s="9" t="n">
        <f aca="false">IF(U4916="SERVICE READY",1,0)</f>
        <v>0</v>
      </c>
      <c r="W4916" s="6"/>
      <c r="X4916" s="6"/>
      <c r="Y4916" s="6"/>
      <c r="Z4916" s="6"/>
    </row>
    <row r="4917" customFormat="false" ht="15" hidden="false" customHeight="false" outlineLevel="0" collapsed="false">
      <c r="A4917" s="9" t="s">
        <v>5214</v>
      </c>
      <c r="B4917" s="9" t="s">
        <v>5019</v>
      </c>
      <c r="C4917" s="9" t="s">
        <v>5020</v>
      </c>
      <c r="D4917" s="9" t="s">
        <v>4731</v>
      </c>
      <c r="E4917" s="9" t="s">
        <v>1660</v>
      </c>
      <c r="F4917" s="9" t="s">
        <v>209</v>
      </c>
      <c r="G4917" s="9" t="s">
        <v>221</v>
      </c>
      <c r="H4917" s="9" t="n">
        <v>1950</v>
      </c>
      <c r="I4917" s="29" t="n">
        <v>1.5</v>
      </c>
      <c r="J4917" s="9" t="n">
        <v>0</v>
      </c>
      <c r="K4917" s="30"/>
      <c r="L4917" s="30"/>
      <c r="M4917" s="30"/>
      <c r="N4917" s="30"/>
      <c r="O4917" s="30"/>
      <c r="P4917" s="30"/>
      <c r="Q4917" s="30"/>
      <c r="R4917" s="30"/>
      <c r="S4917" s="30"/>
      <c r="T4917" s="30"/>
      <c r="U4917" s="21" t="str">
        <f aca="false">IF(COUNT(K4917:T4917)=0,"SOURCE EMPTY / INDUSTRIAL ONLY",IF(MIN(K4917:T4917)=1,"SERVICE READY","HOLD"))</f>
        <v>SOURCE EMPTY / INDUSTRIAL ONLY</v>
      </c>
      <c r="V4917" s="9" t="n">
        <f aca="false">IF(U4917="SERVICE READY",1,0)</f>
        <v>0</v>
      </c>
      <c r="W4917" s="6"/>
      <c r="X4917" s="6"/>
      <c r="Y4917" s="6"/>
      <c r="Z4917" s="6"/>
    </row>
    <row r="4918" customFormat="false" ht="15" hidden="false" customHeight="false" outlineLevel="0" collapsed="false">
      <c r="A4918" s="9" t="s">
        <v>5215</v>
      </c>
      <c r="B4918" s="9" t="s">
        <v>5019</v>
      </c>
      <c r="C4918" s="9" t="s">
        <v>5020</v>
      </c>
      <c r="D4918" s="9" t="s">
        <v>4731</v>
      </c>
      <c r="E4918" s="9" t="s">
        <v>1660</v>
      </c>
      <c r="F4918" s="9" t="s">
        <v>211</v>
      </c>
      <c r="G4918" s="9" t="s">
        <v>221</v>
      </c>
      <c r="H4918" s="9" t="n">
        <v>1950</v>
      </c>
      <c r="I4918" s="29" t="n">
        <v>1.5</v>
      </c>
      <c r="J4918" s="9" t="n">
        <v>0</v>
      </c>
      <c r="K4918" s="30"/>
      <c r="L4918" s="30"/>
      <c r="M4918" s="30"/>
      <c r="N4918" s="30"/>
      <c r="O4918" s="30"/>
      <c r="P4918" s="30"/>
      <c r="Q4918" s="30"/>
      <c r="R4918" s="30"/>
      <c r="S4918" s="30"/>
      <c r="T4918" s="30"/>
      <c r="U4918" s="21" t="str">
        <f aca="false">IF(COUNT(K4918:T4918)=0,"SOURCE EMPTY / INDUSTRIAL ONLY",IF(MIN(K4918:T4918)=1,"SERVICE READY","HOLD"))</f>
        <v>SOURCE EMPTY / INDUSTRIAL ONLY</v>
      </c>
      <c r="V4918" s="9" t="n">
        <f aca="false">IF(U4918="SERVICE READY",1,0)</f>
        <v>0</v>
      </c>
      <c r="W4918" s="6"/>
      <c r="X4918" s="6"/>
      <c r="Y4918" s="6"/>
      <c r="Z4918" s="6"/>
    </row>
    <row r="4919" customFormat="false" ht="15" hidden="false" customHeight="false" outlineLevel="0" collapsed="false">
      <c r="A4919" s="9" t="s">
        <v>5216</v>
      </c>
      <c r="B4919" s="9" t="s">
        <v>5019</v>
      </c>
      <c r="C4919" s="9" t="s">
        <v>5020</v>
      </c>
      <c r="D4919" s="9" t="s">
        <v>4731</v>
      </c>
      <c r="E4919" s="9" t="s">
        <v>1660</v>
      </c>
      <c r="F4919" s="9" t="s">
        <v>197</v>
      </c>
      <c r="G4919" s="9" t="s">
        <v>221</v>
      </c>
      <c r="H4919" s="9" t="n">
        <v>1950</v>
      </c>
      <c r="I4919" s="29" t="n">
        <v>1.5</v>
      </c>
      <c r="J4919" s="9" t="n">
        <v>0</v>
      </c>
      <c r="K4919" s="30"/>
      <c r="L4919" s="30"/>
      <c r="M4919" s="30"/>
      <c r="N4919" s="30"/>
      <c r="O4919" s="30"/>
      <c r="P4919" s="30"/>
      <c r="Q4919" s="30"/>
      <c r="R4919" s="30"/>
      <c r="S4919" s="30"/>
      <c r="T4919" s="30"/>
      <c r="U4919" s="21" t="str">
        <f aca="false">IF(COUNT(K4919:T4919)=0,"SOURCE EMPTY / INDUSTRIAL ONLY",IF(MIN(K4919:T4919)=1,"SERVICE READY","HOLD"))</f>
        <v>SOURCE EMPTY / INDUSTRIAL ONLY</v>
      </c>
      <c r="V4919" s="9" t="n">
        <f aca="false">IF(U4919="SERVICE READY",1,0)</f>
        <v>0</v>
      </c>
      <c r="W4919" s="6"/>
      <c r="X4919" s="6"/>
      <c r="Y4919" s="6"/>
      <c r="Z4919" s="6"/>
    </row>
    <row r="4920" customFormat="false" ht="15" hidden="false" customHeight="false" outlineLevel="0" collapsed="false">
      <c r="A4920" s="9" t="s">
        <v>5217</v>
      </c>
      <c r="B4920" s="9" t="s">
        <v>5019</v>
      </c>
      <c r="C4920" s="9" t="s">
        <v>5020</v>
      </c>
      <c r="D4920" s="9" t="s">
        <v>4731</v>
      </c>
      <c r="E4920" s="9" t="s">
        <v>1660</v>
      </c>
      <c r="F4920" s="9" t="s">
        <v>200</v>
      </c>
      <c r="G4920" s="9" t="s">
        <v>221</v>
      </c>
      <c r="H4920" s="9" t="n">
        <v>1950</v>
      </c>
      <c r="I4920" s="29" t="n">
        <v>1.5</v>
      </c>
      <c r="J4920" s="9" t="n">
        <v>0</v>
      </c>
      <c r="K4920" s="30"/>
      <c r="L4920" s="30"/>
      <c r="M4920" s="30"/>
      <c r="N4920" s="30"/>
      <c r="O4920" s="30"/>
      <c r="P4920" s="30"/>
      <c r="Q4920" s="30"/>
      <c r="R4920" s="30"/>
      <c r="S4920" s="30"/>
      <c r="T4920" s="30"/>
      <c r="U4920" s="21" t="str">
        <f aca="false">IF(COUNT(K4920:T4920)=0,"SOURCE EMPTY / INDUSTRIAL ONLY",IF(MIN(K4920:T4920)=1,"SERVICE READY","HOLD"))</f>
        <v>SOURCE EMPTY / INDUSTRIAL ONLY</v>
      </c>
      <c r="V4920" s="9" t="n">
        <f aca="false">IF(U4920="SERVICE READY",1,0)</f>
        <v>0</v>
      </c>
      <c r="W4920" s="6"/>
      <c r="X4920" s="6"/>
      <c r="Y4920" s="6"/>
      <c r="Z4920" s="6"/>
    </row>
    <row r="4921" customFormat="false" ht="15" hidden="false" customHeight="false" outlineLevel="0" collapsed="false">
      <c r="A4921" s="9" t="s">
        <v>5218</v>
      </c>
      <c r="B4921" s="9" t="s">
        <v>5019</v>
      </c>
      <c r="C4921" s="9" t="s">
        <v>5020</v>
      </c>
      <c r="D4921" s="9" t="s">
        <v>4731</v>
      </c>
      <c r="E4921" s="9" t="s">
        <v>1660</v>
      </c>
      <c r="F4921" s="9" t="s">
        <v>203</v>
      </c>
      <c r="G4921" s="9" t="s">
        <v>221</v>
      </c>
      <c r="H4921" s="9" t="n">
        <v>1950</v>
      </c>
      <c r="I4921" s="29" t="n">
        <v>1.5</v>
      </c>
      <c r="J4921" s="9" t="n">
        <v>0</v>
      </c>
      <c r="K4921" s="30"/>
      <c r="L4921" s="30"/>
      <c r="M4921" s="30"/>
      <c r="N4921" s="30"/>
      <c r="O4921" s="30"/>
      <c r="P4921" s="30"/>
      <c r="Q4921" s="30"/>
      <c r="R4921" s="30"/>
      <c r="S4921" s="30"/>
      <c r="T4921" s="30"/>
      <c r="U4921" s="21" t="str">
        <f aca="false">IF(COUNT(K4921:T4921)=0,"SOURCE EMPTY / INDUSTRIAL ONLY",IF(MIN(K4921:T4921)=1,"SERVICE READY","HOLD"))</f>
        <v>SOURCE EMPTY / INDUSTRIAL ONLY</v>
      </c>
      <c r="V4921" s="9" t="n">
        <f aca="false">IF(U4921="SERVICE READY",1,0)</f>
        <v>0</v>
      </c>
      <c r="W4921" s="6"/>
      <c r="X4921" s="6"/>
      <c r="Y4921" s="6"/>
      <c r="Z4921" s="6"/>
    </row>
    <row r="4922" customFormat="false" ht="15" hidden="false" customHeight="false" outlineLevel="0" collapsed="false">
      <c r="A4922" s="9" t="s">
        <v>5219</v>
      </c>
      <c r="B4922" s="9" t="s">
        <v>5220</v>
      </c>
      <c r="C4922" s="9" t="s">
        <v>5221</v>
      </c>
      <c r="D4922" s="9" t="s">
        <v>4731</v>
      </c>
      <c r="E4922" s="9" t="s">
        <v>1660</v>
      </c>
      <c r="F4922" s="9" t="s">
        <v>197</v>
      </c>
      <c r="G4922" s="9" t="s">
        <v>198</v>
      </c>
      <c r="H4922" s="9" t="n">
        <v>1200</v>
      </c>
      <c r="I4922" s="29" t="n">
        <v>2</v>
      </c>
      <c r="J4922" s="9" t="n">
        <v>1</v>
      </c>
      <c r="K4922" s="30"/>
      <c r="L4922" s="30"/>
      <c r="M4922" s="30"/>
      <c r="N4922" s="30"/>
      <c r="O4922" s="30"/>
      <c r="P4922" s="30"/>
      <c r="Q4922" s="30"/>
      <c r="R4922" s="30"/>
      <c r="S4922" s="30"/>
      <c r="T4922" s="30"/>
      <c r="U4922" s="21" t="str">
        <f aca="false">IF(COUNT(K4922:T4922)=0,"SOURCE EMPTY / INDUSTRIAL ONLY",IF(MIN(K4922:T4922)=1,"SERVICE READY","HOLD"))</f>
        <v>SOURCE EMPTY / INDUSTRIAL ONLY</v>
      </c>
      <c r="V4922" s="9" t="n">
        <f aca="false">IF(U4922="SERVICE READY",1,0)</f>
        <v>0</v>
      </c>
      <c r="W4922" s="6"/>
      <c r="X4922" s="6"/>
      <c r="Y4922" s="6"/>
      <c r="Z4922" s="6"/>
    </row>
    <row r="4923" customFormat="false" ht="15" hidden="false" customHeight="false" outlineLevel="0" collapsed="false">
      <c r="A4923" s="9" t="s">
        <v>5222</v>
      </c>
      <c r="B4923" s="9" t="s">
        <v>5220</v>
      </c>
      <c r="C4923" s="9" t="s">
        <v>5221</v>
      </c>
      <c r="D4923" s="9" t="s">
        <v>4731</v>
      </c>
      <c r="E4923" s="9" t="s">
        <v>1660</v>
      </c>
      <c r="F4923" s="9" t="s">
        <v>200</v>
      </c>
      <c r="G4923" s="9" t="s">
        <v>201</v>
      </c>
      <c r="H4923" s="9" t="n">
        <v>1200</v>
      </c>
      <c r="I4923" s="29" t="n">
        <v>2</v>
      </c>
      <c r="J4923" s="9" t="n">
        <v>1</v>
      </c>
      <c r="K4923" s="30"/>
      <c r="L4923" s="30"/>
      <c r="M4923" s="30"/>
      <c r="N4923" s="30"/>
      <c r="O4923" s="30"/>
      <c r="P4923" s="30"/>
      <c r="Q4923" s="30"/>
      <c r="R4923" s="30"/>
      <c r="S4923" s="30"/>
      <c r="T4923" s="30"/>
      <c r="U4923" s="21" t="str">
        <f aca="false">IF(COUNT(K4923:T4923)=0,"SOURCE EMPTY / INDUSTRIAL ONLY",IF(MIN(K4923:T4923)=1,"SERVICE READY","HOLD"))</f>
        <v>SOURCE EMPTY / INDUSTRIAL ONLY</v>
      </c>
      <c r="V4923" s="9" t="n">
        <f aca="false">IF(U4923="SERVICE READY",1,0)</f>
        <v>0</v>
      </c>
      <c r="W4923" s="6"/>
      <c r="X4923" s="6"/>
      <c r="Y4923" s="6"/>
      <c r="Z4923" s="6"/>
    </row>
    <row r="4924" customFormat="false" ht="15" hidden="false" customHeight="false" outlineLevel="0" collapsed="false">
      <c r="A4924" s="9" t="s">
        <v>5223</v>
      </c>
      <c r="B4924" s="9" t="s">
        <v>5220</v>
      </c>
      <c r="C4924" s="9" t="s">
        <v>5221</v>
      </c>
      <c r="D4924" s="9" t="s">
        <v>4731</v>
      </c>
      <c r="E4924" s="9" t="s">
        <v>1660</v>
      </c>
      <c r="F4924" s="9" t="s">
        <v>203</v>
      </c>
      <c r="G4924" s="9" t="s">
        <v>198</v>
      </c>
      <c r="H4924" s="9" t="n">
        <v>1200</v>
      </c>
      <c r="I4924" s="29" t="n">
        <v>2</v>
      </c>
      <c r="J4924" s="9" t="n">
        <v>1</v>
      </c>
      <c r="K4924" s="30"/>
      <c r="L4924" s="30"/>
      <c r="M4924" s="30"/>
      <c r="N4924" s="30"/>
      <c r="O4924" s="30"/>
      <c r="P4924" s="30"/>
      <c r="Q4924" s="30"/>
      <c r="R4924" s="30"/>
      <c r="S4924" s="30"/>
      <c r="T4924" s="30"/>
      <c r="U4924" s="21" t="str">
        <f aca="false">IF(COUNT(K4924:T4924)=0,"SOURCE EMPTY / INDUSTRIAL ONLY",IF(MIN(K4924:T4924)=1,"SERVICE READY","HOLD"))</f>
        <v>SOURCE EMPTY / INDUSTRIAL ONLY</v>
      </c>
      <c r="V4924" s="9" t="n">
        <f aca="false">IF(U4924="SERVICE READY",1,0)</f>
        <v>0</v>
      </c>
      <c r="W4924" s="6"/>
      <c r="X4924" s="6"/>
      <c r="Y4924" s="6"/>
      <c r="Z4924" s="6"/>
    </row>
    <row r="4925" customFormat="false" ht="15" hidden="false" customHeight="false" outlineLevel="0" collapsed="false">
      <c r="A4925" s="9" t="s">
        <v>5224</v>
      </c>
      <c r="B4925" s="9" t="s">
        <v>5220</v>
      </c>
      <c r="C4925" s="9" t="s">
        <v>5221</v>
      </c>
      <c r="D4925" s="9" t="s">
        <v>4731</v>
      </c>
      <c r="E4925" s="9" t="s">
        <v>1660</v>
      </c>
      <c r="F4925" s="9" t="s">
        <v>205</v>
      </c>
      <c r="G4925" s="9" t="s">
        <v>201</v>
      </c>
      <c r="H4925" s="9" t="n">
        <v>1200</v>
      </c>
      <c r="I4925" s="29" t="n">
        <v>2</v>
      </c>
      <c r="J4925" s="9" t="n">
        <v>1</v>
      </c>
      <c r="K4925" s="30"/>
      <c r="L4925" s="30"/>
      <c r="M4925" s="30"/>
      <c r="N4925" s="30"/>
      <c r="O4925" s="30"/>
      <c r="P4925" s="30"/>
      <c r="Q4925" s="30"/>
      <c r="R4925" s="30"/>
      <c r="S4925" s="30"/>
      <c r="T4925" s="30"/>
      <c r="U4925" s="21" t="str">
        <f aca="false">IF(COUNT(K4925:T4925)=0,"SOURCE EMPTY / INDUSTRIAL ONLY",IF(MIN(K4925:T4925)=1,"SERVICE READY","HOLD"))</f>
        <v>SOURCE EMPTY / INDUSTRIAL ONLY</v>
      </c>
      <c r="V4925" s="9" t="n">
        <f aca="false">IF(U4925="SERVICE READY",1,0)</f>
        <v>0</v>
      </c>
      <c r="W4925" s="6"/>
      <c r="X4925" s="6"/>
      <c r="Y4925" s="6"/>
      <c r="Z4925" s="6"/>
    </row>
    <row r="4926" customFormat="false" ht="15" hidden="false" customHeight="false" outlineLevel="0" collapsed="false">
      <c r="A4926" s="9" t="s">
        <v>5225</v>
      </c>
      <c r="B4926" s="9" t="s">
        <v>5220</v>
      </c>
      <c r="C4926" s="9" t="s">
        <v>5221</v>
      </c>
      <c r="D4926" s="9" t="s">
        <v>4731</v>
      </c>
      <c r="E4926" s="9" t="s">
        <v>1660</v>
      </c>
      <c r="F4926" s="9" t="s">
        <v>207</v>
      </c>
      <c r="G4926" s="9" t="s">
        <v>198</v>
      </c>
      <c r="H4926" s="9" t="n">
        <v>1200</v>
      </c>
      <c r="I4926" s="29" t="n">
        <v>2</v>
      </c>
      <c r="J4926" s="9" t="n">
        <v>1</v>
      </c>
      <c r="K4926" s="30"/>
      <c r="L4926" s="30"/>
      <c r="M4926" s="30"/>
      <c r="N4926" s="30"/>
      <c r="O4926" s="30"/>
      <c r="P4926" s="30"/>
      <c r="Q4926" s="30"/>
      <c r="R4926" s="30"/>
      <c r="S4926" s="30"/>
      <c r="T4926" s="30"/>
      <c r="U4926" s="21" t="str">
        <f aca="false">IF(COUNT(K4926:T4926)=0,"SOURCE EMPTY / INDUSTRIAL ONLY",IF(MIN(K4926:T4926)=1,"SERVICE READY","HOLD"))</f>
        <v>SOURCE EMPTY / INDUSTRIAL ONLY</v>
      </c>
      <c r="V4926" s="9" t="n">
        <f aca="false">IF(U4926="SERVICE READY",1,0)</f>
        <v>0</v>
      </c>
      <c r="W4926" s="6"/>
      <c r="X4926" s="6"/>
      <c r="Y4926" s="6"/>
      <c r="Z4926" s="6"/>
    </row>
    <row r="4927" customFormat="false" ht="15" hidden="false" customHeight="false" outlineLevel="0" collapsed="false">
      <c r="A4927" s="9" t="s">
        <v>5226</v>
      </c>
      <c r="B4927" s="9" t="s">
        <v>5220</v>
      </c>
      <c r="C4927" s="9" t="s">
        <v>5221</v>
      </c>
      <c r="D4927" s="9" t="s">
        <v>4731</v>
      </c>
      <c r="E4927" s="9" t="s">
        <v>1660</v>
      </c>
      <c r="F4927" s="9" t="s">
        <v>209</v>
      </c>
      <c r="G4927" s="9" t="s">
        <v>201</v>
      </c>
      <c r="H4927" s="9" t="n">
        <v>1200</v>
      </c>
      <c r="I4927" s="29" t="n">
        <v>2</v>
      </c>
      <c r="J4927" s="9" t="n">
        <v>1</v>
      </c>
      <c r="K4927" s="30"/>
      <c r="L4927" s="30"/>
      <c r="M4927" s="30"/>
      <c r="N4927" s="30"/>
      <c r="O4927" s="30"/>
      <c r="P4927" s="30"/>
      <c r="Q4927" s="30"/>
      <c r="R4927" s="30"/>
      <c r="S4927" s="30"/>
      <c r="T4927" s="30"/>
      <c r="U4927" s="21" t="str">
        <f aca="false">IF(COUNT(K4927:T4927)=0,"SOURCE EMPTY / INDUSTRIAL ONLY",IF(MIN(K4927:T4927)=1,"SERVICE READY","HOLD"))</f>
        <v>SOURCE EMPTY / INDUSTRIAL ONLY</v>
      </c>
      <c r="V4927" s="9" t="n">
        <f aca="false">IF(U4927="SERVICE READY",1,0)</f>
        <v>0</v>
      </c>
      <c r="W4927" s="6"/>
      <c r="X4927" s="6"/>
      <c r="Y4927" s="6"/>
      <c r="Z4927" s="6"/>
    </row>
    <row r="4928" customFormat="false" ht="15" hidden="false" customHeight="false" outlineLevel="0" collapsed="false">
      <c r="A4928" s="9" t="s">
        <v>5227</v>
      </c>
      <c r="B4928" s="9" t="s">
        <v>5220</v>
      </c>
      <c r="C4928" s="9" t="s">
        <v>5221</v>
      </c>
      <c r="D4928" s="9" t="s">
        <v>4731</v>
      </c>
      <c r="E4928" s="9" t="s">
        <v>1660</v>
      </c>
      <c r="F4928" s="9" t="s">
        <v>211</v>
      </c>
      <c r="G4928" s="9" t="s">
        <v>198</v>
      </c>
      <c r="H4928" s="9" t="n">
        <v>1200</v>
      </c>
      <c r="I4928" s="29" t="n">
        <v>2</v>
      </c>
      <c r="J4928" s="9" t="n">
        <v>1</v>
      </c>
      <c r="K4928" s="30"/>
      <c r="L4928" s="30"/>
      <c r="M4928" s="30"/>
      <c r="N4928" s="30"/>
      <c r="O4928" s="30"/>
      <c r="P4928" s="30"/>
      <c r="Q4928" s="30"/>
      <c r="R4928" s="30"/>
      <c r="S4928" s="30"/>
      <c r="T4928" s="30"/>
      <c r="U4928" s="21" t="str">
        <f aca="false">IF(COUNT(K4928:T4928)=0,"SOURCE EMPTY / INDUSTRIAL ONLY",IF(MIN(K4928:T4928)=1,"SERVICE READY","HOLD"))</f>
        <v>SOURCE EMPTY / INDUSTRIAL ONLY</v>
      </c>
      <c r="V4928" s="9" t="n">
        <f aca="false">IF(U4928="SERVICE READY",1,0)</f>
        <v>0</v>
      </c>
      <c r="W4928" s="6"/>
      <c r="X4928" s="6"/>
      <c r="Y4928" s="6"/>
      <c r="Z4928" s="6"/>
    </row>
    <row r="4929" customFormat="false" ht="15" hidden="false" customHeight="false" outlineLevel="0" collapsed="false">
      <c r="A4929" s="9" t="s">
        <v>5228</v>
      </c>
      <c r="B4929" s="9" t="s">
        <v>5220</v>
      </c>
      <c r="C4929" s="9" t="s">
        <v>5221</v>
      </c>
      <c r="D4929" s="9" t="s">
        <v>4731</v>
      </c>
      <c r="E4929" s="9" t="s">
        <v>1660</v>
      </c>
      <c r="F4929" s="9" t="s">
        <v>197</v>
      </c>
      <c r="G4929" s="9" t="s">
        <v>201</v>
      </c>
      <c r="H4929" s="9" t="n">
        <v>1200</v>
      </c>
      <c r="I4929" s="29" t="n">
        <v>2</v>
      </c>
      <c r="J4929" s="9" t="n">
        <v>1</v>
      </c>
      <c r="K4929" s="30"/>
      <c r="L4929" s="30"/>
      <c r="M4929" s="30"/>
      <c r="N4929" s="30"/>
      <c r="O4929" s="30"/>
      <c r="P4929" s="30"/>
      <c r="Q4929" s="30"/>
      <c r="R4929" s="30"/>
      <c r="S4929" s="30"/>
      <c r="T4929" s="30"/>
      <c r="U4929" s="21" t="str">
        <f aca="false">IF(COUNT(K4929:T4929)=0,"SOURCE EMPTY / INDUSTRIAL ONLY",IF(MIN(K4929:T4929)=1,"SERVICE READY","HOLD"))</f>
        <v>SOURCE EMPTY / INDUSTRIAL ONLY</v>
      </c>
      <c r="V4929" s="9" t="n">
        <f aca="false">IF(U4929="SERVICE READY",1,0)</f>
        <v>0</v>
      </c>
      <c r="W4929" s="6"/>
      <c r="X4929" s="6"/>
      <c r="Y4929" s="6"/>
      <c r="Z4929" s="6"/>
    </row>
    <row r="4930" customFormat="false" ht="15" hidden="false" customHeight="false" outlineLevel="0" collapsed="false">
      <c r="A4930" s="9" t="s">
        <v>5229</v>
      </c>
      <c r="B4930" s="9" t="s">
        <v>5220</v>
      </c>
      <c r="C4930" s="9" t="s">
        <v>5221</v>
      </c>
      <c r="D4930" s="9" t="s">
        <v>4731</v>
      </c>
      <c r="E4930" s="9" t="s">
        <v>1660</v>
      </c>
      <c r="F4930" s="9" t="s">
        <v>200</v>
      </c>
      <c r="G4930" s="9" t="s">
        <v>198</v>
      </c>
      <c r="H4930" s="9" t="n">
        <v>1200</v>
      </c>
      <c r="I4930" s="29" t="n">
        <v>2</v>
      </c>
      <c r="J4930" s="9" t="n">
        <v>1</v>
      </c>
      <c r="K4930" s="30"/>
      <c r="L4930" s="30"/>
      <c r="M4930" s="30"/>
      <c r="N4930" s="30"/>
      <c r="O4930" s="30"/>
      <c r="P4930" s="30"/>
      <c r="Q4930" s="30"/>
      <c r="R4930" s="30"/>
      <c r="S4930" s="30"/>
      <c r="T4930" s="30"/>
      <c r="U4930" s="21" t="str">
        <f aca="false">IF(COUNT(K4930:T4930)=0,"SOURCE EMPTY / INDUSTRIAL ONLY",IF(MIN(K4930:T4930)=1,"SERVICE READY","HOLD"))</f>
        <v>SOURCE EMPTY / INDUSTRIAL ONLY</v>
      </c>
      <c r="V4930" s="9" t="n">
        <f aca="false">IF(U4930="SERVICE READY",1,0)</f>
        <v>0</v>
      </c>
      <c r="W4930" s="6"/>
      <c r="X4930" s="6"/>
      <c r="Y4930" s="6"/>
      <c r="Z4930" s="6"/>
    </row>
    <row r="4931" customFormat="false" ht="15" hidden="false" customHeight="false" outlineLevel="0" collapsed="false">
      <c r="A4931" s="9" t="s">
        <v>5230</v>
      </c>
      <c r="B4931" s="9" t="s">
        <v>5220</v>
      </c>
      <c r="C4931" s="9" t="s">
        <v>5221</v>
      </c>
      <c r="D4931" s="9" t="s">
        <v>4731</v>
      </c>
      <c r="E4931" s="9" t="s">
        <v>1660</v>
      </c>
      <c r="F4931" s="9" t="s">
        <v>203</v>
      </c>
      <c r="G4931" s="9" t="s">
        <v>201</v>
      </c>
      <c r="H4931" s="9" t="n">
        <v>1200</v>
      </c>
      <c r="I4931" s="29" t="n">
        <v>2</v>
      </c>
      <c r="J4931" s="9" t="n">
        <v>1</v>
      </c>
      <c r="K4931" s="30"/>
      <c r="L4931" s="30"/>
      <c r="M4931" s="30"/>
      <c r="N4931" s="30"/>
      <c r="O4931" s="30"/>
      <c r="P4931" s="30"/>
      <c r="Q4931" s="30"/>
      <c r="R4931" s="30"/>
      <c r="S4931" s="30"/>
      <c r="T4931" s="30"/>
      <c r="U4931" s="21" t="str">
        <f aca="false">IF(COUNT(K4931:T4931)=0,"SOURCE EMPTY / INDUSTRIAL ONLY",IF(MIN(K4931:T4931)=1,"SERVICE READY","HOLD"))</f>
        <v>SOURCE EMPTY / INDUSTRIAL ONLY</v>
      </c>
      <c r="V4931" s="9" t="n">
        <f aca="false">IF(U4931="SERVICE READY",1,0)</f>
        <v>0</v>
      </c>
      <c r="W4931" s="6"/>
      <c r="X4931" s="6"/>
      <c r="Y4931" s="6"/>
      <c r="Z4931" s="6"/>
    </row>
    <row r="4932" customFormat="false" ht="15" hidden="false" customHeight="false" outlineLevel="0" collapsed="false">
      <c r="A4932" s="9" t="s">
        <v>5231</v>
      </c>
      <c r="B4932" s="9" t="s">
        <v>5220</v>
      </c>
      <c r="C4932" s="9" t="s">
        <v>5221</v>
      </c>
      <c r="D4932" s="9" t="s">
        <v>4731</v>
      </c>
      <c r="E4932" s="9" t="s">
        <v>1660</v>
      </c>
      <c r="F4932" s="9" t="s">
        <v>205</v>
      </c>
      <c r="G4932" s="9" t="s">
        <v>198</v>
      </c>
      <c r="H4932" s="9" t="n">
        <v>1200</v>
      </c>
      <c r="I4932" s="29" t="n">
        <v>2</v>
      </c>
      <c r="J4932" s="9" t="n">
        <v>1</v>
      </c>
      <c r="K4932" s="30"/>
      <c r="L4932" s="30"/>
      <c r="M4932" s="30"/>
      <c r="N4932" s="30"/>
      <c r="O4932" s="30"/>
      <c r="P4932" s="30"/>
      <c r="Q4932" s="30"/>
      <c r="R4932" s="30"/>
      <c r="S4932" s="30"/>
      <c r="T4932" s="30"/>
      <c r="U4932" s="21" t="str">
        <f aca="false">IF(COUNT(K4932:T4932)=0,"SOURCE EMPTY / INDUSTRIAL ONLY",IF(MIN(K4932:T4932)=1,"SERVICE READY","HOLD"))</f>
        <v>SOURCE EMPTY / INDUSTRIAL ONLY</v>
      </c>
      <c r="V4932" s="9" t="n">
        <f aca="false">IF(U4932="SERVICE READY",1,0)</f>
        <v>0</v>
      </c>
      <c r="W4932" s="6"/>
      <c r="X4932" s="6"/>
      <c r="Y4932" s="6"/>
      <c r="Z4932" s="6"/>
    </row>
    <row r="4933" customFormat="false" ht="15" hidden="false" customHeight="false" outlineLevel="0" collapsed="false">
      <c r="A4933" s="9" t="s">
        <v>5232</v>
      </c>
      <c r="B4933" s="9" t="s">
        <v>5220</v>
      </c>
      <c r="C4933" s="9" t="s">
        <v>5221</v>
      </c>
      <c r="D4933" s="9" t="s">
        <v>4731</v>
      </c>
      <c r="E4933" s="9" t="s">
        <v>1660</v>
      </c>
      <c r="F4933" s="9" t="s">
        <v>207</v>
      </c>
      <c r="G4933" s="9" t="s">
        <v>201</v>
      </c>
      <c r="H4933" s="9" t="n">
        <v>1200</v>
      </c>
      <c r="I4933" s="29" t="n">
        <v>2</v>
      </c>
      <c r="J4933" s="9" t="n">
        <v>1</v>
      </c>
      <c r="K4933" s="30"/>
      <c r="L4933" s="30"/>
      <c r="M4933" s="30"/>
      <c r="N4933" s="30"/>
      <c r="O4933" s="30"/>
      <c r="P4933" s="30"/>
      <c r="Q4933" s="30"/>
      <c r="R4933" s="30"/>
      <c r="S4933" s="30"/>
      <c r="T4933" s="30"/>
      <c r="U4933" s="21" t="str">
        <f aca="false">IF(COUNT(K4933:T4933)=0,"SOURCE EMPTY / INDUSTRIAL ONLY",IF(MIN(K4933:T4933)=1,"SERVICE READY","HOLD"))</f>
        <v>SOURCE EMPTY / INDUSTRIAL ONLY</v>
      </c>
      <c r="V4933" s="9" t="n">
        <f aca="false">IF(U4933="SERVICE READY",1,0)</f>
        <v>0</v>
      </c>
      <c r="W4933" s="6"/>
      <c r="X4933" s="6"/>
      <c r="Y4933" s="6"/>
      <c r="Z4933" s="6"/>
    </row>
    <row r="4934" customFormat="false" ht="15" hidden="false" customHeight="false" outlineLevel="0" collapsed="false">
      <c r="A4934" s="9" t="s">
        <v>5233</v>
      </c>
      <c r="B4934" s="9" t="s">
        <v>5220</v>
      </c>
      <c r="C4934" s="9" t="s">
        <v>5221</v>
      </c>
      <c r="D4934" s="9" t="s">
        <v>4731</v>
      </c>
      <c r="E4934" s="9" t="s">
        <v>1660</v>
      </c>
      <c r="F4934" s="9" t="s">
        <v>209</v>
      </c>
      <c r="G4934" s="9" t="s">
        <v>198</v>
      </c>
      <c r="H4934" s="9" t="n">
        <v>1200</v>
      </c>
      <c r="I4934" s="29" t="n">
        <v>2</v>
      </c>
      <c r="J4934" s="9" t="n">
        <v>1</v>
      </c>
      <c r="K4934" s="30"/>
      <c r="L4934" s="30"/>
      <c r="M4934" s="30"/>
      <c r="N4934" s="30"/>
      <c r="O4934" s="30"/>
      <c r="P4934" s="30"/>
      <c r="Q4934" s="30"/>
      <c r="R4934" s="30"/>
      <c r="S4934" s="30"/>
      <c r="T4934" s="30"/>
      <c r="U4934" s="21" t="str">
        <f aca="false">IF(COUNT(K4934:T4934)=0,"SOURCE EMPTY / INDUSTRIAL ONLY",IF(MIN(K4934:T4934)=1,"SERVICE READY","HOLD"))</f>
        <v>SOURCE EMPTY / INDUSTRIAL ONLY</v>
      </c>
      <c r="V4934" s="9" t="n">
        <f aca="false">IF(U4934="SERVICE READY",1,0)</f>
        <v>0</v>
      </c>
      <c r="W4934" s="6"/>
      <c r="X4934" s="6"/>
      <c r="Y4934" s="6"/>
      <c r="Z4934" s="6"/>
    </row>
    <row r="4935" customFormat="false" ht="15" hidden="false" customHeight="false" outlineLevel="0" collapsed="false">
      <c r="A4935" s="9" t="s">
        <v>5234</v>
      </c>
      <c r="B4935" s="9" t="s">
        <v>5220</v>
      </c>
      <c r="C4935" s="9" t="s">
        <v>5221</v>
      </c>
      <c r="D4935" s="9" t="s">
        <v>4731</v>
      </c>
      <c r="E4935" s="9" t="s">
        <v>1660</v>
      </c>
      <c r="F4935" s="9" t="s">
        <v>211</v>
      </c>
      <c r="G4935" s="9" t="s">
        <v>201</v>
      </c>
      <c r="H4935" s="9" t="n">
        <v>1200</v>
      </c>
      <c r="I4935" s="29" t="n">
        <v>2</v>
      </c>
      <c r="J4935" s="9" t="n">
        <v>1</v>
      </c>
      <c r="K4935" s="30"/>
      <c r="L4935" s="30"/>
      <c r="M4935" s="30"/>
      <c r="N4935" s="30"/>
      <c r="O4935" s="30"/>
      <c r="P4935" s="30"/>
      <c r="Q4935" s="30"/>
      <c r="R4935" s="30"/>
      <c r="S4935" s="30"/>
      <c r="T4935" s="30"/>
      <c r="U4935" s="21" t="str">
        <f aca="false">IF(COUNT(K4935:T4935)=0,"SOURCE EMPTY / INDUSTRIAL ONLY",IF(MIN(K4935:T4935)=1,"SERVICE READY","HOLD"))</f>
        <v>SOURCE EMPTY / INDUSTRIAL ONLY</v>
      </c>
      <c r="V4935" s="9" t="n">
        <f aca="false">IF(U4935="SERVICE READY",1,0)</f>
        <v>0</v>
      </c>
      <c r="W4935" s="6"/>
      <c r="X4935" s="6"/>
      <c r="Y4935" s="6"/>
      <c r="Z4935" s="6"/>
    </row>
    <row r="4936" customFormat="false" ht="15" hidden="false" customHeight="false" outlineLevel="0" collapsed="false">
      <c r="A4936" s="9" t="s">
        <v>5235</v>
      </c>
      <c r="B4936" s="9" t="s">
        <v>5220</v>
      </c>
      <c r="C4936" s="9" t="s">
        <v>5221</v>
      </c>
      <c r="D4936" s="9" t="s">
        <v>4731</v>
      </c>
      <c r="E4936" s="9" t="s">
        <v>1660</v>
      </c>
      <c r="F4936" s="9" t="s">
        <v>197</v>
      </c>
      <c r="G4936" s="9" t="s">
        <v>198</v>
      </c>
      <c r="H4936" s="9" t="n">
        <v>1200</v>
      </c>
      <c r="I4936" s="29" t="n">
        <v>2</v>
      </c>
      <c r="J4936" s="9" t="n">
        <v>1</v>
      </c>
      <c r="K4936" s="30"/>
      <c r="L4936" s="30"/>
      <c r="M4936" s="30"/>
      <c r="N4936" s="30"/>
      <c r="O4936" s="30"/>
      <c r="P4936" s="30"/>
      <c r="Q4936" s="30"/>
      <c r="R4936" s="30"/>
      <c r="S4936" s="30"/>
      <c r="T4936" s="30"/>
      <c r="U4936" s="21" t="str">
        <f aca="false">IF(COUNT(K4936:T4936)=0,"SOURCE EMPTY / INDUSTRIAL ONLY",IF(MIN(K4936:T4936)=1,"SERVICE READY","HOLD"))</f>
        <v>SOURCE EMPTY / INDUSTRIAL ONLY</v>
      </c>
      <c r="V4936" s="9" t="n">
        <f aca="false">IF(U4936="SERVICE READY",1,0)</f>
        <v>0</v>
      </c>
      <c r="W4936" s="6"/>
      <c r="X4936" s="6"/>
      <c r="Y4936" s="6"/>
      <c r="Z4936" s="6"/>
    </row>
    <row r="4937" customFormat="false" ht="15" hidden="false" customHeight="false" outlineLevel="0" collapsed="false">
      <c r="A4937" s="9" t="s">
        <v>5236</v>
      </c>
      <c r="B4937" s="9" t="s">
        <v>5220</v>
      </c>
      <c r="C4937" s="9" t="s">
        <v>5221</v>
      </c>
      <c r="D4937" s="9" t="s">
        <v>4731</v>
      </c>
      <c r="E4937" s="9" t="s">
        <v>1660</v>
      </c>
      <c r="F4937" s="9" t="s">
        <v>200</v>
      </c>
      <c r="G4937" s="9" t="s">
        <v>201</v>
      </c>
      <c r="H4937" s="9" t="n">
        <v>1200</v>
      </c>
      <c r="I4937" s="29" t="n">
        <v>2</v>
      </c>
      <c r="J4937" s="9" t="n">
        <v>1</v>
      </c>
      <c r="K4937" s="30"/>
      <c r="L4937" s="30"/>
      <c r="M4937" s="30"/>
      <c r="N4937" s="30"/>
      <c r="O4937" s="30"/>
      <c r="P4937" s="30"/>
      <c r="Q4937" s="30"/>
      <c r="R4937" s="30"/>
      <c r="S4937" s="30"/>
      <c r="T4937" s="30"/>
      <c r="U4937" s="21" t="str">
        <f aca="false">IF(COUNT(K4937:T4937)=0,"SOURCE EMPTY / INDUSTRIAL ONLY",IF(MIN(K4937:T4937)=1,"SERVICE READY","HOLD"))</f>
        <v>SOURCE EMPTY / INDUSTRIAL ONLY</v>
      </c>
      <c r="V4937" s="9" t="n">
        <f aca="false">IF(U4937="SERVICE READY",1,0)</f>
        <v>0</v>
      </c>
      <c r="W4937" s="6"/>
      <c r="X4937" s="6"/>
      <c r="Y4937" s="6"/>
      <c r="Z4937" s="6"/>
    </row>
    <row r="4938" customFormat="false" ht="15" hidden="false" customHeight="false" outlineLevel="0" collapsed="false">
      <c r="A4938" s="9" t="s">
        <v>5237</v>
      </c>
      <c r="B4938" s="9" t="s">
        <v>5220</v>
      </c>
      <c r="C4938" s="9" t="s">
        <v>5221</v>
      </c>
      <c r="D4938" s="9" t="s">
        <v>4731</v>
      </c>
      <c r="E4938" s="9" t="s">
        <v>1660</v>
      </c>
      <c r="F4938" s="9" t="s">
        <v>203</v>
      </c>
      <c r="G4938" s="9" t="s">
        <v>198</v>
      </c>
      <c r="H4938" s="9" t="n">
        <v>1200</v>
      </c>
      <c r="I4938" s="29" t="n">
        <v>2</v>
      </c>
      <c r="J4938" s="9" t="n">
        <v>1</v>
      </c>
      <c r="K4938" s="30"/>
      <c r="L4938" s="30"/>
      <c r="M4938" s="30"/>
      <c r="N4938" s="30"/>
      <c r="O4938" s="30"/>
      <c r="P4938" s="30"/>
      <c r="Q4938" s="30"/>
      <c r="R4938" s="30"/>
      <c r="S4938" s="30"/>
      <c r="T4938" s="30"/>
      <c r="U4938" s="21" t="str">
        <f aca="false">IF(COUNT(K4938:T4938)=0,"SOURCE EMPTY / INDUSTRIAL ONLY",IF(MIN(K4938:T4938)=1,"SERVICE READY","HOLD"))</f>
        <v>SOURCE EMPTY / INDUSTRIAL ONLY</v>
      </c>
      <c r="V4938" s="9" t="n">
        <f aca="false">IF(U4938="SERVICE READY",1,0)</f>
        <v>0</v>
      </c>
      <c r="W4938" s="6"/>
      <c r="X4938" s="6"/>
      <c r="Y4938" s="6"/>
      <c r="Z4938" s="6"/>
    </row>
    <row r="4939" customFormat="false" ht="15" hidden="false" customHeight="false" outlineLevel="0" collapsed="false">
      <c r="A4939" s="9" t="s">
        <v>5238</v>
      </c>
      <c r="B4939" s="9" t="s">
        <v>5220</v>
      </c>
      <c r="C4939" s="9" t="s">
        <v>5221</v>
      </c>
      <c r="D4939" s="9" t="s">
        <v>4731</v>
      </c>
      <c r="E4939" s="9" t="s">
        <v>1660</v>
      </c>
      <c r="F4939" s="9" t="s">
        <v>205</v>
      </c>
      <c r="G4939" s="9" t="s">
        <v>201</v>
      </c>
      <c r="H4939" s="9" t="n">
        <v>1200</v>
      </c>
      <c r="I4939" s="29" t="n">
        <v>2</v>
      </c>
      <c r="J4939" s="9" t="n">
        <v>1</v>
      </c>
      <c r="K4939" s="30"/>
      <c r="L4939" s="30"/>
      <c r="M4939" s="30"/>
      <c r="N4939" s="30"/>
      <c r="O4939" s="30"/>
      <c r="P4939" s="30"/>
      <c r="Q4939" s="30"/>
      <c r="R4939" s="30"/>
      <c r="S4939" s="30"/>
      <c r="T4939" s="30"/>
      <c r="U4939" s="21" t="str">
        <f aca="false">IF(COUNT(K4939:T4939)=0,"SOURCE EMPTY / INDUSTRIAL ONLY",IF(MIN(K4939:T4939)=1,"SERVICE READY","HOLD"))</f>
        <v>SOURCE EMPTY / INDUSTRIAL ONLY</v>
      </c>
      <c r="V4939" s="9" t="n">
        <f aca="false">IF(U4939="SERVICE READY",1,0)</f>
        <v>0</v>
      </c>
      <c r="W4939" s="6"/>
      <c r="X4939" s="6"/>
      <c r="Y4939" s="6"/>
      <c r="Z4939" s="6"/>
    </row>
    <row r="4940" customFormat="false" ht="15" hidden="false" customHeight="false" outlineLevel="0" collapsed="false">
      <c r="A4940" s="9" t="s">
        <v>5239</v>
      </c>
      <c r="B4940" s="9" t="s">
        <v>5220</v>
      </c>
      <c r="C4940" s="9" t="s">
        <v>5221</v>
      </c>
      <c r="D4940" s="9" t="s">
        <v>4731</v>
      </c>
      <c r="E4940" s="9" t="s">
        <v>1660</v>
      </c>
      <c r="F4940" s="9" t="s">
        <v>207</v>
      </c>
      <c r="G4940" s="9" t="s">
        <v>198</v>
      </c>
      <c r="H4940" s="9" t="n">
        <v>1200</v>
      </c>
      <c r="I4940" s="29" t="n">
        <v>2</v>
      </c>
      <c r="J4940" s="9" t="n">
        <v>1</v>
      </c>
      <c r="K4940" s="30"/>
      <c r="L4940" s="30"/>
      <c r="M4940" s="30"/>
      <c r="N4940" s="30"/>
      <c r="O4940" s="30"/>
      <c r="P4940" s="30"/>
      <c r="Q4940" s="30"/>
      <c r="R4940" s="30"/>
      <c r="S4940" s="30"/>
      <c r="T4940" s="30"/>
      <c r="U4940" s="21" t="str">
        <f aca="false">IF(COUNT(K4940:T4940)=0,"SOURCE EMPTY / INDUSTRIAL ONLY",IF(MIN(K4940:T4940)=1,"SERVICE READY","HOLD"))</f>
        <v>SOURCE EMPTY / INDUSTRIAL ONLY</v>
      </c>
      <c r="V4940" s="9" t="n">
        <f aca="false">IF(U4940="SERVICE READY",1,0)</f>
        <v>0</v>
      </c>
      <c r="W4940" s="6"/>
      <c r="X4940" s="6"/>
      <c r="Y4940" s="6"/>
      <c r="Z4940" s="6"/>
    </row>
    <row r="4941" customFormat="false" ht="15" hidden="false" customHeight="false" outlineLevel="0" collapsed="false">
      <c r="A4941" s="9" t="s">
        <v>5240</v>
      </c>
      <c r="B4941" s="9" t="s">
        <v>5220</v>
      </c>
      <c r="C4941" s="9" t="s">
        <v>5221</v>
      </c>
      <c r="D4941" s="9" t="s">
        <v>4731</v>
      </c>
      <c r="E4941" s="9" t="s">
        <v>1660</v>
      </c>
      <c r="F4941" s="9" t="s">
        <v>209</v>
      </c>
      <c r="G4941" s="9" t="s">
        <v>221</v>
      </c>
      <c r="H4941" s="9" t="n">
        <v>1200</v>
      </c>
      <c r="I4941" s="29" t="n">
        <v>2</v>
      </c>
      <c r="J4941" s="9" t="n">
        <v>1</v>
      </c>
      <c r="K4941" s="30"/>
      <c r="L4941" s="30"/>
      <c r="M4941" s="30"/>
      <c r="N4941" s="30"/>
      <c r="O4941" s="30"/>
      <c r="P4941" s="30"/>
      <c r="Q4941" s="30"/>
      <c r="R4941" s="30"/>
      <c r="S4941" s="30"/>
      <c r="T4941" s="30"/>
      <c r="U4941" s="21" t="str">
        <f aca="false">IF(COUNT(K4941:T4941)=0,"SOURCE EMPTY / INDUSTRIAL ONLY",IF(MIN(K4941:T4941)=1,"SERVICE READY","HOLD"))</f>
        <v>SOURCE EMPTY / INDUSTRIAL ONLY</v>
      </c>
      <c r="V4941" s="9" t="n">
        <f aca="false">IF(U4941="SERVICE READY",1,0)</f>
        <v>0</v>
      </c>
      <c r="W4941" s="6"/>
      <c r="X4941" s="6"/>
      <c r="Y4941" s="6"/>
      <c r="Z4941" s="6"/>
    </row>
    <row r="4942" customFormat="false" ht="15" hidden="false" customHeight="false" outlineLevel="0" collapsed="false">
      <c r="A4942" s="9" t="s">
        <v>5241</v>
      </c>
      <c r="B4942" s="9" t="s">
        <v>5220</v>
      </c>
      <c r="C4942" s="9" t="s">
        <v>5221</v>
      </c>
      <c r="D4942" s="9" t="s">
        <v>4731</v>
      </c>
      <c r="E4942" s="9" t="s">
        <v>1660</v>
      </c>
      <c r="F4942" s="9" t="s">
        <v>211</v>
      </c>
      <c r="G4942" s="9" t="s">
        <v>221</v>
      </c>
      <c r="H4942" s="9" t="n">
        <v>1200</v>
      </c>
      <c r="I4942" s="29" t="n">
        <v>2</v>
      </c>
      <c r="J4942" s="9" t="n">
        <v>1</v>
      </c>
      <c r="K4942" s="30"/>
      <c r="L4942" s="30"/>
      <c r="M4942" s="30"/>
      <c r="N4942" s="30"/>
      <c r="O4942" s="30"/>
      <c r="P4942" s="30"/>
      <c r="Q4942" s="30"/>
      <c r="R4942" s="30"/>
      <c r="S4942" s="30"/>
      <c r="T4942" s="30"/>
      <c r="U4942" s="21" t="str">
        <f aca="false">IF(COUNT(K4942:T4942)=0,"SOURCE EMPTY / INDUSTRIAL ONLY",IF(MIN(K4942:T4942)=1,"SERVICE READY","HOLD"))</f>
        <v>SOURCE EMPTY / INDUSTRIAL ONLY</v>
      </c>
      <c r="V4942" s="9" t="n">
        <f aca="false">IF(U4942="SERVICE READY",1,0)</f>
        <v>0</v>
      </c>
      <c r="W4942" s="6"/>
      <c r="X4942" s="6"/>
      <c r="Y4942" s="6"/>
      <c r="Z4942" s="6"/>
    </row>
    <row r="4943" customFormat="false" ht="15" hidden="false" customHeight="false" outlineLevel="0" collapsed="false">
      <c r="A4943" s="9" t="s">
        <v>5242</v>
      </c>
      <c r="B4943" s="9" t="s">
        <v>5220</v>
      </c>
      <c r="C4943" s="9" t="s">
        <v>5221</v>
      </c>
      <c r="D4943" s="9" t="s">
        <v>4731</v>
      </c>
      <c r="E4943" s="9" t="s">
        <v>1660</v>
      </c>
      <c r="F4943" s="9" t="s">
        <v>197</v>
      </c>
      <c r="G4943" s="9" t="s">
        <v>221</v>
      </c>
      <c r="H4943" s="9" t="n">
        <v>1200</v>
      </c>
      <c r="I4943" s="29" t="n">
        <v>2</v>
      </c>
      <c r="J4943" s="9" t="n">
        <v>1</v>
      </c>
      <c r="K4943" s="30"/>
      <c r="L4943" s="30"/>
      <c r="M4943" s="30"/>
      <c r="N4943" s="30"/>
      <c r="O4943" s="30"/>
      <c r="P4943" s="30"/>
      <c r="Q4943" s="30"/>
      <c r="R4943" s="30"/>
      <c r="S4943" s="30"/>
      <c r="T4943" s="30"/>
      <c r="U4943" s="21" t="str">
        <f aca="false">IF(COUNT(K4943:T4943)=0,"SOURCE EMPTY / INDUSTRIAL ONLY",IF(MIN(K4943:T4943)=1,"SERVICE READY","HOLD"))</f>
        <v>SOURCE EMPTY / INDUSTRIAL ONLY</v>
      </c>
      <c r="V4943" s="9" t="n">
        <f aca="false">IF(U4943="SERVICE READY",1,0)</f>
        <v>0</v>
      </c>
      <c r="W4943" s="6"/>
      <c r="X4943" s="6"/>
      <c r="Y4943" s="6"/>
      <c r="Z4943" s="6"/>
    </row>
    <row r="4944" customFormat="false" ht="15" hidden="false" customHeight="false" outlineLevel="0" collapsed="false">
      <c r="A4944" s="9" t="s">
        <v>5243</v>
      </c>
      <c r="B4944" s="9" t="s">
        <v>5220</v>
      </c>
      <c r="C4944" s="9" t="s">
        <v>5221</v>
      </c>
      <c r="D4944" s="9" t="s">
        <v>4731</v>
      </c>
      <c r="E4944" s="9" t="s">
        <v>1660</v>
      </c>
      <c r="F4944" s="9" t="s">
        <v>200</v>
      </c>
      <c r="G4944" s="9" t="s">
        <v>221</v>
      </c>
      <c r="H4944" s="9" t="n">
        <v>1200</v>
      </c>
      <c r="I4944" s="29" t="n">
        <v>2</v>
      </c>
      <c r="J4944" s="9" t="n">
        <v>1</v>
      </c>
      <c r="K4944" s="30"/>
      <c r="L4944" s="30"/>
      <c r="M4944" s="30"/>
      <c r="N4944" s="30"/>
      <c r="O4944" s="30"/>
      <c r="P4944" s="30"/>
      <c r="Q4944" s="30"/>
      <c r="R4944" s="30"/>
      <c r="S4944" s="30"/>
      <c r="T4944" s="30"/>
      <c r="U4944" s="21" t="str">
        <f aca="false">IF(COUNT(K4944:T4944)=0,"SOURCE EMPTY / INDUSTRIAL ONLY",IF(MIN(K4944:T4944)=1,"SERVICE READY","HOLD"))</f>
        <v>SOURCE EMPTY / INDUSTRIAL ONLY</v>
      </c>
      <c r="V4944" s="9" t="n">
        <f aca="false">IF(U4944="SERVICE READY",1,0)</f>
        <v>0</v>
      </c>
      <c r="W4944" s="6"/>
      <c r="X4944" s="6"/>
      <c r="Y4944" s="6"/>
      <c r="Z4944" s="6"/>
    </row>
    <row r="4945" customFormat="false" ht="15" hidden="false" customHeight="false" outlineLevel="0" collapsed="false">
      <c r="A4945" s="9" t="s">
        <v>5244</v>
      </c>
      <c r="B4945" s="9" t="s">
        <v>5220</v>
      </c>
      <c r="C4945" s="9" t="s">
        <v>5221</v>
      </c>
      <c r="D4945" s="9" t="s">
        <v>4731</v>
      </c>
      <c r="E4945" s="9" t="s">
        <v>1660</v>
      </c>
      <c r="F4945" s="9" t="s">
        <v>203</v>
      </c>
      <c r="G4945" s="9" t="s">
        <v>221</v>
      </c>
      <c r="H4945" s="9" t="n">
        <v>1200</v>
      </c>
      <c r="I4945" s="29" t="n">
        <v>2</v>
      </c>
      <c r="J4945" s="9" t="n">
        <v>1</v>
      </c>
      <c r="K4945" s="30"/>
      <c r="L4945" s="30"/>
      <c r="M4945" s="30"/>
      <c r="N4945" s="30"/>
      <c r="O4945" s="30"/>
      <c r="P4945" s="30"/>
      <c r="Q4945" s="30"/>
      <c r="R4945" s="30"/>
      <c r="S4945" s="30"/>
      <c r="T4945" s="30"/>
      <c r="U4945" s="21" t="str">
        <f aca="false">IF(COUNT(K4945:T4945)=0,"SOURCE EMPTY / INDUSTRIAL ONLY",IF(MIN(K4945:T4945)=1,"SERVICE READY","HOLD"))</f>
        <v>SOURCE EMPTY / INDUSTRIAL ONLY</v>
      </c>
      <c r="V4945" s="9" t="n">
        <f aca="false">IF(U4945="SERVICE READY",1,0)</f>
        <v>0</v>
      </c>
      <c r="W4945" s="6"/>
      <c r="X4945" s="6"/>
      <c r="Y4945" s="6"/>
      <c r="Z4945" s="6"/>
    </row>
    <row r="4946" customFormat="false" ht="15" hidden="false" customHeight="false" outlineLevel="0" collapsed="false">
      <c r="A4946" s="9" t="s">
        <v>5245</v>
      </c>
      <c r="B4946" s="9" t="s">
        <v>5220</v>
      </c>
      <c r="C4946" s="9" t="s">
        <v>5221</v>
      </c>
      <c r="D4946" s="9" t="s">
        <v>4731</v>
      </c>
      <c r="E4946" s="9" t="s">
        <v>1660</v>
      </c>
      <c r="F4946" s="9" t="s">
        <v>205</v>
      </c>
      <c r="G4946" s="9" t="s">
        <v>221</v>
      </c>
      <c r="H4946" s="9" t="n">
        <v>1200</v>
      </c>
      <c r="I4946" s="29" t="n">
        <v>2</v>
      </c>
      <c r="J4946" s="9" t="n">
        <v>1</v>
      </c>
      <c r="K4946" s="30"/>
      <c r="L4946" s="30"/>
      <c r="M4946" s="30"/>
      <c r="N4946" s="30"/>
      <c r="O4946" s="30"/>
      <c r="P4946" s="30"/>
      <c r="Q4946" s="30"/>
      <c r="R4946" s="30"/>
      <c r="S4946" s="30"/>
      <c r="T4946" s="30"/>
      <c r="U4946" s="21" t="str">
        <f aca="false">IF(COUNT(K4946:T4946)=0,"SOURCE EMPTY / INDUSTRIAL ONLY",IF(MIN(K4946:T4946)=1,"SERVICE READY","HOLD"))</f>
        <v>SOURCE EMPTY / INDUSTRIAL ONLY</v>
      </c>
      <c r="V4946" s="9" t="n">
        <f aca="false">IF(U4946="SERVICE READY",1,0)</f>
        <v>0</v>
      </c>
      <c r="W4946" s="6"/>
      <c r="X4946" s="6"/>
      <c r="Y4946" s="6"/>
      <c r="Z4946" s="6"/>
    </row>
    <row r="4947" customFormat="false" ht="15" hidden="false" customHeight="false" outlineLevel="0" collapsed="false">
      <c r="A4947" s="9" t="s">
        <v>5246</v>
      </c>
      <c r="B4947" s="9" t="s">
        <v>5220</v>
      </c>
      <c r="C4947" s="9" t="s">
        <v>5221</v>
      </c>
      <c r="D4947" s="9" t="s">
        <v>4731</v>
      </c>
      <c r="E4947" s="9" t="s">
        <v>1660</v>
      </c>
      <c r="F4947" s="9" t="s">
        <v>207</v>
      </c>
      <c r="G4947" s="9" t="s">
        <v>221</v>
      </c>
      <c r="H4947" s="9" t="n">
        <v>1200</v>
      </c>
      <c r="I4947" s="29" t="n">
        <v>2</v>
      </c>
      <c r="J4947" s="9" t="n">
        <v>1</v>
      </c>
      <c r="K4947" s="30"/>
      <c r="L4947" s="30"/>
      <c r="M4947" s="30"/>
      <c r="N4947" s="30"/>
      <c r="O4947" s="30"/>
      <c r="P4947" s="30"/>
      <c r="Q4947" s="30"/>
      <c r="R4947" s="30"/>
      <c r="S4947" s="30"/>
      <c r="T4947" s="30"/>
      <c r="U4947" s="21" t="str">
        <f aca="false">IF(COUNT(K4947:T4947)=0,"SOURCE EMPTY / INDUSTRIAL ONLY",IF(MIN(K4947:T4947)=1,"SERVICE READY","HOLD"))</f>
        <v>SOURCE EMPTY / INDUSTRIAL ONLY</v>
      </c>
      <c r="V4947" s="9" t="n">
        <f aca="false">IF(U4947="SERVICE READY",1,0)</f>
        <v>0</v>
      </c>
      <c r="W4947" s="6"/>
      <c r="X4947" s="6"/>
      <c r="Y4947" s="6"/>
      <c r="Z4947" s="6"/>
    </row>
    <row r="4948" customFormat="false" ht="15" hidden="false" customHeight="false" outlineLevel="0" collapsed="false">
      <c r="A4948" s="9" t="s">
        <v>5247</v>
      </c>
      <c r="B4948" s="9" t="s">
        <v>5220</v>
      </c>
      <c r="C4948" s="9" t="s">
        <v>5221</v>
      </c>
      <c r="D4948" s="9" t="s">
        <v>4731</v>
      </c>
      <c r="E4948" s="9" t="s">
        <v>1660</v>
      </c>
      <c r="F4948" s="9" t="s">
        <v>209</v>
      </c>
      <c r="G4948" s="9" t="s">
        <v>221</v>
      </c>
      <c r="H4948" s="9" t="n">
        <v>1200</v>
      </c>
      <c r="I4948" s="29" t="n">
        <v>2</v>
      </c>
      <c r="J4948" s="9" t="n">
        <v>1</v>
      </c>
      <c r="K4948" s="30"/>
      <c r="L4948" s="30"/>
      <c r="M4948" s="30"/>
      <c r="N4948" s="30"/>
      <c r="O4948" s="30"/>
      <c r="P4948" s="30"/>
      <c r="Q4948" s="30"/>
      <c r="R4948" s="30"/>
      <c r="S4948" s="30"/>
      <c r="T4948" s="30"/>
      <c r="U4948" s="21" t="str">
        <f aca="false">IF(COUNT(K4948:T4948)=0,"SOURCE EMPTY / INDUSTRIAL ONLY",IF(MIN(K4948:T4948)=1,"SERVICE READY","HOLD"))</f>
        <v>SOURCE EMPTY / INDUSTRIAL ONLY</v>
      </c>
      <c r="V4948" s="9" t="n">
        <f aca="false">IF(U4948="SERVICE READY",1,0)</f>
        <v>0</v>
      </c>
      <c r="W4948" s="6"/>
      <c r="X4948" s="6"/>
      <c r="Y4948" s="6"/>
      <c r="Z4948" s="6"/>
    </row>
    <row r="4949" customFormat="false" ht="15" hidden="false" customHeight="false" outlineLevel="0" collapsed="false">
      <c r="A4949" s="9" t="s">
        <v>5248</v>
      </c>
      <c r="B4949" s="9" t="s">
        <v>5220</v>
      </c>
      <c r="C4949" s="9" t="s">
        <v>5221</v>
      </c>
      <c r="D4949" s="9" t="s">
        <v>4731</v>
      </c>
      <c r="E4949" s="9" t="s">
        <v>1660</v>
      </c>
      <c r="F4949" s="9" t="s">
        <v>211</v>
      </c>
      <c r="G4949" s="9" t="s">
        <v>221</v>
      </c>
      <c r="H4949" s="9" t="n">
        <v>1200</v>
      </c>
      <c r="I4949" s="29" t="n">
        <v>2</v>
      </c>
      <c r="J4949" s="9" t="n">
        <v>1</v>
      </c>
      <c r="K4949" s="30"/>
      <c r="L4949" s="30"/>
      <c r="M4949" s="30"/>
      <c r="N4949" s="30"/>
      <c r="O4949" s="30"/>
      <c r="P4949" s="30"/>
      <c r="Q4949" s="30"/>
      <c r="R4949" s="30"/>
      <c r="S4949" s="30"/>
      <c r="T4949" s="30"/>
      <c r="U4949" s="21" t="str">
        <f aca="false">IF(COUNT(K4949:T4949)=0,"SOURCE EMPTY / INDUSTRIAL ONLY",IF(MIN(K4949:T4949)=1,"SERVICE READY","HOLD"))</f>
        <v>SOURCE EMPTY / INDUSTRIAL ONLY</v>
      </c>
      <c r="V4949" s="9" t="n">
        <f aca="false">IF(U4949="SERVICE READY",1,0)</f>
        <v>0</v>
      </c>
      <c r="W4949" s="6"/>
      <c r="X4949" s="6"/>
      <c r="Y4949" s="6"/>
      <c r="Z4949" s="6"/>
    </row>
    <row r="4950" customFormat="false" ht="15" hidden="false" customHeight="false" outlineLevel="0" collapsed="false">
      <c r="A4950" s="9" t="s">
        <v>5249</v>
      </c>
      <c r="B4950" s="9" t="s">
        <v>5220</v>
      </c>
      <c r="C4950" s="9" t="s">
        <v>5221</v>
      </c>
      <c r="D4950" s="9" t="s">
        <v>4731</v>
      </c>
      <c r="E4950" s="9" t="s">
        <v>1660</v>
      </c>
      <c r="F4950" s="9" t="s">
        <v>197</v>
      </c>
      <c r="G4950" s="9" t="s">
        <v>221</v>
      </c>
      <c r="H4950" s="9" t="n">
        <v>1200</v>
      </c>
      <c r="I4950" s="29" t="n">
        <v>2</v>
      </c>
      <c r="J4950" s="9" t="n">
        <v>1</v>
      </c>
      <c r="K4950" s="30"/>
      <c r="L4950" s="30"/>
      <c r="M4950" s="30"/>
      <c r="N4950" s="30"/>
      <c r="O4950" s="30"/>
      <c r="P4950" s="30"/>
      <c r="Q4950" s="30"/>
      <c r="R4950" s="30"/>
      <c r="S4950" s="30"/>
      <c r="T4950" s="30"/>
      <c r="U4950" s="21" t="str">
        <f aca="false">IF(COUNT(K4950:T4950)=0,"SOURCE EMPTY / INDUSTRIAL ONLY",IF(MIN(K4950:T4950)=1,"SERVICE READY","HOLD"))</f>
        <v>SOURCE EMPTY / INDUSTRIAL ONLY</v>
      </c>
      <c r="V4950" s="9" t="n">
        <f aca="false">IF(U4950="SERVICE READY",1,0)</f>
        <v>0</v>
      </c>
      <c r="W4950" s="6"/>
      <c r="X4950" s="6"/>
      <c r="Y4950" s="6"/>
      <c r="Z4950" s="6"/>
    </row>
    <row r="4951" customFormat="false" ht="15" hidden="false" customHeight="false" outlineLevel="0" collapsed="false">
      <c r="A4951" s="9" t="s">
        <v>5250</v>
      </c>
      <c r="B4951" s="9" t="s">
        <v>5220</v>
      </c>
      <c r="C4951" s="9" t="s">
        <v>5221</v>
      </c>
      <c r="D4951" s="9" t="s">
        <v>4731</v>
      </c>
      <c r="E4951" s="9" t="s">
        <v>1660</v>
      </c>
      <c r="F4951" s="9" t="s">
        <v>200</v>
      </c>
      <c r="G4951" s="9" t="s">
        <v>221</v>
      </c>
      <c r="H4951" s="9" t="n">
        <v>1200</v>
      </c>
      <c r="I4951" s="29" t="n">
        <v>2</v>
      </c>
      <c r="J4951" s="9" t="n">
        <v>1</v>
      </c>
      <c r="K4951" s="30"/>
      <c r="L4951" s="30"/>
      <c r="M4951" s="30"/>
      <c r="N4951" s="30"/>
      <c r="O4951" s="30"/>
      <c r="P4951" s="30"/>
      <c r="Q4951" s="30"/>
      <c r="R4951" s="30"/>
      <c r="S4951" s="30"/>
      <c r="T4951" s="30"/>
      <c r="U4951" s="21" t="str">
        <f aca="false">IF(COUNT(K4951:T4951)=0,"SOURCE EMPTY / INDUSTRIAL ONLY",IF(MIN(K4951:T4951)=1,"SERVICE READY","HOLD"))</f>
        <v>SOURCE EMPTY / INDUSTRIAL ONLY</v>
      </c>
      <c r="V4951" s="9" t="n">
        <f aca="false">IF(U4951="SERVICE READY",1,0)</f>
        <v>0</v>
      </c>
      <c r="W4951" s="6"/>
      <c r="X4951" s="6"/>
      <c r="Y4951" s="6"/>
      <c r="Z4951" s="6"/>
    </row>
    <row r="4952" customFormat="false" ht="15" hidden="false" customHeight="false" outlineLevel="0" collapsed="false">
      <c r="A4952" s="9" t="s">
        <v>5251</v>
      </c>
      <c r="B4952" s="9" t="s">
        <v>5220</v>
      </c>
      <c r="C4952" s="9" t="s">
        <v>5221</v>
      </c>
      <c r="D4952" s="9" t="s">
        <v>4731</v>
      </c>
      <c r="E4952" s="9" t="s">
        <v>1660</v>
      </c>
      <c r="F4952" s="9" t="s">
        <v>203</v>
      </c>
      <c r="G4952" s="9" t="s">
        <v>221</v>
      </c>
      <c r="H4952" s="9" t="n">
        <v>1200</v>
      </c>
      <c r="I4952" s="29" t="n">
        <v>2</v>
      </c>
      <c r="J4952" s="9" t="n">
        <v>1</v>
      </c>
      <c r="K4952" s="30"/>
      <c r="L4952" s="30"/>
      <c r="M4952" s="30"/>
      <c r="N4952" s="30"/>
      <c r="O4952" s="30"/>
      <c r="P4952" s="30"/>
      <c r="Q4952" s="30"/>
      <c r="R4952" s="30"/>
      <c r="S4952" s="30"/>
      <c r="T4952" s="30"/>
      <c r="U4952" s="21" t="str">
        <f aca="false">IF(COUNT(K4952:T4952)=0,"SOURCE EMPTY / INDUSTRIAL ONLY",IF(MIN(K4952:T4952)=1,"SERVICE READY","HOLD"))</f>
        <v>SOURCE EMPTY / INDUSTRIAL ONLY</v>
      </c>
      <c r="V4952" s="9" t="n">
        <f aca="false">IF(U4952="SERVICE READY",1,0)</f>
        <v>0</v>
      </c>
      <c r="W4952" s="6"/>
      <c r="X4952" s="6"/>
      <c r="Y4952" s="6"/>
      <c r="Z4952" s="6"/>
    </row>
    <row r="4953" customFormat="false" ht="15" hidden="false" customHeight="false" outlineLevel="0" collapsed="false">
      <c r="A4953" s="9" t="s">
        <v>5252</v>
      </c>
      <c r="B4953" s="9" t="s">
        <v>5220</v>
      </c>
      <c r="C4953" s="9" t="s">
        <v>5221</v>
      </c>
      <c r="D4953" s="9" t="s">
        <v>4731</v>
      </c>
      <c r="E4953" s="9" t="s">
        <v>1660</v>
      </c>
      <c r="F4953" s="9" t="s">
        <v>205</v>
      </c>
      <c r="G4953" s="9" t="s">
        <v>221</v>
      </c>
      <c r="H4953" s="9" t="n">
        <v>1200</v>
      </c>
      <c r="I4953" s="29" t="n">
        <v>2</v>
      </c>
      <c r="J4953" s="9" t="n">
        <v>1</v>
      </c>
      <c r="K4953" s="30"/>
      <c r="L4953" s="30"/>
      <c r="M4953" s="30"/>
      <c r="N4953" s="30"/>
      <c r="O4953" s="30"/>
      <c r="P4953" s="30"/>
      <c r="Q4953" s="30"/>
      <c r="R4953" s="30"/>
      <c r="S4953" s="30"/>
      <c r="T4953" s="30"/>
      <c r="U4953" s="21" t="str">
        <f aca="false">IF(COUNT(K4953:T4953)=0,"SOURCE EMPTY / INDUSTRIAL ONLY",IF(MIN(K4953:T4953)=1,"SERVICE READY","HOLD"))</f>
        <v>SOURCE EMPTY / INDUSTRIAL ONLY</v>
      </c>
      <c r="V4953" s="9" t="n">
        <f aca="false">IF(U4953="SERVICE READY",1,0)</f>
        <v>0</v>
      </c>
      <c r="W4953" s="6"/>
      <c r="X4953" s="6"/>
      <c r="Y4953" s="6"/>
      <c r="Z4953" s="6"/>
    </row>
    <row r="4954" customFormat="false" ht="15" hidden="false" customHeight="false" outlineLevel="0" collapsed="false">
      <c r="A4954" s="9" t="s">
        <v>5253</v>
      </c>
      <c r="B4954" s="9" t="s">
        <v>5220</v>
      </c>
      <c r="C4954" s="9" t="s">
        <v>5221</v>
      </c>
      <c r="D4954" s="9" t="s">
        <v>4731</v>
      </c>
      <c r="E4954" s="9" t="s">
        <v>1660</v>
      </c>
      <c r="F4954" s="9" t="s">
        <v>207</v>
      </c>
      <c r="G4954" s="9" t="s">
        <v>221</v>
      </c>
      <c r="H4954" s="9" t="n">
        <v>1200</v>
      </c>
      <c r="I4954" s="29" t="n">
        <v>2</v>
      </c>
      <c r="J4954" s="9" t="n">
        <v>1</v>
      </c>
      <c r="K4954" s="30"/>
      <c r="L4954" s="30"/>
      <c r="M4954" s="30"/>
      <c r="N4954" s="30"/>
      <c r="O4954" s="30"/>
      <c r="P4954" s="30"/>
      <c r="Q4954" s="30"/>
      <c r="R4954" s="30"/>
      <c r="S4954" s="30"/>
      <c r="T4954" s="30"/>
      <c r="U4954" s="21" t="str">
        <f aca="false">IF(COUNT(K4954:T4954)=0,"SOURCE EMPTY / INDUSTRIAL ONLY",IF(MIN(K4954:T4954)=1,"SERVICE READY","HOLD"))</f>
        <v>SOURCE EMPTY / INDUSTRIAL ONLY</v>
      </c>
      <c r="V4954" s="9" t="n">
        <f aca="false">IF(U4954="SERVICE READY",1,0)</f>
        <v>0</v>
      </c>
      <c r="W4954" s="6"/>
      <c r="X4954" s="6"/>
      <c r="Y4954" s="6"/>
      <c r="Z4954" s="6"/>
    </row>
    <row r="4955" customFormat="false" ht="15" hidden="false" customHeight="false" outlineLevel="0" collapsed="false">
      <c r="A4955" s="9" t="s">
        <v>5254</v>
      </c>
      <c r="B4955" s="9" t="s">
        <v>5220</v>
      </c>
      <c r="C4955" s="9" t="s">
        <v>5221</v>
      </c>
      <c r="D4955" s="9" t="s">
        <v>4731</v>
      </c>
      <c r="E4955" s="9" t="s">
        <v>1660</v>
      </c>
      <c r="F4955" s="9" t="s">
        <v>209</v>
      </c>
      <c r="G4955" s="9" t="s">
        <v>221</v>
      </c>
      <c r="H4955" s="9" t="n">
        <v>1200</v>
      </c>
      <c r="I4955" s="29" t="n">
        <v>2</v>
      </c>
      <c r="J4955" s="9" t="n">
        <v>1</v>
      </c>
      <c r="K4955" s="30"/>
      <c r="L4955" s="30"/>
      <c r="M4955" s="30"/>
      <c r="N4955" s="30"/>
      <c r="O4955" s="30"/>
      <c r="P4955" s="30"/>
      <c r="Q4955" s="30"/>
      <c r="R4955" s="30"/>
      <c r="S4955" s="30"/>
      <c r="T4955" s="30"/>
      <c r="U4955" s="21" t="str">
        <f aca="false">IF(COUNT(K4955:T4955)=0,"SOURCE EMPTY / INDUSTRIAL ONLY",IF(MIN(K4955:T4955)=1,"SERVICE READY","HOLD"))</f>
        <v>SOURCE EMPTY / INDUSTRIAL ONLY</v>
      </c>
      <c r="V4955" s="9" t="n">
        <f aca="false">IF(U4955="SERVICE READY",1,0)</f>
        <v>0</v>
      </c>
      <c r="W4955" s="6"/>
      <c r="X4955" s="6"/>
      <c r="Y4955" s="6"/>
      <c r="Z4955" s="6"/>
    </row>
    <row r="4956" customFormat="false" ht="15" hidden="false" customHeight="false" outlineLevel="0" collapsed="false">
      <c r="A4956" s="9" t="s">
        <v>5255</v>
      </c>
      <c r="B4956" s="9" t="s">
        <v>5220</v>
      </c>
      <c r="C4956" s="9" t="s">
        <v>5221</v>
      </c>
      <c r="D4956" s="9" t="s">
        <v>4731</v>
      </c>
      <c r="E4956" s="9" t="s">
        <v>1660</v>
      </c>
      <c r="F4956" s="9" t="s">
        <v>211</v>
      </c>
      <c r="G4956" s="9" t="s">
        <v>221</v>
      </c>
      <c r="H4956" s="9" t="n">
        <v>1200</v>
      </c>
      <c r="I4956" s="29" t="n">
        <v>2</v>
      </c>
      <c r="J4956" s="9" t="n">
        <v>1</v>
      </c>
      <c r="K4956" s="30"/>
      <c r="L4956" s="30"/>
      <c r="M4956" s="30"/>
      <c r="N4956" s="30"/>
      <c r="O4956" s="30"/>
      <c r="P4956" s="30"/>
      <c r="Q4956" s="30"/>
      <c r="R4956" s="30"/>
      <c r="S4956" s="30"/>
      <c r="T4956" s="30"/>
      <c r="U4956" s="21" t="str">
        <f aca="false">IF(COUNT(K4956:T4956)=0,"SOURCE EMPTY / INDUSTRIAL ONLY",IF(MIN(K4956:T4956)=1,"SERVICE READY","HOLD"))</f>
        <v>SOURCE EMPTY / INDUSTRIAL ONLY</v>
      </c>
      <c r="V4956" s="9" t="n">
        <f aca="false">IF(U4956="SERVICE READY",1,0)</f>
        <v>0</v>
      </c>
      <c r="W4956" s="6"/>
      <c r="X4956" s="6"/>
      <c r="Y4956" s="6"/>
      <c r="Z4956" s="6"/>
    </row>
    <row r="4957" customFormat="false" ht="15" hidden="false" customHeight="false" outlineLevel="0" collapsed="false">
      <c r="A4957" s="9" t="s">
        <v>5256</v>
      </c>
      <c r="B4957" s="9" t="s">
        <v>5220</v>
      </c>
      <c r="C4957" s="9" t="s">
        <v>5221</v>
      </c>
      <c r="D4957" s="9" t="s">
        <v>4731</v>
      </c>
      <c r="E4957" s="9" t="s">
        <v>1660</v>
      </c>
      <c r="F4957" s="9" t="s">
        <v>197</v>
      </c>
      <c r="G4957" s="9" t="s">
        <v>221</v>
      </c>
      <c r="H4957" s="9" t="n">
        <v>1200</v>
      </c>
      <c r="I4957" s="29" t="n">
        <v>2</v>
      </c>
      <c r="J4957" s="9" t="n">
        <v>1</v>
      </c>
      <c r="K4957" s="30"/>
      <c r="L4957" s="30"/>
      <c r="M4957" s="30"/>
      <c r="N4957" s="30"/>
      <c r="O4957" s="30"/>
      <c r="P4957" s="30"/>
      <c r="Q4957" s="30"/>
      <c r="R4957" s="30"/>
      <c r="S4957" s="30"/>
      <c r="T4957" s="30"/>
      <c r="U4957" s="21" t="str">
        <f aca="false">IF(COUNT(K4957:T4957)=0,"SOURCE EMPTY / INDUSTRIAL ONLY",IF(MIN(K4957:T4957)=1,"SERVICE READY","HOLD"))</f>
        <v>SOURCE EMPTY / INDUSTRIAL ONLY</v>
      </c>
      <c r="V4957" s="9" t="n">
        <f aca="false">IF(U4957="SERVICE READY",1,0)</f>
        <v>0</v>
      </c>
      <c r="W4957" s="6"/>
      <c r="X4957" s="6"/>
      <c r="Y4957" s="6"/>
      <c r="Z4957" s="6"/>
    </row>
    <row r="4958" customFormat="false" ht="15" hidden="false" customHeight="false" outlineLevel="0" collapsed="false">
      <c r="A4958" s="9" t="s">
        <v>5257</v>
      </c>
      <c r="B4958" s="9" t="s">
        <v>5220</v>
      </c>
      <c r="C4958" s="9" t="s">
        <v>5221</v>
      </c>
      <c r="D4958" s="9" t="s">
        <v>4731</v>
      </c>
      <c r="E4958" s="9" t="s">
        <v>1660</v>
      </c>
      <c r="F4958" s="9" t="s">
        <v>200</v>
      </c>
      <c r="G4958" s="9" t="s">
        <v>221</v>
      </c>
      <c r="H4958" s="9" t="n">
        <v>1200</v>
      </c>
      <c r="I4958" s="29" t="n">
        <v>2</v>
      </c>
      <c r="J4958" s="9" t="n">
        <v>1</v>
      </c>
      <c r="K4958" s="30"/>
      <c r="L4958" s="30"/>
      <c r="M4958" s="30"/>
      <c r="N4958" s="30"/>
      <c r="O4958" s="30"/>
      <c r="P4958" s="30"/>
      <c r="Q4958" s="30"/>
      <c r="R4958" s="30"/>
      <c r="S4958" s="30"/>
      <c r="T4958" s="30"/>
      <c r="U4958" s="21" t="str">
        <f aca="false">IF(COUNT(K4958:T4958)=0,"SOURCE EMPTY / INDUSTRIAL ONLY",IF(MIN(K4958:T4958)=1,"SERVICE READY","HOLD"))</f>
        <v>SOURCE EMPTY / INDUSTRIAL ONLY</v>
      </c>
      <c r="V4958" s="9" t="n">
        <f aca="false">IF(U4958="SERVICE READY",1,0)</f>
        <v>0</v>
      </c>
      <c r="W4958" s="6"/>
      <c r="X4958" s="6"/>
      <c r="Y4958" s="6"/>
      <c r="Z4958" s="6"/>
    </row>
    <row r="4959" customFormat="false" ht="15" hidden="false" customHeight="false" outlineLevel="0" collapsed="false">
      <c r="A4959" s="9" t="s">
        <v>5258</v>
      </c>
      <c r="B4959" s="9" t="s">
        <v>5220</v>
      </c>
      <c r="C4959" s="9" t="s">
        <v>5221</v>
      </c>
      <c r="D4959" s="9" t="s">
        <v>4731</v>
      </c>
      <c r="E4959" s="9" t="s">
        <v>1660</v>
      </c>
      <c r="F4959" s="9" t="s">
        <v>203</v>
      </c>
      <c r="G4959" s="9" t="s">
        <v>221</v>
      </c>
      <c r="H4959" s="9" t="n">
        <v>1200</v>
      </c>
      <c r="I4959" s="29" t="n">
        <v>2</v>
      </c>
      <c r="J4959" s="9" t="n">
        <v>1</v>
      </c>
      <c r="K4959" s="30"/>
      <c r="L4959" s="30"/>
      <c r="M4959" s="30"/>
      <c r="N4959" s="30"/>
      <c r="O4959" s="30"/>
      <c r="P4959" s="30"/>
      <c r="Q4959" s="30"/>
      <c r="R4959" s="30"/>
      <c r="S4959" s="30"/>
      <c r="T4959" s="30"/>
      <c r="U4959" s="21" t="str">
        <f aca="false">IF(COUNT(K4959:T4959)=0,"SOURCE EMPTY / INDUSTRIAL ONLY",IF(MIN(K4959:T4959)=1,"SERVICE READY","HOLD"))</f>
        <v>SOURCE EMPTY / INDUSTRIAL ONLY</v>
      </c>
      <c r="V4959" s="9" t="n">
        <f aca="false">IF(U4959="SERVICE READY",1,0)</f>
        <v>0</v>
      </c>
      <c r="W4959" s="6"/>
      <c r="X4959" s="6"/>
      <c r="Y4959" s="6"/>
      <c r="Z4959" s="6"/>
    </row>
    <row r="4960" customFormat="false" ht="15" hidden="false" customHeight="false" outlineLevel="0" collapsed="false">
      <c r="A4960" s="9" t="s">
        <v>5259</v>
      </c>
      <c r="B4960" s="9" t="s">
        <v>5220</v>
      </c>
      <c r="C4960" s="9" t="s">
        <v>5221</v>
      </c>
      <c r="D4960" s="9" t="s">
        <v>4731</v>
      </c>
      <c r="E4960" s="9" t="s">
        <v>1660</v>
      </c>
      <c r="F4960" s="9" t="s">
        <v>205</v>
      </c>
      <c r="G4960" s="9" t="s">
        <v>221</v>
      </c>
      <c r="H4960" s="9" t="n">
        <v>1200</v>
      </c>
      <c r="I4960" s="29" t="n">
        <v>2</v>
      </c>
      <c r="J4960" s="9" t="n">
        <v>1</v>
      </c>
      <c r="K4960" s="30"/>
      <c r="L4960" s="30"/>
      <c r="M4960" s="30"/>
      <c r="N4960" s="30"/>
      <c r="O4960" s="30"/>
      <c r="P4960" s="30"/>
      <c r="Q4960" s="30"/>
      <c r="R4960" s="30"/>
      <c r="S4960" s="30"/>
      <c r="T4960" s="30"/>
      <c r="U4960" s="21" t="str">
        <f aca="false">IF(COUNT(K4960:T4960)=0,"SOURCE EMPTY / INDUSTRIAL ONLY",IF(MIN(K4960:T4960)=1,"SERVICE READY","HOLD"))</f>
        <v>SOURCE EMPTY / INDUSTRIAL ONLY</v>
      </c>
      <c r="V4960" s="9" t="n">
        <f aca="false">IF(U4960="SERVICE READY",1,0)</f>
        <v>0</v>
      </c>
      <c r="W4960" s="6"/>
      <c r="X4960" s="6"/>
      <c r="Y4960" s="6"/>
      <c r="Z4960" s="6"/>
    </row>
    <row r="4961" customFormat="false" ht="15" hidden="false" customHeight="false" outlineLevel="0" collapsed="false">
      <c r="A4961" s="9" t="s">
        <v>5260</v>
      </c>
      <c r="B4961" s="9" t="s">
        <v>5220</v>
      </c>
      <c r="C4961" s="9" t="s">
        <v>5221</v>
      </c>
      <c r="D4961" s="9" t="s">
        <v>4731</v>
      </c>
      <c r="E4961" s="9" t="s">
        <v>1660</v>
      </c>
      <c r="F4961" s="9" t="s">
        <v>207</v>
      </c>
      <c r="G4961" s="9" t="s">
        <v>221</v>
      </c>
      <c r="H4961" s="9" t="n">
        <v>1200</v>
      </c>
      <c r="I4961" s="29" t="n">
        <v>2</v>
      </c>
      <c r="J4961" s="9" t="n">
        <v>1</v>
      </c>
      <c r="K4961" s="30"/>
      <c r="L4961" s="30"/>
      <c r="M4961" s="30"/>
      <c r="N4961" s="30"/>
      <c r="O4961" s="30"/>
      <c r="P4961" s="30"/>
      <c r="Q4961" s="30"/>
      <c r="R4961" s="30"/>
      <c r="S4961" s="30"/>
      <c r="T4961" s="30"/>
      <c r="U4961" s="21" t="str">
        <f aca="false">IF(COUNT(K4961:T4961)=0,"SOURCE EMPTY / INDUSTRIAL ONLY",IF(MIN(K4961:T4961)=1,"SERVICE READY","HOLD"))</f>
        <v>SOURCE EMPTY / INDUSTRIAL ONLY</v>
      </c>
      <c r="V4961" s="9" t="n">
        <f aca="false">IF(U4961="SERVICE READY",1,0)</f>
        <v>0</v>
      </c>
      <c r="W4961" s="6"/>
      <c r="X4961" s="6"/>
      <c r="Y4961" s="6"/>
      <c r="Z4961" s="6"/>
    </row>
    <row r="4962" customFormat="false" ht="15" hidden="false" customHeight="false" outlineLevel="0" collapsed="false">
      <c r="A4962" s="9" t="s">
        <v>5261</v>
      </c>
      <c r="B4962" s="9" t="s">
        <v>5220</v>
      </c>
      <c r="C4962" s="9" t="s">
        <v>5221</v>
      </c>
      <c r="D4962" s="9" t="s">
        <v>4731</v>
      </c>
      <c r="E4962" s="9" t="s">
        <v>1660</v>
      </c>
      <c r="F4962" s="9" t="s">
        <v>209</v>
      </c>
      <c r="G4962" s="9" t="s">
        <v>221</v>
      </c>
      <c r="H4962" s="9" t="n">
        <v>1200</v>
      </c>
      <c r="I4962" s="29" t="n">
        <v>2</v>
      </c>
      <c r="J4962" s="9" t="n">
        <v>1</v>
      </c>
      <c r="K4962" s="30"/>
      <c r="L4962" s="30"/>
      <c r="M4962" s="30"/>
      <c r="N4962" s="30"/>
      <c r="O4962" s="30"/>
      <c r="P4962" s="30"/>
      <c r="Q4962" s="30"/>
      <c r="R4962" s="30"/>
      <c r="S4962" s="30"/>
      <c r="T4962" s="30"/>
      <c r="U4962" s="21" t="str">
        <f aca="false">IF(COUNT(K4962:T4962)=0,"SOURCE EMPTY / INDUSTRIAL ONLY",IF(MIN(K4962:T4962)=1,"SERVICE READY","HOLD"))</f>
        <v>SOURCE EMPTY / INDUSTRIAL ONLY</v>
      </c>
      <c r="V4962" s="9" t="n">
        <f aca="false">IF(U4962="SERVICE READY",1,0)</f>
        <v>0</v>
      </c>
      <c r="W4962" s="6"/>
      <c r="X4962" s="6"/>
      <c r="Y4962" s="6"/>
      <c r="Z4962" s="6"/>
    </row>
    <row r="4963" customFormat="false" ht="15" hidden="false" customHeight="false" outlineLevel="0" collapsed="false">
      <c r="A4963" s="9" t="s">
        <v>5262</v>
      </c>
      <c r="B4963" s="9" t="s">
        <v>5220</v>
      </c>
      <c r="C4963" s="9" t="s">
        <v>5221</v>
      </c>
      <c r="D4963" s="9" t="s">
        <v>4731</v>
      </c>
      <c r="E4963" s="9" t="s">
        <v>1660</v>
      </c>
      <c r="F4963" s="9" t="s">
        <v>211</v>
      </c>
      <c r="G4963" s="9" t="s">
        <v>221</v>
      </c>
      <c r="H4963" s="9" t="n">
        <v>1200</v>
      </c>
      <c r="I4963" s="29" t="n">
        <v>2</v>
      </c>
      <c r="J4963" s="9" t="n">
        <v>1</v>
      </c>
      <c r="K4963" s="30"/>
      <c r="L4963" s="30"/>
      <c r="M4963" s="30"/>
      <c r="N4963" s="30"/>
      <c r="O4963" s="30"/>
      <c r="P4963" s="30"/>
      <c r="Q4963" s="30"/>
      <c r="R4963" s="30"/>
      <c r="S4963" s="30"/>
      <c r="T4963" s="30"/>
      <c r="U4963" s="21" t="str">
        <f aca="false">IF(COUNT(K4963:T4963)=0,"SOURCE EMPTY / INDUSTRIAL ONLY",IF(MIN(K4963:T4963)=1,"SERVICE READY","HOLD"))</f>
        <v>SOURCE EMPTY / INDUSTRIAL ONLY</v>
      </c>
      <c r="V4963" s="9" t="n">
        <f aca="false">IF(U4963="SERVICE READY",1,0)</f>
        <v>0</v>
      </c>
      <c r="W4963" s="6"/>
      <c r="X4963" s="6"/>
      <c r="Y4963" s="6"/>
      <c r="Z4963" s="6"/>
    </row>
    <row r="4964" customFormat="false" ht="15" hidden="false" customHeight="false" outlineLevel="0" collapsed="false">
      <c r="A4964" s="9" t="s">
        <v>5263</v>
      </c>
      <c r="B4964" s="9" t="s">
        <v>5220</v>
      </c>
      <c r="C4964" s="9" t="s">
        <v>5221</v>
      </c>
      <c r="D4964" s="9" t="s">
        <v>4731</v>
      </c>
      <c r="E4964" s="9" t="s">
        <v>1660</v>
      </c>
      <c r="F4964" s="9" t="s">
        <v>197</v>
      </c>
      <c r="G4964" s="9" t="s">
        <v>221</v>
      </c>
      <c r="H4964" s="9" t="n">
        <v>1200</v>
      </c>
      <c r="I4964" s="29" t="n">
        <v>2</v>
      </c>
      <c r="J4964" s="9" t="n">
        <v>1</v>
      </c>
      <c r="K4964" s="30"/>
      <c r="L4964" s="30"/>
      <c r="M4964" s="30"/>
      <c r="N4964" s="30"/>
      <c r="O4964" s="30"/>
      <c r="P4964" s="30"/>
      <c r="Q4964" s="30"/>
      <c r="R4964" s="30"/>
      <c r="S4964" s="30"/>
      <c r="T4964" s="30"/>
      <c r="U4964" s="21" t="str">
        <f aca="false">IF(COUNT(K4964:T4964)=0,"SOURCE EMPTY / INDUSTRIAL ONLY",IF(MIN(K4964:T4964)=1,"SERVICE READY","HOLD"))</f>
        <v>SOURCE EMPTY / INDUSTRIAL ONLY</v>
      </c>
      <c r="V4964" s="9" t="n">
        <f aca="false">IF(U4964="SERVICE READY",1,0)</f>
        <v>0</v>
      </c>
      <c r="W4964" s="6"/>
      <c r="X4964" s="6"/>
      <c r="Y4964" s="6"/>
      <c r="Z4964" s="6"/>
    </row>
    <row r="4965" customFormat="false" ht="15" hidden="false" customHeight="false" outlineLevel="0" collapsed="false">
      <c r="A4965" s="9" t="s">
        <v>5264</v>
      </c>
      <c r="B4965" s="9" t="s">
        <v>5220</v>
      </c>
      <c r="C4965" s="9" t="s">
        <v>5221</v>
      </c>
      <c r="D4965" s="9" t="s">
        <v>4731</v>
      </c>
      <c r="E4965" s="9" t="s">
        <v>1660</v>
      </c>
      <c r="F4965" s="9" t="s">
        <v>200</v>
      </c>
      <c r="G4965" s="9" t="s">
        <v>221</v>
      </c>
      <c r="H4965" s="9" t="n">
        <v>1200</v>
      </c>
      <c r="I4965" s="29" t="n">
        <v>2</v>
      </c>
      <c r="J4965" s="9" t="n">
        <v>1</v>
      </c>
      <c r="K4965" s="30"/>
      <c r="L4965" s="30"/>
      <c r="M4965" s="30"/>
      <c r="N4965" s="30"/>
      <c r="O4965" s="30"/>
      <c r="P4965" s="30"/>
      <c r="Q4965" s="30"/>
      <c r="R4965" s="30"/>
      <c r="S4965" s="30"/>
      <c r="T4965" s="30"/>
      <c r="U4965" s="21" t="str">
        <f aca="false">IF(COUNT(K4965:T4965)=0,"SOURCE EMPTY / INDUSTRIAL ONLY",IF(MIN(K4965:T4965)=1,"SERVICE READY","HOLD"))</f>
        <v>SOURCE EMPTY / INDUSTRIAL ONLY</v>
      </c>
      <c r="V4965" s="9" t="n">
        <f aca="false">IF(U4965="SERVICE READY",1,0)</f>
        <v>0</v>
      </c>
      <c r="W4965" s="6"/>
      <c r="X4965" s="6"/>
      <c r="Y4965" s="6"/>
      <c r="Z4965" s="6"/>
    </row>
    <row r="4966" customFormat="false" ht="15" hidden="false" customHeight="false" outlineLevel="0" collapsed="false">
      <c r="A4966" s="9" t="s">
        <v>5265</v>
      </c>
      <c r="B4966" s="9" t="s">
        <v>5220</v>
      </c>
      <c r="C4966" s="9" t="s">
        <v>5221</v>
      </c>
      <c r="D4966" s="9" t="s">
        <v>4731</v>
      </c>
      <c r="E4966" s="9" t="s">
        <v>1660</v>
      </c>
      <c r="F4966" s="9" t="s">
        <v>203</v>
      </c>
      <c r="G4966" s="9" t="s">
        <v>221</v>
      </c>
      <c r="H4966" s="9" t="n">
        <v>1200</v>
      </c>
      <c r="I4966" s="29" t="n">
        <v>2</v>
      </c>
      <c r="J4966" s="9" t="n">
        <v>1</v>
      </c>
      <c r="K4966" s="30"/>
      <c r="L4966" s="30"/>
      <c r="M4966" s="30"/>
      <c r="N4966" s="30"/>
      <c r="O4966" s="30"/>
      <c r="P4966" s="30"/>
      <c r="Q4966" s="30"/>
      <c r="R4966" s="30"/>
      <c r="S4966" s="30"/>
      <c r="T4966" s="30"/>
      <c r="U4966" s="21" t="str">
        <f aca="false">IF(COUNT(K4966:T4966)=0,"SOURCE EMPTY / INDUSTRIAL ONLY",IF(MIN(K4966:T4966)=1,"SERVICE READY","HOLD"))</f>
        <v>SOURCE EMPTY / INDUSTRIAL ONLY</v>
      </c>
      <c r="V4966" s="9" t="n">
        <f aca="false">IF(U4966="SERVICE READY",1,0)</f>
        <v>0</v>
      </c>
      <c r="W4966" s="6"/>
      <c r="X4966" s="6"/>
      <c r="Y4966" s="6"/>
      <c r="Z4966" s="6"/>
    </row>
    <row r="4967" customFormat="false" ht="15" hidden="false" customHeight="false" outlineLevel="0" collapsed="false">
      <c r="A4967" s="9" t="s">
        <v>5266</v>
      </c>
      <c r="B4967" s="9" t="s">
        <v>5220</v>
      </c>
      <c r="C4967" s="9" t="s">
        <v>5221</v>
      </c>
      <c r="D4967" s="9" t="s">
        <v>4731</v>
      </c>
      <c r="E4967" s="9" t="s">
        <v>1660</v>
      </c>
      <c r="F4967" s="9" t="s">
        <v>205</v>
      </c>
      <c r="G4967" s="9" t="s">
        <v>221</v>
      </c>
      <c r="H4967" s="9" t="n">
        <v>1200</v>
      </c>
      <c r="I4967" s="29" t="n">
        <v>2</v>
      </c>
      <c r="J4967" s="9" t="n">
        <v>1</v>
      </c>
      <c r="K4967" s="30"/>
      <c r="L4967" s="30"/>
      <c r="M4967" s="30"/>
      <c r="N4967" s="30"/>
      <c r="O4967" s="30"/>
      <c r="P4967" s="30"/>
      <c r="Q4967" s="30"/>
      <c r="R4967" s="30"/>
      <c r="S4967" s="30"/>
      <c r="T4967" s="30"/>
      <c r="U4967" s="21" t="str">
        <f aca="false">IF(COUNT(K4967:T4967)=0,"SOURCE EMPTY / INDUSTRIAL ONLY",IF(MIN(K4967:T4967)=1,"SERVICE READY","HOLD"))</f>
        <v>SOURCE EMPTY / INDUSTRIAL ONLY</v>
      </c>
      <c r="V4967" s="9" t="n">
        <f aca="false">IF(U4967="SERVICE READY",1,0)</f>
        <v>0</v>
      </c>
      <c r="W4967" s="6"/>
      <c r="X4967" s="6"/>
      <c r="Y4967" s="6"/>
      <c r="Z4967" s="6"/>
    </row>
    <row r="4968" customFormat="false" ht="15" hidden="false" customHeight="false" outlineLevel="0" collapsed="false">
      <c r="A4968" s="9" t="s">
        <v>5267</v>
      </c>
      <c r="B4968" s="9" t="s">
        <v>5220</v>
      </c>
      <c r="C4968" s="9" t="s">
        <v>5221</v>
      </c>
      <c r="D4968" s="9" t="s">
        <v>4731</v>
      </c>
      <c r="E4968" s="9" t="s">
        <v>1660</v>
      </c>
      <c r="F4968" s="9" t="s">
        <v>207</v>
      </c>
      <c r="G4968" s="9" t="s">
        <v>221</v>
      </c>
      <c r="H4968" s="9" t="n">
        <v>1200</v>
      </c>
      <c r="I4968" s="29" t="n">
        <v>2</v>
      </c>
      <c r="J4968" s="9" t="n">
        <v>1</v>
      </c>
      <c r="K4968" s="30"/>
      <c r="L4968" s="30"/>
      <c r="M4968" s="30"/>
      <c r="N4968" s="30"/>
      <c r="O4968" s="30"/>
      <c r="P4968" s="30"/>
      <c r="Q4968" s="30"/>
      <c r="R4968" s="30"/>
      <c r="S4968" s="30"/>
      <c r="T4968" s="30"/>
      <c r="U4968" s="21" t="str">
        <f aca="false">IF(COUNT(K4968:T4968)=0,"SOURCE EMPTY / INDUSTRIAL ONLY",IF(MIN(K4968:T4968)=1,"SERVICE READY","HOLD"))</f>
        <v>SOURCE EMPTY / INDUSTRIAL ONLY</v>
      </c>
      <c r="V4968" s="9" t="n">
        <f aca="false">IF(U4968="SERVICE READY",1,0)</f>
        <v>0</v>
      </c>
      <c r="W4968" s="6"/>
      <c r="X4968" s="6"/>
      <c r="Y4968" s="6"/>
      <c r="Z4968" s="6"/>
    </row>
    <row r="4969" customFormat="false" ht="15" hidden="false" customHeight="false" outlineLevel="0" collapsed="false">
      <c r="A4969" s="9" t="s">
        <v>5268</v>
      </c>
      <c r="B4969" s="9" t="s">
        <v>5220</v>
      </c>
      <c r="C4969" s="9" t="s">
        <v>5221</v>
      </c>
      <c r="D4969" s="9" t="s">
        <v>4731</v>
      </c>
      <c r="E4969" s="9" t="s">
        <v>1660</v>
      </c>
      <c r="F4969" s="9" t="s">
        <v>209</v>
      </c>
      <c r="G4969" s="9" t="s">
        <v>221</v>
      </c>
      <c r="H4969" s="9" t="n">
        <v>1200</v>
      </c>
      <c r="I4969" s="29" t="n">
        <v>2</v>
      </c>
      <c r="J4969" s="9" t="n">
        <v>1</v>
      </c>
      <c r="K4969" s="30"/>
      <c r="L4969" s="30"/>
      <c r="M4969" s="30"/>
      <c r="N4969" s="30"/>
      <c r="O4969" s="30"/>
      <c r="P4969" s="30"/>
      <c r="Q4969" s="30"/>
      <c r="R4969" s="30"/>
      <c r="S4969" s="30"/>
      <c r="T4969" s="30"/>
      <c r="U4969" s="21" t="str">
        <f aca="false">IF(COUNT(K4969:T4969)=0,"SOURCE EMPTY / INDUSTRIAL ONLY",IF(MIN(K4969:T4969)=1,"SERVICE READY","HOLD"))</f>
        <v>SOURCE EMPTY / INDUSTRIAL ONLY</v>
      </c>
      <c r="V4969" s="9" t="n">
        <f aca="false">IF(U4969="SERVICE READY",1,0)</f>
        <v>0</v>
      </c>
      <c r="W4969" s="6"/>
      <c r="X4969" s="6"/>
      <c r="Y4969" s="6"/>
      <c r="Z4969" s="6"/>
    </row>
    <row r="4970" customFormat="false" ht="15" hidden="false" customHeight="false" outlineLevel="0" collapsed="false">
      <c r="A4970" s="9" t="s">
        <v>5269</v>
      </c>
      <c r="B4970" s="9" t="s">
        <v>5220</v>
      </c>
      <c r="C4970" s="9" t="s">
        <v>5221</v>
      </c>
      <c r="D4970" s="9" t="s">
        <v>4731</v>
      </c>
      <c r="E4970" s="9" t="s">
        <v>1660</v>
      </c>
      <c r="F4970" s="9" t="s">
        <v>211</v>
      </c>
      <c r="G4970" s="9" t="s">
        <v>221</v>
      </c>
      <c r="H4970" s="9" t="n">
        <v>1200</v>
      </c>
      <c r="I4970" s="29" t="n">
        <v>2</v>
      </c>
      <c r="J4970" s="9" t="n">
        <v>1</v>
      </c>
      <c r="K4970" s="30"/>
      <c r="L4970" s="30"/>
      <c r="M4970" s="30"/>
      <c r="N4970" s="30"/>
      <c r="O4970" s="30"/>
      <c r="P4970" s="30"/>
      <c r="Q4970" s="30"/>
      <c r="R4970" s="30"/>
      <c r="S4970" s="30"/>
      <c r="T4970" s="30"/>
      <c r="U4970" s="21" t="str">
        <f aca="false">IF(COUNT(K4970:T4970)=0,"SOURCE EMPTY / INDUSTRIAL ONLY",IF(MIN(K4970:T4970)=1,"SERVICE READY","HOLD"))</f>
        <v>SOURCE EMPTY / INDUSTRIAL ONLY</v>
      </c>
      <c r="V4970" s="9" t="n">
        <f aca="false">IF(U4970="SERVICE READY",1,0)</f>
        <v>0</v>
      </c>
      <c r="W4970" s="6"/>
      <c r="X4970" s="6"/>
      <c r="Y4970" s="6"/>
      <c r="Z4970" s="6"/>
    </row>
    <row r="4971" customFormat="false" ht="15" hidden="false" customHeight="false" outlineLevel="0" collapsed="false">
      <c r="A4971" s="9" t="s">
        <v>5270</v>
      </c>
      <c r="B4971" s="9" t="s">
        <v>5220</v>
      </c>
      <c r="C4971" s="9" t="s">
        <v>5221</v>
      </c>
      <c r="D4971" s="9" t="s">
        <v>4731</v>
      </c>
      <c r="E4971" s="9" t="s">
        <v>1660</v>
      </c>
      <c r="F4971" s="9" t="s">
        <v>197</v>
      </c>
      <c r="G4971" s="9" t="s">
        <v>221</v>
      </c>
      <c r="H4971" s="9" t="n">
        <v>1200</v>
      </c>
      <c r="I4971" s="29" t="n">
        <v>2</v>
      </c>
      <c r="J4971" s="9" t="n">
        <v>0</v>
      </c>
      <c r="K4971" s="30"/>
      <c r="L4971" s="30"/>
      <c r="M4971" s="30"/>
      <c r="N4971" s="30"/>
      <c r="O4971" s="30"/>
      <c r="P4971" s="30"/>
      <c r="Q4971" s="30"/>
      <c r="R4971" s="30"/>
      <c r="S4971" s="30"/>
      <c r="T4971" s="30"/>
      <c r="U4971" s="21" t="str">
        <f aca="false">IF(COUNT(K4971:T4971)=0,"SOURCE EMPTY / INDUSTRIAL ONLY",IF(MIN(K4971:T4971)=1,"SERVICE READY","HOLD"))</f>
        <v>SOURCE EMPTY / INDUSTRIAL ONLY</v>
      </c>
      <c r="V4971" s="9" t="n">
        <f aca="false">IF(U4971="SERVICE READY",1,0)</f>
        <v>0</v>
      </c>
      <c r="W4971" s="6"/>
      <c r="X4971" s="6"/>
      <c r="Y4971" s="6"/>
      <c r="Z4971" s="6"/>
    </row>
    <row r="4972" customFormat="false" ht="15" hidden="false" customHeight="false" outlineLevel="0" collapsed="false">
      <c r="A4972" s="9" t="s">
        <v>5271</v>
      </c>
      <c r="B4972" s="9" t="s">
        <v>5220</v>
      </c>
      <c r="C4972" s="9" t="s">
        <v>5221</v>
      </c>
      <c r="D4972" s="9" t="s">
        <v>4731</v>
      </c>
      <c r="E4972" s="9" t="s">
        <v>1660</v>
      </c>
      <c r="F4972" s="9" t="s">
        <v>200</v>
      </c>
      <c r="G4972" s="9" t="s">
        <v>221</v>
      </c>
      <c r="H4972" s="9" t="n">
        <v>1200</v>
      </c>
      <c r="I4972" s="29" t="n">
        <v>2</v>
      </c>
      <c r="J4972" s="9" t="n">
        <v>0</v>
      </c>
      <c r="K4972" s="30"/>
      <c r="L4972" s="30"/>
      <c r="M4972" s="30"/>
      <c r="N4972" s="30"/>
      <c r="O4972" s="30"/>
      <c r="P4972" s="30"/>
      <c r="Q4972" s="30"/>
      <c r="R4972" s="30"/>
      <c r="S4972" s="30"/>
      <c r="T4972" s="30"/>
      <c r="U4972" s="21" t="str">
        <f aca="false">IF(COUNT(K4972:T4972)=0,"SOURCE EMPTY / INDUSTRIAL ONLY",IF(MIN(K4972:T4972)=1,"SERVICE READY","HOLD"))</f>
        <v>SOURCE EMPTY / INDUSTRIAL ONLY</v>
      </c>
      <c r="V4972" s="9" t="n">
        <f aca="false">IF(U4972="SERVICE READY",1,0)</f>
        <v>0</v>
      </c>
      <c r="W4972" s="6"/>
      <c r="X4972" s="6"/>
      <c r="Y4972" s="6"/>
      <c r="Z4972" s="6"/>
    </row>
    <row r="4973" customFormat="false" ht="15" hidden="false" customHeight="false" outlineLevel="0" collapsed="false">
      <c r="A4973" s="9" t="s">
        <v>5272</v>
      </c>
      <c r="B4973" s="9" t="s">
        <v>5220</v>
      </c>
      <c r="C4973" s="9" t="s">
        <v>5221</v>
      </c>
      <c r="D4973" s="9" t="s">
        <v>4731</v>
      </c>
      <c r="E4973" s="9" t="s">
        <v>1660</v>
      </c>
      <c r="F4973" s="9" t="s">
        <v>203</v>
      </c>
      <c r="G4973" s="9" t="s">
        <v>221</v>
      </c>
      <c r="H4973" s="9" t="n">
        <v>1200</v>
      </c>
      <c r="I4973" s="29" t="n">
        <v>2</v>
      </c>
      <c r="J4973" s="9" t="n">
        <v>0</v>
      </c>
      <c r="K4973" s="30"/>
      <c r="L4973" s="30"/>
      <c r="M4973" s="30"/>
      <c r="N4973" s="30"/>
      <c r="O4973" s="30"/>
      <c r="P4973" s="30"/>
      <c r="Q4973" s="30"/>
      <c r="R4973" s="30"/>
      <c r="S4973" s="30"/>
      <c r="T4973" s="30"/>
      <c r="U4973" s="21" t="str">
        <f aca="false">IF(COUNT(K4973:T4973)=0,"SOURCE EMPTY / INDUSTRIAL ONLY",IF(MIN(K4973:T4973)=1,"SERVICE READY","HOLD"))</f>
        <v>SOURCE EMPTY / INDUSTRIAL ONLY</v>
      </c>
      <c r="V4973" s="9" t="n">
        <f aca="false">IF(U4973="SERVICE READY",1,0)</f>
        <v>0</v>
      </c>
      <c r="W4973" s="6"/>
      <c r="X4973" s="6"/>
      <c r="Y4973" s="6"/>
      <c r="Z4973" s="6"/>
    </row>
    <row r="4974" customFormat="false" ht="15" hidden="false" customHeight="false" outlineLevel="0" collapsed="false">
      <c r="A4974" s="9" t="s">
        <v>5273</v>
      </c>
      <c r="B4974" s="9" t="s">
        <v>5220</v>
      </c>
      <c r="C4974" s="9" t="s">
        <v>5221</v>
      </c>
      <c r="D4974" s="9" t="s">
        <v>4731</v>
      </c>
      <c r="E4974" s="9" t="s">
        <v>1660</v>
      </c>
      <c r="F4974" s="9" t="s">
        <v>205</v>
      </c>
      <c r="G4974" s="9" t="s">
        <v>221</v>
      </c>
      <c r="H4974" s="9" t="n">
        <v>1200</v>
      </c>
      <c r="I4974" s="29" t="n">
        <v>2</v>
      </c>
      <c r="J4974" s="9" t="n">
        <v>0</v>
      </c>
      <c r="K4974" s="30"/>
      <c r="L4974" s="30"/>
      <c r="M4974" s="30"/>
      <c r="N4974" s="30"/>
      <c r="O4974" s="30"/>
      <c r="P4974" s="30"/>
      <c r="Q4974" s="30"/>
      <c r="R4974" s="30"/>
      <c r="S4974" s="30"/>
      <c r="T4974" s="30"/>
      <c r="U4974" s="21" t="str">
        <f aca="false">IF(COUNT(K4974:T4974)=0,"SOURCE EMPTY / INDUSTRIAL ONLY",IF(MIN(K4974:T4974)=1,"SERVICE READY","HOLD"))</f>
        <v>SOURCE EMPTY / INDUSTRIAL ONLY</v>
      </c>
      <c r="V4974" s="9" t="n">
        <f aca="false">IF(U4974="SERVICE READY",1,0)</f>
        <v>0</v>
      </c>
      <c r="W4974" s="6"/>
      <c r="X4974" s="6"/>
      <c r="Y4974" s="6"/>
      <c r="Z4974" s="6"/>
    </row>
    <row r="4975" customFormat="false" ht="15" hidden="false" customHeight="false" outlineLevel="0" collapsed="false">
      <c r="A4975" s="9" t="s">
        <v>5274</v>
      </c>
      <c r="B4975" s="9" t="s">
        <v>5220</v>
      </c>
      <c r="C4975" s="9" t="s">
        <v>5221</v>
      </c>
      <c r="D4975" s="9" t="s">
        <v>4731</v>
      </c>
      <c r="E4975" s="9" t="s">
        <v>1660</v>
      </c>
      <c r="F4975" s="9" t="s">
        <v>207</v>
      </c>
      <c r="G4975" s="9" t="s">
        <v>221</v>
      </c>
      <c r="H4975" s="9" t="n">
        <v>1200</v>
      </c>
      <c r="I4975" s="29" t="n">
        <v>2</v>
      </c>
      <c r="J4975" s="9" t="n">
        <v>0</v>
      </c>
      <c r="K4975" s="30"/>
      <c r="L4975" s="30"/>
      <c r="M4975" s="30"/>
      <c r="N4975" s="30"/>
      <c r="O4975" s="30"/>
      <c r="P4975" s="30"/>
      <c r="Q4975" s="30"/>
      <c r="R4975" s="30"/>
      <c r="S4975" s="30"/>
      <c r="T4975" s="30"/>
      <c r="U4975" s="21" t="str">
        <f aca="false">IF(COUNT(K4975:T4975)=0,"SOURCE EMPTY / INDUSTRIAL ONLY",IF(MIN(K4975:T4975)=1,"SERVICE READY","HOLD"))</f>
        <v>SOURCE EMPTY / INDUSTRIAL ONLY</v>
      </c>
      <c r="V4975" s="9" t="n">
        <f aca="false">IF(U4975="SERVICE READY",1,0)</f>
        <v>0</v>
      </c>
      <c r="W4975" s="6"/>
      <c r="X4975" s="6"/>
      <c r="Y4975" s="6"/>
      <c r="Z4975" s="6"/>
    </row>
    <row r="4976" customFormat="false" ht="15" hidden="false" customHeight="false" outlineLevel="0" collapsed="false">
      <c r="A4976" s="9" t="s">
        <v>5275</v>
      </c>
      <c r="B4976" s="9" t="s">
        <v>5220</v>
      </c>
      <c r="C4976" s="9" t="s">
        <v>5221</v>
      </c>
      <c r="D4976" s="9" t="s">
        <v>4731</v>
      </c>
      <c r="E4976" s="9" t="s">
        <v>1660</v>
      </c>
      <c r="F4976" s="9" t="s">
        <v>209</v>
      </c>
      <c r="G4976" s="9" t="s">
        <v>221</v>
      </c>
      <c r="H4976" s="9" t="n">
        <v>1200</v>
      </c>
      <c r="I4976" s="29" t="n">
        <v>2</v>
      </c>
      <c r="J4976" s="9" t="n">
        <v>0</v>
      </c>
      <c r="K4976" s="30"/>
      <c r="L4976" s="30"/>
      <c r="M4976" s="30"/>
      <c r="N4976" s="30"/>
      <c r="O4976" s="30"/>
      <c r="P4976" s="30"/>
      <c r="Q4976" s="30"/>
      <c r="R4976" s="30"/>
      <c r="S4976" s="30"/>
      <c r="T4976" s="30"/>
      <c r="U4976" s="21" t="str">
        <f aca="false">IF(COUNT(K4976:T4976)=0,"SOURCE EMPTY / INDUSTRIAL ONLY",IF(MIN(K4976:T4976)=1,"SERVICE READY","HOLD"))</f>
        <v>SOURCE EMPTY / INDUSTRIAL ONLY</v>
      </c>
      <c r="V4976" s="9" t="n">
        <f aca="false">IF(U4976="SERVICE READY",1,0)</f>
        <v>0</v>
      </c>
      <c r="W4976" s="6"/>
      <c r="X4976" s="6"/>
      <c r="Y4976" s="6"/>
      <c r="Z4976" s="6"/>
    </row>
    <row r="4977" customFormat="false" ht="15" hidden="false" customHeight="false" outlineLevel="0" collapsed="false">
      <c r="A4977" s="9" t="s">
        <v>5276</v>
      </c>
      <c r="B4977" s="9" t="s">
        <v>5220</v>
      </c>
      <c r="C4977" s="9" t="s">
        <v>5221</v>
      </c>
      <c r="D4977" s="9" t="s">
        <v>4731</v>
      </c>
      <c r="E4977" s="9" t="s">
        <v>1660</v>
      </c>
      <c r="F4977" s="9" t="s">
        <v>211</v>
      </c>
      <c r="G4977" s="9" t="s">
        <v>221</v>
      </c>
      <c r="H4977" s="9" t="n">
        <v>1200</v>
      </c>
      <c r="I4977" s="29" t="n">
        <v>2</v>
      </c>
      <c r="J4977" s="9" t="n">
        <v>0</v>
      </c>
      <c r="K4977" s="30"/>
      <c r="L4977" s="30"/>
      <c r="M4977" s="30"/>
      <c r="N4977" s="30"/>
      <c r="O4977" s="30"/>
      <c r="P4977" s="30"/>
      <c r="Q4977" s="30"/>
      <c r="R4977" s="30"/>
      <c r="S4977" s="30"/>
      <c r="T4977" s="30"/>
      <c r="U4977" s="21" t="str">
        <f aca="false">IF(COUNT(K4977:T4977)=0,"SOURCE EMPTY / INDUSTRIAL ONLY",IF(MIN(K4977:T4977)=1,"SERVICE READY","HOLD"))</f>
        <v>SOURCE EMPTY / INDUSTRIAL ONLY</v>
      </c>
      <c r="V4977" s="9" t="n">
        <f aca="false">IF(U4977="SERVICE READY",1,0)</f>
        <v>0</v>
      </c>
      <c r="W4977" s="6"/>
      <c r="X4977" s="6"/>
      <c r="Y4977" s="6"/>
      <c r="Z4977" s="6"/>
    </row>
    <row r="4978" customFormat="false" ht="15" hidden="false" customHeight="false" outlineLevel="0" collapsed="false">
      <c r="A4978" s="9" t="s">
        <v>5277</v>
      </c>
      <c r="B4978" s="9" t="s">
        <v>5220</v>
      </c>
      <c r="C4978" s="9" t="s">
        <v>5221</v>
      </c>
      <c r="D4978" s="9" t="s">
        <v>4731</v>
      </c>
      <c r="E4978" s="9" t="s">
        <v>1660</v>
      </c>
      <c r="F4978" s="9" t="s">
        <v>197</v>
      </c>
      <c r="G4978" s="9" t="s">
        <v>221</v>
      </c>
      <c r="H4978" s="9" t="n">
        <v>1200</v>
      </c>
      <c r="I4978" s="29" t="n">
        <v>2</v>
      </c>
      <c r="J4978" s="9" t="n">
        <v>0</v>
      </c>
      <c r="K4978" s="30"/>
      <c r="L4978" s="30"/>
      <c r="M4978" s="30"/>
      <c r="N4978" s="30"/>
      <c r="O4978" s="30"/>
      <c r="P4978" s="30"/>
      <c r="Q4978" s="30"/>
      <c r="R4978" s="30"/>
      <c r="S4978" s="30"/>
      <c r="T4978" s="30"/>
      <c r="U4978" s="21" t="str">
        <f aca="false">IF(COUNT(K4978:T4978)=0,"SOURCE EMPTY / INDUSTRIAL ONLY",IF(MIN(K4978:T4978)=1,"SERVICE READY","HOLD"))</f>
        <v>SOURCE EMPTY / INDUSTRIAL ONLY</v>
      </c>
      <c r="V4978" s="9" t="n">
        <f aca="false">IF(U4978="SERVICE READY",1,0)</f>
        <v>0</v>
      </c>
      <c r="W4978" s="6"/>
      <c r="X4978" s="6"/>
      <c r="Y4978" s="6"/>
      <c r="Z4978" s="6"/>
    </row>
    <row r="4979" customFormat="false" ht="15" hidden="false" customHeight="false" outlineLevel="0" collapsed="false">
      <c r="A4979" s="9" t="s">
        <v>5278</v>
      </c>
      <c r="B4979" s="9" t="s">
        <v>5220</v>
      </c>
      <c r="C4979" s="9" t="s">
        <v>5221</v>
      </c>
      <c r="D4979" s="9" t="s">
        <v>4731</v>
      </c>
      <c r="E4979" s="9" t="s">
        <v>1660</v>
      </c>
      <c r="F4979" s="9" t="s">
        <v>200</v>
      </c>
      <c r="G4979" s="9" t="s">
        <v>221</v>
      </c>
      <c r="H4979" s="9" t="n">
        <v>1200</v>
      </c>
      <c r="I4979" s="29" t="n">
        <v>2</v>
      </c>
      <c r="J4979" s="9" t="n">
        <v>0</v>
      </c>
      <c r="K4979" s="30"/>
      <c r="L4979" s="30"/>
      <c r="M4979" s="30"/>
      <c r="N4979" s="30"/>
      <c r="O4979" s="30"/>
      <c r="P4979" s="30"/>
      <c r="Q4979" s="30"/>
      <c r="R4979" s="30"/>
      <c r="S4979" s="30"/>
      <c r="T4979" s="30"/>
      <c r="U4979" s="21" t="str">
        <f aca="false">IF(COUNT(K4979:T4979)=0,"SOURCE EMPTY / INDUSTRIAL ONLY",IF(MIN(K4979:T4979)=1,"SERVICE READY","HOLD"))</f>
        <v>SOURCE EMPTY / INDUSTRIAL ONLY</v>
      </c>
      <c r="V4979" s="9" t="n">
        <f aca="false">IF(U4979="SERVICE READY",1,0)</f>
        <v>0</v>
      </c>
      <c r="W4979" s="6"/>
      <c r="X4979" s="6"/>
      <c r="Y4979" s="6"/>
      <c r="Z4979" s="6"/>
    </row>
    <row r="4980" customFormat="false" ht="15" hidden="false" customHeight="false" outlineLevel="0" collapsed="false">
      <c r="A4980" s="9" t="s">
        <v>5279</v>
      </c>
      <c r="B4980" s="9" t="s">
        <v>5220</v>
      </c>
      <c r="C4980" s="9" t="s">
        <v>5221</v>
      </c>
      <c r="D4980" s="9" t="s">
        <v>4731</v>
      </c>
      <c r="E4980" s="9" t="s">
        <v>1660</v>
      </c>
      <c r="F4980" s="9" t="s">
        <v>203</v>
      </c>
      <c r="G4980" s="9" t="s">
        <v>221</v>
      </c>
      <c r="H4980" s="9" t="n">
        <v>1200</v>
      </c>
      <c r="I4980" s="29" t="n">
        <v>2</v>
      </c>
      <c r="J4980" s="9" t="n">
        <v>0</v>
      </c>
      <c r="K4980" s="30"/>
      <c r="L4980" s="30"/>
      <c r="M4980" s="30"/>
      <c r="N4980" s="30"/>
      <c r="O4980" s="30"/>
      <c r="P4980" s="30"/>
      <c r="Q4980" s="30"/>
      <c r="R4980" s="30"/>
      <c r="S4980" s="30"/>
      <c r="T4980" s="30"/>
      <c r="U4980" s="21" t="str">
        <f aca="false">IF(COUNT(K4980:T4980)=0,"SOURCE EMPTY / INDUSTRIAL ONLY",IF(MIN(K4980:T4980)=1,"SERVICE READY","HOLD"))</f>
        <v>SOURCE EMPTY / INDUSTRIAL ONLY</v>
      </c>
      <c r="V4980" s="9" t="n">
        <f aca="false">IF(U4980="SERVICE READY",1,0)</f>
        <v>0</v>
      </c>
      <c r="W4980" s="6"/>
      <c r="X4980" s="6"/>
      <c r="Y4980" s="6"/>
      <c r="Z4980" s="6"/>
    </row>
    <row r="4981" customFormat="false" ht="15" hidden="false" customHeight="false" outlineLevel="0" collapsed="false">
      <c r="A4981" s="9" t="s">
        <v>5280</v>
      </c>
      <c r="B4981" s="9" t="s">
        <v>5220</v>
      </c>
      <c r="C4981" s="9" t="s">
        <v>5221</v>
      </c>
      <c r="D4981" s="9" t="s">
        <v>4731</v>
      </c>
      <c r="E4981" s="9" t="s">
        <v>1660</v>
      </c>
      <c r="F4981" s="9" t="s">
        <v>205</v>
      </c>
      <c r="G4981" s="9" t="s">
        <v>221</v>
      </c>
      <c r="H4981" s="9" t="n">
        <v>1200</v>
      </c>
      <c r="I4981" s="29" t="n">
        <v>2</v>
      </c>
      <c r="J4981" s="9" t="n">
        <v>0</v>
      </c>
      <c r="K4981" s="30"/>
      <c r="L4981" s="30"/>
      <c r="M4981" s="30"/>
      <c r="N4981" s="30"/>
      <c r="O4981" s="30"/>
      <c r="P4981" s="30"/>
      <c r="Q4981" s="30"/>
      <c r="R4981" s="30"/>
      <c r="S4981" s="30"/>
      <c r="T4981" s="30"/>
      <c r="U4981" s="21" t="str">
        <f aca="false">IF(COUNT(K4981:T4981)=0,"SOURCE EMPTY / INDUSTRIAL ONLY",IF(MIN(K4981:T4981)=1,"SERVICE READY","HOLD"))</f>
        <v>SOURCE EMPTY / INDUSTRIAL ONLY</v>
      </c>
      <c r="V4981" s="9" t="n">
        <f aca="false">IF(U4981="SERVICE READY",1,0)</f>
        <v>0</v>
      </c>
      <c r="W4981" s="6"/>
      <c r="X4981" s="6"/>
      <c r="Y4981" s="6"/>
      <c r="Z4981" s="6"/>
    </row>
    <row r="4982" customFormat="false" ht="15" hidden="false" customHeight="false" outlineLevel="0" collapsed="false">
      <c r="A4982" s="9" t="s">
        <v>5281</v>
      </c>
      <c r="B4982" s="9" t="s">
        <v>5220</v>
      </c>
      <c r="C4982" s="9" t="s">
        <v>5221</v>
      </c>
      <c r="D4982" s="9" t="s">
        <v>4731</v>
      </c>
      <c r="E4982" s="9" t="s">
        <v>1660</v>
      </c>
      <c r="F4982" s="9" t="s">
        <v>207</v>
      </c>
      <c r="G4982" s="9" t="s">
        <v>221</v>
      </c>
      <c r="H4982" s="9" t="n">
        <v>1200</v>
      </c>
      <c r="I4982" s="29" t="n">
        <v>2</v>
      </c>
      <c r="J4982" s="9" t="n">
        <v>0</v>
      </c>
      <c r="K4982" s="30"/>
      <c r="L4982" s="30"/>
      <c r="M4982" s="30"/>
      <c r="N4982" s="30"/>
      <c r="O4982" s="30"/>
      <c r="P4982" s="30"/>
      <c r="Q4982" s="30"/>
      <c r="R4982" s="30"/>
      <c r="S4982" s="30"/>
      <c r="T4982" s="30"/>
      <c r="U4982" s="21" t="str">
        <f aca="false">IF(COUNT(K4982:T4982)=0,"SOURCE EMPTY / INDUSTRIAL ONLY",IF(MIN(K4982:T4982)=1,"SERVICE READY","HOLD"))</f>
        <v>SOURCE EMPTY / INDUSTRIAL ONLY</v>
      </c>
      <c r="V4982" s="9" t="n">
        <f aca="false">IF(U4982="SERVICE READY",1,0)</f>
        <v>0</v>
      </c>
      <c r="W4982" s="6"/>
      <c r="X4982" s="6"/>
      <c r="Y4982" s="6"/>
      <c r="Z4982" s="6"/>
    </row>
    <row r="4983" customFormat="false" ht="15" hidden="false" customHeight="false" outlineLevel="0" collapsed="false">
      <c r="A4983" s="9" t="s">
        <v>5282</v>
      </c>
      <c r="B4983" s="9" t="s">
        <v>5220</v>
      </c>
      <c r="C4983" s="9" t="s">
        <v>5221</v>
      </c>
      <c r="D4983" s="9" t="s">
        <v>4731</v>
      </c>
      <c r="E4983" s="9" t="s">
        <v>1660</v>
      </c>
      <c r="F4983" s="9" t="s">
        <v>209</v>
      </c>
      <c r="G4983" s="9" t="s">
        <v>221</v>
      </c>
      <c r="H4983" s="9" t="n">
        <v>1200</v>
      </c>
      <c r="I4983" s="29" t="n">
        <v>2</v>
      </c>
      <c r="J4983" s="9" t="n">
        <v>0</v>
      </c>
      <c r="K4983" s="30"/>
      <c r="L4983" s="30"/>
      <c r="M4983" s="30"/>
      <c r="N4983" s="30"/>
      <c r="O4983" s="30"/>
      <c r="P4983" s="30"/>
      <c r="Q4983" s="30"/>
      <c r="R4983" s="30"/>
      <c r="S4983" s="30"/>
      <c r="T4983" s="30"/>
      <c r="U4983" s="21" t="str">
        <f aca="false">IF(COUNT(K4983:T4983)=0,"SOURCE EMPTY / INDUSTRIAL ONLY",IF(MIN(K4983:T4983)=1,"SERVICE READY","HOLD"))</f>
        <v>SOURCE EMPTY / INDUSTRIAL ONLY</v>
      </c>
      <c r="V4983" s="9" t="n">
        <f aca="false">IF(U4983="SERVICE READY",1,0)</f>
        <v>0</v>
      </c>
      <c r="W4983" s="6"/>
      <c r="X4983" s="6"/>
      <c r="Y4983" s="6"/>
      <c r="Z4983" s="6"/>
    </row>
    <row r="4984" customFormat="false" ht="15" hidden="false" customHeight="false" outlineLevel="0" collapsed="false">
      <c r="A4984" s="9" t="s">
        <v>5283</v>
      </c>
      <c r="B4984" s="9" t="s">
        <v>5220</v>
      </c>
      <c r="C4984" s="9" t="s">
        <v>5221</v>
      </c>
      <c r="D4984" s="9" t="s">
        <v>4731</v>
      </c>
      <c r="E4984" s="9" t="s">
        <v>1660</v>
      </c>
      <c r="F4984" s="9" t="s">
        <v>211</v>
      </c>
      <c r="G4984" s="9" t="s">
        <v>221</v>
      </c>
      <c r="H4984" s="9" t="n">
        <v>1200</v>
      </c>
      <c r="I4984" s="29" t="n">
        <v>2</v>
      </c>
      <c r="J4984" s="9" t="n">
        <v>0</v>
      </c>
      <c r="K4984" s="30"/>
      <c r="L4984" s="30"/>
      <c r="M4984" s="30"/>
      <c r="N4984" s="30"/>
      <c r="O4984" s="30"/>
      <c r="P4984" s="30"/>
      <c r="Q4984" s="30"/>
      <c r="R4984" s="30"/>
      <c r="S4984" s="30"/>
      <c r="T4984" s="30"/>
      <c r="U4984" s="21" t="str">
        <f aca="false">IF(COUNT(K4984:T4984)=0,"SOURCE EMPTY / INDUSTRIAL ONLY",IF(MIN(K4984:T4984)=1,"SERVICE READY","HOLD"))</f>
        <v>SOURCE EMPTY / INDUSTRIAL ONLY</v>
      </c>
      <c r="V4984" s="9" t="n">
        <f aca="false">IF(U4984="SERVICE READY",1,0)</f>
        <v>0</v>
      </c>
      <c r="W4984" s="6"/>
      <c r="X4984" s="6"/>
      <c r="Y4984" s="6"/>
      <c r="Z4984" s="6"/>
    </row>
    <row r="4985" customFormat="false" ht="15" hidden="false" customHeight="false" outlineLevel="0" collapsed="false">
      <c r="A4985" s="9" t="s">
        <v>5284</v>
      </c>
      <c r="B4985" s="9" t="s">
        <v>5220</v>
      </c>
      <c r="C4985" s="9" t="s">
        <v>5221</v>
      </c>
      <c r="D4985" s="9" t="s">
        <v>4731</v>
      </c>
      <c r="E4985" s="9" t="s">
        <v>1660</v>
      </c>
      <c r="F4985" s="9" t="s">
        <v>197</v>
      </c>
      <c r="G4985" s="9" t="s">
        <v>221</v>
      </c>
      <c r="H4985" s="9" t="n">
        <v>1200</v>
      </c>
      <c r="I4985" s="29" t="n">
        <v>2</v>
      </c>
      <c r="J4985" s="9" t="n">
        <v>0</v>
      </c>
      <c r="K4985" s="30"/>
      <c r="L4985" s="30"/>
      <c r="M4985" s="30"/>
      <c r="N4985" s="30"/>
      <c r="O4985" s="30"/>
      <c r="P4985" s="30"/>
      <c r="Q4985" s="30"/>
      <c r="R4985" s="30"/>
      <c r="S4985" s="30"/>
      <c r="T4985" s="30"/>
      <c r="U4985" s="21" t="str">
        <f aca="false">IF(COUNT(K4985:T4985)=0,"SOURCE EMPTY / INDUSTRIAL ONLY",IF(MIN(K4985:T4985)=1,"SERVICE READY","HOLD"))</f>
        <v>SOURCE EMPTY / INDUSTRIAL ONLY</v>
      </c>
      <c r="V4985" s="9" t="n">
        <f aca="false">IF(U4985="SERVICE READY",1,0)</f>
        <v>0</v>
      </c>
      <c r="W4985" s="6"/>
      <c r="X4985" s="6"/>
      <c r="Y4985" s="6"/>
      <c r="Z4985" s="6"/>
    </row>
    <row r="4986" customFormat="false" ht="15" hidden="false" customHeight="false" outlineLevel="0" collapsed="false">
      <c r="A4986" s="9" t="s">
        <v>5285</v>
      </c>
      <c r="B4986" s="9" t="s">
        <v>5220</v>
      </c>
      <c r="C4986" s="9" t="s">
        <v>5221</v>
      </c>
      <c r="D4986" s="9" t="s">
        <v>4731</v>
      </c>
      <c r="E4986" s="9" t="s">
        <v>1660</v>
      </c>
      <c r="F4986" s="9" t="s">
        <v>200</v>
      </c>
      <c r="G4986" s="9" t="s">
        <v>221</v>
      </c>
      <c r="H4986" s="9" t="n">
        <v>1200</v>
      </c>
      <c r="I4986" s="29" t="n">
        <v>2</v>
      </c>
      <c r="J4986" s="9" t="n">
        <v>0</v>
      </c>
      <c r="K4986" s="30"/>
      <c r="L4986" s="30"/>
      <c r="M4986" s="30"/>
      <c r="N4986" s="30"/>
      <c r="O4986" s="30"/>
      <c r="P4986" s="30"/>
      <c r="Q4986" s="30"/>
      <c r="R4986" s="30"/>
      <c r="S4986" s="30"/>
      <c r="T4986" s="30"/>
      <c r="U4986" s="21" t="str">
        <f aca="false">IF(COUNT(K4986:T4986)=0,"SOURCE EMPTY / INDUSTRIAL ONLY",IF(MIN(K4986:T4986)=1,"SERVICE READY","HOLD"))</f>
        <v>SOURCE EMPTY / INDUSTRIAL ONLY</v>
      </c>
      <c r="V4986" s="9" t="n">
        <f aca="false">IF(U4986="SERVICE READY",1,0)</f>
        <v>0</v>
      </c>
      <c r="W4986" s="6"/>
      <c r="X4986" s="6"/>
      <c r="Y4986" s="6"/>
      <c r="Z4986" s="6"/>
    </row>
    <row r="4987" customFormat="false" ht="15" hidden="false" customHeight="false" outlineLevel="0" collapsed="false">
      <c r="A4987" s="9" t="s">
        <v>5286</v>
      </c>
      <c r="B4987" s="9" t="s">
        <v>5220</v>
      </c>
      <c r="C4987" s="9" t="s">
        <v>5221</v>
      </c>
      <c r="D4987" s="9" t="s">
        <v>4731</v>
      </c>
      <c r="E4987" s="9" t="s">
        <v>1660</v>
      </c>
      <c r="F4987" s="9" t="s">
        <v>203</v>
      </c>
      <c r="G4987" s="9" t="s">
        <v>221</v>
      </c>
      <c r="H4987" s="9" t="n">
        <v>1200</v>
      </c>
      <c r="I4987" s="29" t="n">
        <v>2</v>
      </c>
      <c r="J4987" s="9" t="n">
        <v>0</v>
      </c>
      <c r="K4987" s="30"/>
      <c r="L4987" s="30"/>
      <c r="M4987" s="30"/>
      <c r="N4987" s="30"/>
      <c r="O4987" s="30"/>
      <c r="P4987" s="30"/>
      <c r="Q4987" s="30"/>
      <c r="R4987" s="30"/>
      <c r="S4987" s="30"/>
      <c r="T4987" s="30"/>
      <c r="U4987" s="21" t="str">
        <f aca="false">IF(COUNT(K4987:T4987)=0,"SOURCE EMPTY / INDUSTRIAL ONLY",IF(MIN(K4987:T4987)=1,"SERVICE READY","HOLD"))</f>
        <v>SOURCE EMPTY / INDUSTRIAL ONLY</v>
      </c>
      <c r="V4987" s="9" t="n">
        <f aca="false">IF(U4987="SERVICE READY",1,0)</f>
        <v>0</v>
      </c>
      <c r="W4987" s="6"/>
      <c r="X4987" s="6"/>
      <c r="Y4987" s="6"/>
      <c r="Z4987" s="6"/>
    </row>
    <row r="4988" customFormat="false" ht="15" hidden="false" customHeight="false" outlineLevel="0" collapsed="false">
      <c r="A4988" s="9" t="s">
        <v>5287</v>
      </c>
      <c r="B4988" s="9" t="s">
        <v>5220</v>
      </c>
      <c r="C4988" s="9" t="s">
        <v>5221</v>
      </c>
      <c r="D4988" s="9" t="s">
        <v>4731</v>
      </c>
      <c r="E4988" s="9" t="s">
        <v>1660</v>
      </c>
      <c r="F4988" s="9" t="s">
        <v>205</v>
      </c>
      <c r="G4988" s="9" t="s">
        <v>221</v>
      </c>
      <c r="H4988" s="9" t="n">
        <v>1200</v>
      </c>
      <c r="I4988" s="29" t="n">
        <v>2</v>
      </c>
      <c r="J4988" s="9" t="n">
        <v>0</v>
      </c>
      <c r="K4988" s="30"/>
      <c r="L4988" s="30"/>
      <c r="M4988" s="30"/>
      <c r="N4988" s="30"/>
      <c r="O4988" s="30"/>
      <c r="P4988" s="30"/>
      <c r="Q4988" s="30"/>
      <c r="R4988" s="30"/>
      <c r="S4988" s="30"/>
      <c r="T4988" s="30"/>
      <c r="U4988" s="21" t="str">
        <f aca="false">IF(COUNT(K4988:T4988)=0,"SOURCE EMPTY / INDUSTRIAL ONLY",IF(MIN(K4988:T4988)=1,"SERVICE READY","HOLD"))</f>
        <v>SOURCE EMPTY / INDUSTRIAL ONLY</v>
      </c>
      <c r="V4988" s="9" t="n">
        <f aca="false">IF(U4988="SERVICE READY",1,0)</f>
        <v>0</v>
      </c>
      <c r="W4988" s="6"/>
      <c r="X4988" s="6"/>
      <c r="Y4988" s="6"/>
      <c r="Z4988" s="6"/>
    </row>
    <row r="4989" customFormat="false" ht="15" hidden="false" customHeight="false" outlineLevel="0" collapsed="false">
      <c r="A4989" s="9" t="s">
        <v>5288</v>
      </c>
      <c r="B4989" s="9" t="s">
        <v>5220</v>
      </c>
      <c r="C4989" s="9" t="s">
        <v>5221</v>
      </c>
      <c r="D4989" s="9" t="s">
        <v>4731</v>
      </c>
      <c r="E4989" s="9" t="s">
        <v>1660</v>
      </c>
      <c r="F4989" s="9" t="s">
        <v>207</v>
      </c>
      <c r="G4989" s="9" t="s">
        <v>221</v>
      </c>
      <c r="H4989" s="9" t="n">
        <v>1200</v>
      </c>
      <c r="I4989" s="29" t="n">
        <v>2</v>
      </c>
      <c r="J4989" s="9" t="n">
        <v>0</v>
      </c>
      <c r="K4989" s="30"/>
      <c r="L4989" s="30"/>
      <c r="M4989" s="30"/>
      <c r="N4989" s="30"/>
      <c r="O4989" s="30"/>
      <c r="P4989" s="30"/>
      <c r="Q4989" s="30"/>
      <c r="R4989" s="30"/>
      <c r="S4989" s="30"/>
      <c r="T4989" s="30"/>
      <c r="U4989" s="21" t="str">
        <f aca="false">IF(COUNT(K4989:T4989)=0,"SOURCE EMPTY / INDUSTRIAL ONLY",IF(MIN(K4989:T4989)=1,"SERVICE READY","HOLD"))</f>
        <v>SOURCE EMPTY / INDUSTRIAL ONLY</v>
      </c>
      <c r="V4989" s="9" t="n">
        <f aca="false">IF(U4989="SERVICE READY",1,0)</f>
        <v>0</v>
      </c>
      <c r="W4989" s="6"/>
      <c r="X4989" s="6"/>
      <c r="Y4989" s="6"/>
      <c r="Z4989" s="6"/>
    </row>
    <row r="4990" customFormat="false" ht="15" hidden="false" customHeight="false" outlineLevel="0" collapsed="false">
      <c r="A4990" s="9" t="s">
        <v>5289</v>
      </c>
      <c r="B4990" s="9" t="s">
        <v>5220</v>
      </c>
      <c r="C4990" s="9" t="s">
        <v>5221</v>
      </c>
      <c r="D4990" s="9" t="s">
        <v>4731</v>
      </c>
      <c r="E4990" s="9" t="s">
        <v>1660</v>
      </c>
      <c r="F4990" s="9" t="s">
        <v>209</v>
      </c>
      <c r="G4990" s="9" t="s">
        <v>221</v>
      </c>
      <c r="H4990" s="9" t="n">
        <v>1200</v>
      </c>
      <c r="I4990" s="29" t="n">
        <v>2</v>
      </c>
      <c r="J4990" s="9" t="n">
        <v>0</v>
      </c>
      <c r="K4990" s="30"/>
      <c r="L4990" s="30"/>
      <c r="M4990" s="30"/>
      <c r="N4990" s="30"/>
      <c r="O4990" s="30"/>
      <c r="P4990" s="30"/>
      <c r="Q4990" s="30"/>
      <c r="R4990" s="30"/>
      <c r="S4990" s="30"/>
      <c r="T4990" s="30"/>
      <c r="U4990" s="21" t="str">
        <f aca="false">IF(COUNT(K4990:T4990)=0,"SOURCE EMPTY / INDUSTRIAL ONLY",IF(MIN(K4990:T4990)=1,"SERVICE READY","HOLD"))</f>
        <v>SOURCE EMPTY / INDUSTRIAL ONLY</v>
      </c>
      <c r="V4990" s="9" t="n">
        <f aca="false">IF(U4990="SERVICE READY",1,0)</f>
        <v>0</v>
      </c>
      <c r="W4990" s="6"/>
      <c r="X4990" s="6"/>
      <c r="Y4990" s="6"/>
      <c r="Z4990" s="6"/>
    </row>
    <row r="4991" customFormat="false" ht="15" hidden="false" customHeight="false" outlineLevel="0" collapsed="false">
      <c r="A4991" s="9" t="s">
        <v>5290</v>
      </c>
      <c r="B4991" s="9" t="s">
        <v>5220</v>
      </c>
      <c r="C4991" s="9" t="s">
        <v>5221</v>
      </c>
      <c r="D4991" s="9" t="s">
        <v>4731</v>
      </c>
      <c r="E4991" s="9" t="s">
        <v>1660</v>
      </c>
      <c r="F4991" s="9" t="s">
        <v>211</v>
      </c>
      <c r="G4991" s="9" t="s">
        <v>221</v>
      </c>
      <c r="H4991" s="9" t="n">
        <v>1200</v>
      </c>
      <c r="I4991" s="29" t="n">
        <v>2</v>
      </c>
      <c r="J4991" s="9" t="n">
        <v>0</v>
      </c>
      <c r="K4991" s="30"/>
      <c r="L4991" s="30"/>
      <c r="M4991" s="30"/>
      <c r="N4991" s="30"/>
      <c r="O4991" s="30"/>
      <c r="P4991" s="30"/>
      <c r="Q4991" s="30"/>
      <c r="R4991" s="30"/>
      <c r="S4991" s="30"/>
      <c r="T4991" s="30"/>
      <c r="U4991" s="21" t="str">
        <f aca="false">IF(COUNT(K4991:T4991)=0,"SOURCE EMPTY / INDUSTRIAL ONLY",IF(MIN(K4991:T4991)=1,"SERVICE READY","HOLD"))</f>
        <v>SOURCE EMPTY / INDUSTRIAL ONLY</v>
      </c>
      <c r="V4991" s="9" t="n">
        <f aca="false">IF(U4991="SERVICE READY",1,0)</f>
        <v>0</v>
      </c>
      <c r="W4991" s="6"/>
      <c r="X4991" s="6"/>
      <c r="Y4991" s="6"/>
      <c r="Z4991" s="6"/>
    </row>
    <row r="4992" customFormat="false" ht="15" hidden="false" customHeight="false" outlineLevel="0" collapsed="false">
      <c r="A4992" s="9" t="s">
        <v>5291</v>
      </c>
      <c r="B4992" s="9" t="s">
        <v>5220</v>
      </c>
      <c r="C4992" s="9" t="s">
        <v>5221</v>
      </c>
      <c r="D4992" s="9" t="s">
        <v>4731</v>
      </c>
      <c r="E4992" s="9" t="s">
        <v>1660</v>
      </c>
      <c r="F4992" s="9" t="s">
        <v>197</v>
      </c>
      <c r="G4992" s="9" t="s">
        <v>221</v>
      </c>
      <c r="H4992" s="9" t="n">
        <v>1200</v>
      </c>
      <c r="I4992" s="29" t="n">
        <v>2</v>
      </c>
      <c r="J4992" s="9" t="n">
        <v>0</v>
      </c>
      <c r="K4992" s="30"/>
      <c r="L4992" s="30"/>
      <c r="M4992" s="30"/>
      <c r="N4992" s="30"/>
      <c r="O4992" s="30"/>
      <c r="P4992" s="30"/>
      <c r="Q4992" s="30"/>
      <c r="R4992" s="30"/>
      <c r="S4992" s="30"/>
      <c r="T4992" s="30"/>
      <c r="U4992" s="21" t="str">
        <f aca="false">IF(COUNT(K4992:T4992)=0,"SOURCE EMPTY / INDUSTRIAL ONLY",IF(MIN(K4992:T4992)=1,"SERVICE READY","HOLD"))</f>
        <v>SOURCE EMPTY / INDUSTRIAL ONLY</v>
      </c>
      <c r="V4992" s="9" t="n">
        <f aca="false">IF(U4992="SERVICE READY",1,0)</f>
        <v>0</v>
      </c>
      <c r="W4992" s="6"/>
      <c r="X4992" s="6"/>
      <c r="Y4992" s="6"/>
      <c r="Z4992" s="6"/>
    </row>
    <row r="4993" customFormat="false" ht="15" hidden="false" customHeight="false" outlineLevel="0" collapsed="false">
      <c r="A4993" s="9" t="s">
        <v>5292</v>
      </c>
      <c r="B4993" s="9" t="s">
        <v>5220</v>
      </c>
      <c r="C4993" s="9" t="s">
        <v>5221</v>
      </c>
      <c r="D4993" s="9" t="s">
        <v>4731</v>
      </c>
      <c r="E4993" s="9" t="s">
        <v>1660</v>
      </c>
      <c r="F4993" s="9" t="s">
        <v>200</v>
      </c>
      <c r="G4993" s="9" t="s">
        <v>221</v>
      </c>
      <c r="H4993" s="9" t="n">
        <v>1200</v>
      </c>
      <c r="I4993" s="29" t="n">
        <v>2</v>
      </c>
      <c r="J4993" s="9" t="n">
        <v>0</v>
      </c>
      <c r="K4993" s="30"/>
      <c r="L4993" s="30"/>
      <c r="M4993" s="30"/>
      <c r="N4993" s="30"/>
      <c r="O4993" s="30"/>
      <c r="P4993" s="30"/>
      <c r="Q4993" s="30"/>
      <c r="R4993" s="30"/>
      <c r="S4993" s="30"/>
      <c r="T4993" s="30"/>
      <c r="U4993" s="21" t="str">
        <f aca="false">IF(COUNT(K4993:T4993)=0,"SOURCE EMPTY / INDUSTRIAL ONLY",IF(MIN(K4993:T4993)=1,"SERVICE READY","HOLD"))</f>
        <v>SOURCE EMPTY / INDUSTRIAL ONLY</v>
      </c>
      <c r="V4993" s="9" t="n">
        <f aca="false">IF(U4993="SERVICE READY",1,0)</f>
        <v>0</v>
      </c>
      <c r="W4993" s="6"/>
      <c r="X4993" s="6"/>
      <c r="Y4993" s="6"/>
      <c r="Z4993" s="6"/>
    </row>
    <row r="4994" customFormat="false" ht="15" hidden="false" customHeight="false" outlineLevel="0" collapsed="false">
      <c r="A4994" s="9" t="s">
        <v>5293</v>
      </c>
      <c r="B4994" s="9" t="s">
        <v>5220</v>
      </c>
      <c r="C4994" s="9" t="s">
        <v>5221</v>
      </c>
      <c r="D4994" s="9" t="s">
        <v>4731</v>
      </c>
      <c r="E4994" s="9" t="s">
        <v>1660</v>
      </c>
      <c r="F4994" s="9" t="s">
        <v>203</v>
      </c>
      <c r="G4994" s="9" t="s">
        <v>221</v>
      </c>
      <c r="H4994" s="9" t="n">
        <v>1200</v>
      </c>
      <c r="I4994" s="29" t="n">
        <v>2</v>
      </c>
      <c r="J4994" s="9" t="n">
        <v>0</v>
      </c>
      <c r="K4994" s="30"/>
      <c r="L4994" s="30"/>
      <c r="M4994" s="30"/>
      <c r="N4994" s="30"/>
      <c r="O4994" s="30"/>
      <c r="P4994" s="30"/>
      <c r="Q4994" s="30"/>
      <c r="R4994" s="30"/>
      <c r="S4994" s="30"/>
      <c r="T4994" s="30"/>
      <c r="U4994" s="21" t="str">
        <f aca="false">IF(COUNT(K4994:T4994)=0,"SOURCE EMPTY / INDUSTRIAL ONLY",IF(MIN(K4994:T4994)=1,"SERVICE READY","HOLD"))</f>
        <v>SOURCE EMPTY / INDUSTRIAL ONLY</v>
      </c>
      <c r="V4994" s="9" t="n">
        <f aca="false">IF(U4994="SERVICE READY",1,0)</f>
        <v>0</v>
      </c>
      <c r="W4994" s="6"/>
      <c r="X4994" s="6"/>
      <c r="Y4994" s="6"/>
      <c r="Z4994" s="6"/>
    </row>
    <row r="4995" customFormat="false" ht="15" hidden="false" customHeight="false" outlineLevel="0" collapsed="false">
      <c r="A4995" s="9" t="s">
        <v>5294</v>
      </c>
      <c r="B4995" s="9" t="s">
        <v>5220</v>
      </c>
      <c r="C4995" s="9" t="s">
        <v>5221</v>
      </c>
      <c r="D4995" s="9" t="s">
        <v>4731</v>
      </c>
      <c r="E4995" s="9" t="s">
        <v>1660</v>
      </c>
      <c r="F4995" s="9" t="s">
        <v>205</v>
      </c>
      <c r="G4995" s="9" t="s">
        <v>221</v>
      </c>
      <c r="H4995" s="9" t="n">
        <v>1200</v>
      </c>
      <c r="I4995" s="29" t="n">
        <v>2</v>
      </c>
      <c r="J4995" s="9" t="n">
        <v>0</v>
      </c>
      <c r="K4995" s="30"/>
      <c r="L4995" s="30"/>
      <c r="M4995" s="30"/>
      <c r="N4995" s="30"/>
      <c r="O4995" s="30"/>
      <c r="P4995" s="30"/>
      <c r="Q4995" s="30"/>
      <c r="R4995" s="30"/>
      <c r="S4995" s="30"/>
      <c r="T4995" s="30"/>
      <c r="U4995" s="21" t="str">
        <f aca="false">IF(COUNT(K4995:T4995)=0,"SOURCE EMPTY / INDUSTRIAL ONLY",IF(MIN(K4995:T4995)=1,"SERVICE READY","HOLD"))</f>
        <v>SOURCE EMPTY / INDUSTRIAL ONLY</v>
      </c>
      <c r="V4995" s="9" t="n">
        <f aca="false">IF(U4995="SERVICE READY",1,0)</f>
        <v>0</v>
      </c>
      <c r="W4995" s="6"/>
      <c r="X4995" s="6"/>
      <c r="Y4995" s="6"/>
      <c r="Z4995" s="6"/>
    </row>
    <row r="4996" customFormat="false" ht="15" hidden="false" customHeight="false" outlineLevel="0" collapsed="false">
      <c r="A4996" s="9" t="s">
        <v>5295</v>
      </c>
      <c r="B4996" s="9" t="s">
        <v>5296</v>
      </c>
      <c r="C4996" s="9" t="s">
        <v>5297</v>
      </c>
      <c r="D4996" s="9" t="s">
        <v>4731</v>
      </c>
      <c r="E4996" s="9" t="s">
        <v>1660</v>
      </c>
      <c r="F4996" s="9" t="s">
        <v>197</v>
      </c>
      <c r="G4996" s="9" t="s">
        <v>198</v>
      </c>
      <c r="H4996" s="9" t="n">
        <v>1200</v>
      </c>
      <c r="I4996" s="29" t="n">
        <v>3</v>
      </c>
      <c r="J4996" s="9" t="n">
        <v>1</v>
      </c>
      <c r="K4996" s="30"/>
      <c r="L4996" s="30"/>
      <c r="M4996" s="30"/>
      <c r="N4996" s="30"/>
      <c r="O4996" s="30"/>
      <c r="P4996" s="30"/>
      <c r="Q4996" s="30"/>
      <c r="R4996" s="30"/>
      <c r="S4996" s="30"/>
      <c r="T4996" s="30"/>
      <c r="U4996" s="21" t="str">
        <f aca="false">IF(COUNT(K4996:T4996)=0,"SOURCE EMPTY / INDUSTRIAL ONLY",IF(MIN(K4996:T4996)=1,"SERVICE READY","HOLD"))</f>
        <v>SOURCE EMPTY / INDUSTRIAL ONLY</v>
      </c>
      <c r="V4996" s="9" t="n">
        <f aca="false">IF(U4996="SERVICE READY",1,0)</f>
        <v>0</v>
      </c>
      <c r="W4996" s="6"/>
      <c r="X4996" s="6"/>
      <c r="Y4996" s="6"/>
      <c r="Z4996" s="6"/>
    </row>
    <row r="4997" customFormat="false" ht="15" hidden="false" customHeight="false" outlineLevel="0" collapsed="false">
      <c r="A4997" s="9" t="s">
        <v>5298</v>
      </c>
      <c r="B4997" s="9" t="s">
        <v>5296</v>
      </c>
      <c r="C4997" s="9" t="s">
        <v>5297</v>
      </c>
      <c r="D4997" s="9" t="s">
        <v>4731</v>
      </c>
      <c r="E4997" s="9" t="s">
        <v>1660</v>
      </c>
      <c r="F4997" s="9" t="s">
        <v>200</v>
      </c>
      <c r="G4997" s="9" t="s">
        <v>201</v>
      </c>
      <c r="H4997" s="9" t="n">
        <v>1200</v>
      </c>
      <c r="I4997" s="29" t="n">
        <v>3</v>
      </c>
      <c r="J4997" s="9" t="n">
        <v>1</v>
      </c>
      <c r="K4997" s="30"/>
      <c r="L4997" s="30"/>
      <c r="M4997" s="30"/>
      <c r="N4997" s="30"/>
      <c r="O4997" s="30"/>
      <c r="P4997" s="30"/>
      <c r="Q4997" s="30"/>
      <c r="R4997" s="30"/>
      <c r="S4997" s="30"/>
      <c r="T4997" s="30"/>
      <c r="U4997" s="21" t="str">
        <f aca="false">IF(COUNT(K4997:T4997)=0,"SOURCE EMPTY / INDUSTRIAL ONLY",IF(MIN(K4997:T4997)=1,"SERVICE READY","HOLD"))</f>
        <v>SOURCE EMPTY / INDUSTRIAL ONLY</v>
      </c>
      <c r="V4997" s="9" t="n">
        <f aca="false">IF(U4997="SERVICE READY",1,0)</f>
        <v>0</v>
      </c>
      <c r="W4997" s="6"/>
      <c r="X4997" s="6"/>
      <c r="Y4997" s="6"/>
      <c r="Z4997" s="6"/>
    </row>
    <row r="4998" customFormat="false" ht="15" hidden="false" customHeight="false" outlineLevel="0" collapsed="false">
      <c r="A4998" s="9" t="s">
        <v>5299</v>
      </c>
      <c r="B4998" s="9" t="s">
        <v>5296</v>
      </c>
      <c r="C4998" s="9" t="s">
        <v>5297</v>
      </c>
      <c r="D4998" s="9" t="s">
        <v>4731</v>
      </c>
      <c r="E4998" s="9" t="s">
        <v>1660</v>
      </c>
      <c r="F4998" s="9" t="s">
        <v>203</v>
      </c>
      <c r="G4998" s="9" t="s">
        <v>198</v>
      </c>
      <c r="H4998" s="9" t="n">
        <v>1200</v>
      </c>
      <c r="I4998" s="29" t="n">
        <v>3</v>
      </c>
      <c r="J4998" s="9" t="n">
        <v>1</v>
      </c>
      <c r="K4998" s="30"/>
      <c r="L4998" s="30"/>
      <c r="M4998" s="30"/>
      <c r="N4998" s="30"/>
      <c r="O4998" s="30"/>
      <c r="P4998" s="30"/>
      <c r="Q4998" s="30"/>
      <c r="R4998" s="30"/>
      <c r="S4998" s="30"/>
      <c r="T4998" s="30"/>
      <c r="U4998" s="21" t="str">
        <f aca="false">IF(COUNT(K4998:T4998)=0,"SOURCE EMPTY / INDUSTRIAL ONLY",IF(MIN(K4998:T4998)=1,"SERVICE READY","HOLD"))</f>
        <v>SOURCE EMPTY / INDUSTRIAL ONLY</v>
      </c>
      <c r="V4998" s="9" t="n">
        <f aca="false">IF(U4998="SERVICE READY",1,0)</f>
        <v>0</v>
      </c>
      <c r="W4998" s="6"/>
      <c r="X4998" s="6"/>
      <c r="Y4998" s="6"/>
      <c r="Z4998" s="6"/>
    </row>
    <row r="4999" customFormat="false" ht="15" hidden="false" customHeight="false" outlineLevel="0" collapsed="false">
      <c r="A4999" s="9" t="s">
        <v>5300</v>
      </c>
      <c r="B4999" s="9" t="s">
        <v>5296</v>
      </c>
      <c r="C4999" s="9" t="s">
        <v>5297</v>
      </c>
      <c r="D4999" s="9" t="s">
        <v>4731</v>
      </c>
      <c r="E4999" s="9" t="s">
        <v>1660</v>
      </c>
      <c r="F4999" s="9" t="s">
        <v>205</v>
      </c>
      <c r="G4999" s="9" t="s">
        <v>201</v>
      </c>
      <c r="H4999" s="9" t="n">
        <v>1200</v>
      </c>
      <c r="I4999" s="29" t="n">
        <v>3</v>
      </c>
      <c r="J4999" s="9" t="n">
        <v>1</v>
      </c>
      <c r="K4999" s="30"/>
      <c r="L4999" s="30"/>
      <c r="M4999" s="30"/>
      <c r="N4999" s="30"/>
      <c r="O4999" s="30"/>
      <c r="P4999" s="30"/>
      <c r="Q4999" s="30"/>
      <c r="R4999" s="30"/>
      <c r="S4999" s="30"/>
      <c r="T4999" s="30"/>
      <c r="U4999" s="21" t="str">
        <f aca="false">IF(COUNT(K4999:T4999)=0,"SOURCE EMPTY / INDUSTRIAL ONLY",IF(MIN(K4999:T4999)=1,"SERVICE READY","HOLD"))</f>
        <v>SOURCE EMPTY / INDUSTRIAL ONLY</v>
      </c>
      <c r="V4999" s="9" t="n">
        <f aca="false">IF(U4999="SERVICE READY",1,0)</f>
        <v>0</v>
      </c>
      <c r="W4999" s="6"/>
      <c r="X4999" s="6"/>
      <c r="Y4999" s="6"/>
      <c r="Z4999" s="6"/>
    </row>
    <row r="5000" customFormat="false" ht="15" hidden="false" customHeight="false" outlineLevel="0" collapsed="false">
      <c r="A5000" s="9" t="s">
        <v>5301</v>
      </c>
      <c r="B5000" s="9" t="s">
        <v>5296</v>
      </c>
      <c r="C5000" s="9" t="s">
        <v>5297</v>
      </c>
      <c r="D5000" s="9" t="s">
        <v>4731</v>
      </c>
      <c r="E5000" s="9" t="s">
        <v>1660</v>
      </c>
      <c r="F5000" s="9" t="s">
        <v>207</v>
      </c>
      <c r="G5000" s="9" t="s">
        <v>198</v>
      </c>
      <c r="H5000" s="9" t="n">
        <v>1200</v>
      </c>
      <c r="I5000" s="29" t="n">
        <v>3</v>
      </c>
      <c r="J5000" s="9" t="n">
        <v>1</v>
      </c>
      <c r="K5000" s="30"/>
      <c r="L5000" s="30"/>
      <c r="M5000" s="30"/>
      <c r="N5000" s="30"/>
      <c r="O5000" s="30"/>
      <c r="P5000" s="30"/>
      <c r="Q5000" s="30"/>
      <c r="R5000" s="30"/>
      <c r="S5000" s="30"/>
      <c r="T5000" s="30"/>
      <c r="U5000" s="21" t="str">
        <f aca="false">IF(COUNT(K5000:T5000)=0,"SOURCE EMPTY / INDUSTRIAL ONLY",IF(MIN(K5000:T5000)=1,"SERVICE READY","HOLD"))</f>
        <v>SOURCE EMPTY / INDUSTRIAL ONLY</v>
      </c>
      <c r="V5000" s="9" t="n">
        <f aca="false">IF(U5000="SERVICE READY",1,0)</f>
        <v>0</v>
      </c>
      <c r="W5000" s="6"/>
      <c r="X5000" s="6"/>
      <c r="Y5000" s="6"/>
      <c r="Z5000" s="6"/>
    </row>
    <row r="5001" customFormat="false" ht="15" hidden="false" customHeight="false" outlineLevel="0" collapsed="false">
      <c r="A5001" s="9" t="s">
        <v>5302</v>
      </c>
      <c r="B5001" s="9" t="s">
        <v>5296</v>
      </c>
      <c r="C5001" s="9" t="s">
        <v>5297</v>
      </c>
      <c r="D5001" s="9" t="s">
        <v>4731</v>
      </c>
      <c r="E5001" s="9" t="s">
        <v>1660</v>
      </c>
      <c r="F5001" s="9" t="s">
        <v>209</v>
      </c>
      <c r="G5001" s="9" t="s">
        <v>201</v>
      </c>
      <c r="H5001" s="9" t="n">
        <v>1200</v>
      </c>
      <c r="I5001" s="29" t="n">
        <v>3</v>
      </c>
      <c r="J5001" s="9" t="n">
        <v>1</v>
      </c>
      <c r="K5001" s="30"/>
      <c r="L5001" s="30"/>
      <c r="M5001" s="30"/>
      <c r="N5001" s="30"/>
      <c r="O5001" s="30"/>
      <c r="P5001" s="30"/>
      <c r="Q5001" s="30"/>
      <c r="R5001" s="30"/>
      <c r="S5001" s="30"/>
      <c r="T5001" s="30"/>
      <c r="U5001" s="21" t="str">
        <f aca="false">IF(COUNT(K5001:T5001)=0,"SOURCE EMPTY / INDUSTRIAL ONLY",IF(MIN(K5001:T5001)=1,"SERVICE READY","HOLD"))</f>
        <v>SOURCE EMPTY / INDUSTRIAL ONLY</v>
      </c>
      <c r="V5001" s="9" t="n">
        <f aca="false">IF(U5001="SERVICE READY",1,0)</f>
        <v>0</v>
      </c>
      <c r="W5001" s="6"/>
      <c r="X5001" s="6"/>
      <c r="Y5001" s="6"/>
      <c r="Z5001" s="6"/>
    </row>
    <row r="5002" customFormat="false" ht="15" hidden="false" customHeight="false" outlineLevel="0" collapsed="false">
      <c r="A5002" s="9" t="s">
        <v>5303</v>
      </c>
      <c r="B5002" s="9" t="s">
        <v>5296</v>
      </c>
      <c r="C5002" s="9" t="s">
        <v>5297</v>
      </c>
      <c r="D5002" s="9" t="s">
        <v>4731</v>
      </c>
      <c r="E5002" s="9" t="s">
        <v>1660</v>
      </c>
      <c r="F5002" s="9" t="s">
        <v>211</v>
      </c>
      <c r="G5002" s="9" t="s">
        <v>198</v>
      </c>
      <c r="H5002" s="9" t="n">
        <v>1200</v>
      </c>
      <c r="I5002" s="29" t="n">
        <v>3</v>
      </c>
      <c r="J5002" s="9" t="n">
        <v>1</v>
      </c>
      <c r="K5002" s="30"/>
      <c r="L5002" s="30"/>
      <c r="M5002" s="30"/>
      <c r="N5002" s="30"/>
      <c r="O5002" s="30"/>
      <c r="P5002" s="30"/>
      <c r="Q5002" s="30"/>
      <c r="R5002" s="30"/>
      <c r="S5002" s="30"/>
      <c r="T5002" s="30"/>
      <c r="U5002" s="21" t="str">
        <f aca="false">IF(COUNT(K5002:T5002)=0,"SOURCE EMPTY / INDUSTRIAL ONLY",IF(MIN(K5002:T5002)=1,"SERVICE READY","HOLD"))</f>
        <v>SOURCE EMPTY / INDUSTRIAL ONLY</v>
      </c>
      <c r="V5002" s="9" t="n">
        <f aca="false">IF(U5002="SERVICE READY",1,0)</f>
        <v>0</v>
      </c>
      <c r="W5002" s="6"/>
      <c r="X5002" s="6"/>
      <c r="Y5002" s="6"/>
      <c r="Z5002" s="6"/>
    </row>
    <row r="5003" customFormat="false" ht="15" hidden="false" customHeight="false" outlineLevel="0" collapsed="false">
      <c r="A5003" s="9" t="s">
        <v>5304</v>
      </c>
      <c r="B5003" s="9" t="s">
        <v>5296</v>
      </c>
      <c r="C5003" s="9" t="s">
        <v>5297</v>
      </c>
      <c r="D5003" s="9" t="s">
        <v>4731</v>
      </c>
      <c r="E5003" s="9" t="s">
        <v>1660</v>
      </c>
      <c r="F5003" s="9" t="s">
        <v>197</v>
      </c>
      <c r="G5003" s="9" t="s">
        <v>201</v>
      </c>
      <c r="H5003" s="9" t="n">
        <v>1200</v>
      </c>
      <c r="I5003" s="29" t="n">
        <v>3</v>
      </c>
      <c r="J5003" s="9" t="n">
        <v>1</v>
      </c>
      <c r="K5003" s="30"/>
      <c r="L5003" s="30"/>
      <c r="M5003" s="30"/>
      <c r="N5003" s="30"/>
      <c r="O5003" s="30"/>
      <c r="P5003" s="30"/>
      <c r="Q5003" s="30"/>
      <c r="R5003" s="30"/>
      <c r="S5003" s="30"/>
      <c r="T5003" s="30"/>
      <c r="U5003" s="21" t="str">
        <f aca="false">IF(COUNT(K5003:T5003)=0,"SOURCE EMPTY / INDUSTRIAL ONLY",IF(MIN(K5003:T5003)=1,"SERVICE READY","HOLD"))</f>
        <v>SOURCE EMPTY / INDUSTRIAL ONLY</v>
      </c>
      <c r="V5003" s="9" t="n">
        <f aca="false">IF(U5003="SERVICE READY",1,0)</f>
        <v>0</v>
      </c>
      <c r="W5003" s="6"/>
      <c r="X5003" s="6"/>
      <c r="Y5003" s="6"/>
      <c r="Z5003" s="6"/>
    </row>
    <row r="5004" customFormat="false" ht="15" hidden="false" customHeight="false" outlineLevel="0" collapsed="false">
      <c r="A5004" s="9" t="s">
        <v>5305</v>
      </c>
      <c r="B5004" s="9" t="s">
        <v>5296</v>
      </c>
      <c r="C5004" s="9" t="s">
        <v>5297</v>
      </c>
      <c r="D5004" s="9" t="s">
        <v>4731</v>
      </c>
      <c r="E5004" s="9" t="s">
        <v>1660</v>
      </c>
      <c r="F5004" s="9" t="s">
        <v>200</v>
      </c>
      <c r="G5004" s="9" t="s">
        <v>198</v>
      </c>
      <c r="H5004" s="9" t="n">
        <v>1200</v>
      </c>
      <c r="I5004" s="29" t="n">
        <v>3</v>
      </c>
      <c r="J5004" s="9" t="n">
        <v>1</v>
      </c>
      <c r="K5004" s="30"/>
      <c r="L5004" s="30"/>
      <c r="M5004" s="30"/>
      <c r="N5004" s="30"/>
      <c r="O5004" s="30"/>
      <c r="P5004" s="30"/>
      <c r="Q5004" s="30"/>
      <c r="R5004" s="30"/>
      <c r="S5004" s="30"/>
      <c r="T5004" s="30"/>
      <c r="U5004" s="21" t="str">
        <f aca="false">IF(COUNT(K5004:T5004)=0,"SOURCE EMPTY / INDUSTRIAL ONLY",IF(MIN(K5004:T5004)=1,"SERVICE READY","HOLD"))</f>
        <v>SOURCE EMPTY / INDUSTRIAL ONLY</v>
      </c>
      <c r="V5004" s="9" t="n">
        <f aca="false">IF(U5004="SERVICE READY",1,0)</f>
        <v>0</v>
      </c>
      <c r="W5004" s="6"/>
      <c r="X5004" s="6"/>
      <c r="Y5004" s="6"/>
      <c r="Z5004" s="6"/>
    </row>
    <row r="5005" customFormat="false" ht="15" hidden="false" customHeight="false" outlineLevel="0" collapsed="false">
      <c r="A5005" s="9" t="s">
        <v>5306</v>
      </c>
      <c r="B5005" s="9" t="s">
        <v>5296</v>
      </c>
      <c r="C5005" s="9" t="s">
        <v>5297</v>
      </c>
      <c r="D5005" s="9" t="s">
        <v>4731</v>
      </c>
      <c r="E5005" s="9" t="s">
        <v>1660</v>
      </c>
      <c r="F5005" s="9" t="s">
        <v>203</v>
      </c>
      <c r="G5005" s="9" t="s">
        <v>201</v>
      </c>
      <c r="H5005" s="9" t="n">
        <v>1200</v>
      </c>
      <c r="I5005" s="29" t="n">
        <v>3</v>
      </c>
      <c r="J5005" s="9" t="n">
        <v>1</v>
      </c>
      <c r="K5005" s="30"/>
      <c r="L5005" s="30"/>
      <c r="M5005" s="30"/>
      <c r="N5005" s="30"/>
      <c r="O5005" s="30"/>
      <c r="P5005" s="30"/>
      <c r="Q5005" s="30"/>
      <c r="R5005" s="30"/>
      <c r="S5005" s="30"/>
      <c r="T5005" s="30"/>
      <c r="U5005" s="21" t="str">
        <f aca="false">IF(COUNT(K5005:T5005)=0,"SOURCE EMPTY / INDUSTRIAL ONLY",IF(MIN(K5005:T5005)=1,"SERVICE READY","HOLD"))</f>
        <v>SOURCE EMPTY / INDUSTRIAL ONLY</v>
      </c>
      <c r="V5005" s="9" t="n">
        <f aca="false">IF(U5005="SERVICE READY",1,0)</f>
        <v>0</v>
      </c>
      <c r="W5005" s="6"/>
      <c r="X5005" s="6"/>
      <c r="Y5005" s="6"/>
      <c r="Z5005" s="6"/>
    </row>
    <row r="5006" customFormat="false" ht="15" hidden="false" customHeight="false" outlineLevel="0" collapsed="false">
      <c r="A5006" s="9" t="s">
        <v>5307</v>
      </c>
      <c r="B5006" s="9" t="s">
        <v>5296</v>
      </c>
      <c r="C5006" s="9" t="s">
        <v>5297</v>
      </c>
      <c r="D5006" s="9" t="s">
        <v>4731</v>
      </c>
      <c r="E5006" s="9" t="s">
        <v>1660</v>
      </c>
      <c r="F5006" s="9" t="s">
        <v>205</v>
      </c>
      <c r="G5006" s="9" t="s">
        <v>198</v>
      </c>
      <c r="H5006" s="9" t="n">
        <v>1200</v>
      </c>
      <c r="I5006" s="29" t="n">
        <v>3</v>
      </c>
      <c r="J5006" s="9" t="n">
        <v>1</v>
      </c>
      <c r="K5006" s="30"/>
      <c r="L5006" s="30"/>
      <c r="M5006" s="30"/>
      <c r="N5006" s="30"/>
      <c r="O5006" s="30"/>
      <c r="P5006" s="30"/>
      <c r="Q5006" s="30"/>
      <c r="R5006" s="30"/>
      <c r="S5006" s="30"/>
      <c r="T5006" s="30"/>
      <c r="U5006" s="21" t="str">
        <f aca="false">IF(COUNT(K5006:T5006)=0,"SOURCE EMPTY / INDUSTRIAL ONLY",IF(MIN(K5006:T5006)=1,"SERVICE READY","HOLD"))</f>
        <v>SOURCE EMPTY / INDUSTRIAL ONLY</v>
      </c>
      <c r="V5006" s="9" t="n">
        <f aca="false">IF(U5006="SERVICE READY",1,0)</f>
        <v>0</v>
      </c>
      <c r="W5006" s="6"/>
      <c r="X5006" s="6"/>
      <c r="Y5006" s="6"/>
      <c r="Z5006" s="6"/>
    </row>
    <row r="5007" customFormat="false" ht="15" hidden="false" customHeight="false" outlineLevel="0" collapsed="false">
      <c r="A5007" s="9" t="s">
        <v>5308</v>
      </c>
      <c r="B5007" s="9" t="s">
        <v>5296</v>
      </c>
      <c r="C5007" s="9" t="s">
        <v>5297</v>
      </c>
      <c r="D5007" s="9" t="s">
        <v>4731</v>
      </c>
      <c r="E5007" s="9" t="s">
        <v>1660</v>
      </c>
      <c r="F5007" s="9" t="s">
        <v>207</v>
      </c>
      <c r="G5007" s="9" t="s">
        <v>201</v>
      </c>
      <c r="H5007" s="9" t="n">
        <v>1200</v>
      </c>
      <c r="I5007" s="29" t="n">
        <v>3</v>
      </c>
      <c r="J5007" s="9" t="n">
        <v>1</v>
      </c>
      <c r="K5007" s="30"/>
      <c r="L5007" s="30"/>
      <c r="M5007" s="30"/>
      <c r="N5007" s="30"/>
      <c r="O5007" s="30"/>
      <c r="P5007" s="30"/>
      <c r="Q5007" s="30"/>
      <c r="R5007" s="30"/>
      <c r="S5007" s="30"/>
      <c r="T5007" s="30"/>
      <c r="U5007" s="21" t="str">
        <f aca="false">IF(COUNT(K5007:T5007)=0,"SOURCE EMPTY / INDUSTRIAL ONLY",IF(MIN(K5007:T5007)=1,"SERVICE READY","HOLD"))</f>
        <v>SOURCE EMPTY / INDUSTRIAL ONLY</v>
      </c>
      <c r="V5007" s="9" t="n">
        <f aca="false">IF(U5007="SERVICE READY",1,0)</f>
        <v>0</v>
      </c>
      <c r="W5007" s="6"/>
      <c r="X5007" s="6"/>
      <c r="Y5007" s="6"/>
      <c r="Z5007" s="6"/>
    </row>
    <row r="5008" customFormat="false" ht="15" hidden="false" customHeight="false" outlineLevel="0" collapsed="false">
      <c r="A5008" s="9" t="s">
        <v>5309</v>
      </c>
      <c r="B5008" s="9" t="s">
        <v>5296</v>
      </c>
      <c r="C5008" s="9" t="s">
        <v>5297</v>
      </c>
      <c r="D5008" s="9" t="s">
        <v>4731</v>
      </c>
      <c r="E5008" s="9" t="s">
        <v>1660</v>
      </c>
      <c r="F5008" s="9" t="s">
        <v>209</v>
      </c>
      <c r="G5008" s="9" t="s">
        <v>198</v>
      </c>
      <c r="H5008" s="9" t="n">
        <v>1200</v>
      </c>
      <c r="I5008" s="29" t="n">
        <v>3</v>
      </c>
      <c r="J5008" s="9" t="n">
        <v>1</v>
      </c>
      <c r="K5008" s="30"/>
      <c r="L5008" s="30"/>
      <c r="M5008" s="30"/>
      <c r="N5008" s="30"/>
      <c r="O5008" s="30"/>
      <c r="P5008" s="30"/>
      <c r="Q5008" s="30"/>
      <c r="R5008" s="30"/>
      <c r="S5008" s="30"/>
      <c r="T5008" s="30"/>
      <c r="U5008" s="21" t="str">
        <f aca="false">IF(COUNT(K5008:T5008)=0,"SOURCE EMPTY / INDUSTRIAL ONLY",IF(MIN(K5008:T5008)=1,"SERVICE READY","HOLD"))</f>
        <v>SOURCE EMPTY / INDUSTRIAL ONLY</v>
      </c>
      <c r="V5008" s="9" t="n">
        <f aca="false">IF(U5008="SERVICE READY",1,0)</f>
        <v>0</v>
      </c>
      <c r="W5008" s="6"/>
      <c r="X5008" s="6"/>
      <c r="Y5008" s="6"/>
      <c r="Z5008" s="6"/>
    </row>
    <row r="5009" customFormat="false" ht="15" hidden="false" customHeight="false" outlineLevel="0" collapsed="false">
      <c r="A5009" s="9" t="s">
        <v>5310</v>
      </c>
      <c r="B5009" s="9" t="s">
        <v>5296</v>
      </c>
      <c r="C5009" s="9" t="s">
        <v>5297</v>
      </c>
      <c r="D5009" s="9" t="s">
        <v>4731</v>
      </c>
      <c r="E5009" s="9" t="s">
        <v>1660</v>
      </c>
      <c r="F5009" s="9" t="s">
        <v>211</v>
      </c>
      <c r="G5009" s="9" t="s">
        <v>201</v>
      </c>
      <c r="H5009" s="9" t="n">
        <v>1200</v>
      </c>
      <c r="I5009" s="29" t="n">
        <v>3</v>
      </c>
      <c r="J5009" s="9" t="n">
        <v>1</v>
      </c>
      <c r="K5009" s="30"/>
      <c r="L5009" s="30"/>
      <c r="M5009" s="30"/>
      <c r="N5009" s="30"/>
      <c r="O5009" s="30"/>
      <c r="P5009" s="30"/>
      <c r="Q5009" s="30"/>
      <c r="R5009" s="30"/>
      <c r="S5009" s="30"/>
      <c r="T5009" s="30"/>
      <c r="U5009" s="21" t="str">
        <f aca="false">IF(COUNT(K5009:T5009)=0,"SOURCE EMPTY / INDUSTRIAL ONLY",IF(MIN(K5009:T5009)=1,"SERVICE READY","HOLD"))</f>
        <v>SOURCE EMPTY / INDUSTRIAL ONLY</v>
      </c>
      <c r="V5009" s="9" t="n">
        <f aca="false">IF(U5009="SERVICE READY",1,0)</f>
        <v>0</v>
      </c>
      <c r="W5009" s="6"/>
      <c r="X5009" s="6"/>
      <c r="Y5009" s="6"/>
      <c r="Z5009" s="6"/>
    </row>
    <row r="5010" customFormat="false" ht="15" hidden="false" customHeight="false" outlineLevel="0" collapsed="false">
      <c r="A5010" s="9" t="s">
        <v>5311</v>
      </c>
      <c r="B5010" s="9" t="s">
        <v>5296</v>
      </c>
      <c r="C5010" s="9" t="s">
        <v>5297</v>
      </c>
      <c r="D5010" s="9" t="s">
        <v>4731</v>
      </c>
      <c r="E5010" s="9" t="s">
        <v>1660</v>
      </c>
      <c r="F5010" s="9" t="s">
        <v>197</v>
      </c>
      <c r="G5010" s="9" t="s">
        <v>198</v>
      </c>
      <c r="H5010" s="9" t="n">
        <v>1200</v>
      </c>
      <c r="I5010" s="29" t="n">
        <v>3</v>
      </c>
      <c r="J5010" s="9" t="n">
        <v>1</v>
      </c>
      <c r="K5010" s="30"/>
      <c r="L5010" s="30"/>
      <c r="M5010" s="30"/>
      <c r="N5010" s="30"/>
      <c r="O5010" s="30"/>
      <c r="P5010" s="30"/>
      <c r="Q5010" s="30"/>
      <c r="R5010" s="30"/>
      <c r="S5010" s="30"/>
      <c r="T5010" s="30"/>
      <c r="U5010" s="21" t="str">
        <f aca="false">IF(COUNT(K5010:T5010)=0,"SOURCE EMPTY / INDUSTRIAL ONLY",IF(MIN(K5010:T5010)=1,"SERVICE READY","HOLD"))</f>
        <v>SOURCE EMPTY / INDUSTRIAL ONLY</v>
      </c>
      <c r="V5010" s="9" t="n">
        <f aca="false">IF(U5010="SERVICE READY",1,0)</f>
        <v>0</v>
      </c>
      <c r="W5010" s="6"/>
      <c r="X5010" s="6"/>
      <c r="Y5010" s="6"/>
      <c r="Z5010" s="6"/>
    </row>
    <row r="5011" customFormat="false" ht="15" hidden="false" customHeight="false" outlineLevel="0" collapsed="false">
      <c r="A5011" s="9" t="s">
        <v>5312</v>
      </c>
      <c r="B5011" s="9" t="s">
        <v>5296</v>
      </c>
      <c r="C5011" s="9" t="s">
        <v>5297</v>
      </c>
      <c r="D5011" s="9" t="s">
        <v>4731</v>
      </c>
      <c r="E5011" s="9" t="s">
        <v>1660</v>
      </c>
      <c r="F5011" s="9" t="s">
        <v>200</v>
      </c>
      <c r="G5011" s="9" t="s">
        <v>201</v>
      </c>
      <c r="H5011" s="9" t="n">
        <v>1200</v>
      </c>
      <c r="I5011" s="29" t="n">
        <v>3</v>
      </c>
      <c r="J5011" s="9" t="n">
        <v>1</v>
      </c>
      <c r="K5011" s="30"/>
      <c r="L5011" s="30"/>
      <c r="M5011" s="30"/>
      <c r="N5011" s="30"/>
      <c r="O5011" s="30"/>
      <c r="P5011" s="30"/>
      <c r="Q5011" s="30"/>
      <c r="R5011" s="30"/>
      <c r="S5011" s="30"/>
      <c r="T5011" s="30"/>
      <c r="U5011" s="21" t="str">
        <f aca="false">IF(COUNT(K5011:T5011)=0,"SOURCE EMPTY / INDUSTRIAL ONLY",IF(MIN(K5011:T5011)=1,"SERVICE READY","HOLD"))</f>
        <v>SOURCE EMPTY / INDUSTRIAL ONLY</v>
      </c>
      <c r="V5011" s="9" t="n">
        <f aca="false">IF(U5011="SERVICE READY",1,0)</f>
        <v>0</v>
      </c>
      <c r="W5011" s="6"/>
      <c r="X5011" s="6"/>
      <c r="Y5011" s="6"/>
      <c r="Z5011" s="6"/>
    </row>
    <row r="5012" customFormat="false" ht="15" hidden="false" customHeight="false" outlineLevel="0" collapsed="false">
      <c r="A5012" s="9" t="s">
        <v>5313</v>
      </c>
      <c r="B5012" s="9" t="s">
        <v>5296</v>
      </c>
      <c r="C5012" s="9" t="s">
        <v>5297</v>
      </c>
      <c r="D5012" s="9" t="s">
        <v>4731</v>
      </c>
      <c r="E5012" s="9" t="s">
        <v>1660</v>
      </c>
      <c r="F5012" s="9" t="s">
        <v>203</v>
      </c>
      <c r="G5012" s="9" t="s">
        <v>198</v>
      </c>
      <c r="H5012" s="9" t="n">
        <v>1200</v>
      </c>
      <c r="I5012" s="29" t="n">
        <v>3</v>
      </c>
      <c r="J5012" s="9" t="n">
        <v>1</v>
      </c>
      <c r="K5012" s="30"/>
      <c r="L5012" s="30"/>
      <c r="M5012" s="30"/>
      <c r="N5012" s="30"/>
      <c r="O5012" s="30"/>
      <c r="P5012" s="30"/>
      <c r="Q5012" s="30"/>
      <c r="R5012" s="30"/>
      <c r="S5012" s="30"/>
      <c r="T5012" s="30"/>
      <c r="U5012" s="21" t="str">
        <f aca="false">IF(COUNT(K5012:T5012)=0,"SOURCE EMPTY / INDUSTRIAL ONLY",IF(MIN(K5012:T5012)=1,"SERVICE READY","HOLD"))</f>
        <v>SOURCE EMPTY / INDUSTRIAL ONLY</v>
      </c>
      <c r="V5012" s="9" t="n">
        <f aca="false">IF(U5012="SERVICE READY",1,0)</f>
        <v>0</v>
      </c>
      <c r="W5012" s="6"/>
      <c r="X5012" s="6"/>
      <c r="Y5012" s="6"/>
      <c r="Z5012" s="6"/>
    </row>
    <row r="5013" customFormat="false" ht="15" hidden="false" customHeight="false" outlineLevel="0" collapsed="false">
      <c r="A5013" s="9" t="s">
        <v>5314</v>
      </c>
      <c r="B5013" s="9" t="s">
        <v>5296</v>
      </c>
      <c r="C5013" s="9" t="s">
        <v>5297</v>
      </c>
      <c r="D5013" s="9" t="s">
        <v>4731</v>
      </c>
      <c r="E5013" s="9" t="s">
        <v>1660</v>
      </c>
      <c r="F5013" s="9" t="s">
        <v>205</v>
      </c>
      <c r="G5013" s="9" t="s">
        <v>201</v>
      </c>
      <c r="H5013" s="9" t="n">
        <v>1200</v>
      </c>
      <c r="I5013" s="29" t="n">
        <v>3</v>
      </c>
      <c r="J5013" s="9" t="n">
        <v>1</v>
      </c>
      <c r="K5013" s="30"/>
      <c r="L5013" s="30"/>
      <c r="M5013" s="30"/>
      <c r="N5013" s="30"/>
      <c r="O5013" s="30"/>
      <c r="P5013" s="30"/>
      <c r="Q5013" s="30"/>
      <c r="R5013" s="30"/>
      <c r="S5013" s="30"/>
      <c r="T5013" s="30"/>
      <c r="U5013" s="21" t="str">
        <f aca="false">IF(COUNT(K5013:T5013)=0,"SOURCE EMPTY / INDUSTRIAL ONLY",IF(MIN(K5013:T5013)=1,"SERVICE READY","HOLD"))</f>
        <v>SOURCE EMPTY / INDUSTRIAL ONLY</v>
      </c>
      <c r="V5013" s="9" t="n">
        <f aca="false">IF(U5013="SERVICE READY",1,0)</f>
        <v>0</v>
      </c>
      <c r="W5013" s="6"/>
      <c r="X5013" s="6"/>
      <c r="Y5013" s="6"/>
      <c r="Z5013" s="6"/>
    </row>
    <row r="5014" customFormat="false" ht="15" hidden="false" customHeight="false" outlineLevel="0" collapsed="false">
      <c r="A5014" s="9" t="s">
        <v>5315</v>
      </c>
      <c r="B5014" s="9" t="s">
        <v>5296</v>
      </c>
      <c r="C5014" s="9" t="s">
        <v>5297</v>
      </c>
      <c r="D5014" s="9" t="s">
        <v>4731</v>
      </c>
      <c r="E5014" s="9" t="s">
        <v>1660</v>
      </c>
      <c r="F5014" s="9" t="s">
        <v>207</v>
      </c>
      <c r="G5014" s="9" t="s">
        <v>198</v>
      </c>
      <c r="H5014" s="9" t="n">
        <v>1200</v>
      </c>
      <c r="I5014" s="29" t="n">
        <v>3</v>
      </c>
      <c r="J5014" s="9" t="n">
        <v>1</v>
      </c>
      <c r="K5014" s="30"/>
      <c r="L5014" s="30"/>
      <c r="M5014" s="30"/>
      <c r="N5014" s="30"/>
      <c r="O5014" s="30"/>
      <c r="P5014" s="30"/>
      <c r="Q5014" s="30"/>
      <c r="R5014" s="30"/>
      <c r="S5014" s="30"/>
      <c r="T5014" s="30"/>
      <c r="U5014" s="21" t="str">
        <f aca="false">IF(COUNT(K5014:T5014)=0,"SOURCE EMPTY / INDUSTRIAL ONLY",IF(MIN(K5014:T5014)=1,"SERVICE READY","HOLD"))</f>
        <v>SOURCE EMPTY / INDUSTRIAL ONLY</v>
      </c>
      <c r="V5014" s="9" t="n">
        <f aca="false">IF(U5014="SERVICE READY",1,0)</f>
        <v>0</v>
      </c>
      <c r="W5014" s="6"/>
      <c r="X5014" s="6"/>
      <c r="Y5014" s="6"/>
      <c r="Z5014" s="6"/>
    </row>
    <row r="5015" customFormat="false" ht="15" hidden="false" customHeight="false" outlineLevel="0" collapsed="false">
      <c r="A5015" s="9" t="s">
        <v>5316</v>
      </c>
      <c r="B5015" s="9" t="s">
        <v>5296</v>
      </c>
      <c r="C5015" s="9" t="s">
        <v>5297</v>
      </c>
      <c r="D5015" s="9" t="s">
        <v>4731</v>
      </c>
      <c r="E5015" s="9" t="s">
        <v>1660</v>
      </c>
      <c r="F5015" s="9" t="s">
        <v>209</v>
      </c>
      <c r="G5015" s="9" t="s">
        <v>221</v>
      </c>
      <c r="H5015" s="9" t="n">
        <v>1200</v>
      </c>
      <c r="I5015" s="29" t="n">
        <v>3</v>
      </c>
      <c r="J5015" s="9" t="n">
        <v>1</v>
      </c>
      <c r="K5015" s="30"/>
      <c r="L5015" s="30"/>
      <c r="M5015" s="30"/>
      <c r="N5015" s="30"/>
      <c r="O5015" s="30"/>
      <c r="P5015" s="30"/>
      <c r="Q5015" s="30"/>
      <c r="R5015" s="30"/>
      <c r="S5015" s="30"/>
      <c r="T5015" s="30"/>
      <c r="U5015" s="21" t="str">
        <f aca="false">IF(COUNT(K5015:T5015)=0,"SOURCE EMPTY / INDUSTRIAL ONLY",IF(MIN(K5015:T5015)=1,"SERVICE READY","HOLD"))</f>
        <v>SOURCE EMPTY / INDUSTRIAL ONLY</v>
      </c>
      <c r="V5015" s="9" t="n">
        <f aca="false">IF(U5015="SERVICE READY",1,0)</f>
        <v>0</v>
      </c>
      <c r="W5015" s="6"/>
      <c r="X5015" s="6"/>
      <c r="Y5015" s="6"/>
      <c r="Z5015" s="6"/>
    </row>
    <row r="5016" customFormat="false" ht="15" hidden="false" customHeight="false" outlineLevel="0" collapsed="false">
      <c r="A5016" s="9" t="s">
        <v>5317</v>
      </c>
      <c r="B5016" s="9" t="s">
        <v>5296</v>
      </c>
      <c r="C5016" s="9" t="s">
        <v>5297</v>
      </c>
      <c r="D5016" s="9" t="s">
        <v>4731</v>
      </c>
      <c r="E5016" s="9" t="s">
        <v>1660</v>
      </c>
      <c r="F5016" s="9" t="s">
        <v>211</v>
      </c>
      <c r="G5016" s="9" t="s">
        <v>221</v>
      </c>
      <c r="H5016" s="9" t="n">
        <v>1200</v>
      </c>
      <c r="I5016" s="29" t="n">
        <v>3</v>
      </c>
      <c r="J5016" s="9" t="n">
        <v>1</v>
      </c>
      <c r="K5016" s="30"/>
      <c r="L5016" s="30"/>
      <c r="M5016" s="30"/>
      <c r="N5016" s="30"/>
      <c r="O5016" s="30"/>
      <c r="P5016" s="30"/>
      <c r="Q5016" s="30"/>
      <c r="R5016" s="30"/>
      <c r="S5016" s="30"/>
      <c r="T5016" s="30"/>
      <c r="U5016" s="21" t="str">
        <f aca="false">IF(COUNT(K5016:T5016)=0,"SOURCE EMPTY / INDUSTRIAL ONLY",IF(MIN(K5016:T5016)=1,"SERVICE READY","HOLD"))</f>
        <v>SOURCE EMPTY / INDUSTRIAL ONLY</v>
      </c>
      <c r="V5016" s="9" t="n">
        <f aca="false">IF(U5016="SERVICE READY",1,0)</f>
        <v>0</v>
      </c>
      <c r="W5016" s="6"/>
      <c r="X5016" s="6"/>
      <c r="Y5016" s="6"/>
      <c r="Z5016" s="6"/>
    </row>
    <row r="5017" customFormat="false" ht="15" hidden="false" customHeight="false" outlineLevel="0" collapsed="false">
      <c r="A5017" s="9" t="s">
        <v>5318</v>
      </c>
      <c r="B5017" s="9" t="s">
        <v>5296</v>
      </c>
      <c r="C5017" s="9" t="s">
        <v>5297</v>
      </c>
      <c r="D5017" s="9" t="s">
        <v>4731</v>
      </c>
      <c r="E5017" s="9" t="s">
        <v>1660</v>
      </c>
      <c r="F5017" s="9" t="s">
        <v>197</v>
      </c>
      <c r="G5017" s="9" t="s">
        <v>221</v>
      </c>
      <c r="H5017" s="9" t="n">
        <v>1200</v>
      </c>
      <c r="I5017" s="29" t="n">
        <v>3</v>
      </c>
      <c r="J5017" s="9" t="n">
        <v>1</v>
      </c>
      <c r="K5017" s="30"/>
      <c r="L5017" s="30"/>
      <c r="M5017" s="30"/>
      <c r="N5017" s="30"/>
      <c r="O5017" s="30"/>
      <c r="P5017" s="30"/>
      <c r="Q5017" s="30"/>
      <c r="R5017" s="30"/>
      <c r="S5017" s="30"/>
      <c r="T5017" s="30"/>
      <c r="U5017" s="21" t="str">
        <f aca="false">IF(COUNT(K5017:T5017)=0,"SOURCE EMPTY / INDUSTRIAL ONLY",IF(MIN(K5017:T5017)=1,"SERVICE READY","HOLD"))</f>
        <v>SOURCE EMPTY / INDUSTRIAL ONLY</v>
      </c>
      <c r="V5017" s="9" t="n">
        <f aca="false">IF(U5017="SERVICE READY",1,0)</f>
        <v>0</v>
      </c>
      <c r="W5017" s="6"/>
      <c r="X5017" s="6"/>
      <c r="Y5017" s="6"/>
      <c r="Z5017" s="6"/>
    </row>
    <row r="5018" customFormat="false" ht="15" hidden="false" customHeight="false" outlineLevel="0" collapsed="false">
      <c r="A5018" s="9" t="s">
        <v>5319</v>
      </c>
      <c r="B5018" s="9" t="s">
        <v>5296</v>
      </c>
      <c r="C5018" s="9" t="s">
        <v>5297</v>
      </c>
      <c r="D5018" s="9" t="s">
        <v>4731</v>
      </c>
      <c r="E5018" s="9" t="s">
        <v>1660</v>
      </c>
      <c r="F5018" s="9" t="s">
        <v>200</v>
      </c>
      <c r="G5018" s="9" t="s">
        <v>221</v>
      </c>
      <c r="H5018" s="9" t="n">
        <v>1200</v>
      </c>
      <c r="I5018" s="29" t="n">
        <v>3</v>
      </c>
      <c r="J5018" s="9" t="n">
        <v>1</v>
      </c>
      <c r="K5018" s="30"/>
      <c r="L5018" s="30"/>
      <c r="M5018" s="30"/>
      <c r="N5018" s="30"/>
      <c r="O5018" s="30"/>
      <c r="P5018" s="30"/>
      <c r="Q5018" s="30"/>
      <c r="R5018" s="30"/>
      <c r="S5018" s="30"/>
      <c r="T5018" s="30"/>
      <c r="U5018" s="21" t="str">
        <f aca="false">IF(COUNT(K5018:T5018)=0,"SOURCE EMPTY / INDUSTRIAL ONLY",IF(MIN(K5018:T5018)=1,"SERVICE READY","HOLD"))</f>
        <v>SOURCE EMPTY / INDUSTRIAL ONLY</v>
      </c>
      <c r="V5018" s="9" t="n">
        <f aca="false">IF(U5018="SERVICE READY",1,0)</f>
        <v>0</v>
      </c>
      <c r="W5018" s="6"/>
      <c r="X5018" s="6"/>
      <c r="Y5018" s="6"/>
      <c r="Z5018" s="6"/>
    </row>
    <row r="5019" customFormat="false" ht="15" hidden="false" customHeight="false" outlineLevel="0" collapsed="false">
      <c r="A5019" s="9" t="s">
        <v>5320</v>
      </c>
      <c r="B5019" s="9" t="s">
        <v>5296</v>
      </c>
      <c r="C5019" s="9" t="s">
        <v>5297</v>
      </c>
      <c r="D5019" s="9" t="s">
        <v>4731</v>
      </c>
      <c r="E5019" s="9" t="s">
        <v>1660</v>
      </c>
      <c r="F5019" s="9" t="s">
        <v>203</v>
      </c>
      <c r="G5019" s="9" t="s">
        <v>221</v>
      </c>
      <c r="H5019" s="9" t="n">
        <v>1200</v>
      </c>
      <c r="I5019" s="29" t="n">
        <v>3</v>
      </c>
      <c r="J5019" s="9" t="n">
        <v>1</v>
      </c>
      <c r="K5019" s="30"/>
      <c r="L5019" s="30"/>
      <c r="M5019" s="30"/>
      <c r="N5019" s="30"/>
      <c r="O5019" s="30"/>
      <c r="P5019" s="30"/>
      <c r="Q5019" s="30"/>
      <c r="R5019" s="30"/>
      <c r="S5019" s="30"/>
      <c r="T5019" s="30"/>
      <c r="U5019" s="21" t="str">
        <f aca="false">IF(COUNT(K5019:T5019)=0,"SOURCE EMPTY / INDUSTRIAL ONLY",IF(MIN(K5019:T5019)=1,"SERVICE READY","HOLD"))</f>
        <v>SOURCE EMPTY / INDUSTRIAL ONLY</v>
      </c>
      <c r="V5019" s="9" t="n">
        <f aca="false">IF(U5019="SERVICE READY",1,0)</f>
        <v>0</v>
      </c>
      <c r="W5019" s="6"/>
      <c r="X5019" s="6"/>
      <c r="Y5019" s="6"/>
      <c r="Z5019" s="6"/>
    </row>
    <row r="5020" customFormat="false" ht="15" hidden="false" customHeight="false" outlineLevel="0" collapsed="false">
      <c r="A5020" s="9" t="s">
        <v>5321</v>
      </c>
      <c r="B5020" s="9" t="s">
        <v>5296</v>
      </c>
      <c r="C5020" s="9" t="s">
        <v>5297</v>
      </c>
      <c r="D5020" s="9" t="s">
        <v>4731</v>
      </c>
      <c r="E5020" s="9" t="s">
        <v>1660</v>
      </c>
      <c r="F5020" s="9" t="s">
        <v>205</v>
      </c>
      <c r="G5020" s="9" t="s">
        <v>221</v>
      </c>
      <c r="H5020" s="9" t="n">
        <v>1200</v>
      </c>
      <c r="I5020" s="29" t="n">
        <v>3</v>
      </c>
      <c r="J5020" s="9" t="n">
        <v>1</v>
      </c>
      <c r="K5020" s="30"/>
      <c r="L5020" s="30"/>
      <c r="M5020" s="30"/>
      <c r="N5020" s="30"/>
      <c r="O5020" s="30"/>
      <c r="P5020" s="30"/>
      <c r="Q5020" s="30"/>
      <c r="R5020" s="30"/>
      <c r="S5020" s="30"/>
      <c r="T5020" s="30"/>
      <c r="U5020" s="21" t="str">
        <f aca="false">IF(COUNT(K5020:T5020)=0,"SOURCE EMPTY / INDUSTRIAL ONLY",IF(MIN(K5020:T5020)=1,"SERVICE READY","HOLD"))</f>
        <v>SOURCE EMPTY / INDUSTRIAL ONLY</v>
      </c>
      <c r="V5020" s="9" t="n">
        <f aca="false">IF(U5020="SERVICE READY",1,0)</f>
        <v>0</v>
      </c>
      <c r="W5020" s="6"/>
      <c r="X5020" s="6"/>
      <c r="Y5020" s="6"/>
      <c r="Z5020" s="6"/>
    </row>
    <row r="5021" customFormat="false" ht="15" hidden="false" customHeight="false" outlineLevel="0" collapsed="false">
      <c r="A5021" s="9" t="s">
        <v>5322</v>
      </c>
      <c r="B5021" s="9" t="s">
        <v>5296</v>
      </c>
      <c r="C5021" s="9" t="s">
        <v>5297</v>
      </c>
      <c r="D5021" s="9" t="s">
        <v>4731</v>
      </c>
      <c r="E5021" s="9" t="s">
        <v>1660</v>
      </c>
      <c r="F5021" s="9" t="s">
        <v>207</v>
      </c>
      <c r="G5021" s="9" t="s">
        <v>221</v>
      </c>
      <c r="H5021" s="9" t="n">
        <v>1200</v>
      </c>
      <c r="I5021" s="29" t="n">
        <v>3</v>
      </c>
      <c r="J5021" s="9" t="n">
        <v>1</v>
      </c>
      <c r="K5021" s="30"/>
      <c r="L5021" s="30"/>
      <c r="M5021" s="30"/>
      <c r="N5021" s="30"/>
      <c r="O5021" s="30"/>
      <c r="P5021" s="30"/>
      <c r="Q5021" s="30"/>
      <c r="R5021" s="30"/>
      <c r="S5021" s="30"/>
      <c r="T5021" s="30"/>
      <c r="U5021" s="21" t="str">
        <f aca="false">IF(COUNT(K5021:T5021)=0,"SOURCE EMPTY / INDUSTRIAL ONLY",IF(MIN(K5021:T5021)=1,"SERVICE READY","HOLD"))</f>
        <v>SOURCE EMPTY / INDUSTRIAL ONLY</v>
      </c>
      <c r="V5021" s="9" t="n">
        <f aca="false">IF(U5021="SERVICE READY",1,0)</f>
        <v>0</v>
      </c>
      <c r="W5021" s="6"/>
      <c r="X5021" s="6"/>
      <c r="Y5021" s="6"/>
      <c r="Z5021" s="6"/>
    </row>
    <row r="5022" customFormat="false" ht="15" hidden="false" customHeight="false" outlineLevel="0" collapsed="false">
      <c r="A5022" s="9" t="s">
        <v>5323</v>
      </c>
      <c r="B5022" s="9" t="s">
        <v>5296</v>
      </c>
      <c r="C5022" s="9" t="s">
        <v>5297</v>
      </c>
      <c r="D5022" s="9" t="s">
        <v>4731</v>
      </c>
      <c r="E5022" s="9" t="s">
        <v>1660</v>
      </c>
      <c r="F5022" s="9" t="s">
        <v>209</v>
      </c>
      <c r="G5022" s="9" t="s">
        <v>221</v>
      </c>
      <c r="H5022" s="9" t="n">
        <v>1200</v>
      </c>
      <c r="I5022" s="29" t="n">
        <v>3</v>
      </c>
      <c r="J5022" s="9" t="n">
        <v>1</v>
      </c>
      <c r="K5022" s="30"/>
      <c r="L5022" s="30"/>
      <c r="M5022" s="30"/>
      <c r="N5022" s="30"/>
      <c r="O5022" s="30"/>
      <c r="P5022" s="30"/>
      <c r="Q5022" s="30"/>
      <c r="R5022" s="30"/>
      <c r="S5022" s="30"/>
      <c r="T5022" s="30"/>
      <c r="U5022" s="21" t="str">
        <f aca="false">IF(COUNT(K5022:T5022)=0,"SOURCE EMPTY / INDUSTRIAL ONLY",IF(MIN(K5022:T5022)=1,"SERVICE READY","HOLD"))</f>
        <v>SOURCE EMPTY / INDUSTRIAL ONLY</v>
      </c>
      <c r="V5022" s="9" t="n">
        <f aca="false">IF(U5022="SERVICE READY",1,0)</f>
        <v>0</v>
      </c>
      <c r="W5022" s="6"/>
      <c r="X5022" s="6"/>
      <c r="Y5022" s="6"/>
      <c r="Z5022" s="6"/>
    </row>
    <row r="5023" customFormat="false" ht="15" hidden="false" customHeight="false" outlineLevel="0" collapsed="false">
      <c r="A5023" s="9" t="s">
        <v>5324</v>
      </c>
      <c r="B5023" s="9" t="s">
        <v>5296</v>
      </c>
      <c r="C5023" s="9" t="s">
        <v>5297</v>
      </c>
      <c r="D5023" s="9" t="s">
        <v>4731</v>
      </c>
      <c r="E5023" s="9" t="s">
        <v>1660</v>
      </c>
      <c r="F5023" s="9" t="s">
        <v>211</v>
      </c>
      <c r="G5023" s="9" t="s">
        <v>221</v>
      </c>
      <c r="H5023" s="9" t="n">
        <v>1200</v>
      </c>
      <c r="I5023" s="29" t="n">
        <v>3</v>
      </c>
      <c r="J5023" s="9" t="n">
        <v>1</v>
      </c>
      <c r="K5023" s="30"/>
      <c r="L5023" s="30"/>
      <c r="M5023" s="30"/>
      <c r="N5023" s="30"/>
      <c r="O5023" s="30"/>
      <c r="P5023" s="30"/>
      <c r="Q5023" s="30"/>
      <c r="R5023" s="30"/>
      <c r="S5023" s="30"/>
      <c r="T5023" s="30"/>
      <c r="U5023" s="21" t="str">
        <f aca="false">IF(COUNT(K5023:T5023)=0,"SOURCE EMPTY / INDUSTRIAL ONLY",IF(MIN(K5023:T5023)=1,"SERVICE READY","HOLD"))</f>
        <v>SOURCE EMPTY / INDUSTRIAL ONLY</v>
      </c>
      <c r="V5023" s="9" t="n">
        <f aca="false">IF(U5023="SERVICE READY",1,0)</f>
        <v>0</v>
      </c>
      <c r="W5023" s="6"/>
      <c r="X5023" s="6"/>
      <c r="Y5023" s="6"/>
      <c r="Z5023" s="6"/>
    </row>
    <row r="5024" customFormat="false" ht="15" hidden="false" customHeight="false" outlineLevel="0" collapsed="false">
      <c r="A5024" s="9" t="s">
        <v>5325</v>
      </c>
      <c r="B5024" s="9" t="s">
        <v>5296</v>
      </c>
      <c r="C5024" s="9" t="s">
        <v>5297</v>
      </c>
      <c r="D5024" s="9" t="s">
        <v>4731</v>
      </c>
      <c r="E5024" s="9" t="s">
        <v>1660</v>
      </c>
      <c r="F5024" s="9" t="s">
        <v>197</v>
      </c>
      <c r="G5024" s="9" t="s">
        <v>221</v>
      </c>
      <c r="H5024" s="9" t="n">
        <v>1200</v>
      </c>
      <c r="I5024" s="29" t="n">
        <v>3</v>
      </c>
      <c r="J5024" s="9" t="n">
        <v>1</v>
      </c>
      <c r="K5024" s="30"/>
      <c r="L5024" s="30"/>
      <c r="M5024" s="30"/>
      <c r="N5024" s="30"/>
      <c r="O5024" s="30"/>
      <c r="P5024" s="30"/>
      <c r="Q5024" s="30"/>
      <c r="R5024" s="30"/>
      <c r="S5024" s="30"/>
      <c r="T5024" s="30"/>
      <c r="U5024" s="21" t="str">
        <f aca="false">IF(COUNT(K5024:T5024)=0,"SOURCE EMPTY / INDUSTRIAL ONLY",IF(MIN(K5024:T5024)=1,"SERVICE READY","HOLD"))</f>
        <v>SOURCE EMPTY / INDUSTRIAL ONLY</v>
      </c>
      <c r="V5024" s="9" t="n">
        <f aca="false">IF(U5024="SERVICE READY",1,0)</f>
        <v>0</v>
      </c>
      <c r="W5024" s="6"/>
      <c r="X5024" s="6"/>
      <c r="Y5024" s="6"/>
      <c r="Z5024" s="6"/>
    </row>
    <row r="5025" customFormat="false" ht="15" hidden="false" customHeight="false" outlineLevel="0" collapsed="false">
      <c r="A5025" s="9" t="s">
        <v>5326</v>
      </c>
      <c r="B5025" s="9" t="s">
        <v>5296</v>
      </c>
      <c r="C5025" s="9" t="s">
        <v>5297</v>
      </c>
      <c r="D5025" s="9" t="s">
        <v>4731</v>
      </c>
      <c r="E5025" s="9" t="s">
        <v>1660</v>
      </c>
      <c r="F5025" s="9" t="s">
        <v>200</v>
      </c>
      <c r="G5025" s="9" t="s">
        <v>221</v>
      </c>
      <c r="H5025" s="9" t="n">
        <v>1200</v>
      </c>
      <c r="I5025" s="29" t="n">
        <v>3</v>
      </c>
      <c r="J5025" s="9" t="n">
        <v>1</v>
      </c>
      <c r="K5025" s="30"/>
      <c r="L5025" s="30"/>
      <c r="M5025" s="30"/>
      <c r="N5025" s="30"/>
      <c r="O5025" s="30"/>
      <c r="P5025" s="30"/>
      <c r="Q5025" s="30"/>
      <c r="R5025" s="30"/>
      <c r="S5025" s="30"/>
      <c r="T5025" s="30"/>
      <c r="U5025" s="21" t="str">
        <f aca="false">IF(COUNT(K5025:T5025)=0,"SOURCE EMPTY / INDUSTRIAL ONLY",IF(MIN(K5025:T5025)=1,"SERVICE READY","HOLD"))</f>
        <v>SOURCE EMPTY / INDUSTRIAL ONLY</v>
      </c>
      <c r="V5025" s="9" t="n">
        <f aca="false">IF(U5025="SERVICE READY",1,0)</f>
        <v>0</v>
      </c>
      <c r="W5025" s="6"/>
      <c r="X5025" s="6"/>
      <c r="Y5025" s="6"/>
      <c r="Z5025" s="6"/>
    </row>
    <row r="5026" customFormat="false" ht="15" hidden="false" customHeight="false" outlineLevel="0" collapsed="false">
      <c r="A5026" s="9" t="s">
        <v>5327</v>
      </c>
      <c r="B5026" s="9" t="s">
        <v>5296</v>
      </c>
      <c r="C5026" s="9" t="s">
        <v>5297</v>
      </c>
      <c r="D5026" s="9" t="s">
        <v>4731</v>
      </c>
      <c r="E5026" s="9" t="s">
        <v>1660</v>
      </c>
      <c r="F5026" s="9" t="s">
        <v>203</v>
      </c>
      <c r="G5026" s="9" t="s">
        <v>221</v>
      </c>
      <c r="H5026" s="9" t="n">
        <v>1200</v>
      </c>
      <c r="I5026" s="29" t="n">
        <v>3</v>
      </c>
      <c r="J5026" s="9" t="n">
        <v>1</v>
      </c>
      <c r="K5026" s="30"/>
      <c r="L5026" s="30"/>
      <c r="M5026" s="30"/>
      <c r="N5026" s="30"/>
      <c r="O5026" s="30"/>
      <c r="P5026" s="30"/>
      <c r="Q5026" s="30"/>
      <c r="R5026" s="30"/>
      <c r="S5026" s="30"/>
      <c r="T5026" s="30"/>
      <c r="U5026" s="21" t="str">
        <f aca="false">IF(COUNT(K5026:T5026)=0,"SOURCE EMPTY / INDUSTRIAL ONLY",IF(MIN(K5026:T5026)=1,"SERVICE READY","HOLD"))</f>
        <v>SOURCE EMPTY / INDUSTRIAL ONLY</v>
      </c>
      <c r="V5026" s="9" t="n">
        <f aca="false">IF(U5026="SERVICE READY",1,0)</f>
        <v>0</v>
      </c>
      <c r="W5026" s="6"/>
      <c r="X5026" s="6"/>
      <c r="Y5026" s="6"/>
      <c r="Z5026" s="6"/>
    </row>
    <row r="5027" customFormat="false" ht="15" hidden="false" customHeight="false" outlineLevel="0" collapsed="false">
      <c r="A5027" s="9" t="s">
        <v>5328</v>
      </c>
      <c r="B5027" s="9" t="s">
        <v>5296</v>
      </c>
      <c r="C5027" s="9" t="s">
        <v>5297</v>
      </c>
      <c r="D5027" s="9" t="s">
        <v>4731</v>
      </c>
      <c r="E5027" s="9" t="s">
        <v>1660</v>
      </c>
      <c r="F5027" s="9" t="s">
        <v>205</v>
      </c>
      <c r="G5027" s="9" t="s">
        <v>221</v>
      </c>
      <c r="H5027" s="9" t="n">
        <v>1200</v>
      </c>
      <c r="I5027" s="29" t="n">
        <v>3</v>
      </c>
      <c r="J5027" s="9" t="n">
        <v>1</v>
      </c>
      <c r="K5027" s="30"/>
      <c r="L5027" s="30"/>
      <c r="M5027" s="30"/>
      <c r="N5027" s="30"/>
      <c r="O5027" s="30"/>
      <c r="P5027" s="30"/>
      <c r="Q5027" s="30"/>
      <c r="R5027" s="30"/>
      <c r="S5027" s="30"/>
      <c r="T5027" s="30"/>
      <c r="U5027" s="21" t="str">
        <f aca="false">IF(COUNT(K5027:T5027)=0,"SOURCE EMPTY / INDUSTRIAL ONLY",IF(MIN(K5027:T5027)=1,"SERVICE READY","HOLD"))</f>
        <v>SOURCE EMPTY / INDUSTRIAL ONLY</v>
      </c>
      <c r="V5027" s="9" t="n">
        <f aca="false">IF(U5027="SERVICE READY",1,0)</f>
        <v>0</v>
      </c>
      <c r="W5027" s="6"/>
      <c r="X5027" s="6"/>
      <c r="Y5027" s="6"/>
      <c r="Z5027" s="6"/>
    </row>
    <row r="5028" customFormat="false" ht="15" hidden="false" customHeight="false" outlineLevel="0" collapsed="false">
      <c r="A5028" s="9" t="s">
        <v>5329</v>
      </c>
      <c r="B5028" s="9" t="s">
        <v>5296</v>
      </c>
      <c r="C5028" s="9" t="s">
        <v>5297</v>
      </c>
      <c r="D5028" s="9" t="s">
        <v>4731</v>
      </c>
      <c r="E5028" s="9" t="s">
        <v>1660</v>
      </c>
      <c r="F5028" s="9" t="s">
        <v>207</v>
      </c>
      <c r="G5028" s="9" t="s">
        <v>221</v>
      </c>
      <c r="H5028" s="9" t="n">
        <v>1200</v>
      </c>
      <c r="I5028" s="29" t="n">
        <v>3</v>
      </c>
      <c r="J5028" s="9" t="n">
        <v>1</v>
      </c>
      <c r="K5028" s="30"/>
      <c r="L5028" s="30"/>
      <c r="M5028" s="30"/>
      <c r="N5028" s="30"/>
      <c r="O5028" s="30"/>
      <c r="P5028" s="30"/>
      <c r="Q5028" s="30"/>
      <c r="R5028" s="30"/>
      <c r="S5028" s="30"/>
      <c r="T5028" s="30"/>
      <c r="U5028" s="21" t="str">
        <f aca="false">IF(COUNT(K5028:T5028)=0,"SOURCE EMPTY / INDUSTRIAL ONLY",IF(MIN(K5028:T5028)=1,"SERVICE READY","HOLD"))</f>
        <v>SOURCE EMPTY / INDUSTRIAL ONLY</v>
      </c>
      <c r="V5028" s="9" t="n">
        <f aca="false">IF(U5028="SERVICE READY",1,0)</f>
        <v>0</v>
      </c>
      <c r="W5028" s="6"/>
      <c r="X5028" s="6"/>
      <c r="Y5028" s="6"/>
      <c r="Z5028" s="6"/>
    </row>
    <row r="5029" customFormat="false" ht="15" hidden="false" customHeight="false" outlineLevel="0" collapsed="false">
      <c r="A5029" s="9" t="s">
        <v>5330</v>
      </c>
      <c r="B5029" s="9" t="s">
        <v>5296</v>
      </c>
      <c r="C5029" s="9" t="s">
        <v>5297</v>
      </c>
      <c r="D5029" s="9" t="s">
        <v>4731</v>
      </c>
      <c r="E5029" s="9" t="s">
        <v>1660</v>
      </c>
      <c r="F5029" s="9" t="s">
        <v>209</v>
      </c>
      <c r="G5029" s="9" t="s">
        <v>221</v>
      </c>
      <c r="H5029" s="9" t="n">
        <v>1200</v>
      </c>
      <c r="I5029" s="29" t="n">
        <v>3</v>
      </c>
      <c r="J5029" s="9" t="n">
        <v>1</v>
      </c>
      <c r="K5029" s="30"/>
      <c r="L5029" s="30"/>
      <c r="M5029" s="30"/>
      <c r="N5029" s="30"/>
      <c r="O5029" s="30"/>
      <c r="P5029" s="30"/>
      <c r="Q5029" s="30"/>
      <c r="R5029" s="30"/>
      <c r="S5029" s="30"/>
      <c r="T5029" s="30"/>
      <c r="U5029" s="21" t="str">
        <f aca="false">IF(COUNT(K5029:T5029)=0,"SOURCE EMPTY / INDUSTRIAL ONLY",IF(MIN(K5029:T5029)=1,"SERVICE READY","HOLD"))</f>
        <v>SOURCE EMPTY / INDUSTRIAL ONLY</v>
      </c>
      <c r="V5029" s="9" t="n">
        <f aca="false">IF(U5029="SERVICE READY",1,0)</f>
        <v>0</v>
      </c>
      <c r="W5029" s="6"/>
      <c r="X5029" s="6"/>
      <c r="Y5029" s="6"/>
      <c r="Z5029" s="6"/>
    </row>
    <row r="5030" customFormat="false" ht="15" hidden="false" customHeight="false" outlineLevel="0" collapsed="false">
      <c r="A5030" s="9" t="s">
        <v>5331</v>
      </c>
      <c r="B5030" s="9" t="s">
        <v>5296</v>
      </c>
      <c r="C5030" s="9" t="s">
        <v>5297</v>
      </c>
      <c r="D5030" s="9" t="s">
        <v>4731</v>
      </c>
      <c r="E5030" s="9" t="s">
        <v>1660</v>
      </c>
      <c r="F5030" s="9" t="s">
        <v>211</v>
      </c>
      <c r="G5030" s="9" t="s">
        <v>221</v>
      </c>
      <c r="H5030" s="9" t="n">
        <v>1200</v>
      </c>
      <c r="I5030" s="29" t="n">
        <v>3</v>
      </c>
      <c r="J5030" s="9" t="n">
        <v>1</v>
      </c>
      <c r="K5030" s="30"/>
      <c r="L5030" s="30"/>
      <c r="M5030" s="30"/>
      <c r="N5030" s="30"/>
      <c r="O5030" s="30"/>
      <c r="P5030" s="30"/>
      <c r="Q5030" s="30"/>
      <c r="R5030" s="30"/>
      <c r="S5030" s="30"/>
      <c r="T5030" s="30"/>
      <c r="U5030" s="21" t="str">
        <f aca="false">IF(COUNT(K5030:T5030)=0,"SOURCE EMPTY / INDUSTRIAL ONLY",IF(MIN(K5030:T5030)=1,"SERVICE READY","HOLD"))</f>
        <v>SOURCE EMPTY / INDUSTRIAL ONLY</v>
      </c>
      <c r="V5030" s="9" t="n">
        <f aca="false">IF(U5030="SERVICE READY",1,0)</f>
        <v>0</v>
      </c>
      <c r="W5030" s="6"/>
      <c r="X5030" s="6"/>
      <c r="Y5030" s="6"/>
      <c r="Z5030" s="6"/>
    </row>
    <row r="5031" customFormat="false" ht="15" hidden="false" customHeight="false" outlineLevel="0" collapsed="false">
      <c r="A5031" s="9" t="s">
        <v>5332</v>
      </c>
      <c r="B5031" s="9" t="s">
        <v>5296</v>
      </c>
      <c r="C5031" s="9" t="s">
        <v>5297</v>
      </c>
      <c r="D5031" s="9" t="s">
        <v>4731</v>
      </c>
      <c r="E5031" s="9" t="s">
        <v>1660</v>
      </c>
      <c r="F5031" s="9" t="s">
        <v>197</v>
      </c>
      <c r="G5031" s="9" t="s">
        <v>221</v>
      </c>
      <c r="H5031" s="9" t="n">
        <v>1200</v>
      </c>
      <c r="I5031" s="29" t="n">
        <v>3</v>
      </c>
      <c r="J5031" s="9" t="n">
        <v>1</v>
      </c>
      <c r="K5031" s="30"/>
      <c r="L5031" s="30"/>
      <c r="M5031" s="30"/>
      <c r="N5031" s="30"/>
      <c r="O5031" s="30"/>
      <c r="P5031" s="30"/>
      <c r="Q5031" s="30"/>
      <c r="R5031" s="30"/>
      <c r="S5031" s="30"/>
      <c r="T5031" s="30"/>
      <c r="U5031" s="21" t="str">
        <f aca="false">IF(COUNT(K5031:T5031)=0,"SOURCE EMPTY / INDUSTRIAL ONLY",IF(MIN(K5031:T5031)=1,"SERVICE READY","HOLD"))</f>
        <v>SOURCE EMPTY / INDUSTRIAL ONLY</v>
      </c>
      <c r="V5031" s="9" t="n">
        <f aca="false">IF(U5031="SERVICE READY",1,0)</f>
        <v>0</v>
      </c>
      <c r="W5031" s="6"/>
      <c r="X5031" s="6"/>
      <c r="Y5031" s="6"/>
      <c r="Z5031" s="6"/>
    </row>
    <row r="5032" customFormat="false" ht="15" hidden="false" customHeight="false" outlineLevel="0" collapsed="false">
      <c r="A5032" s="9" t="s">
        <v>5333</v>
      </c>
      <c r="B5032" s="9" t="s">
        <v>5296</v>
      </c>
      <c r="C5032" s="9" t="s">
        <v>5297</v>
      </c>
      <c r="D5032" s="9" t="s">
        <v>4731</v>
      </c>
      <c r="E5032" s="9" t="s">
        <v>1660</v>
      </c>
      <c r="F5032" s="9" t="s">
        <v>200</v>
      </c>
      <c r="G5032" s="9" t="s">
        <v>221</v>
      </c>
      <c r="H5032" s="9" t="n">
        <v>1200</v>
      </c>
      <c r="I5032" s="29" t="n">
        <v>3</v>
      </c>
      <c r="J5032" s="9" t="n">
        <v>1</v>
      </c>
      <c r="K5032" s="30"/>
      <c r="L5032" s="30"/>
      <c r="M5032" s="30"/>
      <c r="N5032" s="30"/>
      <c r="O5032" s="30"/>
      <c r="P5032" s="30"/>
      <c r="Q5032" s="30"/>
      <c r="R5032" s="30"/>
      <c r="S5032" s="30"/>
      <c r="T5032" s="30"/>
      <c r="U5032" s="21" t="str">
        <f aca="false">IF(COUNT(K5032:T5032)=0,"SOURCE EMPTY / INDUSTRIAL ONLY",IF(MIN(K5032:T5032)=1,"SERVICE READY","HOLD"))</f>
        <v>SOURCE EMPTY / INDUSTRIAL ONLY</v>
      </c>
      <c r="V5032" s="9" t="n">
        <f aca="false">IF(U5032="SERVICE READY",1,0)</f>
        <v>0</v>
      </c>
      <c r="W5032" s="6"/>
      <c r="X5032" s="6"/>
      <c r="Y5032" s="6"/>
      <c r="Z5032" s="6"/>
    </row>
    <row r="5033" customFormat="false" ht="15" hidden="false" customHeight="false" outlineLevel="0" collapsed="false">
      <c r="A5033" s="9" t="s">
        <v>5334</v>
      </c>
      <c r="B5033" s="9" t="s">
        <v>5296</v>
      </c>
      <c r="C5033" s="9" t="s">
        <v>5297</v>
      </c>
      <c r="D5033" s="9" t="s">
        <v>4731</v>
      </c>
      <c r="E5033" s="9" t="s">
        <v>1660</v>
      </c>
      <c r="F5033" s="9" t="s">
        <v>203</v>
      </c>
      <c r="G5033" s="9" t="s">
        <v>221</v>
      </c>
      <c r="H5033" s="9" t="n">
        <v>1200</v>
      </c>
      <c r="I5033" s="29" t="n">
        <v>3</v>
      </c>
      <c r="J5033" s="9" t="n">
        <v>1</v>
      </c>
      <c r="K5033" s="30"/>
      <c r="L5033" s="30"/>
      <c r="M5033" s="30"/>
      <c r="N5033" s="30"/>
      <c r="O5033" s="30"/>
      <c r="P5033" s="30"/>
      <c r="Q5033" s="30"/>
      <c r="R5033" s="30"/>
      <c r="S5033" s="30"/>
      <c r="T5033" s="30"/>
      <c r="U5033" s="21" t="str">
        <f aca="false">IF(COUNT(K5033:T5033)=0,"SOURCE EMPTY / INDUSTRIAL ONLY",IF(MIN(K5033:T5033)=1,"SERVICE READY","HOLD"))</f>
        <v>SOURCE EMPTY / INDUSTRIAL ONLY</v>
      </c>
      <c r="V5033" s="9" t="n">
        <f aca="false">IF(U5033="SERVICE READY",1,0)</f>
        <v>0</v>
      </c>
      <c r="W5033" s="6"/>
      <c r="X5033" s="6"/>
      <c r="Y5033" s="6"/>
      <c r="Z5033" s="6"/>
    </row>
    <row r="5034" customFormat="false" ht="15" hidden="false" customHeight="false" outlineLevel="0" collapsed="false">
      <c r="A5034" s="9" t="s">
        <v>5335</v>
      </c>
      <c r="B5034" s="9" t="s">
        <v>5296</v>
      </c>
      <c r="C5034" s="9" t="s">
        <v>5297</v>
      </c>
      <c r="D5034" s="9" t="s">
        <v>4731</v>
      </c>
      <c r="E5034" s="9" t="s">
        <v>1660</v>
      </c>
      <c r="F5034" s="9" t="s">
        <v>205</v>
      </c>
      <c r="G5034" s="9" t="s">
        <v>221</v>
      </c>
      <c r="H5034" s="9" t="n">
        <v>1200</v>
      </c>
      <c r="I5034" s="29" t="n">
        <v>3</v>
      </c>
      <c r="J5034" s="9" t="n">
        <v>1</v>
      </c>
      <c r="K5034" s="30"/>
      <c r="L5034" s="30"/>
      <c r="M5034" s="30"/>
      <c r="N5034" s="30"/>
      <c r="O5034" s="30"/>
      <c r="P5034" s="30"/>
      <c r="Q5034" s="30"/>
      <c r="R5034" s="30"/>
      <c r="S5034" s="30"/>
      <c r="T5034" s="30"/>
      <c r="U5034" s="21" t="str">
        <f aca="false">IF(COUNT(K5034:T5034)=0,"SOURCE EMPTY / INDUSTRIAL ONLY",IF(MIN(K5034:T5034)=1,"SERVICE READY","HOLD"))</f>
        <v>SOURCE EMPTY / INDUSTRIAL ONLY</v>
      </c>
      <c r="V5034" s="9" t="n">
        <f aca="false">IF(U5034="SERVICE READY",1,0)</f>
        <v>0</v>
      </c>
      <c r="W5034" s="6"/>
      <c r="X5034" s="6"/>
      <c r="Y5034" s="6"/>
      <c r="Z5034" s="6"/>
    </row>
    <row r="5035" customFormat="false" ht="15" hidden="false" customHeight="false" outlineLevel="0" collapsed="false">
      <c r="A5035" s="9" t="s">
        <v>5336</v>
      </c>
      <c r="B5035" s="9" t="s">
        <v>5296</v>
      </c>
      <c r="C5035" s="9" t="s">
        <v>5297</v>
      </c>
      <c r="D5035" s="9" t="s">
        <v>4731</v>
      </c>
      <c r="E5035" s="9" t="s">
        <v>1660</v>
      </c>
      <c r="F5035" s="9" t="s">
        <v>207</v>
      </c>
      <c r="G5035" s="9" t="s">
        <v>221</v>
      </c>
      <c r="H5035" s="9" t="n">
        <v>1200</v>
      </c>
      <c r="I5035" s="29" t="n">
        <v>3</v>
      </c>
      <c r="J5035" s="9" t="n">
        <v>1</v>
      </c>
      <c r="K5035" s="30"/>
      <c r="L5035" s="30"/>
      <c r="M5035" s="30"/>
      <c r="N5035" s="30"/>
      <c r="O5035" s="30"/>
      <c r="P5035" s="30"/>
      <c r="Q5035" s="30"/>
      <c r="R5035" s="30"/>
      <c r="S5035" s="30"/>
      <c r="T5035" s="30"/>
      <c r="U5035" s="21" t="str">
        <f aca="false">IF(COUNT(K5035:T5035)=0,"SOURCE EMPTY / INDUSTRIAL ONLY",IF(MIN(K5035:T5035)=1,"SERVICE READY","HOLD"))</f>
        <v>SOURCE EMPTY / INDUSTRIAL ONLY</v>
      </c>
      <c r="V5035" s="9" t="n">
        <f aca="false">IF(U5035="SERVICE READY",1,0)</f>
        <v>0</v>
      </c>
      <c r="W5035" s="6"/>
      <c r="X5035" s="6"/>
      <c r="Y5035" s="6"/>
      <c r="Z5035" s="6"/>
    </row>
    <row r="5036" customFormat="false" ht="15" hidden="false" customHeight="false" outlineLevel="0" collapsed="false">
      <c r="A5036" s="9" t="s">
        <v>5337</v>
      </c>
      <c r="B5036" s="9" t="s">
        <v>5296</v>
      </c>
      <c r="C5036" s="9" t="s">
        <v>5297</v>
      </c>
      <c r="D5036" s="9" t="s">
        <v>4731</v>
      </c>
      <c r="E5036" s="9" t="s">
        <v>1660</v>
      </c>
      <c r="F5036" s="9" t="s">
        <v>209</v>
      </c>
      <c r="G5036" s="9" t="s">
        <v>221</v>
      </c>
      <c r="H5036" s="9" t="n">
        <v>1200</v>
      </c>
      <c r="I5036" s="29" t="n">
        <v>3</v>
      </c>
      <c r="J5036" s="9" t="n">
        <v>1</v>
      </c>
      <c r="K5036" s="30"/>
      <c r="L5036" s="30"/>
      <c r="M5036" s="30"/>
      <c r="N5036" s="30"/>
      <c r="O5036" s="30"/>
      <c r="P5036" s="30"/>
      <c r="Q5036" s="30"/>
      <c r="R5036" s="30"/>
      <c r="S5036" s="30"/>
      <c r="T5036" s="30"/>
      <c r="U5036" s="21" t="str">
        <f aca="false">IF(COUNT(K5036:T5036)=0,"SOURCE EMPTY / INDUSTRIAL ONLY",IF(MIN(K5036:T5036)=1,"SERVICE READY","HOLD"))</f>
        <v>SOURCE EMPTY / INDUSTRIAL ONLY</v>
      </c>
      <c r="V5036" s="9" t="n">
        <f aca="false">IF(U5036="SERVICE READY",1,0)</f>
        <v>0</v>
      </c>
      <c r="W5036" s="6"/>
      <c r="X5036" s="6"/>
      <c r="Y5036" s="6"/>
      <c r="Z5036" s="6"/>
    </row>
    <row r="5037" customFormat="false" ht="15" hidden="false" customHeight="false" outlineLevel="0" collapsed="false">
      <c r="A5037" s="9" t="s">
        <v>5338</v>
      </c>
      <c r="B5037" s="9" t="s">
        <v>5296</v>
      </c>
      <c r="C5037" s="9" t="s">
        <v>5297</v>
      </c>
      <c r="D5037" s="9" t="s">
        <v>4731</v>
      </c>
      <c r="E5037" s="9" t="s">
        <v>1660</v>
      </c>
      <c r="F5037" s="9" t="s">
        <v>211</v>
      </c>
      <c r="G5037" s="9" t="s">
        <v>221</v>
      </c>
      <c r="H5037" s="9" t="n">
        <v>1200</v>
      </c>
      <c r="I5037" s="29" t="n">
        <v>3</v>
      </c>
      <c r="J5037" s="9" t="n">
        <v>1</v>
      </c>
      <c r="K5037" s="30"/>
      <c r="L5037" s="30"/>
      <c r="M5037" s="30"/>
      <c r="N5037" s="30"/>
      <c r="O5037" s="30"/>
      <c r="P5037" s="30"/>
      <c r="Q5037" s="30"/>
      <c r="R5037" s="30"/>
      <c r="S5037" s="30"/>
      <c r="T5037" s="30"/>
      <c r="U5037" s="21" t="str">
        <f aca="false">IF(COUNT(K5037:T5037)=0,"SOURCE EMPTY / INDUSTRIAL ONLY",IF(MIN(K5037:T5037)=1,"SERVICE READY","HOLD"))</f>
        <v>SOURCE EMPTY / INDUSTRIAL ONLY</v>
      </c>
      <c r="V5037" s="9" t="n">
        <f aca="false">IF(U5037="SERVICE READY",1,0)</f>
        <v>0</v>
      </c>
      <c r="W5037" s="6"/>
      <c r="X5037" s="6"/>
      <c r="Y5037" s="6"/>
      <c r="Z5037" s="6"/>
    </row>
    <row r="5038" customFormat="false" ht="15" hidden="false" customHeight="false" outlineLevel="0" collapsed="false">
      <c r="A5038" s="9" t="s">
        <v>5339</v>
      </c>
      <c r="B5038" s="9" t="s">
        <v>5296</v>
      </c>
      <c r="C5038" s="9" t="s">
        <v>5297</v>
      </c>
      <c r="D5038" s="9" t="s">
        <v>4731</v>
      </c>
      <c r="E5038" s="9" t="s">
        <v>1660</v>
      </c>
      <c r="F5038" s="9" t="s">
        <v>197</v>
      </c>
      <c r="G5038" s="9" t="s">
        <v>221</v>
      </c>
      <c r="H5038" s="9" t="n">
        <v>1200</v>
      </c>
      <c r="I5038" s="29" t="n">
        <v>3</v>
      </c>
      <c r="J5038" s="9" t="n">
        <v>1</v>
      </c>
      <c r="K5038" s="30"/>
      <c r="L5038" s="30"/>
      <c r="M5038" s="30"/>
      <c r="N5038" s="30"/>
      <c r="O5038" s="30"/>
      <c r="P5038" s="30"/>
      <c r="Q5038" s="30"/>
      <c r="R5038" s="30"/>
      <c r="S5038" s="30"/>
      <c r="T5038" s="30"/>
      <c r="U5038" s="21" t="str">
        <f aca="false">IF(COUNT(K5038:T5038)=0,"SOURCE EMPTY / INDUSTRIAL ONLY",IF(MIN(K5038:T5038)=1,"SERVICE READY","HOLD"))</f>
        <v>SOURCE EMPTY / INDUSTRIAL ONLY</v>
      </c>
      <c r="V5038" s="9" t="n">
        <f aca="false">IF(U5038="SERVICE READY",1,0)</f>
        <v>0</v>
      </c>
      <c r="W5038" s="6"/>
      <c r="X5038" s="6"/>
      <c r="Y5038" s="6"/>
      <c r="Z5038" s="6"/>
    </row>
    <row r="5039" customFormat="false" ht="15" hidden="false" customHeight="false" outlineLevel="0" collapsed="false">
      <c r="A5039" s="9" t="s">
        <v>5340</v>
      </c>
      <c r="B5039" s="9" t="s">
        <v>5296</v>
      </c>
      <c r="C5039" s="9" t="s">
        <v>5297</v>
      </c>
      <c r="D5039" s="9" t="s">
        <v>4731</v>
      </c>
      <c r="E5039" s="9" t="s">
        <v>1660</v>
      </c>
      <c r="F5039" s="9" t="s">
        <v>200</v>
      </c>
      <c r="G5039" s="9" t="s">
        <v>221</v>
      </c>
      <c r="H5039" s="9" t="n">
        <v>1200</v>
      </c>
      <c r="I5039" s="29" t="n">
        <v>3</v>
      </c>
      <c r="J5039" s="9" t="n">
        <v>1</v>
      </c>
      <c r="K5039" s="30"/>
      <c r="L5039" s="30"/>
      <c r="M5039" s="30"/>
      <c r="N5039" s="30"/>
      <c r="O5039" s="30"/>
      <c r="P5039" s="30"/>
      <c r="Q5039" s="30"/>
      <c r="R5039" s="30"/>
      <c r="S5039" s="30"/>
      <c r="T5039" s="30"/>
      <c r="U5039" s="21" t="str">
        <f aca="false">IF(COUNT(K5039:T5039)=0,"SOURCE EMPTY / INDUSTRIAL ONLY",IF(MIN(K5039:T5039)=1,"SERVICE READY","HOLD"))</f>
        <v>SOURCE EMPTY / INDUSTRIAL ONLY</v>
      </c>
      <c r="V5039" s="9" t="n">
        <f aca="false">IF(U5039="SERVICE READY",1,0)</f>
        <v>0</v>
      </c>
      <c r="W5039" s="6"/>
      <c r="X5039" s="6"/>
      <c r="Y5039" s="6"/>
      <c r="Z5039" s="6"/>
    </row>
    <row r="5040" customFormat="false" ht="15" hidden="false" customHeight="false" outlineLevel="0" collapsed="false">
      <c r="A5040" s="9" t="s">
        <v>5341</v>
      </c>
      <c r="B5040" s="9" t="s">
        <v>5296</v>
      </c>
      <c r="C5040" s="9" t="s">
        <v>5297</v>
      </c>
      <c r="D5040" s="9" t="s">
        <v>4731</v>
      </c>
      <c r="E5040" s="9" t="s">
        <v>1660</v>
      </c>
      <c r="F5040" s="9" t="s">
        <v>203</v>
      </c>
      <c r="G5040" s="9" t="s">
        <v>221</v>
      </c>
      <c r="H5040" s="9" t="n">
        <v>1200</v>
      </c>
      <c r="I5040" s="29" t="n">
        <v>3</v>
      </c>
      <c r="J5040" s="9" t="n">
        <v>1</v>
      </c>
      <c r="K5040" s="30"/>
      <c r="L5040" s="30"/>
      <c r="M5040" s="30"/>
      <c r="N5040" s="30"/>
      <c r="O5040" s="30"/>
      <c r="P5040" s="30"/>
      <c r="Q5040" s="30"/>
      <c r="R5040" s="30"/>
      <c r="S5040" s="30"/>
      <c r="T5040" s="30"/>
      <c r="U5040" s="21" t="str">
        <f aca="false">IF(COUNT(K5040:T5040)=0,"SOURCE EMPTY / INDUSTRIAL ONLY",IF(MIN(K5040:T5040)=1,"SERVICE READY","HOLD"))</f>
        <v>SOURCE EMPTY / INDUSTRIAL ONLY</v>
      </c>
      <c r="V5040" s="9" t="n">
        <f aca="false">IF(U5040="SERVICE READY",1,0)</f>
        <v>0</v>
      </c>
      <c r="W5040" s="6"/>
      <c r="X5040" s="6"/>
      <c r="Y5040" s="6"/>
      <c r="Z5040" s="6"/>
    </row>
    <row r="5041" customFormat="false" ht="15" hidden="false" customHeight="false" outlineLevel="0" collapsed="false">
      <c r="A5041" s="9" t="s">
        <v>5342</v>
      </c>
      <c r="B5041" s="9" t="s">
        <v>5296</v>
      </c>
      <c r="C5041" s="9" t="s">
        <v>5297</v>
      </c>
      <c r="D5041" s="9" t="s">
        <v>4731</v>
      </c>
      <c r="E5041" s="9" t="s">
        <v>1660</v>
      </c>
      <c r="F5041" s="9" t="s">
        <v>205</v>
      </c>
      <c r="G5041" s="9" t="s">
        <v>221</v>
      </c>
      <c r="H5041" s="9" t="n">
        <v>1200</v>
      </c>
      <c r="I5041" s="29" t="n">
        <v>3</v>
      </c>
      <c r="J5041" s="9" t="n">
        <v>1</v>
      </c>
      <c r="K5041" s="30"/>
      <c r="L5041" s="30"/>
      <c r="M5041" s="30"/>
      <c r="N5041" s="30"/>
      <c r="O5041" s="30"/>
      <c r="P5041" s="30"/>
      <c r="Q5041" s="30"/>
      <c r="R5041" s="30"/>
      <c r="S5041" s="30"/>
      <c r="T5041" s="30"/>
      <c r="U5041" s="21" t="str">
        <f aca="false">IF(COUNT(K5041:T5041)=0,"SOURCE EMPTY / INDUSTRIAL ONLY",IF(MIN(K5041:T5041)=1,"SERVICE READY","HOLD"))</f>
        <v>SOURCE EMPTY / INDUSTRIAL ONLY</v>
      </c>
      <c r="V5041" s="9" t="n">
        <f aca="false">IF(U5041="SERVICE READY",1,0)</f>
        <v>0</v>
      </c>
      <c r="W5041" s="6"/>
      <c r="X5041" s="6"/>
      <c r="Y5041" s="6"/>
      <c r="Z5041" s="6"/>
    </row>
    <row r="5042" customFormat="false" ht="15" hidden="false" customHeight="false" outlineLevel="0" collapsed="false">
      <c r="A5042" s="9" t="s">
        <v>5343</v>
      </c>
      <c r="B5042" s="9" t="s">
        <v>5296</v>
      </c>
      <c r="C5042" s="9" t="s">
        <v>5297</v>
      </c>
      <c r="D5042" s="9" t="s">
        <v>4731</v>
      </c>
      <c r="E5042" s="9" t="s">
        <v>1660</v>
      </c>
      <c r="F5042" s="9" t="s">
        <v>207</v>
      </c>
      <c r="G5042" s="9" t="s">
        <v>221</v>
      </c>
      <c r="H5042" s="9" t="n">
        <v>1200</v>
      </c>
      <c r="I5042" s="29" t="n">
        <v>3</v>
      </c>
      <c r="J5042" s="9" t="n">
        <v>1</v>
      </c>
      <c r="K5042" s="30"/>
      <c r="L5042" s="30"/>
      <c r="M5042" s="30"/>
      <c r="N5042" s="30"/>
      <c r="O5042" s="30"/>
      <c r="P5042" s="30"/>
      <c r="Q5042" s="30"/>
      <c r="R5042" s="30"/>
      <c r="S5042" s="30"/>
      <c r="T5042" s="30"/>
      <c r="U5042" s="21" t="str">
        <f aca="false">IF(COUNT(K5042:T5042)=0,"SOURCE EMPTY / INDUSTRIAL ONLY",IF(MIN(K5042:T5042)=1,"SERVICE READY","HOLD"))</f>
        <v>SOURCE EMPTY / INDUSTRIAL ONLY</v>
      </c>
      <c r="V5042" s="9" t="n">
        <f aca="false">IF(U5042="SERVICE READY",1,0)</f>
        <v>0</v>
      </c>
      <c r="W5042" s="6"/>
      <c r="X5042" s="6"/>
      <c r="Y5042" s="6"/>
      <c r="Z5042" s="6"/>
    </row>
    <row r="5043" customFormat="false" ht="15" hidden="false" customHeight="false" outlineLevel="0" collapsed="false">
      <c r="A5043" s="9" t="s">
        <v>5344</v>
      </c>
      <c r="B5043" s="9" t="s">
        <v>5296</v>
      </c>
      <c r="C5043" s="9" t="s">
        <v>5297</v>
      </c>
      <c r="D5043" s="9" t="s">
        <v>4731</v>
      </c>
      <c r="E5043" s="9" t="s">
        <v>1660</v>
      </c>
      <c r="F5043" s="9" t="s">
        <v>209</v>
      </c>
      <c r="G5043" s="9" t="s">
        <v>221</v>
      </c>
      <c r="H5043" s="9" t="n">
        <v>1200</v>
      </c>
      <c r="I5043" s="29" t="n">
        <v>3</v>
      </c>
      <c r="J5043" s="9" t="n">
        <v>0</v>
      </c>
      <c r="K5043" s="30"/>
      <c r="L5043" s="30"/>
      <c r="M5043" s="30"/>
      <c r="N5043" s="30"/>
      <c r="O5043" s="30"/>
      <c r="P5043" s="30"/>
      <c r="Q5043" s="30"/>
      <c r="R5043" s="30"/>
      <c r="S5043" s="30"/>
      <c r="T5043" s="30"/>
      <c r="U5043" s="21" t="str">
        <f aca="false">IF(COUNT(K5043:T5043)=0,"SOURCE EMPTY / INDUSTRIAL ONLY",IF(MIN(K5043:T5043)=1,"SERVICE READY","HOLD"))</f>
        <v>SOURCE EMPTY / INDUSTRIAL ONLY</v>
      </c>
      <c r="V5043" s="9" t="n">
        <f aca="false">IF(U5043="SERVICE READY",1,0)</f>
        <v>0</v>
      </c>
      <c r="W5043" s="6"/>
      <c r="X5043" s="6"/>
      <c r="Y5043" s="6"/>
      <c r="Z5043" s="6"/>
    </row>
    <row r="5044" customFormat="false" ht="15" hidden="false" customHeight="false" outlineLevel="0" collapsed="false">
      <c r="A5044" s="9" t="s">
        <v>5345</v>
      </c>
      <c r="B5044" s="9" t="s">
        <v>5296</v>
      </c>
      <c r="C5044" s="9" t="s">
        <v>5297</v>
      </c>
      <c r="D5044" s="9" t="s">
        <v>4731</v>
      </c>
      <c r="E5044" s="9" t="s">
        <v>1660</v>
      </c>
      <c r="F5044" s="9" t="s">
        <v>211</v>
      </c>
      <c r="G5044" s="9" t="s">
        <v>221</v>
      </c>
      <c r="H5044" s="9" t="n">
        <v>1200</v>
      </c>
      <c r="I5044" s="29" t="n">
        <v>3</v>
      </c>
      <c r="J5044" s="9" t="n">
        <v>0</v>
      </c>
      <c r="K5044" s="30"/>
      <c r="L5044" s="30"/>
      <c r="M5044" s="30"/>
      <c r="N5044" s="30"/>
      <c r="O5044" s="30"/>
      <c r="P5044" s="30"/>
      <c r="Q5044" s="30"/>
      <c r="R5044" s="30"/>
      <c r="S5044" s="30"/>
      <c r="T5044" s="30"/>
      <c r="U5044" s="21" t="str">
        <f aca="false">IF(COUNT(K5044:T5044)=0,"SOURCE EMPTY / INDUSTRIAL ONLY",IF(MIN(K5044:T5044)=1,"SERVICE READY","HOLD"))</f>
        <v>SOURCE EMPTY / INDUSTRIAL ONLY</v>
      </c>
      <c r="V5044" s="9" t="n">
        <f aca="false">IF(U5044="SERVICE READY",1,0)</f>
        <v>0</v>
      </c>
      <c r="W5044" s="6"/>
      <c r="X5044" s="6"/>
      <c r="Y5044" s="6"/>
      <c r="Z5044" s="6"/>
    </row>
    <row r="5045" customFormat="false" ht="15" hidden="false" customHeight="false" outlineLevel="0" collapsed="false">
      <c r="A5045" s="9" t="s">
        <v>5346</v>
      </c>
      <c r="B5045" s="9" t="s">
        <v>5296</v>
      </c>
      <c r="C5045" s="9" t="s">
        <v>5297</v>
      </c>
      <c r="D5045" s="9" t="s">
        <v>4731</v>
      </c>
      <c r="E5045" s="9" t="s">
        <v>1660</v>
      </c>
      <c r="F5045" s="9" t="s">
        <v>197</v>
      </c>
      <c r="G5045" s="9" t="s">
        <v>221</v>
      </c>
      <c r="H5045" s="9" t="n">
        <v>1200</v>
      </c>
      <c r="I5045" s="29" t="n">
        <v>3</v>
      </c>
      <c r="J5045" s="9" t="n">
        <v>0</v>
      </c>
      <c r="K5045" s="30"/>
      <c r="L5045" s="30"/>
      <c r="M5045" s="30"/>
      <c r="N5045" s="30"/>
      <c r="O5045" s="30"/>
      <c r="P5045" s="30"/>
      <c r="Q5045" s="30"/>
      <c r="R5045" s="30"/>
      <c r="S5045" s="30"/>
      <c r="T5045" s="30"/>
      <c r="U5045" s="21" t="str">
        <f aca="false">IF(COUNT(K5045:T5045)=0,"SOURCE EMPTY / INDUSTRIAL ONLY",IF(MIN(K5045:T5045)=1,"SERVICE READY","HOLD"))</f>
        <v>SOURCE EMPTY / INDUSTRIAL ONLY</v>
      </c>
      <c r="V5045" s="9" t="n">
        <f aca="false">IF(U5045="SERVICE READY",1,0)</f>
        <v>0</v>
      </c>
      <c r="W5045" s="6"/>
      <c r="X5045" s="6"/>
      <c r="Y5045" s="6"/>
      <c r="Z5045" s="6"/>
    </row>
    <row r="5046" customFormat="false" ht="15" hidden="false" customHeight="false" outlineLevel="0" collapsed="false">
      <c r="A5046" s="9" t="s">
        <v>5347</v>
      </c>
      <c r="B5046" s="9" t="s">
        <v>5296</v>
      </c>
      <c r="C5046" s="9" t="s">
        <v>5297</v>
      </c>
      <c r="D5046" s="9" t="s">
        <v>4731</v>
      </c>
      <c r="E5046" s="9" t="s">
        <v>1660</v>
      </c>
      <c r="F5046" s="9" t="s">
        <v>200</v>
      </c>
      <c r="G5046" s="9" t="s">
        <v>221</v>
      </c>
      <c r="H5046" s="9" t="n">
        <v>1200</v>
      </c>
      <c r="I5046" s="29" t="n">
        <v>3</v>
      </c>
      <c r="J5046" s="9" t="n">
        <v>0</v>
      </c>
      <c r="K5046" s="30"/>
      <c r="L5046" s="30"/>
      <c r="M5046" s="30"/>
      <c r="N5046" s="30"/>
      <c r="O5046" s="30"/>
      <c r="P5046" s="30"/>
      <c r="Q5046" s="30"/>
      <c r="R5046" s="30"/>
      <c r="S5046" s="30"/>
      <c r="T5046" s="30"/>
      <c r="U5046" s="21" t="str">
        <f aca="false">IF(COUNT(K5046:T5046)=0,"SOURCE EMPTY / INDUSTRIAL ONLY",IF(MIN(K5046:T5046)=1,"SERVICE READY","HOLD"))</f>
        <v>SOURCE EMPTY / INDUSTRIAL ONLY</v>
      </c>
      <c r="V5046" s="9" t="n">
        <f aca="false">IF(U5046="SERVICE READY",1,0)</f>
        <v>0</v>
      </c>
      <c r="W5046" s="6"/>
      <c r="X5046" s="6"/>
      <c r="Y5046" s="6"/>
      <c r="Z5046" s="6"/>
    </row>
    <row r="5047" customFormat="false" ht="15" hidden="false" customHeight="false" outlineLevel="0" collapsed="false">
      <c r="A5047" s="9" t="s">
        <v>5348</v>
      </c>
      <c r="B5047" s="9" t="s">
        <v>5296</v>
      </c>
      <c r="C5047" s="9" t="s">
        <v>5297</v>
      </c>
      <c r="D5047" s="9" t="s">
        <v>4731</v>
      </c>
      <c r="E5047" s="9" t="s">
        <v>1660</v>
      </c>
      <c r="F5047" s="9" t="s">
        <v>203</v>
      </c>
      <c r="G5047" s="9" t="s">
        <v>221</v>
      </c>
      <c r="H5047" s="9" t="n">
        <v>1200</v>
      </c>
      <c r="I5047" s="29" t="n">
        <v>3</v>
      </c>
      <c r="J5047" s="9" t="n">
        <v>0</v>
      </c>
      <c r="K5047" s="30"/>
      <c r="L5047" s="30"/>
      <c r="M5047" s="30"/>
      <c r="N5047" s="30"/>
      <c r="O5047" s="30"/>
      <c r="P5047" s="30"/>
      <c r="Q5047" s="30"/>
      <c r="R5047" s="30"/>
      <c r="S5047" s="30"/>
      <c r="T5047" s="30"/>
      <c r="U5047" s="21" t="str">
        <f aca="false">IF(COUNT(K5047:T5047)=0,"SOURCE EMPTY / INDUSTRIAL ONLY",IF(MIN(K5047:T5047)=1,"SERVICE READY","HOLD"))</f>
        <v>SOURCE EMPTY / INDUSTRIAL ONLY</v>
      </c>
      <c r="V5047" s="9" t="n">
        <f aca="false">IF(U5047="SERVICE READY",1,0)</f>
        <v>0</v>
      </c>
      <c r="W5047" s="6"/>
      <c r="X5047" s="6"/>
      <c r="Y5047" s="6"/>
      <c r="Z5047" s="6"/>
    </row>
    <row r="5048" customFormat="false" ht="15" hidden="false" customHeight="false" outlineLevel="0" collapsed="false">
      <c r="A5048" s="9" t="s">
        <v>5349</v>
      </c>
      <c r="B5048" s="9" t="s">
        <v>5296</v>
      </c>
      <c r="C5048" s="9" t="s">
        <v>5297</v>
      </c>
      <c r="D5048" s="9" t="s">
        <v>4731</v>
      </c>
      <c r="E5048" s="9" t="s">
        <v>1660</v>
      </c>
      <c r="F5048" s="9" t="s">
        <v>205</v>
      </c>
      <c r="G5048" s="9" t="s">
        <v>221</v>
      </c>
      <c r="H5048" s="9" t="n">
        <v>1200</v>
      </c>
      <c r="I5048" s="29" t="n">
        <v>3</v>
      </c>
      <c r="J5048" s="9" t="n">
        <v>0</v>
      </c>
      <c r="K5048" s="30"/>
      <c r="L5048" s="30"/>
      <c r="M5048" s="30"/>
      <c r="N5048" s="30"/>
      <c r="O5048" s="30"/>
      <c r="P5048" s="30"/>
      <c r="Q5048" s="30"/>
      <c r="R5048" s="30"/>
      <c r="S5048" s="30"/>
      <c r="T5048" s="30"/>
      <c r="U5048" s="21" t="str">
        <f aca="false">IF(COUNT(K5048:T5048)=0,"SOURCE EMPTY / INDUSTRIAL ONLY",IF(MIN(K5048:T5048)=1,"SERVICE READY","HOLD"))</f>
        <v>SOURCE EMPTY / INDUSTRIAL ONLY</v>
      </c>
      <c r="V5048" s="9" t="n">
        <f aca="false">IF(U5048="SERVICE READY",1,0)</f>
        <v>0</v>
      </c>
      <c r="W5048" s="6"/>
      <c r="X5048" s="6"/>
      <c r="Y5048" s="6"/>
      <c r="Z5048" s="6"/>
    </row>
    <row r="5049" customFormat="false" ht="15" hidden="false" customHeight="false" outlineLevel="0" collapsed="false">
      <c r="A5049" s="9" t="s">
        <v>5350</v>
      </c>
      <c r="B5049" s="9" t="s">
        <v>5296</v>
      </c>
      <c r="C5049" s="9" t="s">
        <v>5297</v>
      </c>
      <c r="D5049" s="9" t="s">
        <v>4731</v>
      </c>
      <c r="E5049" s="9" t="s">
        <v>1660</v>
      </c>
      <c r="F5049" s="9" t="s">
        <v>207</v>
      </c>
      <c r="G5049" s="9" t="s">
        <v>221</v>
      </c>
      <c r="H5049" s="9" t="n">
        <v>1200</v>
      </c>
      <c r="I5049" s="29" t="n">
        <v>3</v>
      </c>
      <c r="J5049" s="9" t="n">
        <v>0</v>
      </c>
      <c r="K5049" s="30"/>
      <c r="L5049" s="30"/>
      <c r="M5049" s="30"/>
      <c r="N5049" s="30"/>
      <c r="O5049" s="30"/>
      <c r="P5049" s="30"/>
      <c r="Q5049" s="30"/>
      <c r="R5049" s="30"/>
      <c r="S5049" s="30"/>
      <c r="T5049" s="30"/>
      <c r="U5049" s="21" t="str">
        <f aca="false">IF(COUNT(K5049:T5049)=0,"SOURCE EMPTY / INDUSTRIAL ONLY",IF(MIN(K5049:T5049)=1,"SERVICE READY","HOLD"))</f>
        <v>SOURCE EMPTY / INDUSTRIAL ONLY</v>
      </c>
      <c r="V5049" s="9" t="n">
        <f aca="false">IF(U5049="SERVICE READY",1,0)</f>
        <v>0</v>
      </c>
      <c r="W5049" s="6"/>
      <c r="X5049" s="6"/>
      <c r="Y5049" s="6"/>
      <c r="Z5049" s="6"/>
    </row>
    <row r="5050" customFormat="false" ht="15" hidden="false" customHeight="false" outlineLevel="0" collapsed="false">
      <c r="A5050" s="9" t="s">
        <v>5351</v>
      </c>
      <c r="B5050" s="9" t="s">
        <v>5296</v>
      </c>
      <c r="C5050" s="9" t="s">
        <v>5297</v>
      </c>
      <c r="D5050" s="9" t="s">
        <v>4731</v>
      </c>
      <c r="E5050" s="9" t="s">
        <v>1660</v>
      </c>
      <c r="F5050" s="9" t="s">
        <v>209</v>
      </c>
      <c r="G5050" s="9" t="s">
        <v>221</v>
      </c>
      <c r="H5050" s="9" t="n">
        <v>1200</v>
      </c>
      <c r="I5050" s="29" t="n">
        <v>3</v>
      </c>
      <c r="J5050" s="9" t="n">
        <v>0</v>
      </c>
      <c r="K5050" s="30"/>
      <c r="L5050" s="30"/>
      <c r="M5050" s="30"/>
      <c r="N5050" s="30"/>
      <c r="O5050" s="30"/>
      <c r="P5050" s="30"/>
      <c r="Q5050" s="30"/>
      <c r="R5050" s="30"/>
      <c r="S5050" s="30"/>
      <c r="T5050" s="30"/>
      <c r="U5050" s="21" t="str">
        <f aca="false">IF(COUNT(K5050:T5050)=0,"SOURCE EMPTY / INDUSTRIAL ONLY",IF(MIN(K5050:T5050)=1,"SERVICE READY","HOLD"))</f>
        <v>SOURCE EMPTY / INDUSTRIAL ONLY</v>
      </c>
      <c r="V5050" s="9" t="n">
        <f aca="false">IF(U5050="SERVICE READY",1,0)</f>
        <v>0</v>
      </c>
      <c r="W5050" s="6"/>
      <c r="X5050" s="6"/>
      <c r="Y5050" s="6"/>
      <c r="Z5050" s="6"/>
    </row>
    <row r="5051" customFormat="false" ht="15" hidden="false" customHeight="false" outlineLevel="0" collapsed="false">
      <c r="A5051" s="9" t="s">
        <v>5352</v>
      </c>
      <c r="B5051" s="9" t="s">
        <v>5296</v>
      </c>
      <c r="C5051" s="9" t="s">
        <v>5297</v>
      </c>
      <c r="D5051" s="9" t="s">
        <v>4731</v>
      </c>
      <c r="E5051" s="9" t="s">
        <v>1660</v>
      </c>
      <c r="F5051" s="9" t="s">
        <v>211</v>
      </c>
      <c r="G5051" s="9" t="s">
        <v>221</v>
      </c>
      <c r="H5051" s="9" t="n">
        <v>1200</v>
      </c>
      <c r="I5051" s="29" t="n">
        <v>3</v>
      </c>
      <c r="J5051" s="9" t="n">
        <v>0</v>
      </c>
      <c r="K5051" s="30"/>
      <c r="L5051" s="30"/>
      <c r="M5051" s="30"/>
      <c r="N5051" s="30"/>
      <c r="O5051" s="30"/>
      <c r="P5051" s="30"/>
      <c r="Q5051" s="30"/>
      <c r="R5051" s="30"/>
      <c r="S5051" s="30"/>
      <c r="T5051" s="30"/>
      <c r="U5051" s="21" t="str">
        <f aca="false">IF(COUNT(K5051:T5051)=0,"SOURCE EMPTY / INDUSTRIAL ONLY",IF(MIN(K5051:T5051)=1,"SERVICE READY","HOLD"))</f>
        <v>SOURCE EMPTY / INDUSTRIAL ONLY</v>
      </c>
      <c r="V5051" s="9" t="n">
        <f aca="false">IF(U5051="SERVICE READY",1,0)</f>
        <v>0</v>
      </c>
      <c r="W5051" s="6"/>
      <c r="X5051" s="6"/>
      <c r="Y5051" s="6"/>
      <c r="Z5051" s="6"/>
    </row>
    <row r="5052" customFormat="false" ht="15" hidden="false" customHeight="false" outlineLevel="0" collapsed="false">
      <c r="A5052" s="9" t="s">
        <v>5353</v>
      </c>
      <c r="B5052" s="9" t="s">
        <v>5296</v>
      </c>
      <c r="C5052" s="9" t="s">
        <v>5297</v>
      </c>
      <c r="D5052" s="9" t="s">
        <v>4731</v>
      </c>
      <c r="E5052" s="9" t="s">
        <v>1660</v>
      </c>
      <c r="F5052" s="9" t="s">
        <v>197</v>
      </c>
      <c r="G5052" s="9" t="s">
        <v>221</v>
      </c>
      <c r="H5052" s="9" t="n">
        <v>1200</v>
      </c>
      <c r="I5052" s="29" t="n">
        <v>3</v>
      </c>
      <c r="J5052" s="9" t="n">
        <v>0</v>
      </c>
      <c r="K5052" s="30"/>
      <c r="L5052" s="30"/>
      <c r="M5052" s="30"/>
      <c r="N5052" s="30"/>
      <c r="O5052" s="30"/>
      <c r="P5052" s="30"/>
      <c r="Q5052" s="30"/>
      <c r="R5052" s="30"/>
      <c r="S5052" s="30"/>
      <c r="T5052" s="30"/>
      <c r="U5052" s="21" t="str">
        <f aca="false">IF(COUNT(K5052:T5052)=0,"SOURCE EMPTY / INDUSTRIAL ONLY",IF(MIN(K5052:T5052)=1,"SERVICE READY","HOLD"))</f>
        <v>SOURCE EMPTY / INDUSTRIAL ONLY</v>
      </c>
      <c r="V5052" s="9" t="n">
        <f aca="false">IF(U5052="SERVICE READY",1,0)</f>
        <v>0</v>
      </c>
      <c r="W5052" s="6"/>
      <c r="X5052" s="6"/>
      <c r="Y5052" s="6"/>
      <c r="Z5052" s="6"/>
    </row>
    <row r="5053" customFormat="false" ht="15" hidden="false" customHeight="false" outlineLevel="0" collapsed="false">
      <c r="A5053" s="9" t="s">
        <v>5354</v>
      </c>
      <c r="B5053" s="9" t="s">
        <v>5296</v>
      </c>
      <c r="C5053" s="9" t="s">
        <v>5297</v>
      </c>
      <c r="D5053" s="9" t="s">
        <v>4731</v>
      </c>
      <c r="E5053" s="9" t="s">
        <v>1660</v>
      </c>
      <c r="F5053" s="9" t="s">
        <v>200</v>
      </c>
      <c r="G5053" s="9" t="s">
        <v>221</v>
      </c>
      <c r="H5053" s="9" t="n">
        <v>1200</v>
      </c>
      <c r="I5053" s="29" t="n">
        <v>3</v>
      </c>
      <c r="J5053" s="9" t="n">
        <v>0</v>
      </c>
      <c r="K5053" s="30"/>
      <c r="L5053" s="30"/>
      <c r="M5053" s="30"/>
      <c r="N5053" s="30"/>
      <c r="O5053" s="30"/>
      <c r="P5053" s="30"/>
      <c r="Q5053" s="30"/>
      <c r="R5053" s="30"/>
      <c r="S5053" s="30"/>
      <c r="T5053" s="30"/>
      <c r="U5053" s="21" t="str">
        <f aca="false">IF(COUNT(K5053:T5053)=0,"SOURCE EMPTY / INDUSTRIAL ONLY",IF(MIN(K5053:T5053)=1,"SERVICE READY","HOLD"))</f>
        <v>SOURCE EMPTY / INDUSTRIAL ONLY</v>
      </c>
      <c r="V5053" s="9" t="n">
        <f aca="false">IF(U5053="SERVICE READY",1,0)</f>
        <v>0</v>
      </c>
      <c r="W5053" s="6"/>
      <c r="X5053" s="6"/>
      <c r="Y5053" s="6"/>
      <c r="Z5053" s="6"/>
    </row>
    <row r="5054" customFormat="false" ht="15" hidden="false" customHeight="false" outlineLevel="0" collapsed="false">
      <c r="A5054" s="9" t="s">
        <v>5355</v>
      </c>
      <c r="B5054" s="9" t="s">
        <v>5296</v>
      </c>
      <c r="C5054" s="9" t="s">
        <v>5297</v>
      </c>
      <c r="D5054" s="9" t="s">
        <v>4731</v>
      </c>
      <c r="E5054" s="9" t="s">
        <v>1660</v>
      </c>
      <c r="F5054" s="9" t="s">
        <v>203</v>
      </c>
      <c r="G5054" s="9" t="s">
        <v>221</v>
      </c>
      <c r="H5054" s="9" t="n">
        <v>1200</v>
      </c>
      <c r="I5054" s="29" t="n">
        <v>3</v>
      </c>
      <c r="J5054" s="9" t="n">
        <v>0</v>
      </c>
      <c r="K5054" s="30"/>
      <c r="L5054" s="30"/>
      <c r="M5054" s="30"/>
      <c r="N5054" s="30"/>
      <c r="O5054" s="30"/>
      <c r="P5054" s="30"/>
      <c r="Q5054" s="30"/>
      <c r="R5054" s="30"/>
      <c r="S5054" s="30"/>
      <c r="T5054" s="30"/>
      <c r="U5054" s="21" t="str">
        <f aca="false">IF(COUNT(K5054:T5054)=0,"SOURCE EMPTY / INDUSTRIAL ONLY",IF(MIN(K5054:T5054)=1,"SERVICE READY","HOLD"))</f>
        <v>SOURCE EMPTY / INDUSTRIAL ONLY</v>
      </c>
      <c r="V5054" s="9" t="n">
        <f aca="false">IF(U5054="SERVICE READY",1,0)</f>
        <v>0</v>
      </c>
      <c r="W5054" s="6"/>
      <c r="X5054" s="6"/>
      <c r="Y5054" s="6"/>
      <c r="Z5054" s="6"/>
    </row>
    <row r="5055" customFormat="false" ht="15" hidden="false" customHeight="false" outlineLevel="0" collapsed="false">
      <c r="A5055" s="9" t="s">
        <v>5356</v>
      </c>
      <c r="B5055" s="9" t="s">
        <v>5296</v>
      </c>
      <c r="C5055" s="9" t="s">
        <v>5297</v>
      </c>
      <c r="D5055" s="9" t="s">
        <v>4731</v>
      </c>
      <c r="E5055" s="9" t="s">
        <v>1660</v>
      </c>
      <c r="F5055" s="9" t="s">
        <v>205</v>
      </c>
      <c r="G5055" s="9" t="s">
        <v>221</v>
      </c>
      <c r="H5055" s="9" t="n">
        <v>1200</v>
      </c>
      <c r="I5055" s="29" t="n">
        <v>3</v>
      </c>
      <c r="J5055" s="9" t="n">
        <v>0</v>
      </c>
      <c r="K5055" s="30"/>
      <c r="L5055" s="30"/>
      <c r="M5055" s="30"/>
      <c r="N5055" s="30"/>
      <c r="O5055" s="30"/>
      <c r="P5055" s="30"/>
      <c r="Q5055" s="30"/>
      <c r="R5055" s="30"/>
      <c r="S5055" s="30"/>
      <c r="T5055" s="30"/>
      <c r="U5055" s="21" t="str">
        <f aca="false">IF(COUNT(K5055:T5055)=0,"SOURCE EMPTY / INDUSTRIAL ONLY",IF(MIN(K5055:T5055)=1,"SERVICE READY","HOLD"))</f>
        <v>SOURCE EMPTY / INDUSTRIAL ONLY</v>
      </c>
      <c r="V5055" s="9" t="n">
        <f aca="false">IF(U5055="SERVICE READY",1,0)</f>
        <v>0</v>
      </c>
      <c r="W5055" s="6"/>
      <c r="X5055" s="6"/>
      <c r="Y5055" s="6"/>
      <c r="Z5055" s="6"/>
    </row>
    <row r="5056" customFormat="false" ht="15" hidden="false" customHeight="false" outlineLevel="0" collapsed="false">
      <c r="A5056" s="9" t="s">
        <v>5357</v>
      </c>
      <c r="B5056" s="9" t="s">
        <v>5296</v>
      </c>
      <c r="C5056" s="9" t="s">
        <v>5297</v>
      </c>
      <c r="D5056" s="9" t="s">
        <v>4731</v>
      </c>
      <c r="E5056" s="9" t="s">
        <v>1660</v>
      </c>
      <c r="F5056" s="9" t="s">
        <v>207</v>
      </c>
      <c r="G5056" s="9" t="s">
        <v>221</v>
      </c>
      <c r="H5056" s="9" t="n">
        <v>1200</v>
      </c>
      <c r="I5056" s="29" t="n">
        <v>3</v>
      </c>
      <c r="J5056" s="9" t="n">
        <v>0</v>
      </c>
      <c r="K5056" s="30"/>
      <c r="L5056" s="30"/>
      <c r="M5056" s="30"/>
      <c r="N5056" s="30"/>
      <c r="O5056" s="30"/>
      <c r="P5056" s="30"/>
      <c r="Q5056" s="30"/>
      <c r="R5056" s="30"/>
      <c r="S5056" s="30"/>
      <c r="T5056" s="30"/>
      <c r="U5056" s="21" t="str">
        <f aca="false">IF(COUNT(K5056:T5056)=0,"SOURCE EMPTY / INDUSTRIAL ONLY",IF(MIN(K5056:T5056)=1,"SERVICE READY","HOLD"))</f>
        <v>SOURCE EMPTY / INDUSTRIAL ONLY</v>
      </c>
      <c r="V5056" s="9" t="n">
        <f aca="false">IF(U5056="SERVICE READY",1,0)</f>
        <v>0</v>
      </c>
      <c r="W5056" s="6"/>
      <c r="X5056" s="6"/>
      <c r="Y5056" s="6"/>
      <c r="Z5056" s="6"/>
    </row>
    <row r="5057" customFormat="false" ht="15" hidden="false" customHeight="false" outlineLevel="0" collapsed="false">
      <c r="A5057" s="9" t="s">
        <v>5358</v>
      </c>
      <c r="B5057" s="9" t="s">
        <v>5296</v>
      </c>
      <c r="C5057" s="9" t="s">
        <v>5297</v>
      </c>
      <c r="D5057" s="9" t="s">
        <v>4731</v>
      </c>
      <c r="E5057" s="9" t="s">
        <v>1660</v>
      </c>
      <c r="F5057" s="9" t="s">
        <v>209</v>
      </c>
      <c r="G5057" s="9" t="s">
        <v>221</v>
      </c>
      <c r="H5057" s="9" t="n">
        <v>1200</v>
      </c>
      <c r="I5057" s="29" t="n">
        <v>3</v>
      </c>
      <c r="J5057" s="9" t="n">
        <v>0</v>
      </c>
      <c r="K5057" s="30"/>
      <c r="L5057" s="30"/>
      <c r="M5057" s="30"/>
      <c r="N5057" s="30"/>
      <c r="O5057" s="30"/>
      <c r="P5057" s="30"/>
      <c r="Q5057" s="30"/>
      <c r="R5057" s="30"/>
      <c r="S5057" s="30"/>
      <c r="T5057" s="30"/>
      <c r="U5057" s="21" t="str">
        <f aca="false">IF(COUNT(K5057:T5057)=0,"SOURCE EMPTY / INDUSTRIAL ONLY",IF(MIN(K5057:T5057)=1,"SERVICE READY","HOLD"))</f>
        <v>SOURCE EMPTY / INDUSTRIAL ONLY</v>
      </c>
      <c r="V5057" s="9" t="n">
        <f aca="false">IF(U5057="SERVICE READY",1,0)</f>
        <v>0</v>
      </c>
      <c r="W5057" s="6"/>
      <c r="X5057" s="6"/>
      <c r="Y5057" s="6"/>
      <c r="Z5057" s="6"/>
    </row>
    <row r="5058" customFormat="false" ht="15" hidden="false" customHeight="false" outlineLevel="0" collapsed="false">
      <c r="A5058" s="9" t="s">
        <v>5359</v>
      </c>
      <c r="B5058" s="9" t="s">
        <v>5296</v>
      </c>
      <c r="C5058" s="9" t="s">
        <v>5297</v>
      </c>
      <c r="D5058" s="9" t="s">
        <v>4731</v>
      </c>
      <c r="E5058" s="9" t="s">
        <v>1660</v>
      </c>
      <c r="F5058" s="9" t="s">
        <v>211</v>
      </c>
      <c r="G5058" s="9" t="s">
        <v>221</v>
      </c>
      <c r="H5058" s="9" t="n">
        <v>1200</v>
      </c>
      <c r="I5058" s="29" t="n">
        <v>3</v>
      </c>
      <c r="J5058" s="9" t="n">
        <v>0</v>
      </c>
      <c r="K5058" s="30"/>
      <c r="L5058" s="30"/>
      <c r="M5058" s="30"/>
      <c r="N5058" s="30"/>
      <c r="O5058" s="30"/>
      <c r="P5058" s="30"/>
      <c r="Q5058" s="30"/>
      <c r="R5058" s="30"/>
      <c r="S5058" s="30"/>
      <c r="T5058" s="30"/>
      <c r="U5058" s="21" t="str">
        <f aca="false">IF(COUNT(K5058:T5058)=0,"SOURCE EMPTY / INDUSTRIAL ONLY",IF(MIN(K5058:T5058)=1,"SERVICE READY","HOLD"))</f>
        <v>SOURCE EMPTY / INDUSTRIAL ONLY</v>
      </c>
      <c r="V5058" s="9" t="n">
        <f aca="false">IF(U5058="SERVICE READY",1,0)</f>
        <v>0</v>
      </c>
      <c r="W5058" s="6"/>
      <c r="X5058" s="6"/>
      <c r="Y5058" s="6"/>
      <c r="Z5058" s="6"/>
    </row>
    <row r="5059" customFormat="false" ht="15" hidden="false" customHeight="false" outlineLevel="0" collapsed="false">
      <c r="A5059" s="9" t="s">
        <v>5360</v>
      </c>
      <c r="B5059" s="9" t="s">
        <v>5296</v>
      </c>
      <c r="C5059" s="9" t="s">
        <v>5297</v>
      </c>
      <c r="D5059" s="9" t="s">
        <v>4731</v>
      </c>
      <c r="E5059" s="9" t="s">
        <v>1660</v>
      </c>
      <c r="F5059" s="9" t="s">
        <v>197</v>
      </c>
      <c r="G5059" s="9" t="s">
        <v>221</v>
      </c>
      <c r="H5059" s="9" t="n">
        <v>1200</v>
      </c>
      <c r="I5059" s="29" t="n">
        <v>3</v>
      </c>
      <c r="J5059" s="9" t="n">
        <v>0</v>
      </c>
      <c r="K5059" s="30"/>
      <c r="L5059" s="30"/>
      <c r="M5059" s="30"/>
      <c r="N5059" s="30"/>
      <c r="O5059" s="30"/>
      <c r="P5059" s="30"/>
      <c r="Q5059" s="30"/>
      <c r="R5059" s="30"/>
      <c r="S5059" s="30"/>
      <c r="T5059" s="30"/>
      <c r="U5059" s="21" t="str">
        <f aca="false">IF(COUNT(K5059:T5059)=0,"SOURCE EMPTY / INDUSTRIAL ONLY",IF(MIN(K5059:T5059)=1,"SERVICE READY","HOLD"))</f>
        <v>SOURCE EMPTY / INDUSTRIAL ONLY</v>
      </c>
      <c r="V5059" s="9" t="n">
        <f aca="false">IF(U5059="SERVICE READY",1,0)</f>
        <v>0</v>
      </c>
      <c r="W5059" s="6"/>
      <c r="X5059" s="6"/>
      <c r="Y5059" s="6"/>
      <c r="Z5059" s="6"/>
    </row>
    <row r="5060" customFormat="false" ht="15" hidden="false" customHeight="false" outlineLevel="0" collapsed="false">
      <c r="A5060" s="9" t="s">
        <v>5361</v>
      </c>
      <c r="B5060" s="9" t="s">
        <v>5296</v>
      </c>
      <c r="C5060" s="9" t="s">
        <v>5297</v>
      </c>
      <c r="D5060" s="9" t="s">
        <v>4731</v>
      </c>
      <c r="E5060" s="9" t="s">
        <v>1660</v>
      </c>
      <c r="F5060" s="9" t="s">
        <v>200</v>
      </c>
      <c r="G5060" s="9" t="s">
        <v>221</v>
      </c>
      <c r="H5060" s="9" t="n">
        <v>1200</v>
      </c>
      <c r="I5060" s="29" t="n">
        <v>3</v>
      </c>
      <c r="J5060" s="9" t="n">
        <v>0</v>
      </c>
      <c r="K5060" s="30"/>
      <c r="L5060" s="30"/>
      <c r="M5060" s="30"/>
      <c r="N5060" s="30"/>
      <c r="O5060" s="30"/>
      <c r="P5060" s="30"/>
      <c r="Q5060" s="30"/>
      <c r="R5060" s="30"/>
      <c r="S5060" s="30"/>
      <c r="T5060" s="30"/>
      <c r="U5060" s="21" t="str">
        <f aca="false">IF(COUNT(K5060:T5060)=0,"SOURCE EMPTY / INDUSTRIAL ONLY",IF(MIN(K5060:T5060)=1,"SERVICE READY","HOLD"))</f>
        <v>SOURCE EMPTY / INDUSTRIAL ONLY</v>
      </c>
      <c r="V5060" s="9" t="n">
        <f aca="false">IF(U5060="SERVICE READY",1,0)</f>
        <v>0</v>
      </c>
      <c r="W5060" s="6"/>
      <c r="X5060" s="6"/>
      <c r="Y5060" s="6"/>
      <c r="Z5060" s="6"/>
    </row>
    <row r="5061" customFormat="false" ht="15" hidden="false" customHeight="false" outlineLevel="0" collapsed="false">
      <c r="A5061" s="9" t="s">
        <v>5362</v>
      </c>
      <c r="B5061" s="9" t="s">
        <v>5296</v>
      </c>
      <c r="C5061" s="9" t="s">
        <v>5297</v>
      </c>
      <c r="D5061" s="9" t="s">
        <v>4731</v>
      </c>
      <c r="E5061" s="9" t="s">
        <v>1660</v>
      </c>
      <c r="F5061" s="9" t="s">
        <v>203</v>
      </c>
      <c r="G5061" s="9" t="s">
        <v>221</v>
      </c>
      <c r="H5061" s="9" t="n">
        <v>1200</v>
      </c>
      <c r="I5061" s="29" t="n">
        <v>3</v>
      </c>
      <c r="J5061" s="9" t="n">
        <v>0</v>
      </c>
      <c r="K5061" s="30"/>
      <c r="L5061" s="30"/>
      <c r="M5061" s="30"/>
      <c r="N5061" s="30"/>
      <c r="O5061" s="30"/>
      <c r="P5061" s="30"/>
      <c r="Q5061" s="30"/>
      <c r="R5061" s="30"/>
      <c r="S5061" s="30"/>
      <c r="T5061" s="30"/>
      <c r="U5061" s="21" t="str">
        <f aca="false">IF(COUNT(K5061:T5061)=0,"SOURCE EMPTY / INDUSTRIAL ONLY",IF(MIN(K5061:T5061)=1,"SERVICE READY","HOLD"))</f>
        <v>SOURCE EMPTY / INDUSTRIAL ONLY</v>
      </c>
      <c r="V5061" s="9" t="n">
        <f aca="false">IF(U5061="SERVICE READY",1,0)</f>
        <v>0</v>
      </c>
      <c r="W5061" s="6"/>
      <c r="X5061" s="6"/>
      <c r="Y5061" s="6"/>
      <c r="Z5061" s="6"/>
    </row>
    <row r="5062" customFormat="false" ht="15" hidden="false" customHeight="false" outlineLevel="0" collapsed="false">
      <c r="A5062" s="9" t="s">
        <v>5363</v>
      </c>
      <c r="B5062" s="9" t="s">
        <v>5296</v>
      </c>
      <c r="C5062" s="9" t="s">
        <v>5297</v>
      </c>
      <c r="D5062" s="9" t="s">
        <v>4731</v>
      </c>
      <c r="E5062" s="9" t="s">
        <v>1660</v>
      </c>
      <c r="F5062" s="9" t="s">
        <v>205</v>
      </c>
      <c r="G5062" s="9" t="s">
        <v>221</v>
      </c>
      <c r="H5062" s="9" t="n">
        <v>1200</v>
      </c>
      <c r="I5062" s="29" t="n">
        <v>3</v>
      </c>
      <c r="J5062" s="9" t="n">
        <v>0</v>
      </c>
      <c r="K5062" s="30"/>
      <c r="L5062" s="30"/>
      <c r="M5062" s="30"/>
      <c r="N5062" s="30"/>
      <c r="O5062" s="30"/>
      <c r="P5062" s="30"/>
      <c r="Q5062" s="30"/>
      <c r="R5062" s="30"/>
      <c r="S5062" s="30"/>
      <c r="T5062" s="30"/>
      <c r="U5062" s="21" t="str">
        <f aca="false">IF(COUNT(K5062:T5062)=0,"SOURCE EMPTY / INDUSTRIAL ONLY",IF(MIN(K5062:T5062)=1,"SERVICE READY","HOLD"))</f>
        <v>SOURCE EMPTY / INDUSTRIAL ONLY</v>
      </c>
      <c r="V5062" s="9" t="n">
        <f aca="false">IF(U5062="SERVICE READY",1,0)</f>
        <v>0</v>
      </c>
      <c r="W5062" s="6"/>
      <c r="X5062" s="6"/>
      <c r="Y5062" s="6"/>
      <c r="Z5062" s="6"/>
    </row>
    <row r="5063" customFormat="false" ht="15" hidden="false" customHeight="false" outlineLevel="0" collapsed="false">
      <c r="A5063" s="9" t="s">
        <v>5364</v>
      </c>
      <c r="B5063" s="9" t="s">
        <v>5296</v>
      </c>
      <c r="C5063" s="9" t="s">
        <v>5297</v>
      </c>
      <c r="D5063" s="9" t="s">
        <v>4731</v>
      </c>
      <c r="E5063" s="9" t="s">
        <v>1660</v>
      </c>
      <c r="F5063" s="9" t="s">
        <v>207</v>
      </c>
      <c r="G5063" s="9" t="s">
        <v>221</v>
      </c>
      <c r="H5063" s="9" t="n">
        <v>1200</v>
      </c>
      <c r="I5063" s="29" t="n">
        <v>3</v>
      </c>
      <c r="J5063" s="9" t="n">
        <v>0</v>
      </c>
      <c r="K5063" s="30"/>
      <c r="L5063" s="30"/>
      <c r="M5063" s="30"/>
      <c r="N5063" s="30"/>
      <c r="O5063" s="30"/>
      <c r="P5063" s="30"/>
      <c r="Q5063" s="30"/>
      <c r="R5063" s="30"/>
      <c r="S5063" s="30"/>
      <c r="T5063" s="30"/>
      <c r="U5063" s="21" t="str">
        <f aca="false">IF(COUNT(K5063:T5063)=0,"SOURCE EMPTY / INDUSTRIAL ONLY",IF(MIN(K5063:T5063)=1,"SERVICE READY","HOLD"))</f>
        <v>SOURCE EMPTY / INDUSTRIAL ONLY</v>
      </c>
      <c r="V5063" s="9" t="n">
        <f aca="false">IF(U5063="SERVICE READY",1,0)</f>
        <v>0</v>
      </c>
      <c r="W5063" s="6"/>
      <c r="X5063" s="6"/>
      <c r="Y5063" s="6"/>
      <c r="Z5063" s="6"/>
    </row>
    <row r="5064" customFormat="false" ht="15" hidden="false" customHeight="false" outlineLevel="0" collapsed="false">
      <c r="A5064" s="9" t="s">
        <v>5365</v>
      </c>
      <c r="B5064" s="9" t="s">
        <v>5296</v>
      </c>
      <c r="C5064" s="9" t="s">
        <v>5297</v>
      </c>
      <c r="D5064" s="9" t="s">
        <v>4731</v>
      </c>
      <c r="E5064" s="9" t="s">
        <v>1660</v>
      </c>
      <c r="F5064" s="9" t="s">
        <v>209</v>
      </c>
      <c r="G5064" s="9" t="s">
        <v>221</v>
      </c>
      <c r="H5064" s="9" t="n">
        <v>1200</v>
      </c>
      <c r="I5064" s="29" t="n">
        <v>3</v>
      </c>
      <c r="J5064" s="9" t="n">
        <v>0</v>
      </c>
      <c r="K5064" s="30"/>
      <c r="L5064" s="30"/>
      <c r="M5064" s="30"/>
      <c r="N5064" s="30"/>
      <c r="O5064" s="30"/>
      <c r="P5064" s="30"/>
      <c r="Q5064" s="30"/>
      <c r="R5064" s="30"/>
      <c r="S5064" s="30"/>
      <c r="T5064" s="30"/>
      <c r="U5064" s="21" t="str">
        <f aca="false">IF(COUNT(K5064:T5064)=0,"SOURCE EMPTY / INDUSTRIAL ONLY",IF(MIN(K5064:T5064)=1,"SERVICE READY","HOLD"))</f>
        <v>SOURCE EMPTY / INDUSTRIAL ONLY</v>
      </c>
      <c r="V5064" s="9" t="n">
        <f aca="false">IF(U5064="SERVICE READY",1,0)</f>
        <v>0</v>
      </c>
      <c r="W5064" s="6"/>
      <c r="X5064" s="6"/>
      <c r="Y5064" s="6"/>
      <c r="Z5064" s="6"/>
    </row>
    <row r="5065" customFormat="false" ht="15" hidden="false" customHeight="false" outlineLevel="0" collapsed="false">
      <c r="A5065" s="9" t="s">
        <v>5366</v>
      </c>
      <c r="B5065" s="9" t="s">
        <v>5296</v>
      </c>
      <c r="C5065" s="9" t="s">
        <v>5297</v>
      </c>
      <c r="D5065" s="9" t="s">
        <v>4731</v>
      </c>
      <c r="E5065" s="9" t="s">
        <v>1660</v>
      </c>
      <c r="F5065" s="9" t="s">
        <v>211</v>
      </c>
      <c r="G5065" s="9" t="s">
        <v>221</v>
      </c>
      <c r="H5065" s="9" t="n">
        <v>1200</v>
      </c>
      <c r="I5065" s="29" t="n">
        <v>3</v>
      </c>
      <c r="J5065" s="9" t="n">
        <v>0</v>
      </c>
      <c r="K5065" s="30"/>
      <c r="L5065" s="30"/>
      <c r="M5065" s="30"/>
      <c r="N5065" s="30"/>
      <c r="O5065" s="30"/>
      <c r="P5065" s="30"/>
      <c r="Q5065" s="30"/>
      <c r="R5065" s="30"/>
      <c r="S5065" s="30"/>
      <c r="T5065" s="30"/>
      <c r="U5065" s="21" t="str">
        <f aca="false">IF(COUNT(K5065:T5065)=0,"SOURCE EMPTY / INDUSTRIAL ONLY",IF(MIN(K5065:T5065)=1,"SERVICE READY","HOLD"))</f>
        <v>SOURCE EMPTY / INDUSTRIAL ONLY</v>
      </c>
      <c r="V5065" s="9" t="n">
        <f aca="false">IF(U5065="SERVICE READY",1,0)</f>
        <v>0</v>
      </c>
      <c r="W5065" s="6"/>
      <c r="X5065" s="6"/>
      <c r="Y5065" s="6"/>
      <c r="Z5065" s="6"/>
    </row>
    <row r="5066" customFormat="false" ht="15" hidden="false" customHeight="false" outlineLevel="0" collapsed="false">
      <c r="A5066" s="9" t="s">
        <v>5367</v>
      </c>
      <c r="B5066" s="9" t="s">
        <v>5296</v>
      </c>
      <c r="C5066" s="9" t="s">
        <v>5297</v>
      </c>
      <c r="D5066" s="9" t="s">
        <v>4731</v>
      </c>
      <c r="E5066" s="9" t="s">
        <v>1660</v>
      </c>
      <c r="F5066" s="9" t="s">
        <v>197</v>
      </c>
      <c r="G5066" s="9" t="s">
        <v>221</v>
      </c>
      <c r="H5066" s="9" t="n">
        <v>1200</v>
      </c>
      <c r="I5066" s="29" t="n">
        <v>3</v>
      </c>
      <c r="J5066" s="9" t="n">
        <v>0</v>
      </c>
      <c r="K5066" s="30"/>
      <c r="L5066" s="30"/>
      <c r="M5066" s="30"/>
      <c r="N5066" s="30"/>
      <c r="O5066" s="30"/>
      <c r="P5066" s="30"/>
      <c r="Q5066" s="30"/>
      <c r="R5066" s="30"/>
      <c r="S5066" s="30"/>
      <c r="T5066" s="30"/>
      <c r="U5066" s="21" t="str">
        <f aca="false">IF(COUNT(K5066:T5066)=0,"SOURCE EMPTY / INDUSTRIAL ONLY",IF(MIN(K5066:T5066)=1,"SERVICE READY","HOLD"))</f>
        <v>SOURCE EMPTY / INDUSTRIAL ONLY</v>
      </c>
      <c r="V5066" s="9" t="n">
        <f aca="false">IF(U5066="SERVICE READY",1,0)</f>
        <v>0</v>
      </c>
      <c r="W5066" s="6"/>
      <c r="X5066" s="6"/>
      <c r="Y5066" s="6"/>
      <c r="Z5066" s="6"/>
    </row>
    <row r="5067" customFormat="false" ht="15" hidden="false" customHeight="false" outlineLevel="0" collapsed="false">
      <c r="A5067" s="9" t="s">
        <v>5368</v>
      </c>
      <c r="B5067" s="9" t="s">
        <v>5296</v>
      </c>
      <c r="C5067" s="9" t="s">
        <v>5297</v>
      </c>
      <c r="D5067" s="9" t="s">
        <v>4731</v>
      </c>
      <c r="E5067" s="9" t="s">
        <v>1660</v>
      </c>
      <c r="F5067" s="9" t="s">
        <v>200</v>
      </c>
      <c r="G5067" s="9" t="s">
        <v>221</v>
      </c>
      <c r="H5067" s="9" t="n">
        <v>1200</v>
      </c>
      <c r="I5067" s="29" t="n">
        <v>3</v>
      </c>
      <c r="J5067" s="9" t="n">
        <v>0</v>
      </c>
      <c r="K5067" s="30"/>
      <c r="L5067" s="30"/>
      <c r="M5067" s="30"/>
      <c r="N5067" s="30"/>
      <c r="O5067" s="30"/>
      <c r="P5067" s="30"/>
      <c r="Q5067" s="30"/>
      <c r="R5067" s="30"/>
      <c r="S5067" s="30"/>
      <c r="T5067" s="30"/>
      <c r="U5067" s="21" t="str">
        <f aca="false">IF(COUNT(K5067:T5067)=0,"SOURCE EMPTY / INDUSTRIAL ONLY",IF(MIN(K5067:T5067)=1,"SERVICE READY","HOLD"))</f>
        <v>SOURCE EMPTY / INDUSTRIAL ONLY</v>
      </c>
      <c r="V5067" s="9" t="n">
        <f aca="false">IF(U5067="SERVICE READY",1,0)</f>
        <v>0</v>
      </c>
      <c r="W5067" s="6"/>
      <c r="X5067" s="6"/>
      <c r="Y5067" s="6"/>
      <c r="Z5067" s="6"/>
    </row>
    <row r="5068" customFormat="false" ht="15" hidden="false" customHeight="false" outlineLevel="0" collapsed="false">
      <c r="A5068" s="9" t="s">
        <v>5369</v>
      </c>
      <c r="B5068" s="9" t="s">
        <v>5370</v>
      </c>
      <c r="C5068" s="9" t="s">
        <v>5371</v>
      </c>
      <c r="D5068" s="9" t="s">
        <v>4731</v>
      </c>
      <c r="E5068" s="9" t="s">
        <v>1660</v>
      </c>
      <c r="F5068" s="9" t="s">
        <v>197</v>
      </c>
      <c r="G5068" s="9" t="s">
        <v>198</v>
      </c>
      <c r="H5068" s="9" t="n">
        <v>1200</v>
      </c>
      <c r="I5068" s="29" t="n">
        <v>2</v>
      </c>
      <c r="J5068" s="9" t="n">
        <v>1</v>
      </c>
      <c r="K5068" s="30"/>
      <c r="L5068" s="30"/>
      <c r="M5068" s="30"/>
      <c r="N5068" s="30"/>
      <c r="O5068" s="30"/>
      <c r="P5068" s="30"/>
      <c r="Q5068" s="30"/>
      <c r="R5068" s="30"/>
      <c r="S5068" s="30"/>
      <c r="T5068" s="30"/>
      <c r="U5068" s="21" t="str">
        <f aca="false">IF(COUNT(K5068:T5068)=0,"SOURCE EMPTY / INDUSTRIAL ONLY",IF(MIN(K5068:T5068)=1,"SERVICE READY","HOLD"))</f>
        <v>SOURCE EMPTY / INDUSTRIAL ONLY</v>
      </c>
      <c r="V5068" s="9" t="n">
        <f aca="false">IF(U5068="SERVICE READY",1,0)</f>
        <v>0</v>
      </c>
      <c r="W5068" s="6"/>
      <c r="X5068" s="6"/>
      <c r="Y5068" s="6"/>
      <c r="Z5068" s="6"/>
    </row>
    <row r="5069" customFormat="false" ht="15" hidden="false" customHeight="false" outlineLevel="0" collapsed="false">
      <c r="A5069" s="9" t="s">
        <v>5372</v>
      </c>
      <c r="B5069" s="9" t="s">
        <v>5370</v>
      </c>
      <c r="C5069" s="9" t="s">
        <v>5371</v>
      </c>
      <c r="D5069" s="9" t="s">
        <v>4731</v>
      </c>
      <c r="E5069" s="9" t="s">
        <v>1660</v>
      </c>
      <c r="F5069" s="9" t="s">
        <v>200</v>
      </c>
      <c r="G5069" s="9" t="s">
        <v>201</v>
      </c>
      <c r="H5069" s="9" t="n">
        <v>1200</v>
      </c>
      <c r="I5069" s="29" t="n">
        <v>2</v>
      </c>
      <c r="J5069" s="9" t="n">
        <v>1</v>
      </c>
      <c r="K5069" s="30"/>
      <c r="L5069" s="30"/>
      <c r="M5069" s="30"/>
      <c r="N5069" s="30"/>
      <c r="O5069" s="30"/>
      <c r="P5069" s="30"/>
      <c r="Q5069" s="30"/>
      <c r="R5069" s="30"/>
      <c r="S5069" s="30"/>
      <c r="T5069" s="30"/>
      <c r="U5069" s="21" t="str">
        <f aca="false">IF(COUNT(K5069:T5069)=0,"SOURCE EMPTY / INDUSTRIAL ONLY",IF(MIN(K5069:T5069)=1,"SERVICE READY","HOLD"))</f>
        <v>SOURCE EMPTY / INDUSTRIAL ONLY</v>
      </c>
      <c r="V5069" s="9" t="n">
        <f aca="false">IF(U5069="SERVICE READY",1,0)</f>
        <v>0</v>
      </c>
      <c r="W5069" s="6"/>
      <c r="X5069" s="6"/>
      <c r="Y5069" s="6"/>
      <c r="Z5069" s="6"/>
    </row>
    <row r="5070" customFormat="false" ht="15" hidden="false" customHeight="false" outlineLevel="0" collapsed="false">
      <c r="A5070" s="9" t="s">
        <v>5373</v>
      </c>
      <c r="B5070" s="9" t="s">
        <v>5370</v>
      </c>
      <c r="C5070" s="9" t="s">
        <v>5371</v>
      </c>
      <c r="D5070" s="9" t="s">
        <v>4731</v>
      </c>
      <c r="E5070" s="9" t="s">
        <v>1660</v>
      </c>
      <c r="F5070" s="9" t="s">
        <v>203</v>
      </c>
      <c r="G5070" s="9" t="s">
        <v>198</v>
      </c>
      <c r="H5070" s="9" t="n">
        <v>1200</v>
      </c>
      <c r="I5070" s="29" t="n">
        <v>2</v>
      </c>
      <c r="J5070" s="9" t="n">
        <v>1</v>
      </c>
      <c r="K5070" s="30"/>
      <c r="L5070" s="30"/>
      <c r="M5070" s="30"/>
      <c r="N5070" s="30"/>
      <c r="O5070" s="30"/>
      <c r="P5070" s="30"/>
      <c r="Q5070" s="30"/>
      <c r="R5070" s="30"/>
      <c r="S5070" s="30"/>
      <c r="T5070" s="30"/>
      <c r="U5070" s="21" t="str">
        <f aca="false">IF(COUNT(K5070:T5070)=0,"SOURCE EMPTY / INDUSTRIAL ONLY",IF(MIN(K5070:T5070)=1,"SERVICE READY","HOLD"))</f>
        <v>SOURCE EMPTY / INDUSTRIAL ONLY</v>
      </c>
      <c r="V5070" s="9" t="n">
        <f aca="false">IF(U5070="SERVICE READY",1,0)</f>
        <v>0</v>
      </c>
      <c r="W5070" s="6"/>
      <c r="X5070" s="6"/>
      <c r="Y5070" s="6"/>
      <c r="Z5070" s="6"/>
    </row>
    <row r="5071" customFormat="false" ht="15" hidden="false" customHeight="false" outlineLevel="0" collapsed="false">
      <c r="A5071" s="9" t="s">
        <v>5374</v>
      </c>
      <c r="B5071" s="9" t="s">
        <v>5370</v>
      </c>
      <c r="C5071" s="9" t="s">
        <v>5371</v>
      </c>
      <c r="D5071" s="9" t="s">
        <v>4731</v>
      </c>
      <c r="E5071" s="9" t="s">
        <v>1660</v>
      </c>
      <c r="F5071" s="9" t="s">
        <v>205</v>
      </c>
      <c r="G5071" s="9" t="s">
        <v>201</v>
      </c>
      <c r="H5071" s="9" t="n">
        <v>1200</v>
      </c>
      <c r="I5071" s="29" t="n">
        <v>2</v>
      </c>
      <c r="J5071" s="9" t="n">
        <v>1</v>
      </c>
      <c r="K5071" s="30"/>
      <c r="L5071" s="30"/>
      <c r="M5071" s="30"/>
      <c r="N5071" s="30"/>
      <c r="O5071" s="30"/>
      <c r="P5071" s="30"/>
      <c r="Q5071" s="30"/>
      <c r="R5071" s="30"/>
      <c r="S5071" s="30"/>
      <c r="T5071" s="30"/>
      <c r="U5071" s="21" t="str">
        <f aca="false">IF(COUNT(K5071:T5071)=0,"SOURCE EMPTY / INDUSTRIAL ONLY",IF(MIN(K5071:T5071)=1,"SERVICE READY","HOLD"))</f>
        <v>SOURCE EMPTY / INDUSTRIAL ONLY</v>
      </c>
      <c r="V5071" s="9" t="n">
        <f aca="false">IF(U5071="SERVICE READY",1,0)</f>
        <v>0</v>
      </c>
      <c r="W5071" s="6"/>
      <c r="X5071" s="6"/>
      <c r="Y5071" s="6"/>
      <c r="Z5071" s="6"/>
    </row>
    <row r="5072" customFormat="false" ht="15" hidden="false" customHeight="false" outlineLevel="0" collapsed="false">
      <c r="A5072" s="9" t="s">
        <v>5375</v>
      </c>
      <c r="B5072" s="9" t="s">
        <v>5370</v>
      </c>
      <c r="C5072" s="9" t="s">
        <v>5371</v>
      </c>
      <c r="D5072" s="9" t="s">
        <v>4731</v>
      </c>
      <c r="E5072" s="9" t="s">
        <v>1660</v>
      </c>
      <c r="F5072" s="9" t="s">
        <v>207</v>
      </c>
      <c r="G5072" s="9" t="s">
        <v>198</v>
      </c>
      <c r="H5072" s="9" t="n">
        <v>1200</v>
      </c>
      <c r="I5072" s="29" t="n">
        <v>2</v>
      </c>
      <c r="J5072" s="9" t="n">
        <v>1</v>
      </c>
      <c r="K5072" s="30"/>
      <c r="L5072" s="30"/>
      <c r="M5072" s="30"/>
      <c r="N5072" s="30"/>
      <c r="O5072" s="30"/>
      <c r="P5072" s="30"/>
      <c r="Q5072" s="30"/>
      <c r="R5072" s="30"/>
      <c r="S5072" s="30"/>
      <c r="T5072" s="30"/>
      <c r="U5072" s="21" t="str">
        <f aca="false">IF(COUNT(K5072:T5072)=0,"SOURCE EMPTY / INDUSTRIAL ONLY",IF(MIN(K5072:T5072)=1,"SERVICE READY","HOLD"))</f>
        <v>SOURCE EMPTY / INDUSTRIAL ONLY</v>
      </c>
      <c r="V5072" s="9" t="n">
        <f aca="false">IF(U5072="SERVICE READY",1,0)</f>
        <v>0</v>
      </c>
      <c r="W5072" s="6"/>
      <c r="X5072" s="6"/>
      <c r="Y5072" s="6"/>
      <c r="Z5072" s="6"/>
    </row>
    <row r="5073" customFormat="false" ht="15" hidden="false" customHeight="false" outlineLevel="0" collapsed="false">
      <c r="A5073" s="9" t="s">
        <v>5376</v>
      </c>
      <c r="B5073" s="9" t="s">
        <v>5370</v>
      </c>
      <c r="C5073" s="9" t="s">
        <v>5371</v>
      </c>
      <c r="D5073" s="9" t="s">
        <v>4731</v>
      </c>
      <c r="E5073" s="9" t="s">
        <v>1660</v>
      </c>
      <c r="F5073" s="9" t="s">
        <v>209</v>
      </c>
      <c r="G5073" s="9" t="s">
        <v>201</v>
      </c>
      <c r="H5073" s="9" t="n">
        <v>1200</v>
      </c>
      <c r="I5073" s="29" t="n">
        <v>2</v>
      </c>
      <c r="J5073" s="9" t="n">
        <v>1</v>
      </c>
      <c r="K5073" s="30"/>
      <c r="L5073" s="30"/>
      <c r="M5073" s="30"/>
      <c r="N5073" s="30"/>
      <c r="O5073" s="30"/>
      <c r="P5073" s="30"/>
      <c r="Q5073" s="30"/>
      <c r="R5073" s="30"/>
      <c r="S5073" s="30"/>
      <c r="T5073" s="30"/>
      <c r="U5073" s="21" t="str">
        <f aca="false">IF(COUNT(K5073:T5073)=0,"SOURCE EMPTY / INDUSTRIAL ONLY",IF(MIN(K5073:T5073)=1,"SERVICE READY","HOLD"))</f>
        <v>SOURCE EMPTY / INDUSTRIAL ONLY</v>
      </c>
      <c r="V5073" s="9" t="n">
        <f aca="false">IF(U5073="SERVICE READY",1,0)</f>
        <v>0</v>
      </c>
      <c r="W5073" s="6"/>
      <c r="X5073" s="6"/>
      <c r="Y5073" s="6"/>
      <c r="Z5073" s="6"/>
    </row>
    <row r="5074" customFormat="false" ht="15" hidden="false" customHeight="false" outlineLevel="0" collapsed="false">
      <c r="A5074" s="9" t="s">
        <v>5377</v>
      </c>
      <c r="B5074" s="9" t="s">
        <v>5370</v>
      </c>
      <c r="C5074" s="9" t="s">
        <v>5371</v>
      </c>
      <c r="D5074" s="9" t="s">
        <v>4731</v>
      </c>
      <c r="E5074" s="9" t="s">
        <v>1660</v>
      </c>
      <c r="F5074" s="9" t="s">
        <v>211</v>
      </c>
      <c r="G5074" s="9" t="s">
        <v>198</v>
      </c>
      <c r="H5074" s="9" t="n">
        <v>1200</v>
      </c>
      <c r="I5074" s="29" t="n">
        <v>2</v>
      </c>
      <c r="J5074" s="9" t="n">
        <v>1</v>
      </c>
      <c r="K5074" s="30"/>
      <c r="L5074" s="30"/>
      <c r="M5074" s="30"/>
      <c r="N5074" s="30"/>
      <c r="O5074" s="30"/>
      <c r="P5074" s="30"/>
      <c r="Q5074" s="30"/>
      <c r="R5074" s="30"/>
      <c r="S5074" s="30"/>
      <c r="T5074" s="30"/>
      <c r="U5074" s="21" t="str">
        <f aca="false">IF(COUNT(K5074:T5074)=0,"SOURCE EMPTY / INDUSTRIAL ONLY",IF(MIN(K5074:T5074)=1,"SERVICE READY","HOLD"))</f>
        <v>SOURCE EMPTY / INDUSTRIAL ONLY</v>
      </c>
      <c r="V5074" s="9" t="n">
        <f aca="false">IF(U5074="SERVICE READY",1,0)</f>
        <v>0</v>
      </c>
      <c r="W5074" s="6"/>
      <c r="X5074" s="6"/>
      <c r="Y5074" s="6"/>
      <c r="Z5074" s="6"/>
    </row>
    <row r="5075" customFormat="false" ht="15" hidden="false" customHeight="false" outlineLevel="0" collapsed="false">
      <c r="A5075" s="9" t="s">
        <v>5378</v>
      </c>
      <c r="B5075" s="9" t="s">
        <v>5370</v>
      </c>
      <c r="C5075" s="9" t="s">
        <v>5371</v>
      </c>
      <c r="D5075" s="9" t="s">
        <v>4731</v>
      </c>
      <c r="E5075" s="9" t="s">
        <v>1660</v>
      </c>
      <c r="F5075" s="9" t="s">
        <v>197</v>
      </c>
      <c r="G5075" s="9" t="s">
        <v>201</v>
      </c>
      <c r="H5075" s="9" t="n">
        <v>1200</v>
      </c>
      <c r="I5075" s="29" t="n">
        <v>2</v>
      </c>
      <c r="J5075" s="9" t="n">
        <v>1</v>
      </c>
      <c r="K5075" s="30"/>
      <c r="L5075" s="30"/>
      <c r="M5075" s="30"/>
      <c r="N5075" s="30"/>
      <c r="O5075" s="30"/>
      <c r="P5075" s="30"/>
      <c r="Q5075" s="30"/>
      <c r="R5075" s="30"/>
      <c r="S5075" s="30"/>
      <c r="T5075" s="30"/>
      <c r="U5075" s="21" t="str">
        <f aca="false">IF(COUNT(K5075:T5075)=0,"SOURCE EMPTY / INDUSTRIAL ONLY",IF(MIN(K5075:T5075)=1,"SERVICE READY","HOLD"))</f>
        <v>SOURCE EMPTY / INDUSTRIAL ONLY</v>
      </c>
      <c r="V5075" s="9" t="n">
        <f aca="false">IF(U5075="SERVICE READY",1,0)</f>
        <v>0</v>
      </c>
      <c r="W5075" s="6"/>
      <c r="X5075" s="6"/>
      <c r="Y5075" s="6"/>
      <c r="Z5075" s="6"/>
    </row>
    <row r="5076" customFormat="false" ht="15" hidden="false" customHeight="false" outlineLevel="0" collapsed="false">
      <c r="A5076" s="9" t="s">
        <v>5379</v>
      </c>
      <c r="B5076" s="9" t="s">
        <v>5370</v>
      </c>
      <c r="C5076" s="9" t="s">
        <v>5371</v>
      </c>
      <c r="D5076" s="9" t="s">
        <v>4731</v>
      </c>
      <c r="E5076" s="9" t="s">
        <v>1660</v>
      </c>
      <c r="F5076" s="9" t="s">
        <v>200</v>
      </c>
      <c r="G5076" s="9" t="s">
        <v>198</v>
      </c>
      <c r="H5076" s="9" t="n">
        <v>1200</v>
      </c>
      <c r="I5076" s="29" t="n">
        <v>2</v>
      </c>
      <c r="J5076" s="9" t="n">
        <v>1</v>
      </c>
      <c r="K5076" s="30"/>
      <c r="L5076" s="30"/>
      <c r="M5076" s="30"/>
      <c r="N5076" s="30"/>
      <c r="O5076" s="30"/>
      <c r="P5076" s="30"/>
      <c r="Q5076" s="30"/>
      <c r="R5076" s="30"/>
      <c r="S5076" s="30"/>
      <c r="T5076" s="30"/>
      <c r="U5076" s="21" t="str">
        <f aca="false">IF(COUNT(K5076:T5076)=0,"SOURCE EMPTY / INDUSTRIAL ONLY",IF(MIN(K5076:T5076)=1,"SERVICE READY","HOLD"))</f>
        <v>SOURCE EMPTY / INDUSTRIAL ONLY</v>
      </c>
      <c r="V5076" s="9" t="n">
        <f aca="false">IF(U5076="SERVICE READY",1,0)</f>
        <v>0</v>
      </c>
      <c r="W5076" s="6"/>
      <c r="X5076" s="6"/>
      <c r="Y5076" s="6"/>
      <c r="Z5076" s="6"/>
    </row>
    <row r="5077" customFormat="false" ht="15" hidden="false" customHeight="false" outlineLevel="0" collapsed="false">
      <c r="A5077" s="9" t="s">
        <v>5380</v>
      </c>
      <c r="B5077" s="9" t="s">
        <v>5370</v>
      </c>
      <c r="C5077" s="9" t="s">
        <v>5371</v>
      </c>
      <c r="D5077" s="9" t="s">
        <v>4731</v>
      </c>
      <c r="E5077" s="9" t="s">
        <v>1660</v>
      </c>
      <c r="F5077" s="9" t="s">
        <v>203</v>
      </c>
      <c r="G5077" s="9" t="s">
        <v>201</v>
      </c>
      <c r="H5077" s="9" t="n">
        <v>1200</v>
      </c>
      <c r="I5077" s="29" t="n">
        <v>2</v>
      </c>
      <c r="J5077" s="9" t="n">
        <v>1</v>
      </c>
      <c r="K5077" s="30"/>
      <c r="L5077" s="30"/>
      <c r="M5077" s="30"/>
      <c r="N5077" s="30"/>
      <c r="O5077" s="30"/>
      <c r="P5077" s="30"/>
      <c r="Q5077" s="30"/>
      <c r="R5077" s="30"/>
      <c r="S5077" s="30"/>
      <c r="T5077" s="30"/>
      <c r="U5077" s="21" t="str">
        <f aca="false">IF(COUNT(K5077:T5077)=0,"SOURCE EMPTY / INDUSTRIAL ONLY",IF(MIN(K5077:T5077)=1,"SERVICE READY","HOLD"))</f>
        <v>SOURCE EMPTY / INDUSTRIAL ONLY</v>
      </c>
      <c r="V5077" s="9" t="n">
        <f aca="false">IF(U5077="SERVICE READY",1,0)</f>
        <v>0</v>
      </c>
      <c r="W5077" s="6"/>
      <c r="X5077" s="6"/>
      <c r="Y5077" s="6"/>
      <c r="Z5077" s="6"/>
    </row>
    <row r="5078" customFormat="false" ht="15" hidden="false" customHeight="false" outlineLevel="0" collapsed="false">
      <c r="A5078" s="9" t="s">
        <v>5381</v>
      </c>
      <c r="B5078" s="9" t="s">
        <v>5370</v>
      </c>
      <c r="C5078" s="9" t="s">
        <v>5371</v>
      </c>
      <c r="D5078" s="9" t="s">
        <v>4731</v>
      </c>
      <c r="E5078" s="9" t="s">
        <v>1660</v>
      </c>
      <c r="F5078" s="9" t="s">
        <v>205</v>
      </c>
      <c r="G5078" s="9" t="s">
        <v>198</v>
      </c>
      <c r="H5078" s="9" t="n">
        <v>1200</v>
      </c>
      <c r="I5078" s="29" t="n">
        <v>2</v>
      </c>
      <c r="J5078" s="9" t="n">
        <v>1</v>
      </c>
      <c r="K5078" s="30"/>
      <c r="L5078" s="30"/>
      <c r="M5078" s="30"/>
      <c r="N5078" s="30"/>
      <c r="O5078" s="30"/>
      <c r="P5078" s="30"/>
      <c r="Q5078" s="30"/>
      <c r="R5078" s="30"/>
      <c r="S5078" s="30"/>
      <c r="T5078" s="30"/>
      <c r="U5078" s="21" t="str">
        <f aca="false">IF(COUNT(K5078:T5078)=0,"SOURCE EMPTY / INDUSTRIAL ONLY",IF(MIN(K5078:T5078)=1,"SERVICE READY","HOLD"))</f>
        <v>SOURCE EMPTY / INDUSTRIAL ONLY</v>
      </c>
      <c r="V5078" s="9" t="n">
        <f aca="false">IF(U5078="SERVICE READY",1,0)</f>
        <v>0</v>
      </c>
      <c r="W5078" s="6"/>
      <c r="X5078" s="6"/>
      <c r="Y5078" s="6"/>
      <c r="Z5078" s="6"/>
    </row>
    <row r="5079" customFormat="false" ht="15" hidden="false" customHeight="false" outlineLevel="0" collapsed="false">
      <c r="A5079" s="9" t="s">
        <v>5382</v>
      </c>
      <c r="B5079" s="9" t="s">
        <v>5370</v>
      </c>
      <c r="C5079" s="9" t="s">
        <v>5371</v>
      </c>
      <c r="D5079" s="9" t="s">
        <v>4731</v>
      </c>
      <c r="E5079" s="9" t="s">
        <v>1660</v>
      </c>
      <c r="F5079" s="9" t="s">
        <v>207</v>
      </c>
      <c r="G5079" s="9" t="s">
        <v>201</v>
      </c>
      <c r="H5079" s="9" t="n">
        <v>1200</v>
      </c>
      <c r="I5079" s="29" t="n">
        <v>2</v>
      </c>
      <c r="J5079" s="9" t="n">
        <v>1</v>
      </c>
      <c r="K5079" s="30"/>
      <c r="L5079" s="30"/>
      <c r="M5079" s="30"/>
      <c r="N5079" s="30"/>
      <c r="O5079" s="30"/>
      <c r="P5079" s="30"/>
      <c r="Q5079" s="30"/>
      <c r="R5079" s="30"/>
      <c r="S5079" s="30"/>
      <c r="T5079" s="30"/>
      <c r="U5079" s="21" t="str">
        <f aca="false">IF(COUNT(K5079:T5079)=0,"SOURCE EMPTY / INDUSTRIAL ONLY",IF(MIN(K5079:T5079)=1,"SERVICE READY","HOLD"))</f>
        <v>SOURCE EMPTY / INDUSTRIAL ONLY</v>
      </c>
      <c r="V5079" s="9" t="n">
        <f aca="false">IF(U5079="SERVICE READY",1,0)</f>
        <v>0</v>
      </c>
      <c r="W5079" s="6"/>
      <c r="X5079" s="6"/>
      <c r="Y5079" s="6"/>
      <c r="Z5079" s="6"/>
    </row>
    <row r="5080" customFormat="false" ht="15" hidden="false" customHeight="false" outlineLevel="0" collapsed="false">
      <c r="A5080" s="9" t="s">
        <v>5383</v>
      </c>
      <c r="B5080" s="9" t="s">
        <v>5370</v>
      </c>
      <c r="C5080" s="9" t="s">
        <v>5371</v>
      </c>
      <c r="D5080" s="9" t="s">
        <v>4731</v>
      </c>
      <c r="E5080" s="9" t="s">
        <v>1660</v>
      </c>
      <c r="F5080" s="9" t="s">
        <v>209</v>
      </c>
      <c r="G5080" s="9" t="s">
        <v>198</v>
      </c>
      <c r="H5080" s="9" t="n">
        <v>1200</v>
      </c>
      <c r="I5080" s="29" t="n">
        <v>2</v>
      </c>
      <c r="J5080" s="9" t="n">
        <v>1</v>
      </c>
      <c r="K5080" s="30"/>
      <c r="L5080" s="30"/>
      <c r="M5080" s="30"/>
      <c r="N5080" s="30"/>
      <c r="O5080" s="30"/>
      <c r="P5080" s="30"/>
      <c r="Q5080" s="30"/>
      <c r="R5080" s="30"/>
      <c r="S5080" s="30"/>
      <c r="T5080" s="30"/>
      <c r="U5080" s="21" t="str">
        <f aca="false">IF(COUNT(K5080:T5080)=0,"SOURCE EMPTY / INDUSTRIAL ONLY",IF(MIN(K5080:T5080)=1,"SERVICE READY","HOLD"))</f>
        <v>SOURCE EMPTY / INDUSTRIAL ONLY</v>
      </c>
      <c r="V5080" s="9" t="n">
        <f aca="false">IF(U5080="SERVICE READY",1,0)</f>
        <v>0</v>
      </c>
      <c r="W5080" s="6"/>
      <c r="X5080" s="6"/>
      <c r="Y5080" s="6"/>
      <c r="Z5080" s="6"/>
    </row>
    <row r="5081" customFormat="false" ht="15" hidden="false" customHeight="false" outlineLevel="0" collapsed="false">
      <c r="A5081" s="9" t="s">
        <v>5384</v>
      </c>
      <c r="B5081" s="9" t="s">
        <v>5370</v>
      </c>
      <c r="C5081" s="9" t="s">
        <v>5371</v>
      </c>
      <c r="D5081" s="9" t="s">
        <v>4731</v>
      </c>
      <c r="E5081" s="9" t="s">
        <v>1660</v>
      </c>
      <c r="F5081" s="9" t="s">
        <v>211</v>
      </c>
      <c r="G5081" s="9" t="s">
        <v>201</v>
      </c>
      <c r="H5081" s="9" t="n">
        <v>1200</v>
      </c>
      <c r="I5081" s="29" t="n">
        <v>2</v>
      </c>
      <c r="J5081" s="9" t="n">
        <v>1</v>
      </c>
      <c r="K5081" s="30"/>
      <c r="L5081" s="30"/>
      <c r="M5081" s="30"/>
      <c r="N5081" s="30"/>
      <c r="O5081" s="30"/>
      <c r="P5081" s="30"/>
      <c r="Q5081" s="30"/>
      <c r="R5081" s="30"/>
      <c r="S5081" s="30"/>
      <c r="T5081" s="30"/>
      <c r="U5081" s="21" t="str">
        <f aca="false">IF(COUNT(K5081:T5081)=0,"SOURCE EMPTY / INDUSTRIAL ONLY",IF(MIN(K5081:T5081)=1,"SERVICE READY","HOLD"))</f>
        <v>SOURCE EMPTY / INDUSTRIAL ONLY</v>
      </c>
      <c r="V5081" s="9" t="n">
        <f aca="false">IF(U5081="SERVICE READY",1,0)</f>
        <v>0</v>
      </c>
      <c r="W5081" s="6"/>
      <c r="X5081" s="6"/>
      <c r="Y5081" s="6"/>
      <c r="Z5081" s="6"/>
    </row>
    <row r="5082" customFormat="false" ht="15" hidden="false" customHeight="false" outlineLevel="0" collapsed="false">
      <c r="A5082" s="9" t="s">
        <v>5385</v>
      </c>
      <c r="B5082" s="9" t="s">
        <v>5370</v>
      </c>
      <c r="C5082" s="9" t="s">
        <v>5371</v>
      </c>
      <c r="D5082" s="9" t="s">
        <v>4731</v>
      </c>
      <c r="E5082" s="9" t="s">
        <v>1660</v>
      </c>
      <c r="F5082" s="9" t="s">
        <v>197</v>
      </c>
      <c r="G5082" s="9" t="s">
        <v>198</v>
      </c>
      <c r="H5082" s="9" t="n">
        <v>1200</v>
      </c>
      <c r="I5082" s="29" t="n">
        <v>2</v>
      </c>
      <c r="J5082" s="9" t="n">
        <v>1</v>
      </c>
      <c r="K5082" s="30"/>
      <c r="L5082" s="30"/>
      <c r="M5082" s="30"/>
      <c r="N5082" s="30"/>
      <c r="O5082" s="30"/>
      <c r="P5082" s="30"/>
      <c r="Q5082" s="30"/>
      <c r="R5082" s="30"/>
      <c r="S5082" s="30"/>
      <c r="T5082" s="30"/>
      <c r="U5082" s="21" t="str">
        <f aca="false">IF(COUNT(K5082:T5082)=0,"SOURCE EMPTY / INDUSTRIAL ONLY",IF(MIN(K5082:T5082)=1,"SERVICE READY","HOLD"))</f>
        <v>SOURCE EMPTY / INDUSTRIAL ONLY</v>
      </c>
      <c r="V5082" s="9" t="n">
        <f aca="false">IF(U5082="SERVICE READY",1,0)</f>
        <v>0</v>
      </c>
      <c r="W5082" s="6"/>
      <c r="X5082" s="6"/>
      <c r="Y5082" s="6"/>
      <c r="Z5082" s="6"/>
    </row>
    <row r="5083" customFormat="false" ht="15" hidden="false" customHeight="false" outlineLevel="0" collapsed="false">
      <c r="A5083" s="9" t="s">
        <v>5386</v>
      </c>
      <c r="B5083" s="9" t="s">
        <v>5370</v>
      </c>
      <c r="C5083" s="9" t="s">
        <v>5371</v>
      </c>
      <c r="D5083" s="9" t="s">
        <v>4731</v>
      </c>
      <c r="E5083" s="9" t="s">
        <v>1660</v>
      </c>
      <c r="F5083" s="9" t="s">
        <v>200</v>
      </c>
      <c r="G5083" s="9" t="s">
        <v>201</v>
      </c>
      <c r="H5083" s="9" t="n">
        <v>1200</v>
      </c>
      <c r="I5083" s="29" t="n">
        <v>2</v>
      </c>
      <c r="J5083" s="9" t="n">
        <v>1</v>
      </c>
      <c r="K5083" s="30"/>
      <c r="L5083" s="30"/>
      <c r="M5083" s="30"/>
      <c r="N5083" s="30"/>
      <c r="O5083" s="30"/>
      <c r="P5083" s="30"/>
      <c r="Q5083" s="30"/>
      <c r="R5083" s="30"/>
      <c r="S5083" s="30"/>
      <c r="T5083" s="30"/>
      <c r="U5083" s="21" t="str">
        <f aca="false">IF(COUNT(K5083:T5083)=0,"SOURCE EMPTY / INDUSTRIAL ONLY",IF(MIN(K5083:T5083)=1,"SERVICE READY","HOLD"))</f>
        <v>SOURCE EMPTY / INDUSTRIAL ONLY</v>
      </c>
      <c r="V5083" s="9" t="n">
        <f aca="false">IF(U5083="SERVICE READY",1,0)</f>
        <v>0</v>
      </c>
      <c r="W5083" s="6"/>
      <c r="X5083" s="6"/>
      <c r="Y5083" s="6"/>
      <c r="Z5083" s="6"/>
    </row>
    <row r="5084" customFormat="false" ht="15" hidden="false" customHeight="false" outlineLevel="0" collapsed="false">
      <c r="A5084" s="9" t="s">
        <v>5387</v>
      </c>
      <c r="B5084" s="9" t="s">
        <v>5370</v>
      </c>
      <c r="C5084" s="9" t="s">
        <v>5371</v>
      </c>
      <c r="D5084" s="9" t="s">
        <v>4731</v>
      </c>
      <c r="E5084" s="9" t="s">
        <v>1660</v>
      </c>
      <c r="F5084" s="9" t="s">
        <v>203</v>
      </c>
      <c r="G5084" s="9" t="s">
        <v>198</v>
      </c>
      <c r="H5084" s="9" t="n">
        <v>1200</v>
      </c>
      <c r="I5084" s="29" t="n">
        <v>2</v>
      </c>
      <c r="J5084" s="9" t="n">
        <v>1</v>
      </c>
      <c r="K5084" s="30"/>
      <c r="L5084" s="30"/>
      <c r="M5084" s="30"/>
      <c r="N5084" s="30"/>
      <c r="O5084" s="30"/>
      <c r="P5084" s="30"/>
      <c r="Q5084" s="30"/>
      <c r="R5084" s="30"/>
      <c r="S5084" s="30"/>
      <c r="T5084" s="30"/>
      <c r="U5084" s="21" t="str">
        <f aca="false">IF(COUNT(K5084:T5084)=0,"SOURCE EMPTY / INDUSTRIAL ONLY",IF(MIN(K5084:T5084)=1,"SERVICE READY","HOLD"))</f>
        <v>SOURCE EMPTY / INDUSTRIAL ONLY</v>
      </c>
      <c r="V5084" s="9" t="n">
        <f aca="false">IF(U5084="SERVICE READY",1,0)</f>
        <v>0</v>
      </c>
      <c r="W5084" s="6"/>
      <c r="X5084" s="6"/>
      <c r="Y5084" s="6"/>
      <c r="Z5084" s="6"/>
    </row>
    <row r="5085" customFormat="false" ht="15" hidden="false" customHeight="false" outlineLevel="0" collapsed="false">
      <c r="A5085" s="9" t="s">
        <v>5388</v>
      </c>
      <c r="B5085" s="9" t="s">
        <v>5370</v>
      </c>
      <c r="C5085" s="9" t="s">
        <v>5371</v>
      </c>
      <c r="D5085" s="9" t="s">
        <v>4731</v>
      </c>
      <c r="E5085" s="9" t="s">
        <v>1660</v>
      </c>
      <c r="F5085" s="9" t="s">
        <v>205</v>
      </c>
      <c r="G5085" s="9" t="s">
        <v>201</v>
      </c>
      <c r="H5085" s="9" t="n">
        <v>1200</v>
      </c>
      <c r="I5085" s="29" t="n">
        <v>2</v>
      </c>
      <c r="J5085" s="9" t="n">
        <v>1</v>
      </c>
      <c r="K5085" s="30"/>
      <c r="L5085" s="30"/>
      <c r="M5085" s="30"/>
      <c r="N5085" s="30"/>
      <c r="O5085" s="30"/>
      <c r="P5085" s="30"/>
      <c r="Q5085" s="30"/>
      <c r="R5085" s="30"/>
      <c r="S5085" s="30"/>
      <c r="T5085" s="30"/>
      <c r="U5085" s="21" t="str">
        <f aca="false">IF(COUNT(K5085:T5085)=0,"SOURCE EMPTY / INDUSTRIAL ONLY",IF(MIN(K5085:T5085)=1,"SERVICE READY","HOLD"))</f>
        <v>SOURCE EMPTY / INDUSTRIAL ONLY</v>
      </c>
      <c r="V5085" s="9" t="n">
        <f aca="false">IF(U5085="SERVICE READY",1,0)</f>
        <v>0</v>
      </c>
      <c r="W5085" s="6"/>
      <c r="X5085" s="6"/>
      <c r="Y5085" s="6"/>
      <c r="Z5085" s="6"/>
    </row>
    <row r="5086" customFormat="false" ht="15" hidden="false" customHeight="false" outlineLevel="0" collapsed="false">
      <c r="A5086" s="9" t="s">
        <v>5389</v>
      </c>
      <c r="B5086" s="9" t="s">
        <v>5370</v>
      </c>
      <c r="C5086" s="9" t="s">
        <v>5371</v>
      </c>
      <c r="D5086" s="9" t="s">
        <v>4731</v>
      </c>
      <c r="E5086" s="9" t="s">
        <v>1660</v>
      </c>
      <c r="F5086" s="9" t="s">
        <v>207</v>
      </c>
      <c r="G5086" s="9" t="s">
        <v>198</v>
      </c>
      <c r="H5086" s="9" t="n">
        <v>1200</v>
      </c>
      <c r="I5086" s="29" t="n">
        <v>2</v>
      </c>
      <c r="J5086" s="9" t="n">
        <v>1</v>
      </c>
      <c r="K5086" s="30"/>
      <c r="L5086" s="30"/>
      <c r="M5086" s="30"/>
      <c r="N5086" s="30"/>
      <c r="O5086" s="30"/>
      <c r="P5086" s="30"/>
      <c r="Q5086" s="30"/>
      <c r="R5086" s="30"/>
      <c r="S5086" s="30"/>
      <c r="T5086" s="30"/>
      <c r="U5086" s="21" t="str">
        <f aca="false">IF(COUNT(K5086:T5086)=0,"SOURCE EMPTY / INDUSTRIAL ONLY",IF(MIN(K5086:T5086)=1,"SERVICE READY","HOLD"))</f>
        <v>SOURCE EMPTY / INDUSTRIAL ONLY</v>
      </c>
      <c r="V5086" s="9" t="n">
        <f aca="false">IF(U5086="SERVICE READY",1,0)</f>
        <v>0</v>
      </c>
      <c r="W5086" s="6"/>
      <c r="X5086" s="6"/>
      <c r="Y5086" s="6"/>
      <c r="Z5086" s="6"/>
    </row>
    <row r="5087" customFormat="false" ht="15" hidden="false" customHeight="false" outlineLevel="0" collapsed="false">
      <c r="A5087" s="9" t="s">
        <v>5390</v>
      </c>
      <c r="B5087" s="9" t="s">
        <v>5370</v>
      </c>
      <c r="C5087" s="9" t="s">
        <v>5371</v>
      </c>
      <c r="D5087" s="9" t="s">
        <v>4731</v>
      </c>
      <c r="E5087" s="9" t="s">
        <v>1660</v>
      </c>
      <c r="F5087" s="9" t="s">
        <v>209</v>
      </c>
      <c r="G5087" s="9" t="s">
        <v>201</v>
      </c>
      <c r="H5087" s="9" t="n">
        <v>1200</v>
      </c>
      <c r="I5087" s="29" t="n">
        <v>2</v>
      </c>
      <c r="J5087" s="9" t="n">
        <v>1</v>
      </c>
      <c r="K5087" s="30"/>
      <c r="L5087" s="30"/>
      <c r="M5087" s="30"/>
      <c r="N5087" s="30"/>
      <c r="O5087" s="30"/>
      <c r="P5087" s="30"/>
      <c r="Q5087" s="30"/>
      <c r="R5087" s="30"/>
      <c r="S5087" s="30"/>
      <c r="T5087" s="30"/>
      <c r="U5087" s="21" t="str">
        <f aca="false">IF(COUNT(K5087:T5087)=0,"SOURCE EMPTY / INDUSTRIAL ONLY",IF(MIN(K5087:T5087)=1,"SERVICE READY","HOLD"))</f>
        <v>SOURCE EMPTY / INDUSTRIAL ONLY</v>
      </c>
      <c r="V5087" s="9" t="n">
        <f aca="false">IF(U5087="SERVICE READY",1,0)</f>
        <v>0</v>
      </c>
      <c r="W5087" s="6"/>
      <c r="X5087" s="6"/>
      <c r="Y5087" s="6"/>
      <c r="Z5087" s="6"/>
    </row>
    <row r="5088" customFormat="false" ht="15" hidden="false" customHeight="false" outlineLevel="0" collapsed="false">
      <c r="A5088" s="9" t="s">
        <v>5391</v>
      </c>
      <c r="B5088" s="9" t="s">
        <v>5370</v>
      </c>
      <c r="C5088" s="9" t="s">
        <v>5371</v>
      </c>
      <c r="D5088" s="9" t="s">
        <v>4731</v>
      </c>
      <c r="E5088" s="9" t="s">
        <v>1660</v>
      </c>
      <c r="F5088" s="9" t="s">
        <v>211</v>
      </c>
      <c r="G5088" s="9" t="s">
        <v>198</v>
      </c>
      <c r="H5088" s="9" t="n">
        <v>1200</v>
      </c>
      <c r="I5088" s="29" t="n">
        <v>2</v>
      </c>
      <c r="J5088" s="9" t="n">
        <v>1</v>
      </c>
      <c r="K5088" s="30"/>
      <c r="L5088" s="30"/>
      <c r="M5088" s="30"/>
      <c r="N5088" s="30"/>
      <c r="O5088" s="30"/>
      <c r="P5088" s="30"/>
      <c r="Q5088" s="30"/>
      <c r="R5088" s="30"/>
      <c r="S5088" s="30"/>
      <c r="T5088" s="30"/>
      <c r="U5088" s="21" t="str">
        <f aca="false">IF(COUNT(K5088:T5088)=0,"SOURCE EMPTY / INDUSTRIAL ONLY",IF(MIN(K5088:T5088)=1,"SERVICE READY","HOLD"))</f>
        <v>SOURCE EMPTY / INDUSTRIAL ONLY</v>
      </c>
      <c r="V5088" s="9" t="n">
        <f aca="false">IF(U5088="SERVICE READY",1,0)</f>
        <v>0</v>
      </c>
      <c r="W5088" s="6"/>
      <c r="X5088" s="6"/>
      <c r="Y5088" s="6"/>
      <c r="Z5088" s="6"/>
    </row>
    <row r="5089" customFormat="false" ht="15" hidden="false" customHeight="false" outlineLevel="0" collapsed="false">
      <c r="A5089" s="9" t="s">
        <v>5392</v>
      </c>
      <c r="B5089" s="9" t="s">
        <v>5370</v>
      </c>
      <c r="C5089" s="9" t="s">
        <v>5371</v>
      </c>
      <c r="D5089" s="9" t="s">
        <v>4731</v>
      </c>
      <c r="E5089" s="9" t="s">
        <v>1660</v>
      </c>
      <c r="F5089" s="9" t="s">
        <v>197</v>
      </c>
      <c r="G5089" s="9" t="s">
        <v>221</v>
      </c>
      <c r="H5089" s="9" t="n">
        <v>1200</v>
      </c>
      <c r="I5089" s="29" t="n">
        <v>2</v>
      </c>
      <c r="J5089" s="9" t="n">
        <v>1</v>
      </c>
      <c r="K5089" s="30"/>
      <c r="L5089" s="30"/>
      <c r="M5089" s="30"/>
      <c r="N5089" s="30"/>
      <c r="O5089" s="30"/>
      <c r="P5089" s="30"/>
      <c r="Q5089" s="30"/>
      <c r="R5089" s="30"/>
      <c r="S5089" s="30"/>
      <c r="T5089" s="30"/>
      <c r="U5089" s="21" t="str">
        <f aca="false">IF(COUNT(K5089:T5089)=0,"SOURCE EMPTY / INDUSTRIAL ONLY",IF(MIN(K5089:T5089)=1,"SERVICE READY","HOLD"))</f>
        <v>SOURCE EMPTY / INDUSTRIAL ONLY</v>
      </c>
      <c r="V5089" s="9" t="n">
        <f aca="false">IF(U5089="SERVICE READY",1,0)</f>
        <v>0</v>
      </c>
      <c r="W5089" s="6"/>
      <c r="X5089" s="6"/>
      <c r="Y5089" s="6"/>
      <c r="Z5089" s="6"/>
    </row>
    <row r="5090" customFormat="false" ht="15" hidden="false" customHeight="false" outlineLevel="0" collapsed="false">
      <c r="A5090" s="9" t="s">
        <v>5393</v>
      </c>
      <c r="B5090" s="9" t="s">
        <v>5370</v>
      </c>
      <c r="C5090" s="9" t="s">
        <v>5371</v>
      </c>
      <c r="D5090" s="9" t="s">
        <v>4731</v>
      </c>
      <c r="E5090" s="9" t="s">
        <v>1660</v>
      </c>
      <c r="F5090" s="9" t="s">
        <v>200</v>
      </c>
      <c r="G5090" s="9" t="s">
        <v>221</v>
      </c>
      <c r="H5090" s="9" t="n">
        <v>1200</v>
      </c>
      <c r="I5090" s="29" t="n">
        <v>2</v>
      </c>
      <c r="J5090" s="9" t="n">
        <v>1</v>
      </c>
      <c r="K5090" s="30"/>
      <c r="L5090" s="30"/>
      <c r="M5090" s="30"/>
      <c r="N5090" s="30"/>
      <c r="O5090" s="30"/>
      <c r="P5090" s="30"/>
      <c r="Q5090" s="30"/>
      <c r="R5090" s="30"/>
      <c r="S5090" s="30"/>
      <c r="T5090" s="30"/>
      <c r="U5090" s="21" t="str">
        <f aca="false">IF(COUNT(K5090:T5090)=0,"SOURCE EMPTY / INDUSTRIAL ONLY",IF(MIN(K5090:T5090)=1,"SERVICE READY","HOLD"))</f>
        <v>SOURCE EMPTY / INDUSTRIAL ONLY</v>
      </c>
      <c r="V5090" s="9" t="n">
        <f aca="false">IF(U5090="SERVICE READY",1,0)</f>
        <v>0</v>
      </c>
      <c r="W5090" s="6"/>
      <c r="X5090" s="6"/>
      <c r="Y5090" s="6"/>
      <c r="Z5090" s="6"/>
    </row>
    <row r="5091" customFormat="false" ht="15" hidden="false" customHeight="false" outlineLevel="0" collapsed="false">
      <c r="A5091" s="9" t="s">
        <v>5394</v>
      </c>
      <c r="B5091" s="9" t="s">
        <v>5370</v>
      </c>
      <c r="C5091" s="9" t="s">
        <v>5371</v>
      </c>
      <c r="D5091" s="9" t="s">
        <v>4731</v>
      </c>
      <c r="E5091" s="9" t="s">
        <v>1660</v>
      </c>
      <c r="F5091" s="9" t="s">
        <v>203</v>
      </c>
      <c r="G5091" s="9" t="s">
        <v>221</v>
      </c>
      <c r="H5091" s="9" t="n">
        <v>1200</v>
      </c>
      <c r="I5091" s="29" t="n">
        <v>2</v>
      </c>
      <c r="J5091" s="9" t="n">
        <v>1</v>
      </c>
      <c r="K5091" s="30"/>
      <c r="L5091" s="30"/>
      <c r="M5091" s="30"/>
      <c r="N5091" s="30"/>
      <c r="O5091" s="30"/>
      <c r="P5091" s="30"/>
      <c r="Q5091" s="30"/>
      <c r="R5091" s="30"/>
      <c r="S5091" s="30"/>
      <c r="T5091" s="30"/>
      <c r="U5091" s="21" t="str">
        <f aca="false">IF(COUNT(K5091:T5091)=0,"SOURCE EMPTY / INDUSTRIAL ONLY",IF(MIN(K5091:T5091)=1,"SERVICE READY","HOLD"))</f>
        <v>SOURCE EMPTY / INDUSTRIAL ONLY</v>
      </c>
      <c r="V5091" s="9" t="n">
        <f aca="false">IF(U5091="SERVICE READY",1,0)</f>
        <v>0</v>
      </c>
      <c r="W5091" s="6"/>
      <c r="X5091" s="6"/>
      <c r="Y5091" s="6"/>
      <c r="Z5091" s="6"/>
    </row>
    <row r="5092" customFormat="false" ht="15" hidden="false" customHeight="false" outlineLevel="0" collapsed="false">
      <c r="A5092" s="9" t="s">
        <v>5395</v>
      </c>
      <c r="B5092" s="9" t="s">
        <v>5370</v>
      </c>
      <c r="C5092" s="9" t="s">
        <v>5371</v>
      </c>
      <c r="D5092" s="9" t="s">
        <v>4731</v>
      </c>
      <c r="E5092" s="9" t="s">
        <v>1660</v>
      </c>
      <c r="F5092" s="9" t="s">
        <v>205</v>
      </c>
      <c r="G5092" s="9" t="s">
        <v>221</v>
      </c>
      <c r="H5092" s="9" t="n">
        <v>1200</v>
      </c>
      <c r="I5092" s="29" t="n">
        <v>2</v>
      </c>
      <c r="J5092" s="9" t="n">
        <v>1</v>
      </c>
      <c r="K5092" s="30"/>
      <c r="L5092" s="30"/>
      <c r="M5092" s="30"/>
      <c r="N5092" s="30"/>
      <c r="O5092" s="30"/>
      <c r="P5092" s="30"/>
      <c r="Q5092" s="30"/>
      <c r="R5092" s="30"/>
      <c r="S5092" s="30"/>
      <c r="T5092" s="30"/>
      <c r="U5092" s="21" t="str">
        <f aca="false">IF(COUNT(K5092:T5092)=0,"SOURCE EMPTY / INDUSTRIAL ONLY",IF(MIN(K5092:T5092)=1,"SERVICE READY","HOLD"))</f>
        <v>SOURCE EMPTY / INDUSTRIAL ONLY</v>
      </c>
      <c r="V5092" s="9" t="n">
        <f aca="false">IF(U5092="SERVICE READY",1,0)</f>
        <v>0</v>
      </c>
      <c r="W5092" s="6"/>
      <c r="X5092" s="6"/>
      <c r="Y5092" s="6"/>
      <c r="Z5092" s="6"/>
    </row>
    <row r="5093" customFormat="false" ht="15" hidden="false" customHeight="false" outlineLevel="0" collapsed="false">
      <c r="A5093" s="9" t="s">
        <v>5396</v>
      </c>
      <c r="B5093" s="9" t="s">
        <v>5370</v>
      </c>
      <c r="C5093" s="9" t="s">
        <v>5371</v>
      </c>
      <c r="D5093" s="9" t="s">
        <v>4731</v>
      </c>
      <c r="E5093" s="9" t="s">
        <v>1660</v>
      </c>
      <c r="F5093" s="9" t="s">
        <v>207</v>
      </c>
      <c r="G5093" s="9" t="s">
        <v>221</v>
      </c>
      <c r="H5093" s="9" t="n">
        <v>1200</v>
      </c>
      <c r="I5093" s="29" t="n">
        <v>2</v>
      </c>
      <c r="J5093" s="9" t="n">
        <v>1</v>
      </c>
      <c r="K5093" s="30"/>
      <c r="L5093" s="30"/>
      <c r="M5093" s="30"/>
      <c r="N5093" s="30"/>
      <c r="O5093" s="30"/>
      <c r="P5093" s="30"/>
      <c r="Q5093" s="30"/>
      <c r="R5093" s="30"/>
      <c r="S5093" s="30"/>
      <c r="T5093" s="30"/>
      <c r="U5093" s="21" t="str">
        <f aca="false">IF(COUNT(K5093:T5093)=0,"SOURCE EMPTY / INDUSTRIAL ONLY",IF(MIN(K5093:T5093)=1,"SERVICE READY","HOLD"))</f>
        <v>SOURCE EMPTY / INDUSTRIAL ONLY</v>
      </c>
      <c r="V5093" s="9" t="n">
        <f aca="false">IF(U5093="SERVICE READY",1,0)</f>
        <v>0</v>
      </c>
      <c r="W5093" s="6"/>
      <c r="X5093" s="6"/>
      <c r="Y5093" s="6"/>
      <c r="Z5093" s="6"/>
    </row>
    <row r="5094" customFormat="false" ht="15" hidden="false" customHeight="false" outlineLevel="0" collapsed="false">
      <c r="A5094" s="9" t="s">
        <v>5397</v>
      </c>
      <c r="B5094" s="9" t="s">
        <v>5370</v>
      </c>
      <c r="C5094" s="9" t="s">
        <v>5371</v>
      </c>
      <c r="D5094" s="9" t="s">
        <v>4731</v>
      </c>
      <c r="E5094" s="9" t="s">
        <v>1660</v>
      </c>
      <c r="F5094" s="9" t="s">
        <v>209</v>
      </c>
      <c r="G5094" s="9" t="s">
        <v>221</v>
      </c>
      <c r="H5094" s="9" t="n">
        <v>1200</v>
      </c>
      <c r="I5094" s="29" t="n">
        <v>2</v>
      </c>
      <c r="J5094" s="9" t="n">
        <v>1</v>
      </c>
      <c r="K5094" s="30"/>
      <c r="L5094" s="30"/>
      <c r="M5094" s="30"/>
      <c r="N5094" s="30"/>
      <c r="O5094" s="30"/>
      <c r="P5094" s="30"/>
      <c r="Q5094" s="30"/>
      <c r="R5094" s="30"/>
      <c r="S5094" s="30"/>
      <c r="T5094" s="30"/>
      <c r="U5094" s="21" t="str">
        <f aca="false">IF(COUNT(K5094:T5094)=0,"SOURCE EMPTY / INDUSTRIAL ONLY",IF(MIN(K5094:T5094)=1,"SERVICE READY","HOLD"))</f>
        <v>SOURCE EMPTY / INDUSTRIAL ONLY</v>
      </c>
      <c r="V5094" s="9" t="n">
        <f aca="false">IF(U5094="SERVICE READY",1,0)</f>
        <v>0</v>
      </c>
      <c r="W5094" s="6"/>
      <c r="X5094" s="6"/>
      <c r="Y5094" s="6"/>
      <c r="Z5094" s="6"/>
    </row>
    <row r="5095" customFormat="false" ht="15" hidden="false" customHeight="false" outlineLevel="0" collapsed="false">
      <c r="A5095" s="9" t="s">
        <v>5398</v>
      </c>
      <c r="B5095" s="9" t="s">
        <v>5370</v>
      </c>
      <c r="C5095" s="9" t="s">
        <v>5371</v>
      </c>
      <c r="D5095" s="9" t="s">
        <v>4731</v>
      </c>
      <c r="E5095" s="9" t="s">
        <v>1660</v>
      </c>
      <c r="F5095" s="9" t="s">
        <v>211</v>
      </c>
      <c r="G5095" s="9" t="s">
        <v>221</v>
      </c>
      <c r="H5095" s="9" t="n">
        <v>1200</v>
      </c>
      <c r="I5095" s="29" t="n">
        <v>2</v>
      </c>
      <c r="J5095" s="9" t="n">
        <v>1</v>
      </c>
      <c r="K5095" s="30"/>
      <c r="L5095" s="30"/>
      <c r="M5095" s="30"/>
      <c r="N5095" s="30"/>
      <c r="O5095" s="30"/>
      <c r="P5095" s="30"/>
      <c r="Q5095" s="30"/>
      <c r="R5095" s="30"/>
      <c r="S5095" s="30"/>
      <c r="T5095" s="30"/>
      <c r="U5095" s="21" t="str">
        <f aca="false">IF(COUNT(K5095:T5095)=0,"SOURCE EMPTY / INDUSTRIAL ONLY",IF(MIN(K5095:T5095)=1,"SERVICE READY","HOLD"))</f>
        <v>SOURCE EMPTY / INDUSTRIAL ONLY</v>
      </c>
      <c r="V5095" s="9" t="n">
        <f aca="false">IF(U5095="SERVICE READY",1,0)</f>
        <v>0</v>
      </c>
      <c r="W5095" s="6"/>
      <c r="X5095" s="6"/>
      <c r="Y5095" s="6"/>
      <c r="Z5095" s="6"/>
    </row>
    <row r="5096" customFormat="false" ht="15" hidden="false" customHeight="false" outlineLevel="0" collapsed="false">
      <c r="A5096" s="9" t="s">
        <v>5399</v>
      </c>
      <c r="B5096" s="9" t="s">
        <v>5370</v>
      </c>
      <c r="C5096" s="9" t="s">
        <v>5371</v>
      </c>
      <c r="D5096" s="9" t="s">
        <v>4731</v>
      </c>
      <c r="E5096" s="9" t="s">
        <v>1660</v>
      </c>
      <c r="F5096" s="9" t="s">
        <v>197</v>
      </c>
      <c r="G5096" s="9" t="s">
        <v>221</v>
      </c>
      <c r="H5096" s="9" t="n">
        <v>1200</v>
      </c>
      <c r="I5096" s="29" t="n">
        <v>2</v>
      </c>
      <c r="J5096" s="9" t="n">
        <v>1</v>
      </c>
      <c r="K5096" s="30"/>
      <c r="L5096" s="30"/>
      <c r="M5096" s="30"/>
      <c r="N5096" s="30"/>
      <c r="O5096" s="30"/>
      <c r="P5096" s="30"/>
      <c r="Q5096" s="30"/>
      <c r="R5096" s="30"/>
      <c r="S5096" s="30"/>
      <c r="T5096" s="30"/>
      <c r="U5096" s="21" t="str">
        <f aca="false">IF(COUNT(K5096:T5096)=0,"SOURCE EMPTY / INDUSTRIAL ONLY",IF(MIN(K5096:T5096)=1,"SERVICE READY","HOLD"))</f>
        <v>SOURCE EMPTY / INDUSTRIAL ONLY</v>
      </c>
      <c r="V5096" s="9" t="n">
        <f aca="false">IF(U5096="SERVICE READY",1,0)</f>
        <v>0</v>
      </c>
      <c r="W5096" s="6"/>
      <c r="X5096" s="6"/>
      <c r="Y5096" s="6"/>
      <c r="Z5096" s="6"/>
    </row>
    <row r="5097" customFormat="false" ht="15" hidden="false" customHeight="false" outlineLevel="0" collapsed="false">
      <c r="A5097" s="9" t="s">
        <v>5400</v>
      </c>
      <c r="B5097" s="9" t="s">
        <v>5370</v>
      </c>
      <c r="C5097" s="9" t="s">
        <v>5371</v>
      </c>
      <c r="D5097" s="9" t="s">
        <v>4731</v>
      </c>
      <c r="E5097" s="9" t="s">
        <v>1660</v>
      </c>
      <c r="F5097" s="9" t="s">
        <v>200</v>
      </c>
      <c r="G5097" s="9" t="s">
        <v>221</v>
      </c>
      <c r="H5097" s="9" t="n">
        <v>1200</v>
      </c>
      <c r="I5097" s="29" t="n">
        <v>2</v>
      </c>
      <c r="J5097" s="9" t="n">
        <v>1</v>
      </c>
      <c r="K5097" s="30"/>
      <c r="L5097" s="30"/>
      <c r="M5097" s="30"/>
      <c r="N5097" s="30"/>
      <c r="O5097" s="30"/>
      <c r="P5097" s="30"/>
      <c r="Q5097" s="30"/>
      <c r="R5097" s="30"/>
      <c r="S5097" s="30"/>
      <c r="T5097" s="30"/>
      <c r="U5097" s="21" t="str">
        <f aca="false">IF(COUNT(K5097:T5097)=0,"SOURCE EMPTY / INDUSTRIAL ONLY",IF(MIN(K5097:T5097)=1,"SERVICE READY","HOLD"))</f>
        <v>SOURCE EMPTY / INDUSTRIAL ONLY</v>
      </c>
      <c r="V5097" s="9" t="n">
        <f aca="false">IF(U5097="SERVICE READY",1,0)</f>
        <v>0</v>
      </c>
      <c r="W5097" s="6"/>
      <c r="X5097" s="6"/>
      <c r="Y5097" s="6"/>
      <c r="Z5097" s="6"/>
    </row>
    <row r="5098" customFormat="false" ht="15" hidden="false" customHeight="false" outlineLevel="0" collapsed="false">
      <c r="A5098" s="9" t="s">
        <v>5401</v>
      </c>
      <c r="B5098" s="9" t="s">
        <v>5370</v>
      </c>
      <c r="C5098" s="9" t="s">
        <v>5371</v>
      </c>
      <c r="D5098" s="9" t="s">
        <v>4731</v>
      </c>
      <c r="E5098" s="9" t="s">
        <v>1660</v>
      </c>
      <c r="F5098" s="9" t="s">
        <v>203</v>
      </c>
      <c r="G5098" s="9" t="s">
        <v>221</v>
      </c>
      <c r="H5098" s="9" t="n">
        <v>1200</v>
      </c>
      <c r="I5098" s="29" t="n">
        <v>2</v>
      </c>
      <c r="J5098" s="9" t="n">
        <v>1</v>
      </c>
      <c r="K5098" s="30"/>
      <c r="L5098" s="30"/>
      <c r="M5098" s="30"/>
      <c r="N5098" s="30"/>
      <c r="O5098" s="30"/>
      <c r="P5098" s="30"/>
      <c r="Q5098" s="30"/>
      <c r="R5098" s="30"/>
      <c r="S5098" s="30"/>
      <c r="T5098" s="30"/>
      <c r="U5098" s="21" t="str">
        <f aca="false">IF(COUNT(K5098:T5098)=0,"SOURCE EMPTY / INDUSTRIAL ONLY",IF(MIN(K5098:T5098)=1,"SERVICE READY","HOLD"))</f>
        <v>SOURCE EMPTY / INDUSTRIAL ONLY</v>
      </c>
      <c r="V5098" s="9" t="n">
        <f aca="false">IF(U5098="SERVICE READY",1,0)</f>
        <v>0</v>
      </c>
      <c r="W5098" s="6"/>
      <c r="X5098" s="6"/>
      <c r="Y5098" s="6"/>
      <c r="Z5098" s="6"/>
    </row>
    <row r="5099" customFormat="false" ht="15" hidden="false" customHeight="false" outlineLevel="0" collapsed="false">
      <c r="A5099" s="9" t="s">
        <v>5402</v>
      </c>
      <c r="B5099" s="9" t="s">
        <v>5370</v>
      </c>
      <c r="C5099" s="9" t="s">
        <v>5371</v>
      </c>
      <c r="D5099" s="9" t="s">
        <v>4731</v>
      </c>
      <c r="E5099" s="9" t="s">
        <v>1660</v>
      </c>
      <c r="F5099" s="9" t="s">
        <v>205</v>
      </c>
      <c r="G5099" s="9" t="s">
        <v>221</v>
      </c>
      <c r="H5099" s="9" t="n">
        <v>1200</v>
      </c>
      <c r="I5099" s="29" t="n">
        <v>2</v>
      </c>
      <c r="J5099" s="9" t="n">
        <v>1</v>
      </c>
      <c r="K5099" s="30"/>
      <c r="L5099" s="30"/>
      <c r="M5099" s="30"/>
      <c r="N5099" s="30"/>
      <c r="O5099" s="30"/>
      <c r="P5099" s="30"/>
      <c r="Q5099" s="30"/>
      <c r="R5099" s="30"/>
      <c r="S5099" s="30"/>
      <c r="T5099" s="30"/>
      <c r="U5099" s="21" t="str">
        <f aca="false">IF(COUNT(K5099:T5099)=0,"SOURCE EMPTY / INDUSTRIAL ONLY",IF(MIN(K5099:T5099)=1,"SERVICE READY","HOLD"))</f>
        <v>SOURCE EMPTY / INDUSTRIAL ONLY</v>
      </c>
      <c r="V5099" s="9" t="n">
        <f aca="false">IF(U5099="SERVICE READY",1,0)</f>
        <v>0</v>
      </c>
      <c r="W5099" s="6"/>
      <c r="X5099" s="6"/>
      <c r="Y5099" s="6"/>
      <c r="Z5099" s="6"/>
    </row>
    <row r="5100" customFormat="false" ht="15" hidden="false" customHeight="false" outlineLevel="0" collapsed="false">
      <c r="A5100" s="9" t="s">
        <v>5403</v>
      </c>
      <c r="B5100" s="9" t="s">
        <v>5370</v>
      </c>
      <c r="C5100" s="9" t="s">
        <v>5371</v>
      </c>
      <c r="D5100" s="9" t="s">
        <v>4731</v>
      </c>
      <c r="E5100" s="9" t="s">
        <v>1660</v>
      </c>
      <c r="F5100" s="9" t="s">
        <v>207</v>
      </c>
      <c r="G5100" s="9" t="s">
        <v>221</v>
      </c>
      <c r="H5100" s="9" t="n">
        <v>1200</v>
      </c>
      <c r="I5100" s="29" t="n">
        <v>2</v>
      </c>
      <c r="J5100" s="9" t="n">
        <v>1</v>
      </c>
      <c r="K5100" s="30"/>
      <c r="L5100" s="30"/>
      <c r="M5100" s="30"/>
      <c r="N5100" s="30"/>
      <c r="O5100" s="30"/>
      <c r="P5100" s="30"/>
      <c r="Q5100" s="30"/>
      <c r="R5100" s="30"/>
      <c r="S5100" s="30"/>
      <c r="T5100" s="30"/>
      <c r="U5100" s="21" t="str">
        <f aca="false">IF(COUNT(K5100:T5100)=0,"SOURCE EMPTY / INDUSTRIAL ONLY",IF(MIN(K5100:T5100)=1,"SERVICE READY","HOLD"))</f>
        <v>SOURCE EMPTY / INDUSTRIAL ONLY</v>
      </c>
      <c r="V5100" s="9" t="n">
        <f aca="false">IF(U5100="SERVICE READY",1,0)</f>
        <v>0</v>
      </c>
      <c r="W5100" s="6"/>
      <c r="X5100" s="6"/>
      <c r="Y5100" s="6"/>
      <c r="Z5100" s="6"/>
    </row>
    <row r="5101" customFormat="false" ht="15" hidden="false" customHeight="false" outlineLevel="0" collapsed="false">
      <c r="A5101" s="9" t="s">
        <v>5404</v>
      </c>
      <c r="B5101" s="9" t="s">
        <v>5370</v>
      </c>
      <c r="C5101" s="9" t="s">
        <v>5371</v>
      </c>
      <c r="D5101" s="9" t="s">
        <v>4731</v>
      </c>
      <c r="E5101" s="9" t="s">
        <v>1660</v>
      </c>
      <c r="F5101" s="9" t="s">
        <v>209</v>
      </c>
      <c r="G5101" s="9" t="s">
        <v>221</v>
      </c>
      <c r="H5101" s="9" t="n">
        <v>1200</v>
      </c>
      <c r="I5101" s="29" t="n">
        <v>2</v>
      </c>
      <c r="J5101" s="9" t="n">
        <v>1</v>
      </c>
      <c r="K5101" s="30"/>
      <c r="L5101" s="30"/>
      <c r="M5101" s="30"/>
      <c r="N5101" s="30"/>
      <c r="O5101" s="30"/>
      <c r="P5101" s="30"/>
      <c r="Q5101" s="30"/>
      <c r="R5101" s="30"/>
      <c r="S5101" s="30"/>
      <c r="T5101" s="30"/>
      <c r="U5101" s="21" t="str">
        <f aca="false">IF(COUNT(K5101:T5101)=0,"SOURCE EMPTY / INDUSTRIAL ONLY",IF(MIN(K5101:T5101)=1,"SERVICE READY","HOLD"))</f>
        <v>SOURCE EMPTY / INDUSTRIAL ONLY</v>
      </c>
      <c r="V5101" s="9" t="n">
        <f aca="false">IF(U5101="SERVICE READY",1,0)</f>
        <v>0</v>
      </c>
      <c r="W5101" s="6"/>
      <c r="X5101" s="6"/>
      <c r="Y5101" s="6"/>
      <c r="Z5101" s="6"/>
    </row>
    <row r="5102" customFormat="false" ht="15" hidden="false" customHeight="false" outlineLevel="0" collapsed="false">
      <c r="A5102" s="9" t="s">
        <v>5405</v>
      </c>
      <c r="B5102" s="9" t="s">
        <v>5370</v>
      </c>
      <c r="C5102" s="9" t="s">
        <v>5371</v>
      </c>
      <c r="D5102" s="9" t="s">
        <v>4731</v>
      </c>
      <c r="E5102" s="9" t="s">
        <v>1660</v>
      </c>
      <c r="F5102" s="9" t="s">
        <v>211</v>
      </c>
      <c r="G5102" s="9" t="s">
        <v>221</v>
      </c>
      <c r="H5102" s="9" t="n">
        <v>1200</v>
      </c>
      <c r="I5102" s="29" t="n">
        <v>2</v>
      </c>
      <c r="J5102" s="9" t="n">
        <v>1</v>
      </c>
      <c r="K5102" s="30"/>
      <c r="L5102" s="30"/>
      <c r="M5102" s="30"/>
      <c r="N5102" s="30"/>
      <c r="O5102" s="30"/>
      <c r="P5102" s="30"/>
      <c r="Q5102" s="30"/>
      <c r="R5102" s="30"/>
      <c r="S5102" s="30"/>
      <c r="T5102" s="30"/>
      <c r="U5102" s="21" t="str">
        <f aca="false">IF(COUNT(K5102:T5102)=0,"SOURCE EMPTY / INDUSTRIAL ONLY",IF(MIN(K5102:T5102)=1,"SERVICE READY","HOLD"))</f>
        <v>SOURCE EMPTY / INDUSTRIAL ONLY</v>
      </c>
      <c r="V5102" s="9" t="n">
        <f aca="false">IF(U5102="SERVICE READY",1,0)</f>
        <v>0</v>
      </c>
      <c r="W5102" s="6"/>
      <c r="X5102" s="6"/>
      <c r="Y5102" s="6"/>
      <c r="Z5102" s="6"/>
    </row>
    <row r="5103" customFormat="false" ht="15" hidden="false" customHeight="false" outlineLevel="0" collapsed="false">
      <c r="A5103" s="9" t="s">
        <v>5406</v>
      </c>
      <c r="B5103" s="9" t="s">
        <v>5370</v>
      </c>
      <c r="C5103" s="9" t="s">
        <v>5371</v>
      </c>
      <c r="D5103" s="9" t="s">
        <v>4731</v>
      </c>
      <c r="E5103" s="9" t="s">
        <v>1660</v>
      </c>
      <c r="F5103" s="9" t="s">
        <v>197</v>
      </c>
      <c r="G5103" s="9" t="s">
        <v>221</v>
      </c>
      <c r="H5103" s="9" t="n">
        <v>1200</v>
      </c>
      <c r="I5103" s="29" t="n">
        <v>2</v>
      </c>
      <c r="J5103" s="9" t="n">
        <v>1</v>
      </c>
      <c r="K5103" s="30"/>
      <c r="L5103" s="30"/>
      <c r="M5103" s="30"/>
      <c r="N5103" s="30"/>
      <c r="O5103" s="30"/>
      <c r="P5103" s="30"/>
      <c r="Q5103" s="30"/>
      <c r="R5103" s="30"/>
      <c r="S5103" s="30"/>
      <c r="T5103" s="30"/>
      <c r="U5103" s="21" t="str">
        <f aca="false">IF(COUNT(K5103:T5103)=0,"SOURCE EMPTY / INDUSTRIAL ONLY",IF(MIN(K5103:T5103)=1,"SERVICE READY","HOLD"))</f>
        <v>SOURCE EMPTY / INDUSTRIAL ONLY</v>
      </c>
      <c r="V5103" s="9" t="n">
        <f aca="false">IF(U5103="SERVICE READY",1,0)</f>
        <v>0</v>
      </c>
      <c r="W5103" s="6"/>
      <c r="X5103" s="6"/>
      <c r="Y5103" s="6"/>
      <c r="Z5103" s="6"/>
    </row>
    <row r="5104" customFormat="false" ht="15" hidden="false" customHeight="false" outlineLevel="0" collapsed="false">
      <c r="A5104" s="9" t="s">
        <v>5407</v>
      </c>
      <c r="B5104" s="9" t="s">
        <v>5370</v>
      </c>
      <c r="C5104" s="9" t="s">
        <v>5371</v>
      </c>
      <c r="D5104" s="9" t="s">
        <v>4731</v>
      </c>
      <c r="E5104" s="9" t="s">
        <v>1660</v>
      </c>
      <c r="F5104" s="9" t="s">
        <v>200</v>
      </c>
      <c r="G5104" s="9" t="s">
        <v>221</v>
      </c>
      <c r="H5104" s="9" t="n">
        <v>1200</v>
      </c>
      <c r="I5104" s="29" t="n">
        <v>2</v>
      </c>
      <c r="J5104" s="9" t="n">
        <v>1</v>
      </c>
      <c r="K5104" s="30"/>
      <c r="L5104" s="30"/>
      <c r="M5104" s="30"/>
      <c r="N5104" s="30"/>
      <c r="O5104" s="30"/>
      <c r="P5104" s="30"/>
      <c r="Q5104" s="30"/>
      <c r="R5104" s="30"/>
      <c r="S5104" s="30"/>
      <c r="T5104" s="30"/>
      <c r="U5104" s="21" t="str">
        <f aca="false">IF(COUNT(K5104:T5104)=0,"SOURCE EMPTY / INDUSTRIAL ONLY",IF(MIN(K5104:T5104)=1,"SERVICE READY","HOLD"))</f>
        <v>SOURCE EMPTY / INDUSTRIAL ONLY</v>
      </c>
      <c r="V5104" s="9" t="n">
        <f aca="false">IF(U5104="SERVICE READY",1,0)</f>
        <v>0</v>
      </c>
      <c r="W5104" s="6"/>
      <c r="X5104" s="6"/>
      <c r="Y5104" s="6"/>
      <c r="Z5104" s="6"/>
    </row>
    <row r="5105" customFormat="false" ht="15" hidden="false" customHeight="false" outlineLevel="0" collapsed="false">
      <c r="A5105" s="9" t="s">
        <v>5408</v>
      </c>
      <c r="B5105" s="9" t="s">
        <v>5370</v>
      </c>
      <c r="C5105" s="9" t="s">
        <v>5371</v>
      </c>
      <c r="D5105" s="9" t="s">
        <v>4731</v>
      </c>
      <c r="E5105" s="9" t="s">
        <v>1660</v>
      </c>
      <c r="F5105" s="9" t="s">
        <v>203</v>
      </c>
      <c r="G5105" s="9" t="s">
        <v>221</v>
      </c>
      <c r="H5105" s="9" t="n">
        <v>1200</v>
      </c>
      <c r="I5105" s="29" t="n">
        <v>2</v>
      </c>
      <c r="J5105" s="9" t="n">
        <v>1</v>
      </c>
      <c r="K5105" s="30"/>
      <c r="L5105" s="30"/>
      <c r="M5105" s="30"/>
      <c r="N5105" s="30"/>
      <c r="O5105" s="30"/>
      <c r="P5105" s="30"/>
      <c r="Q5105" s="30"/>
      <c r="R5105" s="30"/>
      <c r="S5105" s="30"/>
      <c r="T5105" s="30"/>
      <c r="U5105" s="21" t="str">
        <f aca="false">IF(COUNT(K5105:T5105)=0,"SOURCE EMPTY / INDUSTRIAL ONLY",IF(MIN(K5105:T5105)=1,"SERVICE READY","HOLD"))</f>
        <v>SOURCE EMPTY / INDUSTRIAL ONLY</v>
      </c>
      <c r="V5105" s="9" t="n">
        <f aca="false">IF(U5105="SERVICE READY",1,0)</f>
        <v>0</v>
      </c>
      <c r="W5105" s="6"/>
      <c r="X5105" s="6"/>
      <c r="Y5105" s="6"/>
      <c r="Z5105" s="6"/>
    </row>
    <row r="5106" customFormat="false" ht="15" hidden="false" customHeight="false" outlineLevel="0" collapsed="false">
      <c r="A5106" s="9" t="s">
        <v>5409</v>
      </c>
      <c r="B5106" s="9" t="s">
        <v>5370</v>
      </c>
      <c r="C5106" s="9" t="s">
        <v>5371</v>
      </c>
      <c r="D5106" s="9" t="s">
        <v>4731</v>
      </c>
      <c r="E5106" s="9" t="s">
        <v>1660</v>
      </c>
      <c r="F5106" s="9" t="s">
        <v>205</v>
      </c>
      <c r="G5106" s="9" t="s">
        <v>221</v>
      </c>
      <c r="H5106" s="9" t="n">
        <v>1200</v>
      </c>
      <c r="I5106" s="29" t="n">
        <v>2</v>
      </c>
      <c r="J5106" s="9" t="n">
        <v>1</v>
      </c>
      <c r="K5106" s="30"/>
      <c r="L5106" s="30"/>
      <c r="M5106" s="30"/>
      <c r="N5106" s="30"/>
      <c r="O5106" s="30"/>
      <c r="P5106" s="30"/>
      <c r="Q5106" s="30"/>
      <c r="R5106" s="30"/>
      <c r="S5106" s="30"/>
      <c r="T5106" s="30"/>
      <c r="U5106" s="21" t="str">
        <f aca="false">IF(COUNT(K5106:T5106)=0,"SOURCE EMPTY / INDUSTRIAL ONLY",IF(MIN(K5106:T5106)=1,"SERVICE READY","HOLD"))</f>
        <v>SOURCE EMPTY / INDUSTRIAL ONLY</v>
      </c>
      <c r="V5106" s="9" t="n">
        <f aca="false">IF(U5106="SERVICE READY",1,0)</f>
        <v>0</v>
      </c>
      <c r="W5106" s="6"/>
      <c r="X5106" s="6"/>
      <c r="Y5106" s="6"/>
      <c r="Z5106" s="6"/>
    </row>
    <row r="5107" customFormat="false" ht="15" hidden="false" customHeight="false" outlineLevel="0" collapsed="false">
      <c r="A5107" s="9" t="s">
        <v>5410</v>
      </c>
      <c r="B5107" s="9" t="s">
        <v>5370</v>
      </c>
      <c r="C5107" s="9" t="s">
        <v>5371</v>
      </c>
      <c r="D5107" s="9" t="s">
        <v>4731</v>
      </c>
      <c r="E5107" s="9" t="s">
        <v>1660</v>
      </c>
      <c r="F5107" s="9" t="s">
        <v>207</v>
      </c>
      <c r="G5107" s="9" t="s">
        <v>221</v>
      </c>
      <c r="H5107" s="9" t="n">
        <v>1200</v>
      </c>
      <c r="I5107" s="29" t="n">
        <v>2</v>
      </c>
      <c r="J5107" s="9" t="n">
        <v>1</v>
      </c>
      <c r="K5107" s="30"/>
      <c r="L5107" s="30"/>
      <c r="M5107" s="30"/>
      <c r="N5107" s="30"/>
      <c r="O5107" s="30"/>
      <c r="P5107" s="30"/>
      <c r="Q5107" s="30"/>
      <c r="R5107" s="30"/>
      <c r="S5107" s="30"/>
      <c r="T5107" s="30"/>
      <c r="U5107" s="21" t="str">
        <f aca="false">IF(COUNT(K5107:T5107)=0,"SOURCE EMPTY / INDUSTRIAL ONLY",IF(MIN(K5107:T5107)=1,"SERVICE READY","HOLD"))</f>
        <v>SOURCE EMPTY / INDUSTRIAL ONLY</v>
      </c>
      <c r="V5107" s="9" t="n">
        <f aca="false">IF(U5107="SERVICE READY",1,0)</f>
        <v>0</v>
      </c>
      <c r="W5107" s="6"/>
      <c r="X5107" s="6"/>
      <c r="Y5107" s="6"/>
      <c r="Z5107" s="6"/>
    </row>
    <row r="5108" customFormat="false" ht="15" hidden="false" customHeight="false" outlineLevel="0" collapsed="false">
      <c r="A5108" s="9" t="s">
        <v>5411</v>
      </c>
      <c r="B5108" s="9" t="s">
        <v>5370</v>
      </c>
      <c r="C5108" s="9" t="s">
        <v>5371</v>
      </c>
      <c r="D5108" s="9" t="s">
        <v>4731</v>
      </c>
      <c r="E5108" s="9" t="s">
        <v>1660</v>
      </c>
      <c r="F5108" s="9" t="s">
        <v>209</v>
      </c>
      <c r="G5108" s="9" t="s">
        <v>221</v>
      </c>
      <c r="H5108" s="9" t="n">
        <v>1200</v>
      </c>
      <c r="I5108" s="29" t="n">
        <v>2</v>
      </c>
      <c r="J5108" s="9" t="n">
        <v>1</v>
      </c>
      <c r="K5108" s="30"/>
      <c r="L5108" s="30"/>
      <c r="M5108" s="30"/>
      <c r="N5108" s="30"/>
      <c r="O5108" s="30"/>
      <c r="P5108" s="30"/>
      <c r="Q5108" s="30"/>
      <c r="R5108" s="30"/>
      <c r="S5108" s="30"/>
      <c r="T5108" s="30"/>
      <c r="U5108" s="21" t="str">
        <f aca="false">IF(COUNT(K5108:T5108)=0,"SOURCE EMPTY / INDUSTRIAL ONLY",IF(MIN(K5108:T5108)=1,"SERVICE READY","HOLD"))</f>
        <v>SOURCE EMPTY / INDUSTRIAL ONLY</v>
      </c>
      <c r="V5108" s="9" t="n">
        <f aca="false">IF(U5108="SERVICE READY",1,0)</f>
        <v>0</v>
      </c>
      <c r="W5108" s="6"/>
      <c r="X5108" s="6"/>
      <c r="Y5108" s="6"/>
      <c r="Z5108" s="6"/>
    </row>
    <row r="5109" customFormat="false" ht="15" hidden="false" customHeight="false" outlineLevel="0" collapsed="false">
      <c r="A5109" s="9" t="s">
        <v>5412</v>
      </c>
      <c r="B5109" s="9" t="s">
        <v>5370</v>
      </c>
      <c r="C5109" s="9" t="s">
        <v>5371</v>
      </c>
      <c r="D5109" s="9" t="s">
        <v>4731</v>
      </c>
      <c r="E5109" s="9" t="s">
        <v>1660</v>
      </c>
      <c r="F5109" s="9" t="s">
        <v>211</v>
      </c>
      <c r="G5109" s="9" t="s">
        <v>221</v>
      </c>
      <c r="H5109" s="9" t="n">
        <v>1200</v>
      </c>
      <c r="I5109" s="29" t="n">
        <v>2</v>
      </c>
      <c r="J5109" s="9" t="n">
        <v>1</v>
      </c>
      <c r="K5109" s="30"/>
      <c r="L5109" s="30"/>
      <c r="M5109" s="30"/>
      <c r="N5109" s="30"/>
      <c r="O5109" s="30"/>
      <c r="P5109" s="30"/>
      <c r="Q5109" s="30"/>
      <c r="R5109" s="30"/>
      <c r="S5109" s="30"/>
      <c r="T5109" s="30"/>
      <c r="U5109" s="21" t="str">
        <f aca="false">IF(COUNT(K5109:T5109)=0,"SOURCE EMPTY / INDUSTRIAL ONLY",IF(MIN(K5109:T5109)=1,"SERVICE READY","HOLD"))</f>
        <v>SOURCE EMPTY / INDUSTRIAL ONLY</v>
      </c>
      <c r="V5109" s="9" t="n">
        <f aca="false">IF(U5109="SERVICE READY",1,0)</f>
        <v>0</v>
      </c>
      <c r="W5109" s="6"/>
      <c r="X5109" s="6"/>
      <c r="Y5109" s="6"/>
      <c r="Z5109" s="6"/>
    </row>
    <row r="5110" customFormat="false" ht="15" hidden="false" customHeight="false" outlineLevel="0" collapsed="false">
      <c r="A5110" s="9" t="s">
        <v>5413</v>
      </c>
      <c r="B5110" s="9" t="s">
        <v>5370</v>
      </c>
      <c r="C5110" s="9" t="s">
        <v>5371</v>
      </c>
      <c r="D5110" s="9" t="s">
        <v>4731</v>
      </c>
      <c r="E5110" s="9" t="s">
        <v>1660</v>
      </c>
      <c r="F5110" s="9" t="s">
        <v>197</v>
      </c>
      <c r="G5110" s="9" t="s">
        <v>221</v>
      </c>
      <c r="H5110" s="9" t="n">
        <v>1200</v>
      </c>
      <c r="I5110" s="29" t="n">
        <v>2</v>
      </c>
      <c r="J5110" s="9" t="n">
        <v>1</v>
      </c>
      <c r="K5110" s="30"/>
      <c r="L5110" s="30"/>
      <c r="M5110" s="30"/>
      <c r="N5110" s="30"/>
      <c r="O5110" s="30"/>
      <c r="P5110" s="30"/>
      <c r="Q5110" s="30"/>
      <c r="R5110" s="30"/>
      <c r="S5110" s="30"/>
      <c r="T5110" s="30"/>
      <c r="U5110" s="21" t="str">
        <f aca="false">IF(COUNT(K5110:T5110)=0,"SOURCE EMPTY / INDUSTRIAL ONLY",IF(MIN(K5110:T5110)=1,"SERVICE READY","HOLD"))</f>
        <v>SOURCE EMPTY / INDUSTRIAL ONLY</v>
      </c>
      <c r="V5110" s="9" t="n">
        <f aca="false">IF(U5110="SERVICE READY",1,0)</f>
        <v>0</v>
      </c>
      <c r="W5110" s="6"/>
      <c r="X5110" s="6"/>
      <c r="Y5110" s="6"/>
      <c r="Z5110" s="6"/>
    </row>
    <row r="5111" customFormat="false" ht="15" hidden="false" customHeight="false" outlineLevel="0" collapsed="false">
      <c r="A5111" s="9" t="s">
        <v>5414</v>
      </c>
      <c r="B5111" s="9" t="s">
        <v>5370</v>
      </c>
      <c r="C5111" s="9" t="s">
        <v>5371</v>
      </c>
      <c r="D5111" s="9" t="s">
        <v>4731</v>
      </c>
      <c r="E5111" s="9" t="s">
        <v>1660</v>
      </c>
      <c r="F5111" s="9" t="s">
        <v>200</v>
      </c>
      <c r="G5111" s="9" t="s">
        <v>221</v>
      </c>
      <c r="H5111" s="9" t="n">
        <v>1200</v>
      </c>
      <c r="I5111" s="29" t="n">
        <v>2</v>
      </c>
      <c r="J5111" s="9" t="n">
        <v>1</v>
      </c>
      <c r="K5111" s="30"/>
      <c r="L5111" s="30"/>
      <c r="M5111" s="30"/>
      <c r="N5111" s="30"/>
      <c r="O5111" s="30"/>
      <c r="P5111" s="30"/>
      <c r="Q5111" s="30"/>
      <c r="R5111" s="30"/>
      <c r="S5111" s="30"/>
      <c r="T5111" s="30"/>
      <c r="U5111" s="21" t="str">
        <f aca="false">IF(COUNT(K5111:T5111)=0,"SOURCE EMPTY / INDUSTRIAL ONLY",IF(MIN(K5111:T5111)=1,"SERVICE READY","HOLD"))</f>
        <v>SOURCE EMPTY / INDUSTRIAL ONLY</v>
      </c>
      <c r="V5111" s="9" t="n">
        <f aca="false">IF(U5111="SERVICE READY",1,0)</f>
        <v>0</v>
      </c>
      <c r="W5111" s="6"/>
      <c r="X5111" s="6"/>
      <c r="Y5111" s="6"/>
      <c r="Z5111" s="6"/>
    </row>
    <row r="5112" customFormat="false" ht="15" hidden="false" customHeight="false" outlineLevel="0" collapsed="false">
      <c r="A5112" s="9" t="s">
        <v>5415</v>
      </c>
      <c r="B5112" s="9" t="s">
        <v>5370</v>
      </c>
      <c r="C5112" s="9" t="s">
        <v>5371</v>
      </c>
      <c r="D5112" s="9" t="s">
        <v>4731</v>
      </c>
      <c r="E5112" s="9" t="s">
        <v>1660</v>
      </c>
      <c r="F5112" s="9" t="s">
        <v>203</v>
      </c>
      <c r="G5112" s="9" t="s">
        <v>221</v>
      </c>
      <c r="H5112" s="9" t="n">
        <v>1200</v>
      </c>
      <c r="I5112" s="29" t="n">
        <v>2</v>
      </c>
      <c r="J5112" s="9" t="n">
        <v>1</v>
      </c>
      <c r="K5112" s="30"/>
      <c r="L5112" s="30"/>
      <c r="M5112" s="30"/>
      <c r="N5112" s="30"/>
      <c r="O5112" s="30"/>
      <c r="P5112" s="30"/>
      <c r="Q5112" s="30"/>
      <c r="R5112" s="30"/>
      <c r="S5112" s="30"/>
      <c r="T5112" s="30"/>
      <c r="U5112" s="21" t="str">
        <f aca="false">IF(COUNT(K5112:T5112)=0,"SOURCE EMPTY / INDUSTRIAL ONLY",IF(MIN(K5112:T5112)=1,"SERVICE READY","HOLD"))</f>
        <v>SOURCE EMPTY / INDUSTRIAL ONLY</v>
      </c>
      <c r="V5112" s="9" t="n">
        <f aca="false">IF(U5112="SERVICE READY",1,0)</f>
        <v>0</v>
      </c>
      <c r="W5112" s="6"/>
      <c r="X5112" s="6"/>
      <c r="Y5112" s="6"/>
      <c r="Z5112" s="6"/>
    </row>
    <row r="5113" customFormat="false" ht="15" hidden="false" customHeight="false" outlineLevel="0" collapsed="false">
      <c r="A5113" s="9" t="s">
        <v>5416</v>
      </c>
      <c r="B5113" s="9" t="s">
        <v>5370</v>
      </c>
      <c r="C5113" s="9" t="s">
        <v>5371</v>
      </c>
      <c r="D5113" s="9" t="s">
        <v>4731</v>
      </c>
      <c r="E5113" s="9" t="s">
        <v>1660</v>
      </c>
      <c r="F5113" s="9" t="s">
        <v>205</v>
      </c>
      <c r="G5113" s="9" t="s">
        <v>221</v>
      </c>
      <c r="H5113" s="9" t="n">
        <v>1200</v>
      </c>
      <c r="I5113" s="29" t="n">
        <v>2</v>
      </c>
      <c r="J5113" s="9" t="n">
        <v>1</v>
      </c>
      <c r="K5113" s="30"/>
      <c r="L5113" s="30"/>
      <c r="M5113" s="30"/>
      <c r="N5113" s="30"/>
      <c r="O5113" s="30"/>
      <c r="P5113" s="30"/>
      <c r="Q5113" s="30"/>
      <c r="R5113" s="30"/>
      <c r="S5113" s="30"/>
      <c r="T5113" s="30"/>
      <c r="U5113" s="21" t="str">
        <f aca="false">IF(COUNT(K5113:T5113)=0,"SOURCE EMPTY / INDUSTRIAL ONLY",IF(MIN(K5113:T5113)=1,"SERVICE READY","HOLD"))</f>
        <v>SOURCE EMPTY / INDUSTRIAL ONLY</v>
      </c>
      <c r="V5113" s="9" t="n">
        <f aca="false">IF(U5113="SERVICE READY",1,0)</f>
        <v>0</v>
      </c>
      <c r="W5113" s="6"/>
      <c r="X5113" s="6"/>
      <c r="Y5113" s="6"/>
      <c r="Z5113" s="6"/>
    </row>
    <row r="5114" customFormat="false" ht="15" hidden="false" customHeight="false" outlineLevel="0" collapsed="false">
      <c r="A5114" s="9" t="s">
        <v>5417</v>
      </c>
      <c r="B5114" s="9" t="s">
        <v>5370</v>
      </c>
      <c r="C5114" s="9" t="s">
        <v>5371</v>
      </c>
      <c r="D5114" s="9" t="s">
        <v>4731</v>
      </c>
      <c r="E5114" s="9" t="s">
        <v>1660</v>
      </c>
      <c r="F5114" s="9" t="s">
        <v>207</v>
      </c>
      <c r="G5114" s="9" t="s">
        <v>221</v>
      </c>
      <c r="H5114" s="9" t="n">
        <v>1200</v>
      </c>
      <c r="I5114" s="29" t="n">
        <v>2</v>
      </c>
      <c r="J5114" s="9" t="n">
        <v>1</v>
      </c>
      <c r="K5114" s="30"/>
      <c r="L5114" s="30"/>
      <c r="M5114" s="30"/>
      <c r="N5114" s="30"/>
      <c r="O5114" s="30"/>
      <c r="P5114" s="30"/>
      <c r="Q5114" s="30"/>
      <c r="R5114" s="30"/>
      <c r="S5114" s="30"/>
      <c r="T5114" s="30"/>
      <c r="U5114" s="21" t="str">
        <f aca="false">IF(COUNT(K5114:T5114)=0,"SOURCE EMPTY / INDUSTRIAL ONLY",IF(MIN(K5114:T5114)=1,"SERVICE READY","HOLD"))</f>
        <v>SOURCE EMPTY / INDUSTRIAL ONLY</v>
      </c>
      <c r="V5114" s="9" t="n">
        <f aca="false">IF(U5114="SERVICE READY",1,0)</f>
        <v>0</v>
      </c>
      <c r="W5114" s="6"/>
      <c r="X5114" s="6"/>
      <c r="Y5114" s="6"/>
      <c r="Z5114" s="6"/>
    </row>
    <row r="5115" customFormat="false" ht="15" hidden="false" customHeight="false" outlineLevel="0" collapsed="false">
      <c r="A5115" s="9" t="s">
        <v>5418</v>
      </c>
      <c r="B5115" s="9" t="s">
        <v>5370</v>
      </c>
      <c r="C5115" s="9" t="s">
        <v>5371</v>
      </c>
      <c r="D5115" s="9" t="s">
        <v>4731</v>
      </c>
      <c r="E5115" s="9" t="s">
        <v>1660</v>
      </c>
      <c r="F5115" s="9" t="s">
        <v>209</v>
      </c>
      <c r="G5115" s="9" t="s">
        <v>221</v>
      </c>
      <c r="H5115" s="9" t="n">
        <v>1200</v>
      </c>
      <c r="I5115" s="29" t="n">
        <v>2</v>
      </c>
      <c r="J5115" s="9" t="n">
        <v>1</v>
      </c>
      <c r="K5115" s="30"/>
      <c r="L5115" s="30"/>
      <c r="M5115" s="30"/>
      <c r="N5115" s="30"/>
      <c r="O5115" s="30"/>
      <c r="P5115" s="30"/>
      <c r="Q5115" s="30"/>
      <c r="R5115" s="30"/>
      <c r="S5115" s="30"/>
      <c r="T5115" s="30"/>
      <c r="U5115" s="21" t="str">
        <f aca="false">IF(COUNT(K5115:T5115)=0,"SOURCE EMPTY / INDUSTRIAL ONLY",IF(MIN(K5115:T5115)=1,"SERVICE READY","HOLD"))</f>
        <v>SOURCE EMPTY / INDUSTRIAL ONLY</v>
      </c>
      <c r="V5115" s="9" t="n">
        <f aca="false">IF(U5115="SERVICE READY",1,0)</f>
        <v>0</v>
      </c>
      <c r="W5115" s="6"/>
      <c r="X5115" s="6"/>
      <c r="Y5115" s="6"/>
      <c r="Z5115" s="6"/>
    </row>
    <row r="5116" customFormat="false" ht="15" hidden="false" customHeight="false" outlineLevel="0" collapsed="false">
      <c r="A5116" s="9" t="s">
        <v>5419</v>
      </c>
      <c r="B5116" s="9" t="s">
        <v>5370</v>
      </c>
      <c r="C5116" s="9" t="s">
        <v>5371</v>
      </c>
      <c r="D5116" s="9" t="s">
        <v>4731</v>
      </c>
      <c r="E5116" s="9" t="s">
        <v>1660</v>
      </c>
      <c r="F5116" s="9" t="s">
        <v>211</v>
      </c>
      <c r="G5116" s="9" t="s">
        <v>221</v>
      </c>
      <c r="H5116" s="9" t="n">
        <v>1200</v>
      </c>
      <c r="I5116" s="29" t="n">
        <v>2</v>
      </c>
      <c r="J5116" s="9" t="n">
        <v>1</v>
      </c>
      <c r="K5116" s="30"/>
      <c r="L5116" s="30"/>
      <c r="M5116" s="30"/>
      <c r="N5116" s="30"/>
      <c r="O5116" s="30"/>
      <c r="P5116" s="30"/>
      <c r="Q5116" s="30"/>
      <c r="R5116" s="30"/>
      <c r="S5116" s="30"/>
      <c r="T5116" s="30"/>
      <c r="U5116" s="21" t="str">
        <f aca="false">IF(COUNT(K5116:T5116)=0,"SOURCE EMPTY / INDUSTRIAL ONLY",IF(MIN(K5116:T5116)=1,"SERVICE READY","HOLD"))</f>
        <v>SOURCE EMPTY / INDUSTRIAL ONLY</v>
      </c>
      <c r="V5116" s="9" t="n">
        <f aca="false">IF(U5116="SERVICE READY",1,0)</f>
        <v>0</v>
      </c>
      <c r="W5116" s="6"/>
      <c r="X5116" s="6"/>
      <c r="Y5116" s="6"/>
      <c r="Z5116" s="6"/>
    </row>
    <row r="5117" customFormat="false" ht="15" hidden="false" customHeight="false" outlineLevel="0" collapsed="false">
      <c r="A5117" s="9" t="s">
        <v>5420</v>
      </c>
      <c r="B5117" s="9" t="s">
        <v>5370</v>
      </c>
      <c r="C5117" s="9" t="s">
        <v>5371</v>
      </c>
      <c r="D5117" s="9" t="s">
        <v>4731</v>
      </c>
      <c r="E5117" s="9" t="s">
        <v>1660</v>
      </c>
      <c r="F5117" s="9" t="s">
        <v>197</v>
      </c>
      <c r="G5117" s="9" t="s">
        <v>221</v>
      </c>
      <c r="H5117" s="9" t="n">
        <v>1200</v>
      </c>
      <c r="I5117" s="29" t="n">
        <v>2</v>
      </c>
      <c r="J5117" s="9" t="n">
        <v>0</v>
      </c>
      <c r="K5117" s="30"/>
      <c r="L5117" s="30"/>
      <c r="M5117" s="30"/>
      <c r="N5117" s="30"/>
      <c r="O5117" s="30"/>
      <c r="P5117" s="30"/>
      <c r="Q5117" s="30"/>
      <c r="R5117" s="30"/>
      <c r="S5117" s="30"/>
      <c r="T5117" s="30"/>
      <c r="U5117" s="21" t="str">
        <f aca="false">IF(COUNT(K5117:T5117)=0,"SOURCE EMPTY / INDUSTRIAL ONLY",IF(MIN(K5117:T5117)=1,"SERVICE READY","HOLD"))</f>
        <v>SOURCE EMPTY / INDUSTRIAL ONLY</v>
      </c>
      <c r="V5117" s="9" t="n">
        <f aca="false">IF(U5117="SERVICE READY",1,0)</f>
        <v>0</v>
      </c>
      <c r="W5117" s="6"/>
      <c r="X5117" s="6"/>
      <c r="Y5117" s="6"/>
      <c r="Z5117" s="6"/>
    </row>
    <row r="5118" customFormat="false" ht="15" hidden="false" customHeight="false" outlineLevel="0" collapsed="false">
      <c r="A5118" s="9" t="s">
        <v>5421</v>
      </c>
      <c r="B5118" s="9" t="s">
        <v>5370</v>
      </c>
      <c r="C5118" s="9" t="s">
        <v>5371</v>
      </c>
      <c r="D5118" s="9" t="s">
        <v>4731</v>
      </c>
      <c r="E5118" s="9" t="s">
        <v>1660</v>
      </c>
      <c r="F5118" s="9" t="s">
        <v>200</v>
      </c>
      <c r="G5118" s="9" t="s">
        <v>221</v>
      </c>
      <c r="H5118" s="9" t="n">
        <v>1200</v>
      </c>
      <c r="I5118" s="29" t="n">
        <v>2</v>
      </c>
      <c r="J5118" s="9" t="n">
        <v>0</v>
      </c>
      <c r="K5118" s="30"/>
      <c r="L5118" s="30"/>
      <c r="M5118" s="30"/>
      <c r="N5118" s="30"/>
      <c r="O5118" s="30"/>
      <c r="P5118" s="30"/>
      <c r="Q5118" s="30"/>
      <c r="R5118" s="30"/>
      <c r="S5118" s="30"/>
      <c r="T5118" s="30"/>
      <c r="U5118" s="21" t="str">
        <f aca="false">IF(COUNT(K5118:T5118)=0,"SOURCE EMPTY / INDUSTRIAL ONLY",IF(MIN(K5118:T5118)=1,"SERVICE READY","HOLD"))</f>
        <v>SOURCE EMPTY / INDUSTRIAL ONLY</v>
      </c>
      <c r="V5118" s="9" t="n">
        <f aca="false">IF(U5118="SERVICE READY",1,0)</f>
        <v>0</v>
      </c>
      <c r="W5118" s="6"/>
      <c r="X5118" s="6"/>
      <c r="Y5118" s="6"/>
      <c r="Z5118" s="6"/>
    </row>
    <row r="5119" customFormat="false" ht="15" hidden="false" customHeight="false" outlineLevel="0" collapsed="false">
      <c r="A5119" s="9" t="s">
        <v>5422</v>
      </c>
      <c r="B5119" s="9" t="s">
        <v>5370</v>
      </c>
      <c r="C5119" s="9" t="s">
        <v>5371</v>
      </c>
      <c r="D5119" s="9" t="s">
        <v>4731</v>
      </c>
      <c r="E5119" s="9" t="s">
        <v>1660</v>
      </c>
      <c r="F5119" s="9" t="s">
        <v>203</v>
      </c>
      <c r="G5119" s="9" t="s">
        <v>221</v>
      </c>
      <c r="H5119" s="9" t="n">
        <v>1200</v>
      </c>
      <c r="I5119" s="29" t="n">
        <v>2</v>
      </c>
      <c r="J5119" s="9" t="n">
        <v>0</v>
      </c>
      <c r="K5119" s="30"/>
      <c r="L5119" s="30"/>
      <c r="M5119" s="30"/>
      <c r="N5119" s="30"/>
      <c r="O5119" s="30"/>
      <c r="P5119" s="30"/>
      <c r="Q5119" s="30"/>
      <c r="R5119" s="30"/>
      <c r="S5119" s="30"/>
      <c r="T5119" s="30"/>
      <c r="U5119" s="21" t="str">
        <f aca="false">IF(COUNT(K5119:T5119)=0,"SOURCE EMPTY / INDUSTRIAL ONLY",IF(MIN(K5119:T5119)=1,"SERVICE READY","HOLD"))</f>
        <v>SOURCE EMPTY / INDUSTRIAL ONLY</v>
      </c>
      <c r="V5119" s="9" t="n">
        <f aca="false">IF(U5119="SERVICE READY",1,0)</f>
        <v>0</v>
      </c>
      <c r="W5119" s="6"/>
      <c r="X5119" s="6"/>
      <c r="Y5119" s="6"/>
      <c r="Z5119" s="6"/>
    </row>
    <row r="5120" customFormat="false" ht="15" hidden="false" customHeight="false" outlineLevel="0" collapsed="false">
      <c r="A5120" s="9" t="s">
        <v>5423</v>
      </c>
      <c r="B5120" s="9" t="s">
        <v>5370</v>
      </c>
      <c r="C5120" s="9" t="s">
        <v>5371</v>
      </c>
      <c r="D5120" s="9" t="s">
        <v>4731</v>
      </c>
      <c r="E5120" s="9" t="s">
        <v>1660</v>
      </c>
      <c r="F5120" s="9" t="s">
        <v>205</v>
      </c>
      <c r="G5120" s="9" t="s">
        <v>221</v>
      </c>
      <c r="H5120" s="9" t="n">
        <v>1200</v>
      </c>
      <c r="I5120" s="29" t="n">
        <v>2</v>
      </c>
      <c r="J5120" s="9" t="n">
        <v>0</v>
      </c>
      <c r="K5120" s="30"/>
      <c r="L5120" s="30"/>
      <c r="M5120" s="30"/>
      <c r="N5120" s="30"/>
      <c r="O5120" s="30"/>
      <c r="P5120" s="30"/>
      <c r="Q5120" s="30"/>
      <c r="R5120" s="30"/>
      <c r="S5120" s="30"/>
      <c r="T5120" s="30"/>
      <c r="U5120" s="21" t="str">
        <f aca="false">IF(COUNT(K5120:T5120)=0,"SOURCE EMPTY / INDUSTRIAL ONLY",IF(MIN(K5120:T5120)=1,"SERVICE READY","HOLD"))</f>
        <v>SOURCE EMPTY / INDUSTRIAL ONLY</v>
      </c>
      <c r="V5120" s="9" t="n">
        <f aca="false">IF(U5120="SERVICE READY",1,0)</f>
        <v>0</v>
      </c>
      <c r="W5120" s="6"/>
      <c r="X5120" s="6"/>
      <c r="Y5120" s="6"/>
      <c r="Z5120" s="6"/>
    </row>
    <row r="5121" customFormat="false" ht="15" hidden="false" customHeight="false" outlineLevel="0" collapsed="false">
      <c r="A5121" s="9" t="s">
        <v>5424</v>
      </c>
      <c r="B5121" s="9" t="s">
        <v>5370</v>
      </c>
      <c r="C5121" s="9" t="s">
        <v>5371</v>
      </c>
      <c r="D5121" s="9" t="s">
        <v>4731</v>
      </c>
      <c r="E5121" s="9" t="s">
        <v>1660</v>
      </c>
      <c r="F5121" s="9" t="s">
        <v>207</v>
      </c>
      <c r="G5121" s="9" t="s">
        <v>221</v>
      </c>
      <c r="H5121" s="9" t="n">
        <v>1200</v>
      </c>
      <c r="I5121" s="29" t="n">
        <v>2</v>
      </c>
      <c r="J5121" s="9" t="n">
        <v>0</v>
      </c>
      <c r="K5121" s="30"/>
      <c r="L5121" s="30"/>
      <c r="M5121" s="30"/>
      <c r="N5121" s="30"/>
      <c r="O5121" s="30"/>
      <c r="P5121" s="30"/>
      <c r="Q5121" s="30"/>
      <c r="R5121" s="30"/>
      <c r="S5121" s="30"/>
      <c r="T5121" s="30"/>
      <c r="U5121" s="21" t="str">
        <f aca="false">IF(COUNT(K5121:T5121)=0,"SOURCE EMPTY / INDUSTRIAL ONLY",IF(MIN(K5121:T5121)=1,"SERVICE READY","HOLD"))</f>
        <v>SOURCE EMPTY / INDUSTRIAL ONLY</v>
      </c>
      <c r="V5121" s="9" t="n">
        <f aca="false">IF(U5121="SERVICE READY",1,0)</f>
        <v>0</v>
      </c>
      <c r="W5121" s="6"/>
      <c r="X5121" s="6"/>
      <c r="Y5121" s="6"/>
      <c r="Z5121" s="6"/>
    </row>
    <row r="5122" customFormat="false" ht="15" hidden="false" customHeight="false" outlineLevel="0" collapsed="false">
      <c r="A5122" s="9" t="s">
        <v>5425</v>
      </c>
      <c r="B5122" s="9" t="s">
        <v>5370</v>
      </c>
      <c r="C5122" s="9" t="s">
        <v>5371</v>
      </c>
      <c r="D5122" s="9" t="s">
        <v>4731</v>
      </c>
      <c r="E5122" s="9" t="s">
        <v>1660</v>
      </c>
      <c r="F5122" s="9" t="s">
        <v>209</v>
      </c>
      <c r="G5122" s="9" t="s">
        <v>221</v>
      </c>
      <c r="H5122" s="9" t="n">
        <v>1200</v>
      </c>
      <c r="I5122" s="29" t="n">
        <v>2</v>
      </c>
      <c r="J5122" s="9" t="n">
        <v>0</v>
      </c>
      <c r="K5122" s="30"/>
      <c r="L5122" s="30"/>
      <c r="M5122" s="30"/>
      <c r="N5122" s="30"/>
      <c r="O5122" s="30"/>
      <c r="P5122" s="30"/>
      <c r="Q5122" s="30"/>
      <c r="R5122" s="30"/>
      <c r="S5122" s="30"/>
      <c r="T5122" s="30"/>
      <c r="U5122" s="21" t="str">
        <f aca="false">IF(COUNT(K5122:T5122)=0,"SOURCE EMPTY / INDUSTRIAL ONLY",IF(MIN(K5122:T5122)=1,"SERVICE READY","HOLD"))</f>
        <v>SOURCE EMPTY / INDUSTRIAL ONLY</v>
      </c>
      <c r="V5122" s="9" t="n">
        <f aca="false">IF(U5122="SERVICE READY",1,0)</f>
        <v>0</v>
      </c>
      <c r="W5122" s="6"/>
      <c r="X5122" s="6"/>
      <c r="Y5122" s="6"/>
      <c r="Z5122" s="6"/>
    </row>
    <row r="5123" customFormat="false" ht="15" hidden="false" customHeight="false" outlineLevel="0" collapsed="false">
      <c r="A5123" s="9" t="s">
        <v>5426</v>
      </c>
      <c r="B5123" s="9" t="s">
        <v>5370</v>
      </c>
      <c r="C5123" s="9" t="s">
        <v>5371</v>
      </c>
      <c r="D5123" s="9" t="s">
        <v>4731</v>
      </c>
      <c r="E5123" s="9" t="s">
        <v>1660</v>
      </c>
      <c r="F5123" s="9" t="s">
        <v>211</v>
      </c>
      <c r="G5123" s="9" t="s">
        <v>221</v>
      </c>
      <c r="H5123" s="9" t="n">
        <v>1200</v>
      </c>
      <c r="I5123" s="29" t="n">
        <v>2</v>
      </c>
      <c r="J5123" s="9" t="n">
        <v>0</v>
      </c>
      <c r="K5123" s="30"/>
      <c r="L5123" s="30"/>
      <c r="M5123" s="30"/>
      <c r="N5123" s="30"/>
      <c r="O5123" s="30"/>
      <c r="P5123" s="30"/>
      <c r="Q5123" s="30"/>
      <c r="R5123" s="30"/>
      <c r="S5123" s="30"/>
      <c r="T5123" s="30"/>
      <c r="U5123" s="21" t="str">
        <f aca="false">IF(COUNT(K5123:T5123)=0,"SOURCE EMPTY / INDUSTRIAL ONLY",IF(MIN(K5123:T5123)=1,"SERVICE READY","HOLD"))</f>
        <v>SOURCE EMPTY / INDUSTRIAL ONLY</v>
      </c>
      <c r="V5123" s="9" t="n">
        <f aca="false">IF(U5123="SERVICE READY",1,0)</f>
        <v>0</v>
      </c>
      <c r="W5123" s="6"/>
      <c r="X5123" s="6"/>
      <c r="Y5123" s="6"/>
      <c r="Z5123" s="6"/>
    </row>
    <row r="5124" customFormat="false" ht="15" hidden="false" customHeight="false" outlineLevel="0" collapsed="false">
      <c r="A5124" s="9" t="s">
        <v>5427</v>
      </c>
      <c r="B5124" s="9" t="s">
        <v>5370</v>
      </c>
      <c r="C5124" s="9" t="s">
        <v>5371</v>
      </c>
      <c r="D5124" s="9" t="s">
        <v>4731</v>
      </c>
      <c r="E5124" s="9" t="s">
        <v>1660</v>
      </c>
      <c r="F5124" s="9" t="s">
        <v>197</v>
      </c>
      <c r="G5124" s="9" t="s">
        <v>221</v>
      </c>
      <c r="H5124" s="9" t="n">
        <v>1200</v>
      </c>
      <c r="I5124" s="29" t="n">
        <v>2</v>
      </c>
      <c r="J5124" s="9" t="n">
        <v>0</v>
      </c>
      <c r="K5124" s="30"/>
      <c r="L5124" s="30"/>
      <c r="M5124" s="30"/>
      <c r="N5124" s="30"/>
      <c r="O5124" s="30"/>
      <c r="P5124" s="30"/>
      <c r="Q5124" s="30"/>
      <c r="R5124" s="30"/>
      <c r="S5124" s="30"/>
      <c r="T5124" s="30"/>
      <c r="U5124" s="21" t="str">
        <f aca="false">IF(COUNT(K5124:T5124)=0,"SOURCE EMPTY / INDUSTRIAL ONLY",IF(MIN(K5124:T5124)=1,"SERVICE READY","HOLD"))</f>
        <v>SOURCE EMPTY / INDUSTRIAL ONLY</v>
      </c>
      <c r="V5124" s="9" t="n">
        <f aca="false">IF(U5124="SERVICE READY",1,0)</f>
        <v>0</v>
      </c>
      <c r="W5124" s="6"/>
      <c r="X5124" s="6"/>
      <c r="Y5124" s="6"/>
      <c r="Z5124" s="6"/>
    </row>
    <row r="5125" customFormat="false" ht="15" hidden="false" customHeight="false" outlineLevel="0" collapsed="false">
      <c r="A5125" s="9" t="s">
        <v>5428</v>
      </c>
      <c r="B5125" s="9" t="s">
        <v>5370</v>
      </c>
      <c r="C5125" s="9" t="s">
        <v>5371</v>
      </c>
      <c r="D5125" s="9" t="s">
        <v>4731</v>
      </c>
      <c r="E5125" s="9" t="s">
        <v>1660</v>
      </c>
      <c r="F5125" s="9" t="s">
        <v>200</v>
      </c>
      <c r="G5125" s="9" t="s">
        <v>221</v>
      </c>
      <c r="H5125" s="9" t="n">
        <v>1200</v>
      </c>
      <c r="I5125" s="29" t="n">
        <v>2</v>
      </c>
      <c r="J5125" s="9" t="n">
        <v>0</v>
      </c>
      <c r="K5125" s="30"/>
      <c r="L5125" s="30"/>
      <c r="M5125" s="30"/>
      <c r="N5125" s="30"/>
      <c r="O5125" s="30"/>
      <c r="P5125" s="30"/>
      <c r="Q5125" s="30"/>
      <c r="R5125" s="30"/>
      <c r="S5125" s="30"/>
      <c r="T5125" s="30"/>
      <c r="U5125" s="21" t="str">
        <f aca="false">IF(COUNT(K5125:T5125)=0,"SOURCE EMPTY / INDUSTRIAL ONLY",IF(MIN(K5125:T5125)=1,"SERVICE READY","HOLD"))</f>
        <v>SOURCE EMPTY / INDUSTRIAL ONLY</v>
      </c>
      <c r="V5125" s="9" t="n">
        <f aca="false">IF(U5125="SERVICE READY",1,0)</f>
        <v>0</v>
      </c>
      <c r="W5125" s="6"/>
      <c r="X5125" s="6"/>
      <c r="Y5125" s="6"/>
      <c r="Z5125" s="6"/>
    </row>
    <row r="5126" customFormat="false" ht="15" hidden="false" customHeight="false" outlineLevel="0" collapsed="false">
      <c r="A5126" s="9" t="s">
        <v>5429</v>
      </c>
      <c r="B5126" s="9" t="s">
        <v>5370</v>
      </c>
      <c r="C5126" s="9" t="s">
        <v>5371</v>
      </c>
      <c r="D5126" s="9" t="s">
        <v>4731</v>
      </c>
      <c r="E5126" s="9" t="s">
        <v>1660</v>
      </c>
      <c r="F5126" s="9" t="s">
        <v>203</v>
      </c>
      <c r="G5126" s="9" t="s">
        <v>221</v>
      </c>
      <c r="H5126" s="9" t="n">
        <v>1200</v>
      </c>
      <c r="I5126" s="29" t="n">
        <v>2</v>
      </c>
      <c r="J5126" s="9" t="n">
        <v>0</v>
      </c>
      <c r="K5126" s="30"/>
      <c r="L5126" s="30"/>
      <c r="M5126" s="30"/>
      <c r="N5126" s="30"/>
      <c r="O5126" s="30"/>
      <c r="P5126" s="30"/>
      <c r="Q5126" s="30"/>
      <c r="R5126" s="30"/>
      <c r="S5126" s="30"/>
      <c r="T5126" s="30"/>
      <c r="U5126" s="21" t="str">
        <f aca="false">IF(COUNT(K5126:T5126)=0,"SOURCE EMPTY / INDUSTRIAL ONLY",IF(MIN(K5126:T5126)=1,"SERVICE READY","HOLD"))</f>
        <v>SOURCE EMPTY / INDUSTRIAL ONLY</v>
      </c>
      <c r="V5126" s="9" t="n">
        <f aca="false">IF(U5126="SERVICE READY",1,0)</f>
        <v>0</v>
      </c>
      <c r="W5126" s="6"/>
      <c r="X5126" s="6"/>
      <c r="Y5126" s="6"/>
      <c r="Z5126" s="6"/>
    </row>
    <row r="5127" customFormat="false" ht="15" hidden="false" customHeight="false" outlineLevel="0" collapsed="false">
      <c r="A5127" s="9" t="s">
        <v>5430</v>
      </c>
      <c r="B5127" s="9" t="s">
        <v>5370</v>
      </c>
      <c r="C5127" s="9" t="s">
        <v>5371</v>
      </c>
      <c r="D5127" s="9" t="s">
        <v>4731</v>
      </c>
      <c r="E5127" s="9" t="s">
        <v>1660</v>
      </c>
      <c r="F5127" s="9" t="s">
        <v>205</v>
      </c>
      <c r="G5127" s="9" t="s">
        <v>221</v>
      </c>
      <c r="H5127" s="9" t="n">
        <v>1200</v>
      </c>
      <c r="I5127" s="29" t="n">
        <v>2</v>
      </c>
      <c r="J5127" s="9" t="n">
        <v>0</v>
      </c>
      <c r="K5127" s="30"/>
      <c r="L5127" s="30"/>
      <c r="M5127" s="30"/>
      <c r="N5127" s="30"/>
      <c r="O5127" s="30"/>
      <c r="P5127" s="30"/>
      <c r="Q5127" s="30"/>
      <c r="R5127" s="30"/>
      <c r="S5127" s="30"/>
      <c r="T5127" s="30"/>
      <c r="U5127" s="21" t="str">
        <f aca="false">IF(COUNT(K5127:T5127)=0,"SOURCE EMPTY / INDUSTRIAL ONLY",IF(MIN(K5127:T5127)=1,"SERVICE READY","HOLD"))</f>
        <v>SOURCE EMPTY / INDUSTRIAL ONLY</v>
      </c>
      <c r="V5127" s="9" t="n">
        <f aca="false">IF(U5127="SERVICE READY",1,0)</f>
        <v>0</v>
      </c>
      <c r="W5127" s="6"/>
      <c r="X5127" s="6"/>
      <c r="Y5127" s="6"/>
      <c r="Z5127" s="6"/>
    </row>
    <row r="5128" customFormat="false" ht="15" hidden="false" customHeight="false" outlineLevel="0" collapsed="false">
      <c r="A5128" s="9" t="s">
        <v>5431</v>
      </c>
      <c r="B5128" s="9" t="s">
        <v>5370</v>
      </c>
      <c r="C5128" s="9" t="s">
        <v>5371</v>
      </c>
      <c r="D5128" s="9" t="s">
        <v>4731</v>
      </c>
      <c r="E5128" s="9" t="s">
        <v>1660</v>
      </c>
      <c r="F5128" s="9" t="s">
        <v>207</v>
      </c>
      <c r="G5128" s="9" t="s">
        <v>221</v>
      </c>
      <c r="H5128" s="9" t="n">
        <v>1200</v>
      </c>
      <c r="I5128" s="29" t="n">
        <v>2</v>
      </c>
      <c r="J5128" s="9" t="n">
        <v>0</v>
      </c>
      <c r="K5128" s="30"/>
      <c r="L5128" s="30"/>
      <c r="M5128" s="30"/>
      <c r="N5128" s="30"/>
      <c r="O5128" s="30"/>
      <c r="P5128" s="30"/>
      <c r="Q5128" s="30"/>
      <c r="R5128" s="30"/>
      <c r="S5128" s="30"/>
      <c r="T5128" s="30"/>
      <c r="U5128" s="21" t="str">
        <f aca="false">IF(COUNT(K5128:T5128)=0,"SOURCE EMPTY / INDUSTRIAL ONLY",IF(MIN(K5128:T5128)=1,"SERVICE READY","HOLD"))</f>
        <v>SOURCE EMPTY / INDUSTRIAL ONLY</v>
      </c>
      <c r="V5128" s="9" t="n">
        <f aca="false">IF(U5128="SERVICE READY",1,0)</f>
        <v>0</v>
      </c>
      <c r="W5128" s="6"/>
      <c r="X5128" s="6"/>
      <c r="Y5128" s="6"/>
      <c r="Z5128" s="6"/>
    </row>
    <row r="5129" customFormat="false" ht="15" hidden="false" customHeight="false" outlineLevel="0" collapsed="false">
      <c r="A5129" s="9" t="s">
        <v>5432</v>
      </c>
      <c r="B5129" s="9" t="s">
        <v>5370</v>
      </c>
      <c r="C5129" s="9" t="s">
        <v>5371</v>
      </c>
      <c r="D5129" s="9" t="s">
        <v>4731</v>
      </c>
      <c r="E5129" s="9" t="s">
        <v>1660</v>
      </c>
      <c r="F5129" s="9" t="s">
        <v>209</v>
      </c>
      <c r="G5129" s="9" t="s">
        <v>221</v>
      </c>
      <c r="H5129" s="9" t="n">
        <v>1200</v>
      </c>
      <c r="I5129" s="29" t="n">
        <v>2</v>
      </c>
      <c r="J5129" s="9" t="n">
        <v>0</v>
      </c>
      <c r="K5129" s="30"/>
      <c r="L5129" s="30"/>
      <c r="M5129" s="30"/>
      <c r="N5129" s="30"/>
      <c r="O5129" s="30"/>
      <c r="P5129" s="30"/>
      <c r="Q5129" s="30"/>
      <c r="R5129" s="30"/>
      <c r="S5129" s="30"/>
      <c r="T5129" s="30"/>
      <c r="U5129" s="21" t="str">
        <f aca="false">IF(COUNT(K5129:T5129)=0,"SOURCE EMPTY / INDUSTRIAL ONLY",IF(MIN(K5129:T5129)=1,"SERVICE READY","HOLD"))</f>
        <v>SOURCE EMPTY / INDUSTRIAL ONLY</v>
      </c>
      <c r="V5129" s="9" t="n">
        <f aca="false">IF(U5129="SERVICE READY",1,0)</f>
        <v>0</v>
      </c>
      <c r="W5129" s="6"/>
      <c r="X5129" s="6"/>
      <c r="Y5129" s="6"/>
      <c r="Z5129" s="6"/>
    </row>
    <row r="5130" customFormat="false" ht="15" hidden="false" customHeight="false" outlineLevel="0" collapsed="false">
      <c r="A5130" s="9" t="s">
        <v>5433</v>
      </c>
      <c r="B5130" s="9" t="s">
        <v>5370</v>
      </c>
      <c r="C5130" s="9" t="s">
        <v>5371</v>
      </c>
      <c r="D5130" s="9" t="s">
        <v>4731</v>
      </c>
      <c r="E5130" s="9" t="s">
        <v>1660</v>
      </c>
      <c r="F5130" s="9" t="s">
        <v>211</v>
      </c>
      <c r="G5130" s="9" t="s">
        <v>221</v>
      </c>
      <c r="H5130" s="9" t="n">
        <v>1200</v>
      </c>
      <c r="I5130" s="29" t="n">
        <v>2</v>
      </c>
      <c r="J5130" s="9" t="n">
        <v>0</v>
      </c>
      <c r="K5130" s="30"/>
      <c r="L5130" s="30"/>
      <c r="M5130" s="30"/>
      <c r="N5130" s="30"/>
      <c r="O5130" s="30"/>
      <c r="P5130" s="30"/>
      <c r="Q5130" s="30"/>
      <c r="R5130" s="30"/>
      <c r="S5130" s="30"/>
      <c r="T5130" s="30"/>
      <c r="U5130" s="21" t="str">
        <f aca="false">IF(COUNT(K5130:T5130)=0,"SOURCE EMPTY / INDUSTRIAL ONLY",IF(MIN(K5130:T5130)=1,"SERVICE READY","HOLD"))</f>
        <v>SOURCE EMPTY / INDUSTRIAL ONLY</v>
      </c>
      <c r="V5130" s="9" t="n">
        <f aca="false">IF(U5130="SERVICE READY",1,0)</f>
        <v>0</v>
      </c>
      <c r="W5130" s="6"/>
      <c r="X5130" s="6"/>
      <c r="Y5130" s="6"/>
      <c r="Z5130" s="6"/>
    </row>
    <row r="5131" customFormat="false" ht="15" hidden="false" customHeight="false" outlineLevel="0" collapsed="false">
      <c r="A5131" s="9" t="s">
        <v>5434</v>
      </c>
      <c r="B5131" s="9" t="s">
        <v>5370</v>
      </c>
      <c r="C5131" s="9" t="s">
        <v>5371</v>
      </c>
      <c r="D5131" s="9" t="s">
        <v>4731</v>
      </c>
      <c r="E5131" s="9" t="s">
        <v>1660</v>
      </c>
      <c r="F5131" s="9" t="s">
        <v>197</v>
      </c>
      <c r="G5131" s="9" t="s">
        <v>221</v>
      </c>
      <c r="H5131" s="9" t="n">
        <v>1200</v>
      </c>
      <c r="I5131" s="29" t="n">
        <v>2</v>
      </c>
      <c r="J5131" s="9" t="n">
        <v>0</v>
      </c>
      <c r="K5131" s="30"/>
      <c r="L5131" s="30"/>
      <c r="M5131" s="30"/>
      <c r="N5131" s="30"/>
      <c r="O5131" s="30"/>
      <c r="P5131" s="30"/>
      <c r="Q5131" s="30"/>
      <c r="R5131" s="30"/>
      <c r="S5131" s="30"/>
      <c r="T5131" s="30"/>
      <c r="U5131" s="21" t="str">
        <f aca="false">IF(COUNT(K5131:T5131)=0,"SOURCE EMPTY / INDUSTRIAL ONLY",IF(MIN(K5131:T5131)=1,"SERVICE READY","HOLD"))</f>
        <v>SOURCE EMPTY / INDUSTRIAL ONLY</v>
      </c>
      <c r="V5131" s="9" t="n">
        <f aca="false">IF(U5131="SERVICE READY",1,0)</f>
        <v>0</v>
      </c>
      <c r="W5131" s="6"/>
      <c r="X5131" s="6"/>
      <c r="Y5131" s="6"/>
      <c r="Z5131" s="6"/>
    </row>
    <row r="5132" customFormat="false" ht="15" hidden="false" customHeight="false" outlineLevel="0" collapsed="false">
      <c r="A5132" s="9" t="s">
        <v>5435</v>
      </c>
      <c r="B5132" s="9" t="s">
        <v>5370</v>
      </c>
      <c r="C5132" s="9" t="s">
        <v>5371</v>
      </c>
      <c r="D5132" s="9" t="s">
        <v>4731</v>
      </c>
      <c r="E5132" s="9" t="s">
        <v>1660</v>
      </c>
      <c r="F5132" s="9" t="s">
        <v>200</v>
      </c>
      <c r="G5132" s="9" t="s">
        <v>221</v>
      </c>
      <c r="H5132" s="9" t="n">
        <v>1200</v>
      </c>
      <c r="I5132" s="29" t="n">
        <v>2</v>
      </c>
      <c r="J5132" s="9" t="n">
        <v>0</v>
      </c>
      <c r="K5132" s="30"/>
      <c r="L5132" s="30"/>
      <c r="M5132" s="30"/>
      <c r="N5132" s="30"/>
      <c r="O5132" s="30"/>
      <c r="P5132" s="30"/>
      <c r="Q5132" s="30"/>
      <c r="R5132" s="30"/>
      <c r="S5132" s="30"/>
      <c r="T5132" s="30"/>
      <c r="U5132" s="21" t="str">
        <f aca="false">IF(COUNT(K5132:T5132)=0,"SOURCE EMPTY / INDUSTRIAL ONLY",IF(MIN(K5132:T5132)=1,"SERVICE READY","HOLD"))</f>
        <v>SOURCE EMPTY / INDUSTRIAL ONLY</v>
      </c>
      <c r="V5132" s="9" t="n">
        <f aca="false">IF(U5132="SERVICE READY",1,0)</f>
        <v>0</v>
      </c>
      <c r="W5132" s="6"/>
      <c r="X5132" s="6"/>
      <c r="Y5132" s="6"/>
      <c r="Z5132" s="6"/>
    </row>
    <row r="5133" customFormat="false" ht="15" hidden="false" customHeight="false" outlineLevel="0" collapsed="false">
      <c r="A5133" s="9" t="s">
        <v>5436</v>
      </c>
      <c r="B5133" s="9" t="s">
        <v>5370</v>
      </c>
      <c r="C5133" s="9" t="s">
        <v>5371</v>
      </c>
      <c r="D5133" s="9" t="s">
        <v>4731</v>
      </c>
      <c r="E5133" s="9" t="s">
        <v>1660</v>
      </c>
      <c r="F5133" s="9" t="s">
        <v>203</v>
      </c>
      <c r="G5133" s="9" t="s">
        <v>221</v>
      </c>
      <c r="H5133" s="9" t="n">
        <v>1200</v>
      </c>
      <c r="I5133" s="29" t="n">
        <v>2</v>
      </c>
      <c r="J5133" s="9" t="n">
        <v>0</v>
      </c>
      <c r="K5133" s="30"/>
      <c r="L5133" s="30"/>
      <c r="M5133" s="30"/>
      <c r="N5133" s="30"/>
      <c r="O5133" s="30"/>
      <c r="P5133" s="30"/>
      <c r="Q5133" s="30"/>
      <c r="R5133" s="30"/>
      <c r="S5133" s="30"/>
      <c r="T5133" s="30"/>
      <c r="U5133" s="21" t="str">
        <f aca="false">IF(COUNT(K5133:T5133)=0,"SOURCE EMPTY / INDUSTRIAL ONLY",IF(MIN(K5133:T5133)=1,"SERVICE READY","HOLD"))</f>
        <v>SOURCE EMPTY / INDUSTRIAL ONLY</v>
      </c>
      <c r="V5133" s="9" t="n">
        <f aca="false">IF(U5133="SERVICE READY",1,0)</f>
        <v>0</v>
      </c>
      <c r="W5133" s="6"/>
      <c r="X5133" s="6"/>
      <c r="Y5133" s="6"/>
      <c r="Z5133" s="6"/>
    </row>
    <row r="5134" customFormat="false" ht="15" hidden="false" customHeight="false" outlineLevel="0" collapsed="false">
      <c r="A5134" s="9" t="s">
        <v>5437</v>
      </c>
      <c r="B5134" s="9" t="s">
        <v>5370</v>
      </c>
      <c r="C5134" s="9" t="s">
        <v>5371</v>
      </c>
      <c r="D5134" s="9" t="s">
        <v>4731</v>
      </c>
      <c r="E5134" s="9" t="s">
        <v>1660</v>
      </c>
      <c r="F5134" s="9" t="s">
        <v>205</v>
      </c>
      <c r="G5134" s="9" t="s">
        <v>221</v>
      </c>
      <c r="H5134" s="9" t="n">
        <v>1200</v>
      </c>
      <c r="I5134" s="29" t="n">
        <v>2</v>
      </c>
      <c r="J5134" s="9" t="n">
        <v>0</v>
      </c>
      <c r="K5134" s="30"/>
      <c r="L5134" s="30"/>
      <c r="M5134" s="30"/>
      <c r="N5134" s="30"/>
      <c r="O5134" s="30"/>
      <c r="P5134" s="30"/>
      <c r="Q5134" s="30"/>
      <c r="R5134" s="30"/>
      <c r="S5134" s="30"/>
      <c r="T5134" s="30"/>
      <c r="U5134" s="21" t="str">
        <f aca="false">IF(COUNT(K5134:T5134)=0,"SOURCE EMPTY / INDUSTRIAL ONLY",IF(MIN(K5134:T5134)=1,"SERVICE READY","HOLD"))</f>
        <v>SOURCE EMPTY / INDUSTRIAL ONLY</v>
      </c>
      <c r="V5134" s="9" t="n">
        <f aca="false">IF(U5134="SERVICE READY",1,0)</f>
        <v>0</v>
      </c>
      <c r="W5134" s="6"/>
      <c r="X5134" s="6"/>
      <c r="Y5134" s="6"/>
      <c r="Z5134" s="6"/>
    </row>
    <row r="5135" customFormat="false" ht="15" hidden="false" customHeight="false" outlineLevel="0" collapsed="false">
      <c r="A5135" s="9" t="s">
        <v>5438</v>
      </c>
      <c r="B5135" s="9" t="s">
        <v>5370</v>
      </c>
      <c r="C5135" s="9" t="s">
        <v>5371</v>
      </c>
      <c r="D5135" s="9" t="s">
        <v>4731</v>
      </c>
      <c r="E5135" s="9" t="s">
        <v>1660</v>
      </c>
      <c r="F5135" s="9" t="s">
        <v>207</v>
      </c>
      <c r="G5135" s="9" t="s">
        <v>221</v>
      </c>
      <c r="H5135" s="9" t="n">
        <v>1200</v>
      </c>
      <c r="I5135" s="29" t="n">
        <v>2</v>
      </c>
      <c r="J5135" s="9" t="n">
        <v>0</v>
      </c>
      <c r="K5135" s="30"/>
      <c r="L5135" s="30"/>
      <c r="M5135" s="30"/>
      <c r="N5135" s="30"/>
      <c r="O5135" s="30"/>
      <c r="P5135" s="30"/>
      <c r="Q5135" s="30"/>
      <c r="R5135" s="30"/>
      <c r="S5135" s="30"/>
      <c r="T5135" s="30"/>
      <c r="U5135" s="21" t="str">
        <f aca="false">IF(COUNT(K5135:T5135)=0,"SOURCE EMPTY / INDUSTRIAL ONLY",IF(MIN(K5135:T5135)=1,"SERVICE READY","HOLD"))</f>
        <v>SOURCE EMPTY / INDUSTRIAL ONLY</v>
      </c>
      <c r="V5135" s="9" t="n">
        <f aca="false">IF(U5135="SERVICE READY",1,0)</f>
        <v>0</v>
      </c>
      <c r="W5135" s="6"/>
      <c r="X5135" s="6"/>
      <c r="Y5135" s="6"/>
      <c r="Z5135" s="6"/>
    </row>
    <row r="5136" customFormat="false" ht="15" hidden="false" customHeight="false" outlineLevel="0" collapsed="false">
      <c r="A5136" s="9" t="s">
        <v>5439</v>
      </c>
      <c r="B5136" s="9" t="s">
        <v>5370</v>
      </c>
      <c r="C5136" s="9" t="s">
        <v>5371</v>
      </c>
      <c r="D5136" s="9" t="s">
        <v>4731</v>
      </c>
      <c r="E5136" s="9" t="s">
        <v>1660</v>
      </c>
      <c r="F5136" s="9" t="s">
        <v>209</v>
      </c>
      <c r="G5136" s="9" t="s">
        <v>221</v>
      </c>
      <c r="H5136" s="9" t="n">
        <v>1200</v>
      </c>
      <c r="I5136" s="29" t="n">
        <v>2</v>
      </c>
      <c r="J5136" s="9" t="n">
        <v>0</v>
      </c>
      <c r="K5136" s="30"/>
      <c r="L5136" s="30"/>
      <c r="M5136" s="30"/>
      <c r="N5136" s="30"/>
      <c r="O5136" s="30"/>
      <c r="P5136" s="30"/>
      <c r="Q5136" s="30"/>
      <c r="R5136" s="30"/>
      <c r="S5136" s="30"/>
      <c r="T5136" s="30"/>
      <c r="U5136" s="21" t="str">
        <f aca="false">IF(COUNT(K5136:T5136)=0,"SOURCE EMPTY / INDUSTRIAL ONLY",IF(MIN(K5136:T5136)=1,"SERVICE READY","HOLD"))</f>
        <v>SOURCE EMPTY / INDUSTRIAL ONLY</v>
      </c>
      <c r="V5136" s="9" t="n">
        <f aca="false">IF(U5136="SERVICE READY",1,0)</f>
        <v>0</v>
      </c>
      <c r="W5136" s="6"/>
      <c r="X5136" s="6"/>
      <c r="Y5136" s="6"/>
      <c r="Z5136" s="6"/>
    </row>
    <row r="5137" customFormat="false" ht="15" hidden="false" customHeight="false" outlineLevel="0" collapsed="false">
      <c r="A5137" s="9" t="s">
        <v>5440</v>
      </c>
      <c r="B5137" s="9" t="s">
        <v>5370</v>
      </c>
      <c r="C5137" s="9" t="s">
        <v>5371</v>
      </c>
      <c r="D5137" s="9" t="s">
        <v>4731</v>
      </c>
      <c r="E5137" s="9" t="s">
        <v>1660</v>
      </c>
      <c r="F5137" s="9" t="s">
        <v>211</v>
      </c>
      <c r="G5137" s="9" t="s">
        <v>221</v>
      </c>
      <c r="H5137" s="9" t="n">
        <v>1200</v>
      </c>
      <c r="I5137" s="29" t="n">
        <v>2</v>
      </c>
      <c r="J5137" s="9" t="n">
        <v>0</v>
      </c>
      <c r="K5137" s="30"/>
      <c r="L5137" s="30"/>
      <c r="M5137" s="30"/>
      <c r="N5137" s="30"/>
      <c r="O5137" s="30"/>
      <c r="P5137" s="30"/>
      <c r="Q5137" s="30"/>
      <c r="R5137" s="30"/>
      <c r="S5137" s="30"/>
      <c r="T5137" s="30"/>
      <c r="U5137" s="21" t="str">
        <f aca="false">IF(COUNT(K5137:T5137)=0,"SOURCE EMPTY / INDUSTRIAL ONLY",IF(MIN(K5137:T5137)=1,"SERVICE READY","HOLD"))</f>
        <v>SOURCE EMPTY / INDUSTRIAL ONLY</v>
      </c>
      <c r="V5137" s="9" t="n">
        <f aca="false">IF(U5137="SERVICE READY",1,0)</f>
        <v>0</v>
      </c>
      <c r="W5137" s="6"/>
      <c r="X5137" s="6"/>
      <c r="Y5137" s="6"/>
      <c r="Z5137" s="6"/>
    </row>
    <row r="5138" customFormat="false" ht="15" hidden="false" customHeight="false" outlineLevel="0" collapsed="false">
      <c r="A5138" s="9" t="s">
        <v>5441</v>
      </c>
      <c r="B5138" s="9" t="s">
        <v>5370</v>
      </c>
      <c r="C5138" s="9" t="s">
        <v>5371</v>
      </c>
      <c r="D5138" s="9" t="s">
        <v>4731</v>
      </c>
      <c r="E5138" s="9" t="s">
        <v>1660</v>
      </c>
      <c r="F5138" s="9" t="s">
        <v>197</v>
      </c>
      <c r="G5138" s="9" t="s">
        <v>221</v>
      </c>
      <c r="H5138" s="9" t="n">
        <v>1200</v>
      </c>
      <c r="I5138" s="29" t="n">
        <v>2</v>
      </c>
      <c r="J5138" s="9" t="n">
        <v>0</v>
      </c>
      <c r="K5138" s="30"/>
      <c r="L5138" s="30"/>
      <c r="M5138" s="30"/>
      <c r="N5138" s="30"/>
      <c r="O5138" s="30"/>
      <c r="P5138" s="30"/>
      <c r="Q5138" s="30"/>
      <c r="R5138" s="30"/>
      <c r="S5138" s="30"/>
      <c r="T5138" s="30"/>
      <c r="U5138" s="21" t="str">
        <f aca="false">IF(COUNT(K5138:T5138)=0,"SOURCE EMPTY / INDUSTRIAL ONLY",IF(MIN(K5138:T5138)=1,"SERVICE READY","HOLD"))</f>
        <v>SOURCE EMPTY / INDUSTRIAL ONLY</v>
      </c>
      <c r="V5138" s="9" t="n">
        <f aca="false">IF(U5138="SERVICE READY",1,0)</f>
        <v>0</v>
      </c>
      <c r="W5138" s="6"/>
      <c r="X5138" s="6"/>
      <c r="Y5138" s="6"/>
      <c r="Z5138" s="6"/>
    </row>
    <row r="5139" customFormat="false" ht="15" hidden="false" customHeight="false" outlineLevel="0" collapsed="false">
      <c r="A5139" s="9" t="s">
        <v>5442</v>
      </c>
      <c r="B5139" s="9" t="s">
        <v>5370</v>
      </c>
      <c r="C5139" s="9" t="s">
        <v>5371</v>
      </c>
      <c r="D5139" s="9" t="s">
        <v>4731</v>
      </c>
      <c r="E5139" s="9" t="s">
        <v>1660</v>
      </c>
      <c r="F5139" s="9" t="s">
        <v>200</v>
      </c>
      <c r="G5139" s="9" t="s">
        <v>221</v>
      </c>
      <c r="H5139" s="9" t="n">
        <v>1200</v>
      </c>
      <c r="I5139" s="29" t="n">
        <v>2</v>
      </c>
      <c r="J5139" s="9" t="n">
        <v>0</v>
      </c>
      <c r="K5139" s="30"/>
      <c r="L5139" s="30"/>
      <c r="M5139" s="30"/>
      <c r="N5139" s="30"/>
      <c r="O5139" s="30"/>
      <c r="P5139" s="30"/>
      <c r="Q5139" s="30"/>
      <c r="R5139" s="30"/>
      <c r="S5139" s="30"/>
      <c r="T5139" s="30"/>
      <c r="U5139" s="21" t="str">
        <f aca="false">IF(COUNT(K5139:T5139)=0,"SOURCE EMPTY / INDUSTRIAL ONLY",IF(MIN(K5139:T5139)=1,"SERVICE READY","HOLD"))</f>
        <v>SOURCE EMPTY / INDUSTRIAL ONLY</v>
      </c>
      <c r="V5139" s="9" t="n">
        <f aca="false">IF(U5139="SERVICE READY",1,0)</f>
        <v>0</v>
      </c>
      <c r="W5139" s="6"/>
      <c r="X5139" s="6"/>
      <c r="Y5139" s="6"/>
      <c r="Z5139" s="6"/>
    </row>
    <row r="5140" customFormat="false" ht="15" hidden="false" customHeight="false" outlineLevel="0" collapsed="false">
      <c r="A5140" s="9" t="s">
        <v>5443</v>
      </c>
      <c r="B5140" s="9" t="s">
        <v>5370</v>
      </c>
      <c r="C5140" s="9" t="s">
        <v>5371</v>
      </c>
      <c r="D5140" s="9" t="s">
        <v>4731</v>
      </c>
      <c r="E5140" s="9" t="s">
        <v>1660</v>
      </c>
      <c r="F5140" s="9" t="s">
        <v>203</v>
      </c>
      <c r="G5140" s="9" t="s">
        <v>221</v>
      </c>
      <c r="H5140" s="9" t="n">
        <v>1200</v>
      </c>
      <c r="I5140" s="29" t="n">
        <v>2</v>
      </c>
      <c r="J5140" s="9" t="n">
        <v>0</v>
      </c>
      <c r="K5140" s="30"/>
      <c r="L5140" s="30"/>
      <c r="M5140" s="30"/>
      <c r="N5140" s="30"/>
      <c r="O5140" s="30"/>
      <c r="P5140" s="30"/>
      <c r="Q5140" s="30"/>
      <c r="R5140" s="30"/>
      <c r="S5140" s="30"/>
      <c r="T5140" s="30"/>
      <c r="U5140" s="21" t="str">
        <f aca="false">IF(COUNT(K5140:T5140)=0,"SOURCE EMPTY / INDUSTRIAL ONLY",IF(MIN(K5140:T5140)=1,"SERVICE READY","HOLD"))</f>
        <v>SOURCE EMPTY / INDUSTRIAL ONLY</v>
      </c>
      <c r="V5140" s="9" t="n">
        <f aca="false">IF(U5140="SERVICE READY",1,0)</f>
        <v>0</v>
      </c>
      <c r="W5140" s="6"/>
      <c r="X5140" s="6"/>
      <c r="Y5140" s="6"/>
      <c r="Z5140" s="6"/>
    </row>
    <row r="5141" customFormat="false" ht="15" hidden="false" customHeight="false" outlineLevel="0" collapsed="false">
      <c r="A5141" s="9" t="s">
        <v>5444</v>
      </c>
      <c r="B5141" s="9" t="s">
        <v>5370</v>
      </c>
      <c r="C5141" s="9" t="s">
        <v>5371</v>
      </c>
      <c r="D5141" s="9" t="s">
        <v>4731</v>
      </c>
      <c r="E5141" s="9" t="s">
        <v>1660</v>
      </c>
      <c r="F5141" s="9" t="s">
        <v>205</v>
      </c>
      <c r="G5141" s="9" t="s">
        <v>221</v>
      </c>
      <c r="H5141" s="9" t="n">
        <v>1200</v>
      </c>
      <c r="I5141" s="29" t="n">
        <v>2</v>
      </c>
      <c r="J5141" s="9" t="n">
        <v>0</v>
      </c>
      <c r="K5141" s="30"/>
      <c r="L5141" s="30"/>
      <c r="M5141" s="30"/>
      <c r="N5141" s="30"/>
      <c r="O5141" s="30"/>
      <c r="P5141" s="30"/>
      <c r="Q5141" s="30"/>
      <c r="R5141" s="30"/>
      <c r="S5141" s="30"/>
      <c r="T5141" s="30"/>
      <c r="U5141" s="21" t="str">
        <f aca="false">IF(COUNT(K5141:T5141)=0,"SOURCE EMPTY / INDUSTRIAL ONLY",IF(MIN(K5141:T5141)=1,"SERVICE READY","HOLD"))</f>
        <v>SOURCE EMPTY / INDUSTRIAL ONLY</v>
      </c>
      <c r="V5141" s="9" t="n">
        <f aca="false">IF(U5141="SERVICE READY",1,0)</f>
        <v>0</v>
      </c>
      <c r="W5141" s="6"/>
      <c r="X5141" s="6"/>
      <c r="Y5141" s="6"/>
      <c r="Z5141" s="6"/>
    </row>
    <row r="5142" customFormat="false" ht="15" hidden="false" customHeight="false" outlineLevel="0" collapsed="false">
      <c r="A5142" s="9" t="s">
        <v>5445</v>
      </c>
      <c r="B5142" s="9" t="s">
        <v>5446</v>
      </c>
      <c r="C5142" s="9" t="s">
        <v>5447</v>
      </c>
      <c r="D5142" s="9" t="s">
        <v>4731</v>
      </c>
      <c r="E5142" s="9" t="s">
        <v>323</v>
      </c>
      <c r="F5142" s="9" t="s">
        <v>197</v>
      </c>
      <c r="G5142" s="9" t="s">
        <v>198</v>
      </c>
      <c r="H5142" s="9" t="n">
        <v>1000</v>
      </c>
      <c r="I5142" s="29" t="n">
        <v>0.4</v>
      </c>
      <c r="J5142" s="9" t="n">
        <v>1</v>
      </c>
      <c r="K5142" s="30"/>
      <c r="L5142" s="30"/>
      <c r="M5142" s="30"/>
      <c r="N5142" s="30"/>
      <c r="O5142" s="30"/>
      <c r="P5142" s="30"/>
      <c r="Q5142" s="30"/>
      <c r="R5142" s="30"/>
      <c r="S5142" s="30"/>
      <c r="T5142" s="30"/>
      <c r="U5142" s="21" t="str">
        <f aca="false">IF(COUNT(K5142:T5142)=0,"SOURCE EMPTY / INDUSTRIAL ONLY",IF(MIN(K5142:T5142)=1,"SERVICE READY","HOLD"))</f>
        <v>SOURCE EMPTY / INDUSTRIAL ONLY</v>
      </c>
      <c r="V5142" s="9" t="n">
        <f aca="false">IF(U5142="SERVICE READY",1,0)</f>
        <v>0</v>
      </c>
      <c r="W5142" s="6"/>
      <c r="X5142" s="6"/>
      <c r="Y5142" s="6"/>
      <c r="Z5142" s="6"/>
    </row>
    <row r="5143" customFormat="false" ht="15" hidden="false" customHeight="false" outlineLevel="0" collapsed="false">
      <c r="A5143" s="9" t="s">
        <v>5448</v>
      </c>
      <c r="B5143" s="9" t="s">
        <v>5446</v>
      </c>
      <c r="C5143" s="9" t="s">
        <v>5447</v>
      </c>
      <c r="D5143" s="9" t="s">
        <v>4731</v>
      </c>
      <c r="E5143" s="9" t="s">
        <v>323</v>
      </c>
      <c r="F5143" s="9" t="s">
        <v>200</v>
      </c>
      <c r="G5143" s="9" t="s">
        <v>201</v>
      </c>
      <c r="H5143" s="9" t="n">
        <v>1000</v>
      </c>
      <c r="I5143" s="29" t="n">
        <v>0.4</v>
      </c>
      <c r="J5143" s="9" t="n">
        <v>1</v>
      </c>
      <c r="K5143" s="30"/>
      <c r="L5143" s="30"/>
      <c r="M5143" s="30"/>
      <c r="N5143" s="30"/>
      <c r="O5143" s="30"/>
      <c r="P5143" s="30"/>
      <c r="Q5143" s="30"/>
      <c r="R5143" s="30"/>
      <c r="S5143" s="30"/>
      <c r="T5143" s="30"/>
      <c r="U5143" s="21" t="str">
        <f aca="false">IF(COUNT(K5143:T5143)=0,"SOURCE EMPTY / INDUSTRIAL ONLY",IF(MIN(K5143:T5143)=1,"SERVICE READY","HOLD"))</f>
        <v>SOURCE EMPTY / INDUSTRIAL ONLY</v>
      </c>
      <c r="V5143" s="9" t="n">
        <f aca="false">IF(U5143="SERVICE READY",1,0)</f>
        <v>0</v>
      </c>
      <c r="W5143" s="6"/>
      <c r="X5143" s="6"/>
      <c r="Y5143" s="6"/>
      <c r="Z5143" s="6"/>
    </row>
    <row r="5144" customFormat="false" ht="15" hidden="false" customHeight="false" outlineLevel="0" collapsed="false">
      <c r="A5144" s="9" t="s">
        <v>5449</v>
      </c>
      <c r="B5144" s="9" t="s">
        <v>5446</v>
      </c>
      <c r="C5144" s="9" t="s">
        <v>5447</v>
      </c>
      <c r="D5144" s="9" t="s">
        <v>4731</v>
      </c>
      <c r="E5144" s="9" t="s">
        <v>323</v>
      </c>
      <c r="F5144" s="9" t="s">
        <v>203</v>
      </c>
      <c r="G5144" s="9" t="s">
        <v>198</v>
      </c>
      <c r="H5144" s="9" t="n">
        <v>1000</v>
      </c>
      <c r="I5144" s="29" t="n">
        <v>0.4</v>
      </c>
      <c r="J5144" s="9" t="n">
        <v>1</v>
      </c>
      <c r="K5144" s="30"/>
      <c r="L5144" s="30"/>
      <c r="M5144" s="30"/>
      <c r="N5144" s="30"/>
      <c r="O5144" s="30"/>
      <c r="P5144" s="30"/>
      <c r="Q5144" s="30"/>
      <c r="R5144" s="30"/>
      <c r="S5144" s="30"/>
      <c r="T5144" s="30"/>
      <c r="U5144" s="21" t="str">
        <f aca="false">IF(COUNT(K5144:T5144)=0,"SOURCE EMPTY / INDUSTRIAL ONLY",IF(MIN(K5144:T5144)=1,"SERVICE READY","HOLD"))</f>
        <v>SOURCE EMPTY / INDUSTRIAL ONLY</v>
      </c>
      <c r="V5144" s="9" t="n">
        <f aca="false">IF(U5144="SERVICE READY",1,0)</f>
        <v>0</v>
      </c>
      <c r="W5144" s="6"/>
      <c r="X5144" s="6"/>
      <c r="Y5144" s="6"/>
      <c r="Z5144" s="6"/>
    </row>
    <row r="5145" customFormat="false" ht="15" hidden="false" customHeight="false" outlineLevel="0" collapsed="false">
      <c r="A5145" s="9" t="s">
        <v>5450</v>
      </c>
      <c r="B5145" s="9" t="s">
        <v>5446</v>
      </c>
      <c r="C5145" s="9" t="s">
        <v>5447</v>
      </c>
      <c r="D5145" s="9" t="s">
        <v>4731</v>
      </c>
      <c r="E5145" s="9" t="s">
        <v>323</v>
      </c>
      <c r="F5145" s="9" t="s">
        <v>205</v>
      </c>
      <c r="G5145" s="9" t="s">
        <v>201</v>
      </c>
      <c r="H5145" s="9" t="n">
        <v>1000</v>
      </c>
      <c r="I5145" s="29" t="n">
        <v>0.4</v>
      </c>
      <c r="J5145" s="9" t="n">
        <v>1</v>
      </c>
      <c r="K5145" s="30"/>
      <c r="L5145" s="30"/>
      <c r="M5145" s="30"/>
      <c r="N5145" s="30"/>
      <c r="O5145" s="30"/>
      <c r="P5145" s="30"/>
      <c r="Q5145" s="30"/>
      <c r="R5145" s="30"/>
      <c r="S5145" s="30"/>
      <c r="T5145" s="30"/>
      <c r="U5145" s="21" t="str">
        <f aca="false">IF(COUNT(K5145:T5145)=0,"SOURCE EMPTY / INDUSTRIAL ONLY",IF(MIN(K5145:T5145)=1,"SERVICE READY","HOLD"))</f>
        <v>SOURCE EMPTY / INDUSTRIAL ONLY</v>
      </c>
      <c r="V5145" s="9" t="n">
        <f aca="false">IF(U5145="SERVICE READY",1,0)</f>
        <v>0</v>
      </c>
      <c r="W5145" s="6"/>
      <c r="X5145" s="6"/>
      <c r="Y5145" s="6"/>
      <c r="Z5145" s="6"/>
    </row>
    <row r="5146" customFormat="false" ht="15" hidden="false" customHeight="false" outlineLevel="0" collapsed="false">
      <c r="A5146" s="9" t="s">
        <v>5451</v>
      </c>
      <c r="B5146" s="9" t="s">
        <v>5446</v>
      </c>
      <c r="C5146" s="9" t="s">
        <v>5447</v>
      </c>
      <c r="D5146" s="9" t="s">
        <v>4731</v>
      </c>
      <c r="E5146" s="9" t="s">
        <v>323</v>
      </c>
      <c r="F5146" s="9" t="s">
        <v>207</v>
      </c>
      <c r="G5146" s="9" t="s">
        <v>198</v>
      </c>
      <c r="H5146" s="9" t="n">
        <v>1000</v>
      </c>
      <c r="I5146" s="29" t="n">
        <v>0.4</v>
      </c>
      <c r="J5146" s="9" t="n">
        <v>1</v>
      </c>
      <c r="K5146" s="30"/>
      <c r="L5146" s="30"/>
      <c r="M5146" s="30"/>
      <c r="N5146" s="30"/>
      <c r="O5146" s="30"/>
      <c r="P5146" s="30"/>
      <c r="Q5146" s="30"/>
      <c r="R5146" s="30"/>
      <c r="S5146" s="30"/>
      <c r="T5146" s="30"/>
      <c r="U5146" s="21" t="str">
        <f aca="false">IF(COUNT(K5146:T5146)=0,"SOURCE EMPTY / INDUSTRIAL ONLY",IF(MIN(K5146:T5146)=1,"SERVICE READY","HOLD"))</f>
        <v>SOURCE EMPTY / INDUSTRIAL ONLY</v>
      </c>
      <c r="V5146" s="9" t="n">
        <f aca="false">IF(U5146="SERVICE READY",1,0)</f>
        <v>0</v>
      </c>
      <c r="W5146" s="6"/>
      <c r="X5146" s="6"/>
      <c r="Y5146" s="6"/>
      <c r="Z5146" s="6"/>
    </row>
    <row r="5147" customFormat="false" ht="15" hidden="false" customHeight="false" outlineLevel="0" collapsed="false">
      <c r="A5147" s="9" t="s">
        <v>5452</v>
      </c>
      <c r="B5147" s="9" t="s">
        <v>5446</v>
      </c>
      <c r="C5147" s="9" t="s">
        <v>5447</v>
      </c>
      <c r="D5147" s="9" t="s">
        <v>4731</v>
      </c>
      <c r="E5147" s="9" t="s">
        <v>323</v>
      </c>
      <c r="F5147" s="9" t="s">
        <v>209</v>
      </c>
      <c r="G5147" s="9" t="s">
        <v>201</v>
      </c>
      <c r="H5147" s="9" t="n">
        <v>1000</v>
      </c>
      <c r="I5147" s="29" t="n">
        <v>0.4</v>
      </c>
      <c r="J5147" s="9" t="n">
        <v>1</v>
      </c>
      <c r="K5147" s="30"/>
      <c r="L5147" s="30"/>
      <c r="M5147" s="30"/>
      <c r="N5147" s="30"/>
      <c r="O5147" s="30"/>
      <c r="P5147" s="30"/>
      <c r="Q5147" s="30"/>
      <c r="R5147" s="30"/>
      <c r="S5147" s="30"/>
      <c r="T5147" s="30"/>
      <c r="U5147" s="21" t="str">
        <f aca="false">IF(COUNT(K5147:T5147)=0,"SOURCE EMPTY / INDUSTRIAL ONLY",IF(MIN(K5147:T5147)=1,"SERVICE READY","HOLD"))</f>
        <v>SOURCE EMPTY / INDUSTRIAL ONLY</v>
      </c>
      <c r="V5147" s="9" t="n">
        <f aca="false">IF(U5147="SERVICE READY",1,0)</f>
        <v>0</v>
      </c>
      <c r="W5147" s="6"/>
      <c r="X5147" s="6"/>
      <c r="Y5147" s="6"/>
      <c r="Z5147" s="6"/>
    </row>
    <row r="5148" customFormat="false" ht="15" hidden="false" customHeight="false" outlineLevel="0" collapsed="false">
      <c r="A5148" s="9" t="s">
        <v>5453</v>
      </c>
      <c r="B5148" s="9" t="s">
        <v>5446</v>
      </c>
      <c r="C5148" s="9" t="s">
        <v>5447</v>
      </c>
      <c r="D5148" s="9" t="s">
        <v>4731</v>
      </c>
      <c r="E5148" s="9" t="s">
        <v>323</v>
      </c>
      <c r="F5148" s="9" t="s">
        <v>211</v>
      </c>
      <c r="G5148" s="9" t="s">
        <v>198</v>
      </c>
      <c r="H5148" s="9" t="n">
        <v>1000</v>
      </c>
      <c r="I5148" s="29" t="n">
        <v>0.4</v>
      </c>
      <c r="J5148" s="9" t="n">
        <v>1</v>
      </c>
      <c r="K5148" s="30"/>
      <c r="L5148" s="30"/>
      <c r="M5148" s="30"/>
      <c r="N5148" s="30"/>
      <c r="O5148" s="30"/>
      <c r="P5148" s="30"/>
      <c r="Q5148" s="30"/>
      <c r="R5148" s="30"/>
      <c r="S5148" s="30"/>
      <c r="T5148" s="30"/>
      <c r="U5148" s="21" t="str">
        <f aca="false">IF(COUNT(K5148:T5148)=0,"SOURCE EMPTY / INDUSTRIAL ONLY",IF(MIN(K5148:T5148)=1,"SERVICE READY","HOLD"))</f>
        <v>SOURCE EMPTY / INDUSTRIAL ONLY</v>
      </c>
      <c r="V5148" s="9" t="n">
        <f aca="false">IF(U5148="SERVICE READY",1,0)</f>
        <v>0</v>
      </c>
      <c r="W5148" s="6"/>
      <c r="X5148" s="6"/>
      <c r="Y5148" s="6"/>
      <c r="Z5148" s="6"/>
    </row>
    <row r="5149" customFormat="false" ht="15" hidden="false" customHeight="false" outlineLevel="0" collapsed="false">
      <c r="A5149" s="9" t="s">
        <v>5454</v>
      </c>
      <c r="B5149" s="9" t="s">
        <v>5446</v>
      </c>
      <c r="C5149" s="9" t="s">
        <v>5447</v>
      </c>
      <c r="D5149" s="9" t="s">
        <v>4731</v>
      </c>
      <c r="E5149" s="9" t="s">
        <v>323</v>
      </c>
      <c r="F5149" s="9" t="s">
        <v>197</v>
      </c>
      <c r="G5149" s="9" t="s">
        <v>201</v>
      </c>
      <c r="H5149" s="9" t="n">
        <v>1000</v>
      </c>
      <c r="I5149" s="29" t="n">
        <v>0.4</v>
      </c>
      <c r="J5149" s="9" t="n">
        <v>1</v>
      </c>
      <c r="K5149" s="30"/>
      <c r="L5149" s="30"/>
      <c r="M5149" s="30"/>
      <c r="N5149" s="30"/>
      <c r="O5149" s="30"/>
      <c r="P5149" s="30"/>
      <c r="Q5149" s="30"/>
      <c r="R5149" s="30"/>
      <c r="S5149" s="30"/>
      <c r="T5149" s="30"/>
      <c r="U5149" s="21" t="str">
        <f aca="false">IF(COUNT(K5149:T5149)=0,"SOURCE EMPTY / INDUSTRIAL ONLY",IF(MIN(K5149:T5149)=1,"SERVICE READY","HOLD"))</f>
        <v>SOURCE EMPTY / INDUSTRIAL ONLY</v>
      </c>
      <c r="V5149" s="9" t="n">
        <f aca="false">IF(U5149="SERVICE READY",1,0)</f>
        <v>0</v>
      </c>
      <c r="W5149" s="6"/>
      <c r="X5149" s="6"/>
      <c r="Y5149" s="6"/>
      <c r="Z5149" s="6"/>
    </row>
    <row r="5150" customFormat="false" ht="15" hidden="false" customHeight="false" outlineLevel="0" collapsed="false">
      <c r="A5150" s="9" t="s">
        <v>5455</v>
      </c>
      <c r="B5150" s="9" t="s">
        <v>5446</v>
      </c>
      <c r="C5150" s="9" t="s">
        <v>5447</v>
      </c>
      <c r="D5150" s="9" t="s">
        <v>4731</v>
      </c>
      <c r="E5150" s="9" t="s">
        <v>323</v>
      </c>
      <c r="F5150" s="9" t="s">
        <v>200</v>
      </c>
      <c r="G5150" s="9" t="s">
        <v>198</v>
      </c>
      <c r="H5150" s="9" t="n">
        <v>1000</v>
      </c>
      <c r="I5150" s="29" t="n">
        <v>0.4</v>
      </c>
      <c r="J5150" s="9" t="n">
        <v>1</v>
      </c>
      <c r="K5150" s="30"/>
      <c r="L5150" s="30"/>
      <c r="M5150" s="30"/>
      <c r="N5150" s="30"/>
      <c r="O5150" s="30"/>
      <c r="P5150" s="30"/>
      <c r="Q5150" s="30"/>
      <c r="R5150" s="30"/>
      <c r="S5150" s="30"/>
      <c r="T5150" s="30"/>
      <c r="U5150" s="21" t="str">
        <f aca="false">IF(COUNT(K5150:T5150)=0,"SOURCE EMPTY / INDUSTRIAL ONLY",IF(MIN(K5150:T5150)=1,"SERVICE READY","HOLD"))</f>
        <v>SOURCE EMPTY / INDUSTRIAL ONLY</v>
      </c>
      <c r="V5150" s="9" t="n">
        <f aca="false">IF(U5150="SERVICE READY",1,0)</f>
        <v>0</v>
      </c>
      <c r="W5150" s="6"/>
      <c r="X5150" s="6"/>
      <c r="Y5150" s="6"/>
      <c r="Z5150" s="6"/>
    </row>
    <row r="5151" customFormat="false" ht="15" hidden="false" customHeight="false" outlineLevel="0" collapsed="false">
      <c r="A5151" s="9" t="s">
        <v>5456</v>
      </c>
      <c r="B5151" s="9" t="s">
        <v>5446</v>
      </c>
      <c r="C5151" s="9" t="s">
        <v>5447</v>
      </c>
      <c r="D5151" s="9" t="s">
        <v>4731</v>
      </c>
      <c r="E5151" s="9" t="s">
        <v>323</v>
      </c>
      <c r="F5151" s="9" t="s">
        <v>203</v>
      </c>
      <c r="G5151" s="9" t="s">
        <v>201</v>
      </c>
      <c r="H5151" s="9" t="n">
        <v>1000</v>
      </c>
      <c r="I5151" s="29" t="n">
        <v>0.4</v>
      </c>
      <c r="J5151" s="9" t="n">
        <v>1</v>
      </c>
      <c r="K5151" s="30"/>
      <c r="L5151" s="30"/>
      <c r="M5151" s="30"/>
      <c r="N5151" s="30"/>
      <c r="O5151" s="30"/>
      <c r="P5151" s="30"/>
      <c r="Q5151" s="30"/>
      <c r="R5151" s="30"/>
      <c r="S5151" s="30"/>
      <c r="T5151" s="30"/>
      <c r="U5151" s="21" t="str">
        <f aca="false">IF(COUNT(K5151:T5151)=0,"SOURCE EMPTY / INDUSTRIAL ONLY",IF(MIN(K5151:T5151)=1,"SERVICE READY","HOLD"))</f>
        <v>SOURCE EMPTY / INDUSTRIAL ONLY</v>
      </c>
      <c r="V5151" s="9" t="n">
        <f aca="false">IF(U5151="SERVICE READY",1,0)</f>
        <v>0</v>
      </c>
      <c r="W5151" s="6"/>
      <c r="X5151" s="6"/>
      <c r="Y5151" s="6"/>
      <c r="Z5151" s="6"/>
    </row>
    <row r="5152" customFormat="false" ht="15" hidden="false" customHeight="false" outlineLevel="0" collapsed="false">
      <c r="A5152" s="9" t="s">
        <v>5457</v>
      </c>
      <c r="B5152" s="9" t="s">
        <v>5446</v>
      </c>
      <c r="C5152" s="9" t="s">
        <v>5447</v>
      </c>
      <c r="D5152" s="9" t="s">
        <v>4731</v>
      </c>
      <c r="E5152" s="9" t="s">
        <v>323</v>
      </c>
      <c r="F5152" s="9" t="s">
        <v>205</v>
      </c>
      <c r="G5152" s="9" t="s">
        <v>198</v>
      </c>
      <c r="H5152" s="9" t="n">
        <v>1000</v>
      </c>
      <c r="I5152" s="29" t="n">
        <v>0.4</v>
      </c>
      <c r="J5152" s="9" t="n">
        <v>1</v>
      </c>
      <c r="K5152" s="30"/>
      <c r="L5152" s="30"/>
      <c r="M5152" s="30"/>
      <c r="N5152" s="30"/>
      <c r="O5152" s="30"/>
      <c r="P5152" s="30"/>
      <c r="Q5152" s="30"/>
      <c r="R5152" s="30"/>
      <c r="S5152" s="30"/>
      <c r="T5152" s="30"/>
      <c r="U5152" s="21" t="str">
        <f aca="false">IF(COUNT(K5152:T5152)=0,"SOURCE EMPTY / INDUSTRIAL ONLY",IF(MIN(K5152:T5152)=1,"SERVICE READY","HOLD"))</f>
        <v>SOURCE EMPTY / INDUSTRIAL ONLY</v>
      </c>
      <c r="V5152" s="9" t="n">
        <f aca="false">IF(U5152="SERVICE READY",1,0)</f>
        <v>0</v>
      </c>
      <c r="W5152" s="6"/>
      <c r="X5152" s="6"/>
      <c r="Y5152" s="6"/>
      <c r="Z5152" s="6"/>
    </row>
    <row r="5153" customFormat="false" ht="15" hidden="false" customHeight="false" outlineLevel="0" collapsed="false">
      <c r="A5153" s="9" t="s">
        <v>5458</v>
      </c>
      <c r="B5153" s="9" t="s">
        <v>5446</v>
      </c>
      <c r="C5153" s="9" t="s">
        <v>5447</v>
      </c>
      <c r="D5153" s="9" t="s">
        <v>4731</v>
      </c>
      <c r="E5153" s="9" t="s">
        <v>323</v>
      </c>
      <c r="F5153" s="9" t="s">
        <v>207</v>
      </c>
      <c r="G5153" s="9" t="s">
        <v>201</v>
      </c>
      <c r="H5153" s="9" t="n">
        <v>1000</v>
      </c>
      <c r="I5153" s="29" t="n">
        <v>0.4</v>
      </c>
      <c r="J5153" s="9" t="n">
        <v>1</v>
      </c>
      <c r="K5153" s="30"/>
      <c r="L5153" s="30"/>
      <c r="M5153" s="30"/>
      <c r="N5153" s="30"/>
      <c r="O5153" s="30"/>
      <c r="P5153" s="30"/>
      <c r="Q5153" s="30"/>
      <c r="R5153" s="30"/>
      <c r="S5153" s="30"/>
      <c r="T5153" s="30"/>
      <c r="U5153" s="21" t="str">
        <f aca="false">IF(COUNT(K5153:T5153)=0,"SOURCE EMPTY / INDUSTRIAL ONLY",IF(MIN(K5153:T5153)=1,"SERVICE READY","HOLD"))</f>
        <v>SOURCE EMPTY / INDUSTRIAL ONLY</v>
      </c>
      <c r="V5153" s="9" t="n">
        <f aca="false">IF(U5153="SERVICE READY",1,0)</f>
        <v>0</v>
      </c>
      <c r="W5153" s="6"/>
      <c r="X5153" s="6"/>
      <c r="Y5153" s="6"/>
      <c r="Z5153" s="6"/>
    </row>
    <row r="5154" customFormat="false" ht="15" hidden="false" customHeight="false" outlineLevel="0" collapsed="false">
      <c r="A5154" s="9" t="s">
        <v>5459</v>
      </c>
      <c r="B5154" s="9" t="s">
        <v>5446</v>
      </c>
      <c r="C5154" s="9" t="s">
        <v>5447</v>
      </c>
      <c r="D5154" s="9" t="s">
        <v>4731</v>
      </c>
      <c r="E5154" s="9" t="s">
        <v>323</v>
      </c>
      <c r="F5154" s="9" t="s">
        <v>209</v>
      </c>
      <c r="G5154" s="9" t="s">
        <v>198</v>
      </c>
      <c r="H5154" s="9" t="n">
        <v>1000</v>
      </c>
      <c r="I5154" s="29" t="n">
        <v>0.4</v>
      </c>
      <c r="J5154" s="9" t="n">
        <v>1</v>
      </c>
      <c r="K5154" s="30"/>
      <c r="L5154" s="30"/>
      <c r="M5154" s="30"/>
      <c r="N5154" s="30"/>
      <c r="O5154" s="30"/>
      <c r="P5154" s="30"/>
      <c r="Q5154" s="30"/>
      <c r="R5154" s="30"/>
      <c r="S5154" s="30"/>
      <c r="T5154" s="30"/>
      <c r="U5154" s="21" t="str">
        <f aca="false">IF(COUNT(K5154:T5154)=0,"SOURCE EMPTY / INDUSTRIAL ONLY",IF(MIN(K5154:T5154)=1,"SERVICE READY","HOLD"))</f>
        <v>SOURCE EMPTY / INDUSTRIAL ONLY</v>
      </c>
      <c r="V5154" s="9" t="n">
        <f aca="false">IF(U5154="SERVICE READY",1,0)</f>
        <v>0</v>
      </c>
      <c r="W5154" s="6"/>
      <c r="X5154" s="6"/>
      <c r="Y5154" s="6"/>
      <c r="Z5154" s="6"/>
    </row>
    <row r="5155" customFormat="false" ht="15" hidden="false" customHeight="false" outlineLevel="0" collapsed="false">
      <c r="A5155" s="9" t="s">
        <v>5460</v>
      </c>
      <c r="B5155" s="9" t="s">
        <v>5446</v>
      </c>
      <c r="C5155" s="9" t="s">
        <v>5447</v>
      </c>
      <c r="D5155" s="9" t="s">
        <v>4731</v>
      </c>
      <c r="E5155" s="9" t="s">
        <v>323</v>
      </c>
      <c r="F5155" s="9" t="s">
        <v>211</v>
      </c>
      <c r="G5155" s="9" t="s">
        <v>201</v>
      </c>
      <c r="H5155" s="9" t="n">
        <v>1000</v>
      </c>
      <c r="I5155" s="29" t="n">
        <v>0.4</v>
      </c>
      <c r="J5155" s="9" t="n">
        <v>1</v>
      </c>
      <c r="K5155" s="30"/>
      <c r="L5155" s="30"/>
      <c r="M5155" s="30"/>
      <c r="N5155" s="30"/>
      <c r="O5155" s="30"/>
      <c r="P5155" s="30"/>
      <c r="Q5155" s="30"/>
      <c r="R5155" s="30"/>
      <c r="S5155" s="30"/>
      <c r="T5155" s="30"/>
      <c r="U5155" s="21" t="str">
        <f aca="false">IF(COUNT(K5155:T5155)=0,"SOURCE EMPTY / INDUSTRIAL ONLY",IF(MIN(K5155:T5155)=1,"SERVICE READY","HOLD"))</f>
        <v>SOURCE EMPTY / INDUSTRIAL ONLY</v>
      </c>
      <c r="V5155" s="9" t="n">
        <f aca="false">IF(U5155="SERVICE READY",1,0)</f>
        <v>0</v>
      </c>
      <c r="W5155" s="6"/>
      <c r="X5155" s="6"/>
      <c r="Y5155" s="6"/>
      <c r="Z5155" s="6"/>
    </row>
    <row r="5156" customFormat="false" ht="15" hidden="false" customHeight="false" outlineLevel="0" collapsed="false">
      <c r="A5156" s="9" t="s">
        <v>5461</v>
      </c>
      <c r="B5156" s="9" t="s">
        <v>5446</v>
      </c>
      <c r="C5156" s="9" t="s">
        <v>5447</v>
      </c>
      <c r="D5156" s="9" t="s">
        <v>4731</v>
      </c>
      <c r="E5156" s="9" t="s">
        <v>323</v>
      </c>
      <c r="F5156" s="9" t="s">
        <v>197</v>
      </c>
      <c r="G5156" s="9" t="s">
        <v>198</v>
      </c>
      <c r="H5156" s="9" t="n">
        <v>1000</v>
      </c>
      <c r="I5156" s="29" t="n">
        <v>0.4</v>
      </c>
      <c r="J5156" s="9" t="n">
        <v>1</v>
      </c>
      <c r="K5156" s="30"/>
      <c r="L5156" s="30"/>
      <c r="M5156" s="30"/>
      <c r="N5156" s="30"/>
      <c r="O5156" s="30"/>
      <c r="P5156" s="30"/>
      <c r="Q5156" s="30"/>
      <c r="R5156" s="30"/>
      <c r="S5156" s="30"/>
      <c r="T5156" s="30"/>
      <c r="U5156" s="21" t="str">
        <f aca="false">IF(COUNT(K5156:T5156)=0,"SOURCE EMPTY / INDUSTRIAL ONLY",IF(MIN(K5156:T5156)=1,"SERVICE READY","HOLD"))</f>
        <v>SOURCE EMPTY / INDUSTRIAL ONLY</v>
      </c>
      <c r="V5156" s="9" t="n">
        <f aca="false">IF(U5156="SERVICE READY",1,0)</f>
        <v>0</v>
      </c>
      <c r="W5156" s="6"/>
      <c r="X5156" s="6"/>
      <c r="Y5156" s="6"/>
      <c r="Z5156" s="6"/>
    </row>
    <row r="5157" customFormat="false" ht="15" hidden="false" customHeight="false" outlineLevel="0" collapsed="false">
      <c r="A5157" s="9" t="s">
        <v>5462</v>
      </c>
      <c r="B5157" s="9" t="s">
        <v>5446</v>
      </c>
      <c r="C5157" s="9" t="s">
        <v>5447</v>
      </c>
      <c r="D5157" s="9" t="s">
        <v>4731</v>
      </c>
      <c r="E5157" s="9" t="s">
        <v>323</v>
      </c>
      <c r="F5157" s="9" t="s">
        <v>200</v>
      </c>
      <c r="G5157" s="9" t="s">
        <v>201</v>
      </c>
      <c r="H5157" s="9" t="n">
        <v>1000</v>
      </c>
      <c r="I5157" s="29" t="n">
        <v>0.4</v>
      </c>
      <c r="J5157" s="9" t="n">
        <v>1</v>
      </c>
      <c r="K5157" s="30"/>
      <c r="L5157" s="30"/>
      <c r="M5157" s="30"/>
      <c r="N5157" s="30"/>
      <c r="O5157" s="30"/>
      <c r="P5157" s="30"/>
      <c r="Q5157" s="30"/>
      <c r="R5157" s="30"/>
      <c r="S5157" s="30"/>
      <c r="T5157" s="30"/>
      <c r="U5157" s="21" t="str">
        <f aca="false">IF(COUNT(K5157:T5157)=0,"SOURCE EMPTY / INDUSTRIAL ONLY",IF(MIN(K5157:T5157)=1,"SERVICE READY","HOLD"))</f>
        <v>SOURCE EMPTY / INDUSTRIAL ONLY</v>
      </c>
      <c r="V5157" s="9" t="n">
        <f aca="false">IF(U5157="SERVICE READY",1,0)</f>
        <v>0</v>
      </c>
      <c r="W5157" s="6"/>
      <c r="X5157" s="6"/>
      <c r="Y5157" s="6"/>
      <c r="Z5157" s="6"/>
    </row>
    <row r="5158" customFormat="false" ht="15" hidden="false" customHeight="false" outlineLevel="0" collapsed="false">
      <c r="A5158" s="9" t="s">
        <v>5463</v>
      </c>
      <c r="B5158" s="9" t="s">
        <v>5446</v>
      </c>
      <c r="C5158" s="9" t="s">
        <v>5447</v>
      </c>
      <c r="D5158" s="9" t="s">
        <v>4731</v>
      </c>
      <c r="E5158" s="9" t="s">
        <v>323</v>
      </c>
      <c r="F5158" s="9" t="s">
        <v>203</v>
      </c>
      <c r="G5158" s="9" t="s">
        <v>198</v>
      </c>
      <c r="H5158" s="9" t="n">
        <v>1000</v>
      </c>
      <c r="I5158" s="29" t="n">
        <v>0.4</v>
      </c>
      <c r="J5158" s="9" t="n">
        <v>1</v>
      </c>
      <c r="K5158" s="30"/>
      <c r="L5158" s="30"/>
      <c r="M5158" s="30"/>
      <c r="N5158" s="30"/>
      <c r="O5158" s="30"/>
      <c r="P5158" s="30"/>
      <c r="Q5158" s="30"/>
      <c r="R5158" s="30"/>
      <c r="S5158" s="30"/>
      <c r="T5158" s="30"/>
      <c r="U5158" s="21" t="str">
        <f aca="false">IF(COUNT(K5158:T5158)=0,"SOURCE EMPTY / INDUSTRIAL ONLY",IF(MIN(K5158:T5158)=1,"SERVICE READY","HOLD"))</f>
        <v>SOURCE EMPTY / INDUSTRIAL ONLY</v>
      </c>
      <c r="V5158" s="9" t="n">
        <f aca="false">IF(U5158="SERVICE READY",1,0)</f>
        <v>0</v>
      </c>
      <c r="W5158" s="6"/>
      <c r="X5158" s="6"/>
      <c r="Y5158" s="6"/>
      <c r="Z5158" s="6"/>
    </row>
    <row r="5159" customFormat="false" ht="15" hidden="false" customHeight="false" outlineLevel="0" collapsed="false">
      <c r="A5159" s="9" t="s">
        <v>5464</v>
      </c>
      <c r="B5159" s="9" t="s">
        <v>5446</v>
      </c>
      <c r="C5159" s="9" t="s">
        <v>5447</v>
      </c>
      <c r="D5159" s="9" t="s">
        <v>4731</v>
      </c>
      <c r="E5159" s="9" t="s">
        <v>323</v>
      </c>
      <c r="F5159" s="9" t="s">
        <v>205</v>
      </c>
      <c r="G5159" s="9" t="s">
        <v>201</v>
      </c>
      <c r="H5159" s="9" t="n">
        <v>1000</v>
      </c>
      <c r="I5159" s="29" t="n">
        <v>0.4</v>
      </c>
      <c r="J5159" s="9" t="n">
        <v>1</v>
      </c>
      <c r="K5159" s="30"/>
      <c r="L5159" s="30"/>
      <c r="M5159" s="30"/>
      <c r="N5159" s="30"/>
      <c r="O5159" s="30"/>
      <c r="P5159" s="30"/>
      <c r="Q5159" s="30"/>
      <c r="R5159" s="30"/>
      <c r="S5159" s="30"/>
      <c r="T5159" s="30"/>
      <c r="U5159" s="21" t="str">
        <f aca="false">IF(COUNT(K5159:T5159)=0,"SOURCE EMPTY / INDUSTRIAL ONLY",IF(MIN(K5159:T5159)=1,"SERVICE READY","HOLD"))</f>
        <v>SOURCE EMPTY / INDUSTRIAL ONLY</v>
      </c>
      <c r="V5159" s="9" t="n">
        <f aca="false">IF(U5159="SERVICE READY",1,0)</f>
        <v>0</v>
      </c>
      <c r="W5159" s="6"/>
      <c r="X5159" s="6"/>
      <c r="Y5159" s="6"/>
      <c r="Z5159" s="6"/>
    </row>
    <row r="5160" customFormat="false" ht="15" hidden="false" customHeight="false" outlineLevel="0" collapsed="false">
      <c r="A5160" s="9" t="s">
        <v>5465</v>
      </c>
      <c r="B5160" s="9" t="s">
        <v>5446</v>
      </c>
      <c r="C5160" s="9" t="s">
        <v>5447</v>
      </c>
      <c r="D5160" s="9" t="s">
        <v>4731</v>
      </c>
      <c r="E5160" s="9" t="s">
        <v>323</v>
      </c>
      <c r="F5160" s="9" t="s">
        <v>207</v>
      </c>
      <c r="G5160" s="9" t="s">
        <v>198</v>
      </c>
      <c r="H5160" s="9" t="n">
        <v>1000</v>
      </c>
      <c r="I5160" s="29" t="n">
        <v>0.4</v>
      </c>
      <c r="J5160" s="9" t="n">
        <v>1</v>
      </c>
      <c r="K5160" s="30"/>
      <c r="L5160" s="30"/>
      <c r="M5160" s="30"/>
      <c r="N5160" s="30"/>
      <c r="O5160" s="30"/>
      <c r="P5160" s="30"/>
      <c r="Q5160" s="30"/>
      <c r="R5160" s="30"/>
      <c r="S5160" s="30"/>
      <c r="T5160" s="30"/>
      <c r="U5160" s="21" t="str">
        <f aca="false">IF(COUNT(K5160:T5160)=0,"SOURCE EMPTY / INDUSTRIAL ONLY",IF(MIN(K5160:T5160)=1,"SERVICE READY","HOLD"))</f>
        <v>SOURCE EMPTY / INDUSTRIAL ONLY</v>
      </c>
      <c r="V5160" s="9" t="n">
        <f aca="false">IF(U5160="SERVICE READY",1,0)</f>
        <v>0</v>
      </c>
      <c r="W5160" s="6"/>
      <c r="X5160" s="6"/>
      <c r="Y5160" s="6"/>
      <c r="Z5160" s="6"/>
    </row>
    <row r="5161" customFormat="false" ht="15" hidden="false" customHeight="false" outlineLevel="0" collapsed="false">
      <c r="A5161" s="9" t="s">
        <v>5466</v>
      </c>
      <c r="B5161" s="9" t="s">
        <v>5446</v>
      </c>
      <c r="C5161" s="9" t="s">
        <v>5447</v>
      </c>
      <c r="D5161" s="9" t="s">
        <v>4731</v>
      </c>
      <c r="E5161" s="9" t="s">
        <v>323</v>
      </c>
      <c r="F5161" s="9" t="s">
        <v>209</v>
      </c>
      <c r="G5161" s="9" t="s">
        <v>201</v>
      </c>
      <c r="H5161" s="9" t="n">
        <v>1000</v>
      </c>
      <c r="I5161" s="29" t="n">
        <v>0.4</v>
      </c>
      <c r="J5161" s="9" t="n">
        <v>1</v>
      </c>
      <c r="K5161" s="30"/>
      <c r="L5161" s="30"/>
      <c r="M5161" s="30"/>
      <c r="N5161" s="30"/>
      <c r="O5161" s="30"/>
      <c r="P5161" s="30"/>
      <c r="Q5161" s="30"/>
      <c r="R5161" s="30"/>
      <c r="S5161" s="30"/>
      <c r="T5161" s="30"/>
      <c r="U5161" s="21" t="str">
        <f aca="false">IF(COUNT(K5161:T5161)=0,"SOURCE EMPTY / INDUSTRIAL ONLY",IF(MIN(K5161:T5161)=1,"SERVICE READY","HOLD"))</f>
        <v>SOURCE EMPTY / INDUSTRIAL ONLY</v>
      </c>
      <c r="V5161" s="9" t="n">
        <f aca="false">IF(U5161="SERVICE READY",1,0)</f>
        <v>0</v>
      </c>
      <c r="W5161" s="6"/>
      <c r="X5161" s="6"/>
      <c r="Y5161" s="6"/>
      <c r="Z5161" s="6"/>
    </row>
    <row r="5162" customFormat="false" ht="15" hidden="false" customHeight="false" outlineLevel="0" collapsed="false">
      <c r="A5162" s="9" t="s">
        <v>5467</v>
      </c>
      <c r="B5162" s="9" t="s">
        <v>5446</v>
      </c>
      <c r="C5162" s="9" t="s">
        <v>5447</v>
      </c>
      <c r="D5162" s="9" t="s">
        <v>4731</v>
      </c>
      <c r="E5162" s="9" t="s">
        <v>323</v>
      </c>
      <c r="F5162" s="9" t="s">
        <v>211</v>
      </c>
      <c r="G5162" s="9" t="s">
        <v>198</v>
      </c>
      <c r="H5162" s="9" t="n">
        <v>1000</v>
      </c>
      <c r="I5162" s="29" t="n">
        <v>0.4</v>
      </c>
      <c r="J5162" s="9" t="n">
        <v>1</v>
      </c>
      <c r="K5162" s="30"/>
      <c r="L5162" s="30"/>
      <c r="M5162" s="30"/>
      <c r="N5162" s="30"/>
      <c r="O5162" s="30"/>
      <c r="P5162" s="30"/>
      <c r="Q5162" s="30"/>
      <c r="R5162" s="30"/>
      <c r="S5162" s="30"/>
      <c r="T5162" s="30"/>
      <c r="U5162" s="21" t="str">
        <f aca="false">IF(COUNT(K5162:T5162)=0,"SOURCE EMPTY / INDUSTRIAL ONLY",IF(MIN(K5162:T5162)=1,"SERVICE READY","HOLD"))</f>
        <v>SOURCE EMPTY / INDUSTRIAL ONLY</v>
      </c>
      <c r="V5162" s="9" t="n">
        <f aca="false">IF(U5162="SERVICE READY",1,0)</f>
        <v>0</v>
      </c>
      <c r="W5162" s="6"/>
      <c r="X5162" s="6"/>
      <c r="Y5162" s="6"/>
      <c r="Z5162" s="6"/>
    </row>
    <row r="5163" customFormat="false" ht="15" hidden="false" customHeight="false" outlineLevel="0" collapsed="false">
      <c r="A5163" s="9" t="s">
        <v>5468</v>
      </c>
      <c r="B5163" s="9" t="s">
        <v>5446</v>
      </c>
      <c r="C5163" s="9" t="s">
        <v>5447</v>
      </c>
      <c r="D5163" s="9" t="s">
        <v>4731</v>
      </c>
      <c r="E5163" s="9" t="s">
        <v>323</v>
      </c>
      <c r="F5163" s="9" t="s">
        <v>197</v>
      </c>
      <c r="G5163" s="9" t="s">
        <v>201</v>
      </c>
      <c r="H5163" s="9" t="n">
        <v>1000</v>
      </c>
      <c r="I5163" s="29" t="n">
        <v>0.4</v>
      </c>
      <c r="J5163" s="9" t="n">
        <v>1</v>
      </c>
      <c r="K5163" s="30"/>
      <c r="L5163" s="30"/>
      <c r="M5163" s="30"/>
      <c r="N5163" s="30"/>
      <c r="O5163" s="30"/>
      <c r="P5163" s="30"/>
      <c r="Q5163" s="30"/>
      <c r="R5163" s="30"/>
      <c r="S5163" s="30"/>
      <c r="T5163" s="30"/>
      <c r="U5163" s="21" t="str">
        <f aca="false">IF(COUNT(K5163:T5163)=0,"SOURCE EMPTY / INDUSTRIAL ONLY",IF(MIN(K5163:T5163)=1,"SERVICE READY","HOLD"))</f>
        <v>SOURCE EMPTY / INDUSTRIAL ONLY</v>
      </c>
      <c r="V5163" s="9" t="n">
        <f aca="false">IF(U5163="SERVICE READY",1,0)</f>
        <v>0</v>
      </c>
      <c r="W5163" s="6"/>
      <c r="X5163" s="6"/>
      <c r="Y5163" s="6"/>
      <c r="Z5163" s="6"/>
    </row>
    <row r="5164" customFormat="false" ht="15" hidden="false" customHeight="false" outlineLevel="0" collapsed="false">
      <c r="A5164" s="9" t="s">
        <v>5469</v>
      </c>
      <c r="B5164" s="9" t="s">
        <v>5446</v>
      </c>
      <c r="C5164" s="9" t="s">
        <v>5447</v>
      </c>
      <c r="D5164" s="9" t="s">
        <v>4731</v>
      </c>
      <c r="E5164" s="9" t="s">
        <v>323</v>
      </c>
      <c r="F5164" s="9" t="s">
        <v>200</v>
      </c>
      <c r="G5164" s="9" t="s">
        <v>198</v>
      </c>
      <c r="H5164" s="9" t="n">
        <v>1000</v>
      </c>
      <c r="I5164" s="29" t="n">
        <v>0.4</v>
      </c>
      <c r="J5164" s="9" t="n">
        <v>1</v>
      </c>
      <c r="K5164" s="30"/>
      <c r="L5164" s="30"/>
      <c r="M5164" s="30"/>
      <c r="N5164" s="30"/>
      <c r="O5164" s="30"/>
      <c r="P5164" s="30"/>
      <c r="Q5164" s="30"/>
      <c r="R5164" s="30"/>
      <c r="S5164" s="30"/>
      <c r="T5164" s="30"/>
      <c r="U5164" s="21" t="str">
        <f aca="false">IF(COUNT(K5164:T5164)=0,"SOURCE EMPTY / INDUSTRIAL ONLY",IF(MIN(K5164:T5164)=1,"SERVICE READY","HOLD"))</f>
        <v>SOURCE EMPTY / INDUSTRIAL ONLY</v>
      </c>
      <c r="V5164" s="9" t="n">
        <f aca="false">IF(U5164="SERVICE READY",1,0)</f>
        <v>0</v>
      </c>
      <c r="W5164" s="6"/>
      <c r="X5164" s="6"/>
      <c r="Y5164" s="6"/>
      <c r="Z5164" s="6"/>
    </row>
    <row r="5165" customFormat="false" ht="15" hidden="false" customHeight="false" outlineLevel="0" collapsed="false">
      <c r="A5165" s="9" t="s">
        <v>5470</v>
      </c>
      <c r="B5165" s="9" t="s">
        <v>5446</v>
      </c>
      <c r="C5165" s="9" t="s">
        <v>5447</v>
      </c>
      <c r="D5165" s="9" t="s">
        <v>4731</v>
      </c>
      <c r="E5165" s="9" t="s">
        <v>323</v>
      </c>
      <c r="F5165" s="9" t="s">
        <v>203</v>
      </c>
      <c r="G5165" s="9" t="s">
        <v>201</v>
      </c>
      <c r="H5165" s="9" t="n">
        <v>1000</v>
      </c>
      <c r="I5165" s="29" t="n">
        <v>0.4</v>
      </c>
      <c r="J5165" s="9" t="n">
        <v>1</v>
      </c>
      <c r="K5165" s="30"/>
      <c r="L5165" s="30"/>
      <c r="M5165" s="30"/>
      <c r="N5165" s="30"/>
      <c r="O5165" s="30"/>
      <c r="P5165" s="30"/>
      <c r="Q5165" s="30"/>
      <c r="R5165" s="30"/>
      <c r="S5165" s="30"/>
      <c r="T5165" s="30"/>
      <c r="U5165" s="21" t="str">
        <f aca="false">IF(COUNT(K5165:T5165)=0,"SOURCE EMPTY / INDUSTRIAL ONLY",IF(MIN(K5165:T5165)=1,"SERVICE READY","HOLD"))</f>
        <v>SOURCE EMPTY / INDUSTRIAL ONLY</v>
      </c>
      <c r="V5165" s="9" t="n">
        <f aca="false">IF(U5165="SERVICE READY",1,0)</f>
        <v>0</v>
      </c>
      <c r="W5165" s="6"/>
      <c r="X5165" s="6"/>
      <c r="Y5165" s="6"/>
      <c r="Z5165" s="6"/>
    </row>
    <row r="5166" customFormat="false" ht="15" hidden="false" customHeight="false" outlineLevel="0" collapsed="false">
      <c r="A5166" s="9" t="s">
        <v>5471</v>
      </c>
      <c r="B5166" s="9" t="s">
        <v>5446</v>
      </c>
      <c r="C5166" s="9" t="s">
        <v>5447</v>
      </c>
      <c r="D5166" s="9" t="s">
        <v>4731</v>
      </c>
      <c r="E5166" s="9" t="s">
        <v>323</v>
      </c>
      <c r="F5166" s="9" t="s">
        <v>205</v>
      </c>
      <c r="G5166" s="9" t="s">
        <v>198</v>
      </c>
      <c r="H5166" s="9" t="n">
        <v>1000</v>
      </c>
      <c r="I5166" s="29" t="n">
        <v>0.4</v>
      </c>
      <c r="J5166" s="9" t="n">
        <v>1</v>
      </c>
      <c r="K5166" s="30"/>
      <c r="L5166" s="30"/>
      <c r="M5166" s="30"/>
      <c r="N5166" s="30"/>
      <c r="O5166" s="30"/>
      <c r="P5166" s="30"/>
      <c r="Q5166" s="30"/>
      <c r="R5166" s="30"/>
      <c r="S5166" s="30"/>
      <c r="T5166" s="30"/>
      <c r="U5166" s="21" t="str">
        <f aca="false">IF(COUNT(K5166:T5166)=0,"SOURCE EMPTY / INDUSTRIAL ONLY",IF(MIN(K5166:T5166)=1,"SERVICE READY","HOLD"))</f>
        <v>SOURCE EMPTY / INDUSTRIAL ONLY</v>
      </c>
      <c r="V5166" s="9" t="n">
        <f aca="false">IF(U5166="SERVICE READY",1,0)</f>
        <v>0</v>
      </c>
      <c r="W5166" s="6"/>
      <c r="X5166" s="6"/>
      <c r="Y5166" s="6"/>
      <c r="Z5166" s="6"/>
    </row>
    <row r="5167" customFormat="false" ht="15" hidden="false" customHeight="false" outlineLevel="0" collapsed="false">
      <c r="A5167" s="9" t="s">
        <v>5472</v>
      </c>
      <c r="B5167" s="9" t="s">
        <v>5446</v>
      </c>
      <c r="C5167" s="9" t="s">
        <v>5447</v>
      </c>
      <c r="D5167" s="9" t="s">
        <v>4731</v>
      </c>
      <c r="E5167" s="9" t="s">
        <v>323</v>
      </c>
      <c r="F5167" s="9" t="s">
        <v>207</v>
      </c>
      <c r="G5167" s="9" t="s">
        <v>201</v>
      </c>
      <c r="H5167" s="9" t="n">
        <v>1000</v>
      </c>
      <c r="I5167" s="29" t="n">
        <v>0.4</v>
      </c>
      <c r="J5167" s="9" t="n">
        <v>1</v>
      </c>
      <c r="K5167" s="30"/>
      <c r="L5167" s="30"/>
      <c r="M5167" s="30"/>
      <c r="N5167" s="30"/>
      <c r="O5167" s="30"/>
      <c r="P5167" s="30"/>
      <c r="Q5167" s="30"/>
      <c r="R5167" s="30"/>
      <c r="S5167" s="30"/>
      <c r="T5167" s="30"/>
      <c r="U5167" s="21" t="str">
        <f aca="false">IF(COUNT(K5167:T5167)=0,"SOURCE EMPTY / INDUSTRIAL ONLY",IF(MIN(K5167:T5167)=1,"SERVICE READY","HOLD"))</f>
        <v>SOURCE EMPTY / INDUSTRIAL ONLY</v>
      </c>
      <c r="V5167" s="9" t="n">
        <f aca="false">IF(U5167="SERVICE READY",1,0)</f>
        <v>0</v>
      </c>
      <c r="W5167" s="6"/>
      <c r="X5167" s="6"/>
      <c r="Y5167" s="6"/>
      <c r="Z5167" s="6"/>
    </row>
    <row r="5168" customFormat="false" ht="15" hidden="false" customHeight="false" outlineLevel="0" collapsed="false">
      <c r="A5168" s="9" t="s">
        <v>5473</v>
      </c>
      <c r="B5168" s="9" t="s">
        <v>5446</v>
      </c>
      <c r="C5168" s="9" t="s">
        <v>5447</v>
      </c>
      <c r="D5168" s="9" t="s">
        <v>4731</v>
      </c>
      <c r="E5168" s="9" t="s">
        <v>323</v>
      </c>
      <c r="F5168" s="9" t="s">
        <v>209</v>
      </c>
      <c r="G5168" s="9" t="s">
        <v>198</v>
      </c>
      <c r="H5168" s="9" t="n">
        <v>1000</v>
      </c>
      <c r="I5168" s="29" t="n">
        <v>0.4</v>
      </c>
      <c r="J5168" s="9" t="n">
        <v>1</v>
      </c>
      <c r="K5168" s="30"/>
      <c r="L5168" s="30"/>
      <c r="M5168" s="30"/>
      <c r="N5168" s="30"/>
      <c r="O5168" s="30"/>
      <c r="P5168" s="30"/>
      <c r="Q5168" s="30"/>
      <c r="R5168" s="30"/>
      <c r="S5168" s="30"/>
      <c r="T5168" s="30"/>
      <c r="U5168" s="21" t="str">
        <f aca="false">IF(COUNT(K5168:T5168)=0,"SOURCE EMPTY / INDUSTRIAL ONLY",IF(MIN(K5168:T5168)=1,"SERVICE READY","HOLD"))</f>
        <v>SOURCE EMPTY / INDUSTRIAL ONLY</v>
      </c>
      <c r="V5168" s="9" t="n">
        <f aca="false">IF(U5168="SERVICE READY",1,0)</f>
        <v>0</v>
      </c>
      <c r="W5168" s="6"/>
      <c r="X5168" s="6"/>
      <c r="Y5168" s="6"/>
      <c r="Z5168" s="6"/>
    </row>
    <row r="5169" customFormat="false" ht="15" hidden="false" customHeight="false" outlineLevel="0" collapsed="false">
      <c r="A5169" s="9" t="s">
        <v>5474</v>
      </c>
      <c r="B5169" s="9" t="s">
        <v>5446</v>
      </c>
      <c r="C5169" s="9" t="s">
        <v>5447</v>
      </c>
      <c r="D5169" s="9" t="s">
        <v>4731</v>
      </c>
      <c r="E5169" s="9" t="s">
        <v>323</v>
      </c>
      <c r="F5169" s="9" t="s">
        <v>211</v>
      </c>
      <c r="G5169" s="9" t="s">
        <v>201</v>
      </c>
      <c r="H5169" s="9" t="n">
        <v>1000</v>
      </c>
      <c r="I5169" s="29" t="n">
        <v>0.4</v>
      </c>
      <c r="J5169" s="9" t="n">
        <v>1</v>
      </c>
      <c r="K5169" s="30"/>
      <c r="L5169" s="30"/>
      <c r="M5169" s="30"/>
      <c r="N5169" s="30"/>
      <c r="O5169" s="30"/>
      <c r="P5169" s="30"/>
      <c r="Q5169" s="30"/>
      <c r="R5169" s="30"/>
      <c r="S5169" s="30"/>
      <c r="T5169" s="30"/>
      <c r="U5169" s="21" t="str">
        <f aca="false">IF(COUNT(K5169:T5169)=0,"SOURCE EMPTY / INDUSTRIAL ONLY",IF(MIN(K5169:T5169)=1,"SERVICE READY","HOLD"))</f>
        <v>SOURCE EMPTY / INDUSTRIAL ONLY</v>
      </c>
      <c r="V5169" s="9" t="n">
        <f aca="false">IF(U5169="SERVICE READY",1,0)</f>
        <v>0</v>
      </c>
      <c r="W5169" s="6"/>
      <c r="X5169" s="6"/>
      <c r="Y5169" s="6"/>
      <c r="Z5169" s="6"/>
    </row>
    <row r="5170" customFormat="false" ht="15" hidden="false" customHeight="false" outlineLevel="0" collapsed="false">
      <c r="A5170" s="9" t="s">
        <v>5475</v>
      </c>
      <c r="B5170" s="9" t="s">
        <v>5446</v>
      </c>
      <c r="C5170" s="9" t="s">
        <v>5447</v>
      </c>
      <c r="D5170" s="9" t="s">
        <v>4731</v>
      </c>
      <c r="E5170" s="9" t="s">
        <v>323</v>
      </c>
      <c r="F5170" s="9" t="s">
        <v>197</v>
      </c>
      <c r="G5170" s="9" t="s">
        <v>198</v>
      </c>
      <c r="H5170" s="9" t="n">
        <v>1000</v>
      </c>
      <c r="I5170" s="29" t="n">
        <v>0.4</v>
      </c>
      <c r="J5170" s="9" t="n">
        <v>1</v>
      </c>
      <c r="K5170" s="30"/>
      <c r="L5170" s="30"/>
      <c r="M5170" s="30"/>
      <c r="N5170" s="30"/>
      <c r="O5170" s="30"/>
      <c r="P5170" s="30"/>
      <c r="Q5170" s="30"/>
      <c r="R5170" s="30"/>
      <c r="S5170" s="30"/>
      <c r="T5170" s="30"/>
      <c r="U5170" s="21" t="str">
        <f aca="false">IF(COUNT(K5170:T5170)=0,"SOURCE EMPTY / INDUSTRIAL ONLY",IF(MIN(K5170:T5170)=1,"SERVICE READY","HOLD"))</f>
        <v>SOURCE EMPTY / INDUSTRIAL ONLY</v>
      </c>
      <c r="V5170" s="9" t="n">
        <f aca="false">IF(U5170="SERVICE READY",1,0)</f>
        <v>0</v>
      </c>
      <c r="W5170" s="6"/>
      <c r="X5170" s="6"/>
      <c r="Y5170" s="6"/>
      <c r="Z5170" s="6"/>
    </row>
    <row r="5171" customFormat="false" ht="15" hidden="false" customHeight="false" outlineLevel="0" collapsed="false">
      <c r="A5171" s="9" t="s">
        <v>5476</v>
      </c>
      <c r="B5171" s="9" t="s">
        <v>5446</v>
      </c>
      <c r="C5171" s="9" t="s">
        <v>5447</v>
      </c>
      <c r="D5171" s="9" t="s">
        <v>4731</v>
      </c>
      <c r="E5171" s="9" t="s">
        <v>323</v>
      </c>
      <c r="F5171" s="9" t="s">
        <v>200</v>
      </c>
      <c r="G5171" s="9" t="s">
        <v>201</v>
      </c>
      <c r="H5171" s="9" t="n">
        <v>1000</v>
      </c>
      <c r="I5171" s="29" t="n">
        <v>0.4</v>
      </c>
      <c r="J5171" s="9" t="n">
        <v>1</v>
      </c>
      <c r="K5171" s="30"/>
      <c r="L5171" s="30"/>
      <c r="M5171" s="30"/>
      <c r="N5171" s="30"/>
      <c r="O5171" s="30"/>
      <c r="P5171" s="30"/>
      <c r="Q5171" s="30"/>
      <c r="R5171" s="30"/>
      <c r="S5171" s="30"/>
      <c r="T5171" s="30"/>
      <c r="U5171" s="21" t="str">
        <f aca="false">IF(COUNT(K5171:T5171)=0,"SOURCE EMPTY / INDUSTRIAL ONLY",IF(MIN(K5171:T5171)=1,"SERVICE READY","HOLD"))</f>
        <v>SOURCE EMPTY / INDUSTRIAL ONLY</v>
      </c>
      <c r="V5171" s="9" t="n">
        <f aca="false">IF(U5171="SERVICE READY",1,0)</f>
        <v>0</v>
      </c>
      <c r="W5171" s="6"/>
      <c r="X5171" s="6"/>
      <c r="Y5171" s="6"/>
      <c r="Z5171" s="6"/>
    </row>
    <row r="5172" customFormat="false" ht="15" hidden="false" customHeight="false" outlineLevel="0" collapsed="false">
      <c r="A5172" s="9" t="s">
        <v>5477</v>
      </c>
      <c r="B5172" s="9" t="s">
        <v>5446</v>
      </c>
      <c r="C5172" s="9" t="s">
        <v>5447</v>
      </c>
      <c r="D5172" s="9" t="s">
        <v>4731</v>
      </c>
      <c r="E5172" s="9" t="s">
        <v>323</v>
      </c>
      <c r="F5172" s="9" t="s">
        <v>203</v>
      </c>
      <c r="G5172" s="9" t="s">
        <v>198</v>
      </c>
      <c r="H5172" s="9" t="n">
        <v>1000</v>
      </c>
      <c r="I5172" s="29" t="n">
        <v>0.4</v>
      </c>
      <c r="J5172" s="9" t="n">
        <v>1</v>
      </c>
      <c r="K5172" s="30"/>
      <c r="L5172" s="30"/>
      <c r="M5172" s="30"/>
      <c r="N5172" s="30"/>
      <c r="O5172" s="30"/>
      <c r="P5172" s="30"/>
      <c r="Q5172" s="30"/>
      <c r="R5172" s="30"/>
      <c r="S5172" s="30"/>
      <c r="T5172" s="30"/>
      <c r="U5172" s="21" t="str">
        <f aca="false">IF(COUNT(K5172:T5172)=0,"SOURCE EMPTY / INDUSTRIAL ONLY",IF(MIN(K5172:T5172)=1,"SERVICE READY","HOLD"))</f>
        <v>SOURCE EMPTY / INDUSTRIAL ONLY</v>
      </c>
      <c r="V5172" s="9" t="n">
        <f aca="false">IF(U5172="SERVICE READY",1,0)</f>
        <v>0</v>
      </c>
      <c r="W5172" s="6"/>
      <c r="X5172" s="6"/>
      <c r="Y5172" s="6"/>
      <c r="Z5172" s="6"/>
    </row>
    <row r="5173" customFormat="false" ht="15" hidden="false" customHeight="false" outlineLevel="0" collapsed="false">
      <c r="A5173" s="9" t="s">
        <v>5478</v>
      </c>
      <c r="B5173" s="9" t="s">
        <v>5446</v>
      </c>
      <c r="C5173" s="9" t="s">
        <v>5447</v>
      </c>
      <c r="D5173" s="9" t="s">
        <v>4731</v>
      </c>
      <c r="E5173" s="9" t="s">
        <v>323</v>
      </c>
      <c r="F5173" s="9" t="s">
        <v>205</v>
      </c>
      <c r="G5173" s="9" t="s">
        <v>201</v>
      </c>
      <c r="H5173" s="9" t="n">
        <v>1000</v>
      </c>
      <c r="I5173" s="29" t="n">
        <v>0.4</v>
      </c>
      <c r="J5173" s="9" t="n">
        <v>1</v>
      </c>
      <c r="K5173" s="30"/>
      <c r="L5173" s="30"/>
      <c r="M5173" s="30"/>
      <c r="N5173" s="30"/>
      <c r="O5173" s="30"/>
      <c r="P5173" s="30"/>
      <c r="Q5173" s="30"/>
      <c r="R5173" s="30"/>
      <c r="S5173" s="30"/>
      <c r="T5173" s="30"/>
      <c r="U5173" s="21" t="str">
        <f aca="false">IF(COUNT(K5173:T5173)=0,"SOURCE EMPTY / INDUSTRIAL ONLY",IF(MIN(K5173:T5173)=1,"SERVICE READY","HOLD"))</f>
        <v>SOURCE EMPTY / INDUSTRIAL ONLY</v>
      </c>
      <c r="V5173" s="9" t="n">
        <f aca="false">IF(U5173="SERVICE READY",1,0)</f>
        <v>0</v>
      </c>
      <c r="W5173" s="6"/>
      <c r="X5173" s="6"/>
      <c r="Y5173" s="6"/>
      <c r="Z5173" s="6"/>
    </row>
    <row r="5174" customFormat="false" ht="15" hidden="false" customHeight="false" outlineLevel="0" collapsed="false">
      <c r="A5174" s="9" t="s">
        <v>5479</v>
      </c>
      <c r="B5174" s="9" t="s">
        <v>5446</v>
      </c>
      <c r="C5174" s="9" t="s">
        <v>5447</v>
      </c>
      <c r="D5174" s="9" t="s">
        <v>4731</v>
      </c>
      <c r="E5174" s="9" t="s">
        <v>323</v>
      </c>
      <c r="F5174" s="9" t="s">
        <v>207</v>
      </c>
      <c r="G5174" s="9" t="s">
        <v>198</v>
      </c>
      <c r="H5174" s="9" t="n">
        <v>1000</v>
      </c>
      <c r="I5174" s="29" t="n">
        <v>0.4</v>
      </c>
      <c r="J5174" s="9" t="n">
        <v>1</v>
      </c>
      <c r="K5174" s="30"/>
      <c r="L5174" s="30"/>
      <c r="M5174" s="30"/>
      <c r="N5174" s="30"/>
      <c r="O5174" s="30"/>
      <c r="P5174" s="30"/>
      <c r="Q5174" s="30"/>
      <c r="R5174" s="30"/>
      <c r="S5174" s="30"/>
      <c r="T5174" s="30"/>
      <c r="U5174" s="21" t="str">
        <f aca="false">IF(COUNT(K5174:T5174)=0,"SOURCE EMPTY / INDUSTRIAL ONLY",IF(MIN(K5174:T5174)=1,"SERVICE READY","HOLD"))</f>
        <v>SOURCE EMPTY / INDUSTRIAL ONLY</v>
      </c>
      <c r="V5174" s="9" t="n">
        <f aca="false">IF(U5174="SERVICE READY",1,0)</f>
        <v>0</v>
      </c>
      <c r="W5174" s="6"/>
      <c r="X5174" s="6"/>
      <c r="Y5174" s="6"/>
      <c r="Z5174" s="6"/>
    </row>
    <row r="5175" customFormat="false" ht="15" hidden="false" customHeight="false" outlineLevel="0" collapsed="false">
      <c r="A5175" s="9" t="s">
        <v>5480</v>
      </c>
      <c r="B5175" s="9" t="s">
        <v>5446</v>
      </c>
      <c r="C5175" s="9" t="s">
        <v>5447</v>
      </c>
      <c r="D5175" s="9" t="s">
        <v>4731</v>
      </c>
      <c r="E5175" s="9" t="s">
        <v>323</v>
      </c>
      <c r="F5175" s="9" t="s">
        <v>209</v>
      </c>
      <c r="G5175" s="9" t="s">
        <v>201</v>
      </c>
      <c r="H5175" s="9" t="n">
        <v>1000</v>
      </c>
      <c r="I5175" s="29" t="n">
        <v>0.4</v>
      </c>
      <c r="J5175" s="9" t="n">
        <v>1</v>
      </c>
      <c r="K5175" s="30"/>
      <c r="L5175" s="30"/>
      <c r="M5175" s="30"/>
      <c r="N5175" s="30"/>
      <c r="O5175" s="30"/>
      <c r="P5175" s="30"/>
      <c r="Q5175" s="30"/>
      <c r="R5175" s="30"/>
      <c r="S5175" s="30"/>
      <c r="T5175" s="30"/>
      <c r="U5175" s="21" t="str">
        <f aca="false">IF(COUNT(K5175:T5175)=0,"SOURCE EMPTY / INDUSTRIAL ONLY",IF(MIN(K5175:T5175)=1,"SERVICE READY","HOLD"))</f>
        <v>SOURCE EMPTY / INDUSTRIAL ONLY</v>
      </c>
      <c r="V5175" s="9" t="n">
        <f aca="false">IF(U5175="SERVICE READY",1,0)</f>
        <v>0</v>
      </c>
      <c r="W5175" s="6"/>
      <c r="X5175" s="6"/>
      <c r="Y5175" s="6"/>
      <c r="Z5175" s="6"/>
    </row>
    <row r="5176" customFormat="false" ht="15" hidden="false" customHeight="false" outlineLevel="0" collapsed="false">
      <c r="A5176" s="9" t="s">
        <v>5481</v>
      </c>
      <c r="B5176" s="9" t="s">
        <v>5446</v>
      </c>
      <c r="C5176" s="9" t="s">
        <v>5447</v>
      </c>
      <c r="D5176" s="9" t="s">
        <v>4731</v>
      </c>
      <c r="E5176" s="9" t="s">
        <v>323</v>
      </c>
      <c r="F5176" s="9" t="s">
        <v>211</v>
      </c>
      <c r="G5176" s="9" t="s">
        <v>221</v>
      </c>
      <c r="H5176" s="9" t="n">
        <v>1000</v>
      </c>
      <c r="I5176" s="29" t="n">
        <v>0.4</v>
      </c>
      <c r="J5176" s="9" t="n">
        <v>1</v>
      </c>
      <c r="K5176" s="30"/>
      <c r="L5176" s="30"/>
      <c r="M5176" s="30"/>
      <c r="N5176" s="30"/>
      <c r="O5176" s="30"/>
      <c r="P5176" s="30"/>
      <c r="Q5176" s="30"/>
      <c r="R5176" s="30"/>
      <c r="S5176" s="30"/>
      <c r="T5176" s="30"/>
      <c r="U5176" s="21" t="str">
        <f aca="false">IF(COUNT(K5176:T5176)=0,"SOURCE EMPTY / INDUSTRIAL ONLY",IF(MIN(K5176:T5176)=1,"SERVICE READY","HOLD"))</f>
        <v>SOURCE EMPTY / INDUSTRIAL ONLY</v>
      </c>
      <c r="V5176" s="9" t="n">
        <f aca="false">IF(U5176="SERVICE READY",1,0)</f>
        <v>0</v>
      </c>
      <c r="W5176" s="6"/>
      <c r="X5176" s="6"/>
      <c r="Y5176" s="6"/>
      <c r="Z5176" s="6"/>
    </row>
    <row r="5177" customFormat="false" ht="15" hidden="false" customHeight="false" outlineLevel="0" collapsed="false">
      <c r="A5177" s="9" t="s">
        <v>5482</v>
      </c>
      <c r="B5177" s="9" t="s">
        <v>5446</v>
      </c>
      <c r="C5177" s="9" t="s">
        <v>5447</v>
      </c>
      <c r="D5177" s="9" t="s">
        <v>4731</v>
      </c>
      <c r="E5177" s="9" t="s">
        <v>323</v>
      </c>
      <c r="F5177" s="9" t="s">
        <v>197</v>
      </c>
      <c r="G5177" s="9" t="s">
        <v>221</v>
      </c>
      <c r="H5177" s="9" t="n">
        <v>1000</v>
      </c>
      <c r="I5177" s="29" t="n">
        <v>0.4</v>
      </c>
      <c r="J5177" s="9" t="n">
        <v>1</v>
      </c>
      <c r="K5177" s="30"/>
      <c r="L5177" s="30"/>
      <c r="M5177" s="30"/>
      <c r="N5177" s="30"/>
      <c r="O5177" s="30"/>
      <c r="P5177" s="30"/>
      <c r="Q5177" s="30"/>
      <c r="R5177" s="30"/>
      <c r="S5177" s="30"/>
      <c r="T5177" s="30"/>
      <c r="U5177" s="21" t="str">
        <f aca="false">IF(COUNT(K5177:T5177)=0,"SOURCE EMPTY / INDUSTRIAL ONLY",IF(MIN(K5177:T5177)=1,"SERVICE READY","HOLD"))</f>
        <v>SOURCE EMPTY / INDUSTRIAL ONLY</v>
      </c>
      <c r="V5177" s="9" t="n">
        <f aca="false">IF(U5177="SERVICE READY",1,0)</f>
        <v>0</v>
      </c>
      <c r="W5177" s="6"/>
      <c r="X5177" s="6"/>
      <c r="Y5177" s="6"/>
      <c r="Z5177" s="6"/>
    </row>
    <row r="5178" customFormat="false" ht="15" hidden="false" customHeight="false" outlineLevel="0" collapsed="false">
      <c r="A5178" s="9" t="s">
        <v>5483</v>
      </c>
      <c r="B5178" s="9" t="s">
        <v>5446</v>
      </c>
      <c r="C5178" s="9" t="s">
        <v>5447</v>
      </c>
      <c r="D5178" s="9" t="s">
        <v>4731</v>
      </c>
      <c r="E5178" s="9" t="s">
        <v>323</v>
      </c>
      <c r="F5178" s="9" t="s">
        <v>200</v>
      </c>
      <c r="G5178" s="9" t="s">
        <v>221</v>
      </c>
      <c r="H5178" s="9" t="n">
        <v>1000</v>
      </c>
      <c r="I5178" s="29" t="n">
        <v>0.4</v>
      </c>
      <c r="J5178" s="9" t="n">
        <v>1</v>
      </c>
      <c r="K5178" s="30"/>
      <c r="L5178" s="30"/>
      <c r="M5178" s="30"/>
      <c r="N5178" s="30"/>
      <c r="O5178" s="30"/>
      <c r="P5178" s="30"/>
      <c r="Q5178" s="30"/>
      <c r="R5178" s="30"/>
      <c r="S5178" s="30"/>
      <c r="T5178" s="30"/>
      <c r="U5178" s="21" t="str">
        <f aca="false">IF(COUNT(K5178:T5178)=0,"SOURCE EMPTY / INDUSTRIAL ONLY",IF(MIN(K5178:T5178)=1,"SERVICE READY","HOLD"))</f>
        <v>SOURCE EMPTY / INDUSTRIAL ONLY</v>
      </c>
      <c r="V5178" s="9" t="n">
        <f aca="false">IF(U5178="SERVICE READY",1,0)</f>
        <v>0</v>
      </c>
      <c r="W5178" s="6"/>
      <c r="X5178" s="6"/>
      <c r="Y5178" s="6"/>
      <c r="Z5178" s="6"/>
    </row>
    <row r="5179" customFormat="false" ht="15" hidden="false" customHeight="false" outlineLevel="0" collapsed="false">
      <c r="A5179" s="9" t="s">
        <v>5484</v>
      </c>
      <c r="B5179" s="9" t="s">
        <v>5446</v>
      </c>
      <c r="C5179" s="9" t="s">
        <v>5447</v>
      </c>
      <c r="D5179" s="9" t="s">
        <v>4731</v>
      </c>
      <c r="E5179" s="9" t="s">
        <v>323</v>
      </c>
      <c r="F5179" s="9" t="s">
        <v>203</v>
      </c>
      <c r="G5179" s="9" t="s">
        <v>221</v>
      </c>
      <c r="H5179" s="9" t="n">
        <v>1000</v>
      </c>
      <c r="I5179" s="29" t="n">
        <v>0.4</v>
      </c>
      <c r="J5179" s="9" t="n">
        <v>1</v>
      </c>
      <c r="K5179" s="30"/>
      <c r="L5179" s="30"/>
      <c r="M5179" s="30"/>
      <c r="N5179" s="30"/>
      <c r="O5179" s="30"/>
      <c r="P5179" s="30"/>
      <c r="Q5179" s="30"/>
      <c r="R5179" s="30"/>
      <c r="S5179" s="30"/>
      <c r="T5179" s="30"/>
      <c r="U5179" s="21" t="str">
        <f aca="false">IF(COUNT(K5179:T5179)=0,"SOURCE EMPTY / INDUSTRIAL ONLY",IF(MIN(K5179:T5179)=1,"SERVICE READY","HOLD"))</f>
        <v>SOURCE EMPTY / INDUSTRIAL ONLY</v>
      </c>
      <c r="V5179" s="9" t="n">
        <f aca="false">IF(U5179="SERVICE READY",1,0)</f>
        <v>0</v>
      </c>
      <c r="W5179" s="6"/>
      <c r="X5179" s="6"/>
      <c r="Y5179" s="6"/>
      <c r="Z5179" s="6"/>
    </row>
    <row r="5180" customFormat="false" ht="15" hidden="false" customHeight="false" outlineLevel="0" collapsed="false">
      <c r="A5180" s="9" t="s">
        <v>5485</v>
      </c>
      <c r="B5180" s="9" t="s">
        <v>5446</v>
      </c>
      <c r="C5180" s="9" t="s">
        <v>5447</v>
      </c>
      <c r="D5180" s="9" t="s">
        <v>4731</v>
      </c>
      <c r="E5180" s="9" t="s">
        <v>323</v>
      </c>
      <c r="F5180" s="9" t="s">
        <v>205</v>
      </c>
      <c r="G5180" s="9" t="s">
        <v>221</v>
      </c>
      <c r="H5180" s="9" t="n">
        <v>1000</v>
      </c>
      <c r="I5180" s="29" t="n">
        <v>0.4</v>
      </c>
      <c r="J5180" s="9" t="n">
        <v>1</v>
      </c>
      <c r="K5180" s="30"/>
      <c r="L5180" s="30"/>
      <c r="M5180" s="30"/>
      <c r="N5180" s="30"/>
      <c r="O5180" s="30"/>
      <c r="P5180" s="30"/>
      <c r="Q5180" s="30"/>
      <c r="R5180" s="30"/>
      <c r="S5180" s="30"/>
      <c r="T5180" s="30"/>
      <c r="U5180" s="21" t="str">
        <f aca="false">IF(COUNT(K5180:T5180)=0,"SOURCE EMPTY / INDUSTRIAL ONLY",IF(MIN(K5180:T5180)=1,"SERVICE READY","HOLD"))</f>
        <v>SOURCE EMPTY / INDUSTRIAL ONLY</v>
      </c>
      <c r="V5180" s="9" t="n">
        <f aca="false">IF(U5180="SERVICE READY",1,0)</f>
        <v>0</v>
      </c>
      <c r="W5180" s="6"/>
      <c r="X5180" s="6"/>
      <c r="Y5180" s="6"/>
      <c r="Z5180" s="6"/>
    </row>
    <row r="5181" customFormat="false" ht="15" hidden="false" customHeight="false" outlineLevel="0" collapsed="false">
      <c r="A5181" s="9" t="s">
        <v>5486</v>
      </c>
      <c r="B5181" s="9" t="s">
        <v>5446</v>
      </c>
      <c r="C5181" s="9" t="s">
        <v>5447</v>
      </c>
      <c r="D5181" s="9" t="s">
        <v>4731</v>
      </c>
      <c r="E5181" s="9" t="s">
        <v>323</v>
      </c>
      <c r="F5181" s="9" t="s">
        <v>207</v>
      </c>
      <c r="G5181" s="9" t="s">
        <v>221</v>
      </c>
      <c r="H5181" s="9" t="n">
        <v>1000</v>
      </c>
      <c r="I5181" s="29" t="n">
        <v>0.4</v>
      </c>
      <c r="J5181" s="9" t="n">
        <v>1</v>
      </c>
      <c r="K5181" s="30"/>
      <c r="L5181" s="30"/>
      <c r="M5181" s="30"/>
      <c r="N5181" s="30"/>
      <c r="O5181" s="30"/>
      <c r="P5181" s="30"/>
      <c r="Q5181" s="30"/>
      <c r="R5181" s="30"/>
      <c r="S5181" s="30"/>
      <c r="T5181" s="30"/>
      <c r="U5181" s="21" t="str">
        <f aca="false">IF(COUNT(K5181:T5181)=0,"SOURCE EMPTY / INDUSTRIAL ONLY",IF(MIN(K5181:T5181)=1,"SERVICE READY","HOLD"))</f>
        <v>SOURCE EMPTY / INDUSTRIAL ONLY</v>
      </c>
      <c r="V5181" s="9" t="n">
        <f aca="false">IF(U5181="SERVICE READY",1,0)</f>
        <v>0</v>
      </c>
      <c r="W5181" s="6"/>
      <c r="X5181" s="6"/>
      <c r="Y5181" s="6"/>
      <c r="Z5181" s="6"/>
    </row>
    <row r="5182" customFormat="false" ht="15" hidden="false" customHeight="false" outlineLevel="0" collapsed="false">
      <c r="A5182" s="9" t="s">
        <v>5487</v>
      </c>
      <c r="B5182" s="9" t="s">
        <v>5446</v>
      </c>
      <c r="C5182" s="9" t="s">
        <v>5447</v>
      </c>
      <c r="D5182" s="9" t="s">
        <v>4731</v>
      </c>
      <c r="E5182" s="9" t="s">
        <v>323</v>
      </c>
      <c r="F5182" s="9" t="s">
        <v>209</v>
      </c>
      <c r="G5182" s="9" t="s">
        <v>221</v>
      </c>
      <c r="H5182" s="9" t="n">
        <v>1000</v>
      </c>
      <c r="I5182" s="29" t="n">
        <v>0.4</v>
      </c>
      <c r="J5182" s="9" t="n">
        <v>1</v>
      </c>
      <c r="K5182" s="30"/>
      <c r="L5182" s="30"/>
      <c r="M5182" s="30"/>
      <c r="N5182" s="30"/>
      <c r="O5182" s="30"/>
      <c r="P5182" s="30"/>
      <c r="Q5182" s="30"/>
      <c r="R5182" s="30"/>
      <c r="S5182" s="30"/>
      <c r="T5182" s="30"/>
      <c r="U5182" s="21" t="str">
        <f aca="false">IF(COUNT(K5182:T5182)=0,"SOURCE EMPTY / INDUSTRIAL ONLY",IF(MIN(K5182:T5182)=1,"SERVICE READY","HOLD"))</f>
        <v>SOURCE EMPTY / INDUSTRIAL ONLY</v>
      </c>
      <c r="V5182" s="9" t="n">
        <f aca="false">IF(U5182="SERVICE READY",1,0)</f>
        <v>0</v>
      </c>
      <c r="W5182" s="6"/>
      <c r="X5182" s="6"/>
      <c r="Y5182" s="6"/>
      <c r="Z5182" s="6"/>
    </row>
    <row r="5183" customFormat="false" ht="15" hidden="false" customHeight="false" outlineLevel="0" collapsed="false">
      <c r="A5183" s="9" t="s">
        <v>5488</v>
      </c>
      <c r="B5183" s="9" t="s">
        <v>5446</v>
      </c>
      <c r="C5183" s="9" t="s">
        <v>5447</v>
      </c>
      <c r="D5183" s="9" t="s">
        <v>4731</v>
      </c>
      <c r="E5183" s="9" t="s">
        <v>323</v>
      </c>
      <c r="F5183" s="9" t="s">
        <v>211</v>
      </c>
      <c r="G5183" s="9" t="s">
        <v>221</v>
      </c>
      <c r="H5183" s="9" t="n">
        <v>1000</v>
      </c>
      <c r="I5183" s="29" t="n">
        <v>0.4</v>
      </c>
      <c r="J5183" s="9" t="n">
        <v>1</v>
      </c>
      <c r="K5183" s="30"/>
      <c r="L5183" s="30"/>
      <c r="M5183" s="30"/>
      <c r="N5183" s="30"/>
      <c r="O5183" s="30"/>
      <c r="P5183" s="30"/>
      <c r="Q5183" s="30"/>
      <c r="R5183" s="30"/>
      <c r="S5183" s="30"/>
      <c r="T5183" s="30"/>
      <c r="U5183" s="21" t="str">
        <f aca="false">IF(COUNT(K5183:T5183)=0,"SOURCE EMPTY / INDUSTRIAL ONLY",IF(MIN(K5183:T5183)=1,"SERVICE READY","HOLD"))</f>
        <v>SOURCE EMPTY / INDUSTRIAL ONLY</v>
      </c>
      <c r="V5183" s="9" t="n">
        <f aca="false">IF(U5183="SERVICE READY",1,0)</f>
        <v>0</v>
      </c>
      <c r="W5183" s="6"/>
      <c r="X5183" s="6"/>
      <c r="Y5183" s="6"/>
      <c r="Z5183" s="6"/>
    </row>
    <row r="5184" customFormat="false" ht="15" hidden="false" customHeight="false" outlineLevel="0" collapsed="false">
      <c r="A5184" s="9" t="s">
        <v>5489</v>
      </c>
      <c r="B5184" s="9" t="s">
        <v>5446</v>
      </c>
      <c r="C5184" s="9" t="s">
        <v>5447</v>
      </c>
      <c r="D5184" s="9" t="s">
        <v>4731</v>
      </c>
      <c r="E5184" s="9" t="s">
        <v>323</v>
      </c>
      <c r="F5184" s="9" t="s">
        <v>197</v>
      </c>
      <c r="G5184" s="9" t="s">
        <v>221</v>
      </c>
      <c r="H5184" s="9" t="n">
        <v>1000</v>
      </c>
      <c r="I5184" s="29" t="n">
        <v>0.4</v>
      </c>
      <c r="J5184" s="9" t="n">
        <v>1</v>
      </c>
      <c r="K5184" s="30"/>
      <c r="L5184" s="30"/>
      <c r="M5184" s="30"/>
      <c r="N5184" s="30"/>
      <c r="O5184" s="30"/>
      <c r="P5184" s="30"/>
      <c r="Q5184" s="30"/>
      <c r="R5184" s="30"/>
      <c r="S5184" s="30"/>
      <c r="T5184" s="30"/>
      <c r="U5184" s="21" t="str">
        <f aca="false">IF(COUNT(K5184:T5184)=0,"SOURCE EMPTY / INDUSTRIAL ONLY",IF(MIN(K5184:T5184)=1,"SERVICE READY","HOLD"))</f>
        <v>SOURCE EMPTY / INDUSTRIAL ONLY</v>
      </c>
      <c r="V5184" s="9" t="n">
        <f aca="false">IF(U5184="SERVICE READY",1,0)</f>
        <v>0</v>
      </c>
      <c r="W5184" s="6"/>
      <c r="X5184" s="6"/>
      <c r="Y5184" s="6"/>
      <c r="Z5184" s="6"/>
    </row>
    <row r="5185" customFormat="false" ht="15" hidden="false" customHeight="false" outlineLevel="0" collapsed="false">
      <c r="A5185" s="9" t="s">
        <v>5490</v>
      </c>
      <c r="B5185" s="9" t="s">
        <v>5446</v>
      </c>
      <c r="C5185" s="9" t="s">
        <v>5447</v>
      </c>
      <c r="D5185" s="9" t="s">
        <v>4731</v>
      </c>
      <c r="E5185" s="9" t="s">
        <v>323</v>
      </c>
      <c r="F5185" s="9" t="s">
        <v>200</v>
      </c>
      <c r="G5185" s="9" t="s">
        <v>221</v>
      </c>
      <c r="H5185" s="9" t="n">
        <v>1000</v>
      </c>
      <c r="I5185" s="29" t="n">
        <v>0.4</v>
      </c>
      <c r="J5185" s="9" t="n">
        <v>1</v>
      </c>
      <c r="K5185" s="30"/>
      <c r="L5185" s="30"/>
      <c r="M5185" s="30"/>
      <c r="N5185" s="30"/>
      <c r="O5185" s="30"/>
      <c r="P5185" s="30"/>
      <c r="Q5185" s="30"/>
      <c r="R5185" s="30"/>
      <c r="S5185" s="30"/>
      <c r="T5185" s="30"/>
      <c r="U5185" s="21" t="str">
        <f aca="false">IF(COUNT(K5185:T5185)=0,"SOURCE EMPTY / INDUSTRIAL ONLY",IF(MIN(K5185:T5185)=1,"SERVICE READY","HOLD"))</f>
        <v>SOURCE EMPTY / INDUSTRIAL ONLY</v>
      </c>
      <c r="V5185" s="9" t="n">
        <f aca="false">IF(U5185="SERVICE READY",1,0)</f>
        <v>0</v>
      </c>
      <c r="W5185" s="6"/>
      <c r="X5185" s="6"/>
      <c r="Y5185" s="6"/>
      <c r="Z5185" s="6"/>
    </row>
    <row r="5186" customFormat="false" ht="15" hidden="false" customHeight="false" outlineLevel="0" collapsed="false">
      <c r="A5186" s="9" t="s">
        <v>5491</v>
      </c>
      <c r="B5186" s="9" t="s">
        <v>5446</v>
      </c>
      <c r="C5186" s="9" t="s">
        <v>5447</v>
      </c>
      <c r="D5186" s="9" t="s">
        <v>4731</v>
      </c>
      <c r="E5186" s="9" t="s">
        <v>323</v>
      </c>
      <c r="F5186" s="9" t="s">
        <v>203</v>
      </c>
      <c r="G5186" s="9" t="s">
        <v>221</v>
      </c>
      <c r="H5186" s="9" t="n">
        <v>1000</v>
      </c>
      <c r="I5186" s="29" t="n">
        <v>0.4</v>
      </c>
      <c r="J5186" s="9" t="n">
        <v>1</v>
      </c>
      <c r="K5186" s="30"/>
      <c r="L5186" s="30"/>
      <c r="M5186" s="30"/>
      <c r="N5186" s="30"/>
      <c r="O5186" s="30"/>
      <c r="P5186" s="30"/>
      <c r="Q5186" s="30"/>
      <c r="R5186" s="30"/>
      <c r="S5186" s="30"/>
      <c r="T5186" s="30"/>
      <c r="U5186" s="21" t="str">
        <f aca="false">IF(COUNT(K5186:T5186)=0,"SOURCE EMPTY / INDUSTRIAL ONLY",IF(MIN(K5186:T5186)=1,"SERVICE READY","HOLD"))</f>
        <v>SOURCE EMPTY / INDUSTRIAL ONLY</v>
      </c>
      <c r="V5186" s="9" t="n">
        <f aca="false">IF(U5186="SERVICE READY",1,0)</f>
        <v>0</v>
      </c>
      <c r="W5186" s="6"/>
      <c r="X5186" s="6"/>
      <c r="Y5186" s="6"/>
      <c r="Z5186" s="6"/>
    </row>
    <row r="5187" customFormat="false" ht="15" hidden="false" customHeight="false" outlineLevel="0" collapsed="false">
      <c r="A5187" s="9" t="s">
        <v>5492</v>
      </c>
      <c r="B5187" s="9" t="s">
        <v>5446</v>
      </c>
      <c r="C5187" s="9" t="s">
        <v>5447</v>
      </c>
      <c r="D5187" s="9" t="s">
        <v>4731</v>
      </c>
      <c r="E5187" s="9" t="s">
        <v>323</v>
      </c>
      <c r="F5187" s="9" t="s">
        <v>205</v>
      </c>
      <c r="G5187" s="9" t="s">
        <v>221</v>
      </c>
      <c r="H5187" s="9" t="n">
        <v>1000</v>
      </c>
      <c r="I5187" s="29" t="n">
        <v>0.4</v>
      </c>
      <c r="J5187" s="9" t="n">
        <v>1</v>
      </c>
      <c r="K5187" s="30"/>
      <c r="L5187" s="30"/>
      <c r="M5187" s="30"/>
      <c r="N5187" s="30"/>
      <c r="O5187" s="30"/>
      <c r="P5187" s="30"/>
      <c r="Q5187" s="30"/>
      <c r="R5187" s="30"/>
      <c r="S5187" s="30"/>
      <c r="T5187" s="30"/>
      <c r="U5187" s="21" t="str">
        <f aca="false">IF(COUNT(K5187:T5187)=0,"SOURCE EMPTY / INDUSTRIAL ONLY",IF(MIN(K5187:T5187)=1,"SERVICE READY","HOLD"))</f>
        <v>SOURCE EMPTY / INDUSTRIAL ONLY</v>
      </c>
      <c r="V5187" s="9" t="n">
        <f aca="false">IF(U5187="SERVICE READY",1,0)</f>
        <v>0</v>
      </c>
      <c r="W5187" s="6"/>
      <c r="X5187" s="6"/>
      <c r="Y5187" s="6"/>
      <c r="Z5187" s="6"/>
    </row>
    <row r="5188" customFormat="false" ht="15" hidden="false" customHeight="false" outlineLevel="0" collapsed="false">
      <c r="A5188" s="9" t="s">
        <v>5493</v>
      </c>
      <c r="B5188" s="9" t="s">
        <v>5446</v>
      </c>
      <c r="C5188" s="9" t="s">
        <v>5447</v>
      </c>
      <c r="D5188" s="9" t="s">
        <v>4731</v>
      </c>
      <c r="E5188" s="9" t="s">
        <v>323</v>
      </c>
      <c r="F5188" s="9" t="s">
        <v>207</v>
      </c>
      <c r="G5188" s="9" t="s">
        <v>221</v>
      </c>
      <c r="H5188" s="9" t="n">
        <v>1000</v>
      </c>
      <c r="I5188" s="29" t="n">
        <v>0.4</v>
      </c>
      <c r="J5188" s="9" t="n">
        <v>1</v>
      </c>
      <c r="K5188" s="30"/>
      <c r="L5188" s="30"/>
      <c r="M5188" s="30"/>
      <c r="N5188" s="30"/>
      <c r="O5188" s="30"/>
      <c r="P5188" s="30"/>
      <c r="Q5188" s="30"/>
      <c r="R5188" s="30"/>
      <c r="S5188" s="30"/>
      <c r="T5188" s="30"/>
      <c r="U5188" s="21" t="str">
        <f aca="false">IF(COUNT(K5188:T5188)=0,"SOURCE EMPTY / INDUSTRIAL ONLY",IF(MIN(K5188:T5188)=1,"SERVICE READY","HOLD"))</f>
        <v>SOURCE EMPTY / INDUSTRIAL ONLY</v>
      </c>
      <c r="V5188" s="9" t="n">
        <f aca="false">IF(U5188="SERVICE READY",1,0)</f>
        <v>0</v>
      </c>
      <c r="W5188" s="6"/>
      <c r="X5188" s="6"/>
      <c r="Y5188" s="6"/>
      <c r="Z5188" s="6"/>
    </row>
    <row r="5189" customFormat="false" ht="15" hidden="false" customHeight="false" outlineLevel="0" collapsed="false">
      <c r="A5189" s="9" t="s">
        <v>5494</v>
      </c>
      <c r="B5189" s="9" t="s">
        <v>5446</v>
      </c>
      <c r="C5189" s="9" t="s">
        <v>5447</v>
      </c>
      <c r="D5189" s="9" t="s">
        <v>4731</v>
      </c>
      <c r="E5189" s="9" t="s">
        <v>323</v>
      </c>
      <c r="F5189" s="9" t="s">
        <v>209</v>
      </c>
      <c r="G5189" s="9" t="s">
        <v>221</v>
      </c>
      <c r="H5189" s="9" t="n">
        <v>1000</v>
      </c>
      <c r="I5189" s="29" t="n">
        <v>0.4</v>
      </c>
      <c r="J5189" s="9" t="n">
        <v>1</v>
      </c>
      <c r="K5189" s="30"/>
      <c r="L5189" s="30"/>
      <c r="M5189" s="30"/>
      <c r="N5189" s="30"/>
      <c r="O5189" s="30"/>
      <c r="P5189" s="30"/>
      <c r="Q5189" s="30"/>
      <c r="R5189" s="30"/>
      <c r="S5189" s="30"/>
      <c r="T5189" s="30"/>
      <c r="U5189" s="21" t="str">
        <f aca="false">IF(COUNT(K5189:T5189)=0,"SOURCE EMPTY / INDUSTRIAL ONLY",IF(MIN(K5189:T5189)=1,"SERVICE READY","HOLD"))</f>
        <v>SOURCE EMPTY / INDUSTRIAL ONLY</v>
      </c>
      <c r="V5189" s="9" t="n">
        <f aca="false">IF(U5189="SERVICE READY",1,0)</f>
        <v>0</v>
      </c>
      <c r="W5189" s="6"/>
      <c r="X5189" s="6"/>
      <c r="Y5189" s="6"/>
      <c r="Z5189" s="6"/>
    </row>
    <row r="5190" customFormat="false" ht="15" hidden="false" customHeight="false" outlineLevel="0" collapsed="false">
      <c r="A5190" s="9" t="s">
        <v>5495</v>
      </c>
      <c r="B5190" s="9" t="s">
        <v>5446</v>
      </c>
      <c r="C5190" s="9" t="s">
        <v>5447</v>
      </c>
      <c r="D5190" s="9" t="s">
        <v>4731</v>
      </c>
      <c r="E5190" s="9" t="s">
        <v>323</v>
      </c>
      <c r="F5190" s="9" t="s">
        <v>211</v>
      </c>
      <c r="G5190" s="9" t="s">
        <v>221</v>
      </c>
      <c r="H5190" s="9" t="n">
        <v>1000</v>
      </c>
      <c r="I5190" s="29" t="n">
        <v>0.4</v>
      </c>
      <c r="J5190" s="9" t="n">
        <v>1</v>
      </c>
      <c r="K5190" s="30"/>
      <c r="L5190" s="30"/>
      <c r="M5190" s="30"/>
      <c r="N5190" s="30"/>
      <c r="O5190" s="30"/>
      <c r="P5190" s="30"/>
      <c r="Q5190" s="30"/>
      <c r="R5190" s="30"/>
      <c r="S5190" s="30"/>
      <c r="T5190" s="30"/>
      <c r="U5190" s="21" t="str">
        <f aca="false">IF(COUNT(K5190:T5190)=0,"SOURCE EMPTY / INDUSTRIAL ONLY",IF(MIN(K5190:T5190)=1,"SERVICE READY","HOLD"))</f>
        <v>SOURCE EMPTY / INDUSTRIAL ONLY</v>
      </c>
      <c r="V5190" s="9" t="n">
        <f aca="false">IF(U5190="SERVICE READY",1,0)</f>
        <v>0</v>
      </c>
      <c r="W5190" s="6"/>
      <c r="X5190" s="6"/>
      <c r="Y5190" s="6"/>
      <c r="Z5190" s="6"/>
    </row>
    <row r="5191" customFormat="false" ht="15" hidden="false" customHeight="false" outlineLevel="0" collapsed="false">
      <c r="A5191" s="9" t="s">
        <v>5496</v>
      </c>
      <c r="B5191" s="9" t="s">
        <v>5446</v>
      </c>
      <c r="C5191" s="9" t="s">
        <v>5447</v>
      </c>
      <c r="D5191" s="9" t="s">
        <v>4731</v>
      </c>
      <c r="E5191" s="9" t="s">
        <v>323</v>
      </c>
      <c r="F5191" s="9" t="s">
        <v>197</v>
      </c>
      <c r="G5191" s="9" t="s">
        <v>221</v>
      </c>
      <c r="H5191" s="9" t="n">
        <v>1000</v>
      </c>
      <c r="I5191" s="29" t="n">
        <v>0.4</v>
      </c>
      <c r="J5191" s="9" t="n">
        <v>1</v>
      </c>
      <c r="K5191" s="30"/>
      <c r="L5191" s="30"/>
      <c r="M5191" s="30"/>
      <c r="N5191" s="30"/>
      <c r="O5191" s="30"/>
      <c r="P5191" s="30"/>
      <c r="Q5191" s="30"/>
      <c r="R5191" s="30"/>
      <c r="S5191" s="30"/>
      <c r="T5191" s="30"/>
      <c r="U5191" s="21" t="str">
        <f aca="false">IF(COUNT(K5191:T5191)=0,"SOURCE EMPTY / INDUSTRIAL ONLY",IF(MIN(K5191:T5191)=1,"SERVICE READY","HOLD"))</f>
        <v>SOURCE EMPTY / INDUSTRIAL ONLY</v>
      </c>
      <c r="V5191" s="9" t="n">
        <f aca="false">IF(U5191="SERVICE READY",1,0)</f>
        <v>0</v>
      </c>
      <c r="W5191" s="6"/>
      <c r="X5191" s="6"/>
      <c r="Y5191" s="6"/>
      <c r="Z5191" s="6"/>
    </row>
    <row r="5192" customFormat="false" ht="15" hidden="false" customHeight="false" outlineLevel="0" collapsed="false">
      <c r="A5192" s="9" t="s">
        <v>5497</v>
      </c>
      <c r="B5192" s="9" t="s">
        <v>5446</v>
      </c>
      <c r="C5192" s="9" t="s">
        <v>5447</v>
      </c>
      <c r="D5192" s="9" t="s">
        <v>4731</v>
      </c>
      <c r="E5192" s="9" t="s">
        <v>323</v>
      </c>
      <c r="F5192" s="9" t="s">
        <v>200</v>
      </c>
      <c r="G5192" s="9" t="s">
        <v>221</v>
      </c>
      <c r="H5192" s="9" t="n">
        <v>1000</v>
      </c>
      <c r="I5192" s="29" t="n">
        <v>0.4</v>
      </c>
      <c r="J5192" s="9" t="n">
        <v>1</v>
      </c>
      <c r="K5192" s="30"/>
      <c r="L5192" s="30"/>
      <c r="M5192" s="30"/>
      <c r="N5192" s="30"/>
      <c r="O5192" s="30"/>
      <c r="P5192" s="30"/>
      <c r="Q5192" s="30"/>
      <c r="R5192" s="30"/>
      <c r="S5192" s="30"/>
      <c r="T5192" s="30"/>
      <c r="U5192" s="21" t="str">
        <f aca="false">IF(COUNT(K5192:T5192)=0,"SOURCE EMPTY / INDUSTRIAL ONLY",IF(MIN(K5192:T5192)=1,"SERVICE READY","HOLD"))</f>
        <v>SOURCE EMPTY / INDUSTRIAL ONLY</v>
      </c>
      <c r="V5192" s="9" t="n">
        <f aca="false">IF(U5192="SERVICE READY",1,0)</f>
        <v>0</v>
      </c>
      <c r="W5192" s="6"/>
      <c r="X5192" s="6"/>
      <c r="Y5192" s="6"/>
      <c r="Z5192" s="6"/>
    </row>
    <row r="5193" customFormat="false" ht="15" hidden="false" customHeight="false" outlineLevel="0" collapsed="false">
      <c r="A5193" s="9" t="s">
        <v>5498</v>
      </c>
      <c r="B5193" s="9" t="s">
        <v>5446</v>
      </c>
      <c r="C5193" s="9" t="s">
        <v>5447</v>
      </c>
      <c r="D5193" s="9" t="s">
        <v>4731</v>
      </c>
      <c r="E5193" s="9" t="s">
        <v>323</v>
      </c>
      <c r="F5193" s="9" t="s">
        <v>203</v>
      </c>
      <c r="G5193" s="9" t="s">
        <v>221</v>
      </c>
      <c r="H5193" s="9" t="n">
        <v>1000</v>
      </c>
      <c r="I5193" s="29" t="n">
        <v>0.4</v>
      </c>
      <c r="J5193" s="9" t="n">
        <v>1</v>
      </c>
      <c r="K5193" s="30"/>
      <c r="L5193" s="30"/>
      <c r="M5193" s="30"/>
      <c r="N5193" s="30"/>
      <c r="O5193" s="30"/>
      <c r="P5193" s="30"/>
      <c r="Q5193" s="30"/>
      <c r="R5193" s="30"/>
      <c r="S5193" s="30"/>
      <c r="T5193" s="30"/>
      <c r="U5193" s="21" t="str">
        <f aca="false">IF(COUNT(K5193:T5193)=0,"SOURCE EMPTY / INDUSTRIAL ONLY",IF(MIN(K5193:T5193)=1,"SERVICE READY","HOLD"))</f>
        <v>SOURCE EMPTY / INDUSTRIAL ONLY</v>
      </c>
      <c r="V5193" s="9" t="n">
        <f aca="false">IF(U5193="SERVICE READY",1,0)</f>
        <v>0</v>
      </c>
      <c r="W5193" s="6"/>
      <c r="X5193" s="6"/>
      <c r="Y5193" s="6"/>
      <c r="Z5193" s="6"/>
    </row>
    <row r="5194" customFormat="false" ht="15" hidden="false" customHeight="false" outlineLevel="0" collapsed="false">
      <c r="A5194" s="9" t="s">
        <v>5499</v>
      </c>
      <c r="B5194" s="9" t="s">
        <v>5446</v>
      </c>
      <c r="C5194" s="9" t="s">
        <v>5447</v>
      </c>
      <c r="D5194" s="9" t="s">
        <v>4731</v>
      </c>
      <c r="E5194" s="9" t="s">
        <v>323</v>
      </c>
      <c r="F5194" s="9" t="s">
        <v>205</v>
      </c>
      <c r="G5194" s="9" t="s">
        <v>221</v>
      </c>
      <c r="H5194" s="9" t="n">
        <v>1000</v>
      </c>
      <c r="I5194" s="29" t="n">
        <v>0.4</v>
      </c>
      <c r="J5194" s="9" t="n">
        <v>1</v>
      </c>
      <c r="K5194" s="30"/>
      <c r="L5194" s="30"/>
      <c r="M5194" s="30"/>
      <c r="N5194" s="30"/>
      <c r="O5194" s="30"/>
      <c r="P5194" s="30"/>
      <c r="Q5194" s="30"/>
      <c r="R5194" s="30"/>
      <c r="S5194" s="30"/>
      <c r="T5194" s="30"/>
      <c r="U5194" s="21" t="str">
        <f aca="false">IF(COUNT(K5194:T5194)=0,"SOURCE EMPTY / INDUSTRIAL ONLY",IF(MIN(K5194:T5194)=1,"SERVICE READY","HOLD"))</f>
        <v>SOURCE EMPTY / INDUSTRIAL ONLY</v>
      </c>
      <c r="V5194" s="9" t="n">
        <f aca="false">IF(U5194="SERVICE READY",1,0)</f>
        <v>0</v>
      </c>
      <c r="W5194" s="6"/>
      <c r="X5194" s="6"/>
      <c r="Y5194" s="6"/>
      <c r="Z5194" s="6"/>
    </row>
    <row r="5195" customFormat="false" ht="15" hidden="false" customHeight="false" outlineLevel="0" collapsed="false">
      <c r="A5195" s="9" t="s">
        <v>5500</v>
      </c>
      <c r="B5195" s="9" t="s">
        <v>5446</v>
      </c>
      <c r="C5195" s="9" t="s">
        <v>5447</v>
      </c>
      <c r="D5195" s="9" t="s">
        <v>4731</v>
      </c>
      <c r="E5195" s="9" t="s">
        <v>323</v>
      </c>
      <c r="F5195" s="9" t="s">
        <v>207</v>
      </c>
      <c r="G5195" s="9" t="s">
        <v>221</v>
      </c>
      <c r="H5195" s="9" t="n">
        <v>1000</v>
      </c>
      <c r="I5195" s="29" t="n">
        <v>0.4</v>
      </c>
      <c r="J5195" s="9" t="n">
        <v>1</v>
      </c>
      <c r="K5195" s="30"/>
      <c r="L5195" s="30"/>
      <c r="M5195" s="30"/>
      <c r="N5195" s="30"/>
      <c r="O5195" s="30"/>
      <c r="P5195" s="30"/>
      <c r="Q5195" s="30"/>
      <c r="R5195" s="30"/>
      <c r="S5195" s="30"/>
      <c r="T5195" s="30"/>
      <c r="U5195" s="21" t="str">
        <f aca="false">IF(COUNT(K5195:T5195)=0,"SOURCE EMPTY / INDUSTRIAL ONLY",IF(MIN(K5195:T5195)=1,"SERVICE READY","HOLD"))</f>
        <v>SOURCE EMPTY / INDUSTRIAL ONLY</v>
      </c>
      <c r="V5195" s="9" t="n">
        <f aca="false">IF(U5195="SERVICE READY",1,0)</f>
        <v>0</v>
      </c>
      <c r="W5195" s="6"/>
      <c r="X5195" s="6"/>
      <c r="Y5195" s="6"/>
      <c r="Z5195" s="6"/>
    </row>
    <row r="5196" customFormat="false" ht="15" hidden="false" customHeight="false" outlineLevel="0" collapsed="false">
      <c r="A5196" s="9" t="s">
        <v>5501</v>
      </c>
      <c r="B5196" s="9" t="s">
        <v>5446</v>
      </c>
      <c r="C5196" s="9" t="s">
        <v>5447</v>
      </c>
      <c r="D5196" s="9" t="s">
        <v>4731</v>
      </c>
      <c r="E5196" s="9" t="s">
        <v>323</v>
      </c>
      <c r="F5196" s="9" t="s">
        <v>209</v>
      </c>
      <c r="G5196" s="9" t="s">
        <v>221</v>
      </c>
      <c r="H5196" s="9" t="n">
        <v>1000</v>
      </c>
      <c r="I5196" s="29" t="n">
        <v>0.4</v>
      </c>
      <c r="J5196" s="9" t="n">
        <v>1</v>
      </c>
      <c r="K5196" s="30"/>
      <c r="L5196" s="30"/>
      <c r="M5196" s="30"/>
      <c r="N5196" s="30"/>
      <c r="O5196" s="30"/>
      <c r="P5196" s="30"/>
      <c r="Q5196" s="30"/>
      <c r="R5196" s="30"/>
      <c r="S5196" s="30"/>
      <c r="T5196" s="30"/>
      <c r="U5196" s="21" t="str">
        <f aca="false">IF(COUNT(K5196:T5196)=0,"SOURCE EMPTY / INDUSTRIAL ONLY",IF(MIN(K5196:T5196)=1,"SERVICE READY","HOLD"))</f>
        <v>SOURCE EMPTY / INDUSTRIAL ONLY</v>
      </c>
      <c r="V5196" s="9" t="n">
        <f aca="false">IF(U5196="SERVICE READY",1,0)</f>
        <v>0</v>
      </c>
      <c r="W5196" s="6"/>
      <c r="X5196" s="6"/>
      <c r="Y5196" s="6"/>
      <c r="Z5196" s="6"/>
    </row>
    <row r="5197" customFormat="false" ht="15" hidden="false" customHeight="false" outlineLevel="0" collapsed="false">
      <c r="A5197" s="9" t="s">
        <v>5502</v>
      </c>
      <c r="B5197" s="9" t="s">
        <v>5446</v>
      </c>
      <c r="C5197" s="9" t="s">
        <v>5447</v>
      </c>
      <c r="D5197" s="9" t="s">
        <v>4731</v>
      </c>
      <c r="E5197" s="9" t="s">
        <v>323</v>
      </c>
      <c r="F5197" s="9" t="s">
        <v>211</v>
      </c>
      <c r="G5197" s="9" t="s">
        <v>221</v>
      </c>
      <c r="H5197" s="9" t="n">
        <v>1000</v>
      </c>
      <c r="I5197" s="29" t="n">
        <v>0.4</v>
      </c>
      <c r="J5197" s="9" t="n">
        <v>1</v>
      </c>
      <c r="K5197" s="30"/>
      <c r="L5197" s="30"/>
      <c r="M5197" s="30"/>
      <c r="N5197" s="30"/>
      <c r="O5197" s="30"/>
      <c r="P5197" s="30"/>
      <c r="Q5197" s="30"/>
      <c r="R5197" s="30"/>
      <c r="S5197" s="30"/>
      <c r="T5197" s="30"/>
      <c r="U5197" s="21" t="str">
        <f aca="false">IF(COUNT(K5197:T5197)=0,"SOURCE EMPTY / INDUSTRIAL ONLY",IF(MIN(K5197:T5197)=1,"SERVICE READY","HOLD"))</f>
        <v>SOURCE EMPTY / INDUSTRIAL ONLY</v>
      </c>
      <c r="V5197" s="9" t="n">
        <f aca="false">IF(U5197="SERVICE READY",1,0)</f>
        <v>0</v>
      </c>
      <c r="W5197" s="6"/>
      <c r="X5197" s="6"/>
      <c r="Y5197" s="6"/>
      <c r="Z5197" s="6"/>
    </row>
    <row r="5198" customFormat="false" ht="15" hidden="false" customHeight="false" outlineLevel="0" collapsed="false">
      <c r="A5198" s="9" t="s">
        <v>5503</v>
      </c>
      <c r="B5198" s="9" t="s">
        <v>5446</v>
      </c>
      <c r="C5198" s="9" t="s">
        <v>5447</v>
      </c>
      <c r="D5198" s="9" t="s">
        <v>4731</v>
      </c>
      <c r="E5198" s="9" t="s">
        <v>323</v>
      </c>
      <c r="F5198" s="9" t="s">
        <v>197</v>
      </c>
      <c r="G5198" s="9" t="s">
        <v>221</v>
      </c>
      <c r="H5198" s="9" t="n">
        <v>1000</v>
      </c>
      <c r="I5198" s="29" t="n">
        <v>0.4</v>
      </c>
      <c r="J5198" s="9" t="n">
        <v>1</v>
      </c>
      <c r="K5198" s="30"/>
      <c r="L5198" s="30"/>
      <c r="M5198" s="30"/>
      <c r="N5198" s="30"/>
      <c r="O5198" s="30"/>
      <c r="P5198" s="30"/>
      <c r="Q5198" s="30"/>
      <c r="R5198" s="30"/>
      <c r="S5198" s="30"/>
      <c r="T5198" s="30"/>
      <c r="U5198" s="21" t="str">
        <f aca="false">IF(COUNT(K5198:T5198)=0,"SOURCE EMPTY / INDUSTRIAL ONLY",IF(MIN(K5198:T5198)=1,"SERVICE READY","HOLD"))</f>
        <v>SOURCE EMPTY / INDUSTRIAL ONLY</v>
      </c>
      <c r="V5198" s="9" t="n">
        <f aca="false">IF(U5198="SERVICE READY",1,0)</f>
        <v>0</v>
      </c>
      <c r="W5198" s="6"/>
      <c r="X5198" s="6"/>
      <c r="Y5198" s="6"/>
      <c r="Z5198" s="6"/>
    </row>
    <row r="5199" customFormat="false" ht="15" hidden="false" customHeight="false" outlineLevel="0" collapsed="false">
      <c r="A5199" s="9" t="s">
        <v>5504</v>
      </c>
      <c r="B5199" s="9" t="s">
        <v>5446</v>
      </c>
      <c r="C5199" s="9" t="s">
        <v>5447</v>
      </c>
      <c r="D5199" s="9" t="s">
        <v>4731</v>
      </c>
      <c r="E5199" s="9" t="s">
        <v>323</v>
      </c>
      <c r="F5199" s="9" t="s">
        <v>200</v>
      </c>
      <c r="G5199" s="9" t="s">
        <v>221</v>
      </c>
      <c r="H5199" s="9" t="n">
        <v>1000</v>
      </c>
      <c r="I5199" s="29" t="n">
        <v>0.4</v>
      </c>
      <c r="J5199" s="9" t="n">
        <v>1</v>
      </c>
      <c r="K5199" s="30"/>
      <c r="L5199" s="30"/>
      <c r="M5199" s="30"/>
      <c r="N5199" s="30"/>
      <c r="O5199" s="30"/>
      <c r="P5199" s="30"/>
      <c r="Q5199" s="30"/>
      <c r="R5199" s="30"/>
      <c r="S5199" s="30"/>
      <c r="T5199" s="30"/>
      <c r="U5199" s="21" t="str">
        <f aca="false">IF(COUNT(K5199:T5199)=0,"SOURCE EMPTY / INDUSTRIAL ONLY",IF(MIN(K5199:T5199)=1,"SERVICE READY","HOLD"))</f>
        <v>SOURCE EMPTY / INDUSTRIAL ONLY</v>
      </c>
      <c r="V5199" s="9" t="n">
        <f aca="false">IF(U5199="SERVICE READY",1,0)</f>
        <v>0</v>
      </c>
      <c r="W5199" s="6"/>
      <c r="X5199" s="6"/>
      <c r="Y5199" s="6"/>
      <c r="Z5199" s="6"/>
    </row>
    <row r="5200" customFormat="false" ht="15" hidden="false" customHeight="false" outlineLevel="0" collapsed="false">
      <c r="A5200" s="9" t="s">
        <v>5505</v>
      </c>
      <c r="B5200" s="9" t="s">
        <v>5446</v>
      </c>
      <c r="C5200" s="9" t="s">
        <v>5447</v>
      </c>
      <c r="D5200" s="9" t="s">
        <v>4731</v>
      </c>
      <c r="E5200" s="9" t="s">
        <v>323</v>
      </c>
      <c r="F5200" s="9" t="s">
        <v>203</v>
      </c>
      <c r="G5200" s="9" t="s">
        <v>221</v>
      </c>
      <c r="H5200" s="9" t="n">
        <v>1000</v>
      </c>
      <c r="I5200" s="29" t="n">
        <v>0.4</v>
      </c>
      <c r="J5200" s="9" t="n">
        <v>1</v>
      </c>
      <c r="K5200" s="30"/>
      <c r="L5200" s="30"/>
      <c r="M5200" s="30"/>
      <c r="N5200" s="30"/>
      <c r="O5200" s="30"/>
      <c r="P5200" s="30"/>
      <c r="Q5200" s="30"/>
      <c r="R5200" s="30"/>
      <c r="S5200" s="30"/>
      <c r="T5200" s="30"/>
      <c r="U5200" s="21" t="str">
        <f aca="false">IF(COUNT(K5200:T5200)=0,"SOURCE EMPTY / INDUSTRIAL ONLY",IF(MIN(K5200:T5200)=1,"SERVICE READY","HOLD"))</f>
        <v>SOURCE EMPTY / INDUSTRIAL ONLY</v>
      </c>
      <c r="V5200" s="9" t="n">
        <f aca="false">IF(U5200="SERVICE READY",1,0)</f>
        <v>0</v>
      </c>
      <c r="W5200" s="6"/>
      <c r="X5200" s="6"/>
      <c r="Y5200" s="6"/>
      <c r="Z5200" s="6"/>
    </row>
    <row r="5201" customFormat="false" ht="15" hidden="false" customHeight="false" outlineLevel="0" collapsed="false">
      <c r="A5201" s="9" t="s">
        <v>5506</v>
      </c>
      <c r="B5201" s="9" t="s">
        <v>5446</v>
      </c>
      <c r="C5201" s="9" t="s">
        <v>5447</v>
      </c>
      <c r="D5201" s="9" t="s">
        <v>4731</v>
      </c>
      <c r="E5201" s="9" t="s">
        <v>323</v>
      </c>
      <c r="F5201" s="9" t="s">
        <v>205</v>
      </c>
      <c r="G5201" s="9" t="s">
        <v>221</v>
      </c>
      <c r="H5201" s="9" t="n">
        <v>1000</v>
      </c>
      <c r="I5201" s="29" t="n">
        <v>0.4</v>
      </c>
      <c r="J5201" s="9" t="n">
        <v>1</v>
      </c>
      <c r="K5201" s="30"/>
      <c r="L5201" s="30"/>
      <c r="M5201" s="30"/>
      <c r="N5201" s="30"/>
      <c r="O5201" s="30"/>
      <c r="P5201" s="30"/>
      <c r="Q5201" s="30"/>
      <c r="R5201" s="30"/>
      <c r="S5201" s="30"/>
      <c r="T5201" s="30"/>
      <c r="U5201" s="21" t="str">
        <f aca="false">IF(COUNT(K5201:T5201)=0,"SOURCE EMPTY / INDUSTRIAL ONLY",IF(MIN(K5201:T5201)=1,"SERVICE READY","HOLD"))</f>
        <v>SOURCE EMPTY / INDUSTRIAL ONLY</v>
      </c>
      <c r="V5201" s="9" t="n">
        <f aca="false">IF(U5201="SERVICE READY",1,0)</f>
        <v>0</v>
      </c>
      <c r="W5201" s="6"/>
      <c r="X5201" s="6"/>
      <c r="Y5201" s="6"/>
      <c r="Z5201" s="6"/>
    </row>
    <row r="5202" customFormat="false" ht="15" hidden="false" customHeight="false" outlineLevel="0" collapsed="false">
      <c r="A5202" s="9" t="s">
        <v>5507</v>
      </c>
      <c r="B5202" s="9" t="s">
        <v>5446</v>
      </c>
      <c r="C5202" s="9" t="s">
        <v>5447</v>
      </c>
      <c r="D5202" s="9" t="s">
        <v>4731</v>
      </c>
      <c r="E5202" s="9" t="s">
        <v>323</v>
      </c>
      <c r="F5202" s="9" t="s">
        <v>207</v>
      </c>
      <c r="G5202" s="9" t="s">
        <v>221</v>
      </c>
      <c r="H5202" s="9" t="n">
        <v>1000</v>
      </c>
      <c r="I5202" s="29" t="n">
        <v>0.4</v>
      </c>
      <c r="J5202" s="9" t="n">
        <v>1</v>
      </c>
      <c r="K5202" s="30"/>
      <c r="L5202" s="30"/>
      <c r="M5202" s="30"/>
      <c r="N5202" s="30"/>
      <c r="O5202" s="30"/>
      <c r="P5202" s="30"/>
      <c r="Q5202" s="30"/>
      <c r="R5202" s="30"/>
      <c r="S5202" s="30"/>
      <c r="T5202" s="30"/>
      <c r="U5202" s="21" t="str">
        <f aca="false">IF(COUNT(K5202:T5202)=0,"SOURCE EMPTY / INDUSTRIAL ONLY",IF(MIN(K5202:T5202)=1,"SERVICE READY","HOLD"))</f>
        <v>SOURCE EMPTY / INDUSTRIAL ONLY</v>
      </c>
      <c r="V5202" s="9" t="n">
        <f aca="false">IF(U5202="SERVICE READY",1,0)</f>
        <v>0</v>
      </c>
      <c r="W5202" s="6"/>
      <c r="X5202" s="6"/>
      <c r="Y5202" s="6"/>
      <c r="Z5202" s="6"/>
    </row>
    <row r="5203" customFormat="false" ht="15" hidden="false" customHeight="false" outlineLevel="0" collapsed="false">
      <c r="A5203" s="9" t="s">
        <v>5508</v>
      </c>
      <c r="B5203" s="9" t="s">
        <v>5446</v>
      </c>
      <c r="C5203" s="9" t="s">
        <v>5447</v>
      </c>
      <c r="D5203" s="9" t="s">
        <v>4731</v>
      </c>
      <c r="E5203" s="9" t="s">
        <v>323</v>
      </c>
      <c r="F5203" s="9" t="s">
        <v>209</v>
      </c>
      <c r="G5203" s="9" t="s">
        <v>221</v>
      </c>
      <c r="H5203" s="9" t="n">
        <v>1000</v>
      </c>
      <c r="I5203" s="29" t="n">
        <v>0.4</v>
      </c>
      <c r="J5203" s="9" t="n">
        <v>1</v>
      </c>
      <c r="K5203" s="30"/>
      <c r="L5203" s="30"/>
      <c r="M5203" s="30"/>
      <c r="N5203" s="30"/>
      <c r="O5203" s="30"/>
      <c r="P5203" s="30"/>
      <c r="Q5203" s="30"/>
      <c r="R5203" s="30"/>
      <c r="S5203" s="30"/>
      <c r="T5203" s="30"/>
      <c r="U5203" s="21" t="str">
        <f aca="false">IF(COUNT(K5203:T5203)=0,"SOURCE EMPTY / INDUSTRIAL ONLY",IF(MIN(K5203:T5203)=1,"SERVICE READY","HOLD"))</f>
        <v>SOURCE EMPTY / INDUSTRIAL ONLY</v>
      </c>
      <c r="V5203" s="9" t="n">
        <f aca="false">IF(U5203="SERVICE READY",1,0)</f>
        <v>0</v>
      </c>
      <c r="W5203" s="6"/>
      <c r="X5203" s="6"/>
      <c r="Y5203" s="6"/>
      <c r="Z5203" s="6"/>
    </row>
    <row r="5204" customFormat="false" ht="15" hidden="false" customHeight="false" outlineLevel="0" collapsed="false">
      <c r="A5204" s="9" t="s">
        <v>5509</v>
      </c>
      <c r="B5204" s="9" t="s">
        <v>5446</v>
      </c>
      <c r="C5204" s="9" t="s">
        <v>5447</v>
      </c>
      <c r="D5204" s="9" t="s">
        <v>4731</v>
      </c>
      <c r="E5204" s="9" t="s">
        <v>323</v>
      </c>
      <c r="F5204" s="9" t="s">
        <v>211</v>
      </c>
      <c r="G5204" s="9" t="s">
        <v>221</v>
      </c>
      <c r="H5204" s="9" t="n">
        <v>1000</v>
      </c>
      <c r="I5204" s="29" t="n">
        <v>0.4</v>
      </c>
      <c r="J5204" s="9" t="n">
        <v>1</v>
      </c>
      <c r="K5204" s="30"/>
      <c r="L5204" s="30"/>
      <c r="M5204" s="30"/>
      <c r="N5204" s="30"/>
      <c r="O5204" s="30"/>
      <c r="P5204" s="30"/>
      <c r="Q5204" s="30"/>
      <c r="R5204" s="30"/>
      <c r="S5204" s="30"/>
      <c r="T5204" s="30"/>
      <c r="U5204" s="21" t="str">
        <f aca="false">IF(COUNT(K5204:T5204)=0,"SOURCE EMPTY / INDUSTRIAL ONLY",IF(MIN(K5204:T5204)=1,"SERVICE READY","HOLD"))</f>
        <v>SOURCE EMPTY / INDUSTRIAL ONLY</v>
      </c>
      <c r="V5204" s="9" t="n">
        <f aca="false">IF(U5204="SERVICE READY",1,0)</f>
        <v>0</v>
      </c>
      <c r="W5204" s="6"/>
      <c r="X5204" s="6"/>
      <c r="Y5204" s="6"/>
      <c r="Z5204" s="6"/>
    </row>
    <row r="5205" customFormat="false" ht="15" hidden="false" customHeight="false" outlineLevel="0" collapsed="false">
      <c r="A5205" s="9" t="s">
        <v>5510</v>
      </c>
      <c r="B5205" s="9" t="s">
        <v>5446</v>
      </c>
      <c r="C5205" s="9" t="s">
        <v>5447</v>
      </c>
      <c r="D5205" s="9" t="s">
        <v>4731</v>
      </c>
      <c r="E5205" s="9" t="s">
        <v>323</v>
      </c>
      <c r="F5205" s="9" t="s">
        <v>197</v>
      </c>
      <c r="G5205" s="9" t="s">
        <v>221</v>
      </c>
      <c r="H5205" s="9" t="n">
        <v>1000</v>
      </c>
      <c r="I5205" s="29" t="n">
        <v>0.4</v>
      </c>
      <c r="J5205" s="9" t="n">
        <v>1</v>
      </c>
      <c r="K5205" s="30"/>
      <c r="L5205" s="30"/>
      <c r="M5205" s="30"/>
      <c r="N5205" s="30"/>
      <c r="O5205" s="30"/>
      <c r="P5205" s="30"/>
      <c r="Q5205" s="30"/>
      <c r="R5205" s="30"/>
      <c r="S5205" s="30"/>
      <c r="T5205" s="30"/>
      <c r="U5205" s="21" t="str">
        <f aca="false">IF(COUNT(K5205:T5205)=0,"SOURCE EMPTY / INDUSTRIAL ONLY",IF(MIN(K5205:T5205)=1,"SERVICE READY","HOLD"))</f>
        <v>SOURCE EMPTY / INDUSTRIAL ONLY</v>
      </c>
      <c r="V5205" s="9" t="n">
        <f aca="false">IF(U5205="SERVICE READY",1,0)</f>
        <v>0</v>
      </c>
      <c r="W5205" s="6"/>
      <c r="X5205" s="6"/>
      <c r="Y5205" s="6"/>
      <c r="Z5205" s="6"/>
    </row>
    <row r="5206" customFormat="false" ht="15" hidden="false" customHeight="false" outlineLevel="0" collapsed="false">
      <c r="A5206" s="9" t="s">
        <v>5511</v>
      </c>
      <c r="B5206" s="9" t="s">
        <v>5446</v>
      </c>
      <c r="C5206" s="9" t="s">
        <v>5447</v>
      </c>
      <c r="D5206" s="9" t="s">
        <v>4731</v>
      </c>
      <c r="E5206" s="9" t="s">
        <v>323</v>
      </c>
      <c r="F5206" s="9" t="s">
        <v>200</v>
      </c>
      <c r="G5206" s="9" t="s">
        <v>221</v>
      </c>
      <c r="H5206" s="9" t="n">
        <v>1000</v>
      </c>
      <c r="I5206" s="29" t="n">
        <v>0.4</v>
      </c>
      <c r="J5206" s="9" t="n">
        <v>1</v>
      </c>
      <c r="K5206" s="30"/>
      <c r="L5206" s="30"/>
      <c r="M5206" s="30"/>
      <c r="N5206" s="30"/>
      <c r="O5206" s="30"/>
      <c r="P5206" s="30"/>
      <c r="Q5206" s="30"/>
      <c r="R5206" s="30"/>
      <c r="S5206" s="30"/>
      <c r="T5206" s="30"/>
      <c r="U5206" s="21" t="str">
        <f aca="false">IF(COUNT(K5206:T5206)=0,"SOURCE EMPTY / INDUSTRIAL ONLY",IF(MIN(K5206:T5206)=1,"SERVICE READY","HOLD"))</f>
        <v>SOURCE EMPTY / INDUSTRIAL ONLY</v>
      </c>
      <c r="V5206" s="9" t="n">
        <f aca="false">IF(U5206="SERVICE READY",1,0)</f>
        <v>0</v>
      </c>
      <c r="W5206" s="6"/>
      <c r="X5206" s="6"/>
      <c r="Y5206" s="6"/>
      <c r="Z5206" s="6"/>
    </row>
    <row r="5207" customFormat="false" ht="15" hidden="false" customHeight="false" outlineLevel="0" collapsed="false">
      <c r="A5207" s="9" t="s">
        <v>5512</v>
      </c>
      <c r="B5207" s="9" t="s">
        <v>5446</v>
      </c>
      <c r="C5207" s="9" t="s">
        <v>5447</v>
      </c>
      <c r="D5207" s="9" t="s">
        <v>4731</v>
      </c>
      <c r="E5207" s="9" t="s">
        <v>323</v>
      </c>
      <c r="F5207" s="9" t="s">
        <v>203</v>
      </c>
      <c r="G5207" s="9" t="s">
        <v>221</v>
      </c>
      <c r="H5207" s="9" t="n">
        <v>1000</v>
      </c>
      <c r="I5207" s="29" t="n">
        <v>0.4</v>
      </c>
      <c r="J5207" s="9" t="n">
        <v>1</v>
      </c>
      <c r="K5207" s="30"/>
      <c r="L5207" s="30"/>
      <c r="M5207" s="30"/>
      <c r="N5207" s="30"/>
      <c r="O5207" s="30"/>
      <c r="P5207" s="30"/>
      <c r="Q5207" s="30"/>
      <c r="R5207" s="30"/>
      <c r="S5207" s="30"/>
      <c r="T5207" s="30"/>
      <c r="U5207" s="21" t="str">
        <f aca="false">IF(COUNT(K5207:T5207)=0,"SOURCE EMPTY / INDUSTRIAL ONLY",IF(MIN(K5207:T5207)=1,"SERVICE READY","HOLD"))</f>
        <v>SOURCE EMPTY / INDUSTRIAL ONLY</v>
      </c>
      <c r="V5207" s="9" t="n">
        <f aca="false">IF(U5207="SERVICE READY",1,0)</f>
        <v>0</v>
      </c>
      <c r="W5207" s="6"/>
      <c r="X5207" s="6"/>
      <c r="Y5207" s="6"/>
      <c r="Z5207" s="6"/>
    </row>
    <row r="5208" customFormat="false" ht="15" hidden="false" customHeight="false" outlineLevel="0" collapsed="false">
      <c r="A5208" s="9" t="s">
        <v>5513</v>
      </c>
      <c r="B5208" s="9" t="s">
        <v>5446</v>
      </c>
      <c r="C5208" s="9" t="s">
        <v>5447</v>
      </c>
      <c r="D5208" s="9" t="s">
        <v>4731</v>
      </c>
      <c r="E5208" s="9" t="s">
        <v>323</v>
      </c>
      <c r="F5208" s="9" t="s">
        <v>205</v>
      </c>
      <c r="G5208" s="9" t="s">
        <v>221</v>
      </c>
      <c r="H5208" s="9" t="n">
        <v>1000</v>
      </c>
      <c r="I5208" s="29" t="n">
        <v>0.4</v>
      </c>
      <c r="J5208" s="9" t="n">
        <v>1</v>
      </c>
      <c r="K5208" s="30"/>
      <c r="L5208" s="30"/>
      <c r="M5208" s="30"/>
      <c r="N5208" s="30"/>
      <c r="O5208" s="30"/>
      <c r="P5208" s="30"/>
      <c r="Q5208" s="30"/>
      <c r="R5208" s="30"/>
      <c r="S5208" s="30"/>
      <c r="T5208" s="30"/>
      <c r="U5208" s="21" t="str">
        <f aca="false">IF(COUNT(K5208:T5208)=0,"SOURCE EMPTY / INDUSTRIAL ONLY",IF(MIN(K5208:T5208)=1,"SERVICE READY","HOLD"))</f>
        <v>SOURCE EMPTY / INDUSTRIAL ONLY</v>
      </c>
      <c r="V5208" s="9" t="n">
        <f aca="false">IF(U5208="SERVICE READY",1,0)</f>
        <v>0</v>
      </c>
      <c r="W5208" s="6"/>
      <c r="X5208" s="6"/>
      <c r="Y5208" s="6"/>
      <c r="Z5208" s="6"/>
    </row>
    <row r="5209" customFormat="false" ht="15" hidden="false" customHeight="false" outlineLevel="0" collapsed="false">
      <c r="A5209" s="9" t="s">
        <v>5514</v>
      </c>
      <c r="B5209" s="9" t="s">
        <v>5446</v>
      </c>
      <c r="C5209" s="9" t="s">
        <v>5447</v>
      </c>
      <c r="D5209" s="9" t="s">
        <v>4731</v>
      </c>
      <c r="E5209" s="9" t="s">
        <v>323</v>
      </c>
      <c r="F5209" s="9" t="s">
        <v>207</v>
      </c>
      <c r="G5209" s="9" t="s">
        <v>221</v>
      </c>
      <c r="H5209" s="9" t="n">
        <v>1000</v>
      </c>
      <c r="I5209" s="29" t="n">
        <v>0.4</v>
      </c>
      <c r="J5209" s="9" t="n">
        <v>1</v>
      </c>
      <c r="K5209" s="30"/>
      <c r="L5209" s="30"/>
      <c r="M5209" s="30"/>
      <c r="N5209" s="30"/>
      <c r="O5209" s="30"/>
      <c r="P5209" s="30"/>
      <c r="Q5209" s="30"/>
      <c r="R5209" s="30"/>
      <c r="S5209" s="30"/>
      <c r="T5209" s="30"/>
      <c r="U5209" s="21" t="str">
        <f aca="false">IF(COUNT(K5209:T5209)=0,"SOURCE EMPTY / INDUSTRIAL ONLY",IF(MIN(K5209:T5209)=1,"SERVICE READY","HOLD"))</f>
        <v>SOURCE EMPTY / INDUSTRIAL ONLY</v>
      </c>
      <c r="V5209" s="9" t="n">
        <f aca="false">IF(U5209="SERVICE READY",1,0)</f>
        <v>0</v>
      </c>
      <c r="W5209" s="6"/>
      <c r="X5209" s="6"/>
      <c r="Y5209" s="6"/>
      <c r="Z5209" s="6"/>
    </row>
    <row r="5210" customFormat="false" ht="15" hidden="false" customHeight="false" outlineLevel="0" collapsed="false">
      <c r="A5210" s="9" t="s">
        <v>5515</v>
      </c>
      <c r="B5210" s="9" t="s">
        <v>5446</v>
      </c>
      <c r="C5210" s="9" t="s">
        <v>5447</v>
      </c>
      <c r="D5210" s="9" t="s">
        <v>4731</v>
      </c>
      <c r="E5210" s="9" t="s">
        <v>323</v>
      </c>
      <c r="F5210" s="9" t="s">
        <v>209</v>
      </c>
      <c r="G5210" s="9" t="s">
        <v>221</v>
      </c>
      <c r="H5210" s="9" t="n">
        <v>1000</v>
      </c>
      <c r="I5210" s="29" t="n">
        <v>0.4</v>
      </c>
      <c r="J5210" s="9" t="n">
        <v>1</v>
      </c>
      <c r="K5210" s="30"/>
      <c r="L5210" s="30"/>
      <c r="M5210" s="30"/>
      <c r="N5210" s="30"/>
      <c r="O5210" s="30"/>
      <c r="P5210" s="30"/>
      <c r="Q5210" s="30"/>
      <c r="R5210" s="30"/>
      <c r="S5210" s="30"/>
      <c r="T5210" s="30"/>
      <c r="U5210" s="21" t="str">
        <f aca="false">IF(COUNT(K5210:T5210)=0,"SOURCE EMPTY / INDUSTRIAL ONLY",IF(MIN(K5210:T5210)=1,"SERVICE READY","HOLD"))</f>
        <v>SOURCE EMPTY / INDUSTRIAL ONLY</v>
      </c>
      <c r="V5210" s="9" t="n">
        <f aca="false">IF(U5210="SERVICE READY",1,0)</f>
        <v>0</v>
      </c>
      <c r="W5210" s="6"/>
      <c r="X5210" s="6"/>
      <c r="Y5210" s="6"/>
      <c r="Z5210" s="6"/>
    </row>
    <row r="5211" customFormat="false" ht="15" hidden="false" customHeight="false" outlineLevel="0" collapsed="false">
      <c r="A5211" s="9" t="s">
        <v>5516</v>
      </c>
      <c r="B5211" s="9" t="s">
        <v>5446</v>
      </c>
      <c r="C5211" s="9" t="s">
        <v>5447</v>
      </c>
      <c r="D5211" s="9" t="s">
        <v>4731</v>
      </c>
      <c r="E5211" s="9" t="s">
        <v>323</v>
      </c>
      <c r="F5211" s="9" t="s">
        <v>211</v>
      </c>
      <c r="G5211" s="9" t="s">
        <v>221</v>
      </c>
      <c r="H5211" s="9" t="n">
        <v>1000</v>
      </c>
      <c r="I5211" s="29" t="n">
        <v>0.4</v>
      </c>
      <c r="J5211" s="9" t="n">
        <v>1</v>
      </c>
      <c r="K5211" s="30"/>
      <c r="L5211" s="30"/>
      <c r="M5211" s="30"/>
      <c r="N5211" s="30"/>
      <c r="O5211" s="30"/>
      <c r="P5211" s="30"/>
      <c r="Q5211" s="30"/>
      <c r="R5211" s="30"/>
      <c r="S5211" s="30"/>
      <c r="T5211" s="30"/>
      <c r="U5211" s="21" t="str">
        <f aca="false">IF(COUNT(K5211:T5211)=0,"SOURCE EMPTY / INDUSTRIAL ONLY",IF(MIN(K5211:T5211)=1,"SERVICE READY","HOLD"))</f>
        <v>SOURCE EMPTY / INDUSTRIAL ONLY</v>
      </c>
      <c r="V5211" s="9" t="n">
        <f aca="false">IF(U5211="SERVICE READY",1,0)</f>
        <v>0</v>
      </c>
      <c r="W5211" s="6"/>
      <c r="X5211" s="6"/>
      <c r="Y5211" s="6"/>
      <c r="Z5211" s="6"/>
    </row>
    <row r="5212" customFormat="false" ht="15" hidden="false" customHeight="false" outlineLevel="0" collapsed="false">
      <c r="A5212" s="9" t="s">
        <v>5517</v>
      </c>
      <c r="B5212" s="9" t="s">
        <v>5446</v>
      </c>
      <c r="C5212" s="9" t="s">
        <v>5447</v>
      </c>
      <c r="D5212" s="9" t="s">
        <v>4731</v>
      </c>
      <c r="E5212" s="9" t="s">
        <v>323</v>
      </c>
      <c r="F5212" s="9" t="s">
        <v>197</v>
      </c>
      <c r="G5212" s="9" t="s">
        <v>221</v>
      </c>
      <c r="H5212" s="9" t="n">
        <v>1000</v>
      </c>
      <c r="I5212" s="29" t="n">
        <v>0.4</v>
      </c>
      <c r="J5212" s="9" t="n">
        <v>1</v>
      </c>
      <c r="K5212" s="30"/>
      <c r="L5212" s="30"/>
      <c r="M5212" s="30"/>
      <c r="N5212" s="30"/>
      <c r="O5212" s="30"/>
      <c r="P5212" s="30"/>
      <c r="Q5212" s="30"/>
      <c r="R5212" s="30"/>
      <c r="S5212" s="30"/>
      <c r="T5212" s="30"/>
      <c r="U5212" s="21" t="str">
        <f aca="false">IF(COUNT(K5212:T5212)=0,"SOURCE EMPTY / INDUSTRIAL ONLY",IF(MIN(K5212:T5212)=1,"SERVICE READY","HOLD"))</f>
        <v>SOURCE EMPTY / INDUSTRIAL ONLY</v>
      </c>
      <c r="V5212" s="9" t="n">
        <f aca="false">IF(U5212="SERVICE READY",1,0)</f>
        <v>0</v>
      </c>
      <c r="W5212" s="6"/>
      <c r="X5212" s="6"/>
      <c r="Y5212" s="6"/>
      <c r="Z5212" s="6"/>
    </row>
    <row r="5213" customFormat="false" ht="15" hidden="false" customHeight="false" outlineLevel="0" collapsed="false">
      <c r="A5213" s="9" t="s">
        <v>5518</v>
      </c>
      <c r="B5213" s="9" t="s">
        <v>5446</v>
      </c>
      <c r="C5213" s="9" t="s">
        <v>5447</v>
      </c>
      <c r="D5213" s="9" t="s">
        <v>4731</v>
      </c>
      <c r="E5213" s="9" t="s">
        <v>323</v>
      </c>
      <c r="F5213" s="9" t="s">
        <v>200</v>
      </c>
      <c r="G5213" s="9" t="s">
        <v>221</v>
      </c>
      <c r="H5213" s="9" t="n">
        <v>1000</v>
      </c>
      <c r="I5213" s="29" t="n">
        <v>0.4</v>
      </c>
      <c r="J5213" s="9" t="n">
        <v>1</v>
      </c>
      <c r="K5213" s="30"/>
      <c r="L5213" s="30"/>
      <c r="M5213" s="30"/>
      <c r="N5213" s="30"/>
      <c r="O5213" s="30"/>
      <c r="P5213" s="30"/>
      <c r="Q5213" s="30"/>
      <c r="R5213" s="30"/>
      <c r="S5213" s="30"/>
      <c r="T5213" s="30"/>
      <c r="U5213" s="21" t="str">
        <f aca="false">IF(COUNT(K5213:T5213)=0,"SOURCE EMPTY / INDUSTRIAL ONLY",IF(MIN(K5213:T5213)=1,"SERVICE READY","HOLD"))</f>
        <v>SOURCE EMPTY / INDUSTRIAL ONLY</v>
      </c>
      <c r="V5213" s="9" t="n">
        <f aca="false">IF(U5213="SERVICE READY",1,0)</f>
        <v>0</v>
      </c>
      <c r="W5213" s="6"/>
      <c r="X5213" s="6"/>
      <c r="Y5213" s="6"/>
      <c r="Z5213" s="6"/>
    </row>
    <row r="5214" customFormat="false" ht="15" hidden="false" customHeight="false" outlineLevel="0" collapsed="false">
      <c r="A5214" s="9" t="s">
        <v>5519</v>
      </c>
      <c r="B5214" s="9" t="s">
        <v>5446</v>
      </c>
      <c r="C5214" s="9" t="s">
        <v>5447</v>
      </c>
      <c r="D5214" s="9" t="s">
        <v>4731</v>
      </c>
      <c r="E5214" s="9" t="s">
        <v>323</v>
      </c>
      <c r="F5214" s="9" t="s">
        <v>203</v>
      </c>
      <c r="G5214" s="9" t="s">
        <v>221</v>
      </c>
      <c r="H5214" s="9" t="n">
        <v>1000</v>
      </c>
      <c r="I5214" s="29" t="n">
        <v>0.4</v>
      </c>
      <c r="J5214" s="9" t="n">
        <v>1</v>
      </c>
      <c r="K5214" s="30"/>
      <c r="L5214" s="30"/>
      <c r="M5214" s="30"/>
      <c r="N5214" s="30"/>
      <c r="O5214" s="30"/>
      <c r="P5214" s="30"/>
      <c r="Q5214" s="30"/>
      <c r="R5214" s="30"/>
      <c r="S5214" s="30"/>
      <c r="T5214" s="30"/>
      <c r="U5214" s="21" t="str">
        <f aca="false">IF(COUNT(K5214:T5214)=0,"SOURCE EMPTY / INDUSTRIAL ONLY",IF(MIN(K5214:T5214)=1,"SERVICE READY","HOLD"))</f>
        <v>SOURCE EMPTY / INDUSTRIAL ONLY</v>
      </c>
      <c r="V5214" s="9" t="n">
        <f aca="false">IF(U5214="SERVICE READY",1,0)</f>
        <v>0</v>
      </c>
      <c r="W5214" s="6"/>
      <c r="X5214" s="6"/>
      <c r="Y5214" s="6"/>
      <c r="Z5214" s="6"/>
    </row>
    <row r="5215" customFormat="false" ht="15" hidden="false" customHeight="false" outlineLevel="0" collapsed="false">
      <c r="A5215" s="9" t="s">
        <v>5520</v>
      </c>
      <c r="B5215" s="9" t="s">
        <v>5446</v>
      </c>
      <c r="C5215" s="9" t="s">
        <v>5447</v>
      </c>
      <c r="D5215" s="9" t="s">
        <v>4731</v>
      </c>
      <c r="E5215" s="9" t="s">
        <v>323</v>
      </c>
      <c r="F5215" s="9" t="s">
        <v>205</v>
      </c>
      <c r="G5215" s="9" t="s">
        <v>221</v>
      </c>
      <c r="H5215" s="9" t="n">
        <v>1000</v>
      </c>
      <c r="I5215" s="29" t="n">
        <v>0.4</v>
      </c>
      <c r="J5215" s="9" t="n">
        <v>1</v>
      </c>
      <c r="K5215" s="30"/>
      <c r="L5215" s="30"/>
      <c r="M5215" s="30"/>
      <c r="N5215" s="30"/>
      <c r="O5215" s="30"/>
      <c r="P5215" s="30"/>
      <c r="Q5215" s="30"/>
      <c r="R5215" s="30"/>
      <c r="S5215" s="30"/>
      <c r="T5215" s="30"/>
      <c r="U5215" s="21" t="str">
        <f aca="false">IF(COUNT(K5215:T5215)=0,"SOURCE EMPTY / INDUSTRIAL ONLY",IF(MIN(K5215:T5215)=1,"SERVICE READY","HOLD"))</f>
        <v>SOURCE EMPTY / INDUSTRIAL ONLY</v>
      </c>
      <c r="V5215" s="9" t="n">
        <f aca="false">IF(U5215="SERVICE READY",1,0)</f>
        <v>0</v>
      </c>
      <c r="W5215" s="6"/>
      <c r="X5215" s="6"/>
      <c r="Y5215" s="6"/>
      <c r="Z5215" s="6"/>
    </row>
    <row r="5216" customFormat="false" ht="15" hidden="false" customHeight="false" outlineLevel="0" collapsed="false">
      <c r="A5216" s="9" t="s">
        <v>5521</v>
      </c>
      <c r="B5216" s="9" t="s">
        <v>5446</v>
      </c>
      <c r="C5216" s="9" t="s">
        <v>5447</v>
      </c>
      <c r="D5216" s="9" t="s">
        <v>4731</v>
      </c>
      <c r="E5216" s="9" t="s">
        <v>323</v>
      </c>
      <c r="F5216" s="9" t="s">
        <v>207</v>
      </c>
      <c r="G5216" s="9" t="s">
        <v>221</v>
      </c>
      <c r="H5216" s="9" t="n">
        <v>1000</v>
      </c>
      <c r="I5216" s="29" t="n">
        <v>0.4</v>
      </c>
      <c r="J5216" s="9" t="n">
        <v>1</v>
      </c>
      <c r="K5216" s="30"/>
      <c r="L5216" s="30"/>
      <c r="M5216" s="30"/>
      <c r="N5216" s="30"/>
      <c r="O5216" s="30"/>
      <c r="P5216" s="30"/>
      <c r="Q5216" s="30"/>
      <c r="R5216" s="30"/>
      <c r="S5216" s="30"/>
      <c r="T5216" s="30"/>
      <c r="U5216" s="21" t="str">
        <f aca="false">IF(COUNT(K5216:T5216)=0,"SOURCE EMPTY / INDUSTRIAL ONLY",IF(MIN(K5216:T5216)=1,"SERVICE READY","HOLD"))</f>
        <v>SOURCE EMPTY / INDUSTRIAL ONLY</v>
      </c>
      <c r="V5216" s="9" t="n">
        <f aca="false">IF(U5216="SERVICE READY",1,0)</f>
        <v>0</v>
      </c>
      <c r="W5216" s="6"/>
      <c r="X5216" s="6"/>
      <c r="Y5216" s="6"/>
      <c r="Z5216" s="6"/>
    </row>
    <row r="5217" customFormat="false" ht="15" hidden="false" customHeight="false" outlineLevel="0" collapsed="false">
      <c r="A5217" s="9" t="s">
        <v>5522</v>
      </c>
      <c r="B5217" s="9" t="s">
        <v>5446</v>
      </c>
      <c r="C5217" s="9" t="s">
        <v>5447</v>
      </c>
      <c r="D5217" s="9" t="s">
        <v>4731</v>
      </c>
      <c r="E5217" s="9" t="s">
        <v>323</v>
      </c>
      <c r="F5217" s="9" t="s">
        <v>209</v>
      </c>
      <c r="G5217" s="9" t="s">
        <v>221</v>
      </c>
      <c r="H5217" s="9" t="n">
        <v>1000</v>
      </c>
      <c r="I5217" s="29" t="n">
        <v>0.4</v>
      </c>
      <c r="J5217" s="9" t="n">
        <v>1</v>
      </c>
      <c r="K5217" s="30"/>
      <c r="L5217" s="30"/>
      <c r="M5217" s="30"/>
      <c r="N5217" s="30"/>
      <c r="O5217" s="30"/>
      <c r="P5217" s="30"/>
      <c r="Q5217" s="30"/>
      <c r="R5217" s="30"/>
      <c r="S5217" s="30"/>
      <c r="T5217" s="30"/>
      <c r="U5217" s="21" t="str">
        <f aca="false">IF(COUNT(K5217:T5217)=0,"SOURCE EMPTY / INDUSTRIAL ONLY",IF(MIN(K5217:T5217)=1,"SERVICE READY","HOLD"))</f>
        <v>SOURCE EMPTY / INDUSTRIAL ONLY</v>
      </c>
      <c r="V5217" s="9" t="n">
        <f aca="false">IF(U5217="SERVICE READY",1,0)</f>
        <v>0</v>
      </c>
      <c r="W5217" s="6"/>
      <c r="X5217" s="6"/>
      <c r="Y5217" s="6"/>
      <c r="Z5217" s="6"/>
    </row>
    <row r="5218" customFormat="false" ht="15" hidden="false" customHeight="false" outlineLevel="0" collapsed="false">
      <c r="A5218" s="9" t="s">
        <v>5523</v>
      </c>
      <c r="B5218" s="9" t="s">
        <v>5446</v>
      </c>
      <c r="C5218" s="9" t="s">
        <v>5447</v>
      </c>
      <c r="D5218" s="9" t="s">
        <v>4731</v>
      </c>
      <c r="E5218" s="9" t="s">
        <v>323</v>
      </c>
      <c r="F5218" s="9" t="s">
        <v>211</v>
      </c>
      <c r="G5218" s="9" t="s">
        <v>221</v>
      </c>
      <c r="H5218" s="9" t="n">
        <v>1000</v>
      </c>
      <c r="I5218" s="29" t="n">
        <v>0.4</v>
      </c>
      <c r="J5218" s="9" t="n">
        <v>1</v>
      </c>
      <c r="K5218" s="30"/>
      <c r="L5218" s="30"/>
      <c r="M5218" s="30"/>
      <c r="N5218" s="30"/>
      <c r="O5218" s="30"/>
      <c r="P5218" s="30"/>
      <c r="Q5218" s="30"/>
      <c r="R5218" s="30"/>
      <c r="S5218" s="30"/>
      <c r="T5218" s="30"/>
      <c r="U5218" s="21" t="str">
        <f aca="false">IF(COUNT(K5218:T5218)=0,"SOURCE EMPTY / INDUSTRIAL ONLY",IF(MIN(K5218:T5218)=1,"SERVICE READY","HOLD"))</f>
        <v>SOURCE EMPTY / INDUSTRIAL ONLY</v>
      </c>
      <c r="V5218" s="9" t="n">
        <f aca="false">IF(U5218="SERVICE READY",1,0)</f>
        <v>0</v>
      </c>
      <c r="W5218" s="6"/>
      <c r="X5218" s="6"/>
      <c r="Y5218" s="6"/>
      <c r="Z5218" s="6"/>
    </row>
    <row r="5219" customFormat="false" ht="15" hidden="false" customHeight="false" outlineLevel="0" collapsed="false">
      <c r="A5219" s="9" t="s">
        <v>5524</v>
      </c>
      <c r="B5219" s="9" t="s">
        <v>5446</v>
      </c>
      <c r="C5219" s="9" t="s">
        <v>5447</v>
      </c>
      <c r="D5219" s="9" t="s">
        <v>4731</v>
      </c>
      <c r="E5219" s="9" t="s">
        <v>323</v>
      </c>
      <c r="F5219" s="9" t="s">
        <v>197</v>
      </c>
      <c r="G5219" s="9" t="s">
        <v>221</v>
      </c>
      <c r="H5219" s="9" t="n">
        <v>1000</v>
      </c>
      <c r="I5219" s="29" t="n">
        <v>0.4</v>
      </c>
      <c r="J5219" s="9" t="n">
        <v>1</v>
      </c>
      <c r="K5219" s="30"/>
      <c r="L5219" s="30"/>
      <c r="M5219" s="30"/>
      <c r="N5219" s="30"/>
      <c r="O5219" s="30"/>
      <c r="P5219" s="30"/>
      <c r="Q5219" s="30"/>
      <c r="R5219" s="30"/>
      <c r="S5219" s="30"/>
      <c r="T5219" s="30"/>
      <c r="U5219" s="21" t="str">
        <f aca="false">IF(COUNT(K5219:T5219)=0,"SOURCE EMPTY / INDUSTRIAL ONLY",IF(MIN(K5219:T5219)=1,"SERVICE READY","HOLD"))</f>
        <v>SOURCE EMPTY / INDUSTRIAL ONLY</v>
      </c>
      <c r="V5219" s="9" t="n">
        <f aca="false">IF(U5219="SERVICE READY",1,0)</f>
        <v>0</v>
      </c>
      <c r="W5219" s="6"/>
      <c r="X5219" s="6"/>
      <c r="Y5219" s="6"/>
      <c r="Z5219" s="6"/>
    </row>
    <row r="5220" customFormat="false" ht="15" hidden="false" customHeight="false" outlineLevel="0" collapsed="false">
      <c r="A5220" s="9" t="s">
        <v>5525</v>
      </c>
      <c r="B5220" s="9" t="s">
        <v>5446</v>
      </c>
      <c r="C5220" s="9" t="s">
        <v>5447</v>
      </c>
      <c r="D5220" s="9" t="s">
        <v>4731</v>
      </c>
      <c r="E5220" s="9" t="s">
        <v>323</v>
      </c>
      <c r="F5220" s="9" t="s">
        <v>200</v>
      </c>
      <c r="G5220" s="9" t="s">
        <v>221</v>
      </c>
      <c r="H5220" s="9" t="n">
        <v>1000</v>
      </c>
      <c r="I5220" s="29" t="n">
        <v>0.4</v>
      </c>
      <c r="J5220" s="9" t="n">
        <v>1</v>
      </c>
      <c r="K5220" s="30"/>
      <c r="L5220" s="30"/>
      <c r="M5220" s="30"/>
      <c r="N5220" s="30"/>
      <c r="O5220" s="30"/>
      <c r="P5220" s="30"/>
      <c r="Q5220" s="30"/>
      <c r="R5220" s="30"/>
      <c r="S5220" s="30"/>
      <c r="T5220" s="30"/>
      <c r="U5220" s="21" t="str">
        <f aca="false">IF(COUNT(K5220:T5220)=0,"SOURCE EMPTY / INDUSTRIAL ONLY",IF(MIN(K5220:T5220)=1,"SERVICE READY","HOLD"))</f>
        <v>SOURCE EMPTY / INDUSTRIAL ONLY</v>
      </c>
      <c r="V5220" s="9" t="n">
        <f aca="false">IF(U5220="SERVICE READY",1,0)</f>
        <v>0</v>
      </c>
      <c r="W5220" s="6"/>
      <c r="X5220" s="6"/>
      <c r="Y5220" s="6"/>
      <c r="Z5220" s="6"/>
    </row>
    <row r="5221" customFormat="false" ht="15" hidden="false" customHeight="false" outlineLevel="0" collapsed="false">
      <c r="A5221" s="9" t="s">
        <v>5526</v>
      </c>
      <c r="B5221" s="9" t="s">
        <v>5446</v>
      </c>
      <c r="C5221" s="9" t="s">
        <v>5447</v>
      </c>
      <c r="D5221" s="9" t="s">
        <v>4731</v>
      </c>
      <c r="E5221" s="9" t="s">
        <v>323</v>
      </c>
      <c r="F5221" s="9" t="s">
        <v>203</v>
      </c>
      <c r="G5221" s="9" t="s">
        <v>221</v>
      </c>
      <c r="H5221" s="9" t="n">
        <v>1000</v>
      </c>
      <c r="I5221" s="29" t="n">
        <v>0.4</v>
      </c>
      <c r="J5221" s="9" t="n">
        <v>1</v>
      </c>
      <c r="K5221" s="30"/>
      <c r="L5221" s="30"/>
      <c r="M5221" s="30"/>
      <c r="N5221" s="30"/>
      <c r="O5221" s="30"/>
      <c r="P5221" s="30"/>
      <c r="Q5221" s="30"/>
      <c r="R5221" s="30"/>
      <c r="S5221" s="30"/>
      <c r="T5221" s="30"/>
      <c r="U5221" s="21" t="str">
        <f aca="false">IF(COUNT(K5221:T5221)=0,"SOURCE EMPTY / INDUSTRIAL ONLY",IF(MIN(K5221:T5221)=1,"SERVICE READY","HOLD"))</f>
        <v>SOURCE EMPTY / INDUSTRIAL ONLY</v>
      </c>
      <c r="V5221" s="9" t="n">
        <f aca="false">IF(U5221="SERVICE READY",1,0)</f>
        <v>0</v>
      </c>
      <c r="W5221" s="6"/>
      <c r="X5221" s="6"/>
      <c r="Y5221" s="6"/>
      <c r="Z5221" s="6"/>
    </row>
    <row r="5222" customFormat="false" ht="15" hidden="false" customHeight="false" outlineLevel="0" collapsed="false">
      <c r="A5222" s="9" t="s">
        <v>5527</v>
      </c>
      <c r="B5222" s="9" t="s">
        <v>5446</v>
      </c>
      <c r="C5222" s="9" t="s">
        <v>5447</v>
      </c>
      <c r="D5222" s="9" t="s">
        <v>4731</v>
      </c>
      <c r="E5222" s="9" t="s">
        <v>323</v>
      </c>
      <c r="F5222" s="9" t="s">
        <v>205</v>
      </c>
      <c r="G5222" s="9" t="s">
        <v>221</v>
      </c>
      <c r="H5222" s="9" t="n">
        <v>1000</v>
      </c>
      <c r="I5222" s="29" t="n">
        <v>0.4</v>
      </c>
      <c r="J5222" s="9" t="n">
        <v>1</v>
      </c>
      <c r="K5222" s="30"/>
      <c r="L5222" s="30"/>
      <c r="M5222" s="30"/>
      <c r="N5222" s="30"/>
      <c r="O5222" s="30"/>
      <c r="P5222" s="30"/>
      <c r="Q5222" s="30"/>
      <c r="R5222" s="30"/>
      <c r="S5222" s="30"/>
      <c r="T5222" s="30"/>
      <c r="U5222" s="21" t="str">
        <f aca="false">IF(COUNT(K5222:T5222)=0,"SOURCE EMPTY / INDUSTRIAL ONLY",IF(MIN(K5222:T5222)=1,"SERVICE READY","HOLD"))</f>
        <v>SOURCE EMPTY / INDUSTRIAL ONLY</v>
      </c>
      <c r="V5222" s="9" t="n">
        <f aca="false">IF(U5222="SERVICE READY",1,0)</f>
        <v>0</v>
      </c>
      <c r="W5222" s="6"/>
      <c r="X5222" s="6"/>
      <c r="Y5222" s="6"/>
      <c r="Z5222" s="6"/>
    </row>
    <row r="5223" customFormat="false" ht="15" hidden="false" customHeight="false" outlineLevel="0" collapsed="false">
      <c r="A5223" s="9" t="s">
        <v>5528</v>
      </c>
      <c r="B5223" s="9" t="s">
        <v>5446</v>
      </c>
      <c r="C5223" s="9" t="s">
        <v>5447</v>
      </c>
      <c r="D5223" s="9" t="s">
        <v>4731</v>
      </c>
      <c r="E5223" s="9" t="s">
        <v>323</v>
      </c>
      <c r="F5223" s="9" t="s">
        <v>207</v>
      </c>
      <c r="G5223" s="9" t="s">
        <v>221</v>
      </c>
      <c r="H5223" s="9" t="n">
        <v>1000</v>
      </c>
      <c r="I5223" s="29" t="n">
        <v>0.4</v>
      </c>
      <c r="J5223" s="9" t="n">
        <v>1</v>
      </c>
      <c r="K5223" s="30"/>
      <c r="L5223" s="30"/>
      <c r="M5223" s="30"/>
      <c r="N5223" s="30"/>
      <c r="O5223" s="30"/>
      <c r="P5223" s="30"/>
      <c r="Q5223" s="30"/>
      <c r="R5223" s="30"/>
      <c r="S5223" s="30"/>
      <c r="T5223" s="30"/>
      <c r="U5223" s="21" t="str">
        <f aca="false">IF(COUNT(K5223:T5223)=0,"SOURCE EMPTY / INDUSTRIAL ONLY",IF(MIN(K5223:T5223)=1,"SERVICE READY","HOLD"))</f>
        <v>SOURCE EMPTY / INDUSTRIAL ONLY</v>
      </c>
      <c r="V5223" s="9" t="n">
        <f aca="false">IF(U5223="SERVICE READY",1,0)</f>
        <v>0</v>
      </c>
      <c r="W5223" s="6"/>
      <c r="X5223" s="6"/>
      <c r="Y5223" s="6"/>
      <c r="Z5223" s="6"/>
    </row>
    <row r="5224" customFormat="false" ht="15" hidden="false" customHeight="false" outlineLevel="0" collapsed="false">
      <c r="A5224" s="9" t="s">
        <v>5529</v>
      </c>
      <c r="B5224" s="9" t="s">
        <v>5446</v>
      </c>
      <c r="C5224" s="9" t="s">
        <v>5447</v>
      </c>
      <c r="D5224" s="9" t="s">
        <v>4731</v>
      </c>
      <c r="E5224" s="9" t="s">
        <v>323</v>
      </c>
      <c r="F5224" s="9" t="s">
        <v>209</v>
      </c>
      <c r="G5224" s="9" t="s">
        <v>221</v>
      </c>
      <c r="H5224" s="9" t="n">
        <v>1000</v>
      </c>
      <c r="I5224" s="29" t="n">
        <v>0.4</v>
      </c>
      <c r="J5224" s="9" t="n">
        <v>1</v>
      </c>
      <c r="K5224" s="30"/>
      <c r="L5224" s="30"/>
      <c r="M5224" s="30"/>
      <c r="N5224" s="30"/>
      <c r="O5224" s="30"/>
      <c r="P5224" s="30"/>
      <c r="Q5224" s="30"/>
      <c r="R5224" s="30"/>
      <c r="S5224" s="30"/>
      <c r="T5224" s="30"/>
      <c r="U5224" s="21" t="str">
        <f aca="false">IF(COUNT(K5224:T5224)=0,"SOURCE EMPTY / INDUSTRIAL ONLY",IF(MIN(K5224:T5224)=1,"SERVICE READY","HOLD"))</f>
        <v>SOURCE EMPTY / INDUSTRIAL ONLY</v>
      </c>
      <c r="V5224" s="9" t="n">
        <f aca="false">IF(U5224="SERVICE READY",1,0)</f>
        <v>0</v>
      </c>
      <c r="W5224" s="6"/>
      <c r="X5224" s="6"/>
      <c r="Y5224" s="6"/>
      <c r="Z5224" s="6"/>
    </row>
    <row r="5225" customFormat="false" ht="15" hidden="false" customHeight="false" outlineLevel="0" collapsed="false">
      <c r="A5225" s="9" t="s">
        <v>5530</v>
      </c>
      <c r="B5225" s="9" t="s">
        <v>5446</v>
      </c>
      <c r="C5225" s="9" t="s">
        <v>5447</v>
      </c>
      <c r="D5225" s="9" t="s">
        <v>4731</v>
      </c>
      <c r="E5225" s="9" t="s">
        <v>323</v>
      </c>
      <c r="F5225" s="9" t="s">
        <v>211</v>
      </c>
      <c r="G5225" s="9" t="s">
        <v>221</v>
      </c>
      <c r="H5225" s="9" t="n">
        <v>1000</v>
      </c>
      <c r="I5225" s="29" t="n">
        <v>0.4</v>
      </c>
      <c r="J5225" s="9" t="n">
        <v>1</v>
      </c>
      <c r="K5225" s="30"/>
      <c r="L5225" s="30"/>
      <c r="M5225" s="30"/>
      <c r="N5225" s="30"/>
      <c r="O5225" s="30"/>
      <c r="P5225" s="30"/>
      <c r="Q5225" s="30"/>
      <c r="R5225" s="30"/>
      <c r="S5225" s="30"/>
      <c r="T5225" s="30"/>
      <c r="U5225" s="21" t="str">
        <f aca="false">IF(COUNT(K5225:T5225)=0,"SOURCE EMPTY / INDUSTRIAL ONLY",IF(MIN(K5225:T5225)=1,"SERVICE READY","HOLD"))</f>
        <v>SOURCE EMPTY / INDUSTRIAL ONLY</v>
      </c>
      <c r="V5225" s="9" t="n">
        <f aca="false">IF(U5225="SERVICE READY",1,0)</f>
        <v>0</v>
      </c>
      <c r="W5225" s="6"/>
      <c r="X5225" s="6"/>
      <c r="Y5225" s="6"/>
      <c r="Z5225" s="6"/>
    </row>
    <row r="5226" customFormat="false" ht="15" hidden="false" customHeight="false" outlineLevel="0" collapsed="false">
      <c r="A5226" s="9" t="s">
        <v>5531</v>
      </c>
      <c r="B5226" s="9" t="s">
        <v>5446</v>
      </c>
      <c r="C5226" s="9" t="s">
        <v>5447</v>
      </c>
      <c r="D5226" s="9" t="s">
        <v>4731</v>
      </c>
      <c r="E5226" s="9" t="s">
        <v>323</v>
      </c>
      <c r="F5226" s="9" t="s">
        <v>197</v>
      </c>
      <c r="G5226" s="9" t="s">
        <v>221</v>
      </c>
      <c r="H5226" s="9" t="n">
        <v>1000</v>
      </c>
      <c r="I5226" s="29" t="n">
        <v>0.4</v>
      </c>
      <c r="J5226" s="9" t="n">
        <v>1</v>
      </c>
      <c r="K5226" s="30"/>
      <c r="L5226" s="30"/>
      <c r="M5226" s="30"/>
      <c r="N5226" s="30"/>
      <c r="O5226" s="30"/>
      <c r="P5226" s="30"/>
      <c r="Q5226" s="30"/>
      <c r="R5226" s="30"/>
      <c r="S5226" s="30"/>
      <c r="T5226" s="30"/>
      <c r="U5226" s="21" t="str">
        <f aca="false">IF(COUNT(K5226:T5226)=0,"SOURCE EMPTY / INDUSTRIAL ONLY",IF(MIN(K5226:T5226)=1,"SERVICE READY","HOLD"))</f>
        <v>SOURCE EMPTY / INDUSTRIAL ONLY</v>
      </c>
      <c r="V5226" s="9" t="n">
        <f aca="false">IF(U5226="SERVICE READY",1,0)</f>
        <v>0</v>
      </c>
      <c r="W5226" s="6"/>
      <c r="X5226" s="6"/>
      <c r="Y5226" s="6"/>
      <c r="Z5226" s="6"/>
    </row>
    <row r="5227" customFormat="false" ht="15" hidden="false" customHeight="false" outlineLevel="0" collapsed="false">
      <c r="A5227" s="9" t="s">
        <v>5532</v>
      </c>
      <c r="B5227" s="9" t="s">
        <v>5446</v>
      </c>
      <c r="C5227" s="9" t="s">
        <v>5447</v>
      </c>
      <c r="D5227" s="9" t="s">
        <v>4731</v>
      </c>
      <c r="E5227" s="9" t="s">
        <v>323</v>
      </c>
      <c r="F5227" s="9" t="s">
        <v>200</v>
      </c>
      <c r="G5227" s="9" t="s">
        <v>221</v>
      </c>
      <c r="H5227" s="9" t="n">
        <v>1000</v>
      </c>
      <c r="I5227" s="29" t="n">
        <v>0.4</v>
      </c>
      <c r="J5227" s="9" t="n">
        <v>1</v>
      </c>
      <c r="K5227" s="30"/>
      <c r="L5227" s="30"/>
      <c r="M5227" s="30"/>
      <c r="N5227" s="30"/>
      <c r="O5227" s="30"/>
      <c r="P5227" s="30"/>
      <c r="Q5227" s="30"/>
      <c r="R5227" s="30"/>
      <c r="S5227" s="30"/>
      <c r="T5227" s="30"/>
      <c r="U5227" s="21" t="str">
        <f aca="false">IF(COUNT(K5227:T5227)=0,"SOURCE EMPTY / INDUSTRIAL ONLY",IF(MIN(K5227:T5227)=1,"SERVICE READY","HOLD"))</f>
        <v>SOURCE EMPTY / INDUSTRIAL ONLY</v>
      </c>
      <c r="V5227" s="9" t="n">
        <f aca="false">IF(U5227="SERVICE READY",1,0)</f>
        <v>0</v>
      </c>
      <c r="W5227" s="6"/>
      <c r="X5227" s="6"/>
      <c r="Y5227" s="6"/>
      <c r="Z5227" s="6"/>
    </row>
    <row r="5228" customFormat="false" ht="15" hidden="false" customHeight="false" outlineLevel="0" collapsed="false">
      <c r="A5228" s="9" t="s">
        <v>5533</v>
      </c>
      <c r="B5228" s="9" t="s">
        <v>5446</v>
      </c>
      <c r="C5228" s="9" t="s">
        <v>5447</v>
      </c>
      <c r="D5228" s="9" t="s">
        <v>4731</v>
      </c>
      <c r="E5228" s="9" t="s">
        <v>323</v>
      </c>
      <c r="F5228" s="9" t="s">
        <v>203</v>
      </c>
      <c r="G5228" s="9" t="s">
        <v>221</v>
      </c>
      <c r="H5228" s="9" t="n">
        <v>1000</v>
      </c>
      <c r="I5228" s="29" t="n">
        <v>0.4</v>
      </c>
      <c r="J5228" s="9" t="n">
        <v>1</v>
      </c>
      <c r="K5228" s="30"/>
      <c r="L5228" s="30"/>
      <c r="M5228" s="30"/>
      <c r="N5228" s="30"/>
      <c r="O5228" s="30"/>
      <c r="P5228" s="30"/>
      <c r="Q5228" s="30"/>
      <c r="R5228" s="30"/>
      <c r="S5228" s="30"/>
      <c r="T5228" s="30"/>
      <c r="U5228" s="21" t="str">
        <f aca="false">IF(COUNT(K5228:T5228)=0,"SOURCE EMPTY / INDUSTRIAL ONLY",IF(MIN(K5228:T5228)=1,"SERVICE READY","HOLD"))</f>
        <v>SOURCE EMPTY / INDUSTRIAL ONLY</v>
      </c>
      <c r="V5228" s="9" t="n">
        <f aca="false">IF(U5228="SERVICE READY",1,0)</f>
        <v>0</v>
      </c>
      <c r="W5228" s="6"/>
      <c r="X5228" s="6"/>
      <c r="Y5228" s="6"/>
      <c r="Z5228" s="6"/>
    </row>
    <row r="5229" customFormat="false" ht="15" hidden="false" customHeight="false" outlineLevel="0" collapsed="false">
      <c r="A5229" s="9" t="s">
        <v>5534</v>
      </c>
      <c r="B5229" s="9" t="s">
        <v>5446</v>
      </c>
      <c r="C5229" s="9" t="s">
        <v>5447</v>
      </c>
      <c r="D5229" s="9" t="s">
        <v>4731</v>
      </c>
      <c r="E5229" s="9" t="s">
        <v>323</v>
      </c>
      <c r="F5229" s="9" t="s">
        <v>205</v>
      </c>
      <c r="G5229" s="9" t="s">
        <v>221</v>
      </c>
      <c r="H5229" s="9" t="n">
        <v>1000</v>
      </c>
      <c r="I5229" s="29" t="n">
        <v>0.4</v>
      </c>
      <c r="J5229" s="9" t="n">
        <v>0</v>
      </c>
      <c r="K5229" s="30"/>
      <c r="L5229" s="30"/>
      <c r="M5229" s="30"/>
      <c r="N5229" s="30"/>
      <c r="O5229" s="30"/>
      <c r="P5229" s="30"/>
      <c r="Q5229" s="30"/>
      <c r="R5229" s="30"/>
      <c r="S5229" s="30"/>
      <c r="T5229" s="30"/>
      <c r="U5229" s="21" t="str">
        <f aca="false">IF(COUNT(K5229:T5229)=0,"SOURCE EMPTY / INDUSTRIAL ONLY",IF(MIN(K5229:T5229)=1,"SERVICE READY","HOLD"))</f>
        <v>SOURCE EMPTY / INDUSTRIAL ONLY</v>
      </c>
      <c r="V5229" s="9" t="n">
        <f aca="false">IF(U5229="SERVICE READY",1,0)</f>
        <v>0</v>
      </c>
      <c r="W5229" s="6"/>
      <c r="X5229" s="6"/>
      <c r="Y5229" s="6"/>
      <c r="Z5229" s="6"/>
    </row>
    <row r="5230" customFormat="false" ht="15" hidden="false" customHeight="false" outlineLevel="0" collapsed="false">
      <c r="A5230" s="9" t="s">
        <v>5535</v>
      </c>
      <c r="B5230" s="9" t="s">
        <v>5446</v>
      </c>
      <c r="C5230" s="9" t="s">
        <v>5447</v>
      </c>
      <c r="D5230" s="9" t="s">
        <v>4731</v>
      </c>
      <c r="E5230" s="9" t="s">
        <v>323</v>
      </c>
      <c r="F5230" s="9" t="s">
        <v>207</v>
      </c>
      <c r="G5230" s="9" t="s">
        <v>221</v>
      </c>
      <c r="H5230" s="9" t="n">
        <v>1000</v>
      </c>
      <c r="I5230" s="29" t="n">
        <v>0.4</v>
      </c>
      <c r="J5230" s="9" t="n">
        <v>0</v>
      </c>
      <c r="K5230" s="30"/>
      <c r="L5230" s="30"/>
      <c r="M5230" s="30"/>
      <c r="N5230" s="30"/>
      <c r="O5230" s="30"/>
      <c r="P5230" s="30"/>
      <c r="Q5230" s="30"/>
      <c r="R5230" s="30"/>
      <c r="S5230" s="30"/>
      <c r="T5230" s="30"/>
      <c r="U5230" s="21" t="str">
        <f aca="false">IF(COUNT(K5230:T5230)=0,"SOURCE EMPTY / INDUSTRIAL ONLY",IF(MIN(K5230:T5230)=1,"SERVICE READY","HOLD"))</f>
        <v>SOURCE EMPTY / INDUSTRIAL ONLY</v>
      </c>
      <c r="V5230" s="9" t="n">
        <f aca="false">IF(U5230="SERVICE READY",1,0)</f>
        <v>0</v>
      </c>
      <c r="W5230" s="6"/>
      <c r="X5230" s="6"/>
      <c r="Y5230" s="6"/>
      <c r="Z5230" s="6"/>
    </row>
    <row r="5231" customFormat="false" ht="15" hidden="false" customHeight="false" outlineLevel="0" collapsed="false">
      <c r="A5231" s="9" t="s">
        <v>5536</v>
      </c>
      <c r="B5231" s="9" t="s">
        <v>5446</v>
      </c>
      <c r="C5231" s="9" t="s">
        <v>5447</v>
      </c>
      <c r="D5231" s="9" t="s">
        <v>4731</v>
      </c>
      <c r="E5231" s="9" t="s">
        <v>323</v>
      </c>
      <c r="F5231" s="9" t="s">
        <v>209</v>
      </c>
      <c r="G5231" s="9" t="s">
        <v>221</v>
      </c>
      <c r="H5231" s="9" t="n">
        <v>1000</v>
      </c>
      <c r="I5231" s="29" t="n">
        <v>0.4</v>
      </c>
      <c r="J5231" s="9" t="n">
        <v>0</v>
      </c>
      <c r="K5231" s="30"/>
      <c r="L5231" s="30"/>
      <c r="M5231" s="30"/>
      <c r="N5231" s="30"/>
      <c r="O5231" s="30"/>
      <c r="P5231" s="30"/>
      <c r="Q5231" s="30"/>
      <c r="R5231" s="30"/>
      <c r="S5231" s="30"/>
      <c r="T5231" s="30"/>
      <c r="U5231" s="21" t="str">
        <f aca="false">IF(COUNT(K5231:T5231)=0,"SOURCE EMPTY / INDUSTRIAL ONLY",IF(MIN(K5231:T5231)=1,"SERVICE READY","HOLD"))</f>
        <v>SOURCE EMPTY / INDUSTRIAL ONLY</v>
      </c>
      <c r="V5231" s="9" t="n">
        <f aca="false">IF(U5231="SERVICE READY",1,0)</f>
        <v>0</v>
      </c>
      <c r="W5231" s="6"/>
      <c r="X5231" s="6"/>
      <c r="Y5231" s="6"/>
      <c r="Z5231" s="6"/>
    </row>
    <row r="5232" customFormat="false" ht="15" hidden="false" customHeight="false" outlineLevel="0" collapsed="false">
      <c r="A5232" s="9" t="s">
        <v>5537</v>
      </c>
      <c r="B5232" s="9" t="s">
        <v>5446</v>
      </c>
      <c r="C5232" s="9" t="s">
        <v>5447</v>
      </c>
      <c r="D5232" s="9" t="s">
        <v>4731</v>
      </c>
      <c r="E5232" s="9" t="s">
        <v>323</v>
      </c>
      <c r="F5232" s="9" t="s">
        <v>211</v>
      </c>
      <c r="G5232" s="9" t="s">
        <v>221</v>
      </c>
      <c r="H5232" s="9" t="n">
        <v>1000</v>
      </c>
      <c r="I5232" s="29" t="n">
        <v>0.4</v>
      </c>
      <c r="J5232" s="9" t="n">
        <v>0</v>
      </c>
      <c r="K5232" s="30"/>
      <c r="L5232" s="30"/>
      <c r="M5232" s="30"/>
      <c r="N5232" s="30"/>
      <c r="O5232" s="30"/>
      <c r="P5232" s="30"/>
      <c r="Q5232" s="30"/>
      <c r="R5232" s="30"/>
      <c r="S5232" s="30"/>
      <c r="T5232" s="30"/>
      <c r="U5232" s="21" t="str">
        <f aca="false">IF(COUNT(K5232:T5232)=0,"SOURCE EMPTY / INDUSTRIAL ONLY",IF(MIN(K5232:T5232)=1,"SERVICE READY","HOLD"))</f>
        <v>SOURCE EMPTY / INDUSTRIAL ONLY</v>
      </c>
      <c r="V5232" s="9" t="n">
        <f aca="false">IF(U5232="SERVICE READY",1,0)</f>
        <v>0</v>
      </c>
      <c r="W5232" s="6"/>
      <c r="X5232" s="6"/>
      <c r="Y5232" s="6"/>
      <c r="Z5232" s="6"/>
    </row>
    <row r="5233" customFormat="false" ht="15" hidden="false" customHeight="false" outlineLevel="0" collapsed="false">
      <c r="A5233" s="9" t="s">
        <v>5538</v>
      </c>
      <c r="B5233" s="9" t="s">
        <v>5446</v>
      </c>
      <c r="C5233" s="9" t="s">
        <v>5447</v>
      </c>
      <c r="D5233" s="9" t="s">
        <v>4731</v>
      </c>
      <c r="E5233" s="9" t="s">
        <v>323</v>
      </c>
      <c r="F5233" s="9" t="s">
        <v>197</v>
      </c>
      <c r="G5233" s="9" t="s">
        <v>221</v>
      </c>
      <c r="H5233" s="9" t="n">
        <v>1000</v>
      </c>
      <c r="I5233" s="29" t="n">
        <v>0.4</v>
      </c>
      <c r="J5233" s="9" t="n">
        <v>0</v>
      </c>
      <c r="K5233" s="30"/>
      <c r="L5233" s="30"/>
      <c r="M5233" s="30"/>
      <c r="N5233" s="30"/>
      <c r="O5233" s="30"/>
      <c r="P5233" s="30"/>
      <c r="Q5233" s="30"/>
      <c r="R5233" s="30"/>
      <c r="S5233" s="30"/>
      <c r="T5233" s="30"/>
      <c r="U5233" s="21" t="str">
        <f aca="false">IF(COUNT(K5233:T5233)=0,"SOURCE EMPTY / INDUSTRIAL ONLY",IF(MIN(K5233:T5233)=1,"SERVICE READY","HOLD"))</f>
        <v>SOURCE EMPTY / INDUSTRIAL ONLY</v>
      </c>
      <c r="V5233" s="9" t="n">
        <f aca="false">IF(U5233="SERVICE READY",1,0)</f>
        <v>0</v>
      </c>
      <c r="W5233" s="6"/>
      <c r="X5233" s="6"/>
      <c r="Y5233" s="6"/>
      <c r="Z5233" s="6"/>
    </row>
    <row r="5234" customFormat="false" ht="15" hidden="false" customHeight="false" outlineLevel="0" collapsed="false">
      <c r="A5234" s="9" t="s">
        <v>5539</v>
      </c>
      <c r="B5234" s="9" t="s">
        <v>5446</v>
      </c>
      <c r="C5234" s="9" t="s">
        <v>5447</v>
      </c>
      <c r="D5234" s="9" t="s">
        <v>4731</v>
      </c>
      <c r="E5234" s="9" t="s">
        <v>323</v>
      </c>
      <c r="F5234" s="9" t="s">
        <v>200</v>
      </c>
      <c r="G5234" s="9" t="s">
        <v>221</v>
      </c>
      <c r="H5234" s="9" t="n">
        <v>1000</v>
      </c>
      <c r="I5234" s="29" t="n">
        <v>0.4</v>
      </c>
      <c r="J5234" s="9" t="n">
        <v>0</v>
      </c>
      <c r="K5234" s="30"/>
      <c r="L5234" s="30"/>
      <c r="M5234" s="30"/>
      <c r="N5234" s="30"/>
      <c r="O5234" s="30"/>
      <c r="P5234" s="30"/>
      <c r="Q5234" s="30"/>
      <c r="R5234" s="30"/>
      <c r="S5234" s="30"/>
      <c r="T5234" s="30"/>
      <c r="U5234" s="21" t="str">
        <f aca="false">IF(COUNT(K5234:T5234)=0,"SOURCE EMPTY / INDUSTRIAL ONLY",IF(MIN(K5234:T5234)=1,"SERVICE READY","HOLD"))</f>
        <v>SOURCE EMPTY / INDUSTRIAL ONLY</v>
      </c>
      <c r="V5234" s="9" t="n">
        <f aca="false">IF(U5234="SERVICE READY",1,0)</f>
        <v>0</v>
      </c>
      <c r="W5234" s="6"/>
      <c r="X5234" s="6"/>
      <c r="Y5234" s="6"/>
      <c r="Z5234" s="6"/>
    </row>
    <row r="5235" customFormat="false" ht="15" hidden="false" customHeight="false" outlineLevel="0" collapsed="false">
      <c r="A5235" s="9" t="s">
        <v>5540</v>
      </c>
      <c r="B5235" s="9" t="s">
        <v>5446</v>
      </c>
      <c r="C5235" s="9" t="s">
        <v>5447</v>
      </c>
      <c r="D5235" s="9" t="s">
        <v>4731</v>
      </c>
      <c r="E5235" s="9" t="s">
        <v>323</v>
      </c>
      <c r="F5235" s="9" t="s">
        <v>203</v>
      </c>
      <c r="G5235" s="9" t="s">
        <v>221</v>
      </c>
      <c r="H5235" s="9" t="n">
        <v>1000</v>
      </c>
      <c r="I5235" s="29" t="n">
        <v>0.4</v>
      </c>
      <c r="J5235" s="9" t="n">
        <v>0</v>
      </c>
      <c r="K5235" s="30"/>
      <c r="L5235" s="30"/>
      <c r="M5235" s="30"/>
      <c r="N5235" s="30"/>
      <c r="O5235" s="30"/>
      <c r="P5235" s="30"/>
      <c r="Q5235" s="30"/>
      <c r="R5235" s="30"/>
      <c r="S5235" s="30"/>
      <c r="T5235" s="30"/>
      <c r="U5235" s="21" t="str">
        <f aca="false">IF(COUNT(K5235:T5235)=0,"SOURCE EMPTY / INDUSTRIAL ONLY",IF(MIN(K5235:T5235)=1,"SERVICE READY","HOLD"))</f>
        <v>SOURCE EMPTY / INDUSTRIAL ONLY</v>
      </c>
      <c r="V5235" s="9" t="n">
        <f aca="false">IF(U5235="SERVICE READY",1,0)</f>
        <v>0</v>
      </c>
      <c r="W5235" s="6"/>
      <c r="X5235" s="6"/>
      <c r="Y5235" s="6"/>
      <c r="Z5235" s="6"/>
    </row>
    <row r="5236" customFormat="false" ht="15" hidden="false" customHeight="false" outlineLevel="0" collapsed="false">
      <c r="A5236" s="9" t="s">
        <v>5541</v>
      </c>
      <c r="B5236" s="9" t="s">
        <v>5446</v>
      </c>
      <c r="C5236" s="9" t="s">
        <v>5447</v>
      </c>
      <c r="D5236" s="9" t="s">
        <v>4731</v>
      </c>
      <c r="E5236" s="9" t="s">
        <v>323</v>
      </c>
      <c r="F5236" s="9" t="s">
        <v>205</v>
      </c>
      <c r="G5236" s="9" t="s">
        <v>221</v>
      </c>
      <c r="H5236" s="9" t="n">
        <v>1000</v>
      </c>
      <c r="I5236" s="29" t="n">
        <v>0.4</v>
      </c>
      <c r="J5236" s="9" t="n">
        <v>0</v>
      </c>
      <c r="K5236" s="30"/>
      <c r="L5236" s="30"/>
      <c r="M5236" s="30"/>
      <c r="N5236" s="30"/>
      <c r="O5236" s="30"/>
      <c r="P5236" s="30"/>
      <c r="Q5236" s="30"/>
      <c r="R5236" s="30"/>
      <c r="S5236" s="30"/>
      <c r="T5236" s="30"/>
      <c r="U5236" s="21" t="str">
        <f aca="false">IF(COUNT(K5236:T5236)=0,"SOURCE EMPTY / INDUSTRIAL ONLY",IF(MIN(K5236:T5236)=1,"SERVICE READY","HOLD"))</f>
        <v>SOURCE EMPTY / INDUSTRIAL ONLY</v>
      </c>
      <c r="V5236" s="9" t="n">
        <f aca="false">IF(U5236="SERVICE READY",1,0)</f>
        <v>0</v>
      </c>
      <c r="W5236" s="6"/>
      <c r="X5236" s="6"/>
      <c r="Y5236" s="6"/>
      <c r="Z5236" s="6"/>
    </row>
    <row r="5237" customFormat="false" ht="15" hidden="false" customHeight="false" outlineLevel="0" collapsed="false">
      <c r="A5237" s="9" t="s">
        <v>5542</v>
      </c>
      <c r="B5237" s="9" t="s">
        <v>5446</v>
      </c>
      <c r="C5237" s="9" t="s">
        <v>5447</v>
      </c>
      <c r="D5237" s="9" t="s">
        <v>4731</v>
      </c>
      <c r="E5237" s="9" t="s">
        <v>323</v>
      </c>
      <c r="F5237" s="9" t="s">
        <v>207</v>
      </c>
      <c r="G5237" s="9" t="s">
        <v>221</v>
      </c>
      <c r="H5237" s="9" t="n">
        <v>1000</v>
      </c>
      <c r="I5237" s="29" t="n">
        <v>0.4</v>
      </c>
      <c r="J5237" s="9" t="n">
        <v>0</v>
      </c>
      <c r="K5237" s="30"/>
      <c r="L5237" s="30"/>
      <c r="M5237" s="30"/>
      <c r="N5237" s="30"/>
      <c r="O5237" s="30"/>
      <c r="P5237" s="30"/>
      <c r="Q5237" s="30"/>
      <c r="R5237" s="30"/>
      <c r="S5237" s="30"/>
      <c r="T5237" s="30"/>
      <c r="U5237" s="21" t="str">
        <f aca="false">IF(COUNT(K5237:T5237)=0,"SOURCE EMPTY / INDUSTRIAL ONLY",IF(MIN(K5237:T5237)=1,"SERVICE READY","HOLD"))</f>
        <v>SOURCE EMPTY / INDUSTRIAL ONLY</v>
      </c>
      <c r="V5237" s="9" t="n">
        <f aca="false">IF(U5237="SERVICE READY",1,0)</f>
        <v>0</v>
      </c>
      <c r="W5237" s="6"/>
      <c r="X5237" s="6"/>
      <c r="Y5237" s="6"/>
      <c r="Z5237" s="6"/>
    </row>
    <row r="5238" customFormat="false" ht="15" hidden="false" customHeight="false" outlineLevel="0" collapsed="false">
      <c r="A5238" s="9" t="s">
        <v>5543</v>
      </c>
      <c r="B5238" s="9" t="s">
        <v>5446</v>
      </c>
      <c r="C5238" s="9" t="s">
        <v>5447</v>
      </c>
      <c r="D5238" s="9" t="s">
        <v>4731</v>
      </c>
      <c r="E5238" s="9" t="s">
        <v>323</v>
      </c>
      <c r="F5238" s="9" t="s">
        <v>209</v>
      </c>
      <c r="G5238" s="9" t="s">
        <v>221</v>
      </c>
      <c r="H5238" s="9" t="n">
        <v>1000</v>
      </c>
      <c r="I5238" s="29" t="n">
        <v>0.4</v>
      </c>
      <c r="J5238" s="9" t="n">
        <v>0</v>
      </c>
      <c r="K5238" s="30"/>
      <c r="L5238" s="30"/>
      <c r="M5238" s="30"/>
      <c r="N5238" s="30"/>
      <c r="O5238" s="30"/>
      <c r="P5238" s="30"/>
      <c r="Q5238" s="30"/>
      <c r="R5238" s="30"/>
      <c r="S5238" s="30"/>
      <c r="T5238" s="30"/>
      <c r="U5238" s="21" t="str">
        <f aca="false">IF(COUNT(K5238:T5238)=0,"SOURCE EMPTY / INDUSTRIAL ONLY",IF(MIN(K5238:T5238)=1,"SERVICE READY","HOLD"))</f>
        <v>SOURCE EMPTY / INDUSTRIAL ONLY</v>
      </c>
      <c r="V5238" s="9" t="n">
        <f aca="false">IF(U5238="SERVICE READY",1,0)</f>
        <v>0</v>
      </c>
      <c r="W5238" s="6"/>
      <c r="X5238" s="6"/>
      <c r="Y5238" s="6"/>
      <c r="Z5238" s="6"/>
    </row>
    <row r="5239" customFormat="false" ht="15" hidden="false" customHeight="false" outlineLevel="0" collapsed="false">
      <c r="A5239" s="9" t="s">
        <v>5544</v>
      </c>
      <c r="B5239" s="9" t="s">
        <v>5446</v>
      </c>
      <c r="C5239" s="9" t="s">
        <v>5447</v>
      </c>
      <c r="D5239" s="9" t="s">
        <v>4731</v>
      </c>
      <c r="E5239" s="9" t="s">
        <v>323</v>
      </c>
      <c r="F5239" s="9" t="s">
        <v>211</v>
      </c>
      <c r="G5239" s="9" t="s">
        <v>221</v>
      </c>
      <c r="H5239" s="9" t="n">
        <v>1000</v>
      </c>
      <c r="I5239" s="29" t="n">
        <v>0.4</v>
      </c>
      <c r="J5239" s="9" t="n">
        <v>0</v>
      </c>
      <c r="K5239" s="30"/>
      <c r="L5239" s="30"/>
      <c r="M5239" s="30"/>
      <c r="N5239" s="30"/>
      <c r="O5239" s="30"/>
      <c r="P5239" s="30"/>
      <c r="Q5239" s="30"/>
      <c r="R5239" s="30"/>
      <c r="S5239" s="30"/>
      <c r="T5239" s="30"/>
      <c r="U5239" s="21" t="str">
        <f aca="false">IF(COUNT(K5239:T5239)=0,"SOURCE EMPTY / INDUSTRIAL ONLY",IF(MIN(K5239:T5239)=1,"SERVICE READY","HOLD"))</f>
        <v>SOURCE EMPTY / INDUSTRIAL ONLY</v>
      </c>
      <c r="V5239" s="9" t="n">
        <f aca="false">IF(U5239="SERVICE READY",1,0)</f>
        <v>0</v>
      </c>
      <c r="W5239" s="6"/>
      <c r="X5239" s="6"/>
      <c r="Y5239" s="6"/>
      <c r="Z5239" s="6"/>
    </row>
    <row r="5240" customFormat="false" ht="15" hidden="false" customHeight="false" outlineLevel="0" collapsed="false">
      <c r="A5240" s="9" t="s">
        <v>5545</v>
      </c>
      <c r="B5240" s="9" t="s">
        <v>5446</v>
      </c>
      <c r="C5240" s="9" t="s">
        <v>5447</v>
      </c>
      <c r="D5240" s="9" t="s">
        <v>4731</v>
      </c>
      <c r="E5240" s="9" t="s">
        <v>323</v>
      </c>
      <c r="F5240" s="9" t="s">
        <v>197</v>
      </c>
      <c r="G5240" s="9" t="s">
        <v>221</v>
      </c>
      <c r="H5240" s="9" t="n">
        <v>1000</v>
      </c>
      <c r="I5240" s="29" t="n">
        <v>0.4</v>
      </c>
      <c r="J5240" s="9" t="n">
        <v>0</v>
      </c>
      <c r="K5240" s="30"/>
      <c r="L5240" s="30"/>
      <c r="M5240" s="30"/>
      <c r="N5240" s="30"/>
      <c r="O5240" s="30"/>
      <c r="P5240" s="30"/>
      <c r="Q5240" s="30"/>
      <c r="R5240" s="30"/>
      <c r="S5240" s="30"/>
      <c r="T5240" s="30"/>
      <c r="U5240" s="21" t="str">
        <f aca="false">IF(COUNT(K5240:T5240)=0,"SOURCE EMPTY / INDUSTRIAL ONLY",IF(MIN(K5240:T5240)=1,"SERVICE READY","HOLD"))</f>
        <v>SOURCE EMPTY / INDUSTRIAL ONLY</v>
      </c>
      <c r="V5240" s="9" t="n">
        <f aca="false">IF(U5240="SERVICE READY",1,0)</f>
        <v>0</v>
      </c>
      <c r="W5240" s="6"/>
      <c r="X5240" s="6"/>
      <c r="Y5240" s="6"/>
      <c r="Z5240" s="6"/>
    </row>
    <row r="5241" customFormat="false" ht="15" hidden="false" customHeight="false" outlineLevel="0" collapsed="false">
      <c r="A5241" s="9" t="s">
        <v>5546</v>
      </c>
      <c r="B5241" s="9" t="s">
        <v>5446</v>
      </c>
      <c r="C5241" s="9" t="s">
        <v>5447</v>
      </c>
      <c r="D5241" s="9" t="s">
        <v>4731</v>
      </c>
      <c r="E5241" s="9" t="s">
        <v>323</v>
      </c>
      <c r="F5241" s="9" t="s">
        <v>200</v>
      </c>
      <c r="G5241" s="9" t="s">
        <v>221</v>
      </c>
      <c r="H5241" s="9" t="n">
        <v>1000</v>
      </c>
      <c r="I5241" s="29" t="n">
        <v>0.4</v>
      </c>
      <c r="J5241" s="9" t="n">
        <v>0</v>
      </c>
      <c r="K5241" s="30"/>
      <c r="L5241" s="30"/>
      <c r="M5241" s="30"/>
      <c r="N5241" s="30"/>
      <c r="O5241" s="30"/>
      <c r="P5241" s="30"/>
      <c r="Q5241" s="30"/>
      <c r="R5241" s="30"/>
      <c r="S5241" s="30"/>
      <c r="T5241" s="30"/>
      <c r="U5241" s="21" t="str">
        <f aca="false">IF(COUNT(K5241:T5241)=0,"SOURCE EMPTY / INDUSTRIAL ONLY",IF(MIN(K5241:T5241)=1,"SERVICE READY","HOLD"))</f>
        <v>SOURCE EMPTY / INDUSTRIAL ONLY</v>
      </c>
      <c r="V5241" s="9" t="n">
        <f aca="false">IF(U5241="SERVICE READY",1,0)</f>
        <v>0</v>
      </c>
      <c r="W5241" s="6"/>
      <c r="X5241" s="6"/>
      <c r="Y5241" s="6"/>
      <c r="Z5241" s="6"/>
    </row>
    <row r="5242" customFormat="false" ht="15" hidden="false" customHeight="false" outlineLevel="0" collapsed="false">
      <c r="A5242" s="9" t="s">
        <v>5547</v>
      </c>
      <c r="B5242" s="9" t="s">
        <v>5446</v>
      </c>
      <c r="C5242" s="9" t="s">
        <v>5447</v>
      </c>
      <c r="D5242" s="9" t="s">
        <v>4731</v>
      </c>
      <c r="E5242" s="9" t="s">
        <v>323</v>
      </c>
      <c r="F5242" s="9" t="s">
        <v>203</v>
      </c>
      <c r="G5242" s="9" t="s">
        <v>221</v>
      </c>
      <c r="H5242" s="9" t="n">
        <v>1000</v>
      </c>
      <c r="I5242" s="29" t="n">
        <v>0.4</v>
      </c>
      <c r="J5242" s="9" t="n">
        <v>0</v>
      </c>
      <c r="K5242" s="30"/>
      <c r="L5242" s="30"/>
      <c r="M5242" s="30"/>
      <c r="N5242" s="30"/>
      <c r="O5242" s="30"/>
      <c r="P5242" s="30"/>
      <c r="Q5242" s="30"/>
      <c r="R5242" s="30"/>
      <c r="S5242" s="30"/>
      <c r="T5242" s="30"/>
      <c r="U5242" s="21" t="str">
        <f aca="false">IF(COUNT(K5242:T5242)=0,"SOURCE EMPTY / INDUSTRIAL ONLY",IF(MIN(K5242:T5242)=1,"SERVICE READY","HOLD"))</f>
        <v>SOURCE EMPTY / INDUSTRIAL ONLY</v>
      </c>
      <c r="V5242" s="9" t="n">
        <f aca="false">IF(U5242="SERVICE READY",1,0)</f>
        <v>0</v>
      </c>
      <c r="W5242" s="6"/>
      <c r="X5242" s="6"/>
      <c r="Y5242" s="6"/>
      <c r="Z5242" s="6"/>
    </row>
    <row r="5243" customFormat="false" ht="15" hidden="false" customHeight="false" outlineLevel="0" collapsed="false">
      <c r="A5243" s="9" t="s">
        <v>5548</v>
      </c>
      <c r="B5243" s="9" t="s">
        <v>5446</v>
      </c>
      <c r="C5243" s="9" t="s">
        <v>5447</v>
      </c>
      <c r="D5243" s="9" t="s">
        <v>4731</v>
      </c>
      <c r="E5243" s="9" t="s">
        <v>323</v>
      </c>
      <c r="F5243" s="9" t="s">
        <v>205</v>
      </c>
      <c r="G5243" s="9" t="s">
        <v>221</v>
      </c>
      <c r="H5243" s="9" t="n">
        <v>1000</v>
      </c>
      <c r="I5243" s="29" t="n">
        <v>0.4</v>
      </c>
      <c r="J5243" s="9" t="n">
        <v>0</v>
      </c>
      <c r="K5243" s="30"/>
      <c r="L5243" s="30"/>
      <c r="M5243" s="30"/>
      <c r="N5243" s="30"/>
      <c r="O5243" s="30"/>
      <c r="P5243" s="30"/>
      <c r="Q5243" s="30"/>
      <c r="R5243" s="30"/>
      <c r="S5243" s="30"/>
      <c r="T5243" s="30"/>
      <c r="U5243" s="21" t="str">
        <f aca="false">IF(COUNT(K5243:T5243)=0,"SOURCE EMPTY / INDUSTRIAL ONLY",IF(MIN(K5243:T5243)=1,"SERVICE READY","HOLD"))</f>
        <v>SOURCE EMPTY / INDUSTRIAL ONLY</v>
      </c>
      <c r="V5243" s="9" t="n">
        <f aca="false">IF(U5243="SERVICE READY",1,0)</f>
        <v>0</v>
      </c>
      <c r="W5243" s="6"/>
      <c r="X5243" s="6"/>
      <c r="Y5243" s="6"/>
      <c r="Z5243" s="6"/>
    </row>
    <row r="5244" customFormat="false" ht="15" hidden="false" customHeight="false" outlineLevel="0" collapsed="false">
      <c r="A5244" s="9" t="s">
        <v>5549</v>
      </c>
      <c r="B5244" s="9" t="s">
        <v>5446</v>
      </c>
      <c r="C5244" s="9" t="s">
        <v>5447</v>
      </c>
      <c r="D5244" s="9" t="s">
        <v>4731</v>
      </c>
      <c r="E5244" s="9" t="s">
        <v>323</v>
      </c>
      <c r="F5244" s="9" t="s">
        <v>207</v>
      </c>
      <c r="G5244" s="9" t="s">
        <v>221</v>
      </c>
      <c r="H5244" s="9" t="n">
        <v>1000</v>
      </c>
      <c r="I5244" s="29" t="n">
        <v>0.4</v>
      </c>
      <c r="J5244" s="9" t="n">
        <v>0</v>
      </c>
      <c r="K5244" s="30"/>
      <c r="L5244" s="30"/>
      <c r="M5244" s="30"/>
      <c r="N5244" s="30"/>
      <c r="O5244" s="30"/>
      <c r="P5244" s="30"/>
      <c r="Q5244" s="30"/>
      <c r="R5244" s="30"/>
      <c r="S5244" s="30"/>
      <c r="T5244" s="30"/>
      <c r="U5244" s="21" t="str">
        <f aca="false">IF(COUNT(K5244:T5244)=0,"SOURCE EMPTY / INDUSTRIAL ONLY",IF(MIN(K5244:T5244)=1,"SERVICE READY","HOLD"))</f>
        <v>SOURCE EMPTY / INDUSTRIAL ONLY</v>
      </c>
      <c r="V5244" s="9" t="n">
        <f aca="false">IF(U5244="SERVICE READY",1,0)</f>
        <v>0</v>
      </c>
      <c r="W5244" s="6"/>
      <c r="X5244" s="6"/>
      <c r="Y5244" s="6"/>
      <c r="Z5244" s="6"/>
    </row>
    <row r="5245" customFormat="false" ht="15" hidden="false" customHeight="false" outlineLevel="0" collapsed="false">
      <c r="A5245" s="9" t="s">
        <v>5550</v>
      </c>
      <c r="B5245" s="9" t="s">
        <v>5446</v>
      </c>
      <c r="C5245" s="9" t="s">
        <v>5447</v>
      </c>
      <c r="D5245" s="9" t="s">
        <v>4731</v>
      </c>
      <c r="E5245" s="9" t="s">
        <v>323</v>
      </c>
      <c r="F5245" s="9" t="s">
        <v>209</v>
      </c>
      <c r="G5245" s="9" t="s">
        <v>221</v>
      </c>
      <c r="H5245" s="9" t="n">
        <v>1000</v>
      </c>
      <c r="I5245" s="29" t="n">
        <v>0.4</v>
      </c>
      <c r="J5245" s="9" t="n">
        <v>0</v>
      </c>
      <c r="K5245" s="30"/>
      <c r="L5245" s="30"/>
      <c r="M5245" s="30"/>
      <c r="N5245" s="30"/>
      <c r="O5245" s="30"/>
      <c r="P5245" s="30"/>
      <c r="Q5245" s="30"/>
      <c r="R5245" s="30"/>
      <c r="S5245" s="30"/>
      <c r="T5245" s="30"/>
      <c r="U5245" s="21" t="str">
        <f aca="false">IF(COUNT(K5245:T5245)=0,"SOURCE EMPTY / INDUSTRIAL ONLY",IF(MIN(K5245:T5245)=1,"SERVICE READY","HOLD"))</f>
        <v>SOURCE EMPTY / INDUSTRIAL ONLY</v>
      </c>
      <c r="V5245" s="9" t="n">
        <f aca="false">IF(U5245="SERVICE READY",1,0)</f>
        <v>0</v>
      </c>
      <c r="W5245" s="6"/>
      <c r="X5245" s="6"/>
      <c r="Y5245" s="6"/>
      <c r="Z5245" s="6"/>
    </row>
    <row r="5246" customFormat="false" ht="15" hidden="false" customHeight="false" outlineLevel="0" collapsed="false">
      <c r="A5246" s="9" t="s">
        <v>5551</v>
      </c>
      <c r="B5246" s="9" t="s">
        <v>5446</v>
      </c>
      <c r="C5246" s="9" t="s">
        <v>5447</v>
      </c>
      <c r="D5246" s="9" t="s">
        <v>4731</v>
      </c>
      <c r="E5246" s="9" t="s">
        <v>323</v>
      </c>
      <c r="F5246" s="9" t="s">
        <v>211</v>
      </c>
      <c r="G5246" s="9" t="s">
        <v>221</v>
      </c>
      <c r="H5246" s="9" t="n">
        <v>1000</v>
      </c>
      <c r="I5246" s="29" t="n">
        <v>0.4</v>
      </c>
      <c r="J5246" s="9" t="n">
        <v>0</v>
      </c>
      <c r="K5246" s="30"/>
      <c r="L5246" s="30"/>
      <c r="M5246" s="30"/>
      <c r="N5246" s="30"/>
      <c r="O5246" s="30"/>
      <c r="P5246" s="30"/>
      <c r="Q5246" s="30"/>
      <c r="R5246" s="30"/>
      <c r="S5246" s="30"/>
      <c r="T5246" s="30"/>
      <c r="U5246" s="21" t="str">
        <f aca="false">IF(COUNT(K5246:T5246)=0,"SOURCE EMPTY / INDUSTRIAL ONLY",IF(MIN(K5246:T5246)=1,"SERVICE READY","HOLD"))</f>
        <v>SOURCE EMPTY / INDUSTRIAL ONLY</v>
      </c>
      <c r="V5246" s="9" t="n">
        <f aca="false">IF(U5246="SERVICE READY",1,0)</f>
        <v>0</v>
      </c>
      <c r="W5246" s="6"/>
      <c r="X5246" s="6"/>
      <c r="Y5246" s="6"/>
      <c r="Z5246" s="6"/>
    </row>
    <row r="5247" customFormat="false" ht="15" hidden="false" customHeight="false" outlineLevel="0" collapsed="false">
      <c r="A5247" s="9" t="s">
        <v>5552</v>
      </c>
      <c r="B5247" s="9" t="s">
        <v>5446</v>
      </c>
      <c r="C5247" s="9" t="s">
        <v>5447</v>
      </c>
      <c r="D5247" s="9" t="s">
        <v>4731</v>
      </c>
      <c r="E5247" s="9" t="s">
        <v>323</v>
      </c>
      <c r="F5247" s="9" t="s">
        <v>197</v>
      </c>
      <c r="G5247" s="9" t="s">
        <v>221</v>
      </c>
      <c r="H5247" s="9" t="n">
        <v>1000</v>
      </c>
      <c r="I5247" s="29" t="n">
        <v>0.4</v>
      </c>
      <c r="J5247" s="9" t="n">
        <v>0</v>
      </c>
      <c r="K5247" s="30"/>
      <c r="L5247" s="30"/>
      <c r="M5247" s="30"/>
      <c r="N5247" s="30"/>
      <c r="O5247" s="30"/>
      <c r="P5247" s="30"/>
      <c r="Q5247" s="30"/>
      <c r="R5247" s="30"/>
      <c r="S5247" s="30"/>
      <c r="T5247" s="30"/>
      <c r="U5247" s="21" t="str">
        <f aca="false">IF(COUNT(K5247:T5247)=0,"SOURCE EMPTY / INDUSTRIAL ONLY",IF(MIN(K5247:T5247)=1,"SERVICE READY","HOLD"))</f>
        <v>SOURCE EMPTY / INDUSTRIAL ONLY</v>
      </c>
      <c r="V5247" s="9" t="n">
        <f aca="false">IF(U5247="SERVICE READY",1,0)</f>
        <v>0</v>
      </c>
      <c r="W5247" s="6"/>
      <c r="X5247" s="6"/>
      <c r="Y5247" s="6"/>
      <c r="Z5247" s="6"/>
    </row>
    <row r="5248" customFormat="false" ht="15" hidden="false" customHeight="false" outlineLevel="0" collapsed="false">
      <c r="A5248" s="9" t="s">
        <v>5553</v>
      </c>
      <c r="B5248" s="9" t="s">
        <v>5446</v>
      </c>
      <c r="C5248" s="9" t="s">
        <v>5447</v>
      </c>
      <c r="D5248" s="9" t="s">
        <v>4731</v>
      </c>
      <c r="E5248" s="9" t="s">
        <v>323</v>
      </c>
      <c r="F5248" s="9" t="s">
        <v>200</v>
      </c>
      <c r="G5248" s="9" t="s">
        <v>221</v>
      </c>
      <c r="H5248" s="9" t="n">
        <v>1000</v>
      </c>
      <c r="I5248" s="29" t="n">
        <v>0.4</v>
      </c>
      <c r="J5248" s="9" t="n">
        <v>0</v>
      </c>
      <c r="K5248" s="30"/>
      <c r="L5248" s="30"/>
      <c r="M5248" s="30"/>
      <c r="N5248" s="30"/>
      <c r="O5248" s="30"/>
      <c r="P5248" s="30"/>
      <c r="Q5248" s="30"/>
      <c r="R5248" s="30"/>
      <c r="S5248" s="30"/>
      <c r="T5248" s="30"/>
      <c r="U5248" s="21" t="str">
        <f aca="false">IF(COUNT(K5248:T5248)=0,"SOURCE EMPTY / INDUSTRIAL ONLY",IF(MIN(K5248:T5248)=1,"SERVICE READY","HOLD"))</f>
        <v>SOURCE EMPTY / INDUSTRIAL ONLY</v>
      </c>
      <c r="V5248" s="9" t="n">
        <f aca="false">IF(U5248="SERVICE READY",1,0)</f>
        <v>0</v>
      </c>
      <c r="W5248" s="6"/>
      <c r="X5248" s="6"/>
      <c r="Y5248" s="6"/>
      <c r="Z5248" s="6"/>
    </row>
    <row r="5249" customFormat="false" ht="15" hidden="false" customHeight="false" outlineLevel="0" collapsed="false">
      <c r="A5249" s="9" t="s">
        <v>5554</v>
      </c>
      <c r="B5249" s="9" t="s">
        <v>5446</v>
      </c>
      <c r="C5249" s="9" t="s">
        <v>5447</v>
      </c>
      <c r="D5249" s="9" t="s">
        <v>4731</v>
      </c>
      <c r="E5249" s="9" t="s">
        <v>323</v>
      </c>
      <c r="F5249" s="9" t="s">
        <v>203</v>
      </c>
      <c r="G5249" s="9" t="s">
        <v>221</v>
      </c>
      <c r="H5249" s="9" t="n">
        <v>1000</v>
      </c>
      <c r="I5249" s="29" t="n">
        <v>0.4</v>
      </c>
      <c r="J5249" s="9" t="n">
        <v>0</v>
      </c>
      <c r="K5249" s="30"/>
      <c r="L5249" s="30"/>
      <c r="M5249" s="30"/>
      <c r="N5249" s="30"/>
      <c r="O5249" s="30"/>
      <c r="P5249" s="30"/>
      <c r="Q5249" s="30"/>
      <c r="R5249" s="30"/>
      <c r="S5249" s="30"/>
      <c r="T5249" s="30"/>
      <c r="U5249" s="21" t="str">
        <f aca="false">IF(COUNT(K5249:T5249)=0,"SOURCE EMPTY / INDUSTRIAL ONLY",IF(MIN(K5249:T5249)=1,"SERVICE READY","HOLD"))</f>
        <v>SOURCE EMPTY / INDUSTRIAL ONLY</v>
      </c>
      <c r="V5249" s="9" t="n">
        <f aca="false">IF(U5249="SERVICE READY",1,0)</f>
        <v>0</v>
      </c>
      <c r="W5249" s="6"/>
      <c r="X5249" s="6"/>
      <c r="Y5249" s="6"/>
      <c r="Z5249" s="6"/>
    </row>
    <row r="5250" customFormat="false" ht="15" hidden="false" customHeight="false" outlineLevel="0" collapsed="false">
      <c r="A5250" s="9" t="s">
        <v>5555</v>
      </c>
      <c r="B5250" s="9" t="s">
        <v>5446</v>
      </c>
      <c r="C5250" s="9" t="s">
        <v>5447</v>
      </c>
      <c r="D5250" s="9" t="s">
        <v>4731</v>
      </c>
      <c r="E5250" s="9" t="s">
        <v>323</v>
      </c>
      <c r="F5250" s="9" t="s">
        <v>205</v>
      </c>
      <c r="G5250" s="9" t="s">
        <v>221</v>
      </c>
      <c r="H5250" s="9" t="n">
        <v>1000</v>
      </c>
      <c r="I5250" s="29" t="n">
        <v>0.4</v>
      </c>
      <c r="J5250" s="9" t="n">
        <v>0</v>
      </c>
      <c r="K5250" s="30"/>
      <c r="L5250" s="30"/>
      <c r="M5250" s="30"/>
      <c r="N5250" s="30"/>
      <c r="O5250" s="30"/>
      <c r="P5250" s="30"/>
      <c r="Q5250" s="30"/>
      <c r="R5250" s="30"/>
      <c r="S5250" s="30"/>
      <c r="T5250" s="30"/>
      <c r="U5250" s="21" t="str">
        <f aca="false">IF(COUNT(K5250:T5250)=0,"SOURCE EMPTY / INDUSTRIAL ONLY",IF(MIN(K5250:T5250)=1,"SERVICE READY","HOLD"))</f>
        <v>SOURCE EMPTY / INDUSTRIAL ONLY</v>
      </c>
      <c r="V5250" s="9" t="n">
        <f aca="false">IF(U5250="SERVICE READY",1,0)</f>
        <v>0</v>
      </c>
      <c r="W5250" s="6"/>
      <c r="X5250" s="6"/>
      <c r="Y5250" s="6"/>
      <c r="Z5250" s="6"/>
    </row>
    <row r="5251" customFormat="false" ht="15" hidden="false" customHeight="false" outlineLevel="0" collapsed="false">
      <c r="A5251" s="9" t="s">
        <v>5556</v>
      </c>
      <c r="B5251" s="9" t="s">
        <v>5446</v>
      </c>
      <c r="C5251" s="9" t="s">
        <v>5447</v>
      </c>
      <c r="D5251" s="9" t="s">
        <v>4731</v>
      </c>
      <c r="E5251" s="9" t="s">
        <v>323</v>
      </c>
      <c r="F5251" s="9" t="s">
        <v>207</v>
      </c>
      <c r="G5251" s="9" t="s">
        <v>221</v>
      </c>
      <c r="H5251" s="9" t="n">
        <v>1000</v>
      </c>
      <c r="I5251" s="29" t="n">
        <v>0.4</v>
      </c>
      <c r="J5251" s="9" t="n">
        <v>0</v>
      </c>
      <c r="K5251" s="30"/>
      <c r="L5251" s="30"/>
      <c r="M5251" s="30"/>
      <c r="N5251" s="30"/>
      <c r="O5251" s="30"/>
      <c r="P5251" s="30"/>
      <c r="Q5251" s="30"/>
      <c r="R5251" s="30"/>
      <c r="S5251" s="30"/>
      <c r="T5251" s="30"/>
      <c r="U5251" s="21" t="str">
        <f aca="false">IF(COUNT(K5251:T5251)=0,"SOURCE EMPTY / INDUSTRIAL ONLY",IF(MIN(K5251:T5251)=1,"SERVICE READY","HOLD"))</f>
        <v>SOURCE EMPTY / INDUSTRIAL ONLY</v>
      </c>
      <c r="V5251" s="9" t="n">
        <f aca="false">IF(U5251="SERVICE READY",1,0)</f>
        <v>0</v>
      </c>
      <c r="W5251" s="6"/>
      <c r="X5251" s="6"/>
      <c r="Y5251" s="6"/>
      <c r="Z5251" s="6"/>
    </row>
    <row r="5252" customFormat="false" ht="15" hidden="false" customHeight="false" outlineLevel="0" collapsed="false">
      <c r="A5252" s="9" t="s">
        <v>5557</v>
      </c>
      <c r="B5252" s="9" t="s">
        <v>5446</v>
      </c>
      <c r="C5252" s="9" t="s">
        <v>5447</v>
      </c>
      <c r="D5252" s="9" t="s">
        <v>4731</v>
      </c>
      <c r="E5252" s="9" t="s">
        <v>323</v>
      </c>
      <c r="F5252" s="9" t="s">
        <v>209</v>
      </c>
      <c r="G5252" s="9" t="s">
        <v>221</v>
      </c>
      <c r="H5252" s="9" t="n">
        <v>1000</v>
      </c>
      <c r="I5252" s="29" t="n">
        <v>0.4</v>
      </c>
      <c r="J5252" s="9" t="n">
        <v>0</v>
      </c>
      <c r="K5252" s="30"/>
      <c r="L5252" s="30"/>
      <c r="M5252" s="30"/>
      <c r="N5252" s="30"/>
      <c r="O5252" s="30"/>
      <c r="P5252" s="30"/>
      <c r="Q5252" s="30"/>
      <c r="R5252" s="30"/>
      <c r="S5252" s="30"/>
      <c r="T5252" s="30"/>
      <c r="U5252" s="21" t="str">
        <f aca="false">IF(COUNT(K5252:T5252)=0,"SOURCE EMPTY / INDUSTRIAL ONLY",IF(MIN(K5252:T5252)=1,"SERVICE READY","HOLD"))</f>
        <v>SOURCE EMPTY / INDUSTRIAL ONLY</v>
      </c>
      <c r="V5252" s="9" t="n">
        <f aca="false">IF(U5252="SERVICE READY",1,0)</f>
        <v>0</v>
      </c>
      <c r="W5252" s="6"/>
      <c r="X5252" s="6"/>
      <c r="Y5252" s="6"/>
      <c r="Z5252" s="6"/>
    </row>
    <row r="5253" customFormat="false" ht="15" hidden="false" customHeight="false" outlineLevel="0" collapsed="false">
      <c r="A5253" s="9" t="s">
        <v>5558</v>
      </c>
      <c r="B5253" s="9" t="s">
        <v>5446</v>
      </c>
      <c r="C5253" s="9" t="s">
        <v>5447</v>
      </c>
      <c r="D5253" s="9" t="s">
        <v>4731</v>
      </c>
      <c r="E5253" s="9" t="s">
        <v>323</v>
      </c>
      <c r="F5253" s="9" t="s">
        <v>211</v>
      </c>
      <c r="G5253" s="9" t="s">
        <v>221</v>
      </c>
      <c r="H5253" s="9" t="n">
        <v>1000</v>
      </c>
      <c r="I5253" s="29" t="n">
        <v>0.4</v>
      </c>
      <c r="J5253" s="9" t="n">
        <v>0</v>
      </c>
      <c r="K5253" s="30"/>
      <c r="L5253" s="30"/>
      <c r="M5253" s="30"/>
      <c r="N5253" s="30"/>
      <c r="O5253" s="30"/>
      <c r="P5253" s="30"/>
      <c r="Q5253" s="30"/>
      <c r="R5253" s="30"/>
      <c r="S5253" s="30"/>
      <c r="T5253" s="30"/>
      <c r="U5253" s="21" t="str">
        <f aca="false">IF(COUNT(K5253:T5253)=0,"SOURCE EMPTY / INDUSTRIAL ONLY",IF(MIN(K5253:T5253)=1,"SERVICE READY","HOLD"))</f>
        <v>SOURCE EMPTY / INDUSTRIAL ONLY</v>
      </c>
      <c r="V5253" s="9" t="n">
        <f aca="false">IF(U5253="SERVICE READY",1,0)</f>
        <v>0</v>
      </c>
      <c r="W5253" s="6"/>
      <c r="X5253" s="6"/>
      <c r="Y5253" s="6"/>
      <c r="Z5253" s="6"/>
    </row>
    <row r="5254" customFormat="false" ht="15" hidden="false" customHeight="false" outlineLevel="0" collapsed="false">
      <c r="A5254" s="9" t="s">
        <v>5559</v>
      </c>
      <c r="B5254" s="9" t="s">
        <v>5446</v>
      </c>
      <c r="C5254" s="9" t="s">
        <v>5447</v>
      </c>
      <c r="D5254" s="9" t="s">
        <v>4731</v>
      </c>
      <c r="E5254" s="9" t="s">
        <v>323</v>
      </c>
      <c r="F5254" s="9" t="s">
        <v>197</v>
      </c>
      <c r="G5254" s="9" t="s">
        <v>221</v>
      </c>
      <c r="H5254" s="9" t="n">
        <v>1000</v>
      </c>
      <c r="I5254" s="29" t="n">
        <v>0.4</v>
      </c>
      <c r="J5254" s="9" t="n">
        <v>0</v>
      </c>
      <c r="K5254" s="30"/>
      <c r="L5254" s="30"/>
      <c r="M5254" s="30"/>
      <c r="N5254" s="30"/>
      <c r="O5254" s="30"/>
      <c r="P5254" s="30"/>
      <c r="Q5254" s="30"/>
      <c r="R5254" s="30"/>
      <c r="S5254" s="30"/>
      <c r="T5254" s="30"/>
      <c r="U5254" s="21" t="str">
        <f aca="false">IF(COUNT(K5254:T5254)=0,"SOURCE EMPTY / INDUSTRIAL ONLY",IF(MIN(K5254:T5254)=1,"SERVICE READY","HOLD"))</f>
        <v>SOURCE EMPTY / INDUSTRIAL ONLY</v>
      </c>
      <c r="V5254" s="9" t="n">
        <f aca="false">IF(U5254="SERVICE READY",1,0)</f>
        <v>0</v>
      </c>
      <c r="W5254" s="6"/>
      <c r="X5254" s="6"/>
      <c r="Y5254" s="6"/>
      <c r="Z5254" s="6"/>
    </row>
    <row r="5255" customFormat="false" ht="15" hidden="false" customHeight="false" outlineLevel="0" collapsed="false">
      <c r="A5255" s="9" t="s">
        <v>5560</v>
      </c>
      <c r="B5255" s="9" t="s">
        <v>5446</v>
      </c>
      <c r="C5255" s="9" t="s">
        <v>5447</v>
      </c>
      <c r="D5255" s="9" t="s">
        <v>4731</v>
      </c>
      <c r="E5255" s="9" t="s">
        <v>323</v>
      </c>
      <c r="F5255" s="9" t="s">
        <v>200</v>
      </c>
      <c r="G5255" s="9" t="s">
        <v>221</v>
      </c>
      <c r="H5255" s="9" t="n">
        <v>1000</v>
      </c>
      <c r="I5255" s="29" t="n">
        <v>0.4</v>
      </c>
      <c r="J5255" s="9" t="n">
        <v>0</v>
      </c>
      <c r="K5255" s="30"/>
      <c r="L5255" s="30"/>
      <c r="M5255" s="30"/>
      <c r="N5255" s="30"/>
      <c r="O5255" s="30"/>
      <c r="P5255" s="30"/>
      <c r="Q5255" s="30"/>
      <c r="R5255" s="30"/>
      <c r="S5255" s="30"/>
      <c r="T5255" s="30"/>
      <c r="U5255" s="21" t="str">
        <f aca="false">IF(COUNT(K5255:T5255)=0,"SOURCE EMPTY / INDUSTRIAL ONLY",IF(MIN(K5255:T5255)=1,"SERVICE READY","HOLD"))</f>
        <v>SOURCE EMPTY / INDUSTRIAL ONLY</v>
      </c>
      <c r="V5255" s="9" t="n">
        <f aca="false">IF(U5255="SERVICE READY",1,0)</f>
        <v>0</v>
      </c>
      <c r="W5255" s="6"/>
      <c r="X5255" s="6"/>
      <c r="Y5255" s="6"/>
      <c r="Z5255" s="6"/>
    </row>
    <row r="5256" customFormat="false" ht="15" hidden="false" customHeight="false" outlineLevel="0" collapsed="false">
      <c r="A5256" s="9" t="s">
        <v>5561</v>
      </c>
      <c r="B5256" s="9" t="s">
        <v>5446</v>
      </c>
      <c r="C5256" s="9" t="s">
        <v>5447</v>
      </c>
      <c r="D5256" s="9" t="s">
        <v>4731</v>
      </c>
      <c r="E5256" s="9" t="s">
        <v>323</v>
      </c>
      <c r="F5256" s="9" t="s">
        <v>203</v>
      </c>
      <c r="G5256" s="9" t="s">
        <v>221</v>
      </c>
      <c r="H5256" s="9" t="n">
        <v>1000</v>
      </c>
      <c r="I5256" s="29" t="n">
        <v>0.4</v>
      </c>
      <c r="J5256" s="9" t="n">
        <v>0</v>
      </c>
      <c r="K5256" s="30"/>
      <c r="L5256" s="30"/>
      <c r="M5256" s="30"/>
      <c r="N5256" s="30"/>
      <c r="O5256" s="30"/>
      <c r="P5256" s="30"/>
      <c r="Q5256" s="30"/>
      <c r="R5256" s="30"/>
      <c r="S5256" s="30"/>
      <c r="T5256" s="30"/>
      <c r="U5256" s="21" t="str">
        <f aca="false">IF(COUNT(K5256:T5256)=0,"SOURCE EMPTY / INDUSTRIAL ONLY",IF(MIN(K5256:T5256)=1,"SERVICE READY","HOLD"))</f>
        <v>SOURCE EMPTY / INDUSTRIAL ONLY</v>
      </c>
      <c r="V5256" s="9" t="n">
        <f aca="false">IF(U5256="SERVICE READY",1,0)</f>
        <v>0</v>
      </c>
      <c r="W5256" s="6"/>
      <c r="X5256" s="6"/>
      <c r="Y5256" s="6"/>
      <c r="Z5256" s="6"/>
    </row>
    <row r="5257" customFormat="false" ht="15" hidden="false" customHeight="false" outlineLevel="0" collapsed="false">
      <c r="A5257" s="13" t="s">
        <v>5562</v>
      </c>
      <c r="B5257" s="13" t="s">
        <v>5446</v>
      </c>
      <c r="C5257" s="13" t="s">
        <v>5447</v>
      </c>
      <c r="D5257" s="13" t="s">
        <v>4731</v>
      </c>
      <c r="E5257" s="13" t="s">
        <v>323</v>
      </c>
      <c r="F5257" s="13" t="s">
        <v>205</v>
      </c>
      <c r="G5257" s="13" t="s">
        <v>221</v>
      </c>
      <c r="H5257" s="13" t="n">
        <v>1000</v>
      </c>
      <c r="I5257" s="31" t="n">
        <v>0.4</v>
      </c>
      <c r="J5257" s="13" t="n">
        <v>0</v>
      </c>
      <c r="K5257" s="32"/>
      <c r="L5257" s="32"/>
      <c r="M5257" s="32"/>
      <c r="N5257" s="32"/>
      <c r="O5257" s="32"/>
      <c r="P5257" s="32"/>
      <c r="Q5257" s="32"/>
      <c r="R5257" s="32"/>
      <c r="S5257" s="32"/>
      <c r="T5257" s="32"/>
      <c r="U5257" s="33" t="str">
        <f aca="false">IF(COUNT(K5257:T5257)=0,"SOURCE EMPTY / INDUSTRIAL ONLY",IF(MIN(K5257:T5257)=1,"SERVICE READY","HOLD"))</f>
        <v>SOURCE EMPTY / INDUSTRIAL ONLY</v>
      </c>
      <c r="V5257" s="13" t="n">
        <f aca="false">IF(U5257="SERVICE READY",1,0)</f>
        <v>0</v>
      </c>
      <c r="W5257" s="6"/>
      <c r="X5257" s="6"/>
      <c r="Y5257" s="6"/>
      <c r="Z5257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8"/>
    <col collapsed="false" customWidth="true" hidden="false" outlineLevel="0" max="3" min="3" style="0" width="29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8" min="8" style="0" width="18"/>
    <col collapsed="false" customWidth="true" hidden="false" outlineLevel="0" max="9" min="9" style="0" width="17"/>
    <col collapsed="false" customWidth="true" hidden="false" outlineLevel="0" max="10" min="10" style="0" width="19"/>
    <col collapsed="false" customWidth="true" hidden="false" outlineLevel="0" max="11" min="11" style="0" width="12"/>
    <col collapsed="false" customWidth="true" hidden="false" outlineLevel="0" max="12" min="12" style="0" width="18"/>
    <col collapsed="false" customWidth="true" hidden="false" outlineLevel="0" max="13" min="13" style="0" width="17"/>
    <col collapsed="false" customWidth="true" hidden="false" outlineLevel="0" max="14" min="14" style="0" width="13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8.55" hidden="false" customHeight="false" outlineLevel="0" collapsed="false">
      <c r="A2" s="2" t="s">
        <v>5563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4" t="s">
        <v>5564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customFormat="false" ht="15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5" hidden="false" customHeight="false" outlineLevel="0" collapsed="false">
      <c r="A6" s="5" t="s">
        <v>181</v>
      </c>
      <c r="B6" s="5" t="s">
        <v>182</v>
      </c>
      <c r="C6" s="5" t="s">
        <v>183</v>
      </c>
      <c r="D6" s="5" t="s">
        <v>184</v>
      </c>
      <c r="E6" s="5" t="s">
        <v>5565</v>
      </c>
      <c r="F6" s="5" t="s">
        <v>5566</v>
      </c>
      <c r="G6" s="5" t="s">
        <v>5567</v>
      </c>
      <c r="H6" s="5" t="s">
        <v>5568</v>
      </c>
      <c r="I6" s="5" t="s">
        <v>20</v>
      </c>
      <c r="J6" s="5" t="s">
        <v>5569</v>
      </c>
      <c r="K6" s="5" t="s">
        <v>5570</v>
      </c>
      <c r="L6" s="5" t="s">
        <v>188</v>
      </c>
      <c r="M6" s="5" t="s">
        <v>187</v>
      </c>
      <c r="N6" s="5" t="s">
        <v>2</v>
      </c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customFormat="false" ht="15" hidden="false" customHeight="false" outlineLevel="0" collapsed="false">
      <c r="A7" s="7" t="s">
        <v>193</v>
      </c>
      <c r="B7" s="7" t="s">
        <v>194</v>
      </c>
      <c r="C7" s="7" t="s">
        <v>195</v>
      </c>
      <c r="D7" s="7" t="s">
        <v>196</v>
      </c>
      <c r="E7" s="7" t="n">
        <v>34</v>
      </c>
      <c r="F7" s="7" t="n">
        <v>40.8</v>
      </c>
      <c r="G7" s="7" t="n">
        <v>66</v>
      </c>
      <c r="H7" s="34" t="n">
        <v>0.78</v>
      </c>
      <c r="I7" s="7" t="n">
        <v>52</v>
      </c>
      <c r="J7" s="7" t="n">
        <f aca="false">COUNTIFS('Formation Ledger'!$B$7:$B$5257,A7,'Formation Ledger'!$V$7:$V$5257,1)</f>
        <v>0</v>
      </c>
      <c r="K7" s="7" t="n">
        <f aca="false">I7-J7</f>
        <v>52</v>
      </c>
      <c r="L7" s="35" t="n">
        <v>16.5</v>
      </c>
      <c r="M7" s="7" t="n">
        <v>19800</v>
      </c>
      <c r="N7" s="19" t="str">
        <f aca="false">IF(J7&gt;=I7,"READY","HOLD")</f>
        <v>HOLD</v>
      </c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customFormat="false" ht="15" hidden="false" customHeight="false" outlineLevel="0" collapsed="false">
      <c r="A8" s="9" t="s">
        <v>273</v>
      </c>
      <c r="B8" s="9" t="s">
        <v>274</v>
      </c>
      <c r="C8" s="9" t="s">
        <v>195</v>
      </c>
      <c r="D8" s="9" t="s">
        <v>275</v>
      </c>
      <c r="E8" s="9" t="n">
        <v>23</v>
      </c>
      <c r="F8" s="9" t="n">
        <v>27.6</v>
      </c>
      <c r="G8" s="9" t="n">
        <v>45</v>
      </c>
      <c r="H8" s="36" t="n">
        <v>0.78</v>
      </c>
      <c r="I8" s="9" t="n">
        <v>36</v>
      </c>
      <c r="J8" s="9" t="n">
        <f aca="false">COUNTIFS('Formation Ledger'!$B$7:$B$5257,A8,'Formation Ledger'!$V$7:$V$5257,1)</f>
        <v>0</v>
      </c>
      <c r="K8" s="9" t="n">
        <f aca="false">I8-J8</f>
        <v>36</v>
      </c>
      <c r="L8" s="37" t="n">
        <v>54</v>
      </c>
      <c r="M8" s="9" t="n">
        <v>67500</v>
      </c>
      <c r="N8" s="21" t="str">
        <f aca="false">IF(J8&gt;=I8,"READY","HOLD")</f>
        <v>HOLD</v>
      </c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customFormat="false" ht="15" hidden="false" customHeight="false" outlineLevel="0" collapsed="false">
      <c r="A9" s="9" t="s">
        <v>321</v>
      </c>
      <c r="B9" s="9" t="s">
        <v>322</v>
      </c>
      <c r="C9" s="9" t="s">
        <v>195</v>
      </c>
      <c r="D9" s="9" t="s">
        <v>323</v>
      </c>
      <c r="E9" s="9" t="n">
        <v>33</v>
      </c>
      <c r="F9" s="9" t="n">
        <v>39.6</v>
      </c>
      <c r="G9" s="9" t="n">
        <v>64</v>
      </c>
      <c r="H9" s="36" t="n">
        <v>0.78</v>
      </c>
      <c r="I9" s="9" t="n">
        <v>50</v>
      </c>
      <c r="J9" s="9" t="n">
        <f aca="false">COUNTIFS('Formation Ledger'!$B$7:$B$5257,A9,'Formation Ledger'!$V$7:$V$5257,1)</f>
        <v>0</v>
      </c>
      <c r="K9" s="9" t="n">
        <f aca="false">I9-J9</f>
        <v>50</v>
      </c>
      <c r="L9" s="37" t="n">
        <v>96</v>
      </c>
      <c r="M9" s="9" t="n">
        <v>144000</v>
      </c>
      <c r="N9" s="21" t="str">
        <f aca="false">IF(J9&gt;=I9,"READY","HOLD")</f>
        <v>HOLD</v>
      </c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customFormat="false" ht="15" hidden="false" customHeight="false" outlineLevel="0" collapsed="false">
      <c r="A10" s="9" t="s">
        <v>388</v>
      </c>
      <c r="B10" s="9" t="s">
        <v>389</v>
      </c>
      <c r="C10" s="9" t="s">
        <v>195</v>
      </c>
      <c r="D10" s="9" t="s">
        <v>196</v>
      </c>
      <c r="E10" s="9" t="n">
        <v>59</v>
      </c>
      <c r="F10" s="9" t="n">
        <v>70.8</v>
      </c>
      <c r="G10" s="9" t="n">
        <v>114</v>
      </c>
      <c r="H10" s="36" t="n">
        <v>0.78</v>
      </c>
      <c r="I10" s="9" t="n">
        <v>89</v>
      </c>
      <c r="J10" s="9" t="n">
        <f aca="false">COUNTIFS('Formation Ledger'!$B$7:$B$5257,A10,'Formation Ledger'!$V$7:$V$5257,1)</f>
        <v>0</v>
      </c>
      <c r="K10" s="9" t="n">
        <f aca="false">I10-J10</f>
        <v>89</v>
      </c>
      <c r="L10" s="37" t="n">
        <v>102.6</v>
      </c>
      <c r="M10" s="9" t="n">
        <v>102600</v>
      </c>
      <c r="N10" s="21" t="str">
        <f aca="false">IF(J10&gt;=I10,"READY","HOLD")</f>
        <v>HOLD</v>
      </c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customFormat="false" ht="15" hidden="false" customHeight="false" outlineLevel="0" collapsed="false">
      <c r="A11" s="9" t="s">
        <v>504</v>
      </c>
      <c r="B11" s="9" t="s">
        <v>505</v>
      </c>
      <c r="C11" s="9" t="s">
        <v>195</v>
      </c>
      <c r="D11" s="9" t="s">
        <v>323</v>
      </c>
      <c r="E11" s="9" t="n">
        <v>33</v>
      </c>
      <c r="F11" s="9" t="n">
        <v>39.6</v>
      </c>
      <c r="G11" s="9" t="n">
        <v>64</v>
      </c>
      <c r="H11" s="36" t="n">
        <v>0.78</v>
      </c>
      <c r="I11" s="9" t="n">
        <v>50</v>
      </c>
      <c r="J11" s="9" t="n">
        <f aca="false">COUNTIFS('Formation Ledger'!$B$7:$B$5257,A11,'Formation Ledger'!$V$7:$V$5257,1)</f>
        <v>0</v>
      </c>
      <c r="K11" s="9" t="n">
        <f aca="false">I11-J11</f>
        <v>50</v>
      </c>
      <c r="L11" s="37" t="n">
        <v>51.2</v>
      </c>
      <c r="M11" s="9" t="n">
        <v>64000</v>
      </c>
      <c r="N11" s="21" t="str">
        <f aca="false">IF(J11&gt;=I11,"READY","HOLD")</f>
        <v>HOLD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customFormat="false" ht="15" hidden="false" customHeight="false" outlineLevel="0" collapsed="false">
      <c r="A12" s="9" t="s">
        <v>570</v>
      </c>
      <c r="B12" s="9" t="s">
        <v>571</v>
      </c>
      <c r="C12" s="9" t="s">
        <v>195</v>
      </c>
      <c r="D12" s="9" t="s">
        <v>323</v>
      </c>
      <c r="E12" s="9" t="n">
        <v>23</v>
      </c>
      <c r="F12" s="9" t="n">
        <v>27.6</v>
      </c>
      <c r="G12" s="9" t="n">
        <v>45</v>
      </c>
      <c r="H12" s="36" t="n">
        <v>0.78</v>
      </c>
      <c r="I12" s="9" t="n">
        <v>36</v>
      </c>
      <c r="J12" s="9" t="n">
        <f aca="false">COUNTIFS('Formation Ledger'!$B$7:$B$5257,A12,'Formation Ledger'!$V$7:$V$5257,1)</f>
        <v>0</v>
      </c>
      <c r="K12" s="9" t="n">
        <f aca="false">I12-J12</f>
        <v>36</v>
      </c>
      <c r="L12" s="37" t="n">
        <v>13.5</v>
      </c>
      <c r="M12" s="9" t="n">
        <v>16875</v>
      </c>
      <c r="N12" s="21" t="str">
        <f aca="false">IF(J12&gt;=I12,"READY","HOLD")</f>
        <v>HOLD</v>
      </c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customFormat="false" ht="15" hidden="false" customHeight="false" outlineLevel="0" collapsed="false">
      <c r="A13" s="9" t="s">
        <v>617</v>
      </c>
      <c r="B13" s="9" t="s">
        <v>618</v>
      </c>
      <c r="C13" s="9" t="s">
        <v>619</v>
      </c>
      <c r="D13" s="9" t="s">
        <v>275</v>
      </c>
      <c r="E13" s="9" t="n">
        <v>70</v>
      </c>
      <c r="F13" s="9" t="n">
        <v>84</v>
      </c>
      <c r="G13" s="9" t="n">
        <v>151</v>
      </c>
      <c r="H13" s="36" t="n">
        <v>0.7</v>
      </c>
      <c r="I13" s="9" t="n">
        <v>106</v>
      </c>
      <c r="J13" s="9" t="n">
        <f aca="false">COUNTIFS('Formation Ledger'!$B$7:$B$5257,A13,'Formation Ledger'!$V$7:$V$5257,1)</f>
        <v>0</v>
      </c>
      <c r="K13" s="9" t="n">
        <f aca="false">I13-J13</f>
        <v>106</v>
      </c>
      <c r="L13" s="37" t="n">
        <v>181.2</v>
      </c>
      <c r="M13" s="9" t="n">
        <v>137410</v>
      </c>
      <c r="N13" s="21" t="str">
        <f aca="false">IF(J13&gt;=I13,"READY","HOLD")</f>
        <v>HOLD</v>
      </c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customFormat="false" ht="15" hidden="false" customHeight="false" outlineLevel="0" collapsed="false">
      <c r="A14" s="9" t="s">
        <v>771</v>
      </c>
      <c r="B14" s="9" t="s">
        <v>772</v>
      </c>
      <c r="C14" s="9" t="s">
        <v>619</v>
      </c>
      <c r="D14" s="9" t="s">
        <v>773</v>
      </c>
      <c r="E14" s="9" t="n">
        <v>50</v>
      </c>
      <c r="F14" s="9" t="n">
        <v>60</v>
      </c>
      <c r="G14" s="9" t="n">
        <v>108</v>
      </c>
      <c r="H14" s="36" t="n">
        <v>0.7</v>
      </c>
      <c r="I14" s="9" t="n">
        <v>76</v>
      </c>
      <c r="J14" s="9" t="n">
        <f aca="false">COUNTIFS('Formation Ledger'!$B$7:$B$5257,A14,'Formation Ledger'!$V$7:$V$5257,1)</f>
        <v>0</v>
      </c>
      <c r="K14" s="9" t="n">
        <f aca="false">I14-J14</f>
        <v>76</v>
      </c>
      <c r="L14" s="37" t="n">
        <v>194.4</v>
      </c>
      <c r="M14" s="9" t="n">
        <v>140400</v>
      </c>
      <c r="N14" s="21" t="str">
        <f aca="false">IF(J14&gt;=I14,"READY","HOLD")</f>
        <v>HOLD</v>
      </c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customFormat="false" ht="15" hidden="false" customHeight="false" outlineLevel="0" collapsed="false">
      <c r="A15" s="9" t="s">
        <v>882</v>
      </c>
      <c r="B15" s="9" t="s">
        <v>883</v>
      </c>
      <c r="C15" s="9" t="s">
        <v>619</v>
      </c>
      <c r="D15" s="9" t="s">
        <v>773</v>
      </c>
      <c r="E15" s="9" t="n">
        <v>65</v>
      </c>
      <c r="F15" s="9" t="n">
        <v>78</v>
      </c>
      <c r="G15" s="9" t="n">
        <v>140</v>
      </c>
      <c r="H15" s="36" t="n">
        <v>0.7</v>
      </c>
      <c r="I15" s="9" t="n">
        <v>98</v>
      </c>
      <c r="J15" s="9" t="n">
        <f aca="false">COUNTIFS('Formation Ledger'!$B$7:$B$5257,A15,'Formation Ledger'!$V$7:$V$5257,1)</f>
        <v>0</v>
      </c>
      <c r="K15" s="9" t="n">
        <f aca="false">I15-J15</f>
        <v>98</v>
      </c>
      <c r="L15" s="37" t="n">
        <v>196</v>
      </c>
      <c r="M15" s="9" t="n">
        <v>145600</v>
      </c>
      <c r="N15" s="21" t="str">
        <f aca="false">IF(J15&gt;=I15,"READY","HOLD")</f>
        <v>HOLD</v>
      </c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customFormat="false" ht="15" hidden="false" customHeight="false" outlineLevel="0" collapsed="false">
      <c r="A16" s="9" t="s">
        <v>1024</v>
      </c>
      <c r="B16" s="9" t="s">
        <v>1025</v>
      </c>
      <c r="C16" s="9" t="s">
        <v>619</v>
      </c>
      <c r="D16" s="9" t="s">
        <v>275</v>
      </c>
      <c r="E16" s="9" t="n">
        <v>53</v>
      </c>
      <c r="F16" s="9" t="n">
        <v>63.6</v>
      </c>
      <c r="G16" s="9" t="n">
        <v>114</v>
      </c>
      <c r="H16" s="36" t="n">
        <v>0.7</v>
      </c>
      <c r="I16" s="9" t="n">
        <v>80</v>
      </c>
      <c r="J16" s="9" t="n">
        <f aca="false">COUNTIFS('Formation Ledger'!$B$7:$B$5257,A16,'Formation Ledger'!$V$7:$V$5257,1)</f>
        <v>0</v>
      </c>
      <c r="K16" s="9" t="n">
        <f aca="false">I16-J16</f>
        <v>80</v>
      </c>
      <c r="L16" s="37" t="n">
        <v>136.8</v>
      </c>
      <c r="M16" s="9" t="n">
        <v>103740</v>
      </c>
      <c r="N16" s="21" t="str">
        <f aca="false">IF(J16&gt;=I16,"READY","HOLD")</f>
        <v>HOLD</v>
      </c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customFormat="false" ht="15" hidden="false" customHeight="false" outlineLevel="0" collapsed="false">
      <c r="A17" s="9" t="s">
        <v>1140</v>
      </c>
      <c r="B17" s="9" t="s">
        <v>1141</v>
      </c>
      <c r="C17" s="9" t="s">
        <v>619</v>
      </c>
      <c r="D17" s="9" t="s">
        <v>773</v>
      </c>
      <c r="E17" s="9" t="n">
        <v>33</v>
      </c>
      <c r="F17" s="9" t="n">
        <v>39.6</v>
      </c>
      <c r="G17" s="9" t="n">
        <v>71</v>
      </c>
      <c r="H17" s="36" t="n">
        <v>0.7</v>
      </c>
      <c r="I17" s="9" t="n">
        <v>50</v>
      </c>
      <c r="J17" s="9" t="n">
        <f aca="false">COUNTIFS('Formation Ledger'!$B$7:$B$5257,A17,'Formation Ledger'!$V$7:$V$5257,1)</f>
        <v>0</v>
      </c>
      <c r="K17" s="9" t="n">
        <f aca="false">I17-J17</f>
        <v>50</v>
      </c>
      <c r="L17" s="37" t="n">
        <v>71</v>
      </c>
      <c r="M17" s="9" t="n">
        <v>83070</v>
      </c>
      <c r="N17" s="21" t="str">
        <f aca="false">IF(J17&gt;=I17,"READY","HOLD")</f>
        <v>HOLD</v>
      </c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customFormat="false" ht="15" hidden="false" customHeight="false" outlineLevel="0" collapsed="false">
      <c r="A18" s="9" t="s">
        <v>1213</v>
      </c>
      <c r="B18" s="9" t="s">
        <v>1214</v>
      </c>
      <c r="C18" s="9" t="s">
        <v>1215</v>
      </c>
      <c r="D18" s="9" t="s">
        <v>275</v>
      </c>
      <c r="E18" s="9" t="n">
        <v>31</v>
      </c>
      <c r="F18" s="9" t="n">
        <v>37.2</v>
      </c>
      <c r="G18" s="9" t="n">
        <v>72</v>
      </c>
      <c r="H18" s="36" t="n">
        <v>0.65</v>
      </c>
      <c r="I18" s="9" t="n">
        <v>47</v>
      </c>
      <c r="J18" s="9" t="n">
        <f aca="false">COUNTIFS('Formation Ledger'!$B$7:$B$5257,A18,'Formation Ledger'!$V$7:$V$5257,1)</f>
        <v>0</v>
      </c>
      <c r="K18" s="9" t="n">
        <f aca="false">I18-J18</f>
        <v>47</v>
      </c>
      <c r="L18" s="37" t="n">
        <v>576</v>
      </c>
      <c r="M18" s="9" t="n">
        <v>194400</v>
      </c>
      <c r="N18" s="21" t="str">
        <f aca="false">IF(J18&gt;=I18,"READY","HOLD")</f>
        <v>HOLD</v>
      </c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customFormat="false" ht="15" hidden="false" customHeight="false" outlineLevel="0" collapsed="false">
      <c r="A19" s="9" t="s">
        <v>1288</v>
      </c>
      <c r="B19" s="9" t="s">
        <v>1289</v>
      </c>
      <c r="C19" s="9" t="s">
        <v>1215</v>
      </c>
      <c r="D19" s="9" t="s">
        <v>275</v>
      </c>
      <c r="E19" s="9" t="n">
        <v>36</v>
      </c>
      <c r="F19" s="9" t="n">
        <v>43.2</v>
      </c>
      <c r="G19" s="9" t="n">
        <v>84</v>
      </c>
      <c r="H19" s="36" t="n">
        <v>0.65</v>
      </c>
      <c r="I19" s="9" t="n">
        <v>55</v>
      </c>
      <c r="J19" s="9" t="n">
        <f aca="false">COUNTIFS('Formation Ledger'!$B$7:$B$5257,A19,'Formation Ledger'!$V$7:$V$5257,1)</f>
        <v>0</v>
      </c>
      <c r="K19" s="9" t="n">
        <f aca="false">I19-J19</f>
        <v>55</v>
      </c>
      <c r="L19" s="37" t="n">
        <v>210</v>
      </c>
      <c r="M19" s="9" t="n">
        <v>88200</v>
      </c>
      <c r="N19" s="21" t="str">
        <f aca="false">IF(J19&gt;=I19,"READY","HOLD")</f>
        <v>HOLD</v>
      </c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customFormat="false" ht="15" hidden="false" customHeight="false" outlineLevel="0" collapsed="false">
      <c r="A20" s="9" t="s">
        <v>1374</v>
      </c>
      <c r="B20" s="9" t="s">
        <v>1375</v>
      </c>
      <c r="C20" s="9" t="s">
        <v>1215</v>
      </c>
      <c r="D20" s="9" t="s">
        <v>773</v>
      </c>
      <c r="E20" s="9" t="n">
        <v>22</v>
      </c>
      <c r="F20" s="9" t="n">
        <v>26.4</v>
      </c>
      <c r="G20" s="9" t="n">
        <v>51</v>
      </c>
      <c r="H20" s="36" t="n">
        <v>0.65</v>
      </c>
      <c r="I20" s="9" t="n">
        <v>34</v>
      </c>
      <c r="J20" s="9" t="n">
        <f aca="false">COUNTIFS('Formation Ledger'!$B$7:$B$5257,A20,'Formation Ledger'!$V$7:$V$5257,1)</f>
        <v>0</v>
      </c>
      <c r="K20" s="9" t="n">
        <f aca="false">I20-J20</f>
        <v>34</v>
      </c>
      <c r="L20" s="37" t="n">
        <v>306</v>
      </c>
      <c r="M20" s="9" t="n">
        <v>91800</v>
      </c>
      <c r="N20" s="21" t="str">
        <f aca="false">IF(J20&gt;=I20,"READY","HOLD")</f>
        <v>HOLD</v>
      </c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customFormat="false" ht="15" hidden="false" customHeight="false" outlineLevel="0" collapsed="false">
      <c r="A21" s="9" t="s">
        <v>1427</v>
      </c>
      <c r="B21" s="9" t="s">
        <v>1428</v>
      </c>
      <c r="C21" s="9" t="s">
        <v>1215</v>
      </c>
      <c r="D21" s="9" t="s">
        <v>275</v>
      </c>
      <c r="E21" s="9" t="n">
        <v>58</v>
      </c>
      <c r="F21" s="9" t="n">
        <v>69.6</v>
      </c>
      <c r="G21" s="9" t="n">
        <v>134</v>
      </c>
      <c r="H21" s="36" t="n">
        <v>0.65</v>
      </c>
      <c r="I21" s="9" t="n">
        <v>88</v>
      </c>
      <c r="J21" s="9" t="n">
        <f aca="false">COUNTIFS('Formation Ledger'!$B$7:$B$5257,A21,'Formation Ledger'!$V$7:$V$5257,1)</f>
        <v>0</v>
      </c>
      <c r="K21" s="9" t="n">
        <f aca="false">I21-J21</f>
        <v>88</v>
      </c>
      <c r="L21" s="37" t="n">
        <v>402</v>
      </c>
      <c r="M21" s="9" t="n">
        <v>180900</v>
      </c>
      <c r="N21" s="21" t="str">
        <f aca="false">IF(J21&gt;=I21,"READY","HOLD")</f>
        <v>HOLD</v>
      </c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customFormat="false" ht="15" hidden="false" customHeight="false" outlineLevel="0" collapsed="false">
      <c r="A22" s="9" t="s">
        <v>1563</v>
      </c>
      <c r="B22" s="9" t="s">
        <v>1564</v>
      </c>
      <c r="C22" s="9" t="s">
        <v>1215</v>
      </c>
      <c r="D22" s="9" t="s">
        <v>196</v>
      </c>
      <c r="E22" s="9" t="n">
        <v>40</v>
      </c>
      <c r="F22" s="9" t="n">
        <v>48</v>
      </c>
      <c r="G22" s="9" t="n">
        <v>93</v>
      </c>
      <c r="H22" s="36" t="n">
        <v>0.65</v>
      </c>
      <c r="I22" s="9" t="n">
        <v>61</v>
      </c>
      <c r="J22" s="9" t="n">
        <f aca="false">COUNTIFS('Formation Ledger'!$B$7:$B$5257,A22,'Formation Ledger'!$V$7:$V$5257,1)</f>
        <v>0</v>
      </c>
      <c r="K22" s="9" t="n">
        <f aca="false">I22-J22</f>
        <v>61</v>
      </c>
      <c r="L22" s="37" t="n">
        <v>111.6</v>
      </c>
      <c r="M22" s="9" t="n">
        <v>50220</v>
      </c>
      <c r="N22" s="21" t="str">
        <f aca="false">IF(J22&gt;=I22,"READY","HOLD")</f>
        <v>HOLD</v>
      </c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customFormat="false" ht="15" hidden="false" customHeight="false" outlineLevel="0" collapsed="false">
      <c r="A23" s="9" t="s">
        <v>1658</v>
      </c>
      <c r="B23" s="9" t="s">
        <v>1659</v>
      </c>
      <c r="C23" s="9" t="s">
        <v>1215</v>
      </c>
      <c r="D23" s="9" t="s">
        <v>1660</v>
      </c>
      <c r="E23" s="9" t="n">
        <v>31</v>
      </c>
      <c r="F23" s="9" t="n">
        <v>37.2</v>
      </c>
      <c r="G23" s="9" t="n">
        <v>72</v>
      </c>
      <c r="H23" s="36" t="n">
        <v>0.65</v>
      </c>
      <c r="I23" s="9" t="n">
        <v>47</v>
      </c>
      <c r="J23" s="9" t="n">
        <f aca="false">COUNTIFS('Formation Ledger'!$B$7:$B$5257,A23,'Formation Ledger'!$V$7:$V$5257,1)</f>
        <v>0</v>
      </c>
      <c r="K23" s="9" t="n">
        <f aca="false">I23-J23</f>
        <v>47</v>
      </c>
      <c r="L23" s="37" t="n">
        <v>180</v>
      </c>
      <c r="M23" s="9" t="n">
        <v>64800</v>
      </c>
      <c r="N23" s="21" t="str">
        <f aca="false">IF(J23&gt;=I23,"READY","HOLD")</f>
        <v>HOLD</v>
      </c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customFormat="false" ht="15" hidden="false" customHeight="false" outlineLevel="0" collapsed="false">
      <c r="A24" s="9" t="s">
        <v>1733</v>
      </c>
      <c r="B24" s="9" t="s">
        <v>1734</v>
      </c>
      <c r="C24" s="9" t="s">
        <v>1735</v>
      </c>
      <c r="D24" s="9" t="s">
        <v>275</v>
      </c>
      <c r="E24" s="9" t="n">
        <v>32</v>
      </c>
      <c r="F24" s="9" t="n">
        <v>38.4</v>
      </c>
      <c r="G24" s="9" t="n">
        <v>74</v>
      </c>
      <c r="H24" s="36" t="n">
        <v>0.65</v>
      </c>
      <c r="I24" s="9" t="n">
        <v>49</v>
      </c>
      <c r="J24" s="9" t="n">
        <f aca="false">COUNTIFS('Formation Ledger'!$B$7:$B$5257,A24,'Formation Ledger'!$V$7:$V$5257,1)</f>
        <v>0</v>
      </c>
      <c r="K24" s="9" t="n">
        <f aca="false">I24-J24</f>
        <v>49</v>
      </c>
      <c r="L24" s="37" t="n">
        <v>222</v>
      </c>
      <c r="M24" s="9" t="n">
        <v>99900</v>
      </c>
      <c r="N24" s="21" t="str">
        <f aca="false">IF(J24&gt;=I24,"READY","HOLD")</f>
        <v>HOLD</v>
      </c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customFormat="false" ht="15" hidden="false" customHeight="false" outlineLevel="0" collapsed="false">
      <c r="A25" s="9" t="s">
        <v>1810</v>
      </c>
      <c r="B25" s="9" t="s">
        <v>1811</v>
      </c>
      <c r="C25" s="9" t="s">
        <v>1735</v>
      </c>
      <c r="D25" s="9" t="s">
        <v>275</v>
      </c>
      <c r="E25" s="9" t="n">
        <v>37</v>
      </c>
      <c r="F25" s="9" t="n">
        <v>44.4</v>
      </c>
      <c r="G25" s="9" t="n">
        <v>86</v>
      </c>
      <c r="H25" s="36" t="n">
        <v>0.65</v>
      </c>
      <c r="I25" s="9" t="n">
        <v>56</v>
      </c>
      <c r="J25" s="9" t="n">
        <f aca="false">COUNTIFS('Formation Ledger'!$B$7:$B$5257,A25,'Formation Ledger'!$V$7:$V$5257,1)</f>
        <v>0</v>
      </c>
      <c r="K25" s="9" t="n">
        <f aca="false">I25-J25</f>
        <v>56</v>
      </c>
      <c r="L25" s="37" t="n">
        <v>172</v>
      </c>
      <c r="M25" s="9" t="n">
        <v>90300</v>
      </c>
      <c r="N25" s="21" t="str">
        <f aca="false">IF(J25&gt;=I25,"READY","HOLD")</f>
        <v>HOLD</v>
      </c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customFormat="false" ht="15" hidden="false" customHeight="false" outlineLevel="0" collapsed="false">
      <c r="A26" s="9" t="s">
        <v>1898</v>
      </c>
      <c r="B26" s="9" t="s">
        <v>1899</v>
      </c>
      <c r="C26" s="9" t="s">
        <v>1735</v>
      </c>
      <c r="D26" s="9" t="s">
        <v>275</v>
      </c>
      <c r="E26" s="9" t="n">
        <v>29</v>
      </c>
      <c r="F26" s="9" t="n">
        <v>34.8</v>
      </c>
      <c r="G26" s="9" t="n">
        <v>67</v>
      </c>
      <c r="H26" s="36" t="n">
        <v>0.65</v>
      </c>
      <c r="I26" s="9" t="n">
        <v>44</v>
      </c>
      <c r="J26" s="9" t="n">
        <f aca="false">COUNTIFS('Formation Ledger'!$B$7:$B$5257,A26,'Formation Ledger'!$V$7:$V$5257,1)</f>
        <v>0</v>
      </c>
      <c r="K26" s="9" t="n">
        <f aca="false">I26-J26</f>
        <v>44</v>
      </c>
      <c r="L26" s="37" t="n">
        <v>100.5</v>
      </c>
      <c r="M26" s="9" t="n">
        <v>50250</v>
      </c>
      <c r="N26" s="21" t="str">
        <f aca="false">IF(J26&gt;=I26,"READY","HOLD")</f>
        <v>HOLD</v>
      </c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customFormat="false" ht="15" hidden="false" customHeight="false" outlineLevel="0" collapsed="false">
      <c r="A27" s="9" t="s">
        <v>1967</v>
      </c>
      <c r="B27" s="9" t="s">
        <v>1968</v>
      </c>
      <c r="C27" s="9" t="s">
        <v>1735</v>
      </c>
      <c r="D27" s="9" t="s">
        <v>323</v>
      </c>
      <c r="E27" s="9" t="n">
        <v>24</v>
      </c>
      <c r="F27" s="9" t="n">
        <v>28.8</v>
      </c>
      <c r="G27" s="9" t="n">
        <v>56</v>
      </c>
      <c r="H27" s="36" t="n">
        <v>0.65</v>
      </c>
      <c r="I27" s="9" t="n">
        <v>37</v>
      </c>
      <c r="J27" s="9" t="n">
        <f aca="false">COUNTIFS('Formation Ledger'!$B$7:$B$5257,A27,'Formation Ledger'!$V$7:$V$5257,1)</f>
        <v>0</v>
      </c>
      <c r="K27" s="9" t="n">
        <f aca="false">I27-J27</f>
        <v>37</v>
      </c>
      <c r="L27" s="37" t="n">
        <v>392</v>
      </c>
      <c r="M27" s="9" t="n">
        <v>117600</v>
      </c>
      <c r="N27" s="21" t="str">
        <f aca="false">IF(J27&gt;=I27,"READY","HOLD")</f>
        <v>HOLD</v>
      </c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customFormat="false" ht="15" hidden="false" customHeight="false" outlineLevel="0" collapsed="false">
      <c r="A28" s="9" t="s">
        <v>2025</v>
      </c>
      <c r="B28" s="9" t="s">
        <v>2026</v>
      </c>
      <c r="C28" s="9" t="s">
        <v>1735</v>
      </c>
      <c r="D28" s="9" t="s">
        <v>2027</v>
      </c>
      <c r="E28" s="9" t="n">
        <v>28</v>
      </c>
      <c r="F28" s="9" t="n">
        <v>33.6</v>
      </c>
      <c r="G28" s="9" t="n">
        <v>65</v>
      </c>
      <c r="H28" s="36" t="n">
        <v>0.65</v>
      </c>
      <c r="I28" s="9" t="n">
        <v>43</v>
      </c>
      <c r="J28" s="9" t="n">
        <f aca="false">COUNTIFS('Formation Ledger'!$B$7:$B$5257,A28,'Formation Ledger'!$V$7:$V$5257,1)</f>
        <v>0</v>
      </c>
      <c r="K28" s="9" t="n">
        <f aca="false">I28-J28</f>
        <v>43</v>
      </c>
      <c r="L28" s="37" t="n">
        <v>97.5</v>
      </c>
      <c r="M28" s="9" t="n">
        <v>175500</v>
      </c>
      <c r="N28" s="21" t="str">
        <f aca="false">IF(J28&gt;=I28,"READY","HOLD")</f>
        <v>HOLD</v>
      </c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customFormat="false" ht="15" hidden="false" customHeight="false" outlineLevel="0" collapsed="false">
      <c r="A29" s="9" t="s">
        <v>2093</v>
      </c>
      <c r="B29" s="9" t="s">
        <v>2094</v>
      </c>
      <c r="C29" s="9" t="s">
        <v>1735</v>
      </c>
      <c r="D29" s="9" t="s">
        <v>323</v>
      </c>
      <c r="E29" s="9" t="n">
        <v>38</v>
      </c>
      <c r="F29" s="9" t="n">
        <v>45.6</v>
      </c>
      <c r="G29" s="9" t="n">
        <v>88</v>
      </c>
      <c r="H29" s="36" t="n">
        <v>0.65</v>
      </c>
      <c r="I29" s="9" t="n">
        <v>58</v>
      </c>
      <c r="J29" s="9" t="n">
        <f aca="false">COUNTIFS('Formation Ledger'!$B$7:$B$5257,A29,'Formation Ledger'!$V$7:$V$5257,1)</f>
        <v>0</v>
      </c>
      <c r="K29" s="9" t="n">
        <f aca="false">I29-J29</f>
        <v>58</v>
      </c>
      <c r="L29" s="37" t="n">
        <v>792</v>
      </c>
      <c r="M29" s="9" t="n">
        <v>171600</v>
      </c>
      <c r="N29" s="21" t="str">
        <f aca="false">IF(J29&gt;=I29,"READY","HOLD")</f>
        <v>HOLD</v>
      </c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customFormat="false" ht="15" hidden="false" customHeight="false" outlineLevel="0" collapsed="false">
      <c r="A30" s="9" t="s">
        <v>2183</v>
      </c>
      <c r="B30" s="9" t="s">
        <v>2184</v>
      </c>
      <c r="C30" s="9" t="s">
        <v>2185</v>
      </c>
      <c r="D30" s="9" t="s">
        <v>2027</v>
      </c>
      <c r="E30" s="9" t="n">
        <v>54</v>
      </c>
      <c r="F30" s="9" t="n">
        <v>64.8</v>
      </c>
      <c r="G30" s="9" t="n">
        <v>116</v>
      </c>
      <c r="H30" s="36" t="n">
        <v>0.7</v>
      </c>
      <c r="I30" s="9" t="n">
        <v>82</v>
      </c>
      <c r="J30" s="9" t="n">
        <f aca="false">COUNTIFS('Formation Ledger'!$B$7:$B$5257,A30,'Formation Ledger'!$V$7:$V$5257,1)</f>
        <v>0</v>
      </c>
      <c r="K30" s="9" t="n">
        <f aca="false">I30-J30</f>
        <v>82</v>
      </c>
      <c r="L30" s="37" t="n">
        <v>174</v>
      </c>
      <c r="M30" s="9" t="n">
        <v>737760</v>
      </c>
      <c r="N30" s="21" t="str">
        <f aca="false">IF(J30&gt;=I30,"READY","HOLD")</f>
        <v>HOLD</v>
      </c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customFormat="false" ht="15" hidden="false" customHeight="false" outlineLevel="0" collapsed="false">
      <c r="A31" s="9" t="s">
        <v>2302</v>
      </c>
      <c r="B31" s="9" t="s">
        <v>2303</v>
      </c>
      <c r="C31" s="9" t="s">
        <v>2185</v>
      </c>
      <c r="D31" s="9" t="s">
        <v>2027</v>
      </c>
      <c r="E31" s="9" t="n">
        <v>63</v>
      </c>
      <c r="F31" s="9" t="n">
        <v>75.6</v>
      </c>
      <c r="G31" s="9" t="n">
        <v>135</v>
      </c>
      <c r="H31" s="36" t="n">
        <v>0.7</v>
      </c>
      <c r="I31" s="9" t="n">
        <v>95</v>
      </c>
      <c r="J31" s="9" t="n">
        <f aca="false">COUNTIFS('Formation Ledger'!$B$7:$B$5257,A31,'Formation Ledger'!$V$7:$V$5257,1)</f>
        <v>0</v>
      </c>
      <c r="K31" s="9" t="n">
        <f aca="false">I31-J31</f>
        <v>95</v>
      </c>
      <c r="L31" s="37" t="n">
        <v>270</v>
      </c>
      <c r="M31" s="9" t="n">
        <v>891000</v>
      </c>
      <c r="N31" s="21" t="str">
        <f aca="false">IF(J31&gt;=I31,"READY","HOLD")</f>
        <v>HOLD</v>
      </c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customFormat="false" ht="15" hidden="false" customHeight="false" outlineLevel="0" collapsed="false">
      <c r="A32" s="9" t="s">
        <v>2439</v>
      </c>
      <c r="B32" s="9" t="s">
        <v>2440</v>
      </c>
      <c r="C32" s="9" t="s">
        <v>2185</v>
      </c>
      <c r="D32" s="9" t="s">
        <v>2027</v>
      </c>
      <c r="E32" s="9" t="n">
        <v>48</v>
      </c>
      <c r="F32" s="9" t="n">
        <v>57.6</v>
      </c>
      <c r="G32" s="9" t="n">
        <v>103</v>
      </c>
      <c r="H32" s="36" t="n">
        <v>0.7</v>
      </c>
      <c r="I32" s="9" t="n">
        <v>73</v>
      </c>
      <c r="J32" s="9" t="n">
        <f aca="false">COUNTIFS('Formation Ledger'!$B$7:$B$5257,A32,'Formation Ledger'!$V$7:$V$5257,1)</f>
        <v>0</v>
      </c>
      <c r="K32" s="9" t="n">
        <f aca="false">I32-J32</f>
        <v>73</v>
      </c>
      <c r="L32" s="37" t="n">
        <v>154.5</v>
      </c>
      <c r="M32" s="9" t="n">
        <v>432600</v>
      </c>
      <c r="N32" s="21" t="str">
        <f aca="false">IF(J32&gt;=I32,"READY","HOLD")</f>
        <v>HOLD</v>
      </c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customFormat="false" ht="15" hidden="false" customHeight="false" outlineLevel="0" collapsed="false">
      <c r="A33" s="9" t="s">
        <v>2544</v>
      </c>
      <c r="B33" s="9" t="s">
        <v>2545</v>
      </c>
      <c r="C33" s="9" t="s">
        <v>2185</v>
      </c>
      <c r="D33" s="9" t="s">
        <v>2027</v>
      </c>
      <c r="E33" s="9" t="n">
        <v>63</v>
      </c>
      <c r="F33" s="9" t="n">
        <v>75.6</v>
      </c>
      <c r="G33" s="9" t="n">
        <v>135</v>
      </c>
      <c r="H33" s="36" t="n">
        <v>0.7</v>
      </c>
      <c r="I33" s="9" t="n">
        <v>95</v>
      </c>
      <c r="J33" s="9" t="n">
        <f aca="false">COUNTIFS('Formation Ledger'!$B$7:$B$5257,A33,'Formation Ledger'!$V$7:$V$5257,1)</f>
        <v>0</v>
      </c>
      <c r="K33" s="9" t="n">
        <f aca="false">I33-J33</f>
        <v>95</v>
      </c>
      <c r="L33" s="37" t="n">
        <v>108</v>
      </c>
      <c r="M33" s="9" t="n">
        <v>101250</v>
      </c>
      <c r="N33" s="21" t="str">
        <f aca="false">IF(J33&gt;=I33,"READY","HOLD")</f>
        <v>HOLD</v>
      </c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customFormat="false" ht="15" hidden="false" customHeight="false" outlineLevel="0" collapsed="false">
      <c r="A34" s="9" t="s">
        <v>2681</v>
      </c>
      <c r="B34" s="9" t="s">
        <v>2682</v>
      </c>
      <c r="C34" s="9" t="s">
        <v>2185</v>
      </c>
      <c r="D34" s="9" t="s">
        <v>196</v>
      </c>
      <c r="E34" s="9" t="n">
        <v>59</v>
      </c>
      <c r="F34" s="9" t="n">
        <v>70.8</v>
      </c>
      <c r="G34" s="9" t="n">
        <v>127</v>
      </c>
      <c r="H34" s="36" t="n">
        <v>0.7</v>
      </c>
      <c r="I34" s="9" t="n">
        <v>89</v>
      </c>
      <c r="J34" s="9" t="n">
        <f aca="false">COUNTIFS('Formation Ledger'!$B$7:$B$5257,A34,'Formation Ledger'!$V$7:$V$5257,1)</f>
        <v>0</v>
      </c>
      <c r="K34" s="9" t="n">
        <f aca="false">I34-J34</f>
        <v>89</v>
      </c>
      <c r="L34" s="37" t="n">
        <v>127</v>
      </c>
      <c r="M34" s="9" t="n">
        <v>95250</v>
      </c>
      <c r="N34" s="21" t="str">
        <f aca="false">IF(J34&gt;=I34,"READY","HOLD")</f>
        <v>HOLD</v>
      </c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customFormat="false" ht="15" hidden="false" customHeight="false" outlineLevel="0" collapsed="false">
      <c r="A35" s="9" t="s">
        <v>2810</v>
      </c>
      <c r="B35" s="9" t="s">
        <v>2811</v>
      </c>
      <c r="C35" s="9" t="s">
        <v>2185</v>
      </c>
      <c r="D35" s="9" t="s">
        <v>323</v>
      </c>
      <c r="E35" s="9" t="n">
        <v>73</v>
      </c>
      <c r="F35" s="9" t="n">
        <v>87.6</v>
      </c>
      <c r="G35" s="9" t="n">
        <v>157</v>
      </c>
      <c r="H35" s="36" t="n">
        <v>0.7</v>
      </c>
      <c r="I35" s="9" t="n">
        <v>110</v>
      </c>
      <c r="J35" s="9" t="n">
        <f aca="false">COUNTIFS('Formation Ledger'!$B$7:$B$5257,A35,'Formation Ledger'!$V$7:$V$5257,1)</f>
        <v>0</v>
      </c>
      <c r="K35" s="9" t="n">
        <f aca="false">I35-J35</f>
        <v>110</v>
      </c>
      <c r="L35" s="37" t="n">
        <v>314</v>
      </c>
      <c r="M35" s="9" t="n">
        <v>211950</v>
      </c>
      <c r="N35" s="21" t="str">
        <f aca="false">IF(J35&gt;=I35,"READY","HOLD")</f>
        <v>HOLD</v>
      </c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customFormat="false" ht="15" hidden="false" customHeight="false" outlineLevel="0" collapsed="false">
      <c r="A36" s="9" t="s">
        <v>2969</v>
      </c>
      <c r="B36" s="9" t="s">
        <v>2970</v>
      </c>
      <c r="C36" s="9" t="s">
        <v>2971</v>
      </c>
      <c r="D36" s="9" t="s">
        <v>1660</v>
      </c>
      <c r="E36" s="9" t="n">
        <v>75</v>
      </c>
      <c r="F36" s="9" t="n">
        <v>90</v>
      </c>
      <c r="G36" s="9" t="n">
        <v>174</v>
      </c>
      <c r="H36" s="36" t="n">
        <v>0.65</v>
      </c>
      <c r="I36" s="9" t="n">
        <v>114</v>
      </c>
      <c r="J36" s="9" t="n">
        <f aca="false">COUNTIFS('Formation Ledger'!$B$7:$B$5257,A36,'Formation Ledger'!$V$7:$V$5257,1)</f>
        <v>0</v>
      </c>
      <c r="K36" s="9" t="n">
        <f aca="false">I36-J36</f>
        <v>114</v>
      </c>
      <c r="L36" s="37" t="n">
        <v>208.8</v>
      </c>
      <c r="M36" s="9" t="n">
        <v>295800</v>
      </c>
      <c r="N36" s="21" t="str">
        <f aca="false">IF(J36&gt;=I36,"READY","HOLD")</f>
        <v>HOLD</v>
      </c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customFormat="false" ht="15" hidden="false" customHeight="false" outlineLevel="0" collapsed="false">
      <c r="A37" s="9" t="s">
        <v>3146</v>
      </c>
      <c r="B37" s="9" t="s">
        <v>3147</v>
      </c>
      <c r="C37" s="9" t="s">
        <v>2971</v>
      </c>
      <c r="D37" s="9" t="s">
        <v>1660</v>
      </c>
      <c r="E37" s="9" t="n">
        <v>49</v>
      </c>
      <c r="F37" s="9" t="n">
        <v>58.8</v>
      </c>
      <c r="G37" s="9" t="n">
        <v>114</v>
      </c>
      <c r="H37" s="36" t="n">
        <v>0.65</v>
      </c>
      <c r="I37" s="9" t="n">
        <v>75</v>
      </c>
      <c r="J37" s="9" t="n">
        <f aca="false">COUNTIFS('Formation Ledger'!$B$7:$B$5257,A37,'Formation Ledger'!$V$7:$V$5257,1)</f>
        <v>0</v>
      </c>
      <c r="K37" s="9" t="n">
        <f aca="false">I37-J37</f>
        <v>75</v>
      </c>
      <c r="L37" s="37" t="n">
        <v>285</v>
      </c>
      <c r="M37" s="9" t="n">
        <v>232560</v>
      </c>
      <c r="N37" s="21" t="str">
        <f aca="false">IF(J37&gt;=I37,"READY","HOLD")</f>
        <v>HOLD</v>
      </c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customFormat="false" ht="15" hidden="false" customHeight="false" outlineLevel="0" collapsed="false">
      <c r="A38" s="9" t="s">
        <v>3262</v>
      </c>
      <c r="B38" s="9" t="s">
        <v>3263</v>
      </c>
      <c r="C38" s="9" t="s">
        <v>2971</v>
      </c>
      <c r="D38" s="9" t="s">
        <v>1660</v>
      </c>
      <c r="E38" s="9" t="n">
        <v>28</v>
      </c>
      <c r="F38" s="9" t="n">
        <v>33.6</v>
      </c>
      <c r="G38" s="9" t="n">
        <v>65</v>
      </c>
      <c r="H38" s="36" t="n">
        <v>0.65</v>
      </c>
      <c r="I38" s="9" t="n">
        <v>43</v>
      </c>
      <c r="J38" s="9" t="n">
        <f aca="false">COUNTIFS('Formation Ledger'!$B$7:$B$5257,A38,'Formation Ledger'!$V$7:$V$5257,1)</f>
        <v>0</v>
      </c>
      <c r="K38" s="9" t="n">
        <f aca="false">I38-J38</f>
        <v>43</v>
      </c>
      <c r="L38" s="37" t="n">
        <v>97.5</v>
      </c>
      <c r="M38" s="9" t="n">
        <v>198900</v>
      </c>
      <c r="N38" s="21" t="str">
        <f aca="false">IF(J38&gt;=I38,"READY","HOLD")</f>
        <v>HOLD</v>
      </c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customFormat="false" ht="15" hidden="false" customHeight="false" outlineLevel="0" collapsed="false">
      <c r="A39" s="9" t="s">
        <v>3329</v>
      </c>
      <c r="B39" s="9" t="s">
        <v>3330</v>
      </c>
      <c r="C39" s="9" t="s">
        <v>2971</v>
      </c>
      <c r="D39" s="9" t="s">
        <v>1660</v>
      </c>
      <c r="E39" s="9" t="n">
        <v>42</v>
      </c>
      <c r="F39" s="9" t="n">
        <v>50.4</v>
      </c>
      <c r="G39" s="9" t="n">
        <v>97</v>
      </c>
      <c r="H39" s="36" t="n">
        <v>0.65</v>
      </c>
      <c r="I39" s="9" t="n">
        <v>64</v>
      </c>
      <c r="J39" s="9" t="n">
        <f aca="false">COUNTIFS('Formation Ledger'!$B$7:$B$5257,A39,'Formation Ledger'!$V$7:$V$5257,1)</f>
        <v>0</v>
      </c>
      <c r="K39" s="9" t="n">
        <f aca="false">I39-J39</f>
        <v>64</v>
      </c>
      <c r="L39" s="37" t="n">
        <v>97</v>
      </c>
      <c r="M39" s="9" t="n">
        <v>82450</v>
      </c>
      <c r="N39" s="21" t="str">
        <f aca="false">IF(J39&gt;=I39,"READY","HOLD")</f>
        <v>HOLD</v>
      </c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customFormat="false" ht="15" hidden="false" customHeight="false" outlineLevel="0" collapsed="false">
      <c r="A40" s="9" t="s">
        <v>3428</v>
      </c>
      <c r="B40" s="9" t="s">
        <v>3429</v>
      </c>
      <c r="C40" s="9" t="s">
        <v>2971</v>
      </c>
      <c r="D40" s="9" t="s">
        <v>1660</v>
      </c>
      <c r="E40" s="9" t="n">
        <v>49</v>
      </c>
      <c r="F40" s="9" t="n">
        <v>58.8</v>
      </c>
      <c r="G40" s="9" t="n">
        <v>114</v>
      </c>
      <c r="H40" s="36" t="n">
        <v>0.65</v>
      </c>
      <c r="I40" s="9" t="n">
        <v>75</v>
      </c>
      <c r="J40" s="9" t="n">
        <f aca="false">COUNTIFS('Formation Ledger'!$B$7:$B$5257,A40,'Formation Ledger'!$V$7:$V$5257,1)</f>
        <v>0</v>
      </c>
      <c r="K40" s="9" t="n">
        <f aca="false">I40-J40</f>
        <v>75</v>
      </c>
      <c r="L40" s="37" t="n">
        <v>114</v>
      </c>
      <c r="M40" s="9" t="n">
        <v>174420</v>
      </c>
      <c r="N40" s="21" t="str">
        <f aca="false">IF(J40&gt;=I40,"READY","HOLD")</f>
        <v>HOLD</v>
      </c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customFormat="false" ht="15" hidden="false" customHeight="false" outlineLevel="0" collapsed="false">
      <c r="A41" s="9" t="s">
        <v>3544</v>
      </c>
      <c r="B41" s="9" t="s">
        <v>3545</v>
      </c>
      <c r="C41" s="9" t="s">
        <v>2971</v>
      </c>
      <c r="D41" s="9" t="s">
        <v>1660</v>
      </c>
      <c r="E41" s="9" t="n">
        <v>75</v>
      </c>
      <c r="F41" s="9" t="n">
        <v>90</v>
      </c>
      <c r="G41" s="9" t="n">
        <v>174</v>
      </c>
      <c r="H41" s="36" t="n">
        <v>0.65</v>
      </c>
      <c r="I41" s="9" t="n">
        <v>114</v>
      </c>
      <c r="J41" s="9" t="n">
        <f aca="false">COUNTIFS('Formation Ledger'!$B$7:$B$5257,A41,'Formation Ledger'!$V$7:$V$5257,1)</f>
        <v>0</v>
      </c>
      <c r="K41" s="9" t="n">
        <f aca="false">I41-J41</f>
        <v>114</v>
      </c>
      <c r="L41" s="37" t="n">
        <v>139.2</v>
      </c>
      <c r="M41" s="9" t="n">
        <v>325380</v>
      </c>
      <c r="N41" s="21" t="str">
        <f aca="false">IF(J41&gt;=I41,"READY","HOLD")</f>
        <v>HOLD</v>
      </c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customFormat="false" ht="15" hidden="false" customHeight="false" outlineLevel="0" collapsed="false">
      <c r="A42" s="9" t="s">
        <v>3720</v>
      </c>
      <c r="B42" s="9" t="s">
        <v>3721</v>
      </c>
      <c r="C42" s="9" t="s">
        <v>3722</v>
      </c>
      <c r="D42" s="9" t="s">
        <v>1660</v>
      </c>
      <c r="E42" s="9" t="n">
        <v>108</v>
      </c>
      <c r="F42" s="9" t="n">
        <v>129.6</v>
      </c>
      <c r="G42" s="9" t="n">
        <v>216</v>
      </c>
      <c r="H42" s="36" t="n">
        <v>0.75</v>
      </c>
      <c r="I42" s="9" t="n">
        <v>162</v>
      </c>
      <c r="J42" s="9" t="n">
        <f aca="false">COUNTIFS('Formation Ledger'!$B$7:$B$5257,A42,'Formation Ledger'!$V$7:$V$5257,1)</f>
        <v>0</v>
      </c>
      <c r="K42" s="9" t="n">
        <f aca="false">I42-J42</f>
        <v>162</v>
      </c>
      <c r="L42" s="37" t="n">
        <v>129.6</v>
      </c>
      <c r="M42" s="9" t="n">
        <v>243000</v>
      </c>
      <c r="N42" s="21" t="str">
        <f aca="false">IF(J42&gt;=I42,"READY","HOLD")</f>
        <v>HOLD</v>
      </c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customFormat="false" ht="15" hidden="false" customHeight="false" outlineLevel="0" collapsed="false">
      <c r="A43" s="9" t="s">
        <v>3939</v>
      </c>
      <c r="B43" s="9" t="s">
        <v>3940</v>
      </c>
      <c r="C43" s="9" t="s">
        <v>3722</v>
      </c>
      <c r="D43" s="9" t="s">
        <v>1660</v>
      </c>
      <c r="E43" s="9" t="n">
        <v>108</v>
      </c>
      <c r="F43" s="9" t="n">
        <v>129.6</v>
      </c>
      <c r="G43" s="9" t="n">
        <v>216</v>
      </c>
      <c r="H43" s="36" t="n">
        <v>0.75</v>
      </c>
      <c r="I43" s="9" t="n">
        <v>162</v>
      </c>
      <c r="J43" s="9" t="n">
        <f aca="false">COUNTIFS('Formation Ledger'!$B$7:$B$5257,A43,'Formation Ledger'!$V$7:$V$5257,1)</f>
        <v>0</v>
      </c>
      <c r="K43" s="9" t="n">
        <f aca="false">I43-J43</f>
        <v>162</v>
      </c>
      <c r="L43" s="37" t="n">
        <v>108</v>
      </c>
      <c r="M43" s="9" t="n">
        <v>189000</v>
      </c>
      <c r="N43" s="21" t="str">
        <f aca="false">IF(J43&gt;=I43,"READY","HOLD")</f>
        <v>HOLD</v>
      </c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customFormat="false" ht="15" hidden="false" customHeight="false" outlineLevel="0" collapsed="false">
      <c r="A44" s="9" t="s">
        <v>4157</v>
      </c>
      <c r="B44" s="9" t="s">
        <v>4158</v>
      </c>
      <c r="C44" s="9" t="s">
        <v>3722</v>
      </c>
      <c r="D44" s="9" t="s">
        <v>196</v>
      </c>
      <c r="E44" s="9" t="n">
        <v>82</v>
      </c>
      <c r="F44" s="9" t="n">
        <v>98.4</v>
      </c>
      <c r="G44" s="9" t="n">
        <v>164</v>
      </c>
      <c r="H44" s="36" t="n">
        <v>0.75</v>
      </c>
      <c r="I44" s="9" t="n">
        <v>123</v>
      </c>
      <c r="J44" s="9" t="n">
        <f aca="false">COUNTIFS('Formation Ledger'!$B$7:$B$5257,A44,'Formation Ledger'!$V$7:$V$5257,1)</f>
        <v>0</v>
      </c>
      <c r="K44" s="9" t="n">
        <f aca="false">I44-J44</f>
        <v>123</v>
      </c>
      <c r="L44" s="37" t="n">
        <v>49.2</v>
      </c>
      <c r="M44" s="9" t="n">
        <v>73800</v>
      </c>
      <c r="N44" s="21" t="str">
        <f aca="false">IF(J44&gt;=I44,"READY","HOLD")</f>
        <v>HOLD</v>
      </c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customFormat="false" ht="15" hidden="false" customHeight="false" outlineLevel="0" collapsed="false">
      <c r="A45" s="9" t="s">
        <v>4323</v>
      </c>
      <c r="B45" s="9" t="s">
        <v>4324</v>
      </c>
      <c r="C45" s="9" t="s">
        <v>3722</v>
      </c>
      <c r="D45" s="9" t="s">
        <v>1660</v>
      </c>
      <c r="E45" s="9" t="n">
        <v>79</v>
      </c>
      <c r="F45" s="9" t="n">
        <v>94.8</v>
      </c>
      <c r="G45" s="9" t="n">
        <v>158</v>
      </c>
      <c r="H45" s="36" t="n">
        <v>0.75</v>
      </c>
      <c r="I45" s="9" t="n">
        <v>119</v>
      </c>
      <c r="J45" s="9" t="n">
        <f aca="false">COUNTIFS('Formation Ledger'!$B$7:$B$5257,A45,'Formation Ledger'!$V$7:$V$5257,1)</f>
        <v>0</v>
      </c>
      <c r="K45" s="9" t="n">
        <f aca="false">I45-J45</f>
        <v>119</v>
      </c>
      <c r="L45" s="37" t="n">
        <v>63.2</v>
      </c>
      <c r="M45" s="9" t="n">
        <v>118500</v>
      </c>
      <c r="N45" s="21" t="str">
        <f aca="false">IF(J45&gt;=I45,"READY","HOLD")</f>
        <v>HOLD</v>
      </c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customFormat="false" ht="15" hidden="false" customHeight="false" outlineLevel="0" collapsed="false">
      <c r="A46" s="9" t="s">
        <v>4483</v>
      </c>
      <c r="B46" s="9" t="s">
        <v>4484</v>
      </c>
      <c r="C46" s="9" t="s">
        <v>3722</v>
      </c>
      <c r="D46" s="9" t="s">
        <v>323</v>
      </c>
      <c r="E46" s="9" t="n">
        <v>66</v>
      </c>
      <c r="F46" s="9" t="n">
        <v>79.2</v>
      </c>
      <c r="G46" s="9" t="n">
        <v>132</v>
      </c>
      <c r="H46" s="36" t="n">
        <v>0.75</v>
      </c>
      <c r="I46" s="9" t="n">
        <v>99</v>
      </c>
      <c r="J46" s="9" t="n">
        <f aca="false">COUNTIFS('Formation Ledger'!$B$7:$B$5257,A46,'Formation Ledger'!$V$7:$V$5257,1)</f>
        <v>0</v>
      </c>
      <c r="K46" s="9" t="n">
        <f aca="false">I46-J46</f>
        <v>99</v>
      </c>
      <c r="L46" s="37" t="n">
        <v>52.8</v>
      </c>
      <c r="M46" s="9" t="n">
        <v>82500</v>
      </c>
      <c r="N46" s="21" t="str">
        <f aca="false">IF(J46&gt;=I46,"READY","HOLD")</f>
        <v>HOLD</v>
      </c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customFormat="false" ht="15" hidden="false" customHeight="false" outlineLevel="0" collapsed="false">
      <c r="A47" s="9" t="s">
        <v>4617</v>
      </c>
      <c r="B47" s="9" t="s">
        <v>4618</v>
      </c>
      <c r="C47" s="9" t="s">
        <v>3722</v>
      </c>
      <c r="D47" s="9" t="s">
        <v>323</v>
      </c>
      <c r="E47" s="9" t="n">
        <v>55</v>
      </c>
      <c r="F47" s="9" t="n">
        <v>66</v>
      </c>
      <c r="G47" s="9" t="n">
        <v>110</v>
      </c>
      <c r="H47" s="36" t="n">
        <v>0.75</v>
      </c>
      <c r="I47" s="9" t="n">
        <v>83</v>
      </c>
      <c r="J47" s="9" t="n">
        <f aca="false">COUNTIFS('Formation Ledger'!$B$7:$B$5257,A47,'Formation Ledger'!$V$7:$V$5257,1)</f>
        <v>0</v>
      </c>
      <c r="K47" s="9" t="n">
        <f aca="false">I47-J47</f>
        <v>83</v>
      </c>
      <c r="L47" s="37" t="n">
        <v>38.5</v>
      </c>
      <c r="M47" s="9" t="n">
        <v>96250</v>
      </c>
      <c r="N47" s="21" t="str">
        <f aca="false">IF(J47&gt;=I47,"READY","HOLD")</f>
        <v>HOLD</v>
      </c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customFormat="false" ht="15" hidden="false" customHeight="false" outlineLevel="0" collapsed="false">
      <c r="A48" s="9" t="s">
        <v>4729</v>
      </c>
      <c r="B48" s="9" t="s">
        <v>4730</v>
      </c>
      <c r="C48" s="9" t="s">
        <v>4731</v>
      </c>
      <c r="D48" s="9" t="s">
        <v>196</v>
      </c>
      <c r="E48" s="9" t="n">
        <v>69</v>
      </c>
      <c r="F48" s="9" t="n">
        <v>82.8</v>
      </c>
      <c r="G48" s="9" t="n">
        <v>160</v>
      </c>
      <c r="H48" s="36" t="n">
        <v>0.65</v>
      </c>
      <c r="I48" s="9" t="n">
        <v>104</v>
      </c>
      <c r="J48" s="9" t="n">
        <f aca="false">COUNTIFS('Formation Ledger'!$B$7:$B$5257,A48,'Formation Ledger'!$V$7:$V$5257,1)</f>
        <v>0</v>
      </c>
      <c r="K48" s="9" t="n">
        <f aca="false">I48-J48</f>
        <v>104</v>
      </c>
      <c r="L48" s="37" t="n">
        <v>1098.56</v>
      </c>
      <c r="M48" s="9" t="n">
        <v>3039328</v>
      </c>
      <c r="N48" s="21" t="str">
        <f aca="false">IF(J48&gt;=I48,"READY","HOLD")</f>
        <v>HOLD</v>
      </c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customFormat="false" ht="15" hidden="false" customHeight="false" outlineLevel="0" collapsed="false">
      <c r="A49" s="9" t="s">
        <v>4892</v>
      </c>
      <c r="B49" s="9" t="s">
        <v>4893</v>
      </c>
      <c r="C49" s="9" t="s">
        <v>4731</v>
      </c>
      <c r="D49" s="9" t="s">
        <v>1660</v>
      </c>
      <c r="E49" s="9" t="n">
        <v>54</v>
      </c>
      <c r="F49" s="9" t="n">
        <v>64.8</v>
      </c>
      <c r="G49" s="9" t="n">
        <v>125</v>
      </c>
      <c r="H49" s="36" t="n">
        <v>0.65</v>
      </c>
      <c r="I49" s="9" t="n">
        <v>82</v>
      </c>
      <c r="J49" s="9" t="n">
        <f aca="false">COUNTIFS('Formation Ledger'!$B$7:$B$5257,A49,'Formation Ledger'!$V$7:$V$5257,1)</f>
        <v>0</v>
      </c>
      <c r="K49" s="9" t="n">
        <f aca="false">I49-J49</f>
        <v>82</v>
      </c>
      <c r="L49" s="37" t="n">
        <v>250</v>
      </c>
      <c r="M49" s="9" t="n">
        <v>675000</v>
      </c>
      <c r="N49" s="21" t="str">
        <f aca="false">IF(J49&gt;=I49,"READY","HOLD")</f>
        <v>HOLD</v>
      </c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customFormat="false" ht="15" hidden="false" customHeight="false" outlineLevel="0" collapsed="false">
      <c r="A50" s="9" t="s">
        <v>5019</v>
      </c>
      <c r="B50" s="9" t="s">
        <v>5020</v>
      </c>
      <c r="C50" s="9" t="s">
        <v>4731</v>
      </c>
      <c r="D50" s="9" t="s">
        <v>1660</v>
      </c>
      <c r="E50" s="9" t="n">
        <v>86</v>
      </c>
      <c r="F50" s="9" t="n">
        <v>103.2</v>
      </c>
      <c r="G50" s="9" t="n">
        <v>199</v>
      </c>
      <c r="H50" s="36" t="n">
        <v>0.65</v>
      </c>
      <c r="I50" s="9" t="n">
        <v>130</v>
      </c>
      <c r="J50" s="9" t="n">
        <f aca="false">COUNTIFS('Formation Ledger'!$B$7:$B$5257,A50,'Formation Ledger'!$V$7:$V$5257,1)</f>
        <v>0</v>
      </c>
      <c r="K50" s="9" t="n">
        <f aca="false">I50-J50</f>
        <v>130</v>
      </c>
      <c r="L50" s="37" t="n">
        <v>298.5</v>
      </c>
      <c r="M50" s="9" t="n">
        <v>388050</v>
      </c>
      <c r="N50" s="21" t="str">
        <f aca="false">IF(J50&gt;=I50,"READY","HOLD")</f>
        <v>HOLD</v>
      </c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customFormat="false" ht="15" hidden="false" customHeight="false" outlineLevel="0" collapsed="false">
      <c r="A51" s="9" t="s">
        <v>5220</v>
      </c>
      <c r="B51" s="9" t="s">
        <v>5221</v>
      </c>
      <c r="C51" s="9" t="s">
        <v>4731</v>
      </c>
      <c r="D51" s="9" t="s">
        <v>1660</v>
      </c>
      <c r="E51" s="9" t="n">
        <v>32</v>
      </c>
      <c r="F51" s="9" t="n">
        <v>38.4</v>
      </c>
      <c r="G51" s="9" t="n">
        <v>74</v>
      </c>
      <c r="H51" s="36" t="n">
        <v>0.65</v>
      </c>
      <c r="I51" s="9" t="n">
        <v>49</v>
      </c>
      <c r="J51" s="9" t="n">
        <f aca="false">COUNTIFS('Formation Ledger'!$B$7:$B$5257,A51,'Formation Ledger'!$V$7:$V$5257,1)</f>
        <v>0</v>
      </c>
      <c r="K51" s="9" t="n">
        <f aca="false">I51-J51</f>
        <v>49</v>
      </c>
      <c r="L51" s="37" t="n">
        <v>148</v>
      </c>
      <c r="M51" s="9" t="n">
        <v>88800</v>
      </c>
      <c r="N51" s="21" t="str">
        <f aca="false">IF(J51&gt;=I51,"READY","HOLD")</f>
        <v>HOLD</v>
      </c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customFormat="false" ht="15" hidden="false" customHeight="false" outlineLevel="0" collapsed="false">
      <c r="A52" s="9" t="s">
        <v>5296</v>
      </c>
      <c r="B52" s="9" t="s">
        <v>5297</v>
      </c>
      <c r="C52" s="9" t="s">
        <v>4731</v>
      </c>
      <c r="D52" s="9" t="s">
        <v>1660</v>
      </c>
      <c r="E52" s="9" t="n">
        <v>31</v>
      </c>
      <c r="F52" s="9" t="n">
        <v>37.2</v>
      </c>
      <c r="G52" s="9" t="n">
        <v>72</v>
      </c>
      <c r="H52" s="36" t="n">
        <v>0.65</v>
      </c>
      <c r="I52" s="9" t="n">
        <v>47</v>
      </c>
      <c r="J52" s="9" t="n">
        <f aca="false">COUNTIFS('Formation Ledger'!$B$7:$B$5257,A52,'Formation Ledger'!$V$7:$V$5257,1)</f>
        <v>0</v>
      </c>
      <c r="K52" s="9" t="n">
        <f aca="false">I52-J52</f>
        <v>47</v>
      </c>
      <c r="L52" s="37" t="n">
        <v>216</v>
      </c>
      <c r="M52" s="9" t="n">
        <v>86400</v>
      </c>
      <c r="N52" s="21" t="str">
        <f aca="false">IF(J52&gt;=I52,"READY","HOLD")</f>
        <v>HOLD</v>
      </c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customFormat="false" ht="15" hidden="false" customHeight="false" outlineLevel="0" collapsed="false">
      <c r="A53" s="9" t="s">
        <v>5370</v>
      </c>
      <c r="B53" s="9" t="s">
        <v>5371</v>
      </c>
      <c r="C53" s="9" t="s">
        <v>4731</v>
      </c>
      <c r="D53" s="9" t="s">
        <v>1660</v>
      </c>
      <c r="E53" s="9" t="n">
        <v>32</v>
      </c>
      <c r="F53" s="9" t="n">
        <v>38.4</v>
      </c>
      <c r="G53" s="9" t="n">
        <v>74</v>
      </c>
      <c r="H53" s="36" t="n">
        <v>0.65</v>
      </c>
      <c r="I53" s="9" t="n">
        <v>49</v>
      </c>
      <c r="J53" s="9" t="n">
        <f aca="false">COUNTIFS('Formation Ledger'!$B$7:$B$5257,A53,'Formation Ledger'!$V$7:$V$5257,1)</f>
        <v>0</v>
      </c>
      <c r="K53" s="9" t="n">
        <f aca="false">I53-J53</f>
        <v>49</v>
      </c>
      <c r="L53" s="37" t="n">
        <v>148</v>
      </c>
      <c r="M53" s="9" t="n">
        <v>88800</v>
      </c>
      <c r="N53" s="21" t="str">
        <f aca="false">IF(J53&gt;=I53,"READY","HOLD")</f>
        <v>HOLD</v>
      </c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customFormat="false" ht="15" hidden="false" customHeight="false" outlineLevel="0" collapsed="false">
      <c r="A54" s="13" t="s">
        <v>5446</v>
      </c>
      <c r="B54" s="13" t="s">
        <v>5447</v>
      </c>
      <c r="C54" s="13" t="s">
        <v>4731</v>
      </c>
      <c r="D54" s="13" t="s">
        <v>323</v>
      </c>
      <c r="E54" s="13" t="n">
        <v>58</v>
      </c>
      <c r="F54" s="13" t="n">
        <v>69.6</v>
      </c>
      <c r="G54" s="13" t="n">
        <v>116</v>
      </c>
      <c r="H54" s="38" t="n">
        <v>0.75</v>
      </c>
      <c r="I54" s="13" t="n">
        <v>87</v>
      </c>
      <c r="J54" s="13" t="n">
        <f aca="false">COUNTIFS('Formation Ledger'!$B$7:$B$5257,A54,'Formation Ledger'!$V$7:$V$5257,1)</f>
        <v>0</v>
      </c>
      <c r="K54" s="13" t="n">
        <f aca="false">I54-J54</f>
        <v>87</v>
      </c>
      <c r="L54" s="39" t="n">
        <v>46.4</v>
      </c>
      <c r="M54" s="13" t="n">
        <v>116000</v>
      </c>
      <c r="N54" s="33" t="str">
        <f aca="false">IF(J54&gt;=I54,"READY","HOLD")</f>
        <v>HOLD</v>
      </c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customFormat="false" ht="15" hidden="false" customHeight="false" outlineLevel="0" collapsed="false">
      <c r="A55" s="5" t="s">
        <v>5571</v>
      </c>
      <c r="B55" s="5"/>
      <c r="C55" s="5"/>
      <c r="D55" s="5"/>
      <c r="E55" s="5" t="n">
        <v>2420</v>
      </c>
      <c r="F55" s="5" t="n">
        <v>2904</v>
      </c>
      <c r="G55" s="5" t="n">
        <v>5251</v>
      </c>
      <c r="H55" s="5"/>
      <c r="I55" s="5" t="n">
        <f aca="false">SUM(I7:I54)</f>
        <v>3667</v>
      </c>
      <c r="J55" s="5" t="n">
        <f aca="false">SUM(J7:J54)</f>
        <v>0</v>
      </c>
      <c r="K55" s="5" t="n">
        <f aca="false">SUM(K7:K54)</f>
        <v>3667</v>
      </c>
      <c r="L55" s="40" t="n">
        <v>9410.56</v>
      </c>
      <c r="M55" s="5" t="n">
        <v>11465213</v>
      </c>
      <c r="N55" s="41" t="s">
        <v>5572</v>
      </c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3"/>
    <col collapsed="false" customWidth="true" hidden="false" outlineLevel="0" max="3" min="3" style="0" width="19"/>
    <col collapsed="false" customWidth="true" hidden="false" outlineLevel="0" max="7" min="4" style="0" width="18"/>
    <col collapsed="false" customWidth="true" hidden="false" outlineLevel="0" max="8" min="8" style="0" width="21"/>
    <col collapsed="false" customWidth="true" hidden="false" outlineLevel="0" max="9" min="9" style="0" width="13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8.55" hidden="false" customHeight="false" outlineLevel="0" collapsed="false">
      <c r="A2" s="2" t="s">
        <v>5573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4" t="s">
        <v>5574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customFormat="false" ht="15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5" hidden="false" customHeight="false" outlineLevel="0" collapsed="false">
      <c r="A6" s="5" t="s">
        <v>5575</v>
      </c>
      <c r="B6" s="5" t="s">
        <v>5576</v>
      </c>
      <c r="C6" s="5" t="s">
        <v>40</v>
      </c>
      <c r="D6" s="5" t="s">
        <v>5567</v>
      </c>
      <c r="E6" s="5" t="s">
        <v>20</v>
      </c>
      <c r="F6" s="5" t="s">
        <v>187</v>
      </c>
      <c r="G6" s="5" t="s">
        <v>188</v>
      </c>
      <c r="H6" s="5" t="s">
        <v>5569</v>
      </c>
      <c r="I6" s="5" t="s">
        <v>2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customFormat="false" ht="15" hidden="false" customHeight="false" outlineLevel="0" collapsed="false">
      <c r="A7" s="7" t="s">
        <v>195</v>
      </c>
      <c r="B7" s="7" t="n">
        <v>6</v>
      </c>
      <c r="C7" s="7" t="n">
        <v>205</v>
      </c>
      <c r="D7" s="7" t="n">
        <v>398</v>
      </c>
      <c r="E7" s="7" t="n">
        <v>313</v>
      </c>
      <c r="F7" s="7" t="n">
        <v>414775</v>
      </c>
      <c r="G7" s="35" t="n">
        <v>333.8</v>
      </c>
      <c r="H7" s="7" t="n">
        <f aca="false">SUMIFS('Formation Ledger'!$V$7:$V$5257,'Formation Ledger'!$D$7:$D$5257,A7)</f>
        <v>0</v>
      </c>
      <c r="I7" s="19" t="str">
        <f aca="false">IF(H7&gt;=E7,"READY","HOLD")</f>
        <v>HOLD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customFormat="false" ht="15" hidden="false" customHeight="false" outlineLevel="0" collapsed="false">
      <c r="A8" s="9" t="s">
        <v>619</v>
      </c>
      <c r="B8" s="9" t="n">
        <v>5</v>
      </c>
      <c r="C8" s="9" t="n">
        <v>271</v>
      </c>
      <c r="D8" s="9" t="n">
        <v>584</v>
      </c>
      <c r="E8" s="9" t="n">
        <v>410</v>
      </c>
      <c r="F8" s="9" t="n">
        <v>610220</v>
      </c>
      <c r="G8" s="37" t="n">
        <v>779.4</v>
      </c>
      <c r="H8" s="9" t="n">
        <f aca="false">SUMIFS('Formation Ledger'!$V$7:$V$5257,'Formation Ledger'!$D$7:$D$5257,A8)</f>
        <v>0</v>
      </c>
      <c r="I8" s="21" t="str">
        <f aca="false">IF(H8&gt;=E8,"READY","HOLD")</f>
        <v>HOLD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customFormat="false" ht="15" hidden="false" customHeight="false" outlineLevel="0" collapsed="false">
      <c r="A9" s="9" t="s">
        <v>1215</v>
      </c>
      <c r="B9" s="9" t="n">
        <v>6</v>
      </c>
      <c r="C9" s="9" t="n">
        <v>218</v>
      </c>
      <c r="D9" s="9" t="n">
        <v>506</v>
      </c>
      <c r="E9" s="9" t="n">
        <v>332</v>
      </c>
      <c r="F9" s="9" t="n">
        <v>670320</v>
      </c>
      <c r="G9" s="37" t="n">
        <v>1785.6</v>
      </c>
      <c r="H9" s="9" t="n">
        <f aca="false">SUMIFS('Formation Ledger'!$V$7:$V$5257,'Formation Ledger'!$D$7:$D$5257,A9)</f>
        <v>0</v>
      </c>
      <c r="I9" s="21" t="str">
        <f aca="false">IF(H9&gt;=E9,"READY","HOLD")</f>
        <v>HOLD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customFormat="false" ht="15" hidden="false" customHeight="false" outlineLevel="0" collapsed="false">
      <c r="A10" s="9" t="s">
        <v>1735</v>
      </c>
      <c r="B10" s="9" t="n">
        <v>6</v>
      </c>
      <c r="C10" s="9" t="n">
        <v>188</v>
      </c>
      <c r="D10" s="9" t="n">
        <v>436</v>
      </c>
      <c r="E10" s="9" t="n">
        <v>287</v>
      </c>
      <c r="F10" s="9" t="n">
        <v>705150</v>
      </c>
      <c r="G10" s="37" t="n">
        <v>1776</v>
      </c>
      <c r="H10" s="9" t="n">
        <f aca="false">SUMIFS('Formation Ledger'!$V$7:$V$5257,'Formation Ledger'!$D$7:$D$5257,A10)</f>
        <v>0</v>
      </c>
      <c r="I10" s="21" t="str">
        <f aca="false">IF(H10&gt;=E10,"READY","HOLD")</f>
        <v>HOLD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customFormat="false" ht="15" hidden="false" customHeight="false" outlineLevel="0" collapsed="false">
      <c r="A11" s="9" t="s">
        <v>2185</v>
      </c>
      <c r="B11" s="9" t="n">
        <v>6</v>
      </c>
      <c r="C11" s="9" t="n">
        <v>360</v>
      </c>
      <c r="D11" s="9" t="n">
        <v>773</v>
      </c>
      <c r="E11" s="9" t="n">
        <v>544</v>
      </c>
      <c r="F11" s="9" t="n">
        <v>2469810</v>
      </c>
      <c r="G11" s="37" t="n">
        <v>1147.5</v>
      </c>
      <c r="H11" s="9" t="n">
        <f aca="false">SUMIFS('Formation Ledger'!$V$7:$V$5257,'Formation Ledger'!$D$7:$D$5257,A11)</f>
        <v>0</v>
      </c>
      <c r="I11" s="21" t="str">
        <f aca="false">IF(H11&gt;=E11,"READY","HOLD")</f>
        <v>HOLD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customFormat="false" ht="15" hidden="false" customHeight="false" outlineLevel="0" collapsed="false">
      <c r="A12" s="9" t="s">
        <v>2971</v>
      </c>
      <c r="B12" s="9" t="n">
        <v>6</v>
      </c>
      <c r="C12" s="9" t="n">
        <v>318</v>
      </c>
      <c r="D12" s="9" t="n">
        <v>738</v>
      </c>
      <c r="E12" s="9" t="n">
        <v>485</v>
      </c>
      <c r="F12" s="9" t="n">
        <v>1309510</v>
      </c>
      <c r="G12" s="37" t="n">
        <v>941.5</v>
      </c>
      <c r="H12" s="9" t="n">
        <f aca="false">SUMIFS('Formation Ledger'!$V$7:$V$5257,'Formation Ledger'!$D$7:$D$5257,A12)</f>
        <v>0</v>
      </c>
      <c r="I12" s="21" t="str">
        <f aca="false">IF(H12&gt;=E12,"READY","HOLD")</f>
        <v>HOLD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customFormat="false" ht="15" hidden="false" customHeight="false" outlineLevel="0" collapsed="false">
      <c r="A13" s="9" t="s">
        <v>3722</v>
      </c>
      <c r="B13" s="9" t="n">
        <v>6</v>
      </c>
      <c r="C13" s="9" t="n">
        <v>498</v>
      </c>
      <c r="D13" s="9" t="n">
        <v>996</v>
      </c>
      <c r="E13" s="9" t="n">
        <v>748</v>
      </c>
      <c r="F13" s="9" t="n">
        <v>803050</v>
      </c>
      <c r="G13" s="37" t="n">
        <v>441.3</v>
      </c>
      <c r="H13" s="9" t="n">
        <f aca="false">SUMIFS('Formation Ledger'!$V$7:$V$5257,'Formation Ledger'!$D$7:$D$5257,A13)</f>
        <v>0</v>
      </c>
      <c r="I13" s="21" t="str">
        <f aca="false">IF(H13&gt;=E13,"READY","HOLD")</f>
        <v>HOLD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customFormat="false" ht="15" hidden="false" customHeight="false" outlineLevel="0" collapsed="false">
      <c r="A14" s="13" t="s">
        <v>4731</v>
      </c>
      <c r="B14" s="13" t="n">
        <v>7</v>
      </c>
      <c r="C14" s="13" t="n">
        <v>362</v>
      </c>
      <c r="D14" s="13" t="n">
        <v>820</v>
      </c>
      <c r="E14" s="13" t="n">
        <v>548</v>
      </c>
      <c r="F14" s="13" t="n">
        <v>4482378</v>
      </c>
      <c r="G14" s="39" t="n">
        <v>2205.46</v>
      </c>
      <c r="H14" s="13" t="n">
        <f aca="false">SUMIFS('Formation Ledger'!$V$7:$V$5257,'Formation Ledger'!$D$7:$D$5257,A14)</f>
        <v>0</v>
      </c>
      <c r="I14" s="33" t="str">
        <f aca="false">IF(H14&gt;=E14,"READY","HOLD")</f>
        <v>HOLD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customFormat="false" ht="15" hidden="false" customHeight="false" outlineLevel="0" collapsed="false">
      <c r="A15" s="5" t="s">
        <v>5571</v>
      </c>
      <c r="B15" s="5" t="n">
        <v>48</v>
      </c>
      <c r="C15" s="5" t="n">
        <v>2420</v>
      </c>
      <c r="D15" s="5" t="n">
        <v>5251</v>
      </c>
      <c r="E15" s="5" t="n">
        <f aca="false">SUM(E7:E14)</f>
        <v>3667</v>
      </c>
      <c r="F15" s="5" t="n">
        <v>11465213</v>
      </c>
      <c r="G15" s="40" t="n">
        <v>9410.56</v>
      </c>
      <c r="H15" s="5" t="n">
        <f aca="false">SUM(H7:H14)</f>
        <v>0</v>
      </c>
      <c r="I15" s="41" t="s">
        <v>5572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0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17"/>
    <col collapsed="false" customWidth="true" hidden="false" outlineLevel="0" max="7" min="6" style="0" width="18"/>
    <col collapsed="false" customWidth="true" hidden="false" outlineLevel="0" max="8" min="8" style="0" width="21"/>
    <col collapsed="false" customWidth="true" hidden="false" outlineLevel="0" max="9" min="9" style="0" width="22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8.55" hidden="false" customHeight="false" outlineLevel="0" collapsed="false">
      <c r="A2" s="2" t="s">
        <v>5577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4" t="s">
        <v>5578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customFormat="false" ht="15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5" hidden="false" customHeight="false" outlineLevel="0" collapsed="false">
      <c r="A6" s="5" t="s">
        <v>184</v>
      </c>
      <c r="B6" s="5" t="s">
        <v>5579</v>
      </c>
      <c r="C6" s="5" t="s">
        <v>5576</v>
      </c>
      <c r="D6" s="5" t="s">
        <v>40</v>
      </c>
      <c r="E6" s="5" t="s">
        <v>5567</v>
      </c>
      <c r="F6" s="5" t="s">
        <v>187</v>
      </c>
      <c r="G6" s="5" t="s">
        <v>188</v>
      </c>
      <c r="H6" s="5" t="s">
        <v>5580</v>
      </c>
      <c r="I6" s="5" t="s">
        <v>5581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customFormat="false" ht="15" hidden="false" customHeight="false" outlineLevel="0" collapsed="false">
      <c r="A7" s="7" t="s">
        <v>275</v>
      </c>
      <c r="B7" s="7" t="s">
        <v>5582</v>
      </c>
      <c r="C7" s="7" t="n">
        <v>9</v>
      </c>
      <c r="D7" s="7" t="n">
        <v>369</v>
      </c>
      <c r="E7" s="7" t="n">
        <v>827</v>
      </c>
      <c r="F7" s="7" t="n">
        <v>1012600</v>
      </c>
      <c r="G7" s="35" t="n">
        <v>2054.5</v>
      </c>
      <c r="H7" s="7" t="n">
        <f aca="false">SUMIFS('Formation Ledger'!$V$7:$V$5257,'Formation Ledger'!$E$7:$E$5257,A7)</f>
        <v>0</v>
      </c>
      <c r="I7" s="19" t="n">
        <v>0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customFormat="false" ht="15" hidden="false" customHeight="false" outlineLevel="0" collapsed="false">
      <c r="A8" s="9" t="s">
        <v>196</v>
      </c>
      <c r="B8" s="9" t="s">
        <v>5583</v>
      </c>
      <c r="C8" s="9" t="n">
        <v>6</v>
      </c>
      <c r="D8" s="9" t="n">
        <v>343</v>
      </c>
      <c r="E8" s="9" t="n">
        <v>724</v>
      </c>
      <c r="F8" s="9" t="n">
        <v>3380998</v>
      </c>
      <c r="G8" s="37" t="n">
        <v>1505.46</v>
      </c>
      <c r="H8" s="9" t="n">
        <f aca="false">SUMIFS('Formation Ledger'!$V$7:$V$5257,'Formation Ledger'!$E$7:$E$5257,A8)</f>
        <v>0</v>
      </c>
      <c r="I8" s="21" t="n">
        <v>0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customFormat="false" ht="15" hidden="false" customHeight="false" outlineLevel="0" collapsed="false">
      <c r="A9" s="9" t="s">
        <v>773</v>
      </c>
      <c r="B9" s="9" t="s">
        <v>5584</v>
      </c>
      <c r="C9" s="9" t="n">
        <v>4</v>
      </c>
      <c r="D9" s="9" t="n">
        <v>170</v>
      </c>
      <c r="E9" s="9" t="n">
        <v>370</v>
      </c>
      <c r="F9" s="9" t="n">
        <v>460870</v>
      </c>
      <c r="G9" s="37" t="n">
        <v>767.4</v>
      </c>
      <c r="H9" s="9" t="n">
        <f aca="false">SUMIFS('Formation Ledger'!$V$7:$V$5257,'Formation Ledger'!$E$7:$E$5257,A9)</f>
        <v>0</v>
      </c>
      <c r="I9" s="21" t="n">
        <v>0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customFormat="false" ht="15" hidden="false" customHeight="false" outlineLevel="0" collapsed="false">
      <c r="A10" s="9" t="s">
        <v>2027</v>
      </c>
      <c r="B10" s="9" t="s">
        <v>5585</v>
      </c>
      <c r="C10" s="9" t="n">
        <v>5</v>
      </c>
      <c r="D10" s="9" t="n">
        <v>256</v>
      </c>
      <c r="E10" s="9" t="n">
        <v>554</v>
      </c>
      <c r="F10" s="9" t="n">
        <v>2338110</v>
      </c>
      <c r="G10" s="37" t="n">
        <v>804</v>
      </c>
      <c r="H10" s="9" t="n">
        <f aca="false">SUMIFS('Formation Ledger'!$V$7:$V$5257,'Formation Ledger'!$E$7:$E$5257,A10)</f>
        <v>0</v>
      </c>
      <c r="I10" s="21" t="n">
        <v>0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customFormat="false" ht="15" hidden="false" customHeight="false" outlineLevel="0" collapsed="false">
      <c r="A11" s="9" t="s">
        <v>1660</v>
      </c>
      <c r="B11" s="9" t="s">
        <v>5586</v>
      </c>
      <c r="C11" s="9" t="n">
        <v>15</v>
      </c>
      <c r="D11" s="9" t="n">
        <v>879</v>
      </c>
      <c r="E11" s="9" t="n">
        <v>1944</v>
      </c>
      <c r="F11" s="9" t="n">
        <v>3251860</v>
      </c>
      <c r="G11" s="37" t="n">
        <v>2482.8</v>
      </c>
      <c r="H11" s="9" t="n">
        <f aca="false">SUMIFS('Formation Ledger'!$V$7:$V$5257,'Formation Ledger'!$E$7:$E$5257,A11)</f>
        <v>0</v>
      </c>
      <c r="I11" s="21" t="n">
        <v>0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customFormat="false" ht="15" hidden="false" customHeight="false" outlineLevel="0" collapsed="false">
      <c r="A12" s="13" t="s">
        <v>323</v>
      </c>
      <c r="B12" s="13" t="s">
        <v>5587</v>
      </c>
      <c r="C12" s="13" t="n">
        <v>9</v>
      </c>
      <c r="D12" s="13" t="n">
        <v>403</v>
      </c>
      <c r="E12" s="13" t="n">
        <v>832</v>
      </c>
      <c r="F12" s="13" t="n">
        <v>1020775</v>
      </c>
      <c r="G12" s="39" t="n">
        <v>1796.4</v>
      </c>
      <c r="H12" s="13" t="n">
        <f aca="false">SUMIFS('Formation Ledger'!$V$7:$V$5257,'Formation Ledger'!$E$7:$E$5257,A12)</f>
        <v>0</v>
      </c>
      <c r="I12" s="33" t="n">
        <v>0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customFormat="false" ht="15" hidden="false" customHeight="false" outlineLevel="0" collapsed="false">
      <c r="A13" s="5" t="s">
        <v>5571</v>
      </c>
      <c r="B13" s="5"/>
      <c r="C13" s="5" t="n">
        <v>48</v>
      </c>
      <c r="D13" s="5" t="n">
        <v>2420</v>
      </c>
      <c r="E13" s="5" t="n">
        <v>5251</v>
      </c>
      <c r="F13" s="5" t="n">
        <v>11465213</v>
      </c>
      <c r="G13" s="40" t="n">
        <v>9410.56</v>
      </c>
      <c r="H13" s="5" t="n">
        <f aca="false">SUM(H7:H12)</f>
        <v>0</v>
      </c>
      <c r="I13" s="41" t="n">
        <v>0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6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1"/>
    <col collapsed="false" customWidth="true" hidden="false" outlineLevel="0" max="3" min="3" style="0" width="31"/>
    <col collapsed="false" customWidth="true" hidden="false" outlineLevel="0" max="4" min="4" style="0" width="23"/>
    <col collapsed="false" customWidth="true" hidden="false" outlineLevel="0" max="6" min="5" style="0" width="20"/>
    <col collapsed="false" customWidth="true" hidden="false" outlineLevel="0" max="7" min="7" style="0" width="19"/>
    <col collapsed="false" customWidth="true" hidden="false" outlineLevel="0" max="8" min="8" style="0" width="15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8.55" hidden="false" customHeight="false" outlineLevel="0" collapsed="false">
      <c r="A2" s="2" t="s">
        <v>5588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4" t="s">
        <v>5589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customFormat="false" ht="15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5" hidden="false" customHeight="false" outlineLevel="0" collapsed="false">
      <c r="A6" s="5" t="s">
        <v>5590</v>
      </c>
      <c r="B6" s="5" t="s">
        <v>184</v>
      </c>
      <c r="C6" s="5" t="s">
        <v>5591</v>
      </c>
      <c r="D6" s="5" t="s">
        <v>5592</v>
      </c>
      <c r="E6" s="5" t="s">
        <v>5593</v>
      </c>
      <c r="F6" s="5" t="s">
        <v>5594</v>
      </c>
      <c r="G6" s="5" t="s">
        <v>176</v>
      </c>
      <c r="H6" s="5" t="s">
        <v>5595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customFormat="false" ht="15" hidden="false" customHeight="false" outlineLevel="0" collapsed="false">
      <c r="A7" s="7" t="s">
        <v>5596</v>
      </c>
      <c r="B7" s="7" t="s">
        <v>275</v>
      </c>
      <c r="C7" s="7" t="s">
        <v>5597</v>
      </c>
      <c r="D7" s="7" t="n">
        <v>37</v>
      </c>
      <c r="E7" s="28" t="s">
        <v>5598</v>
      </c>
      <c r="F7" s="28" t="s">
        <v>5598</v>
      </c>
      <c r="G7" s="28" t="s">
        <v>5598</v>
      </c>
      <c r="H7" s="19" t="n">
        <f aca="false">IF(AND(E7="PASS",F7="PASS",G7="PASS"),D7,0)</f>
        <v>0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customFormat="false" ht="15" hidden="false" customHeight="false" outlineLevel="0" collapsed="false">
      <c r="A8" s="9" t="s">
        <v>5599</v>
      </c>
      <c r="B8" s="9" t="s">
        <v>275</v>
      </c>
      <c r="C8" s="9" t="s">
        <v>5600</v>
      </c>
      <c r="D8" s="9" t="n">
        <v>37</v>
      </c>
      <c r="E8" s="30" t="s">
        <v>5598</v>
      </c>
      <c r="F8" s="30" t="s">
        <v>5598</v>
      </c>
      <c r="G8" s="30" t="s">
        <v>5598</v>
      </c>
      <c r="H8" s="21" t="n">
        <f aca="false">IF(AND(E8="PASS",F8="PASS",G8="PASS"),D8,0)</f>
        <v>0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customFormat="false" ht="15" hidden="false" customHeight="false" outlineLevel="0" collapsed="false">
      <c r="A9" s="9" t="s">
        <v>5601</v>
      </c>
      <c r="B9" s="9" t="s">
        <v>275</v>
      </c>
      <c r="C9" s="9" t="s">
        <v>5602</v>
      </c>
      <c r="D9" s="9" t="n">
        <v>37</v>
      </c>
      <c r="E9" s="30" t="s">
        <v>5598</v>
      </c>
      <c r="F9" s="30" t="s">
        <v>5598</v>
      </c>
      <c r="G9" s="30" t="s">
        <v>5598</v>
      </c>
      <c r="H9" s="21" t="n">
        <f aca="false">IF(AND(E9="PASS",F9="PASS",G9="PASS"),D9,0)</f>
        <v>0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customFormat="false" ht="15" hidden="false" customHeight="false" outlineLevel="0" collapsed="false">
      <c r="A10" s="9" t="s">
        <v>5603</v>
      </c>
      <c r="B10" s="9" t="s">
        <v>275</v>
      </c>
      <c r="C10" s="9" t="s">
        <v>5604</v>
      </c>
      <c r="D10" s="9" t="n">
        <v>37</v>
      </c>
      <c r="E10" s="30" t="s">
        <v>5598</v>
      </c>
      <c r="F10" s="30" t="s">
        <v>5598</v>
      </c>
      <c r="G10" s="30" t="s">
        <v>5598</v>
      </c>
      <c r="H10" s="21" t="n">
        <f aca="false">IF(AND(E10="PASS",F10="PASS",G10="PASS"),D10,0)</f>
        <v>0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customFormat="false" ht="15" hidden="false" customHeight="false" outlineLevel="0" collapsed="false">
      <c r="A11" s="9" t="s">
        <v>5605</v>
      </c>
      <c r="B11" s="9" t="s">
        <v>275</v>
      </c>
      <c r="C11" s="9" t="s">
        <v>5606</v>
      </c>
      <c r="D11" s="9" t="n">
        <v>37</v>
      </c>
      <c r="E11" s="30" t="s">
        <v>5598</v>
      </c>
      <c r="F11" s="30" t="s">
        <v>5598</v>
      </c>
      <c r="G11" s="30" t="s">
        <v>5598</v>
      </c>
      <c r="H11" s="21" t="n">
        <f aca="false">IF(AND(E11="PASS",F11="PASS",G11="PASS"),D11,0)</f>
        <v>0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customFormat="false" ht="15" hidden="false" customHeight="false" outlineLevel="0" collapsed="false">
      <c r="A12" s="9" t="s">
        <v>5607</v>
      </c>
      <c r="B12" s="9" t="s">
        <v>275</v>
      </c>
      <c r="C12" s="9" t="s">
        <v>5608</v>
      </c>
      <c r="D12" s="9" t="n">
        <v>37</v>
      </c>
      <c r="E12" s="30" t="s">
        <v>5598</v>
      </c>
      <c r="F12" s="30" t="s">
        <v>5598</v>
      </c>
      <c r="G12" s="30" t="s">
        <v>5598</v>
      </c>
      <c r="H12" s="21" t="n">
        <f aca="false">IF(AND(E12="PASS",F12="PASS",G12="PASS"),D12,0)</f>
        <v>0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customFormat="false" ht="15" hidden="false" customHeight="false" outlineLevel="0" collapsed="false">
      <c r="A13" s="9" t="s">
        <v>5609</v>
      </c>
      <c r="B13" s="9" t="s">
        <v>275</v>
      </c>
      <c r="C13" s="9" t="s">
        <v>5610</v>
      </c>
      <c r="D13" s="9" t="n">
        <v>37</v>
      </c>
      <c r="E13" s="30" t="s">
        <v>5598</v>
      </c>
      <c r="F13" s="30" t="s">
        <v>5598</v>
      </c>
      <c r="G13" s="30" t="s">
        <v>5598</v>
      </c>
      <c r="H13" s="21" t="n">
        <f aca="false">IF(AND(E13="PASS",F13="PASS",G13="PASS"),D13,0)</f>
        <v>0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customFormat="false" ht="15" hidden="false" customHeight="false" outlineLevel="0" collapsed="false">
      <c r="A14" s="9" t="s">
        <v>5611</v>
      </c>
      <c r="B14" s="9" t="s">
        <v>275</v>
      </c>
      <c r="C14" s="9" t="s">
        <v>5612</v>
      </c>
      <c r="D14" s="9" t="n">
        <v>37</v>
      </c>
      <c r="E14" s="30" t="s">
        <v>5598</v>
      </c>
      <c r="F14" s="30" t="s">
        <v>5598</v>
      </c>
      <c r="G14" s="30" t="s">
        <v>5598</v>
      </c>
      <c r="H14" s="21" t="n">
        <f aca="false">IF(AND(E14="PASS",F14="PASS",G14="PASS"),D14,0)</f>
        <v>0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customFormat="false" ht="15" hidden="false" customHeight="false" outlineLevel="0" collapsed="false">
      <c r="A15" s="9" t="s">
        <v>5613</v>
      </c>
      <c r="B15" s="9" t="s">
        <v>275</v>
      </c>
      <c r="C15" s="9" t="s">
        <v>5614</v>
      </c>
      <c r="D15" s="9" t="n">
        <v>37</v>
      </c>
      <c r="E15" s="30" t="s">
        <v>5598</v>
      </c>
      <c r="F15" s="30" t="s">
        <v>5598</v>
      </c>
      <c r="G15" s="30" t="s">
        <v>5598</v>
      </c>
      <c r="H15" s="21" t="n">
        <f aca="false">IF(AND(E15="PASS",F15="PASS",G15="PASS"),D15,0)</f>
        <v>0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customFormat="false" ht="15" hidden="false" customHeight="false" outlineLevel="0" collapsed="false">
      <c r="A16" s="9" t="s">
        <v>5615</v>
      </c>
      <c r="B16" s="9" t="s">
        <v>275</v>
      </c>
      <c r="C16" s="9" t="s">
        <v>5616</v>
      </c>
      <c r="D16" s="9" t="n">
        <v>36</v>
      </c>
      <c r="E16" s="30" t="s">
        <v>5598</v>
      </c>
      <c r="F16" s="30" t="s">
        <v>5598</v>
      </c>
      <c r="G16" s="30" t="s">
        <v>5598</v>
      </c>
      <c r="H16" s="21" t="n">
        <f aca="false">IF(AND(E16="PASS",F16="PASS",G16="PASS"),D16,0)</f>
        <v>0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customFormat="false" ht="15" hidden="false" customHeight="false" outlineLevel="0" collapsed="false">
      <c r="A17" s="9" t="s">
        <v>5617</v>
      </c>
      <c r="B17" s="9" t="s">
        <v>196</v>
      </c>
      <c r="C17" s="9" t="s">
        <v>5597</v>
      </c>
      <c r="D17" s="9" t="n">
        <v>35</v>
      </c>
      <c r="E17" s="30" t="s">
        <v>5598</v>
      </c>
      <c r="F17" s="30" t="s">
        <v>5598</v>
      </c>
      <c r="G17" s="30" t="s">
        <v>5598</v>
      </c>
      <c r="H17" s="21" t="n">
        <f aca="false">IF(AND(E17="PASS",F17="PASS",G17="PASS"),D17,0)</f>
        <v>0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customFormat="false" ht="15" hidden="false" customHeight="false" outlineLevel="0" collapsed="false">
      <c r="A18" s="9" t="s">
        <v>5618</v>
      </c>
      <c r="B18" s="9" t="s">
        <v>196</v>
      </c>
      <c r="C18" s="9" t="s">
        <v>5600</v>
      </c>
      <c r="D18" s="9" t="n">
        <v>35</v>
      </c>
      <c r="E18" s="30" t="s">
        <v>5598</v>
      </c>
      <c r="F18" s="30" t="s">
        <v>5598</v>
      </c>
      <c r="G18" s="30" t="s">
        <v>5598</v>
      </c>
      <c r="H18" s="21" t="n">
        <f aca="false">IF(AND(E18="PASS",F18="PASS",G18="PASS"),D18,0)</f>
        <v>0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customFormat="false" ht="15" hidden="false" customHeight="false" outlineLevel="0" collapsed="false">
      <c r="A19" s="9" t="s">
        <v>5619</v>
      </c>
      <c r="B19" s="9" t="s">
        <v>196</v>
      </c>
      <c r="C19" s="9" t="s">
        <v>5602</v>
      </c>
      <c r="D19" s="9" t="n">
        <v>35</v>
      </c>
      <c r="E19" s="30" t="s">
        <v>5598</v>
      </c>
      <c r="F19" s="30" t="s">
        <v>5598</v>
      </c>
      <c r="G19" s="30" t="s">
        <v>5598</v>
      </c>
      <c r="H19" s="21" t="n">
        <f aca="false">IF(AND(E19="PASS",F19="PASS",G19="PASS"),D19,0)</f>
        <v>0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customFormat="false" ht="15" hidden="false" customHeight="false" outlineLevel="0" collapsed="false">
      <c r="A20" s="9" t="s">
        <v>5620</v>
      </c>
      <c r="B20" s="9" t="s">
        <v>196</v>
      </c>
      <c r="C20" s="9" t="s">
        <v>5604</v>
      </c>
      <c r="D20" s="9" t="n">
        <v>34</v>
      </c>
      <c r="E20" s="30" t="s">
        <v>5598</v>
      </c>
      <c r="F20" s="30" t="s">
        <v>5598</v>
      </c>
      <c r="G20" s="30" t="s">
        <v>5598</v>
      </c>
      <c r="H20" s="21" t="n">
        <f aca="false">IF(AND(E20="PASS",F20="PASS",G20="PASS"),D20,0)</f>
        <v>0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customFormat="false" ht="15" hidden="false" customHeight="false" outlineLevel="0" collapsed="false">
      <c r="A21" s="9" t="s">
        <v>5621</v>
      </c>
      <c r="B21" s="9" t="s">
        <v>196</v>
      </c>
      <c r="C21" s="9" t="s">
        <v>5606</v>
      </c>
      <c r="D21" s="9" t="n">
        <v>34</v>
      </c>
      <c r="E21" s="30" t="s">
        <v>5598</v>
      </c>
      <c r="F21" s="30" t="s">
        <v>5598</v>
      </c>
      <c r="G21" s="30" t="s">
        <v>5598</v>
      </c>
      <c r="H21" s="21" t="n">
        <f aca="false">IF(AND(E21="PASS",F21="PASS",G21="PASS"),D21,0)</f>
        <v>0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customFormat="false" ht="15" hidden="false" customHeight="false" outlineLevel="0" collapsed="false">
      <c r="A22" s="9" t="s">
        <v>5622</v>
      </c>
      <c r="B22" s="9" t="s">
        <v>196</v>
      </c>
      <c r="C22" s="9" t="s">
        <v>5608</v>
      </c>
      <c r="D22" s="9" t="n">
        <v>34</v>
      </c>
      <c r="E22" s="30" t="s">
        <v>5598</v>
      </c>
      <c r="F22" s="30" t="s">
        <v>5598</v>
      </c>
      <c r="G22" s="30" t="s">
        <v>5598</v>
      </c>
      <c r="H22" s="21" t="n">
        <f aca="false">IF(AND(E22="PASS",F22="PASS",G22="PASS"),D22,0)</f>
        <v>0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customFormat="false" ht="15" hidden="false" customHeight="false" outlineLevel="0" collapsed="false">
      <c r="A23" s="9" t="s">
        <v>5623</v>
      </c>
      <c r="B23" s="9" t="s">
        <v>196</v>
      </c>
      <c r="C23" s="9" t="s">
        <v>5610</v>
      </c>
      <c r="D23" s="9" t="n">
        <v>34</v>
      </c>
      <c r="E23" s="30" t="s">
        <v>5598</v>
      </c>
      <c r="F23" s="30" t="s">
        <v>5598</v>
      </c>
      <c r="G23" s="30" t="s">
        <v>5598</v>
      </c>
      <c r="H23" s="21" t="n">
        <f aca="false">IF(AND(E23="PASS",F23="PASS",G23="PASS"),D23,0)</f>
        <v>0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customFormat="false" ht="15" hidden="false" customHeight="false" outlineLevel="0" collapsed="false">
      <c r="A24" s="9" t="s">
        <v>5624</v>
      </c>
      <c r="B24" s="9" t="s">
        <v>196</v>
      </c>
      <c r="C24" s="9" t="s">
        <v>5612</v>
      </c>
      <c r="D24" s="9" t="n">
        <v>34</v>
      </c>
      <c r="E24" s="30" t="s">
        <v>5598</v>
      </c>
      <c r="F24" s="30" t="s">
        <v>5598</v>
      </c>
      <c r="G24" s="30" t="s">
        <v>5598</v>
      </c>
      <c r="H24" s="21" t="n">
        <f aca="false">IF(AND(E24="PASS",F24="PASS",G24="PASS"),D24,0)</f>
        <v>0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customFormat="false" ht="15" hidden="false" customHeight="false" outlineLevel="0" collapsed="false">
      <c r="A25" s="9" t="s">
        <v>5625</v>
      </c>
      <c r="B25" s="9" t="s">
        <v>196</v>
      </c>
      <c r="C25" s="9" t="s">
        <v>5614</v>
      </c>
      <c r="D25" s="9" t="n">
        <v>34</v>
      </c>
      <c r="E25" s="30" t="s">
        <v>5598</v>
      </c>
      <c r="F25" s="30" t="s">
        <v>5598</v>
      </c>
      <c r="G25" s="30" t="s">
        <v>5598</v>
      </c>
      <c r="H25" s="21" t="n">
        <f aca="false">IF(AND(E25="PASS",F25="PASS",G25="PASS"),D25,0)</f>
        <v>0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customFormat="false" ht="15" hidden="false" customHeight="false" outlineLevel="0" collapsed="false">
      <c r="A26" s="9" t="s">
        <v>5626</v>
      </c>
      <c r="B26" s="9" t="s">
        <v>196</v>
      </c>
      <c r="C26" s="9" t="s">
        <v>5616</v>
      </c>
      <c r="D26" s="9" t="n">
        <v>34</v>
      </c>
      <c r="E26" s="30" t="s">
        <v>5598</v>
      </c>
      <c r="F26" s="30" t="s">
        <v>5598</v>
      </c>
      <c r="G26" s="30" t="s">
        <v>5598</v>
      </c>
      <c r="H26" s="21" t="n">
        <f aca="false">IF(AND(E26="PASS",F26="PASS",G26="PASS"),D26,0)</f>
        <v>0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customFormat="false" ht="15" hidden="false" customHeight="false" outlineLevel="0" collapsed="false">
      <c r="A27" s="9" t="s">
        <v>5627</v>
      </c>
      <c r="B27" s="9" t="s">
        <v>773</v>
      </c>
      <c r="C27" s="9" t="s">
        <v>5597</v>
      </c>
      <c r="D27" s="9" t="n">
        <v>17</v>
      </c>
      <c r="E27" s="30" t="s">
        <v>5598</v>
      </c>
      <c r="F27" s="30" t="s">
        <v>5598</v>
      </c>
      <c r="G27" s="30" t="s">
        <v>5598</v>
      </c>
      <c r="H27" s="21" t="n">
        <f aca="false">IF(AND(E27="PASS",F27="PASS",G27="PASS"),D27,0)</f>
        <v>0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customFormat="false" ht="15" hidden="false" customHeight="false" outlineLevel="0" collapsed="false">
      <c r="A28" s="9" t="s">
        <v>5628</v>
      </c>
      <c r="B28" s="9" t="s">
        <v>773</v>
      </c>
      <c r="C28" s="9" t="s">
        <v>5600</v>
      </c>
      <c r="D28" s="9" t="n">
        <v>17</v>
      </c>
      <c r="E28" s="30" t="s">
        <v>5598</v>
      </c>
      <c r="F28" s="30" t="s">
        <v>5598</v>
      </c>
      <c r="G28" s="30" t="s">
        <v>5598</v>
      </c>
      <c r="H28" s="21" t="n">
        <f aca="false">IF(AND(E28="PASS",F28="PASS",G28="PASS"),D28,0)</f>
        <v>0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customFormat="false" ht="15" hidden="false" customHeight="false" outlineLevel="0" collapsed="false">
      <c r="A29" s="9" t="s">
        <v>5629</v>
      </c>
      <c r="B29" s="9" t="s">
        <v>773</v>
      </c>
      <c r="C29" s="9" t="s">
        <v>5602</v>
      </c>
      <c r="D29" s="9" t="n">
        <v>17</v>
      </c>
      <c r="E29" s="30" t="s">
        <v>5598</v>
      </c>
      <c r="F29" s="30" t="s">
        <v>5598</v>
      </c>
      <c r="G29" s="30" t="s">
        <v>5598</v>
      </c>
      <c r="H29" s="21" t="n">
        <f aca="false">IF(AND(E29="PASS",F29="PASS",G29="PASS"),D29,0)</f>
        <v>0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customFormat="false" ht="15" hidden="false" customHeight="false" outlineLevel="0" collapsed="false">
      <c r="A30" s="9" t="s">
        <v>5630</v>
      </c>
      <c r="B30" s="9" t="s">
        <v>773</v>
      </c>
      <c r="C30" s="9" t="s">
        <v>5604</v>
      </c>
      <c r="D30" s="9" t="n">
        <v>17</v>
      </c>
      <c r="E30" s="30" t="s">
        <v>5598</v>
      </c>
      <c r="F30" s="30" t="s">
        <v>5598</v>
      </c>
      <c r="G30" s="30" t="s">
        <v>5598</v>
      </c>
      <c r="H30" s="21" t="n">
        <f aca="false">IF(AND(E30="PASS",F30="PASS",G30="PASS"),D30,0)</f>
        <v>0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customFormat="false" ht="15" hidden="false" customHeight="false" outlineLevel="0" collapsed="false">
      <c r="A31" s="9" t="s">
        <v>5631</v>
      </c>
      <c r="B31" s="9" t="s">
        <v>773</v>
      </c>
      <c r="C31" s="9" t="s">
        <v>5606</v>
      </c>
      <c r="D31" s="9" t="n">
        <v>17</v>
      </c>
      <c r="E31" s="30" t="s">
        <v>5598</v>
      </c>
      <c r="F31" s="30" t="s">
        <v>5598</v>
      </c>
      <c r="G31" s="30" t="s">
        <v>5598</v>
      </c>
      <c r="H31" s="21" t="n">
        <f aca="false">IF(AND(E31="PASS",F31="PASS",G31="PASS"),D31,0)</f>
        <v>0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customFormat="false" ht="15" hidden="false" customHeight="false" outlineLevel="0" collapsed="false">
      <c r="A32" s="9" t="s">
        <v>5632</v>
      </c>
      <c r="B32" s="9" t="s">
        <v>773</v>
      </c>
      <c r="C32" s="9" t="s">
        <v>5608</v>
      </c>
      <c r="D32" s="9" t="n">
        <v>17</v>
      </c>
      <c r="E32" s="30" t="s">
        <v>5598</v>
      </c>
      <c r="F32" s="30" t="s">
        <v>5598</v>
      </c>
      <c r="G32" s="30" t="s">
        <v>5598</v>
      </c>
      <c r="H32" s="21" t="n">
        <f aca="false">IF(AND(E32="PASS",F32="PASS",G32="PASS"),D32,0)</f>
        <v>0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customFormat="false" ht="15" hidden="false" customHeight="false" outlineLevel="0" collapsed="false">
      <c r="A33" s="9" t="s">
        <v>5633</v>
      </c>
      <c r="B33" s="9" t="s">
        <v>773</v>
      </c>
      <c r="C33" s="9" t="s">
        <v>5610</v>
      </c>
      <c r="D33" s="9" t="n">
        <v>17</v>
      </c>
      <c r="E33" s="30" t="s">
        <v>5598</v>
      </c>
      <c r="F33" s="30" t="s">
        <v>5598</v>
      </c>
      <c r="G33" s="30" t="s">
        <v>5598</v>
      </c>
      <c r="H33" s="21" t="n">
        <f aca="false">IF(AND(E33="PASS",F33="PASS",G33="PASS"),D33,0)</f>
        <v>0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customFormat="false" ht="15" hidden="false" customHeight="false" outlineLevel="0" collapsed="false">
      <c r="A34" s="9" t="s">
        <v>5634</v>
      </c>
      <c r="B34" s="9" t="s">
        <v>773</v>
      </c>
      <c r="C34" s="9" t="s">
        <v>5612</v>
      </c>
      <c r="D34" s="9" t="n">
        <v>17</v>
      </c>
      <c r="E34" s="30" t="s">
        <v>5598</v>
      </c>
      <c r="F34" s="30" t="s">
        <v>5598</v>
      </c>
      <c r="G34" s="30" t="s">
        <v>5598</v>
      </c>
      <c r="H34" s="21" t="n">
        <f aca="false">IF(AND(E34="PASS",F34="PASS",G34="PASS"),D34,0)</f>
        <v>0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customFormat="false" ht="15" hidden="false" customHeight="false" outlineLevel="0" collapsed="false">
      <c r="A35" s="9" t="s">
        <v>5635</v>
      </c>
      <c r="B35" s="9" t="s">
        <v>773</v>
      </c>
      <c r="C35" s="9" t="s">
        <v>5614</v>
      </c>
      <c r="D35" s="9" t="n">
        <v>17</v>
      </c>
      <c r="E35" s="30" t="s">
        <v>5598</v>
      </c>
      <c r="F35" s="30" t="s">
        <v>5598</v>
      </c>
      <c r="G35" s="30" t="s">
        <v>5598</v>
      </c>
      <c r="H35" s="21" t="n">
        <f aca="false">IF(AND(E35="PASS",F35="PASS",G35="PASS"),D35,0)</f>
        <v>0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customFormat="false" ht="15" hidden="false" customHeight="false" outlineLevel="0" collapsed="false">
      <c r="A36" s="9" t="s">
        <v>5636</v>
      </c>
      <c r="B36" s="9" t="s">
        <v>773</v>
      </c>
      <c r="C36" s="9" t="s">
        <v>5616</v>
      </c>
      <c r="D36" s="9" t="n">
        <v>17</v>
      </c>
      <c r="E36" s="30" t="s">
        <v>5598</v>
      </c>
      <c r="F36" s="30" t="s">
        <v>5598</v>
      </c>
      <c r="G36" s="30" t="s">
        <v>5598</v>
      </c>
      <c r="H36" s="21" t="n">
        <f aca="false">IF(AND(E36="PASS",F36="PASS",G36="PASS"),D36,0)</f>
        <v>0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customFormat="false" ht="15" hidden="false" customHeight="false" outlineLevel="0" collapsed="false">
      <c r="A37" s="9" t="s">
        <v>5637</v>
      </c>
      <c r="B37" s="9" t="s">
        <v>2027</v>
      </c>
      <c r="C37" s="9" t="s">
        <v>5597</v>
      </c>
      <c r="D37" s="9" t="n">
        <v>26</v>
      </c>
      <c r="E37" s="30" t="s">
        <v>5598</v>
      </c>
      <c r="F37" s="30" t="s">
        <v>5598</v>
      </c>
      <c r="G37" s="30" t="s">
        <v>5598</v>
      </c>
      <c r="H37" s="21" t="n">
        <f aca="false">IF(AND(E37="PASS",F37="PASS",G37="PASS"),D37,0)</f>
        <v>0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customFormat="false" ht="15" hidden="false" customHeight="false" outlineLevel="0" collapsed="false">
      <c r="A38" s="9" t="s">
        <v>5638</v>
      </c>
      <c r="B38" s="9" t="s">
        <v>2027</v>
      </c>
      <c r="C38" s="9" t="s">
        <v>5600</v>
      </c>
      <c r="D38" s="9" t="n">
        <v>26</v>
      </c>
      <c r="E38" s="30" t="s">
        <v>5598</v>
      </c>
      <c r="F38" s="30" t="s">
        <v>5598</v>
      </c>
      <c r="G38" s="30" t="s">
        <v>5598</v>
      </c>
      <c r="H38" s="21" t="n">
        <f aca="false">IF(AND(E38="PASS",F38="PASS",G38="PASS"),D38,0)</f>
        <v>0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customFormat="false" ht="15" hidden="false" customHeight="false" outlineLevel="0" collapsed="false">
      <c r="A39" s="9" t="s">
        <v>5639</v>
      </c>
      <c r="B39" s="9" t="s">
        <v>2027</v>
      </c>
      <c r="C39" s="9" t="s">
        <v>5602</v>
      </c>
      <c r="D39" s="9" t="n">
        <v>26</v>
      </c>
      <c r="E39" s="30" t="s">
        <v>5598</v>
      </c>
      <c r="F39" s="30" t="s">
        <v>5598</v>
      </c>
      <c r="G39" s="30" t="s">
        <v>5598</v>
      </c>
      <c r="H39" s="21" t="n">
        <f aca="false">IF(AND(E39="PASS",F39="PASS",G39="PASS"),D39,0)</f>
        <v>0</v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customFormat="false" ht="15" hidden="false" customHeight="false" outlineLevel="0" collapsed="false">
      <c r="A40" s="9" t="s">
        <v>5640</v>
      </c>
      <c r="B40" s="9" t="s">
        <v>2027</v>
      </c>
      <c r="C40" s="9" t="s">
        <v>5604</v>
      </c>
      <c r="D40" s="9" t="n">
        <v>26</v>
      </c>
      <c r="E40" s="30" t="s">
        <v>5598</v>
      </c>
      <c r="F40" s="30" t="s">
        <v>5598</v>
      </c>
      <c r="G40" s="30" t="s">
        <v>5598</v>
      </c>
      <c r="H40" s="21" t="n">
        <f aca="false">IF(AND(E40="PASS",F40="PASS",G40="PASS"),D40,0)</f>
        <v>0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customFormat="false" ht="15" hidden="false" customHeight="false" outlineLevel="0" collapsed="false">
      <c r="A41" s="9" t="s">
        <v>5641</v>
      </c>
      <c r="B41" s="9" t="s">
        <v>2027</v>
      </c>
      <c r="C41" s="9" t="s">
        <v>5606</v>
      </c>
      <c r="D41" s="9" t="n">
        <v>26</v>
      </c>
      <c r="E41" s="30" t="s">
        <v>5598</v>
      </c>
      <c r="F41" s="30" t="s">
        <v>5598</v>
      </c>
      <c r="G41" s="30" t="s">
        <v>5598</v>
      </c>
      <c r="H41" s="21" t="n">
        <f aca="false">IF(AND(E41="PASS",F41="PASS",G41="PASS"),D41,0)</f>
        <v>0</v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customFormat="false" ht="15" hidden="false" customHeight="false" outlineLevel="0" collapsed="false">
      <c r="A42" s="9" t="s">
        <v>5642</v>
      </c>
      <c r="B42" s="9" t="s">
        <v>2027</v>
      </c>
      <c r="C42" s="9" t="s">
        <v>5608</v>
      </c>
      <c r="D42" s="9" t="n">
        <v>26</v>
      </c>
      <c r="E42" s="30" t="s">
        <v>5598</v>
      </c>
      <c r="F42" s="30" t="s">
        <v>5598</v>
      </c>
      <c r="G42" s="30" t="s">
        <v>5598</v>
      </c>
      <c r="H42" s="21" t="n">
        <f aca="false">IF(AND(E42="PASS",F42="PASS",G42="PASS"),D42,0)</f>
        <v>0</v>
      </c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customFormat="false" ht="15" hidden="false" customHeight="false" outlineLevel="0" collapsed="false">
      <c r="A43" s="9" t="s">
        <v>5643</v>
      </c>
      <c r="B43" s="9" t="s">
        <v>2027</v>
      </c>
      <c r="C43" s="9" t="s">
        <v>5610</v>
      </c>
      <c r="D43" s="9" t="n">
        <v>25</v>
      </c>
      <c r="E43" s="30" t="s">
        <v>5598</v>
      </c>
      <c r="F43" s="30" t="s">
        <v>5598</v>
      </c>
      <c r="G43" s="30" t="s">
        <v>5598</v>
      </c>
      <c r="H43" s="21" t="n">
        <f aca="false">IF(AND(E43="PASS",F43="PASS",G43="PASS"),D43,0)</f>
        <v>0</v>
      </c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customFormat="false" ht="15" hidden="false" customHeight="false" outlineLevel="0" collapsed="false">
      <c r="A44" s="9" t="s">
        <v>5644</v>
      </c>
      <c r="B44" s="9" t="s">
        <v>2027</v>
      </c>
      <c r="C44" s="9" t="s">
        <v>5612</v>
      </c>
      <c r="D44" s="9" t="n">
        <v>25</v>
      </c>
      <c r="E44" s="30" t="s">
        <v>5598</v>
      </c>
      <c r="F44" s="30" t="s">
        <v>5598</v>
      </c>
      <c r="G44" s="30" t="s">
        <v>5598</v>
      </c>
      <c r="H44" s="21" t="n">
        <f aca="false">IF(AND(E44="PASS",F44="PASS",G44="PASS"),D44,0)</f>
        <v>0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customFormat="false" ht="15" hidden="false" customHeight="false" outlineLevel="0" collapsed="false">
      <c r="A45" s="9" t="s">
        <v>5645</v>
      </c>
      <c r="B45" s="9" t="s">
        <v>2027</v>
      </c>
      <c r="C45" s="9" t="s">
        <v>5614</v>
      </c>
      <c r="D45" s="9" t="n">
        <v>25</v>
      </c>
      <c r="E45" s="30" t="s">
        <v>5598</v>
      </c>
      <c r="F45" s="30" t="s">
        <v>5598</v>
      </c>
      <c r="G45" s="30" t="s">
        <v>5598</v>
      </c>
      <c r="H45" s="21" t="n">
        <f aca="false">IF(AND(E45="PASS",F45="PASS",G45="PASS"),D45,0)</f>
        <v>0</v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customFormat="false" ht="15" hidden="false" customHeight="false" outlineLevel="0" collapsed="false">
      <c r="A46" s="9" t="s">
        <v>5646</v>
      </c>
      <c r="B46" s="9" t="s">
        <v>2027</v>
      </c>
      <c r="C46" s="9" t="s">
        <v>5616</v>
      </c>
      <c r="D46" s="9" t="n">
        <v>25</v>
      </c>
      <c r="E46" s="30" t="s">
        <v>5598</v>
      </c>
      <c r="F46" s="30" t="s">
        <v>5598</v>
      </c>
      <c r="G46" s="30" t="s">
        <v>5598</v>
      </c>
      <c r="H46" s="21" t="n">
        <f aca="false">IF(AND(E46="PASS",F46="PASS",G46="PASS"),D46,0)</f>
        <v>0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customFormat="false" ht="15" hidden="false" customHeight="false" outlineLevel="0" collapsed="false">
      <c r="A47" s="9" t="s">
        <v>5647</v>
      </c>
      <c r="B47" s="9" t="s">
        <v>1660</v>
      </c>
      <c r="C47" s="9" t="s">
        <v>5597</v>
      </c>
      <c r="D47" s="9" t="n">
        <v>88</v>
      </c>
      <c r="E47" s="30" t="s">
        <v>5598</v>
      </c>
      <c r="F47" s="30" t="s">
        <v>5598</v>
      </c>
      <c r="G47" s="30" t="s">
        <v>5598</v>
      </c>
      <c r="H47" s="21" t="n">
        <f aca="false">IF(AND(E47="PASS",F47="PASS",G47="PASS"),D47,0)</f>
        <v>0</v>
      </c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customFormat="false" ht="15" hidden="false" customHeight="false" outlineLevel="0" collapsed="false">
      <c r="A48" s="9" t="s">
        <v>5648</v>
      </c>
      <c r="B48" s="9" t="s">
        <v>1660</v>
      </c>
      <c r="C48" s="9" t="s">
        <v>5600</v>
      </c>
      <c r="D48" s="9" t="n">
        <v>88</v>
      </c>
      <c r="E48" s="30" t="s">
        <v>5598</v>
      </c>
      <c r="F48" s="30" t="s">
        <v>5598</v>
      </c>
      <c r="G48" s="30" t="s">
        <v>5598</v>
      </c>
      <c r="H48" s="21" t="n">
        <f aca="false">IF(AND(E48="PASS",F48="PASS",G48="PASS"),D48,0)</f>
        <v>0</v>
      </c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customFormat="false" ht="15" hidden="false" customHeight="false" outlineLevel="0" collapsed="false">
      <c r="A49" s="9" t="s">
        <v>5649</v>
      </c>
      <c r="B49" s="9" t="s">
        <v>1660</v>
      </c>
      <c r="C49" s="9" t="s">
        <v>5602</v>
      </c>
      <c r="D49" s="9" t="n">
        <v>88</v>
      </c>
      <c r="E49" s="30" t="s">
        <v>5598</v>
      </c>
      <c r="F49" s="30" t="s">
        <v>5598</v>
      </c>
      <c r="G49" s="30" t="s">
        <v>5598</v>
      </c>
      <c r="H49" s="21" t="n">
        <f aca="false">IF(AND(E49="PASS",F49="PASS",G49="PASS"),D49,0)</f>
        <v>0</v>
      </c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customFormat="false" ht="15" hidden="false" customHeight="false" outlineLevel="0" collapsed="false">
      <c r="A50" s="9" t="s">
        <v>5650</v>
      </c>
      <c r="B50" s="9" t="s">
        <v>1660</v>
      </c>
      <c r="C50" s="9" t="s">
        <v>5604</v>
      </c>
      <c r="D50" s="9" t="n">
        <v>88</v>
      </c>
      <c r="E50" s="30" t="s">
        <v>5598</v>
      </c>
      <c r="F50" s="30" t="s">
        <v>5598</v>
      </c>
      <c r="G50" s="30" t="s">
        <v>5598</v>
      </c>
      <c r="H50" s="21" t="n">
        <f aca="false">IF(AND(E50="PASS",F50="PASS",G50="PASS"),D50,0)</f>
        <v>0</v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customFormat="false" ht="15" hidden="false" customHeight="false" outlineLevel="0" collapsed="false">
      <c r="A51" s="9" t="s">
        <v>5651</v>
      </c>
      <c r="B51" s="9" t="s">
        <v>1660</v>
      </c>
      <c r="C51" s="9" t="s">
        <v>5606</v>
      </c>
      <c r="D51" s="9" t="n">
        <v>88</v>
      </c>
      <c r="E51" s="30" t="s">
        <v>5598</v>
      </c>
      <c r="F51" s="30" t="s">
        <v>5598</v>
      </c>
      <c r="G51" s="30" t="s">
        <v>5598</v>
      </c>
      <c r="H51" s="21" t="n">
        <f aca="false">IF(AND(E51="PASS",F51="PASS",G51="PASS"),D51,0)</f>
        <v>0</v>
      </c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customFormat="false" ht="15" hidden="false" customHeight="false" outlineLevel="0" collapsed="false">
      <c r="A52" s="9" t="s">
        <v>5652</v>
      </c>
      <c r="B52" s="9" t="s">
        <v>1660</v>
      </c>
      <c r="C52" s="9" t="s">
        <v>5608</v>
      </c>
      <c r="D52" s="9" t="n">
        <v>88</v>
      </c>
      <c r="E52" s="30" t="s">
        <v>5598</v>
      </c>
      <c r="F52" s="30" t="s">
        <v>5598</v>
      </c>
      <c r="G52" s="30" t="s">
        <v>5598</v>
      </c>
      <c r="H52" s="21" t="n">
        <f aca="false">IF(AND(E52="PASS",F52="PASS",G52="PASS"),D52,0)</f>
        <v>0</v>
      </c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customFormat="false" ht="15" hidden="false" customHeight="false" outlineLevel="0" collapsed="false">
      <c r="A53" s="9" t="s">
        <v>5653</v>
      </c>
      <c r="B53" s="9" t="s">
        <v>1660</v>
      </c>
      <c r="C53" s="9" t="s">
        <v>5610</v>
      </c>
      <c r="D53" s="9" t="n">
        <v>88</v>
      </c>
      <c r="E53" s="30" t="s">
        <v>5598</v>
      </c>
      <c r="F53" s="30" t="s">
        <v>5598</v>
      </c>
      <c r="G53" s="30" t="s">
        <v>5598</v>
      </c>
      <c r="H53" s="21" t="n">
        <f aca="false">IF(AND(E53="PASS",F53="PASS",G53="PASS"),D53,0)</f>
        <v>0</v>
      </c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customFormat="false" ht="15" hidden="false" customHeight="false" outlineLevel="0" collapsed="false">
      <c r="A54" s="9" t="s">
        <v>5654</v>
      </c>
      <c r="B54" s="9" t="s">
        <v>1660</v>
      </c>
      <c r="C54" s="9" t="s">
        <v>5612</v>
      </c>
      <c r="D54" s="9" t="n">
        <v>88</v>
      </c>
      <c r="E54" s="30" t="s">
        <v>5598</v>
      </c>
      <c r="F54" s="30" t="s">
        <v>5598</v>
      </c>
      <c r="G54" s="30" t="s">
        <v>5598</v>
      </c>
      <c r="H54" s="21" t="n">
        <f aca="false">IF(AND(E54="PASS",F54="PASS",G54="PASS"),D54,0)</f>
        <v>0</v>
      </c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customFormat="false" ht="15" hidden="false" customHeight="false" outlineLevel="0" collapsed="false">
      <c r="A55" s="9" t="s">
        <v>5655</v>
      </c>
      <c r="B55" s="9" t="s">
        <v>1660</v>
      </c>
      <c r="C55" s="9" t="s">
        <v>5614</v>
      </c>
      <c r="D55" s="9" t="n">
        <v>88</v>
      </c>
      <c r="E55" s="30" t="s">
        <v>5598</v>
      </c>
      <c r="F55" s="30" t="s">
        <v>5598</v>
      </c>
      <c r="G55" s="30" t="s">
        <v>5598</v>
      </c>
      <c r="H55" s="21" t="n">
        <f aca="false">IF(AND(E55="PASS",F55="PASS",G55="PASS"),D55,0)</f>
        <v>0</v>
      </c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customFormat="false" ht="15" hidden="false" customHeight="false" outlineLevel="0" collapsed="false">
      <c r="A56" s="9" t="s">
        <v>5656</v>
      </c>
      <c r="B56" s="9" t="s">
        <v>1660</v>
      </c>
      <c r="C56" s="9" t="s">
        <v>5616</v>
      </c>
      <c r="D56" s="9" t="n">
        <v>87</v>
      </c>
      <c r="E56" s="30" t="s">
        <v>5598</v>
      </c>
      <c r="F56" s="30" t="s">
        <v>5598</v>
      </c>
      <c r="G56" s="30" t="s">
        <v>5598</v>
      </c>
      <c r="H56" s="21" t="n">
        <f aca="false">IF(AND(E56="PASS",F56="PASS",G56="PASS"),D56,0)</f>
        <v>0</v>
      </c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customFormat="false" ht="15" hidden="false" customHeight="false" outlineLevel="0" collapsed="false">
      <c r="A57" s="9" t="s">
        <v>5657</v>
      </c>
      <c r="B57" s="9" t="s">
        <v>323</v>
      </c>
      <c r="C57" s="9" t="s">
        <v>5597</v>
      </c>
      <c r="D57" s="9" t="n">
        <v>41</v>
      </c>
      <c r="E57" s="30" t="s">
        <v>5598</v>
      </c>
      <c r="F57" s="30" t="s">
        <v>5598</v>
      </c>
      <c r="G57" s="30" t="s">
        <v>5598</v>
      </c>
      <c r="H57" s="21" t="n">
        <f aca="false">IF(AND(E57="PASS",F57="PASS",G57="PASS"),D57,0)</f>
        <v>0</v>
      </c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customFormat="false" ht="15" hidden="false" customHeight="false" outlineLevel="0" collapsed="false">
      <c r="A58" s="9" t="s">
        <v>5658</v>
      </c>
      <c r="B58" s="9" t="s">
        <v>323</v>
      </c>
      <c r="C58" s="9" t="s">
        <v>5600</v>
      </c>
      <c r="D58" s="9" t="n">
        <v>41</v>
      </c>
      <c r="E58" s="30" t="s">
        <v>5598</v>
      </c>
      <c r="F58" s="30" t="s">
        <v>5598</v>
      </c>
      <c r="G58" s="30" t="s">
        <v>5598</v>
      </c>
      <c r="H58" s="21" t="n">
        <f aca="false">IF(AND(E58="PASS",F58="PASS",G58="PASS"),D58,0)</f>
        <v>0</v>
      </c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customFormat="false" ht="15" hidden="false" customHeight="false" outlineLevel="0" collapsed="false">
      <c r="A59" s="9" t="s">
        <v>5659</v>
      </c>
      <c r="B59" s="9" t="s">
        <v>323</v>
      </c>
      <c r="C59" s="9" t="s">
        <v>5602</v>
      </c>
      <c r="D59" s="9" t="n">
        <v>41</v>
      </c>
      <c r="E59" s="30" t="s">
        <v>5598</v>
      </c>
      <c r="F59" s="30" t="s">
        <v>5598</v>
      </c>
      <c r="G59" s="30" t="s">
        <v>5598</v>
      </c>
      <c r="H59" s="21" t="n">
        <f aca="false">IF(AND(E59="PASS",F59="PASS",G59="PASS"),D59,0)</f>
        <v>0</v>
      </c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customFormat="false" ht="15" hidden="false" customHeight="false" outlineLevel="0" collapsed="false">
      <c r="A60" s="9" t="s">
        <v>5660</v>
      </c>
      <c r="B60" s="9" t="s">
        <v>323</v>
      </c>
      <c r="C60" s="9" t="s">
        <v>5604</v>
      </c>
      <c r="D60" s="9" t="n">
        <v>40</v>
      </c>
      <c r="E60" s="30" t="s">
        <v>5598</v>
      </c>
      <c r="F60" s="30" t="s">
        <v>5598</v>
      </c>
      <c r="G60" s="30" t="s">
        <v>5598</v>
      </c>
      <c r="H60" s="21" t="n">
        <f aca="false">IF(AND(E60="PASS",F60="PASS",G60="PASS"),D60,0)</f>
        <v>0</v>
      </c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customFormat="false" ht="15" hidden="false" customHeight="false" outlineLevel="0" collapsed="false">
      <c r="A61" s="9" t="s">
        <v>5661</v>
      </c>
      <c r="B61" s="9" t="s">
        <v>323</v>
      </c>
      <c r="C61" s="9" t="s">
        <v>5606</v>
      </c>
      <c r="D61" s="9" t="n">
        <v>40</v>
      </c>
      <c r="E61" s="30" t="s">
        <v>5598</v>
      </c>
      <c r="F61" s="30" t="s">
        <v>5598</v>
      </c>
      <c r="G61" s="30" t="s">
        <v>5598</v>
      </c>
      <c r="H61" s="21" t="n">
        <f aca="false">IF(AND(E61="PASS",F61="PASS",G61="PASS"),D61,0)</f>
        <v>0</v>
      </c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customFormat="false" ht="15" hidden="false" customHeight="false" outlineLevel="0" collapsed="false">
      <c r="A62" s="9" t="s">
        <v>5662</v>
      </c>
      <c r="B62" s="9" t="s">
        <v>323</v>
      </c>
      <c r="C62" s="9" t="s">
        <v>5608</v>
      </c>
      <c r="D62" s="9" t="n">
        <v>40</v>
      </c>
      <c r="E62" s="30" t="s">
        <v>5598</v>
      </c>
      <c r="F62" s="30" t="s">
        <v>5598</v>
      </c>
      <c r="G62" s="30" t="s">
        <v>5598</v>
      </c>
      <c r="H62" s="21" t="n">
        <f aca="false">IF(AND(E62="PASS",F62="PASS",G62="PASS"),D62,0)</f>
        <v>0</v>
      </c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customFormat="false" ht="15" hidden="false" customHeight="false" outlineLevel="0" collapsed="false">
      <c r="A63" s="9" t="s">
        <v>5663</v>
      </c>
      <c r="B63" s="9" t="s">
        <v>323</v>
      </c>
      <c r="C63" s="9" t="s">
        <v>5610</v>
      </c>
      <c r="D63" s="9" t="n">
        <v>40</v>
      </c>
      <c r="E63" s="30" t="s">
        <v>5598</v>
      </c>
      <c r="F63" s="30" t="s">
        <v>5598</v>
      </c>
      <c r="G63" s="30" t="s">
        <v>5598</v>
      </c>
      <c r="H63" s="21" t="n">
        <f aca="false">IF(AND(E63="PASS",F63="PASS",G63="PASS"),D63,0)</f>
        <v>0</v>
      </c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customFormat="false" ht="15" hidden="false" customHeight="false" outlineLevel="0" collapsed="false">
      <c r="A64" s="9" t="s">
        <v>5664</v>
      </c>
      <c r="B64" s="9" t="s">
        <v>323</v>
      </c>
      <c r="C64" s="9" t="s">
        <v>5612</v>
      </c>
      <c r="D64" s="9" t="n">
        <v>40</v>
      </c>
      <c r="E64" s="30" t="s">
        <v>5598</v>
      </c>
      <c r="F64" s="30" t="s">
        <v>5598</v>
      </c>
      <c r="G64" s="30" t="s">
        <v>5598</v>
      </c>
      <c r="H64" s="21" t="n">
        <f aca="false">IF(AND(E64="PASS",F64="PASS",G64="PASS"),D64,0)</f>
        <v>0</v>
      </c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customFormat="false" ht="15" hidden="false" customHeight="false" outlineLevel="0" collapsed="false">
      <c r="A65" s="9" t="s">
        <v>5665</v>
      </c>
      <c r="B65" s="9" t="s">
        <v>323</v>
      </c>
      <c r="C65" s="9" t="s">
        <v>5614</v>
      </c>
      <c r="D65" s="9" t="n">
        <v>40</v>
      </c>
      <c r="E65" s="30" t="s">
        <v>5598</v>
      </c>
      <c r="F65" s="30" t="s">
        <v>5598</v>
      </c>
      <c r="G65" s="30" t="s">
        <v>5598</v>
      </c>
      <c r="H65" s="21" t="n">
        <f aca="false">IF(AND(E65="PASS",F65="PASS",G65="PASS"),D65,0)</f>
        <v>0</v>
      </c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customFormat="false" ht="15" hidden="false" customHeight="false" outlineLevel="0" collapsed="false">
      <c r="A66" s="13" t="s">
        <v>5666</v>
      </c>
      <c r="B66" s="13" t="s">
        <v>323</v>
      </c>
      <c r="C66" s="13" t="s">
        <v>5616</v>
      </c>
      <c r="D66" s="13" t="n">
        <v>40</v>
      </c>
      <c r="E66" s="32" t="s">
        <v>5598</v>
      </c>
      <c r="F66" s="32" t="s">
        <v>5598</v>
      </c>
      <c r="G66" s="32" t="s">
        <v>5598</v>
      </c>
      <c r="H66" s="33" t="n">
        <f aca="false">IF(AND(E66="PASS",F66="PASS",G66="PASS"),D66,0)</f>
        <v>0</v>
      </c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customFormat="false" ht="15" hidden="false" customHeight="false" outlineLevel="0" collapsed="false">
      <c r="A67" s="5" t="s">
        <v>5571</v>
      </c>
      <c r="B67" s="5"/>
      <c r="C67" s="5"/>
      <c r="D67" s="5" t="n">
        <v>2420</v>
      </c>
      <c r="E67" s="5"/>
      <c r="F67" s="5"/>
      <c r="G67" s="5"/>
      <c r="H67" s="41" t="n">
        <f aca="false">SUM(H7:H66)</f>
        <v>0</v>
      </c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9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8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15"/>
    <col collapsed="false" customWidth="true" hidden="false" outlineLevel="0" max="7" min="7" style="0" width="20"/>
    <col collapsed="false" customWidth="true" hidden="false" outlineLevel="0" max="8" min="8" style="0" width="24"/>
    <col collapsed="false" customWidth="true" hidden="false" outlineLevel="0" max="9" min="9" style="0" width="22"/>
    <col collapsed="false" customWidth="true" hidden="false" outlineLevel="0" max="11" min="10" style="0" width="17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8.55" hidden="false" customHeight="false" outlineLevel="0" collapsed="false">
      <c r="A2" s="2" t="s">
        <v>5667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4" t="s">
        <v>5668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customFormat="false" ht="15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5" hidden="false" customHeight="false" outlineLevel="0" collapsed="false">
      <c r="A6" s="5" t="s">
        <v>181</v>
      </c>
      <c r="B6" s="5" t="s">
        <v>5669</v>
      </c>
      <c r="C6" s="5" t="s">
        <v>5566</v>
      </c>
      <c r="D6" s="5" t="s">
        <v>5567</v>
      </c>
      <c r="E6" s="5" t="s">
        <v>20</v>
      </c>
      <c r="F6" s="5" t="s">
        <v>5670</v>
      </c>
      <c r="G6" s="5" t="s">
        <v>5671</v>
      </c>
      <c r="H6" s="5" t="s">
        <v>5672</v>
      </c>
      <c r="I6" s="5" t="s">
        <v>5673</v>
      </c>
      <c r="J6" s="5" t="s">
        <v>5674</v>
      </c>
      <c r="K6" s="5" t="s">
        <v>5675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customFormat="false" ht="15" hidden="false" customHeight="false" outlineLevel="0" collapsed="false">
      <c r="A7" s="7" t="s">
        <v>193</v>
      </c>
      <c r="B7" s="7" t="s">
        <v>5676</v>
      </c>
      <c r="C7" s="7" t="n">
        <v>40.8</v>
      </c>
      <c r="D7" s="7" t="n">
        <v>66</v>
      </c>
      <c r="E7" s="7" t="n">
        <v>52</v>
      </c>
      <c r="F7" s="7" t="s">
        <v>5677</v>
      </c>
      <c r="G7" s="7" t="n">
        <v>0</v>
      </c>
      <c r="H7" s="7" t="n">
        <v>52</v>
      </c>
      <c r="I7" s="7" t="n">
        <f aca="false">MAX(0,'Family Readiness'!J7-G7)</f>
        <v>0</v>
      </c>
      <c r="J7" s="42" t="str">
        <f aca="false">IF(H7&gt;=C7,"PASS","FAIL")</f>
        <v>PASS</v>
      </c>
      <c r="K7" s="19" t="str">
        <f aca="false">IF(I7&gt;=C7,"PASS","HOLD")</f>
        <v>HOLD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customFormat="false" ht="15" hidden="false" customHeight="false" outlineLevel="0" collapsed="false">
      <c r="A8" s="9" t="s">
        <v>193</v>
      </c>
      <c r="B8" s="9" t="s">
        <v>5678</v>
      </c>
      <c r="C8" s="9" t="n">
        <v>40.8</v>
      </c>
      <c r="D8" s="9" t="n">
        <v>66</v>
      </c>
      <c r="E8" s="9" t="n">
        <v>52</v>
      </c>
      <c r="F8" s="9" t="n">
        <v>1</v>
      </c>
      <c r="G8" s="9" t="n">
        <v>8</v>
      </c>
      <c r="H8" s="9" t="n">
        <v>44</v>
      </c>
      <c r="I8" s="9" t="n">
        <f aca="false">MAX(0,'Family Readiness'!J7-G8)</f>
        <v>0</v>
      </c>
      <c r="J8" s="43" t="str">
        <f aca="false">IF(H8&gt;=C8,"PASS","FAIL")</f>
        <v>PASS</v>
      </c>
      <c r="K8" s="21" t="str">
        <f aca="false">IF(I8&gt;=C8,"PASS","HOLD")</f>
        <v>HOLD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customFormat="false" ht="15" hidden="false" customHeight="false" outlineLevel="0" collapsed="false">
      <c r="A9" s="9" t="s">
        <v>193</v>
      </c>
      <c r="B9" s="9" t="s">
        <v>5679</v>
      </c>
      <c r="C9" s="9" t="n">
        <v>40.8</v>
      </c>
      <c r="D9" s="9" t="n">
        <v>66</v>
      </c>
      <c r="E9" s="9" t="n">
        <v>52</v>
      </c>
      <c r="F9" s="9" t="n">
        <v>2</v>
      </c>
      <c r="G9" s="9" t="n">
        <v>8</v>
      </c>
      <c r="H9" s="9" t="n">
        <v>44</v>
      </c>
      <c r="I9" s="9" t="n">
        <f aca="false">MAX(0,'Family Readiness'!J7-G9)</f>
        <v>0</v>
      </c>
      <c r="J9" s="43" t="str">
        <f aca="false">IF(H9&gt;=C9,"PASS","FAIL")</f>
        <v>PASS</v>
      </c>
      <c r="K9" s="21" t="str">
        <f aca="false">IF(I9&gt;=C9,"PASS","HOLD")</f>
        <v>HOLD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customFormat="false" ht="15" hidden="false" customHeight="false" outlineLevel="0" collapsed="false">
      <c r="A10" s="9" t="s">
        <v>193</v>
      </c>
      <c r="B10" s="9" t="s">
        <v>5680</v>
      </c>
      <c r="C10" s="9" t="n">
        <v>40.8</v>
      </c>
      <c r="D10" s="9" t="n">
        <v>66</v>
      </c>
      <c r="E10" s="9" t="n">
        <v>52</v>
      </c>
      <c r="F10" s="9" t="n">
        <v>3</v>
      </c>
      <c r="G10" s="9" t="n">
        <v>8</v>
      </c>
      <c r="H10" s="9" t="n">
        <v>44</v>
      </c>
      <c r="I10" s="9" t="n">
        <f aca="false">MAX(0,'Family Readiness'!J7-G10)</f>
        <v>0</v>
      </c>
      <c r="J10" s="43" t="str">
        <f aca="false">IF(H10&gt;=C10,"PASS","FAIL")</f>
        <v>PASS</v>
      </c>
      <c r="K10" s="21" t="str">
        <f aca="false">IF(I10&gt;=C10,"PASS","HOLD")</f>
        <v>HOLD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customFormat="false" ht="15" hidden="false" customHeight="false" outlineLevel="0" collapsed="false">
      <c r="A11" s="9" t="s">
        <v>193</v>
      </c>
      <c r="B11" s="9" t="s">
        <v>5681</v>
      </c>
      <c r="C11" s="9" t="n">
        <v>40.8</v>
      </c>
      <c r="D11" s="9" t="n">
        <v>66</v>
      </c>
      <c r="E11" s="9" t="n">
        <v>52</v>
      </c>
      <c r="F11" s="9" t="n">
        <v>4</v>
      </c>
      <c r="G11" s="9" t="n">
        <v>7</v>
      </c>
      <c r="H11" s="9" t="n">
        <v>45</v>
      </c>
      <c r="I11" s="9" t="n">
        <f aca="false">MAX(0,'Family Readiness'!J7-G11)</f>
        <v>0</v>
      </c>
      <c r="J11" s="43" t="str">
        <f aca="false">IF(H11&gt;=C11,"PASS","FAIL")</f>
        <v>PASS</v>
      </c>
      <c r="K11" s="21" t="str">
        <f aca="false">IF(I11&gt;=C11,"PASS","HOLD")</f>
        <v>HOLD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customFormat="false" ht="15" hidden="false" customHeight="false" outlineLevel="0" collapsed="false">
      <c r="A12" s="9" t="s">
        <v>193</v>
      </c>
      <c r="B12" s="9" t="s">
        <v>5682</v>
      </c>
      <c r="C12" s="9" t="n">
        <v>40.8</v>
      </c>
      <c r="D12" s="9" t="n">
        <v>66</v>
      </c>
      <c r="E12" s="9" t="n">
        <v>52</v>
      </c>
      <c r="F12" s="9" t="n">
        <v>5</v>
      </c>
      <c r="G12" s="9" t="n">
        <v>7</v>
      </c>
      <c r="H12" s="9" t="n">
        <v>45</v>
      </c>
      <c r="I12" s="9" t="n">
        <f aca="false">MAX(0,'Family Readiness'!J7-G12)</f>
        <v>0</v>
      </c>
      <c r="J12" s="43" t="str">
        <f aca="false">IF(H12&gt;=C12,"PASS","FAIL")</f>
        <v>PASS</v>
      </c>
      <c r="K12" s="21" t="str">
        <f aca="false">IF(I12&gt;=C12,"PASS","HOLD")</f>
        <v>HOLD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customFormat="false" ht="15" hidden="false" customHeight="false" outlineLevel="0" collapsed="false">
      <c r="A13" s="9" t="s">
        <v>193</v>
      </c>
      <c r="B13" s="9" t="s">
        <v>5683</v>
      </c>
      <c r="C13" s="9" t="n">
        <v>40.8</v>
      </c>
      <c r="D13" s="9" t="n">
        <v>66</v>
      </c>
      <c r="E13" s="9" t="n">
        <v>52</v>
      </c>
      <c r="F13" s="9" t="n">
        <v>6</v>
      </c>
      <c r="G13" s="9" t="n">
        <v>7</v>
      </c>
      <c r="H13" s="9" t="n">
        <v>45</v>
      </c>
      <c r="I13" s="9" t="n">
        <f aca="false">MAX(0,'Family Readiness'!J7-G13)</f>
        <v>0</v>
      </c>
      <c r="J13" s="43" t="str">
        <f aca="false">IF(H13&gt;=C13,"PASS","FAIL")</f>
        <v>PASS</v>
      </c>
      <c r="K13" s="21" t="str">
        <f aca="false">IF(I13&gt;=C13,"PASS","HOLD")</f>
        <v>HOLD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customFormat="false" ht="15" hidden="false" customHeight="false" outlineLevel="0" collapsed="false">
      <c r="A14" s="9" t="s">
        <v>193</v>
      </c>
      <c r="B14" s="9" t="s">
        <v>5684</v>
      </c>
      <c r="C14" s="9" t="n">
        <v>40.8</v>
      </c>
      <c r="D14" s="9" t="n">
        <v>66</v>
      </c>
      <c r="E14" s="9" t="n">
        <v>52</v>
      </c>
      <c r="F14" s="9" t="n">
        <v>7</v>
      </c>
      <c r="G14" s="9" t="n">
        <v>7</v>
      </c>
      <c r="H14" s="9" t="n">
        <v>45</v>
      </c>
      <c r="I14" s="9" t="n">
        <f aca="false">MAX(0,'Family Readiness'!J7-G14)</f>
        <v>0</v>
      </c>
      <c r="J14" s="43" t="str">
        <f aca="false">IF(H14&gt;=C14,"PASS","FAIL")</f>
        <v>PASS</v>
      </c>
      <c r="K14" s="21" t="str">
        <f aca="false">IF(I14&gt;=C14,"PASS","HOLD")</f>
        <v>HOLD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customFormat="false" ht="15" hidden="false" customHeight="false" outlineLevel="0" collapsed="false">
      <c r="A15" s="9" t="s">
        <v>273</v>
      </c>
      <c r="B15" s="9" t="s">
        <v>5676</v>
      </c>
      <c r="C15" s="9" t="n">
        <v>27.6</v>
      </c>
      <c r="D15" s="9" t="n">
        <v>45</v>
      </c>
      <c r="E15" s="9" t="n">
        <v>36</v>
      </c>
      <c r="F15" s="9" t="s">
        <v>5677</v>
      </c>
      <c r="G15" s="9" t="n">
        <v>0</v>
      </c>
      <c r="H15" s="9" t="n">
        <v>36</v>
      </c>
      <c r="I15" s="9" t="n">
        <f aca="false">MAX(0,'Family Readiness'!J8-G15)</f>
        <v>0</v>
      </c>
      <c r="J15" s="43" t="str">
        <f aca="false">IF(H15&gt;=C15,"PASS","FAIL")</f>
        <v>PASS</v>
      </c>
      <c r="K15" s="21" t="str">
        <f aca="false">IF(I15&gt;=C15,"PASS","HOLD")</f>
        <v>HOLD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customFormat="false" ht="15" hidden="false" customHeight="false" outlineLevel="0" collapsed="false">
      <c r="A16" s="9" t="s">
        <v>273</v>
      </c>
      <c r="B16" s="9" t="s">
        <v>5678</v>
      </c>
      <c r="C16" s="9" t="n">
        <v>27.6</v>
      </c>
      <c r="D16" s="9" t="n">
        <v>45</v>
      </c>
      <c r="E16" s="9" t="n">
        <v>36</v>
      </c>
      <c r="F16" s="9" t="n">
        <v>1</v>
      </c>
      <c r="G16" s="9" t="n">
        <v>6</v>
      </c>
      <c r="H16" s="9" t="n">
        <v>30</v>
      </c>
      <c r="I16" s="9" t="n">
        <f aca="false">MAX(0,'Family Readiness'!J8-G16)</f>
        <v>0</v>
      </c>
      <c r="J16" s="43" t="str">
        <f aca="false">IF(H16&gt;=C16,"PASS","FAIL")</f>
        <v>PASS</v>
      </c>
      <c r="K16" s="21" t="str">
        <f aca="false">IF(I16&gt;=C16,"PASS","HOLD")</f>
        <v>HOLD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customFormat="false" ht="15" hidden="false" customHeight="false" outlineLevel="0" collapsed="false">
      <c r="A17" s="9" t="s">
        <v>273</v>
      </c>
      <c r="B17" s="9" t="s">
        <v>5679</v>
      </c>
      <c r="C17" s="9" t="n">
        <v>27.6</v>
      </c>
      <c r="D17" s="9" t="n">
        <v>45</v>
      </c>
      <c r="E17" s="9" t="n">
        <v>36</v>
      </c>
      <c r="F17" s="9" t="n">
        <v>2</v>
      </c>
      <c r="G17" s="9" t="n">
        <v>5</v>
      </c>
      <c r="H17" s="9" t="n">
        <v>31</v>
      </c>
      <c r="I17" s="9" t="n">
        <f aca="false">MAX(0,'Family Readiness'!J8-G17)</f>
        <v>0</v>
      </c>
      <c r="J17" s="43" t="str">
        <f aca="false">IF(H17&gt;=C17,"PASS","FAIL")</f>
        <v>PASS</v>
      </c>
      <c r="K17" s="21" t="str">
        <f aca="false">IF(I17&gt;=C17,"PASS","HOLD")</f>
        <v>HOLD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customFormat="false" ht="15" hidden="false" customHeight="false" outlineLevel="0" collapsed="false">
      <c r="A18" s="9" t="s">
        <v>273</v>
      </c>
      <c r="B18" s="9" t="s">
        <v>5680</v>
      </c>
      <c r="C18" s="9" t="n">
        <v>27.6</v>
      </c>
      <c r="D18" s="9" t="n">
        <v>45</v>
      </c>
      <c r="E18" s="9" t="n">
        <v>36</v>
      </c>
      <c r="F18" s="9" t="n">
        <v>3</v>
      </c>
      <c r="G18" s="9" t="n">
        <v>5</v>
      </c>
      <c r="H18" s="9" t="n">
        <v>31</v>
      </c>
      <c r="I18" s="9" t="n">
        <f aca="false">MAX(0,'Family Readiness'!J8-G18)</f>
        <v>0</v>
      </c>
      <c r="J18" s="43" t="str">
        <f aca="false">IF(H18&gt;=C18,"PASS","FAIL")</f>
        <v>PASS</v>
      </c>
      <c r="K18" s="21" t="str">
        <f aca="false">IF(I18&gt;=C18,"PASS","HOLD")</f>
        <v>HOLD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customFormat="false" ht="15" hidden="false" customHeight="false" outlineLevel="0" collapsed="false">
      <c r="A19" s="9" t="s">
        <v>273</v>
      </c>
      <c r="B19" s="9" t="s">
        <v>5681</v>
      </c>
      <c r="C19" s="9" t="n">
        <v>27.6</v>
      </c>
      <c r="D19" s="9" t="n">
        <v>45</v>
      </c>
      <c r="E19" s="9" t="n">
        <v>36</v>
      </c>
      <c r="F19" s="9" t="n">
        <v>4</v>
      </c>
      <c r="G19" s="9" t="n">
        <v>5</v>
      </c>
      <c r="H19" s="9" t="n">
        <v>31</v>
      </c>
      <c r="I19" s="9" t="n">
        <f aca="false">MAX(0,'Family Readiness'!J8-G19)</f>
        <v>0</v>
      </c>
      <c r="J19" s="43" t="str">
        <f aca="false">IF(H19&gt;=C19,"PASS","FAIL")</f>
        <v>PASS</v>
      </c>
      <c r="K19" s="21" t="str">
        <f aca="false">IF(I19&gt;=C19,"PASS","HOLD")</f>
        <v>HOLD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customFormat="false" ht="15" hidden="false" customHeight="false" outlineLevel="0" collapsed="false">
      <c r="A20" s="9" t="s">
        <v>273</v>
      </c>
      <c r="B20" s="9" t="s">
        <v>5682</v>
      </c>
      <c r="C20" s="9" t="n">
        <v>27.6</v>
      </c>
      <c r="D20" s="9" t="n">
        <v>45</v>
      </c>
      <c r="E20" s="9" t="n">
        <v>36</v>
      </c>
      <c r="F20" s="9" t="n">
        <v>5</v>
      </c>
      <c r="G20" s="9" t="n">
        <v>5</v>
      </c>
      <c r="H20" s="9" t="n">
        <v>31</v>
      </c>
      <c r="I20" s="9" t="n">
        <f aca="false">MAX(0,'Family Readiness'!J8-G20)</f>
        <v>0</v>
      </c>
      <c r="J20" s="43" t="str">
        <f aca="false">IF(H20&gt;=C20,"PASS","FAIL")</f>
        <v>PASS</v>
      </c>
      <c r="K20" s="21" t="str">
        <f aca="false">IF(I20&gt;=C20,"PASS","HOLD")</f>
        <v>HOLD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customFormat="false" ht="15" hidden="false" customHeight="false" outlineLevel="0" collapsed="false">
      <c r="A21" s="9" t="s">
        <v>273</v>
      </c>
      <c r="B21" s="9" t="s">
        <v>5683</v>
      </c>
      <c r="C21" s="9" t="n">
        <v>27.6</v>
      </c>
      <c r="D21" s="9" t="n">
        <v>45</v>
      </c>
      <c r="E21" s="9" t="n">
        <v>36</v>
      </c>
      <c r="F21" s="9" t="n">
        <v>6</v>
      </c>
      <c r="G21" s="9" t="n">
        <v>5</v>
      </c>
      <c r="H21" s="9" t="n">
        <v>31</v>
      </c>
      <c r="I21" s="9" t="n">
        <f aca="false">MAX(0,'Family Readiness'!J8-G21)</f>
        <v>0</v>
      </c>
      <c r="J21" s="43" t="str">
        <f aca="false">IF(H21&gt;=C21,"PASS","FAIL")</f>
        <v>PASS</v>
      </c>
      <c r="K21" s="21" t="str">
        <f aca="false">IF(I21&gt;=C21,"PASS","HOLD")</f>
        <v>HOLD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customFormat="false" ht="15" hidden="false" customHeight="false" outlineLevel="0" collapsed="false">
      <c r="A22" s="9" t="s">
        <v>273</v>
      </c>
      <c r="B22" s="9" t="s">
        <v>5684</v>
      </c>
      <c r="C22" s="9" t="n">
        <v>27.6</v>
      </c>
      <c r="D22" s="9" t="n">
        <v>45</v>
      </c>
      <c r="E22" s="9" t="n">
        <v>36</v>
      </c>
      <c r="F22" s="9" t="n">
        <v>7</v>
      </c>
      <c r="G22" s="9" t="n">
        <v>5</v>
      </c>
      <c r="H22" s="9" t="n">
        <v>31</v>
      </c>
      <c r="I22" s="9" t="n">
        <f aca="false">MAX(0,'Family Readiness'!J8-G22)</f>
        <v>0</v>
      </c>
      <c r="J22" s="43" t="str">
        <f aca="false">IF(H22&gt;=C22,"PASS","FAIL")</f>
        <v>PASS</v>
      </c>
      <c r="K22" s="21" t="str">
        <f aca="false">IF(I22&gt;=C22,"PASS","HOLD")</f>
        <v>HOLD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customFormat="false" ht="15" hidden="false" customHeight="false" outlineLevel="0" collapsed="false">
      <c r="A23" s="9" t="s">
        <v>321</v>
      </c>
      <c r="B23" s="9" t="s">
        <v>5676</v>
      </c>
      <c r="C23" s="9" t="n">
        <v>39.6</v>
      </c>
      <c r="D23" s="9" t="n">
        <v>64</v>
      </c>
      <c r="E23" s="9" t="n">
        <v>50</v>
      </c>
      <c r="F23" s="9" t="s">
        <v>5677</v>
      </c>
      <c r="G23" s="9" t="n">
        <v>0</v>
      </c>
      <c r="H23" s="9" t="n">
        <v>50</v>
      </c>
      <c r="I23" s="9" t="n">
        <f aca="false">MAX(0,'Family Readiness'!J9-G23)</f>
        <v>0</v>
      </c>
      <c r="J23" s="43" t="str">
        <f aca="false">IF(H23&gt;=C23,"PASS","FAIL")</f>
        <v>PASS</v>
      </c>
      <c r="K23" s="21" t="str">
        <f aca="false">IF(I23&gt;=C23,"PASS","HOLD")</f>
        <v>HOLD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customFormat="false" ht="15" hidden="false" customHeight="false" outlineLevel="0" collapsed="false">
      <c r="A24" s="9" t="s">
        <v>321</v>
      </c>
      <c r="B24" s="9" t="s">
        <v>5678</v>
      </c>
      <c r="C24" s="9" t="n">
        <v>39.6</v>
      </c>
      <c r="D24" s="9" t="n">
        <v>64</v>
      </c>
      <c r="E24" s="9" t="n">
        <v>50</v>
      </c>
      <c r="F24" s="9" t="n">
        <v>1</v>
      </c>
      <c r="G24" s="9" t="n">
        <v>8</v>
      </c>
      <c r="H24" s="9" t="n">
        <v>42</v>
      </c>
      <c r="I24" s="9" t="n">
        <f aca="false">MAX(0,'Family Readiness'!J9-G24)</f>
        <v>0</v>
      </c>
      <c r="J24" s="43" t="str">
        <f aca="false">IF(H24&gt;=C24,"PASS","FAIL")</f>
        <v>PASS</v>
      </c>
      <c r="K24" s="21" t="str">
        <f aca="false">IF(I24&gt;=C24,"PASS","HOLD")</f>
        <v>HOLD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customFormat="false" ht="15" hidden="false" customHeight="false" outlineLevel="0" collapsed="false">
      <c r="A25" s="9" t="s">
        <v>321</v>
      </c>
      <c r="B25" s="9" t="s">
        <v>5679</v>
      </c>
      <c r="C25" s="9" t="n">
        <v>39.6</v>
      </c>
      <c r="D25" s="9" t="n">
        <v>64</v>
      </c>
      <c r="E25" s="9" t="n">
        <v>50</v>
      </c>
      <c r="F25" s="9" t="n">
        <v>2</v>
      </c>
      <c r="G25" s="9" t="n">
        <v>7</v>
      </c>
      <c r="H25" s="9" t="n">
        <v>43</v>
      </c>
      <c r="I25" s="9" t="n">
        <f aca="false">MAX(0,'Family Readiness'!J9-G25)</f>
        <v>0</v>
      </c>
      <c r="J25" s="43" t="str">
        <f aca="false">IF(H25&gt;=C25,"PASS","FAIL")</f>
        <v>PASS</v>
      </c>
      <c r="K25" s="21" t="str">
        <f aca="false">IF(I25&gt;=C25,"PASS","HOLD")</f>
        <v>HOLD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customFormat="false" ht="15" hidden="false" customHeight="false" outlineLevel="0" collapsed="false">
      <c r="A26" s="9" t="s">
        <v>321</v>
      </c>
      <c r="B26" s="9" t="s">
        <v>5680</v>
      </c>
      <c r="C26" s="9" t="n">
        <v>39.6</v>
      </c>
      <c r="D26" s="9" t="n">
        <v>64</v>
      </c>
      <c r="E26" s="9" t="n">
        <v>50</v>
      </c>
      <c r="F26" s="9" t="n">
        <v>3</v>
      </c>
      <c r="G26" s="9" t="n">
        <v>7</v>
      </c>
      <c r="H26" s="9" t="n">
        <v>43</v>
      </c>
      <c r="I26" s="9" t="n">
        <f aca="false">MAX(0,'Family Readiness'!J9-G26)</f>
        <v>0</v>
      </c>
      <c r="J26" s="43" t="str">
        <f aca="false">IF(H26&gt;=C26,"PASS","FAIL")</f>
        <v>PASS</v>
      </c>
      <c r="K26" s="21" t="str">
        <f aca="false">IF(I26&gt;=C26,"PASS","HOLD")</f>
        <v>HOLD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customFormat="false" ht="15" hidden="false" customHeight="false" outlineLevel="0" collapsed="false">
      <c r="A27" s="9" t="s">
        <v>321</v>
      </c>
      <c r="B27" s="9" t="s">
        <v>5681</v>
      </c>
      <c r="C27" s="9" t="n">
        <v>39.6</v>
      </c>
      <c r="D27" s="9" t="n">
        <v>64</v>
      </c>
      <c r="E27" s="9" t="n">
        <v>50</v>
      </c>
      <c r="F27" s="9" t="n">
        <v>4</v>
      </c>
      <c r="G27" s="9" t="n">
        <v>7</v>
      </c>
      <c r="H27" s="9" t="n">
        <v>43</v>
      </c>
      <c r="I27" s="9" t="n">
        <f aca="false">MAX(0,'Family Readiness'!J9-G27)</f>
        <v>0</v>
      </c>
      <c r="J27" s="43" t="str">
        <f aca="false">IF(H27&gt;=C27,"PASS","FAIL")</f>
        <v>PASS</v>
      </c>
      <c r="K27" s="21" t="str">
        <f aca="false">IF(I27&gt;=C27,"PASS","HOLD")</f>
        <v>HOLD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customFormat="false" ht="15" hidden="false" customHeight="false" outlineLevel="0" collapsed="false">
      <c r="A28" s="9" t="s">
        <v>321</v>
      </c>
      <c r="B28" s="9" t="s">
        <v>5682</v>
      </c>
      <c r="C28" s="9" t="n">
        <v>39.6</v>
      </c>
      <c r="D28" s="9" t="n">
        <v>64</v>
      </c>
      <c r="E28" s="9" t="n">
        <v>50</v>
      </c>
      <c r="F28" s="9" t="n">
        <v>5</v>
      </c>
      <c r="G28" s="9" t="n">
        <v>7</v>
      </c>
      <c r="H28" s="9" t="n">
        <v>43</v>
      </c>
      <c r="I28" s="9" t="n">
        <f aca="false">MAX(0,'Family Readiness'!J9-G28)</f>
        <v>0</v>
      </c>
      <c r="J28" s="43" t="str">
        <f aca="false">IF(H28&gt;=C28,"PASS","FAIL")</f>
        <v>PASS</v>
      </c>
      <c r="K28" s="21" t="str">
        <f aca="false">IF(I28&gt;=C28,"PASS","HOLD")</f>
        <v>HOLD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customFormat="false" ht="15" hidden="false" customHeight="false" outlineLevel="0" collapsed="false">
      <c r="A29" s="9" t="s">
        <v>321</v>
      </c>
      <c r="B29" s="9" t="s">
        <v>5683</v>
      </c>
      <c r="C29" s="9" t="n">
        <v>39.6</v>
      </c>
      <c r="D29" s="9" t="n">
        <v>64</v>
      </c>
      <c r="E29" s="9" t="n">
        <v>50</v>
      </c>
      <c r="F29" s="9" t="n">
        <v>6</v>
      </c>
      <c r="G29" s="9" t="n">
        <v>7</v>
      </c>
      <c r="H29" s="9" t="n">
        <v>43</v>
      </c>
      <c r="I29" s="9" t="n">
        <f aca="false">MAX(0,'Family Readiness'!J9-G29)</f>
        <v>0</v>
      </c>
      <c r="J29" s="43" t="str">
        <f aca="false">IF(H29&gt;=C29,"PASS","FAIL")</f>
        <v>PASS</v>
      </c>
      <c r="K29" s="21" t="str">
        <f aca="false">IF(I29&gt;=C29,"PASS","HOLD")</f>
        <v>HOLD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customFormat="false" ht="15" hidden="false" customHeight="false" outlineLevel="0" collapsed="false">
      <c r="A30" s="9" t="s">
        <v>321</v>
      </c>
      <c r="B30" s="9" t="s">
        <v>5684</v>
      </c>
      <c r="C30" s="9" t="n">
        <v>39.6</v>
      </c>
      <c r="D30" s="9" t="n">
        <v>64</v>
      </c>
      <c r="E30" s="9" t="n">
        <v>50</v>
      </c>
      <c r="F30" s="9" t="n">
        <v>7</v>
      </c>
      <c r="G30" s="9" t="n">
        <v>7</v>
      </c>
      <c r="H30" s="9" t="n">
        <v>43</v>
      </c>
      <c r="I30" s="9" t="n">
        <f aca="false">MAX(0,'Family Readiness'!J9-G30)</f>
        <v>0</v>
      </c>
      <c r="J30" s="43" t="str">
        <f aca="false">IF(H30&gt;=C30,"PASS","FAIL")</f>
        <v>PASS</v>
      </c>
      <c r="K30" s="21" t="str">
        <f aca="false">IF(I30&gt;=C30,"PASS","HOLD")</f>
        <v>HOLD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customFormat="false" ht="15" hidden="false" customHeight="false" outlineLevel="0" collapsed="false">
      <c r="A31" s="9" t="s">
        <v>388</v>
      </c>
      <c r="B31" s="9" t="s">
        <v>5676</v>
      </c>
      <c r="C31" s="9" t="n">
        <v>70.8</v>
      </c>
      <c r="D31" s="9" t="n">
        <v>114</v>
      </c>
      <c r="E31" s="9" t="n">
        <v>89</v>
      </c>
      <c r="F31" s="9" t="s">
        <v>5677</v>
      </c>
      <c r="G31" s="9" t="n">
        <v>0</v>
      </c>
      <c r="H31" s="9" t="n">
        <v>89</v>
      </c>
      <c r="I31" s="9" t="n">
        <f aca="false">MAX(0,'Family Readiness'!J10-G31)</f>
        <v>0</v>
      </c>
      <c r="J31" s="43" t="str">
        <f aca="false">IF(H31&gt;=C31,"PASS","FAIL")</f>
        <v>PASS</v>
      </c>
      <c r="K31" s="21" t="str">
        <f aca="false">IF(I31&gt;=C31,"PASS","HOLD")</f>
        <v>HOLD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customFormat="false" ht="15" hidden="false" customHeight="false" outlineLevel="0" collapsed="false">
      <c r="A32" s="9" t="s">
        <v>388</v>
      </c>
      <c r="B32" s="9" t="s">
        <v>5678</v>
      </c>
      <c r="C32" s="9" t="n">
        <v>70.8</v>
      </c>
      <c r="D32" s="9" t="n">
        <v>114</v>
      </c>
      <c r="E32" s="9" t="n">
        <v>89</v>
      </c>
      <c r="F32" s="9" t="n">
        <v>1</v>
      </c>
      <c r="G32" s="9" t="n">
        <v>13</v>
      </c>
      <c r="H32" s="9" t="n">
        <v>76</v>
      </c>
      <c r="I32" s="9" t="n">
        <f aca="false">MAX(0,'Family Readiness'!J10-G32)</f>
        <v>0</v>
      </c>
      <c r="J32" s="43" t="str">
        <f aca="false">IF(H32&gt;=C32,"PASS","FAIL")</f>
        <v>PASS</v>
      </c>
      <c r="K32" s="21" t="str">
        <f aca="false">IF(I32&gt;=C32,"PASS","HOLD")</f>
        <v>HOLD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customFormat="false" ht="15" hidden="false" customHeight="false" outlineLevel="0" collapsed="false">
      <c r="A33" s="9" t="s">
        <v>388</v>
      </c>
      <c r="B33" s="9" t="s">
        <v>5679</v>
      </c>
      <c r="C33" s="9" t="n">
        <v>70.8</v>
      </c>
      <c r="D33" s="9" t="n">
        <v>114</v>
      </c>
      <c r="E33" s="9" t="n">
        <v>89</v>
      </c>
      <c r="F33" s="9" t="n">
        <v>2</v>
      </c>
      <c r="G33" s="9" t="n">
        <v>13</v>
      </c>
      <c r="H33" s="9" t="n">
        <v>76</v>
      </c>
      <c r="I33" s="9" t="n">
        <f aca="false">MAX(0,'Family Readiness'!J10-G33)</f>
        <v>0</v>
      </c>
      <c r="J33" s="43" t="str">
        <f aca="false">IF(H33&gt;=C33,"PASS","FAIL")</f>
        <v>PASS</v>
      </c>
      <c r="K33" s="21" t="str">
        <f aca="false">IF(I33&gt;=C33,"PASS","HOLD")</f>
        <v>HOLD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customFormat="false" ht="15" hidden="false" customHeight="false" outlineLevel="0" collapsed="false">
      <c r="A34" s="9" t="s">
        <v>388</v>
      </c>
      <c r="B34" s="9" t="s">
        <v>5680</v>
      </c>
      <c r="C34" s="9" t="n">
        <v>70.8</v>
      </c>
      <c r="D34" s="9" t="n">
        <v>114</v>
      </c>
      <c r="E34" s="9" t="n">
        <v>89</v>
      </c>
      <c r="F34" s="9" t="n">
        <v>3</v>
      </c>
      <c r="G34" s="9" t="n">
        <v>13</v>
      </c>
      <c r="H34" s="9" t="n">
        <v>76</v>
      </c>
      <c r="I34" s="9" t="n">
        <f aca="false">MAX(0,'Family Readiness'!J10-G34)</f>
        <v>0</v>
      </c>
      <c r="J34" s="43" t="str">
        <f aca="false">IF(H34&gt;=C34,"PASS","FAIL")</f>
        <v>PASS</v>
      </c>
      <c r="K34" s="21" t="str">
        <f aca="false">IF(I34&gt;=C34,"PASS","HOLD")</f>
        <v>HOLD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customFormat="false" ht="15" hidden="false" customHeight="false" outlineLevel="0" collapsed="false">
      <c r="A35" s="9" t="s">
        <v>388</v>
      </c>
      <c r="B35" s="9" t="s">
        <v>5681</v>
      </c>
      <c r="C35" s="9" t="n">
        <v>70.8</v>
      </c>
      <c r="D35" s="9" t="n">
        <v>114</v>
      </c>
      <c r="E35" s="9" t="n">
        <v>89</v>
      </c>
      <c r="F35" s="9" t="n">
        <v>4</v>
      </c>
      <c r="G35" s="9" t="n">
        <v>13</v>
      </c>
      <c r="H35" s="9" t="n">
        <v>76</v>
      </c>
      <c r="I35" s="9" t="n">
        <f aca="false">MAX(0,'Family Readiness'!J10-G35)</f>
        <v>0</v>
      </c>
      <c r="J35" s="43" t="str">
        <f aca="false">IF(H35&gt;=C35,"PASS","FAIL")</f>
        <v>PASS</v>
      </c>
      <c r="K35" s="21" t="str">
        <f aca="false">IF(I35&gt;=C35,"PASS","HOLD")</f>
        <v>HOLD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customFormat="false" ht="15" hidden="false" customHeight="false" outlineLevel="0" collapsed="false">
      <c r="A36" s="9" t="s">
        <v>388</v>
      </c>
      <c r="B36" s="9" t="s">
        <v>5682</v>
      </c>
      <c r="C36" s="9" t="n">
        <v>70.8</v>
      </c>
      <c r="D36" s="9" t="n">
        <v>114</v>
      </c>
      <c r="E36" s="9" t="n">
        <v>89</v>
      </c>
      <c r="F36" s="9" t="n">
        <v>5</v>
      </c>
      <c r="G36" s="9" t="n">
        <v>13</v>
      </c>
      <c r="H36" s="9" t="n">
        <v>76</v>
      </c>
      <c r="I36" s="9" t="n">
        <f aca="false">MAX(0,'Family Readiness'!J10-G36)</f>
        <v>0</v>
      </c>
      <c r="J36" s="43" t="str">
        <f aca="false">IF(H36&gt;=C36,"PASS","FAIL")</f>
        <v>PASS</v>
      </c>
      <c r="K36" s="21" t="str">
        <f aca="false">IF(I36&gt;=C36,"PASS","HOLD")</f>
        <v>HOLD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customFormat="false" ht="15" hidden="false" customHeight="false" outlineLevel="0" collapsed="false">
      <c r="A37" s="9" t="s">
        <v>388</v>
      </c>
      <c r="B37" s="9" t="s">
        <v>5683</v>
      </c>
      <c r="C37" s="9" t="n">
        <v>70.8</v>
      </c>
      <c r="D37" s="9" t="n">
        <v>114</v>
      </c>
      <c r="E37" s="9" t="n">
        <v>89</v>
      </c>
      <c r="F37" s="9" t="n">
        <v>6</v>
      </c>
      <c r="G37" s="9" t="n">
        <v>12</v>
      </c>
      <c r="H37" s="9" t="n">
        <v>77</v>
      </c>
      <c r="I37" s="9" t="n">
        <f aca="false">MAX(0,'Family Readiness'!J10-G37)</f>
        <v>0</v>
      </c>
      <c r="J37" s="43" t="str">
        <f aca="false">IF(H37&gt;=C37,"PASS","FAIL")</f>
        <v>PASS</v>
      </c>
      <c r="K37" s="21" t="str">
        <f aca="false">IF(I37&gt;=C37,"PASS","HOLD")</f>
        <v>HOLD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customFormat="false" ht="15" hidden="false" customHeight="false" outlineLevel="0" collapsed="false">
      <c r="A38" s="9" t="s">
        <v>388</v>
      </c>
      <c r="B38" s="9" t="s">
        <v>5684</v>
      </c>
      <c r="C38" s="9" t="n">
        <v>70.8</v>
      </c>
      <c r="D38" s="9" t="n">
        <v>114</v>
      </c>
      <c r="E38" s="9" t="n">
        <v>89</v>
      </c>
      <c r="F38" s="9" t="n">
        <v>7</v>
      </c>
      <c r="G38" s="9" t="n">
        <v>12</v>
      </c>
      <c r="H38" s="9" t="n">
        <v>77</v>
      </c>
      <c r="I38" s="9" t="n">
        <f aca="false">MAX(0,'Family Readiness'!J10-G38)</f>
        <v>0</v>
      </c>
      <c r="J38" s="43" t="str">
        <f aca="false">IF(H38&gt;=C38,"PASS","FAIL")</f>
        <v>PASS</v>
      </c>
      <c r="K38" s="21" t="str">
        <f aca="false">IF(I38&gt;=C38,"PASS","HOLD")</f>
        <v>HOLD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customFormat="false" ht="15" hidden="false" customHeight="false" outlineLevel="0" collapsed="false">
      <c r="A39" s="9" t="s">
        <v>504</v>
      </c>
      <c r="B39" s="9" t="s">
        <v>5676</v>
      </c>
      <c r="C39" s="9" t="n">
        <v>39.6</v>
      </c>
      <c r="D39" s="9" t="n">
        <v>64</v>
      </c>
      <c r="E39" s="9" t="n">
        <v>50</v>
      </c>
      <c r="F39" s="9" t="s">
        <v>5677</v>
      </c>
      <c r="G39" s="9" t="n">
        <v>0</v>
      </c>
      <c r="H39" s="9" t="n">
        <v>50</v>
      </c>
      <c r="I39" s="9" t="n">
        <f aca="false">MAX(0,'Family Readiness'!J11-G39)</f>
        <v>0</v>
      </c>
      <c r="J39" s="43" t="str">
        <f aca="false">IF(H39&gt;=C39,"PASS","FAIL")</f>
        <v>PASS</v>
      </c>
      <c r="K39" s="21" t="str">
        <f aca="false">IF(I39&gt;=C39,"PASS","HOLD")</f>
        <v>HOLD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customFormat="false" ht="15" hidden="false" customHeight="false" outlineLevel="0" collapsed="false">
      <c r="A40" s="9" t="s">
        <v>504</v>
      </c>
      <c r="B40" s="9" t="s">
        <v>5678</v>
      </c>
      <c r="C40" s="9" t="n">
        <v>39.6</v>
      </c>
      <c r="D40" s="9" t="n">
        <v>64</v>
      </c>
      <c r="E40" s="9" t="n">
        <v>50</v>
      </c>
      <c r="F40" s="9" t="n">
        <v>1</v>
      </c>
      <c r="G40" s="9" t="n">
        <v>8</v>
      </c>
      <c r="H40" s="9" t="n">
        <v>42</v>
      </c>
      <c r="I40" s="9" t="n">
        <f aca="false">MAX(0,'Family Readiness'!J11-G40)</f>
        <v>0</v>
      </c>
      <c r="J40" s="43" t="str">
        <f aca="false">IF(H40&gt;=C40,"PASS","FAIL")</f>
        <v>PASS</v>
      </c>
      <c r="K40" s="21" t="str">
        <f aca="false">IF(I40&gt;=C40,"PASS","HOLD")</f>
        <v>HOLD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customFormat="false" ht="15" hidden="false" customHeight="false" outlineLevel="0" collapsed="false">
      <c r="A41" s="9" t="s">
        <v>504</v>
      </c>
      <c r="B41" s="9" t="s">
        <v>5679</v>
      </c>
      <c r="C41" s="9" t="n">
        <v>39.6</v>
      </c>
      <c r="D41" s="9" t="n">
        <v>64</v>
      </c>
      <c r="E41" s="9" t="n">
        <v>50</v>
      </c>
      <c r="F41" s="9" t="n">
        <v>2</v>
      </c>
      <c r="G41" s="9" t="n">
        <v>7</v>
      </c>
      <c r="H41" s="9" t="n">
        <v>43</v>
      </c>
      <c r="I41" s="9" t="n">
        <f aca="false">MAX(0,'Family Readiness'!J11-G41)</f>
        <v>0</v>
      </c>
      <c r="J41" s="43" t="str">
        <f aca="false">IF(H41&gt;=C41,"PASS","FAIL")</f>
        <v>PASS</v>
      </c>
      <c r="K41" s="21" t="str">
        <f aca="false">IF(I41&gt;=C41,"PASS","HOLD")</f>
        <v>HOLD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customFormat="false" ht="15" hidden="false" customHeight="false" outlineLevel="0" collapsed="false">
      <c r="A42" s="9" t="s">
        <v>504</v>
      </c>
      <c r="B42" s="9" t="s">
        <v>5680</v>
      </c>
      <c r="C42" s="9" t="n">
        <v>39.6</v>
      </c>
      <c r="D42" s="9" t="n">
        <v>64</v>
      </c>
      <c r="E42" s="9" t="n">
        <v>50</v>
      </c>
      <c r="F42" s="9" t="n">
        <v>3</v>
      </c>
      <c r="G42" s="9" t="n">
        <v>7</v>
      </c>
      <c r="H42" s="9" t="n">
        <v>43</v>
      </c>
      <c r="I42" s="9" t="n">
        <f aca="false">MAX(0,'Family Readiness'!J11-G42)</f>
        <v>0</v>
      </c>
      <c r="J42" s="43" t="str">
        <f aca="false">IF(H42&gt;=C42,"PASS","FAIL")</f>
        <v>PASS</v>
      </c>
      <c r="K42" s="21" t="str">
        <f aca="false">IF(I42&gt;=C42,"PASS","HOLD")</f>
        <v>HOLD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customFormat="false" ht="15" hidden="false" customHeight="false" outlineLevel="0" collapsed="false">
      <c r="A43" s="9" t="s">
        <v>504</v>
      </c>
      <c r="B43" s="9" t="s">
        <v>5681</v>
      </c>
      <c r="C43" s="9" t="n">
        <v>39.6</v>
      </c>
      <c r="D43" s="9" t="n">
        <v>64</v>
      </c>
      <c r="E43" s="9" t="n">
        <v>50</v>
      </c>
      <c r="F43" s="9" t="n">
        <v>4</v>
      </c>
      <c r="G43" s="9" t="n">
        <v>7</v>
      </c>
      <c r="H43" s="9" t="n">
        <v>43</v>
      </c>
      <c r="I43" s="9" t="n">
        <f aca="false">MAX(0,'Family Readiness'!J11-G43)</f>
        <v>0</v>
      </c>
      <c r="J43" s="43" t="str">
        <f aca="false">IF(H43&gt;=C43,"PASS","FAIL")</f>
        <v>PASS</v>
      </c>
      <c r="K43" s="21" t="str">
        <f aca="false">IF(I43&gt;=C43,"PASS","HOLD")</f>
        <v>HOLD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customFormat="false" ht="15" hidden="false" customHeight="false" outlineLevel="0" collapsed="false">
      <c r="A44" s="9" t="s">
        <v>504</v>
      </c>
      <c r="B44" s="9" t="s">
        <v>5682</v>
      </c>
      <c r="C44" s="9" t="n">
        <v>39.6</v>
      </c>
      <c r="D44" s="9" t="n">
        <v>64</v>
      </c>
      <c r="E44" s="9" t="n">
        <v>50</v>
      </c>
      <c r="F44" s="9" t="n">
        <v>5</v>
      </c>
      <c r="G44" s="9" t="n">
        <v>7</v>
      </c>
      <c r="H44" s="9" t="n">
        <v>43</v>
      </c>
      <c r="I44" s="9" t="n">
        <f aca="false">MAX(0,'Family Readiness'!J11-G44)</f>
        <v>0</v>
      </c>
      <c r="J44" s="43" t="str">
        <f aca="false">IF(H44&gt;=C44,"PASS","FAIL")</f>
        <v>PASS</v>
      </c>
      <c r="K44" s="21" t="str">
        <f aca="false">IF(I44&gt;=C44,"PASS","HOLD")</f>
        <v>HOLD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customFormat="false" ht="15" hidden="false" customHeight="false" outlineLevel="0" collapsed="false">
      <c r="A45" s="9" t="s">
        <v>504</v>
      </c>
      <c r="B45" s="9" t="s">
        <v>5683</v>
      </c>
      <c r="C45" s="9" t="n">
        <v>39.6</v>
      </c>
      <c r="D45" s="9" t="n">
        <v>64</v>
      </c>
      <c r="E45" s="9" t="n">
        <v>50</v>
      </c>
      <c r="F45" s="9" t="n">
        <v>6</v>
      </c>
      <c r="G45" s="9" t="n">
        <v>7</v>
      </c>
      <c r="H45" s="9" t="n">
        <v>43</v>
      </c>
      <c r="I45" s="9" t="n">
        <f aca="false">MAX(0,'Family Readiness'!J11-G45)</f>
        <v>0</v>
      </c>
      <c r="J45" s="43" t="str">
        <f aca="false">IF(H45&gt;=C45,"PASS","FAIL")</f>
        <v>PASS</v>
      </c>
      <c r="K45" s="21" t="str">
        <f aca="false">IF(I45&gt;=C45,"PASS","HOLD")</f>
        <v>HOLD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customFormat="false" ht="15" hidden="false" customHeight="false" outlineLevel="0" collapsed="false">
      <c r="A46" s="9" t="s">
        <v>504</v>
      </c>
      <c r="B46" s="9" t="s">
        <v>5684</v>
      </c>
      <c r="C46" s="9" t="n">
        <v>39.6</v>
      </c>
      <c r="D46" s="9" t="n">
        <v>64</v>
      </c>
      <c r="E46" s="9" t="n">
        <v>50</v>
      </c>
      <c r="F46" s="9" t="n">
        <v>7</v>
      </c>
      <c r="G46" s="9" t="n">
        <v>7</v>
      </c>
      <c r="H46" s="9" t="n">
        <v>43</v>
      </c>
      <c r="I46" s="9" t="n">
        <f aca="false">MAX(0,'Family Readiness'!J11-G46)</f>
        <v>0</v>
      </c>
      <c r="J46" s="43" t="str">
        <f aca="false">IF(H46&gt;=C46,"PASS","FAIL")</f>
        <v>PASS</v>
      </c>
      <c r="K46" s="21" t="str">
        <f aca="false">IF(I46&gt;=C46,"PASS","HOLD")</f>
        <v>HOLD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customFormat="false" ht="15" hidden="false" customHeight="false" outlineLevel="0" collapsed="false">
      <c r="A47" s="9" t="s">
        <v>570</v>
      </c>
      <c r="B47" s="9" t="s">
        <v>5676</v>
      </c>
      <c r="C47" s="9" t="n">
        <v>27.6</v>
      </c>
      <c r="D47" s="9" t="n">
        <v>45</v>
      </c>
      <c r="E47" s="9" t="n">
        <v>36</v>
      </c>
      <c r="F47" s="9" t="s">
        <v>5677</v>
      </c>
      <c r="G47" s="9" t="n">
        <v>0</v>
      </c>
      <c r="H47" s="9" t="n">
        <v>36</v>
      </c>
      <c r="I47" s="9" t="n">
        <f aca="false">MAX(0,'Family Readiness'!J12-G47)</f>
        <v>0</v>
      </c>
      <c r="J47" s="43" t="str">
        <f aca="false">IF(H47&gt;=C47,"PASS","FAIL")</f>
        <v>PASS</v>
      </c>
      <c r="K47" s="21" t="str">
        <f aca="false">IF(I47&gt;=C47,"PASS","HOLD")</f>
        <v>HOLD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customFormat="false" ht="15" hidden="false" customHeight="false" outlineLevel="0" collapsed="false">
      <c r="A48" s="9" t="s">
        <v>570</v>
      </c>
      <c r="B48" s="9" t="s">
        <v>5678</v>
      </c>
      <c r="C48" s="9" t="n">
        <v>27.6</v>
      </c>
      <c r="D48" s="9" t="n">
        <v>45</v>
      </c>
      <c r="E48" s="9" t="n">
        <v>36</v>
      </c>
      <c r="F48" s="9" t="n">
        <v>1</v>
      </c>
      <c r="G48" s="9" t="n">
        <v>6</v>
      </c>
      <c r="H48" s="9" t="n">
        <v>30</v>
      </c>
      <c r="I48" s="9" t="n">
        <f aca="false">MAX(0,'Family Readiness'!J12-G48)</f>
        <v>0</v>
      </c>
      <c r="J48" s="43" t="str">
        <f aca="false">IF(H48&gt;=C48,"PASS","FAIL")</f>
        <v>PASS</v>
      </c>
      <c r="K48" s="21" t="str">
        <f aca="false">IF(I48&gt;=C48,"PASS","HOLD")</f>
        <v>HOLD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customFormat="false" ht="15" hidden="false" customHeight="false" outlineLevel="0" collapsed="false">
      <c r="A49" s="9" t="s">
        <v>570</v>
      </c>
      <c r="B49" s="9" t="s">
        <v>5679</v>
      </c>
      <c r="C49" s="9" t="n">
        <v>27.6</v>
      </c>
      <c r="D49" s="9" t="n">
        <v>45</v>
      </c>
      <c r="E49" s="9" t="n">
        <v>36</v>
      </c>
      <c r="F49" s="9" t="n">
        <v>2</v>
      </c>
      <c r="G49" s="9" t="n">
        <v>5</v>
      </c>
      <c r="H49" s="9" t="n">
        <v>31</v>
      </c>
      <c r="I49" s="9" t="n">
        <f aca="false">MAX(0,'Family Readiness'!J12-G49)</f>
        <v>0</v>
      </c>
      <c r="J49" s="43" t="str">
        <f aca="false">IF(H49&gt;=C49,"PASS","FAIL")</f>
        <v>PASS</v>
      </c>
      <c r="K49" s="21" t="str">
        <f aca="false">IF(I49&gt;=C49,"PASS","HOLD")</f>
        <v>HOLD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customFormat="false" ht="15" hidden="false" customHeight="false" outlineLevel="0" collapsed="false">
      <c r="A50" s="9" t="s">
        <v>570</v>
      </c>
      <c r="B50" s="9" t="s">
        <v>5680</v>
      </c>
      <c r="C50" s="9" t="n">
        <v>27.6</v>
      </c>
      <c r="D50" s="9" t="n">
        <v>45</v>
      </c>
      <c r="E50" s="9" t="n">
        <v>36</v>
      </c>
      <c r="F50" s="9" t="n">
        <v>3</v>
      </c>
      <c r="G50" s="9" t="n">
        <v>5</v>
      </c>
      <c r="H50" s="9" t="n">
        <v>31</v>
      </c>
      <c r="I50" s="9" t="n">
        <f aca="false">MAX(0,'Family Readiness'!J12-G50)</f>
        <v>0</v>
      </c>
      <c r="J50" s="43" t="str">
        <f aca="false">IF(H50&gt;=C50,"PASS","FAIL")</f>
        <v>PASS</v>
      </c>
      <c r="K50" s="21" t="str">
        <f aca="false">IF(I50&gt;=C50,"PASS","HOLD")</f>
        <v>HOLD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customFormat="false" ht="15" hidden="false" customHeight="false" outlineLevel="0" collapsed="false">
      <c r="A51" s="9" t="s">
        <v>570</v>
      </c>
      <c r="B51" s="9" t="s">
        <v>5681</v>
      </c>
      <c r="C51" s="9" t="n">
        <v>27.6</v>
      </c>
      <c r="D51" s="9" t="n">
        <v>45</v>
      </c>
      <c r="E51" s="9" t="n">
        <v>36</v>
      </c>
      <c r="F51" s="9" t="n">
        <v>4</v>
      </c>
      <c r="G51" s="9" t="n">
        <v>5</v>
      </c>
      <c r="H51" s="9" t="n">
        <v>31</v>
      </c>
      <c r="I51" s="9" t="n">
        <f aca="false">MAX(0,'Family Readiness'!J12-G51)</f>
        <v>0</v>
      </c>
      <c r="J51" s="43" t="str">
        <f aca="false">IF(H51&gt;=C51,"PASS","FAIL")</f>
        <v>PASS</v>
      </c>
      <c r="K51" s="21" t="str">
        <f aca="false">IF(I51&gt;=C51,"PASS","HOLD")</f>
        <v>HOLD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customFormat="false" ht="15" hidden="false" customHeight="false" outlineLevel="0" collapsed="false">
      <c r="A52" s="9" t="s">
        <v>570</v>
      </c>
      <c r="B52" s="9" t="s">
        <v>5682</v>
      </c>
      <c r="C52" s="9" t="n">
        <v>27.6</v>
      </c>
      <c r="D52" s="9" t="n">
        <v>45</v>
      </c>
      <c r="E52" s="9" t="n">
        <v>36</v>
      </c>
      <c r="F52" s="9" t="n">
        <v>5</v>
      </c>
      <c r="G52" s="9" t="n">
        <v>5</v>
      </c>
      <c r="H52" s="9" t="n">
        <v>31</v>
      </c>
      <c r="I52" s="9" t="n">
        <f aca="false">MAX(0,'Family Readiness'!J12-G52)</f>
        <v>0</v>
      </c>
      <c r="J52" s="43" t="str">
        <f aca="false">IF(H52&gt;=C52,"PASS","FAIL")</f>
        <v>PASS</v>
      </c>
      <c r="K52" s="21" t="str">
        <f aca="false">IF(I52&gt;=C52,"PASS","HOLD")</f>
        <v>HOLD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customFormat="false" ht="15" hidden="false" customHeight="false" outlineLevel="0" collapsed="false">
      <c r="A53" s="9" t="s">
        <v>570</v>
      </c>
      <c r="B53" s="9" t="s">
        <v>5683</v>
      </c>
      <c r="C53" s="9" t="n">
        <v>27.6</v>
      </c>
      <c r="D53" s="9" t="n">
        <v>45</v>
      </c>
      <c r="E53" s="9" t="n">
        <v>36</v>
      </c>
      <c r="F53" s="9" t="n">
        <v>6</v>
      </c>
      <c r="G53" s="9" t="n">
        <v>5</v>
      </c>
      <c r="H53" s="9" t="n">
        <v>31</v>
      </c>
      <c r="I53" s="9" t="n">
        <f aca="false">MAX(0,'Family Readiness'!J12-G53)</f>
        <v>0</v>
      </c>
      <c r="J53" s="43" t="str">
        <f aca="false">IF(H53&gt;=C53,"PASS","FAIL")</f>
        <v>PASS</v>
      </c>
      <c r="K53" s="21" t="str">
        <f aca="false">IF(I53&gt;=C53,"PASS","HOLD")</f>
        <v>HOLD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customFormat="false" ht="15" hidden="false" customHeight="false" outlineLevel="0" collapsed="false">
      <c r="A54" s="9" t="s">
        <v>570</v>
      </c>
      <c r="B54" s="9" t="s">
        <v>5684</v>
      </c>
      <c r="C54" s="9" t="n">
        <v>27.6</v>
      </c>
      <c r="D54" s="9" t="n">
        <v>45</v>
      </c>
      <c r="E54" s="9" t="n">
        <v>36</v>
      </c>
      <c r="F54" s="9" t="n">
        <v>7</v>
      </c>
      <c r="G54" s="9" t="n">
        <v>5</v>
      </c>
      <c r="H54" s="9" t="n">
        <v>31</v>
      </c>
      <c r="I54" s="9" t="n">
        <f aca="false">MAX(0,'Family Readiness'!J12-G54)</f>
        <v>0</v>
      </c>
      <c r="J54" s="43" t="str">
        <f aca="false">IF(H54&gt;=C54,"PASS","FAIL")</f>
        <v>PASS</v>
      </c>
      <c r="K54" s="21" t="str">
        <f aca="false">IF(I54&gt;=C54,"PASS","HOLD")</f>
        <v>HOLD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customFormat="false" ht="15" hidden="false" customHeight="false" outlineLevel="0" collapsed="false">
      <c r="A55" s="9" t="s">
        <v>617</v>
      </c>
      <c r="B55" s="9" t="s">
        <v>5676</v>
      </c>
      <c r="C55" s="9" t="n">
        <v>84</v>
      </c>
      <c r="D55" s="9" t="n">
        <v>151</v>
      </c>
      <c r="E55" s="9" t="n">
        <v>106</v>
      </c>
      <c r="F55" s="9" t="s">
        <v>5677</v>
      </c>
      <c r="G55" s="9" t="n">
        <v>0</v>
      </c>
      <c r="H55" s="9" t="n">
        <v>106</v>
      </c>
      <c r="I55" s="9" t="n">
        <f aca="false">MAX(0,'Family Readiness'!J13-G55)</f>
        <v>0</v>
      </c>
      <c r="J55" s="43" t="str">
        <f aca="false">IF(H55&gt;=C55,"PASS","FAIL")</f>
        <v>PASS</v>
      </c>
      <c r="K55" s="21" t="str">
        <f aca="false">IF(I55&gt;=C55,"PASS","HOLD")</f>
        <v>HOLD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customFormat="false" ht="15" hidden="false" customHeight="false" outlineLevel="0" collapsed="false">
      <c r="A56" s="9" t="s">
        <v>617</v>
      </c>
      <c r="B56" s="9" t="s">
        <v>5678</v>
      </c>
      <c r="C56" s="9" t="n">
        <v>84</v>
      </c>
      <c r="D56" s="9" t="n">
        <v>151</v>
      </c>
      <c r="E56" s="9" t="n">
        <v>106</v>
      </c>
      <c r="F56" s="9" t="n">
        <v>1</v>
      </c>
      <c r="G56" s="9" t="n">
        <v>16</v>
      </c>
      <c r="H56" s="9" t="n">
        <v>90</v>
      </c>
      <c r="I56" s="9" t="n">
        <f aca="false">MAX(0,'Family Readiness'!J13-G56)</f>
        <v>0</v>
      </c>
      <c r="J56" s="43" t="str">
        <f aca="false">IF(H56&gt;=C56,"PASS","FAIL")</f>
        <v>PASS</v>
      </c>
      <c r="K56" s="21" t="str">
        <f aca="false">IF(I56&gt;=C56,"PASS","HOLD")</f>
        <v>HOLD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customFormat="false" ht="15" hidden="false" customHeight="false" outlineLevel="0" collapsed="false">
      <c r="A57" s="9" t="s">
        <v>617</v>
      </c>
      <c r="B57" s="9" t="s">
        <v>5679</v>
      </c>
      <c r="C57" s="9" t="n">
        <v>84</v>
      </c>
      <c r="D57" s="9" t="n">
        <v>151</v>
      </c>
      <c r="E57" s="9" t="n">
        <v>106</v>
      </c>
      <c r="F57" s="9" t="n">
        <v>2</v>
      </c>
      <c r="G57" s="9" t="n">
        <v>15</v>
      </c>
      <c r="H57" s="9" t="n">
        <v>91</v>
      </c>
      <c r="I57" s="9" t="n">
        <f aca="false">MAX(0,'Family Readiness'!J13-G57)</f>
        <v>0</v>
      </c>
      <c r="J57" s="43" t="str">
        <f aca="false">IF(H57&gt;=C57,"PASS","FAIL")</f>
        <v>PASS</v>
      </c>
      <c r="K57" s="21" t="str">
        <f aca="false">IF(I57&gt;=C57,"PASS","HOLD")</f>
        <v>HOLD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customFormat="false" ht="15" hidden="false" customHeight="false" outlineLevel="0" collapsed="false">
      <c r="A58" s="9" t="s">
        <v>617</v>
      </c>
      <c r="B58" s="9" t="s">
        <v>5680</v>
      </c>
      <c r="C58" s="9" t="n">
        <v>84</v>
      </c>
      <c r="D58" s="9" t="n">
        <v>151</v>
      </c>
      <c r="E58" s="9" t="n">
        <v>106</v>
      </c>
      <c r="F58" s="9" t="n">
        <v>3</v>
      </c>
      <c r="G58" s="9" t="n">
        <v>15</v>
      </c>
      <c r="H58" s="9" t="n">
        <v>91</v>
      </c>
      <c r="I58" s="9" t="n">
        <f aca="false">MAX(0,'Family Readiness'!J13-G58)</f>
        <v>0</v>
      </c>
      <c r="J58" s="43" t="str">
        <f aca="false">IF(H58&gt;=C58,"PASS","FAIL")</f>
        <v>PASS</v>
      </c>
      <c r="K58" s="21" t="str">
        <f aca="false">IF(I58&gt;=C58,"PASS","HOLD")</f>
        <v>HOLD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customFormat="false" ht="15" hidden="false" customHeight="false" outlineLevel="0" collapsed="false">
      <c r="A59" s="9" t="s">
        <v>617</v>
      </c>
      <c r="B59" s="9" t="s">
        <v>5681</v>
      </c>
      <c r="C59" s="9" t="n">
        <v>84</v>
      </c>
      <c r="D59" s="9" t="n">
        <v>151</v>
      </c>
      <c r="E59" s="9" t="n">
        <v>106</v>
      </c>
      <c r="F59" s="9" t="n">
        <v>4</v>
      </c>
      <c r="G59" s="9" t="n">
        <v>15</v>
      </c>
      <c r="H59" s="9" t="n">
        <v>91</v>
      </c>
      <c r="I59" s="9" t="n">
        <f aca="false">MAX(0,'Family Readiness'!J13-G59)</f>
        <v>0</v>
      </c>
      <c r="J59" s="43" t="str">
        <f aca="false">IF(H59&gt;=C59,"PASS","FAIL")</f>
        <v>PASS</v>
      </c>
      <c r="K59" s="21" t="str">
        <f aca="false">IF(I59&gt;=C59,"PASS","HOLD")</f>
        <v>HOLD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customFormat="false" ht="15" hidden="false" customHeight="false" outlineLevel="0" collapsed="false">
      <c r="A60" s="9" t="s">
        <v>617</v>
      </c>
      <c r="B60" s="9" t="s">
        <v>5682</v>
      </c>
      <c r="C60" s="9" t="n">
        <v>84</v>
      </c>
      <c r="D60" s="9" t="n">
        <v>151</v>
      </c>
      <c r="E60" s="9" t="n">
        <v>106</v>
      </c>
      <c r="F60" s="9" t="n">
        <v>5</v>
      </c>
      <c r="G60" s="9" t="n">
        <v>15</v>
      </c>
      <c r="H60" s="9" t="n">
        <v>91</v>
      </c>
      <c r="I60" s="9" t="n">
        <f aca="false">MAX(0,'Family Readiness'!J13-G60)</f>
        <v>0</v>
      </c>
      <c r="J60" s="43" t="str">
        <f aca="false">IF(H60&gt;=C60,"PASS","FAIL")</f>
        <v>PASS</v>
      </c>
      <c r="K60" s="21" t="str">
        <f aca="false">IF(I60&gt;=C60,"PASS","HOLD")</f>
        <v>HOLD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customFormat="false" ht="15" hidden="false" customHeight="false" outlineLevel="0" collapsed="false">
      <c r="A61" s="9" t="s">
        <v>617</v>
      </c>
      <c r="B61" s="9" t="s">
        <v>5683</v>
      </c>
      <c r="C61" s="9" t="n">
        <v>84</v>
      </c>
      <c r="D61" s="9" t="n">
        <v>151</v>
      </c>
      <c r="E61" s="9" t="n">
        <v>106</v>
      </c>
      <c r="F61" s="9" t="n">
        <v>6</v>
      </c>
      <c r="G61" s="9" t="n">
        <v>15</v>
      </c>
      <c r="H61" s="9" t="n">
        <v>91</v>
      </c>
      <c r="I61" s="9" t="n">
        <f aca="false">MAX(0,'Family Readiness'!J13-G61)</f>
        <v>0</v>
      </c>
      <c r="J61" s="43" t="str">
        <f aca="false">IF(H61&gt;=C61,"PASS","FAIL")</f>
        <v>PASS</v>
      </c>
      <c r="K61" s="21" t="str">
        <f aca="false">IF(I61&gt;=C61,"PASS","HOLD")</f>
        <v>HOLD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customFormat="false" ht="15" hidden="false" customHeight="false" outlineLevel="0" collapsed="false">
      <c r="A62" s="9" t="s">
        <v>617</v>
      </c>
      <c r="B62" s="9" t="s">
        <v>5684</v>
      </c>
      <c r="C62" s="9" t="n">
        <v>84</v>
      </c>
      <c r="D62" s="9" t="n">
        <v>151</v>
      </c>
      <c r="E62" s="9" t="n">
        <v>106</v>
      </c>
      <c r="F62" s="9" t="n">
        <v>7</v>
      </c>
      <c r="G62" s="9" t="n">
        <v>15</v>
      </c>
      <c r="H62" s="9" t="n">
        <v>91</v>
      </c>
      <c r="I62" s="9" t="n">
        <f aca="false">MAX(0,'Family Readiness'!J13-G62)</f>
        <v>0</v>
      </c>
      <c r="J62" s="43" t="str">
        <f aca="false">IF(H62&gt;=C62,"PASS","FAIL")</f>
        <v>PASS</v>
      </c>
      <c r="K62" s="21" t="str">
        <f aca="false">IF(I62&gt;=C62,"PASS","HOLD")</f>
        <v>HOLD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customFormat="false" ht="15" hidden="false" customHeight="false" outlineLevel="0" collapsed="false">
      <c r="A63" s="9" t="s">
        <v>771</v>
      </c>
      <c r="B63" s="9" t="s">
        <v>5676</v>
      </c>
      <c r="C63" s="9" t="n">
        <v>60</v>
      </c>
      <c r="D63" s="9" t="n">
        <v>108</v>
      </c>
      <c r="E63" s="9" t="n">
        <v>76</v>
      </c>
      <c r="F63" s="9" t="s">
        <v>5677</v>
      </c>
      <c r="G63" s="9" t="n">
        <v>0</v>
      </c>
      <c r="H63" s="9" t="n">
        <v>76</v>
      </c>
      <c r="I63" s="9" t="n">
        <f aca="false">MAX(0,'Family Readiness'!J14-G63)</f>
        <v>0</v>
      </c>
      <c r="J63" s="43" t="str">
        <f aca="false">IF(H63&gt;=C63,"PASS","FAIL")</f>
        <v>PASS</v>
      </c>
      <c r="K63" s="21" t="str">
        <f aca="false">IF(I63&gt;=C63,"PASS","HOLD")</f>
        <v>HOLD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customFormat="false" ht="15" hidden="false" customHeight="false" outlineLevel="0" collapsed="false">
      <c r="A64" s="9" t="s">
        <v>771</v>
      </c>
      <c r="B64" s="9" t="s">
        <v>5678</v>
      </c>
      <c r="C64" s="9" t="n">
        <v>60</v>
      </c>
      <c r="D64" s="9" t="n">
        <v>108</v>
      </c>
      <c r="E64" s="9" t="n">
        <v>76</v>
      </c>
      <c r="F64" s="9" t="n">
        <v>1</v>
      </c>
      <c r="G64" s="9" t="n">
        <v>11</v>
      </c>
      <c r="H64" s="9" t="n">
        <v>65</v>
      </c>
      <c r="I64" s="9" t="n">
        <f aca="false">MAX(0,'Family Readiness'!J14-G64)</f>
        <v>0</v>
      </c>
      <c r="J64" s="43" t="str">
        <f aca="false">IF(H64&gt;=C64,"PASS","FAIL")</f>
        <v>PASS</v>
      </c>
      <c r="K64" s="21" t="str">
        <f aca="false">IF(I64&gt;=C64,"PASS","HOLD")</f>
        <v>HOLD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customFormat="false" ht="15" hidden="false" customHeight="false" outlineLevel="0" collapsed="false">
      <c r="A65" s="9" t="s">
        <v>771</v>
      </c>
      <c r="B65" s="9" t="s">
        <v>5679</v>
      </c>
      <c r="C65" s="9" t="n">
        <v>60</v>
      </c>
      <c r="D65" s="9" t="n">
        <v>108</v>
      </c>
      <c r="E65" s="9" t="n">
        <v>76</v>
      </c>
      <c r="F65" s="9" t="n">
        <v>2</v>
      </c>
      <c r="G65" s="9" t="n">
        <v>11</v>
      </c>
      <c r="H65" s="9" t="n">
        <v>65</v>
      </c>
      <c r="I65" s="9" t="n">
        <f aca="false">MAX(0,'Family Readiness'!J14-G65)</f>
        <v>0</v>
      </c>
      <c r="J65" s="43" t="str">
        <f aca="false">IF(H65&gt;=C65,"PASS","FAIL")</f>
        <v>PASS</v>
      </c>
      <c r="K65" s="21" t="str">
        <f aca="false">IF(I65&gt;=C65,"PASS","HOLD")</f>
        <v>HOLD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customFormat="false" ht="15" hidden="false" customHeight="false" outlineLevel="0" collapsed="false">
      <c r="A66" s="9" t="s">
        <v>771</v>
      </c>
      <c r="B66" s="9" t="s">
        <v>5680</v>
      </c>
      <c r="C66" s="9" t="n">
        <v>60</v>
      </c>
      <c r="D66" s="9" t="n">
        <v>108</v>
      </c>
      <c r="E66" s="9" t="n">
        <v>76</v>
      </c>
      <c r="F66" s="9" t="n">
        <v>3</v>
      </c>
      <c r="G66" s="9" t="n">
        <v>11</v>
      </c>
      <c r="H66" s="9" t="n">
        <v>65</v>
      </c>
      <c r="I66" s="9" t="n">
        <f aca="false">MAX(0,'Family Readiness'!J14-G66)</f>
        <v>0</v>
      </c>
      <c r="J66" s="43" t="str">
        <f aca="false">IF(H66&gt;=C66,"PASS","FAIL")</f>
        <v>PASS</v>
      </c>
      <c r="K66" s="21" t="str">
        <f aca="false">IF(I66&gt;=C66,"PASS","HOLD")</f>
        <v>HOLD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customFormat="false" ht="15" hidden="false" customHeight="false" outlineLevel="0" collapsed="false">
      <c r="A67" s="9" t="s">
        <v>771</v>
      </c>
      <c r="B67" s="9" t="s">
        <v>5681</v>
      </c>
      <c r="C67" s="9" t="n">
        <v>60</v>
      </c>
      <c r="D67" s="9" t="n">
        <v>108</v>
      </c>
      <c r="E67" s="9" t="n">
        <v>76</v>
      </c>
      <c r="F67" s="9" t="n">
        <v>4</v>
      </c>
      <c r="G67" s="9" t="n">
        <v>11</v>
      </c>
      <c r="H67" s="9" t="n">
        <v>65</v>
      </c>
      <c r="I67" s="9" t="n">
        <f aca="false">MAX(0,'Family Readiness'!J14-G67)</f>
        <v>0</v>
      </c>
      <c r="J67" s="43" t="str">
        <f aca="false">IF(H67&gt;=C67,"PASS","FAIL")</f>
        <v>PASS</v>
      </c>
      <c r="K67" s="21" t="str">
        <f aca="false">IF(I67&gt;=C67,"PASS","HOLD")</f>
        <v>HOLD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customFormat="false" ht="15" hidden="false" customHeight="false" outlineLevel="0" collapsed="false">
      <c r="A68" s="9" t="s">
        <v>771</v>
      </c>
      <c r="B68" s="9" t="s">
        <v>5682</v>
      </c>
      <c r="C68" s="9" t="n">
        <v>60</v>
      </c>
      <c r="D68" s="9" t="n">
        <v>108</v>
      </c>
      <c r="E68" s="9" t="n">
        <v>76</v>
      </c>
      <c r="F68" s="9" t="n">
        <v>5</v>
      </c>
      <c r="G68" s="9" t="n">
        <v>11</v>
      </c>
      <c r="H68" s="9" t="n">
        <v>65</v>
      </c>
      <c r="I68" s="9" t="n">
        <f aca="false">MAX(0,'Family Readiness'!J14-G68)</f>
        <v>0</v>
      </c>
      <c r="J68" s="43" t="str">
        <f aca="false">IF(H68&gt;=C68,"PASS","FAIL")</f>
        <v>PASS</v>
      </c>
      <c r="K68" s="21" t="str">
        <f aca="false">IF(I68&gt;=C68,"PASS","HOLD")</f>
        <v>HOLD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customFormat="false" ht="15" hidden="false" customHeight="false" outlineLevel="0" collapsed="false">
      <c r="A69" s="9" t="s">
        <v>771</v>
      </c>
      <c r="B69" s="9" t="s">
        <v>5683</v>
      </c>
      <c r="C69" s="9" t="n">
        <v>60</v>
      </c>
      <c r="D69" s="9" t="n">
        <v>108</v>
      </c>
      <c r="E69" s="9" t="n">
        <v>76</v>
      </c>
      <c r="F69" s="9" t="n">
        <v>6</v>
      </c>
      <c r="G69" s="9" t="n">
        <v>11</v>
      </c>
      <c r="H69" s="9" t="n">
        <v>65</v>
      </c>
      <c r="I69" s="9" t="n">
        <f aca="false">MAX(0,'Family Readiness'!J14-G69)</f>
        <v>0</v>
      </c>
      <c r="J69" s="43" t="str">
        <f aca="false">IF(H69&gt;=C69,"PASS","FAIL")</f>
        <v>PASS</v>
      </c>
      <c r="K69" s="21" t="str">
        <f aca="false">IF(I69&gt;=C69,"PASS","HOLD")</f>
        <v>HOLD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customFormat="false" ht="15" hidden="false" customHeight="false" outlineLevel="0" collapsed="false">
      <c r="A70" s="9" t="s">
        <v>771</v>
      </c>
      <c r="B70" s="9" t="s">
        <v>5684</v>
      </c>
      <c r="C70" s="9" t="n">
        <v>60</v>
      </c>
      <c r="D70" s="9" t="n">
        <v>108</v>
      </c>
      <c r="E70" s="9" t="n">
        <v>76</v>
      </c>
      <c r="F70" s="9" t="n">
        <v>7</v>
      </c>
      <c r="G70" s="9" t="n">
        <v>10</v>
      </c>
      <c r="H70" s="9" t="n">
        <v>66</v>
      </c>
      <c r="I70" s="9" t="n">
        <f aca="false">MAX(0,'Family Readiness'!J14-G70)</f>
        <v>0</v>
      </c>
      <c r="J70" s="43" t="str">
        <f aca="false">IF(H70&gt;=C70,"PASS","FAIL")</f>
        <v>PASS</v>
      </c>
      <c r="K70" s="21" t="str">
        <f aca="false">IF(I70&gt;=C70,"PASS","HOLD")</f>
        <v>HOLD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customFormat="false" ht="15" hidden="false" customHeight="false" outlineLevel="0" collapsed="false">
      <c r="A71" s="9" t="s">
        <v>882</v>
      </c>
      <c r="B71" s="9" t="s">
        <v>5676</v>
      </c>
      <c r="C71" s="9" t="n">
        <v>78</v>
      </c>
      <c r="D71" s="9" t="n">
        <v>140</v>
      </c>
      <c r="E71" s="9" t="n">
        <v>98</v>
      </c>
      <c r="F71" s="9" t="s">
        <v>5677</v>
      </c>
      <c r="G71" s="9" t="n">
        <v>0</v>
      </c>
      <c r="H71" s="9" t="n">
        <v>98</v>
      </c>
      <c r="I71" s="9" t="n">
        <f aca="false">MAX(0,'Family Readiness'!J15-G71)</f>
        <v>0</v>
      </c>
      <c r="J71" s="43" t="str">
        <f aca="false">IF(H71&gt;=C71,"PASS","FAIL")</f>
        <v>PASS</v>
      </c>
      <c r="K71" s="21" t="str">
        <f aca="false">IF(I71&gt;=C71,"PASS","HOLD")</f>
        <v>HOLD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customFormat="false" ht="15" hidden="false" customHeight="false" outlineLevel="0" collapsed="false">
      <c r="A72" s="9" t="s">
        <v>882</v>
      </c>
      <c r="B72" s="9" t="s">
        <v>5678</v>
      </c>
      <c r="C72" s="9" t="n">
        <v>78</v>
      </c>
      <c r="D72" s="9" t="n">
        <v>140</v>
      </c>
      <c r="E72" s="9" t="n">
        <v>98</v>
      </c>
      <c r="F72" s="9" t="n">
        <v>1</v>
      </c>
      <c r="G72" s="9" t="n">
        <v>14</v>
      </c>
      <c r="H72" s="9" t="n">
        <v>84</v>
      </c>
      <c r="I72" s="9" t="n">
        <f aca="false">MAX(0,'Family Readiness'!J15-G72)</f>
        <v>0</v>
      </c>
      <c r="J72" s="43" t="str">
        <f aca="false">IF(H72&gt;=C72,"PASS","FAIL")</f>
        <v>PASS</v>
      </c>
      <c r="K72" s="21" t="str">
        <f aca="false">IF(I72&gt;=C72,"PASS","HOLD")</f>
        <v>HOLD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customFormat="false" ht="15" hidden="false" customHeight="false" outlineLevel="0" collapsed="false">
      <c r="A73" s="9" t="s">
        <v>882</v>
      </c>
      <c r="B73" s="9" t="s">
        <v>5679</v>
      </c>
      <c r="C73" s="9" t="n">
        <v>78</v>
      </c>
      <c r="D73" s="9" t="n">
        <v>140</v>
      </c>
      <c r="E73" s="9" t="n">
        <v>98</v>
      </c>
      <c r="F73" s="9" t="n">
        <v>2</v>
      </c>
      <c r="G73" s="9" t="n">
        <v>14</v>
      </c>
      <c r="H73" s="9" t="n">
        <v>84</v>
      </c>
      <c r="I73" s="9" t="n">
        <f aca="false">MAX(0,'Family Readiness'!J15-G73)</f>
        <v>0</v>
      </c>
      <c r="J73" s="43" t="str">
        <f aca="false">IF(H73&gt;=C73,"PASS","FAIL")</f>
        <v>PASS</v>
      </c>
      <c r="K73" s="21" t="str">
        <f aca="false">IF(I73&gt;=C73,"PASS","HOLD")</f>
        <v>HOLD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customFormat="false" ht="15" hidden="false" customHeight="false" outlineLevel="0" collapsed="false">
      <c r="A74" s="9" t="s">
        <v>882</v>
      </c>
      <c r="B74" s="9" t="s">
        <v>5680</v>
      </c>
      <c r="C74" s="9" t="n">
        <v>78</v>
      </c>
      <c r="D74" s="9" t="n">
        <v>140</v>
      </c>
      <c r="E74" s="9" t="n">
        <v>98</v>
      </c>
      <c r="F74" s="9" t="n">
        <v>3</v>
      </c>
      <c r="G74" s="9" t="n">
        <v>14</v>
      </c>
      <c r="H74" s="9" t="n">
        <v>84</v>
      </c>
      <c r="I74" s="9" t="n">
        <f aca="false">MAX(0,'Family Readiness'!J15-G74)</f>
        <v>0</v>
      </c>
      <c r="J74" s="43" t="str">
        <f aca="false">IF(H74&gt;=C74,"PASS","FAIL")</f>
        <v>PASS</v>
      </c>
      <c r="K74" s="21" t="str">
        <f aca="false">IF(I74&gt;=C74,"PASS","HOLD")</f>
        <v>HOLD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customFormat="false" ht="15" hidden="false" customHeight="false" outlineLevel="0" collapsed="false">
      <c r="A75" s="9" t="s">
        <v>882</v>
      </c>
      <c r="B75" s="9" t="s">
        <v>5681</v>
      </c>
      <c r="C75" s="9" t="n">
        <v>78</v>
      </c>
      <c r="D75" s="9" t="n">
        <v>140</v>
      </c>
      <c r="E75" s="9" t="n">
        <v>98</v>
      </c>
      <c r="F75" s="9" t="n">
        <v>4</v>
      </c>
      <c r="G75" s="9" t="n">
        <v>14</v>
      </c>
      <c r="H75" s="9" t="n">
        <v>84</v>
      </c>
      <c r="I75" s="9" t="n">
        <f aca="false">MAX(0,'Family Readiness'!J15-G75)</f>
        <v>0</v>
      </c>
      <c r="J75" s="43" t="str">
        <f aca="false">IF(H75&gt;=C75,"PASS","FAIL")</f>
        <v>PASS</v>
      </c>
      <c r="K75" s="21" t="str">
        <f aca="false">IF(I75&gt;=C75,"PASS","HOLD")</f>
        <v>HOLD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customFormat="false" ht="15" hidden="false" customHeight="false" outlineLevel="0" collapsed="false">
      <c r="A76" s="9" t="s">
        <v>882</v>
      </c>
      <c r="B76" s="9" t="s">
        <v>5682</v>
      </c>
      <c r="C76" s="9" t="n">
        <v>78</v>
      </c>
      <c r="D76" s="9" t="n">
        <v>140</v>
      </c>
      <c r="E76" s="9" t="n">
        <v>98</v>
      </c>
      <c r="F76" s="9" t="n">
        <v>5</v>
      </c>
      <c r="G76" s="9" t="n">
        <v>14</v>
      </c>
      <c r="H76" s="9" t="n">
        <v>84</v>
      </c>
      <c r="I76" s="9" t="n">
        <f aca="false">MAX(0,'Family Readiness'!J15-G76)</f>
        <v>0</v>
      </c>
      <c r="J76" s="43" t="str">
        <f aca="false">IF(H76&gt;=C76,"PASS","FAIL")</f>
        <v>PASS</v>
      </c>
      <c r="K76" s="21" t="str">
        <f aca="false">IF(I76&gt;=C76,"PASS","HOLD")</f>
        <v>HOLD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customFormat="false" ht="15" hidden="false" customHeight="false" outlineLevel="0" collapsed="false">
      <c r="A77" s="9" t="s">
        <v>882</v>
      </c>
      <c r="B77" s="9" t="s">
        <v>5683</v>
      </c>
      <c r="C77" s="9" t="n">
        <v>78</v>
      </c>
      <c r="D77" s="9" t="n">
        <v>140</v>
      </c>
      <c r="E77" s="9" t="n">
        <v>98</v>
      </c>
      <c r="F77" s="9" t="n">
        <v>6</v>
      </c>
      <c r="G77" s="9" t="n">
        <v>14</v>
      </c>
      <c r="H77" s="9" t="n">
        <v>84</v>
      </c>
      <c r="I77" s="9" t="n">
        <f aca="false">MAX(0,'Family Readiness'!J15-G77)</f>
        <v>0</v>
      </c>
      <c r="J77" s="43" t="str">
        <f aca="false">IF(H77&gt;=C77,"PASS","FAIL")</f>
        <v>PASS</v>
      </c>
      <c r="K77" s="21" t="str">
        <f aca="false">IF(I77&gt;=C77,"PASS","HOLD")</f>
        <v>HOLD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customFormat="false" ht="15" hidden="false" customHeight="false" outlineLevel="0" collapsed="false">
      <c r="A78" s="9" t="s">
        <v>882</v>
      </c>
      <c r="B78" s="9" t="s">
        <v>5684</v>
      </c>
      <c r="C78" s="9" t="n">
        <v>78</v>
      </c>
      <c r="D78" s="9" t="n">
        <v>140</v>
      </c>
      <c r="E78" s="9" t="n">
        <v>98</v>
      </c>
      <c r="F78" s="9" t="n">
        <v>7</v>
      </c>
      <c r="G78" s="9" t="n">
        <v>14</v>
      </c>
      <c r="H78" s="9" t="n">
        <v>84</v>
      </c>
      <c r="I78" s="9" t="n">
        <f aca="false">MAX(0,'Family Readiness'!J15-G78)</f>
        <v>0</v>
      </c>
      <c r="J78" s="43" t="str">
        <f aca="false">IF(H78&gt;=C78,"PASS","FAIL")</f>
        <v>PASS</v>
      </c>
      <c r="K78" s="21" t="str">
        <f aca="false">IF(I78&gt;=C78,"PASS","HOLD")</f>
        <v>HOLD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customFormat="false" ht="15" hidden="false" customHeight="false" outlineLevel="0" collapsed="false">
      <c r="A79" s="9" t="s">
        <v>1024</v>
      </c>
      <c r="B79" s="9" t="s">
        <v>5676</v>
      </c>
      <c r="C79" s="9" t="n">
        <v>63.6</v>
      </c>
      <c r="D79" s="9" t="n">
        <v>114</v>
      </c>
      <c r="E79" s="9" t="n">
        <v>80</v>
      </c>
      <c r="F79" s="9" t="s">
        <v>5677</v>
      </c>
      <c r="G79" s="9" t="n">
        <v>0</v>
      </c>
      <c r="H79" s="9" t="n">
        <v>80</v>
      </c>
      <c r="I79" s="9" t="n">
        <f aca="false">MAX(0,'Family Readiness'!J16-G79)</f>
        <v>0</v>
      </c>
      <c r="J79" s="43" t="str">
        <f aca="false">IF(H79&gt;=C79,"PASS","FAIL")</f>
        <v>PASS</v>
      </c>
      <c r="K79" s="21" t="str">
        <f aca="false">IF(I79&gt;=C79,"PASS","HOLD")</f>
        <v>HOLD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customFormat="false" ht="15" hidden="false" customHeight="false" outlineLevel="0" collapsed="false">
      <c r="A80" s="9" t="s">
        <v>1024</v>
      </c>
      <c r="B80" s="9" t="s">
        <v>5678</v>
      </c>
      <c r="C80" s="9" t="n">
        <v>63.6</v>
      </c>
      <c r="D80" s="9" t="n">
        <v>114</v>
      </c>
      <c r="E80" s="9" t="n">
        <v>80</v>
      </c>
      <c r="F80" s="9" t="n">
        <v>1</v>
      </c>
      <c r="G80" s="9" t="n">
        <v>12</v>
      </c>
      <c r="H80" s="9" t="n">
        <v>68</v>
      </c>
      <c r="I80" s="9" t="n">
        <f aca="false">MAX(0,'Family Readiness'!J16-G80)</f>
        <v>0</v>
      </c>
      <c r="J80" s="43" t="str">
        <f aca="false">IF(H80&gt;=C80,"PASS","FAIL")</f>
        <v>PASS</v>
      </c>
      <c r="K80" s="21" t="str">
        <f aca="false">IF(I80&gt;=C80,"PASS","HOLD")</f>
        <v>HOLD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customFormat="false" ht="15" hidden="false" customHeight="false" outlineLevel="0" collapsed="false">
      <c r="A81" s="9" t="s">
        <v>1024</v>
      </c>
      <c r="B81" s="9" t="s">
        <v>5679</v>
      </c>
      <c r="C81" s="9" t="n">
        <v>63.6</v>
      </c>
      <c r="D81" s="9" t="n">
        <v>114</v>
      </c>
      <c r="E81" s="9" t="n">
        <v>80</v>
      </c>
      <c r="F81" s="9" t="n">
        <v>2</v>
      </c>
      <c r="G81" s="9" t="n">
        <v>12</v>
      </c>
      <c r="H81" s="9" t="n">
        <v>68</v>
      </c>
      <c r="I81" s="9" t="n">
        <f aca="false">MAX(0,'Family Readiness'!J16-G81)</f>
        <v>0</v>
      </c>
      <c r="J81" s="43" t="str">
        <f aca="false">IF(H81&gt;=C81,"PASS","FAIL")</f>
        <v>PASS</v>
      </c>
      <c r="K81" s="21" t="str">
        <f aca="false">IF(I81&gt;=C81,"PASS","HOLD")</f>
        <v>HOLD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customFormat="false" ht="15" hidden="false" customHeight="false" outlineLevel="0" collapsed="false">
      <c r="A82" s="9" t="s">
        <v>1024</v>
      </c>
      <c r="B82" s="9" t="s">
        <v>5680</v>
      </c>
      <c r="C82" s="9" t="n">
        <v>63.6</v>
      </c>
      <c r="D82" s="9" t="n">
        <v>114</v>
      </c>
      <c r="E82" s="9" t="n">
        <v>80</v>
      </c>
      <c r="F82" s="9" t="n">
        <v>3</v>
      </c>
      <c r="G82" s="9" t="n">
        <v>12</v>
      </c>
      <c r="H82" s="9" t="n">
        <v>68</v>
      </c>
      <c r="I82" s="9" t="n">
        <f aca="false">MAX(0,'Family Readiness'!J16-G82)</f>
        <v>0</v>
      </c>
      <c r="J82" s="43" t="str">
        <f aca="false">IF(H82&gt;=C82,"PASS","FAIL")</f>
        <v>PASS</v>
      </c>
      <c r="K82" s="21" t="str">
        <f aca="false">IF(I82&gt;=C82,"PASS","HOLD")</f>
        <v>HOLD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customFormat="false" ht="15" hidden="false" customHeight="false" outlineLevel="0" collapsed="false">
      <c r="A83" s="9" t="s">
        <v>1024</v>
      </c>
      <c r="B83" s="9" t="s">
        <v>5681</v>
      </c>
      <c r="C83" s="9" t="n">
        <v>63.6</v>
      </c>
      <c r="D83" s="9" t="n">
        <v>114</v>
      </c>
      <c r="E83" s="9" t="n">
        <v>80</v>
      </c>
      <c r="F83" s="9" t="n">
        <v>4</v>
      </c>
      <c r="G83" s="9" t="n">
        <v>11</v>
      </c>
      <c r="H83" s="9" t="n">
        <v>69</v>
      </c>
      <c r="I83" s="9" t="n">
        <f aca="false">MAX(0,'Family Readiness'!J16-G83)</f>
        <v>0</v>
      </c>
      <c r="J83" s="43" t="str">
        <f aca="false">IF(H83&gt;=C83,"PASS","FAIL")</f>
        <v>PASS</v>
      </c>
      <c r="K83" s="21" t="str">
        <f aca="false">IF(I83&gt;=C83,"PASS","HOLD")</f>
        <v>HOLD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customFormat="false" ht="15" hidden="false" customHeight="false" outlineLevel="0" collapsed="false">
      <c r="A84" s="9" t="s">
        <v>1024</v>
      </c>
      <c r="B84" s="9" t="s">
        <v>5682</v>
      </c>
      <c r="C84" s="9" t="n">
        <v>63.6</v>
      </c>
      <c r="D84" s="9" t="n">
        <v>114</v>
      </c>
      <c r="E84" s="9" t="n">
        <v>80</v>
      </c>
      <c r="F84" s="9" t="n">
        <v>5</v>
      </c>
      <c r="G84" s="9" t="n">
        <v>11</v>
      </c>
      <c r="H84" s="9" t="n">
        <v>69</v>
      </c>
      <c r="I84" s="9" t="n">
        <f aca="false">MAX(0,'Family Readiness'!J16-G84)</f>
        <v>0</v>
      </c>
      <c r="J84" s="43" t="str">
        <f aca="false">IF(H84&gt;=C84,"PASS","FAIL")</f>
        <v>PASS</v>
      </c>
      <c r="K84" s="21" t="str">
        <f aca="false">IF(I84&gt;=C84,"PASS","HOLD")</f>
        <v>HOLD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customFormat="false" ht="15" hidden="false" customHeight="false" outlineLevel="0" collapsed="false">
      <c r="A85" s="9" t="s">
        <v>1024</v>
      </c>
      <c r="B85" s="9" t="s">
        <v>5683</v>
      </c>
      <c r="C85" s="9" t="n">
        <v>63.6</v>
      </c>
      <c r="D85" s="9" t="n">
        <v>114</v>
      </c>
      <c r="E85" s="9" t="n">
        <v>80</v>
      </c>
      <c r="F85" s="9" t="n">
        <v>6</v>
      </c>
      <c r="G85" s="9" t="n">
        <v>11</v>
      </c>
      <c r="H85" s="9" t="n">
        <v>69</v>
      </c>
      <c r="I85" s="9" t="n">
        <f aca="false">MAX(0,'Family Readiness'!J16-G85)</f>
        <v>0</v>
      </c>
      <c r="J85" s="43" t="str">
        <f aca="false">IF(H85&gt;=C85,"PASS","FAIL")</f>
        <v>PASS</v>
      </c>
      <c r="K85" s="21" t="str">
        <f aca="false">IF(I85&gt;=C85,"PASS","HOLD")</f>
        <v>HOLD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customFormat="false" ht="15" hidden="false" customHeight="false" outlineLevel="0" collapsed="false">
      <c r="A86" s="9" t="s">
        <v>1024</v>
      </c>
      <c r="B86" s="9" t="s">
        <v>5684</v>
      </c>
      <c r="C86" s="9" t="n">
        <v>63.6</v>
      </c>
      <c r="D86" s="9" t="n">
        <v>114</v>
      </c>
      <c r="E86" s="9" t="n">
        <v>80</v>
      </c>
      <c r="F86" s="9" t="n">
        <v>7</v>
      </c>
      <c r="G86" s="9" t="n">
        <v>11</v>
      </c>
      <c r="H86" s="9" t="n">
        <v>69</v>
      </c>
      <c r="I86" s="9" t="n">
        <f aca="false">MAX(0,'Family Readiness'!J16-G86)</f>
        <v>0</v>
      </c>
      <c r="J86" s="43" t="str">
        <f aca="false">IF(H86&gt;=C86,"PASS","FAIL")</f>
        <v>PASS</v>
      </c>
      <c r="K86" s="21" t="str">
        <f aca="false">IF(I86&gt;=C86,"PASS","HOLD")</f>
        <v>HOLD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customFormat="false" ht="15" hidden="false" customHeight="false" outlineLevel="0" collapsed="false">
      <c r="A87" s="9" t="s">
        <v>1140</v>
      </c>
      <c r="B87" s="9" t="s">
        <v>5676</v>
      </c>
      <c r="C87" s="9" t="n">
        <v>39.6</v>
      </c>
      <c r="D87" s="9" t="n">
        <v>71</v>
      </c>
      <c r="E87" s="9" t="n">
        <v>50</v>
      </c>
      <c r="F87" s="9" t="s">
        <v>5677</v>
      </c>
      <c r="G87" s="9" t="n">
        <v>0</v>
      </c>
      <c r="H87" s="9" t="n">
        <v>50</v>
      </c>
      <c r="I87" s="9" t="n">
        <f aca="false">MAX(0,'Family Readiness'!J17-G87)</f>
        <v>0</v>
      </c>
      <c r="J87" s="43" t="str">
        <f aca="false">IF(H87&gt;=C87,"PASS","FAIL")</f>
        <v>PASS</v>
      </c>
      <c r="K87" s="21" t="str">
        <f aca="false">IF(I87&gt;=C87,"PASS","HOLD")</f>
        <v>HOLD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customFormat="false" ht="15" hidden="false" customHeight="false" outlineLevel="0" collapsed="false">
      <c r="A88" s="9" t="s">
        <v>1140</v>
      </c>
      <c r="B88" s="9" t="s">
        <v>5678</v>
      </c>
      <c r="C88" s="9" t="n">
        <v>39.6</v>
      </c>
      <c r="D88" s="9" t="n">
        <v>71</v>
      </c>
      <c r="E88" s="9" t="n">
        <v>50</v>
      </c>
      <c r="F88" s="9" t="n">
        <v>1</v>
      </c>
      <c r="G88" s="9" t="n">
        <v>8</v>
      </c>
      <c r="H88" s="9" t="n">
        <v>42</v>
      </c>
      <c r="I88" s="9" t="n">
        <f aca="false">MAX(0,'Family Readiness'!J17-G88)</f>
        <v>0</v>
      </c>
      <c r="J88" s="43" t="str">
        <f aca="false">IF(H88&gt;=C88,"PASS","FAIL")</f>
        <v>PASS</v>
      </c>
      <c r="K88" s="21" t="str">
        <f aca="false">IF(I88&gt;=C88,"PASS","HOLD")</f>
        <v>HOLD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customFormat="false" ht="15" hidden="false" customHeight="false" outlineLevel="0" collapsed="false">
      <c r="A89" s="9" t="s">
        <v>1140</v>
      </c>
      <c r="B89" s="9" t="s">
        <v>5679</v>
      </c>
      <c r="C89" s="9" t="n">
        <v>39.6</v>
      </c>
      <c r="D89" s="9" t="n">
        <v>71</v>
      </c>
      <c r="E89" s="9" t="n">
        <v>50</v>
      </c>
      <c r="F89" s="9" t="n">
        <v>2</v>
      </c>
      <c r="G89" s="9" t="n">
        <v>7</v>
      </c>
      <c r="H89" s="9" t="n">
        <v>43</v>
      </c>
      <c r="I89" s="9" t="n">
        <f aca="false">MAX(0,'Family Readiness'!J17-G89)</f>
        <v>0</v>
      </c>
      <c r="J89" s="43" t="str">
        <f aca="false">IF(H89&gt;=C89,"PASS","FAIL")</f>
        <v>PASS</v>
      </c>
      <c r="K89" s="21" t="str">
        <f aca="false">IF(I89&gt;=C89,"PASS","HOLD")</f>
        <v>HOLD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customFormat="false" ht="15" hidden="false" customHeight="false" outlineLevel="0" collapsed="false">
      <c r="A90" s="9" t="s">
        <v>1140</v>
      </c>
      <c r="B90" s="9" t="s">
        <v>5680</v>
      </c>
      <c r="C90" s="9" t="n">
        <v>39.6</v>
      </c>
      <c r="D90" s="9" t="n">
        <v>71</v>
      </c>
      <c r="E90" s="9" t="n">
        <v>50</v>
      </c>
      <c r="F90" s="9" t="n">
        <v>3</v>
      </c>
      <c r="G90" s="9" t="n">
        <v>7</v>
      </c>
      <c r="H90" s="9" t="n">
        <v>43</v>
      </c>
      <c r="I90" s="9" t="n">
        <f aca="false">MAX(0,'Family Readiness'!J17-G90)</f>
        <v>0</v>
      </c>
      <c r="J90" s="43" t="str">
        <f aca="false">IF(H90&gt;=C90,"PASS","FAIL")</f>
        <v>PASS</v>
      </c>
      <c r="K90" s="21" t="str">
        <f aca="false">IF(I90&gt;=C90,"PASS","HOLD")</f>
        <v>HOLD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customFormat="false" ht="15" hidden="false" customHeight="false" outlineLevel="0" collapsed="false">
      <c r="A91" s="9" t="s">
        <v>1140</v>
      </c>
      <c r="B91" s="9" t="s">
        <v>5681</v>
      </c>
      <c r="C91" s="9" t="n">
        <v>39.6</v>
      </c>
      <c r="D91" s="9" t="n">
        <v>71</v>
      </c>
      <c r="E91" s="9" t="n">
        <v>50</v>
      </c>
      <c r="F91" s="9" t="n">
        <v>4</v>
      </c>
      <c r="G91" s="9" t="n">
        <v>7</v>
      </c>
      <c r="H91" s="9" t="n">
        <v>43</v>
      </c>
      <c r="I91" s="9" t="n">
        <f aca="false">MAX(0,'Family Readiness'!J17-G91)</f>
        <v>0</v>
      </c>
      <c r="J91" s="43" t="str">
        <f aca="false">IF(H91&gt;=C91,"PASS","FAIL")</f>
        <v>PASS</v>
      </c>
      <c r="K91" s="21" t="str">
        <f aca="false">IF(I91&gt;=C91,"PASS","HOLD")</f>
        <v>HOLD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customFormat="false" ht="15" hidden="false" customHeight="false" outlineLevel="0" collapsed="false">
      <c r="A92" s="9" t="s">
        <v>1140</v>
      </c>
      <c r="B92" s="9" t="s">
        <v>5682</v>
      </c>
      <c r="C92" s="9" t="n">
        <v>39.6</v>
      </c>
      <c r="D92" s="9" t="n">
        <v>71</v>
      </c>
      <c r="E92" s="9" t="n">
        <v>50</v>
      </c>
      <c r="F92" s="9" t="n">
        <v>5</v>
      </c>
      <c r="G92" s="9" t="n">
        <v>7</v>
      </c>
      <c r="H92" s="9" t="n">
        <v>43</v>
      </c>
      <c r="I92" s="9" t="n">
        <f aca="false">MAX(0,'Family Readiness'!J17-G92)</f>
        <v>0</v>
      </c>
      <c r="J92" s="43" t="str">
        <f aca="false">IF(H92&gt;=C92,"PASS","FAIL")</f>
        <v>PASS</v>
      </c>
      <c r="K92" s="21" t="str">
        <f aca="false">IF(I92&gt;=C92,"PASS","HOLD")</f>
        <v>HOLD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customFormat="false" ht="15" hidden="false" customHeight="false" outlineLevel="0" collapsed="false">
      <c r="A93" s="9" t="s">
        <v>1140</v>
      </c>
      <c r="B93" s="9" t="s">
        <v>5683</v>
      </c>
      <c r="C93" s="9" t="n">
        <v>39.6</v>
      </c>
      <c r="D93" s="9" t="n">
        <v>71</v>
      </c>
      <c r="E93" s="9" t="n">
        <v>50</v>
      </c>
      <c r="F93" s="9" t="n">
        <v>6</v>
      </c>
      <c r="G93" s="9" t="n">
        <v>7</v>
      </c>
      <c r="H93" s="9" t="n">
        <v>43</v>
      </c>
      <c r="I93" s="9" t="n">
        <f aca="false">MAX(0,'Family Readiness'!J17-G93)</f>
        <v>0</v>
      </c>
      <c r="J93" s="43" t="str">
        <f aca="false">IF(H93&gt;=C93,"PASS","FAIL")</f>
        <v>PASS</v>
      </c>
      <c r="K93" s="21" t="str">
        <f aca="false">IF(I93&gt;=C93,"PASS","HOLD")</f>
        <v>HOLD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customFormat="false" ht="15" hidden="false" customHeight="false" outlineLevel="0" collapsed="false">
      <c r="A94" s="9" t="s">
        <v>1140</v>
      </c>
      <c r="B94" s="9" t="s">
        <v>5684</v>
      </c>
      <c r="C94" s="9" t="n">
        <v>39.6</v>
      </c>
      <c r="D94" s="9" t="n">
        <v>71</v>
      </c>
      <c r="E94" s="9" t="n">
        <v>50</v>
      </c>
      <c r="F94" s="9" t="n">
        <v>7</v>
      </c>
      <c r="G94" s="9" t="n">
        <v>7</v>
      </c>
      <c r="H94" s="9" t="n">
        <v>43</v>
      </c>
      <c r="I94" s="9" t="n">
        <f aca="false">MAX(0,'Family Readiness'!J17-G94)</f>
        <v>0</v>
      </c>
      <c r="J94" s="43" t="str">
        <f aca="false">IF(H94&gt;=C94,"PASS","FAIL")</f>
        <v>PASS</v>
      </c>
      <c r="K94" s="21" t="str">
        <f aca="false">IF(I94&gt;=C94,"PASS","HOLD")</f>
        <v>HOLD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customFormat="false" ht="15" hidden="false" customHeight="false" outlineLevel="0" collapsed="false">
      <c r="A95" s="9" t="s">
        <v>1213</v>
      </c>
      <c r="B95" s="9" t="s">
        <v>5676</v>
      </c>
      <c r="C95" s="9" t="n">
        <v>37.2</v>
      </c>
      <c r="D95" s="9" t="n">
        <v>72</v>
      </c>
      <c r="E95" s="9" t="n">
        <v>47</v>
      </c>
      <c r="F95" s="9" t="s">
        <v>5677</v>
      </c>
      <c r="G95" s="9" t="n">
        <v>0</v>
      </c>
      <c r="H95" s="9" t="n">
        <v>47</v>
      </c>
      <c r="I95" s="9" t="n">
        <f aca="false">MAX(0,'Family Readiness'!J18-G95)</f>
        <v>0</v>
      </c>
      <c r="J95" s="43" t="str">
        <f aca="false">IF(H95&gt;=C95,"PASS","FAIL")</f>
        <v>PASS</v>
      </c>
      <c r="K95" s="21" t="str">
        <f aca="false">IF(I95&gt;=C95,"PASS","HOLD")</f>
        <v>HOLD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customFormat="false" ht="15" hidden="false" customHeight="false" outlineLevel="0" collapsed="false">
      <c r="A96" s="9" t="s">
        <v>1213</v>
      </c>
      <c r="B96" s="9" t="s">
        <v>5678</v>
      </c>
      <c r="C96" s="9" t="n">
        <v>37.2</v>
      </c>
      <c r="D96" s="9" t="n">
        <v>72</v>
      </c>
      <c r="E96" s="9" t="n">
        <v>47</v>
      </c>
      <c r="F96" s="9" t="n">
        <v>1</v>
      </c>
      <c r="G96" s="9" t="n">
        <v>7</v>
      </c>
      <c r="H96" s="9" t="n">
        <v>40</v>
      </c>
      <c r="I96" s="9" t="n">
        <f aca="false">MAX(0,'Family Readiness'!J18-G96)</f>
        <v>0</v>
      </c>
      <c r="J96" s="43" t="str">
        <f aca="false">IF(H96&gt;=C96,"PASS","FAIL")</f>
        <v>PASS</v>
      </c>
      <c r="K96" s="21" t="str">
        <f aca="false">IF(I96&gt;=C96,"PASS","HOLD")</f>
        <v>HOLD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customFormat="false" ht="15" hidden="false" customHeight="false" outlineLevel="0" collapsed="false">
      <c r="A97" s="9" t="s">
        <v>1213</v>
      </c>
      <c r="B97" s="9" t="s">
        <v>5679</v>
      </c>
      <c r="C97" s="9" t="n">
        <v>37.2</v>
      </c>
      <c r="D97" s="9" t="n">
        <v>72</v>
      </c>
      <c r="E97" s="9" t="n">
        <v>47</v>
      </c>
      <c r="F97" s="9" t="n">
        <v>2</v>
      </c>
      <c r="G97" s="9" t="n">
        <v>7</v>
      </c>
      <c r="H97" s="9" t="n">
        <v>40</v>
      </c>
      <c r="I97" s="9" t="n">
        <f aca="false">MAX(0,'Family Readiness'!J18-G97)</f>
        <v>0</v>
      </c>
      <c r="J97" s="43" t="str">
        <f aca="false">IF(H97&gt;=C97,"PASS","FAIL")</f>
        <v>PASS</v>
      </c>
      <c r="K97" s="21" t="str">
        <f aca="false">IF(I97&gt;=C97,"PASS","HOLD")</f>
        <v>HOLD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customFormat="false" ht="15" hidden="false" customHeight="false" outlineLevel="0" collapsed="false">
      <c r="A98" s="9" t="s">
        <v>1213</v>
      </c>
      <c r="B98" s="9" t="s">
        <v>5680</v>
      </c>
      <c r="C98" s="9" t="n">
        <v>37.2</v>
      </c>
      <c r="D98" s="9" t="n">
        <v>72</v>
      </c>
      <c r="E98" s="9" t="n">
        <v>47</v>
      </c>
      <c r="F98" s="9" t="n">
        <v>3</v>
      </c>
      <c r="G98" s="9" t="n">
        <v>7</v>
      </c>
      <c r="H98" s="9" t="n">
        <v>40</v>
      </c>
      <c r="I98" s="9" t="n">
        <f aca="false">MAX(0,'Family Readiness'!J18-G98)</f>
        <v>0</v>
      </c>
      <c r="J98" s="43" t="str">
        <f aca="false">IF(H98&gt;=C98,"PASS","FAIL")</f>
        <v>PASS</v>
      </c>
      <c r="K98" s="21" t="str">
        <f aca="false">IF(I98&gt;=C98,"PASS","HOLD")</f>
        <v>HOLD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customFormat="false" ht="15" hidden="false" customHeight="false" outlineLevel="0" collapsed="false">
      <c r="A99" s="9" t="s">
        <v>1213</v>
      </c>
      <c r="B99" s="9" t="s">
        <v>5681</v>
      </c>
      <c r="C99" s="9" t="n">
        <v>37.2</v>
      </c>
      <c r="D99" s="9" t="n">
        <v>72</v>
      </c>
      <c r="E99" s="9" t="n">
        <v>47</v>
      </c>
      <c r="F99" s="9" t="n">
        <v>4</v>
      </c>
      <c r="G99" s="9" t="n">
        <v>7</v>
      </c>
      <c r="H99" s="9" t="n">
        <v>40</v>
      </c>
      <c r="I99" s="9" t="n">
        <f aca="false">MAX(0,'Family Readiness'!J18-G99)</f>
        <v>0</v>
      </c>
      <c r="J99" s="43" t="str">
        <f aca="false">IF(H99&gt;=C99,"PASS","FAIL")</f>
        <v>PASS</v>
      </c>
      <c r="K99" s="21" t="str">
        <f aca="false">IF(I99&gt;=C99,"PASS","HOLD")</f>
        <v>HOLD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customFormat="false" ht="15" hidden="false" customHeight="false" outlineLevel="0" collapsed="false">
      <c r="A100" s="9" t="s">
        <v>1213</v>
      </c>
      <c r="B100" s="9" t="s">
        <v>5682</v>
      </c>
      <c r="C100" s="9" t="n">
        <v>37.2</v>
      </c>
      <c r="D100" s="9" t="n">
        <v>72</v>
      </c>
      <c r="E100" s="9" t="n">
        <v>47</v>
      </c>
      <c r="F100" s="9" t="n">
        <v>5</v>
      </c>
      <c r="G100" s="9" t="n">
        <v>7</v>
      </c>
      <c r="H100" s="9" t="n">
        <v>40</v>
      </c>
      <c r="I100" s="9" t="n">
        <f aca="false">MAX(0,'Family Readiness'!J18-G100)</f>
        <v>0</v>
      </c>
      <c r="J100" s="43" t="str">
        <f aca="false">IF(H100&gt;=C100,"PASS","FAIL")</f>
        <v>PASS</v>
      </c>
      <c r="K100" s="21" t="str">
        <f aca="false">IF(I100&gt;=C100,"PASS","HOLD")</f>
        <v>HOLD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customFormat="false" ht="15" hidden="false" customHeight="false" outlineLevel="0" collapsed="false">
      <c r="A101" s="9" t="s">
        <v>1213</v>
      </c>
      <c r="B101" s="9" t="s">
        <v>5683</v>
      </c>
      <c r="C101" s="9" t="n">
        <v>37.2</v>
      </c>
      <c r="D101" s="9" t="n">
        <v>72</v>
      </c>
      <c r="E101" s="9" t="n">
        <v>47</v>
      </c>
      <c r="F101" s="9" t="n">
        <v>6</v>
      </c>
      <c r="G101" s="9" t="n">
        <v>6</v>
      </c>
      <c r="H101" s="9" t="n">
        <v>41</v>
      </c>
      <c r="I101" s="9" t="n">
        <f aca="false">MAX(0,'Family Readiness'!J18-G101)</f>
        <v>0</v>
      </c>
      <c r="J101" s="43" t="str">
        <f aca="false">IF(H101&gt;=C101,"PASS","FAIL")</f>
        <v>PASS</v>
      </c>
      <c r="K101" s="21" t="str">
        <f aca="false">IF(I101&gt;=C101,"PASS","HOLD")</f>
        <v>HOLD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customFormat="false" ht="15" hidden="false" customHeight="false" outlineLevel="0" collapsed="false">
      <c r="A102" s="9" t="s">
        <v>1213</v>
      </c>
      <c r="B102" s="9" t="s">
        <v>5684</v>
      </c>
      <c r="C102" s="9" t="n">
        <v>37.2</v>
      </c>
      <c r="D102" s="9" t="n">
        <v>72</v>
      </c>
      <c r="E102" s="9" t="n">
        <v>47</v>
      </c>
      <c r="F102" s="9" t="n">
        <v>7</v>
      </c>
      <c r="G102" s="9" t="n">
        <v>6</v>
      </c>
      <c r="H102" s="9" t="n">
        <v>41</v>
      </c>
      <c r="I102" s="9" t="n">
        <f aca="false">MAX(0,'Family Readiness'!J18-G102)</f>
        <v>0</v>
      </c>
      <c r="J102" s="43" t="str">
        <f aca="false">IF(H102&gt;=C102,"PASS","FAIL")</f>
        <v>PASS</v>
      </c>
      <c r="K102" s="21" t="str">
        <f aca="false">IF(I102&gt;=C102,"PASS","HOLD")</f>
        <v>HOLD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customFormat="false" ht="15" hidden="false" customHeight="false" outlineLevel="0" collapsed="false">
      <c r="A103" s="9" t="s">
        <v>1288</v>
      </c>
      <c r="B103" s="9" t="s">
        <v>5676</v>
      </c>
      <c r="C103" s="9" t="n">
        <v>43.2</v>
      </c>
      <c r="D103" s="9" t="n">
        <v>84</v>
      </c>
      <c r="E103" s="9" t="n">
        <v>55</v>
      </c>
      <c r="F103" s="9" t="s">
        <v>5677</v>
      </c>
      <c r="G103" s="9" t="n">
        <v>0</v>
      </c>
      <c r="H103" s="9" t="n">
        <v>55</v>
      </c>
      <c r="I103" s="9" t="n">
        <f aca="false">MAX(0,'Family Readiness'!J19-G103)</f>
        <v>0</v>
      </c>
      <c r="J103" s="43" t="str">
        <f aca="false">IF(H103&gt;=C103,"PASS","FAIL")</f>
        <v>PASS</v>
      </c>
      <c r="K103" s="21" t="str">
        <f aca="false">IF(I103&gt;=C103,"PASS","HOLD")</f>
        <v>HOLD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customFormat="false" ht="15" hidden="false" customHeight="false" outlineLevel="0" collapsed="false">
      <c r="A104" s="9" t="s">
        <v>1288</v>
      </c>
      <c r="B104" s="9" t="s">
        <v>5678</v>
      </c>
      <c r="C104" s="9" t="n">
        <v>43.2</v>
      </c>
      <c r="D104" s="9" t="n">
        <v>84</v>
      </c>
      <c r="E104" s="9" t="n">
        <v>55</v>
      </c>
      <c r="F104" s="9" t="n">
        <v>1</v>
      </c>
      <c r="G104" s="9" t="n">
        <v>8</v>
      </c>
      <c r="H104" s="9" t="n">
        <v>47</v>
      </c>
      <c r="I104" s="9" t="n">
        <f aca="false">MAX(0,'Family Readiness'!J19-G104)</f>
        <v>0</v>
      </c>
      <c r="J104" s="43" t="str">
        <f aca="false">IF(H104&gt;=C104,"PASS","FAIL")</f>
        <v>PASS</v>
      </c>
      <c r="K104" s="21" t="str">
        <f aca="false">IF(I104&gt;=C104,"PASS","HOLD")</f>
        <v>HOLD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customFormat="false" ht="15" hidden="false" customHeight="false" outlineLevel="0" collapsed="false">
      <c r="A105" s="9" t="s">
        <v>1288</v>
      </c>
      <c r="B105" s="9" t="s">
        <v>5679</v>
      </c>
      <c r="C105" s="9" t="n">
        <v>43.2</v>
      </c>
      <c r="D105" s="9" t="n">
        <v>84</v>
      </c>
      <c r="E105" s="9" t="n">
        <v>55</v>
      </c>
      <c r="F105" s="9" t="n">
        <v>2</v>
      </c>
      <c r="G105" s="9" t="n">
        <v>8</v>
      </c>
      <c r="H105" s="9" t="n">
        <v>47</v>
      </c>
      <c r="I105" s="9" t="n">
        <f aca="false">MAX(0,'Family Readiness'!J19-G105)</f>
        <v>0</v>
      </c>
      <c r="J105" s="43" t="str">
        <f aca="false">IF(H105&gt;=C105,"PASS","FAIL")</f>
        <v>PASS</v>
      </c>
      <c r="K105" s="21" t="str">
        <f aca="false">IF(I105&gt;=C105,"PASS","HOLD")</f>
        <v>HOLD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customFormat="false" ht="15" hidden="false" customHeight="false" outlineLevel="0" collapsed="false">
      <c r="A106" s="9" t="s">
        <v>1288</v>
      </c>
      <c r="B106" s="9" t="s">
        <v>5680</v>
      </c>
      <c r="C106" s="9" t="n">
        <v>43.2</v>
      </c>
      <c r="D106" s="9" t="n">
        <v>84</v>
      </c>
      <c r="E106" s="9" t="n">
        <v>55</v>
      </c>
      <c r="F106" s="9" t="n">
        <v>3</v>
      </c>
      <c r="G106" s="9" t="n">
        <v>8</v>
      </c>
      <c r="H106" s="9" t="n">
        <v>47</v>
      </c>
      <c r="I106" s="9" t="n">
        <f aca="false">MAX(0,'Family Readiness'!J19-G106)</f>
        <v>0</v>
      </c>
      <c r="J106" s="43" t="str">
        <f aca="false">IF(H106&gt;=C106,"PASS","FAIL")</f>
        <v>PASS</v>
      </c>
      <c r="K106" s="21" t="str">
        <f aca="false">IF(I106&gt;=C106,"PASS","HOLD")</f>
        <v>HOLD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customFormat="false" ht="15" hidden="false" customHeight="false" outlineLevel="0" collapsed="false">
      <c r="A107" s="9" t="s">
        <v>1288</v>
      </c>
      <c r="B107" s="9" t="s">
        <v>5681</v>
      </c>
      <c r="C107" s="9" t="n">
        <v>43.2</v>
      </c>
      <c r="D107" s="9" t="n">
        <v>84</v>
      </c>
      <c r="E107" s="9" t="n">
        <v>55</v>
      </c>
      <c r="F107" s="9" t="n">
        <v>4</v>
      </c>
      <c r="G107" s="9" t="n">
        <v>8</v>
      </c>
      <c r="H107" s="9" t="n">
        <v>47</v>
      </c>
      <c r="I107" s="9" t="n">
        <f aca="false">MAX(0,'Family Readiness'!J19-G107)</f>
        <v>0</v>
      </c>
      <c r="J107" s="43" t="str">
        <f aca="false">IF(H107&gt;=C107,"PASS","FAIL")</f>
        <v>PASS</v>
      </c>
      <c r="K107" s="21" t="str">
        <f aca="false">IF(I107&gt;=C107,"PASS","HOLD")</f>
        <v>HOLD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customFormat="false" ht="15" hidden="false" customHeight="false" outlineLevel="0" collapsed="false">
      <c r="A108" s="9" t="s">
        <v>1288</v>
      </c>
      <c r="B108" s="9" t="s">
        <v>5682</v>
      </c>
      <c r="C108" s="9" t="n">
        <v>43.2</v>
      </c>
      <c r="D108" s="9" t="n">
        <v>84</v>
      </c>
      <c r="E108" s="9" t="n">
        <v>55</v>
      </c>
      <c r="F108" s="9" t="n">
        <v>5</v>
      </c>
      <c r="G108" s="9" t="n">
        <v>8</v>
      </c>
      <c r="H108" s="9" t="n">
        <v>47</v>
      </c>
      <c r="I108" s="9" t="n">
        <f aca="false">MAX(0,'Family Readiness'!J19-G108)</f>
        <v>0</v>
      </c>
      <c r="J108" s="43" t="str">
        <f aca="false">IF(H108&gt;=C108,"PASS","FAIL")</f>
        <v>PASS</v>
      </c>
      <c r="K108" s="21" t="str">
        <f aca="false">IF(I108&gt;=C108,"PASS","HOLD")</f>
        <v>HOLD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customFormat="false" ht="15" hidden="false" customHeight="false" outlineLevel="0" collapsed="false">
      <c r="A109" s="9" t="s">
        <v>1288</v>
      </c>
      <c r="B109" s="9" t="s">
        <v>5683</v>
      </c>
      <c r="C109" s="9" t="n">
        <v>43.2</v>
      </c>
      <c r="D109" s="9" t="n">
        <v>84</v>
      </c>
      <c r="E109" s="9" t="n">
        <v>55</v>
      </c>
      <c r="F109" s="9" t="n">
        <v>6</v>
      </c>
      <c r="G109" s="9" t="n">
        <v>8</v>
      </c>
      <c r="H109" s="9" t="n">
        <v>47</v>
      </c>
      <c r="I109" s="9" t="n">
        <f aca="false">MAX(0,'Family Readiness'!J19-G109)</f>
        <v>0</v>
      </c>
      <c r="J109" s="43" t="str">
        <f aca="false">IF(H109&gt;=C109,"PASS","FAIL")</f>
        <v>PASS</v>
      </c>
      <c r="K109" s="21" t="str">
        <f aca="false">IF(I109&gt;=C109,"PASS","HOLD")</f>
        <v>HOLD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customFormat="false" ht="15" hidden="false" customHeight="false" outlineLevel="0" collapsed="false">
      <c r="A110" s="9" t="s">
        <v>1288</v>
      </c>
      <c r="B110" s="9" t="s">
        <v>5684</v>
      </c>
      <c r="C110" s="9" t="n">
        <v>43.2</v>
      </c>
      <c r="D110" s="9" t="n">
        <v>84</v>
      </c>
      <c r="E110" s="9" t="n">
        <v>55</v>
      </c>
      <c r="F110" s="9" t="n">
        <v>7</v>
      </c>
      <c r="G110" s="9" t="n">
        <v>7</v>
      </c>
      <c r="H110" s="9" t="n">
        <v>48</v>
      </c>
      <c r="I110" s="9" t="n">
        <f aca="false">MAX(0,'Family Readiness'!J19-G110)</f>
        <v>0</v>
      </c>
      <c r="J110" s="43" t="str">
        <f aca="false">IF(H110&gt;=C110,"PASS","FAIL")</f>
        <v>PASS</v>
      </c>
      <c r="K110" s="21" t="str">
        <f aca="false">IF(I110&gt;=C110,"PASS","HOLD")</f>
        <v>HOLD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customFormat="false" ht="15" hidden="false" customHeight="false" outlineLevel="0" collapsed="false">
      <c r="A111" s="9" t="s">
        <v>1374</v>
      </c>
      <c r="B111" s="9" t="s">
        <v>5676</v>
      </c>
      <c r="C111" s="9" t="n">
        <v>26.4</v>
      </c>
      <c r="D111" s="9" t="n">
        <v>51</v>
      </c>
      <c r="E111" s="9" t="n">
        <v>34</v>
      </c>
      <c r="F111" s="9" t="s">
        <v>5677</v>
      </c>
      <c r="G111" s="9" t="n">
        <v>0</v>
      </c>
      <c r="H111" s="9" t="n">
        <v>34</v>
      </c>
      <c r="I111" s="9" t="n">
        <f aca="false">MAX(0,'Family Readiness'!J20-G111)</f>
        <v>0</v>
      </c>
      <c r="J111" s="43" t="str">
        <f aca="false">IF(H111&gt;=C111,"PASS","FAIL")</f>
        <v>PASS</v>
      </c>
      <c r="K111" s="21" t="str">
        <f aca="false">IF(I111&gt;=C111,"PASS","HOLD")</f>
        <v>HOLD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customFormat="false" ht="15" hidden="false" customHeight="false" outlineLevel="0" collapsed="false">
      <c r="A112" s="9" t="s">
        <v>1374</v>
      </c>
      <c r="B112" s="9" t="s">
        <v>5678</v>
      </c>
      <c r="C112" s="9" t="n">
        <v>26.4</v>
      </c>
      <c r="D112" s="9" t="n">
        <v>51</v>
      </c>
      <c r="E112" s="9" t="n">
        <v>34</v>
      </c>
      <c r="F112" s="9" t="n">
        <v>1</v>
      </c>
      <c r="G112" s="9" t="n">
        <v>5</v>
      </c>
      <c r="H112" s="9" t="n">
        <v>29</v>
      </c>
      <c r="I112" s="9" t="n">
        <f aca="false">MAX(0,'Family Readiness'!J20-G112)</f>
        <v>0</v>
      </c>
      <c r="J112" s="43" t="str">
        <f aca="false">IF(H112&gt;=C112,"PASS","FAIL")</f>
        <v>PASS</v>
      </c>
      <c r="K112" s="21" t="str">
        <f aca="false">IF(I112&gt;=C112,"PASS","HOLD")</f>
        <v>HOLD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customFormat="false" ht="15" hidden="false" customHeight="false" outlineLevel="0" collapsed="false">
      <c r="A113" s="9" t="s">
        <v>1374</v>
      </c>
      <c r="B113" s="9" t="s">
        <v>5679</v>
      </c>
      <c r="C113" s="9" t="n">
        <v>26.4</v>
      </c>
      <c r="D113" s="9" t="n">
        <v>51</v>
      </c>
      <c r="E113" s="9" t="n">
        <v>34</v>
      </c>
      <c r="F113" s="9" t="n">
        <v>2</v>
      </c>
      <c r="G113" s="9" t="n">
        <v>5</v>
      </c>
      <c r="H113" s="9" t="n">
        <v>29</v>
      </c>
      <c r="I113" s="9" t="n">
        <f aca="false">MAX(0,'Family Readiness'!J20-G113)</f>
        <v>0</v>
      </c>
      <c r="J113" s="43" t="str">
        <f aca="false">IF(H113&gt;=C113,"PASS","FAIL")</f>
        <v>PASS</v>
      </c>
      <c r="K113" s="21" t="str">
        <f aca="false">IF(I113&gt;=C113,"PASS","HOLD")</f>
        <v>HOLD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customFormat="false" ht="15" hidden="false" customHeight="false" outlineLevel="0" collapsed="false">
      <c r="A114" s="9" t="s">
        <v>1374</v>
      </c>
      <c r="B114" s="9" t="s">
        <v>5680</v>
      </c>
      <c r="C114" s="9" t="n">
        <v>26.4</v>
      </c>
      <c r="D114" s="9" t="n">
        <v>51</v>
      </c>
      <c r="E114" s="9" t="n">
        <v>34</v>
      </c>
      <c r="F114" s="9" t="n">
        <v>3</v>
      </c>
      <c r="G114" s="9" t="n">
        <v>5</v>
      </c>
      <c r="H114" s="9" t="n">
        <v>29</v>
      </c>
      <c r="I114" s="9" t="n">
        <f aca="false">MAX(0,'Family Readiness'!J20-G114)</f>
        <v>0</v>
      </c>
      <c r="J114" s="43" t="str">
        <f aca="false">IF(H114&gt;=C114,"PASS","FAIL")</f>
        <v>PASS</v>
      </c>
      <c r="K114" s="21" t="str">
        <f aca="false">IF(I114&gt;=C114,"PASS","HOLD")</f>
        <v>HOLD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customFormat="false" ht="15" hidden="false" customHeight="false" outlineLevel="0" collapsed="false">
      <c r="A115" s="9" t="s">
        <v>1374</v>
      </c>
      <c r="B115" s="9" t="s">
        <v>5681</v>
      </c>
      <c r="C115" s="9" t="n">
        <v>26.4</v>
      </c>
      <c r="D115" s="9" t="n">
        <v>51</v>
      </c>
      <c r="E115" s="9" t="n">
        <v>34</v>
      </c>
      <c r="F115" s="9" t="n">
        <v>4</v>
      </c>
      <c r="G115" s="9" t="n">
        <v>5</v>
      </c>
      <c r="H115" s="9" t="n">
        <v>29</v>
      </c>
      <c r="I115" s="9" t="n">
        <f aca="false">MAX(0,'Family Readiness'!J20-G115)</f>
        <v>0</v>
      </c>
      <c r="J115" s="43" t="str">
        <f aca="false">IF(H115&gt;=C115,"PASS","FAIL")</f>
        <v>PASS</v>
      </c>
      <c r="K115" s="21" t="str">
        <f aca="false">IF(I115&gt;=C115,"PASS","HOLD")</f>
        <v>HOLD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customFormat="false" ht="15" hidden="false" customHeight="false" outlineLevel="0" collapsed="false">
      <c r="A116" s="9" t="s">
        <v>1374</v>
      </c>
      <c r="B116" s="9" t="s">
        <v>5682</v>
      </c>
      <c r="C116" s="9" t="n">
        <v>26.4</v>
      </c>
      <c r="D116" s="9" t="n">
        <v>51</v>
      </c>
      <c r="E116" s="9" t="n">
        <v>34</v>
      </c>
      <c r="F116" s="9" t="n">
        <v>5</v>
      </c>
      <c r="G116" s="9" t="n">
        <v>5</v>
      </c>
      <c r="H116" s="9" t="n">
        <v>29</v>
      </c>
      <c r="I116" s="9" t="n">
        <f aca="false">MAX(0,'Family Readiness'!J20-G116)</f>
        <v>0</v>
      </c>
      <c r="J116" s="43" t="str">
        <f aca="false">IF(H116&gt;=C116,"PASS","FAIL")</f>
        <v>PASS</v>
      </c>
      <c r="K116" s="21" t="str">
        <f aca="false">IF(I116&gt;=C116,"PASS","HOLD")</f>
        <v>HOLD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customFormat="false" ht="15" hidden="false" customHeight="false" outlineLevel="0" collapsed="false">
      <c r="A117" s="9" t="s">
        <v>1374</v>
      </c>
      <c r="B117" s="9" t="s">
        <v>5683</v>
      </c>
      <c r="C117" s="9" t="n">
        <v>26.4</v>
      </c>
      <c r="D117" s="9" t="n">
        <v>51</v>
      </c>
      <c r="E117" s="9" t="n">
        <v>34</v>
      </c>
      <c r="F117" s="9" t="n">
        <v>6</v>
      </c>
      <c r="G117" s="9" t="n">
        <v>5</v>
      </c>
      <c r="H117" s="9" t="n">
        <v>29</v>
      </c>
      <c r="I117" s="9" t="n">
        <f aca="false">MAX(0,'Family Readiness'!J20-G117)</f>
        <v>0</v>
      </c>
      <c r="J117" s="43" t="str">
        <f aca="false">IF(H117&gt;=C117,"PASS","FAIL")</f>
        <v>PASS</v>
      </c>
      <c r="K117" s="21" t="str">
        <f aca="false">IF(I117&gt;=C117,"PASS","HOLD")</f>
        <v>HOLD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customFormat="false" ht="15" hidden="false" customHeight="false" outlineLevel="0" collapsed="false">
      <c r="A118" s="9" t="s">
        <v>1374</v>
      </c>
      <c r="B118" s="9" t="s">
        <v>5684</v>
      </c>
      <c r="C118" s="9" t="n">
        <v>26.4</v>
      </c>
      <c r="D118" s="9" t="n">
        <v>51</v>
      </c>
      <c r="E118" s="9" t="n">
        <v>34</v>
      </c>
      <c r="F118" s="9" t="n">
        <v>7</v>
      </c>
      <c r="G118" s="9" t="n">
        <v>4</v>
      </c>
      <c r="H118" s="9" t="n">
        <v>30</v>
      </c>
      <c r="I118" s="9" t="n">
        <f aca="false">MAX(0,'Family Readiness'!J20-G118)</f>
        <v>0</v>
      </c>
      <c r="J118" s="43" t="str">
        <f aca="false">IF(H118&gt;=C118,"PASS","FAIL")</f>
        <v>PASS</v>
      </c>
      <c r="K118" s="21" t="str">
        <f aca="false">IF(I118&gt;=C118,"PASS","HOLD")</f>
        <v>HOLD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customFormat="false" ht="15" hidden="false" customHeight="false" outlineLevel="0" collapsed="false">
      <c r="A119" s="9" t="s">
        <v>1427</v>
      </c>
      <c r="B119" s="9" t="s">
        <v>5676</v>
      </c>
      <c r="C119" s="9" t="n">
        <v>69.6</v>
      </c>
      <c r="D119" s="9" t="n">
        <v>134</v>
      </c>
      <c r="E119" s="9" t="n">
        <v>88</v>
      </c>
      <c r="F119" s="9" t="s">
        <v>5677</v>
      </c>
      <c r="G119" s="9" t="n">
        <v>0</v>
      </c>
      <c r="H119" s="9" t="n">
        <v>88</v>
      </c>
      <c r="I119" s="9" t="n">
        <f aca="false">MAX(0,'Family Readiness'!J21-G119)</f>
        <v>0</v>
      </c>
      <c r="J119" s="43" t="str">
        <f aca="false">IF(H119&gt;=C119,"PASS","FAIL")</f>
        <v>PASS</v>
      </c>
      <c r="K119" s="21" t="str">
        <f aca="false">IF(I119&gt;=C119,"PASS","HOLD")</f>
        <v>HOLD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customFormat="false" ht="15" hidden="false" customHeight="false" outlineLevel="0" collapsed="false">
      <c r="A120" s="9" t="s">
        <v>1427</v>
      </c>
      <c r="B120" s="9" t="s">
        <v>5678</v>
      </c>
      <c r="C120" s="9" t="n">
        <v>69.6</v>
      </c>
      <c r="D120" s="9" t="n">
        <v>134</v>
      </c>
      <c r="E120" s="9" t="n">
        <v>88</v>
      </c>
      <c r="F120" s="9" t="n">
        <v>1</v>
      </c>
      <c r="G120" s="9" t="n">
        <v>13</v>
      </c>
      <c r="H120" s="9" t="n">
        <v>75</v>
      </c>
      <c r="I120" s="9" t="n">
        <f aca="false">MAX(0,'Family Readiness'!J21-G120)</f>
        <v>0</v>
      </c>
      <c r="J120" s="43" t="str">
        <f aca="false">IF(H120&gt;=C120,"PASS","FAIL")</f>
        <v>PASS</v>
      </c>
      <c r="K120" s="21" t="str">
        <f aca="false">IF(I120&gt;=C120,"PASS","HOLD")</f>
        <v>HOLD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customFormat="false" ht="15" hidden="false" customHeight="false" outlineLevel="0" collapsed="false">
      <c r="A121" s="9" t="s">
        <v>1427</v>
      </c>
      <c r="B121" s="9" t="s">
        <v>5679</v>
      </c>
      <c r="C121" s="9" t="n">
        <v>69.6</v>
      </c>
      <c r="D121" s="9" t="n">
        <v>134</v>
      </c>
      <c r="E121" s="9" t="n">
        <v>88</v>
      </c>
      <c r="F121" s="9" t="n">
        <v>2</v>
      </c>
      <c r="G121" s="9" t="n">
        <v>13</v>
      </c>
      <c r="H121" s="9" t="n">
        <v>75</v>
      </c>
      <c r="I121" s="9" t="n">
        <f aca="false">MAX(0,'Family Readiness'!J21-G121)</f>
        <v>0</v>
      </c>
      <c r="J121" s="43" t="str">
        <f aca="false">IF(H121&gt;=C121,"PASS","FAIL")</f>
        <v>PASS</v>
      </c>
      <c r="K121" s="21" t="str">
        <f aca="false">IF(I121&gt;=C121,"PASS","HOLD")</f>
        <v>HOLD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customFormat="false" ht="15" hidden="false" customHeight="false" outlineLevel="0" collapsed="false">
      <c r="A122" s="9" t="s">
        <v>1427</v>
      </c>
      <c r="B122" s="9" t="s">
        <v>5680</v>
      </c>
      <c r="C122" s="9" t="n">
        <v>69.6</v>
      </c>
      <c r="D122" s="9" t="n">
        <v>134</v>
      </c>
      <c r="E122" s="9" t="n">
        <v>88</v>
      </c>
      <c r="F122" s="9" t="n">
        <v>3</v>
      </c>
      <c r="G122" s="9" t="n">
        <v>13</v>
      </c>
      <c r="H122" s="9" t="n">
        <v>75</v>
      </c>
      <c r="I122" s="9" t="n">
        <f aca="false">MAX(0,'Family Readiness'!J21-G122)</f>
        <v>0</v>
      </c>
      <c r="J122" s="43" t="str">
        <f aca="false">IF(H122&gt;=C122,"PASS","FAIL")</f>
        <v>PASS</v>
      </c>
      <c r="K122" s="21" t="str">
        <f aca="false">IF(I122&gt;=C122,"PASS","HOLD")</f>
        <v>HOLD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customFormat="false" ht="15" hidden="false" customHeight="false" outlineLevel="0" collapsed="false">
      <c r="A123" s="9" t="s">
        <v>1427</v>
      </c>
      <c r="B123" s="9" t="s">
        <v>5681</v>
      </c>
      <c r="C123" s="9" t="n">
        <v>69.6</v>
      </c>
      <c r="D123" s="9" t="n">
        <v>134</v>
      </c>
      <c r="E123" s="9" t="n">
        <v>88</v>
      </c>
      <c r="F123" s="9" t="n">
        <v>4</v>
      </c>
      <c r="G123" s="9" t="n">
        <v>13</v>
      </c>
      <c r="H123" s="9" t="n">
        <v>75</v>
      </c>
      <c r="I123" s="9" t="n">
        <f aca="false">MAX(0,'Family Readiness'!J21-G123)</f>
        <v>0</v>
      </c>
      <c r="J123" s="43" t="str">
        <f aca="false">IF(H123&gt;=C123,"PASS","FAIL")</f>
        <v>PASS</v>
      </c>
      <c r="K123" s="21" t="str">
        <f aca="false">IF(I123&gt;=C123,"PASS","HOLD")</f>
        <v>HOLD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customFormat="false" ht="15" hidden="false" customHeight="false" outlineLevel="0" collapsed="false">
      <c r="A124" s="9" t="s">
        <v>1427</v>
      </c>
      <c r="B124" s="9" t="s">
        <v>5682</v>
      </c>
      <c r="C124" s="9" t="n">
        <v>69.6</v>
      </c>
      <c r="D124" s="9" t="n">
        <v>134</v>
      </c>
      <c r="E124" s="9" t="n">
        <v>88</v>
      </c>
      <c r="F124" s="9" t="n">
        <v>5</v>
      </c>
      <c r="G124" s="9" t="n">
        <v>12</v>
      </c>
      <c r="H124" s="9" t="n">
        <v>76</v>
      </c>
      <c r="I124" s="9" t="n">
        <f aca="false">MAX(0,'Family Readiness'!J21-G124)</f>
        <v>0</v>
      </c>
      <c r="J124" s="43" t="str">
        <f aca="false">IF(H124&gt;=C124,"PASS","FAIL")</f>
        <v>PASS</v>
      </c>
      <c r="K124" s="21" t="str">
        <f aca="false">IF(I124&gt;=C124,"PASS","HOLD")</f>
        <v>HOLD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customFormat="false" ht="15" hidden="false" customHeight="false" outlineLevel="0" collapsed="false">
      <c r="A125" s="9" t="s">
        <v>1427</v>
      </c>
      <c r="B125" s="9" t="s">
        <v>5683</v>
      </c>
      <c r="C125" s="9" t="n">
        <v>69.6</v>
      </c>
      <c r="D125" s="9" t="n">
        <v>134</v>
      </c>
      <c r="E125" s="9" t="n">
        <v>88</v>
      </c>
      <c r="F125" s="9" t="n">
        <v>6</v>
      </c>
      <c r="G125" s="9" t="n">
        <v>12</v>
      </c>
      <c r="H125" s="9" t="n">
        <v>76</v>
      </c>
      <c r="I125" s="9" t="n">
        <f aca="false">MAX(0,'Family Readiness'!J21-G125)</f>
        <v>0</v>
      </c>
      <c r="J125" s="43" t="str">
        <f aca="false">IF(H125&gt;=C125,"PASS","FAIL")</f>
        <v>PASS</v>
      </c>
      <c r="K125" s="21" t="str">
        <f aca="false">IF(I125&gt;=C125,"PASS","HOLD")</f>
        <v>HOLD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customFormat="false" ht="15" hidden="false" customHeight="false" outlineLevel="0" collapsed="false">
      <c r="A126" s="9" t="s">
        <v>1427</v>
      </c>
      <c r="B126" s="9" t="s">
        <v>5684</v>
      </c>
      <c r="C126" s="9" t="n">
        <v>69.6</v>
      </c>
      <c r="D126" s="9" t="n">
        <v>134</v>
      </c>
      <c r="E126" s="9" t="n">
        <v>88</v>
      </c>
      <c r="F126" s="9" t="n">
        <v>7</v>
      </c>
      <c r="G126" s="9" t="n">
        <v>12</v>
      </c>
      <c r="H126" s="9" t="n">
        <v>76</v>
      </c>
      <c r="I126" s="9" t="n">
        <f aca="false">MAX(0,'Family Readiness'!J21-G126)</f>
        <v>0</v>
      </c>
      <c r="J126" s="43" t="str">
        <f aca="false">IF(H126&gt;=C126,"PASS","FAIL")</f>
        <v>PASS</v>
      </c>
      <c r="K126" s="21" t="str">
        <f aca="false">IF(I126&gt;=C126,"PASS","HOLD")</f>
        <v>HOLD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customFormat="false" ht="15" hidden="false" customHeight="false" outlineLevel="0" collapsed="false">
      <c r="A127" s="9" t="s">
        <v>1563</v>
      </c>
      <c r="B127" s="9" t="s">
        <v>5676</v>
      </c>
      <c r="C127" s="9" t="n">
        <v>48</v>
      </c>
      <c r="D127" s="9" t="n">
        <v>93</v>
      </c>
      <c r="E127" s="9" t="n">
        <v>61</v>
      </c>
      <c r="F127" s="9" t="s">
        <v>5677</v>
      </c>
      <c r="G127" s="9" t="n">
        <v>0</v>
      </c>
      <c r="H127" s="9" t="n">
        <v>61</v>
      </c>
      <c r="I127" s="9" t="n">
        <f aca="false">MAX(0,'Family Readiness'!J22-G127)</f>
        <v>0</v>
      </c>
      <c r="J127" s="43" t="str">
        <f aca="false">IF(H127&gt;=C127,"PASS","FAIL")</f>
        <v>PASS</v>
      </c>
      <c r="K127" s="21" t="str">
        <f aca="false">IF(I127&gt;=C127,"PASS","HOLD")</f>
        <v>HOLD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customFormat="false" ht="15" hidden="false" customHeight="false" outlineLevel="0" collapsed="false">
      <c r="A128" s="9" t="s">
        <v>1563</v>
      </c>
      <c r="B128" s="9" t="s">
        <v>5678</v>
      </c>
      <c r="C128" s="9" t="n">
        <v>48</v>
      </c>
      <c r="D128" s="9" t="n">
        <v>93</v>
      </c>
      <c r="E128" s="9" t="n">
        <v>61</v>
      </c>
      <c r="F128" s="9" t="n">
        <v>1</v>
      </c>
      <c r="G128" s="9" t="n">
        <v>9</v>
      </c>
      <c r="H128" s="9" t="n">
        <v>52</v>
      </c>
      <c r="I128" s="9" t="n">
        <f aca="false">MAX(0,'Family Readiness'!J22-G128)</f>
        <v>0</v>
      </c>
      <c r="J128" s="43" t="str">
        <f aca="false">IF(H128&gt;=C128,"PASS","FAIL")</f>
        <v>PASS</v>
      </c>
      <c r="K128" s="21" t="str">
        <f aca="false">IF(I128&gt;=C128,"PASS","HOLD")</f>
        <v>HOLD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customFormat="false" ht="15" hidden="false" customHeight="false" outlineLevel="0" collapsed="false">
      <c r="A129" s="9" t="s">
        <v>1563</v>
      </c>
      <c r="B129" s="9" t="s">
        <v>5679</v>
      </c>
      <c r="C129" s="9" t="n">
        <v>48</v>
      </c>
      <c r="D129" s="9" t="n">
        <v>93</v>
      </c>
      <c r="E129" s="9" t="n">
        <v>61</v>
      </c>
      <c r="F129" s="9" t="n">
        <v>2</v>
      </c>
      <c r="G129" s="9" t="n">
        <v>9</v>
      </c>
      <c r="H129" s="9" t="n">
        <v>52</v>
      </c>
      <c r="I129" s="9" t="n">
        <f aca="false">MAX(0,'Family Readiness'!J22-G129)</f>
        <v>0</v>
      </c>
      <c r="J129" s="43" t="str">
        <f aca="false">IF(H129&gt;=C129,"PASS","FAIL")</f>
        <v>PASS</v>
      </c>
      <c r="K129" s="21" t="str">
        <f aca="false">IF(I129&gt;=C129,"PASS","HOLD")</f>
        <v>HOLD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customFormat="false" ht="15" hidden="false" customHeight="false" outlineLevel="0" collapsed="false">
      <c r="A130" s="9" t="s">
        <v>1563</v>
      </c>
      <c r="B130" s="9" t="s">
        <v>5680</v>
      </c>
      <c r="C130" s="9" t="n">
        <v>48</v>
      </c>
      <c r="D130" s="9" t="n">
        <v>93</v>
      </c>
      <c r="E130" s="9" t="n">
        <v>61</v>
      </c>
      <c r="F130" s="9" t="n">
        <v>3</v>
      </c>
      <c r="G130" s="9" t="n">
        <v>9</v>
      </c>
      <c r="H130" s="9" t="n">
        <v>52</v>
      </c>
      <c r="I130" s="9" t="n">
        <f aca="false">MAX(0,'Family Readiness'!J22-G130)</f>
        <v>0</v>
      </c>
      <c r="J130" s="43" t="str">
        <f aca="false">IF(H130&gt;=C130,"PASS","FAIL")</f>
        <v>PASS</v>
      </c>
      <c r="K130" s="21" t="str">
        <f aca="false">IF(I130&gt;=C130,"PASS","HOLD")</f>
        <v>HOLD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customFormat="false" ht="15" hidden="false" customHeight="false" outlineLevel="0" collapsed="false">
      <c r="A131" s="9" t="s">
        <v>1563</v>
      </c>
      <c r="B131" s="9" t="s">
        <v>5681</v>
      </c>
      <c r="C131" s="9" t="n">
        <v>48</v>
      </c>
      <c r="D131" s="9" t="n">
        <v>93</v>
      </c>
      <c r="E131" s="9" t="n">
        <v>61</v>
      </c>
      <c r="F131" s="9" t="n">
        <v>4</v>
      </c>
      <c r="G131" s="9" t="n">
        <v>9</v>
      </c>
      <c r="H131" s="9" t="n">
        <v>52</v>
      </c>
      <c r="I131" s="9" t="n">
        <f aca="false">MAX(0,'Family Readiness'!J22-G131)</f>
        <v>0</v>
      </c>
      <c r="J131" s="43" t="str">
        <f aca="false">IF(H131&gt;=C131,"PASS","FAIL")</f>
        <v>PASS</v>
      </c>
      <c r="K131" s="21" t="str">
        <f aca="false">IF(I131&gt;=C131,"PASS","HOLD")</f>
        <v>HOLD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customFormat="false" ht="15" hidden="false" customHeight="false" outlineLevel="0" collapsed="false">
      <c r="A132" s="9" t="s">
        <v>1563</v>
      </c>
      <c r="B132" s="9" t="s">
        <v>5682</v>
      </c>
      <c r="C132" s="9" t="n">
        <v>48</v>
      </c>
      <c r="D132" s="9" t="n">
        <v>93</v>
      </c>
      <c r="E132" s="9" t="n">
        <v>61</v>
      </c>
      <c r="F132" s="9" t="n">
        <v>5</v>
      </c>
      <c r="G132" s="9" t="n">
        <v>9</v>
      </c>
      <c r="H132" s="9" t="n">
        <v>52</v>
      </c>
      <c r="I132" s="9" t="n">
        <f aca="false">MAX(0,'Family Readiness'!J22-G132)</f>
        <v>0</v>
      </c>
      <c r="J132" s="43" t="str">
        <f aca="false">IF(H132&gt;=C132,"PASS","FAIL")</f>
        <v>PASS</v>
      </c>
      <c r="K132" s="21" t="str">
        <f aca="false">IF(I132&gt;=C132,"PASS","HOLD")</f>
        <v>HOLD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customFormat="false" ht="15" hidden="false" customHeight="false" outlineLevel="0" collapsed="false">
      <c r="A133" s="9" t="s">
        <v>1563</v>
      </c>
      <c r="B133" s="9" t="s">
        <v>5683</v>
      </c>
      <c r="C133" s="9" t="n">
        <v>48</v>
      </c>
      <c r="D133" s="9" t="n">
        <v>93</v>
      </c>
      <c r="E133" s="9" t="n">
        <v>61</v>
      </c>
      <c r="F133" s="9" t="n">
        <v>6</v>
      </c>
      <c r="G133" s="9" t="n">
        <v>8</v>
      </c>
      <c r="H133" s="9" t="n">
        <v>53</v>
      </c>
      <c r="I133" s="9" t="n">
        <f aca="false">MAX(0,'Family Readiness'!J22-G133)</f>
        <v>0</v>
      </c>
      <c r="J133" s="43" t="str">
        <f aca="false">IF(H133&gt;=C133,"PASS","FAIL")</f>
        <v>PASS</v>
      </c>
      <c r="K133" s="21" t="str">
        <f aca="false">IF(I133&gt;=C133,"PASS","HOLD")</f>
        <v>HOLD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customFormat="false" ht="15" hidden="false" customHeight="false" outlineLevel="0" collapsed="false">
      <c r="A134" s="9" t="s">
        <v>1563</v>
      </c>
      <c r="B134" s="9" t="s">
        <v>5684</v>
      </c>
      <c r="C134" s="9" t="n">
        <v>48</v>
      </c>
      <c r="D134" s="9" t="n">
        <v>93</v>
      </c>
      <c r="E134" s="9" t="n">
        <v>61</v>
      </c>
      <c r="F134" s="9" t="n">
        <v>7</v>
      </c>
      <c r="G134" s="9" t="n">
        <v>8</v>
      </c>
      <c r="H134" s="9" t="n">
        <v>53</v>
      </c>
      <c r="I134" s="9" t="n">
        <f aca="false">MAX(0,'Family Readiness'!J22-G134)</f>
        <v>0</v>
      </c>
      <c r="J134" s="43" t="str">
        <f aca="false">IF(H134&gt;=C134,"PASS","FAIL")</f>
        <v>PASS</v>
      </c>
      <c r="K134" s="21" t="str">
        <f aca="false">IF(I134&gt;=C134,"PASS","HOLD")</f>
        <v>HOLD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customFormat="false" ht="15" hidden="false" customHeight="false" outlineLevel="0" collapsed="false">
      <c r="A135" s="9" t="s">
        <v>1658</v>
      </c>
      <c r="B135" s="9" t="s">
        <v>5676</v>
      </c>
      <c r="C135" s="9" t="n">
        <v>37.2</v>
      </c>
      <c r="D135" s="9" t="n">
        <v>72</v>
      </c>
      <c r="E135" s="9" t="n">
        <v>47</v>
      </c>
      <c r="F135" s="9" t="s">
        <v>5677</v>
      </c>
      <c r="G135" s="9" t="n">
        <v>0</v>
      </c>
      <c r="H135" s="9" t="n">
        <v>47</v>
      </c>
      <c r="I135" s="9" t="n">
        <f aca="false">MAX(0,'Family Readiness'!J23-G135)</f>
        <v>0</v>
      </c>
      <c r="J135" s="43" t="str">
        <f aca="false">IF(H135&gt;=C135,"PASS","FAIL")</f>
        <v>PASS</v>
      </c>
      <c r="K135" s="21" t="str">
        <f aca="false">IF(I135&gt;=C135,"PASS","HOLD")</f>
        <v>HOLD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customFormat="false" ht="15" hidden="false" customHeight="false" outlineLevel="0" collapsed="false">
      <c r="A136" s="9" t="s">
        <v>1658</v>
      </c>
      <c r="B136" s="9" t="s">
        <v>5678</v>
      </c>
      <c r="C136" s="9" t="n">
        <v>37.2</v>
      </c>
      <c r="D136" s="9" t="n">
        <v>72</v>
      </c>
      <c r="E136" s="9" t="n">
        <v>47</v>
      </c>
      <c r="F136" s="9" t="n">
        <v>1</v>
      </c>
      <c r="G136" s="9" t="n">
        <v>7</v>
      </c>
      <c r="H136" s="9" t="n">
        <v>40</v>
      </c>
      <c r="I136" s="9" t="n">
        <f aca="false">MAX(0,'Family Readiness'!J23-G136)</f>
        <v>0</v>
      </c>
      <c r="J136" s="43" t="str">
        <f aca="false">IF(H136&gt;=C136,"PASS","FAIL")</f>
        <v>PASS</v>
      </c>
      <c r="K136" s="21" t="str">
        <f aca="false">IF(I136&gt;=C136,"PASS","HOLD")</f>
        <v>HOLD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customFormat="false" ht="15" hidden="false" customHeight="false" outlineLevel="0" collapsed="false">
      <c r="A137" s="9" t="s">
        <v>1658</v>
      </c>
      <c r="B137" s="9" t="s">
        <v>5679</v>
      </c>
      <c r="C137" s="9" t="n">
        <v>37.2</v>
      </c>
      <c r="D137" s="9" t="n">
        <v>72</v>
      </c>
      <c r="E137" s="9" t="n">
        <v>47</v>
      </c>
      <c r="F137" s="9" t="n">
        <v>2</v>
      </c>
      <c r="G137" s="9" t="n">
        <v>7</v>
      </c>
      <c r="H137" s="9" t="n">
        <v>40</v>
      </c>
      <c r="I137" s="9" t="n">
        <f aca="false">MAX(0,'Family Readiness'!J23-G137)</f>
        <v>0</v>
      </c>
      <c r="J137" s="43" t="str">
        <f aca="false">IF(H137&gt;=C137,"PASS","FAIL")</f>
        <v>PASS</v>
      </c>
      <c r="K137" s="21" t="str">
        <f aca="false">IF(I137&gt;=C137,"PASS","HOLD")</f>
        <v>HOLD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customFormat="false" ht="15" hidden="false" customHeight="false" outlineLevel="0" collapsed="false">
      <c r="A138" s="9" t="s">
        <v>1658</v>
      </c>
      <c r="B138" s="9" t="s">
        <v>5680</v>
      </c>
      <c r="C138" s="9" t="n">
        <v>37.2</v>
      </c>
      <c r="D138" s="9" t="n">
        <v>72</v>
      </c>
      <c r="E138" s="9" t="n">
        <v>47</v>
      </c>
      <c r="F138" s="9" t="n">
        <v>3</v>
      </c>
      <c r="G138" s="9" t="n">
        <v>7</v>
      </c>
      <c r="H138" s="9" t="n">
        <v>40</v>
      </c>
      <c r="I138" s="9" t="n">
        <f aca="false">MAX(0,'Family Readiness'!J23-G138)</f>
        <v>0</v>
      </c>
      <c r="J138" s="43" t="str">
        <f aca="false">IF(H138&gt;=C138,"PASS","FAIL")</f>
        <v>PASS</v>
      </c>
      <c r="K138" s="21" t="str">
        <f aca="false">IF(I138&gt;=C138,"PASS","HOLD")</f>
        <v>HOLD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customFormat="false" ht="15" hidden="false" customHeight="false" outlineLevel="0" collapsed="false">
      <c r="A139" s="9" t="s">
        <v>1658</v>
      </c>
      <c r="B139" s="9" t="s">
        <v>5681</v>
      </c>
      <c r="C139" s="9" t="n">
        <v>37.2</v>
      </c>
      <c r="D139" s="9" t="n">
        <v>72</v>
      </c>
      <c r="E139" s="9" t="n">
        <v>47</v>
      </c>
      <c r="F139" s="9" t="n">
        <v>4</v>
      </c>
      <c r="G139" s="9" t="n">
        <v>7</v>
      </c>
      <c r="H139" s="9" t="n">
        <v>40</v>
      </c>
      <c r="I139" s="9" t="n">
        <f aca="false">MAX(0,'Family Readiness'!J23-G139)</f>
        <v>0</v>
      </c>
      <c r="J139" s="43" t="str">
        <f aca="false">IF(H139&gt;=C139,"PASS","FAIL")</f>
        <v>PASS</v>
      </c>
      <c r="K139" s="21" t="str">
        <f aca="false">IF(I139&gt;=C139,"PASS","HOLD")</f>
        <v>HOLD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customFormat="false" ht="15" hidden="false" customHeight="false" outlineLevel="0" collapsed="false">
      <c r="A140" s="9" t="s">
        <v>1658</v>
      </c>
      <c r="B140" s="9" t="s">
        <v>5682</v>
      </c>
      <c r="C140" s="9" t="n">
        <v>37.2</v>
      </c>
      <c r="D140" s="9" t="n">
        <v>72</v>
      </c>
      <c r="E140" s="9" t="n">
        <v>47</v>
      </c>
      <c r="F140" s="9" t="n">
        <v>5</v>
      </c>
      <c r="G140" s="9" t="n">
        <v>7</v>
      </c>
      <c r="H140" s="9" t="n">
        <v>40</v>
      </c>
      <c r="I140" s="9" t="n">
        <f aca="false">MAX(0,'Family Readiness'!J23-G140)</f>
        <v>0</v>
      </c>
      <c r="J140" s="43" t="str">
        <f aca="false">IF(H140&gt;=C140,"PASS","FAIL")</f>
        <v>PASS</v>
      </c>
      <c r="K140" s="21" t="str">
        <f aca="false">IF(I140&gt;=C140,"PASS","HOLD")</f>
        <v>HOLD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customFormat="false" ht="15" hidden="false" customHeight="false" outlineLevel="0" collapsed="false">
      <c r="A141" s="9" t="s">
        <v>1658</v>
      </c>
      <c r="B141" s="9" t="s">
        <v>5683</v>
      </c>
      <c r="C141" s="9" t="n">
        <v>37.2</v>
      </c>
      <c r="D141" s="9" t="n">
        <v>72</v>
      </c>
      <c r="E141" s="9" t="n">
        <v>47</v>
      </c>
      <c r="F141" s="9" t="n">
        <v>6</v>
      </c>
      <c r="G141" s="9" t="n">
        <v>6</v>
      </c>
      <c r="H141" s="9" t="n">
        <v>41</v>
      </c>
      <c r="I141" s="9" t="n">
        <f aca="false">MAX(0,'Family Readiness'!J23-G141)</f>
        <v>0</v>
      </c>
      <c r="J141" s="43" t="str">
        <f aca="false">IF(H141&gt;=C141,"PASS","FAIL")</f>
        <v>PASS</v>
      </c>
      <c r="K141" s="21" t="str">
        <f aca="false">IF(I141&gt;=C141,"PASS","HOLD")</f>
        <v>HOLD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customFormat="false" ht="15" hidden="false" customHeight="false" outlineLevel="0" collapsed="false">
      <c r="A142" s="9" t="s">
        <v>1658</v>
      </c>
      <c r="B142" s="9" t="s">
        <v>5684</v>
      </c>
      <c r="C142" s="9" t="n">
        <v>37.2</v>
      </c>
      <c r="D142" s="9" t="n">
        <v>72</v>
      </c>
      <c r="E142" s="9" t="n">
        <v>47</v>
      </c>
      <c r="F142" s="9" t="n">
        <v>7</v>
      </c>
      <c r="G142" s="9" t="n">
        <v>6</v>
      </c>
      <c r="H142" s="9" t="n">
        <v>41</v>
      </c>
      <c r="I142" s="9" t="n">
        <f aca="false">MAX(0,'Family Readiness'!J23-G142)</f>
        <v>0</v>
      </c>
      <c r="J142" s="43" t="str">
        <f aca="false">IF(H142&gt;=C142,"PASS","FAIL")</f>
        <v>PASS</v>
      </c>
      <c r="K142" s="21" t="str">
        <f aca="false">IF(I142&gt;=C142,"PASS","HOLD")</f>
        <v>HOLD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customFormat="false" ht="15" hidden="false" customHeight="false" outlineLevel="0" collapsed="false">
      <c r="A143" s="9" t="s">
        <v>1733</v>
      </c>
      <c r="B143" s="9" t="s">
        <v>5676</v>
      </c>
      <c r="C143" s="9" t="n">
        <v>38.4</v>
      </c>
      <c r="D143" s="9" t="n">
        <v>74</v>
      </c>
      <c r="E143" s="9" t="n">
        <v>49</v>
      </c>
      <c r="F143" s="9" t="s">
        <v>5677</v>
      </c>
      <c r="G143" s="9" t="n">
        <v>0</v>
      </c>
      <c r="H143" s="9" t="n">
        <v>49</v>
      </c>
      <c r="I143" s="9" t="n">
        <f aca="false">MAX(0,'Family Readiness'!J24-G143)</f>
        <v>0</v>
      </c>
      <c r="J143" s="43" t="str">
        <f aca="false">IF(H143&gt;=C143,"PASS","FAIL")</f>
        <v>PASS</v>
      </c>
      <c r="K143" s="21" t="str">
        <f aca="false">IF(I143&gt;=C143,"PASS","HOLD")</f>
        <v>HOLD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customFormat="false" ht="15" hidden="false" customHeight="false" outlineLevel="0" collapsed="false">
      <c r="A144" s="9" t="s">
        <v>1733</v>
      </c>
      <c r="B144" s="9" t="s">
        <v>5678</v>
      </c>
      <c r="C144" s="9" t="n">
        <v>38.4</v>
      </c>
      <c r="D144" s="9" t="n">
        <v>74</v>
      </c>
      <c r="E144" s="9" t="n">
        <v>49</v>
      </c>
      <c r="F144" s="9" t="n">
        <v>1</v>
      </c>
      <c r="G144" s="9" t="n">
        <v>7</v>
      </c>
      <c r="H144" s="9" t="n">
        <v>42</v>
      </c>
      <c r="I144" s="9" t="n">
        <f aca="false">MAX(0,'Family Readiness'!J24-G144)</f>
        <v>0</v>
      </c>
      <c r="J144" s="43" t="str">
        <f aca="false">IF(H144&gt;=C144,"PASS","FAIL")</f>
        <v>PASS</v>
      </c>
      <c r="K144" s="21" t="str">
        <f aca="false">IF(I144&gt;=C144,"PASS","HOLD")</f>
        <v>HOLD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customFormat="false" ht="15" hidden="false" customHeight="false" outlineLevel="0" collapsed="false">
      <c r="A145" s="9" t="s">
        <v>1733</v>
      </c>
      <c r="B145" s="9" t="s">
        <v>5679</v>
      </c>
      <c r="C145" s="9" t="n">
        <v>38.4</v>
      </c>
      <c r="D145" s="9" t="n">
        <v>74</v>
      </c>
      <c r="E145" s="9" t="n">
        <v>49</v>
      </c>
      <c r="F145" s="9" t="n">
        <v>2</v>
      </c>
      <c r="G145" s="9" t="n">
        <v>7</v>
      </c>
      <c r="H145" s="9" t="n">
        <v>42</v>
      </c>
      <c r="I145" s="9" t="n">
        <f aca="false">MAX(0,'Family Readiness'!J24-G145)</f>
        <v>0</v>
      </c>
      <c r="J145" s="43" t="str">
        <f aca="false">IF(H145&gt;=C145,"PASS","FAIL")</f>
        <v>PASS</v>
      </c>
      <c r="K145" s="21" t="str">
        <f aca="false">IF(I145&gt;=C145,"PASS","HOLD")</f>
        <v>HOLD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customFormat="false" ht="15" hidden="false" customHeight="false" outlineLevel="0" collapsed="false">
      <c r="A146" s="9" t="s">
        <v>1733</v>
      </c>
      <c r="B146" s="9" t="s">
        <v>5680</v>
      </c>
      <c r="C146" s="9" t="n">
        <v>38.4</v>
      </c>
      <c r="D146" s="9" t="n">
        <v>74</v>
      </c>
      <c r="E146" s="9" t="n">
        <v>49</v>
      </c>
      <c r="F146" s="9" t="n">
        <v>3</v>
      </c>
      <c r="G146" s="9" t="n">
        <v>7</v>
      </c>
      <c r="H146" s="9" t="n">
        <v>42</v>
      </c>
      <c r="I146" s="9" t="n">
        <f aca="false">MAX(0,'Family Readiness'!J24-G146)</f>
        <v>0</v>
      </c>
      <c r="J146" s="43" t="str">
        <f aca="false">IF(H146&gt;=C146,"PASS","FAIL")</f>
        <v>PASS</v>
      </c>
      <c r="K146" s="21" t="str">
        <f aca="false">IF(I146&gt;=C146,"PASS","HOLD")</f>
        <v>HOLD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customFormat="false" ht="15" hidden="false" customHeight="false" outlineLevel="0" collapsed="false">
      <c r="A147" s="9" t="s">
        <v>1733</v>
      </c>
      <c r="B147" s="9" t="s">
        <v>5681</v>
      </c>
      <c r="C147" s="9" t="n">
        <v>38.4</v>
      </c>
      <c r="D147" s="9" t="n">
        <v>74</v>
      </c>
      <c r="E147" s="9" t="n">
        <v>49</v>
      </c>
      <c r="F147" s="9" t="n">
        <v>4</v>
      </c>
      <c r="G147" s="9" t="n">
        <v>7</v>
      </c>
      <c r="H147" s="9" t="n">
        <v>42</v>
      </c>
      <c r="I147" s="9" t="n">
        <f aca="false">MAX(0,'Family Readiness'!J24-G147)</f>
        <v>0</v>
      </c>
      <c r="J147" s="43" t="str">
        <f aca="false">IF(H147&gt;=C147,"PASS","FAIL")</f>
        <v>PASS</v>
      </c>
      <c r="K147" s="21" t="str">
        <f aca="false">IF(I147&gt;=C147,"PASS","HOLD")</f>
        <v>HOLD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customFormat="false" ht="15" hidden="false" customHeight="false" outlineLevel="0" collapsed="false">
      <c r="A148" s="9" t="s">
        <v>1733</v>
      </c>
      <c r="B148" s="9" t="s">
        <v>5682</v>
      </c>
      <c r="C148" s="9" t="n">
        <v>38.4</v>
      </c>
      <c r="D148" s="9" t="n">
        <v>74</v>
      </c>
      <c r="E148" s="9" t="n">
        <v>49</v>
      </c>
      <c r="F148" s="9" t="n">
        <v>5</v>
      </c>
      <c r="G148" s="9" t="n">
        <v>7</v>
      </c>
      <c r="H148" s="9" t="n">
        <v>42</v>
      </c>
      <c r="I148" s="9" t="n">
        <f aca="false">MAX(0,'Family Readiness'!J24-G148)</f>
        <v>0</v>
      </c>
      <c r="J148" s="43" t="str">
        <f aca="false">IF(H148&gt;=C148,"PASS","FAIL")</f>
        <v>PASS</v>
      </c>
      <c r="K148" s="21" t="str">
        <f aca="false">IF(I148&gt;=C148,"PASS","HOLD")</f>
        <v>HOLD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customFormat="false" ht="15" hidden="false" customHeight="false" outlineLevel="0" collapsed="false">
      <c r="A149" s="9" t="s">
        <v>1733</v>
      </c>
      <c r="B149" s="9" t="s">
        <v>5683</v>
      </c>
      <c r="C149" s="9" t="n">
        <v>38.4</v>
      </c>
      <c r="D149" s="9" t="n">
        <v>74</v>
      </c>
      <c r="E149" s="9" t="n">
        <v>49</v>
      </c>
      <c r="F149" s="9" t="n">
        <v>6</v>
      </c>
      <c r="G149" s="9" t="n">
        <v>7</v>
      </c>
      <c r="H149" s="9" t="n">
        <v>42</v>
      </c>
      <c r="I149" s="9" t="n">
        <f aca="false">MAX(0,'Family Readiness'!J24-G149)</f>
        <v>0</v>
      </c>
      <c r="J149" s="43" t="str">
        <f aca="false">IF(H149&gt;=C149,"PASS","FAIL")</f>
        <v>PASS</v>
      </c>
      <c r="K149" s="21" t="str">
        <f aca="false">IF(I149&gt;=C149,"PASS","HOLD")</f>
        <v>HOLD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customFormat="false" ht="15" hidden="false" customHeight="false" outlineLevel="0" collapsed="false">
      <c r="A150" s="9" t="s">
        <v>1733</v>
      </c>
      <c r="B150" s="9" t="s">
        <v>5684</v>
      </c>
      <c r="C150" s="9" t="n">
        <v>38.4</v>
      </c>
      <c r="D150" s="9" t="n">
        <v>74</v>
      </c>
      <c r="E150" s="9" t="n">
        <v>49</v>
      </c>
      <c r="F150" s="9" t="n">
        <v>7</v>
      </c>
      <c r="G150" s="9" t="n">
        <v>7</v>
      </c>
      <c r="H150" s="9" t="n">
        <v>42</v>
      </c>
      <c r="I150" s="9" t="n">
        <f aca="false">MAX(0,'Family Readiness'!J24-G150)</f>
        <v>0</v>
      </c>
      <c r="J150" s="43" t="str">
        <f aca="false">IF(H150&gt;=C150,"PASS","FAIL")</f>
        <v>PASS</v>
      </c>
      <c r="K150" s="21" t="str">
        <f aca="false">IF(I150&gt;=C150,"PASS","HOLD")</f>
        <v>HOLD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customFormat="false" ht="15" hidden="false" customHeight="false" outlineLevel="0" collapsed="false">
      <c r="A151" s="9" t="s">
        <v>1810</v>
      </c>
      <c r="B151" s="9" t="s">
        <v>5676</v>
      </c>
      <c r="C151" s="9" t="n">
        <v>44.4</v>
      </c>
      <c r="D151" s="9" t="n">
        <v>86</v>
      </c>
      <c r="E151" s="9" t="n">
        <v>56</v>
      </c>
      <c r="F151" s="9" t="s">
        <v>5677</v>
      </c>
      <c r="G151" s="9" t="n">
        <v>0</v>
      </c>
      <c r="H151" s="9" t="n">
        <v>56</v>
      </c>
      <c r="I151" s="9" t="n">
        <f aca="false">MAX(0,'Family Readiness'!J25-G151)</f>
        <v>0</v>
      </c>
      <c r="J151" s="43" t="str">
        <f aca="false">IF(H151&gt;=C151,"PASS","FAIL")</f>
        <v>PASS</v>
      </c>
      <c r="K151" s="21" t="str">
        <f aca="false">IF(I151&gt;=C151,"PASS","HOLD")</f>
        <v>HOLD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customFormat="false" ht="15" hidden="false" customHeight="false" outlineLevel="0" collapsed="false">
      <c r="A152" s="9" t="s">
        <v>1810</v>
      </c>
      <c r="B152" s="9" t="s">
        <v>5678</v>
      </c>
      <c r="C152" s="9" t="n">
        <v>44.4</v>
      </c>
      <c r="D152" s="9" t="n">
        <v>86</v>
      </c>
      <c r="E152" s="9" t="n">
        <v>56</v>
      </c>
      <c r="F152" s="9" t="n">
        <v>1</v>
      </c>
      <c r="G152" s="9" t="n">
        <v>8</v>
      </c>
      <c r="H152" s="9" t="n">
        <v>48</v>
      </c>
      <c r="I152" s="9" t="n">
        <f aca="false">MAX(0,'Family Readiness'!J25-G152)</f>
        <v>0</v>
      </c>
      <c r="J152" s="43" t="str">
        <f aca="false">IF(H152&gt;=C152,"PASS","FAIL")</f>
        <v>PASS</v>
      </c>
      <c r="K152" s="21" t="str">
        <f aca="false">IF(I152&gt;=C152,"PASS","HOLD")</f>
        <v>HOLD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customFormat="false" ht="15" hidden="false" customHeight="false" outlineLevel="0" collapsed="false">
      <c r="A153" s="9" t="s">
        <v>1810</v>
      </c>
      <c r="B153" s="9" t="s">
        <v>5679</v>
      </c>
      <c r="C153" s="9" t="n">
        <v>44.4</v>
      </c>
      <c r="D153" s="9" t="n">
        <v>86</v>
      </c>
      <c r="E153" s="9" t="n">
        <v>56</v>
      </c>
      <c r="F153" s="9" t="n">
        <v>2</v>
      </c>
      <c r="G153" s="9" t="n">
        <v>8</v>
      </c>
      <c r="H153" s="9" t="n">
        <v>48</v>
      </c>
      <c r="I153" s="9" t="n">
        <f aca="false">MAX(0,'Family Readiness'!J25-G153)</f>
        <v>0</v>
      </c>
      <c r="J153" s="43" t="str">
        <f aca="false">IF(H153&gt;=C153,"PASS","FAIL")</f>
        <v>PASS</v>
      </c>
      <c r="K153" s="21" t="str">
        <f aca="false">IF(I153&gt;=C153,"PASS","HOLD")</f>
        <v>HOLD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customFormat="false" ht="15" hidden="false" customHeight="false" outlineLevel="0" collapsed="false">
      <c r="A154" s="9" t="s">
        <v>1810</v>
      </c>
      <c r="B154" s="9" t="s">
        <v>5680</v>
      </c>
      <c r="C154" s="9" t="n">
        <v>44.4</v>
      </c>
      <c r="D154" s="9" t="n">
        <v>86</v>
      </c>
      <c r="E154" s="9" t="n">
        <v>56</v>
      </c>
      <c r="F154" s="9" t="n">
        <v>3</v>
      </c>
      <c r="G154" s="9" t="n">
        <v>8</v>
      </c>
      <c r="H154" s="9" t="n">
        <v>48</v>
      </c>
      <c r="I154" s="9" t="n">
        <f aca="false">MAX(0,'Family Readiness'!J25-G154)</f>
        <v>0</v>
      </c>
      <c r="J154" s="43" t="str">
        <f aca="false">IF(H154&gt;=C154,"PASS","FAIL")</f>
        <v>PASS</v>
      </c>
      <c r="K154" s="21" t="str">
        <f aca="false">IF(I154&gt;=C154,"PASS","HOLD")</f>
        <v>HOLD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customFormat="false" ht="15" hidden="false" customHeight="false" outlineLevel="0" collapsed="false">
      <c r="A155" s="9" t="s">
        <v>1810</v>
      </c>
      <c r="B155" s="9" t="s">
        <v>5681</v>
      </c>
      <c r="C155" s="9" t="n">
        <v>44.4</v>
      </c>
      <c r="D155" s="9" t="n">
        <v>86</v>
      </c>
      <c r="E155" s="9" t="n">
        <v>56</v>
      </c>
      <c r="F155" s="9" t="n">
        <v>4</v>
      </c>
      <c r="G155" s="9" t="n">
        <v>8</v>
      </c>
      <c r="H155" s="9" t="n">
        <v>48</v>
      </c>
      <c r="I155" s="9" t="n">
        <f aca="false">MAX(0,'Family Readiness'!J25-G155)</f>
        <v>0</v>
      </c>
      <c r="J155" s="43" t="str">
        <f aca="false">IF(H155&gt;=C155,"PASS","FAIL")</f>
        <v>PASS</v>
      </c>
      <c r="K155" s="21" t="str">
        <f aca="false">IF(I155&gt;=C155,"PASS","HOLD")</f>
        <v>HOLD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customFormat="false" ht="15" hidden="false" customHeight="false" outlineLevel="0" collapsed="false">
      <c r="A156" s="9" t="s">
        <v>1810</v>
      </c>
      <c r="B156" s="9" t="s">
        <v>5682</v>
      </c>
      <c r="C156" s="9" t="n">
        <v>44.4</v>
      </c>
      <c r="D156" s="9" t="n">
        <v>86</v>
      </c>
      <c r="E156" s="9" t="n">
        <v>56</v>
      </c>
      <c r="F156" s="9" t="n">
        <v>5</v>
      </c>
      <c r="G156" s="9" t="n">
        <v>8</v>
      </c>
      <c r="H156" s="9" t="n">
        <v>48</v>
      </c>
      <c r="I156" s="9" t="n">
        <f aca="false">MAX(0,'Family Readiness'!J25-G156)</f>
        <v>0</v>
      </c>
      <c r="J156" s="43" t="str">
        <f aca="false">IF(H156&gt;=C156,"PASS","FAIL")</f>
        <v>PASS</v>
      </c>
      <c r="K156" s="21" t="str">
        <f aca="false">IF(I156&gt;=C156,"PASS","HOLD")</f>
        <v>HOLD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customFormat="false" ht="15" hidden="false" customHeight="false" outlineLevel="0" collapsed="false">
      <c r="A157" s="9" t="s">
        <v>1810</v>
      </c>
      <c r="B157" s="9" t="s">
        <v>5683</v>
      </c>
      <c r="C157" s="9" t="n">
        <v>44.4</v>
      </c>
      <c r="D157" s="9" t="n">
        <v>86</v>
      </c>
      <c r="E157" s="9" t="n">
        <v>56</v>
      </c>
      <c r="F157" s="9" t="n">
        <v>6</v>
      </c>
      <c r="G157" s="9" t="n">
        <v>8</v>
      </c>
      <c r="H157" s="9" t="n">
        <v>48</v>
      </c>
      <c r="I157" s="9" t="n">
        <f aca="false">MAX(0,'Family Readiness'!J25-G157)</f>
        <v>0</v>
      </c>
      <c r="J157" s="43" t="str">
        <f aca="false">IF(H157&gt;=C157,"PASS","FAIL")</f>
        <v>PASS</v>
      </c>
      <c r="K157" s="21" t="str">
        <f aca="false">IF(I157&gt;=C157,"PASS","HOLD")</f>
        <v>HOLD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customFormat="false" ht="15" hidden="false" customHeight="false" outlineLevel="0" collapsed="false">
      <c r="A158" s="9" t="s">
        <v>1810</v>
      </c>
      <c r="B158" s="9" t="s">
        <v>5684</v>
      </c>
      <c r="C158" s="9" t="n">
        <v>44.4</v>
      </c>
      <c r="D158" s="9" t="n">
        <v>86</v>
      </c>
      <c r="E158" s="9" t="n">
        <v>56</v>
      </c>
      <c r="F158" s="9" t="n">
        <v>7</v>
      </c>
      <c r="G158" s="9" t="n">
        <v>8</v>
      </c>
      <c r="H158" s="9" t="n">
        <v>48</v>
      </c>
      <c r="I158" s="9" t="n">
        <f aca="false">MAX(0,'Family Readiness'!J25-G158)</f>
        <v>0</v>
      </c>
      <c r="J158" s="43" t="str">
        <f aca="false">IF(H158&gt;=C158,"PASS","FAIL")</f>
        <v>PASS</v>
      </c>
      <c r="K158" s="21" t="str">
        <f aca="false">IF(I158&gt;=C158,"PASS","HOLD")</f>
        <v>HOLD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customFormat="false" ht="15" hidden="false" customHeight="false" outlineLevel="0" collapsed="false">
      <c r="A159" s="9" t="s">
        <v>1898</v>
      </c>
      <c r="B159" s="9" t="s">
        <v>5676</v>
      </c>
      <c r="C159" s="9" t="n">
        <v>34.8</v>
      </c>
      <c r="D159" s="9" t="n">
        <v>67</v>
      </c>
      <c r="E159" s="9" t="n">
        <v>44</v>
      </c>
      <c r="F159" s="9" t="s">
        <v>5677</v>
      </c>
      <c r="G159" s="9" t="n">
        <v>0</v>
      </c>
      <c r="H159" s="9" t="n">
        <v>44</v>
      </c>
      <c r="I159" s="9" t="n">
        <f aca="false">MAX(0,'Family Readiness'!J26-G159)</f>
        <v>0</v>
      </c>
      <c r="J159" s="43" t="str">
        <f aca="false">IF(H159&gt;=C159,"PASS","FAIL")</f>
        <v>PASS</v>
      </c>
      <c r="K159" s="21" t="str">
        <f aca="false">IF(I159&gt;=C159,"PASS","HOLD")</f>
        <v>HOLD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customFormat="false" ht="15" hidden="false" customHeight="false" outlineLevel="0" collapsed="false">
      <c r="A160" s="9" t="s">
        <v>1898</v>
      </c>
      <c r="B160" s="9" t="s">
        <v>5678</v>
      </c>
      <c r="C160" s="9" t="n">
        <v>34.8</v>
      </c>
      <c r="D160" s="9" t="n">
        <v>67</v>
      </c>
      <c r="E160" s="9" t="n">
        <v>44</v>
      </c>
      <c r="F160" s="9" t="n">
        <v>1</v>
      </c>
      <c r="G160" s="9" t="n">
        <v>7</v>
      </c>
      <c r="H160" s="9" t="n">
        <v>37</v>
      </c>
      <c r="I160" s="9" t="n">
        <f aca="false">MAX(0,'Family Readiness'!J26-G160)</f>
        <v>0</v>
      </c>
      <c r="J160" s="43" t="str">
        <f aca="false">IF(H160&gt;=C160,"PASS","FAIL")</f>
        <v>PASS</v>
      </c>
      <c r="K160" s="21" t="str">
        <f aca="false">IF(I160&gt;=C160,"PASS","HOLD")</f>
        <v>HOLD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customFormat="false" ht="15" hidden="false" customHeight="false" outlineLevel="0" collapsed="false">
      <c r="A161" s="9" t="s">
        <v>1898</v>
      </c>
      <c r="B161" s="9" t="s">
        <v>5679</v>
      </c>
      <c r="C161" s="9" t="n">
        <v>34.8</v>
      </c>
      <c r="D161" s="9" t="n">
        <v>67</v>
      </c>
      <c r="E161" s="9" t="n">
        <v>44</v>
      </c>
      <c r="F161" s="9" t="n">
        <v>2</v>
      </c>
      <c r="G161" s="9" t="n">
        <v>7</v>
      </c>
      <c r="H161" s="9" t="n">
        <v>37</v>
      </c>
      <c r="I161" s="9" t="n">
        <f aca="false">MAX(0,'Family Readiness'!J26-G161)</f>
        <v>0</v>
      </c>
      <c r="J161" s="43" t="str">
        <f aca="false">IF(H161&gt;=C161,"PASS","FAIL")</f>
        <v>PASS</v>
      </c>
      <c r="K161" s="21" t="str">
        <f aca="false">IF(I161&gt;=C161,"PASS","HOLD")</f>
        <v>HOLD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customFormat="false" ht="15" hidden="false" customHeight="false" outlineLevel="0" collapsed="false">
      <c r="A162" s="9" t="s">
        <v>1898</v>
      </c>
      <c r="B162" s="9" t="s">
        <v>5680</v>
      </c>
      <c r="C162" s="9" t="n">
        <v>34.8</v>
      </c>
      <c r="D162" s="9" t="n">
        <v>67</v>
      </c>
      <c r="E162" s="9" t="n">
        <v>44</v>
      </c>
      <c r="F162" s="9" t="n">
        <v>3</v>
      </c>
      <c r="G162" s="9" t="n">
        <v>6</v>
      </c>
      <c r="H162" s="9" t="n">
        <v>38</v>
      </c>
      <c r="I162" s="9" t="n">
        <f aca="false">MAX(0,'Family Readiness'!J26-G162)</f>
        <v>0</v>
      </c>
      <c r="J162" s="43" t="str">
        <f aca="false">IF(H162&gt;=C162,"PASS","FAIL")</f>
        <v>PASS</v>
      </c>
      <c r="K162" s="21" t="str">
        <f aca="false">IF(I162&gt;=C162,"PASS","HOLD")</f>
        <v>HOLD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customFormat="false" ht="15" hidden="false" customHeight="false" outlineLevel="0" collapsed="false">
      <c r="A163" s="9" t="s">
        <v>1898</v>
      </c>
      <c r="B163" s="9" t="s">
        <v>5681</v>
      </c>
      <c r="C163" s="9" t="n">
        <v>34.8</v>
      </c>
      <c r="D163" s="9" t="n">
        <v>67</v>
      </c>
      <c r="E163" s="9" t="n">
        <v>44</v>
      </c>
      <c r="F163" s="9" t="n">
        <v>4</v>
      </c>
      <c r="G163" s="9" t="n">
        <v>6</v>
      </c>
      <c r="H163" s="9" t="n">
        <v>38</v>
      </c>
      <c r="I163" s="9" t="n">
        <f aca="false">MAX(0,'Family Readiness'!J26-G163)</f>
        <v>0</v>
      </c>
      <c r="J163" s="43" t="str">
        <f aca="false">IF(H163&gt;=C163,"PASS","FAIL")</f>
        <v>PASS</v>
      </c>
      <c r="K163" s="21" t="str">
        <f aca="false">IF(I163&gt;=C163,"PASS","HOLD")</f>
        <v>HOLD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customFormat="false" ht="15" hidden="false" customHeight="false" outlineLevel="0" collapsed="false">
      <c r="A164" s="9" t="s">
        <v>1898</v>
      </c>
      <c r="B164" s="9" t="s">
        <v>5682</v>
      </c>
      <c r="C164" s="9" t="n">
        <v>34.8</v>
      </c>
      <c r="D164" s="9" t="n">
        <v>67</v>
      </c>
      <c r="E164" s="9" t="n">
        <v>44</v>
      </c>
      <c r="F164" s="9" t="n">
        <v>5</v>
      </c>
      <c r="G164" s="9" t="n">
        <v>6</v>
      </c>
      <c r="H164" s="9" t="n">
        <v>38</v>
      </c>
      <c r="I164" s="9" t="n">
        <f aca="false">MAX(0,'Family Readiness'!J26-G164)</f>
        <v>0</v>
      </c>
      <c r="J164" s="43" t="str">
        <f aca="false">IF(H164&gt;=C164,"PASS","FAIL")</f>
        <v>PASS</v>
      </c>
      <c r="K164" s="21" t="str">
        <f aca="false">IF(I164&gt;=C164,"PASS","HOLD")</f>
        <v>HOLD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customFormat="false" ht="15" hidden="false" customHeight="false" outlineLevel="0" collapsed="false">
      <c r="A165" s="9" t="s">
        <v>1898</v>
      </c>
      <c r="B165" s="9" t="s">
        <v>5683</v>
      </c>
      <c r="C165" s="9" t="n">
        <v>34.8</v>
      </c>
      <c r="D165" s="9" t="n">
        <v>67</v>
      </c>
      <c r="E165" s="9" t="n">
        <v>44</v>
      </c>
      <c r="F165" s="9" t="n">
        <v>6</v>
      </c>
      <c r="G165" s="9" t="n">
        <v>6</v>
      </c>
      <c r="H165" s="9" t="n">
        <v>38</v>
      </c>
      <c r="I165" s="9" t="n">
        <f aca="false">MAX(0,'Family Readiness'!J26-G165)</f>
        <v>0</v>
      </c>
      <c r="J165" s="43" t="str">
        <f aca="false">IF(H165&gt;=C165,"PASS","FAIL")</f>
        <v>PASS</v>
      </c>
      <c r="K165" s="21" t="str">
        <f aca="false">IF(I165&gt;=C165,"PASS","HOLD")</f>
        <v>HOLD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customFormat="false" ht="15" hidden="false" customHeight="false" outlineLevel="0" collapsed="false">
      <c r="A166" s="9" t="s">
        <v>1898</v>
      </c>
      <c r="B166" s="9" t="s">
        <v>5684</v>
      </c>
      <c r="C166" s="9" t="n">
        <v>34.8</v>
      </c>
      <c r="D166" s="9" t="n">
        <v>67</v>
      </c>
      <c r="E166" s="9" t="n">
        <v>44</v>
      </c>
      <c r="F166" s="9" t="n">
        <v>7</v>
      </c>
      <c r="G166" s="9" t="n">
        <v>6</v>
      </c>
      <c r="H166" s="9" t="n">
        <v>38</v>
      </c>
      <c r="I166" s="9" t="n">
        <f aca="false">MAX(0,'Family Readiness'!J26-G166)</f>
        <v>0</v>
      </c>
      <c r="J166" s="43" t="str">
        <f aca="false">IF(H166&gt;=C166,"PASS","FAIL")</f>
        <v>PASS</v>
      </c>
      <c r="K166" s="21" t="str">
        <f aca="false">IF(I166&gt;=C166,"PASS","HOLD")</f>
        <v>HOLD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customFormat="false" ht="15" hidden="false" customHeight="false" outlineLevel="0" collapsed="false">
      <c r="A167" s="9" t="s">
        <v>1967</v>
      </c>
      <c r="B167" s="9" t="s">
        <v>5676</v>
      </c>
      <c r="C167" s="9" t="n">
        <v>28.8</v>
      </c>
      <c r="D167" s="9" t="n">
        <v>56</v>
      </c>
      <c r="E167" s="9" t="n">
        <v>37</v>
      </c>
      <c r="F167" s="9" t="s">
        <v>5677</v>
      </c>
      <c r="G167" s="9" t="n">
        <v>0</v>
      </c>
      <c r="H167" s="9" t="n">
        <v>37</v>
      </c>
      <c r="I167" s="9" t="n">
        <f aca="false">MAX(0,'Family Readiness'!J27-G167)</f>
        <v>0</v>
      </c>
      <c r="J167" s="43" t="str">
        <f aca="false">IF(H167&gt;=C167,"PASS","FAIL")</f>
        <v>PASS</v>
      </c>
      <c r="K167" s="21" t="str">
        <f aca="false">IF(I167&gt;=C167,"PASS","HOLD")</f>
        <v>HOLD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customFormat="false" ht="15" hidden="false" customHeight="false" outlineLevel="0" collapsed="false">
      <c r="A168" s="9" t="s">
        <v>1967</v>
      </c>
      <c r="B168" s="9" t="s">
        <v>5678</v>
      </c>
      <c r="C168" s="9" t="n">
        <v>28.8</v>
      </c>
      <c r="D168" s="9" t="n">
        <v>56</v>
      </c>
      <c r="E168" s="9" t="n">
        <v>37</v>
      </c>
      <c r="F168" s="9" t="n">
        <v>1</v>
      </c>
      <c r="G168" s="9" t="n">
        <v>6</v>
      </c>
      <c r="H168" s="9" t="n">
        <v>31</v>
      </c>
      <c r="I168" s="9" t="n">
        <f aca="false">MAX(0,'Family Readiness'!J27-G168)</f>
        <v>0</v>
      </c>
      <c r="J168" s="43" t="str">
        <f aca="false">IF(H168&gt;=C168,"PASS","FAIL")</f>
        <v>PASS</v>
      </c>
      <c r="K168" s="21" t="str">
        <f aca="false">IF(I168&gt;=C168,"PASS","HOLD")</f>
        <v>HOLD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customFormat="false" ht="15" hidden="false" customHeight="false" outlineLevel="0" collapsed="false">
      <c r="A169" s="9" t="s">
        <v>1967</v>
      </c>
      <c r="B169" s="9" t="s">
        <v>5679</v>
      </c>
      <c r="C169" s="9" t="n">
        <v>28.8</v>
      </c>
      <c r="D169" s="9" t="n">
        <v>56</v>
      </c>
      <c r="E169" s="9" t="n">
        <v>37</v>
      </c>
      <c r="F169" s="9" t="n">
        <v>2</v>
      </c>
      <c r="G169" s="9" t="n">
        <v>6</v>
      </c>
      <c r="H169" s="9" t="n">
        <v>31</v>
      </c>
      <c r="I169" s="9" t="n">
        <f aca="false">MAX(0,'Family Readiness'!J27-G169)</f>
        <v>0</v>
      </c>
      <c r="J169" s="43" t="str">
        <f aca="false">IF(H169&gt;=C169,"PASS","FAIL")</f>
        <v>PASS</v>
      </c>
      <c r="K169" s="21" t="str">
        <f aca="false">IF(I169&gt;=C169,"PASS","HOLD")</f>
        <v>HOLD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customFormat="false" ht="15" hidden="false" customHeight="false" outlineLevel="0" collapsed="false">
      <c r="A170" s="9" t="s">
        <v>1967</v>
      </c>
      <c r="B170" s="9" t="s">
        <v>5680</v>
      </c>
      <c r="C170" s="9" t="n">
        <v>28.8</v>
      </c>
      <c r="D170" s="9" t="n">
        <v>56</v>
      </c>
      <c r="E170" s="9" t="n">
        <v>37</v>
      </c>
      <c r="F170" s="9" t="n">
        <v>3</v>
      </c>
      <c r="G170" s="9" t="n">
        <v>5</v>
      </c>
      <c r="H170" s="9" t="n">
        <v>32</v>
      </c>
      <c r="I170" s="9" t="n">
        <f aca="false">MAX(0,'Family Readiness'!J27-G170)</f>
        <v>0</v>
      </c>
      <c r="J170" s="43" t="str">
        <f aca="false">IF(H170&gt;=C170,"PASS","FAIL")</f>
        <v>PASS</v>
      </c>
      <c r="K170" s="21" t="str">
        <f aca="false">IF(I170&gt;=C170,"PASS","HOLD")</f>
        <v>HOLD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customFormat="false" ht="15" hidden="false" customHeight="false" outlineLevel="0" collapsed="false">
      <c r="A171" s="9" t="s">
        <v>1967</v>
      </c>
      <c r="B171" s="9" t="s">
        <v>5681</v>
      </c>
      <c r="C171" s="9" t="n">
        <v>28.8</v>
      </c>
      <c r="D171" s="9" t="n">
        <v>56</v>
      </c>
      <c r="E171" s="9" t="n">
        <v>37</v>
      </c>
      <c r="F171" s="9" t="n">
        <v>4</v>
      </c>
      <c r="G171" s="9" t="n">
        <v>5</v>
      </c>
      <c r="H171" s="9" t="n">
        <v>32</v>
      </c>
      <c r="I171" s="9" t="n">
        <f aca="false">MAX(0,'Family Readiness'!J27-G171)</f>
        <v>0</v>
      </c>
      <c r="J171" s="43" t="str">
        <f aca="false">IF(H171&gt;=C171,"PASS","FAIL")</f>
        <v>PASS</v>
      </c>
      <c r="K171" s="21" t="str">
        <f aca="false">IF(I171&gt;=C171,"PASS","HOLD")</f>
        <v>HOLD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customFormat="false" ht="15" hidden="false" customHeight="false" outlineLevel="0" collapsed="false">
      <c r="A172" s="9" t="s">
        <v>1967</v>
      </c>
      <c r="B172" s="9" t="s">
        <v>5682</v>
      </c>
      <c r="C172" s="9" t="n">
        <v>28.8</v>
      </c>
      <c r="D172" s="9" t="n">
        <v>56</v>
      </c>
      <c r="E172" s="9" t="n">
        <v>37</v>
      </c>
      <c r="F172" s="9" t="n">
        <v>5</v>
      </c>
      <c r="G172" s="9" t="n">
        <v>5</v>
      </c>
      <c r="H172" s="9" t="n">
        <v>32</v>
      </c>
      <c r="I172" s="9" t="n">
        <f aca="false">MAX(0,'Family Readiness'!J27-G172)</f>
        <v>0</v>
      </c>
      <c r="J172" s="43" t="str">
        <f aca="false">IF(H172&gt;=C172,"PASS","FAIL")</f>
        <v>PASS</v>
      </c>
      <c r="K172" s="21" t="str">
        <f aca="false">IF(I172&gt;=C172,"PASS","HOLD")</f>
        <v>HOLD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customFormat="false" ht="15" hidden="false" customHeight="false" outlineLevel="0" collapsed="false">
      <c r="A173" s="9" t="s">
        <v>1967</v>
      </c>
      <c r="B173" s="9" t="s">
        <v>5683</v>
      </c>
      <c r="C173" s="9" t="n">
        <v>28.8</v>
      </c>
      <c r="D173" s="9" t="n">
        <v>56</v>
      </c>
      <c r="E173" s="9" t="n">
        <v>37</v>
      </c>
      <c r="F173" s="9" t="n">
        <v>6</v>
      </c>
      <c r="G173" s="9" t="n">
        <v>5</v>
      </c>
      <c r="H173" s="9" t="n">
        <v>32</v>
      </c>
      <c r="I173" s="9" t="n">
        <f aca="false">MAX(0,'Family Readiness'!J27-G173)</f>
        <v>0</v>
      </c>
      <c r="J173" s="43" t="str">
        <f aca="false">IF(H173&gt;=C173,"PASS","FAIL")</f>
        <v>PASS</v>
      </c>
      <c r="K173" s="21" t="str">
        <f aca="false">IF(I173&gt;=C173,"PASS","HOLD")</f>
        <v>HOLD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customFormat="false" ht="15" hidden="false" customHeight="false" outlineLevel="0" collapsed="false">
      <c r="A174" s="9" t="s">
        <v>1967</v>
      </c>
      <c r="B174" s="9" t="s">
        <v>5684</v>
      </c>
      <c r="C174" s="9" t="n">
        <v>28.8</v>
      </c>
      <c r="D174" s="9" t="n">
        <v>56</v>
      </c>
      <c r="E174" s="9" t="n">
        <v>37</v>
      </c>
      <c r="F174" s="9" t="n">
        <v>7</v>
      </c>
      <c r="G174" s="9" t="n">
        <v>5</v>
      </c>
      <c r="H174" s="9" t="n">
        <v>32</v>
      </c>
      <c r="I174" s="9" t="n">
        <f aca="false">MAX(0,'Family Readiness'!J27-G174)</f>
        <v>0</v>
      </c>
      <c r="J174" s="43" t="str">
        <f aca="false">IF(H174&gt;=C174,"PASS","FAIL")</f>
        <v>PASS</v>
      </c>
      <c r="K174" s="21" t="str">
        <f aca="false">IF(I174&gt;=C174,"PASS","HOLD")</f>
        <v>HOLD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customFormat="false" ht="15" hidden="false" customHeight="false" outlineLevel="0" collapsed="false">
      <c r="A175" s="9" t="s">
        <v>2025</v>
      </c>
      <c r="B175" s="9" t="s">
        <v>5676</v>
      </c>
      <c r="C175" s="9" t="n">
        <v>33.6</v>
      </c>
      <c r="D175" s="9" t="n">
        <v>65</v>
      </c>
      <c r="E175" s="9" t="n">
        <v>43</v>
      </c>
      <c r="F175" s="9" t="s">
        <v>5677</v>
      </c>
      <c r="G175" s="9" t="n">
        <v>0</v>
      </c>
      <c r="H175" s="9" t="n">
        <v>43</v>
      </c>
      <c r="I175" s="9" t="n">
        <f aca="false">MAX(0,'Family Readiness'!J28-G175)</f>
        <v>0</v>
      </c>
      <c r="J175" s="43" t="str">
        <f aca="false">IF(H175&gt;=C175,"PASS","FAIL")</f>
        <v>PASS</v>
      </c>
      <c r="K175" s="21" t="str">
        <f aca="false">IF(I175&gt;=C175,"PASS","HOLD")</f>
        <v>HOLD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customFormat="false" ht="15" hidden="false" customHeight="false" outlineLevel="0" collapsed="false">
      <c r="A176" s="9" t="s">
        <v>2025</v>
      </c>
      <c r="B176" s="9" t="s">
        <v>5678</v>
      </c>
      <c r="C176" s="9" t="n">
        <v>33.6</v>
      </c>
      <c r="D176" s="9" t="n">
        <v>65</v>
      </c>
      <c r="E176" s="9" t="n">
        <v>43</v>
      </c>
      <c r="F176" s="9" t="n">
        <v>1</v>
      </c>
      <c r="G176" s="9" t="n">
        <v>7</v>
      </c>
      <c r="H176" s="9" t="n">
        <v>36</v>
      </c>
      <c r="I176" s="9" t="n">
        <f aca="false">MAX(0,'Family Readiness'!J28-G176)</f>
        <v>0</v>
      </c>
      <c r="J176" s="43" t="str">
        <f aca="false">IF(H176&gt;=C176,"PASS","FAIL")</f>
        <v>PASS</v>
      </c>
      <c r="K176" s="21" t="str">
        <f aca="false">IF(I176&gt;=C176,"PASS","HOLD")</f>
        <v>HOLD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customFormat="false" ht="15" hidden="false" customHeight="false" outlineLevel="0" collapsed="false">
      <c r="A177" s="9" t="s">
        <v>2025</v>
      </c>
      <c r="B177" s="9" t="s">
        <v>5679</v>
      </c>
      <c r="C177" s="9" t="n">
        <v>33.6</v>
      </c>
      <c r="D177" s="9" t="n">
        <v>65</v>
      </c>
      <c r="E177" s="9" t="n">
        <v>43</v>
      </c>
      <c r="F177" s="9" t="n">
        <v>2</v>
      </c>
      <c r="G177" s="9" t="n">
        <v>6</v>
      </c>
      <c r="H177" s="9" t="n">
        <v>37</v>
      </c>
      <c r="I177" s="9" t="n">
        <f aca="false">MAX(0,'Family Readiness'!J28-G177)</f>
        <v>0</v>
      </c>
      <c r="J177" s="43" t="str">
        <f aca="false">IF(H177&gt;=C177,"PASS","FAIL")</f>
        <v>PASS</v>
      </c>
      <c r="K177" s="21" t="str">
        <f aca="false">IF(I177&gt;=C177,"PASS","HOLD")</f>
        <v>HOLD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customFormat="false" ht="15" hidden="false" customHeight="false" outlineLevel="0" collapsed="false">
      <c r="A178" s="9" t="s">
        <v>2025</v>
      </c>
      <c r="B178" s="9" t="s">
        <v>5680</v>
      </c>
      <c r="C178" s="9" t="n">
        <v>33.6</v>
      </c>
      <c r="D178" s="9" t="n">
        <v>65</v>
      </c>
      <c r="E178" s="9" t="n">
        <v>43</v>
      </c>
      <c r="F178" s="9" t="n">
        <v>3</v>
      </c>
      <c r="G178" s="9" t="n">
        <v>6</v>
      </c>
      <c r="H178" s="9" t="n">
        <v>37</v>
      </c>
      <c r="I178" s="9" t="n">
        <f aca="false">MAX(0,'Family Readiness'!J28-G178)</f>
        <v>0</v>
      </c>
      <c r="J178" s="43" t="str">
        <f aca="false">IF(H178&gt;=C178,"PASS","FAIL")</f>
        <v>PASS</v>
      </c>
      <c r="K178" s="21" t="str">
        <f aca="false">IF(I178&gt;=C178,"PASS","HOLD")</f>
        <v>HOLD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customFormat="false" ht="15" hidden="false" customHeight="false" outlineLevel="0" collapsed="false">
      <c r="A179" s="9" t="s">
        <v>2025</v>
      </c>
      <c r="B179" s="9" t="s">
        <v>5681</v>
      </c>
      <c r="C179" s="9" t="n">
        <v>33.6</v>
      </c>
      <c r="D179" s="9" t="n">
        <v>65</v>
      </c>
      <c r="E179" s="9" t="n">
        <v>43</v>
      </c>
      <c r="F179" s="9" t="n">
        <v>4</v>
      </c>
      <c r="G179" s="9" t="n">
        <v>6</v>
      </c>
      <c r="H179" s="9" t="n">
        <v>37</v>
      </c>
      <c r="I179" s="9" t="n">
        <f aca="false">MAX(0,'Family Readiness'!J28-G179)</f>
        <v>0</v>
      </c>
      <c r="J179" s="43" t="str">
        <f aca="false">IF(H179&gt;=C179,"PASS","FAIL")</f>
        <v>PASS</v>
      </c>
      <c r="K179" s="21" t="str">
        <f aca="false">IF(I179&gt;=C179,"PASS","HOLD")</f>
        <v>HOLD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customFormat="false" ht="15" hidden="false" customHeight="false" outlineLevel="0" collapsed="false">
      <c r="A180" s="9" t="s">
        <v>2025</v>
      </c>
      <c r="B180" s="9" t="s">
        <v>5682</v>
      </c>
      <c r="C180" s="9" t="n">
        <v>33.6</v>
      </c>
      <c r="D180" s="9" t="n">
        <v>65</v>
      </c>
      <c r="E180" s="9" t="n">
        <v>43</v>
      </c>
      <c r="F180" s="9" t="n">
        <v>5</v>
      </c>
      <c r="G180" s="9" t="n">
        <v>6</v>
      </c>
      <c r="H180" s="9" t="n">
        <v>37</v>
      </c>
      <c r="I180" s="9" t="n">
        <f aca="false">MAX(0,'Family Readiness'!J28-G180)</f>
        <v>0</v>
      </c>
      <c r="J180" s="43" t="str">
        <f aca="false">IF(H180&gt;=C180,"PASS","FAIL")</f>
        <v>PASS</v>
      </c>
      <c r="K180" s="21" t="str">
        <f aca="false">IF(I180&gt;=C180,"PASS","HOLD")</f>
        <v>HOLD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customFormat="false" ht="15" hidden="false" customHeight="false" outlineLevel="0" collapsed="false">
      <c r="A181" s="9" t="s">
        <v>2025</v>
      </c>
      <c r="B181" s="9" t="s">
        <v>5683</v>
      </c>
      <c r="C181" s="9" t="n">
        <v>33.6</v>
      </c>
      <c r="D181" s="9" t="n">
        <v>65</v>
      </c>
      <c r="E181" s="9" t="n">
        <v>43</v>
      </c>
      <c r="F181" s="9" t="n">
        <v>6</v>
      </c>
      <c r="G181" s="9" t="n">
        <v>6</v>
      </c>
      <c r="H181" s="9" t="n">
        <v>37</v>
      </c>
      <c r="I181" s="9" t="n">
        <f aca="false">MAX(0,'Family Readiness'!J28-G181)</f>
        <v>0</v>
      </c>
      <c r="J181" s="43" t="str">
        <f aca="false">IF(H181&gt;=C181,"PASS","FAIL")</f>
        <v>PASS</v>
      </c>
      <c r="K181" s="21" t="str">
        <f aca="false">IF(I181&gt;=C181,"PASS","HOLD")</f>
        <v>HOLD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customFormat="false" ht="15" hidden="false" customHeight="false" outlineLevel="0" collapsed="false">
      <c r="A182" s="9" t="s">
        <v>2025</v>
      </c>
      <c r="B182" s="9" t="s">
        <v>5684</v>
      </c>
      <c r="C182" s="9" t="n">
        <v>33.6</v>
      </c>
      <c r="D182" s="9" t="n">
        <v>65</v>
      </c>
      <c r="E182" s="9" t="n">
        <v>43</v>
      </c>
      <c r="F182" s="9" t="n">
        <v>7</v>
      </c>
      <c r="G182" s="9" t="n">
        <v>6</v>
      </c>
      <c r="H182" s="9" t="n">
        <v>37</v>
      </c>
      <c r="I182" s="9" t="n">
        <f aca="false">MAX(0,'Family Readiness'!J28-G182)</f>
        <v>0</v>
      </c>
      <c r="J182" s="43" t="str">
        <f aca="false">IF(H182&gt;=C182,"PASS","FAIL")</f>
        <v>PASS</v>
      </c>
      <c r="K182" s="21" t="str">
        <f aca="false">IF(I182&gt;=C182,"PASS","HOLD")</f>
        <v>HOLD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customFormat="false" ht="15" hidden="false" customHeight="false" outlineLevel="0" collapsed="false">
      <c r="A183" s="9" t="s">
        <v>2093</v>
      </c>
      <c r="B183" s="9" t="s">
        <v>5676</v>
      </c>
      <c r="C183" s="9" t="n">
        <v>45.6</v>
      </c>
      <c r="D183" s="9" t="n">
        <v>88</v>
      </c>
      <c r="E183" s="9" t="n">
        <v>58</v>
      </c>
      <c r="F183" s="9" t="s">
        <v>5677</v>
      </c>
      <c r="G183" s="9" t="n">
        <v>0</v>
      </c>
      <c r="H183" s="9" t="n">
        <v>58</v>
      </c>
      <c r="I183" s="9" t="n">
        <f aca="false">MAX(0,'Family Readiness'!J29-G183)</f>
        <v>0</v>
      </c>
      <c r="J183" s="43" t="str">
        <f aca="false">IF(H183&gt;=C183,"PASS","FAIL")</f>
        <v>PASS</v>
      </c>
      <c r="K183" s="21" t="str">
        <f aca="false">IF(I183&gt;=C183,"PASS","HOLD")</f>
        <v>HOLD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customFormat="false" ht="15" hidden="false" customHeight="false" outlineLevel="0" collapsed="false">
      <c r="A184" s="9" t="s">
        <v>2093</v>
      </c>
      <c r="B184" s="9" t="s">
        <v>5678</v>
      </c>
      <c r="C184" s="9" t="n">
        <v>45.6</v>
      </c>
      <c r="D184" s="9" t="n">
        <v>88</v>
      </c>
      <c r="E184" s="9" t="n">
        <v>58</v>
      </c>
      <c r="F184" s="9" t="n">
        <v>1</v>
      </c>
      <c r="G184" s="9" t="n">
        <v>9</v>
      </c>
      <c r="H184" s="9" t="n">
        <v>49</v>
      </c>
      <c r="I184" s="9" t="n">
        <f aca="false">MAX(0,'Family Readiness'!J29-G184)</f>
        <v>0</v>
      </c>
      <c r="J184" s="43" t="str">
        <f aca="false">IF(H184&gt;=C184,"PASS","FAIL")</f>
        <v>PASS</v>
      </c>
      <c r="K184" s="21" t="str">
        <f aca="false">IF(I184&gt;=C184,"PASS","HOLD")</f>
        <v>HOLD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customFormat="false" ht="15" hidden="false" customHeight="false" outlineLevel="0" collapsed="false">
      <c r="A185" s="9" t="s">
        <v>2093</v>
      </c>
      <c r="B185" s="9" t="s">
        <v>5679</v>
      </c>
      <c r="C185" s="9" t="n">
        <v>45.6</v>
      </c>
      <c r="D185" s="9" t="n">
        <v>88</v>
      </c>
      <c r="E185" s="9" t="n">
        <v>58</v>
      </c>
      <c r="F185" s="9" t="n">
        <v>2</v>
      </c>
      <c r="G185" s="9" t="n">
        <v>9</v>
      </c>
      <c r="H185" s="9" t="n">
        <v>49</v>
      </c>
      <c r="I185" s="9" t="n">
        <f aca="false">MAX(0,'Family Readiness'!J29-G185)</f>
        <v>0</v>
      </c>
      <c r="J185" s="43" t="str">
        <f aca="false">IF(H185&gt;=C185,"PASS","FAIL")</f>
        <v>PASS</v>
      </c>
      <c r="K185" s="21" t="str">
        <f aca="false">IF(I185&gt;=C185,"PASS","HOLD")</f>
        <v>HOLD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customFormat="false" ht="15" hidden="false" customHeight="false" outlineLevel="0" collapsed="false">
      <c r="A186" s="9" t="s">
        <v>2093</v>
      </c>
      <c r="B186" s="9" t="s">
        <v>5680</v>
      </c>
      <c r="C186" s="9" t="n">
        <v>45.6</v>
      </c>
      <c r="D186" s="9" t="n">
        <v>88</v>
      </c>
      <c r="E186" s="9" t="n">
        <v>58</v>
      </c>
      <c r="F186" s="9" t="n">
        <v>3</v>
      </c>
      <c r="G186" s="9" t="n">
        <v>8</v>
      </c>
      <c r="H186" s="9" t="n">
        <v>50</v>
      </c>
      <c r="I186" s="9" t="n">
        <f aca="false">MAX(0,'Family Readiness'!J29-G186)</f>
        <v>0</v>
      </c>
      <c r="J186" s="43" t="str">
        <f aca="false">IF(H186&gt;=C186,"PASS","FAIL")</f>
        <v>PASS</v>
      </c>
      <c r="K186" s="21" t="str">
        <f aca="false">IF(I186&gt;=C186,"PASS","HOLD")</f>
        <v>HOLD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customFormat="false" ht="15" hidden="false" customHeight="false" outlineLevel="0" collapsed="false">
      <c r="A187" s="9" t="s">
        <v>2093</v>
      </c>
      <c r="B187" s="9" t="s">
        <v>5681</v>
      </c>
      <c r="C187" s="9" t="n">
        <v>45.6</v>
      </c>
      <c r="D187" s="9" t="n">
        <v>88</v>
      </c>
      <c r="E187" s="9" t="n">
        <v>58</v>
      </c>
      <c r="F187" s="9" t="n">
        <v>4</v>
      </c>
      <c r="G187" s="9" t="n">
        <v>8</v>
      </c>
      <c r="H187" s="9" t="n">
        <v>50</v>
      </c>
      <c r="I187" s="9" t="n">
        <f aca="false">MAX(0,'Family Readiness'!J29-G187)</f>
        <v>0</v>
      </c>
      <c r="J187" s="43" t="str">
        <f aca="false">IF(H187&gt;=C187,"PASS","FAIL")</f>
        <v>PASS</v>
      </c>
      <c r="K187" s="21" t="str">
        <f aca="false">IF(I187&gt;=C187,"PASS","HOLD")</f>
        <v>HOLD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customFormat="false" ht="15" hidden="false" customHeight="false" outlineLevel="0" collapsed="false">
      <c r="A188" s="9" t="s">
        <v>2093</v>
      </c>
      <c r="B188" s="9" t="s">
        <v>5682</v>
      </c>
      <c r="C188" s="9" t="n">
        <v>45.6</v>
      </c>
      <c r="D188" s="9" t="n">
        <v>88</v>
      </c>
      <c r="E188" s="9" t="n">
        <v>58</v>
      </c>
      <c r="F188" s="9" t="n">
        <v>5</v>
      </c>
      <c r="G188" s="9" t="n">
        <v>8</v>
      </c>
      <c r="H188" s="9" t="n">
        <v>50</v>
      </c>
      <c r="I188" s="9" t="n">
        <f aca="false">MAX(0,'Family Readiness'!J29-G188)</f>
        <v>0</v>
      </c>
      <c r="J188" s="43" t="str">
        <f aca="false">IF(H188&gt;=C188,"PASS","FAIL")</f>
        <v>PASS</v>
      </c>
      <c r="K188" s="21" t="str">
        <f aca="false">IF(I188&gt;=C188,"PASS","HOLD")</f>
        <v>HOLD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customFormat="false" ht="15" hidden="false" customHeight="false" outlineLevel="0" collapsed="false">
      <c r="A189" s="9" t="s">
        <v>2093</v>
      </c>
      <c r="B189" s="9" t="s">
        <v>5683</v>
      </c>
      <c r="C189" s="9" t="n">
        <v>45.6</v>
      </c>
      <c r="D189" s="9" t="n">
        <v>88</v>
      </c>
      <c r="E189" s="9" t="n">
        <v>58</v>
      </c>
      <c r="F189" s="9" t="n">
        <v>6</v>
      </c>
      <c r="G189" s="9" t="n">
        <v>8</v>
      </c>
      <c r="H189" s="9" t="n">
        <v>50</v>
      </c>
      <c r="I189" s="9" t="n">
        <f aca="false">MAX(0,'Family Readiness'!J29-G189)</f>
        <v>0</v>
      </c>
      <c r="J189" s="43" t="str">
        <f aca="false">IF(H189&gt;=C189,"PASS","FAIL")</f>
        <v>PASS</v>
      </c>
      <c r="K189" s="21" t="str">
        <f aca="false">IF(I189&gt;=C189,"PASS","HOLD")</f>
        <v>HOLD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customFormat="false" ht="15" hidden="false" customHeight="false" outlineLevel="0" collapsed="false">
      <c r="A190" s="9" t="s">
        <v>2093</v>
      </c>
      <c r="B190" s="9" t="s">
        <v>5684</v>
      </c>
      <c r="C190" s="9" t="n">
        <v>45.6</v>
      </c>
      <c r="D190" s="9" t="n">
        <v>88</v>
      </c>
      <c r="E190" s="9" t="n">
        <v>58</v>
      </c>
      <c r="F190" s="9" t="n">
        <v>7</v>
      </c>
      <c r="G190" s="9" t="n">
        <v>8</v>
      </c>
      <c r="H190" s="9" t="n">
        <v>50</v>
      </c>
      <c r="I190" s="9" t="n">
        <f aca="false">MAX(0,'Family Readiness'!J29-G190)</f>
        <v>0</v>
      </c>
      <c r="J190" s="43" t="str">
        <f aca="false">IF(H190&gt;=C190,"PASS","FAIL")</f>
        <v>PASS</v>
      </c>
      <c r="K190" s="21" t="str">
        <f aca="false">IF(I190&gt;=C190,"PASS","HOLD")</f>
        <v>HOLD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customFormat="false" ht="15" hidden="false" customHeight="false" outlineLevel="0" collapsed="false">
      <c r="A191" s="9" t="s">
        <v>2183</v>
      </c>
      <c r="B191" s="9" t="s">
        <v>5676</v>
      </c>
      <c r="C191" s="9" t="n">
        <v>64.8</v>
      </c>
      <c r="D191" s="9" t="n">
        <v>116</v>
      </c>
      <c r="E191" s="9" t="n">
        <v>82</v>
      </c>
      <c r="F191" s="9" t="s">
        <v>5677</v>
      </c>
      <c r="G191" s="9" t="n">
        <v>0</v>
      </c>
      <c r="H191" s="9" t="n">
        <v>82</v>
      </c>
      <c r="I191" s="9" t="n">
        <f aca="false">MAX(0,'Family Readiness'!J30-G191)</f>
        <v>0</v>
      </c>
      <c r="J191" s="43" t="str">
        <f aca="false">IF(H191&gt;=C191,"PASS","FAIL")</f>
        <v>PASS</v>
      </c>
      <c r="K191" s="21" t="str">
        <f aca="false">IF(I191&gt;=C191,"PASS","HOLD")</f>
        <v>HOLD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customFormat="false" ht="15" hidden="false" customHeight="false" outlineLevel="0" collapsed="false">
      <c r="A192" s="9" t="s">
        <v>2183</v>
      </c>
      <c r="B192" s="9" t="s">
        <v>5678</v>
      </c>
      <c r="C192" s="9" t="n">
        <v>64.8</v>
      </c>
      <c r="D192" s="9" t="n">
        <v>116</v>
      </c>
      <c r="E192" s="9" t="n">
        <v>82</v>
      </c>
      <c r="F192" s="9" t="n">
        <v>1</v>
      </c>
      <c r="G192" s="9" t="n">
        <v>12</v>
      </c>
      <c r="H192" s="9" t="n">
        <v>70</v>
      </c>
      <c r="I192" s="9" t="n">
        <f aca="false">MAX(0,'Family Readiness'!J30-G192)</f>
        <v>0</v>
      </c>
      <c r="J192" s="43" t="str">
        <f aca="false">IF(H192&gt;=C192,"PASS","FAIL")</f>
        <v>PASS</v>
      </c>
      <c r="K192" s="21" t="str">
        <f aca="false">IF(I192&gt;=C192,"PASS","HOLD")</f>
        <v>HOLD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customFormat="false" ht="15" hidden="false" customHeight="false" outlineLevel="0" collapsed="false">
      <c r="A193" s="9" t="s">
        <v>2183</v>
      </c>
      <c r="B193" s="9" t="s">
        <v>5679</v>
      </c>
      <c r="C193" s="9" t="n">
        <v>64.8</v>
      </c>
      <c r="D193" s="9" t="n">
        <v>116</v>
      </c>
      <c r="E193" s="9" t="n">
        <v>82</v>
      </c>
      <c r="F193" s="9" t="n">
        <v>2</v>
      </c>
      <c r="G193" s="9" t="n">
        <v>12</v>
      </c>
      <c r="H193" s="9" t="n">
        <v>70</v>
      </c>
      <c r="I193" s="9" t="n">
        <f aca="false">MAX(0,'Family Readiness'!J30-G193)</f>
        <v>0</v>
      </c>
      <c r="J193" s="43" t="str">
        <f aca="false">IF(H193&gt;=C193,"PASS","FAIL")</f>
        <v>PASS</v>
      </c>
      <c r="K193" s="21" t="str">
        <f aca="false">IF(I193&gt;=C193,"PASS","HOLD")</f>
        <v>HOLD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customFormat="false" ht="15" hidden="false" customHeight="false" outlineLevel="0" collapsed="false">
      <c r="A194" s="9" t="s">
        <v>2183</v>
      </c>
      <c r="B194" s="9" t="s">
        <v>5680</v>
      </c>
      <c r="C194" s="9" t="n">
        <v>64.8</v>
      </c>
      <c r="D194" s="9" t="n">
        <v>116</v>
      </c>
      <c r="E194" s="9" t="n">
        <v>82</v>
      </c>
      <c r="F194" s="9" t="n">
        <v>3</v>
      </c>
      <c r="G194" s="9" t="n">
        <v>12</v>
      </c>
      <c r="H194" s="9" t="n">
        <v>70</v>
      </c>
      <c r="I194" s="9" t="n">
        <f aca="false">MAX(0,'Family Readiness'!J30-G194)</f>
        <v>0</v>
      </c>
      <c r="J194" s="43" t="str">
        <f aca="false">IF(H194&gt;=C194,"PASS","FAIL")</f>
        <v>PASS</v>
      </c>
      <c r="K194" s="21" t="str">
        <f aca="false">IF(I194&gt;=C194,"PASS","HOLD")</f>
        <v>HOLD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customFormat="false" ht="15" hidden="false" customHeight="false" outlineLevel="0" collapsed="false">
      <c r="A195" s="9" t="s">
        <v>2183</v>
      </c>
      <c r="B195" s="9" t="s">
        <v>5681</v>
      </c>
      <c r="C195" s="9" t="n">
        <v>64.8</v>
      </c>
      <c r="D195" s="9" t="n">
        <v>116</v>
      </c>
      <c r="E195" s="9" t="n">
        <v>82</v>
      </c>
      <c r="F195" s="9" t="n">
        <v>4</v>
      </c>
      <c r="G195" s="9" t="n">
        <v>12</v>
      </c>
      <c r="H195" s="9" t="n">
        <v>70</v>
      </c>
      <c r="I195" s="9" t="n">
        <f aca="false">MAX(0,'Family Readiness'!J30-G195)</f>
        <v>0</v>
      </c>
      <c r="J195" s="43" t="str">
        <f aca="false">IF(H195&gt;=C195,"PASS","FAIL")</f>
        <v>PASS</v>
      </c>
      <c r="K195" s="21" t="str">
        <f aca="false">IF(I195&gt;=C195,"PASS","HOLD")</f>
        <v>HOLD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customFormat="false" ht="15" hidden="false" customHeight="false" outlineLevel="0" collapsed="false">
      <c r="A196" s="9" t="s">
        <v>2183</v>
      </c>
      <c r="B196" s="9" t="s">
        <v>5682</v>
      </c>
      <c r="C196" s="9" t="n">
        <v>64.8</v>
      </c>
      <c r="D196" s="9" t="n">
        <v>116</v>
      </c>
      <c r="E196" s="9" t="n">
        <v>82</v>
      </c>
      <c r="F196" s="9" t="n">
        <v>5</v>
      </c>
      <c r="G196" s="9" t="n">
        <v>12</v>
      </c>
      <c r="H196" s="9" t="n">
        <v>70</v>
      </c>
      <c r="I196" s="9" t="n">
        <f aca="false">MAX(0,'Family Readiness'!J30-G196)</f>
        <v>0</v>
      </c>
      <c r="J196" s="43" t="str">
        <f aca="false">IF(H196&gt;=C196,"PASS","FAIL")</f>
        <v>PASS</v>
      </c>
      <c r="K196" s="21" t="str">
        <f aca="false">IF(I196&gt;=C196,"PASS","HOLD")</f>
        <v>HOLD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customFormat="false" ht="15" hidden="false" customHeight="false" outlineLevel="0" collapsed="false">
      <c r="A197" s="9" t="s">
        <v>2183</v>
      </c>
      <c r="B197" s="9" t="s">
        <v>5683</v>
      </c>
      <c r="C197" s="9" t="n">
        <v>64.8</v>
      </c>
      <c r="D197" s="9" t="n">
        <v>116</v>
      </c>
      <c r="E197" s="9" t="n">
        <v>82</v>
      </c>
      <c r="F197" s="9" t="n">
        <v>6</v>
      </c>
      <c r="G197" s="9" t="n">
        <v>11</v>
      </c>
      <c r="H197" s="9" t="n">
        <v>71</v>
      </c>
      <c r="I197" s="9" t="n">
        <f aca="false">MAX(0,'Family Readiness'!J30-G197)</f>
        <v>0</v>
      </c>
      <c r="J197" s="43" t="str">
        <f aca="false">IF(H197&gt;=C197,"PASS","FAIL")</f>
        <v>PASS</v>
      </c>
      <c r="K197" s="21" t="str">
        <f aca="false">IF(I197&gt;=C197,"PASS","HOLD")</f>
        <v>HOLD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customFormat="false" ht="15" hidden="false" customHeight="false" outlineLevel="0" collapsed="false">
      <c r="A198" s="9" t="s">
        <v>2183</v>
      </c>
      <c r="B198" s="9" t="s">
        <v>5684</v>
      </c>
      <c r="C198" s="9" t="n">
        <v>64.8</v>
      </c>
      <c r="D198" s="9" t="n">
        <v>116</v>
      </c>
      <c r="E198" s="9" t="n">
        <v>82</v>
      </c>
      <c r="F198" s="9" t="n">
        <v>7</v>
      </c>
      <c r="G198" s="9" t="n">
        <v>11</v>
      </c>
      <c r="H198" s="9" t="n">
        <v>71</v>
      </c>
      <c r="I198" s="9" t="n">
        <f aca="false">MAX(0,'Family Readiness'!J30-G198)</f>
        <v>0</v>
      </c>
      <c r="J198" s="43" t="str">
        <f aca="false">IF(H198&gt;=C198,"PASS","FAIL")</f>
        <v>PASS</v>
      </c>
      <c r="K198" s="21" t="str">
        <f aca="false">IF(I198&gt;=C198,"PASS","HOLD")</f>
        <v>HOLD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customFormat="false" ht="15" hidden="false" customHeight="false" outlineLevel="0" collapsed="false">
      <c r="A199" s="9" t="s">
        <v>2302</v>
      </c>
      <c r="B199" s="9" t="s">
        <v>5676</v>
      </c>
      <c r="C199" s="9" t="n">
        <v>75.6</v>
      </c>
      <c r="D199" s="9" t="n">
        <v>135</v>
      </c>
      <c r="E199" s="9" t="n">
        <v>95</v>
      </c>
      <c r="F199" s="9" t="s">
        <v>5677</v>
      </c>
      <c r="G199" s="9" t="n">
        <v>0</v>
      </c>
      <c r="H199" s="9" t="n">
        <v>95</v>
      </c>
      <c r="I199" s="9" t="n">
        <f aca="false">MAX(0,'Family Readiness'!J31-G199)</f>
        <v>0</v>
      </c>
      <c r="J199" s="43" t="str">
        <f aca="false">IF(H199&gt;=C199,"PASS","FAIL")</f>
        <v>PASS</v>
      </c>
      <c r="K199" s="21" t="str">
        <f aca="false">IF(I199&gt;=C199,"PASS","HOLD")</f>
        <v>HOLD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customFormat="false" ht="15" hidden="false" customHeight="false" outlineLevel="0" collapsed="false">
      <c r="A200" s="9" t="s">
        <v>2302</v>
      </c>
      <c r="B200" s="9" t="s">
        <v>5678</v>
      </c>
      <c r="C200" s="9" t="n">
        <v>75.6</v>
      </c>
      <c r="D200" s="9" t="n">
        <v>135</v>
      </c>
      <c r="E200" s="9" t="n">
        <v>95</v>
      </c>
      <c r="F200" s="9" t="n">
        <v>1</v>
      </c>
      <c r="G200" s="9" t="n">
        <v>14</v>
      </c>
      <c r="H200" s="9" t="n">
        <v>81</v>
      </c>
      <c r="I200" s="9" t="n">
        <f aca="false">MAX(0,'Family Readiness'!J31-G200)</f>
        <v>0</v>
      </c>
      <c r="J200" s="43" t="str">
        <f aca="false">IF(H200&gt;=C200,"PASS","FAIL")</f>
        <v>PASS</v>
      </c>
      <c r="K200" s="21" t="str">
        <f aca="false">IF(I200&gt;=C200,"PASS","HOLD")</f>
        <v>HOLD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customFormat="false" ht="15" hidden="false" customHeight="false" outlineLevel="0" collapsed="false">
      <c r="A201" s="9" t="s">
        <v>2302</v>
      </c>
      <c r="B201" s="9" t="s">
        <v>5679</v>
      </c>
      <c r="C201" s="9" t="n">
        <v>75.6</v>
      </c>
      <c r="D201" s="9" t="n">
        <v>135</v>
      </c>
      <c r="E201" s="9" t="n">
        <v>95</v>
      </c>
      <c r="F201" s="9" t="n">
        <v>2</v>
      </c>
      <c r="G201" s="9" t="n">
        <v>14</v>
      </c>
      <c r="H201" s="9" t="n">
        <v>81</v>
      </c>
      <c r="I201" s="9" t="n">
        <f aca="false">MAX(0,'Family Readiness'!J31-G201)</f>
        <v>0</v>
      </c>
      <c r="J201" s="43" t="str">
        <f aca="false">IF(H201&gt;=C201,"PASS","FAIL")</f>
        <v>PASS</v>
      </c>
      <c r="K201" s="21" t="str">
        <f aca="false">IF(I201&gt;=C201,"PASS","HOLD")</f>
        <v>HOLD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customFormat="false" ht="15" hidden="false" customHeight="false" outlineLevel="0" collapsed="false">
      <c r="A202" s="9" t="s">
        <v>2302</v>
      </c>
      <c r="B202" s="9" t="s">
        <v>5680</v>
      </c>
      <c r="C202" s="9" t="n">
        <v>75.6</v>
      </c>
      <c r="D202" s="9" t="n">
        <v>135</v>
      </c>
      <c r="E202" s="9" t="n">
        <v>95</v>
      </c>
      <c r="F202" s="9" t="n">
        <v>3</v>
      </c>
      <c r="G202" s="9" t="n">
        <v>14</v>
      </c>
      <c r="H202" s="9" t="n">
        <v>81</v>
      </c>
      <c r="I202" s="9" t="n">
        <f aca="false">MAX(0,'Family Readiness'!J31-G202)</f>
        <v>0</v>
      </c>
      <c r="J202" s="43" t="str">
        <f aca="false">IF(H202&gt;=C202,"PASS","FAIL")</f>
        <v>PASS</v>
      </c>
      <c r="K202" s="21" t="str">
        <f aca="false">IF(I202&gt;=C202,"PASS","HOLD")</f>
        <v>HOLD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customFormat="false" ht="15" hidden="false" customHeight="false" outlineLevel="0" collapsed="false">
      <c r="A203" s="9" t="s">
        <v>2302</v>
      </c>
      <c r="B203" s="9" t="s">
        <v>5681</v>
      </c>
      <c r="C203" s="9" t="n">
        <v>75.6</v>
      </c>
      <c r="D203" s="9" t="n">
        <v>135</v>
      </c>
      <c r="E203" s="9" t="n">
        <v>95</v>
      </c>
      <c r="F203" s="9" t="n">
        <v>4</v>
      </c>
      <c r="G203" s="9" t="n">
        <v>14</v>
      </c>
      <c r="H203" s="9" t="n">
        <v>81</v>
      </c>
      <c r="I203" s="9" t="n">
        <f aca="false">MAX(0,'Family Readiness'!J31-G203)</f>
        <v>0</v>
      </c>
      <c r="J203" s="43" t="str">
        <f aca="false">IF(H203&gt;=C203,"PASS","FAIL")</f>
        <v>PASS</v>
      </c>
      <c r="K203" s="21" t="str">
        <f aca="false">IF(I203&gt;=C203,"PASS","HOLD")</f>
        <v>HOLD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customFormat="false" ht="15" hidden="false" customHeight="false" outlineLevel="0" collapsed="false">
      <c r="A204" s="9" t="s">
        <v>2302</v>
      </c>
      <c r="B204" s="9" t="s">
        <v>5682</v>
      </c>
      <c r="C204" s="9" t="n">
        <v>75.6</v>
      </c>
      <c r="D204" s="9" t="n">
        <v>135</v>
      </c>
      <c r="E204" s="9" t="n">
        <v>95</v>
      </c>
      <c r="F204" s="9" t="n">
        <v>5</v>
      </c>
      <c r="G204" s="9" t="n">
        <v>13</v>
      </c>
      <c r="H204" s="9" t="n">
        <v>82</v>
      </c>
      <c r="I204" s="9" t="n">
        <f aca="false">MAX(0,'Family Readiness'!J31-G204)</f>
        <v>0</v>
      </c>
      <c r="J204" s="43" t="str">
        <f aca="false">IF(H204&gt;=C204,"PASS","FAIL")</f>
        <v>PASS</v>
      </c>
      <c r="K204" s="21" t="str">
        <f aca="false">IF(I204&gt;=C204,"PASS","HOLD")</f>
        <v>HOLD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customFormat="false" ht="15" hidden="false" customHeight="false" outlineLevel="0" collapsed="false">
      <c r="A205" s="9" t="s">
        <v>2302</v>
      </c>
      <c r="B205" s="9" t="s">
        <v>5683</v>
      </c>
      <c r="C205" s="9" t="n">
        <v>75.6</v>
      </c>
      <c r="D205" s="9" t="n">
        <v>135</v>
      </c>
      <c r="E205" s="9" t="n">
        <v>95</v>
      </c>
      <c r="F205" s="9" t="n">
        <v>6</v>
      </c>
      <c r="G205" s="9" t="n">
        <v>13</v>
      </c>
      <c r="H205" s="9" t="n">
        <v>82</v>
      </c>
      <c r="I205" s="9" t="n">
        <f aca="false">MAX(0,'Family Readiness'!J31-G205)</f>
        <v>0</v>
      </c>
      <c r="J205" s="43" t="str">
        <f aca="false">IF(H205&gt;=C205,"PASS","FAIL")</f>
        <v>PASS</v>
      </c>
      <c r="K205" s="21" t="str">
        <f aca="false">IF(I205&gt;=C205,"PASS","HOLD")</f>
        <v>HOLD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customFormat="false" ht="15" hidden="false" customHeight="false" outlineLevel="0" collapsed="false">
      <c r="A206" s="9" t="s">
        <v>2302</v>
      </c>
      <c r="B206" s="9" t="s">
        <v>5684</v>
      </c>
      <c r="C206" s="9" t="n">
        <v>75.6</v>
      </c>
      <c r="D206" s="9" t="n">
        <v>135</v>
      </c>
      <c r="E206" s="9" t="n">
        <v>95</v>
      </c>
      <c r="F206" s="9" t="n">
        <v>7</v>
      </c>
      <c r="G206" s="9" t="n">
        <v>13</v>
      </c>
      <c r="H206" s="9" t="n">
        <v>82</v>
      </c>
      <c r="I206" s="9" t="n">
        <f aca="false">MAX(0,'Family Readiness'!J31-G206)</f>
        <v>0</v>
      </c>
      <c r="J206" s="43" t="str">
        <f aca="false">IF(H206&gt;=C206,"PASS","FAIL")</f>
        <v>PASS</v>
      </c>
      <c r="K206" s="21" t="str">
        <f aca="false">IF(I206&gt;=C206,"PASS","HOLD")</f>
        <v>HOLD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customFormat="false" ht="15" hidden="false" customHeight="false" outlineLevel="0" collapsed="false">
      <c r="A207" s="9" t="s">
        <v>2439</v>
      </c>
      <c r="B207" s="9" t="s">
        <v>5676</v>
      </c>
      <c r="C207" s="9" t="n">
        <v>57.6</v>
      </c>
      <c r="D207" s="9" t="n">
        <v>103</v>
      </c>
      <c r="E207" s="9" t="n">
        <v>73</v>
      </c>
      <c r="F207" s="9" t="s">
        <v>5677</v>
      </c>
      <c r="G207" s="9" t="n">
        <v>0</v>
      </c>
      <c r="H207" s="9" t="n">
        <v>73</v>
      </c>
      <c r="I207" s="9" t="n">
        <f aca="false">MAX(0,'Family Readiness'!J32-G207)</f>
        <v>0</v>
      </c>
      <c r="J207" s="43" t="str">
        <f aca="false">IF(H207&gt;=C207,"PASS","FAIL")</f>
        <v>PASS</v>
      </c>
      <c r="K207" s="21" t="str">
        <f aca="false">IF(I207&gt;=C207,"PASS","HOLD")</f>
        <v>HOLD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customFormat="false" ht="15" hidden="false" customHeight="false" outlineLevel="0" collapsed="false">
      <c r="A208" s="9" t="s">
        <v>2439</v>
      </c>
      <c r="B208" s="9" t="s">
        <v>5678</v>
      </c>
      <c r="C208" s="9" t="n">
        <v>57.6</v>
      </c>
      <c r="D208" s="9" t="n">
        <v>103</v>
      </c>
      <c r="E208" s="9" t="n">
        <v>73</v>
      </c>
      <c r="F208" s="9" t="n">
        <v>1</v>
      </c>
      <c r="G208" s="9" t="n">
        <v>11</v>
      </c>
      <c r="H208" s="9" t="n">
        <v>62</v>
      </c>
      <c r="I208" s="9" t="n">
        <f aca="false">MAX(0,'Family Readiness'!J32-G208)</f>
        <v>0</v>
      </c>
      <c r="J208" s="43" t="str">
        <f aca="false">IF(H208&gt;=C208,"PASS","FAIL")</f>
        <v>PASS</v>
      </c>
      <c r="K208" s="21" t="str">
        <f aca="false">IF(I208&gt;=C208,"PASS","HOLD")</f>
        <v>HOLD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customFormat="false" ht="15" hidden="false" customHeight="false" outlineLevel="0" collapsed="false">
      <c r="A209" s="9" t="s">
        <v>2439</v>
      </c>
      <c r="B209" s="9" t="s">
        <v>5679</v>
      </c>
      <c r="C209" s="9" t="n">
        <v>57.6</v>
      </c>
      <c r="D209" s="9" t="n">
        <v>103</v>
      </c>
      <c r="E209" s="9" t="n">
        <v>73</v>
      </c>
      <c r="F209" s="9" t="n">
        <v>2</v>
      </c>
      <c r="G209" s="9" t="n">
        <v>11</v>
      </c>
      <c r="H209" s="9" t="n">
        <v>62</v>
      </c>
      <c r="I209" s="9" t="n">
        <f aca="false">MAX(0,'Family Readiness'!J32-G209)</f>
        <v>0</v>
      </c>
      <c r="J209" s="43" t="str">
        <f aca="false">IF(H209&gt;=C209,"PASS","FAIL")</f>
        <v>PASS</v>
      </c>
      <c r="K209" s="21" t="str">
        <f aca="false">IF(I209&gt;=C209,"PASS","HOLD")</f>
        <v>HOLD</v>
      </c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customFormat="false" ht="15" hidden="false" customHeight="false" outlineLevel="0" collapsed="false">
      <c r="A210" s="9" t="s">
        <v>2439</v>
      </c>
      <c r="B210" s="9" t="s">
        <v>5680</v>
      </c>
      <c r="C210" s="9" t="n">
        <v>57.6</v>
      </c>
      <c r="D210" s="9" t="n">
        <v>103</v>
      </c>
      <c r="E210" s="9" t="n">
        <v>73</v>
      </c>
      <c r="F210" s="9" t="n">
        <v>3</v>
      </c>
      <c r="G210" s="9" t="n">
        <v>11</v>
      </c>
      <c r="H210" s="9" t="n">
        <v>62</v>
      </c>
      <c r="I210" s="9" t="n">
        <f aca="false">MAX(0,'Family Readiness'!J32-G210)</f>
        <v>0</v>
      </c>
      <c r="J210" s="43" t="str">
        <f aca="false">IF(H210&gt;=C210,"PASS","FAIL")</f>
        <v>PASS</v>
      </c>
      <c r="K210" s="21" t="str">
        <f aca="false">IF(I210&gt;=C210,"PASS","HOLD")</f>
        <v>HOLD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customFormat="false" ht="15" hidden="false" customHeight="false" outlineLevel="0" collapsed="false">
      <c r="A211" s="9" t="s">
        <v>2439</v>
      </c>
      <c r="B211" s="9" t="s">
        <v>5681</v>
      </c>
      <c r="C211" s="9" t="n">
        <v>57.6</v>
      </c>
      <c r="D211" s="9" t="n">
        <v>103</v>
      </c>
      <c r="E211" s="9" t="n">
        <v>73</v>
      </c>
      <c r="F211" s="9" t="n">
        <v>4</v>
      </c>
      <c r="G211" s="9" t="n">
        <v>10</v>
      </c>
      <c r="H211" s="9" t="n">
        <v>63</v>
      </c>
      <c r="I211" s="9" t="n">
        <f aca="false">MAX(0,'Family Readiness'!J32-G211)</f>
        <v>0</v>
      </c>
      <c r="J211" s="43" t="str">
        <f aca="false">IF(H211&gt;=C211,"PASS","FAIL")</f>
        <v>PASS</v>
      </c>
      <c r="K211" s="21" t="str">
        <f aca="false">IF(I211&gt;=C211,"PASS","HOLD")</f>
        <v>HOLD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customFormat="false" ht="15" hidden="false" customHeight="false" outlineLevel="0" collapsed="false">
      <c r="A212" s="9" t="s">
        <v>2439</v>
      </c>
      <c r="B212" s="9" t="s">
        <v>5682</v>
      </c>
      <c r="C212" s="9" t="n">
        <v>57.6</v>
      </c>
      <c r="D212" s="9" t="n">
        <v>103</v>
      </c>
      <c r="E212" s="9" t="n">
        <v>73</v>
      </c>
      <c r="F212" s="9" t="n">
        <v>5</v>
      </c>
      <c r="G212" s="9" t="n">
        <v>10</v>
      </c>
      <c r="H212" s="9" t="n">
        <v>63</v>
      </c>
      <c r="I212" s="9" t="n">
        <f aca="false">MAX(0,'Family Readiness'!J32-G212)</f>
        <v>0</v>
      </c>
      <c r="J212" s="43" t="str">
        <f aca="false">IF(H212&gt;=C212,"PASS","FAIL")</f>
        <v>PASS</v>
      </c>
      <c r="K212" s="21" t="str">
        <f aca="false">IF(I212&gt;=C212,"PASS","HOLD")</f>
        <v>HOLD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customFormat="false" ht="15" hidden="false" customHeight="false" outlineLevel="0" collapsed="false">
      <c r="A213" s="9" t="s">
        <v>2439</v>
      </c>
      <c r="B213" s="9" t="s">
        <v>5683</v>
      </c>
      <c r="C213" s="9" t="n">
        <v>57.6</v>
      </c>
      <c r="D213" s="9" t="n">
        <v>103</v>
      </c>
      <c r="E213" s="9" t="n">
        <v>73</v>
      </c>
      <c r="F213" s="9" t="n">
        <v>6</v>
      </c>
      <c r="G213" s="9" t="n">
        <v>10</v>
      </c>
      <c r="H213" s="9" t="n">
        <v>63</v>
      </c>
      <c r="I213" s="9" t="n">
        <f aca="false">MAX(0,'Family Readiness'!J32-G213)</f>
        <v>0</v>
      </c>
      <c r="J213" s="43" t="str">
        <f aca="false">IF(H213&gt;=C213,"PASS","FAIL")</f>
        <v>PASS</v>
      </c>
      <c r="K213" s="21" t="str">
        <f aca="false">IF(I213&gt;=C213,"PASS","HOLD")</f>
        <v>HOLD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customFormat="false" ht="15" hidden="false" customHeight="false" outlineLevel="0" collapsed="false">
      <c r="A214" s="9" t="s">
        <v>2439</v>
      </c>
      <c r="B214" s="9" t="s">
        <v>5684</v>
      </c>
      <c r="C214" s="9" t="n">
        <v>57.6</v>
      </c>
      <c r="D214" s="9" t="n">
        <v>103</v>
      </c>
      <c r="E214" s="9" t="n">
        <v>73</v>
      </c>
      <c r="F214" s="9" t="n">
        <v>7</v>
      </c>
      <c r="G214" s="9" t="n">
        <v>10</v>
      </c>
      <c r="H214" s="9" t="n">
        <v>63</v>
      </c>
      <c r="I214" s="9" t="n">
        <f aca="false">MAX(0,'Family Readiness'!J32-G214)</f>
        <v>0</v>
      </c>
      <c r="J214" s="43" t="str">
        <f aca="false">IF(H214&gt;=C214,"PASS","FAIL")</f>
        <v>PASS</v>
      </c>
      <c r="K214" s="21" t="str">
        <f aca="false">IF(I214&gt;=C214,"PASS","HOLD")</f>
        <v>HOLD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customFormat="false" ht="15" hidden="false" customHeight="false" outlineLevel="0" collapsed="false">
      <c r="A215" s="9" t="s">
        <v>2544</v>
      </c>
      <c r="B215" s="9" t="s">
        <v>5676</v>
      </c>
      <c r="C215" s="9" t="n">
        <v>75.6</v>
      </c>
      <c r="D215" s="9" t="n">
        <v>135</v>
      </c>
      <c r="E215" s="9" t="n">
        <v>95</v>
      </c>
      <c r="F215" s="9" t="s">
        <v>5677</v>
      </c>
      <c r="G215" s="9" t="n">
        <v>0</v>
      </c>
      <c r="H215" s="9" t="n">
        <v>95</v>
      </c>
      <c r="I215" s="9" t="n">
        <f aca="false">MAX(0,'Family Readiness'!J33-G215)</f>
        <v>0</v>
      </c>
      <c r="J215" s="43" t="str">
        <f aca="false">IF(H215&gt;=C215,"PASS","FAIL")</f>
        <v>PASS</v>
      </c>
      <c r="K215" s="21" t="str">
        <f aca="false">IF(I215&gt;=C215,"PASS","HOLD")</f>
        <v>HOLD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customFormat="false" ht="15" hidden="false" customHeight="false" outlineLevel="0" collapsed="false">
      <c r="A216" s="9" t="s">
        <v>2544</v>
      </c>
      <c r="B216" s="9" t="s">
        <v>5678</v>
      </c>
      <c r="C216" s="9" t="n">
        <v>75.6</v>
      </c>
      <c r="D216" s="9" t="n">
        <v>135</v>
      </c>
      <c r="E216" s="9" t="n">
        <v>95</v>
      </c>
      <c r="F216" s="9" t="n">
        <v>1</v>
      </c>
      <c r="G216" s="9" t="n">
        <v>14</v>
      </c>
      <c r="H216" s="9" t="n">
        <v>81</v>
      </c>
      <c r="I216" s="9" t="n">
        <f aca="false">MAX(0,'Family Readiness'!J33-G216)</f>
        <v>0</v>
      </c>
      <c r="J216" s="43" t="str">
        <f aca="false">IF(H216&gt;=C216,"PASS","FAIL")</f>
        <v>PASS</v>
      </c>
      <c r="K216" s="21" t="str">
        <f aca="false">IF(I216&gt;=C216,"PASS","HOLD")</f>
        <v>HOLD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customFormat="false" ht="15" hidden="false" customHeight="false" outlineLevel="0" collapsed="false">
      <c r="A217" s="9" t="s">
        <v>2544</v>
      </c>
      <c r="B217" s="9" t="s">
        <v>5679</v>
      </c>
      <c r="C217" s="9" t="n">
        <v>75.6</v>
      </c>
      <c r="D217" s="9" t="n">
        <v>135</v>
      </c>
      <c r="E217" s="9" t="n">
        <v>95</v>
      </c>
      <c r="F217" s="9" t="n">
        <v>2</v>
      </c>
      <c r="G217" s="9" t="n">
        <v>14</v>
      </c>
      <c r="H217" s="9" t="n">
        <v>81</v>
      </c>
      <c r="I217" s="9" t="n">
        <f aca="false">MAX(0,'Family Readiness'!J33-G217)</f>
        <v>0</v>
      </c>
      <c r="J217" s="43" t="str">
        <f aca="false">IF(H217&gt;=C217,"PASS","FAIL")</f>
        <v>PASS</v>
      </c>
      <c r="K217" s="21" t="str">
        <f aca="false">IF(I217&gt;=C217,"PASS","HOLD")</f>
        <v>HOLD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customFormat="false" ht="15" hidden="false" customHeight="false" outlineLevel="0" collapsed="false">
      <c r="A218" s="9" t="s">
        <v>2544</v>
      </c>
      <c r="B218" s="9" t="s">
        <v>5680</v>
      </c>
      <c r="C218" s="9" t="n">
        <v>75.6</v>
      </c>
      <c r="D218" s="9" t="n">
        <v>135</v>
      </c>
      <c r="E218" s="9" t="n">
        <v>95</v>
      </c>
      <c r="F218" s="9" t="n">
        <v>3</v>
      </c>
      <c r="G218" s="9" t="n">
        <v>14</v>
      </c>
      <c r="H218" s="9" t="n">
        <v>81</v>
      </c>
      <c r="I218" s="9" t="n">
        <f aca="false">MAX(0,'Family Readiness'!J33-G218)</f>
        <v>0</v>
      </c>
      <c r="J218" s="43" t="str">
        <f aca="false">IF(H218&gt;=C218,"PASS","FAIL")</f>
        <v>PASS</v>
      </c>
      <c r="K218" s="21" t="str">
        <f aca="false">IF(I218&gt;=C218,"PASS","HOLD")</f>
        <v>HOLD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customFormat="false" ht="15" hidden="false" customHeight="false" outlineLevel="0" collapsed="false">
      <c r="A219" s="9" t="s">
        <v>2544</v>
      </c>
      <c r="B219" s="9" t="s">
        <v>5681</v>
      </c>
      <c r="C219" s="9" t="n">
        <v>75.6</v>
      </c>
      <c r="D219" s="9" t="n">
        <v>135</v>
      </c>
      <c r="E219" s="9" t="n">
        <v>95</v>
      </c>
      <c r="F219" s="9" t="n">
        <v>4</v>
      </c>
      <c r="G219" s="9" t="n">
        <v>14</v>
      </c>
      <c r="H219" s="9" t="n">
        <v>81</v>
      </c>
      <c r="I219" s="9" t="n">
        <f aca="false">MAX(0,'Family Readiness'!J33-G219)</f>
        <v>0</v>
      </c>
      <c r="J219" s="43" t="str">
        <f aca="false">IF(H219&gt;=C219,"PASS","FAIL")</f>
        <v>PASS</v>
      </c>
      <c r="K219" s="21" t="str">
        <f aca="false">IF(I219&gt;=C219,"PASS","HOLD")</f>
        <v>HOLD</v>
      </c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customFormat="false" ht="15" hidden="false" customHeight="false" outlineLevel="0" collapsed="false">
      <c r="A220" s="9" t="s">
        <v>2544</v>
      </c>
      <c r="B220" s="9" t="s">
        <v>5682</v>
      </c>
      <c r="C220" s="9" t="n">
        <v>75.6</v>
      </c>
      <c r="D220" s="9" t="n">
        <v>135</v>
      </c>
      <c r="E220" s="9" t="n">
        <v>95</v>
      </c>
      <c r="F220" s="9" t="n">
        <v>5</v>
      </c>
      <c r="G220" s="9" t="n">
        <v>13</v>
      </c>
      <c r="H220" s="9" t="n">
        <v>82</v>
      </c>
      <c r="I220" s="9" t="n">
        <f aca="false">MAX(0,'Family Readiness'!J33-G220)</f>
        <v>0</v>
      </c>
      <c r="J220" s="43" t="str">
        <f aca="false">IF(H220&gt;=C220,"PASS","FAIL")</f>
        <v>PASS</v>
      </c>
      <c r="K220" s="21" t="str">
        <f aca="false">IF(I220&gt;=C220,"PASS","HOLD")</f>
        <v>HOLD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customFormat="false" ht="15" hidden="false" customHeight="false" outlineLevel="0" collapsed="false">
      <c r="A221" s="9" t="s">
        <v>2544</v>
      </c>
      <c r="B221" s="9" t="s">
        <v>5683</v>
      </c>
      <c r="C221" s="9" t="n">
        <v>75.6</v>
      </c>
      <c r="D221" s="9" t="n">
        <v>135</v>
      </c>
      <c r="E221" s="9" t="n">
        <v>95</v>
      </c>
      <c r="F221" s="9" t="n">
        <v>6</v>
      </c>
      <c r="G221" s="9" t="n">
        <v>13</v>
      </c>
      <c r="H221" s="9" t="n">
        <v>82</v>
      </c>
      <c r="I221" s="9" t="n">
        <f aca="false">MAX(0,'Family Readiness'!J33-G221)</f>
        <v>0</v>
      </c>
      <c r="J221" s="43" t="str">
        <f aca="false">IF(H221&gt;=C221,"PASS","FAIL")</f>
        <v>PASS</v>
      </c>
      <c r="K221" s="21" t="str">
        <f aca="false">IF(I221&gt;=C221,"PASS","HOLD")</f>
        <v>HOLD</v>
      </c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customFormat="false" ht="15" hidden="false" customHeight="false" outlineLevel="0" collapsed="false">
      <c r="A222" s="9" t="s">
        <v>2544</v>
      </c>
      <c r="B222" s="9" t="s">
        <v>5684</v>
      </c>
      <c r="C222" s="9" t="n">
        <v>75.6</v>
      </c>
      <c r="D222" s="9" t="n">
        <v>135</v>
      </c>
      <c r="E222" s="9" t="n">
        <v>95</v>
      </c>
      <c r="F222" s="9" t="n">
        <v>7</v>
      </c>
      <c r="G222" s="9" t="n">
        <v>13</v>
      </c>
      <c r="H222" s="9" t="n">
        <v>82</v>
      </c>
      <c r="I222" s="9" t="n">
        <f aca="false">MAX(0,'Family Readiness'!J33-G222)</f>
        <v>0</v>
      </c>
      <c r="J222" s="43" t="str">
        <f aca="false">IF(H222&gt;=C222,"PASS","FAIL")</f>
        <v>PASS</v>
      </c>
      <c r="K222" s="21" t="str">
        <f aca="false">IF(I222&gt;=C222,"PASS","HOLD")</f>
        <v>HOLD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customFormat="false" ht="15" hidden="false" customHeight="false" outlineLevel="0" collapsed="false">
      <c r="A223" s="9" t="s">
        <v>2681</v>
      </c>
      <c r="B223" s="9" t="s">
        <v>5676</v>
      </c>
      <c r="C223" s="9" t="n">
        <v>70.8</v>
      </c>
      <c r="D223" s="9" t="n">
        <v>127</v>
      </c>
      <c r="E223" s="9" t="n">
        <v>89</v>
      </c>
      <c r="F223" s="9" t="s">
        <v>5677</v>
      </c>
      <c r="G223" s="9" t="n">
        <v>0</v>
      </c>
      <c r="H223" s="9" t="n">
        <v>89</v>
      </c>
      <c r="I223" s="9" t="n">
        <f aca="false">MAX(0,'Family Readiness'!J34-G223)</f>
        <v>0</v>
      </c>
      <c r="J223" s="43" t="str">
        <f aca="false">IF(H223&gt;=C223,"PASS","FAIL")</f>
        <v>PASS</v>
      </c>
      <c r="K223" s="21" t="str">
        <f aca="false">IF(I223&gt;=C223,"PASS","HOLD")</f>
        <v>HOLD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customFormat="false" ht="15" hidden="false" customHeight="false" outlineLevel="0" collapsed="false">
      <c r="A224" s="9" t="s">
        <v>2681</v>
      </c>
      <c r="B224" s="9" t="s">
        <v>5678</v>
      </c>
      <c r="C224" s="9" t="n">
        <v>70.8</v>
      </c>
      <c r="D224" s="9" t="n">
        <v>127</v>
      </c>
      <c r="E224" s="9" t="n">
        <v>89</v>
      </c>
      <c r="F224" s="9" t="n">
        <v>1</v>
      </c>
      <c r="G224" s="9" t="n">
        <v>13</v>
      </c>
      <c r="H224" s="9" t="n">
        <v>76</v>
      </c>
      <c r="I224" s="9" t="n">
        <f aca="false">MAX(0,'Family Readiness'!J34-G224)</f>
        <v>0</v>
      </c>
      <c r="J224" s="43" t="str">
        <f aca="false">IF(H224&gt;=C224,"PASS","FAIL")</f>
        <v>PASS</v>
      </c>
      <c r="K224" s="21" t="str">
        <f aca="false">IF(I224&gt;=C224,"PASS","HOLD")</f>
        <v>HOLD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customFormat="false" ht="15" hidden="false" customHeight="false" outlineLevel="0" collapsed="false">
      <c r="A225" s="9" t="s">
        <v>2681</v>
      </c>
      <c r="B225" s="9" t="s">
        <v>5679</v>
      </c>
      <c r="C225" s="9" t="n">
        <v>70.8</v>
      </c>
      <c r="D225" s="9" t="n">
        <v>127</v>
      </c>
      <c r="E225" s="9" t="n">
        <v>89</v>
      </c>
      <c r="F225" s="9" t="n">
        <v>2</v>
      </c>
      <c r="G225" s="9" t="n">
        <v>13</v>
      </c>
      <c r="H225" s="9" t="n">
        <v>76</v>
      </c>
      <c r="I225" s="9" t="n">
        <f aca="false">MAX(0,'Family Readiness'!J34-G225)</f>
        <v>0</v>
      </c>
      <c r="J225" s="43" t="str">
        <f aca="false">IF(H225&gt;=C225,"PASS","FAIL")</f>
        <v>PASS</v>
      </c>
      <c r="K225" s="21" t="str">
        <f aca="false">IF(I225&gt;=C225,"PASS","HOLD")</f>
        <v>HOLD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customFormat="false" ht="15" hidden="false" customHeight="false" outlineLevel="0" collapsed="false">
      <c r="A226" s="9" t="s">
        <v>2681</v>
      </c>
      <c r="B226" s="9" t="s">
        <v>5680</v>
      </c>
      <c r="C226" s="9" t="n">
        <v>70.8</v>
      </c>
      <c r="D226" s="9" t="n">
        <v>127</v>
      </c>
      <c r="E226" s="9" t="n">
        <v>89</v>
      </c>
      <c r="F226" s="9" t="n">
        <v>3</v>
      </c>
      <c r="G226" s="9" t="n">
        <v>13</v>
      </c>
      <c r="H226" s="9" t="n">
        <v>76</v>
      </c>
      <c r="I226" s="9" t="n">
        <f aca="false">MAX(0,'Family Readiness'!J34-G226)</f>
        <v>0</v>
      </c>
      <c r="J226" s="43" t="str">
        <f aca="false">IF(H226&gt;=C226,"PASS","FAIL")</f>
        <v>PASS</v>
      </c>
      <c r="K226" s="21" t="str">
        <f aca="false">IF(I226&gt;=C226,"PASS","HOLD")</f>
        <v>HOLD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customFormat="false" ht="15" hidden="false" customHeight="false" outlineLevel="0" collapsed="false">
      <c r="A227" s="9" t="s">
        <v>2681</v>
      </c>
      <c r="B227" s="9" t="s">
        <v>5681</v>
      </c>
      <c r="C227" s="9" t="n">
        <v>70.8</v>
      </c>
      <c r="D227" s="9" t="n">
        <v>127</v>
      </c>
      <c r="E227" s="9" t="n">
        <v>89</v>
      </c>
      <c r="F227" s="9" t="n">
        <v>4</v>
      </c>
      <c r="G227" s="9" t="n">
        <v>13</v>
      </c>
      <c r="H227" s="9" t="n">
        <v>76</v>
      </c>
      <c r="I227" s="9" t="n">
        <f aca="false">MAX(0,'Family Readiness'!J34-G227)</f>
        <v>0</v>
      </c>
      <c r="J227" s="43" t="str">
        <f aca="false">IF(H227&gt;=C227,"PASS","FAIL")</f>
        <v>PASS</v>
      </c>
      <c r="K227" s="21" t="str">
        <f aca="false">IF(I227&gt;=C227,"PASS","HOLD")</f>
        <v>HOLD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customFormat="false" ht="15" hidden="false" customHeight="false" outlineLevel="0" collapsed="false">
      <c r="A228" s="9" t="s">
        <v>2681</v>
      </c>
      <c r="B228" s="9" t="s">
        <v>5682</v>
      </c>
      <c r="C228" s="9" t="n">
        <v>70.8</v>
      </c>
      <c r="D228" s="9" t="n">
        <v>127</v>
      </c>
      <c r="E228" s="9" t="n">
        <v>89</v>
      </c>
      <c r="F228" s="9" t="n">
        <v>5</v>
      </c>
      <c r="G228" s="9" t="n">
        <v>13</v>
      </c>
      <c r="H228" s="9" t="n">
        <v>76</v>
      </c>
      <c r="I228" s="9" t="n">
        <f aca="false">MAX(0,'Family Readiness'!J34-G228)</f>
        <v>0</v>
      </c>
      <c r="J228" s="43" t="str">
        <f aca="false">IF(H228&gt;=C228,"PASS","FAIL")</f>
        <v>PASS</v>
      </c>
      <c r="K228" s="21" t="str">
        <f aca="false">IF(I228&gt;=C228,"PASS","HOLD")</f>
        <v>HOLD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customFormat="false" ht="15" hidden="false" customHeight="false" outlineLevel="0" collapsed="false">
      <c r="A229" s="9" t="s">
        <v>2681</v>
      </c>
      <c r="B229" s="9" t="s">
        <v>5683</v>
      </c>
      <c r="C229" s="9" t="n">
        <v>70.8</v>
      </c>
      <c r="D229" s="9" t="n">
        <v>127</v>
      </c>
      <c r="E229" s="9" t="n">
        <v>89</v>
      </c>
      <c r="F229" s="9" t="n">
        <v>6</v>
      </c>
      <c r="G229" s="9" t="n">
        <v>12</v>
      </c>
      <c r="H229" s="9" t="n">
        <v>77</v>
      </c>
      <c r="I229" s="9" t="n">
        <f aca="false">MAX(0,'Family Readiness'!J34-G229)</f>
        <v>0</v>
      </c>
      <c r="J229" s="43" t="str">
        <f aca="false">IF(H229&gt;=C229,"PASS","FAIL")</f>
        <v>PASS</v>
      </c>
      <c r="K229" s="21" t="str">
        <f aca="false">IF(I229&gt;=C229,"PASS","HOLD")</f>
        <v>HOLD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customFormat="false" ht="15" hidden="false" customHeight="false" outlineLevel="0" collapsed="false">
      <c r="A230" s="9" t="s">
        <v>2681</v>
      </c>
      <c r="B230" s="9" t="s">
        <v>5684</v>
      </c>
      <c r="C230" s="9" t="n">
        <v>70.8</v>
      </c>
      <c r="D230" s="9" t="n">
        <v>127</v>
      </c>
      <c r="E230" s="9" t="n">
        <v>89</v>
      </c>
      <c r="F230" s="9" t="n">
        <v>7</v>
      </c>
      <c r="G230" s="9" t="n">
        <v>12</v>
      </c>
      <c r="H230" s="9" t="n">
        <v>77</v>
      </c>
      <c r="I230" s="9" t="n">
        <f aca="false">MAX(0,'Family Readiness'!J34-G230)</f>
        <v>0</v>
      </c>
      <c r="J230" s="43" t="str">
        <f aca="false">IF(H230&gt;=C230,"PASS","FAIL")</f>
        <v>PASS</v>
      </c>
      <c r="K230" s="21" t="str">
        <f aca="false">IF(I230&gt;=C230,"PASS","HOLD")</f>
        <v>HOLD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customFormat="false" ht="15" hidden="false" customHeight="false" outlineLevel="0" collapsed="false">
      <c r="A231" s="9" t="s">
        <v>2810</v>
      </c>
      <c r="B231" s="9" t="s">
        <v>5676</v>
      </c>
      <c r="C231" s="9" t="n">
        <v>87.6</v>
      </c>
      <c r="D231" s="9" t="n">
        <v>157</v>
      </c>
      <c r="E231" s="9" t="n">
        <v>110</v>
      </c>
      <c r="F231" s="9" t="s">
        <v>5677</v>
      </c>
      <c r="G231" s="9" t="n">
        <v>0</v>
      </c>
      <c r="H231" s="9" t="n">
        <v>110</v>
      </c>
      <c r="I231" s="9" t="n">
        <f aca="false">MAX(0,'Family Readiness'!J35-G231)</f>
        <v>0</v>
      </c>
      <c r="J231" s="43" t="str">
        <f aca="false">IF(H231&gt;=C231,"PASS","FAIL")</f>
        <v>PASS</v>
      </c>
      <c r="K231" s="21" t="str">
        <f aca="false">IF(I231&gt;=C231,"PASS","HOLD")</f>
        <v>HOLD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customFormat="false" ht="15" hidden="false" customHeight="false" outlineLevel="0" collapsed="false">
      <c r="A232" s="9" t="s">
        <v>2810</v>
      </c>
      <c r="B232" s="9" t="s">
        <v>5678</v>
      </c>
      <c r="C232" s="9" t="n">
        <v>87.6</v>
      </c>
      <c r="D232" s="9" t="n">
        <v>157</v>
      </c>
      <c r="E232" s="9" t="n">
        <v>110</v>
      </c>
      <c r="F232" s="9" t="n">
        <v>1</v>
      </c>
      <c r="G232" s="9" t="n">
        <v>16</v>
      </c>
      <c r="H232" s="9" t="n">
        <v>94</v>
      </c>
      <c r="I232" s="9" t="n">
        <f aca="false">MAX(0,'Family Readiness'!J35-G232)</f>
        <v>0</v>
      </c>
      <c r="J232" s="43" t="str">
        <f aca="false">IF(H232&gt;=C232,"PASS","FAIL")</f>
        <v>PASS</v>
      </c>
      <c r="K232" s="21" t="str">
        <f aca="false">IF(I232&gt;=C232,"PASS","HOLD")</f>
        <v>HOLD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customFormat="false" ht="15" hidden="false" customHeight="false" outlineLevel="0" collapsed="false">
      <c r="A233" s="9" t="s">
        <v>2810</v>
      </c>
      <c r="B233" s="9" t="s">
        <v>5679</v>
      </c>
      <c r="C233" s="9" t="n">
        <v>87.6</v>
      </c>
      <c r="D233" s="9" t="n">
        <v>157</v>
      </c>
      <c r="E233" s="9" t="n">
        <v>110</v>
      </c>
      <c r="F233" s="9" t="n">
        <v>2</v>
      </c>
      <c r="G233" s="9" t="n">
        <v>16</v>
      </c>
      <c r="H233" s="9" t="n">
        <v>94</v>
      </c>
      <c r="I233" s="9" t="n">
        <f aca="false">MAX(0,'Family Readiness'!J35-G233)</f>
        <v>0</v>
      </c>
      <c r="J233" s="43" t="str">
        <f aca="false">IF(H233&gt;=C233,"PASS","FAIL")</f>
        <v>PASS</v>
      </c>
      <c r="K233" s="21" t="str">
        <f aca="false">IF(I233&gt;=C233,"PASS","HOLD")</f>
        <v>HOLD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customFormat="false" ht="15" hidden="false" customHeight="false" outlineLevel="0" collapsed="false">
      <c r="A234" s="9" t="s">
        <v>2810</v>
      </c>
      <c r="B234" s="9" t="s">
        <v>5680</v>
      </c>
      <c r="C234" s="9" t="n">
        <v>87.6</v>
      </c>
      <c r="D234" s="9" t="n">
        <v>157</v>
      </c>
      <c r="E234" s="9" t="n">
        <v>110</v>
      </c>
      <c r="F234" s="9" t="n">
        <v>3</v>
      </c>
      <c r="G234" s="9" t="n">
        <v>16</v>
      </c>
      <c r="H234" s="9" t="n">
        <v>94</v>
      </c>
      <c r="I234" s="9" t="n">
        <f aca="false">MAX(0,'Family Readiness'!J35-G234)</f>
        <v>0</v>
      </c>
      <c r="J234" s="43" t="str">
        <f aca="false">IF(H234&gt;=C234,"PASS","FAIL")</f>
        <v>PASS</v>
      </c>
      <c r="K234" s="21" t="str">
        <f aca="false">IF(I234&gt;=C234,"PASS","HOLD")</f>
        <v>HOLD</v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customFormat="false" ht="15" hidden="false" customHeight="false" outlineLevel="0" collapsed="false">
      <c r="A235" s="9" t="s">
        <v>2810</v>
      </c>
      <c r="B235" s="9" t="s">
        <v>5681</v>
      </c>
      <c r="C235" s="9" t="n">
        <v>87.6</v>
      </c>
      <c r="D235" s="9" t="n">
        <v>157</v>
      </c>
      <c r="E235" s="9" t="n">
        <v>110</v>
      </c>
      <c r="F235" s="9" t="n">
        <v>4</v>
      </c>
      <c r="G235" s="9" t="n">
        <v>16</v>
      </c>
      <c r="H235" s="9" t="n">
        <v>94</v>
      </c>
      <c r="I235" s="9" t="n">
        <f aca="false">MAX(0,'Family Readiness'!J35-G235)</f>
        <v>0</v>
      </c>
      <c r="J235" s="43" t="str">
        <f aca="false">IF(H235&gt;=C235,"PASS","FAIL")</f>
        <v>PASS</v>
      </c>
      <c r="K235" s="21" t="str">
        <f aca="false">IF(I235&gt;=C235,"PASS","HOLD")</f>
        <v>HOLD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customFormat="false" ht="15" hidden="false" customHeight="false" outlineLevel="0" collapsed="false">
      <c r="A236" s="9" t="s">
        <v>2810</v>
      </c>
      <c r="B236" s="9" t="s">
        <v>5682</v>
      </c>
      <c r="C236" s="9" t="n">
        <v>87.6</v>
      </c>
      <c r="D236" s="9" t="n">
        <v>157</v>
      </c>
      <c r="E236" s="9" t="n">
        <v>110</v>
      </c>
      <c r="F236" s="9" t="n">
        <v>5</v>
      </c>
      <c r="G236" s="9" t="n">
        <v>16</v>
      </c>
      <c r="H236" s="9" t="n">
        <v>94</v>
      </c>
      <c r="I236" s="9" t="n">
        <f aca="false">MAX(0,'Family Readiness'!J35-G236)</f>
        <v>0</v>
      </c>
      <c r="J236" s="43" t="str">
        <f aca="false">IF(H236&gt;=C236,"PASS","FAIL")</f>
        <v>PASS</v>
      </c>
      <c r="K236" s="21" t="str">
        <f aca="false">IF(I236&gt;=C236,"PASS","HOLD")</f>
        <v>HOLD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customFormat="false" ht="15" hidden="false" customHeight="false" outlineLevel="0" collapsed="false">
      <c r="A237" s="9" t="s">
        <v>2810</v>
      </c>
      <c r="B237" s="9" t="s">
        <v>5683</v>
      </c>
      <c r="C237" s="9" t="n">
        <v>87.6</v>
      </c>
      <c r="D237" s="9" t="n">
        <v>157</v>
      </c>
      <c r="E237" s="9" t="n">
        <v>110</v>
      </c>
      <c r="F237" s="9" t="n">
        <v>6</v>
      </c>
      <c r="G237" s="9" t="n">
        <v>15</v>
      </c>
      <c r="H237" s="9" t="n">
        <v>95</v>
      </c>
      <c r="I237" s="9" t="n">
        <f aca="false">MAX(0,'Family Readiness'!J35-G237)</f>
        <v>0</v>
      </c>
      <c r="J237" s="43" t="str">
        <f aca="false">IF(H237&gt;=C237,"PASS","FAIL")</f>
        <v>PASS</v>
      </c>
      <c r="K237" s="21" t="str">
        <f aca="false">IF(I237&gt;=C237,"PASS","HOLD")</f>
        <v>HOLD</v>
      </c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customFormat="false" ht="15" hidden="false" customHeight="false" outlineLevel="0" collapsed="false">
      <c r="A238" s="9" t="s">
        <v>2810</v>
      </c>
      <c r="B238" s="9" t="s">
        <v>5684</v>
      </c>
      <c r="C238" s="9" t="n">
        <v>87.6</v>
      </c>
      <c r="D238" s="9" t="n">
        <v>157</v>
      </c>
      <c r="E238" s="9" t="n">
        <v>110</v>
      </c>
      <c r="F238" s="9" t="n">
        <v>7</v>
      </c>
      <c r="G238" s="9" t="n">
        <v>15</v>
      </c>
      <c r="H238" s="9" t="n">
        <v>95</v>
      </c>
      <c r="I238" s="9" t="n">
        <f aca="false">MAX(0,'Family Readiness'!J35-G238)</f>
        <v>0</v>
      </c>
      <c r="J238" s="43" t="str">
        <f aca="false">IF(H238&gt;=C238,"PASS","FAIL")</f>
        <v>PASS</v>
      </c>
      <c r="K238" s="21" t="str">
        <f aca="false">IF(I238&gt;=C238,"PASS","HOLD")</f>
        <v>HOLD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customFormat="false" ht="15" hidden="false" customHeight="false" outlineLevel="0" collapsed="false">
      <c r="A239" s="9" t="s">
        <v>2969</v>
      </c>
      <c r="B239" s="9" t="s">
        <v>5676</v>
      </c>
      <c r="C239" s="9" t="n">
        <v>90</v>
      </c>
      <c r="D239" s="9" t="n">
        <v>174</v>
      </c>
      <c r="E239" s="9" t="n">
        <v>114</v>
      </c>
      <c r="F239" s="9" t="s">
        <v>5677</v>
      </c>
      <c r="G239" s="9" t="n">
        <v>0</v>
      </c>
      <c r="H239" s="9" t="n">
        <v>114</v>
      </c>
      <c r="I239" s="9" t="n">
        <f aca="false">MAX(0,'Family Readiness'!J36-G239)</f>
        <v>0</v>
      </c>
      <c r="J239" s="43" t="str">
        <f aca="false">IF(H239&gt;=C239,"PASS","FAIL")</f>
        <v>PASS</v>
      </c>
      <c r="K239" s="21" t="str">
        <f aca="false">IF(I239&gt;=C239,"PASS","HOLD")</f>
        <v>HOLD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customFormat="false" ht="15" hidden="false" customHeight="false" outlineLevel="0" collapsed="false">
      <c r="A240" s="9" t="s">
        <v>2969</v>
      </c>
      <c r="B240" s="9" t="s">
        <v>5678</v>
      </c>
      <c r="C240" s="9" t="n">
        <v>90</v>
      </c>
      <c r="D240" s="9" t="n">
        <v>174</v>
      </c>
      <c r="E240" s="9" t="n">
        <v>114</v>
      </c>
      <c r="F240" s="9" t="n">
        <v>1</v>
      </c>
      <c r="G240" s="9" t="n">
        <v>17</v>
      </c>
      <c r="H240" s="9" t="n">
        <v>97</v>
      </c>
      <c r="I240" s="9" t="n">
        <f aca="false">MAX(0,'Family Readiness'!J36-G240)</f>
        <v>0</v>
      </c>
      <c r="J240" s="43" t="str">
        <f aca="false">IF(H240&gt;=C240,"PASS","FAIL")</f>
        <v>PASS</v>
      </c>
      <c r="K240" s="21" t="str">
        <f aca="false">IF(I240&gt;=C240,"PASS","HOLD")</f>
        <v>HOLD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customFormat="false" ht="15" hidden="false" customHeight="false" outlineLevel="0" collapsed="false">
      <c r="A241" s="9" t="s">
        <v>2969</v>
      </c>
      <c r="B241" s="9" t="s">
        <v>5679</v>
      </c>
      <c r="C241" s="9" t="n">
        <v>90</v>
      </c>
      <c r="D241" s="9" t="n">
        <v>174</v>
      </c>
      <c r="E241" s="9" t="n">
        <v>114</v>
      </c>
      <c r="F241" s="9" t="n">
        <v>2</v>
      </c>
      <c r="G241" s="9" t="n">
        <v>17</v>
      </c>
      <c r="H241" s="9" t="n">
        <v>97</v>
      </c>
      <c r="I241" s="9" t="n">
        <f aca="false">MAX(0,'Family Readiness'!J36-G241)</f>
        <v>0</v>
      </c>
      <c r="J241" s="43" t="str">
        <f aca="false">IF(H241&gt;=C241,"PASS","FAIL")</f>
        <v>PASS</v>
      </c>
      <c r="K241" s="21" t="str">
        <f aca="false">IF(I241&gt;=C241,"PASS","HOLD")</f>
        <v>HOLD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customFormat="false" ht="15" hidden="false" customHeight="false" outlineLevel="0" collapsed="false">
      <c r="A242" s="9" t="s">
        <v>2969</v>
      </c>
      <c r="B242" s="9" t="s">
        <v>5680</v>
      </c>
      <c r="C242" s="9" t="n">
        <v>90</v>
      </c>
      <c r="D242" s="9" t="n">
        <v>174</v>
      </c>
      <c r="E242" s="9" t="n">
        <v>114</v>
      </c>
      <c r="F242" s="9" t="n">
        <v>3</v>
      </c>
      <c r="G242" s="9" t="n">
        <v>16</v>
      </c>
      <c r="H242" s="9" t="n">
        <v>98</v>
      </c>
      <c r="I242" s="9" t="n">
        <f aca="false">MAX(0,'Family Readiness'!J36-G242)</f>
        <v>0</v>
      </c>
      <c r="J242" s="43" t="str">
        <f aca="false">IF(H242&gt;=C242,"PASS","FAIL")</f>
        <v>PASS</v>
      </c>
      <c r="K242" s="21" t="str">
        <f aca="false">IF(I242&gt;=C242,"PASS","HOLD")</f>
        <v>HOLD</v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customFormat="false" ht="15" hidden="false" customHeight="false" outlineLevel="0" collapsed="false">
      <c r="A243" s="9" t="s">
        <v>2969</v>
      </c>
      <c r="B243" s="9" t="s">
        <v>5681</v>
      </c>
      <c r="C243" s="9" t="n">
        <v>90</v>
      </c>
      <c r="D243" s="9" t="n">
        <v>174</v>
      </c>
      <c r="E243" s="9" t="n">
        <v>114</v>
      </c>
      <c r="F243" s="9" t="n">
        <v>4</v>
      </c>
      <c r="G243" s="9" t="n">
        <v>16</v>
      </c>
      <c r="H243" s="9" t="n">
        <v>98</v>
      </c>
      <c r="I243" s="9" t="n">
        <f aca="false">MAX(0,'Family Readiness'!J36-G243)</f>
        <v>0</v>
      </c>
      <c r="J243" s="43" t="str">
        <f aca="false">IF(H243&gt;=C243,"PASS","FAIL")</f>
        <v>PASS</v>
      </c>
      <c r="K243" s="21" t="str">
        <f aca="false">IF(I243&gt;=C243,"PASS","HOLD")</f>
        <v>HOLD</v>
      </c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customFormat="false" ht="15" hidden="false" customHeight="false" outlineLevel="0" collapsed="false">
      <c r="A244" s="9" t="s">
        <v>2969</v>
      </c>
      <c r="B244" s="9" t="s">
        <v>5682</v>
      </c>
      <c r="C244" s="9" t="n">
        <v>90</v>
      </c>
      <c r="D244" s="9" t="n">
        <v>174</v>
      </c>
      <c r="E244" s="9" t="n">
        <v>114</v>
      </c>
      <c r="F244" s="9" t="n">
        <v>5</v>
      </c>
      <c r="G244" s="9" t="n">
        <v>16</v>
      </c>
      <c r="H244" s="9" t="n">
        <v>98</v>
      </c>
      <c r="I244" s="9" t="n">
        <f aca="false">MAX(0,'Family Readiness'!J36-G244)</f>
        <v>0</v>
      </c>
      <c r="J244" s="43" t="str">
        <f aca="false">IF(H244&gt;=C244,"PASS","FAIL")</f>
        <v>PASS</v>
      </c>
      <c r="K244" s="21" t="str">
        <f aca="false">IF(I244&gt;=C244,"PASS","HOLD")</f>
        <v>HOLD</v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customFormat="false" ht="15" hidden="false" customHeight="false" outlineLevel="0" collapsed="false">
      <c r="A245" s="9" t="s">
        <v>2969</v>
      </c>
      <c r="B245" s="9" t="s">
        <v>5683</v>
      </c>
      <c r="C245" s="9" t="n">
        <v>90</v>
      </c>
      <c r="D245" s="9" t="n">
        <v>174</v>
      </c>
      <c r="E245" s="9" t="n">
        <v>114</v>
      </c>
      <c r="F245" s="9" t="n">
        <v>6</v>
      </c>
      <c r="G245" s="9" t="n">
        <v>16</v>
      </c>
      <c r="H245" s="9" t="n">
        <v>98</v>
      </c>
      <c r="I245" s="9" t="n">
        <f aca="false">MAX(0,'Family Readiness'!J36-G245)</f>
        <v>0</v>
      </c>
      <c r="J245" s="43" t="str">
        <f aca="false">IF(H245&gt;=C245,"PASS","FAIL")</f>
        <v>PASS</v>
      </c>
      <c r="K245" s="21" t="str">
        <f aca="false">IF(I245&gt;=C245,"PASS","HOLD")</f>
        <v>HOLD</v>
      </c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customFormat="false" ht="15" hidden="false" customHeight="false" outlineLevel="0" collapsed="false">
      <c r="A246" s="9" t="s">
        <v>2969</v>
      </c>
      <c r="B246" s="9" t="s">
        <v>5684</v>
      </c>
      <c r="C246" s="9" t="n">
        <v>90</v>
      </c>
      <c r="D246" s="9" t="n">
        <v>174</v>
      </c>
      <c r="E246" s="9" t="n">
        <v>114</v>
      </c>
      <c r="F246" s="9" t="n">
        <v>7</v>
      </c>
      <c r="G246" s="9" t="n">
        <v>16</v>
      </c>
      <c r="H246" s="9" t="n">
        <v>98</v>
      </c>
      <c r="I246" s="9" t="n">
        <f aca="false">MAX(0,'Family Readiness'!J36-G246)</f>
        <v>0</v>
      </c>
      <c r="J246" s="43" t="str">
        <f aca="false">IF(H246&gt;=C246,"PASS","FAIL")</f>
        <v>PASS</v>
      </c>
      <c r="K246" s="21" t="str">
        <f aca="false">IF(I246&gt;=C246,"PASS","HOLD")</f>
        <v>HOLD</v>
      </c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customFormat="false" ht="15" hidden="false" customHeight="false" outlineLevel="0" collapsed="false">
      <c r="A247" s="9" t="s">
        <v>3146</v>
      </c>
      <c r="B247" s="9" t="s">
        <v>5676</v>
      </c>
      <c r="C247" s="9" t="n">
        <v>58.8</v>
      </c>
      <c r="D247" s="9" t="n">
        <v>114</v>
      </c>
      <c r="E247" s="9" t="n">
        <v>75</v>
      </c>
      <c r="F247" s="9" t="s">
        <v>5677</v>
      </c>
      <c r="G247" s="9" t="n">
        <v>0</v>
      </c>
      <c r="H247" s="9" t="n">
        <v>75</v>
      </c>
      <c r="I247" s="9" t="n">
        <f aca="false">MAX(0,'Family Readiness'!J37-G247)</f>
        <v>0</v>
      </c>
      <c r="J247" s="43" t="str">
        <f aca="false">IF(H247&gt;=C247,"PASS","FAIL")</f>
        <v>PASS</v>
      </c>
      <c r="K247" s="21" t="str">
        <f aca="false">IF(I247&gt;=C247,"PASS","HOLD")</f>
        <v>HOLD</v>
      </c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customFormat="false" ht="15" hidden="false" customHeight="false" outlineLevel="0" collapsed="false">
      <c r="A248" s="9" t="s">
        <v>3146</v>
      </c>
      <c r="B248" s="9" t="s">
        <v>5678</v>
      </c>
      <c r="C248" s="9" t="n">
        <v>58.8</v>
      </c>
      <c r="D248" s="9" t="n">
        <v>114</v>
      </c>
      <c r="E248" s="9" t="n">
        <v>75</v>
      </c>
      <c r="F248" s="9" t="n">
        <v>1</v>
      </c>
      <c r="G248" s="9" t="n">
        <v>11</v>
      </c>
      <c r="H248" s="9" t="n">
        <v>64</v>
      </c>
      <c r="I248" s="9" t="n">
        <f aca="false">MAX(0,'Family Readiness'!J37-G248)</f>
        <v>0</v>
      </c>
      <c r="J248" s="43" t="str">
        <f aca="false">IF(H248&gt;=C248,"PASS","FAIL")</f>
        <v>PASS</v>
      </c>
      <c r="K248" s="21" t="str">
        <f aca="false">IF(I248&gt;=C248,"PASS","HOLD")</f>
        <v>HOLD</v>
      </c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customFormat="false" ht="15" hidden="false" customHeight="false" outlineLevel="0" collapsed="false">
      <c r="A249" s="9" t="s">
        <v>3146</v>
      </c>
      <c r="B249" s="9" t="s">
        <v>5679</v>
      </c>
      <c r="C249" s="9" t="n">
        <v>58.8</v>
      </c>
      <c r="D249" s="9" t="n">
        <v>114</v>
      </c>
      <c r="E249" s="9" t="n">
        <v>75</v>
      </c>
      <c r="F249" s="9" t="n">
        <v>2</v>
      </c>
      <c r="G249" s="9" t="n">
        <v>11</v>
      </c>
      <c r="H249" s="9" t="n">
        <v>64</v>
      </c>
      <c r="I249" s="9" t="n">
        <f aca="false">MAX(0,'Family Readiness'!J37-G249)</f>
        <v>0</v>
      </c>
      <c r="J249" s="43" t="str">
        <f aca="false">IF(H249&gt;=C249,"PASS","FAIL")</f>
        <v>PASS</v>
      </c>
      <c r="K249" s="21" t="str">
        <f aca="false">IF(I249&gt;=C249,"PASS","HOLD")</f>
        <v>HOLD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customFormat="false" ht="15" hidden="false" customHeight="false" outlineLevel="0" collapsed="false">
      <c r="A250" s="9" t="s">
        <v>3146</v>
      </c>
      <c r="B250" s="9" t="s">
        <v>5680</v>
      </c>
      <c r="C250" s="9" t="n">
        <v>58.8</v>
      </c>
      <c r="D250" s="9" t="n">
        <v>114</v>
      </c>
      <c r="E250" s="9" t="n">
        <v>75</v>
      </c>
      <c r="F250" s="9" t="n">
        <v>3</v>
      </c>
      <c r="G250" s="9" t="n">
        <v>11</v>
      </c>
      <c r="H250" s="9" t="n">
        <v>64</v>
      </c>
      <c r="I250" s="9" t="n">
        <f aca="false">MAX(0,'Family Readiness'!J37-G250)</f>
        <v>0</v>
      </c>
      <c r="J250" s="43" t="str">
        <f aca="false">IF(H250&gt;=C250,"PASS","FAIL")</f>
        <v>PASS</v>
      </c>
      <c r="K250" s="21" t="str">
        <f aca="false">IF(I250&gt;=C250,"PASS","HOLD")</f>
        <v>HOLD</v>
      </c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customFormat="false" ht="15" hidden="false" customHeight="false" outlineLevel="0" collapsed="false">
      <c r="A251" s="9" t="s">
        <v>3146</v>
      </c>
      <c r="B251" s="9" t="s">
        <v>5681</v>
      </c>
      <c r="C251" s="9" t="n">
        <v>58.8</v>
      </c>
      <c r="D251" s="9" t="n">
        <v>114</v>
      </c>
      <c r="E251" s="9" t="n">
        <v>75</v>
      </c>
      <c r="F251" s="9" t="n">
        <v>4</v>
      </c>
      <c r="G251" s="9" t="n">
        <v>11</v>
      </c>
      <c r="H251" s="9" t="n">
        <v>64</v>
      </c>
      <c r="I251" s="9" t="n">
        <f aca="false">MAX(0,'Family Readiness'!J37-G251)</f>
        <v>0</v>
      </c>
      <c r="J251" s="43" t="str">
        <f aca="false">IF(H251&gt;=C251,"PASS","FAIL")</f>
        <v>PASS</v>
      </c>
      <c r="K251" s="21" t="str">
        <f aca="false">IF(I251&gt;=C251,"PASS","HOLD")</f>
        <v>HOLD</v>
      </c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customFormat="false" ht="15" hidden="false" customHeight="false" outlineLevel="0" collapsed="false">
      <c r="A252" s="9" t="s">
        <v>3146</v>
      </c>
      <c r="B252" s="9" t="s">
        <v>5682</v>
      </c>
      <c r="C252" s="9" t="n">
        <v>58.8</v>
      </c>
      <c r="D252" s="9" t="n">
        <v>114</v>
      </c>
      <c r="E252" s="9" t="n">
        <v>75</v>
      </c>
      <c r="F252" s="9" t="n">
        <v>5</v>
      </c>
      <c r="G252" s="9" t="n">
        <v>11</v>
      </c>
      <c r="H252" s="9" t="n">
        <v>64</v>
      </c>
      <c r="I252" s="9" t="n">
        <f aca="false">MAX(0,'Family Readiness'!J37-G252)</f>
        <v>0</v>
      </c>
      <c r="J252" s="43" t="str">
        <f aca="false">IF(H252&gt;=C252,"PASS","FAIL")</f>
        <v>PASS</v>
      </c>
      <c r="K252" s="21" t="str">
        <f aca="false">IF(I252&gt;=C252,"PASS","HOLD")</f>
        <v>HOLD</v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customFormat="false" ht="15" hidden="false" customHeight="false" outlineLevel="0" collapsed="false">
      <c r="A253" s="9" t="s">
        <v>3146</v>
      </c>
      <c r="B253" s="9" t="s">
        <v>5683</v>
      </c>
      <c r="C253" s="9" t="n">
        <v>58.8</v>
      </c>
      <c r="D253" s="9" t="n">
        <v>114</v>
      </c>
      <c r="E253" s="9" t="n">
        <v>75</v>
      </c>
      <c r="F253" s="9" t="n">
        <v>6</v>
      </c>
      <c r="G253" s="9" t="n">
        <v>10</v>
      </c>
      <c r="H253" s="9" t="n">
        <v>65</v>
      </c>
      <c r="I253" s="9" t="n">
        <f aca="false">MAX(0,'Family Readiness'!J37-G253)</f>
        <v>0</v>
      </c>
      <c r="J253" s="43" t="str">
        <f aca="false">IF(H253&gt;=C253,"PASS","FAIL")</f>
        <v>PASS</v>
      </c>
      <c r="K253" s="21" t="str">
        <f aca="false">IF(I253&gt;=C253,"PASS","HOLD")</f>
        <v>HOLD</v>
      </c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customFormat="false" ht="15" hidden="false" customHeight="false" outlineLevel="0" collapsed="false">
      <c r="A254" s="9" t="s">
        <v>3146</v>
      </c>
      <c r="B254" s="9" t="s">
        <v>5684</v>
      </c>
      <c r="C254" s="9" t="n">
        <v>58.8</v>
      </c>
      <c r="D254" s="9" t="n">
        <v>114</v>
      </c>
      <c r="E254" s="9" t="n">
        <v>75</v>
      </c>
      <c r="F254" s="9" t="n">
        <v>7</v>
      </c>
      <c r="G254" s="9" t="n">
        <v>10</v>
      </c>
      <c r="H254" s="9" t="n">
        <v>65</v>
      </c>
      <c r="I254" s="9" t="n">
        <f aca="false">MAX(0,'Family Readiness'!J37-G254)</f>
        <v>0</v>
      </c>
      <c r="J254" s="43" t="str">
        <f aca="false">IF(H254&gt;=C254,"PASS","FAIL")</f>
        <v>PASS</v>
      </c>
      <c r="K254" s="21" t="str">
        <f aca="false">IF(I254&gt;=C254,"PASS","HOLD")</f>
        <v>HOLD</v>
      </c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customFormat="false" ht="15" hidden="false" customHeight="false" outlineLevel="0" collapsed="false">
      <c r="A255" s="9" t="s">
        <v>3262</v>
      </c>
      <c r="B255" s="9" t="s">
        <v>5676</v>
      </c>
      <c r="C255" s="9" t="n">
        <v>33.6</v>
      </c>
      <c r="D255" s="9" t="n">
        <v>65</v>
      </c>
      <c r="E255" s="9" t="n">
        <v>43</v>
      </c>
      <c r="F255" s="9" t="s">
        <v>5677</v>
      </c>
      <c r="G255" s="9" t="n">
        <v>0</v>
      </c>
      <c r="H255" s="9" t="n">
        <v>43</v>
      </c>
      <c r="I255" s="9" t="n">
        <f aca="false">MAX(0,'Family Readiness'!J38-G255)</f>
        <v>0</v>
      </c>
      <c r="J255" s="43" t="str">
        <f aca="false">IF(H255&gt;=C255,"PASS","FAIL")</f>
        <v>PASS</v>
      </c>
      <c r="K255" s="21" t="str">
        <f aca="false">IF(I255&gt;=C255,"PASS","HOLD")</f>
        <v>HOLD</v>
      </c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customFormat="false" ht="15" hidden="false" customHeight="false" outlineLevel="0" collapsed="false">
      <c r="A256" s="9" t="s">
        <v>3262</v>
      </c>
      <c r="B256" s="9" t="s">
        <v>5678</v>
      </c>
      <c r="C256" s="9" t="n">
        <v>33.6</v>
      </c>
      <c r="D256" s="9" t="n">
        <v>65</v>
      </c>
      <c r="E256" s="9" t="n">
        <v>43</v>
      </c>
      <c r="F256" s="9" t="n">
        <v>1</v>
      </c>
      <c r="G256" s="9" t="n">
        <v>7</v>
      </c>
      <c r="H256" s="9" t="n">
        <v>36</v>
      </c>
      <c r="I256" s="9" t="n">
        <f aca="false">MAX(0,'Family Readiness'!J38-G256)</f>
        <v>0</v>
      </c>
      <c r="J256" s="43" t="str">
        <f aca="false">IF(H256&gt;=C256,"PASS","FAIL")</f>
        <v>PASS</v>
      </c>
      <c r="K256" s="21" t="str">
        <f aca="false">IF(I256&gt;=C256,"PASS","HOLD")</f>
        <v>HOLD</v>
      </c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customFormat="false" ht="15" hidden="false" customHeight="false" outlineLevel="0" collapsed="false">
      <c r="A257" s="9" t="s">
        <v>3262</v>
      </c>
      <c r="B257" s="9" t="s">
        <v>5679</v>
      </c>
      <c r="C257" s="9" t="n">
        <v>33.6</v>
      </c>
      <c r="D257" s="9" t="n">
        <v>65</v>
      </c>
      <c r="E257" s="9" t="n">
        <v>43</v>
      </c>
      <c r="F257" s="9" t="n">
        <v>2</v>
      </c>
      <c r="G257" s="9" t="n">
        <v>6</v>
      </c>
      <c r="H257" s="9" t="n">
        <v>37</v>
      </c>
      <c r="I257" s="9" t="n">
        <f aca="false">MAX(0,'Family Readiness'!J38-G257)</f>
        <v>0</v>
      </c>
      <c r="J257" s="43" t="str">
        <f aca="false">IF(H257&gt;=C257,"PASS","FAIL")</f>
        <v>PASS</v>
      </c>
      <c r="K257" s="21" t="str">
        <f aca="false">IF(I257&gt;=C257,"PASS","HOLD")</f>
        <v>HOLD</v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customFormat="false" ht="15" hidden="false" customHeight="false" outlineLevel="0" collapsed="false">
      <c r="A258" s="9" t="s">
        <v>3262</v>
      </c>
      <c r="B258" s="9" t="s">
        <v>5680</v>
      </c>
      <c r="C258" s="9" t="n">
        <v>33.6</v>
      </c>
      <c r="D258" s="9" t="n">
        <v>65</v>
      </c>
      <c r="E258" s="9" t="n">
        <v>43</v>
      </c>
      <c r="F258" s="9" t="n">
        <v>3</v>
      </c>
      <c r="G258" s="9" t="n">
        <v>6</v>
      </c>
      <c r="H258" s="9" t="n">
        <v>37</v>
      </c>
      <c r="I258" s="9" t="n">
        <f aca="false">MAX(0,'Family Readiness'!J38-G258)</f>
        <v>0</v>
      </c>
      <c r="J258" s="43" t="str">
        <f aca="false">IF(H258&gt;=C258,"PASS","FAIL")</f>
        <v>PASS</v>
      </c>
      <c r="K258" s="21" t="str">
        <f aca="false">IF(I258&gt;=C258,"PASS","HOLD")</f>
        <v>HOLD</v>
      </c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customFormat="false" ht="15" hidden="false" customHeight="false" outlineLevel="0" collapsed="false">
      <c r="A259" s="9" t="s">
        <v>3262</v>
      </c>
      <c r="B259" s="9" t="s">
        <v>5681</v>
      </c>
      <c r="C259" s="9" t="n">
        <v>33.6</v>
      </c>
      <c r="D259" s="9" t="n">
        <v>65</v>
      </c>
      <c r="E259" s="9" t="n">
        <v>43</v>
      </c>
      <c r="F259" s="9" t="n">
        <v>4</v>
      </c>
      <c r="G259" s="9" t="n">
        <v>6</v>
      </c>
      <c r="H259" s="9" t="n">
        <v>37</v>
      </c>
      <c r="I259" s="9" t="n">
        <f aca="false">MAX(0,'Family Readiness'!J38-G259)</f>
        <v>0</v>
      </c>
      <c r="J259" s="43" t="str">
        <f aca="false">IF(H259&gt;=C259,"PASS","FAIL")</f>
        <v>PASS</v>
      </c>
      <c r="K259" s="21" t="str">
        <f aca="false">IF(I259&gt;=C259,"PASS","HOLD")</f>
        <v>HOLD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customFormat="false" ht="15" hidden="false" customHeight="false" outlineLevel="0" collapsed="false">
      <c r="A260" s="9" t="s">
        <v>3262</v>
      </c>
      <c r="B260" s="9" t="s">
        <v>5682</v>
      </c>
      <c r="C260" s="9" t="n">
        <v>33.6</v>
      </c>
      <c r="D260" s="9" t="n">
        <v>65</v>
      </c>
      <c r="E260" s="9" t="n">
        <v>43</v>
      </c>
      <c r="F260" s="9" t="n">
        <v>5</v>
      </c>
      <c r="G260" s="9" t="n">
        <v>6</v>
      </c>
      <c r="H260" s="9" t="n">
        <v>37</v>
      </c>
      <c r="I260" s="9" t="n">
        <f aca="false">MAX(0,'Family Readiness'!J38-G260)</f>
        <v>0</v>
      </c>
      <c r="J260" s="43" t="str">
        <f aca="false">IF(H260&gt;=C260,"PASS","FAIL")</f>
        <v>PASS</v>
      </c>
      <c r="K260" s="21" t="str">
        <f aca="false">IF(I260&gt;=C260,"PASS","HOLD")</f>
        <v>HOLD</v>
      </c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customFormat="false" ht="15" hidden="false" customHeight="false" outlineLevel="0" collapsed="false">
      <c r="A261" s="9" t="s">
        <v>3262</v>
      </c>
      <c r="B261" s="9" t="s">
        <v>5683</v>
      </c>
      <c r="C261" s="9" t="n">
        <v>33.6</v>
      </c>
      <c r="D261" s="9" t="n">
        <v>65</v>
      </c>
      <c r="E261" s="9" t="n">
        <v>43</v>
      </c>
      <c r="F261" s="9" t="n">
        <v>6</v>
      </c>
      <c r="G261" s="9" t="n">
        <v>6</v>
      </c>
      <c r="H261" s="9" t="n">
        <v>37</v>
      </c>
      <c r="I261" s="9" t="n">
        <f aca="false">MAX(0,'Family Readiness'!J38-G261)</f>
        <v>0</v>
      </c>
      <c r="J261" s="43" t="str">
        <f aca="false">IF(H261&gt;=C261,"PASS","FAIL")</f>
        <v>PASS</v>
      </c>
      <c r="K261" s="21" t="str">
        <f aca="false">IF(I261&gt;=C261,"PASS","HOLD")</f>
        <v>HOLD</v>
      </c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customFormat="false" ht="15" hidden="false" customHeight="false" outlineLevel="0" collapsed="false">
      <c r="A262" s="9" t="s">
        <v>3262</v>
      </c>
      <c r="B262" s="9" t="s">
        <v>5684</v>
      </c>
      <c r="C262" s="9" t="n">
        <v>33.6</v>
      </c>
      <c r="D262" s="9" t="n">
        <v>65</v>
      </c>
      <c r="E262" s="9" t="n">
        <v>43</v>
      </c>
      <c r="F262" s="9" t="n">
        <v>7</v>
      </c>
      <c r="G262" s="9" t="n">
        <v>6</v>
      </c>
      <c r="H262" s="9" t="n">
        <v>37</v>
      </c>
      <c r="I262" s="9" t="n">
        <f aca="false">MAX(0,'Family Readiness'!J38-G262)</f>
        <v>0</v>
      </c>
      <c r="J262" s="43" t="str">
        <f aca="false">IF(H262&gt;=C262,"PASS","FAIL")</f>
        <v>PASS</v>
      </c>
      <c r="K262" s="21" t="str">
        <f aca="false">IF(I262&gt;=C262,"PASS","HOLD")</f>
        <v>HOLD</v>
      </c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customFormat="false" ht="15" hidden="false" customHeight="false" outlineLevel="0" collapsed="false">
      <c r="A263" s="9" t="s">
        <v>3329</v>
      </c>
      <c r="B263" s="9" t="s">
        <v>5676</v>
      </c>
      <c r="C263" s="9" t="n">
        <v>50.4</v>
      </c>
      <c r="D263" s="9" t="n">
        <v>97</v>
      </c>
      <c r="E263" s="9" t="n">
        <v>64</v>
      </c>
      <c r="F263" s="9" t="s">
        <v>5677</v>
      </c>
      <c r="G263" s="9" t="n">
        <v>0</v>
      </c>
      <c r="H263" s="9" t="n">
        <v>64</v>
      </c>
      <c r="I263" s="9" t="n">
        <f aca="false">MAX(0,'Family Readiness'!J39-G263)</f>
        <v>0</v>
      </c>
      <c r="J263" s="43" t="str">
        <f aca="false">IF(H263&gt;=C263,"PASS","FAIL")</f>
        <v>PASS</v>
      </c>
      <c r="K263" s="21" t="str">
        <f aca="false">IF(I263&gt;=C263,"PASS","HOLD")</f>
        <v>HOLD</v>
      </c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customFormat="false" ht="15" hidden="false" customHeight="false" outlineLevel="0" collapsed="false">
      <c r="A264" s="9" t="s">
        <v>3329</v>
      </c>
      <c r="B264" s="9" t="s">
        <v>5678</v>
      </c>
      <c r="C264" s="9" t="n">
        <v>50.4</v>
      </c>
      <c r="D264" s="9" t="n">
        <v>97</v>
      </c>
      <c r="E264" s="9" t="n">
        <v>64</v>
      </c>
      <c r="F264" s="9" t="n">
        <v>1</v>
      </c>
      <c r="G264" s="9" t="n">
        <v>10</v>
      </c>
      <c r="H264" s="9" t="n">
        <v>54</v>
      </c>
      <c r="I264" s="9" t="n">
        <f aca="false">MAX(0,'Family Readiness'!J39-G264)</f>
        <v>0</v>
      </c>
      <c r="J264" s="43" t="str">
        <f aca="false">IF(H264&gt;=C264,"PASS","FAIL")</f>
        <v>PASS</v>
      </c>
      <c r="K264" s="21" t="str">
        <f aca="false">IF(I264&gt;=C264,"PASS","HOLD")</f>
        <v>HOLD</v>
      </c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customFormat="false" ht="15" hidden="false" customHeight="false" outlineLevel="0" collapsed="false">
      <c r="A265" s="9" t="s">
        <v>3329</v>
      </c>
      <c r="B265" s="9" t="s">
        <v>5679</v>
      </c>
      <c r="C265" s="9" t="n">
        <v>50.4</v>
      </c>
      <c r="D265" s="9" t="n">
        <v>97</v>
      </c>
      <c r="E265" s="9" t="n">
        <v>64</v>
      </c>
      <c r="F265" s="9" t="n">
        <v>2</v>
      </c>
      <c r="G265" s="9" t="n">
        <v>9</v>
      </c>
      <c r="H265" s="9" t="n">
        <v>55</v>
      </c>
      <c r="I265" s="9" t="n">
        <f aca="false">MAX(0,'Family Readiness'!J39-G265)</f>
        <v>0</v>
      </c>
      <c r="J265" s="43" t="str">
        <f aca="false">IF(H265&gt;=C265,"PASS","FAIL")</f>
        <v>PASS</v>
      </c>
      <c r="K265" s="21" t="str">
        <f aca="false">IF(I265&gt;=C265,"PASS","HOLD")</f>
        <v>HOLD</v>
      </c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customFormat="false" ht="15" hidden="false" customHeight="false" outlineLevel="0" collapsed="false">
      <c r="A266" s="9" t="s">
        <v>3329</v>
      </c>
      <c r="B266" s="9" t="s">
        <v>5680</v>
      </c>
      <c r="C266" s="9" t="n">
        <v>50.4</v>
      </c>
      <c r="D266" s="9" t="n">
        <v>97</v>
      </c>
      <c r="E266" s="9" t="n">
        <v>64</v>
      </c>
      <c r="F266" s="9" t="n">
        <v>3</v>
      </c>
      <c r="G266" s="9" t="n">
        <v>9</v>
      </c>
      <c r="H266" s="9" t="n">
        <v>55</v>
      </c>
      <c r="I266" s="9" t="n">
        <f aca="false">MAX(0,'Family Readiness'!J39-G266)</f>
        <v>0</v>
      </c>
      <c r="J266" s="43" t="str">
        <f aca="false">IF(H266&gt;=C266,"PASS","FAIL")</f>
        <v>PASS</v>
      </c>
      <c r="K266" s="21" t="str">
        <f aca="false">IF(I266&gt;=C266,"PASS","HOLD")</f>
        <v>HOLD</v>
      </c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customFormat="false" ht="15" hidden="false" customHeight="false" outlineLevel="0" collapsed="false">
      <c r="A267" s="9" t="s">
        <v>3329</v>
      </c>
      <c r="B267" s="9" t="s">
        <v>5681</v>
      </c>
      <c r="C267" s="9" t="n">
        <v>50.4</v>
      </c>
      <c r="D267" s="9" t="n">
        <v>97</v>
      </c>
      <c r="E267" s="9" t="n">
        <v>64</v>
      </c>
      <c r="F267" s="9" t="n">
        <v>4</v>
      </c>
      <c r="G267" s="9" t="n">
        <v>9</v>
      </c>
      <c r="H267" s="9" t="n">
        <v>55</v>
      </c>
      <c r="I267" s="9" t="n">
        <f aca="false">MAX(0,'Family Readiness'!J39-G267)</f>
        <v>0</v>
      </c>
      <c r="J267" s="43" t="str">
        <f aca="false">IF(H267&gt;=C267,"PASS","FAIL")</f>
        <v>PASS</v>
      </c>
      <c r="K267" s="21" t="str">
        <f aca="false">IF(I267&gt;=C267,"PASS","HOLD")</f>
        <v>HOLD</v>
      </c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customFormat="false" ht="15" hidden="false" customHeight="false" outlineLevel="0" collapsed="false">
      <c r="A268" s="9" t="s">
        <v>3329</v>
      </c>
      <c r="B268" s="9" t="s">
        <v>5682</v>
      </c>
      <c r="C268" s="9" t="n">
        <v>50.4</v>
      </c>
      <c r="D268" s="9" t="n">
        <v>97</v>
      </c>
      <c r="E268" s="9" t="n">
        <v>64</v>
      </c>
      <c r="F268" s="9" t="n">
        <v>5</v>
      </c>
      <c r="G268" s="9" t="n">
        <v>9</v>
      </c>
      <c r="H268" s="9" t="n">
        <v>55</v>
      </c>
      <c r="I268" s="9" t="n">
        <f aca="false">MAX(0,'Family Readiness'!J39-G268)</f>
        <v>0</v>
      </c>
      <c r="J268" s="43" t="str">
        <f aca="false">IF(H268&gt;=C268,"PASS","FAIL")</f>
        <v>PASS</v>
      </c>
      <c r="K268" s="21" t="str">
        <f aca="false">IF(I268&gt;=C268,"PASS","HOLD")</f>
        <v>HOLD</v>
      </c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customFormat="false" ht="15" hidden="false" customHeight="false" outlineLevel="0" collapsed="false">
      <c r="A269" s="9" t="s">
        <v>3329</v>
      </c>
      <c r="B269" s="9" t="s">
        <v>5683</v>
      </c>
      <c r="C269" s="9" t="n">
        <v>50.4</v>
      </c>
      <c r="D269" s="9" t="n">
        <v>97</v>
      </c>
      <c r="E269" s="9" t="n">
        <v>64</v>
      </c>
      <c r="F269" s="9" t="n">
        <v>6</v>
      </c>
      <c r="G269" s="9" t="n">
        <v>9</v>
      </c>
      <c r="H269" s="9" t="n">
        <v>55</v>
      </c>
      <c r="I269" s="9" t="n">
        <f aca="false">MAX(0,'Family Readiness'!J39-G269)</f>
        <v>0</v>
      </c>
      <c r="J269" s="43" t="str">
        <f aca="false">IF(H269&gt;=C269,"PASS","FAIL")</f>
        <v>PASS</v>
      </c>
      <c r="K269" s="21" t="str">
        <f aca="false">IF(I269&gt;=C269,"PASS","HOLD")</f>
        <v>HOLD</v>
      </c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customFormat="false" ht="15" hidden="false" customHeight="false" outlineLevel="0" collapsed="false">
      <c r="A270" s="9" t="s">
        <v>3329</v>
      </c>
      <c r="B270" s="9" t="s">
        <v>5684</v>
      </c>
      <c r="C270" s="9" t="n">
        <v>50.4</v>
      </c>
      <c r="D270" s="9" t="n">
        <v>97</v>
      </c>
      <c r="E270" s="9" t="n">
        <v>64</v>
      </c>
      <c r="F270" s="9" t="n">
        <v>7</v>
      </c>
      <c r="G270" s="9" t="n">
        <v>9</v>
      </c>
      <c r="H270" s="9" t="n">
        <v>55</v>
      </c>
      <c r="I270" s="9" t="n">
        <f aca="false">MAX(0,'Family Readiness'!J39-G270)</f>
        <v>0</v>
      </c>
      <c r="J270" s="43" t="str">
        <f aca="false">IF(H270&gt;=C270,"PASS","FAIL")</f>
        <v>PASS</v>
      </c>
      <c r="K270" s="21" t="str">
        <f aca="false">IF(I270&gt;=C270,"PASS","HOLD")</f>
        <v>HOLD</v>
      </c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customFormat="false" ht="15" hidden="false" customHeight="false" outlineLevel="0" collapsed="false">
      <c r="A271" s="9" t="s">
        <v>3428</v>
      </c>
      <c r="B271" s="9" t="s">
        <v>5676</v>
      </c>
      <c r="C271" s="9" t="n">
        <v>58.8</v>
      </c>
      <c r="D271" s="9" t="n">
        <v>114</v>
      </c>
      <c r="E271" s="9" t="n">
        <v>75</v>
      </c>
      <c r="F271" s="9" t="s">
        <v>5677</v>
      </c>
      <c r="G271" s="9" t="n">
        <v>0</v>
      </c>
      <c r="H271" s="9" t="n">
        <v>75</v>
      </c>
      <c r="I271" s="9" t="n">
        <f aca="false">MAX(0,'Family Readiness'!J40-G271)</f>
        <v>0</v>
      </c>
      <c r="J271" s="43" t="str">
        <f aca="false">IF(H271&gt;=C271,"PASS","FAIL")</f>
        <v>PASS</v>
      </c>
      <c r="K271" s="21" t="str">
        <f aca="false">IF(I271&gt;=C271,"PASS","HOLD")</f>
        <v>HOLD</v>
      </c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customFormat="false" ht="15" hidden="false" customHeight="false" outlineLevel="0" collapsed="false">
      <c r="A272" s="9" t="s">
        <v>3428</v>
      </c>
      <c r="B272" s="9" t="s">
        <v>5678</v>
      </c>
      <c r="C272" s="9" t="n">
        <v>58.8</v>
      </c>
      <c r="D272" s="9" t="n">
        <v>114</v>
      </c>
      <c r="E272" s="9" t="n">
        <v>75</v>
      </c>
      <c r="F272" s="9" t="n">
        <v>1</v>
      </c>
      <c r="G272" s="9" t="n">
        <v>11</v>
      </c>
      <c r="H272" s="9" t="n">
        <v>64</v>
      </c>
      <c r="I272" s="9" t="n">
        <f aca="false">MAX(0,'Family Readiness'!J40-G272)</f>
        <v>0</v>
      </c>
      <c r="J272" s="43" t="str">
        <f aca="false">IF(H272&gt;=C272,"PASS","FAIL")</f>
        <v>PASS</v>
      </c>
      <c r="K272" s="21" t="str">
        <f aca="false">IF(I272&gt;=C272,"PASS","HOLD")</f>
        <v>HOLD</v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customFormat="false" ht="15" hidden="false" customHeight="false" outlineLevel="0" collapsed="false">
      <c r="A273" s="9" t="s">
        <v>3428</v>
      </c>
      <c r="B273" s="9" t="s">
        <v>5679</v>
      </c>
      <c r="C273" s="9" t="n">
        <v>58.8</v>
      </c>
      <c r="D273" s="9" t="n">
        <v>114</v>
      </c>
      <c r="E273" s="9" t="n">
        <v>75</v>
      </c>
      <c r="F273" s="9" t="n">
        <v>2</v>
      </c>
      <c r="G273" s="9" t="n">
        <v>11</v>
      </c>
      <c r="H273" s="9" t="n">
        <v>64</v>
      </c>
      <c r="I273" s="9" t="n">
        <f aca="false">MAX(0,'Family Readiness'!J40-G273)</f>
        <v>0</v>
      </c>
      <c r="J273" s="43" t="str">
        <f aca="false">IF(H273&gt;=C273,"PASS","FAIL")</f>
        <v>PASS</v>
      </c>
      <c r="K273" s="21" t="str">
        <f aca="false">IF(I273&gt;=C273,"PASS","HOLD")</f>
        <v>HOLD</v>
      </c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customFormat="false" ht="15" hidden="false" customHeight="false" outlineLevel="0" collapsed="false">
      <c r="A274" s="9" t="s">
        <v>3428</v>
      </c>
      <c r="B274" s="9" t="s">
        <v>5680</v>
      </c>
      <c r="C274" s="9" t="n">
        <v>58.8</v>
      </c>
      <c r="D274" s="9" t="n">
        <v>114</v>
      </c>
      <c r="E274" s="9" t="n">
        <v>75</v>
      </c>
      <c r="F274" s="9" t="n">
        <v>3</v>
      </c>
      <c r="G274" s="9" t="n">
        <v>11</v>
      </c>
      <c r="H274" s="9" t="n">
        <v>64</v>
      </c>
      <c r="I274" s="9" t="n">
        <f aca="false">MAX(0,'Family Readiness'!J40-G274)</f>
        <v>0</v>
      </c>
      <c r="J274" s="43" t="str">
        <f aca="false">IF(H274&gt;=C274,"PASS","FAIL")</f>
        <v>PASS</v>
      </c>
      <c r="K274" s="21" t="str">
        <f aca="false">IF(I274&gt;=C274,"PASS","HOLD")</f>
        <v>HOLD</v>
      </c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customFormat="false" ht="15" hidden="false" customHeight="false" outlineLevel="0" collapsed="false">
      <c r="A275" s="9" t="s">
        <v>3428</v>
      </c>
      <c r="B275" s="9" t="s">
        <v>5681</v>
      </c>
      <c r="C275" s="9" t="n">
        <v>58.8</v>
      </c>
      <c r="D275" s="9" t="n">
        <v>114</v>
      </c>
      <c r="E275" s="9" t="n">
        <v>75</v>
      </c>
      <c r="F275" s="9" t="n">
        <v>4</v>
      </c>
      <c r="G275" s="9" t="n">
        <v>11</v>
      </c>
      <c r="H275" s="9" t="n">
        <v>64</v>
      </c>
      <c r="I275" s="9" t="n">
        <f aca="false">MAX(0,'Family Readiness'!J40-G275)</f>
        <v>0</v>
      </c>
      <c r="J275" s="43" t="str">
        <f aca="false">IF(H275&gt;=C275,"PASS","FAIL")</f>
        <v>PASS</v>
      </c>
      <c r="K275" s="21" t="str">
        <f aca="false">IF(I275&gt;=C275,"PASS","HOLD")</f>
        <v>HOLD</v>
      </c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customFormat="false" ht="15" hidden="false" customHeight="false" outlineLevel="0" collapsed="false">
      <c r="A276" s="9" t="s">
        <v>3428</v>
      </c>
      <c r="B276" s="9" t="s">
        <v>5682</v>
      </c>
      <c r="C276" s="9" t="n">
        <v>58.8</v>
      </c>
      <c r="D276" s="9" t="n">
        <v>114</v>
      </c>
      <c r="E276" s="9" t="n">
        <v>75</v>
      </c>
      <c r="F276" s="9" t="n">
        <v>5</v>
      </c>
      <c r="G276" s="9" t="n">
        <v>11</v>
      </c>
      <c r="H276" s="9" t="n">
        <v>64</v>
      </c>
      <c r="I276" s="9" t="n">
        <f aca="false">MAX(0,'Family Readiness'!J40-G276)</f>
        <v>0</v>
      </c>
      <c r="J276" s="43" t="str">
        <f aca="false">IF(H276&gt;=C276,"PASS","FAIL")</f>
        <v>PASS</v>
      </c>
      <c r="K276" s="21" t="str">
        <f aca="false">IF(I276&gt;=C276,"PASS","HOLD")</f>
        <v>HOLD</v>
      </c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customFormat="false" ht="15" hidden="false" customHeight="false" outlineLevel="0" collapsed="false">
      <c r="A277" s="9" t="s">
        <v>3428</v>
      </c>
      <c r="B277" s="9" t="s">
        <v>5683</v>
      </c>
      <c r="C277" s="9" t="n">
        <v>58.8</v>
      </c>
      <c r="D277" s="9" t="n">
        <v>114</v>
      </c>
      <c r="E277" s="9" t="n">
        <v>75</v>
      </c>
      <c r="F277" s="9" t="n">
        <v>6</v>
      </c>
      <c r="G277" s="9" t="n">
        <v>10</v>
      </c>
      <c r="H277" s="9" t="n">
        <v>65</v>
      </c>
      <c r="I277" s="9" t="n">
        <f aca="false">MAX(0,'Family Readiness'!J40-G277)</f>
        <v>0</v>
      </c>
      <c r="J277" s="43" t="str">
        <f aca="false">IF(H277&gt;=C277,"PASS","FAIL")</f>
        <v>PASS</v>
      </c>
      <c r="K277" s="21" t="str">
        <f aca="false">IF(I277&gt;=C277,"PASS","HOLD")</f>
        <v>HOLD</v>
      </c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customFormat="false" ht="15" hidden="false" customHeight="false" outlineLevel="0" collapsed="false">
      <c r="A278" s="9" t="s">
        <v>3428</v>
      </c>
      <c r="B278" s="9" t="s">
        <v>5684</v>
      </c>
      <c r="C278" s="9" t="n">
        <v>58.8</v>
      </c>
      <c r="D278" s="9" t="n">
        <v>114</v>
      </c>
      <c r="E278" s="9" t="n">
        <v>75</v>
      </c>
      <c r="F278" s="9" t="n">
        <v>7</v>
      </c>
      <c r="G278" s="9" t="n">
        <v>10</v>
      </c>
      <c r="H278" s="9" t="n">
        <v>65</v>
      </c>
      <c r="I278" s="9" t="n">
        <f aca="false">MAX(0,'Family Readiness'!J40-G278)</f>
        <v>0</v>
      </c>
      <c r="J278" s="43" t="str">
        <f aca="false">IF(H278&gt;=C278,"PASS","FAIL")</f>
        <v>PASS</v>
      </c>
      <c r="K278" s="21" t="str">
        <f aca="false">IF(I278&gt;=C278,"PASS","HOLD")</f>
        <v>HOLD</v>
      </c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customFormat="false" ht="15" hidden="false" customHeight="false" outlineLevel="0" collapsed="false">
      <c r="A279" s="9" t="s">
        <v>3544</v>
      </c>
      <c r="B279" s="9" t="s">
        <v>5676</v>
      </c>
      <c r="C279" s="9" t="n">
        <v>90</v>
      </c>
      <c r="D279" s="9" t="n">
        <v>174</v>
      </c>
      <c r="E279" s="9" t="n">
        <v>114</v>
      </c>
      <c r="F279" s="9" t="s">
        <v>5677</v>
      </c>
      <c r="G279" s="9" t="n">
        <v>0</v>
      </c>
      <c r="H279" s="9" t="n">
        <v>114</v>
      </c>
      <c r="I279" s="9" t="n">
        <f aca="false">MAX(0,'Family Readiness'!J41-G279)</f>
        <v>0</v>
      </c>
      <c r="J279" s="43" t="str">
        <f aca="false">IF(H279&gt;=C279,"PASS","FAIL")</f>
        <v>PASS</v>
      </c>
      <c r="K279" s="21" t="str">
        <f aca="false">IF(I279&gt;=C279,"PASS","HOLD")</f>
        <v>HOLD</v>
      </c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customFormat="false" ht="15" hidden="false" customHeight="false" outlineLevel="0" collapsed="false">
      <c r="A280" s="9" t="s">
        <v>3544</v>
      </c>
      <c r="B280" s="9" t="s">
        <v>5678</v>
      </c>
      <c r="C280" s="9" t="n">
        <v>90</v>
      </c>
      <c r="D280" s="9" t="n">
        <v>174</v>
      </c>
      <c r="E280" s="9" t="n">
        <v>114</v>
      </c>
      <c r="F280" s="9" t="n">
        <v>1</v>
      </c>
      <c r="G280" s="9" t="n">
        <v>17</v>
      </c>
      <c r="H280" s="9" t="n">
        <v>97</v>
      </c>
      <c r="I280" s="9" t="n">
        <f aca="false">MAX(0,'Family Readiness'!J41-G280)</f>
        <v>0</v>
      </c>
      <c r="J280" s="43" t="str">
        <f aca="false">IF(H280&gt;=C280,"PASS","FAIL")</f>
        <v>PASS</v>
      </c>
      <c r="K280" s="21" t="str">
        <f aca="false">IF(I280&gt;=C280,"PASS","HOLD")</f>
        <v>HOLD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customFormat="false" ht="15" hidden="false" customHeight="false" outlineLevel="0" collapsed="false">
      <c r="A281" s="9" t="s">
        <v>3544</v>
      </c>
      <c r="B281" s="9" t="s">
        <v>5679</v>
      </c>
      <c r="C281" s="9" t="n">
        <v>90</v>
      </c>
      <c r="D281" s="9" t="n">
        <v>174</v>
      </c>
      <c r="E281" s="9" t="n">
        <v>114</v>
      </c>
      <c r="F281" s="9" t="n">
        <v>2</v>
      </c>
      <c r="G281" s="9" t="n">
        <v>17</v>
      </c>
      <c r="H281" s="9" t="n">
        <v>97</v>
      </c>
      <c r="I281" s="9" t="n">
        <f aca="false">MAX(0,'Family Readiness'!J41-G281)</f>
        <v>0</v>
      </c>
      <c r="J281" s="43" t="str">
        <f aca="false">IF(H281&gt;=C281,"PASS","FAIL")</f>
        <v>PASS</v>
      </c>
      <c r="K281" s="21" t="str">
        <f aca="false">IF(I281&gt;=C281,"PASS","HOLD")</f>
        <v>HOLD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customFormat="false" ht="15" hidden="false" customHeight="false" outlineLevel="0" collapsed="false">
      <c r="A282" s="9" t="s">
        <v>3544</v>
      </c>
      <c r="B282" s="9" t="s">
        <v>5680</v>
      </c>
      <c r="C282" s="9" t="n">
        <v>90</v>
      </c>
      <c r="D282" s="9" t="n">
        <v>174</v>
      </c>
      <c r="E282" s="9" t="n">
        <v>114</v>
      </c>
      <c r="F282" s="9" t="n">
        <v>3</v>
      </c>
      <c r="G282" s="9" t="n">
        <v>16</v>
      </c>
      <c r="H282" s="9" t="n">
        <v>98</v>
      </c>
      <c r="I282" s="9" t="n">
        <f aca="false">MAX(0,'Family Readiness'!J41-G282)</f>
        <v>0</v>
      </c>
      <c r="J282" s="43" t="str">
        <f aca="false">IF(H282&gt;=C282,"PASS","FAIL")</f>
        <v>PASS</v>
      </c>
      <c r="K282" s="21" t="str">
        <f aca="false">IF(I282&gt;=C282,"PASS","HOLD")</f>
        <v>HOLD</v>
      </c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customFormat="false" ht="15" hidden="false" customHeight="false" outlineLevel="0" collapsed="false">
      <c r="A283" s="9" t="s">
        <v>3544</v>
      </c>
      <c r="B283" s="9" t="s">
        <v>5681</v>
      </c>
      <c r="C283" s="9" t="n">
        <v>90</v>
      </c>
      <c r="D283" s="9" t="n">
        <v>174</v>
      </c>
      <c r="E283" s="9" t="n">
        <v>114</v>
      </c>
      <c r="F283" s="9" t="n">
        <v>4</v>
      </c>
      <c r="G283" s="9" t="n">
        <v>16</v>
      </c>
      <c r="H283" s="9" t="n">
        <v>98</v>
      </c>
      <c r="I283" s="9" t="n">
        <f aca="false">MAX(0,'Family Readiness'!J41-G283)</f>
        <v>0</v>
      </c>
      <c r="J283" s="43" t="str">
        <f aca="false">IF(H283&gt;=C283,"PASS","FAIL")</f>
        <v>PASS</v>
      </c>
      <c r="K283" s="21" t="str">
        <f aca="false">IF(I283&gt;=C283,"PASS","HOLD")</f>
        <v>HOLD</v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customFormat="false" ht="15" hidden="false" customHeight="false" outlineLevel="0" collapsed="false">
      <c r="A284" s="9" t="s">
        <v>3544</v>
      </c>
      <c r="B284" s="9" t="s">
        <v>5682</v>
      </c>
      <c r="C284" s="9" t="n">
        <v>90</v>
      </c>
      <c r="D284" s="9" t="n">
        <v>174</v>
      </c>
      <c r="E284" s="9" t="n">
        <v>114</v>
      </c>
      <c r="F284" s="9" t="n">
        <v>5</v>
      </c>
      <c r="G284" s="9" t="n">
        <v>16</v>
      </c>
      <c r="H284" s="9" t="n">
        <v>98</v>
      </c>
      <c r="I284" s="9" t="n">
        <f aca="false">MAX(0,'Family Readiness'!J41-G284)</f>
        <v>0</v>
      </c>
      <c r="J284" s="43" t="str">
        <f aca="false">IF(H284&gt;=C284,"PASS","FAIL")</f>
        <v>PASS</v>
      </c>
      <c r="K284" s="21" t="str">
        <f aca="false">IF(I284&gt;=C284,"PASS","HOLD")</f>
        <v>HOLD</v>
      </c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customFormat="false" ht="15" hidden="false" customHeight="false" outlineLevel="0" collapsed="false">
      <c r="A285" s="9" t="s">
        <v>3544</v>
      </c>
      <c r="B285" s="9" t="s">
        <v>5683</v>
      </c>
      <c r="C285" s="9" t="n">
        <v>90</v>
      </c>
      <c r="D285" s="9" t="n">
        <v>174</v>
      </c>
      <c r="E285" s="9" t="n">
        <v>114</v>
      </c>
      <c r="F285" s="9" t="n">
        <v>6</v>
      </c>
      <c r="G285" s="9" t="n">
        <v>16</v>
      </c>
      <c r="H285" s="9" t="n">
        <v>98</v>
      </c>
      <c r="I285" s="9" t="n">
        <f aca="false">MAX(0,'Family Readiness'!J41-G285)</f>
        <v>0</v>
      </c>
      <c r="J285" s="43" t="str">
        <f aca="false">IF(H285&gt;=C285,"PASS","FAIL")</f>
        <v>PASS</v>
      </c>
      <c r="K285" s="21" t="str">
        <f aca="false">IF(I285&gt;=C285,"PASS","HOLD")</f>
        <v>HOLD</v>
      </c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customFormat="false" ht="15" hidden="false" customHeight="false" outlineLevel="0" collapsed="false">
      <c r="A286" s="9" t="s">
        <v>3544</v>
      </c>
      <c r="B286" s="9" t="s">
        <v>5684</v>
      </c>
      <c r="C286" s="9" t="n">
        <v>90</v>
      </c>
      <c r="D286" s="9" t="n">
        <v>174</v>
      </c>
      <c r="E286" s="9" t="n">
        <v>114</v>
      </c>
      <c r="F286" s="9" t="n">
        <v>7</v>
      </c>
      <c r="G286" s="9" t="n">
        <v>16</v>
      </c>
      <c r="H286" s="9" t="n">
        <v>98</v>
      </c>
      <c r="I286" s="9" t="n">
        <f aca="false">MAX(0,'Family Readiness'!J41-G286)</f>
        <v>0</v>
      </c>
      <c r="J286" s="43" t="str">
        <f aca="false">IF(H286&gt;=C286,"PASS","FAIL")</f>
        <v>PASS</v>
      </c>
      <c r="K286" s="21" t="str">
        <f aca="false">IF(I286&gt;=C286,"PASS","HOLD")</f>
        <v>HOLD</v>
      </c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customFormat="false" ht="15" hidden="false" customHeight="false" outlineLevel="0" collapsed="false">
      <c r="A287" s="9" t="s">
        <v>3720</v>
      </c>
      <c r="B287" s="9" t="s">
        <v>5676</v>
      </c>
      <c r="C287" s="9" t="n">
        <v>129.6</v>
      </c>
      <c r="D287" s="9" t="n">
        <v>216</v>
      </c>
      <c r="E287" s="9" t="n">
        <v>162</v>
      </c>
      <c r="F287" s="9" t="s">
        <v>5677</v>
      </c>
      <c r="G287" s="9" t="n">
        <v>0</v>
      </c>
      <c r="H287" s="9" t="n">
        <v>162</v>
      </c>
      <c r="I287" s="9" t="n">
        <f aca="false">MAX(0,'Family Readiness'!J42-G287)</f>
        <v>0</v>
      </c>
      <c r="J287" s="43" t="str">
        <f aca="false">IF(H287&gt;=C287,"PASS","FAIL")</f>
        <v>PASS</v>
      </c>
      <c r="K287" s="21" t="str">
        <f aca="false">IF(I287&gt;=C287,"PASS","HOLD")</f>
        <v>HOLD</v>
      </c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customFormat="false" ht="15" hidden="false" customHeight="false" outlineLevel="0" collapsed="false">
      <c r="A288" s="9" t="s">
        <v>3720</v>
      </c>
      <c r="B288" s="9" t="s">
        <v>5678</v>
      </c>
      <c r="C288" s="9" t="n">
        <v>129.6</v>
      </c>
      <c r="D288" s="9" t="n">
        <v>216</v>
      </c>
      <c r="E288" s="9" t="n">
        <v>162</v>
      </c>
      <c r="F288" s="9" t="n">
        <v>1</v>
      </c>
      <c r="G288" s="9" t="n">
        <v>24</v>
      </c>
      <c r="H288" s="9" t="n">
        <v>138</v>
      </c>
      <c r="I288" s="9" t="n">
        <f aca="false">MAX(0,'Family Readiness'!J42-G288)</f>
        <v>0</v>
      </c>
      <c r="J288" s="43" t="str">
        <f aca="false">IF(H288&gt;=C288,"PASS","FAIL")</f>
        <v>PASS</v>
      </c>
      <c r="K288" s="21" t="str">
        <f aca="false">IF(I288&gt;=C288,"PASS","HOLD")</f>
        <v>HOLD</v>
      </c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customFormat="false" ht="15" hidden="false" customHeight="false" outlineLevel="0" collapsed="false">
      <c r="A289" s="9" t="s">
        <v>3720</v>
      </c>
      <c r="B289" s="9" t="s">
        <v>5679</v>
      </c>
      <c r="C289" s="9" t="n">
        <v>129.6</v>
      </c>
      <c r="D289" s="9" t="n">
        <v>216</v>
      </c>
      <c r="E289" s="9" t="n">
        <v>162</v>
      </c>
      <c r="F289" s="9" t="n">
        <v>2</v>
      </c>
      <c r="G289" s="9" t="n">
        <v>23</v>
      </c>
      <c r="H289" s="9" t="n">
        <v>139</v>
      </c>
      <c r="I289" s="9" t="n">
        <f aca="false">MAX(0,'Family Readiness'!J42-G289)</f>
        <v>0</v>
      </c>
      <c r="J289" s="43" t="str">
        <f aca="false">IF(H289&gt;=C289,"PASS","FAIL")</f>
        <v>PASS</v>
      </c>
      <c r="K289" s="21" t="str">
        <f aca="false">IF(I289&gt;=C289,"PASS","HOLD")</f>
        <v>HOLD</v>
      </c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customFormat="false" ht="15" hidden="false" customHeight="false" outlineLevel="0" collapsed="false">
      <c r="A290" s="9" t="s">
        <v>3720</v>
      </c>
      <c r="B290" s="9" t="s">
        <v>5680</v>
      </c>
      <c r="C290" s="9" t="n">
        <v>129.6</v>
      </c>
      <c r="D290" s="9" t="n">
        <v>216</v>
      </c>
      <c r="E290" s="9" t="n">
        <v>162</v>
      </c>
      <c r="F290" s="9" t="n">
        <v>3</v>
      </c>
      <c r="G290" s="9" t="n">
        <v>23</v>
      </c>
      <c r="H290" s="9" t="n">
        <v>139</v>
      </c>
      <c r="I290" s="9" t="n">
        <f aca="false">MAX(0,'Family Readiness'!J42-G290)</f>
        <v>0</v>
      </c>
      <c r="J290" s="43" t="str">
        <f aca="false">IF(H290&gt;=C290,"PASS","FAIL")</f>
        <v>PASS</v>
      </c>
      <c r="K290" s="21" t="str">
        <f aca="false">IF(I290&gt;=C290,"PASS","HOLD")</f>
        <v>HOLD</v>
      </c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customFormat="false" ht="15" hidden="false" customHeight="false" outlineLevel="0" collapsed="false">
      <c r="A291" s="9" t="s">
        <v>3720</v>
      </c>
      <c r="B291" s="9" t="s">
        <v>5681</v>
      </c>
      <c r="C291" s="9" t="n">
        <v>129.6</v>
      </c>
      <c r="D291" s="9" t="n">
        <v>216</v>
      </c>
      <c r="E291" s="9" t="n">
        <v>162</v>
      </c>
      <c r="F291" s="9" t="n">
        <v>4</v>
      </c>
      <c r="G291" s="9" t="n">
        <v>23</v>
      </c>
      <c r="H291" s="9" t="n">
        <v>139</v>
      </c>
      <c r="I291" s="9" t="n">
        <f aca="false">MAX(0,'Family Readiness'!J42-G291)</f>
        <v>0</v>
      </c>
      <c r="J291" s="43" t="str">
        <f aca="false">IF(H291&gt;=C291,"PASS","FAIL")</f>
        <v>PASS</v>
      </c>
      <c r="K291" s="21" t="str">
        <f aca="false">IF(I291&gt;=C291,"PASS","HOLD")</f>
        <v>HOLD</v>
      </c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customFormat="false" ht="15" hidden="false" customHeight="false" outlineLevel="0" collapsed="false">
      <c r="A292" s="9" t="s">
        <v>3720</v>
      </c>
      <c r="B292" s="9" t="s">
        <v>5682</v>
      </c>
      <c r="C292" s="9" t="n">
        <v>129.6</v>
      </c>
      <c r="D292" s="9" t="n">
        <v>216</v>
      </c>
      <c r="E292" s="9" t="n">
        <v>162</v>
      </c>
      <c r="F292" s="9" t="n">
        <v>5</v>
      </c>
      <c r="G292" s="9" t="n">
        <v>23</v>
      </c>
      <c r="H292" s="9" t="n">
        <v>139</v>
      </c>
      <c r="I292" s="9" t="n">
        <f aca="false">MAX(0,'Family Readiness'!J42-G292)</f>
        <v>0</v>
      </c>
      <c r="J292" s="43" t="str">
        <f aca="false">IF(H292&gt;=C292,"PASS","FAIL")</f>
        <v>PASS</v>
      </c>
      <c r="K292" s="21" t="str">
        <f aca="false">IF(I292&gt;=C292,"PASS","HOLD")</f>
        <v>HOLD</v>
      </c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customFormat="false" ht="15" hidden="false" customHeight="false" outlineLevel="0" collapsed="false">
      <c r="A293" s="9" t="s">
        <v>3720</v>
      </c>
      <c r="B293" s="9" t="s">
        <v>5683</v>
      </c>
      <c r="C293" s="9" t="n">
        <v>129.6</v>
      </c>
      <c r="D293" s="9" t="n">
        <v>216</v>
      </c>
      <c r="E293" s="9" t="n">
        <v>162</v>
      </c>
      <c r="F293" s="9" t="n">
        <v>6</v>
      </c>
      <c r="G293" s="9" t="n">
        <v>23</v>
      </c>
      <c r="H293" s="9" t="n">
        <v>139</v>
      </c>
      <c r="I293" s="9" t="n">
        <f aca="false">MAX(0,'Family Readiness'!J42-G293)</f>
        <v>0</v>
      </c>
      <c r="J293" s="43" t="str">
        <f aca="false">IF(H293&gt;=C293,"PASS","FAIL")</f>
        <v>PASS</v>
      </c>
      <c r="K293" s="21" t="str">
        <f aca="false">IF(I293&gt;=C293,"PASS","HOLD")</f>
        <v>HOLD</v>
      </c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customFormat="false" ht="15" hidden="false" customHeight="false" outlineLevel="0" collapsed="false">
      <c r="A294" s="9" t="s">
        <v>3720</v>
      </c>
      <c r="B294" s="9" t="s">
        <v>5684</v>
      </c>
      <c r="C294" s="9" t="n">
        <v>129.6</v>
      </c>
      <c r="D294" s="9" t="n">
        <v>216</v>
      </c>
      <c r="E294" s="9" t="n">
        <v>162</v>
      </c>
      <c r="F294" s="9" t="n">
        <v>7</v>
      </c>
      <c r="G294" s="9" t="n">
        <v>23</v>
      </c>
      <c r="H294" s="9" t="n">
        <v>139</v>
      </c>
      <c r="I294" s="9" t="n">
        <f aca="false">MAX(0,'Family Readiness'!J42-G294)</f>
        <v>0</v>
      </c>
      <c r="J294" s="43" t="str">
        <f aca="false">IF(H294&gt;=C294,"PASS","FAIL")</f>
        <v>PASS</v>
      </c>
      <c r="K294" s="21" t="str">
        <f aca="false">IF(I294&gt;=C294,"PASS","HOLD")</f>
        <v>HOLD</v>
      </c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customFormat="false" ht="15" hidden="false" customHeight="false" outlineLevel="0" collapsed="false">
      <c r="A295" s="9" t="s">
        <v>3939</v>
      </c>
      <c r="B295" s="9" t="s">
        <v>5676</v>
      </c>
      <c r="C295" s="9" t="n">
        <v>129.6</v>
      </c>
      <c r="D295" s="9" t="n">
        <v>216</v>
      </c>
      <c r="E295" s="9" t="n">
        <v>162</v>
      </c>
      <c r="F295" s="9" t="s">
        <v>5677</v>
      </c>
      <c r="G295" s="9" t="n">
        <v>0</v>
      </c>
      <c r="H295" s="9" t="n">
        <v>162</v>
      </c>
      <c r="I295" s="9" t="n">
        <f aca="false">MAX(0,'Family Readiness'!J43-G295)</f>
        <v>0</v>
      </c>
      <c r="J295" s="43" t="str">
        <f aca="false">IF(H295&gt;=C295,"PASS","FAIL")</f>
        <v>PASS</v>
      </c>
      <c r="K295" s="21" t="str">
        <f aca="false">IF(I295&gt;=C295,"PASS","HOLD")</f>
        <v>HOLD</v>
      </c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customFormat="false" ht="15" hidden="false" customHeight="false" outlineLevel="0" collapsed="false">
      <c r="A296" s="9" t="s">
        <v>3939</v>
      </c>
      <c r="B296" s="9" t="s">
        <v>5678</v>
      </c>
      <c r="C296" s="9" t="n">
        <v>129.6</v>
      </c>
      <c r="D296" s="9" t="n">
        <v>216</v>
      </c>
      <c r="E296" s="9" t="n">
        <v>162</v>
      </c>
      <c r="F296" s="9" t="n">
        <v>1</v>
      </c>
      <c r="G296" s="9" t="n">
        <v>24</v>
      </c>
      <c r="H296" s="9" t="n">
        <v>138</v>
      </c>
      <c r="I296" s="9" t="n">
        <f aca="false">MAX(0,'Family Readiness'!J43-G296)</f>
        <v>0</v>
      </c>
      <c r="J296" s="43" t="str">
        <f aca="false">IF(H296&gt;=C296,"PASS","FAIL")</f>
        <v>PASS</v>
      </c>
      <c r="K296" s="21" t="str">
        <f aca="false">IF(I296&gt;=C296,"PASS","HOLD")</f>
        <v>HOLD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customFormat="false" ht="15" hidden="false" customHeight="false" outlineLevel="0" collapsed="false">
      <c r="A297" s="9" t="s">
        <v>3939</v>
      </c>
      <c r="B297" s="9" t="s">
        <v>5679</v>
      </c>
      <c r="C297" s="9" t="n">
        <v>129.6</v>
      </c>
      <c r="D297" s="9" t="n">
        <v>216</v>
      </c>
      <c r="E297" s="9" t="n">
        <v>162</v>
      </c>
      <c r="F297" s="9" t="n">
        <v>2</v>
      </c>
      <c r="G297" s="9" t="n">
        <v>23</v>
      </c>
      <c r="H297" s="9" t="n">
        <v>139</v>
      </c>
      <c r="I297" s="9" t="n">
        <f aca="false">MAX(0,'Family Readiness'!J43-G297)</f>
        <v>0</v>
      </c>
      <c r="J297" s="43" t="str">
        <f aca="false">IF(H297&gt;=C297,"PASS","FAIL")</f>
        <v>PASS</v>
      </c>
      <c r="K297" s="21" t="str">
        <f aca="false">IF(I297&gt;=C297,"PASS","HOLD")</f>
        <v>HOLD</v>
      </c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customFormat="false" ht="15" hidden="false" customHeight="false" outlineLevel="0" collapsed="false">
      <c r="A298" s="9" t="s">
        <v>3939</v>
      </c>
      <c r="B298" s="9" t="s">
        <v>5680</v>
      </c>
      <c r="C298" s="9" t="n">
        <v>129.6</v>
      </c>
      <c r="D298" s="9" t="n">
        <v>216</v>
      </c>
      <c r="E298" s="9" t="n">
        <v>162</v>
      </c>
      <c r="F298" s="9" t="n">
        <v>3</v>
      </c>
      <c r="G298" s="9" t="n">
        <v>23</v>
      </c>
      <c r="H298" s="9" t="n">
        <v>139</v>
      </c>
      <c r="I298" s="9" t="n">
        <f aca="false">MAX(0,'Family Readiness'!J43-G298)</f>
        <v>0</v>
      </c>
      <c r="J298" s="43" t="str">
        <f aca="false">IF(H298&gt;=C298,"PASS","FAIL")</f>
        <v>PASS</v>
      </c>
      <c r="K298" s="21" t="str">
        <f aca="false">IF(I298&gt;=C298,"PASS","HOLD")</f>
        <v>HOLD</v>
      </c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customFormat="false" ht="15" hidden="false" customHeight="false" outlineLevel="0" collapsed="false">
      <c r="A299" s="9" t="s">
        <v>3939</v>
      </c>
      <c r="B299" s="9" t="s">
        <v>5681</v>
      </c>
      <c r="C299" s="9" t="n">
        <v>129.6</v>
      </c>
      <c r="D299" s="9" t="n">
        <v>216</v>
      </c>
      <c r="E299" s="9" t="n">
        <v>162</v>
      </c>
      <c r="F299" s="9" t="n">
        <v>4</v>
      </c>
      <c r="G299" s="9" t="n">
        <v>23</v>
      </c>
      <c r="H299" s="9" t="n">
        <v>139</v>
      </c>
      <c r="I299" s="9" t="n">
        <f aca="false">MAX(0,'Family Readiness'!J43-G299)</f>
        <v>0</v>
      </c>
      <c r="J299" s="43" t="str">
        <f aca="false">IF(H299&gt;=C299,"PASS","FAIL")</f>
        <v>PASS</v>
      </c>
      <c r="K299" s="21" t="str">
        <f aca="false">IF(I299&gt;=C299,"PASS","HOLD")</f>
        <v>HOLD</v>
      </c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customFormat="false" ht="15" hidden="false" customHeight="false" outlineLevel="0" collapsed="false">
      <c r="A300" s="9" t="s">
        <v>3939</v>
      </c>
      <c r="B300" s="9" t="s">
        <v>5682</v>
      </c>
      <c r="C300" s="9" t="n">
        <v>129.6</v>
      </c>
      <c r="D300" s="9" t="n">
        <v>216</v>
      </c>
      <c r="E300" s="9" t="n">
        <v>162</v>
      </c>
      <c r="F300" s="9" t="n">
        <v>5</v>
      </c>
      <c r="G300" s="9" t="n">
        <v>23</v>
      </c>
      <c r="H300" s="9" t="n">
        <v>139</v>
      </c>
      <c r="I300" s="9" t="n">
        <f aca="false">MAX(0,'Family Readiness'!J43-G300)</f>
        <v>0</v>
      </c>
      <c r="J300" s="43" t="str">
        <f aca="false">IF(H300&gt;=C300,"PASS","FAIL")</f>
        <v>PASS</v>
      </c>
      <c r="K300" s="21" t="str">
        <f aca="false">IF(I300&gt;=C300,"PASS","HOLD")</f>
        <v>HOLD</v>
      </c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customFormat="false" ht="15" hidden="false" customHeight="false" outlineLevel="0" collapsed="false">
      <c r="A301" s="9" t="s">
        <v>3939</v>
      </c>
      <c r="B301" s="9" t="s">
        <v>5683</v>
      </c>
      <c r="C301" s="9" t="n">
        <v>129.6</v>
      </c>
      <c r="D301" s="9" t="n">
        <v>216</v>
      </c>
      <c r="E301" s="9" t="n">
        <v>162</v>
      </c>
      <c r="F301" s="9" t="n">
        <v>6</v>
      </c>
      <c r="G301" s="9" t="n">
        <v>23</v>
      </c>
      <c r="H301" s="9" t="n">
        <v>139</v>
      </c>
      <c r="I301" s="9" t="n">
        <f aca="false">MAX(0,'Family Readiness'!J43-G301)</f>
        <v>0</v>
      </c>
      <c r="J301" s="43" t="str">
        <f aca="false">IF(H301&gt;=C301,"PASS","FAIL")</f>
        <v>PASS</v>
      </c>
      <c r="K301" s="21" t="str">
        <f aca="false">IF(I301&gt;=C301,"PASS","HOLD")</f>
        <v>HOLD</v>
      </c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customFormat="false" ht="15" hidden="false" customHeight="false" outlineLevel="0" collapsed="false">
      <c r="A302" s="9" t="s">
        <v>3939</v>
      </c>
      <c r="B302" s="9" t="s">
        <v>5684</v>
      </c>
      <c r="C302" s="9" t="n">
        <v>129.6</v>
      </c>
      <c r="D302" s="9" t="n">
        <v>216</v>
      </c>
      <c r="E302" s="9" t="n">
        <v>162</v>
      </c>
      <c r="F302" s="9" t="n">
        <v>7</v>
      </c>
      <c r="G302" s="9" t="n">
        <v>23</v>
      </c>
      <c r="H302" s="9" t="n">
        <v>139</v>
      </c>
      <c r="I302" s="9" t="n">
        <f aca="false">MAX(0,'Family Readiness'!J43-G302)</f>
        <v>0</v>
      </c>
      <c r="J302" s="43" t="str">
        <f aca="false">IF(H302&gt;=C302,"PASS","FAIL")</f>
        <v>PASS</v>
      </c>
      <c r="K302" s="21" t="str">
        <f aca="false">IF(I302&gt;=C302,"PASS","HOLD")</f>
        <v>HOLD</v>
      </c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customFormat="false" ht="15" hidden="false" customHeight="false" outlineLevel="0" collapsed="false">
      <c r="A303" s="9" t="s">
        <v>4157</v>
      </c>
      <c r="B303" s="9" t="s">
        <v>5676</v>
      </c>
      <c r="C303" s="9" t="n">
        <v>98.4</v>
      </c>
      <c r="D303" s="9" t="n">
        <v>164</v>
      </c>
      <c r="E303" s="9" t="n">
        <v>123</v>
      </c>
      <c r="F303" s="9" t="s">
        <v>5677</v>
      </c>
      <c r="G303" s="9" t="n">
        <v>0</v>
      </c>
      <c r="H303" s="9" t="n">
        <v>123</v>
      </c>
      <c r="I303" s="9" t="n">
        <f aca="false">MAX(0,'Family Readiness'!J44-G303)</f>
        <v>0</v>
      </c>
      <c r="J303" s="43" t="str">
        <f aca="false">IF(H303&gt;=C303,"PASS","FAIL")</f>
        <v>PASS</v>
      </c>
      <c r="K303" s="21" t="str">
        <f aca="false">IF(I303&gt;=C303,"PASS","HOLD")</f>
        <v>HOLD</v>
      </c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customFormat="false" ht="15" hidden="false" customHeight="false" outlineLevel="0" collapsed="false">
      <c r="A304" s="9" t="s">
        <v>4157</v>
      </c>
      <c r="B304" s="9" t="s">
        <v>5678</v>
      </c>
      <c r="C304" s="9" t="n">
        <v>98.4</v>
      </c>
      <c r="D304" s="9" t="n">
        <v>164</v>
      </c>
      <c r="E304" s="9" t="n">
        <v>123</v>
      </c>
      <c r="F304" s="9" t="n">
        <v>1</v>
      </c>
      <c r="G304" s="9" t="n">
        <v>18</v>
      </c>
      <c r="H304" s="9" t="n">
        <v>105</v>
      </c>
      <c r="I304" s="9" t="n">
        <f aca="false">MAX(0,'Family Readiness'!J44-G304)</f>
        <v>0</v>
      </c>
      <c r="J304" s="43" t="str">
        <f aca="false">IF(H304&gt;=C304,"PASS","FAIL")</f>
        <v>PASS</v>
      </c>
      <c r="K304" s="21" t="str">
        <f aca="false">IF(I304&gt;=C304,"PASS","HOLD")</f>
        <v>HOLD</v>
      </c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customFormat="false" ht="15" hidden="false" customHeight="false" outlineLevel="0" collapsed="false">
      <c r="A305" s="9" t="s">
        <v>4157</v>
      </c>
      <c r="B305" s="9" t="s">
        <v>5679</v>
      </c>
      <c r="C305" s="9" t="n">
        <v>98.4</v>
      </c>
      <c r="D305" s="9" t="n">
        <v>164</v>
      </c>
      <c r="E305" s="9" t="n">
        <v>123</v>
      </c>
      <c r="F305" s="9" t="n">
        <v>2</v>
      </c>
      <c r="G305" s="9" t="n">
        <v>18</v>
      </c>
      <c r="H305" s="9" t="n">
        <v>105</v>
      </c>
      <c r="I305" s="9" t="n">
        <f aca="false">MAX(0,'Family Readiness'!J44-G305)</f>
        <v>0</v>
      </c>
      <c r="J305" s="43" t="str">
        <f aca="false">IF(H305&gt;=C305,"PASS","FAIL")</f>
        <v>PASS</v>
      </c>
      <c r="K305" s="21" t="str">
        <f aca="false">IF(I305&gt;=C305,"PASS","HOLD")</f>
        <v>HOLD</v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customFormat="false" ht="15" hidden="false" customHeight="false" outlineLevel="0" collapsed="false">
      <c r="A306" s="9" t="s">
        <v>4157</v>
      </c>
      <c r="B306" s="9" t="s">
        <v>5680</v>
      </c>
      <c r="C306" s="9" t="n">
        <v>98.4</v>
      </c>
      <c r="D306" s="9" t="n">
        <v>164</v>
      </c>
      <c r="E306" s="9" t="n">
        <v>123</v>
      </c>
      <c r="F306" s="9" t="n">
        <v>3</v>
      </c>
      <c r="G306" s="9" t="n">
        <v>18</v>
      </c>
      <c r="H306" s="9" t="n">
        <v>105</v>
      </c>
      <c r="I306" s="9" t="n">
        <f aca="false">MAX(0,'Family Readiness'!J44-G306)</f>
        <v>0</v>
      </c>
      <c r="J306" s="43" t="str">
        <f aca="false">IF(H306&gt;=C306,"PASS","FAIL")</f>
        <v>PASS</v>
      </c>
      <c r="K306" s="21" t="str">
        <f aca="false">IF(I306&gt;=C306,"PASS","HOLD")</f>
        <v>HOLD</v>
      </c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customFormat="false" ht="15" hidden="false" customHeight="false" outlineLevel="0" collapsed="false">
      <c r="A307" s="9" t="s">
        <v>4157</v>
      </c>
      <c r="B307" s="9" t="s">
        <v>5681</v>
      </c>
      <c r="C307" s="9" t="n">
        <v>98.4</v>
      </c>
      <c r="D307" s="9" t="n">
        <v>164</v>
      </c>
      <c r="E307" s="9" t="n">
        <v>123</v>
      </c>
      <c r="F307" s="9" t="n">
        <v>4</v>
      </c>
      <c r="G307" s="9" t="n">
        <v>18</v>
      </c>
      <c r="H307" s="9" t="n">
        <v>105</v>
      </c>
      <c r="I307" s="9" t="n">
        <f aca="false">MAX(0,'Family Readiness'!J44-G307)</f>
        <v>0</v>
      </c>
      <c r="J307" s="43" t="str">
        <f aca="false">IF(H307&gt;=C307,"PASS","FAIL")</f>
        <v>PASS</v>
      </c>
      <c r="K307" s="21" t="str">
        <f aca="false">IF(I307&gt;=C307,"PASS","HOLD")</f>
        <v>HOLD</v>
      </c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customFormat="false" ht="15" hidden="false" customHeight="false" outlineLevel="0" collapsed="false">
      <c r="A308" s="9" t="s">
        <v>4157</v>
      </c>
      <c r="B308" s="9" t="s">
        <v>5682</v>
      </c>
      <c r="C308" s="9" t="n">
        <v>98.4</v>
      </c>
      <c r="D308" s="9" t="n">
        <v>164</v>
      </c>
      <c r="E308" s="9" t="n">
        <v>123</v>
      </c>
      <c r="F308" s="9" t="n">
        <v>5</v>
      </c>
      <c r="G308" s="9" t="n">
        <v>17</v>
      </c>
      <c r="H308" s="9" t="n">
        <v>106</v>
      </c>
      <c r="I308" s="9" t="n">
        <f aca="false">MAX(0,'Family Readiness'!J44-G308)</f>
        <v>0</v>
      </c>
      <c r="J308" s="43" t="str">
        <f aca="false">IF(H308&gt;=C308,"PASS","FAIL")</f>
        <v>PASS</v>
      </c>
      <c r="K308" s="21" t="str">
        <f aca="false">IF(I308&gt;=C308,"PASS","HOLD")</f>
        <v>HOLD</v>
      </c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customFormat="false" ht="15" hidden="false" customHeight="false" outlineLevel="0" collapsed="false">
      <c r="A309" s="9" t="s">
        <v>4157</v>
      </c>
      <c r="B309" s="9" t="s">
        <v>5683</v>
      </c>
      <c r="C309" s="9" t="n">
        <v>98.4</v>
      </c>
      <c r="D309" s="9" t="n">
        <v>164</v>
      </c>
      <c r="E309" s="9" t="n">
        <v>123</v>
      </c>
      <c r="F309" s="9" t="n">
        <v>6</v>
      </c>
      <c r="G309" s="9" t="n">
        <v>17</v>
      </c>
      <c r="H309" s="9" t="n">
        <v>106</v>
      </c>
      <c r="I309" s="9" t="n">
        <f aca="false">MAX(0,'Family Readiness'!J44-G309)</f>
        <v>0</v>
      </c>
      <c r="J309" s="43" t="str">
        <f aca="false">IF(H309&gt;=C309,"PASS","FAIL")</f>
        <v>PASS</v>
      </c>
      <c r="K309" s="21" t="str">
        <f aca="false">IF(I309&gt;=C309,"PASS","HOLD")</f>
        <v>HOLD</v>
      </c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customFormat="false" ht="15" hidden="false" customHeight="false" outlineLevel="0" collapsed="false">
      <c r="A310" s="9" t="s">
        <v>4157</v>
      </c>
      <c r="B310" s="9" t="s">
        <v>5684</v>
      </c>
      <c r="C310" s="9" t="n">
        <v>98.4</v>
      </c>
      <c r="D310" s="9" t="n">
        <v>164</v>
      </c>
      <c r="E310" s="9" t="n">
        <v>123</v>
      </c>
      <c r="F310" s="9" t="n">
        <v>7</v>
      </c>
      <c r="G310" s="9" t="n">
        <v>17</v>
      </c>
      <c r="H310" s="9" t="n">
        <v>106</v>
      </c>
      <c r="I310" s="9" t="n">
        <f aca="false">MAX(0,'Family Readiness'!J44-G310)</f>
        <v>0</v>
      </c>
      <c r="J310" s="43" t="str">
        <f aca="false">IF(H310&gt;=C310,"PASS","FAIL")</f>
        <v>PASS</v>
      </c>
      <c r="K310" s="21" t="str">
        <f aca="false">IF(I310&gt;=C310,"PASS","HOLD")</f>
        <v>HOLD</v>
      </c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customFormat="false" ht="15" hidden="false" customHeight="false" outlineLevel="0" collapsed="false">
      <c r="A311" s="9" t="s">
        <v>4323</v>
      </c>
      <c r="B311" s="9" t="s">
        <v>5676</v>
      </c>
      <c r="C311" s="9" t="n">
        <v>94.8</v>
      </c>
      <c r="D311" s="9" t="n">
        <v>158</v>
      </c>
      <c r="E311" s="9" t="n">
        <v>119</v>
      </c>
      <c r="F311" s="9" t="s">
        <v>5677</v>
      </c>
      <c r="G311" s="9" t="n">
        <v>0</v>
      </c>
      <c r="H311" s="9" t="n">
        <v>119</v>
      </c>
      <c r="I311" s="9" t="n">
        <f aca="false">MAX(0,'Family Readiness'!J45-G311)</f>
        <v>0</v>
      </c>
      <c r="J311" s="43" t="str">
        <f aca="false">IF(H311&gt;=C311,"PASS","FAIL")</f>
        <v>PASS</v>
      </c>
      <c r="K311" s="21" t="str">
        <f aca="false">IF(I311&gt;=C311,"PASS","HOLD")</f>
        <v>HOLD</v>
      </c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customFormat="false" ht="15" hidden="false" customHeight="false" outlineLevel="0" collapsed="false">
      <c r="A312" s="9" t="s">
        <v>4323</v>
      </c>
      <c r="B312" s="9" t="s">
        <v>5678</v>
      </c>
      <c r="C312" s="9" t="n">
        <v>94.8</v>
      </c>
      <c r="D312" s="9" t="n">
        <v>158</v>
      </c>
      <c r="E312" s="9" t="n">
        <v>119</v>
      </c>
      <c r="F312" s="9" t="n">
        <v>1</v>
      </c>
      <c r="G312" s="9" t="n">
        <v>17</v>
      </c>
      <c r="H312" s="9" t="n">
        <v>102</v>
      </c>
      <c r="I312" s="9" t="n">
        <f aca="false">MAX(0,'Family Readiness'!J45-G312)</f>
        <v>0</v>
      </c>
      <c r="J312" s="43" t="str">
        <f aca="false">IF(H312&gt;=C312,"PASS","FAIL")</f>
        <v>PASS</v>
      </c>
      <c r="K312" s="21" t="str">
        <f aca="false">IF(I312&gt;=C312,"PASS","HOLD")</f>
        <v>HOLD</v>
      </c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customFormat="false" ht="15" hidden="false" customHeight="false" outlineLevel="0" collapsed="false">
      <c r="A313" s="9" t="s">
        <v>4323</v>
      </c>
      <c r="B313" s="9" t="s">
        <v>5679</v>
      </c>
      <c r="C313" s="9" t="n">
        <v>94.8</v>
      </c>
      <c r="D313" s="9" t="n">
        <v>158</v>
      </c>
      <c r="E313" s="9" t="n">
        <v>119</v>
      </c>
      <c r="F313" s="9" t="n">
        <v>2</v>
      </c>
      <c r="G313" s="9" t="n">
        <v>17</v>
      </c>
      <c r="H313" s="9" t="n">
        <v>102</v>
      </c>
      <c r="I313" s="9" t="n">
        <f aca="false">MAX(0,'Family Readiness'!J45-G313)</f>
        <v>0</v>
      </c>
      <c r="J313" s="43" t="str">
        <f aca="false">IF(H313&gt;=C313,"PASS","FAIL")</f>
        <v>PASS</v>
      </c>
      <c r="K313" s="21" t="str">
        <f aca="false">IF(I313&gt;=C313,"PASS","HOLD")</f>
        <v>HOLD</v>
      </c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customFormat="false" ht="15" hidden="false" customHeight="false" outlineLevel="0" collapsed="false">
      <c r="A314" s="9" t="s">
        <v>4323</v>
      </c>
      <c r="B314" s="9" t="s">
        <v>5680</v>
      </c>
      <c r="C314" s="9" t="n">
        <v>94.8</v>
      </c>
      <c r="D314" s="9" t="n">
        <v>158</v>
      </c>
      <c r="E314" s="9" t="n">
        <v>119</v>
      </c>
      <c r="F314" s="9" t="n">
        <v>3</v>
      </c>
      <c r="G314" s="9" t="n">
        <v>17</v>
      </c>
      <c r="H314" s="9" t="n">
        <v>102</v>
      </c>
      <c r="I314" s="9" t="n">
        <f aca="false">MAX(0,'Family Readiness'!J45-G314)</f>
        <v>0</v>
      </c>
      <c r="J314" s="43" t="str">
        <f aca="false">IF(H314&gt;=C314,"PASS","FAIL")</f>
        <v>PASS</v>
      </c>
      <c r="K314" s="21" t="str">
        <f aca="false">IF(I314&gt;=C314,"PASS","HOLD")</f>
        <v>HOLD</v>
      </c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customFormat="false" ht="15" hidden="false" customHeight="false" outlineLevel="0" collapsed="false">
      <c r="A315" s="9" t="s">
        <v>4323</v>
      </c>
      <c r="B315" s="9" t="s">
        <v>5681</v>
      </c>
      <c r="C315" s="9" t="n">
        <v>94.8</v>
      </c>
      <c r="D315" s="9" t="n">
        <v>158</v>
      </c>
      <c r="E315" s="9" t="n">
        <v>119</v>
      </c>
      <c r="F315" s="9" t="n">
        <v>4</v>
      </c>
      <c r="G315" s="9" t="n">
        <v>17</v>
      </c>
      <c r="H315" s="9" t="n">
        <v>102</v>
      </c>
      <c r="I315" s="9" t="n">
        <f aca="false">MAX(0,'Family Readiness'!J45-G315)</f>
        <v>0</v>
      </c>
      <c r="J315" s="43" t="str">
        <f aca="false">IF(H315&gt;=C315,"PASS","FAIL")</f>
        <v>PASS</v>
      </c>
      <c r="K315" s="21" t="str">
        <f aca="false">IF(I315&gt;=C315,"PASS","HOLD")</f>
        <v>HOLD</v>
      </c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customFormat="false" ht="15" hidden="false" customHeight="false" outlineLevel="0" collapsed="false">
      <c r="A316" s="9" t="s">
        <v>4323</v>
      </c>
      <c r="B316" s="9" t="s">
        <v>5682</v>
      </c>
      <c r="C316" s="9" t="n">
        <v>94.8</v>
      </c>
      <c r="D316" s="9" t="n">
        <v>158</v>
      </c>
      <c r="E316" s="9" t="n">
        <v>119</v>
      </c>
      <c r="F316" s="9" t="n">
        <v>5</v>
      </c>
      <c r="G316" s="9" t="n">
        <v>17</v>
      </c>
      <c r="H316" s="9" t="n">
        <v>102</v>
      </c>
      <c r="I316" s="9" t="n">
        <f aca="false">MAX(0,'Family Readiness'!J45-G316)</f>
        <v>0</v>
      </c>
      <c r="J316" s="43" t="str">
        <f aca="false">IF(H316&gt;=C316,"PASS","FAIL")</f>
        <v>PASS</v>
      </c>
      <c r="K316" s="21" t="str">
        <f aca="false">IF(I316&gt;=C316,"PASS","HOLD")</f>
        <v>HOLD</v>
      </c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customFormat="false" ht="15" hidden="false" customHeight="false" outlineLevel="0" collapsed="false">
      <c r="A317" s="9" t="s">
        <v>4323</v>
      </c>
      <c r="B317" s="9" t="s">
        <v>5683</v>
      </c>
      <c r="C317" s="9" t="n">
        <v>94.8</v>
      </c>
      <c r="D317" s="9" t="n">
        <v>158</v>
      </c>
      <c r="E317" s="9" t="n">
        <v>119</v>
      </c>
      <c r="F317" s="9" t="n">
        <v>6</v>
      </c>
      <c r="G317" s="9" t="n">
        <v>17</v>
      </c>
      <c r="H317" s="9" t="n">
        <v>102</v>
      </c>
      <c r="I317" s="9" t="n">
        <f aca="false">MAX(0,'Family Readiness'!J45-G317)</f>
        <v>0</v>
      </c>
      <c r="J317" s="43" t="str">
        <f aca="false">IF(H317&gt;=C317,"PASS","FAIL")</f>
        <v>PASS</v>
      </c>
      <c r="K317" s="21" t="str">
        <f aca="false">IF(I317&gt;=C317,"PASS","HOLD")</f>
        <v>HOLD</v>
      </c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customFormat="false" ht="15" hidden="false" customHeight="false" outlineLevel="0" collapsed="false">
      <c r="A318" s="9" t="s">
        <v>4323</v>
      </c>
      <c r="B318" s="9" t="s">
        <v>5684</v>
      </c>
      <c r="C318" s="9" t="n">
        <v>94.8</v>
      </c>
      <c r="D318" s="9" t="n">
        <v>158</v>
      </c>
      <c r="E318" s="9" t="n">
        <v>119</v>
      </c>
      <c r="F318" s="9" t="n">
        <v>7</v>
      </c>
      <c r="G318" s="9" t="n">
        <v>17</v>
      </c>
      <c r="H318" s="9" t="n">
        <v>102</v>
      </c>
      <c r="I318" s="9" t="n">
        <f aca="false">MAX(0,'Family Readiness'!J45-G318)</f>
        <v>0</v>
      </c>
      <c r="J318" s="43" t="str">
        <f aca="false">IF(H318&gt;=C318,"PASS","FAIL")</f>
        <v>PASS</v>
      </c>
      <c r="K318" s="21" t="str">
        <f aca="false">IF(I318&gt;=C318,"PASS","HOLD")</f>
        <v>HOLD</v>
      </c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customFormat="false" ht="15" hidden="false" customHeight="false" outlineLevel="0" collapsed="false">
      <c r="A319" s="9" t="s">
        <v>4483</v>
      </c>
      <c r="B319" s="9" t="s">
        <v>5676</v>
      </c>
      <c r="C319" s="9" t="n">
        <v>79.2</v>
      </c>
      <c r="D319" s="9" t="n">
        <v>132</v>
      </c>
      <c r="E319" s="9" t="n">
        <v>99</v>
      </c>
      <c r="F319" s="9" t="s">
        <v>5677</v>
      </c>
      <c r="G319" s="9" t="n">
        <v>0</v>
      </c>
      <c r="H319" s="9" t="n">
        <v>99</v>
      </c>
      <c r="I319" s="9" t="n">
        <f aca="false">MAX(0,'Family Readiness'!J46-G319)</f>
        <v>0</v>
      </c>
      <c r="J319" s="43" t="str">
        <f aca="false">IF(H319&gt;=C319,"PASS","FAIL")</f>
        <v>PASS</v>
      </c>
      <c r="K319" s="21" t="str">
        <f aca="false">IF(I319&gt;=C319,"PASS","HOLD")</f>
        <v>HOLD</v>
      </c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customFormat="false" ht="15" hidden="false" customHeight="false" outlineLevel="0" collapsed="false">
      <c r="A320" s="9" t="s">
        <v>4483</v>
      </c>
      <c r="B320" s="9" t="s">
        <v>5678</v>
      </c>
      <c r="C320" s="9" t="n">
        <v>79.2</v>
      </c>
      <c r="D320" s="9" t="n">
        <v>132</v>
      </c>
      <c r="E320" s="9" t="n">
        <v>99</v>
      </c>
      <c r="F320" s="9" t="n">
        <v>1</v>
      </c>
      <c r="G320" s="9" t="n">
        <v>15</v>
      </c>
      <c r="H320" s="9" t="n">
        <v>84</v>
      </c>
      <c r="I320" s="9" t="n">
        <f aca="false">MAX(0,'Family Readiness'!J46-G320)</f>
        <v>0</v>
      </c>
      <c r="J320" s="43" t="str">
        <f aca="false">IF(H320&gt;=C320,"PASS","FAIL")</f>
        <v>PASS</v>
      </c>
      <c r="K320" s="21" t="str">
        <f aca="false">IF(I320&gt;=C320,"PASS","HOLD")</f>
        <v>HOLD</v>
      </c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customFormat="false" ht="15" hidden="false" customHeight="false" outlineLevel="0" collapsed="false">
      <c r="A321" s="9" t="s">
        <v>4483</v>
      </c>
      <c r="B321" s="9" t="s">
        <v>5679</v>
      </c>
      <c r="C321" s="9" t="n">
        <v>79.2</v>
      </c>
      <c r="D321" s="9" t="n">
        <v>132</v>
      </c>
      <c r="E321" s="9" t="n">
        <v>99</v>
      </c>
      <c r="F321" s="9" t="n">
        <v>2</v>
      </c>
      <c r="G321" s="9" t="n">
        <v>14</v>
      </c>
      <c r="H321" s="9" t="n">
        <v>85</v>
      </c>
      <c r="I321" s="9" t="n">
        <f aca="false">MAX(0,'Family Readiness'!J46-G321)</f>
        <v>0</v>
      </c>
      <c r="J321" s="43" t="str">
        <f aca="false">IF(H321&gt;=C321,"PASS","FAIL")</f>
        <v>PASS</v>
      </c>
      <c r="K321" s="21" t="str">
        <f aca="false">IF(I321&gt;=C321,"PASS","HOLD")</f>
        <v>HOLD</v>
      </c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customFormat="false" ht="15" hidden="false" customHeight="false" outlineLevel="0" collapsed="false">
      <c r="A322" s="9" t="s">
        <v>4483</v>
      </c>
      <c r="B322" s="9" t="s">
        <v>5680</v>
      </c>
      <c r="C322" s="9" t="n">
        <v>79.2</v>
      </c>
      <c r="D322" s="9" t="n">
        <v>132</v>
      </c>
      <c r="E322" s="9" t="n">
        <v>99</v>
      </c>
      <c r="F322" s="9" t="n">
        <v>3</v>
      </c>
      <c r="G322" s="9" t="n">
        <v>14</v>
      </c>
      <c r="H322" s="9" t="n">
        <v>85</v>
      </c>
      <c r="I322" s="9" t="n">
        <f aca="false">MAX(0,'Family Readiness'!J46-G322)</f>
        <v>0</v>
      </c>
      <c r="J322" s="43" t="str">
        <f aca="false">IF(H322&gt;=C322,"PASS","FAIL")</f>
        <v>PASS</v>
      </c>
      <c r="K322" s="21" t="str">
        <f aca="false">IF(I322&gt;=C322,"PASS","HOLD")</f>
        <v>HOLD</v>
      </c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customFormat="false" ht="15" hidden="false" customHeight="false" outlineLevel="0" collapsed="false">
      <c r="A323" s="9" t="s">
        <v>4483</v>
      </c>
      <c r="B323" s="9" t="s">
        <v>5681</v>
      </c>
      <c r="C323" s="9" t="n">
        <v>79.2</v>
      </c>
      <c r="D323" s="9" t="n">
        <v>132</v>
      </c>
      <c r="E323" s="9" t="n">
        <v>99</v>
      </c>
      <c r="F323" s="9" t="n">
        <v>4</v>
      </c>
      <c r="G323" s="9" t="n">
        <v>14</v>
      </c>
      <c r="H323" s="9" t="n">
        <v>85</v>
      </c>
      <c r="I323" s="9" t="n">
        <f aca="false">MAX(0,'Family Readiness'!J46-G323)</f>
        <v>0</v>
      </c>
      <c r="J323" s="43" t="str">
        <f aca="false">IF(H323&gt;=C323,"PASS","FAIL")</f>
        <v>PASS</v>
      </c>
      <c r="K323" s="21" t="str">
        <f aca="false">IF(I323&gt;=C323,"PASS","HOLD")</f>
        <v>HOLD</v>
      </c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customFormat="false" ht="15" hidden="false" customHeight="false" outlineLevel="0" collapsed="false">
      <c r="A324" s="9" t="s">
        <v>4483</v>
      </c>
      <c r="B324" s="9" t="s">
        <v>5682</v>
      </c>
      <c r="C324" s="9" t="n">
        <v>79.2</v>
      </c>
      <c r="D324" s="9" t="n">
        <v>132</v>
      </c>
      <c r="E324" s="9" t="n">
        <v>99</v>
      </c>
      <c r="F324" s="9" t="n">
        <v>5</v>
      </c>
      <c r="G324" s="9" t="n">
        <v>14</v>
      </c>
      <c r="H324" s="9" t="n">
        <v>85</v>
      </c>
      <c r="I324" s="9" t="n">
        <f aca="false">MAX(0,'Family Readiness'!J46-G324)</f>
        <v>0</v>
      </c>
      <c r="J324" s="43" t="str">
        <f aca="false">IF(H324&gt;=C324,"PASS","FAIL")</f>
        <v>PASS</v>
      </c>
      <c r="K324" s="21" t="str">
        <f aca="false">IF(I324&gt;=C324,"PASS","HOLD")</f>
        <v>HOLD</v>
      </c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customFormat="false" ht="15" hidden="false" customHeight="false" outlineLevel="0" collapsed="false">
      <c r="A325" s="9" t="s">
        <v>4483</v>
      </c>
      <c r="B325" s="9" t="s">
        <v>5683</v>
      </c>
      <c r="C325" s="9" t="n">
        <v>79.2</v>
      </c>
      <c r="D325" s="9" t="n">
        <v>132</v>
      </c>
      <c r="E325" s="9" t="n">
        <v>99</v>
      </c>
      <c r="F325" s="9" t="n">
        <v>6</v>
      </c>
      <c r="G325" s="9" t="n">
        <v>14</v>
      </c>
      <c r="H325" s="9" t="n">
        <v>85</v>
      </c>
      <c r="I325" s="9" t="n">
        <f aca="false">MAX(0,'Family Readiness'!J46-G325)</f>
        <v>0</v>
      </c>
      <c r="J325" s="43" t="str">
        <f aca="false">IF(H325&gt;=C325,"PASS","FAIL")</f>
        <v>PASS</v>
      </c>
      <c r="K325" s="21" t="str">
        <f aca="false">IF(I325&gt;=C325,"PASS","HOLD")</f>
        <v>HOLD</v>
      </c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customFormat="false" ht="15" hidden="false" customHeight="false" outlineLevel="0" collapsed="false">
      <c r="A326" s="9" t="s">
        <v>4483</v>
      </c>
      <c r="B326" s="9" t="s">
        <v>5684</v>
      </c>
      <c r="C326" s="9" t="n">
        <v>79.2</v>
      </c>
      <c r="D326" s="9" t="n">
        <v>132</v>
      </c>
      <c r="E326" s="9" t="n">
        <v>99</v>
      </c>
      <c r="F326" s="9" t="n">
        <v>7</v>
      </c>
      <c r="G326" s="9" t="n">
        <v>14</v>
      </c>
      <c r="H326" s="9" t="n">
        <v>85</v>
      </c>
      <c r="I326" s="9" t="n">
        <f aca="false">MAX(0,'Family Readiness'!J46-G326)</f>
        <v>0</v>
      </c>
      <c r="J326" s="43" t="str">
        <f aca="false">IF(H326&gt;=C326,"PASS","FAIL")</f>
        <v>PASS</v>
      </c>
      <c r="K326" s="21" t="str">
        <f aca="false">IF(I326&gt;=C326,"PASS","HOLD")</f>
        <v>HOLD</v>
      </c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customFormat="false" ht="15" hidden="false" customHeight="false" outlineLevel="0" collapsed="false">
      <c r="A327" s="9" t="s">
        <v>4617</v>
      </c>
      <c r="B327" s="9" t="s">
        <v>5676</v>
      </c>
      <c r="C327" s="9" t="n">
        <v>66</v>
      </c>
      <c r="D327" s="9" t="n">
        <v>110</v>
      </c>
      <c r="E327" s="9" t="n">
        <v>83</v>
      </c>
      <c r="F327" s="9" t="s">
        <v>5677</v>
      </c>
      <c r="G327" s="9" t="n">
        <v>0</v>
      </c>
      <c r="H327" s="9" t="n">
        <v>83</v>
      </c>
      <c r="I327" s="9" t="n">
        <f aca="false">MAX(0,'Family Readiness'!J47-G327)</f>
        <v>0</v>
      </c>
      <c r="J327" s="43" t="str">
        <f aca="false">IF(H327&gt;=C327,"PASS","FAIL")</f>
        <v>PASS</v>
      </c>
      <c r="K327" s="21" t="str">
        <f aca="false">IF(I327&gt;=C327,"PASS","HOLD")</f>
        <v>HOLD</v>
      </c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customFormat="false" ht="15" hidden="false" customHeight="false" outlineLevel="0" collapsed="false">
      <c r="A328" s="9" t="s">
        <v>4617</v>
      </c>
      <c r="B328" s="9" t="s">
        <v>5678</v>
      </c>
      <c r="C328" s="9" t="n">
        <v>66</v>
      </c>
      <c r="D328" s="9" t="n">
        <v>110</v>
      </c>
      <c r="E328" s="9" t="n">
        <v>83</v>
      </c>
      <c r="F328" s="9" t="n">
        <v>1</v>
      </c>
      <c r="G328" s="9" t="n">
        <v>12</v>
      </c>
      <c r="H328" s="9" t="n">
        <v>71</v>
      </c>
      <c r="I328" s="9" t="n">
        <f aca="false">MAX(0,'Family Readiness'!J47-G328)</f>
        <v>0</v>
      </c>
      <c r="J328" s="43" t="str">
        <f aca="false">IF(H328&gt;=C328,"PASS","FAIL")</f>
        <v>PASS</v>
      </c>
      <c r="K328" s="21" t="str">
        <f aca="false">IF(I328&gt;=C328,"PASS","HOLD")</f>
        <v>HOLD</v>
      </c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customFormat="false" ht="15" hidden="false" customHeight="false" outlineLevel="0" collapsed="false">
      <c r="A329" s="9" t="s">
        <v>4617</v>
      </c>
      <c r="B329" s="9" t="s">
        <v>5679</v>
      </c>
      <c r="C329" s="9" t="n">
        <v>66</v>
      </c>
      <c r="D329" s="9" t="n">
        <v>110</v>
      </c>
      <c r="E329" s="9" t="n">
        <v>83</v>
      </c>
      <c r="F329" s="9" t="n">
        <v>2</v>
      </c>
      <c r="G329" s="9" t="n">
        <v>12</v>
      </c>
      <c r="H329" s="9" t="n">
        <v>71</v>
      </c>
      <c r="I329" s="9" t="n">
        <f aca="false">MAX(0,'Family Readiness'!J47-G329)</f>
        <v>0</v>
      </c>
      <c r="J329" s="43" t="str">
        <f aca="false">IF(H329&gt;=C329,"PASS","FAIL")</f>
        <v>PASS</v>
      </c>
      <c r="K329" s="21" t="str">
        <f aca="false">IF(I329&gt;=C329,"PASS","HOLD")</f>
        <v>HOLD</v>
      </c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customFormat="false" ht="15" hidden="false" customHeight="false" outlineLevel="0" collapsed="false">
      <c r="A330" s="9" t="s">
        <v>4617</v>
      </c>
      <c r="B330" s="9" t="s">
        <v>5680</v>
      </c>
      <c r="C330" s="9" t="n">
        <v>66</v>
      </c>
      <c r="D330" s="9" t="n">
        <v>110</v>
      </c>
      <c r="E330" s="9" t="n">
        <v>83</v>
      </c>
      <c r="F330" s="9" t="n">
        <v>3</v>
      </c>
      <c r="G330" s="9" t="n">
        <v>12</v>
      </c>
      <c r="H330" s="9" t="n">
        <v>71</v>
      </c>
      <c r="I330" s="9" t="n">
        <f aca="false">MAX(0,'Family Readiness'!J47-G330)</f>
        <v>0</v>
      </c>
      <c r="J330" s="43" t="str">
        <f aca="false">IF(H330&gt;=C330,"PASS","FAIL")</f>
        <v>PASS</v>
      </c>
      <c r="K330" s="21" t="str">
        <f aca="false">IF(I330&gt;=C330,"PASS","HOLD")</f>
        <v>HOLD</v>
      </c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customFormat="false" ht="15" hidden="false" customHeight="false" outlineLevel="0" collapsed="false">
      <c r="A331" s="9" t="s">
        <v>4617</v>
      </c>
      <c r="B331" s="9" t="s">
        <v>5681</v>
      </c>
      <c r="C331" s="9" t="n">
        <v>66</v>
      </c>
      <c r="D331" s="9" t="n">
        <v>110</v>
      </c>
      <c r="E331" s="9" t="n">
        <v>83</v>
      </c>
      <c r="F331" s="9" t="n">
        <v>4</v>
      </c>
      <c r="G331" s="9" t="n">
        <v>12</v>
      </c>
      <c r="H331" s="9" t="n">
        <v>71</v>
      </c>
      <c r="I331" s="9" t="n">
        <f aca="false">MAX(0,'Family Readiness'!J47-G331)</f>
        <v>0</v>
      </c>
      <c r="J331" s="43" t="str">
        <f aca="false">IF(H331&gt;=C331,"PASS","FAIL")</f>
        <v>PASS</v>
      </c>
      <c r="K331" s="21" t="str">
        <f aca="false">IF(I331&gt;=C331,"PASS","HOLD")</f>
        <v>HOLD</v>
      </c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customFormat="false" ht="15" hidden="false" customHeight="false" outlineLevel="0" collapsed="false">
      <c r="A332" s="9" t="s">
        <v>4617</v>
      </c>
      <c r="B332" s="9" t="s">
        <v>5682</v>
      </c>
      <c r="C332" s="9" t="n">
        <v>66</v>
      </c>
      <c r="D332" s="9" t="n">
        <v>110</v>
      </c>
      <c r="E332" s="9" t="n">
        <v>83</v>
      </c>
      <c r="F332" s="9" t="n">
        <v>5</v>
      </c>
      <c r="G332" s="9" t="n">
        <v>12</v>
      </c>
      <c r="H332" s="9" t="n">
        <v>71</v>
      </c>
      <c r="I332" s="9" t="n">
        <f aca="false">MAX(0,'Family Readiness'!J47-G332)</f>
        <v>0</v>
      </c>
      <c r="J332" s="43" t="str">
        <f aca="false">IF(H332&gt;=C332,"PASS","FAIL")</f>
        <v>PASS</v>
      </c>
      <c r="K332" s="21" t="str">
        <f aca="false">IF(I332&gt;=C332,"PASS","HOLD")</f>
        <v>HOLD</v>
      </c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customFormat="false" ht="15" hidden="false" customHeight="false" outlineLevel="0" collapsed="false">
      <c r="A333" s="9" t="s">
        <v>4617</v>
      </c>
      <c r="B333" s="9" t="s">
        <v>5683</v>
      </c>
      <c r="C333" s="9" t="n">
        <v>66</v>
      </c>
      <c r="D333" s="9" t="n">
        <v>110</v>
      </c>
      <c r="E333" s="9" t="n">
        <v>83</v>
      </c>
      <c r="F333" s="9" t="n">
        <v>6</v>
      </c>
      <c r="G333" s="9" t="n">
        <v>12</v>
      </c>
      <c r="H333" s="9" t="n">
        <v>71</v>
      </c>
      <c r="I333" s="9" t="n">
        <f aca="false">MAX(0,'Family Readiness'!J47-G333)</f>
        <v>0</v>
      </c>
      <c r="J333" s="43" t="str">
        <f aca="false">IF(H333&gt;=C333,"PASS","FAIL")</f>
        <v>PASS</v>
      </c>
      <c r="K333" s="21" t="str">
        <f aca="false">IF(I333&gt;=C333,"PASS","HOLD")</f>
        <v>HOLD</v>
      </c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customFormat="false" ht="15" hidden="false" customHeight="false" outlineLevel="0" collapsed="false">
      <c r="A334" s="9" t="s">
        <v>4617</v>
      </c>
      <c r="B334" s="9" t="s">
        <v>5684</v>
      </c>
      <c r="C334" s="9" t="n">
        <v>66</v>
      </c>
      <c r="D334" s="9" t="n">
        <v>110</v>
      </c>
      <c r="E334" s="9" t="n">
        <v>83</v>
      </c>
      <c r="F334" s="9" t="n">
        <v>7</v>
      </c>
      <c r="G334" s="9" t="n">
        <v>11</v>
      </c>
      <c r="H334" s="9" t="n">
        <v>72</v>
      </c>
      <c r="I334" s="9" t="n">
        <f aca="false">MAX(0,'Family Readiness'!J47-G334)</f>
        <v>0</v>
      </c>
      <c r="J334" s="43" t="str">
        <f aca="false">IF(H334&gt;=C334,"PASS","FAIL")</f>
        <v>PASS</v>
      </c>
      <c r="K334" s="21" t="str">
        <f aca="false">IF(I334&gt;=C334,"PASS","HOLD")</f>
        <v>HOLD</v>
      </c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customFormat="false" ht="15" hidden="false" customHeight="false" outlineLevel="0" collapsed="false">
      <c r="A335" s="9" t="s">
        <v>4729</v>
      </c>
      <c r="B335" s="9" t="s">
        <v>5676</v>
      </c>
      <c r="C335" s="9" t="n">
        <v>82.8</v>
      </c>
      <c r="D335" s="9" t="n">
        <v>160</v>
      </c>
      <c r="E335" s="9" t="n">
        <v>104</v>
      </c>
      <c r="F335" s="9" t="s">
        <v>5677</v>
      </c>
      <c r="G335" s="9" t="n">
        <v>0</v>
      </c>
      <c r="H335" s="9" t="n">
        <v>104</v>
      </c>
      <c r="I335" s="9" t="n">
        <f aca="false">MAX(0,'Family Readiness'!J48-G335)</f>
        <v>0</v>
      </c>
      <c r="J335" s="43" t="str">
        <f aca="false">IF(H335&gt;=C335,"PASS","FAIL")</f>
        <v>PASS</v>
      </c>
      <c r="K335" s="21" t="str">
        <f aca="false">IF(I335&gt;=C335,"PASS","HOLD")</f>
        <v>HOLD</v>
      </c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customFormat="false" ht="15" hidden="false" customHeight="false" outlineLevel="0" collapsed="false">
      <c r="A336" s="9" t="s">
        <v>4729</v>
      </c>
      <c r="B336" s="9" t="s">
        <v>5678</v>
      </c>
      <c r="C336" s="9" t="n">
        <v>82.8</v>
      </c>
      <c r="D336" s="9" t="n">
        <v>160</v>
      </c>
      <c r="E336" s="9" t="n">
        <v>104</v>
      </c>
      <c r="F336" s="9" t="n">
        <v>1</v>
      </c>
      <c r="G336" s="9" t="n">
        <v>15</v>
      </c>
      <c r="H336" s="9" t="n">
        <v>89</v>
      </c>
      <c r="I336" s="9" t="n">
        <f aca="false">MAX(0,'Family Readiness'!J48-G336)</f>
        <v>0</v>
      </c>
      <c r="J336" s="43" t="str">
        <f aca="false">IF(H336&gt;=C336,"PASS","FAIL")</f>
        <v>PASS</v>
      </c>
      <c r="K336" s="21" t="str">
        <f aca="false">IF(I336&gt;=C336,"PASS","HOLD")</f>
        <v>HOLD</v>
      </c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customFormat="false" ht="15" hidden="false" customHeight="false" outlineLevel="0" collapsed="false">
      <c r="A337" s="9" t="s">
        <v>4729</v>
      </c>
      <c r="B337" s="9" t="s">
        <v>5679</v>
      </c>
      <c r="C337" s="9" t="n">
        <v>82.8</v>
      </c>
      <c r="D337" s="9" t="n">
        <v>160</v>
      </c>
      <c r="E337" s="9" t="n">
        <v>104</v>
      </c>
      <c r="F337" s="9" t="n">
        <v>2</v>
      </c>
      <c r="G337" s="9" t="n">
        <v>15</v>
      </c>
      <c r="H337" s="9" t="n">
        <v>89</v>
      </c>
      <c r="I337" s="9" t="n">
        <f aca="false">MAX(0,'Family Readiness'!J48-G337)</f>
        <v>0</v>
      </c>
      <c r="J337" s="43" t="str">
        <f aca="false">IF(H337&gt;=C337,"PASS","FAIL")</f>
        <v>PASS</v>
      </c>
      <c r="K337" s="21" t="str">
        <f aca="false">IF(I337&gt;=C337,"PASS","HOLD")</f>
        <v>HOLD</v>
      </c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customFormat="false" ht="15" hidden="false" customHeight="false" outlineLevel="0" collapsed="false">
      <c r="A338" s="9" t="s">
        <v>4729</v>
      </c>
      <c r="B338" s="9" t="s">
        <v>5680</v>
      </c>
      <c r="C338" s="9" t="n">
        <v>82.8</v>
      </c>
      <c r="D338" s="9" t="n">
        <v>160</v>
      </c>
      <c r="E338" s="9" t="n">
        <v>104</v>
      </c>
      <c r="F338" s="9" t="n">
        <v>3</v>
      </c>
      <c r="G338" s="9" t="n">
        <v>15</v>
      </c>
      <c r="H338" s="9" t="n">
        <v>89</v>
      </c>
      <c r="I338" s="9" t="n">
        <f aca="false">MAX(0,'Family Readiness'!J48-G338)</f>
        <v>0</v>
      </c>
      <c r="J338" s="43" t="str">
        <f aca="false">IF(H338&gt;=C338,"PASS","FAIL")</f>
        <v>PASS</v>
      </c>
      <c r="K338" s="21" t="str">
        <f aca="false">IF(I338&gt;=C338,"PASS","HOLD")</f>
        <v>HOLD</v>
      </c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customFormat="false" ht="15" hidden="false" customHeight="false" outlineLevel="0" collapsed="false">
      <c r="A339" s="9" t="s">
        <v>4729</v>
      </c>
      <c r="B339" s="9" t="s">
        <v>5681</v>
      </c>
      <c r="C339" s="9" t="n">
        <v>82.8</v>
      </c>
      <c r="D339" s="9" t="n">
        <v>160</v>
      </c>
      <c r="E339" s="9" t="n">
        <v>104</v>
      </c>
      <c r="F339" s="9" t="n">
        <v>4</v>
      </c>
      <c r="G339" s="9" t="n">
        <v>15</v>
      </c>
      <c r="H339" s="9" t="n">
        <v>89</v>
      </c>
      <c r="I339" s="9" t="n">
        <f aca="false">MAX(0,'Family Readiness'!J48-G339)</f>
        <v>0</v>
      </c>
      <c r="J339" s="43" t="str">
        <f aca="false">IF(H339&gt;=C339,"PASS","FAIL")</f>
        <v>PASS</v>
      </c>
      <c r="K339" s="21" t="str">
        <f aca="false">IF(I339&gt;=C339,"PASS","HOLD")</f>
        <v>HOLD</v>
      </c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customFormat="false" ht="15" hidden="false" customHeight="false" outlineLevel="0" collapsed="false">
      <c r="A340" s="9" t="s">
        <v>4729</v>
      </c>
      <c r="B340" s="9" t="s">
        <v>5682</v>
      </c>
      <c r="C340" s="9" t="n">
        <v>82.8</v>
      </c>
      <c r="D340" s="9" t="n">
        <v>160</v>
      </c>
      <c r="E340" s="9" t="n">
        <v>104</v>
      </c>
      <c r="F340" s="9" t="n">
        <v>5</v>
      </c>
      <c r="G340" s="9" t="n">
        <v>15</v>
      </c>
      <c r="H340" s="9" t="n">
        <v>89</v>
      </c>
      <c r="I340" s="9" t="n">
        <f aca="false">MAX(0,'Family Readiness'!J48-G340)</f>
        <v>0</v>
      </c>
      <c r="J340" s="43" t="str">
        <f aca="false">IF(H340&gt;=C340,"PASS","FAIL")</f>
        <v>PASS</v>
      </c>
      <c r="K340" s="21" t="str">
        <f aca="false">IF(I340&gt;=C340,"PASS","HOLD")</f>
        <v>HOLD</v>
      </c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customFormat="false" ht="15" hidden="false" customHeight="false" outlineLevel="0" collapsed="false">
      <c r="A341" s="9" t="s">
        <v>4729</v>
      </c>
      <c r="B341" s="9" t="s">
        <v>5683</v>
      </c>
      <c r="C341" s="9" t="n">
        <v>82.8</v>
      </c>
      <c r="D341" s="9" t="n">
        <v>160</v>
      </c>
      <c r="E341" s="9" t="n">
        <v>104</v>
      </c>
      <c r="F341" s="9" t="n">
        <v>6</v>
      </c>
      <c r="G341" s="9" t="n">
        <v>15</v>
      </c>
      <c r="H341" s="9" t="n">
        <v>89</v>
      </c>
      <c r="I341" s="9" t="n">
        <f aca="false">MAX(0,'Family Readiness'!J48-G341)</f>
        <v>0</v>
      </c>
      <c r="J341" s="43" t="str">
        <f aca="false">IF(H341&gt;=C341,"PASS","FAIL")</f>
        <v>PASS</v>
      </c>
      <c r="K341" s="21" t="str">
        <f aca="false">IF(I341&gt;=C341,"PASS","HOLD")</f>
        <v>HOLD</v>
      </c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customFormat="false" ht="15" hidden="false" customHeight="false" outlineLevel="0" collapsed="false">
      <c r="A342" s="9" t="s">
        <v>4729</v>
      </c>
      <c r="B342" s="9" t="s">
        <v>5684</v>
      </c>
      <c r="C342" s="9" t="n">
        <v>82.8</v>
      </c>
      <c r="D342" s="9" t="n">
        <v>160</v>
      </c>
      <c r="E342" s="9" t="n">
        <v>104</v>
      </c>
      <c r="F342" s="9" t="n">
        <v>7</v>
      </c>
      <c r="G342" s="9" t="n">
        <v>14</v>
      </c>
      <c r="H342" s="9" t="n">
        <v>90</v>
      </c>
      <c r="I342" s="9" t="n">
        <f aca="false">MAX(0,'Family Readiness'!J48-G342)</f>
        <v>0</v>
      </c>
      <c r="J342" s="43" t="str">
        <f aca="false">IF(H342&gt;=C342,"PASS","FAIL")</f>
        <v>PASS</v>
      </c>
      <c r="K342" s="21" t="str">
        <f aca="false">IF(I342&gt;=C342,"PASS","HOLD")</f>
        <v>HOLD</v>
      </c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customFormat="false" ht="15" hidden="false" customHeight="false" outlineLevel="0" collapsed="false">
      <c r="A343" s="9" t="s">
        <v>4892</v>
      </c>
      <c r="B343" s="9" t="s">
        <v>5676</v>
      </c>
      <c r="C343" s="9" t="n">
        <v>64.8</v>
      </c>
      <c r="D343" s="9" t="n">
        <v>125</v>
      </c>
      <c r="E343" s="9" t="n">
        <v>82</v>
      </c>
      <c r="F343" s="9" t="s">
        <v>5677</v>
      </c>
      <c r="G343" s="9" t="n">
        <v>0</v>
      </c>
      <c r="H343" s="9" t="n">
        <v>82</v>
      </c>
      <c r="I343" s="9" t="n">
        <f aca="false">MAX(0,'Family Readiness'!J49-G343)</f>
        <v>0</v>
      </c>
      <c r="J343" s="43" t="str">
        <f aca="false">IF(H343&gt;=C343,"PASS","FAIL")</f>
        <v>PASS</v>
      </c>
      <c r="K343" s="21" t="str">
        <f aca="false">IF(I343&gt;=C343,"PASS","HOLD")</f>
        <v>HOLD</v>
      </c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customFormat="false" ht="15" hidden="false" customHeight="false" outlineLevel="0" collapsed="false">
      <c r="A344" s="9" t="s">
        <v>4892</v>
      </c>
      <c r="B344" s="9" t="s">
        <v>5678</v>
      </c>
      <c r="C344" s="9" t="n">
        <v>64.8</v>
      </c>
      <c r="D344" s="9" t="n">
        <v>125</v>
      </c>
      <c r="E344" s="9" t="n">
        <v>82</v>
      </c>
      <c r="F344" s="9" t="n">
        <v>1</v>
      </c>
      <c r="G344" s="9" t="n">
        <v>12</v>
      </c>
      <c r="H344" s="9" t="n">
        <v>70</v>
      </c>
      <c r="I344" s="9" t="n">
        <f aca="false">MAX(0,'Family Readiness'!J49-G344)</f>
        <v>0</v>
      </c>
      <c r="J344" s="43" t="str">
        <f aca="false">IF(H344&gt;=C344,"PASS","FAIL")</f>
        <v>PASS</v>
      </c>
      <c r="K344" s="21" t="str">
        <f aca="false">IF(I344&gt;=C344,"PASS","HOLD")</f>
        <v>HOLD</v>
      </c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customFormat="false" ht="15" hidden="false" customHeight="false" outlineLevel="0" collapsed="false">
      <c r="A345" s="9" t="s">
        <v>4892</v>
      </c>
      <c r="B345" s="9" t="s">
        <v>5679</v>
      </c>
      <c r="C345" s="9" t="n">
        <v>64.8</v>
      </c>
      <c r="D345" s="9" t="n">
        <v>125</v>
      </c>
      <c r="E345" s="9" t="n">
        <v>82</v>
      </c>
      <c r="F345" s="9" t="n">
        <v>2</v>
      </c>
      <c r="G345" s="9" t="n">
        <v>12</v>
      </c>
      <c r="H345" s="9" t="n">
        <v>70</v>
      </c>
      <c r="I345" s="9" t="n">
        <f aca="false">MAX(0,'Family Readiness'!J49-G345)</f>
        <v>0</v>
      </c>
      <c r="J345" s="43" t="str">
        <f aca="false">IF(H345&gt;=C345,"PASS","FAIL")</f>
        <v>PASS</v>
      </c>
      <c r="K345" s="21" t="str">
        <f aca="false">IF(I345&gt;=C345,"PASS","HOLD")</f>
        <v>HOLD</v>
      </c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customFormat="false" ht="15" hidden="false" customHeight="false" outlineLevel="0" collapsed="false">
      <c r="A346" s="9" t="s">
        <v>4892</v>
      </c>
      <c r="B346" s="9" t="s">
        <v>5680</v>
      </c>
      <c r="C346" s="9" t="n">
        <v>64.8</v>
      </c>
      <c r="D346" s="9" t="n">
        <v>125</v>
      </c>
      <c r="E346" s="9" t="n">
        <v>82</v>
      </c>
      <c r="F346" s="9" t="n">
        <v>3</v>
      </c>
      <c r="G346" s="9" t="n">
        <v>12</v>
      </c>
      <c r="H346" s="9" t="n">
        <v>70</v>
      </c>
      <c r="I346" s="9" t="n">
        <f aca="false">MAX(0,'Family Readiness'!J49-G346)</f>
        <v>0</v>
      </c>
      <c r="J346" s="43" t="str">
        <f aca="false">IF(H346&gt;=C346,"PASS","FAIL")</f>
        <v>PASS</v>
      </c>
      <c r="K346" s="21" t="str">
        <f aca="false">IF(I346&gt;=C346,"PASS","HOLD")</f>
        <v>HOLD</v>
      </c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customFormat="false" ht="15" hidden="false" customHeight="false" outlineLevel="0" collapsed="false">
      <c r="A347" s="9" t="s">
        <v>4892</v>
      </c>
      <c r="B347" s="9" t="s">
        <v>5681</v>
      </c>
      <c r="C347" s="9" t="n">
        <v>64.8</v>
      </c>
      <c r="D347" s="9" t="n">
        <v>125</v>
      </c>
      <c r="E347" s="9" t="n">
        <v>82</v>
      </c>
      <c r="F347" s="9" t="n">
        <v>4</v>
      </c>
      <c r="G347" s="9" t="n">
        <v>12</v>
      </c>
      <c r="H347" s="9" t="n">
        <v>70</v>
      </c>
      <c r="I347" s="9" t="n">
        <f aca="false">MAX(0,'Family Readiness'!J49-G347)</f>
        <v>0</v>
      </c>
      <c r="J347" s="43" t="str">
        <f aca="false">IF(H347&gt;=C347,"PASS","FAIL")</f>
        <v>PASS</v>
      </c>
      <c r="K347" s="21" t="str">
        <f aca="false">IF(I347&gt;=C347,"PASS","HOLD")</f>
        <v>HOLD</v>
      </c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customFormat="false" ht="15" hidden="false" customHeight="false" outlineLevel="0" collapsed="false">
      <c r="A348" s="9" t="s">
        <v>4892</v>
      </c>
      <c r="B348" s="9" t="s">
        <v>5682</v>
      </c>
      <c r="C348" s="9" t="n">
        <v>64.8</v>
      </c>
      <c r="D348" s="9" t="n">
        <v>125</v>
      </c>
      <c r="E348" s="9" t="n">
        <v>82</v>
      </c>
      <c r="F348" s="9" t="n">
        <v>5</v>
      </c>
      <c r="G348" s="9" t="n">
        <v>12</v>
      </c>
      <c r="H348" s="9" t="n">
        <v>70</v>
      </c>
      <c r="I348" s="9" t="n">
        <f aca="false">MAX(0,'Family Readiness'!J49-G348)</f>
        <v>0</v>
      </c>
      <c r="J348" s="43" t="str">
        <f aca="false">IF(H348&gt;=C348,"PASS","FAIL")</f>
        <v>PASS</v>
      </c>
      <c r="K348" s="21" t="str">
        <f aca="false">IF(I348&gt;=C348,"PASS","HOLD")</f>
        <v>HOLD</v>
      </c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customFormat="false" ht="15" hidden="false" customHeight="false" outlineLevel="0" collapsed="false">
      <c r="A349" s="9" t="s">
        <v>4892</v>
      </c>
      <c r="B349" s="9" t="s">
        <v>5683</v>
      </c>
      <c r="C349" s="9" t="n">
        <v>64.8</v>
      </c>
      <c r="D349" s="9" t="n">
        <v>125</v>
      </c>
      <c r="E349" s="9" t="n">
        <v>82</v>
      </c>
      <c r="F349" s="9" t="n">
        <v>6</v>
      </c>
      <c r="G349" s="9" t="n">
        <v>11</v>
      </c>
      <c r="H349" s="9" t="n">
        <v>71</v>
      </c>
      <c r="I349" s="9" t="n">
        <f aca="false">MAX(0,'Family Readiness'!J49-G349)</f>
        <v>0</v>
      </c>
      <c r="J349" s="43" t="str">
        <f aca="false">IF(H349&gt;=C349,"PASS","FAIL")</f>
        <v>PASS</v>
      </c>
      <c r="K349" s="21" t="str">
        <f aca="false">IF(I349&gt;=C349,"PASS","HOLD")</f>
        <v>HOLD</v>
      </c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customFormat="false" ht="15" hidden="false" customHeight="false" outlineLevel="0" collapsed="false">
      <c r="A350" s="9" t="s">
        <v>4892</v>
      </c>
      <c r="B350" s="9" t="s">
        <v>5684</v>
      </c>
      <c r="C350" s="9" t="n">
        <v>64.8</v>
      </c>
      <c r="D350" s="9" t="n">
        <v>125</v>
      </c>
      <c r="E350" s="9" t="n">
        <v>82</v>
      </c>
      <c r="F350" s="9" t="n">
        <v>7</v>
      </c>
      <c r="G350" s="9" t="n">
        <v>11</v>
      </c>
      <c r="H350" s="9" t="n">
        <v>71</v>
      </c>
      <c r="I350" s="9" t="n">
        <f aca="false">MAX(0,'Family Readiness'!J49-G350)</f>
        <v>0</v>
      </c>
      <c r="J350" s="43" t="str">
        <f aca="false">IF(H350&gt;=C350,"PASS","FAIL")</f>
        <v>PASS</v>
      </c>
      <c r="K350" s="21" t="str">
        <f aca="false">IF(I350&gt;=C350,"PASS","HOLD")</f>
        <v>HOLD</v>
      </c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customFormat="false" ht="15" hidden="false" customHeight="false" outlineLevel="0" collapsed="false">
      <c r="A351" s="9" t="s">
        <v>5019</v>
      </c>
      <c r="B351" s="9" t="s">
        <v>5676</v>
      </c>
      <c r="C351" s="9" t="n">
        <v>103.2</v>
      </c>
      <c r="D351" s="9" t="n">
        <v>199</v>
      </c>
      <c r="E351" s="9" t="n">
        <v>130</v>
      </c>
      <c r="F351" s="9" t="s">
        <v>5677</v>
      </c>
      <c r="G351" s="9" t="n">
        <v>0</v>
      </c>
      <c r="H351" s="9" t="n">
        <v>130</v>
      </c>
      <c r="I351" s="9" t="n">
        <f aca="false">MAX(0,'Family Readiness'!J50-G351)</f>
        <v>0</v>
      </c>
      <c r="J351" s="43" t="str">
        <f aca="false">IF(H351&gt;=C351,"PASS","FAIL")</f>
        <v>PASS</v>
      </c>
      <c r="K351" s="21" t="str">
        <f aca="false">IF(I351&gt;=C351,"PASS","HOLD")</f>
        <v>HOLD</v>
      </c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customFormat="false" ht="15" hidden="false" customHeight="false" outlineLevel="0" collapsed="false">
      <c r="A352" s="9" t="s">
        <v>5019</v>
      </c>
      <c r="B352" s="9" t="s">
        <v>5678</v>
      </c>
      <c r="C352" s="9" t="n">
        <v>103.2</v>
      </c>
      <c r="D352" s="9" t="n">
        <v>199</v>
      </c>
      <c r="E352" s="9" t="n">
        <v>130</v>
      </c>
      <c r="F352" s="9" t="n">
        <v>1</v>
      </c>
      <c r="G352" s="9" t="n">
        <v>19</v>
      </c>
      <c r="H352" s="9" t="n">
        <v>111</v>
      </c>
      <c r="I352" s="9" t="n">
        <f aca="false">MAX(0,'Family Readiness'!J50-G352)</f>
        <v>0</v>
      </c>
      <c r="J352" s="43" t="str">
        <f aca="false">IF(H352&gt;=C352,"PASS","FAIL")</f>
        <v>PASS</v>
      </c>
      <c r="K352" s="21" t="str">
        <f aca="false">IF(I352&gt;=C352,"PASS","HOLD")</f>
        <v>HOLD</v>
      </c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customFormat="false" ht="15" hidden="false" customHeight="false" outlineLevel="0" collapsed="false">
      <c r="A353" s="9" t="s">
        <v>5019</v>
      </c>
      <c r="B353" s="9" t="s">
        <v>5679</v>
      </c>
      <c r="C353" s="9" t="n">
        <v>103.2</v>
      </c>
      <c r="D353" s="9" t="n">
        <v>199</v>
      </c>
      <c r="E353" s="9" t="n">
        <v>130</v>
      </c>
      <c r="F353" s="9" t="n">
        <v>2</v>
      </c>
      <c r="G353" s="9" t="n">
        <v>19</v>
      </c>
      <c r="H353" s="9" t="n">
        <v>111</v>
      </c>
      <c r="I353" s="9" t="n">
        <f aca="false">MAX(0,'Family Readiness'!J50-G353)</f>
        <v>0</v>
      </c>
      <c r="J353" s="43" t="str">
        <f aca="false">IF(H353&gt;=C353,"PASS","FAIL")</f>
        <v>PASS</v>
      </c>
      <c r="K353" s="21" t="str">
        <f aca="false">IF(I353&gt;=C353,"PASS","HOLD")</f>
        <v>HOLD</v>
      </c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customFormat="false" ht="15" hidden="false" customHeight="false" outlineLevel="0" collapsed="false">
      <c r="A354" s="9" t="s">
        <v>5019</v>
      </c>
      <c r="B354" s="9" t="s">
        <v>5680</v>
      </c>
      <c r="C354" s="9" t="n">
        <v>103.2</v>
      </c>
      <c r="D354" s="9" t="n">
        <v>199</v>
      </c>
      <c r="E354" s="9" t="n">
        <v>130</v>
      </c>
      <c r="F354" s="9" t="n">
        <v>3</v>
      </c>
      <c r="G354" s="9" t="n">
        <v>19</v>
      </c>
      <c r="H354" s="9" t="n">
        <v>111</v>
      </c>
      <c r="I354" s="9" t="n">
        <f aca="false">MAX(0,'Family Readiness'!J50-G354)</f>
        <v>0</v>
      </c>
      <c r="J354" s="43" t="str">
        <f aca="false">IF(H354&gt;=C354,"PASS","FAIL")</f>
        <v>PASS</v>
      </c>
      <c r="K354" s="21" t="str">
        <f aca="false">IF(I354&gt;=C354,"PASS","HOLD")</f>
        <v>HOLD</v>
      </c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customFormat="false" ht="15" hidden="false" customHeight="false" outlineLevel="0" collapsed="false">
      <c r="A355" s="9" t="s">
        <v>5019</v>
      </c>
      <c r="B355" s="9" t="s">
        <v>5681</v>
      </c>
      <c r="C355" s="9" t="n">
        <v>103.2</v>
      </c>
      <c r="D355" s="9" t="n">
        <v>199</v>
      </c>
      <c r="E355" s="9" t="n">
        <v>130</v>
      </c>
      <c r="F355" s="9" t="n">
        <v>4</v>
      </c>
      <c r="G355" s="9" t="n">
        <v>19</v>
      </c>
      <c r="H355" s="9" t="n">
        <v>111</v>
      </c>
      <c r="I355" s="9" t="n">
        <f aca="false">MAX(0,'Family Readiness'!J50-G355)</f>
        <v>0</v>
      </c>
      <c r="J355" s="43" t="str">
        <f aca="false">IF(H355&gt;=C355,"PASS","FAIL")</f>
        <v>PASS</v>
      </c>
      <c r="K355" s="21" t="str">
        <f aca="false">IF(I355&gt;=C355,"PASS","HOLD")</f>
        <v>HOLD</v>
      </c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customFormat="false" ht="15" hidden="false" customHeight="false" outlineLevel="0" collapsed="false">
      <c r="A356" s="9" t="s">
        <v>5019</v>
      </c>
      <c r="B356" s="9" t="s">
        <v>5682</v>
      </c>
      <c r="C356" s="9" t="n">
        <v>103.2</v>
      </c>
      <c r="D356" s="9" t="n">
        <v>199</v>
      </c>
      <c r="E356" s="9" t="n">
        <v>130</v>
      </c>
      <c r="F356" s="9" t="n">
        <v>5</v>
      </c>
      <c r="G356" s="9" t="n">
        <v>18</v>
      </c>
      <c r="H356" s="9" t="n">
        <v>112</v>
      </c>
      <c r="I356" s="9" t="n">
        <f aca="false">MAX(0,'Family Readiness'!J50-G356)</f>
        <v>0</v>
      </c>
      <c r="J356" s="43" t="str">
        <f aca="false">IF(H356&gt;=C356,"PASS","FAIL")</f>
        <v>PASS</v>
      </c>
      <c r="K356" s="21" t="str">
        <f aca="false">IF(I356&gt;=C356,"PASS","HOLD")</f>
        <v>HOLD</v>
      </c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customFormat="false" ht="15" hidden="false" customHeight="false" outlineLevel="0" collapsed="false">
      <c r="A357" s="9" t="s">
        <v>5019</v>
      </c>
      <c r="B357" s="9" t="s">
        <v>5683</v>
      </c>
      <c r="C357" s="9" t="n">
        <v>103.2</v>
      </c>
      <c r="D357" s="9" t="n">
        <v>199</v>
      </c>
      <c r="E357" s="9" t="n">
        <v>130</v>
      </c>
      <c r="F357" s="9" t="n">
        <v>6</v>
      </c>
      <c r="G357" s="9" t="n">
        <v>18</v>
      </c>
      <c r="H357" s="9" t="n">
        <v>112</v>
      </c>
      <c r="I357" s="9" t="n">
        <f aca="false">MAX(0,'Family Readiness'!J50-G357)</f>
        <v>0</v>
      </c>
      <c r="J357" s="43" t="str">
        <f aca="false">IF(H357&gt;=C357,"PASS","FAIL")</f>
        <v>PASS</v>
      </c>
      <c r="K357" s="21" t="str">
        <f aca="false">IF(I357&gt;=C357,"PASS","HOLD")</f>
        <v>HOLD</v>
      </c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customFormat="false" ht="15" hidden="false" customHeight="false" outlineLevel="0" collapsed="false">
      <c r="A358" s="9" t="s">
        <v>5019</v>
      </c>
      <c r="B358" s="9" t="s">
        <v>5684</v>
      </c>
      <c r="C358" s="9" t="n">
        <v>103.2</v>
      </c>
      <c r="D358" s="9" t="n">
        <v>199</v>
      </c>
      <c r="E358" s="9" t="n">
        <v>130</v>
      </c>
      <c r="F358" s="9" t="n">
        <v>7</v>
      </c>
      <c r="G358" s="9" t="n">
        <v>18</v>
      </c>
      <c r="H358" s="9" t="n">
        <v>112</v>
      </c>
      <c r="I358" s="9" t="n">
        <f aca="false">MAX(0,'Family Readiness'!J50-G358)</f>
        <v>0</v>
      </c>
      <c r="J358" s="43" t="str">
        <f aca="false">IF(H358&gt;=C358,"PASS","FAIL")</f>
        <v>PASS</v>
      </c>
      <c r="K358" s="21" t="str">
        <f aca="false">IF(I358&gt;=C358,"PASS","HOLD")</f>
        <v>HOLD</v>
      </c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customFormat="false" ht="15" hidden="false" customHeight="false" outlineLevel="0" collapsed="false">
      <c r="A359" s="9" t="s">
        <v>5220</v>
      </c>
      <c r="B359" s="9" t="s">
        <v>5676</v>
      </c>
      <c r="C359" s="9" t="n">
        <v>38.4</v>
      </c>
      <c r="D359" s="9" t="n">
        <v>74</v>
      </c>
      <c r="E359" s="9" t="n">
        <v>49</v>
      </c>
      <c r="F359" s="9" t="s">
        <v>5677</v>
      </c>
      <c r="G359" s="9" t="n">
        <v>0</v>
      </c>
      <c r="H359" s="9" t="n">
        <v>49</v>
      </c>
      <c r="I359" s="9" t="n">
        <f aca="false">MAX(0,'Family Readiness'!J51-G359)</f>
        <v>0</v>
      </c>
      <c r="J359" s="43" t="str">
        <f aca="false">IF(H359&gt;=C359,"PASS","FAIL")</f>
        <v>PASS</v>
      </c>
      <c r="K359" s="21" t="str">
        <f aca="false">IF(I359&gt;=C359,"PASS","HOLD")</f>
        <v>HOLD</v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customFormat="false" ht="15" hidden="false" customHeight="false" outlineLevel="0" collapsed="false">
      <c r="A360" s="9" t="s">
        <v>5220</v>
      </c>
      <c r="B360" s="9" t="s">
        <v>5678</v>
      </c>
      <c r="C360" s="9" t="n">
        <v>38.4</v>
      </c>
      <c r="D360" s="9" t="n">
        <v>74</v>
      </c>
      <c r="E360" s="9" t="n">
        <v>49</v>
      </c>
      <c r="F360" s="9" t="n">
        <v>1</v>
      </c>
      <c r="G360" s="9" t="n">
        <v>7</v>
      </c>
      <c r="H360" s="9" t="n">
        <v>42</v>
      </c>
      <c r="I360" s="9" t="n">
        <f aca="false">MAX(0,'Family Readiness'!J51-G360)</f>
        <v>0</v>
      </c>
      <c r="J360" s="43" t="str">
        <f aca="false">IF(H360&gt;=C360,"PASS","FAIL")</f>
        <v>PASS</v>
      </c>
      <c r="K360" s="21" t="str">
        <f aca="false">IF(I360&gt;=C360,"PASS","HOLD")</f>
        <v>HOLD</v>
      </c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customFormat="false" ht="15" hidden="false" customHeight="false" outlineLevel="0" collapsed="false">
      <c r="A361" s="9" t="s">
        <v>5220</v>
      </c>
      <c r="B361" s="9" t="s">
        <v>5679</v>
      </c>
      <c r="C361" s="9" t="n">
        <v>38.4</v>
      </c>
      <c r="D361" s="9" t="n">
        <v>74</v>
      </c>
      <c r="E361" s="9" t="n">
        <v>49</v>
      </c>
      <c r="F361" s="9" t="n">
        <v>2</v>
      </c>
      <c r="G361" s="9" t="n">
        <v>7</v>
      </c>
      <c r="H361" s="9" t="n">
        <v>42</v>
      </c>
      <c r="I361" s="9" t="n">
        <f aca="false">MAX(0,'Family Readiness'!J51-G361)</f>
        <v>0</v>
      </c>
      <c r="J361" s="43" t="str">
        <f aca="false">IF(H361&gt;=C361,"PASS","FAIL")</f>
        <v>PASS</v>
      </c>
      <c r="K361" s="21" t="str">
        <f aca="false">IF(I361&gt;=C361,"PASS","HOLD")</f>
        <v>HOLD</v>
      </c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customFormat="false" ht="15" hidden="false" customHeight="false" outlineLevel="0" collapsed="false">
      <c r="A362" s="9" t="s">
        <v>5220</v>
      </c>
      <c r="B362" s="9" t="s">
        <v>5680</v>
      </c>
      <c r="C362" s="9" t="n">
        <v>38.4</v>
      </c>
      <c r="D362" s="9" t="n">
        <v>74</v>
      </c>
      <c r="E362" s="9" t="n">
        <v>49</v>
      </c>
      <c r="F362" s="9" t="n">
        <v>3</v>
      </c>
      <c r="G362" s="9" t="n">
        <v>7</v>
      </c>
      <c r="H362" s="9" t="n">
        <v>42</v>
      </c>
      <c r="I362" s="9" t="n">
        <f aca="false">MAX(0,'Family Readiness'!J51-G362)</f>
        <v>0</v>
      </c>
      <c r="J362" s="43" t="str">
        <f aca="false">IF(H362&gt;=C362,"PASS","FAIL")</f>
        <v>PASS</v>
      </c>
      <c r="K362" s="21" t="str">
        <f aca="false">IF(I362&gt;=C362,"PASS","HOLD")</f>
        <v>HOLD</v>
      </c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customFormat="false" ht="15" hidden="false" customHeight="false" outlineLevel="0" collapsed="false">
      <c r="A363" s="9" t="s">
        <v>5220</v>
      </c>
      <c r="B363" s="9" t="s">
        <v>5681</v>
      </c>
      <c r="C363" s="9" t="n">
        <v>38.4</v>
      </c>
      <c r="D363" s="9" t="n">
        <v>74</v>
      </c>
      <c r="E363" s="9" t="n">
        <v>49</v>
      </c>
      <c r="F363" s="9" t="n">
        <v>4</v>
      </c>
      <c r="G363" s="9" t="n">
        <v>7</v>
      </c>
      <c r="H363" s="9" t="n">
        <v>42</v>
      </c>
      <c r="I363" s="9" t="n">
        <f aca="false">MAX(0,'Family Readiness'!J51-G363)</f>
        <v>0</v>
      </c>
      <c r="J363" s="43" t="str">
        <f aca="false">IF(H363&gt;=C363,"PASS","FAIL")</f>
        <v>PASS</v>
      </c>
      <c r="K363" s="21" t="str">
        <f aca="false">IF(I363&gt;=C363,"PASS","HOLD")</f>
        <v>HOLD</v>
      </c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customFormat="false" ht="15" hidden="false" customHeight="false" outlineLevel="0" collapsed="false">
      <c r="A364" s="9" t="s">
        <v>5220</v>
      </c>
      <c r="B364" s="9" t="s">
        <v>5682</v>
      </c>
      <c r="C364" s="9" t="n">
        <v>38.4</v>
      </c>
      <c r="D364" s="9" t="n">
        <v>74</v>
      </c>
      <c r="E364" s="9" t="n">
        <v>49</v>
      </c>
      <c r="F364" s="9" t="n">
        <v>5</v>
      </c>
      <c r="G364" s="9" t="n">
        <v>7</v>
      </c>
      <c r="H364" s="9" t="n">
        <v>42</v>
      </c>
      <c r="I364" s="9" t="n">
        <f aca="false">MAX(0,'Family Readiness'!J51-G364)</f>
        <v>0</v>
      </c>
      <c r="J364" s="43" t="str">
        <f aca="false">IF(H364&gt;=C364,"PASS","FAIL")</f>
        <v>PASS</v>
      </c>
      <c r="K364" s="21" t="str">
        <f aca="false">IF(I364&gt;=C364,"PASS","HOLD")</f>
        <v>HOLD</v>
      </c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customFormat="false" ht="15" hidden="false" customHeight="false" outlineLevel="0" collapsed="false">
      <c r="A365" s="9" t="s">
        <v>5220</v>
      </c>
      <c r="B365" s="9" t="s">
        <v>5683</v>
      </c>
      <c r="C365" s="9" t="n">
        <v>38.4</v>
      </c>
      <c r="D365" s="9" t="n">
        <v>74</v>
      </c>
      <c r="E365" s="9" t="n">
        <v>49</v>
      </c>
      <c r="F365" s="9" t="n">
        <v>6</v>
      </c>
      <c r="G365" s="9" t="n">
        <v>7</v>
      </c>
      <c r="H365" s="9" t="n">
        <v>42</v>
      </c>
      <c r="I365" s="9" t="n">
        <f aca="false">MAX(0,'Family Readiness'!J51-G365)</f>
        <v>0</v>
      </c>
      <c r="J365" s="43" t="str">
        <f aca="false">IF(H365&gt;=C365,"PASS","FAIL")</f>
        <v>PASS</v>
      </c>
      <c r="K365" s="21" t="str">
        <f aca="false">IF(I365&gt;=C365,"PASS","HOLD")</f>
        <v>HOLD</v>
      </c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customFormat="false" ht="15" hidden="false" customHeight="false" outlineLevel="0" collapsed="false">
      <c r="A366" s="9" t="s">
        <v>5220</v>
      </c>
      <c r="B366" s="9" t="s">
        <v>5684</v>
      </c>
      <c r="C366" s="9" t="n">
        <v>38.4</v>
      </c>
      <c r="D366" s="9" t="n">
        <v>74</v>
      </c>
      <c r="E366" s="9" t="n">
        <v>49</v>
      </c>
      <c r="F366" s="9" t="n">
        <v>7</v>
      </c>
      <c r="G366" s="9" t="n">
        <v>7</v>
      </c>
      <c r="H366" s="9" t="n">
        <v>42</v>
      </c>
      <c r="I366" s="9" t="n">
        <f aca="false">MAX(0,'Family Readiness'!J51-G366)</f>
        <v>0</v>
      </c>
      <c r="J366" s="43" t="str">
        <f aca="false">IF(H366&gt;=C366,"PASS","FAIL")</f>
        <v>PASS</v>
      </c>
      <c r="K366" s="21" t="str">
        <f aca="false">IF(I366&gt;=C366,"PASS","HOLD")</f>
        <v>HOLD</v>
      </c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customFormat="false" ht="15" hidden="false" customHeight="false" outlineLevel="0" collapsed="false">
      <c r="A367" s="9" t="s">
        <v>5296</v>
      </c>
      <c r="B367" s="9" t="s">
        <v>5676</v>
      </c>
      <c r="C367" s="9" t="n">
        <v>37.2</v>
      </c>
      <c r="D367" s="9" t="n">
        <v>72</v>
      </c>
      <c r="E367" s="9" t="n">
        <v>47</v>
      </c>
      <c r="F367" s="9" t="s">
        <v>5677</v>
      </c>
      <c r="G367" s="9" t="n">
        <v>0</v>
      </c>
      <c r="H367" s="9" t="n">
        <v>47</v>
      </c>
      <c r="I367" s="9" t="n">
        <f aca="false">MAX(0,'Family Readiness'!J52-G367)</f>
        <v>0</v>
      </c>
      <c r="J367" s="43" t="str">
        <f aca="false">IF(H367&gt;=C367,"PASS","FAIL")</f>
        <v>PASS</v>
      </c>
      <c r="K367" s="21" t="str">
        <f aca="false">IF(I367&gt;=C367,"PASS","HOLD")</f>
        <v>HOLD</v>
      </c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customFormat="false" ht="15" hidden="false" customHeight="false" outlineLevel="0" collapsed="false">
      <c r="A368" s="9" t="s">
        <v>5296</v>
      </c>
      <c r="B368" s="9" t="s">
        <v>5678</v>
      </c>
      <c r="C368" s="9" t="n">
        <v>37.2</v>
      </c>
      <c r="D368" s="9" t="n">
        <v>72</v>
      </c>
      <c r="E368" s="9" t="n">
        <v>47</v>
      </c>
      <c r="F368" s="9" t="n">
        <v>1</v>
      </c>
      <c r="G368" s="9" t="n">
        <v>7</v>
      </c>
      <c r="H368" s="9" t="n">
        <v>40</v>
      </c>
      <c r="I368" s="9" t="n">
        <f aca="false">MAX(0,'Family Readiness'!J52-G368)</f>
        <v>0</v>
      </c>
      <c r="J368" s="43" t="str">
        <f aca="false">IF(H368&gt;=C368,"PASS","FAIL")</f>
        <v>PASS</v>
      </c>
      <c r="K368" s="21" t="str">
        <f aca="false">IF(I368&gt;=C368,"PASS","HOLD")</f>
        <v>HOLD</v>
      </c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customFormat="false" ht="15" hidden="false" customHeight="false" outlineLevel="0" collapsed="false">
      <c r="A369" s="9" t="s">
        <v>5296</v>
      </c>
      <c r="B369" s="9" t="s">
        <v>5679</v>
      </c>
      <c r="C369" s="9" t="n">
        <v>37.2</v>
      </c>
      <c r="D369" s="9" t="n">
        <v>72</v>
      </c>
      <c r="E369" s="9" t="n">
        <v>47</v>
      </c>
      <c r="F369" s="9" t="n">
        <v>2</v>
      </c>
      <c r="G369" s="9" t="n">
        <v>7</v>
      </c>
      <c r="H369" s="9" t="n">
        <v>40</v>
      </c>
      <c r="I369" s="9" t="n">
        <f aca="false">MAX(0,'Family Readiness'!J52-G369)</f>
        <v>0</v>
      </c>
      <c r="J369" s="43" t="str">
        <f aca="false">IF(H369&gt;=C369,"PASS","FAIL")</f>
        <v>PASS</v>
      </c>
      <c r="K369" s="21" t="str">
        <f aca="false">IF(I369&gt;=C369,"PASS","HOLD")</f>
        <v>HOLD</v>
      </c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customFormat="false" ht="15" hidden="false" customHeight="false" outlineLevel="0" collapsed="false">
      <c r="A370" s="9" t="s">
        <v>5296</v>
      </c>
      <c r="B370" s="9" t="s">
        <v>5680</v>
      </c>
      <c r="C370" s="9" t="n">
        <v>37.2</v>
      </c>
      <c r="D370" s="9" t="n">
        <v>72</v>
      </c>
      <c r="E370" s="9" t="n">
        <v>47</v>
      </c>
      <c r="F370" s="9" t="n">
        <v>3</v>
      </c>
      <c r="G370" s="9" t="n">
        <v>7</v>
      </c>
      <c r="H370" s="9" t="n">
        <v>40</v>
      </c>
      <c r="I370" s="9" t="n">
        <f aca="false">MAX(0,'Family Readiness'!J52-G370)</f>
        <v>0</v>
      </c>
      <c r="J370" s="43" t="str">
        <f aca="false">IF(H370&gt;=C370,"PASS","FAIL")</f>
        <v>PASS</v>
      </c>
      <c r="K370" s="21" t="str">
        <f aca="false">IF(I370&gt;=C370,"PASS","HOLD")</f>
        <v>HOLD</v>
      </c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customFormat="false" ht="15" hidden="false" customHeight="false" outlineLevel="0" collapsed="false">
      <c r="A371" s="9" t="s">
        <v>5296</v>
      </c>
      <c r="B371" s="9" t="s">
        <v>5681</v>
      </c>
      <c r="C371" s="9" t="n">
        <v>37.2</v>
      </c>
      <c r="D371" s="9" t="n">
        <v>72</v>
      </c>
      <c r="E371" s="9" t="n">
        <v>47</v>
      </c>
      <c r="F371" s="9" t="n">
        <v>4</v>
      </c>
      <c r="G371" s="9" t="n">
        <v>7</v>
      </c>
      <c r="H371" s="9" t="n">
        <v>40</v>
      </c>
      <c r="I371" s="9" t="n">
        <f aca="false">MAX(0,'Family Readiness'!J52-G371)</f>
        <v>0</v>
      </c>
      <c r="J371" s="43" t="str">
        <f aca="false">IF(H371&gt;=C371,"PASS","FAIL")</f>
        <v>PASS</v>
      </c>
      <c r="K371" s="21" t="str">
        <f aca="false">IF(I371&gt;=C371,"PASS","HOLD")</f>
        <v>HOLD</v>
      </c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customFormat="false" ht="15" hidden="false" customHeight="false" outlineLevel="0" collapsed="false">
      <c r="A372" s="9" t="s">
        <v>5296</v>
      </c>
      <c r="B372" s="9" t="s">
        <v>5682</v>
      </c>
      <c r="C372" s="9" t="n">
        <v>37.2</v>
      </c>
      <c r="D372" s="9" t="n">
        <v>72</v>
      </c>
      <c r="E372" s="9" t="n">
        <v>47</v>
      </c>
      <c r="F372" s="9" t="n">
        <v>5</v>
      </c>
      <c r="G372" s="9" t="n">
        <v>7</v>
      </c>
      <c r="H372" s="9" t="n">
        <v>40</v>
      </c>
      <c r="I372" s="9" t="n">
        <f aca="false">MAX(0,'Family Readiness'!J52-G372)</f>
        <v>0</v>
      </c>
      <c r="J372" s="43" t="str">
        <f aca="false">IF(H372&gt;=C372,"PASS","FAIL")</f>
        <v>PASS</v>
      </c>
      <c r="K372" s="21" t="str">
        <f aca="false">IF(I372&gt;=C372,"PASS","HOLD")</f>
        <v>HOLD</v>
      </c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customFormat="false" ht="15" hidden="false" customHeight="false" outlineLevel="0" collapsed="false">
      <c r="A373" s="9" t="s">
        <v>5296</v>
      </c>
      <c r="B373" s="9" t="s">
        <v>5683</v>
      </c>
      <c r="C373" s="9" t="n">
        <v>37.2</v>
      </c>
      <c r="D373" s="9" t="n">
        <v>72</v>
      </c>
      <c r="E373" s="9" t="n">
        <v>47</v>
      </c>
      <c r="F373" s="9" t="n">
        <v>6</v>
      </c>
      <c r="G373" s="9" t="n">
        <v>6</v>
      </c>
      <c r="H373" s="9" t="n">
        <v>41</v>
      </c>
      <c r="I373" s="9" t="n">
        <f aca="false">MAX(0,'Family Readiness'!J52-G373)</f>
        <v>0</v>
      </c>
      <c r="J373" s="43" t="str">
        <f aca="false">IF(H373&gt;=C373,"PASS","FAIL")</f>
        <v>PASS</v>
      </c>
      <c r="K373" s="21" t="str">
        <f aca="false">IF(I373&gt;=C373,"PASS","HOLD")</f>
        <v>HOLD</v>
      </c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customFormat="false" ht="15" hidden="false" customHeight="false" outlineLevel="0" collapsed="false">
      <c r="A374" s="9" t="s">
        <v>5296</v>
      </c>
      <c r="B374" s="9" t="s">
        <v>5684</v>
      </c>
      <c r="C374" s="9" t="n">
        <v>37.2</v>
      </c>
      <c r="D374" s="9" t="n">
        <v>72</v>
      </c>
      <c r="E374" s="9" t="n">
        <v>47</v>
      </c>
      <c r="F374" s="9" t="n">
        <v>7</v>
      </c>
      <c r="G374" s="9" t="n">
        <v>6</v>
      </c>
      <c r="H374" s="9" t="n">
        <v>41</v>
      </c>
      <c r="I374" s="9" t="n">
        <f aca="false">MAX(0,'Family Readiness'!J52-G374)</f>
        <v>0</v>
      </c>
      <c r="J374" s="43" t="str">
        <f aca="false">IF(H374&gt;=C374,"PASS","FAIL")</f>
        <v>PASS</v>
      </c>
      <c r="K374" s="21" t="str">
        <f aca="false">IF(I374&gt;=C374,"PASS","HOLD")</f>
        <v>HOLD</v>
      </c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customFormat="false" ht="15" hidden="false" customHeight="false" outlineLevel="0" collapsed="false">
      <c r="A375" s="9" t="s">
        <v>5370</v>
      </c>
      <c r="B375" s="9" t="s">
        <v>5676</v>
      </c>
      <c r="C375" s="9" t="n">
        <v>38.4</v>
      </c>
      <c r="D375" s="9" t="n">
        <v>74</v>
      </c>
      <c r="E375" s="9" t="n">
        <v>49</v>
      </c>
      <c r="F375" s="9" t="s">
        <v>5677</v>
      </c>
      <c r="G375" s="9" t="n">
        <v>0</v>
      </c>
      <c r="H375" s="9" t="n">
        <v>49</v>
      </c>
      <c r="I375" s="9" t="n">
        <f aca="false">MAX(0,'Family Readiness'!J53-G375)</f>
        <v>0</v>
      </c>
      <c r="J375" s="43" t="str">
        <f aca="false">IF(H375&gt;=C375,"PASS","FAIL")</f>
        <v>PASS</v>
      </c>
      <c r="K375" s="21" t="str">
        <f aca="false">IF(I375&gt;=C375,"PASS","HOLD")</f>
        <v>HOLD</v>
      </c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customFormat="false" ht="15" hidden="false" customHeight="false" outlineLevel="0" collapsed="false">
      <c r="A376" s="9" t="s">
        <v>5370</v>
      </c>
      <c r="B376" s="9" t="s">
        <v>5678</v>
      </c>
      <c r="C376" s="9" t="n">
        <v>38.4</v>
      </c>
      <c r="D376" s="9" t="n">
        <v>74</v>
      </c>
      <c r="E376" s="9" t="n">
        <v>49</v>
      </c>
      <c r="F376" s="9" t="n">
        <v>1</v>
      </c>
      <c r="G376" s="9" t="n">
        <v>7</v>
      </c>
      <c r="H376" s="9" t="n">
        <v>42</v>
      </c>
      <c r="I376" s="9" t="n">
        <f aca="false">MAX(0,'Family Readiness'!J53-G376)</f>
        <v>0</v>
      </c>
      <c r="J376" s="43" t="str">
        <f aca="false">IF(H376&gt;=C376,"PASS","FAIL")</f>
        <v>PASS</v>
      </c>
      <c r="K376" s="21" t="str">
        <f aca="false">IF(I376&gt;=C376,"PASS","HOLD")</f>
        <v>HOLD</v>
      </c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customFormat="false" ht="15" hidden="false" customHeight="false" outlineLevel="0" collapsed="false">
      <c r="A377" s="9" t="s">
        <v>5370</v>
      </c>
      <c r="B377" s="9" t="s">
        <v>5679</v>
      </c>
      <c r="C377" s="9" t="n">
        <v>38.4</v>
      </c>
      <c r="D377" s="9" t="n">
        <v>74</v>
      </c>
      <c r="E377" s="9" t="n">
        <v>49</v>
      </c>
      <c r="F377" s="9" t="n">
        <v>2</v>
      </c>
      <c r="G377" s="9" t="n">
        <v>7</v>
      </c>
      <c r="H377" s="9" t="n">
        <v>42</v>
      </c>
      <c r="I377" s="9" t="n">
        <f aca="false">MAX(0,'Family Readiness'!J53-G377)</f>
        <v>0</v>
      </c>
      <c r="J377" s="43" t="str">
        <f aca="false">IF(H377&gt;=C377,"PASS","FAIL")</f>
        <v>PASS</v>
      </c>
      <c r="K377" s="21" t="str">
        <f aca="false">IF(I377&gt;=C377,"PASS","HOLD")</f>
        <v>HOLD</v>
      </c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customFormat="false" ht="15" hidden="false" customHeight="false" outlineLevel="0" collapsed="false">
      <c r="A378" s="9" t="s">
        <v>5370</v>
      </c>
      <c r="B378" s="9" t="s">
        <v>5680</v>
      </c>
      <c r="C378" s="9" t="n">
        <v>38.4</v>
      </c>
      <c r="D378" s="9" t="n">
        <v>74</v>
      </c>
      <c r="E378" s="9" t="n">
        <v>49</v>
      </c>
      <c r="F378" s="9" t="n">
        <v>3</v>
      </c>
      <c r="G378" s="9" t="n">
        <v>7</v>
      </c>
      <c r="H378" s="9" t="n">
        <v>42</v>
      </c>
      <c r="I378" s="9" t="n">
        <f aca="false">MAX(0,'Family Readiness'!J53-G378)</f>
        <v>0</v>
      </c>
      <c r="J378" s="43" t="str">
        <f aca="false">IF(H378&gt;=C378,"PASS","FAIL")</f>
        <v>PASS</v>
      </c>
      <c r="K378" s="21" t="str">
        <f aca="false">IF(I378&gt;=C378,"PASS","HOLD")</f>
        <v>HOLD</v>
      </c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customFormat="false" ht="15" hidden="false" customHeight="false" outlineLevel="0" collapsed="false">
      <c r="A379" s="9" t="s">
        <v>5370</v>
      </c>
      <c r="B379" s="9" t="s">
        <v>5681</v>
      </c>
      <c r="C379" s="9" t="n">
        <v>38.4</v>
      </c>
      <c r="D379" s="9" t="n">
        <v>74</v>
      </c>
      <c r="E379" s="9" t="n">
        <v>49</v>
      </c>
      <c r="F379" s="9" t="n">
        <v>4</v>
      </c>
      <c r="G379" s="9" t="n">
        <v>7</v>
      </c>
      <c r="H379" s="9" t="n">
        <v>42</v>
      </c>
      <c r="I379" s="9" t="n">
        <f aca="false">MAX(0,'Family Readiness'!J53-G379)</f>
        <v>0</v>
      </c>
      <c r="J379" s="43" t="str">
        <f aca="false">IF(H379&gt;=C379,"PASS","FAIL")</f>
        <v>PASS</v>
      </c>
      <c r="K379" s="21" t="str">
        <f aca="false">IF(I379&gt;=C379,"PASS","HOLD")</f>
        <v>HOLD</v>
      </c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customFormat="false" ht="15" hidden="false" customHeight="false" outlineLevel="0" collapsed="false">
      <c r="A380" s="9" t="s">
        <v>5370</v>
      </c>
      <c r="B380" s="9" t="s">
        <v>5682</v>
      </c>
      <c r="C380" s="9" t="n">
        <v>38.4</v>
      </c>
      <c r="D380" s="9" t="n">
        <v>74</v>
      </c>
      <c r="E380" s="9" t="n">
        <v>49</v>
      </c>
      <c r="F380" s="9" t="n">
        <v>5</v>
      </c>
      <c r="G380" s="9" t="n">
        <v>7</v>
      </c>
      <c r="H380" s="9" t="n">
        <v>42</v>
      </c>
      <c r="I380" s="9" t="n">
        <f aca="false">MAX(0,'Family Readiness'!J53-G380)</f>
        <v>0</v>
      </c>
      <c r="J380" s="43" t="str">
        <f aca="false">IF(H380&gt;=C380,"PASS","FAIL")</f>
        <v>PASS</v>
      </c>
      <c r="K380" s="21" t="str">
        <f aca="false">IF(I380&gt;=C380,"PASS","HOLD")</f>
        <v>HOLD</v>
      </c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customFormat="false" ht="15" hidden="false" customHeight="false" outlineLevel="0" collapsed="false">
      <c r="A381" s="9" t="s">
        <v>5370</v>
      </c>
      <c r="B381" s="9" t="s">
        <v>5683</v>
      </c>
      <c r="C381" s="9" t="n">
        <v>38.4</v>
      </c>
      <c r="D381" s="9" t="n">
        <v>74</v>
      </c>
      <c r="E381" s="9" t="n">
        <v>49</v>
      </c>
      <c r="F381" s="9" t="n">
        <v>6</v>
      </c>
      <c r="G381" s="9" t="n">
        <v>7</v>
      </c>
      <c r="H381" s="9" t="n">
        <v>42</v>
      </c>
      <c r="I381" s="9" t="n">
        <f aca="false">MAX(0,'Family Readiness'!J53-G381)</f>
        <v>0</v>
      </c>
      <c r="J381" s="43" t="str">
        <f aca="false">IF(H381&gt;=C381,"PASS","FAIL")</f>
        <v>PASS</v>
      </c>
      <c r="K381" s="21" t="str">
        <f aca="false">IF(I381&gt;=C381,"PASS","HOLD")</f>
        <v>HOLD</v>
      </c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customFormat="false" ht="15" hidden="false" customHeight="false" outlineLevel="0" collapsed="false">
      <c r="A382" s="9" t="s">
        <v>5370</v>
      </c>
      <c r="B382" s="9" t="s">
        <v>5684</v>
      </c>
      <c r="C382" s="9" t="n">
        <v>38.4</v>
      </c>
      <c r="D382" s="9" t="n">
        <v>74</v>
      </c>
      <c r="E382" s="9" t="n">
        <v>49</v>
      </c>
      <c r="F382" s="9" t="n">
        <v>7</v>
      </c>
      <c r="G382" s="9" t="n">
        <v>7</v>
      </c>
      <c r="H382" s="9" t="n">
        <v>42</v>
      </c>
      <c r="I382" s="9" t="n">
        <f aca="false">MAX(0,'Family Readiness'!J53-G382)</f>
        <v>0</v>
      </c>
      <c r="J382" s="43" t="str">
        <f aca="false">IF(H382&gt;=C382,"PASS","FAIL")</f>
        <v>PASS</v>
      </c>
      <c r="K382" s="21" t="str">
        <f aca="false">IF(I382&gt;=C382,"PASS","HOLD")</f>
        <v>HOLD</v>
      </c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customFormat="false" ht="15" hidden="false" customHeight="false" outlineLevel="0" collapsed="false">
      <c r="A383" s="9" t="s">
        <v>5446</v>
      </c>
      <c r="B383" s="9" t="s">
        <v>5676</v>
      </c>
      <c r="C383" s="9" t="n">
        <v>69.6</v>
      </c>
      <c r="D383" s="9" t="n">
        <v>116</v>
      </c>
      <c r="E383" s="9" t="n">
        <v>87</v>
      </c>
      <c r="F383" s="9" t="s">
        <v>5677</v>
      </c>
      <c r="G383" s="9" t="n">
        <v>0</v>
      </c>
      <c r="H383" s="9" t="n">
        <v>87</v>
      </c>
      <c r="I383" s="9" t="n">
        <f aca="false">MAX(0,'Family Readiness'!J54-G383)</f>
        <v>0</v>
      </c>
      <c r="J383" s="43" t="str">
        <f aca="false">IF(H383&gt;=C383,"PASS","FAIL")</f>
        <v>PASS</v>
      </c>
      <c r="K383" s="21" t="str">
        <f aca="false">IF(I383&gt;=C383,"PASS","HOLD")</f>
        <v>HOLD</v>
      </c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customFormat="false" ht="15" hidden="false" customHeight="false" outlineLevel="0" collapsed="false">
      <c r="A384" s="9" t="s">
        <v>5446</v>
      </c>
      <c r="B384" s="9" t="s">
        <v>5678</v>
      </c>
      <c r="C384" s="9" t="n">
        <v>69.6</v>
      </c>
      <c r="D384" s="9" t="n">
        <v>116</v>
      </c>
      <c r="E384" s="9" t="n">
        <v>87</v>
      </c>
      <c r="F384" s="9" t="n">
        <v>1</v>
      </c>
      <c r="G384" s="9" t="n">
        <v>13</v>
      </c>
      <c r="H384" s="9" t="n">
        <v>74</v>
      </c>
      <c r="I384" s="9" t="n">
        <f aca="false">MAX(0,'Family Readiness'!J54-G384)</f>
        <v>0</v>
      </c>
      <c r="J384" s="43" t="str">
        <f aca="false">IF(H384&gt;=C384,"PASS","FAIL")</f>
        <v>PASS</v>
      </c>
      <c r="K384" s="21" t="str">
        <f aca="false">IF(I384&gt;=C384,"PASS","HOLD")</f>
        <v>HOLD</v>
      </c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customFormat="false" ht="15" hidden="false" customHeight="false" outlineLevel="0" collapsed="false">
      <c r="A385" s="9" t="s">
        <v>5446</v>
      </c>
      <c r="B385" s="9" t="s">
        <v>5679</v>
      </c>
      <c r="C385" s="9" t="n">
        <v>69.6</v>
      </c>
      <c r="D385" s="9" t="n">
        <v>116</v>
      </c>
      <c r="E385" s="9" t="n">
        <v>87</v>
      </c>
      <c r="F385" s="9" t="n">
        <v>2</v>
      </c>
      <c r="G385" s="9" t="n">
        <v>13</v>
      </c>
      <c r="H385" s="9" t="n">
        <v>74</v>
      </c>
      <c r="I385" s="9" t="n">
        <f aca="false">MAX(0,'Family Readiness'!J54-G385)</f>
        <v>0</v>
      </c>
      <c r="J385" s="43" t="str">
        <f aca="false">IF(H385&gt;=C385,"PASS","FAIL")</f>
        <v>PASS</v>
      </c>
      <c r="K385" s="21" t="str">
        <f aca="false">IF(I385&gt;=C385,"PASS","HOLD")</f>
        <v>HOLD</v>
      </c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customFormat="false" ht="15" hidden="false" customHeight="false" outlineLevel="0" collapsed="false">
      <c r="A386" s="9" t="s">
        <v>5446</v>
      </c>
      <c r="B386" s="9" t="s">
        <v>5680</v>
      </c>
      <c r="C386" s="9" t="n">
        <v>69.6</v>
      </c>
      <c r="D386" s="9" t="n">
        <v>116</v>
      </c>
      <c r="E386" s="9" t="n">
        <v>87</v>
      </c>
      <c r="F386" s="9" t="n">
        <v>3</v>
      </c>
      <c r="G386" s="9" t="n">
        <v>13</v>
      </c>
      <c r="H386" s="9" t="n">
        <v>74</v>
      </c>
      <c r="I386" s="9" t="n">
        <f aca="false">MAX(0,'Family Readiness'!J54-G386)</f>
        <v>0</v>
      </c>
      <c r="J386" s="43" t="str">
        <f aca="false">IF(H386&gt;=C386,"PASS","FAIL")</f>
        <v>PASS</v>
      </c>
      <c r="K386" s="21" t="str">
        <f aca="false">IF(I386&gt;=C386,"PASS","HOLD")</f>
        <v>HOLD</v>
      </c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customFormat="false" ht="15" hidden="false" customHeight="false" outlineLevel="0" collapsed="false">
      <c r="A387" s="9" t="s">
        <v>5446</v>
      </c>
      <c r="B387" s="9" t="s">
        <v>5681</v>
      </c>
      <c r="C387" s="9" t="n">
        <v>69.6</v>
      </c>
      <c r="D387" s="9" t="n">
        <v>116</v>
      </c>
      <c r="E387" s="9" t="n">
        <v>87</v>
      </c>
      <c r="F387" s="9" t="n">
        <v>4</v>
      </c>
      <c r="G387" s="9" t="n">
        <v>12</v>
      </c>
      <c r="H387" s="9" t="n">
        <v>75</v>
      </c>
      <c r="I387" s="9" t="n">
        <f aca="false">MAX(0,'Family Readiness'!J54-G387)</f>
        <v>0</v>
      </c>
      <c r="J387" s="43" t="str">
        <f aca="false">IF(H387&gt;=C387,"PASS","FAIL")</f>
        <v>PASS</v>
      </c>
      <c r="K387" s="21" t="str">
        <f aca="false">IF(I387&gt;=C387,"PASS","HOLD")</f>
        <v>HOLD</v>
      </c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customFormat="false" ht="15" hidden="false" customHeight="false" outlineLevel="0" collapsed="false">
      <c r="A388" s="9" t="s">
        <v>5446</v>
      </c>
      <c r="B388" s="9" t="s">
        <v>5682</v>
      </c>
      <c r="C388" s="9" t="n">
        <v>69.6</v>
      </c>
      <c r="D388" s="9" t="n">
        <v>116</v>
      </c>
      <c r="E388" s="9" t="n">
        <v>87</v>
      </c>
      <c r="F388" s="9" t="n">
        <v>5</v>
      </c>
      <c r="G388" s="9" t="n">
        <v>12</v>
      </c>
      <c r="H388" s="9" t="n">
        <v>75</v>
      </c>
      <c r="I388" s="9" t="n">
        <f aca="false">MAX(0,'Family Readiness'!J54-G388)</f>
        <v>0</v>
      </c>
      <c r="J388" s="43" t="str">
        <f aca="false">IF(H388&gt;=C388,"PASS","FAIL")</f>
        <v>PASS</v>
      </c>
      <c r="K388" s="21" t="str">
        <f aca="false">IF(I388&gt;=C388,"PASS","HOLD")</f>
        <v>HOLD</v>
      </c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customFormat="false" ht="15" hidden="false" customHeight="false" outlineLevel="0" collapsed="false">
      <c r="A389" s="9" t="s">
        <v>5446</v>
      </c>
      <c r="B389" s="9" t="s">
        <v>5683</v>
      </c>
      <c r="C389" s="9" t="n">
        <v>69.6</v>
      </c>
      <c r="D389" s="9" t="n">
        <v>116</v>
      </c>
      <c r="E389" s="9" t="n">
        <v>87</v>
      </c>
      <c r="F389" s="9" t="n">
        <v>6</v>
      </c>
      <c r="G389" s="9" t="n">
        <v>12</v>
      </c>
      <c r="H389" s="9" t="n">
        <v>75</v>
      </c>
      <c r="I389" s="9" t="n">
        <f aca="false">MAX(0,'Family Readiness'!J54-G389)</f>
        <v>0</v>
      </c>
      <c r="J389" s="43" t="str">
        <f aca="false">IF(H389&gt;=C389,"PASS","FAIL")</f>
        <v>PASS</v>
      </c>
      <c r="K389" s="21" t="str">
        <f aca="false">IF(I389&gt;=C389,"PASS","HOLD")</f>
        <v>HOLD</v>
      </c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customFormat="false" ht="15" hidden="false" customHeight="false" outlineLevel="0" collapsed="false">
      <c r="A390" s="13" t="s">
        <v>5446</v>
      </c>
      <c r="B390" s="13" t="s">
        <v>5684</v>
      </c>
      <c r="C390" s="13" t="n">
        <v>69.6</v>
      </c>
      <c r="D390" s="13" t="n">
        <v>116</v>
      </c>
      <c r="E390" s="13" t="n">
        <v>87</v>
      </c>
      <c r="F390" s="13" t="n">
        <v>7</v>
      </c>
      <c r="G390" s="13" t="n">
        <v>12</v>
      </c>
      <c r="H390" s="13" t="n">
        <v>75</v>
      </c>
      <c r="I390" s="13" t="n">
        <f aca="false">MAX(0,'Family Readiness'!J54-G390)</f>
        <v>0</v>
      </c>
      <c r="J390" s="23" t="str">
        <f aca="false">IF(H390&gt;=C390,"PASS","FAIL")</f>
        <v>PASS</v>
      </c>
      <c r="K390" s="33" t="str">
        <f aca="false">IF(I390&gt;=C390,"PASS","HOLD")</f>
        <v>HOLD</v>
      </c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1"/>
    <col collapsed="false" customWidth="true" hidden="false" outlineLevel="0" max="3" min="3" style="0" width="39"/>
    <col collapsed="false" customWidth="true" hidden="false" outlineLevel="0" max="4" min="4" style="0" width="31"/>
    <col collapsed="false" customWidth="true" hidden="false" outlineLevel="0" max="6" min="5" style="0" width="18"/>
    <col collapsed="false" customWidth="true" hidden="false" outlineLevel="0" max="7" min="7" style="0" width="13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8.55" hidden="false" customHeight="false" outlineLevel="0" collapsed="false">
      <c r="A2" s="2" t="s">
        <v>5685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4" t="s">
        <v>5686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customFormat="false" ht="15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5" hidden="false" customHeight="false" outlineLevel="0" collapsed="false">
      <c r="A6" s="5" t="s">
        <v>5687</v>
      </c>
      <c r="B6" s="5" t="s">
        <v>5688</v>
      </c>
      <c r="C6" s="5" t="s">
        <v>5689</v>
      </c>
      <c r="D6" s="5" t="s">
        <v>5690</v>
      </c>
      <c r="E6" s="5" t="s">
        <v>5691</v>
      </c>
      <c r="F6" s="5" t="s">
        <v>5692</v>
      </c>
      <c r="G6" s="5" t="s">
        <v>2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customFormat="false" ht="15" hidden="false" customHeight="false" outlineLevel="0" collapsed="false">
      <c r="A7" s="7" t="s">
        <v>5693</v>
      </c>
      <c r="B7" s="7" t="s">
        <v>5694</v>
      </c>
      <c r="C7" s="7" t="s">
        <v>5695</v>
      </c>
      <c r="D7" s="7" t="s">
        <v>140</v>
      </c>
      <c r="E7" s="7" t="n">
        <v>5251</v>
      </c>
      <c r="F7" s="7" t="n">
        <v>0</v>
      </c>
      <c r="G7" s="19" t="s">
        <v>5572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customFormat="false" ht="15" hidden="false" customHeight="false" outlineLevel="0" collapsed="false">
      <c r="A8" s="9" t="s">
        <v>5696</v>
      </c>
      <c r="B8" s="9" t="s">
        <v>5697</v>
      </c>
      <c r="C8" s="9" t="s">
        <v>5695</v>
      </c>
      <c r="D8" s="9" t="s">
        <v>140</v>
      </c>
      <c r="E8" s="9" t="n">
        <v>5251</v>
      </c>
      <c r="F8" s="9" t="n">
        <v>0</v>
      </c>
      <c r="G8" s="21" t="s">
        <v>5572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customFormat="false" ht="15" hidden="false" customHeight="false" outlineLevel="0" collapsed="false">
      <c r="A9" s="9" t="s">
        <v>5698</v>
      </c>
      <c r="B9" s="9" t="s">
        <v>5699</v>
      </c>
      <c r="C9" s="9" t="s">
        <v>5695</v>
      </c>
      <c r="D9" s="9" t="s">
        <v>5700</v>
      </c>
      <c r="E9" s="9" t="n">
        <v>5251</v>
      </c>
      <c r="F9" s="9" t="n">
        <v>0</v>
      </c>
      <c r="G9" s="21" t="s">
        <v>5572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customFormat="false" ht="15" hidden="false" customHeight="false" outlineLevel="0" collapsed="false">
      <c r="A10" s="9" t="s">
        <v>5701</v>
      </c>
      <c r="B10" s="9" t="s">
        <v>5702</v>
      </c>
      <c r="C10" s="9" t="s">
        <v>5695</v>
      </c>
      <c r="D10" s="9" t="s">
        <v>165</v>
      </c>
      <c r="E10" s="9" t="n">
        <v>5251</v>
      </c>
      <c r="F10" s="9" t="n">
        <v>0</v>
      </c>
      <c r="G10" s="21" t="s">
        <v>5572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customFormat="false" ht="15" hidden="false" customHeight="false" outlineLevel="0" collapsed="false">
      <c r="A11" s="13" t="s">
        <v>5703</v>
      </c>
      <c r="B11" s="13" t="s">
        <v>5704</v>
      </c>
      <c r="C11" s="13" t="s">
        <v>5695</v>
      </c>
      <c r="D11" s="13" t="s">
        <v>155</v>
      </c>
      <c r="E11" s="13" t="n">
        <v>5251</v>
      </c>
      <c r="F11" s="13" t="n">
        <v>0</v>
      </c>
      <c r="G11" s="33" t="s">
        <v>5572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customFormat="false" ht="15" hidden="false" customHeight="false" outlineLevel="0" collapsed="false">
      <c r="A12" s="5" t="s">
        <v>5705</v>
      </c>
      <c r="B12" s="5" t="s">
        <v>5706</v>
      </c>
      <c r="C12" s="5" t="s">
        <v>5707</v>
      </c>
      <c r="D12" s="5" t="s">
        <v>165</v>
      </c>
      <c r="E12" s="5" t="n">
        <v>26255</v>
      </c>
      <c r="F12" s="5" t="n">
        <v>0</v>
      </c>
      <c r="G12" s="41" t="s">
        <v>5572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8"/>
    <col collapsed="false" customWidth="true" hidden="false" outlineLevel="0" max="3" min="3" style="0" width="29"/>
    <col collapsed="false" customWidth="true" hidden="false" outlineLevel="0" max="4" min="4" style="0" width="24"/>
    <col collapsed="false" customWidth="true" hidden="false" outlineLevel="0" max="5" min="5" style="0" width="19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8.55" hidden="false" customHeight="false" outlineLevel="0" collapsed="false">
      <c r="A2" s="2" t="s">
        <v>5708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4" t="s">
        <v>5709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customFormat="false" ht="15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5" hidden="false" customHeight="false" outlineLevel="0" collapsed="false">
      <c r="A6" s="5" t="s">
        <v>5710</v>
      </c>
      <c r="B6" s="5" t="s">
        <v>5711</v>
      </c>
      <c r="C6" s="5" t="s">
        <v>5712</v>
      </c>
      <c r="D6" s="5" t="s">
        <v>5713</v>
      </c>
      <c r="E6" s="5" t="s">
        <v>2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customFormat="false" ht="15" hidden="false" customHeight="false" outlineLevel="0" collapsed="false">
      <c r="A7" s="7" t="n">
        <v>15</v>
      </c>
      <c r="B7" s="7" t="n">
        <f aca="false">ROUNDUP(Controls!$B$7/A7,0)</f>
        <v>351</v>
      </c>
      <c r="C7" s="44" t="n">
        <f aca="false">Controls!$B$16/A7</f>
        <v>627.370666666667</v>
      </c>
      <c r="D7" s="7" t="n">
        <f aca="false">ROUNDUP(Controls!$B$19/A7,0)</f>
        <v>764348</v>
      </c>
      <c r="E7" s="7" t="s">
        <v>5714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customFormat="false" ht="15" hidden="false" customHeight="false" outlineLevel="0" collapsed="false">
      <c r="A8" s="9" t="n">
        <v>20</v>
      </c>
      <c r="B8" s="9" t="n">
        <f aca="false">ROUNDUP(Controls!$B$7/A8,0)</f>
        <v>263</v>
      </c>
      <c r="C8" s="45" t="n">
        <f aca="false">Controls!$B$16/A8</f>
        <v>470.528</v>
      </c>
      <c r="D8" s="9" t="n">
        <f aca="false">ROUNDUP(Controls!$B$19/A8,0)</f>
        <v>573261</v>
      </c>
      <c r="E8" s="9" t="s">
        <v>5714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customFormat="false" ht="15" hidden="false" customHeight="false" outlineLevel="0" collapsed="false">
      <c r="A9" s="9" t="n">
        <v>25</v>
      </c>
      <c r="B9" s="9" t="n">
        <f aca="false">ROUNDUP(Controls!$B$7/A9,0)</f>
        <v>211</v>
      </c>
      <c r="C9" s="45" t="n">
        <f aca="false">Controls!$B$16/A9</f>
        <v>376.4224</v>
      </c>
      <c r="D9" s="9" t="n">
        <f aca="false">ROUNDUP(Controls!$B$19/A9,0)</f>
        <v>458609</v>
      </c>
      <c r="E9" s="9" t="s">
        <v>5714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customFormat="false" ht="15" hidden="false" customHeight="false" outlineLevel="0" collapsed="false">
      <c r="A10" s="13" t="n">
        <v>30</v>
      </c>
      <c r="B10" s="13" t="n">
        <f aca="false">ROUNDUP(Controls!$B$7/A10,0)</f>
        <v>176</v>
      </c>
      <c r="C10" s="46" t="n">
        <f aca="false">Controls!$B$16/A10</f>
        <v>313.685333333333</v>
      </c>
      <c r="D10" s="13" t="n">
        <f aca="false">ROUNDUP(Controls!$B$19/A10,0)</f>
        <v>382174</v>
      </c>
      <c r="E10" s="13" t="s">
        <v>5714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1"/>
    <col collapsed="false" customWidth="true" hidden="false" outlineLevel="0" max="3" min="3" style="0" width="11"/>
    <col collapsed="false" customWidth="true" hidden="false" outlineLevel="0" max="4" min="4" style="0" width="15"/>
    <col collapsed="false" customWidth="true" hidden="false" outlineLevel="0" max="5" min="5" style="0" width="18"/>
    <col collapsed="false" customWidth="true" hidden="false" outlineLevel="0" max="6" min="6" style="0" width="20"/>
    <col collapsed="false" customWidth="true" hidden="false" outlineLevel="0" max="7" min="7" style="0" width="18"/>
    <col collapsed="false" customWidth="true" hidden="false" outlineLevel="0" max="8" min="8" style="0" width="26"/>
    <col collapsed="false" customWidth="true" hidden="false" outlineLevel="0" max="9" min="9" style="0" width="18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8.55" hidden="false" customHeight="false" outlineLevel="0" collapsed="false">
      <c r="A2" s="2" t="s">
        <v>5715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4" t="s">
        <v>5716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customFormat="false" ht="15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5" hidden="false" customHeight="false" outlineLevel="0" collapsed="false">
      <c r="A6" s="5" t="s">
        <v>181</v>
      </c>
      <c r="B6" s="5" t="s">
        <v>183</v>
      </c>
      <c r="C6" s="5" t="s">
        <v>184</v>
      </c>
      <c r="D6" s="5" t="s">
        <v>5717</v>
      </c>
      <c r="E6" s="5" t="s">
        <v>187</v>
      </c>
      <c r="F6" s="5" t="s">
        <v>5718</v>
      </c>
      <c r="G6" s="5" t="s">
        <v>188</v>
      </c>
      <c r="H6" s="5" t="s">
        <v>5719</v>
      </c>
      <c r="I6" s="5" t="s">
        <v>20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customFormat="false" ht="15" hidden="false" customHeight="false" outlineLevel="0" collapsed="false">
      <c r="A7" s="7" t="s">
        <v>193</v>
      </c>
      <c r="B7" s="7" t="s">
        <v>195</v>
      </c>
      <c r="C7" s="7" t="s">
        <v>196</v>
      </c>
      <c r="D7" s="7" t="n">
        <v>66</v>
      </c>
      <c r="E7" s="7" t="n">
        <v>19800</v>
      </c>
      <c r="F7" s="47" t="n">
        <v>300</v>
      </c>
      <c r="G7" s="35" t="n">
        <v>16.5</v>
      </c>
      <c r="H7" s="35" t="n">
        <v>0.25</v>
      </c>
      <c r="I7" s="7" t="n">
        <v>52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customFormat="false" ht="15" hidden="false" customHeight="false" outlineLevel="0" collapsed="false">
      <c r="A8" s="9" t="s">
        <v>273</v>
      </c>
      <c r="B8" s="9" t="s">
        <v>195</v>
      </c>
      <c r="C8" s="9" t="s">
        <v>275</v>
      </c>
      <c r="D8" s="9" t="n">
        <v>45</v>
      </c>
      <c r="E8" s="9" t="n">
        <v>67500</v>
      </c>
      <c r="F8" s="48" t="n">
        <v>1500</v>
      </c>
      <c r="G8" s="37" t="n">
        <v>54</v>
      </c>
      <c r="H8" s="37" t="n">
        <v>1.2</v>
      </c>
      <c r="I8" s="9" t="n">
        <v>36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customFormat="false" ht="15" hidden="false" customHeight="false" outlineLevel="0" collapsed="false">
      <c r="A9" s="9" t="s">
        <v>321</v>
      </c>
      <c r="B9" s="9" t="s">
        <v>195</v>
      </c>
      <c r="C9" s="9" t="s">
        <v>323</v>
      </c>
      <c r="D9" s="9" t="n">
        <v>64</v>
      </c>
      <c r="E9" s="9" t="n">
        <v>144000</v>
      </c>
      <c r="F9" s="48" t="n">
        <v>2250</v>
      </c>
      <c r="G9" s="37" t="n">
        <v>96</v>
      </c>
      <c r="H9" s="37" t="n">
        <v>1.5</v>
      </c>
      <c r="I9" s="9" t="n">
        <v>50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customFormat="false" ht="15" hidden="false" customHeight="false" outlineLevel="0" collapsed="false">
      <c r="A10" s="9" t="s">
        <v>388</v>
      </c>
      <c r="B10" s="9" t="s">
        <v>195</v>
      </c>
      <c r="C10" s="9" t="s">
        <v>196</v>
      </c>
      <c r="D10" s="9" t="n">
        <v>114</v>
      </c>
      <c r="E10" s="9" t="n">
        <v>102600</v>
      </c>
      <c r="F10" s="48" t="n">
        <v>900</v>
      </c>
      <c r="G10" s="37" t="n">
        <v>102.6</v>
      </c>
      <c r="H10" s="37" t="n">
        <v>0.9</v>
      </c>
      <c r="I10" s="9" t="n">
        <v>89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customFormat="false" ht="15" hidden="false" customHeight="false" outlineLevel="0" collapsed="false">
      <c r="A11" s="9" t="s">
        <v>504</v>
      </c>
      <c r="B11" s="9" t="s">
        <v>195</v>
      </c>
      <c r="C11" s="9" t="s">
        <v>323</v>
      </c>
      <c r="D11" s="9" t="n">
        <v>64</v>
      </c>
      <c r="E11" s="9" t="n">
        <v>64000</v>
      </c>
      <c r="F11" s="48" t="n">
        <v>1000</v>
      </c>
      <c r="G11" s="37" t="n">
        <v>51.2</v>
      </c>
      <c r="H11" s="37" t="n">
        <v>0.8</v>
      </c>
      <c r="I11" s="9" t="n">
        <v>50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customFormat="false" ht="15" hidden="false" customHeight="false" outlineLevel="0" collapsed="false">
      <c r="A12" s="9" t="s">
        <v>570</v>
      </c>
      <c r="B12" s="9" t="s">
        <v>195</v>
      </c>
      <c r="C12" s="9" t="s">
        <v>323</v>
      </c>
      <c r="D12" s="9" t="n">
        <v>45</v>
      </c>
      <c r="E12" s="9" t="n">
        <v>16875</v>
      </c>
      <c r="F12" s="48" t="n">
        <v>375</v>
      </c>
      <c r="G12" s="37" t="n">
        <v>13.5</v>
      </c>
      <c r="H12" s="37" t="n">
        <v>0.3</v>
      </c>
      <c r="I12" s="9" t="n">
        <v>36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customFormat="false" ht="15" hidden="false" customHeight="false" outlineLevel="0" collapsed="false">
      <c r="A13" s="9" t="s">
        <v>617</v>
      </c>
      <c r="B13" s="9" t="s">
        <v>619</v>
      </c>
      <c r="C13" s="9" t="s">
        <v>275</v>
      </c>
      <c r="D13" s="9" t="n">
        <v>151</v>
      </c>
      <c r="E13" s="9" t="n">
        <v>137410</v>
      </c>
      <c r="F13" s="48" t="n">
        <v>910</v>
      </c>
      <c r="G13" s="37" t="n">
        <v>181.2</v>
      </c>
      <c r="H13" s="37" t="n">
        <v>1.2</v>
      </c>
      <c r="I13" s="9" t="n">
        <v>106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customFormat="false" ht="15" hidden="false" customHeight="false" outlineLevel="0" collapsed="false">
      <c r="A14" s="9" t="s">
        <v>771</v>
      </c>
      <c r="B14" s="9" t="s">
        <v>619</v>
      </c>
      <c r="C14" s="9" t="s">
        <v>773</v>
      </c>
      <c r="D14" s="9" t="n">
        <v>108</v>
      </c>
      <c r="E14" s="9" t="n">
        <v>140400</v>
      </c>
      <c r="F14" s="48" t="n">
        <v>1300</v>
      </c>
      <c r="G14" s="37" t="n">
        <v>194.4</v>
      </c>
      <c r="H14" s="37" t="n">
        <v>1.8</v>
      </c>
      <c r="I14" s="9" t="n">
        <v>76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customFormat="false" ht="15" hidden="false" customHeight="false" outlineLevel="0" collapsed="false">
      <c r="A15" s="9" t="s">
        <v>882</v>
      </c>
      <c r="B15" s="9" t="s">
        <v>619</v>
      </c>
      <c r="C15" s="9" t="s">
        <v>773</v>
      </c>
      <c r="D15" s="9" t="n">
        <v>140</v>
      </c>
      <c r="E15" s="9" t="n">
        <v>145600</v>
      </c>
      <c r="F15" s="48" t="n">
        <v>1040</v>
      </c>
      <c r="G15" s="37" t="n">
        <v>196</v>
      </c>
      <c r="H15" s="37" t="n">
        <v>1.4</v>
      </c>
      <c r="I15" s="9" t="n">
        <v>98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customFormat="false" ht="15" hidden="false" customHeight="false" outlineLevel="0" collapsed="false">
      <c r="A16" s="9" t="s">
        <v>1024</v>
      </c>
      <c r="B16" s="9" t="s">
        <v>619</v>
      </c>
      <c r="C16" s="9" t="s">
        <v>275</v>
      </c>
      <c r="D16" s="9" t="n">
        <v>114</v>
      </c>
      <c r="E16" s="9" t="n">
        <v>103740</v>
      </c>
      <c r="F16" s="48" t="n">
        <v>910</v>
      </c>
      <c r="G16" s="37" t="n">
        <v>136.8</v>
      </c>
      <c r="H16" s="37" t="n">
        <v>1.2</v>
      </c>
      <c r="I16" s="9" t="n">
        <v>80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customFormat="false" ht="15" hidden="false" customHeight="false" outlineLevel="0" collapsed="false">
      <c r="A17" s="9" t="s">
        <v>1140</v>
      </c>
      <c r="B17" s="9" t="s">
        <v>619</v>
      </c>
      <c r="C17" s="9" t="s">
        <v>773</v>
      </c>
      <c r="D17" s="9" t="n">
        <v>71</v>
      </c>
      <c r="E17" s="9" t="n">
        <v>83070</v>
      </c>
      <c r="F17" s="48" t="n">
        <v>1170</v>
      </c>
      <c r="G17" s="37" t="n">
        <v>71</v>
      </c>
      <c r="H17" s="37" t="n">
        <v>1</v>
      </c>
      <c r="I17" s="9" t="n">
        <v>50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customFormat="false" ht="15" hidden="false" customHeight="false" outlineLevel="0" collapsed="false">
      <c r="A18" s="9" t="s">
        <v>1213</v>
      </c>
      <c r="B18" s="9" t="s">
        <v>1215</v>
      </c>
      <c r="C18" s="9" t="s">
        <v>275</v>
      </c>
      <c r="D18" s="9" t="n">
        <v>72</v>
      </c>
      <c r="E18" s="9" t="n">
        <v>194400</v>
      </c>
      <c r="F18" s="48" t="n">
        <v>2700</v>
      </c>
      <c r="G18" s="37" t="n">
        <v>576</v>
      </c>
      <c r="H18" s="37" t="n">
        <v>8</v>
      </c>
      <c r="I18" s="9" t="n">
        <v>47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customFormat="false" ht="15" hidden="false" customHeight="false" outlineLevel="0" collapsed="false">
      <c r="A19" s="9" t="s">
        <v>1288</v>
      </c>
      <c r="B19" s="9" t="s">
        <v>1215</v>
      </c>
      <c r="C19" s="9" t="s">
        <v>275</v>
      </c>
      <c r="D19" s="9" t="n">
        <v>84</v>
      </c>
      <c r="E19" s="9" t="n">
        <v>88200</v>
      </c>
      <c r="F19" s="48" t="n">
        <v>1050</v>
      </c>
      <c r="G19" s="37" t="n">
        <v>210</v>
      </c>
      <c r="H19" s="37" t="n">
        <v>2.5</v>
      </c>
      <c r="I19" s="9" t="n">
        <v>55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customFormat="false" ht="15" hidden="false" customHeight="false" outlineLevel="0" collapsed="false">
      <c r="A20" s="9" t="s">
        <v>1374</v>
      </c>
      <c r="B20" s="9" t="s">
        <v>1215</v>
      </c>
      <c r="C20" s="9" t="s">
        <v>773</v>
      </c>
      <c r="D20" s="9" t="n">
        <v>51</v>
      </c>
      <c r="E20" s="9" t="n">
        <v>91800</v>
      </c>
      <c r="F20" s="48" t="n">
        <v>1800</v>
      </c>
      <c r="G20" s="37" t="n">
        <v>306</v>
      </c>
      <c r="H20" s="37" t="n">
        <v>6</v>
      </c>
      <c r="I20" s="9" t="n">
        <v>34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customFormat="false" ht="15" hidden="false" customHeight="false" outlineLevel="0" collapsed="false">
      <c r="A21" s="9" t="s">
        <v>1427</v>
      </c>
      <c r="B21" s="9" t="s">
        <v>1215</v>
      </c>
      <c r="C21" s="9" t="s">
        <v>275</v>
      </c>
      <c r="D21" s="9" t="n">
        <v>134</v>
      </c>
      <c r="E21" s="9" t="n">
        <v>180900</v>
      </c>
      <c r="F21" s="48" t="n">
        <v>1350</v>
      </c>
      <c r="G21" s="37" t="n">
        <v>402</v>
      </c>
      <c r="H21" s="37" t="n">
        <v>3</v>
      </c>
      <c r="I21" s="9" t="n">
        <v>88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customFormat="false" ht="15" hidden="false" customHeight="false" outlineLevel="0" collapsed="false">
      <c r="A22" s="9" t="s">
        <v>1563</v>
      </c>
      <c r="B22" s="9" t="s">
        <v>1215</v>
      </c>
      <c r="C22" s="9" t="s">
        <v>196</v>
      </c>
      <c r="D22" s="9" t="n">
        <v>93</v>
      </c>
      <c r="E22" s="9" t="n">
        <v>50220</v>
      </c>
      <c r="F22" s="48" t="n">
        <v>540</v>
      </c>
      <c r="G22" s="37" t="n">
        <v>111.6</v>
      </c>
      <c r="H22" s="37" t="n">
        <v>1.2</v>
      </c>
      <c r="I22" s="9" t="n">
        <v>61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customFormat="false" ht="15" hidden="false" customHeight="false" outlineLevel="0" collapsed="false">
      <c r="A23" s="9" t="s">
        <v>1658</v>
      </c>
      <c r="B23" s="9" t="s">
        <v>1215</v>
      </c>
      <c r="C23" s="9" t="s">
        <v>1660</v>
      </c>
      <c r="D23" s="9" t="n">
        <v>72</v>
      </c>
      <c r="E23" s="9" t="n">
        <v>64800</v>
      </c>
      <c r="F23" s="48" t="n">
        <v>900</v>
      </c>
      <c r="G23" s="37" t="n">
        <v>180</v>
      </c>
      <c r="H23" s="37" t="n">
        <v>2.5</v>
      </c>
      <c r="I23" s="9" t="n">
        <v>47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customFormat="false" ht="15" hidden="false" customHeight="false" outlineLevel="0" collapsed="false">
      <c r="A24" s="9" t="s">
        <v>1733</v>
      </c>
      <c r="B24" s="9" t="s">
        <v>1735</v>
      </c>
      <c r="C24" s="9" t="s">
        <v>275</v>
      </c>
      <c r="D24" s="9" t="n">
        <v>74</v>
      </c>
      <c r="E24" s="9" t="n">
        <v>99900</v>
      </c>
      <c r="F24" s="48" t="n">
        <v>1350</v>
      </c>
      <c r="G24" s="37" t="n">
        <v>222</v>
      </c>
      <c r="H24" s="37" t="n">
        <v>3</v>
      </c>
      <c r="I24" s="9" t="n">
        <v>49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customFormat="false" ht="15" hidden="false" customHeight="false" outlineLevel="0" collapsed="false">
      <c r="A25" s="9" t="s">
        <v>1810</v>
      </c>
      <c r="B25" s="9" t="s">
        <v>1735</v>
      </c>
      <c r="C25" s="9" t="s">
        <v>275</v>
      </c>
      <c r="D25" s="9" t="n">
        <v>86</v>
      </c>
      <c r="E25" s="9" t="n">
        <v>90300</v>
      </c>
      <c r="F25" s="48" t="n">
        <v>1050</v>
      </c>
      <c r="G25" s="37" t="n">
        <v>172</v>
      </c>
      <c r="H25" s="37" t="n">
        <v>2</v>
      </c>
      <c r="I25" s="9" t="n">
        <v>56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customFormat="false" ht="15" hidden="false" customHeight="false" outlineLevel="0" collapsed="false">
      <c r="A26" s="9" t="s">
        <v>1898</v>
      </c>
      <c r="B26" s="9" t="s">
        <v>1735</v>
      </c>
      <c r="C26" s="9" t="s">
        <v>275</v>
      </c>
      <c r="D26" s="9" t="n">
        <v>67</v>
      </c>
      <c r="E26" s="9" t="n">
        <v>50250</v>
      </c>
      <c r="F26" s="48" t="n">
        <v>750</v>
      </c>
      <c r="G26" s="37" t="n">
        <v>100.5</v>
      </c>
      <c r="H26" s="37" t="n">
        <v>1.5</v>
      </c>
      <c r="I26" s="9" t="n">
        <v>44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customFormat="false" ht="15" hidden="false" customHeight="false" outlineLevel="0" collapsed="false">
      <c r="A27" s="9" t="s">
        <v>1967</v>
      </c>
      <c r="B27" s="9" t="s">
        <v>1735</v>
      </c>
      <c r="C27" s="9" t="s">
        <v>323</v>
      </c>
      <c r="D27" s="9" t="n">
        <v>56</v>
      </c>
      <c r="E27" s="9" t="n">
        <v>117600</v>
      </c>
      <c r="F27" s="48" t="n">
        <v>2100</v>
      </c>
      <c r="G27" s="37" t="n">
        <v>392</v>
      </c>
      <c r="H27" s="37" t="n">
        <v>7</v>
      </c>
      <c r="I27" s="9" t="n">
        <v>37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customFormat="false" ht="15" hidden="false" customHeight="false" outlineLevel="0" collapsed="false">
      <c r="A28" s="9" t="s">
        <v>2025</v>
      </c>
      <c r="B28" s="9" t="s">
        <v>1735</v>
      </c>
      <c r="C28" s="9" t="s">
        <v>2027</v>
      </c>
      <c r="D28" s="9" t="n">
        <v>65</v>
      </c>
      <c r="E28" s="9" t="n">
        <v>175500</v>
      </c>
      <c r="F28" s="48" t="n">
        <v>2700</v>
      </c>
      <c r="G28" s="37" t="n">
        <v>97.5</v>
      </c>
      <c r="H28" s="37" t="n">
        <v>1.5</v>
      </c>
      <c r="I28" s="9" t="n">
        <v>43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customFormat="false" ht="15" hidden="false" customHeight="false" outlineLevel="0" collapsed="false">
      <c r="A29" s="9" t="s">
        <v>2093</v>
      </c>
      <c r="B29" s="9" t="s">
        <v>1735</v>
      </c>
      <c r="C29" s="9" t="s">
        <v>323</v>
      </c>
      <c r="D29" s="9" t="n">
        <v>88</v>
      </c>
      <c r="E29" s="9" t="n">
        <v>171600</v>
      </c>
      <c r="F29" s="48" t="n">
        <v>1950</v>
      </c>
      <c r="G29" s="37" t="n">
        <v>792</v>
      </c>
      <c r="H29" s="37" t="n">
        <v>9</v>
      </c>
      <c r="I29" s="9" t="n">
        <v>58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customFormat="false" ht="15" hidden="false" customHeight="false" outlineLevel="0" collapsed="false">
      <c r="A30" s="9" t="s">
        <v>2183</v>
      </c>
      <c r="B30" s="9" t="s">
        <v>2185</v>
      </c>
      <c r="C30" s="9" t="s">
        <v>2027</v>
      </c>
      <c r="D30" s="9" t="n">
        <v>116</v>
      </c>
      <c r="E30" s="9" t="n">
        <v>737760</v>
      </c>
      <c r="F30" s="48" t="n">
        <v>6360</v>
      </c>
      <c r="G30" s="37" t="n">
        <v>174</v>
      </c>
      <c r="H30" s="37" t="n">
        <v>1.5</v>
      </c>
      <c r="I30" s="9" t="n">
        <v>82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customFormat="false" ht="15" hidden="false" customHeight="false" outlineLevel="0" collapsed="false">
      <c r="A31" s="9" t="s">
        <v>2302</v>
      </c>
      <c r="B31" s="9" t="s">
        <v>2185</v>
      </c>
      <c r="C31" s="9" t="s">
        <v>2027</v>
      </c>
      <c r="D31" s="9" t="n">
        <v>135</v>
      </c>
      <c r="E31" s="9" t="n">
        <v>891000</v>
      </c>
      <c r="F31" s="48" t="n">
        <v>6600</v>
      </c>
      <c r="G31" s="37" t="n">
        <v>270</v>
      </c>
      <c r="H31" s="37" t="n">
        <v>2</v>
      </c>
      <c r="I31" s="9" t="n">
        <v>95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customFormat="false" ht="15" hidden="false" customHeight="false" outlineLevel="0" collapsed="false">
      <c r="A32" s="9" t="s">
        <v>2439</v>
      </c>
      <c r="B32" s="9" t="s">
        <v>2185</v>
      </c>
      <c r="C32" s="9" t="s">
        <v>2027</v>
      </c>
      <c r="D32" s="9" t="n">
        <v>103</v>
      </c>
      <c r="E32" s="9" t="n">
        <v>432600</v>
      </c>
      <c r="F32" s="48" t="n">
        <v>4200</v>
      </c>
      <c r="G32" s="37" t="n">
        <v>154.5</v>
      </c>
      <c r="H32" s="37" t="n">
        <v>1.5</v>
      </c>
      <c r="I32" s="9" t="n">
        <v>73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customFormat="false" ht="15" hidden="false" customHeight="false" outlineLevel="0" collapsed="false">
      <c r="A33" s="9" t="s">
        <v>2544</v>
      </c>
      <c r="B33" s="9" t="s">
        <v>2185</v>
      </c>
      <c r="C33" s="9" t="s">
        <v>2027</v>
      </c>
      <c r="D33" s="9" t="n">
        <v>135</v>
      </c>
      <c r="E33" s="9" t="n">
        <v>101250</v>
      </c>
      <c r="F33" s="48" t="n">
        <v>750</v>
      </c>
      <c r="G33" s="37" t="n">
        <v>108</v>
      </c>
      <c r="H33" s="37" t="n">
        <v>0.8</v>
      </c>
      <c r="I33" s="9" t="n">
        <v>95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customFormat="false" ht="15" hidden="false" customHeight="false" outlineLevel="0" collapsed="false">
      <c r="A34" s="9" t="s">
        <v>2681</v>
      </c>
      <c r="B34" s="9" t="s">
        <v>2185</v>
      </c>
      <c r="C34" s="9" t="s">
        <v>196</v>
      </c>
      <c r="D34" s="9" t="n">
        <v>127</v>
      </c>
      <c r="E34" s="9" t="n">
        <v>95250</v>
      </c>
      <c r="F34" s="48" t="n">
        <v>750</v>
      </c>
      <c r="G34" s="37" t="n">
        <v>127</v>
      </c>
      <c r="H34" s="37" t="n">
        <v>1</v>
      </c>
      <c r="I34" s="9" t="n">
        <v>89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customFormat="false" ht="15" hidden="false" customHeight="false" outlineLevel="0" collapsed="false">
      <c r="A35" s="9" t="s">
        <v>2810</v>
      </c>
      <c r="B35" s="9" t="s">
        <v>2185</v>
      </c>
      <c r="C35" s="9" t="s">
        <v>323</v>
      </c>
      <c r="D35" s="9" t="n">
        <v>157</v>
      </c>
      <c r="E35" s="9" t="n">
        <v>211950</v>
      </c>
      <c r="F35" s="48" t="n">
        <v>1350</v>
      </c>
      <c r="G35" s="37" t="n">
        <v>314</v>
      </c>
      <c r="H35" s="37" t="n">
        <v>2</v>
      </c>
      <c r="I35" s="9" t="n">
        <v>110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customFormat="false" ht="15" hidden="false" customHeight="false" outlineLevel="0" collapsed="false">
      <c r="A36" s="9" t="s">
        <v>2969</v>
      </c>
      <c r="B36" s="9" t="s">
        <v>2971</v>
      </c>
      <c r="C36" s="9" t="s">
        <v>1660</v>
      </c>
      <c r="D36" s="9" t="n">
        <v>174</v>
      </c>
      <c r="E36" s="9" t="n">
        <v>295800</v>
      </c>
      <c r="F36" s="48" t="n">
        <v>1700</v>
      </c>
      <c r="G36" s="37" t="n">
        <v>208.8</v>
      </c>
      <c r="H36" s="37" t="n">
        <v>1.2</v>
      </c>
      <c r="I36" s="9" t="n">
        <v>114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customFormat="false" ht="15" hidden="false" customHeight="false" outlineLevel="0" collapsed="false">
      <c r="A37" s="9" t="s">
        <v>3146</v>
      </c>
      <c r="B37" s="9" t="s">
        <v>2971</v>
      </c>
      <c r="C37" s="9" t="s">
        <v>1660</v>
      </c>
      <c r="D37" s="9" t="n">
        <v>114</v>
      </c>
      <c r="E37" s="9" t="n">
        <v>232560</v>
      </c>
      <c r="F37" s="48" t="n">
        <v>2040</v>
      </c>
      <c r="G37" s="37" t="n">
        <v>285</v>
      </c>
      <c r="H37" s="37" t="n">
        <v>2.5</v>
      </c>
      <c r="I37" s="9" t="n">
        <v>75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customFormat="false" ht="15" hidden="false" customHeight="false" outlineLevel="0" collapsed="false">
      <c r="A38" s="9" t="s">
        <v>3262</v>
      </c>
      <c r="B38" s="9" t="s">
        <v>2971</v>
      </c>
      <c r="C38" s="9" t="s">
        <v>1660</v>
      </c>
      <c r="D38" s="9" t="n">
        <v>65</v>
      </c>
      <c r="E38" s="9" t="n">
        <v>198900</v>
      </c>
      <c r="F38" s="48" t="n">
        <v>3060</v>
      </c>
      <c r="G38" s="37" t="n">
        <v>97.5</v>
      </c>
      <c r="H38" s="37" t="n">
        <v>1.5</v>
      </c>
      <c r="I38" s="9" t="n">
        <v>43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customFormat="false" ht="15" hidden="false" customHeight="false" outlineLevel="0" collapsed="false">
      <c r="A39" s="9" t="s">
        <v>3329</v>
      </c>
      <c r="B39" s="9" t="s">
        <v>2971</v>
      </c>
      <c r="C39" s="9" t="s">
        <v>1660</v>
      </c>
      <c r="D39" s="9" t="n">
        <v>97</v>
      </c>
      <c r="E39" s="9" t="n">
        <v>82450</v>
      </c>
      <c r="F39" s="48" t="n">
        <v>850</v>
      </c>
      <c r="G39" s="37" t="n">
        <v>97</v>
      </c>
      <c r="H39" s="37" t="n">
        <v>1</v>
      </c>
      <c r="I39" s="9" t="n">
        <v>64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customFormat="false" ht="15" hidden="false" customHeight="false" outlineLevel="0" collapsed="false">
      <c r="A40" s="9" t="s">
        <v>3428</v>
      </c>
      <c r="B40" s="9" t="s">
        <v>2971</v>
      </c>
      <c r="C40" s="9" t="s">
        <v>1660</v>
      </c>
      <c r="D40" s="9" t="n">
        <v>114</v>
      </c>
      <c r="E40" s="9" t="n">
        <v>174420</v>
      </c>
      <c r="F40" s="48" t="n">
        <v>1530</v>
      </c>
      <c r="G40" s="37" t="n">
        <v>114</v>
      </c>
      <c r="H40" s="37" t="n">
        <v>1</v>
      </c>
      <c r="I40" s="9" t="n">
        <v>75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customFormat="false" ht="15" hidden="false" customHeight="false" outlineLevel="0" collapsed="false">
      <c r="A41" s="9" t="s">
        <v>3544</v>
      </c>
      <c r="B41" s="9" t="s">
        <v>2971</v>
      </c>
      <c r="C41" s="9" t="s">
        <v>1660</v>
      </c>
      <c r="D41" s="9" t="n">
        <v>174</v>
      </c>
      <c r="E41" s="9" t="n">
        <v>325380</v>
      </c>
      <c r="F41" s="48" t="n">
        <v>1870</v>
      </c>
      <c r="G41" s="37" t="n">
        <v>139.2</v>
      </c>
      <c r="H41" s="37" t="n">
        <v>0.8</v>
      </c>
      <c r="I41" s="9" t="n">
        <v>114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customFormat="false" ht="15" hidden="false" customHeight="false" outlineLevel="0" collapsed="false">
      <c r="A42" s="9" t="s">
        <v>3720</v>
      </c>
      <c r="B42" s="9" t="s">
        <v>3722</v>
      </c>
      <c r="C42" s="9" t="s">
        <v>1660</v>
      </c>
      <c r="D42" s="9" t="n">
        <v>216</v>
      </c>
      <c r="E42" s="9" t="n">
        <v>243000</v>
      </c>
      <c r="F42" s="48" t="n">
        <v>1125</v>
      </c>
      <c r="G42" s="37" t="n">
        <v>129.6</v>
      </c>
      <c r="H42" s="37" t="n">
        <v>0.6</v>
      </c>
      <c r="I42" s="9" t="n">
        <v>162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customFormat="false" ht="15" hidden="false" customHeight="false" outlineLevel="0" collapsed="false">
      <c r="A43" s="9" t="s">
        <v>3939</v>
      </c>
      <c r="B43" s="9" t="s">
        <v>3722</v>
      </c>
      <c r="C43" s="9" t="s">
        <v>1660</v>
      </c>
      <c r="D43" s="9" t="n">
        <v>216</v>
      </c>
      <c r="E43" s="9" t="n">
        <v>189000</v>
      </c>
      <c r="F43" s="48" t="n">
        <v>875</v>
      </c>
      <c r="G43" s="37" t="n">
        <v>108</v>
      </c>
      <c r="H43" s="37" t="n">
        <v>0.5</v>
      </c>
      <c r="I43" s="9" t="n">
        <v>162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customFormat="false" ht="15" hidden="false" customHeight="false" outlineLevel="0" collapsed="false">
      <c r="A44" s="9" t="s">
        <v>4157</v>
      </c>
      <c r="B44" s="9" t="s">
        <v>3722</v>
      </c>
      <c r="C44" s="9" t="s">
        <v>196</v>
      </c>
      <c r="D44" s="9" t="n">
        <v>164</v>
      </c>
      <c r="E44" s="9" t="n">
        <v>73800</v>
      </c>
      <c r="F44" s="48" t="n">
        <v>450</v>
      </c>
      <c r="G44" s="37" t="n">
        <v>49.2</v>
      </c>
      <c r="H44" s="37" t="n">
        <v>0.3</v>
      </c>
      <c r="I44" s="9" t="n">
        <v>123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customFormat="false" ht="15" hidden="false" customHeight="false" outlineLevel="0" collapsed="false">
      <c r="A45" s="9" t="s">
        <v>4323</v>
      </c>
      <c r="B45" s="9" t="s">
        <v>3722</v>
      </c>
      <c r="C45" s="9" t="s">
        <v>1660</v>
      </c>
      <c r="D45" s="9" t="n">
        <v>158</v>
      </c>
      <c r="E45" s="9" t="n">
        <v>118500</v>
      </c>
      <c r="F45" s="48" t="n">
        <v>750</v>
      </c>
      <c r="G45" s="37" t="n">
        <v>63.2</v>
      </c>
      <c r="H45" s="37" t="n">
        <v>0.4</v>
      </c>
      <c r="I45" s="9" t="n">
        <v>119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customFormat="false" ht="15" hidden="false" customHeight="false" outlineLevel="0" collapsed="false">
      <c r="A46" s="9" t="s">
        <v>4483</v>
      </c>
      <c r="B46" s="9" t="s">
        <v>3722</v>
      </c>
      <c r="C46" s="9" t="s">
        <v>323</v>
      </c>
      <c r="D46" s="9" t="n">
        <v>132</v>
      </c>
      <c r="E46" s="9" t="n">
        <v>82500</v>
      </c>
      <c r="F46" s="48" t="n">
        <v>625</v>
      </c>
      <c r="G46" s="37" t="n">
        <v>52.8</v>
      </c>
      <c r="H46" s="37" t="n">
        <v>0.4</v>
      </c>
      <c r="I46" s="9" t="n">
        <v>99</v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customFormat="false" ht="15" hidden="false" customHeight="false" outlineLevel="0" collapsed="false">
      <c r="A47" s="9" t="s">
        <v>4617</v>
      </c>
      <c r="B47" s="9" t="s">
        <v>3722</v>
      </c>
      <c r="C47" s="9" t="s">
        <v>323</v>
      </c>
      <c r="D47" s="9" t="n">
        <v>110</v>
      </c>
      <c r="E47" s="9" t="n">
        <v>96250</v>
      </c>
      <c r="F47" s="48" t="n">
        <v>875</v>
      </c>
      <c r="G47" s="37" t="n">
        <v>38.5</v>
      </c>
      <c r="H47" s="37" t="n">
        <v>0.35</v>
      </c>
      <c r="I47" s="9" t="n">
        <v>83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customFormat="false" ht="15" hidden="false" customHeight="false" outlineLevel="0" collapsed="false">
      <c r="A48" s="9" t="s">
        <v>4729</v>
      </c>
      <c r="B48" s="9" t="s">
        <v>4731</v>
      </c>
      <c r="C48" s="9" t="s">
        <v>196</v>
      </c>
      <c r="D48" s="9" t="n">
        <v>160</v>
      </c>
      <c r="E48" s="9" t="n">
        <v>3039328</v>
      </c>
      <c r="F48" s="48" t="n">
        <v>18995.8</v>
      </c>
      <c r="G48" s="37" t="n">
        <v>1098.56</v>
      </c>
      <c r="H48" s="37" t="n">
        <v>6.866</v>
      </c>
      <c r="I48" s="9" t="n">
        <v>104</v>
      </c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customFormat="false" ht="15" hidden="false" customHeight="false" outlineLevel="0" collapsed="false">
      <c r="A49" s="9" t="s">
        <v>4892</v>
      </c>
      <c r="B49" s="9" t="s">
        <v>4731</v>
      </c>
      <c r="C49" s="9" t="s">
        <v>1660</v>
      </c>
      <c r="D49" s="9" t="n">
        <v>125</v>
      </c>
      <c r="E49" s="9" t="n">
        <v>675000</v>
      </c>
      <c r="F49" s="48" t="n">
        <v>5400</v>
      </c>
      <c r="G49" s="37" t="n">
        <v>250</v>
      </c>
      <c r="H49" s="37" t="n">
        <v>2</v>
      </c>
      <c r="I49" s="9" t="n">
        <v>82</v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customFormat="false" ht="15" hidden="false" customHeight="false" outlineLevel="0" collapsed="false">
      <c r="A50" s="9" t="s">
        <v>5019</v>
      </c>
      <c r="B50" s="9" t="s">
        <v>4731</v>
      </c>
      <c r="C50" s="9" t="s">
        <v>1660</v>
      </c>
      <c r="D50" s="9" t="n">
        <v>199</v>
      </c>
      <c r="E50" s="9" t="n">
        <v>388050</v>
      </c>
      <c r="F50" s="48" t="n">
        <v>1950</v>
      </c>
      <c r="G50" s="37" t="n">
        <v>298.5</v>
      </c>
      <c r="H50" s="37" t="n">
        <v>1.5</v>
      </c>
      <c r="I50" s="9" t="n">
        <v>130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customFormat="false" ht="15" hidden="false" customHeight="false" outlineLevel="0" collapsed="false">
      <c r="A51" s="9" t="s">
        <v>5220</v>
      </c>
      <c r="B51" s="9" t="s">
        <v>4731</v>
      </c>
      <c r="C51" s="9" t="s">
        <v>1660</v>
      </c>
      <c r="D51" s="9" t="n">
        <v>74</v>
      </c>
      <c r="E51" s="9" t="n">
        <v>88800</v>
      </c>
      <c r="F51" s="48" t="n">
        <v>1200</v>
      </c>
      <c r="G51" s="37" t="n">
        <v>148</v>
      </c>
      <c r="H51" s="37" t="n">
        <v>2</v>
      </c>
      <c r="I51" s="9" t="n">
        <v>49</v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customFormat="false" ht="15" hidden="false" customHeight="false" outlineLevel="0" collapsed="false">
      <c r="A52" s="9" t="s">
        <v>5296</v>
      </c>
      <c r="B52" s="9" t="s">
        <v>4731</v>
      </c>
      <c r="C52" s="9" t="s">
        <v>1660</v>
      </c>
      <c r="D52" s="9" t="n">
        <v>72</v>
      </c>
      <c r="E52" s="9" t="n">
        <v>86400</v>
      </c>
      <c r="F52" s="48" t="n">
        <v>1200</v>
      </c>
      <c r="G52" s="37" t="n">
        <v>216</v>
      </c>
      <c r="H52" s="37" t="n">
        <v>3</v>
      </c>
      <c r="I52" s="9" t="n">
        <v>47</v>
      </c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customFormat="false" ht="15" hidden="false" customHeight="false" outlineLevel="0" collapsed="false">
      <c r="A53" s="9" t="s">
        <v>5370</v>
      </c>
      <c r="B53" s="9" t="s">
        <v>4731</v>
      </c>
      <c r="C53" s="9" t="s">
        <v>1660</v>
      </c>
      <c r="D53" s="9" t="n">
        <v>74</v>
      </c>
      <c r="E53" s="9" t="n">
        <v>88800</v>
      </c>
      <c r="F53" s="48" t="n">
        <v>1200</v>
      </c>
      <c r="G53" s="37" t="n">
        <v>148</v>
      </c>
      <c r="H53" s="37" t="n">
        <v>2</v>
      </c>
      <c r="I53" s="9" t="n">
        <v>49</v>
      </c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customFormat="false" ht="15" hidden="false" customHeight="false" outlineLevel="0" collapsed="false">
      <c r="A54" s="13" t="s">
        <v>5446</v>
      </c>
      <c r="B54" s="13" t="s">
        <v>4731</v>
      </c>
      <c r="C54" s="13" t="s">
        <v>323</v>
      </c>
      <c r="D54" s="13" t="n">
        <v>116</v>
      </c>
      <c r="E54" s="13" t="n">
        <v>116000</v>
      </c>
      <c r="F54" s="49" t="n">
        <v>1000</v>
      </c>
      <c r="G54" s="39" t="n">
        <v>46.4</v>
      </c>
      <c r="H54" s="39" t="n">
        <v>0.4</v>
      </c>
      <c r="I54" s="13" t="n">
        <v>87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customFormat="false" ht="15" hidden="false" customHeight="false" outlineLevel="0" collapsed="false">
      <c r="A55" s="5" t="s">
        <v>5571</v>
      </c>
      <c r="B55" s="5"/>
      <c r="C55" s="5"/>
      <c r="D55" s="5" t="n">
        <v>5251</v>
      </c>
      <c r="E55" s="5" t="n">
        <v>11465213</v>
      </c>
      <c r="F55" s="5"/>
      <c r="G55" s="40" t="n">
        <v>9410.56</v>
      </c>
      <c r="H55" s="40"/>
      <c r="I55" s="5" t="n">
        <f aca="false">SUM(I7:I54)</f>
        <v>3667</v>
      </c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3"/>
    <col collapsed="false" customWidth="true" hidden="false" outlineLevel="0" max="2" min="2" style="0" width="18"/>
    <col collapsed="false" customWidth="true" hidden="false" outlineLevel="0" max="3" min="3" style="0" width="74"/>
    <col collapsed="false" customWidth="true" hidden="false" outlineLevel="0" max="4" min="4" style="0" width="35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8.55" hidden="false" customHeight="false" outlineLevel="0" collapsed="false">
      <c r="A2" s="2" t="s">
        <v>5720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4" t="s">
        <v>5721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customFormat="false" ht="15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5" hidden="false" customHeight="false" outlineLevel="0" collapsed="false">
      <c r="A6" s="5" t="s">
        <v>5722</v>
      </c>
      <c r="B6" s="5" t="s">
        <v>54</v>
      </c>
      <c r="C6" s="5" t="s">
        <v>5723</v>
      </c>
      <c r="D6" s="5" t="s">
        <v>5724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customFormat="false" ht="15" hidden="false" customHeight="false" outlineLevel="0" collapsed="false">
      <c r="A7" s="7" t="s">
        <v>5725</v>
      </c>
      <c r="B7" s="35" t="n">
        <v>1000</v>
      </c>
      <c r="C7" s="7" t="s">
        <v>5726</v>
      </c>
      <c r="D7" s="7" t="s">
        <v>5727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customFormat="false" ht="15" hidden="false" customHeight="false" outlineLevel="0" collapsed="false">
      <c r="A8" s="9" t="s">
        <v>5728</v>
      </c>
      <c r="B8" s="37" t="n">
        <v>230</v>
      </c>
      <c r="C8" s="9" t="s">
        <v>5729</v>
      </c>
      <c r="D8" s="9" t="s">
        <v>5730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customFormat="false" ht="15" hidden="false" customHeight="false" outlineLevel="0" collapsed="false">
      <c r="A9" s="9" t="s">
        <v>5731</v>
      </c>
      <c r="B9" s="37" t="n">
        <v>9410.56</v>
      </c>
      <c r="C9" s="9" t="s">
        <v>5732</v>
      </c>
      <c r="D9" s="9" t="s">
        <v>5733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customFormat="false" ht="15" hidden="false" customHeight="false" outlineLevel="0" collapsed="false">
      <c r="A10" s="9" t="s">
        <v>5734</v>
      </c>
      <c r="B10" s="37" t="n">
        <f aca="false">B9-B8</f>
        <v>9180.56</v>
      </c>
      <c r="C10" s="9" t="s">
        <v>5735</v>
      </c>
      <c r="D10" s="9" t="s">
        <v>5736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customFormat="false" ht="15" hidden="false" customHeight="false" outlineLevel="0" collapsed="false">
      <c r="A11" s="9" t="s">
        <v>5737</v>
      </c>
      <c r="B11" s="37" t="n">
        <f aca="false">B12-B9</f>
        <v>7989.44</v>
      </c>
      <c r="C11" s="9" t="s">
        <v>5738</v>
      </c>
      <c r="D11" s="9" t="s">
        <v>5739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customFormat="false" ht="15" hidden="false" customHeight="false" outlineLevel="0" collapsed="false">
      <c r="A12" s="13" t="s">
        <v>55</v>
      </c>
      <c r="B12" s="39" t="n">
        <v>17400</v>
      </c>
      <c r="C12" s="13" t="s">
        <v>5740</v>
      </c>
      <c r="D12" s="13" t="s">
        <v>5733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9"/>
    <col collapsed="false" customWidth="true" hidden="false" outlineLevel="0" max="3" min="3" style="0" width="18"/>
    <col collapsed="false" customWidth="true" hidden="false" outlineLevel="0" max="4" min="4" style="0" width="21"/>
    <col collapsed="false" customWidth="true" hidden="false" outlineLevel="0" max="5" min="5" style="0" width="15"/>
    <col collapsed="false" customWidth="true" hidden="false" outlineLevel="0" max="6" min="6" style="0" width="17"/>
    <col collapsed="false" customWidth="true" hidden="false" outlineLevel="0" max="7" min="7" style="0" width="15"/>
    <col collapsed="false" customWidth="true" hidden="false" outlineLevel="0" max="9" min="8" style="0" width="18"/>
    <col collapsed="false" customWidth="true" hidden="false" outlineLevel="0" max="10" min="10" style="0" width="25"/>
    <col collapsed="false" customWidth="true" hidden="false" outlineLevel="0" max="11" min="11" style="0" width="44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8.55" hidden="false" customHeight="false" outlineLevel="0" collapsed="false">
      <c r="A2" s="2" t="s">
        <v>5741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4" t="s">
        <v>5742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customFormat="false" ht="15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5" hidden="false" customHeight="false" outlineLevel="0" collapsed="false">
      <c r="A6" s="5" t="s">
        <v>5743</v>
      </c>
      <c r="B6" s="5" t="s">
        <v>5744</v>
      </c>
      <c r="C6" s="5" t="s">
        <v>5745</v>
      </c>
      <c r="D6" s="5" t="s">
        <v>5746</v>
      </c>
      <c r="E6" s="5" t="s">
        <v>5747</v>
      </c>
      <c r="F6" s="5" t="s">
        <v>5748</v>
      </c>
      <c r="G6" s="5" t="s">
        <v>5749</v>
      </c>
      <c r="H6" s="5" t="s">
        <v>176</v>
      </c>
      <c r="I6" s="5" t="s">
        <v>5750</v>
      </c>
      <c r="J6" s="5" t="s">
        <v>5751</v>
      </c>
      <c r="K6" s="5" t="s">
        <v>5752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customFormat="false" ht="15" hidden="false" customHeight="false" outlineLevel="0" collapsed="false">
      <c r="A7" s="7" t="s">
        <v>5753</v>
      </c>
      <c r="B7" s="50" t="n">
        <v>1</v>
      </c>
      <c r="C7" s="50" t="n">
        <v>0</v>
      </c>
      <c r="D7" s="50" t="n">
        <v>0</v>
      </c>
      <c r="E7" s="50" t="n">
        <v>0</v>
      </c>
      <c r="F7" s="50" t="n">
        <v>0</v>
      </c>
      <c r="G7" s="50" t="n">
        <v>0</v>
      </c>
      <c r="H7" s="50" t="n">
        <v>0</v>
      </c>
      <c r="I7" s="51" t="n">
        <v>0</v>
      </c>
      <c r="J7" s="51" t="n">
        <v>0</v>
      </c>
      <c r="K7" s="7" t="s">
        <v>5754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customFormat="false" ht="15" hidden="false" customHeight="false" outlineLevel="0" collapsed="false">
      <c r="A8" s="9" t="s">
        <v>5755</v>
      </c>
      <c r="B8" s="52" t="n">
        <v>1</v>
      </c>
      <c r="C8" s="52" t="n">
        <v>1</v>
      </c>
      <c r="D8" s="52" t="n">
        <v>0</v>
      </c>
      <c r="E8" s="52" t="n">
        <v>0</v>
      </c>
      <c r="F8" s="52" t="n">
        <v>0</v>
      </c>
      <c r="G8" s="52" t="n">
        <v>0</v>
      </c>
      <c r="H8" s="52" t="n">
        <v>0</v>
      </c>
      <c r="I8" s="53" t="n">
        <v>0</v>
      </c>
      <c r="J8" s="53" t="n">
        <v>0</v>
      </c>
      <c r="K8" s="9" t="s">
        <v>5756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customFormat="false" ht="15" hidden="false" customHeight="false" outlineLevel="0" collapsed="false">
      <c r="A9" s="9" t="s">
        <v>5757</v>
      </c>
      <c r="B9" s="52" t="n">
        <v>1</v>
      </c>
      <c r="C9" s="52" t="n">
        <v>1</v>
      </c>
      <c r="D9" s="52" t="n">
        <v>1</v>
      </c>
      <c r="E9" s="52" t="n">
        <v>0</v>
      </c>
      <c r="F9" s="52" t="n">
        <v>0</v>
      </c>
      <c r="G9" s="52" t="n">
        <v>0</v>
      </c>
      <c r="H9" s="52" t="n">
        <v>0</v>
      </c>
      <c r="I9" s="53" t="n">
        <v>0</v>
      </c>
      <c r="J9" s="53" t="n">
        <v>0</v>
      </c>
      <c r="K9" s="9" t="s">
        <v>5758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customFormat="false" ht="15" hidden="false" customHeight="false" outlineLevel="0" collapsed="false">
      <c r="A10" s="9" t="s">
        <v>5759</v>
      </c>
      <c r="B10" s="52" t="n">
        <v>1</v>
      </c>
      <c r="C10" s="52" t="n">
        <v>1</v>
      </c>
      <c r="D10" s="52" t="n">
        <v>1</v>
      </c>
      <c r="E10" s="52" t="n">
        <v>1</v>
      </c>
      <c r="F10" s="52" t="n">
        <v>0</v>
      </c>
      <c r="G10" s="52" t="n">
        <v>0</v>
      </c>
      <c r="H10" s="52" t="n">
        <v>0</v>
      </c>
      <c r="I10" s="53" t="n">
        <v>5251</v>
      </c>
      <c r="J10" s="53" t="n">
        <v>0</v>
      </c>
      <c r="K10" s="9" t="s">
        <v>5760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customFormat="false" ht="15" hidden="false" customHeight="false" outlineLevel="0" collapsed="false">
      <c r="A11" s="9" t="s">
        <v>5761</v>
      </c>
      <c r="B11" s="52" t="n">
        <v>1</v>
      </c>
      <c r="C11" s="52" t="n">
        <v>1</v>
      </c>
      <c r="D11" s="52" t="n">
        <v>1</v>
      </c>
      <c r="E11" s="52" t="n">
        <v>1</v>
      </c>
      <c r="F11" s="52" t="n">
        <v>1</v>
      </c>
      <c r="G11" s="52" t="n">
        <v>1</v>
      </c>
      <c r="H11" s="52" t="n">
        <v>0</v>
      </c>
      <c r="I11" s="53" t="n">
        <v>5251</v>
      </c>
      <c r="J11" s="53" t="n">
        <v>0</v>
      </c>
      <c r="K11" s="9" t="s">
        <v>5762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customFormat="false" ht="15" hidden="false" customHeight="false" outlineLevel="0" collapsed="false">
      <c r="A12" s="13" t="s">
        <v>5763</v>
      </c>
      <c r="B12" s="54" t="n">
        <v>1</v>
      </c>
      <c r="C12" s="54" t="n">
        <v>1</v>
      </c>
      <c r="D12" s="54" t="n">
        <v>1</v>
      </c>
      <c r="E12" s="54" t="n">
        <v>1</v>
      </c>
      <c r="F12" s="54" t="n">
        <v>1</v>
      </c>
      <c r="G12" s="54" t="n">
        <v>1</v>
      </c>
      <c r="H12" s="54" t="n">
        <v>1</v>
      </c>
      <c r="I12" s="55" t="n">
        <v>5251</v>
      </c>
      <c r="J12" s="55" t="n">
        <v>2420</v>
      </c>
      <c r="K12" s="13" t="s">
        <v>5764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8"/>
    <col collapsed="false" customWidth="true" hidden="false" outlineLevel="0" max="3" min="3" style="0" width="78"/>
    <col collapsed="false" customWidth="true" hidden="false" outlineLevel="0" max="4" min="4" style="0" width="58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8.55" hidden="false" customHeight="false" outlineLevel="0" collapsed="false">
      <c r="A2" s="2" t="s">
        <v>5765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4" t="s">
        <v>5766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customFormat="false" ht="15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5" hidden="false" customHeight="false" outlineLevel="0" collapsed="false">
      <c r="A6" s="5" t="s">
        <v>5767</v>
      </c>
      <c r="B6" s="5" t="s">
        <v>5768</v>
      </c>
      <c r="C6" s="5" t="s">
        <v>5769</v>
      </c>
      <c r="D6" s="5" t="s">
        <v>5770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customFormat="false" ht="45" hidden="false" customHeight="true" outlineLevel="0" collapsed="false">
      <c r="A7" s="7" t="s">
        <v>5771</v>
      </c>
      <c r="B7" s="24" t="s">
        <v>5772</v>
      </c>
      <c r="C7" s="24" t="s">
        <v>5773</v>
      </c>
      <c r="D7" s="24" t="s">
        <v>5774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customFormat="false" ht="45" hidden="false" customHeight="true" outlineLevel="0" collapsed="false">
      <c r="A8" s="9" t="s">
        <v>5775</v>
      </c>
      <c r="B8" s="25" t="s">
        <v>5776</v>
      </c>
      <c r="C8" s="25" t="s">
        <v>5777</v>
      </c>
      <c r="D8" s="25" t="s">
        <v>5778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customFormat="false" ht="45" hidden="false" customHeight="true" outlineLevel="0" collapsed="false">
      <c r="A9" s="9" t="s">
        <v>5779</v>
      </c>
      <c r="B9" s="25" t="s">
        <v>5780</v>
      </c>
      <c r="C9" s="25" t="s">
        <v>5781</v>
      </c>
      <c r="D9" s="25" t="s">
        <v>5782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customFormat="false" ht="45" hidden="false" customHeight="true" outlineLevel="0" collapsed="false">
      <c r="A10" s="9" t="s">
        <v>5783</v>
      </c>
      <c r="B10" s="25" t="s">
        <v>5784</v>
      </c>
      <c r="C10" s="25" t="s">
        <v>5785</v>
      </c>
      <c r="D10" s="25" t="s">
        <v>5786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customFormat="false" ht="45" hidden="false" customHeight="true" outlineLevel="0" collapsed="false">
      <c r="A11" s="9" t="s">
        <v>5787</v>
      </c>
      <c r="B11" s="25" t="s">
        <v>5788</v>
      </c>
      <c r="C11" s="25" t="s">
        <v>5789</v>
      </c>
      <c r="D11" s="25" t="s">
        <v>5790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customFormat="false" ht="45" hidden="false" customHeight="true" outlineLevel="0" collapsed="false">
      <c r="A12" s="9" t="s">
        <v>5791</v>
      </c>
      <c r="B12" s="25" t="s">
        <v>5792</v>
      </c>
      <c r="C12" s="25" t="s">
        <v>5793</v>
      </c>
      <c r="D12" s="25" t="s">
        <v>5794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customFormat="false" ht="45" hidden="false" customHeight="true" outlineLevel="0" collapsed="false">
      <c r="A13" s="9" t="s">
        <v>5795</v>
      </c>
      <c r="B13" s="25" t="s">
        <v>5796</v>
      </c>
      <c r="C13" s="25" t="s">
        <v>5797</v>
      </c>
      <c r="D13" s="25" t="s">
        <v>5798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customFormat="false" ht="45" hidden="false" customHeight="true" outlineLevel="0" collapsed="false">
      <c r="A14" s="9" t="s">
        <v>5799</v>
      </c>
      <c r="B14" s="25" t="s">
        <v>5800</v>
      </c>
      <c r="C14" s="25" t="s">
        <v>5801</v>
      </c>
      <c r="D14" s="25" t="s">
        <v>5802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customFormat="false" ht="45" hidden="false" customHeight="true" outlineLevel="0" collapsed="false">
      <c r="A15" s="9" t="s">
        <v>5803</v>
      </c>
      <c r="B15" s="25" t="s">
        <v>5804</v>
      </c>
      <c r="C15" s="25" t="s">
        <v>5805</v>
      </c>
      <c r="D15" s="25" t="s">
        <v>5806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customFormat="false" ht="45" hidden="false" customHeight="true" outlineLevel="0" collapsed="false">
      <c r="A16" s="9" t="s">
        <v>5807</v>
      </c>
      <c r="B16" s="25" t="s">
        <v>5808</v>
      </c>
      <c r="C16" s="25" t="s">
        <v>5809</v>
      </c>
      <c r="D16" s="25" t="s">
        <v>5810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customFormat="false" ht="45" hidden="false" customHeight="true" outlineLevel="0" collapsed="false">
      <c r="A17" s="9" t="s">
        <v>5811</v>
      </c>
      <c r="B17" s="25" t="s">
        <v>5812</v>
      </c>
      <c r="C17" s="25" t="s">
        <v>5813</v>
      </c>
      <c r="D17" s="25" t="s">
        <v>5814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customFormat="false" ht="45" hidden="false" customHeight="true" outlineLevel="0" collapsed="false">
      <c r="A18" s="13" t="s">
        <v>5815</v>
      </c>
      <c r="B18" s="26" t="s">
        <v>5816</v>
      </c>
      <c r="C18" s="26" t="s">
        <v>5817</v>
      </c>
      <c r="D18" s="26" t="s">
        <v>5818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Z57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8"/>
    <col collapsed="false" customWidth="true" hidden="false" outlineLevel="0" max="3" min="3" style="0" width="31"/>
    <col collapsed="false" customWidth="true" hidden="false" outlineLevel="0" max="4" min="4" style="0" width="61"/>
    <col collapsed="false" customWidth="true" hidden="false" outlineLevel="0" max="6" min="5" style="0" width="12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8.55" hidden="false" customHeight="false" outlineLevel="0" collapsed="false">
      <c r="A2" s="2" t="s">
        <v>5819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4" t="s">
        <v>5820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customFormat="false" ht="15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5" hidden="false" customHeight="false" outlineLevel="0" collapsed="false">
      <c r="A6" s="5" t="s">
        <v>5821</v>
      </c>
      <c r="B6" s="5" t="s">
        <v>5822</v>
      </c>
      <c r="C6" s="5" t="s">
        <v>5823</v>
      </c>
      <c r="D6" s="5" t="s">
        <v>5824</v>
      </c>
      <c r="E6" s="5" t="s">
        <v>5825</v>
      </c>
      <c r="F6" s="5" t="s">
        <v>5826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customFormat="false" ht="15" hidden="false" customHeight="false" outlineLevel="0" collapsed="false">
      <c r="A7" s="7" t="s">
        <v>5827</v>
      </c>
      <c r="B7" s="7" t="s">
        <v>35</v>
      </c>
      <c r="C7" s="7" t="s">
        <v>19</v>
      </c>
      <c r="D7" s="7" t="s">
        <v>5828</v>
      </c>
      <c r="E7" s="7" t="str">
        <f aca="false">IF(Controls!B7=5251,"PASS","FAIL")</f>
        <v>PASS</v>
      </c>
      <c r="F7" s="7" t="s">
        <v>76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customFormat="false" ht="15" hidden="false" customHeight="false" outlineLevel="0" collapsed="false">
      <c r="A8" s="9" t="s">
        <v>5829</v>
      </c>
      <c r="B8" s="9" t="s">
        <v>35</v>
      </c>
      <c r="C8" s="9" t="s">
        <v>40</v>
      </c>
      <c r="D8" s="9" t="s">
        <v>5830</v>
      </c>
      <c r="E8" s="9" t="str">
        <f aca="false">IF(Controls!B8=2420,"PASS","FAIL")</f>
        <v>PASS</v>
      </c>
      <c r="F8" s="9" t="s">
        <v>76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customFormat="false" ht="15" hidden="false" customHeight="false" outlineLevel="0" collapsed="false">
      <c r="A9" s="9" t="s">
        <v>5831</v>
      </c>
      <c r="B9" s="9" t="s">
        <v>35</v>
      </c>
      <c r="C9" s="9" t="s">
        <v>41</v>
      </c>
      <c r="D9" s="9" t="s">
        <v>5832</v>
      </c>
      <c r="E9" s="9" t="str">
        <f aca="false">IF(Controls!B9=0.2,"PASS","FAIL")</f>
        <v>PASS</v>
      </c>
      <c r="F9" s="9" t="s">
        <v>76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customFormat="false" ht="15" hidden="false" customHeight="false" outlineLevel="0" collapsed="false">
      <c r="A10" s="9" t="s">
        <v>5833</v>
      </c>
      <c r="B10" s="9" t="s">
        <v>35</v>
      </c>
      <c r="C10" s="9" t="s">
        <v>43</v>
      </c>
      <c r="D10" s="9" t="s">
        <v>5834</v>
      </c>
      <c r="E10" s="9" t="str">
        <f aca="false">IF(Controls!B10=7,"PASS","FAIL")</f>
        <v>PASS</v>
      </c>
      <c r="F10" s="9" t="s">
        <v>76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customFormat="false" ht="15" hidden="false" customHeight="false" outlineLevel="0" collapsed="false">
      <c r="A11" s="9" t="s">
        <v>5835</v>
      </c>
      <c r="B11" s="9" t="s">
        <v>35</v>
      </c>
      <c r="C11" s="9" t="s">
        <v>45</v>
      </c>
      <c r="D11" s="9" t="s">
        <v>5832</v>
      </c>
      <c r="E11" s="9" t="str">
        <f aca="false">IF(Controls!B11=0.2,"PASS","FAIL")</f>
        <v>PASS</v>
      </c>
      <c r="F11" s="9" t="s">
        <v>76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customFormat="false" ht="15" hidden="false" customHeight="false" outlineLevel="0" collapsed="false">
      <c r="A12" s="9" t="s">
        <v>5836</v>
      </c>
      <c r="B12" s="9" t="s">
        <v>35</v>
      </c>
      <c r="C12" s="9" t="s">
        <v>46</v>
      </c>
      <c r="D12" s="9" t="s">
        <v>5837</v>
      </c>
      <c r="E12" s="9" t="str">
        <f aca="false">IF(Controls!B12=6,"PASS","FAIL")</f>
        <v>PASS</v>
      </c>
      <c r="F12" s="9" t="s">
        <v>76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customFormat="false" ht="15" hidden="false" customHeight="false" outlineLevel="0" collapsed="false">
      <c r="A13" s="9" t="s">
        <v>5838</v>
      </c>
      <c r="B13" s="9" t="s">
        <v>35</v>
      </c>
      <c r="C13" s="9" t="s">
        <v>48</v>
      </c>
      <c r="D13" s="9" t="s">
        <v>5839</v>
      </c>
      <c r="E13" s="9" t="str">
        <f aca="false">IF(Controls!B13=10,"PASS","FAIL")</f>
        <v>PASS</v>
      </c>
      <c r="F13" s="9" t="s">
        <v>76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customFormat="false" ht="15" hidden="false" customHeight="false" outlineLevel="0" collapsed="false">
      <c r="A14" s="9" t="s">
        <v>5840</v>
      </c>
      <c r="B14" s="9" t="s">
        <v>35</v>
      </c>
      <c r="C14" s="9" t="s">
        <v>18</v>
      </c>
      <c r="D14" s="9" t="s">
        <v>5839</v>
      </c>
      <c r="E14" s="9" t="str">
        <f aca="false">IF(Controls!B14=10,"PASS","FAIL")</f>
        <v>PASS</v>
      </c>
      <c r="F14" s="9" t="s">
        <v>76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customFormat="false" ht="15" hidden="false" customHeight="false" outlineLevel="0" collapsed="false">
      <c r="A15" s="9" t="s">
        <v>5841</v>
      </c>
      <c r="B15" s="9" t="s">
        <v>35</v>
      </c>
      <c r="C15" s="9" t="s">
        <v>51</v>
      </c>
      <c r="D15" s="9" t="s">
        <v>5842</v>
      </c>
      <c r="E15" s="9" t="str">
        <f aca="false">IF(Controls!B15=48,"PASS","FAIL")</f>
        <v>PASS</v>
      </c>
      <c r="F15" s="9" t="s">
        <v>76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customFormat="false" ht="15" hidden="false" customHeight="false" outlineLevel="0" collapsed="false">
      <c r="A16" s="9" t="s">
        <v>5843</v>
      </c>
      <c r="B16" s="9" t="s">
        <v>35</v>
      </c>
      <c r="C16" s="9" t="s">
        <v>53</v>
      </c>
      <c r="D16" s="9" t="s">
        <v>5844</v>
      </c>
      <c r="E16" s="9" t="str">
        <f aca="false">IF(Controls!B16=9410.56,"PASS","FAIL")</f>
        <v>PASS</v>
      </c>
      <c r="F16" s="9" t="s">
        <v>76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customFormat="false" ht="15" hidden="false" customHeight="false" outlineLevel="0" collapsed="false">
      <c r="A17" s="9" t="s">
        <v>5845</v>
      </c>
      <c r="B17" s="9" t="s">
        <v>35</v>
      </c>
      <c r="C17" s="9" t="s">
        <v>55</v>
      </c>
      <c r="D17" s="9" t="s">
        <v>5846</v>
      </c>
      <c r="E17" s="9" t="str">
        <f aca="false">IF(Controls!B17=17400,"PASS","FAIL")</f>
        <v>PASS</v>
      </c>
      <c r="F17" s="9" t="s">
        <v>76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customFormat="false" ht="15" hidden="false" customHeight="false" outlineLevel="0" collapsed="false">
      <c r="A18" s="9" t="s">
        <v>5847</v>
      </c>
      <c r="B18" s="9" t="s">
        <v>35</v>
      </c>
      <c r="C18" s="9" t="s">
        <v>56</v>
      </c>
      <c r="D18" s="9" t="s">
        <v>5848</v>
      </c>
      <c r="E18" s="9" t="str">
        <f aca="false">IF(Controls!B18=230,"PASS","FAIL")</f>
        <v>PASS</v>
      </c>
      <c r="F18" s="9" t="s">
        <v>76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customFormat="false" ht="15" hidden="false" customHeight="false" outlineLevel="0" collapsed="false">
      <c r="A19" s="9" t="s">
        <v>5849</v>
      </c>
      <c r="B19" s="9" t="s">
        <v>35</v>
      </c>
      <c r="C19" s="9" t="s">
        <v>29</v>
      </c>
      <c r="D19" s="9" t="s">
        <v>5850</v>
      </c>
      <c r="E19" s="9" t="str">
        <f aca="false">IF(Controls!B19=11465213,"PASS","FAIL")</f>
        <v>PASS</v>
      </c>
      <c r="F19" s="9" t="s">
        <v>76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customFormat="false" ht="15" hidden="false" customHeight="false" outlineLevel="0" collapsed="false">
      <c r="A20" s="9" t="s">
        <v>5851</v>
      </c>
      <c r="B20" s="9" t="s">
        <v>35</v>
      </c>
      <c r="C20" s="9" t="s">
        <v>22</v>
      </c>
      <c r="D20" s="9" t="s">
        <v>5852</v>
      </c>
      <c r="E20" s="9" t="str">
        <f aca="false">IF(Controls!B20=60,"PASS","FAIL")</f>
        <v>PASS</v>
      </c>
      <c r="F20" s="9" t="s">
        <v>76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customFormat="false" ht="15" hidden="false" customHeight="false" outlineLevel="0" collapsed="false">
      <c r="A21" s="9" t="s">
        <v>5853</v>
      </c>
      <c r="B21" s="9" t="s">
        <v>35</v>
      </c>
      <c r="C21" s="9" t="s">
        <v>59</v>
      </c>
      <c r="D21" s="9" t="s">
        <v>5854</v>
      </c>
      <c r="E21" s="9" t="str">
        <f aca="false">IF(Controls!B21=0,"PASS","FAIL")</f>
        <v>PASS</v>
      </c>
      <c r="F21" s="9" t="s">
        <v>76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customFormat="false" ht="15" hidden="false" customHeight="false" outlineLevel="0" collapsed="false">
      <c r="A22" s="9" t="s">
        <v>5855</v>
      </c>
      <c r="B22" s="9" t="s">
        <v>35</v>
      </c>
      <c r="C22" s="9" t="s">
        <v>60</v>
      </c>
      <c r="D22" s="9" t="s">
        <v>5854</v>
      </c>
      <c r="E22" s="9" t="str">
        <f aca="false">IF(Controls!B22=0,"PASS","FAIL")</f>
        <v>PASS</v>
      </c>
      <c r="F22" s="9" t="s">
        <v>76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customFormat="false" ht="15" hidden="false" customHeight="false" outlineLevel="0" collapsed="false">
      <c r="A23" s="9" t="s">
        <v>5856</v>
      </c>
      <c r="B23" s="9" t="s">
        <v>5857</v>
      </c>
      <c r="C23" s="9" t="s">
        <v>5576</v>
      </c>
      <c r="D23" s="9" t="s">
        <v>5858</v>
      </c>
      <c r="E23" s="9" t="str">
        <f aca="false">IF(COUNTA('Family Readiness'!A7:A54)=48,"PASS","FAIL")</f>
        <v>PASS</v>
      </c>
      <c r="F23" s="9" t="s">
        <v>76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customFormat="false" ht="15" hidden="false" customHeight="false" outlineLevel="0" collapsed="false">
      <c r="A24" s="9" t="s">
        <v>5859</v>
      </c>
      <c r="B24" s="9" t="s">
        <v>5857</v>
      </c>
      <c r="C24" s="9" t="s">
        <v>5717</v>
      </c>
      <c r="D24" s="9" t="s">
        <v>5860</v>
      </c>
      <c r="E24" s="9" t="str">
        <f aca="false">IF(COUNTA('Formation Ledger'!A7:A5257)=5251,"PASS","FAIL")</f>
        <v>PASS</v>
      </c>
      <c r="F24" s="9" t="s">
        <v>76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customFormat="false" ht="15" hidden="false" customHeight="false" outlineLevel="0" collapsed="false">
      <c r="A25" s="9" t="s">
        <v>5861</v>
      </c>
      <c r="B25" s="9" t="s">
        <v>5857</v>
      </c>
      <c r="C25" s="9" t="s">
        <v>5565</v>
      </c>
      <c r="D25" s="9" t="s">
        <v>5862</v>
      </c>
      <c r="E25" s="9" t="str">
        <f aca="false">IF(SUM('Family Readiness'!E7:E54)=2420,"PASS","FAIL")</f>
        <v>PASS</v>
      </c>
      <c r="F25" s="9" t="s">
        <v>76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customFormat="false" ht="15" hidden="false" customHeight="false" outlineLevel="0" collapsed="false">
      <c r="A26" s="9" t="s">
        <v>5863</v>
      </c>
      <c r="B26" s="9" t="s">
        <v>5857</v>
      </c>
      <c r="C26" s="9" t="s">
        <v>5864</v>
      </c>
      <c r="D26" s="9" t="s">
        <v>5865</v>
      </c>
      <c r="E26" s="9" t="str">
        <f aca="false">IF(ABS(SUM('Formation Ledger'!I7:I5257)-9410.56)&lt;0.01,"PASS","FAIL")</f>
        <v>PASS</v>
      </c>
      <c r="F26" s="9" t="s">
        <v>76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customFormat="false" ht="15" hidden="false" customHeight="false" outlineLevel="0" collapsed="false">
      <c r="A27" s="9" t="s">
        <v>5866</v>
      </c>
      <c r="B27" s="9" t="s">
        <v>5857</v>
      </c>
      <c r="C27" s="9" t="s">
        <v>5867</v>
      </c>
      <c r="D27" s="9" t="s">
        <v>5868</v>
      </c>
      <c r="E27" s="9" t="str">
        <f aca="false">IF(SUM('Formation Ledger'!H7:H5257)=11465213,"PASS","FAIL")</f>
        <v>PASS</v>
      </c>
      <c r="F27" s="9" t="s">
        <v>76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customFormat="false" ht="15" hidden="false" customHeight="false" outlineLevel="0" collapsed="false">
      <c r="A28" s="9" t="s">
        <v>5869</v>
      </c>
      <c r="B28" s="9" t="s">
        <v>5870</v>
      </c>
      <c r="C28" s="9" t="s">
        <v>192</v>
      </c>
      <c r="D28" s="9" t="s">
        <v>5871</v>
      </c>
      <c r="E28" s="9" t="str">
        <f aca="false">IF(AND('Formation Ledger'!A7&lt;&gt;"",'Formation Ledger'!V7=0),"PASS","FAIL")</f>
        <v>PASS</v>
      </c>
      <c r="F28" s="9" t="s">
        <v>76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customFormat="false" ht="15" hidden="false" customHeight="false" outlineLevel="0" collapsed="false">
      <c r="A29" s="9" t="s">
        <v>5872</v>
      </c>
      <c r="B29" s="9" t="s">
        <v>5870</v>
      </c>
      <c r="C29" s="9" t="s">
        <v>199</v>
      </c>
      <c r="D29" s="9" t="s">
        <v>5871</v>
      </c>
      <c r="E29" s="9" t="str">
        <f aca="false">IF(AND('Formation Ledger'!A8&lt;&gt;"",'Formation Ledger'!V8=0),"PASS","FAIL")</f>
        <v>PASS</v>
      </c>
      <c r="F29" s="9" t="s">
        <v>76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customFormat="false" ht="15" hidden="false" customHeight="false" outlineLevel="0" collapsed="false">
      <c r="A30" s="9" t="s">
        <v>5873</v>
      </c>
      <c r="B30" s="9" t="s">
        <v>5870</v>
      </c>
      <c r="C30" s="9" t="s">
        <v>202</v>
      </c>
      <c r="D30" s="9" t="s">
        <v>5871</v>
      </c>
      <c r="E30" s="9" t="str">
        <f aca="false">IF(AND('Formation Ledger'!A9&lt;&gt;"",'Formation Ledger'!V9=0),"PASS","FAIL")</f>
        <v>PASS</v>
      </c>
      <c r="F30" s="9" t="s">
        <v>76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customFormat="false" ht="15" hidden="false" customHeight="false" outlineLevel="0" collapsed="false">
      <c r="A31" s="9" t="s">
        <v>5874</v>
      </c>
      <c r="B31" s="9" t="s">
        <v>5870</v>
      </c>
      <c r="C31" s="9" t="s">
        <v>204</v>
      </c>
      <c r="D31" s="9" t="s">
        <v>5871</v>
      </c>
      <c r="E31" s="9" t="str">
        <f aca="false">IF(AND('Formation Ledger'!A10&lt;&gt;"",'Formation Ledger'!V10=0),"PASS","FAIL")</f>
        <v>PASS</v>
      </c>
      <c r="F31" s="9" t="s">
        <v>76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customFormat="false" ht="15" hidden="false" customHeight="false" outlineLevel="0" collapsed="false">
      <c r="A32" s="9" t="s">
        <v>5875</v>
      </c>
      <c r="B32" s="9" t="s">
        <v>5870</v>
      </c>
      <c r="C32" s="9" t="s">
        <v>206</v>
      </c>
      <c r="D32" s="9" t="s">
        <v>5871</v>
      </c>
      <c r="E32" s="9" t="str">
        <f aca="false">IF(AND('Formation Ledger'!A11&lt;&gt;"",'Formation Ledger'!V11=0),"PASS","FAIL")</f>
        <v>PASS</v>
      </c>
      <c r="F32" s="9" t="s">
        <v>76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customFormat="false" ht="15" hidden="false" customHeight="false" outlineLevel="0" collapsed="false">
      <c r="A33" s="9" t="s">
        <v>5876</v>
      </c>
      <c r="B33" s="9" t="s">
        <v>5870</v>
      </c>
      <c r="C33" s="9" t="s">
        <v>208</v>
      </c>
      <c r="D33" s="9" t="s">
        <v>5871</v>
      </c>
      <c r="E33" s="9" t="str">
        <f aca="false">IF(AND('Formation Ledger'!A12&lt;&gt;"",'Formation Ledger'!V12=0),"PASS","FAIL")</f>
        <v>PASS</v>
      </c>
      <c r="F33" s="9" t="s">
        <v>76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customFormat="false" ht="15" hidden="false" customHeight="false" outlineLevel="0" collapsed="false">
      <c r="A34" s="9" t="s">
        <v>5877</v>
      </c>
      <c r="B34" s="9" t="s">
        <v>5870</v>
      </c>
      <c r="C34" s="9" t="s">
        <v>210</v>
      </c>
      <c r="D34" s="9" t="s">
        <v>5871</v>
      </c>
      <c r="E34" s="9" t="str">
        <f aca="false">IF(AND('Formation Ledger'!A13&lt;&gt;"",'Formation Ledger'!V13=0),"PASS","FAIL")</f>
        <v>PASS</v>
      </c>
      <c r="F34" s="9" t="s">
        <v>76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customFormat="false" ht="15" hidden="false" customHeight="false" outlineLevel="0" collapsed="false">
      <c r="A35" s="9" t="s">
        <v>5878</v>
      </c>
      <c r="B35" s="9" t="s">
        <v>5870</v>
      </c>
      <c r="C35" s="9" t="s">
        <v>212</v>
      </c>
      <c r="D35" s="9" t="s">
        <v>5871</v>
      </c>
      <c r="E35" s="9" t="str">
        <f aca="false">IF(AND('Formation Ledger'!A14&lt;&gt;"",'Formation Ledger'!V14=0),"PASS","FAIL")</f>
        <v>PASS</v>
      </c>
      <c r="F35" s="9" t="s">
        <v>76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customFormat="false" ht="15" hidden="false" customHeight="false" outlineLevel="0" collapsed="false">
      <c r="A36" s="9" t="s">
        <v>5879</v>
      </c>
      <c r="B36" s="9" t="s">
        <v>5870</v>
      </c>
      <c r="C36" s="9" t="s">
        <v>213</v>
      </c>
      <c r="D36" s="9" t="s">
        <v>5871</v>
      </c>
      <c r="E36" s="9" t="str">
        <f aca="false">IF(AND('Formation Ledger'!A15&lt;&gt;"",'Formation Ledger'!V15=0),"PASS","FAIL")</f>
        <v>PASS</v>
      </c>
      <c r="F36" s="9" t="s">
        <v>76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customFormat="false" ht="15" hidden="false" customHeight="false" outlineLevel="0" collapsed="false">
      <c r="A37" s="9" t="s">
        <v>5880</v>
      </c>
      <c r="B37" s="9" t="s">
        <v>5870</v>
      </c>
      <c r="C37" s="9" t="s">
        <v>214</v>
      </c>
      <c r="D37" s="9" t="s">
        <v>5871</v>
      </c>
      <c r="E37" s="9" t="str">
        <f aca="false">IF(AND('Formation Ledger'!A16&lt;&gt;"",'Formation Ledger'!V16=0),"PASS","FAIL")</f>
        <v>PASS</v>
      </c>
      <c r="F37" s="9" t="s">
        <v>76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customFormat="false" ht="15" hidden="false" customHeight="false" outlineLevel="0" collapsed="false">
      <c r="A38" s="9" t="s">
        <v>5881</v>
      </c>
      <c r="B38" s="9" t="s">
        <v>5870</v>
      </c>
      <c r="C38" s="9" t="s">
        <v>215</v>
      </c>
      <c r="D38" s="9" t="s">
        <v>5871</v>
      </c>
      <c r="E38" s="9" t="str">
        <f aca="false">IF(AND('Formation Ledger'!A17&lt;&gt;"",'Formation Ledger'!V17=0),"PASS","FAIL")</f>
        <v>PASS</v>
      </c>
      <c r="F38" s="9" t="s">
        <v>76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customFormat="false" ht="15" hidden="false" customHeight="false" outlineLevel="0" collapsed="false">
      <c r="A39" s="9" t="s">
        <v>5882</v>
      </c>
      <c r="B39" s="9" t="s">
        <v>5870</v>
      </c>
      <c r="C39" s="9" t="s">
        <v>216</v>
      </c>
      <c r="D39" s="9" t="s">
        <v>5871</v>
      </c>
      <c r="E39" s="9" t="str">
        <f aca="false">IF(AND('Formation Ledger'!A18&lt;&gt;"",'Formation Ledger'!V18=0),"PASS","FAIL")</f>
        <v>PASS</v>
      </c>
      <c r="F39" s="9" t="s">
        <v>76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customFormat="false" ht="15" hidden="false" customHeight="false" outlineLevel="0" collapsed="false">
      <c r="A40" s="9" t="s">
        <v>5883</v>
      </c>
      <c r="B40" s="9" t="s">
        <v>5870</v>
      </c>
      <c r="C40" s="9" t="s">
        <v>217</v>
      </c>
      <c r="D40" s="9" t="s">
        <v>5871</v>
      </c>
      <c r="E40" s="9" t="str">
        <f aca="false">IF(AND('Formation Ledger'!A19&lt;&gt;"",'Formation Ledger'!V19=0),"PASS","FAIL")</f>
        <v>PASS</v>
      </c>
      <c r="F40" s="9" t="s">
        <v>76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customFormat="false" ht="15" hidden="false" customHeight="false" outlineLevel="0" collapsed="false">
      <c r="A41" s="9" t="s">
        <v>5884</v>
      </c>
      <c r="B41" s="9" t="s">
        <v>5870</v>
      </c>
      <c r="C41" s="9" t="s">
        <v>218</v>
      </c>
      <c r="D41" s="9" t="s">
        <v>5871</v>
      </c>
      <c r="E41" s="9" t="str">
        <f aca="false">IF(AND('Formation Ledger'!A20&lt;&gt;"",'Formation Ledger'!V20=0),"PASS","FAIL")</f>
        <v>PASS</v>
      </c>
      <c r="F41" s="9" t="s">
        <v>76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customFormat="false" ht="15" hidden="false" customHeight="false" outlineLevel="0" collapsed="false">
      <c r="A42" s="9" t="s">
        <v>5885</v>
      </c>
      <c r="B42" s="9" t="s">
        <v>5870</v>
      </c>
      <c r="C42" s="9" t="s">
        <v>219</v>
      </c>
      <c r="D42" s="9" t="s">
        <v>5871</v>
      </c>
      <c r="E42" s="9" t="str">
        <f aca="false">IF(AND('Formation Ledger'!A21&lt;&gt;"",'Formation Ledger'!V21=0),"PASS","FAIL")</f>
        <v>PASS</v>
      </c>
      <c r="F42" s="9" t="s">
        <v>76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customFormat="false" ht="15" hidden="false" customHeight="false" outlineLevel="0" collapsed="false">
      <c r="A43" s="9" t="s">
        <v>5886</v>
      </c>
      <c r="B43" s="9" t="s">
        <v>5870</v>
      </c>
      <c r="C43" s="9" t="s">
        <v>220</v>
      </c>
      <c r="D43" s="9" t="s">
        <v>5871</v>
      </c>
      <c r="E43" s="9" t="str">
        <f aca="false">IF(AND('Formation Ledger'!A22&lt;&gt;"",'Formation Ledger'!V22=0),"PASS","FAIL")</f>
        <v>PASS</v>
      </c>
      <c r="F43" s="9" t="s">
        <v>76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customFormat="false" ht="15" hidden="false" customHeight="false" outlineLevel="0" collapsed="false">
      <c r="A44" s="9" t="s">
        <v>5887</v>
      </c>
      <c r="B44" s="9" t="s">
        <v>5870</v>
      </c>
      <c r="C44" s="9" t="s">
        <v>222</v>
      </c>
      <c r="D44" s="9" t="s">
        <v>5871</v>
      </c>
      <c r="E44" s="9" t="str">
        <f aca="false">IF(AND('Formation Ledger'!A23&lt;&gt;"",'Formation Ledger'!V23=0),"PASS","FAIL")</f>
        <v>PASS</v>
      </c>
      <c r="F44" s="9" t="s">
        <v>76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customFormat="false" ht="15" hidden="false" customHeight="false" outlineLevel="0" collapsed="false">
      <c r="A45" s="9" t="s">
        <v>5888</v>
      </c>
      <c r="B45" s="9" t="s">
        <v>5870</v>
      </c>
      <c r="C45" s="9" t="s">
        <v>223</v>
      </c>
      <c r="D45" s="9" t="s">
        <v>5871</v>
      </c>
      <c r="E45" s="9" t="str">
        <f aca="false">IF(AND('Formation Ledger'!A24&lt;&gt;"",'Formation Ledger'!V24=0),"PASS","FAIL")</f>
        <v>PASS</v>
      </c>
      <c r="F45" s="9" t="s">
        <v>76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customFormat="false" ht="15" hidden="false" customHeight="false" outlineLevel="0" collapsed="false">
      <c r="A46" s="9" t="s">
        <v>5889</v>
      </c>
      <c r="B46" s="9" t="s">
        <v>5870</v>
      </c>
      <c r="C46" s="9" t="s">
        <v>224</v>
      </c>
      <c r="D46" s="9" t="s">
        <v>5871</v>
      </c>
      <c r="E46" s="9" t="str">
        <f aca="false">IF(AND('Formation Ledger'!A25&lt;&gt;"",'Formation Ledger'!V25=0),"PASS","FAIL")</f>
        <v>PASS</v>
      </c>
      <c r="F46" s="9" t="s">
        <v>76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customFormat="false" ht="15" hidden="false" customHeight="false" outlineLevel="0" collapsed="false">
      <c r="A47" s="9" t="s">
        <v>5890</v>
      </c>
      <c r="B47" s="9" t="s">
        <v>5870</v>
      </c>
      <c r="C47" s="9" t="s">
        <v>225</v>
      </c>
      <c r="D47" s="9" t="s">
        <v>5871</v>
      </c>
      <c r="E47" s="9" t="str">
        <f aca="false">IF(AND('Formation Ledger'!A26&lt;&gt;"",'Formation Ledger'!V26=0),"PASS","FAIL")</f>
        <v>PASS</v>
      </c>
      <c r="F47" s="9" t="s">
        <v>76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customFormat="false" ht="15" hidden="false" customHeight="false" outlineLevel="0" collapsed="false">
      <c r="A48" s="9" t="s">
        <v>5891</v>
      </c>
      <c r="B48" s="9" t="s">
        <v>5870</v>
      </c>
      <c r="C48" s="9" t="s">
        <v>226</v>
      </c>
      <c r="D48" s="9" t="s">
        <v>5871</v>
      </c>
      <c r="E48" s="9" t="str">
        <f aca="false">IF(AND('Formation Ledger'!A27&lt;&gt;"",'Formation Ledger'!V27=0),"PASS","FAIL")</f>
        <v>PASS</v>
      </c>
      <c r="F48" s="9" t="s">
        <v>76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customFormat="false" ht="15" hidden="false" customHeight="false" outlineLevel="0" collapsed="false">
      <c r="A49" s="9" t="s">
        <v>5892</v>
      </c>
      <c r="B49" s="9" t="s">
        <v>5870</v>
      </c>
      <c r="C49" s="9" t="s">
        <v>227</v>
      </c>
      <c r="D49" s="9" t="s">
        <v>5871</v>
      </c>
      <c r="E49" s="9" t="str">
        <f aca="false">IF(AND('Formation Ledger'!A28&lt;&gt;"",'Formation Ledger'!V28=0),"PASS","FAIL")</f>
        <v>PASS</v>
      </c>
      <c r="F49" s="9" t="s">
        <v>76</v>
      </c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customFormat="false" ht="15" hidden="false" customHeight="false" outlineLevel="0" collapsed="false">
      <c r="A50" s="9" t="s">
        <v>5893</v>
      </c>
      <c r="B50" s="9" t="s">
        <v>5870</v>
      </c>
      <c r="C50" s="9" t="s">
        <v>228</v>
      </c>
      <c r="D50" s="9" t="s">
        <v>5871</v>
      </c>
      <c r="E50" s="9" t="str">
        <f aca="false">IF(AND('Formation Ledger'!A29&lt;&gt;"",'Formation Ledger'!V29=0),"PASS","FAIL")</f>
        <v>PASS</v>
      </c>
      <c r="F50" s="9" t="s">
        <v>76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customFormat="false" ht="15" hidden="false" customHeight="false" outlineLevel="0" collapsed="false">
      <c r="A51" s="9" t="s">
        <v>5894</v>
      </c>
      <c r="B51" s="9" t="s">
        <v>5870</v>
      </c>
      <c r="C51" s="9" t="s">
        <v>229</v>
      </c>
      <c r="D51" s="9" t="s">
        <v>5871</v>
      </c>
      <c r="E51" s="9" t="str">
        <f aca="false">IF(AND('Formation Ledger'!A30&lt;&gt;"",'Formation Ledger'!V30=0),"PASS","FAIL")</f>
        <v>PASS</v>
      </c>
      <c r="F51" s="9" t="s">
        <v>76</v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customFormat="false" ht="15" hidden="false" customHeight="false" outlineLevel="0" collapsed="false">
      <c r="A52" s="9" t="s">
        <v>5895</v>
      </c>
      <c r="B52" s="9" t="s">
        <v>5870</v>
      </c>
      <c r="C52" s="9" t="s">
        <v>230</v>
      </c>
      <c r="D52" s="9" t="s">
        <v>5871</v>
      </c>
      <c r="E52" s="9" t="str">
        <f aca="false">IF(AND('Formation Ledger'!A31&lt;&gt;"",'Formation Ledger'!V31=0),"PASS","FAIL")</f>
        <v>PASS</v>
      </c>
      <c r="F52" s="9" t="s">
        <v>76</v>
      </c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customFormat="false" ht="15" hidden="false" customHeight="false" outlineLevel="0" collapsed="false">
      <c r="A53" s="9" t="s">
        <v>5896</v>
      </c>
      <c r="B53" s="9" t="s">
        <v>5870</v>
      </c>
      <c r="C53" s="9" t="s">
        <v>231</v>
      </c>
      <c r="D53" s="9" t="s">
        <v>5871</v>
      </c>
      <c r="E53" s="9" t="str">
        <f aca="false">IF(AND('Formation Ledger'!A32&lt;&gt;"",'Formation Ledger'!V32=0),"PASS","FAIL")</f>
        <v>PASS</v>
      </c>
      <c r="F53" s="9" t="s">
        <v>76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customFormat="false" ht="15" hidden="false" customHeight="false" outlineLevel="0" collapsed="false">
      <c r="A54" s="9" t="s">
        <v>5897</v>
      </c>
      <c r="B54" s="9" t="s">
        <v>5870</v>
      </c>
      <c r="C54" s="9" t="s">
        <v>232</v>
      </c>
      <c r="D54" s="9" t="s">
        <v>5871</v>
      </c>
      <c r="E54" s="9" t="str">
        <f aca="false">IF(AND('Formation Ledger'!A33&lt;&gt;"",'Formation Ledger'!V33=0),"PASS","FAIL")</f>
        <v>PASS</v>
      </c>
      <c r="F54" s="9" t="s">
        <v>76</v>
      </c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customFormat="false" ht="15" hidden="false" customHeight="false" outlineLevel="0" collapsed="false">
      <c r="A55" s="9" t="s">
        <v>5898</v>
      </c>
      <c r="B55" s="9" t="s">
        <v>5870</v>
      </c>
      <c r="C55" s="9" t="s">
        <v>233</v>
      </c>
      <c r="D55" s="9" t="s">
        <v>5871</v>
      </c>
      <c r="E55" s="9" t="str">
        <f aca="false">IF(AND('Formation Ledger'!A34&lt;&gt;"",'Formation Ledger'!V34=0),"PASS","FAIL")</f>
        <v>PASS</v>
      </c>
      <c r="F55" s="9" t="s">
        <v>76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customFormat="false" ht="15" hidden="false" customHeight="false" outlineLevel="0" collapsed="false">
      <c r="A56" s="9" t="s">
        <v>5899</v>
      </c>
      <c r="B56" s="9" t="s">
        <v>5870</v>
      </c>
      <c r="C56" s="9" t="s">
        <v>234</v>
      </c>
      <c r="D56" s="9" t="s">
        <v>5871</v>
      </c>
      <c r="E56" s="9" t="str">
        <f aca="false">IF(AND('Formation Ledger'!A35&lt;&gt;"",'Formation Ledger'!V35=0),"PASS","FAIL")</f>
        <v>PASS</v>
      </c>
      <c r="F56" s="9" t="s">
        <v>76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customFormat="false" ht="15" hidden="false" customHeight="false" outlineLevel="0" collapsed="false">
      <c r="A57" s="9" t="s">
        <v>5900</v>
      </c>
      <c r="B57" s="9" t="s">
        <v>5870</v>
      </c>
      <c r="C57" s="9" t="s">
        <v>235</v>
      </c>
      <c r="D57" s="9" t="s">
        <v>5871</v>
      </c>
      <c r="E57" s="9" t="str">
        <f aca="false">IF(AND('Formation Ledger'!A36&lt;&gt;"",'Formation Ledger'!V36=0),"PASS","FAIL")</f>
        <v>PASS</v>
      </c>
      <c r="F57" s="9" t="s">
        <v>76</v>
      </c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customFormat="false" ht="15" hidden="false" customHeight="false" outlineLevel="0" collapsed="false">
      <c r="A58" s="9" t="s">
        <v>5901</v>
      </c>
      <c r="B58" s="9" t="s">
        <v>5870</v>
      </c>
      <c r="C58" s="9" t="s">
        <v>236</v>
      </c>
      <c r="D58" s="9" t="s">
        <v>5871</v>
      </c>
      <c r="E58" s="9" t="str">
        <f aca="false">IF(AND('Formation Ledger'!A37&lt;&gt;"",'Formation Ledger'!V37=0),"PASS","FAIL")</f>
        <v>PASS</v>
      </c>
      <c r="F58" s="9" t="s">
        <v>76</v>
      </c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customFormat="false" ht="15" hidden="false" customHeight="false" outlineLevel="0" collapsed="false">
      <c r="A59" s="9" t="s">
        <v>5902</v>
      </c>
      <c r="B59" s="9" t="s">
        <v>5870</v>
      </c>
      <c r="C59" s="9" t="s">
        <v>237</v>
      </c>
      <c r="D59" s="9" t="s">
        <v>5871</v>
      </c>
      <c r="E59" s="9" t="str">
        <f aca="false">IF(AND('Formation Ledger'!A38&lt;&gt;"",'Formation Ledger'!V38=0),"PASS","FAIL")</f>
        <v>PASS</v>
      </c>
      <c r="F59" s="9" t="s">
        <v>76</v>
      </c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customFormat="false" ht="15" hidden="false" customHeight="false" outlineLevel="0" collapsed="false">
      <c r="A60" s="9" t="s">
        <v>5903</v>
      </c>
      <c r="B60" s="9" t="s">
        <v>5870</v>
      </c>
      <c r="C60" s="9" t="s">
        <v>238</v>
      </c>
      <c r="D60" s="9" t="s">
        <v>5871</v>
      </c>
      <c r="E60" s="9" t="str">
        <f aca="false">IF(AND('Formation Ledger'!A39&lt;&gt;"",'Formation Ledger'!V39=0),"PASS","FAIL")</f>
        <v>PASS</v>
      </c>
      <c r="F60" s="9" t="s">
        <v>76</v>
      </c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customFormat="false" ht="15" hidden="false" customHeight="false" outlineLevel="0" collapsed="false">
      <c r="A61" s="9" t="s">
        <v>5904</v>
      </c>
      <c r="B61" s="9" t="s">
        <v>5870</v>
      </c>
      <c r="C61" s="9" t="s">
        <v>239</v>
      </c>
      <c r="D61" s="9" t="s">
        <v>5871</v>
      </c>
      <c r="E61" s="9" t="str">
        <f aca="false">IF(AND('Formation Ledger'!A40&lt;&gt;"",'Formation Ledger'!V40=0),"PASS","FAIL")</f>
        <v>PASS</v>
      </c>
      <c r="F61" s="9" t="s">
        <v>76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customFormat="false" ht="15" hidden="false" customHeight="false" outlineLevel="0" collapsed="false">
      <c r="A62" s="9" t="s">
        <v>5905</v>
      </c>
      <c r="B62" s="9" t="s">
        <v>5870</v>
      </c>
      <c r="C62" s="9" t="s">
        <v>240</v>
      </c>
      <c r="D62" s="9" t="s">
        <v>5871</v>
      </c>
      <c r="E62" s="9" t="str">
        <f aca="false">IF(AND('Formation Ledger'!A41&lt;&gt;"",'Formation Ledger'!V41=0),"PASS","FAIL")</f>
        <v>PASS</v>
      </c>
      <c r="F62" s="9" t="s">
        <v>76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customFormat="false" ht="15" hidden="false" customHeight="false" outlineLevel="0" collapsed="false">
      <c r="A63" s="9" t="s">
        <v>5906</v>
      </c>
      <c r="B63" s="9" t="s">
        <v>5870</v>
      </c>
      <c r="C63" s="9" t="s">
        <v>241</v>
      </c>
      <c r="D63" s="9" t="s">
        <v>5871</v>
      </c>
      <c r="E63" s="9" t="str">
        <f aca="false">IF(AND('Formation Ledger'!A42&lt;&gt;"",'Formation Ledger'!V42=0),"PASS","FAIL")</f>
        <v>PASS</v>
      </c>
      <c r="F63" s="9" t="s">
        <v>76</v>
      </c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customFormat="false" ht="15" hidden="false" customHeight="false" outlineLevel="0" collapsed="false">
      <c r="A64" s="9" t="s">
        <v>5907</v>
      </c>
      <c r="B64" s="9" t="s">
        <v>5870</v>
      </c>
      <c r="C64" s="9" t="s">
        <v>242</v>
      </c>
      <c r="D64" s="9" t="s">
        <v>5871</v>
      </c>
      <c r="E64" s="9" t="str">
        <f aca="false">IF(AND('Formation Ledger'!A43&lt;&gt;"",'Formation Ledger'!V43=0),"PASS","FAIL")</f>
        <v>PASS</v>
      </c>
      <c r="F64" s="9" t="s">
        <v>76</v>
      </c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customFormat="false" ht="15" hidden="false" customHeight="false" outlineLevel="0" collapsed="false">
      <c r="A65" s="9" t="s">
        <v>5908</v>
      </c>
      <c r="B65" s="9" t="s">
        <v>5870</v>
      </c>
      <c r="C65" s="9" t="s">
        <v>243</v>
      </c>
      <c r="D65" s="9" t="s">
        <v>5871</v>
      </c>
      <c r="E65" s="9" t="str">
        <f aca="false">IF(AND('Formation Ledger'!A44&lt;&gt;"",'Formation Ledger'!V44=0),"PASS","FAIL")</f>
        <v>PASS</v>
      </c>
      <c r="F65" s="9" t="s">
        <v>76</v>
      </c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customFormat="false" ht="15" hidden="false" customHeight="false" outlineLevel="0" collapsed="false">
      <c r="A66" s="9" t="s">
        <v>5909</v>
      </c>
      <c r="B66" s="9" t="s">
        <v>5870</v>
      </c>
      <c r="C66" s="9" t="s">
        <v>244</v>
      </c>
      <c r="D66" s="9" t="s">
        <v>5871</v>
      </c>
      <c r="E66" s="9" t="str">
        <f aca="false">IF(AND('Formation Ledger'!A45&lt;&gt;"",'Formation Ledger'!V45=0),"PASS","FAIL")</f>
        <v>PASS</v>
      </c>
      <c r="F66" s="9" t="s">
        <v>76</v>
      </c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customFormat="false" ht="15" hidden="false" customHeight="false" outlineLevel="0" collapsed="false">
      <c r="A67" s="9" t="s">
        <v>5910</v>
      </c>
      <c r="B67" s="9" t="s">
        <v>5870</v>
      </c>
      <c r="C67" s="9" t="s">
        <v>245</v>
      </c>
      <c r="D67" s="9" t="s">
        <v>5871</v>
      </c>
      <c r="E67" s="9" t="str">
        <f aca="false">IF(AND('Formation Ledger'!A46&lt;&gt;"",'Formation Ledger'!V46=0),"PASS","FAIL")</f>
        <v>PASS</v>
      </c>
      <c r="F67" s="9" t="s">
        <v>76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customFormat="false" ht="15" hidden="false" customHeight="false" outlineLevel="0" collapsed="false">
      <c r="A68" s="9" t="s">
        <v>5911</v>
      </c>
      <c r="B68" s="9" t="s">
        <v>5870</v>
      </c>
      <c r="C68" s="9" t="s">
        <v>246</v>
      </c>
      <c r="D68" s="9" t="s">
        <v>5871</v>
      </c>
      <c r="E68" s="9" t="str">
        <f aca="false">IF(AND('Formation Ledger'!A47&lt;&gt;"",'Formation Ledger'!V47=0),"PASS","FAIL")</f>
        <v>PASS</v>
      </c>
      <c r="F68" s="9" t="s">
        <v>76</v>
      </c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customFormat="false" ht="15" hidden="false" customHeight="false" outlineLevel="0" collapsed="false">
      <c r="A69" s="9" t="s">
        <v>5912</v>
      </c>
      <c r="B69" s="9" t="s">
        <v>5870</v>
      </c>
      <c r="C69" s="9" t="s">
        <v>247</v>
      </c>
      <c r="D69" s="9" t="s">
        <v>5871</v>
      </c>
      <c r="E69" s="9" t="str">
        <f aca="false">IF(AND('Formation Ledger'!A48&lt;&gt;"",'Formation Ledger'!V48=0),"PASS","FAIL")</f>
        <v>PASS</v>
      </c>
      <c r="F69" s="9" t="s">
        <v>76</v>
      </c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customFormat="false" ht="15" hidden="false" customHeight="false" outlineLevel="0" collapsed="false">
      <c r="A70" s="9" t="s">
        <v>5913</v>
      </c>
      <c r="B70" s="9" t="s">
        <v>5870</v>
      </c>
      <c r="C70" s="9" t="s">
        <v>248</v>
      </c>
      <c r="D70" s="9" t="s">
        <v>5871</v>
      </c>
      <c r="E70" s="9" t="str">
        <f aca="false">IF(AND('Formation Ledger'!A49&lt;&gt;"",'Formation Ledger'!V49=0),"PASS","FAIL")</f>
        <v>PASS</v>
      </c>
      <c r="F70" s="9" t="s">
        <v>76</v>
      </c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customFormat="false" ht="15" hidden="false" customHeight="false" outlineLevel="0" collapsed="false">
      <c r="A71" s="9" t="s">
        <v>5914</v>
      </c>
      <c r="B71" s="9" t="s">
        <v>5870</v>
      </c>
      <c r="C71" s="9" t="s">
        <v>249</v>
      </c>
      <c r="D71" s="9" t="s">
        <v>5871</v>
      </c>
      <c r="E71" s="9" t="str">
        <f aca="false">IF(AND('Formation Ledger'!A50&lt;&gt;"",'Formation Ledger'!V50=0),"PASS","FAIL")</f>
        <v>PASS</v>
      </c>
      <c r="F71" s="9" t="s">
        <v>76</v>
      </c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customFormat="false" ht="15" hidden="false" customHeight="false" outlineLevel="0" collapsed="false">
      <c r="A72" s="9" t="s">
        <v>5915</v>
      </c>
      <c r="B72" s="9" t="s">
        <v>5870</v>
      </c>
      <c r="C72" s="9" t="s">
        <v>250</v>
      </c>
      <c r="D72" s="9" t="s">
        <v>5871</v>
      </c>
      <c r="E72" s="9" t="str">
        <f aca="false">IF(AND('Formation Ledger'!A51&lt;&gt;"",'Formation Ledger'!V51=0),"PASS","FAIL")</f>
        <v>PASS</v>
      </c>
      <c r="F72" s="9" t="s">
        <v>76</v>
      </c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customFormat="false" ht="15" hidden="false" customHeight="false" outlineLevel="0" collapsed="false">
      <c r="A73" s="9" t="s">
        <v>5916</v>
      </c>
      <c r="B73" s="9" t="s">
        <v>5870</v>
      </c>
      <c r="C73" s="9" t="s">
        <v>251</v>
      </c>
      <c r="D73" s="9" t="s">
        <v>5871</v>
      </c>
      <c r="E73" s="9" t="str">
        <f aca="false">IF(AND('Formation Ledger'!A52&lt;&gt;"",'Formation Ledger'!V52=0),"PASS","FAIL")</f>
        <v>PASS</v>
      </c>
      <c r="F73" s="9" t="s">
        <v>76</v>
      </c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customFormat="false" ht="15" hidden="false" customHeight="false" outlineLevel="0" collapsed="false">
      <c r="A74" s="9" t="s">
        <v>5917</v>
      </c>
      <c r="B74" s="9" t="s">
        <v>5870</v>
      </c>
      <c r="C74" s="9" t="s">
        <v>252</v>
      </c>
      <c r="D74" s="9" t="s">
        <v>5871</v>
      </c>
      <c r="E74" s="9" t="str">
        <f aca="false">IF(AND('Formation Ledger'!A53&lt;&gt;"",'Formation Ledger'!V53=0),"PASS","FAIL")</f>
        <v>PASS</v>
      </c>
      <c r="F74" s="9" t="s">
        <v>76</v>
      </c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customFormat="false" ht="15" hidden="false" customHeight="false" outlineLevel="0" collapsed="false">
      <c r="A75" s="9" t="s">
        <v>5918</v>
      </c>
      <c r="B75" s="9" t="s">
        <v>5870</v>
      </c>
      <c r="C75" s="9" t="s">
        <v>253</v>
      </c>
      <c r="D75" s="9" t="s">
        <v>5871</v>
      </c>
      <c r="E75" s="9" t="str">
        <f aca="false">IF(AND('Formation Ledger'!A54&lt;&gt;"",'Formation Ledger'!V54=0),"PASS","FAIL")</f>
        <v>PASS</v>
      </c>
      <c r="F75" s="9" t="s">
        <v>76</v>
      </c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customFormat="false" ht="15" hidden="false" customHeight="false" outlineLevel="0" collapsed="false">
      <c r="A76" s="9" t="s">
        <v>5919</v>
      </c>
      <c r="B76" s="9" t="s">
        <v>5870</v>
      </c>
      <c r="C76" s="9" t="s">
        <v>254</v>
      </c>
      <c r="D76" s="9" t="s">
        <v>5871</v>
      </c>
      <c r="E76" s="9" t="str">
        <f aca="false">IF(AND('Formation Ledger'!A55&lt;&gt;"",'Formation Ledger'!V55=0),"PASS","FAIL")</f>
        <v>PASS</v>
      </c>
      <c r="F76" s="9" t="s">
        <v>76</v>
      </c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customFormat="false" ht="15" hidden="false" customHeight="false" outlineLevel="0" collapsed="false">
      <c r="A77" s="9" t="s">
        <v>5920</v>
      </c>
      <c r="B77" s="9" t="s">
        <v>5870</v>
      </c>
      <c r="C77" s="9" t="s">
        <v>255</v>
      </c>
      <c r="D77" s="9" t="s">
        <v>5871</v>
      </c>
      <c r="E77" s="9" t="str">
        <f aca="false">IF(AND('Formation Ledger'!A56&lt;&gt;"",'Formation Ledger'!V56=0),"PASS","FAIL")</f>
        <v>PASS</v>
      </c>
      <c r="F77" s="9" t="s">
        <v>76</v>
      </c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customFormat="false" ht="15" hidden="false" customHeight="false" outlineLevel="0" collapsed="false">
      <c r="A78" s="9" t="s">
        <v>5921</v>
      </c>
      <c r="B78" s="9" t="s">
        <v>5870</v>
      </c>
      <c r="C78" s="9" t="s">
        <v>256</v>
      </c>
      <c r="D78" s="9" t="s">
        <v>5871</v>
      </c>
      <c r="E78" s="9" t="str">
        <f aca="false">IF(AND('Formation Ledger'!A57&lt;&gt;"",'Formation Ledger'!V57=0),"PASS","FAIL")</f>
        <v>PASS</v>
      </c>
      <c r="F78" s="9" t="s">
        <v>76</v>
      </c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customFormat="false" ht="15" hidden="false" customHeight="false" outlineLevel="0" collapsed="false">
      <c r="A79" s="9" t="s">
        <v>5922</v>
      </c>
      <c r="B79" s="9" t="s">
        <v>5870</v>
      </c>
      <c r="C79" s="9" t="s">
        <v>257</v>
      </c>
      <c r="D79" s="9" t="s">
        <v>5871</v>
      </c>
      <c r="E79" s="9" t="str">
        <f aca="false">IF(AND('Formation Ledger'!A58&lt;&gt;"",'Formation Ledger'!V58=0),"PASS","FAIL")</f>
        <v>PASS</v>
      </c>
      <c r="F79" s="9" t="s">
        <v>76</v>
      </c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customFormat="false" ht="15" hidden="false" customHeight="false" outlineLevel="0" collapsed="false">
      <c r="A80" s="9" t="s">
        <v>5923</v>
      </c>
      <c r="B80" s="9" t="s">
        <v>5870</v>
      </c>
      <c r="C80" s="9" t="s">
        <v>258</v>
      </c>
      <c r="D80" s="9" t="s">
        <v>5871</v>
      </c>
      <c r="E80" s="9" t="str">
        <f aca="false">IF(AND('Formation Ledger'!A59&lt;&gt;"",'Formation Ledger'!V59=0),"PASS","FAIL")</f>
        <v>PASS</v>
      </c>
      <c r="F80" s="9" t="s">
        <v>76</v>
      </c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customFormat="false" ht="15" hidden="false" customHeight="false" outlineLevel="0" collapsed="false">
      <c r="A81" s="9" t="s">
        <v>5924</v>
      </c>
      <c r="B81" s="9" t="s">
        <v>5870</v>
      </c>
      <c r="C81" s="9" t="s">
        <v>259</v>
      </c>
      <c r="D81" s="9" t="s">
        <v>5871</v>
      </c>
      <c r="E81" s="9" t="str">
        <f aca="false">IF(AND('Formation Ledger'!A60&lt;&gt;"",'Formation Ledger'!V60=0),"PASS","FAIL")</f>
        <v>PASS</v>
      </c>
      <c r="F81" s="9" t="s">
        <v>76</v>
      </c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customFormat="false" ht="15" hidden="false" customHeight="false" outlineLevel="0" collapsed="false">
      <c r="A82" s="9" t="s">
        <v>5925</v>
      </c>
      <c r="B82" s="9" t="s">
        <v>5870</v>
      </c>
      <c r="C82" s="9" t="s">
        <v>260</v>
      </c>
      <c r="D82" s="9" t="s">
        <v>5871</v>
      </c>
      <c r="E82" s="9" t="str">
        <f aca="false">IF(AND('Formation Ledger'!A61&lt;&gt;"",'Formation Ledger'!V61=0),"PASS","FAIL")</f>
        <v>PASS</v>
      </c>
      <c r="F82" s="9" t="s">
        <v>76</v>
      </c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customFormat="false" ht="15" hidden="false" customHeight="false" outlineLevel="0" collapsed="false">
      <c r="A83" s="9" t="s">
        <v>5926</v>
      </c>
      <c r="B83" s="9" t="s">
        <v>5870</v>
      </c>
      <c r="C83" s="9" t="s">
        <v>261</v>
      </c>
      <c r="D83" s="9" t="s">
        <v>5871</v>
      </c>
      <c r="E83" s="9" t="str">
        <f aca="false">IF(AND('Formation Ledger'!A62&lt;&gt;"",'Formation Ledger'!V62=0),"PASS","FAIL")</f>
        <v>PASS</v>
      </c>
      <c r="F83" s="9" t="s">
        <v>76</v>
      </c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customFormat="false" ht="15" hidden="false" customHeight="false" outlineLevel="0" collapsed="false">
      <c r="A84" s="9" t="s">
        <v>5927</v>
      </c>
      <c r="B84" s="9" t="s">
        <v>5870</v>
      </c>
      <c r="C84" s="9" t="s">
        <v>262</v>
      </c>
      <c r="D84" s="9" t="s">
        <v>5871</v>
      </c>
      <c r="E84" s="9" t="str">
        <f aca="false">IF(AND('Formation Ledger'!A63&lt;&gt;"",'Formation Ledger'!V63=0),"PASS","FAIL")</f>
        <v>PASS</v>
      </c>
      <c r="F84" s="9" t="s">
        <v>76</v>
      </c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customFormat="false" ht="15" hidden="false" customHeight="false" outlineLevel="0" collapsed="false">
      <c r="A85" s="9" t="s">
        <v>5928</v>
      </c>
      <c r="B85" s="9" t="s">
        <v>5870</v>
      </c>
      <c r="C85" s="9" t="s">
        <v>263</v>
      </c>
      <c r="D85" s="9" t="s">
        <v>5871</v>
      </c>
      <c r="E85" s="9" t="str">
        <f aca="false">IF(AND('Formation Ledger'!A64&lt;&gt;"",'Formation Ledger'!V64=0),"PASS","FAIL")</f>
        <v>PASS</v>
      </c>
      <c r="F85" s="9" t="s">
        <v>76</v>
      </c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customFormat="false" ht="15" hidden="false" customHeight="false" outlineLevel="0" collapsed="false">
      <c r="A86" s="9" t="s">
        <v>5929</v>
      </c>
      <c r="B86" s="9" t="s">
        <v>5870</v>
      </c>
      <c r="C86" s="9" t="s">
        <v>264</v>
      </c>
      <c r="D86" s="9" t="s">
        <v>5871</v>
      </c>
      <c r="E86" s="9" t="str">
        <f aca="false">IF(AND('Formation Ledger'!A65&lt;&gt;"",'Formation Ledger'!V65=0),"PASS","FAIL")</f>
        <v>PASS</v>
      </c>
      <c r="F86" s="9" t="s">
        <v>76</v>
      </c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customFormat="false" ht="15" hidden="false" customHeight="false" outlineLevel="0" collapsed="false">
      <c r="A87" s="9" t="s">
        <v>5930</v>
      </c>
      <c r="B87" s="9" t="s">
        <v>5870</v>
      </c>
      <c r="C87" s="9" t="s">
        <v>265</v>
      </c>
      <c r="D87" s="9" t="s">
        <v>5871</v>
      </c>
      <c r="E87" s="9" t="str">
        <f aca="false">IF(AND('Formation Ledger'!A66&lt;&gt;"",'Formation Ledger'!V66=0),"PASS","FAIL")</f>
        <v>PASS</v>
      </c>
      <c r="F87" s="9" t="s">
        <v>76</v>
      </c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customFormat="false" ht="15" hidden="false" customHeight="false" outlineLevel="0" collapsed="false">
      <c r="A88" s="9" t="s">
        <v>5931</v>
      </c>
      <c r="B88" s="9" t="s">
        <v>5870</v>
      </c>
      <c r="C88" s="9" t="s">
        <v>266</v>
      </c>
      <c r="D88" s="9" t="s">
        <v>5871</v>
      </c>
      <c r="E88" s="9" t="str">
        <f aca="false">IF(AND('Formation Ledger'!A67&lt;&gt;"",'Formation Ledger'!V67=0),"PASS","FAIL")</f>
        <v>PASS</v>
      </c>
      <c r="F88" s="9" t="s">
        <v>76</v>
      </c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customFormat="false" ht="15" hidden="false" customHeight="false" outlineLevel="0" collapsed="false">
      <c r="A89" s="9" t="s">
        <v>5932</v>
      </c>
      <c r="B89" s="9" t="s">
        <v>5870</v>
      </c>
      <c r="C89" s="9" t="s">
        <v>267</v>
      </c>
      <c r="D89" s="9" t="s">
        <v>5871</v>
      </c>
      <c r="E89" s="9" t="str">
        <f aca="false">IF(AND('Formation Ledger'!A68&lt;&gt;"",'Formation Ledger'!V68=0),"PASS","FAIL")</f>
        <v>PASS</v>
      </c>
      <c r="F89" s="9" t="s">
        <v>76</v>
      </c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customFormat="false" ht="15" hidden="false" customHeight="false" outlineLevel="0" collapsed="false">
      <c r="A90" s="9" t="s">
        <v>5933</v>
      </c>
      <c r="B90" s="9" t="s">
        <v>5870</v>
      </c>
      <c r="C90" s="9" t="s">
        <v>268</v>
      </c>
      <c r="D90" s="9" t="s">
        <v>5871</v>
      </c>
      <c r="E90" s="9" t="str">
        <f aca="false">IF(AND('Formation Ledger'!A69&lt;&gt;"",'Formation Ledger'!V69=0),"PASS","FAIL")</f>
        <v>PASS</v>
      </c>
      <c r="F90" s="9" t="s">
        <v>76</v>
      </c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customFormat="false" ht="15" hidden="false" customHeight="false" outlineLevel="0" collapsed="false">
      <c r="A91" s="9" t="s">
        <v>5934</v>
      </c>
      <c r="B91" s="9" t="s">
        <v>5870</v>
      </c>
      <c r="C91" s="9" t="s">
        <v>269</v>
      </c>
      <c r="D91" s="9" t="s">
        <v>5871</v>
      </c>
      <c r="E91" s="9" t="str">
        <f aca="false">IF(AND('Formation Ledger'!A70&lt;&gt;"",'Formation Ledger'!V70=0),"PASS","FAIL")</f>
        <v>PASS</v>
      </c>
      <c r="F91" s="9" t="s">
        <v>76</v>
      </c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customFormat="false" ht="15" hidden="false" customHeight="false" outlineLevel="0" collapsed="false">
      <c r="A92" s="9" t="s">
        <v>5935</v>
      </c>
      <c r="B92" s="9" t="s">
        <v>5870</v>
      </c>
      <c r="C92" s="9" t="s">
        <v>270</v>
      </c>
      <c r="D92" s="9" t="s">
        <v>5871</v>
      </c>
      <c r="E92" s="9" t="str">
        <f aca="false">IF(AND('Formation Ledger'!A71&lt;&gt;"",'Formation Ledger'!V71=0),"PASS","FAIL")</f>
        <v>PASS</v>
      </c>
      <c r="F92" s="9" t="s">
        <v>76</v>
      </c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customFormat="false" ht="15" hidden="false" customHeight="false" outlineLevel="0" collapsed="false">
      <c r="A93" s="9" t="s">
        <v>5936</v>
      </c>
      <c r="B93" s="9" t="s">
        <v>5870</v>
      </c>
      <c r="C93" s="9" t="s">
        <v>271</v>
      </c>
      <c r="D93" s="9" t="s">
        <v>5871</v>
      </c>
      <c r="E93" s="9" t="str">
        <f aca="false">IF(AND('Formation Ledger'!A72&lt;&gt;"",'Formation Ledger'!V72=0),"PASS","FAIL")</f>
        <v>PASS</v>
      </c>
      <c r="F93" s="9" t="s">
        <v>76</v>
      </c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customFormat="false" ht="15" hidden="false" customHeight="false" outlineLevel="0" collapsed="false">
      <c r="A94" s="9" t="s">
        <v>5937</v>
      </c>
      <c r="B94" s="9" t="s">
        <v>5870</v>
      </c>
      <c r="C94" s="9" t="s">
        <v>272</v>
      </c>
      <c r="D94" s="9" t="s">
        <v>5871</v>
      </c>
      <c r="E94" s="9" t="str">
        <f aca="false">IF(AND('Formation Ledger'!A73&lt;&gt;"",'Formation Ledger'!V73=0),"PASS","FAIL")</f>
        <v>PASS</v>
      </c>
      <c r="F94" s="9" t="s">
        <v>76</v>
      </c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customFormat="false" ht="15" hidden="false" customHeight="false" outlineLevel="0" collapsed="false">
      <c r="A95" s="9" t="s">
        <v>5938</v>
      </c>
      <c r="B95" s="9" t="s">
        <v>5870</v>
      </c>
      <c r="C95" s="9" t="s">
        <v>276</v>
      </c>
      <c r="D95" s="9" t="s">
        <v>5871</v>
      </c>
      <c r="E95" s="9" t="str">
        <f aca="false">IF(AND('Formation Ledger'!A74&lt;&gt;"",'Formation Ledger'!V74=0),"PASS","FAIL")</f>
        <v>PASS</v>
      </c>
      <c r="F95" s="9" t="s">
        <v>76</v>
      </c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customFormat="false" ht="15" hidden="false" customHeight="false" outlineLevel="0" collapsed="false">
      <c r="A96" s="9" t="s">
        <v>5939</v>
      </c>
      <c r="B96" s="9" t="s">
        <v>5870</v>
      </c>
      <c r="C96" s="9" t="s">
        <v>277</v>
      </c>
      <c r="D96" s="9" t="s">
        <v>5871</v>
      </c>
      <c r="E96" s="9" t="str">
        <f aca="false">IF(AND('Formation Ledger'!A75&lt;&gt;"",'Formation Ledger'!V75=0),"PASS","FAIL")</f>
        <v>PASS</v>
      </c>
      <c r="F96" s="9" t="s">
        <v>76</v>
      </c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customFormat="false" ht="15" hidden="false" customHeight="false" outlineLevel="0" collapsed="false">
      <c r="A97" s="9" t="s">
        <v>5940</v>
      </c>
      <c r="B97" s="9" t="s">
        <v>5870</v>
      </c>
      <c r="C97" s="9" t="s">
        <v>278</v>
      </c>
      <c r="D97" s="9" t="s">
        <v>5871</v>
      </c>
      <c r="E97" s="9" t="str">
        <f aca="false">IF(AND('Formation Ledger'!A76&lt;&gt;"",'Formation Ledger'!V76=0),"PASS","FAIL")</f>
        <v>PASS</v>
      </c>
      <c r="F97" s="9" t="s">
        <v>76</v>
      </c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customFormat="false" ht="15" hidden="false" customHeight="false" outlineLevel="0" collapsed="false">
      <c r="A98" s="9" t="s">
        <v>5941</v>
      </c>
      <c r="B98" s="9" t="s">
        <v>5870</v>
      </c>
      <c r="C98" s="9" t="s">
        <v>279</v>
      </c>
      <c r="D98" s="9" t="s">
        <v>5871</v>
      </c>
      <c r="E98" s="9" t="str">
        <f aca="false">IF(AND('Formation Ledger'!A77&lt;&gt;"",'Formation Ledger'!V77=0),"PASS","FAIL")</f>
        <v>PASS</v>
      </c>
      <c r="F98" s="9" t="s">
        <v>76</v>
      </c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customFormat="false" ht="15" hidden="false" customHeight="false" outlineLevel="0" collapsed="false">
      <c r="A99" s="9" t="s">
        <v>5942</v>
      </c>
      <c r="B99" s="9" t="s">
        <v>5870</v>
      </c>
      <c r="C99" s="9" t="s">
        <v>280</v>
      </c>
      <c r="D99" s="9" t="s">
        <v>5871</v>
      </c>
      <c r="E99" s="9" t="str">
        <f aca="false">IF(AND('Formation Ledger'!A78&lt;&gt;"",'Formation Ledger'!V78=0),"PASS","FAIL")</f>
        <v>PASS</v>
      </c>
      <c r="F99" s="9" t="s">
        <v>76</v>
      </c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customFormat="false" ht="15" hidden="false" customHeight="false" outlineLevel="0" collapsed="false">
      <c r="A100" s="9" t="s">
        <v>5943</v>
      </c>
      <c r="B100" s="9" t="s">
        <v>5870</v>
      </c>
      <c r="C100" s="9" t="s">
        <v>281</v>
      </c>
      <c r="D100" s="9" t="s">
        <v>5871</v>
      </c>
      <c r="E100" s="9" t="str">
        <f aca="false">IF(AND('Formation Ledger'!A79&lt;&gt;"",'Formation Ledger'!V79=0),"PASS","FAIL")</f>
        <v>PASS</v>
      </c>
      <c r="F100" s="9" t="s">
        <v>76</v>
      </c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customFormat="false" ht="15" hidden="false" customHeight="false" outlineLevel="0" collapsed="false">
      <c r="A101" s="9" t="s">
        <v>5944</v>
      </c>
      <c r="B101" s="9" t="s">
        <v>5870</v>
      </c>
      <c r="C101" s="9" t="s">
        <v>282</v>
      </c>
      <c r="D101" s="9" t="s">
        <v>5871</v>
      </c>
      <c r="E101" s="9" t="str">
        <f aca="false">IF(AND('Formation Ledger'!A80&lt;&gt;"",'Formation Ledger'!V80=0),"PASS","FAIL")</f>
        <v>PASS</v>
      </c>
      <c r="F101" s="9" t="s">
        <v>76</v>
      </c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customFormat="false" ht="15" hidden="false" customHeight="false" outlineLevel="0" collapsed="false">
      <c r="A102" s="9" t="s">
        <v>5945</v>
      </c>
      <c r="B102" s="9" t="s">
        <v>5870</v>
      </c>
      <c r="C102" s="9" t="s">
        <v>283</v>
      </c>
      <c r="D102" s="9" t="s">
        <v>5871</v>
      </c>
      <c r="E102" s="9" t="str">
        <f aca="false">IF(AND('Formation Ledger'!A81&lt;&gt;"",'Formation Ledger'!V81=0),"PASS","FAIL")</f>
        <v>PASS</v>
      </c>
      <c r="F102" s="9" t="s">
        <v>76</v>
      </c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customFormat="false" ht="15" hidden="false" customHeight="false" outlineLevel="0" collapsed="false">
      <c r="A103" s="9" t="s">
        <v>5946</v>
      </c>
      <c r="B103" s="9" t="s">
        <v>5870</v>
      </c>
      <c r="C103" s="9" t="s">
        <v>284</v>
      </c>
      <c r="D103" s="9" t="s">
        <v>5871</v>
      </c>
      <c r="E103" s="9" t="str">
        <f aca="false">IF(AND('Formation Ledger'!A82&lt;&gt;"",'Formation Ledger'!V82=0),"PASS","FAIL")</f>
        <v>PASS</v>
      </c>
      <c r="F103" s="9" t="s">
        <v>76</v>
      </c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customFormat="false" ht="15" hidden="false" customHeight="false" outlineLevel="0" collapsed="false">
      <c r="A104" s="9" t="s">
        <v>5947</v>
      </c>
      <c r="B104" s="9" t="s">
        <v>5870</v>
      </c>
      <c r="C104" s="9" t="s">
        <v>285</v>
      </c>
      <c r="D104" s="9" t="s">
        <v>5871</v>
      </c>
      <c r="E104" s="9" t="str">
        <f aca="false">IF(AND('Formation Ledger'!A83&lt;&gt;"",'Formation Ledger'!V83=0),"PASS","FAIL")</f>
        <v>PASS</v>
      </c>
      <c r="F104" s="9" t="s">
        <v>76</v>
      </c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customFormat="false" ht="15" hidden="false" customHeight="false" outlineLevel="0" collapsed="false">
      <c r="A105" s="9" t="s">
        <v>5948</v>
      </c>
      <c r="B105" s="9" t="s">
        <v>5870</v>
      </c>
      <c r="C105" s="9" t="s">
        <v>286</v>
      </c>
      <c r="D105" s="9" t="s">
        <v>5871</v>
      </c>
      <c r="E105" s="9" t="str">
        <f aca="false">IF(AND('Formation Ledger'!A84&lt;&gt;"",'Formation Ledger'!V84=0),"PASS","FAIL")</f>
        <v>PASS</v>
      </c>
      <c r="F105" s="9" t="s">
        <v>76</v>
      </c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customFormat="false" ht="15" hidden="false" customHeight="false" outlineLevel="0" collapsed="false">
      <c r="A106" s="9" t="s">
        <v>5949</v>
      </c>
      <c r="B106" s="9" t="s">
        <v>5870</v>
      </c>
      <c r="C106" s="9" t="s">
        <v>287</v>
      </c>
      <c r="D106" s="9" t="s">
        <v>5871</v>
      </c>
      <c r="E106" s="9" t="str">
        <f aca="false">IF(AND('Formation Ledger'!A85&lt;&gt;"",'Formation Ledger'!V85=0),"PASS","FAIL")</f>
        <v>PASS</v>
      </c>
      <c r="F106" s="9" t="s">
        <v>76</v>
      </c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customFormat="false" ht="15" hidden="false" customHeight="false" outlineLevel="0" collapsed="false">
      <c r="A107" s="9" t="s">
        <v>5950</v>
      </c>
      <c r="B107" s="9" t="s">
        <v>5870</v>
      </c>
      <c r="C107" s="9" t="s">
        <v>288</v>
      </c>
      <c r="D107" s="9" t="s">
        <v>5871</v>
      </c>
      <c r="E107" s="9" t="str">
        <f aca="false">IF(AND('Formation Ledger'!A86&lt;&gt;"",'Formation Ledger'!V86=0),"PASS","FAIL")</f>
        <v>PASS</v>
      </c>
      <c r="F107" s="9" t="s">
        <v>76</v>
      </c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customFormat="false" ht="15" hidden="false" customHeight="false" outlineLevel="0" collapsed="false">
      <c r="A108" s="9" t="s">
        <v>5951</v>
      </c>
      <c r="B108" s="9" t="s">
        <v>5870</v>
      </c>
      <c r="C108" s="9" t="s">
        <v>289</v>
      </c>
      <c r="D108" s="9" t="s">
        <v>5871</v>
      </c>
      <c r="E108" s="9" t="str">
        <f aca="false">IF(AND('Formation Ledger'!A87&lt;&gt;"",'Formation Ledger'!V87=0),"PASS","FAIL")</f>
        <v>PASS</v>
      </c>
      <c r="F108" s="9" t="s">
        <v>76</v>
      </c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customFormat="false" ht="15" hidden="false" customHeight="false" outlineLevel="0" collapsed="false">
      <c r="A109" s="9" t="s">
        <v>5952</v>
      </c>
      <c r="B109" s="9" t="s">
        <v>5870</v>
      </c>
      <c r="C109" s="9" t="s">
        <v>290</v>
      </c>
      <c r="D109" s="9" t="s">
        <v>5871</v>
      </c>
      <c r="E109" s="9" t="str">
        <f aca="false">IF(AND('Formation Ledger'!A88&lt;&gt;"",'Formation Ledger'!V88=0),"PASS","FAIL")</f>
        <v>PASS</v>
      </c>
      <c r="F109" s="9" t="s">
        <v>76</v>
      </c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customFormat="false" ht="15" hidden="false" customHeight="false" outlineLevel="0" collapsed="false">
      <c r="A110" s="9" t="s">
        <v>5953</v>
      </c>
      <c r="B110" s="9" t="s">
        <v>5870</v>
      </c>
      <c r="C110" s="9" t="s">
        <v>291</v>
      </c>
      <c r="D110" s="9" t="s">
        <v>5871</v>
      </c>
      <c r="E110" s="9" t="str">
        <f aca="false">IF(AND('Formation Ledger'!A89&lt;&gt;"",'Formation Ledger'!V89=0),"PASS","FAIL")</f>
        <v>PASS</v>
      </c>
      <c r="F110" s="9" t="s">
        <v>76</v>
      </c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customFormat="false" ht="15" hidden="false" customHeight="false" outlineLevel="0" collapsed="false">
      <c r="A111" s="9" t="s">
        <v>5954</v>
      </c>
      <c r="B111" s="9" t="s">
        <v>5870</v>
      </c>
      <c r="C111" s="9" t="s">
        <v>292</v>
      </c>
      <c r="D111" s="9" t="s">
        <v>5871</v>
      </c>
      <c r="E111" s="9" t="str">
        <f aca="false">IF(AND('Formation Ledger'!A90&lt;&gt;"",'Formation Ledger'!V90=0),"PASS","FAIL")</f>
        <v>PASS</v>
      </c>
      <c r="F111" s="9" t="s">
        <v>76</v>
      </c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customFormat="false" ht="15" hidden="false" customHeight="false" outlineLevel="0" collapsed="false">
      <c r="A112" s="9" t="s">
        <v>5955</v>
      </c>
      <c r="B112" s="9" t="s">
        <v>5870</v>
      </c>
      <c r="C112" s="9" t="s">
        <v>293</v>
      </c>
      <c r="D112" s="9" t="s">
        <v>5871</v>
      </c>
      <c r="E112" s="9" t="str">
        <f aca="false">IF(AND('Formation Ledger'!A91&lt;&gt;"",'Formation Ledger'!V91=0),"PASS","FAIL")</f>
        <v>PASS</v>
      </c>
      <c r="F112" s="9" t="s">
        <v>76</v>
      </c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customFormat="false" ht="15" hidden="false" customHeight="false" outlineLevel="0" collapsed="false">
      <c r="A113" s="9" t="s">
        <v>5956</v>
      </c>
      <c r="B113" s="9" t="s">
        <v>5870</v>
      </c>
      <c r="C113" s="9" t="s">
        <v>294</v>
      </c>
      <c r="D113" s="9" t="s">
        <v>5871</v>
      </c>
      <c r="E113" s="9" t="str">
        <f aca="false">IF(AND('Formation Ledger'!A92&lt;&gt;"",'Formation Ledger'!V92=0),"PASS","FAIL")</f>
        <v>PASS</v>
      </c>
      <c r="F113" s="9" t="s">
        <v>76</v>
      </c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customFormat="false" ht="15" hidden="false" customHeight="false" outlineLevel="0" collapsed="false">
      <c r="A114" s="9" t="s">
        <v>5957</v>
      </c>
      <c r="B114" s="9" t="s">
        <v>5870</v>
      </c>
      <c r="C114" s="9" t="s">
        <v>295</v>
      </c>
      <c r="D114" s="9" t="s">
        <v>5871</v>
      </c>
      <c r="E114" s="9" t="str">
        <f aca="false">IF(AND('Formation Ledger'!A93&lt;&gt;"",'Formation Ledger'!V93=0),"PASS","FAIL")</f>
        <v>PASS</v>
      </c>
      <c r="F114" s="9" t="s">
        <v>76</v>
      </c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customFormat="false" ht="15" hidden="false" customHeight="false" outlineLevel="0" collapsed="false">
      <c r="A115" s="9" t="s">
        <v>5958</v>
      </c>
      <c r="B115" s="9" t="s">
        <v>5870</v>
      </c>
      <c r="C115" s="9" t="s">
        <v>296</v>
      </c>
      <c r="D115" s="9" t="s">
        <v>5871</v>
      </c>
      <c r="E115" s="9" t="str">
        <f aca="false">IF(AND('Formation Ledger'!A94&lt;&gt;"",'Formation Ledger'!V94=0),"PASS","FAIL")</f>
        <v>PASS</v>
      </c>
      <c r="F115" s="9" t="s">
        <v>76</v>
      </c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customFormat="false" ht="15" hidden="false" customHeight="false" outlineLevel="0" collapsed="false">
      <c r="A116" s="9" t="s">
        <v>5959</v>
      </c>
      <c r="B116" s="9" t="s">
        <v>5870</v>
      </c>
      <c r="C116" s="9" t="s">
        <v>297</v>
      </c>
      <c r="D116" s="9" t="s">
        <v>5871</v>
      </c>
      <c r="E116" s="9" t="str">
        <f aca="false">IF(AND('Formation Ledger'!A95&lt;&gt;"",'Formation Ledger'!V95=0),"PASS","FAIL")</f>
        <v>PASS</v>
      </c>
      <c r="F116" s="9" t="s">
        <v>76</v>
      </c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customFormat="false" ht="15" hidden="false" customHeight="false" outlineLevel="0" collapsed="false">
      <c r="A117" s="9" t="s">
        <v>5960</v>
      </c>
      <c r="B117" s="9" t="s">
        <v>5870</v>
      </c>
      <c r="C117" s="9" t="s">
        <v>298</v>
      </c>
      <c r="D117" s="9" t="s">
        <v>5871</v>
      </c>
      <c r="E117" s="9" t="str">
        <f aca="false">IF(AND('Formation Ledger'!A96&lt;&gt;"",'Formation Ledger'!V96=0),"PASS","FAIL")</f>
        <v>PASS</v>
      </c>
      <c r="F117" s="9" t="s">
        <v>76</v>
      </c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customFormat="false" ht="15" hidden="false" customHeight="false" outlineLevel="0" collapsed="false">
      <c r="A118" s="9" t="s">
        <v>5961</v>
      </c>
      <c r="B118" s="9" t="s">
        <v>5870</v>
      </c>
      <c r="C118" s="9" t="s">
        <v>299</v>
      </c>
      <c r="D118" s="9" t="s">
        <v>5871</v>
      </c>
      <c r="E118" s="9" t="str">
        <f aca="false">IF(AND('Formation Ledger'!A97&lt;&gt;"",'Formation Ledger'!V97=0),"PASS","FAIL")</f>
        <v>PASS</v>
      </c>
      <c r="F118" s="9" t="s">
        <v>76</v>
      </c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customFormat="false" ht="15" hidden="false" customHeight="false" outlineLevel="0" collapsed="false">
      <c r="A119" s="9" t="s">
        <v>5962</v>
      </c>
      <c r="B119" s="9" t="s">
        <v>5870</v>
      </c>
      <c r="C119" s="9" t="s">
        <v>300</v>
      </c>
      <c r="D119" s="9" t="s">
        <v>5871</v>
      </c>
      <c r="E119" s="9" t="str">
        <f aca="false">IF(AND('Formation Ledger'!A98&lt;&gt;"",'Formation Ledger'!V98=0),"PASS","FAIL")</f>
        <v>PASS</v>
      </c>
      <c r="F119" s="9" t="s">
        <v>76</v>
      </c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customFormat="false" ht="15" hidden="false" customHeight="false" outlineLevel="0" collapsed="false">
      <c r="A120" s="9" t="s">
        <v>5963</v>
      </c>
      <c r="B120" s="9" t="s">
        <v>5870</v>
      </c>
      <c r="C120" s="9" t="s">
        <v>301</v>
      </c>
      <c r="D120" s="9" t="s">
        <v>5871</v>
      </c>
      <c r="E120" s="9" t="str">
        <f aca="false">IF(AND('Formation Ledger'!A99&lt;&gt;"",'Formation Ledger'!V99=0),"PASS","FAIL")</f>
        <v>PASS</v>
      </c>
      <c r="F120" s="9" t="s">
        <v>76</v>
      </c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customFormat="false" ht="15" hidden="false" customHeight="false" outlineLevel="0" collapsed="false">
      <c r="A121" s="9" t="s">
        <v>5964</v>
      </c>
      <c r="B121" s="9" t="s">
        <v>5870</v>
      </c>
      <c r="C121" s="9" t="s">
        <v>302</v>
      </c>
      <c r="D121" s="9" t="s">
        <v>5871</v>
      </c>
      <c r="E121" s="9" t="str">
        <f aca="false">IF(AND('Formation Ledger'!A100&lt;&gt;"",'Formation Ledger'!V100=0),"PASS","FAIL")</f>
        <v>PASS</v>
      </c>
      <c r="F121" s="9" t="s">
        <v>76</v>
      </c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customFormat="false" ht="15" hidden="false" customHeight="false" outlineLevel="0" collapsed="false">
      <c r="A122" s="9" t="s">
        <v>5965</v>
      </c>
      <c r="B122" s="9" t="s">
        <v>5870</v>
      </c>
      <c r="C122" s="9" t="s">
        <v>303</v>
      </c>
      <c r="D122" s="9" t="s">
        <v>5871</v>
      </c>
      <c r="E122" s="9" t="str">
        <f aca="false">IF(AND('Formation Ledger'!A101&lt;&gt;"",'Formation Ledger'!V101=0),"PASS","FAIL")</f>
        <v>PASS</v>
      </c>
      <c r="F122" s="9" t="s">
        <v>76</v>
      </c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customFormat="false" ht="15" hidden="false" customHeight="false" outlineLevel="0" collapsed="false">
      <c r="A123" s="9" t="s">
        <v>5966</v>
      </c>
      <c r="B123" s="9" t="s">
        <v>5870</v>
      </c>
      <c r="C123" s="9" t="s">
        <v>304</v>
      </c>
      <c r="D123" s="9" t="s">
        <v>5871</v>
      </c>
      <c r="E123" s="9" t="str">
        <f aca="false">IF(AND('Formation Ledger'!A102&lt;&gt;"",'Formation Ledger'!V102=0),"PASS","FAIL")</f>
        <v>PASS</v>
      </c>
      <c r="F123" s="9" t="s">
        <v>76</v>
      </c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customFormat="false" ht="15" hidden="false" customHeight="false" outlineLevel="0" collapsed="false">
      <c r="A124" s="9" t="s">
        <v>5967</v>
      </c>
      <c r="B124" s="9" t="s">
        <v>5870</v>
      </c>
      <c r="C124" s="9" t="s">
        <v>305</v>
      </c>
      <c r="D124" s="9" t="s">
        <v>5871</v>
      </c>
      <c r="E124" s="9" t="str">
        <f aca="false">IF(AND('Formation Ledger'!A103&lt;&gt;"",'Formation Ledger'!V103=0),"PASS","FAIL")</f>
        <v>PASS</v>
      </c>
      <c r="F124" s="9" t="s">
        <v>76</v>
      </c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customFormat="false" ht="15" hidden="false" customHeight="false" outlineLevel="0" collapsed="false">
      <c r="A125" s="9" t="s">
        <v>5968</v>
      </c>
      <c r="B125" s="9" t="s">
        <v>5870</v>
      </c>
      <c r="C125" s="9" t="s">
        <v>306</v>
      </c>
      <c r="D125" s="9" t="s">
        <v>5871</v>
      </c>
      <c r="E125" s="9" t="str">
        <f aca="false">IF(AND('Formation Ledger'!A104&lt;&gt;"",'Formation Ledger'!V104=0),"PASS","FAIL")</f>
        <v>PASS</v>
      </c>
      <c r="F125" s="9" t="s">
        <v>76</v>
      </c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customFormat="false" ht="15" hidden="false" customHeight="false" outlineLevel="0" collapsed="false">
      <c r="A126" s="9" t="s">
        <v>5969</v>
      </c>
      <c r="B126" s="9" t="s">
        <v>5870</v>
      </c>
      <c r="C126" s="9" t="s">
        <v>307</v>
      </c>
      <c r="D126" s="9" t="s">
        <v>5871</v>
      </c>
      <c r="E126" s="9" t="str">
        <f aca="false">IF(AND('Formation Ledger'!A105&lt;&gt;"",'Formation Ledger'!V105=0),"PASS","FAIL")</f>
        <v>PASS</v>
      </c>
      <c r="F126" s="9" t="s">
        <v>76</v>
      </c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customFormat="false" ht="15" hidden="false" customHeight="false" outlineLevel="0" collapsed="false">
      <c r="A127" s="9" t="s">
        <v>5970</v>
      </c>
      <c r="B127" s="9" t="s">
        <v>5870</v>
      </c>
      <c r="C127" s="9" t="s">
        <v>308</v>
      </c>
      <c r="D127" s="9" t="s">
        <v>5871</v>
      </c>
      <c r="E127" s="9" t="str">
        <f aca="false">IF(AND('Formation Ledger'!A106&lt;&gt;"",'Formation Ledger'!V106=0),"PASS","FAIL")</f>
        <v>PASS</v>
      </c>
      <c r="F127" s="9" t="s">
        <v>76</v>
      </c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customFormat="false" ht="15" hidden="false" customHeight="false" outlineLevel="0" collapsed="false">
      <c r="A128" s="9" t="s">
        <v>5971</v>
      </c>
      <c r="B128" s="9" t="s">
        <v>5870</v>
      </c>
      <c r="C128" s="9" t="s">
        <v>309</v>
      </c>
      <c r="D128" s="9" t="s">
        <v>5871</v>
      </c>
      <c r="E128" s="9" t="str">
        <f aca="false">IF(AND('Formation Ledger'!A107&lt;&gt;"",'Formation Ledger'!V107=0),"PASS","FAIL")</f>
        <v>PASS</v>
      </c>
      <c r="F128" s="9" t="s">
        <v>76</v>
      </c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customFormat="false" ht="15" hidden="false" customHeight="false" outlineLevel="0" collapsed="false">
      <c r="A129" s="9" t="s">
        <v>5972</v>
      </c>
      <c r="B129" s="9" t="s">
        <v>5870</v>
      </c>
      <c r="C129" s="9" t="s">
        <v>310</v>
      </c>
      <c r="D129" s="9" t="s">
        <v>5871</v>
      </c>
      <c r="E129" s="9" t="str">
        <f aca="false">IF(AND('Formation Ledger'!A108&lt;&gt;"",'Formation Ledger'!V108=0),"PASS","FAIL")</f>
        <v>PASS</v>
      </c>
      <c r="F129" s="9" t="s">
        <v>76</v>
      </c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customFormat="false" ht="15" hidden="false" customHeight="false" outlineLevel="0" collapsed="false">
      <c r="A130" s="9" t="s">
        <v>5973</v>
      </c>
      <c r="B130" s="9" t="s">
        <v>5870</v>
      </c>
      <c r="C130" s="9" t="s">
        <v>311</v>
      </c>
      <c r="D130" s="9" t="s">
        <v>5871</v>
      </c>
      <c r="E130" s="9" t="str">
        <f aca="false">IF(AND('Formation Ledger'!A109&lt;&gt;"",'Formation Ledger'!V109=0),"PASS","FAIL")</f>
        <v>PASS</v>
      </c>
      <c r="F130" s="9" t="s">
        <v>76</v>
      </c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customFormat="false" ht="15" hidden="false" customHeight="false" outlineLevel="0" collapsed="false">
      <c r="A131" s="9" t="s">
        <v>5974</v>
      </c>
      <c r="B131" s="9" t="s">
        <v>5870</v>
      </c>
      <c r="C131" s="9" t="s">
        <v>312</v>
      </c>
      <c r="D131" s="9" t="s">
        <v>5871</v>
      </c>
      <c r="E131" s="9" t="str">
        <f aca="false">IF(AND('Formation Ledger'!A110&lt;&gt;"",'Formation Ledger'!V110=0),"PASS","FAIL")</f>
        <v>PASS</v>
      </c>
      <c r="F131" s="9" t="s">
        <v>76</v>
      </c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customFormat="false" ht="15" hidden="false" customHeight="false" outlineLevel="0" collapsed="false">
      <c r="A132" s="9" t="s">
        <v>5975</v>
      </c>
      <c r="B132" s="9" t="s">
        <v>5870</v>
      </c>
      <c r="C132" s="9" t="s">
        <v>313</v>
      </c>
      <c r="D132" s="9" t="s">
        <v>5871</v>
      </c>
      <c r="E132" s="9" t="str">
        <f aca="false">IF(AND('Formation Ledger'!A111&lt;&gt;"",'Formation Ledger'!V111=0),"PASS","FAIL")</f>
        <v>PASS</v>
      </c>
      <c r="F132" s="9" t="s">
        <v>76</v>
      </c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customFormat="false" ht="15" hidden="false" customHeight="false" outlineLevel="0" collapsed="false">
      <c r="A133" s="9" t="s">
        <v>5976</v>
      </c>
      <c r="B133" s="9" t="s">
        <v>5870</v>
      </c>
      <c r="C133" s="9" t="s">
        <v>314</v>
      </c>
      <c r="D133" s="9" t="s">
        <v>5871</v>
      </c>
      <c r="E133" s="9" t="str">
        <f aca="false">IF(AND('Formation Ledger'!A112&lt;&gt;"",'Formation Ledger'!V112=0),"PASS","FAIL")</f>
        <v>PASS</v>
      </c>
      <c r="F133" s="9" t="s">
        <v>76</v>
      </c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customFormat="false" ht="15" hidden="false" customHeight="false" outlineLevel="0" collapsed="false">
      <c r="A134" s="9" t="s">
        <v>5977</v>
      </c>
      <c r="B134" s="9" t="s">
        <v>5870</v>
      </c>
      <c r="C134" s="9" t="s">
        <v>315</v>
      </c>
      <c r="D134" s="9" t="s">
        <v>5871</v>
      </c>
      <c r="E134" s="9" t="str">
        <f aca="false">IF(AND('Formation Ledger'!A113&lt;&gt;"",'Formation Ledger'!V113=0),"PASS","FAIL")</f>
        <v>PASS</v>
      </c>
      <c r="F134" s="9" t="s">
        <v>76</v>
      </c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customFormat="false" ht="15" hidden="false" customHeight="false" outlineLevel="0" collapsed="false">
      <c r="A135" s="9" t="s">
        <v>5978</v>
      </c>
      <c r="B135" s="9" t="s">
        <v>5870</v>
      </c>
      <c r="C135" s="9" t="s">
        <v>316</v>
      </c>
      <c r="D135" s="9" t="s">
        <v>5871</v>
      </c>
      <c r="E135" s="9" t="str">
        <f aca="false">IF(AND('Formation Ledger'!A114&lt;&gt;"",'Formation Ledger'!V114=0),"PASS","FAIL")</f>
        <v>PASS</v>
      </c>
      <c r="F135" s="9" t="s">
        <v>76</v>
      </c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customFormat="false" ht="15" hidden="false" customHeight="false" outlineLevel="0" collapsed="false">
      <c r="A136" s="9" t="s">
        <v>5979</v>
      </c>
      <c r="B136" s="9" t="s">
        <v>5870</v>
      </c>
      <c r="C136" s="9" t="s">
        <v>317</v>
      </c>
      <c r="D136" s="9" t="s">
        <v>5871</v>
      </c>
      <c r="E136" s="9" t="str">
        <f aca="false">IF(AND('Formation Ledger'!A115&lt;&gt;"",'Formation Ledger'!V115=0),"PASS","FAIL")</f>
        <v>PASS</v>
      </c>
      <c r="F136" s="9" t="s">
        <v>76</v>
      </c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customFormat="false" ht="15" hidden="false" customHeight="false" outlineLevel="0" collapsed="false">
      <c r="A137" s="9" t="s">
        <v>5980</v>
      </c>
      <c r="B137" s="9" t="s">
        <v>5870</v>
      </c>
      <c r="C137" s="9" t="s">
        <v>318</v>
      </c>
      <c r="D137" s="9" t="s">
        <v>5871</v>
      </c>
      <c r="E137" s="9" t="str">
        <f aca="false">IF(AND('Formation Ledger'!A116&lt;&gt;"",'Formation Ledger'!V116=0),"PASS","FAIL")</f>
        <v>PASS</v>
      </c>
      <c r="F137" s="9" t="s">
        <v>76</v>
      </c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customFormat="false" ht="15" hidden="false" customHeight="false" outlineLevel="0" collapsed="false">
      <c r="A138" s="9" t="s">
        <v>5981</v>
      </c>
      <c r="B138" s="9" t="s">
        <v>5870</v>
      </c>
      <c r="C138" s="9" t="s">
        <v>319</v>
      </c>
      <c r="D138" s="9" t="s">
        <v>5871</v>
      </c>
      <c r="E138" s="9" t="str">
        <f aca="false">IF(AND('Formation Ledger'!A117&lt;&gt;"",'Formation Ledger'!V117=0),"PASS","FAIL")</f>
        <v>PASS</v>
      </c>
      <c r="F138" s="9" t="s">
        <v>76</v>
      </c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customFormat="false" ht="15" hidden="false" customHeight="false" outlineLevel="0" collapsed="false">
      <c r="A139" s="9" t="s">
        <v>5982</v>
      </c>
      <c r="B139" s="9" t="s">
        <v>5870</v>
      </c>
      <c r="C139" s="9" t="s">
        <v>320</v>
      </c>
      <c r="D139" s="9" t="s">
        <v>5871</v>
      </c>
      <c r="E139" s="9" t="str">
        <f aca="false">IF(AND('Formation Ledger'!A118&lt;&gt;"",'Formation Ledger'!V118=0),"PASS","FAIL")</f>
        <v>PASS</v>
      </c>
      <c r="F139" s="9" t="s">
        <v>76</v>
      </c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customFormat="false" ht="15" hidden="false" customHeight="false" outlineLevel="0" collapsed="false">
      <c r="A140" s="9" t="s">
        <v>5983</v>
      </c>
      <c r="B140" s="9" t="s">
        <v>5870</v>
      </c>
      <c r="C140" s="9" t="s">
        <v>324</v>
      </c>
      <c r="D140" s="9" t="s">
        <v>5871</v>
      </c>
      <c r="E140" s="9" t="str">
        <f aca="false">IF(AND('Formation Ledger'!A119&lt;&gt;"",'Formation Ledger'!V119=0),"PASS","FAIL")</f>
        <v>PASS</v>
      </c>
      <c r="F140" s="9" t="s">
        <v>76</v>
      </c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customFormat="false" ht="15" hidden="false" customHeight="false" outlineLevel="0" collapsed="false">
      <c r="A141" s="9" t="s">
        <v>5984</v>
      </c>
      <c r="B141" s="9" t="s">
        <v>5870</v>
      </c>
      <c r="C141" s="9" t="s">
        <v>325</v>
      </c>
      <c r="D141" s="9" t="s">
        <v>5871</v>
      </c>
      <c r="E141" s="9" t="str">
        <f aca="false">IF(AND('Formation Ledger'!A120&lt;&gt;"",'Formation Ledger'!V120=0),"PASS","FAIL")</f>
        <v>PASS</v>
      </c>
      <c r="F141" s="9" t="s">
        <v>76</v>
      </c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customFormat="false" ht="15" hidden="false" customHeight="false" outlineLevel="0" collapsed="false">
      <c r="A142" s="9" t="s">
        <v>5985</v>
      </c>
      <c r="B142" s="9" t="s">
        <v>5870</v>
      </c>
      <c r="C142" s="9" t="s">
        <v>326</v>
      </c>
      <c r="D142" s="9" t="s">
        <v>5871</v>
      </c>
      <c r="E142" s="9" t="str">
        <f aca="false">IF(AND('Formation Ledger'!A121&lt;&gt;"",'Formation Ledger'!V121=0),"PASS","FAIL")</f>
        <v>PASS</v>
      </c>
      <c r="F142" s="9" t="s">
        <v>76</v>
      </c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customFormat="false" ht="15" hidden="false" customHeight="false" outlineLevel="0" collapsed="false">
      <c r="A143" s="9" t="s">
        <v>5986</v>
      </c>
      <c r="B143" s="9" t="s">
        <v>5870</v>
      </c>
      <c r="C143" s="9" t="s">
        <v>327</v>
      </c>
      <c r="D143" s="9" t="s">
        <v>5871</v>
      </c>
      <c r="E143" s="9" t="str">
        <f aca="false">IF(AND('Formation Ledger'!A122&lt;&gt;"",'Formation Ledger'!V122=0),"PASS","FAIL")</f>
        <v>PASS</v>
      </c>
      <c r="F143" s="9" t="s">
        <v>76</v>
      </c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customFormat="false" ht="15" hidden="false" customHeight="false" outlineLevel="0" collapsed="false">
      <c r="A144" s="9" t="s">
        <v>5987</v>
      </c>
      <c r="B144" s="9" t="s">
        <v>5870</v>
      </c>
      <c r="C144" s="9" t="s">
        <v>328</v>
      </c>
      <c r="D144" s="9" t="s">
        <v>5871</v>
      </c>
      <c r="E144" s="9" t="str">
        <f aca="false">IF(AND('Formation Ledger'!A123&lt;&gt;"",'Formation Ledger'!V123=0),"PASS","FAIL")</f>
        <v>PASS</v>
      </c>
      <c r="F144" s="9" t="s">
        <v>76</v>
      </c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customFormat="false" ht="15" hidden="false" customHeight="false" outlineLevel="0" collapsed="false">
      <c r="A145" s="9" t="s">
        <v>5988</v>
      </c>
      <c r="B145" s="9" t="s">
        <v>5870</v>
      </c>
      <c r="C145" s="9" t="s">
        <v>329</v>
      </c>
      <c r="D145" s="9" t="s">
        <v>5871</v>
      </c>
      <c r="E145" s="9" t="str">
        <f aca="false">IF(AND('Formation Ledger'!A124&lt;&gt;"",'Formation Ledger'!V124=0),"PASS","FAIL")</f>
        <v>PASS</v>
      </c>
      <c r="F145" s="9" t="s">
        <v>76</v>
      </c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customFormat="false" ht="15" hidden="false" customHeight="false" outlineLevel="0" collapsed="false">
      <c r="A146" s="9" t="s">
        <v>5989</v>
      </c>
      <c r="B146" s="9" t="s">
        <v>5870</v>
      </c>
      <c r="C146" s="9" t="s">
        <v>330</v>
      </c>
      <c r="D146" s="9" t="s">
        <v>5871</v>
      </c>
      <c r="E146" s="9" t="str">
        <f aca="false">IF(AND('Formation Ledger'!A125&lt;&gt;"",'Formation Ledger'!V125=0),"PASS","FAIL")</f>
        <v>PASS</v>
      </c>
      <c r="F146" s="9" t="s">
        <v>76</v>
      </c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customFormat="false" ht="15" hidden="false" customHeight="false" outlineLevel="0" collapsed="false">
      <c r="A147" s="9" t="s">
        <v>5990</v>
      </c>
      <c r="B147" s="9" t="s">
        <v>5870</v>
      </c>
      <c r="C147" s="9" t="s">
        <v>331</v>
      </c>
      <c r="D147" s="9" t="s">
        <v>5871</v>
      </c>
      <c r="E147" s="9" t="str">
        <f aca="false">IF(AND('Formation Ledger'!A126&lt;&gt;"",'Formation Ledger'!V126=0),"PASS","FAIL")</f>
        <v>PASS</v>
      </c>
      <c r="F147" s="9" t="s">
        <v>76</v>
      </c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customFormat="false" ht="15" hidden="false" customHeight="false" outlineLevel="0" collapsed="false">
      <c r="A148" s="9" t="s">
        <v>5991</v>
      </c>
      <c r="B148" s="9" t="s">
        <v>5870</v>
      </c>
      <c r="C148" s="9" t="s">
        <v>332</v>
      </c>
      <c r="D148" s="9" t="s">
        <v>5871</v>
      </c>
      <c r="E148" s="9" t="str">
        <f aca="false">IF(AND('Formation Ledger'!A127&lt;&gt;"",'Formation Ledger'!V127=0),"PASS","FAIL")</f>
        <v>PASS</v>
      </c>
      <c r="F148" s="9" t="s">
        <v>76</v>
      </c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customFormat="false" ht="15" hidden="false" customHeight="false" outlineLevel="0" collapsed="false">
      <c r="A149" s="9" t="s">
        <v>5992</v>
      </c>
      <c r="B149" s="9" t="s">
        <v>5870</v>
      </c>
      <c r="C149" s="9" t="s">
        <v>333</v>
      </c>
      <c r="D149" s="9" t="s">
        <v>5871</v>
      </c>
      <c r="E149" s="9" t="str">
        <f aca="false">IF(AND('Formation Ledger'!A128&lt;&gt;"",'Formation Ledger'!V128=0),"PASS","FAIL")</f>
        <v>PASS</v>
      </c>
      <c r="F149" s="9" t="s">
        <v>76</v>
      </c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customFormat="false" ht="15" hidden="false" customHeight="false" outlineLevel="0" collapsed="false">
      <c r="A150" s="9" t="s">
        <v>5993</v>
      </c>
      <c r="B150" s="9" t="s">
        <v>5870</v>
      </c>
      <c r="C150" s="9" t="s">
        <v>334</v>
      </c>
      <c r="D150" s="9" t="s">
        <v>5871</v>
      </c>
      <c r="E150" s="9" t="str">
        <f aca="false">IF(AND('Formation Ledger'!A129&lt;&gt;"",'Formation Ledger'!V129=0),"PASS","FAIL")</f>
        <v>PASS</v>
      </c>
      <c r="F150" s="9" t="s">
        <v>76</v>
      </c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customFormat="false" ht="15" hidden="false" customHeight="false" outlineLevel="0" collapsed="false">
      <c r="A151" s="9" t="s">
        <v>5994</v>
      </c>
      <c r="B151" s="9" t="s">
        <v>5870</v>
      </c>
      <c r="C151" s="9" t="s">
        <v>335</v>
      </c>
      <c r="D151" s="9" t="s">
        <v>5871</v>
      </c>
      <c r="E151" s="9" t="str">
        <f aca="false">IF(AND('Formation Ledger'!A130&lt;&gt;"",'Formation Ledger'!V130=0),"PASS","FAIL")</f>
        <v>PASS</v>
      </c>
      <c r="F151" s="9" t="s">
        <v>76</v>
      </c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customFormat="false" ht="15" hidden="false" customHeight="false" outlineLevel="0" collapsed="false">
      <c r="A152" s="9" t="s">
        <v>5995</v>
      </c>
      <c r="B152" s="9" t="s">
        <v>5870</v>
      </c>
      <c r="C152" s="9" t="s">
        <v>336</v>
      </c>
      <c r="D152" s="9" t="s">
        <v>5871</v>
      </c>
      <c r="E152" s="9" t="str">
        <f aca="false">IF(AND('Formation Ledger'!A131&lt;&gt;"",'Formation Ledger'!V131=0),"PASS","FAIL")</f>
        <v>PASS</v>
      </c>
      <c r="F152" s="9" t="s">
        <v>76</v>
      </c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customFormat="false" ht="15" hidden="false" customHeight="false" outlineLevel="0" collapsed="false">
      <c r="A153" s="9" t="s">
        <v>5996</v>
      </c>
      <c r="B153" s="9" t="s">
        <v>5870</v>
      </c>
      <c r="C153" s="9" t="s">
        <v>337</v>
      </c>
      <c r="D153" s="9" t="s">
        <v>5871</v>
      </c>
      <c r="E153" s="9" t="str">
        <f aca="false">IF(AND('Formation Ledger'!A132&lt;&gt;"",'Formation Ledger'!V132=0),"PASS","FAIL")</f>
        <v>PASS</v>
      </c>
      <c r="F153" s="9" t="s">
        <v>76</v>
      </c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customFormat="false" ht="15" hidden="false" customHeight="false" outlineLevel="0" collapsed="false">
      <c r="A154" s="9" t="s">
        <v>5997</v>
      </c>
      <c r="B154" s="9" t="s">
        <v>5870</v>
      </c>
      <c r="C154" s="9" t="s">
        <v>338</v>
      </c>
      <c r="D154" s="9" t="s">
        <v>5871</v>
      </c>
      <c r="E154" s="9" t="str">
        <f aca="false">IF(AND('Formation Ledger'!A133&lt;&gt;"",'Formation Ledger'!V133=0),"PASS","FAIL")</f>
        <v>PASS</v>
      </c>
      <c r="F154" s="9" t="s">
        <v>76</v>
      </c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customFormat="false" ht="15" hidden="false" customHeight="false" outlineLevel="0" collapsed="false">
      <c r="A155" s="9" t="s">
        <v>5998</v>
      </c>
      <c r="B155" s="9" t="s">
        <v>5870</v>
      </c>
      <c r="C155" s="9" t="s">
        <v>339</v>
      </c>
      <c r="D155" s="9" t="s">
        <v>5871</v>
      </c>
      <c r="E155" s="9" t="str">
        <f aca="false">IF(AND('Formation Ledger'!A134&lt;&gt;"",'Formation Ledger'!V134=0),"PASS","FAIL")</f>
        <v>PASS</v>
      </c>
      <c r="F155" s="9" t="s">
        <v>76</v>
      </c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customFormat="false" ht="15" hidden="false" customHeight="false" outlineLevel="0" collapsed="false">
      <c r="A156" s="9" t="s">
        <v>5999</v>
      </c>
      <c r="B156" s="9" t="s">
        <v>5870</v>
      </c>
      <c r="C156" s="9" t="s">
        <v>340</v>
      </c>
      <c r="D156" s="9" t="s">
        <v>5871</v>
      </c>
      <c r="E156" s="9" t="str">
        <f aca="false">IF(AND('Formation Ledger'!A135&lt;&gt;"",'Formation Ledger'!V135=0),"PASS","FAIL")</f>
        <v>PASS</v>
      </c>
      <c r="F156" s="9" t="s">
        <v>76</v>
      </c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customFormat="false" ht="15" hidden="false" customHeight="false" outlineLevel="0" collapsed="false">
      <c r="A157" s="9" t="s">
        <v>6000</v>
      </c>
      <c r="B157" s="9" t="s">
        <v>5870</v>
      </c>
      <c r="C157" s="9" t="s">
        <v>341</v>
      </c>
      <c r="D157" s="9" t="s">
        <v>5871</v>
      </c>
      <c r="E157" s="9" t="str">
        <f aca="false">IF(AND('Formation Ledger'!A136&lt;&gt;"",'Formation Ledger'!V136=0),"PASS","FAIL")</f>
        <v>PASS</v>
      </c>
      <c r="F157" s="9" t="s">
        <v>76</v>
      </c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customFormat="false" ht="15" hidden="false" customHeight="false" outlineLevel="0" collapsed="false">
      <c r="A158" s="9" t="s">
        <v>6001</v>
      </c>
      <c r="B158" s="9" t="s">
        <v>5870</v>
      </c>
      <c r="C158" s="9" t="s">
        <v>342</v>
      </c>
      <c r="D158" s="9" t="s">
        <v>5871</v>
      </c>
      <c r="E158" s="9" t="str">
        <f aca="false">IF(AND('Formation Ledger'!A137&lt;&gt;"",'Formation Ledger'!V137=0),"PASS","FAIL")</f>
        <v>PASS</v>
      </c>
      <c r="F158" s="9" t="s">
        <v>76</v>
      </c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customFormat="false" ht="15" hidden="false" customHeight="false" outlineLevel="0" collapsed="false">
      <c r="A159" s="9" t="s">
        <v>6002</v>
      </c>
      <c r="B159" s="9" t="s">
        <v>5870</v>
      </c>
      <c r="C159" s="9" t="s">
        <v>343</v>
      </c>
      <c r="D159" s="9" t="s">
        <v>5871</v>
      </c>
      <c r="E159" s="9" t="str">
        <f aca="false">IF(AND('Formation Ledger'!A138&lt;&gt;"",'Formation Ledger'!V138=0),"PASS","FAIL")</f>
        <v>PASS</v>
      </c>
      <c r="F159" s="9" t="s">
        <v>76</v>
      </c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customFormat="false" ht="15" hidden="false" customHeight="false" outlineLevel="0" collapsed="false">
      <c r="A160" s="9" t="s">
        <v>6003</v>
      </c>
      <c r="B160" s="9" t="s">
        <v>5870</v>
      </c>
      <c r="C160" s="9" t="s">
        <v>344</v>
      </c>
      <c r="D160" s="9" t="s">
        <v>5871</v>
      </c>
      <c r="E160" s="9" t="str">
        <f aca="false">IF(AND('Formation Ledger'!A139&lt;&gt;"",'Formation Ledger'!V139=0),"PASS","FAIL")</f>
        <v>PASS</v>
      </c>
      <c r="F160" s="9" t="s">
        <v>76</v>
      </c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customFormat="false" ht="15" hidden="false" customHeight="false" outlineLevel="0" collapsed="false">
      <c r="A161" s="9" t="s">
        <v>6004</v>
      </c>
      <c r="B161" s="9" t="s">
        <v>5870</v>
      </c>
      <c r="C161" s="9" t="s">
        <v>345</v>
      </c>
      <c r="D161" s="9" t="s">
        <v>5871</v>
      </c>
      <c r="E161" s="9" t="str">
        <f aca="false">IF(AND('Formation Ledger'!A140&lt;&gt;"",'Formation Ledger'!V140=0),"PASS","FAIL")</f>
        <v>PASS</v>
      </c>
      <c r="F161" s="9" t="s">
        <v>76</v>
      </c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customFormat="false" ht="15" hidden="false" customHeight="false" outlineLevel="0" collapsed="false">
      <c r="A162" s="9" t="s">
        <v>6005</v>
      </c>
      <c r="B162" s="9" t="s">
        <v>5870</v>
      </c>
      <c r="C162" s="9" t="s">
        <v>346</v>
      </c>
      <c r="D162" s="9" t="s">
        <v>5871</v>
      </c>
      <c r="E162" s="9" t="str">
        <f aca="false">IF(AND('Formation Ledger'!A141&lt;&gt;"",'Formation Ledger'!V141=0),"PASS","FAIL")</f>
        <v>PASS</v>
      </c>
      <c r="F162" s="9" t="s">
        <v>76</v>
      </c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customFormat="false" ht="15" hidden="false" customHeight="false" outlineLevel="0" collapsed="false">
      <c r="A163" s="9" t="s">
        <v>6006</v>
      </c>
      <c r="B163" s="9" t="s">
        <v>5870</v>
      </c>
      <c r="C163" s="9" t="s">
        <v>347</v>
      </c>
      <c r="D163" s="9" t="s">
        <v>5871</v>
      </c>
      <c r="E163" s="9" t="str">
        <f aca="false">IF(AND('Formation Ledger'!A142&lt;&gt;"",'Formation Ledger'!V142=0),"PASS","FAIL")</f>
        <v>PASS</v>
      </c>
      <c r="F163" s="9" t="s">
        <v>76</v>
      </c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customFormat="false" ht="15" hidden="false" customHeight="false" outlineLevel="0" collapsed="false">
      <c r="A164" s="9" t="s">
        <v>6007</v>
      </c>
      <c r="B164" s="9" t="s">
        <v>5870</v>
      </c>
      <c r="C164" s="9" t="s">
        <v>348</v>
      </c>
      <c r="D164" s="9" t="s">
        <v>5871</v>
      </c>
      <c r="E164" s="9" t="str">
        <f aca="false">IF(AND('Formation Ledger'!A143&lt;&gt;"",'Formation Ledger'!V143=0),"PASS","FAIL")</f>
        <v>PASS</v>
      </c>
      <c r="F164" s="9" t="s">
        <v>76</v>
      </c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customFormat="false" ht="15" hidden="false" customHeight="false" outlineLevel="0" collapsed="false">
      <c r="A165" s="9" t="s">
        <v>6008</v>
      </c>
      <c r="B165" s="9" t="s">
        <v>5870</v>
      </c>
      <c r="C165" s="9" t="s">
        <v>349</v>
      </c>
      <c r="D165" s="9" t="s">
        <v>5871</v>
      </c>
      <c r="E165" s="9" t="str">
        <f aca="false">IF(AND('Formation Ledger'!A144&lt;&gt;"",'Formation Ledger'!V144=0),"PASS","FAIL")</f>
        <v>PASS</v>
      </c>
      <c r="F165" s="9" t="s">
        <v>76</v>
      </c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customFormat="false" ht="15" hidden="false" customHeight="false" outlineLevel="0" collapsed="false">
      <c r="A166" s="9" t="s">
        <v>6009</v>
      </c>
      <c r="B166" s="9" t="s">
        <v>5870</v>
      </c>
      <c r="C166" s="9" t="s">
        <v>350</v>
      </c>
      <c r="D166" s="9" t="s">
        <v>5871</v>
      </c>
      <c r="E166" s="9" t="str">
        <f aca="false">IF(AND('Formation Ledger'!A145&lt;&gt;"",'Formation Ledger'!V145=0),"PASS","FAIL")</f>
        <v>PASS</v>
      </c>
      <c r="F166" s="9" t="s">
        <v>76</v>
      </c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customFormat="false" ht="15" hidden="false" customHeight="false" outlineLevel="0" collapsed="false">
      <c r="A167" s="9" t="s">
        <v>6010</v>
      </c>
      <c r="B167" s="9" t="s">
        <v>5870</v>
      </c>
      <c r="C167" s="9" t="s">
        <v>351</v>
      </c>
      <c r="D167" s="9" t="s">
        <v>5871</v>
      </c>
      <c r="E167" s="9" t="str">
        <f aca="false">IF(AND('Formation Ledger'!A146&lt;&gt;"",'Formation Ledger'!V146=0),"PASS","FAIL")</f>
        <v>PASS</v>
      </c>
      <c r="F167" s="9" t="s">
        <v>76</v>
      </c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customFormat="false" ht="15" hidden="false" customHeight="false" outlineLevel="0" collapsed="false">
      <c r="A168" s="9" t="s">
        <v>6011</v>
      </c>
      <c r="B168" s="9" t="s">
        <v>5870</v>
      </c>
      <c r="C168" s="9" t="s">
        <v>352</v>
      </c>
      <c r="D168" s="9" t="s">
        <v>5871</v>
      </c>
      <c r="E168" s="9" t="str">
        <f aca="false">IF(AND('Formation Ledger'!A147&lt;&gt;"",'Formation Ledger'!V147=0),"PASS","FAIL")</f>
        <v>PASS</v>
      </c>
      <c r="F168" s="9" t="s">
        <v>76</v>
      </c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customFormat="false" ht="15" hidden="false" customHeight="false" outlineLevel="0" collapsed="false">
      <c r="A169" s="9" t="s">
        <v>6012</v>
      </c>
      <c r="B169" s="9" t="s">
        <v>5870</v>
      </c>
      <c r="C169" s="9" t="s">
        <v>353</v>
      </c>
      <c r="D169" s="9" t="s">
        <v>5871</v>
      </c>
      <c r="E169" s="9" t="str">
        <f aca="false">IF(AND('Formation Ledger'!A148&lt;&gt;"",'Formation Ledger'!V148=0),"PASS","FAIL")</f>
        <v>PASS</v>
      </c>
      <c r="F169" s="9" t="s">
        <v>76</v>
      </c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customFormat="false" ht="15" hidden="false" customHeight="false" outlineLevel="0" collapsed="false">
      <c r="A170" s="9" t="s">
        <v>6013</v>
      </c>
      <c r="B170" s="9" t="s">
        <v>5870</v>
      </c>
      <c r="C170" s="9" t="s">
        <v>354</v>
      </c>
      <c r="D170" s="9" t="s">
        <v>5871</v>
      </c>
      <c r="E170" s="9" t="str">
        <f aca="false">IF(AND('Formation Ledger'!A149&lt;&gt;"",'Formation Ledger'!V149=0),"PASS","FAIL")</f>
        <v>PASS</v>
      </c>
      <c r="F170" s="9" t="s">
        <v>76</v>
      </c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customFormat="false" ht="15" hidden="false" customHeight="false" outlineLevel="0" collapsed="false">
      <c r="A171" s="9" t="s">
        <v>6014</v>
      </c>
      <c r="B171" s="9" t="s">
        <v>5870</v>
      </c>
      <c r="C171" s="9" t="s">
        <v>355</v>
      </c>
      <c r="D171" s="9" t="s">
        <v>5871</v>
      </c>
      <c r="E171" s="9" t="str">
        <f aca="false">IF(AND('Formation Ledger'!A150&lt;&gt;"",'Formation Ledger'!V150=0),"PASS","FAIL")</f>
        <v>PASS</v>
      </c>
      <c r="F171" s="9" t="s">
        <v>76</v>
      </c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customFormat="false" ht="15" hidden="false" customHeight="false" outlineLevel="0" collapsed="false">
      <c r="A172" s="9" t="s">
        <v>6015</v>
      </c>
      <c r="B172" s="9" t="s">
        <v>5870</v>
      </c>
      <c r="C172" s="9" t="s">
        <v>356</v>
      </c>
      <c r="D172" s="9" t="s">
        <v>5871</v>
      </c>
      <c r="E172" s="9" t="str">
        <f aca="false">IF(AND('Formation Ledger'!A151&lt;&gt;"",'Formation Ledger'!V151=0),"PASS","FAIL")</f>
        <v>PASS</v>
      </c>
      <c r="F172" s="9" t="s">
        <v>76</v>
      </c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customFormat="false" ht="15" hidden="false" customHeight="false" outlineLevel="0" collapsed="false">
      <c r="A173" s="9" t="s">
        <v>6016</v>
      </c>
      <c r="B173" s="9" t="s">
        <v>5870</v>
      </c>
      <c r="C173" s="9" t="s">
        <v>357</v>
      </c>
      <c r="D173" s="9" t="s">
        <v>5871</v>
      </c>
      <c r="E173" s="9" t="str">
        <f aca="false">IF(AND('Formation Ledger'!A152&lt;&gt;"",'Formation Ledger'!V152=0),"PASS","FAIL")</f>
        <v>PASS</v>
      </c>
      <c r="F173" s="9" t="s">
        <v>76</v>
      </c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customFormat="false" ht="15" hidden="false" customHeight="false" outlineLevel="0" collapsed="false">
      <c r="A174" s="9" t="s">
        <v>6017</v>
      </c>
      <c r="B174" s="9" t="s">
        <v>5870</v>
      </c>
      <c r="C174" s="9" t="s">
        <v>358</v>
      </c>
      <c r="D174" s="9" t="s">
        <v>5871</v>
      </c>
      <c r="E174" s="9" t="str">
        <f aca="false">IF(AND('Formation Ledger'!A153&lt;&gt;"",'Formation Ledger'!V153=0),"PASS","FAIL")</f>
        <v>PASS</v>
      </c>
      <c r="F174" s="9" t="s">
        <v>76</v>
      </c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customFormat="false" ht="15" hidden="false" customHeight="false" outlineLevel="0" collapsed="false">
      <c r="A175" s="9" t="s">
        <v>6018</v>
      </c>
      <c r="B175" s="9" t="s">
        <v>5870</v>
      </c>
      <c r="C175" s="9" t="s">
        <v>359</v>
      </c>
      <c r="D175" s="9" t="s">
        <v>5871</v>
      </c>
      <c r="E175" s="9" t="str">
        <f aca="false">IF(AND('Formation Ledger'!A154&lt;&gt;"",'Formation Ledger'!V154=0),"PASS","FAIL")</f>
        <v>PASS</v>
      </c>
      <c r="F175" s="9" t="s">
        <v>76</v>
      </c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customFormat="false" ht="15" hidden="false" customHeight="false" outlineLevel="0" collapsed="false">
      <c r="A176" s="9" t="s">
        <v>6019</v>
      </c>
      <c r="B176" s="9" t="s">
        <v>5870</v>
      </c>
      <c r="C176" s="9" t="s">
        <v>360</v>
      </c>
      <c r="D176" s="9" t="s">
        <v>5871</v>
      </c>
      <c r="E176" s="9" t="str">
        <f aca="false">IF(AND('Formation Ledger'!A155&lt;&gt;"",'Formation Ledger'!V155=0),"PASS","FAIL")</f>
        <v>PASS</v>
      </c>
      <c r="F176" s="9" t="s">
        <v>76</v>
      </c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customFormat="false" ht="15" hidden="false" customHeight="false" outlineLevel="0" collapsed="false">
      <c r="A177" s="9" t="s">
        <v>6020</v>
      </c>
      <c r="B177" s="9" t="s">
        <v>5870</v>
      </c>
      <c r="C177" s="9" t="s">
        <v>361</v>
      </c>
      <c r="D177" s="9" t="s">
        <v>5871</v>
      </c>
      <c r="E177" s="9" t="str">
        <f aca="false">IF(AND('Formation Ledger'!A156&lt;&gt;"",'Formation Ledger'!V156=0),"PASS","FAIL")</f>
        <v>PASS</v>
      </c>
      <c r="F177" s="9" t="s">
        <v>76</v>
      </c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customFormat="false" ht="15" hidden="false" customHeight="false" outlineLevel="0" collapsed="false">
      <c r="A178" s="9" t="s">
        <v>6021</v>
      </c>
      <c r="B178" s="9" t="s">
        <v>5870</v>
      </c>
      <c r="C178" s="9" t="s">
        <v>362</v>
      </c>
      <c r="D178" s="9" t="s">
        <v>5871</v>
      </c>
      <c r="E178" s="9" t="str">
        <f aca="false">IF(AND('Formation Ledger'!A157&lt;&gt;"",'Formation Ledger'!V157=0),"PASS","FAIL")</f>
        <v>PASS</v>
      </c>
      <c r="F178" s="9" t="s">
        <v>76</v>
      </c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customFormat="false" ht="15" hidden="false" customHeight="false" outlineLevel="0" collapsed="false">
      <c r="A179" s="9" t="s">
        <v>6022</v>
      </c>
      <c r="B179" s="9" t="s">
        <v>5870</v>
      </c>
      <c r="C179" s="9" t="s">
        <v>363</v>
      </c>
      <c r="D179" s="9" t="s">
        <v>5871</v>
      </c>
      <c r="E179" s="9" t="str">
        <f aca="false">IF(AND('Formation Ledger'!A158&lt;&gt;"",'Formation Ledger'!V158=0),"PASS","FAIL")</f>
        <v>PASS</v>
      </c>
      <c r="F179" s="9" t="s">
        <v>76</v>
      </c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customFormat="false" ht="15" hidden="false" customHeight="false" outlineLevel="0" collapsed="false">
      <c r="A180" s="9" t="s">
        <v>6023</v>
      </c>
      <c r="B180" s="9" t="s">
        <v>5870</v>
      </c>
      <c r="C180" s="9" t="s">
        <v>364</v>
      </c>
      <c r="D180" s="9" t="s">
        <v>5871</v>
      </c>
      <c r="E180" s="9" t="str">
        <f aca="false">IF(AND('Formation Ledger'!A159&lt;&gt;"",'Formation Ledger'!V159=0),"PASS","FAIL")</f>
        <v>PASS</v>
      </c>
      <c r="F180" s="9" t="s">
        <v>76</v>
      </c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customFormat="false" ht="15" hidden="false" customHeight="false" outlineLevel="0" collapsed="false">
      <c r="A181" s="9" t="s">
        <v>6024</v>
      </c>
      <c r="B181" s="9" t="s">
        <v>5870</v>
      </c>
      <c r="C181" s="9" t="s">
        <v>365</v>
      </c>
      <c r="D181" s="9" t="s">
        <v>5871</v>
      </c>
      <c r="E181" s="9" t="str">
        <f aca="false">IF(AND('Formation Ledger'!A160&lt;&gt;"",'Formation Ledger'!V160=0),"PASS","FAIL")</f>
        <v>PASS</v>
      </c>
      <c r="F181" s="9" t="s">
        <v>76</v>
      </c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customFormat="false" ht="15" hidden="false" customHeight="false" outlineLevel="0" collapsed="false">
      <c r="A182" s="9" t="s">
        <v>6025</v>
      </c>
      <c r="B182" s="9" t="s">
        <v>5870</v>
      </c>
      <c r="C182" s="9" t="s">
        <v>366</v>
      </c>
      <c r="D182" s="9" t="s">
        <v>5871</v>
      </c>
      <c r="E182" s="9" t="str">
        <f aca="false">IF(AND('Formation Ledger'!A161&lt;&gt;"",'Formation Ledger'!V161=0),"PASS","FAIL")</f>
        <v>PASS</v>
      </c>
      <c r="F182" s="9" t="s">
        <v>76</v>
      </c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customFormat="false" ht="15" hidden="false" customHeight="false" outlineLevel="0" collapsed="false">
      <c r="A183" s="9" t="s">
        <v>6026</v>
      </c>
      <c r="B183" s="9" t="s">
        <v>5870</v>
      </c>
      <c r="C183" s="9" t="s">
        <v>367</v>
      </c>
      <c r="D183" s="9" t="s">
        <v>5871</v>
      </c>
      <c r="E183" s="9" t="str">
        <f aca="false">IF(AND('Formation Ledger'!A162&lt;&gt;"",'Formation Ledger'!V162=0),"PASS","FAIL")</f>
        <v>PASS</v>
      </c>
      <c r="F183" s="9" t="s">
        <v>76</v>
      </c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customFormat="false" ht="15" hidden="false" customHeight="false" outlineLevel="0" collapsed="false">
      <c r="A184" s="9" t="s">
        <v>6027</v>
      </c>
      <c r="B184" s="9" t="s">
        <v>5870</v>
      </c>
      <c r="C184" s="9" t="s">
        <v>368</v>
      </c>
      <c r="D184" s="9" t="s">
        <v>5871</v>
      </c>
      <c r="E184" s="9" t="str">
        <f aca="false">IF(AND('Formation Ledger'!A163&lt;&gt;"",'Formation Ledger'!V163=0),"PASS","FAIL")</f>
        <v>PASS</v>
      </c>
      <c r="F184" s="9" t="s">
        <v>76</v>
      </c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customFormat="false" ht="15" hidden="false" customHeight="false" outlineLevel="0" collapsed="false">
      <c r="A185" s="9" t="s">
        <v>6028</v>
      </c>
      <c r="B185" s="9" t="s">
        <v>5870</v>
      </c>
      <c r="C185" s="9" t="s">
        <v>369</v>
      </c>
      <c r="D185" s="9" t="s">
        <v>5871</v>
      </c>
      <c r="E185" s="9" t="str">
        <f aca="false">IF(AND('Formation Ledger'!A164&lt;&gt;"",'Formation Ledger'!V164=0),"PASS","FAIL")</f>
        <v>PASS</v>
      </c>
      <c r="F185" s="9" t="s">
        <v>76</v>
      </c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customFormat="false" ht="15" hidden="false" customHeight="false" outlineLevel="0" collapsed="false">
      <c r="A186" s="9" t="s">
        <v>6029</v>
      </c>
      <c r="B186" s="9" t="s">
        <v>5870</v>
      </c>
      <c r="C186" s="9" t="s">
        <v>370</v>
      </c>
      <c r="D186" s="9" t="s">
        <v>5871</v>
      </c>
      <c r="E186" s="9" t="str">
        <f aca="false">IF(AND('Formation Ledger'!A165&lt;&gt;"",'Formation Ledger'!V165=0),"PASS","FAIL")</f>
        <v>PASS</v>
      </c>
      <c r="F186" s="9" t="s">
        <v>76</v>
      </c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customFormat="false" ht="15" hidden="false" customHeight="false" outlineLevel="0" collapsed="false">
      <c r="A187" s="9" t="s">
        <v>6030</v>
      </c>
      <c r="B187" s="9" t="s">
        <v>5870</v>
      </c>
      <c r="C187" s="9" t="s">
        <v>371</v>
      </c>
      <c r="D187" s="9" t="s">
        <v>5871</v>
      </c>
      <c r="E187" s="9" t="str">
        <f aca="false">IF(AND('Formation Ledger'!A166&lt;&gt;"",'Formation Ledger'!V166=0),"PASS","FAIL")</f>
        <v>PASS</v>
      </c>
      <c r="F187" s="9" t="s">
        <v>76</v>
      </c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customFormat="false" ht="15" hidden="false" customHeight="false" outlineLevel="0" collapsed="false">
      <c r="A188" s="9" t="s">
        <v>6031</v>
      </c>
      <c r="B188" s="9" t="s">
        <v>5870</v>
      </c>
      <c r="C188" s="9" t="s">
        <v>372</v>
      </c>
      <c r="D188" s="9" t="s">
        <v>5871</v>
      </c>
      <c r="E188" s="9" t="str">
        <f aca="false">IF(AND('Formation Ledger'!A167&lt;&gt;"",'Formation Ledger'!V167=0),"PASS","FAIL")</f>
        <v>PASS</v>
      </c>
      <c r="F188" s="9" t="s">
        <v>76</v>
      </c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customFormat="false" ht="15" hidden="false" customHeight="false" outlineLevel="0" collapsed="false">
      <c r="A189" s="9" t="s">
        <v>6032</v>
      </c>
      <c r="B189" s="9" t="s">
        <v>5870</v>
      </c>
      <c r="C189" s="9" t="s">
        <v>373</v>
      </c>
      <c r="D189" s="9" t="s">
        <v>5871</v>
      </c>
      <c r="E189" s="9" t="str">
        <f aca="false">IF(AND('Formation Ledger'!A168&lt;&gt;"",'Formation Ledger'!V168=0),"PASS","FAIL")</f>
        <v>PASS</v>
      </c>
      <c r="F189" s="9" t="s">
        <v>76</v>
      </c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customFormat="false" ht="15" hidden="false" customHeight="false" outlineLevel="0" collapsed="false">
      <c r="A190" s="9" t="s">
        <v>6033</v>
      </c>
      <c r="B190" s="9" t="s">
        <v>5870</v>
      </c>
      <c r="C190" s="9" t="s">
        <v>374</v>
      </c>
      <c r="D190" s="9" t="s">
        <v>5871</v>
      </c>
      <c r="E190" s="9" t="str">
        <f aca="false">IF(AND('Formation Ledger'!A169&lt;&gt;"",'Formation Ledger'!V169=0),"PASS","FAIL")</f>
        <v>PASS</v>
      </c>
      <c r="F190" s="9" t="s">
        <v>76</v>
      </c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customFormat="false" ht="15" hidden="false" customHeight="false" outlineLevel="0" collapsed="false">
      <c r="A191" s="9" t="s">
        <v>6034</v>
      </c>
      <c r="B191" s="9" t="s">
        <v>5870</v>
      </c>
      <c r="C191" s="9" t="s">
        <v>375</v>
      </c>
      <c r="D191" s="9" t="s">
        <v>5871</v>
      </c>
      <c r="E191" s="9" t="str">
        <f aca="false">IF(AND('Formation Ledger'!A170&lt;&gt;"",'Formation Ledger'!V170=0),"PASS","FAIL")</f>
        <v>PASS</v>
      </c>
      <c r="F191" s="9" t="s">
        <v>76</v>
      </c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customFormat="false" ht="15" hidden="false" customHeight="false" outlineLevel="0" collapsed="false">
      <c r="A192" s="9" t="s">
        <v>6035</v>
      </c>
      <c r="B192" s="9" t="s">
        <v>5870</v>
      </c>
      <c r="C192" s="9" t="s">
        <v>376</v>
      </c>
      <c r="D192" s="9" t="s">
        <v>5871</v>
      </c>
      <c r="E192" s="9" t="str">
        <f aca="false">IF(AND('Formation Ledger'!A171&lt;&gt;"",'Formation Ledger'!V171=0),"PASS","FAIL")</f>
        <v>PASS</v>
      </c>
      <c r="F192" s="9" t="s">
        <v>76</v>
      </c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customFormat="false" ht="15" hidden="false" customHeight="false" outlineLevel="0" collapsed="false">
      <c r="A193" s="9" t="s">
        <v>6036</v>
      </c>
      <c r="B193" s="9" t="s">
        <v>5870</v>
      </c>
      <c r="C193" s="9" t="s">
        <v>377</v>
      </c>
      <c r="D193" s="9" t="s">
        <v>5871</v>
      </c>
      <c r="E193" s="9" t="str">
        <f aca="false">IF(AND('Formation Ledger'!A172&lt;&gt;"",'Formation Ledger'!V172=0),"PASS","FAIL")</f>
        <v>PASS</v>
      </c>
      <c r="F193" s="9" t="s">
        <v>76</v>
      </c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customFormat="false" ht="15" hidden="false" customHeight="false" outlineLevel="0" collapsed="false">
      <c r="A194" s="9" t="s">
        <v>6037</v>
      </c>
      <c r="B194" s="9" t="s">
        <v>5870</v>
      </c>
      <c r="C194" s="9" t="s">
        <v>378</v>
      </c>
      <c r="D194" s="9" t="s">
        <v>5871</v>
      </c>
      <c r="E194" s="9" t="str">
        <f aca="false">IF(AND('Formation Ledger'!A173&lt;&gt;"",'Formation Ledger'!V173=0),"PASS","FAIL")</f>
        <v>PASS</v>
      </c>
      <c r="F194" s="9" t="s">
        <v>76</v>
      </c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customFormat="false" ht="15" hidden="false" customHeight="false" outlineLevel="0" collapsed="false">
      <c r="A195" s="9" t="s">
        <v>6038</v>
      </c>
      <c r="B195" s="9" t="s">
        <v>5870</v>
      </c>
      <c r="C195" s="9" t="s">
        <v>379</v>
      </c>
      <c r="D195" s="9" t="s">
        <v>5871</v>
      </c>
      <c r="E195" s="9" t="str">
        <f aca="false">IF(AND('Formation Ledger'!A174&lt;&gt;"",'Formation Ledger'!V174=0),"PASS","FAIL")</f>
        <v>PASS</v>
      </c>
      <c r="F195" s="9" t="s">
        <v>76</v>
      </c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customFormat="false" ht="15" hidden="false" customHeight="false" outlineLevel="0" collapsed="false">
      <c r="A196" s="9" t="s">
        <v>6039</v>
      </c>
      <c r="B196" s="9" t="s">
        <v>5870</v>
      </c>
      <c r="C196" s="9" t="s">
        <v>380</v>
      </c>
      <c r="D196" s="9" t="s">
        <v>5871</v>
      </c>
      <c r="E196" s="9" t="str">
        <f aca="false">IF(AND('Formation Ledger'!A175&lt;&gt;"",'Formation Ledger'!V175=0),"PASS","FAIL")</f>
        <v>PASS</v>
      </c>
      <c r="F196" s="9" t="s">
        <v>76</v>
      </c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customFormat="false" ht="15" hidden="false" customHeight="false" outlineLevel="0" collapsed="false">
      <c r="A197" s="9" t="s">
        <v>6040</v>
      </c>
      <c r="B197" s="9" t="s">
        <v>5870</v>
      </c>
      <c r="C197" s="9" t="s">
        <v>381</v>
      </c>
      <c r="D197" s="9" t="s">
        <v>5871</v>
      </c>
      <c r="E197" s="9" t="str">
        <f aca="false">IF(AND('Formation Ledger'!A176&lt;&gt;"",'Formation Ledger'!V176=0),"PASS","FAIL")</f>
        <v>PASS</v>
      </c>
      <c r="F197" s="9" t="s">
        <v>76</v>
      </c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customFormat="false" ht="15" hidden="false" customHeight="false" outlineLevel="0" collapsed="false">
      <c r="A198" s="9" t="s">
        <v>6041</v>
      </c>
      <c r="B198" s="9" t="s">
        <v>5870</v>
      </c>
      <c r="C198" s="9" t="s">
        <v>382</v>
      </c>
      <c r="D198" s="9" t="s">
        <v>5871</v>
      </c>
      <c r="E198" s="9" t="str">
        <f aca="false">IF(AND('Formation Ledger'!A177&lt;&gt;"",'Formation Ledger'!V177=0),"PASS","FAIL")</f>
        <v>PASS</v>
      </c>
      <c r="F198" s="9" t="s">
        <v>76</v>
      </c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customFormat="false" ht="15" hidden="false" customHeight="false" outlineLevel="0" collapsed="false">
      <c r="A199" s="9" t="s">
        <v>6042</v>
      </c>
      <c r="B199" s="9" t="s">
        <v>5870</v>
      </c>
      <c r="C199" s="9" t="s">
        <v>383</v>
      </c>
      <c r="D199" s="9" t="s">
        <v>5871</v>
      </c>
      <c r="E199" s="9" t="str">
        <f aca="false">IF(AND('Formation Ledger'!A178&lt;&gt;"",'Formation Ledger'!V178=0),"PASS","FAIL")</f>
        <v>PASS</v>
      </c>
      <c r="F199" s="9" t="s">
        <v>76</v>
      </c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customFormat="false" ht="15" hidden="false" customHeight="false" outlineLevel="0" collapsed="false">
      <c r="A200" s="9" t="s">
        <v>6043</v>
      </c>
      <c r="B200" s="9" t="s">
        <v>5870</v>
      </c>
      <c r="C200" s="9" t="s">
        <v>384</v>
      </c>
      <c r="D200" s="9" t="s">
        <v>5871</v>
      </c>
      <c r="E200" s="9" t="str">
        <f aca="false">IF(AND('Formation Ledger'!A179&lt;&gt;"",'Formation Ledger'!V179=0),"PASS","FAIL")</f>
        <v>PASS</v>
      </c>
      <c r="F200" s="9" t="s">
        <v>76</v>
      </c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customFormat="false" ht="15" hidden="false" customHeight="false" outlineLevel="0" collapsed="false">
      <c r="A201" s="9" t="s">
        <v>6044</v>
      </c>
      <c r="B201" s="9" t="s">
        <v>5870</v>
      </c>
      <c r="C201" s="9" t="s">
        <v>385</v>
      </c>
      <c r="D201" s="9" t="s">
        <v>5871</v>
      </c>
      <c r="E201" s="9" t="str">
        <f aca="false">IF(AND('Formation Ledger'!A180&lt;&gt;"",'Formation Ledger'!V180=0),"PASS","FAIL")</f>
        <v>PASS</v>
      </c>
      <c r="F201" s="9" t="s">
        <v>76</v>
      </c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customFormat="false" ht="15" hidden="false" customHeight="false" outlineLevel="0" collapsed="false">
      <c r="A202" s="9" t="s">
        <v>6045</v>
      </c>
      <c r="B202" s="9" t="s">
        <v>5870</v>
      </c>
      <c r="C202" s="9" t="s">
        <v>386</v>
      </c>
      <c r="D202" s="9" t="s">
        <v>5871</v>
      </c>
      <c r="E202" s="9" t="str">
        <f aca="false">IF(AND('Formation Ledger'!A181&lt;&gt;"",'Formation Ledger'!V181=0),"PASS","FAIL")</f>
        <v>PASS</v>
      </c>
      <c r="F202" s="9" t="s">
        <v>76</v>
      </c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customFormat="false" ht="15" hidden="false" customHeight="false" outlineLevel="0" collapsed="false">
      <c r="A203" s="9" t="s">
        <v>6046</v>
      </c>
      <c r="B203" s="9" t="s">
        <v>5870</v>
      </c>
      <c r="C203" s="9" t="s">
        <v>387</v>
      </c>
      <c r="D203" s="9" t="s">
        <v>5871</v>
      </c>
      <c r="E203" s="9" t="str">
        <f aca="false">IF(AND('Formation Ledger'!A182&lt;&gt;"",'Formation Ledger'!V182=0),"PASS","FAIL")</f>
        <v>PASS</v>
      </c>
      <c r="F203" s="9" t="s">
        <v>76</v>
      </c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customFormat="false" ht="15" hidden="false" customHeight="false" outlineLevel="0" collapsed="false">
      <c r="A204" s="9" t="s">
        <v>6047</v>
      </c>
      <c r="B204" s="9" t="s">
        <v>5870</v>
      </c>
      <c r="C204" s="9" t="s">
        <v>390</v>
      </c>
      <c r="D204" s="9" t="s">
        <v>5871</v>
      </c>
      <c r="E204" s="9" t="str">
        <f aca="false">IF(AND('Formation Ledger'!A183&lt;&gt;"",'Formation Ledger'!V183=0),"PASS","FAIL")</f>
        <v>PASS</v>
      </c>
      <c r="F204" s="9" t="s">
        <v>76</v>
      </c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customFormat="false" ht="15" hidden="false" customHeight="false" outlineLevel="0" collapsed="false">
      <c r="A205" s="9" t="s">
        <v>6048</v>
      </c>
      <c r="B205" s="9" t="s">
        <v>5870</v>
      </c>
      <c r="C205" s="9" t="s">
        <v>391</v>
      </c>
      <c r="D205" s="9" t="s">
        <v>5871</v>
      </c>
      <c r="E205" s="9" t="str">
        <f aca="false">IF(AND('Formation Ledger'!A184&lt;&gt;"",'Formation Ledger'!V184=0),"PASS","FAIL")</f>
        <v>PASS</v>
      </c>
      <c r="F205" s="9" t="s">
        <v>76</v>
      </c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customFormat="false" ht="15" hidden="false" customHeight="false" outlineLevel="0" collapsed="false">
      <c r="A206" s="9" t="s">
        <v>6049</v>
      </c>
      <c r="B206" s="9" t="s">
        <v>5870</v>
      </c>
      <c r="C206" s="9" t="s">
        <v>392</v>
      </c>
      <c r="D206" s="9" t="s">
        <v>5871</v>
      </c>
      <c r="E206" s="9" t="str">
        <f aca="false">IF(AND('Formation Ledger'!A185&lt;&gt;"",'Formation Ledger'!V185=0),"PASS","FAIL")</f>
        <v>PASS</v>
      </c>
      <c r="F206" s="9" t="s">
        <v>76</v>
      </c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customFormat="false" ht="15" hidden="false" customHeight="false" outlineLevel="0" collapsed="false">
      <c r="A207" s="9" t="s">
        <v>6050</v>
      </c>
      <c r="B207" s="9" t="s">
        <v>5870</v>
      </c>
      <c r="C207" s="9" t="s">
        <v>393</v>
      </c>
      <c r="D207" s="9" t="s">
        <v>5871</v>
      </c>
      <c r="E207" s="9" t="str">
        <f aca="false">IF(AND('Formation Ledger'!A186&lt;&gt;"",'Formation Ledger'!V186=0),"PASS","FAIL")</f>
        <v>PASS</v>
      </c>
      <c r="F207" s="9" t="s">
        <v>76</v>
      </c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customFormat="false" ht="15" hidden="false" customHeight="false" outlineLevel="0" collapsed="false">
      <c r="A208" s="9" t="s">
        <v>6051</v>
      </c>
      <c r="B208" s="9" t="s">
        <v>5870</v>
      </c>
      <c r="C208" s="9" t="s">
        <v>394</v>
      </c>
      <c r="D208" s="9" t="s">
        <v>5871</v>
      </c>
      <c r="E208" s="9" t="str">
        <f aca="false">IF(AND('Formation Ledger'!A187&lt;&gt;"",'Formation Ledger'!V187=0),"PASS","FAIL")</f>
        <v>PASS</v>
      </c>
      <c r="F208" s="9" t="s">
        <v>76</v>
      </c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customFormat="false" ht="15" hidden="false" customHeight="false" outlineLevel="0" collapsed="false">
      <c r="A209" s="9" t="s">
        <v>6052</v>
      </c>
      <c r="B209" s="9" t="s">
        <v>5870</v>
      </c>
      <c r="C209" s="9" t="s">
        <v>395</v>
      </c>
      <c r="D209" s="9" t="s">
        <v>5871</v>
      </c>
      <c r="E209" s="9" t="str">
        <f aca="false">IF(AND('Formation Ledger'!A188&lt;&gt;"",'Formation Ledger'!V188=0),"PASS","FAIL")</f>
        <v>PASS</v>
      </c>
      <c r="F209" s="9" t="s">
        <v>76</v>
      </c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customFormat="false" ht="15" hidden="false" customHeight="false" outlineLevel="0" collapsed="false">
      <c r="A210" s="9" t="s">
        <v>6053</v>
      </c>
      <c r="B210" s="9" t="s">
        <v>5870</v>
      </c>
      <c r="C210" s="9" t="s">
        <v>396</v>
      </c>
      <c r="D210" s="9" t="s">
        <v>5871</v>
      </c>
      <c r="E210" s="9" t="str">
        <f aca="false">IF(AND('Formation Ledger'!A189&lt;&gt;"",'Formation Ledger'!V189=0),"PASS","FAIL")</f>
        <v>PASS</v>
      </c>
      <c r="F210" s="9" t="s">
        <v>76</v>
      </c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customFormat="false" ht="15" hidden="false" customHeight="false" outlineLevel="0" collapsed="false">
      <c r="A211" s="9" t="s">
        <v>6054</v>
      </c>
      <c r="B211" s="9" t="s">
        <v>5870</v>
      </c>
      <c r="C211" s="9" t="s">
        <v>397</v>
      </c>
      <c r="D211" s="9" t="s">
        <v>5871</v>
      </c>
      <c r="E211" s="9" t="str">
        <f aca="false">IF(AND('Formation Ledger'!A190&lt;&gt;"",'Formation Ledger'!V190=0),"PASS","FAIL")</f>
        <v>PASS</v>
      </c>
      <c r="F211" s="9" t="s">
        <v>76</v>
      </c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customFormat="false" ht="15" hidden="false" customHeight="false" outlineLevel="0" collapsed="false">
      <c r="A212" s="9" t="s">
        <v>6055</v>
      </c>
      <c r="B212" s="9" t="s">
        <v>5870</v>
      </c>
      <c r="C212" s="9" t="s">
        <v>398</v>
      </c>
      <c r="D212" s="9" t="s">
        <v>5871</v>
      </c>
      <c r="E212" s="9" t="str">
        <f aca="false">IF(AND('Formation Ledger'!A191&lt;&gt;"",'Formation Ledger'!V191=0),"PASS","FAIL")</f>
        <v>PASS</v>
      </c>
      <c r="F212" s="9" t="s">
        <v>76</v>
      </c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customFormat="false" ht="15" hidden="false" customHeight="false" outlineLevel="0" collapsed="false">
      <c r="A213" s="9" t="s">
        <v>6056</v>
      </c>
      <c r="B213" s="9" t="s">
        <v>5870</v>
      </c>
      <c r="C213" s="9" t="s">
        <v>399</v>
      </c>
      <c r="D213" s="9" t="s">
        <v>5871</v>
      </c>
      <c r="E213" s="9" t="str">
        <f aca="false">IF(AND('Formation Ledger'!A192&lt;&gt;"",'Formation Ledger'!V192=0),"PASS","FAIL")</f>
        <v>PASS</v>
      </c>
      <c r="F213" s="9" t="s">
        <v>76</v>
      </c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customFormat="false" ht="15" hidden="false" customHeight="false" outlineLevel="0" collapsed="false">
      <c r="A214" s="9" t="s">
        <v>6057</v>
      </c>
      <c r="B214" s="9" t="s">
        <v>5870</v>
      </c>
      <c r="C214" s="9" t="s">
        <v>400</v>
      </c>
      <c r="D214" s="9" t="s">
        <v>5871</v>
      </c>
      <c r="E214" s="9" t="str">
        <f aca="false">IF(AND('Formation Ledger'!A193&lt;&gt;"",'Formation Ledger'!V193=0),"PASS","FAIL")</f>
        <v>PASS</v>
      </c>
      <c r="F214" s="9" t="s">
        <v>76</v>
      </c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customFormat="false" ht="15" hidden="false" customHeight="false" outlineLevel="0" collapsed="false">
      <c r="A215" s="9" t="s">
        <v>6058</v>
      </c>
      <c r="B215" s="9" t="s">
        <v>5870</v>
      </c>
      <c r="C215" s="9" t="s">
        <v>401</v>
      </c>
      <c r="D215" s="9" t="s">
        <v>5871</v>
      </c>
      <c r="E215" s="9" t="str">
        <f aca="false">IF(AND('Formation Ledger'!A194&lt;&gt;"",'Formation Ledger'!V194=0),"PASS","FAIL")</f>
        <v>PASS</v>
      </c>
      <c r="F215" s="9" t="s">
        <v>76</v>
      </c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customFormat="false" ht="15" hidden="false" customHeight="false" outlineLevel="0" collapsed="false">
      <c r="A216" s="9" t="s">
        <v>6059</v>
      </c>
      <c r="B216" s="9" t="s">
        <v>5870</v>
      </c>
      <c r="C216" s="9" t="s">
        <v>402</v>
      </c>
      <c r="D216" s="9" t="s">
        <v>5871</v>
      </c>
      <c r="E216" s="9" t="str">
        <f aca="false">IF(AND('Formation Ledger'!A195&lt;&gt;"",'Formation Ledger'!V195=0),"PASS","FAIL")</f>
        <v>PASS</v>
      </c>
      <c r="F216" s="9" t="s">
        <v>76</v>
      </c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customFormat="false" ht="15" hidden="false" customHeight="false" outlineLevel="0" collapsed="false">
      <c r="A217" s="9" t="s">
        <v>6060</v>
      </c>
      <c r="B217" s="9" t="s">
        <v>5870</v>
      </c>
      <c r="C217" s="9" t="s">
        <v>403</v>
      </c>
      <c r="D217" s="9" t="s">
        <v>5871</v>
      </c>
      <c r="E217" s="9" t="str">
        <f aca="false">IF(AND('Formation Ledger'!A196&lt;&gt;"",'Formation Ledger'!V196=0),"PASS","FAIL")</f>
        <v>PASS</v>
      </c>
      <c r="F217" s="9" t="s">
        <v>76</v>
      </c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customFormat="false" ht="15" hidden="false" customHeight="false" outlineLevel="0" collapsed="false">
      <c r="A218" s="9" t="s">
        <v>6061</v>
      </c>
      <c r="B218" s="9" t="s">
        <v>5870</v>
      </c>
      <c r="C218" s="9" t="s">
        <v>404</v>
      </c>
      <c r="D218" s="9" t="s">
        <v>5871</v>
      </c>
      <c r="E218" s="9" t="str">
        <f aca="false">IF(AND('Formation Ledger'!A197&lt;&gt;"",'Formation Ledger'!V197=0),"PASS","FAIL")</f>
        <v>PASS</v>
      </c>
      <c r="F218" s="9" t="s">
        <v>76</v>
      </c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customFormat="false" ht="15" hidden="false" customHeight="false" outlineLevel="0" collapsed="false">
      <c r="A219" s="9" t="s">
        <v>6062</v>
      </c>
      <c r="B219" s="9" t="s">
        <v>5870</v>
      </c>
      <c r="C219" s="9" t="s">
        <v>405</v>
      </c>
      <c r="D219" s="9" t="s">
        <v>5871</v>
      </c>
      <c r="E219" s="9" t="str">
        <f aca="false">IF(AND('Formation Ledger'!A198&lt;&gt;"",'Formation Ledger'!V198=0),"PASS","FAIL")</f>
        <v>PASS</v>
      </c>
      <c r="F219" s="9" t="s">
        <v>76</v>
      </c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customFormat="false" ht="15" hidden="false" customHeight="false" outlineLevel="0" collapsed="false">
      <c r="A220" s="9" t="s">
        <v>6063</v>
      </c>
      <c r="B220" s="9" t="s">
        <v>5870</v>
      </c>
      <c r="C220" s="9" t="s">
        <v>406</v>
      </c>
      <c r="D220" s="9" t="s">
        <v>5871</v>
      </c>
      <c r="E220" s="9" t="str">
        <f aca="false">IF(AND('Formation Ledger'!A199&lt;&gt;"",'Formation Ledger'!V199=0),"PASS","FAIL")</f>
        <v>PASS</v>
      </c>
      <c r="F220" s="9" t="s">
        <v>76</v>
      </c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customFormat="false" ht="15" hidden="false" customHeight="false" outlineLevel="0" collapsed="false">
      <c r="A221" s="9" t="s">
        <v>6064</v>
      </c>
      <c r="B221" s="9" t="s">
        <v>5870</v>
      </c>
      <c r="C221" s="9" t="s">
        <v>407</v>
      </c>
      <c r="D221" s="9" t="s">
        <v>5871</v>
      </c>
      <c r="E221" s="9" t="str">
        <f aca="false">IF(AND('Formation Ledger'!A200&lt;&gt;"",'Formation Ledger'!V200=0),"PASS","FAIL")</f>
        <v>PASS</v>
      </c>
      <c r="F221" s="9" t="s">
        <v>76</v>
      </c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customFormat="false" ht="15" hidden="false" customHeight="false" outlineLevel="0" collapsed="false">
      <c r="A222" s="9" t="s">
        <v>6065</v>
      </c>
      <c r="B222" s="9" t="s">
        <v>5870</v>
      </c>
      <c r="C222" s="9" t="s">
        <v>408</v>
      </c>
      <c r="D222" s="9" t="s">
        <v>5871</v>
      </c>
      <c r="E222" s="9" t="str">
        <f aca="false">IF(AND('Formation Ledger'!A201&lt;&gt;"",'Formation Ledger'!V201=0),"PASS","FAIL")</f>
        <v>PASS</v>
      </c>
      <c r="F222" s="9" t="s">
        <v>76</v>
      </c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customFormat="false" ht="15" hidden="false" customHeight="false" outlineLevel="0" collapsed="false">
      <c r="A223" s="9" t="s">
        <v>6066</v>
      </c>
      <c r="B223" s="9" t="s">
        <v>5870</v>
      </c>
      <c r="C223" s="9" t="s">
        <v>409</v>
      </c>
      <c r="D223" s="9" t="s">
        <v>5871</v>
      </c>
      <c r="E223" s="9" t="str">
        <f aca="false">IF(AND('Formation Ledger'!A202&lt;&gt;"",'Formation Ledger'!V202=0),"PASS","FAIL")</f>
        <v>PASS</v>
      </c>
      <c r="F223" s="9" t="s">
        <v>76</v>
      </c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customFormat="false" ht="15" hidden="false" customHeight="false" outlineLevel="0" collapsed="false">
      <c r="A224" s="9" t="s">
        <v>6067</v>
      </c>
      <c r="B224" s="9" t="s">
        <v>5870</v>
      </c>
      <c r="C224" s="9" t="s">
        <v>410</v>
      </c>
      <c r="D224" s="9" t="s">
        <v>5871</v>
      </c>
      <c r="E224" s="9" t="str">
        <f aca="false">IF(AND('Formation Ledger'!A203&lt;&gt;"",'Formation Ledger'!V203=0),"PASS","FAIL")</f>
        <v>PASS</v>
      </c>
      <c r="F224" s="9" t="s">
        <v>76</v>
      </c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customFormat="false" ht="15" hidden="false" customHeight="false" outlineLevel="0" collapsed="false">
      <c r="A225" s="9" t="s">
        <v>6068</v>
      </c>
      <c r="B225" s="9" t="s">
        <v>5870</v>
      </c>
      <c r="C225" s="9" t="s">
        <v>411</v>
      </c>
      <c r="D225" s="9" t="s">
        <v>5871</v>
      </c>
      <c r="E225" s="9" t="str">
        <f aca="false">IF(AND('Formation Ledger'!A204&lt;&gt;"",'Formation Ledger'!V204=0),"PASS","FAIL")</f>
        <v>PASS</v>
      </c>
      <c r="F225" s="9" t="s">
        <v>76</v>
      </c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customFormat="false" ht="15" hidden="false" customHeight="false" outlineLevel="0" collapsed="false">
      <c r="A226" s="9" t="s">
        <v>6069</v>
      </c>
      <c r="B226" s="9" t="s">
        <v>5870</v>
      </c>
      <c r="C226" s="9" t="s">
        <v>412</v>
      </c>
      <c r="D226" s="9" t="s">
        <v>5871</v>
      </c>
      <c r="E226" s="9" t="str">
        <f aca="false">IF(AND('Formation Ledger'!A205&lt;&gt;"",'Formation Ledger'!V205=0),"PASS","FAIL")</f>
        <v>PASS</v>
      </c>
      <c r="F226" s="9" t="s">
        <v>76</v>
      </c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customFormat="false" ht="15" hidden="false" customHeight="false" outlineLevel="0" collapsed="false">
      <c r="A227" s="9" t="s">
        <v>6070</v>
      </c>
      <c r="B227" s="9" t="s">
        <v>5870</v>
      </c>
      <c r="C227" s="9" t="s">
        <v>413</v>
      </c>
      <c r="D227" s="9" t="s">
        <v>5871</v>
      </c>
      <c r="E227" s="9" t="str">
        <f aca="false">IF(AND('Formation Ledger'!A206&lt;&gt;"",'Formation Ledger'!V206=0),"PASS","FAIL")</f>
        <v>PASS</v>
      </c>
      <c r="F227" s="9" t="s">
        <v>76</v>
      </c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customFormat="false" ht="15" hidden="false" customHeight="false" outlineLevel="0" collapsed="false">
      <c r="A228" s="9" t="s">
        <v>6071</v>
      </c>
      <c r="B228" s="9" t="s">
        <v>5870</v>
      </c>
      <c r="C228" s="9" t="s">
        <v>414</v>
      </c>
      <c r="D228" s="9" t="s">
        <v>5871</v>
      </c>
      <c r="E228" s="9" t="str">
        <f aca="false">IF(AND('Formation Ledger'!A207&lt;&gt;"",'Formation Ledger'!V207=0),"PASS","FAIL")</f>
        <v>PASS</v>
      </c>
      <c r="F228" s="9" t="s">
        <v>76</v>
      </c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customFormat="false" ht="15" hidden="false" customHeight="false" outlineLevel="0" collapsed="false">
      <c r="A229" s="9" t="s">
        <v>6072</v>
      </c>
      <c r="B229" s="9" t="s">
        <v>5870</v>
      </c>
      <c r="C229" s="9" t="s">
        <v>415</v>
      </c>
      <c r="D229" s="9" t="s">
        <v>5871</v>
      </c>
      <c r="E229" s="9" t="str">
        <f aca="false">IF(AND('Formation Ledger'!A208&lt;&gt;"",'Formation Ledger'!V208=0),"PASS","FAIL")</f>
        <v>PASS</v>
      </c>
      <c r="F229" s="9" t="s">
        <v>76</v>
      </c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customFormat="false" ht="15" hidden="false" customHeight="false" outlineLevel="0" collapsed="false">
      <c r="A230" s="9" t="s">
        <v>6073</v>
      </c>
      <c r="B230" s="9" t="s">
        <v>5870</v>
      </c>
      <c r="C230" s="9" t="s">
        <v>416</v>
      </c>
      <c r="D230" s="9" t="s">
        <v>5871</v>
      </c>
      <c r="E230" s="9" t="str">
        <f aca="false">IF(AND('Formation Ledger'!A209&lt;&gt;"",'Formation Ledger'!V209=0),"PASS","FAIL")</f>
        <v>PASS</v>
      </c>
      <c r="F230" s="9" t="s">
        <v>76</v>
      </c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customFormat="false" ht="15" hidden="false" customHeight="false" outlineLevel="0" collapsed="false">
      <c r="A231" s="9" t="s">
        <v>6074</v>
      </c>
      <c r="B231" s="9" t="s">
        <v>5870</v>
      </c>
      <c r="C231" s="9" t="s">
        <v>417</v>
      </c>
      <c r="D231" s="9" t="s">
        <v>5871</v>
      </c>
      <c r="E231" s="9" t="str">
        <f aca="false">IF(AND('Formation Ledger'!A210&lt;&gt;"",'Formation Ledger'!V210=0),"PASS","FAIL")</f>
        <v>PASS</v>
      </c>
      <c r="F231" s="9" t="s">
        <v>76</v>
      </c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customFormat="false" ht="15" hidden="false" customHeight="false" outlineLevel="0" collapsed="false">
      <c r="A232" s="9" t="s">
        <v>6075</v>
      </c>
      <c r="B232" s="9" t="s">
        <v>5870</v>
      </c>
      <c r="C232" s="9" t="s">
        <v>418</v>
      </c>
      <c r="D232" s="9" t="s">
        <v>5871</v>
      </c>
      <c r="E232" s="9" t="str">
        <f aca="false">IF(AND('Formation Ledger'!A211&lt;&gt;"",'Formation Ledger'!V211=0),"PASS","FAIL")</f>
        <v>PASS</v>
      </c>
      <c r="F232" s="9" t="s">
        <v>76</v>
      </c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customFormat="false" ht="15" hidden="false" customHeight="false" outlineLevel="0" collapsed="false">
      <c r="A233" s="9" t="s">
        <v>6076</v>
      </c>
      <c r="B233" s="9" t="s">
        <v>5870</v>
      </c>
      <c r="C233" s="9" t="s">
        <v>419</v>
      </c>
      <c r="D233" s="9" t="s">
        <v>5871</v>
      </c>
      <c r="E233" s="9" t="str">
        <f aca="false">IF(AND('Formation Ledger'!A212&lt;&gt;"",'Formation Ledger'!V212=0),"PASS","FAIL")</f>
        <v>PASS</v>
      </c>
      <c r="F233" s="9" t="s">
        <v>76</v>
      </c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customFormat="false" ht="15" hidden="false" customHeight="false" outlineLevel="0" collapsed="false">
      <c r="A234" s="9" t="s">
        <v>6077</v>
      </c>
      <c r="B234" s="9" t="s">
        <v>5870</v>
      </c>
      <c r="C234" s="9" t="s">
        <v>420</v>
      </c>
      <c r="D234" s="9" t="s">
        <v>5871</v>
      </c>
      <c r="E234" s="9" t="str">
        <f aca="false">IF(AND('Formation Ledger'!A213&lt;&gt;"",'Formation Ledger'!V213=0),"PASS","FAIL")</f>
        <v>PASS</v>
      </c>
      <c r="F234" s="9" t="s">
        <v>76</v>
      </c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customFormat="false" ht="15" hidden="false" customHeight="false" outlineLevel="0" collapsed="false">
      <c r="A235" s="9" t="s">
        <v>6078</v>
      </c>
      <c r="B235" s="9" t="s">
        <v>5870</v>
      </c>
      <c r="C235" s="9" t="s">
        <v>421</v>
      </c>
      <c r="D235" s="9" t="s">
        <v>5871</v>
      </c>
      <c r="E235" s="9" t="str">
        <f aca="false">IF(AND('Formation Ledger'!A214&lt;&gt;"",'Formation Ledger'!V214=0),"PASS","FAIL")</f>
        <v>PASS</v>
      </c>
      <c r="F235" s="9" t="s">
        <v>76</v>
      </c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customFormat="false" ht="15" hidden="false" customHeight="false" outlineLevel="0" collapsed="false">
      <c r="A236" s="9" t="s">
        <v>6079</v>
      </c>
      <c r="B236" s="9" t="s">
        <v>5870</v>
      </c>
      <c r="C236" s="9" t="s">
        <v>422</v>
      </c>
      <c r="D236" s="9" t="s">
        <v>5871</v>
      </c>
      <c r="E236" s="9" t="str">
        <f aca="false">IF(AND('Formation Ledger'!A215&lt;&gt;"",'Formation Ledger'!V215=0),"PASS","FAIL")</f>
        <v>PASS</v>
      </c>
      <c r="F236" s="9" t="s">
        <v>76</v>
      </c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customFormat="false" ht="15" hidden="false" customHeight="false" outlineLevel="0" collapsed="false">
      <c r="A237" s="9" t="s">
        <v>6080</v>
      </c>
      <c r="B237" s="9" t="s">
        <v>5870</v>
      </c>
      <c r="C237" s="9" t="s">
        <v>423</v>
      </c>
      <c r="D237" s="9" t="s">
        <v>5871</v>
      </c>
      <c r="E237" s="9" t="str">
        <f aca="false">IF(AND('Formation Ledger'!A216&lt;&gt;"",'Formation Ledger'!V216=0),"PASS","FAIL")</f>
        <v>PASS</v>
      </c>
      <c r="F237" s="9" t="s">
        <v>76</v>
      </c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customFormat="false" ht="15" hidden="false" customHeight="false" outlineLevel="0" collapsed="false">
      <c r="A238" s="9" t="s">
        <v>6081</v>
      </c>
      <c r="B238" s="9" t="s">
        <v>5870</v>
      </c>
      <c r="C238" s="9" t="s">
        <v>424</v>
      </c>
      <c r="D238" s="9" t="s">
        <v>5871</v>
      </c>
      <c r="E238" s="9" t="str">
        <f aca="false">IF(AND('Formation Ledger'!A217&lt;&gt;"",'Formation Ledger'!V217=0),"PASS","FAIL")</f>
        <v>PASS</v>
      </c>
      <c r="F238" s="9" t="s">
        <v>76</v>
      </c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customFormat="false" ht="15" hidden="false" customHeight="false" outlineLevel="0" collapsed="false">
      <c r="A239" s="9" t="s">
        <v>6082</v>
      </c>
      <c r="B239" s="9" t="s">
        <v>5870</v>
      </c>
      <c r="C239" s="9" t="s">
        <v>425</v>
      </c>
      <c r="D239" s="9" t="s">
        <v>5871</v>
      </c>
      <c r="E239" s="9" t="str">
        <f aca="false">IF(AND('Formation Ledger'!A218&lt;&gt;"",'Formation Ledger'!V218=0),"PASS","FAIL")</f>
        <v>PASS</v>
      </c>
      <c r="F239" s="9" t="s">
        <v>76</v>
      </c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customFormat="false" ht="15" hidden="false" customHeight="false" outlineLevel="0" collapsed="false">
      <c r="A240" s="9" t="s">
        <v>6083</v>
      </c>
      <c r="B240" s="9" t="s">
        <v>5870</v>
      </c>
      <c r="C240" s="9" t="s">
        <v>426</v>
      </c>
      <c r="D240" s="9" t="s">
        <v>5871</v>
      </c>
      <c r="E240" s="9" t="str">
        <f aca="false">IF(AND('Formation Ledger'!A219&lt;&gt;"",'Formation Ledger'!V219=0),"PASS","FAIL")</f>
        <v>PASS</v>
      </c>
      <c r="F240" s="9" t="s">
        <v>76</v>
      </c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customFormat="false" ht="15" hidden="false" customHeight="false" outlineLevel="0" collapsed="false">
      <c r="A241" s="9" t="s">
        <v>6084</v>
      </c>
      <c r="B241" s="9" t="s">
        <v>5870</v>
      </c>
      <c r="C241" s="9" t="s">
        <v>427</v>
      </c>
      <c r="D241" s="9" t="s">
        <v>5871</v>
      </c>
      <c r="E241" s="9" t="str">
        <f aca="false">IF(AND('Formation Ledger'!A220&lt;&gt;"",'Formation Ledger'!V220=0),"PASS","FAIL")</f>
        <v>PASS</v>
      </c>
      <c r="F241" s="9" t="s">
        <v>76</v>
      </c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customFormat="false" ht="15" hidden="false" customHeight="false" outlineLevel="0" collapsed="false">
      <c r="A242" s="9" t="s">
        <v>6085</v>
      </c>
      <c r="B242" s="9" t="s">
        <v>5870</v>
      </c>
      <c r="C242" s="9" t="s">
        <v>428</v>
      </c>
      <c r="D242" s="9" t="s">
        <v>5871</v>
      </c>
      <c r="E242" s="9" t="str">
        <f aca="false">IF(AND('Formation Ledger'!A221&lt;&gt;"",'Formation Ledger'!V221=0),"PASS","FAIL")</f>
        <v>PASS</v>
      </c>
      <c r="F242" s="9" t="s">
        <v>76</v>
      </c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customFormat="false" ht="15" hidden="false" customHeight="false" outlineLevel="0" collapsed="false">
      <c r="A243" s="9" t="s">
        <v>6086</v>
      </c>
      <c r="B243" s="9" t="s">
        <v>5870</v>
      </c>
      <c r="C243" s="9" t="s">
        <v>429</v>
      </c>
      <c r="D243" s="9" t="s">
        <v>5871</v>
      </c>
      <c r="E243" s="9" t="str">
        <f aca="false">IF(AND('Formation Ledger'!A222&lt;&gt;"",'Formation Ledger'!V222=0),"PASS","FAIL")</f>
        <v>PASS</v>
      </c>
      <c r="F243" s="9" t="s">
        <v>76</v>
      </c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customFormat="false" ht="15" hidden="false" customHeight="false" outlineLevel="0" collapsed="false">
      <c r="A244" s="9" t="s">
        <v>6087</v>
      </c>
      <c r="B244" s="9" t="s">
        <v>5870</v>
      </c>
      <c r="C244" s="9" t="s">
        <v>430</v>
      </c>
      <c r="D244" s="9" t="s">
        <v>5871</v>
      </c>
      <c r="E244" s="9" t="str">
        <f aca="false">IF(AND('Formation Ledger'!A223&lt;&gt;"",'Formation Ledger'!V223=0),"PASS","FAIL")</f>
        <v>PASS</v>
      </c>
      <c r="F244" s="9" t="s">
        <v>76</v>
      </c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customFormat="false" ht="15" hidden="false" customHeight="false" outlineLevel="0" collapsed="false">
      <c r="A245" s="9" t="s">
        <v>6088</v>
      </c>
      <c r="B245" s="9" t="s">
        <v>5870</v>
      </c>
      <c r="C245" s="9" t="s">
        <v>431</v>
      </c>
      <c r="D245" s="9" t="s">
        <v>5871</v>
      </c>
      <c r="E245" s="9" t="str">
        <f aca="false">IF(AND('Formation Ledger'!A224&lt;&gt;"",'Formation Ledger'!V224=0),"PASS","FAIL")</f>
        <v>PASS</v>
      </c>
      <c r="F245" s="9" t="s">
        <v>76</v>
      </c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customFormat="false" ht="15" hidden="false" customHeight="false" outlineLevel="0" collapsed="false">
      <c r="A246" s="9" t="s">
        <v>6089</v>
      </c>
      <c r="B246" s="9" t="s">
        <v>5870</v>
      </c>
      <c r="C246" s="9" t="s">
        <v>432</v>
      </c>
      <c r="D246" s="9" t="s">
        <v>5871</v>
      </c>
      <c r="E246" s="9" t="str">
        <f aca="false">IF(AND('Formation Ledger'!A225&lt;&gt;"",'Formation Ledger'!V225=0),"PASS","FAIL")</f>
        <v>PASS</v>
      </c>
      <c r="F246" s="9" t="s">
        <v>76</v>
      </c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customFormat="false" ht="15" hidden="false" customHeight="false" outlineLevel="0" collapsed="false">
      <c r="A247" s="9" t="s">
        <v>6090</v>
      </c>
      <c r="B247" s="9" t="s">
        <v>5870</v>
      </c>
      <c r="C247" s="9" t="s">
        <v>433</v>
      </c>
      <c r="D247" s="9" t="s">
        <v>5871</v>
      </c>
      <c r="E247" s="9" t="str">
        <f aca="false">IF(AND('Formation Ledger'!A226&lt;&gt;"",'Formation Ledger'!V226=0),"PASS","FAIL")</f>
        <v>PASS</v>
      </c>
      <c r="F247" s="9" t="s">
        <v>76</v>
      </c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customFormat="false" ht="15" hidden="false" customHeight="false" outlineLevel="0" collapsed="false">
      <c r="A248" s="9" t="s">
        <v>6091</v>
      </c>
      <c r="B248" s="9" t="s">
        <v>5870</v>
      </c>
      <c r="C248" s="9" t="s">
        <v>434</v>
      </c>
      <c r="D248" s="9" t="s">
        <v>5871</v>
      </c>
      <c r="E248" s="9" t="str">
        <f aca="false">IF(AND('Formation Ledger'!A227&lt;&gt;"",'Formation Ledger'!V227=0),"PASS","FAIL")</f>
        <v>PASS</v>
      </c>
      <c r="F248" s="9" t="s">
        <v>76</v>
      </c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customFormat="false" ht="15" hidden="false" customHeight="false" outlineLevel="0" collapsed="false">
      <c r="A249" s="9" t="s">
        <v>6092</v>
      </c>
      <c r="B249" s="9" t="s">
        <v>5870</v>
      </c>
      <c r="C249" s="9" t="s">
        <v>435</v>
      </c>
      <c r="D249" s="9" t="s">
        <v>5871</v>
      </c>
      <c r="E249" s="9" t="str">
        <f aca="false">IF(AND('Formation Ledger'!A228&lt;&gt;"",'Formation Ledger'!V228=0),"PASS","FAIL")</f>
        <v>PASS</v>
      </c>
      <c r="F249" s="9" t="s">
        <v>76</v>
      </c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customFormat="false" ht="15" hidden="false" customHeight="false" outlineLevel="0" collapsed="false">
      <c r="A250" s="9" t="s">
        <v>6093</v>
      </c>
      <c r="B250" s="9" t="s">
        <v>5870</v>
      </c>
      <c r="C250" s="9" t="s">
        <v>436</v>
      </c>
      <c r="D250" s="9" t="s">
        <v>5871</v>
      </c>
      <c r="E250" s="9" t="str">
        <f aca="false">IF(AND('Formation Ledger'!A229&lt;&gt;"",'Formation Ledger'!V229=0),"PASS","FAIL")</f>
        <v>PASS</v>
      </c>
      <c r="F250" s="9" t="s">
        <v>76</v>
      </c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customFormat="false" ht="15" hidden="false" customHeight="false" outlineLevel="0" collapsed="false">
      <c r="A251" s="9" t="s">
        <v>6094</v>
      </c>
      <c r="B251" s="9" t="s">
        <v>5870</v>
      </c>
      <c r="C251" s="9" t="s">
        <v>437</v>
      </c>
      <c r="D251" s="9" t="s">
        <v>5871</v>
      </c>
      <c r="E251" s="9" t="str">
        <f aca="false">IF(AND('Formation Ledger'!A230&lt;&gt;"",'Formation Ledger'!V230=0),"PASS","FAIL")</f>
        <v>PASS</v>
      </c>
      <c r="F251" s="9" t="s">
        <v>76</v>
      </c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customFormat="false" ht="15" hidden="false" customHeight="false" outlineLevel="0" collapsed="false">
      <c r="A252" s="9" t="s">
        <v>6095</v>
      </c>
      <c r="B252" s="9" t="s">
        <v>5870</v>
      </c>
      <c r="C252" s="9" t="s">
        <v>438</v>
      </c>
      <c r="D252" s="9" t="s">
        <v>5871</v>
      </c>
      <c r="E252" s="9" t="str">
        <f aca="false">IF(AND('Formation Ledger'!A231&lt;&gt;"",'Formation Ledger'!V231=0),"PASS","FAIL")</f>
        <v>PASS</v>
      </c>
      <c r="F252" s="9" t="s">
        <v>76</v>
      </c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customFormat="false" ht="15" hidden="false" customHeight="false" outlineLevel="0" collapsed="false">
      <c r="A253" s="9" t="s">
        <v>6096</v>
      </c>
      <c r="B253" s="9" t="s">
        <v>5870</v>
      </c>
      <c r="C253" s="9" t="s">
        <v>439</v>
      </c>
      <c r="D253" s="9" t="s">
        <v>5871</v>
      </c>
      <c r="E253" s="9" t="str">
        <f aca="false">IF(AND('Formation Ledger'!A232&lt;&gt;"",'Formation Ledger'!V232=0),"PASS","FAIL")</f>
        <v>PASS</v>
      </c>
      <c r="F253" s="9" t="s">
        <v>76</v>
      </c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customFormat="false" ht="15" hidden="false" customHeight="false" outlineLevel="0" collapsed="false">
      <c r="A254" s="9" t="s">
        <v>6097</v>
      </c>
      <c r="B254" s="9" t="s">
        <v>5870</v>
      </c>
      <c r="C254" s="9" t="s">
        <v>440</v>
      </c>
      <c r="D254" s="9" t="s">
        <v>5871</v>
      </c>
      <c r="E254" s="9" t="str">
        <f aca="false">IF(AND('Formation Ledger'!A233&lt;&gt;"",'Formation Ledger'!V233=0),"PASS","FAIL")</f>
        <v>PASS</v>
      </c>
      <c r="F254" s="9" t="s">
        <v>76</v>
      </c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customFormat="false" ht="15" hidden="false" customHeight="false" outlineLevel="0" collapsed="false">
      <c r="A255" s="9" t="s">
        <v>6098</v>
      </c>
      <c r="B255" s="9" t="s">
        <v>5870</v>
      </c>
      <c r="C255" s="9" t="s">
        <v>441</v>
      </c>
      <c r="D255" s="9" t="s">
        <v>5871</v>
      </c>
      <c r="E255" s="9" t="str">
        <f aca="false">IF(AND('Formation Ledger'!A234&lt;&gt;"",'Formation Ledger'!V234=0),"PASS","FAIL")</f>
        <v>PASS</v>
      </c>
      <c r="F255" s="9" t="s">
        <v>76</v>
      </c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customFormat="false" ht="15" hidden="false" customHeight="false" outlineLevel="0" collapsed="false">
      <c r="A256" s="9" t="s">
        <v>6099</v>
      </c>
      <c r="B256" s="9" t="s">
        <v>5870</v>
      </c>
      <c r="C256" s="9" t="s">
        <v>442</v>
      </c>
      <c r="D256" s="9" t="s">
        <v>5871</v>
      </c>
      <c r="E256" s="9" t="str">
        <f aca="false">IF(AND('Formation Ledger'!A235&lt;&gt;"",'Formation Ledger'!V235=0),"PASS","FAIL")</f>
        <v>PASS</v>
      </c>
      <c r="F256" s="9" t="s">
        <v>76</v>
      </c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customFormat="false" ht="15" hidden="false" customHeight="false" outlineLevel="0" collapsed="false">
      <c r="A257" s="9" t="s">
        <v>6100</v>
      </c>
      <c r="B257" s="9" t="s">
        <v>5870</v>
      </c>
      <c r="C257" s="9" t="s">
        <v>443</v>
      </c>
      <c r="D257" s="9" t="s">
        <v>5871</v>
      </c>
      <c r="E257" s="9" t="str">
        <f aca="false">IF(AND('Formation Ledger'!A236&lt;&gt;"",'Formation Ledger'!V236=0),"PASS","FAIL")</f>
        <v>PASS</v>
      </c>
      <c r="F257" s="9" t="s">
        <v>76</v>
      </c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customFormat="false" ht="15" hidden="false" customHeight="false" outlineLevel="0" collapsed="false">
      <c r="A258" s="9" t="s">
        <v>6101</v>
      </c>
      <c r="B258" s="9" t="s">
        <v>5870</v>
      </c>
      <c r="C258" s="9" t="s">
        <v>444</v>
      </c>
      <c r="D258" s="9" t="s">
        <v>5871</v>
      </c>
      <c r="E258" s="9" t="str">
        <f aca="false">IF(AND('Formation Ledger'!A237&lt;&gt;"",'Formation Ledger'!V237=0),"PASS","FAIL")</f>
        <v>PASS</v>
      </c>
      <c r="F258" s="9" t="s">
        <v>76</v>
      </c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customFormat="false" ht="15" hidden="false" customHeight="false" outlineLevel="0" collapsed="false">
      <c r="A259" s="9" t="s">
        <v>6102</v>
      </c>
      <c r="B259" s="9" t="s">
        <v>5870</v>
      </c>
      <c r="C259" s="9" t="s">
        <v>445</v>
      </c>
      <c r="D259" s="9" t="s">
        <v>5871</v>
      </c>
      <c r="E259" s="9" t="str">
        <f aca="false">IF(AND('Formation Ledger'!A238&lt;&gt;"",'Formation Ledger'!V238=0),"PASS","FAIL")</f>
        <v>PASS</v>
      </c>
      <c r="F259" s="9" t="s">
        <v>76</v>
      </c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customFormat="false" ht="15" hidden="false" customHeight="false" outlineLevel="0" collapsed="false">
      <c r="A260" s="9" t="s">
        <v>6103</v>
      </c>
      <c r="B260" s="9" t="s">
        <v>5870</v>
      </c>
      <c r="C260" s="9" t="s">
        <v>446</v>
      </c>
      <c r="D260" s="9" t="s">
        <v>5871</v>
      </c>
      <c r="E260" s="9" t="str">
        <f aca="false">IF(AND('Formation Ledger'!A239&lt;&gt;"",'Formation Ledger'!V239=0),"PASS","FAIL")</f>
        <v>PASS</v>
      </c>
      <c r="F260" s="9" t="s">
        <v>76</v>
      </c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customFormat="false" ht="15" hidden="false" customHeight="false" outlineLevel="0" collapsed="false">
      <c r="A261" s="9" t="s">
        <v>6104</v>
      </c>
      <c r="B261" s="9" t="s">
        <v>5870</v>
      </c>
      <c r="C261" s="9" t="s">
        <v>447</v>
      </c>
      <c r="D261" s="9" t="s">
        <v>5871</v>
      </c>
      <c r="E261" s="9" t="str">
        <f aca="false">IF(AND('Formation Ledger'!A240&lt;&gt;"",'Formation Ledger'!V240=0),"PASS","FAIL")</f>
        <v>PASS</v>
      </c>
      <c r="F261" s="9" t="s">
        <v>76</v>
      </c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customFormat="false" ht="15" hidden="false" customHeight="false" outlineLevel="0" collapsed="false">
      <c r="A262" s="9" t="s">
        <v>6105</v>
      </c>
      <c r="B262" s="9" t="s">
        <v>5870</v>
      </c>
      <c r="C262" s="9" t="s">
        <v>448</v>
      </c>
      <c r="D262" s="9" t="s">
        <v>5871</v>
      </c>
      <c r="E262" s="9" t="str">
        <f aca="false">IF(AND('Formation Ledger'!A241&lt;&gt;"",'Formation Ledger'!V241=0),"PASS","FAIL")</f>
        <v>PASS</v>
      </c>
      <c r="F262" s="9" t="s">
        <v>76</v>
      </c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customFormat="false" ht="15" hidden="false" customHeight="false" outlineLevel="0" collapsed="false">
      <c r="A263" s="9" t="s">
        <v>6106</v>
      </c>
      <c r="B263" s="9" t="s">
        <v>5870</v>
      </c>
      <c r="C263" s="9" t="s">
        <v>449</v>
      </c>
      <c r="D263" s="9" t="s">
        <v>5871</v>
      </c>
      <c r="E263" s="9" t="str">
        <f aca="false">IF(AND('Formation Ledger'!A242&lt;&gt;"",'Formation Ledger'!V242=0),"PASS","FAIL")</f>
        <v>PASS</v>
      </c>
      <c r="F263" s="9" t="s">
        <v>76</v>
      </c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customFormat="false" ht="15" hidden="false" customHeight="false" outlineLevel="0" collapsed="false">
      <c r="A264" s="9" t="s">
        <v>6107</v>
      </c>
      <c r="B264" s="9" t="s">
        <v>5870</v>
      </c>
      <c r="C264" s="9" t="s">
        <v>450</v>
      </c>
      <c r="D264" s="9" t="s">
        <v>5871</v>
      </c>
      <c r="E264" s="9" t="str">
        <f aca="false">IF(AND('Formation Ledger'!A243&lt;&gt;"",'Formation Ledger'!V243=0),"PASS","FAIL")</f>
        <v>PASS</v>
      </c>
      <c r="F264" s="9" t="s">
        <v>76</v>
      </c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customFormat="false" ht="15" hidden="false" customHeight="false" outlineLevel="0" collapsed="false">
      <c r="A265" s="9" t="s">
        <v>6108</v>
      </c>
      <c r="B265" s="9" t="s">
        <v>5870</v>
      </c>
      <c r="C265" s="9" t="s">
        <v>451</v>
      </c>
      <c r="D265" s="9" t="s">
        <v>5871</v>
      </c>
      <c r="E265" s="9" t="str">
        <f aca="false">IF(AND('Formation Ledger'!A244&lt;&gt;"",'Formation Ledger'!V244=0),"PASS","FAIL")</f>
        <v>PASS</v>
      </c>
      <c r="F265" s="9" t="s">
        <v>76</v>
      </c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customFormat="false" ht="15" hidden="false" customHeight="false" outlineLevel="0" collapsed="false">
      <c r="A266" s="9" t="s">
        <v>6109</v>
      </c>
      <c r="B266" s="9" t="s">
        <v>5870</v>
      </c>
      <c r="C266" s="9" t="s">
        <v>452</v>
      </c>
      <c r="D266" s="9" t="s">
        <v>5871</v>
      </c>
      <c r="E266" s="9" t="str">
        <f aca="false">IF(AND('Formation Ledger'!A245&lt;&gt;"",'Formation Ledger'!V245=0),"PASS","FAIL")</f>
        <v>PASS</v>
      </c>
      <c r="F266" s="9" t="s">
        <v>76</v>
      </c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customFormat="false" ht="15" hidden="false" customHeight="false" outlineLevel="0" collapsed="false">
      <c r="A267" s="9" t="s">
        <v>6110</v>
      </c>
      <c r="B267" s="9" t="s">
        <v>5870</v>
      </c>
      <c r="C267" s="9" t="s">
        <v>453</v>
      </c>
      <c r="D267" s="9" t="s">
        <v>5871</v>
      </c>
      <c r="E267" s="9" t="str">
        <f aca="false">IF(AND('Formation Ledger'!A246&lt;&gt;"",'Formation Ledger'!V246=0),"PASS","FAIL")</f>
        <v>PASS</v>
      </c>
      <c r="F267" s="9" t="s">
        <v>76</v>
      </c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customFormat="false" ht="15" hidden="false" customHeight="false" outlineLevel="0" collapsed="false">
      <c r="A268" s="9" t="s">
        <v>6111</v>
      </c>
      <c r="B268" s="9" t="s">
        <v>5870</v>
      </c>
      <c r="C268" s="9" t="s">
        <v>454</v>
      </c>
      <c r="D268" s="9" t="s">
        <v>5871</v>
      </c>
      <c r="E268" s="9" t="str">
        <f aca="false">IF(AND('Formation Ledger'!A247&lt;&gt;"",'Formation Ledger'!V247=0),"PASS","FAIL")</f>
        <v>PASS</v>
      </c>
      <c r="F268" s="9" t="s">
        <v>76</v>
      </c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customFormat="false" ht="15" hidden="false" customHeight="false" outlineLevel="0" collapsed="false">
      <c r="A269" s="9" t="s">
        <v>6112</v>
      </c>
      <c r="B269" s="9" t="s">
        <v>5870</v>
      </c>
      <c r="C269" s="9" t="s">
        <v>455</v>
      </c>
      <c r="D269" s="9" t="s">
        <v>5871</v>
      </c>
      <c r="E269" s="9" t="str">
        <f aca="false">IF(AND('Formation Ledger'!A248&lt;&gt;"",'Formation Ledger'!V248=0),"PASS","FAIL")</f>
        <v>PASS</v>
      </c>
      <c r="F269" s="9" t="s">
        <v>76</v>
      </c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customFormat="false" ht="15" hidden="false" customHeight="false" outlineLevel="0" collapsed="false">
      <c r="A270" s="9" t="s">
        <v>6113</v>
      </c>
      <c r="B270" s="9" t="s">
        <v>5870</v>
      </c>
      <c r="C270" s="9" t="s">
        <v>456</v>
      </c>
      <c r="D270" s="9" t="s">
        <v>5871</v>
      </c>
      <c r="E270" s="9" t="str">
        <f aca="false">IF(AND('Formation Ledger'!A249&lt;&gt;"",'Formation Ledger'!V249=0),"PASS","FAIL")</f>
        <v>PASS</v>
      </c>
      <c r="F270" s="9" t="s">
        <v>76</v>
      </c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customFormat="false" ht="15" hidden="false" customHeight="false" outlineLevel="0" collapsed="false">
      <c r="A271" s="9" t="s">
        <v>6114</v>
      </c>
      <c r="B271" s="9" t="s">
        <v>5870</v>
      </c>
      <c r="C271" s="9" t="s">
        <v>457</v>
      </c>
      <c r="D271" s="9" t="s">
        <v>5871</v>
      </c>
      <c r="E271" s="9" t="str">
        <f aca="false">IF(AND('Formation Ledger'!A250&lt;&gt;"",'Formation Ledger'!V250=0),"PASS","FAIL")</f>
        <v>PASS</v>
      </c>
      <c r="F271" s="9" t="s">
        <v>76</v>
      </c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customFormat="false" ht="15" hidden="false" customHeight="false" outlineLevel="0" collapsed="false">
      <c r="A272" s="9" t="s">
        <v>6115</v>
      </c>
      <c r="B272" s="9" t="s">
        <v>5870</v>
      </c>
      <c r="C272" s="9" t="s">
        <v>458</v>
      </c>
      <c r="D272" s="9" t="s">
        <v>5871</v>
      </c>
      <c r="E272" s="9" t="str">
        <f aca="false">IF(AND('Formation Ledger'!A251&lt;&gt;"",'Formation Ledger'!V251=0),"PASS","FAIL")</f>
        <v>PASS</v>
      </c>
      <c r="F272" s="9" t="s">
        <v>76</v>
      </c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customFormat="false" ht="15" hidden="false" customHeight="false" outlineLevel="0" collapsed="false">
      <c r="A273" s="9" t="s">
        <v>6116</v>
      </c>
      <c r="B273" s="9" t="s">
        <v>5870</v>
      </c>
      <c r="C273" s="9" t="s">
        <v>459</v>
      </c>
      <c r="D273" s="9" t="s">
        <v>5871</v>
      </c>
      <c r="E273" s="9" t="str">
        <f aca="false">IF(AND('Formation Ledger'!A252&lt;&gt;"",'Formation Ledger'!V252=0),"PASS","FAIL")</f>
        <v>PASS</v>
      </c>
      <c r="F273" s="9" t="s">
        <v>76</v>
      </c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customFormat="false" ht="15" hidden="false" customHeight="false" outlineLevel="0" collapsed="false">
      <c r="A274" s="9" t="s">
        <v>6117</v>
      </c>
      <c r="B274" s="9" t="s">
        <v>5870</v>
      </c>
      <c r="C274" s="9" t="s">
        <v>460</v>
      </c>
      <c r="D274" s="9" t="s">
        <v>5871</v>
      </c>
      <c r="E274" s="9" t="str">
        <f aca="false">IF(AND('Formation Ledger'!A253&lt;&gt;"",'Formation Ledger'!V253=0),"PASS","FAIL")</f>
        <v>PASS</v>
      </c>
      <c r="F274" s="9" t="s">
        <v>76</v>
      </c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customFormat="false" ht="15" hidden="false" customHeight="false" outlineLevel="0" collapsed="false">
      <c r="A275" s="9" t="s">
        <v>6118</v>
      </c>
      <c r="B275" s="9" t="s">
        <v>5870</v>
      </c>
      <c r="C275" s="9" t="s">
        <v>461</v>
      </c>
      <c r="D275" s="9" t="s">
        <v>5871</v>
      </c>
      <c r="E275" s="9" t="str">
        <f aca="false">IF(AND('Formation Ledger'!A254&lt;&gt;"",'Formation Ledger'!V254=0),"PASS","FAIL")</f>
        <v>PASS</v>
      </c>
      <c r="F275" s="9" t="s">
        <v>76</v>
      </c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customFormat="false" ht="15" hidden="false" customHeight="false" outlineLevel="0" collapsed="false">
      <c r="A276" s="9" t="s">
        <v>6119</v>
      </c>
      <c r="B276" s="9" t="s">
        <v>5870</v>
      </c>
      <c r="C276" s="9" t="s">
        <v>462</v>
      </c>
      <c r="D276" s="9" t="s">
        <v>5871</v>
      </c>
      <c r="E276" s="9" t="str">
        <f aca="false">IF(AND('Formation Ledger'!A255&lt;&gt;"",'Formation Ledger'!V255=0),"PASS","FAIL")</f>
        <v>PASS</v>
      </c>
      <c r="F276" s="9" t="s">
        <v>76</v>
      </c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customFormat="false" ht="15" hidden="false" customHeight="false" outlineLevel="0" collapsed="false">
      <c r="A277" s="9" t="s">
        <v>6120</v>
      </c>
      <c r="B277" s="9" t="s">
        <v>5870</v>
      </c>
      <c r="C277" s="9" t="s">
        <v>463</v>
      </c>
      <c r="D277" s="9" t="s">
        <v>5871</v>
      </c>
      <c r="E277" s="9" t="str">
        <f aca="false">IF(AND('Formation Ledger'!A256&lt;&gt;"",'Formation Ledger'!V256=0),"PASS","FAIL")</f>
        <v>PASS</v>
      </c>
      <c r="F277" s="9" t="s">
        <v>76</v>
      </c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customFormat="false" ht="15" hidden="false" customHeight="false" outlineLevel="0" collapsed="false">
      <c r="A278" s="9" t="s">
        <v>6121</v>
      </c>
      <c r="B278" s="9" t="s">
        <v>5870</v>
      </c>
      <c r="C278" s="9" t="s">
        <v>464</v>
      </c>
      <c r="D278" s="9" t="s">
        <v>5871</v>
      </c>
      <c r="E278" s="9" t="str">
        <f aca="false">IF(AND('Formation Ledger'!A257&lt;&gt;"",'Formation Ledger'!V257=0),"PASS","FAIL")</f>
        <v>PASS</v>
      </c>
      <c r="F278" s="9" t="s">
        <v>76</v>
      </c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customFormat="false" ht="15" hidden="false" customHeight="false" outlineLevel="0" collapsed="false">
      <c r="A279" s="9" t="s">
        <v>6122</v>
      </c>
      <c r="B279" s="9" t="s">
        <v>5870</v>
      </c>
      <c r="C279" s="9" t="s">
        <v>465</v>
      </c>
      <c r="D279" s="9" t="s">
        <v>5871</v>
      </c>
      <c r="E279" s="9" t="str">
        <f aca="false">IF(AND('Formation Ledger'!A258&lt;&gt;"",'Formation Ledger'!V258=0),"PASS","FAIL")</f>
        <v>PASS</v>
      </c>
      <c r="F279" s="9" t="s">
        <v>76</v>
      </c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customFormat="false" ht="15" hidden="false" customHeight="false" outlineLevel="0" collapsed="false">
      <c r="A280" s="9" t="s">
        <v>6123</v>
      </c>
      <c r="B280" s="9" t="s">
        <v>5870</v>
      </c>
      <c r="C280" s="9" t="s">
        <v>466</v>
      </c>
      <c r="D280" s="9" t="s">
        <v>5871</v>
      </c>
      <c r="E280" s="9" t="str">
        <f aca="false">IF(AND('Formation Ledger'!A259&lt;&gt;"",'Formation Ledger'!V259=0),"PASS","FAIL")</f>
        <v>PASS</v>
      </c>
      <c r="F280" s="9" t="s">
        <v>76</v>
      </c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customFormat="false" ht="15" hidden="false" customHeight="false" outlineLevel="0" collapsed="false">
      <c r="A281" s="9" t="s">
        <v>6124</v>
      </c>
      <c r="B281" s="9" t="s">
        <v>5870</v>
      </c>
      <c r="C281" s="9" t="s">
        <v>467</v>
      </c>
      <c r="D281" s="9" t="s">
        <v>5871</v>
      </c>
      <c r="E281" s="9" t="str">
        <f aca="false">IF(AND('Formation Ledger'!A260&lt;&gt;"",'Formation Ledger'!V260=0),"PASS","FAIL")</f>
        <v>PASS</v>
      </c>
      <c r="F281" s="9" t="s">
        <v>76</v>
      </c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customFormat="false" ht="15" hidden="false" customHeight="false" outlineLevel="0" collapsed="false">
      <c r="A282" s="9" t="s">
        <v>6125</v>
      </c>
      <c r="B282" s="9" t="s">
        <v>5870</v>
      </c>
      <c r="C282" s="9" t="s">
        <v>468</v>
      </c>
      <c r="D282" s="9" t="s">
        <v>5871</v>
      </c>
      <c r="E282" s="9" t="str">
        <f aca="false">IF(AND('Formation Ledger'!A261&lt;&gt;"",'Formation Ledger'!V261=0),"PASS","FAIL")</f>
        <v>PASS</v>
      </c>
      <c r="F282" s="9" t="s">
        <v>76</v>
      </c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customFormat="false" ht="15" hidden="false" customHeight="false" outlineLevel="0" collapsed="false">
      <c r="A283" s="9" t="s">
        <v>6126</v>
      </c>
      <c r="B283" s="9" t="s">
        <v>5870</v>
      </c>
      <c r="C283" s="9" t="s">
        <v>469</v>
      </c>
      <c r="D283" s="9" t="s">
        <v>5871</v>
      </c>
      <c r="E283" s="9" t="str">
        <f aca="false">IF(AND('Formation Ledger'!A262&lt;&gt;"",'Formation Ledger'!V262=0),"PASS","FAIL")</f>
        <v>PASS</v>
      </c>
      <c r="F283" s="9" t="s">
        <v>76</v>
      </c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customFormat="false" ht="15" hidden="false" customHeight="false" outlineLevel="0" collapsed="false">
      <c r="A284" s="9" t="s">
        <v>6127</v>
      </c>
      <c r="B284" s="9" t="s">
        <v>5870</v>
      </c>
      <c r="C284" s="9" t="s">
        <v>470</v>
      </c>
      <c r="D284" s="9" t="s">
        <v>5871</v>
      </c>
      <c r="E284" s="9" t="str">
        <f aca="false">IF(AND('Formation Ledger'!A263&lt;&gt;"",'Formation Ledger'!V263=0),"PASS","FAIL")</f>
        <v>PASS</v>
      </c>
      <c r="F284" s="9" t="s">
        <v>76</v>
      </c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customFormat="false" ht="15" hidden="false" customHeight="false" outlineLevel="0" collapsed="false">
      <c r="A285" s="9" t="s">
        <v>6128</v>
      </c>
      <c r="B285" s="9" t="s">
        <v>5870</v>
      </c>
      <c r="C285" s="9" t="s">
        <v>471</v>
      </c>
      <c r="D285" s="9" t="s">
        <v>5871</v>
      </c>
      <c r="E285" s="9" t="str">
        <f aca="false">IF(AND('Formation Ledger'!A264&lt;&gt;"",'Formation Ledger'!V264=0),"PASS","FAIL")</f>
        <v>PASS</v>
      </c>
      <c r="F285" s="9" t="s">
        <v>76</v>
      </c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customFormat="false" ht="15" hidden="false" customHeight="false" outlineLevel="0" collapsed="false">
      <c r="A286" s="9" t="s">
        <v>6129</v>
      </c>
      <c r="B286" s="9" t="s">
        <v>5870</v>
      </c>
      <c r="C286" s="9" t="s">
        <v>472</v>
      </c>
      <c r="D286" s="9" t="s">
        <v>5871</v>
      </c>
      <c r="E286" s="9" t="str">
        <f aca="false">IF(AND('Formation Ledger'!A265&lt;&gt;"",'Formation Ledger'!V265=0),"PASS","FAIL")</f>
        <v>PASS</v>
      </c>
      <c r="F286" s="9" t="s">
        <v>76</v>
      </c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customFormat="false" ht="15" hidden="false" customHeight="false" outlineLevel="0" collapsed="false">
      <c r="A287" s="9" t="s">
        <v>6130</v>
      </c>
      <c r="B287" s="9" t="s">
        <v>5870</v>
      </c>
      <c r="C287" s="9" t="s">
        <v>473</v>
      </c>
      <c r="D287" s="9" t="s">
        <v>5871</v>
      </c>
      <c r="E287" s="9" t="str">
        <f aca="false">IF(AND('Formation Ledger'!A266&lt;&gt;"",'Formation Ledger'!V266=0),"PASS","FAIL")</f>
        <v>PASS</v>
      </c>
      <c r="F287" s="9" t="s">
        <v>76</v>
      </c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customFormat="false" ht="15" hidden="false" customHeight="false" outlineLevel="0" collapsed="false">
      <c r="A288" s="9" t="s">
        <v>6131</v>
      </c>
      <c r="B288" s="9" t="s">
        <v>5870</v>
      </c>
      <c r="C288" s="9" t="s">
        <v>474</v>
      </c>
      <c r="D288" s="9" t="s">
        <v>5871</v>
      </c>
      <c r="E288" s="9" t="str">
        <f aca="false">IF(AND('Formation Ledger'!A267&lt;&gt;"",'Formation Ledger'!V267=0),"PASS","FAIL")</f>
        <v>PASS</v>
      </c>
      <c r="F288" s="9" t="s">
        <v>76</v>
      </c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customFormat="false" ht="15" hidden="false" customHeight="false" outlineLevel="0" collapsed="false">
      <c r="A289" s="9" t="s">
        <v>6132</v>
      </c>
      <c r="B289" s="9" t="s">
        <v>5870</v>
      </c>
      <c r="C289" s="9" t="s">
        <v>475</v>
      </c>
      <c r="D289" s="9" t="s">
        <v>5871</v>
      </c>
      <c r="E289" s="9" t="str">
        <f aca="false">IF(AND('Formation Ledger'!A268&lt;&gt;"",'Formation Ledger'!V268=0),"PASS","FAIL")</f>
        <v>PASS</v>
      </c>
      <c r="F289" s="9" t="s">
        <v>76</v>
      </c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customFormat="false" ht="15" hidden="false" customHeight="false" outlineLevel="0" collapsed="false">
      <c r="A290" s="9" t="s">
        <v>6133</v>
      </c>
      <c r="B290" s="9" t="s">
        <v>5870</v>
      </c>
      <c r="C290" s="9" t="s">
        <v>476</v>
      </c>
      <c r="D290" s="9" t="s">
        <v>5871</v>
      </c>
      <c r="E290" s="9" t="str">
        <f aca="false">IF(AND('Formation Ledger'!A269&lt;&gt;"",'Formation Ledger'!V269=0),"PASS","FAIL")</f>
        <v>PASS</v>
      </c>
      <c r="F290" s="9" t="s">
        <v>76</v>
      </c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customFormat="false" ht="15" hidden="false" customHeight="false" outlineLevel="0" collapsed="false">
      <c r="A291" s="9" t="s">
        <v>6134</v>
      </c>
      <c r="B291" s="9" t="s">
        <v>5870</v>
      </c>
      <c r="C291" s="9" t="s">
        <v>477</v>
      </c>
      <c r="D291" s="9" t="s">
        <v>5871</v>
      </c>
      <c r="E291" s="9" t="str">
        <f aca="false">IF(AND('Formation Ledger'!A270&lt;&gt;"",'Formation Ledger'!V270=0),"PASS","FAIL")</f>
        <v>PASS</v>
      </c>
      <c r="F291" s="9" t="s">
        <v>76</v>
      </c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customFormat="false" ht="15" hidden="false" customHeight="false" outlineLevel="0" collapsed="false">
      <c r="A292" s="9" t="s">
        <v>6135</v>
      </c>
      <c r="B292" s="9" t="s">
        <v>5870</v>
      </c>
      <c r="C292" s="9" t="s">
        <v>478</v>
      </c>
      <c r="D292" s="9" t="s">
        <v>5871</v>
      </c>
      <c r="E292" s="9" t="str">
        <f aca="false">IF(AND('Formation Ledger'!A271&lt;&gt;"",'Formation Ledger'!V271=0),"PASS","FAIL")</f>
        <v>PASS</v>
      </c>
      <c r="F292" s="9" t="s">
        <v>76</v>
      </c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customFormat="false" ht="15" hidden="false" customHeight="false" outlineLevel="0" collapsed="false">
      <c r="A293" s="9" t="s">
        <v>6136</v>
      </c>
      <c r="B293" s="9" t="s">
        <v>5870</v>
      </c>
      <c r="C293" s="9" t="s">
        <v>479</v>
      </c>
      <c r="D293" s="9" t="s">
        <v>5871</v>
      </c>
      <c r="E293" s="9" t="str">
        <f aca="false">IF(AND('Formation Ledger'!A272&lt;&gt;"",'Formation Ledger'!V272=0),"PASS","FAIL")</f>
        <v>PASS</v>
      </c>
      <c r="F293" s="9" t="s">
        <v>76</v>
      </c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customFormat="false" ht="15" hidden="false" customHeight="false" outlineLevel="0" collapsed="false">
      <c r="A294" s="9" t="s">
        <v>6137</v>
      </c>
      <c r="B294" s="9" t="s">
        <v>5870</v>
      </c>
      <c r="C294" s="9" t="s">
        <v>480</v>
      </c>
      <c r="D294" s="9" t="s">
        <v>5871</v>
      </c>
      <c r="E294" s="9" t="str">
        <f aca="false">IF(AND('Formation Ledger'!A273&lt;&gt;"",'Formation Ledger'!V273=0),"PASS","FAIL")</f>
        <v>PASS</v>
      </c>
      <c r="F294" s="9" t="s">
        <v>76</v>
      </c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customFormat="false" ht="15" hidden="false" customHeight="false" outlineLevel="0" collapsed="false">
      <c r="A295" s="9" t="s">
        <v>6138</v>
      </c>
      <c r="B295" s="9" t="s">
        <v>5870</v>
      </c>
      <c r="C295" s="9" t="s">
        <v>481</v>
      </c>
      <c r="D295" s="9" t="s">
        <v>5871</v>
      </c>
      <c r="E295" s="9" t="str">
        <f aca="false">IF(AND('Formation Ledger'!A274&lt;&gt;"",'Formation Ledger'!V274=0),"PASS","FAIL")</f>
        <v>PASS</v>
      </c>
      <c r="F295" s="9" t="s">
        <v>76</v>
      </c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customFormat="false" ht="15" hidden="false" customHeight="false" outlineLevel="0" collapsed="false">
      <c r="A296" s="9" t="s">
        <v>6139</v>
      </c>
      <c r="B296" s="9" t="s">
        <v>5870</v>
      </c>
      <c r="C296" s="9" t="s">
        <v>482</v>
      </c>
      <c r="D296" s="9" t="s">
        <v>5871</v>
      </c>
      <c r="E296" s="9" t="str">
        <f aca="false">IF(AND('Formation Ledger'!A275&lt;&gt;"",'Formation Ledger'!V275=0),"PASS","FAIL")</f>
        <v>PASS</v>
      </c>
      <c r="F296" s="9" t="s">
        <v>76</v>
      </c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customFormat="false" ht="15" hidden="false" customHeight="false" outlineLevel="0" collapsed="false">
      <c r="A297" s="9" t="s">
        <v>6140</v>
      </c>
      <c r="B297" s="9" t="s">
        <v>5870</v>
      </c>
      <c r="C297" s="9" t="s">
        <v>483</v>
      </c>
      <c r="D297" s="9" t="s">
        <v>5871</v>
      </c>
      <c r="E297" s="9" t="str">
        <f aca="false">IF(AND('Formation Ledger'!A276&lt;&gt;"",'Formation Ledger'!V276=0),"PASS","FAIL")</f>
        <v>PASS</v>
      </c>
      <c r="F297" s="9" t="s">
        <v>76</v>
      </c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customFormat="false" ht="15" hidden="false" customHeight="false" outlineLevel="0" collapsed="false">
      <c r="A298" s="9" t="s">
        <v>6141</v>
      </c>
      <c r="B298" s="9" t="s">
        <v>5870</v>
      </c>
      <c r="C298" s="9" t="s">
        <v>484</v>
      </c>
      <c r="D298" s="9" t="s">
        <v>5871</v>
      </c>
      <c r="E298" s="9" t="str">
        <f aca="false">IF(AND('Formation Ledger'!A277&lt;&gt;"",'Formation Ledger'!V277=0),"PASS","FAIL")</f>
        <v>PASS</v>
      </c>
      <c r="F298" s="9" t="s">
        <v>76</v>
      </c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customFormat="false" ht="15" hidden="false" customHeight="false" outlineLevel="0" collapsed="false">
      <c r="A299" s="9" t="s">
        <v>6142</v>
      </c>
      <c r="B299" s="9" t="s">
        <v>5870</v>
      </c>
      <c r="C299" s="9" t="s">
        <v>485</v>
      </c>
      <c r="D299" s="9" t="s">
        <v>5871</v>
      </c>
      <c r="E299" s="9" t="str">
        <f aca="false">IF(AND('Formation Ledger'!A278&lt;&gt;"",'Formation Ledger'!V278=0),"PASS","FAIL")</f>
        <v>PASS</v>
      </c>
      <c r="F299" s="9" t="s">
        <v>76</v>
      </c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customFormat="false" ht="15" hidden="false" customHeight="false" outlineLevel="0" collapsed="false">
      <c r="A300" s="9" t="s">
        <v>6143</v>
      </c>
      <c r="B300" s="9" t="s">
        <v>5870</v>
      </c>
      <c r="C300" s="9" t="s">
        <v>486</v>
      </c>
      <c r="D300" s="9" t="s">
        <v>5871</v>
      </c>
      <c r="E300" s="9" t="str">
        <f aca="false">IF(AND('Formation Ledger'!A279&lt;&gt;"",'Formation Ledger'!V279=0),"PASS","FAIL")</f>
        <v>PASS</v>
      </c>
      <c r="F300" s="9" t="s">
        <v>76</v>
      </c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customFormat="false" ht="15" hidden="false" customHeight="false" outlineLevel="0" collapsed="false">
      <c r="A301" s="9" t="s">
        <v>6144</v>
      </c>
      <c r="B301" s="9" t="s">
        <v>5870</v>
      </c>
      <c r="C301" s="9" t="s">
        <v>487</v>
      </c>
      <c r="D301" s="9" t="s">
        <v>5871</v>
      </c>
      <c r="E301" s="9" t="str">
        <f aca="false">IF(AND('Formation Ledger'!A280&lt;&gt;"",'Formation Ledger'!V280=0),"PASS","FAIL")</f>
        <v>PASS</v>
      </c>
      <c r="F301" s="9" t="s">
        <v>76</v>
      </c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customFormat="false" ht="15" hidden="false" customHeight="false" outlineLevel="0" collapsed="false">
      <c r="A302" s="9" t="s">
        <v>6145</v>
      </c>
      <c r="B302" s="9" t="s">
        <v>5870</v>
      </c>
      <c r="C302" s="9" t="s">
        <v>488</v>
      </c>
      <c r="D302" s="9" t="s">
        <v>5871</v>
      </c>
      <c r="E302" s="9" t="str">
        <f aca="false">IF(AND('Formation Ledger'!A281&lt;&gt;"",'Formation Ledger'!V281=0),"PASS","FAIL")</f>
        <v>PASS</v>
      </c>
      <c r="F302" s="9" t="s">
        <v>76</v>
      </c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customFormat="false" ht="15" hidden="false" customHeight="false" outlineLevel="0" collapsed="false">
      <c r="A303" s="9" t="s">
        <v>6146</v>
      </c>
      <c r="B303" s="9" t="s">
        <v>5870</v>
      </c>
      <c r="C303" s="9" t="s">
        <v>489</v>
      </c>
      <c r="D303" s="9" t="s">
        <v>5871</v>
      </c>
      <c r="E303" s="9" t="str">
        <f aca="false">IF(AND('Formation Ledger'!A282&lt;&gt;"",'Formation Ledger'!V282=0),"PASS","FAIL")</f>
        <v>PASS</v>
      </c>
      <c r="F303" s="9" t="s">
        <v>76</v>
      </c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customFormat="false" ht="15" hidden="false" customHeight="false" outlineLevel="0" collapsed="false">
      <c r="A304" s="9" t="s">
        <v>6147</v>
      </c>
      <c r="B304" s="9" t="s">
        <v>5870</v>
      </c>
      <c r="C304" s="9" t="s">
        <v>490</v>
      </c>
      <c r="D304" s="9" t="s">
        <v>5871</v>
      </c>
      <c r="E304" s="9" t="str">
        <f aca="false">IF(AND('Formation Ledger'!A283&lt;&gt;"",'Formation Ledger'!V283=0),"PASS","FAIL")</f>
        <v>PASS</v>
      </c>
      <c r="F304" s="9" t="s">
        <v>76</v>
      </c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customFormat="false" ht="15" hidden="false" customHeight="false" outlineLevel="0" collapsed="false">
      <c r="A305" s="9" t="s">
        <v>6148</v>
      </c>
      <c r="B305" s="9" t="s">
        <v>5870</v>
      </c>
      <c r="C305" s="9" t="s">
        <v>491</v>
      </c>
      <c r="D305" s="9" t="s">
        <v>5871</v>
      </c>
      <c r="E305" s="9" t="str">
        <f aca="false">IF(AND('Formation Ledger'!A284&lt;&gt;"",'Formation Ledger'!V284=0),"PASS","FAIL")</f>
        <v>PASS</v>
      </c>
      <c r="F305" s="9" t="s">
        <v>76</v>
      </c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customFormat="false" ht="15" hidden="false" customHeight="false" outlineLevel="0" collapsed="false">
      <c r="A306" s="9" t="s">
        <v>6149</v>
      </c>
      <c r="B306" s="9" t="s">
        <v>5870</v>
      </c>
      <c r="C306" s="9" t="s">
        <v>492</v>
      </c>
      <c r="D306" s="9" t="s">
        <v>5871</v>
      </c>
      <c r="E306" s="9" t="str">
        <f aca="false">IF(AND('Formation Ledger'!A285&lt;&gt;"",'Formation Ledger'!V285=0),"PASS","FAIL")</f>
        <v>PASS</v>
      </c>
      <c r="F306" s="9" t="s">
        <v>76</v>
      </c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customFormat="false" ht="15" hidden="false" customHeight="false" outlineLevel="0" collapsed="false">
      <c r="A307" s="9" t="s">
        <v>6150</v>
      </c>
      <c r="B307" s="9" t="s">
        <v>5870</v>
      </c>
      <c r="C307" s="9" t="s">
        <v>493</v>
      </c>
      <c r="D307" s="9" t="s">
        <v>5871</v>
      </c>
      <c r="E307" s="9" t="str">
        <f aca="false">IF(AND('Formation Ledger'!A286&lt;&gt;"",'Formation Ledger'!V286=0),"PASS","FAIL")</f>
        <v>PASS</v>
      </c>
      <c r="F307" s="9" t="s">
        <v>76</v>
      </c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customFormat="false" ht="15" hidden="false" customHeight="false" outlineLevel="0" collapsed="false">
      <c r="A308" s="9" t="s">
        <v>6151</v>
      </c>
      <c r="B308" s="9" t="s">
        <v>5870</v>
      </c>
      <c r="C308" s="9" t="s">
        <v>494</v>
      </c>
      <c r="D308" s="9" t="s">
        <v>5871</v>
      </c>
      <c r="E308" s="9" t="str">
        <f aca="false">IF(AND('Formation Ledger'!A287&lt;&gt;"",'Formation Ledger'!V287=0),"PASS","FAIL")</f>
        <v>PASS</v>
      </c>
      <c r="F308" s="9" t="s">
        <v>76</v>
      </c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customFormat="false" ht="15" hidden="false" customHeight="false" outlineLevel="0" collapsed="false">
      <c r="A309" s="9" t="s">
        <v>6152</v>
      </c>
      <c r="B309" s="9" t="s">
        <v>5870</v>
      </c>
      <c r="C309" s="9" t="s">
        <v>495</v>
      </c>
      <c r="D309" s="9" t="s">
        <v>5871</v>
      </c>
      <c r="E309" s="9" t="str">
        <f aca="false">IF(AND('Formation Ledger'!A288&lt;&gt;"",'Formation Ledger'!V288=0),"PASS","FAIL")</f>
        <v>PASS</v>
      </c>
      <c r="F309" s="9" t="s">
        <v>76</v>
      </c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customFormat="false" ht="15" hidden="false" customHeight="false" outlineLevel="0" collapsed="false">
      <c r="A310" s="9" t="s">
        <v>6153</v>
      </c>
      <c r="B310" s="9" t="s">
        <v>5870</v>
      </c>
      <c r="C310" s="9" t="s">
        <v>496</v>
      </c>
      <c r="D310" s="9" t="s">
        <v>5871</v>
      </c>
      <c r="E310" s="9" t="str">
        <f aca="false">IF(AND('Formation Ledger'!A289&lt;&gt;"",'Formation Ledger'!V289=0),"PASS","FAIL")</f>
        <v>PASS</v>
      </c>
      <c r="F310" s="9" t="s">
        <v>76</v>
      </c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customFormat="false" ht="15" hidden="false" customHeight="false" outlineLevel="0" collapsed="false">
      <c r="A311" s="9" t="s">
        <v>6154</v>
      </c>
      <c r="B311" s="9" t="s">
        <v>5870</v>
      </c>
      <c r="C311" s="9" t="s">
        <v>497</v>
      </c>
      <c r="D311" s="9" t="s">
        <v>5871</v>
      </c>
      <c r="E311" s="9" t="str">
        <f aca="false">IF(AND('Formation Ledger'!A290&lt;&gt;"",'Formation Ledger'!V290=0),"PASS","FAIL")</f>
        <v>PASS</v>
      </c>
      <c r="F311" s="9" t="s">
        <v>76</v>
      </c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customFormat="false" ht="15" hidden="false" customHeight="false" outlineLevel="0" collapsed="false">
      <c r="A312" s="9" t="s">
        <v>6155</v>
      </c>
      <c r="B312" s="9" t="s">
        <v>5870</v>
      </c>
      <c r="C312" s="9" t="s">
        <v>498</v>
      </c>
      <c r="D312" s="9" t="s">
        <v>5871</v>
      </c>
      <c r="E312" s="9" t="str">
        <f aca="false">IF(AND('Formation Ledger'!A291&lt;&gt;"",'Formation Ledger'!V291=0),"PASS","FAIL")</f>
        <v>PASS</v>
      </c>
      <c r="F312" s="9" t="s">
        <v>76</v>
      </c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customFormat="false" ht="15" hidden="false" customHeight="false" outlineLevel="0" collapsed="false">
      <c r="A313" s="9" t="s">
        <v>6156</v>
      </c>
      <c r="B313" s="9" t="s">
        <v>5870</v>
      </c>
      <c r="C313" s="9" t="s">
        <v>499</v>
      </c>
      <c r="D313" s="9" t="s">
        <v>5871</v>
      </c>
      <c r="E313" s="9" t="str">
        <f aca="false">IF(AND('Formation Ledger'!A292&lt;&gt;"",'Formation Ledger'!V292=0),"PASS","FAIL")</f>
        <v>PASS</v>
      </c>
      <c r="F313" s="9" t="s">
        <v>76</v>
      </c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customFormat="false" ht="15" hidden="false" customHeight="false" outlineLevel="0" collapsed="false">
      <c r="A314" s="9" t="s">
        <v>6157</v>
      </c>
      <c r="B314" s="9" t="s">
        <v>5870</v>
      </c>
      <c r="C314" s="9" t="s">
        <v>500</v>
      </c>
      <c r="D314" s="9" t="s">
        <v>5871</v>
      </c>
      <c r="E314" s="9" t="str">
        <f aca="false">IF(AND('Formation Ledger'!A293&lt;&gt;"",'Formation Ledger'!V293=0),"PASS","FAIL")</f>
        <v>PASS</v>
      </c>
      <c r="F314" s="9" t="s">
        <v>76</v>
      </c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customFormat="false" ht="15" hidden="false" customHeight="false" outlineLevel="0" collapsed="false">
      <c r="A315" s="9" t="s">
        <v>6158</v>
      </c>
      <c r="B315" s="9" t="s">
        <v>5870</v>
      </c>
      <c r="C315" s="9" t="s">
        <v>501</v>
      </c>
      <c r="D315" s="9" t="s">
        <v>5871</v>
      </c>
      <c r="E315" s="9" t="str">
        <f aca="false">IF(AND('Formation Ledger'!A294&lt;&gt;"",'Formation Ledger'!V294=0),"PASS","FAIL")</f>
        <v>PASS</v>
      </c>
      <c r="F315" s="9" t="s">
        <v>76</v>
      </c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customFormat="false" ht="15" hidden="false" customHeight="false" outlineLevel="0" collapsed="false">
      <c r="A316" s="9" t="s">
        <v>6159</v>
      </c>
      <c r="B316" s="9" t="s">
        <v>5870</v>
      </c>
      <c r="C316" s="9" t="s">
        <v>502</v>
      </c>
      <c r="D316" s="9" t="s">
        <v>5871</v>
      </c>
      <c r="E316" s="9" t="str">
        <f aca="false">IF(AND('Formation Ledger'!A295&lt;&gt;"",'Formation Ledger'!V295=0),"PASS","FAIL")</f>
        <v>PASS</v>
      </c>
      <c r="F316" s="9" t="s">
        <v>76</v>
      </c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customFormat="false" ht="15" hidden="false" customHeight="false" outlineLevel="0" collapsed="false">
      <c r="A317" s="9" t="s">
        <v>6160</v>
      </c>
      <c r="B317" s="9" t="s">
        <v>5870</v>
      </c>
      <c r="C317" s="9" t="s">
        <v>503</v>
      </c>
      <c r="D317" s="9" t="s">
        <v>5871</v>
      </c>
      <c r="E317" s="9" t="str">
        <f aca="false">IF(AND('Formation Ledger'!A296&lt;&gt;"",'Formation Ledger'!V296=0),"PASS","FAIL")</f>
        <v>PASS</v>
      </c>
      <c r="F317" s="9" t="s">
        <v>76</v>
      </c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customFormat="false" ht="15" hidden="false" customHeight="false" outlineLevel="0" collapsed="false">
      <c r="A318" s="9" t="s">
        <v>6161</v>
      </c>
      <c r="B318" s="9" t="s">
        <v>5870</v>
      </c>
      <c r="C318" s="9" t="s">
        <v>506</v>
      </c>
      <c r="D318" s="9" t="s">
        <v>5871</v>
      </c>
      <c r="E318" s="9" t="str">
        <f aca="false">IF(AND('Formation Ledger'!A297&lt;&gt;"",'Formation Ledger'!V297=0),"PASS","FAIL")</f>
        <v>PASS</v>
      </c>
      <c r="F318" s="9" t="s">
        <v>76</v>
      </c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customFormat="false" ht="15" hidden="false" customHeight="false" outlineLevel="0" collapsed="false">
      <c r="A319" s="9" t="s">
        <v>6162</v>
      </c>
      <c r="B319" s="9" t="s">
        <v>5870</v>
      </c>
      <c r="C319" s="9" t="s">
        <v>507</v>
      </c>
      <c r="D319" s="9" t="s">
        <v>5871</v>
      </c>
      <c r="E319" s="9" t="str">
        <f aca="false">IF(AND('Formation Ledger'!A298&lt;&gt;"",'Formation Ledger'!V298=0),"PASS","FAIL")</f>
        <v>PASS</v>
      </c>
      <c r="F319" s="9" t="s">
        <v>76</v>
      </c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customFormat="false" ht="15" hidden="false" customHeight="false" outlineLevel="0" collapsed="false">
      <c r="A320" s="9" t="s">
        <v>6163</v>
      </c>
      <c r="B320" s="9" t="s">
        <v>5870</v>
      </c>
      <c r="C320" s="9" t="s">
        <v>508</v>
      </c>
      <c r="D320" s="9" t="s">
        <v>5871</v>
      </c>
      <c r="E320" s="9" t="str">
        <f aca="false">IF(AND('Formation Ledger'!A299&lt;&gt;"",'Formation Ledger'!V299=0),"PASS","FAIL")</f>
        <v>PASS</v>
      </c>
      <c r="F320" s="9" t="s">
        <v>76</v>
      </c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customFormat="false" ht="15" hidden="false" customHeight="false" outlineLevel="0" collapsed="false">
      <c r="A321" s="9" t="s">
        <v>6164</v>
      </c>
      <c r="B321" s="9" t="s">
        <v>5870</v>
      </c>
      <c r="C321" s="9" t="s">
        <v>509</v>
      </c>
      <c r="D321" s="9" t="s">
        <v>5871</v>
      </c>
      <c r="E321" s="9" t="str">
        <f aca="false">IF(AND('Formation Ledger'!A300&lt;&gt;"",'Formation Ledger'!V300=0),"PASS","FAIL")</f>
        <v>PASS</v>
      </c>
      <c r="F321" s="9" t="s">
        <v>76</v>
      </c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customFormat="false" ht="15" hidden="false" customHeight="false" outlineLevel="0" collapsed="false">
      <c r="A322" s="9" t="s">
        <v>6165</v>
      </c>
      <c r="B322" s="9" t="s">
        <v>5870</v>
      </c>
      <c r="C322" s="9" t="s">
        <v>510</v>
      </c>
      <c r="D322" s="9" t="s">
        <v>5871</v>
      </c>
      <c r="E322" s="9" t="str">
        <f aca="false">IF(AND('Formation Ledger'!A301&lt;&gt;"",'Formation Ledger'!V301=0),"PASS","FAIL")</f>
        <v>PASS</v>
      </c>
      <c r="F322" s="9" t="s">
        <v>76</v>
      </c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customFormat="false" ht="15" hidden="false" customHeight="false" outlineLevel="0" collapsed="false">
      <c r="A323" s="9" t="s">
        <v>6166</v>
      </c>
      <c r="B323" s="9" t="s">
        <v>5870</v>
      </c>
      <c r="C323" s="9" t="s">
        <v>511</v>
      </c>
      <c r="D323" s="9" t="s">
        <v>5871</v>
      </c>
      <c r="E323" s="9" t="str">
        <f aca="false">IF(AND('Formation Ledger'!A302&lt;&gt;"",'Formation Ledger'!V302=0),"PASS","FAIL")</f>
        <v>PASS</v>
      </c>
      <c r="F323" s="9" t="s">
        <v>76</v>
      </c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customFormat="false" ht="15" hidden="false" customHeight="false" outlineLevel="0" collapsed="false">
      <c r="A324" s="9" t="s">
        <v>6167</v>
      </c>
      <c r="B324" s="9" t="s">
        <v>5870</v>
      </c>
      <c r="C324" s="9" t="s">
        <v>512</v>
      </c>
      <c r="D324" s="9" t="s">
        <v>5871</v>
      </c>
      <c r="E324" s="9" t="str">
        <f aca="false">IF(AND('Formation Ledger'!A303&lt;&gt;"",'Formation Ledger'!V303=0),"PASS","FAIL")</f>
        <v>PASS</v>
      </c>
      <c r="F324" s="9" t="s">
        <v>76</v>
      </c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customFormat="false" ht="15" hidden="false" customHeight="false" outlineLevel="0" collapsed="false">
      <c r="A325" s="9" t="s">
        <v>6168</v>
      </c>
      <c r="B325" s="9" t="s">
        <v>5870</v>
      </c>
      <c r="C325" s="9" t="s">
        <v>513</v>
      </c>
      <c r="D325" s="9" t="s">
        <v>5871</v>
      </c>
      <c r="E325" s="9" t="str">
        <f aca="false">IF(AND('Formation Ledger'!A304&lt;&gt;"",'Formation Ledger'!V304=0),"PASS","FAIL")</f>
        <v>PASS</v>
      </c>
      <c r="F325" s="9" t="s">
        <v>76</v>
      </c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customFormat="false" ht="15" hidden="false" customHeight="false" outlineLevel="0" collapsed="false">
      <c r="A326" s="9" t="s">
        <v>6169</v>
      </c>
      <c r="B326" s="9" t="s">
        <v>5870</v>
      </c>
      <c r="C326" s="9" t="s">
        <v>514</v>
      </c>
      <c r="D326" s="9" t="s">
        <v>5871</v>
      </c>
      <c r="E326" s="9" t="str">
        <f aca="false">IF(AND('Formation Ledger'!A305&lt;&gt;"",'Formation Ledger'!V305=0),"PASS","FAIL")</f>
        <v>PASS</v>
      </c>
      <c r="F326" s="9" t="s">
        <v>76</v>
      </c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customFormat="false" ht="15" hidden="false" customHeight="false" outlineLevel="0" collapsed="false">
      <c r="A327" s="9" t="s">
        <v>6170</v>
      </c>
      <c r="B327" s="9" t="s">
        <v>5870</v>
      </c>
      <c r="C327" s="9" t="s">
        <v>515</v>
      </c>
      <c r="D327" s="9" t="s">
        <v>5871</v>
      </c>
      <c r="E327" s="9" t="str">
        <f aca="false">IF(AND('Formation Ledger'!A306&lt;&gt;"",'Formation Ledger'!V306=0),"PASS","FAIL")</f>
        <v>PASS</v>
      </c>
      <c r="F327" s="9" t="s">
        <v>76</v>
      </c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customFormat="false" ht="15" hidden="false" customHeight="false" outlineLevel="0" collapsed="false">
      <c r="A328" s="9" t="s">
        <v>6171</v>
      </c>
      <c r="B328" s="9" t="s">
        <v>5870</v>
      </c>
      <c r="C328" s="9" t="s">
        <v>516</v>
      </c>
      <c r="D328" s="9" t="s">
        <v>5871</v>
      </c>
      <c r="E328" s="9" t="str">
        <f aca="false">IF(AND('Formation Ledger'!A307&lt;&gt;"",'Formation Ledger'!V307=0),"PASS","FAIL")</f>
        <v>PASS</v>
      </c>
      <c r="F328" s="9" t="s">
        <v>76</v>
      </c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customFormat="false" ht="15" hidden="false" customHeight="false" outlineLevel="0" collapsed="false">
      <c r="A329" s="9" t="s">
        <v>6172</v>
      </c>
      <c r="B329" s="9" t="s">
        <v>5870</v>
      </c>
      <c r="C329" s="9" t="s">
        <v>517</v>
      </c>
      <c r="D329" s="9" t="s">
        <v>5871</v>
      </c>
      <c r="E329" s="9" t="str">
        <f aca="false">IF(AND('Formation Ledger'!A308&lt;&gt;"",'Formation Ledger'!V308=0),"PASS","FAIL")</f>
        <v>PASS</v>
      </c>
      <c r="F329" s="9" t="s">
        <v>76</v>
      </c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customFormat="false" ht="15" hidden="false" customHeight="false" outlineLevel="0" collapsed="false">
      <c r="A330" s="9" t="s">
        <v>6173</v>
      </c>
      <c r="B330" s="9" t="s">
        <v>5870</v>
      </c>
      <c r="C330" s="9" t="s">
        <v>518</v>
      </c>
      <c r="D330" s="9" t="s">
        <v>5871</v>
      </c>
      <c r="E330" s="9" t="str">
        <f aca="false">IF(AND('Formation Ledger'!A309&lt;&gt;"",'Formation Ledger'!V309=0),"PASS","FAIL")</f>
        <v>PASS</v>
      </c>
      <c r="F330" s="9" t="s">
        <v>76</v>
      </c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customFormat="false" ht="15" hidden="false" customHeight="false" outlineLevel="0" collapsed="false">
      <c r="A331" s="9" t="s">
        <v>6174</v>
      </c>
      <c r="B331" s="9" t="s">
        <v>5870</v>
      </c>
      <c r="C331" s="9" t="s">
        <v>519</v>
      </c>
      <c r="D331" s="9" t="s">
        <v>5871</v>
      </c>
      <c r="E331" s="9" t="str">
        <f aca="false">IF(AND('Formation Ledger'!A310&lt;&gt;"",'Formation Ledger'!V310=0),"PASS","FAIL")</f>
        <v>PASS</v>
      </c>
      <c r="F331" s="9" t="s">
        <v>76</v>
      </c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customFormat="false" ht="15" hidden="false" customHeight="false" outlineLevel="0" collapsed="false">
      <c r="A332" s="9" t="s">
        <v>6175</v>
      </c>
      <c r="B332" s="9" t="s">
        <v>5870</v>
      </c>
      <c r="C332" s="9" t="s">
        <v>520</v>
      </c>
      <c r="D332" s="9" t="s">
        <v>5871</v>
      </c>
      <c r="E332" s="9" t="str">
        <f aca="false">IF(AND('Formation Ledger'!A311&lt;&gt;"",'Formation Ledger'!V311=0),"PASS","FAIL")</f>
        <v>PASS</v>
      </c>
      <c r="F332" s="9" t="s">
        <v>76</v>
      </c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customFormat="false" ht="15" hidden="false" customHeight="false" outlineLevel="0" collapsed="false">
      <c r="A333" s="9" t="s">
        <v>6176</v>
      </c>
      <c r="B333" s="9" t="s">
        <v>5870</v>
      </c>
      <c r="C333" s="9" t="s">
        <v>521</v>
      </c>
      <c r="D333" s="9" t="s">
        <v>5871</v>
      </c>
      <c r="E333" s="9" t="str">
        <f aca="false">IF(AND('Formation Ledger'!A312&lt;&gt;"",'Formation Ledger'!V312=0),"PASS","FAIL")</f>
        <v>PASS</v>
      </c>
      <c r="F333" s="9" t="s">
        <v>76</v>
      </c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customFormat="false" ht="15" hidden="false" customHeight="false" outlineLevel="0" collapsed="false">
      <c r="A334" s="9" t="s">
        <v>6177</v>
      </c>
      <c r="B334" s="9" t="s">
        <v>5870</v>
      </c>
      <c r="C334" s="9" t="s">
        <v>522</v>
      </c>
      <c r="D334" s="9" t="s">
        <v>5871</v>
      </c>
      <c r="E334" s="9" t="str">
        <f aca="false">IF(AND('Formation Ledger'!A313&lt;&gt;"",'Formation Ledger'!V313=0),"PASS","FAIL")</f>
        <v>PASS</v>
      </c>
      <c r="F334" s="9" t="s">
        <v>76</v>
      </c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customFormat="false" ht="15" hidden="false" customHeight="false" outlineLevel="0" collapsed="false">
      <c r="A335" s="9" t="s">
        <v>6178</v>
      </c>
      <c r="B335" s="9" t="s">
        <v>5870</v>
      </c>
      <c r="C335" s="9" t="s">
        <v>523</v>
      </c>
      <c r="D335" s="9" t="s">
        <v>5871</v>
      </c>
      <c r="E335" s="9" t="str">
        <f aca="false">IF(AND('Formation Ledger'!A314&lt;&gt;"",'Formation Ledger'!V314=0),"PASS","FAIL")</f>
        <v>PASS</v>
      </c>
      <c r="F335" s="9" t="s">
        <v>76</v>
      </c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customFormat="false" ht="15" hidden="false" customHeight="false" outlineLevel="0" collapsed="false">
      <c r="A336" s="9" t="s">
        <v>6179</v>
      </c>
      <c r="B336" s="9" t="s">
        <v>5870</v>
      </c>
      <c r="C336" s="9" t="s">
        <v>524</v>
      </c>
      <c r="D336" s="9" t="s">
        <v>5871</v>
      </c>
      <c r="E336" s="9" t="str">
        <f aca="false">IF(AND('Formation Ledger'!A315&lt;&gt;"",'Formation Ledger'!V315=0),"PASS","FAIL")</f>
        <v>PASS</v>
      </c>
      <c r="F336" s="9" t="s">
        <v>76</v>
      </c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customFormat="false" ht="15" hidden="false" customHeight="false" outlineLevel="0" collapsed="false">
      <c r="A337" s="9" t="s">
        <v>6180</v>
      </c>
      <c r="B337" s="9" t="s">
        <v>5870</v>
      </c>
      <c r="C337" s="9" t="s">
        <v>525</v>
      </c>
      <c r="D337" s="9" t="s">
        <v>5871</v>
      </c>
      <c r="E337" s="9" t="str">
        <f aca="false">IF(AND('Formation Ledger'!A316&lt;&gt;"",'Formation Ledger'!V316=0),"PASS","FAIL")</f>
        <v>PASS</v>
      </c>
      <c r="F337" s="9" t="s">
        <v>76</v>
      </c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customFormat="false" ht="15" hidden="false" customHeight="false" outlineLevel="0" collapsed="false">
      <c r="A338" s="9" t="s">
        <v>6181</v>
      </c>
      <c r="B338" s="9" t="s">
        <v>5870</v>
      </c>
      <c r="C338" s="9" t="s">
        <v>526</v>
      </c>
      <c r="D338" s="9" t="s">
        <v>5871</v>
      </c>
      <c r="E338" s="9" t="str">
        <f aca="false">IF(AND('Formation Ledger'!A317&lt;&gt;"",'Formation Ledger'!V317=0),"PASS","FAIL")</f>
        <v>PASS</v>
      </c>
      <c r="F338" s="9" t="s">
        <v>76</v>
      </c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customFormat="false" ht="15" hidden="false" customHeight="false" outlineLevel="0" collapsed="false">
      <c r="A339" s="9" t="s">
        <v>6182</v>
      </c>
      <c r="B339" s="9" t="s">
        <v>5870</v>
      </c>
      <c r="C339" s="9" t="s">
        <v>527</v>
      </c>
      <c r="D339" s="9" t="s">
        <v>5871</v>
      </c>
      <c r="E339" s="9" t="str">
        <f aca="false">IF(AND('Formation Ledger'!A318&lt;&gt;"",'Formation Ledger'!V318=0),"PASS","FAIL")</f>
        <v>PASS</v>
      </c>
      <c r="F339" s="9" t="s">
        <v>76</v>
      </c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customFormat="false" ht="15" hidden="false" customHeight="false" outlineLevel="0" collapsed="false">
      <c r="A340" s="9" t="s">
        <v>6183</v>
      </c>
      <c r="B340" s="9" t="s">
        <v>5870</v>
      </c>
      <c r="C340" s="9" t="s">
        <v>528</v>
      </c>
      <c r="D340" s="9" t="s">
        <v>5871</v>
      </c>
      <c r="E340" s="9" t="str">
        <f aca="false">IF(AND('Formation Ledger'!A319&lt;&gt;"",'Formation Ledger'!V319=0),"PASS","FAIL")</f>
        <v>PASS</v>
      </c>
      <c r="F340" s="9" t="s">
        <v>76</v>
      </c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customFormat="false" ht="15" hidden="false" customHeight="false" outlineLevel="0" collapsed="false">
      <c r="A341" s="9" t="s">
        <v>6184</v>
      </c>
      <c r="B341" s="9" t="s">
        <v>5870</v>
      </c>
      <c r="C341" s="9" t="s">
        <v>529</v>
      </c>
      <c r="D341" s="9" t="s">
        <v>5871</v>
      </c>
      <c r="E341" s="9" t="str">
        <f aca="false">IF(AND('Formation Ledger'!A320&lt;&gt;"",'Formation Ledger'!V320=0),"PASS","FAIL")</f>
        <v>PASS</v>
      </c>
      <c r="F341" s="9" t="s">
        <v>76</v>
      </c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customFormat="false" ht="15" hidden="false" customHeight="false" outlineLevel="0" collapsed="false">
      <c r="A342" s="9" t="s">
        <v>6185</v>
      </c>
      <c r="B342" s="9" t="s">
        <v>5870</v>
      </c>
      <c r="C342" s="9" t="s">
        <v>530</v>
      </c>
      <c r="D342" s="9" t="s">
        <v>5871</v>
      </c>
      <c r="E342" s="9" t="str">
        <f aca="false">IF(AND('Formation Ledger'!A321&lt;&gt;"",'Formation Ledger'!V321=0),"PASS","FAIL")</f>
        <v>PASS</v>
      </c>
      <c r="F342" s="9" t="s">
        <v>76</v>
      </c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customFormat="false" ht="15" hidden="false" customHeight="false" outlineLevel="0" collapsed="false">
      <c r="A343" s="9" t="s">
        <v>6186</v>
      </c>
      <c r="B343" s="9" t="s">
        <v>5870</v>
      </c>
      <c r="C343" s="9" t="s">
        <v>531</v>
      </c>
      <c r="D343" s="9" t="s">
        <v>5871</v>
      </c>
      <c r="E343" s="9" t="str">
        <f aca="false">IF(AND('Formation Ledger'!A322&lt;&gt;"",'Formation Ledger'!V322=0),"PASS","FAIL")</f>
        <v>PASS</v>
      </c>
      <c r="F343" s="9" t="s">
        <v>76</v>
      </c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customFormat="false" ht="15" hidden="false" customHeight="false" outlineLevel="0" collapsed="false">
      <c r="A344" s="9" t="s">
        <v>6187</v>
      </c>
      <c r="B344" s="9" t="s">
        <v>5870</v>
      </c>
      <c r="C344" s="9" t="s">
        <v>532</v>
      </c>
      <c r="D344" s="9" t="s">
        <v>5871</v>
      </c>
      <c r="E344" s="9" t="str">
        <f aca="false">IF(AND('Formation Ledger'!A323&lt;&gt;"",'Formation Ledger'!V323=0),"PASS","FAIL")</f>
        <v>PASS</v>
      </c>
      <c r="F344" s="9" t="s">
        <v>76</v>
      </c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customFormat="false" ht="15" hidden="false" customHeight="false" outlineLevel="0" collapsed="false">
      <c r="A345" s="9" t="s">
        <v>6188</v>
      </c>
      <c r="B345" s="9" t="s">
        <v>5870</v>
      </c>
      <c r="C345" s="9" t="s">
        <v>533</v>
      </c>
      <c r="D345" s="9" t="s">
        <v>5871</v>
      </c>
      <c r="E345" s="9" t="str">
        <f aca="false">IF(AND('Formation Ledger'!A324&lt;&gt;"",'Formation Ledger'!V324=0),"PASS","FAIL")</f>
        <v>PASS</v>
      </c>
      <c r="F345" s="9" t="s">
        <v>76</v>
      </c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customFormat="false" ht="15" hidden="false" customHeight="false" outlineLevel="0" collapsed="false">
      <c r="A346" s="9" t="s">
        <v>6189</v>
      </c>
      <c r="B346" s="9" t="s">
        <v>5870</v>
      </c>
      <c r="C346" s="9" t="s">
        <v>534</v>
      </c>
      <c r="D346" s="9" t="s">
        <v>5871</v>
      </c>
      <c r="E346" s="9" t="str">
        <f aca="false">IF(AND('Formation Ledger'!A325&lt;&gt;"",'Formation Ledger'!V325=0),"PASS","FAIL")</f>
        <v>PASS</v>
      </c>
      <c r="F346" s="9" t="s">
        <v>76</v>
      </c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customFormat="false" ht="15" hidden="false" customHeight="false" outlineLevel="0" collapsed="false">
      <c r="A347" s="9" t="s">
        <v>6190</v>
      </c>
      <c r="B347" s="9" t="s">
        <v>5870</v>
      </c>
      <c r="C347" s="9" t="s">
        <v>535</v>
      </c>
      <c r="D347" s="9" t="s">
        <v>5871</v>
      </c>
      <c r="E347" s="9" t="str">
        <f aca="false">IF(AND('Formation Ledger'!A326&lt;&gt;"",'Formation Ledger'!V326=0),"PASS","FAIL")</f>
        <v>PASS</v>
      </c>
      <c r="F347" s="9" t="s">
        <v>76</v>
      </c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customFormat="false" ht="15" hidden="false" customHeight="false" outlineLevel="0" collapsed="false">
      <c r="A348" s="9" t="s">
        <v>6191</v>
      </c>
      <c r="B348" s="9" t="s">
        <v>5870</v>
      </c>
      <c r="C348" s="9" t="s">
        <v>536</v>
      </c>
      <c r="D348" s="9" t="s">
        <v>5871</v>
      </c>
      <c r="E348" s="9" t="str">
        <f aca="false">IF(AND('Formation Ledger'!A327&lt;&gt;"",'Formation Ledger'!V327=0),"PASS","FAIL")</f>
        <v>PASS</v>
      </c>
      <c r="F348" s="9" t="s">
        <v>76</v>
      </c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customFormat="false" ht="15" hidden="false" customHeight="false" outlineLevel="0" collapsed="false">
      <c r="A349" s="9" t="s">
        <v>6192</v>
      </c>
      <c r="B349" s="9" t="s">
        <v>5870</v>
      </c>
      <c r="C349" s="9" t="s">
        <v>537</v>
      </c>
      <c r="D349" s="9" t="s">
        <v>5871</v>
      </c>
      <c r="E349" s="9" t="str">
        <f aca="false">IF(AND('Formation Ledger'!A328&lt;&gt;"",'Formation Ledger'!V328=0),"PASS","FAIL")</f>
        <v>PASS</v>
      </c>
      <c r="F349" s="9" t="s">
        <v>76</v>
      </c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customFormat="false" ht="15" hidden="false" customHeight="false" outlineLevel="0" collapsed="false">
      <c r="A350" s="9" t="s">
        <v>6193</v>
      </c>
      <c r="B350" s="9" t="s">
        <v>5870</v>
      </c>
      <c r="C350" s="9" t="s">
        <v>538</v>
      </c>
      <c r="D350" s="9" t="s">
        <v>5871</v>
      </c>
      <c r="E350" s="9" t="str">
        <f aca="false">IF(AND('Formation Ledger'!A329&lt;&gt;"",'Formation Ledger'!V329=0),"PASS","FAIL")</f>
        <v>PASS</v>
      </c>
      <c r="F350" s="9" t="s">
        <v>76</v>
      </c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customFormat="false" ht="15" hidden="false" customHeight="false" outlineLevel="0" collapsed="false">
      <c r="A351" s="9" t="s">
        <v>6194</v>
      </c>
      <c r="B351" s="9" t="s">
        <v>5870</v>
      </c>
      <c r="C351" s="9" t="s">
        <v>539</v>
      </c>
      <c r="D351" s="9" t="s">
        <v>5871</v>
      </c>
      <c r="E351" s="9" t="str">
        <f aca="false">IF(AND('Formation Ledger'!A330&lt;&gt;"",'Formation Ledger'!V330=0),"PASS","FAIL")</f>
        <v>PASS</v>
      </c>
      <c r="F351" s="9" t="s">
        <v>76</v>
      </c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customFormat="false" ht="15" hidden="false" customHeight="false" outlineLevel="0" collapsed="false">
      <c r="A352" s="9" t="s">
        <v>6195</v>
      </c>
      <c r="B352" s="9" t="s">
        <v>5870</v>
      </c>
      <c r="C352" s="9" t="s">
        <v>540</v>
      </c>
      <c r="D352" s="9" t="s">
        <v>5871</v>
      </c>
      <c r="E352" s="9" t="str">
        <f aca="false">IF(AND('Formation Ledger'!A331&lt;&gt;"",'Formation Ledger'!V331=0),"PASS","FAIL")</f>
        <v>PASS</v>
      </c>
      <c r="F352" s="9" t="s">
        <v>76</v>
      </c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customFormat="false" ht="15" hidden="false" customHeight="false" outlineLevel="0" collapsed="false">
      <c r="A353" s="9" t="s">
        <v>6196</v>
      </c>
      <c r="B353" s="9" t="s">
        <v>5870</v>
      </c>
      <c r="C353" s="9" t="s">
        <v>541</v>
      </c>
      <c r="D353" s="9" t="s">
        <v>5871</v>
      </c>
      <c r="E353" s="9" t="str">
        <f aca="false">IF(AND('Formation Ledger'!A332&lt;&gt;"",'Formation Ledger'!V332=0),"PASS","FAIL")</f>
        <v>PASS</v>
      </c>
      <c r="F353" s="9" t="s">
        <v>76</v>
      </c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customFormat="false" ht="15" hidden="false" customHeight="false" outlineLevel="0" collapsed="false">
      <c r="A354" s="9" t="s">
        <v>6197</v>
      </c>
      <c r="B354" s="9" t="s">
        <v>5870</v>
      </c>
      <c r="C354" s="9" t="s">
        <v>542</v>
      </c>
      <c r="D354" s="9" t="s">
        <v>5871</v>
      </c>
      <c r="E354" s="9" t="str">
        <f aca="false">IF(AND('Formation Ledger'!A333&lt;&gt;"",'Formation Ledger'!V333=0),"PASS","FAIL")</f>
        <v>PASS</v>
      </c>
      <c r="F354" s="9" t="s">
        <v>76</v>
      </c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customFormat="false" ht="15" hidden="false" customHeight="false" outlineLevel="0" collapsed="false">
      <c r="A355" s="9" t="s">
        <v>6198</v>
      </c>
      <c r="B355" s="9" t="s">
        <v>5870</v>
      </c>
      <c r="C355" s="9" t="s">
        <v>543</v>
      </c>
      <c r="D355" s="9" t="s">
        <v>5871</v>
      </c>
      <c r="E355" s="9" t="str">
        <f aca="false">IF(AND('Formation Ledger'!A334&lt;&gt;"",'Formation Ledger'!V334=0),"PASS","FAIL")</f>
        <v>PASS</v>
      </c>
      <c r="F355" s="9" t="s">
        <v>76</v>
      </c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customFormat="false" ht="15" hidden="false" customHeight="false" outlineLevel="0" collapsed="false">
      <c r="A356" s="9" t="s">
        <v>6199</v>
      </c>
      <c r="B356" s="9" t="s">
        <v>5870</v>
      </c>
      <c r="C356" s="9" t="s">
        <v>544</v>
      </c>
      <c r="D356" s="9" t="s">
        <v>5871</v>
      </c>
      <c r="E356" s="9" t="str">
        <f aca="false">IF(AND('Formation Ledger'!A335&lt;&gt;"",'Formation Ledger'!V335=0),"PASS","FAIL")</f>
        <v>PASS</v>
      </c>
      <c r="F356" s="9" t="s">
        <v>76</v>
      </c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customFormat="false" ht="15" hidden="false" customHeight="false" outlineLevel="0" collapsed="false">
      <c r="A357" s="9" t="s">
        <v>6200</v>
      </c>
      <c r="B357" s="9" t="s">
        <v>5870</v>
      </c>
      <c r="C357" s="9" t="s">
        <v>545</v>
      </c>
      <c r="D357" s="9" t="s">
        <v>5871</v>
      </c>
      <c r="E357" s="9" t="str">
        <f aca="false">IF(AND('Formation Ledger'!A336&lt;&gt;"",'Formation Ledger'!V336=0),"PASS","FAIL")</f>
        <v>PASS</v>
      </c>
      <c r="F357" s="9" t="s">
        <v>76</v>
      </c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customFormat="false" ht="15" hidden="false" customHeight="false" outlineLevel="0" collapsed="false">
      <c r="A358" s="9" t="s">
        <v>6201</v>
      </c>
      <c r="B358" s="9" t="s">
        <v>5870</v>
      </c>
      <c r="C358" s="9" t="s">
        <v>546</v>
      </c>
      <c r="D358" s="9" t="s">
        <v>5871</v>
      </c>
      <c r="E358" s="9" t="str">
        <f aca="false">IF(AND('Formation Ledger'!A337&lt;&gt;"",'Formation Ledger'!V337=0),"PASS","FAIL")</f>
        <v>PASS</v>
      </c>
      <c r="F358" s="9" t="s">
        <v>76</v>
      </c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customFormat="false" ht="15" hidden="false" customHeight="false" outlineLevel="0" collapsed="false">
      <c r="A359" s="9" t="s">
        <v>6202</v>
      </c>
      <c r="B359" s="9" t="s">
        <v>5870</v>
      </c>
      <c r="C359" s="9" t="s">
        <v>547</v>
      </c>
      <c r="D359" s="9" t="s">
        <v>5871</v>
      </c>
      <c r="E359" s="9" t="str">
        <f aca="false">IF(AND('Formation Ledger'!A338&lt;&gt;"",'Formation Ledger'!V338=0),"PASS","FAIL")</f>
        <v>PASS</v>
      </c>
      <c r="F359" s="9" t="s">
        <v>76</v>
      </c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customFormat="false" ht="15" hidden="false" customHeight="false" outlineLevel="0" collapsed="false">
      <c r="A360" s="9" t="s">
        <v>6203</v>
      </c>
      <c r="B360" s="9" t="s">
        <v>5870</v>
      </c>
      <c r="C360" s="9" t="s">
        <v>548</v>
      </c>
      <c r="D360" s="9" t="s">
        <v>5871</v>
      </c>
      <c r="E360" s="9" t="str">
        <f aca="false">IF(AND('Formation Ledger'!A339&lt;&gt;"",'Formation Ledger'!V339=0),"PASS","FAIL")</f>
        <v>PASS</v>
      </c>
      <c r="F360" s="9" t="s">
        <v>76</v>
      </c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customFormat="false" ht="15" hidden="false" customHeight="false" outlineLevel="0" collapsed="false">
      <c r="A361" s="9" t="s">
        <v>6204</v>
      </c>
      <c r="B361" s="9" t="s">
        <v>5870</v>
      </c>
      <c r="C361" s="9" t="s">
        <v>549</v>
      </c>
      <c r="D361" s="9" t="s">
        <v>5871</v>
      </c>
      <c r="E361" s="9" t="str">
        <f aca="false">IF(AND('Formation Ledger'!A340&lt;&gt;"",'Formation Ledger'!V340=0),"PASS","FAIL")</f>
        <v>PASS</v>
      </c>
      <c r="F361" s="9" t="s">
        <v>76</v>
      </c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customFormat="false" ht="15" hidden="false" customHeight="false" outlineLevel="0" collapsed="false">
      <c r="A362" s="9" t="s">
        <v>6205</v>
      </c>
      <c r="B362" s="9" t="s">
        <v>5870</v>
      </c>
      <c r="C362" s="9" t="s">
        <v>550</v>
      </c>
      <c r="D362" s="9" t="s">
        <v>5871</v>
      </c>
      <c r="E362" s="9" t="str">
        <f aca="false">IF(AND('Formation Ledger'!A341&lt;&gt;"",'Formation Ledger'!V341=0),"PASS","FAIL")</f>
        <v>PASS</v>
      </c>
      <c r="F362" s="9" t="s">
        <v>76</v>
      </c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customFormat="false" ht="15" hidden="false" customHeight="false" outlineLevel="0" collapsed="false">
      <c r="A363" s="9" t="s">
        <v>6206</v>
      </c>
      <c r="B363" s="9" t="s">
        <v>5870</v>
      </c>
      <c r="C363" s="9" t="s">
        <v>551</v>
      </c>
      <c r="D363" s="9" t="s">
        <v>5871</v>
      </c>
      <c r="E363" s="9" t="str">
        <f aca="false">IF(AND('Formation Ledger'!A342&lt;&gt;"",'Formation Ledger'!V342=0),"PASS","FAIL")</f>
        <v>PASS</v>
      </c>
      <c r="F363" s="9" t="s">
        <v>76</v>
      </c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customFormat="false" ht="15" hidden="false" customHeight="false" outlineLevel="0" collapsed="false">
      <c r="A364" s="9" t="s">
        <v>6207</v>
      </c>
      <c r="B364" s="9" t="s">
        <v>5870</v>
      </c>
      <c r="C364" s="9" t="s">
        <v>552</v>
      </c>
      <c r="D364" s="9" t="s">
        <v>5871</v>
      </c>
      <c r="E364" s="9" t="str">
        <f aca="false">IF(AND('Formation Ledger'!A343&lt;&gt;"",'Formation Ledger'!V343=0),"PASS","FAIL")</f>
        <v>PASS</v>
      </c>
      <c r="F364" s="9" t="s">
        <v>76</v>
      </c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customFormat="false" ht="15" hidden="false" customHeight="false" outlineLevel="0" collapsed="false">
      <c r="A365" s="9" t="s">
        <v>6208</v>
      </c>
      <c r="B365" s="9" t="s">
        <v>5870</v>
      </c>
      <c r="C365" s="9" t="s">
        <v>553</v>
      </c>
      <c r="D365" s="9" t="s">
        <v>5871</v>
      </c>
      <c r="E365" s="9" t="str">
        <f aca="false">IF(AND('Formation Ledger'!A344&lt;&gt;"",'Formation Ledger'!V344=0),"PASS","FAIL")</f>
        <v>PASS</v>
      </c>
      <c r="F365" s="9" t="s">
        <v>76</v>
      </c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customFormat="false" ht="15" hidden="false" customHeight="false" outlineLevel="0" collapsed="false">
      <c r="A366" s="9" t="s">
        <v>6209</v>
      </c>
      <c r="B366" s="9" t="s">
        <v>5870</v>
      </c>
      <c r="C366" s="9" t="s">
        <v>554</v>
      </c>
      <c r="D366" s="9" t="s">
        <v>5871</v>
      </c>
      <c r="E366" s="9" t="str">
        <f aca="false">IF(AND('Formation Ledger'!A345&lt;&gt;"",'Formation Ledger'!V345=0),"PASS","FAIL")</f>
        <v>PASS</v>
      </c>
      <c r="F366" s="9" t="s">
        <v>76</v>
      </c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customFormat="false" ht="15" hidden="false" customHeight="false" outlineLevel="0" collapsed="false">
      <c r="A367" s="9" t="s">
        <v>6210</v>
      </c>
      <c r="B367" s="9" t="s">
        <v>5870</v>
      </c>
      <c r="C367" s="9" t="s">
        <v>555</v>
      </c>
      <c r="D367" s="9" t="s">
        <v>5871</v>
      </c>
      <c r="E367" s="9" t="str">
        <f aca="false">IF(AND('Formation Ledger'!A346&lt;&gt;"",'Formation Ledger'!V346=0),"PASS","FAIL")</f>
        <v>PASS</v>
      </c>
      <c r="F367" s="9" t="s">
        <v>76</v>
      </c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customFormat="false" ht="15" hidden="false" customHeight="false" outlineLevel="0" collapsed="false">
      <c r="A368" s="9" t="s">
        <v>6211</v>
      </c>
      <c r="B368" s="9" t="s">
        <v>5870</v>
      </c>
      <c r="C368" s="9" t="s">
        <v>556</v>
      </c>
      <c r="D368" s="9" t="s">
        <v>5871</v>
      </c>
      <c r="E368" s="9" t="str">
        <f aca="false">IF(AND('Formation Ledger'!A347&lt;&gt;"",'Formation Ledger'!V347=0),"PASS","FAIL")</f>
        <v>PASS</v>
      </c>
      <c r="F368" s="9" t="s">
        <v>76</v>
      </c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customFormat="false" ht="15" hidden="false" customHeight="false" outlineLevel="0" collapsed="false">
      <c r="A369" s="9" t="s">
        <v>6212</v>
      </c>
      <c r="B369" s="9" t="s">
        <v>5870</v>
      </c>
      <c r="C369" s="9" t="s">
        <v>557</v>
      </c>
      <c r="D369" s="9" t="s">
        <v>5871</v>
      </c>
      <c r="E369" s="9" t="str">
        <f aca="false">IF(AND('Formation Ledger'!A348&lt;&gt;"",'Formation Ledger'!V348=0),"PASS","FAIL")</f>
        <v>PASS</v>
      </c>
      <c r="F369" s="9" t="s">
        <v>76</v>
      </c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customFormat="false" ht="15" hidden="false" customHeight="false" outlineLevel="0" collapsed="false">
      <c r="A370" s="9" t="s">
        <v>6213</v>
      </c>
      <c r="B370" s="9" t="s">
        <v>5870</v>
      </c>
      <c r="C370" s="9" t="s">
        <v>558</v>
      </c>
      <c r="D370" s="9" t="s">
        <v>5871</v>
      </c>
      <c r="E370" s="9" t="str">
        <f aca="false">IF(AND('Formation Ledger'!A349&lt;&gt;"",'Formation Ledger'!V349=0),"PASS","FAIL")</f>
        <v>PASS</v>
      </c>
      <c r="F370" s="9" t="s">
        <v>76</v>
      </c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customFormat="false" ht="15" hidden="false" customHeight="false" outlineLevel="0" collapsed="false">
      <c r="A371" s="9" t="s">
        <v>6214</v>
      </c>
      <c r="B371" s="9" t="s">
        <v>5870</v>
      </c>
      <c r="C371" s="9" t="s">
        <v>559</v>
      </c>
      <c r="D371" s="9" t="s">
        <v>5871</v>
      </c>
      <c r="E371" s="9" t="str">
        <f aca="false">IF(AND('Formation Ledger'!A350&lt;&gt;"",'Formation Ledger'!V350=0),"PASS","FAIL")</f>
        <v>PASS</v>
      </c>
      <c r="F371" s="9" t="s">
        <v>76</v>
      </c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customFormat="false" ht="15" hidden="false" customHeight="false" outlineLevel="0" collapsed="false">
      <c r="A372" s="9" t="s">
        <v>6215</v>
      </c>
      <c r="B372" s="9" t="s">
        <v>5870</v>
      </c>
      <c r="C372" s="9" t="s">
        <v>560</v>
      </c>
      <c r="D372" s="9" t="s">
        <v>5871</v>
      </c>
      <c r="E372" s="9" t="str">
        <f aca="false">IF(AND('Formation Ledger'!A351&lt;&gt;"",'Formation Ledger'!V351=0),"PASS","FAIL")</f>
        <v>PASS</v>
      </c>
      <c r="F372" s="9" t="s">
        <v>76</v>
      </c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customFormat="false" ht="15" hidden="false" customHeight="false" outlineLevel="0" collapsed="false">
      <c r="A373" s="9" t="s">
        <v>6216</v>
      </c>
      <c r="B373" s="9" t="s">
        <v>5870</v>
      </c>
      <c r="C373" s="9" t="s">
        <v>561</v>
      </c>
      <c r="D373" s="9" t="s">
        <v>5871</v>
      </c>
      <c r="E373" s="9" t="str">
        <f aca="false">IF(AND('Formation Ledger'!A352&lt;&gt;"",'Formation Ledger'!V352=0),"PASS","FAIL")</f>
        <v>PASS</v>
      </c>
      <c r="F373" s="9" t="s">
        <v>76</v>
      </c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customFormat="false" ht="15" hidden="false" customHeight="false" outlineLevel="0" collapsed="false">
      <c r="A374" s="9" t="s">
        <v>6217</v>
      </c>
      <c r="B374" s="9" t="s">
        <v>5870</v>
      </c>
      <c r="C374" s="9" t="s">
        <v>562</v>
      </c>
      <c r="D374" s="9" t="s">
        <v>5871</v>
      </c>
      <c r="E374" s="9" t="str">
        <f aca="false">IF(AND('Formation Ledger'!A353&lt;&gt;"",'Formation Ledger'!V353=0),"PASS","FAIL")</f>
        <v>PASS</v>
      </c>
      <c r="F374" s="9" t="s">
        <v>76</v>
      </c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customFormat="false" ht="15" hidden="false" customHeight="false" outlineLevel="0" collapsed="false">
      <c r="A375" s="9" t="s">
        <v>6218</v>
      </c>
      <c r="B375" s="9" t="s">
        <v>5870</v>
      </c>
      <c r="C375" s="9" t="s">
        <v>563</v>
      </c>
      <c r="D375" s="9" t="s">
        <v>5871</v>
      </c>
      <c r="E375" s="9" t="str">
        <f aca="false">IF(AND('Formation Ledger'!A354&lt;&gt;"",'Formation Ledger'!V354=0),"PASS","FAIL")</f>
        <v>PASS</v>
      </c>
      <c r="F375" s="9" t="s">
        <v>76</v>
      </c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customFormat="false" ht="15" hidden="false" customHeight="false" outlineLevel="0" collapsed="false">
      <c r="A376" s="9" t="s">
        <v>6219</v>
      </c>
      <c r="B376" s="9" t="s">
        <v>5870</v>
      </c>
      <c r="C376" s="9" t="s">
        <v>564</v>
      </c>
      <c r="D376" s="9" t="s">
        <v>5871</v>
      </c>
      <c r="E376" s="9" t="str">
        <f aca="false">IF(AND('Formation Ledger'!A355&lt;&gt;"",'Formation Ledger'!V355=0),"PASS","FAIL")</f>
        <v>PASS</v>
      </c>
      <c r="F376" s="9" t="s">
        <v>76</v>
      </c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customFormat="false" ht="15" hidden="false" customHeight="false" outlineLevel="0" collapsed="false">
      <c r="A377" s="9" t="s">
        <v>6220</v>
      </c>
      <c r="B377" s="9" t="s">
        <v>5870</v>
      </c>
      <c r="C377" s="9" t="s">
        <v>565</v>
      </c>
      <c r="D377" s="9" t="s">
        <v>5871</v>
      </c>
      <c r="E377" s="9" t="str">
        <f aca="false">IF(AND('Formation Ledger'!A356&lt;&gt;"",'Formation Ledger'!V356=0),"PASS","FAIL")</f>
        <v>PASS</v>
      </c>
      <c r="F377" s="9" t="s">
        <v>76</v>
      </c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customFormat="false" ht="15" hidden="false" customHeight="false" outlineLevel="0" collapsed="false">
      <c r="A378" s="9" t="s">
        <v>6221</v>
      </c>
      <c r="B378" s="9" t="s">
        <v>5870</v>
      </c>
      <c r="C378" s="9" t="s">
        <v>566</v>
      </c>
      <c r="D378" s="9" t="s">
        <v>5871</v>
      </c>
      <c r="E378" s="9" t="str">
        <f aca="false">IF(AND('Formation Ledger'!A357&lt;&gt;"",'Formation Ledger'!V357=0),"PASS","FAIL")</f>
        <v>PASS</v>
      </c>
      <c r="F378" s="9" t="s">
        <v>76</v>
      </c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customFormat="false" ht="15" hidden="false" customHeight="false" outlineLevel="0" collapsed="false">
      <c r="A379" s="9" t="s">
        <v>6222</v>
      </c>
      <c r="B379" s="9" t="s">
        <v>5870</v>
      </c>
      <c r="C379" s="9" t="s">
        <v>567</v>
      </c>
      <c r="D379" s="9" t="s">
        <v>5871</v>
      </c>
      <c r="E379" s="9" t="str">
        <f aca="false">IF(AND('Formation Ledger'!A358&lt;&gt;"",'Formation Ledger'!V358=0),"PASS","FAIL")</f>
        <v>PASS</v>
      </c>
      <c r="F379" s="9" t="s">
        <v>76</v>
      </c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customFormat="false" ht="15" hidden="false" customHeight="false" outlineLevel="0" collapsed="false">
      <c r="A380" s="9" t="s">
        <v>6223</v>
      </c>
      <c r="B380" s="9" t="s">
        <v>5870</v>
      </c>
      <c r="C380" s="9" t="s">
        <v>568</v>
      </c>
      <c r="D380" s="9" t="s">
        <v>5871</v>
      </c>
      <c r="E380" s="9" t="str">
        <f aca="false">IF(AND('Formation Ledger'!A359&lt;&gt;"",'Formation Ledger'!V359=0),"PASS","FAIL")</f>
        <v>PASS</v>
      </c>
      <c r="F380" s="9" t="s">
        <v>76</v>
      </c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customFormat="false" ht="15" hidden="false" customHeight="false" outlineLevel="0" collapsed="false">
      <c r="A381" s="9" t="s">
        <v>6224</v>
      </c>
      <c r="B381" s="9" t="s">
        <v>5870</v>
      </c>
      <c r="C381" s="9" t="s">
        <v>569</v>
      </c>
      <c r="D381" s="9" t="s">
        <v>5871</v>
      </c>
      <c r="E381" s="9" t="str">
        <f aca="false">IF(AND('Formation Ledger'!A360&lt;&gt;"",'Formation Ledger'!V360=0),"PASS","FAIL")</f>
        <v>PASS</v>
      </c>
      <c r="F381" s="9" t="s">
        <v>76</v>
      </c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customFormat="false" ht="15" hidden="false" customHeight="false" outlineLevel="0" collapsed="false">
      <c r="A382" s="9" t="s">
        <v>6225</v>
      </c>
      <c r="B382" s="9" t="s">
        <v>5870</v>
      </c>
      <c r="C382" s="9" t="s">
        <v>572</v>
      </c>
      <c r="D382" s="9" t="s">
        <v>5871</v>
      </c>
      <c r="E382" s="9" t="str">
        <f aca="false">IF(AND('Formation Ledger'!A361&lt;&gt;"",'Formation Ledger'!V361=0),"PASS","FAIL")</f>
        <v>PASS</v>
      </c>
      <c r="F382" s="9" t="s">
        <v>76</v>
      </c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customFormat="false" ht="15" hidden="false" customHeight="false" outlineLevel="0" collapsed="false">
      <c r="A383" s="9" t="s">
        <v>6226</v>
      </c>
      <c r="B383" s="9" t="s">
        <v>5870</v>
      </c>
      <c r="C383" s="9" t="s">
        <v>573</v>
      </c>
      <c r="D383" s="9" t="s">
        <v>5871</v>
      </c>
      <c r="E383" s="9" t="str">
        <f aca="false">IF(AND('Formation Ledger'!A362&lt;&gt;"",'Formation Ledger'!V362=0),"PASS","FAIL")</f>
        <v>PASS</v>
      </c>
      <c r="F383" s="9" t="s">
        <v>76</v>
      </c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customFormat="false" ht="15" hidden="false" customHeight="false" outlineLevel="0" collapsed="false">
      <c r="A384" s="9" t="s">
        <v>6227</v>
      </c>
      <c r="B384" s="9" t="s">
        <v>5870</v>
      </c>
      <c r="C384" s="9" t="s">
        <v>574</v>
      </c>
      <c r="D384" s="9" t="s">
        <v>5871</v>
      </c>
      <c r="E384" s="9" t="str">
        <f aca="false">IF(AND('Formation Ledger'!A363&lt;&gt;"",'Formation Ledger'!V363=0),"PASS","FAIL")</f>
        <v>PASS</v>
      </c>
      <c r="F384" s="9" t="s">
        <v>76</v>
      </c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customFormat="false" ht="15" hidden="false" customHeight="false" outlineLevel="0" collapsed="false">
      <c r="A385" s="9" t="s">
        <v>6228</v>
      </c>
      <c r="B385" s="9" t="s">
        <v>5870</v>
      </c>
      <c r="C385" s="9" t="s">
        <v>575</v>
      </c>
      <c r="D385" s="9" t="s">
        <v>5871</v>
      </c>
      <c r="E385" s="9" t="str">
        <f aca="false">IF(AND('Formation Ledger'!A364&lt;&gt;"",'Formation Ledger'!V364=0),"PASS","FAIL")</f>
        <v>PASS</v>
      </c>
      <c r="F385" s="9" t="s">
        <v>76</v>
      </c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customFormat="false" ht="15" hidden="false" customHeight="false" outlineLevel="0" collapsed="false">
      <c r="A386" s="9" t="s">
        <v>6229</v>
      </c>
      <c r="B386" s="9" t="s">
        <v>5870</v>
      </c>
      <c r="C386" s="9" t="s">
        <v>576</v>
      </c>
      <c r="D386" s="9" t="s">
        <v>5871</v>
      </c>
      <c r="E386" s="9" t="str">
        <f aca="false">IF(AND('Formation Ledger'!A365&lt;&gt;"",'Formation Ledger'!V365=0),"PASS","FAIL")</f>
        <v>PASS</v>
      </c>
      <c r="F386" s="9" t="s">
        <v>76</v>
      </c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customFormat="false" ht="15" hidden="false" customHeight="false" outlineLevel="0" collapsed="false">
      <c r="A387" s="9" t="s">
        <v>6230</v>
      </c>
      <c r="B387" s="9" t="s">
        <v>5870</v>
      </c>
      <c r="C387" s="9" t="s">
        <v>577</v>
      </c>
      <c r="D387" s="9" t="s">
        <v>5871</v>
      </c>
      <c r="E387" s="9" t="str">
        <f aca="false">IF(AND('Formation Ledger'!A366&lt;&gt;"",'Formation Ledger'!V366=0),"PASS","FAIL")</f>
        <v>PASS</v>
      </c>
      <c r="F387" s="9" t="s">
        <v>76</v>
      </c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customFormat="false" ht="15" hidden="false" customHeight="false" outlineLevel="0" collapsed="false">
      <c r="A388" s="9" t="s">
        <v>6231</v>
      </c>
      <c r="B388" s="9" t="s">
        <v>5870</v>
      </c>
      <c r="C388" s="9" t="s">
        <v>578</v>
      </c>
      <c r="D388" s="9" t="s">
        <v>5871</v>
      </c>
      <c r="E388" s="9" t="str">
        <f aca="false">IF(AND('Formation Ledger'!A367&lt;&gt;"",'Formation Ledger'!V367=0),"PASS","FAIL")</f>
        <v>PASS</v>
      </c>
      <c r="F388" s="9" t="s">
        <v>76</v>
      </c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customFormat="false" ht="15" hidden="false" customHeight="false" outlineLevel="0" collapsed="false">
      <c r="A389" s="9" t="s">
        <v>6232</v>
      </c>
      <c r="B389" s="9" t="s">
        <v>5870</v>
      </c>
      <c r="C389" s="9" t="s">
        <v>579</v>
      </c>
      <c r="D389" s="9" t="s">
        <v>5871</v>
      </c>
      <c r="E389" s="9" t="str">
        <f aca="false">IF(AND('Formation Ledger'!A368&lt;&gt;"",'Formation Ledger'!V368=0),"PASS","FAIL")</f>
        <v>PASS</v>
      </c>
      <c r="F389" s="9" t="s">
        <v>76</v>
      </c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customFormat="false" ht="15" hidden="false" customHeight="false" outlineLevel="0" collapsed="false">
      <c r="A390" s="9" t="s">
        <v>6233</v>
      </c>
      <c r="B390" s="9" t="s">
        <v>5870</v>
      </c>
      <c r="C390" s="9" t="s">
        <v>580</v>
      </c>
      <c r="D390" s="9" t="s">
        <v>5871</v>
      </c>
      <c r="E390" s="9" t="str">
        <f aca="false">IF(AND('Formation Ledger'!A369&lt;&gt;"",'Formation Ledger'!V369=0),"PASS","FAIL")</f>
        <v>PASS</v>
      </c>
      <c r="F390" s="9" t="s">
        <v>76</v>
      </c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customFormat="false" ht="15" hidden="false" customHeight="false" outlineLevel="0" collapsed="false">
      <c r="A391" s="9" t="s">
        <v>6234</v>
      </c>
      <c r="B391" s="9" t="s">
        <v>5870</v>
      </c>
      <c r="C391" s="9" t="s">
        <v>581</v>
      </c>
      <c r="D391" s="9" t="s">
        <v>5871</v>
      </c>
      <c r="E391" s="9" t="str">
        <f aca="false">IF(AND('Formation Ledger'!A370&lt;&gt;"",'Formation Ledger'!V370=0),"PASS","FAIL")</f>
        <v>PASS</v>
      </c>
      <c r="F391" s="9" t="s">
        <v>76</v>
      </c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customFormat="false" ht="15" hidden="false" customHeight="false" outlineLevel="0" collapsed="false">
      <c r="A392" s="9" t="s">
        <v>6235</v>
      </c>
      <c r="B392" s="9" t="s">
        <v>5870</v>
      </c>
      <c r="C392" s="9" t="s">
        <v>582</v>
      </c>
      <c r="D392" s="9" t="s">
        <v>5871</v>
      </c>
      <c r="E392" s="9" t="str">
        <f aca="false">IF(AND('Formation Ledger'!A371&lt;&gt;"",'Formation Ledger'!V371=0),"PASS","FAIL")</f>
        <v>PASS</v>
      </c>
      <c r="F392" s="9" t="s">
        <v>76</v>
      </c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customFormat="false" ht="15" hidden="false" customHeight="false" outlineLevel="0" collapsed="false">
      <c r="A393" s="9" t="s">
        <v>6236</v>
      </c>
      <c r="B393" s="9" t="s">
        <v>5870</v>
      </c>
      <c r="C393" s="9" t="s">
        <v>583</v>
      </c>
      <c r="D393" s="9" t="s">
        <v>5871</v>
      </c>
      <c r="E393" s="9" t="str">
        <f aca="false">IF(AND('Formation Ledger'!A372&lt;&gt;"",'Formation Ledger'!V372=0),"PASS","FAIL")</f>
        <v>PASS</v>
      </c>
      <c r="F393" s="9" t="s">
        <v>76</v>
      </c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customFormat="false" ht="15" hidden="false" customHeight="false" outlineLevel="0" collapsed="false">
      <c r="A394" s="9" t="s">
        <v>6237</v>
      </c>
      <c r="B394" s="9" t="s">
        <v>5870</v>
      </c>
      <c r="C394" s="9" t="s">
        <v>584</v>
      </c>
      <c r="D394" s="9" t="s">
        <v>5871</v>
      </c>
      <c r="E394" s="9" t="str">
        <f aca="false">IF(AND('Formation Ledger'!A373&lt;&gt;"",'Formation Ledger'!V373=0),"PASS","FAIL")</f>
        <v>PASS</v>
      </c>
      <c r="F394" s="9" t="s">
        <v>76</v>
      </c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customFormat="false" ht="15" hidden="false" customHeight="false" outlineLevel="0" collapsed="false">
      <c r="A395" s="9" t="s">
        <v>6238</v>
      </c>
      <c r="B395" s="9" t="s">
        <v>5870</v>
      </c>
      <c r="C395" s="9" t="s">
        <v>585</v>
      </c>
      <c r="D395" s="9" t="s">
        <v>5871</v>
      </c>
      <c r="E395" s="9" t="str">
        <f aca="false">IF(AND('Formation Ledger'!A374&lt;&gt;"",'Formation Ledger'!V374=0),"PASS","FAIL")</f>
        <v>PASS</v>
      </c>
      <c r="F395" s="9" t="s">
        <v>76</v>
      </c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customFormat="false" ht="15" hidden="false" customHeight="false" outlineLevel="0" collapsed="false">
      <c r="A396" s="9" t="s">
        <v>6239</v>
      </c>
      <c r="B396" s="9" t="s">
        <v>5870</v>
      </c>
      <c r="C396" s="9" t="s">
        <v>586</v>
      </c>
      <c r="D396" s="9" t="s">
        <v>5871</v>
      </c>
      <c r="E396" s="9" t="str">
        <f aca="false">IF(AND('Formation Ledger'!A375&lt;&gt;"",'Formation Ledger'!V375=0),"PASS","FAIL")</f>
        <v>PASS</v>
      </c>
      <c r="F396" s="9" t="s">
        <v>76</v>
      </c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customFormat="false" ht="15" hidden="false" customHeight="false" outlineLevel="0" collapsed="false">
      <c r="A397" s="9" t="s">
        <v>6240</v>
      </c>
      <c r="B397" s="9" t="s">
        <v>5870</v>
      </c>
      <c r="C397" s="9" t="s">
        <v>587</v>
      </c>
      <c r="D397" s="9" t="s">
        <v>5871</v>
      </c>
      <c r="E397" s="9" t="str">
        <f aca="false">IF(AND('Formation Ledger'!A376&lt;&gt;"",'Formation Ledger'!V376=0),"PASS","FAIL")</f>
        <v>PASS</v>
      </c>
      <c r="F397" s="9" t="s">
        <v>76</v>
      </c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customFormat="false" ht="15" hidden="false" customHeight="false" outlineLevel="0" collapsed="false">
      <c r="A398" s="9" t="s">
        <v>6241</v>
      </c>
      <c r="B398" s="9" t="s">
        <v>5870</v>
      </c>
      <c r="C398" s="9" t="s">
        <v>588</v>
      </c>
      <c r="D398" s="9" t="s">
        <v>5871</v>
      </c>
      <c r="E398" s="9" t="str">
        <f aca="false">IF(AND('Formation Ledger'!A377&lt;&gt;"",'Formation Ledger'!V377=0),"PASS","FAIL")</f>
        <v>PASS</v>
      </c>
      <c r="F398" s="9" t="s">
        <v>76</v>
      </c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customFormat="false" ht="15" hidden="false" customHeight="false" outlineLevel="0" collapsed="false">
      <c r="A399" s="9" t="s">
        <v>6242</v>
      </c>
      <c r="B399" s="9" t="s">
        <v>5870</v>
      </c>
      <c r="C399" s="9" t="s">
        <v>589</v>
      </c>
      <c r="D399" s="9" t="s">
        <v>5871</v>
      </c>
      <c r="E399" s="9" t="str">
        <f aca="false">IF(AND('Formation Ledger'!A378&lt;&gt;"",'Formation Ledger'!V378=0),"PASS","FAIL")</f>
        <v>PASS</v>
      </c>
      <c r="F399" s="9" t="s">
        <v>76</v>
      </c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customFormat="false" ht="15" hidden="false" customHeight="false" outlineLevel="0" collapsed="false">
      <c r="A400" s="9" t="s">
        <v>6243</v>
      </c>
      <c r="B400" s="9" t="s">
        <v>5870</v>
      </c>
      <c r="C400" s="9" t="s">
        <v>590</v>
      </c>
      <c r="D400" s="9" t="s">
        <v>5871</v>
      </c>
      <c r="E400" s="9" t="str">
        <f aca="false">IF(AND('Formation Ledger'!A379&lt;&gt;"",'Formation Ledger'!V379=0),"PASS","FAIL")</f>
        <v>PASS</v>
      </c>
      <c r="F400" s="9" t="s">
        <v>76</v>
      </c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customFormat="false" ht="15" hidden="false" customHeight="false" outlineLevel="0" collapsed="false">
      <c r="A401" s="9" t="s">
        <v>6244</v>
      </c>
      <c r="B401" s="9" t="s">
        <v>5870</v>
      </c>
      <c r="C401" s="9" t="s">
        <v>591</v>
      </c>
      <c r="D401" s="9" t="s">
        <v>5871</v>
      </c>
      <c r="E401" s="9" t="str">
        <f aca="false">IF(AND('Formation Ledger'!A380&lt;&gt;"",'Formation Ledger'!V380=0),"PASS","FAIL")</f>
        <v>PASS</v>
      </c>
      <c r="F401" s="9" t="s">
        <v>76</v>
      </c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customFormat="false" ht="15" hidden="false" customHeight="false" outlineLevel="0" collapsed="false">
      <c r="A402" s="9" t="s">
        <v>6245</v>
      </c>
      <c r="B402" s="9" t="s">
        <v>5870</v>
      </c>
      <c r="C402" s="9" t="s">
        <v>592</v>
      </c>
      <c r="D402" s="9" t="s">
        <v>5871</v>
      </c>
      <c r="E402" s="9" t="str">
        <f aca="false">IF(AND('Formation Ledger'!A381&lt;&gt;"",'Formation Ledger'!V381=0),"PASS","FAIL")</f>
        <v>PASS</v>
      </c>
      <c r="F402" s="9" t="s">
        <v>76</v>
      </c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customFormat="false" ht="15" hidden="false" customHeight="false" outlineLevel="0" collapsed="false">
      <c r="A403" s="9" t="s">
        <v>6246</v>
      </c>
      <c r="B403" s="9" t="s">
        <v>5870</v>
      </c>
      <c r="C403" s="9" t="s">
        <v>593</v>
      </c>
      <c r="D403" s="9" t="s">
        <v>5871</v>
      </c>
      <c r="E403" s="9" t="str">
        <f aca="false">IF(AND('Formation Ledger'!A382&lt;&gt;"",'Formation Ledger'!V382=0),"PASS","FAIL")</f>
        <v>PASS</v>
      </c>
      <c r="F403" s="9" t="s">
        <v>76</v>
      </c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customFormat="false" ht="15" hidden="false" customHeight="false" outlineLevel="0" collapsed="false">
      <c r="A404" s="9" t="s">
        <v>6247</v>
      </c>
      <c r="B404" s="9" t="s">
        <v>5870</v>
      </c>
      <c r="C404" s="9" t="s">
        <v>594</v>
      </c>
      <c r="D404" s="9" t="s">
        <v>5871</v>
      </c>
      <c r="E404" s="9" t="str">
        <f aca="false">IF(AND('Formation Ledger'!A383&lt;&gt;"",'Formation Ledger'!V383=0),"PASS","FAIL")</f>
        <v>PASS</v>
      </c>
      <c r="F404" s="9" t="s">
        <v>76</v>
      </c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customFormat="false" ht="15" hidden="false" customHeight="false" outlineLevel="0" collapsed="false">
      <c r="A405" s="9" t="s">
        <v>6248</v>
      </c>
      <c r="B405" s="9" t="s">
        <v>5870</v>
      </c>
      <c r="C405" s="9" t="s">
        <v>595</v>
      </c>
      <c r="D405" s="9" t="s">
        <v>5871</v>
      </c>
      <c r="E405" s="9" t="str">
        <f aca="false">IF(AND('Formation Ledger'!A384&lt;&gt;"",'Formation Ledger'!V384=0),"PASS","FAIL")</f>
        <v>PASS</v>
      </c>
      <c r="F405" s="9" t="s">
        <v>76</v>
      </c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customFormat="false" ht="15" hidden="false" customHeight="false" outlineLevel="0" collapsed="false">
      <c r="A406" s="9" t="s">
        <v>6249</v>
      </c>
      <c r="B406" s="9" t="s">
        <v>5870</v>
      </c>
      <c r="C406" s="9" t="s">
        <v>596</v>
      </c>
      <c r="D406" s="9" t="s">
        <v>5871</v>
      </c>
      <c r="E406" s="9" t="str">
        <f aca="false">IF(AND('Formation Ledger'!A385&lt;&gt;"",'Formation Ledger'!V385=0),"PASS","FAIL")</f>
        <v>PASS</v>
      </c>
      <c r="F406" s="9" t="s">
        <v>76</v>
      </c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customFormat="false" ht="15" hidden="false" customHeight="false" outlineLevel="0" collapsed="false">
      <c r="A407" s="9" t="s">
        <v>6250</v>
      </c>
      <c r="B407" s="9" t="s">
        <v>5870</v>
      </c>
      <c r="C407" s="9" t="s">
        <v>597</v>
      </c>
      <c r="D407" s="9" t="s">
        <v>5871</v>
      </c>
      <c r="E407" s="9" t="str">
        <f aca="false">IF(AND('Formation Ledger'!A386&lt;&gt;"",'Formation Ledger'!V386=0),"PASS","FAIL")</f>
        <v>PASS</v>
      </c>
      <c r="F407" s="9" t="s">
        <v>76</v>
      </c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customFormat="false" ht="15" hidden="false" customHeight="false" outlineLevel="0" collapsed="false">
      <c r="A408" s="9" t="s">
        <v>6251</v>
      </c>
      <c r="B408" s="9" t="s">
        <v>5870</v>
      </c>
      <c r="C408" s="9" t="s">
        <v>598</v>
      </c>
      <c r="D408" s="9" t="s">
        <v>5871</v>
      </c>
      <c r="E408" s="9" t="str">
        <f aca="false">IF(AND('Formation Ledger'!A387&lt;&gt;"",'Formation Ledger'!V387=0),"PASS","FAIL")</f>
        <v>PASS</v>
      </c>
      <c r="F408" s="9" t="s">
        <v>76</v>
      </c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customFormat="false" ht="15" hidden="false" customHeight="false" outlineLevel="0" collapsed="false">
      <c r="A409" s="9" t="s">
        <v>6252</v>
      </c>
      <c r="B409" s="9" t="s">
        <v>5870</v>
      </c>
      <c r="C409" s="9" t="s">
        <v>599</v>
      </c>
      <c r="D409" s="9" t="s">
        <v>5871</v>
      </c>
      <c r="E409" s="9" t="str">
        <f aca="false">IF(AND('Formation Ledger'!A388&lt;&gt;"",'Formation Ledger'!V388=0),"PASS","FAIL")</f>
        <v>PASS</v>
      </c>
      <c r="F409" s="9" t="s">
        <v>76</v>
      </c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customFormat="false" ht="15" hidden="false" customHeight="false" outlineLevel="0" collapsed="false">
      <c r="A410" s="9" t="s">
        <v>6253</v>
      </c>
      <c r="B410" s="9" t="s">
        <v>5870</v>
      </c>
      <c r="C410" s="9" t="s">
        <v>600</v>
      </c>
      <c r="D410" s="9" t="s">
        <v>5871</v>
      </c>
      <c r="E410" s="9" t="str">
        <f aca="false">IF(AND('Formation Ledger'!A389&lt;&gt;"",'Formation Ledger'!V389=0),"PASS","FAIL")</f>
        <v>PASS</v>
      </c>
      <c r="F410" s="9" t="s">
        <v>76</v>
      </c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customFormat="false" ht="15" hidden="false" customHeight="false" outlineLevel="0" collapsed="false">
      <c r="A411" s="9" t="s">
        <v>6254</v>
      </c>
      <c r="B411" s="9" t="s">
        <v>5870</v>
      </c>
      <c r="C411" s="9" t="s">
        <v>601</v>
      </c>
      <c r="D411" s="9" t="s">
        <v>5871</v>
      </c>
      <c r="E411" s="9" t="str">
        <f aca="false">IF(AND('Formation Ledger'!A390&lt;&gt;"",'Formation Ledger'!V390=0),"PASS","FAIL")</f>
        <v>PASS</v>
      </c>
      <c r="F411" s="9" t="s">
        <v>76</v>
      </c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customFormat="false" ht="15" hidden="false" customHeight="false" outlineLevel="0" collapsed="false">
      <c r="A412" s="9" t="s">
        <v>6255</v>
      </c>
      <c r="B412" s="9" t="s">
        <v>5870</v>
      </c>
      <c r="C412" s="9" t="s">
        <v>602</v>
      </c>
      <c r="D412" s="9" t="s">
        <v>5871</v>
      </c>
      <c r="E412" s="9" t="str">
        <f aca="false">IF(AND('Formation Ledger'!A391&lt;&gt;"",'Formation Ledger'!V391=0),"PASS","FAIL")</f>
        <v>PASS</v>
      </c>
      <c r="F412" s="9" t="s">
        <v>76</v>
      </c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customFormat="false" ht="15" hidden="false" customHeight="false" outlineLevel="0" collapsed="false">
      <c r="A413" s="9" t="s">
        <v>6256</v>
      </c>
      <c r="B413" s="9" t="s">
        <v>5870</v>
      </c>
      <c r="C413" s="9" t="s">
        <v>603</v>
      </c>
      <c r="D413" s="9" t="s">
        <v>5871</v>
      </c>
      <c r="E413" s="9" t="str">
        <f aca="false">IF(AND('Formation Ledger'!A392&lt;&gt;"",'Formation Ledger'!V392=0),"PASS","FAIL")</f>
        <v>PASS</v>
      </c>
      <c r="F413" s="9" t="s">
        <v>76</v>
      </c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customFormat="false" ht="15" hidden="false" customHeight="false" outlineLevel="0" collapsed="false">
      <c r="A414" s="9" t="s">
        <v>6257</v>
      </c>
      <c r="B414" s="9" t="s">
        <v>5870</v>
      </c>
      <c r="C414" s="9" t="s">
        <v>604</v>
      </c>
      <c r="D414" s="9" t="s">
        <v>5871</v>
      </c>
      <c r="E414" s="9" t="str">
        <f aca="false">IF(AND('Formation Ledger'!A393&lt;&gt;"",'Formation Ledger'!V393=0),"PASS","FAIL")</f>
        <v>PASS</v>
      </c>
      <c r="F414" s="9" t="s">
        <v>76</v>
      </c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customFormat="false" ht="15" hidden="false" customHeight="false" outlineLevel="0" collapsed="false">
      <c r="A415" s="9" t="s">
        <v>6258</v>
      </c>
      <c r="B415" s="9" t="s">
        <v>5870</v>
      </c>
      <c r="C415" s="9" t="s">
        <v>605</v>
      </c>
      <c r="D415" s="9" t="s">
        <v>5871</v>
      </c>
      <c r="E415" s="9" t="str">
        <f aca="false">IF(AND('Formation Ledger'!A394&lt;&gt;"",'Formation Ledger'!V394=0),"PASS","FAIL")</f>
        <v>PASS</v>
      </c>
      <c r="F415" s="9" t="s">
        <v>76</v>
      </c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customFormat="false" ht="15" hidden="false" customHeight="false" outlineLevel="0" collapsed="false">
      <c r="A416" s="9" t="s">
        <v>6259</v>
      </c>
      <c r="B416" s="9" t="s">
        <v>5870</v>
      </c>
      <c r="C416" s="9" t="s">
        <v>606</v>
      </c>
      <c r="D416" s="9" t="s">
        <v>5871</v>
      </c>
      <c r="E416" s="9" t="str">
        <f aca="false">IF(AND('Formation Ledger'!A395&lt;&gt;"",'Formation Ledger'!V395=0),"PASS","FAIL")</f>
        <v>PASS</v>
      </c>
      <c r="F416" s="9" t="s">
        <v>76</v>
      </c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customFormat="false" ht="15" hidden="false" customHeight="false" outlineLevel="0" collapsed="false">
      <c r="A417" s="9" t="s">
        <v>6260</v>
      </c>
      <c r="B417" s="9" t="s">
        <v>5870</v>
      </c>
      <c r="C417" s="9" t="s">
        <v>607</v>
      </c>
      <c r="D417" s="9" t="s">
        <v>5871</v>
      </c>
      <c r="E417" s="9" t="str">
        <f aca="false">IF(AND('Formation Ledger'!A396&lt;&gt;"",'Formation Ledger'!V396=0),"PASS","FAIL")</f>
        <v>PASS</v>
      </c>
      <c r="F417" s="9" t="s">
        <v>76</v>
      </c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customFormat="false" ht="15" hidden="false" customHeight="false" outlineLevel="0" collapsed="false">
      <c r="A418" s="9" t="s">
        <v>6261</v>
      </c>
      <c r="B418" s="9" t="s">
        <v>5870</v>
      </c>
      <c r="C418" s="9" t="s">
        <v>608</v>
      </c>
      <c r="D418" s="9" t="s">
        <v>5871</v>
      </c>
      <c r="E418" s="9" t="str">
        <f aca="false">IF(AND('Formation Ledger'!A397&lt;&gt;"",'Formation Ledger'!V397=0),"PASS","FAIL")</f>
        <v>PASS</v>
      </c>
      <c r="F418" s="9" t="s">
        <v>76</v>
      </c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customFormat="false" ht="15" hidden="false" customHeight="false" outlineLevel="0" collapsed="false">
      <c r="A419" s="9" t="s">
        <v>6262</v>
      </c>
      <c r="B419" s="9" t="s">
        <v>5870</v>
      </c>
      <c r="C419" s="9" t="s">
        <v>609</v>
      </c>
      <c r="D419" s="9" t="s">
        <v>5871</v>
      </c>
      <c r="E419" s="9" t="str">
        <f aca="false">IF(AND('Formation Ledger'!A398&lt;&gt;"",'Formation Ledger'!V398=0),"PASS","FAIL")</f>
        <v>PASS</v>
      </c>
      <c r="F419" s="9" t="s">
        <v>76</v>
      </c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customFormat="false" ht="15" hidden="false" customHeight="false" outlineLevel="0" collapsed="false">
      <c r="A420" s="9" t="s">
        <v>6263</v>
      </c>
      <c r="B420" s="9" t="s">
        <v>5870</v>
      </c>
      <c r="C420" s="9" t="s">
        <v>610</v>
      </c>
      <c r="D420" s="9" t="s">
        <v>5871</v>
      </c>
      <c r="E420" s="9" t="str">
        <f aca="false">IF(AND('Formation Ledger'!A399&lt;&gt;"",'Formation Ledger'!V399=0),"PASS","FAIL")</f>
        <v>PASS</v>
      </c>
      <c r="F420" s="9" t="s">
        <v>76</v>
      </c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customFormat="false" ht="15" hidden="false" customHeight="false" outlineLevel="0" collapsed="false">
      <c r="A421" s="9" t="s">
        <v>6264</v>
      </c>
      <c r="B421" s="9" t="s">
        <v>5870</v>
      </c>
      <c r="C421" s="9" t="s">
        <v>611</v>
      </c>
      <c r="D421" s="9" t="s">
        <v>5871</v>
      </c>
      <c r="E421" s="9" t="str">
        <f aca="false">IF(AND('Formation Ledger'!A400&lt;&gt;"",'Formation Ledger'!V400=0),"PASS","FAIL")</f>
        <v>PASS</v>
      </c>
      <c r="F421" s="9" t="s">
        <v>76</v>
      </c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customFormat="false" ht="15" hidden="false" customHeight="false" outlineLevel="0" collapsed="false">
      <c r="A422" s="9" t="s">
        <v>6265</v>
      </c>
      <c r="B422" s="9" t="s">
        <v>5870</v>
      </c>
      <c r="C422" s="9" t="s">
        <v>612</v>
      </c>
      <c r="D422" s="9" t="s">
        <v>5871</v>
      </c>
      <c r="E422" s="9" t="str">
        <f aca="false">IF(AND('Formation Ledger'!A401&lt;&gt;"",'Formation Ledger'!V401=0),"PASS","FAIL")</f>
        <v>PASS</v>
      </c>
      <c r="F422" s="9" t="s">
        <v>76</v>
      </c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customFormat="false" ht="15" hidden="false" customHeight="false" outlineLevel="0" collapsed="false">
      <c r="A423" s="9" t="s">
        <v>6266</v>
      </c>
      <c r="B423" s="9" t="s">
        <v>5870</v>
      </c>
      <c r="C423" s="9" t="s">
        <v>613</v>
      </c>
      <c r="D423" s="9" t="s">
        <v>5871</v>
      </c>
      <c r="E423" s="9" t="str">
        <f aca="false">IF(AND('Formation Ledger'!A402&lt;&gt;"",'Formation Ledger'!V402=0),"PASS","FAIL")</f>
        <v>PASS</v>
      </c>
      <c r="F423" s="9" t="s">
        <v>76</v>
      </c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customFormat="false" ht="15" hidden="false" customHeight="false" outlineLevel="0" collapsed="false">
      <c r="A424" s="9" t="s">
        <v>6267</v>
      </c>
      <c r="B424" s="9" t="s">
        <v>5870</v>
      </c>
      <c r="C424" s="9" t="s">
        <v>614</v>
      </c>
      <c r="D424" s="9" t="s">
        <v>5871</v>
      </c>
      <c r="E424" s="9" t="str">
        <f aca="false">IF(AND('Formation Ledger'!A403&lt;&gt;"",'Formation Ledger'!V403=0),"PASS","FAIL")</f>
        <v>PASS</v>
      </c>
      <c r="F424" s="9" t="s">
        <v>76</v>
      </c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customFormat="false" ht="15" hidden="false" customHeight="false" outlineLevel="0" collapsed="false">
      <c r="A425" s="9" t="s">
        <v>6268</v>
      </c>
      <c r="B425" s="9" t="s">
        <v>5870</v>
      </c>
      <c r="C425" s="9" t="s">
        <v>615</v>
      </c>
      <c r="D425" s="9" t="s">
        <v>5871</v>
      </c>
      <c r="E425" s="9" t="str">
        <f aca="false">IF(AND('Formation Ledger'!A404&lt;&gt;"",'Formation Ledger'!V404=0),"PASS","FAIL")</f>
        <v>PASS</v>
      </c>
      <c r="F425" s="9" t="s">
        <v>76</v>
      </c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customFormat="false" ht="15" hidden="false" customHeight="false" outlineLevel="0" collapsed="false">
      <c r="A426" s="9" t="s">
        <v>6269</v>
      </c>
      <c r="B426" s="9" t="s">
        <v>5870</v>
      </c>
      <c r="C426" s="9" t="s">
        <v>616</v>
      </c>
      <c r="D426" s="9" t="s">
        <v>5871</v>
      </c>
      <c r="E426" s="9" t="str">
        <f aca="false">IF(AND('Formation Ledger'!A405&lt;&gt;"",'Formation Ledger'!V405=0),"PASS","FAIL")</f>
        <v>PASS</v>
      </c>
      <c r="F426" s="9" t="s">
        <v>76</v>
      </c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customFormat="false" ht="15" hidden="false" customHeight="false" outlineLevel="0" collapsed="false">
      <c r="A427" s="9" t="s">
        <v>6270</v>
      </c>
      <c r="B427" s="9" t="s">
        <v>5870</v>
      </c>
      <c r="C427" s="9" t="s">
        <v>620</v>
      </c>
      <c r="D427" s="9" t="s">
        <v>5871</v>
      </c>
      <c r="E427" s="9" t="str">
        <f aca="false">IF(AND('Formation Ledger'!A406&lt;&gt;"",'Formation Ledger'!V406=0),"PASS","FAIL")</f>
        <v>PASS</v>
      </c>
      <c r="F427" s="9" t="s">
        <v>76</v>
      </c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customFormat="false" ht="15" hidden="false" customHeight="false" outlineLevel="0" collapsed="false">
      <c r="A428" s="9" t="s">
        <v>6271</v>
      </c>
      <c r="B428" s="9" t="s">
        <v>5870</v>
      </c>
      <c r="C428" s="9" t="s">
        <v>621</v>
      </c>
      <c r="D428" s="9" t="s">
        <v>5871</v>
      </c>
      <c r="E428" s="9" t="str">
        <f aca="false">IF(AND('Formation Ledger'!A407&lt;&gt;"",'Formation Ledger'!V407=0),"PASS","FAIL")</f>
        <v>PASS</v>
      </c>
      <c r="F428" s="9" t="s">
        <v>76</v>
      </c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customFormat="false" ht="15" hidden="false" customHeight="false" outlineLevel="0" collapsed="false">
      <c r="A429" s="9" t="s">
        <v>6272</v>
      </c>
      <c r="B429" s="9" t="s">
        <v>5870</v>
      </c>
      <c r="C429" s="9" t="s">
        <v>622</v>
      </c>
      <c r="D429" s="9" t="s">
        <v>5871</v>
      </c>
      <c r="E429" s="9" t="str">
        <f aca="false">IF(AND('Formation Ledger'!A408&lt;&gt;"",'Formation Ledger'!V408=0),"PASS","FAIL")</f>
        <v>PASS</v>
      </c>
      <c r="F429" s="9" t="s">
        <v>76</v>
      </c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customFormat="false" ht="15" hidden="false" customHeight="false" outlineLevel="0" collapsed="false">
      <c r="A430" s="9" t="s">
        <v>6273</v>
      </c>
      <c r="B430" s="9" t="s">
        <v>5870</v>
      </c>
      <c r="C430" s="9" t="s">
        <v>623</v>
      </c>
      <c r="D430" s="9" t="s">
        <v>5871</v>
      </c>
      <c r="E430" s="9" t="str">
        <f aca="false">IF(AND('Formation Ledger'!A409&lt;&gt;"",'Formation Ledger'!V409=0),"PASS","FAIL")</f>
        <v>PASS</v>
      </c>
      <c r="F430" s="9" t="s">
        <v>76</v>
      </c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customFormat="false" ht="15" hidden="false" customHeight="false" outlineLevel="0" collapsed="false">
      <c r="A431" s="9" t="s">
        <v>6274</v>
      </c>
      <c r="B431" s="9" t="s">
        <v>5870</v>
      </c>
      <c r="C431" s="9" t="s">
        <v>624</v>
      </c>
      <c r="D431" s="9" t="s">
        <v>5871</v>
      </c>
      <c r="E431" s="9" t="str">
        <f aca="false">IF(AND('Formation Ledger'!A410&lt;&gt;"",'Formation Ledger'!V410=0),"PASS","FAIL")</f>
        <v>PASS</v>
      </c>
      <c r="F431" s="9" t="s">
        <v>76</v>
      </c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customFormat="false" ht="15" hidden="false" customHeight="false" outlineLevel="0" collapsed="false">
      <c r="A432" s="9" t="s">
        <v>6275</v>
      </c>
      <c r="B432" s="9" t="s">
        <v>5870</v>
      </c>
      <c r="C432" s="9" t="s">
        <v>625</v>
      </c>
      <c r="D432" s="9" t="s">
        <v>5871</v>
      </c>
      <c r="E432" s="9" t="str">
        <f aca="false">IF(AND('Formation Ledger'!A411&lt;&gt;"",'Formation Ledger'!V411=0),"PASS","FAIL")</f>
        <v>PASS</v>
      </c>
      <c r="F432" s="9" t="s">
        <v>76</v>
      </c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customFormat="false" ht="15" hidden="false" customHeight="false" outlineLevel="0" collapsed="false">
      <c r="A433" s="9" t="s">
        <v>6276</v>
      </c>
      <c r="B433" s="9" t="s">
        <v>5870</v>
      </c>
      <c r="C433" s="9" t="s">
        <v>626</v>
      </c>
      <c r="D433" s="9" t="s">
        <v>5871</v>
      </c>
      <c r="E433" s="9" t="str">
        <f aca="false">IF(AND('Formation Ledger'!A412&lt;&gt;"",'Formation Ledger'!V412=0),"PASS","FAIL")</f>
        <v>PASS</v>
      </c>
      <c r="F433" s="9" t="s">
        <v>76</v>
      </c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customFormat="false" ht="15" hidden="false" customHeight="false" outlineLevel="0" collapsed="false">
      <c r="A434" s="9" t="s">
        <v>6277</v>
      </c>
      <c r="B434" s="9" t="s">
        <v>5870</v>
      </c>
      <c r="C434" s="9" t="s">
        <v>627</v>
      </c>
      <c r="D434" s="9" t="s">
        <v>5871</v>
      </c>
      <c r="E434" s="9" t="str">
        <f aca="false">IF(AND('Formation Ledger'!A413&lt;&gt;"",'Formation Ledger'!V413=0),"PASS","FAIL")</f>
        <v>PASS</v>
      </c>
      <c r="F434" s="9" t="s">
        <v>76</v>
      </c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customFormat="false" ht="15" hidden="false" customHeight="false" outlineLevel="0" collapsed="false">
      <c r="A435" s="9" t="s">
        <v>6278</v>
      </c>
      <c r="B435" s="9" t="s">
        <v>5870</v>
      </c>
      <c r="C435" s="9" t="s">
        <v>628</v>
      </c>
      <c r="D435" s="9" t="s">
        <v>5871</v>
      </c>
      <c r="E435" s="9" t="str">
        <f aca="false">IF(AND('Formation Ledger'!A414&lt;&gt;"",'Formation Ledger'!V414=0),"PASS","FAIL")</f>
        <v>PASS</v>
      </c>
      <c r="F435" s="9" t="s">
        <v>76</v>
      </c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customFormat="false" ht="15" hidden="false" customHeight="false" outlineLevel="0" collapsed="false">
      <c r="A436" s="9" t="s">
        <v>6279</v>
      </c>
      <c r="B436" s="9" t="s">
        <v>5870</v>
      </c>
      <c r="C436" s="9" t="s">
        <v>629</v>
      </c>
      <c r="D436" s="9" t="s">
        <v>5871</v>
      </c>
      <c r="E436" s="9" t="str">
        <f aca="false">IF(AND('Formation Ledger'!A415&lt;&gt;"",'Formation Ledger'!V415=0),"PASS","FAIL")</f>
        <v>PASS</v>
      </c>
      <c r="F436" s="9" t="s">
        <v>76</v>
      </c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customFormat="false" ht="15" hidden="false" customHeight="false" outlineLevel="0" collapsed="false">
      <c r="A437" s="9" t="s">
        <v>6280</v>
      </c>
      <c r="B437" s="9" t="s">
        <v>5870</v>
      </c>
      <c r="C437" s="9" t="s">
        <v>630</v>
      </c>
      <c r="D437" s="9" t="s">
        <v>5871</v>
      </c>
      <c r="E437" s="9" t="str">
        <f aca="false">IF(AND('Formation Ledger'!A416&lt;&gt;"",'Formation Ledger'!V416=0),"PASS","FAIL")</f>
        <v>PASS</v>
      </c>
      <c r="F437" s="9" t="s">
        <v>76</v>
      </c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customFormat="false" ht="15" hidden="false" customHeight="false" outlineLevel="0" collapsed="false">
      <c r="A438" s="9" t="s">
        <v>6281</v>
      </c>
      <c r="B438" s="9" t="s">
        <v>5870</v>
      </c>
      <c r="C438" s="9" t="s">
        <v>631</v>
      </c>
      <c r="D438" s="9" t="s">
        <v>5871</v>
      </c>
      <c r="E438" s="9" t="str">
        <f aca="false">IF(AND('Formation Ledger'!A417&lt;&gt;"",'Formation Ledger'!V417=0),"PASS","FAIL")</f>
        <v>PASS</v>
      </c>
      <c r="F438" s="9" t="s">
        <v>76</v>
      </c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customFormat="false" ht="15" hidden="false" customHeight="false" outlineLevel="0" collapsed="false">
      <c r="A439" s="9" t="s">
        <v>6282</v>
      </c>
      <c r="B439" s="9" t="s">
        <v>5870</v>
      </c>
      <c r="C439" s="9" t="s">
        <v>632</v>
      </c>
      <c r="D439" s="9" t="s">
        <v>5871</v>
      </c>
      <c r="E439" s="9" t="str">
        <f aca="false">IF(AND('Formation Ledger'!A418&lt;&gt;"",'Formation Ledger'!V418=0),"PASS","FAIL")</f>
        <v>PASS</v>
      </c>
      <c r="F439" s="9" t="s">
        <v>76</v>
      </c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customFormat="false" ht="15" hidden="false" customHeight="false" outlineLevel="0" collapsed="false">
      <c r="A440" s="9" t="s">
        <v>6283</v>
      </c>
      <c r="B440" s="9" t="s">
        <v>5870</v>
      </c>
      <c r="C440" s="9" t="s">
        <v>633</v>
      </c>
      <c r="D440" s="9" t="s">
        <v>5871</v>
      </c>
      <c r="E440" s="9" t="str">
        <f aca="false">IF(AND('Formation Ledger'!A419&lt;&gt;"",'Formation Ledger'!V419=0),"PASS","FAIL")</f>
        <v>PASS</v>
      </c>
      <c r="F440" s="9" t="s">
        <v>76</v>
      </c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customFormat="false" ht="15" hidden="false" customHeight="false" outlineLevel="0" collapsed="false">
      <c r="A441" s="9" t="s">
        <v>6284</v>
      </c>
      <c r="B441" s="9" t="s">
        <v>5870</v>
      </c>
      <c r="C441" s="9" t="s">
        <v>634</v>
      </c>
      <c r="D441" s="9" t="s">
        <v>5871</v>
      </c>
      <c r="E441" s="9" t="str">
        <f aca="false">IF(AND('Formation Ledger'!A420&lt;&gt;"",'Formation Ledger'!V420=0),"PASS","FAIL")</f>
        <v>PASS</v>
      </c>
      <c r="F441" s="9" t="s">
        <v>76</v>
      </c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customFormat="false" ht="15" hidden="false" customHeight="false" outlineLevel="0" collapsed="false">
      <c r="A442" s="9" t="s">
        <v>6285</v>
      </c>
      <c r="B442" s="9" t="s">
        <v>5870</v>
      </c>
      <c r="C442" s="9" t="s">
        <v>635</v>
      </c>
      <c r="D442" s="9" t="s">
        <v>5871</v>
      </c>
      <c r="E442" s="9" t="str">
        <f aca="false">IF(AND('Formation Ledger'!A421&lt;&gt;"",'Formation Ledger'!V421=0),"PASS","FAIL")</f>
        <v>PASS</v>
      </c>
      <c r="F442" s="9" t="s">
        <v>76</v>
      </c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customFormat="false" ht="15" hidden="false" customHeight="false" outlineLevel="0" collapsed="false">
      <c r="A443" s="9" t="s">
        <v>6286</v>
      </c>
      <c r="B443" s="9" t="s">
        <v>5870</v>
      </c>
      <c r="C443" s="9" t="s">
        <v>636</v>
      </c>
      <c r="D443" s="9" t="s">
        <v>5871</v>
      </c>
      <c r="E443" s="9" t="str">
        <f aca="false">IF(AND('Formation Ledger'!A422&lt;&gt;"",'Formation Ledger'!V422=0),"PASS","FAIL")</f>
        <v>PASS</v>
      </c>
      <c r="F443" s="9" t="s">
        <v>76</v>
      </c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customFormat="false" ht="15" hidden="false" customHeight="false" outlineLevel="0" collapsed="false">
      <c r="A444" s="9" t="s">
        <v>6287</v>
      </c>
      <c r="B444" s="9" t="s">
        <v>5870</v>
      </c>
      <c r="C444" s="9" t="s">
        <v>637</v>
      </c>
      <c r="D444" s="9" t="s">
        <v>5871</v>
      </c>
      <c r="E444" s="9" t="str">
        <f aca="false">IF(AND('Formation Ledger'!A423&lt;&gt;"",'Formation Ledger'!V423=0),"PASS","FAIL")</f>
        <v>PASS</v>
      </c>
      <c r="F444" s="9" t="s">
        <v>76</v>
      </c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customFormat="false" ht="15" hidden="false" customHeight="false" outlineLevel="0" collapsed="false">
      <c r="A445" s="9" t="s">
        <v>6288</v>
      </c>
      <c r="B445" s="9" t="s">
        <v>5870</v>
      </c>
      <c r="C445" s="9" t="s">
        <v>638</v>
      </c>
      <c r="D445" s="9" t="s">
        <v>5871</v>
      </c>
      <c r="E445" s="9" t="str">
        <f aca="false">IF(AND('Formation Ledger'!A424&lt;&gt;"",'Formation Ledger'!V424=0),"PASS","FAIL")</f>
        <v>PASS</v>
      </c>
      <c r="F445" s="9" t="s">
        <v>76</v>
      </c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customFormat="false" ht="15" hidden="false" customHeight="false" outlineLevel="0" collapsed="false">
      <c r="A446" s="9" t="s">
        <v>6289</v>
      </c>
      <c r="B446" s="9" t="s">
        <v>5870</v>
      </c>
      <c r="C446" s="9" t="s">
        <v>639</v>
      </c>
      <c r="D446" s="9" t="s">
        <v>5871</v>
      </c>
      <c r="E446" s="9" t="str">
        <f aca="false">IF(AND('Formation Ledger'!A425&lt;&gt;"",'Formation Ledger'!V425=0),"PASS","FAIL")</f>
        <v>PASS</v>
      </c>
      <c r="F446" s="9" t="s">
        <v>76</v>
      </c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customFormat="false" ht="15" hidden="false" customHeight="false" outlineLevel="0" collapsed="false">
      <c r="A447" s="9" t="s">
        <v>6290</v>
      </c>
      <c r="B447" s="9" t="s">
        <v>5870</v>
      </c>
      <c r="C447" s="9" t="s">
        <v>640</v>
      </c>
      <c r="D447" s="9" t="s">
        <v>5871</v>
      </c>
      <c r="E447" s="9" t="str">
        <f aca="false">IF(AND('Formation Ledger'!A426&lt;&gt;"",'Formation Ledger'!V426=0),"PASS","FAIL")</f>
        <v>PASS</v>
      </c>
      <c r="F447" s="9" t="s">
        <v>76</v>
      </c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customFormat="false" ht="15" hidden="false" customHeight="false" outlineLevel="0" collapsed="false">
      <c r="A448" s="9" t="s">
        <v>6291</v>
      </c>
      <c r="B448" s="9" t="s">
        <v>5870</v>
      </c>
      <c r="C448" s="9" t="s">
        <v>641</v>
      </c>
      <c r="D448" s="9" t="s">
        <v>5871</v>
      </c>
      <c r="E448" s="9" t="str">
        <f aca="false">IF(AND('Formation Ledger'!A427&lt;&gt;"",'Formation Ledger'!V427=0),"PASS","FAIL")</f>
        <v>PASS</v>
      </c>
      <c r="F448" s="9" t="s">
        <v>76</v>
      </c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customFormat="false" ht="15" hidden="false" customHeight="false" outlineLevel="0" collapsed="false">
      <c r="A449" s="9" t="s">
        <v>6292</v>
      </c>
      <c r="B449" s="9" t="s">
        <v>5870</v>
      </c>
      <c r="C449" s="9" t="s">
        <v>642</v>
      </c>
      <c r="D449" s="9" t="s">
        <v>5871</v>
      </c>
      <c r="E449" s="9" t="str">
        <f aca="false">IF(AND('Formation Ledger'!A428&lt;&gt;"",'Formation Ledger'!V428=0),"PASS","FAIL")</f>
        <v>PASS</v>
      </c>
      <c r="F449" s="9" t="s">
        <v>76</v>
      </c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customFormat="false" ht="15" hidden="false" customHeight="false" outlineLevel="0" collapsed="false">
      <c r="A450" s="9" t="s">
        <v>6293</v>
      </c>
      <c r="B450" s="9" t="s">
        <v>5870</v>
      </c>
      <c r="C450" s="9" t="s">
        <v>643</v>
      </c>
      <c r="D450" s="9" t="s">
        <v>5871</v>
      </c>
      <c r="E450" s="9" t="str">
        <f aca="false">IF(AND('Formation Ledger'!A429&lt;&gt;"",'Formation Ledger'!V429=0),"PASS","FAIL")</f>
        <v>PASS</v>
      </c>
      <c r="F450" s="9" t="s">
        <v>76</v>
      </c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customFormat="false" ht="15" hidden="false" customHeight="false" outlineLevel="0" collapsed="false">
      <c r="A451" s="9" t="s">
        <v>6294</v>
      </c>
      <c r="B451" s="9" t="s">
        <v>5870</v>
      </c>
      <c r="C451" s="9" t="s">
        <v>644</v>
      </c>
      <c r="D451" s="9" t="s">
        <v>5871</v>
      </c>
      <c r="E451" s="9" t="str">
        <f aca="false">IF(AND('Formation Ledger'!A430&lt;&gt;"",'Formation Ledger'!V430=0),"PASS","FAIL")</f>
        <v>PASS</v>
      </c>
      <c r="F451" s="9" t="s">
        <v>76</v>
      </c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customFormat="false" ht="15" hidden="false" customHeight="false" outlineLevel="0" collapsed="false">
      <c r="A452" s="9" t="s">
        <v>6295</v>
      </c>
      <c r="B452" s="9" t="s">
        <v>5870</v>
      </c>
      <c r="C452" s="9" t="s">
        <v>645</v>
      </c>
      <c r="D452" s="9" t="s">
        <v>5871</v>
      </c>
      <c r="E452" s="9" t="str">
        <f aca="false">IF(AND('Formation Ledger'!A431&lt;&gt;"",'Formation Ledger'!V431=0),"PASS","FAIL")</f>
        <v>PASS</v>
      </c>
      <c r="F452" s="9" t="s">
        <v>76</v>
      </c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customFormat="false" ht="15" hidden="false" customHeight="false" outlineLevel="0" collapsed="false">
      <c r="A453" s="9" t="s">
        <v>6296</v>
      </c>
      <c r="B453" s="9" t="s">
        <v>5870</v>
      </c>
      <c r="C453" s="9" t="s">
        <v>646</v>
      </c>
      <c r="D453" s="9" t="s">
        <v>5871</v>
      </c>
      <c r="E453" s="9" t="str">
        <f aca="false">IF(AND('Formation Ledger'!A432&lt;&gt;"",'Formation Ledger'!V432=0),"PASS","FAIL")</f>
        <v>PASS</v>
      </c>
      <c r="F453" s="9" t="s">
        <v>76</v>
      </c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customFormat="false" ht="15" hidden="false" customHeight="false" outlineLevel="0" collapsed="false">
      <c r="A454" s="9" t="s">
        <v>6297</v>
      </c>
      <c r="B454" s="9" t="s">
        <v>5870</v>
      </c>
      <c r="C454" s="9" t="s">
        <v>647</v>
      </c>
      <c r="D454" s="9" t="s">
        <v>5871</v>
      </c>
      <c r="E454" s="9" t="str">
        <f aca="false">IF(AND('Formation Ledger'!A433&lt;&gt;"",'Formation Ledger'!V433=0),"PASS","FAIL")</f>
        <v>PASS</v>
      </c>
      <c r="F454" s="9" t="s">
        <v>76</v>
      </c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customFormat="false" ht="15" hidden="false" customHeight="false" outlineLevel="0" collapsed="false">
      <c r="A455" s="9" t="s">
        <v>6298</v>
      </c>
      <c r="B455" s="9" t="s">
        <v>5870</v>
      </c>
      <c r="C455" s="9" t="s">
        <v>648</v>
      </c>
      <c r="D455" s="9" t="s">
        <v>5871</v>
      </c>
      <c r="E455" s="9" t="str">
        <f aca="false">IF(AND('Formation Ledger'!A434&lt;&gt;"",'Formation Ledger'!V434=0),"PASS","FAIL")</f>
        <v>PASS</v>
      </c>
      <c r="F455" s="9" t="s">
        <v>76</v>
      </c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customFormat="false" ht="15" hidden="false" customHeight="false" outlineLevel="0" collapsed="false">
      <c r="A456" s="9" t="s">
        <v>6299</v>
      </c>
      <c r="B456" s="9" t="s">
        <v>5870</v>
      </c>
      <c r="C456" s="9" t="s">
        <v>649</v>
      </c>
      <c r="D456" s="9" t="s">
        <v>5871</v>
      </c>
      <c r="E456" s="9" t="str">
        <f aca="false">IF(AND('Formation Ledger'!A435&lt;&gt;"",'Formation Ledger'!V435=0),"PASS","FAIL")</f>
        <v>PASS</v>
      </c>
      <c r="F456" s="9" t="s">
        <v>76</v>
      </c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customFormat="false" ht="15" hidden="false" customHeight="false" outlineLevel="0" collapsed="false">
      <c r="A457" s="9" t="s">
        <v>6300</v>
      </c>
      <c r="B457" s="9" t="s">
        <v>5870</v>
      </c>
      <c r="C457" s="9" t="s">
        <v>650</v>
      </c>
      <c r="D457" s="9" t="s">
        <v>5871</v>
      </c>
      <c r="E457" s="9" t="str">
        <f aca="false">IF(AND('Formation Ledger'!A436&lt;&gt;"",'Formation Ledger'!V436=0),"PASS","FAIL")</f>
        <v>PASS</v>
      </c>
      <c r="F457" s="9" t="s">
        <v>76</v>
      </c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customFormat="false" ht="15" hidden="false" customHeight="false" outlineLevel="0" collapsed="false">
      <c r="A458" s="9" t="s">
        <v>6301</v>
      </c>
      <c r="B458" s="9" t="s">
        <v>5870</v>
      </c>
      <c r="C458" s="9" t="s">
        <v>651</v>
      </c>
      <c r="D458" s="9" t="s">
        <v>5871</v>
      </c>
      <c r="E458" s="9" t="str">
        <f aca="false">IF(AND('Formation Ledger'!A437&lt;&gt;"",'Formation Ledger'!V437=0),"PASS","FAIL")</f>
        <v>PASS</v>
      </c>
      <c r="F458" s="9" t="s">
        <v>76</v>
      </c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customFormat="false" ht="15" hidden="false" customHeight="false" outlineLevel="0" collapsed="false">
      <c r="A459" s="9" t="s">
        <v>6302</v>
      </c>
      <c r="B459" s="9" t="s">
        <v>5870</v>
      </c>
      <c r="C459" s="9" t="s">
        <v>652</v>
      </c>
      <c r="D459" s="9" t="s">
        <v>5871</v>
      </c>
      <c r="E459" s="9" t="str">
        <f aca="false">IF(AND('Formation Ledger'!A438&lt;&gt;"",'Formation Ledger'!V438=0),"PASS","FAIL")</f>
        <v>PASS</v>
      </c>
      <c r="F459" s="9" t="s">
        <v>76</v>
      </c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customFormat="false" ht="15" hidden="false" customHeight="false" outlineLevel="0" collapsed="false">
      <c r="A460" s="9" t="s">
        <v>6303</v>
      </c>
      <c r="B460" s="9" t="s">
        <v>5870</v>
      </c>
      <c r="C460" s="9" t="s">
        <v>653</v>
      </c>
      <c r="D460" s="9" t="s">
        <v>5871</v>
      </c>
      <c r="E460" s="9" t="str">
        <f aca="false">IF(AND('Formation Ledger'!A439&lt;&gt;"",'Formation Ledger'!V439=0),"PASS","FAIL")</f>
        <v>PASS</v>
      </c>
      <c r="F460" s="9" t="s">
        <v>76</v>
      </c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customFormat="false" ht="15" hidden="false" customHeight="false" outlineLevel="0" collapsed="false">
      <c r="A461" s="9" t="s">
        <v>6304</v>
      </c>
      <c r="B461" s="9" t="s">
        <v>5870</v>
      </c>
      <c r="C461" s="9" t="s">
        <v>654</v>
      </c>
      <c r="D461" s="9" t="s">
        <v>5871</v>
      </c>
      <c r="E461" s="9" t="str">
        <f aca="false">IF(AND('Formation Ledger'!A440&lt;&gt;"",'Formation Ledger'!V440=0),"PASS","FAIL")</f>
        <v>PASS</v>
      </c>
      <c r="F461" s="9" t="s">
        <v>76</v>
      </c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customFormat="false" ht="15" hidden="false" customHeight="false" outlineLevel="0" collapsed="false">
      <c r="A462" s="9" t="s">
        <v>6305</v>
      </c>
      <c r="B462" s="9" t="s">
        <v>5870</v>
      </c>
      <c r="C462" s="9" t="s">
        <v>655</v>
      </c>
      <c r="D462" s="9" t="s">
        <v>5871</v>
      </c>
      <c r="E462" s="9" t="str">
        <f aca="false">IF(AND('Formation Ledger'!A441&lt;&gt;"",'Formation Ledger'!V441=0),"PASS","FAIL")</f>
        <v>PASS</v>
      </c>
      <c r="F462" s="9" t="s">
        <v>76</v>
      </c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customFormat="false" ht="15" hidden="false" customHeight="false" outlineLevel="0" collapsed="false">
      <c r="A463" s="9" t="s">
        <v>6306</v>
      </c>
      <c r="B463" s="9" t="s">
        <v>5870</v>
      </c>
      <c r="C463" s="9" t="s">
        <v>656</v>
      </c>
      <c r="D463" s="9" t="s">
        <v>5871</v>
      </c>
      <c r="E463" s="9" t="str">
        <f aca="false">IF(AND('Formation Ledger'!A442&lt;&gt;"",'Formation Ledger'!V442=0),"PASS","FAIL")</f>
        <v>PASS</v>
      </c>
      <c r="F463" s="9" t="s">
        <v>76</v>
      </c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customFormat="false" ht="15" hidden="false" customHeight="false" outlineLevel="0" collapsed="false">
      <c r="A464" s="9" t="s">
        <v>6307</v>
      </c>
      <c r="B464" s="9" t="s">
        <v>5870</v>
      </c>
      <c r="C464" s="9" t="s">
        <v>657</v>
      </c>
      <c r="D464" s="9" t="s">
        <v>5871</v>
      </c>
      <c r="E464" s="9" t="str">
        <f aca="false">IF(AND('Formation Ledger'!A443&lt;&gt;"",'Formation Ledger'!V443=0),"PASS","FAIL")</f>
        <v>PASS</v>
      </c>
      <c r="F464" s="9" t="s">
        <v>76</v>
      </c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customFormat="false" ht="15" hidden="false" customHeight="false" outlineLevel="0" collapsed="false">
      <c r="A465" s="9" t="s">
        <v>6308</v>
      </c>
      <c r="B465" s="9" t="s">
        <v>5870</v>
      </c>
      <c r="C465" s="9" t="s">
        <v>658</v>
      </c>
      <c r="D465" s="9" t="s">
        <v>5871</v>
      </c>
      <c r="E465" s="9" t="str">
        <f aca="false">IF(AND('Formation Ledger'!A444&lt;&gt;"",'Formation Ledger'!V444=0),"PASS","FAIL")</f>
        <v>PASS</v>
      </c>
      <c r="F465" s="9" t="s">
        <v>76</v>
      </c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customFormat="false" ht="15" hidden="false" customHeight="false" outlineLevel="0" collapsed="false">
      <c r="A466" s="9" t="s">
        <v>6309</v>
      </c>
      <c r="B466" s="9" t="s">
        <v>5870</v>
      </c>
      <c r="C466" s="9" t="s">
        <v>659</v>
      </c>
      <c r="D466" s="9" t="s">
        <v>5871</v>
      </c>
      <c r="E466" s="9" t="str">
        <f aca="false">IF(AND('Formation Ledger'!A445&lt;&gt;"",'Formation Ledger'!V445=0),"PASS","FAIL")</f>
        <v>PASS</v>
      </c>
      <c r="F466" s="9" t="s">
        <v>76</v>
      </c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customFormat="false" ht="15" hidden="false" customHeight="false" outlineLevel="0" collapsed="false">
      <c r="A467" s="9" t="s">
        <v>6310</v>
      </c>
      <c r="B467" s="9" t="s">
        <v>5870</v>
      </c>
      <c r="C467" s="9" t="s">
        <v>660</v>
      </c>
      <c r="D467" s="9" t="s">
        <v>5871</v>
      </c>
      <c r="E467" s="9" t="str">
        <f aca="false">IF(AND('Formation Ledger'!A446&lt;&gt;"",'Formation Ledger'!V446=0),"PASS","FAIL")</f>
        <v>PASS</v>
      </c>
      <c r="F467" s="9" t="s">
        <v>76</v>
      </c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customFormat="false" ht="15" hidden="false" customHeight="false" outlineLevel="0" collapsed="false">
      <c r="A468" s="9" t="s">
        <v>6311</v>
      </c>
      <c r="B468" s="9" t="s">
        <v>5870</v>
      </c>
      <c r="C468" s="9" t="s">
        <v>661</v>
      </c>
      <c r="D468" s="9" t="s">
        <v>5871</v>
      </c>
      <c r="E468" s="9" t="str">
        <f aca="false">IF(AND('Formation Ledger'!A447&lt;&gt;"",'Formation Ledger'!V447=0),"PASS","FAIL")</f>
        <v>PASS</v>
      </c>
      <c r="F468" s="9" t="s">
        <v>76</v>
      </c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customFormat="false" ht="15" hidden="false" customHeight="false" outlineLevel="0" collapsed="false">
      <c r="A469" s="9" t="s">
        <v>6312</v>
      </c>
      <c r="B469" s="9" t="s">
        <v>5870</v>
      </c>
      <c r="C469" s="9" t="s">
        <v>662</v>
      </c>
      <c r="D469" s="9" t="s">
        <v>5871</v>
      </c>
      <c r="E469" s="9" t="str">
        <f aca="false">IF(AND('Formation Ledger'!A448&lt;&gt;"",'Formation Ledger'!V448=0),"PASS","FAIL")</f>
        <v>PASS</v>
      </c>
      <c r="F469" s="9" t="s">
        <v>76</v>
      </c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customFormat="false" ht="15" hidden="false" customHeight="false" outlineLevel="0" collapsed="false">
      <c r="A470" s="9" t="s">
        <v>6313</v>
      </c>
      <c r="B470" s="9" t="s">
        <v>5870</v>
      </c>
      <c r="C470" s="9" t="s">
        <v>663</v>
      </c>
      <c r="D470" s="9" t="s">
        <v>5871</v>
      </c>
      <c r="E470" s="9" t="str">
        <f aca="false">IF(AND('Formation Ledger'!A449&lt;&gt;"",'Formation Ledger'!V449=0),"PASS","FAIL")</f>
        <v>PASS</v>
      </c>
      <c r="F470" s="9" t="s">
        <v>76</v>
      </c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customFormat="false" ht="15" hidden="false" customHeight="false" outlineLevel="0" collapsed="false">
      <c r="A471" s="9" t="s">
        <v>6314</v>
      </c>
      <c r="B471" s="9" t="s">
        <v>5870</v>
      </c>
      <c r="C471" s="9" t="s">
        <v>664</v>
      </c>
      <c r="D471" s="9" t="s">
        <v>5871</v>
      </c>
      <c r="E471" s="9" t="str">
        <f aca="false">IF(AND('Formation Ledger'!A450&lt;&gt;"",'Formation Ledger'!V450=0),"PASS","FAIL")</f>
        <v>PASS</v>
      </c>
      <c r="F471" s="9" t="s">
        <v>76</v>
      </c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customFormat="false" ht="15" hidden="false" customHeight="false" outlineLevel="0" collapsed="false">
      <c r="A472" s="9" t="s">
        <v>6315</v>
      </c>
      <c r="B472" s="9" t="s">
        <v>5870</v>
      </c>
      <c r="C472" s="9" t="s">
        <v>665</v>
      </c>
      <c r="D472" s="9" t="s">
        <v>5871</v>
      </c>
      <c r="E472" s="9" t="str">
        <f aca="false">IF(AND('Formation Ledger'!A451&lt;&gt;"",'Formation Ledger'!V451=0),"PASS","FAIL")</f>
        <v>PASS</v>
      </c>
      <c r="F472" s="9" t="s">
        <v>76</v>
      </c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customFormat="false" ht="15" hidden="false" customHeight="false" outlineLevel="0" collapsed="false">
      <c r="A473" s="9" t="s">
        <v>6316</v>
      </c>
      <c r="B473" s="9" t="s">
        <v>5870</v>
      </c>
      <c r="C473" s="9" t="s">
        <v>666</v>
      </c>
      <c r="D473" s="9" t="s">
        <v>5871</v>
      </c>
      <c r="E473" s="9" t="str">
        <f aca="false">IF(AND('Formation Ledger'!A452&lt;&gt;"",'Formation Ledger'!V452=0),"PASS","FAIL")</f>
        <v>PASS</v>
      </c>
      <c r="F473" s="9" t="s">
        <v>76</v>
      </c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customFormat="false" ht="15" hidden="false" customHeight="false" outlineLevel="0" collapsed="false">
      <c r="A474" s="9" t="s">
        <v>6317</v>
      </c>
      <c r="B474" s="9" t="s">
        <v>5870</v>
      </c>
      <c r="C474" s="9" t="s">
        <v>667</v>
      </c>
      <c r="D474" s="9" t="s">
        <v>5871</v>
      </c>
      <c r="E474" s="9" t="str">
        <f aca="false">IF(AND('Formation Ledger'!A453&lt;&gt;"",'Formation Ledger'!V453=0),"PASS","FAIL")</f>
        <v>PASS</v>
      </c>
      <c r="F474" s="9" t="s">
        <v>76</v>
      </c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customFormat="false" ht="15" hidden="false" customHeight="false" outlineLevel="0" collapsed="false">
      <c r="A475" s="9" t="s">
        <v>6318</v>
      </c>
      <c r="B475" s="9" t="s">
        <v>5870</v>
      </c>
      <c r="C475" s="9" t="s">
        <v>668</v>
      </c>
      <c r="D475" s="9" t="s">
        <v>5871</v>
      </c>
      <c r="E475" s="9" t="str">
        <f aca="false">IF(AND('Formation Ledger'!A454&lt;&gt;"",'Formation Ledger'!V454=0),"PASS","FAIL")</f>
        <v>PASS</v>
      </c>
      <c r="F475" s="9" t="s">
        <v>76</v>
      </c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customFormat="false" ht="15" hidden="false" customHeight="false" outlineLevel="0" collapsed="false">
      <c r="A476" s="9" t="s">
        <v>6319</v>
      </c>
      <c r="B476" s="9" t="s">
        <v>5870</v>
      </c>
      <c r="C476" s="9" t="s">
        <v>669</v>
      </c>
      <c r="D476" s="9" t="s">
        <v>5871</v>
      </c>
      <c r="E476" s="9" t="str">
        <f aca="false">IF(AND('Formation Ledger'!A455&lt;&gt;"",'Formation Ledger'!V455=0),"PASS","FAIL")</f>
        <v>PASS</v>
      </c>
      <c r="F476" s="9" t="s">
        <v>76</v>
      </c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customFormat="false" ht="15" hidden="false" customHeight="false" outlineLevel="0" collapsed="false">
      <c r="A477" s="9" t="s">
        <v>6320</v>
      </c>
      <c r="B477" s="9" t="s">
        <v>5870</v>
      </c>
      <c r="C477" s="9" t="s">
        <v>670</v>
      </c>
      <c r="D477" s="9" t="s">
        <v>5871</v>
      </c>
      <c r="E477" s="9" t="str">
        <f aca="false">IF(AND('Formation Ledger'!A456&lt;&gt;"",'Formation Ledger'!V456=0),"PASS","FAIL")</f>
        <v>PASS</v>
      </c>
      <c r="F477" s="9" t="s">
        <v>76</v>
      </c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customFormat="false" ht="15" hidden="false" customHeight="false" outlineLevel="0" collapsed="false">
      <c r="A478" s="9" t="s">
        <v>6321</v>
      </c>
      <c r="B478" s="9" t="s">
        <v>5870</v>
      </c>
      <c r="C478" s="9" t="s">
        <v>671</v>
      </c>
      <c r="D478" s="9" t="s">
        <v>5871</v>
      </c>
      <c r="E478" s="9" t="str">
        <f aca="false">IF(AND('Formation Ledger'!A457&lt;&gt;"",'Formation Ledger'!V457=0),"PASS","FAIL")</f>
        <v>PASS</v>
      </c>
      <c r="F478" s="9" t="s">
        <v>76</v>
      </c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customFormat="false" ht="15" hidden="false" customHeight="false" outlineLevel="0" collapsed="false">
      <c r="A479" s="9" t="s">
        <v>6322</v>
      </c>
      <c r="B479" s="9" t="s">
        <v>5870</v>
      </c>
      <c r="C479" s="9" t="s">
        <v>672</v>
      </c>
      <c r="D479" s="9" t="s">
        <v>5871</v>
      </c>
      <c r="E479" s="9" t="str">
        <f aca="false">IF(AND('Formation Ledger'!A458&lt;&gt;"",'Formation Ledger'!V458=0),"PASS","FAIL")</f>
        <v>PASS</v>
      </c>
      <c r="F479" s="9" t="s">
        <v>76</v>
      </c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customFormat="false" ht="15" hidden="false" customHeight="false" outlineLevel="0" collapsed="false">
      <c r="A480" s="9" t="s">
        <v>6323</v>
      </c>
      <c r="B480" s="9" t="s">
        <v>5870</v>
      </c>
      <c r="C480" s="9" t="s">
        <v>673</v>
      </c>
      <c r="D480" s="9" t="s">
        <v>5871</v>
      </c>
      <c r="E480" s="9" t="str">
        <f aca="false">IF(AND('Formation Ledger'!A459&lt;&gt;"",'Formation Ledger'!V459=0),"PASS","FAIL")</f>
        <v>PASS</v>
      </c>
      <c r="F480" s="9" t="s">
        <v>76</v>
      </c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customFormat="false" ht="15" hidden="false" customHeight="false" outlineLevel="0" collapsed="false">
      <c r="A481" s="9" t="s">
        <v>6324</v>
      </c>
      <c r="B481" s="9" t="s">
        <v>5870</v>
      </c>
      <c r="C481" s="9" t="s">
        <v>674</v>
      </c>
      <c r="D481" s="9" t="s">
        <v>5871</v>
      </c>
      <c r="E481" s="9" t="str">
        <f aca="false">IF(AND('Formation Ledger'!A460&lt;&gt;"",'Formation Ledger'!V460=0),"PASS","FAIL")</f>
        <v>PASS</v>
      </c>
      <c r="F481" s="9" t="s">
        <v>76</v>
      </c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customFormat="false" ht="15" hidden="false" customHeight="false" outlineLevel="0" collapsed="false">
      <c r="A482" s="9" t="s">
        <v>6325</v>
      </c>
      <c r="B482" s="9" t="s">
        <v>5870</v>
      </c>
      <c r="C482" s="9" t="s">
        <v>675</v>
      </c>
      <c r="D482" s="9" t="s">
        <v>5871</v>
      </c>
      <c r="E482" s="9" t="str">
        <f aca="false">IF(AND('Formation Ledger'!A461&lt;&gt;"",'Formation Ledger'!V461=0),"PASS","FAIL")</f>
        <v>PASS</v>
      </c>
      <c r="F482" s="9" t="s">
        <v>76</v>
      </c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customFormat="false" ht="15" hidden="false" customHeight="false" outlineLevel="0" collapsed="false">
      <c r="A483" s="9" t="s">
        <v>6326</v>
      </c>
      <c r="B483" s="9" t="s">
        <v>5870</v>
      </c>
      <c r="C483" s="9" t="s">
        <v>676</v>
      </c>
      <c r="D483" s="9" t="s">
        <v>5871</v>
      </c>
      <c r="E483" s="9" t="str">
        <f aca="false">IF(AND('Formation Ledger'!A462&lt;&gt;"",'Formation Ledger'!V462=0),"PASS","FAIL")</f>
        <v>PASS</v>
      </c>
      <c r="F483" s="9" t="s">
        <v>76</v>
      </c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customFormat="false" ht="15" hidden="false" customHeight="false" outlineLevel="0" collapsed="false">
      <c r="A484" s="9" t="s">
        <v>6327</v>
      </c>
      <c r="B484" s="9" t="s">
        <v>5870</v>
      </c>
      <c r="C484" s="9" t="s">
        <v>677</v>
      </c>
      <c r="D484" s="9" t="s">
        <v>5871</v>
      </c>
      <c r="E484" s="9" t="str">
        <f aca="false">IF(AND('Formation Ledger'!A463&lt;&gt;"",'Formation Ledger'!V463=0),"PASS","FAIL")</f>
        <v>PASS</v>
      </c>
      <c r="F484" s="9" t="s">
        <v>76</v>
      </c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customFormat="false" ht="15" hidden="false" customHeight="false" outlineLevel="0" collapsed="false">
      <c r="A485" s="9" t="s">
        <v>6328</v>
      </c>
      <c r="B485" s="9" t="s">
        <v>5870</v>
      </c>
      <c r="C485" s="9" t="s">
        <v>678</v>
      </c>
      <c r="D485" s="9" t="s">
        <v>5871</v>
      </c>
      <c r="E485" s="9" t="str">
        <f aca="false">IF(AND('Formation Ledger'!A464&lt;&gt;"",'Formation Ledger'!V464=0),"PASS","FAIL")</f>
        <v>PASS</v>
      </c>
      <c r="F485" s="9" t="s">
        <v>76</v>
      </c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customFormat="false" ht="15" hidden="false" customHeight="false" outlineLevel="0" collapsed="false">
      <c r="A486" s="9" t="s">
        <v>6329</v>
      </c>
      <c r="B486" s="9" t="s">
        <v>5870</v>
      </c>
      <c r="C486" s="9" t="s">
        <v>679</v>
      </c>
      <c r="D486" s="9" t="s">
        <v>5871</v>
      </c>
      <c r="E486" s="9" t="str">
        <f aca="false">IF(AND('Formation Ledger'!A465&lt;&gt;"",'Formation Ledger'!V465=0),"PASS","FAIL")</f>
        <v>PASS</v>
      </c>
      <c r="F486" s="9" t="s">
        <v>76</v>
      </c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customFormat="false" ht="15" hidden="false" customHeight="false" outlineLevel="0" collapsed="false">
      <c r="A487" s="9" t="s">
        <v>6330</v>
      </c>
      <c r="B487" s="9" t="s">
        <v>5870</v>
      </c>
      <c r="C487" s="9" t="s">
        <v>680</v>
      </c>
      <c r="D487" s="9" t="s">
        <v>5871</v>
      </c>
      <c r="E487" s="9" t="str">
        <f aca="false">IF(AND('Formation Ledger'!A466&lt;&gt;"",'Formation Ledger'!V466=0),"PASS","FAIL")</f>
        <v>PASS</v>
      </c>
      <c r="F487" s="9" t="s">
        <v>76</v>
      </c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customFormat="false" ht="15" hidden="false" customHeight="false" outlineLevel="0" collapsed="false">
      <c r="A488" s="9" t="s">
        <v>6331</v>
      </c>
      <c r="B488" s="9" t="s">
        <v>5870</v>
      </c>
      <c r="C488" s="9" t="s">
        <v>681</v>
      </c>
      <c r="D488" s="9" t="s">
        <v>5871</v>
      </c>
      <c r="E488" s="9" t="str">
        <f aca="false">IF(AND('Formation Ledger'!A467&lt;&gt;"",'Formation Ledger'!V467=0),"PASS","FAIL")</f>
        <v>PASS</v>
      </c>
      <c r="F488" s="9" t="s">
        <v>76</v>
      </c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customFormat="false" ht="15" hidden="false" customHeight="false" outlineLevel="0" collapsed="false">
      <c r="A489" s="9" t="s">
        <v>6332</v>
      </c>
      <c r="B489" s="9" t="s">
        <v>5870</v>
      </c>
      <c r="C489" s="9" t="s">
        <v>682</v>
      </c>
      <c r="D489" s="9" t="s">
        <v>5871</v>
      </c>
      <c r="E489" s="9" t="str">
        <f aca="false">IF(AND('Formation Ledger'!A468&lt;&gt;"",'Formation Ledger'!V468=0),"PASS","FAIL")</f>
        <v>PASS</v>
      </c>
      <c r="F489" s="9" t="s">
        <v>76</v>
      </c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customFormat="false" ht="15" hidden="false" customHeight="false" outlineLevel="0" collapsed="false">
      <c r="A490" s="9" t="s">
        <v>6333</v>
      </c>
      <c r="B490" s="9" t="s">
        <v>5870</v>
      </c>
      <c r="C490" s="9" t="s">
        <v>683</v>
      </c>
      <c r="D490" s="9" t="s">
        <v>5871</v>
      </c>
      <c r="E490" s="9" t="str">
        <f aca="false">IF(AND('Formation Ledger'!A469&lt;&gt;"",'Formation Ledger'!V469=0),"PASS","FAIL")</f>
        <v>PASS</v>
      </c>
      <c r="F490" s="9" t="s">
        <v>76</v>
      </c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customFormat="false" ht="15" hidden="false" customHeight="false" outlineLevel="0" collapsed="false">
      <c r="A491" s="9" t="s">
        <v>6334</v>
      </c>
      <c r="B491" s="9" t="s">
        <v>5870</v>
      </c>
      <c r="C491" s="9" t="s">
        <v>684</v>
      </c>
      <c r="D491" s="9" t="s">
        <v>5871</v>
      </c>
      <c r="E491" s="9" t="str">
        <f aca="false">IF(AND('Formation Ledger'!A470&lt;&gt;"",'Formation Ledger'!V470=0),"PASS","FAIL")</f>
        <v>PASS</v>
      </c>
      <c r="F491" s="9" t="s">
        <v>76</v>
      </c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customFormat="false" ht="15" hidden="false" customHeight="false" outlineLevel="0" collapsed="false">
      <c r="A492" s="9" t="s">
        <v>6335</v>
      </c>
      <c r="B492" s="9" t="s">
        <v>5870</v>
      </c>
      <c r="C492" s="9" t="s">
        <v>685</v>
      </c>
      <c r="D492" s="9" t="s">
        <v>5871</v>
      </c>
      <c r="E492" s="9" t="str">
        <f aca="false">IF(AND('Formation Ledger'!A471&lt;&gt;"",'Formation Ledger'!V471=0),"PASS","FAIL")</f>
        <v>PASS</v>
      </c>
      <c r="F492" s="9" t="s">
        <v>76</v>
      </c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customFormat="false" ht="15" hidden="false" customHeight="false" outlineLevel="0" collapsed="false">
      <c r="A493" s="9" t="s">
        <v>6336</v>
      </c>
      <c r="B493" s="9" t="s">
        <v>5870</v>
      </c>
      <c r="C493" s="9" t="s">
        <v>686</v>
      </c>
      <c r="D493" s="9" t="s">
        <v>5871</v>
      </c>
      <c r="E493" s="9" t="str">
        <f aca="false">IF(AND('Formation Ledger'!A472&lt;&gt;"",'Formation Ledger'!V472=0),"PASS","FAIL")</f>
        <v>PASS</v>
      </c>
      <c r="F493" s="9" t="s">
        <v>76</v>
      </c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customFormat="false" ht="15" hidden="false" customHeight="false" outlineLevel="0" collapsed="false">
      <c r="A494" s="9" t="s">
        <v>6337</v>
      </c>
      <c r="B494" s="9" t="s">
        <v>5870</v>
      </c>
      <c r="C494" s="9" t="s">
        <v>687</v>
      </c>
      <c r="D494" s="9" t="s">
        <v>5871</v>
      </c>
      <c r="E494" s="9" t="str">
        <f aca="false">IF(AND('Formation Ledger'!A473&lt;&gt;"",'Formation Ledger'!V473=0),"PASS","FAIL")</f>
        <v>PASS</v>
      </c>
      <c r="F494" s="9" t="s">
        <v>76</v>
      </c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customFormat="false" ht="15" hidden="false" customHeight="false" outlineLevel="0" collapsed="false">
      <c r="A495" s="9" t="s">
        <v>6338</v>
      </c>
      <c r="B495" s="9" t="s">
        <v>5870</v>
      </c>
      <c r="C495" s="9" t="s">
        <v>688</v>
      </c>
      <c r="D495" s="9" t="s">
        <v>5871</v>
      </c>
      <c r="E495" s="9" t="str">
        <f aca="false">IF(AND('Formation Ledger'!A474&lt;&gt;"",'Formation Ledger'!V474=0),"PASS","FAIL")</f>
        <v>PASS</v>
      </c>
      <c r="F495" s="9" t="s">
        <v>76</v>
      </c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customFormat="false" ht="15" hidden="false" customHeight="false" outlineLevel="0" collapsed="false">
      <c r="A496" s="9" t="s">
        <v>6339</v>
      </c>
      <c r="B496" s="9" t="s">
        <v>5870</v>
      </c>
      <c r="C496" s="9" t="s">
        <v>689</v>
      </c>
      <c r="D496" s="9" t="s">
        <v>5871</v>
      </c>
      <c r="E496" s="9" t="str">
        <f aca="false">IF(AND('Formation Ledger'!A475&lt;&gt;"",'Formation Ledger'!V475=0),"PASS","FAIL")</f>
        <v>PASS</v>
      </c>
      <c r="F496" s="9" t="s">
        <v>76</v>
      </c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customFormat="false" ht="15" hidden="false" customHeight="false" outlineLevel="0" collapsed="false">
      <c r="A497" s="9" t="s">
        <v>6340</v>
      </c>
      <c r="B497" s="9" t="s">
        <v>5870</v>
      </c>
      <c r="C497" s="9" t="s">
        <v>690</v>
      </c>
      <c r="D497" s="9" t="s">
        <v>5871</v>
      </c>
      <c r="E497" s="9" t="str">
        <f aca="false">IF(AND('Formation Ledger'!A476&lt;&gt;"",'Formation Ledger'!V476=0),"PASS","FAIL")</f>
        <v>PASS</v>
      </c>
      <c r="F497" s="9" t="s">
        <v>76</v>
      </c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customFormat="false" ht="15" hidden="false" customHeight="false" outlineLevel="0" collapsed="false">
      <c r="A498" s="9" t="s">
        <v>6341</v>
      </c>
      <c r="B498" s="9" t="s">
        <v>5870</v>
      </c>
      <c r="C498" s="9" t="s">
        <v>691</v>
      </c>
      <c r="D498" s="9" t="s">
        <v>5871</v>
      </c>
      <c r="E498" s="9" t="str">
        <f aca="false">IF(AND('Formation Ledger'!A477&lt;&gt;"",'Formation Ledger'!V477=0),"PASS","FAIL")</f>
        <v>PASS</v>
      </c>
      <c r="F498" s="9" t="s">
        <v>76</v>
      </c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customFormat="false" ht="15" hidden="false" customHeight="false" outlineLevel="0" collapsed="false">
      <c r="A499" s="9" t="s">
        <v>6342</v>
      </c>
      <c r="B499" s="9" t="s">
        <v>5870</v>
      </c>
      <c r="C499" s="9" t="s">
        <v>692</v>
      </c>
      <c r="D499" s="9" t="s">
        <v>5871</v>
      </c>
      <c r="E499" s="9" t="str">
        <f aca="false">IF(AND('Formation Ledger'!A478&lt;&gt;"",'Formation Ledger'!V478=0),"PASS","FAIL")</f>
        <v>PASS</v>
      </c>
      <c r="F499" s="9" t="s">
        <v>76</v>
      </c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customFormat="false" ht="15" hidden="false" customHeight="false" outlineLevel="0" collapsed="false">
      <c r="A500" s="9" t="s">
        <v>6343</v>
      </c>
      <c r="B500" s="9" t="s">
        <v>5870</v>
      </c>
      <c r="C500" s="9" t="s">
        <v>693</v>
      </c>
      <c r="D500" s="9" t="s">
        <v>5871</v>
      </c>
      <c r="E500" s="9" t="str">
        <f aca="false">IF(AND('Formation Ledger'!A479&lt;&gt;"",'Formation Ledger'!V479=0),"PASS","FAIL")</f>
        <v>PASS</v>
      </c>
      <c r="F500" s="9" t="s">
        <v>76</v>
      </c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customFormat="false" ht="15" hidden="false" customHeight="false" outlineLevel="0" collapsed="false">
      <c r="A501" s="9" t="s">
        <v>6344</v>
      </c>
      <c r="B501" s="9" t="s">
        <v>5870</v>
      </c>
      <c r="C501" s="9" t="s">
        <v>694</v>
      </c>
      <c r="D501" s="9" t="s">
        <v>5871</v>
      </c>
      <c r="E501" s="9" t="str">
        <f aca="false">IF(AND('Formation Ledger'!A480&lt;&gt;"",'Formation Ledger'!V480=0),"PASS","FAIL")</f>
        <v>PASS</v>
      </c>
      <c r="F501" s="9" t="s">
        <v>76</v>
      </c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customFormat="false" ht="15" hidden="false" customHeight="false" outlineLevel="0" collapsed="false">
      <c r="A502" s="9" t="s">
        <v>6345</v>
      </c>
      <c r="B502" s="9" t="s">
        <v>5870</v>
      </c>
      <c r="C502" s="9" t="s">
        <v>695</v>
      </c>
      <c r="D502" s="9" t="s">
        <v>5871</v>
      </c>
      <c r="E502" s="9" t="str">
        <f aca="false">IF(AND('Formation Ledger'!A481&lt;&gt;"",'Formation Ledger'!V481=0),"PASS","FAIL")</f>
        <v>PASS</v>
      </c>
      <c r="F502" s="9" t="s">
        <v>76</v>
      </c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customFormat="false" ht="15" hidden="false" customHeight="false" outlineLevel="0" collapsed="false">
      <c r="A503" s="9" t="s">
        <v>6346</v>
      </c>
      <c r="B503" s="9" t="s">
        <v>5870</v>
      </c>
      <c r="C503" s="9" t="s">
        <v>696</v>
      </c>
      <c r="D503" s="9" t="s">
        <v>5871</v>
      </c>
      <c r="E503" s="9" t="str">
        <f aca="false">IF(AND('Formation Ledger'!A482&lt;&gt;"",'Formation Ledger'!V482=0),"PASS","FAIL")</f>
        <v>PASS</v>
      </c>
      <c r="F503" s="9" t="s">
        <v>76</v>
      </c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customFormat="false" ht="15" hidden="false" customHeight="false" outlineLevel="0" collapsed="false">
      <c r="A504" s="9" t="s">
        <v>6347</v>
      </c>
      <c r="B504" s="9" t="s">
        <v>5870</v>
      </c>
      <c r="C504" s="9" t="s">
        <v>697</v>
      </c>
      <c r="D504" s="9" t="s">
        <v>5871</v>
      </c>
      <c r="E504" s="9" t="str">
        <f aca="false">IF(AND('Formation Ledger'!A483&lt;&gt;"",'Formation Ledger'!V483=0),"PASS","FAIL")</f>
        <v>PASS</v>
      </c>
      <c r="F504" s="9" t="s">
        <v>76</v>
      </c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customFormat="false" ht="15" hidden="false" customHeight="false" outlineLevel="0" collapsed="false">
      <c r="A505" s="9" t="s">
        <v>6348</v>
      </c>
      <c r="B505" s="9" t="s">
        <v>5870</v>
      </c>
      <c r="C505" s="9" t="s">
        <v>698</v>
      </c>
      <c r="D505" s="9" t="s">
        <v>5871</v>
      </c>
      <c r="E505" s="9" t="str">
        <f aca="false">IF(AND('Formation Ledger'!A484&lt;&gt;"",'Formation Ledger'!V484=0),"PASS","FAIL")</f>
        <v>PASS</v>
      </c>
      <c r="F505" s="9" t="s">
        <v>76</v>
      </c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customFormat="false" ht="15" hidden="false" customHeight="false" outlineLevel="0" collapsed="false">
      <c r="A506" s="9" t="s">
        <v>6349</v>
      </c>
      <c r="B506" s="9" t="s">
        <v>5870</v>
      </c>
      <c r="C506" s="9" t="s">
        <v>699</v>
      </c>
      <c r="D506" s="9" t="s">
        <v>5871</v>
      </c>
      <c r="E506" s="9" t="str">
        <f aca="false">IF(AND('Formation Ledger'!A485&lt;&gt;"",'Formation Ledger'!V485=0),"PASS","FAIL")</f>
        <v>PASS</v>
      </c>
      <c r="F506" s="9" t="s">
        <v>76</v>
      </c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customFormat="false" ht="15" hidden="false" customHeight="false" outlineLevel="0" collapsed="false">
      <c r="A507" s="9" t="s">
        <v>6350</v>
      </c>
      <c r="B507" s="9" t="s">
        <v>5870</v>
      </c>
      <c r="C507" s="9" t="s">
        <v>700</v>
      </c>
      <c r="D507" s="9" t="s">
        <v>5871</v>
      </c>
      <c r="E507" s="9" t="str">
        <f aca="false">IF(AND('Formation Ledger'!A486&lt;&gt;"",'Formation Ledger'!V486=0),"PASS","FAIL")</f>
        <v>PASS</v>
      </c>
      <c r="F507" s="9" t="s">
        <v>76</v>
      </c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customFormat="false" ht="15" hidden="false" customHeight="false" outlineLevel="0" collapsed="false">
      <c r="A508" s="9" t="s">
        <v>6351</v>
      </c>
      <c r="B508" s="9" t="s">
        <v>5870</v>
      </c>
      <c r="C508" s="9" t="s">
        <v>701</v>
      </c>
      <c r="D508" s="9" t="s">
        <v>5871</v>
      </c>
      <c r="E508" s="9" t="str">
        <f aca="false">IF(AND('Formation Ledger'!A487&lt;&gt;"",'Formation Ledger'!V487=0),"PASS","FAIL")</f>
        <v>PASS</v>
      </c>
      <c r="F508" s="9" t="s">
        <v>76</v>
      </c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customFormat="false" ht="15" hidden="false" customHeight="false" outlineLevel="0" collapsed="false">
      <c r="A509" s="9" t="s">
        <v>6352</v>
      </c>
      <c r="B509" s="9" t="s">
        <v>5870</v>
      </c>
      <c r="C509" s="9" t="s">
        <v>702</v>
      </c>
      <c r="D509" s="9" t="s">
        <v>5871</v>
      </c>
      <c r="E509" s="9" t="str">
        <f aca="false">IF(AND('Formation Ledger'!A488&lt;&gt;"",'Formation Ledger'!V488=0),"PASS","FAIL")</f>
        <v>PASS</v>
      </c>
      <c r="F509" s="9" t="s">
        <v>76</v>
      </c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customFormat="false" ht="15" hidden="false" customHeight="false" outlineLevel="0" collapsed="false">
      <c r="A510" s="9" t="s">
        <v>6353</v>
      </c>
      <c r="B510" s="9" t="s">
        <v>5870</v>
      </c>
      <c r="C510" s="9" t="s">
        <v>703</v>
      </c>
      <c r="D510" s="9" t="s">
        <v>5871</v>
      </c>
      <c r="E510" s="9" t="str">
        <f aca="false">IF(AND('Formation Ledger'!A489&lt;&gt;"",'Formation Ledger'!V489=0),"PASS","FAIL")</f>
        <v>PASS</v>
      </c>
      <c r="F510" s="9" t="s">
        <v>76</v>
      </c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customFormat="false" ht="15" hidden="false" customHeight="false" outlineLevel="0" collapsed="false">
      <c r="A511" s="9" t="s">
        <v>6354</v>
      </c>
      <c r="B511" s="9" t="s">
        <v>5870</v>
      </c>
      <c r="C511" s="9" t="s">
        <v>704</v>
      </c>
      <c r="D511" s="9" t="s">
        <v>5871</v>
      </c>
      <c r="E511" s="9" t="str">
        <f aca="false">IF(AND('Formation Ledger'!A490&lt;&gt;"",'Formation Ledger'!V490=0),"PASS","FAIL")</f>
        <v>PASS</v>
      </c>
      <c r="F511" s="9" t="s">
        <v>76</v>
      </c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customFormat="false" ht="15" hidden="false" customHeight="false" outlineLevel="0" collapsed="false">
      <c r="A512" s="9" t="s">
        <v>6355</v>
      </c>
      <c r="B512" s="9" t="s">
        <v>5870</v>
      </c>
      <c r="C512" s="9" t="s">
        <v>705</v>
      </c>
      <c r="D512" s="9" t="s">
        <v>5871</v>
      </c>
      <c r="E512" s="9" t="str">
        <f aca="false">IF(AND('Formation Ledger'!A491&lt;&gt;"",'Formation Ledger'!V491=0),"PASS","FAIL")</f>
        <v>PASS</v>
      </c>
      <c r="F512" s="9" t="s">
        <v>76</v>
      </c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customFormat="false" ht="15" hidden="false" customHeight="false" outlineLevel="0" collapsed="false">
      <c r="A513" s="9" t="s">
        <v>6356</v>
      </c>
      <c r="B513" s="9" t="s">
        <v>5870</v>
      </c>
      <c r="C513" s="9" t="s">
        <v>706</v>
      </c>
      <c r="D513" s="9" t="s">
        <v>5871</v>
      </c>
      <c r="E513" s="9" t="str">
        <f aca="false">IF(AND('Formation Ledger'!A492&lt;&gt;"",'Formation Ledger'!V492=0),"PASS","FAIL")</f>
        <v>PASS</v>
      </c>
      <c r="F513" s="9" t="s">
        <v>76</v>
      </c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customFormat="false" ht="15" hidden="false" customHeight="false" outlineLevel="0" collapsed="false">
      <c r="A514" s="9" t="s">
        <v>6357</v>
      </c>
      <c r="B514" s="9" t="s">
        <v>5870</v>
      </c>
      <c r="C514" s="9" t="s">
        <v>707</v>
      </c>
      <c r="D514" s="9" t="s">
        <v>5871</v>
      </c>
      <c r="E514" s="9" t="str">
        <f aca="false">IF(AND('Formation Ledger'!A493&lt;&gt;"",'Formation Ledger'!V493=0),"PASS","FAIL")</f>
        <v>PASS</v>
      </c>
      <c r="F514" s="9" t="s">
        <v>76</v>
      </c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customFormat="false" ht="15" hidden="false" customHeight="false" outlineLevel="0" collapsed="false">
      <c r="A515" s="9" t="s">
        <v>6358</v>
      </c>
      <c r="B515" s="9" t="s">
        <v>5870</v>
      </c>
      <c r="C515" s="9" t="s">
        <v>708</v>
      </c>
      <c r="D515" s="9" t="s">
        <v>5871</v>
      </c>
      <c r="E515" s="9" t="str">
        <f aca="false">IF(AND('Formation Ledger'!A494&lt;&gt;"",'Formation Ledger'!V494=0),"PASS","FAIL")</f>
        <v>PASS</v>
      </c>
      <c r="F515" s="9" t="s">
        <v>76</v>
      </c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customFormat="false" ht="15" hidden="false" customHeight="false" outlineLevel="0" collapsed="false">
      <c r="A516" s="9" t="s">
        <v>6359</v>
      </c>
      <c r="B516" s="9" t="s">
        <v>5870</v>
      </c>
      <c r="C516" s="9" t="s">
        <v>709</v>
      </c>
      <c r="D516" s="9" t="s">
        <v>5871</v>
      </c>
      <c r="E516" s="9" t="str">
        <f aca="false">IF(AND('Formation Ledger'!A495&lt;&gt;"",'Formation Ledger'!V495=0),"PASS","FAIL")</f>
        <v>PASS</v>
      </c>
      <c r="F516" s="9" t="s">
        <v>76</v>
      </c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customFormat="false" ht="15" hidden="false" customHeight="false" outlineLevel="0" collapsed="false">
      <c r="A517" s="9" t="s">
        <v>6360</v>
      </c>
      <c r="B517" s="9" t="s">
        <v>5870</v>
      </c>
      <c r="C517" s="9" t="s">
        <v>710</v>
      </c>
      <c r="D517" s="9" t="s">
        <v>5871</v>
      </c>
      <c r="E517" s="9" t="str">
        <f aca="false">IF(AND('Formation Ledger'!A496&lt;&gt;"",'Formation Ledger'!V496=0),"PASS","FAIL")</f>
        <v>PASS</v>
      </c>
      <c r="F517" s="9" t="s">
        <v>76</v>
      </c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customFormat="false" ht="15" hidden="false" customHeight="false" outlineLevel="0" collapsed="false">
      <c r="A518" s="9" t="s">
        <v>6361</v>
      </c>
      <c r="B518" s="9" t="s">
        <v>5870</v>
      </c>
      <c r="C518" s="9" t="s">
        <v>711</v>
      </c>
      <c r="D518" s="9" t="s">
        <v>5871</v>
      </c>
      <c r="E518" s="9" t="str">
        <f aca="false">IF(AND('Formation Ledger'!A497&lt;&gt;"",'Formation Ledger'!V497=0),"PASS","FAIL")</f>
        <v>PASS</v>
      </c>
      <c r="F518" s="9" t="s">
        <v>76</v>
      </c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customFormat="false" ht="15" hidden="false" customHeight="false" outlineLevel="0" collapsed="false">
      <c r="A519" s="9" t="s">
        <v>6362</v>
      </c>
      <c r="B519" s="9" t="s">
        <v>5870</v>
      </c>
      <c r="C519" s="9" t="s">
        <v>712</v>
      </c>
      <c r="D519" s="9" t="s">
        <v>5871</v>
      </c>
      <c r="E519" s="9" t="str">
        <f aca="false">IF(AND('Formation Ledger'!A498&lt;&gt;"",'Formation Ledger'!V498=0),"PASS","FAIL")</f>
        <v>PASS</v>
      </c>
      <c r="F519" s="9" t="s">
        <v>76</v>
      </c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customFormat="false" ht="15" hidden="false" customHeight="false" outlineLevel="0" collapsed="false">
      <c r="A520" s="9" t="s">
        <v>6363</v>
      </c>
      <c r="B520" s="9" t="s">
        <v>5870</v>
      </c>
      <c r="C520" s="9" t="s">
        <v>713</v>
      </c>
      <c r="D520" s="9" t="s">
        <v>5871</v>
      </c>
      <c r="E520" s="9" t="str">
        <f aca="false">IF(AND('Formation Ledger'!A499&lt;&gt;"",'Formation Ledger'!V499=0),"PASS","FAIL")</f>
        <v>PASS</v>
      </c>
      <c r="F520" s="9" t="s">
        <v>76</v>
      </c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customFormat="false" ht="15" hidden="false" customHeight="false" outlineLevel="0" collapsed="false">
      <c r="A521" s="9" t="s">
        <v>6364</v>
      </c>
      <c r="B521" s="9" t="s">
        <v>5870</v>
      </c>
      <c r="C521" s="9" t="s">
        <v>714</v>
      </c>
      <c r="D521" s="9" t="s">
        <v>5871</v>
      </c>
      <c r="E521" s="9" t="str">
        <f aca="false">IF(AND('Formation Ledger'!A500&lt;&gt;"",'Formation Ledger'!V500=0),"PASS","FAIL")</f>
        <v>PASS</v>
      </c>
      <c r="F521" s="9" t="s">
        <v>76</v>
      </c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customFormat="false" ht="15" hidden="false" customHeight="false" outlineLevel="0" collapsed="false">
      <c r="A522" s="9" t="s">
        <v>6365</v>
      </c>
      <c r="B522" s="9" t="s">
        <v>5870</v>
      </c>
      <c r="C522" s="9" t="s">
        <v>715</v>
      </c>
      <c r="D522" s="9" t="s">
        <v>5871</v>
      </c>
      <c r="E522" s="9" t="str">
        <f aca="false">IF(AND('Formation Ledger'!A501&lt;&gt;"",'Formation Ledger'!V501=0),"PASS","FAIL")</f>
        <v>PASS</v>
      </c>
      <c r="F522" s="9" t="s">
        <v>76</v>
      </c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customFormat="false" ht="15" hidden="false" customHeight="false" outlineLevel="0" collapsed="false">
      <c r="A523" s="9" t="s">
        <v>6366</v>
      </c>
      <c r="B523" s="9" t="s">
        <v>5870</v>
      </c>
      <c r="C523" s="9" t="s">
        <v>716</v>
      </c>
      <c r="D523" s="9" t="s">
        <v>5871</v>
      </c>
      <c r="E523" s="9" t="str">
        <f aca="false">IF(AND('Formation Ledger'!A502&lt;&gt;"",'Formation Ledger'!V502=0),"PASS","FAIL")</f>
        <v>PASS</v>
      </c>
      <c r="F523" s="9" t="s">
        <v>76</v>
      </c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customFormat="false" ht="15" hidden="false" customHeight="false" outlineLevel="0" collapsed="false">
      <c r="A524" s="9" t="s">
        <v>6367</v>
      </c>
      <c r="B524" s="9" t="s">
        <v>5870</v>
      </c>
      <c r="C524" s="9" t="s">
        <v>717</v>
      </c>
      <c r="D524" s="9" t="s">
        <v>5871</v>
      </c>
      <c r="E524" s="9" t="str">
        <f aca="false">IF(AND('Formation Ledger'!A503&lt;&gt;"",'Formation Ledger'!V503=0),"PASS","FAIL")</f>
        <v>PASS</v>
      </c>
      <c r="F524" s="9" t="s">
        <v>76</v>
      </c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customFormat="false" ht="15" hidden="false" customHeight="false" outlineLevel="0" collapsed="false">
      <c r="A525" s="9" t="s">
        <v>6368</v>
      </c>
      <c r="B525" s="9" t="s">
        <v>5870</v>
      </c>
      <c r="C525" s="9" t="s">
        <v>718</v>
      </c>
      <c r="D525" s="9" t="s">
        <v>5871</v>
      </c>
      <c r="E525" s="9" t="str">
        <f aca="false">IF(AND('Formation Ledger'!A504&lt;&gt;"",'Formation Ledger'!V504=0),"PASS","FAIL")</f>
        <v>PASS</v>
      </c>
      <c r="F525" s="9" t="s">
        <v>76</v>
      </c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customFormat="false" ht="15" hidden="false" customHeight="false" outlineLevel="0" collapsed="false">
      <c r="A526" s="9" t="s">
        <v>6369</v>
      </c>
      <c r="B526" s="9" t="s">
        <v>5870</v>
      </c>
      <c r="C526" s="9" t="s">
        <v>719</v>
      </c>
      <c r="D526" s="9" t="s">
        <v>5871</v>
      </c>
      <c r="E526" s="9" t="str">
        <f aca="false">IF(AND('Formation Ledger'!A505&lt;&gt;"",'Formation Ledger'!V505=0),"PASS","FAIL")</f>
        <v>PASS</v>
      </c>
      <c r="F526" s="9" t="s">
        <v>76</v>
      </c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customFormat="false" ht="15" hidden="false" customHeight="false" outlineLevel="0" collapsed="false">
      <c r="A527" s="9" t="s">
        <v>6370</v>
      </c>
      <c r="B527" s="9" t="s">
        <v>5870</v>
      </c>
      <c r="C527" s="9" t="s">
        <v>720</v>
      </c>
      <c r="D527" s="9" t="s">
        <v>5871</v>
      </c>
      <c r="E527" s="9" t="str">
        <f aca="false">IF(AND('Formation Ledger'!A506&lt;&gt;"",'Formation Ledger'!V506=0),"PASS","FAIL")</f>
        <v>PASS</v>
      </c>
      <c r="F527" s="9" t="s">
        <v>76</v>
      </c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customFormat="false" ht="15" hidden="false" customHeight="false" outlineLevel="0" collapsed="false">
      <c r="A528" s="9" t="s">
        <v>6371</v>
      </c>
      <c r="B528" s="9" t="s">
        <v>5870</v>
      </c>
      <c r="C528" s="9" t="s">
        <v>721</v>
      </c>
      <c r="D528" s="9" t="s">
        <v>5871</v>
      </c>
      <c r="E528" s="9" t="str">
        <f aca="false">IF(AND('Formation Ledger'!A507&lt;&gt;"",'Formation Ledger'!V507=0),"PASS","FAIL")</f>
        <v>PASS</v>
      </c>
      <c r="F528" s="9" t="s">
        <v>76</v>
      </c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customFormat="false" ht="15" hidden="false" customHeight="false" outlineLevel="0" collapsed="false">
      <c r="A529" s="9" t="s">
        <v>6372</v>
      </c>
      <c r="B529" s="9" t="s">
        <v>5870</v>
      </c>
      <c r="C529" s="9" t="s">
        <v>722</v>
      </c>
      <c r="D529" s="9" t="s">
        <v>5871</v>
      </c>
      <c r="E529" s="9" t="str">
        <f aca="false">IF(AND('Formation Ledger'!A508&lt;&gt;"",'Formation Ledger'!V508=0),"PASS","FAIL")</f>
        <v>PASS</v>
      </c>
      <c r="F529" s="9" t="s">
        <v>76</v>
      </c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customFormat="false" ht="15" hidden="false" customHeight="false" outlineLevel="0" collapsed="false">
      <c r="A530" s="9" t="s">
        <v>6373</v>
      </c>
      <c r="B530" s="9" t="s">
        <v>5870</v>
      </c>
      <c r="C530" s="9" t="s">
        <v>723</v>
      </c>
      <c r="D530" s="9" t="s">
        <v>5871</v>
      </c>
      <c r="E530" s="9" t="str">
        <f aca="false">IF(AND('Formation Ledger'!A509&lt;&gt;"",'Formation Ledger'!V509=0),"PASS","FAIL")</f>
        <v>PASS</v>
      </c>
      <c r="F530" s="9" t="s">
        <v>76</v>
      </c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customFormat="false" ht="15" hidden="false" customHeight="false" outlineLevel="0" collapsed="false">
      <c r="A531" s="9" t="s">
        <v>6374</v>
      </c>
      <c r="B531" s="9" t="s">
        <v>5870</v>
      </c>
      <c r="C531" s="9" t="s">
        <v>724</v>
      </c>
      <c r="D531" s="9" t="s">
        <v>5871</v>
      </c>
      <c r="E531" s="9" t="str">
        <f aca="false">IF(AND('Formation Ledger'!A510&lt;&gt;"",'Formation Ledger'!V510=0),"PASS","FAIL")</f>
        <v>PASS</v>
      </c>
      <c r="F531" s="9" t="s">
        <v>76</v>
      </c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customFormat="false" ht="15" hidden="false" customHeight="false" outlineLevel="0" collapsed="false">
      <c r="A532" s="9" t="s">
        <v>6375</v>
      </c>
      <c r="B532" s="9" t="s">
        <v>5870</v>
      </c>
      <c r="C532" s="9" t="s">
        <v>725</v>
      </c>
      <c r="D532" s="9" t="s">
        <v>5871</v>
      </c>
      <c r="E532" s="9" t="str">
        <f aca="false">IF(AND('Formation Ledger'!A511&lt;&gt;"",'Formation Ledger'!V511=0),"PASS","FAIL")</f>
        <v>PASS</v>
      </c>
      <c r="F532" s="9" t="s">
        <v>76</v>
      </c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customFormat="false" ht="15" hidden="false" customHeight="false" outlineLevel="0" collapsed="false">
      <c r="A533" s="9" t="s">
        <v>6376</v>
      </c>
      <c r="B533" s="9" t="s">
        <v>5870</v>
      </c>
      <c r="C533" s="9" t="s">
        <v>726</v>
      </c>
      <c r="D533" s="9" t="s">
        <v>5871</v>
      </c>
      <c r="E533" s="9" t="str">
        <f aca="false">IF(AND('Formation Ledger'!A512&lt;&gt;"",'Formation Ledger'!V512=0),"PASS","FAIL")</f>
        <v>PASS</v>
      </c>
      <c r="F533" s="9" t="s">
        <v>76</v>
      </c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customFormat="false" ht="15" hidden="false" customHeight="false" outlineLevel="0" collapsed="false">
      <c r="A534" s="9" t="s">
        <v>6377</v>
      </c>
      <c r="B534" s="9" t="s">
        <v>5870</v>
      </c>
      <c r="C534" s="9" t="s">
        <v>727</v>
      </c>
      <c r="D534" s="9" t="s">
        <v>5871</v>
      </c>
      <c r="E534" s="9" t="str">
        <f aca="false">IF(AND('Formation Ledger'!A513&lt;&gt;"",'Formation Ledger'!V513=0),"PASS","FAIL")</f>
        <v>PASS</v>
      </c>
      <c r="F534" s="9" t="s">
        <v>76</v>
      </c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customFormat="false" ht="15" hidden="false" customHeight="false" outlineLevel="0" collapsed="false">
      <c r="A535" s="9" t="s">
        <v>6378</v>
      </c>
      <c r="B535" s="9" t="s">
        <v>5870</v>
      </c>
      <c r="C535" s="9" t="s">
        <v>728</v>
      </c>
      <c r="D535" s="9" t="s">
        <v>5871</v>
      </c>
      <c r="E535" s="9" t="str">
        <f aca="false">IF(AND('Formation Ledger'!A514&lt;&gt;"",'Formation Ledger'!V514=0),"PASS","FAIL")</f>
        <v>PASS</v>
      </c>
      <c r="F535" s="9" t="s">
        <v>76</v>
      </c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customFormat="false" ht="15" hidden="false" customHeight="false" outlineLevel="0" collapsed="false">
      <c r="A536" s="9" t="s">
        <v>6379</v>
      </c>
      <c r="B536" s="9" t="s">
        <v>5870</v>
      </c>
      <c r="C536" s="9" t="s">
        <v>729</v>
      </c>
      <c r="D536" s="9" t="s">
        <v>5871</v>
      </c>
      <c r="E536" s="9" t="str">
        <f aca="false">IF(AND('Formation Ledger'!A515&lt;&gt;"",'Formation Ledger'!V515=0),"PASS","FAIL")</f>
        <v>PASS</v>
      </c>
      <c r="F536" s="9" t="s">
        <v>76</v>
      </c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customFormat="false" ht="15" hidden="false" customHeight="false" outlineLevel="0" collapsed="false">
      <c r="A537" s="9" t="s">
        <v>6380</v>
      </c>
      <c r="B537" s="9" t="s">
        <v>5870</v>
      </c>
      <c r="C537" s="9" t="s">
        <v>730</v>
      </c>
      <c r="D537" s="9" t="s">
        <v>5871</v>
      </c>
      <c r="E537" s="9" t="str">
        <f aca="false">IF(AND('Formation Ledger'!A516&lt;&gt;"",'Formation Ledger'!V516=0),"PASS","FAIL")</f>
        <v>PASS</v>
      </c>
      <c r="F537" s="9" t="s">
        <v>76</v>
      </c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customFormat="false" ht="15" hidden="false" customHeight="false" outlineLevel="0" collapsed="false">
      <c r="A538" s="9" t="s">
        <v>6381</v>
      </c>
      <c r="B538" s="9" t="s">
        <v>5870</v>
      </c>
      <c r="C538" s="9" t="s">
        <v>731</v>
      </c>
      <c r="D538" s="9" t="s">
        <v>5871</v>
      </c>
      <c r="E538" s="9" t="str">
        <f aca="false">IF(AND('Formation Ledger'!A517&lt;&gt;"",'Formation Ledger'!V517=0),"PASS","FAIL")</f>
        <v>PASS</v>
      </c>
      <c r="F538" s="9" t="s">
        <v>76</v>
      </c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customFormat="false" ht="15" hidden="false" customHeight="false" outlineLevel="0" collapsed="false">
      <c r="A539" s="9" t="s">
        <v>6382</v>
      </c>
      <c r="B539" s="9" t="s">
        <v>5870</v>
      </c>
      <c r="C539" s="9" t="s">
        <v>732</v>
      </c>
      <c r="D539" s="9" t="s">
        <v>5871</v>
      </c>
      <c r="E539" s="9" t="str">
        <f aca="false">IF(AND('Formation Ledger'!A518&lt;&gt;"",'Formation Ledger'!V518=0),"PASS","FAIL")</f>
        <v>PASS</v>
      </c>
      <c r="F539" s="9" t="s">
        <v>76</v>
      </c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customFormat="false" ht="15" hidden="false" customHeight="false" outlineLevel="0" collapsed="false">
      <c r="A540" s="9" t="s">
        <v>6383</v>
      </c>
      <c r="B540" s="9" t="s">
        <v>5870</v>
      </c>
      <c r="C540" s="9" t="s">
        <v>733</v>
      </c>
      <c r="D540" s="9" t="s">
        <v>5871</v>
      </c>
      <c r="E540" s="9" t="str">
        <f aca="false">IF(AND('Formation Ledger'!A519&lt;&gt;"",'Formation Ledger'!V519=0),"PASS","FAIL")</f>
        <v>PASS</v>
      </c>
      <c r="F540" s="9" t="s">
        <v>76</v>
      </c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customFormat="false" ht="15" hidden="false" customHeight="false" outlineLevel="0" collapsed="false">
      <c r="A541" s="9" t="s">
        <v>6384</v>
      </c>
      <c r="B541" s="9" t="s">
        <v>5870</v>
      </c>
      <c r="C541" s="9" t="s">
        <v>734</v>
      </c>
      <c r="D541" s="9" t="s">
        <v>5871</v>
      </c>
      <c r="E541" s="9" t="str">
        <f aca="false">IF(AND('Formation Ledger'!A520&lt;&gt;"",'Formation Ledger'!V520=0),"PASS","FAIL")</f>
        <v>PASS</v>
      </c>
      <c r="F541" s="9" t="s">
        <v>76</v>
      </c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customFormat="false" ht="15" hidden="false" customHeight="false" outlineLevel="0" collapsed="false">
      <c r="A542" s="9" t="s">
        <v>6385</v>
      </c>
      <c r="B542" s="9" t="s">
        <v>5870</v>
      </c>
      <c r="C542" s="9" t="s">
        <v>735</v>
      </c>
      <c r="D542" s="9" t="s">
        <v>5871</v>
      </c>
      <c r="E542" s="9" t="str">
        <f aca="false">IF(AND('Formation Ledger'!A521&lt;&gt;"",'Formation Ledger'!V521=0),"PASS","FAIL")</f>
        <v>PASS</v>
      </c>
      <c r="F542" s="9" t="s">
        <v>76</v>
      </c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customFormat="false" ht="15" hidden="false" customHeight="false" outlineLevel="0" collapsed="false">
      <c r="A543" s="9" t="s">
        <v>6386</v>
      </c>
      <c r="B543" s="9" t="s">
        <v>5870</v>
      </c>
      <c r="C543" s="9" t="s">
        <v>736</v>
      </c>
      <c r="D543" s="9" t="s">
        <v>5871</v>
      </c>
      <c r="E543" s="9" t="str">
        <f aca="false">IF(AND('Formation Ledger'!A522&lt;&gt;"",'Formation Ledger'!V522=0),"PASS","FAIL")</f>
        <v>PASS</v>
      </c>
      <c r="F543" s="9" t="s">
        <v>76</v>
      </c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customFormat="false" ht="15" hidden="false" customHeight="false" outlineLevel="0" collapsed="false">
      <c r="A544" s="9" t="s">
        <v>6387</v>
      </c>
      <c r="B544" s="9" t="s">
        <v>5870</v>
      </c>
      <c r="C544" s="9" t="s">
        <v>737</v>
      </c>
      <c r="D544" s="9" t="s">
        <v>5871</v>
      </c>
      <c r="E544" s="9" t="str">
        <f aca="false">IF(AND('Formation Ledger'!A523&lt;&gt;"",'Formation Ledger'!V523=0),"PASS","FAIL")</f>
        <v>PASS</v>
      </c>
      <c r="F544" s="9" t="s">
        <v>76</v>
      </c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customFormat="false" ht="15" hidden="false" customHeight="false" outlineLevel="0" collapsed="false">
      <c r="A545" s="9" t="s">
        <v>6388</v>
      </c>
      <c r="B545" s="9" t="s">
        <v>5870</v>
      </c>
      <c r="C545" s="9" t="s">
        <v>738</v>
      </c>
      <c r="D545" s="9" t="s">
        <v>5871</v>
      </c>
      <c r="E545" s="9" t="str">
        <f aca="false">IF(AND('Formation Ledger'!A524&lt;&gt;"",'Formation Ledger'!V524=0),"PASS","FAIL")</f>
        <v>PASS</v>
      </c>
      <c r="F545" s="9" t="s">
        <v>76</v>
      </c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customFormat="false" ht="15" hidden="false" customHeight="false" outlineLevel="0" collapsed="false">
      <c r="A546" s="9" t="s">
        <v>6389</v>
      </c>
      <c r="B546" s="9" t="s">
        <v>5870</v>
      </c>
      <c r="C546" s="9" t="s">
        <v>739</v>
      </c>
      <c r="D546" s="9" t="s">
        <v>5871</v>
      </c>
      <c r="E546" s="9" t="str">
        <f aca="false">IF(AND('Formation Ledger'!A525&lt;&gt;"",'Formation Ledger'!V525=0),"PASS","FAIL")</f>
        <v>PASS</v>
      </c>
      <c r="F546" s="9" t="s">
        <v>76</v>
      </c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customFormat="false" ht="15" hidden="false" customHeight="false" outlineLevel="0" collapsed="false">
      <c r="A547" s="9" t="s">
        <v>6390</v>
      </c>
      <c r="B547" s="9" t="s">
        <v>5870</v>
      </c>
      <c r="C547" s="9" t="s">
        <v>740</v>
      </c>
      <c r="D547" s="9" t="s">
        <v>5871</v>
      </c>
      <c r="E547" s="9" t="str">
        <f aca="false">IF(AND('Formation Ledger'!A526&lt;&gt;"",'Formation Ledger'!V526=0),"PASS","FAIL")</f>
        <v>PASS</v>
      </c>
      <c r="F547" s="9" t="s">
        <v>76</v>
      </c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customFormat="false" ht="15" hidden="false" customHeight="false" outlineLevel="0" collapsed="false">
      <c r="A548" s="9" t="s">
        <v>6391</v>
      </c>
      <c r="B548" s="9" t="s">
        <v>5870</v>
      </c>
      <c r="C548" s="9" t="s">
        <v>741</v>
      </c>
      <c r="D548" s="9" t="s">
        <v>5871</v>
      </c>
      <c r="E548" s="9" t="str">
        <f aca="false">IF(AND('Formation Ledger'!A527&lt;&gt;"",'Formation Ledger'!V527=0),"PASS","FAIL")</f>
        <v>PASS</v>
      </c>
      <c r="F548" s="9" t="s">
        <v>76</v>
      </c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customFormat="false" ht="15" hidden="false" customHeight="false" outlineLevel="0" collapsed="false">
      <c r="A549" s="9" t="s">
        <v>6392</v>
      </c>
      <c r="B549" s="9" t="s">
        <v>5870</v>
      </c>
      <c r="C549" s="9" t="s">
        <v>742</v>
      </c>
      <c r="D549" s="9" t="s">
        <v>5871</v>
      </c>
      <c r="E549" s="9" t="str">
        <f aca="false">IF(AND('Formation Ledger'!A528&lt;&gt;"",'Formation Ledger'!V528=0),"PASS","FAIL")</f>
        <v>PASS</v>
      </c>
      <c r="F549" s="9" t="s">
        <v>76</v>
      </c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customFormat="false" ht="15" hidden="false" customHeight="false" outlineLevel="0" collapsed="false">
      <c r="A550" s="9" t="s">
        <v>6393</v>
      </c>
      <c r="B550" s="9" t="s">
        <v>5870</v>
      </c>
      <c r="C550" s="9" t="s">
        <v>743</v>
      </c>
      <c r="D550" s="9" t="s">
        <v>5871</v>
      </c>
      <c r="E550" s="9" t="str">
        <f aca="false">IF(AND('Formation Ledger'!A529&lt;&gt;"",'Formation Ledger'!V529=0),"PASS","FAIL")</f>
        <v>PASS</v>
      </c>
      <c r="F550" s="9" t="s">
        <v>76</v>
      </c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customFormat="false" ht="15" hidden="false" customHeight="false" outlineLevel="0" collapsed="false">
      <c r="A551" s="9" t="s">
        <v>6394</v>
      </c>
      <c r="B551" s="9" t="s">
        <v>5870</v>
      </c>
      <c r="C551" s="9" t="s">
        <v>744</v>
      </c>
      <c r="D551" s="9" t="s">
        <v>5871</v>
      </c>
      <c r="E551" s="9" t="str">
        <f aca="false">IF(AND('Formation Ledger'!A530&lt;&gt;"",'Formation Ledger'!V530=0),"PASS","FAIL")</f>
        <v>PASS</v>
      </c>
      <c r="F551" s="9" t="s">
        <v>76</v>
      </c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customFormat="false" ht="15" hidden="false" customHeight="false" outlineLevel="0" collapsed="false">
      <c r="A552" s="9" t="s">
        <v>6395</v>
      </c>
      <c r="B552" s="9" t="s">
        <v>5870</v>
      </c>
      <c r="C552" s="9" t="s">
        <v>745</v>
      </c>
      <c r="D552" s="9" t="s">
        <v>5871</v>
      </c>
      <c r="E552" s="9" t="str">
        <f aca="false">IF(AND('Formation Ledger'!A531&lt;&gt;"",'Formation Ledger'!V531=0),"PASS","FAIL")</f>
        <v>PASS</v>
      </c>
      <c r="F552" s="9" t="s">
        <v>76</v>
      </c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customFormat="false" ht="15" hidden="false" customHeight="false" outlineLevel="0" collapsed="false">
      <c r="A553" s="9" t="s">
        <v>6396</v>
      </c>
      <c r="B553" s="9" t="s">
        <v>5870</v>
      </c>
      <c r="C553" s="9" t="s">
        <v>746</v>
      </c>
      <c r="D553" s="9" t="s">
        <v>5871</v>
      </c>
      <c r="E553" s="9" t="str">
        <f aca="false">IF(AND('Formation Ledger'!A532&lt;&gt;"",'Formation Ledger'!V532=0),"PASS","FAIL")</f>
        <v>PASS</v>
      </c>
      <c r="F553" s="9" t="s">
        <v>76</v>
      </c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customFormat="false" ht="15" hidden="false" customHeight="false" outlineLevel="0" collapsed="false">
      <c r="A554" s="9" t="s">
        <v>6397</v>
      </c>
      <c r="B554" s="9" t="s">
        <v>5870</v>
      </c>
      <c r="C554" s="9" t="s">
        <v>747</v>
      </c>
      <c r="D554" s="9" t="s">
        <v>5871</v>
      </c>
      <c r="E554" s="9" t="str">
        <f aca="false">IF(AND('Formation Ledger'!A533&lt;&gt;"",'Formation Ledger'!V533=0),"PASS","FAIL")</f>
        <v>PASS</v>
      </c>
      <c r="F554" s="9" t="s">
        <v>76</v>
      </c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customFormat="false" ht="15" hidden="false" customHeight="false" outlineLevel="0" collapsed="false">
      <c r="A555" s="9" t="s">
        <v>6398</v>
      </c>
      <c r="B555" s="9" t="s">
        <v>5870</v>
      </c>
      <c r="C555" s="9" t="s">
        <v>748</v>
      </c>
      <c r="D555" s="9" t="s">
        <v>5871</v>
      </c>
      <c r="E555" s="9" t="str">
        <f aca="false">IF(AND('Formation Ledger'!A534&lt;&gt;"",'Formation Ledger'!V534=0),"PASS","FAIL")</f>
        <v>PASS</v>
      </c>
      <c r="F555" s="9" t="s">
        <v>76</v>
      </c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customFormat="false" ht="15" hidden="false" customHeight="false" outlineLevel="0" collapsed="false">
      <c r="A556" s="9" t="s">
        <v>6399</v>
      </c>
      <c r="B556" s="9" t="s">
        <v>5870</v>
      </c>
      <c r="C556" s="9" t="s">
        <v>749</v>
      </c>
      <c r="D556" s="9" t="s">
        <v>5871</v>
      </c>
      <c r="E556" s="9" t="str">
        <f aca="false">IF(AND('Formation Ledger'!A535&lt;&gt;"",'Formation Ledger'!V535=0),"PASS","FAIL")</f>
        <v>PASS</v>
      </c>
      <c r="F556" s="9" t="s">
        <v>76</v>
      </c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customFormat="false" ht="15" hidden="false" customHeight="false" outlineLevel="0" collapsed="false">
      <c r="A557" s="9" t="s">
        <v>6400</v>
      </c>
      <c r="B557" s="9" t="s">
        <v>5870</v>
      </c>
      <c r="C557" s="9" t="s">
        <v>750</v>
      </c>
      <c r="D557" s="9" t="s">
        <v>5871</v>
      </c>
      <c r="E557" s="9" t="str">
        <f aca="false">IF(AND('Formation Ledger'!A536&lt;&gt;"",'Formation Ledger'!V536=0),"PASS","FAIL")</f>
        <v>PASS</v>
      </c>
      <c r="F557" s="9" t="s">
        <v>76</v>
      </c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customFormat="false" ht="15" hidden="false" customHeight="false" outlineLevel="0" collapsed="false">
      <c r="A558" s="9" t="s">
        <v>6401</v>
      </c>
      <c r="B558" s="9" t="s">
        <v>5870</v>
      </c>
      <c r="C558" s="9" t="s">
        <v>751</v>
      </c>
      <c r="D558" s="9" t="s">
        <v>5871</v>
      </c>
      <c r="E558" s="9" t="str">
        <f aca="false">IF(AND('Formation Ledger'!A537&lt;&gt;"",'Formation Ledger'!V537=0),"PASS","FAIL")</f>
        <v>PASS</v>
      </c>
      <c r="F558" s="9" t="s">
        <v>76</v>
      </c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customFormat="false" ht="15" hidden="false" customHeight="false" outlineLevel="0" collapsed="false">
      <c r="A559" s="9" t="s">
        <v>6402</v>
      </c>
      <c r="B559" s="9" t="s">
        <v>5870</v>
      </c>
      <c r="C559" s="9" t="s">
        <v>752</v>
      </c>
      <c r="D559" s="9" t="s">
        <v>5871</v>
      </c>
      <c r="E559" s="9" t="str">
        <f aca="false">IF(AND('Formation Ledger'!A538&lt;&gt;"",'Formation Ledger'!V538=0),"PASS","FAIL")</f>
        <v>PASS</v>
      </c>
      <c r="F559" s="9" t="s">
        <v>76</v>
      </c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customFormat="false" ht="15" hidden="false" customHeight="false" outlineLevel="0" collapsed="false">
      <c r="A560" s="9" t="s">
        <v>6403</v>
      </c>
      <c r="B560" s="9" t="s">
        <v>5870</v>
      </c>
      <c r="C560" s="9" t="s">
        <v>753</v>
      </c>
      <c r="D560" s="9" t="s">
        <v>5871</v>
      </c>
      <c r="E560" s="9" t="str">
        <f aca="false">IF(AND('Formation Ledger'!A539&lt;&gt;"",'Formation Ledger'!V539=0),"PASS","FAIL")</f>
        <v>PASS</v>
      </c>
      <c r="F560" s="9" t="s">
        <v>76</v>
      </c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customFormat="false" ht="15" hidden="false" customHeight="false" outlineLevel="0" collapsed="false">
      <c r="A561" s="9" t="s">
        <v>6404</v>
      </c>
      <c r="B561" s="9" t="s">
        <v>5870</v>
      </c>
      <c r="C561" s="9" t="s">
        <v>754</v>
      </c>
      <c r="D561" s="9" t="s">
        <v>5871</v>
      </c>
      <c r="E561" s="9" t="str">
        <f aca="false">IF(AND('Formation Ledger'!A540&lt;&gt;"",'Formation Ledger'!V540=0),"PASS","FAIL")</f>
        <v>PASS</v>
      </c>
      <c r="F561" s="9" t="s">
        <v>76</v>
      </c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customFormat="false" ht="15" hidden="false" customHeight="false" outlineLevel="0" collapsed="false">
      <c r="A562" s="9" t="s">
        <v>6405</v>
      </c>
      <c r="B562" s="9" t="s">
        <v>5870</v>
      </c>
      <c r="C562" s="9" t="s">
        <v>755</v>
      </c>
      <c r="D562" s="9" t="s">
        <v>5871</v>
      </c>
      <c r="E562" s="9" t="str">
        <f aca="false">IF(AND('Formation Ledger'!A541&lt;&gt;"",'Formation Ledger'!V541=0),"PASS","FAIL")</f>
        <v>PASS</v>
      </c>
      <c r="F562" s="9" t="s">
        <v>76</v>
      </c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customFormat="false" ht="15" hidden="false" customHeight="false" outlineLevel="0" collapsed="false">
      <c r="A563" s="9" t="s">
        <v>6406</v>
      </c>
      <c r="B563" s="9" t="s">
        <v>5870</v>
      </c>
      <c r="C563" s="9" t="s">
        <v>756</v>
      </c>
      <c r="D563" s="9" t="s">
        <v>5871</v>
      </c>
      <c r="E563" s="9" t="str">
        <f aca="false">IF(AND('Formation Ledger'!A542&lt;&gt;"",'Formation Ledger'!V542=0),"PASS","FAIL")</f>
        <v>PASS</v>
      </c>
      <c r="F563" s="9" t="s">
        <v>76</v>
      </c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customFormat="false" ht="15" hidden="false" customHeight="false" outlineLevel="0" collapsed="false">
      <c r="A564" s="9" t="s">
        <v>6407</v>
      </c>
      <c r="B564" s="9" t="s">
        <v>5870</v>
      </c>
      <c r="C564" s="9" t="s">
        <v>757</v>
      </c>
      <c r="D564" s="9" t="s">
        <v>5871</v>
      </c>
      <c r="E564" s="9" t="str">
        <f aca="false">IF(AND('Formation Ledger'!A543&lt;&gt;"",'Formation Ledger'!V543=0),"PASS","FAIL")</f>
        <v>PASS</v>
      </c>
      <c r="F564" s="9" t="s">
        <v>76</v>
      </c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customFormat="false" ht="15" hidden="false" customHeight="false" outlineLevel="0" collapsed="false">
      <c r="A565" s="9" t="s">
        <v>6408</v>
      </c>
      <c r="B565" s="9" t="s">
        <v>5870</v>
      </c>
      <c r="C565" s="9" t="s">
        <v>758</v>
      </c>
      <c r="D565" s="9" t="s">
        <v>5871</v>
      </c>
      <c r="E565" s="9" t="str">
        <f aca="false">IF(AND('Formation Ledger'!A544&lt;&gt;"",'Formation Ledger'!V544=0),"PASS","FAIL")</f>
        <v>PASS</v>
      </c>
      <c r="F565" s="9" t="s">
        <v>76</v>
      </c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customFormat="false" ht="15" hidden="false" customHeight="false" outlineLevel="0" collapsed="false">
      <c r="A566" s="9" t="s">
        <v>6409</v>
      </c>
      <c r="B566" s="9" t="s">
        <v>5870</v>
      </c>
      <c r="C566" s="9" t="s">
        <v>759</v>
      </c>
      <c r="D566" s="9" t="s">
        <v>5871</v>
      </c>
      <c r="E566" s="9" t="str">
        <f aca="false">IF(AND('Formation Ledger'!A545&lt;&gt;"",'Formation Ledger'!V545=0),"PASS","FAIL")</f>
        <v>PASS</v>
      </c>
      <c r="F566" s="9" t="s">
        <v>76</v>
      </c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customFormat="false" ht="15" hidden="false" customHeight="false" outlineLevel="0" collapsed="false">
      <c r="A567" s="9" t="s">
        <v>6410</v>
      </c>
      <c r="B567" s="9" t="s">
        <v>5870</v>
      </c>
      <c r="C567" s="9" t="s">
        <v>760</v>
      </c>
      <c r="D567" s="9" t="s">
        <v>5871</v>
      </c>
      <c r="E567" s="9" t="str">
        <f aca="false">IF(AND('Formation Ledger'!A546&lt;&gt;"",'Formation Ledger'!V546=0),"PASS","FAIL")</f>
        <v>PASS</v>
      </c>
      <c r="F567" s="9" t="s">
        <v>76</v>
      </c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customFormat="false" ht="15" hidden="false" customHeight="false" outlineLevel="0" collapsed="false">
      <c r="A568" s="9" t="s">
        <v>6411</v>
      </c>
      <c r="B568" s="9" t="s">
        <v>5870</v>
      </c>
      <c r="C568" s="9" t="s">
        <v>761</v>
      </c>
      <c r="D568" s="9" t="s">
        <v>5871</v>
      </c>
      <c r="E568" s="9" t="str">
        <f aca="false">IF(AND('Formation Ledger'!A547&lt;&gt;"",'Formation Ledger'!V547=0),"PASS","FAIL")</f>
        <v>PASS</v>
      </c>
      <c r="F568" s="9" t="s">
        <v>76</v>
      </c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customFormat="false" ht="15" hidden="false" customHeight="false" outlineLevel="0" collapsed="false">
      <c r="A569" s="9" t="s">
        <v>6412</v>
      </c>
      <c r="B569" s="9" t="s">
        <v>5870</v>
      </c>
      <c r="C569" s="9" t="s">
        <v>762</v>
      </c>
      <c r="D569" s="9" t="s">
        <v>5871</v>
      </c>
      <c r="E569" s="9" t="str">
        <f aca="false">IF(AND('Formation Ledger'!A548&lt;&gt;"",'Formation Ledger'!V548=0),"PASS","FAIL")</f>
        <v>PASS</v>
      </c>
      <c r="F569" s="9" t="s">
        <v>76</v>
      </c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customFormat="false" ht="15" hidden="false" customHeight="false" outlineLevel="0" collapsed="false">
      <c r="A570" s="9" t="s">
        <v>6413</v>
      </c>
      <c r="B570" s="9" t="s">
        <v>5870</v>
      </c>
      <c r="C570" s="9" t="s">
        <v>763</v>
      </c>
      <c r="D570" s="9" t="s">
        <v>5871</v>
      </c>
      <c r="E570" s="9" t="str">
        <f aca="false">IF(AND('Formation Ledger'!A549&lt;&gt;"",'Formation Ledger'!V549=0),"PASS","FAIL")</f>
        <v>PASS</v>
      </c>
      <c r="F570" s="9" t="s">
        <v>76</v>
      </c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customFormat="false" ht="15" hidden="false" customHeight="false" outlineLevel="0" collapsed="false">
      <c r="A571" s="9" t="s">
        <v>6414</v>
      </c>
      <c r="B571" s="9" t="s">
        <v>5870</v>
      </c>
      <c r="C571" s="9" t="s">
        <v>764</v>
      </c>
      <c r="D571" s="9" t="s">
        <v>5871</v>
      </c>
      <c r="E571" s="9" t="str">
        <f aca="false">IF(AND('Formation Ledger'!A550&lt;&gt;"",'Formation Ledger'!V550=0),"PASS","FAIL")</f>
        <v>PASS</v>
      </c>
      <c r="F571" s="9" t="s">
        <v>76</v>
      </c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customFormat="false" ht="15" hidden="false" customHeight="false" outlineLevel="0" collapsed="false">
      <c r="A572" s="9" t="s">
        <v>6415</v>
      </c>
      <c r="B572" s="9" t="s">
        <v>5870</v>
      </c>
      <c r="C572" s="9" t="s">
        <v>765</v>
      </c>
      <c r="D572" s="9" t="s">
        <v>5871</v>
      </c>
      <c r="E572" s="9" t="str">
        <f aca="false">IF(AND('Formation Ledger'!A551&lt;&gt;"",'Formation Ledger'!V551=0),"PASS","FAIL")</f>
        <v>PASS</v>
      </c>
      <c r="F572" s="9" t="s">
        <v>76</v>
      </c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customFormat="false" ht="15" hidden="false" customHeight="false" outlineLevel="0" collapsed="false">
      <c r="A573" s="9" t="s">
        <v>6416</v>
      </c>
      <c r="B573" s="9" t="s">
        <v>5870</v>
      </c>
      <c r="C573" s="9" t="s">
        <v>766</v>
      </c>
      <c r="D573" s="9" t="s">
        <v>5871</v>
      </c>
      <c r="E573" s="9" t="str">
        <f aca="false">IF(AND('Formation Ledger'!A552&lt;&gt;"",'Formation Ledger'!V552=0),"PASS","FAIL")</f>
        <v>PASS</v>
      </c>
      <c r="F573" s="9" t="s">
        <v>76</v>
      </c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customFormat="false" ht="15" hidden="false" customHeight="false" outlineLevel="0" collapsed="false">
      <c r="A574" s="9" t="s">
        <v>6417</v>
      </c>
      <c r="B574" s="9" t="s">
        <v>5870</v>
      </c>
      <c r="C574" s="9" t="s">
        <v>767</v>
      </c>
      <c r="D574" s="9" t="s">
        <v>5871</v>
      </c>
      <c r="E574" s="9" t="str">
        <f aca="false">IF(AND('Formation Ledger'!A553&lt;&gt;"",'Formation Ledger'!V553=0),"PASS","FAIL")</f>
        <v>PASS</v>
      </c>
      <c r="F574" s="9" t="s">
        <v>76</v>
      </c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customFormat="false" ht="15" hidden="false" customHeight="false" outlineLevel="0" collapsed="false">
      <c r="A575" s="9" t="s">
        <v>6418</v>
      </c>
      <c r="B575" s="9" t="s">
        <v>5870</v>
      </c>
      <c r="C575" s="9" t="s">
        <v>768</v>
      </c>
      <c r="D575" s="9" t="s">
        <v>5871</v>
      </c>
      <c r="E575" s="9" t="str">
        <f aca="false">IF(AND('Formation Ledger'!A554&lt;&gt;"",'Formation Ledger'!V554=0),"PASS","FAIL")</f>
        <v>PASS</v>
      </c>
      <c r="F575" s="9" t="s">
        <v>76</v>
      </c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customFormat="false" ht="15" hidden="false" customHeight="false" outlineLevel="0" collapsed="false">
      <c r="A576" s="9" t="s">
        <v>6419</v>
      </c>
      <c r="B576" s="9" t="s">
        <v>5870</v>
      </c>
      <c r="C576" s="9" t="s">
        <v>769</v>
      </c>
      <c r="D576" s="9" t="s">
        <v>5871</v>
      </c>
      <c r="E576" s="9" t="str">
        <f aca="false">IF(AND('Formation Ledger'!A555&lt;&gt;"",'Formation Ledger'!V555=0),"PASS","FAIL")</f>
        <v>PASS</v>
      </c>
      <c r="F576" s="9" t="s">
        <v>76</v>
      </c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customFormat="false" ht="15" hidden="false" customHeight="false" outlineLevel="0" collapsed="false">
      <c r="A577" s="9" t="s">
        <v>6420</v>
      </c>
      <c r="B577" s="9" t="s">
        <v>5870</v>
      </c>
      <c r="C577" s="9" t="s">
        <v>770</v>
      </c>
      <c r="D577" s="9" t="s">
        <v>5871</v>
      </c>
      <c r="E577" s="9" t="str">
        <f aca="false">IF(AND('Formation Ledger'!A556&lt;&gt;"",'Formation Ledger'!V556=0),"PASS","FAIL")</f>
        <v>PASS</v>
      </c>
      <c r="F577" s="9" t="s">
        <v>76</v>
      </c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customFormat="false" ht="15" hidden="false" customHeight="false" outlineLevel="0" collapsed="false">
      <c r="A578" s="9" t="s">
        <v>6421</v>
      </c>
      <c r="B578" s="9" t="s">
        <v>5870</v>
      </c>
      <c r="C578" s="9" t="s">
        <v>774</v>
      </c>
      <c r="D578" s="9" t="s">
        <v>5871</v>
      </c>
      <c r="E578" s="9" t="str">
        <f aca="false">IF(AND('Formation Ledger'!A557&lt;&gt;"",'Formation Ledger'!V557=0),"PASS","FAIL")</f>
        <v>PASS</v>
      </c>
      <c r="F578" s="9" t="s">
        <v>76</v>
      </c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customFormat="false" ht="15" hidden="false" customHeight="false" outlineLevel="0" collapsed="false">
      <c r="A579" s="9" t="s">
        <v>6422</v>
      </c>
      <c r="B579" s="9" t="s">
        <v>5870</v>
      </c>
      <c r="C579" s="9" t="s">
        <v>775</v>
      </c>
      <c r="D579" s="9" t="s">
        <v>5871</v>
      </c>
      <c r="E579" s="9" t="str">
        <f aca="false">IF(AND('Formation Ledger'!A558&lt;&gt;"",'Formation Ledger'!V558=0),"PASS","FAIL")</f>
        <v>PASS</v>
      </c>
      <c r="F579" s="9" t="s">
        <v>76</v>
      </c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customFormat="false" ht="15" hidden="false" customHeight="false" outlineLevel="0" collapsed="false">
      <c r="A580" s="9" t="s">
        <v>6423</v>
      </c>
      <c r="B580" s="9" t="s">
        <v>5870</v>
      </c>
      <c r="C580" s="9" t="s">
        <v>776</v>
      </c>
      <c r="D580" s="9" t="s">
        <v>5871</v>
      </c>
      <c r="E580" s="9" t="str">
        <f aca="false">IF(AND('Formation Ledger'!A559&lt;&gt;"",'Formation Ledger'!V559=0),"PASS","FAIL")</f>
        <v>PASS</v>
      </c>
      <c r="F580" s="9" t="s">
        <v>76</v>
      </c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customFormat="false" ht="15" hidden="false" customHeight="false" outlineLevel="0" collapsed="false">
      <c r="A581" s="9" t="s">
        <v>6424</v>
      </c>
      <c r="B581" s="9" t="s">
        <v>5870</v>
      </c>
      <c r="C581" s="9" t="s">
        <v>777</v>
      </c>
      <c r="D581" s="9" t="s">
        <v>5871</v>
      </c>
      <c r="E581" s="9" t="str">
        <f aca="false">IF(AND('Formation Ledger'!A560&lt;&gt;"",'Formation Ledger'!V560=0),"PASS","FAIL")</f>
        <v>PASS</v>
      </c>
      <c r="F581" s="9" t="s">
        <v>76</v>
      </c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customFormat="false" ht="15" hidden="false" customHeight="false" outlineLevel="0" collapsed="false">
      <c r="A582" s="9" t="s">
        <v>6425</v>
      </c>
      <c r="B582" s="9" t="s">
        <v>5870</v>
      </c>
      <c r="C582" s="9" t="s">
        <v>778</v>
      </c>
      <c r="D582" s="9" t="s">
        <v>5871</v>
      </c>
      <c r="E582" s="9" t="str">
        <f aca="false">IF(AND('Formation Ledger'!A561&lt;&gt;"",'Formation Ledger'!V561=0),"PASS","FAIL")</f>
        <v>PASS</v>
      </c>
      <c r="F582" s="9" t="s">
        <v>76</v>
      </c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customFormat="false" ht="15" hidden="false" customHeight="false" outlineLevel="0" collapsed="false">
      <c r="A583" s="9" t="s">
        <v>6426</v>
      </c>
      <c r="B583" s="9" t="s">
        <v>5870</v>
      </c>
      <c r="C583" s="9" t="s">
        <v>779</v>
      </c>
      <c r="D583" s="9" t="s">
        <v>5871</v>
      </c>
      <c r="E583" s="9" t="str">
        <f aca="false">IF(AND('Formation Ledger'!A562&lt;&gt;"",'Formation Ledger'!V562=0),"PASS","FAIL")</f>
        <v>PASS</v>
      </c>
      <c r="F583" s="9" t="s">
        <v>76</v>
      </c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customFormat="false" ht="15" hidden="false" customHeight="false" outlineLevel="0" collapsed="false">
      <c r="A584" s="9" t="s">
        <v>6427</v>
      </c>
      <c r="B584" s="9" t="s">
        <v>5870</v>
      </c>
      <c r="C584" s="9" t="s">
        <v>780</v>
      </c>
      <c r="D584" s="9" t="s">
        <v>5871</v>
      </c>
      <c r="E584" s="9" t="str">
        <f aca="false">IF(AND('Formation Ledger'!A563&lt;&gt;"",'Formation Ledger'!V563=0),"PASS","FAIL")</f>
        <v>PASS</v>
      </c>
      <c r="F584" s="9" t="s">
        <v>76</v>
      </c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customFormat="false" ht="15" hidden="false" customHeight="false" outlineLevel="0" collapsed="false">
      <c r="A585" s="9" t="s">
        <v>6428</v>
      </c>
      <c r="B585" s="9" t="s">
        <v>5870</v>
      </c>
      <c r="C585" s="9" t="s">
        <v>781</v>
      </c>
      <c r="D585" s="9" t="s">
        <v>5871</v>
      </c>
      <c r="E585" s="9" t="str">
        <f aca="false">IF(AND('Formation Ledger'!A564&lt;&gt;"",'Formation Ledger'!V564=0),"PASS","FAIL")</f>
        <v>PASS</v>
      </c>
      <c r="F585" s="9" t="s">
        <v>76</v>
      </c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customFormat="false" ht="15" hidden="false" customHeight="false" outlineLevel="0" collapsed="false">
      <c r="A586" s="9" t="s">
        <v>6429</v>
      </c>
      <c r="B586" s="9" t="s">
        <v>5870</v>
      </c>
      <c r="C586" s="9" t="s">
        <v>782</v>
      </c>
      <c r="D586" s="9" t="s">
        <v>5871</v>
      </c>
      <c r="E586" s="9" t="str">
        <f aca="false">IF(AND('Formation Ledger'!A565&lt;&gt;"",'Formation Ledger'!V565=0),"PASS","FAIL")</f>
        <v>PASS</v>
      </c>
      <c r="F586" s="9" t="s">
        <v>76</v>
      </c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customFormat="false" ht="15" hidden="false" customHeight="false" outlineLevel="0" collapsed="false">
      <c r="A587" s="9" t="s">
        <v>6430</v>
      </c>
      <c r="B587" s="9" t="s">
        <v>5870</v>
      </c>
      <c r="C587" s="9" t="s">
        <v>783</v>
      </c>
      <c r="D587" s="9" t="s">
        <v>5871</v>
      </c>
      <c r="E587" s="9" t="str">
        <f aca="false">IF(AND('Formation Ledger'!A566&lt;&gt;"",'Formation Ledger'!V566=0),"PASS","FAIL")</f>
        <v>PASS</v>
      </c>
      <c r="F587" s="9" t="s">
        <v>76</v>
      </c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customFormat="false" ht="15" hidden="false" customHeight="false" outlineLevel="0" collapsed="false">
      <c r="A588" s="9" t="s">
        <v>6431</v>
      </c>
      <c r="B588" s="9" t="s">
        <v>5870</v>
      </c>
      <c r="C588" s="9" t="s">
        <v>784</v>
      </c>
      <c r="D588" s="9" t="s">
        <v>5871</v>
      </c>
      <c r="E588" s="9" t="str">
        <f aca="false">IF(AND('Formation Ledger'!A567&lt;&gt;"",'Formation Ledger'!V567=0),"PASS","FAIL")</f>
        <v>PASS</v>
      </c>
      <c r="F588" s="9" t="s">
        <v>76</v>
      </c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customFormat="false" ht="15" hidden="false" customHeight="false" outlineLevel="0" collapsed="false">
      <c r="A589" s="9" t="s">
        <v>6432</v>
      </c>
      <c r="B589" s="9" t="s">
        <v>5870</v>
      </c>
      <c r="C589" s="9" t="s">
        <v>785</v>
      </c>
      <c r="D589" s="9" t="s">
        <v>5871</v>
      </c>
      <c r="E589" s="9" t="str">
        <f aca="false">IF(AND('Formation Ledger'!A568&lt;&gt;"",'Formation Ledger'!V568=0),"PASS","FAIL")</f>
        <v>PASS</v>
      </c>
      <c r="F589" s="9" t="s">
        <v>76</v>
      </c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customFormat="false" ht="15" hidden="false" customHeight="false" outlineLevel="0" collapsed="false">
      <c r="A590" s="9" t="s">
        <v>6433</v>
      </c>
      <c r="B590" s="9" t="s">
        <v>5870</v>
      </c>
      <c r="C590" s="9" t="s">
        <v>786</v>
      </c>
      <c r="D590" s="9" t="s">
        <v>5871</v>
      </c>
      <c r="E590" s="9" t="str">
        <f aca="false">IF(AND('Formation Ledger'!A569&lt;&gt;"",'Formation Ledger'!V569=0),"PASS","FAIL")</f>
        <v>PASS</v>
      </c>
      <c r="F590" s="9" t="s">
        <v>76</v>
      </c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customFormat="false" ht="15" hidden="false" customHeight="false" outlineLevel="0" collapsed="false">
      <c r="A591" s="9" t="s">
        <v>6434</v>
      </c>
      <c r="B591" s="9" t="s">
        <v>5870</v>
      </c>
      <c r="C591" s="9" t="s">
        <v>787</v>
      </c>
      <c r="D591" s="9" t="s">
        <v>5871</v>
      </c>
      <c r="E591" s="9" t="str">
        <f aca="false">IF(AND('Formation Ledger'!A570&lt;&gt;"",'Formation Ledger'!V570=0),"PASS","FAIL")</f>
        <v>PASS</v>
      </c>
      <c r="F591" s="9" t="s">
        <v>76</v>
      </c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customFormat="false" ht="15" hidden="false" customHeight="false" outlineLevel="0" collapsed="false">
      <c r="A592" s="9" t="s">
        <v>6435</v>
      </c>
      <c r="B592" s="9" t="s">
        <v>5870</v>
      </c>
      <c r="C592" s="9" t="s">
        <v>788</v>
      </c>
      <c r="D592" s="9" t="s">
        <v>5871</v>
      </c>
      <c r="E592" s="9" t="str">
        <f aca="false">IF(AND('Formation Ledger'!A571&lt;&gt;"",'Formation Ledger'!V571=0),"PASS","FAIL")</f>
        <v>PASS</v>
      </c>
      <c r="F592" s="9" t="s">
        <v>76</v>
      </c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customFormat="false" ht="15" hidden="false" customHeight="false" outlineLevel="0" collapsed="false">
      <c r="A593" s="9" t="s">
        <v>6436</v>
      </c>
      <c r="B593" s="9" t="s">
        <v>5870</v>
      </c>
      <c r="C593" s="9" t="s">
        <v>789</v>
      </c>
      <c r="D593" s="9" t="s">
        <v>5871</v>
      </c>
      <c r="E593" s="9" t="str">
        <f aca="false">IF(AND('Formation Ledger'!A572&lt;&gt;"",'Formation Ledger'!V572=0),"PASS","FAIL")</f>
        <v>PASS</v>
      </c>
      <c r="F593" s="9" t="s">
        <v>76</v>
      </c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customFormat="false" ht="15" hidden="false" customHeight="false" outlineLevel="0" collapsed="false">
      <c r="A594" s="9" t="s">
        <v>6437</v>
      </c>
      <c r="B594" s="9" t="s">
        <v>5870</v>
      </c>
      <c r="C594" s="9" t="s">
        <v>790</v>
      </c>
      <c r="D594" s="9" t="s">
        <v>5871</v>
      </c>
      <c r="E594" s="9" t="str">
        <f aca="false">IF(AND('Formation Ledger'!A573&lt;&gt;"",'Formation Ledger'!V573=0),"PASS","FAIL")</f>
        <v>PASS</v>
      </c>
      <c r="F594" s="9" t="s">
        <v>76</v>
      </c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customFormat="false" ht="15" hidden="false" customHeight="false" outlineLevel="0" collapsed="false">
      <c r="A595" s="9" t="s">
        <v>6438</v>
      </c>
      <c r="B595" s="9" t="s">
        <v>5870</v>
      </c>
      <c r="C595" s="9" t="s">
        <v>791</v>
      </c>
      <c r="D595" s="9" t="s">
        <v>5871</v>
      </c>
      <c r="E595" s="9" t="str">
        <f aca="false">IF(AND('Formation Ledger'!A574&lt;&gt;"",'Formation Ledger'!V574=0),"PASS","FAIL")</f>
        <v>PASS</v>
      </c>
      <c r="F595" s="9" t="s">
        <v>76</v>
      </c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customFormat="false" ht="15" hidden="false" customHeight="false" outlineLevel="0" collapsed="false">
      <c r="A596" s="9" t="s">
        <v>6439</v>
      </c>
      <c r="B596" s="9" t="s">
        <v>5870</v>
      </c>
      <c r="C596" s="9" t="s">
        <v>792</v>
      </c>
      <c r="D596" s="9" t="s">
        <v>5871</v>
      </c>
      <c r="E596" s="9" t="str">
        <f aca="false">IF(AND('Formation Ledger'!A575&lt;&gt;"",'Formation Ledger'!V575=0),"PASS","FAIL")</f>
        <v>PASS</v>
      </c>
      <c r="F596" s="9" t="s">
        <v>76</v>
      </c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customFormat="false" ht="15" hidden="false" customHeight="false" outlineLevel="0" collapsed="false">
      <c r="A597" s="9" t="s">
        <v>6440</v>
      </c>
      <c r="B597" s="9" t="s">
        <v>5870</v>
      </c>
      <c r="C597" s="9" t="s">
        <v>793</v>
      </c>
      <c r="D597" s="9" t="s">
        <v>5871</v>
      </c>
      <c r="E597" s="9" t="str">
        <f aca="false">IF(AND('Formation Ledger'!A576&lt;&gt;"",'Formation Ledger'!V576=0),"PASS","FAIL")</f>
        <v>PASS</v>
      </c>
      <c r="F597" s="9" t="s">
        <v>76</v>
      </c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customFormat="false" ht="15" hidden="false" customHeight="false" outlineLevel="0" collapsed="false">
      <c r="A598" s="9" t="s">
        <v>6441</v>
      </c>
      <c r="B598" s="9" t="s">
        <v>5870</v>
      </c>
      <c r="C598" s="9" t="s">
        <v>794</v>
      </c>
      <c r="D598" s="9" t="s">
        <v>5871</v>
      </c>
      <c r="E598" s="9" t="str">
        <f aca="false">IF(AND('Formation Ledger'!A577&lt;&gt;"",'Formation Ledger'!V577=0),"PASS","FAIL")</f>
        <v>PASS</v>
      </c>
      <c r="F598" s="9" t="s">
        <v>76</v>
      </c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customFormat="false" ht="15" hidden="false" customHeight="false" outlineLevel="0" collapsed="false">
      <c r="A599" s="9" t="s">
        <v>6442</v>
      </c>
      <c r="B599" s="9" t="s">
        <v>5870</v>
      </c>
      <c r="C599" s="9" t="s">
        <v>795</v>
      </c>
      <c r="D599" s="9" t="s">
        <v>5871</v>
      </c>
      <c r="E599" s="9" t="str">
        <f aca="false">IF(AND('Formation Ledger'!A578&lt;&gt;"",'Formation Ledger'!V578=0),"PASS","FAIL")</f>
        <v>PASS</v>
      </c>
      <c r="F599" s="9" t="s">
        <v>76</v>
      </c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customFormat="false" ht="15" hidden="false" customHeight="false" outlineLevel="0" collapsed="false">
      <c r="A600" s="9" t="s">
        <v>6443</v>
      </c>
      <c r="B600" s="9" t="s">
        <v>5870</v>
      </c>
      <c r="C600" s="9" t="s">
        <v>796</v>
      </c>
      <c r="D600" s="9" t="s">
        <v>5871</v>
      </c>
      <c r="E600" s="9" t="str">
        <f aca="false">IF(AND('Formation Ledger'!A579&lt;&gt;"",'Formation Ledger'!V579=0),"PASS","FAIL")</f>
        <v>PASS</v>
      </c>
      <c r="F600" s="9" t="s">
        <v>76</v>
      </c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customFormat="false" ht="15" hidden="false" customHeight="false" outlineLevel="0" collapsed="false">
      <c r="A601" s="9" t="s">
        <v>6444</v>
      </c>
      <c r="B601" s="9" t="s">
        <v>5870</v>
      </c>
      <c r="C601" s="9" t="s">
        <v>797</v>
      </c>
      <c r="D601" s="9" t="s">
        <v>5871</v>
      </c>
      <c r="E601" s="9" t="str">
        <f aca="false">IF(AND('Formation Ledger'!A580&lt;&gt;"",'Formation Ledger'!V580=0),"PASS","FAIL")</f>
        <v>PASS</v>
      </c>
      <c r="F601" s="9" t="s">
        <v>76</v>
      </c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customFormat="false" ht="15" hidden="false" customHeight="false" outlineLevel="0" collapsed="false">
      <c r="A602" s="9" t="s">
        <v>6445</v>
      </c>
      <c r="B602" s="9" t="s">
        <v>5870</v>
      </c>
      <c r="C602" s="9" t="s">
        <v>798</v>
      </c>
      <c r="D602" s="9" t="s">
        <v>5871</v>
      </c>
      <c r="E602" s="9" t="str">
        <f aca="false">IF(AND('Formation Ledger'!A581&lt;&gt;"",'Formation Ledger'!V581=0),"PASS","FAIL")</f>
        <v>PASS</v>
      </c>
      <c r="F602" s="9" t="s">
        <v>76</v>
      </c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customFormat="false" ht="15" hidden="false" customHeight="false" outlineLevel="0" collapsed="false">
      <c r="A603" s="9" t="s">
        <v>6446</v>
      </c>
      <c r="B603" s="9" t="s">
        <v>5870</v>
      </c>
      <c r="C603" s="9" t="s">
        <v>799</v>
      </c>
      <c r="D603" s="9" t="s">
        <v>5871</v>
      </c>
      <c r="E603" s="9" t="str">
        <f aca="false">IF(AND('Formation Ledger'!A582&lt;&gt;"",'Formation Ledger'!V582=0),"PASS","FAIL")</f>
        <v>PASS</v>
      </c>
      <c r="F603" s="9" t="s">
        <v>76</v>
      </c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customFormat="false" ht="15" hidden="false" customHeight="false" outlineLevel="0" collapsed="false">
      <c r="A604" s="9" t="s">
        <v>6447</v>
      </c>
      <c r="B604" s="9" t="s">
        <v>5870</v>
      </c>
      <c r="C604" s="9" t="s">
        <v>800</v>
      </c>
      <c r="D604" s="9" t="s">
        <v>5871</v>
      </c>
      <c r="E604" s="9" t="str">
        <f aca="false">IF(AND('Formation Ledger'!A583&lt;&gt;"",'Formation Ledger'!V583=0),"PASS","FAIL")</f>
        <v>PASS</v>
      </c>
      <c r="F604" s="9" t="s">
        <v>76</v>
      </c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customFormat="false" ht="15" hidden="false" customHeight="false" outlineLevel="0" collapsed="false">
      <c r="A605" s="9" t="s">
        <v>6448</v>
      </c>
      <c r="B605" s="9" t="s">
        <v>5870</v>
      </c>
      <c r="C605" s="9" t="s">
        <v>801</v>
      </c>
      <c r="D605" s="9" t="s">
        <v>5871</v>
      </c>
      <c r="E605" s="9" t="str">
        <f aca="false">IF(AND('Formation Ledger'!A584&lt;&gt;"",'Formation Ledger'!V584=0),"PASS","FAIL")</f>
        <v>PASS</v>
      </c>
      <c r="F605" s="9" t="s">
        <v>76</v>
      </c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customFormat="false" ht="15" hidden="false" customHeight="false" outlineLevel="0" collapsed="false">
      <c r="A606" s="9" t="s">
        <v>6449</v>
      </c>
      <c r="B606" s="9" t="s">
        <v>5870</v>
      </c>
      <c r="C606" s="9" t="s">
        <v>802</v>
      </c>
      <c r="D606" s="9" t="s">
        <v>5871</v>
      </c>
      <c r="E606" s="9" t="str">
        <f aca="false">IF(AND('Formation Ledger'!A585&lt;&gt;"",'Formation Ledger'!V585=0),"PASS","FAIL")</f>
        <v>PASS</v>
      </c>
      <c r="F606" s="9" t="s">
        <v>76</v>
      </c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customFormat="false" ht="15" hidden="false" customHeight="false" outlineLevel="0" collapsed="false">
      <c r="A607" s="9" t="s">
        <v>6450</v>
      </c>
      <c r="B607" s="9" t="s">
        <v>5870</v>
      </c>
      <c r="C607" s="9" t="s">
        <v>803</v>
      </c>
      <c r="D607" s="9" t="s">
        <v>5871</v>
      </c>
      <c r="E607" s="9" t="str">
        <f aca="false">IF(AND('Formation Ledger'!A586&lt;&gt;"",'Formation Ledger'!V586=0),"PASS","FAIL")</f>
        <v>PASS</v>
      </c>
      <c r="F607" s="9" t="s">
        <v>76</v>
      </c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customFormat="false" ht="15" hidden="false" customHeight="false" outlineLevel="0" collapsed="false">
      <c r="A608" s="9" t="s">
        <v>6451</v>
      </c>
      <c r="B608" s="9" t="s">
        <v>5870</v>
      </c>
      <c r="C608" s="9" t="s">
        <v>804</v>
      </c>
      <c r="D608" s="9" t="s">
        <v>5871</v>
      </c>
      <c r="E608" s="9" t="str">
        <f aca="false">IF(AND('Formation Ledger'!A587&lt;&gt;"",'Formation Ledger'!V587=0),"PASS","FAIL")</f>
        <v>PASS</v>
      </c>
      <c r="F608" s="9" t="s">
        <v>76</v>
      </c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customFormat="false" ht="15" hidden="false" customHeight="false" outlineLevel="0" collapsed="false">
      <c r="A609" s="9" t="s">
        <v>6452</v>
      </c>
      <c r="B609" s="9" t="s">
        <v>5870</v>
      </c>
      <c r="C609" s="9" t="s">
        <v>805</v>
      </c>
      <c r="D609" s="9" t="s">
        <v>5871</v>
      </c>
      <c r="E609" s="9" t="str">
        <f aca="false">IF(AND('Formation Ledger'!A588&lt;&gt;"",'Formation Ledger'!V588=0),"PASS","FAIL")</f>
        <v>PASS</v>
      </c>
      <c r="F609" s="9" t="s">
        <v>76</v>
      </c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customFormat="false" ht="15" hidden="false" customHeight="false" outlineLevel="0" collapsed="false">
      <c r="A610" s="9" t="s">
        <v>6453</v>
      </c>
      <c r="B610" s="9" t="s">
        <v>5870</v>
      </c>
      <c r="C610" s="9" t="s">
        <v>806</v>
      </c>
      <c r="D610" s="9" t="s">
        <v>5871</v>
      </c>
      <c r="E610" s="9" t="str">
        <f aca="false">IF(AND('Formation Ledger'!A589&lt;&gt;"",'Formation Ledger'!V589=0),"PASS","FAIL")</f>
        <v>PASS</v>
      </c>
      <c r="F610" s="9" t="s">
        <v>76</v>
      </c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customFormat="false" ht="15" hidden="false" customHeight="false" outlineLevel="0" collapsed="false">
      <c r="A611" s="9" t="s">
        <v>6454</v>
      </c>
      <c r="B611" s="9" t="s">
        <v>5870</v>
      </c>
      <c r="C611" s="9" t="s">
        <v>807</v>
      </c>
      <c r="D611" s="9" t="s">
        <v>5871</v>
      </c>
      <c r="E611" s="9" t="str">
        <f aca="false">IF(AND('Formation Ledger'!A590&lt;&gt;"",'Formation Ledger'!V590=0),"PASS","FAIL")</f>
        <v>PASS</v>
      </c>
      <c r="F611" s="9" t="s">
        <v>76</v>
      </c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customFormat="false" ht="15" hidden="false" customHeight="false" outlineLevel="0" collapsed="false">
      <c r="A612" s="9" t="s">
        <v>6455</v>
      </c>
      <c r="B612" s="9" t="s">
        <v>5870</v>
      </c>
      <c r="C612" s="9" t="s">
        <v>808</v>
      </c>
      <c r="D612" s="9" t="s">
        <v>5871</v>
      </c>
      <c r="E612" s="9" t="str">
        <f aca="false">IF(AND('Formation Ledger'!A591&lt;&gt;"",'Formation Ledger'!V591=0),"PASS","FAIL")</f>
        <v>PASS</v>
      </c>
      <c r="F612" s="9" t="s">
        <v>76</v>
      </c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customFormat="false" ht="15" hidden="false" customHeight="false" outlineLevel="0" collapsed="false">
      <c r="A613" s="9" t="s">
        <v>6456</v>
      </c>
      <c r="B613" s="9" t="s">
        <v>5870</v>
      </c>
      <c r="C613" s="9" t="s">
        <v>809</v>
      </c>
      <c r="D613" s="9" t="s">
        <v>5871</v>
      </c>
      <c r="E613" s="9" t="str">
        <f aca="false">IF(AND('Formation Ledger'!A592&lt;&gt;"",'Formation Ledger'!V592=0),"PASS","FAIL")</f>
        <v>PASS</v>
      </c>
      <c r="F613" s="9" t="s">
        <v>76</v>
      </c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customFormat="false" ht="15" hidden="false" customHeight="false" outlineLevel="0" collapsed="false">
      <c r="A614" s="9" t="s">
        <v>6457</v>
      </c>
      <c r="B614" s="9" t="s">
        <v>5870</v>
      </c>
      <c r="C614" s="9" t="s">
        <v>810</v>
      </c>
      <c r="D614" s="9" t="s">
        <v>5871</v>
      </c>
      <c r="E614" s="9" t="str">
        <f aca="false">IF(AND('Formation Ledger'!A593&lt;&gt;"",'Formation Ledger'!V593=0),"PASS","FAIL")</f>
        <v>PASS</v>
      </c>
      <c r="F614" s="9" t="s">
        <v>76</v>
      </c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customFormat="false" ht="15" hidden="false" customHeight="false" outlineLevel="0" collapsed="false">
      <c r="A615" s="9" t="s">
        <v>6458</v>
      </c>
      <c r="B615" s="9" t="s">
        <v>5870</v>
      </c>
      <c r="C615" s="9" t="s">
        <v>811</v>
      </c>
      <c r="D615" s="9" t="s">
        <v>5871</v>
      </c>
      <c r="E615" s="9" t="str">
        <f aca="false">IF(AND('Formation Ledger'!A594&lt;&gt;"",'Formation Ledger'!V594=0),"PASS","FAIL")</f>
        <v>PASS</v>
      </c>
      <c r="F615" s="9" t="s">
        <v>76</v>
      </c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customFormat="false" ht="15" hidden="false" customHeight="false" outlineLevel="0" collapsed="false">
      <c r="A616" s="9" t="s">
        <v>6459</v>
      </c>
      <c r="B616" s="9" t="s">
        <v>5870</v>
      </c>
      <c r="C616" s="9" t="s">
        <v>812</v>
      </c>
      <c r="D616" s="9" t="s">
        <v>5871</v>
      </c>
      <c r="E616" s="9" t="str">
        <f aca="false">IF(AND('Formation Ledger'!A595&lt;&gt;"",'Formation Ledger'!V595=0),"PASS","FAIL")</f>
        <v>PASS</v>
      </c>
      <c r="F616" s="9" t="s">
        <v>76</v>
      </c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customFormat="false" ht="15" hidden="false" customHeight="false" outlineLevel="0" collapsed="false">
      <c r="A617" s="9" t="s">
        <v>6460</v>
      </c>
      <c r="B617" s="9" t="s">
        <v>5870</v>
      </c>
      <c r="C617" s="9" t="s">
        <v>813</v>
      </c>
      <c r="D617" s="9" t="s">
        <v>5871</v>
      </c>
      <c r="E617" s="9" t="str">
        <f aca="false">IF(AND('Formation Ledger'!A596&lt;&gt;"",'Formation Ledger'!V596=0),"PASS","FAIL")</f>
        <v>PASS</v>
      </c>
      <c r="F617" s="9" t="s">
        <v>76</v>
      </c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customFormat="false" ht="15" hidden="false" customHeight="false" outlineLevel="0" collapsed="false">
      <c r="A618" s="9" t="s">
        <v>6461</v>
      </c>
      <c r="B618" s="9" t="s">
        <v>5870</v>
      </c>
      <c r="C618" s="9" t="s">
        <v>814</v>
      </c>
      <c r="D618" s="9" t="s">
        <v>5871</v>
      </c>
      <c r="E618" s="9" t="str">
        <f aca="false">IF(AND('Formation Ledger'!A597&lt;&gt;"",'Formation Ledger'!V597=0),"PASS","FAIL")</f>
        <v>PASS</v>
      </c>
      <c r="F618" s="9" t="s">
        <v>76</v>
      </c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customFormat="false" ht="15" hidden="false" customHeight="false" outlineLevel="0" collapsed="false">
      <c r="A619" s="9" t="s">
        <v>6462</v>
      </c>
      <c r="B619" s="9" t="s">
        <v>5870</v>
      </c>
      <c r="C619" s="9" t="s">
        <v>815</v>
      </c>
      <c r="D619" s="9" t="s">
        <v>5871</v>
      </c>
      <c r="E619" s="9" t="str">
        <f aca="false">IF(AND('Formation Ledger'!A598&lt;&gt;"",'Formation Ledger'!V598=0),"PASS","FAIL")</f>
        <v>PASS</v>
      </c>
      <c r="F619" s="9" t="s">
        <v>76</v>
      </c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customFormat="false" ht="15" hidden="false" customHeight="false" outlineLevel="0" collapsed="false">
      <c r="A620" s="9" t="s">
        <v>6463</v>
      </c>
      <c r="B620" s="9" t="s">
        <v>5870</v>
      </c>
      <c r="C620" s="9" t="s">
        <v>816</v>
      </c>
      <c r="D620" s="9" t="s">
        <v>5871</v>
      </c>
      <c r="E620" s="9" t="str">
        <f aca="false">IF(AND('Formation Ledger'!A599&lt;&gt;"",'Formation Ledger'!V599=0),"PASS","FAIL")</f>
        <v>PASS</v>
      </c>
      <c r="F620" s="9" t="s">
        <v>76</v>
      </c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customFormat="false" ht="15" hidden="false" customHeight="false" outlineLevel="0" collapsed="false">
      <c r="A621" s="9" t="s">
        <v>6464</v>
      </c>
      <c r="B621" s="9" t="s">
        <v>5870</v>
      </c>
      <c r="C621" s="9" t="s">
        <v>817</v>
      </c>
      <c r="D621" s="9" t="s">
        <v>5871</v>
      </c>
      <c r="E621" s="9" t="str">
        <f aca="false">IF(AND('Formation Ledger'!A600&lt;&gt;"",'Formation Ledger'!V600=0),"PASS","FAIL")</f>
        <v>PASS</v>
      </c>
      <c r="F621" s="9" t="s">
        <v>76</v>
      </c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customFormat="false" ht="15" hidden="false" customHeight="false" outlineLevel="0" collapsed="false">
      <c r="A622" s="9" t="s">
        <v>6465</v>
      </c>
      <c r="B622" s="9" t="s">
        <v>5870</v>
      </c>
      <c r="C622" s="9" t="s">
        <v>818</v>
      </c>
      <c r="D622" s="9" t="s">
        <v>5871</v>
      </c>
      <c r="E622" s="9" t="str">
        <f aca="false">IF(AND('Formation Ledger'!A601&lt;&gt;"",'Formation Ledger'!V601=0),"PASS","FAIL")</f>
        <v>PASS</v>
      </c>
      <c r="F622" s="9" t="s">
        <v>76</v>
      </c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customFormat="false" ht="15" hidden="false" customHeight="false" outlineLevel="0" collapsed="false">
      <c r="A623" s="9" t="s">
        <v>6466</v>
      </c>
      <c r="B623" s="9" t="s">
        <v>5870</v>
      </c>
      <c r="C623" s="9" t="s">
        <v>819</v>
      </c>
      <c r="D623" s="9" t="s">
        <v>5871</v>
      </c>
      <c r="E623" s="9" t="str">
        <f aca="false">IF(AND('Formation Ledger'!A602&lt;&gt;"",'Formation Ledger'!V602=0),"PASS","FAIL")</f>
        <v>PASS</v>
      </c>
      <c r="F623" s="9" t="s">
        <v>76</v>
      </c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customFormat="false" ht="15" hidden="false" customHeight="false" outlineLevel="0" collapsed="false">
      <c r="A624" s="9" t="s">
        <v>6467</v>
      </c>
      <c r="B624" s="9" t="s">
        <v>5870</v>
      </c>
      <c r="C624" s="9" t="s">
        <v>820</v>
      </c>
      <c r="D624" s="9" t="s">
        <v>5871</v>
      </c>
      <c r="E624" s="9" t="str">
        <f aca="false">IF(AND('Formation Ledger'!A603&lt;&gt;"",'Formation Ledger'!V603=0),"PASS","FAIL")</f>
        <v>PASS</v>
      </c>
      <c r="F624" s="9" t="s">
        <v>76</v>
      </c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customFormat="false" ht="15" hidden="false" customHeight="false" outlineLevel="0" collapsed="false">
      <c r="A625" s="9" t="s">
        <v>6468</v>
      </c>
      <c r="B625" s="9" t="s">
        <v>5870</v>
      </c>
      <c r="C625" s="9" t="s">
        <v>821</v>
      </c>
      <c r="D625" s="9" t="s">
        <v>5871</v>
      </c>
      <c r="E625" s="9" t="str">
        <f aca="false">IF(AND('Formation Ledger'!A604&lt;&gt;"",'Formation Ledger'!V604=0),"PASS","FAIL")</f>
        <v>PASS</v>
      </c>
      <c r="F625" s="9" t="s">
        <v>76</v>
      </c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customFormat="false" ht="15" hidden="false" customHeight="false" outlineLevel="0" collapsed="false">
      <c r="A626" s="9" t="s">
        <v>6469</v>
      </c>
      <c r="B626" s="9" t="s">
        <v>5870</v>
      </c>
      <c r="C626" s="9" t="s">
        <v>822</v>
      </c>
      <c r="D626" s="9" t="s">
        <v>5871</v>
      </c>
      <c r="E626" s="9" t="str">
        <f aca="false">IF(AND('Formation Ledger'!A605&lt;&gt;"",'Formation Ledger'!V605=0),"PASS","FAIL")</f>
        <v>PASS</v>
      </c>
      <c r="F626" s="9" t="s">
        <v>76</v>
      </c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customFormat="false" ht="15" hidden="false" customHeight="false" outlineLevel="0" collapsed="false">
      <c r="A627" s="9" t="s">
        <v>6470</v>
      </c>
      <c r="B627" s="9" t="s">
        <v>5870</v>
      </c>
      <c r="C627" s="9" t="s">
        <v>823</v>
      </c>
      <c r="D627" s="9" t="s">
        <v>5871</v>
      </c>
      <c r="E627" s="9" t="str">
        <f aca="false">IF(AND('Formation Ledger'!A606&lt;&gt;"",'Formation Ledger'!V606=0),"PASS","FAIL")</f>
        <v>PASS</v>
      </c>
      <c r="F627" s="9" t="s">
        <v>76</v>
      </c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customFormat="false" ht="15" hidden="false" customHeight="false" outlineLevel="0" collapsed="false">
      <c r="A628" s="9" t="s">
        <v>6471</v>
      </c>
      <c r="B628" s="9" t="s">
        <v>5870</v>
      </c>
      <c r="C628" s="9" t="s">
        <v>824</v>
      </c>
      <c r="D628" s="9" t="s">
        <v>5871</v>
      </c>
      <c r="E628" s="9" t="str">
        <f aca="false">IF(AND('Formation Ledger'!A607&lt;&gt;"",'Formation Ledger'!V607=0),"PASS","FAIL")</f>
        <v>PASS</v>
      </c>
      <c r="F628" s="9" t="s">
        <v>76</v>
      </c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customFormat="false" ht="15" hidden="false" customHeight="false" outlineLevel="0" collapsed="false">
      <c r="A629" s="9" t="s">
        <v>6472</v>
      </c>
      <c r="B629" s="9" t="s">
        <v>5870</v>
      </c>
      <c r="C629" s="9" t="s">
        <v>825</v>
      </c>
      <c r="D629" s="9" t="s">
        <v>5871</v>
      </c>
      <c r="E629" s="9" t="str">
        <f aca="false">IF(AND('Formation Ledger'!A608&lt;&gt;"",'Formation Ledger'!V608=0),"PASS","FAIL")</f>
        <v>PASS</v>
      </c>
      <c r="F629" s="9" t="s">
        <v>76</v>
      </c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customFormat="false" ht="15" hidden="false" customHeight="false" outlineLevel="0" collapsed="false">
      <c r="A630" s="9" t="s">
        <v>6473</v>
      </c>
      <c r="B630" s="9" t="s">
        <v>5870</v>
      </c>
      <c r="C630" s="9" t="s">
        <v>826</v>
      </c>
      <c r="D630" s="9" t="s">
        <v>5871</v>
      </c>
      <c r="E630" s="9" t="str">
        <f aca="false">IF(AND('Formation Ledger'!A609&lt;&gt;"",'Formation Ledger'!V609=0),"PASS","FAIL")</f>
        <v>PASS</v>
      </c>
      <c r="F630" s="9" t="s">
        <v>76</v>
      </c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customFormat="false" ht="15" hidden="false" customHeight="false" outlineLevel="0" collapsed="false">
      <c r="A631" s="9" t="s">
        <v>6474</v>
      </c>
      <c r="B631" s="9" t="s">
        <v>5870</v>
      </c>
      <c r="C631" s="9" t="s">
        <v>827</v>
      </c>
      <c r="D631" s="9" t="s">
        <v>5871</v>
      </c>
      <c r="E631" s="9" t="str">
        <f aca="false">IF(AND('Formation Ledger'!A610&lt;&gt;"",'Formation Ledger'!V610=0),"PASS","FAIL")</f>
        <v>PASS</v>
      </c>
      <c r="F631" s="9" t="s">
        <v>76</v>
      </c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customFormat="false" ht="15" hidden="false" customHeight="false" outlineLevel="0" collapsed="false">
      <c r="A632" s="9" t="s">
        <v>6475</v>
      </c>
      <c r="B632" s="9" t="s">
        <v>5870</v>
      </c>
      <c r="C632" s="9" t="s">
        <v>828</v>
      </c>
      <c r="D632" s="9" t="s">
        <v>5871</v>
      </c>
      <c r="E632" s="9" t="str">
        <f aca="false">IF(AND('Formation Ledger'!A611&lt;&gt;"",'Formation Ledger'!V611=0),"PASS","FAIL")</f>
        <v>PASS</v>
      </c>
      <c r="F632" s="9" t="s">
        <v>76</v>
      </c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customFormat="false" ht="15" hidden="false" customHeight="false" outlineLevel="0" collapsed="false">
      <c r="A633" s="9" t="s">
        <v>6476</v>
      </c>
      <c r="B633" s="9" t="s">
        <v>5870</v>
      </c>
      <c r="C633" s="9" t="s">
        <v>829</v>
      </c>
      <c r="D633" s="9" t="s">
        <v>5871</v>
      </c>
      <c r="E633" s="9" t="str">
        <f aca="false">IF(AND('Formation Ledger'!A612&lt;&gt;"",'Formation Ledger'!V612=0),"PASS","FAIL")</f>
        <v>PASS</v>
      </c>
      <c r="F633" s="9" t="s">
        <v>76</v>
      </c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customFormat="false" ht="15" hidden="false" customHeight="false" outlineLevel="0" collapsed="false">
      <c r="A634" s="9" t="s">
        <v>6477</v>
      </c>
      <c r="B634" s="9" t="s">
        <v>5870</v>
      </c>
      <c r="C634" s="9" t="s">
        <v>830</v>
      </c>
      <c r="D634" s="9" t="s">
        <v>5871</v>
      </c>
      <c r="E634" s="9" t="str">
        <f aca="false">IF(AND('Formation Ledger'!A613&lt;&gt;"",'Formation Ledger'!V613=0),"PASS","FAIL")</f>
        <v>PASS</v>
      </c>
      <c r="F634" s="9" t="s">
        <v>76</v>
      </c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customFormat="false" ht="15" hidden="false" customHeight="false" outlineLevel="0" collapsed="false">
      <c r="A635" s="9" t="s">
        <v>6478</v>
      </c>
      <c r="B635" s="9" t="s">
        <v>5870</v>
      </c>
      <c r="C635" s="9" t="s">
        <v>831</v>
      </c>
      <c r="D635" s="9" t="s">
        <v>5871</v>
      </c>
      <c r="E635" s="9" t="str">
        <f aca="false">IF(AND('Formation Ledger'!A614&lt;&gt;"",'Formation Ledger'!V614=0),"PASS","FAIL")</f>
        <v>PASS</v>
      </c>
      <c r="F635" s="9" t="s">
        <v>76</v>
      </c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customFormat="false" ht="15" hidden="false" customHeight="false" outlineLevel="0" collapsed="false">
      <c r="A636" s="9" t="s">
        <v>6479</v>
      </c>
      <c r="B636" s="9" t="s">
        <v>5870</v>
      </c>
      <c r="C636" s="9" t="s">
        <v>832</v>
      </c>
      <c r="D636" s="9" t="s">
        <v>5871</v>
      </c>
      <c r="E636" s="9" t="str">
        <f aca="false">IF(AND('Formation Ledger'!A615&lt;&gt;"",'Formation Ledger'!V615=0),"PASS","FAIL")</f>
        <v>PASS</v>
      </c>
      <c r="F636" s="9" t="s">
        <v>76</v>
      </c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customFormat="false" ht="15" hidden="false" customHeight="false" outlineLevel="0" collapsed="false">
      <c r="A637" s="9" t="s">
        <v>6480</v>
      </c>
      <c r="B637" s="9" t="s">
        <v>5870</v>
      </c>
      <c r="C637" s="9" t="s">
        <v>833</v>
      </c>
      <c r="D637" s="9" t="s">
        <v>5871</v>
      </c>
      <c r="E637" s="9" t="str">
        <f aca="false">IF(AND('Formation Ledger'!A616&lt;&gt;"",'Formation Ledger'!V616=0),"PASS","FAIL")</f>
        <v>PASS</v>
      </c>
      <c r="F637" s="9" t="s">
        <v>76</v>
      </c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customFormat="false" ht="15" hidden="false" customHeight="false" outlineLevel="0" collapsed="false">
      <c r="A638" s="9" t="s">
        <v>6481</v>
      </c>
      <c r="B638" s="9" t="s">
        <v>5870</v>
      </c>
      <c r="C638" s="9" t="s">
        <v>834</v>
      </c>
      <c r="D638" s="9" t="s">
        <v>5871</v>
      </c>
      <c r="E638" s="9" t="str">
        <f aca="false">IF(AND('Formation Ledger'!A617&lt;&gt;"",'Formation Ledger'!V617=0),"PASS","FAIL")</f>
        <v>PASS</v>
      </c>
      <c r="F638" s="9" t="s">
        <v>76</v>
      </c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customFormat="false" ht="15" hidden="false" customHeight="false" outlineLevel="0" collapsed="false">
      <c r="A639" s="9" t="s">
        <v>6482</v>
      </c>
      <c r="B639" s="9" t="s">
        <v>5870</v>
      </c>
      <c r="C639" s="9" t="s">
        <v>835</v>
      </c>
      <c r="D639" s="9" t="s">
        <v>5871</v>
      </c>
      <c r="E639" s="9" t="str">
        <f aca="false">IF(AND('Formation Ledger'!A618&lt;&gt;"",'Formation Ledger'!V618=0),"PASS","FAIL")</f>
        <v>PASS</v>
      </c>
      <c r="F639" s="9" t="s">
        <v>76</v>
      </c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customFormat="false" ht="15" hidden="false" customHeight="false" outlineLevel="0" collapsed="false">
      <c r="A640" s="9" t="s">
        <v>6483</v>
      </c>
      <c r="B640" s="9" t="s">
        <v>5870</v>
      </c>
      <c r="C640" s="9" t="s">
        <v>836</v>
      </c>
      <c r="D640" s="9" t="s">
        <v>5871</v>
      </c>
      <c r="E640" s="9" t="str">
        <f aca="false">IF(AND('Formation Ledger'!A619&lt;&gt;"",'Formation Ledger'!V619=0),"PASS","FAIL")</f>
        <v>PASS</v>
      </c>
      <c r="F640" s="9" t="s">
        <v>76</v>
      </c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customFormat="false" ht="15" hidden="false" customHeight="false" outlineLevel="0" collapsed="false">
      <c r="A641" s="9" t="s">
        <v>6484</v>
      </c>
      <c r="B641" s="9" t="s">
        <v>5870</v>
      </c>
      <c r="C641" s="9" t="s">
        <v>837</v>
      </c>
      <c r="D641" s="9" t="s">
        <v>5871</v>
      </c>
      <c r="E641" s="9" t="str">
        <f aca="false">IF(AND('Formation Ledger'!A620&lt;&gt;"",'Formation Ledger'!V620=0),"PASS","FAIL")</f>
        <v>PASS</v>
      </c>
      <c r="F641" s="9" t="s">
        <v>76</v>
      </c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customFormat="false" ht="15" hidden="false" customHeight="false" outlineLevel="0" collapsed="false">
      <c r="A642" s="9" t="s">
        <v>6485</v>
      </c>
      <c r="B642" s="9" t="s">
        <v>5870</v>
      </c>
      <c r="C642" s="9" t="s">
        <v>838</v>
      </c>
      <c r="D642" s="9" t="s">
        <v>5871</v>
      </c>
      <c r="E642" s="9" t="str">
        <f aca="false">IF(AND('Formation Ledger'!A621&lt;&gt;"",'Formation Ledger'!V621=0),"PASS","FAIL")</f>
        <v>PASS</v>
      </c>
      <c r="F642" s="9" t="s">
        <v>76</v>
      </c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customFormat="false" ht="15" hidden="false" customHeight="false" outlineLevel="0" collapsed="false">
      <c r="A643" s="9" t="s">
        <v>6486</v>
      </c>
      <c r="B643" s="9" t="s">
        <v>5870</v>
      </c>
      <c r="C643" s="9" t="s">
        <v>839</v>
      </c>
      <c r="D643" s="9" t="s">
        <v>5871</v>
      </c>
      <c r="E643" s="9" t="str">
        <f aca="false">IF(AND('Formation Ledger'!A622&lt;&gt;"",'Formation Ledger'!V622=0),"PASS","FAIL")</f>
        <v>PASS</v>
      </c>
      <c r="F643" s="9" t="s">
        <v>76</v>
      </c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customFormat="false" ht="15" hidden="false" customHeight="false" outlineLevel="0" collapsed="false">
      <c r="A644" s="9" t="s">
        <v>6487</v>
      </c>
      <c r="B644" s="9" t="s">
        <v>5870</v>
      </c>
      <c r="C644" s="9" t="s">
        <v>840</v>
      </c>
      <c r="D644" s="9" t="s">
        <v>5871</v>
      </c>
      <c r="E644" s="9" t="str">
        <f aca="false">IF(AND('Formation Ledger'!A623&lt;&gt;"",'Formation Ledger'!V623=0),"PASS","FAIL")</f>
        <v>PASS</v>
      </c>
      <c r="F644" s="9" t="s">
        <v>76</v>
      </c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customFormat="false" ht="15" hidden="false" customHeight="false" outlineLevel="0" collapsed="false">
      <c r="A645" s="9" t="s">
        <v>6488</v>
      </c>
      <c r="B645" s="9" t="s">
        <v>5870</v>
      </c>
      <c r="C645" s="9" t="s">
        <v>841</v>
      </c>
      <c r="D645" s="9" t="s">
        <v>5871</v>
      </c>
      <c r="E645" s="9" t="str">
        <f aca="false">IF(AND('Formation Ledger'!A624&lt;&gt;"",'Formation Ledger'!V624=0),"PASS","FAIL")</f>
        <v>PASS</v>
      </c>
      <c r="F645" s="9" t="s">
        <v>76</v>
      </c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customFormat="false" ht="15" hidden="false" customHeight="false" outlineLevel="0" collapsed="false">
      <c r="A646" s="9" t="s">
        <v>6489</v>
      </c>
      <c r="B646" s="9" t="s">
        <v>5870</v>
      </c>
      <c r="C646" s="9" t="s">
        <v>842</v>
      </c>
      <c r="D646" s="9" t="s">
        <v>5871</v>
      </c>
      <c r="E646" s="9" t="str">
        <f aca="false">IF(AND('Formation Ledger'!A625&lt;&gt;"",'Formation Ledger'!V625=0),"PASS","FAIL")</f>
        <v>PASS</v>
      </c>
      <c r="F646" s="9" t="s">
        <v>76</v>
      </c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customFormat="false" ht="15" hidden="false" customHeight="false" outlineLevel="0" collapsed="false">
      <c r="A647" s="9" t="s">
        <v>6490</v>
      </c>
      <c r="B647" s="9" t="s">
        <v>5870</v>
      </c>
      <c r="C647" s="9" t="s">
        <v>843</v>
      </c>
      <c r="D647" s="9" t="s">
        <v>5871</v>
      </c>
      <c r="E647" s="9" t="str">
        <f aca="false">IF(AND('Formation Ledger'!A626&lt;&gt;"",'Formation Ledger'!V626=0),"PASS","FAIL")</f>
        <v>PASS</v>
      </c>
      <c r="F647" s="9" t="s">
        <v>76</v>
      </c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customFormat="false" ht="15" hidden="false" customHeight="false" outlineLevel="0" collapsed="false">
      <c r="A648" s="9" t="s">
        <v>6491</v>
      </c>
      <c r="B648" s="9" t="s">
        <v>5870</v>
      </c>
      <c r="C648" s="9" t="s">
        <v>844</v>
      </c>
      <c r="D648" s="9" t="s">
        <v>5871</v>
      </c>
      <c r="E648" s="9" t="str">
        <f aca="false">IF(AND('Formation Ledger'!A627&lt;&gt;"",'Formation Ledger'!V627=0),"PASS","FAIL")</f>
        <v>PASS</v>
      </c>
      <c r="F648" s="9" t="s">
        <v>76</v>
      </c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customFormat="false" ht="15" hidden="false" customHeight="false" outlineLevel="0" collapsed="false">
      <c r="A649" s="9" t="s">
        <v>6492</v>
      </c>
      <c r="B649" s="9" t="s">
        <v>5870</v>
      </c>
      <c r="C649" s="9" t="s">
        <v>845</v>
      </c>
      <c r="D649" s="9" t="s">
        <v>5871</v>
      </c>
      <c r="E649" s="9" t="str">
        <f aca="false">IF(AND('Formation Ledger'!A628&lt;&gt;"",'Formation Ledger'!V628=0),"PASS","FAIL")</f>
        <v>PASS</v>
      </c>
      <c r="F649" s="9" t="s">
        <v>76</v>
      </c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customFormat="false" ht="15" hidden="false" customHeight="false" outlineLevel="0" collapsed="false">
      <c r="A650" s="9" t="s">
        <v>6493</v>
      </c>
      <c r="B650" s="9" t="s">
        <v>5870</v>
      </c>
      <c r="C650" s="9" t="s">
        <v>846</v>
      </c>
      <c r="D650" s="9" t="s">
        <v>5871</v>
      </c>
      <c r="E650" s="9" t="str">
        <f aca="false">IF(AND('Formation Ledger'!A629&lt;&gt;"",'Formation Ledger'!V629=0),"PASS","FAIL")</f>
        <v>PASS</v>
      </c>
      <c r="F650" s="9" t="s">
        <v>76</v>
      </c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customFormat="false" ht="15" hidden="false" customHeight="false" outlineLevel="0" collapsed="false">
      <c r="A651" s="9" t="s">
        <v>6494</v>
      </c>
      <c r="B651" s="9" t="s">
        <v>5870</v>
      </c>
      <c r="C651" s="9" t="s">
        <v>847</v>
      </c>
      <c r="D651" s="9" t="s">
        <v>5871</v>
      </c>
      <c r="E651" s="9" t="str">
        <f aca="false">IF(AND('Formation Ledger'!A630&lt;&gt;"",'Formation Ledger'!V630=0),"PASS","FAIL")</f>
        <v>PASS</v>
      </c>
      <c r="F651" s="9" t="s">
        <v>76</v>
      </c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customFormat="false" ht="15" hidden="false" customHeight="false" outlineLevel="0" collapsed="false">
      <c r="A652" s="9" t="s">
        <v>6495</v>
      </c>
      <c r="B652" s="9" t="s">
        <v>5870</v>
      </c>
      <c r="C652" s="9" t="s">
        <v>848</v>
      </c>
      <c r="D652" s="9" t="s">
        <v>5871</v>
      </c>
      <c r="E652" s="9" t="str">
        <f aca="false">IF(AND('Formation Ledger'!A631&lt;&gt;"",'Formation Ledger'!V631=0),"PASS","FAIL")</f>
        <v>PASS</v>
      </c>
      <c r="F652" s="9" t="s">
        <v>76</v>
      </c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customFormat="false" ht="15" hidden="false" customHeight="false" outlineLevel="0" collapsed="false">
      <c r="A653" s="9" t="s">
        <v>6496</v>
      </c>
      <c r="B653" s="9" t="s">
        <v>5870</v>
      </c>
      <c r="C653" s="9" t="s">
        <v>849</v>
      </c>
      <c r="D653" s="9" t="s">
        <v>5871</v>
      </c>
      <c r="E653" s="9" t="str">
        <f aca="false">IF(AND('Formation Ledger'!A632&lt;&gt;"",'Formation Ledger'!V632=0),"PASS","FAIL")</f>
        <v>PASS</v>
      </c>
      <c r="F653" s="9" t="s">
        <v>76</v>
      </c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customFormat="false" ht="15" hidden="false" customHeight="false" outlineLevel="0" collapsed="false">
      <c r="A654" s="9" t="s">
        <v>6497</v>
      </c>
      <c r="B654" s="9" t="s">
        <v>5870</v>
      </c>
      <c r="C654" s="9" t="s">
        <v>850</v>
      </c>
      <c r="D654" s="9" t="s">
        <v>5871</v>
      </c>
      <c r="E654" s="9" t="str">
        <f aca="false">IF(AND('Formation Ledger'!A633&lt;&gt;"",'Formation Ledger'!V633=0),"PASS","FAIL")</f>
        <v>PASS</v>
      </c>
      <c r="F654" s="9" t="s">
        <v>76</v>
      </c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customFormat="false" ht="15" hidden="false" customHeight="false" outlineLevel="0" collapsed="false">
      <c r="A655" s="9" t="s">
        <v>6498</v>
      </c>
      <c r="B655" s="9" t="s">
        <v>5870</v>
      </c>
      <c r="C655" s="9" t="s">
        <v>851</v>
      </c>
      <c r="D655" s="9" t="s">
        <v>5871</v>
      </c>
      <c r="E655" s="9" t="str">
        <f aca="false">IF(AND('Formation Ledger'!A634&lt;&gt;"",'Formation Ledger'!V634=0),"PASS","FAIL")</f>
        <v>PASS</v>
      </c>
      <c r="F655" s="9" t="s">
        <v>76</v>
      </c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customFormat="false" ht="15" hidden="false" customHeight="false" outlineLevel="0" collapsed="false">
      <c r="A656" s="9" t="s">
        <v>6499</v>
      </c>
      <c r="B656" s="9" t="s">
        <v>5870</v>
      </c>
      <c r="C656" s="9" t="s">
        <v>852</v>
      </c>
      <c r="D656" s="9" t="s">
        <v>5871</v>
      </c>
      <c r="E656" s="9" t="str">
        <f aca="false">IF(AND('Formation Ledger'!A635&lt;&gt;"",'Formation Ledger'!V635=0),"PASS","FAIL")</f>
        <v>PASS</v>
      </c>
      <c r="F656" s="9" t="s">
        <v>76</v>
      </c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customFormat="false" ht="15" hidden="false" customHeight="false" outlineLevel="0" collapsed="false">
      <c r="A657" s="9" t="s">
        <v>6500</v>
      </c>
      <c r="B657" s="9" t="s">
        <v>5870</v>
      </c>
      <c r="C657" s="9" t="s">
        <v>853</v>
      </c>
      <c r="D657" s="9" t="s">
        <v>5871</v>
      </c>
      <c r="E657" s="9" t="str">
        <f aca="false">IF(AND('Formation Ledger'!A636&lt;&gt;"",'Formation Ledger'!V636=0),"PASS","FAIL")</f>
        <v>PASS</v>
      </c>
      <c r="F657" s="9" t="s">
        <v>76</v>
      </c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customFormat="false" ht="15" hidden="false" customHeight="false" outlineLevel="0" collapsed="false">
      <c r="A658" s="9" t="s">
        <v>6501</v>
      </c>
      <c r="B658" s="9" t="s">
        <v>5870</v>
      </c>
      <c r="C658" s="9" t="s">
        <v>854</v>
      </c>
      <c r="D658" s="9" t="s">
        <v>5871</v>
      </c>
      <c r="E658" s="9" t="str">
        <f aca="false">IF(AND('Formation Ledger'!A637&lt;&gt;"",'Formation Ledger'!V637=0),"PASS","FAIL")</f>
        <v>PASS</v>
      </c>
      <c r="F658" s="9" t="s">
        <v>76</v>
      </c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customFormat="false" ht="15" hidden="false" customHeight="false" outlineLevel="0" collapsed="false">
      <c r="A659" s="9" t="s">
        <v>6502</v>
      </c>
      <c r="B659" s="9" t="s">
        <v>5870</v>
      </c>
      <c r="C659" s="9" t="s">
        <v>855</v>
      </c>
      <c r="D659" s="9" t="s">
        <v>5871</v>
      </c>
      <c r="E659" s="9" t="str">
        <f aca="false">IF(AND('Formation Ledger'!A638&lt;&gt;"",'Formation Ledger'!V638=0),"PASS","FAIL")</f>
        <v>PASS</v>
      </c>
      <c r="F659" s="9" t="s">
        <v>76</v>
      </c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customFormat="false" ht="15" hidden="false" customHeight="false" outlineLevel="0" collapsed="false">
      <c r="A660" s="9" t="s">
        <v>6503</v>
      </c>
      <c r="B660" s="9" t="s">
        <v>5870</v>
      </c>
      <c r="C660" s="9" t="s">
        <v>856</v>
      </c>
      <c r="D660" s="9" t="s">
        <v>5871</v>
      </c>
      <c r="E660" s="9" t="str">
        <f aca="false">IF(AND('Formation Ledger'!A639&lt;&gt;"",'Formation Ledger'!V639=0),"PASS","FAIL")</f>
        <v>PASS</v>
      </c>
      <c r="F660" s="9" t="s">
        <v>76</v>
      </c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customFormat="false" ht="15" hidden="false" customHeight="false" outlineLevel="0" collapsed="false">
      <c r="A661" s="9" t="s">
        <v>6504</v>
      </c>
      <c r="B661" s="9" t="s">
        <v>5870</v>
      </c>
      <c r="C661" s="9" t="s">
        <v>857</v>
      </c>
      <c r="D661" s="9" t="s">
        <v>5871</v>
      </c>
      <c r="E661" s="9" t="str">
        <f aca="false">IF(AND('Formation Ledger'!A640&lt;&gt;"",'Formation Ledger'!V640=0),"PASS","FAIL")</f>
        <v>PASS</v>
      </c>
      <c r="F661" s="9" t="s">
        <v>76</v>
      </c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customFormat="false" ht="15" hidden="false" customHeight="false" outlineLevel="0" collapsed="false">
      <c r="A662" s="9" t="s">
        <v>6505</v>
      </c>
      <c r="B662" s="9" t="s">
        <v>5870</v>
      </c>
      <c r="C662" s="9" t="s">
        <v>858</v>
      </c>
      <c r="D662" s="9" t="s">
        <v>5871</v>
      </c>
      <c r="E662" s="9" t="str">
        <f aca="false">IF(AND('Formation Ledger'!A641&lt;&gt;"",'Formation Ledger'!V641=0),"PASS","FAIL")</f>
        <v>PASS</v>
      </c>
      <c r="F662" s="9" t="s">
        <v>76</v>
      </c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customFormat="false" ht="15" hidden="false" customHeight="false" outlineLevel="0" collapsed="false">
      <c r="A663" s="9" t="s">
        <v>6506</v>
      </c>
      <c r="B663" s="9" t="s">
        <v>5870</v>
      </c>
      <c r="C663" s="9" t="s">
        <v>859</v>
      </c>
      <c r="D663" s="9" t="s">
        <v>5871</v>
      </c>
      <c r="E663" s="9" t="str">
        <f aca="false">IF(AND('Formation Ledger'!A642&lt;&gt;"",'Formation Ledger'!V642=0),"PASS","FAIL")</f>
        <v>PASS</v>
      </c>
      <c r="F663" s="9" t="s">
        <v>76</v>
      </c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customFormat="false" ht="15" hidden="false" customHeight="false" outlineLevel="0" collapsed="false">
      <c r="A664" s="9" t="s">
        <v>6507</v>
      </c>
      <c r="B664" s="9" t="s">
        <v>5870</v>
      </c>
      <c r="C664" s="9" t="s">
        <v>860</v>
      </c>
      <c r="D664" s="9" t="s">
        <v>5871</v>
      </c>
      <c r="E664" s="9" t="str">
        <f aca="false">IF(AND('Formation Ledger'!A643&lt;&gt;"",'Formation Ledger'!V643=0),"PASS","FAIL")</f>
        <v>PASS</v>
      </c>
      <c r="F664" s="9" t="s">
        <v>76</v>
      </c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customFormat="false" ht="15" hidden="false" customHeight="false" outlineLevel="0" collapsed="false">
      <c r="A665" s="9" t="s">
        <v>6508</v>
      </c>
      <c r="B665" s="9" t="s">
        <v>5870</v>
      </c>
      <c r="C665" s="9" t="s">
        <v>861</v>
      </c>
      <c r="D665" s="9" t="s">
        <v>5871</v>
      </c>
      <c r="E665" s="9" t="str">
        <f aca="false">IF(AND('Formation Ledger'!A644&lt;&gt;"",'Formation Ledger'!V644=0),"PASS","FAIL")</f>
        <v>PASS</v>
      </c>
      <c r="F665" s="9" t="s">
        <v>76</v>
      </c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customFormat="false" ht="15" hidden="false" customHeight="false" outlineLevel="0" collapsed="false">
      <c r="A666" s="9" t="s">
        <v>6509</v>
      </c>
      <c r="B666" s="9" t="s">
        <v>5870</v>
      </c>
      <c r="C666" s="9" t="s">
        <v>862</v>
      </c>
      <c r="D666" s="9" t="s">
        <v>5871</v>
      </c>
      <c r="E666" s="9" t="str">
        <f aca="false">IF(AND('Formation Ledger'!A645&lt;&gt;"",'Formation Ledger'!V645=0),"PASS","FAIL")</f>
        <v>PASS</v>
      </c>
      <c r="F666" s="9" t="s">
        <v>76</v>
      </c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customFormat="false" ht="15" hidden="false" customHeight="false" outlineLevel="0" collapsed="false">
      <c r="A667" s="9" t="s">
        <v>6510</v>
      </c>
      <c r="B667" s="9" t="s">
        <v>5870</v>
      </c>
      <c r="C667" s="9" t="s">
        <v>863</v>
      </c>
      <c r="D667" s="9" t="s">
        <v>5871</v>
      </c>
      <c r="E667" s="9" t="str">
        <f aca="false">IF(AND('Formation Ledger'!A646&lt;&gt;"",'Formation Ledger'!V646=0),"PASS","FAIL")</f>
        <v>PASS</v>
      </c>
      <c r="F667" s="9" t="s">
        <v>76</v>
      </c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customFormat="false" ht="15" hidden="false" customHeight="false" outlineLevel="0" collapsed="false">
      <c r="A668" s="9" t="s">
        <v>6511</v>
      </c>
      <c r="B668" s="9" t="s">
        <v>5870</v>
      </c>
      <c r="C668" s="9" t="s">
        <v>864</v>
      </c>
      <c r="D668" s="9" t="s">
        <v>5871</v>
      </c>
      <c r="E668" s="9" t="str">
        <f aca="false">IF(AND('Formation Ledger'!A647&lt;&gt;"",'Formation Ledger'!V647=0),"PASS","FAIL")</f>
        <v>PASS</v>
      </c>
      <c r="F668" s="9" t="s">
        <v>76</v>
      </c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customFormat="false" ht="15" hidden="false" customHeight="false" outlineLevel="0" collapsed="false">
      <c r="A669" s="9" t="s">
        <v>6512</v>
      </c>
      <c r="B669" s="9" t="s">
        <v>5870</v>
      </c>
      <c r="C669" s="9" t="s">
        <v>865</v>
      </c>
      <c r="D669" s="9" t="s">
        <v>5871</v>
      </c>
      <c r="E669" s="9" t="str">
        <f aca="false">IF(AND('Formation Ledger'!A648&lt;&gt;"",'Formation Ledger'!V648=0),"PASS","FAIL")</f>
        <v>PASS</v>
      </c>
      <c r="F669" s="9" t="s">
        <v>76</v>
      </c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customFormat="false" ht="15" hidden="false" customHeight="false" outlineLevel="0" collapsed="false">
      <c r="A670" s="9" t="s">
        <v>6513</v>
      </c>
      <c r="B670" s="9" t="s">
        <v>5870</v>
      </c>
      <c r="C670" s="9" t="s">
        <v>866</v>
      </c>
      <c r="D670" s="9" t="s">
        <v>5871</v>
      </c>
      <c r="E670" s="9" t="str">
        <f aca="false">IF(AND('Formation Ledger'!A649&lt;&gt;"",'Formation Ledger'!V649=0),"PASS","FAIL")</f>
        <v>PASS</v>
      </c>
      <c r="F670" s="9" t="s">
        <v>76</v>
      </c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customFormat="false" ht="15" hidden="false" customHeight="false" outlineLevel="0" collapsed="false">
      <c r="A671" s="9" t="s">
        <v>6514</v>
      </c>
      <c r="B671" s="9" t="s">
        <v>5870</v>
      </c>
      <c r="C671" s="9" t="s">
        <v>867</v>
      </c>
      <c r="D671" s="9" t="s">
        <v>5871</v>
      </c>
      <c r="E671" s="9" t="str">
        <f aca="false">IF(AND('Formation Ledger'!A650&lt;&gt;"",'Formation Ledger'!V650=0),"PASS","FAIL")</f>
        <v>PASS</v>
      </c>
      <c r="F671" s="9" t="s">
        <v>76</v>
      </c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customFormat="false" ht="15" hidden="false" customHeight="false" outlineLevel="0" collapsed="false">
      <c r="A672" s="9" t="s">
        <v>6515</v>
      </c>
      <c r="B672" s="9" t="s">
        <v>5870</v>
      </c>
      <c r="C672" s="9" t="s">
        <v>868</v>
      </c>
      <c r="D672" s="9" t="s">
        <v>5871</v>
      </c>
      <c r="E672" s="9" t="str">
        <f aca="false">IF(AND('Formation Ledger'!A651&lt;&gt;"",'Formation Ledger'!V651=0),"PASS","FAIL")</f>
        <v>PASS</v>
      </c>
      <c r="F672" s="9" t="s">
        <v>76</v>
      </c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customFormat="false" ht="15" hidden="false" customHeight="false" outlineLevel="0" collapsed="false">
      <c r="A673" s="9" t="s">
        <v>6516</v>
      </c>
      <c r="B673" s="9" t="s">
        <v>5870</v>
      </c>
      <c r="C673" s="9" t="s">
        <v>869</v>
      </c>
      <c r="D673" s="9" t="s">
        <v>5871</v>
      </c>
      <c r="E673" s="9" t="str">
        <f aca="false">IF(AND('Formation Ledger'!A652&lt;&gt;"",'Formation Ledger'!V652=0),"PASS","FAIL")</f>
        <v>PASS</v>
      </c>
      <c r="F673" s="9" t="s">
        <v>76</v>
      </c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customFormat="false" ht="15" hidden="false" customHeight="false" outlineLevel="0" collapsed="false">
      <c r="A674" s="9" t="s">
        <v>6517</v>
      </c>
      <c r="B674" s="9" t="s">
        <v>5870</v>
      </c>
      <c r="C674" s="9" t="s">
        <v>870</v>
      </c>
      <c r="D674" s="9" t="s">
        <v>5871</v>
      </c>
      <c r="E674" s="9" t="str">
        <f aca="false">IF(AND('Formation Ledger'!A653&lt;&gt;"",'Formation Ledger'!V653=0),"PASS","FAIL")</f>
        <v>PASS</v>
      </c>
      <c r="F674" s="9" t="s">
        <v>76</v>
      </c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customFormat="false" ht="15" hidden="false" customHeight="false" outlineLevel="0" collapsed="false">
      <c r="A675" s="9" t="s">
        <v>6518</v>
      </c>
      <c r="B675" s="9" t="s">
        <v>5870</v>
      </c>
      <c r="C675" s="9" t="s">
        <v>871</v>
      </c>
      <c r="D675" s="9" t="s">
        <v>5871</v>
      </c>
      <c r="E675" s="9" t="str">
        <f aca="false">IF(AND('Formation Ledger'!A654&lt;&gt;"",'Formation Ledger'!V654=0),"PASS","FAIL")</f>
        <v>PASS</v>
      </c>
      <c r="F675" s="9" t="s">
        <v>76</v>
      </c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customFormat="false" ht="15" hidden="false" customHeight="false" outlineLevel="0" collapsed="false">
      <c r="A676" s="9" t="s">
        <v>6519</v>
      </c>
      <c r="B676" s="9" t="s">
        <v>5870</v>
      </c>
      <c r="C676" s="9" t="s">
        <v>872</v>
      </c>
      <c r="D676" s="9" t="s">
        <v>5871</v>
      </c>
      <c r="E676" s="9" t="str">
        <f aca="false">IF(AND('Formation Ledger'!A655&lt;&gt;"",'Formation Ledger'!V655=0),"PASS","FAIL")</f>
        <v>PASS</v>
      </c>
      <c r="F676" s="9" t="s">
        <v>76</v>
      </c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customFormat="false" ht="15" hidden="false" customHeight="false" outlineLevel="0" collapsed="false">
      <c r="A677" s="9" t="s">
        <v>6520</v>
      </c>
      <c r="B677" s="9" t="s">
        <v>5870</v>
      </c>
      <c r="C677" s="9" t="s">
        <v>873</v>
      </c>
      <c r="D677" s="9" t="s">
        <v>5871</v>
      </c>
      <c r="E677" s="9" t="str">
        <f aca="false">IF(AND('Formation Ledger'!A656&lt;&gt;"",'Formation Ledger'!V656=0),"PASS","FAIL")</f>
        <v>PASS</v>
      </c>
      <c r="F677" s="9" t="s">
        <v>76</v>
      </c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customFormat="false" ht="15" hidden="false" customHeight="false" outlineLevel="0" collapsed="false">
      <c r="A678" s="9" t="s">
        <v>6521</v>
      </c>
      <c r="B678" s="9" t="s">
        <v>5870</v>
      </c>
      <c r="C678" s="9" t="s">
        <v>874</v>
      </c>
      <c r="D678" s="9" t="s">
        <v>5871</v>
      </c>
      <c r="E678" s="9" t="str">
        <f aca="false">IF(AND('Formation Ledger'!A657&lt;&gt;"",'Formation Ledger'!V657=0),"PASS","FAIL")</f>
        <v>PASS</v>
      </c>
      <c r="F678" s="9" t="s">
        <v>76</v>
      </c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customFormat="false" ht="15" hidden="false" customHeight="false" outlineLevel="0" collapsed="false">
      <c r="A679" s="9" t="s">
        <v>6522</v>
      </c>
      <c r="B679" s="9" t="s">
        <v>5870</v>
      </c>
      <c r="C679" s="9" t="s">
        <v>875</v>
      </c>
      <c r="D679" s="9" t="s">
        <v>5871</v>
      </c>
      <c r="E679" s="9" t="str">
        <f aca="false">IF(AND('Formation Ledger'!A658&lt;&gt;"",'Formation Ledger'!V658=0),"PASS","FAIL")</f>
        <v>PASS</v>
      </c>
      <c r="F679" s="9" t="s">
        <v>76</v>
      </c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customFormat="false" ht="15" hidden="false" customHeight="false" outlineLevel="0" collapsed="false">
      <c r="A680" s="9" t="s">
        <v>6523</v>
      </c>
      <c r="B680" s="9" t="s">
        <v>5870</v>
      </c>
      <c r="C680" s="9" t="s">
        <v>876</v>
      </c>
      <c r="D680" s="9" t="s">
        <v>5871</v>
      </c>
      <c r="E680" s="9" t="str">
        <f aca="false">IF(AND('Formation Ledger'!A659&lt;&gt;"",'Formation Ledger'!V659=0),"PASS","FAIL")</f>
        <v>PASS</v>
      </c>
      <c r="F680" s="9" t="s">
        <v>76</v>
      </c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customFormat="false" ht="15" hidden="false" customHeight="false" outlineLevel="0" collapsed="false">
      <c r="A681" s="9" t="s">
        <v>6524</v>
      </c>
      <c r="B681" s="9" t="s">
        <v>5870</v>
      </c>
      <c r="C681" s="9" t="s">
        <v>877</v>
      </c>
      <c r="D681" s="9" t="s">
        <v>5871</v>
      </c>
      <c r="E681" s="9" t="str">
        <f aca="false">IF(AND('Formation Ledger'!A660&lt;&gt;"",'Formation Ledger'!V660=0),"PASS","FAIL")</f>
        <v>PASS</v>
      </c>
      <c r="F681" s="9" t="s">
        <v>76</v>
      </c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customFormat="false" ht="15" hidden="false" customHeight="false" outlineLevel="0" collapsed="false">
      <c r="A682" s="9" t="s">
        <v>6525</v>
      </c>
      <c r="B682" s="9" t="s">
        <v>5870</v>
      </c>
      <c r="C682" s="9" t="s">
        <v>878</v>
      </c>
      <c r="D682" s="9" t="s">
        <v>5871</v>
      </c>
      <c r="E682" s="9" t="str">
        <f aca="false">IF(AND('Formation Ledger'!A661&lt;&gt;"",'Formation Ledger'!V661=0),"PASS","FAIL")</f>
        <v>PASS</v>
      </c>
      <c r="F682" s="9" t="s">
        <v>76</v>
      </c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customFormat="false" ht="15" hidden="false" customHeight="false" outlineLevel="0" collapsed="false">
      <c r="A683" s="9" t="s">
        <v>6526</v>
      </c>
      <c r="B683" s="9" t="s">
        <v>5870</v>
      </c>
      <c r="C683" s="9" t="s">
        <v>879</v>
      </c>
      <c r="D683" s="9" t="s">
        <v>5871</v>
      </c>
      <c r="E683" s="9" t="str">
        <f aca="false">IF(AND('Formation Ledger'!A662&lt;&gt;"",'Formation Ledger'!V662=0),"PASS","FAIL")</f>
        <v>PASS</v>
      </c>
      <c r="F683" s="9" t="s">
        <v>76</v>
      </c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customFormat="false" ht="15" hidden="false" customHeight="false" outlineLevel="0" collapsed="false">
      <c r="A684" s="9" t="s">
        <v>6527</v>
      </c>
      <c r="B684" s="9" t="s">
        <v>5870</v>
      </c>
      <c r="C684" s="9" t="s">
        <v>880</v>
      </c>
      <c r="D684" s="9" t="s">
        <v>5871</v>
      </c>
      <c r="E684" s="9" t="str">
        <f aca="false">IF(AND('Formation Ledger'!A663&lt;&gt;"",'Formation Ledger'!V663=0),"PASS","FAIL")</f>
        <v>PASS</v>
      </c>
      <c r="F684" s="9" t="s">
        <v>76</v>
      </c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customFormat="false" ht="15" hidden="false" customHeight="false" outlineLevel="0" collapsed="false">
      <c r="A685" s="9" t="s">
        <v>6528</v>
      </c>
      <c r="B685" s="9" t="s">
        <v>5870</v>
      </c>
      <c r="C685" s="9" t="s">
        <v>881</v>
      </c>
      <c r="D685" s="9" t="s">
        <v>5871</v>
      </c>
      <c r="E685" s="9" t="str">
        <f aca="false">IF(AND('Formation Ledger'!A664&lt;&gt;"",'Formation Ledger'!V664=0),"PASS","FAIL")</f>
        <v>PASS</v>
      </c>
      <c r="F685" s="9" t="s">
        <v>76</v>
      </c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customFormat="false" ht="15" hidden="false" customHeight="false" outlineLevel="0" collapsed="false">
      <c r="A686" s="9" t="s">
        <v>6529</v>
      </c>
      <c r="B686" s="9" t="s">
        <v>5870</v>
      </c>
      <c r="C686" s="9" t="s">
        <v>884</v>
      </c>
      <c r="D686" s="9" t="s">
        <v>5871</v>
      </c>
      <c r="E686" s="9" t="str">
        <f aca="false">IF(AND('Formation Ledger'!A665&lt;&gt;"",'Formation Ledger'!V665=0),"PASS","FAIL")</f>
        <v>PASS</v>
      </c>
      <c r="F686" s="9" t="s">
        <v>76</v>
      </c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customFormat="false" ht="15" hidden="false" customHeight="false" outlineLevel="0" collapsed="false">
      <c r="A687" s="9" t="s">
        <v>6530</v>
      </c>
      <c r="B687" s="9" t="s">
        <v>5870</v>
      </c>
      <c r="C687" s="9" t="s">
        <v>885</v>
      </c>
      <c r="D687" s="9" t="s">
        <v>5871</v>
      </c>
      <c r="E687" s="9" t="str">
        <f aca="false">IF(AND('Formation Ledger'!A666&lt;&gt;"",'Formation Ledger'!V666=0),"PASS","FAIL")</f>
        <v>PASS</v>
      </c>
      <c r="F687" s="9" t="s">
        <v>76</v>
      </c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customFormat="false" ht="15" hidden="false" customHeight="false" outlineLevel="0" collapsed="false">
      <c r="A688" s="9" t="s">
        <v>6531</v>
      </c>
      <c r="B688" s="9" t="s">
        <v>5870</v>
      </c>
      <c r="C688" s="9" t="s">
        <v>886</v>
      </c>
      <c r="D688" s="9" t="s">
        <v>5871</v>
      </c>
      <c r="E688" s="9" t="str">
        <f aca="false">IF(AND('Formation Ledger'!A667&lt;&gt;"",'Formation Ledger'!V667=0),"PASS","FAIL")</f>
        <v>PASS</v>
      </c>
      <c r="F688" s="9" t="s">
        <v>76</v>
      </c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customFormat="false" ht="15" hidden="false" customHeight="false" outlineLevel="0" collapsed="false">
      <c r="A689" s="9" t="s">
        <v>6532</v>
      </c>
      <c r="B689" s="9" t="s">
        <v>5870</v>
      </c>
      <c r="C689" s="9" t="s">
        <v>887</v>
      </c>
      <c r="D689" s="9" t="s">
        <v>5871</v>
      </c>
      <c r="E689" s="9" t="str">
        <f aca="false">IF(AND('Formation Ledger'!A668&lt;&gt;"",'Formation Ledger'!V668=0),"PASS","FAIL")</f>
        <v>PASS</v>
      </c>
      <c r="F689" s="9" t="s">
        <v>76</v>
      </c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customFormat="false" ht="15" hidden="false" customHeight="false" outlineLevel="0" collapsed="false">
      <c r="A690" s="9" t="s">
        <v>6533</v>
      </c>
      <c r="B690" s="9" t="s">
        <v>5870</v>
      </c>
      <c r="C690" s="9" t="s">
        <v>888</v>
      </c>
      <c r="D690" s="9" t="s">
        <v>5871</v>
      </c>
      <c r="E690" s="9" t="str">
        <f aca="false">IF(AND('Formation Ledger'!A669&lt;&gt;"",'Formation Ledger'!V669=0),"PASS","FAIL")</f>
        <v>PASS</v>
      </c>
      <c r="F690" s="9" t="s">
        <v>76</v>
      </c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customFormat="false" ht="15" hidden="false" customHeight="false" outlineLevel="0" collapsed="false">
      <c r="A691" s="9" t="s">
        <v>6534</v>
      </c>
      <c r="B691" s="9" t="s">
        <v>5870</v>
      </c>
      <c r="C691" s="9" t="s">
        <v>889</v>
      </c>
      <c r="D691" s="9" t="s">
        <v>5871</v>
      </c>
      <c r="E691" s="9" t="str">
        <f aca="false">IF(AND('Formation Ledger'!A670&lt;&gt;"",'Formation Ledger'!V670=0),"PASS","FAIL")</f>
        <v>PASS</v>
      </c>
      <c r="F691" s="9" t="s">
        <v>76</v>
      </c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customFormat="false" ht="15" hidden="false" customHeight="false" outlineLevel="0" collapsed="false">
      <c r="A692" s="9" t="s">
        <v>6535</v>
      </c>
      <c r="B692" s="9" t="s">
        <v>5870</v>
      </c>
      <c r="C692" s="9" t="s">
        <v>890</v>
      </c>
      <c r="D692" s="9" t="s">
        <v>5871</v>
      </c>
      <c r="E692" s="9" t="str">
        <f aca="false">IF(AND('Formation Ledger'!A671&lt;&gt;"",'Formation Ledger'!V671=0),"PASS","FAIL")</f>
        <v>PASS</v>
      </c>
      <c r="F692" s="9" t="s">
        <v>76</v>
      </c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customFormat="false" ht="15" hidden="false" customHeight="false" outlineLevel="0" collapsed="false">
      <c r="A693" s="9" t="s">
        <v>6536</v>
      </c>
      <c r="B693" s="9" t="s">
        <v>5870</v>
      </c>
      <c r="C693" s="9" t="s">
        <v>891</v>
      </c>
      <c r="D693" s="9" t="s">
        <v>5871</v>
      </c>
      <c r="E693" s="9" t="str">
        <f aca="false">IF(AND('Formation Ledger'!A672&lt;&gt;"",'Formation Ledger'!V672=0),"PASS","FAIL")</f>
        <v>PASS</v>
      </c>
      <c r="F693" s="9" t="s">
        <v>76</v>
      </c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customFormat="false" ht="15" hidden="false" customHeight="false" outlineLevel="0" collapsed="false">
      <c r="A694" s="9" t="s">
        <v>6537</v>
      </c>
      <c r="B694" s="9" t="s">
        <v>5870</v>
      </c>
      <c r="C694" s="9" t="s">
        <v>892</v>
      </c>
      <c r="D694" s="9" t="s">
        <v>5871</v>
      </c>
      <c r="E694" s="9" t="str">
        <f aca="false">IF(AND('Formation Ledger'!A673&lt;&gt;"",'Formation Ledger'!V673=0),"PASS","FAIL")</f>
        <v>PASS</v>
      </c>
      <c r="F694" s="9" t="s">
        <v>76</v>
      </c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customFormat="false" ht="15" hidden="false" customHeight="false" outlineLevel="0" collapsed="false">
      <c r="A695" s="9" t="s">
        <v>6538</v>
      </c>
      <c r="B695" s="9" t="s">
        <v>5870</v>
      </c>
      <c r="C695" s="9" t="s">
        <v>893</v>
      </c>
      <c r="D695" s="9" t="s">
        <v>5871</v>
      </c>
      <c r="E695" s="9" t="str">
        <f aca="false">IF(AND('Formation Ledger'!A674&lt;&gt;"",'Formation Ledger'!V674=0),"PASS","FAIL")</f>
        <v>PASS</v>
      </c>
      <c r="F695" s="9" t="s">
        <v>76</v>
      </c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customFormat="false" ht="15" hidden="false" customHeight="false" outlineLevel="0" collapsed="false">
      <c r="A696" s="9" t="s">
        <v>6539</v>
      </c>
      <c r="B696" s="9" t="s">
        <v>5870</v>
      </c>
      <c r="C696" s="9" t="s">
        <v>894</v>
      </c>
      <c r="D696" s="9" t="s">
        <v>5871</v>
      </c>
      <c r="E696" s="9" t="str">
        <f aca="false">IF(AND('Formation Ledger'!A675&lt;&gt;"",'Formation Ledger'!V675=0),"PASS","FAIL")</f>
        <v>PASS</v>
      </c>
      <c r="F696" s="9" t="s">
        <v>76</v>
      </c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customFormat="false" ht="15" hidden="false" customHeight="false" outlineLevel="0" collapsed="false">
      <c r="A697" s="9" t="s">
        <v>6540</v>
      </c>
      <c r="B697" s="9" t="s">
        <v>5870</v>
      </c>
      <c r="C697" s="9" t="s">
        <v>895</v>
      </c>
      <c r="D697" s="9" t="s">
        <v>5871</v>
      </c>
      <c r="E697" s="9" t="str">
        <f aca="false">IF(AND('Formation Ledger'!A676&lt;&gt;"",'Formation Ledger'!V676=0),"PASS","FAIL")</f>
        <v>PASS</v>
      </c>
      <c r="F697" s="9" t="s">
        <v>76</v>
      </c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customFormat="false" ht="15" hidden="false" customHeight="false" outlineLevel="0" collapsed="false">
      <c r="A698" s="9" t="s">
        <v>6541</v>
      </c>
      <c r="B698" s="9" t="s">
        <v>5870</v>
      </c>
      <c r="C698" s="9" t="s">
        <v>896</v>
      </c>
      <c r="D698" s="9" t="s">
        <v>5871</v>
      </c>
      <c r="E698" s="9" t="str">
        <f aca="false">IF(AND('Formation Ledger'!A677&lt;&gt;"",'Formation Ledger'!V677=0),"PASS","FAIL")</f>
        <v>PASS</v>
      </c>
      <c r="F698" s="9" t="s">
        <v>76</v>
      </c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customFormat="false" ht="15" hidden="false" customHeight="false" outlineLevel="0" collapsed="false">
      <c r="A699" s="9" t="s">
        <v>6542</v>
      </c>
      <c r="B699" s="9" t="s">
        <v>5870</v>
      </c>
      <c r="C699" s="9" t="s">
        <v>897</v>
      </c>
      <c r="D699" s="9" t="s">
        <v>5871</v>
      </c>
      <c r="E699" s="9" t="str">
        <f aca="false">IF(AND('Formation Ledger'!A678&lt;&gt;"",'Formation Ledger'!V678=0),"PASS","FAIL")</f>
        <v>PASS</v>
      </c>
      <c r="F699" s="9" t="s">
        <v>76</v>
      </c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customFormat="false" ht="15" hidden="false" customHeight="false" outlineLevel="0" collapsed="false">
      <c r="A700" s="9" t="s">
        <v>6543</v>
      </c>
      <c r="B700" s="9" t="s">
        <v>5870</v>
      </c>
      <c r="C700" s="9" t="s">
        <v>898</v>
      </c>
      <c r="D700" s="9" t="s">
        <v>5871</v>
      </c>
      <c r="E700" s="9" t="str">
        <f aca="false">IF(AND('Formation Ledger'!A679&lt;&gt;"",'Formation Ledger'!V679=0),"PASS","FAIL")</f>
        <v>PASS</v>
      </c>
      <c r="F700" s="9" t="s">
        <v>76</v>
      </c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customFormat="false" ht="15" hidden="false" customHeight="false" outlineLevel="0" collapsed="false">
      <c r="A701" s="9" t="s">
        <v>6544</v>
      </c>
      <c r="B701" s="9" t="s">
        <v>5870</v>
      </c>
      <c r="C701" s="9" t="s">
        <v>899</v>
      </c>
      <c r="D701" s="9" t="s">
        <v>5871</v>
      </c>
      <c r="E701" s="9" t="str">
        <f aca="false">IF(AND('Formation Ledger'!A680&lt;&gt;"",'Formation Ledger'!V680=0),"PASS","FAIL")</f>
        <v>PASS</v>
      </c>
      <c r="F701" s="9" t="s">
        <v>76</v>
      </c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customFormat="false" ht="15" hidden="false" customHeight="false" outlineLevel="0" collapsed="false">
      <c r="A702" s="9" t="s">
        <v>6545</v>
      </c>
      <c r="B702" s="9" t="s">
        <v>5870</v>
      </c>
      <c r="C702" s="9" t="s">
        <v>900</v>
      </c>
      <c r="D702" s="9" t="s">
        <v>5871</v>
      </c>
      <c r="E702" s="9" t="str">
        <f aca="false">IF(AND('Formation Ledger'!A681&lt;&gt;"",'Formation Ledger'!V681=0),"PASS","FAIL")</f>
        <v>PASS</v>
      </c>
      <c r="F702" s="9" t="s">
        <v>76</v>
      </c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customFormat="false" ht="15" hidden="false" customHeight="false" outlineLevel="0" collapsed="false">
      <c r="A703" s="9" t="s">
        <v>6546</v>
      </c>
      <c r="B703" s="9" t="s">
        <v>5870</v>
      </c>
      <c r="C703" s="9" t="s">
        <v>901</v>
      </c>
      <c r="D703" s="9" t="s">
        <v>5871</v>
      </c>
      <c r="E703" s="9" t="str">
        <f aca="false">IF(AND('Formation Ledger'!A682&lt;&gt;"",'Formation Ledger'!V682=0),"PASS","FAIL")</f>
        <v>PASS</v>
      </c>
      <c r="F703" s="9" t="s">
        <v>76</v>
      </c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customFormat="false" ht="15" hidden="false" customHeight="false" outlineLevel="0" collapsed="false">
      <c r="A704" s="9" t="s">
        <v>6547</v>
      </c>
      <c r="B704" s="9" t="s">
        <v>5870</v>
      </c>
      <c r="C704" s="9" t="s">
        <v>902</v>
      </c>
      <c r="D704" s="9" t="s">
        <v>5871</v>
      </c>
      <c r="E704" s="9" t="str">
        <f aca="false">IF(AND('Formation Ledger'!A683&lt;&gt;"",'Formation Ledger'!V683=0),"PASS","FAIL")</f>
        <v>PASS</v>
      </c>
      <c r="F704" s="9" t="s">
        <v>76</v>
      </c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customFormat="false" ht="15" hidden="false" customHeight="false" outlineLevel="0" collapsed="false">
      <c r="A705" s="9" t="s">
        <v>6548</v>
      </c>
      <c r="B705" s="9" t="s">
        <v>5870</v>
      </c>
      <c r="C705" s="9" t="s">
        <v>903</v>
      </c>
      <c r="D705" s="9" t="s">
        <v>5871</v>
      </c>
      <c r="E705" s="9" t="str">
        <f aca="false">IF(AND('Formation Ledger'!A684&lt;&gt;"",'Formation Ledger'!V684=0),"PASS","FAIL")</f>
        <v>PASS</v>
      </c>
      <c r="F705" s="9" t="s">
        <v>76</v>
      </c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customFormat="false" ht="15" hidden="false" customHeight="false" outlineLevel="0" collapsed="false">
      <c r="A706" s="9" t="s">
        <v>6549</v>
      </c>
      <c r="B706" s="9" t="s">
        <v>5870</v>
      </c>
      <c r="C706" s="9" t="s">
        <v>904</v>
      </c>
      <c r="D706" s="9" t="s">
        <v>5871</v>
      </c>
      <c r="E706" s="9" t="str">
        <f aca="false">IF(AND('Formation Ledger'!A685&lt;&gt;"",'Formation Ledger'!V685=0),"PASS","FAIL")</f>
        <v>PASS</v>
      </c>
      <c r="F706" s="9" t="s">
        <v>76</v>
      </c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customFormat="false" ht="15" hidden="false" customHeight="false" outlineLevel="0" collapsed="false">
      <c r="A707" s="9" t="s">
        <v>6550</v>
      </c>
      <c r="B707" s="9" t="s">
        <v>5870</v>
      </c>
      <c r="C707" s="9" t="s">
        <v>905</v>
      </c>
      <c r="D707" s="9" t="s">
        <v>5871</v>
      </c>
      <c r="E707" s="9" t="str">
        <f aca="false">IF(AND('Formation Ledger'!A686&lt;&gt;"",'Formation Ledger'!V686=0),"PASS","FAIL")</f>
        <v>PASS</v>
      </c>
      <c r="F707" s="9" t="s">
        <v>76</v>
      </c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customFormat="false" ht="15" hidden="false" customHeight="false" outlineLevel="0" collapsed="false">
      <c r="A708" s="9" t="s">
        <v>6551</v>
      </c>
      <c r="B708" s="9" t="s">
        <v>5870</v>
      </c>
      <c r="C708" s="9" t="s">
        <v>906</v>
      </c>
      <c r="D708" s="9" t="s">
        <v>5871</v>
      </c>
      <c r="E708" s="9" t="str">
        <f aca="false">IF(AND('Formation Ledger'!A687&lt;&gt;"",'Formation Ledger'!V687=0),"PASS","FAIL")</f>
        <v>PASS</v>
      </c>
      <c r="F708" s="9" t="s">
        <v>76</v>
      </c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customFormat="false" ht="15" hidden="false" customHeight="false" outlineLevel="0" collapsed="false">
      <c r="A709" s="9" t="s">
        <v>6552</v>
      </c>
      <c r="B709" s="9" t="s">
        <v>5870</v>
      </c>
      <c r="C709" s="9" t="s">
        <v>907</v>
      </c>
      <c r="D709" s="9" t="s">
        <v>5871</v>
      </c>
      <c r="E709" s="9" t="str">
        <f aca="false">IF(AND('Formation Ledger'!A688&lt;&gt;"",'Formation Ledger'!V688=0),"PASS","FAIL")</f>
        <v>PASS</v>
      </c>
      <c r="F709" s="9" t="s">
        <v>76</v>
      </c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customFormat="false" ht="15" hidden="false" customHeight="false" outlineLevel="0" collapsed="false">
      <c r="A710" s="9" t="s">
        <v>6553</v>
      </c>
      <c r="B710" s="9" t="s">
        <v>5870</v>
      </c>
      <c r="C710" s="9" t="s">
        <v>908</v>
      </c>
      <c r="D710" s="9" t="s">
        <v>5871</v>
      </c>
      <c r="E710" s="9" t="str">
        <f aca="false">IF(AND('Formation Ledger'!A689&lt;&gt;"",'Formation Ledger'!V689=0),"PASS","FAIL")</f>
        <v>PASS</v>
      </c>
      <c r="F710" s="9" t="s">
        <v>76</v>
      </c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customFormat="false" ht="15" hidden="false" customHeight="false" outlineLevel="0" collapsed="false">
      <c r="A711" s="9" t="s">
        <v>6554</v>
      </c>
      <c r="B711" s="9" t="s">
        <v>5870</v>
      </c>
      <c r="C711" s="9" t="s">
        <v>909</v>
      </c>
      <c r="D711" s="9" t="s">
        <v>5871</v>
      </c>
      <c r="E711" s="9" t="str">
        <f aca="false">IF(AND('Formation Ledger'!A690&lt;&gt;"",'Formation Ledger'!V690=0),"PASS","FAIL")</f>
        <v>PASS</v>
      </c>
      <c r="F711" s="9" t="s">
        <v>76</v>
      </c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customFormat="false" ht="15" hidden="false" customHeight="false" outlineLevel="0" collapsed="false">
      <c r="A712" s="9" t="s">
        <v>6555</v>
      </c>
      <c r="B712" s="9" t="s">
        <v>5870</v>
      </c>
      <c r="C712" s="9" t="s">
        <v>910</v>
      </c>
      <c r="D712" s="9" t="s">
        <v>5871</v>
      </c>
      <c r="E712" s="9" t="str">
        <f aca="false">IF(AND('Formation Ledger'!A691&lt;&gt;"",'Formation Ledger'!V691=0),"PASS","FAIL")</f>
        <v>PASS</v>
      </c>
      <c r="F712" s="9" t="s">
        <v>76</v>
      </c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customFormat="false" ht="15" hidden="false" customHeight="false" outlineLevel="0" collapsed="false">
      <c r="A713" s="9" t="s">
        <v>6556</v>
      </c>
      <c r="B713" s="9" t="s">
        <v>5870</v>
      </c>
      <c r="C713" s="9" t="s">
        <v>911</v>
      </c>
      <c r="D713" s="9" t="s">
        <v>5871</v>
      </c>
      <c r="E713" s="9" t="str">
        <f aca="false">IF(AND('Formation Ledger'!A692&lt;&gt;"",'Formation Ledger'!V692=0),"PASS","FAIL")</f>
        <v>PASS</v>
      </c>
      <c r="F713" s="9" t="s">
        <v>76</v>
      </c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customFormat="false" ht="15" hidden="false" customHeight="false" outlineLevel="0" collapsed="false">
      <c r="A714" s="9" t="s">
        <v>6557</v>
      </c>
      <c r="B714" s="9" t="s">
        <v>5870</v>
      </c>
      <c r="C714" s="9" t="s">
        <v>912</v>
      </c>
      <c r="D714" s="9" t="s">
        <v>5871</v>
      </c>
      <c r="E714" s="9" t="str">
        <f aca="false">IF(AND('Formation Ledger'!A693&lt;&gt;"",'Formation Ledger'!V693=0),"PASS","FAIL")</f>
        <v>PASS</v>
      </c>
      <c r="F714" s="9" t="s">
        <v>76</v>
      </c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customFormat="false" ht="15" hidden="false" customHeight="false" outlineLevel="0" collapsed="false">
      <c r="A715" s="9" t="s">
        <v>6558</v>
      </c>
      <c r="B715" s="9" t="s">
        <v>5870</v>
      </c>
      <c r="C715" s="9" t="s">
        <v>913</v>
      </c>
      <c r="D715" s="9" t="s">
        <v>5871</v>
      </c>
      <c r="E715" s="9" t="str">
        <f aca="false">IF(AND('Formation Ledger'!A694&lt;&gt;"",'Formation Ledger'!V694=0),"PASS","FAIL")</f>
        <v>PASS</v>
      </c>
      <c r="F715" s="9" t="s">
        <v>76</v>
      </c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customFormat="false" ht="15" hidden="false" customHeight="false" outlineLevel="0" collapsed="false">
      <c r="A716" s="9" t="s">
        <v>6559</v>
      </c>
      <c r="B716" s="9" t="s">
        <v>5870</v>
      </c>
      <c r="C716" s="9" t="s">
        <v>914</v>
      </c>
      <c r="D716" s="9" t="s">
        <v>5871</v>
      </c>
      <c r="E716" s="9" t="str">
        <f aca="false">IF(AND('Formation Ledger'!A695&lt;&gt;"",'Formation Ledger'!V695=0),"PASS","FAIL")</f>
        <v>PASS</v>
      </c>
      <c r="F716" s="9" t="s">
        <v>76</v>
      </c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customFormat="false" ht="15" hidden="false" customHeight="false" outlineLevel="0" collapsed="false">
      <c r="A717" s="9" t="s">
        <v>6560</v>
      </c>
      <c r="B717" s="9" t="s">
        <v>5870</v>
      </c>
      <c r="C717" s="9" t="s">
        <v>915</v>
      </c>
      <c r="D717" s="9" t="s">
        <v>5871</v>
      </c>
      <c r="E717" s="9" t="str">
        <f aca="false">IF(AND('Formation Ledger'!A696&lt;&gt;"",'Formation Ledger'!V696=0),"PASS","FAIL")</f>
        <v>PASS</v>
      </c>
      <c r="F717" s="9" t="s">
        <v>76</v>
      </c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customFormat="false" ht="15" hidden="false" customHeight="false" outlineLevel="0" collapsed="false">
      <c r="A718" s="9" t="s">
        <v>6561</v>
      </c>
      <c r="B718" s="9" t="s">
        <v>5870</v>
      </c>
      <c r="C718" s="9" t="s">
        <v>916</v>
      </c>
      <c r="D718" s="9" t="s">
        <v>5871</v>
      </c>
      <c r="E718" s="9" t="str">
        <f aca="false">IF(AND('Formation Ledger'!A697&lt;&gt;"",'Formation Ledger'!V697=0),"PASS","FAIL")</f>
        <v>PASS</v>
      </c>
      <c r="F718" s="9" t="s">
        <v>76</v>
      </c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customFormat="false" ht="15" hidden="false" customHeight="false" outlineLevel="0" collapsed="false">
      <c r="A719" s="9" t="s">
        <v>6562</v>
      </c>
      <c r="B719" s="9" t="s">
        <v>5870</v>
      </c>
      <c r="C719" s="9" t="s">
        <v>917</v>
      </c>
      <c r="D719" s="9" t="s">
        <v>5871</v>
      </c>
      <c r="E719" s="9" t="str">
        <f aca="false">IF(AND('Formation Ledger'!A698&lt;&gt;"",'Formation Ledger'!V698=0),"PASS","FAIL")</f>
        <v>PASS</v>
      </c>
      <c r="F719" s="9" t="s">
        <v>76</v>
      </c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customFormat="false" ht="15" hidden="false" customHeight="false" outlineLevel="0" collapsed="false">
      <c r="A720" s="9" t="s">
        <v>6563</v>
      </c>
      <c r="B720" s="9" t="s">
        <v>5870</v>
      </c>
      <c r="C720" s="9" t="s">
        <v>918</v>
      </c>
      <c r="D720" s="9" t="s">
        <v>5871</v>
      </c>
      <c r="E720" s="9" t="str">
        <f aca="false">IF(AND('Formation Ledger'!A699&lt;&gt;"",'Formation Ledger'!V699=0),"PASS","FAIL")</f>
        <v>PASS</v>
      </c>
      <c r="F720" s="9" t="s">
        <v>76</v>
      </c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customFormat="false" ht="15" hidden="false" customHeight="false" outlineLevel="0" collapsed="false">
      <c r="A721" s="9" t="s">
        <v>6564</v>
      </c>
      <c r="B721" s="9" t="s">
        <v>5870</v>
      </c>
      <c r="C721" s="9" t="s">
        <v>919</v>
      </c>
      <c r="D721" s="9" t="s">
        <v>5871</v>
      </c>
      <c r="E721" s="9" t="str">
        <f aca="false">IF(AND('Formation Ledger'!A700&lt;&gt;"",'Formation Ledger'!V700=0),"PASS","FAIL")</f>
        <v>PASS</v>
      </c>
      <c r="F721" s="9" t="s">
        <v>76</v>
      </c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customFormat="false" ht="15" hidden="false" customHeight="false" outlineLevel="0" collapsed="false">
      <c r="A722" s="9" t="s">
        <v>6565</v>
      </c>
      <c r="B722" s="9" t="s">
        <v>5870</v>
      </c>
      <c r="C722" s="9" t="s">
        <v>920</v>
      </c>
      <c r="D722" s="9" t="s">
        <v>5871</v>
      </c>
      <c r="E722" s="9" t="str">
        <f aca="false">IF(AND('Formation Ledger'!A701&lt;&gt;"",'Formation Ledger'!V701=0),"PASS","FAIL")</f>
        <v>PASS</v>
      </c>
      <c r="F722" s="9" t="s">
        <v>76</v>
      </c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customFormat="false" ht="15" hidden="false" customHeight="false" outlineLevel="0" collapsed="false">
      <c r="A723" s="9" t="s">
        <v>6566</v>
      </c>
      <c r="B723" s="9" t="s">
        <v>5870</v>
      </c>
      <c r="C723" s="9" t="s">
        <v>921</v>
      </c>
      <c r="D723" s="9" t="s">
        <v>5871</v>
      </c>
      <c r="E723" s="9" t="str">
        <f aca="false">IF(AND('Formation Ledger'!A702&lt;&gt;"",'Formation Ledger'!V702=0),"PASS","FAIL")</f>
        <v>PASS</v>
      </c>
      <c r="F723" s="9" t="s">
        <v>76</v>
      </c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customFormat="false" ht="15" hidden="false" customHeight="false" outlineLevel="0" collapsed="false">
      <c r="A724" s="9" t="s">
        <v>6567</v>
      </c>
      <c r="B724" s="9" t="s">
        <v>5870</v>
      </c>
      <c r="C724" s="9" t="s">
        <v>922</v>
      </c>
      <c r="D724" s="9" t="s">
        <v>5871</v>
      </c>
      <c r="E724" s="9" t="str">
        <f aca="false">IF(AND('Formation Ledger'!A703&lt;&gt;"",'Formation Ledger'!V703=0),"PASS","FAIL")</f>
        <v>PASS</v>
      </c>
      <c r="F724" s="9" t="s">
        <v>76</v>
      </c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customFormat="false" ht="15" hidden="false" customHeight="false" outlineLevel="0" collapsed="false">
      <c r="A725" s="9" t="s">
        <v>6568</v>
      </c>
      <c r="B725" s="9" t="s">
        <v>5870</v>
      </c>
      <c r="C725" s="9" t="s">
        <v>923</v>
      </c>
      <c r="D725" s="9" t="s">
        <v>5871</v>
      </c>
      <c r="E725" s="9" t="str">
        <f aca="false">IF(AND('Formation Ledger'!A704&lt;&gt;"",'Formation Ledger'!V704=0),"PASS","FAIL")</f>
        <v>PASS</v>
      </c>
      <c r="F725" s="9" t="s">
        <v>76</v>
      </c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customFormat="false" ht="15" hidden="false" customHeight="false" outlineLevel="0" collapsed="false">
      <c r="A726" s="9" t="s">
        <v>6569</v>
      </c>
      <c r="B726" s="9" t="s">
        <v>5870</v>
      </c>
      <c r="C726" s="9" t="s">
        <v>924</v>
      </c>
      <c r="D726" s="9" t="s">
        <v>5871</v>
      </c>
      <c r="E726" s="9" t="str">
        <f aca="false">IF(AND('Formation Ledger'!A705&lt;&gt;"",'Formation Ledger'!V705=0),"PASS","FAIL")</f>
        <v>PASS</v>
      </c>
      <c r="F726" s="9" t="s">
        <v>76</v>
      </c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customFormat="false" ht="15" hidden="false" customHeight="false" outlineLevel="0" collapsed="false">
      <c r="A727" s="9" t="s">
        <v>6570</v>
      </c>
      <c r="B727" s="9" t="s">
        <v>5870</v>
      </c>
      <c r="C727" s="9" t="s">
        <v>925</v>
      </c>
      <c r="D727" s="9" t="s">
        <v>5871</v>
      </c>
      <c r="E727" s="9" t="str">
        <f aca="false">IF(AND('Formation Ledger'!A706&lt;&gt;"",'Formation Ledger'!V706=0),"PASS","FAIL")</f>
        <v>PASS</v>
      </c>
      <c r="F727" s="9" t="s">
        <v>76</v>
      </c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customFormat="false" ht="15" hidden="false" customHeight="false" outlineLevel="0" collapsed="false">
      <c r="A728" s="9" t="s">
        <v>6571</v>
      </c>
      <c r="B728" s="9" t="s">
        <v>5870</v>
      </c>
      <c r="C728" s="9" t="s">
        <v>926</v>
      </c>
      <c r="D728" s="9" t="s">
        <v>5871</v>
      </c>
      <c r="E728" s="9" t="str">
        <f aca="false">IF(AND('Formation Ledger'!A707&lt;&gt;"",'Formation Ledger'!V707=0),"PASS","FAIL")</f>
        <v>PASS</v>
      </c>
      <c r="F728" s="9" t="s">
        <v>76</v>
      </c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customFormat="false" ht="15" hidden="false" customHeight="false" outlineLevel="0" collapsed="false">
      <c r="A729" s="9" t="s">
        <v>6572</v>
      </c>
      <c r="B729" s="9" t="s">
        <v>5870</v>
      </c>
      <c r="C729" s="9" t="s">
        <v>927</v>
      </c>
      <c r="D729" s="9" t="s">
        <v>5871</v>
      </c>
      <c r="E729" s="9" t="str">
        <f aca="false">IF(AND('Formation Ledger'!A708&lt;&gt;"",'Formation Ledger'!V708=0),"PASS","FAIL")</f>
        <v>PASS</v>
      </c>
      <c r="F729" s="9" t="s">
        <v>76</v>
      </c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customFormat="false" ht="15" hidden="false" customHeight="false" outlineLevel="0" collapsed="false">
      <c r="A730" s="9" t="s">
        <v>6573</v>
      </c>
      <c r="B730" s="9" t="s">
        <v>5870</v>
      </c>
      <c r="C730" s="9" t="s">
        <v>928</v>
      </c>
      <c r="D730" s="9" t="s">
        <v>5871</v>
      </c>
      <c r="E730" s="9" t="str">
        <f aca="false">IF(AND('Formation Ledger'!A709&lt;&gt;"",'Formation Ledger'!V709=0),"PASS","FAIL")</f>
        <v>PASS</v>
      </c>
      <c r="F730" s="9" t="s">
        <v>76</v>
      </c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customFormat="false" ht="15" hidden="false" customHeight="false" outlineLevel="0" collapsed="false">
      <c r="A731" s="9" t="s">
        <v>6574</v>
      </c>
      <c r="B731" s="9" t="s">
        <v>5870</v>
      </c>
      <c r="C731" s="9" t="s">
        <v>929</v>
      </c>
      <c r="D731" s="9" t="s">
        <v>5871</v>
      </c>
      <c r="E731" s="9" t="str">
        <f aca="false">IF(AND('Formation Ledger'!A710&lt;&gt;"",'Formation Ledger'!V710=0),"PASS","FAIL")</f>
        <v>PASS</v>
      </c>
      <c r="F731" s="9" t="s">
        <v>76</v>
      </c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customFormat="false" ht="15" hidden="false" customHeight="false" outlineLevel="0" collapsed="false">
      <c r="A732" s="9" t="s">
        <v>6575</v>
      </c>
      <c r="B732" s="9" t="s">
        <v>5870</v>
      </c>
      <c r="C732" s="9" t="s">
        <v>930</v>
      </c>
      <c r="D732" s="9" t="s">
        <v>5871</v>
      </c>
      <c r="E732" s="9" t="str">
        <f aca="false">IF(AND('Formation Ledger'!A711&lt;&gt;"",'Formation Ledger'!V711=0),"PASS","FAIL")</f>
        <v>PASS</v>
      </c>
      <c r="F732" s="9" t="s">
        <v>76</v>
      </c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customFormat="false" ht="15" hidden="false" customHeight="false" outlineLevel="0" collapsed="false">
      <c r="A733" s="9" t="s">
        <v>6576</v>
      </c>
      <c r="B733" s="9" t="s">
        <v>5870</v>
      </c>
      <c r="C733" s="9" t="s">
        <v>931</v>
      </c>
      <c r="D733" s="9" t="s">
        <v>5871</v>
      </c>
      <c r="E733" s="9" t="str">
        <f aca="false">IF(AND('Formation Ledger'!A712&lt;&gt;"",'Formation Ledger'!V712=0),"PASS","FAIL")</f>
        <v>PASS</v>
      </c>
      <c r="F733" s="9" t="s">
        <v>76</v>
      </c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customFormat="false" ht="15" hidden="false" customHeight="false" outlineLevel="0" collapsed="false">
      <c r="A734" s="9" t="s">
        <v>6577</v>
      </c>
      <c r="B734" s="9" t="s">
        <v>5870</v>
      </c>
      <c r="C734" s="9" t="s">
        <v>932</v>
      </c>
      <c r="D734" s="9" t="s">
        <v>5871</v>
      </c>
      <c r="E734" s="9" t="str">
        <f aca="false">IF(AND('Formation Ledger'!A713&lt;&gt;"",'Formation Ledger'!V713=0),"PASS","FAIL")</f>
        <v>PASS</v>
      </c>
      <c r="F734" s="9" t="s">
        <v>76</v>
      </c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customFormat="false" ht="15" hidden="false" customHeight="false" outlineLevel="0" collapsed="false">
      <c r="A735" s="9" t="s">
        <v>6578</v>
      </c>
      <c r="B735" s="9" t="s">
        <v>5870</v>
      </c>
      <c r="C735" s="9" t="s">
        <v>933</v>
      </c>
      <c r="D735" s="9" t="s">
        <v>5871</v>
      </c>
      <c r="E735" s="9" t="str">
        <f aca="false">IF(AND('Formation Ledger'!A714&lt;&gt;"",'Formation Ledger'!V714=0),"PASS","FAIL")</f>
        <v>PASS</v>
      </c>
      <c r="F735" s="9" t="s">
        <v>76</v>
      </c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customFormat="false" ht="15" hidden="false" customHeight="false" outlineLevel="0" collapsed="false">
      <c r="A736" s="9" t="s">
        <v>6579</v>
      </c>
      <c r="B736" s="9" t="s">
        <v>5870</v>
      </c>
      <c r="C736" s="9" t="s">
        <v>934</v>
      </c>
      <c r="D736" s="9" t="s">
        <v>5871</v>
      </c>
      <c r="E736" s="9" t="str">
        <f aca="false">IF(AND('Formation Ledger'!A715&lt;&gt;"",'Formation Ledger'!V715=0),"PASS","FAIL")</f>
        <v>PASS</v>
      </c>
      <c r="F736" s="9" t="s">
        <v>76</v>
      </c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customFormat="false" ht="15" hidden="false" customHeight="false" outlineLevel="0" collapsed="false">
      <c r="A737" s="9" t="s">
        <v>6580</v>
      </c>
      <c r="B737" s="9" t="s">
        <v>5870</v>
      </c>
      <c r="C737" s="9" t="s">
        <v>935</v>
      </c>
      <c r="D737" s="9" t="s">
        <v>5871</v>
      </c>
      <c r="E737" s="9" t="str">
        <f aca="false">IF(AND('Formation Ledger'!A716&lt;&gt;"",'Formation Ledger'!V716=0),"PASS","FAIL")</f>
        <v>PASS</v>
      </c>
      <c r="F737" s="9" t="s">
        <v>76</v>
      </c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customFormat="false" ht="15" hidden="false" customHeight="false" outlineLevel="0" collapsed="false">
      <c r="A738" s="9" t="s">
        <v>6581</v>
      </c>
      <c r="B738" s="9" t="s">
        <v>5870</v>
      </c>
      <c r="C738" s="9" t="s">
        <v>936</v>
      </c>
      <c r="D738" s="9" t="s">
        <v>5871</v>
      </c>
      <c r="E738" s="9" t="str">
        <f aca="false">IF(AND('Formation Ledger'!A717&lt;&gt;"",'Formation Ledger'!V717=0),"PASS","FAIL")</f>
        <v>PASS</v>
      </c>
      <c r="F738" s="9" t="s">
        <v>76</v>
      </c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customFormat="false" ht="15" hidden="false" customHeight="false" outlineLevel="0" collapsed="false">
      <c r="A739" s="9" t="s">
        <v>6582</v>
      </c>
      <c r="B739" s="9" t="s">
        <v>5870</v>
      </c>
      <c r="C739" s="9" t="s">
        <v>937</v>
      </c>
      <c r="D739" s="9" t="s">
        <v>5871</v>
      </c>
      <c r="E739" s="9" t="str">
        <f aca="false">IF(AND('Formation Ledger'!A718&lt;&gt;"",'Formation Ledger'!V718=0),"PASS","FAIL")</f>
        <v>PASS</v>
      </c>
      <c r="F739" s="9" t="s">
        <v>76</v>
      </c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customFormat="false" ht="15" hidden="false" customHeight="false" outlineLevel="0" collapsed="false">
      <c r="A740" s="9" t="s">
        <v>6583</v>
      </c>
      <c r="B740" s="9" t="s">
        <v>5870</v>
      </c>
      <c r="C740" s="9" t="s">
        <v>938</v>
      </c>
      <c r="D740" s="9" t="s">
        <v>5871</v>
      </c>
      <c r="E740" s="9" t="str">
        <f aca="false">IF(AND('Formation Ledger'!A719&lt;&gt;"",'Formation Ledger'!V719=0),"PASS","FAIL")</f>
        <v>PASS</v>
      </c>
      <c r="F740" s="9" t="s">
        <v>76</v>
      </c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customFormat="false" ht="15" hidden="false" customHeight="false" outlineLevel="0" collapsed="false">
      <c r="A741" s="9" t="s">
        <v>6584</v>
      </c>
      <c r="B741" s="9" t="s">
        <v>5870</v>
      </c>
      <c r="C741" s="9" t="s">
        <v>939</v>
      </c>
      <c r="D741" s="9" t="s">
        <v>5871</v>
      </c>
      <c r="E741" s="9" t="str">
        <f aca="false">IF(AND('Formation Ledger'!A720&lt;&gt;"",'Formation Ledger'!V720=0),"PASS","FAIL")</f>
        <v>PASS</v>
      </c>
      <c r="F741" s="9" t="s">
        <v>76</v>
      </c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customFormat="false" ht="15" hidden="false" customHeight="false" outlineLevel="0" collapsed="false">
      <c r="A742" s="9" t="s">
        <v>6585</v>
      </c>
      <c r="B742" s="9" t="s">
        <v>5870</v>
      </c>
      <c r="C742" s="9" t="s">
        <v>940</v>
      </c>
      <c r="D742" s="9" t="s">
        <v>5871</v>
      </c>
      <c r="E742" s="9" t="str">
        <f aca="false">IF(AND('Formation Ledger'!A721&lt;&gt;"",'Formation Ledger'!V721=0),"PASS","FAIL")</f>
        <v>PASS</v>
      </c>
      <c r="F742" s="9" t="s">
        <v>76</v>
      </c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customFormat="false" ht="15" hidden="false" customHeight="false" outlineLevel="0" collapsed="false">
      <c r="A743" s="9" t="s">
        <v>6586</v>
      </c>
      <c r="B743" s="9" t="s">
        <v>5870</v>
      </c>
      <c r="C743" s="9" t="s">
        <v>941</v>
      </c>
      <c r="D743" s="9" t="s">
        <v>5871</v>
      </c>
      <c r="E743" s="9" t="str">
        <f aca="false">IF(AND('Formation Ledger'!A722&lt;&gt;"",'Formation Ledger'!V722=0),"PASS","FAIL")</f>
        <v>PASS</v>
      </c>
      <c r="F743" s="9" t="s">
        <v>76</v>
      </c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customFormat="false" ht="15" hidden="false" customHeight="false" outlineLevel="0" collapsed="false">
      <c r="A744" s="9" t="s">
        <v>6587</v>
      </c>
      <c r="B744" s="9" t="s">
        <v>5870</v>
      </c>
      <c r="C744" s="9" t="s">
        <v>942</v>
      </c>
      <c r="D744" s="9" t="s">
        <v>5871</v>
      </c>
      <c r="E744" s="9" t="str">
        <f aca="false">IF(AND('Formation Ledger'!A723&lt;&gt;"",'Formation Ledger'!V723=0),"PASS","FAIL")</f>
        <v>PASS</v>
      </c>
      <c r="F744" s="9" t="s">
        <v>76</v>
      </c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customFormat="false" ht="15" hidden="false" customHeight="false" outlineLevel="0" collapsed="false">
      <c r="A745" s="9" t="s">
        <v>6588</v>
      </c>
      <c r="B745" s="9" t="s">
        <v>5870</v>
      </c>
      <c r="C745" s="9" t="s">
        <v>943</v>
      </c>
      <c r="D745" s="9" t="s">
        <v>5871</v>
      </c>
      <c r="E745" s="9" t="str">
        <f aca="false">IF(AND('Formation Ledger'!A724&lt;&gt;"",'Formation Ledger'!V724=0),"PASS","FAIL")</f>
        <v>PASS</v>
      </c>
      <c r="F745" s="9" t="s">
        <v>76</v>
      </c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customFormat="false" ht="15" hidden="false" customHeight="false" outlineLevel="0" collapsed="false">
      <c r="A746" s="9" t="s">
        <v>6589</v>
      </c>
      <c r="B746" s="9" t="s">
        <v>5870</v>
      </c>
      <c r="C746" s="9" t="s">
        <v>944</v>
      </c>
      <c r="D746" s="9" t="s">
        <v>5871</v>
      </c>
      <c r="E746" s="9" t="str">
        <f aca="false">IF(AND('Formation Ledger'!A725&lt;&gt;"",'Formation Ledger'!V725=0),"PASS","FAIL")</f>
        <v>PASS</v>
      </c>
      <c r="F746" s="9" t="s">
        <v>76</v>
      </c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customFormat="false" ht="15" hidden="false" customHeight="false" outlineLevel="0" collapsed="false">
      <c r="A747" s="9" t="s">
        <v>6590</v>
      </c>
      <c r="B747" s="9" t="s">
        <v>5870</v>
      </c>
      <c r="C747" s="9" t="s">
        <v>945</v>
      </c>
      <c r="D747" s="9" t="s">
        <v>5871</v>
      </c>
      <c r="E747" s="9" t="str">
        <f aca="false">IF(AND('Formation Ledger'!A726&lt;&gt;"",'Formation Ledger'!V726=0),"PASS","FAIL")</f>
        <v>PASS</v>
      </c>
      <c r="F747" s="9" t="s">
        <v>76</v>
      </c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customFormat="false" ht="15" hidden="false" customHeight="false" outlineLevel="0" collapsed="false">
      <c r="A748" s="9" t="s">
        <v>6591</v>
      </c>
      <c r="B748" s="9" t="s">
        <v>5870</v>
      </c>
      <c r="C748" s="9" t="s">
        <v>946</v>
      </c>
      <c r="D748" s="9" t="s">
        <v>5871</v>
      </c>
      <c r="E748" s="9" t="str">
        <f aca="false">IF(AND('Formation Ledger'!A727&lt;&gt;"",'Formation Ledger'!V727=0),"PASS","FAIL")</f>
        <v>PASS</v>
      </c>
      <c r="F748" s="9" t="s">
        <v>76</v>
      </c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customFormat="false" ht="15" hidden="false" customHeight="false" outlineLevel="0" collapsed="false">
      <c r="A749" s="9" t="s">
        <v>6592</v>
      </c>
      <c r="B749" s="9" t="s">
        <v>5870</v>
      </c>
      <c r="C749" s="9" t="s">
        <v>947</v>
      </c>
      <c r="D749" s="9" t="s">
        <v>5871</v>
      </c>
      <c r="E749" s="9" t="str">
        <f aca="false">IF(AND('Formation Ledger'!A728&lt;&gt;"",'Formation Ledger'!V728=0),"PASS","FAIL")</f>
        <v>PASS</v>
      </c>
      <c r="F749" s="9" t="s">
        <v>76</v>
      </c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customFormat="false" ht="15" hidden="false" customHeight="false" outlineLevel="0" collapsed="false">
      <c r="A750" s="9" t="s">
        <v>6593</v>
      </c>
      <c r="B750" s="9" t="s">
        <v>5870</v>
      </c>
      <c r="C750" s="9" t="s">
        <v>948</v>
      </c>
      <c r="D750" s="9" t="s">
        <v>5871</v>
      </c>
      <c r="E750" s="9" t="str">
        <f aca="false">IF(AND('Formation Ledger'!A729&lt;&gt;"",'Formation Ledger'!V729=0),"PASS","FAIL")</f>
        <v>PASS</v>
      </c>
      <c r="F750" s="9" t="s">
        <v>76</v>
      </c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customFormat="false" ht="15" hidden="false" customHeight="false" outlineLevel="0" collapsed="false">
      <c r="A751" s="9" t="s">
        <v>6594</v>
      </c>
      <c r="B751" s="9" t="s">
        <v>5870</v>
      </c>
      <c r="C751" s="9" t="s">
        <v>949</v>
      </c>
      <c r="D751" s="9" t="s">
        <v>5871</v>
      </c>
      <c r="E751" s="9" t="str">
        <f aca="false">IF(AND('Formation Ledger'!A730&lt;&gt;"",'Formation Ledger'!V730=0),"PASS","FAIL")</f>
        <v>PASS</v>
      </c>
      <c r="F751" s="9" t="s">
        <v>76</v>
      </c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customFormat="false" ht="15" hidden="false" customHeight="false" outlineLevel="0" collapsed="false">
      <c r="A752" s="9" t="s">
        <v>6595</v>
      </c>
      <c r="B752" s="9" t="s">
        <v>5870</v>
      </c>
      <c r="C752" s="9" t="s">
        <v>950</v>
      </c>
      <c r="D752" s="9" t="s">
        <v>5871</v>
      </c>
      <c r="E752" s="9" t="str">
        <f aca="false">IF(AND('Formation Ledger'!A731&lt;&gt;"",'Formation Ledger'!V731=0),"PASS","FAIL")</f>
        <v>PASS</v>
      </c>
      <c r="F752" s="9" t="s">
        <v>76</v>
      </c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customFormat="false" ht="15" hidden="false" customHeight="false" outlineLevel="0" collapsed="false">
      <c r="A753" s="9" t="s">
        <v>6596</v>
      </c>
      <c r="B753" s="9" t="s">
        <v>5870</v>
      </c>
      <c r="C753" s="9" t="s">
        <v>951</v>
      </c>
      <c r="D753" s="9" t="s">
        <v>5871</v>
      </c>
      <c r="E753" s="9" t="str">
        <f aca="false">IF(AND('Formation Ledger'!A732&lt;&gt;"",'Formation Ledger'!V732=0),"PASS","FAIL")</f>
        <v>PASS</v>
      </c>
      <c r="F753" s="9" t="s">
        <v>76</v>
      </c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customFormat="false" ht="15" hidden="false" customHeight="false" outlineLevel="0" collapsed="false">
      <c r="A754" s="9" t="s">
        <v>6597</v>
      </c>
      <c r="B754" s="9" t="s">
        <v>5870</v>
      </c>
      <c r="C754" s="9" t="s">
        <v>952</v>
      </c>
      <c r="D754" s="9" t="s">
        <v>5871</v>
      </c>
      <c r="E754" s="9" t="str">
        <f aca="false">IF(AND('Formation Ledger'!A733&lt;&gt;"",'Formation Ledger'!V733=0),"PASS","FAIL")</f>
        <v>PASS</v>
      </c>
      <c r="F754" s="9" t="s">
        <v>76</v>
      </c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customFormat="false" ht="15" hidden="false" customHeight="false" outlineLevel="0" collapsed="false">
      <c r="A755" s="9" t="s">
        <v>6598</v>
      </c>
      <c r="B755" s="9" t="s">
        <v>5870</v>
      </c>
      <c r="C755" s="9" t="s">
        <v>953</v>
      </c>
      <c r="D755" s="9" t="s">
        <v>5871</v>
      </c>
      <c r="E755" s="9" t="str">
        <f aca="false">IF(AND('Formation Ledger'!A734&lt;&gt;"",'Formation Ledger'!V734=0),"PASS","FAIL")</f>
        <v>PASS</v>
      </c>
      <c r="F755" s="9" t="s">
        <v>76</v>
      </c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customFormat="false" ht="15" hidden="false" customHeight="false" outlineLevel="0" collapsed="false">
      <c r="A756" s="9" t="s">
        <v>6599</v>
      </c>
      <c r="B756" s="9" t="s">
        <v>5870</v>
      </c>
      <c r="C756" s="9" t="s">
        <v>954</v>
      </c>
      <c r="D756" s="9" t="s">
        <v>5871</v>
      </c>
      <c r="E756" s="9" t="str">
        <f aca="false">IF(AND('Formation Ledger'!A735&lt;&gt;"",'Formation Ledger'!V735=0),"PASS","FAIL")</f>
        <v>PASS</v>
      </c>
      <c r="F756" s="9" t="s">
        <v>76</v>
      </c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customFormat="false" ht="15" hidden="false" customHeight="false" outlineLevel="0" collapsed="false">
      <c r="A757" s="9" t="s">
        <v>6600</v>
      </c>
      <c r="B757" s="9" t="s">
        <v>5870</v>
      </c>
      <c r="C757" s="9" t="s">
        <v>955</v>
      </c>
      <c r="D757" s="9" t="s">
        <v>5871</v>
      </c>
      <c r="E757" s="9" t="str">
        <f aca="false">IF(AND('Formation Ledger'!A736&lt;&gt;"",'Formation Ledger'!V736=0),"PASS","FAIL")</f>
        <v>PASS</v>
      </c>
      <c r="F757" s="9" t="s">
        <v>76</v>
      </c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customFormat="false" ht="15" hidden="false" customHeight="false" outlineLevel="0" collapsed="false">
      <c r="A758" s="9" t="s">
        <v>6601</v>
      </c>
      <c r="B758" s="9" t="s">
        <v>5870</v>
      </c>
      <c r="C758" s="9" t="s">
        <v>956</v>
      </c>
      <c r="D758" s="9" t="s">
        <v>5871</v>
      </c>
      <c r="E758" s="9" t="str">
        <f aca="false">IF(AND('Formation Ledger'!A737&lt;&gt;"",'Formation Ledger'!V737=0),"PASS","FAIL")</f>
        <v>PASS</v>
      </c>
      <c r="F758" s="9" t="s">
        <v>76</v>
      </c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customFormat="false" ht="15" hidden="false" customHeight="false" outlineLevel="0" collapsed="false">
      <c r="A759" s="9" t="s">
        <v>6602</v>
      </c>
      <c r="B759" s="9" t="s">
        <v>5870</v>
      </c>
      <c r="C759" s="9" t="s">
        <v>957</v>
      </c>
      <c r="D759" s="9" t="s">
        <v>5871</v>
      </c>
      <c r="E759" s="9" t="str">
        <f aca="false">IF(AND('Formation Ledger'!A738&lt;&gt;"",'Formation Ledger'!V738=0),"PASS","FAIL")</f>
        <v>PASS</v>
      </c>
      <c r="F759" s="9" t="s">
        <v>76</v>
      </c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customFormat="false" ht="15" hidden="false" customHeight="false" outlineLevel="0" collapsed="false">
      <c r="A760" s="9" t="s">
        <v>6603</v>
      </c>
      <c r="B760" s="9" t="s">
        <v>5870</v>
      </c>
      <c r="C760" s="9" t="s">
        <v>958</v>
      </c>
      <c r="D760" s="9" t="s">
        <v>5871</v>
      </c>
      <c r="E760" s="9" t="str">
        <f aca="false">IF(AND('Formation Ledger'!A739&lt;&gt;"",'Formation Ledger'!V739=0),"PASS","FAIL")</f>
        <v>PASS</v>
      </c>
      <c r="F760" s="9" t="s">
        <v>76</v>
      </c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customFormat="false" ht="15" hidden="false" customHeight="false" outlineLevel="0" collapsed="false">
      <c r="A761" s="9" t="s">
        <v>6604</v>
      </c>
      <c r="B761" s="9" t="s">
        <v>5870</v>
      </c>
      <c r="C761" s="9" t="s">
        <v>959</v>
      </c>
      <c r="D761" s="9" t="s">
        <v>5871</v>
      </c>
      <c r="E761" s="9" t="str">
        <f aca="false">IF(AND('Formation Ledger'!A740&lt;&gt;"",'Formation Ledger'!V740=0),"PASS","FAIL")</f>
        <v>PASS</v>
      </c>
      <c r="F761" s="9" t="s">
        <v>76</v>
      </c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customFormat="false" ht="15" hidden="false" customHeight="false" outlineLevel="0" collapsed="false">
      <c r="A762" s="9" t="s">
        <v>6605</v>
      </c>
      <c r="B762" s="9" t="s">
        <v>5870</v>
      </c>
      <c r="C762" s="9" t="s">
        <v>960</v>
      </c>
      <c r="D762" s="9" t="s">
        <v>5871</v>
      </c>
      <c r="E762" s="9" t="str">
        <f aca="false">IF(AND('Formation Ledger'!A741&lt;&gt;"",'Formation Ledger'!V741=0),"PASS","FAIL")</f>
        <v>PASS</v>
      </c>
      <c r="F762" s="9" t="s">
        <v>76</v>
      </c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customFormat="false" ht="15" hidden="false" customHeight="false" outlineLevel="0" collapsed="false">
      <c r="A763" s="9" t="s">
        <v>6606</v>
      </c>
      <c r="B763" s="9" t="s">
        <v>5870</v>
      </c>
      <c r="C763" s="9" t="s">
        <v>961</v>
      </c>
      <c r="D763" s="9" t="s">
        <v>5871</v>
      </c>
      <c r="E763" s="9" t="str">
        <f aca="false">IF(AND('Formation Ledger'!A742&lt;&gt;"",'Formation Ledger'!V742=0),"PASS","FAIL")</f>
        <v>PASS</v>
      </c>
      <c r="F763" s="9" t="s">
        <v>76</v>
      </c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customFormat="false" ht="15" hidden="false" customHeight="false" outlineLevel="0" collapsed="false">
      <c r="A764" s="9" t="s">
        <v>6607</v>
      </c>
      <c r="B764" s="9" t="s">
        <v>5870</v>
      </c>
      <c r="C764" s="9" t="s">
        <v>962</v>
      </c>
      <c r="D764" s="9" t="s">
        <v>5871</v>
      </c>
      <c r="E764" s="9" t="str">
        <f aca="false">IF(AND('Formation Ledger'!A743&lt;&gt;"",'Formation Ledger'!V743=0),"PASS","FAIL")</f>
        <v>PASS</v>
      </c>
      <c r="F764" s="9" t="s">
        <v>76</v>
      </c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customFormat="false" ht="15" hidden="false" customHeight="false" outlineLevel="0" collapsed="false">
      <c r="A765" s="9" t="s">
        <v>6608</v>
      </c>
      <c r="B765" s="9" t="s">
        <v>5870</v>
      </c>
      <c r="C765" s="9" t="s">
        <v>963</v>
      </c>
      <c r="D765" s="9" t="s">
        <v>5871</v>
      </c>
      <c r="E765" s="9" t="str">
        <f aca="false">IF(AND('Formation Ledger'!A744&lt;&gt;"",'Formation Ledger'!V744=0),"PASS","FAIL")</f>
        <v>PASS</v>
      </c>
      <c r="F765" s="9" t="s">
        <v>76</v>
      </c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customFormat="false" ht="15" hidden="false" customHeight="false" outlineLevel="0" collapsed="false">
      <c r="A766" s="9" t="s">
        <v>6609</v>
      </c>
      <c r="B766" s="9" t="s">
        <v>5870</v>
      </c>
      <c r="C766" s="9" t="s">
        <v>964</v>
      </c>
      <c r="D766" s="9" t="s">
        <v>5871</v>
      </c>
      <c r="E766" s="9" t="str">
        <f aca="false">IF(AND('Formation Ledger'!A745&lt;&gt;"",'Formation Ledger'!V745=0),"PASS","FAIL")</f>
        <v>PASS</v>
      </c>
      <c r="F766" s="9" t="s">
        <v>76</v>
      </c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customFormat="false" ht="15" hidden="false" customHeight="false" outlineLevel="0" collapsed="false">
      <c r="A767" s="9" t="s">
        <v>6610</v>
      </c>
      <c r="B767" s="9" t="s">
        <v>5870</v>
      </c>
      <c r="C767" s="9" t="s">
        <v>965</v>
      </c>
      <c r="D767" s="9" t="s">
        <v>5871</v>
      </c>
      <c r="E767" s="9" t="str">
        <f aca="false">IF(AND('Formation Ledger'!A746&lt;&gt;"",'Formation Ledger'!V746=0),"PASS","FAIL")</f>
        <v>PASS</v>
      </c>
      <c r="F767" s="9" t="s">
        <v>76</v>
      </c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customFormat="false" ht="15" hidden="false" customHeight="false" outlineLevel="0" collapsed="false">
      <c r="A768" s="9" t="s">
        <v>6611</v>
      </c>
      <c r="B768" s="9" t="s">
        <v>5870</v>
      </c>
      <c r="C768" s="9" t="s">
        <v>966</v>
      </c>
      <c r="D768" s="9" t="s">
        <v>5871</v>
      </c>
      <c r="E768" s="9" t="str">
        <f aca="false">IF(AND('Formation Ledger'!A747&lt;&gt;"",'Formation Ledger'!V747=0),"PASS","FAIL")</f>
        <v>PASS</v>
      </c>
      <c r="F768" s="9" t="s">
        <v>76</v>
      </c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customFormat="false" ht="15" hidden="false" customHeight="false" outlineLevel="0" collapsed="false">
      <c r="A769" s="9" t="s">
        <v>6612</v>
      </c>
      <c r="B769" s="9" t="s">
        <v>5870</v>
      </c>
      <c r="C769" s="9" t="s">
        <v>967</v>
      </c>
      <c r="D769" s="9" t="s">
        <v>5871</v>
      </c>
      <c r="E769" s="9" t="str">
        <f aca="false">IF(AND('Formation Ledger'!A748&lt;&gt;"",'Formation Ledger'!V748=0),"PASS","FAIL")</f>
        <v>PASS</v>
      </c>
      <c r="F769" s="9" t="s">
        <v>76</v>
      </c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customFormat="false" ht="15" hidden="false" customHeight="false" outlineLevel="0" collapsed="false">
      <c r="A770" s="9" t="s">
        <v>6613</v>
      </c>
      <c r="B770" s="9" t="s">
        <v>5870</v>
      </c>
      <c r="C770" s="9" t="s">
        <v>968</v>
      </c>
      <c r="D770" s="9" t="s">
        <v>5871</v>
      </c>
      <c r="E770" s="9" t="str">
        <f aca="false">IF(AND('Formation Ledger'!A749&lt;&gt;"",'Formation Ledger'!V749=0),"PASS","FAIL")</f>
        <v>PASS</v>
      </c>
      <c r="F770" s="9" t="s">
        <v>76</v>
      </c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customFormat="false" ht="15" hidden="false" customHeight="false" outlineLevel="0" collapsed="false">
      <c r="A771" s="9" t="s">
        <v>6614</v>
      </c>
      <c r="B771" s="9" t="s">
        <v>5870</v>
      </c>
      <c r="C771" s="9" t="s">
        <v>969</v>
      </c>
      <c r="D771" s="9" t="s">
        <v>5871</v>
      </c>
      <c r="E771" s="9" t="str">
        <f aca="false">IF(AND('Formation Ledger'!A750&lt;&gt;"",'Formation Ledger'!V750=0),"PASS","FAIL")</f>
        <v>PASS</v>
      </c>
      <c r="F771" s="9" t="s">
        <v>76</v>
      </c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customFormat="false" ht="15" hidden="false" customHeight="false" outlineLevel="0" collapsed="false">
      <c r="A772" s="9" t="s">
        <v>6615</v>
      </c>
      <c r="B772" s="9" t="s">
        <v>5870</v>
      </c>
      <c r="C772" s="9" t="s">
        <v>970</v>
      </c>
      <c r="D772" s="9" t="s">
        <v>5871</v>
      </c>
      <c r="E772" s="9" t="str">
        <f aca="false">IF(AND('Formation Ledger'!A751&lt;&gt;"",'Formation Ledger'!V751=0),"PASS","FAIL")</f>
        <v>PASS</v>
      </c>
      <c r="F772" s="9" t="s">
        <v>76</v>
      </c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customFormat="false" ht="15" hidden="false" customHeight="false" outlineLevel="0" collapsed="false">
      <c r="A773" s="9" t="s">
        <v>6616</v>
      </c>
      <c r="B773" s="9" t="s">
        <v>5870</v>
      </c>
      <c r="C773" s="9" t="s">
        <v>971</v>
      </c>
      <c r="D773" s="9" t="s">
        <v>5871</v>
      </c>
      <c r="E773" s="9" t="str">
        <f aca="false">IF(AND('Formation Ledger'!A752&lt;&gt;"",'Formation Ledger'!V752=0),"PASS","FAIL")</f>
        <v>PASS</v>
      </c>
      <c r="F773" s="9" t="s">
        <v>76</v>
      </c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customFormat="false" ht="15" hidden="false" customHeight="false" outlineLevel="0" collapsed="false">
      <c r="A774" s="9" t="s">
        <v>6617</v>
      </c>
      <c r="B774" s="9" t="s">
        <v>5870</v>
      </c>
      <c r="C774" s="9" t="s">
        <v>972</v>
      </c>
      <c r="D774" s="9" t="s">
        <v>5871</v>
      </c>
      <c r="E774" s="9" t="str">
        <f aca="false">IF(AND('Formation Ledger'!A753&lt;&gt;"",'Formation Ledger'!V753=0),"PASS","FAIL")</f>
        <v>PASS</v>
      </c>
      <c r="F774" s="9" t="s">
        <v>76</v>
      </c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customFormat="false" ht="15" hidden="false" customHeight="false" outlineLevel="0" collapsed="false">
      <c r="A775" s="9" t="s">
        <v>6618</v>
      </c>
      <c r="B775" s="9" t="s">
        <v>5870</v>
      </c>
      <c r="C775" s="9" t="s">
        <v>973</v>
      </c>
      <c r="D775" s="9" t="s">
        <v>5871</v>
      </c>
      <c r="E775" s="9" t="str">
        <f aca="false">IF(AND('Formation Ledger'!A754&lt;&gt;"",'Formation Ledger'!V754=0),"PASS","FAIL")</f>
        <v>PASS</v>
      </c>
      <c r="F775" s="9" t="s">
        <v>76</v>
      </c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customFormat="false" ht="15" hidden="false" customHeight="false" outlineLevel="0" collapsed="false">
      <c r="A776" s="9" t="s">
        <v>6619</v>
      </c>
      <c r="B776" s="9" t="s">
        <v>5870</v>
      </c>
      <c r="C776" s="9" t="s">
        <v>974</v>
      </c>
      <c r="D776" s="9" t="s">
        <v>5871</v>
      </c>
      <c r="E776" s="9" t="str">
        <f aca="false">IF(AND('Formation Ledger'!A755&lt;&gt;"",'Formation Ledger'!V755=0),"PASS","FAIL")</f>
        <v>PASS</v>
      </c>
      <c r="F776" s="9" t="s">
        <v>76</v>
      </c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customFormat="false" ht="15" hidden="false" customHeight="false" outlineLevel="0" collapsed="false">
      <c r="A777" s="9" t="s">
        <v>6620</v>
      </c>
      <c r="B777" s="9" t="s">
        <v>5870</v>
      </c>
      <c r="C777" s="9" t="s">
        <v>975</v>
      </c>
      <c r="D777" s="9" t="s">
        <v>5871</v>
      </c>
      <c r="E777" s="9" t="str">
        <f aca="false">IF(AND('Formation Ledger'!A756&lt;&gt;"",'Formation Ledger'!V756=0),"PASS","FAIL")</f>
        <v>PASS</v>
      </c>
      <c r="F777" s="9" t="s">
        <v>76</v>
      </c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customFormat="false" ht="15" hidden="false" customHeight="false" outlineLevel="0" collapsed="false">
      <c r="A778" s="9" t="s">
        <v>6621</v>
      </c>
      <c r="B778" s="9" t="s">
        <v>5870</v>
      </c>
      <c r="C778" s="9" t="s">
        <v>976</v>
      </c>
      <c r="D778" s="9" t="s">
        <v>5871</v>
      </c>
      <c r="E778" s="9" t="str">
        <f aca="false">IF(AND('Formation Ledger'!A757&lt;&gt;"",'Formation Ledger'!V757=0),"PASS","FAIL")</f>
        <v>PASS</v>
      </c>
      <c r="F778" s="9" t="s">
        <v>76</v>
      </c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customFormat="false" ht="15" hidden="false" customHeight="false" outlineLevel="0" collapsed="false">
      <c r="A779" s="9" t="s">
        <v>6622</v>
      </c>
      <c r="B779" s="9" t="s">
        <v>5870</v>
      </c>
      <c r="C779" s="9" t="s">
        <v>977</v>
      </c>
      <c r="D779" s="9" t="s">
        <v>5871</v>
      </c>
      <c r="E779" s="9" t="str">
        <f aca="false">IF(AND('Formation Ledger'!A758&lt;&gt;"",'Formation Ledger'!V758=0),"PASS","FAIL")</f>
        <v>PASS</v>
      </c>
      <c r="F779" s="9" t="s">
        <v>76</v>
      </c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customFormat="false" ht="15" hidden="false" customHeight="false" outlineLevel="0" collapsed="false">
      <c r="A780" s="9" t="s">
        <v>6623</v>
      </c>
      <c r="B780" s="9" t="s">
        <v>5870</v>
      </c>
      <c r="C780" s="9" t="s">
        <v>978</v>
      </c>
      <c r="D780" s="9" t="s">
        <v>5871</v>
      </c>
      <c r="E780" s="9" t="str">
        <f aca="false">IF(AND('Formation Ledger'!A759&lt;&gt;"",'Formation Ledger'!V759=0),"PASS","FAIL")</f>
        <v>PASS</v>
      </c>
      <c r="F780" s="9" t="s">
        <v>76</v>
      </c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customFormat="false" ht="15" hidden="false" customHeight="false" outlineLevel="0" collapsed="false">
      <c r="A781" s="9" t="s">
        <v>6624</v>
      </c>
      <c r="B781" s="9" t="s">
        <v>5870</v>
      </c>
      <c r="C781" s="9" t="s">
        <v>979</v>
      </c>
      <c r="D781" s="9" t="s">
        <v>5871</v>
      </c>
      <c r="E781" s="9" t="str">
        <f aca="false">IF(AND('Formation Ledger'!A760&lt;&gt;"",'Formation Ledger'!V760=0),"PASS","FAIL")</f>
        <v>PASS</v>
      </c>
      <c r="F781" s="9" t="s">
        <v>76</v>
      </c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customFormat="false" ht="15" hidden="false" customHeight="false" outlineLevel="0" collapsed="false">
      <c r="A782" s="9" t="s">
        <v>6625</v>
      </c>
      <c r="B782" s="9" t="s">
        <v>5870</v>
      </c>
      <c r="C782" s="9" t="s">
        <v>980</v>
      </c>
      <c r="D782" s="9" t="s">
        <v>5871</v>
      </c>
      <c r="E782" s="9" t="str">
        <f aca="false">IF(AND('Formation Ledger'!A761&lt;&gt;"",'Formation Ledger'!V761=0),"PASS","FAIL")</f>
        <v>PASS</v>
      </c>
      <c r="F782" s="9" t="s">
        <v>76</v>
      </c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customFormat="false" ht="15" hidden="false" customHeight="false" outlineLevel="0" collapsed="false">
      <c r="A783" s="9" t="s">
        <v>6626</v>
      </c>
      <c r="B783" s="9" t="s">
        <v>5870</v>
      </c>
      <c r="C783" s="9" t="s">
        <v>981</v>
      </c>
      <c r="D783" s="9" t="s">
        <v>5871</v>
      </c>
      <c r="E783" s="9" t="str">
        <f aca="false">IF(AND('Formation Ledger'!A762&lt;&gt;"",'Formation Ledger'!V762=0),"PASS","FAIL")</f>
        <v>PASS</v>
      </c>
      <c r="F783" s="9" t="s">
        <v>76</v>
      </c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customFormat="false" ht="15" hidden="false" customHeight="false" outlineLevel="0" collapsed="false">
      <c r="A784" s="9" t="s">
        <v>6627</v>
      </c>
      <c r="B784" s="9" t="s">
        <v>5870</v>
      </c>
      <c r="C784" s="9" t="s">
        <v>982</v>
      </c>
      <c r="D784" s="9" t="s">
        <v>5871</v>
      </c>
      <c r="E784" s="9" t="str">
        <f aca="false">IF(AND('Formation Ledger'!A763&lt;&gt;"",'Formation Ledger'!V763=0),"PASS","FAIL")</f>
        <v>PASS</v>
      </c>
      <c r="F784" s="9" t="s">
        <v>76</v>
      </c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customFormat="false" ht="15" hidden="false" customHeight="false" outlineLevel="0" collapsed="false">
      <c r="A785" s="9" t="s">
        <v>6628</v>
      </c>
      <c r="B785" s="9" t="s">
        <v>5870</v>
      </c>
      <c r="C785" s="9" t="s">
        <v>983</v>
      </c>
      <c r="D785" s="9" t="s">
        <v>5871</v>
      </c>
      <c r="E785" s="9" t="str">
        <f aca="false">IF(AND('Formation Ledger'!A764&lt;&gt;"",'Formation Ledger'!V764=0),"PASS","FAIL")</f>
        <v>PASS</v>
      </c>
      <c r="F785" s="9" t="s">
        <v>76</v>
      </c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customFormat="false" ht="15" hidden="false" customHeight="false" outlineLevel="0" collapsed="false">
      <c r="A786" s="9" t="s">
        <v>6629</v>
      </c>
      <c r="B786" s="9" t="s">
        <v>5870</v>
      </c>
      <c r="C786" s="9" t="s">
        <v>984</v>
      </c>
      <c r="D786" s="9" t="s">
        <v>5871</v>
      </c>
      <c r="E786" s="9" t="str">
        <f aca="false">IF(AND('Formation Ledger'!A765&lt;&gt;"",'Formation Ledger'!V765=0),"PASS","FAIL")</f>
        <v>PASS</v>
      </c>
      <c r="F786" s="9" t="s">
        <v>76</v>
      </c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customFormat="false" ht="15" hidden="false" customHeight="false" outlineLevel="0" collapsed="false">
      <c r="A787" s="9" t="s">
        <v>6630</v>
      </c>
      <c r="B787" s="9" t="s">
        <v>5870</v>
      </c>
      <c r="C787" s="9" t="s">
        <v>985</v>
      </c>
      <c r="D787" s="9" t="s">
        <v>5871</v>
      </c>
      <c r="E787" s="9" t="str">
        <f aca="false">IF(AND('Formation Ledger'!A766&lt;&gt;"",'Formation Ledger'!V766=0),"PASS","FAIL")</f>
        <v>PASS</v>
      </c>
      <c r="F787" s="9" t="s">
        <v>76</v>
      </c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customFormat="false" ht="15" hidden="false" customHeight="false" outlineLevel="0" collapsed="false">
      <c r="A788" s="9" t="s">
        <v>6631</v>
      </c>
      <c r="B788" s="9" t="s">
        <v>5870</v>
      </c>
      <c r="C788" s="9" t="s">
        <v>986</v>
      </c>
      <c r="D788" s="9" t="s">
        <v>5871</v>
      </c>
      <c r="E788" s="9" t="str">
        <f aca="false">IF(AND('Formation Ledger'!A767&lt;&gt;"",'Formation Ledger'!V767=0),"PASS","FAIL")</f>
        <v>PASS</v>
      </c>
      <c r="F788" s="9" t="s">
        <v>76</v>
      </c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customFormat="false" ht="15" hidden="false" customHeight="false" outlineLevel="0" collapsed="false">
      <c r="A789" s="9" t="s">
        <v>6632</v>
      </c>
      <c r="B789" s="9" t="s">
        <v>5870</v>
      </c>
      <c r="C789" s="9" t="s">
        <v>987</v>
      </c>
      <c r="D789" s="9" t="s">
        <v>5871</v>
      </c>
      <c r="E789" s="9" t="str">
        <f aca="false">IF(AND('Formation Ledger'!A768&lt;&gt;"",'Formation Ledger'!V768=0),"PASS","FAIL")</f>
        <v>PASS</v>
      </c>
      <c r="F789" s="9" t="s">
        <v>76</v>
      </c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customFormat="false" ht="15" hidden="false" customHeight="false" outlineLevel="0" collapsed="false">
      <c r="A790" s="9" t="s">
        <v>6633</v>
      </c>
      <c r="B790" s="9" t="s">
        <v>5870</v>
      </c>
      <c r="C790" s="9" t="s">
        <v>988</v>
      </c>
      <c r="D790" s="9" t="s">
        <v>5871</v>
      </c>
      <c r="E790" s="9" t="str">
        <f aca="false">IF(AND('Formation Ledger'!A769&lt;&gt;"",'Formation Ledger'!V769=0),"PASS","FAIL")</f>
        <v>PASS</v>
      </c>
      <c r="F790" s="9" t="s">
        <v>76</v>
      </c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customFormat="false" ht="15" hidden="false" customHeight="false" outlineLevel="0" collapsed="false">
      <c r="A791" s="9" t="s">
        <v>6634</v>
      </c>
      <c r="B791" s="9" t="s">
        <v>5870</v>
      </c>
      <c r="C791" s="9" t="s">
        <v>989</v>
      </c>
      <c r="D791" s="9" t="s">
        <v>5871</v>
      </c>
      <c r="E791" s="9" t="str">
        <f aca="false">IF(AND('Formation Ledger'!A770&lt;&gt;"",'Formation Ledger'!V770=0),"PASS","FAIL")</f>
        <v>PASS</v>
      </c>
      <c r="F791" s="9" t="s">
        <v>76</v>
      </c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customFormat="false" ht="15" hidden="false" customHeight="false" outlineLevel="0" collapsed="false">
      <c r="A792" s="9" t="s">
        <v>6635</v>
      </c>
      <c r="B792" s="9" t="s">
        <v>5870</v>
      </c>
      <c r="C792" s="9" t="s">
        <v>990</v>
      </c>
      <c r="D792" s="9" t="s">
        <v>5871</v>
      </c>
      <c r="E792" s="9" t="str">
        <f aca="false">IF(AND('Formation Ledger'!A771&lt;&gt;"",'Formation Ledger'!V771=0),"PASS","FAIL")</f>
        <v>PASS</v>
      </c>
      <c r="F792" s="9" t="s">
        <v>76</v>
      </c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customFormat="false" ht="15" hidden="false" customHeight="false" outlineLevel="0" collapsed="false">
      <c r="A793" s="9" t="s">
        <v>6636</v>
      </c>
      <c r="B793" s="9" t="s">
        <v>5870</v>
      </c>
      <c r="C793" s="9" t="s">
        <v>991</v>
      </c>
      <c r="D793" s="9" t="s">
        <v>5871</v>
      </c>
      <c r="E793" s="9" t="str">
        <f aca="false">IF(AND('Formation Ledger'!A772&lt;&gt;"",'Formation Ledger'!V772=0),"PASS","FAIL")</f>
        <v>PASS</v>
      </c>
      <c r="F793" s="9" t="s">
        <v>76</v>
      </c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customFormat="false" ht="15" hidden="false" customHeight="false" outlineLevel="0" collapsed="false">
      <c r="A794" s="9" t="s">
        <v>6637</v>
      </c>
      <c r="B794" s="9" t="s">
        <v>5870</v>
      </c>
      <c r="C794" s="9" t="s">
        <v>992</v>
      </c>
      <c r="D794" s="9" t="s">
        <v>5871</v>
      </c>
      <c r="E794" s="9" t="str">
        <f aca="false">IF(AND('Formation Ledger'!A773&lt;&gt;"",'Formation Ledger'!V773=0),"PASS","FAIL")</f>
        <v>PASS</v>
      </c>
      <c r="F794" s="9" t="s">
        <v>76</v>
      </c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customFormat="false" ht="15" hidden="false" customHeight="false" outlineLevel="0" collapsed="false">
      <c r="A795" s="9" t="s">
        <v>6638</v>
      </c>
      <c r="B795" s="9" t="s">
        <v>5870</v>
      </c>
      <c r="C795" s="9" t="s">
        <v>993</v>
      </c>
      <c r="D795" s="9" t="s">
        <v>5871</v>
      </c>
      <c r="E795" s="9" t="str">
        <f aca="false">IF(AND('Formation Ledger'!A774&lt;&gt;"",'Formation Ledger'!V774=0),"PASS","FAIL")</f>
        <v>PASS</v>
      </c>
      <c r="F795" s="9" t="s">
        <v>76</v>
      </c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customFormat="false" ht="15" hidden="false" customHeight="false" outlineLevel="0" collapsed="false">
      <c r="A796" s="9" t="s">
        <v>6639</v>
      </c>
      <c r="B796" s="9" t="s">
        <v>5870</v>
      </c>
      <c r="C796" s="9" t="s">
        <v>994</v>
      </c>
      <c r="D796" s="9" t="s">
        <v>5871</v>
      </c>
      <c r="E796" s="9" t="str">
        <f aca="false">IF(AND('Formation Ledger'!A775&lt;&gt;"",'Formation Ledger'!V775=0),"PASS","FAIL")</f>
        <v>PASS</v>
      </c>
      <c r="F796" s="9" t="s">
        <v>76</v>
      </c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customFormat="false" ht="15" hidden="false" customHeight="false" outlineLevel="0" collapsed="false">
      <c r="A797" s="9" t="s">
        <v>6640</v>
      </c>
      <c r="B797" s="9" t="s">
        <v>5870</v>
      </c>
      <c r="C797" s="9" t="s">
        <v>995</v>
      </c>
      <c r="D797" s="9" t="s">
        <v>5871</v>
      </c>
      <c r="E797" s="9" t="str">
        <f aca="false">IF(AND('Formation Ledger'!A776&lt;&gt;"",'Formation Ledger'!V776=0),"PASS","FAIL")</f>
        <v>PASS</v>
      </c>
      <c r="F797" s="9" t="s">
        <v>76</v>
      </c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customFormat="false" ht="15" hidden="false" customHeight="false" outlineLevel="0" collapsed="false">
      <c r="A798" s="9" t="s">
        <v>6641</v>
      </c>
      <c r="B798" s="9" t="s">
        <v>5870</v>
      </c>
      <c r="C798" s="9" t="s">
        <v>996</v>
      </c>
      <c r="D798" s="9" t="s">
        <v>5871</v>
      </c>
      <c r="E798" s="9" t="str">
        <f aca="false">IF(AND('Formation Ledger'!A777&lt;&gt;"",'Formation Ledger'!V777=0),"PASS","FAIL")</f>
        <v>PASS</v>
      </c>
      <c r="F798" s="9" t="s">
        <v>76</v>
      </c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customFormat="false" ht="15" hidden="false" customHeight="false" outlineLevel="0" collapsed="false">
      <c r="A799" s="9" t="s">
        <v>6642</v>
      </c>
      <c r="B799" s="9" t="s">
        <v>5870</v>
      </c>
      <c r="C799" s="9" t="s">
        <v>997</v>
      </c>
      <c r="D799" s="9" t="s">
        <v>5871</v>
      </c>
      <c r="E799" s="9" t="str">
        <f aca="false">IF(AND('Formation Ledger'!A778&lt;&gt;"",'Formation Ledger'!V778=0),"PASS","FAIL")</f>
        <v>PASS</v>
      </c>
      <c r="F799" s="9" t="s">
        <v>76</v>
      </c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customFormat="false" ht="15" hidden="false" customHeight="false" outlineLevel="0" collapsed="false">
      <c r="A800" s="9" t="s">
        <v>6643</v>
      </c>
      <c r="B800" s="9" t="s">
        <v>5870</v>
      </c>
      <c r="C800" s="9" t="s">
        <v>998</v>
      </c>
      <c r="D800" s="9" t="s">
        <v>5871</v>
      </c>
      <c r="E800" s="9" t="str">
        <f aca="false">IF(AND('Formation Ledger'!A779&lt;&gt;"",'Formation Ledger'!V779=0),"PASS","FAIL")</f>
        <v>PASS</v>
      </c>
      <c r="F800" s="9" t="s">
        <v>76</v>
      </c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customFormat="false" ht="15" hidden="false" customHeight="false" outlineLevel="0" collapsed="false">
      <c r="A801" s="9" t="s">
        <v>6644</v>
      </c>
      <c r="B801" s="9" t="s">
        <v>5870</v>
      </c>
      <c r="C801" s="9" t="s">
        <v>999</v>
      </c>
      <c r="D801" s="9" t="s">
        <v>5871</v>
      </c>
      <c r="E801" s="9" t="str">
        <f aca="false">IF(AND('Formation Ledger'!A780&lt;&gt;"",'Formation Ledger'!V780=0),"PASS","FAIL")</f>
        <v>PASS</v>
      </c>
      <c r="F801" s="9" t="s">
        <v>76</v>
      </c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customFormat="false" ht="15" hidden="false" customHeight="false" outlineLevel="0" collapsed="false">
      <c r="A802" s="9" t="s">
        <v>6645</v>
      </c>
      <c r="B802" s="9" t="s">
        <v>5870</v>
      </c>
      <c r="C802" s="9" t="s">
        <v>1000</v>
      </c>
      <c r="D802" s="9" t="s">
        <v>5871</v>
      </c>
      <c r="E802" s="9" t="str">
        <f aca="false">IF(AND('Formation Ledger'!A781&lt;&gt;"",'Formation Ledger'!V781=0),"PASS","FAIL")</f>
        <v>PASS</v>
      </c>
      <c r="F802" s="9" t="s">
        <v>76</v>
      </c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customFormat="false" ht="15" hidden="false" customHeight="false" outlineLevel="0" collapsed="false">
      <c r="A803" s="9" t="s">
        <v>6646</v>
      </c>
      <c r="B803" s="9" t="s">
        <v>5870</v>
      </c>
      <c r="C803" s="9" t="s">
        <v>1001</v>
      </c>
      <c r="D803" s="9" t="s">
        <v>5871</v>
      </c>
      <c r="E803" s="9" t="str">
        <f aca="false">IF(AND('Formation Ledger'!A782&lt;&gt;"",'Formation Ledger'!V782=0),"PASS","FAIL")</f>
        <v>PASS</v>
      </c>
      <c r="F803" s="9" t="s">
        <v>76</v>
      </c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customFormat="false" ht="15" hidden="false" customHeight="false" outlineLevel="0" collapsed="false">
      <c r="A804" s="9" t="s">
        <v>6647</v>
      </c>
      <c r="B804" s="9" t="s">
        <v>5870</v>
      </c>
      <c r="C804" s="9" t="s">
        <v>1002</v>
      </c>
      <c r="D804" s="9" t="s">
        <v>5871</v>
      </c>
      <c r="E804" s="9" t="str">
        <f aca="false">IF(AND('Formation Ledger'!A783&lt;&gt;"",'Formation Ledger'!V783=0),"PASS","FAIL")</f>
        <v>PASS</v>
      </c>
      <c r="F804" s="9" t="s">
        <v>76</v>
      </c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customFormat="false" ht="15" hidden="false" customHeight="false" outlineLevel="0" collapsed="false">
      <c r="A805" s="9" t="s">
        <v>6648</v>
      </c>
      <c r="B805" s="9" t="s">
        <v>5870</v>
      </c>
      <c r="C805" s="9" t="s">
        <v>1003</v>
      </c>
      <c r="D805" s="9" t="s">
        <v>5871</v>
      </c>
      <c r="E805" s="9" t="str">
        <f aca="false">IF(AND('Formation Ledger'!A784&lt;&gt;"",'Formation Ledger'!V784=0),"PASS","FAIL")</f>
        <v>PASS</v>
      </c>
      <c r="F805" s="9" t="s">
        <v>76</v>
      </c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customFormat="false" ht="15" hidden="false" customHeight="false" outlineLevel="0" collapsed="false">
      <c r="A806" s="9" t="s">
        <v>6649</v>
      </c>
      <c r="B806" s="9" t="s">
        <v>5870</v>
      </c>
      <c r="C806" s="9" t="s">
        <v>1004</v>
      </c>
      <c r="D806" s="9" t="s">
        <v>5871</v>
      </c>
      <c r="E806" s="9" t="str">
        <f aca="false">IF(AND('Formation Ledger'!A785&lt;&gt;"",'Formation Ledger'!V785=0),"PASS","FAIL")</f>
        <v>PASS</v>
      </c>
      <c r="F806" s="9" t="s">
        <v>76</v>
      </c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customFormat="false" ht="15" hidden="false" customHeight="false" outlineLevel="0" collapsed="false">
      <c r="A807" s="9" t="s">
        <v>6650</v>
      </c>
      <c r="B807" s="9" t="s">
        <v>5870</v>
      </c>
      <c r="C807" s="9" t="s">
        <v>1005</v>
      </c>
      <c r="D807" s="9" t="s">
        <v>5871</v>
      </c>
      <c r="E807" s="9" t="str">
        <f aca="false">IF(AND('Formation Ledger'!A786&lt;&gt;"",'Formation Ledger'!V786=0),"PASS","FAIL")</f>
        <v>PASS</v>
      </c>
      <c r="F807" s="9" t="s">
        <v>76</v>
      </c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customFormat="false" ht="15" hidden="false" customHeight="false" outlineLevel="0" collapsed="false">
      <c r="A808" s="9" t="s">
        <v>6651</v>
      </c>
      <c r="B808" s="9" t="s">
        <v>5870</v>
      </c>
      <c r="C808" s="9" t="s">
        <v>1006</v>
      </c>
      <c r="D808" s="9" t="s">
        <v>5871</v>
      </c>
      <c r="E808" s="9" t="str">
        <f aca="false">IF(AND('Formation Ledger'!A787&lt;&gt;"",'Formation Ledger'!V787=0),"PASS","FAIL")</f>
        <v>PASS</v>
      </c>
      <c r="F808" s="9" t="s">
        <v>76</v>
      </c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customFormat="false" ht="15" hidden="false" customHeight="false" outlineLevel="0" collapsed="false">
      <c r="A809" s="9" t="s">
        <v>6652</v>
      </c>
      <c r="B809" s="9" t="s">
        <v>5870</v>
      </c>
      <c r="C809" s="9" t="s">
        <v>1007</v>
      </c>
      <c r="D809" s="9" t="s">
        <v>5871</v>
      </c>
      <c r="E809" s="9" t="str">
        <f aca="false">IF(AND('Formation Ledger'!A788&lt;&gt;"",'Formation Ledger'!V788=0),"PASS","FAIL")</f>
        <v>PASS</v>
      </c>
      <c r="F809" s="9" t="s">
        <v>76</v>
      </c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customFormat="false" ht="15" hidden="false" customHeight="false" outlineLevel="0" collapsed="false">
      <c r="A810" s="9" t="s">
        <v>6653</v>
      </c>
      <c r="B810" s="9" t="s">
        <v>5870</v>
      </c>
      <c r="C810" s="9" t="s">
        <v>1008</v>
      </c>
      <c r="D810" s="9" t="s">
        <v>5871</v>
      </c>
      <c r="E810" s="9" t="str">
        <f aca="false">IF(AND('Formation Ledger'!A789&lt;&gt;"",'Formation Ledger'!V789=0),"PASS","FAIL")</f>
        <v>PASS</v>
      </c>
      <c r="F810" s="9" t="s">
        <v>76</v>
      </c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customFormat="false" ht="15" hidden="false" customHeight="false" outlineLevel="0" collapsed="false">
      <c r="A811" s="9" t="s">
        <v>6654</v>
      </c>
      <c r="B811" s="9" t="s">
        <v>5870</v>
      </c>
      <c r="C811" s="9" t="s">
        <v>1009</v>
      </c>
      <c r="D811" s="9" t="s">
        <v>5871</v>
      </c>
      <c r="E811" s="9" t="str">
        <f aca="false">IF(AND('Formation Ledger'!A790&lt;&gt;"",'Formation Ledger'!V790=0),"PASS","FAIL")</f>
        <v>PASS</v>
      </c>
      <c r="F811" s="9" t="s">
        <v>76</v>
      </c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customFormat="false" ht="15" hidden="false" customHeight="false" outlineLevel="0" collapsed="false">
      <c r="A812" s="9" t="s">
        <v>6655</v>
      </c>
      <c r="B812" s="9" t="s">
        <v>5870</v>
      </c>
      <c r="C812" s="9" t="s">
        <v>1010</v>
      </c>
      <c r="D812" s="9" t="s">
        <v>5871</v>
      </c>
      <c r="E812" s="9" t="str">
        <f aca="false">IF(AND('Formation Ledger'!A791&lt;&gt;"",'Formation Ledger'!V791=0),"PASS","FAIL")</f>
        <v>PASS</v>
      </c>
      <c r="F812" s="9" t="s">
        <v>76</v>
      </c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customFormat="false" ht="15" hidden="false" customHeight="false" outlineLevel="0" collapsed="false">
      <c r="A813" s="9" t="s">
        <v>6656</v>
      </c>
      <c r="B813" s="9" t="s">
        <v>5870</v>
      </c>
      <c r="C813" s="9" t="s">
        <v>1011</v>
      </c>
      <c r="D813" s="9" t="s">
        <v>5871</v>
      </c>
      <c r="E813" s="9" t="str">
        <f aca="false">IF(AND('Formation Ledger'!A792&lt;&gt;"",'Formation Ledger'!V792=0),"PASS","FAIL")</f>
        <v>PASS</v>
      </c>
      <c r="F813" s="9" t="s">
        <v>76</v>
      </c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customFormat="false" ht="15" hidden="false" customHeight="false" outlineLevel="0" collapsed="false">
      <c r="A814" s="9" t="s">
        <v>6657</v>
      </c>
      <c r="B814" s="9" t="s">
        <v>5870</v>
      </c>
      <c r="C814" s="9" t="s">
        <v>1012</v>
      </c>
      <c r="D814" s="9" t="s">
        <v>5871</v>
      </c>
      <c r="E814" s="9" t="str">
        <f aca="false">IF(AND('Formation Ledger'!A793&lt;&gt;"",'Formation Ledger'!V793=0),"PASS","FAIL")</f>
        <v>PASS</v>
      </c>
      <c r="F814" s="9" t="s">
        <v>76</v>
      </c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customFormat="false" ht="15" hidden="false" customHeight="false" outlineLevel="0" collapsed="false">
      <c r="A815" s="9" t="s">
        <v>6658</v>
      </c>
      <c r="B815" s="9" t="s">
        <v>5870</v>
      </c>
      <c r="C815" s="9" t="s">
        <v>1013</v>
      </c>
      <c r="D815" s="9" t="s">
        <v>5871</v>
      </c>
      <c r="E815" s="9" t="str">
        <f aca="false">IF(AND('Formation Ledger'!A794&lt;&gt;"",'Formation Ledger'!V794=0),"PASS","FAIL")</f>
        <v>PASS</v>
      </c>
      <c r="F815" s="9" t="s">
        <v>76</v>
      </c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customFormat="false" ht="15" hidden="false" customHeight="false" outlineLevel="0" collapsed="false">
      <c r="A816" s="9" t="s">
        <v>6659</v>
      </c>
      <c r="B816" s="9" t="s">
        <v>5870</v>
      </c>
      <c r="C816" s="9" t="s">
        <v>1014</v>
      </c>
      <c r="D816" s="9" t="s">
        <v>5871</v>
      </c>
      <c r="E816" s="9" t="str">
        <f aca="false">IF(AND('Formation Ledger'!A795&lt;&gt;"",'Formation Ledger'!V795=0),"PASS","FAIL")</f>
        <v>PASS</v>
      </c>
      <c r="F816" s="9" t="s">
        <v>76</v>
      </c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customFormat="false" ht="15" hidden="false" customHeight="false" outlineLevel="0" collapsed="false">
      <c r="A817" s="9" t="s">
        <v>6660</v>
      </c>
      <c r="B817" s="9" t="s">
        <v>5870</v>
      </c>
      <c r="C817" s="9" t="s">
        <v>1015</v>
      </c>
      <c r="D817" s="9" t="s">
        <v>5871</v>
      </c>
      <c r="E817" s="9" t="str">
        <f aca="false">IF(AND('Formation Ledger'!A796&lt;&gt;"",'Formation Ledger'!V796=0),"PASS","FAIL")</f>
        <v>PASS</v>
      </c>
      <c r="F817" s="9" t="s">
        <v>76</v>
      </c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customFormat="false" ht="15" hidden="false" customHeight="false" outlineLevel="0" collapsed="false">
      <c r="A818" s="9" t="s">
        <v>6661</v>
      </c>
      <c r="B818" s="9" t="s">
        <v>5870</v>
      </c>
      <c r="C818" s="9" t="s">
        <v>1016</v>
      </c>
      <c r="D818" s="9" t="s">
        <v>5871</v>
      </c>
      <c r="E818" s="9" t="str">
        <f aca="false">IF(AND('Formation Ledger'!A797&lt;&gt;"",'Formation Ledger'!V797=0),"PASS","FAIL")</f>
        <v>PASS</v>
      </c>
      <c r="F818" s="9" t="s">
        <v>76</v>
      </c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customFormat="false" ht="15" hidden="false" customHeight="false" outlineLevel="0" collapsed="false">
      <c r="A819" s="9" t="s">
        <v>6662</v>
      </c>
      <c r="B819" s="9" t="s">
        <v>5870</v>
      </c>
      <c r="C819" s="9" t="s">
        <v>1017</v>
      </c>
      <c r="D819" s="9" t="s">
        <v>5871</v>
      </c>
      <c r="E819" s="9" t="str">
        <f aca="false">IF(AND('Formation Ledger'!A798&lt;&gt;"",'Formation Ledger'!V798=0),"PASS","FAIL")</f>
        <v>PASS</v>
      </c>
      <c r="F819" s="9" t="s">
        <v>76</v>
      </c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customFormat="false" ht="15" hidden="false" customHeight="false" outlineLevel="0" collapsed="false">
      <c r="A820" s="9" t="s">
        <v>6663</v>
      </c>
      <c r="B820" s="9" t="s">
        <v>5870</v>
      </c>
      <c r="C820" s="9" t="s">
        <v>1018</v>
      </c>
      <c r="D820" s="9" t="s">
        <v>5871</v>
      </c>
      <c r="E820" s="9" t="str">
        <f aca="false">IF(AND('Formation Ledger'!A799&lt;&gt;"",'Formation Ledger'!V799=0),"PASS","FAIL")</f>
        <v>PASS</v>
      </c>
      <c r="F820" s="9" t="s">
        <v>76</v>
      </c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customFormat="false" ht="15" hidden="false" customHeight="false" outlineLevel="0" collapsed="false">
      <c r="A821" s="9" t="s">
        <v>6664</v>
      </c>
      <c r="B821" s="9" t="s">
        <v>5870</v>
      </c>
      <c r="C821" s="9" t="s">
        <v>1019</v>
      </c>
      <c r="D821" s="9" t="s">
        <v>5871</v>
      </c>
      <c r="E821" s="9" t="str">
        <f aca="false">IF(AND('Formation Ledger'!A800&lt;&gt;"",'Formation Ledger'!V800=0),"PASS","FAIL")</f>
        <v>PASS</v>
      </c>
      <c r="F821" s="9" t="s">
        <v>76</v>
      </c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customFormat="false" ht="15" hidden="false" customHeight="false" outlineLevel="0" collapsed="false">
      <c r="A822" s="9" t="s">
        <v>6665</v>
      </c>
      <c r="B822" s="9" t="s">
        <v>5870</v>
      </c>
      <c r="C822" s="9" t="s">
        <v>1020</v>
      </c>
      <c r="D822" s="9" t="s">
        <v>5871</v>
      </c>
      <c r="E822" s="9" t="str">
        <f aca="false">IF(AND('Formation Ledger'!A801&lt;&gt;"",'Formation Ledger'!V801=0),"PASS","FAIL")</f>
        <v>PASS</v>
      </c>
      <c r="F822" s="9" t="s">
        <v>76</v>
      </c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customFormat="false" ht="15" hidden="false" customHeight="false" outlineLevel="0" collapsed="false">
      <c r="A823" s="9" t="s">
        <v>6666</v>
      </c>
      <c r="B823" s="9" t="s">
        <v>5870</v>
      </c>
      <c r="C823" s="9" t="s">
        <v>1021</v>
      </c>
      <c r="D823" s="9" t="s">
        <v>5871</v>
      </c>
      <c r="E823" s="9" t="str">
        <f aca="false">IF(AND('Formation Ledger'!A802&lt;&gt;"",'Formation Ledger'!V802=0),"PASS","FAIL")</f>
        <v>PASS</v>
      </c>
      <c r="F823" s="9" t="s">
        <v>76</v>
      </c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customFormat="false" ht="15" hidden="false" customHeight="false" outlineLevel="0" collapsed="false">
      <c r="A824" s="9" t="s">
        <v>6667</v>
      </c>
      <c r="B824" s="9" t="s">
        <v>5870</v>
      </c>
      <c r="C824" s="9" t="s">
        <v>1022</v>
      </c>
      <c r="D824" s="9" t="s">
        <v>5871</v>
      </c>
      <c r="E824" s="9" t="str">
        <f aca="false">IF(AND('Formation Ledger'!A803&lt;&gt;"",'Formation Ledger'!V803=0),"PASS","FAIL")</f>
        <v>PASS</v>
      </c>
      <c r="F824" s="9" t="s">
        <v>76</v>
      </c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customFormat="false" ht="15" hidden="false" customHeight="false" outlineLevel="0" collapsed="false">
      <c r="A825" s="9" t="s">
        <v>6668</v>
      </c>
      <c r="B825" s="9" t="s">
        <v>5870</v>
      </c>
      <c r="C825" s="9" t="s">
        <v>1023</v>
      </c>
      <c r="D825" s="9" t="s">
        <v>5871</v>
      </c>
      <c r="E825" s="9" t="str">
        <f aca="false">IF(AND('Formation Ledger'!A804&lt;&gt;"",'Formation Ledger'!V804=0),"PASS","FAIL")</f>
        <v>PASS</v>
      </c>
      <c r="F825" s="9" t="s">
        <v>76</v>
      </c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customFormat="false" ht="15" hidden="false" customHeight="false" outlineLevel="0" collapsed="false">
      <c r="A826" s="9" t="s">
        <v>6669</v>
      </c>
      <c r="B826" s="9" t="s">
        <v>5870</v>
      </c>
      <c r="C826" s="9" t="s">
        <v>1026</v>
      </c>
      <c r="D826" s="9" t="s">
        <v>5871</v>
      </c>
      <c r="E826" s="9" t="str">
        <f aca="false">IF(AND('Formation Ledger'!A805&lt;&gt;"",'Formation Ledger'!V805=0),"PASS","FAIL")</f>
        <v>PASS</v>
      </c>
      <c r="F826" s="9" t="s">
        <v>76</v>
      </c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customFormat="false" ht="15" hidden="false" customHeight="false" outlineLevel="0" collapsed="false">
      <c r="A827" s="9" t="s">
        <v>6670</v>
      </c>
      <c r="B827" s="9" t="s">
        <v>5870</v>
      </c>
      <c r="C827" s="9" t="s">
        <v>1027</v>
      </c>
      <c r="D827" s="9" t="s">
        <v>5871</v>
      </c>
      <c r="E827" s="9" t="str">
        <f aca="false">IF(AND('Formation Ledger'!A806&lt;&gt;"",'Formation Ledger'!V806=0),"PASS","FAIL")</f>
        <v>PASS</v>
      </c>
      <c r="F827" s="9" t="s">
        <v>76</v>
      </c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customFormat="false" ht="15" hidden="false" customHeight="false" outlineLevel="0" collapsed="false">
      <c r="A828" s="9" t="s">
        <v>6671</v>
      </c>
      <c r="B828" s="9" t="s">
        <v>5870</v>
      </c>
      <c r="C828" s="9" t="s">
        <v>1028</v>
      </c>
      <c r="D828" s="9" t="s">
        <v>5871</v>
      </c>
      <c r="E828" s="9" t="str">
        <f aca="false">IF(AND('Formation Ledger'!A807&lt;&gt;"",'Formation Ledger'!V807=0),"PASS","FAIL")</f>
        <v>PASS</v>
      </c>
      <c r="F828" s="9" t="s">
        <v>76</v>
      </c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customFormat="false" ht="15" hidden="false" customHeight="false" outlineLevel="0" collapsed="false">
      <c r="A829" s="9" t="s">
        <v>6672</v>
      </c>
      <c r="B829" s="9" t="s">
        <v>5870</v>
      </c>
      <c r="C829" s="9" t="s">
        <v>1029</v>
      </c>
      <c r="D829" s="9" t="s">
        <v>5871</v>
      </c>
      <c r="E829" s="9" t="str">
        <f aca="false">IF(AND('Formation Ledger'!A808&lt;&gt;"",'Formation Ledger'!V808=0),"PASS","FAIL")</f>
        <v>PASS</v>
      </c>
      <c r="F829" s="9" t="s">
        <v>76</v>
      </c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customFormat="false" ht="15" hidden="false" customHeight="false" outlineLevel="0" collapsed="false">
      <c r="A830" s="9" t="s">
        <v>6673</v>
      </c>
      <c r="B830" s="9" t="s">
        <v>5870</v>
      </c>
      <c r="C830" s="9" t="s">
        <v>1030</v>
      </c>
      <c r="D830" s="9" t="s">
        <v>5871</v>
      </c>
      <c r="E830" s="9" t="str">
        <f aca="false">IF(AND('Formation Ledger'!A809&lt;&gt;"",'Formation Ledger'!V809=0),"PASS","FAIL")</f>
        <v>PASS</v>
      </c>
      <c r="F830" s="9" t="s">
        <v>76</v>
      </c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customFormat="false" ht="15" hidden="false" customHeight="false" outlineLevel="0" collapsed="false">
      <c r="A831" s="9" t="s">
        <v>6674</v>
      </c>
      <c r="B831" s="9" t="s">
        <v>5870</v>
      </c>
      <c r="C831" s="9" t="s">
        <v>1031</v>
      </c>
      <c r="D831" s="9" t="s">
        <v>5871</v>
      </c>
      <c r="E831" s="9" t="str">
        <f aca="false">IF(AND('Formation Ledger'!A810&lt;&gt;"",'Formation Ledger'!V810=0),"PASS","FAIL")</f>
        <v>PASS</v>
      </c>
      <c r="F831" s="9" t="s">
        <v>76</v>
      </c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customFormat="false" ht="15" hidden="false" customHeight="false" outlineLevel="0" collapsed="false">
      <c r="A832" s="9" t="s">
        <v>6675</v>
      </c>
      <c r="B832" s="9" t="s">
        <v>5870</v>
      </c>
      <c r="C832" s="9" t="s">
        <v>1032</v>
      </c>
      <c r="D832" s="9" t="s">
        <v>5871</v>
      </c>
      <c r="E832" s="9" t="str">
        <f aca="false">IF(AND('Formation Ledger'!A811&lt;&gt;"",'Formation Ledger'!V811=0),"PASS","FAIL")</f>
        <v>PASS</v>
      </c>
      <c r="F832" s="9" t="s">
        <v>76</v>
      </c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customFormat="false" ht="15" hidden="false" customHeight="false" outlineLevel="0" collapsed="false">
      <c r="A833" s="9" t="s">
        <v>6676</v>
      </c>
      <c r="B833" s="9" t="s">
        <v>5870</v>
      </c>
      <c r="C833" s="9" t="s">
        <v>1033</v>
      </c>
      <c r="D833" s="9" t="s">
        <v>5871</v>
      </c>
      <c r="E833" s="9" t="str">
        <f aca="false">IF(AND('Formation Ledger'!A812&lt;&gt;"",'Formation Ledger'!V812=0),"PASS","FAIL")</f>
        <v>PASS</v>
      </c>
      <c r="F833" s="9" t="s">
        <v>76</v>
      </c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customFormat="false" ht="15" hidden="false" customHeight="false" outlineLevel="0" collapsed="false">
      <c r="A834" s="9" t="s">
        <v>6677</v>
      </c>
      <c r="B834" s="9" t="s">
        <v>5870</v>
      </c>
      <c r="C834" s="9" t="s">
        <v>1034</v>
      </c>
      <c r="D834" s="9" t="s">
        <v>5871</v>
      </c>
      <c r="E834" s="9" t="str">
        <f aca="false">IF(AND('Formation Ledger'!A813&lt;&gt;"",'Formation Ledger'!V813=0),"PASS","FAIL")</f>
        <v>PASS</v>
      </c>
      <c r="F834" s="9" t="s">
        <v>76</v>
      </c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customFormat="false" ht="15" hidden="false" customHeight="false" outlineLevel="0" collapsed="false">
      <c r="A835" s="9" t="s">
        <v>6678</v>
      </c>
      <c r="B835" s="9" t="s">
        <v>5870</v>
      </c>
      <c r="C835" s="9" t="s">
        <v>1035</v>
      </c>
      <c r="D835" s="9" t="s">
        <v>5871</v>
      </c>
      <c r="E835" s="9" t="str">
        <f aca="false">IF(AND('Formation Ledger'!A814&lt;&gt;"",'Formation Ledger'!V814=0),"PASS","FAIL")</f>
        <v>PASS</v>
      </c>
      <c r="F835" s="9" t="s">
        <v>76</v>
      </c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customFormat="false" ht="15" hidden="false" customHeight="false" outlineLevel="0" collapsed="false">
      <c r="A836" s="9" t="s">
        <v>6679</v>
      </c>
      <c r="B836" s="9" t="s">
        <v>5870</v>
      </c>
      <c r="C836" s="9" t="s">
        <v>1036</v>
      </c>
      <c r="D836" s="9" t="s">
        <v>5871</v>
      </c>
      <c r="E836" s="9" t="str">
        <f aca="false">IF(AND('Formation Ledger'!A815&lt;&gt;"",'Formation Ledger'!V815=0),"PASS","FAIL")</f>
        <v>PASS</v>
      </c>
      <c r="F836" s="9" t="s">
        <v>76</v>
      </c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customFormat="false" ht="15" hidden="false" customHeight="false" outlineLevel="0" collapsed="false">
      <c r="A837" s="9" t="s">
        <v>6680</v>
      </c>
      <c r="B837" s="9" t="s">
        <v>5870</v>
      </c>
      <c r="C837" s="9" t="s">
        <v>1037</v>
      </c>
      <c r="D837" s="9" t="s">
        <v>5871</v>
      </c>
      <c r="E837" s="9" t="str">
        <f aca="false">IF(AND('Formation Ledger'!A816&lt;&gt;"",'Formation Ledger'!V816=0),"PASS","FAIL")</f>
        <v>PASS</v>
      </c>
      <c r="F837" s="9" t="s">
        <v>76</v>
      </c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customFormat="false" ht="15" hidden="false" customHeight="false" outlineLevel="0" collapsed="false">
      <c r="A838" s="9" t="s">
        <v>6681</v>
      </c>
      <c r="B838" s="9" t="s">
        <v>5870</v>
      </c>
      <c r="C838" s="9" t="s">
        <v>1038</v>
      </c>
      <c r="D838" s="9" t="s">
        <v>5871</v>
      </c>
      <c r="E838" s="9" t="str">
        <f aca="false">IF(AND('Formation Ledger'!A817&lt;&gt;"",'Formation Ledger'!V817=0),"PASS","FAIL")</f>
        <v>PASS</v>
      </c>
      <c r="F838" s="9" t="s">
        <v>76</v>
      </c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customFormat="false" ht="15" hidden="false" customHeight="false" outlineLevel="0" collapsed="false">
      <c r="A839" s="9" t="s">
        <v>6682</v>
      </c>
      <c r="B839" s="9" t="s">
        <v>5870</v>
      </c>
      <c r="C839" s="9" t="s">
        <v>1039</v>
      </c>
      <c r="D839" s="9" t="s">
        <v>5871</v>
      </c>
      <c r="E839" s="9" t="str">
        <f aca="false">IF(AND('Formation Ledger'!A818&lt;&gt;"",'Formation Ledger'!V818=0),"PASS","FAIL")</f>
        <v>PASS</v>
      </c>
      <c r="F839" s="9" t="s">
        <v>76</v>
      </c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customFormat="false" ht="15" hidden="false" customHeight="false" outlineLevel="0" collapsed="false">
      <c r="A840" s="9" t="s">
        <v>6683</v>
      </c>
      <c r="B840" s="9" t="s">
        <v>5870</v>
      </c>
      <c r="C840" s="9" t="s">
        <v>1040</v>
      </c>
      <c r="D840" s="9" t="s">
        <v>5871</v>
      </c>
      <c r="E840" s="9" t="str">
        <f aca="false">IF(AND('Formation Ledger'!A819&lt;&gt;"",'Formation Ledger'!V819=0),"PASS","FAIL")</f>
        <v>PASS</v>
      </c>
      <c r="F840" s="9" t="s">
        <v>76</v>
      </c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customFormat="false" ht="15" hidden="false" customHeight="false" outlineLevel="0" collapsed="false">
      <c r="A841" s="9" t="s">
        <v>6684</v>
      </c>
      <c r="B841" s="9" t="s">
        <v>5870</v>
      </c>
      <c r="C841" s="9" t="s">
        <v>1041</v>
      </c>
      <c r="D841" s="9" t="s">
        <v>5871</v>
      </c>
      <c r="E841" s="9" t="str">
        <f aca="false">IF(AND('Formation Ledger'!A820&lt;&gt;"",'Formation Ledger'!V820=0),"PASS","FAIL")</f>
        <v>PASS</v>
      </c>
      <c r="F841" s="9" t="s">
        <v>76</v>
      </c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customFormat="false" ht="15" hidden="false" customHeight="false" outlineLevel="0" collapsed="false">
      <c r="A842" s="9" t="s">
        <v>6685</v>
      </c>
      <c r="B842" s="9" t="s">
        <v>5870</v>
      </c>
      <c r="C842" s="9" t="s">
        <v>1042</v>
      </c>
      <c r="D842" s="9" t="s">
        <v>5871</v>
      </c>
      <c r="E842" s="9" t="str">
        <f aca="false">IF(AND('Formation Ledger'!A821&lt;&gt;"",'Formation Ledger'!V821=0),"PASS","FAIL")</f>
        <v>PASS</v>
      </c>
      <c r="F842" s="9" t="s">
        <v>76</v>
      </c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customFormat="false" ht="15" hidden="false" customHeight="false" outlineLevel="0" collapsed="false">
      <c r="A843" s="9" t="s">
        <v>6686</v>
      </c>
      <c r="B843" s="9" t="s">
        <v>5870</v>
      </c>
      <c r="C843" s="9" t="s">
        <v>1043</v>
      </c>
      <c r="D843" s="9" t="s">
        <v>5871</v>
      </c>
      <c r="E843" s="9" t="str">
        <f aca="false">IF(AND('Formation Ledger'!A822&lt;&gt;"",'Formation Ledger'!V822=0),"PASS","FAIL")</f>
        <v>PASS</v>
      </c>
      <c r="F843" s="9" t="s">
        <v>76</v>
      </c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customFormat="false" ht="15" hidden="false" customHeight="false" outlineLevel="0" collapsed="false">
      <c r="A844" s="9" t="s">
        <v>6687</v>
      </c>
      <c r="B844" s="9" t="s">
        <v>5870</v>
      </c>
      <c r="C844" s="9" t="s">
        <v>1044</v>
      </c>
      <c r="D844" s="9" t="s">
        <v>5871</v>
      </c>
      <c r="E844" s="9" t="str">
        <f aca="false">IF(AND('Formation Ledger'!A823&lt;&gt;"",'Formation Ledger'!V823=0),"PASS","FAIL")</f>
        <v>PASS</v>
      </c>
      <c r="F844" s="9" t="s">
        <v>76</v>
      </c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customFormat="false" ht="15" hidden="false" customHeight="false" outlineLevel="0" collapsed="false">
      <c r="A845" s="9" t="s">
        <v>6688</v>
      </c>
      <c r="B845" s="9" t="s">
        <v>5870</v>
      </c>
      <c r="C845" s="9" t="s">
        <v>1045</v>
      </c>
      <c r="D845" s="9" t="s">
        <v>5871</v>
      </c>
      <c r="E845" s="9" t="str">
        <f aca="false">IF(AND('Formation Ledger'!A824&lt;&gt;"",'Formation Ledger'!V824=0),"PASS","FAIL")</f>
        <v>PASS</v>
      </c>
      <c r="F845" s="9" t="s">
        <v>76</v>
      </c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customFormat="false" ht="15" hidden="false" customHeight="false" outlineLevel="0" collapsed="false">
      <c r="A846" s="9" t="s">
        <v>6689</v>
      </c>
      <c r="B846" s="9" t="s">
        <v>5870</v>
      </c>
      <c r="C846" s="9" t="s">
        <v>1046</v>
      </c>
      <c r="D846" s="9" t="s">
        <v>5871</v>
      </c>
      <c r="E846" s="9" t="str">
        <f aca="false">IF(AND('Formation Ledger'!A825&lt;&gt;"",'Formation Ledger'!V825=0),"PASS","FAIL")</f>
        <v>PASS</v>
      </c>
      <c r="F846" s="9" t="s">
        <v>76</v>
      </c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customFormat="false" ht="15" hidden="false" customHeight="false" outlineLevel="0" collapsed="false">
      <c r="A847" s="9" t="s">
        <v>6690</v>
      </c>
      <c r="B847" s="9" t="s">
        <v>5870</v>
      </c>
      <c r="C847" s="9" t="s">
        <v>1047</v>
      </c>
      <c r="D847" s="9" t="s">
        <v>5871</v>
      </c>
      <c r="E847" s="9" t="str">
        <f aca="false">IF(AND('Formation Ledger'!A826&lt;&gt;"",'Formation Ledger'!V826=0),"PASS","FAIL")</f>
        <v>PASS</v>
      </c>
      <c r="F847" s="9" t="s">
        <v>76</v>
      </c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customFormat="false" ht="15" hidden="false" customHeight="false" outlineLevel="0" collapsed="false">
      <c r="A848" s="9" t="s">
        <v>6691</v>
      </c>
      <c r="B848" s="9" t="s">
        <v>5870</v>
      </c>
      <c r="C848" s="9" t="s">
        <v>1048</v>
      </c>
      <c r="D848" s="9" t="s">
        <v>5871</v>
      </c>
      <c r="E848" s="9" t="str">
        <f aca="false">IF(AND('Formation Ledger'!A827&lt;&gt;"",'Formation Ledger'!V827=0),"PASS","FAIL")</f>
        <v>PASS</v>
      </c>
      <c r="F848" s="9" t="s">
        <v>76</v>
      </c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customFormat="false" ht="15" hidden="false" customHeight="false" outlineLevel="0" collapsed="false">
      <c r="A849" s="9" t="s">
        <v>6692</v>
      </c>
      <c r="B849" s="9" t="s">
        <v>5870</v>
      </c>
      <c r="C849" s="9" t="s">
        <v>1049</v>
      </c>
      <c r="D849" s="9" t="s">
        <v>5871</v>
      </c>
      <c r="E849" s="9" t="str">
        <f aca="false">IF(AND('Formation Ledger'!A828&lt;&gt;"",'Formation Ledger'!V828=0),"PASS","FAIL")</f>
        <v>PASS</v>
      </c>
      <c r="F849" s="9" t="s">
        <v>76</v>
      </c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customFormat="false" ht="15" hidden="false" customHeight="false" outlineLevel="0" collapsed="false">
      <c r="A850" s="9" t="s">
        <v>6693</v>
      </c>
      <c r="B850" s="9" t="s">
        <v>5870</v>
      </c>
      <c r="C850" s="9" t="s">
        <v>1050</v>
      </c>
      <c r="D850" s="9" t="s">
        <v>5871</v>
      </c>
      <c r="E850" s="9" t="str">
        <f aca="false">IF(AND('Formation Ledger'!A829&lt;&gt;"",'Formation Ledger'!V829=0),"PASS","FAIL")</f>
        <v>PASS</v>
      </c>
      <c r="F850" s="9" t="s">
        <v>76</v>
      </c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customFormat="false" ht="15" hidden="false" customHeight="false" outlineLevel="0" collapsed="false">
      <c r="A851" s="9" t="s">
        <v>6694</v>
      </c>
      <c r="B851" s="9" t="s">
        <v>5870</v>
      </c>
      <c r="C851" s="9" t="s">
        <v>1051</v>
      </c>
      <c r="D851" s="9" t="s">
        <v>5871</v>
      </c>
      <c r="E851" s="9" t="str">
        <f aca="false">IF(AND('Formation Ledger'!A830&lt;&gt;"",'Formation Ledger'!V830=0),"PASS","FAIL")</f>
        <v>PASS</v>
      </c>
      <c r="F851" s="9" t="s">
        <v>76</v>
      </c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customFormat="false" ht="15" hidden="false" customHeight="false" outlineLevel="0" collapsed="false">
      <c r="A852" s="9" t="s">
        <v>6695</v>
      </c>
      <c r="B852" s="9" t="s">
        <v>5870</v>
      </c>
      <c r="C852" s="9" t="s">
        <v>1052</v>
      </c>
      <c r="D852" s="9" t="s">
        <v>5871</v>
      </c>
      <c r="E852" s="9" t="str">
        <f aca="false">IF(AND('Formation Ledger'!A831&lt;&gt;"",'Formation Ledger'!V831=0),"PASS","FAIL")</f>
        <v>PASS</v>
      </c>
      <c r="F852" s="9" t="s">
        <v>76</v>
      </c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customFormat="false" ht="15" hidden="false" customHeight="false" outlineLevel="0" collapsed="false">
      <c r="A853" s="9" t="s">
        <v>6696</v>
      </c>
      <c r="B853" s="9" t="s">
        <v>5870</v>
      </c>
      <c r="C853" s="9" t="s">
        <v>1053</v>
      </c>
      <c r="D853" s="9" t="s">
        <v>5871</v>
      </c>
      <c r="E853" s="9" t="str">
        <f aca="false">IF(AND('Formation Ledger'!A832&lt;&gt;"",'Formation Ledger'!V832=0),"PASS","FAIL")</f>
        <v>PASS</v>
      </c>
      <c r="F853" s="9" t="s">
        <v>76</v>
      </c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customFormat="false" ht="15" hidden="false" customHeight="false" outlineLevel="0" collapsed="false">
      <c r="A854" s="9" t="s">
        <v>6697</v>
      </c>
      <c r="B854" s="9" t="s">
        <v>5870</v>
      </c>
      <c r="C854" s="9" t="s">
        <v>1054</v>
      </c>
      <c r="D854" s="9" t="s">
        <v>5871</v>
      </c>
      <c r="E854" s="9" t="str">
        <f aca="false">IF(AND('Formation Ledger'!A833&lt;&gt;"",'Formation Ledger'!V833=0),"PASS","FAIL")</f>
        <v>PASS</v>
      </c>
      <c r="F854" s="9" t="s">
        <v>76</v>
      </c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customFormat="false" ht="15" hidden="false" customHeight="false" outlineLevel="0" collapsed="false">
      <c r="A855" s="9" t="s">
        <v>6698</v>
      </c>
      <c r="B855" s="9" t="s">
        <v>5870</v>
      </c>
      <c r="C855" s="9" t="s">
        <v>1055</v>
      </c>
      <c r="D855" s="9" t="s">
        <v>5871</v>
      </c>
      <c r="E855" s="9" t="str">
        <f aca="false">IF(AND('Formation Ledger'!A834&lt;&gt;"",'Formation Ledger'!V834=0),"PASS","FAIL")</f>
        <v>PASS</v>
      </c>
      <c r="F855" s="9" t="s">
        <v>76</v>
      </c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customFormat="false" ht="15" hidden="false" customHeight="false" outlineLevel="0" collapsed="false">
      <c r="A856" s="9" t="s">
        <v>6699</v>
      </c>
      <c r="B856" s="9" t="s">
        <v>5870</v>
      </c>
      <c r="C856" s="9" t="s">
        <v>1056</v>
      </c>
      <c r="D856" s="9" t="s">
        <v>5871</v>
      </c>
      <c r="E856" s="9" t="str">
        <f aca="false">IF(AND('Formation Ledger'!A835&lt;&gt;"",'Formation Ledger'!V835=0),"PASS","FAIL")</f>
        <v>PASS</v>
      </c>
      <c r="F856" s="9" t="s">
        <v>76</v>
      </c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customFormat="false" ht="15" hidden="false" customHeight="false" outlineLevel="0" collapsed="false">
      <c r="A857" s="9" t="s">
        <v>6700</v>
      </c>
      <c r="B857" s="9" t="s">
        <v>5870</v>
      </c>
      <c r="C857" s="9" t="s">
        <v>1057</v>
      </c>
      <c r="D857" s="9" t="s">
        <v>5871</v>
      </c>
      <c r="E857" s="9" t="str">
        <f aca="false">IF(AND('Formation Ledger'!A836&lt;&gt;"",'Formation Ledger'!V836=0),"PASS","FAIL")</f>
        <v>PASS</v>
      </c>
      <c r="F857" s="9" t="s">
        <v>76</v>
      </c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customFormat="false" ht="15" hidden="false" customHeight="false" outlineLevel="0" collapsed="false">
      <c r="A858" s="9" t="s">
        <v>6701</v>
      </c>
      <c r="B858" s="9" t="s">
        <v>5870</v>
      </c>
      <c r="C858" s="9" t="s">
        <v>1058</v>
      </c>
      <c r="D858" s="9" t="s">
        <v>5871</v>
      </c>
      <c r="E858" s="9" t="str">
        <f aca="false">IF(AND('Formation Ledger'!A837&lt;&gt;"",'Formation Ledger'!V837=0),"PASS","FAIL")</f>
        <v>PASS</v>
      </c>
      <c r="F858" s="9" t="s">
        <v>76</v>
      </c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customFormat="false" ht="15" hidden="false" customHeight="false" outlineLevel="0" collapsed="false">
      <c r="A859" s="9" t="s">
        <v>6702</v>
      </c>
      <c r="B859" s="9" t="s">
        <v>5870</v>
      </c>
      <c r="C859" s="9" t="s">
        <v>1059</v>
      </c>
      <c r="D859" s="9" t="s">
        <v>5871</v>
      </c>
      <c r="E859" s="9" t="str">
        <f aca="false">IF(AND('Formation Ledger'!A838&lt;&gt;"",'Formation Ledger'!V838=0),"PASS","FAIL")</f>
        <v>PASS</v>
      </c>
      <c r="F859" s="9" t="s">
        <v>76</v>
      </c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customFormat="false" ht="15" hidden="false" customHeight="false" outlineLevel="0" collapsed="false">
      <c r="A860" s="9" t="s">
        <v>6703</v>
      </c>
      <c r="B860" s="9" t="s">
        <v>5870</v>
      </c>
      <c r="C860" s="9" t="s">
        <v>1060</v>
      </c>
      <c r="D860" s="9" t="s">
        <v>5871</v>
      </c>
      <c r="E860" s="9" t="str">
        <f aca="false">IF(AND('Formation Ledger'!A839&lt;&gt;"",'Formation Ledger'!V839=0),"PASS","FAIL")</f>
        <v>PASS</v>
      </c>
      <c r="F860" s="9" t="s">
        <v>76</v>
      </c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customFormat="false" ht="15" hidden="false" customHeight="false" outlineLevel="0" collapsed="false">
      <c r="A861" s="9" t="s">
        <v>6704</v>
      </c>
      <c r="B861" s="9" t="s">
        <v>5870</v>
      </c>
      <c r="C861" s="9" t="s">
        <v>1061</v>
      </c>
      <c r="D861" s="9" t="s">
        <v>5871</v>
      </c>
      <c r="E861" s="9" t="str">
        <f aca="false">IF(AND('Formation Ledger'!A840&lt;&gt;"",'Formation Ledger'!V840=0),"PASS","FAIL")</f>
        <v>PASS</v>
      </c>
      <c r="F861" s="9" t="s">
        <v>76</v>
      </c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customFormat="false" ht="15" hidden="false" customHeight="false" outlineLevel="0" collapsed="false">
      <c r="A862" s="9" t="s">
        <v>6705</v>
      </c>
      <c r="B862" s="9" t="s">
        <v>5870</v>
      </c>
      <c r="C862" s="9" t="s">
        <v>1062</v>
      </c>
      <c r="D862" s="9" t="s">
        <v>5871</v>
      </c>
      <c r="E862" s="9" t="str">
        <f aca="false">IF(AND('Formation Ledger'!A841&lt;&gt;"",'Formation Ledger'!V841=0),"PASS","FAIL")</f>
        <v>PASS</v>
      </c>
      <c r="F862" s="9" t="s">
        <v>76</v>
      </c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customFormat="false" ht="15" hidden="false" customHeight="false" outlineLevel="0" collapsed="false">
      <c r="A863" s="9" t="s">
        <v>6706</v>
      </c>
      <c r="B863" s="9" t="s">
        <v>5870</v>
      </c>
      <c r="C863" s="9" t="s">
        <v>1063</v>
      </c>
      <c r="D863" s="9" t="s">
        <v>5871</v>
      </c>
      <c r="E863" s="9" t="str">
        <f aca="false">IF(AND('Formation Ledger'!A842&lt;&gt;"",'Formation Ledger'!V842=0),"PASS","FAIL")</f>
        <v>PASS</v>
      </c>
      <c r="F863" s="9" t="s">
        <v>76</v>
      </c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customFormat="false" ht="15" hidden="false" customHeight="false" outlineLevel="0" collapsed="false">
      <c r="A864" s="9" t="s">
        <v>6707</v>
      </c>
      <c r="B864" s="9" t="s">
        <v>5870</v>
      </c>
      <c r="C864" s="9" t="s">
        <v>1064</v>
      </c>
      <c r="D864" s="9" t="s">
        <v>5871</v>
      </c>
      <c r="E864" s="9" t="str">
        <f aca="false">IF(AND('Formation Ledger'!A843&lt;&gt;"",'Formation Ledger'!V843=0),"PASS","FAIL")</f>
        <v>PASS</v>
      </c>
      <c r="F864" s="9" t="s">
        <v>76</v>
      </c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customFormat="false" ht="15" hidden="false" customHeight="false" outlineLevel="0" collapsed="false">
      <c r="A865" s="9" t="s">
        <v>6708</v>
      </c>
      <c r="B865" s="9" t="s">
        <v>5870</v>
      </c>
      <c r="C865" s="9" t="s">
        <v>1065</v>
      </c>
      <c r="D865" s="9" t="s">
        <v>5871</v>
      </c>
      <c r="E865" s="9" t="str">
        <f aca="false">IF(AND('Formation Ledger'!A844&lt;&gt;"",'Formation Ledger'!V844=0),"PASS","FAIL")</f>
        <v>PASS</v>
      </c>
      <c r="F865" s="9" t="s">
        <v>76</v>
      </c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customFormat="false" ht="15" hidden="false" customHeight="false" outlineLevel="0" collapsed="false">
      <c r="A866" s="9" t="s">
        <v>6709</v>
      </c>
      <c r="B866" s="9" t="s">
        <v>5870</v>
      </c>
      <c r="C866" s="9" t="s">
        <v>1066</v>
      </c>
      <c r="D866" s="9" t="s">
        <v>5871</v>
      </c>
      <c r="E866" s="9" t="str">
        <f aca="false">IF(AND('Formation Ledger'!A845&lt;&gt;"",'Formation Ledger'!V845=0),"PASS","FAIL")</f>
        <v>PASS</v>
      </c>
      <c r="F866" s="9" t="s">
        <v>76</v>
      </c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customFormat="false" ht="15" hidden="false" customHeight="false" outlineLevel="0" collapsed="false">
      <c r="A867" s="9" t="s">
        <v>6710</v>
      </c>
      <c r="B867" s="9" t="s">
        <v>5870</v>
      </c>
      <c r="C867" s="9" t="s">
        <v>1067</v>
      </c>
      <c r="D867" s="9" t="s">
        <v>5871</v>
      </c>
      <c r="E867" s="9" t="str">
        <f aca="false">IF(AND('Formation Ledger'!A846&lt;&gt;"",'Formation Ledger'!V846=0),"PASS","FAIL")</f>
        <v>PASS</v>
      </c>
      <c r="F867" s="9" t="s">
        <v>76</v>
      </c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customFormat="false" ht="15" hidden="false" customHeight="false" outlineLevel="0" collapsed="false">
      <c r="A868" s="9" t="s">
        <v>6711</v>
      </c>
      <c r="B868" s="9" t="s">
        <v>5870</v>
      </c>
      <c r="C868" s="9" t="s">
        <v>1068</v>
      </c>
      <c r="D868" s="9" t="s">
        <v>5871</v>
      </c>
      <c r="E868" s="9" t="str">
        <f aca="false">IF(AND('Formation Ledger'!A847&lt;&gt;"",'Formation Ledger'!V847=0),"PASS","FAIL")</f>
        <v>PASS</v>
      </c>
      <c r="F868" s="9" t="s">
        <v>76</v>
      </c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customFormat="false" ht="15" hidden="false" customHeight="false" outlineLevel="0" collapsed="false">
      <c r="A869" s="9" t="s">
        <v>6712</v>
      </c>
      <c r="B869" s="9" t="s">
        <v>5870</v>
      </c>
      <c r="C869" s="9" t="s">
        <v>1069</v>
      </c>
      <c r="D869" s="9" t="s">
        <v>5871</v>
      </c>
      <c r="E869" s="9" t="str">
        <f aca="false">IF(AND('Formation Ledger'!A848&lt;&gt;"",'Formation Ledger'!V848=0),"PASS","FAIL")</f>
        <v>PASS</v>
      </c>
      <c r="F869" s="9" t="s">
        <v>76</v>
      </c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customFormat="false" ht="15" hidden="false" customHeight="false" outlineLevel="0" collapsed="false">
      <c r="A870" s="9" t="s">
        <v>6713</v>
      </c>
      <c r="B870" s="9" t="s">
        <v>5870</v>
      </c>
      <c r="C870" s="9" t="s">
        <v>1070</v>
      </c>
      <c r="D870" s="9" t="s">
        <v>5871</v>
      </c>
      <c r="E870" s="9" t="str">
        <f aca="false">IF(AND('Formation Ledger'!A849&lt;&gt;"",'Formation Ledger'!V849=0),"PASS","FAIL")</f>
        <v>PASS</v>
      </c>
      <c r="F870" s="9" t="s">
        <v>76</v>
      </c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customFormat="false" ht="15" hidden="false" customHeight="false" outlineLevel="0" collapsed="false">
      <c r="A871" s="9" t="s">
        <v>6714</v>
      </c>
      <c r="B871" s="9" t="s">
        <v>5870</v>
      </c>
      <c r="C871" s="9" t="s">
        <v>1071</v>
      </c>
      <c r="D871" s="9" t="s">
        <v>5871</v>
      </c>
      <c r="E871" s="9" t="str">
        <f aca="false">IF(AND('Formation Ledger'!A850&lt;&gt;"",'Formation Ledger'!V850=0),"PASS","FAIL")</f>
        <v>PASS</v>
      </c>
      <c r="F871" s="9" t="s">
        <v>76</v>
      </c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customFormat="false" ht="15" hidden="false" customHeight="false" outlineLevel="0" collapsed="false">
      <c r="A872" s="9" t="s">
        <v>6715</v>
      </c>
      <c r="B872" s="9" t="s">
        <v>5870</v>
      </c>
      <c r="C872" s="9" t="s">
        <v>1072</v>
      </c>
      <c r="D872" s="9" t="s">
        <v>5871</v>
      </c>
      <c r="E872" s="9" t="str">
        <f aca="false">IF(AND('Formation Ledger'!A851&lt;&gt;"",'Formation Ledger'!V851=0),"PASS","FAIL")</f>
        <v>PASS</v>
      </c>
      <c r="F872" s="9" t="s">
        <v>76</v>
      </c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customFormat="false" ht="15" hidden="false" customHeight="false" outlineLevel="0" collapsed="false">
      <c r="A873" s="9" t="s">
        <v>6716</v>
      </c>
      <c r="B873" s="9" t="s">
        <v>5870</v>
      </c>
      <c r="C873" s="9" t="s">
        <v>1073</v>
      </c>
      <c r="D873" s="9" t="s">
        <v>5871</v>
      </c>
      <c r="E873" s="9" t="str">
        <f aca="false">IF(AND('Formation Ledger'!A852&lt;&gt;"",'Formation Ledger'!V852=0),"PASS","FAIL")</f>
        <v>PASS</v>
      </c>
      <c r="F873" s="9" t="s">
        <v>76</v>
      </c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customFormat="false" ht="15" hidden="false" customHeight="false" outlineLevel="0" collapsed="false">
      <c r="A874" s="9" t="s">
        <v>6717</v>
      </c>
      <c r="B874" s="9" t="s">
        <v>5870</v>
      </c>
      <c r="C874" s="9" t="s">
        <v>1074</v>
      </c>
      <c r="D874" s="9" t="s">
        <v>5871</v>
      </c>
      <c r="E874" s="9" t="str">
        <f aca="false">IF(AND('Formation Ledger'!A853&lt;&gt;"",'Formation Ledger'!V853=0),"PASS","FAIL")</f>
        <v>PASS</v>
      </c>
      <c r="F874" s="9" t="s">
        <v>76</v>
      </c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customFormat="false" ht="15" hidden="false" customHeight="false" outlineLevel="0" collapsed="false">
      <c r="A875" s="9" t="s">
        <v>6718</v>
      </c>
      <c r="B875" s="9" t="s">
        <v>5870</v>
      </c>
      <c r="C875" s="9" t="s">
        <v>1075</v>
      </c>
      <c r="D875" s="9" t="s">
        <v>5871</v>
      </c>
      <c r="E875" s="9" t="str">
        <f aca="false">IF(AND('Formation Ledger'!A854&lt;&gt;"",'Formation Ledger'!V854=0),"PASS","FAIL")</f>
        <v>PASS</v>
      </c>
      <c r="F875" s="9" t="s">
        <v>76</v>
      </c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customFormat="false" ht="15" hidden="false" customHeight="false" outlineLevel="0" collapsed="false">
      <c r="A876" s="9" t="s">
        <v>6719</v>
      </c>
      <c r="B876" s="9" t="s">
        <v>5870</v>
      </c>
      <c r="C876" s="9" t="s">
        <v>1076</v>
      </c>
      <c r="D876" s="9" t="s">
        <v>5871</v>
      </c>
      <c r="E876" s="9" t="str">
        <f aca="false">IF(AND('Formation Ledger'!A855&lt;&gt;"",'Formation Ledger'!V855=0),"PASS","FAIL")</f>
        <v>PASS</v>
      </c>
      <c r="F876" s="9" t="s">
        <v>76</v>
      </c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customFormat="false" ht="15" hidden="false" customHeight="false" outlineLevel="0" collapsed="false">
      <c r="A877" s="9" t="s">
        <v>6720</v>
      </c>
      <c r="B877" s="9" t="s">
        <v>5870</v>
      </c>
      <c r="C877" s="9" t="s">
        <v>1077</v>
      </c>
      <c r="D877" s="9" t="s">
        <v>5871</v>
      </c>
      <c r="E877" s="9" t="str">
        <f aca="false">IF(AND('Formation Ledger'!A856&lt;&gt;"",'Formation Ledger'!V856=0),"PASS","FAIL")</f>
        <v>PASS</v>
      </c>
      <c r="F877" s="9" t="s">
        <v>76</v>
      </c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customFormat="false" ht="15" hidden="false" customHeight="false" outlineLevel="0" collapsed="false">
      <c r="A878" s="9" t="s">
        <v>6721</v>
      </c>
      <c r="B878" s="9" t="s">
        <v>5870</v>
      </c>
      <c r="C878" s="9" t="s">
        <v>1078</v>
      </c>
      <c r="D878" s="9" t="s">
        <v>5871</v>
      </c>
      <c r="E878" s="9" t="str">
        <f aca="false">IF(AND('Formation Ledger'!A857&lt;&gt;"",'Formation Ledger'!V857=0),"PASS","FAIL")</f>
        <v>PASS</v>
      </c>
      <c r="F878" s="9" t="s">
        <v>76</v>
      </c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customFormat="false" ht="15" hidden="false" customHeight="false" outlineLevel="0" collapsed="false">
      <c r="A879" s="9" t="s">
        <v>6722</v>
      </c>
      <c r="B879" s="9" t="s">
        <v>5870</v>
      </c>
      <c r="C879" s="9" t="s">
        <v>1079</v>
      </c>
      <c r="D879" s="9" t="s">
        <v>5871</v>
      </c>
      <c r="E879" s="9" t="str">
        <f aca="false">IF(AND('Formation Ledger'!A858&lt;&gt;"",'Formation Ledger'!V858=0),"PASS","FAIL")</f>
        <v>PASS</v>
      </c>
      <c r="F879" s="9" t="s">
        <v>76</v>
      </c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customFormat="false" ht="15" hidden="false" customHeight="false" outlineLevel="0" collapsed="false">
      <c r="A880" s="9" t="s">
        <v>6723</v>
      </c>
      <c r="B880" s="9" t="s">
        <v>5870</v>
      </c>
      <c r="C880" s="9" t="s">
        <v>1080</v>
      </c>
      <c r="D880" s="9" t="s">
        <v>5871</v>
      </c>
      <c r="E880" s="9" t="str">
        <f aca="false">IF(AND('Formation Ledger'!A859&lt;&gt;"",'Formation Ledger'!V859=0),"PASS","FAIL")</f>
        <v>PASS</v>
      </c>
      <c r="F880" s="9" t="s">
        <v>76</v>
      </c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customFormat="false" ht="15" hidden="false" customHeight="false" outlineLevel="0" collapsed="false">
      <c r="A881" s="9" t="s">
        <v>6724</v>
      </c>
      <c r="B881" s="9" t="s">
        <v>5870</v>
      </c>
      <c r="C881" s="9" t="s">
        <v>1081</v>
      </c>
      <c r="D881" s="9" t="s">
        <v>5871</v>
      </c>
      <c r="E881" s="9" t="str">
        <f aca="false">IF(AND('Formation Ledger'!A860&lt;&gt;"",'Formation Ledger'!V860=0),"PASS","FAIL")</f>
        <v>PASS</v>
      </c>
      <c r="F881" s="9" t="s">
        <v>76</v>
      </c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customFormat="false" ht="15" hidden="false" customHeight="false" outlineLevel="0" collapsed="false">
      <c r="A882" s="9" t="s">
        <v>6725</v>
      </c>
      <c r="B882" s="9" t="s">
        <v>5870</v>
      </c>
      <c r="C882" s="9" t="s">
        <v>1082</v>
      </c>
      <c r="D882" s="9" t="s">
        <v>5871</v>
      </c>
      <c r="E882" s="9" t="str">
        <f aca="false">IF(AND('Formation Ledger'!A861&lt;&gt;"",'Formation Ledger'!V861=0),"PASS","FAIL")</f>
        <v>PASS</v>
      </c>
      <c r="F882" s="9" t="s">
        <v>76</v>
      </c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customFormat="false" ht="15" hidden="false" customHeight="false" outlineLevel="0" collapsed="false">
      <c r="A883" s="9" t="s">
        <v>6726</v>
      </c>
      <c r="B883" s="9" t="s">
        <v>5870</v>
      </c>
      <c r="C883" s="9" t="s">
        <v>1083</v>
      </c>
      <c r="D883" s="9" t="s">
        <v>5871</v>
      </c>
      <c r="E883" s="9" t="str">
        <f aca="false">IF(AND('Formation Ledger'!A862&lt;&gt;"",'Formation Ledger'!V862=0),"PASS","FAIL")</f>
        <v>PASS</v>
      </c>
      <c r="F883" s="9" t="s">
        <v>76</v>
      </c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customFormat="false" ht="15" hidden="false" customHeight="false" outlineLevel="0" collapsed="false">
      <c r="A884" s="9" t="s">
        <v>6727</v>
      </c>
      <c r="B884" s="9" t="s">
        <v>5870</v>
      </c>
      <c r="C884" s="9" t="s">
        <v>1084</v>
      </c>
      <c r="D884" s="9" t="s">
        <v>5871</v>
      </c>
      <c r="E884" s="9" t="str">
        <f aca="false">IF(AND('Formation Ledger'!A863&lt;&gt;"",'Formation Ledger'!V863=0),"PASS","FAIL")</f>
        <v>PASS</v>
      </c>
      <c r="F884" s="9" t="s">
        <v>76</v>
      </c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customFormat="false" ht="15" hidden="false" customHeight="false" outlineLevel="0" collapsed="false">
      <c r="A885" s="9" t="s">
        <v>6728</v>
      </c>
      <c r="B885" s="9" t="s">
        <v>5870</v>
      </c>
      <c r="C885" s="9" t="s">
        <v>1085</v>
      </c>
      <c r="D885" s="9" t="s">
        <v>5871</v>
      </c>
      <c r="E885" s="9" t="str">
        <f aca="false">IF(AND('Formation Ledger'!A864&lt;&gt;"",'Formation Ledger'!V864=0),"PASS","FAIL")</f>
        <v>PASS</v>
      </c>
      <c r="F885" s="9" t="s">
        <v>76</v>
      </c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customFormat="false" ht="15" hidden="false" customHeight="false" outlineLevel="0" collapsed="false">
      <c r="A886" s="9" t="s">
        <v>6729</v>
      </c>
      <c r="B886" s="9" t="s">
        <v>5870</v>
      </c>
      <c r="C886" s="9" t="s">
        <v>1086</v>
      </c>
      <c r="D886" s="9" t="s">
        <v>5871</v>
      </c>
      <c r="E886" s="9" t="str">
        <f aca="false">IF(AND('Formation Ledger'!A865&lt;&gt;"",'Formation Ledger'!V865=0),"PASS","FAIL")</f>
        <v>PASS</v>
      </c>
      <c r="F886" s="9" t="s">
        <v>76</v>
      </c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customFormat="false" ht="15" hidden="false" customHeight="false" outlineLevel="0" collapsed="false">
      <c r="A887" s="9" t="s">
        <v>6730</v>
      </c>
      <c r="B887" s="9" t="s">
        <v>5870</v>
      </c>
      <c r="C887" s="9" t="s">
        <v>1087</v>
      </c>
      <c r="D887" s="9" t="s">
        <v>5871</v>
      </c>
      <c r="E887" s="9" t="str">
        <f aca="false">IF(AND('Formation Ledger'!A866&lt;&gt;"",'Formation Ledger'!V866=0),"PASS","FAIL")</f>
        <v>PASS</v>
      </c>
      <c r="F887" s="9" t="s">
        <v>76</v>
      </c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customFormat="false" ht="15" hidden="false" customHeight="false" outlineLevel="0" collapsed="false">
      <c r="A888" s="9" t="s">
        <v>6731</v>
      </c>
      <c r="B888" s="9" t="s">
        <v>5870</v>
      </c>
      <c r="C888" s="9" t="s">
        <v>1088</v>
      </c>
      <c r="D888" s="9" t="s">
        <v>5871</v>
      </c>
      <c r="E888" s="9" t="str">
        <f aca="false">IF(AND('Formation Ledger'!A867&lt;&gt;"",'Formation Ledger'!V867=0),"PASS","FAIL")</f>
        <v>PASS</v>
      </c>
      <c r="F888" s="9" t="s">
        <v>76</v>
      </c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customFormat="false" ht="15" hidden="false" customHeight="false" outlineLevel="0" collapsed="false">
      <c r="A889" s="9" t="s">
        <v>6732</v>
      </c>
      <c r="B889" s="9" t="s">
        <v>5870</v>
      </c>
      <c r="C889" s="9" t="s">
        <v>1089</v>
      </c>
      <c r="D889" s="9" t="s">
        <v>5871</v>
      </c>
      <c r="E889" s="9" t="str">
        <f aca="false">IF(AND('Formation Ledger'!A868&lt;&gt;"",'Formation Ledger'!V868=0),"PASS","FAIL")</f>
        <v>PASS</v>
      </c>
      <c r="F889" s="9" t="s">
        <v>76</v>
      </c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customFormat="false" ht="15" hidden="false" customHeight="false" outlineLevel="0" collapsed="false">
      <c r="A890" s="9" t="s">
        <v>6733</v>
      </c>
      <c r="B890" s="9" t="s">
        <v>5870</v>
      </c>
      <c r="C890" s="9" t="s">
        <v>1090</v>
      </c>
      <c r="D890" s="9" t="s">
        <v>5871</v>
      </c>
      <c r="E890" s="9" t="str">
        <f aca="false">IF(AND('Formation Ledger'!A869&lt;&gt;"",'Formation Ledger'!V869=0),"PASS","FAIL")</f>
        <v>PASS</v>
      </c>
      <c r="F890" s="9" t="s">
        <v>76</v>
      </c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customFormat="false" ht="15" hidden="false" customHeight="false" outlineLevel="0" collapsed="false">
      <c r="A891" s="9" t="s">
        <v>6734</v>
      </c>
      <c r="B891" s="9" t="s">
        <v>5870</v>
      </c>
      <c r="C891" s="9" t="s">
        <v>1091</v>
      </c>
      <c r="D891" s="9" t="s">
        <v>5871</v>
      </c>
      <c r="E891" s="9" t="str">
        <f aca="false">IF(AND('Formation Ledger'!A870&lt;&gt;"",'Formation Ledger'!V870=0),"PASS","FAIL")</f>
        <v>PASS</v>
      </c>
      <c r="F891" s="9" t="s">
        <v>76</v>
      </c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customFormat="false" ht="15" hidden="false" customHeight="false" outlineLevel="0" collapsed="false">
      <c r="A892" s="9" t="s">
        <v>6735</v>
      </c>
      <c r="B892" s="9" t="s">
        <v>5870</v>
      </c>
      <c r="C892" s="9" t="s">
        <v>1092</v>
      </c>
      <c r="D892" s="9" t="s">
        <v>5871</v>
      </c>
      <c r="E892" s="9" t="str">
        <f aca="false">IF(AND('Formation Ledger'!A871&lt;&gt;"",'Formation Ledger'!V871=0),"PASS","FAIL")</f>
        <v>PASS</v>
      </c>
      <c r="F892" s="9" t="s">
        <v>76</v>
      </c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customFormat="false" ht="15" hidden="false" customHeight="false" outlineLevel="0" collapsed="false">
      <c r="A893" s="9" t="s">
        <v>6736</v>
      </c>
      <c r="B893" s="9" t="s">
        <v>5870</v>
      </c>
      <c r="C893" s="9" t="s">
        <v>1093</v>
      </c>
      <c r="D893" s="9" t="s">
        <v>5871</v>
      </c>
      <c r="E893" s="9" t="str">
        <f aca="false">IF(AND('Formation Ledger'!A872&lt;&gt;"",'Formation Ledger'!V872=0),"PASS","FAIL")</f>
        <v>PASS</v>
      </c>
      <c r="F893" s="9" t="s">
        <v>76</v>
      </c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customFormat="false" ht="15" hidden="false" customHeight="false" outlineLevel="0" collapsed="false">
      <c r="A894" s="9" t="s">
        <v>6737</v>
      </c>
      <c r="B894" s="9" t="s">
        <v>5870</v>
      </c>
      <c r="C894" s="9" t="s">
        <v>1094</v>
      </c>
      <c r="D894" s="9" t="s">
        <v>5871</v>
      </c>
      <c r="E894" s="9" t="str">
        <f aca="false">IF(AND('Formation Ledger'!A873&lt;&gt;"",'Formation Ledger'!V873=0),"PASS","FAIL")</f>
        <v>PASS</v>
      </c>
      <c r="F894" s="9" t="s">
        <v>76</v>
      </c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customFormat="false" ht="15" hidden="false" customHeight="false" outlineLevel="0" collapsed="false">
      <c r="A895" s="9" t="s">
        <v>6738</v>
      </c>
      <c r="B895" s="9" t="s">
        <v>5870</v>
      </c>
      <c r="C895" s="9" t="s">
        <v>1095</v>
      </c>
      <c r="D895" s="9" t="s">
        <v>5871</v>
      </c>
      <c r="E895" s="9" t="str">
        <f aca="false">IF(AND('Formation Ledger'!A874&lt;&gt;"",'Formation Ledger'!V874=0),"PASS","FAIL")</f>
        <v>PASS</v>
      </c>
      <c r="F895" s="9" t="s">
        <v>76</v>
      </c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customFormat="false" ht="15" hidden="false" customHeight="false" outlineLevel="0" collapsed="false">
      <c r="A896" s="9" t="s">
        <v>6739</v>
      </c>
      <c r="B896" s="9" t="s">
        <v>5870</v>
      </c>
      <c r="C896" s="9" t="s">
        <v>1096</v>
      </c>
      <c r="D896" s="9" t="s">
        <v>5871</v>
      </c>
      <c r="E896" s="9" t="str">
        <f aca="false">IF(AND('Formation Ledger'!A875&lt;&gt;"",'Formation Ledger'!V875=0),"PASS","FAIL")</f>
        <v>PASS</v>
      </c>
      <c r="F896" s="9" t="s">
        <v>76</v>
      </c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customFormat="false" ht="15" hidden="false" customHeight="false" outlineLevel="0" collapsed="false">
      <c r="A897" s="9" t="s">
        <v>6740</v>
      </c>
      <c r="B897" s="9" t="s">
        <v>5870</v>
      </c>
      <c r="C897" s="9" t="s">
        <v>1097</v>
      </c>
      <c r="D897" s="9" t="s">
        <v>5871</v>
      </c>
      <c r="E897" s="9" t="str">
        <f aca="false">IF(AND('Formation Ledger'!A876&lt;&gt;"",'Formation Ledger'!V876=0),"PASS","FAIL")</f>
        <v>PASS</v>
      </c>
      <c r="F897" s="9" t="s">
        <v>76</v>
      </c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customFormat="false" ht="15" hidden="false" customHeight="false" outlineLevel="0" collapsed="false">
      <c r="A898" s="9" t="s">
        <v>6741</v>
      </c>
      <c r="B898" s="9" t="s">
        <v>5870</v>
      </c>
      <c r="C898" s="9" t="s">
        <v>1098</v>
      </c>
      <c r="D898" s="9" t="s">
        <v>5871</v>
      </c>
      <c r="E898" s="9" t="str">
        <f aca="false">IF(AND('Formation Ledger'!A877&lt;&gt;"",'Formation Ledger'!V877=0),"PASS","FAIL")</f>
        <v>PASS</v>
      </c>
      <c r="F898" s="9" t="s">
        <v>76</v>
      </c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customFormat="false" ht="15" hidden="false" customHeight="false" outlineLevel="0" collapsed="false">
      <c r="A899" s="9" t="s">
        <v>6742</v>
      </c>
      <c r="B899" s="9" t="s">
        <v>5870</v>
      </c>
      <c r="C899" s="9" t="s">
        <v>1099</v>
      </c>
      <c r="D899" s="9" t="s">
        <v>5871</v>
      </c>
      <c r="E899" s="9" t="str">
        <f aca="false">IF(AND('Formation Ledger'!A878&lt;&gt;"",'Formation Ledger'!V878=0),"PASS","FAIL")</f>
        <v>PASS</v>
      </c>
      <c r="F899" s="9" t="s">
        <v>76</v>
      </c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customFormat="false" ht="15" hidden="false" customHeight="false" outlineLevel="0" collapsed="false">
      <c r="A900" s="9" t="s">
        <v>6743</v>
      </c>
      <c r="B900" s="9" t="s">
        <v>5870</v>
      </c>
      <c r="C900" s="9" t="s">
        <v>1100</v>
      </c>
      <c r="D900" s="9" t="s">
        <v>5871</v>
      </c>
      <c r="E900" s="9" t="str">
        <f aca="false">IF(AND('Formation Ledger'!A879&lt;&gt;"",'Formation Ledger'!V879=0),"PASS","FAIL")</f>
        <v>PASS</v>
      </c>
      <c r="F900" s="9" t="s">
        <v>76</v>
      </c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customFormat="false" ht="15" hidden="false" customHeight="false" outlineLevel="0" collapsed="false">
      <c r="A901" s="9" t="s">
        <v>6744</v>
      </c>
      <c r="B901" s="9" t="s">
        <v>5870</v>
      </c>
      <c r="C901" s="9" t="s">
        <v>1101</v>
      </c>
      <c r="D901" s="9" t="s">
        <v>5871</v>
      </c>
      <c r="E901" s="9" t="str">
        <f aca="false">IF(AND('Formation Ledger'!A880&lt;&gt;"",'Formation Ledger'!V880=0),"PASS","FAIL")</f>
        <v>PASS</v>
      </c>
      <c r="F901" s="9" t="s">
        <v>76</v>
      </c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customFormat="false" ht="15" hidden="false" customHeight="false" outlineLevel="0" collapsed="false">
      <c r="A902" s="9" t="s">
        <v>6745</v>
      </c>
      <c r="B902" s="9" t="s">
        <v>5870</v>
      </c>
      <c r="C902" s="9" t="s">
        <v>1102</v>
      </c>
      <c r="D902" s="9" t="s">
        <v>5871</v>
      </c>
      <c r="E902" s="9" t="str">
        <f aca="false">IF(AND('Formation Ledger'!A881&lt;&gt;"",'Formation Ledger'!V881=0),"PASS","FAIL")</f>
        <v>PASS</v>
      </c>
      <c r="F902" s="9" t="s">
        <v>76</v>
      </c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customFormat="false" ht="15" hidden="false" customHeight="false" outlineLevel="0" collapsed="false">
      <c r="A903" s="9" t="s">
        <v>6746</v>
      </c>
      <c r="B903" s="9" t="s">
        <v>5870</v>
      </c>
      <c r="C903" s="9" t="s">
        <v>1103</v>
      </c>
      <c r="D903" s="9" t="s">
        <v>5871</v>
      </c>
      <c r="E903" s="9" t="str">
        <f aca="false">IF(AND('Formation Ledger'!A882&lt;&gt;"",'Formation Ledger'!V882=0),"PASS","FAIL")</f>
        <v>PASS</v>
      </c>
      <c r="F903" s="9" t="s">
        <v>76</v>
      </c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customFormat="false" ht="15" hidden="false" customHeight="false" outlineLevel="0" collapsed="false">
      <c r="A904" s="9" t="s">
        <v>6747</v>
      </c>
      <c r="B904" s="9" t="s">
        <v>5870</v>
      </c>
      <c r="C904" s="9" t="s">
        <v>1104</v>
      </c>
      <c r="D904" s="9" t="s">
        <v>5871</v>
      </c>
      <c r="E904" s="9" t="str">
        <f aca="false">IF(AND('Formation Ledger'!A883&lt;&gt;"",'Formation Ledger'!V883=0),"PASS","FAIL")</f>
        <v>PASS</v>
      </c>
      <c r="F904" s="9" t="s">
        <v>76</v>
      </c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customFormat="false" ht="15" hidden="false" customHeight="false" outlineLevel="0" collapsed="false">
      <c r="A905" s="9" t="s">
        <v>6748</v>
      </c>
      <c r="B905" s="9" t="s">
        <v>5870</v>
      </c>
      <c r="C905" s="9" t="s">
        <v>1105</v>
      </c>
      <c r="D905" s="9" t="s">
        <v>5871</v>
      </c>
      <c r="E905" s="9" t="str">
        <f aca="false">IF(AND('Formation Ledger'!A884&lt;&gt;"",'Formation Ledger'!V884=0),"PASS","FAIL")</f>
        <v>PASS</v>
      </c>
      <c r="F905" s="9" t="s">
        <v>76</v>
      </c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customFormat="false" ht="15" hidden="false" customHeight="false" outlineLevel="0" collapsed="false">
      <c r="A906" s="9" t="s">
        <v>6749</v>
      </c>
      <c r="B906" s="9" t="s">
        <v>5870</v>
      </c>
      <c r="C906" s="9" t="s">
        <v>1106</v>
      </c>
      <c r="D906" s="9" t="s">
        <v>5871</v>
      </c>
      <c r="E906" s="9" t="str">
        <f aca="false">IF(AND('Formation Ledger'!A885&lt;&gt;"",'Formation Ledger'!V885=0),"PASS","FAIL")</f>
        <v>PASS</v>
      </c>
      <c r="F906" s="9" t="s">
        <v>76</v>
      </c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customFormat="false" ht="15" hidden="false" customHeight="false" outlineLevel="0" collapsed="false">
      <c r="A907" s="9" t="s">
        <v>6750</v>
      </c>
      <c r="B907" s="9" t="s">
        <v>5870</v>
      </c>
      <c r="C907" s="9" t="s">
        <v>1107</v>
      </c>
      <c r="D907" s="9" t="s">
        <v>5871</v>
      </c>
      <c r="E907" s="9" t="str">
        <f aca="false">IF(AND('Formation Ledger'!A886&lt;&gt;"",'Formation Ledger'!V886=0),"PASS","FAIL")</f>
        <v>PASS</v>
      </c>
      <c r="F907" s="9" t="s">
        <v>76</v>
      </c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customFormat="false" ht="15" hidden="false" customHeight="false" outlineLevel="0" collapsed="false">
      <c r="A908" s="9" t="s">
        <v>6751</v>
      </c>
      <c r="B908" s="9" t="s">
        <v>5870</v>
      </c>
      <c r="C908" s="9" t="s">
        <v>1108</v>
      </c>
      <c r="D908" s="9" t="s">
        <v>5871</v>
      </c>
      <c r="E908" s="9" t="str">
        <f aca="false">IF(AND('Formation Ledger'!A887&lt;&gt;"",'Formation Ledger'!V887=0),"PASS","FAIL")</f>
        <v>PASS</v>
      </c>
      <c r="F908" s="9" t="s">
        <v>76</v>
      </c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customFormat="false" ht="15" hidden="false" customHeight="false" outlineLevel="0" collapsed="false">
      <c r="A909" s="9" t="s">
        <v>6752</v>
      </c>
      <c r="B909" s="9" t="s">
        <v>5870</v>
      </c>
      <c r="C909" s="9" t="s">
        <v>1109</v>
      </c>
      <c r="D909" s="9" t="s">
        <v>5871</v>
      </c>
      <c r="E909" s="9" t="str">
        <f aca="false">IF(AND('Formation Ledger'!A888&lt;&gt;"",'Formation Ledger'!V888=0),"PASS","FAIL")</f>
        <v>PASS</v>
      </c>
      <c r="F909" s="9" t="s">
        <v>76</v>
      </c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customFormat="false" ht="15" hidden="false" customHeight="false" outlineLevel="0" collapsed="false">
      <c r="A910" s="9" t="s">
        <v>6753</v>
      </c>
      <c r="B910" s="9" t="s">
        <v>5870</v>
      </c>
      <c r="C910" s="9" t="s">
        <v>1110</v>
      </c>
      <c r="D910" s="9" t="s">
        <v>5871</v>
      </c>
      <c r="E910" s="9" t="str">
        <f aca="false">IF(AND('Formation Ledger'!A889&lt;&gt;"",'Formation Ledger'!V889=0),"PASS","FAIL")</f>
        <v>PASS</v>
      </c>
      <c r="F910" s="9" t="s">
        <v>76</v>
      </c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customFormat="false" ht="15" hidden="false" customHeight="false" outlineLevel="0" collapsed="false">
      <c r="A911" s="9" t="s">
        <v>6754</v>
      </c>
      <c r="B911" s="9" t="s">
        <v>5870</v>
      </c>
      <c r="C911" s="9" t="s">
        <v>1111</v>
      </c>
      <c r="D911" s="9" t="s">
        <v>5871</v>
      </c>
      <c r="E911" s="9" t="str">
        <f aca="false">IF(AND('Formation Ledger'!A890&lt;&gt;"",'Formation Ledger'!V890=0),"PASS","FAIL")</f>
        <v>PASS</v>
      </c>
      <c r="F911" s="9" t="s">
        <v>76</v>
      </c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customFormat="false" ht="15" hidden="false" customHeight="false" outlineLevel="0" collapsed="false">
      <c r="A912" s="9" t="s">
        <v>6755</v>
      </c>
      <c r="B912" s="9" t="s">
        <v>5870</v>
      </c>
      <c r="C912" s="9" t="s">
        <v>1112</v>
      </c>
      <c r="D912" s="9" t="s">
        <v>5871</v>
      </c>
      <c r="E912" s="9" t="str">
        <f aca="false">IF(AND('Formation Ledger'!A891&lt;&gt;"",'Formation Ledger'!V891=0),"PASS","FAIL")</f>
        <v>PASS</v>
      </c>
      <c r="F912" s="9" t="s">
        <v>76</v>
      </c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customFormat="false" ht="15" hidden="false" customHeight="false" outlineLevel="0" collapsed="false">
      <c r="A913" s="9" t="s">
        <v>6756</v>
      </c>
      <c r="B913" s="9" t="s">
        <v>5870</v>
      </c>
      <c r="C913" s="9" t="s">
        <v>1113</v>
      </c>
      <c r="D913" s="9" t="s">
        <v>5871</v>
      </c>
      <c r="E913" s="9" t="str">
        <f aca="false">IF(AND('Formation Ledger'!A892&lt;&gt;"",'Formation Ledger'!V892=0),"PASS","FAIL")</f>
        <v>PASS</v>
      </c>
      <c r="F913" s="9" t="s">
        <v>76</v>
      </c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customFormat="false" ht="15" hidden="false" customHeight="false" outlineLevel="0" collapsed="false">
      <c r="A914" s="9" t="s">
        <v>6757</v>
      </c>
      <c r="B914" s="9" t="s">
        <v>5870</v>
      </c>
      <c r="C914" s="9" t="s">
        <v>1114</v>
      </c>
      <c r="D914" s="9" t="s">
        <v>5871</v>
      </c>
      <c r="E914" s="9" t="str">
        <f aca="false">IF(AND('Formation Ledger'!A893&lt;&gt;"",'Formation Ledger'!V893=0),"PASS","FAIL")</f>
        <v>PASS</v>
      </c>
      <c r="F914" s="9" t="s">
        <v>76</v>
      </c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customFormat="false" ht="15" hidden="false" customHeight="false" outlineLevel="0" collapsed="false">
      <c r="A915" s="9" t="s">
        <v>6758</v>
      </c>
      <c r="B915" s="9" t="s">
        <v>5870</v>
      </c>
      <c r="C915" s="9" t="s">
        <v>1115</v>
      </c>
      <c r="D915" s="9" t="s">
        <v>5871</v>
      </c>
      <c r="E915" s="9" t="str">
        <f aca="false">IF(AND('Formation Ledger'!A894&lt;&gt;"",'Formation Ledger'!V894=0),"PASS","FAIL")</f>
        <v>PASS</v>
      </c>
      <c r="F915" s="9" t="s">
        <v>76</v>
      </c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customFormat="false" ht="15" hidden="false" customHeight="false" outlineLevel="0" collapsed="false">
      <c r="A916" s="9" t="s">
        <v>6759</v>
      </c>
      <c r="B916" s="9" t="s">
        <v>5870</v>
      </c>
      <c r="C916" s="9" t="s">
        <v>1116</v>
      </c>
      <c r="D916" s="9" t="s">
        <v>5871</v>
      </c>
      <c r="E916" s="9" t="str">
        <f aca="false">IF(AND('Formation Ledger'!A895&lt;&gt;"",'Formation Ledger'!V895=0),"PASS","FAIL")</f>
        <v>PASS</v>
      </c>
      <c r="F916" s="9" t="s">
        <v>76</v>
      </c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customFormat="false" ht="15" hidden="false" customHeight="false" outlineLevel="0" collapsed="false">
      <c r="A917" s="9" t="s">
        <v>6760</v>
      </c>
      <c r="B917" s="9" t="s">
        <v>5870</v>
      </c>
      <c r="C917" s="9" t="s">
        <v>1117</v>
      </c>
      <c r="D917" s="9" t="s">
        <v>5871</v>
      </c>
      <c r="E917" s="9" t="str">
        <f aca="false">IF(AND('Formation Ledger'!A896&lt;&gt;"",'Formation Ledger'!V896=0),"PASS","FAIL")</f>
        <v>PASS</v>
      </c>
      <c r="F917" s="9" t="s">
        <v>76</v>
      </c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customFormat="false" ht="15" hidden="false" customHeight="false" outlineLevel="0" collapsed="false">
      <c r="A918" s="9" t="s">
        <v>6761</v>
      </c>
      <c r="B918" s="9" t="s">
        <v>5870</v>
      </c>
      <c r="C918" s="9" t="s">
        <v>1118</v>
      </c>
      <c r="D918" s="9" t="s">
        <v>5871</v>
      </c>
      <c r="E918" s="9" t="str">
        <f aca="false">IF(AND('Formation Ledger'!A897&lt;&gt;"",'Formation Ledger'!V897=0),"PASS","FAIL")</f>
        <v>PASS</v>
      </c>
      <c r="F918" s="9" t="s">
        <v>76</v>
      </c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customFormat="false" ht="15" hidden="false" customHeight="false" outlineLevel="0" collapsed="false">
      <c r="A919" s="9" t="s">
        <v>6762</v>
      </c>
      <c r="B919" s="9" t="s">
        <v>5870</v>
      </c>
      <c r="C919" s="9" t="s">
        <v>1119</v>
      </c>
      <c r="D919" s="9" t="s">
        <v>5871</v>
      </c>
      <c r="E919" s="9" t="str">
        <f aca="false">IF(AND('Formation Ledger'!A898&lt;&gt;"",'Formation Ledger'!V898=0),"PASS","FAIL")</f>
        <v>PASS</v>
      </c>
      <c r="F919" s="9" t="s">
        <v>76</v>
      </c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customFormat="false" ht="15" hidden="false" customHeight="false" outlineLevel="0" collapsed="false">
      <c r="A920" s="9" t="s">
        <v>6763</v>
      </c>
      <c r="B920" s="9" t="s">
        <v>5870</v>
      </c>
      <c r="C920" s="9" t="s">
        <v>1120</v>
      </c>
      <c r="D920" s="9" t="s">
        <v>5871</v>
      </c>
      <c r="E920" s="9" t="str">
        <f aca="false">IF(AND('Formation Ledger'!A899&lt;&gt;"",'Formation Ledger'!V899=0),"PASS","FAIL")</f>
        <v>PASS</v>
      </c>
      <c r="F920" s="9" t="s">
        <v>76</v>
      </c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customFormat="false" ht="15" hidden="false" customHeight="false" outlineLevel="0" collapsed="false">
      <c r="A921" s="9" t="s">
        <v>6764</v>
      </c>
      <c r="B921" s="9" t="s">
        <v>5870</v>
      </c>
      <c r="C921" s="9" t="s">
        <v>1121</v>
      </c>
      <c r="D921" s="9" t="s">
        <v>5871</v>
      </c>
      <c r="E921" s="9" t="str">
        <f aca="false">IF(AND('Formation Ledger'!A900&lt;&gt;"",'Formation Ledger'!V900=0),"PASS","FAIL")</f>
        <v>PASS</v>
      </c>
      <c r="F921" s="9" t="s">
        <v>76</v>
      </c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customFormat="false" ht="15" hidden="false" customHeight="false" outlineLevel="0" collapsed="false">
      <c r="A922" s="9" t="s">
        <v>6765</v>
      </c>
      <c r="B922" s="9" t="s">
        <v>5870</v>
      </c>
      <c r="C922" s="9" t="s">
        <v>1122</v>
      </c>
      <c r="D922" s="9" t="s">
        <v>5871</v>
      </c>
      <c r="E922" s="9" t="str">
        <f aca="false">IF(AND('Formation Ledger'!A901&lt;&gt;"",'Formation Ledger'!V901=0),"PASS","FAIL")</f>
        <v>PASS</v>
      </c>
      <c r="F922" s="9" t="s">
        <v>76</v>
      </c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customFormat="false" ht="15" hidden="false" customHeight="false" outlineLevel="0" collapsed="false">
      <c r="A923" s="9" t="s">
        <v>6766</v>
      </c>
      <c r="B923" s="9" t="s">
        <v>5870</v>
      </c>
      <c r="C923" s="9" t="s">
        <v>1123</v>
      </c>
      <c r="D923" s="9" t="s">
        <v>5871</v>
      </c>
      <c r="E923" s="9" t="str">
        <f aca="false">IF(AND('Formation Ledger'!A902&lt;&gt;"",'Formation Ledger'!V902=0),"PASS","FAIL")</f>
        <v>PASS</v>
      </c>
      <c r="F923" s="9" t="s">
        <v>76</v>
      </c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customFormat="false" ht="15" hidden="false" customHeight="false" outlineLevel="0" collapsed="false">
      <c r="A924" s="9" t="s">
        <v>6767</v>
      </c>
      <c r="B924" s="9" t="s">
        <v>5870</v>
      </c>
      <c r="C924" s="9" t="s">
        <v>1124</v>
      </c>
      <c r="D924" s="9" t="s">
        <v>5871</v>
      </c>
      <c r="E924" s="9" t="str">
        <f aca="false">IF(AND('Formation Ledger'!A903&lt;&gt;"",'Formation Ledger'!V903=0),"PASS","FAIL")</f>
        <v>PASS</v>
      </c>
      <c r="F924" s="9" t="s">
        <v>76</v>
      </c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customFormat="false" ht="15" hidden="false" customHeight="false" outlineLevel="0" collapsed="false">
      <c r="A925" s="9" t="s">
        <v>6768</v>
      </c>
      <c r="B925" s="9" t="s">
        <v>5870</v>
      </c>
      <c r="C925" s="9" t="s">
        <v>1125</v>
      </c>
      <c r="D925" s="9" t="s">
        <v>5871</v>
      </c>
      <c r="E925" s="9" t="str">
        <f aca="false">IF(AND('Formation Ledger'!A904&lt;&gt;"",'Formation Ledger'!V904=0),"PASS","FAIL")</f>
        <v>PASS</v>
      </c>
      <c r="F925" s="9" t="s">
        <v>76</v>
      </c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customFormat="false" ht="15" hidden="false" customHeight="false" outlineLevel="0" collapsed="false">
      <c r="A926" s="9" t="s">
        <v>6769</v>
      </c>
      <c r="B926" s="9" t="s">
        <v>5870</v>
      </c>
      <c r="C926" s="9" t="s">
        <v>1126</v>
      </c>
      <c r="D926" s="9" t="s">
        <v>5871</v>
      </c>
      <c r="E926" s="9" t="str">
        <f aca="false">IF(AND('Formation Ledger'!A905&lt;&gt;"",'Formation Ledger'!V905=0),"PASS","FAIL")</f>
        <v>PASS</v>
      </c>
      <c r="F926" s="9" t="s">
        <v>76</v>
      </c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customFormat="false" ht="15" hidden="false" customHeight="false" outlineLevel="0" collapsed="false">
      <c r="A927" s="9" t="s">
        <v>6770</v>
      </c>
      <c r="B927" s="9" t="s">
        <v>5870</v>
      </c>
      <c r="C927" s="9" t="s">
        <v>1127</v>
      </c>
      <c r="D927" s="9" t="s">
        <v>5871</v>
      </c>
      <c r="E927" s="9" t="str">
        <f aca="false">IF(AND('Formation Ledger'!A906&lt;&gt;"",'Formation Ledger'!V906=0),"PASS","FAIL")</f>
        <v>PASS</v>
      </c>
      <c r="F927" s="9" t="s">
        <v>76</v>
      </c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customFormat="false" ht="15" hidden="false" customHeight="false" outlineLevel="0" collapsed="false">
      <c r="A928" s="9" t="s">
        <v>6771</v>
      </c>
      <c r="B928" s="9" t="s">
        <v>5870</v>
      </c>
      <c r="C928" s="9" t="s">
        <v>1128</v>
      </c>
      <c r="D928" s="9" t="s">
        <v>5871</v>
      </c>
      <c r="E928" s="9" t="str">
        <f aca="false">IF(AND('Formation Ledger'!A907&lt;&gt;"",'Formation Ledger'!V907=0),"PASS","FAIL")</f>
        <v>PASS</v>
      </c>
      <c r="F928" s="9" t="s">
        <v>76</v>
      </c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customFormat="false" ht="15" hidden="false" customHeight="false" outlineLevel="0" collapsed="false">
      <c r="A929" s="9" t="s">
        <v>6772</v>
      </c>
      <c r="B929" s="9" t="s">
        <v>5870</v>
      </c>
      <c r="C929" s="9" t="s">
        <v>1129</v>
      </c>
      <c r="D929" s="9" t="s">
        <v>5871</v>
      </c>
      <c r="E929" s="9" t="str">
        <f aca="false">IF(AND('Formation Ledger'!A908&lt;&gt;"",'Formation Ledger'!V908=0),"PASS","FAIL")</f>
        <v>PASS</v>
      </c>
      <c r="F929" s="9" t="s">
        <v>76</v>
      </c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customFormat="false" ht="15" hidden="false" customHeight="false" outlineLevel="0" collapsed="false">
      <c r="A930" s="9" t="s">
        <v>6773</v>
      </c>
      <c r="B930" s="9" t="s">
        <v>5870</v>
      </c>
      <c r="C930" s="9" t="s">
        <v>1130</v>
      </c>
      <c r="D930" s="9" t="s">
        <v>5871</v>
      </c>
      <c r="E930" s="9" t="str">
        <f aca="false">IF(AND('Formation Ledger'!A909&lt;&gt;"",'Formation Ledger'!V909=0),"PASS","FAIL")</f>
        <v>PASS</v>
      </c>
      <c r="F930" s="9" t="s">
        <v>76</v>
      </c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customFormat="false" ht="15" hidden="false" customHeight="false" outlineLevel="0" collapsed="false">
      <c r="A931" s="9" t="s">
        <v>6774</v>
      </c>
      <c r="B931" s="9" t="s">
        <v>5870</v>
      </c>
      <c r="C931" s="9" t="s">
        <v>1131</v>
      </c>
      <c r="D931" s="9" t="s">
        <v>5871</v>
      </c>
      <c r="E931" s="9" t="str">
        <f aca="false">IF(AND('Formation Ledger'!A910&lt;&gt;"",'Formation Ledger'!V910=0),"PASS","FAIL")</f>
        <v>PASS</v>
      </c>
      <c r="F931" s="9" t="s">
        <v>76</v>
      </c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customFormat="false" ht="15" hidden="false" customHeight="false" outlineLevel="0" collapsed="false">
      <c r="A932" s="9" t="s">
        <v>6775</v>
      </c>
      <c r="B932" s="9" t="s">
        <v>5870</v>
      </c>
      <c r="C932" s="9" t="s">
        <v>1132</v>
      </c>
      <c r="D932" s="9" t="s">
        <v>5871</v>
      </c>
      <c r="E932" s="9" t="str">
        <f aca="false">IF(AND('Formation Ledger'!A911&lt;&gt;"",'Formation Ledger'!V911=0),"PASS","FAIL")</f>
        <v>PASS</v>
      </c>
      <c r="F932" s="9" t="s">
        <v>76</v>
      </c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customFormat="false" ht="15" hidden="false" customHeight="false" outlineLevel="0" collapsed="false">
      <c r="A933" s="9" t="s">
        <v>6776</v>
      </c>
      <c r="B933" s="9" t="s">
        <v>5870</v>
      </c>
      <c r="C933" s="9" t="s">
        <v>1133</v>
      </c>
      <c r="D933" s="9" t="s">
        <v>5871</v>
      </c>
      <c r="E933" s="9" t="str">
        <f aca="false">IF(AND('Formation Ledger'!A912&lt;&gt;"",'Formation Ledger'!V912=0),"PASS","FAIL")</f>
        <v>PASS</v>
      </c>
      <c r="F933" s="9" t="s">
        <v>76</v>
      </c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customFormat="false" ht="15" hidden="false" customHeight="false" outlineLevel="0" collapsed="false">
      <c r="A934" s="9" t="s">
        <v>6777</v>
      </c>
      <c r="B934" s="9" t="s">
        <v>5870</v>
      </c>
      <c r="C934" s="9" t="s">
        <v>1134</v>
      </c>
      <c r="D934" s="9" t="s">
        <v>5871</v>
      </c>
      <c r="E934" s="9" t="str">
        <f aca="false">IF(AND('Formation Ledger'!A913&lt;&gt;"",'Formation Ledger'!V913=0),"PASS","FAIL")</f>
        <v>PASS</v>
      </c>
      <c r="F934" s="9" t="s">
        <v>76</v>
      </c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customFormat="false" ht="15" hidden="false" customHeight="false" outlineLevel="0" collapsed="false">
      <c r="A935" s="9" t="s">
        <v>6778</v>
      </c>
      <c r="B935" s="9" t="s">
        <v>5870</v>
      </c>
      <c r="C935" s="9" t="s">
        <v>1135</v>
      </c>
      <c r="D935" s="9" t="s">
        <v>5871</v>
      </c>
      <c r="E935" s="9" t="str">
        <f aca="false">IF(AND('Formation Ledger'!A914&lt;&gt;"",'Formation Ledger'!V914=0),"PASS","FAIL")</f>
        <v>PASS</v>
      </c>
      <c r="F935" s="9" t="s">
        <v>76</v>
      </c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customFormat="false" ht="15" hidden="false" customHeight="false" outlineLevel="0" collapsed="false">
      <c r="A936" s="9" t="s">
        <v>6779</v>
      </c>
      <c r="B936" s="9" t="s">
        <v>5870</v>
      </c>
      <c r="C936" s="9" t="s">
        <v>1136</v>
      </c>
      <c r="D936" s="9" t="s">
        <v>5871</v>
      </c>
      <c r="E936" s="9" t="str">
        <f aca="false">IF(AND('Formation Ledger'!A915&lt;&gt;"",'Formation Ledger'!V915=0),"PASS","FAIL")</f>
        <v>PASS</v>
      </c>
      <c r="F936" s="9" t="s">
        <v>76</v>
      </c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customFormat="false" ht="15" hidden="false" customHeight="false" outlineLevel="0" collapsed="false">
      <c r="A937" s="9" t="s">
        <v>6780</v>
      </c>
      <c r="B937" s="9" t="s">
        <v>5870</v>
      </c>
      <c r="C937" s="9" t="s">
        <v>1137</v>
      </c>
      <c r="D937" s="9" t="s">
        <v>5871</v>
      </c>
      <c r="E937" s="9" t="str">
        <f aca="false">IF(AND('Formation Ledger'!A916&lt;&gt;"",'Formation Ledger'!V916=0),"PASS","FAIL")</f>
        <v>PASS</v>
      </c>
      <c r="F937" s="9" t="s">
        <v>76</v>
      </c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customFormat="false" ht="15" hidden="false" customHeight="false" outlineLevel="0" collapsed="false">
      <c r="A938" s="9" t="s">
        <v>6781</v>
      </c>
      <c r="B938" s="9" t="s">
        <v>5870</v>
      </c>
      <c r="C938" s="9" t="s">
        <v>1138</v>
      </c>
      <c r="D938" s="9" t="s">
        <v>5871</v>
      </c>
      <c r="E938" s="9" t="str">
        <f aca="false">IF(AND('Formation Ledger'!A917&lt;&gt;"",'Formation Ledger'!V917=0),"PASS","FAIL")</f>
        <v>PASS</v>
      </c>
      <c r="F938" s="9" t="s">
        <v>76</v>
      </c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customFormat="false" ht="15" hidden="false" customHeight="false" outlineLevel="0" collapsed="false">
      <c r="A939" s="9" t="s">
        <v>6782</v>
      </c>
      <c r="B939" s="9" t="s">
        <v>5870</v>
      </c>
      <c r="C939" s="9" t="s">
        <v>1139</v>
      </c>
      <c r="D939" s="9" t="s">
        <v>5871</v>
      </c>
      <c r="E939" s="9" t="str">
        <f aca="false">IF(AND('Formation Ledger'!A918&lt;&gt;"",'Formation Ledger'!V918=0),"PASS","FAIL")</f>
        <v>PASS</v>
      </c>
      <c r="F939" s="9" t="s">
        <v>76</v>
      </c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customFormat="false" ht="15" hidden="false" customHeight="false" outlineLevel="0" collapsed="false">
      <c r="A940" s="9" t="s">
        <v>6783</v>
      </c>
      <c r="B940" s="9" t="s">
        <v>5870</v>
      </c>
      <c r="C940" s="9" t="s">
        <v>1142</v>
      </c>
      <c r="D940" s="9" t="s">
        <v>5871</v>
      </c>
      <c r="E940" s="9" t="str">
        <f aca="false">IF(AND('Formation Ledger'!A919&lt;&gt;"",'Formation Ledger'!V919=0),"PASS","FAIL")</f>
        <v>PASS</v>
      </c>
      <c r="F940" s="9" t="s">
        <v>76</v>
      </c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customFormat="false" ht="15" hidden="false" customHeight="false" outlineLevel="0" collapsed="false">
      <c r="A941" s="9" t="s">
        <v>6784</v>
      </c>
      <c r="B941" s="9" t="s">
        <v>5870</v>
      </c>
      <c r="C941" s="9" t="s">
        <v>1143</v>
      </c>
      <c r="D941" s="9" t="s">
        <v>5871</v>
      </c>
      <c r="E941" s="9" t="str">
        <f aca="false">IF(AND('Formation Ledger'!A920&lt;&gt;"",'Formation Ledger'!V920=0),"PASS","FAIL")</f>
        <v>PASS</v>
      </c>
      <c r="F941" s="9" t="s">
        <v>76</v>
      </c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customFormat="false" ht="15" hidden="false" customHeight="false" outlineLevel="0" collapsed="false">
      <c r="A942" s="9" t="s">
        <v>6785</v>
      </c>
      <c r="B942" s="9" t="s">
        <v>5870</v>
      </c>
      <c r="C942" s="9" t="s">
        <v>1144</v>
      </c>
      <c r="D942" s="9" t="s">
        <v>5871</v>
      </c>
      <c r="E942" s="9" t="str">
        <f aca="false">IF(AND('Formation Ledger'!A921&lt;&gt;"",'Formation Ledger'!V921=0),"PASS","FAIL")</f>
        <v>PASS</v>
      </c>
      <c r="F942" s="9" t="s">
        <v>76</v>
      </c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customFormat="false" ht="15" hidden="false" customHeight="false" outlineLevel="0" collapsed="false">
      <c r="A943" s="9" t="s">
        <v>6786</v>
      </c>
      <c r="B943" s="9" t="s">
        <v>5870</v>
      </c>
      <c r="C943" s="9" t="s">
        <v>1145</v>
      </c>
      <c r="D943" s="9" t="s">
        <v>5871</v>
      </c>
      <c r="E943" s="9" t="str">
        <f aca="false">IF(AND('Formation Ledger'!A922&lt;&gt;"",'Formation Ledger'!V922=0),"PASS","FAIL")</f>
        <v>PASS</v>
      </c>
      <c r="F943" s="9" t="s">
        <v>76</v>
      </c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customFormat="false" ht="15" hidden="false" customHeight="false" outlineLevel="0" collapsed="false">
      <c r="A944" s="9" t="s">
        <v>6787</v>
      </c>
      <c r="B944" s="9" t="s">
        <v>5870</v>
      </c>
      <c r="C944" s="9" t="s">
        <v>1146</v>
      </c>
      <c r="D944" s="9" t="s">
        <v>5871</v>
      </c>
      <c r="E944" s="9" t="str">
        <f aca="false">IF(AND('Formation Ledger'!A923&lt;&gt;"",'Formation Ledger'!V923=0),"PASS","FAIL")</f>
        <v>PASS</v>
      </c>
      <c r="F944" s="9" t="s">
        <v>76</v>
      </c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customFormat="false" ht="15" hidden="false" customHeight="false" outlineLevel="0" collapsed="false">
      <c r="A945" s="9" t="s">
        <v>6788</v>
      </c>
      <c r="B945" s="9" t="s">
        <v>5870</v>
      </c>
      <c r="C945" s="9" t="s">
        <v>1147</v>
      </c>
      <c r="D945" s="9" t="s">
        <v>5871</v>
      </c>
      <c r="E945" s="9" t="str">
        <f aca="false">IF(AND('Formation Ledger'!A924&lt;&gt;"",'Formation Ledger'!V924=0),"PASS","FAIL")</f>
        <v>PASS</v>
      </c>
      <c r="F945" s="9" t="s">
        <v>76</v>
      </c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customFormat="false" ht="15" hidden="false" customHeight="false" outlineLevel="0" collapsed="false">
      <c r="A946" s="9" t="s">
        <v>6789</v>
      </c>
      <c r="B946" s="9" t="s">
        <v>5870</v>
      </c>
      <c r="C946" s="9" t="s">
        <v>1148</v>
      </c>
      <c r="D946" s="9" t="s">
        <v>5871</v>
      </c>
      <c r="E946" s="9" t="str">
        <f aca="false">IF(AND('Formation Ledger'!A925&lt;&gt;"",'Formation Ledger'!V925=0),"PASS","FAIL")</f>
        <v>PASS</v>
      </c>
      <c r="F946" s="9" t="s">
        <v>76</v>
      </c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customFormat="false" ht="15" hidden="false" customHeight="false" outlineLevel="0" collapsed="false">
      <c r="A947" s="9" t="s">
        <v>6790</v>
      </c>
      <c r="B947" s="9" t="s">
        <v>5870</v>
      </c>
      <c r="C947" s="9" t="s">
        <v>1149</v>
      </c>
      <c r="D947" s="9" t="s">
        <v>5871</v>
      </c>
      <c r="E947" s="9" t="str">
        <f aca="false">IF(AND('Formation Ledger'!A926&lt;&gt;"",'Formation Ledger'!V926=0),"PASS","FAIL")</f>
        <v>PASS</v>
      </c>
      <c r="F947" s="9" t="s">
        <v>76</v>
      </c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customFormat="false" ht="15" hidden="false" customHeight="false" outlineLevel="0" collapsed="false">
      <c r="A948" s="9" t="s">
        <v>6791</v>
      </c>
      <c r="B948" s="9" t="s">
        <v>5870</v>
      </c>
      <c r="C948" s="9" t="s">
        <v>1150</v>
      </c>
      <c r="D948" s="9" t="s">
        <v>5871</v>
      </c>
      <c r="E948" s="9" t="str">
        <f aca="false">IF(AND('Formation Ledger'!A927&lt;&gt;"",'Formation Ledger'!V927=0),"PASS","FAIL")</f>
        <v>PASS</v>
      </c>
      <c r="F948" s="9" t="s">
        <v>76</v>
      </c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customFormat="false" ht="15" hidden="false" customHeight="false" outlineLevel="0" collapsed="false">
      <c r="A949" s="9" t="s">
        <v>6792</v>
      </c>
      <c r="B949" s="9" t="s">
        <v>5870</v>
      </c>
      <c r="C949" s="9" t="s">
        <v>1151</v>
      </c>
      <c r="D949" s="9" t="s">
        <v>5871</v>
      </c>
      <c r="E949" s="9" t="str">
        <f aca="false">IF(AND('Formation Ledger'!A928&lt;&gt;"",'Formation Ledger'!V928=0),"PASS","FAIL")</f>
        <v>PASS</v>
      </c>
      <c r="F949" s="9" t="s">
        <v>76</v>
      </c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customFormat="false" ht="15" hidden="false" customHeight="false" outlineLevel="0" collapsed="false">
      <c r="A950" s="9" t="s">
        <v>6793</v>
      </c>
      <c r="B950" s="9" t="s">
        <v>5870</v>
      </c>
      <c r="C950" s="9" t="s">
        <v>1152</v>
      </c>
      <c r="D950" s="9" t="s">
        <v>5871</v>
      </c>
      <c r="E950" s="9" t="str">
        <f aca="false">IF(AND('Formation Ledger'!A929&lt;&gt;"",'Formation Ledger'!V929=0),"PASS","FAIL")</f>
        <v>PASS</v>
      </c>
      <c r="F950" s="9" t="s">
        <v>76</v>
      </c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customFormat="false" ht="15" hidden="false" customHeight="false" outlineLevel="0" collapsed="false">
      <c r="A951" s="9" t="s">
        <v>6794</v>
      </c>
      <c r="B951" s="9" t="s">
        <v>5870</v>
      </c>
      <c r="C951" s="9" t="s">
        <v>1153</v>
      </c>
      <c r="D951" s="9" t="s">
        <v>5871</v>
      </c>
      <c r="E951" s="9" t="str">
        <f aca="false">IF(AND('Formation Ledger'!A930&lt;&gt;"",'Formation Ledger'!V930=0),"PASS","FAIL")</f>
        <v>PASS</v>
      </c>
      <c r="F951" s="9" t="s">
        <v>76</v>
      </c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customFormat="false" ht="15" hidden="false" customHeight="false" outlineLevel="0" collapsed="false">
      <c r="A952" s="9" t="s">
        <v>6795</v>
      </c>
      <c r="B952" s="9" t="s">
        <v>5870</v>
      </c>
      <c r="C952" s="9" t="s">
        <v>1154</v>
      </c>
      <c r="D952" s="9" t="s">
        <v>5871</v>
      </c>
      <c r="E952" s="9" t="str">
        <f aca="false">IF(AND('Formation Ledger'!A931&lt;&gt;"",'Formation Ledger'!V931=0),"PASS","FAIL")</f>
        <v>PASS</v>
      </c>
      <c r="F952" s="9" t="s">
        <v>76</v>
      </c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customFormat="false" ht="15" hidden="false" customHeight="false" outlineLevel="0" collapsed="false">
      <c r="A953" s="9" t="s">
        <v>6796</v>
      </c>
      <c r="B953" s="9" t="s">
        <v>5870</v>
      </c>
      <c r="C953" s="9" t="s">
        <v>1155</v>
      </c>
      <c r="D953" s="9" t="s">
        <v>5871</v>
      </c>
      <c r="E953" s="9" t="str">
        <f aca="false">IF(AND('Formation Ledger'!A932&lt;&gt;"",'Formation Ledger'!V932=0),"PASS","FAIL")</f>
        <v>PASS</v>
      </c>
      <c r="F953" s="9" t="s">
        <v>76</v>
      </c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customFormat="false" ht="15" hidden="false" customHeight="false" outlineLevel="0" collapsed="false">
      <c r="A954" s="9" t="s">
        <v>6797</v>
      </c>
      <c r="B954" s="9" t="s">
        <v>5870</v>
      </c>
      <c r="C954" s="9" t="s">
        <v>1156</v>
      </c>
      <c r="D954" s="9" t="s">
        <v>5871</v>
      </c>
      <c r="E954" s="9" t="str">
        <f aca="false">IF(AND('Formation Ledger'!A933&lt;&gt;"",'Formation Ledger'!V933=0),"PASS","FAIL")</f>
        <v>PASS</v>
      </c>
      <c r="F954" s="9" t="s">
        <v>76</v>
      </c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customFormat="false" ht="15" hidden="false" customHeight="false" outlineLevel="0" collapsed="false">
      <c r="A955" s="9" t="s">
        <v>6798</v>
      </c>
      <c r="B955" s="9" t="s">
        <v>5870</v>
      </c>
      <c r="C955" s="9" t="s">
        <v>1157</v>
      </c>
      <c r="D955" s="9" t="s">
        <v>5871</v>
      </c>
      <c r="E955" s="9" t="str">
        <f aca="false">IF(AND('Formation Ledger'!A934&lt;&gt;"",'Formation Ledger'!V934=0),"PASS","FAIL")</f>
        <v>PASS</v>
      </c>
      <c r="F955" s="9" t="s">
        <v>76</v>
      </c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customFormat="false" ht="15" hidden="false" customHeight="false" outlineLevel="0" collapsed="false">
      <c r="A956" s="9" t="s">
        <v>6799</v>
      </c>
      <c r="B956" s="9" t="s">
        <v>5870</v>
      </c>
      <c r="C956" s="9" t="s">
        <v>1158</v>
      </c>
      <c r="D956" s="9" t="s">
        <v>5871</v>
      </c>
      <c r="E956" s="9" t="str">
        <f aca="false">IF(AND('Formation Ledger'!A935&lt;&gt;"",'Formation Ledger'!V935=0),"PASS","FAIL")</f>
        <v>PASS</v>
      </c>
      <c r="F956" s="9" t="s">
        <v>76</v>
      </c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customFormat="false" ht="15" hidden="false" customHeight="false" outlineLevel="0" collapsed="false">
      <c r="A957" s="9" t="s">
        <v>6800</v>
      </c>
      <c r="B957" s="9" t="s">
        <v>5870</v>
      </c>
      <c r="C957" s="9" t="s">
        <v>1159</v>
      </c>
      <c r="D957" s="9" t="s">
        <v>5871</v>
      </c>
      <c r="E957" s="9" t="str">
        <f aca="false">IF(AND('Formation Ledger'!A936&lt;&gt;"",'Formation Ledger'!V936=0),"PASS","FAIL")</f>
        <v>PASS</v>
      </c>
      <c r="F957" s="9" t="s">
        <v>76</v>
      </c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customFormat="false" ht="15" hidden="false" customHeight="false" outlineLevel="0" collapsed="false">
      <c r="A958" s="9" t="s">
        <v>6801</v>
      </c>
      <c r="B958" s="9" t="s">
        <v>5870</v>
      </c>
      <c r="C958" s="9" t="s">
        <v>1160</v>
      </c>
      <c r="D958" s="9" t="s">
        <v>5871</v>
      </c>
      <c r="E958" s="9" t="str">
        <f aca="false">IF(AND('Formation Ledger'!A937&lt;&gt;"",'Formation Ledger'!V937=0),"PASS","FAIL")</f>
        <v>PASS</v>
      </c>
      <c r="F958" s="9" t="s">
        <v>76</v>
      </c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customFormat="false" ht="15" hidden="false" customHeight="false" outlineLevel="0" collapsed="false">
      <c r="A959" s="9" t="s">
        <v>6802</v>
      </c>
      <c r="B959" s="9" t="s">
        <v>5870</v>
      </c>
      <c r="C959" s="9" t="s">
        <v>1161</v>
      </c>
      <c r="D959" s="9" t="s">
        <v>5871</v>
      </c>
      <c r="E959" s="9" t="str">
        <f aca="false">IF(AND('Formation Ledger'!A938&lt;&gt;"",'Formation Ledger'!V938=0),"PASS","FAIL")</f>
        <v>PASS</v>
      </c>
      <c r="F959" s="9" t="s">
        <v>76</v>
      </c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customFormat="false" ht="15" hidden="false" customHeight="false" outlineLevel="0" collapsed="false">
      <c r="A960" s="9" t="s">
        <v>6803</v>
      </c>
      <c r="B960" s="9" t="s">
        <v>5870</v>
      </c>
      <c r="C960" s="9" t="s">
        <v>1162</v>
      </c>
      <c r="D960" s="9" t="s">
        <v>5871</v>
      </c>
      <c r="E960" s="9" t="str">
        <f aca="false">IF(AND('Formation Ledger'!A939&lt;&gt;"",'Formation Ledger'!V939=0),"PASS","FAIL")</f>
        <v>PASS</v>
      </c>
      <c r="F960" s="9" t="s">
        <v>76</v>
      </c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customFormat="false" ht="15" hidden="false" customHeight="false" outlineLevel="0" collapsed="false">
      <c r="A961" s="9" t="s">
        <v>6804</v>
      </c>
      <c r="B961" s="9" t="s">
        <v>5870</v>
      </c>
      <c r="C961" s="9" t="s">
        <v>1163</v>
      </c>
      <c r="D961" s="9" t="s">
        <v>5871</v>
      </c>
      <c r="E961" s="9" t="str">
        <f aca="false">IF(AND('Formation Ledger'!A940&lt;&gt;"",'Formation Ledger'!V940=0),"PASS","FAIL")</f>
        <v>PASS</v>
      </c>
      <c r="F961" s="9" t="s">
        <v>76</v>
      </c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customFormat="false" ht="15" hidden="false" customHeight="false" outlineLevel="0" collapsed="false">
      <c r="A962" s="9" t="s">
        <v>6805</v>
      </c>
      <c r="B962" s="9" t="s">
        <v>5870</v>
      </c>
      <c r="C962" s="9" t="s">
        <v>1164</v>
      </c>
      <c r="D962" s="9" t="s">
        <v>5871</v>
      </c>
      <c r="E962" s="9" t="str">
        <f aca="false">IF(AND('Formation Ledger'!A941&lt;&gt;"",'Formation Ledger'!V941=0),"PASS","FAIL")</f>
        <v>PASS</v>
      </c>
      <c r="F962" s="9" t="s">
        <v>76</v>
      </c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customFormat="false" ht="15" hidden="false" customHeight="false" outlineLevel="0" collapsed="false">
      <c r="A963" s="9" t="s">
        <v>6806</v>
      </c>
      <c r="B963" s="9" t="s">
        <v>5870</v>
      </c>
      <c r="C963" s="9" t="s">
        <v>1165</v>
      </c>
      <c r="D963" s="9" t="s">
        <v>5871</v>
      </c>
      <c r="E963" s="9" t="str">
        <f aca="false">IF(AND('Formation Ledger'!A942&lt;&gt;"",'Formation Ledger'!V942=0),"PASS","FAIL")</f>
        <v>PASS</v>
      </c>
      <c r="F963" s="9" t="s">
        <v>76</v>
      </c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customFormat="false" ht="15" hidden="false" customHeight="false" outlineLevel="0" collapsed="false">
      <c r="A964" s="9" t="s">
        <v>6807</v>
      </c>
      <c r="B964" s="9" t="s">
        <v>5870</v>
      </c>
      <c r="C964" s="9" t="s">
        <v>1166</v>
      </c>
      <c r="D964" s="9" t="s">
        <v>5871</v>
      </c>
      <c r="E964" s="9" t="str">
        <f aca="false">IF(AND('Formation Ledger'!A943&lt;&gt;"",'Formation Ledger'!V943=0),"PASS","FAIL")</f>
        <v>PASS</v>
      </c>
      <c r="F964" s="9" t="s">
        <v>76</v>
      </c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customFormat="false" ht="15" hidden="false" customHeight="false" outlineLevel="0" collapsed="false">
      <c r="A965" s="9" t="s">
        <v>6808</v>
      </c>
      <c r="B965" s="9" t="s">
        <v>5870</v>
      </c>
      <c r="C965" s="9" t="s">
        <v>1167</v>
      </c>
      <c r="D965" s="9" t="s">
        <v>5871</v>
      </c>
      <c r="E965" s="9" t="str">
        <f aca="false">IF(AND('Formation Ledger'!A944&lt;&gt;"",'Formation Ledger'!V944=0),"PASS","FAIL")</f>
        <v>PASS</v>
      </c>
      <c r="F965" s="9" t="s">
        <v>76</v>
      </c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customFormat="false" ht="15" hidden="false" customHeight="false" outlineLevel="0" collapsed="false">
      <c r="A966" s="9" t="s">
        <v>6809</v>
      </c>
      <c r="B966" s="9" t="s">
        <v>5870</v>
      </c>
      <c r="C966" s="9" t="s">
        <v>1168</v>
      </c>
      <c r="D966" s="9" t="s">
        <v>5871</v>
      </c>
      <c r="E966" s="9" t="str">
        <f aca="false">IF(AND('Formation Ledger'!A945&lt;&gt;"",'Formation Ledger'!V945=0),"PASS","FAIL")</f>
        <v>PASS</v>
      </c>
      <c r="F966" s="9" t="s">
        <v>76</v>
      </c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customFormat="false" ht="15" hidden="false" customHeight="false" outlineLevel="0" collapsed="false">
      <c r="A967" s="9" t="s">
        <v>6810</v>
      </c>
      <c r="B967" s="9" t="s">
        <v>5870</v>
      </c>
      <c r="C967" s="9" t="s">
        <v>1169</v>
      </c>
      <c r="D967" s="9" t="s">
        <v>5871</v>
      </c>
      <c r="E967" s="9" t="str">
        <f aca="false">IF(AND('Formation Ledger'!A946&lt;&gt;"",'Formation Ledger'!V946=0),"PASS","FAIL")</f>
        <v>PASS</v>
      </c>
      <c r="F967" s="9" t="s">
        <v>76</v>
      </c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customFormat="false" ht="15" hidden="false" customHeight="false" outlineLevel="0" collapsed="false">
      <c r="A968" s="9" t="s">
        <v>6811</v>
      </c>
      <c r="B968" s="9" t="s">
        <v>5870</v>
      </c>
      <c r="C968" s="9" t="s">
        <v>1170</v>
      </c>
      <c r="D968" s="9" t="s">
        <v>5871</v>
      </c>
      <c r="E968" s="9" t="str">
        <f aca="false">IF(AND('Formation Ledger'!A947&lt;&gt;"",'Formation Ledger'!V947=0),"PASS","FAIL")</f>
        <v>PASS</v>
      </c>
      <c r="F968" s="9" t="s">
        <v>76</v>
      </c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customFormat="false" ht="15" hidden="false" customHeight="false" outlineLevel="0" collapsed="false">
      <c r="A969" s="9" t="s">
        <v>6812</v>
      </c>
      <c r="B969" s="9" t="s">
        <v>5870</v>
      </c>
      <c r="C969" s="9" t="s">
        <v>1171</v>
      </c>
      <c r="D969" s="9" t="s">
        <v>5871</v>
      </c>
      <c r="E969" s="9" t="str">
        <f aca="false">IF(AND('Formation Ledger'!A948&lt;&gt;"",'Formation Ledger'!V948=0),"PASS","FAIL")</f>
        <v>PASS</v>
      </c>
      <c r="F969" s="9" t="s">
        <v>76</v>
      </c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customFormat="false" ht="15" hidden="false" customHeight="false" outlineLevel="0" collapsed="false">
      <c r="A970" s="9" t="s">
        <v>6813</v>
      </c>
      <c r="B970" s="9" t="s">
        <v>5870</v>
      </c>
      <c r="C970" s="9" t="s">
        <v>1172</v>
      </c>
      <c r="D970" s="9" t="s">
        <v>5871</v>
      </c>
      <c r="E970" s="9" t="str">
        <f aca="false">IF(AND('Formation Ledger'!A949&lt;&gt;"",'Formation Ledger'!V949=0),"PASS","FAIL")</f>
        <v>PASS</v>
      </c>
      <c r="F970" s="9" t="s">
        <v>76</v>
      </c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customFormat="false" ht="15" hidden="false" customHeight="false" outlineLevel="0" collapsed="false">
      <c r="A971" s="9" t="s">
        <v>6814</v>
      </c>
      <c r="B971" s="9" t="s">
        <v>5870</v>
      </c>
      <c r="C971" s="9" t="s">
        <v>1173</v>
      </c>
      <c r="D971" s="9" t="s">
        <v>5871</v>
      </c>
      <c r="E971" s="9" t="str">
        <f aca="false">IF(AND('Formation Ledger'!A950&lt;&gt;"",'Formation Ledger'!V950=0),"PASS","FAIL")</f>
        <v>PASS</v>
      </c>
      <c r="F971" s="9" t="s">
        <v>76</v>
      </c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customFormat="false" ht="15" hidden="false" customHeight="false" outlineLevel="0" collapsed="false">
      <c r="A972" s="9" t="s">
        <v>6815</v>
      </c>
      <c r="B972" s="9" t="s">
        <v>5870</v>
      </c>
      <c r="C972" s="9" t="s">
        <v>1174</v>
      </c>
      <c r="D972" s="9" t="s">
        <v>5871</v>
      </c>
      <c r="E972" s="9" t="str">
        <f aca="false">IF(AND('Formation Ledger'!A951&lt;&gt;"",'Formation Ledger'!V951=0),"PASS","FAIL")</f>
        <v>PASS</v>
      </c>
      <c r="F972" s="9" t="s">
        <v>76</v>
      </c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customFormat="false" ht="15" hidden="false" customHeight="false" outlineLevel="0" collapsed="false">
      <c r="A973" s="9" t="s">
        <v>6816</v>
      </c>
      <c r="B973" s="9" t="s">
        <v>5870</v>
      </c>
      <c r="C973" s="9" t="s">
        <v>1175</v>
      </c>
      <c r="D973" s="9" t="s">
        <v>5871</v>
      </c>
      <c r="E973" s="9" t="str">
        <f aca="false">IF(AND('Formation Ledger'!A952&lt;&gt;"",'Formation Ledger'!V952=0),"PASS","FAIL")</f>
        <v>PASS</v>
      </c>
      <c r="F973" s="9" t="s">
        <v>76</v>
      </c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customFormat="false" ht="15" hidden="false" customHeight="false" outlineLevel="0" collapsed="false">
      <c r="A974" s="9" t="s">
        <v>6817</v>
      </c>
      <c r="B974" s="9" t="s">
        <v>5870</v>
      </c>
      <c r="C974" s="9" t="s">
        <v>1176</v>
      </c>
      <c r="D974" s="9" t="s">
        <v>5871</v>
      </c>
      <c r="E974" s="9" t="str">
        <f aca="false">IF(AND('Formation Ledger'!A953&lt;&gt;"",'Formation Ledger'!V953=0),"PASS","FAIL")</f>
        <v>PASS</v>
      </c>
      <c r="F974" s="9" t="s">
        <v>76</v>
      </c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customFormat="false" ht="15" hidden="false" customHeight="false" outlineLevel="0" collapsed="false">
      <c r="A975" s="9" t="s">
        <v>6818</v>
      </c>
      <c r="B975" s="9" t="s">
        <v>5870</v>
      </c>
      <c r="C975" s="9" t="s">
        <v>1177</v>
      </c>
      <c r="D975" s="9" t="s">
        <v>5871</v>
      </c>
      <c r="E975" s="9" t="str">
        <f aca="false">IF(AND('Formation Ledger'!A954&lt;&gt;"",'Formation Ledger'!V954=0),"PASS","FAIL")</f>
        <v>PASS</v>
      </c>
      <c r="F975" s="9" t="s">
        <v>76</v>
      </c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customFormat="false" ht="15" hidden="false" customHeight="false" outlineLevel="0" collapsed="false">
      <c r="A976" s="9" t="s">
        <v>6819</v>
      </c>
      <c r="B976" s="9" t="s">
        <v>5870</v>
      </c>
      <c r="C976" s="9" t="s">
        <v>1178</v>
      </c>
      <c r="D976" s="9" t="s">
        <v>5871</v>
      </c>
      <c r="E976" s="9" t="str">
        <f aca="false">IF(AND('Formation Ledger'!A955&lt;&gt;"",'Formation Ledger'!V955=0),"PASS","FAIL")</f>
        <v>PASS</v>
      </c>
      <c r="F976" s="9" t="s">
        <v>76</v>
      </c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customFormat="false" ht="15" hidden="false" customHeight="false" outlineLevel="0" collapsed="false">
      <c r="A977" s="9" t="s">
        <v>6820</v>
      </c>
      <c r="B977" s="9" t="s">
        <v>5870</v>
      </c>
      <c r="C977" s="9" t="s">
        <v>1179</v>
      </c>
      <c r="D977" s="9" t="s">
        <v>5871</v>
      </c>
      <c r="E977" s="9" t="str">
        <f aca="false">IF(AND('Formation Ledger'!A956&lt;&gt;"",'Formation Ledger'!V956=0),"PASS","FAIL")</f>
        <v>PASS</v>
      </c>
      <c r="F977" s="9" t="s">
        <v>76</v>
      </c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customFormat="false" ht="15" hidden="false" customHeight="false" outlineLevel="0" collapsed="false">
      <c r="A978" s="9" t="s">
        <v>6821</v>
      </c>
      <c r="B978" s="9" t="s">
        <v>5870</v>
      </c>
      <c r="C978" s="9" t="s">
        <v>1180</v>
      </c>
      <c r="D978" s="9" t="s">
        <v>5871</v>
      </c>
      <c r="E978" s="9" t="str">
        <f aca="false">IF(AND('Formation Ledger'!A957&lt;&gt;"",'Formation Ledger'!V957=0),"PASS","FAIL")</f>
        <v>PASS</v>
      </c>
      <c r="F978" s="9" t="s">
        <v>76</v>
      </c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customFormat="false" ht="15" hidden="false" customHeight="false" outlineLevel="0" collapsed="false">
      <c r="A979" s="9" t="s">
        <v>6822</v>
      </c>
      <c r="B979" s="9" t="s">
        <v>5870</v>
      </c>
      <c r="C979" s="9" t="s">
        <v>1181</v>
      </c>
      <c r="D979" s="9" t="s">
        <v>5871</v>
      </c>
      <c r="E979" s="9" t="str">
        <f aca="false">IF(AND('Formation Ledger'!A958&lt;&gt;"",'Formation Ledger'!V958=0),"PASS","FAIL")</f>
        <v>PASS</v>
      </c>
      <c r="F979" s="9" t="s">
        <v>76</v>
      </c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customFormat="false" ht="15" hidden="false" customHeight="false" outlineLevel="0" collapsed="false">
      <c r="A980" s="9" t="s">
        <v>6823</v>
      </c>
      <c r="B980" s="9" t="s">
        <v>5870</v>
      </c>
      <c r="C980" s="9" t="s">
        <v>1182</v>
      </c>
      <c r="D980" s="9" t="s">
        <v>5871</v>
      </c>
      <c r="E980" s="9" t="str">
        <f aca="false">IF(AND('Formation Ledger'!A959&lt;&gt;"",'Formation Ledger'!V959=0),"PASS","FAIL")</f>
        <v>PASS</v>
      </c>
      <c r="F980" s="9" t="s">
        <v>76</v>
      </c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customFormat="false" ht="15" hidden="false" customHeight="false" outlineLevel="0" collapsed="false">
      <c r="A981" s="9" t="s">
        <v>6824</v>
      </c>
      <c r="B981" s="9" t="s">
        <v>5870</v>
      </c>
      <c r="C981" s="9" t="s">
        <v>1183</v>
      </c>
      <c r="D981" s="9" t="s">
        <v>5871</v>
      </c>
      <c r="E981" s="9" t="str">
        <f aca="false">IF(AND('Formation Ledger'!A960&lt;&gt;"",'Formation Ledger'!V960=0),"PASS","FAIL")</f>
        <v>PASS</v>
      </c>
      <c r="F981" s="9" t="s">
        <v>76</v>
      </c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customFormat="false" ht="15" hidden="false" customHeight="false" outlineLevel="0" collapsed="false">
      <c r="A982" s="9" t="s">
        <v>6825</v>
      </c>
      <c r="B982" s="9" t="s">
        <v>5870</v>
      </c>
      <c r="C982" s="9" t="s">
        <v>1184</v>
      </c>
      <c r="D982" s="9" t="s">
        <v>5871</v>
      </c>
      <c r="E982" s="9" t="str">
        <f aca="false">IF(AND('Formation Ledger'!A961&lt;&gt;"",'Formation Ledger'!V961=0),"PASS","FAIL")</f>
        <v>PASS</v>
      </c>
      <c r="F982" s="9" t="s">
        <v>76</v>
      </c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customFormat="false" ht="15" hidden="false" customHeight="false" outlineLevel="0" collapsed="false">
      <c r="A983" s="9" t="s">
        <v>6826</v>
      </c>
      <c r="B983" s="9" t="s">
        <v>5870</v>
      </c>
      <c r="C983" s="9" t="s">
        <v>1185</v>
      </c>
      <c r="D983" s="9" t="s">
        <v>5871</v>
      </c>
      <c r="E983" s="9" t="str">
        <f aca="false">IF(AND('Formation Ledger'!A962&lt;&gt;"",'Formation Ledger'!V962=0),"PASS","FAIL")</f>
        <v>PASS</v>
      </c>
      <c r="F983" s="9" t="s">
        <v>76</v>
      </c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customFormat="false" ht="15" hidden="false" customHeight="false" outlineLevel="0" collapsed="false">
      <c r="A984" s="9" t="s">
        <v>6827</v>
      </c>
      <c r="B984" s="9" t="s">
        <v>5870</v>
      </c>
      <c r="C984" s="9" t="s">
        <v>1186</v>
      </c>
      <c r="D984" s="9" t="s">
        <v>5871</v>
      </c>
      <c r="E984" s="9" t="str">
        <f aca="false">IF(AND('Formation Ledger'!A963&lt;&gt;"",'Formation Ledger'!V963=0),"PASS","FAIL")</f>
        <v>PASS</v>
      </c>
      <c r="F984" s="9" t="s">
        <v>76</v>
      </c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customFormat="false" ht="15" hidden="false" customHeight="false" outlineLevel="0" collapsed="false">
      <c r="A985" s="9" t="s">
        <v>6828</v>
      </c>
      <c r="B985" s="9" t="s">
        <v>5870</v>
      </c>
      <c r="C985" s="9" t="s">
        <v>1187</v>
      </c>
      <c r="D985" s="9" t="s">
        <v>5871</v>
      </c>
      <c r="E985" s="9" t="str">
        <f aca="false">IF(AND('Formation Ledger'!A964&lt;&gt;"",'Formation Ledger'!V964=0),"PASS","FAIL")</f>
        <v>PASS</v>
      </c>
      <c r="F985" s="9" t="s">
        <v>76</v>
      </c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customFormat="false" ht="15" hidden="false" customHeight="false" outlineLevel="0" collapsed="false">
      <c r="A986" s="9" t="s">
        <v>6829</v>
      </c>
      <c r="B986" s="9" t="s">
        <v>5870</v>
      </c>
      <c r="C986" s="9" t="s">
        <v>1188</v>
      </c>
      <c r="D986" s="9" t="s">
        <v>5871</v>
      </c>
      <c r="E986" s="9" t="str">
        <f aca="false">IF(AND('Formation Ledger'!A965&lt;&gt;"",'Formation Ledger'!V965=0),"PASS","FAIL")</f>
        <v>PASS</v>
      </c>
      <c r="F986" s="9" t="s">
        <v>76</v>
      </c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customFormat="false" ht="15" hidden="false" customHeight="false" outlineLevel="0" collapsed="false">
      <c r="A987" s="9" t="s">
        <v>6830</v>
      </c>
      <c r="B987" s="9" t="s">
        <v>5870</v>
      </c>
      <c r="C987" s="9" t="s">
        <v>1189</v>
      </c>
      <c r="D987" s="9" t="s">
        <v>5871</v>
      </c>
      <c r="E987" s="9" t="str">
        <f aca="false">IF(AND('Formation Ledger'!A966&lt;&gt;"",'Formation Ledger'!V966=0),"PASS","FAIL")</f>
        <v>PASS</v>
      </c>
      <c r="F987" s="9" t="s">
        <v>76</v>
      </c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customFormat="false" ht="15" hidden="false" customHeight="false" outlineLevel="0" collapsed="false">
      <c r="A988" s="9" t="s">
        <v>6831</v>
      </c>
      <c r="B988" s="9" t="s">
        <v>5870</v>
      </c>
      <c r="C988" s="9" t="s">
        <v>1190</v>
      </c>
      <c r="D988" s="9" t="s">
        <v>5871</v>
      </c>
      <c r="E988" s="9" t="str">
        <f aca="false">IF(AND('Formation Ledger'!A967&lt;&gt;"",'Formation Ledger'!V967=0),"PASS","FAIL")</f>
        <v>PASS</v>
      </c>
      <c r="F988" s="9" t="s">
        <v>76</v>
      </c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customFormat="false" ht="15" hidden="false" customHeight="false" outlineLevel="0" collapsed="false">
      <c r="A989" s="9" t="s">
        <v>6832</v>
      </c>
      <c r="B989" s="9" t="s">
        <v>5870</v>
      </c>
      <c r="C989" s="9" t="s">
        <v>1191</v>
      </c>
      <c r="D989" s="9" t="s">
        <v>5871</v>
      </c>
      <c r="E989" s="9" t="str">
        <f aca="false">IF(AND('Formation Ledger'!A968&lt;&gt;"",'Formation Ledger'!V968=0),"PASS","FAIL")</f>
        <v>PASS</v>
      </c>
      <c r="F989" s="9" t="s">
        <v>76</v>
      </c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customFormat="false" ht="15" hidden="false" customHeight="false" outlineLevel="0" collapsed="false">
      <c r="A990" s="9" t="s">
        <v>6833</v>
      </c>
      <c r="B990" s="9" t="s">
        <v>5870</v>
      </c>
      <c r="C990" s="9" t="s">
        <v>1192</v>
      </c>
      <c r="D990" s="9" t="s">
        <v>5871</v>
      </c>
      <c r="E990" s="9" t="str">
        <f aca="false">IF(AND('Formation Ledger'!A969&lt;&gt;"",'Formation Ledger'!V969=0),"PASS","FAIL")</f>
        <v>PASS</v>
      </c>
      <c r="F990" s="9" t="s">
        <v>76</v>
      </c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customFormat="false" ht="15" hidden="false" customHeight="false" outlineLevel="0" collapsed="false">
      <c r="A991" s="9" t="s">
        <v>6834</v>
      </c>
      <c r="B991" s="9" t="s">
        <v>5870</v>
      </c>
      <c r="C991" s="9" t="s">
        <v>1193</v>
      </c>
      <c r="D991" s="9" t="s">
        <v>5871</v>
      </c>
      <c r="E991" s="9" t="str">
        <f aca="false">IF(AND('Formation Ledger'!A970&lt;&gt;"",'Formation Ledger'!V970=0),"PASS","FAIL")</f>
        <v>PASS</v>
      </c>
      <c r="F991" s="9" t="s">
        <v>76</v>
      </c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customFormat="false" ht="15" hidden="false" customHeight="false" outlineLevel="0" collapsed="false">
      <c r="A992" s="9" t="s">
        <v>6835</v>
      </c>
      <c r="B992" s="9" t="s">
        <v>5870</v>
      </c>
      <c r="C992" s="9" t="s">
        <v>1194</v>
      </c>
      <c r="D992" s="9" t="s">
        <v>5871</v>
      </c>
      <c r="E992" s="9" t="str">
        <f aca="false">IF(AND('Formation Ledger'!A971&lt;&gt;"",'Formation Ledger'!V971=0),"PASS","FAIL")</f>
        <v>PASS</v>
      </c>
      <c r="F992" s="9" t="s">
        <v>76</v>
      </c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customFormat="false" ht="15" hidden="false" customHeight="false" outlineLevel="0" collapsed="false">
      <c r="A993" s="9" t="s">
        <v>6836</v>
      </c>
      <c r="B993" s="9" t="s">
        <v>5870</v>
      </c>
      <c r="C993" s="9" t="s">
        <v>1195</v>
      </c>
      <c r="D993" s="9" t="s">
        <v>5871</v>
      </c>
      <c r="E993" s="9" t="str">
        <f aca="false">IF(AND('Formation Ledger'!A972&lt;&gt;"",'Formation Ledger'!V972=0),"PASS","FAIL")</f>
        <v>PASS</v>
      </c>
      <c r="F993" s="9" t="s">
        <v>76</v>
      </c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customFormat="false" ht="15" hidden="false" customHeight="false" outlineLevel="0" collapsed="false">
      <c r="A994" s="9" t="s">
        <v>6837</v>
      </c>
      <c r="B994" s="9" t="s">
        <v>5870</v>
      </c>
      <c r="C994" s="9" t="s">
        <v>1196</v>
      </c>
      <c r="D994" s="9" t="s">
        <v>5871</v>
      </c>
      <c r="E994" s="9" t="str">
        <f aca="false">IF(AND('Formation Ledger'!A973&lt;&gt;"",'Formation Ledger'!V973=0),"PASS","FAIL")</f>
        <v>PASS</v>
      </c>
      <c r="F994" s="9" t="s">
        <v>76</v>
      </c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customFormat="false" ht="15" hidden="false" customHeight="false" outlineLevel="0" collapsed="false">
      <c r="A995" s="9" t="s">
        <v>6838</v>
      </c>
      <c r="B995" s="9" t="s">
        <v>5870</v>
      </c>
      <c r="C995" s="9" t="s">
        <v>1197</v>
      </c>
      <c r="D995" s="9" t="s">
        <v>5871</v>
      </c>
      <c r="E995" s="9" t="str">
        <f aca="false">IF(AND('Formation Ledger'!A974&lt;&gt;"",'Formation Ledger'!V974=0),"PASS","FAIL")</f>
        <v>PASS</v>
      </c>
      <c r="F995" s="9" t="s">
        <v>76</v>
      </c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customFormat="false" ht="15" hidden="false" customHeight="false" outlineLevel="0" collapsed="false">
      <c r="A996" s="9" t="s">
        <v>6839</v>
      </c>
      <c r="B996" s="9" t="s">
        <v>5870</v>
      </c>
      <c r="C996" s="9" t="s">
        <v>1198</v>
      </c>
      <c r="D996" s="9" t="s">
        <v>5871</v>
      </c>
      <c r="E996" s="9" t="str">
        <f aca="false">IF(AND('Formation Ledger'!A975&lt;&gt;"",'Formation Ledger'!V975=0),"PASS","FAIL")</f>
        <v>PASS</v>
      </c>
      <c r="F996" s="9" t="s">
        <v>76</v>
      </c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customFormat="false" ht="15" hidden="false" customHeight="false" outlineLevel="0" collapsed="false">
      <c r="A997" s="9" t="s">
        <v>6840</v>
      </c>
      <c r="B997" s="9" t="s">
        <v>5870</v>
      </c>
      <c r="C997" s="9" t="s">
        <v>1199</v>
      </c>
      <c r="D997" s="9" t="s">
        <v>5871</v>
      </c>
      <c r="E997" s="9" t="str">
        <f aca="false">IF(AND('Formation Ledger'!A976&lt;&gt;"",'Formation Ledger'!V976=0),"PASS","FAIL")</f>
        <v>PASS</v>
      </c>
      <c r="F997" s="9" t="s">
        <v>76</v>
      </c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customFormat="false" ht="15" hidden="false" customHeight="false" outlineLevel="0" collapsed="false">
      <c r="A998" s="9" t="s">
        <v>6841</v>
      </c>
      <c r="B998" s="9" t="s">
        <v>5870</v>
      </c>
      <c r="C998" s="9" t="s">
        <v>1200</v>
      </c>
      <c r="D998" s="9" t="s">
        <v>5871</v>
      </c>
      <c r="E998" s="9" t="str">
        <f aca="false">IF(AND('Formation Ledger'!A977&lt;&gt;"",'Formation Ledger'!V977=0),"PASS","FAIL")</f>
        <v>PASS</v>
      </c>
      <c r="F998" s="9" t="s">
        <v>76</v>
      </c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customFormat="false" ht="15" hidden="false" customHeight="false" outlineLevel="0" collapsed="false">
      <c r="A999" s="9" t="s">
        <v>6842</v>
      </c>
      <c r="B999" s="9" t="s">
        <v>5870</v>
      </c>
      <c r="C999" s="9" t="s">
        <v>1201</v>
      </c>
      <c r="D999" s="9" t="s">
        <v>5871</v>
      </c>
      <c r="E999" s="9" t="str">
        <f aca="false">IF(AND('Formation Ledger'!A978&lt;&gt;"",'Formation Ledger'!V978=0),"PASS","FAIL")</f>
        <v>PASS</v>
      </c>
      <c r="F999" s="9" t="s">
        <v>76</v>
      </c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customFormat="false" ht="15" hidden="false" customHeight="false" outlineLevel="0" collapsed="false">
      <c r="A1000" s="9" t="s">
        <v>6843</v>
      </c>
      <c r="B1000" s="9" t="s">
        <v>5870</v>
      </c>
      <c r="C1000" s="9" t="s">
        <v>1202</v>
      </c>
      <c r="D1000" s="9" t="s">
        <v>5871</v>
      </c>
      <c r="E1000" s="9" t="str">
        <f aca="false">IF(AND('Formation Ledger'!A979&lt;&gt;"",'Formation Ledger'!V979=0),"PASS","FAIL")</f>
        <v>PASS</v>
      </c>
      <c r="F1000" s="9" t="s">
        <v>76</v>
      </c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customFormat="false" ht="15" hidden="false" customHeight="false" outlineLevel="0" collapsed="false">
      <c r="A1001" s="9" t="s">
        <v>6844</v>
      </c>
      <c r="B1001" s="9" t="s">
        <v>5870</v>
      </c>
      <c r="C1001" s="9" t="s">
        <v>1203</v>
      </c>
      <c r="D1001" s="9" t="s">
        <v>5871</v>
      </c>
      <c r="E1001" s="9" t="str">
        <f aca="false">IF(AND('Formation Ledger'!A980&lt;&gt;"",'Formation Ledger'!V980=0),"PASS","FAIL")</f>
        <v>PASS</v>
      </c>
      <c r="F1001" s="9" t="s">
        <v>76</v>
      </c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 customFormat="false" ht="15" hidden="false" customHeight="false" outlineLevel="0" collapsed="false">
      <c r="A1002" s="9" t="s">
        <v>6845</v>
      </c>
      <c r="B1002" s="9" t="s">
        <v>5870</v>
      </c>
      <c r="C1002" s="9" t="s">
        <v>1204</v>
      </c>
      <c r="D1002" s="9" t="s">
        <v>5871</v>
      </c>
      <c r="E1002" s="9" t="str">
        <f aca="false">IF(AND('Formation Ledger'!A981&lt;&gt;"",'Formation Ledger'!V981=0),"PASS","FAIL")</f>
        <v>PASS</v>
      </c>
      <c r="F1002" s="9" t="s">
        <v>76</v>
      </c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 customFormat="false" ht="15" hidden="false" customHeight="false" outlineLevel="0" collapsed="false">
      <c r="A1003" s="9" t="s">
        <v>6846</v>
      </c>
      <c r="B1003" s="9" t="s">
        <v>5870</v>
      </c>
      <c r="C1003" s="9" t="s">
        <v>1205</v>
      </c>
      <c r="D1003" s="9" t="s">
        <v>5871</v>
      </c>
      <c r="E1003" s="9" t="str">
        <f aca="false">IF(AND('Formation Ledger'!A982&lt;&gt;"",'Formation Ledger'!V982=0),"PASS","FAIL")</f>
        <v>PASS</v>
      </c>
      <c r="F1003" s="9" t="s">
        <v>76</v>
      </c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 customFormat="false" ht="15" hidden="false" customHeight="false" outlineLevel="0" collapsed="false">
      <c r="A1004" s="9" t="s">
        <v>6847</v>
      </c>
      <c r="B1004" s="9" t="s">
        <v>5870</v>
      </c>
      <c r="C1004" s="9" t="s">
        <v>1206</v>
      </c>
      <c r="D1004" s="9" t="s">
        <v>5871</v>
      </c>
      <c r="E1004" s="9" t="str">
        <f aca="false">IF(AND('Formation Ledger'!A983&lt;&gt;"",'Formation Ledger'!V983=0),"PASS","FAIL")</f>
        <v>PASS</v>
      </c>
      <c r="F1004" s="9" t="s">
        <v>76</v>
      </c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 customFormat="false" ht="15" hidden="false" customHeight="false" outlineLevel="0" collapsed="false">
      <c r="A1005" s="9" t="s">
        <v>6848</v>
      </c>
      <c r="B1005" s="9" t="s">
        <v>5870</v>
      </c>
      <c r="C1005" s="9" t="s">
        <v>1207</v>
      </c>
      <c r="D1005" s="9" t="s">
        <v>5871</v>
      </c>
      <c r="E1005" s="9" t="str">
        <f aca="false">IF(AND('Formation Ledger'!A984&lt;&gt;"",'Formation Ledger'!V984=0),"PASS","FAIL")</f>
        <v>PASS</v>
      </c>
      <c r="F1005" s="9" t="s">
        <v>76</v>
      </c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 customFormat="false" ht="15" hidden="false" customHeight="false" outlineLevel="0" collapsed="false">
      <c r="A1006" s="9" t="s">
        <v>6849</v>
      </c>
      <c r="B1006" s="9" t="s">
        <v>5870</v>
      </c>
      <c r="C1006" s="9" t="s">
        <v>1208</v>
      </c>
      <c r="D1006" s="9" t="s">
        <v>5871</v>
      </c>
      <c r="E1006" s="9" t="str">
        <f aca="false">IF(AND('Formation Ledger'!A985&lt;&gt;"",'Formation Ledger'!V985=0),"PASS","FAIL")</f>
        <v>PASS</v>
      </c>
      <c r="F1006" s="9" t="s">
        <v>76</v>
      </c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 customFormat="false" ht="15" hidden="false" customHeight="false" outlineLevel="0" collapsed="false">
      <c r="A1007" s="9" t="s">
        <v>6850</v>
      </c>
      <c r="B1007" s="9" t="s">
        <v>5870</v>
      </c>
      <c r="C1007" s="9" t="s">
        <v>1209</v>
      </c>
      <c r="D1007" s="9" t="s">
        <v>5871</v>
      </c>
      <c r="E1007" s="9" t="str">
        <f aca="false">IF(AND('Formation Ledger'!A986&lt;&gt;"",'Formation Ledger'!V986=0),"PASS","FAIL")</f>
        <v>PASS</v>
      </c>
      <c r="F1007" s="9" t="s">
        <v>76</v>
      </c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 customFormat="false" ht="15" hidden="false" customHeight="false" outlineLevel="0" collapsed="false">
      <c r="A1008" s="9" t="s">
        <v>6851</v>
      </c>
      <c r="B1008" s="9" t="s">
        <v>5870</v>
      </c>
      <c r="C1008" s="9" t="s">
        <v>1210</v>
      </c>
      <c r="D1008" s="9" t="s">
        <v>5871</v>
      </c>
      <c r="E1008" s="9" t="str">
        <f aca="false">IF(AND('Formation Ledger'!A987&lt;&gt;"",'Formation Ledger'!V987=0),"PASS","FAIL")</f>
        <v>PASS</v>
      </c>
      <c r="F1008" s="9" t="s">
        <v>76</v>
      </c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 customFormat="false" ht="15" hidden="false" customHeight="false" outlineLevel="0" collapsed="false">
      <c r="A1009" s="9" t="s">
        <v>6852</v>
      </c>
      <c r="B1009" s="9" t="s">
        <v>5870</v>
      </c>
      <c r="C1009" s="9" t="s">
        <v>1211</v>
      </c>
      <c r="D1009" s="9" t="s">
        <v>5871</v>
      </c>
      <c r="E1009" s="9" t="str">
        <f aca="false">IF(AND('Formation Ledger'!A988&lt;&gt;"",'Formation Ledger'!V988=0),"PASS","FAIL")</f>
        <v>PASS</v>
      </c>
      <c r="F1009" s="9" t="s">
        <v>76</v>
      </c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  <row r="1010" customFormat="false" ht="15" hidden="false" customHeight="false" outlineLevel="0" collapsed="false">
      <c r="A1010" s="9" t="s">
        <v>6853</v>
      </c>
      <c r="B1010" s="9" t="s">
        <v>5870</v>
      </c>
      <c r="C1010" s="9" t="s">
        <v>1212</v>
      </c>
      <c r="D1010" s="9" t="s">
        <v>5871</v>
      </c>
      <c r="E1010" s="9" t="str">
        <f aca="false">IF(AND('Formation Ledger'!A989&lt;&gt;"",'Formation Ledger'!V989=0),"PASS","FAIL")</f>
        <v>PASS</v>
      </c>
      <c r="F1010" s="9" t="s">
        <v>76</v>
      </c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</row>
    <row r="1011" customFormat="false" ht="15" hidden="false" customHeight="false" outlineLevel="0" collapsed="false">
      <c r="A1011" s="9" t="s">
        <v>6854</v>
      </c>
      <c r="B1011" s="9" t="s">
        <v>5870</v>
      </c>
      <c r="C1011" s="9" t="s">
        <v>1216</v>
      </c>
      <c r="D1011" s="9" t="s">
        <v>5871</v>
      </c>
      <c r="E1011" s="9" t="str">
        <f aca="false">IF(AND('Formation Ledger'!A990&lt;&gt;"",'Formation Ledger'!V990=0),"PASS","FAIL")</f>
        <v>PASS</v>
      </c>
      <c r="F1011" s="9" t="s">
        <v>76</v>
      </c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</row>
    <row r="1012" customFormat="false" ht="15" hidden="false" customHeight="false" outlineLevel="0" collapsed="false">
      <c r="A1012" s="9" t="s">
        <v>6855</v>
      </c>
      <c r="B1012" s="9" t="s">
        <v>5870</v>
      </c>
      <c r="C1012" s="9" t="s">
        <v>1217</v>
      </c>
      <c r="D1012" s="9" t="s">
        <v>5871</v>
      </c>
      <c r="E1012" s="9" t="str">
        <f aca="false">IF(AND('Formation Ledger'!A991&lt;&gt;"",'Formation Ledger'!V991=0),"PASS","FAIL")</f>
        <v>PASS</v>
      </c>
      <c r="F1012" s="9" t="s">
        <v>76</v>
      </c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</row>
    <row r="1013" customFormat="false" ht="15" hidden="false" customHeight="false" outlineLevel="0" collapsed="false">
      <c r="A1013" s="9" t="s">
        <v>6856</v>
      </c>
      <c r="B1013" s="9" t="s">
        <v>5870</v>
      </c>
      <c r="C1013" s="9" t="s">
        <v>1218</v>
      </c>
      <c r="D1013" s="9" t="s">
        <v>5871</v>
      </c>
      <c r="E1013" s="9" t="str">
        <f aca="false">IF(AND('Formation Ledger'!A992&lt;&gt;"",'Formation Ledger'!V992=0),"PASS","FAIL")</f>
        <v>PASS</v>
      </c>
      <c r="F1013" s="9" t="s">
        <v>76</v>
      </c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</row>
    <row r="1014" customFormat="false" ht="15" hidden="false" customHeight="false" outlineLevel="0" collapsed="false">
      <c r="A1014" s="9" t="s">
        <v>6857</v>
      </c>
      <c r="B1014" s="9" t="s">
        <v>5870</v>
      </c>
      <c r="C1014" s="9" t="s">
        <v>1219</v>
      </c>
      <c r="D1014" s="9" t="s">
        <v>5871</v>
      </c>
      <c r="E1014" s="9" t="str">
        <f aca="false">IF(AND('Formation Ledger'!A993&lt;&gt;"",'Formation Ledger'!V993=0),"PASS","FAIL")</f>
        <v>PASS</v>
      </c>
      <c r="F1014" s="9" t="s">
        <v>76</v>
      </c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</row>
    <row r="1015" customFormat="false" ht="15" hidden="false" customHeight="false" outlineLevel="0" collapsed="false">
      <c r="A1015" s="9" t="s">
        <v>6858</v>
      </c>
      <c r="B1015" s="9" t="s">
        <v>5870</v>
      </c>
      <c r="C1015" s="9" t="s">
        <v>1220</v>
      </c>
      <c r="D1015" s="9" t="s">
        <v>5871</v>
      </c>
      <c r="E1015" s="9" t="str">
        <f aca="false">IF(AND('Formation Ledger'!A994&lt;&gt;"",'Formation Ledger'!V994=0),"PASS","FAIL")</f>
        <v>PASS</v>
      </c>
      <c r="F1015" s="9" t="s">
        <v>76</v>
      </c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</row>
    <row r="1016" customFormat="false" ht="15" hidden="false" customHeight="false" outlineLevel="0" collapsed="false">
      <c r="A1016" s="9" t="s">
        <v>6859</v>
      </c>
      <c r="B1016" s="9" t="s">
        <v>5870</v>
      </c>
      <c r="C1016" s="9" t="s">
        <v>1221</v>
      </c>
      <c r="D1016" s="9" t="s">
        <v>5871</v>
      </c>
      <c r="E1016" s="9" t="str">
        <f aca="false">IF(AND('Formation Ledger'!A995&lt;&gt;"",'Formation Ledger'!V995=0),"PASS","FAIL")</f>
        <v>PASS</v>
      </c>
      <c r="F1016" s="9" t="s">
        <v>76</v>
      </c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</row>
    <row r="1017" customFormat="false" ht="15" hidden="false" customHeight="false" outlineLevel="0" collapsed="false">
      <c r="A1017" s="9" t="s">
        <v>6860</v>
      </c>
      <c r="B1017" s="9" t="s">
        <v>5870</v>
      </c>
      <c r="C1017" s="9" t="s">
        <v>1222</v>
      </c>
      <c r="D1017" s="9" t="s">
        <v>5871</v>
      </c>
      <c r="E1017" s="9" t="str">
        <f aca="false">IF(AND('Formation Ledger'!A996&lt;&gt;"",'Formation Ledger'!V996=0),"PASS","FAIL")</f>
        <v>PASS</v>
      </c>
      <c r="F1017" s="9" t="s">
        <v>76</v>
      </c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</row>
    <row r="1018" customFormat="false" ht="15" hidden="false" customHeight="false" outlineLevel="0" collapsed="false">
      <c r="A1018" s="9" t="s">
        <v>6861</v>
      </c>
      <c r="B1018" s="9" t="s">
        <v>5870</v>
      </c>
      <c r="C1018" s="9" t="s">
        <v>1223</v>
      </c>
      <c r="D1018" s="9" t="s">
        <v>5871</v>
      </c>
      <c r="E1018" s="9" t="str">
        <f aca="false">IF(AND('Formation Ledger'!A997&lt;&gt;"",'Formation Ledger'!V997=0),"PASS","FAIL")</f>
        <v>PASS</v>
      </c>
      <c r="F1018" s="9" t="s">
        <v>76</v>
      </c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</row>
    <row r="1019" customFormat="false" ht="15" hidden="false" customHeight="false" outlineLevel="0" collapsed="false">
      <c r="A1019" s="9" t="s">
        <v>6862</v>
      </c>
      <c r="B1019" s="9" t="s">
        <v>5870</v>
      </c>
      <c r="C1019" s="9" t="s">
        <v>1224</v>
      </c>
      <c r="D1019" s="9" t="s">
        <v>5871</v>
      </c>
      <c r="E1019" s="9" t="str">
        <f aca="false">IF(AND('Formation Ledger'!A998&lt;&gt;"",'Formation Ledger'!V998=0),"PASS","FAIL")</f>
        <v>PASS</v>
      </c>
      <c r="F1019" s="9" t="s">
        <v>76</v>
      </c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</row>
    <row r="1020" customFormat="false" ht="15" hidden="false" customHeight="false" outlineLevel="0" collapsed="false">
      <c r="A1020" s="9" t="s">
        <v>6863</v>
      </c>
      <c r="B1020" s="9" t="s">
        <v>5870</v>
      </c>
      <c r="C1020" s="9" t="s">
        <v>1225</v>
      </c>
      <c r="D1020" s="9" t="s">
        <v>5871</v>
      </c>
      <c r="E1020" s="9" t="str">
        <f aca="false">IF(AND('Formation Ledger'!A999&lt;&gt;"",'Formation Ledger'!V999=0),"PASS","FAIL")</f>
        <v>PASS</v>
      </c>
      <c r="F1020" s="9" t="s">
        <v>76</v>
      </c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</row>
    <row r="1021" customFormat="false" ht="15" hidden="false" customHeight="false" outlineLevel="0" collapsed="false">
      <c r="A1021" s="9" t="s">
        <v>6864</v>
      </c>
      <c r="B1021" s="9" t="s">
        <v>5870</v>
      </c>
      <c r="C1021" s="9" t="s">
        <v>1226</v>
      </c>
      <c r="D1021" s="9" t="s">
        <v>5871</v>
      </c>
      <c r="E1021" s="9" t="str">
        <f aca="false">IF(AND('Formation Ledger'!A1000&lt;&gt;"",'Formation Ledger'!V1000=0),"PASS","FAIL")</f>
        <v>PASS</v>
      </c>
      <c r="F1021" s="9" t="s">
        <v>76</v>
      </c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</row>
    <row r="1022" customFormat="false" ht="15" hidden="false" customHeight="false" outlineLevel="0" collapsed="false">
      <c r="A1022" s="9" t="s">
        <v>6865</v>
      </c>
      <c r="B1022" s="9" t="s">
        <v>5870</v>
      </c>
      <c r="C1022" s="9" t="s">
        <v>1227</v>
      </c>
      <c r="D1022" s="9" t="s">
        <v>5871</v>
      </c>
      <c r="E1022" s="9" t="str">
        <f aca="false">IF(AND('Formation Ledger'!A1001&lt;&gt;"",'Formation Ledger'!V1001=0),"PASS","FAIL")</f>
        <v>PASS</v>
      </c>
      <c r="F1022" s="9" t="s">
        <v>76</v>
      </c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</row>
    <row r="1023" customFormat="false" ht="15" hidden="false" customHeight="false" outlineLevel="0" collapsed="false">
      <c r="A1023" s="9" t="s">
        <v>6866</v>
      </c>
      <c r="B1023" s="9" t="s">
        <v>5870</v>
      </c>
      <c r="C1023" s="9" t="s">
        <v>1228</v>
      </c>
      <c r="D1023" s="9" t="s">
        <v>5871</v>
      </c>
      <c r="E1023" s="9" t="str">
        <f aca="false">IF(AND('Formation Ledger'!A1002&lt;&gt;"",'Formation Ledger'!V1002=0),"PASS","FAIL")</f>
        <v>PASS</v>
      </c>
      <c r="F1023" s="9" t="s">
        <v>76</v>
      </c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</row>
    <row r="1024" customFormat="false" ht="15" hidden="false" customHeight="false" outlineLevel="0" collapsed="false">
      <c r="A1024" s="9" t="s">
        <v>6867</v>
      </c>
      <c r="B1024" s="9" t="s">
        <v>5870</v>
      </c>
      <c r="C1024" s="9" t="s">
        <v>1229</v>
      </c>
      <c r="D1024" s="9" t="s">
        <v>5871</v>
      </c>
      <c r="E1024" s="9" t="str">
        <f aca="false">IF(AND('Formation Ledger'!A1003&lt;&gt;"",'Formation Ledger'!V1003=0),"PASS","FAIL")</f>
        <v>PASS</v>
      </c>
      <c r="F1024" s="9" t="s">
        <v>76</v>
      </c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</row>
    <row r="1025" customFormat="false" ht="15" hidden="false" customHeight="false" outlineLevel="0" collapsed="false">
      <c r="A1025" s="9" t="s">
        <v>6868</v>
      </c>
      <c r="B1025" s="9" t="s">
        <v>5870</v>
      </c>
      <c r="C1025" s="9" t="s">
        <v>1230</v>
      </c>
      <c r="D1025" s="9" t="s">
        <v>5871</v>
      </c>
      <c r="E1025" s="9" t="str">
        <f aca="false">IF(AND('Formation Ledger'!A1004&lt;&gt;"",'Formation Ledger'!V1004=0),"PASS","FAIL")</f>
        <v>PASS</v>
      </c>
      <c r="F1025" s="9" t="s">
        <v>76</v>
      </c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</row>
    <row r="1026" customFormat="false" ht="15" hidden="false" customHeight="false" outlineLevel="0" collapsed="false">
      <c r="A1026" s="9" t="s">
        <v>6869</v>
      </c>
      <c r="B1026" s="9" t="s">
        <v>5870</v>
      </c>
      <c r="C1026" s="9" t="s">
        <v>1231</v>
      </c>
      <c r="D1026" s="9" t="s">
        <v>5871</v>
      </c>
      <c r="E1026" s="9" t="str">
        <f aca="false">IF(AND('Formation Ledger'!A1005&lt;&gt;"",'Formation Ledger'!V1005=0),"PASS","FAIL")</f>
        <v>PASS</v>
      </c>
      <c r="F1026" s="9" t="s">
        <v>76</v>
      </c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</row>
    <row r="1027" customFormat="false" ht="15" hidden="false" customHeight="false" outlineLevel="0" collapsed="false">
      <c r="A1027" s="9" t="s">
        <v>6870</v>
      </c>
      <c r="B1027" s="9" t="s">
        <v>5870</v>
      </c>
      <c r="C1027" s="9" t="s">
        <v>1232</v>
      </c>
      <c r="D1027" s="9" t="s">
        <v>5871</v>
      </c>
      <c r="E1027" s="9" t="str">
        <f aca="false">IF(AND('Formation Ledger'!A1006&lt;&gt;"",'Formation Ledger'!V1006=0),"PASS","FAIL")</f>
        <v>PASS</v>
      </c>
      <c r="F1027" s="9" t="s">
        <v>76</v>
      </c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</row>
    <row r="1028" customFormat="false" ht="15" hidden="false" customHeight="false" outlineLevel="0" collapsed="false">
      <c r="A1028" s="9" t="s">
        <v>6871</v>
      </c>
      <c r="B1028" s="9" t="s">
        <v>5870</v>
      </c>
      <c r="C1028" s="9" t="s">
        <v>1233</v>
      </c>
      <c r="D1028" s="9" t="s">
        <v>5871</v>
      </c>
      <c r="E1028" s="9" t="str">
        <f aca="false">IF(AND('Formation Ledger'!A1007&lt;&gt;"",'Formation Ledger'!V1007=0),"PASS","FAIL")</f>
        <v>PASS</v>
      </c>
      <c r="F1028" s="9" t="s">
        <v>76</v>
      </c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</row>
    <row r="1029" customFormat="false" ht="15" hidden="false" customHeight="false" outlineLevel="0" collapsed="false">
      <c r="A1029" s="9" t="s">
        <v>6872</v>
      </c>
      <c r="B1029" s="9" t="s">
        <v>5870</v>
      </c>
      <c r="C1029" s="9" t="s">
        <v>1234</v>
      </c>
      <c r="D1029" s="9" t="s">
        <v>5871</v>
      </c>
      <c r="E1029" s="9" t="str">
        <f aca="false">IF(AND('Formation Ledger'!A1008&lt;&gt;"",'Formation Ledger'!V1008=0),"PASS","FAIL")</f>
        <v>PASS</v>
      </c>
      <c r="F1029" s="9" t="s">
        <v>76</v>
      </c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</row>
    <row r="1030" customFormat="false" ht="15" hidden="false" customHeight="false" outlineLevel="0" collapsed="false">
      <c r="A1030" s="9" t="s">
        <v>6873</v>
      </c>
      <c r="B1030" s="9" t="s">
        <v>5870</v>
      </c>
      <c r="C1030" s="9" t="s">
        <v>1235</v>
      </c>
      <c r="D1030" s="9" t="s">
        <v>5871</v>
      </c>
      <c r="E1030" s="9" t="str">
        <f aca="false">IF(AND('Formation Ledger'!A1009&lt;&gt;"",'Formation Ledger'!V1009=0),"PASS","FAIL")</f>
        <v>PASS</v>
      </c>
      <c r="F1030" s="9" t="s">
        <v>76</v>
      </c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</row>
    <row r="1031" customFormat="false" ht="15" hidden="false" customHeight="false" outlineLevel="0" collapsed="false">
      <c r="A1031" s="9" t="s">
        <v>6874</v>
      </c>
      <c r="B1031" s="9" t="s">
        <v>5870</v>
      </c>
      <c r="C1031" s="9" t="s">
        <v>1236</v>
      </c>
      <c r="D1031" s="9" t="s">
        <v>5871</v>
      </c>
      <c r="E1031" s="9" t="str">
        <f aca="false">IF(AND('Formation Ledger'!A1010&lt;&gt;"",'Formation Ledger'!V1010=0),"PASS","FAIL")</f>
        <v>PASS</v>
      </c>
      <c r="F1031" s="9" t="s">
        <v>76</v>
      </c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</row>
    <row r="1032" customFormat="false" ht="15" hidden="false" customHeight="false" outlineLevel="0" collapsed="false">
      <c r="A1032" s="9" t="s">
        <v>6875</v>
      </c>
      <c r="B1032" s="9" t="s">
        <v>5870</v>
      </c>
      <c r="C1032" s="9" t="s">
        <v>1237</v>
      </c>
      <c r="D1032" s="9" t="s">
        <v>5871</v>
      </c>
      <c r="E1032" s="9" t="str">
        <f aca="false">IF(AND('Formation Ledger'!A1011&lt;&gt;"",'Formation Ledger'!V1011=0),"PASS","FAIL")</f>
        <v>PASS</v>
      </c>
      <c r="F1032" s="9" t="s">
        <v>76</v>
      </c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</row>
    <row r="1033" customFormat="false" ht="15" hidden="false" customHeight="false" outlineLevel="0" collapsed="false">
      <c r="A1033" s="9" t="s">
        <v>6876</v>
      </c>
      <c r="B1033" s="9" t="s">
        <v>5870</v>
      </c>
      <c r="C1033" s="9" t="s">
        <v>1238</v>
      </c>
      <c r="D1033" s="9" t="s">
        <v>5871</v>
      </c>
      <c r="E1033" s="9" t="str">
        <f aca="false">IF(AND('Formation Ledger'!A1012&lt;&gt;"",'Formation Ledger'!V1012=0),"PASS","FAIL")</f>
        <v>PASS</v>
      </c>
      <c r="F1033" s="9" t="s">
        <v>76</v>
      </c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</row>
    <row r="1034" customFormat="false" ht="15" hidden="false" customHeight="false" outlineLevel="0" collapsed="false">
      <c r="A1034" s="9" t="s">
        <v>6877</v>
      </c>
      <c r="B1034" s="9" t="s">
        <v>5870</v>
      </c>
      <c r="C1034" s="9" t="s">
        <v>1239</v>
      </c>
      <c r="D1034" s="9" t="s">
        <v>5871</v>
      </c>
      <c r="E1034" s="9" t="str">
        <f aca="false">IF(AND('Formation Ledger'!A1013&lt;&gt;"",'Formation Ledger'!V1013=0),"PASS","FAIL")</f>
        <v>PASS</v>
      </c>
      <c r="F1034" s="9" t="s">
        <v>76</v>
      </c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</row>
    <row r="1035" customFormat="false" ht="15" hidden="false" customHeight="false" outlineLevel="0" collapsed="false">
      <c r="A1035" s="9" t="s">
        <v>6878</v>
      </c>
      <c r="B1035" s="9" t="s">
        <v>5870</v>
      </c>
      <c r="C1035" s="9" t="s">
        <v>1240</v>
      </c>
      <c r="D1035" s="9" t="s">
        <v>5871</v>
      </c>
      <c r="E1035" s="9" t="str">
        <f aca="false">IF(AND('Formation Ledger'!A1014&lt;&gt;"",'Formation Ledger'!V1014=0),"PASS","FAIL")</f>
        <v>PASS</v>
      </c>
      <c r="F1035" s="9" t="s">
        <v>76</v>
      </c>
      <c r="G1035" s="6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</row>
    <row r="1036" customFormat="false" ht="15" hidden="false" customHeight="false" outlineLevel="0" collapsed="false">
      <c r="A1036" s="9" t="s">
        <v>6879</v>
      </c>
      <c r="B1036" s="9" t="s">
        <v>5870</v>
      </c>
      <c r="C1036" s="9" t="s">
        <v>1241</v>
      </c>
      <c r="D1036" s="9" t="s">
        <v>5871</v>
      </c>
      <c r="E1036" s="9" t="str">
        <f aca="false">IF(AND('Formation Ledger'!A1015&lt;&gt;"",'Formation Ledger'!V1015=0),"PASS","FAIL")</f>
        <v>PASS</v>
      </c>
      <c r="F1036" s="9" t="s">
        <v>76</v>
      </c>
      <c r="G1036" s="6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</row>
    <row r="1037" customFormat="false" ht="15" hidden="false" customHeight="false" outlineLevel="0" collapsed="false">
      <c r="A1037" s="9" t="s">
        <v>6880</v>
      </c>
      <c r="B1037" s="9" t="s">
        <v>5870</v>
      </c>
      <c r="C1037" s="9" t="s">
        <v>1242</v>
      </c>
      <c r="D1037" s="9" t="s">
        <v>5871</v>
      </c>
      <c r="E1037" s="9" t="str">
        <f aca="false">IF(AND('Formation Ledger'!A1016&lt;&gt;"",'Formation Ledger'!V1016=0),"PASS","FAIL")</f>
        <v>PASS</v>
      </c>
      <c r="F1037" s="9" t="s">
        <v>76</v>
      </c>
      <c r="G1037" s="6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</row>
    <row r="1038" customFormat="false" ht="15" hidden="false" customHeight="false" outlineLevel="0" collapsed="false">
      <c r="A1038" s="9" t="s">
        <v>6881</v>
      </c>
      <c r="B1038" s="9" t="s">
        <v>5870</v>
      </c>
      <c r="C1038" s="9" t="s">
        <v>1243</v>
      </c>
      <c r="D1038" s="9" t="s">
        <v>5871</v>
      </c>
      <c r="E1038" s="9" t="str">
        <f aca="false">IF(AND('Formation Ledger'!A1017&lt;&gt;"",'Formation Ledger'!V1017=0),"PASS","FAIL")</f>
        <v>PASS</v>
      </c>
      <c r="F1038" s="9" t="s">
        <v>76</v>
      </c>
      <c r="G1038" s="6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</row>
    <row r="1039" customFormat="false" ht="15" hidden="false" customHeight="false" outlineLevel="0" collapsed="false">
      <c r="A1039" s="9" t="s">
        <v>6882</v>
      </c>
      <c r="B1039" s="9" t="s">
        <v>5870</v>
      </c>
      <c r="C1039" s="9" t="s">
        <v>1244</v>
      </c>
      <c r="D1039" s="9" t="s">
        <v>5871</v>
      </c>
      <c r="E1039" s="9" t="str">
        <f aca="false">IF(AND('Formation Ledger'!A1018&lt;&gt;"",'Formation Ledger'!V1018=0),"PASS","FAIL")</f>
        <v>PASS</v>
      </c>
      <c r="F1039" s="9" t="s">
        <v>76</v>
      </c>
      <c r="G1039" s="6"/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</row>
    <row r="1040" customFormat="false" ht="15" hidden="false" customHeight="false" outlineLevel="0" collapsed="false">
      <c r="A1040" s="9" t="s">
        <v>6883</v>
      </c>
      <c r="B1040" s="9" t="s">
        <v>5870</v>
      </c>
      <c r="C1040" s="9" t="s">
        <v>1245</v>
      </c>
      <c r="D1040" s="9" t="s">
        <v>5871</v>
      </c>
      <c r="E1040" s="9" t="str">
        <f aca="false">IF(AND('Formation Ledger'!A1019&lt;&gt;"",'Formation Ledger'!V1019=0),"PASS","FAIL")</f>
        <v>PASS</v>
      </c>
      <c r="F1040" s="9" t="s">
        <v>76</v>
      </c>
      <c r="G1040" s="6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</row>
    <row r="1041" customFormat="false" ht="15" hidden="false" customHeight="false" outlineLevel="0" collapsed="false">
      <c r="A1041" s="9" t="s">
        <v>6884</v>
      </c>
      <c r="B1041" s="9" t="s">
        <v>5870</v>
      </c>
      <c r="C1041" s="9" t="s">
        <v>1246</v>
      </c>
      <c r="D1041" s="9" t="s">
        <v>5871</v>
      </c>
      <c r="E1041" s="9" t="str">
        <f aca="false">IF(AND('Formation Ledger'!A1020&lt;&gt;"",'Formation Ledger'!V1020=0),"PASS","FAIL")</f>
        <v>PASS</v>
      </c>
      <c r="F1041" s="9" t="s">
        <v>76</v>
      </c>
      <c r="G1041" s="6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</row>
    <row r="1042" customFormat="false" ht="15" hidden="false" customHeight="false" outlineLevel="0" collapsed="false">
      <c r="A1042" s="9" t="s">
        <v>6885</v>
      </c>
      <c r="B1042" s="9" t="s">
        <v>5870</v>
      </c>
      <c r="C1042" s="9" t="s">
        <v>1247</v>
      </c>
      <c r="D1042" s="9" t="s">
        <v>5871</v>
      </c>
      <c r="E1042" s="9" t="str">
        <f aca="false">IF(AND('Formation Ledger'!A1021&lt;&gt;"",'Formation Ledger'!V1021=0),"PASS","FAIL")</f>
        <v>PASS</v>
      </c>
      <c r="F1042" s="9" t="s">
        <v>76</v>
      </c>
      <c r="G1042" s="6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</row>
    <row r="1043" customFormat="false" ht="15" hidden="false" customHeight="false" outlineLevel="0" collapsed="false">
      <c r="A1043" s="9" t="s">
        <v>6886</v>
      </c>
      <c r="B1043" s="9" t="s">
        <v>5870</v>
      </c>
      <c r="C1043" s="9" t="s">
        <v>1248</v>
      </c>
      <c r="D1043" s="9" t="s">
        <v>5871</v>
      </c>
      <c r="E1043" s="9" t="str">
        <f aca="false">IF(AND('Formation Ledger'!A1022&lt;&gt;"",'Formation Ledger'!V1022=0),"PASS","FAIL")</f>
        <v>PASS</v>
      </c>
      <c r="F1043" s="9" t="s">
        <v>76</v>
      </c>
      <c r="G1043" s="6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</row>
    <row r="1044" customFormat="false" ht="15" hidden="false" customHeight="false" outlineLevel="0" collapsed="false">
      <c r="A1044" s="9" t="s">
        <v>6887</v>
      </c>
      <c r="B1044" s="9" t="s">
        <v>5870</v>
      </c>
      <c r="C1044" s="9" t="s">
        <v>1249</v>
      </c>
      <c r="D1044" s="9" t="s">
        <v>5871</v>
      </c>
      <c r="E1044" s="9" t="str">
        <f aca="false">IF(AND('Formation Ledger'!A1023&lt;&gt;"",'Formation Ledger'!V1023=0),"PASS","FAIL")</f>
        <v>PASS</v>
      </c>
      <c r="F1044" s="9" t="s">
        <v>76</v>
      </c>
      <c r="G1044" s="6"/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</row>
    <row r="1045" customFormat="false" ht="15" hidden="false" customHeight="false" outlineLevel="0" collapsed="false">
      <c r="A1045" s="9" t="s">
        <v>6888</v>
      </c>
      <c r="B1045" s="9" t="s">
        <v>5870</v>
      </c>
      <c r="C1045" s="9" t="s">
        <v>1250</v>
      </c>
      <c r="D1045" s="9" t="s">
        <v>5871</v>
      </c>
      <c r="E1045" s="9" t="str">
        <f aca="false">IF(AND('Formation Ledger'!A1024&lt;&gt;"",'Formation Ledger'!V1024=0),"PASS","FAIL")</f>
        <v>PASS</v>
      </c>
      <c r="F1045" s="9" t="s">
        <v>76</v>
      </c>
      <c r="G1045" s="6"/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</row>
    <row r="1046" customFormat="false" ht="15" hidden="false" customHeight="false" outlineLevel="0" collapsed="false">
      <c r="A1046" s="9" t="s">
        <v>6889</v>
      </c>
      <c r="B1046" s="9" t="s">
        <v>5870</v>
      </c>
      <c r="C1046" s="9" t="s">
        <v>1251</v>
      </c>
      <c r="D1046" s="9" t="s">
        <v>5871</v>
      </c>
      <c r="E1046" s="9" t="str">
        <f aca="false">IF(AND('Formation Ledger'!A1025&lt;&gt;"",'Formation Ledger'!V1025=0),"PASS","FAIL")</f>
        <v>PASS</v>
      </c>
      <c r="F1046" s="9" t="s">
        <v>76</v>
      </c>
      <c r="G1046" s="6"/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</row>
    <row r="1047" customFormat="false" ht="15" hidden="false" customHeight="false" outlineLevel="0" collapsed="false">
      <c r="A1047" s="9" t="s">
        <v>6890</v>
      </c>
      <c r="B1047" s="9" t="s">
        <v>5870</v>
      </c>
      <c r="C1047" s="9" t="s">
        <v>1252</v>
      </c>
      <c r="D1047" s="9" t="s">
        <v>5871</v>
      </c>
      <c r="E1047" s="9" t="str">
        <f aca="false">IF(AND('Formation Ledger'!A1026&lt;&gt;"",'Formation Ledger'!V1026=0),"PASS","FAIL")</f>
        <v>PASS</v>
      </c>
      <c r="F1047" s="9" t="s">
        <v>76</v>
      </c>
      <c r="G1047" s="6"/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</row>
    <row r="1048" customFormat="false" ht="15" hidden="false" customHeight="false" outlineLevel="0" collapsed="false">
      <c r="A1048" s="9" t="s">
        <v>6891</v>
      </c>
      <c r="B1048" s="9" t="s">
        <v>5870</v>
      </c>
      <c r="C1048" s="9" t="s">
        <v>1253</v>
      </c>
      <c r="D1048" s="9" t="s">
        <v>5871</v>
      </c>
      <c r="E1048" s="9" t="str">
        <f aca="false">IF(AND('Formation Ledger'!A1027&lt;&gt;"",'Formation Ledger'!V1027=0),"PASS","FAIL")</f>
        <v>PASS</v>
      </c>
      <c r="F1048" s="9" t="s">
        <v>76</v>
      </c>
      <c r="G1048" s="6"/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</row>
    <row r="1049" customFormat="false" ht="15" hidden="false" customHeight="false" outlineLevel="0" collapsed="false">
      <c r="A1049" s="9" t="s">
        <v>6892</v>
      </c>
      <c r="B1049" s="9" t="s">
        <v>5870</v>
      </c>
      <c r="C1049" s="9" t="s">
        <v>1254</v>
      </c>
      <c r="D1049" s="9" t="s">
        <v>5871</v>
      </c>
      <c r="E1049" s="9" t="str">
        <f aca="false">IF(AND('Formation Ledger'!A1028&lt;&gt;"",'Formation Ledger'!V1028=0),"PASS","FAIL")</f>
        <v>PASS</v>
      </c>
      <c r="F1049" s="9" t="s">
        <v>76</v>
      </c>
      <c r="G1049" s="6"/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</row>
    <row r="1050" customFormat="false" ht="15" hidden="false" customHeight="false" outlineLevel="0" collapsed="false">
      <c r="A1050" s="9" t="s">
        <v>6893</v>
      </c>
      <c r="B1050" s="9" t="s">
        <v>5870</v>
      </c>
      <c r="C1050" s="9" t="s">
        <v>1255</v>
      </c>
      <c r="D1050" s="9" t="s">
        <v>5871</v>
      </c>
      <c r="E1050" s="9" t="str">
        <f aca="false">IF(AND('Formation Ledger'!A1029&lt;&gt;"",'Formation Ledger'!V1029=0),"PASS","FAIL")</f>
        <v>PASS</v>
      </c>
      <c r="F1050" s="9" t="s">
        <v>76</v>
      </c>
      <c r="G1050" s="6"/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</row>
    <row r="1051" customFormat="false" ht="15" hidden="false" customHeight="false" outlineLevel="0" collapsed="false">
      <c r="A1051" s="9" t="s">
        <v>6894</v>
      </c>
      <c r="B1051" s="9" t="s">
        <v>5870</v>
      </c>
      <c r="C1051" s="9" t="s">
        <v>1256</v>
      </c>
      <c r="D1051" s="9" t="s">
        <v>5871</v>
      </c>
      <c r="E1051" s="9" t="str">
        <f aca="false">IF(AND('Formation Ledger'!A1030&lt;&gt;"",'Formation Ledger'!V1030=0),"PASS","FAIL")</f>
        <v>PASS</v>
      </c>
      <c r="F1051" s="9" t="s">
        <v>76</v>
      </c>
      <c r="G1051" s="6"/>
      <c r="H1051" s="6"/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</row>
    <row r="1052" customFormat="false" ht="15" hidden="false" customHeight="false" outlineLevel="0" collapsed="false">
      <c r="A1052" s="9" t="s">
        <v>6895</v>
      </c>
      <c r="B1052" s="9" t="s">
        <v>5870</v>
      </c>
      <c r="C1052" s="9" t="s">
        <v>1257</v>
      </c>
      <c r="D1052" s="9" t="s">
        <v>5871</v>
      </c>
      <c r="E1052" s="9" t="str">
        <f aca="false">IF(AND('Formation Ledger'!A1031&lt;&gt;"",'Formation Ledger'!V1031=0),"PASS","FAIL")</f>
        <v>PASS</v>
      </c>
      <c r="F1052" s="9" t="s">
        <v>76</v>
      </c>
      <c r="G1052" s="6"/>
      <c r="H1052" s="6"/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</row>
    <row r="1053" customFormat="false" ht="15" hidden="false" customHeight="false" outlineLevel="0" collapsed="false">
      <c r="A1053" s="9" t="s">
        <v>6896</v>
      </c>
      <c r="B1053" s="9" t="s">
        <v>5870</v>
      </c>
      <c r="C1053" s="9" t="s">
        <v>1258</v>
      </c>
      <c r="D1053" s="9" t="s">
        <v>5871</v>
      </c>
      <c r="E1053" s="9" t="str">
        <f aca="false">IF(AND('Formation Ledger'!A1032&lt;&gt;"",'Formation Ledger'!V1032=0),"PASS","FAIL")</f>
        <v>PASS</v>
      </c>
      <c r="F1053" s="9" t="s">
        <v>76</v>
      </c>
      <c r="G1053" s="6"/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</row>
    <row r="1054" customFormat="false" ht="15" hidden="false" customHeight="false" outlineLevel="0" collapsed="false">
      <c r="A1054" s="9" t="s">
        <v>6897</v>
      </c>
      <c r="B1054" s="9" t="s">
        <v>5870</v>
      </c>
      <c r="C1054" s="9" t="s">
        <v>1259</v>
      </c>
      <c r="D1054" s="9" t="s">
        <v>5871</v>
      </c>
      <c r="E1054" s="9" t="str">
        <f aca="false">IF(AND('Formation Ledger'!A1033&lt;&gt;"",'Formation Ledger'!V1033=0),"PASS","FAIL")</f>
        <v>PASS</v>
      </c>
      <c r="F1054" s="9" t="s">
        <v>76</v>
      </c>
      <c r="G1054" s="6"/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</row>
    <row r="1055" customFormat="false" ht="15" hidden="false" customHeight="false" outlineLevel="0" collapsed="false">
      <c r="A1055" s="9" t="s">
        <v>6898</v>
      </c>
      <c r="B1055" s="9" t="s">
        <v>5870</v>
      </c>
      <c r="C1055" s="9" t="s">
        <v>1260</v>
      </c>
      <c r="D1055" s="9" t="s">
        <v>5871</v>
      </c>
      <c r="E1055" s="9" t="str">
        <f aca="false">IF(AND('Formation Ledger'!A1034&lt;&gt;"",'Formation Ledger'!V1034=0),"PASS","FAIL")</f>
        <v>PASS</v>
      </c>
      <c r="F1055" s="9" t="s">
        <v>76</v>
      </c>
      <c r="G1055" s="6"/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</row>
    <row r="1056" customFormat="false" ht="15" hidden="false" customHeight="false" outlineLevel="0" collapsed="false">
      <c r="A1056" s="9" t="s">
        <v>6899</v>
      </c>
      <c r="B1056" s="9" t="s">
        <v>5870</v>
      </c>
      <c r="C1056" s="9" t="s">
        <v>1261</v>
      </c>
      <c r="D1056" s="9" t="s">
        <v>5871</v>
      </c>
      <c r="E1056" s="9" t="str">
        <f aca="false">IF(AND('Formation Ledger'!A1035&lt;&gt;"",'Formation Ledger'!V1035=0),"PASS","FAIL")</f>
        <v>PASS</v>
      </c>
      <c r="F1056" s="9" t="s">
        <v>76</v>
      </c>
      <c r="G1056" s="6"/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</row>
    <row r="1057" customFormat="false" ht="15" hidden="false" customHeight="false" outlineLevel="0" collapsed="false">
      <c r="A1057" s="9" t="s">
        <v>6900</v>
      </c>
      <c r="B1057" s="9" t="s">
        <v>5870</v>
      </c>
      <c r="C1057" s="9" t="s">
        <v>1262</v>
      </c>
      <c r="D1057" s="9" t="s">
        <v>5871</v>
      </c>
      <c r="E1057" s="9" t="str">
        <f aca="false">IF(AND('Formation Ledger'!A1036&lt;&gt;"",'Formation Ledger'!V1036=0),"PASS","FAIL")</f>
        <v>PASS</v>
      </c>
      <c r="F1057" s="9" t="s">
        <v>76</v>
      </c>
      <c r="G1057" s="6"/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</row>
    <row r="1058" customFormat="false" ht="15" hidden="false" customHeight="false" outlineLevel="0" collapsed="false">
      <c r="A1058" s="9" t="s">
        <v>6901</v>
      </c>
      <c r="B1058" s="9" t="s">
        <v>5870</v>
      </c>
      <c r="C1058" s="9" t="s">
        <v>1263</v>
      </c>
      <c r="D1058" s="9" t="s">
        <v>5871</v>
      </c>
      <c r="E1058" s="9" t="str">
        <f aca="false">IF(AND('Formation Ledger'!A1037&lt;&gt;"",'Formation Ledger'!V1037=0),"PASS","FAIL")</f>
        <v>PASS</v>
      </c>
      <c r="F1058" s="9" t="s">
        <v>76</v>
      </c>
      <c r="G1058" s="6"/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</row>
    <row r="1059" customFormat="false" ht="15" hidden="false" customHeight="false" outlineLevel="0" collapsed="false">
      <c r="A1059" s="9" t="s">
        <v>6902</v>
      </c>
      <c r="B1059" s="9" t="s">
        <v>5870</v>
      </c>
      <c r="C1059" s="9" t="s">
        <v>1264</v>
      </c>
      <c r="D1059" s="9" t="s">
        <v>5871</v>
      </c>
      <c r="E1059" s="9" t="str">
        <f aca="false">IF(AND('Formation Ledger'!A1038&lt;&gt;"",'Formation Ledger'!V1038=0),"PASS","FAIL")</f>
        <v>PASS</v>
      </c>
      <c r="F1059" s="9" t="s">
        <v>76</v>
      </c>
      <c r="G1059" s="6"/>
      <c r="H1059" s="6"/>
      <c r="I1059" s="6"/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</row>
    <row r="1060" customFormat="false" ht="15" hidden="false" customHeight="false" outlineLevel="0" collapsed="false">
      <c r="A1060" s="9" t="s">
        <v>6903</v>
      </c>
      <c r="B1060" s="9" t="s">
        <v>5870</v>
      </c>
      <c r="C1060" s="9" t="s">
        <v>1265</v>
      </c>
      <c r="D1060" s="9" t="s">
        <v>5871</v>
      </c>
      <c r="E1060" s="9" t="str">
        <f aca="false">IF(AND('Formation Ledger'!A1039&lt;&gt;"",'Formation Ledger'!V1039=0),"PASS","FAIL")</f>
        <v>PASS</v>
      </c>
      <c r="F1060" s="9" t="s">
        <v>76</v>
      </c>
      <c r="G1060" s="6"/>
      <c r="H1060" s="6"/>
      <c r="I1060" s="6"/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</row>
    <row r="1061" customFormat="false" ht="15" hidden="false" customHeight="false" outlineLevel="0" collapsed="false">
      <c r="A1061" s="9" t="s">
        <v>6904</v>
      </c>
      <c r="B1061" s="9" t="s">
        <v>5870</v>
      </c>
      <c r="C1061" s="9" t="s">
        <v>1266</v>
      </c>
      <c r="D1061" s="9" t="s">
        <v>5871</v>
      </c>
      <c r="E1061" s="9" t="str">
        <f aca="false">IF(AND('Formation Ledger'!A1040&lt;&gt;"",'Formation Ledger'!V1040=0),"PASS","FAIL")</f>
        <v>PASS</v>
      </c>
      <c r="F1061" s="9" t="s">
        <v>76</v>
      </c>
      <c r="G1061" s="6"/>
      <c r="H1061" s="6"/>
      <c r="I1061" s="6"/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</row>
    <row r="1062" customFormat="false" ht="15" hidden="false" customHeight="false" outlineLevel="0" collapsed="false">
      <c r="A1062" s="9" t="s">
        <v>6905</v>
      </c>
      <c r="B1062" s="9" t="s">
        <v>5870</v>
      </c>
      <c r="C1062" s="9" t="s">
        <v>1267</v>
      </c>
      <c r="D1062" s="9" t="s">
        <v>5871</v>
      </c>
      <c r="E1062" s="9" t="str">
        <f aca="false">IF(AND('Formation Ledger'!A1041&lt;&gt;"",'Formation Ledger'!V1041=0),"PASS","FAIL")</f>
        <v>PASS</v>
      </c>
      <c r="F1062" s="9" t="s">
        <v>76</v>
      </c>
      <c r="G1062" s="6"/>
      <c r="H1062" s="6"/>
      <c r="I1062" s="6"/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</row>
    <row r="1063" customFormat="false" ht="15" hidden="false" customHeight="false" outlineLevel="0" collapsed="false">
      <c r="A1063" s="9" t="s">
        <v>6906</v>
      </c>
      <c r="B1063" s="9" t="s">
        <v>5870</v>
      </c>
      <c r="C1063" s="9" t="s">
        <v>1268</v>
      </c>
      <c r="D1063" s="9" t="s">
        <v>5871</v>
      </c>
      <c r="E1063" s="9" t="str">
        <f aca="false">IF(AND('Formation Ledger'!A1042&lt;&gt;"",'Formation Ledger'!V1042=0),"PASS","FAIL")</f>
        <v>PASS</v>
      </c>
      <c r="F1063" s="9" t="s">
        <v>76</v>
      </c>
      <c r="G1063" s="6"/>
      <c r="H1063" s="6"/>
      <c r="I1063" s="6"/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</row>
    <row r="1064" customFormat="false" ht="15" hidden="false" customHeight="false" outlineLevel="0" collapsed="false">
      <c r="A1064" s="9" t="s">
        <v>6907</v>
      </c>
      <c r="B1064" s="9" t="s">
        <v>5870</v>
      </c>
      <c r="C1064" s="9" t="s">
        <v>1269</v>
      </c>
      <c r="D1064" s="9" t="s">
        <v>5871</v>
      </c>
      <c r="E1064" s="9" t="str">
        <f aca="false">IF(AND('Formation Ledger'!A1043&lt;&gt;"",'Formation Ledger'!V1043=0),"PASS","FAIL")</f>
        <v>PASS</v>
      </c>
      <c r="F1064" s="9" t="s">
        <v>76</v>
      </c>
      <c r="G1064" s="6"/>
      <c r="H1064" s="6"/>
      <c r="I1064" s="6"/>
      <c r="J1064" s="6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</row>
    <row r="1065" customFormat="false" ht="15" hidden="false" customHeight="false" outlineLevel="0" collapsed="false">
      <c r="A1065" s="9" t="s">
        <v>6908</v>
      </c>
      <c r="B1065" s="9" t="s">
        <v>5870</v>
      </c>
      <c r="C1065" s="9" t="s">
        <v>1270</v>
      </c>
      <c r="D1065" s="9" t="s">
        <v>5871</v>
      </c>
      <c r="E1065" s="9" t="str">
        <f aca="false">IF(AND('Formation Ledger'!A1044&lt;&gt;"",'Formation Ledger'!V1044=0),"PASS","FAIL")</f>
        <v>PASS</v>
      </c>
      <c r="F1065" s="9" t="s">
        <v>76</v>
      </c>
      <c r="G1065" s="6"/>
      <c r="H1065" s="6"/>
      <c r="I1065" s="6"/>
      <c r="J1065" s="6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</row>
    <row r="1066" customFormat="false" ht="15" hidden="false" customHeight="false" outlineLevel="0" collapsed="false">
      <c r="A1066" s="9" t="s">
        <v>6909</v>
      </c>
      <c r="B1066" s="9" t="s">
        <v>5870</v>
      </c>
      <c r="C1066" s="9" t="s">
        <v>1271</v>
      </c>
      <c r="D1066" s="9" t="s">
        <v>5871</v>
      </c>
      <c r="E1066" s="9" t="str">
        <f aca="false">IF(AND('Formation Ledger'!A1045&lt;&gt;"",'Formation Ledger'!V1045=0),"PASS","FAIL")</f>
        <v>PASS</v>
      </c>
      <c r="F1066" s="9" t="s">
        <v>76</v>
      </c>
      <c r="G1066" s="6"/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</row>
    <row r="1067" customFormat="false" ht="15" hidden="false" customHeight="false" outlineLevel="0" collapsed="false">
      <c r="A1067" s="9" t="s">
        <v>6910</v>
      </c>
      <c r="B1067" s="9" t="s">
        <v>5870</v>
      </c>
      <c r="C1067" s="9" t="s">
        <v>1272</v>
      </c>
      <c r="D1067" s="9" t="s">
        <v>5871</v>
      </c>
      <c r="E1067" s="9" t="str">
        <f aca="false">IF(AND('Formation Ledger'!A1046&lt;&gt;"",'Formation Ledger'!V1046=0),"PASS","FAIL")</f>
        <v>PASS</v>
      </c>
      <c r="F1067" s="9" t="s">
        <v>76</v>
      </c>
      <c r="G1067" s="6"/>
      <c r="H1067" s="6"/>
      <c r="I1067" s="6"/>
      <c r="J1067" s="6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</row>
    <row r="1068" customFormat="false" ht="15" hidden="false" customHeight="false" outlineLevel="0" collapsed="false">
      <c r="A1068" s="9" t="s">
        <v>6911</v>
      </c>
      <c r="B1068" s="9" t="s">
        <v>5870</v>
      </c>
      <c r="C1068" s="9" t="s">
        <v>1273</v>
      </c>
      <c r="D1068" s="9" t="s">
        <v>5871</v>
      </c>
      <c r="E1068" s="9" t="str">
        <f aca="false">IF(AND('Formation Ledger'!A1047&lt;&gt;"",'Formation Ledger'!V1047=0),"PASS","FAIL")</f>
        <v>PASS</v>
      </c>
      <c r="F1068" s="9" t="s">
        <v>76</v>
      </c>
      <c r="G1068" s="6"/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</row>
    <row r="1069" customFormat="false" ht="15" hidden="false" customHeight="false" outlineLevel="0" collapsed="false">
      <c r="A1069" s="9" t="s">
        <v>6912</v>
      </c>
      <c r="B1069" s="9" t="s">
        <v>5870</v>
      </c>
      <c r="C1069" s="9" t="s">
        <v>1274</v>
      </c>
      <c r="D1069" s="9" t="s">
        <v>5871</v>
      </c>
      <c r="E1069" s="9" t="str">
        <f aca="false">IF(AND('Formation Ledger'!A1048&lt;&gt;"",'Formation Ledger'!V1048=0),"PASS","FAIL")</f>
        <v>PASS</v>
      </c>
      <c r="F1069" s="9" t="s">
        <v>76</v>
      </c>
      <c r="G1069" s="6"/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</row>
    <row r="1070" customFormat="false" ht="15" hidden="false" customHeight="false" outlineLevel="0" collapsed="false">
      <c r="A1070" s="9" t="s">
        <v>6913</v>
      </c>
      <c r="B1070" s="9" t="s">
        <v>5870</v>
      </c>
      <c r="C1070" s="9" t="s">
        <v>1275</v>
      </c>
      <c r="D1070" s="9" t="s">
        <v>5871</v>
      </c>
      <c r="E1070" s="9" t="str">
        <f aca="false">IF(AND('Formation Ledger'!A1049&lt;&gt;"",'Formation Ledger'!V1049=0),"PASS","FAIL")</f>
        <v>PASS</v>
      </c>
      <c r="F1070" s="9" t="s">
        <v>76</v>
      </c>
      <c r="G1070" s="6"/>
      <c r="H1070" s="6"/>
      <c r="I1070" s="6"/>
      <c r="J1070" s="6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</row>
    <row r="1071" customFormat="false" ht="15" hidden="false" customHeight="false" outlineLevel="0" collapsed="false">
      <c r="A1071" s="9" t="s">
        <v>6914</v>
      </c>
      <c r="B1071" s="9" t="s">
        <v>5870</v>
      </c>
      <c r="C1071" s="9" t="s">
        <v>1276</v>
      </c>
      <c r="D1071" s="9" t="s">
        <v>5871</v>
      </c>
      <c r="E1071" s="9" t="str">
        <f aca="false">IF(AND('Formation Ledger'!A1050&lt;&gt;"",'Formation Ledger'!V1050=0),"PASS","FAIL")</f>
        <v>PASS</v>
      </c>
      <c r="F1071" s="9" t="s">
        <v>76</v>
      </c>
      <c r="G1071" s="6"/>
      <c r="H1071" s="6"/>
      <c r="I1071" s="6"/>
      <c r="J1071" s="6"/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</row>
    <row r="1072" customFormat="false" ht="15" hidden="false" customHeight="false" outlineLevel="0" collapsed="false">
      <c r="A1072" s="9" t="s">
        <v>6915</v>
      </c>
      <c r="B1072" s="9" t="s">
        <v>5870</v>
      </c>
      <c r="C1072" s="9" t="s">
        <v>1277</v>
      </c>
      <c r="D1072" s="9" t="s">
        <v>5871</v>
      </c>
      <c r="E1072" s="9" t="str">
        <f aca="false">IF(AND('Formation Ledger'!A1051&lt;&gt;"",'Formation Ledger'!V1051=0),"PASS","FAIL")</f>
        <v>PASS</v>
      </c>
      <c r="F1072" s="9" t="s">
        <v>76</v>
      </c>
      <c r="G1072" s="6"/>
      <c r="H1072" s="6"/>
      <c r="I1072" s="6"/>
      <c r="J1072" s="6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</row>
    <row r="1073" customFormat="false" ht="15" hidden="false" customHeight="false" outlineLevel="0" collapsed="false">
      <c r="A1073" s="9" t="s">
        <v>6916</v>
      </c>
      <c r="B1073" s="9" t="s">
        <v>5870</v>
      </c>
      <c r="C1073" s="9" t="s">
        <v>1278</v>
      </c>
      <c r="D1073" s="9" t="s">
        <v>5871</v>
      </c>
      <c r="E1073" s="9" t="str">
        <f aca="false">IF(AND('Formation Ledger'!A1052&lt;&gt;"",'Formation Ledger'!V1052=0),"PASS","FAIL")</f>
        <v>PASS</v>
      </c>
      <c r="F1073" s="9" t="s">
        <v>76</v>
      </c>
      <c r="G1073" s="6"/>
      <c r="H1073" s="6"/>
      <c r="I1073" s="6"/>
      <c r="J1073" s="6"/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</row>
    <row r="1074" customFormat="false" ht="15" hidden="false" customHeight="false" outlineLevel="0" collapsed="false">
      <c r="A1074" s="9" t="s">
        <v>6917</v>
      </c>
      <c r="B1074" s="9" t="s">
        <v>5870</v>
      </c>
      <c r="C1074" s="9" t="s">
        <v>1279</v>
      </c>
      <c r="D1074" s="9" t="s">
        <v>5871</v>
      </c>
      <c r="E1074" s="9" t="str">
        <f aca="false">IF(AND('Formation Ledger'!A1053&lt;&gt;"",'Formation Ledger'!V1053=0),"PASS","FAIL")</f>
        <v>PASS</v>
      </c>
      <c r="F1074" s="9" t="s">
        <v>76</v>
      </c>
      <c r="G1074" s="6"/>
      <c r="H1074" s="6"/>
      <c r="I1074" s="6"/>
      <c r="J1074" s="6"/>
      <c r="K1074" s="6"/>
      <c r="L1074" s="6"/>
      <c r="M1074" s="6"/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</row>
    <row r="1075" customFormat="false" ht="15" hidden="false" customHeight="false" outlineLevel="0" collapsed="false">
      <c r="A1075" s="9" t="s">
        <v>6918</v>
      </c>
      <c r="B1075" s="9" t="s">
        <v>5870</v>
      </c>
      <c r="C1075" s="9" t="s">
        <v>1280</v>
      </c>
      <c r="D1075" s="9" t="s">
        <v>5871</v>
      </c>
      <c r="E1075" s="9" t="str">
        <f aca="false">IF(AND('Formation Ledger'!A1054&lt;&gt;"",'Formation Ledger'!V1054=0),"PASS","FAIL")</f>
        <v>PASS</v>
      </c>
      <c r="F1075" s="9" t="s">
        <v>76</v>
      </c>
      <c r="G1075" s="6"/>
      <c r="H1075" s="6"/>
      <c r="I1075" s="6"/>
      <c r="J1075" s="6"/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</row>
    <row r="1076" customFormat="false" ht="15" hidden="false" customHeight="false" outlineLevel="0" collapsed="false">
      <c r="A1076" s="9" t="s">
        <v>6919</v>
      </c>
      <c r="B1076" s="9" t="s">
        <v>5870</v>
      </c>
      <c r="C1076" s="9" t="s">
        <v>1281</v>
      </c>
      <c r="D1076" s="9" t="s">
        <v>5871</v>
      </c>
      <c r="E1076" s="9" t="str">
        <f aca="false">IF(AND('Formation Ledger'!A1055&lt;&gt;"",'Formation Ledger'!V1055=0),"PASS","FAIL")</f>
        <v>PASS</v>
      </c>
      <c r="F1076" s="9" t="s">
        <v>76</v>
      </c>
      <c r="G1076" s="6"/>
      <c r="H1076" s="6"/>
      <c r="I1076" s="6"/>
      <c r="J1076" s="6"/>
      <c r="K1076" s="6"/>
      <c r="L1076" s="6"/>
      <c r="M1076" s="6"/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  <c r="Z1076" s="6"/>
    </row>
    <row r="1077" customFormat="false" ht="15" hidden="false" customHeight="false" outlineLevel="0" collapsed="false">
      <c r="A1077" s="9" t="s">
        <v>6920</v>
      </c>
      <c r="B1077" s="9" t="s">
        <v>5870</v>
      </c>
      <c r="C1077" s="9" t="s">
        <v>1282</v>
      </c>
      <c r="D1077" s="9" t="s">
        <v>5871</v>
      </c>
      <c r="E1077" s="9" t="str">
        <f aca="false">IF(AND('Formation Ledger'!A1056&lt;&gt;"",'Formation Ledger'!V1056=0),"PASS","FAIL")</f>
        <v>PASS</v>
      </c>
      <c r="F1077" s="9" t="s">
        <v>76</v>
      </c>
      <c r="G1077" s="6"/>
      <c r="H1077" s="6"/>
      <c r="I1077" s="6"/>
      <c r="J1077" s="6"/>
      <c r="K1077" s="6"/>
      <c r="L1077" s="6"/>
      <c r="M1077" s="6"/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/>
    </row>
    <row r="1078" customFormat="false" ht="15" hidden="false" customHeight="false" outlineLevel="0" collapsed="false">
      <c r="A1078" s="9" t="s">
        <v>6921</v>
      </c>
      <c r="B1078" s="9" t="s">
        <v>5870</v>
      </c>
      <c r="C1078" s="9" t="s">
        <v>1283</v>
      </c>
      <c r="D1078" s="9" t="s">
        <v>5871</v>
      </c>
      <c r="E1078" s="9" t="str">
        <f aca="false">IF(AND('Formation Ledger'!A1057&lt;&gt;"",'Formation Ledger'!V1057=0),"PASS","FAIL")</f>
        <v>PASS</v>
      </c>
      <c r="F1078" s="9" t="s">
        <v>76</v>
      </c>
      <c r="G1078" s="6"/>
      <c r="H1078" s="6"/>
      <c r="I1078" s="6"/>
      <c r="J1078" s="6"/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</row>
    <row r="1079" customFormat="false" ht="15" hidden="false" customHeight="false" outlineLevel="0" collapsed="false">
      <c r="A1079" s="9" t="s">
        <v>6922</v>
      </c>
      <c r="B1079" s="9" t="s">
        <v>5870</v>
      </c>
      <c r="C1079" s="9" t="s">
        <v>1284</v>
      </c>
      <c r="D1079" s="9" t="s">
        <v>5871</v>
      </c>
      <c r="E1079" s="9" t="str">
        <f aca="false">IF(AND('Formation Ledger'!A1058&lt;&gt;"",'Formation Ledger'!V1058=0),"PASS","FAIL")</f>
        <v>PASS</v>
      </c>
      <c r="F1079" s="9" t="s">
        <v>76</v>
      </c>
      <c r="G1079" s="6"/>
      <c r="H1079" s="6"/>
      <c r="I1079" s="6"/>
      <c r="J1079" s="6"/>
      <c r="K1079" s="6"/>
      <c r="L1079" s="6"/>
      <c r="M1079" s="6"/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  <c r="Z1079" s="6"/>
    </row>
    <row r="1080" customFormat="false" ht="15" hidden="false" customHeight="false" outlineLevel="0" collapsed="false">
      <c r="A1080" s="9" t="s">
        <v>6923</v>
      </c>
      <c r="B1080" s="9" t="s">
        <v>5870</v>
      </c>
      <c r="C1080" s="9" t="s">
        <v>1285</v>
      </c>
      <c r="D1080" s="9" t="s">
        <v>5871</v>
      </c>
      <c r="E1080" s="9" t="str">
        <f aca="false">IF(AND('Formation Ledger'!A1059&lt;&gt;"",'Formation Ledger'!V1059=0),"PASS","FAIL")</f>
        <v>PASS</v>
      </c>
      <c r="F1080" s="9" t="s">
        <v>76</v>
      </c>
      <c r="G1080" s="6"/>
      <c r="H1080" s="6"/>
      <c r="I1080" s="6"/>
      <c r="J1080" s="6"/>
      <c r="K1080" s="6"/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</row>
    <row r="1081" customFormat="false" ht="15" hidden="false" customHeight="false" outlineLevel="0" collapsed="false">
      <c r="A1081" s="9" t="s">
        <v>6924</v>
      </c>
      <c r="B1081" s="9" t="s">
        <v>5870</v>
      </c>
      <c r="C1081" s="9" t="s">
        <v>1286</v>
      </c>
      <c r="D1081" s="9" t="s">
        <v>5871</v>
      </c>
      <c r="E1081" s="9" t="str">
        <f aca="false">IF(AND('Formation Ledger'!A1060&lt;&gt;"",'Formation Ledger'!V1060=0),"PASS","FAIL")</f>
        <v>PASS</v>
      </c>
      <c r="F1081" s="9" t="s">
        <v>76</v>
      </c>
      <c r="G1081" s="6"/>
      <c r="H1081" s="6"/>
      <c r="I1081" s="6"/>
      <c r="J1081" s="6"/>
      <c r="K1081" s="6"/>
      <c r="L1081" s="6"/>
      <c r="M1081" s="6"/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/>
    </row>
    <row r="1082" customFormat="false" ht="15" hidden="false" customHeight="false" outlineLevel="0" collapsed="false">
      <c r="A1082" s="9" t="s">
        <v>6925</v>
      </c>
      <c r="B1082" s="9" t="s">
        <v>5870</v>
      </c>
      <c r="C1082" s="9" t="s">
        <v>1287</v>
      </c>
      <c r="D1082" s="9" t="s">
        <v>5871</v>
      </c>
      <c r="E1082" s="9" t="str">
        <f aca="false">IF(AND('Formation Ledger'!A1061&lt;&gt;"",'Formation Ledger'!V1061=0),"PASS","FAIL")</f>
        <v>PASS</v>
      </c>
      <c r="F1082" s="9" t="s">
        <v>76</v>
      </c>
      <c r="G1082" s="6"/>
      <c r="H1082" s="6"/>
      <c r="I1082" s="6"/>
      <c r="J1082" s="6"/>
      <c r="K1082" s="6"/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  <c r="Z1082" s="6"/>
    </row>
    <row r="1083" customFormat="false" ht="15" hidden="false" customHeight="false" outlineLevel="0" collapsed="false">
      <c r="A1083" s="9" t="s">
        <v>6926</v>
      </c>
      <c r="B1083" s="9" t="s">
        <v>5870</v>
      </c>
      <c r="C1083" s="9" t="s">
        <v>1290</v>
      </c>
      <c r="D1083" s="9" t="s">
        <v>5871</v>
      </c>
      <c r="E1083" s="9" t="str">
        <f aca="false">IF(AND('Formation Ledger'!A1062&lt;&gt;"",'Formation Ledger'!V1062=0),"PASS","FAIL")</f>
        <v>PASS</v>
      </c>
      <c r="F1083" s="9" t="s">
        <v>76</v>
      </c>
      <c r="G1083" s="6"/>
      <c r="H1083" s="6"/>
      <c r="I1083" s="6"/>
      <c r="J1083" s="6"/>
      <c r="K1083" s="6"/>
      <c r="L1083" s="6"/>
      <c r="M1083" s="6"/>
      <c r="N1083" s="6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  <c r="Z1083" s="6"/>
    </row>
    <row r="1084" customFormat="false" ht="15" hidden="false" customHeight="false" outlineLevel="0" collapsed="false">
      <c r="A1084" s="9" t="s">
        <v>6927</v>
      </c>
      <c r="B1084" s="9" t="s">
        <v>5870</v>
      </c>
      <c r="C1084" s="9" t="s">
        <v>1291</v>
      </c>
      <c r="D1084" s="9" t="s">
        <v>5871</v>
      </c>
      <c r="E1084" s="9" t="str">
        <f aca="false">IF(AND('Formation Ledger'!A1063&lt;&gt;"",'Formation Ledger'!V1063=0),"PASS","FAIL")</f>
        <v>PASS</v>
      </c>
      <c r="F1084" s="9" t="s">
        <v>76</v>
      </c>
      <c r="G1084" s="6"/>
      <c r="H1084" s="6"/>
      <c r="I1084" s="6"/>
      <c r="J1084" s="6"/>
      <c r="K1084" s="6"/>
      <c r="L1084" s="6"/>
      <c r="M1084" s="6"/>
      <c r="N1084" s="6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  <c r="Z1084" s="6"/>
    </row>
    <row r="1085" customFormat="false" ht="15" hidden="false" customHeight="false" outlineLevel="0" collapsed="false">
      <c r="A1085" s="9" t="s">
        <v>6928</v>
      </c>
      <c r="B1085" s="9" t="s">
        <v>5870</v>
      </c>
      <c r="C1085" s="9" t="s">
        <v>1292</v>
      </c>
      <c r="D1085" s="9" t="s">
        <v>5871</v>
      </c>
      <c r="E1085" s="9" t="str">
        <f aca="false">IF(AND('Formation Ledger'!A1064&lt;&gt;"",'Formation Ledger'!V1064=0),"PASS","FAIL")</f>
        <v>PASS</v>
      </c>
      <c r="F1085" s="9" t="s">
        <v>76</v>
      </c>
      <c r="G1085" s="6"/>
      <c r="H1085" s="6"/>
      <c r="I1085" s="6"/>
      <c r="J1085" s="6"/>
      <c r="K1085" s="6"/>
      <c r="L1085" s="6"/>
      <c r="M1085" s="6"/>
      <c r="N1085" s="6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  <c r="Z1085" s="6"/>
    </row>
    <row r="1086" customFormat="false" ht="15" hidden="false" customHeight="false" outlineLevel="0" collapsed="false">
      <c r="A1086" s="9" t="s">
        <v>6929</v>
      </c>
      <c r="B1086" s="9" t="s">
        <v>5870</v>
      </c>
      <c r="C1086" s="9" t="s">
        <v>1293</v>
      </c>
      <c r="D1086" s="9" t="s">
        <v>5871</v>
      </c>
      <c r="E1086" s="9" t="str">
        <f aca="false">IF(AND('Formation Ledger'!A1065&lt;&gt;"",'Formation Ledger'!V1065=0),"PASS","FAIL")</f>
        <v>PASS</v>
      </c>
      <c r="F1086" s="9" t="s">
        <v>76</v>
      </c>
      <c r="G1086" s="6"/>
      <c r="H1086" s="6"/>
      <c r="I1086" s="6"/>
      <c r="J1086" s="6"/>
      <c r="K1086" s="6"/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  <c r="Z1086" s="6"/>
    </row>
    <row r="1087" customFormat="false" ht="15" hidden="false" customHeight="false" outlineLevel="0" collapsed="false">
      <c r="A1087" s="9" t="s">
        <v>6930</v>
      </c>
      <c r="B1087" s="9" t="s">
        <v>5870</v>
      </c>
      <c r="C1087" s="9" t="s">
        <v>1294</v>
      </c>
      <c r="D1087" s="9" t="s">
        <v>5871</v>
      </c>
      <c r="E1087" s="9" t="str">
        <f aca="false">IF(AND('Formation Ledger'!A1066&lt;&gt;"",'Formation Ledger'!V1066=0),"PASS","FAIL")</f>
        <v>PASS</v>
      </c>
      <c r="F1087" s="9" t="s">
        <v>76</v>
      </c>
      <c r="G1087" s="6"/>
      <c r="H1087" s="6"/>
      <c r="I1087" s="6"/>
      <c r="J1087" s="6"/>
      <c r="K1087" s="6"/>
      <c r="L1087" s="6"/>
      <c r="M1087" s="6"/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</row>
    <row r="1088" customFormat="false" ht="15" hidden="false" customHeight="false" outlineLevel="0" collapsed="false">
      <c r="A1088" s="9" t="s">
        <v>6931</v>
      </c>
      <c r="B1088" s="9" t="s">
        <v>5870</v>
      </c>
      <c r="C1088" s="9" t="s">
        <v>1295</v>
      </c>
      <c r="D1088" s="9" t="s">
        <v>5871</v>
      </c>
      <c r="E1088" s="9" t="str">
        <f aca="false">IF(AND('Formation Ledger'!A1067&lt;&gt;"",'Formation Ledger'!V1067=0),"PASS","FAIL")</f>
        <v>PASS</v>
      </c>
      <c r="F1088" s="9" t="s">
        <v>76</v>
      </c>
      <c r="G1088" s="6"/>
      <c r="H1088" s="6"/>
      <c r="I1088" s="6"/>
      <c r="J1088" s="6"/>
      <c r="K1088" s="6"/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</row>
    <row r="1089" customFormat="false" ht="15" hidden="false" customHeight="false" outlineLevel="0" collapsed="false">
      <c r="A1089" s="9" t="s">
        <v>6932</v>
      </c>
      <c r="B1089" s="9" t="s">
        <v>5870</v>
      </c>
      <c r="C1089" s="9" t="s">
        <v>1296</v>
      </c>
      <c r="D1089" s="9" t="s">
        <v>5871</v>
      </c>
      <c r="E1089" s="9" t="str">
        <f aca="false">IF(AND('Formation Ledger'!A1068&lt;&gt;"",'Formation Ledger'!V1068=0),"PASS","FAIL")</f>
        <v>PASS</v>
      </c>
      <c r="F1089" s="9" t="s">
        <v>76</v>
      </c>
      <c r="G1089" s="6"/>
      <c r="H1089" s="6"/>
      <c r="I1089" s="6"/>
      <c r="J1089" s="6"/>
      <c r="K1089" s="6"/>
      <c r="L1089" s="6"/>
      <c r="M1089" s="6"/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  <c r="Z1089" s="6"/>
    </row>
    <row r="1090" customFormat="false" ht="15" hidden="false" customHeight="false" outlineLevel="0" collapsed="false">
      <c r="A1090" s="9" t="s">
        <v>6933</v>
      </c>
      <c r="B1090" s="9" t="s">
        <v>5870</v>
      </c>
      <c r="C1090" s="9" t="s">
        <v>1297</v>
      </c>
      <c r="D1090" s="9" t="s">
        <v>5871</v>
      </c>
      <c r="E1090" s="9" t="str">
        <f aca="false">IF(AND('Formation Ledger'!A1069&lt;&gt;"",'Formation Ledger'!V1069=0),"PASS","FAIL")</f>
        <v>PASS</v>
      </c>
      <c r="F1090" s="9" t="s">
        <v>76</v>
      </c>
      <c r="G1090" s="6"/>
      <c r="H1090" s="6"/>
      <c r="I1090" s="6"/>
      <c r="J1090" s="6"/>
      <c r="K1090" s="6"/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  <c r="Z1090" s="6"/>
    </row>
    <row r="1091" customFormat="false" ht="15" hidden="false" customHeight="false" outlineLevel="0" collapsed="false">
      <c r="A1091" s="9" t="s">
        <v>6934</v>
      </c>
      <c r="B1091" s="9" t="s">
        <v>5870</v>
      </c>
      <c r="C1091" s="9" t="s">
        <v>1298</v>
      </c>
      <c r="D1091" s="9" t="s">
        <v>5871</v>
      </c>
      <c r="E1091" s="9" t="str">
        <f aca="false">IF(AND('Formation Ledger'!A1070&lt;&gt;"",'Formation Ledger'!V1070=0),"PASS","FAIL")</f>
        <v>PASS</v>
      </c>
      <c r="F1091" s="9" t="s">
        <v>76</v>
      </c>
      <c r="G1091" s="6"/>
      <c r="H1091" s="6"/>
      <c r="I1091" s="6"/>
      <c r="J1091" s="6"/>
      <c r="K1091" s="6"/>
      <c r="L1091" s="6"/>
      <c r="M1091" s="6"/>
      <c r="N1091" s="6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  <c r="Z1091" s="6"/>
    </row>
    <row r="1092" customFormat="false" ht="15" hidden="false" customHeight="false" outlineLevel="0" collapsed="false">
      <c r="A1092" s="9" t="s">
        <v>6935</v>
      </c>
      <c r="B1092" s="9" t="s">
        <v>5870</v>
      </c>
      <c r="C1092" s="9" t="s">
        <v>1299</v>
      </c>
      <c r="D1092" s="9" t="s">
        <v>5871</v>
      </c>
      <c r="E1092" s="9" t="str">
        <f aca="false">IF(AND('Formation Ledger'!A1071&lt;&gt;"",'Formation Ledger'!V1071=0),"PASS","FAIL")</f>
        <v>PASS</v>
      </c>
      <c r="F1092" s="9" t="s">
        <v>76</v>
      </c>
      <c r="G1092" s="6"/>
      <c r="H1092" s="6"/>
      <c r="I1092" s="6"/>
      <c r="J1092" s="6"/>
      <c r="K1092" s="6"/>
      <c r="L1092" s="6"/>
      <c r="M1092" s="6"/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  <c r="Z1092" s="6"/>
    </row>
    <row r="1093" customFormat="false" ht="15" hidden="false" customHeight="false" outlineLevel="0" collapsed="false">
      <c r="A1093" s="9" t="s">
        <v>6936</v>
      </c>
      <c r="B1093" s="9" t="s">
        <v>5870</v>
      </c>
      <c r="C1093" s="9" t="s">
        <v>1300</v>
      </c>
      <c r="D1093" s="9" t="s">
        <v>5871</v>
      </c>
      <c r="E1093" s="9" t="str">
        <f aca="false">IF(AND('Formation Ledger'!A1072&lt;&gt;"",'Formation Ledger'!V1072=0),"PASS","FAIL")</f>
        <v>PASS</v>
      </c>
      <c r="F1093" s="9" t="s">
        <v>76</v>
      </c>
      <c r="G1093" s="6"/>
      <c r="H1093" s="6"/>
      <c r="I1093" s="6"/>
      <c r="J1093" s="6"/>
      <c r="K1093" s="6"/>
      <c r="L1093" s="6"/>
      <c r="M1093" s="6"/>
      <c r="N1093" s="6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  <c r="Z1093" s="6"/>
    </row>
    <row r="1094" customFormat="false" ht="15" hidden="false" customHeight="false" outlineLevel="0" collapsed="false">
      <c r="A1094" s="9" t="s">
        <v>6937</v>
      </c>
      <c r="B1094" s="9" t="s">
        <v>5870</v>
      </c>
      <c r="C1094" s="9" t="s">
        <v>1301</v>
      </c>
      <c r="D1094" s="9" t="s">
        <v>5871</v>
      </c>
      <c r="E1094" s="9" t="str">
        <f aca="false">IF(AND('Formation Ledger'!A1073&lt;&gt;"",'Formation Ledger'!V1073=0),"PASS","FAIL")</f>
        <v>PASS</v>
      </c>
      <c r="F1094" s="9" t="s">
        <v>76</v>
      </c>
      <c r="G1094" s="6"/>
      <c r="H1094" s="6"/>
      <c r="I1094" s="6"/>
      <c r="J1094" s="6"/>
      <c r="K1094" s="6"/>
      <c r="L1094" s="6"/>
      <c r="M1094" s="6"/>
      <c r="N1094" s="6"/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  <c r="Z1094" s="6"/>
    </row>
    <row r="1095" customFormat="false" ht="15" hidden="false" customHeight="false" outlineLevel="0" collapsed="false">
      <c r="A1095" s="9" t="s">
        <v>6938</v>
      </c>
      <c r="B1095" s="9" t="s">
        <v>5870</v>
      </c>
      <c r="C1095" s="9" t="s">
        <v>1302</v>
      </c>
      <c r="D1095" s="9" t="s">
        <v>5871</v>
      </c>
      <c r="E1095" s="9" t="str">
        <f aca="false">IF(AND('Formation Ledger'!A1074&lt;&gt;"",'Formation Ledger'!V1074=0),"PASS","FAIL")</f>
        <v>PASS</v>
      </c>
      <c r="F1095" s="9" t="s">
        <v>76</v>
      </c>
      <c r="G1095" s="6"/>
      <c r="H1095" s="6"/>
      <c r="I1095" s="6"/>
      <c r="J1095" s="6"/>
      <c r="K1095" s="6"/>
      <c r="L1095" s="6"/>
      <c r="M1095" s="6"/>
      <c r="N1095" s="6"/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  <c r="Z1095" s="6"/>
    </row>
    <row r="1096" customFormat="false" ht="15" hidden="false" customHeight="false" outlineLevel="0" collapsed="false">
      <c r="A1096" s="9" t="s">
        <v>6939</v>
      </c>
      <c r="B1096" s="9" t="s">
        <v>5870</v>
      </c>
      <c r="C1096" s="9" t="s">
        <v>1303</v>
      </c>
      <c r="D1096" s="9" t="s">
        <v>5871</v>
      </c>
      <c r="E1096" s="9" t="str">
        <f aca="false">IF(AND('Formation Ledger'!A1075&lt;&gt;"",'Formation Ledger'!V1075=0),"PASS","FAIL")</f>
        <v>PASS</v>
      </c>
      <c r="F1096" s="9" t="s">
        <v>76</v>
      </c>
      <c r="G1096" s="6"/>
      <c r="H1096" s="6"/>
      <c r="I1096" s="6"/>
      <c r="J1096" s="6"/>
      <c r="K1096" s="6"/>
      <c r="L1096" s="6"/>
      <c r="M1096" s="6"/>
      <c r="N1096" s="6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  <c r="Z1096" s="6"/>
    </row>
    <row r="1097" customFormat="false" ht="15" hidden="false" customHeight="false" outlineLevel="0" collapsed="false">
      <c r="A1097" s="9" t="s">
        <v>6940</v>
      </c>
      <c r="B1097" s="9" t="s">
        <v>5870</v>
      </c>
      <c r="C1097" s="9" t="s">
        <v>1304</v>
      </c>
      <c r="D1097" s="9" t="s">
        <v>5871</v>
      </c>
      <c r="E1097" s="9" t="str">
        <f aca="false">IF(AND('Formation Ledger'!A1076&lt;&gt;"",'Formation Ledger'!V1076=0),"PASS","FAIL")</f>
        <v>PASS</v>
      </c>
      <c r="F1097" s="9" t="s">
        <v>76</v>
      </c>
      <c r="G1097" s="6"/>
      <c r="H1097" s="6"/>
      <c r="I1097" s="6"/>
      <c r="J1097" s="6"/>
      <c r="K1097" s="6"/>
      <c r="L1097" s="6"/>
      <c r="M1097" s="6"/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/>
    </row>
    <row r="1098" customFormat="false" ht="15" hidden="false" customHeight="false" outlineLevel="0" collapsed="false">
      <c r="A1098" s="9" t="s">
        <v>6941</v>
      </c>
      <c r="B1098" s="9" t="s">
        <v>5870</v>
      </c>
      <c r="C1098" s="9" t="s">
        <v>1305</v>
      </c>
      <c r="D1098" s="9" t="s">
        <v>5871</v>
      </c>
      <c r="E1098" s="9" t="str">
        <f aca="false">IF(AND('Formation Ledger'!A1077&lt;&gt;"",'Formation Ledger'!V1077=0),"PASS","FAIL")</f>
        <v>PASS</v>
      </c>
      <c r="F1098" s="9" t="s">
        <v>76</v>
      </c>
      <c r="G1098" s="6"/>
      <c r="H1098" s="6"/>
      <c r="I1098" s="6"/>
      <c r="J1098" s="6"/>
      <c r="K1098" s="6"/>
      <c r="L1098" s="6"/>
      <c r="M1098" s="6"/>
      <c r="N1098" s="6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  <c r="Z1098" s="6"/>
    </row>
    <row r="1099" customFormat="false" ht="15" hidden="false" customHeight="false" outlineLevel="0" collapsed="false">
      <c r="A1099" s="9" t="s">
        <v>6942</v>
      </c>
      <c r="B1099" s="9" t="s">
        <v>5870</v>
      </c>
      <c r="C1099" s="9" t="s">
        <v>1306</v>
      </c>
      <c r="D1099" s="9" t="s">
        <v>5871</v>
      </c>
      <c r="E1099" s="9" t="str">
        <f aca="false">IF(AND('Formation Ledger'!A1078&lt;&gt;"",'Formation Ledger'!V1078=0),"PASS","FAIL")</f>
        <v>PASS</v>
      </c>
      <c r="F1099" s="9" t="s">
        <v>76</v>
      </c>
      <c r="G1099" s="6"/>
      <c r="H1099" s="6"/>
      <c r="I1099" s="6"/>
      <c r="J1099" s="6"/>
      <c r="K1099" s="6"/>
      <c r="L1099" s="6"/>
      <c r="M1099" s="6"/>
      <c r="N1099" s="6"/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  <c r="Z1099" s="6"/>
    </row>
    <row r="1100" customFormat="false" ht="15" hidden="false" customHeight="false" outlineLevel="0" collapsed="false">
      <c r="A1100" s="9" t="s">
        <v>6943</v>
      </c>
      <c r="B1100" s="9" t="s">
        <v>5870</v>
      </c>
      <c r="C1100" s="9" t="s">
        <v>1307</v>
      </c>
      <c r="D1100" s="9" t="s">
        <v>5871</v>
      </c>
      <c r="E1100" s="9" t="str">
        <f aca="false">IF(AND('Formation Ledger'!A1079&lt;&gt;"",'Formation Ledger'!V1079=0),"PASS","FAIL")</f>
        <v>PASS</v>
      </c>
      <c r="F1100" s="9" t="s">
        <v>76</v>
      </c>
      <c r="G1100" s="6"/>
      <c r="H1100" s="6"/>
      <c r="I1100" s="6"/>
      <c r="J1100" s="6"/>
      <c r="K1100" s="6"/>
      <c r="L1100" s="6"/>
      <c r="M1100" s="6"/>
      <c r="N1100" s="6"/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  <c r="Z1100" s="6"/>
    </row>
    <row r="1101" customFormat="false" ht="15" hidden="false" customHeight="false" outlineLevel="0" collapsed="false">
      <c r="A1101" s="9" t="s">
        <v>6944</v>
      </c>
      <c r="B1101" s="9" t="s">
        <v>5870</v>
      </c>
      <c r="C1101" s="9" t="s">
        <v>1308</v>
      </c>
      <c r="D1101" s="9" t="s">
        <v>5871</v>
      </c>
      <c r="E1101" s="9" t="str">
        <f aca="false">IF(AND('Formation Ledger'!A1080&lt;&gt;"",'Formation Ledger'!V1080=0),"PASS","FAIL")</f>
        <v>PASS</v>
      </c>
      <c r="F1101" s="9" t="s">
        <v>76</v>
      </c>
      <c r="G1101" s="6"/>
      <c r="H1101" s="6"/>
      <c r="I1101" s="6"/>
      <c r="J1101" s="6"/>
      <c r="K1101" s="6"/>
      <c r="L1101" s="6"/>
      <c r="M1101" s="6"/>
      <c r="N1101" s="6"/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6"/>
      <c r="Z1101" s="6"/>
    </row>
    <row r="1102" customFormat="false" ht="15" hidden="false" customHeight="false" outlineLevel="0" collapsed="false">
      <c r="A1102" s="9" t="s">
        <v>6945</v>
      </c>
      <c r="B1102" s="9" t="s">
        <v>5870</v>
      </c>
      <c r="C1102" s="9" t="s">
        <v>1309</v>
      </c>
      <c r="D1102" s="9" t="s">
        <v>5871</v>
      </c>
      <c r="E1102" s="9" t="str">
        <f aca="false">IF(AND('Formation Ledger'!A1081&lt;&gt;"",'Formation Ledger'!V1081=0),"PASS","FAIL")</f>
        <v>PASS</v>
      </c>
      <c r="F1102" s="9" t="s">
        <v>76</v>
      </c>
      <c r="G1102" s="6"/>
      <c r="H1102" s="6"/>
      <c r="I1102" s="6"/>
      <c r="J1102" s="6"/>
      <c r="K1102" s="6"/>
      <c r="L1102" s="6"/>
      <c r="M1102" s="6"/>
      <c r="N1102" s="6"/>
      <c r="O1102" s="6"/>
      <c r="P1102" s="6"/>
      <c r="Q1102" s="6"/>
      <c r="R1102" s="6"/>
      <c r="S1102" s="6"/>
      <c r="T1102" s="6"/>
      <c r="U1102" s="6"/>
      <c r="V1102" s="6"/>
      <c r="W1102" s="6"/>
      <c r="X1102" s="6"/>
      <c r="Y1102" s="6"/>
      <c r="Z1102" s="6"/>
    </row>
    <row r="1103" customFormat="false" ht="15" hidden="false" customHeight="false" outlineLevel="0" collapsed="false">
      <c r="A1103" s="9" t="s">
        <v>6946</v>
      </c>
      <c r="B1103" s="9" t="s">
        <v>5870</v>
      </c>
      <c r="C1103" s="9" t="s">
        <v>1310</v>
      </c>
      <c r="D1103" s="9" t="s">
        <v>5871</v>
      </c>
      <c r="E1103" s="9" t="str">
        <f aca="false">IF(AND('Formation Ledger'!A1082&lt;&gt;"",'Formation Ledger'!V1082=0),"PASS","FAIL")</f>
        <v>PASS</v>
      </c>
      <c r="F1103" s="9" t="s">
        <v>76</v>
      </c>
      <c r="G1103" s="6"/>
      <c r="H1103" s="6"/>
      <c r="I1103" s="6"/>
      <c r="J1103" s="6"/>
      <c r="K1103" s="6"/>
      <c r="L1103" s="6"/>
      <c r="M1103" s="6"/>
      <c r="N1103" s="6"/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6"/>
      <c r="Z1103" s="6"/>
    </row>
    <row r="1104" customFormat="false" ht="15" hidden="false" customHeight="false" outlineLevel="0" collapsed="false">
      <c r="A1104" s="9" t="s">
        <v>6947</v>
      </c>
      <c r="B1104" s="9" t="s">
        <v>5870</v>
      </c>
      <c r="C1104" s="9" t="s">
        <v>1311</v>
      </c>
      <c r="D1104" s="9" t="s">
        <v>5871</v>
      </c>
      <c r="E1104" s="9" t="str">
        <f aca="false">IF(AND('Formation Ledger'!A1083&lt;&gt;"",'Formation Ledger'!V1083=0),"PASS","FAIL")</f>
        <v>PASS</v>
      </c>
      <c r="F1104" s="9" t="s">
        <v>76</v>
      </c>
      <c r="G1104" s="6"/>
      <c r="H1104" s="6"/>
      <c r="I1104" s="6"/>
      <c r="J1104" s="6"/>
      <c r="K1104" s="6"/>
      <c r="L1104" s="6"/>
      <c r="M1104" s="6"/>
      <c r="N1104" s="6"/>
      <c r="O1104" s="6"/>
      <c r="P1104" s="6"/>
      <c r="Q1104" s="6"/>
      <c r="R1104" s="6"/>
      <c r="S1104" s="6"/>
      <c r="T1104" s="6"/>
      <c r="U1104" s="6"/>
      <c r="V1104" s="6"/>
      <c r="W1104" s="6"/>
      <c r="X1104" s="6"/>
      <c r="Y1104" s="6"/>
      <c r="Z1104" s="6"/>
    </row>
    <row r="1105" customFormat="false" ht="15" hidden="false" customHeight="false" outlineLevel="0" collapsed="false">
      <c r="A1105" s="9" t="s">
        <v>6948</v>
      </c>
      <c r="B1105" s="9" t="s">
        <v>5870</v>
      </c>
      <c r="C1105" s="9" t="s">
        <v>1312</v>
      </c>
      <c r="D1105" s="9" t="s">
        <v>5871</v>
      </c>
      <c r="E1105" s="9" t="str">
        <f aca="false">IF(AND('Formation Ledger'!A1084&lt;&gt;"",'Formation Ledger'!V1084=0),"PASS","FAIL")</f>
        <v>PASS</v>
      </c>
      <c r="F1105" s="9" t="s">
        <v>76</v>
      </c>
      <c r="G1105" s="6"/>
      <c r="H1105" s="6"/>
      <c r="I1105" s="6"/>
      <c r="J1105" s="6"/>
      <c r="K1105" s="6"/>
      <c r="L1105" s="6"/>
      <c r="M1105" s="6"/>
      <c r="N1105" s="6"/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  <c r="Z1105" s="6"/>
    </row>
    <row r="1106" customFormat="false" ht="15" hidden="false" customHeight="false" outlineLevel="0" collapsed="false">
      <c r="A1106" s="9" t="s">
        <v>6949</v>
      </c>
      <c r="B1106" s="9" t="s">
        <v>5870</v>
      </c>
      <c r="C1106" s="9" t="s">
        <v>1313</v>
      </c>
      <c r="D1106" s="9" t="s">
        <v>5871</v>
      </c>
      <c r="E1106" s="9" t="str">
        <f aca="false">IF(AND('Formation Ledger'!A1085&lt;&gt;"",'Formation Ledger'!V1085=0),"PASS","FAIL")</f>
        <v>PASS</v>
      </c>
      <c r="F1106" s="9" t="s">
        <v>76</v>
      </c>
      <c r="G1106" s="6"/>
      <c r="H1106" s="6"/>
      <c r="I1106" s="6"/>
      <c r="J1106" s="6"/>
      <c r="K1106" s="6"/>
      <c r="L1106" s="6"/>
      <c r="M1106" s="6"/>
      <c r="N1106" s="6"/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6"/>
      <c r="Z1106" s="6"/>
    </row>
    <row r="1107" customFormat="false" ht="15" hidden="false" customHeight="false" outlineLevel="0" collapsed="false">
      <c r="A1107" s="9" t="s">
        <v>6950</v>
      </c>
      <c r="B1107" s="9" t="s">
        <v>5870</v>
      </c>
      <c r="C1107" s="9" t="s">
        <v>1314</v>
      </c>
      <c r="D1107" s="9" t="s">
        <v>5871</v>
      </c>
      <c r="E1107" s="9" t="str">
        <f aca="false">IF(AND('Formation Ledger'!A1086&lt;&gt;"",'Formation Ledger'!V1086=0),"PASS","FAIL")</f>
        <v>PASS</v>
      </c>
      <c r="F1107" s="9" t="s">
        <v>76</v>
      </c>
      <c r="G1107" s="6"/>
      <c r="H1107" s="6"/>
      <c r="I1107" s="6"/>
      <c r="J1107" s="6"/>
      <c r="K1107" s="6"/>
      <c r="L1107" s="6"/>
      <c r="M1107" s="6"/>
      <c r="N1107" s="6"/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6"/>
      <c r="Z1107" s="6"/>
    </row>
    <row r="1108" customFormat="false" ht="15" hidden="false" customHeight="false" outlineLevel="0" collapsed="false">
      <c r="A1108" s="9" t="s">
        <v>6951</v>
      </c>
      <c r="B1108" s="9" t="s">
        <v>5870</v>
      </c>
      <c r="C1108" s="9" t="s">
        <v>1315</v>
      </c>
      <c r="D1108" s="9" t="s">
        <v>5871</v>
      </c>
      <c r="E1108" s="9" t="str">
        <f aca="false">IF(AND('Formation Ledger'!A1087&lt;&gt;"",'Formation Ledger'!V1087=0),"PASS","FAIL")</f>
        <v>PASS</v>
      </c>
      <c r="F1108" s="9" t="s">
        <v>76</v>
      </c>
      <c r="G1108" s="6"/>
      <c r="H1108" s="6"/>
      <c r="I1108" s="6"/>
      <c r="J1108" s="6"/>
      <c r="K1108" s="6"/>
      <c r="L1108" s="6"/>
      <c r="M1108" s="6"/>
      <c r="N1108" s="6"/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6"/>
      <c r="Z1108" s="6"/>
    </row>
    <row r="1109" customFormat="false" ht="15" hidden="false" customHeight="false" outlineLevel="0" collapsed="false">
      <c r="A1109" s="9" t="s">
        <v>6952</v>
      </c>
      <c r="B1109" s="9" t="s">
        <v>5870</v>
      </c>
      <c r="C1109" s="9" t="s">
        <v>1316</v>
      </c>
      <c r="D1109" s="9" t="s">
        <v>5871</v>
      </c>
      <c r="E1109" s="9" t="str">
        <f aca="false">IF(AND('Formation Ledger'!A1088&lt;&gt;"",'Formation Ledger'!V1088=0),"PASS","FAIL")</f>
        <v>PASS</v>
      </c>
      <c r="F1109" s="9" t="s">
        <v>76</v>
      </c>
      <c r="G1109" s="6"/>
      <c r="H1109" s="6"/>
      <c r="I1109" s="6"/>
      <c r="J1109" s="6"/>
      <c r="K1109" s="6"/>
      <c r="L1109" s="6"/>
      <c r="M1109" s="6"/>
      <c r="N1109" s="6"/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6"/>
      <c r="Z1109" s="6"/>
    </row>
    <row r="1110" customFormat="false" ht="15" hidden="false" customHeight="false" outlineLevel="0" collapsed="false">
      <c r="A1110" s="9" t="s">
        <v>6953</v>
      </c>
      <c r="B1110" s="9" t="s">
        <v>5870</v>
      </c>
      <c r="C1110" s="9" t="s">
        <v>1317</v>
      </c>
      <c r="D1110" s="9" t="s">
        <v>5871</v>
      </c>
      <c r="E1110" s="9" t="str">
        <f aca="false">IF(AND('Formation Ledger'!A1089&lt;&gt;"",'Formation Ledger'!V1089=0),"PASS","FAIL")</f>
        <v>PASS</v>
      </c>
      <c r="F1110" s="9" t="s">
        <v>76</v>
      </c>
      <c r="G1110" s="6"/>
      <c r="H1110" s="6"/>
      <c r="I1110" s="6"/>
      <c r="J1110" s="6"/>
      <c r="K1110" s="6"/>
      <c r="L1110" s="6"/>
      <c r="M1110" s="6"/>
      <c r="N1110" s="6"/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6"/>
      <c r="Z1110" s="6"/>
    </row>
    <row r="1111" customFormat="false" ht="15" hidden="false" customHeight="false" outlineLevel="0" collapsed="false">
      <c r="A1111" s="9" t="s">
        <v>6954</v>
      </c>
      <c r="B1111" s="9" t="s">
        <v>5870</v>
      </c>
      <c r="C1111" s="9" t="s">
        <v>1318</v>
      </c>
      <c r="D1111" s="9" t="s">
        <v>5871</v>
      </c>
      <c r="E1111" s="9" t="str">
        <f aca="false">IF(AND('Formation Ledger'!A1090&lt;&gt;"",'Formation Ledger'!V1090=0),"PASS","FAIL")</f>
        <v>PASS</v>
      </c>
      <c r="F1111" s="9" t="s">
        <v>76</v>
      </c>
      <c r="G1111" s="6"/>
      <c r="H1111" s="6"/>
      <c r="I1111" s="6"/>
      <c r="J1111" s="6"/>
      <c r="K1111" s="6"/>
      <c r="L1111" s="6"/>
      <c r="M1111" s="6"/>
      <c r="N1111" s="6"/>
      <c r="O1111" s="6"/>
      <c r="P1111" s="6"/>
      <c r="Q1111" s="6"/>
      <c r="R1111" s="6"/>
      <c r="S1111" s="6"/>
      <c r="T1111" s="6"/>
      <c r="U1111" s="6"/>
      <c r="V1111" s="6"/>
      <c r="W1111" s="6"/>
      <c r="X1111" s="6"/>
      <c r="Y1111" s="6"/>
      <c r="Z1111" s="6"/>
    </row>
    <row r="1112" customFormat="false" ht="15" hidden="false" customHeight="false" outlineLevel="0" collapsed="false">
      <c r="A1112" s="9" t="s">
        <v>6955</v>
      </c>
      <c r="B1112" s="9" t="s">
        <v>5870</v>
      </c>
      <c r="C1112" s="9" t="s">
        <v>1319</v>
      </c>
      <c r="D1112" s="9" t="s">
        <v>5871</v>
      </c>
      <c r="E1112" s="9" t="str">
        <f aca="false">IF(AND('Formation Ledger'!A1091&lt;&gt;"",'Formation Ledger'!V1091=0),"PASS","FAIL")</f>
        <v>PASS</v>
      </c>
      <c r="F1112" s="9" t="s">
        <v>76</v>
      </c>
      <c r="G1112" s="6"/>
      <c r="H1112" s="6"/>
      <c r="I1112" s="6"/>
      <c r="J1112" s="6"/>
      <c r="K1112" s="6"/>
      <c r="L1112" s="6"/>
      <c r="M1112" s="6"/>
      <c r="N1112" s="6"/>
      <c r="O1112" s="6"/>
      <c r="P1112" s="6"/>
      <c r="Q1112" s="6"/>
      <c r="R1112" s="6"/>
      <c r="S1112" s="6"/>
      <c r="T1112" s="6"/>
      <c r="U1112" s="6"/>
      <c r="V1112" s="6"/>
      <c r="W1112" s="6"/>
      <c r="X1112" s="6"/>
      <c r="Y1112" s="6"/>
      <c r="Z1112" s="6"/>
    </row>
    <row r="1113" customFormat="false" ht="15" hidden="false" customHeight="false" outlineLevel="0" collapsed="false">
      <c r="A1113" s="9" t="s">
        <v>6956</v>
      </c>
      <c r="B1113" s="9" t="s">
        <v>5870</v>
      </c>
      <c r="C1113" s="9" t="s">
        <v>1320</v>
      </c>
      <c r="D1113" s="9" t="s">
        <v>5871</v>
      </c>
      <c r="E1113" s="9" t="str">
        <f aca="false">IF(AND('Formation Ledger'!A1092&lt;&gt;"",'Formation Ledger'!V1092=0),"PASS","FAIL")</f>
        <v>PASS</v>
      </c>
      <c r="F1113" s="9" t="s">
        <v>76</v>
      </c>
      <c r="G1113" s="6"/>
      <c r="H1113" s="6"/>
      <c r="I1113" s="6"/>
      <c r="J1113" s="6"/>
      <c r="K1113" s="6"/>
      <c r="L1113" s="6"/>
      <c r="M1113" s="6"/>
      <c r="N1113" s="6"/>
      <c r="O1113" s="6"/>
      <c r="P1113" s="6"/>
      <c r="Q1113" s="6"/>
      <c r="R1113" s="6"/>
      <c r="S1113" s="6"/>
      <c r="T1113" s="6"/>
      <c r="U1113" s="6"/>
      <c r="V1113" s="6"/>
      <c r="W1113" s="6"/>
      <c r="X1113" s="6"/>
      <c r="Y1113" s="6"/>
      <c r="Z1113" s="6"/>
    </row>
    <row r="1114" customFormat="false" ht="15" hidden="false" customHeight="false" outlineLevel="0" collapsed="false">
      <c r="A1114" s="9" t="s">
        <v>6957</v>
      </c>
      <c r="B1114" s="9" t="s">
        <v>5870</v>
      </c>
      <c r="C1114" s="9" t="s">
        <v>1321</v>
      </c>
      <c r="D1114" s="9" t="s">
        <v>5871</v>
      </c>
      <c r="E1114" s="9" t="str">
        <f aca="false">IF(AND('Formation Ledger'!A1093&lt;&gt;"",'Formation Ledger'!V1093=0),"PASS","FAIL")</f>
        <v>PASS</v>
      </c>
      <c r="F1114" s="9" t="s">
        <v>76</v>
      </c>
      <c r="G1114" s="6"/>
      <c r="H1114" s="6"/>
      <c r="I1114" s="6"/>
      <c r="J1114" s="6"/>
      <c r="K1114" s="6"/>
      <c r="L1114" s="6"/>
      <c r="M1114" s="6"/>
      <c r="N1114" s="6"/>
      <c r="O1114" s="6"/>
      <c r="P1114" s="6"/>
      <c r="Q1114" s="6"/>
      <c r="R1114" s="6"/>
      <c r="S1114" s="6"/>
      <c r="T1114" s="6"/>
      <c r="U1114" s="6"/>
      <c r="V1114" s="6"/>
      <c r="W1114" s="6"/>
      <c r="X1114" s="6"/>
      <c r="Y1114" s="6"/>
      <c r="Z1114" s="6"/>
    </row>
    <row r="1115" customFormat="false" ht="15" hidden="false" customHeight="false" outlineLevel="0" collapsed="false">
      <c r="A1115" s="9" t="s">
        <v>6958</v>
      </c>
      <c r="B1115" s="9" t="s">
        <v>5870</v>
      </c>
      <c r="C1115" s="9" t="s">
        <v>1322</v>
      </c>
      <c r="D1115" s="9" t="s">
        <v>5871</v>
      </c>
      <c r="E1115" s="9" t="str">
        <f aca="false">IF(AND('Formation Ledger'!A1094&lt;&gt;"",'Formation Ledger'!V1094=0),"PASS","FAIL")</f>
        <v>PASS</v>
      </c>
      <c r="F1115" s="9" t="s">
        <v>76</v>
      </c>
      <c r="G1115" s="6"/>
      <c r="H1115" s="6"/>
      <c r="I1115" s="6"/>
      <c r="J1115" s="6"/>
      <c r="K1115" s="6"/>
      <c r="L1115" s="6"/>
      <c r="M1115" s="6"/>
      <c r="N1115" s="6"/>
      <c r="O1115" s="6"/>
      <c r="P1115" s="6"/>
      <c r="Q1115" s="6"/>
      <c r="R1115" s="6"/>
      <c r="S1115" s="6"/>
      <c r="T1115" s="6"/>
      <c r="U1115" s="6"/>
      <c r="V1115" s="6"/>
      <c r="W1115" s="6"/>
      <c r="X1115" s="6"/>
      <c r="Y1115" s="6"/>
      <c r="Z1115" s="6"/>
    </row>
    <row r="1116" customFormat="false" ht="15" hidden="false" customHeight="false" outlineLevel="0" collapsed="false">
      <c r="A1116" s="9" t="s">
        <v>6959</v>
      </c>
      <c r="B1116" s="9" t="s">
        <v>5870</v>
      </c>
      <c r="C1116" s="9" t="s">
        <v>1323</v>
      </c>
      <c r="D1116" s="9" t="s">
        <v>5871</v>
      </c>
      <c r="E1116" s="9" t="str">
        <f aca="false">IF(AND('Formation Ledger'!A1095&lt;&gt;"",'Formation Ledger'!V1095=0),"PASS","FAIL")</f>
        <v>PASS</v>
      </c>
      <c r="F1116" s="9" t="s">
        <v>76</v>
      </c>
      <c r="G1116" s="6"/>
      <c r="H1116" s="6"/>
      <c r="I1116" s="6"/>
      <c r="J1116" s="6"/>
      <c r="K1116" s="6"/>
      <c r="L1116" s="6"/>
      <c r="M1116" s="6"/>
      <c r="N1116" s="6"/>
      <c r="O1116" s="6"/>
      <c r="P1116" s="6"/>
      <c r="Q1116" s="6"/>
      <c r="R1116" s="6"/>
      <c r="S1116" s="6"/>
      <c r="T1116" s="6"/>
      <c r="U1116" s="6"/>
      <c r="V1116" s="6"/>
      <c r="W1116" s="6"/>
      <c r="X1116" s="6"/>
      <c r="Y1116" s="6"/>
      <c r="Z1116" s="6"/>
    </row>
    <row r="1117" customFormat="false" ht="15" hidden="false" customHeight="false" outlineLevel="0" collapsed="false">
      <c r="A1117" s="9" t="s">
        <v>6960</v>
      </c>
      <c r="B1117" s="9" t="s">
        <v>5870</v>
      </c>
      <c r="C1117" s="9" t="s">
        <v>1324</v>
      </c>
      <c r="D1117" s="9" t="s">
        <v>5871</v>
      </c>
      <c r="E1117" s="9" t="str">
        <f aca="false">IF(AND('Formation Ledger'!A1096&lt;&gt;"",'Formation Ledger'!V1096=0),"PASS","FAIL")</f>
        <v>PASS</v>
      </c>
      <c r="F1117" s="9" t="s">
        <v>76</v>
      </c>
      <c r="G1117" s="6"/>
      <c r="H1117" s="6"/>
      <c r="I1117" s="6"/>
      <c r="J1117" s="6"/>
      <c r="K1117" s="6"/>
      <c r="L1117" s="6"/>
      <c r="M1117" s="6"/>
      <c r="N1117" s="6"/>
      <c r="O1117" s="6"/>
      <c r="P1117" s="6"/>
      <c r="Q1117" s="6"/>
      <c r="R1117" s="6"/>
      <c r="S1117" s="6"/>
      <c r="T1117" s="6"/>
      <c r="U1117" s="6"/>
      <c r="V1117" s="6"/>
      <c r="W1117" s="6"/>
      <c r="X1117" s="6"/>
      <c r="Y1117" s="6"/>
      <c r="Z1117" s="6"/>
    </row>
    <row r="1118" customFormat="false" ht="15" hidden="false" customHeight="false" outlineLevel="0" collapsed="false">
      <c r="A1118" s="9" t="s">
        <v>6961</v>
      </c>
      <c r="B1118" s="9" t="s">
        <v>5870</v>
      </c>
      <c r="C1118" s="9" t="s">
        <v>1325</v>
      </c>
      <c r="D1118" s="9" t="s">
        <v>5871</v>
      </c>
      <c r="E1118" s="9" t="str">
        <f aca="false">IF(AND('Formation Ledger'!A1097&lt;&gt;"",'Formation Ledger'!V1097=0),"PASS","FAIL")</f>
        <v>PASS</v>
      </c>
      <c r="F1118" s="9" t="s">
        <v>76</v>
      </c>
      <c r="G1118" s="6"/>
      <c r="H1118" s="6"/>
      <c r="I1118" s="6"/>
      <c r="J1118" s="6"/>
      <c r="K1118" s="6"/>
      <c r="L1118" s="6"/>
      <c r="M1118" s="6"/>
      <c r="N1118" s="6"/>
      <c r="O1118" s="6"/>
      <c r="P1118" s="6"/>
      <c r="Q1118" s="6"/>
      <c r="R1118" s="6"/>
      <c r="S1118" s="6"/>
      <c r="T1118" s="6"/>
      <c r="U1118" s="6"/>
      <c r="V1118" s="6"/>
      <c r="W1118" s="6"/>
      <c r="X1118" s="6"/>
      <c r="Y1118" s="6"/>
      <c r="Z1118" s="6"/>
    </row>
    <row r="1119" customFormat="false" ht="15" hidden="false" customHeight="false" outlineLevel="0" collapsed="false">
      <c r="A1119" s="9" t="s">
        <v>6962</v>
      </c>
      <c r="B1119" s="9" t="s">
        <v>5870</v>
      </c>
      <c r="C1119" s="9" t="s">
        <v>1326</v>
      </c>
      <c r="D1119" s="9" t="s">
        <v>5871</v>
      </c>
      <c r="E1119" s="9" t="str">
        <f aca="false">IF(AND('Formation Ledger'!A1098&lt;&gt;"",'Formation Ledger'!V1098=0),"PASS","FAIL")</f>
        <v>PASS</v>
      </c>
      <c r="F1119" s="9" t="s">
        <v>76</v>
      </c>
      <c r="G1119" s="6"/>
      <c r="H1119" s="6"/>
      <c r="I1119" s="6"/>
      <c r="J1119" s="6"/>
      <c r="K1119" s="6"/>
      <c r="L1119" s="6"/>
      <c r="M1119" s="6"/>
      <c r="N1119" s="6"/>
      <c r="O1119" s="6"/>
      <c r="P1119" s="6"/>
      <c r="Q1119" s="6"/>
      <c r="R1119" s="6"/>
      <c r="S1119" s="6"/>
      <c r="T1119" s="6"/>
      <c r="U1119" s="6"/>
      <c r="V1119" s="6"/>
      <c r="W1119" s="6"/>
      <c r="X1119" s="6"/>
      <c r="Y1119" s="6"/>
      <c r="Z1119" s="6"/>
    </row>
    <row r="1120" customFormat="false" ht="15" hidden="false" customHeight="false" outlineLevel="0" collapsed="false">
      <c r="A1120" s="9" t="s">
        <v>6963</v>
      </c>
      <c r="B1120" s="9" t="s">
        <v>5870</v>
      </c>
      <c r="C1120" s="9" t="s">
        <v>1327</v>
      </c>
      <c r="D1120" s="9" t="s">
        <v>5871</v>
      </c>
      <c r="E1120" s="9" t="str">
        <f aca="false">IF(AND('Formation Ledger'!A1099&lt;&gt;"",'Formation Ledger'!V1099=0),"PASS","FAIL")</f>
        <v>PASS</v>
      </c>
      <c r="F1120" s="9" t="s">
        <v>76</v>
      </c>
      <c r="G1120" s="6"/>
      <c r="H1120" s="6"/>
      <c r="I1120" s="6"/>
      <c r="J1120" s="6"/>
      <c r="K1120" s="6"/>
      <c r="L1120" s="6"/>
      <c r="M1120" s="6"/>
      <c r="N1120" s="6"/>
      <c r="O1120" s="6"/>
      <c r="P1120" s="6"/>
      <c r="Q1120" s="6"/>
      <c r="R1120" s="6"/>
      <c r="S1120" s="6"/>
      <c r="T1120" s="6"/>
      <c r="U1120" s="6"/>
      <c r="V1120" s="6"/>
      <c r="W1120" s="6"/>
      <c r="X1120" s="6"/>
      <c r="Y1120" s="6"/>
      <c r="Z1120" s="6"/>
    </row>
    <row r="1121" customFormat="false" ht="15" hidden="false" customHeight="false" outlineLevel="0" collapsed="false">
      <c r="A1121" s="9" t="s">
        <v>6964</v>
      </c>
      <c r="B1121" s="9" t="s">
        <v>5870</v>
      </c>
      <c r="C1121" s="9" t="s">
        <v>1328</v>
      </c>
      <c r="D1121" s="9" t="s">
        <v>5871</v>
      </c>
      <c r="E1121" s="9" t="str">
        <f aca="false">IF(AND('Formation Ledger'!A1100&lt;&gt;"",'Formation Ledger'!V1100=0),"PASS","FAIL")</f>
        <v>PASS</v>
      </c>
      <c r="F1121" s="9" t="s">
        <v>76</v>
      </c>
      <c r="G1121" s="6"/>
      <c r="H1121" s="6"/>
      <c r="I1121" s="6"/>
      <c r="J1121" s="6"/>
      <c r="K1121" s="6"/>
      <c r="L1121" s="6"/>
      <c r="M1121" s="6"/>
      <c r="N1121" s="6"/>
      <c r="O1121" s="6"/>
      <c r="P1121" s="6"/>
      <c r="Q1121" s="6"/>
      <c r="R1121" s="6"/>
      <c r="S1121" s="6"/>
      <c r="T1121" s="6"/>
      <c r="U1121" s="6"/>
      <c r="V1121" s="6"/>
      <c r="W1121" s="6"/>
      <c r="X1121" s="6"/>
      <c r="Y1121" s="6"/>
      <c r="Z1121" s="6"/>
    </row>
    <row r="1122" customFormat="false" ht="15" hidden="false" customHeight="false" outlineLevel="0" collapsed="false">
      <c r="A1122" s="9" t="s">
        <v>6965</v>
      </c>
      <c r="B1122" s="9" t="s">
        <v>5870</v>
      </c>
      <c r="C1122" s="9" t="s">
        <v>1329</v>
      </c>
      <c r="D1122" s="9" t="s">
        <v>5871</v>
      </c>
      <c r="E1122" s="9" t="str">
        <f aca="false">IF(AND('Formation Ledger'!A1101&lt;&gt;"",'Formation Ledger'!V1101=0),"PASS","FAIL")</f>
        <v>PASS</v>
      </c>
      <c r="F1122" s="9" t="s">
        <v>76</v>
      </c>
      <c r="G1122" s="6"/>
      <c r="H1122" s="6"/>
      <c r="I1122" s="6"/>
      <c r="J1122" s="6"/>
      <c r="K1122" s="6"/>
      <c r="L1122" s="6"/>
      <c r="M1122" s="6"/>
      <c r="N1122" s="6"/>
      <c r="O1122" s="6"/>
      <c r="P1122" s="6"/>
      <c r="Q1122" s="6"/>
      <c r="R1122" s="6"/>
      <c r="S1122" s="6"/>
      <c r="T1122" s="6"/>
      <c r="U1122" s="6"/>
      <c r="V1122" s="6"/>
      <c r="W1122" s="6"/>
      <c r="X1122" s="6"/>
      <c r="Y1122" s="6"/>
      <c r="Z1122" s="6"/>
    </row>
    <row r="1123" customFormat="false" ht="15" hidden="false" customHeight="false" outlineLevel="0" collapsed="false">
      <c r="A1123" s="9" t="s">
        <v>6966</v>
      </c>
      <c r="B1123" s="9" t="s">
        <v>5870</v>
      </c>
      <c r="C1123" s="9" t="s">
        <v>1330</v>
      </c>
      <c r="D1123" s="9" t="s">
        <v>5871</v>
      </c>
      <c r="E1123" s="9" t="str">
        <f aca="false">IF(AND('Formation Ledger'!A1102&lt;&gt;"",'Formation Ledger'!V1102=0),"PASS","FAIL")</f>
        <v>PASS</v>
      </c>
      <c r="F1123" s="9" t="s">
        <v>76</v>
      </c>
      <c r="G1123" s="6"/>
      <c r="H1123" s="6"/>
      <c r="I1123" s="6"/>
      <c r="J1123" s="6"/>
      <c r="K1123" s="6"/>
      <c r="L1123" s="6"/>
      <c r="M1123" s="6"/>
      <c r="N1123" s="6"/>
      <c r="O1123" s="6"/>
      <c r="P1123" s="6"/>
      <c r="Q1123" s="6"/>
      <c r="R1123" s="6"/>
      <c r="S1123" s="6"/>
      <c r="T1123" s="6"/>
      <c r="U1123" s="6"/>
      <c r="V1123" s="6"/>
      <c r="W1123" s="6"/>
      <c r="X1123" s="6"/>
      <c r="Y1123" s="6"/>
      <c r="Z1123" s="6"/>
    </row>
    <row r="1124" customFormat="false" ht="15" hidden="false" customHeight="false" outlineLevel="0" collapsed="false">
      <c r="A1124" s="9" t="s">
        <v>6967</v>
      </c>
      <c r="B1124" s="9" t="s">
        <v>5870</v>
      </c>
      <c r="C1124" s="9" t="s">
        <v>1331</v>
      </c>
      <c r="D1124" s="9" t="s">
        <v>5871</v>
      </c>
      <c r="E1124" s="9" t="str">
        <f aca="false">IF(AND('Formation Ledger'!A1103&lt;&gt;"",'Formation Ledger'!V1103=0),"PASS","FAIL")</f>
        <v>PASS</v>
      </c>
      <c r="F1124" s="9" t="s">
        <v>76</v>
      </c>
      <c r="G1124" s="6"/>
      <c r="H1124" s="6"/>
      <c r="I1124" s="6"/>
      <c r="J1124" s="6"/>
      <c r="K1124" s="6"/>
      <c r="L1124" s="6"/>
      <c r="M1124" s="6"/>
      <c r="N1124" s="6"/>
      <c r="O1124" s="6"/>
      <c r="P1124" s="6"/>
      <c r="Q1124" s="6"/>
      <c r="R1124" s="6"/>
      <c r="S1124" s="6"/>
      <c r="T1124" s="6"/>
      <c r="U1124" s="6"/>
      <c r="V1124" s="6"/>
      <c r="W1124" s="6"/>
      <c r="X1124" s="6"/>
      <c r="Y1124" s="6"/>
      <c r="Z1124" s="6"/>
    </row>
    <row r="1125" customFormat="false" ht="15" hidden="false" customHeight="false" outlineLevel="0" collapsed="false">
      <c r="A1125" s="9" t="s">
        <v>6968</v>
      </c>
      <c r="B1125" s="9" t="s">
        <v>5870</v>
      </c>
      <c r="C1125" s="9" t="s">
        <v>1332</v>
      </c>
      <c r="D1125" s="9" t="s">
        <v>5871</v>
      </c>
      <c r="E1125" s="9" t="str">
        <f aca="false">IF(AND('Formation Ledger'!A1104&lt;&gt;"",'Formation Ledger'!V1104=0),"PASS","FAIL")</f>
        <v>PASS</v>
      </c>
      <c r="F1125" s="9" t="s">
        <v>76</v>
      </c>
      <c r="G1125" s="6"/>
      <c r="H1125" s="6"/>
      <c r="I1125" s="6"/>
      <c r="J1125" s="6"/>
      <c r="K1125" s="6"/>
      <c r="L1125" s="6"/>
      <c r="M1125" s="6"/>
      <c r="N1125" s="6"/>
      <c r="O1125" s="6"/>
      <c r="P1125" s="6"/>
      <c r="Q1125" s="6"/>
      <c r="R1125" s="6"/>
      <c r="S1125" s="6"/>
      <c r="T1125" s="6"/>
      <c r="U1125" s="6"/>
      <c r="V1125" s="6"/>
      <c r="W1125" s="6"/>
      <c r="X1125" s="6"/>
      <c r="Y1125" s="6"/>
      <c r="Z1125" s="6"/>
    </row>
    <row r="1126" customFormat="false" ht="15" hidden="false" customHeight="false" outlineLevel="0" collapsed="false">
      <c r="A1126" s="9" t="s">
        <v>6969</v>
      </c>
      <c r="B1126" s="9" t="s">
        <v>5870</v>
      </c>
      <c r="C1126" s="9" t="s">
        <v>1333</v>
      </c>
      <c r="D1126" s="9" t="s">
        <v>5871</v>
      </c>
      <c r="E1126" s="9" t="str">
        <f aca="false">IF(AND('Formation Ledger'!A1105&lt;&gt;"",'Formation Ledger'!V1105=0),"PASS","FAIL")</f>
        <v>PASS</v>
      </c>
      <c r="F1126" s="9" t="s">
        <v>76</v>
      </c>
      <c r="G1126" s="6"/>
      <c r="H1126" s="6"/>
      <c r="I1126" s="6"/>
      <c r="J1126" s="6"/>
      <c r="K1126" s="6"/>
      <c r="L1126" s="6"/>
      <c r="M1126" s="6"/>
      <c r="N1126" s="6"/>
      <c r="O1126" s="6"/>
      <c r="P1126" s="6"/>
      <c r="Q1126" s="6"/>
      <c r="R1126" s="6"/>
      <c r="S1126" s="6"/>
      <c r="T1126" s="6"/>
      <c r="U1126" s="6"/>
      <c r="V1126" s="6"/>
      <c r="W1126" s="6"/>
      <c r="X1126" s="6"/>
      <c r="Y1126" s="6"/>
      <c r="Z1126" s="6"/>
    </row>
    <row r="1127" customFormat="false" ht="15" hidden="false" customHeight="false" outlineLevel="0" collapsed="false">
      <c r="A1127" s="9" t="s">
        <v>6970</v>
      </c>
      <c r="B1127" s="9" t="s">
        <v>5870</v>
      </c>
      <c r="C1127" s="9" t="s">
        <v>1334</v>
      </c>
      <c r="D1127" s="9" t="s">
        <v>5871</v>
      </c>
      <c r="E1127" s="9" t="str">
        <f aca="false">IF(AND('Formation Ledger'!A1106&lt;&gt;"",'Formation Ledger'!V1106=0),"PASS","FAIL")</f>
        <v>PASS</v>
      </c>
      <c r="F1127" s="9" t="s">
        <v>76</v>
      </c>
      <c r="G1127" s="6"/>
      <c r="H1127" s="6"/>
      <c r="I1127" s="6"/>
      <c r="J1127" s="6"/>
      <c r="K1127" s="6"/>
      <c r="L1127" s="6"/>
      <c r="M1127" s="6"/>
      <c r="N1127" s="6"/>
      <c r="O1127" s="6"/>
      <c r="P1127" s="6"/>
      <c r="Q1127" s="6"/>
      <c r="R1127" s="6"/>
      <c r="S1127" s="6"/>
      <c r="T1127" s="6"/>
      <c r="U1127" s="6"/>
      <c r="V1127" s="6"/>
      <c r="W1127" s="6"/>
      <c r="X1127" s="6"/>
      <c r="Y1127" s="6"/>
      <c r="Z1127" s="6"/>
    </row>
    <row r="1128" customFormat="false" ht="15" hidden="false" customHeight="false" outlineLevel="0" collapsed="false">
      <c r="A1128" s="9" t="s">
        <v>6971</v>
      </c>
      <c r="B1128" s="9" t="s">
        <v>5870</v>
      </c>
      <c r="C1128" s="9" t="s">
        <v>1335</v>
      </c>
      <c r="D1128" s="9" t="s">
        <v>5871</v>
      </c>
      <c r="E1128" s="9" t="str">
        <f aca="false">IF(AND('Formation Ledger'!A1107&lt;&gt;"",'Formation Ledger'!V1107=0),"PASS","FAIL")</f>
        <v>PASS</v>
      </c>
      <c r="F1128" s="9" t="s">
        <v>76</v>
      </c>
      <c r="G1128" s="6"/>
      <c r="H1128" s="6"/>
      <c r="I1128" s="6"/>
      <c r="J1128" s="6"/>
      <c r="K1128" s="6"/>
      <c r="L1128" s="6"/>
      <c r="M1128" s="6"/>
      <c r="N1128" s="6"/>
      <c r="O1128" s="6"/>
      <c r="P1128" s="6"/>
      <c r="Q1128" s="6"/>
      <c r="R1128" s="6"/>
      <c r="S1128" s="6"/>
      <c r="T1128" s="6"/>
      <c r="U1128" s="6"/>
      <c r="V1128" s="6"/>
      <c r="W1128" s="6"/>
      <c r="X1128" s="6"/>
      <c r="Y1128" s="6"/>
      <c r="Z1128" s="6"/>
    </row>
    <row r="1129" customFormat="false" ht="15" hidden="false" customHeight="false" outlineLevel="0" collapsed="false">
      <c r="A1129" s="9" t="s">
        <v>6972</v>
      </c>
      <c r="B1129" s="9" t="s">
        <v>5870</v>
      </c>
      <c r="C1129" s="9" t="s">
        <v>1336</v>
      </c>
      <c r="D1129" s="9" t="s">
        <v>5871</v>
      </c>
      <c r="E1129" s="9" t="str">
        <f aca="false">IF(AND('Formation Ledger'!A1108&lt;&gt;"",'Formation Ledger'!V1108=0),"PASS","FAIL")</f>
        <v>PASS</v>
      </c>
      <c r="F1129" s="9" t="s">
        <v>76</v>
      </c>
      <c r="G1129" s="6"/>
      <c r="H1129" s="6"/>
      <c r="I1129" s="6"/>
      <c r="J1129" s="6"/>
      <c r="K1129" s="6"/>
      <c r="L1129" s="6"/>
      <c r="M1129" s="6"/>
      <c r="N1129" s="6"/>
      <c r="O1129" s="6"/>
      <c r="P1129" s="6"/>
      <c r="Q1129" s="6"/>
      <c r="R1129" s="6"/>
      <c r="S1129" s="6"/>
      <c r="T1129" s="6"/>
      <c r="U1129" s="6"/>
      <c r="V1129" s="6"/>
      <c r="W1129" s="6"/>
      <c r="X1129" s="6"/>
      <c r="Y1129" s="6"/>
      <c r="Z1129" s="6"/>
    </row>
    <row r="1130" customFormat="false" ht="15" hidden="false" customHeight="false" outlineLevel="0" collapsed="false">
      <c r="A1130" s="9" t="s">
        <v>6973</v>
      </c>
      <c r="B1130" s="9" t="s">
        <v>5870</v>
      </c>
      <c r="C1130" s="9" t="s">
        <v>1337</v>
      </c>
      <c r="D1130" s="9" t="s">
        <v>5871</v>
      </c>
      <c r="E1130" s="9" t="str">
        <f aca="false">IF(AND('Formation Ledger'!A1109&lt;&gt;"",'Formation Ledger'!V1109=0),"PASS","FAIL")</f>
        <v>PASS</v>
      </c>
      <c r="F1130" s="9" t="s">
        <v>76</v>
      </c>
      <c r="G1130" s="6"/>
      <c r="H1130" s="6"/>
      <c r="I1130" s="6"/>
      <c r="J1130" s="6"/>
      <c r="K1130" s="6"/>
      <c r="L1130" s="6"/>
      <c r="M1130" s="6"/>
      <c r="N1130" s="6"/>
      <c r="O1130" s="6"/>
      <c r="P1130" s="6"/>
      <c r="Q1130" s="6"/>
      <c r="R1130" s="6"/>
      <c r="S1130" s="6"/>
      <c r="T1130" s="6"/>
      <c r="U1130" s="6"/>
      <c r="V1130" s="6"/>
      <c r="W1130" s="6"/>
      <c r="X1130" s="6"/>
      <c r="Y1130" s="6"/>
      <c r="Z1130" s="6"/>
    </row>
    <row r="1131" customFormat="false" ht="15" hidden="false" customHeight="false" outlineLevel="0" collapsed="false">
      <c r="A1131" s="9" t="s">
        <v>6974</v>
      </c>
      <c r="B1131" s="9" t="s">
        <v>5870</v>
      </c>
      <c r="C1131" s="9" t="s">
        <v>1338</v>
      </c>
      <c r="D1131" s="9" t="s">
        <v>5871</v>
      </c>
      <c r="E1131" s="9" t="str">
        <f aca="false">IF(AND('Formation Ledger'!A1110&lt;&gt;"",'Formation Ledger'!V1110=0),"PASS","FAIL")</f>
        <v>PASS</v>
      </c>
      <c r="F1131" s="9" t="s">
        <v>76</v>
      </c>
      <c r="G1131" s="6"/>
      <c r="H1131" s="6"/>
      <c r="I1131" s="6"/>
      <c r="J1131" s="6"/>
      <c r="K1131" s="6"/>
      <c r="L1131" s="6"/>
      <c r="M1131" s="6"/>
      <c r="N1131" s="6"/>
      <c r="O1131" s="6"/>
      <c r="P1131" s="6"/>
      <c r="Q1131" s="6"/>
      <c r="R1131" s="6"/>
      <c r="S1131" s="6"/>
      <c r="T1131" s="6"/>
      <c r="U1131" s="6"/>
      <c r="V1131" s="6"/>
      <c r="W1131" s="6"/>
      <c r="X1131" s="6"/>
      <c r="Y1131" s="6"/>
      <c r="Z1131" s="6"/>
    </row>
    <row r="1132" customFormat="false" ht="15" hidden="false" customHeight="false" outlineLevel="0" collapsed="false">
      <c r="A1132" s="9" t="s">
        <v>6975</v>
      </c>
      <c r="B1132" s="9" t="s">
        <v>5870</v>
      </c>
      <c r="C1132" s="9" t="s">
        <v>1339</v>
      </c>
      <c r="D1132" s="9" t="s">
        <v>5871</v>
      </c>
      <c r="E1132" s="9" t="str">
        <f aca="false">IF(AND('Formation Ledger'!A1111&lt;&gt;"",'Formation Ledger'!V1111=0),"PASS","FAIL")</f>
        <v>PASS</v>
      </c>
      <c r="F1132" s="9" t="s">
        <v>76</v>
      </c>
      <c r="G1132" s="6"/>
      <c r="H1132" s="6"/>
      <c r="I1132" s="6"/>
      <c r="J1132" s="6"/>
      <c r="K1132" s="6"/>
      <c r="L1132" s="6"/>
      <c r="M1132" s="6"/>
      <c r="N1132" s="6"/>
      <c r="O1132" s="6"/>
      <c r="P1132" s="6"/>
      <c r="Q1132" s="6"/>
      <c r="R1132" s="6"/>
      <c r="S1132" s="6"/>
      <c r="T1132" s="6"/>
      <c r="U1132" s="6"/>
      <c r="V1132" s="6"/>
      <c r="W1132" s="6"/>
      <c r="X1132" s="6"/>
      <c r="Y1132" s="6"/>
      <c r="Z1132" s="6"/>
    </row>
    <row r="1133" customFormat="false" ht="15" hidden="false" customHeight="false" outlineLevel="0" collapsed="false">
      <c r="A1133" s="9" t="s">
        <v>6976</v>
      </c>
      <c r="B1133" s="9" t="s">
        <v>5870</v>
      </c>
      <c r="C1133" s="9" t="s">
        <v>1340</v>
      </c>
      <c r="D1133" s="9" t="s">
        <v>5871</v>
      </c>
      <c r="E1133" s="9" t="str">
        <f aca="false">IF(AND('Formation Ledger'!A1112&lt;&gt;"",'Formation Ledger'!V1112=0),"PASS","FAIL")</f>
        <v>PASS</v>
      </c>
      <c r="F1133" s="9" t="s">
        <v>76</v>
      </c>
      <c r="G1133" s="6"/>
      <c r="H1133" s="6"/>
      <c r="I1133" s="6"/>
      <c r="J1133" s="6"/>
      <c r="K1133" s="6"/>
      <c r="L1133" s="6"/>
      <c r="M1133" s="6"/>
      <c r="N1133" s="6"/>
      <c r="O1133" s="6"/>
      <c r="P1133" s="6"/>
      <c r="Q1133" s="6"/>
      <c r="R1133" s="6"/>
      <c r="S1133" s="6"/>
      <c r="T1133" s="6"/>
      <c r="U1133" s="6"/>
      <c r="V1133" s="6"/>
      <c r="W1133" s="6"/>
      <c r="X1133" s="6"/>
      <c r="Y1133" s="6"/>
      <c r="Z1133" s="6"/>
    </row>
    <row r="1134" customFormat="false" ht="15" hidden="false" customHeight="false" outlineLevel="0" collapsed="false">
      <c r="A1134" s="9" t="s">
        <v>6977</v>
      </c>
      <c r="B1134" s="9" t="s">
        <v>5870</v>
      </c>
      <c r="C1134" s="9" t="s">
        <v>1341</v>
      </c>
      <c r="D1134" s="9" t="s">
        <v>5871</v>
      </c>
      <c r="E1134" s="9" t="str">
        <f aca="false">IF(AND('Formation Ledger'!A1113&lt;&gt;"",'Formation Ledger'!V1113=0),"PASS","FAIL")</f>
        <v>PASS</v>
      </c>
      <c r="F1134" s="9" t="s">
        <v>76</v>
      </c>
      <c r="G1134" s="6"/>
      <c r="H1134" s="6"/>
      <c r="I1134" s="6"/>
      <c r="J1134" s="6"/>
      <c r="K1134" s="6"/>
      <c r="L1134" s="6"/>
      <c r="M1134" s="6"/>
      <c r="N1134" s="6"/>
      <c r="O1134" s="6"/>
      <c r="P1134" s="6"/>
      <c r="Q1134" s="6"/>
      <c r="R1134" s="6"/>
      <c r="S1134" s="6"/>
      <c r="T1134" s="6"/>
      <c r="U1134" s="6"/>
      <c r="V1134" s="6"/>
      <c r="W1134" s="6"/>
      <c r="X1134" s="6"/>
      <c r="Y1134" s="6"/>
      <c r="Z1134" s="6"/>
    </row>
    <row r="1135" customFormat="false" ht="15" hidden="false" customHeight="false" outlineLevel="0" collapsed="false">
      <c r="A1135" s="9" t="s">
        <v>6978</v>
      </c>
      <c r="B1135" s="9" t="s">
        <v>5870</v>
      </c>
      <c r="C1135" s="9" t="s">
        <v>1342</v>
      </c>
      <c r="D1135" s="9" t="s">
        <v>5871</v>
      </c>
      <c r="E1135" s="9" t="str">
        <f aca="false">IF(AND('Formation Ledger'!A1114&lt;&gt;"",'Formation Ledger'!V1114=0),"PASS","FAIL")</f>
        <v>PASS</v>
      </c>
      <c r="F1135" s="9" t="s">
        <v>76</v>
      </c>
      <c r="G1135" s="6"/>
      <c r="H1135" s="6"/>
      <c r="I1135" s="6"/>
      <c r="J1135" s="6"/>
      <c r="K1135" s="6"/>
      <c r="L1135" s="6"/>
      <c r="M1135" s="6"/>
      <c r="N1135" s="6"/>
      <c r="O1135" s="6"/>
      <c r="P1135" s="6"/>
      <c r="Q1135" s="6"/>
      <c r="R1135" s="6"/>
      <c r="S1135" s="6"/>
      <c r="T1135" s="6"/>
      <c r="U1135" s="6"/>
      <c r="V1135" s="6"/>
      <c r="W1135" s="6"/>
      <c r="X1135" s="6"/>
      <c r="Y1135" s="6"/>
      <c r="Z1135" s="6"/>
    </row>
    <row r="1136" customFormat="false" ht="15" hidden="false" customHeight="false" outlineLevel="0" collapsed="false">
      <c r="A1136" s="9" t="s">
        <v>6979</v>
      </c>
      <c r="B1136" s="9" t="s">
        <v>5870</v>
      </c>
      <c r="C1136" s="9" t="s">
        <v>1343</v>
      </c>
      <c r="D1136" s="9" t="s">
        <v>5871</v>
      </c>
      <c r="E1136" s="9" t="str">
        <f aca="false">IF(AND('Formation Ledger'!A1115&lt;&gt;"",'Formation Ledger'!V1115=0),"PASS","FAIL")</f>
        <v>PASS</v>
      </c>
      <c r="F1136" s="9" t="s">
        <v>76</v>
      </c>
      <c r="G1136" s="6"/>
      <c r="H1136" s="6"/>
      <c r="I1136" s="6"/>
      <c r="J1136" s="6"/>
      <c r="K1136" s="6"/>
      <c r="L1136" s="6"/>
      <c r="M1136" s="6"/>
      <c r="N1136" s="6"/>
      <c r="O1136" s="6"/>
      <c r="P1136" s="6"/>
      <c r="Q1136" s="6"/>
      <c r="R1136" s="6"/>
      <c r="S1136" s="6"/>
      <c r="T1136" s="6"/>
      <c r="U1136" s="6"/>
      <c r="V1136" s="6"/>
      <c r="W1136" s="6"/>
      <c r="X1136" s="6"/>
      <c r="Y1136" s="6"/>
      <c r="Z1136" s="6"/>
    </row>
    <row r="1137" customFormat="false" ht="15" hidden="false" customHeight="false" outlineLevel="0" collapsed="false">
      <c r="A1137" s="9" t="s">
        <v>6980</v>
      </c>
      <c r="B1137" s="9" t="s">
        <v>5870</v>
      </c>
      <c r="C1137" s="9" t="s">
        <v>1344</v>
      </c>
      <c r="D1137" s="9" t="s">
        <v>5871</v>
      </c>
      <c r="E1137" s="9" t="str">
        <f aca="false">IF(AND('Formation Ledger'!A1116&lt;&gt;"",'Formation Ledger'!V1116=0),"PASS","FAIL")</f>
        <v>PASS</v>
      </c>
      <c r="F1137" s="9" t="s">
        <v>76</v>
      </c>
      <c r="G1137" s="6"/>
      <c r="H1137" s="6"/>
      <c r="I1137" s="6"/>
      <c r="J1137" s="6"/>
      <c r="K1137" s="6"/>
      <c r="L1137" s="6"/>
      <c r="M1137" s="6"/>
      <c r="N1137" s="6"/>
      <c r="O1137" s="6"/>
      <c r="P1137" s="6"/>
      <c r="Q1137" s="6"/>
      <c r="R1137" s="6"/>
      <c r="S1137" s="6"/>
      <c r="T1137" s="6"/>
      <c r="U1137" s="6"/>
      <c r="V1137" s="6"/>
      <c r="W1137" s="6"/>
      <c r="X1137" s="6"/>
      <c r="Y1137" s="6"/>
      <c r="Z1137" s="6"/>
    </row>
    <row r="1138" customFormat="false" ht="15" hidden="false" customHeight="false" outlineLevel="0" collapsed="false">
      <c r="A1138" s="9" t="s">
        <v>6981</v>
      </c>
      <c r="B1138" s="9" t="s">
        <v>5870</v>
      </c>
      <c r="C1138" s="9" t="s">
        <v>1345</v>
      </c>
      <c r="D1138" s="9" t="s">
        <v>5871</v>
      </c>
      <c r="E1138" s="9" t="str">
        <f aca="false">IF(AND('Formation Ledger'!A1117&lt;&gt;"",'Formation Ledger'!V1117=0),"PASS","FAIL")</f>
        <v>PASS</v>
      </c>
      <c r="F1138" s="9" t="s">
        <v>76</v>
      </c>
      <c r="G1138" s="6"/>
      <c r="H1138" s="6"/>
      <c r="I1138" s="6"/>
      <c r="J1138" s="6"/>
      <c r="K1138" s="6"/>
      <c r="L1138" s="6"/>
      <c r="M1138" s="6"/>
      <c r="N1138" s="6"/>
      <c r="O1138" s="6"/>
      <c r="P1138" s="6"/>
      <c r="Q1138" s="6"/>
      <c r="R1138" s="6"/>
      <c r="S1138" s="6"/>
      <c r="T1138" s="6"/>
      <c r="U1138" s="6"/>
      <c r="V1138" s="6"/>
      <c r="W1138" s="6"/>
      <c r="X1138" s="6"/>
      <c r="Y1138" s="6"/>
      <c r="Z1138" s="6"/>
    </row>
    <row r="1139" customFormat="false" ht="15" hidden="false" customHeight="false" outlineLevel="0" collapsed="false">
      <c r="A1139" s="9" t="s">
        <v>6982</v>
      </c>
      <c r="B1139" s="9" t="s">
        <v>5870</v>
      </c>
      <c r="C1139" s="9" t="s">
        <v>1346</v>
      </c>
      <c r="D1139" s="9" t="s">
        <v>5871</v>
      </c>
      <c r="E1139" s="9" t="str">
        <f aca="false">IF(AND('Formation Ledger'!A1118&lt;&gt;"",'Formation Ledger'!V1118=0),"PASS","FAIL")</f>
        <v>PASS</v>
      </c>
      <c r="F1139" s="9" t="s">
        <v>76</v>
      </c>
      <c r="G1139" s="6"/>
      <c r="H1139" s="6"/>
      <c r="I1139" s="6"/>
      <c r="J1139" s="6"/>
      <c r="K1139" s="6"/>
      <c r="L1139" s="6"/>
      <c r="M1139" s="6"/>
      <c r="N1139" s="6"/>
      <c r="O1139" s="6"/>
      <c r="P1139" s="6"/>
      <c r="Q1139" s="6"/>
      <c r="R1139" s="6"/>
      <c r="S1139" s="6"/>
      <c r="T1139" s="6"/>
      <c r="U1139" s="6"/>
      <c r="V1139" s="6"/>
      <c r="W1139" s="6"/>
      <c r="X1139" s="6"/>
      <c r="Y1139" s="6"/>
      <c r="Z1139" s="6"/>
    </row>
    <row r="1140" customFormat="false" ht="15" hidden="false" customHeight="false" outlineLevel="0" collapsed="false">
      <c r="A1140" s="9" t="s">
        <v>6983</v>
      </c>
      <c r="B1140" s="9" t="s">
        <v>5870</v>
      </c>
      <c r="C1140" s="9" t="s">
        <v>1347</v>
      </c>
      <c r="D1140" s="9" t="s">
        <v>5871</v>
      </c>
      <c r="E1140" s="9" t="str">
        <f aca="false">IF(AND('Formation Ledger'!A1119&lt;&gt;"",'Formation Ledger'!V1119=0),"PASS","FAIL")</f>
        <v>PASS</v>
      </c>
      <c r="F1140" s="9" t="s">
        <v>76</v>
      </c>
      <c r="G1140" s="6"/>
      <c r="H1140" s="6"/>
      <c r="I1140" s="6"/>
      <c r="J1140" s="6"/>
      <c r="K1140" s="6"/>
      <c r="L1140" s="6"/>
      <c r="M1140" s="6"/>
      <c r="N1140" s="6"/>
      <c r="O1140" s="6"/>
      <c r="P1140" s="6"/>
      <c r="Q1140" s="6"/>
      <c r="R1140" s="6"/>
      <c r="S1140" s="6"/>
      <c r="T1140" s="6"/>
      <c r="U1140" s="6"/>
      <c r="V1140" s="6"/>
      <c r="W1140" s="6"/>
      <c r="X1140" s="6"/>
      <c r="Y1140" s="6"/>
      <c r="Z1140" s="6"/>
    </row>
    <row r="1141" customFormat="false" ht="15" hidden="false" customHeight="false" outlineLevel="0" collapsed="false">
      <c r="A1141" s="9" t="s">
        <v>6984</v>
      </c>
      <c r="B1141" s="9" t="s">
        <v>5870</v>
      </c>
      <c r="C1141" s="9" t="s">
        <v>1348</v>
      </c>
      <c r="D1141" s="9" t="s">
        <v>5871</v>
      </c>
      <c r="E1141" s="9" t="str">
        <f aca="false">IF(AND('Formation Ledger'!A1120&lt;&gt;"",'Formation Ledger'!V1120=0),"PASS","FAIL")</f>
        <v>PASS</v>
      </c>
      <c r="F1141" s="9" t="s">
        <v>76</v>
      </c>
      <c r="G1141" s="6"/>
      <c r="H1141" s="6"/>
      <c r="I1141" s="6"/>
      <c r="J1141" s="6"/>
      <c r="K1141" s="6"/>
      <c r="L1141" s="6"/>
      <c r="M1141" s="6"/>
      <c r="N1141" s="6"/>
      <c r="O1141" s="6"/>
      <c r="P1141" s="6"/>
      <c r="Q1141" s="6"/>
      <c r="R1141" s="6"/>
      <c r="S1141" s="6"/>
      <c r="T1141" s="6"/>
      <c r="U1141" s="6"/>
      <c r="V1141" s="6"/>
      <c r="W1141" s="6"/>
      <c r="X1141" s="6"/>
      <c r="Y1141" s="6"/>
      <c r="Z1141" s="6"/>
    </row>
    <row r="1142" customFormat="false" ht="15" hidden="false" customHeight="false" outlineLevel="0" collapsed="false">
      <c r="A1142" s="9" t="s">
        <v>6985</v>
      </c>
      <c r="B1142" s="9" t="s">
        <v>5870</v>
      </c>
      <c r="C1142" s="9" t="s">
        <v>1349</v>
      </c>
      <c r="D1142" s="9" t="s">
        <v>5871</v>
      </c>
      <c r="E1142" s="9" t="str">
        <f aca="false">IF(AND('Formation Ledger'!A1121&lt;&gt;"",'Formation Ledger'!V1121=0),"PASS","FAIL")</f>
        <v>PASS</v>
      </c>
      <c r="F1142" s="9" t="s">
        <v>76</v>
      </c>
      <c r="G1142" s="6"/>
      <c r="H1142" s="6"/>
      <c r="I1142" s="6"/>
      <c r="J1142" s="6"/>
      <c r="K1142" s="6"/>
      <c r="L1142" s="6"/>
      <c r="M1142" s="6"/>
      <c r="N1142" s="6"/>
      <c r="O1142" s="6"/>
      <c r="P1142" s="6"/>
      <c r="Q1142" s="6"/>
      <c r="R1142" s="6"/>
      <c r="S1142" s="6"/>
      <c r="T1142" s="6"/>
      <c r="U1142" s="6"/>
      <c r="V1142" s="6"/>
      <c r="W1142" s="6"/>
      <c r="X1142" s="6"/>
      <c r="Y1142" s="6"/>
      <c r="Z1142" s="6"/>
    </row>
    <row r="1143" customFormat="false" ht="15" hidden="false" customHeight="false" outlineLevel="0" collapsed="false">
      <c r="A1143" s="9" t="s">
        <v>6986</v>
      </c>
      <c r="B1143" s="9" t="s">
        <v>5870</v>
      </c>
      <c r="C1143" s="9" t="s">
        <v>1350</v>
      </c>
      <c r="D1143" s="9" t="s">
        <v>5871</v>
      </c>
      <c r="E1143" s="9" t="str">
        <f aca="false">IF(AND('Formation Ledger'!A1122&lt;&gt;"",'Formation Ledger'!V1122=0),"PASS","FAIL")</f>
        <v>PASS</v>
      </c>
      <c r="F1143" s="9" t="s">
        <v>76</v>
      </c>
      <c r="G1143" s="6"/>
      <c r="H1143" s="6"/>
      <c r="I1143" s="6"/>
      <c r="J1143" s="6"/>
      <c r="K1143" s="6"/>
      <c r="L1143" s="6"/>
      <c r="M1143" s="6"/>
      <c r="N1143" s="6"/>
      <c r="O1143" s="6"/>
      <c r="P1143" s="6"/>
      <c r="Q1143" s="6"/>
      <c r="R1143" s="6"/>
      <c r="S1143" s="6"/>
      <c r="T1143" s="6"/>
      <c r="U1143" s="6"/>
      <c r="V1143" s="6"/>
      <c r="W1143" s="6"/>
      <c r="X1143" s="6"/>
      <c r="Y1143" s="6"/>
      <c r="Z1143" s="6"/>
    </row>
    <row r="1144" customFormat="false" ht="15" hidden="false" customHeight="false" outlineLevel="0" collapsed="false">
      <c r="A1144" s="9" t="s">
        <v>6987</v>
      </c>
      <c r="B1144" s="9" t="s">
        <v>5870</v>
      </c>
      <c r="C1144" s="9" t="s">
        <v>1351</v>
      </c>
      <c r="D1144" s="9" t="s">
        <v>5871</v>
      </c>
      <c r="E1144" s="9" t="str">
        <f aca="false">IF(AND('Formation Ledger'!A1123&lt;&gt;"",'Formation Ledger'!V1123=0),"PASS","FAIL")</f>
        <v>PASS</v>
      </c>
      <c r="F1144" s="9" t="s">
        <v>76</v>
      </c>
      <c r="G1144" s="6"/>
      <c r="H1144" s="6"/>
      <c r="I1144" s="6"/>
      <c r="J1144" s="6"/>
      <c r="K1144" s="6"/>
      <c r="L1144" s="6"/>
      <c r="M1144" s="6"/>
      <c r="N1144" s="6"/>
      <c r="O1144" s="6"/>
      <c r="P1144" s="6"/>
      <c r="Q1144" s="6"/>
      <c r="R1144" s="6"/>
      <c r="S1144" s="6"/>
      <c r="T1144" s="6"/>
      <c r="U1144" s="6"/>
      <c r="V1144" s="6"/>
      <c r="W1144" s="6"/>
      <c r="X1144" s="6"/>
      <c r="Y1144" s="6"/>
      <c r="Z1144" s="6"/>
    </row>
    <row r="1145" customFormat="false" ht="15" hidden="false" customHeight="false" outlineLevel="0" collapsed="false">
      <c r="A1145" s="9" t="s">
        <v>6988</v>
      </c>
      <c r="B1145" s="9" t="s">
        <v>5870</v>
      </c>
      <c r="C1145" s="9" t="s">
        <v>1352</v>
      </c>
      <c r="D1145" s="9" t="s">
        <v>5871</v>
      </c>
      <c r="E1145" s="9" t="str">
        <f aca="false">IF(AND('Formation Ledger'!A1124&lt;&gt;"",'Formation Ledger'!V1124=0),"PASS","FAIL")</f>
        <v>PASS</v>
      </c>
      <c r="F1145" s="9" t="s">
        <v>76</v>
      </c>
      <c r="G1145" s="6"/>
      <c r="H1145" s="6"/>
      <c r="I1145" s="6"/>
      <c r="J1145" s="6"/>
      <c r="K1145" s="6"/>
      <c r="L1145" s="6"/>
      <c r="M1145" s="6"/>
      <c r="N1145" s="6"/>
      <c r="O1145" s="6"/>
      <c r="P1145" s="6"/>
      <c r="Q1145" s="6"/>
      <c r="R1145" s="6"/>
      <c r="S1145" s="6"/>
      <c r="T1145" s="6"/>
      <c r="U1145" s="6"/>
      <c r="V1145" s="6"/>
      <c r="W1145" s="6"/>
      <c r="X1145" s="6"/>
      <c r="Y1145" s="6"/>
      <c r="Z1145" s="6"/>
    </row>
    <row r="1146" customFormat="false" ht="15" hidden="false" customHeight="false" outlineLevel="0" collapsed="false">
      <c r="A1146" s="9" t="s">
        <v>6989</v>
      </c>
      <c r="B1146" s="9" t="s">
        <v>5870</v>
      </c>
      <c r="C1146" s="9" t="s">
        <v>1353</v>
      </c>
      <c r="D1146" s="9" t="s">
        <v>5871</v>
      </c>
      <c r="E1146" s="9" t="str">
        <f aca="false">IF(AND('Formation Ledger'!A1125&lt;&gt;"",'Formation Ledger'!V1125=0),"PASS","FAIL")</f>
        <v>PASS</v>
      </c>
      <c r="F1146" s="9" t="s">
        <v>76</v>
      </c>
      <c r="G1146" s="6"/>
      <c r="H1146" s="6"/>
      <c r="I1146" s="6"/>
      <c r="J1146" s="6"/>
      <c r="K1146" s="6"/>
      <c r="L1146" s="6"/>
      <c r="M1146" s="6"/>
      <c r="N1146" s="6"/>
      <c r="O1146" s="6"/>
      <c r="P1146" s="6"/>
      <c r="Q1146" s="6"/>
      <c r="R1146" s="6"/>
      <c r="S1146" s="6"/>
      <c r="T1146" s="6"/>
      <c r="U1146" s="6"/>
      <c r="V1146" s="6"/>
      <c r="W1146" s="6"/>
      <c r="X1146" s="6"/>
      <c r="Y1146" s="6"/>
      <c r="Z1146" s="6"/>
    </row>
    <row r="1147" customFormat="false" ht="15" hidden="false" customHeight="false" outlineLevel="0" collapsed="false">
      <c r="A1147" s="9" t="s">
        <v>6990</v>
      </c>
      <c r="B1147" s="9" t="s">
        <v>5870</v>
      </c>
      <c r="C1147" s="9" t="s">
        <v>1354</v>
      </c>
      <c r="D1147" s="9" t="s">
        <v>5871</v>
      </c>
      <c r="E1147" s="9" t="str">
        <f aca="false">IF(AND('Formation Ledger'!A1126&lt;&gt;"",'Formation Ledger'!V1126=0),"PASS","FAIL")</f>
        <v>PASS</v>
      </c>
      <c r="F1147" s="9" t="s">
        <v>76</v>
      </c>
      <c r="G1147" s="6"/>
      <c r="H1147" s="6"/>
      <c r="I1147" s="6"/>
      <c r="J1147" s="6"/>
      <c r="K1147" s="6"/>
      <c r="L1147" s="6"/>
      <c r="M1147" s="6"/>
      <c r="N1147" s="6"/>
      <c r="O1147" s="6"/>
      <c r="P1147" s="6"/>
      <c r="Q1147" s="6"/>
      <c r="R1147" s="6"/>
      <c r="S1147" s="6"/>
      <c r="T1147" s="6"/>
      <c r="U1147" s="6"/>
      <c r="V1147" s="6"/>
      <c r="W1147" s="6"/>
      <c r="X1147" s="6"/>
      <c r="Y1147" s="6"/>
      <c r="Z1147" s="6"/>
    </row>
    <row r="1148" customFormat="false" ht="15" hidden="false" customHeight="false" outlineLevel="0" collapsed="false">
      <c r="A1148" s="9" t="s">
        <v>6991</v>
      </c>
      <c r="B1148" s="9" t="s">
        <v>5870</v>
      </c>
      <c r="C1148" s="9" t="s">
        <v>1355</v>
      </c>
      <c r="D1148" s="9" t="s">
        <v>5871</v>
      </c>
      <c r="E1148" s="9" t="str">
        <f aca="false">IF(AND('Formation Ledger'!A1127&lt;&gt;"",'Formation Ledger'!V1127=0),"PASS","FAIL")</f>
        <v>PASS</v>
      </c>
      <c r="F1148" s="9" t="s">
        <v>76</v>
      </c>
      <c r="G1148" s="6"/>
      <c r="H1148" s="6"/>
      <c r="I1148" s="6"/>
      <c r="J1148" s="6"/>
      <c r="K1148" s="6"/>
      <c r="L1148" s="6"/>
      <c r="M1148" s="6"/>
      <c r="N1148" s="6"/>
      <c r="O1148" s="6"/>
      <c r="P1148" s="6"/>
      <c r="Q1148" s="6"/>
      <c r="R1148" s="6"/>
      <c r="S1148" s="6"/>
      <c r="T1148" s="6"/>
      <c r="U1148" s="6"/>
      <c r="V1148" s="6"/>
      <c r="W1148" s="6"/>
      <c r="X1148" s="6"/>
      <c r="Y1148" s="6"/>
      <c r="Z1148" s="6"/>
    </row>
    <row r="1149" customFormat="false" ht="15" hidden="false" customHeight="false" outlineLevel="0" collapsed="false">
      <c r="A1149" s="9" t="s">
        <v>6992</v>
      </c>
      <c r="B1149" s="9" t="s">
        <v>5870</v>
      </c>
      <c r="C1149" s="9" t="s">
        <v>1356</v>
      </c>
      <c r="D1149" s="9" t="s">
        <v>5871</v>
      </c>
      <c r="E1149" s="9" t="str">
        <f aca="false">IF(AND('Formation Ledger'!A1128&lt;&gt;"",'Formation Ledger'!V1128=0),"PASS","FAIL")</f>
        <v>PASS</v>
      </c>
      <c r="F1149" s="9" t="s">
        <v>76</v>
      </c>
      <c r="G1149" s="6"/>
      <c r="H1149" s="6"/>
      <c r="I1149" s="6"/>
      <c r="J1149" s="6"/>
      <c r="K1149" s="6"/>
      <c r="L1149" s="6"/>
      <c r="M1149" s="6"/>
      <c r="N1149" s="6"/>
      <c r="O1149" s="6"/>
      <c r="P1149" s="6"/>
      <c r="Q1149" s="6"/>
      <c r="R1149" s="6"/>
      <c r="S1149" s="6"/>
      <c r="T1149" s="6"/>
      <c r="U1149" s="6"/>
      <c r="V1149" s="6"/>
      <c r="W1149" s="6"/>
      <c r="X1149" s="6"/>
      <c r="Y1149" s="6"/>
      <c r="Z1149" s="6"/>
    </row>
    <row r="1150" customFormat="false" ht="15" hidden="false" customHeight="false" outlineLevel="0" collapsed="false">
      <c r="A1150" s="9" t="s">
        <v>6993</v>
      </c>
      <c r="B1150" s="9" t="s">
        <v>5870</v>
      </c>
      <c r="C1150" s="9" t="s">
        <v>1357</v>
      </c>
      <c r="D1150" s="9" t="s">
        <v>5871</v>
      </c>
      <c r="E1150" s="9" t="str">
        <f aca="false">IF(AND('Formation Ledger'!A1129&lt;&gt;"",'Formation Ledger'!V1129=0),"PASS","FAIL")</f>
        <v>PASS</v>
      </c>
      <c r="F1150" s="9" t="s">
        <v>76</v>
      </c>
      <c r="G1150" s="6"/>
      <c r="H1150" s="6"/>
      <c r="I1150" s="6"/>
      <c r="J1150" s="6"/>
      <c r="K1150" s="6"/>
      <c r="L1150" s="6"/>
      <c r="M1150" s="6"/>
      <c r="N1150" s="6"/>
      <c r="O1150" s="6"/>
      <c r="P1150" s="6"/>
      <c r="Q1150" s="6"/>
      <c r="R1150" s="6"/>
      <c r="S1150" s="6"/>
      <c r="T1150" s="6"/>
      <c r="U1150" s="6"/>
      <c r="V1150" s="6"/>
      <c r="W1150" s="6"/>
      <c r="X1150" s="6"/>
      <c r="Y1150" s="6"/>
      <c r="Z1150" s="6"/>
    </row>
    <row r="1151" customFormat="false" ht="15" hidden="false" customHeight="false" outlineLevel="0" collapsed="false">
      <c r="A1151" s="9" t="s">
        <v>6994</v>
      </c>
      <c r="B1151" s="9" t="s">
        <v>5870</v>
      </c>
      <c r="C1151" s="9" t="s">
        <v>1358</v>
      </c>
      <c r="D1151" s="9" t="s">
        <v>5871</v>
      </c>
      <c r="E1151" s="9" t="str">
        <f aca="false">IF(AND('Formation Ledger'!A1130&lt;&gt;"",'Formation Ledger'!V1130=0),"PASS","FAIL")</f>
        <v>PASS</v>
      </c>
      <c r="F1151" s="9" t="s">
        <v>76</v>
      </c>
      <c r="G1151" s="6"/>
      <c r="H1151" s="6"/>
      <c r="I1151" s="6"/>
      <c r="J1151" s="6"/>
      <c r="K1151" s="6"/>
      <c r="L1151" s="6"/>
      <c r="M1151" s="6"/>
      <c r="N1151" s="6"/>
      <c r="O1151" s="6"/>
      <c r="P1151" s="6"/>
      <c r="Q1151" s="6"/>
      <c r="R1151" s="6"/>
      <c r="S1151" s="6"/>
      <c r="T1151" s="6"/>
      <c r="U1151" s="6"/>
      <c r="V1151" s="6"/>
      <c r="W1151" s="6"/>
      <c r="X1151" s="6"/>
      <c r="Y1151" s="6"/>
      <c r="Z1151" s="6"/>
    </row>
    <row r="1152" customFormat="false" ht="15" hidden="false" customHeight="false" outlineLevel="0" collapsed="false">
      <c r="A1152" s="9" t="s">
        <v>6995</v>
      </c>
      <c r="B1152" s="9" t="s">
        <v>5870</v>
      </c>
      <c r="C1152" s="9" t="s">
        <v>1359</v>
      </c>
      <c r="D1152" s="9" t="s">
        <v>5871</v>
      </c>
      <c r="E1152" s="9" t="str">
        <f aca="false">IF(AND('Formation Ledger'!A1131&lt;&gt;"",'Formation Ledger'!V1131=0),"PASS","FAIL")</f>
        <v>PASS</v>
      </c>
      <c r="F1152" s="9" t="s">
        <v>76</v>
      </c>
      <c r="G1152" s="6"/>
      <c r="H1152" s="6"/>
      <c r="I1152" s="6"/>
      <c r="J1152" s="6"/>
      <c r="K1152" s="6"/>
      <c r="L1152" s="6"/>
      <c r="M1152" s="6"/>
      <c r="N1152" s="6"/>
      <c r="O1152" s="6"/>
      <c r="P1152" s="6"/>
      <c r="Q1152" s="6"/>
      <c r="R1152" s="6"/>
      <c r="S1152" s="6"/>
      <c r="T1152" s="6"/>
      <c r="U1152" s="6"/>
      <c r="V1152" s="6"/>
      <c r="W1152" s="6"/>
      <c r="X1152" s="6"/>
      <c r="Y1152" s="6"/>
      <c r="Z1152" s="6"/>
    </row>
    <row r="1153" customFormat="false" ht="15" hidden="false" customHeight="false" outlineLevel="0" collapsed="false">
      <c r="A1153" s="9" t="s">
        <v>6996</v>
      </c>
      <c r="B1153" s="9" t="s">
        <v>5870</v>
      </c>
      <c r="C1153" s="9" t="s">
        <v>1360</v>
      </c>
      <c r="D1153" s="9" t="s">
        <v>5871</v>
      </c>
      <c r="E1153" s="9" t="str">
        <f aca="false">IF(AND('Formation Ledger'!A1132&lt;&gt;"",'Formation Ledger'!V1132=0),"PASS","FAIL")</f>
        <v>PASS</v>
      </c>
      <c r="F1153" s="9" t="s">
        <v>76</v>
      </c>
      <c r="G1153" s="6"/>
      <c r="H1153" s="6"/>
      <c r="I1153" s="6"/>
      <c r="J1153" s="6"/>
      <c r="K1153" s="6"/>
      <c r="L1153" s="6"/>
      <c r="M1153" s="6"/>
      <c r="N1153" s="6"/>
      <c r="O1153" s="6"/>
      <c r="P1153" s="6"/>
      <c r="Q1153" s="6"/>
      <c r="R1153" s="6"/>
      <c r="S1153" s="6"/>
      <c r="T1153" s="6"/>
      <c r="U1153" s="6"/>
      <c r="V1153" s="6"/>
      <c r="W1153" s="6"/>
      <c r="X1153" s="6"/>
      <c r="Y1153" s="6"/>
      <c r="Z1153" s="6"/>
    </row>
    <row r="1154" customFormat="false" ht="15" hidden="false" customHeight="false" outlineLevel="0" collapsed="false">
      <c r="A1154" s="9" t="s">
        <v>6997</v>
      </c>
      <c r="B1154" s="9" t="s">
        <v>5870</v>
      </c>
      <c r="C1154" s="9" t="s">
        <v>1361</v>
      </c>
      <c r="D1154" s="9" t="s">
        <v>5871</v>
      </c>
      <c r="E1154" s="9" t="str">
        <f aca="false">IF(AND('Formation Ledger'!A1133&lt;&gt;"",'Formation Ledger'!V1133=0),"PASS","FAIL")</f>
        <v>PASS</v>
      </c>
      <c r="F1154" s="9" t="s">
        <v>76</v>
      </c>
      <c r="G1154" s="6"/>
      <c r="H1154" s="6"/>
      <c r="I1154" s="6"/>
      <c r="J1154" s="6"/>
      <c r="K1154" s="6"/>
      <c r="L1154" s="6"/>
      <c r="M1154" s="6"/>
      <c r="N1154" s="6"/>
      <c r="O1154" s="6"/>
      <c r="P1154" s="6"/>
      <c r="Q1154" s="6"/>
      <c r="R1154" s="6"/>
      <c r="S1154" s="6"/>
      <c r="T1154" s="6"/>
      <c r="U1154" s="6"/>
      <c r="V1154" s="6"/>
      <c r="W1154" s="6"/>
      <c r="X1154" s="6"/>
      <c r="Y1154" s="6"/>
      <c r="Z1154" s="6"/>
    </row>
    <row r="1155" customFormat="false" ht="15" hidden="false" customHeight="false" outlineLevel="0" collapsed="false">
      <c r="A1155" s="9" t="s">
        <v>6998</v>
      </c>
      <c r="B1155" s="9" t="s">
        <v>5870</v>
      </c>
      <c r="C1155" s="9" t="s">
        <v>1362</v>
      </c>
      <c r="D1155" s="9" t="s">
        <v>5871</v>
      </c>
      <c r="E1155" s="9" t="str">
        <f aca="false">IF(AND('Formation Ledger'!A1134&lt;&gt;"",'Formation Ledger'!V1134=0),"PASS","FAIL")</f>
        <v>PASS</v>
      </c>
      <c r="F1155" s="9" t="s">
        <v>76</v>
      </c>
      <c r="G1155" s="6"/>
      <c r="H1155" s="6"/>
      <c r="I1155" s="6"/>
      <c r="J1155" s="6"/>
      <c r="K1155" s="6"/>
      <c r="L1155" s="6"/>
      <c r="M1155" s="6"/>
      <c r="N1155" s="6"/>
      <c r="O1155" s="6"/>
      <c r="P1155" s="6"/>
      <c r="Q1155" s="6"/>
      <c r="R1155" s="6"/>
      <c r="S1155" s="6"/>
      <c r="T1155" s="6"/>
      <c r="U1155" s="6"/>
      <c r="V1155" s="6"/>
      <c r="W1155" s="6"/>
      <c r="X1155" s="6"/>
      <c r="Y1155" s="6"/>
      <c r="Z1155" s="6"/>
    </row>
    <row r="1156" customFormat="false" ht="15" hidden="false" customHeight="false" outlineLevel="0" collapsed="false">
      <c r="A1156" s="9" t="s">
        <v>6999</v>
      </c>
      <c r="B1156" s="9" t="s">
        <v>5870</v>
      </c>
      <c r="C1156" s="9" t="s">
        <v>1363</v>
      </c>
      <c r="D1156" s="9" t="s">
        <v>5871</v>
      </c>
      <c r="E1156" s="9" t="str">
        <f aca="false">IF(AND('Formation Ledger'!A1135&lt;&gt;"",'Formation Ledger'!V1135=0),"PASS","FAIL")</f>
        <v>PASS</v>
      </c>
      <c r="F1156" s="9" t="s">
        <v>76</v>
      </c>
      <c r="G1156" s="6"/>
      <c r="H1156" s="6"/>
      <c r="I1156" s="6"/>
      <c r="J1156" s="6"/>
      <c r="K1156" s="6"/>
      <c r="L1156" s="6"/>
      <c r="M1156" s="6"/>
      <c r="N1156" s="6"/>
      <c r="O1156" s="6"/>
      <c r="P1156" s="6"/>
      <c r="Q1156" s="6"/>
      <c r="R1156" s="6"/>
      <c r="S1156" s="6"/>
      <c r="T1156" s="6"/>
      <c r="U1156" s="6"/>
      <c r="V1156" s="6"/>
      <c r="W1156" s="6"/>
      <c r="X1156" s="6"/>
      <c r="Y1156" s="6"/>
      <c r="Z1156" s="6"/>
    </row>
    <row r="1157" customFormat="false" ht="15" hidden="false" customHeight="false" outlineLevel="0" collapsed="false">
      <c r="A1157" s="9" t="s">
        <v>7000</v>
      </c>
      <c r="B1157" s="9" t="s">
        <v>5870</v>
      </c>
      <c r="C1157" s="9" t="s">
        <v>1364</v>
      </c>
      <c r="D1157" s="9" t="s">
        <v>5871</v>
      </c>
      <c r="E1157" s="9" t="str">
        <f aca="false">IF(AND('Formation Ledger'!A1136&lt;&gt;"",'Formation Ledger'!V1136=0),"PASS","FAIL")</f>
        <v>PASS</v>
      </c>
      <c r="F1157" s="9" t="s">
        <v>76</v>
      </c>
      <c r="G1157" s="6"/>
      <c r="H1157" s="6"/>
      <c r="I1157" s="6"/>
      <c r="J1157" s="6"/>
      <c r="K1157" s="6"/>
      <c r="L1157" s="6"/>
      <c r="M1157" s="6"/>
      <c r="N1157" s="6"/>
      <c r="O1157" s="6"/>
      <c r="P1157" s="6"/>
      <c r="Q1157" s="6"/>
      <c r="R1157" s="6"/>
      <c r="S1157" s="6"/>
      <c r="T1157" s="6"/>
      <c r="U1157" s="6"/>
      <c r="V1157" s="6"/>
      <c r="W1157" s="6"/>
      <c r="X1157" s="6"/>
      <c r="Y1157" s="6"/>
      <c r="Z1157" s="6"/>
    </row>
    <row r="1158" customFormat="false" ht="15" hidden="false" customHeight="false" outlineLevel="0" collapsed="false">
      <c r="A1158" s="9" t="s">
        <v>7001</v>
      </c>
      <c r="B1158" s="9" t="s">
        <v>5870</v>
      </c>
      <c r="C1158" s="9" t="s">
        <v>1365</v>
      </c>
      <c r="D1158" s="9" t="s">
        <v>5871</v>
      </c>
      <c r="E1158" s="9" t="str">
        <f aca="false">IF(AND('Formation Ledger'!A1137&lt;&gt;"",'Formation Ledger'!V1137=0),"PASS","FAIL")</f>
        <v>PASS</v>
      </c>
      <c r="F1158" s="9" t="s">
        <v>76</v>
      </c>
      <c r="G1158" s="6"/>
      <c r="H1158" s="6"/>
      <c r="I1158" s="6"/>
      <c r="J1158" s="6"/>
      <c r="K1158" s="6"/>
      <c r="L1158" s="6"/>
      <c r="M1158" s="6"/>
      <c r="N1158" s="6"/>
      <c r="O1158" s="6"/>
      <c r="P1158" s="6"/>
      <c r="Q1158" s="6"/>
      <c r="R1158" s="6"/>
      <c r="S1158" s="6"/>
      <c r="T1158" s="6"/>
      <c r="U1158" s="6"/>
      <c r="V1158" s="6"/>
      <c r="W1158" s="6"/>
      <c r="X1158" s="6"/>
      <c r="Y1158" s="6"/>
      <c r="Z1158" s="6"/>
    </row>
    <row r="1159" customFormat="false" ht="15" hidden="false" customHeight="false" outlineLevel="0" collapsed="false">
      <c r="A1159" s="9" t="s">
        <v>7002</v>
      </c>
      <c r="B1159" s="9" t="s">
        <v>5870</v>
      </c>
      <c r="C1159" s="9" t="s">
        <v>1366</v>
      </c>
      <c r="D1159" s="9" t="s">
        <v>5871</v>
      </c>
      <c r="E1159" s="9" t="str">
        <f aca="false">IF(AND('Formation Ledger'!A1138&lt;&gt;"",'Formation Ledger'!V1138=0),"PASS","FAIL")</f>
        <v>PASS</v>
      </c>
      <c r="F1159" s="9" t="s">
        <v>76</v>
      </c>
      <c r="G1159" s="6"/>
      <c r="H1159" s="6"/>
      <c r="I1159" s="6"/>
      <c r="J1159" s="6"/>
      <c r="K1159" s="6"/>
      <c r="L1159" s="6"/>
      <c r="M1159" s="6"/>
      <c r="N1159" s="6"/>
      <c r="O1159" s="6"/>
      <c r="P1159" s="6"/>
      <c r="Q1159" s="6"/>
      <c r="R1159" s="6"/>
      <c r="S1159" s="6"/>
      <c r="T1159" s="6"/>
      <c r="U1159" s="6"/>
      <c r="V1159" s="6"/>
      <c r="W1159" s="6"/>
      <c r="X1159" s="6"/>
      <c r="Y1159" s="6"/>
      <c r="Z1159" s="6"/>
    </row>
    <row r="1160" customFormat="false" ht="15" hidden="false" customHeight="false" outlineLevel="0" collapsed="false">
      <c r="A1160" s="9" t="s">
        <v>7003</v>
      </c>
      <c r="B1160" s="9" t="s">
        <v>5870</v>
      </c>
      <c r="C1160" s="9" t="s">
        <v>1367</v>
      </c>
      <c r="D1160" s="9" t="s">
        <v>5871</v>
      </c>
      <c r="E1160" s="9" t="str">
        <f aca="false">IF(AND('Formation Ledger'!A1139&lt;&gt;"",'Formation Ledger'!V1139=0),"PASS","FAIL")</f>
        <v>PASS</v>
      </c>
      <c r="F1160" s="9" t="s">
        <v>76</v>
      </c>
      <c r="G1160" s="6"/>
      <c r="H1160" s="6"/>
      <c r="I1160" s="6"/>
      <c r="J1160" s="6"/>
      <c r="K1160" s="6"/>
      <c r="L1160" s="6"/>
      <c r="M1160" s="6"/>
      <c r="N1160" s="6"/>
      <c r="O1160" s="6"/>
      <c r="P1160" s="6"/>
      <c r="Q1160" s="6"/>
      <c r="R1160" s="6"/>
      <c r="S1160" s="6"/>
      <c r="T1160" s="6"/>
      <c r="U1160" s="6"/>
      <c r="V1160" s="6"/>
      <c r="W1160" s="6"/>
      <c r="X1160" s="6"/>
      <c r="Y1160" s="6"/>
      <c r="Z1160" s="6"/>
    </row>
    <row r="1161" customFormat="false" ht="15" hidden="false" customHeight="false" outlineLevel="0" collapsed="false">
      <c r="A1161" s="9" t="s">
        <v>7004</v>
      </c>
      <c r="B1161" s="9" t="s">
        <v>5870</v>
      </c>
      <c r="C1161" s="9" t="s">
        <v>1368</v>
      </c>
      <c r="D1161" s="9" t="s">
        <v>5871</v>
      </c>
      <c r="E1161" s="9" t="str">
        <f aca="false">IF(AND('Formation Ledger'!A1140&lt;&gt;"",'Formation Ledger'!V1140=0),"PASS","FAIL")</f>
        <v>PASS</v>
      </c>
      <c r="F1161" s="9" t="s">
        <v>76</v>
      </c>
      <c r="G1161" s="6"/>
      <c r="H1161" s="6"/>
      <c r="I1161" s="6"/>
      <c r="J1161" s="6"/>
      <c r="K1161" s="6"/>
      <c r="L1161" s="6"/>
      <c r="M1161" s="6"/>
      <c r="N1161" s="6"/>
      <c r="O1161" s="6"/>
      <c r="P1161" s="6"/>
      <c r="Q1161" s="6"/>
      <c r="R1161" s="6"/>
      <c r="S1161" s="6"/>
      <c r="T1161" s="6"/>
      <c r="U1161" s="6"/>
      <c r="V1161" s="6"/>
      <c r="W1161" s="6"/>
      <c r="X1161" s="6"/>
      <c r="Y1161" s="6"/>
      <c r="Z1161" s="6"/>
    </row>
    <row r="1162" customFormat="false" ht="15" hidden="false" customHeight="false" outlineLevel="0" collapsed="false">
      <c r="A1162" s="9" t="s">
        <v>7005</v>
      </c>
      <c r="B1162" s="9" t="s">
        <v>5870</v>
      </c>
      <c r="C1162" s="9" t="s">
        <v>1369</v>
      </c>
      <c r="D1162" s="9" t="s">
        <v>5871</v>
      </c>
      <c r="E1162" s="9" t="str">
        <f aca="false">IF(AND('Formation Ledger'!A1141&lt;&gt;"",'Formation Ledger'!V1141=0),"PASS","FAIL")</f>
        <v>PASS</v>
      </c>
      <c r="F1162" s="9" t="s">
        <v>76</v>
      </c>
      <c r="G1162" s="6"/>
      <c r="H1162" s="6"/>
      <c r="I1162" s="6"/>
      <c r="J1162" s="6"/>
      <c r="K1162" s="6"/>
      <c r="L1162" s="6"/>
      <c r="M1162" s="6"/>
      <c r="N1162" s="6"/>
      <c r="O1162" s="6"/>
      <c r="P1162" s="6"/>
      <c r="Q1162" s="6"/>
      <c r="R1162" s="6"/>
      <c r="S1162" s="6"/>
      <c r="T1162" s="6"/>
      <c r="U1162" s="6"/>
      <c r="V1162" s="6"/>
      <c r="W1162" s="6"/>
      <c r="X1162" s="6"/>
      <c r="Y1162" s="6"/>
      <c r="Z1162" s="6"/>
    </row>
    <row r="1163" customFormat="false" ht="15" hidden="false" customHeight="false" outlineLevel="0" collapsed="false">
      <c r="A1163" s="9" t="s">
        <v>7006</v>
      </c>
      <c r="B1163" s="9" t="s">
        <v>5870</v>
      </c>
      <c r="C1163" s="9" t="s">
        <v>1370</v>
      </c>
      <c r="D1163" s="9" t="s">
        <v>5871</v>
      </c>
      <c r="E1163" s="9" t="str">
        <f aca="false">IF(AND('Formation Ledger'!A1142&lt;&gt;"",'Formation Ledger'!V1142=0),"PASS","FAIL")</f>
        <v>PASS</v>
      </c>
      <c r="F1163" s="9" t="s">
        <v>76</v>
      </c>
      <c r="G1163" s="6"/>
      <c r="H1163" s="6"/>
      <c r="I1163" s="6"/>
      <c r="J1163" s="6"/>
      <c r="K1163" s="6"/>
      <c r="L1163" s="6"/>
      <c r="M1163" s="6"/>
      <c r="N1163" s="6"/>
      <c r="O1163" s="6"/>
      <c r="P1163" s="6"/>
      <c r="Q1163" s="6"/>
      <c r="R1163" s="6"/>
      <c r="S1163" s="6"/>
      <c r="T1163" s="6"/>
      <c r="U1163" s="6"/>
      <c r="V1163" s="6"/>
      <c r="W1163" s="6"/>
      <c r="X1163" s="6"/>
      <c r="Y1163" s="6"/>
      <c r="Z1163" s="6"/>
    </row>
    <row r="1164" customFormat="false" ht="15" hidden="false" customHeight="false" outlineLevel="0" collapsed="false">
      <c r="A1164" s="9" t="s">
        <v>7007</v>
      </c>
      <c r="B1164" s="9" t="s">
        <v>5870</v>
      </c>
      <c r="C1164" s="9" t="s">
        <v>1371</v>
      </c>
      <c r="D1164" s="9" t="s">
        <v>5871</v>
      </c>
      <c r="E1164" s="9" t="str">
        <f aca="false">IF(AND('Formation Ledger'!A1143&lt;&gt;"",'Formation Ledger'!V1143=0),"PASS","FAIL")</f>
        <v>PASS</v>
      </c>
      <c r="F1164" s="9" t="s">
        <v>76</v>
      </c>
      <c r="G1164" s="6"/>
      <c r="H1164" s="6"/>
      <c r="I1164" s="6"/>
      <c r="J1164" s="6"/>
      <c r="K1164" s="6"/>
      <c r="L1164" s="6"/>
      <c r="M1164" s="6"/>
      <c r="N1164" s="6"/>
      <c r="O1164" s="6"/>
      <c r="P1164" s="6"/>
      <c r="Q1164" s="6"/>
      <c r="R1164" s="6"/>
      <c r="S1164" s="6"/>
      <c r="T1164" s="6"/>
      <c r="U1164" s="6"/>
      <c r="V1164" s="6"/>
      <c r="W1164" s="6"/>
      <c r="X1164" s="6"/>
      <c r="Y1164" s="6"/>
      <c r="Z1164" s="6"/>
    </row>
    <row r="1165" customFormat="false" ht="15" hidden="false" customHeight="false" outlineLevel="0" collapsed="false">
      <c r="A1165" s="9" t="s">
        <v>7008</v>
      </c>
      <c r="B1165" s="9" t="s">
        <v>5870</v>
      </c>
      <c r="C1165" s="9" t="s">
        <v>1372</v>
      </c>
      <c r="D1165" s="9" t="s">
        <v>5871</v>
      </c>
      <c r="E1165" s="9" t="str">
        <f aca="false">IF(AND('Formation Ledger'!A1144&lt;&gt;"",'Formation Ledger'!V1144=0),"PASS","FAIL")</f>
        <v>PASS</v>
      </c>
      <c r="F1165" s="9" t="s">
        <v>76</v>
      </c>
      <c r="G1165" s="6"/>
      <c r="H1165" s="6"/>
      <c r="I1165" s="6"/>
      <c r="J1165" s="6"/>
      <c r="K1165" s="6"/>
      <c r="L1165" s="6"/>
      <c r="M1165" s="6"/>
      <c r="N1165" s="6"/>
      <c r="O1165" s="6"/>
      <c r="P1165" s="6"/>
      <c r="Q1165" s="6"/>
      <c r="R1165" s="6"/>
      <c r="S1165" s="6"/>
      <c r="T1165" s="6"/>
      <c r="U1165" s="6"/>
      <c r="V1165" s="6"/>
      <c r="W1165" s="6"/>
      <c r="X1165" s="6"/>
      <c r="Y1165" s="6"/>
      <c r="Z1165" s="6"/>
    </row>
    <row r="1166" customFormat="false" ht="15" hidden="false" customHeight="false" outlineLevel="0" collapsed="false">
      <c r="A1166" s="9" t="s">
        <v>7009</v>
      </c>
      <c r="B1166" s="9" t="s">
        <v>5870</v>
      </c>
      <c r="C1166" s="9" t="s">
        <v>1373</v>
      </c>
      <c r="D1166" s="9" t="s">
        <v>5871</v>
      </c>
      <c r="E1166" s="9" t="str">
        <f aca="false">IF(AND('Formation Ledger'!A1145&lt;&gt;"",'Formation Ledger'!V1145=0),"PASS","FAIL")</f>
        <v>PASS</v>
      </c>
      <c r="F1166" s="9" t="s">
        <v>76</v>
      </c>
      <c r="G1166" s="6"/>
      <c r="H1166" s="6"/>
      <c r="I1166" s="6"/>
      <c r="J1166" s="6"/>
      <c r="K1166" s="6"/>
      <c r="L1166" s="6"/>
      <c r="M1166" s="6"/>
      <c r="N1166" s="6"/>
      <c r="O1166" s="6"/>
      <c r="P1166" s="6"/>
      <c r="Q1166" s="6"/>
      <c r="R1166" s="6"/>
      <c r="S1166" s="6"/>
      <c r="T1166" s="6"/>
      <c r="U1166" s="6"/>
      <c r="V1166" s="6"/>
      <c r="W1166" s="6"/>
      <c r="X1166" s="6"/>
      <c r="Y1166" s="6"/>
      <c r="Z1166" s="6"/>
    </row>
    <row r="1167" customFormat="false" ht="15" hidden="false" customHeight="false" outlineLevel="0" collapsed="false">
      <c r="A1167" s="9" t="s">
        <v>7010</v>
      </c>
      <c r="B1167" s="9" t="s">
        <v>5870</v>
      </c>
      <c r="C1167" s="9" t="s">
        <v>1376</v>
      </c>
      <c r="D1167" s="9" t="s">
        <v>5871</v>
      </c>
      <c r="E1167" s="9" t="str">
        <f aca="false">IF(AND('Formation Ledger'!A1146&lt;&gt;"",'Formation Ledger'!V1146=0),"PASS","FAIL")</f>
        <v>PASS</v>
      </c>
      <c r="F1167" s="9" t="s">
        <v>76</v>
      </c>
      <c r="G1167" s="6"/>
      <c r="H1167" s="6"/>
      <c r="I1167" s="6"/>
      <c r="J1167" s="6"/>
      <c r="K1167" s="6"/>
      <c r="L1167" s="6"/>
      <c r="M1167" s="6"/>
      <c r="N1167" s="6"/>
      <c r="O1167" s="6"/>
      <c r="P1167" s="6"/>
      <c r="Q1167" s="6"/>
      <c r="R1167" s="6"/>
      <c r="S1167" s="6"/>
      <c r="T1167" s="6"/>
      <c r="U1167" s="6"/>
      <c r="V1167" s="6"/>
      <c r="W1167" s="6"/>
      <c r="X1167" s="6"/>
      <c r="Y1167" s="6"/>
      <c r="Z1167" s="6"/>
    </row>
    <row r="1168" customFormat="false" ht="15" hidden="false" customHeight="false" outlineLevel="0" collapsed="false">
      <c r="A1168" s="9" t="s">
        <v>7011</v>
      </c>
      <c r="B1168" s="9" t="s">
        <v>5870</v>
      </c>
      <c r="C1168" s="9" t="s">
        <v>1377</v>
      </c>
      <c r="D1168" s="9" t="s">
        <v>5871</v>
      </c>
      <c r="E1168" s="9" t="str">
        <f aca="false">IF(AND('Formation Ledger'!A1147&lt;&gt;"",'Formation Ledger'!V1147=0),"PASS","FAIL")</f>
        <v>PASS</v>
      </c>
      <c r="F1168" s="9" t="s">
        <v>76</v>
      </c>
      <c r="G1168" s="6"/>
      <c r="H1168" s="6"/>
      <c r="I1168" s="6"/>
      <c r="J1168" s="6"/>
      <c r="K1168" s="6"/>
      <c r="L1168" s="6"/>
      <c r="M1168" s="6"/>
      <c r="N1168" s="6"/>
      <c r="O1168" s="6"/>
      <c r="P1168" s="6"/>
      <c r="Q1168" s="6"/>
      <c r="R1168" s="6"/>
      <c r="S1168" s="6"/>
      <c r="T1168" s="6"/>
      <c r="U1168" s="6"/>
      <c r="V1168" s="6"/>
      <c r="W1168" s="6"/>
      <c r="X1168" s="6"/>
      <c r="Y1168" s="6"/>
      <c r="Z1168" s="6"/>
    </row>
    <row r="1169" customFormat="false" ht="15" hidden="false" customHeight="false" outlineLevel="0" collapsed="false">
      <c r="A1169" s="9" t="s">
        <v>7012</v>
      </c>
      <c r="B1169" s="9" t="s">
        <v>5870</v>
      </c>
      <c r="C1169" s="9" t="s">
        <v>1378</v>
      </c>
      <c r="D1169" s="9" t="s">
        <v>5871</v>
      </c>
      <c r="E1169" s="9" t="str">
        <f aca="false">IF(AND('Formation Ledger'!A1148&lt;&gt;"",'Formation Ledger'!V1148=0),"PASS","FAIL")</f>
        <v>PASS</v>
      </c>
      <c r="F1169" s="9" t="s">
        <v>76</v>
      </c>
      <c r="G1169" s="6"/>
      <c r="H1169" s="6"/>
      <c r="I1169" s="6"/>
      <c r="J1169" s="6"/>
      <c r="K1169" s="6"/>
      <c r="L1169" s="6"/>
      <c r="M1169" s="6"/>
      <c r="N1169" s="6"/>
      <c r="O1169" s="6"/>
      <c r="P1169" s="6"/>
      <c r="Q1169" s="6"/>
      <c r="R1169" s="6"/>
      <c r="S1169" s="6"/>
      <c r="T1169" s="6"/>
      <c r="U1169" s="6"/>
      <c r="V1169" s="6"/>
      <c r="W1169" s="6"/>
      <c r="X1169" s="6"/>
      <c r="Y1169" s="6"/>
      <c r="Z1169" s="6"/>
    </row>
    <row r="1170" customFormat="false" ht="15" hidden="false" customHeight="false" outlineLevel="0" collapsed="false">
      <c r="A1170" s="9" t="s">
        <v>7013</v>
      </c>
      <c r="B1170" s="9" t="s">
        <v>5870</v>
      </c>
      <c r="C1170" s="9" t="s">
        <v>1379</v>
      </c>
      <c r="D1170" s="9" t="s">
        <v>5871</v>
      </c>
      <c r="E1170" s="9" t="str">
        <f aca="false">IF(AND('Formation Ledger'!A1149&lt;&gt;"",'Formation Ledger'!V1149=0),"PASS","FAIL")</f>
        <v>PASS</v>
      </c>
      <c r="F1170" s="9" t="s">
        <v>76</v>
      </c>
      <c r="G1170" s="6"/>
      <c r="H1170" s="6"/>
      <c r="I1170" s="6"/>
      <c r="J1170" s="6"/>
      <c r="K1170" s="6"/>
      <c r="L1170" s="6"/>
      <c r="M1170" s="6"/>
      <c r="N1170" s="6"/>
      <c r="O1170" s="6"/>
      <c r="P1170" s="6"/>
      <c r="Q1170" s="6"/>
      <c r="R1170" s="6"/>
      <c r="S1170" s="6"/>
      <c r="T1170" s="6"/>
      <c r="U1170" s="6"/>
      <c r="V1170" s="6"/>
      <c r="W1170" s="6"/>
      <c r="X1170" s="6"/>
      <c r="Y1170" s="6"/>
      <c r="Z1170" s="6"/>
    </row>
    <row r="1171" customFormat="false" ht="15" hidden="false" customHeight="false" outlineLevel="0" collapsed="false">
      <c r="A1171" s="9" t="s">
        <v>7014</v>
      </c>
      <c r="B1171" s="9" t="s">
        <v>5870</v>
      </c>
      <c r="C1171" s="9" t="s">
        <v>1380</v>
      </c>
      <c r="D1171" s="9" t="s">
        <v>5871</v>
      </c>
      <c r="E1171" s="9" t="str">
        <f aca="false">IF(AND('Formation Ledger'!A1150&lt;&gt;"",'Formation Ledger'!V1150=0),"PASS","FAIL")</f>
        <v>PASS</v>
      </c>
      <c r="F1171" s="9" t="s">
        <v>76</v>
      </c>
      <c r="G1171" s="6"/>
      <c r="H1171" s="6"/>
      <c r="I1171" s="6"/>
      <c r="J1171" s="6"/>
      <c r="K1171" s="6"/>
      <c r="L1171" s="6"/>
      <c r="M1171" s="6"/>
      <c r="N1171" s="6"/>
      <c r="O1171" s="6"/>
      <c r="P1171" s="6"/>
      <c r="Q1171" s="6"/>
      <c r="R1171" s="6"/>
      <c r="S1171" s="6"/>
      <c r="T1171" s="6"/>
      <c r="U1171" s="6"/>
      <c r="V1171" s="6"/>
      <c r="W1171" s="6"/>
      <c r="X1171" s="6"/>
      <c r="Y1171" s="6"/>
      <c r="Z1171" s="6"/>
    </row>
    <row r="1172" customFormat="false" ht="15" hidden="false" customHeight="false" outlineLevel="0" collapsed="false">
      <c r="A1172" s="9" t="s">
        <v>7015</v>
      </c>
      <c r="B1172" s="9" t="s">
        <v>5870</v>
      </c>
      <c r="C1172" s="9" t="s">
        <v>1381</v>
      </c>
      <c r="D1172" s="9" t="s">
        <v>5871</v>
      </c>
      <c r="E1172" s="9" t="str">
        <f aca="false">IF(AND('Formation Ledger'!A1151&lt;&gt;"",'Formation Ledger'!V1151=0),"PASS","FAIL")</f>
        <v>PASS</v>
      </c>
      <c r="F1172" s="9" t="s">
        <v>76</v>
      </c>
      <c r="G1172" s="6"/>
      <c r="H1172" s="6"/>
      <c r="I1172" s="6"/>
      <c r="J1172" s="6"/>
      <c r="K1172" s="6"/>
      <c r="L1172" s="6"/>
      <c r="M1172" s="6"/>
      <c r="N1172" s="6"/>
      <c r="O1172" s="6"/>
      <c r="P1172" s="6"/>
      <c r="Q1172" s="6"/>
      <c r="R1172" s="6"/>
      <c r="S1172" s="6"/>
      <c r="T1172" s="6"/>
      <c r="U1172" s="6"/>
      <c r="V1172" s="6"/>
      <c r="W1172" s="6"/>
      <c r="X1172" s="6"/>
      <c r="Y1172" s="6"/>
      <c r="Z1172" s="6"/>
    </row>
    <row r="1173" customFormat="false" ht="15" hidden="false" customHeight="false" outlineLevel="0" collapsed="false">
      <c r="A1173" s="9" t="s">
        <v>7016</v>
      </c>
      <c r="B1173" s="9" t="s">
        <v>5870</v>
      </c>
      <c r="C1173" s="9" t="s">
        <v>1382</v>
      </c>
      <c r="D1173" s="9" t="s">
        <v>5871</v>
      </c>
      <c r="E1173" s="9" t="str">
        <f aca="false">IF(AND('Formation Ledger'!A1152&lt;&gt;"",'Formation Ledger'!V1152=0),"PASS","FAIL")</f>
        <v>PASS</v>
      </c>
      <c r="F1173" s="9" t="s">
        <v>76</v>
      </c>
      <c r="G1173" s="6"/>
      <c r="H1173" s="6"/>
      <c r="I1173" s="6"/>
      <c r="J1173" s="6"/>
      <c r="K1173" s="6"/>
      <c r="L1173" s="6"/>
      <c r="M1173" s="6"/>
      <c r="N1173" s="6"/>
      <c r="O1173" s="6"/>
      <c r="P1173" s="6"/>
      <c r="Q1173" s="6"/>
      <c r="R1173" s="6"/>
      <c r="S1173" s="6"/>
      <c r="T1173" s="6"/>
      <c r="U1173" s="6"/>
      <c r="V1173" s="6"/>
      <c r="W1173" s="6"/>
      <c r="X1173" s="6"/>
      <c r="Y1173" s="6"/>
      <c r="Z1173" s="6"/>
    </row>
    <row r="1174" customFormat="false" ht="15" hidden="false" customHeight="false" outlineLevel="0" collapsed="false">
      <c r="A1174" s="9" t="s">
        <v>7017</v>
      </c>
      <c r="B1174" s="9" t="s">
        <v>5870</v>
      </c>
      <c r="C1174" s="9" t="s">
        <v>1383</v>
      </c>
      <c r="D1174" s="9" t="s">
        <v>5871</v>
      </c>
      <c r="E1174" s="9" t="str">
        <f aca="false">IF(AND('Formation Ledger'!A1153&lt;&gt;"",'Formation Ledger'!V1153=0),"PASS","FAIL")</f>
        <v>PASS</v>
      </c>
      <c r="F1174" s="9" t="s">
        <v>76</v>
      </c>
      <c r="G1174" s="6"/>
      <c r="H1174" s="6"/>
      <c r="I1174" s="6"/>
      <c r="J1174" s="6"/>
      <c r="K1174" s="6"/>
      <c r="L1174" s="6"/>
      <c r="M1174" s="6"/>
      <c r="N1174" s="6"/>
      <c r="O1174" s="6"/>
      <c r="P1174" s="6"/>
      <c r="Q1174" s="6"/>
      <c r="R1174" s="6"/>
      <c r="S1174" s="6"/>
      <c r="T1174" s="6"/>
      <c r="U1174" s="6"/>
      <c r="V1174" s="6"/>
      <c r="W1174" s="6"/>
      <c r="X1174" s="6"/>
      <c r="Y1174" s="6"/>
      <c r="Z1174" s="6"/>
    </row>
    <row r="1175" customFormat="false" ht="15" hidden="false" customHeight="false" outlineLevel="0" collapsed="false">
      <c r="A1175" s="9" t="s">
        <v>7018</v>
      </c>
      <c r="B1175" s="9" t="s">
        <v>5870</v>
      </c>
      <c r="C1175" s="9" t="s">
        <v>1384</v>
      </c>
      <c r="D1175" s="9" t="s">
        <v>5871</v>
      </c>
      <c r="E1175" s="9" t="str">
        <f aca="false">IF(AND('Formation Ledger'!A1154&lt;&gt;"",'Formation Ledger'!V1154=0),"PASS","FAIL")</f>
        <v>PASS</v>
      </c>
      <c r="F1175" s="9" t="s">
        <v>76</v>
      </c>
      <c r="G1175" s="6"/>
      <c r="H1175" s="6"/>
      <c r="I1175" s="6"/>
      <c r="J1175" s="6"/>
      <c r="K1175" s="6"/>
      <c r="L1175" s="6"/>
      <c r="M1175" s="6"/>
      <c r="N1175" s="6"/>
      <c r="O1175" s="6"/>
      <c r="P1175" s="6"/>
      <c r="Q1175" s="6"/>
      <c r="R1175" s="6"/>
      <c r="S1175" s="6"/>
      <c r="T1175" s="6"/>
      <c r="U1175" s="6"/>
      <c r="V1175" s="6"/>
      <c r="W1175" s="6"/>
      <c r="X1175" s="6"/>
      <c r="Y1175" s="6"/>
      <c r="Z1175" s="6"/>
    </row>
    <row r="1176" customFormat="false" ht="15" hidden="false" customHeight="false" outlineLevel="0" collapsed="false">
      <c r="A1176" s="9" t="s">
        <v>7019</v>
      </c>
      <c r="B1176" s="9" t="s">
        <v>5870</v>
      </c>
      <c r="C1176" s="9" t="s">
        <v>1385</v>
      </c>
      <c r="D1176" s="9" t="s">
        <v>5871</v>
      </c>
      <c r="E1176" s="9" t="str">
        <f aca="false">IF(AND('Formation Ledger'!A1155&lt;&gt;"",'Formation Ledger'!V1155=0),"PASS","FAIL")</f>
        <v>PASS</v>
      </c>
      <c r="F1176" s="9" t="s">
        <v>76</v>
      </c>
      <c r="G1176" s="6"/>
      <c r="H1176" s="6"/>
      <c r="I1176" s="6"/>
      <c r="J1176" s="6"/>
      <c r="K1176" s="6"/>
      <c r="L1176" s="6"/>
      <c r="M1176" s="6"/>
      <c r="N1176" s="6"/>
      <c r="O1176" s="6"/>
      <c r="P1176" s="6"/>
      <c r="Q1176" s="6"/>
      <c r="R1176" s="6"/>
      <c r="S1176" s="6"/>
      <c r="T1176" s="6"/>
      <c r="U1176" s="6"/>
      <c r="V1176" s="6"/>
      <c r="W1176" s="6"/>
      <c r="X1176" s="6"/>
      <c r="Y1176" s="6"/>
      <c r="Z1176" s="6"/>
    </row>
    <row r="1177" customFormat="false" ht="15" hidden="false" customHeight="false" outlineLevel="0" collapsed="false">
      <c r="A1177" s="9" t="s">
        <v>7020</v>
      </c>
      <c r="B1177" s="9" t="s">
        <v>5870</v>
      </c>
      <c r="C1177" s="9" t="s">
        <v>1386</v>
      </c>
      <c r="D1177" s="9" t="s">
        <v>5871</v>
      </c>
      <c r="E1177" s="9" t="str">
        <f aca="false">IF(AND('Formation Ledger'!A1156&lt;&gt;"",'Formation Ledger'!V1156=0),"PASS","FAIL")</f>
        <v>PASS</v>
      </c>
      <c r="F1177" s="9" t="s">
        <v>76</v>
      </c>
      <c r="G1177" s="6"/>
      <c r="H1177" s="6"/>
      <c r="I1177" s="6"/>
      <c r="J1177" s="6"/>
      <c r="K1177" s="6"/>
      <c r="L1177" s="6"/>
      <c r="M1177" s="6"/>
      <c r="N1177" s="6"/>
      <c r="O1177" s="6"/>
      <c r="P1177" s="6"/>
      <c r="Q1177" s="6"/>
      <c r="R1177" s="6"/>
      <c r="S1177" s="6"/>
      <c r="T1177" s="6"/>
      <c r="U1177" s="6"/>
      <c r="V1177" s="6"/>
      <c r="W1177" s="6"/>
      <c r="X1177" s="6"/>
      <c r="Y1177" s="6"/>
      <c r="Z1177" s="6"/>
    </row>
    <row r="1178" customFormat="false" ht="15" hidden="false" customHeight="false" outlineLevel="0" collapsed="false">
      <c r="A1178" s="9" t="s">
        <v>7021</v>
      </c>
      <c r="B1178" s="9" t="s">
        <v>5870</v>
      </c>
      <c r="C1178" s="9" t="s">
        <v>1387</v>
      </c>
      <c r="D1178" s="9" t="s">
        <v>5871</v>
      </c>
      <c r="E1178" s="9" t="str">
        <f aca="false">IF(AND('Formation Ledger'!A1157&lt;&gt;"",'Formation Ledger'!V1157=0),"PASS","FAIL")</f>
        <v>PASS</v>
      </c>
      <c r="F1178" s="9" t="s">
        <v>76</v>
      </c>
      <c r="G1178" s="6"/>
      <c r="H1178" s="6"/>
      <c r="I1178" s="6"/>
      <c r="J1178" s="6"/>
      <c r="K1178" s="6"/>
      <c r="L1178" s="6"/>
      <c r="M1178" s="6"/>
      <c r="N1178" s="6"/>
      <c r="O1178" s="6"/>
      <c r="P1178" s="6"/>
      <c r="Q1178" s="6"/>
      <c r="R1178" s="6"/>
      <c r="S1178" s="6"/>
      <c r="T1178" s="6"/>
      <c r="U1178" s="6"/>
      <c r="V1178" s="6"/>
      <c r="W1178" s="6"/>
      <c r="X1178" s="6"/>
      <c r="Y1178" s="6"/>
      <c r="Z1178" s="6"/>
    </row>
    <row r="1179" customFormat="false" ht="15" hidden="false" customHeight="false" outlineLevel="0" collapsed="false">
      <c r="A1179" s="9" t="s">
        <v>7022</v>
      </c>
      <c r="B1179" s="9" t="s">
        <v>5870</v>
      </c>
      <c r="C1179" s="9" t="s">
        <v>1388</v>
      </c>
      <c r="D1179" s="9" t="s">
        <v>5871</v>
      </c>
      <c r="E1179" s="9" t="str">
        <f aca="false">IF(AND('Formation Ledger'!A1158&lt;&gt;"",'Formation Ledger'!V1158=0),"PASS","FAIL")</f>
        <v>PASS</v>
      </c>
      <c r="F1179" s="9" t="s">
        <v>76</v>
      </c>
      <c r="G1179" s="6"/>
      <c r="H1179" s="6"/>
      <c r="I1179" s="6"/>
      <c r="J1179" s="6"/>
      <c r="K1179" s="6"/>
      <c r="L1179" s="6"/>
      <c r="M1179" s="6"/>
      <c r="N1179" s="6"/>
      <c r="O1179" s="6"/>
      <c r="P1179" s="6"/>
      <c r="Q1179" s="6"/>
      <c r="R1179" s="6"/>
      <c r="S1179" s="6"/>
      <c r="T1179" s="6"/>
      <c r="U1179" s="6"/>
      <c r="V1179" s="6"/>
      <c r="W1179" s="6"/>
      <c r="X1179" s="6"/>
      <c r="Y1179" s="6"/>
      <c r="Z1179" s="6"/>
    </row>
    <row r="1180" customFormat="false" ht="15" hidden="false" customHeight="false" outlineLevel="0" collapsed="false">
      <c r="A1180" s="9" t="s">
        <v>7023</v>
      </c>
      <c r="B1180" s="9" t="s">
        <v>5870</v>
      </c>
      <c r="C1180" s="9" t="s">
        <v>1389</v>
      </c>
      <c r="D1180" s="9" t="s">
        <v>5871</v>
      </c>
      <c r="E1180" s="9" t="str">
        <f aca="false">IF(AND('Formation Ledger'!A1159&lt;&gt;"",'Formation Ledger'!V1159=0),"PASS","FAIL")</f>
        <v>PASS</v>
      </c>
      <c r="F1180" s="9" t="s">
        <v>76</v>
      </c>
      <c r="G1180" s="6"/>
      <c r="H1180" s="6"/>
      <c r="I1180" s="6"/>
      <c r="J1180" s="6"/>
      <c r="K1180" s="6"/>
      <c r="L1180" s="6"/>
      <c r="M1180" s="6"/>
      <c r="N1180" s="6"/>
      <c r="O1180" s="6"/>
      <c r="P1180" s="6"/>
      <c r="Q1180" s="6"/>
      <c r="R1180" s="6"/>
      <c r="S1180" s="6"/>
      <c r="T1180" s="6"/>
      <c r="U1180" s="6"/>
      <c r="V1180" s="6"/>
      <c r="W1180" s="6"/>
      <c r="X1180" s="6"/>
      <c r="Y1180" s="6"/>
      <c r="Z1180" s="6"/>
    </row>
    <row r="1181" customFormat="false" ht="15" hidden="false" customHeight="false" outlineLevel="0" collapsed="false">
      <c r="A1181" s="9" t="s">
        <v>7024</v>
      </c>
      <c r="B1181" s="9" t="s">
        <v>5870</v>
      </c>
      <c r="C1181" s="9" t="s">
        <v>1390</v>
      </c>
      <c r="D1181" s="9" t="s">
        <v>5871</v>
      </c>
      <c r="E1181" s="9" t="str">
        <f aca="false">IF(AND('Formation Ledger'!A1160&lt;&gt;"",'Formation Ledger'!V1160=0),"PASS","FAIL")</f>
        <v>PASS</v>
      </c>
      <c r="F1181" s="9" t="s">
        <v>76</v>
      </c>
      <c r="G1181" s="6"/>
      <c r="H1181" s="6"/>
      <c r="I1181" s="6"/>
      <c r="J1181" s="6"/>
      <c r="K1181" s="6"/>
      <c r="L1181" s="6"/>
      <c r="M1181" s="6"/>
      <c r="N1181" s="6"/>
      <c r="O1181" s="6"/>
      <c r="P1181" s="6"/>
      <c r="Q1181" s="6"/>
      <c r="R1181" s="6"/>
      <c r="S1181" s="6"/>
      <c r="T1181" s="6"/>
      <c r="U1181" s="6"/>
      <c r="V1181" s="6"/>
      <c r="W1181" s="6"/>
      <c r="X1181" s="6"/>
      <c r="Y1181" s="6"/>
      <c r="Z1181" s="6"/>
    </row>
    <row r="1182" customFormat="false" ht="15" hidden="false" customHeight="false" outlineLevel="0" collapsed="false">
      <c r="A1182" s="9" t="s">
        <v>7025</v>
      </c>
      <c r="B1182" s="9" t="s">
        <v>5870</v>
      </c>
      <c r="C1182" s="9" t="s">
        <v>1391</v>
      </c>
      <c r="D1182" s="9" t="s">
        <v>5871</v>
      </c>
      <c r="E1182" s="9" t="str">
        <f aca="false">IF(AND('Formation Ledger'!A1161&lt;&gt;"",'Formation Ledger'!V1161=0),"PASS","FAIL")</f>
        <v>PASS</v>
      </c>
      <c r="F1182" s="9" t="s">
        <v>76</v>
      </c>
      <c r="G1182" s="6"/>
      <c r="H1182" s="6"/>
      <c r="I1182" s="6"/>
      <c r="J1182" s="6"/>
      <c r="K1182" s="6"/>
      <c r="L1182" s="6"/>
      <c r="M1182" s="6"/>
      <c r="N1182" s="6"/>
      <c r="O1182" s="6"/>
      <c r="P1182" s="6"/>
      <c r="Q1182" s="6"/>
      <c r="R1182" s="6"/>
      <c r="S1182" s="6"/>
      <c r="T1182" s="6"/>
      <c r="U1182" s="6"/>
      <c r="V1182" s="6"/>
      <c r="W1182" s="6"/>
      <c r="X1182" s="6"/>
      <c r="Y1182" s="6"/>
      <c r="Z1182" s="6"/>
    </row>
    <row r="1183" customFormat="false" ht="15" hidden="false" customHeight="false" outlineLevel="0" collapsed="false">
      <c r="A1183" s="9" t="s">
        <v>7026</v>
      </c>
      <c r="B1183" s="9" t="s">
        <v>5870</v>
      </c>
      <c r="C1183" s="9" t="s">
        <v>1392</v>
      </c>
      <c r="D1183" s="9" t="s">
        <v>5871</v>
      </c>
      <c r="E1183" s="9" t="str">
        <f aca="false">IF(AND('Formation Ledger'!A1162&lt;&gt;"",'Formation Ledger'!V1162=0),"PASS","FAIL")</f>
        <v>PASS</v>
      </c>
      <c r="F1183" s="9" t="s">
        <v>76</v>
      </c>
      <c r="G1183" s="6"/>
      <c r="H1183" s="6"/>
      <c r="I1183" s="6"/>
      <c r="J1183" s="6"/>
      <c r="K1183" s="6"/>
      <c r="L1183" s="6"/>
      <c r="M1183" s="6"/>
      <c r="N1183" s="6"/>
      <c r="O1183" s="6"/>
      <c r="P1183" s="6"/>
      <c r="Q1183" s="6"/>
      <c r="R1183" s="6"/>
      <c r="S1183" s="6"/>
      <c r="T1183" s="6"/>
      <c r="U1183" s="6"/>
      <c r="V1183" s="6"/>
      <c r="W1183" s="6"/>
      <c r="X1183" s="6"/>
      <c r="Y1183" s="6"/>
      <c r="Z1183" s="6"/>
    </row>
    <row r="1184" customFormat="false" ht="15" hidden="false" customHeight="false" outlineLevel="0" collapsed="false">
      <c r="A1184" s="9" t="s">
        <v>7027</v>
      </c>
      <c r="B1184" s="9" t="s">
        <v>5870</v>
      </c>
      <c r="C1184" s="9" t="s">
        <v>1393</v>
      </c>
      <c r="D1184" s="9" t="s">
        <v>5871</v>
      </c>
      <c r="E1184" s="9" t="str">
        <f aca="false">IF(AND('Formation Ledger'!A1163&lt;&gt;"",'Formation Ledger'!V1163=0),"PASS","FAIL")</f>
        <v>PASS</v>
      </c>
      <c r="F1184" s="9" t="s">
        <v>76</v>
      </c>
      <c r="G1184" s="6"/>
      <c r="H1184" s="6"/>
      <c r="I1184" s="6"/>
      <c r="J1184" s="6"/>
      <c r="K1184" s="6"/>
      <c r="L1184" s="6"/>
      <c r="M1184" s="6"/>
      <c r="N1184" s="6"/>
      <c r="O1184" s="6"/>
      <c r="P1184" s="6"/>
      <c r="Q1184" s="6"/>
      <c r="R1184" s="6"/>
      <c r="S1184" s="6"/>
      <c r="T1184" s="6"/>
      <c r="U1184" s="6"/>
      <c r="V1184" s="6"/>
      <c r="W1184" s="6"/>
      <c r="X1184" s="6"/>
      <c r="Y1184" s="6"/>
      <c r="Z1184" s="6"/>
    </row>
    <row r="1185" customFormat="false" ht="15" hidden="false" customHeight="false" outlineLevel="0" collapsed="false">
      <c r="A1185" s="9" t="s">
        <v>7028</v>
      </c>
      <c r="B1185" s="9" t="s">
        <v>5870</v>
      </c>
      <c r="C1185" s="9" t="s">
        <v>1394</v>
      </c>
      <c r="D1185" s="9" t="s">
        <v>5871</v>
      </c>
      <c r="E1185" s="9" t="str">
        <f aca="false">IF(AND('Formation Ledger'!A1164&lt;&gt;"",'Formation Ledger'!V1164=0),"PASS","FAIL")</f>
        <v>PASS</v>
      </c>
      <c r="F1185" s="9" t="s">
        <v>76</v>
      </c>
      <c r="G1185" s="6"/>
      <c r="H1185" s="6"/>
      <c r="I1185" s="6"/>
      <c r="J1185" s="6"/>
      <c r="K1185" s="6"/>
      <c r="L1185" s="6"/>
      <c r="M1185" s="6"/>
      <c r="N1185" s="6"/>
      <c r="O1185" s="6"/>
      <c r="P1185" s="6"/>
      <c r="Q1185" s="6"/>
      <c r="R1185" s="6"/>
      <c r="S1185" s="6"/>
      <c r="T1185" s="6"/>
      <c r="U1185" s="6"/>
      <c r="V1185" s="6"/>
      <c r="W1185" s="6"/>
      <c r="X1185" s="6"/>
      <c r="Y1185" s="6"/>
      <c r="Z1185" s="6"/>
    </row>
    <row r="1186" customFormat="false" ht="15" hidden="false" customHeight="false" outlineLevel="0" collapsed="false">
      <c r="A1186" s="9" t="s">
        <v>7029</v>
      </c>
      <c r="B1186" s="9" t="s">
        <v>5870</v>
      </c>
      <c r="C1186" s="9" t="s">
        <v>1395</v>
      </c>
      <c r="D1186" s="9" t="s">
        <v>5871</v>
      </c>
      <c r="E1186" s="9" t="str">
        <f aca="false">IF(AND('Formation Ledger'!A1165&lt;&gt;"",'Formation Ledger'!V1165=0),"PASS","FAIL")</f>
        <v>PASS</v>
      </c>
      <c r="F1186" s="9" t="s">
        <v>76</v>
      </c>
      <c r="G1186" s="6"/>
      <c r="H1186" s="6"/>
      <c r="I1186" s="6"/>
      <c r="J1186" s="6"/>
      <c r="K1186" s="6"/>
      <c r="L1186" s="6"/>
      <c r="M1186" s="6"/>
      <c r="N1186" s="6"/>
      <c r="O1186" s="6"/>
      <c r="P1186" s="6"/>
      <c r="Q1186" s="6"/>
      <c r="R1186" s="6"/>
      <c r="S1186" s="6"/>
      <c r="T1186" s="6"/>
      <c r="U1186" s="6"/>
      <c r="V1186" s="6"/>
      <c r="W1186" s="6"/>
      <c r="X1186" s="6"/>
      <c r="Y1186" s="6"/>
      <c r="Z1186" s="6"/>
    </row>
    <row r="1187" customFormat="false" ht="15" hidden="false" customHeight="false" outlineLevel="0" collapsed="false">
      <c r="A1187" s="9" t="s">
        <v>7030</v>
      </c>
      <c r="B1187" s="9" t="s">
        <v>5870</v>
      </c>
      <c r="C1187" s="9" t="s">
        <v>1396</v>
      </c>
      <c r="D1187" s="9" t="s">
        <v>5871</v>
      </c>
      <c r="E1187" s="9" t="str">
        <f aca="false">IF(AND('Formation Ledger'!A1166&lt;&gt;"",'Formation Ledger'!V1166=0),"PASS","FAIL")</f>
        <v>PASS</v>
      </c>
      <c r="F1187" s="9" t="s">
        <v>76</v>
      </c>
      <c r="G1187" s="6"/>
      <c r="H1187" s="6"/>
      <c r="I1187" s="6"/>
      <c r="J1187" s="6"/>
      <c r="K1187" s="6"/>
      <c r="L1187" s="6"/>
      <c r="M1187" s="6"/>
      <c r="N1187" s="6"/>
      <c r="O1187" s="6"/>
      <c r="P1187" s="6"/>
      <c r="Q1187" s="6"/>
      <c r="R1187" s="6"/>
      <c r="S1187" s="6"/>
      <c r="T1187" s="6"/>
      <c r="U1187" s="6"/>
      <c r="V1187" s="6"/>
      <c r="W1187" s="6"/>
      <c r="X1187" s="6"/>
      <c r="Y1187" s="6"/>
      <c r="Z1187" s="6"/>
    </row>
    <row r="1188" customFormat="false" ht="15" hidden="false" customHeight="false" outlineLevel="0" collapsed="false">
      <c r="A1188" s="9" t="s">
        <v>7031</v>
      </c>
      <c r="B1188" s="9" t="s">
        <v>5870</v>
      </c>
      <c r="C1188" s="9" t="s">
        <v>1397</v>
      </c>
      <c r="D1188" s="9" t="s">
        <v>5871</v>
      </c>
      <c r="E1188" s="9" t="str">
        <f aca="false">IF(AND('Formation Ledger'!A1167&lt;&gt;"",'Formation Ledger'!V1167=0),"PASS","FAIL")</f>
        <v>PASS</v>
      </c>
      <c r="F1188" s="9" t="s">
        <v>76</v>
      </c>
      <c r="G1188" s="6"/>
      <c r="H1188" s="6"/>
      <c r="I1188" s="6"/>
      <c r="J1188" s="6"/>
      <c r="K1188" s="6"/>
      <c r="L1188" s="6"/>
      <c r="M1188" s="6"/>
      <c r="N1188" s="6"/>
      <c r="O1188" s="6"/>
      <c r="P1188" s="6"/>
      <c r="Q1188" s="6"/>
      <c r="R1188" s="6"/>
      <c r="S1188" s="6"/>
      <c r="T1188" s="6"/>
      <c r="U1188" s="6"/>
      <c r="V1188" s="6"/>
      <c r="W1188" s="6"/>
      <c r="X1188" s="6"/>
      <c r="Y1188" s="6"/>
      <c r="Z1188" s="6"/>
    </row>
    <row r="1189" customFormat="false" ht="15" hidden="false" customHeight="false" outlineLevel="0" collapsed="false">
      <c r="A1189" s="9" t="s">
        <v>7032</v>
      </c>
      <c r="B1189" s="9" t="s">
        <v>5870</v>
      </c>
      <c r="C1189" s="9" t="s">
        <v>1398</v>
      </c>
      <c r="D1189" s="9" t="s">
        <v>5871</v>
      </c>
      <c r="E1189" s="9" t="str">
        <f aca="false">IF(AND('Formation Ledger'!A1168&lt;&gt;"",'Formation Ledger'!V1168=0),"PASS","FAIL")</f>
        <v>PASS</v>
      </c>
      <c r="F1189" s="9" t="s">
        <v>76</v>
      </c>
      <c r="G1189" s="6"/>
      <c r="H1189" s="6"/>
      <c r="I1189" s="6"/>
      <c r="J1189" s="6"/>
      <c r="K1189" s="6"/>
      <c r="L1189" s="6"/>
      <c r="M1189" s="6"/>
      <c r="N1189" s="6"/>
      <c r="O1189" s="6"/>
      <c r="P1189" s="6"/>
      <c r="Q1189" s="6"/>
      <c r="R1189" s="6"/>
      <c r="S1189" s="6"/>
      <c r="T1189" s="6"/>
      <c r="U1189" s="6"/>
      <c r="V1189" s="6"/>
      <c r="W1189" s="6"/>
      <c r="X1189" s="6"/>
      <c r="Y1189" s="6"/>
      <c r="Z1189" s="6"/>
    </row>
    <row r="1190" customFormat="false" ht="15" hidden="false" customHeight="false" outlineLevel="0" collapsed="false">
      <c r="A1190" s="9" t="s">
        <v>7033</v>
      </c>
      <c r="B1190" s="9" t="s">
        <v>5870</v>
      </c>
      <c r="C1190" s="9" t="s">
        <v>1399</v>
      </c>
      <c r="D1190" s="9" t="s">
        <v>5871</v>
      </c>
      <c r="E1190" s="9" t="str">
        <f aca="false">IF(AND('Formation Ledger'!A1169&lt;&gt;"",'Formation Ledger'!V1169=0),"PASS","FAIL")</f>
        <v>PASS</v>
      </c>
      <c r="F1190" s="9" t="s">
        <v>76</v>
      </c>
      <c r="G1190" s="6"/>
      <c r="H1190" s="6"/>
      <c r="I1190" s="6"/>
      <c r="J1190" s="6"/>
      <c r="K1190" s="6"/>
      <c r="L1190" s="6"/>
      <c r="M1190" s="6"/>
      <c r="N1190" s="6"/>
      <c r="O1190" s="6"/>
      <c r="P1190" s="6"/>
      <c r="Q1190" s="6"/>
      <c r="R1190" s="6"/>
      <c r="S1190" s="6"/>
      <c r="T1190" s="6"/>
      <c r="U1190" s="6"/>
      <c r="V1190" s="6"/>
      <c r="W1190" s="6"/>
      <c r="X1190" s="6"/>
      <c r="Y1190" s="6"/>
      <c r="Z1190" s="6"/>
    </row>
    <row r="1191" customFormat="false" ht="15" hidden="false" customHeight="false" outlineLevel="0" collapsed="false">
      <c r="A1191" s="9" t="s">
        <v>7034</v>
      </c>
      <c r="B1191" s="9" t="s">
        <v>5870</v>
      </c>
      <c r="C1191" s="9" t="s">
        <v>1400</v>
      </c>
      <c r="D1191" s="9" t="s">
        <v>5871</v>
      </c>
      <c r="E1191" s="9" t="str">
        <f aca="false">IF(AND('Formation Ledger'!A1170&lt;&gt;"",'Formation Ledger'!V1170=0),"PASS","FAIL")</f>
        <v>PASS</v>
      </c>
      <c r="F1191" s="9" t="s">
        <v>76</v>
      </c>
      <c r="G1191" s="6"/>
      <c r="H1191" s="6"/>
      <c r="I1191" s="6"/>
      <c r="J1191" s="6"/>
      <c r="K1191" s="6"/>
      <c r="L1191" s="6"/>
      <c r="M1191" s="6"/>
      <c r="N1191" s="6"/>
      <c r="O1191" s="6"/>
      <c r="P1191" s="6"/>
      <c r="Q1191" s="6"/>
      <c r="R1191" s="6"/>
      <c r="S1191" s="6"/>
      <c r="T1191" s="6"/>
      <c r="U1191" s="6"/>
      <c r="V1191" s="6"/>
      <c r="W1191" s="6"/>
      <c r="X1191" s="6"/>
      <c r="Y1191" s="6"/>
      <c r="Z1191" s="6"/>
    </row>
    <row r="1192" customFormat="false" ht="15" hidden="false" customHeight="false" outlineLevel="0" collapsed="false">
      <c r="A1192" s="9" t="s">
        <v>7035</v>
      </c>
      <c r="B1192" s="9" t="s">
        <v>5870</v>
      </c>
      <c r="C1192" s="9" t="s">
        <v>1401</v>
      </c>
      <c r="D1192" s="9" t="s">
        <v>5871</v>
      </c>
      <c r="E1192" s="9" t="str">
        <f aca="false">IF(AND('Formation Ledger'!A1171&lt;&gt;"",'Formation Ledger'!V1171=0),"PASS","FAIL")</f>
        <v>PASS</v>
      </c>
      <c r="F1192" s="9" t="s">
        <v>76</v>
      </c>
      <c r="G1192" s="6"/>
      <c r="H1192" s="6"/>
      <c r="I1192" s="6"/>
      <c r="J1192" s="6"/>
      <c r="K1192" s="6"/>
      <c r="L1192" s="6"/>
      <c r="M1192" s="6"/>
      <c r="N1192" s="6"/>
      <c r="O1192" s="6"/>
      <c r="P1192" s="6"/>
      <c r="Q1192" s="6"/>
      <c r="R1192" s="6"/>
      <c r="S1192" s="6"/>
      <c r="T1192" s="6"/>
      <c r="U1192" s="6"/>
      <c r="V1192" s="6"/>
      <c r="W1192" s="6"/>
      <c r="X1192" s="6"/>
      <c r="Y1192" s="6"/>
      <c r="Z1192" s="6"/>
    </row>
    <row r="1193" customFormat="false" ht="15" hidden="false" customHeight="false" outlineLevel="0" collapsed="false">
      <c r="A1193" s="9" t="s">
        <v>7036</v>
      </c>
      <c r="B1193" s="9" t="s">
        <v>5870</v>
      </c>
      <c r="C1193" s="9" t="s">
        <v>1402</v>
      </c>
      <c r="D1193" s="9" t="s">
        <v>5871</v>
      </c>
      <c r="E1193" s="9" t="str">
        <f aca="false">IF(AND('Formation Ledger'!A1172&lt;&gt;"",'Formation Ledger'!V1172=0),"PASS","FAIL")</f>
        <v>PASS</v>
      </c>
      <c r="F1193" s="9" t="s">
        <v>76</v>
      </c>
      <c r="G1193" s="6"/>
      <c r="H1193" s="6"/>
      <c r="I1193" s="6"/>
      <c r="J1193" s="6"/>
      <c r="K1193" s="6"/>
      <c r="L1193" s="6"/>
      <c r="M1193" s="6"/>
      <c r="N1193" s="6"/>
      <c r="O1193" s="6"/>
      <c r="P1193" s="6"/>
      <c r="Q1193" s="6"/>
      <c r="R1193" s="6"/>
      <c r="S1193" s="6"/>
      <c r="T1193" s="6"/>
      <c r="U1193" s="6"/>
      <c r="V1193" s="6"/>
      <c r="W1193" s="6"/>
      <c r="X1193" s="6"/>
      <c r="Y1193" s="6"/>
      <c r="Z1193" s="6"/>
    </row>
    <row r="1194" customFormat="false" ht="15" hidden="false" customHeight="false" outlineLevel="0" collapsed="false">
      <c r="A1194" s="9" t="s">
        <v>7037</v>
      </c>
      <c r="B1194" s="9" t="s">
        <v>5870</v>
      </c>
      <c r="C1194" s="9" t="s">
        <v>1403</v>
      </c>
      <c r="D1194" s="9" t="s">
        <v>5871</v>
      </c>
      <c r="E1194" s="9" t="str">
        <f aca="false">IF(AND('Formation Ledger'!A1173&lt;&gt;"",'Formation Ledger'!V1173=0),"PASS","FAIL")</f>
        <v>PASS</v>
      </c>
      <c r="F1194" s="9" t="s">
        <v>76</v>
      </c>
      <c r="G1194" s="6"/>
      <c r="H1194" s="6"/>
      <c r="I1194" s="6"/>
      <c r="J1194" s="6"/>
      <c r="K1194" s="6"/>
      <c r="L1194" s="6"/>
      <c r="M1194" s="6"/>
      <c r="N1194" s="6"/>
      <c r="O1194" s="6"/>
      <c r="P1194" s="6"/>
      <c r="Q1194" s="6"/>
      <c r="R1194" s="6"/>
      <c r="S1194" s="6"/>
      <c r="T1194" s="6"/>
      <c r="U1194" s="6"/>
      <c r="V1194" s="6"/>
      <c r="W1194" s="6"/>
      <c r="X1194" s="6"/>
      <c r="Y1194" s="6"/>
      <c r="Z1194" s="6"/>
    </row>
    <row r="1195" customFormat="false" ht="15" hidden="false" customHeight="false" outlineLevel="0" collapsed="false">
      <c r="A1195" s="9" t="s">
        <v>7038</v>
      </c>
      <c r="B1195" s="9" t="s">
        <v>5870</v>
      </c>
      <c r="C1195" s="9" t="s">
        <v>1404</v>
      </c>
      <c r="D1195" s="9" t="s">
        <v>5871</v>
      </c>
      <c r="E1195" s="9" t="str">
        <f aca="false">IF(AND('Formation Ledger'!A1174&lt;&gt;"",'Formation Ledger'!V1174=0),"PASS","FAIL")</f>
        <v>PASS</v>
      </c>
      <c r="F1195" s="9" t="s">
        <v>76</v>
      </c>
      <c r="G1195" s="6"/>
      <c r="H1195" s="6"/>
      <c r="I1195" s="6"/>
      <c r="J1195" s="6"/>
      <c r="K1195" s="6"/>
      <c r="L1195" s="6"/>
      <c r="M1195" s="6"/>
      <c r="N1195" s="6"/>
      <c r="O1195" s="6"/>
      <c r="P1195" s="6"/>
      <c r="Q1195" s="6"/>
      <c r="R1195" s="6"/>
      <c r="S1195" s="6"/>
      <c r="T1195" s="6"/>
      <c r="U1195" s="6"/>
      <c r="V1195" s="6"/>
      <c r="W1195" s="6"/>
      <c r="X1195" s="6"/>
      <c r="Y1195" s="6"/>
      <c r="Z1195" s="6"/>
    </row>
    <row r="1196" customFormat="false" ht="15" hidden="false" customHeight="false" outlineLevel="0" collapsed="false">
      <c r="A1196" s="9" t="s">
        <v>7039</v>
      </c>
      <c r="B1196" s="9" t="s">
        <v>5870</v>
      </c>
      <c r="C1196" s="9" t="s">
        <v>1405</v>
      </c>
      <c r="D1196" s="9" t="s">
        <v>5871</v>
      </c>
      <c r="E1196" s="9" t="str">
        <f aca="false">IF(AND('Formation Ledger'!A1175&lt;&gt;"",'Formation Ledger'!V1175=0),"PASS","FAIL")</f>
        <v>PASS</v>
      </c>
      <c r="F1196" s="9" t="s">
        <v>76</v>
      </c>
      <c r="G1196" s="6"/>
      <c r="H1196" s="6"/>
      <c r="I1196" s="6"/>
      <c r="J1196" s="6"/>
      <c r="K1196" s="6"/>
      <c r="L1196" s="6"/>
      <c r="M1196" s="6"/>
      <c r="N1196" s="6"/>
      <c r="O1196" s="6"/>
      <c r="P1196" s="6"/>
      <c r="Q1196" s="6"/>
      <c r="R1196" s="6"/>
      <c r="S1196" s="6"/>
      <c r="T1196" s="6"/>
      <c r="U1196" s="6"/>
      <c r="V1196" s="6"/>
      <c r="W1196" s="6"/>
      <c r="X1196" s="6"/>
      <c r="Y1196" s="6"/>
      <c r="Z1196" s="6"/>
    </row>
    <row r="1197" customFormat="false" ht="15" hidden="false" customHeight="false" outlineLevel="0" collapsed="false">
      <c r="A1197" s="9" t="s">
        <v>7040</v>
      </c>
      <c r="B1197" s="9" t="s">
        <v>5870</v>
      </c>
      <c r="C1197" s="9" t="s">
        <v>1406</v>
      </c>
      <c r="D1197" s="9" t="s">
        <v>5871</v>
      </c>
      <c r="E1197" s="9" t="str">
        <f aca="false">IF(AND('Formation Ledger'!A1176&lt;&gt;"",'Formation Ledger'!V1176=0),"PASS","FAIL")</f>
        <v>PASS</v>
      </c>
      <c r="F1197" s="9" t="s">
        <v>76</v>
      </c>
      <c r="G1197" s="6"/>
      <c r="H1197" s="6"/>
      <c r="I1197" s="6"/>
      <c r="J1197" s="6"/>
      <c r="K1197" s="6"/>
      <c r="L1197" s="6"/>
      <c r="M1197" s="6"/>
      <c r="N1197" s="6"/>
      <c r="O1197" s="6"/>
      <c r="P1197" s="6"/>
      <c r="Q1197" s="6"/>
      <c r="R1197" s="6"/>
      <c r="S1197" s="6"/>
      <c r="T1197" s="6"/>
      <c r="U1197" s="6"/>
      <c r="V1197" s="6"/>
      <c r="W1197" s="6"/>
      <c r="X1197" s="6"/>
      <c r="Y1197" s="6"/>
      <c r="Z1197" s="6"/>
    </row>
    <row r="1198" customFormat="false" ht="15" hidden="false" customHeight="false" outlineLevel="0" collapsed="false">
      <c r="A1198" s="9" t="s">
        <v>7041</v>
      </c>
      <c r="B1198" s="9" t="s">
        <v>5870</v>
      </c>
      <c r="C1198" s="9" t="s">
        <v>1407</v>
      </c>
      <c r="D1198" s="9" t="s">
        <v>5871</v>
      </c>
      <c r="E1198" s="9" t="str">
        <f aca="false">IF(AND('Formation Ledger'!A1177&lt;&gt;"",'Formation Ledger'!V1177=0),"PASS","FAIL")</f>
        <v>PASS</v>
      </c>
      <c r="F1198" s="9" t="s">
        <v>76</v>
      </c>
      <c r="G1198" s="6"/>
      <c r="H1198" s="6"/>
      <c r="I1198" s="6"/>
      <c r="J1198" s="6"/>
      <c r="K1198" s="6"/>
      <c r="L1198" s="6"/>
      <c r="M1198" s="6"/>
      <c r="N1198" s="6"/>
      <c r="O1198" s="6"/>
      <c r="P1198" s="6"/>
      <c r="Q1198" s="6"/>
      <c r="R1198" s="6"/>
      <c r="S1198" s="6"/>
      <c r="T1198" s="6"/>
      <c r="U1198" s="6"/>
      <c r="V1198" s="6"/>
      <c r="W1198" s="6"/>
      <c r="X1198" s="6"/>
      <c r="Y1198" s="6"/>
      <c r="Z1198" s="6"/>
    </row>
    <row r="1199" customFormat="false" ht="15" hidden="false" customHeight="false" outlineLevel="0" collapsed="false">
      <c r="A1199" s="9" t="s">
        <v>7042</v>
      </c>
      <c r="B1199" s="9" t="s">
        <v>5870</v>
      </c>
      <c r="C1199" s="9" t="s">
        <v>1408</v>
      </c>
      <c r="D1199" s="9" t="s">
        <v>5871</v>
      </c>
      <c r="E1199" s="9" t="str">
        <f aca="false">IF(AND('Formation Ledger'!A1178&lt;&gt;"",'Formation Ledger'!V1178=0),"PASS","FAIL")</f>
        <v>PASS</v>
      </c>
      <c r="F1199" s="9" t="s">
        <v>76</v>
      </c>
      <c r="G1199" s="6"/>
      <c r="H1199" s="6"/>
      <c r="I1199" s="6"/>
      <c r="J1199" s="6"/>
      <c r="K1199" s="6"/>
      <c r="L1199" s="6"/>
      <c r="M1199" s="6"/>
      <c r="N1199" s="6"/>
      <c r="O1199" s="6"/>
      <c r="P1199" s="6"/>
      <c r="Q1199" s="6"/>
      <c r="R1199" s="6"/>
      <c r="S1199" s="6"/>
      <c r="T1199" s="6"/>
      <c r="U1199" s="6"/>
      <c r="V1199" s="6"/>
      <c r="W1199" s="6"/>
      <c r="X1199" s="6"/>
      <c r="Y1199" s="6"/>
      <c r="Z1199" s="6"/>
    </row>
    <row r="1200" customFormat="false" ht="15" hidden="false" customHeight="false" outlineLevel="0" collapsed="false">
      <c r="A1200" s="9" t="s">
        <v>7043</v>
      </c>
      <c r="B1200" s="9" t="s">
        <v>5870</v>
      </c>
      <c r="C1200" s="9" t="s">
        <v>1409</v>
      </c>
      <c r="D1200" s="9" t="s">
        <v>5871</v>
      </c>
      <c r="E1200" s="9" t="str">
        <f aca="false">IF(AND('Formation Ledger'!A1179&lt;&gt;"",'Formation Ledger'!V1179=0),"PASS","FAIL")</f>
        <v>PASS</v>
      </c>
      <c r="F1200" s="9" t="s">
        <v>76</v>
      </c>
      <c r="G1200" s="6"/>
      <c r="H1200" s="6"/>
      <c r="I1200" s="6"/>
      <c r="J1200" s="6"/>
      <c r="K1200" s="6"/>
      <c r="L1200" s="6"/>
      <c r="M1200" s="6"/>
      <c r="N1200" s="6"/>
      <c r="O1200" s="6"/>
      <c r="P1200" s="6"/>
      <c r="Q1200" s="6"/>
      <c r="R1200" s="6"/>
      <c r="S1200" s="6"/>
      <c r="T1200" s="6"/>
      <c r="U1200" s="6"/>
      <c r="V1200" s="6"/>
      <c r="W1200" s="6"/>
      <c r="X1200" s="6"/>
      <c r="Y1200" s="6"/>
      <c r="Z1200" s="6"/>
    </row>
    <row r="1201" customFormat="false" ht="15" hidden="false" customHeight="false" outlineLevel="0" collapsed="false">
      <c r="A1201" s="9" t="s">
        <v>7044</v>
      </c>
      <c r="B1201" s="9" t="s">
        <v>5870</v>
      </c>
      <c r="C1201" s="9" t="s">
        <v>1410</v>
      </c>
      <c r="D1201" s="9" t="s">
        <v>5871</v>
      </c>
      <c r="E1201" s="9" t="str">
        <f aca="false">IF(AND('Formation Ledger'!A1180&lt;&gt;"",'Formation Ledger'!V1180=0),"PASS","FAIL")</f>
        <v>PASS</v>
      </c>
      <c r="F1201" s="9" t="s">
        <v>76</v>
      </c>
      <c r="G1201" s="6"/>
      <c r="H1201" s="6"/>
      <c r="I1201" s="6"/>
      <c r="J1201" s="6"/>
      <c r="K1201" s="6"/>
      <c r="L1201" s="6"/>
      <c r="M1201" s="6"/>
      <c r="N1201" s="6"/>
      <c r="O1201" s="6"/>
      <c r="P1201" s="6"/>
      <c r="Q1201" s="6"/>
      <c r="R1201" s="6"/>
      <c r="S1201" s="6"/>
      <c r="T1201" s="6"/>
      <c r="U1201" s="6"/>
      <c r="V1201" s="6"/>
      <c r="W1201" s="6"/>
      <c r="X1201" s="6"/>
      <c r="Y1201" s="6"/>
      <c r="Z1201" s="6"/>
    </row>
    <row r="1202" customFormat="false" ht="15" hidden="false" customHeight="false" outlineLevel="0" collapsed="false">
      <c r="A1202" s="9" t="s">
        <v>7045</v>
      </c>
      <c r="B1202" s="9" t="s">
        <v>5870</v>
      </c>
      <c r="C1202" s="9" t="s">
        <v>1411</v>
      </c>
      <c r="D1202" s="9" t="s">
        <v>5871</v>
      </c>
      <c r="E1202" s="9" t="str">
        <f aca="false">IF(AND('Formation Ledger'!A1181&lt;&gt;"",'Formation Ledger'!V1181=0),"PASS","FAIL")</f>
        <v>PASS</v>
      </c>
      <c r="F1202" s="9" t="s">
        <v>76</v>
      </c>
      <c r="G1202" s="6"/>
      <c r="H1202" s="6"/>
      <c r="I1202" s="6"/>
      <c r="J1202" s="6"/>
      <c r="K1202" s="6"/>
      <c r="L1202" s="6"/>
      <c r="M1202" s="6"/>
      <c r="N1202" s="6"/>
      <c r="O1202" s="6"/>
      <c r="P1202" s="6"/>
      <c r="Q1202" s="6"/>
      <c r="R1202" s="6"/>
      <c r="S1202" s="6"/>
      <c r="T1202" s="6"/>
      <c r="U1202" s="6"/>
      <c r="V1202" s="6"/>
      <c r="W1202" s="6"/>
      <c r="X1202" s="6"/>
      <c r="Y1202" s="6"/>
      <c r="Z1202" s="6"/>
    </row>
    <row r="1203" customFormat="false" ht="15" hidden="false" customHeight="false" outlineLevel="0" collapsed="false">
      <c r="A1203" s="9" t="s">
        <v>7046</v>
      </c>
      <c r="B1203" s="9" t="s">
        <v>5870</v>
      </c>
      <c r="C1203" s="9" t="s">
        <v>1412</v>
      </c>
      <c r="D1203" s="9" t="s">
        <v>5871</v>
      </c>
      <c r="E1203" s="9" t="str">
        <f aca="false">IF(AND('Formation Ledger'!A1182&lt;&gt;"",'Formation Ledger'!V1182=0),"PASS","FAIL")</f>
        <v>PASS</v>
      </c>
      <c r="F1203" s="9" t="s">
        <v>76</v>
      </c>
      <c r="G1203" s="6"/>
      <c r="H1203" s="6"/>
      <c r="I1203" s="6"/>
      <c r="J1203" s="6"/>
      <c r="K1203" s="6"/>
      <c r="L1203" s="6"/>
      <c r="M1203" s="6"/>
      <c r="N1203" s="6"/>
      <c r="O1203" s="6"/>
      <c r="P1203" s="6"/>
      <c r="Q1203" s="6"/>
      <c r="R1203" s="6"/>
      <c r="S1203" s="6"/>
      <c r="T1203" s="6"/>
      <c r="U1203" s="6"/>
      <c r="V1203" s="6"/>
      <c r="W1203" s="6"/>
      <c r="X1203" s="6"/>
      <c r="Y1203" s="6"/>
      <c r="Z1203" s="6"/>
    </row>
    <row r="1204" customFormat="false" ht="15" hidden="false" customHeight="false" outlineLevel="0" collapsed="false">
      <c r="A1204" s="9" t="s">
        <v>7047</v>
      </c>
      <c r="B1204" s="9" t="s">
        <v>5870</v>
      </c>
      <c r="C1204" s="9" t="s">
        <v>1413</v>
      </c>
      <c r="D1204" s="9" t="s">
        <v>5871</v>
      </c>
      <c r="E1204" s="9" t="str">
        <f aca="false">IF(AND('Formation Ledger'!A1183&lt;&gt;"",'Formation Ledger'!V1183=0),"PASS","FAIL")</f>
        <v>PASS</v>
      </c>
      <c r="F1204" s="9" t="s">
        <v>76</v>
      </c>
      <c r="G1204" s="6"/>
      <c r="H1204" s="6"/>
      <c r="I1204" s="6"/>
      <c r="J1204" s="6"/>
      <c r="K1204" s="6"/>
      <c r="L1204" s="6"/>
      <c r="M1204" s="6"/>
      <c r="N1204" s="6"/>
      <c r="O1204" s="6"/>
      <c r="P1204" s="6"/>
      <c r="Q1204" s="6"/>
      <c r="R1204" s="6"/>
      <c r="S1204" s="6"/>
      <c r="T1204" s="6"/>
      <c r="U1204" s="6"/>
      <c r="V1204" s="6"/>
      <c r="W1204" s="6"/>
      <c r="X1204" s="6"/>
      <c r="Y1204" s="6"/>
      <c r="Z1204" s="6"/>
    </row>
    <row r="1205" customFormat="false" ht="15" hidden="false" customHeight="false" outlineLevel="0" collapsed="false">
      <c r="A1205" s="9" t="s">
        <v>7048</v>
      </c>
      <c r="B1205" s="9" t="s">
        <v>5870</v>
      </c>
      <c r="C1205" s="9" t="s">
        <v>1414</v>
      </c>
      <c r="D1205" s="9" t="s">
        <v>5871</v>
      </c>
      <c r="E1205" s="9" t="str">
        <f aca="false">IF(AND('Formation Ledger'!A1184&lt;&gt;"",'Formation Ledger'!V1184=0),"PASS","FAIL")</f>
        <v>PASS</v>
      </c>
      <c r="F1205" s="9" t="s">
        <v>76</v>
      </c>
      <c r="G1205" s="6"/>
      <c r="H1205" s="6"/>
      <c r="I1205" s="6"/>
      <c r="J1205" s="6"/>
      <c r="K1205" s="6"/>
      <c r="L1205" s="6"/>
      <c r="M1205" s="6"/>
      <c r="N1205" s="6"/>
      <c r="O1205" s="6"/>
      <c r="P1205" s="6"/>
      <c r="Q1205" s="6"/>
      <c r="R1205" s="6"/>
      <c r="S1205" s="6"/>
      <c r="T1205" s="6"/>
      <c r="U1205" s="6"/>
      <c r="V1205" s="6"/>
      <c r="W1205" s="6"/>
      <c r="X1205" s="6"/>
      <c r="Y1205" s="6"/>
      <c r="Z1205" s="6"/>
    </row>
    <row r="1206" customFormat="false" ht="15" hidden="false" customHeight="false" outlineLevel="0" collapsed="false">
      <c r="A1206" s="9" t="s">
        <v>7049</v>
      </c>
      <c r="B1206" s="9" t="s">
        <v>5870</v>
      </c>
      <c r="C1206" s="9" t="s">
        <v>1415</v>
      </c>
      <c r="D1206" s="9" t="s">
        <v>5871</v>
      </c>
      <c r="E1206" s="9" t="str">
        <f aca="false">IF(AND('Formation Ledger'!A1185&lt;&gt;"",'Formation Ledger'!V1185=0),"PASS","FAIL")</f>
        <v>PASS</v>
      </c>
      <c r="F1206" s="9" t="s">
        <v>76</v>
      </c>
      <c r="G1206" s="6"/>
      <c r="H1206" s="6"/>
      <c r="I1206" s="6"/>
      <c r="J1206" s="6"/>
      <c r="K1206" s="6"/>
      <c r="L1206" s="6"/>
      <c r="M1206" s="6"/>
      <c r="N1206" s="6"/>
      <c r="O1206" s="6"/>
      <c r="P1206" s="6"/>
      <c r="Q1206" s="6"/>
      <c r="R1206" s="6"/>
      <c r="S1206" s="6"/>
      <c r="T1206" s="6"/>
      <c r="U1206" s="6"/>
      <c r="V1206" s="6"/>
      <c r="W1206" s="6"/>
      <c r="X1206" s="6"/>
      <c r="Y1206" s="6"/>
      <c r="Z1206" s="6"/>
    </row>
    <row r="1207" customFormat="false" ht="15" hidden="false" customHeight="false" outlineLevel="0" collapsed="false">
      <c r="A1207" s="9" t="s">
        <v>7050</v>
      </c>
      <c r="B1207" s="9" t="s">
        <v>5870</v>
      </c>
      <c r="C1207" s="9" t="s">
        <v>1416</v>
      </c>
      <c r="D1207" s="9" t="s">
        <v>5871</v>
      </c>
      <c r="E1207" s="9" t="str">
        <f aca="false">IF(AND('Formation Ledger'!A1186&lt;&gt;"",'Formation Ledger'!V1186=0),"PASS","FAIL")</f>
        <v>PASS</v>
      </c>
      <c r="F1207" s="9" t="s">
        <v>76</v>
      </c>
      <c r="G1207" s="6"/>
      <c r="H1207" s="6"/>
      <c r="I1207" s="6"/>
      <c r="J1207" s="6"/>
      <c r="K1207" s="6"/>
      <c r="L1207" s="6"/>
      <c r="M1207" s="6"/>
      <c r="N1207" s="6"/>
      <c r="O1207" s="6"/>
      <c r="P1207" s="6"/>
      <c r="Q1207" s="6"/>
      <c r="R1207" s="6"/>
      <c r="S1207" s="6"/>
      <c r="T1207" s="6"/>
      <c r="U1207" s="6"/>
      <c r="V1207" s="6"/>
      <c r="W1207" s="6"/>
      <c r="X1207" s="6"/>
      <c r="Y1207" s="6"/>
      <c r="Z1207" s="6"/>
    </row>
    <row r="1208" customFormat="false" ht="15" hidden="false" customHeight="false" outlineLevel="0" collapsed="false">
      <c r="A1208" s="9" t="s">
        <v>7051</v>
      </c>
      <c r="B1208" s="9" t="s">
        <v>5870</v>
      </c>
      <c r="C1208" s="9" t="s">
        <v>1417</v>
      </c>
      <c r="D1208" s="9" t="s">
        <v>5871</v>
      </c>
      <c r="E1208" s="9" t="str">
        <f aca="false">IF(AND('Formation Ledger'!A1187&lt;&gt;"",'Formation Ledger'!V1187=0),"PASS","FAIL")</f>
        <v>PASS</v>
      </c>
      <c r="F1208" s="9" t="s">
        <v>76</v>
      </c>
      <c r="G1208" s="6"/>
      <c r="H1208" s="6"/>
      <c r="I1208" s="6"/>
      <c r="J1208" s="6"/>
      <c r="K1208" s="6"/>
      <c r="L1208" s="6"/>
      <c r="M1208" s="6"/>
      <c r="N1208" s="6"/>
      <c r="O1208" s="6"/>
      <c r="P1208" s="6"/>
      <c r="Q1208" s="6"/>
      <c r="R1208" s="6"/>
      <c r="S1208" s="6"/>
      <c r="T1208" s="6"/>
      <c r="U1208" s="6"/>
      <c r="V1208" s="6"/>
      <c r="W1208" s="6"/>
      <c r="X1208" s="6"/>
      <c r="Y1208" s="6"/>
      <c r="Z1208" s="6"/>
    </row>
    <row r="1209" customFormat="false" ht="15" hidden="false" customHeight="false" outlineLevel="0" collapsed="false">
      <c r="A1209" s="9" t="s">
        <v>7052</v>
      </c>
      <c r="B1209" s="9" t="s">
        <v>5870</v>
      </c>
      <c r="C1209" s="9" t="s">
        <v>1418</v>
      </c>
      <c r="D1209" s="9" t="s">
        <v>5871</v>
      </c>
      <c r="E1209" s="9" t="str">
        <f aca="false">IF(AND('Formation Ledger'!A1188&lt;&gt;"",'Formation Ledger'!V1188=0),"PASS","FAIL")</f>
        <v>PASS</v>
      </c>
      <c r="F1209" s="9" t="s">
        <v>76</v>
      </c>
      <c r="G1209" s="6"/>
      <c r="H1209" s="6"/>
      <c r="I1209" s="6"/>
      <c r="J1209" s="6"/>
      <c r="K1209" s="6"/>
      <c r="L1209" s="6"/>
      <c r="M1209" s="6"/>
      <c r="N1209" s="6"/>
      <c r="O1209" s="6"/>
      <c r="P1209" s="6"/>
      <c r="Q1209" s="6"/>
      <c r="R1209" s="6"/>
      <c r="S1209" s="6"/>
      <c r="T1209" s="6"/>
      <c r="U1209" s="6"/>
      <c r="V1209" s="6"/>
      <c r="W1209" s="6"/>
      <c r="X1209" s="6"/>
      <c r="Y1209" s="6"/>
      <c r="Z1209" s="6"/>
    </row>
    <row r="1210" customFormat="false" ht="15" hidden="false" customHeight="false" outlineLevel="0" collapsed="false">
      <c r="A1210" s="9" t="s">
        <v>7053</v>
      </c>
      <c r="B1210" s="9" t="s">
        <v>5870</v>
      </c>
      <c r="C1210" s="9" t="s">
        <v>1419</v>
      </c>
      <c r="D1210" s="9" t="s">
        <v>5871</v>
      </c>
      <c r="E1210" s="9" t="str">
        <f aca="false">IF(AND('Formation Ledger'!A1189&lt;&gt;"",'Formation Ledger'!V1189=0),"PASS","FAIL")</f>
        <v>PASS</v>
      </c>
      <c r="F1210" s="9" t="s">
        <v>76</v>
      </c>
      <c r="G1210" s="6"/>
      <c r="H1210" s="6"/>
      <c r="I1210" s="6"/>
      <c r="J1210" s="6"/>
      <c r="K1210" s="6"/>
      <c r="L1210" s="6"/>
      <c r="M1210" s="6"/>
      <c r="N1210" s="6"/>
      <c r="O1210" s="6"/>
      <c r="P1210" s="6"/>
      <c r="Q1210" s="6"/>
      <c r="R1210" s="6"/>
      <c r="S1210" s="6"/>
      <c r="T1210" s="6"/>
      <c r="U1210" s="6"/>
      <c r="V1210" s="6"/>
      <c r="W1210" s="6"/>
      <c r="X1210" s="6"/>
      <c r="Y1210" s="6"/>
      <c r="Z1210" s="6"/>
    </row>
    <row r="1211" customFormat="false" ht="15" hidden="false" customHeight="false" outlineLevel="0" collapsed="false">
      <c r="A1211" s="9" t="s">
        <v>7054</v>
      </c>
      <c r="B1211" s="9" t="s">
        <v>5870</v>
      </c>
      <c r="C1211" s="9" t="s">
        <v>1420</v>
      </c>
      <c r="D1211" s="9" t="s">
        <v>5871</v>
      </c>
      <c r="E1211" s="9" t="str">
        <f aca="false">IF(AND('Formation Ledger'!A1190&lt;&gt;"",'Formation Ledger'!V1190=0),"PASS","FAIL")</f>
        <v>PASS</v>
      </c>
      <c r="F1211" s="9" t="s">
        <v>76</v>
      </c>
      <c r="G1211" s="6"/>
      <c r="H1211" s="6"/>
      <c r="I1211" s="6"/>
      <c r="J1211" s="6"/>
      <c r="K1211" s="6"/>
      <c r="L1211" s="6"/>
      <c r="M1211" s="6"/>
      <c r="N1211" s="6"/>
      <c r="O1211" s="6"/>
      <c r="P1211" s="6"/>
      <c r="Q1211" s="6"/>
      <c r="R1211" s="6"/>
      <c r="S1211" s="6"/>
      <c r="T1211" s="6"/>
      <c r="U1211" s="6"/>
      <c r="V1211" s="6"/>
      <c r="W1211" s="6"/>
      <c r="X1211" s="6"/>
      <c r="Y1211" s="6"/>
      <c r="Z1211" s="6"/>
    </row>
    <row r="1212" customFormat="false" ht="15" hidden="false" customHeight="false" outlineLevel="0" collapsed="false">
      <c r="A1212" s="9" t="s">
        <v>7055</v>
      </c>
      <c r="B1212" s="9" t="s">
        <v>5870</v>
      </c>
      <c r="C1212" s="9" t="s">
        <v>1421</v>
      </c>
      <c r="D1212" s="9" t="s">
        <v>5871</v>
      </c>
      <c r="E1212" s="9" t="str">
        <f aca="false">IF(AND('Formation Ledger'!A1191&lt;&gt;"",'Formation Ledger'!V1191=0),"PASS","FAIL")</f>
        <v>PASS</v>
      </c>
      <c r="F1212" s="9" t="s">
        <v>76</v>
      </c>
      <c r="G1212" s="6"/>
      <c r="H1212" s="6"/>
      <c r="I1212" s="6"/>
      <c r="J1212" s="6"/>
      <c r="K1212" s="6"/>
      <c r="L1212" s="6"/>
      <c r="M1212" s="6"/>
      <c r="N1212" s="6"/>
      <c r="O1212" s="6"/>
      <c r="P1212" s="6"/>
      <c r="Q1212" s="6"/>
      <c r="R1212" s="6"/>
      <c r="S1212" s="6"/>
      <c r="T1212" s="6"/>
      <c r="U1212" s="6"/>
      <c r="V1212" s="6"/>
      <c r="W1212" s="6"/>
      <c r="X1212" s="6"/>
      <c r="Y1212" s="6"/>
      <c r="Z1212" s="6"/>
    </row>
    <row r="1213" customFormat="false" ht="15" hidden="false" customHeight="false" outlineLevel="0" collapsed="false">
      <c r="A1213" s="9" t="s">
        <v>7056</v>
      </c>
      <c r="B1213" s="9" t="s">
        <v>5870</v>
      </c>
      <c r="C1213" s="9" t="s">
        <v>1422</v>
      </c>
      <c r="D1213" s="9" t="s">
        <v>5871</v>
      </c>
      <c r="E1213" s="9" t="str">
        <f aca="false">IF(AND('Formation Ledger'!A1192&lt;&gt;"",'Formation Ledger'!V1192=0),"PASS","FAIL")</f>
        <v>PASS</v>
      </c>
      <c r="F1213" s="9" t="s">
        <v>76</v>
      </c>
      <c r="G1213" s="6"/>
      <c r="H1213" s="6"/>
      <c r="I1213" s="6"/>
      <c r="J1213" s="6"/>
      <c r="K1213" s="6"/>
      <c r="L1213" s="6"/>
      <c r="M1213" s="6"/>
      <c r="N1213" s="6"/>
      <c r="O1213" s="6"/>
      <c r="P1213" s="6"/>
      <c r="Q1213" s="6"/>
      <c r="R1213" s="6"/>
      <c r="S1213" s="6"/>
      <c r="T1213" s="6"/>
      <c r="U1213" s="6"/>
      <c r="V1213" s="6"/>
      <c r="W1213" s="6"/>
      <c r="X1213" s="6"/>
      <c r="Y1213" s="6"/>
      <c r="Z1213" s="6"/>
    </row>
    <row r="1214" customFormat="false" ht="15" hidden="false" customHeight="false" outlineLevel="0" collapsed="false">
      <c r="A1214" s="9" t="s">
        <v>7057</v>
      </c>
      <c r="B1214" s="9" t="s">
        <v>5870</v>
      </c>
      <c r="C1214" s="9" t="s">
        <v>1423</v>
      </c>
      <c r="D1214" s="9" t="s">
        <v>5871</v>
      </c>
      <c r="E1214" s="9" t="str">
        <f aca="false">IF(AND('Formation Ledger'!A1193&lt;&gt;"",'Formation Ledger'!V1193=0),"PASS","FAIL")</f>
        <v>PASS</v>
      </c>
      <c r="F1214" s="9" t="s">
        <v>76</v>
      </c>
      <c r="G1214" s="6"/>
      <c r="H1214" s="6"/>
      <c r="I1214" s="6"/>
      <c r="J1214" s="6"/>
      <c r="K1214" s="6"/>
      <c r="L1214" s="6"/>
      <c r="M1214" s="6"/>
      <c r="N1214" s="6"/>
      <c r="O1214" s="6"/>
      <c r="P1214" s="6"/>
      <c r="Q1214" s="6"/>
      <c r="R1214" s="6"/>
      <c r="S1214" s="6"/>
      <c r="T1214" s="6"/>
      <c r="U1214" s="6"/>
      <c r="V1214" s="6"/>
      <c r="W1214" s="6"/>
      <c r="X1214" s="6"/>
      <c r="Y1214" s="6"/>
      <c r="Z1214" s="6"/>
    </row>
    <row r="1215" customFormat="false" ht="15" hidden="false" customHeight="false" outlineLevel="0" collapsed="false">
      <c r="A1215" s="9" t="s">
        <v>7058</v>
      </c>
      <c r="B1215" s="9" t="s">
        <v>5870</v>
      </c>
      <c r="C1215" s="9" t="s">
        <v>1424</v>
      </c>
      <c r="D1215" s="9" t="s">
        <v>5871</v>
      </c>
      <c r="E1215" s="9" t="str">
        <f aca="false">IF(AND('Formation Ledger'!A1194&lt;&gt;"",'Formation Ledger'!V1194=0),"PASS","FAIL")</f>
        <v>PASS</v>
      </c>
      <c r="F1215" s="9" t="s">
        <v>76</v>
      </c>
      <c r="G1215" s="6"/>
      <c r="H1215" s="6"/>
      <c r="I1215" s="6"/>
      <c r="J1215" s="6"/>
      <c r="K1215" s="6"/>
      <c r="L1215" s="6"/>
      <c r="M1215" s="6"/>
      <c r="N1215" s="6"/>
      <c r="O1215" s="6"/>
      <c r="P1215" s="6"/>
      <c r="Q1215" s="6"/>
      <c r="R1215" s="6"/>
      <c r="S1215" s="6"/>
      <c r="T1215" s="6"/>
      <c r="U1215" s="6"/>
      <c r="V1215" s="6"/>
      <c r="W1215" s="6"/>
      <c r="X1215" s="6"/>
      <c r="Y1215" s="6"/>
      <c r="Z1215" s="6"/>
    </row>
    <row r="1216" customFormat="false" ht="15" hidden="false" customHeight="false" outlineLevel="0" collapsed="false">
      <c r="A1216" s="9" t="s">
        <v>7059</v>
      </c>
      <c r="B1216" s="9" t="s">
        <v>5870</v>
      </c>
      <c r="C1216" s="9" t="s">
        <v>1425</v>
      </c>
      <c r="D1216" s="9" t="s">
        <v>5871</v>
      </c>
      <c r="E1216" s="9" t="str">
        <f aca="false">IF(AND('Formation Ledger'!A1195&lt;&gt;"",'Formation Ledger'!V1195=0),"PASS","FAIL")</f>
        <v>PASS</v>
      </c>
      <c r="F1216" s="9" t="s">
        <v>76</v>
      </c>
      <c r="G1216" s="6"/>
      <c r="H1216" s="6"/>
      <c r="I1216" s="6"/>
      <c r="J1216" s="6"/>
      <c r="K1216" s="6"/>
      <c r="L1216" s="6"/>
      <c r="M1216" s="6"/>
      <c r="N1216" s="6"/>
      <c r="O1216" s="6"/>
      <c r="P1216" s="6"/>
      <c r="Q1216" s="6"/>
      <c r="R1216" s="6"/>
      <c r="S1216" s="6"/>
      <c r="T1216" s="6"/>
      <c r="U1216" s="6"/>
      <c r="V1216" s="6"/>
      <c r="W1216" s="6"/>
      <c r="X1216" s="6"/>
      <c r="Y1216" s="6"/>
      <c r="Z1216" s="6"/>
    </row>
    <row r="1217" customFormat="false" ht="15" hidden="false" customHeight="false" outlineLevel="0" collapsed="false">
      <c r="A1217" s="9" t="s">
        <v>7060</v>
      </c>
      <c r="B1217" s="9" t="s">
        <v>5870</v>
      </c>
      <c r="C1217" s="9" t="s">
        <v>1426</v>
      </c>
      <c r="D1217" s="9" t="s">
        <v>5871</v>
      </c>
      <c r="E1217" s="9" t="str">
        <f aca="false">IF(AND('Formation Ledger'!A1196&lt;&gt;"",'Formation Ledger'!V1196=0),"PASS","FAIL")</f>
        <v>PASS</v>
      </c>
      <c r="F1217" s="9" t="s">
        <v>76</v>
      </c>
      <c r="G1217" s="6"/>
      <c r="H1217" s="6"/>
      <c r="I1217" s="6"/>
      <c r="J1217" s="6"/>
      <c r="K1217" s="6"/>
      <c r="L1217" s="6"/>
      <c r="M1217" s="6"/>
      <c r="N1217" s="6"/>
      <c r="O1217" s="6"/>
      <c r="P1217" s="6"/>
      <c r="Q1217" s="6"/>
      <c r="R1217" s="6"/>
      <c r="S1217" s="6"/>
      <c r="T1217" s="6"/>
      <c r="U1217" s="6"/>
      <c r="V1217" s="6"/>
      <c r="W1217" s="6"/>
      <c r="X1217" s="6"/>
      <c r="Y1217" s="6"/>
      <c r="Z1217" s="6"/>
    </row>
    <row r="1218" customFormat="false" ht="15" hidden="false" customHeight="false" outlineLevel="0" collapsed="false">
      <c r="A1218" s="9" t="s">
        <v>7061</v>
      </c>
      <c r="B1218" s="9" t="s">
        <v>5870</v>
      </c>
      <c r="C1218" s="9" t="s">
        <v>1429</v>
      </c>
      <c r="D1218" s="9" t="s">
        <v>5871</v>
      </c>
      <c r="E1218" s="9" t="str">
        <f aca="false">IF(AND('Formation Ledger'!A1197&lt;&gt;"",'Formation Ledger'!V1197=0),"PASS","FAIL")</f>
        <v>PASS</v>
      </c>
      <c r="F1218" s="9" t="s">
        <v>76</v>
      </c>
      <c r="G1218" s="6"/>
      <c r="H1218" s="6"/>
      <c r="I1218" s="6"/>
      <c r="J1218" s="6"/>
      <c r="K1218" s="6"/>
      <c r="L1218" s="6"/>
      <c r="M1218" s="6"/>
      <c r="N1218" s="6"/>
      <c r="O1218" s="6"/>
      <c r="P1218" s="6"/>
      <c r="Q1218" s="6"/>
      <c r="R1218" s="6"/>
      <c r="S1218" s="6"/>
      <c r="T1218" s="6"/>
      <c r="U1218" s="6"/>
      <c r="V1218" s="6"/>
      <c r="W1218" s="6"/>
      <c r="X1218" s="6"/>
      <c r="Y1218" s="6"/>
      <c r="Z1218" s="6"/>
    </row>
    <row r="1219" customFormat="false" ht="15" hidden="false" customHeight="false" outlineLevel="0" collapsed="false">
      <c r="A1219" s="9" t="s">
        <v>7062</v>
      </c>
      <c r="B1219" s="9" t="s">
        <v>5870</v>
      </c>
      <c r="C1219" s="9" t="s">
        <v>1430</v>
      </c>
      <c r="D1219" s="9" t="s">
        <v>5871</v>
      </c>
      <c r="E1219" s="9" t="str">
        <f aca="false">IF(AND('Formation Ledger'!A1198&lt;&gt;"",'Formation Ledger'!V1198=0),"PASS","FAIL")</f>
        <v>PASS</v>
      </c>
      <c r="F1219" s="9" t="s">
        <v>76</v>
      </c>
      <c r="G1219" s="6"/>
      <c r="H1219" s="6"/>
      <c r="I1219" s="6"/>
      <c r="J1219" s="6"/>
      <c r="K1219" s="6"/>
      <c r="L1219" s="6"/>
      <c r="M1219" s="6"/>
      <c r="N1219" s="6"/>
      <c r="O1219" s="6"/>
      <c r="P1219" s="6"/>
      <c r="Q1219" s="6"/>
      <c r="R1219" s="6"/>
      <c r="S1219" s="6"/>
      <c r="T1219" s="6"/>
      <c r="U1219" s="6"/>
      <c r="V1219" s="6"/>
      <c r="W1219" s="6"/>
      <c r="X1219" s="6"/>
      <c r="Y1219" s="6"/>
      <c r="Z1219" s="6"/>
    </row>
    <row r="1220" customFormat="false" ht="15" hidden="false" customHeight="false" outlineLevel="0" collapsed="false">
      <c r="A1220" s="9" t="s">
        <v>7063</v>
      </c>
      <c r="B1220" s="9" t="s">
        <v>5870</v>
      </c>
      <c r="C1220" s="9" t="s">
        <v>1431</v>
      </c>
      <c r="D1220" s="9" t="s">
        <v>5871</v>
      </c>
      <c r="E1220" s="9" t="str">
        <f aca="false">IF(AND('Formation Ledger'!A1199&lt;&gt;"",'Formation Ledger'!V1199=0),"PASS","FAIL")</f>
        <v>PASS</v>
      </c>
      <c r="F1220" s="9" t="s">
        <v>76</v>
      </c>
      <c r="G1220" s="6"/>
      <c r="H1220" s="6"/>
      <c r="I1220" s="6"/>
      <c r="J1220" s="6"/>
      <c r="K1220" s="6"/>
      <c r="L1220" s="6"/>
      <c r="M1220" s="6"/>
      <c r="N1220" s="6"/>
      <c r="O1220" s="6"/>
      <c r="P1220" s="6"/>
      <c r="Q1220" s="6"/>
      <c r="R1220" s="6"/>
      <c r="S1220" s="6"/>
      <c r="T1220" s="6"/>
      <c r="U1220" s="6"/>
      <c r="V1220" s="6"/>
      <c r="W1220" s="6"/>
      <c r="X1220" s="6"/>
      <c r="Y1220" s="6"/>
      <c r="Z1220" s="6"/>
    </row>
    <row r="1221" customFormat="false" ht="15" hidden="false" customHeight="false" outlineLevel="0" collapsed="false">
      <c r="A1221" s="9" t="s">
        <v>7064</v>
      </c>
      <c r="B1221" s="9" t="s">
        <v>5870</v>
      </c>
      <c r="C1221" s="9" t="s">
        <v>1432</v>
      </c>
      <c r="D1221" s="9" t="s">
        <v>5871</v>
      </c>
      <c r="E1221" s="9" t="str">
        <f aca="false">IF(AND('Formation Ledger'!A1200&lt;&gt;"",'Formation Ledger'!V1200=0),"PASS","FAIL")</f>
        <v>PASS</v>
      </c>
      <c r="F1221" s="9" t="s">
        <v>76</v>
      </c>
      <c r="G1221" s="6"/>
      <c r="H1221" s="6"/>
      <c r="I1221" s="6"/>
      <c r="J1221" s="6"/>
      <c r="K1221" s="6"/>
      <c r="L1221" s="6"/>
      <c r="M1221" s="6"/>
      <c r="N1221" s="6"/>
      <c r="O1221" s="6"/>
      <c r="P1221" s="6"/>
      <c r="Q1221" s="6"/>
      <c r="R1221" s="6"/>
      <c r="S1221" s="6"/>
      <c r="T1221" s="6"/>
      <c r="U1221" s="6"/>
      <c r="V1221" s="6"/>
      <c r="W1221" s="6"/>
      <c r="X1221" s="6"/>
      <c r="Y1221" s="6"/>
      <c r="Z1221" s="6"/>
    </row>
    <row r="1222" customFormat="false" ht="15" hidden="false" customHeight="false" outlineLevel="0" collapsed="false">
      <c r="A1222" s="9" t="s">
        <v>7065</v>
      </c>
      <c r="B1222" s="9" t="s">
        <v>5870</v>
      </c>
      <c r="C1222" s="9" t="s">
        <v>1433</v>
      </c>
      <c r="D1222" s="9" t="s">
        <v>5871</v>
      </c>
      <c r="E1222" s="9" t="str">
        <f aca="false">IF(AND('Formation Ledger'!A1201&lt;&gt;"",'Formation Ledger'!V1201=0),"PASS","FAIL")</f>
        <v>PASS</v>
      </c>
      <c r="F1222" s="9" t="s">
        <v>76</v>
      </c>
      <c r="G1222" s="6"/>
      <c r="H1222" s="6"/>
      <c r="I1222" s="6"/>
      <c r="J1222" s="6"/>
      <c r="K1222" s="6"/>
      <c r="L1222" s="6"/>
      <c r="M1222" s="6"/>
      <c r="N1222" s="6"/>
      <c r="O1222" s="6"/>
      <c r="P1222" s="6"/>
      <c r="Q1222" s="6"/>
      <c r="R1222" s="6"/>
      <c r="S1222" s="6"/>
      <c r="T1222" s="6"/>
      <c r="U1222" s="6"/>
      <c r="V1222" s="6"/>
      <c r="W1222" s="6"/>
      <c r="X1222" s="6"/>
      <c r="Y1222" s="6"/>
      <c r="Z1222" s="6"/>
    </row>
    <row r="1223" customFormat="false" ht="15" hidden="false" customHeight="false" outlineLevel="0" collapsed="false">
      <c r="A1223" s="9" t="s">
        <v>7066</v>
      </c>
      <c r="B1223" s="9" t="s">
        <v>5870</v>
      </c>
      <c r="C1223" s="9" t="s">
        <v>1434</v>
      </c>
      <c r="D1223" s="9" t="s">
        <v>5871</v>
      </c>
      <c r="E1223" s="9" t="str">
        <f aca="false">IF(AND('Formation Ledger'!A1202&lt;&gt;"",'Formation Ledger'!V1202=0),"PASS","FAIL")</f>
        <v>PASS</v>
      </c>
      <c r="F1223" s="9" t="s">
        <v>76</v>
      </c>
      <c r="G1223" s="6"/>
      <c r="H1223" s="6"/>
      <c r="I1223" s="6"/>
      <c r="J1223" s="6"/>
      <c r="K1223" s="6"/>
      <c r="L1223" s="6"/>
      <c r="M1223" s="6"/>
      <c r="N1223" s="6"/>
      <c r="O1223" s="6"/>
      <c r="P1223" s="6"/>
      <c r="Q1223" s="6"/>
      <c r="R1223" s="6"/>
      <c r="S1223" s="6"/>
      <c r="T1223" s="6"/>
      <c r="U1223" s="6"/>
      <c r="V1223" s="6"/>
      <c r="W1223" s="6"/>
      <c r="X1223" s="6"/>
      <c r="Y1223" s="6"/>
      <c r="Z1223" s="6"/>
    </row>
    <row r="1224" customFormat="false" ht="15" hidden="false" customHeight="false" outlineLevel="0" collapsed="false">
      <c r="A1224" s="9" t="s">
        <v>7067</v>
      </c>
      <c r="B1224" s="9" t="s">
        <v>5870</v>
      </c>
      <c r="C1224" s="9" t="s">
        <v>1435</v>
      </c>
      <c r="D1224" s="9" t="s">
        <v>5871</v>
      </c>
      <c r="E1224" s="9" t="str">
        <f aca="false">IF(AND('Formation Ledger'!A1203&lt;&gt;"",'Formation Ledger'!V1203=0),"PASS","FAIL")</f>
        <v>PASS</v>
      </c>
      <c r="F1224" s="9" t="s">
        <v>76</v>
      </c>
      <c r="G1224" s="6"/>
      <c r="H1224" s="6"/>
      <c r="I1224" s="6"/>
      <c r="J1224" s="6"/>
      <c r="K1224" s="6"/>
      <c r="L1224" s="6"/>
      <c r="M1224" s="6"/>
      <c r="N1224" s="6"/>
      <c r="O1224" s="6"/>
      <c r="P1224" s="6"/>
      <c r="Q1224" s="6"/>
      <c r="R1224" s="6"/>
      <c r="S1224" s="6"/>
      <c r="T1224" s="6"/>
      <c r="U1224" s="6"/>
      <c r="V1224" s="6"/>
      <c r="W1224" s="6"/>
      <c r="X1224" s="6"/>
      <c r="Y1224" s="6"/>
      <c r="Z1224" s="6"/>
    </row>
    <row r="1225" customFormat="false" ht="15" hidden="false" customHeight="false" outlineLevel="0" collapsed="false">
      <c r="A1225" s="9" t="s">
        <v>7068</v>
      </c>
      <c r="B1225" s="9" t="s">
        <v>5870</v>
      </c>
      <c r="C1225" s="9" t="s">
        <v>1436</v>
      </c>
      <c r="D1225" s="9" t="s">
        <v>5871</v>
      </c>
      <c r="E1225" s="9" t="str">
        <f aca="false">IF(AND('Formation Ledger'!A1204&lt;&gt;"",'Formation Ledger'!V1204=0),"PASS","FAIL")</f>
        <v>PASS</v>
      </c>
      <c r="F1225" s="9" t="s">
        <v>76</v>
      </c>
      <c r="G1225" s="6"/>
      <c r="H1225" s="6"/>
      <c r="I1225" s="6"/>
      <c r="J1225" s="6"/>
      <c r="K1225" s="6"/>
      <c r="L1225" s="6"/>
      <c r="M1225" s="6"/>
      <c r="N1225" s="6"/>
      <c r="O1225" s="6"/>
      <c r="P1225" s="6"/>
      <c r="Q1225" s="6"/>
      <c r="R1225" s="6"/>
      <c r="S1225" s="6"/>
      <c r="T1225" s="6"/>
      <c r="U1225" s="6"/>
      <c r="V1225" s="6"/>
      <c r="W1225" s="6"/>
      <c r="X1225" s="6"/>
      <c r="Y1225" s="6"/>
      <c r="Z1225" s="6"/>
    </row>
    <row r="1226" customFormat="false" ht="15" hidden="false" customHeight="false" outlineLevel="0" collapsed="false">
      <c r="A1226" s="9" t="s">
        <v>7069</v>
      </c>
      <c r="B1226" s="9" t="s">
        <v>5870</v>
      </c>
      <c r="C1226" s="9" t="s">
        <v>1437</v>
      </c>
      <c r="D1226" s="9" t="s">
        <v>5871</v>
      </c>
      <c r="E1226" s="9" t="str">
        <f aca="false">IF(AND('Formation Ledger'!A1205&lt;&gt;"",'Formation Ledger'!V1205=0),"PASS","FAIL")</f>
        <v>PASS</v>
      </c>
      <c r="F1226" s="9" t="s">
        <v>76</v>
      </c>
      <c r="G1226" s="6"/>
      <c r="H1226" s="6"/>
      <c r="I1226" s="6"/>
      <c r="J1226" s="6"/>
      <c r="K1226" s="6"/>
      <c r="L1226" s="6"/>
      <c r="M1226" s="6"/>
      <c r="N1226" s="6"/>
      <c r="O1226" s="6"/>
      <c r="P1226" s="6"/>
      <c r="Q1226" s="6"/>
      <c r="R1226" s="6"/>
      <c r="S1226" s="6"/>
      <c r="T1226" s="6"/>
      <c r="U1226" s="6"/>
      <c r="V1226" s="6"/>
      <c r="W1226" s="6"/>
      <c r="X1226" s="6"/>
      <c r="Y1226" s="6"/>
      <c r="Z1226" s="6"/>
    </row>
    <row r="1227" customFormat="false" ht="15" hidden="false" customHeight="false" outlineLevel="0" collapsed="false">
      <c r="A1227" s="9" t="s">
        <v>7070</v>
      </c>
      <c r="B1227" s="9" t="s">
        <v>5870</v>
      </c>
      <c r="C1227" s="9" t="s">
        <v>1438</v>
      </c>
      <c r="D1227" s="9" t="s">
        <v>5871</v>
      </c>
      <c r="E1227" s="9" t="str">
        <f aca="false">IF(AND('Formation Ledger'!A1206&lt;&gt;"",'Formation Ledger'!V1206=0),"PASS","FAIL")</f>
        <v>PASS</v>
      </c>
      <c r="F1227" s="9" t="s">
        <v>76</v>
      </c>
      <c r="G1227" s="6"/>
      <c r="H1227" s="6"/>
      <c r="I1227" s="6"/>
      <c r="J1227" s="6"/>
      <c r="K1227" s="6"/>
      <c r="L1227" s="6"/>
      <c r="M1227" s="6"/>
      <c r="N1227" s="6"/>
      <c r="O1227" s="6"/>
      <c r="P1227" s="6"/>
      <c r="Q1227" s="6"/>
      <c r="R1227" s="6"/>
      <c r="S1227" s="6"/>
      <c r="T1227" s="6"/>
      <c r="U1227" s="6"/>
      <c r="V1227" s="6"/>
      <c r="W1227" s="6"/>
      <c r="X1227" s="6"/>
      <c r="Y1227" s="6"/>
      <c r="Z1227" s="6"/>
    </row>
    <row r="1228" customFormat="false" ht="15" hidden="false" customHeight="false" outlineLevel="0" collapsed="false">
      <c r="A1228" s="9" t="s">
        <v>7071</v>
      </c>
      <c r="B1228" s="9" t="s">
        <v>5870</v>
      </c>
      <c r="C1228" s="9" t="s">
        <v>1439</v>
      </c>
      <c r="D1228" s="9" t="s">
        <v>5871</v>
      </c>
      <c r="E1228" s="9" t="str">
        <f aca="false">IF(AND('Formation Ledger'!A1207&lt;&gt;"",'Formation Ledger'!V1207=0),"PASS","FAIL")</f>
        <v>PASS</v>
      </c>
      <c r="F1228" s="9" t="s">
        <v>76</v>
      </c>
      <c r="G1228" s="6"/>
      <c r="H1228" s="6"/>
      <c r="I1228" s="6"/>
      <c r="J1228" s="6"/>
      <c r="K1228" s="6"/>
      <c r="L1228" s="6"/>
      <c r="M1228" s="6"/>
      <c r="N1228" s="6"/>
      <c r="O1228" s="6"/>
      <c r="P1228" s="6"/>
      <c r="Q1228" s="6"/>
      <c r="R1228" s="6"/>
      <c r="S1228" s="6"/>
      <c r="T1228" s="6"/>
      <c r="U1228" s="6"/>
      <c r="V1228" s="6"/>
      <c r="W1228" s="6"/>
      <c r="X1228" s="6"/>
      <c r="Y1228" s="6"/>
      <c r="Z1228" s="6"/>
    </row>
    <row r="1229" customFormat="false" ht="15" hidden="false" customHeight="false" outlineLevel="0" collapsed="false">
      <c r="A1229" s="9" t="s">
        <v>7072</v>
      </c>
      <c r="B1229" s="9" t="s">
        <v>5870</v>
      </c>
      <c r="C1229" s="9" t="s">
        <v>1440</v>
      </c>
      <c r="D1229" s="9" t="s">
        <v>5871</v>
      </c>
      <c r="E1229" s="9" t="str">
        <f aca="false">IF(AND('Formation Ledger'!A1208&lt;&gt;"",'Formation Ledger'!V1208=0),"PASS","FAIL")</f>
        <v>PASS</v>
      </c>
      <c r="F1229" s="9" t="s">
        <v>76</v>
      </c>
      <c r="G1229" s="6"/>
      <c r="H1229" s="6"/>
      <c r="I1229" s="6"/>
      <c r="J1229" s="6"/>
      <c r="K1229" s="6"/>
      <c r="L1229" s="6"/>
      <c r="M1229" s="6"/>
      <c r="N1229" s="6"/>
      <c r="O1229" s="6"/>
      <c r="P1229" s="6"/>
      <c r="Q1229" s="6"/>
      <c r="R1229" s="6"/>
      <c r="S1229" s="6"/>
      <c r="T1229" s="6"/>
      <c r="U1229" s="6"/>
      <c r="V1229" s="6"/>
      <c r="W1229" s="6"/>
      <c r="X1229" s="6"/>
      <c r="Y1229" s="6"/>
      <c r="Z1229" s="6"/>
    </row>
    <row r="1230" customFormat="false" ht="15" hidden="false" customHeight="false" outlineLevel="0" collapsed="false">
      <c r="A1230" s="9" t="s">
        <v>7073</v>
      </c>
      <c r="B1230" s="9" t="s">
        <v>5870</v>
      </c>
      <c r="C1230" s="9" t="s">
        <v>1441</v>
      </c>
      <c r="D1230" s="9" t="s">
        <v>5871</v>
      </c>
      <c r="E1230" s="9" t="str">
        <f aca="false">IF(AND('Formation Ledger'!A1209&lt;&gt;"",'Formation Ledger'!V1209=0),"PASS","FAIL")</f>
        <v>PASS</v>
      </c>
      <c r="F1230" s="9" t="s">
        <v>76</v>
      </c>
      <c r="G1230" s="6"/>
      <c r="H1230" s="6"/>
      <c r="I1230" s="6"/>
      <c r="J1230" s="6"/>
      <c r="K1230" s="6"/>
      <c r="L1230" s="6"/>
      <c r="M1230" s="6"/>
      <c r="N1230" s="6"/>
      <c r="O1230" s="6"/>
      <c r="P1230" s="6"/>
      <c r="Q1230" s="6"/>
      <c r="R1230" s="6"/>
      <c r="S1230" s="6"/>
      <c r="T1230" s="6"/>
      <c r="U1230" s="6"/>
      <c r="V1230" s="6"/>
      <c r="W1230" s="6"/>
      <c r="X1230" s="6"/>
      <c r="Y1230" s="6"/>
      <c r="Z1230" s="6"/>
    </row>
    <row r="1231" customFormat="false" ht="15" hidden="false" customHeight="false" outlineLevel="0" collapsed="false">
      <c r="A1231" s="9" t="s">
        <v>7074</v>
      </c>
      <c r="B1231" s="9" t="s">
        <v>5870</v>
      </c>
      <c r="C1231" s="9" t="s">
        <v>1442</v>
      </c>
      <c r="D1231" s="9" t="s">
        <v>5871</v>
      </c>
      <c r="E1231" s="9" t="str">
        <f aca="false">IF(AND('Formation Ledger'!A1210&lt;&gt;"",'Formation Ledger'!V1210=0),"PASS","FAIL")</f>
        <v>PASS</v>
      </c>
      <c r="F1231" s="9" t="s">
        <v>76</v>
      </c>
      <c r="G1231" s="6"/>
      <c r="H1231" s="6"/>
      <c r="I1231" s="6"/>
      <c r="J1231" s="6"/>
      <c r="K1231" s="6"/>
      <c r="L1231" s="6"/>
      <c r="M1231" s="6"/>
      <c r="N1231" s="6"/>
      <c r="O1231" s="6"/>
      <c r="P1231" s="6"/>
      <c r="Q1231" s="6"/>
      <c r="R1231" s="6"/>
      <c r="S1231" s="6"/>
      <c r="T1231" s="6"/>
      <c r="U1231" s="6"/>
      <c r="V1231" s="6"/>
      <c r="W1231" s="6"/>
      <c r="X1231" s="6"/>
      <c r="Y1231" s="6"/>
      <c r="Z1231" s="6"/>
    </row>
    <row r="1232" customFormat="false" ht="15" hidden="false" customHeight="false" outlineLevel="0" collapsed="false">
      <c r="A1232" s="9" t="s">
        <v>7075</v>
      </c>
      <c r="B1232" s="9" t="s">
        <v>5870</v>
      </c>
      <c r="C1232" s="9" t="s">
        <v>1443</v>
      </c>
      <c r="D1232" s="9" t="s">
        <v>5871</v>
      </c>
      <c r="E1232" s="9" t="str">
        <f aca="false">IF(AND('Formation Ledger'!A1211&lt;&gt;"",'Formation Ledger'!V1211=0),"PASS","FAIL")</f>
        <v>PASS</v>
      </c>
      <c r="F1232" s="9" t="s">
        <v>76</v>
      </c>
      <c r="G1232" s="6"/>
      <c r="H1232" s="6"/>
      <c r="I1232" s="6"/>
      <c r="J1232" s="6"/>
      <c r="K1232" s="6"/>
      <c r="L1232" s="6"/>
      <c r="M1232" s="6"/>
      <c r="N1232" s="6"/>
      <c r="O1232" s="6"/>
      <c r="P1232" s="6"/>
      <c r="Q1232" s="6"/>
      <c r="R1232" s="6"/>
      <c r="S1232" s="6"/>
      <c r="T1232" s="6"/>
      <c r="U1232" s="6"/>
      <c r="V1232" s="6"/>
      <c r="W1232" s="6"/>
      <c r="X1232" s="6"/>
      <c r="Y1232" s="6"/>
      <c r="Z1232" s="6"/>
    </row>
    <row r="1233" customFormat="false" ht="15" hidden="false" customHeight="false" outlineLevel="0" collapsed="false">
      <c r="A1233" s="9" t="s">
        <v>7076</v>
      </c>
      <c r="B1233" s="9" t="s">
        <v>5870</v>
      </c>
      <c r="C1233" s="9" t="s">
        <v>1444</v>
      </c>
      <c r="D1233" s="9" t="s">
        <v>5871</v>
      </c>
      <c r="E1233" s="9" t="str">
        <f aca="false">IF(AND('Formation Ledger'!A1212&lt;&gt;"",'Formation Ledger'!V1212=0),"PASS","FAIL")</f>
        <v>PASS</v>
      </c>
      <c r="F1233" s="9" t="s">
        <v>76</v>
      </c>
      <c r="G1233" s="6"/>
      <c r="H1233" s="6"/>
      <c r="I1233" s="6"/>
      <c r="J1233" s="6"/>
      <c r="K1233" s="6"/>
      <c r="L1233" s="6"/>
      <c r="M1233" s="6"/>
      <c r="N1233" s="6"/>
      <c r="O1233" s="6"/>
      <c r="P1233" s="6"/>
      <c r="Q1233" s="6"/>
      <c r="R1233" s="6"/>
      <c r="S1233" s="6"/>
      <c r="T1233" s="6"/>
      <c r="U1233" s="6"/>
      <c r="V1233" s="6"/>
      <c r="W1233" s="6"/>
      <c r="X1233" s="6"/>
      <c r="Y1233" s="6"/>
      <c r="Z1233" s="6"/>
    </row>
    <row r="1234" customFormat="false" ht="15" hidden="false" customHeight="false" outlineLevel="0" collapsed="false">
      <c r="A1234" s="9" t="s">
        <v>7077</v>
      </c>
      <c r="B1234" s="9" t="s">
        <v>5870</v>
      </c>
      <c r="C1234" s="9" t="s">
        <v>1445</v>
      </c>
      <c r="D1234" s="9" t="s">
        <v>5871</v>
      </c>
      <c r="E1234" s="9" t="str">
        <f aca="false">IF(AND('Formation Ledger'!A1213&lt;&gt;"",'Formation Ledger'!V1213=0),"PASS","FAIL")</f>
        <v>PASS</v>
      </c>
      <c r="F1234" s="9" t="s">
        <v>76</v>
      </c>
      <c r="G1234" s="6"/>
      <c r="H1234" s="6"/>
      <c r="I1234" s="6"/>
      <c r="J1234" s="6"/>
      <c r="K1234" s="6"/>
      <c r="L1234" s="6"/>
      <c r="M1234" s="6"/>
      <c r="N1234" s="6"/>
      <c r="O1234" s="6"/>
      <c r="P1234" s="6"/>
      <c r="Q1234" s="6"/>
      <c r="R1234" s="6"/>
      <c r="S1234" s="6"/>
      <c r="T1234" s="6"/>
      <c r="U1234" s="6"/>
      <c r="V1234" s="6"/>
      <c r="W1234" s="6"/>
      <c r="X1234" s="6"/>
      <c r="Y1234" s="6"/>
      <c r="Z1234" s="6"/>
    </row>
    <row r="1235" customFormat="false" ht="15" hidden="false" customHeight="false" outlineLevel="0" collapsed="false">
      <c r="A1235" s="9" t="s">
        <v>7078</v>
      </c>
      <c r="B1235" s="9" t="s">
        <v>5870</v>
      </c>
      <c r="C1235" s="9" t="s">
        <v>1446</v>
      </c>
      <c r="D1235" s="9" t="s">
        <v>5871</v>
      </c>
      <c r="E1235" s="9" t="str">
        <f aca="false">IF(AND('Formation Ledger'!A1214&lt;&gt;"",'Formation Ledger'!V1214=0),"PASS","FAIL")</f>
        <v>PASS</v>
      </c>
      <c r="F1235" s="9" t="s">
        <v>76</v>
      </c>
      <c r="G1235" s="6"/>
      <c r="H1235" s="6"/>
      <c r="I1235" s="6"/>
      <c r="J1235" s="6"/>
      <c r="K1235" s="6"/>
      <c r="L1235" s="6"/>
      <c r="M1235" s="6"/>
      <c r="N1235" s="6"/>
      <c r="O1235" s="6"/>
      <c r="P1235" s="6"/>
      <c r="Q1235" s="6"/>
      <c r="R1235" s="6"/>
      <c r="S1235" s="6"/>
      <c r="T1235" s="6"/>
      <c r="U1235" s="6"/>
      <c r="V1235" s="6"/>
      <c r="W1235" s="6"/>
      <c r="X1235" s="6"/>
      <c r="Y1235" s="6"/>
      <c r="Z1235" s="6"/>
    </row>
    <row r="1236" customFormat="false" ht="15" hidden="false" customHeight="false" outlineLevel="0" collapsed="false">
      <c r="A1236" s="9" t="s">
        <v>7079</v>
      </c>
      <c r="B1236" s="9" t="s">
        <v>5870</v>
      </c>
      <c r="C1236" s="9" t="s">
        <v>1447</v>
      </c>
      <c r="D1236" s="9" t="s">
        <v>5871</v>
      </c>
      <c r="E1236" s="9" t="str">
        <f aca="false">IF(AND('Formation Ledger'!A1215&lt;&gt;"",'Formation Ledger'!V1215=0),"PASS","FAIL")</f>
        <v>PASS</v>
      </c>
      <c r="F1236" s="9" t="s">
        <v>76</v>
      </c>
      <c r="G1236" s="6"/>
      <c r="H1236" s="6"/>
      <c r="I1236" s="6"/>
      <c r="J1236" s="6"/>
      <c r="K1236" s="6"/>
      <c r="L1236" s="6"/>
      <c r="M1236" s="6"/>
      <c r="N1236" s="6"/>
      <c r="O1236" s="6"/>
      <c r="P1236" s="6"/>
      <c r="Q1236" s="6"/>
      <c r="R1236" s="6"/>
      <c r="S1236" s="6"/>
      <c r="T1236" s="6"/>
      <c r="U1236" s="6"/>
      <c r="V1236" s="6"/>
      <c r="W1236" s="6"/>
      <c r="X1236" s="6"/>
      <c r="Y1236" s="6"/>
      <c r="Z1236" s="6"/>
    </row>
    <row r="1237" customFormat="false" ht="15" hidden="false" customHeight="false" outlineLevel="0" collapsed="false">
      <c r="A1237" s="9" t="s">
        <v>7080</v>
      </c>
      <c r="B1237" s="9" t="s">
        <v>5870</v>
      </c>
      <c r="C1237" s="9" t="s">
        <v>1448</v>
      </c>
      <c r="D1237" s="9" t="s">
        <v>5871</v>
      </c>
      <c r="E1237" s="9" t="str">
        <f aca="false">IF(AND('Formation Ledger'!A1216&lt;&gt;"",'Formation Ledger'!V1216=0),"PASS","FAIL")</f>
        <v>PASS</v>
      </c>
      <c r="F1237" s="9" t="s">
        <v>76</v>
      </c>
      <c r="G1237" s="6"/>
      <c r="H1237" s="6"/>
      <c r="I1237" s="6"/>
      <c r="J1237" s="6"/>
      <c r="K1237" s="6"/>
      <c r="L1237" s="6"/>
      <c r="M1237" s="6"/>
      <c r="N1237" s="6"/>
      <c r="O1237" s="6"/>
      <c r="P1237" s="6"/>
      <c r="Q1237" s="6"/>
      <c r="R1237" s="6"/>
      <c r="S1237" s="6"/>
      <c r="T1237" s="6"/>
      <c r="U1237" s="6"/>
      <c r="V1237" s="6"/>
      <c r="W1237" s="6"/>
      <c r="X1237" s="6"/>
      <c r="Y1237" s="6"/>
      <c r="Z1237" s="6"/>
    </row>
    <row r="1238" customFormat="false" ht="15" hidden="false" customHeight="false" outlineLevel="0" collapsed="false">
      <c r="A1238" s="9" t="s">
        <v>7081</v>
      </c>
      <c r="B1238" s="9" t="s">
        <v>5870</v>
      </c>
      <c r="C1238" s="9" t="s">
        <v>1449</v>
      </c>
      <c r="D1238" s="9" t="s">
        <v>5871</v>
      </c>
      <c r="E1238" s="9" t="str">
        <f aca="false">IF(AND('Formation Ledger'!A1217&lt;&gt;"",'Formation Ledger'!V1217=0),"PASS","FAIL")</f>
        <v>PASS</v>
      </c>
      <c r="F1238" s="9" t="s">
        <v>76</v>
      </c>
      <c r="G1238" s="6"/>
      <c r="H1238" s="6"/>
      <c r="I1238" s="6"/>
      <c r="J1238" s="6"/>
      <c r="K1238" s="6"/>
      <c r="L1238" s="6"/>
      <c r="M1238" s="6"/>
      <c r="N1238" s="6"/>
      <c r="O1238" s="6"/>
      <c r="P1238" s="6"/>
      <c r="Q1238" s="6"/>
      <c r="R1238" s="6"/>
      <c r="S1238" s="6"/>
      <c r="T1238" s="6"/>
      <c r="U1238" s="6"/>
      <c r="V1238" s="6"/>
      <c r="W1238" s="6"/>
      <c r="X1238" s="6"/>
      <c r="Y1238" s="6"/>
      <c r="Z1238" s="6"/>
    </row>
    <row r="1239" customFormat="false" ht="15" hidden="false" customHeight="false" outlineLevel="0" collapsed="false">
      <c r="A1239" s="9" t="s">
        <v>7082</v>
      </c>
      <c r="B1239" s="9" t="s">
        <v>5870</v>
      </c>
      <c r="C1239" s="9" t="s">
        <v>1450</v>
      </c>
      <c r="D1239" s="9" t="s">
        <v>5871</v>
      </c>
      <c r="E1239" s="9" t="str">
        <f aca="false">IF(AND('Formation Ledger'!A1218&lt;&gt;"",'Formation Ledger'!V1218=0),"PASS","FAIL")</f>
        <v>PASS</v>
      </c>
      <c r="F1239" s="9" t="s">
        <v>76</v>
      </c>
      <c r="G1239" s="6"/>
      <c r="H1239" s="6"/>
      <c r="I1239" s="6"/>
      <c r="J1239" s="6"/>
      <c r="K1239" s="6"/>
      <c r="L1239" s="6"/>
      <c r="M1239" s="6"/>
      <c r="N1239" s="6"/>
      <c r="O1239" s="6"/>
      <c r="P1239" s="6"/>
      <c r="Q1239" s="6"/>
      <c r="R1239" s="6"/>
      <c r="S1239" s="6"/>
      <c r="T1239" s="6"/>
      <c r="U1239" s="6"/>
      <c r="V1239" s="6"/>
      <c r="W1239" s="6"/>
      <c r="X1239" s="6"/>
      <c r="Y1239" s="6"/>
      <c r="Z1239" s="6"/>
    </row>
    <row r="1240" customFormat="false" ht="15" hidden="false" customHeight="false" outlineLevel="0" collapsed="false">
      <c r="A1240" s="9" t="s">
        <v>7083</v>
      </c>
      <c r="B1240" s="9" t="s">
        <v>5870</v>
      </c>
      <c r="C1240" s="9" t="s">
        <v>1451</v>
      </c>
      <c r="D1240" s="9" t="s">
        <v>5871</v>
      </c>
      <c r="E1240" s="9" t="str">
        <f aca="false">IF(AND('Formation Ledger'!A1219&lt;&gt;"",'Formation Ledger'!V1219=0),"PASS","FAIL")</f>
        <v>PASS</v>
      </c>
      <c r="F1240" s="9" t="s">
        <v>76</v>
      </c>
      <c r="G1240" s="6"/>
      <c r="H1240" s="6"/>
      <c r="I1240" s="6"/>
      <c r="J1240" s="6"/>
      <c r="K1240" s="6"/>
      <c r="L1240" s="6"/>
      <c r="M1240" s="6"/>
      <c r="N1240" s="6"/>
      <c r="O1240" s="6"/>
      <c r="P1240" s="6"/>
      <c r="Q1240" s="6"/>
      <c r="R1240" s="6"/>
      <c r="S1240" s="6"/>
      <c r="T1240" s="6"/>
      <c r="U1240" s="6"/>
      <c r="V1240" s="6"/>
      <c r="W1240" s="6"/>
      <c r="X1240" s="6"/>
      <c r="Y1240" s="6"/>
      <c r="Z1240" s="6"/>
    </row>
    <row r="1241" customFormat="false" ht="15" hidden="false" customHeight="false" outlineLevel="0" collapsed="false">
      <c r="A1241" s="9" t="s">
        <v>7084</v>
      </c>
      <c r="B1241" s="9" t="s">
        <v>5870</v>
      </c>
      <c r="C1241" s="9" t="s">
        <v>1452</v>
      </c>
      <c r="D1241" s="9" t="s">
        <v>5871</v>
      </c>
      <c r="E1241" s="9" t="str">
        <f aca="false">IF(AND('Formation Ledger'!A1220&lt;&gt;"",'Formation Ledger'!V1220=0),"PASS","FAIL")</f>
        <v>PASS</v>
      </c>
      <c r="F1241" s="9" t="s">
        <v>76</v>
      </c>
      <c r="G1241" s="6"/>
      <c r="H1241" s="6"/>
      <c r="I1241" s="6"/>
      <c r="J1241" s="6"/>
      <c r="K1241" s="6"/>
      <c r="L1241" s="6"/>
      <c r="M1241" s="6"/>
      <c r="N1241" s="6"/>
      <c r="O1241" s="6"/>
      <c r="P1241" s="6"/>
      <c r="Q1241" s="6"/>
      <c r="R1241" s="6"/>
      <c r="S1241" s="6"/>
      <c r="T1241" s="6"/>
      <c r="U1241" s="6"/>
      <c r="V1241" s="6"/>
      <c r="W1241" s="6"/>
      <c r="X1241" s="6"/>
      <c r="Y1241" s="6"/>
      <c r="Z1241" s="6"/>
    </row>
    <row r="1242" customFormat="false" ht="15" hidden="false" customHeight="false" outlineLevel="0" collapsed="false">
      <c r="A1242" s="9" t="s">
        <v>7085</v>
      </c>
      <c r="B1242" s="9" t="s">
        <v>5870</v>
      </c>
      <c r="C1242" s="9" t="s">
        <v>1453</v>
      </c>
      <c r="D1242" s="9" t="s">
        <v>5871</v>
      </c>
      <c r="E1242" s="9" t="str">
        <f aca="false">IF(AND('Formation Ledger'!A1221&lt;&gt;"",'Formation Ledger'!V1221=0),"PASS","FAIL")</f>
        <v>PASS</v>
      </c>
      <c r="F1242" s="9" t="s">
        <v>76</v>
      </c>
      <c r="G1242" s="6"/>
      <c r="H1242" s="6"/>
      <c r="I1242" s="6"/>
      <c r="J1242" s="6"/>
      <c r="K1242" s="6"/>
      <c r="L1242" s="6"/>
      <c r="M1242" s="6"/>
      <c r="N1242" s="6"/>
      <c r="O1242" s="6"/>
      <c r="P1242" s="6"/>
      <c r="Q1242" s="6"/>
      <c r="R1242" s="6"/>
      <c r="S1242" s="6"/>
      <c r="T1242" s="6"/>
      <c r="U1242" s="6"/>
      <c r="V1242" s="6"/>
      <c r="W1242" s="6"/>
      <c r="X1242" s="6"/>
      <c r="Y1242" s="6"/>
      <c r="Z1242" s="6"/>
    </row>
    <row r="1243" customFormat="false" ht="15" hidden="false" customHeight="false" outlineLevel="0" collapsed="false">
      <c r="A1243" s="9" t="s">
        <v>7086</v>
      </c>
      <c r="B1243" s="9" t="s">
        <v>5870</v>
      </c>
      <c r="C1243" s="9" t="s">
        <v>1454</v>
      </c>
      <c r="D1243" s="9" t="s">
        <v>5871</v>
      </c>
      <c r="E1243" s="9" t="str">
        <f aca="false">IF(AND('Formation Ledger'!A1222&lt;&gt;"",'Formation Ledger'!V1222=0),"PASS","FAIL")</f>
        <v>PASS</v>
      </c>
      <c r="F1243" s="9" t="s">
        <v>76</v>
      </c>
      <c r="G1243" s="6"/>
      <c r="H1243" s="6"/>
      <c r="I1243" s="6"/>
      <c r="J1243" s="6"/>
      <c r="K1243" s="6"/>
      <c r="L1243" s="6"/>
      <c r="M1243" s="6"/>
      <c r="N1243" s="6"/>
      <c r="O1243" s="6"/>
      <c r="P1243" s="6"/>
      <c r="Q1243" s="6"/>
      <c r="R1243" s="6"/>
      <c r="S1243" s="6"/>
      <c r="T1243" s="6"/>
      <c r="U1243" s="6"/>
      <c r="V1243" s="6"/>
      <c r="W1243" s="6"/>
      <c r="X1243" s="6"/>
      <c r="Y1243" s="6"/>
      <c r="Z1243" s="6"/>
    </row>
    <row r="1244" customFormat="false" ht="15" hidden="false" customHeight="false" outlineLevel="0" collapsed="false">
      <c r="A1244" s="9" t="s">
        <v>7087</v>
      </c>
      <c r="B1244" s="9" t="s">
        <v>5870</v>
      </c>
      <c r="C1244" s="9" t="s">
        <v>1455</v>
      </c>
      <c r="D1244" s="9" t="s">
        <v>5871</v>
      </c>
      <c r="E1244" s="9" t="str">
        <f aca="false">IF(AND('Formation Ledger'!A1223&lt;&gt;"",'Formation Ledger'!V1223=0),"PASS","FAIL")</f>
        <v>PASS</v>
      </c>
      <c r="F1244" s="9" t="s">
        <v>76</v>
      </c>
      <c r="G1244" s="6"/>
      <c r="H1244" s="6"/>
      <c r="I1244" s="6"/>
      <c r="J1244" s="6"/>
      <c r="K1244" s="6"/>
      <c r="L1244" s="6"/>
      <c r="M1244" s="6"/>
      <c r="N1244" s="6"/>
      <c r="O1244" s="6"/>
      <c r="P1244" s="6"/>
      <c r="Q1244" s="6"/>
      <c r="R1244" s="6"/>
      <c r="S1244" s="6"/>
      <c r="T1244" s="6"/>
      <c r="U1244" s="6"/>
      <c r="V1244" s="6"/>
      <c r="W1244" s="6"/>
      <c r="X1244" s="6"/>
      <c r="Y1244" s="6"/>
      <c r="Z1244" s="6"/>
    </row>
    <row r="1245" customFormat="false" ht="15" hidden="false" customHeight="false" outlineLevel="0" collapsed="false">
      <c r="A1245" s="9" t="s">
        <v>7088</v>
      </c>
      <c r="B1245" s="9" t="s">
        <v>5870</v>
      </c>
      <c r="C1245" s="9" t="s">
        <v>1456</v>
      </c>
      <c r="D1245" s="9" t="s">
        <v>5871</v>
      </c>
      <c r="E1245" s="9" t="str">
        <f aca="false">IF(AND('Formation Ledger'!A1224&lt;&gt;"",'Formation Ledger'!V1224=0),"PASS","FAIL")</f>
        <v>PASS</v>
      </c>
      <c r="F1245" s="9" t="s">
        <v>76</v>
      </c>
      <c r="G1245" s="6"/>
      <c r="H1245" s="6"/>
      <c r="I1245" s="6"/>
      <c r="J1245" s="6"/>
      <c r="K1245" s="6"/>
      <c r="L1245" s="6"/>
      <c r="M1245" s="6"/>
      <c r="N1245" s="6"/>
      <c r="O1245" s="6"/>
      <c r="P1245" s="6"/>
      <c r="Q1245" s="6"/>
      <c r="R1245" s="6"/>
      <c r="S1245" s="6"/>
      <c r="T1245" s="6"/>
      <c r="U1245" s="6"/>
      <c r="V1245" s="6"/>
      <c r="W1245" s="6"/>
      <c r="X1245" s="6"/>
      <c r="Y1245" s="6"/>
      <c r="Z1245" s="6"/>
    </row>
    <row r="1246" customFormat="false" ht="15" hidden="false" customHeight="false" outlineLevel="0" collapsed="false">
      <c r="A1246" s="9" t="s">
        <v>7089</v>
      </c>
      <c r="B1246" s="9" t="s">
        <v>5870</v>
      </c>
      <c r="C1246" s="9" t="s">
        <v>1457</v>
      </c>
      <c r="D1246" s="9" t="s">
        <v>5871</v>
      </c>
      <c r="E1246" s="9" t="str">
        <f aca="false">IF(AND('Formation Ledger'!A1225&lt;&gt;"",'Formation Ledger'!V1225=0),"PASS","FAIL")</f>
        <v>PASS</v>
      </c>
      <c r="F1246" s="9" t="s">
        <v>76</v>
      </c>
      <c r="G1246" s="6"/>
      <c r="H1246" s="6"/>
      <c r="I1246" s="6"/>
      <c r="J1246" s="6"/>
      <c r="K1246" s="6"/>
      <c r="L1246" s="6"/>
      <c r="M1246" s="6"/>
      <c r="N1246" s="6"/>
      <c r="O1246" s="6"/>
      <c r="P1246" s="6"/>
      <c r="Q1246" s="6"/>
      <c r="R1246" s="6"/>
      <c r="S1246" s="6"/>
      <c r="T1246" s="6"/>
      <c r="U1246" s="6"/>
      <c r="V1246" s="6"/>
      <c r="W1246" s="6"/>
      <c r="X1246" s="6"/>
      <c r="Y1246" s="6"/>
      <c r="Z1246" s="6"/>
    </row>
    <row r="1247" customFormat="false" ht="15" hidden="false" customHeight="false" outlineLevel="0" collapsed="false">
      <c r="A1247" s="9" t="s">
        <v>7090</v>
      </c>
      <c r="B1247" s="9" t="s">
        <v>5870</v>
      </c>
      <c r="C1247" s="9" t="s">
        <v>1458</v>
      </c>
      <c r="D1247" s="9" t="s">
        <v>5871</v>
      </c>
      <c r="E1247" s="9" t="str">
        <f aca="false">IF(AND('Formation Ledger'!A1226&lt;&gt;"",'Formation Ledger'!V1226=0),"PASS","FAIL")</f>
        <v>PASS</v>
      </c>
      <c r="F1247" s="9" t="s">
        <v>76</v>
      </c>
      <c r="G1247" s="6"/>
      <c r="H1247" s="6"/>
      <c r="I1247" s="6"/>
      <c r="J1247" s="6"/>
      <c r="K1247" s="6"/>
      <c r="L1247" s="6"/>
      <c r="M1247" s="6"/>
      <c r="N1247" s="6"/>
      <c r="O1247" s="6"/>
      <c r="P1247" s="6"/>
      <c r="Q1247" s="6"/>
      <c r="R1247" s="6"/>
      <c r="S1247" s="6"/>
      <c r="T1247" s="6"/>
      <c r="U1247" s="6"/>
      <c r="V1247" s="6"/>
      <c r="W1247" s="6"/>
      <c r="X1247" s="6"/>
      <c r="Y1247" s="6"/>
      <c r="Z1247" s="6"/>
    </row>
    <row r="1248" customFormat="false" ht="15" hidden="false" customHeight="false" outlineLevel="0" collapsed="false">
      <c r="A1248" s="9" t="s">
        <v>7091</v>
      </c>
      <c r="B1248" s="9" t="s">
        <v>5870</v>
      </c>
      <c r="C1248" s="9" t="s">
        <v>1459</v>
      </c>
      <c r="D1248" s="9" t="s">
        <v>5871</v>
      </c>
      <c r="E1248" s="9" t="str">
        <f aca="false">IF(AND('Formation Ledger'!A1227&lt;&gt;"",'Formation Ledger'!V1227=0),"PASS","FAIL")</f>
        <v>PASS</v>
      </c>
      <c r="F1248" s="9" t="s">
        <v>76</v>
      </c>
      <c r="G1248" s="6"/>
      <c r="H1248" s="6"/>
      <c r="I1248" s="6"/>
      <c r="J1248" s="6"/>
      <c r="K1248" s="6"/>
      <c r="L1248" s="6"/>
      <c r="M1248" s="6"/>
      <c r="N1248" s="6"/>
      <c r="O1248" s="6"/>
      <c r="P1248" s="6"/>
      <c r="Q1248" s="6"/>
      <c r="R1248" s="6"/>
      <c r="S1248" s="6"/>
      <c r="T1248" s="6"/>
      <c r="U1248" s="6"/>
      <c r="V1248" s="6"/>
      <c r="W1248" s="6"/>
      <c r="X1248" s="6"/>
      <c r="Y1248" s="6"/>
      <c r="Z1248" s="6"/>
    </row>
    <row r="1249" customFormat="false" ht="15" hidden="false" customHeight="false" outlineLevel="0" collapsed="false">
      <c r="A1249" s="9" t="s">
        <v>7092</v>
      </c>
      <c r="B1249" s="9" t="s">
        <v>5870</v>
      </c>
      <c r="C1249" s="9" t="s">
        <v>1460</v>
      </c>
      <c r="D1249" s="9" t="s">
        <v>5871</v>
      </c>
      <c r="E1249" s="9" t="str">
        <f aca="false">IF(AND('Formation Ledger'!A1228&lt;&gt;"",'Formation Ledger'!V1228=0),"PASS","FAIL")</f>
        <v>PASS</v>
      </c>
      <c r="F1249" s="9" t="s">
        <v>76</v>
      </c>
      <c r="G1249" s="6"/>
      <c r="H1249" s="6"/>
      <c r="I1249" s="6"/>
      <c r="J1249" s="6"/>
      <c r="K1249" s="6"/>
      <c r="L1249" s="6"/>
      <c r="M1249" s="6"/>
      <c r="N1249" s="6"/>
      <c r="O1249" s="6"/>
      <c r="P1249" s="6"/>
      <c r="Q1249" s="6"/>
      <c r="R1249" s="6"/>
      <c r="S1249" s="6"/>
      <c r="T1249" s="6"/>
      <c r="U1249" s="6"/>
      <c r="V1249" s="6"/>
      <c r="W1249" s="6"/>
      <c r="X1249" s="6"/>
      <c r="Y1249" s="6"/>
      <c r="Z1249" s="6"/>
    </row>
    <row r="1250" customFormat="false" ht="15" hidden="false" customHeight="false" outlineLevel="0" collapsed="false">
      <c r="A1250" s="9" t="s">
        <v>7093</v>
      </c>
      <c r="B1250" s="9" t="s">
        <v>5870</v>
      </c>
      <c r="C1250" s="9" t="s">
        <v>1461</v>
      </c>
      <c r="D1250" s="9" t="s">
        <v>5871</v>
      </c>
      <c r="E1250" s="9" t="str">
        <f aca="false">IF(AND('Formation Ledger'!A1229&lt;&gt;"",'Formation Ledger'!V1229=0),"PASS","FAIL")</f>
        <v>PASS</v>
      </c>
      <c r="F1250" s="9" t="s">
        <v>76</v>
      </c>
      <c r="G1250" s="6"/>
      <c r="H1250" s="6"/>
      <c r="I1250" s="6"/>
      <c r="J1250" s="6"/>
      <c r="K1250" s="6"/>
      <c r="L1250" s="6"/>
      <c r="M1250" s="6"/>
      <c r="N1250" s="6"/>
      <c r="O1250" s="6"/>
      <c r="P1250" s="6"/>
      <c r="Q1250" s="6"/>
      <c r="R1250" s="6"/>
      <c r="S1250" s="6"/>
      <c r="T1250" s="6"/>
      <c r="U1250" s="6"/>
      <c r="V1250" s="6"/>
      <c r="W1250" s="6"/>
      <c r="X1250" s="6"/>
      <c r="Y1250" s="6"/>
      <c r="Z1250" s="6"/>
    </row>
    <row r="1251" customFormat="false" ht="15" hidden="false" customHeight="false" outlineLevel="0" collapsed="false">
      <c r="A1251" s="9" t="s">
        <v>7094</v>
      </c>
      <c r="B1251" s="9" t="s">
        <v>5870</v>
      </c>
      <c r="C1251" s="9" t="s">
        <v>1462</v>
      </c>
      <c r="D1251" s="9" t="s">
        <v>5871</v>
      </c>
      <c r="E1251" s="9" t="str">
        <f aca="false">IF(AND('Formation Ledger'!A1230&lt;&gt;"",'Formation Ledger'!V1230=0),"PASS","FAIL")</f>
        <v>PASS</v>
      </c>
      <c r="F1251" s="9" t="s">
        <v>76</v>
      </c>
      <c r="G1251" s="6"/>
      <c r="H1251" s="6"/>
      <c r="I1251" s="6"/>
      <c r="J1251" s="6"/>
      <c r="K1251" s="6"/>
      <c r="L1251" s="6"/>
      <c r="M1251" s="6"/>
      <c r="N1251" s="6"/>
      <c r="O1251" s="6"/>
      <c r="P1251" s="6"/>
      <c r="Q1251" s="6"/>
      <c r="R1251" s="6"/>
      <c r="S1251" s="6"/>
      <c r="T1251" s="6"/>
      <c r="U1251" s="6"/>
      <c r="V1251" s="6"/>
      <c r="W1251" s="6"/>
      <c r="X1251" s="6"/>
      <c r="Y1251" s="6"/>
      <c r="Z1251" s="6"/>
    </row>
    <row r="1252" customFormat="false" ht="15" hidden="false" customHeight="false" outlineLevel="0" collapsed="false">
      <c r="A1252" s="9" t="s">
        <v>7095</v>
      </c>
      <c r="B1252" s="9" t="s">
        <v>5870</v>
      </c>
      <c r="C1252" s="9" t="s">
        <v>1463</v>
      </c>
      <c r="D1252" s="9" t="s">
        <v>5871</v>
      </c>
      <c r="E1252" s="9" t="str">
        <f aca="false">IF(AND('Formation Ledger'!A1231&lt;&gt;"",'Formation Ledger'!V1231=0),"PASS","FAIL")</f>
        <v>PASS</v>
      </c>
      <c r="F1252" s="9" t="s">
        <v>76</v>
      </c>
      <c r="G1252" s="6"/>
      <c r="H1252" s="6"/>
      <c r="I1252" s="6"/>
      <c r="J1252" s="6"/>
      <c r="K1252" s="6"/>
      <c r="L1252" s="6"/>
      <c r="M1252" s="6"/>
      <c r="N1252" s="6"/>
      <c r="O1252" s="6"/>
      <c r="P1252" s="6"/>
      <c r="Q1252" s="6"/>
      <c r="R1252" s="6"/>
      <c r="S1252" s="6"/>
      <c r="T1252" s="6"/>
      <c r="U1252" s="6"/>
      <c r="V1252" s="6"/>
      <c r="W1252" s="6"/>
      <c r="X1252" s="6"/>
      <c r="Y1252" s="6"/>
      <c r="Z1252" s="6"/>
    </row>
    <row r="1253" customFormat="false" ht="15" hidden="false" customHeight="false" outlineLevel="0" collapsed="false">
      <c r="A1253" s="9" t="s">
        <v>7096</v>
      </c>
      <c r="B1253" s="9" t="s">
        <v>5870</v>
      </c>
      <c r="C1253" s="9" t="s">
        <v>1464</v>
      </c>
      <c r="D1253" s="9" t="s">
        <v>5871</v>
      </c>
      <c r="E1253" s="9" t="str">
        <f aca="false">IF(AND('Formation Ledger'!A1232&lt;&gt;"",'Formation Ledger'!V1232=0),"PASS","FAIL")</f>
        <v>PASS</v>
      </c>
      <c r="F1253" s="9" t="s">
        <v>76</v>
      </c>
      <c r="G1253" s="6"/>
      <c r="H1253" s="6"/>
      <c r="I1253" s="6"/>
      <c r="J1253" s="6"/>
      <c r="K1253" s="6"/>
      <c r="L1253" s="6"/>
      <c r="M1253" s="6"/>
      <c r="N1253" s="6"/>
      <c r="O1253" s="6"/>
      <c r="P1253" s="6"/>
      <c r="Q1253" s="6"/>
      <c r="R1253" s="6"/>
      <c r="S1253" s="6"/>
      <c r="T1253" s="6"/>
      <c r="U1253" s="6"/>
      <c r="V1253" s="6"/>
      <c r="W1253" s="6"/>
      <c r="X1253" s="6"/>
      <c r="Y1253" s="6"/>
      <c r="Z1253" s="6"/>
    </row>
    <row r="1254" customFormat="false" ht="15" hidden="false" customHeight="false" outlineLevel="0" collapsed="false">
      <c r="A1254" s="9" t="s">
        <v>7097</v>
      </c>
      <c r="B1254" s="9" t="s">
        <v>5870</v>
      </c>
      <c r="C1254" s="9" t="s">
        <v>1465</v>
      </c>
      <c r="D1254" s="9" t="s">
        <v>5871</v>
      </c>
      <c r="E1254" s="9" t="str">
        <f aca="false">IF(AND('Formation Ledger'!A1233&lt;&gt;"",'Formation Ledger'!V1233=0),"PASS","FAIL")</f>
        <v>PASS</v>
      </c>
      <c r="F1254" s="9" t="s">
        <v>76</v>
      </c>
      <c r="G1254" s="6"/>
      <c r="H1254" s="6"/>
      <c r="I1254" s="6"/>
      <c r="J1254" s="6"/>
      <c r="K1254" s="6"/>
      <c r="L1254" s="6"/>
      <c r="M1254" s="6"/>
      <c r="N1254" s="6"/>
      <c r="O1254" s="6"/>
      <c r="P1254" s="6"/>
      <c r="Q1254" s="6"/>
      <c r="R1254" s="6"/>
      <c r="S1254" s="6"/>
      <c r="T1254" s="6"/>
      <c r="U1254" s="6"/>
      <c r="V1254" s="6"/>
      <c r="W1254" s="6"/>
      <c r="X1254" s="6"/>
      <c r="Y1254" s="6"/>
      <c r="Z1254" s="6"/>
    </row>
    <row r="1255" customFormat="false" ht="15" hidden="false" customHeight="false" outlineLevel="0" collapsed="false">
      <c r="A1255" s="9" t="s">
        <v>7098</v>
      </c>
      <c r="B1255" s="9" t="s">
        <v>5870</v>
      </c>
      <c r="C1255" s="9" t="s">
        <v>1466</v>
      </c>
      <c r="D1255" s="9" t="s">
        <v>5871</v>
      </c>
      <c r="E1255" s="9" t="str">
        <f aca="false">IF(AND('Formation Ledger'!A1234&lt;&gt;"",'Formation Ledger'!V1234=0),"PASS","FAIL")</f>
        <v>PASS</v>
      </c>
      <c r="F1255" s="9" t="s">
        <v>76</v>
      </c>
      <c r="G1255" s="6"/>
      <c r="H1255" s="6"/>
      <c r="I1255" s="6"/>
      <c r="J1255" s="6"/>
      <c r="K1255" s="6"/>
      <c r="L1255" s="6"/>
      <c r="M1255" s="6"/>
      <c r="N1255" s="6"/>
      <c r="O1255" s="6"/>
      <c r="P1255" s="6"/>
      <c r="Q1255" s="6"/>
      <c r="R1255" s="6"/>
      <c r="S1255" s="6"/>
      <c r="T1255" s="6"/>
      <c r="U1255" s="6"/>
      <c r="V1255" s="6"/>
      <c r="W1255" s="6"/>
      <c r="X1255" s="6"/>
      <c r="Y1255" s="6"/>
      <c r="Z1255" s="6"/>
    </row>
    <row r="1256" customFormat="false" ht="15" hidden="false" customHeight="false" outlineLevel="0" collapsed="false">
      <c r="A1256" s="9" t="s">
        <v>7099</v>
      </c>
      <c r="B1256" s="9" t="s">
        <v>5870</v>
      </c>
      <c r="C1256" s="9" t="s">
        <v>1467</v>
      </c>
      <c r="D1256" s="9" t="s">
        <v>5871</v>
      </c>
      <c r="E1256" s="9" t="str">
        <f aca="false">IF(AND('Formation Ledger'!A1235&lt;&gt;"",'Formation Ledger'!V1235=0),"PASS","FAIL")</f>
        <v>PASS</v>
      </c>
      <c r="F1256" s="9" t="s">
        <v>76</v>
      </c>
      <c r="G1256" s="6"/>
      <c r="H1256" s="6"/>
      <c r="I1256" s="6"/>
      <c r="J1256" s="6"/>
      <c r="K1256" s="6"/>
      <c r="L1256" s="6"/>
      <c r="M1256" s="6"/>
      <c r="N1256" s="6"/>
      <c r="O1256" s="6"/>
      <c r="P1256" s="6"/>
      <c r="Q1256" s="6"/>
      <c r="R1256" s="6"/>
      <c r="S1256" s="6"/>
      <c r="T1256" s="6"/>
      <c r="U1256" s="6"/>
      <c r="V1256" s="6"/>
      <c r="W1256" s="6"/>
      <c r="X1256" s="6"/>
      <c r="Y1256" s="6"/>
      <c r="Z1256" s="6"/>
    </row>
    <row r="1257" customFormat="false" ht="15" hidden="false" customHeight="false" outlineLevel="0" collapsed="false">
      <c r="A1257" s="9" t="s">
        <v>7100</v>
      </c>
      <c r="B1257" s="9" t="s">
        <v>5870</v>
      </c>
      <c r="C1257" s="9" t="s">
        <v>1468</v>
      </c>
      <c r="D1257" s="9" t="s">
        <v>5871</v>
      </c>
      <c r="E1257" s="9" t="str">
        <f aca="false">IF(AND('Formation Ledger'!A1236&lt;&gt;"",'Formation Ledger'!V1236=0),"PASS","FAIL")</f>
        <v>PASS</v>
      </c>
      <c r="F1257" s="9" t="s">
        <v>76</v>
      </c>
      <c r="G1257" s="6"/>
      <c r="H1257" s="6"/>
      <c r="I1257" s="6"/>
      <c r="J1257" s="6"/>
      <c r="K1257" s="6"/>
      <c r="L1257" s="6"/>
      <c r="M1257" s="6"/>
      <c r="N1257" s="6"/>
      <c r="O1257" s="6"/>
      <c r="P1257" s="6"/>
      <c r="Q1257" s="6"/>
      <c r="R1257" s="6"/>
      <c r="S1257" s="6"/>
      <c r="T1257" s="6"/>
      <c r="U1257" s="6"/>
      <c r="V1257" s="6"/>
      <c r="W1257" s="6"/>
      <c r="X1257" s="6"/>
      <c r="Y1257" s="6"/>
      <c r="Z1257" s="6"/>
    </row>
    <row r="1258" customFormat="false" ht="15" hidden="false" customHeight="false" outlineLevel="0" collapsed="false">
      <c r="A1258" s="9" t="s">
        <v>7101</v>
      </c>
      <c r="B1258" s="9" t="s">
        <v>5870</v>
      </c>
      <c r="C1258" s="9" t="s">
        <v>1469</v>
      </c>
      <c r="D1258" s="9" t="s">
        <v>5871</v>
      </c>
      <c r="E1258" s="9" t="str">
        <f aca="false">IF(AND('Formation Ledger'!A1237&lt;&gt;"",'Formation Ledger'!V1237=0),"PASS","FAIL")</f>
        <v>PASS</v>
      </c>
      <c r="F1258" s="9" t="s">
        <v>76</v>
      </c>
      <c r="G1258" s="6"/>
      <c r="H1258" s="6"/>
      <c r="I1258" s="6"/>
      <c r="J1258" s="6"/>
      <c r="K1258" s="6"/>
      <c r="L1258" s="6"/>
      <c r="M1258" s="6"/>
      <c r="N1258" s="6"/>
      <c r="O1258" s="6"/>
      <c r="P1258" s="6"/>
      <c r="Q1258" s="6"/>
      <c r="R1258" s="6"/>
      <c r="S1258" s="6"/>
      <c r="T1258" s="6"/>
      <c r="U1258" s="6"/>
      <c r="V1258" s="6"/>
      <c r="W1258" s="6"/>
      <c r="X1258" s="6"/>
      <c r="Y1258" s="6"/>
      <c r="Z1258" s="6"/>
    </row>
    <row r="1259" customFormat="false" ht="15" hidden="false" customHeight="false" outlineLevel="0" collapsed="false">
      <c r="A1259" s="9" t="s">
        <v>7102</v>
      </c>
      <c r="B1259" s="9" t="s">
        <v>5870</v>
      </c>
      <c r="C1259" s="9" t="s">
        <v>1470</v>
      </c>
      <c r="D1259" s="9" t="s">
        <v>5871</v>
      </c>
      <c r="E1259" s="9" t="str">
        <f aca="false">IF(AND('Formation Ledger'!A1238&lt;&gt;"",'Formation Ledger'!V1238=0),"PASS","FAIL")</f>
        <v>PASS</v>
      </c>
      <c r="F1259" s="9" t="s">
        <v>76</v>
      </c>
      <c r="G1259" s="6"/>
      <c r="H1259" s="6"/>
      <c r="I1259" s="6"/>
      <c r="J1259" s="6"/>
      <c r="K1259" s="6"/>
      <c r="L1259" s="6"/>
      <c r="M1259" s="6"/>
      <c r="N1259" s="6"/>
      <c r="O1259" s="6"/>
      <c r="P1259" s="6"/>
      <c r="Q1259" s="6"/>
      <c r="R1259" s="6"/>
      <c r="S1259" s="6"/>
      <c r="T1259" s="6"/>
      <c r="U1259" s="6"/>
      <c r="V1259" s="6"/>
      <c r="W1259" s="6"/>
      <c r="X1259" s="6"/>
      <c r="Y1259" s="6"/>
      <c r="Z1259" s="6"/>
    </row>
    <row r="1260" customFormat="false" ht="15" hidden="false" customHeight="false" outlineLevel="0" collapsed="false">
      <c r="A1260" s="9" t="s">
        <v>7103</v>
      </c>
      <c r="B1260" s="9" t="s">
        <v>5870</v>
      </c>
      <c r="C1260" s="9" t="s">
        <v>1471</v>
      </c>
      <c r="D1260" s="9" t="s">
        <v>5871</v>
      </c>
      <c r="E1260" s="9" t="str">
        <f aca="false">IF(AND('Formation Ledger'!A1239&lt;&gt;"",'Formation Ledger'!V1239=0),"PASS","FAIL")</f>
        <v>PASS</v>
      </c>
      <c r="F1260" s="9" t="s">
        <v>76</v>
      </c>
      <c r="G1260" s="6"/>
      <c r="H1260" s="6"/>
      <c r="I1260" s="6"/>
      <c r="J1260" s="6"/>
      <c r="K1260" s="6"/>
      <c r="L1260" s="6"/>
      <c r="M1260" s="6"/>
      <c r="N1260" s="6"/>
      <c r="O1260" s="6"/>
      <c r="P1260" s="6"/>
      <c r="Q1260" s="6"/>
      <c r="R1260" s="6"/>
      <c r="S1260" s="6"/>
      <c r="T1260" s="6"/>
      <c r="U1260" s="6"/>
      <c r="V1260" s="6"/>
      <c r="W1260" s="6"/>
      <c r="X1260" s="6"/>
      <c r="Y1260" s="6"/>
      <c r="Z1260" s="6"/>
    </row>
    <row r="1261" customFormat="false" ht="15" hidden="false" customHeight="false" outlineLevel="0" collapsed="false">
      <c r="A1261" s="9" t="s">
        <v>7104</v>
      </c>
      <c r="B1261" s="9" t="s">
        <v>5870</v>
      </c>
      <c r="C1261" s="9" t="s">
        <v>1472</v>
      </c>
      <c r="D1261" s="9" t="s">
        <v>5871</v>
      </c>
      <c r="E1261" s="9" t="str">
        <f aca="false">IF(AND('Formation Ledger'!A1240&lt;&gt;"",'Formation Ledger'!V1240=0),"PASS","FAIL")</f>
        <v>PASS</v>
      </c>
      <c r="F1261" s="9" t="s">
        <v>76</v>
      </c>
      <c r="G1261" s="6"/>
      <c r="H1261" s="6"/>
      <c r="I1261" s="6"/>
      <c r="J1261" s="6"/>
      <c r="K1261" s="6"/>
      <c r="L1261" s="6"/>
      <c r="M1261" s="6"/>
      <c r="N1261" s="6"/>
      <c r="O1261" s="6"/>
      <c r="P1261" s="6"/>
      <c r="Q1261" s="6"/>
      <c r="R1261" s="6"/>
      <c r="S1261" s="6"/>
      <c r="T1261" s="6"/>
      <c r="U1261" s="6"/>
      <c r="V1261" s="6"/>
      <c r="W1261" s="6"/>
      <c r="X1261" s="6"/>
      <c r="Y1261" s="6"/>
      <c r="Z1261" s="6"/>
    </row>
    <row r="1262" customFormat="false" ht="15" hidden="false" customHeight="false" outlineLevel="0" collapsed="false">
      <c r="A1262" s="9" t="s">
        <v>7105</v>
      </c>
      <c r="B1262" s="9" t="s">
        <v>5870</v>
      </c>
      <c r="C1262" s="9" t="s">
        <v>1473</v>
      </c>
      <c r="D1262" s="9" t="s">
        <v>5871</v>
      </c>
      <c r="E1262" s="9" t="str">
        <f aca="false">IF(AND('Formation Ledger'!A1241&lt;&gt;"",'Formation Ledger'!V1241=0),"PASS","FAIL")</f>
        <v>PASS</v>
      </c>
      <c r="F1262" s="9" t="s">
        <v>76</v>
      </c>
      <c r="G1262" s="6"/>
      <c r="H1262" s="6"/>
      <c r="I1262" s="6"/>
      <c r="J1262" s="6"/>
      <c r="K1262" s="6"/>
      <c r="L1262" s="6"/>
      <c r="M1262" s="6"/>
      <c r="N1262" s="6"/>
      <c r="O1262" s="6"/>
      <c r="P1262" s="6"/>
      <c r="Q1262" s="6"/>
      <c r="R1262" s="6"/>
      <c r="S1262" s="6"/>
      <c r="T1262" s="6"/>
      <c r="U1262" s="6"/>
      <c r="V1262" s="6"/>
      <c r="W1262" s="6"/>
      <c r="X1262" s="6"/>
      <c r="Y1262" s="6"/>
      <c r="Z1262" s="6"/>
    </row>
    <row r="1263" customFormat="false" ht="15" hidden="false" customHeight="false" outlineLevel="0" collapsed="false">
      <c r="A1263" s="9" t="s">
        <v>7106</v>
      </c>
      <c r="B1263" s="9" t="s">
        <v>5870</v>
      </c>
      <c r="C1263" s="9" t="s">
        <v>1474</v>
      </c>
      <c r="D1263" s="9" t="s">
        <v>5871</v>
      </c>
      <c r="E1263" s="9" t="str">
        <f aca="false">IF(AND('Formation Ledger'!A1242&lt;&gt;"",'Formation Ledger'!V1242=0),"PASS","FAIL")</f>
        <v>PASS</v>
      </c>
      <c r="F1263" s="9" t="s">
        <v>76</v>
      </c>
      <c r="G1263" s="6"/>
      <c r="H1263" s="6"/>
      <c r="I1263" s="6"/>
      <c r="J1263" s="6"/>
      <c r="K1263" s="6"/>
      <c r="L1263" s="6"/>
      <c r="M1263" s="6"/>
      <c r="N1263" s="6"/>
      <c r="O1263" s="6"/>
      <c r="P1263" s="6"/>
      <c r="Q1263" s="6"/>
      <c r="R1263" s="6"/>
      <c r="S1263" s="6"/>
      <c r="T1263" s="6"/>
      <c r="U1263" s="6"/>
      <c r="V1263" s="6"/>
      <c r="W1263" s="6"/>
      <c r="X1263" s="6"/>
      <c r="Y1263" s="6"/>
      <c r="Z1263" s="6"/>
    </row>
    <row r="1264" customFormat="false" ht="15" hidden="false" customHeight="false" outlineLevel="0" collapsed="false">
      <c r="A1264" s="9" t="s">
        <v>7107</v>
      </c>
      <c r="B1264" s="9" t="s">
        <v>5870</v>
      </c>
      <c r="C1264" s="9" t="s">
        <v>1475</v>
      </c>
      <c r="D1264" s="9" t="s">
        <v>5871</v>
      </c>
      <c r="E1264" s="9" t="str">
        <f aca="false">IF(AND('Formation Ledger'!A1243&lt;&gt;"",'Formation Ledger'!V1243=0),"PASS","FAIL")</f>
        <v>PASS</v>
      </c>
      <c r="F1264" s="9" t="s">
        <v>76</v>
      </c>
      <c r="G1264" s="6"/>
      <c r="H1264" s="6"/>
      <c r="I1264" s="6"/>
      <c r="J1264" s="6"/>
      <c r="K1264" s="6"/>
      <c r="L1264" s="6"/>
      <c r="M1264" s="6"/>
      <c r="N1264" s="6"/>
      <c r="O1264" s="6"/>
      <c r="P1264" s="6"/>
      <c r="Q1264" s="6"/>
      <c r="R1264" s="6"/>
      <c r="S1264" s="6"/>
      <c r="T1264" s="6"/>
      <c r="U1264" s="6"/>
      <c r="V1264" s="6"/>
      <c r="W1264" s="6"/>
      <c r="X1264" s="6"/>
      <c r="Y1264" s="6"/>
      <c r="Z1264" s="6"/>
    </row>
    <row r="1265" customFormat="false" ht="15" hidden="false" customHeight="false" outlineLevel="0" collapsed="false">
      <c r="A1265" s="9" t="s">
        <v>7108</v>
      </c>
      <c r="B1265" s="9" t="s">
        <v>5870</v>
      </c>
      <c r="C1265" s="9" t="s">
        <v>1476</v>
      </c>
      <c r="D1265" s="9" t="s">
        <v>5871</v>
      </c>
      <c r="E1265" s="9" t="str">
        <f aca="false">IF(AND('Formation Ledger'!A1244&lt;&gt;"",'Formation Ledger'!V1244=0),"PASS","FAIL")</f>
        <v>PASS</v>
      </c>
      <c r="F1265" s="9" t="s">
        <v>76</v>
      </c>
      <c r="G1265" s="6"/>
      <c r="H1265" s="6"/>
      <c r="I1265" s="6"/>
      <c r="J1265" s="6"/>
      <c r="K1265" s="6"/>
      <c r="L1265" s="6"/>
      <c r="M1265" s="6"/>
      <c r="N1265" s="6"/>
      <c r="O1265" s="6"/>
      <c r="P1265" s="6"/>
      <c r="Q1265" s="6"/>
      <c r="R1265" s="6"/>
      <c r="S1265" s="6"/>
      <c r="T1265" s="6"/>
      <c r="U1265" s="6"/>
      <c r="V1265" s="6"/>
      <c r="W1265" s="6"/>
      <c r="X1265" s="6"/>
      <c r="Y1265" s="6"/>
      <c r="Z1265" s="6"/>
    </row>
    <row r="1266" customFormat="false" ht="15" hidden="false" customHeight="false" outlineLevel="0" collapsed="false">
      <c r="A1266" s="9" t="s">
        <v>7109</v>
      </c>
      <c r="B1266" s="9" t="s">
        <v>5870</v>
      </c>
      <c r="C1266" s="9" t="s">
        <v>1477</v>
      </c>
      <c r="D1266" s="9" t="s">
        <v>5871</v>
      </c>
      <c r="E1266" s="9" t="str">
        <f aca="false">IF(AND('Formation Ledger'!A1245&lt;&gt;"",'Formation Ledger'!V1245=0),"PASS","FAIL")</f>
        <v>PASS</v>
      </c>
      <c r="F1266" s="9" t="s">
        <v>76</v>
      </c>
      <c r="G1266" s="6"/>
      <c r="H1266" s="6"/>
      <c r="I1266" s="6"/>
      <c r="J1266" s="6"/>
      <c r="K1266" s="6"/>
      <c r="L1266" s="6"/>
      <c r="M1266" s="6"/>
      <c r="N1266" s="6"/>
      <c r="O1266" s="6"/>
      <c r="P1266" s="6"/>
      <c r="Q1266" s="6"/>
      <c r="R1266" s="6"/>
      <c r="S1266" s="6"/>
      <c r="T1266" s="6"/>
      <c r="U1266" s="6"/>
      <c r="V1266" s="6"/>
      <c r="W1266" s="6"/>
      <c r="X1266" s="6"/>
      <c r="Y1266" s="6"/>
      <c r="Z1266" s="6"/>
    </row>
    <row r="1267" customFormat="false" ht="15" hidden="false" customHeight="false" outlineLevel="0" collapsed="false">
      <c r="A1267" s="9" t="s">
        <v>7110</v>
      </c>
      <c r="B1267" s="9" t="s">
        <v>5870</v>
      </c>
      <c r="C1267" s="9" t="s">
        <v>1478</v>
      </c>
      <c r="D1267" s="9" t="s">
        <v>5871</v>
      </c>
      <c r="E1267" s="9" t="str">
        <f aca="false">IF(AND('Formation Ledger'!A1246&lt;&gt;"",'Formation Ledger'!V1246=0),"PASS","FAIL")</f>
        <v>PASS</v>
      </c>
      <c r="F1267" s="9" t="s">
        <v>76</v>
      </c>
      <c r="G1267" s="6"/>
      <c r="H1267" s="6"/>
      <c r="I1267" s="6"/>
      <c r="J1267" s="6"/>
      <c r="K1267" s="6"/>
      <c r="L1267" s="6"/>
      <c r="M1267" s="6"/>
      <c r="N1267" s="6"/>
      <c r="O1267" s="6"/>
      <c r="P1267" s="6"/>
      <c r="Q1267" s="6"/>
      <c r="R1267" s="6"/>
      <c r="S1267" s="6"/>
      <c r="T1267" s="6"/>
      <c r="U1267" s="6"/>
      <c r="V1267" s="6"/>
      <c r="W1267" s="6"/>
      <c r="X1267" s="6"/>
      <c r="Y1267" s="6"/>
      <c r="Z1267" s="6"/>
    </row>
    <row r="1268" customFormat="false" ht="15" hidden="false" customHeight="false" outlineLevel="0" collapsed="false">
      <c r="A1268" s="9" t="s">
        <v>7111</v>
      </c>
      <c r="B1268" s="9" t="s">
        <v>5870</v>
      </c>
      <c r="C1268" s="9" t="s">
        <v>1479</v>
      </c>
      <c r="D1268" s="9" t="s">
        <v>5871</v>
      </c>
      <c r="E1268" s="9" t="str">
        <f aca="false">IF(AND('Formation Ledger'!A1247&lt;&gt;"",'Formation Ledger'!V1247=0),"PASS","FAIL")</f>
        <v>PASS</v>
      </c>
      <c r="F1268" s="9" t="s">
        <v>76</v>
      </c>
      <c r="G1268" s="6"/>
      <c r="H1268" s="6"/>
      <c r="I1268" s="6"/>
      <c r="J1268" s="6"/>
      <c r="K1268" s="6"/>
      <c r="L1268" s="6"/>
      <c r="M1268" s="6"/>
      <c r="N1268" s="6"/>
      <c r="O1268" s="6"/>
      <c r="P1268" s="6"/>
      <c r="Q1268" s="6"/>
      <c r="R1268" s="6"/>
      <c r="S1268" s="6"/>
      <c r="T1268" s="6"/>
      <c r="U1268" s="6"/>
      <c r="V1268" s="6"/>
      <c r="W1268" s="6"/>
      <c r="X1268" s="6"/>
      <c r="Y1268" s="6"/>
      <c r="Z1268" s="6"/>
    </row>
    <row r="1269" customFormat="false" ht="15" hidden="false" customHeight="false" outlineLevel="0" collapsed="false">
      <c r="A1269" s="9" t="s">
        <v>7112</v>
      </c>
      <c r="B1269" s="9" t="s">
        <v>5870</v>
      </c>
      <c r="C1269" s="9" t="s">
        <v>1480</v>
      </c>
      <c r="D1269" s="9" t="s">
        <v>5871</v>
      </c>
      <c r="E1269" s="9" t="str">
        <f aca="false">IF(AND('Formation Ledger'!A1248&lt;&gt;"",'Formation Ledger'!V1248=0),"PASS","FAIL")</f>
        <v>PASS</v>
      </c>
      <c r="F1269" s="9" t="s">
        <v>76</v>
      </c>
      <c r="G1269" s="6"/>
      <c r="H1269" s="6"/>
      <c r="I1269" s="6"/>
      <c r="J1269" s="6"/>
      <c r="K1269" s="6"/>
      <c r="L1269" s="6"/>
      <c r="M1269" s="6"/>
      <c r="N1269" s="6"/>
      <c r="O1269" s="6"/>
      <c r="P1269" s="6"/>
      <c r="Q1269" s="6"/>
      <c r="R1269" s="6"/>
      <c r="S1269" s="6"/>
      <c r="T1269" s="6"/>
      <c r="U1269" s="6"/>
      <c r="V1269" s="6"/>
      <c r="W1269" s="6"/>
      <c r="X1269" s="6"/>
      <c r="Y1269" s="6"/>
      <c r="Z1269" s="6"/>
    </row>
    <row r="1270" customFormat="false" ht="15" hidden="false" customHeight="false" outlineLevel="0" collapsed="false">
      <c r="A1270" s="9" t="s">
        <v>7113</v>
      </c>
      <c r="B1270" s="9" t="s">
        <v>5870</v>
      </c>
      <c r="C1270" s="9" t="s">
        <v>1481</v>
      </c>
      <c r="D1270" s="9" t="s">
        <v>5871</v>
      </c>
      <c r="E1270" s="9" t="str">
        <f aca="false">IF(AND('Formation Ledger'!A1249&lt;&gt;"",'Formation Ledger'!V1249=0),"PASS","FAIL")</f>
        <v>PASS</v>
      </c>
      <c r="F1270" s="9" t="s">
        <v>76</v>
      </c>
      <c r="G1270" s="6"/>
      <c r="H1270" s="6"/>
      <c r="I1270" s="6"/>
      <c r="J1270" s="6"/>
      <c r="K1270" s="6"/>
      <c r="L1270" s="6"/>
      <c r="M1270" s="6"/>
      <c r="N1270" s="6"/>
      <c r="O1270" s="6"/>
      <c r="P1270" s="6"/>
      <c r="Q1270" s="6"/>
      <c r="R1270" s="6"/>
      <c r="S1270" s="6"/>
      <c r="T1270" s="6"/>
      <c r="U1270" s="6"/>
      <c r="V1270" s="6"/>
      <c r="W1270" s="6"/>
      <c r="X1270" s="6"/>
      <c r="Y1270" s="6"/>
      <c r="Z1270" s="6"/>
    </row>
    <row r="1271" customFormat="false" ht="15" hidden="false" customHeight="false" outlineLevel="0" collapsed="false">
      <c r="A1271" s="9" t="s">
        <v>7114</v>
      </c>
      <c r="B1271" s="9" t="s">
        <v>5870</v>
      </c>
      <c r="C1271" s="9" t="s">
        <v>1482</v>
      </c>
      <c r="D1271" s="9" t="s">
        <v>5871</v>
      </c>
      <c r="E1271" s="9" t="str">
        <f aca="false">IF(AND('Formation Ledger'!A1250&lt;&gt;"",'Formation Ledger'!V1250=0),"PASS","FAIL")</f>
        <v>PASS</v>
      </c>
      <c r="F1271" s="9" t="s">
        <v>76</v>
      </c>
      <c r="G1271" s="6"/>
      <c r="H1271" s="6"/>
      <c r="I1271" s="6"/>
      <c r="J1271" s="6"/>
      <c r="K1271" s="6"/>
      <c r="L1271" s="6"/>
      <c r="M1271" s="6"/>
      <c r="N1271" s="6"/>
      <c r="O1271" s="6"/>
      <c r="P1271" s="6"/>
      <c r="Q1271" s="6"/>
      <c r="R1271" s="6"/>
      <c r="S1271" s="6"/>
      <c r="T1271" s="6"/>
      <c r="U1271" s="6"/>
      <c r="V1271" s="6"/>
      <c r="W1271" s="6"/>
      <c r="X1271" s="6"/>
      <c r="Y1271" s="6"/>
      <c r="Z1271" s="6"/>
    </row>
    <row r="1272" customFormat="false" ht="15" hidden="false" customHeight="false" outlineLevel="0" collapsed="false">
      <c r="A1272" s="9" t="s">
        <v>7115</v>
      </c>
      <c r="B1272" s="9" t="s">
        <v>5870</v>
      </c>
      <c r="C1272" s="9" t="s">
        <v>1483</v>
      </c>
      <c r="D1272" s="9" t="s">
        <v>5871</v>
      </c>
      <c r="E1272" s="9" t="str">
        <f aca="false">IF(AND('Formation Ledger'!A1251&lt;&gt;"",'Formation Ledger'!V1251=0),"PASS","FAIL")</f>
        <v>PASS</v>
      </c>
      <c r="F1272" s="9" t="s">
        <v>76</v>
      </c>
      <c r="G1272" s="6"/>
      <c r="H1272" s="6"/>
      <c r="I1272" s="6"/>
      <c r="J1272" s="6"/>
      <c r="K1272" s="6"/>
      <c r="L1272" s="6"/>
      <c r="M1272" s="6"/>
      <c r="N1272" s="6"/>
      <c r="O1272" s="6"/>
      <c r="P1272" s="6"/>
      <c r="Q1272" s="6"/>
      <c r="R1272" s="6"/>
      <c r="S1272" s="6"/>
      <c r="T1272" s="6"/>
      <c r="U1272" s="6"/>
      <c r="V1272" s="6"/>
      <c r="W1272" s="6"/>
      <c r="X1272" s="6"/>
      <c r="Y1272" s="6"/>
      <c r="Z1272" s="6"/>
    </row>
    <row r="1273" customFormat="false" ht="15" hidden="false" customHeight="false" outlineLevel="0" collapsed="false">
      <c r="A1273" s="9" t="s">
        <v>7116</v>
      </c>
      <c r="B1273" s="9" t="s">
        <v>5870</v>
      </c>
      <c r="C1273" s="9" t="s">
        <v>1484</v>
      </c>
      <c r="D1273" s="9" t="s">
        <v>5871</v>
      </c>
      <c r="E1273" s="9" t="str">
        <f aca="false">IF(AND('Formation Ledger'!A1252&lt;&gt;"",'Formation Ledger'!V1252=0),"PASS","FAIL")</f>
        <v>PASS</v>
      </c>
      <c r="F1273" s="9" t="s">
        <v>76</v>
      </c>
      <c r="G1273" s="6"/>
      <c r="H1273" s="6"/>
      <c r="I1273" s="6"/>
      <c r="J1273" s="6"/>
      <c r="K1273" s="6"/>
      <c r="L1273" s="6"/>
      <c r="M1273" s="6"/>
      <c r="N1273" s="6"/>
      <c r="O1273" s="6"/>
      <c r="P1273" s="6"/>
      <c r="Q1273" s="6"/>
      <c r="R1273" s="6"/>
      <c r="S1273" s="6"/>
      <c r="T1273" s="6"/>
      <c r="U1273" s="6"/>
      <c r="V1273" s="6"/>
      <c r="W1273" s="6"/>
      <c r="X1273" s="6"/>
      <c r="Y1273" s="6"/>
      <c r="Z1273" s="6"/>
    </row>
    <row r="1274" customFormat="false" ht="15" hidden="false" customHeight="false" outlineLevel="0" collapsed="false">
      <c r="A1274" s="9" t="s">
        <v>7117</v>
      </c>
      <c r="B1274" s="9" t="s">
        <v>5870</v>
      </c>
      <c r="C1274" s="9" t="s">
        <v>1485</v>
      </c>
      <c r="D1274" s="9" t="s">
        <v>5871</v>
      </c>
      <c r="E1274" s="9" t="str">
        <f aca="false">IF(AND('Formation Ledger'!A1253&lt;&gt;"",'Formation Ledger'!V1253=0),"PASS","FAIL")</f>
        <v>PASS</v>
      </c>
      <c r="F1274" s="9" t="s">
        <v>76</v>
      </c>
      <c r="G1274" s="6"/>
      <c r="H1274" s="6"/>
      <c r="I1274" s="6"/>
      <c r="J1274" s="6"/>
      <c r="K1274" s="6"/>
      <c r="L1274" s="6"/>
      <c r="M1274" s="6"/>
      <c r="N1274" s="6"/>
      <c r="O1274" s="6"/>
      <c r="P1274" s="6"/>
      <c r="Q1274" s="6"/>
      <c r="R1274" s="6"/>
      <c r="S1274" s="6"/>
      <c r="T1274" s="6"/>
      <c r="U1274" s="6"/>
      <c r="V1274" s="6"/>
      <c r="W1274" s="6"/>
      <c r="X1274" s="6"/>
      <c r="Y1274" s="6"/>
      <c r="Z1274" s="6"/>
    </row>
    <row r="1275" customFormat="false" ht="15" hidden="false" customHeight="false" outlineLevel="0" collapsed="false">
      <c r="A1275" s="9" t="s">
        <v>7118</v>
      </c>
      <c r="B1275" s="9" t="s">
        <v>5870</v>
      </c>
      <c r="C1275" s="9" t="s">
        <v>1486</v>
      </c>
      <c r="D1275" s="9" t="s">
        <v>5871</v>
      </c>
      <c r="E1275" s="9" t="str">
        <f aca="false">IF(AND('Formation Ledger'!A1254&lt;&gt;"",'Formation Ledger'!V1254=0),"PASS","FAIL")</f>
        <v>PASS</v>
      </c>
      <c r="F1275" s="9" t="s">
        <v>76</v>
      </c>
      <c r="G1275" s="6"/>
      <c r="H1275" s="6"/>
      <c r="I1275" s="6"/>
      <c r="J1275" s="6"/>
      <c r="K1275" s="6"/>
      <c r="L1275" s="6"/>
      <c r="M1275" s="6"/>
      <c r="N1275" s="6"/>
      <c r="O1275" s="6"/>
      <c r="P1275" s="6"/>
      <c r="Q1275" s="6"/>
      <c r="R1275" s="6"/>
      <c r="S1275" s="6"/>
      <c r="T1275" s="6"/>
      <c r="U1275" s="6"/>
      <c r="V1275" s="6"/>
      <c r="W1275" s="6"/>
      <c r="X1275" s="6"/>
      <c r="Y1275" s="6"/>
      <c r="Z1275" s="6"/>
    </row>
    <row r="1276" customFormat="false" ht="15" hidden="false" customHeight="false" outlineLevel="0" collapsed="false">
      <c r="A1276" s="9" t="s">
        <v>7119</v>
      </c>
      <c r="B1276" s="9" t="s">
        <v>5870</v>
      </c>
      <c r="C1276" s="9" t="s">
        <v>1487</v>
      </c>
      <c r="D1276" s="9" t="s">
        <v>5871</v>
      </c>
      <c r="E1276" s="9" t="str">
        <f aca="false">IF(AND('Formation Ledger'!A1255&lt;&gt;"",'Formation Ledger'!V1255=0),"PASS","FAIL")</f>
        <v>PASS</v>
      </c>
      <c r="F1276" s="9" t="s">
        <v>76</v>
      </c>
      <c r="G1276" s="6"/>
      <c r="H1276" s="6"/>
      <c r="I1276" s="6"/>
      <c r="J1276" s="6"/>
      <c r="K1276" s="6"/>
      <c r="L1276" s="6"/>
      <c r="M1276" s="6"/>
      <c r="N1276" s="6"/>
      <c r="O1276" s="6"/>
      <c r="P1276" s="6"/>
      <c r="Q1276" s="6"/>
      <c r="R1276" s="6"/>
      <c r="S1276" s="6"/>
      <c r="T1276" s="6"/>
      <c r="U1276" s="6"/>
      <c r="V1276" s="6"/>
      <c r="W1276" s="6"/>
      <c r="X1276" s="6"/>
      <c r="Y1276" s="6"/>
      <c r="Z1276" s="6"/>
    </row>
    <row r="1277" customFormat="false" ht="15" hidden="false" customHeight="false" outlineLevel="0" collapsed="false">
      <c r="A1277" s="9" t="s">
        <v>7120</v>
      </c>
      <c r="B1277" s="9" t="s">
        <v>5870</v>
      </c>
      <c r="C1277" s="9" t="s">
        <v>1488</v>
      </c>
      <c r="D1277" s="9" t="s">
        <v>5871</v>
      </c>
      <c r="E1277" s="9" t="str">
        <f aca="false">IF(AND('Formation Ledger'!A1256&lt;&gt;"",'Formation Ledger'!V1256=0),"PASS","FAIL")</f>
        <v>PASS</v>
      </c>
      <c r="F1277" s="9" t="s">
        <v>76</v>
      </c>
      <c r="G1277" s="6"/>
      <c r="H1277" s="6"/>
      <c r="I1277" s="6"/>
      <c r="J1277" s="6"/>
      <c r="K1277" s="6"/>
      <c r="L1277" s="6"/>
      <c r="M1277" s="6"/>
      <c r="N1277" s="6"/>
      <c r="O1277" s="6"/>
      <c r="P1277" s="6"/>
      <c r="Q1277" s="6"/>
      <c r="R1277" s="6"/>
      <c r="S1277" s="6"/>
      <c r="T1277" s="6"/>
      <c r="U1277" s="6"/>
      <c r="V1277" s="6"/>
      <c r="W1277" s="6"/>
      <c r="X1277" s="6"/>
      <c r="Y1277" s="6"/>
      <c r="Z1277" s="6"/>
    </row>
    <row r="1278" customFormat="false" ht="15" hidden="false" customHeight="false" outlineLevel="0" collapsed="false">
      <c r="A1278" s="9" t="s">
        <v>7121</v>
      </c>
      <c r="B1278" s="9" t="s">
        <v>5870</v>
      </c>
      <c r="C1278" s="9" t="s">
        <v>1489</v>
      </c>
      <c r="D1278" s="9" t="s">
        <v>5871</v>
      </c>
      <c r="E1278" s="9" t="str">
        <f aca="false">IF(AND('Formation Ledger'!A1257&lt;&gt;"",'Formation Ledger'!V1257=0),"PASS","FAIL")</f>
        <v>PASS</v>
      </c>
      <c r="F1278" s="9" t="s">
        <v>76</v>
      </c>
      <c r="G1278" s="6"/>
      <c r="H1278" s="6"/>
      <c r="I1278" s="6"/>
      <c r="J1278" s="6"/>
      <c r="K1278" s="6"/>
      <c r="L1278" s="6"/>
      <c r="M1278" s="6"/>
      <c r="N1278" s="6"/>
      <c r="O1278" s="6"/>
      <c r="P1278" s="6"/>
      <c r="Q1278" s="6"/>
      <c r="R1278" s="6"/>
      <c r="S1278" s="6"/>
      <c r="T1278" s="6"/>
      <c r="U1278" s="6"/>
      <c r="V1278" s="6"/>
      <c r="W1278" s="6"/>
      <c r="X1278" s="6"/>
      <c r="Y1278" s="6"/>
      <c r="Z1278" s="6"/>
    </row>
    <row r="1279" customFormat="false" ht="15" hidden="false" customHeight="false" outlineLevel="0" collapsed="false">
      <c r="A1279" s="9" t="s">
        <v>7122</v>
      </c>
      <c r="B1279" s="9" t="s">
        <v>5870</v>
      </c>
      <c r="C1279" s="9" t="s">
        <v>1490</v>
      </c>
      <c r="D1279" s="9" t="s">
        <v>5871</v>
      </c>
      <c r="E1279" s="9" t="str">
        <f aca="false">IF(AND('Formation Ledger'!A1258&lt;&gt;"",'Formation Ledger'!V1258=0),"PASS","FAIL")</f>
        <v>PASS</v>
      </c>
      <c r="F1279" s="9" t="s">
        <v>76</v>
      </c>
      <c r="G1279" s="6"/>
      <c r="H1279" s="6"/>
      <c r="I1279" s="6"/>
      <c r="J1279" s="6"/>
      <c r="K1279" s="6"/>
      <c r="L1279" s="6"/>
      <c r="M1279" s="6"/>
      <c r="N1279" s="6"/>
      <c r="O1279" s="6"/>
      <c r="P1279" s="6"/>
      <c r="Q1279" s="6"/>
      <c r="R1279" s="6"/>
      <c r="S1279" s="6"/>
      <c r="T1279" s="6"/>
      <c r="U1279" s="6"/>
      <c r="V1279" s="6"/>
      <c r="W1279" s="6"/>
      <c r="X1279" s="6"/>
      <c r="Y1279" s="6"/>
      <c r="Z1279" s="6"/>
    </row>
    <row r="1280" customFormat="false" ht="15" hidden="false" customHeight="false" outlineLevel="0" collapsed="false">
      <c r="A1280" s="9" t="s">
        <v>7123</v>
      </c>
      <c r="B1280" s="9" t="s">
        <v>5870</v>
      </c>
      <c r="C1280" s="9" t="s">
        <v>1491</v>
      </c>
      <c r="D1280" s="9" t="s">
        <v>5871</v>
      </c>
      <c r="E1280" s="9" t="str">
        <f aca="false">IF(AND('Formation Ledger'!A1259&lt;&gt;"",'Formation Ledger'!V1259=0),"PASS","FAIL")</f>
        <v>PASS</v>
      </c>
      <c r="F1280" s="9" t="s">
        <v>76</v>
      </c>
      <c r="G1280" s="6"/>
      <c r="H1280" s="6"/>
      <c r="I1280" s="6"/>
      <c r="J1280" s="6"/>
      <c r="K1280" s="6"/>
      <c r="L1280" s="6"/>
      <c r="M1280" s="6"/>
      <c r="N1280" s="6"/>
      <c r="O1280" s="6"/>
      <c r="P1280" s="6"/>
      <c r="Q1280" s="6"/>
      <c r="R1280" s="6"/>
      <c r="S1280" s="6"/>
      <c r="T1280" s="6"/>
      <c r="U1280" s="6"/>
      <c r="V1280" s="6"/>
      <c r="W1280" s="6"/>
      <c r="X1280" s="6"/>
      <c r="Y1280" s="6"/>
      <c r="Z1280" s="6"/>
    </row>
    <row r="1281" customFormat="false" ht="15" hidden="false" customHeight="false" outlineLevel="0" collapsed="false">
      <c r="A1281" s="9" t="s">
        <v>7124</v>
      </c>
      <c r="B1281" s="9" t="s">
        <v>5870</v>
      </c>
      <c r="C1281" s="9" t="s">
        <v>1492</v>
      </c>
      <c r="D1281" s="9" t="s">
        <v>5871</v>
      </c>
      <c r="E1281" s="9" t="str">
        <f aca="false">IF(AND('Formation Ledger'!A1260&lt;&gt;"",'Formation Ledger'!V1260=0),"PASS","FAIL")</f>
        <v>PASS</v>
      </c>
      <c r="F1281" s="9" t="s">
        <v>76</v>
      </c>
      <c r="G1281" s="6"/>
      <c r="H1281" s="6"/>
      <c r="I1281" s="6"/>
      <c r="J1281" s="6"/>
      <c r="K1281" s="6"/>
      <c r="L1281" s="6"/>
      <c r="M1281" s="6"/>
      <c r="N1281" s="6"/>
      <c r="O1281" s="6"/>
      <c r="P1281" s="6"/>
      <c r="Q1281" s="6"/>
      <c r="R1281" s="6"/>
      <c r="S1281" s="6"/>
      <c r="T1281" s="6"/>
      <c r="U1281" s="6"/>
      <c r="V1281" s="6"/>
      <c r="W1281" s="6"/>
      <c r="X1281" s="6"/>
      <c r="Y1281" s="6"/>
      <c r="Z1281" s="6"/>
    </row>
    <row r="1282" customFormat="false" ht="15" hidden="false" customHeight="false" outlineLevel="0" collapsed="false">
      <c r="A1282" s="9" t="s">
        <v>7125</v>
      </c>
      <c r="B1282" s="9" t="s">
        <v>5870</v>
      </c>
      <c r="C1282" s="9" t="s">
        <v>1493</v>
      </c>
      <c r="D1282" s="9" t="s">
        <v>5871</v>
      </c>
      <c r="E1282" s="9" t="str">
        <f aca="false">IF(AND('Formation Ledger'!A1261&lt;&gt;"",'Formation Ledger'!V1261=0),"PASS","FAIL")</f>
        <v>PASS</v>
      </c>
      <c r="F1282" s="9" t="s">
        <v>76</v>
      </c>
      <c r="G1282" s="6"/>
      <c r="H1282" s="6"/>
      <c r="I1282" s="6"/>
      <c r="J1282" s="6"/>
      <c r="K1282" s="6"/>
      <c r="L1282" s="6"/>
      <c r="M1282" s="6"/>
      <c r="N1282" s="6"/>
      <c r="O1282" s="6"/>
      <c r="P1282" s="6"/>
      <c r="Q1282" s="6"/>
      <c r="R1282" s="6"/>
      <c r="S1282" s="6"/>
      <c r="T1282" s="6"/>
      <c r="U1282" s="6"/>
      <c r="V1282" s="6"/>
      <c r="W1282" s="6"/>
      <c r="X1282" s="6"/>
      <c r="Y1282" s="6"/>
      <c r="Z1282" s="6"/>
    </row>
    <row r="1283" customFormat="false" ht="15" hidden="false" customHeight="false" outlineLevel="0" collapsed="false">
      <c r="A1283" s="9" t="s">
        <v>7126</v>
      </c>
      <c r="B1283" s="9" t="s">
        <v>5870</v>
      </c>
      <c r="C1283" s="9" t="s">
        <v>1494</v>
      </c>
      <c r="D1283" s="9" t="s">
        <v>5871</v>
      </c>
      <c r="E1283" s="9" t="str">
        <f aca="false">IF(AND('Formation Ledger'!A1262&lt;&gt;"",'Formation Ledger'!V1262=0),"PASS","FAIL")</f>
        <v>PASS</v>
      </c>
      <c r="F1283" s="9" t="s">
        <v>76</v>
      </c>
      <c r="G1283" s="6"/>
      <c r="H1283" s="6"/>
      <c r="I1283" s="6"/>
      <c r="J1283" s="6"/>
      <c r="K1283" s="6"/>
      <c r="L1283" s="6"/>
      <c r="M1283" s="6"/>
      <c r="N1283" s="6"/>
      <c r="O1283" s="6"/>
      <c r="P1283" s="6"/>
      <c r="Q1283" s="6"/>
      <c r="R1283" s="6"/>
      <c r="S1283" s="6"/>
      <c r="T1283" s="6"/>
      <c r="U1283" s="6"/>
      <c r="V1283" s="6"/>
      <c r="W1283" s="6"/>
      <c r="X1283" s="6"/>
      <c r="Y1283" s="6"/>
      <c r="Z1283" s="6"/>
    </row>
    <row r="1284" customFormat="false" ht="15" hidden="false" customHeight="false" outlineLevel="0" collapsed="false">
      <c r="A1284" s="9" t="s">
        <v>7127</v>
      </c>
      <c r="B1284" s="9" t="s">
        <v>5870</v>
      </c>
      <c r="C1284" s="9" t="s">
        <v>1495</v>
      </c>
      <c r="D1284" s="9" t="s">
        <v>5871</v>
      </c>
      <c r="E1284" s="9" t="str">
        <f aca="false">IF(AND('Formation Ledger'!A1263&lt;&gt;"",'Formation Ledger'!V1263=0),"PASS","FAIL")</f>
        <v>PASS</v>
      </c>
      <c r="F1284" s="9" t="s">
        <v>76</v>
      </c>
      <c r="G1284" s="6"/>
      <c r="H1284" s="6"/>
      <c r="I1284" s="6"/>
      <c r="J1284" s="6"/>
      <c r="K1284" s="6"/>
      <c r="L1284" s="6"/>
      <c r="M1284" s="6"/>
      <c r="N1284" s="6"/>
      <c r="O1284" s="6"/>
      <c r="P1284" s="6"/>
      <c r="Q1284" s="6"/>
      <c r="R1284" s="6"/>
      <c r="S1284" s="6"/>
      <c r="T1284" s="6"/>
      <c r="U1284" s="6"/>
      <c r="V1284" s="6"/>
      <c r="W1284" s="6"/>
      <c r="X1284" s="6"/>
      <c r="Y1284" s="6"/>
      <c r="Z1284" s="6"/>
    </row>
    <row r="1285" customFormat="false" ht="15" hidden="false" customHeight="false" outlineLevel="0" collapsed="false">
      <c r="A1285" s="9" t="s">
        <v>7128</v>
      </c>
      <c r="B1285" s="9" t="s">
        <v>5870</v>
      </c>
      <c r="C1285" s="9" t="s">
        <v>1496</v>
      </c>
      <c r="D1285" s="9" t="s">
        <v>5871</v>
      </c>
      <c r="E1285" s="9" t="str">
        <f aca="false">IF(AND('Formation Ledger'!A1264&lt;&gt;"",'Formation Ledger'!V1264=0),"PASS","FAIL")</f>
        <v>PASS</v>
      </c>
      <c r="F1285" s="9" t="s">
        <v>76</v>
      </c>
      <c r="G1285" s="6"/>
      <c r="H1285" s="6"/>
      <c r="I1285" s="6"/>
      <c r="J1285" s="6"/>
      <c r="K1285" s="6"/>
      <c r="L1285" s="6"/>
      <c r="M1285" s="6"/>
      <c r="N1285" s="6"/>
      <c r="O1285" s="6"/>
      <c r="P1285" s="6"/>
      <c r="Q1285" s="6"/>
      <c r="R1285" s="6"/>
      <c r="S1285" s="6"/>
      <c r="T1285" s="6"/>
      <c r="U1285" s="6"/>
      <c r="V1285" s="6"/>
      <c r="W1285" s="6"/>
      <c r="X1285" s="6"/>
      <c r="Y1285" s="6"/>
      <c r="Z1285" s="6"/>
    </row>
    <row r="1286" customFormat="false" ht="15" hidden="false" customHeight="false" outlineLevel="0" collapsed="false">
      <c r="A1286" s="9" t="s">
        <v>7129</v>
      </c>
      <c r="B1286" s="9" t="s">
        <v>5870</v>
      </c>
      <c r="C1286" s="9" t="s">
        <v>1497</v>
      </c>
      <c r="D1286" s="9" t="s">
        <v>5871</v>
      </c>
      <c r="E1286" s="9" t="str">
        <f aca="false">IF(AND('Formation Ledger'!A1265&lt;&gt;"",'Formation Ledger'!V1265=0),"PASS","FAIL")</f>
        <v>PASS</v>
      </c>
      <c r="F1286" s="9" t="s">
        <v>76</v>
      </c>
      <c r="G1286" s="6"/>
      <c r="H1286" s="6"/>
      <c r="I1286" s="6"/>
      <c r="J1286" s="6"/>
      <c r="K1286" s="6"/>
      <c r="L1286" s="6"/>
      <c r="M1286" s="6"/>
      <c r="N1286" s="6"/>
      <c r="O1286" s="6"/>
      <c r="P1286" s="6"/>
      <c r="Q1286" s="6"/>
      <c r="R1286" s="6"/>
      <c r="S1286" s="6"/>
      <c r="T1286" s="6"/>
      <c r="U1286" s="6"/>
      <c r="V1286" s="6"/>
      <c r="W1286" s="6"/>
      <c r="X1286" s="6"/>
      <c r="Y1286" s="6"/>
      <c r="Z1286" s="6"/>
    </row>
    <row r="1287" customFormat="false" ht="15" hidden="false" customHeight="false" outlineLevel="0" collapsed="false">
      <c r="A1287" s="9" t="s">
        <v>7130</v>
      </c>
      <c r="B1287" s="9" t="s">
        <v>5870</v>
      </c>
      <c r="C1287" s="9" t="s">
        <v>1498</v>
      </c>
      <c r="D1287" s="9" t="s">
        <v>5871</v>
      </c>
      <c r="E1287" s="9" t="str">
        <f aca="false">IF(AND('Formation Ledger'!A1266&lt;&gt;"",'Formation Ledger'!V1266=0),"PASS","FAIL")</f>
        <v>PASS</v>
      </c>
      <c r="F1287" s="9" t="s">
        <v>76</v>
      </c>
      <c r="G1287" s="6"/>
      <c r="H1287" s="6"/>
      <c r="I1287" s="6"/>
      <c r="J1287" s="6"/>
      <c r="K1287" s="6"/>
      <c r="L1287" s="6"/>
      <c r="M1287" s="6"/>
      <c r="N1287" s="6"/>
      <c r="O1287" s="6"/>
      <c r="P1287" s="6"/>
      <c r="Q1287" s="6"/>
      <c r="R1287" s="6"/>
      <c r="S1287" s="6"/>
      <c r="T1287" s="6"/>
      <c r="U1287" s="6"/>
      <c r="V1287" s="6"/>
      <c r="W1287" s="6"/>
      <c r="X1287" s="6"/>
      <c r="Y1287" s="6"/>
      <c r="Z1287" s="6"/>
    </row>
    <row r="1288" customFormat="false" ht="15" hidden="false" customHeight="false" outlineLevel="0" collapsed="false">
      <c r="A1288" s="9" t="s">
        <v>7131</v>
      </c>
      <c r="B1288" s="9" t="s">
        <v>5870</v>
      </c>
      <c r="C1288" s="9" t="s">
        <v>1499</v>
      </c>
      <c r="D1288" s="9" t="s">
        <v>5871</v>
      </c>
      <c r="E1288" s="9" t="str">
        <f aca="false">IF(AND('Formation Ledger'!A1267&lt;&gt;"",'Formation Ledger'!V1267=0),"PASS","FAIL")</f>
        <v>PASS</v>
      </c>
      <c r="F1288" s="9" t="s">
        <v>76</v>
      </c>
      <c r="G1288" s="6"/>
      <c r="H1288" s="6"/>
      <c r="I1288" s="6"/>
      <c r="J1288" s="6"/>
      <c r="K1288" s="6"/>
      <c r="L1288" s="6"/>
      <c r="M1288" s="6"/>
      <c r="N1288" s="6"/>
      <c r="O1288" s="6"/>
      <c r="P1288" s="6"/>
      <c r="Q1288" s="6"/>
      <c r="R1288" s="6"/>
      <c r="S1288" s="6"/>
      <c r="T1288" s="6"/>
      <c r="U1288" s="6"/>
      <c r="V1288" s="6"/>
      <c r="W1288" s="6"/>
      <c r="X1288" s="6"/>
      <c r="Y1288" s="6"/>
      <c r="Z1288" s="6"/>
    </row>
    <row r="1289" customFormat="false" ht="15" hidden="false" customHeight="false" outlineLevel="0" collapsed="false">
      <c r="A1289" s="9" t="s">
        <v>7132</v>
      </c>
      <c r="B1289" s="9" t="s">
        <v>5870</v>
      </c>
      <c r="C1289" s="9" t="s">
        <v>1500</v>
      </c>
      <c r="D1289" s="9" t="s">
        <v>5871</v>
      </c>
      <c r="E1289" s="9" t="str">
        <f aca="false">IF(AND('Formation Ledger'!A1268&lt;&gt;"",'Formation Ledger'!V1268=0),"PASS","FAIL")</f>
        <v>PASS</v>
      </c>
      <c r="F1289" s="9" t="s">
        <v>76</v>
      </c>
      <c r="G1289" s="6"/>
      <c r="H1289" s="6"/>
      <c r="I1289" s="6"/>
      <c r="J1289" s="6"/>
      <c r="K1289" s="6"/>
      <c r="L1289" s="6"/>
      <c r="M1289" s="6"/>
      <c r="N1289" s="6"/>
      <c r="O1289" s="6"/>
      <c r="P1289" s="6"/>
      <c r="Q1289" s="6"/>
      <c r="R1289" s="6"/>
      <c r="S1289" s="6"/>
      <c r="T1289" s="6"/>
      <c r="U1289" s="6"/>
      <c r="V1289" s="6"/>
      <c r="W1289" s="6"/>
      <c r="X1289" s="6"/>
      <c r="Y1289" s="6"/>
      <c r="Z1289" s="6"/>
    </row>
    <row r="1290" customFormat="false" ht="15" hidden="false" customHeight="false" outlineLevel="0" collapsed="false">
      <c r="A1290" s="9" t="s">
        <v>7133</v>
      </c>
      <c r="B1290" s="9" t="s">
        <v>5870</v>
      </c>
      <c r="C1290" s="9" t="s">
        <v>1501</v>
      </c>
      <c r="D1290" s="9" t="s">
        <v>5871</v>
      </c>
      <c r="E1290" s="9" t="str">
        <f aca="false">IF(AND('Formation Ledger'!A1269&lt;&gt;"",'Formation Ledger'!V1269=0),"PASS","FAIL")</f>
        <v>PASS</v>
      </c>
      <c r="F1290" s="9" t="s">
        <v>76</v>
      </c>
      <c r="G1290" s="6"/>
      <c r="H1290" s="6"/>
      <c r="I1290" s="6"/>
      <c r="J1290" s="6"/>
      <c r="K1290" s="6"/>
      <c r="L1290" s="6"/>
      <c r="M1290" s="6"/>
      <c r="N1290" s="6"/>
      <c r="O1290" s="6"/>
      <c r="P1290" s="6"/>
      <c r="Q1290" s="6"/>
      <c r="R1290" s="6"/>
      <c r="S1290" s="6"/>
      <c r="T1290" s="6"/>
      <c r="U1290" s="6"/>
      <c r="V1290" s="6"/>
      <c r="W1290" s="6"/>
      <c r="X1290" s="6"/>
      <c r="Y1290" s="6"/>
      <c r="Z1290" s="6"/>
    </row>
    <row r="1291" customFormat="false" ht="15" hidden="false" customHeight="false" outlineLevel="0" collapsed="false">
      <c r="A1291" s="9" t="s">
        <v>7134</v>
      </c>
      <c r="B1291" s="9" t="s">
        <v>5870</v>
      </c>
      <c r="C1291" s="9" t="s">
        <v>1502</v>
      </c>
      <c r="D1291" s="9" t="s">
        <v>5871</v>
      </c>
      <c r="E1291" s="9" t="str">
        <f aca="false">IF(AND('Formation Ledger'!A1270&lt;&gt;"",'Formation Ledger'!V1270=0),"PASS","FAIL")</f>
        <v>PASS</v>
      </c>
      <c r="F1291" s="9" t="s">
        <v>76</v>
      </c>
      <c r="G1291" s="6"/>
      <c r="H1291" s="6"/>
      <c r="I1291" s="6"/>
      <c r="J1291" s="6"/>
      <c r="K1291" s="6"/>
      <c r="L1291" s="6"/>
      <c r="M1291" s="6"/>
      <c r="N1291" s="6"/>
      <c r="O1291" s="6"/>
      <c r="P1291" s="6"/>
      <c r="Q1291" s="6"/>
      <c r="R1291" s="6"/>
      <c r="S1291" s="6"/>
      <c r="T1291" s="6"/>
      <c r="U1291" s="6"/>
      <c r="V1291" s="6"/>
      <c r="W1291" s="6"/>
      <c r="X1291" s="6"/>
      <c r="Y1291" s="6"/>
      <c r="Z1291" s="6"/>
    </row>
    <row r="1292" customFormat="false" ht="15" hidden="false" customHeight="false" outlineLevel="0" collapsed="false">
      <c r="A1292" s="9" t="s">
        <v>7135</v>
      </c>
      <c r="B1292" s="9" t="s">
        <v>5870</v>
      </c>
      <c r="C1292" s="9" t="s">
        <v>1503</v>
      </c>
      <c r="D1292" s="9" t="s">
        <v>5871</v>
      </c>
      <c r="E1292" s="9" t="str">
        <f aca="false">IF(AND('Formation Ledger'!A1271&lt;&gt;"",'Formation Ledger'!V1271=0),"PASS","FAIL")</f>
        <v>PASS</v>
      </c>
      <c r="F1292" s="9" t="s">
        <v>76</v>
      </c>
      <c r="G1292" s="6"/>
      <c r="H1292" s="6"/>
      <c r="I1292" s="6"/>
      <c r="J1292" s="6"/>
      <c r="K1292" s="6"/>
      <c r="L1292" s="6"/>
      <c r="M1292" s="6"/>
      <c r="N1292" s="6"/>
      <c r="O1292" s="6"/>
      <c r="P1292" s="6"/>
      <c r="Q1292" s="6"/>
      <c r="R1292" s="6"/>
      <c r="S1292" s="6"/>
      <c r="T1292" s="6"/>
      <c r="U1292" s="6"/>
      <c r="V1292" s="6"/>
      <c r="W1292" s="6"/>
      <c r="X1292" s="6"/>
      <c r="Y1292" s="6"/>
      <c r="Z1292" s="6"/>
    </row>
    <row r="1293" customFormat="false" ht="15" hidden="false" customHeight="false" outlineLevel="0" collapsed="false">
      <c r="A1293" s="9" t="s">
        <v>7136</v>
      </c>
      <c r="B1293" s="9" t="s">
        <v>5870</v>
      </c>
      <c r="C1293" s="9" t="s">
        <v>1504</v>
      </c>
      <c r="D1293" s="9" t="s">
        <v>5871</v>
      </c>
      <c r="E1293" s="9" t="str">
        <f aca="false">IF(AND('Formation Ledger'!A1272&lt;&gt;"",'Formation Ledger'!V1272=0),"PASS","FAIL")</f>
        <v>PASS</v>
      </c>
      <c r="F1293" s="9" t="s">
        <v>76</v>
      </c>
      <c r="G1293" s="6"/>
      <c r="H1293" s="6"/>
      <c r="I1293" s="6"/>
      <c r="J1293" s="6"/>
      <c r="K1293" s="6"/>
      <c r="L1293" s="6"/>
      <c r="M1293" s="6"/>
      <c r="N1293" s="6"/>
      <c r="O1293" s="6"/>
      <c r="P1293" s="6"/>
      <c r="Q1293" s="6"/>
      <c r="R1293" s="6"/>
      <c r="S1293" s="6"/>
      <c r="T1293" s="6"/>
      <c r="U1293" s="6"/>
      <c r="V1293" s="6"/>
      <c r="W1293" s="6"/>
      <c r="X1293" s="6"/>
      <c r="Y1293" s="6"/>
      <c r="Z1293" s="6"/>
    </row>
    <row r="1294" customFormat="false" ht="15" hidden="false" customHeight="false" outlineLevel="0" collapsed="false">
      <c r="A1294" s="9" t="s">
        <v>7137</v>
      </c>
      <c r="B1294" s="9" t="s">
        <v>5870</v>
      </c>
      <c r="C1294" s="9" t="s">
        <v>1505</v>
      </c>
      <c r="D1294" s="9" t="s">
        <v>5871</v>
      </c>
      <c r="E1294" s="9" t="str">
        <f aca="false">IF(AND('Formation Ledger'!A1273&lt;&gt;"",'Formation Ledger'!V1273=0),"PASS","FAIL")</f>
        <v>PASS</v>
      </c>
      <c r="F1294" s="9" t="s">
        <v>76</v>
      </c>
      <c r="G1294" s="6"/>
      <c r="H1294" s="6"/>
      <c r="I1294" s="6"/>
      <c r="J1294" s="6"/>
      <c r="K1294" s="6"/>
      <c r="L1294" s="6"/>
      <c r="M1294" s="6"/>
      <c r="N1294" s="6"/>
      <c r="O1294" s="6"/>
      <c r="P1294" s="6"/>
      <c r="Q1294" s="6"/>
      <c r="R1294" s="6"/>
      <c r="S1294" s="6"/>
      <c r="T1294" s="6"/>
      <c r="U1294" s="6"/>
      <c r="V1294" s="6"/>
      <c r="W1294" s="6"/>
      <c r="X1294" s="6"/>
      <c r="Y1294" s="6"/>
      <c r="Z1294" s="6"/>
    </row>
    <row r="1295" customFormat="false" ht="15" hidden="false" customHeight="false" outlineLevel="0" collapsed="false">
      <c r="A1295" s="9" t="s">
        <v>7138</v>
      </c>
      <c r="B1295" s="9" t="s">
        <v>5870</v>
      </c>
      <c r="C1295" s="9" t="s">
        <v>1506</v>
      </c>
      <c r="D1295" s="9" t="s">
        <v>5871</v>
      </c>
      <c r="E1295" s="9" t="str">
        <f aca="false">IF(AND('Formation Ledger'!A1274&lt;&gt;"",'Formation Ledger'!V1274=0),"PASS","FAIL")</f>
        <v>PASS</v>
      </c>
      <c r="F1295" s="9" t="s">
        <v>76</v>
      </c>
      <c r="G1295" s="6"/>
      <c r="H1295" s="6"/>
      <c r="I1295" s="6"/>
      <c r="J1295" s="6"/>
      <c r="K1295" s="6"/>
      <c r="L1295" s="6"/>
      <c r="M1295" s="6"/>
      <c r="N1295" s="6"/>
      <c r="O1295" s="6"/>
      <c r="P1295" s="6"/>
      <c r="Q1295" s="6"/>
      <c r="R1295" s="6"/>
      <c r="S1295" s="6"/>
      <c r="T1295" s="6"/>
      <c r="U1295" s="6"/>
      <c r="V1295" s="6"/>
      <c r="W1295" s="6"/>
      <c r="X1295" s="6"/>
      <c r="Y1295" s="6"/>
      <c r="Z1295" s="6"/>
    </row>
    <row r="1296" customFormat="false" ht="15" hidden="false" customHeight="false" outlineLevel="0" collapsed="false">
      <c r="A1296" s="9" t="s">
        <v>7139</v>
      </c>
      <c r="B1296" s="9" t="s">
        <v>5870</v>
      </c>
      <c r="C1296" s="9" t="s">
        <v>1507</v>
      </c>
      <c r="D1296" s="9" t="s">
        <v>5871</v>
      </c>
      <c r="E1296" s="9" t="str">
        <f aca="false">IF(AND('Formation Ledger'!A1275&lt;&gt;"",'Formation Ledger'!V1275=0),"PASS","FAIL")</f>
        <v>PASS</v>
      </c>
      <c r="F1296" s="9" t="s">
        <v>76</v>
      </c>
      <c r="G1296" s="6"/>
      <c r="H1296" s="6"/>
      <c r="I1296" s="6"/>
      <c r="J1296" s="6"/>
      <c r="K1296" s="6"/>
      <c r="L1296" s="6"/>
      <c r="M1296" s="6"/>
      <c r="N1296" s="6"/>
      <c r="O1296" s="6"/>
      <c r="P1296" s="6"/>
      <c r="Q1296" s="6"/>
      <c r="R1296" s="6"/>
      <c r="S1296" s="6"/>
      <c r="T1296" s="6"/>
      <c r="U1296" s="6"/>
      <c r="V1296" s="6"/>
      <c r="W1296" s="6"/>
      <c r="X1296" s="6"/>
      <c r="Y1296" s="6"/>
      <c r="Z1296" s="6"/>
    </row>
    <row r="1297" customFormat="false" ht="15" hidden="false" customHeight="false" outlineLevel="0" collapsed="false">
      <c r="A1297" s="9" t="s">
        <v>7140</v>
      </c>
      <c r="B1297" s="9" t="s">
        <v>5870</v>
      </c>
      <c r="C1297" s="9" t="s">
        <v>1508</v>
      </c>
      <c r="D1297" s="9" t="s">
        <v>5871</v>
      </c>
      <c r="E1297" s="9" t="str">
        <f aca="false">IF(AND('Formation Ledger'!A1276&lt;&gt;"",'Formation Ledger'!V1276=0),"PASS","FAIL")</f>
        <v>PASS</v>
      </c>
      <c r="F1297" s="9" t="s">
        <v>76</v>
      </c>
      <c r="G1297" s="6"/>
      <c r="H1297" s="6"/>
      <c r="I1297" s="6"/>
      <c r="J1297" s="6"/>
      <c r="K1297" s="6"/>
      <c r="L1297" s="6"/>
      <c r="M1297" s="6"/>
      <c r="N1297" s="6"/>
      <c r="O1297" s="6"/>
      <c r="P1297" s="6"/>
      <c r="Q1297" s="6"/>
      <c r="R1297" s="6"/>
      <c r="S1297" s="6"/>
      <c r="T1297" s="6"/>
      <c r="U1297" s="6"/>
      <c r="V1297" s="6"/>
      <c r="W1297" s="6"/>
      <c r="X1297" s="6"/>
      <c r="Y1297" s="6"/>
      <c r="Z1297" s="6"/>
    </row>
    <row r="1298" customFormat="false" ht="15" hidden="false" customHeight="false" outlineLevel="0" collapsed="false">
      <c r="A1298" s="9" t="s">
        <v>7141</v>
      </c>
      <c r="B1298" s="9" t="s">
        <v>5870</v>
      </c>
      <c r="C1298" s="9" t="s">
        <v>1509</v>
      </c>
      <c r="D1298" s="9" t="s">
        <v>5871</v>
      </c>
      <c r="E1298" s="9" t="str">
        <f aca="false">IF(AND('Formation Ledger'!A1277&lt;&gt;"",'Formation Ledger'!V1277=0),"PASS","FAIL")</f>
        <v>PASS</v>
      </c>
      <c r="F1298" s="9" t="s">
        <v>76</v>
      </c>
      <c r="G1298" s="6"/>
      <c r="H1298" s="6"/>
      <c r="I1298" s="6"/>
      <c r="J1298" s="6"/>
      <c r="K1298" s="6"/>
      <c r="L1298" s="6"/>
      <c r="M1298" s="6"/>
      <c r="N1298" s="6"/>
      <c r="O1298" s="6"/>
      <c r="P1298" s="6"/>
      <c r="Q1298" s="6"/>
      <c r="R1298" s="6"/>
      <c r="S1298" s="6"/>
      <c r="T1298" s="6"/>
      <c r="U1298" s="6"/>
      <c r="V1298" s="6"/>
      <c r="W1298" s="6"/>
      <c r="X1298" s="6"/>
      <c r="Y1298" s="6"/>
      <c r="Z1298" s="6"/>
    </row>
    <row r="1299" customFormat="false" ht="15" hidden="false" customHeight="false" outlineLevel="0" collapsed="false">
      <c r="A1299" s="9" t="s">
        <v>7142</v>
      </c>
      <c r="B1299" s="9" t="s">
        <v>5870</v>
      </c>
      <c r="C1299" s="9" t="s">
        <v>1510</v>
      </c>
      <c r="D1299" s="9" t="s">
        <v>5871</v>
      </c>
      <c r="E1299" s="9" t="str">
        <f aca="false">IF(AND('Formation Ledger'!A1278&lt;&gt;"",'Formation Ledger'!V1278=0),"PASS","FAIL")</f>
        <v>PASS</v>
      </c>
      <c r="F1299" s="9" t="s">
        <v>76</v>
      </c>
      <c r="G1299" s="6"/>
      <c r="H1299" s="6"/>
      <c r="I1299" s="6"/>
      <c r="J1299" s="6"/>
      <c r="K1299" s="6"/>
      <c r="L1299" s="6"/>
      <c r="M1299" s="6"/>
      <c r="N1299" s="6"/>
      <c r="O1299" s="6"/>
      <c r="P1299" s="6"/>
      <c r="Q1299" s="6"/>
      <c r="R1299" s="6"/>
      <c r="S1299" s="6"/>
      <c r="T1299" s="6"/>
      <c r="U1299" s="6"/>
      <c r="V1299" s="6"/>
      <c r="W1299" s="6"/>
      <c r="X1299" s="6"/>
      <c r="Y1299" s="6"/>
      <c r="Z1299" s="6"/>
    </row>
    <row r="1300" customFormat="false" ht="15" hidden="false" customHeight="false" outlineLevel="0" collapsed="false">
      <c r="A1300" s="9" t="s">
        <v>7143</v>
      </c>
      <c r="B1300" s="9" t="s">
        <v>5870</v>
      </c>
      <c r="C1300" s="9" t="s">
        <v>1511</v>
      </c>
      <c r="D1300" s="9" t="s">
        <v>5871</v>
      </c>
      <c r="E1300" s="9" t="str">
        <f aca="false">IF(AND('Formation Ledger'!A1279&lt;&gt;"",'Formation Ledger'!V1279=0),"PASS","FAIL")</f>
        <v>PASS</v>
      </c>
      <c r="F1300" s="9" t="s">
        <v>76</v>
      </c>
      <c r="G1300" s="6"/>
      <c r="H1300" s="6"/>
      <c r="I1300" s="6"/>
      <c r="J1300" s="6"/>
      <c r="K1300" s="6"/>
      <c r="L1300" s="6"/>
      <c r="M1300" s="6"/>
      <c r="N1300" s="6"/>
      <c r="O1300" s="6"/>
      <c r="P1300" s="6"/>
      <c r="Q1300" s="6"/>
      <c r="R1300" s="6"/>
      <c r="S1300" s="6"/>
      <c r="T1300" s="6"/>
      <c r="U1300" s="6"/>
      <c r="V1300" s="6"/>
      <c r="W1300" s="6"/>
      <c r="X1300" s="6"/>
      <c r="Y1300" s="6"/>
      <c r="Z1300" s="6"/>
    </row>
    <row r="1301" customFormat="false" ht="15" hidden="false" customHeight="false" outlineLevel="0" collapsed="false">
      <c r="A1301" s="9" t="s">
        <v>7144</v>
      </c>
      <c r="B1301" s="9" t="s">
        <v>5870</v>
      </c>
      <c r="C1301" s="9" t="s">
        <v>1512</v>
      </c>
      <c r="D1301" s="9" t="s">
        <v>5871</v>
      </c>
      <c r="E1301" s="9" t="str">
        <f aca="false">IF(AND('Formation Ledger'!A1280&lt;&gt;"",'Formation Ledger'!V1280=0),"PASS","FAIL")</f>
        <v>PASS</v>
      </c>
      <c r="F1301" s="9" t="s">
        <v>76</v>
      </c>
      <c r="G1301" s="6"/>
      <c r="H1301" s="6"/>
      <c r="I1301" s="6"/>
      <c r="J1301" s="6"/>
      <c r="K1301" s="6"/>
      <c r="L1301" s="6"/>
      <c r="M1301" s="6"/>
      <c r="N1301" s="6"/>
      <c r="O1301" s="6"/>
      <c r="P1301" s="6"/>
      <c r="Q1301" s="6"/>
      <c r="R1301" s="6"/>
      <c r="S1301" s="6"/>
      <c r="T1301" s="6"/>
      <c r="U1301" s="6"/>
      <c r="V1301" s="6"/>
      <c r="W1301" s="6"/>
      <c r="X1301" s="6"/>
      <c r="Y1301" s="6"/>
      <c r="Z1301" s="6"/>
    </row>
    <row r="1302" customFormat="false" ht="15" hidden="false" customHeight="false" outlineLevel="0" collapsed="false">
      <c r="A1302" s="9" t="s">
        <v>7145</v>
      </c>
      <c r="B1302" s="9" t="s">
        <v>5870</v>
      </c>
      <c r="C1302" s="9" t="s">
        <v>1513</v>
      </c>
      <c r="D1302" s="9" t="s">
        <v>5871</v>
      </c>
      <c r="E1302" s="9" t="str">
        <f aca="false">IF(AND('Formation Ledger'!A1281&lt;&gt;"",'Formation Ledger'!V1281=0),"PASS","FAIL")</f>
        <v>PASS</v>
      </c>
      <c r="F1302" s="9" t="s">
        <v>76</v>
      </c>
      <c r="G1302" s="6"/>
      <c r="H1302" s="6"/>
      <c r="I1302" s="6"/>
      <c r="J1302" s="6"/>
      <c r="K1302" s="6"/>
      <c r="L1302" s="6"/>
      <c r="M1302" s="6"/>
      <c r="N1302" s="6"/>
      <c r="O1302" s="6"/>
      <c r="P1302" s="6"/>
      <c r="Q1302" s="6"/>
      <c r="R1302" s="6"/>
      <c r="S1302" s="6"/>
      <c r="T1302" s="6"/>
      <c r="U1302" s="6"/>
      <c r="V1302" s="6"/>
      <c r="W1302" s="6"/>
      <c r="X1302" s="6"/>
      <c r="Y1302" s="6"/>
      <c r="Z1302" s="6"/>
    </row>
    <row r="1303" customFormat="false" ht="15" hidden="false" customHeight="false" outlineLevel="0" collapsed="false">
      <c r="A1303" s="9" t="s">
        <v>7146</v>
      </c>
      <c r="B1303" s="9" t="s">
        <v>5870</v>
      </c>
      <c r="C1303" s="9" t="s">
        <v>1514</v>
      </c>
      <c r="D1303" s="9" t="s">
        <v>5871</v>
      </c>
      <c r="E1303" s="9" t="str">
        <f aca="false">IF(AND('Formation Ledger'!A1282&lt;&gt;"",'Formation Ledger'!V1282=0),"PASS","FAIL")</f>
        <v>PASS</v>
      </c>
      <c r="F1303" s="9" t="s">
        <v>76</v>
      </c>
      <c r="G1303" s="6"/>
      <c r="H1303" s="6"/>
      <c r="I1303" s="6"/>
      <c r="J1303" s="6"/>
      <c r="K1303" s="6"/>
      <c r="L1303" s="6"/>
      <c r="M1303" s="6"/>
      <c r="N1303" s="6"/>
      <c r="O1303" s="6"/>
      <c r="P1303" s="6"/>
      <c r="Q1303" s="6"/>
      <c r="R1303" s="6"/>
      <c r="S1303" s="6"/>
      <c r="T1303" s="6"/>
      <c r="U1303" s="6"/>
      <c r="V1303" s="6"/>
      <c r="W1303" s="6"/>
      <c r="X1303" s="6"/>
      <c r="Y1303" s="6"/>
      <c r="Z1303" s="6"/>
    </row>
    <row r="1304" customFormat="false" ht="15" hidden="false" customHeight="false" outlineLevel="0" collapsed="false">
      <c r="A1304" s="9" t="s">
        <v>7147</v>
      </c>
      <c r="B1304" s="9" t="s">
        <v>5870</v>
      </c>
      <c r="C1304" s="9" t="s">
        <v>1515</v>
      </c>
      <c r="D1304" s="9" t="s">
        <v>5871</v>
      </c>
      <c r="E1304" s="9" t="str">
        <f aca="false">IF(AND('Formation Ledger'!A1283&lt;&gt;"",'Formation Ledger'!V1283=0),"PASS","FAIL")</f>
        <v>PASS</v>
      </c>
      <c r="F1304" s="9" t="s">
        <v>76</v>
      </c>
      <c r="G1304" s="6"/>
      <c r="H1304" s="6"/>
      <c r="I1304" s="6"/>
      <c r="J1304" s="6"/>
      <c r="K1304" s="6"/>
      <c r="L1304" s="6"/>
      <c r="M1304" s="6"/>
      <c r="N1304" s="6"/>
      <c r="O1304" s="6"/>
      <c r="P1304" s="6"/>
      <c r="Q1304" s="6"/>
      <c r="R1304" s="6"/>
      <c r="S1304" s="6"/>
      <c r="T1304" s="6"/>
      <c r="U1304" s="6"/>
      <c r="V1304" s="6"/>
      <c r="W1304" s="6"/>
      <c r="X1304" s="6"/>
      <c r="Y1304" s="6"/>
      <c r="Z1304" s="6"/>
    </row>
    <row r="1305" customFormat="false" ht="15" hidden="false" customHeight="false" outlineLevel="0" collapsed="false">
      <c r="A1305" s="9" t="s">
        <v>7148</v>
      </c>
      <c r="B1305" s="9" t="s">
        <v>5870</v>
      </c>
      <c r="C1305" s="9" t="s">
        <v>1516</v>
      </c>
      <c r="D1305" s="9" t="s">
        <v>5871</v>
      </c>
      <c r="E1305" s="9" t="str">
        <f aca="false">IF(AND('Formation Ledger'!A1284&lt;&gt;"",'Formation Ledger'!V1284=0),"PASS","FAIL")</f>
        <v>PASS</v>
      </c>
      <c r="F1305" s="9" t="s">
        <v>76</v>
      </c>
      <c r="G1305" s="6"/>
      <c r="H1305" s="6"/>
      <c r="I1305" s="6"/>
      <c r="J1305" s="6"/>
      <c r="K1305" s="6"/>
      <c r="L1305" s="6"/>
      <c r="M1305" s="6"/>
      <c r="N1305" s="6"/>
      <c r="O1305" s="6"/>
      <c r="P1305" s="6"/>
      <c r="Q1305" s="6"/>
      <c r="R1305" s="6"/>
      <c r="S1305" s="6"/>
      <c r="T1305" s="6"/>
      <c r="U1305" s="6"/>
      <c r="V1305" s="6"/>
      <c r="W1305" s="6"/>
      <c r="X1305" s="6"/>
      <c r="Y1305" s="6"/>
      <c r="Z1305" s="6"/>
    </row>
    <row r="1306" customFormat="false" ht="15" hidden="false" customHeight="false" outlineLevel="0" collapsed="false">
      <c r="A1306" s="9" t="s">
        <v>7149</v>
      </c>
      <c r="B1306" s="9" t="s">
        <v>5870</v>
      </c>
      <c r="C1306" s="9" t="s">
        <v>1517</v>
      </c>
      <c r="D1306" s="9" t="s">
        <v>5871</v>
      </c>
      <c r="E1306" s="9" t="str">
        <f aca="false">IF(AND('Formation Ledger'!A1285&lt;&gt;"",'Formation Ledger'!V1285=0),"PASS","FAIL")</f>
        <v>PASS</v>
      </c>
      <c r="F1306" s="9" t="s">
        <v>76</v>
      </c>
      <c r="G1306" s="6"/>
      <c r="H1306" s="6"/>
      <c r="I1306" s="6"/>
      <c r="J1306" s="6"/>
      <c r="K1306" s="6"/>
      <c r="L1306" s="6"/>
      <c r="M1306" s="6"/>
      <c r="N1306" s="6"/>
      <c r="O1306" s="6"/>
      <c r="P1306" s="6"/>
      <c r="Q1306" s="6"/>
      <c r="R1306" s="6"/>
      <c r="S1306" s="6"/>
      <c r="T1306" s="6"/>
      <c r="U1306" s="6"/>
      <c r="V1306" s="6"/>
      <c r="W1306" s="6"/>
      <c r="X1306" s="6"/>
      <c r="Y1306" s="6"/>
      <c r="Z1306" s="6"/>
    </row>
    <row r="1307" customFormat="false" ht="15" hidden="false" customHeight="false" outlineLevel="0" collapsed="false">
      <c r="A1307" s="9" t="s">
        <v>7150</v>
      </c>
      <c r="B1307" s="9" t="s">
        <v>5870</v>
      </c>
      <c r="C1307" s="9" t="s">
        <v>1518</v>
      </c>
      <c r="D1307" s="9" t="s">
        <v>5871</v>
      </c>
      <c r="E1307" s="9" t="str">
        <f aca="false">IF(AND('Formation Ledger'!A1286&lt;&gt;"",'Formation Ledger'!V1286=0),"PASS","FAIL")</f>
        <v>PASS</v>
      </c>
      <c r="F1307" s="9" t="s">
        <v>76</v>
      </c>
      <c r="G1307" s="6"/>
      <c r="H1307" s="6"/>
      <c r="I1307" s="6"/>
      <c r="J1307" s="6"/>
      <c r="K1307" s="6"/>
      <c r="L1307" s="6"/>
      <c r="M1307" s="6"/>
      <c r="N1307" s="6"/>
      <c r="O1307" s="6"/>
      <c r="P1307" s="6"/>
      <c r="Q1307" s="6"/>
      <c r="R1307" s="6"/>
      <c r="S1307" s="6"/>
      <c r="T1307" s="6"/>
      <c r="U1307" s="6"/>
      <c r="V1307" s="6"/>
      <c r="W1307" s="6"/>
      <c r="X1307" s="6"/>
      <c r="Y1307" s="6"/>
      <c r="Z1307" s="6"/>
    </row>
    <row r="1308" customFormat="false" ht="15" hidden="false" customHeight="false" outlineLevel="0" collapsed="false">
      <c r="A1308" s="9" t="s">
        <v>7151</v>
      </c>
      <c r="B1308" s="9" t="s">
        <v>5870</v>
      </c>
      <c r="C1308" s="9" t="s">
        <v>1519</v>
      </c>
      <c r="D1308" s="9" t="s">
        <v>5871</v>
      </c>
      <c r="E1308" s="9" t="str">
        <f aca="false">IF(AND('Formation Ledger'!A1287&lt;&gt;"",'Formation Ledger'!V1287=0),"PASS","FAIL")</f>
        <v>PASS</v>
      </c>
      <c r="F1308" s="9" t="s">
        <v>76</v>
      </c>
      <c r="G1308" s="6"/>
      <c r="H1308" s="6"/>
      <c r="I1308" s="6"/>
      <c r="J1308" s="6"/>
      <c r="K1308" s="6"/>
      <c r="L1308" s="6"/>
      <c r="M1308" s="6"/>
      <c r="N1308" s="6"/>
      <c r="O1308" s="6"/>
      <c r="P1308" s="6"/>
      <c r="Q1308" s="6"/>
      <c r="R1308" s="6"/>
      <c r="S1308" s="6"/>
      <c r="T1308" s="6"/>
      <c r="U1308" s="6"/>
      <c r="V1308" s="6"/>
      <c r="W1308" s="6"/>
      <c r="X1308" s="6"/>
      <c r="Y1308" s="6"/>
      <c r="Z1308" s="6"/>
    </row>
    <row r="1309" customFormat="false" ht="15" hidden="false" customHeight="false" outlineLevel="0" collapsed="false">
      <c r="A1309" s="9" t="s">
        <v>7152</v>
      </c>
      <c r="B1309" s="9" t="s">
        <v>5870</v>
      </c>
      <c r="C1309" s="9" t="s">
        <v>1520</v>
      </c>
      <c r="D1309" s="9" t="s">
        <v>5871</v>
      </c>
      <c r="E1309" s="9" t="str">
        <f aca="false">IF(AND('Formation Ledger'!A1288&lt;&gt;"",'Formation Ledger'!V1288=0),"PASS","FAIL")</f>
        <v>PASS</v>
      </c>
      <c r="F1309" s="9" t="s">
        <v>76</v>
      </c>
      <c r="G1309" s="6"/>
      <c r="H1309" s="6"/>
      <c r="I1309" s="6"/>
      <c r="J1309" s="6"/>
      <c r="K1309" s="6"/>
      <c r="L1309" s="6"/>
      <c r="M1309" s="6"/>
      <c r="N1309" s="6"/>
      <c r="O1309" s="6"/>
      <c r="P1309" s="6"/>
      <c r="Q1309" s="6"/>
      <c r="R1309" s="6"/>
      <c r="S1309" s="6"/>
      <c r="T1309" s="6"/>
      <c r="U1309" s="6"/>
      <c r="V1309" s="6"/>
      <c r="W1309" s="6"/>
      <c r="X1309" s="6"/>
      <c r="Y1309" s="6"/>
      <c r="Z1309" s="6"/>
    </row>
    <row r="1310" customFormat="false" ht="15" hidden="false" customHeight="false" outlineLevel="0" collapsed="false">
      <c r="A1310" s="9" t="s">
        <v>7153</v>
      </c>
      <c r="B1310" s="9" t="s">
        <v>5870</v>
      </c>
      <c r="C1310" s="9" t="s">
        <v>1521</v>
      </c>
      <c r="D1310" s="9" t="s">
        <v>5871</v>
      </c>
      <c r="E1310" s="9" t="str">
        <f aca="false">IF(AND('Formation Ledger'!A1289&lt;&gt;"",'Formation Ledger'!V1289=0),"PASS","FAIL")</f>
        <v>PASS</v>
      </c>
      <c r="F1310" s="9" t="s">
        <v>76</v>
      </c>
      <c r="G1310" s="6"/>
      <c r="H1310" s="6"/>
      <c r="I1310" s="6"/>
      <c r="J1310" s="6"/>
      <c r="K1310" s="6"/>
      <c r="L1310" s="6"/>
      <c r="M1310" s="6"/>
      <c r="N1310" s="6"/>
      <c r="O1310" s="6"/>
      <c r="P1310" s="6"/>
      <c r="Q1310" s="6"/>
      <c r="R1310" s="6"/>
      <c r="S1310" s="6"/>
      <c r="T1310" s="6"/>
      <c r="U1310" s="6"/>
      <c r="V1310" s="6"/>
      <c r="W1310" s="6"/>
      <c r="X1310" s="6"/>
      <c r="Y1310" s="6"/>
      <c r="Z1310" s="6"/>
    </row>
    <row r="1311" customFormat="false" ht="15" hidden="false" customHeight="false" outlineLevel="0" collapsed="false">
      <c r="A1311" s="9" t="s">
        <v>7154</v>
      </c>
      <c r="B1311" s="9" t="s">
        <v>5870</v>
      </c>
      <c r="C1311" s="9" t="s">
        <v>1522</v>
      </c>
      <c r="D1311" s="9" t="s">
        <v>5871</v>
      </c>
      <c r="E1311" s="9" t="str">
        <f aca="false">IF(AND('Formation Ledger'!A1290&lt;&gt;"",'Formation Ledger'!V1290=0),"PASS","FAIL")</f>
        <v>PASS</v>
      </c>
      <c r="F1311" s="9" t="s">
        <v>76</v>
      </c>
      <c r="G1311" s="6"/>
      <c r="H1311" s="6"/>
      <c r="I1311" s="6"/>
      <c r="J1311" s="6"/>
      <c r="K1311" s="6"/>
      <c r="L1311" s="6"/>
      <c r="M1311" s="6"/>
      <c r="N1311" s="6"/>
      <c r="O1311" s="6"/>
      <c r="P1311" s="6"/>
      <c r="Q1311" s="6"/>
      <c r="R1311" s="6"/>
      <c r="S1311" s="6"/>
      <c r="T1311" s="6"/>
      <c r="U1311" s="6"/>
      <c r="V1311" s="6"/>
      <c r="W1311" s="6"/>
      <c r="X1311" s="6"/>
      <c r="Y1311" s="6"/>
      <c r="Z1311" s="6"/>
    </row>
    <row r="1312" customFormat="false" ht="15" hidden="false" customHeight="false" outlineLevel="0" collapsed="false">
      <c r="A1312" s="9" t="s">
        <v>7155</v>
      </c>
      <c r="B1312" s="9" t="s">
        <v>5870</v>
      </c>
      <c r="C1312" s="9" t="s">
        <v>1523</v>
      </c>
      <c r="D1312" s="9" t="s">
        <v>5871</v>
      </c>
      <c r="E1312" s="9" t="str">
        <f aca="false">IF(AND('Formation Ledger'!A1291&lt;&gt;"",'Formation Ledger'!V1291=0),"PASS","FAIL")</f>
        <v>PASS</v>
      </c>
      <c r="F1312" s="9" t="s">
        <v>76</v>
      </c>
      <c r="G1312" s="6"/>
      <c r="H1312" s="6"/>
      <c r="I1312" s="6"/>
      <c r="J1312" s="6"/>
      <c r="K1312" s="6"/>
      <c r="L1312" s="6"/>
      <c r="M1312" s="6"/>
      <c r="N1312" s="6"/>
      <c r="O1312" s="6"/>
      <c r="P1312" s="6"/>
      <c r="Q1312" s="6"/>
      <c r="R1312" s="6"/>
      <c r="S1312" s="6"/>
      <c r="T1312" s="6"/>
      <c r="U1312" s="6"/>
      <c r="V1312" s="6"/>
      <c r="W1312" s="6"/>
      <c r="X1312" s="6"/>
      <c r="Y1312" s="6"/>
      <c r="Z1312" s="6"/>
    </row>
    <row r="1313" customFormat="false" ht="15" hidden="false" customHeight="false" outlineLevel="0" collapsed="false">
      <c r="A1313" s="9" t="s">
        <v>7156</v>
      </c>
      <c r="B1313" s="9" t="s">
        <v>5870</v>
      </c>
      <c r="C1313" s="9" t="s">
        <v>1524</v>
      </c>
      <c r="D1313" s="9" t="s">
        <v>5871</v>
      </c>
      <c r="E1313" s="9" t="str">
        <f aca="false">IF(AND('Formation Ledger'!A1292&lt;&gt;"",'Formation Ledger'!V1292=0),"PASS","FAIL")</f>
        <v>PASS</v>
      </c>
      <c r="F1313" s="9" t="s">
        <v>76</v>
      </c>
      <c r="G1313" s="6"/>
      <c r="H1313" s="6"/>
      <c r="I1313" s="6"/>
      <c r="J1313" s="6"/>
      <c r="K1313" s="6"/>
      <c r="L1313" s="6"/>
      <c r="M1313" s="6"/>
      <c r="N1313" s="6"/>
      <c r="O1313" s="6"/>
      <c r="P1313" s="6"/>
      <c r="Q1313" s="6"/>
      <c r="R1313" s="6"/>
      <c r="S1313" s="6"/>
      <c r="T1313" s="6"/>
      <c r="U1313" s="6"/>
      <c r="V1313" s="6"/>
      <c r="W1313" s="6"/>
      <c r="X1313" s="6"/>
      <c r="Y1313" s="6"/>
      <c r="Z1313" s="6"/>
    </row>
    <row r="1314" customFormat="false" ht="15" hidden="false" customHeight="false" outlineLevel="0" collapsed="false">
      <c r="A1314" s="9" t="s">
        <v>7157</v>
      </c>
      <c r="B1314" s="9" t="s">
        <v>5870</v>
      </c>
      <c r="C1314" s="9" t="s">
        <v>1525</v>
      </c>
      <c r="D1314" s="9" t="s">
        <v>5871</v>
      </c>
      <c r="E1314" s="9" t="str">
        <f aca="false">IF(AND('Formation Ledger'!A1293&lt;&gt;"",'Formation Ledger'!V1293=0),"PASS","FAIL")</f>
        <v>PASS</v>
      </c>
      <c r="F1314" s="9" t="s">
        <v>76</v>
      </c>
      <c r="G1314" s="6"/>
      <c r="H1314" s="6"/>
      <c r="I1314" s="6"/>
      <c r="J1314" s="6"/>
      <c r="K1314" s="6"/>
      <c r="L1314" s="6"/>
      <c r="M1314" s="6"/>
      <c r="N1314" s="6"/>
      <c r="O1314" s="6"/>
      <c r="P1314" s="6"/>
      <c r="Q1314" s="6"/>
      <c r="R1314" s="6"/>
      <c r="S1314" s="6"/>
      <c r="T1314" s="6"/>
      <c r="U1314" s="6"/>
      <c r="V1314" s="6"/>
      <c r="W1314" s="6"/>
      <c r="X1314" s="6"/>
      <c r="Y1314" s="6"/>
      <c r="Z1314" s="6"/>
    </row>
    <row r="1315" customFormat="false" ht="15" hidden="false" customHeight="false" outlineLevel="0" collapsed="false">
      <c r="A1315" s="9" t="s">
        <v>7158</v>
      </c>
      <c r="B1315" s="9" t="s">
        <v>5870</v>
      </c>
      <c r="C1315" s="9" t="s">
        <v>1526</v>
      </c>
      <c r="D1315" s="9" t="s">
        <v>5871</v>
      </c>
      <c r="E1315" s="9" t="str">
        <f aca="false">IF(AND('Formation Ledger'!A1294&lt;&gt;"",'Formation Ledger'!V1294=0),"PASS","FAIL")</f>
        <v>PASS</v>
      </c>
      <c r="F1315" s="9" t="s">
        <v>76</v>
      </c>
      <c r="G1315" s="6"/>
      <c r="H1315" s="6"/>
      <c r="I1315" s="6"/>
      <c r="J1315" s="6"/>
      <c r="K1315" s="6"/>
      <c r="L1315" s="6"/>
      <c r="M1315" s="6"/>
      <c r="N1315" s="6"/>
      <c r="O1315" s="6"/>
      <c r="P1315" s="6"/>
      <c r="Q1315" s="6"/>
      <c r="R1315" s="6"/>
      <c r="S1315" s="6"/>
      <c r="T1315" s="6"/>
      <c r="U1315" s="6"/>
      <c r="V1315" s="6"/>
      <c r="W1315" s="6"/>
      <c r="X1315" s="6"/>
      <c r="Y1315" s="6"/>
      <c r="Z1315" s="6"/>
    </row>
    <row r="1316" customFormat="false" ht="15" hidden="false" customHeight="false" outlineLevel="0" collapsed="false">
      <c r="A1316" s="9" t="s">
        <v>7159</v>
      </c>
      <c r="B1316" s="9" t="s">
        <v>5870</v>
      </c>
      <c r="C1316" s="9" t="s">
        <v>1527</v>
      </c>
      <c r="D1316" s="9" t="s">
        <v>5871</v>
      </c>
      <c r="E1316" s="9" t="str">
        <f aca="false">IF(AND('Formation Ledger'!A1295&lt;&gt;"",'Formation Ledger'!V1295=0),"PASS","FAIL")</f>
        <v>PASS</v>
      </c>
      <c r="F1316" s="9" t="s">
        <v>76</v>
      </c>
      <c r="G1316" s="6"/>
      <c r="H1316" s="6"/>
      <c r="I1316" s="6"/>
      <c r="J1316" s="6"/>
      <c r="K1316" s="6"/>
      <c r="L1316" s="6"/>
      <c r="M1316" s="6"/>
      <c r="N1316" s="6"/>
      <c r="O1316" s="6"/>
      <c r="P1316" s="6"/>
      <c r="Q1316" s="6"/>
      <c r="R1316" s="6"/>
      <c r="S1316" s="6"/>
      <c r="T1316" s="6"/>
      <c r="U1316" s="6"/>
      <c r="V1316" s="6"/>
      <c r="W1316" s="6"/>
      <c r="X1316" s="6"/>
      <c r="Y1316" s="6"/>
      <c r="Z1316" s="6"/>
    </row>
    <row r="1317" customFormat="false" ht="15" hidden="false" customHeight="false" outlineLevel="0" collapsed="false">
      <c r="A1317" s="9" t="s">
        <v>7160</v>
      </c>
      <c r="B1317" s="9" t="s">
        <v>5870</v>
      </c>
      <c r="C1317" s="9" t="s">
        <v>1528</v>
      </c>
      <c r="D1317" s="9" t="s">
        <v>5871</v>
      </c>
      <c r="E1317" s="9" t="str">
        <f aca="false">IF(AND('Formation Ledger'!A1296&lt;&gt;"",'Formation Ledger'!V1296=0),"PASS","FAIL")</f>
        <v>PASS</v>
      </c>
      <c r="F1317" s="9" t="s">
        <v>76</v>
      </c>
      <c r="G1317" s="6"/>
      <c r="H1317" s="6"/>
      <c r="I1317" s="6"/>
      <c r="J1317" s="6"/>
      <c r="K1317" s="6"/>
      <c r="L1317" s="6"/>
      <c r="M1317" s="6"/>
      <c r="N1317" s="6"/>
      <c r="O1317" s="6"/>
      <c r="P1317" s="6"/>
      <c r="Q1317" s="6"/>
      <c r="R1317" s="6"/>
      <c r="S1317" s="6"/>
      <c r="T1317" s="6"/>
      <c r="U1317" s="6"/>
      <c r="V1317" s="6"/>
      <c r="W1317" s="6"/>
      <c r="X1317" s="6"/>
      <c r="Y1317" s="6"/>
      <c r="Z1317" s="6"/>
    </row>
    <row r="1318" customFormat="false" ht="15" hidden="false" customHeight="false" outlineLevel="0" collapsed="false">
      <c r="A1318" s="9" t="s">
        <v>7161</v>
      </c>
      <c r="B1318" s="9" t="s">
        <v>5870</v>
      </c>
      <c r="C1318" s="9" t="s">
        <v>1529</v>
      </c>
      <c r="D1318" s="9" t="s">
        <v>5871</v>
      </c>
      <c r="E1318" s="9" t="str">
        <f aca="false">IF(AND('Formation Ledger'!A1297&lt;&gt;"",'Formation Ledger'!V1297=0),"PASS","FAIL")</f>
        <v>PASS</v>
      </c>
      <c r="F1318" s="9" t="s">
        <v>76</v>
      </c>
      <c r="G1318" s="6"/>
      <c r="H1318" s="6"/>
      <c r="I1318" s="6"/>
      <c r="J1318" s="6"/>
      <c r="K1318" s="6"/>
      <c r="L1318" s="6"/>
      <c r="M1318" s="6"/>
      <c r="N1318" s="6"/>
      <c r="O1318" s="6"/>
      <c r="P1318" s="6"/>
      <c r="Q1318" s="6"/>
      <c r="R1318" s="6"/>
      <c r="S1318" s="6"/>
      <c r="T1318" s="6"/>
      <c r="U1318" s="6"/>
      <c r="V1318" s="6"/>
      <c r="W1318" s="6"/>
      <c r="X1318" s="6"/>
      <c r="Y1318" s="6"/>
      <c r="Z1318" s="6"/>
    </row>
    <row r="1319" customFormat="false" ht="15" hidden="false" customHeight="false" outlineLevel="0" collapsed="false">
      <c r="A1319" s="9" t="s">
        <v>7162</v>
      </c>
      <c r="B1319" s="9" t="s">
        <v>5870</v>
      </c>
      <c r="C1319" s="9" t="s">
        <v>1530</v>
      </c>
      <c r="D1319" s="9" t="s">
        <v>5871</v>
      </c>
      <c r="E1319" s="9" t="str">
        <f aca="false">IF(AND('Formation Ledger'!A1298&lt;&gt;"",'Formation Ledger'!V1298=0),"PASS","FAIL")</f>
        <v>PASS</v>
      </c>
      <c r="F1319" s="9" t="s">
        <v>76</v>
      </c>
      <c r="G1319" s="6"/>
      <c r="H1319" s="6"/>
      <c r="I1319" s="6"/>
      <c r="J1319" s="6"/>
      <c r="K1319" s="6"/>
      <c r="L1319" s="6"/>
      <c r="M1319" s="6"/>
      <c r="N1319" s="6"/>
      <c r="O1319" s="6"/>
      <c r="P1319" s="6"/>
      <c r="Q1319" s="6"/>
      <c r="R1319" s="6"/>
      <c r="S1319" s="6"/>
      <c r="T1319" s="6"/>
      <c r="U1319" s="6"/>
      <c r="V1319" s="6"/>
      <c r="W1319" s="6"/>
      <c r="X1319" s="6"/>
      <c r="Y1319" s="6"/>
      <c r="Z1319" s="6"/>
    </row>
    <row r="1320" customFormat="false" ht="15" hidden="false" customHeight="false" outlineLevel="0" collapsed="false">
      <c r="A1320" s="9" t="s">
        <v>7163</v>
      </c>
      <c r="B1320" s="9" t="s">
        <v>5870</v>
      </c>
      <c r="C1320" s="9" t="s">
        <v>1531</v>
      </c>
      <c r="D1320" s="9" t="s">
        <v>5871</v>
      </c>
      <c r="E1320" s="9" t="str">
        <f aca="false">IF(AND('Formation Ledger'!A1299&lt;&gt;"",'Formation Ledger'!V1299=0),"PASS","FAIL")</f>
        <v>PASS</v>
      </c>
      <c r="F1320" s="9" t="s">
        <v>76</v>
      </c>
      <c r="G1320" s="6"/>
      <c r="H1320" s="6"/>
      <c r="I1320" s="6"/>
      <c r="J1320" s="6"/>
      <c r="K1320" s="6"/>
      <c r="L1320" s="6"/>
      <c r="M1320" s="6"/>
      <c r="N1320" s="6"/>
      <c r="O1320" s="6"/>
      <c r="P1320" s="6"/>
      <c r="Q1320" s="6"/>
      <c r="R1320" s="6"/>
      <c r="S1320" s="6"/>
      <c r="T1320" s="6"/>
      <c r="U1320" s="6"/>
      <c r="V1320" s="6"/>
      <c r="W1320" s="6"/>
      <c r="X1320" s="6"/>
      <c r="Y1320" s="6"/>
      <c r="Z1320" s="6"/>
    </row>
    <row r="1321" customFormat="false" ht="15" hidden="false" customHeight="false" outlineLevel="0" collapsed="false">
      <c r="A1321" s="9" t="s">
        <v>7164</v>
      </c>
      <c r="B1321" s="9" t="s">
        <v>5870</v>
      </c>
      <c r="C1321" s="9" t="s">
        <v>1532</v>
      </c>
      <c r="D1321" s="9" t="s">
        <v>5871</v>
      </c>
      <c r="E1321" s="9" t="str">
        <f aca="false">IF(AND('Formation Ledger'!A1300&lt;&gt;"",'Formation Ledger'!V1300=0),"PASS","FAIL")</f>
        <v>PASS</v>
      </c>
      <c r="F1321" s="9" t="s">
        <v>76</v>
      </c>
      <c r="G1321" s="6"/>
      <c r="H1321" s="6"/>
      <c r="I1321" s="6"/>
      <c r="J1321" s="6"/>
      <c r="K1321" s="6"/>
      <c r="L1321" s="6"/>
      <c r="M1321" s="6"/>
      <c r="N1321" s="6"/>
      <c r="O1321" s="6"/>
      <c r="P1321" s="6"/>
      <c r="Q1321" s="6"/>
      <c r="R1321" s="6"/>
      <c r="S1321" s="6"/>
      <c r="T1321" s="6"/>
      <c r="U1321" s="6"/>
      <c r="V1321" s="6"/>
      <c r="W1321" s="6"/>
      <c r="X1321" s="6"/>
      <c r="Y1321" s="6"/>
      <c r="Z1321" s="6"/>
    </row>
    <row r="1322" customFormat="false" ht="15" hidden="false" customHeight="false" outlineLevel="0" collapsed="false">
      <c r="A1322" s="9" t="s">
        <v>7165</v>
      </c>
      <c r="B1322" s="9" t="s">
        <v>5870</v>
      </c>
      <c r="C1322" s="9" t="s">
        <v>1533</v>
      </c>
      <c r="D1322" s="9" t="s">
        <v>5871</v>
      </c>
      <c r="E1322" s="9" t="str">
        <f aca="false">IF(AND('Formation Ledger'!A1301&lt;&gt;"",'Formation Ledger'!V1301=0),"PASS","FAIL")</f>
        <v>PASS</v>
      </c>
      <c r="F1322" s="9" t="s">
        <v>76</v>
      </c>
      <c r="G1322" s="6"/>
      <c r="H1322" s="6"/>
      <c r="I1322" s="6"/>
      <c r="J1322" s="6"/>
      <c r="K1322" s="6"/>
      <c r="L1322" s="6"/>
      <c r="M1322" s="6"/>
      <c r="N1322" s="6"/>
      <c r="O1322" s="6"/>
      <c r="P1322" s="6"/>
      <c r="Q1322" s="6"/>
      <c r="R1322" s="6"/>
      <c r="S1322" s="6"/>
      <c r="T1322" s="6"/>
      <c r="U1322" s="6"/>
      <c r="V1322" s="6"/>
      <c r="W1322" s="6"/>
      <c r="X1322" s="6"/>
      <c r="Y1322" s="6"/>
      <c r="Z1322" s="6"/>
    </row>
    <row r="1323" customFormat="false" ht="15" hidden="false" customHeight="false" outlineLevel="0" collapsed="false">
      <c r="A1323" s="9" t="s">
        <v>7166</v>
      </c>
      <c r="B1323" s="9" t="s">
        <v>5870</v>
      </c>
      <c r="C1323" s="9" t="s">
        <v>1534</v>
      </c>
      <c r="D1323" s="9" t="s">
        <v>5871</v>
      </c>
      <c r="E1323" s="9" t="str">
        <f aca="false">IF(AND('Formation Ledger'!A1302&lt;&gt;"",'Formation Ledger'!V1302=0),"PASS","FAIL")</f>
        <v>PASS</v>
      </c>
      <c r="F1323" s="9" t="s">
        <v>76</v>
      </c>
      <c r="G1323" s="6"/>
      <c r="H1323" s="6"/>
      <c r="I1323" s="6"/>
      <c r="J1323" s="6"/>
      <c r="K1323" s="6"/>
      <c r="L1323" s="6"/>
      <c r="M1323" s="6"/>
      <c r="N1323" s="6"/>
      <c r="O1323" s="6"/>
      <c r="P1323" s="6"/>
      <c r="Q1323" s="6"/>
      <c r="R1323" s="6"/>
      <c r="S1323" s="6"/>
      <c r="T1323" s="6"/>
      <c r="U1323" s="6"/>
      <c r="V1323" s="6"/>
      <c r="W1323" s="6"/>
      <c r="X1323" s="6"/>
      <c r="Y1323" s="6"/>
      <c r="Z1323" s="6"/>
    </row>
    <row r="1324" customFormat="false" ht="15" hidden="false" customHeight="false" outlineLevel="0" collapsed="false">
      <c r="A1324" s="9" t="s">
        <v>7167</v>
      </c>
      <c r="B1324" s="9" t="s">
        <v>5870</v>
      </c>
      <c r="C1324" s="9" t="s">
        <v>1535</v>
      </c>
      <c r="D1324" s="9" t="s">
        <v>5871</v>
      </c>
      <c r="E1324" s="9" t="str">
        <f aca="false">IF(AND('Formation Ledger'!A1303&lt;&gt;"",'Formation Ledger'!V1303=0),"PASS","FAIL")</f>
        <v>PASS</v>
      </c>
      <c r="F1324" s="9" t="s">
        <v>76</v>
      </c>
      <c r="G1324" s="6"/>
      <c r="H1324" s="6"/>
      <c r="I1324" s="6"/>
      <c r="J1324" s="6"/>
      <c r="K1324" s="6"/>
      <c r="L1324" s="6"/>
      <c r="M1324" s="6"/>
      <c r="N1324" s="6"/>
      <c r="O1324" s="6"/>
      <c r="P1324" s="6"/>
      <c r="Q1324" s="6"/>
      <c r="R1324" s="6"/>
      <c r="S1324" s="6"/>
      <c r="T1324" s="6"/>
      <c r="U1324" s="6"/>
      <c r="V1324" s="6"/>
      <c r="W1324" s="6"/>
      <c r="X1324" s="6"/>
      <c r="Y1324" s="6"/>
      <c r="Z1324" s="6"/>
    </row>
    <row r="1325" customFormat="false" ht="15" hidden="false" customHeight="false" outlineLevel="0" collapsed="false">
      <c r="A1325" s="9" t="s">
        <v>7168</v>
      </c>
      <c r="B1325" s="9" t="s">
        <v>5870</v>
      </c>
      <c r="C1325" s="9" t="s">
        <v>1536</v>
      </c>
      <c r="D1325" s="9" t="s">
        <v>5871</v>
      </c>
      <c r="E1325" s="9" t="str">
        <f aca="false">IF(AND('Formation Ledger'!A1304&lt;&gt;"",'Formation Ledger'!V1304=0),"PASS","FAIL")</f>
        <v>PASS</v>
      </c>
      <c r="F1325" s="9" t="s">
        <v>76</v>
      </c>
      <c r="G1325" s="6"/>
      <c r="H1325" s="6"/>
      <c r="I1325" s="6"/>
      <c r="J1325" s="6"/>
      <c r="K1325" s="6"/>
      <c r="L1325" s="6"/>
      <c r="M1325" s="6"/>
      <c r="N1325" s="6"/>
      <c r="O1325" s="6"/>
      <c r="P1325" s="6"/>
      <c r="Q1325" s="6"/>
      <c r="R1325" s="6"/>
      <c r="S1325" s="6"/>
      <c r="T1325" s="6"/>
      <c r="U1325" s="6"/>
      <c r="V1325" s="6"/>
      <c r="W1325" s="6"/>
      <c r="X1325" s="6"/>
      <c r="Y1325" s="6"/>
      <c r="Z1325" s="6"/>
    </row>
    <row r="1326" customFormat="false" ht="15" hidden="false" customHeight="false" outlineLevel="0" collapsed="false">
      <c r="A1326" s="9" t="s">
        <v>7169</v>
      </c>
      <c r="B1326" s="9" t="s">
        <v>5870</v>
      </c>
      <c r="C1326" s="9" t="s">
        <v>1537</v>
      </c>
      <c r="D1326" s="9" t="s">
        <v>5871</v>
      </c>
      <c r="E1326" s="9" t="str">
        <f aca="false">IF(AND('Formation Ledger'!A1305&lt;&gt;"",'Formation Ledger'!V1305=0),"PASS","FAIL")</f>
        <v>PASS</v>
      </c>
      <c r="F1326" s="9" t="s">
        <v>76</v>
      </c>
      <c r="G1326" s="6"/>
      <c r="H1326" s="6"/>
      <c r="I1326" s="6"/>
      <c r="J1326" s="6"/>
      <c r="K1326" s="6"/>
      <c r="L1326" s="6"/>
      <c r="M1326" s="6"/>
      <c r="N1326" s="6"/>
      <c r="O1326" s="6"/>
      <c r="P1326" s="6"/>
      <c r="Q1326" s="6"/>
      <c r="R1326" s="6"/>
      <c r="S1326" s="6"/>
      <c r="T1326" s="6"/>
      <c r="U1326" s="6"/>
      <c r="V1326" s="6"/>
      <c r="W1326" s="6"/>
      <c r="X1326" s="6"/>
      <c r="Y1326" s="6"/>
      <c r="Z1326" s="6"/>
    </row>
    <row r="1327" customFormat="false" ht="15" hidden="false" customHeight="false" outlineLevel="0" collapsed="false">
      <c r="A1327" s="9" t="s">
        <v>7170</v>
      </c>
      <c r="B1327" s="9" t="s">
        <v>5870</v>
      </c>
      <c r="C1327" s="9" t="s">
        <v>1538</v>
      </c>
      <c r="D1327" s="9" t="s">
        <v>5871</v>
      </c>
      <c r="E1327" s="9" t="str">
        <f aca="false">IF(AND('Formation Ledger'!A1306&lt;&gt;"",'Formation Ledger'!V1306=0),"PASS","FAIL")</f>
        <v>PASS</v>
      </c>
      <c r="F1327" s="9" t="s">
        <v>76</v>
      </c>
      <c r="G1327" s="6"/>
      <c r="H1327" s="6"/>
      <c r="I1327" s="6"/>
      <c r="J1327" s="6"/>
      <c r="K1327" s="6"/>
      <c r="L1327" s="6"/>
      <c r="M1327" s="6"/>
      <c r="N1327" s="6"/>
      <c r="O1327" s="6"/>
      <c r="P1327" s="6"/>
      <c r="Q1327" s="6"/>
      <c r="R1327" s="6"/>
      <c r="S1327" s="6"/>
      <c r="T1327" s="6"/>
      <c r="U1327" s="6"/>
      <c r="V1327" s="6"/>
      <c r="W1327" s="6"/>
      <c r="X1327" s="6"/>
      <c r="Y1327" s="6"/>
      <c r="Z1327" s="6"/>
    </row>
    <row r="1328" customFormat="false" ht="15" hidden="false" customHeight="false" outlineLevel="0" collapsed="false">
      <c r="A1328" s="9" t="s">
        <v>7171</v>
      </c>
      <c r="B1328" s="9" t="s">
        <v>5870</v>
      </c>
      <c r="C1328" s="9" t="s">
        <v>1539</v>
      </c>
      <c r="D1328" s="9" t="s">
        <v>5871</v>
      </c>
      <c r="E1328" s="9" t="str">
        <f aca="false">IF(AND('Formation Ledger'!A1307&lt;&gt;"",'Formation Ledger'!V1307=0),"PASS","FAIL")</f>
        <v>PASS</v>
      </c>
      <c r="F1328" s="9" t="s">
        <v>76</v>
      </c>
      <c r="G1328" s="6"/>
      <c r="H1328" s="6"/>
      <c r="I1328" s="6"/>
      <c r="J1328" s="6"/>
      <c r="K1328" s="6"/>
      <c r="L1328" s="6"/>
      <c r="M1328" s="6"/>
      <c r="N1328" s="6"/>
      <c r="O1328" s="6"/>
      <c r="P1328" s="6"/>
      <c r="Q1328" s="6"/>
      <c r="R1328" s="6"/>
      <c r="S1328" s="6"/>
      <c r="T1328" s="6"/>
      <c r="U1328" s="6"/>
      <c r="V1328" s="6"/>
      <c r="W1328" s="6"/>
      <c r="X1328" s="6"/>
      <c r="Y1328" s="6"/>
      <c r="Z1328" s="6"/>
    </row>
    <row r="1329" customFormat="false" ht="15" hidden="false" customHeight="false" outlineLevel="0" collapsed="false">
      <c r="A1329" s="9" t="s">
        <v>7172</v>
      </c>
      <c r="B1329" s="9" t="s">
        <v>5870</v>
      </c>
      <c r="C1329" s="9" t="s">
        <v>1540</v>
      </c>
      <c r="D1329" s="9" t="s">
        <v>5871</v>
      </c>
      <c r="E1329" s="9" t="str">
        <f aca="false">IF(AND('Formation Ledger'!A1308&lt;&gt;"",'Formation Ledger'!V1308=0),"PASS","FAIL")</f>
        <v>PASS</v>
      </c>
      <c r="F1329" s="9" t="s">
        <v>76</v>
      </c>
      <c r="G1329" s="6"/>
      <c r="H1329" s="6"/>
      <c r="I1329" s="6"/>
      <c r="J1329" s="6"/>
      <c r="K1329" s="6"/>
      <c r="L1329" s="6"/>
      <c r="M1329" s="6"/>
      <c r="N1329" s="6"/>
      <c r="O1329" s="6"/>
      <c r="P1329" s="6"/>
      <c r="Q1329" s="6"/>
      <c r="R1329" s="6"/>
      <c r="S1329" s="6"/>
      <c r="T1329" s="6"/>
      <c r="U1329" s="6"/>
      <c r="V1329" s="6"/>
      <c r="W1329" s="6"/>
      <c r="X1329" s="6"/>
      <c r="Y1329" s="6"/>
      <c r="Z1329" s="6"/>
    </row>
    <row r="1330" customFormat="false" ht="15" hidden="false" customHeight="false" outlineLevel="0" collapsed="false">
      <c r="A1330" s="9" t="s">
        <v>7173</v>
      </c>
      <c r="B1330" s="9" t="s">
        <v>5870</v>
      </c>
      <c r="C1330" s="9" t="s">
        <v>1541</v>
      </c>
      <c r="D1330" s="9" t="s">
        <v>5871</v>
      </c>
      <c r="E1330" s="9" t="str">
        <f aca="false">IF(AND('Formation Ledger'!A1309&lt;&gt;"",'Formation Ledger'!V1309=0),"PASS","FAIL")</f>
        <v>PASS</v>
      </c>
      <c r="F1330" s="9" t="s">
        <v>76</v>
      </c>
      <c r="G1330" s="6"/>
      <c r="H1330" s="6"/>
      <c r="I1330" s="6"/>
      <c r="J1330" s="6"/>
      <c r="K1330" s="6"/>
      <c r="L1330" s="6"/>
      <c r="M1330" s="6"/>
      <c r="N1330" s="6"/>
      <c r="O1330" s="6"/>
      <c r="P1330" s="6"/>
      <c r="Q1330" s="6"/>
      <c r="R1330" s="6"/>
      <c r="S1330" s="6"/>
      <c r="T1330" s="6"/>
      <c r="U1330" s="6"/>
      <c r="V1330" s="6"/>
      <c r="W1330" s="6"/>
      <c r="X1330" s="6"/>
      <c r="Y1330" s="6"/>
      <c r="Z1330" s="6"/>
    </row>
    <row r="1331" customFormat="false" ht="15" hidden="false" customHeight="false" outlineLevel="0" collapsed="false">
      <c r="A1331" s="9" t="s">
        <v>7174</v>
      </c>
      <c r="B1331" s="9" t="s">
        <v>5870</v>
      </c>
      <c r="C1331" s="9" t="s">
        <v>1542</v>
      </c>
      <c r="D1331" s="9" t="s">
        <v>5871</v>
      </c>
      <c r="E1331" s="9" t="str">
        <f aca="false">IF(AND('Formation Ledger'!A1310&lt;&gt;"",'Formation Ledger'!V1310=0),"PASS","FAIL")</f>
        <v>PASS</v>
      </c>
      <c r="F1331" s="9" t="s">
        <v>76</v>
      </c>
      <c r="G1331" s="6"/>
      <c r="H1331" s="6"/>
      <c r="I1331" s="6"/>
      <c r="J1331" s="6"/>
      <c r="K1331" s="6"/>
      <c r="L1331" s="6"/>
      <c r="M1331" s="6"/>
      <c r="N1331" s="6"/>
      <c r="O1331" s="6"/>
      <c r="P1331" s="6"/>
      <c r="Q1331" s="6"/>
      <c r="R1331" s="6"/>
      <c r="S1331" s="6"/>
      <c r="T1331" s="6"/>
      <c r="U1331" s="6"/>
      <c r="V1331" s="6"/>
      <c r="W1331" s="6"/>
      <c r="X1331" s="6"/>
      <c r="Y1331" s="6"/>
      <c r="Z1331" s="6"/>
    </row>
    <row r="1332" customFormat="false" ht="15" hidden="false" customHeight="false" outlineLevel="0" collapsed="false">
      <c r="A1332" s="9" t="s">
        <v>7175</v>
      </c>
      <c r="B1332" s="9" t="s">
        <v>5870</v>
      </c>
      <c r="C1332" s="9" t="s">
        <v>1543</v>
      </c>
      <c r="D1332" s="9" t="s">
        <v>5871</v>
      </c>
      <c r="E1332" s="9" t="str">
        <f aca="false">IF(AND('Formation Ledger'!A1311&lt;&gt;"",'Formation Ledger'!V1311=0),"PASS","FAIL")</f>
        <v>PASS</v>
      </c>
      <c r="F1332" s="9" t="s">
        <v>76</v>
      </c>
      <c r="G1332" s="6"/>
      <c r="H1332" s="6"/>
      <c r="I1332" s="6"/>
      <c r="J1332" s="6"/>
      <c r="K1332" s="6"/>
      <c r="L1332" s="6"/>
      <c r="M1332" s="6"/>
      <c r="N1332" s="6"/>
      <c r="O1332" s="6"/>
      <c r="P1332" s="6"/>
      <c r="Q1332" s="6"/>
      <c r="R1332" s="6"/>
      <c r="S1332" s="6"/>
      <c r="T1332" s="6"/>
      <c r="U1332" s="6"/>
      <c r="V1332" s="6"/>
      <c r="W1332" s="6"/>
      <c r="X1332" s="6"/>
      <c r="Y1332" s="6"/>
      <c r="Z1332" s="6"/>
    </row>
    <row r="1333" customFormat="false" ht="15" hidden="false" customHeight="false" outlineLevel="0" collapsed="false">
      <c r="A1333" s="9" t="s">
        <v>7176</v>
      </c>
      <c r="B1333" s="9" t="s">
        <v>5870</v>
      </c>
      <c r="C1333" s="9" t="s">
        <v>1544</v>
      </c>
      <c r="D1333" s="9" t="s">
        <v>5871</v>
      </c>
      <c r="E1333" s="9" t="str">
        <f aca="false">IF(AND('Formation Ledger'!A1312&lt;&gt;"",'Formation Ledger'!V1312=0),"PASS","FAIL")</f>
        <v>PASS</v>
      </c>
      <c r="F1333" s="9" t="s">
        <v>76</v>
      </c>
      <c r="G1333" s="6"/>
      <c r="H1333" s="6"/>
      <c r="I1333" s="6"/>
      <c r="J1333" s="6"/>
      <c r="K1333" s="6"/>
      <c r="L1333" s="6"/>
      <c r="M1333" s="6"/>
      <c r="N1333" s="6"/>
      <c r="O1333" s="6"/>
      <c r="P1333" s="6"/>
      <c r="Q1333" s="6"/>
      <c r="R1333" s="6"/>
      <c r="S1333" s="6"/>
      <c r="T1333" s="6"/>
      <c r="U1333" s="6"/>
      <c r="V1333" s="6"/>
      <c r="W1333" s="6"/>
      <c r="X1333" s="6"/>
      <c r="Y1333" s="6"/>
      <c r="Z1333" s="6"/>
    </row>
    <row r="1334" customFormat="false" ht="15" hidden="false" customHeight="false" outlineLevel="0" collapsed="false">
      <c r="A1334" s="9" t="s">
        <v>7177</v>
      </c>
      <c r="B1334" s="9" t="s">
        <v>5870</v>
      </c>
      <c r="C1334" s="9" t="s">
        <v>1545</v>
      </c>
      <c r="D1334" s="9" t="s">
        <v>5871</v>
      </c>
      <c r="E1334" s="9" t="str">
        <f aca="false">IF(AND('Formation Ledger'!A1313&lt;&gt;"",'Formation Ledger'!V1313=0),"PASS","FAIL")</f>
        <v>PASS</v>
      </c>
      <c r="F1334" s="9" t="s">
        <v>76</v>
      </c>
      <c r="G1334" s="6"/>
      <c r="H1334" s="6"/>
      <c r="I1334" s="6"/>
      <c r="J1334" s="6"/>
      <c r="K1334" s="6"/>
      <c r="L1334" s="6"/>
      <c r="M1334" s="6"/>
      <c r="N1334" s="6"/>
      <c r="O1334" s="6"/>
      <c r="P1334" s="6"/>
      <c r="Q1334" s="6"/>
      <c r="R1334" s="6"/>
      <c r="S1334" s="6"/>
      <c r="T1334" s="6"/>
      <c r="U1334" s="6"/>
      <c r="V1334" s="6"/>
      <c r="W1334" s="6"/>
      <c r="X1334" s="6"/>
      <c r="Y1334" s="6"/>
      <c r="Z1334" s="6"/>
    </row>
    <row r="1335" customFormat="false" ht="15" hidden="false" customHeight="false" outlineLevel="0" collapsed="false">
      <c r="A1335" s="9" t="s">
        <v>7178</v>
      </c>
      <c r="B1335" s="9" t="s">
        <v>5870</v>
      </c>
      <c r="C1335" s="9" t="s">
        <v>1546</v>
      </c>
      <c r="D1335" s="9" t="s">
        <v>5871</v>
      </c>
      <c r="E1335" s="9" t="str">
        <f aca="false">IF(AND('Formation Ledger'!A1314&lt;&gt;"",'Formation Ledger'!V1314=0),"PASS","FAIL")</f>
        <v>PASS</v>
      </c>
      <c r="F1335" s="9" t="s">
        <v>76</v>
      </c>
      <c r="G1335" s="6"/>
      <c r="H1335" s="6"/>
      <c r="I1335" s="6"/>
      <c r="J1335" s="6"/>
      <c r="K1335" s="6"/>
      <c r="L1335" s="6"/>
      <c r="M1335" s="6"/>
      <c r="N1335" s="6"/>
      <c r="O1335" s="6"/>
      <c r="P1335" s="6"/>
      <c r="Q1335" s="6"/>
      <c r="R1335" s="6"/>
      <c r="S1335" s="6"/>
      <c r="T1335" s="6"/>
      <c r="U1335" s="6"/>
      <c r="V1335" s="6"/>
      <c r="W1335" s="6"/>
      <c r="X1335" s="6"/>
      <c r="Y1335" s="6"/>
      <c r="Z1335" s="6"/>
    </row>
    <row r="1336" customFormat="false" ht="15" hidden="false" customHeight="false" outlineLevel="0" collapsed="false">
      <c r="A1336" s="9" t="s">
        <v>7179</v>
      </c>
      <c r="B1336" s="9" t="s">
        <v>5870</v>
      </c>
      <c r="C1336" s="9" t="s">
        <v>1547</v>
      </c>
      <c r="D1336" s="9" t="s">
        <v>5871</v>
      </c>
      <c r="E1336" s="9" t="str">
        <f aca="false">IF(AND('Formation Ledger'!A1315&lt;&gt;"",'Formation Ledger'!V1315=0),"PASS","FAIL")</f>
        <v>PASS</v>
      </c>
      <c r="F1336" s="9" t="s">
        <v>76</v>
      </c>
      <c r="G1336" s="6"/>
      <c r="H1336" s="6"/>
      <c r="I1336" s="6"/>
      <c r="J1336" s="6"/>
      <c r="K1336" s="6"/>
      <c r="L1336" s="6"/>
      <c r="M1336" s="6"/>
      <c r="N1336" s="6"/>
      <c r="O1336" s="6"/>
      <c r="P1336" s="6"/>
      <c r="Q1336" s="6"/>
      <c r="R1336" s="6"/>
      <c r="S1336" s="6"/>
      <c r="T1336" s="6"/>
      <c r="U1336" s="6"/>
      <c r="V1336" s="6"/>
      <c r="W1336" s="6"/>
      <c r="X1336" s="6"/>
      <c r="Y1336" s="6"/>
      <c r="Z1336" s="6"/>
    </row>
    <row r="1337" customFormat="false" ht="15" hidden="false" customHeight="false" outlineLevel="0" collapsed="false">
      <c r="A1337" s="9" t="s">
        <v>7180</v>
      </c>
      <c r="B1337" s="9" t="s">
        <v>5870</v>
      </c>
      <c r="C1337" s="9" t="s">
        <v>1548</v>
      </c>
      <c r="D1337" s="9" t="s">
        <v>5871</v>
      </c>
      <c r="E1337" s="9" t="str">
        <f aca="false">IF(AND('Formation Ledger'!A1316&lt;&gt;"",'Formation Ledger'!V1316=0),"PASS","FAIL")</f>
        <v>PASS</v>
      </c>
      <c r="F1337" s="9" t="s">
        <v>76</v>
      </c>
      <c r="G1337" s="6"/>
      <c r="H1337" s="6"/>
      <c r="I1337" s="6"/>
      <c r="J1337" s="6"/>
      <c r="K1337" s="6"/>
      <c r="L1337" s="6"/>
      <c r="M1337" s="6"/>
      <c r="N1337" s="6"/>
      <c r="O1337" s="6"/>
      <c r="P1337" s="6"/>
      <c r="Q1337" s="6"/>
      <c r="R1337" s="6"/>
      <c r="S1337" s="6"/>
      <c r="T1337" s="6"/>
      <c r="U1337" s="6"/>
      <c r="V1337" s="6"/>
      <c r="W1337" s="6"/>
      <c r="X1337" s="6"/>
      <c r="Y1337" s="6"/>
      <c r="Z1337" s="6"/>
    </row>
    <row r="1338" customFormat="false" ht="15" hidden="false" customHeight="false" outlineLevel="0" collapsed="false">
      <c r="A1338" s="9" t="s">
        <v>7181</v>
      </c>
      <c r="B1338" s="9" t="s">
        <v>5870</v>
      </c>
      <c r="C1338" s="9" t="s">
        <v>1549</v>
      </c>
      <c r="D1338" s="9" t="s">
        <v>5871</v>
      </c>
      <c r="E1338" s="9" t="str">
        <f aca="false">IF(AND('Formation Ledger'!A1317&lt;&gt;"",'Formation Ledger'!V1317=0),"PASS","FAIL")</f>
        <v>PASS</v>
      </c>
      <c r="F1338" s="9" t="s">
        <v>76</v>
      </c>
      <c r="G1338" s="6"/>
      <c r="H1338" s="6"/>
      <c r="I1338" s="6"/>
      <c r="J1338" s="6"/>
      <c r="K1338" s="6"/>
      <c r="L1338" s="6"/>
      <c r="M1338" s="6"/>
      <c r="N1338" s="6"/>
      <c r="O1338" s="6"/>
      <c r="P1338" s="6"/>
      <c r="Q1338" s="6"/>
      <c r="R1338" s="6"/>
      <c r="S1338" s="6"/>
      <c r="T1338" s="6"/>
      <c r="U1338" s="6"/>
      <c r="V1338" s="6"/>
      <c r="W1338" s="6"/>
      <c r="X1338" s="6"/>
      <c r="Y1338" s="6"/>
      <c r="Z1338" s="6"/>
    </row>
    <row r="1339" customFormat="false" ht="15" hidden="false" customHeight="false" outlineLevel="0" collapsed="false">
      <c r="A1339" s="9" t="s">
        <v>7182</v>
      </c>
      <c r="B1339" s="9" t="s">
        <v>5870</v>
      </c>
      <c r="C1339" s="9" t="s">
        <v>1550</v>
      </c>
      <c r="D1339" s="9" t="s">
        <v>5871</v>
      </c>
      <c r="E1339" s="9" t="str">
        <f aca="false">IF(AND('Formation Ledger'!A1318&lt;&gt;"",'Formation Ledger'!V1318=0),"PASS","FAIL")</f>
        <v>PASS</v>
      </c>
      <c r="F1339" s="9" t="s">
        <v>76</v>
      </c>
      <c r="G1339" s="6"/>
      <c r="H1339" s="6"/>
      <c r="I1339" s="6"/>
      <c r="J1339" s="6"/>
      <c r="K1339" s="6"/>
      <c r="L1339" s="6"/>
      <c r="M1339" s="6"/>
      <c r="N1339" s="6"/>
      <c r="O1339" s="6"/>
      <c r="P1339" s="6"/>
      <c r="Q1339" s="6"/>
      <c r="R1339" s="6"/>
      <c r="S1339" s="6"/>
      <c r="T1339" s="6"/>
      <c r="U1339" s="6"/>
      <c r="V1339" s="6"/>
      <c r="W1339" s="6"/>
      <c r="X1339" s="6"/>
      <c r="Y1339" s="6"/>
      <c r="Z1339" s="6"/>
    </row>
    <row r="1340" customFormat="false" ht="15" hidden="false" customHeight="false" outlineLevel="0" collapsed="false">
      <c r="A1340" s="9" t="s">
        <v>7183</v>
      </c>
      <c r="B1340" s="9" t="s">
        <v>5870</v>
      </c>
      <c r="C1340" s="9" t="s">
        <v>1551</v>
      </c>
      <c r="D1340" s="9" t="s">
        <v>5871</v>
      </c>
      <c r="E1340" s="9" t="str">
        <f aca="false">IF(AND('Formation Ledger'!A1319&lt;&gt;"",'Formation Ledger'!V1319=0),"PASS","FAIL")</f>
        <v>PASS</v>
      </c>
      <c r="F1340" s="9" t="s">
        <v>76</v>
      </c>
      <c r="G1340" s="6"/>
      <c r="H1340" s="6"/>
      <c r="I1340" s="6"/>
      <c r="J1340" s="6"/>
      <c r="K1340" s="6"/>
      <c r="L1340" s="6"/>
      <c r="M1340" s="6"/>
      <c r="N1340" s="6"/>
      <c r="O1340" s="6"/>
      <c r="P1340" s="6"/>
      <c r="Q1340" s="6"/>
      <c r="R1340" s="6"/>
      <c r="S1340" s="6"/>
      <c r="T1340" s="6"/>
      <c r="U1340" s="6"/>
      <c r="V1340" s="6"/>
      <c r="W1340" s="6"/>
      <c r="X1340" s="6"/>
      <c r="Y1340" s="6"/>
      <c r="Z1340" s="6"/>
    </row>
    <row r="1341" customFormat="false" ht="15" hidden="false" customHeight="false" outlineLevel="0" collapsed="false">
      <c r="A1341" s="9" t="s">
        <v>7184</v>
      </c>
      <c r="B1341" s="9" t="s">
        <v>5870</v>
      </c>
      <c r="C1341" s="9" t="s">
        <v>1552</v>
      </c>
      <c r="D1341" s="9" t="s">
        <v>5871</v>
      </c>
      <c r="E1341" s="9" t="str">
        <f aca="false">IF(AND('Formation Ledger'!A1320&lt;&gt;"",'Formation Ledger'!V1320=0),"PASS","FAIL")</f>
        <v>PASS</v>
      </c>
      <c r="F1341" s="9" t="s">
        <v>76</v>
      </c>
      <c r="G1341" s="6"/>
      <c r="H1341" s="6"/>
      <c r="I1341" s="6"/>
      <c r="J1341" s="6"/>
      <c r="K1341" s="6"/>
      <c r="L1341" s="6"/>
      <c r="M1341" s="6"/>
      <c r="N1341" s="6"/>
      <c r="O1341" s="6"/>
      <c r="P1341" s="6"/>
      <c r="Q1341" s="6"/>
      <c r="R1341" s="6"/>
      <c r="S1341" s="6"/>
      <c r="T1341" s="6"/>
      <c r="U1341" s="6"/>
      <c r="V1341" s="6"/>
      <c r="W1341" s="6"/>
      <c r="X1341" s="6"/>
      <c r="Y1341" s="6"/>
      <c r="Z1341" s="6"/>
    </row>
    <row r="1342" customFormat="false" ht="15" hidden="false" customHeight="false" outlineLevel="0" collapsed="false">
      <c r="A1342" s="9" t="s">
        <v>7185</v>
      </c>
      <c r="B1342" s="9" t="s">
        <v>5870</v>
      </c>
      <c r="C1342" s="9" t="s">
        <v>1553</v>
      </c>
      <c r="D1342" s="9" t="s">
        <v>5871</v>
      </c>
      <c r="E1342" s="9" t="str">
        <f aca="false">IF(AND('Formation Ledger'!A1321&lt;&gt;"",'Formation Ledger'!V1321=0),"PASS","FAIL")</f>
        <v>PASS</v>
      </c>
      <c r="F1342" s="9" t="s">
        <v>76</v>
      </c>
      <c r="G1342" s="6"/>
      <c r="H1342" s="6"/>
      <c r="I1342" s="6"/>
      <c r="J1342" s="6"/>
      <c r="K1342" s="6"/>
      <c r="L1342" s="6"/>
      <c r="M1342" s="6"/>
      <c r="N1342" s="6"/>
      <c r="O1342" s="6"/>
      <c r="P1342" s="6"/>
      <c r="Q1342" s="6"/>
      <c r="R1342" s="6"/>
      <c r="S1342" s="6"/>
      <c r="T1342" s="6"/>
      <c r="U1342" s="6"/>
      <c r="V1342" s="6"/>
      <c r="W1342" s="6"/>
      <c r="X1342" s="6"/>
      <c r="Y1342" s="6"/>
      <c r="Z1342" s="6"/>
    </row>
    <row r="1343" customFormat="false" ht="15" hidden="false" customHeight="false" outlineLevel="0" collapsed="false">
      <c r="A1343" s="9" t="s">
        <v>7186</v>
      </c>
      <c r="B1343" s="9" t="s">
        <v>5870</v>
      </c>
      <c r="C1343" s="9" t="s">
        <v>1554</v>
      </c>
      <c r="D1343" s="9" t="s">
        <v>5871</v>
      </c>
      <c r="E1343" s="9" t="str">
        <f aca="false">IF(AND('Formation Ledger'!A1322&lt;&gt;"",'Formation Ledger'!V1322=0),"PASS","FAIL")</f>
        <v>PASS</v>
      </c>
      <c r="F1343" s="9" t="s">
        <v>76</v>
      </c>
      <c r="G1343" s="6"/>
      <c r="H1343" s="6"/>
      <c r="I1343" s="6"/>
      <c r="J1343" s="6"/>
      <c r="K1343" s="6"/>
      <c r="L1343" s="6"/>
      <c r="M1343" s="6"/>
      <c r="N1343" s="6"/>
      <c r="O1343" s="6"/>
      <c r="P1343" s="6"/>
      <c r="Q1343" s="6"/>
      <c r="R1343" s="6"/>
      <c r="S1343" s="6"/>
      <c r="T1343" s="6"/>
      <c r="U1343" s="6"/>
      <c r="V1343" s="6"/>
      <c r="W1343" s="6"/>
      <c r="X1343" s="6"/>
      <c r="Y1343" s="6"/>
      <c r="Z1343" s="6"/>
    </row>
    <row r="1344" customFormat="false" ht="15" hidden="false" customHeight="false" outlineLevel="0" collapsed="false">
      <c r="A1344" s="9" t="s">
        <v>7187</v>
      </c>
      <c r="B1344" s="9" t="s">
        <v>5870</v>
      </c>
      <c r="C1344" s="9" t="s">
        <v>1555</v>
      </c>
      <c r="D1344" s="9" t="s">
        <v>5871</v>
      </c>
      <c r="E1344" s="9" t="str">
        <f aca="false">IF(AND('Formation Ledger'!A1323&lt;&gt;"",'Formation Ledger'!V1323=0),"PASS","FAIL")</f>
        <v>PASS</v>
      </c>
      <c r="F1344" s="9" t="s">
        <v>76</v>
      </c>
      <c r="G1344" s="6"/>
      <c r="H1344" s="6"/>
      <c r="I1344" s="6"/>
      <c r="J1344" s="6"/>
      <c r="K1344" s="6"/>
      <c r="L1344" s="6"/>
      <c r="M1344" s="6"/>
      <c r="N1344" s="6"/>
      <c r="O1344" s="6"/>
      <c r="P1344" s="6"/>
      <c r="Q1344" s="6"/>
      <c r="R1344" s="6"/>
      <c r="S1344" s="6"/>
      <c r="T1344" s="6"/>
      <c r="U1344" s="6"/>
      <c r="V1344" s="6"/>
      <c r="W1344" s="6"/>
      <c r="X1344" s="6"/>
      <c r="Y1344" s="6"/>
      <c r="Z1344" s="6"/>
    </row>
    <row r="1345" customFormat="false" ht="15" hidden="false" customHeight="false" outlineLevel="0" collapsed="false">
      <c r="A1345" s="9" t="s">
        <v>7188</v>
      </c>
      <c r="B1345" s="9" t="s">
        <v>5870</v>
      </c>
      <c r="C1345" s="9" t="s">
        <v>1556</v>
      </c>
      <c r="D1345" s="9" t="s">
        <v>5871</v>
      </c>
      <c r="E1345" s="9" t="str">
        <f aca="false">IF(AND('Formation Ledger'!A1324&lt;&gt;"",'Formation Ledger'!V1324=0),"PASS","FAIL")</f>
        <v>PASS</v>
      </c>
      <c r="F1345" s="9" t="s">
        <v>76</v>
      </c>
      <c r="G1345" s="6"/>
      <c r="H1345" s="6"/>
      <c r="I1345" s="6"/>
      <c r="J1345" s="6"/>
      <c r="K1345" s="6"/>
      <c r="L1345" s="6"/>
      <c r="M1345" s="6"/>
      <c r="N1345" s="6"/>
      <c r="O1345" s="6"/>
      <c r="P1345" s="6"/>
      <c r="Q1345" s="6"/>
      <c r="R1345" s="6"/>
      <c r="S1345" s="6"/>
      <c r="T1345" s="6"/>
      <c r="U1345" s="6"/>
      <c r="V1345" s="6"/>
      <c r="W1345" s="6"/>
      <c r="X1345" s="6"/>
      <c r="Y1345" s="6"/>
      <c r="Z1345" s="6"/>
    </row>
    <row r="1346" customFormat="false" ht="15" hidden="false" customHeight="false" outlineLevel="0" collapsed="false">
      <c r="A1346" s="9" t="s">
        <v>7189</v>
      </c>
      <c r="B1346" s="9" t="s">
        <v>5870</v>
      </c>
      <c r="C1346" s="9" t="s">
        <v>1557</v>
      </c>
      <c r="D1346" s="9" t="s">
        <v>5871</v>
      </c>
      <c r="E1346" s="9" t="str">
        <f aca="false">IF(AND('Formation Ledger'!A1325&lt;&gt;"",'Formation Ledger'!V1325=0),"PASS","FAIL")</f>
        <v>PASS</v>
      </c>
      <c r="F1346" s="9" t="s">
        <v>76</v>
      </c>
      <c r="G1346" s="6"/>
      <c r="H1346" s="6"/>
      <c r="I1346" s="6"/>
      <c r="J1346" s="6"/>
      <c r="K1346" s="6"/>
      <c r="L1346" s="6"/>
      <c r="M1346" s="6"/>
      <c r="N1346" s="6"/>
      <c r="O1346" s="6"/>
      <c r="P1346" s="6"/>
      <c r="Q1346" s="6"/>
      <c r="R1346" s="6"/>
      <c r="S1346" s="6"/>
      <c r="T1346" s="6"/>
      <c r="U1346" s="6"/>
      <c r="V1346" s="6"/>
      <c r="W1346" s="6"/>
      <c r="X1346" s="6"/>
      <c r="Y1346" s="6"/>
      <c r="Z1346" s="6"/>
    </row>
    <row r="1347" customFormat="false" ht="15" hidden="false" customHeight="false" outlineLevel="0" collapsed="false">
      <c r="A1347" s="9" t="s">
        <v>7190</v>
      </c>
      <c r="B1347" s="9" t="s">
        <v>5870</v>
      </c>
      <c r="C1347" s="9" t="s">
        <v>1558</v>
      </c>
      <c r="D1347" s="9" t="s">
        <v>5871</v>
      </c>
      <c r="E1347" s="9" t="str">
        <f aca="false">IF(AND('Formation Ledger'!A1326&lt;&gt;"",'Formation Ledger'!V1326=0),"PASS","FAIL")</f>
        <v>PASS</v>
      </c>
      <c r="F1347" s="9" t="s">
        <v>76</v>
      </c>
      <c r="G1347" s="6"/>
      <c r="H1347" s="6"/>
      <c r="I1347" s="6"/>
      <c r="J1347" s="6"/>
      <c r="K1347" s="6"/>
      <c r="L1347" s="6"/>
      <c r="M1347" s="6"/>
      <c r="N1347" s="6"/>
      <c r="O1347" s="6"/>
      <c r="P1347" s="6"/>
      <c r="Q1347" s="6"/>
      <c r="R1347" s="6"/>
      <c r="S1347" s="6"/>
      <c r="T1347" s="6"/>
      <c r="U1347" s="6"/>
      <c r="V1347" s="6"/>
      <c r="W1347" s="6"/>
      <c r="X1347" s="6"/>
      <c r="Y1347" s="6"/>
      <c r="Z1347" s="6"/>
    </row>
    <row r="1348" customFormat="false" ht="15" hidden="false" customHeight="false" outlineLevel="0" collapsed="false">
      <c r="A1348" s="9" t="s">
        <v>7191</v>
      </c>
      <c r="B1348" s="9" t="s">
        <v>5870</v>
      </c>
      <c r="C1348" s="9" t="s">
        <v>1559</v>
      </c>
      <c r="D1348" s="9" t="s">
        <v>5871</v>
      </c>
      <c r="E1348" s="9" t="str">
        <f aca="false">IF(AND('Formation Ledger'!A1327&lt;&gt;"",'Formation Ledger'!V1327=0),"PASS","FAIL")</f>
        <v>PASS</v>
      </c>
      <c r="F1348" s="9" t="s">
        <v>76</v>
      </c>
      <c r="G1348" s="6"/>
      <c r="H1348" s="6"/>
      <c r="I1348" s="6"/>
      <c r="J1348" s="6"/>
      <c r="K1348" s="6"/>
      <c r="L1348" s="6"/>
      <c r="M1348" s="6"/>
      <c r="N1348" s="6"/>
      <c r="O1348" s="6"/>
      <c r="P1348" s="6"/>
      <c r="Q1348" s="6"/>
      <c r="R1348" s="6"/>
      <c r="S1348" s="6"/>
      <c r="T1348" s="6"/>
      <c r="U1348" s="6"/>
      <c r="V1348" s="6"/>
      <c r="W1348" s="6"/>
      <c r="X1348" s="6"/>
      <c r="Y1348" s="6"/>
      <c r="Z1348" s="6"/>
    </row>
    <row r="1349" customFormat="false" ht="15" hidden="false" customHeight="false" outlineLevel="0" collapsed="false">
      <c r="A1349" s="9" t="s">
        <v>7192</v>
      </c>
      <c r="B1349" s="9" t="s">
        <v>5870</v>
      </c>
      <c r="C1349" s="9" t="s">
        <v>1560</v>
      </c>
      <c r="D1349" s="9" t="s">
        <v>5871</v>
      </c>
      <c r="E1349" s="9" t="str">
        <f aca="false">IF(AND('Formation Ledger'!A1328&lt;&gt;"",'Formation Ledger'!V1328=0),"PASS","FAIL")</f>
        <v>PASS</v>
      </c>
      <c r="F1349" s="9" t="s">
        <v>76</v>
      </c>
      <c r="G1349" s="6"/>
      <c r="H1349" s="6"/>
      <c r="I1349" s="6"/>
      <c r="J1349" s="6"/>
      <c r="K1349" s="6"/>
      <c r="L1349" s="6"/>
      <c r="M1349" s="6"/>
      <c r="N1349" s="6"/>
      <c r="O1349" s="6"/>
      <c r="P1349" s="6"/>
      <c r="Q1349" s="6"/>
      <c r="R1349" s="6"/>
      <c r="S1349" s="6"/>
      <c r="T1349" s="6"/>
      <c r="U1349" s="6"/>
      <c r="V1349" s="6"/>
      <c r="W1349" s="6"/>
      <c r="X1349" s="6"/>
      <c r="Y1349" s="6"/>
      <c r="Z1349" s="6"/>
    </row>
    <row r="1350" customFormat="false" ht="15" hidden="false" customHeight="false" outlineLevel="0" collapsed="false">
      <c r="A1350" s="9" t="s">
        <v>7193</v>
      </c>
      <c r="B1350" s="9" t="s">
        <v>5870</v>
      </c>
      <c r="C1350" s="9" t="s">
        <v>1561</v>
      </c>
      <c r="D1350" s="9" t="s">
        <v>5871</v>
      </c>
      <c r="E1350" s="9" t="str">
        <f aca="false">IF(AND('Formation Ledger'!A1329&lt;&gt;"",'Formation Ledger'!V1329=0),"PASS","FAIL")</f>
        <v>PASS</v>
      </c>
      <c r="F1350" s="9" t="s">
        <v>76</v>
      </c>
      <c r="G1350" s="6"/>
      <c r="H1350" s="6"/>
      <c r="I1350" s="6"/>
      <c r="J1350" s="6"/>
      <c r="K1350" s="6"/>
      <c r="L1350" s="6"/>
      <c r="M1350" s="6"/>
      <c r="N1350" s="6"/>
      <c r="O1350" s="6"/>
      <c r="P1350" s="6"/>
      <c r="Q1350" s="6"/>
      <c r="R1350" s="6"/>
      <c r="S1350" s="6"/>
      <c r="T1350" s="6"/>
      <c r="U1350" s="6"/>
      <c r="V1350" s="6"/>
      <c r="W1350" s="6"/>
      <c r="X1350" s="6"/>
      <c r="Y1350" s="6"/>
      <c r="Z1350" s="6"/>
    </row>
    <row r="1351" customFormat="false" ht="15" hidden="false" customHeight="false" outlineLevel="0" collapsed="false">
      <c r="A1351" s="9" t="s">
        <v>7194</v>
      </c>
      <c r="B1351" s="9" t="s">
        <v>5870</v>
      </c>
      <c r="C1351" s="9" t="s">
        <v>1562</v>
      </c>
      <c r="D1351" s="9" t="s">
        <v>5871</v>
      </c>
      <c r="E1351" s="9" t="str">
        <f aca="false">IF(AND('Formation Ledger'!A1330&lt;&gt;"",'Formation Ledger'!V1330=0),"PASS","FAIL")</f>
        <v>PASS</v>
      </c>
      <c r="F1351" s="9" t="s">
        <v>76</v>
      </c>
      <c r="G1351" s="6"/>
      <c r="H1351" s="6"/>
      <c r="I1351" s="6"/>
      <c r="J1351" s="6"/>
      <c r="K1351" s="6"/>
      <c r="L1351" s="6"/>
      <c r="M1351" s="6"/>
      <c r="N1351" s="6"/>
      <c r="O1351" s="6"/>
      <c r="P1351" s="6"/>
      <c r="Q1351" s="6"/>
      <c r="R1351" s="6"/>
      <c r="S1351" s="6"/>
      <c r="T1351" s="6"/>
      <c r="U1351" s="6"/>
      <c r="V1351" s="6"/>
      <c r="W1351" s="6"/>
      <c r="X1351" s="6"/>
      <c r="Y1351" s="6"/>
      <c r="Z1351" s="6"/>
    </row>
    <row r="1352" customFormat="false" ht="15" hidden="false" customHeight="false" outlineLevel="0" collapsed="false">
      <c r="A1352" s="9" t="s">
        <v>7195</v>
      </c>
      <c r="B1352" s="9" t="s">
        <v>5870</v>
      </c>
      <c r="C1352" s="9" t="s">
        <v>1565</v>
      </c>
      <c r="D1352" s="9" t="s">
        <v>5871</v>
      </c>
      <c r="E1352" s="9" t="str">
        <f aca="false">IF(AND('Formation Ledger'!A1331&lt;&gt;"",'Formation Ledger'!V1331=0),"PASS","FAIL")</f>
        <v>PASS</v>
      </c>
      <c r="F1352" s="9" t="s">
        <v>76</v>
      </c>
      <c r="G1352" s="6"/>
      <c r="H1352" s="6"/>
      <c r="I1352" s="6"/>
      <c r="J1352" s="6"/>
      <c r="K1352" s="6"/>
      <c r="L1352" s="6"/>
      <c r="M1352" s="6"/>
      <c r="N1352" s="6"/>
      <c r="O1352" s="6"/>
      <c r="P1352" s="6"/>
      <c r="Q1352" s="6"/>
      <c r="R1352" s="6"/>
      <c r="S1352" s="6"/>
      <c r="T1352" s="6"/>
      <c r="U1352" s="6"/>
      <c r="V1352" s="6"/>
      <c r="W1352" s="6"/>
      <c r="X1352" s="6"/>
      <c r="Y1352" s="6"/>
      <c r="Z1352" s="6"/>
    </row>
    <row r="1353" customFormat="false" ht="15" hidden="false" customHeight="false" outlineLevel="0" collapsed="false">
      <c r="A1353" s="9" t="s">
        <v>7196</v>
      </c>
      <c r="B1353" s="9" t="s">
        <v>5870</v>
      </c>
      <c r="C1353" s="9" t="s">
        <v>1566</v>
      </c>
      <c r="D1353" s="9" t="s">
        <v>5871</v>
      </c>
      <c r="E1353" s="9" t="str">
        <f aca="false">IF(AND('Formation Ledger'!A1332&lt;&gt;"",'Formation Ledger'!V1332=0),"PASS","FAIL")</f>
        <v>PASS</v>
      </c>
      <c r="F1353" s="9" t="s">
        <v>76</v>
      </c>
      <c r="G1353" s="6"/>
      <c r="H1353" s="6"/>
      <c r="I1353" s="6"/>
      <c r="J1353" s="6"/>
      <c r="K1353" s="6"/>
      <c r="L1353" s="6"/>
      <c r="M1353" s="6"/>
      <c r="N1353" s="6"/>
      <c r="O1353" s="6"/>
      <c r="P1353" s="6"/>
      <c r="Q1353" s="6"/>
      <c r="R1353" s="6"/>
      <c r="S1353" s="6"/>
      <c r="T1353" s="6"/>
      <c r="U1353" s="6"/>
      <c r="V1353" s="6"/>
      <c r="W1353" s="6"/>
      <c r="X1353" s="6"/>
      <c r="Y1353" s="6"/>
      <c r="Z1353" s="6"/>
    </row>
    <row r="1354" customFormat="false" ht="15" hidden="false" customHeight="false" outlineLevel="0" collapsed="false">
      <c r="A1354" s="9" t="s">
        <v>7197</v>
      </c>
      <c r="B1354" s="9" t="s">
        <v>5870</v>
      </c>
      <c r="C1354" s="9" t="s">
        <v>1567</v>
      </c>
      <c r="D1354" s="9" t="s">
        <v>5871</v>
      </c>
      <c r="E1354" s="9" t="str">
        <f aca="false">IF(AND('Formation Ledger'!A1333&lt;&gt;"",'Formation Ledger'!V1333=0),"PASS","FAIL")</f>
        <v>PASS</v>
      </c>
      <c r="F1354" s="9" t="s">
        <v>76</v>
      </c>
      <c r="G1354" s="6"/>
      <c r="H1354" s="6"/>
      <c r="I1354" s="6"/>
      <c r="J1354" s="6"/>
      <c r="K1354" s="6"/>
      <c r="L1354" s="6"/>
      <c r="M1354" s="6"/>
      <c r="N1354" s="6"/>
      <c r="O1354" s="6"/>
      <c r="P1354" s="6"/>
      <c r="Q1354" s="6"/>
      <c r="R1354" s="6"/>
      <c r="S1354" s="6"/>
      <c r="T1354" s="6"/>
      <c r="U1354" s="6"/>
      <c r="V1354" s="6"/>
      <c r="W1354" s="6"/>
      <c r="X1354" s="6"/>
      <c r="Y1354" s="6"/>
      <c r="Z1354" s="6"/>
    </row>
    <row r="1355" customFormat="false" ht="15" hidden="false" customHeight="false" outlineLevel="0" collapsed="false">
      <c r="A1355" s="9" t="s">
        <v>7198</v>
      </c>
      <c r="B1355" s="9" t="s">
        <v>5870</v>
      </c>
      <c r="C1355" s="9" t="s">
        <v>1568</v>
      </c>
      <c r="D1355" s="9" t="s">
        <v>5871</v>
      </c>
      <c r="E1355" s="9" t="str">
        <f aca="false">IF(AND('Formation Ledger'!A1334&lt;&gt;"",'Formation Ledger'!V1334=0),"PASS","FAIL")</f>
        <v>PASS</v>
      </c>
      <c r="F1355" s="9" t="s">
        <v>76</v>
      </c>
      <c r="G1355" s="6"/>
      <c r="H1355" s="6"/>
      <c r="I1355" s="6"/>
      <c r="J1355" s="6"/>
      <c r="K1355" s="6"/>
      <c r="L1355" s="6"/>
      <c r="M1355" s="6"/>
      <c r="N1355" s="6"/>
      <c r="O1355" s="6"/>
      <c r="P1355" s="6"/>
      <c r="Q1355" s="6"/>
      <c r="R1355" s="6"/>
      <c r="S1355" s="6"/>
      <c r="T1355" s="6"/>
      <c r="U1355" s="6"/>
      <c r="V1355" s="6"/>
      <c r="W1355" s="6"/>
      <c r="X1355" s="6"/>
      <c r="Y1355" s="6"/>
      <c r="Z1355" s="6"/>
    </row>
    <row r="1356" customFormat="false" ht="15" hidden="false" customHeight="false" outlineLevel="0" collapsed="false">
      <c r="A1356" s="9" t="s">
        <v>7199</v>
      </c>
      <c r="B1356" s="9" t="s">
        <v>5870</v>
      </c>
      <c r="C1356" s="9" t="s">
        <v>1569</v>
      </c>
      <c r="D1356" s="9" t="s">
        <v>5871</v>
      </c>
      <c r="E1356" s="9" t="str">
        <f aca="false">IF(AND('Formation Ledger'!A1335&lt;&gt;"",'Formation Ledger'!V1335=0),"PASS","FAIL")</f>
        <v>PASS</v>
      </c>
      <c r="F1356" s="9" t="s">
        <v>76</v>
      </c>
      <c r="G1356" s="6"/>
      <c r="H1356" s="6"/>
      <c r="I1356" s="6"/>
      <c r="J1356" s="6"/>
      <c r="K1356" s="6"/>
      <c r="L1356" s="6"/>
      <c r="M1356" s="6"/>
      <c r="N1356" s="6"/>
      <c r="O1356" s="6"/>
      <c r="P1356" s="6"/>
      <c r="Q1356" s="6"/>
      <c r="R1356" s="6"/>
      <c r="S1356" s="6"/>
      <c r="T1356" s="6"/>
      <c r="U1356" s="6"/>
      <c r="V1356" s="6"/>
      <c r="W1356" s="6"/>
      <c r="X1356" s="6"/>
      <c r="Y1356" s="6"/>
      <c r="Z1356" s="6"/>
    </row>
    <row r="1357" customFormat="false" ht="15" hidden="false" customHeight="false" outlineLevel="0" collapsed="false">
      <c r="A1357" s="9" t="s">
        <v>7200</v>
      </c>
      <c r="B1357" s="9" t="s">
        <v>5870</v>
      </c>
      <c r="C1357" s="9" t="s">
        <v>1570</v>
      </c>
      <c r="D1357" s="9" t="s">
        <v>5871</v>
      </c>
      <c r="E1357" s="9" t="str">
        <f aca="false">IF(AND('Formation Ledger'!A1336&lt;&gt;"",'Formation Ledger'!V1336=0),"PASS","FAIL")</f>
        <v>PASS</v>
      </c>
      <c r="F1357" s="9" t="s">
        <v>76</v>
      </c>
      <c r="G1357" s="6"/>
      <c r="H1357" s="6"/>
      <c r="I1357" s="6"/>
      <c r="J1357" s="6"/>
      <c r="K1357" s="6"/>
      <c r="L1357" s="6"/>
      <c r="M1357" s="6"/>
      <c r="N1357" s="6"/>
      <c r="O1357" s="6"/>
      <c r="P1357" s="6"/>
      <c r="Q1357" s="6"/>
      <c r="R1357" s="6"/>
      <c r="S1357" s="6"/>
      <c r="T1357" s="6"/>
      <c r="U1357" s="6"/>
      <c r="V1357" s="6"/>
      <c r="W1357" s="6"/>
      <c r="X1357" s="6"/>
      <c r="Y1357" s="6"/>
      <c r="Z1357" s="6"/>
    </row>
    <row r="1358" customFormat="false" ht="15" hidden="false" customHeight="false" outlineLevel="0" collapsed="false">
      <c r="A1358" s="9" t="s">
        <v>7201</v>
      </c>
      <c r="B1358" s="9" t="s">
        <v>5870</v>
      </c>
      <c r="C1358" s="9" t="s">
        <v>1571</v>
      </c>
      <c r="D1358" s="9" t="s">
        <v>5871</v>
      </c>
      <c r="E1358" s="9" t="str">
        <f aca="false">IF(AND('Formation Ledger'!A1337&lt;&gt;"",'Formation Ledger'!V1337=0),"PASS","FAIL")</f>
        <v>PASS</v>
      </c>
      <c r="F1358" s="9" t="s">
        <v>76</v>
      </c>
      <c r="G1358" s="6"/>
      <c r="H1358" s="6"/>
      <c r="I1358" s="6"/>
      <c r="J1358" s="6"/>
      <c r="K1358" s="6"/>
      <c r="L1358" s="6"/>
      <c r="M1358" s="6"/>
      <c r="N1358" s="6"/>
      <c r="O1358" s="6"/>
      <c r="P1358" s="6"/>
      <c r="Q1358" s="6"/>
      <c r="R1358" s="6"/>
      <c r="S1358" s="6"/>
      <c r="T1358" s="6"/>
      <c r="U1358" s="6"/>
      <c r="V1358" s="6"/>
      <c r="W1358" s="6"/>
      <c r="X1358" s="6"/>
      <c r="Y1358" s="6"/>
      <c r="Z1358" s="6"/>
    </row>
    <row r="1359" customFormat="false" ht="15" hidden="false" customHeight="false" outlineLevel="0" collapsed="false">
      <c r="A1359" s="9" t="s">
        <v>7202</v>
      </c>
      <c r="B1359" s="9" t="s">
        <v>5870</v>
      </c>
      <c r="C1359" s="9" t="s">
        <v>1572</v>
      </c>
      <c r="D1359" s="9" t="s">
        <v>5871</v>
      </c>
      <c r="E1359" s="9" t="str">
        <f aca="false">IF(AND('Formation Ledger'!A1338&lt;&gt;"",'Formation Ledger'!V1338=0),"PASS","FAIL")</f>
        <v>PASS</v>
      </c>
      <c r="F1359" s="9" t="s">
        <v>76</v>
      </c>
      <c r="G1359" s="6"/>
      <c r="H1359" s="6"/>
      <c r="I1359" s="6"/>
      <c r="J1359" s="6"/>
      <c r="K1359" s="6"/>
      <c r="L1359" s="6"/>
      <c r="M1359" s="6"/>
      <c r="N1359" s="6"/>
      <c r="O1359" s="6"/>
      <c r="P1359" s="6"/>
      <c r="Q1359" s="6"/>
      <c r="R1359" s="6"/>
      <c r="S1359" s="6"/>
      <c r="T1359" s="6"/>
      <c r="U1359" s="6"/>
      <c r="V1359" s="6"/>
      <c r="W1359" s="6"/>
      <c r="X1359" s="6"/>
      <c r="Y1359" s="6"/>
      <c r="Z1359" s="6"/>
    </row>
    <row r="1360" customFormat="false" ht="15" hidden="false" customHeight="false" outlineLevel="0" collapsed="false">
      <c r="A1360" s="9" t="s">
        <v>7203</v>
      </c>
      <c r="B1360" s="9" t="s">
        <v>5870</v>
      </c>
      <c r="C1360" s="9" t="s">
        <v>1573</v>
      </c>
      <c r="D1360" s="9" t="s">
        <v>5871</v>
      </c>
      <c r="E1360" s="9" t="str">
        <f aca="false">IF(AND('Formation Ledger'!A1339&lt;&gt;"",'Formation Ledger'!V1339=0),"PASS","FAIL")</f>
        <v>PASS</v>
      </c>
      <c r="F1360" s="9" t="s">
        <v>76</v>
      </c>
      <c r="G1360" s="6"/>
      <c r="H1360" s="6"/>
      <c r="I1360" s="6"/>
      <c r="J1360" s="6"/>
      <c r="K1360" s="6"/>
      <c r="L1360" s="6"/>
      <c r="M1360" s="6"/>
      <c r="N1360" s="6"/>
      <c r="O1360" s="6"/>
      <c r="P1360" s="6"/>
      <c r="Q1360" s="6"/>
      <c r="R1360" s="6"/>
      <c r="S1360" s="6"/>
      <c r="T1360" s="6"/>
      <c r="U1360" s="6"/>
      <c r="V1360" s="6"/>
      <c r="W1360" s="6"/>
      <c r="X1360" s="6"/>
      <c r="Y1360" s="6"/>
      <c r="Z1360" s="6"/>
    </row>
    <row r="1361" customFormat="false" ht="15" hidden="false" customHeight="false" outlineLevel="0" collapsed="false">
      <c r="A1361" s="9" t="s">
        <v>7204</v>
      </c>
      <c r="B1361" s="9" t="s">
        <v>5870</v>
      </c>
      <c r="C1361" s="9" t="s">
        <v>1574</v>
      </c>
      <c r="D1361" s="9" t="s">
        <v>5871</v>
      </c>
      <c r="E1361" s="9" t="str">
        <f aca="false">IF(AND('Formation Ledger'!A1340&lt;&gt;"",'Formation Ledger'!V1340=0),"PASS","FAIL")</f>
        <v>PASS</v>
      </c>
      <c r="F1361" s="9" t="s">
        <v>76</v>
      </c>
      <c r="G1361" s="6"/>
      <c r="H1361" s="6"/>
      <c r="I1361" s="6"/>
      <c r="J1361" s="6"/>
      <c r="K1361" s="6"/>
      <c r="L1361" s="6"/>
      <c r="M1361" s="6"/>
      <c r="N1361" s="6"/>
      <c r="O1361" s="6"/>
      <c r="P1361" s="6"/>
      <c r="Q1361" s="6"/>
      <c r="R1361" s="6"/>
      <c r="S1361" s="6"/>
      <c r="T1361" s="6"/>
      <c r="U1361" s="6"/>
      <c r="V1361" s="6"/>
      <c r="W1361" s="6"/>
      <c r="X1361" s="6"/>
      <c r="Y1361" s="6"/>
      <c r="Z1361" s="6"/>
    </row>
    <row r="1362" customFormat="false" ht="15" hidden="false" customHeight="false" outlineLevel="0" collapsed="false">
      <c r="A1362" s="9" t="s">
        <v>7205</v>
      </c>
      <c r="B1362" s="9" t="s">
        <v>5870</v>
      </c>
      <c r="C1362" s="9" t="s">
        <v>1575</v>
      </c>
      <c r="D1362" s="9" t="s">
        <v>5871</v>
      </c>
      <c r="E1362" s="9" t="str">
        <f aca="false">IF(AND('Formation Ledger'!A1341&lt;&gt;"",'Formation Ledger'!V1341=0),"PASS","FAIL")</f>
        <v>PASS</v>
      </c>
      <c r="F1362" s="9" t="s">
        <v>76</v>
      </c>
      <c r="G1362" s="6"/>
      <c r="H1362" s="6"/>
      <c r="I1362" s="6"/>
      <c r="J1362" s="6"/>
      <c r="K1362" s="6"/>
      <c r="L1362" s="6"/>
      <c r="M1362" s="6"/>
      <c r="N1362" s="6"/>
      <c r="O1362" s="6"/>
      <c r="P1362" s="6"/>
      <c r="Q1362" s="6"/>
      <c r="R1362" s="6"/>
      <c r="S1362" s="6"/>
      <c r="T1362" s="6"/>
      <c r="U1362" s="6"/>
      <c r="V1362" s="6"/>
      <c r="W1362" s="6"/>
      <c r="X1362" s="6"/>
      <c r="Y1362" s="6"/>
      <c r="Z1362" s="6"/>
    </row>
    <row r="1363" customFormat="false" ht="15" hidden="false" customHeight="false" outlineLevel="0" collapsed="false">
      <c r="A1363" s="9" t="s">
        <v>7206</v>
      </c>
      <c r="B1363" s="9" t="s">
        <v>5870</v>
      </c>
      <c r="C1363" s="9" t="s">
        <v>1576</v>
      </c>
      <c r="D1363" s="9" t="s">
        <v>5871</v>
      </c>
      <c r="E1363" s="9" t="str">
        <f aca="false">IF(AND('Formation Ledger'!A1342&lt;&gt;"",'Formation Ledger'!V1342=0),"PASS","FAIL")</f>
        <v>PASS</v>
      </c>
      <c r="F1363" s="9" t="s">
        <v>76</v>
      </c>
      <c r="G1363" s="6"/>
      <c r="H1363" s="6"/>
      <c r="I1363" s="6"/>
      <c r="J1363" s="6"/>
      <c r="K1363" s="6"/>
      <c r="L1363" s="6"/>
      <c r="M1363" s="6"/>
      <c r="N1363" s="6"/>
      <c r="O1363" s="6"/>
      <c r="P1363" s="6"/>
      <c r="Q1363" s="6"/>
      <c r="R1363" s="6"/>
      <c r="S1363" s="6"/>
      <c r="T1363" s="6"/>
      <c r="U1363" s="6"/>
      <c r="V1363" s="6"/>
      <c r="W1363" s="6"/>
      <c r="X1363" s="6"/>
      <c r="Y1363" s="6"/>
      <c r="Z1363" s="6"/>
    </row>
    <row r="1364" customFormat="false" ht="15" hidden="false" customHeight="false" outlineLevel="0" collapsed="false">
      <c r="A1364" s="9" t="s">
        <v>7207</v>
      </c>
      <c r="B1364" s="9" t="s">
        <v>5870</v>
      </c>
      <c r="C1364" s="9" t="s">
        <v>1577</v>
      </c>
      <c r="D1364" s="9" t="s">
        <v>5871</v>
      </c>
      <c r="E1364" s="9" t="str">
        <f aca="false">IF(AND('Formation Ledger'!A1343&lt;&gt;"",'Formation Ledger'!V1343=0),"PASS","FAIL")</f>
        <v>PASS</v>
      </c>
      <c r="F1364" s="9" t="s">
        <v>76</v>
      </c>
      <c r="G1364" s="6"/>
      <c r="H1364" s="6"/>
      <c r="I1364" s="6"/>
      <c r="J1364" s="6"/>
      <c r="K1364" s="6"/>
      <c r="L1364" s="6"/>
      <c r="M1364" s="6"/>
      <c r="N1364" s="6"/>
      <c r="O1364" s="6"/>
      <c r="P1364" s="6"/>
      <c r="Q1364" s="6"/>
      <c r="R1364" s="6"/>
      <c r="S1364" s="6"/>
      <c r="T1364" s="6"/>
      <c r="U1364" s="6"/>
      <c r="V1364" s="6"/>
      <c r="W1364" s="6"/>
      <c r="X1364" s="6"/>
      <c r="Y1364" s="6"/>
      <c r="Z1364" s="6"/>
    </row>
    <row r="1365" customFormat="false" ht="15" hidden="false" customHeight="false" outlineLevel="0" collapsed="false">
      <c r="A1365" s="9" t="s">
        <v>7208</v>
      </c>
      <c r="B1365" s="9" t="s">
        <v>5870</v>
      </c>
      <c r="C1365" s="9" t="s">
        <v>1578</v>
      </c>
      <c r="D1365" s="9" t="s">
        <v>5871</v>
      </c>
      <c r="E1365" s="9" t="str">
        <f aca="false">IF(AND('Formation Ledger'!A1344&lt;&gt;"",'Formation Ledger'!V1344=0),"PASS","FAIL")</f>
        <v>PASS</v>
      </c>
      <c r="F1365" s="9" t="s">
        <v>76</v>
      </c>
      <c r="G1365" s="6"/>
      <c r="H1365" s="6"/>
      <c r="I1365" s="6"/>
      <c r="J1365" s="6"/>
      <c r="K1365" s="6"/>
      <c r="L1365" s="6"/>
      <c r="M1365" s="6"/>
      <c r="N1365" s="6"/>
      <c r="O1365" s="6"/>
      <c r="P1365" s="6"/>
      <c r="Q1365" s="6"/>
      <c r="R1365" s="6"/>
      <c r="S1365" s="6"/>
      <c r="T1365" s="6"/>
      <c r="U1365" s="6"/>
      <c r="V1365" s="6"/>
      <c r="W1365" s="6"/>
      <c r="X1365" s="6"/>
      <c r="Y1365" s="6"/>
      <c r="Z1365" s="6"/>
    </row>
    <row r="1366" customFormat="false" ht="15" hidden="false" customHeight="false" outlineLevel="0" collapsed="false">
      <c r="A1366" s="9" t="s">
        <v>7209</v>
      </c>
      <c r="B1366" s="9" t="s">
        <v>5870</v>
      </c>
      <c r="C1366" s="9" t="s">
        <v>1579</v>
      </c>
      <c r="D1366" s="9" t="s">
        <v>5871</v>
      </c>
      <c r="E1366" s="9" t="str">
        <f aca="false">IF(AND('Formation Ledger'!A1345&lt;&gt;"",'Formation Ledger'!V1345=0),"PASS","FAIL")</f>
        <v>PASS</v>
      </c>
      <c r="F1366" s="9" t="s">
        <v>76</v>
      </c>
      <c r="G1366" s="6"/>
      <c r="H1366" s="6"/>
      <c r="I1366" s="6"/>
      <c r="J1366" s="6"/>
      <c r="K1366" s="6"/>
      <c r="L1366" s="6"/>
      <c r="M1366" s="6"/>
      <c r="N1366" s="6"/>
      <c r="O1366" s="6"/>
      <c r="P1366" s="6"/>
      <c r="Q1366" s="6"/>
      <c r="R1366" s="6"/>
      <c r="S1366" s="6"/>
      <c r="T1366" s="6"/>
      <c r="U1366" s="6"/>
      <c r="V1366" s="6"/>
      <c r="W1366" s="6"/>
      <c r="X1366" s="6"/>
      <c r="Y1366" s="6"/>
      <c r="Z1366" s="6"/>
    </row>
    <row r="1367" customFormat="false" ht="15" hidden="false" customHeight="false" outlineLevel="0" collapsed="false">
      <c r="A1367" s="9" t="s">
        <v>7210</v>
      </c>
      <c r="B1367" s="9" t="s">
        <v>5870</v>
      </c>
      <c r="C1367" s="9" t="s">
        <v>1580</v>
      </c>
      <c r="D1367" s="9" t="s">
        <v>5871</v>
      </c>
      <c r="E1367" s="9" t="str">
        <f aca="false">IF(AND('Formation Ledger'!A1346&lt;&gt;"",'Formation Ledger'!V1346=0),"PASS","FAIL")</f>
        <v>PASS</v>
      </c>
      <c r="F1367" s="9" t="s">
        <v>76</v>
      </c>
      <c r="G1367" s="6"/>
      <c r="H1367" s="6"/>
      <c r="I1367" s="6"/>
      <c r="J1367" s="6"/>
      <c r="K1367" s="6"/>
      <c r="L1367" s="6"/>
      <c r="M1367" s="6"/>
      <c r="N1367" s="6"/>
      <c r="O1367" s="6"/>
      <c r="P1367" s="6"/>
      <c r="Q1367" s="6"/>
      <c r="R1367" s="6"/>
      <c r="S1367" s="6"/>
      <c r="T1367" s="6"/>
      <c r="U1367" s="6"/>
      <c r="V1367" s="6"/>
      <c r="W1367" s="6"/>
      <c r="X1367" s="6"/>
      <c r="Y1367" s="6"/>
      <c r="Z1367" s="6"/>
    </row>
    <row r="1368" customFormat="false" ht="15" hidden="false" customHeight="false" outlineLevel="0" collapsed="false">
      <c r="A1368" s="9" t="s">
        <v>7211</v>
      </c>
      <c r="B1368" s="9" t="s">
        <v>5870</v>
      </c>
      <c r="C1368" s="9" t="s">
        <v>1581</v>
      </c>
      <c r="D1368" s="9" t="s">
        <v>5871</v>
      </c>
      <c r="E1368" s="9" t="str">
        <f aca="false">IF(AND('Formation Ledger'!A1347&lt;&gt;"",'Formation Ledger'!V1347=0),"PASS","FAIL")</f>
        <v>PASS</v>
      </c>
      <c r="F1368" s="9" t="s">
        <v>76</v>
      </c>
      <c r="G1368" s="6"/>
      <c r="H1368" s="6"/>
      <c r="I1368" s="6"/>
      <c r="J1368" s="6"/>
      <c r="K1368" s="6"/>
      <c r="L1368" s="6"/>
      <c r="M1368" s="6"/>
      <c r="N1368" s="6"/>
      <c r="O1368" s="6"/>
      <c r="P1368" s="6"/>
      <c r="Q1368" s="6"/>
      <c r="R1368" s="6"/>
      <c r="S1368" s="6"/>
      <c r="T1368" s="6"/>
      <c r="U1368" s="6"/>
      <c r="V1368" s="6"/>
      <c r="W1368" s="6"/>
      <c r="X1368" s="6"/>
      <c r="Y1368" s="6"/>
      <c r="Z1368" s="6"/>
    </row>
    <row r="1369" customFormat="false" ht="15" hidden="false" customHeight="false" outlineLevel="0" collapsed="false">
      <c r="A1369" s="9" t="s">
        <v>7212</v>
      </c>
      <c r="B1369" s="9" t="s">
        <v>5870</v>
      </c>
      <c r="C1369" s="9" t="s">
        <v>1582</v>
      </c>
      <c r="D1369" s="9" t="s">
        <v>5871</v>
      </c>
      <c r="E1369" s="9" t="str">
        <f aca="false">IF(AND('Formation Ledger'!A1348&lt;&gt;"",'Formation Ledger'!V1348=0),"PASS","FAIL")</f>
        <v>PASS</v>
      </c>
      <c r="F1369" s="9" t="s">
        <v>76</v>
      </c>
      <c r="G1369" s="6"/>
      <c r="H1369" s="6"/>
      <c r="I1369" s="6"/>
      <c r="J1369" s="6"/>
      <c r="K1369" s="6"/>
      <c r="L1369" s="6"/>
      <c r="M1369" s="6"/>
      <c r="N1369" s="6"/>
      <c r="O1369" s="6"/>
      <c r="P1369" s="6"/>
      <c r="Q1369" s="6"/>
      <c r="R1369" s="6"/>
      <c r="S1369" s="6"/>
      <c r="T1369" s="6"/>
      <c r="U1369" s="6"/>
      <c r="V1369" s="6"/>
      <c r="W1369" s="6"/>
      <c r="X1369" s="6"/>
      <c r="Y1369" s="6"/>
      <c r="Z1369" s="6"/>
    </row>
    <row r="1370" customFormat="false" ht="15" hidden="false" customHeight="false" outlineLevel="0" collapsed="false">
      <c r="A1370" s="9" t="s">
        <v>7213</v>
      </c>
      <c r="B1370" s="9" t="s">
        <v>5870</v>
      </c>
      <c r="C1370" s="9" t="s">
        <v>1583</v>
      </c>
      <c r="D1370" s="9" t="s">
        <v>5871</v>
      </c>
      <c r="E1370" s="9" t="str">
        <f aca="false">IF(AND('Formation Ledger'!A1349&lt;&gt;"",'Formation Ledger'!V1349=0),"PASS","FAIL")</f>
        <v>PASS</v>
      </c>
      <c r="F1370" s="9" t="s">
        <v>76</v>
      </c>
      <c r="G1370" s="6"/>
      <c r="H1370" s="6"/>
      <c r="I1370" s="6"/>
      <c r="J1370" s="6"/>
      <c r="K1370" s="6"/>
      <c r="L1370" s="6"/>
      <c r="M1370" s="6"/>
      <c r="N1370" s="6"/>
      <c r="O1370" s="6"/>
      <c r="P1370" s="6"/>
      <c r="Q1370" s="6"/>
      <c r="R1370" s="6"/>
      <c r="S1370" s="6"/>
      <c r="T1370" s="6"/>
      <c r="U1370" s="6"/>
      <c r="V1370" s="6"/>
      <c r="W1370" s="6"/>
      <c r="X1370" s="6"/>
      <c r="Y1370" s="6"/>
      <c r="Z1370" s="6"/>
    </row>
    <row r="1371" customFormat="false" ht="15" hidden="false" customHeight="false" outlineLevel="0" collapsed="false">
      <c r="A1371" s="9" t="s">
        <v>7214</v>
      </c>
      <c r="B1371" s="9" t="s">
        <v>5870</v>
      </c>
      <c r="C1371" s="9" t="s">
        <v>1584</v>
      </c>
      <c r="D1371" s="9" t="s">
        <v>5871</v>
      </c>
      <c r="E1371" s="9" t="str">
        <f aca="false">IF(AND('Formation Ledger'!A1350&lt;&gt;"",'Formation Ledger'!V1350=0),"PASS","FAIL")</f>
        <v>PASS</v>
      </c>
      <c r="F1371" s="9" t="s">
        <v>76</v>
      </c>
      <c r="G1371" s="6"/>
      <c r="H1371" s="6"/>
      <c r="I1371" s="6"/>
      <c r="J1371" s="6"/>
      <c r="K1371" s="6"/>
      <c r="L1371" s="6"/>
      <c r="M1371" s="6"/>
      <c r="N1371" s="6"/>
      <c r="O1371" s="6"/>
      <c r="P1371" s="6"/>
      <c r="Q1371" s="6"/>
      <c r="R1371" s="6"/>
      <c r="S1371" s="6"/>
      <c r="T1371" s="6"/>
      <c r="U1371" s="6"/>
      <c r="V1371" s="6"/>
      <c r="W1371" s="6"/>
      <c r="X1371" s="6"/>
      <c r="Y1371" s="6"/>
      <c r="Z1371" s="6"/>
    </row>
    <row r="1372" customFormat="false" ht="15" hidden="false" customHeight="false" outlineLevel="0" collapsed="false">
      <c r="A1372" s="9" t="s">
        <v>7215</v>
      </c>
      <c r="B1372" s="9" t="s">
        <v>5870</v>
      </c>
      <c r="C1372" s="9" t="s">
        <v>1585</v>
      </c>
      <c r="D1372" s="9" t="s">
        <v>5871</v>
      </c>
      <c r="E1372" s="9" t="str">
        <f aca="false">IF(AND('Formation Ledger'!A1351&lt;&gt;"",'Formation Ledger'!V1351=0),"PASS","FAIL")</f>
        <v>PASS</v>
      </c>
      <c r="F1372" s="9" t="s">
        <v>76</v>
      </c>
      <c r="G1372" s="6"/>
      <c r="H1372" s="6"/>
      <c r="I1372" s="6"/>
      <c r="J1372" s="6"/>
      <c r="K1372" s="6"/>
      <c r="L1372" s="6"/>
      <c r="M1372" s="6"/>
      <c r="N1372" s="6"/>
      <c r="O1372" s="6"/>
      <c r="P1372" s="6"/>
      <c r="Q1372" s="6"/>
      <c r="R1372" s="6"/>
      <c r="S1372" s="6"/>
      <c r="T1372" s="6"/>
      <c r="U1372" s="6"/>
      <c r="V1372" s="6"/>
      <c r="W1372" s="6"/>
      <c r="X1372" s="6"/>
      <c r="Y1372" s="6"/>
      <c r="Z1372" s="6"/>
    </row>
    <row r="1373" customFormat="false" ht="15" hidden="false" customHeight="false" outlineLevel="0" collapsed="false">
      <c r="A1373" s="9" t="s">
        <v>7216</v>
      </c>
      <c r="B1373" s="9" t="s">
        <v>5870</v>
      </c>
      <c r="C1373" s="9" t="s">
        <v>1586</v>
      </c>
      <c r="D1373" s="9" t="s">
        <v>5871</v>
      </c>
      <c r="E1373" s="9" t="str">
        <f aca="false">IF(AND('Formation Ledger'!A1352&lt;&gt;"",'Formation Ledger'!V1352=0),"PASS","FAIL")</f>
        <v>PASS</v>
      </c>
      <c r="F1373" s="9" t="s">
        <v>76</v>
      </c>
      <c r="G1373" s="6"/>
      <c r="H1373" s="6"/>
      <c r="I1373" s="6"/>
      <c r="J1373" s="6"/>
      <c r="K1373" s="6"/>
      <c r="L1373" s="6"/>
      <c r="M1373" s="6"/>
      <c r="N1373" s="6"/>
      <c r="O1373" s="6"/>
      <c r="P1373" s="6"/>
      <c r="Q1373" s="6"/>
      <c r="R1373" s="6"/>
      <c r="S1373" s="6"/>
      <c r="T1373" s="6"/>
      <c r="U1373" s="6"/>
      <c r="V1373" s="6"/>
      <c r="W1373" s="6"/>
      <c r="X1373" s="6"/>
      <c r="Y1373" s="6"/>
      <c r="Z1373" s="6"/>
    </row>
    <row r="1374" customFormat="false" ht="15" hidden="false" customHeight="false" outlineLevel="0" collapsed="false">
      <c r="A1374" s="9" t="s">
        <v>7217</v>
      </c>
      <c r="B1374" s="9" t="s">
        <v>5870</v>
      </c>
      <c r="C1374" s="9" t="s">
        <v>1587</v>
      </c>
      <c r="D1374" s="9" t="s">
        <v>5871</v>
      </c>
      <c r="E1374" s="9" t="str">
        <f aca="false">IF(AND('Formation Ledger'!A1353&lt;&gt;"",'Formation Ledger'!V1353=0),"PASS","FAIL")</f>
        <v>PASS</v>
      </c>
      <c r="F1374" s="9" t="s">
        <v>76</v>
      </c>
      <c r="G1374" s="6"/>
      <c r="H1374" s="6"/>
      <c r="I1374" s="6"/>
      <c r="J1374" s="6"/>
      <c r="K1374" s="6"/>
      <c r="L1374" s="6"/>
      <c r="M1374" s="6"/>
      <c r="N1374" s="6"/>
      <c r="O1374" s="6"/>
      <c r="P1374" s="6"/>
      <c r="Q1374" s="6"/>
      <c r="R1374" s="6"/>
      <c r="S1374" s="6"/>
      <c r="T1374" s="6"/>
      <c r="U1374" s="6"/>
      <c r="V1374" s="6"/>
      <c r="W1374" s="6"/>
      <c r="X1374" s="6"/>
      <c r="Y1374" s="6"/>
      <c r="Z1374" s="6"/>
    </row>
    <row r="1375" customFormat="false" ht="15" hidden="false" customHeight="false" outlineLevel="0" collapsed="false">
      <c r="A1375" s="9" t="s">
        <v>7218</v>
      </c>
      <c r="B1375" s="9" t="s">
        <v>5870</v>
      </c>
      <c r="C1375" s="9" t="s">
        <v>1588</v>
      </c>
      <c r="D1375" s="9" t="s">
        <v>5871</v>
      </c>
      <c r="E1375" s="9" t="str">
        <f aca="false">IF(AND('Formation Ledger'!A1354&lt;&gt;"",'Formation Ledger'!V1354=0),"PASS","FAIL")</f>
        <v>PASS</v>
      </c>
      <c r="F1375" s="9" t="s">
        <v>76</v>
      </c>
      <c r="G1375" s="6"/>
      <c r="H1375" s="6"/>
      <c r="I1375" s="6"/>
      <c r="J1375" s="6"/>
      <c r="K1375" s="6"/>
      <c r="L1375" s="6"/>
      <c r="M1375" s="6"/>
      <c r="N1375" s="6"/>
      <c r="O1375" s="6"/>
      <c r="P1375" s="6"/>
      <c r="Q1375" s="6"/>
      <c r="R1375" s="6"/>
      <c r="S1375" s="6"/>
      <c r="T1375" s="6"/>
      <c r="U1375" s="6"/>
      <c r="V1375" s="6"/>
      <c r="W1375" s="6"/>
      <c r="X1375" s="6"/>
      <c r="Y1375" s="6"/>
      <c r="Z1375" s="6"/>
    </row>
    <row r="1376" customFormat="false" ht="15" hidden="false" customHeight="false" outlineLevel="0" collapsed="false">
      <c r="A1376" s="9" t="s">
        <v>7219</v>
      </c>
      <c r="B1376" s="9" t="s">
        <v>5870</v>
      </c>
      <c r="C1376" s="9" t="s">
        <v>1589</v>
      </c>
      <c r="D1376" s="9" t="s">
        <v>5871</v>
      </c>
      <c r="E1376" s="9" t="str">
        <f aca="false">IF(AND('Formation Ledger'!A1355&lt;&gt;"",'Formation Ledger'!V1355=0),"PASS","FAIL")</f>
        <v>PASS</v>
      </c>
      <c r="F1376" s="9" t="s">
        <v>76</v>
      </c>
      <c r="G1376" s="6"/>
      <c r="H1376" s="6"/>
      <c r="I1376" s="6"/>
      <c r="J1376" s="6"/>
      <c r="K1376" s="6"/>
      <c r="L1376" s="6"/>
      <c r="M1376" s="6"/>
      <c r="N1376" s="6"/>
      <c r="O1376" s="6"/>
      <c r="P1376" s="6"/>
      <c r="Q1376" s="6"/>
      <c r="R1376" s="6"/>
      <c r="S1376" s="6"/>
      <c r="T1376" s="6"/>
      <c r="U1376" s="6"/>
      <c r="V1376" s="6"/>
      <c r="W1376" s="6"/>
      <c r="X1376" s="6"/>
      <c r="Y1376" s="6"/>
      <c r="Z1376" s="6"/>
    </row>
    <row r="1377" customFormat="false" ht="15" hidden="false" customHeight="false" outlineLevel="0" collapsed="false">
      <c r="A1377" s="9" t="s">
        <v>7220</v>
      </c>
      <c r="B1377" s="9" t="s">
        <v>5870</v>
      </c>
      <c r="C1377" s="9" t="s">
        <v>1590</v>
      </c>
      <c r="D1377" s="9" t="s">
        <v>5871</v>
      </c>
      <c r="E1377" s="9" t="str">
        <f aca="false">IF(AND('Formation Ledger'!A1356&lt;&gt;"",'Formation Ledger'!V1356=0),"PASS","FAIL")</f>
        <v>PASS</v>
      </c>
      <c r="F1377" s="9" t="s">
        <v>76</v>
      </c>
      <c r="G1377" s="6"/>
      <c r="H1377" s="6"/>
      <c r="I1377" s="6"/>
      <c r="J1377" s="6"/>
      <c r="K1377" s="6"/>
      <c r="L1377" s="6"/>
      <c r="M1377" s="6"/>
      <c r="N1377" s="6"/>
      <c r="O1377" s="6"/>
      <c r="P1377" s="6"/>
      <c r="Q1377" s="6"/>
      <c r="R1377" s="6"/>
      <c r="S1377" s="6"/>
      <c r="T1377" s="6"/>
      <c r="U1377" s="6"/>
      <c r="V1377" s="6"/>
      <c r="W1377" s="6"/>
      <c r="X1377" s="6"/>
      <c r="Y1377" s="6"/>
      <c r="Z1377" s="6"/>
    </row>
    <row r="1378" customFormat="false" ht="15" hidden="false" customHeight="false" outlineLevel="0" collapsed="false">
      <c r="A1378" s="9" t="s">
        <v>7221</v>
      </c>
      <c r="B1378" s="9" t="s">
        <v>5870</v>
      </c>
      <c r="C1378" s="9" t="s">
        <v>1591</v>
      </c>
      <c r="D1378" s="9" t="s">
        <v>5871</v>
      </c>
      <c r="E1378" s="9" t="str">
        <f aca="false">IF(AND('Formation Ledger'!A1357&lt;&gt;"",'Formation Ledger'!V1357=0),"PASS","FAIL")</f>
        <v>PASS</v>
      </c>
      <c r="F1378" s="9" t="s">
        <v>76</v>
      </c>
      <c r="G1378" s="6"/>
      <c r="H1378" s="6"/>
      <c r="I1378" s="6"/>
      <c r="J1378" s="6"/>
      <c r="K1378" s="6"/>
      <c r="L1378" s="6"/>
      <c r="M1378" s="6"/>
      <c r="N1378" s="6"/>
      <c r="O1378" s="6"/>
      <c r="P1378" s="6"/>
      <c r="Q1378" s="6"/>
      <c r="R1378" s="6"/>
      <c r="S1378" s="6"/>
      <c r="T1378" s="6"/>
      <c r="U1378" s="6"/>
      <c r="V1378" s="6"/>
      <c r="W1378" s="6"/>
      <c r="X1378" s="6"/>
      <c r="Y1378" s="6"/>
      <c r="Z1378" s="6"/>
    </row>
    <row r="1379" customFormat="false" ht="15" hidden="false" customHeight="false" outlineLevel="0" collapsed="false">
      <c r="A1379" s="9" t="s">
        <v>7222</v>
      </c>
      <c r="B1379" s="9" t="s">
        <v>5870</v>
      </c>
      <c r="C1379" s="9" t="s">
        <v>1592</v>
      </c>
      <c r="D1379" s="9" t="s">
        <v>5871</v>
      </c>
      <c r="E1379" s="9" t="str">
        <f aca="false">IF(AND('Formation Ledger'!A1358&lt;&gt;"",'Formation Ledger'!V1358=0),"PASS","FAIL")</f>
        <v>PASS</v>
      </c>
      <c r="F1379" s="9" t="s">
        <v>76</v>
      </c>
      <c r="G1379" s="6"/>
      <c r="H1379" s="6"/>
      <c r="I1379" s="6"/>
      <c r="J1379" s="6"/>
      <c r="K1379" s="6"/>
      <c r="L1379" s="6"/>
      <c r="M1379" s="6"/>
      <c r="N1379" s="6"/>
      <c r="O1379" s="6"/>
      <c r="P1379" s="6"/>
      <c r="Q1379" s="6"/>
      <c r="R1379" s="6"/>
      <c r="S1379" s="6"/>
      <c r="T1379" s="6"/>
      <c r="U1379" s="6"/>
      <c r="V1379" s="6"/>
      <c r="W1379" s="6"/>
      <c r="X1379" s="6"/>
      <c r="Y1379" s="6"/>
      <c r="Z1379" s="6"/>
    </row>
    <row r="1380" customFormat="false" ht="15" hidden="false" customHeight="false" outlineLevel="0" collapsed="false">
      <c r="A1380" s="9" t="s">
        <v>7223</v>
      </c>
      <c r="B1380" s="9" t="s">
        <v>5870</v>
      </c>
      <c r="C1380" s="9" t="s">
        <v>1593</v>
      </c>
      <c r="D1380" s="9" t="s">
        <v>5871</v>
      </c>
      <c r="E1380" s="9" t="str">
        <f aca="false">IF(AND('Formation Ledger'!A1359&lt;&gt;"",'Formation Ledger'!V1359=0),"PASS","FAIL")</f>
        <v>PASS</v>
      </c>
      <c r="F1380" s="9" t="s">
        <v>76</v>
      </c>
      <c r="G1380" s="6"/>
      <c r="H1380" s="6"/>
      <c r="I1380" s="6"/>
      <c r="J1380" s="6"/>
      <c r="K1380" s="6"/>
      <c r="L1380" s="6"/>
      <c r="M1380" s="6"/>
      <c r="N1380" s="6"/>
      <c r="O1380" s="6"/>
      <c r="P1380" s="6"/>
      <c r="Q1380" s="6"/>
      <c r="R1380" s="6"/>
      <c r="S1380" s="6"/>
      <c r="T1380" s="6"/>
      <c r="U1380" s="6"/>
      <c r="V1380" s="6"/>
      <c r="W1380" s="6"/>
      <c r="X1380" s="6"/>
      <c r="Y1380" s="6"/>
      <c r="Z1380" s="6"/>
    </row>
    <row r="1381" customFormat="false" ht="15" hidden="false" customHeight="false" outlineLevel="0" collapsed="false">
      <c r="A1381" s="9" t="s">
        <v>7224</v>
      </c>
      <c r="B1381" s="9" t="s">
        <v>5870</v>
      </c>
      <c r="C1381" s="9" t="s">
        <v>1594</v>
      </c>
      <c r="D1381" s="9" t="s">
        <v>5871</v>
      </c>
      <c r="E1381" s="9" t="str">
        <f aca="false">IF(AND('Formation Ledger'!A1360&lt;&gt;"",'Formation Ledger'!V1360=0),"PASS","FAIL")</f>
        <v>PASS</v>
      </c>
      <c r="F1381" s="9" t="s">
        <v>76</v>
      </c>
      <c r="G1381" s="6"/>
      <c r="H1381" s="6"/>
      <c r="I1381" s="6"/>
      <c r="J1381" s="6"/>
      <c r="K1381" s="6"/>
      <c r="L1381" s="6"/>
      <c r="M1381" s="6"/>
      <c r="N1381" s="6"/>
      <c r="O1381" s="6"/>
      <c r="P1381" s="6"/>
      <c r="Q1381" s="6"/>
      <c r="R1381" s="6"/>
      <c r="S1381" s="6"/>
      <c r="T1381" s="6"/>
      <c r="U1381" s="6"/>
      <c r="V1381" s="6"/>
      <c r="W1381" s="6"/>
      <c r="X1381" s="6"/>
      <c r="Y1381" s="6"/>
      <c r="Z1381" s="6"/>
    </row>
    <row r="1382" customFormat="false" ht="15" hidden="false" customHeight="false" outlineLevel="0" collapsed="false">
      <c r="A1382" s="9" t="s">
        <v>7225</v>
      </c>
      <c r="B1382" s="9" t="s">
        <v>5870</v>
      </c>
      <c r="C1382" s="9" t="s">
        <v>1595</v>
      </c>
      <c r="D1382" s="9" t="s">
        <v>5871</v>
      </c>
      <c r="E1382" s="9" t="str">
        <f aca="false">IF(AND('Formation Ledger'!A1361&lt;&gt;"",'Formation Ledger'!V1361=0),"PASS","FAIL")</f>
        <v>PASS</v>
      </c>
      <c r="F1382" s="9" t="s">
        <v>76</v>
      </c>
      <c r="G1382" s="6"/>
      <c r="H1382" s="6"/>
      <c r="I1382" s="6"/>
      <c r="J1382" s="6"/>
      <c r="K1382" s="6"/>
      <c r="L1382" s="6"/>
      <c r="M1382" s="6"/>
      <c r="N1382" s="6"/>
      <c r="O1382" s="6"/>
      <c r="P1382" s="6"/>
      <c r="Q1382" s="6"/>
      <c r="R1382" s="6"/>
      <c r="S1382" s="6"/>
      <c r="T1382" s="6"/>
      <c r="U1382" s="6"/>
      <c r="V1382" s="6"/>
      <c r="W1382" s="6"/>
      <c r="X1382" s="6"/>
      <c r="Y1382" s="6"/>
      <c r="Z1382" s="6"/>
    </row>
    <row r="1383" customFormat="false" ht="15" hidden="false" customHeight="false" outlineLevel="0" collapsed="false">
      <c r="A1383" s="9" t="s">
        <v>7226</v>
      </c>
      <c r="B1383" s="9" t="s">
        <v>5870</v>
      </c>
      <c r="C1383" s="9" t="s">
        <v>1596</v>
      </c>
      <c r="D1383" s="9" t="s">
        <v>5871</v>
      </c>
      <c r="E1383" s="9" t="str">
        <f aca="false">IF(AND('Formation Ledger'!A1362&lt;&gt;"",'Formation Ledger'!V1362=0),"PASS","FAIL")</f>
        <v>PASS</v>
      </c>
      <c r="F1383" s="9" t="s">
        <v>76</v>
      </c>
      <c r="G1383" s="6"/>
      <c r="H1383" s="6"/>
      <c r="I1383" s="6"/>
      <c r="J1383" s="6"/>
      <c r="K1383" s="6"/>
      <c r="L1383" s="6"/>
      <c r="M1383" s="6"/>
      <c r="N1383" s="6"/>
      <c r="O1383" s="6"/>
      <c r="P1383" s="6"/>
      <c r="Q1383" s="6"/>
      <c r="R1383" s="6"/>
      <c r="S1383" s="6"/>
      <c r="T1383" s="6"/>
      <c r="U1383" s="6"/>
      <c r="V1383" s="6"/>
      <c r="W1383" s="6"/>
      <c r="X1383" s="6"/>
      <c r="Y1383" s="6"/>
      <c r="Z1383" s="6"/>
    </row>
    <row r="1384" customFormat="false" ht="15" hidden="false" customHeight="false" outlineLevel="0" collapsed="false">
      <c r="A1384" s="9" t="s">
        <v>7227</v>
      </c>
      <c r="B1384" s="9" t="s">
        <v>5870</v>
      </c>
      <c r="C1384" s="9" t="s">
        <v>1597</v>
      </c>
      <c r="D1384" s="9" t="s">
        <v>5871</v>
      </c>
      <c r="E1384" s="9" t="str">
        <f aca="false">IF(AND('Formation Ledger'!A1363&lt;&gt;"",'Formation Ledger'!V1363=0),"PASS","FAIL")</f>
        <v>PASS</v>
      </c>
      <c r="F1384" s="9" t="s">
        <v>76</v>
      </c>
      <c r="G1384" s="6"/>
      <c r="H1384" s="6"/>
      <c r="I1384" s="6"/>
      <c r="J1384" s="6"/>
      <c r="K1384" s="6"/>
      <c r="L1384" s="6"/>
      <c r="M1384" s="6"/>
      <c r="N1384" s="6"/>
      <c r="O1384" s="6"/>
      <c r="P1384" s="6"/>
      <c r="Q1384" s="6"/>
      <c r="R1384" s="6"/>
      <c r="S1384" s="6"/>
      <c r="T1384" s="6"/>
      <c r="U1384" s="6"/>
      <c r="V1384" s="6"/>
      <c r="W1384" s="6"/>
      <c r="X1384" s="6"/>
      <c r="Y1384" s="6"/>
      <c r="Z1384" s="6"/>
    </row>
    <row r="1385" customFormat="false" ht="15" hidden="false" customHeight="false" outlineLevel="0" collapsed="false">
      <c r="A1385" s="9" t="s">
        <v>7228</v>
      </c>
      <c r="B1385" s="9" t="s">
        <v>5870</v>
      </c>
      <c r="C1385" s="9" t="s">
        <v>1598</v>
      </c>
      <c r="D1385" s="9" t="s">
        <v>5871</v>
      </c>
      <c r="E1385" s="9" t="str">
        <f aca="false">IF(AND('Formation Ledger'!A1364&lt;&gt;"",'Formation Ledger'!V1364=0),"PASS","FAIL")</f>
        <v>PASS</v>
      </c>
      <c r="F1385" s="9" t="s">
        <v>76</v>
      </c>
      <c r="G1385" s="6"/>
      <c r="H1385" s="6"/>
      <c r="I1385" s="6"/>
      <c r="J1385" s="6"/>
      <c r="K1385" s="6"/>
      <c r="L1385" s="6"/>
      <c r="M1385" s="6"/>
      <c r="N1385" s="6"/>
      <c r="O1385" s="6"/>
      <c r="P1385" s="6"/>
      <c r="Q1385" s="6"/>
      <c r="R1385" s="6"/>
      <c r="S1385" s="6"/>
      <c r="T1385" s="6"/>
      <c r="U1385" s="6"/>
      <c r="V1385" s="6"/>
      <c r="W1385" s="6"/>
      <c r="X1385" s="6"/>
      <c r="Y1385" s="6"/>
      <c r="Z1385" s="6"/>
    </row>
    <row r="1386" customFormat="false" ht="15" hidden="false" customHeight="false" outlineLevel="0" collapsed="false">
      <c r="A1386" s="9" t="s">
        <v>7229</v>
      </c>
      <c r="B1386" s="9" t="s">
        <v>5870</v>
      </c>
      <c r="C1386" s="9" t="s">
        <v>1599</v>
      </c>
      <c r="D1386" s="9" t="s">
        <v>5871</v>
      </c>
      <c r="E1386" s="9" t="str">
        <f aca="false">IF(AND('Formation Ledger'!A1365&lt;&gt;"",'Formation Ledger'!V1365=0),"PASS","FAIL")</f>
        <v>PASS</v>
      </c>
      <c r="F1386" s="9" t="s">
        <v>76</v>
      </c>
      <c r="G1386" s="6"/>
      <c r="H1386" s="6"/>
      <c r="I1386" s="6"/>
      <c r="J1386" s="6"/>
      <c r="K1386" s="6"/>
      <c r="L1386" s="6"/>
      <c r="M1386" s="6"/>
      <c r="N1386" s="6"/>
      <c r="O1386" s="6"/>
      <c r="P1386" s="6"/>
      <c r="Q1386" s="6"/>
      <c r="R1386" s="6"/>
      <c r="S1386" s="6"/>
      <c r="T1386" s="6"/>
      <c r="U1386" s="6"/>
      <c r="V1386" s="6"/>
      <c r="W1386" s="6"/>
      <c r="X1386" s="6"/>
      <c r="Y1386" s="6"/>
      <c r="Z1386" s="6"/>
    </row>
    <row r="1387" customFormat="false" ht="15" hidden="false" customHeight="false" outlineLevel="0" collapsed="false">
      <c r="A1387" s="9" t="s">
        <v>7230</v>
      </c>
      <c r="B1387" s="9" t="s">
        <v>5870</v>
      </c>
      <c r="C1387" s="9" t="s">
        <v>1600</v>
      </c>
      <c r="D1387" s="9" t="s">
        <v>5871</v>
      </c>
      <c r="E1387" s="9" t="str">
        <f aca="false">IF(AND('Formation Ledger'!A1366&lt;&gt;"",'Formation Ledger'!V1366=0),"PASS","FAIL")</f>
        <v>PASS</v>
      </c>
      <c r="F1387" s="9" t="s">
        <v>76</v>
      </c>
      <c r="G1387" s="6"/>
      <c r="H1387" s="6"/>
      <c r="I1387" s="6"/>
      <c r="J1387" s="6"/>
      <c r="K1387" s="6"/>
      <c r="L1387" s="6"/>
      <c r="M1387" s="6"/>
      <c r="N1387" s="6"/>
      <c r="O1387" s="6"/>
      <c r="P1387" s="6"/>
      <c r="Q1387" s="6"/>
      <c r="R1387" s="6"/>
      <c r="S1387" s="6"/>
      <c r="T1387" s="6"/>
      <c r="U1387" s="6"/>
      <c r="V1387" s="6"/>
      <c r="W1387" s="6"/>
      <c r="X1387" s="6"/>
      <c r="Y1387" s="6"/>
      <c r="Z1387" s="6"/>
    </row>
    <row r="1388" customFormat="false" ht="15" hidden="false" customHeight="false" outlineLevel="0" collapsed="false">
      <c r="A1388" s="9" t="s">
        <v>7231</v>
      </c>
      <c r="B1388" s="9" t="s">
        <v>5870</v>
      </c>
      <c r="C1388" s="9" t="s">
        <v>1601</v>
      </c>
      <c r="D1388" s="9" t="s">
        <v>5871</v>
      </c>
      <c r="E1388" s="9" t="str">
        <f aca="false">IF(AND('Formation Ledger'!A1367&lt;&gt;"",'Formation Ledger'!V1367=0),"PASS","FAIL")</f>
        <v>PASS</v>
      </c>
      <c r="F1388" s="9" t="s">
        <v>76</v>
      </c>
      <c r="G1388" s="6"/>
      <c r="H1388" s="6"/>
      <c r="I1388" s="6"/>
      <c r="J1388" s="6"/>
      <c r="K1388" s="6"/>
      <c r="L1388" s="6"/>
      <c r="M1388" s="6"/>
      <c r="N1388" s="6"/>
      <c r="O1388" s="6"/>
      <c r="P1388" s="6"/>
      <c r="Q1388" s="6"/>
      <c r="R1388" s="6"/>
      <c r="S1388" s="6"/>
      <c r="T1388" s="6"/>
      <c r="U1388" s="6"/>
      <c r="V1388" s="6"/>
      <c r="W1388" s="6"/>
      <c r="X1388" s="6"/>
      <c r="Y1388" s="6"/>
      <c r="Z1388" s="6"/>
    </row>
    <row r="1389" customFormat="false" ht="15" hidden="false" customHeight="false" outlineLevel="0" collapsed="false">
      <c r="A1389" s="9" t="s">
        <v>7232</v>
      </c>
      <c r="B1389" s="9" t="s">
        <v>5870</v>
      </c>
      <c r="C1389" s="9" t="s">
        <v>1602</v>
      </c>
      <c r="D1389" s="9" t="s">
        <v>5871</v>
      </c>
      <c r="E1389" s="9" t="str">
        <f aca="false">IF(AND('Formation Ledger'!A1368&lt;&gt;"",'Formation Ledger'!V1368=0),"PASS","FAIL")</f>
        <v>PASS</v>
      </c>
      <c r="F1389" s="9" t="s">
        <v>76</v>
      </c>
      <c r="G1389" s="6"/>
      <c r="H1389" s="6"/>
      <c r="I1389" s="6"/>
      <c r="J1389" s="6"/>
      <c r="K1389" s="6"/>
      <c r="L1389" s="6"/>
      <c r="M1389" s="6"/>
      <c r="N1389" s="6"/>
      <c r="O1389" s="6"/>
      <c r="P1389" s="6"/>
      <c r="Q1389" s="6"/>
      <c r="R1389" s="6"/>
      <c r="S1389" s="6"/>
      <c r="T1389" s="6"/>
      <c r="U1389" s="6"/>
      <c r="V1389" s="6"/>
      <c r="W1389" s="6"/>
      <c r="X1389" s="6"/>
      <c r="Y1389" s="6"/>
      <c r="Z1389" s="6"/>
    </row>
    <row r="1390" customFormat="false" ht="15" hidden="false" customHeight="false" outlineLevel="0" collapsed="false">
      <c r="A1390" s="9" t="s">
        <v>7233</v>
      </c>
      <c r="B1390" s="9" t="s">
        <v>5870</v>
      </c>
      <c r="C1390" s="9" t="s">
        <v>1603</v>
      </c>
      <c r="D1390" s="9" t="s">
        <v>5871</v>
      </c>
      <c r="E1390" s="9" t="str">
        <f aca="false">IF(AND('Formation Ledger'!A1369&lt;&gt;"",'Formation Ledger'!V1369=0),"PASS","FAIL")</f>
        <v>PASS</v>
      </c>
      <c r="F1390" s="9" t="s">
        <v>76</v>
      </c>
      <c r="G1390" s="6"/>
      <c r="H1390" s="6"/>
      <c r="I1390" s="6"/>
      <c r="J1390" s="6"/>
      <c r="K1390" s="6"/>
      <c r="L1390" s="6"/>
      <c r="M1390" s="6"/>
      <c r="N1390" s="6"/>
      <c r="O1390" s="6"/>
      <c r="P1390" s="6"/>
      <c r="Q1390" s="6"/>
      <c r="R1390" s="6"/>
      <c r="S1390" s="6"/>
      <c r="T1390" s="6"/>
      <c r="U1390" s="6"/>
      <c r="V1390" s="6"/>
      <c r="W1390" s="6"/>
      <c r="X1390" s="6"/>
      <c r="Y1390" s="6"/>
      <c r="Z1390" s="6"/>
    </row>
    <row r="1391" customFormat="false" ht="15" hidden="false" customHeight="false" outlineLevel="0" collapsed="false">
      <c r="A1391" s="9" t="s">
        <v>7234</v>
      </c>
      <c r="B1391" s="9" t="s">
        <v>5870</v>
      </c>
      <c r="C1391" s="9" t="s">
        <v>1604</v>
      </c>
      <c r="D1391" s="9" t="s">
        <v>5871</v>
      </c>
      <c r="E1391" s="9" t="str">
        <f aca="false">IF(AND('Formation Ledger'!A1370&lt;&gt;"",'Formation Ledger'!V1370=0),"PASS","FAIL")</f>
        <v>PASS</v>
      </c>
      <c r="F1391" s="9" t="s">
        <v>76</v>
      </c>
      <c r="G1391" s="6"/>
      <c r="H1391" s="6"/>
      <c r="I1391" s="6"/>
      <c r="J1391" s="6"/>
      <c r="K1391" s="6"/>
      <c r="L1391" s="6"/>
      <c r="M1391" s="6"/>
      <c r="N1391" s="6"/>
      <c r="O1391" s="6"/>
      <c r="P1391" s="6"/>
      <c r="Q1391" s="6"/>
      <c r="R1391" s="6"/>
      <c r="S1391" s="6"/>
      <c r="T1391" s="6"/>
      <c r="U1391" s="6"/>
      <c r="V1391" s="6"/>
      <c r="W1391" s="6"/>
      <c r="X1391" s="6"/>
      <c r="Y1391" s="6"/>
      <c r="Z1391" s="6"/>
    </row>
    <row r="1392" customFormat="false" ht="15" hidden="false" customHeight="false" outlineLevel="0" collapsed="false">
      <c r="A1392" s="9" t="s">
        <v>7235</v>
      </c>
      <c r="B1392" s="9" t="s">
        <v>5870</v>
      </c>
      <c r="C1392" s="9" t="s">
        <v>1605</v>
      </c>
      <c r="D1392" s="9" t="s">
        <v>5871</v>
      </c>
      <c r="E1392" s="9" t="str">
        <f aca="false">IF(AND('Formation Ledger'!A1371&lt;&gt;"",'Formation Ledger'!V1371=0),"PASS","FAIL")</f>
        <v>PASS</v>
      </c>
      <c r="F1392" s="9" t="s">
        <v>76</v>
      </c>
      <c r="G1392" s="6"/>
      <c r="H1392" s="6"/>
      <c r="I1392" s="6"/>
      <c r="J1392" s="6"/>
      <c r="K1392" s="6"/>
      <c r="L1392" s="6"/>
      <c r="M1392" s="6"/>
      <c r="N1392" s="6"/>
      <c r="O1392" s="6"/>
      <c r="P1392" s="6"/>
      <c r="Q1392" s="6"/>
      <c r="R1392" s="6"/>
      <c r="S1392" s="6"/>
      <c r="T1392" s="6"/>
      <c r="U1392" s="6"/>
      <c r="V1392" s="6"/>
      <c r="W1392" s="6"/>
      <c r="X1392" s="6"/>
      <c r="Y1392" s="6"/>
      <c r="Z1392" s="6"/>
    </row>
    <row r="1393" customFormat="false" ht="15" hidden="false" customHeight="false" outlineLevel="0" collapsed="false">
      <c r="A1393" s="9" t="s">
        <v>7236</v>
      </c>
      <c r="B1393" s="9" t="s">
        <v>5870</v>
      </c>
      <c r="C1393" s="9" t="s">
        <v>1606</v>
      </c>
      <c r="D1393" s="9" t="s">
        <v>5871</v>
      </c>
      <c r="E1393" s="9" t="str">
        <f aca="false">IF(AND('Formation Ledger'!A1372&lt;&gt;"",'Formation Ledger'!V1372=0),"PASS","FAIL")</f>
        <v>PASS</v>
      </c>
      <c r="F1393" s="9" t="s">
        <v>76</v>
      </c>
      <c r="G1393" s="6"/>
      <c r="H1393" s="6"/>
      <c r="I1393" s="6"/>
      <c r="J1393" s="6"/>
      <c r="K1393" s="6"/>
      <c r="L1393" s="6"/>
      <c r="M1393" s="6"/>
      <c r="N1393" s="6"/>
      <c r="O1393" s="6"/>
      <c r="P1393" s="6"/>
      <c r="Q1393" s="6"/>
      <c r="R1393" s="6"/>
      <c r="S1393" s="6"/>
      <c r="T1393" s="6"/>
      <c r="U1393" s="6"/>
      <c r="V1393" s="6"/>
      <c r="W1393" s="6"/>
      <c r="X1393" s="6"/>
      <c r="Y1393" s="6"/>
      <c r="Z1393" s="6"/>
    </row>
    <row r="1394" customFormat="false" ht="15" hidden="false" customHeight="false" outlineLevel="0" collapsed="false">
      <c r="A1394" s="9" t="s">
        <v>7237</v>
      </c>
      <c r="B1394" s="9" t="s">
        <v>5870</v>
      </c>
      <c r="C1394" s="9" t="s">
        <v>1607</v>
      </c>
      <c r="D1394" s="9" t="s">
        <v>5871</v>
      </c>
      <c r="E1394" s="9" t="str">
        <f aca="false">IF(AND('Formation Ledger'!A1373&lt;&gt;"",'Formation Ledger'!V1373=0),"PASS","FAIL")</f>
        <v>PASS</v>
      </c>
      <c r="F1394" s="9" t="s">
        <v>76</v>
      </c>
      <c r="G1394" s="6"/>
      <c r="H1394" s="6"/>
      <c r="I1394" s="6"/>
      <c r="J1394" s="6"/>
      <c r="K1394" s="6"/>
      <c r="L1394" s="6"/>
      <c r="M1394" s="6"/>
      <c r="N1394" s="6"/>
      <c r="O1394" s="6"/>
      <c r="P1394" s="6"/>
      <c r="Q1394" s="6"/>
      <c r="R1394" s="6"/>
      <c r="S1394" s="6"/>
      <c r="T1394" s="6"/>
      <c r="U1394" s="6"/>
      <c r="V1394" s="6"/>
      <c r="W1394" s="6"/>
      <c r="X1394" s="6"/>
      <c r="Y1394" s="6"/>
      <c r="Z1394" s="6"/>
    </row>
    <row r="1395" customFormat="false" ht="15" hidden="false" customHeight="false" outlineLevel="0" collapsed="false">
      <c r="A1395" s="9" t="s">
        <v>7238</v>
      </c>
      <c r="B1395" s="9" t="s">
        <v>5870</v>
      </c>
      <c r="C1395" s="9" t="s">
        <v>1608</v>
      </c>
      <c r="D1395" s="9" t="s">
        <v>5871</v>
      </c>
      <c r="E1395" s="9" t="str">
        <f aca="false">IF(AND('Formation Ledger'!A1374&lt;&gt;"",'Formation Ledger'!V1374=0),"PASS","FAIL")</f>
        <v>PASS</v>
      </c>
      <c r="F1395" s="9" t="s">
        <v>76</v>
      </c>
      <c r="G1395" s="6"/>
      <c r="H1395" s="6"/>
      <c r="I1395" s="6"/>
      <c r="J1395" s="6"/>
      <c r="K1395" s="6"/>
      <c r="L1395" s="6"/>
      <c r="M1395" s="6"/>
      <c r="N1395" s="6"/>
      <c r="O1395" s="6"/>
      <c r="P1395" s="6"/>
      <c r="Q1395" s="6"/>
      <c r="R1395" s="6"/>
      <c r="S1395" s="6"/>
      <c r="T1395" s="6"/>
      <c r="U1395" s="6"/>
      <c r="V1395" s="6"/>
      <c r="W1395" s="6"/>
      <c r="X1395" s="6"/>
      <c r="Y1395" s="6"/>
      <c r="Z1395" s="6"/>
    </row>
    <row r="1396" customFormat="false" ht="15" hidden="false" customHeight="false" outlineLevel="0" collapsed="false">
      <c r="A1396" s="9" t="s">
        <v>7239</v>
      </c>
      <c r="B1396" s="9" t="s">
        <v>5870</v>
      </c>
      <c r="C1396" s="9" t="s">
        <v>1609</v>
      </c>
      <c r="D1396" s="9" t="s">
        <v>5871</v>
      </c>
      <c r="E1396" s="9" t="str">
        <f aca="false">IF(AND('Formation Ledger'!A1375&lt;&gt;"",'Formation Ledger'!V1375=0),"PASS","FAIL")</f>
        <v>PASS</v>
      </c>
      <c r="F1396" s="9" t="s">
        <v>76</v>
      </c>
      <c r="G1396" s="6"/>
      <c r="H1396" s="6"/>
      <c r="I1396" s="6"/>
      <c r="J1396" s="6"/>
      <c r="K1396" s="6"/>
      <c r="L1396" s="6"/>
      <c r="M1396" s="6"/>
      <c r="N1396" s="6"/>
      <c r="O1396" s="6"/>
      <c r="P1396" s="6"/>
      <c r="Q1396" s="6"/>
      <c r="R1396" s="6"/>
      <c r="S1396" s="6"/>
      <c r="T1396" s="6"/>
      <c r="U1396" s="6"/>
      <c r="V1396" s="6"/>
      <c r="W1396" s="6"/>
      <c r="X1396" s="6"/>
      <c r="Y1396" s="6"/>
      <c r="Z1396" s="6"/>
    </row>
    <row r="1397" customFormat="false" ht="15" hidden="false" customHeight="false" outlineLevel="0" collapsed="false">
      <c r="A1397" s="9" t="s">
        <v>7240</v>
      </c>
      <c r="B1397" s="9" t="s">
        <v>5870</v>
      </c>
      <c r="C1397" s="9" t="s">
        <v>1610</v>
      </c>
      <c r="D1397" s="9" t="s">
        <v>5871</v>
      </c>
      <c r="E1397" s="9" t="str">
        <f aca="false">IF(AND('Formation Ledger'!A1376&lt;&gt;"",'Formation Ledger'!V1376=0),"PASS","FAIL")</f>
        <v>PASS</v>
      </c>
      <c r="F1397" s="9" t="s">
        <v>76</v>
      </c>
      <c r="G1397" s="6"/>
      <c r="H1397" s="6"/>
      <c r="I1397" s="6"/>
      <c r="J1397" s="6"/>
      <c r="K1397" s="6"/>
      <c r="L1397" s="6"/>
      <c r="M1397" s="6"/>
      <c r="N1397" s="6"/>
      <c r="O1397" s="6"/>
      <c r="P1397" s="6"/>
      <c r="Q1397" s="6"/>
      <c r="R1397" s="6"/>
      <c r="S1397" s="6"/>
      <c r="T1397" s="6"/>
      <c r="U1397" s="6"/>
      <c r="V1397" s="6"/>
      <c r="W1397" s="6"/>
      <c r="X1397" s="6"/>
      <c r="Y1397" s="6"/>
      <c r="Z1397" s="6"/>
    </row>
    <row r="1398" customFormat="false" ht="15" hidden="false" customHeight="false" outlineLevel="0" collapsed="false">
      <c r="A1398" s="9" t="s">
        <v>7241</v>
      </c>
      <c r="B1398" s="9" t="s">
        <v>5870</v>
      </c>
      <c r="C1398" s="9" t="s">
        <v>1611</v>
      </c>
      <c r="D1398" s="9" t="s">
        <v>5871</v>
      </c>
      <c r="E1398" s="9" t="str">
        <f aca="false">IF(AND('Formation Ledger'!A1377&lt;&gt;"",'Formation Ledger'!V1377=0),"PASS","FAIL")</f>
        <v>PASS</v>
      </c>
      <c r="F1398" s="9" t="s">
        <v>76</v>
      </c>
      <c r="G1398" s="6"/>
      <c r="H1398" s="6"/>
      <c r="I1398" s="6"/>
      <c r="J1398" s="6"/>
      <c r="K1398" s="6"/>
      <c r="L1398" s="6"/>
      <c r="M1398" s="6"/>
      <c r="N1398" s="6"/>
      <c r="O1398" s="6"/>
      <c r="P1398" s="6"/>
      <c r="Q1398" s="6"/>
      <c r="R1398" s="6"/>
      <c r="S1398" s="6"/>
      <c r="T1398" s="6"/>
      <c r="U1398" s="6"/>
      <c r="V1398" s="6"/>
      <c r="W1398" s="6"/>
      <c r="X1398" s="6"/>
      <c r="Y1398" s="6"/>
      <c r="Z1398" s="6"/>
    </row>
    <row r="1399" customFormat="false" ht="15" hidden="false" customHeight="false" outlineLevel="0" collapsed="false">
      <c r="A1399" s="9" t="s">
        <v>7242</v>
      </c>
      <c r="B1399" s="9" t="s">
        <v>5870</v>
      </c>
      <c r="C1399" s="9" t="s">
        <v>1612</v>
      </c>
      <c r="D1399" s="9" t="s">
        <v>5871</v>
      </c>
      <c r="E1399" s="9" t="str">
        <f aca="false">IF(AND('Formation Ledger'!A1378&lt;&gt;"",'Formation Ledger'!V1378=0),"PASS","FAIL")</f>
        <v>PASS</v>
      </c>
      <c r="F1399" s="9" t="s">
        <v>76</v>
      </c>
      <c r="G1399" s="6"/>
      <c r="H1399" s="6"/>
      <c r="I1399" s="6"/>
      <c r="J1399" s="6"/>
      <c r="K1399" s="6"/>
      <c r="L1399" s="6"/>
      <c r="M1399" s="6"/>
      <c r="N1399" s="6"/>
      <c r="O1399" s="6"/>
      <c r="P1399" s="6"/>
      <c r="Q1399" s="6"/>
      <c r="R1399" s="6"/>
      <c r="S1399" s="6"/>
      <c r="T1399" s="6"/>
      <c r="U1399" s="6"/>
      <c r="V1399" s="6"/>
      <c r="W1399" s="6"/>
      <c r="X1399" s="6"/>
      <c r="Y1399" s="6"/>
      <c r="Z1399" s="6"/>
    </row>
    <row r="1400" customFormat="false" ht="15" hidden="false" customHeight="false" outlineLevel="0" collapsed="false">
      <c r="A1400" s="9" t="s">
        <v>7243</v>
      </c>
      <c r="B1400" s="9" t="s">
        <v>5870</v>
      </c>
      <c r="C1400" s="9" t="s">
        <v>1613</v>
      </c>
      <c r="D1400" s="9" t="s">
        <v>5871</v>
      </c>
      <c r="E1400" s="9" t="str">
        <f aca="false">IF(AND('Formation Ledger'!A1379&lt;&gt;"",'Formation Ledger'!V1379=0),"PASS","FAIL")</f>
        <v>PASS</v>
      </c>
      <c r="F1400" s="9" t="s">
        <v>76</v>
      </c>
      <c r="G1400" s="6"/>
      <c r="H1400" s="6"/>
      <c r="I1400" s="6"/>
      <c r="J1400" s="6"/>
      <c r="K1400" s="6"/>
      <c r="L1400" s="6"/>
      <c r="M1400" s="6"/>
      <c r="N1400" s="6"/>
      <c r="O1400" s="6"/>
      <c r="P1400" s="6"/>
      <c r="Q1400" s="6"/>
      <c r="R1400" s="6"/>
      <c r="S1400" s="6"/>
      <c r="T1400" s="6"/>
      <c r="U1400" s="6"/>
      <c r="V1400" s="6"/>
      <c r="W1400" s="6"/>
      <c r="X1400" s="6"/>
      <c r="Y1400" s="6"/>
      <c r="Z1400" s="6"/>
    </row>
    <row r="1401" customFormat="false" ht="15" hidden="false" customHeight="false" outlineLevel="0" collapsed="false">
      <c r="A1401" s="9" t="s">
        <v>7244</v>
      </c>
      <c r="B1401" s="9" t="s">
        <v>5870</v>
      </c>
      <c r="C1401" s="9" t="s">
        <v>1614</v>
      </c>
      <c r="D1401" s="9" t="s">
        <v>5871</v>
      </c>
      <c r="E1401" s="9" t="str">
        <f aca="false">IF(AND('Formation Ledger'!A1380&lt;&gt;"",'Formation Ledger'!V1380=0),"PASS","FAIL")</f>
        <v>PASS</v>
      </c>
      <c r="F1401" s="9" t="s">
        <v>76</v>
      </c>
      <c r="G1401" s="6"/>
      <c r="H1401" s="6"/>
      <c r="I1401" s="6"/>
      <c r="J1401" s="6"/>
      <c r="K1401" s="6"/>
      <c r="L1401" s="6"/>
      <c r="M1401" s="6"/>
      <c r="N1401" s="6"/>
      <c r="O1401" s="6"/>
      <c r="P1401" s="6"/>
      <c r="Q1401" s="6"/>
      <c r="R1401" s="6"/>
      <c r="S1401" s="6"/>
      <c r="T1401" s="6"/>
      <c r="U1401" s="6"/>
      <c r="V1401" s="6"/>
      <c r="W1401" s="6"/>
      <c r="X1401" s="6"/>
      <c r="Y1401" s="6"/>
      <c r="Z1401" s="6"/>
    </row>
    <row r="1402" customFormat="false" ht="15" hidden="false" customHeight="false" outlineLevel="0" collapsed="false">
      <c r="A1402" s="9" t="s">
        <v>7245</v>
      </c>
      <c r="B1402" s="9" t="s">
        <v>5870</v>
      </c>
      <c r="C1402" s="9" t="s">
        <v>1615</v>
      </c>
      <c r="D1402" s="9" t="s">
        <v>5871</v>
      </c>
      <c r="E1402" s="9" t="str">
        <f aca="false">IF(AND('Formation Ledger'!A1381&lt;&gt;"",'Formation Ledger'!V1381=0),"PASS","FAIL")</f>
        <v>PASS</v>
      </c>
      <c r="F1402" s="9" t="s">
        <v>76</v>
      </c>
      <c r="G1402" s="6"/>
      <c r="H1402" s="6"/>
      <c r="I1402" s="6"/>
      <c r="J1402" s="6"/>
      <c r="K1402" s="6"/>
      <c r="L1402" s="6"/>
      <c r="M1402" s="6"/>
      <c r="N1402" s="6"/>
      <c r="O1402" s="6"/>
      <c r="P1402" s="6"/>
      <c r="Q1402" s="6"/>
      <c r="R1402" s="6"/>
      <c r="S1402" s="6"/>
      <c r="T1402" s="6"/>
      <c r="U1402" s="6"/>
      <c r="V1402" s="6"/>
      <c r="W1402" s="6"/>
      <c r="X1402" s="6"/>
      <c r="Y1402" s="6"/>
      <c r="Z1402" s="6"/>
    </row>
    <row r="1403" customFormat="false" ht="15" hidden="false" customHeight="false" outlineLevel="0" collapsed="false">
      <c r="A1403" s="9" t="s">
        <v>7246</v>
      </c>
      <c r="B1403" s="9" t="s">
        <v>5870</v>
      </c>
      <c r="C1403" s="9" t="s">
        <v>1616</v>
      </c>
      <c r="D1403" s="9" t="s">
        <v>5871</v>
      </c>
      <c r="E1403" s="9" t="str">
        <f aca="false">IF(AND('Formation Ledger'!A1382&lt;&gt;"",'Formation Ledger'!V1382=0),"PASS","FAIL")</f>
        <v>PASS</v>
      </c>
      <c r="F1403" s="9" t="s">
        <v>76</v>
      </c>
      <c r="G1403" s="6"/>
      <c r="H1403" s="6"/>
      <c r="I1403" s="6"/>
      <c r="J1403" s="6"/>
      <c r="K1403" s="6"/>
      <c r="L1403" s="6"/>
      <c r="M1403" s="6"/>
      <c r="N1403" s="6"/>
      <c r="O1403" s="6"/>
      <c r="P1403" s="6"/>
      <c r="Q1403" s="6"/>
      <c r="R1403" s="6"/>
      <c r="S1403" s="6"/>
      <c r="T1403" s="6"/>
      <c r="U1403" s="6"/>
      <c r="V1403" s="6"/>
      <c r="W1403" s="6"/>
      <c r="X1403" s="6"/>
      <c r="Y1403" s="6"/>
      <c r="Z1403" s="6"/>
    </row>
    <row r="1404" customFormat="false" ht="15" hidden="false" customHeight="false" outlineLevel="0" collapsed="false">
      <c r="A1404" s="9" t="s">
        <v>7247</v>
      </c>
      <c r="B1404" s="9" t="s">
        <v>5870</v>
      </c>
      <c r="C1404" s="9" t="s">
        <v>1617</v>
      </c>
      <c r="D1404" s="9" t="s">
        <v>5871</v>
      </c>
      <c r="E1404" s="9" t="str">
        <f aca="false">IF(AND('Formation Ledger'!A1383&lt;&gt;"",'Formation Ledger'!V1383=0),"PASS","FAIL")</f>
        <v>PASS</v>
      </c>
      <c r="F1404" s="9" t="s">
        <v>76</v>
      </c>
      <c r="G1404" s="6"/>
      <c r="H1404" s="6"/>
      <c r="I1404" s="6"/>
      <c r="J1404" s="6"/>
      <c r="K1404" s="6"/>
      <c r="L1404" s="6"/>
      <c r="M1404" s="6"/>
      <c r="N1404" s="6"/>
      <c r="O1404" s="6"/>
      <c r="P1404" s="6"/>
      <c r="Q1404" s="6"/>
      <c r="R1404" s="6"/>
      <c r="S1404" s="6"/>
      <c r="T1404" s="6"/>
      <c r="U1404" s="6"/>
      <c r="V1404" s="6"/>
      <c r="W1404" s="6"/>
      <c r="X1404" s="6"/>
      <c r="Y1404" s="6"/>
      <c r="Z1404" s="6"/>
    </row>
    <row r="1405" customFormat="false" ht="15" hidden="false" customHeight="false" outlineLevel="0" collapsed="false">
      <c r="A1405" s="9" t="s">
        <v>7248</v>
      </c>
      <c r="B1405" s="9" t="s">
        <v>5870</v>
      </c>
      <c r="C1405" s="9" t="s">
        <v>1618</v>
      </c>
      <c r="D1405" s="9" t="s">
        <v>5871</v>
      </c>
      <c r="E1405" s="9" t="str">
        <f aca="false">IF(AND('Formation Ledger'!A1384&lt;&gt;"",'Formation Ledger'!V1384=0),"PASS","FAIL")</f>
        <v>PASS</v>
      </c>
      <c r="F1405" s="9" t="s">
        <v>76</v>
      </c>
      <c r="G1405" s="6"/>
      <c r="H1405" s="6"/>
      <c r="I1405" s="6"/>
      <c r="J1405" s="6"/>
      <c r="K1405" s="6"/>
      <c r="L1405" s="6"/>
      <c r="M1405" s="6"/>
      <c r="N1405" s="6"/>
      <c r="O1405" s="6"/>
      <c r="P1405" s="6"/>
      <c r="Q1405" s="6"/>
      <c r="R1405" s="6"/>
      <c r="S1405" s="6"/>
      <c r="T1405" s="6"/>
      <c r="U1405" s="6"/>
      <c r="V1405" s="6"/>
      <c r="W1405" s="6"/>
      <c r="X1405" s="6"/>
      <c r="Y1405" s="6"/>
      <c r="Z1405" s="6"/>
    </row>
    <row r="1406" customFormat="false" ht="15" hidden="false" customHeight="false" outlineLevel="0" collapsed="false">
      <c r="A1406" s="9" t="s">
        <v>7249</v>
      </c>
      <c r="B1406" s="9" t="s">
        <v>5870</v>
      </c>
      <c r="C1406" s="9" t="s">
        <v>1619</v>
      </c>
      <c r="D1406" s="9" t="s">
        <v>5871</v>
      </c>
      <c r="E1406" s="9" t="str">
        <f aca="false">IF(AND('Formation Ledger'!A1385&lt;&gt;"",'Formation Ledger'!V1385=0),"PASS","FAIL")</f>
        <v>PASS</v>
      </c>
      <c r="F1406" s="9" t="s">
        <v>76</v>
      </c>
      <c r="G1406" s="6"/>
      <c r="H1406" s="6"/>
      <c r="I1406" s="6"/>
      <c r="J1406" s="6"/>
      <c r="K1406" s="6"/>
      <c r="L1406" s="6"/>
      <c r="M1406" s="6"/>
      <c r="N1406" s="6"/>
      <c r="O1406" s="6"/>
      <c r="P1406" s="6"/>
      <c r="Q1406" s="6"/>
      <c r="R1406" s="6"/>
      <c r="S1406" s="6"/>
      <c r="T1406" s="6"/>
      <c r="U1406" s="6"/>
      <c r="V1406" s="6"/>
      <c r="W1406" s="6"/>
      <c r="X1406" s="6"/>
      <c r="Y1406" s="6"/>
      <c r="Z1406" s="6"/>
    </row>
    <row r="1407" customFormat="false" ht="15" hidden="false" customHeight="false" outlineLevel="0" collapsed="false">
      <c r="A1407" s="9" t="s">
        <v>7250</v>
      </c>
      <c r="B1407" s="9" t="s">
        <v>5870</v>
      </c>
      <c r="C1407" s="9" t="s">
        <v>1620</v>
      </c>
      <c r="D1407" s="9" t="s">
        <v>5871</v>
      </c>
      <c r="E1407" s="9" t="str">
        <f aca="false">IF(AND('Formation Ledger'!A1386&lt;&gt;"",'Formation Ledger'!V1386=0),"PASS","FAIL")</f>
        <v>PASS</v>
      </c>
      <c r="F1407" s="9" t="s">
        <v>76</v>
      </c>
      <c r="G1407" s="6"/>
      <c r="H1407" s="6"/>
      <c r="I1407" s="6"/>
      <c r="J1407" s="6"/>
      <c r="K1407" s="6"/>
      <c r="L1407" s="6"/>
      <c r="M1407" s="6"/>
      <c r="N1407" s="6"/>
      <c r="O1407" s="6"/>
      <c r="P1407" s="6"/>
      <c r="Q1407" s="6"/>
      <c r="R1407" s="6"/>
      <c r="S1407" s="6"/>
      <c r="T1407" s="6"/>
      <c r="U1407" s="6"/>
      <c r="V1407" s="6"/>
      <c r="W1407" s="6"/>
      <c r="X1407" s="6"/>
      <c r="Y1407" s="6"/>
      <c r="Z1407" s="6"/>
    </row>
    <row r="1408" customFormat="false" ht="15" hidden="false" customHeight="false" outlineLevel="0" collapsed="false">
      <c r="A1408" s="9" t="s">
        <v>7251</v>
      </c>
      <c r="B1408" s="9" t="s">
        <v>5870</v>
      </c>
      <c r="C1408" s="9" t="s">
        <v>1621</v>
      </c>
      <c r="D1408" s="9" t="s">
        <v>5871</v>
      </c>
      <c r="E1408" s="9" t="str">
        <f aca="false">IF(AND('Formation Ledger'!A1387&lt;&gt;"",'Formation Ledger'!V1387=0),"PASS","FAIL")</f>
        <v>PASS</v>
      </c>
      <c r="F1408" s="9" t="s">
        <v>76</v>
      </c>
      <c r="G1408" s="6"/>
      <c r="H1408" s="6"/>
      <c r="I1408" s="6"/>
      <c r="J1408" s="6"/>
      <c r="K1408" s="6"/>
      <c r="L1408" s="6"/>
      <c r="M1408" s="6"/>
      <c r="N1408" s="6"/>
      <c r="O1408" s="6"/>
      <c r="P1408" s="6"/>
      <c r="Q1408" s="6"/>
      <c r="R1408" s="6"/>
      <c r="S1408" s="6"/>
      <c r="T1408" s="6"/>
      <c r="U1408" s="6"/>
      <c r="V1408" s="6"/>
      <c r="W1408" s="6"/>
      <c r="X1408" s="6"/>
      <c r="Y1408" s="6"/>
      <c r="Z1408" s="6"/>
    </row>
    <row r="1409" customFormat="false" ht="15" hidden="false" customHeight="false" outlineLevel="0" collapsed="false">
      <c r="A1409" s="9" t="s">
        <v>7252</v>
      </c>
      <c r="B1409" s="9" t="s">
        <v>5870</v>
      </c>
      <c r="C1409" s="9" t="s">
        <v>1622</v>
      </c>
      <c r="D1409" s="9" t="s">
        <v>5871</v>
      </c>
      <c r="E1409" s="9" t="str">
        <f aca="false">IF(AND('Formation Ledger'!A1388&lt;&gt;"",'Formation Ledger'!V1388=0),"PASS","FAIL")</f>
        <v>PASS</v>
      </c>
      <c r="F1409" s="9" t="s">
        <v>76</v>
      </c>
      <c r="G1409" s="6"/>
      <c r="H1409" s="6"/>
      <c r="I1409" s="6"/>
      <c r="J1409" s="6"/>
      <c r="K1409" s="6"/>
      <c r="L1409" s="6"/>
      <c r="M1409" s="6"/>
      <c r="N1409" s="6"/>
      <c r="O1409" s="6"/>
      <c r="P1409" s="6"/>
      <c r="Q1409" s="6"/>
      <c r="R1409" s="6"/>
      <c r="S1409" s="6"/>
      <c r="T1409" s="6"/>
      <c r="U1409" s="6"/>
      <c r="V1409" s="6"/>
      <c r="W1409" s="6"/>
      <c r="X1409" s="6"/>
      <c r="Y1409" s="6"/>
      <c r="Z1409" s="6"/>
    </row>
    <row r="1410" customFormat="false" ht="15" hidden="false" customHeight="false" outlineLevel="0" collapsed="false">
      <c r="A1410" s="9" t="s">
        <v>7253</v>
      </c>
      <c r="B1410" s="9" t="s">
        <v>5870</v>
      </c>
      <c r="C1410" s="9" t="s">
        <v>1623</v>
      </c>
      <c r="D1410" s="9" t="s">
        <v>5871</v>
      </c>
      <c r="E1410" s="9" t="str">
        <f aca="false">IF(AND('Formation Ledger'!A1389&lt;&gt;"",'Formation Ledger'!V1389=0),"PASS","FAIL")</f>
        <v>PASS</v>
      </c>
      <c r="F1410" s="9" t="s">
        <v>76</v>
      </c>
      <c r="G1410" s="6"/>
      <c r="H1410" s="6"/>
      <c r="I1410" s="6"/>
      <c r="J1410" s="6"/>
      <c r="K1410" s="6"/>
      <c r="L1410" s="6"/>
      <c r="M1410" s="6"/>
      <c r="N1410" s="6"/>
      <c r="O1410" s="6"/>
      <c r="P1410" s="6"/>
      <c r="Q1410" s="6"/>
      <c r="R1410" s="6"/>
      <c r="S1410" s="6"/>
      <c r="T1410" s="6"/>
      <c r="U1410" s="6"/>
      <c r="V1410" s="6"/>
      <c r="W1410" s="6"/>
      <c r="X1410" s="6"/>
      <c r="Y1410" s="6"/>
      <c r="Z1410" s="6"/>
    </row>
    <row r="1411" customFormat="false" ht="15" hidden="false" customHeight="false" outlineLevel="0" collapsed="false">
      <c r="A1411" s="9" t="s">
        <v>7254</v>
      </c>
      <c r="B1411" s="9" t="s">
        <v>5870</v>
      </c>
      <c r="C1411" s="9" t="s">
        <v>1624</v>
      </c>
      <c r="D1411" s="9" t="s">
        <v>5871</v>
      </c>
      <c r="E1411" s="9" t="str">
        <f aca="false">IF(AND('Formation Ledger'!A1390&lt;&gt;"",'Formation Ledger'!V1390=0),"PASS","FAIL")</f>
        <v>PASS</v>
      </c>
      <c r="F1411" s="9" t="s">
        <v>76</v>
      </c>
      <c r="G1411" s="6"/>
      <c r="H1411" s="6"/>
      <c r="I1411" s="6"/>
      <c r="J1411" s="6"/>
      <c r="K1411" s="6"/>
      <c r="L1411" s="6"/>
      <c r="M1411" s="6"/>
      <c r="N1411" s="6"/>
      <c r="O1411" s="6"/>
      <c r="P1411" s="6"/>
      <c r="Q1411" s="6"/>
      <c r="R1411" s="6"/>
      <c r="S1411" s="6"/>
      <c r="T1411" s="6"/>
      <c r="U1411" s="6"/>
      <c r="V1411" s="6"/>
      <c r="W1411" s="6"/>
      <c r="X1411" s="6"/>
      <c r="Y1411" s="6"/>
      <c r="Z1411" s="6"/>
    </row>
    <row r="1412" customFormat="false" ht="15" hidden="false" customHeight="false" outlineLevel="0" collapsed="false">
      <c r="A1412" s="9" t="s">
        <v>7255</v>
      </c>
      <c r="B1412" s="9" t="s">
        <v>5870</v>
      </c>
      <c r="C1412" s="9" t="s">
        <v>1625</v>
      </c>
      <c r="D1412" s="9" t="s">
        <v>5871</v>
      </c>
      <c r="E1412" s="9" t="str">
        <f aca="false">IF(AND('Formation Ledger'!A1391&lt;&gt;"",'Formation Ledger'!V1391=0),"PASS","FAIL")</f>
        <v>PASS</v>
      </c>
      <c r="F1412" s="9" t="s">
        <v>76</v>
      </c>
      <c r="G1412" s="6"/>
      <c r="H1412" s="6"/>
      <c r="I1412" s="6"/>
      <c r="J1412" s="6"/>
      <c r="K1412" s="6"/>
      <c r="L1412" s="6"/>
      <c r="M1412" s="6"/>
      <c r="N1412" s="6"/>
      <c r="O1412" s="6"/>
      <c r="P1412" s="6"/>
      <c r="Q1412" s="6"/>
      <c r="R1412" s="6"/>
      <c r="S1412" s="6"/>
      <c r="T1412" s="6"/>
      <c r="U1412" s="6"/>
      <c r="V1412" s="6"/>
      <c r="W1412" s="6"/>
      <c r="X1412" s="6"/>
      <c r="Y1412" s="6"/>
      <c r="Z1412" s="6"/>
    </row>
    <row r="1413" customFormat="false" ht="15" hidden="false" customHeight="false" outlineLevel="0" collapsed="false">
      <c r="A1413" s="9" t="s">
        <v>7256</v>
      </c>
      <c r="B1413" s="9" t="s">
        <v>5870</v>
      </c>
      <c r="C1413" s="9" t="s">
        <v>1626</v>
      </c>
      <c r="D1413" s="9" t="s">
        <v>5871</v>
      </c>
      <c r="E1413" s="9" t="str">
        <f aca="false">IF(AND('Formation Ledger'!A1392&lt;&gt;"",'Formation Ledger'!V1392=0),"PASS","FAIL")</f>
        <v>PASS</v>
      </c>
      <c r="F1413" s="9" t="s">
        <v>76</v>
      </c>
      <c r="G1413" s="6"/>
      <c r="H1413" s="6"/>
      <c r="I1413" s="6"/>
      <c r="J1413" s="6"/>
      <c r="K1413" s="6"/>
      <c r="L1413" s="6"/>
      <c r="M1413" s="6"/>
      <c r="N1413" s="6"/>
      <c r="O1413" s="6"/>
      <c r="P1413" s="6"/>
      <c r="Q1413" s="6"/>
      <c r="R1413" s="6"/>
      <c r="S1413" s="6"/>
      <c r="T1413" s="6"/>
      <c r="U1413" s="6"/>
      <c r="V1413" s="6"/>
      <c r="W1413" s="6"/>
      <c r="X1413" s="6"/>
      <c r="Y1413" s="6"/>
      <c r="Z1413" s="6"/>
    </row>
    <row r="1414" customFormat="false" ht="15" hidden="false" customHeight="false" outlineLevel="0" collapsed="false">
      <c r="A1414" s="9" t="s">
        <v>7257</v>
      </c>
      <c r="B1414" s="9" t="s">
        <v>5870</v>
      </c>
      <c r="C1414" s="9" t="s">
        <v>1627</v>
      </c>
      <c r="D1414" s="9" t="s">
        <v>5871</v>
      </c>
      <c r="E1414" s="9" t="str">
        <f aca="false">IF(AND('Formation Ledger'!A1393&lt;&gt;"",'Formation Ledger'!V1393=0),"PASS","FAIL")</f>
        <v>PASS</v>
      </c>
      <c r="F1414" s="9" t="s">
        <v>76</v>
      </c>
      <c r="G1414" s="6"/>
      <c r="H1414" s="6"/>
      <c r="I1414" s="6"/>
      <c r="J1414" s="6"/>
      <c r="K1414" s="6"/>
      <c r="L1414" s="6"/>
      <c r="M1414" s="6"/>
      <c r="N1414" s="6"/>
      <c r="O1414" s="6"/>
      <c r="P1414" s="6"/>
      <c r="Q1414" s="6"/>
      <c r="R1414" s="6"/>
      <c r="S1414" s="6"/>
      <c r="T1414" s="6"/>
      <c r="U1414" s="6"/>
      <c r="V1414" s="6"/>
      <c r="W1414" s="6"/>
      <c r="X1414" s="6"/>
      <c r="Y1414" s="6"/>
      <c r="Z1414" s="6"/>
    </row>
    <row r="1415" customFormat="false" ht="15" hidden="false" customHeight="false" outlineLevel="0" collapsed="false">
      <c r="A1415" s="9" t="s">
        <v>7258</v>
      </c>
      <c r="B1415" s="9" t="s">
        <v>5870</v>
      </c>
      <c r="C1415" s="9" t="s">
        <v>1628</v>
      </c>
      <c r="D1415" s="9" t="s">
        <v>5871</v>
      </c>
      <c r="E1415" s="9" t="str">
        <f aca="false">IF(AND('Formation Ledger'!A1394&lt;&gt;"",'Formation Ledger'!V1394=0),"PASS","FAIL")</f>
        <v>PASS</v>
      </c>
      <c r="F1415" s="9" t="s">
        <v>76</v>
      </c>
      <c r="G1415" s="6"/>
      <c r="H1415" s="6"/>
      <c r="I1415" s="6"/>
      <c r="J1415" s="6"/>
      <c r="K1415" s="6"/>
      <c r="L1415" s="6"/>
      <c r="M1415" s="6"/>
      <c r="N1415" s="6"/>
      <c r="O1415" s="6"/>
      <c r="P1415" s="6"/>
      <c r="Q1415" s="6"/>
      <c r="R1415" s="6"/>
      <c r="S1415" s="6"/>
      <c r="T1415" s="6"/>
      <c r="U1415" s="6"/>
      <c r="V1415" s="6"/>
      <c r="W1415" s="6"/>
      <c r="X1415" s="6"/>
      <c r="Y1415" s="6"/>
      <c r="Z1415" s="6"/>
    </row>
    <row r="1416" customFormat="false" ht="15" hidden="false" customHeight="false" outlineLevel="0" collapsed="false">
      <c r="A1416" s="9" t="s">
        <v>7259</v>
      </c>
      <c r="B1416" s="9" t="s">
        <v>5870</v>
      </c>
      <c r="C1416" s="9" t="s">
        <v>1629</v>
      </c>
      <c r="D1416" s="9" t="s">
        <v>5871</v>
      </c>
      <c r="E1416" s="9" t="str">
        <f aca="false">IF(AND('Formation Ledger'!A1395&lt;&gt;"",'Formation Ledger'!V1395=0),"PASS","FAIL")</f>
        <v>PASS</v>
      </c>
      <c r="F1416" s="9" t="s">
        <v>76</v>
      </c>
      <c r="G1416" s="6"/>
      <c r="H1416" s="6"/>
      <c r="I1416" s="6"/>
      <c r="J1416" s="6"/>
      <c r="K1416" s="6"/>
      <c r="L1416" s="6"/>
      <c r="M1416" s="6"/>
      <c r="N1416" s="6"/>
      <c r="O1416" s="6"/>
      <c r="P1416" s="6"/>
      <c r="Q1416" s="6"/>
      <c r="R1416" s="6"/>
      <c r="S1416" s="6"/>
      <c r="T1416" s="6"/>
      <c r="U1416" s="6"/>
      <c r="V1416" s="6"/>
      <c r="W1416" s="6"/>
      <c r="X1416" s="6"/>
      <c r="Y1416" s="6"/>
      <c r="Z1416" s="6"/>
    </row>
    <row r="1417" customFormat="false" ht="15" hidden="false" customHeight="false" outlineLevel="0" collapsed="false">
      <c r="A1417" s="9" t="s">
        <v>7260</v>
      </c>
      <c r="B1417" s="9" t="s">
        <v>5870</v>
      </c>
      <c r="C1417" s="9" t="s">
        <v>1630</v>
      </c>
      <c r="D1417" s="9" t="s">
        <v>5871</v>
      </c>
      <c r="E1417" s="9" t="str">
        <f aca="false">IF(AND('Formation Ledger'!A1396&lt;&gt;"",'Formation Ledger'!V1396=0),"PASS","FAIL")</f>
        <v>PASS</v>
      </c>
      <c r="F1417" s="9" t="s">
        <v>76</v>
      </c>
      <c r="G1417" s="6"/>
      <c r="H1417" s="6"/>
      <c r="I1417" s="6"/>
      <c r="J1417" s="6"/>
      <c r="K1417" s="6"/>
      <c r="L1417" s="6"/>
      <c r="M1417" s="6"/>
      <c r="N1417" s="6"/>
      <c r="O1417" s="6"/>
      <c r="P1417" s="6"/>
      <c r="Q1417" s="6"/>
      <c r="R1417" s="6"/>
      <c r="S1417" s="6"/>
      <c r="T1417" s="6"/>
      <c r="U1417" s="6"/>
      <c r="V1417" s="6"/>
      <c r="W1417" s="6"/>
      <c r="X1417" s="6"/>
      <c r="Y1417" s="6"/>
      <c r="Z1417" s="6"/>
    </row>
    <row r="1418" customFormat="false" ht="15" hidden="false" customHeight="false" outlineLevel="0" collapsed="false">
      <c r="A1418" s="9" t="s">
        <v>7261</v>
      </c>
      <c r="B1418" s="9" t="s">
        <v>5870</v>
      </c>
      <c r="C1418" s="9" t="s">
        <v>1631</v>
      </c>
      <c r="D1418" s="9" t="s">
        <v>5871</v>
      </c>
      <c r="E1418" s="9" t="str">
        <f aca="false">IF(AND('Formation Ledger'!A1397&lt;&gt;"",'Formation Ledger'!V1397=0),"PASS","FAIL")</f>
        <v>PASS</v>
      </c>
      <c r="F1418" s="9" t="s">
        <v>76</v>
      </c>
      <c r="G1418" s="6"/>
      <c r="H1418" s="6"/>
      <c r="I1418" s="6"/>
      <c r="J1418" s="6"/>
      <c r="K1418" s="6"/>
      <c r="L1418" s="6"/>
      <c r="M1418" s="6"/>
      <c r="N1418" s="6"/>
      <c r="O1418" s="6"/>
      <c r="P1418" s="6"/>
      <c r="Q1418" s="6"/>
      <c r="R1418" s="6"/>
      <c r="S1418" s="6"/>
      <c r="T1418" s="6"/>
      <c r="U1418" s="6"/>
      <c r="V1418" s="6"/>
      <c r="W1418" s="6"/>
      <c r="X1418" s="6"/>
      <c r="Y1418" s="6"/>
      <c r="Z1418" s="6"/>
    </row>
    <row r="1419" customFormat="false" ht="15" hidden="false" customHeight="false" outlineLevel="0" collapsed="false">
      <c r="A1419" s="9" t="s">
        <v>7262</v>
      </c>
      <c r="B1419" s="9" t="s">
        <v>5870</v>
      </c>
      <c r="C1419" s="9" t="s">
        <v>1632</v>
      </c>
      <c r="D1419" s="9" t="s">
        <v>5871</v>
      </c>
      <c r="E1419" s="9" t="str">
        <f aca="false">IF(AND('Formation Ledger'!A1398&lt;&gt;"",'Formation Ledger'!V1398=0),"PASS","FAIL")</f>
        <v>PASS</v>
      </c>
      <c r="F1419" s="9" t="s">
        <v>76</v>
      </c>
      <c r="G1419" s="6"/>
      <c r="H1419" s="6"/>
      <c r="I1419" s="6"/>
      <c r="J1419" s="6"/>
      <c r="K1419" s="6"/>
      <c r="L1419" s="6"/>
      <c r="M1419" s="6"/>
      <c r="N1419" s="6"/>
      <c r="O1419" s="6"/>
      <c r="P1419" s="6"/>
      <c r="Q1419" s="6"/>
      <c r="R1419" s="6"/>
      <c r="S1419" s="6"/>
      <c r="T1419" s="6"/>
      <c r="U1419" s="6"/>
      <c r="V1419" s="6"/>
      <c r="W1419" s="6"/>
      <c r="X1419" s="6"/>
      <c r="Y1419" s="6"/>
      <c r="Z1419" s="6"/>
    </row>
    <row r="1420" customFormat="false" ht="15" hidden="false" customHeight="false" outlineLevel="0" collapsed="false">
      <c r="A1420" s="9" t="s">
        <v>7263</v>
      </c>
      <c r="B1420" s="9" t="s">
        <v>5870</v>
      </c>
      <c r="C1420" s="9" t="s">
        <v>1633</v>
      </c>
      <c r="D1420" s="9" t="s">
        <v>5871</v>
      </c>
      <c r="E1420" s="9" t="str">
        <f aca="false">IF(AND('Formation Ledger'!A1399&lt;&gt;"",'Formation Ledger'!V1399=0),"PASS","FAIL")</f>
        <v>PASS</v>
      </c>
      <c r="F1420" s="9" t="s">
        <v>76</v>
      </c>
      <c r="G1420" s="6"/>
      <c r="H1420" s="6"/>
      <c r="I1420" s="6"/>
      <c r="J1420" s="6"/>
      <c r="K1420" s="6"/>
      <c r="L1420" s="6"/>
      <c r="M1420" s="6"/>
      <c r="N1420" s="6"/>
      <c r="O1420" s="6"/>
      <c r="P1420" s="6"/>
      <c r="Q1420" s="6"/>
      <c r="R1420" s="6"/>
      <c r="S1420" s="6"/>
      <c r="T1420" s="6"/>
      <c r="U1420" s="6"/>
      <c r="V1420" s="6"/>
      <c r="W1420" s="6"/>
      <c r="X1420" s="6"/>
      <c r="Y1420" s="6"/>
      <c r="Z1420" s="6"/>
    </row>
    <row r="1421" customFormat="false" ht="15" hidden="false" customHeight="false" outlineLevel="0" collapsed="false">
      <c r="A1421" s="9" t="s">
        <v>7264</v>
      </c>
      <c r="B1421" s="9" t="s">
        <v>5870</v>
      </c>
      <c r="C1421" s="9" t="s">
        <v>1634</v>
      </c>
      <c r="D1421" s="9" t="s">
        <v>5871</v>
      </c>
      <c r="E1421" s="9" t="str">
        <f aca="false">IF(AND('Formation Ledger'!A1400&lt;&gt;"",'Formation Ledger'!V1400=0),"PASS","FAIL")</f>
        <v>PASS</v>
      </c>
      <c r="F1421" s="9" t="s">
        <v>76</v>
      </c>
      <c r="G1421" s="6"/>
      <c r="H1421" s="6"/>
      <c r="I1421" s="6"/>
      <c r="J1421" s="6"/>
      <c r="K1421" s="6"/>
      <c r="L1421" s="6"/>
      <c r="M1421" s="6"/>
      <c r="N1421" s="6"/>
      <c r="O1421" s="6"/>
      <c r="P1421" s="6"/>
      <c r="Q1421" s="6"/>
      <c r="R1421" s="6"/>
      <c r="S1421" s="6"/>
      <c r="T1421" s="6"/>
      <c r="U1421" s="6"/>
      <c r="V1421" s="6"/>
      <c r="W1421" s="6"/>
      <c r="X1421" s="6"/>
      <c r="Y1421" s="6"/>
      <c r="Z1421" s="6"/>
    </row>
    <row r="1422" customFormat="false" ht="15" hidden="false" customHeight="false" outlineLevel="0" collapsed="false">
      <c r="A1422" s="9" t="s">
        <v>7265</v>
      </c>
      <c r="B1422" s="9" t="s">
        <v>5870</v>
      </c>
      <c r="C1422" s="9" t="s">
        <v>1635</v>
      </c>
      <c r="D1422" s="9" t="s">
        <v>5871</v>
      </c>
      <c r="E1422" s="9" t="str">
        <f aca="false">IF(AND('Formation Ledger'!A1401&lt;&gt;"",'Formation Ledger'!V1401=0),"PASS","FAIL")</f>
        <v>PASS</v>
      </c>
      <c r="F1422" s="9" t="s">
        <v>76</v>
      </c>
      <c r="G1422" s="6"/>
      <c r="H1422" s="6"/>
      <c r="I1422" s="6"/>
      <c r="J1422" s="6"/>
      <c r="K1422" s="6"/>
      <c r="L1422" s="6"/>
      <c r="M1422" s="6"/>
      <c r="N1422" s="6"/>
      <c r="O1422" s="6"/>
      <c r="P1422" s="6"/>
      <c r="Q1422" s="6"/>
      <c r="R1422" s="6"/>
      <c r="S1422" s="6"/>
      <c r="T1422" s="6"/>
      <c r="U1422" s="6"/>
      <c r="V1422" s="6"/>
      <c r="W1422" s="6"/>
      <c r="X1422" s="6"/>
      <c r="Y1422" s="6"/>
      <c r="Z1422" s="6"/>
    </row>
    <row r="1423" customFormat="false" ht="15" hidden="false" customHeight="false" outlineLevel="0" collapsed="false">
      <c r="A1423" s="9" t="s">
        <v>7266</v>
      </c>
      <c r="B1423" s="9" t="s">
        <v>5870</v>
      </c>
      <c r="C1423" s="9" t="s">
        <v>1636</v>
      </c>
      <c r="D1423" s="9" t="s">
        <v>5871</v>
      </c>
      <c r="E1423" s="9" t="str">
        <f aca="false">IF(AND('Formation Ledger'!A1402&lt;&gt;"",'Formation Ledger'!V1402=0),"PASS","FAIL")</f>
        <v>PASS</v>
      </c>
      <c r="F1423" s="9" t="s">
        <v>76</v>
      </c>
      <c r="G1423" s="6"/>
      <c r="H1423" s="6"/>
      <c r="I1423" s="6"/>
      <c r="J1423" s="6"/>
      <c r="K1423" s="6"/>
      <c r="L1423" s="6"/>
      <c r="M1423" s="6"/>
      <c r="N1423" s="6"/>
      <c r="O1423" s="6"/>
      <c r="P1423" s="6"/>
      <c r="Q1423" s="6"/>
      <c r="R1423" s="6"/>
      <c r="S1423" s="6"/>
      <c r="T1423" s="6"/>
      <c r="U1423" s="6"/>
      <c r="V1423" s="6"/>
      <c r="W1423" s="6"/>
      <c r="X1423" s="6"/>
      <c r="Y1423" s="6"/>
      <c r="Z1423" s="6"/>
    </row>
    <row r="1424" customFormat="false" ht="15" hidden="false" customHeight="false" outlineLevel="0" collapsed="false">
      <c r="A1424" s="9" t="s">
        <v>7267</v>
      </c>
      <c r="B1424" s="9" t="s">
        <v>5870</v>
      </c>
      <c r="C1424" s="9" t="s">
        <v>1637</v>
      </c>
      <c r="D1424" s="9" t="s">
        <v>5871</v>
      </c>
      <c r="E1424" s="9" t="str">
        <f aca="false">IF(AND('Formation Ledger'!A1403&lt;&gt;"",'Formation Ledger'!V1403=0),"PASS","FAIL")</f>
        <v>PASS</v>
      </c>
      <c r="F1424" s="9" t="s">
        <v>76</v>
      </c>
      <c r="G1424" s="6"/>
      <c r="H1424" s="6"/>
      <c r="I1424" s="6"/>
      <c r="J1424" s="6"/>
      <c r="K1424" s="6"/>
      <c r="L1424" s="6"/>
      <c r="M1424" s="6"/>
      <c r="N1424" s="6"/>
      <c r="O1424" s="6"/>
      <c r="P1424" s="6"/>
      <c r="Q1424" s="6"/>
      <c r="R1424" s="6"/>
      <c r="S1424" s="6"/>
      <c r="T1424" s="6"/>
      <c r="U1424" s="6"/>
      <c r="V1424" s="6"/>
      <c r="W1424" s="6"/>
      <c r="X1424" s="6"/>
      <c r="Y1424" s="6"/>
      <c r="Z1424" s="6"/>
    </row>
    <row r="1425" customFormat="false" ht="15" hidden="false" customHeight="false" outlineLevel="0" collapsed="false">
      <c r="A1425" s="9" t="s">
        <v>7268</v>
      </c>
      <c r="B1425" s="9" t="s">
        <v>5870</v>
      </c>
      <c r="C1425" s="9" t="s">
        <v>1638</v>
      </c>
      <c r="D1425" s="9" t="s">
        <v>5871</v>
      </c>
      <c r="E1425" s="9" t="str">
        <f aca="false">IF(AND('Formation Ledger'!A1404&lt;&gt;"",'Formation Ledger'!V1404=0),"PASS","FAIL")</f>
        <v>PASS</v>
      </c>
      <c r="F1425" s="9" t="s">
        <v>76</v>
      </c>
      <c r="G1425" s="6"/>
      <c r="H1425" s="6"/>
      <c r="I1425" s="6"/>
      <c r="J1425" s="6"/>
      <c r="K1425" s="6"/>
      <c r="L1425" s="6"/>
      <c r="M1425" s="6"/>
      <c r="N1425" s="6"/>
      <c r="O1425" s="6"/>
      <c r="P1425" s="6"/>
      <c r="Q1425" s="6"/>
      <c r="R1425" s="6"/>
      <c r="S1425" s="6"/>
      <c r="T1425" s="6"/>
      <c r="U1425" s="6"/>
      <c r="V1425" s="6"/>
      <c r="W1425" s="6"/>
      <c r="X1425" s="6"/>
      <c r="Y1425" s="6"/>
      <c r="Z1425" s="6"/>
    </row>
    <row r="1426" customFormat="false" ht="15" hidden="false" customHeight="false" outlineLevel="0" collapsed="false">
      <c r="A1426" s="9" t="s">
        <v>7269</v>
      </c>
      <c r="B1426" s="9" t="s">
        <v>5870</v>
      </c>
      <c r="C1426" s="9" t="s">
        <v>1639</v>
      </c>
      <c r="D1426" s="9" t="s">
        <v>5871</v>
      </c>
      <c r="E1426" s="9" t="str">
        <f aca="false">IF(AND('Formation Ledger'!A1405&lt;&gt;"",'Formation Ledger'!V1405=0),"PASS","FAIL")</f>
        <v>PASS</v>
      </c>
      <c r="F1426" s="9" t="s">
        <v>76</v>
      </c>
      <c r="G1426" s="6"/>
      <c r="H1426" s="6"/>
      <c r="I1426" s="6"/>
      <c r="J1426" s="6"/>
      <c r="K1426" s="6"/>
      <c r="L1426" s="6"/>
      <c r="M1426" s="6"/>
      <c r="N1426" s="6"/>
      <c r="O1426" s="6"/>
      <c r="P1426" s="6"/>
      <c r="Q1426" s="6"/>
      <c r="R1426" s="6"/>
      <c r="S1426" s="6"/>
      <c r="T1426" s="6"/>
      <c r="U1426" s="6"/>
      <c r="V1426" s="6"/>
      <c r="W1426" s="6"/>
      <c r="X1426" s="6"/>
      <c r="Y1426" s="6"/>
      <c r="Z1426" s="6"/>
    </row>
    <row r="1427" customFormat="false" ht="15" hidden="false" customHeight="false" outlineLevel="0" collapsed="false">
      <c r="A1427" s="9" t="s">
        <v>7270</v>
      </c>
      <c r="B1427" s="9" t="s">
        <v>5870</v>
      </c>
      <c r="C1427" s="9" t="s">
        <v>1640</v>
      </c>
      <c r="D1427" s="9" t="s">
        <v>5871</v>
      </c>
      <c r="E1427" s="9" t="str">
        <f aca="false">IF(AND('Formation Ledger'!A1406&lt;&gt;"",'Formation Ledger'!V1406=0),"PASS","FAIL")</f>
        <v>PASS</v>
      </c>
      <c r="F1427" s="9" t="s">
        <v>76</v>
      </c>
      <c r="G1427" s="6"/>
      <c r="H1427" s="6"/>
      <c r="I1427" s="6"/>
      <c r="J1427" s="6"/>
      <c r="K1427" s="6"/>
      <c r="L1427" s="6"/>
      <c r="M1427" s="6"/>
      <c r="N1427" s="6"/>
      <c r="O1427" s="6"/>
      <c r="P1427" s="6"/>
      <c r="Q1427" s="6"/>
      <c r="R1427" s="6"/>
      <c r="S1427" s="6"/>
      <c r="T1427" s="6"/>
      <c r="U1427" s="6"/>
      <c r="V1427" s="6"/>
      <c r="W1427" s="6"/>
      <c r="X1427" s="6"/>
      <c r="Y1427" s="6"/>
      <c r="Z1427" s="6"/>
    </row>
    <row r="1428" customFormat="false" ht="15" hidden="false" customHeight="false" outlineLevel="0" collapsed="false">
      <c r="A1428" s="9" t="s">
        <v>7271</v>
      </c>
      <c r="B1428" s="9" t="s">
        <v>5870</v>
      </c>
      <c r="C1428" s="9" t="s">
        <v>1641</v>
      </c>
      <c r="D1428" s="9" t="s">
        <v>5871</v>
      </c>
      <c r="E1428" s="9" t="str">
        <f aca="false">IF(AND('Formation Ledger'!A1407&lt;&gt;"",'Formation Ledger'!V1407=0),"PASS","FAIL")</f>
        <v>PASS</v>
      </c>
      <c r="F1428" s="9" t="s">
        <v>76</v>
      </c>
      <c r="G1428" s="6"/>
      <c r="H1428" s="6"/>
      <c r="I1428" s="6"/>
      <c r="J1428" s="6"/>
      <c r="K1428" s="6"/>
      <c r="L1428" s="6"/>
      <c r="M1428" s="6"/>
      <c r="N1428" s="6"/>
      <c r="O1428" s="6"/>
      <c r="P1428" s="6"/>
      <c r="Q1428" s="6"/>
      <c r="R1428" s="6"/>
      <c r="S1428" s="6"/>
      <c r="T1428" s="6"/>
      <c r="U1428" s="6"/>
      <c r="V1428" s="6"/>
      <c r="W1428" s="6"/>
      <c r="X1428" s="6"/>
      <c r="Y1428" s="6"/>
      <c r="Z1428" s="6"/>
    </row>
    <row r="1429" customFormat="false" ht="15" hidden="false" customHeight="false" outlineLevel="0" collapsed="false">
      <c r="A1429" s="9" t="s">
        <v>7272</v>
      </c>
      <c r="B1429" s="9" t="s">
        <v>5870</v>
      </c>
      <c r="C1429" s="9" t="s">
        <v>1642</v>
      </c>
      <c r="D1429" s="9" t="s">
        <v>5871</v>
      </c>
      <c r="E1429" s="9" t="str">
        <f aca="false">IF(AND('Formation Ledger'!A1408&lt;&gt;"",'Formation Ledger'!V1408=0),"PASS","FAIL")</f>
        <v>PASS</v>
      </c>
      <c r="F1429" s="9" t="s">
        <v>76</v>
      </c>
      <c r="G1429" s="6"/>
      <c r="H1429" s="6"/>
      <c r="I1429" s="6"/>
      <c r="J1429" s="6"/>
      <c r="K1429" s="6"/>
      <c r="L1429" s="6"/>
      <c r="M1429" s="6"/>
      <c r="N1429" s="6"/>
      <c r="O1429" s="6"/>
      <c r="P1429" s="6"/>
      <c r="Q1429" s="6"/>
      <c r="R1429" s="6"/>
      <c r="S1429" s="6"/>
      <c r="T1429" s="6"/>
      <c r="U1429" s="6"/>
      <c r="V1429" s="6"/>
      <c r="W1429" s="6"/>
      <c r="X1429" s="6"/>
      <c r="Y1429" s="6"/>
      <c r="Z1429" s="6"/>
    </row>
    <row r="1430" customFormat="false" ht="15" hidden="false" customHeight="false" outlineLevel="0" collapsed="false">
      <c r="A1430" s="9" t="s">
        <v>7273</v>
      </c>
      <c r="B1430" s="9" t="s">
        <v>5870</v>
      </c>
      <c r="C1430" s="9" t="s">
        <v>1643</v>
      </c>
      <c r="D1430" s="9" t="s">
        <v>5871</v>
      </c>
      <c r="E1430" s="9" t="str">
        <f aca="false">IF(AND('Formation Ledger'!A1409&lt;&gt;"",'Formation Ledger'!V1409=0),"PASS","FAIL")</f>
        <v>PASS</v>
      </c>
      <c r="F1430" s="9" t="s">
        <v>76</v>
      </c>
      <c r="G1430" s="6"/>
      <c r="H1430" s="6"/>
      <c r="I1430" s="6"/>
      <c r="J1430" s="6"/>
      <c r="K1430" s="6"/>
      <c r="L1430" s="6"/>
      <c r="M1430" s="6"/>
      <c r="N1430" s="6"/>
      <c r="O1430" s="6"/>
      <c r="P1430" s="6"/>
      <c r="Q1430" s="6"/>
      <c r="R1430" s="6"/>
      <c r="S1430" s="6"/>
      <c r="T1430" s="6"/>
      <c r="U1430" s="6"/>
      <c r="V1430" s="6"/>
      <c r="W1430" s="6"/>
      <c r="X1430" s="6"/>
      <c r="Y1430" s="6"/>
      <c r="Z1430" s="6"/>
    </row>
    <row r="1431" customFormat="false" ht="15" hidden="false" customHeight="false" outlineLevel="0" collapsed="false">
      <c r="A1431" s="9" t="s">
        <v>7274</v>
      </c>
      <c r="B1431" s="9" t="s">
        <v>5870</v>
      </c>
      <c r="C1431" s="9" t="s">
        <v>1644</v>
      </c>
      <c r="D1431" s="9" t="s">
        <v>5871</v>
      </c>
      <c r="E1431" s="9" t="str">
        <f aca="false">IF(AND('Formation Ledger'!A1410&lt;&gt;"",'Formation Ledger'!V1410=0),"PASS","FAIL")</f>
        <v>PASS</v>
      </c>
      <c r="F1431" s="9" t="s">
        <v>76</v>
      </c>
      <c r="G1431" s="6"/>
      <c r="H1431" s="6"/>
      <c r="I1431" s="6"/>
      <c r="J1431" s="6"/>
      <c r="K1431" s="6"/>
      <c r="L1431" s="6"/>
      <c r="M1431" s="6"/>
      <c r="N1431" s="6"/>
      <c r="O1431" s="6"/>
      <c r="P1431" s="6"/>
      <c r="Q1431" s="6"/>
      <c r="R1431" s="6"/>
      <c r="S1431" s="6"/>
      <c r="T1431" s="6"/>
      <c r="U1431" s="6"/>
      <c r="V1431" s="6"/>
      <c r="W1431" s="6"/>
      <c r="X1431" s="6"/>
      <c r="Y1431" s="6"/>
      <c r="Z1431" s="6"/>
    </row>
    <row r="1432" customFormat="false" ht="15" hidden="false" customHeight="false" outlineLevel="0" collapsed="false">
      <c r="A1432" s="9" t="s">
        <v>7275</v>
      </c>
      <c r="B1432" s="9" t="s">
        <v>5870</v>
      </c>
      <c r="C1432" s="9" t="s">
        <v>1645</v>
      </c>
      <c r="D1432" s="9" t="s">
        <v>5871</v>
      </c>
      <c r="E1432" s="9" t="str">
        <f aca="false">IF(AND('Formation Ledger'!A1411&lt;&gt;"",'Formation Ledger'!V1411=0),"PASS","FAIL")</f>
        <v>PASS</v>
      </c>
      <c r="F1432" s="9" t="s">
        <v>76</v>
      </c>
      <c r="G1432" s="6"/>
      <c r="H1432" s="6"/>
      <c r="I1432" s="6"/>
      <c r="J1432" s="6"/>
      <c r="K1432" s="6"/>
      <c r="L1432" s="6"/>
      <c r="M1432" s="6"/>
      <c r="N1432" s="6"/>
      <c r="O1432" s="6"/>
      <c r="P1432" s="6"/>
      <c r="Q1432" s="6"/>
      <c r="R1432" s="6"/>
      <c r="S1432" s="6"/>
      <c r="T1432" s="6"/>
      <c r="U1432" s="6"/>
      <c r="V1432" s="6"/>
      <c r="W1432" s="6"/>
      <c r="X1432" s="6"/>
      <c r="Y1432" s="6"/>
      <c r="Z1432" s="6"/>
    </row>
    <row r="1433" customFormat="false" ht="15" hidden="false" customHeight="false" outlineLevel="0" collapsed="false">
      <c r="A1433" s="9" t="s">
        <v>7276</v>
      </c>
      <c r="B1433" s="9" t="s">
        <v>5870</v>
      </c>
      <c r="C1433" s="9" t="s">
        <v>1646</v>
      </c>
      <c r="D1433" s="9" t="s">
        <v>5871</v>
      </c>
      <c r="E1433" s="9" t="str">
        <f aca="false">IF(AND('Formation Ledger'!A1412&lt;&gt;"",'Formation Ledger'!V1412=0),"PASS","FAIL")</f>
        <v>PASS</v>
      </c>
      <c r="F1433" s="9" t="s">
        <v>76</v>
      </c>
      <c r="G1433" s="6"/>
      <c r="H1433" s="6"/>
      <c r="I1433" s="6"/>
      <c r="J1433" s="6"/>
      <c r="K1433" s="6"/>
      <c r="L1433" s="6"/>
      <c r="M1433" s="6"/>
      <c r="N1433" s="6"/>
      <c r="O1433" s="6"/>
      <c r="P1433" s="6"/>
      <c r="Q1433" s="6"/>
      <c r="R1433" s="6"/>
      <c r="S1433" s="6"/>
      <c r="T1433" s="6"/>
      <c r="U1433" s="6"/>
      <c r="V1433" s="6"/>
      <c r="W1433" s="6"/>
      <c r="X1433" s="6"/>
      <c r="Y1433" s="6"/>
      <c r="Z1433" s="6"/>
    </row>
    <row r="1434" customFormat="false" ht="15" hidden="false" customHeight="false" outlineLevel="0" collapsed="false">
      <c r="A1434" s="9" t="s">
        <v>7277</v>
      </c>
      <c r="B1434" s="9" t="s">
        <v>5870</v>
      </c>
      <c r="C1434" s="9" t="s">
        <v>1647</v>
      </c>
      <c r="D1434" s="9" t="s">
        <v>5871</v>
      </c>
      <c r="E1434" s="9" t="str">
        <f aca="false">IF(AND('Formation Ledger'!A1413&lt;&gt;"",'Formation Ledger'!V1413=0),"PASS","FAIL")</f>
        <v>PASS</v>
      </c>
      <c r="F1434" s="9" t="s">
        <v>76</v>
      </c>
      <c r="G1434" s="6"/>
      <c r="H1434" s="6"/>
      <c r="I1434" s="6"/>
      <c r="J1434" s="6"/>
      <c r="K1434" s="6"/>
      <c r="L1434" s="6"/>
      <c r="M1434" s="6"/>
      <c r="N1434" s="6"/>
      <c r="O1434" s="6"/>
      <c r="P1434" s="6"/>
      <c r="Q1434" s="6"/>
      <c r="R1434" s="6"/>
      <c r="S1434" s="6"/>
      <c r="T1434" s="6"/>
      <c r="U1434" s="6"/>
      <c r="V1434" s="6"/>
      <c r="W1434" s="6"/>
      <c r="X1434" s="6"/>
      <c r="Y1434" s="6"/>
      <c r="Z1434" s="6"/>
    </row>
    <row r="1435" customFormat="false" ht="15" hidden="false" customHeight="false" outlineLevel="0" collapsed="false">
      <c r="A1435" s="9" t="s">
        <v>7278</v>
      </c>
      <c r="B1435" s="9" t="s">
        <v>5870</v>
      </c>
      <c r="C1435" s="9" t="s">
        <v>1648</v>
      </c>
      <c r="D1435" s="9" t="s">
        <v>5871</v>
      </c>
      <c r="E1435" s="9" t="str">
        <f aca="false">IF(AND('Formation Ledger'!A1414&lt;&gt;"",'Formation Ledger'!V1414=0),"PASS","FAIL")</f>
        <v>PASS</v>
      </c>
      <c r="F1435" s="9" t="s">
        <v>76</v>
      </c>
      <c r="G1435" s="6"/>
      <c r="H1435" s="6"/>
      <c r="I1435" s="6"/>
      <c r="J1435" s="6"/>
      <c r="K1435" s="6"/>
      <c r="L1435" s="6"/>
      <c r="M1435" s="6"/>
      <c r="N1435" s="6"/>
      <c r="O1435" s="6"/>
      <c r="P1435" s="6"/>
      <c r="Q1435" s="6"/>
      <c r="R1435" s="6"/>
      <c r="S1435" s="6"/>
      <c r="T1435" s="6"/>
      <c r="U1435" s="6"/>
      <c r="V1435" s="6"/>
      <c r="W1435" s="6"/>
      <c r="X1435" s="6"/>
      <c r="Y1435" s="6"/>
      <c r="Z1435" s="6"/>
    </row>
    <row r="1436" customFormat="false" ht="15" hidden="false" customHeight="false" outlineLevel="0" collapsed="false">
      <c r="A1436" s="9" t="s">
        <v>7279</v>
      </c>
      <c r="B1436" s="9" t="s">
        <v>5870</v>
      </c>
      <c r="C1436" s="9" t="s">
        <v>1649</v>
      </c>
      <c r="D1436" s="9" t="s">
        <v>5871</v>
      </c>
      <c r="E1436" s="9" t="str">
        <f aca="false">IF(AND('Formation Ledger'!A1415&lt;&gt;"",'Formation Ledger'!V1415=0),"PASS","FAIL")</f>
        <v>PASS</v>
      </c>
      <c r="F1436" s="9" t="s">
        <v>76</v>
      </c>
      <c r="G1436" s="6"/>
      <c r="H1436" s="6"/>
      <c r="I1436" s="6"/>
      <c r="J1436" s="6"/>
      <c r="K1436" s="6"/>
      <c r="L1436" s="6"/>
      <c r="M1436" s="6"/>
      <c r="N1436" s="6"/>
      <c r="O1436" s="6"/>
      <c r="P1436" s="6"/>
      <c r="Q1436" s="6"/>
      <c r="R1436" s="6"/>
      <c r="S1436" s="6"/>
      <c r="T1436" s="6"/>
      <c r="U1436" s="6"/>
      <c r="V1436" s="6"/>
      <c r="W1436" s="6"/>
      <c r="X1436" s="6"/>
      <c r="Y1436" s="6"/>
      <c r="Z1436" s="6"/>
    </row>
    <row r="1437" customFormat="false" ht="15" hidden="false" customHeight="false" outlineLevel="0" collapsed="false">
      <c r="A1437" s="9" t="s">
        <v>7280</v>
      </c>
      <c r="B1437" s="9" t="s">
        <v>5870</v>
      </c>
      <c r="C1437" s="9" t="s">
        <v>1650</v>
      </c>
      <c r="D1437" s="9" t="s">
        <v>5871</v>
      </c>
      <c r="E1437" s="9" t="str">
        <f aca="false">IF(AND('Formation Ledger'!A1416&lt;&gt;"",'Formation Ledger'!V1416=0),"PASS","FAIL")</f>
        <v>PASS</v>
      </c>
      <c r="F1437" s="9" t="s">
        <v>76</v>
      </c>
      <c r="G1437" s="6"/>
      <c r="H1437" s="6"/>
      <c r="I1437" s="6"/>
      <c r="J1437" s="6"/>
      <c r="K1437" s="6"/>
      <c r="L1437" s="6"/>
      <c r="M1437" s="6"/>
      <c r="N1437" s="6"/>
      <c r="O1437" s="6"/>
      <c r="P1437" s="6"/>
      <c r="Q1437" s="6"/>
      <c r="R1437" s="6"/>
      <c r="S1437" s="6"/>
      <c r="T1437" s="6"/>
      <c r="U1437" s="6"/>
      <c r="V1437" s="6"/>
      <c r="W1437" s="6"/>
      <c r="X1437" s="6"/>
      <c r="Y1437" s="6"/>
      <c r="Z1437" s="6"/>
    </row>
    <row r="1438" customFormat="false" ht="15" hidden="false" customHeight="false" outlineLevel="0" collapsed="false">
      <c r="A1438" s="9" t="s">
        <v>7281</v>
      </c>
      <c r="B1438" s="9" t="s">
        <v>5870</v>
      </c>
      <c r="C1438" s="9" t="s">
        <v>1651</v>
      </c>
      <c r="D1438" s="9" t="s">
        <v>5871</v>
      </c>
      <c r="E1438" s="9" t="str">
        <f aca="false">IF(AND('Formation Ledger'!A1417&lt;&gt;"",'Formation Ledger'!V1417=0),"PASS","FAIL")</f>
        <v>PASS</v>
      </c>
      <c r="F1438" s="9" t="s">
        <v>76</v>
      </c>
      <c r="G1438" s="6"/>
      <c r="H1438" s="6"/>
      <c r="I1438" s="6"/>
      <c r="J1438" s="6"/>
      <c r="K1438" s="6"/>
      <c r="L1438" s="6"/>
      <c r="M1438" s="6"/>
      <c r="N1438" s="6"/>
      <c r="O1438" s="6"/>
      <c r="P1438" s="6"/>
      <c r="Q1438" s="6"/>
      <c r="R1438" s="6"/>
      <c r="S1438" s="6"/>
      <c r="T1438" s="6"/>
      <c r="U1438" s="6"/>
      <c r="V1438" s="6"/>
      <c r="W1438" s="6"/>
      <c r="X1438" s="6"/>
      <c r="Y1438" s="6"/>
      <c r="Z1438" s="6"/>
    </row>
    <row r="1439" customFormat="false" ht="15" hidden="false" customHeight="false" outlineLevel="0" collapsed="false">
      <c r="A1439" s="9" t="s">
        <v>7282</v>
      </c>
      <c r="B1439" s="9" t="s">
        <v>5870</v>
      </c>
      <c r="C1439" s="9" t="s">
        <v>1652</v>
      </c>
      <c r="D1439" s="9" t="s">
        <v>5871</v>
      </c>
      <c r="E1439" s="9" t="str">
        <f aca="false">IF(AND('Formation Ledger'!A1418&lt;&gt;"",'Formation Ledger'!V1418=0),"PASS","FAIL")</f>
        <v>PASS</v>
      </c>
      <c r="F1439" s="9" t="s">
        <v>76</v>
      </c>
      <c r="G1439" s="6"/>
      <c r="H1439" s="6"/>
      <c r="I1439" s="6"/>
      <c r="J1439" s="6"/>
      <c r="K1439" s="6"/>
      <c r="L1439" s="6"/>
      <c r="M1439" s="6"/>
      <c r="N1439" s="6"/>
      <c r="O1439" s="6"/>
      <c r="P1439" s="6"/>
      <c r="Q1439" s="6"/>
      <c r="R1439" s="6"/>
      <c r="S1439" s="6"/>
      <c r="T1439" s="6"/>
      <c r="U1439" s="6"/>
      <c r="V1439" s="6"/>
      <c r="W1439" s="6"/>
      <c r="X1439" s="6"/>
      <c r="Y1439" s="6"/>
      <c r="Z1439" s="6"/>
    </row>
    <row r="1440" customFormat="false" ht="15" hidden="false" customHeight="false" outlineLevel="0" collapsed="false">
      <c r="A1440" s="9" t="s">
        <v>7283</v>
      </c>
      <c r="B1440" s="9" t="s">
        <v>5870</v>
      </c>
      <c r="C1440" s="9" t="s">
        <v>1653</v>
      </c>
      <c r="D1440" s="9" t="s">
        <v>5871</v>
      </c>
      <c r="E1440" s="9" t="str">
        <f aca="false">IF(AND('Formation Ledger'!A1419&lt;&gt;"",'Formation Ledger'!V1419=0),"PASS","FAIL")</f>
        <v>PASS</v>
      </c>
      <c r="F1440" s="9" t="s">
        <v>76</v>
      </c>
      <c r="G1440" s="6"/>
      <c r="H1440" s="6"/>
      <c r="I1440" s="6"/>
      <c r="J1440" s="6"/>
      <c r="K1440" s="6"/>
      <c r="L1440" s="6"/>
      <c r="M1440" s="6"/>
      <c r="N1440" s="6"/>
      <c r="O1440" s="6"/>
      <c r="P1440" s="6"/>
      <c r="Q1440" s="6"/>
      <c r="R1440" s="6"/>
      <c r="S1440" s="6"/>
      <c r="T1440" s="6"/>
      <c r="U1440" s="6"/>
      <c r="V1440" s="6"/>
      <c r="W1440" s="6"/>
      <c r="X1440" s="6"/>
      <c r="Y1440" s="6"/>
      <c r="Z1440" s="6"/>
    </row>
    <row r="1441" customFormat="false" ht="15" hidden="false" customHeight="false" outlineLevel="0" collapsed="false">
      <c r="A1441" s="9" t="s">
        <v>7284</v>
      </c>
      <c r="B1441" s="9" t="s">
        <v>5870</v>
      </c>
      <c r="C1441" s="9" t="s">
        <v>1654</v>
      </c>
      <c r="D1441" s="9" t="s">
        <v>5871</v>
      </c>
      <c r="E1441" s="9" t="str">
        <f aca="false">IF(AND('Formation Ledger'!A1420&lt;&gt;"",'Formation Ledger'!V1420=0),"PASS","FAIL")</f>
        <v>PASS</v>
      </c>
      <c r="F1441" s="9" t="s">
        <v>76</v>
      </c>
      <c r="G1441" s="6"/>
      <c r="H1441" s="6"/>
      <c r="I1441" s="6"/>
      <c r="J1441" s="6"/>
      <c r="K1441" s="6"/>
      <c r="L1441" s="6"/>
      <c r="M1441" s="6"/>
      <c r="N1441" s="6"/>
      <c r="O1441" s="6"/>
      <c r="P1441" s="6"/>
      <c r="Q1441" s="6"/>
      <c r="R1441" s="6"/>
      <c r="S1441" s="6"/>
      <c r="T1441" s="6"/>
      <c r="U1441" s="6"/>
      <c r="V1441" s="6"/>
      <c r="W1441" s="6"/>
      <c r="X1441" s="6"/>
      <c r="Y1441" s="6"/>
      <c r="Z1441" s="6"/>
    </row>
    <row r="1442" customFormat="false" ht="15" hidden="false" customHeight="false" outlineLevel="0" collapsed="false">
      <c r="A1442" s="9" t="s">
        <v>7285</v>
      </c>
      <c r="B1442" s="9" t="s">
        <v>5870</v>
      </c>
      <c r="C1442" s="9" t="s">
        <v>1655</v>
      </c>
      <c r="D1442" s="9" t="s">
        <v>5871</v>
      </c>
      <c r="E1442" s="9" t="str">
        <f aca="false">IF(AND('Formation Ledger'!A1421&lt;&gt;"",'Formation Ledger'!V1421=0),"PASS","FAIL")</f>
        <v>PASS</v>
      </c>
      <c r="F1442" s="9" t="s">
        <v>76</v>
      </c>
      <c r="G1442" s="6"/>
      <c r="H1442" s="6"/>
      <c r="I1442" s="6"/>
      <c r="J1442" s="6"/>
      <c r="K1442" s="6"/>
      <c r="L1442" s="6"/>
      <c r="M1442" s="6"/>
      <c r="N1442" s="6"/>
      <c r="O1442" s="6"/>
      <c r="P1442" s="6"/>
      <c r="Q1442" s="6"/>
      <c r="R1442" s="6"/>
      <c r="S1442" s="6"/>
      <c r="T1442" s="6"/>
      <c r="U1442" s="6"/>
      <c r="V1442" s="6"/>
      <c r="W1442" s="6"/>
      <c r="X1442" s="6"/>
      <c r="Y1442" s="6"/>
      <c r="Z1442" s="6"/>
    </row>
    <row r="1443" customFormat="false" ht="15" hidden="false" customHeight="false" outlineLevel="0" collapsed="false">
      <c r="A1443" s="9" t="s">
        <v>7286</v>
      </c>
      <c r="B1443" s="9" t="s">
        <v>5870</v>
      </c>
      <c r="C1443" s="9" t="s">
        <v>1656</v>
      </c>
      <c r="D1443" s="9" t="s">
        <v>5871</v>
      </c>
      <c r="E1443" s="9" t="str">
        <f aca="false">IF(AND('Formation Ledger'!A1422&lt;&gt;"",'Formation Ledger'!V1422=0),"PASS","FAIL")</f>
        <v>PASS</v>
      </c>
      <c r="F1443" s="9" t="s">
        <v>76</v>
      </c>
      <c r="G1443" s="6"/>
      <c r="H1443" s="6"/>
      <c r="I1443" s="6"/>
      <c r="J1443" s="6"/>
      <c r="K1443" s="6"/>
      <c r="L1443" s="6"/>
      <c r="M1443" s="6"/>
      <c r="N1443" s="6"/>
      <c r="O1443" s="6"/>
      <c r="P1443" s="6"/>
      <c r="Q1443" s="6"/>
      <c r="R1443" s="6"/>
      <c r="S1443" s="6"/>
      <c r="T1443" s="6"/>
      <c r="U1443" s="6"/>
      <c r="V1443" s="6"/>
      <c r="W1443" s="6"/>
      <c r="X1443" s="6"/>
      <c r="Y1443" s="6"/>
      <c r="Z1443" s="6"/>
    </row>
    <row r="1444" customFormat="false" ht="15" hidden="false" customHeight="false" outlineLevel="0" collapsed="false">
      <c r="A1444" s="9" t="s">
        <v>7287</v>
      </c>
      <c r="B1444" s="9" t="s">
        <v>5870</v>
      </c>
      <c r="C1444" s="9" t="s">
        <v>1657</v>
      </c>
      <c r="D1444" s="9" t="s">
        <v>5871</v>
      </c>
      <c r="E1444" s="9" t="str">
        <f aca="false">IF(AND('Formation Ledger'!A1423&lt;&gt;"",'Formation Ledger'!V1423=0),"PASS","FAIL")</f>
        <v>PASS</v>
      </c>
      <c r="F1444" s="9" t="s">
        <v>76</v>
      </c>
      <c r="G1444" s="6"/>
      <c r="H1444" s="6"/>
      <c r="I1444" s="6"/>
      <c r="J1444" s="6"/>
      <c r="K1444" s="6"/>
      <c r="L1444" s="6"/>
      <c r="M1444" s="6"/>
      <c r="N1444" s="6"/>
      <c r="O1444" s="6"/>
      <c r="P1444" s="6"/>
      <c r="Q1444" s="6"/>
      <c r="R1444" s="6"/>
      <c r="S1444" s="6"/>
      <c r="T1444" s="6"/>
      <c r="U1444" s="6"/>
      <c r="V1444" s="6"/>
      <c r="W1444" s="6"/>
      <c r="X1444" s="6"/>
      <c r="Y1444" s="6"/>
      <c r="Z1444" s="6"/>
    </row>
    <row r="1445" customFormat="false" ht="15" hidden="false" customHeight="false" outlineLevel="0" collapsed="false">
      <c r="A1445" s="9" t="s">
        <v>7288</v>
      </c>
      <c r="B1445" s="9" t="s">
        <v>5870</v>
      </c>
      <c r="C1445" s="9" t="s">
        <v>1661</v>
      </c>
      <c r="D1445" s="9" t="s">
        <v>5871</v>
      </c>
      <c r="E1445" s="9" t="str">
        <f aca="false">IF(AND('Formation Ledger'!A1424&lt;&gt;"",'Formation Ledger'!V1424=0),"PASS","FAIL")</f>
        <v>PASS</v>
      </c>
      <c r="F1445" s="9" t="s">
        <v>76</v>
      </c>
      <c r="G1445" s="6"/>
      <c r="H1445" s="6"/>
      <c r="I1445" s="6"/>
      <c r="J1445" s="6"/>
      <c r="K1445" s="6"/>
      <c r="L1445" s="6"/>
      <c r="M1445" s="6"/>
      <c r="N1445" s="6"/>
      <c r="O1445" s="6"/>
      <c r="P1445" s="6"/>
      <c r="Q1445" s="6"/>
      <c r="R1445" s="6"/>
      <c r="S1445" s="6"/>
      <c r="T1445" s="6"/>
      <c r="U1445" s="6"/>
      <c r="V1445" s="6"/>
      <c r="W1445" s="6"/>
      <c r="X1445" s="6"/>
      <c r="Y1445" s="6"/>
      <c r="Z1445" s="6"/>
    </row>
    <row r="1446" customFormat="false" ht="15" hidden="false" customHeight="false" outlineLevel="0" collapsed="false">
      <c r="A1446" s="9" t="s">
        <v>7289</v>
      </c>
      <c r="B1446" s="9" t="s">
        <v>5870</v>
      </c>
      <c r="C1446" s="9" t="s">
        <v>1662</v>
      </c>
      <c r="D1446" s="9" t="s">
        <v>5871</v>
      </c>
      <c r="E1446" s="9" t="str">
        <f aca="false">IF(AND('Formation Ledger'!A1425&lt;&gt;"",'Formation Ledger'!V1425=0),"PASS","FAIL")</f>
        <v>PASS</v>
      </c>
      <c r="F1446" s="9" t="s">
        <v>76</v>
      </c>
      <c r="G1446" s="6"/>
      <c r="H1446" s="6"/>
      <c r="I1446" s="6"/>
      <c r="J1446" s="6"/>
      <c r="K1446" s="6"/>
      <c r="L1446" s="6"/>
      <c r="M1446" s="6"/>
      <c r="N1446" s="6"/>
      <c r="O1446" s="6"/>
      <c r="P1446" s="6"/>
      <c r="Q1446" s="6"/>
      <c r="R1446" s="6"/>
      <c r="S1446" s="6"/>
      <c r="T1446" s="6"/>
      <c r="U1446" s="6"/>
      <c r="V1446" s="6"/>
      <c r="W1446" s="6"/>
      <c r="X1446" s="6"/>
      <c r="Y1446" s="6"/>
      <c r="Z1446" s="6"/>
    </row>
    <row r="1447" customFormat="false" ht="15" hidden="false" customHeight="false" outlineLevel="0" collapsed="false">
      <c r="A1447" s="9" t="s">
        <v>7290</v>
      </c>
      <c r="B1447" s="9" t="s">
        <v>5870</v>
      </c>
      <c r="C1447" s="9" t="s">
        <v>1663</v>
      </c>
      <c r="D1447" s="9" t="s">
        <v>5871</v>
      </c>
      <c r="E1447" s="9" t="str">
        <f aca="false">IF(AND('Formation Ledger'!A1426&lt;&gt;"",'Formation Ledger'!V1426=0),"PASS","FAIL")</f>
        <v>PASS</v>
      </c>
      <c r="F1447" s="9" t="s">
        <v>76</v>
      </c>
      <c r="G1447" s="6"/>
      <c r="H1447" s="6"/>
      <c r="I1447" s="6"/>
      <c r="J1447" s="6"/>
      <c r="K1447" s="6"/>
      <c r="L1447" s="6"/>
      <c r="M1447" s="6"/>
      <c r="N1447" s="6"/>
      <c r="O1447" s="6"/>
      <c r="P1447" s="6"/>
      <c r="Q1447" s="6"/>
      <c r="R1447" s="6"/>
      <c r="S1447" s="6"/>
      <c r="T1447" s="6"/>
      <c r="U1447" s="6"/>
      <c r="V1447" s="6"/>
      <c r="W1447" s="6"/>
      <c r="X1447" s="6"/>
      <c r="Y1447" s="6"/>
      <c r="Z1447" s="6"/>
    </row>
    <row r="1448" customFormat="false" ht="15" hidden="false" customHeight="false" outlineLevel="0" collapsed="false">
      <c r="A1448" s="9" t="s">
        <v>7291</v>
      </c>
      <c r="B1448" s="9" t="s">
        <v>5870</v>
      </c>
      <c r="C1448" s="9" t="s">
        <v>1664</v>
      </c>
      <c r="D1448" s="9" t="s">
        <v>5871</v>
      </c>
      <c r="E1448" s="9" t="str">
        <f aca="false">IF(AND('Formation Ledger'!A1427&lt;&gt;"",'Formation Ledger'!V1427=0),"PASS","FAIL")</f>
        <v>PASS</v>
      </c>
      <c r="F1448" s="9" t="s">
        <v>76</v>
      </c>
      <c r="G1448" s="6"/>
      <c r="H1448" s="6"/>
      <c r="I1448" s="6"/>
      <c r="J1448" s="6"/>
      <c r="K1448" s="6"/>
      <c r="L1448" s="6"/>
      <c r="M1448" s="6"/>
      <c r="N1448" s="6"/>
      <c r="O1448" s="6"/>
      <c r="P1448" s="6"/>
      <c r="Q1448" s="6"/>
      <c r="R1448" s="6"/>
      <c r="S1448" s="6"/>
      <c r="T1448" s="6"/>
      <c r="U1448" s="6"/>
      <c r="V1448" s="6"/>
      <c r="W1448" s="6"/>
      <c r="X1448" s="6"/>
      <c r="Y1448" s="6"/>
      <c r="Z1448" s="6"/>
    </row>
    <row r="1449" customFormat="false" ht="15" hidden="false" customHeight="false" outlineLevel="0" collapsed="false">
      <c r="A1449" s="9" t="s">
        <v>7292</v>
      </c>
      <c r="B1449" s="9" t="s">
        <v>5870</v>
      </c>
      <c r="C1449" s="9" t="s">
        <v>1665</v>
      </c>
      <c r="D1449" s="9" t="s">
        <v>5871</v>
      </c>
      <c r="E1449" s="9" t="str">
        <f aca="false">IF(AND('Formation Ledger'!A1428&lt;&gt;"",'Formation Ledger'!V1428=0),"PASS","FAIL")</f>
        <v>PASS</v>
      </c>
      <c r="F1449" s="9" t="s">
        <v>76</v>
      </c>
      <c r="G1449" s="6"/>
      <c r="H1449" s="6"/>
      <c r="I1449" s="6"/>
      <c r="J1449" s="6"/>
      <c r="K1449" s="6"/>
      <c r="L1449" s="6"/>
      <c r="M1449" s="6"/>
      <c r="N1449" s="6"/>
      <c r="O1449" s="6"/>
      <c r="P1449" s="6"/>
      <c r="Q1449" s="6"/>
      <c r="R1449" s="6"/>
      <c r="S1449" s="6"/>
      <c r="T1449" s="6"/>
      <c r="U1449" s="6"/>
      <c r="V1449" s="6"/>
      <c r="W1449" s="6"/>
      <c r="X1449" s="6"/>
      <c r="Y1449" s="6"/>
      <c r="Z1449" s="6"/>
    </row>
    <row r="1450" customFormat="false" ht="15" hidden="false" customHeight="false" outlineLevel="0" collapsed="false">
      <c r="A1450" s="9" t="s">
        <v>7293</v>
      </c>
      <c r="B1450" s="9" t="s">
        <v>5870</v>
      </c>
      <c r="C1450" s="9" t="s">
        <v>1666</v>
      </c>
      <c r="D1450" s="9" t="s">
        <v>5871</v>
      </c>
      <c r="E1450" s="9" t="str">
        <f aca="false">IF(AND('Formation Ledger'!A1429&lt;&gt;"",'Formation Ledger'!V1429=0),"PASS","FAIL")</f>
        <v>PASS</v>
      </c>
      <c r="F1450" s="9" t="s">
        <v>76</v>
      </c>
      <c r="G1450" s="6"/>
      <c r="H1450" s="6"/>
      <c r="I1450" s="6"/>
      <c r="J1450" s="6"/>
      <c r="K1450" s="6"/>
      <c r="L1450" s="6"/>
      <c r="M1450" s="6"/>
      <c r="N1450" s="6"/>
      <c r="O1450" s="6"/>
      <c r="P1450" s="6"/>
      <c r="Q1450" s="6"/>
      <c r="R1450" s="6"/>
      <c r="S1450" s="6"/>
      <c r="T1450" s="6"/>
      <c r="U1450" s="6"/>
      <c r="V1450" s="6"/>
      <c r="W1450" s="6"/>
      <c r="X1450" s="6"/>
      <c r="Y1450" s="6"/>
      <c r="Z1450" s="6"/>
    </row>
    <row r="1451" customFormat="false" ht="15" hidden="false" customHeight="false" outlineLevel="0" collapsed="false">
      <c r="A1451" s="9" t="s">
        <v>7294</v>
      </c>
      <c r="B1451" s="9" t="s">
        <v>5870</v>
      </c>
      <c r="C1451" s="9" t="s">
        <v>1667</v>
      </c>
      <c r="D1451" s="9" t="s">
        <v>5871</v>
      </c>
      <c r="E1451" s="9" t="str">
        <f aca="false">IF(AND('Formation Ledger'!A1430&lt;&gt;"",'Formation Ledger'!V1430=0),"PASS","FAIL")</f>
        <v>PASS</v>
      </c>
      <c r="F1451" s="9" t="s">
        <v>76</v>
      </c>
      <c r="G1451" s="6"/>
      <c r="H1451" s="6"/>
      <c r="I1451" s="6"/>
      <c r="J1451" s="6"/>
      <c r="K1451" s="6"/>
      <c r="L1451" s="6"/>
      <c r="M1451" s="6"/>
      <c r="N1451" s="6"/>
      <c r="O1451" s="6"/>
      <c r="P1451" s="6"/>
      <c r="Q1451" s="6"/>
      <c r="R1451" s="6"/>
      <c r="S1451" s="6"/>
      <c r="T1451" s="6"/>
      <c r="U1451" s="6"/>
      <c r="V1451" s="6"/>
      <c r="W1451" s="6"/>
      <c r="X1451" s="6"/>
      <c r="Y1451" s="6"/>
      <c r="Z1451" s="6"/>
    </row>
    <row r="1452" customFormat="false" ht="15" hidden="false" customHeight="false" outlineLevel="0" collapsed="false">
      <c r="A1452" s="9" t="s">
        <v>7295</v>
      </c>
      <c r="B1452" s="9" t="s">
        <v>5870</v>
      </c>
      <c r="C1452" s="9" t="s">
        <v>1668</v>
      </c>
      <c r="D1452" s="9" t="s">
        <v>5871</v>
      </c>
      <c r="E1452" s="9" t="str">
        <f aca="false">IF(AND('Formation Ledger'!A1431&lt;&gt;"",'Formation Ledger'!V1431=0),"PASS","FAIL")</f>
        <v>PASS</v>
      </c>
      <c r="F1452" s="9" t="s">
        <v>76</v>
      </c>
      <c r="G1452" s="6"/>
      <c r="H1452" s="6"/>
      <c r="I1452" s="6"/>
      <c r="J1452" s="6"/>
      <c r="K1452" s="6"/>
      <c r="L1452" s="6"/>
      <c r="M1452" s="6"/>
      <c r="N1452" s="6"/>
      <c r="O1452" s="6"/>
      <c r="P1452" s="6"/>
      <c r="Q1452" s="6"/>
      <c r="R1452" s="6"/>
      <c r="S1452" s="6"/>
      <c r="T1452" s="6"/>
      <c r="U1452" s="6"/>
      <c r="V1452" s="6"/>
      <c r="W1452" s="6"/>
      <c r="X1452" s="6"/>
      <c r="Y1452" s="6"/>
      <c r="Z1452" s="6"/>
    </row>
    <row r="1453" customFormat="false" ht="15" hidden="false" customHeight="false" outlineLevel="0" collapsed="false">
      <c r="A1453" s="9" t="s">
        <v>7296</v>
      </c>
      <c r="B1453" s="9" t="s">
        <v>5870</v>
      </c>
      <c r="C1453" s="9" t="s">
        <v>1669</v>
      </c>
      <c r="D1453" s="9" t="s">
        <v>5871</v>
      </c>
      <c r="E1453" s="9" t="str">
        <f aca="false">IF(AND('Formation Ledger'!A1432&lt;&gt;"",'Formation Ledger'!V1432=0),"PASS","FAIL")</f>
        <v>PASS</v>
      </c>
      <c r="F1453" s="9" t="s">
        <v>76</v>
      </c>
      <c r="G1453" s="6"/>
      <c r="H1453" s="6"/>
      <c r="I1453" s="6"/>
      <c r="J1453" s="6"/>
      <c r="K1453" s="6"/>
      <c r="L1453" s="6"/>
      <c r="M1453" s="6"/>
      <c r="N1453" s="6"/>
      <c r="O1453" s="6"/>
      <c r="P1453" s="6"/>
      <c r="Q1453" s="6"/>
      <c r="R1453" s="6"/>
      <c r="S1453" s="6"/>
      <c r="T1453" s="6"/>
      <c r="U1453" s="6"/>
      <c r="V1453" s="6"/>
      <c r="W1453" s="6"/>
      <c r="X1453" s="6"/>
      <c r="Y1453" s="6"/>
      <c r="Z1453" s="6"/>
    </row>
    <row r="1454" customFormat="false" ht="15" hidden="false" customHeight="false" outlineLevel="0" collapsed="false">
      <c r="A1454" s="9" t="s">
        <v>7297</v>
      </c>
      <c r="B1454" s="9" t="s">
        <v>5870</v>
      </c>
      <c r="C1454" s="9" t="s">
        <v>1670</v>
      </c>
      <c r="D1454" s="9" t="s">
        <v>5871</v>
      </c>
      <c r="E1454" s="9" t="str">
        <f aca="false">IF(AND('Formation Ledger'!A1433&lt;&gt;"",'Formation Ledger'!V1433=0),"PASS","FAIL")</f>
        <v>PASS</v>
      </c>
      <c r="F1454" s="9" t="s">
        <v>76</v>
      </c>
      <c r="G1454" s="6"/>
      <c r="H1454" s="6"/>
      <c r="I1454" s="6"/>
      <c r="J1454" s="6"/>
      <c r="K1454" s="6"/>
      <c r="L1454" s="6"/>
      <c r="M1454" s="6"/>
      <c r="N1454" s="6"/>
      <c r="O1454" s="6"/>
      <c r="P1454" s="6"/>
      <c r="Q1454" s="6"/>
      <c r="R1454" s="6"/>
      <c r="S1454" s="6"/>
      <c r="T1454" s="6"/>
      <c r="U1454" s="6"/>
      <c r="V1454" s="6"/>
      <c r="W1454" s="6"/>
      <c r="X1454" s="6"/>
      <c r="Y1454" s="6"/>
      <c r="Z1454" s="6"/>
    </row>
    <row r="1455" customFormat="false" ht="15" hidden="false" customHeight="false" outlineLevel="0" collapsed="false">
      <c r="A1455" s="9" t="s">
        <v>7298</v>
      </c>
      <c r="B1455" s="9" t="s">
        <v>5870</v>
      </c>
      <c r="C1455" s="9" t="s">
        <v>1671</v>
      </c>
      <c r="D1455" s="9" t="s">
        <v>5871</v>
      </c>
      <c r="E1455" s="9" t="str">
        <f aca="false">IF(AND('Formation Ledger'!A1434&lt;&gt;"",'Formation Ledger'!V1434=0),"PASS","FAIL")</f>
        <v>PASS</v>
      </c>
      <c r="F1455" s="9" t="s">
        <v>76</v>
      </c>
      <c r="G1455" s="6"/>
      <c r="H1455" s="6"/>
      <c r="I1455" s="6"/>
      <c r="J1455" s="6"/>
      <c r="K1455" s="6"/>
      <c r="L1455" s="6"/>
      <c r="M1455" s="6"/>
      <c r="N1455" s="6"/>
      <c r="O1455" s="6"/>
      <c r="P1455" s="6"/>
      <c r="Q1455" s="6"/>
      <c r="R1455" s="6"/>
      <c r="S1455" s="6"/>
      <c r="T1455" s="6"/>
      <c r="U1455" s="6"/>
      <c r="V1455" s="6"/>
      <c r="W1455" s="6"/>
      <c r="X1455" s="6"/>
      <c r="Y1455" s="6"/>
      <c r="Z1455" s="6"/>
    </row>
    <row r="1456" customFormat="false" ht="15" hidden="false" customHeight="false" outlineLevel="0" collapsed="false">
      <c r="A1456" s="9" t="s">
        <v>7299</v>
      </c>
      <c r="B1456" s="9" t="s">
        <v>5870</v>
      </c>
      <c r="C1456" s="9" t="s">
        <v>1672</v>
      </c>
      <c r="D1456" s="9" t="s">
        <v>5871</v>
      </c>
      <c r="E1456" s="9" t="str">
        <f aca="false">IF(AND('Formation Ledger'!A1435&lt;&gt;"",'Formation Ledger'!V1435=0),"PASS","FAIL")</f>
        <v>PASS</v>
      </c>
      <c r="F1456" s="9" t="s">
        <v>76</v>
      </c>
      <c r="G1456" s="6"/>
      <c r="H1456" s="6"/>
      <c r="I1456" s="6"/>
      <c r="J1456" s="6"/>
      <c r="K1456" s="6"/>
      <c r="L1456" s="6"/>
      <c r="M1456" s="6"/>
      <c r="N1456" s="6"/>
      <c r="O1456" s="6"/>
      <c r="P1456" s="6"/>
      <c r="Q1456" s="6"/>
      <c r="R1456" s="6"/>
      <c r="S1456" s="6"/>
      <c r="T1456" s="6"/>
      <c r="U1456" s="6"/>
      <c r="V1456" s="6"/>
      <c r="W1456" s="6"/>
      <c r="X1456" s="6"/>
      <c r="Y1456" s="6"/>
      <c r="Z1456" s="6"/>
    </row>
    <row r="1457" customFormat="false" ht="15" hidden="false" customHeight="false" outlineLevel="0" collapsed="false">
      <c r="A1457" s="9" t="s">
        <v>7300</v>
      </c>
      <c r="B1457" s="9" t="s">
        <v>5870</v>
      </c>
      <c r="C1457" s="9" t="s">
        <v>1673</v>
      </c>
      <c r="D1457" s="9" t="s">
        <v>5871</v>
      </c>
      <c r="E1457" s="9" t="str">
        <f aca="false">IF(AND('Formation Ledger'!A1436&lt;&gt;"",'Formation Ledger'!V1436=0),"PASS","FAIL")</f>
        <v>PASS</v>
      </c>
      <c r="F1457" s="9" t="s">
        <v>76</v>
      </c>
      <c r="G1457" s="6"/>
      <c r="H1457" s="6"/>
      <c r="I1457" s="6"/>
      <c r="J1457" s="6"/>
      <c r="K1457" s="6"/>
      <c r="L1457" s="6"/>
      <c r="M1457" s="6"/>
      <c r="N1457" s="6"/>
      <c r="O1457" s="6"/>
      <c r="P1457" s="6"/>
      <c r="Q1457" s="6"/>
      <c r="R1457" s="6"/>
      <c r="S1457" s="6"/>
      <c r="T1457" s="6"/>
      <c r="U1457" s="6"/>
      <c r="V1457" s="6"/>
      <c r="W1457" s="6"/>
      <c r="X1457" s="6"/>
      <c r="Y1457" s="6"/>
      <c r="Z1457" s="6"/>
    </row>
    <row r="1458" customFormat="false" ht="15" hidden="false" customHeight="false" outlineLevel="0" collapsed="false">
      <c r="A1458" s="9" t="s">
        <v>7301</v>
      </c>
      <c r="B1458" s="9" t="s">
        <v>5870</v>
      </c>
      <c r="C1458" s="9" t="s">
        <v>1674</v>
      </c>
      <c r="D1458" s="9" t="s">
        <v>5871</v>
      </c>
      <c r="E1458" s="9" t="str">
        <f aca="false">IF(AND('Formation Ledger'!A1437&lt;&gt;"",'Formation Ledger'!V1437=0),"PASS","FAIL")</f>
        <v>PASS</v>
      </c>
      <c r="F1458" s="9" t="s">
        <v>76</v>
      </c>
      <c r="G1458" s="6"/>
      <c r="H1458" s="6"/>
      <c r="I1458" s="6"/>
      <c r="J1458" s="6"/>
      <c r="K1458" s="6"/>
      <c r="L1458" s="6"/>
      <c r="M1458" s="6"/>
      <c r="N1458" s="6"/>
      <c r="O1458" s="6"/>
      <c r="P1458" s="6"/>
      <c r="Q1458" s="6"/>
      <c r="R1458" s="6"/>
      <c r="S1458" s="6"/>
      <c r="T1458" s="6"/>
      <c r="U1458" s="6"/>
      <c r="V1458" s="6"/>
      <c r="W1458" s="6"/>
      <c r="X1458" s="6"/>
      <c r="Y1458" s="6"/>
      <c r="Z1458" s="6"/>
    </row>
    <row r="1459" customFormat="false" ht="15" hidden="false" customHeight="false" outlineLevel="0" collapsed="false">
      <c r="A1459" s="9" t="s">
        <v>7302</v>
      </c>
      <c r="B1459" s="9" t="s">
        <v>5870</v>
      </c>
      <c r="C1459" s="9" t="s">
        <v>1675</v>
      </c>
      <c r="D1459" s="9" t="s">
        <v>5871</v>
      </c>
      <c r="E1459" s="9" t="str">
        <f aca="false">IF(AND('Formation Ledger'!A1438&lt;&gt;"",'Formation Ledger'!V1438=0),"PASS","FAIL")</f>
        <v>PASS</v>
      </c>
      <c r="F1459" s="9" t="s">
        <v>76</v>
      </c>
      <c r="G1459" s="6"/>
      <c r="H1459" s="6"/>
      <c r="I1459" s="6"/>
      <c r="J1459" s="6"/>
      <c r="K1459" s="6"/>
      <c r="L1459" s="6"/>
      <c r="M1459" s="6"/>
      <c r="N1459" s="6"/>
      <c r="O1459" s="6"/>
      <c r="P1459" s="6"/>
      <c r="Q1459" s="6"/>
      <c r="R1459" s="6"/>
      <c r="S1459" s="6"/>
      <c r="T1459" s="6"/>
      <c r="U1459" s="6"/>
      <c r="V1459" s="6"/>
      <c r="W1459" s="6"/>
      <c r="X1459" s="6"/>
      <c r="Y1459" s="6"/>
      <c r="Z1459" s="6"/>
    </row>
    <row r="1460" customFormat="false" ht="15" hidden="false" customHeight="false" outlineLevel="0" collapsed="false">
      <c r="A1460" s="9" t="s">
        <v>7303</v>
      </c>
      <c r="B1460" s="9" t="s">
        <v>5870</v>
      </c>
      <c r="C1460" s="9" t="s">
        <v>1676</v>
      </c>
      <c r="D1460" s="9" t="s">
        <v>5871</v>
      </c>
      <c r="E1460" s="9" t="str">
        <f aca="false">IF(AND('Formation Ledger'!A1439&lt;&gt;"",'Formation Ledger'!V1439=0),"PASS","FAIL")</f>
        <v>PASS</v>
      </c>
      <c r="F1460" s="9" t="s">
        <v>76</v>
      </c>
      <c r="G1460" s="6"/>
      <c r="H1460" s="6"/>
      <c r="I1460" s="6"/>
      <c r="J1460" s="6"/>
      <c r="K1460" s="6"/>
      <c r="L1460" s="6"/>
      <c r="M1460" s="6"/>
      <c r="N1460" s="6"/>
      <c r="O1460" s="6"/>
      <c r="P1460" s="6"/>
      <c r="Q1460" s="6"/>
      <c r="R1460" s="6"/>
      <c r="S1460" s="6"/>
      <c r="T1460" s="6"/>
      <c r="U1460" s="6"/>
      <c r="V1460" s="6"/>
      <c r="W1460" s="6"/>
      <c r="X1460" s="6"/>
      <c r="Y1460" s="6"/>
      <c r="Z1460" s="6"/>
    </row>
    <row r="1461" customFormat="false" ht="15" hidden="false" customHeight="false" outlineLevel="0" collapsed="false">
      <c r="A1461" s="9" t="s">
        <v>7304</v>
      </c>
      <c r="B1461" s="9" t="s">
        <v>5870</v>
      </c>
      <c r="C1461" s="9" t="s">
        <v>1677</v>
      </c>
      <c r="D1461" s="9" t="s">
        <v>5871</v>
      </c>
      <c r="E1461" s="9" t="str">
        <f aca="false">IF(AND('Formation Ledger'!A1440&lt;&gt;"",'Formation Ledger'!V1440=0),"PASS","FAIL")</f>
        <v>PASS</v>
      </c>
      <c r="F1461" s="9" t="s">
        <v>76</v>
      </c>
      <c r="G1461" s="6"/>
      <c r="H1461" s="6"/>
      <c r="I1461" s="6"/>
      <c r="J1461" s="6"/>
      <c r="K1461" s="6"/>
      <c r="L1461" s="6"/>
      <c r="M1461" s="6"/>
      <c r="N1461" s="6"/>
      <c r="O1461" s="6"/>
      <c r="P1461" s="6"/>
      <c r="Q1461" s="6"/>
      <c r="R1461" s="6"/>
      <c r="S1461" s="6"/>
      <c r="T1461" s="6"/>
      <c r="U1461" s="6"/>
      <c r="V1461" s="6"/>
      <c r="W1461" s="6"/>
      <c r="X1461" s="6"/>
      <c r="Y1461" s="6"/>
      <c r="Z1461" s="6"/>
    </row>
    <row r="1462" customFormat="false" ht="15" hidden="false" customHeight="false" outlineLevel="0" collapsed="false">
      <c r="A1462" s="9" t="s">
        <v>7305</v>
      </c>
      <c r="B1462" s="9" t="s">
        <v>5870</v>
      </c>
      <c r="C1462" s="9" t="s">
        <v>1678</v>
      </c>
      <c r="D1462" s="9" t="s">
        <v>5871</v>
      </c>
      <c r="E1462" s="9" t="str">
        <f aca="false">IF(AND('Formation Ledger'!A1441&lt;&gt;"",'Formation Ledger'!V1441=0),"PASS","FAIL")</f>
        <v>PASS</v>
      </c>
      <c r="F1462" s="9" t="s">
        <v>76</v>
      </c>
      <c r="G1462" s="6"/>
      <c r="H1462" s="6"/>
      <c r="I1462" s="6"/>
      <c r="J1462" s="6"/>
      <c r="K1462" s="6"/>
      <c r="L1462" s="6"/>
      <c r="M1462" s="6"/>
      <c r="N1462" s="6"/>
      <c r="O1462" s="6"/>
      <c r="P1462" s="6"/>
      <c r="Q1462" s="6"/>
      <c r="R1462" s="6"/>
      <c r="S1462" s="6"/>
      <c r="T1462" s="6"/>
      <c r="U1462" s="6"/>
      <c r="V1462" s="6"/>
      <c r="W1462" s="6"/>
      <c r="X1462" s="6"/>
      <c r="Y1462" s="6"/>
      <c r="Z1462" s="6"/>
    </row>
    <row r="1463" customFormat="false" ht="15" hidden="false" customHeight="false" outlineLevel="0" collapsed="false">
      <c r="A1463" s="9" t="s">
        <v>7306</v>
      </c>
      <c r="B1463" s="9" t="s">
        <v>5870</v>
      </c>
      <c r="C1463" s="9" t="s">
        <v>1679</v>
      </c>
      <c r="D1463" s="9" t="s">
        <v>5871</v>
      </c>
      <c r="E1463" s="9" t="str">
        <f aca="false">IF(AND('Formation Ledger'!A1442&lt;&gt;"",'Formation Ledger'!V1442=0),"PASS","FAIL")</f>
        <v>PASS</v>
      </c>
      <c r="F1463" s="9" t="s">
        <v>76</v>
      </c>
      <c r="G1463" s="6"/>
      <c r="H1463" s="6"/>
      <c r="I1463" s="6"/>
      <c r="J1463" s="6"/>
      <c r="K1463" s="6"/>
      <c r="L1463" s="6"/>
      <c r="M1463" s="6"/>
      <c r="N1463" s="6"/>
      <c r="O1463" s="6"/>
      <c r="P1463" s="6"/>
      <c r="Q1463" s="6"/>
      <c r="R1463" s="6"/>
      <c r="S1463" s="6"/>
      <c r="T1463" s="6"/>
      <c r="U1463" s="6"/>
      <c r="V1463" s="6"/>
      <c r="W1463" s="6"/>
      <c r="X1463" s="6"/>
      <c r="Y1463" s="6"/>
      <c r="Z1463" s="6"/>
    </row>
    <row r="1464" customFormat="false" ht="15" hidden="false" customHeight="false" outlineLevel="0" collapsed="false">
      <c r="A1464" s="9" t="s">
        <v>7307</v>
      </c>
      <c r="B1464" s="9" t="s">
        <v>5870</v>
      </c>
      <c r="C1464" s="9" t="s">
        <v>1680</v>
      </c>
      <c r="D1464" s="9" t="s">
        <v>5871</v>
      </c>
      <c r="E1464" s="9" t="str">
        <f aca="false">IF(AND('Formation Ledger'!A1443&lt;&gt;"",'Formation Ledger'!V1443=0),"PASS","FAIL")</f>
        <v>PASS</v>
      </c>
      <c r="F1464" s="9" t="s">
        <v>76</v>
      </c>
      <c r="G1464" s="6"/>
      <c r="H1464" s="6"/>
      <c r="I1464" s="6"/>
      <c r="J1464" s="6"/>
      <c r="K1464" s="6"/>
      <c r="L1464" s="6"/>
      <c r="M1464" s="6"/>
      <c r="N1464" s="6"/>
      <c r="O1464" s="6"/>
      <c r="P1464" s="6"/>
      <c r="Q1464" s="6"/>
      <c r="R1464" s="6"/>
      <c r="S1464" s="6"/>
      <c r="T1464" s="6"/>
      <c r="U1464" s="6"/>
      <c r="V1464" s="6"/>
      <c r="W1464" s="6"/>
      <c r="X1464" s="6"/>
      <c r="Y1464" s="6"/>
      <c r="Z1464" s="6"/>
    </row>
    <row r="1465" customFormat="false" ht="15" hidden="false" customHeight="false" outlineLevel="0" collapsed="false">
      <c r="A1465" s="9" t="s">
        <v>7308</v>
      </c>
      <c r="B1465" s="9" t="s">
        <v>5870</v>
      </c>
      <c r="C1465" s="9" t="s">
        <v>1681</v>
      </c>
      <c r="D1465" s="9" t="s">
        <v>5871</v>
      </c>
      <c r="E1465" s="9" t="str">
        <f aca="false">IF(AND('Formation Ledger'!A1444&lt;&gt;"",'Formation Ledger'!V1444=0),"PASS","FAIL")</f>
        <v>PASS</v>
      </c>
      <c r="F1465" s="9" t="s">
        <v>76</v>
      </c>
      <c r="G1465" s="6"/>
      <c r="H1465" s="6"/>
      <c r="I1465" s="6"/>
      <c r="J1465" s="6"/>
      <c r="K1465" s="6"/>
      <c r="L1465" s="6"/>
      <c r="M1465" s="6"/>
      <c r="N1465" s="6"/>
      <c r="O1465" s="6"/>
      <c r="P1465" s="6"/>
      <c r="Q1465" s="6"/>
      <c r="R1465" s="6"/>
      <c r="S1465" s="6"/>
      <c r="T1465" s="6"/>
      <c r="U1465" s="6"/>
      <c r="V1465" s="6"/>
      <c r="W1465" s="6"/>
      <c r="X1465" s="6"/>
      <c r="Y1465" s="6"/>
      <c r="Z1465" s="6"/>
    </row>
    <row r="1466" customFormat="false" ht="15" hidden="false" customHeight="false" outlineLevel="0" collapsed="false">
      <c r="A1466" s="9" t="s">
        <v>7309</v>
      </c>
      <c r="B1466" s="9" t="s">
        <v>5870</v>
      </c>
      <c r="C1466" s="9" t="s">
        <v>1682</v>
      </c>
      <c r="D1466" s="9" t="s">
        <v>5871</v>
      </c>
      <c r="E1466" s="9" t="str">
        <f aca="false">IF(AND('Formation Ledger'!A1445&lt;&gt;"",'Formation Ledger'!V1445=0),"PASS","FAIL")</f>
        <v>PASS</v>
      </c>
      <c r="F1466" s="9" t="s">
        <v>76</v>
      </c>
      <c r="G1466" s="6"/>
      <c r="H1466" s="6"/>
      <c r="I1466" s="6"/>
      <c r="J1466" s="6"/>
      <c r="K1466" s="6"/>
      <c r="L1466" s="6"/>
      <c r="M1466" s="6"/>
      <c r="N1466" s="6"/>
      <c r="O1466" s="6"/>
      <c r="P1466" s="6"/>
      <c r="Q1466" s="6"/>
      <c r="R1466" s="6"/>
      <c r="S1466" s="6"/>
      <c r="T1466" s="6"/>
      <c r="U1466" s="6"/>
      <c r="V1466" s="6"/>
      <c r="W1466" s="6"/>
      <c r="X1466" s="6"/>
      <c r="Y1466" s="6"/>
      <c r="Z1466" s="6"/>
    </row>
    <row r="1467" customFormat="false" ht="15" hidden="false" customHeight="false" outlineLevel="0" collapsed="false">
      <c r="A1467" s="9" t="s">
        <v>7310</v>
      </c>
      <c r="B1467" s="9" t="s">
        <v>5870</v>
      </c>
      <c r="C1467" s="9" t="s">
        <v>1683</v>
      </c>
      <c r="D1467" s="9" t="s">
        <v>5871</v>
      </c>
      <c r="E1467" s="9" t="str">
        <f aca="false">IF(AND('Formation Ledger'!A1446&lt;&gt;"",'Formation Ledger'!V1446=0),"PASS","FAIL")</f>
        <v>PASS</v>
      </c>
      <c r="F1467" s="9" t="s">
        <v>76</v>
      </c>
      <c r="G1467" s="6"/>
      <c r="H1467" s="6"/>
      <c r="I1467" s="6"/>
      <c r="J1467" s="6"/>
      <c r="K1467" s="6"/>
      <c r="L1467" s="6"/>
      <c r="M1467" s="6"/>
      <c r="N1467" s="6"/>
      <c r="O1467" s="6"/>
      <c r="P1467" s="6"/>
      <c r="Q1467" s="6"/>
      <c r="R1467" s="6"/>
      <c r="S1467" s="6"/>
      <c r="T1467" s="6"/>
      <c r="U1467" s="6"/>
      <c r="V1467" s="6"/>
      <c r="W1467" s="6"/>
      <c r="X1467" s="6"/>
      <c r="Y1467" s="6"/>
      <c r="Z1467" s="6"/>
    </row>
    <row r="1468" customFormat="false" ht="15" hidden="false" customHeight="false" outlineLevel="0" collapsed="false">
      <c r="A1468" s="9" t="s">
        <v>7311</v>
      </c>
      <c r="B1468" s="9" t="s">
        <v>5870</v>
      </c>
      <c r="C1468" s="9" t="s">
        <v>1684</v>
      </c>
      <c r="D1468" s="9" t="s">
        <v>5871</v>
      </c>
      <c r="E1468" s="9" t="str">
        <f aca="false">IF(AND('Formation Ledger'!A1447&lt;&gt;"",'Formation Ledger'!V1447=0),"PASS","FAIL")</f>
        <v>PASS</v>
      </c>
      <c r="F1468" s="9" t="s">
        <v>76</v>
      </c>
      <c r="G1468" s="6"/>
      <c r="H1468" s="6"/>
      <c r="I1468" s="6"/>
      <c r="J1468" s="6"/>
      <c r="K1468" s="6"/>
      <c r="L1468" s="6"/>
      <c r="M1468" s="6"/>
      <c r="N1468" s="6"/>
      <c r="O1468" s="6"/>
      <c r="P1468" s="6"/>
      <c r="Q1468" s="6"/>
      <c r="R1468" s="6"/>
      <c r="S1468" s="6"/>
      <c r="T1468" s="6"/>
      <c r="U1468" s="6"/>
      <c r="V1468" s="6"/>
      <c r="W1468" s="6"/>
      <c r="X1468" s="6"/>
      <c r="Y1468" s="6"/>
      <c r="Z1468" s="6"/>
    </row>
    <row r="1469" customFormat="false" ht="15" hidden="false" customHeight="false" outlineLevel="0" collapsed="false">
      <c r="A1469" s="9" t="s">
        <v>7312</v>
      </c>
      <c r="B1469" s="9" t="s">
        <v>5870</v>
      </c>
      <c r="C1469" s="9" t="s">
        <v>1685</v>
      </c>
      <c r="D1469" s="9" t="s">
        <v>5871</v>
      </c>
      <c r="E1469" s="9" t="str">
        <f aca="false">IF(AND('Formation Ledger'!A1448&lt;&gt;"",'Formation Ledger'!V1448=0),"PASS","FAIL")</f>
        <v>PASS</v>
      </c>
      <c r="F1469" s="9" t="s">
        <v>76</v>
      </c>
      <c r="G1469" s="6"/>
      <c r="H1469" s="6"/>
      <c r="I1469" s="6"/>
      <c r="J1469" s="6"/>
      <c r="K1469" s="6"/>
      <c r="L1469" s="6"/>
      <c r="M1469" s="6"/>
      <c r="N1469" s="6"/>
      <c r="O1469" s="6"/>
      <c r="P1469" s="6"/>
      <c r="Q1469" s="6"/>
      <c r="R1469" s="6"/>
      <c r="S1469" s="6"/>
      <c r="T1469" s="6"/>
      <c r="U1469" s="6"/>
      <c r="V1469" s="6"/>
      <c r="W1469" s="6"/>
      <c r="X1469" s="6"/>
      <c r="Y1469" s="6"/>
      <c r="Z1469" s="6"/>
    </row>
    <row r="1470" customFormat="false" ht="15" hidden="false" customHeight="false" outlineLevel="0" collapsed="false">
      <c r="A1470" s="9" t="s">
        <v>7313</v>
      </c>
      <c r="B1470" s="9" t="s">
        <v>5870</v>
      </c>
      <c r="C1470" s="9" t="s">
        <v>1686</v>
      </c>
      <c r="D1470" s="9" t="s">
        <v>5871</v>
      </c>
      <c r="E1470" s="9" t="str">
        <f aca="false">IF(AND('Formation Ledger'!A1449&lt;&gt;"",'Formation Ledger'!V1449=0),"PASS","FAIL")</f>
        <v>PASS</v>
      </c>
      <c r="F1470" s="9" t="s">
        <v>76</v>
      </c>
      <c r="G1470" s="6"/>
      <c r="H1470" s="6"/>
      <c r="I1470" s="6"/>
      <c r="J1470" s="6"/>
      <c r="K1470" s="6"/>
      <c r="L1470" s="6"/>
      <c r="M1470" s="6"/>
      <c r="N1470" s="6"/>
      <c r="O1470" s="6"/>
      <c r="P1470" s="6"/>
      <c r="Q1470" s="6"/>
      <c r="R1470" s="6"/>
      <c r="S1470" s="6"/>
      <c r="T1470" s="6"/>
      <c r="U1470" s="6"/>
      <c r="V1470" s="6"/>
      <c r="W1470" s="6"/>
      <c r="X1470" s="6"/>
      <c r="Y1470" s="6"/>
      <c r="Z1470" s="6"/>
    </row>
    <row r="1471" customFormat="false" ht="15" hidden="false" customHeight="false" outlineLevel="0" collapsed="false">
      <c r="A1471" s="9" t="s">
        <v>7314</v>
      </c>
      <c r="B1471" s="9" t="s">
        <v>5870</v>
      </c>
      <c r="C1471" s="9" t="s">
        <v>1687</v>
      </c>
      <c r="D1471" s="9" t="s">
        <v>5871</v>
      </c>
      <c r="E1471" s="9" t="str">
        <f aca="false">IF(AND('Formation Ledger'!A1450&lt;&gt;"",'Formation Ledger'!V1450=0),"PASS","FAIL")</f>
        <v>PASS</v>
      </c>
      <c r="F1471" s="9" t="s">
        <v>76</v>
      </c>
      <c r="G1471" s="6"/>
      <c r="H1471" s="6"/>
      <c r="I1471" s="6"/>
      <c r="J1471" s="6"/>
      <c r="K1471" s="6"/>
      <c r="L1471" s="6"/>
      <c r="M1471" s="6"/>
      <c r="N1471" s="6"/>
      <c r="O1471" s="6"/>
      <c r="P1471" s="6"/>
      <c r="Q1471" s="6"/>
      <c r="R1471" s="6"/>
      <c r="S1471" s="6"/>
      <c r="T1471" s="6"/>
      <c r="U1471" s="6"/>
      <c r="V1471" s="6"/>
      <c r="W1471" s="6"/>
      <c r="X1471" s="6"/>
      <c r="Y1471" s="6"/>
      <c r="Z1471" s="6"/>
    </row>
    <row r="1472" customFormat="false" ht="15" hidden="false" customHeight="false" outlineLevel="0" collapsed="false">
      <c r="A1472" s="9" t="s">
        <v>7315</v>
      </c>
      <c r="B1472" s="9" t="s">
        <v>5870</v>
      </c>
      <c r="C1472" s="9" t="s">
        <v>1688</v>
      </c>
      <c r="D1472" s="9" t="s">
        <v>5871</v>
      </c>
      <c r="E1472" s="9" t="str">
        <f aca="false">IF(AND('Formation Ledger'!A1451&lt;&gt;"",'Formation Ledger'!V1451=0),"PASS","FAIL")</f>
        <v>PASS</v>
      </c>
      <c r="F1472" s="9" t="s">
        <v>76</v>
      </c>
      <c r="G1472" s="6"/>
      <c r="H1472" s="6"/>
      <c r="I1472" s="6"/>
      <c r="J1472" s="6"/>
      <c r="K1472" s="6"/>
      <c r="L1472" s="6"/>
      <c r="M1472" s="6"/>
      <c r="N1472" s="6"/>
      <c r="O1472" s="6"/>
      <c r="P1472" s="6"/>
      <c r="Q1472" s="6"/>
      <c r="R1472" s="6"/>
      <c r="S1472" s="6"/>
      <c r="T1472" s="6"/>
      <c r="U1472" s="6"/>
      <c r="V1472" s="6"/>
      <c r="W1472" s="6"/>
      <c r="X1472" s="6"/>
      <c r="Y1472" s="6"/>
      <c r="Z1472" s="6"/>
    </row>
    <row r="1473" customFormat="false" ht="15" hidden="false" customHeight="false" outlineLevel="0" collapsed="false">
      <c r="A1473" s="9" t="s">
        <v>7316</v>
      </c>
      <c r="B1473" s="9" t="s">
        <v>5870</v>
      </c>
      <c r="C1473" s="9" t="s">
        <v>1689</v>
      </c>
      <c r="D1473" s="9" t="s">
        <v>5871</v>
      </c>
      <c r="E1473" s="9" t="str">
        <f aca="false">IF(AND('Formation Ledger'!A1452&lt;&gt;"",'Formation Ledger'!V1452=0),"PASS","FAIL")</f>
        <v>PASS</v>
      </c>
      <c r="F1473" s="9" t="s">
        <v>76</v>
      </c>
      <c r="G1473" s="6"/>
      <c r="H1473" s="6"/>
      <c r="I1473" s="6"/>
      <c r="J1473" s="6"/>
      <c r="K1473" s="6"/>
      <c r="L1473" s="6"/>
      <c r="M1473" s="6"/>
      <c r="N1473" s="6"/>
      <c r="O1473" s="6"/>
      <c r="P1473" s="6"/>
      <c r="Q1473" s="6"/>
      <c r="R1473" s="6"/>
      <c r="S1473" s="6"/>
      <c r="T1473" s="6"/>
      <c r="U1473" s="6"/>
      <c r="V1473" s="6"/>
      <c r="W1473" s="6"/>
      <c r="X1473" s="6"/>
      <c r="Y1473" s="6"/>
      <c r="Z1473" s="6"/>
    </row>
    <row r="1474" customFormat="false" ht="15" hidden="false" customHeight="false" outlineLevel="0" collapsed="false">
      <c r="A1474" s="9" t="s">
        <v>7317</v>
      </c>
      <c r="B1474" s="9" t="s">
        <v>5870</v>
      </c>
      <c r="C1474" s="9" t="s">
        <v>1690</v>
      </c>
      <c r="D1474" s="9" t="s">
        <v>5871</v>
      </c>
      <c r="E1474" s="9" t="str">
        <f aca="false">IF(AND('Formation Ledger'!A1453&lt;&gt;"",'Formation Ledger'!V1453=0),"PASS","FAIL")</f>
        <v>PASS</v>
      </c>
      <c r="F1474" s="9" t="s">
        <v>76</v>
      </c>
      <c r="G1474" s="6"/>
      <c r="H1474" s="6"/>
      <c r="I1474" s="6"/>
      <c r="J1474" s="6"/>
      <c r="K1474" s="6"/>
      <c r="L1474" s="6"/>
      <c r="M1474" s="6"/>
      <c r="N1474" s="6"/>
      <c r="O1474" s="6"/>
      <c r="P1474" s="6"/>
      <c r="Q1474" s="6"/>
      <c r="R1474" s="6"/>
      <c r="S1474" s="6"/>
      <c r="T1474" s="6"/>
      <c r="U1474" s="6"/>
      <c r="V1474" s="6"/>
      <c r="W1474" s="6"/>
      <c r="X1474" s="6"/>
      <c r="Y1474" s="6"/>
      <c r="Z1474" s="6"/>
    </row>
    <row r="1475" customFormat="false" ht="15" hidden="false" customHeight="false" outlineLevel="0" collapsed="false">
      <c r="A1475" s="9" t="s">
        <v>7318</v>
      </c>
      <c r="B1475" s="9" t="s">
        <v>5870</v>
      </c>
      <c r="C1475" s="9" t="s">
        <v>1691</v>
      </c>
      <c r="D1475" s="9" t="s">
        <v>5871</v>
      </c>
      <c r="E1475" s="9" t="str">
        <f aca="false">IF(AND('Formation Ledger'!A1454&lt;&gt;"",'Formation Ledger'!V1454=0),"PASS","FAIL")</f>
        <v>PASS</v>
      </c>
      <c r="F1475" s="9" t="s">
        <v>76</v>
      </c>
      <c r="G1475" s="6"/>
      <c r="H1475" s="6"/>
      <c r="I1475" s="6"/>
      <c r="J1475" s="6"/>
      <c r="K1475" s="6"/>
      <c r="L1475" s="6"/>
      <c r="M1475" s="6"/>
      <c r="N1475" s="6"/>
      <c r="O1475" s="6"/>
      <c r="P1475" s="6"/>
      <c r="Q1475" s="6"/>
      <c r="R1475" s="6"/>
      <c r="S1475" s="6"/>
      <c r="T1475" s="6"/>
      <c r="U1475" s="6"/>
      <c r="V1475" s="6"/>
      <c r="W1475" s="6"/>
      <c r="X1475" s="6"/>
      <c r="Y1475" s="6"/>
      <c r="Z1475" s="6"/>
    </row>
    <row r="1476" customFormat="false" ht="15" hidden="false" customHeight="false" outlineLevel="0" collapsed="false">
      <c r="A1476" s="9" t="s">
        <v>7319</v>
      </c>
      <c r="B1476" s="9" t="s">
        <v>5870</v>
      </c>
      <c r="C1476" s="9" t="s">
        <v>1692</v>
      </c>
      <c r="D1476" s="9" t="s">
        <v>5871</v>
      </c>
      <c r="E1476" s="9" t="str">
        <f aca="false">IF(AND('Formation Ledger'!A1455&lt;&gt;"",'Formation Ledger'!V1455=0),"PASS","FAIL")</f>
        <v>PASS</v>
      </c>
      <c r="F1476" s="9" t="s">
        <v>76</v>
      </c>
      <c r="G1476" s="6"/>
      <c r="H1476" s="6"/>
      <c r="I1476" s="6"/>
      <c r="J1476" s="6"/>
      <c r="K1476" s="6"/>
      <c r="L1476" s="6"/>
      <c r="M1476" s="6"/>
      <c r="N1476" s="6"/>
      <c r="O1476" s="6"/>
      <c r="P1476" s="6"/>
      <c r="Q1476" s="6"/>
      <c r="R1476" s="6"/>
      <c r="S1476" s="6"/>
      <c r="T1476" s="6"/>
      <c r="U1476" s="6"/>
      <c r="V1476" s="6"/>
      <c r="W1476" s="6"/>
      <c r="X1476" s="6"/>
      <c r="Y1476" s="6"/>
      <c r="Z1476" s="6"/>
    </row>
    <row r="1477" customFormat="false" ht="15" hidden="false" customHeight="false" outlineLevel="0" collapsed="false">
      <c r="A1477" s="9" t="s">
        <v>7320</v>
      </c>
      <c r="B1477" s="9" t="s">
        <v>5870</v>
      </c>
      <c r="C1477" s="9" t="s">
        <v>1693</v>
      </c>
      <c r="D1477" s="9" t="s">
        <v>5871</v>
      </c>
      <c r="E1477" s="9" t="str">
        <f aca="false">IF(AND('Formation Ledger'!A1456&lt;&gt;"",'Formation Ledger'!V1456=0),"PASS","FAIL")</f>
        <v>PASS</v>
      </c>
      <c r="F1477" s="9" t="s">
        <v>76</v>
      </c>
      <c r="G1477" s="6"/>
      <c r="H1477" s="6"/>
      <c r="I1477" s="6"/>
      <c r="J1477" s="6"/>
      <c r="K1477" s="6"/>
      <c r="L1477" s="6"/>
      <c r="M1477" s="6"/>
      <c r="N1477" s="6"/>
      <c r="O1477" s="6"/>
      <c r="P1477" s="6"/>
      <c r="Q1477" s="6"/>
      <c r="R1477" s="6"/>
      <c r="S1477" s="6"/>
      <c r="T1477" s="6"/>
      <c r="U1477" s="6"/>
      <c r="V1477" s="6"/>
      <c r="W1477" s="6"/>
      <c r="X1477" s="6"/>
      <c r="Y1477" s="6"/>
      <c r="Z1477" s="6"/>
    </row>
    <row r="1478" customFormat="false" ht="15" hidden="false" customHeight="false" outlineLevel="0" collapsed="false">
      <c r="A1478" s="9" t="s">
        <v>7321</v>
      </c>
      <c r="B1478" s="9" t="s">
        <v>5870</v>
      </c>
      <c r="C1478" s="9" t="s">
        <v>1694</v>
      </c>
      <c r="D1478" s="9" t="s">
        <v>5871</v>
      </c>
      <c r="E1478" s="9" t="str">
        <f aca="false">IF(AND('Formation Ledger'!A1457&lt;&gt;"",'Formation Ledger'!V1457=0),"PASS","FAIL")</f>
        <v>PASS</v>
      </c>
      <c r="F1478" s="9" t="s">
        <v>76</v>
      </c>
      <c r="G1478" s="6"/>
      <c r="H1478" s="6"/>
      <c r="I1478" s="6"/>
      <c r="J1478" s="6"/>
      <c r="K1478" s="6"/>
      <c r="L1478" s="6"/>
      <c r="M1478" s="6"/>
      <c r="N1478" s="6"/>
      <c r="O1478" s="6"/>
      <c r="P1478" s="6"/>
      <c r="Q1478" s="6"/>
      <c r="R1478" s="6"/>
      <c r="S1478" s="6"/>
      <c r="T1478" s="6"/>
      <c r="U1478" s="6"/>
      <c r="V1478" s="6"/>
      <c r="W1478" s="6"/>
      <c r="X1478" s="6"/>
      <c r="Y1478" s="6"/>
      <c r="Z1478" s="6"/>
    </row>
    <row r="1479" customFormat="false" ht="15" hidden="false" customHeight="false" outlineLevel="0" collapsed="false">
      <c r="A1479" s="9" t="s">
        <v>7322</v>
      </c>
      <c r="B1479" s="9" t="s">
        <v>5870</v>
      </c>
      <c r="C1479" s="9" t="s">
        <v>1695</v>
      </c>
      <c r="D1479" s="9" t="s">
        <v>5871</v>
      </c>
      <c r="E1479" s="9" t="str">
        <f aca="false">IF(AND('Formation Ledger'!A1458&lt;&gt;"",'Formation Ledger'!V1458=0),"PASS","FAIL")</f>
        <v>PASS</v>
      </c>
      <c r="F1479" s="9" t="s">
        <v>76</v>
      </c>
      <c r="G1479" s="6"/>
      <c r="H1479" s="6"/>
      <c r="I1479" s="6"/>
      <c r="J1479" s="6"/>
      <c r="K1479" s="6"/>
      <c r="L1479" s="6"/>
      <c r="M1479" s="6"/>
      <c r="N1479" s="6"/>
      <c r="O1479" s="6"/>
      <c r="P1479" s="6"/>
      <c r="Q1479" s="6"/>
      <c r="R1479" s="6"/>
      <c r="S1479" s="6"/>
      <c r="T1479" s="6"/>
      <c r="U1479" s="6"/>
      <c r="V1479" s="6"/>
      <c r="W1479" s="6"/>
      <c r="X1479" s="6"/>
      <c r="Y1479" s="6"/>
      <c r="Z1479" s="6"/>
    </row>
    <row r="1480" customFormat="false" ht="15" hidden="false" customHeight="false" outlineLevel="0" collapsed="false">
      <c r="A1480" s="9" t="s">
        <v>7323</v>
      </c>
      <c r="B1480" s="9" t="s">
        <v>5870</v>
      </c>
      <c r="C1480" s="9" t="s">
        <v>1696</v>
      </c>
      <c r="D1480" s="9" t="s">
        <v>5871</v>
      </c>
      <c r="E1480" s="9" t="str">
        <f aca="false">IF(AND('Formation Ledger'!A1459&lt;&gt;"",'Formation Ledger'!V1459=0),"PASS","FAIL")</f>
        <v>PASS</v>
      </c>
      <c r="F1480" s="9" t="s">
        <v>76</v>
      </c>
      <c r="G1480" s="6"/>
      <c r="H1480" s="6"/>
      <c r="I1480" s="6"/>
      <c r="J1480" s="6"/>
      <c r="K1480" s="6"/>
      <c r="L1480" s="6"/>
      <c r="M1480" s="6"/>
      <c r="N1480" s="6"/>
      <c r="O1480" s="6"/>
      <c r="P1480" s="6"/>
      <c r="Q1480" s="6"/>
      <c r="R1480" s="6"/>
      <c r="S1480" s="6"/>
      <c r="T1480" s="6"/>
      <c r="U1480" s="6"/>
      <c r="V1480" s="6"/>
      <c r="W1480" s="6"/>
      <c r="X1480" s="6"/>
      <c r="Y1480" s="6"/>
      <c r="Z1480" s="6"/>
    </row>
    <row r="1481" customFormat="false" ht="15" hidden="false" customHeight="false" outlineLevel="0" collapsed="false">
      <c r="A1481" s="9" t="s">
        <v>7324</v>
      </c>
      <c r="B1481" s="9" t="s">
        <v>5870</v>
      </c>
      <c r="C1481" s="9" t="s">
        <v>1697</v>
      </c>
      <c r="D1481" s="9" t="s">
        <v>5871</v>
      </c>
      <c r="E1481" s="9" t="str">
        <f aca="false">IF(AND('Formation Ledger'!A1460&lt;&gt;"",'Formation Ledger'!V1460=0),"PASS","FAIL")</f>
        <v>PASS</v>
      </c>
      <c r="F1481" s="9" t="s">
        <v>76</v>
      </c>
      <c r="G1481" s="6"/>
      <c r="H1481" s="6"/>
      <c r="I1481" s="6"/>
      <c r="J1481" s="6"/>
      <c r="K1481" s="6"/>
      <c r="L1481" s="6"/>
      <c r="M1481" s="6"/>
      <c r="N1481" s="6"/>
      <c r="O1481" s="6"/>
      <c r="P1481" s="6"/>
      <c r="Q1481" s="6"/>
      <c r="R1481" s="6"/>
      <c r="S1481" s="6"/>
      <c r="T1481" s="6"/>
      <c r="U1481" s="6"/>
      <c r="V1481" s="6"/>
      <c r="W1481" s="6"/>
      <c r="X1481" s="6"/>
      <c r="Y1481" s="6"/>
      <c r="Z1481" s="6"/>
    </row>
    <row r="1482" customFormat="false" ht="15" hidden="false" customHeight="false" outlineLevel="0" collapsed="false">
      <c r="A1482" s="9" t="s">
        <v>7325</v>
      </c>
      <c r="B1482" s="9" t="s">
        <v>5870</v>
      </c>
      <c r="C1482" s="9" t="s">
        <v>1698</v>
      </c>
      <c r="D1482" s="9" t="s">
        <v>5871</v>
      </c>
      <c r="E1482" s="9" t="str">
        <f aca="false">IF(AND('Formation Ledger'!A1461&lt;&gt;"",'Formation Ledger'!V1461=0),"PASS","FAIL")</f>
        <v>PASS</v>
      </c>
      <c r="F1482" s="9" t="s">
        <v>76</v>
      </c>
      <c r="G1482" s="6"/>
      <c r="H1482" s="6"/>
      <c r="I1482" s="6"/>
      <c r="J1482" s="6"/>
      <c r="K1482" s="6"/>
      <c r="L1482" s="6"/>
      <c r="M1482" s="6"/>
      <c r="N1482" s="6"/>
      <c r="O1482" s="6"/>
      <c r="P1482" s="6"/>
      <c r="Q1482" s="6"/>
      <c r="R1482" s="6"/>
      <c r="S1482" s="6"/>
      <c r="T1482" s="6"/>
      <c r="U1482" s="6"/>
      <c r="V1482" s="6"/>
      <c r="W1482" s="6"/>
      <c r="X1482" s="6"/>
      <c r="Y1482" s="6"/>
      <c r="Z1482" s="6"/>
    </row>
    <row r="1483" customFormat="false" ht="15" hidden="false" customHeight="false" outlineLevel="0" collapsed="false">
      <c r="A1483" s="9" t="s">
        <v>7326</v>
      </c>
      <c r="B1483" s="9" t="s">
        <v>5870</v>
      </c>
      <c r="C1483" s="9" t="s">
        <v>1699</v>
      </c>
      <c r="D1483" s="9" t="s">
        <v>5871</v>
      </c>
      <c r="E1483" s="9" t="str">
        <f aca="false">IF(AND('Formation Ledger'!A1462&lt;&gt;"",'Formation Ledger'!V1462=0),"PASS","FAIL")</f>
        <v>PASS</v>
      </c>
      <c r="F1483" s="9" t="s">
        <v>76</v>
      </c>
      <c r="G1483" s="6"/>
      <c r="H1483" s="6"/>
      <c r="I1483" s="6"/>
      <c r="J1483" s="6"/>
      <c r="K1483" s="6"/>
      <c r="L1483" s="6"/>
      <c r="M1483" s="6"/>
      <c r="N1483" s="6"/>
      <c r="O1483" s="6"/>
      <c r="P1483" s="6"/>
      <c r="Q1483" s="6"/>
      <c r="R1483" s="6"/>
      <c r="S1483" s="6"/>
      <c r="T1483" s="6"/>
      <c r="U1483" s="6"/>
      <c r="V1483" s="6"/>
      <c r="W1483" s="6"/>
      <c r="X1483" s="6"/>
      <c r="Y1483" s="6"/>
      <c r="Z1483" s="6"/>
    </row>
    <row r="1484" customFormat="false" ht="15" hidden="false" customHeight="false" outlineLevel="0" collapsed="false">
      <c r="A1484" s="9" t="s">
        <v>7327</v>
      </c>
      <c r="B1484" s="9" t="s">
        <v>5870</v>
      </c>
      <c r="C1484" s="9" t="s">
        <v>1700</v>
      </c>
      <c r="D1484" s="9" t="s">
        <v>5871</v>
      </c>
      <c r="E1484" s="9" t="str">
        <f aca="false">IF(AND('Formation Ledger'!A1463&lt;&gt;"",'Formation Ledger'!V1463=0),"PASS","FAIL")</f>
        <v>PASS</v>
      </c>
      <c r="F1484" s="9" t="s">
        <v>76</v>
      </c>
      <c r="G1484" s="6"/>
      <c r="H1484" s="6"/>
      <c r="I1484" s="6"/>
      <c r="J1484" s="6"/>
      <c r="K1484" s="6"/>
      <c r="L1484" s="6"/>
      <c r="M1484" s="6"/>
      <c r="N1484" s="6"/>
      <c r="O1484" s="6"/>
      <c r="P1484" s="6"/>
      <c r="Q1484" s="6"/>
      <c r="R1484" s="6"/>
      <c r="S1484" s="6"/>
      <c r="T1484" s="6"/>
      <c r="U1484" s="6"/>
      <c r="V1484" s="6"/>
      <c r="W1484" s="6"/>
      <c r="X1484" s="6"/>
      <c r="Y1484" s="6"/>
      <c r="Z1484" s="6"/>
    </row>
    <row r="1485" customFormat="false" ht="15" hidden="false" customHeight="false" outlineLevel="0" collapsed="false">
      <c r="A1485" s="9" t="s">
        <v>7328</v>
      </c>
      <c r="B1485" s="9" t="s">
        <v>5870</v>
      </c>
      <c r="C1485" s="9" t="s">
        <v>1701</v>
      </c>
      <c r="D1485" s="9" t="s">
        <v>5871</v>
      </c>
      <c r="E1485" s="9" t="str">
        <f aca="false">IF(AND('Formation Ledger'!A1464&lt;&gt;"",'Formation Ledger'!V1464=0),"PASS","FAIL")</f>
        <v>PASS</v>
      </c>
      <c r="F1485" s="9" t="s">
        <v>76</v>
      </c>
      <c r="G1485" s="6"/>
      <c r="H1485" s="6"/>
      <c r="I1485" s="6"/>
      <c r="J1485" s="6"/>
      <c r="K1485" s="6"/>
      <c r="L1485" s="6"/>
      <c r="M1485" s="6"/>
      <c r="N1485" s="6"/>
      <c r="O1485" s="6"/>
      <c r="P1485" s="6"/>
      <c r="Q1485" s="6"/>
      <c r="R1485" s="6"/>
      <c r="S1485" s="6"/>
      <c r="T1485" s="6"/>
      <c r="U1485" s="6"/>
      <c r="V1485" s="6"/>
      <c r="W1485" s="6"/>
      <c r="X1485" s="6"/>
      <c r="Y1485" s="6"/>
      <c r="Z1485" s="6"/>
    </row>
    <row r="1486" customFormat="false" ht="15" hidden="false" customHeight="false" outlineLevel="0" collapsed="false">
      <c r="A1486" s="9" t="s">
        <v>7329</v>
      </c>
      <c r="B1486" s="9" t="s">
        <v>5870</v>
      </c>
      <c r="C1486" s="9" t="s">
        <v>1702</v>
      </c>
      <c r="D1486" s="9" t="s">
        <v>5871</v>
      </c>
      <c r="E1486" s="9" t="str">
        <f aca="false">IF(AND('Formation Ledger'!A1465&lt;&gt;"",'Formation Ledger'!V1465=0),"PASS","FAIL")</f>
        <v>PASS</v>
      </c>
      <c r="F1486" s="9" t="s">
        <v>76</v>
      </c>
      <c r="G1486" s="6"/>
      <c r="H1486" s="6"/>
      <c r="I1486" s="6"/>
      <c r="J1486" s="6"/>
      <c r="K1486" s="6"/>
      <c r="L1486" s="6"/>
      <c r="M1486" s="6"/>
      <c r="N1486" s="6"/>
      <c r="O1486" s="6"/>
      <c r="P1486" s="6"/>
      <c r="Q1486" s="6"/>
      <c r="R1486" s="6"/>
      <c r="S1486" s="6"/>
      <c r="T1486" s="6"/>
      <c r="U1486" s="6"/>
      <c r="V1486" s="6"/>
      <c r="W1486" s="6"/>
      <c r="X1486" s="6"/>
      <c r="Y1486" s="6"/>
      <c r="Z1486" s="6"/>
    </row>
    <row r="1487" customFormat="false" ht="15" hidden="false" customHeight="false" outlineLevel="0" collapsed="false">
      <c r="A1487" s="9" t="s">
        <v>7330</v>
      </c>
      <c r="B1487" s="9" t="s">
        <v>5870</v>
      </c>
      <c r="C1487" s="9" t="s">
        <v>1703</v>
      </c>
      <c r="D1487" s="9" t="s">
        <v>5871</v>
      </c>
      <c r="E1487" s="9" t="str">
        <f aca="false">IF(AND('Formation Ledger'!A1466&lt;&gt;"",'Formation Ledger'!V1466=0),"PASS","FAIL")</f>
        <v>PASS</v>
      </c>
      <c r="F1487" s="9" t="s">
        <v>76</v>
      </c>
      <c r="G1487" s="6"/>
      <c r="H1487" s="6"/>
      <c r="I1487" s="6"/>
      <c r="J1487" s="6"/>
      <c r="K1487" s="6"/>
      <c r="L1487" s="6"/>
      <c r="M1487" s="6"/>
      <c r="N1487" s="6"/>
      <c r="O1487" s="6"/>
      <c r="P1487" s="6"/>
      <c r="Q1487" s="6"/>
      <c r="R1487" s="6"/>
      <c r="S1487" s="6"/>
      <c r="T1487" s="6"/>
      <c r="U1487" s="6"/>
      <c r="V1487" s="6"/>
      <c r="W1487" s="6"/>
      <c r="X1487" s="6"/>
      <c r="Y1487" s="6"/>
      <c r="Z1487" s="6"/>
    </row>
    <row r="1488" customFormat="false" ht="15" hidden="false" customHeight="false" outlineLevel="0" collapsed="false">
      <c r="A1488" s="9" t="s">
        <v>7331</v>
      </c>
      <c r="B1488" s="9" t="s">
        <v>5870</v>
      </c>
      <c r="C1488" s="9" t="s">
        <v>1704</v>
      </c>
      <c r="D1488" s="9" t="s">
        <v>5871</v>
      </c>
      <c r="E1488" s="9" t="str">
        <f aca="false">IF(AND('Formation Ledger'!A1467&lt;&gt;"",'Formation Ledger'!V1467=0),"PASS","FAIL")</f>
        <v>PASS</v>
      </c>
      <c r="F1488" s="9" t="s">
        <v>76</v>
      </c>
      <c r="G1488" s="6"/>
      <c r="H1488" s="6"/>
      <c r="I1488" s="6"/>
      <c r="J1488" s="6"/>
      <c r="K1488" s="6"/>
      <c r="L1488" s="6"/>
      <c r="M1488" s="6"/>
      <c r="N1488" s="6"/>
      <c r="O1488" s="6"/>
      <c r="P1488" s="6"/>
      <c r="Q1488" s="6"/>
      <c r="R1488" s="6"/>
      <c r="S1488" s="6"/>
      <c r="T1488" s="6"/>
      <c r="U1488" s="6"/>
      <c r="V1488" s="6"/>
      <c r="W1488" s="6"/>
      <c r="X1488" s="6"/>
      <c r="Y1488" s="6"/>
      <c r="Z1488" s="6"/>
    </row>
    <row r="1489" customFormat="false" ht="15" hidden="false" customHeight="false" outlineLevel="0" collapsed="false">
      <c r="A1489" s="9" t="s">
        <v>7332</v>
      </c>
      <c r="B1489" s="9" t="s">
        <v>5870</v>
      </c>
      <c r="C1489" s="9" t="s">
        <v>1705</v>
      </c>
      <c r="D1489" s="9" t="s">
        <v>5871</v>
      </c>
      <c r="E1489" s="9" t="str">
        <f aca="false">IF(AND('Formation Ledger'!A1468&lt;&gt;"",'Formation Ledger'!V1468=0),"PASS","FAIL")</f>
        <v>PASS</v>
      </c>
      <c r="F1489" s="9" t="s">
        <v>76</v>
      </c>
      <c r="G1489" s="6"/>
      <c r="H1489" s="6"/>
      <c r="I1489" s="6"/>
      <c r="J1489" s="6"/>
      <c r="K1489" s="6"/>
      <c r="L1489" s="6"/>
      <c r="M1489" s="6"/>
      <c r="N1489" s="6"/>
      <c r="O1489" s="6"/>
      <c r="P1489" s="6"/>
      <c r="Q1489" s="6"/>
      <c r="R1489" s="6"/>
      <c r="S1489" s="6"/>
      <c r="T1489" s="6"/>
      <c r="U1489" s="6"/>
      <c r="V1489" s="6"/>
      <c r="W1489" s="6"/>
      <c r="X1489" s="6"/>
      <c r="Y1489" s="6"/>
      <c r="Z1489" s="6"/>
    </row>
    <row r="1490" customFormat="false" ht="15" hidden="false" customHeight="false" outlineLevel="0" collapsed="false">
      <c r="A1490" s="9" t="s">
        <v>7333</v>
      </c>
      <c r="B1490" s="9" t="s">
        <v>5870</v>
      </c>
      <c r="C1490" s="9" t="s">
        <v>1706</v>
      </c>
      <c r="D1490" s="9" t="s">
        <v>5871</v>
      </c>
      <c r="E1490" s="9" t="str">
        <f aca="false">IF(AND('Formation Ledger'!A1469&lt;&gt;"",'Formation Ledger'!V1469=0),"PASS","FAIL")</f>
        <v>PASS</v>
      </c>
      <c r="F1490" s="9" t="s">
        <v>76</v>
      </c>
      <c r="G1490" s="6"/>
      <c r="H1490" s="6"/>
      <c r="I1490" s="6"/>
      <c r="J1490" s="6"/>
      <c r="K1490" s="6"/>
      <c r="L1490" s="6"/>
      <c r="M1490" s="6"/>
      <c r="N1490" s="6"/>
      <c r="O1490" s="6"/>
      <c r="P1490" s="6"/>
      <c r="Q1490" s="6"/>
      <c r="R1490" s="6"/>
      <c r="S1490" s="6"/>
      <c r="T1490" s="6"/>
      <c r="U1490" s="6"/>
      <c r="V1490" s="6"/>
      <c r="W1490" s="6"/>
      <c r="X1490" s="6"/>
      <c r="Y1490" s="6"/>
      <c r="Z1490" s="6"/>
    </row>
    <row r="1491" customFormat="false" ht="15" hidden="false" customHeight="false" outlineLevel="0" collapsed="false">
      <c r="A1491" s="9" t="s">
        <v>7334</v>
      </c>
      <c r="B1491" s="9" t="s">
        <v>5870</v>
      </c>
      <c r="C1491" s="9" t="s">
        <v>1707</v>
      </c>
      <c r="D1491" s="9" t="s">
        <v>5871</v>
      </c>
      <c r="E1491" s="9" t="str">
        <f aca="false">IF(AND('Formation Ledger'!A1470&lt;&gt;"",'Formation Ledger'!V1470=0),"PASS","FAIL")</f>
        <v>PASS</v>
      </c>
      <c r="F1491" s="9" t="s">
        <v>76</v>
      </c>
      <c r="G1491" s="6"/>
      <c r="H1491" s="6"/>
      <c r="I1491" s="6"/>
      <c r="J1491" s="6"/>
      <c r="K1491" s="6"/>
      <c r="L1491" s="6"/>
      <c r="M1491" s="6"/>
      <c r="N1491" s="6"/>
      <c r="O1491" s="6"/>
      <c r="P1491" s="6"/>
      <c r="Q1491" s="6"/>
      <c r="R1491" s="6"/>
      <c r="S1491" s="6"/>
      <c r="T1491" s="6"/>
      <c r="U1491" s="6"/>
      <c r="V1491" s="6"/>
      <c r="W1491" s="6"/>
      <c r="X1491" s="6"/>
      <c r="Y1491" s="6"/>
      <c r="Z1491" s="6"/>
    </row>
    <row r="1492" customFormat="false" ht="15" hidden="false" customHeight="false" outlineLevel="0" collapsed="false">
      <c r="A1492" s="9" t="s">
        <v>7335</v>
      </c>
      <c r="B1492" s="9" t="s">
        <v>5870</v>
      </c>
      <c r="C1492" s="9" t="s">
        <v>1708</v>
      </c>
      <c r="D1492" s="9" t="s">
        <v>5871</v>
      </c>
      <c r="E1492" s="9" t="str">
        <f aca="false">IF(AND('Formation Ledger'!A1471&lt;&gt;"",'Formation Ledger'!V1471=0),"PASS","FAIL")</f>
        <v>PASS</v>
      </c>
      <c r="F1492" s="9" t="s">
        <v>76</v>
      </c>
      <c r="G1492" s="6"/>
      <c r="H1492" s="6"/>
      <c r="I1492" s="6"/>
      <c r="J1492" s="6"/>
      <c r="K1492" s="6"/>
      <c r="L1492" s="6"/>
      <c r="M1492" s="6"/>
      <c r="N1492" s="6"/>
      <c r="O1492" s="6"/>
      <c r="P1492" s="6"/>
      <c r="Q1492" s="6"/>
      <c r="R1492" s="6"/>
      <c r="S1492" s="6"/>
      <c r="T1492" s="6"/>
      <c r="U1492" s="6"/>
      <c r="V1492" s="6"/>
      <c r="W1492" s="6"/>
      <c r="X1492" s="6"/>
      <c r="Y1492" s="6"/>
      <c r="Z1492" s="6"/>
    </row>
    <row r="1493" customFormat="false" ht="15" hidden="false" customHeight="false" outlineLevel="0" collapsed="false">
      <c r="A1493" s="9" t="s">
        <v>7336</v>
      </c>
      <c r="B1493" s="9" t="s">
        <v>5870</v>
      </c>
      <c r="C1493" s="9" t="s">
        <v>1709</v>
      </c>
      <c r="D1493" s="9" t="s">
        <v>5871</v>
      </c>
      <c r="E1493" s="9" t="str">
        <f aca="false">IF(AND('Formation Ledger'!A1472&lt;&gt;"",'Formation Ledger'!V1472=0),"PASS","FAIL")</f>
        <v>PASS</v>
      </c>
      <c r="F1493" s="9" t="s">
        <v>76</v>
      </c>
      <c r="G1493" s="6"/>
      <c r="H1493" s="6"/>
      <c r="I1493" s="6"/>
      <c r="J1493" s="6"/>
      <c r="K1493" s="6"/>
      <c r="L1493" s="6"/>
      <c r="M1493" s="6"/>
      <c r="N1493" s="6"/>
      <c r="O1493" s="6"/>
      <c r="P1493" s="6"/>
      <c r="Q1493" s="6"/>
      <c r="R1493" s="6"/>
      <c r="S1493" s="6"/>
      <c r="T1493" s="6"/>
      <c r="U1493" s="6"/>
      <c r="V1493" s="6"/>
      <c r="W1493" s="6"/>
      <c r="X1493" s="6"/>
      <c r="Y1493" s="6"/>
      <c r="Z1493" s="6"/>
    </row>
    <row r="1494" customFormat="false" ht="15" hidden="false" customHeight="false" outlineLevel="0" collapsed="false">
      <c r="A1494" s="9" t="s">
        <v>7337</v>
      </c>
      <c r="B1494" s="9" t="s">
        <v>5870</v>
      </c>
      <c r="C1494" s="9" t="s">
        <v>1710</v>
      </c>
      <c r="D1494" s="9" t="s">
        <v>5871</v>
      </c>
      <c r="E1494" s="9" t="str">
        <f aca="false">IF(AND('Formation Ledger'!A1473&lt;&gt;"",'Formation Ledger'!V1473=0),"PASS","FAIL")</f>
        <v>PASS</v>
      </c>
      <c r="F1494" s="9" t="s">
        <v>76</v>
      </c>
      <c r="G1494" s="6"/>
      <c r="H1494" s="6"/>
      <c r="I1494" s="6"/>
      <c r="J1494" s="6"/>
      <c r="K1494" s="6"/>
      <c r="L1494" s="6"/>
      <c r="M1494" s="6"/>
      <c r="N1494" s="6"/>
      <c r="O1494" s="6"/>
      <c r="P1494" s="6"/>
      <c r="Q1494" s="6"/>
      <c r="R1494" s="6"/>
      <c r="S1494" s="6"/>
      <c r="T1494" s="6"/>
      <c r="U1494" s="6"/>
      <c r="V1494" s="6"/>
      <c r="W1494" s="6"/>
      <c r="X1494" s="6"/>
      <c r="Y1494" s="6"/>
      <c r="Z1494" s="6"/>
    </row>
    <row r="1495" customFormat="false" ht="15" hidden="false" customHeight="false" outlineLevel="0" collapsed="false">
      <c r="A1495" s="9" t="s">
        <v>7338</v>
      </c>
      <c r="B1495" s="9" t="s">
        <v>5870</v>
      </c>
      <c r="C1495" s="9" t="s">
        <v>1711</v>
      </c>
      <c r="D1495" s="9" t="s">
        <v>5871</v>
      </c>
      <c r="E1495" s="9" t="str">
        <f aca="false">IF(AND('Formation Ledger'!A1474&lt;&gt;"",'Formation Ledger'!V1474=0),"PASS","FAIL")</f>
        <v>PASS</v>
      </c>
      <c r="F1495" s="9" t="s">
        <v>76</v>
      </c>
      <c r="G1495" s="6"/>
      <c r="H1495" s="6"/>
      <c r="I1495" s="6"/>
      <c r="J1495" s="6"/>
      <c r="K1495" s="6"/>
      <c r="L1495" s="6"/>
      <c r="M1495" s="6"/>
      <c r="N1495" s="6"/>
      <c r="O1495" s="6"/>
      <c r="P1495" s="6"/>
      <c r="Q1495" s="6"/>
      <c r="R1495" s="6"/>
      <c r="S1495" s="6"/>
      <c r="T1495" s="6"/>
      <c r="U1495" s="6"/>
      <c r="V1495" s="6"/>
      <c r="W1495" s="6"/>
      <c r="X1495" s="6"/>
      <c r="Y1495" s="6"/>
      <c r="Z1495" s="6"/>
    </row>
    <row r="1496" customFormat="false" ht="15" hidden="false" customHeight="false" outlineLevel="0" collapsed="false">
      <c r="A1496" s="9" t="s">
        <v>7339</v>
      </c>
      <c r="B1496" s="9" t="s">
        <v>5870</v>
      </c>
      <c r="C1496" s="9" t="s">
        <v>1712</v>
      </c>
      <c r="D1496" s="9" t="s">
        <v>5871</v>
      </c>
      <c r="E1496" s="9" t="str">
        <f aca="false">IF(AND('Formation Ledger'!A1475&lt;&gt;"",'Formation Ledger'!V1475=0),"PASS","FAIL")</f>
        <v>PASS</v>
      </c>
      <c r="F1496" s="9" t="s">
        <v>76</v>
      </c>
      <c r="G1496" s="6"/>
      <c r="H1496" s="6"/>
      <c r="I1496" s="6"/>
      <c r="J1496" s="6"/>
      <c r="K1496" s="6"/>
      <c r="L1496" s="6"/>
      <c r="M1496" s="6"/>
      <c r="N1496" s="6"/>
      <c r="O1496" s="6"/>
      <c r="P1496" s="6"/>
      <c r="Q1496" s="6"/>
      <c r="R1496" s="6"/>
      <c r="S1496" s="6"/>
      <c r="T1496" s="6"/>
      <c r="U1496" s="6"/>
      <c r="V1496" s="6"/>
      <c r="W1496" s="6"/>
      <c r="X1496" s="6"/>
      <c r="Y1496" s="6"/>
      <c r="Z1496" s="6"/>
    </row>
    <row r="1497" customFormat="false" ht="15" hidden="false" customHeight="false" outlineLevel="0" collapsed="false">
      <c r="A1497" s="9" t="s">
        <v>7340</v>
      </c>
      <c r="B1497" s="9" t="s">
        <v>5870</v>
      </c>
      <c r="C1497" s="9" t="s">
        <v>1713</v>
      </c>
      <c r="D1497" s="9" t="s">
        <v>5871</v>
      </c>
      <c r="E1497" s="9" t="str">
        <f aca="false">IF(AND('Formation Ledger'!A1476&lt;&gt;"",'Formation Ledger'!V1476=0),"PASS","FAIL")</f>
        <v>PASS</v>
      </c>
      <c r="F1497" s="9" t="s">
        <v>76</v>
      </c>
      <c r="G1497" s="6"/>
      <c r="H1497" s="6"/>
      <c r="I1497" s="6"/>
      <c r="J1497" s="6"/>
      <c r="K1497" s="6"/>
      <c r="L1497" s="6"/>
      <c r="M1497" s="6"/>
      <c r="N1497" s="6"/>
      <c r="O1497" s="6"/>
      <c r="P1497" s="6"/>
      <c r="Q1497" s="6"/>
      <c r="R1497" s="6"/>
      <c r="S1497" s="6"/>
      <c r="T1497" s="6"/>
      <c r="U1497" s="6"/>
      <c r="V1497" s="6"/>
      <c r="W1497" s="6"/>
      <c r="X1497" s="6"/>
      <c r="Y1497" s="6"/>
      <c r="Z1497" s="6"/>
    </row>
    <row r="1498" customFormat="false" ht="15" hidden="false" customHeight="false" outlineLevel="0" collapsed="false">
      <c r="A1498" s="9" t="s">
        <v>7341</v>
      </c>
      <c r="B1498" s="9" t="s">
        <v>5870</v>
      </c>
      <c r="C1498" s="9" t="s">
        <v>1714</v>
      </c>
      <c r="D1498" s="9" t="s">
        <v>5871</v>
      </c>
      <c r="E1498" s="9" t="str">
        <f aca="false">IF(AND('Formation Ledger'!A1477&lt;&gt;"",'Formation Ledger'!V1477=0),"PASS","FAIL")</f>
        <v>PASS</v>
      </c>
      <c r="F1498" s="9" t="s">
        <v>76</v>
      </c>
      <c r="G1498" s="6"/>
      <c r="H1498" s="6"/>
      <c r="I1498" s="6"/>
      <c r="J1498" s="6"/>
      <c r="K1498" s="6"/>
      <c r="L1498" s="6"/>
      <c r="M1498" s="6"/>
      <c r="N1498" s="6"/>
      <c r="O1498" s="6"/>
      <c r="P1498" s="6"/>
      <c r="Q1498" s="6"/>
      <c r="R1498" s="6"/>
      <c r="S1498" s="6"/>
      <c r="T1498" s="6"/>
      <c r="U1498" s="6"/>
      <c r="V1498" s="6"/>
      <c r="W1498" s="6"/>
      <c r="X1498" s="6"/>
      <c r="Y1498" s="6"/>
      <c r="Z1498" s="6"/>
    </row>
    <row r="1499" customFormat="false" ht="15" hidden="false" customHeight="false" outlineLevel="0" collapsed="false">
      <c r="A1499" s="9" t="s">
        <v>7342</v>
      </c>
      <c r="B1499" s="9" t="s">
        <v>5870</v>
      </c>
      <c r="C1499" s="9" t="s">
        <v>1715</v>
      </c>
      <c r="D1499" s="9" t="s">
        <v>5871</v>
      </c>
      <c r="E1499" s="9" t="str">
        <f aca="false">IF(AND('Formation Ledger'!A1478&lt;&gt;"",'Formation Ledger'!V1478=0),"PASS","FAIL")</f>
        <v>PASS</v>
      </c>
      <c r="F1499" s="9" t="s">
        <v>76</v>
      </c>
      <c r="G1499" s="6"/>
      <c r="H1499" s="6"/>
      <c r="I1499" s="6"/>
      <c r="J1499" s="6"/>
      <c r="K1499" s="6"/>
      <c r="L1499" s="6"/>
      <c r="M1499" s="6"/>
      <c r="N1499" s="6"/>
      <c r="O1499" s="6"/>
      <c r="P1499" s="6"/>
      <c r="Q1499" s="6"/>
      <c r="R1499" s="6"/>
      <c r="S1499" s="6"/>
      <c r="T1499" s="6"/>
      <c r="U1499" s="6"/>
      <c r="V1499" s="6"/>
      <c r="W1499" s="6"/>
      <c r="X1499" s="6"/>
      <c r="Y1499" s="6"/>
      <c r="Z1499" s="6"/>
    </row>
    <row r="1500" customFormat="false" ht="15" hidden="false" customHeight="false" outlineLevel="0" collapsed="false">
      <c r="A1500" s="9" t="s">
        <v>7343</v>
      </c>
      <c r="B1500" s="9" t="s">
        <v>5870</v>
      </c>
      <c r="C1500" s="9" t="s">
        <v>1716</v>
      </c>
      <c r="D1500" s="9" t="s">
        <v>5871</v>
      </c>
      <c r="E1500" s="9" t="str">
        <f aca="false">IF(AND('Formation Ledger'!A1479&lt;&gt;"",'Formation Ledger'!V1479=0),"PASS","FAIL")</f>
        <v>PASS</v>
      </c>
      <c r="F1500" s="9" t="s">
        <v>76</v>
      </c>
      <c r="G1500" s="6"/>
      <c r="H1500" s="6"/>
      <c r="I1500" s="6"/>
      <c r="J1500" s="6"/>
      <c r="K1500" s="6"/>
      <c r="L1500" s="6"/>
      <c r="M1500" s="6"/>
      <c r="N1500" s="6"/>
      <c r="O1500" s="6"/>
      <c r="P1500" s="6"/>
      <c r="Q1500" s="6"/>
      <c r="R1500" s="6"/>
      <c r="S1500" s="6"/>
      <c r="T1500" s="6"/>
      <c r="U1500" s="6"/>
      <c r="V1500" s="6"/>
      <c r="W1500" s="6"/>
      <c r="X1500" s="6"/>
      <c r="Y1500" s="6"/>
      <c r="Z1500" s="6"/>
    </row>
    <row r="1501" customFormat="false" ht="15" hidden="false" customHeight="false" outlineLevel="0" collapsed="false">
      <c r="A1501" s="9" t="s">
        <v>7344</v>
      </c>
      <c r="B1501" s="9" t="s">
        <v>5870</v>
      </c>
      <c r="C1501" s="9" t="s">
        <v>1717</v>
      </c>
      <c r="D1501" s="9" t="s">
        <v>5871</v>
      </c>
      <c r="E1501" s="9" t="str">
        <f aca="false">IF(AND('Formation Ledger'!A1480&lt;&gt;"",'Formation Ledger'!V1480=0),"PASS","FAIL")</f>
        <v>PASS</v>
      </c>
      <c r="F1501" s="9" t="s">
        <v>76</v>
      </c>
      <c r="G1501" s="6"/>
      <c r="H1501" s="6"/>
      <c r="I1501" s="6"/>
      <c r="J1501" s="6"/>
      <c r="K1501" s="6"/>
      <c r="L1501" s="6"/>
      <c r="M1501" s="6"/>
      <c r="N1501" s="6"/>
      <c r="O1501" s="6"/>
      <c r="P1501" s="6"/>
      <c r="Q1501" s="6"/>
      <c r="R1501" s="6"/>
      <c r="S1501" s="6"/>
      <c r="T1501" s="6"/>
      <c r="U1501" s="6"/>
      <c r="V1501" s="6"/>
      <c r="W1501" s="6"/>
      <c r="X1501" s="6"/>
      <c r="Y1501" s="6"/>
      <c r="Z1501" s="6"/>
    </row>
    <row r="1502" customFormat="false" ht="15" hidden="false" customHeight="false" outlineLevel="0" collapsed="false">
      <c r="A1502" s="9" t="s">
        <v>7345</v>
      </c>
      <c r="B1502" s="9" t="s">
        <v>5870</v>
      </c>
      <c r="C1502" s="9" t="s">
        <v>1718</v>
      </c>
      <c r="D1502" s="9" t="s">
        <v>5871</v>
      </c>
      <c r="E1502" s="9" t="str">
        <f aca="false">IF(AND('Formation Ledger'!A1481&lt;&gt;"",'Formation Ledger'!V1481=0),"PASS","FAIL")</f>
        <v>PASS</v>
      </c>
      <c r="F1502" s="9" t="s">
        <v>76</v>
      </c>
      <c r="G1502" s="6"/>
      <c r="H1502" s="6"/>
      <c r="I1502" s="6"/>
      <c r="J1502" s="6"/>
      <c r="K1502" s="6"/>
      <c r="L1502" s="6"/>
      <c r="M1502" s="6"/>
      <c r="N1502" s="6"/>
      <c r="O1502" s="6"/>
      <c r="P1502" s="6"/>
      <c r="Q1502" s="6"/>
      <c r="R1502" s="6"/>
      <c r="S1502" s="6"/>
      <c r="T1502" s="6"/>
      <c r="U1502" s="6"/>
      <c r="V1502" s="6"/>
      <c r="W1502" s="6"/>
      <c r="X1502" s="6"/>
      <c r="Y1502" s="6"/>
      <c r="Z1502" s="6"/>
    </row>
    <row r="1503" customFormat="false" ht="15" hidden="false" customHeight="false" outlineLevel="0" collapsed="false">
      <c r="A1503" s="9" t="s">
        <v>7346</v>
      </c>
      <c r="B1503" s="9" t="s">
        <v>5870</v>
      </c>
      <c r="C1503" s="9" t="s">
        <v>1719</v>
      </c>
      <c r="D1503" s="9" t="s">
        <v>5871</v>
      </c>
      <c r="E1503" s="9" t="str">
        <f aca="false">IF(AND('Formation Ledger'!A1482&lt;&gt;"",'Formation Ledger'!V1482=0),"PASS","FAIL")</f>
        <v>PASS</v>
      </c>
      <c r="F1503" s="9" t="s">
        <v>76</v>
      </c>
      <c r="G1503" s="6"/>
      <c r="H1503" s="6"/>
      <c r="I1503" s="6"/>
      <c r="J1503" s="6"/>
      <c r="K1503" s="6"/>
      <c r="L1503" s="6"/>
      <c r="M1503" s="6"/>
      <c r="N1503" s="6"/>
      <c r="O1503" s="6"/>
      <c r="P1503" s="6"/>
      <c r="Q1503" s="6"/>
      <c r="R1503" s="6"/>
      <c r="S1503" s="6"/>
      <c r="T1503" s="6"/>
      <c r="U1503" s="6"/>
      <c r="V1503" s="6"/>
      <c r="W1503" s="6"/>
      <c r="X1503" s="6"/>
      <c r="Y1503" s="6"/>
      <c r="Z1503" s="6"/>
    </row>
    <row r="1504" customFormat="false" ht="15" hidden="false" customHeight="false" outlineLevel="0" collapsed="false">
      <c r="A1504" s="9" t="s">
        <v>7347</v>
      </c>
      <c r="B1504" s="9" t="s">
        <v>5870</v>
      </c>
      <c r="C1504" s="9" t="s">
        <v>1720</v>
      </c>
      <c r="D1504" s="9" t="s">
        <v>5871</v>
      </c>
      <c r="E1504" s="9" t="str">
        <f aca="false">IF(AND('Formation Ledger'!A1483&lt;&gt;"",'Formation Ledger'!V1483=0),"PASS","FAIL")</f>
        <v>PASS</v>
      </c>
      <c r="F1504" s="9" t="s">
        <v>76</v>
      </c>
      <c r="G1504" s="6"/>
      <c r="H1504" s="6"/>
      <c r="I1504" s="6"/>
      <c r="J1504" s="6"/>
      <c r="K1504" s="6"/>
      <c r="L1504" s="6"/>
      <c r="M1504" s="6"/>
      <c r="N1504" s="6"/>
      <c r="O1504" s="6"/>
      <c r="P1504" s="6"/>
      <c r="Q1504" s="6"/>
      <c r="R1504" s="6"/>
      <c r="S1504" s="6"/>
      <c r="T1504" s="6"/>
      <c r="U1504" s="6"/>
      <c r="V1504" s="6"/>
      <c r="W1504" s="6"/>
      <c r="X1504" s="6"/>
      <c r="Y1504" s="6"/>
      <c r="Z1504" s="6"/>
    </row>
    <row r="1505" customFormat="false" ht="15" hidden="false" customHeight="false" outlineLevel="0" collapsed="false">
      <c r="A1505" s="9" t="s">
        <v>7348</v>
      </c>
      <c r="B1505" s="9" t="s">
        <v>5870</v>
      </c>
      <c r="C1505" s="9" t="s">
        <v>1721</v>
      </c>
      <c r="D1505" s="9" t="s">
        <v>5871</v>
      </c>
      <c r="E1505" s="9" t="str">
        <f aca="false">IF(AND('Formation Ledger'!A1484&lt;&gt;"",'Formation Ledger'!V1484=0),"PASS","FAIL")</f>
        <v>PASS</v>
      </c>
      <c r="F1505" s="9" t="s">
        <v>76</v>
      </c>
      <c r="G1505" s="6"/>
      <c r="H1505" s="6"/>
      <c r="I1505" s="6"/>
      <c r="J1505" s="6"/>
      <c r="K1505" s="6"/>
      <c r="L1505" s="6"/>
      <c r="M1505" s="6"/>
      <c r="N1505" s="6"/>
      <c r="O1505" s="6"/>
      <c r="P1505" s="6"/>
      <c r="Q1505" s="6"/>
      <c r="R1505" s="6"/>
      <c r="S1505" s="6"/>
      <c r="T1505" s="6"/>
      <c r="U1505" s="6"/>
      <c r="V1505" s="6"/>
      <c r="W1505" s="6"/>
      <c r="X1505" s="6"/>
      <c r="Y1505" s="6"/>
      <c r="Z1505" s="6"/>
    </row>
    <row r="1506" customFormat="false" ht="15" hidden="false" customHeight="false" outlineLevel="0" collapsed="false">
      <c r="A1506" s="9" t="s">
        <v>7349</v>
      </c>
      <c r="B1506" s="9" t="s">
        <v>5870</v>
      </c>
      <c r="C1506" s="9" t="s">
        <v>1722</v>
      </c>
      <c r="D1506" s="9" t="s">
        <v>5871</v>
      </c>
      <c r="E1506" s="9" t="str">
        <f aca="false">IF(AND('Formation Ledger'!A1485&lt;&gt;"",'Formation Ledger'!V1485=0),"PASS","FAIL")</f>
        <v>PASS</v>
      </c>
      <c r="F1506" s="9" t="s">
        <v>76</v>
      </c>
      <c r="G1506" s="6"/>
      <c r="H1506" s="6"/>
      <c r="I1506" s="6"/>
      <c r="J1506" s="6"/>
      <c r="K1506" s="6"/>
      <c r="L1506" s="6"/>
      <c r="M1506" s="6"/>
      <c r="N1506" s="6"/>
      <c r="O1506" s="6"/>
      <c r="P1506" s="6"/>
      <c r="Q1506" s="6"/>
      <c r="R1506" s="6"/>
      <c r="S1506" s="6"/>
      <c r="T1506" s="6"/>
      <c r="U1506" s="6"/>
      <c r="V1506" s="6"/>
      <c r="W1506" s="6"/>
      <c r="X1506" s="6"/>
      <c r="Y1506" s="6"/>
      <c r="Z1506" s="6"/>
    </row>
    <row r="1507" customFormat="false" ht="15" hidden="false" customHeight="false" outlineLevel="0" collapsed="false">
      <c r="A1507" s="9" t="s">
        <v>7350</v>
      </c>
      <c r="B1507" s="9" t="s">
        <v>5870</v>
      </c>
      <c r="C1507" s="9" t="s">
        <v>1723</v>
      </c>
      <c r="D1507" s="9" t="s">
        <v>5871</v>
      </c>
      <c r="E1507" s="9" t="str">
        <f aca="false">IF(AND('Formation Ledger'!A1486&lt;&gt;"",'Formation Ledger'!V1486=0),"PASS","FAIL")</f>
        <v>PASS</v>
      </c>
      <c r="F1507" s="9" t="s">
        <v>76</v>
      </c>
      <c r="G1507" s="6"/>
      <c r="H1507" s="6"/>
      <c r="I1507" s="6"/>
      <c r="J1507" s="6"/>
      <c r="K1507" s="6"/>
      <c r="L1507" s="6"/>
      <c r="M1507" s="6"/>
      <c r="N1507" s="6"/>
      <c r="O1507" s="6"/>
      <c r="P1507" s="6"/>
      <c r="Q1507" s="6"/>
      <c r="R1507" s="6"/>
      <c r="S1507" s="6"/>
      <c r="T1507" s="6"/>
      <c r="U1507" s="6"/>
      <c r="V1507" s="6"/>
      <c r="W1507" s="6"/>
      <c r="X1507" s="6"/>
      <c r="Y1507" s="6"/>
      <c r="Z1507" s="6"/>
    </row>
    <row r="1508" customFormat="false" ht="15" hidden="false" customHeight="false" outlineLevel="0" collapsed="false">
      <c r="A1508" s="9" t="s">
        <v>7351</v>
      </c>
      <c r="B1508" s="9" t="s">
        <v>5870</v>
      </c>
      <c r="C1508" s="9" t="s">
        <v>1724</v>
      </c>
      <c r="D1508" s="9" t="s">
        <v>5871</v>
      </c>
      <c r="E1508" s="9" t="str">
        <f aca="false">IF(AND('Formation Ledger'!A1487&lt;&gt;"",'Formation Ledger'!V1487=0),"PASS","FAIL")</f>
        <v>PASS</v>
      </c>
      <c r="F1508" s="9" t="s">
        <v>76</v>
      </c>
      <c r="G1508" s="6"/>
      <c r="H1508" s="6"/>
      <c r="I1508" s="6"/>
      <c r="J1508" s="6"/>
      <c r="K1508" s="6"/>
      <c r="L1508" s="6"/>
      <c r="M1508" s="6"/>
      <c r="N1508" s="6"/>
      <c r="O1508" s="6"/>
      <c r="P1508" s="6"/>
      <c r="Q1508" s="6"/>
      <c r="R1508" s="6"/>
      <c r="S1508" s="6"/>
      <c r="T1508" s="6"/>
      <c r="U1508" s="6"/>
      <c r="V1508" s="6"/>
      <c r="W1508" s="6"/>
      <c r="X1508" s="6"/>
      <c r="Y1508" s="6"/>
      <c r="Z1508" s="6"/>
    </row>
    <row r="1509" customFormat="false" ht="15" hidden="false" customHeight="false" outlineLevel="0" collapsed="false">
      <c r="A1509" s="9" t="s">
        <v>7352</v>
      </c>
      <c r="B1509" s="9" t="s">
        <v>5870</v>
      </c>
      <c r="C1509" s="9" t="s">
        <v>1725</v>
      </c>
      <c r="D1509" s="9" t="s">
        <v>5871</v>
      </c>
      <c r="E1509" s="9" t="str">
        <f aca="false">IF(AND('Formation Ledger'!A1488&lt;&gt;"",'Formation Ledger'!V1488=0),"PASS","FAIL")</f>
        <v>PASS</v>
      </c>
      <c r="F1509" s="9" t="s">
        <v>76</v>
      </c>
      <c r="G1509" s="6"/>
      <c r="H1509" s="6"/>
      <c r="I1509" s="6"/>
      <c r="J1509" s="6"/>
      <c r="K1509" s="6"/>
      <c r="L1509" s="6"/>
      <c r="M1509" s="6"/>
      <c r="N1509" s="6"/>
      <c r="O1509" s="6"/>
      <c r="P1509" s="6"/>
      <c r="Q1509" s="6"/>
      <c r="R1509" s="6"/>
      <c r="S1509" s="6"/>
      <c r="T1509" s="6"/>
      <c r="U1509" s="6"/>
      <c r="V1509" s="6"/>
      <c r="W1509" s="6"/>
      <c r="X1509" s="6"/>
      <c r="Y1509" s="6"/>
      <c r="Z1509" s="6"/>
    </row>
    <row r="1510" customFormat="false" ht="15" hidden="false" customHeight="false" outlineLevel="0" collapsed="false">
      <c r="A1510" s="9" t="s">
        <v>7353</v>
      </c>
      <c r="B1510" s="9" t="s">
        <v>5870</v>
      </c>
      <c r="C1510" s="9" t="s">
        <v>1726</v>
      </c>
      <c r="D1510" s="9" t="s">
        <v>5871</v>
      </c>
      <c r="E1510" s="9" t="str">
        <f aca="false">IF(AND('Formation Ledger'!A1489&lt;&gt;"",'Formation Ledger'!V1489=0),"PASS","FAIL")</f>
        <v>PASS</v>
      </c>
      <c r="F1510" s="9" t="s">
        <v>76</v>
      </c>
      <c r="G1510" s="6"/>
      <c r="H1510" s="6"/>
      <c r="I1510" s="6"/>
      <c r="J1510" s="6"/>
      <c r="K1510" s="6"/>
      <c r="L1510" s="6"/>
      <c r="M1510" s="6"/>
      <c r="N1510" s="6"/>
      <c r="O1510" s="6"/>
      <c r="P1510" s="6"/>
      <c r="Q1510" s="6"/>
      <c r="R1510" s="6"/>
      <c r="S1510" s="6"/>
      <c r="T1510" s="6"/>
      <c r="U1510" s="6"/>
      <c r="V1510" s="6"/>
      <c r="W1510" s="6"/>
      <c r="X1510" s="6"/>
      <c r="Y1510" s="6"/>
      <c r="Z1510" s="6"/>
    </row>
    <row r="1511" customFormat="false" ht="15" hidden="false" customHeight="false" outlineLevel="0" collapsed="false">
      <c r="A1511" s="9" t="s">
        <v>7354</v>
      </c>
      <c r="B1511" s="9" t="s">
        <v>5870</v>
      </c>
      <c r="C1511" s="9" t="s">
        <v>1727</v>
      </c>
      <c r="D1511" s="9" t="s">
        <v>5871</v>
      </c>
      <c r="E1511" s="9" t="str">
        <f aca="false">IF(AND('Formation Ledger'!A1490&lt;&gt;"",'Formation Ledger'!V1490=0),"PASS","FAIL")</f>
        <v>PASS</v>
      </c>
      <c r="F1511" s="9" t="s">
        <v>76</v>
      </c>
      <c r="G1511" s="6"/>
      <c r="H1511" s="6"/>
      <c r="I1511" s="6"/>
      <c r="J1511" s="6"/>
      <c r="K1511" s="6"/>
      <c r="L1511" s="6"/>
      <c r="M1511" s="6"/>
      <c r="N1511" s="6"/>
      <c r="O1511" s="6"/>
      <c r="P1511" s="6"/>
      <c r="Q1511" s="6"/>
      <c r="R1511" s="6"/>
      <c r="S1511" s="6"/>
      <c r="T1511" s="6"/>
      <c r="U1511" s="6"/>
      <c r="V1511" s="6"/>
      <c r="W1511" s="6"/>
      <c r="X1511" s="6"/>
      <c r="Y1511" s="6"/>
      <c r="Z1511" s="6"/>
    </row>
    <row r="1512" customFormat="false" ht="15" hidden="false" customHeight="false" outlineLevel="0" collapsed="false">
      <c r="A1512" s="9" t="s">
        <v>7355</v>
      </c>
      <c r="B1512" s="9" t="s">
        <v>5870</v>
      </c>
      <c r="C1512" s="9" t="s">
        <v>1728</v>
      </c>
      <c r="D1512" s="9" t="s">
        <v>5871</v>
      </c>
      <c r="E1512" s="9" t="str">
        <f aca="false">IF(AND('Formation Ledger'!A1491&lt;&gt;"",'Formation Ledger'!V1491=0),"PASS","FAIL")</f>
        <v>PASS</v>
      </c>
      <c r="F1512" s="9" t="s">
        <v>76</v>
      </c>
      <c r="G1512" s="6"/>
      <c r="H1512" s="6"/>
      <c r="I1512" s="6"/>
      <c r="J1512" s="6"/>
      <c r="K1512" s="6"/>
      <c r="L1512" s="6"/>
      <c r="M1512" s="6"/>
      <c r="N1512" s="6"/>
      <c r="O1512" s="6"/>
      <c r="P1512" s="6"/>
      <c r="Q1512" s="6"/>
      <c r="R1512" s="6"/>
      <c r="S1512" s="6"/>
      <c r="T1512" s="6"/>
      <c r="U1512" s="6"/>
      <c r="V1512" s="6"/>
      <c r="W1512" s="6"/>
      <c r="X1512" s="6"/>
      <c r="Y1512" s="6"/>
      <c r="Z1512" s="6"/>
    </row>
    <row r="1513" customFormat="false" ht="15" hidden="false" customHeight="false" outlineLevel="0" collapsed="false">
      <c r="A1513" s="9" t="s">
        <v>7356</v>
      </c>
      <c r="B1513" s="9" t="s">
        <v>5870</v>
      </c>
      <c r="C1513" s="9" t="s">
        <v>1729</v>
      </c>
      <c r="D1513" s="9" t="s">
        <v>5871</v>
      </c>
      <c r="E1513" s="9" t="str">
        <f aca="false">IF(AND('Formation Ledger'!A1492&lt;&gt;"",'Formation Ledger'!V1492=0),"PASS","FAIL")</f>
        <v>PASS</v>
      </c>
      <c r="F1513" s="9" t="s">
        <v>76</v>
      </c>
      <c r="G1513" s="6"/>
      <c r="H1513" s="6"/>
      <c r="I1513" s="6"/>
      <c r="J1513" s="6"/>
      <c r="K1513" s="6"/>
      <c r="L1513" s="6"/>
      <c r="M1513" s="6"/>
      <c r="N1513" s="6"/>
      <c r="O1513" s="6"/>
      <c r="P1513" s="6"/>
      <c r="Q1513" s="6"/>
      <c r="R1513" s="6"/>
      <c r="S1513" s="6"/>
      <c r="T1513" s="6"/>
      <c r="U1513" s="6"/>
      <c r="V1513" s="6"/>
      <c r="W1513" s="6"/>
      <c r="X1513" s="6"/>
      <c r="Y1513" s="6"/>
      <c r="Z1513" s="6"/>
    </row>
    <row r="1514" customFormat="false" ht="15" hidden="false" customHeight="false" outlineLevel="0" collapsed="false">
      <c r="A1514" s="9" t="s">
        <v>7357</v>
      </c>
      <c r="B1514" s="9" t="s">
        <v>5870</v>
      </c>
      <c r="C1514" s="9" t="s">
        <v>1730</v>
      </c>
      <c r="D1514" s="9" t="s">
        <v>5871</v>
      </c>
      <c r="E1514" s="9" t="str">
        <f aca="false">IF(AND('Formation Ledger'!A1493&lt;&gt;"",'Formation Ledger'!V1493=0),"PASS","FAIL")</f>
        <v>PASS</v>
      </c>
      <c r="F1514" s="9" t="s">
        <v>76</v>
      </c>
      <c r="G1514" s="6"/>
      <c r="H1514" s="6"/>
      <c r="I1514" s="6"/>
      <c r="J1514" s="6"/>
      <c r="K1514" s="6"/>
      <c r="L1514" s="6"/>
      <c r="M1514" s="6"/>
      <c r="N1514" s="6"/>
      <c r="O1514" s="6"/>
      <c r="P1514" s="6"/>
      <c r="Q1514" s="6"/>
      <c r="R1514" s="6"/>
      <c r="S1514" s="6"/>
      <c r="T1514" s="6"/>
      <c r="U1514" s="6"/>
      <c r="V1514" s="6"/>
      <c r="W1514" s="6"/>
      <c r="X1514" s="6"/>
      <c r="Y1514" s="6"/>
      <c r="Z1514" s="6"/>
    </row>
    <row r="1515" customFormat="false" ht="15" hidden="false" customHeight="false" outlineLevel="0" collapsed="false">
      <c r="A1515" s="9" t="s">
        <v>7358</v>
      </c>
      <c r="B1515" s="9" t="s">
        <v>5870</v>
      </c>
      <c r="C1515" s="9" t="s">
        <v>1731</v>
      </c>
      <c r="D1515" s="9" t="s">
        <v>5871</v>
      </c>
      <c r="E1515" s="9" t="str">
        <f aca="false">IF(AND('Formation Ledger'!A1494&lt;&gt;"",'Formation Ledger'!V1494=0),"PASS","FAIL")</f>
        <v>PASS</v>
      </c>
      <c r="F1515" s="9" t="s">
        <v>76</v>
      </c>
      <c r="G1515" s="6"/>
      <c r="H1515" s="6"/>
      <c r="I1515" s="6"/>
      <c r="J1515" s="6"/>
      <c r="K1515" s="6"/>
      <c r="L1515" s="6"/>
      <c r="M1515" s="6"/>
      <c r="N1515" s="6"/>
      <c r="O1515" s="6"/>
      <c r="P1515" s="6"/>
      <c r="Q1515" s="6"/>
      <c r="R1515" s="6"/>
      <c r="S1515" s="6"/>
      <c r="T1515" s="6"/>
      <c r="U1515" s="6"/>
      <c r="V1515" s="6"/>
      <c r="W1515" s="6"/>
      <c r="X1515" s="6"/>
      <c r="Y1515" s="6"/>
      <c r="Z1515" s="6"/>
    </row>
    <row r="1516" customFormat="false" ht="15" hidden="false" customHeight="false" outlineLevel="0" collapsed="false">
      <c r="A1516" s="9" t="s">
        <v>7359</v>
      </c>
      <c r="B1516" s="9" t="s">
        <v>5870</v>
      </c>
      <c r="C1516" s="9" t="s">
        <v>1732</v>
      </c>
      <c r="D1516" s="9" t="s">
        <v>5871</v>
      </c>
      <c r="E1516" s="9" t="str">
        <f aca="false">IF(AND('Formation Ledger'!A1495&lt;&gt;"",'Formation Ledger'!V1495=0),"PASS","FAIL")</f>
        <v>PASS</v>
      </c>
      <c r="F1516" s="9" t="s">
        <v>76</v>
      </c>
      <c r="G1516" s="6"/>
      <c r="H1516" s="6"/>
      <c r="I1516" s="6"/>
      <c r="J1516" s="6"/>
      <c r="K1516" s="6"/>
      <c r="L1516" s="6"/>
      <c r="M1516" s="6"/>
      <c r="N1516" s="6"/>
      <c r="O1516" s="6"/>
      <c r="P1516" s="6"/>
      <c r="Q1516" s="6"/>
      <c r="R1516" s="6"/>
      <c r="S1516" s="6"/>
      <c r="T1516" s="6"/>
      <c r="U1516" s="6"/>
      <c r="V1516" s="6"/>
      <c r="W1516" s="6"/>
      <c r="X1516" s="6"/>
      <c r="Y1516" s="6"/>
      <c r="Z1516" s="6"/>
    </row>
    <row r="1517" customFormat="false" ht="15" hidden="false" customHeight="false" outlineLevel="0" collapsed="false">
      <c r="A1517" s="9" t="s">
        <v>7360</v>
      </c>
      <c r="B1517" s="9" t="s">
        <v>5870</v>
      </c>
      <c r="C1517" s="9" t="s">
        <v>1736</v>
      </c>
      <c r="D1517" s="9" t="s">
        <v>5871</v>
      </c>
      <c r="E1517" s="9" t="str">
        <f aca="false">IF(AND('Formation Ledger'!A1496&lt;&gt;"",'Formation Ledger'!V1496=0),"PASS","FAIL")</f>
        <v>PASS</v>
      </c>
      <c r="F1517" s="9" t="s">
        <v>76</v>
      </c>
      <c r="G1517" s="6"/>
      <c r="H1517" s="6"/>
      <c r="I1517" s="6"/>
      <c r="J1517" s="6"/>
      <c r="K1517" s="6"/>
      <c r="L1517" s="6"/>
      <c r="M1517" s="6"/>
      <c r="N1517" s="6"/>
      <c r="O1517" s="6"/>
      <c r="P1517" s="6"/>
      <c r="Q1517" s="6"/>
      <c r="R1517" s="6"/>
      <c r="S1517" s="6"/>
      <c r="T1517" s="6"/>
      <c r="U1517" s="6"/>
      <c r="V1517" s="6"/>
      <c r="W1517" s="6"/>
      <c r="X1517" s="6"/>
      <c r="Y1517" s="6"/>
      <c r="Z1517" s="6"/>
    </row>
    <row r="1518" customFormat="false" ht="15" hidden="false" customHeight="false" outlineLevel="0" collapsed="false">
      <c r="A1518" s="9" t="s">
        <v>7361</v>
      </c>
      <c r="B1518" s="9" t="s">
        <v>5870</v>
      </c>
      <c r="C1518" s="9" t="s">
        <v>1737</v>
      </c>
      <c r="D1518" s="9" t="s">
        <v>5871</v>
      </c>
      <c r="E1518" s="9" t="str">
        <f aca="false">IF(AND('Formation Ledger'!A1497&lt;&gt;"",'Formation Ledger'!V1497=0),"PASS","FAIL")</f>
        <v>PASS</v>
      </c>
      <c r="F1518" s="9" t="s">
        <v>76</v>
      </c>
      <c r="G1518" s="6"/>
      <c r="H1518" s="6"/>
      <c r="I1518" s="6"/>
      <c r="J1518" s="6"/>
      <c r="K1518" s="6"/>
      <c r="L1518" s="6"/>
      <c r="M1518" s="6"/>
      <c r="N1518" s="6"/>
      <c r="O1518" s="6"/>
      <c r="P1518" s="6"/>
      <c r="Q1518" s="6"/>
      <c r="R1518" s="6"/>
      <c r="S1518" s="6"/>
      <c r="T1518" s="6"/>
      <c r="U1518" s="6"/>
      <c r="V1518" s="6"/>
      <c r="W1518" s="6"/>
      <c r="X1518" s="6"/>
      <c r="Y1518" s="6"/>
      <c r="Z1518" s="6"/>
    </row>
    <row r="1519" customFormat="false" ht="15" hidden="false" customHeight="false" outlineLevel="0" collapsed="false">
      <c r="A1519" s="9" t="s">
        <v>7362</v>
      </c>
      <c r="B1519" s="9" t="s">
        <v>5870</v>
      </c>
      <c r="C1519" s="9" t="s">
        <v>1738</v>
      </c>
      <c r="D1519" s="9" t="s">
        <v>5871</v>
      </c>
      <c r="E1519" s="9" t="str">
        <f aca="false">IF(AND('Formation Ledger'!A1498&lt;&gt;"",'Formation Ledger'!V1498=0),"PASS","FAIL")</f>
        <v>PASS</v>
      </c>
      <c r="F1519" s="9" t="s">
        <v>76</v>
      </c>
      <c r="G1519" s="6"/>
      <c r="H1519" s="6"/>
      <c r="I1519" s="6"/>
      <c r="J1519" s="6"/>
      <c r="K1519" s="6"/>
      <c r="L1519" s="6"/>
      <c r="M1519" s="6"/>
      <c r="N1519" s="6"/>
      <c r="O1519" s="6"/>
      <c r="P1519" s="6"/>
      <c r="Q1519" s="6"/>
      <c r="R1519" s="6"/>
      <c r="S1519" s="6"/>
      <c r="T1519" s="6"/>
      <c r="U1519" s="6"/>
      <c r="V1519" s="6"/>
      <c r="W1519" s="6"/>
      <c r="X1519" s="6"/>
      <c r="Y1519" s="6"/>
      <c r="Z1519" s="6"/>
    </row>
    <row r="1520" customFormat="false" ht="15" hidden="false" customHeight="false" outlineLevel="0" collapsed="false">
      <c r="A1520" s="9" t="s">
        <v>7363</v>
      </c>
      <c r="B1520" s="9" t="s">
        <v>5870</v>
      </c>
      <c r="C1520" s="9" t="s">
        <v>1739</v>
      </c>
      <c r="D1520" s="9" t="s">
        <v>5871</v>
      </c>
      <c r="E1520" s="9" t="str">
        <f aca="false">IF(AND('Formation Ledger'!A1499&lt;&gt;"",'Formation Ledger'!V1499=0),"PASS","FAIL")</f>
        <v>PASS</v>
      </c>
      <c r="F1520" s="9" t="s">
        <v>76</v>
      </c>
      <c r="G1520" s="6"/>
      <c r="H1520" s="6"/>
      <c r="I1520" s="6"/>
      <c r="J1520" s="6"/>
      <c r="K1520" s="6"/>
      <c r="L1520" s="6"/>
      <c r="M1520" s="6"/>
      <c r="N1520" s="6"/>
      <c r="O1520" s="6"/>
      <c r="P1520" s="6"/>
      <c r="Q1520" s="6"/>
      <c r="R1520" s="6"/>
      <c r="S1520" s="6"/>
      <c r="T1520" s="6"/>
      <c r="U1520" s="6"/>
      <c r="V1520" s="6"/>
      <c r="W1520" s="6"/>
      <c r="X1520" s="6"/>
      <c r="Y1520" s="6"/>
      <c r="Z1520" s="6"/>
    </row>
    <row r="1521" customFormat="false" ht="15" hidden="false" customHeight="false" outlineLevel="0" collapsed="false">
      <c r="A1521" s="9" t="s">
        <v>7364</v>
      </c>
      <c r="B1521" s="9" t="s">
        <v>5870</v>
      </c>
      <c r="C1521" s="9" t="s">
        <v>1740</v>
      </c>
      <c r="D1521" s="9" t="s">
        <v>5871</v>
      </c>
      <c r="E1521" s="9" t="str">
        <f aca="false">IF(AND('Formation Ledger'!A1500&lt;&gt;"",'Formation Ledger'!V1500=0),"PASS","FAIL")</f>
        <v>PASS</v>
      </c>
      <c r="F1521" s="9" t="s">
        <v>76</v>
      </c>
      <c r="G1521" s="6"/>
      <c r="H1521" s="6"/>
      <c r="I1521" s="6"/>
      <c r="J1521" s="6"/>
      <c r="K1521" s="6"/>
      <c r="L1521" s="6"/>
      <c r="M1521" s="6"/>
      <c r="N1521" s="6"/>
      <c r="O1521" s="6"/>
      <c r="P1521" s="6"/>
      <c r="Q1521" s="6"/>
      <c r="R1521" s="6"/>
      <c r="S1521" s="6"/>
      <c r="T1521" s="6"/>
      <c r="U1521" s="6"/>
      <c r="V1521" s="6"/>
      <c r="W1521" s="6"/>
      <c r="X1521" s="6"/>
      <c r="Y1521" s="6"/>
      <c r="Z1521" s="6"/>
    </row>
    <row r="1522" customFormat="false" ht="15" hidden="false" customHeight="false" outlineLevel="0" collapsed="false">
      <c r="A1522" s="9" t="s">
        <v>7365</v>
      </c>
      <c r="B1522" s="9" t="s">
        <v>5870</v>
      </c>
      <c r="C1522" s="9" t="s">
        <v>1741</v>
      </c>
      <c r="D1522" s="9" t="s">
        <v>5871</v>
      </c>
      <c r="E1522" s="9" t="str">
        <f aca="false">IF(AND('Formation Ledger'!A1501&lt;&gt;"",'Formation Ledger'!V1501=0),"PASS","FAIL")</f>
        <v>PASS</v>
      </c>
      <c r="F1522" s="9" t="s">
        <v>76</v>
      </c>
      <c r="G1522" s="6"/>
      <c r="H1522" s="6"/>
      <c r="I1522" s="6"/>
      <c r="J1522" s="6"/>
      <c r="K1522" s="6"/>
      <c r="L1522" s="6"/>
      <c r="M1522" s="6"/>
      <c r="N1522" s="6"/>
      <c r="O1522" s="6"/>
      <c r="P1522" s="6"/>
      <c r="Q1522" s="6"/>
      <c r="R1522" s="6"/>
      <c r="S1522" s="6"/>
      <c r="T1522" s="6"/>
      <c r="U1522" s="6"/>
      <c r="V1522" s="6"/>
      <c r="W1522" s="6"/>
      <c r="X1522" s="6"/>
      <c r="Y1522" s="6"/>
      <c r="Z1522" s="6"/>
    </row>
    <row r="1523" customFormat="false" ht="15" hidden="false" customHeight="false" outlineLevel="0" collapsed="false">
      <c r="A1523" s="9" t="s">
        <v>7366</v>
      </c>
      <c r="B1523" s="9" t="s">
        <v>5870</v>
      </c>
      <c r="C1523" s="9" t="s">
        <v>1742</v>
      </c>
      <c r="D1523" s="9" t="s">
        <v>5871</v>
      </c>
      <c r="E1523" s="9" t="str">
        <f aca="false">IF(AND('Formation Ledger'!A1502&lt;&gt;"",'Formation Ledger'!V1502=0),"PASS","FAIL")</f>
        <v>PASS</v>
      </c>
      <c r="F1523" s="9" t="s">
        <v>76</v>
      </c>
      <c r="G1523" s="6"/>
      <c r="H1523" s="6"/>
      <c r="I1523" s="6"/>
      <c r="J1523" s="6"/>
      <c r="K1523" s="6"/>
      <c r="L1523" s="6"/>
      <c r="M1523" s="6"/>
      <c r="N1523" s="6"/>
      <c r="O1523" s="6"/>
      <c r="P1523" s="6"/>
      <c r="Q1523" s="6"/>
      <c r="R1523" s="6"/>
      <c r="S1523" s="6"/>
      <c r="T1523" s="6"/>
      <c r="U1523" s="6"/>
      <c r="V1523" s="6"/>
      <c r="W1523" s="6"/>
      <c r="X1523" s="6"/>
      <c r="Y1523" s="6"/>
      <c r="Z1523" s="6"/>
    </row>
    <row r="1524" customFormat="false" ht="15" hidden="false" customHeight="false" outlineLevel="0" collapsed="false">
      <c r="A1524" s="9" t="s">
        <v>7367</v>
      </c>
      <c r="B1524" s="9" t="s">
        <v>5870</v>
      </c>
      <c r="C1524" s="9" t="s">
        <v>1743</v>
      </c>
      <c r="D1524" s="9" t="s">
        <v>5871</v>
      </c>
      <c r="E1524" s="9" t="str">
        <f aca="false">IF(AND('Formation Ledger'!A1503&lt;&gt;"",'Formation Ledger'!V1503=0),"PASS","FAIL")</f>
        <v>PASS</v>
      </c>
      <c r="F1524" s="9" t="s">
        <v>76</v>
      </c>
      <c r="G1524" s="6"/>
      <c r="H1524" s="6"/>
      <c r="I1524" s="6"/>
      <c r="J1524" s="6"/>
      <c r="K1524" s="6"/>
      <c r="L1524" s="6"/>
      <c r="M1524" s="6"/>
      <c r="N1524" s="6"/>
      <c r="O1524" s="6"/>
      <c r="P1524" s="6"/>
      <c r="Q1524" s="6"/>
      <c r="R1524" s="6"/>
      <c r="S1524" s="6"/>
      <c r="T1524" s="6"/>
      <c r="U1524" s="6"/>
      <c r="V1524" s="6"/>
      <c r="W1524" s="6"/>
      <c r="X1524" s="6"/>
      <c r="Y1524" s="6"/>
      <c r="Z1524" s="6"/>
    </row>
    <row r="1525" customFormat="false" ht="15" hidden="false" customHeight="false" outlineLevel="0" collapsed="false">
      <c r="A1525" s="9" t="s">
        <v>7368</v>
      </c>
      <c r="B1525" s="9" t="s">
        <v>5870</v>
      </c>
      <c r="C1525" s="9" t="s">
        <v>1744</v>
      </c>
      <c r="D1525" s="9" t="s">
        <v>5871</v>
      </c>
      <c r="E1525" s="9" t="str">
        <f aca="false">IF(AND('Formation Ledger'!A1504&lt;&gt;"",'Formation Ledger'!V1504=0),"PASS","FAIL")</f>
        <v>PASS</v>
      </c>
      <c r="F1525" s="9" t="s">
        <v>76</v>
      </c>
      <c r="G1525" s="6"/>
      <c r="H1525" s="6"/>
      <c r="I1525" s="6"/>
      <c r="J1525" s="6"/>
      <c r="K1525" s="6"/>
      <c r="L1525" s="6"/>
      <c r="M1525" s="6"/>
      <c r="N1525" s="6"/>
      <c r="O1525" s="6"/>
      <c r="P1525" s="6"/>
      <c r="Q1525" s="6"/>
      <c r="R1525" s="6"/>
      <c r="S1525" s="6"/>
      <c r="T1525" s="6"/>
      <c r="U1525" s="6"/>
      <c r="V1525" s="6"/>
      <c r="W1525" s="6"/>
      <c r="X1525" s="6"/>
      <c r="Y1525" s="6"/>
      <c r="Z1525" s="6"/>
    </row>
    <row r="1526" customFormat="false" ht="15" hidden="false" customHeight="false" outlineLevel="0" collapsed="false">
      <c r="A1526" s="9" t="s">
        <v>7369</v>
      </c>
      <c r="B1526" s="9" t="s">
        <v>5870</v>
      </c>
      <c r="C1526" s="9" t="s">
        <v>1745</v>
      </c>
      <c r="D1526" s="9" t="s">
        <v>5871</v>
      </c>
      <c r="E1526" s="9" t="str">
        <f aca="false">IF(AND('Formation Ledger'!A1505&lt;&gt;"",'Formation Ledger'!V1505=0),"PASS","FAIL")</f>
        <v>PASS</v>
      </c>
      <c r="F1526" s="9" t="s">
        <v>76</v>
      </c>
      <c r="G1526" s="6"/>
      <c r="H1526" s="6"/>
      <c r="I1526" s="6"/>
      <c r="J1526" s="6"/>
      <c r="K1526" s="6"/>
      <c r="L1526" s="6"/>
      <c r="M1526" s="6"/>
      <c r="N1526" s="6"/>
      <c r="O1526" s="6"/>
      <c r="P1526" s="6"/>
      <c r="Q1526" s="6"/>
      <c r="R1526" s="6"/>
      <c r="S1526" s="6"/>
      <c r="T1526" s="6"/>
      <c r="U1526" s="6"/>
      <c r="V1526" s="6"/>
      <c r="W1526" s="6"/>
      <c r="X1526" s="6"/>
      <c r="Y1526" s="6"/>
      <c r="Z1526" s="6"/>
    </row>
    <row r="1527" customFormat="false" ht="15" hidden="false" customHeight="false" outlineLevel="0" collapsed="false">
      <c r="A1527" s="9" t="s">
        <v>7370</v>
      </c>
      <c r="B1527" s="9" t="s">
        <v>5870</v>
      </c>
      <c r="C1527" s="9" t="s">
        <v>1746</v>
      </c>
      <c r="D1527" s="9" t="s">
        <v>5871</v>
      </c>
      <c r="E1527" s="9" t="str">
        <f aca="false">IF(AND('Formation Ledger'!A1506&lt;&gt;"",'Formation Ledger'!V1506=0),"PASS","FAIL")</f>
        <v>PASS</v>
      </c>
      <c r="F1527" s="9" t="s">
        <v>76</v>
      </c>
      <c r="G1527" s="6"/>
      <c r="H1527" s="6"/>
      <c r="I1527" s="6"/>
      <c r="J1527" s="6"/>
      <c r="K1527" s="6"/>
      <c r="L1527" s="6"/>
      <c r="M1527" s="6"/>
      <c r="N1527" s="6"/>
      <c r="O1527" s="6"/>
      <c r="P1527" s="6"/>
      <c r="Q1527" s="6"/>
      <c r="R1527" s="6"/>
      <c r="S1527" s="6"/>
      <c r="T1527" s="6"/>
      <c r="U1527" s="6"/>
      <c r="V1527" s="6"/>
      <c r="W1527" s="6"/>
      <c r="X1527" s="6"/>
      <c r="Y1527" s="6"/>
      <c r="Z1527" s="6"/>
    </row>
    <row r="1528" customFormat="false" ht="15" hidden="false" customHeight="false" outlineLevel="0" collapsed="false">
      <c r="A1528" s="9" t="s">
        <v>7371</v>
      </c>
      <c r="B1528" s="9" t="s">
        <v>5870</v>
      </c>
      <c r="C1528" s="9" t="s">
        <v>1747</v>
      </c>
      <c r="D1528" s="9" t="s">
        <v>5871</v>
      </c>
      <c r="E1528" s="9" t="str">
        <f aca="false">IF(AND('Formation Ledger'!A1507&lt;&gt;"",'Formation Ledger'!V1507=0),"PASS","FAIL")</f>
        <v>PASS</v>
      </c>
      <c r="F1528" s="9" t="s">
        <v>76</v>
      </c>
      <c r="G1528" s="6"/>
      <c r="H1528" s="6"/>
      <c r="I1528" s="6"/>
      <c r="J1528" s="6"/>
      <c r="K1528" s="6"/>
      <c r="L1528" s="6"/>
      <c r="M1528" s="6"/>
      <c r="N1528" s="6"/>
      <c r="O1528" s="6"/>
      <c r="P1528" s="6"/>
      <c r="Q1528" s="6"/>
      <c r="R1528" s="6"/>
      <c r="S1528" s="6"/>
      <c r="T1528" s="6"/>
      <c r="U1528" s="6"/>
      <c r="V1528" s="6"/>
      <c r="W1528" s="6"/>
      <c r="X1528" s="6"/>
      <c r="Y1528" s="6"/>
      <c r="Z1528" s="6"/>
    </row>
    <row r="1529" customFormat="false" ht="15" hidden="false" customHeight="false" outlineLevel="0" collapsed="false">
      <c r="A1529" s="9" t="s">
        <v>7372</v>
      </c>
      <c r="B1529" s="9" t="s">
        <v>5870</v>
      </c>
      <c r="C1529" s="9" t="s">
        <v>1748</v>
      </c>
      <c r="D1529" s="9" t="s">
        <v>5871</v>
      </c>
      <c r="E1529" s="9" t="str">
        <f aca="false">IF(AND('Formation Ledger'!A1508&lt;&gt;"",'Formation Ledger'!V1508=0),"PASS","FAIL")</f>
        <v>PASS</v>
      </c>
      <c r="F1529" s="9" t="s">
        <v>76</v>
      </c>
      <c r="G1529" s="6"/>
      <c r="H1529" s="6"/>
      <c r="I1529" s="6"/>
      <c r="J1529" s="6"/>
      <c r="K1529" s="6"/>
      <c r="L1529" s="6"/>
      <c r="M1529" s="6"/>
      <c r="N1529" s="6"/>
      <c r="O1529" s="6"/>
      <c r="P1529" s="6"/>
      <c r="Q1529" s="6"/>
      <c r="R1529" s="6"/>
      <c r="S1529" s="6"/>
      <c r="T1529" s="6"/>
      <c r="U1529" s="6"/>
      <c r="V1529" s="6"/>
      <c r="W1529" s="6"/>
      <c r="X1529" s="6"/>
      <c r="Y1529" s="6"/>
      <c r="Z1529" s="6"/>
    </row>
    <row r="1530" customFormat="false" ht="15" hidden="false" customHeight="false" outlineLevel="0" collapsed="false">
      <c r="A1530" s="9" t="s">
        <v>7373</v>
      </c>
      <c r="B1530" s="9" t="s">
        <v>5870</v>
      </c>
      <c r="C1530" s="9" t="s">
        <v>1749</v>
      </c>
      <c r="D1530" s="9" t="s">
        <v>5871</v>
      </c>
      <c r="E1530" s="9" t="str">
        <f aca="false">IF(AND('Formation Ledger'!A1509&lt;&gt;"",'Formation Ledger'!V1509=0),"PASS","FAIL")</f>
        <v>PASS</v>
      </c>
      <c r="F1530" s="9" t="s">
        <v>76</v>
      </c>
      <c r="G1530" s="6"/>
      <c r="H1530" s="6"/>
      <c r="I1530" s="6"/>
      <c r="J1530" s="6"/>
      <c r="K1530" s="6"/>
      <c r="L1530" s="6"/>
      <c r="M1530" s="6"/>
      <c r="N1530" s="6"/>
      <c r="O1530" s="6"/>
      <c r="P1530" s="6"/>
      <c r="Q1530" s="6"/>
      <c r="R1530" s="6"/>
      <c r="S1530" s="6"/>
      <c r="T1530" s="6"/>
      <c r="U1530" s="6"/>
      <c r="V1530" s="6"/>
      <c r="W1530" s="6"/>
      <c r="X1530" s="6"/>
      <c r="Y1530" s="6"/>
      <c r="Z1530" s="6"/>
    </row>
    <row r="1531" customFormat="false" ht="15" hidden="false" customHeight="false" outlineLevel="0" collapsed="false">
      <c r="A1531" s="9" t="s">
        <v>7374</v>
      </c>
      <c r="B1531" s="9" t="s">
        <v>5870</v>
      </c>
      <c r="C1531" s="9" t="s">
        <v>1750</v>
      </c>
      <c r="D1531" s="9" t="s">
        <v>5871</v>
      </c>
      <c r="E1531" s="9" t="str">
        <f aca="false">IF(AND('Formation Ledger'!A1510&lt;&gt;"",'Formation Ledger'!V1510=0),"PASS","FAIL")</f>
        <v>PASS</v>
      </c>
      <c r="F1531" s="9" t="s">
        <v>76</v>
      </c>
      <c r="G1531" s="6"/>
      <c r="H1531" s="6"/>
      <c r="I1531" s="6"/>
      <c r="J1531" s="6"/>
      <c r="K1531" s="6"/>
      <c r="L1531" s="6"/>
      <c r="M1531" s="6"/>
      <c r="N1531" s="6"/>
      <c r="O1531" s="6"/>
      <c r="P1531" s="6"/>
      <c r="Q1531" s="6"/>
      <c r="R1531" s="6"/>
      <c r="S1531" s="6"/>
      <c r="T1531" s="6"/>
      <c r="U1531" s="6"/>
      <c r="V1531" s="6"/>
      <c r="W1531" s="6"/>
      <c r="X1531" s="6"/>
      <c r="Y1531" s="6"/>
      <c r="Z1531" s="6"/>
    </row>
    <row r="1532" customFormat="false" ht="15" hidden="false" customHeight="false" outlineLevel="0" collapsed="false">
      <c r="A1532" s="9" t="s">
        <v>7375</v>
      </c>
      <c r="B1532" s="9" t="s">
        <v>5870</v>
      </c>
      <c r="C1532" s="9" t="s">
        <v>1751</v>
      </c>
      <c r="D1532" s="9" t="s">
        <v>5871</v>
      </c>
      <c r="E1532" s="9" t="str">
        <f aca="false">IF(AND('Formation Ledger'!A1511&lt;&gt;"",'Formation Ledger'!V1511=0),"PASS","FAIL")</f>
        <v>PASS</v>
      </c>
      <c r="F1532" s="9" t="s">
        <v>76</v>
      </c>
      <c r="G1532" s="6"/>
      <c r="H1532" s="6"/>
      <c r="I1532" s="6"/>
      <c r="J1532" s="6"/>
      <c r="K1532" s="6"/>
      <c r="L1532" s="6"/>
      <c r="M1532" s="6"/>
      <c r="N1532" s="6"/>
      <c r="O1532" s="6"/>
      <c r="P1532" s="6"/>
      <c r="Q1532" s="6"/>
      <c r="R1532" s="6"/>
      <c r="S1532" s="6"/>
      <c r="T1532" s="6"/>
      <c r="U1532" s="6"/>
      <c r="V1532" s="6"/>
      <c r="W1532" s="6"/>
      <c r="X1532" s="6"/>
      <c r="Y1532" s="6"/>
      <c r="Z1532" s="6"/>
    </row>
    <row r="1533" customFormat="false" ht="15" hidden="false" customHeight="false" outlineLevel="0" collapsed="false">
      <c r="A1533" s="9" t="s">
        <v>7376</v>
      </c>
      <c r="B1533" s="9" t="s">
        <v>5870</v>
      </c>
      <c r="C1533" s="9" t="s">
        <v>1752</v>
      </c>
      <c r="D1533" s="9" t="s">
        <v>5871</v>
      </c>
      <c r="E1533" s="9" t="str">
        <f aca="false">IF(AND('Formation Ledger'!A1512&lt;&gt;"",'Formation Ledger'!V1512=0),"PASS","FAIL")</f>
        <v>PASS</v>
      </c>
      <c r="F1533" s="9" t="s">
        <v>76</v>
      </c>
      <c r="G1533" s="6"/>
      <c r="H1533" s="6"/>
      <c r="I1533" s="6"/>
      <c r="J1533" s="6"/>
      <c r="K1533" s="6"/>
      <c r="L1533" s="6"/>
      <c r="M1533" s="6"/>
      <c r="N1533" s="6"/>
      <c r="O1533" s="6"/>
      <c r="P1533" s="6"/>
      <c r="Q1533" s="6"/>
      <c r="R1533" s="6"/>
      <c r="S1533" s="6"/>
      <c r="T1533" s="6"/>
      <c r="U1533" s="6"/>
      <c r="V1533" s="6"/>
      <c r="W1533" s="6"/>
      <c r="X1533" s="6"/>
      <c r="Y1533" s="6"/>
      <c r="Z1533" s="6"/>
    </row>
    <row r="1534" customFormat="false" ht="15" hidden="false" customHeight="false" outlineLevel="0" collapsed="false">
      <c r="A1534" s="9" t="s">
        <v>7377</v>
      </c>
      <c r="B1534" s="9" t="s">
        <v>5870</v>
      </c>
      <c r="C1534" s="9" t="s">
        <v>1753</v>
      </c>
      <c r="D1534" s="9" t="s">
        <v>5871</v>
      </c>
      <c r="E1534" s="9" t="str">
        <f aca="false">IF(AND('Formation Ledger'!A1513&lt;&gt;"",'Formation Ledger'!V1513=0),"PASS","FAIL")</f>
        <v>PASS</v>
      </c>
      <c r="F1534" s="9" t="s">
        <v>76</v>
      </c>
      <c r="G1534" s="6"/>
      <c r="H1534" s="6"/>
      <c r="I1534" s="6"/>
      <c r="J1534" s="6"/>
      <c r="K1534" s="6"/>
      <c r="L1534" s="6"/>
      <c r="M1534" s="6"/>
      <c r="N1534" s="6"/>
      <c r="O1534" s="6"/>
      <c r="P1534" s="6"/>
      <c r="Q1534" s="6"/>
      <c r="R1534" s="6"/>
      <c r="S1534" s="6"/>
      <c r="T1534" s="6"/>
      <c r="U1534" s="6"/>
      <c r="V1534" s="6"/>
      <c r="W1534" s="6"/>
      <c r="X1534" s="6"/>
      <c r="Y1534" s="6"/>
      <c r="Z1534" s="6"/>
    </row>
    <row r="1535" customFormat="false" ht="15" hidden="false" customHeight="false" outlineLevel="0" collapsed="false">
      <c r="A1535" s="9" t="s">
        <v>7378</v>
      </c>
      <c r="B1535" s="9" t="s">
        <v>5870</v>
      </c>
      <c r="C1535" s="9" t="s">
        <v>1754</v>
      </c>
      <c r="D1535" s="9" t="s">
        <v>5871</v>
      </c>
      <c r="E1535" s="9" t="str">
        <f aca="false">IF(AND('Formation Ledger'!A1514&lt;&gt;"",'Formation Ledger'!V1514=0),"PASS","FAIL")</f>
        <v>PASS</v>
      </c>
      <c r="F1535" s="9" t="s">
        <v>76</v>
      </c>
      <c r="G1535" s="6"/>
      <c r="H1535" s="6"/>
      <c r="I1535" s="6"/>
      <c r="J1535" s="6"/>
      <c r="K1535" s="6"/>
      <c r="L1535" s="6"/>
      <c r="M1535" s="6"/>
      <c r="N1535" s="6"/>
      <c r="O1535" s="6"/>
      <c r="P1535" s="6"/>
      <c r="Q1535" s="6"/>
      <c r="R1535" s="6"/>
      <c r="S1535" s="6"/>
      <c r="T1535" s="6"/>
      <c r="U1535" s="6"/>
      <c r="V1535" s="6"/>
      <c r="W1535" s="6"/>
      <c r="X1535" s="6"/>
      <c r="Y1535" s="6"/>
      <c r="Z1535" s="6"/>
    </row>
    <row r="1536" customFormat="false" ht="15" hidden="false" customHeight="false" outlineLevel="0" collapsed="false">
      <c r="A1536" s="9" t="s">
        <v>7379</v>
      </c>
      <c r="B1536" s="9" t="s">
        <v>5870</v>
      </c>
      <c r="C1536" s="9" t="s">
        <v>1755</v>
      </c>
      <c r="D1536" s="9" t="s">
        <v>5871</v>
      </c>
      <c r="E1536" s="9" t="str">
        <f aca="false">IF(AND('Formation Ledger'!A1515&lt;&gt;"",'Formation Ledger'!V1515=0),"PASS","FAIL")</f>
        <v>PASS</v>
      </c>
      <c r="F1536" s="9" t="s">
        <v>76</v>
      </c>
      <c r="G1536" s="6"/>
      <c r="H1536" s="6"/>
      <c r="I1536" s="6"/>
      <c r="J1536" s="6"/>
      <c r="K1536" s="6"/>
      <c r="L1536" s="6"/>
      <c r="M1536" s="6"/>
      <c r="N1536" s="6"/>
      <c r="O1536" s="6"/>
      <c r="P1536" s="6"/>
      <c r="Q1536" s="6"/>
      <c r="R1536" s="6"/>
      <c r="S1536" s="6"/>
      <c r="T1536" s="6"/>
      <c r="U1536" s="6"/>
      <c r="V1536" s="6"/>
      <c r="W1536" s="6"/>
      <c r="X1536" s="6"/>
      <c r="Y1536" s="6"/>
      <c r="Z1536" s="6"/>
    </row>
    <row r="1537" customFormat="false" ht="15" hidden="false" customHeight="false" outlineLevel="0" collapsed="false">
      <c r="A1537" s="9" t="s">
        <v>7380</v>
      </c>
      <c r="B1537" s="9" t="s">
        <v>5870</v>
      </c>
      <c r="C1537" s="9" t="s">
        <v>1756</v>
      </c>
      <c r="D1537" s="9" t="s">
        <v>5871</v>
      </c>
      <c r="E1537" s="9" t="str">
        <f aca="false">IF(AND('Formation Ledger'!A1516&lt;&gt;"",'Formation Ledger'!V1516=0),"PASS","FAIL")</f>
        <v>PASS</v>
      </c>
      <c r="F1537" s="9" t="s">
        <v>76</v>
      </c>
      <c r="G1537" s="6"/>
      <c r="H1537" s="6"/>
      <c r="I1537" s="6"/>
      <c r="J1537" s="6"/>
      <c r="K1537" s="6"/>
      <c r="L1537" s="6"/>
      <c r="M1537" s="6"/>
      <c r="N1537" s="6"/>
      <c r="O1537" s="6"/>
      <c r="P1537" s="6"/>
      <c r="Q1537" s="6"/>
      <c r="R1537" s="6"/>
      <c r="S1537" s="6"/>
      <c r="T1537" s="6"/>
      <c r="U1537" s="6"/>
      <c r="V1537" s="6"/>
      <c r="W1537" s="6"/>
      <c r="X1537" s="6"/>
      <c r="Y1537" s="6"/>
      <c r="Z1537" s="6"/>
    </row>
    <row r="1538" customFormat="false" ht="15" hidden="false" customHeight="false" outlineLevel="0" collapsed="false">
      <c r="A1538" s="9" t="s">
        <v>7381</v>
      </c>
      <c r="B1538" s="9" t="s">
        <v>5870</v>
      </c>
      <c r="C1538" s="9" t="s">
        <v>1757</v>
      </c>
      <c r="D1538" s="9" t="s">
        <v>5871</v>
      </c>
      <c r="E1538" s="9" t="str">
        <f aca="false">IF(AND('Formation Ledger'!A1517&lt;&gt;"",'Formation Ledger'!V1517=0),"PASS","FAIL")</f>
        <v>PASS</v>
      </c>
      <c r="F1538" s="9" t="s">
        <v>76</v>
      </c>
      <c r="G1538" s="6"/>
      <c r="H1538" s="6"/>
      <c r="I1538" s="6"/>
      <c r="J1538" s="6"/>
      <c r="K1538" s="6"/>
      <c r="L1538" s="6"/>
      <c r="M1538" s="6"/>
      <c r="N1538" s="6"/>
      <c r="O1538" s="6"/>
      <c r="P1538" s="6"/>
      <c r="Q1538" s="6"/>
      <c r="R1538" s="6"/>
      <c r="S1538" s="6"/>
      <c r="T1538" s="6"/>
      <c r="U1538" s="6"/>
      <c r="V1538" s="6"/>
      <c r="W1538" s="6"/>
      <c r="X1538" s="6"/>
      <c r="Y1538" s="6"/>
      <c r="Z1538" s="6"/>
    </row>
    <row r="1539" customFormat="false" ht="15" hidden="false" customHeight="false" outlineLevel="0" collapsed="false">
      <c r="A1539" s="9" t="s">
        <v>7382</v>
      </c>
      <c r="B1539" s="9" t="s">
        <v>5870</v>
      </c>
      <c r="C1539" s="9" t="s">
        <v>1758</v>
      </c>
      <c r="D1539" s="9" t="s">
        <v>5871</v>
      </c>
      <c r="E1539" s="9" t="str">
        <f aca="false">IF(AND('Formation Ledger'!A1518&lt;&gt;"",'Formation Ledger'!V1518=0),"PASS","FAIL")</f>
        <v>PASS</v>
      </c>
      <c r="F1539" s="9" t="s">
        <v>76</v>
      </c>
      <c r="G1539" s="6"/>
      <c r="H1539" s="6"/>
      <c r="I1539" s="6"/>
      <c r="J1539" s="6"/>
      <c r="K1539" s="6"/>
      <c r="L1539" s="6"/>
      <c r="M1539" s="6"/>
      <c r="N1539" s="6"/>
      <c r="O1539" s="6"/>
      <c r="P1539" s="6"/>
      <c r="Q1539" s="6"/>
      <c r="R1539" s="6"/>
      <c r="S1539" s="6"/>
      <c r="T1539" s="6"/>
      <c r="U1539" s="6"/>
      <c r="V1539" s="6"/>
      <c r="W1539" s="6"/>
      <c r="X1539" s="6"/>
      <c r="Y1539" s="6"/>
      <c r="Z1539" s="6"/>
    </row>
    <row r="1540" customFormat="false" ht="15" hidden="false" customHeight="false" outlineLevel="0" collapsed="false">
      <c r="A1540" s="9" t="s">
        <v>7383</v>
      </c>
      <c r="B1540" s="9" t="s">
        <v>5870</v>
      </c>
      <c r="C1540" s="9" t="s">
        <v>1759</v>
      </c>
      <c r="D1540" s="9" t="s">
        <v>5871</v>
      </c>
      <c r="E1540" s="9" t="str">
        <f aca="false">IF(AND('Formation Ledger'!A1519&lt;&gt;"",'Formation Ledger'!V1519=0),"PASS","FAIL")</f>
        <v>PASS</v>
      </c>
      <c r="F1540" s="9" t="s">
        <v>76</v>
      </c>
      <c r="G1540" s="6"/>
      <c r="H1540" s="6"/>
      <c r="I1540" s="6"/>
      <c r="J1540" s="6"/>
      <c r="K1540" s="6"/>
      <c r="L1540" s="6"/>
      <c r="M1540" s="6"/>
      <c r="N1540" s="6"/>
      <c r="O1540" s="6"/>
      <c r="P1540" s="6"/>
      <c r="Q1540" s="6"/>
      <c r="R1540" s="6"/>
      <c r="S1540" s="6"/>
      <c r="T1540" s="6"/>
      <c r="U1540" s="6"/>
      <c r="V1540" s="6"/>
      <c r="W1540" s="6"/>
      <c r="X1540" s="6"/>
      <c r="Y1540" s="6"/>
      <c r="Z1540" s="6"/>
    </row>
    <row r="1541" customFormat="false" ht="15" hidden="false" customHeight="false" outlineLevel="0" collapsed="false">
      <c r="A1541" s="9" t="s">
        <v>7384</v>
      </c>
      <c r="B1541" s="9" t="s">
        <v>5870</v>
      </c>
      <c r="C1541" s="9" t="s">
        <v>1760</v>
      </c>
      <c r="D1541" s="9" t="s">
        <v>5871</v>
      </c>
      <c r="E1541" s="9" t="str">
        <f aca="false">IF(AND('Formation Ledger'!A1520&lt;&gt;"",'Formation Ledger'!V1520=0),"PASS","FAIL")</f>
        <v>PASS</v>
      </c>
      <c r="F1541" s="9" t="s">
        <v>76</v>
      </c>
      <c r="G1541" s="6"/>
      <c r="H1541" s="6"/>
      <c r="I1541" s="6"/>
      <c r="J1541" s="6"/>
      <c r="K1541" s="6"/>
      <c r="L1541" s="6"/>
      <c r="M1541" s="6"/>
      <c r="N1541" s="6"/>
      <c r="O1541" s="6"/>
      <c r="P1541" s="6"/>
      <c r="Q1541" s="6"/>
      <c r="R1541" s="6"/>
      <c r="S1541" s="6"/>
      <c r="T1541" s="6"/>
      <c r="U1541" s="6"/>
      <c r="V1541" s="6"/>
      <c r="W1541" s="6"/>
      <c r="X1541" s="6"/>
      <c r="Y1541" s="6"/>
      <c r="Z1541" s="6"/>
    </row>
    <row r="1542" customFormat="false" ht="15" hidden="false" customHeight="false" outlineLevel="0" collapsed="false">
      <c r="A1542" s="9" t="s">
        <v>7385</v>
      </c>
      <c r="B1542" s="9" t="s">
        <v>5870</v>
      </c>
      <c r="C1542" s="9" t="s">
        <v>1761</v>
      </c>
      <c r="D1542" s="9" t="s">
        <v>5871</v>
      </c>
      <c r="E1542" s="9" t="str">
        <f aca="false">IF(AND('Formation Ledger'!A1521&lt;&gt;"",'Formation Ledger'!V1521=0),"PASS","FAIL")</f>
        <v>PASS</v>
      </c>
      <c r="F1542" s="9" t="s">
        <v>76</v>
      </c>
      <c r="G1542" s="6"/>
      <c r="H1542" s="6"/>
      <c r="I1542" s="6"/>
      <c r="J1542" s="6"/>
      <c r="K1542" s="6"/>
      <c r="L1542" s="6"/>
      <c r="M1542" s="6"/>
      <c r="N1542" s="6"/>
      <c r="O1542" s="6"/>
      <c r="P1542" s="6"/>
      <c r="Q1542" s="6"/>
      <c r="R1542" s="6"/>
      <c r="S1542" s="6"/>
      <c r="T1542" s="6"/>
      <c r="U1542" s="6"/>
      <c r="V1542" s="6"/>
      <c r="W1542" s="6"/>
      <c r="X1542" s="6"/>
      <c r="Y1542" s="6"/>
      <c r="Z1542" s="6"/>
    </row>
    <row r="1543" customFormat="false" ht="15" hidden="false" customHeight="false" outlineLevel="0" collapsed="false">
      <c r="A1543" s="9" t="s">
        <v>7386</v>
      </c>
      <c r="B1543" s="9" t="s">
        <v>5870</v>
      </c>
      <c r="C1543" s="9" t="s">
        <v>1762</v>
      </c>
      <c r="D1543" s="9" t="s">
        <v>5871</v>
      </c>
      <c r="E1543" s="9" t="str">
        <f aca="false">IF(AND('Formation Ledger'!A1522&lt;&gt;"",'Formation Ledger'!V1522=0),"PASS","FAIL")</f>
        <v>PASS</v>
      </c>
      <c r="F1543" s="9" t="s">
        <v>76</v>
      </c>
      <c r="G1543" s="6"/>
      <c r="H1543" s="6"/>
      <c r="I1543" s="6"/>
      <c r="J1543" s="6"/>
      <c r="K1543" s="6"/>
      <c r="L1543" s="6"/>
      <c r="M1543" s="6"/>
      <c r="N1543" s="6"/>
      <c r="O1543" s="6"/>
      <c r="P1543" s="6"/>
      <c r="Q1543" s="6"/>
      <c r="R1543" s="6"/>
      <c r="S1543" s="6"/>
      <c r="T1543" s="6"/>
      <c r="U1543" s="6"/>
      <c r="V1543" s="6"/>
      <c r="W1543" s="6"/>
      <c r="X1543" s="6"/>
      <c r="Y1543" s="6"/>
      <c r="Z1543" s="6"/>
    </row>
    <row r="1544" customFormat="false" ht="15" hidden="false" customHeight="false" outlineLevel="0" collapsed="false">
      <c r="A1544" s="9" t="s">
        <v>7387</v>
      </c>
      <c r="B1544" s="9" t="s">
        <v>5870</v>
      </c>
      <c r="C1544" s="9" t="s">
        <v>1763</v>
      </c>
      <c r="D1544" s="9" t="s">
        <v>5871</v>
      </c>
      <c r="E1544" s="9" t="str">
        <f aca="false">IF(AND('Formation Ledger'!A1523&lt;&gt;"",'Formation Ledger'!V1523=0),"PASS","FAIL")</f>
        <v>PASS</v>
      </c>
      <c r="F1544" s="9" t="s">
        <v>76</v>
      </c>
      <c r="G1544" s="6"/>
      <c r="H1544" s="6"/>
      <c r="I1544" s="6"/>
      <c r="J1544" s="6"/>
      <c r="K1544" s="6"/>
      <c r="L1544" s="6"/>
      <c r="M1544" s="6"/>
      <c r="N1544" s="6"/>
      <c r="O1544" s="6"/>
      <c r="P1544" s="6"/>
      <c r="Q1544" s="6"/>
      <c r="R1544" s="6"/>
      <c r="S1544" s="6"/>
      <c r="T1544" s="6"/>
      <c r="U1544" s="6"/>
      <c r="V1544" s="6"/>
      <c r="W1544" s="6"/>
      <c r="X1544" s="6"/>
      <c r="Y1544" s="6"/>
      <c r="Z1544" s="6"/>
    </row>
    <row r="1545" customFormat="false" ht="15" hidden="false" customHeight="false" outlineLevel="0" collapsed="false">
      <c r="A1545" s="9" t="s">
        <v>7388</v>
      </c>
      <c r="B1545" s="9" t="s">
        <v>5870</v>
      </c>
      <c r="C1545" s="9" t="s">
        <v>1764</v>
      </c>
      <c r="D1545" s="9" t="s">
        <v>5871</v>
      </c>
      <c r="E1545" s="9" t="str">
        <f aca="false">IF(AND('Formation Ledger'!A1524&lt;&gt;"",'Formation Ledger'!V1524=0),"PASS","FAIL")</f>
        <v>PASS</v>
      </c>
      <c r="F1545" s="9" t="s">
        <v>76</v>
      </c>
      <c r="G1545" s="6"/>
      <c r="H1545" s="6"/>
      <c r="I1545" s="6"/>
      <c r="J1545" s="6"/>
      <c r="K1545" s="6"/>
      <c r="L1545" s="6"/>
      <c r="M1545" s="6"/>
      <c r="N1545" s="6"/>
      <c r="O1545" s="6"/>
      <c r="P1545" s="6"/>
      <c r="Q1545" s="6"/>
      <c r="R1545" s="6"/>
      <c r="S1545" s="6"/>
      <c r="T1545" s="6"/>
      <c r="U1545" s="6"/>
      <c r="V1545" s="6"/>
      <c r="W1545" s="6"/>
      <c r="X1545" s="6"/>
      <c r="Y1545" s="6"/>
      <c r="Z1545" s="6"/>
    </row>
    <row r="1546" customFormat="false" ht="15" hidden="false" customHeight="false" outlineLevel="0" collapsed="false">
      <c r="A1546" s="9" t="s">
        <v>7389</v>
      </c>
      <c r="B1546" s="9" t="s">
        <v>5870</v>
      </c>
      <c r="C1546" s="9" t="s">
        <v>1765</v>
      </c>
      <c r="D1546" s="9" t="s">
        <v>5871</v>
      </c>
      <c r="E1546" s="9" t="str">
        <f aca="false">IF(AND('Formation Ledger'!A1525&lt;&gt;"",'Formation Ledger'!V1525=0),"PASS","FAIL")</f>
        <v>PASS</v>
      </c>
      <c r="F1546" s="9" t="s">
        <v>76</v>
      </c>
      <c r="G1546" s="6"/>
      <c r="H1546" s="6"/>
      <c r="I1546" s="6"/>
      <c r="J1546" s="6"/>
      <c r="K1546" s="6"/>
      <c r="L1546" s="6"/>
      <c r="M1546" s="6"/>
      <c r="N1546" s="6"/>
      <c r="O1546" s="6"/>
      <c r="P1546" s="6"/>
      <c r="Q1546" s="6"/>
      <c r="R1546" s="6"/>
      <c r="S1546" s="6"/>
      <c r="T1546" s="6"/>
      <c r="U1546" s="6"/>
      <c r="V1546" s="6"/>
      <c r="W1546" s="6"/>
      <c r="X1546" s="6"/>
      <c r="Y1546" s="6"/>
      <c r="Z1546" s="6"/>
    </row>
    <row r="1547" customFormat="false" ht="15" hidden="false" customHeight="false" outlineLevel="0" collapsed="false">
      <c r="A1547" s="9" t="s">
        <v>7390</v>
      </c>
      <c r="B1547" s="9" t="s">
        <v>5870</v>
      </c>
      <c r="C1547" s="9" t="s">
        <v>1766</v>
      </c>
      <c r="D1547" s="9" t="s">
        <v>5871</v>
      </c>
      <c r="E1547" s="9" t="str">
        <f aca="false">IF(AND('Formation Ledger'!A1526&lt;&gt;"",'Formation Ledger'!V1526=0),"PASS","FAIL")</f>
        <v>PASS</v>
      </c>
      <c r="F1547" s="9" t="s">
        <v>76</v>
      </c>
      <c r="G1547" s="6"/>
      <c r="H1547" s="6"/>
      <c r="I1547" s="6"/>
      <c r="J1547" s="6"/>
      <c r="K1547" s="6"/>
      <c r="L1547" s="6"/>
      <c r="M1547" s="6"/>
      <c r="N1547" s="6"/>
      <c r="O1547" s="6"/>
      <c r="P1547" s="6"/>
      <c r="Q1547" s="6"/>
      <c r="R1547" s="6"/>
      <c r="S1547" s="6"/>
      <c r="T1547" s="6"/>
      <c r="U1547" s="6"/>
      <c r="V1547" s="6"/>
      <c r="W1547" s="6"/>
      <c r="X1547" s="6"/>
      <c r="Y1547" s="6"/>
      <c r="Z1547" s="6"/>
    </row>
    <row r="1548" customFormat="false" ht="15" hidden="false" customHeight="false" outlineLevel="0" collapsed="false">
      <c r="A1548" s="9" t="s">
        <v>7391</v>
      </c>
      <c r="B1548" s="9" t="s">
        <v>5870</v>
      </c>
      <c r="C1548" s="9" t="s">
        <v>1767</v>
      </c>
      <c r="D1548" s="9" t="s">
        <v>5871</v>
      </c>
      <c r="E1548" s="9" t="str">
        <f aca="false">IF(AND('Formation Ledger'!A1527&lt;&gt;"",'Formation Ledger'!V1527=0),"PASS","FAIL")</f>
        <v>PASS</v>
      </c>
      <c r="F1548" s="9" t="s">
        <v>76</v>
      </c>
      <c r="G1548" s="6"/>
      <c r="H1548" s="6"/>
      <c r="I1548" s="6"/>
      <c r="J1548" s="6"/>
      <c r="K1548" s="6"/>
      <c r="L1548" s="6"/>
      <c r="M1548" s="6"/>
      <c r="N1548" s="6"/>
      <c r="O1548" s="6"/>
      <c r="P1548" s="6"/>
      <c r="Q1548" s="6"/>
      <c r="R1548" s="6"/>
      <c r="S1548" s="6"/>
      <c r="T1548" s="6"/>
      <c r="U1548" s="6"/>
      <c r="V1548" s="6"/>
      <c r="W1548" s="6"/>
      <c r="X1548" s="6"/>
      <c r="Y1548" s="6"/>
      <c r="Z1548" s="6"/>
    </row>
    <row r="1549" customFormat="false" ht="15" hidden="false" customHeight="false" outlineLevel="0" collapsed="false">
      <c r="A1549" s="9" t="s">
        <v>7392</v>
      </c>
      <c r="B1549" s="9" t="s">
        <v>5870</v>
      </c>
      <c r="C1549" s="9" t="s">
        <v>1768</v>
      </c>
      <c r="D1549" s="9" t="s">
        <v>5871</v>
      </c>
      <c r="E1549" s="9" t="str">
        <f aca="false">IF(AND('Formation Ledger'!A1528&lt;&gt;"",'Formation Ledger'!V1528=0),"PASS","FAIL")</f>
        <v>PASS</v>
      </c>
      <c r="F1549" s="9" t="s">
        <v>76</v>
      </c>
      <c r="G1549" s="6"/>
      <c r="H1549" s="6"/>
      <c r="I1549" s="6"/>
      <c r="J1549" s="6"/>
      <c r="K1549" s="6"/>
      <c r="L1549" s="6"/>
      <c r="M1549" s="6"/>
      <c r="N1549" s="6"/>
      <c r="O1549" s="6"/>
      <c r="P1549" s="6"/>
      <c r="Q1549" s="6"/>
      <c r="R1549" s="6"/>
      <c r="S1549" s="6"/>
      <c r="T1549" s="6"/>
      <c r="U1549" s="6"/>
      <c r="V1549" s="6"/>
      <c r="W1549" s="6"/>
      <c r="X1549" s="6"/>
      <c r="Y1549" s="6"/>
      <c r="Z1549" s="6"/>
    </row>
    <row r="1550" customFormat="false" ht="15" hidden="false" customHeight="false" outlineLevel="0" collapsed="false">
      <c r="A1550" s="9" t="s">
        <v>7393</v>
      </c>
      <c r="B1550" s="9" t="s">
        <v>5870</v>
      </c>
      <c r="C1550" s="9" t="s">
        <v>1769</v>
      </c>
      <c r="D1550" s="9" t="s">
        <v>5871</v>
      </c>
      <c r="E1550" s="9" t="str">
        <f aca="false">IF(AND('Formation Ledger'!A1529&lt;&gt;"",'Formation Ledger'!V1529=0),"PASS","FAIL")</f>
        <v>PASS</v>
      </c>
      <c r="F1550" s="9" t="s">
        <v>76</v>
      </c>
      <c r="G1550" s="6"/>
      <c r="H1550" s="6"/>
      <c r="I1550" s="6"/>
      <c r="J1550" s="6"/>
      <c r="K1550" s="6"/>
      <c r="L1550" s="6"/>
      <c r="M1550" s="6"/>
      <c r="N1550" s="6"/>
      <c r="O1550" s="6"/>
      <c r="P1550" s="6"/>
      <c r="Q1550" s="6"/>
      <c r="R1550" s="6"/>
      <c r="S1550" s="6"/>
      <c r="T1550" s="6"/>
      <c r="U1550" s="6"/>
      <c r="V1550" s="6"/>
      <c r="W1550" s="6"/>
      <c r="X1550" s="6"/>
      <c r="Y1550" s="6"/>
      <c r="Z1550" s="6"/>
    </row>
    <row r="1551" customFormat="false" ht="15" hidden="false" customHeight="false" outlineLevel="0" collapsed="false">
      <c r="A1551" s="9" t="s">
        <v>7394</v>
      </c>
      <c r="B1551" s="9" t="s">
        <v>5870</v>
      </c>
      <c r="C1551" s="9" t="s">
        <v>1770</v>
      </c>
      <c r="D1551" s="9" t="s">
        <v>5871</v>
      </c>
      <c r="E1551" s="9" t="str">
        <f aca="false">IF(AND('Formation Ledger'!A1530&lt;&gt;"",'Formation Ledger'!V1530=0),"PASS","FAIL")</f>
        <v>PASS</v>
      </c>
      <c r="F1551" s="9" t="s">
        <v>76</v>
      </c>
      <c r="G1551" s="6"/>
      <c r="H1551" s="6"/>
      <c r="I1551" s="6"/>
      <c r="J1551" s="6"/>
      <c r="K1551" s="6"/>
      <c r="L1551" s="6"/>
      <c r="M1551" s="6"/>
      <c r="N1551" s="6"/>
      <c r="O1551" s="6"/>
      <c r="P1551" s="6"/>
      <c r="Q1551" s="6"/>
      <c r="R1551" s="6"/>
      <c r="S1551" s="6"/>
      <c r="T1551" s="6"/>
      <c r="U1551" s="6"/>
      <c r="V1551" s="6"/>
      <c r="W1551" s="6"/>
      <c r="X1551" s="6"/>
      <c r="Y1551" s="6"/>
      <c r="Z1551" s="6"/>
    </row>
    <row r="1552" customFormat="false" ht="15" hidden="false" customHeight="false" outlineLevel="0" collapsed="false">
      <c r="A1552" s="9" t="s">
        <v>7395</v>
      </c>
      <c r="B1552" s="9" t="s">
        <v>5870</v>
      </c>
      <c r="C1552" s="9" t="s">
        <v>1771</v>
      </c>
      <c r="D1552" s="9" t="s">
        <v>5871</v>
      </c>
      <c r="E1552" s="9" t="str">
        <f aca="false">IF(AND('Formation Ledger'!A1531&lt;&gt;"",'Formation Ledger'!V1531=0),"PASS","FAIL")</f>
        <v>PASS</v>
      </c>
      <c r="F1552" s="9" t="s">
        <v>76</v>
      </c>
      <c r="G1552" s="6"/>
      <c r="H1552" s="6"/>
      <c r="I1552" s="6"/>
      <c r="J1552" s="6"/>
      <c r="K1552" s="6"/>
      <c r="L1552" s="6"/>
      <c r="M1552" s="6"/>
      <c r="N1552" s="6"/>
      <c r="O1552" s="6"/>
      <c r="P1552" s="6"/>
      <c r="Q1552" s="6"/>
      <c r="R1552" s="6"/>
      <c r="S1552" s="6"/>
      <c r="T1552" s="6"/>
      <c r="U1552" s="6"/>
      <c r="V1552" s="6"/>
      <c r="W1552" s="6"/>
      <c r="X1552" s="6"/>
      <c r="Y1552" s="6"/>
      <c r="Z1552" s="6"/>
    </row>
    <row r="1553" customFormat="false" ht="15" hidden="false" customHeight="false" outlineLevel="0" collapsed="false">
      <c r="A1553" s="9" t="s">
        <v>7396</v>
      </c>
      <c r="B1553" s="9" t="s">
        <v>5870</v>
      </c>
      <c r="C1553" s="9" t="s">
        <v>1772</v>
      </c>
      <c r="D1553" s="9" t="s">
        <v>5871</v>
      </c>
      <c r="E1553" s="9" t="str">
        <f aca="false">IF(AND('Formation Ledger'!A1532&lt;&gt;"",'Formation Ledger'!V1532=0),"PASS","FAIL")</f>
        <v>PASS</v>
      </c>
      <c r="F1553" s="9" t="s">
        <v>76</v>
      </c>
      <c r="G1553" s="6"/>
      <c r="H1553" s="6"/>
      <c r="I1553" s="6"/>
      <c r="J1553" s="6"/>
      <c r="K1553" s="6"/>
      <c r="L1553" s="6"/>
      <c r="M1553" s="6"/>
      <c r="N1553" s="6"/>
      <c r="O1553" s="6"/>
      <c r="P1553" s="6"/>
      <c r="Q1553" s="6"/>
      <c r="R1553" s="6"/>
      <c r="S1553" s="6"/>
      <c r="T1553" s="6"/>
      <c r="U1553" s="6"/>
      <c r="V1553" s="6"/>
      <c r="W1553" s="6"/>
      <c r="X1553" s="6"/>
      <c r="Y1553" s="6"/>
      <c r="Z1553" s="6"/>
    </row>
    <row r="1554" customFormat="false" ht="15" hidden="false" customHeight="false" outlineLevel="0" collapsed="false">
      <c r="A1554" s="9" t="s">
        <v>7397</v>
      </c>
      <c r="B1554" s="9" t="s">
        <v>5870</v>
      </c>
      <c r="C1554" s="9" t="s">
        <v>1773</v>
      </c>
      <c r="D1554" s="9" t="s">
        <v>5871</v>
      </c>
      <c r="E1554" s="9" t="str">
        <f aca="false">IF(AND('Formation Ledger'!A1533&lt;&gt;"",'Formation Ledger'!V1533=0),"PASS","FAIL")</f>
        <v>PASS</v>
      </c>
      <c r="F1554" s="9" t="s">
        <v>76</v>
      </c>
      <c r="G1554" s="6"/>
      <c r="H1554" s="6"/>
      <c r="I1554" s="6"/>
      <c r="J1554" s="6"/>
      <c r="K1554" s="6"/>
      <c r="L1554" s="6"/>
      <c r="M1554" s="6"/>
      <c r="N1554" s="6"/>
      <c r="O1554" s="6"/>
      <c r="P1554" s="6"/>
      <c r="Q1554" s="6"/>
      <c r="R1554" s="6"/>
      <c r="S1554" s="6"/>
      <c r="T1554" s="6"/>
      <c r="U1554" s="6"/>
      <c r="V1554" s="6"/>
      <c r="W1554" s="6"/>
      <c r="X1554" s="6"/>
      <c r="Y1554" s="6"/>
      <c r="Z1554" s="6"/>
    </row>
    <row r="1555" customFormat="false" ht="15" hidden="false" customHeight="false" outlineLevel="0" collapsed="false">
      <c r="A1555" s="9" t="s">
        <v>7398</v>
      </c>
      <c r="B1555" s="9" t="s">
        <v>5870</v>
      </c>
      <c r="C1555" s="9" t="s">
        <v>1774</v>
      </c>
      <c r="D1555" s="9" t="s">
        <v>5871</v>
      </c>
      <c r="E1555" s="9" t="str">
        <f aca="false">IF(AND('Formation Ledger'!A1534&lt;&gt;"",'Formation Ledger'!V1534=0),"PASS","FAIL")</f>
        <v>PASS</v>
      </c>
      <c r="F1555" s="9" t="s">
        <v>76</v>
      </c>
      <c r="G1555" s="6"/>
      <c r="H1555" s="6"/>
      <c r="I1555" s="6"/>
      <c r="J1555" s="6"/>
      <c r="K1555" s="6"/>
      <c r="L1555" s="6"/>
      <c r="M1555" s="6"/>
      <c r="N1555" s="6"/>
      <c r="O1555" s="6"/>
      <c r="P1555" s="6"/>
      <c r="Q1555" s="6"/>
      <c r="R1555" s="6"/>
      <c r="S1555" s="6"/>
      <c r="T1555" s="6"/>
      <c r="U1555" s="6"/>
      <c r="V1555" s="6"/>
      <c r="W1555" s="6"/>
      <c r="X1555" s="6"/>
      <c r="Y1555" s="6"/>
      <c r="Z1555" s="6"/>
    </row>
    <row r="1556" customFormat="false" ht="15" hidden="false" customHeight="false" outlineLevel="0" collapsed="false">
      <c r="A1556" s="9" t="s">
        <v>7399</v>
      </c>
      <c r="B1556" s="9" t="s">
        <v>5870</v>
      </c>
      <c r="C1556" s="9" t="s">
        <v>1775</v>
      </c>
      <c r="D1556" s="9" t="s">
        <v>5871</v>
      </c>
      <c r="E1556" s="9" t="str">
        <f aca="false">IF(AND('Formation Ledger'!A1535&lt;&gt;"",'Formation Ledger'!V1535=0),"PASS","FAIL")</f>
        <v>PASS</v>
      </c>
      <c r="F1556" s="9" t="s">
        <v>76</v>
      </c>
      <c r="G1556" s="6"/>
      <c r="H1556" s="6"/>
      <c r="I1556" s="6"/>
      <c r="J1556" s="6"/>
      <c r="K1556" s="6"/>
      <c r="L1556" s="6"/>
      <c r="M1556" s="6"/>
      <c r="N1556" s="6"/>
      <c r="O1556" s="6"/>
      <c r="P1556" s="6"/>
      <c r="Q1556" s="6"/>
      <c r="R1556" s="6"/>
      <c r="S1556" s="6"/>
      <c r="T1556" s="6"/>
      <c r="U1556" s="6"/>
      <c r="V1556" s="6"/>
      <c r="W1556" s="6"/>
      <c r="X1556" s="6"/>
      <c r="Y1556" s="6"/>
      <c r="Z1556" s="6"/>
    </row>
    <row r="1557" customFormat="false" ht="15" hidden="false" customHeight="false" outlineLevel="0" collapsed="false">
      <c r="A1557" s="9" t="s">
        <v>7400</v>
      </c>
      <c r="B1557" s="9" t="s">
        <v>5870</v>
      </c>
      <c r="C1557" s="9" t="s">
        <v>1776</v>
      </c>
      <c r="D1557" s="9" t="s">
        <v>5871</v>
      </c>
      <c r="E1557" s="9" t="str">
        <f aca="false">IF(AND('Formation Ledger'!A1536&lt;&gt;"",'Formation Ledger'!V1536=0),"PASS","FAIL")</f>
        <v>PASS</v>
      </c>
      <c r="F1557" s="9" t="s">
        <v>76</v>
      </c>
      <c r="G1557" s="6"/>
      <c r="H1557" s="6"/>
      <c r="I1557" s="6"/>
      <c r="J1557" s="6"/>
      <c r="K1557" s="6"/>
      <c r="L1557" s="6"/>
      <c r="M1557" s="6"/>
      <c r="N1557" s="6"/>
      <c r="O1557" s="6"/>
      <c r="P1557" s="6"/>
      <c r="Q1557" s="6"/>
      <c r="R1557" s="6"/>
      <c r="S1557" s="6"/>
      <c r="T1557" s="6"/>
      <c r="U1557" s="6"/>
      <c r="V1557" s="6"/>
      <c r="W1557" s="6"/>
      <c r="X1557" s="6"/>
      <c r="Y1557" s="6"/>
      <c r="Z1557" s="6"/>
    </row>
    <row r="1558" customFormat="false" ht="15" hidden="false" customHeight="false" outlineLevel="0" collapsed="false">
      <c r="A1558" s="9" t="s">
        <v>7401</v>
      </c>
      <c r="B1558" s="9" t="s">
        <v>5870</v>
      </c>
      <c r="C1558" s="9" t="s">
        <v>1777</v>
      </c>
      <c r="D1558" s="9" t="s">
        <v>5871</v>
      </c>
      <c r="E1558" s="9" t="str">
        <f aca="false">IF(AND('Formation Ledger'!A1537&lt;&gt;"",'Formation Ledger'!V1537=0),"PASS","FAIL")</f>
        <v>PASS</v>
      </c>
      <c r="F1558" s="9" t="s">
        <v>76</v>
      </c>
      <c r="G1558" s="6"/>
      <c r="H1558" s="6"/>
      <c r="I1558" s="6"/>
      <c r="J1558" s="6"/>
      <c r="K1558" s="6"/>
      <c r="L1558" s="6"/>
      <c r="M1558" s="6"/>
      <c r="N1558" s="6"/>
      <c r="O1558" s="6"/>
      <c r="P1558" s="6"/>
      <c r="Q1558" s="6"/>
      <c r="R1558" s="6"/>
      <c r="S1558" s="6"/>
      <c r="T1558" s="6"/>
      <c r="U1558" s="6"/>
      <c r="V1558" s="6"/>
      <c r="W1558" s="6"/>
      <c r="X1558" s="6"/>
      <c r="Y1558" s="6"/>
      <c r="Z1558" s="6"/>
    </row>
    <row r="1559" customFormat="false" ht="15" hidden="false" customHeight="false" outlineLevel="0" collapsed="false">
      <c r="A1559" s="9" t="s">
        <v>7402</v>
      </c>
      <c r="B1559" s="9" t="s">
        <v>5870</v>
      </c>
      <c r="C1559" s="9" t="s">
        <v>1778</v>
      </c>
      <c r="D1559" s="9" t="s">
        <v>5871</v>
      </c>
      <c r="E1559" s="9" t="str">
        <f aca="false">IF(AND('Formation Ledger'!A1538&lt;&gt;"",'Formation Ledger'!V1538=0),"PASS","FAIL")</f>
        <v>PASS</v>
      </c>
      <c r="F1559" s="9" t="s">
        <v>76</v>
      </c>
      <c r="G1559" s="6"/>
      <c r="H1559" s="6"/>
      <c r="I1559" s="6"/>
      <c r="J1559" s="6"/>
      <c r="K1559" s="6"/>
      <c r="L1559" s="6"/>
      <c r="M1559" s="6"/>
      <c r="N1559" s="6"/>
      <c r="O1559" s="6"/>
      <c r="P1559" s="6"/>
      <c r="Q1559" s="6"/>
      <c r="R1559" s="6"/>
      <c r="S1559" s="6"/>
      <c r="T1559" s="6"/>
      <c r="U1559" s="6"/>
      <c r="V1559" s="6"/>
      <c r="W1559" s="6"/>
      <c r="X1559" s="6"/>
      <c r="Y1559" s="6"/>
      <c r="Z1559" s="6"/>
    </row>
    <row r="1560" customFormat="false" ht="15" hidden="false" customHeight="false" outlineLevel="0" collapsed="false">
      <c r="A1560" s="9" t="s">
        <v>7403</v>
      </c>
      <c r="B1560" s="9" t="s">
        <v>5870</v>
      </c>
      <c r="C1560" s="9" t="s">
        <v>1779</v>
      </c>
      <c r="D1560" s="9" t="s">
        <v>5871</v>
      </c>
      <c r="E1560" s="9" t="str">
        <f aca="false">IF(AND('Formation Ledger'!A1539&lt;&gt;"",'Formation Ledger'!V1539=0),"PASS","FAIL")</f>
        <v>PASS</v>
      </c>
      <c r="F1560" s="9" t="s">
        <v>76</v>
      </c>
      <c r="G1560" s="6"/>
      <c r="H1560" s="6"/>
      <c r="I1560" s="6"/>
      <c r="J1560" s="6"/>
      <c r="K1560" s="6"/>
      <c r="L1560" s="6"/>
      <c r="M1560" s="6"/>
      <c r="N1560" s="6"/>
      <c r="O1560" s="6"/>
      <c r="P1560" s="6"/>
      <c r="Q1560" s="6"/>
      <c r="R1560" s="6"/>
      <c r="S1560" s="6"/>
      <c r="T1560" s="6"/>
      <c r="U1560" s="6"/>
      <c r="V1560" s="6"/>
      <c r="W1560" s="6"/>
      <c r="X1560" s="6"/>
      <c r="Y1560" s="6"/>
      <c r="Z1560" s="6"/>
    </row>
    <row r="1561" customFormat="false" ht="15" hidden="false" customHeight="false" outlineLevel="0" collapsed="false">
      <c r="A1561" s="9" t="s">
        <v>7404</v>
      </c>
      <c r="B1561" s="9" t="s">
        <v>5870</v>
      </c>
      <c r="C1561" s="9" t="s">
        <v>1780</v>
      </c>
      <c r="D1561" s="9" t="s">
        <v>5871</v>
      </c>
      <c r="E1561" s="9" t="str">
        <f aca="false">IF(AND('Formation Ledger'!A1540&lt;&gt;"",'Formation Ledger'!V1540=0),"PASS","FAIL")</f>
        <v>PASS</v>
      </c>
      <c r="F1561" s="9" t="s">
        <v>76</v>
      </c>
      <c r="G1561" s="6"/>
      <c r="H1561" s="6"/>
      <c r="I1561" s="6"/>
      <c r="J1561" s="6"/>
      <c r="K1561" s="6"/>
      <c r="L1561" s="6"/>
      <c r="M1561" s="6"/>
      <c r="N1561" s="6"/>
      <c r="O1561" s="6"/>
      <c r="P1561" s="6"/>
      <c r="Q1561" s="6"/>
      <c r="R1561" s="6"/>
      <c r="S1561" s="6"/>
      <c r="T1561" s="6"/>
      <c r="U1561" s="6"/>
      <c r="V1561" s="6"/>
      <c r="W1561" s="6"/>
      <c r="X1561" s="6"/>
      <c r="Y1561" s="6"/>
      <c r="Z1561" s="6"/>
    </row>
    <row r="1562" customFormat="false" ht="15" hidden="false" customHeight="false" outlineLevel="0" collapsed="false">
      <c r="A1562" s="9" t="s">
        <v>7405</v>
      </c>
      <c r="B1562" s="9" t="s">
        <v>5870</v>
      </c>
      <c r="C1562" s="9" t="s">
        <v>1781</v>
      </c>
      <c r="D1562" s="9" t="s">
        <v>5871</v>
      </c>
      <c r="E1562" s="9" t="str">
        <f aca="false">IF(AND('Formation Ledger'!A1541&lt;&gt;"",'Formation Ledger'!V1541=0),"PASS","FAIL")</f>
        <v>PASS</v>
      </c>
      <c r="F1562" s="9" t="s">
        <v>76</v>
      </c>
      <c r="G1562" s="6"/>
      <c r="H1562" s="6"/>
      <c r="I1562" s="6"/>
      <c r="J1562" s="6"/>
      <c r="K1562" s="6"/>
      <c r="L1562" s="6"/>
      <c r="M1562" s="6"/>
      <c r="N1562" s="6"/>
      <c r="O1562" s="6"/>
      <c r="P1562" s="6"/>
      <c r="Q1562" s="6"/>
      <c r="R1562" s="6"/>
      <c r="S1562" s="6"/>
      <c r="T1562" s="6"/>
      <c r="U1562" s="6"/>
      <c r="V1562" s="6"/>
      <c r="W1562" s="6"/>
      <c r="X1562" s="6"/>
      <c r="Y1562" s="6"/>
      <c r="Z1562" s="6"/>
    </row>
    <row r="1563" customFormat="false" ht="15" hidden="false" customHeight="false" outlineLevel="0" collapsed="false">
      <c r="A1563" s="9" t="s">
        <v>7406</v>
      </c>
      <c r="B1563" s="9" t="s">
        <v>5870</v>
      </c>
      <c r="C1563" s="9" t="s">
        <v>1782</v>
      </c>
      <c r="D1563" s="9" t="s">
        <v>5871</v>
      </c>
      <c r="E1563" s="9" t="str">
        <f aca="false">IF(AND('Formation Ledger'!A1542&lt;&gt;"",'Formation Ledger'!V1542=0),"PASS","FAIL")</f>
        <v>PASS</v>
      </c>
      <c r="F1563" s="9" t="s">
        <v>76</v>
      </c>
      <c r="G1563" s="6"/>
      <c r="H1563" s="6"/>
      <c r="I1563" s="6"/>
      <c r="J1563" s="6"/>
      <c r="K1563" s="6"/>
      <c r="L1563" s="6"/>
      <c r="M1563" s="6"/>
      <c r="N1563" s="6"/>
      <c r="O1563" s="6"/>
      <c r="P1563" s="6"/>
      <c r="Q1563" s="6"/>
      <c r="R1563" s="6"/>
      <c r="S1563" s="6"/>
      <c r="T1563" s="6"/>
      <c r="U1563" s="6"/>
      <c r="V1563" s="6"/>
      <c r="W1563" s="6"/>
      <c r="X1563" s="6"/>
      <c r="Y1563" s="6"/>
      <c r="Z1563" s="6"/>
    </row>
    <row r="1564" customFormat="false" ht="15" hidden="false" customHeight="false" outlineLevel="0" collapsed="false">
      <c r="A1564" s="9" t="s">
        <v>7407</v>
      </c>
      <c r="B1564" s="9" t="s">
        <v>5870</v>
      </c>
      <c r="C1564" s="9" t="s">
        <v>1783</v>
      </c>
      <c r="D1564" s="9" t="s">
        <v>5871</v>
      </c>
      <c r="E1564" s="9" t="str">
        <f aca="false">IF(AND('Formation Ledger'!A1543&lt;&gt;"",'Formation Ledger'!V1543=0),"PASS","FAIL")</f>
        <v>PASS</v>
      </c>
      <c r="F1564" s="9" t="s">
        <v>76</v>
      </c>
      <c r="G1564" s="6"/>
      <c r="H1564" s="6"/>
      <c r="I1564" s="6"/>
      <c r="J1564" s="6"/>
      <c r="K1564" s="6"/>
      <c r="L1564" s="6"/>
      <c r="M1564" s="6"/>
      <c r="N1564" s="6"/>
      <c r="O1564" s="6"/>
      <c r="P1564" s="6"/>
      <c r="Q1564" s="6"/>
      <c r="R1564" s="6"/>
      <c r="S1564" s="6"/>
      <c r="T1564" s="6"/>
      <c r="U1564" s="6"/>
      <c r="V1564" s="6"/>
      <c r="W1564" s="6"/>
      <c r="X1564" s="6"/>
      <c r="Y1564" s="6"/>
      <c r="Z1564" s="6"/>
    </row>
    <row r="1565" customFormat="false" ht="15" hidden="false" customHeight="false" outlineLevel="0" collapsed="false">
      <c r="A1565" s="9" t="s">
        <v>7408</v>
      </c>
      <c r="B1565" s="9" t="s">
        <v>5870</v>
      </c>
      <c r="C1565" s="9" t="s">
        <v>1784</v>
      </c>
      <c r="D1565" s="9" t="s">
        <v>5871</v>
      </c>
      <c r="E1565" s="9" t="str">
        <f aca="false">IF(AND('Formation Ledger'!A1544&lt;&gt;"",'Formation Ledger'!V1544=0),"PASS","FAIL")</f>
        <v>PASS</v>
      </c>
      <c r="F1565" s="9" t="s">
        <v>76</v>
      </c>
      <c r="G1565" s="6"/>
      <c r="H1565" s="6"/>
      <c r="I1565" s="6"/>
      <c r="J1565" s="6"/>
      <c r="K1565" s="6"/>
      <c r="L1565" s="6"/>
      <c r="M1565" s="6"/>
      <c r="N1565" s="6"/>
      <c r="O1565" s="6"/>
      <c r="P1565" s="6"/>
      <c r="Q1565" s="6"/>
      <c r="R1565" s="6"/>
      <c r="S1565" s="6"/>
      <c r="T1565" s="6"/>
      <c r="U1565" s="6"/>
      <c r="V1565" s="6"/>
      <c r="W1565" s="6"/>
      <c r="X1565" s="6"/>
      <c r="Y1565" s="6"/>
      <c r="Z1565" s="6"/>
    </row>
    <row r="1566" customFormat="false" ht="15" hidden="false" customHeight="false" outlineLevel="0" collapsed="false">
      <c r="A1566" s="9" t="s">
        <v>7409</v>
      </c>
      <c r="B1566" s="9" t="s">
        <v>5870</v>
      </c>
      <c r="C1566" s="9" t="s">
        <v>1785</v>
      </c>
      <c r="D1566" s="9" t="s">
        <v>5871</v>
      </c>
      <c r="E1566" s="9" t="str">
        <f aca="false">IF(AND('Formation Ledger'!A1545&lt;&gt;"",'Formation Ledger'!V1545=0),"PASS","FAIL")</f>
        <v>PASS</v>
      </c>
      <c r="F1566" s="9" t="s">
        <v>76</v>
      </c>
      <c r="G1566" s="6"/>
      <c r="H1566" s="6"/>
      <c r="I1566" s="6"/>
      <c r="J1566" s="6"/>
      <c r="K1566" s="6"/>
      <c r="L1566" s="6"/>
      <c r="M1566" s="6"/>
      <c r="N1566" s="6"/>
      <c r="O1566" s="6"/>
      <c r="P1566" s="6"/>
      <c r="Q1566" s="6"/>
      <c r="R1566" s="6"/>
      <c r="S1566" s="6"/>
      <c r="T1566" s="6"/>
      <c r="U1566" s="6"/>
      <c r="V1566" s="6"/>
      <c r="W1566" s="6"/>
      <c r="X1566" s="6"/>
      <c r="Y1566" s="6"/>
      <c r="Z1566" s="6"/>
    </row>
    <row r="1567" customFormat="false" ht="15" hidden="false" customHeight="false" outlineLevel="0" collapsed="false">
      <c r="A1567" s="9" t="s">
        <v>7410</v>
      </c>
      <c r="B1567" s="9" t="s">
        <v>5870</v>
      </c>
      <c r="C1567" s="9" t="s">
        <v>1786</v>
      </c>
      <c r="D1567" s="9" t="s">
        <v>5871</v>
      </c>
      <c r="E1567" s="9" t="str">
        <f aca="false">IF(AND('Formation Ledger'!A1546&lt;&gt;"",'Formation Ledger'!V1546=0),"PASS","FAIL")</f>
        <v>PASS</v>
      </c>
      <c r="F1567" s="9" t="s">
        <v>76</v>
      </c>
      <c r="G1567" s="6"/>
      <c r="H1567" s="6"/>
      <c r="I1567" s="6"/>
      <c r="J1567" s="6"/>
      <c r="K1567" s="6"/>
      <c r="L1567" s="6"/>
      <c r="M1567" s="6"/>
      <c r="N1567" s="6"/>
      <c r="O1567" s="6"/>
      <c r="P1567" s="6"/>
      <c r="Q1567" s="6"/>
      <c r="R1567" s="6"/>
      <c r="S1567" s="6"/>
      <c r="T1567" s="6"/>
      <c r="U1567" s="6"/>
      <c r="V1567" s="6"/>
      <c r="W1567" s="6"/>
      <c r="X1567" s="6"/>
      <c r="Y1567" s="6"/>
      <c r="Z1567" s="6"/>
    </row>
    <row r="1568" customFormat="false" ht="15" hidden="false" customHeight="false" outlineLevel="0" collapsed="false">
      <c r="A1568" s="9" t="s">
        <v>7411</v>
      </c>
      <c r="B1568" s="9" t="s">
        <v>5870</v>
      </c>
      <c r="C1568" s="9" t="s">
        <v>1787</v>
      </c>
      <c r="D1568" s="9" t="s">
        <v>5871</v>
      </c>
      <c r="E1568" s="9" t="str">
        <f aca="false">IF(AND('Formation Ledger'!A1547&lt;&gt;"",'Formation Ledger'!V1547=0),"PASS","FAIL")</f>
        <v>PASS</v>
      </c>
      <c r="F1568" s="9" t="s">
        <v>76</v>
      </c>
      <c r="G1568" s="6"/>
      <c r="H1568" s="6"/>
      <c r="I1568" s="6"/>
      <c r="J1568" s="6"/>
      <c r="K1568" s="6"/>
      <c r="L1568" s="6"/>
      <c r="M1568" s="6"/>
      <c r="N1568" s="6"/>
      <c r="O1568" s="6"/>
      <c r="P1568" s="6"/>
      <c r="Q1568" s="6"/>
      <c r="R1568" s="6"/>
      <c r="S1568" s="6"/>
      <c r="T1568" s="6"/>
      <c r="U1568" s="6"/>
      <c r="V1568" s="6"/>
      <c r="W1568" s="6"/>
      <c r="X1568" s="6"/>
      <c r="Y1568" s="6"/>
      <c r="Z1568" s="6"/>
    </row>
    <row r="1569" customFormat="false" ht="15" hidden="false" customHeight="false" outlineLevel="0" collapsed="false">
      <c r="A1569" s="9" t="s">
        <v>7412</v>
      </c>
      <c r="B1569" s="9" t="s">
        <v>5870</v>
      </c>
      <c r="C1569" s="9" t="s">
        <v>1788</v>
      </c>
      <c r="D1569" s="9" t="s">
        <v>5871</v>
      </c>
      <c r="E1569" s="9" t="str">
        <f aca="false">IF(AND('Formation Ledger'!A1548&lt;&gt;"",'Formation Ledger'!V1548=0),"PASS","FAIL")</f>
        <v>PASS</v>
      </c>
      <c r="F1569" s="9" t="s">
        <v>76</v>
      </c>
      <c r="G1569" s="6"/>
      <c r="H1569" s="6"/>
      <c r="I1569" s="6"/>
      <c r="J1569" s="6"/>
      <c r="K1569" s="6"/>
      <c r="L1569" s="6"/>
      <c r="M1569" s="6"/>
      <c r="N1569" s="6"/>
      <c r="O1569" s="6"/>
      <c r="P1569" s="6"/>
      <c r="Q1569" s="6"/>
      <c r="R1569" s="6"/>
      <c r="S1569" s="6"/>
      <c r="T1569" s="6"/>
      <c r="U1569" s="6"/>
      <c r="V1569" s="6"/>
      <c r="W1569" s="6"/>
      <c r="X1569" s="6"/>
      <c r="Y1569" s="6"/>
      <c r="Z1569" s="6"/>
    </row>
    <row r="1570" customFormat="false" ht="15" hidden="false" customHeight="false" outlineLevel="0" collapsed="false">
      <c r="A1570" s="9" t="s">
        <v>7413</v>
      </c>
      <c r="B1570" s="9" t="s">
        <v>5870</v>
      </c>
      <c r="C1570" s="9" t="s">
        <v>1789</v>
      </c>
      <c r="D1570" s="9" t="s">
        <v>5871</v>
      </c>
      <c r="E1570" s="9" t="str">
        <f aca="false">IF(AND('Formation Ledger'!A1549&lt;&gt;"",'Formation Ledger'!V1549=0),"PASS","FAIL")</f>
        <v>PASS</v>
      </c>
      <c r="F1570" s="9" t="s">
        <v>76</v>
      </c>
      <c r="G1570" s="6"/>
      <c r="H1570" s="6"/>
      <c r="I1570" s="6"/>
      <c r="J1570" s="6"/>
      <c r="K1570" s="6"/>
      <c r="L1570" s="6"/>
      <c r="M1570" s="6"/>
      <c r="N1570" s="6"/>
      <c r="O1570" s="6"/>
      <c r="P1570" s="6"/>
      <c r="Q1570" s="6"/>
      <c r="R1570" s="6"/>
      <c r="S1570" s="6"/>
      <c r="T1570" s="6"/>
      <c r="U1570" s="6"/>
      <c r="V1570" s="6"/>
      <c r="W1570" s="6"/>
      <c r="X1570" s="6"/>
      <c r="Y1570" s="6"/>
      <c r="Z1570" s="6"/>
    </row>
    <row r="1571" customFormat="false" ht="15" hidden="false" customHeight="false" outlineLevel="0" collapsed="false">
      <c r="A1571" s="9" t="s">
        <v>7414</v>
      </c>
      <c r="B1571" s="9" t="s">
        <v>5870</v>
      </c>
      <c r="C1571" s="9" t="s">
        <v>1790</v>
      </c>
      <c r="D1571" s="9" t="s">
        <v>5871</v>
      </c>
      <c r="E1571" s="9" t="str">
        <f aca="false">IF(AND('Formation Ledger'!A1550&lt;&gt;"",'Formation Ledger'!V1550=0),"PASS","FAIL")</f>
        <v>PASS</v>
      </c>
      <c r="F1571" s="9" t="s">
        <v>76</v>
      </c>
      <c r="G1571" s="6"/>
      <c r="H1571" s="6"/>
      <c r="I1571" s="6"/>
      <c r="J1571" s="6"/>
      <c r="K1571" s="6"/>
      <c r="L1571" s="6"/>
      <c r="M1571" s="6"/>
      <c r="N1571" s="6"/>
      <c r="O1571" s="6"/>
      <c r="P1571" s="6"/>
      <c r="Q1571" s="6"/>
      <c r="R1571" s="6"/>
      <c r="S1571" s="6"/>
      <c r="T1571" s="6"/>
      <c r="U1571" s="6"/>
      <c r="V1571" s="6"/>
      <c r="W1571" s="6"/>
      <c r="X1571" s="6"/>
      <c r="Y1571" s="6"/>
      <c r="Z1571" s="6"/>
    </row>
    <row r="1572" customFormat="false" ht="15" hidden="false" customHeight="false" outlineLevel="0" collapsed="false">
      <c r="A1572" s="9" t="s">
        <v>7415</v>
      </c>
      <c r="B1572" s="9" t="s">
        <v>5870</v>
      </c>
      <c r="C1572" s="9" t="s">
        <v>1791</v>
      </c>
      <c r="D1572" s="9" t="s">
        <v>5871</v>
      </c>
      <c r="E1572" s="9" t="str">
        <f aca="false">IF(AND('Formation Ledger'!A1551&lt;&gt;"",'Formation Ledger'!V1551=0),"PASS","FAIL")</f>
        <v>PASS</v>
      </c>
      <c r="F1572" s="9" t="s">
        <v>76</v>
      </c>
      <c r="G1572" s="6"/>
      <c r="H1572" s="6"/>
      <c r="I1572" s="6"/>
      <c r="J1572" s="6"/>
      <c r="K1572" s="6"/>
      <c r="L1572" s="6"/>
      <c r="M1572" s="6"/>
      <c r="N1572" s="6"/>
      <c r="O1572" s="6"/>
      <c r="P1572" s="6"/>
      <c r="Q1572" s="6"/>
      <c r="R1572" s="6"/>
      <c r="S1572" s="6"/>
      <c r="T1572" s="6"/>
      <c r="U1572" s="6"/>
      <c r="V1572" s="6"/>
      <c r="W1572" s="6"/>
      <c r="X1572" s="6"/>
      <c r="Y1572" s="6"/>
      <c r="Z1572" s="6"/>
    </row>
    <row r="1573" customFormat="false" ht="15" hidden="false" customHeight="false" outlineLevel="0" collapsed="false">
      <c r="A1573" s="9" t="s">
        <v>7416</v>
      </c>
      <c r="B1573" s="9" t="s">
        <v>5870</v>
      </c>
      <c r="C1573" s="9" t="s">
        <v>1792</v>
      </c>
      <c r="D1573" s="9" t="s">
        <v>5871</v>
      </c>
      <c r="E1573" s="9" t="str">
        <f aca="false">IF(AND('Formation Ledger'!A1552&lt;&gt;"",'Formation Ledger'!V1552=0),"PASS","FAIL")</f>
        <v>PASS</v>
      </c>
      <c r="F1573" s="9" t="s">
        <v>76</v>
      </c>
      <c r="G1573" s="6"/>
      <c r="H1573" s="6"/>
      <c r="I1573" s="6"/>
      <c r="J1573" s="6"/>
      <c r="K1573" s="6"/>
      <c r="L1573" s="6"/>
      <c r="M1573" s="6"/>
      <c r="N1573" s="6"/>
      <c r="O1573" s="6"/>
      <c r="P1573" s="6"/>
      <c r="Q1573" s="6"/>
      <c r="R1573" s="6"/>
      <c r="S1573" s="6"/>
      <c r="T1573" s="6"/>
      <c r="U1573" s="6"/>
      <c r="V1573" s="6"/>
      <c r="W1573" s="6"/>
      <c r="X1573" s="6"/>
      <c r="Y1573" s="6"/>
      <c r="Z1573" s="6"/>
    </row>
    <row r="1574" customFormat="false" ht="15" hidden="false" customHeight="false" outlineLevel="0" collapsed="false">
      <c r="A1574" s="9" t="s">
        <v>7417</v>
      </c>
      <c r="B1574" s="9" t="s">
        <v>5870</v>
      </c>
      <c r="C1574" s="9" t="s">
        <v>1793</v>
      </c>
      <c r="D1574" s="9" t="s">
        <v>5871</v>
      </c>
      <c r="E1574" s="9" t="str">
        <f aca="false">IF(AND('Formation Ledger'!A1553&lt;&gt;"",'Formation Ledger'!V1553=0),"PASS","FAIL")</f>
        <v>PASS</v>
      </c>
      <c r="F1574" s="9" t="s">
        <v>76</v>
      </c>
      <c r="G1574" s="6"/>
      <c r="H1574" s="6"/>
      <c r="I1574" s="6"/>
      <c r="J1574" s="6"/>
      <c r="K1574" s="6"/>
      <c r="L1574" s="6"/>
      <c r="M1574" s="6"/>
      <c r="N1574" s="6"/>
      <c r="O1574" s="6"/>
      <c r="P1574" s="6"/>
      <c r="Q1574" s="6"/>
      <c r="R1574" s="6"/>
      <c r="S1574" s="6"/>
      <c r="T1574" s="6"/>
      <c r="U1574" s="6"/>
      <c r="V1574" s="6"/>
      <c r="W1574" s="6"/>
      <c r="X1574" s="6"/>
      <c r="Y1574" s="6"/>
      <c r="Z1574" s="6"/>
    </row>
    <row r="1575" customFormat="false" ht="15" hidden="false" customHeight="false" outlineLevel="0" collapsed="false">
      <c r="A1575" s="9" t="s">
        <v>7418</v>
      </c>
      <c r="B1575" s="9" t="s">
        <v>5870</v>
      </c>
      <c r="C1575" s="9" t="s">
        <v>1794</v>
      </c>
      <c r="D1575" s="9" t="s">
        <v>5871</v>
      </c>
      <c r="E1575" s="9" t="str">
        <f aca="false">IF(AND('Formation Ledger'!A1554&lt;&gt;"",'Formation Ledger'!V1554=0),"PASS","FAIL")</f>
        <v>PASS</v>
      </c>
      <c r="F1575" s="9" t="s">
        <v>76</v>
      </c>
      <c r="G1575" s="6"/>
      <c r="H1575" s="6"/>
      <c r="I1575" s="6"/>
      <c r="J1575" s="6"/>
      <c r="K1575" s="6"/>
      <c r="L1575" s="6"/>
      <c r="M1575" s="6"/>
      <c r="N1575" s="6"/>
      <c r="O1575" s="6"/>
      <c r="P1575" s="6"/>
      <c r="Q1575" s="6"/>
      <c r="R1575" s="6"/>
      <c r="S1575" s="6"/>
      <c r="T1575" s="6"/>
      <c r="U1575" s="6"/>
      <c r="V1575" s="6"/>
      <c r="W1575" s="6"/>
      <c r="X1575" s="6"/>
      <c r="Y1575" s="6"/>
      <c r="Z1575" s="6"/>
    </row>
    <row r="1576" customFormat="false" ht="15" hidden="false" customHeight="false" outlineLevel="0" collapsed="false">
      <c r="A1576" s="9" t="s">
        <v>7419</v>
      </c>
      <c r="B1576" s="9" t="s">
        <v>5870</v>
      </c>
      <c r="C1576" s="9" t="s">
        <v>1795</v>
      </c>
      <c r="D1576" s="9" t="s">
        <v>5871</v>
      </c>
      <c r="E1576" s="9" t="str">
        <f aca="false">IF(AND('Formation Ledger'!A1555&lt;&gt;"",'Formation Ledger'!V1555=0),"PASS","FAIL")</f>
        <v>PASS</v>
      </c>
      <c r="F1576" s="9" t="s">
        <v>76</v>
      </c>
      <c r="G1576" s="6"/>
      <c r="H1576" s="6"/>
      <c r="I1576" s="6"/>
      <c r="J1576" s="6"/>
      <c r="K1576" s="6"/>
      <c r="L1576" s="6"/>
      <c r="M1576" s="6"/>
      <c r="N1576" s="6"/>
      <c r="O1576" s="6"/>
      <c r="P1576" s="6"/>
      <c r="Q1576" s="6"/>
      <c r="R1576" s="6"/>
      <c r="S1576" s="6"/>
      <c r="T1576" s="6"/>
      <c r="U1576" s="6"/>
      <c r="V1576" s="6"/>
      <c r="W1576" s="6"/>
      <c r="X1576" s="6"/>
      <c r="Y1576" s="6"/>
      <c r="Z1576" s="6"/>
    </row>
    <row r="1577" customFormat="false" ht="15" hidden="false" customHeight="false" outlineLevel="0" collapsed="false">
      <c r="A1577" s="9" t="s">
        <v>7420</v>
      </c>
      <c r="B1577" s="9" t="s">
        <v>5870</v>
      </c>
      <c r="C1577" s="9" t="s">
        <v>1796</v>
      </c>
      <c r="D1577" s="9" t="s">
        <v>5871</v>
      </c>
      <c r="E1577" s="9" t="str">
        <f aca="false">IF(AND('Formation Ledger'!A1556&lt;&gt;"",'Formation Ledger'!V1556=0),"PASS","FAIL")</f>
        <v>PASS</v>
      </c>
      <c r="F1577" s="9" t="s">
        <v>76</v>
      </c>
      <c r="G1577" s="6"/>
      <c r="H1577" s="6"/>
      <c r="I1577" s="6"/>
      <c r="J1577" s="6"/>
      <c r="K1577" s="6"/>
      <c r="L1577" s="6"/>
      <c r="M1577" s="6"/>
      <c r="N1577" s="6"/>
      <c r="O1577" s="6"/>
      <c r="P1577" s="6"/>
      <c r="Q1577" s="6"/>
      <c r="R1577" s="6"/>
      <c r="S1577" s="6"/>
      <c r="T1577" s="6"/>
      <c r="U1577" s="6"/>
      <c r="V1577" s="6"/>
      <c r="W1577" s="6"/>
      <c r="X1577" s="6"/>
      <c r="Y1577" s="6"/>
      <c r="Z1577" s="6"/>
    </row>
    <row r="1578" customFormat="false" ht="15" hidden="false" customHeight="false" outlineLevel="0" collapsed="false">
      <c r="A1578" s="9" t="s">
        <v>7421</v>
      </c>
      <c r="B1578" s="9" t="s">
        <v>5870</v>
      </c>
      <c r="C1578" s="9" t="s">
        <v>1797</v>
      </c>
      <c r="D1578" s="9" t="s">
        <v>5871</v>
      </c>
      <c r="E1578" s="9" t="str">
        <f aca="false">IF(AND('Formation Ledger'!A1557&lt;&gt;"",'Formation Ledger'!V1557=0),"PASS","FAIL")</f>
        <v>PASS</v>
      </c>
      <c r="F1578" s="9" t="s">
        <v>76</v>
      </c>
      <c r="G1578" s="6"/>
      <c r="H1578" s="6"/>
      <c r="I1578" s="6"/>
      <c r="J1578" s="6"/>
      <c r="K1578" s="6"/>
      <c r="L1578" s="6"/>
      <c r="M1578" s="6"/>
      <c r="N1578" s="6"/>
      <c r="O1578" s="6"/>
      <c r="P1578" s="6"/>
      <c r="Q1578" s="6"/>
      <c r="R1578" s="6"/>
      <c r="S1578" s="6"/>
      <c r="T1578" s="6"/>
      <c r="U1578" s="6"/>
      <c r="V1578" s="6"/>
      <c r="W1578" s="6"/>
      <c r="X1578" s="6"/>
      <c r="Y1578" s="6"/>
      <c r="Z1578" s="6"/>
    </row>
    <row r="1579" customFormat="false" ht="15" hidden="false" customHeight="false" outlineLevel="0" collapsed="false">
      <c r="A1579" s="9" t="s">
        <v>7422</v>
      </c>
      <c r="B1579" s="9" t="s">
        <v>5870</v>
      </c>
      <c r="C1579" s="9" t="s">
        <v>1798</v>
      </c>
      <c r="D1579" s="9" t="s">
        <v>5871</v>
      </c>
      <c r="E1579" s="9" t="str">
        <f aca="false">IF(AND('Formation Ledger'!A1558&lt;&gt;"",'Formation Ledger'!V1558=0),"PASS","FAIL")</f>
        <v>PASS</v>
      </c>
      <c r="F1579" s="9" t="s">
        <v>76</v>
      </c>
      <c r="G1579" s="6"/>
      <c r="H1579" s="6"/>
      <c r="I1579" s="6"/>
      <c r="J1579" s="6"/>
      <c r="K1579" s="6"/>
      <c r="L1579" s="6"/>
      <c r="M1579" s="6"/>
      <c r="N1579" s="6"/>
      <c r="O1579" s="6"/>
      <c r="P1579" s="6"/>
      <c r="Q1579" s="6"/>
      <c r="R1579" s="6"/>
      <c r="S1579" s="6"/>
      <c r="T1579" s="6"/>
      <c r="U1579" s="6"/>
      <c r="V1579" s="6"/>
      <c r="W1579" s="6"/>
      <c r="X1579" s="6"/>
      <c r="Y1579" s="6"/>
      <c r="Z1579" s="6"/>
    </row>
    <row r="1580" customFormat="false" ht="15" hidden="false" customHeight="false" outlineLevel="0" collapsed="false">
      <c r="A1580" s="9" t="s">
        <v>7423</v>
      </c>
      <c r="B1580" s="9" t="s">
        <v>5870</v>
      </c>
      <c r="C1580" s="9" t="s">
        <v>1799</v>
      </c>
      <c r="D1580" s="9" t="s">
        <v>5871</v>
      </c>
      <c r="E1580" s="9" t="str">
        <f aca="false">IF(AND('Formation Ledger'!A1559&lt;&gt;"",'Formation Ledger'!V1559=0),"PASS","FAIL")</f>
        <v>PASS</v>
      </c>
      <c r="F1580" s="9" t="s">
        <v>76</v>
      </c>
      <c r="G1580" s="6"/>
      <c r="H1580" s="6"/>
      <c r="I1580" s="6"/>
      <c r="J1580" s="6"/>
      <c r="K1580" s="6"/>
      <c r="L1580" s="6"/>
      <c r="M1580" s="6"/>
      <c r="N1580" s="6"/>
      <c r="O1580" s="6"/>
      <c r="P1580" s="6"/>
      <c r="Q1580" s="6"/>
      <c r="R1580" s="6"/>
      <c r="S1580" s="6"/>
      <c r="T1580" s="6"/>
      <c r="U1580" s="6"/>
      <c r="V1580" s="6"/>
      <c r="W1580" s="6"/>
      <c r="X1580" s="6"/>
      <c r="Y1580" s="6"/>
      <c r="Z1580" s="6"/>
    </row>
    <row r="1581" customFormat="false" ht="15" hidden="false" customHeight="false" outlineLevel="0" collapsed="false">
      <c r="A1581" s="9" t="s">
        <v>7424</v>
      </c>
      <c r="B1581" s="9" t="s">
        <v>5870</v>
      </c>
      <c r="C1581" s="9" t="s">
        <v>1800</v>
      </c>
      <c r="D1581" s="9" t="s">
        <v>5871</v>
      </c>
      <c r="E1581" s="9" t="str">
        <f aca="false">IF(AND('Formation Ledger'!A1560&lt;&gt;"",'Formation Ledger'!V1560=0),"PASS","FAIL")</f>
        <v>PASS</v>
      </c>
      <c r="F1581" s="9" t="s">
        <v>76</v>
      </c>
      <c r="G1581" s="6"/>
      <c r="H1581" s="6"/>
      <c r="I1581" s="6"/>
      <c r="J1581" s="6"/>
      <c r="K1581" s="6"/>
      <c r="L1581" s="6"/>
      <c r="M1581" s="6"/>
      <c r="N1581" s="6"/>
      <c r="O1581" s="6"/>
      <c r="P1581" s="6"/>
      <c r="Q1581" s="6"/>
      <c r="R1581" s="6"/>
      <c r="S1581" s="6"/>
      <c r="T1581" s="6"/>
      <c r="U1581" s="6"/>
      <c r="V1581" s="6"/>
      <c r="W1581" s="6"/>
      <c r="X1581" s="6"/>
      <c r="Y1581" s="6"/>
      <c r="Z1581" s="6"/>
    </row>
    <row r="1582" customFormat="false" ht="15" hidden="false" customHeight="false" outlineLevel="0" collapsed="false">
      <c r="A1582" s="9" t="s">
        <v>7425</v>
      </c>
      <c r="B1582" s="9" t="s">
        <v>5870</v>
      </c>
      <c r="C1582" s="9" t="s">
        <v>1801</v>
      </c>
      <c r="D1582" s="9" t="s">
        <v>5871</v>
      </c>
      <c r="E1582" s="9" t="str">
        <f aca="false">IF(AND('Formation Ledger'!A1561&lt;&gt;"",'Formation Ledger'!V1561=0),"PASS","FAIL")</f>
        <v>PASS</v>
      </c>
      <c r="F1582" s="9" t="s">
        <v>76</v>
      </c>
      <c r="G1582" s="6"/>
      <c r="H1582" s="6"/>
      <c r="I1582" s="6"/>
      <c r="J1582" s="6"/>
      <c r="K1582" s="6"/>
      <c r="L1582" s="6"/>
      <c r="M1582" s="6"/>
      <c r="N1582" s="6"/>
      <c r="O1582" s="6"/>
      <c r="P1582" s="6"/>
      <c r="Q1582" s="6"/>
      <c r="R1582" s="6"/>
      <c r="S1582" s="6"/>
      <c r="T1582" s="6"/>
      <c r="U1582" s="6"/>
      <c r="V1582" s="6"/>
      <c r="W1582" s="6"/>
      <c r="X1582" s="6"/>
      <c r="Y1582" s="6"/>
      <c r="Z1582" s="6"/>
    </row>
    <row r="1583" customFormat="false" ht="15" hidden="false" customHeight="false" outlineLevel="0" collapsed="false">
      <c r="A1583" s="9" t="s">
        <v>7426</v>
      </c>
      <c r="B1583" s="9" t="s">
        <v>5870</v>
      </c>
      <c r="C1583" s="9" t="s">
        <v>1802</v>
      </c>
      <c r="D1583" s="9" t="s">
        <v>5871</v>
      </c>
      <c r="E1583" s="9" t="str">
        <f aca="false">IF(AND('Formation Ledger'!A1562&lt;&gt;"",'Formation Ledger'!V1562=0),"PASS","FAIL")</f>
        <v>PASS</v>
      </c>
      <c r="F1583" s="9" t="s">
        <v>76</v>
      </c>
      <c r="G1583" s="6"/>
      <c r="H1583" s="6"/>
      <c r="I1583" s="6"/>
      <c r="J1583" s="6"/>
      <c r="K1583" s="6"/>
      <c r="L1583" s="6"/>
      <c r="M1583" s="6"/>
      <c r="N1583" s="6"/>
      <c r="O1583" s="6"/>
      <c r="P1583" s="6"/>
      <c r="Q1583" s="6"/>
      <c r="R1583" s="6"/>
      <c r="S1583" s="6"/>
      <c r="T1583" s="6"/>
      <c r="U1583" s="6"/>
      <c r="V1583" s="6"/>
      <c r="W1583" s="6"/>
      <c r="X1583" s="6"/>
      <c r="Y1583" s="6"/>
      <c r="Z1583" s="6"/>
    </row>
    <row r="1584" customFormat="false" ht="15" hidden="false" customHeight="false" outlineLevel="0" collapsed="false">
      <c r="A1584" s="9" t="s">
        <v>7427</v>
      </c>
      <c r="B1584" s="9" t="s">
        <v>5870</v>
      </c>
      <c r="C1584" s="9" t="s">
        <v>1803</v>
      </c>
      <c r="D1584" s="9" t="s">
        <v>5871</v>
      </c>
      <c r="E1584" s="9" t="str">
        <f aca="false">IF(AND('Formation Ledger'!A1563&lt;&gt;"",'Formation Ledger'!V1563=0),"PASS","FAIL")</f>
        <v>PASS</v>
      </c>
      <c r="F1584" s="9" t="s">
        <v>76</v>
      </c>
      <c r="G1584" s="6"/>
      <c r="H1584" s="6"/>
      <c r="I1584" s="6"/>
      <c r="J1584" s="6"/>
      <c r="K1584" s="6"/>
      <c r="L1584" s="6"/>
      <c r="M1584" s="6"/>
      <c r="N1584" s="6"/>
      <c r="O1584" s="6"/>
      <c r="P1584" s="6"/>
      <c r="Q1584" s="6"/>
      <c r="R1584" s="6"/>
      <c r="S1584" s="6"/>
      <c r="T1584" s="6"/>
      <c r="U1584" s="6"/>
      <c r="V1584" s="6"/>
      <c r="W1584" s="6"/>
      <c r="X1584" s="6"/>
      <c r="Y1584" s="6"/>
      <c r="Z1584" s="6"/>
    </row>
    <row r="1585" customFormat="false" ht="15" hidden="false" customHeight="false" outlineLevel="0" collapsed="false">
      <c r="A1585" s="9" t="s">
        <v>7428</v>
      </c>
      <c r="B1585" s="9" t="s">
        <v>5870</v>
      </c>
      <c r="C1585" s="9" t="s">
        <v>1804</v>
      </c>
      <c r="D1585" s="9" t="s">
        <v>5871</v>
      </c>
      <c r="E1585" s="9" t="str">
        <f aca="false">IF(AND('Formation Ledger'!A1564&lt;&gt;"",'Formation Ledger'!V1564=0),"PASS","FAIL")</f>
        <v>PASS</v>
      </c>
      <c r="F1585" s="9" t="s">
        <v>76</v>
      </c>
      <c r="G1585" s="6"/>
      <c r="H1585" s="6"/>
      <c r="I1585" s="6"/>
      <c r="J1585" s="6"/>
      <c r="K1585" s="6"/>
      <c r="L1585" s="6"/>
      <c r="M1585" s="6"/>
      <c r="N1585" s="6"/>
      <c r="O1585" s="6"/>
      <c r="P1585" s="6"/>
      <c r="Q1585" s="6"/>
      <c r="R1585" s="6"/>
      <c r="S1585" s="6"/>
      <c r="T1585" s="6"/>
      <c r="U1585" s="6"/>
      <c r="V1585" s="6"/>
      <c r="W1585" s="6"/>
      <c r="X1585" s="6"/>
      <c r="Y1585" s="6"/>
      <c r="Z1585" s="6"/>
    </row>
    <row r="1586" customFormat="false" ht="15" hidden="false" customHeight="false" outlineLevel="0" collapsed="false">
      <c r="A1586" s="9" t="s">
        <v>7429</v>
      </c>
      <c r="B1586" s="9" t="s">
        <v>5870</v>
      </c>
      <c r="C1586" s="9" t="s">
        <v>1805</v>
      </c>
      <c r="D1586" s="9" t="s">
        <v>5871</v>
      </c>
      <c r="E1586" s="9" t="str">
        <f aca="false">IF(AND('Formation Ledger'!A1565&lt;&gt;"",'Formation Ledger'!V1565=0),"PASS","FAIL")</f>
        <v>PASS</v>
      </c>
      <c r="F1586" s="9" t="s">
        <v>76</v>
      </c>
      <c r="G1586" s="6"/>
      <c r="H1586" s="6"/>
      <c r="I1586" s="6"/>
      <c r="J1586" s="6"/>
      <c r="K1586" s="6"/>
      <c r="L1586" s="6"/>
      <c r="M1586" s="6"/>
      <c r="N1586" s="6"/>
      <c r="O1586" s="6"/>
      <c r="P1586" s="6"/>
      <c r="Q1586" s="6"/>
      <c r="R1586" s="6"/>
      <c r="S1586" s="6"/>
      <c r="T1586" s="6"/>
      <c r="U1586" s="6"/>
      <c r="V1586" s="6"/>
      <c r="W1586" s="6"/>
      <c r="X1586" s="6"/>
      <c r="Y1586" s="6"/>
      <c r="Z1586" s="6"/>
    </row>
    <row r="1587" customFormat="false" ht="15" hidden="false" customHeight="false" outlineLevel="0" collapsed="false">
      <c r="A1587" s="9" t="s">
        <v>7430</v>
      </c>
      <c r="B1587" s="9" t="s">
        <v>5870</v>
      </c>
      <c r="C1587" s="9" t="s">
        <v>1806</v>
      </c>
      <c r="D1587" s="9" t="s">
        <v>5871</v>
      </c>
      <c r="E1587" s="9" t="str">
        <f aca="false">IF(AND('Formation Ledger'!A1566&lt;&gt;"",'Formation Ledger'!V1566=0),"PASS","FAIL")</f>
        <v>PASS</v>
      </c>
      <c r="F1587" s="9" t="s">
        <v>76</v>
      </c>
      <c r="G1587" s="6"/>
      <c r="H1587" s="6"/>
      <c r="I1587" s="6"/>
      <c r="J1587" s="6"/>
      <c r="K1587" s="6"/>
      <c r="L1587" s="6"/>
      <c r="M1587" s="6"/>
      <c r="N1587" s="6"/>
      <c r="O1587" s="6"/>
      <c r="P1587" s="6"/>
      <c r="Q1587" s="6"/>
      <c r="R1587" s="6"/>
      <c r="S1587" s="6"/>
      <c r="T1587" s="6"/>
      <c r="U1587" s="6"/>
      <c r="V1587" s="6"/>
      <c r="W1587" s="6"/>
      <c r="X1587" s="6"/>
      <c r="Y1587" s="6"/>
      <c r="Z1587" s="6"/>
    </row>
    <row r="1588" customFormat="false" ht="15" hidden="false" customHeight="false" outlineLevel="0" collapsed="false">
      <c r="A1588" s="9" t="s">
        <v>7431</v>
      </c>
      <c r="B1588" s="9" t="s">
        <v>5870</v>
      </c>
      <c r="C1588" s="9" t="s">
        <v>1807</v>
      </c>
      <c r="D1588" s="9" t="s">
        <v>5871</v>
      </c>
      <c r="E1588" s="9" t="str">
        <f aca="false">IF(AND('Formation Ledger'!A1567&lt;&gt;"",'Formation Ledger'!V1567=0),"PASS","FAIL")</f>
        <v>PASS</v>
      </c>
      <c r="F1588" s="9" t="s">
        <v>76</v>
      </c>
      <c r="G1588" s="6"/>
      <c r="H1588" s="6"/>
      <c r="I1588" s="6"/>
      <c r="J1588" s="6"/>
      <c r="K1588" s="6"/>
      <c r="L1588" s="6"/>
      <c r="M1588" s="6"/>
      <c r="N1588" s="6"/>
      <c r="O1588" s="6"/>
      <c r="P1588" s="6"/>
      <c r="Q1588" s="6"/>
      <c r="R1588" s="6"/>
      <c r="S1588" s="6"/>
      <c r="T1588" s="6"/>
      <c r="U1588" s="6"/>
      <c r="V1588" s="6"/>
      <c r="W1588" s="6"/>
      <c r="X1588" s="6"/>
      <c r="Y1588" s="6"/>
      <c r="Z1588" s="6"/>
    </row>
    <row r="1589" customFormat="false" ht="15" hidden="false" customHeight="false" outlineLevel="0" collapsed="false">
      <c r="A1589" s="9" t="s">
        <v>7432</v>
      </c>
      <c r="B1589" s="9" t="s">
        <v>5870</v>
      </c>
      <c r="C1589" s="9" t="s">
        <v>1808</v>
      </c>
      <c r="D1589" s="9" t="s">
        <v>5871</v>
      </c>
      <c r="E1589" s="9" t="str">
        <f aca="false">IF(AND('Formation Ledger'!A1568&lt;&gt;"",'Formation Ledger'!V1568=0),"PASS","FAIL")</f>
        <v>PASS</v>
      </c>
      <c r="F1589" s="9" t="s">
        <v>76</v>
      </c>
      <c r="G1589" s="6"/>
      <c r="H1589" s="6"/>
      <c r="I1589" s="6"/>
      <c r="J1589" s="6"/>
      <c r="K1589" s="6"/>
      <c r="L1589" s="6"/>
      <c r="M1589" s="6"/>
      <c r="N1589" s="6"/>
      <c r="O1589" s="6"/>
      <c r="P1589" s="6"/>
      <c r="Q1589" s="6"/>
      <c r="R1589" s="6"/>
      <c r="S1589" s="6"/>
      <c r="T1589" s="6"/>
      <c r="U1589" s="6"/>
      <c r="V1589" s="6"/>
      <c r="W1589" s="6"/>
      <c r="X1589" s="6"/>
      <c r="Y1589" s="6"/>
      <c r="Z1589" s="6"/>
    </row>
    <row r="1590" customFormat="false" ht="15" hidden="false" customHeight="false" outlineLevel="0" collapsed="false">
      <c r="A1590" s="9" t="s">
        <v>7433</v>
      </c>
      <c r="B1590" s="9" t="s">
        <v>5870</v>
      </c>
      <c r="C1590" s="9" t="s">
        <v>1809</v>
      </c>
      <c r="D1590" s="9" t="s">
        <v>5871</v>
      </c>
      <c r="E1590" s="9" t="str">
        <f aca="false">IF(AND('Formation Ledger'!A1569&lt;&gt;"",'Formation Ledger'!V1569=0),"PASS","FAIL")</f>
        <v>PASS</v>
      </c>
      <c r="F1590" s="9" t="s">
        <v>76</v>
      </c>
      <c r="G1590" s="6"/>
      <c r="H1590" s="6"/>
      <c r="I1590" s="6"/>
      <c r="J1590" s="6"/>
      <c r="K1590" s="6"/>
      <c r="L1590" s="6"/>
      <c r="M1590" s="6"/>
      <c r="N1590" s="6"/>
      <c r="O1590" s="6"/>
      <c r="P1590" s="6"/>
      <c r="Q1590" s="6"/>
      <c r="R1590" s="6"/>
      <c r="S1590" s="6"/>
      <c r="T1590" s="6"/>
      <c r="U1590" s="6"/>
      <c r="V1590" s="6"/>
      <c r="W1590" s="6"/>
      <c r="X1590" s="6"/>
      <c r="Y1590" s="6"/>
      <c r="Z1590" s="6"/>
    </row>
    <row r="1591" customFormat="false" ht="15" hidden="false" customHeight="false" outlineLevel="0" collapsed="false">
      <c r="A1591" s="9" t="s">
        <v>7434</v>
      </c>
      <c r="B1591" s="9" t="s">
        <v>5870</v>
      </c>
      <c r="C1591" s="9" t="s">
        <v>1812</v>
      </c>
      <c r="D1591" s="9" t="s">
        <v>5871</v>
      </c>
      <c r="E1591" s="9" t="str">
        <f aca="false">IF(AND('Formation Ledger'!A1570&lt;&gt;"",'Formation Ledger'!V1570=0),"PASS","FAIL")</f>
        <v>PASS</v>
      </c>
      <c r="F1591" s="9" t="s">
        <v>76</v>
      </c>
      <c r="G1591" s="6"/>
      <c r="H1591" s="6"/>
      <c r="I1591" s="6"/>
      <c r="J1591" s="6"/>
      <c r="K1591" s="6"/>
      <c r="L1591" s="6"/>
      <c r="M1591" s="6"/>
      <c r="N1591" s="6"/>
      <c r="O1591" s="6"/>
      <c r="P1591" s="6"/>
      <c r="Q1591" s="6"/>
      <c r="R1591" s="6"/>
      <c r="S1591" s="6"/>
      <c r="T1591" s="6"/>
      <c r="U1591" s="6"/>
      <c r="V1591" s="6"/>
      <c r="W1591" s="6"/>
      <c r="X1591" s="6"/>
      <c r="Y1591" s="6"/>
      <c r="Z1591" s="6"/>
    </row>
    <row r="1592" customFormat="false" ht="15" hidden="false" customHeight="false" outlineLevel="0" collapsed="false">
      <c r="A1592" s="9" t="s">
        <v>7435</v>
      </c>
      <c r="B1592" s="9" t="s">
        <v>5870</v>
      </c>
      <c r="C1592" s="9" t="s">
        <v>1813</v>
      </c>
      <c r="D1592" s="9" t="s">
        <v>5871</v>
      </c>
      <c r="E1592" s="9" t="str">
        <f aca="false">IF(AND('Formation Ledger'!A1571&lt;&gt;"",'Formation Ledger'!V1571=0),"PASS","FAIL")</f>
        <v>PASS</v>
      </c>
      <c r="F1592" s="9" t="s">
        <v>76</v>
      </c>
      <c r="G1592" s="6"/>
      <c r="H1592" s="6"/>
      <c r="I1592" s="6"/>
      <c r="J1592" s="6"/>
      <c r="K1592" s="6"/>
      <c r="L1592" s="6"/>
      <c r="M1592" s="6"/>
      <c r="N1592" s="6"/>
      <c r="O1592" s="6"/>
      <c r="P1592" s="6"/>
      <c r="Q1592" s="6"/>
      <c r="R1592" s="6"/>
      <c r="S1592" s="6"/>
      <c r="T1592" s="6"/>
      <c r="U1592" s="6"/>
      <c r="V1592" s="6"/>
      <c r="W1592" s="6"/>
      <c r="X1592" s="6"/>
      <c r="Y1592" s="6"/>
      <c r="Z1592" s="6"/>
    </row>
    <row r="1593" customFormat="false" ht="15" hidden="false" customHeight="false" outlineLevel="0" collapsed="false">
      <c r="A1593" s="9" t="s">
        <v>7436</v>
      </c>
      <c r="B1593" s="9" t="s">
        <v>5870</v>
      </c>
      <c r="C1593" s="9" t="s">
        <v>1814</v>
      </c>
      <c r="D1593" s="9" t="s">
        <v>5871</v>
      </c>
      <c r="E1593" s="9" t="str">
        <f aca="false">IF(AND('Formation Ledger'!A1572&lt;&gt;"",'Formation Ledger'!V1572=0),"PASS","FAIL")</f>
        <v>PASS</v>
      </c>
      <c r="F1593" s="9" t="s">
        <v>76</v>
      </c>
      <c r="G1593" s="6"/>
      <c r="H1593" s="6"/>
      <c r="I1593" s="6"/>
      <c r="J1593" s="6"/>
      <c r="K1593" s="6"/>
      <c r="L1593" s="6"/>
      <c r="M1593" s="6"/>
      <c r="N1593" s="6"/>
      <c r="O1593" s="6"/>
      <c r="P1593" s="6"/>
      <c r="Q1593" s="6"/>
      <c r="R1593" s="6"/>
      <c r="S1593" s="6"/>
      <c r="T1593" s="6"/>
      <c r="U1593" s="6"/>
      <c r="V1593" s="6"/>
      <c r="W1593" s="6"/>
      <c r="X1593" s="6"/>
      <c r="Y1593" s="6"/>
      <c r="Z1593" s="6"/>
    </row>
    <row r="1594" customFormat="false" ht="15" hidden="false" customHeight="false" outlineLevel="0" collapsed="false">
      <c r="A1594" s="9" t="s">
        <v>7437</v>
      </c>
      <c r="B1594" s="9" t="s">
        <v>5870</v>
      </c>
      <c r="C1594" s="9" t="s">
        <v>1815</v>
      </c>
      <c r="D1594" s="9" t="s">
        <v>5871</v>
      </c>
      <c r="E1594" s="9" t="str">
        <f aca="false">IF(AND('Formation Ledger'!A1573&lt;&gt;"",'Formation Ledger'!V1573=0),"PASS","FAIL")</f>
        <v>PASS</v>
      </c>
      <c r="F1594" s="9" t="s">
        <v>76</v>
      </c>
      <c r="G1594" s="6"/>
      <c r="H1594" s="6"/>
      <c r="I1594" s="6"/>
      <c r="J1594" s="6"/>
      <c r="K1594" s="6"/>
      <c r="L1594" s="6"/>
      <c r="M1594" s="6"/>
      <c r="N1594" s="6"/>
      <c r="O1594" s="6"/>
      <c r="P1594" s="6"/>
      <c r="Q1594" s="6"/>
      <c r="R1594" s="6"/>
      <c r="S1594" s="6"/>
      <c r="T1594" s="6"/>
      <c r="U1594" s="6"/>
      <c r="V1594" s="6"/>
      <c r="W1594" s="6"/>
      <c r="X1594" s="6"/>
      <c r="Y1594" s="6"/>
      <c r="Z1594" s="6"/>
    </row>
    <row r="1595" customFormat="false" ht="15" hidden="false" customHeight="false" outlineLevel="0" collapsed="false">
      <c r="A1595" s="9" t="s">
        <v>7438</v>
      </c>
      <c r="B1595" s="9" t="s">
        <v>5870</v>
      </c>
      <c r="C1595" s="9" t="s">
        <v>1816</v>
      </c>
      <c r="D1595" s="9" t="s">
        <v>5871</v>
      </c>
      <c r="E1595" s="9" t="str">
        <f aca="false">IF(AND('Formation Ledger'!A1574&lt;&gt;"",'Formation Ledger'!V1574=0),"PASS","FAIL")</f>
        <v>PASS</v>
      </c>
      <c r="F1595" s="9" t="s">
        <v>76</v>
      </c>
      <c r="G1595" s="6"/>
      <c r="H1595" s="6"/>
      <c r="I1595" s="6"/>
      <c r="J1595" s="6"/>
      <c r="K1595" s="6"/>
      <c r="L1595" s="6"/>
      <c r="M1595" s="6"/>
      <c r="N1595" s="6"/>
      <c r="O1595" s="6"/>
      <c r="P1595" s="6"/>
      <c r="Q1595" s="6"/>
      <c r="R1595" s="6"/>
      <c r="S1595" s="6"/>
      <c r="T1595" s="6"/>
      <c r="U1595" s="6"/>
      <c r="V1595" s="6"/>
      <c r="W1595" s="6"/>
      <c r="X1595" s="6"/>
      <c r="Y1595" s="6"/>
      <c r="Z1595" s="6"/>
    </row>
    <row r="1596" customFormat="false" ht="15" hidden="false" customHeight="false" outlineLevel="0" collapsed="false">
      <c r="A1596" s="9" t="s">
        <v>7439</v>
      </c>
      <c r="B1596" s="9" t="s">
        <v>5870</v>
      </c>
      <c r="C1596" s="9" t="s">
        <v>1817</v>
      </c>
      <c r="D1596" s="9" t="s">
        <v>5871</v>
      </c>
      <c r="E1596" s="9" t="str">
        <f aca="false">IF(AND('Formation Ledger'!A1575&lt;&gt;"",'Formation Ledger'!V1575=0),"PASS","FAIL")</f>
        <v>PASS</v>
      </c>
      <c r="F1596" s="9" t="s">
        <v>76</v>
      </c>
      <c r="G1596" s="6"/>
      <c r="H1596" s="6"/>
      <c r="I1596" s="6"/>
      <c r="J1596" s="6"/>
      <c r="K1596" s="6"/>
      <c r="L1596" s="6"/>
      <c r="M1596" s="6"/>
      <c r="N1596" s="6"/>
      <c r="O1596" s="6"/>
      <c r="P1596" s="6"/>
      <c r="Q1596" s="6"/>
      <c r="R1596" s="6"/>
      <c r="S1596" s="6"/>
      <c r="T1596" s="6"/>
      <c r="U1596" s="6"/>
      <c r="V1596" s="6"/>
      <c r="W1596" s="6"/>
      <c r="X1596" s="6"/>
      <c r="Y1596" s="6"/>
      <c r="Z1596" s="6"/>
    </row>
    <row r="1597" customFormat="false" ht="15" hidden="false" customHeight="false" outlineLevel="0" collapsed="false">
      <c r="A1597" s="9" t="s">
        <v>7440</v>
      </c>
      <c r="B1597" s="9" t="s">
        <v>5870</v>
      </c>
      <c r="C1597" s="9" t="s">
        <v>1818</v>
      </c>
      <c r="D1597" s="9" t="s">
        <v>5871</v>
      </c>
      <c r="E1597" s="9" t="str">
        <f aca="false">IF(AND('Formation Ledger'!A1576&lt;&gt;"",'Formation Ledger'!V1576=0),"PASS","FAIL")</f>
        <v>PASS</v>
      </c>
      <c r="F1597" s="9" t="s">
        <v>76</v>
      </c>
      <c r="G1597" s="6"/>
      <c r="H1597" s="6"/>
      <c r="I1597" s="6"/>
      <c r="J1597" s="6"/>
      <c r="K1597" s="6"/>
      <c r="L1597" s="6"/>
      <c r="M1597" s="6"/>
      <c r="N1597" s="6"/>
      <c r="O1597" s="6"/>
      <c r="P1597" s="6"/>
      <c r="Q1597" s="6"/>
      <c r="R1597" s="6"/>
      <c r="S1597" s="6"/>
      <c r="T1597" s="6"/>
      <c r="U1597" s="6"/>
      <c r="V1597" s="6"/>
      <c r="W1597" s="6"/>
      <c r="X1597" s="6"/>
      <c r="Y1597" s="6"/>
      <c r="Z1597" s="6"/>
    </row>
    <row r="1598" customFormat="false" ht="15" hidden="false" customHeight="false" outlineLevel="0" collapsed="false">
      <c r="A1598" s="9" t="s">
        <v>7441</v>
      </c>
      <c r="B1598" s="9" t="s">
        <v>5870</v>
      </c>
      <c r="C1598" s="9" t="s">
        <v>1819</v>
      </c>
      <c r="D1598" s="9" t="s">
        <v>5871</v>
      </c>
      <c r="E1598" s="9" t="str">
        <f aca="false">IF(AND('Formation Ledger'!A1577&lt;&gt;"",'Formation Ledger'!V1577=0),"PASS","FAIL")</f>
        <v>PASS</v>
      </c>
      <c r="F1598" s="9" t="s">
        <v>76</v>
      </c>
      <c r="G1598" s="6"/>
      <c r="H1598" s="6"/>
      <c r="I1598" s="6"/>
      <c r="J1598" s="6"/>
      <c r="K1598" s="6"/>
      <c r="L1598" s="6"/>
      <c r="M1598" s="6"/>
      <c r="N1598" s="6"/>
      <c r="O1598" s="6"/>
      <c r="P1598" s="6"/>
      <c r="Q1598" s="6"/>
      <c r="R1598" s="6"/>
      <c r="S1598" s="6"/>
      <c r="T1598" s="6"/>
      <c r="U1598" s="6"/>
      <c r="V1598" s="6"/>
      <c r="W1598" s="6"/>
      <c r="X1598" s="6"/>
      <c r="Y1598" s="6"/>
      <c r="Z1598" s="6"/>
    </row>
    <row r="1599" customFormat="false" ht="15" hidden="false" customHeight="false" outlineLevel="0" collapsed="false">
      <c r="A1599" s="9" t="s">
        <v>7442</v>
      </c>
      <c r="B1599" s="9" t="s">
        <v>5870</v>
      </c>
      <c r="C1599" s="9" t="s">
        <v>1820</v>
      </c>
      <c r="D1599" s="9" t="s">
        <v>5871</v>
      </c>
      <c r="E1599" s="9" t="str">
        <f aca="false">IF(AND('Formation Ledger'!A1578&lt;&gt;"",'Formation Ledger'!V1578=0),"PASS","FAIL")</f>
        <v>PASS</v>
      </c>
      <c r="F1599" s="9" t="s">
        <v>76</v>
      </c>
      <c r="G1599" s="6"/>
      <c r="H1599" s="6"/>
      <c r="I1599" s="6"/>
      <c r="J1599" s="6"/>
      <c r="K1599" s="6"/>
      <c r="L1599" s="6"/>
      <c r="M1599" s="6"/>
      <c r="N1599" s="6"/>
      <c r="O1599" s="6"/>
      <c r="P1599" s="6"/>
      <c r="Q1599" s="6"/>
      <c r="R1599" s="6"/>
      <c r="S1599" s="6"/>
      <c r="T1599" s="6"/>
      <c r="U1599" s="6"/>
      <c r="V1599" s="6"/>
      <c r="W1599" s="6"/>
      <c r="X1599" s="6"/>
      <c r="Y1599" s="6"/>
      <c r="Z1599" s="6"/>
    </row>
    <row r="1600" customFormat="false" ht="15" hidden="false" customHeight="false" outlineLevel="0" collapsed="false">
      <c r="A1600" s="9" t="s">
        <v>7443</v>
      </c>
      <c r="B1600" s="9" t="s">
        <v>5870</v>
      </c>
      <c r="C1600" s="9" t="s">
        <v>1821</v>
      </c>
      <c r="D1600" s="9" t="s">
        <v>5871</v>
      </c>
      <c r="E1600" s="9" t="str">
        <f aca="false">IF(AND('Formation Ledger'!A1579&lt;&gt;"",'Formation Ledger'!V1579=0),"PASS","FAIL")</f>
        <v>PASS</v>
      </c>
      <c r="F1600" s="9" t="s">
        <v>76</v>
      </c>
      <c r="G1600" s="6"/>
      <c r="H1600" s="6"/>
      <c r="I1600" s="6"/>
      <c r="J1600" s="6"/>
      <c r="K1600" s="6"/>
      <c r="L1600" s="6"/>
      <c r="M1600" s="6"/>
      <c r="N1600" s="6"/>
      <c r="O1600" s="6"/>
      <c r="P1600" s="6"/>
      <c r="Q1600" s="6"/>
      <c r="R1600" s="6"/>
      <c r="S1600" s="6"/>
      <c r="T1600" s="6"/>
      <c r="U1600" s="6"/>
      <c r="V1600" s="6"/>
      <c r="W1600" s="6"/>
      <c r="X1600" s="6"/>
      <c r="Y1600" s="6"/>
      <c r="Z1600" s="6"/>
    </row>
    <row r="1601" customFormat="false" ht="15" hidden="false" customHeight="false" outlineLevel="0" collapsed="false">
      <c r="A1601" s="9" t="s">
        <v>7444</v>
      </c>
      <c r="B1601" s="9" t="s">
        <v>5870</v>
      </c>
      <c r="C1601" s="9" t="s">
        <v>1822</v>
      </c>
      <c r="D1601" s="9" t="s">
        <v>5871</v>
      </c>
      <c r="E1601" s="9" t="str">
        <f aca="false">IF(AND('Formation Ledger'!A1580&lt;&gt;"",'Formation Ledger'!V1580=0),"PASS","FAIL")</f>
        <v>PASS</v>
      </c>
      <c r="F1601" s="9" t="s">
        <v>76</v>
      </c>
      <c r="G1601" s="6"/>
      <c r="H1601" s="6"/>
      <c r="I1601" s="6"/>
      <c r="J1601" s="6"/>
      <c r="K1601" s="6"/>
      <c r="L1601" s="6"/>
      <c r="M1601" s="6"/>
      <c r="N1601" s="6"/>
      <c r="O1601" s="6"/>
      <c r="P1601" s="6"/>
      <c r="Q1601" s="6"/>
      <c r="R1601" s="6"/>
      <c r="S1601" s="6"/>
      <c r="T1601" s="6"/>
      <c r="U1601" s="6"/>
      <c r="V1601" s="6"/>
      <c r="W1601" s="6"/>
      <c r="X1601" s="6"/>
      <c r="Y1601" s="6"/>
      <c r="Z1601" s="6"/>
    </row>
    <row r="1602" customFormat="false" ht="15" hidden="false" customHeight="false" outlineLevel="0" collapsed="false">
      <c r="A1602" s="9" t="s">
        <v>7445</v>
      </c>
      <c r="B1602" s="9" t="s">
        <v>5870</v>
      </c>
      <c r="C1602" s="9" t="s">
        <v>1823</v>
      </c>
      <c r="D1602" s="9" t="s">
        <v>5871</v>
      </c>
      <c r="E1602" s="9" t="str">
        <f aca="false">IF(AND('Formation Ledger'!A1581&lt;&gt;"",'Formation Ledger'!V1581=0),"PASS","FAIL")</f>
        <v>PASS</v>
      </c>
      <c r="F1602" s="9" t="s">
        <v>76</v>
      </c>
      <c r="G1602" s="6"/>
      <c r="H1602" s="6"/>
      <c r="I1602" s="6"/>
      <c r="J1602" s="6"/>
      <c r="K1602" s="6"/>
      <c r="L1602" s="6"/>
      <c r="M1602" s="6"/>
      <c r="N1602" s="6"/>
      <c r="O1602" s="6"/>
      <c r="P1602" s="6"/>
      <c r="Q1602" s="6"/>
      <c r="R1602" s="6"/>
      <c r="S1602" s="6"/>
      <c r="T1602" s="6"/>
      <c r="U1602" s="6"/>
      <c r="V1602" s="6"/>
      <c r="W1602" s="6"/>
      <c r="X1602" s="6"/>
      <c r="Y1602" s="6"/>
      <c r="Z1602" s="6"/>
    </row>
    <row r="1603" customFormat="false" ht="15" hidden="false" customHeight="false" outlineLevel="0" collapsed="false">
      <c r="A1603" s="9" t="s">
        <v>7446</v>
      </c>
      <c r="B1603" s="9" t="s">
        <v>5870</v>
      </c>
      <c r="C1603" s="9" t="s">
        <v>1824</v>
      </c>
      <c r="D1603" s="9" t="s">
        <v>5871</v>
      </c>
      <c r="E1603" s="9" t="str">
        <f aca="false">IF(AND('Formation Ledger'!A1582&lt;&gt;"",'Formation Ledger'!V1582=0),"PASS","FAIL")</f>
        <v>PASS</v>
      </c>
      <c r="F1603" s="9" t="s">
        <v>76</v>
      </c>
      <c r="G1603" s="6"/>
      <c r="H1603" s="6"/>
      <c r="I1603" s="6"/>
      <c r="J1603" s="6"/>
      <c r="K1603" s="6"/>
      <c r="L1603" s="6"/>
      <c r="M1603" s="6"/>
      <c r="N1603" s="6"/>
      <c r="O1603" s="6"/>
      <c r="P1603" s="6"/>
      <c r="Q1603" s="6"/>
      <c r="R1603" s="6"/>
      <c r="S1603" s="6"/>
      <c r="T1603" s="6"/>
      <c r="U1603" s="6"/>
      <c r="V1603" s="6"/>
      <c r="W1603" s="6"/>
      <c r="X1603" s="6"/>
      <c r="Y1603" s="6"/>
      <c r="Z1603" s="6"/>
    </row>
    <row r="1604" customFormat="false" ht="15" hidden="false" customHeight="false" outlineLevel="0" collapsed="false">
      <c r="A1604" s="9" t="s">
        <v>7447</v>
      </c>
      <c r="B1604" s="9" t="s">
        <v>5870</v>
      </c>
      <c r="C1604" s="9" t="s">
        <v>1825</v>
      </c>
      <c r="D1604" s="9" t="s">
        <v>5871</v>
      </c>
      <c r="E1604" s="9" t="str">
        <f aca="false">IF(AND('Formation Ledger'!A1583&lt;&gt;"",'Formation Ledger'!V1583=0),"PASS","FAIL")</f>
        <v>PASS</v>
      </c>
      <c r="F1604" s="9" t="s">
        <v>76</v>
      </c>
      <c r="G1604" s="6"/>
      <c r="H1604" s="6"/>
      <c r="I1604" s="6"/>
      <c r="J1604" s="6"/>
      <c r="K1604" s="6"/>
      <c r="L1604" s="6"/>
      <c r="M1604" s="6"/>
      <c r="N1604" s="6"/>
      <c r="O1604" s="6"/>
      <c r="P1604" s="6"/>
      <c r="Q1604" s="6"/>
      <c r="R1604" s="6"/>
      <c r="S1604" s="6"/>
      <c r="T1604" s="6"/>
      <c r="U1604" s="6"/>
      <c r="V1604" s="6"/>
      <c r="W1604" s="6"/>
      <c r="X1604" s="6"/>
      <c r="Y1604" s="6"/>
      <c r="Z1604" s="6"/>
    </row>
    <row r="1605" customFormat="false" ht="15" hidden="false" customHeight="false" outlineLevel="0" collapsed="false">
      <c r="A1605" s="9" t="s">
        <v>7448</v>
      </c>
      <c r="B1605" s="9" t="s">
        <v>5870</v>
      </c>
      <c r="C1605" s="9" t="s">
        <v>1826</v>
      </c>
      <c r="D1605" s="9" t="s">
        <v>5871</v>
      </c>
      <c r="E1605" s="9" t="str">
        <f aca="false">IF(AND('Formation Ledger'!A1584&lt;&gt;"",'Formation Ledger'!V1584=0),"PASS","FAIL")</f>
        <v>PASS</v>
      </c>
      <c r="F1605" s="9" t="s">
        <v>76</v>
      </c>
      <c r="G1605" s="6"/>
      <c r="H1605" s="6"/>
      <c r="I1605" s="6"/>
      <c r="J1605" s="6"/>
      <c r="K1605" s="6"/>
      <c r="L1605" s="6"/>
      <c r="M1605" s="6"/>
      <c r="N1605" s="6"/>
      <c r="O1605" s="6"/>
      <c r="P1605" s="6"/>
      <c r="Q1605" s="6"/>
      <c r="R1605" s="6"/>
      <c r="S1605" s="6"/>
      <c r="T1605" s="6"/>
      <c r="U1605" s="6"/>
      <c r="V1605" s="6"/>
      <c r="W1605" s="6"/>
      <c r="X1605" s="6"/>
      <c r="Y1605" s="6"/>
      <c r="Z1605" s="6"/>
    </row>
    <row r="1606" customFormat="false" ht="15" hidden="false" customHeight="false" outlineLevel="0" collapsed="false">
      <c r="A1606" s="9" t="s">
        <v>7449</v>
      </c>
      <c r="B1606" s="9" t="s">
        <v>5870</v>
      </c>
      <c r="C1606" s="9" t="s">
        <v>1827</v>
      </c>
      <c r="D1606" s="9" t="s">
        <v>5871</v>
      </c>
      <c r="E1606" s="9" t="str">
        <f aca="false">IF(AND('Formation Ledger'!A1585&lt;&gt;"",'Formation Ledger'!V1585=0),"PASS","FAIL")</f>
        <v>PASS</v>
      </c>
      <c r="F1606" s="9" t="s">
        <v>76</v>
      </c>
      <c r="G1606" s="6"/>
      <c r="H1606" s="6"/>
      <c r="I1606" s="6"/>
      <c r="J1606" s="6"/>
      <c r="K1606" s="6"/>
      <c r="L1606" s="6"/>
      <c r="M1606" s="6"/>
      <c r="N1606" s="6"/>
      <c r="O1606" s="6"/>
      <c r="P1606" s="6"/>
      <c r="Q1606" s="6"/>
      <c r="R1606" s="6"/>
      <c r="S1606" s="6"/>
      <c r="T1606" s="6"/>
      <c r="U1606" s="6"/>
      <c r="V1606" s="6"/>
      <c r="W1606" s="6"/>
      <c r="X1606" s="6"/>
      <c r="Y1606" s="6"/>
      <c r="Z1606" s="6"/>
    </row>
    <row r="1607" customFormat="false" ht="15" hidden="false" customHeight="false" outlineLevel="0" collapsed="false">
      <c r="A1607" s="9" t="s">
        <v>7450</v>
      </c>
      <c r="B1607" s="9" t="s">
        <v>5870</v>
      </c>
      <c r="C1607" s="9" t="s">
        <v>1828</v>
      </c>
      <c r="D1607" s="9" t="s">
        <v>5871</v>
      </c>
      <c r="E1607" s="9" t="str">
        <f aca="false">IF(AND('Formation Ledger'!A1586&lt;&gt;"",'Formation Ledger'!V1586=0),"PASS","FAIL")</f>
        <v>PASS</v>
      </c>
      <c r="F1607" s="9" t="s">
        <v>76</v>
      </c>
      <c r="G1607" s="6"/>
      <c r="H1607" s="6"/>
      <c r="I1607" s="6"/>
      <c r="J1607" s="6"/>
      <c r="K1607" s="6"/>
      <c r="L1607" s="6"/>
      <c r="M1607" s="6"/>
      <c r="N1607" s="6"/>
      <c r="O1607" s="6"/>
      <c r="P1607" s="6"/>
      <c r="Q1607" s="6"/>
      <c r="R1607" s="6"/>
      <c r="S1607" s="6"/>
      <c r="T1607" s="6"/>
      <c r="U1607" s="6"/>
      <c r="V1607" s="6"/>
      <c r="W1607" s="6"/>
      <c r="X1607" s="6"/>
      <c r="Y1607" s="6"/>
      <c r="Z1607" s="6"/>
    </row>
    <row r="1608" customFormat="false" ht="15" hidden="false" customHeight="false" outlineLevel="0" collapsed="false">
      <c r="A1608" s="9" t="s">
        <v>7451</v>
      </c>
      <c r="B1608" s="9" t="s">
        <v>5870</v>
      </c>
      <c r="C1608" s="9" t="s">
        <v>1829</v>
      </c>
      <c r="D1608" s="9" t="s">
        <v>5871</v>
      </c>
      <c r="E1608" s="9" t="str">
        <f aca="false">IF(AND('Formation Ledger'!A1587&lt;&gt;"",'Formation Ledger'!V1587=0),"PASS","FAIL")</f>
        <v>PASS</v>
      </c>
      <c r="F1608" s="9" t="s">
        <v>76</v>
      </c>
      <c r="G1608" s="6"/>
      <c r="H1608" s="6"/>
      <c r="I1608" s="6"/>
      <c r="J1608" s="6"/>
      <c r="K1608" s="6"/>
      <c r="L1608" s="6"/>
      <c r="M1608" s="6"/>
      <c r="N1608" s="6"/>
      <c r="O1608" s="6"/>
      <c r="P1608" s="6"/>
      <c r="Q1608" s="6"/>
      <c r="R1608" s="6"/>
      <c r="S1608" s="6"/>
      <c r="T1608" s="6"/>
      <c r="U1608" s="6"/>
      <c r="V1608" s="6"/>
      <c r="W1608" s="6"/>
      <c r="X1608" s="6"/>
      <c r="Y1608" s="6"/>
      <c r="Z1608" s="6"/>
    </row>
    <row r="1609" customFormat="false" ht="15" hidden="false" customHeight="false" outlineLevel="0" collapsed="false">
      <c r="A1609" s="9" t="s">
        <v>7452</v>
      </c>
      <c r="B1609" s="9" t="s">
        <v>5870</v>
      </c>
      <c r="C1609" s="9" t="s">
        <v>1830</v>
      </c>
      <c r="D1609" s="9" t="s">
        <v>5871</v>
      </c>
      <c r="E1609" s="9" t="str">
        <f aca="false">IF(AND('Formation Ledger'!A1588&lt;&gt;"",'Formation Ledger'!V1588=0),"PASS","FAIL")</f>
        <v>PASS</v>
      </c>
      <c r="F1609" s="9" t="s">
        <v>76</v>
      </c>
      <c r="G1609" s="6"/>
      <c r="H1609" s="6"/>
      <c r="I1609" s="6"/>
      <c r="J1609" s="6"/>
      <c r="K1609" s="6"/>
      <c r="L1609" s="6"/>
      <c r="M1609" s="6"/>
      <c r="N1609" s="6"/>
      <c r="O1609" s="6"/>
      <c r="P1609" s="6"/>
      <c r="Q1609" s="6"/>
      <c r="R1609" s="6"/>
      <c r="S1609" s="6"/>
      <c r="T1609" s="6"/>
      <c r="U1609" s="6"/>
      <c r="V1609" s="6"/>
      <c r="W1609" s="6"/>
      <c r="X1609" s="6"/>
      <c r="Y1609" s="6"/>
      <c r="Z1609" s="6"/>
    </row>
    <row r="1610" customFormat="false" ht="15" hidden="false" customHeight="false" outlineLevel="0" collapsed="false">
      <c r="A1610" s="9" t="s">
        <v>7453</v>
      </c>
      <c r="B1610" s="9" t="s">
        <v>5870</v>
      </c>
      <c r="C1610" s="9" t="s">
        <v>1831</v>
      </c>
      <c r="D1610" s="9" t="s">
        <v>5871</v>
      </c>
      <c r="E1610" s="9" t="str">
        <f aca="false">IF(AND('Formation Ledger'!A1589&lt;&gt;"",'Formation Ledger'!V1589=0),"PASS","FAIL")</f>
        <v>PASS</v>
      </c>
      <c r="F1610" s="9" t="s">
        <v>76</v>
      </c>
      <c r="G1610" s="6"/>
      <c r="H1610" s="6"/>
      <c r="I1610" s="6"/>
      <c r="J1610" s="6"/>
      <c r="K1610" s="6"/>
      <c r="L1610" s="6"/>
      <c r="M1610" s="6"/>
      <c r="N1610" s="6"/>
      <c r="O1610" s="6"/>
      <c r="P1610" s="6"/>
      <c r="Q1610" s="6"/>
      <c r="R1610" s="6"/>
      <c r="S1610" s="6"/>
      <c r="T1610" s="6"/>
      <c r="U1610" s="6"/>
      <c r="V1610" s="6"/>
      <c r="W1610" s="6"/>
      <c r="X1610" s="6"/>
      <c r="Y1610" s="6"/>
      <c r="Z1610" s="6"/>
    </row>
    <row r="1611" customFormat="false" ht="15" hidden="false" customHeight="false" outlineLevel="0" collapsed="false">
      <c r="A1611" s="9" t="s">
        <v>7454</v>
      </c>
      <c r="B1611" s="9" t="s">
        <v>5870</v>
      </c>
      <c r="C1611" s="9" t="s">
        <v>1832</v>
      </c>
      <c r="D1611" s="9" t="s">
        <v>5871</v>
      </c>
      <c r="E1611" s="9" t="str">
        <f aca="false">IF(AND('Formation Ledger'!A1590&lt;&gt;"",'Formation Ledger'!V1590=0),"PASS","FAIL")</f>
        <v>PASS</v>
      </c>
      <c r="F1611" s="9" t="s">
        <v>76</v>
      </c>
      <c r="G1611" s="6"/>
      <c r="H1611" s="6"/>
      <c r="I1611" s="6"/>
      <c r="J1611" s="6"/>
      <c r="K1611" s="6"/>
      <c r="L1611" s="6"/>
      <c r="M1611" s="6"/>
      <c r="N1611" s="6"/>
      <c r="O1611" s="6"/>
      <c r="P1611" s="6"/>
      <c r="Q1611" s="6"/>
      <c r="R1611" s="6"/>
      <c r="S1611" s="6"/>
      <c r="T1611" s="6"/>
      <c r="U1611" s="6"/>
      <c r="V1611" s="6"/>
      <c r="W1611" s="6"/>
      <c r="X1611" s="6"/>
      <c r="Y1611" s="6"/>
      <c r="Z1611" s="6"/>
    </row>
    <row r="1612" customFormat="false" ht="15" hidden="false" customHeight="false" outlineLevel="0" collapsed="false">
      <c r="A1612" s="9" t="s">
        <v>7455</v>
      </c>
      <c r="B1612" s="9" t="s">
        <v>5870</v>
      </c>
      <c r="C1612" s="9" t="s">
        <v>1833</v>
      </c>
      <c r="D1612" s="9" t="s">
        <v>5871</v>
      </c>
      <c r="E1612" s="9" t="str">
        <f aca="false">IF(AND('Formation Ledger'!A1591&lt;&gt;"",'Formation Ledger'!V1591=0),"PASS","FAIL")</f>
        <v>PASS</v>
      </c>
      <c r="F1612" s="9" t="s">
        <v>76</v>
      </c>
      <c r="G1612" s="6"/>
      <c r="H1612" s="6"/>
      <c r="I1612" s="6"/>
      <c r="J1612" s="6"/>
      <c r="K1612" s="6"/>
      <c r="L1612" s="6"/>
      <c r="M1612" s="6"/>
      <c r="N1612" s="6"/>
      <c r="O1612" s="6"/>
      <c r="P1612" s="6"/>
      <c r="Q1612" s="6"/>
      <c r="R1612" s="6"/>
      <c r="S1612" s="6"/>
      <c r="T1612" s="6"/>
      <c r="U1612" s="6"/>
      <c r="V1612" s="6"/>
      <c r="W1612" s="6"/>
      <c r="X1612" s="6"/>
      <c r="Y1612" s="6"/>
      <c r="Z1612" s="6"/>
    </row>
    <row r="1613" customFormat="false" ht="15" hidden="false" customHeight="false" outlineLevel="0" collapsed="false">
      <c r="A1613" s="9" t="s">
        <v>7456</v>
      </c>
      <c r="B1613" s="9" t="s">
        <v>5870</v>
      </c>
      <c r="C1613" s="9" t="s">
        <v>1834</v>
      </c>
      <c r="D1613" s="9" t="s">
        <v>5871</v>
      </c>
      <c r="E1613" s="9" t="str">
        <f aca="false">IF(AND('Formation Ledger'!A1592&lt;&gt;"",'Formation Ledger'!V1592=0),"PASS","FAIL")</f>
        <v>PASS</v>
      </c>
      <c r="F1613" s="9" t="s">
        <v>76</v>
      </c>
      <c r="G1613" s="6"/>
      <c r="H1613" s="6"/>
      <c r="I1613" s="6"/>
      <c r="J1613" s="6"/>
      <c r="K1613" s="6"/>
      <c r="L1613" s="6"/>
      <c r="M1613" s="6"/>
      <c r="N1613" s="6"/>
      <c r="O1613" s="6"/>
      <c r="P1613" s="6"/>
      <c r="Q1613" s="6"/>
      <c r="R1613" s="6"/>
      <c r="S1613" s="6"/>
      <c r="T1613" s="6"/>
      <c r="U1613" s="6"/>
      <c r="V1613" s="6"/>
      <c r="W1613" s="6"/>
      <c r="X1613" s="6"/>
      <c r="Y1613" s="6"/>
      <c r="Z1613" s="6"/>
    </row>
    <row r="1614" customFormat="false" ht="15" hidden="false" customHeight="false" outlineLevel="0" collapsed="false">
      <c r="A1614" s="9" t="s">
        <v>7457</v>
      </c>
      <c r="B1614" s="9" t="s">
        <v>5870</v>
      </c>
      <c r="C1614" s="9" t="s">
        <v>1835</v>
      </c>
      <c r="D1614" s="9" t="s">
        <v>5871</v>
      </c>
      <c r="E1614" s="9" t="str">
        <f aca="false">IF(AND('Formation Ledger'!A1593&lt;&gt;"",'Formation Ledger'!V1593=0),"PASS","FAIL")</f>
        <v>PASS</v>
      </c>
      <c r="F1614" s="9" t="s">
        <v>76</v>
      </c>
      <c r="G1614" s="6"/>
      <c r="H1614" s="6"/>
      <c r="I1614" s="6"/>
      <c r="J1614" s="6"/>
      <c r="K1614" s="6"/>
      <c r="L1614" s="6"/>
      <c r="M1614" s="6"/>
      <c r="N1614" s="6"/>
      <c r="O1614" s="6"/>
      <c r="P1614" s="6"/>
      <c r="Q1614" s="6"/>
      <c r="R1614" s="6"/>
      <c r="S1614" s="6"/>
      <c r="T1614" s="6"/>
      <c r="U1614" s="6"/>
      <c r="V1614" s="6"/>
      <c r="W1614" s="6"/>
      <c r="X1614" s="6"/>
      <c r="Y1614" s="6"/>
      <c r="Z1614" s="6"/>
    </row>
    <row r="1615" customFormat="false" ht="15" hidden="false" customHeight="false" outlineLevel="0" collapsed="false">
      <c r="A1615" s="9" t="s">
        <v>7458</v>
      </c>
      <c r="B1615" s="9" t="s">
        <v>5870</v>
      </c>
      <c r="C1615" s="9" t="s">
        <v>1836</v>
      </c>
      <c r="D1615" s="9" t="s">
        <v>5871</v>
      </c>
      <c r="E1615" s="9" t="str">
        <f aca="false">IF(AND('Formation Ledger'!A1594&lt;&gt;"",'Formation Ledger'!V1594=0),"PASS","FAIL")</f>
        <v>PASS</v>
      </c>
      <c r="F1615" s="9" t="s">
        <v>76</v>
      </c>
      <c r="G1615" s="6"/>
      <c r="H1615" s="6"/>
      <c r="I1615" s="6"/>
      <c r="J1615" s="6"/>
      <c r="K1615" s="6"/>
      <c r="L1615" s="6"/>
      <c r="M1615" s="6"/>
      <c r="N1615" s="6"/>
      <c r="O1615" s="6"/>
      <c r="P1615" s="6"/>
      <c r="Q1615" s="6"/>
      <c r="R1615" s="6"/>
      <c r="S1615" s="6"/>
      <c r="T1615" s="6"/>
      <c r="U1615" s="6"/>
      <c r="V1615" s="6"/>
      <c r="W1615" s="6"/>
      <c r="X1615" s="6"/>
      <c r="Y1615" s="6"/>
      <c r="Z1615" s="6"/>
    </row>
    <row r="1616" customFormat="false" ht="15" hidden="false" customHeight="false" outlineLevel="0" collapsed="false">
      <c r="A1616" s="9" t="s">
        <v>7459</v>
      </c>
      <c r="B1616" s="9" t="s">
        <v>5870</v>
      </c>
      <c r="C1616" s="9" t="s">
        <v>1837</v>
      </c>
      <c r="D1616" s="9" t="s">
        <v>5871</v>
      </c>
      <c r="E1616" s="9" t="str">
        <f aca="false">IF(AND('Formation Ledger'!A1595&lt;&gt;"",'Formation Ledger'!V1595=0),"PASS","FAIL")</f>
        <v>PASS</v>
      </c>
      <c r="F1616" s="9" t="s">
        <v>76</v>
      </c>
      <c r="G1616" s="6"/>
      <c r="H1616" s="6"/>
      <c r="I1616" s="6"/>
      <c r="J1616" s="6"/>
      <c r="K1616" s="6"/>
      <c r="L1616" s="6"/>
      <c r="M1616" s="6"/>
      <c r="N1616" s="6"/>
      <c r="O1616" s="6"/>
      <c r="P1616" s="6"/>
      <c r="Q1616" s="6"/>
      <c r="R1616" s="6"/>
      <c r="S1616" s="6"/>
      <c r="T1616" s="6"/>
      <c r="U1616" s="6"/>
      <c r="V1616" s="6"/>
      <c r="W1616" s="6"/>
      <c r="X1616" s="6"/>
      <c r="Y1616" s="6"/>
      <c r="Z1616" s="6"/>
    </row>
    <row r="1617" customFormat="false" ht="15" hidden="false" customHeight="false" outlineLevel="0" collapsed="false">
      <c r="A1617" s="9" t="s">
        <v>7460</v>
      </c>
      <c r="B1617" s="9" t="s">
        <v>5870</v>
      </c>
      <c r="C1617" s="9" t="s">
        <v>1838</v>
      </c>
      <c r="D1617" s="9" t="s">
        <v>5871</v>
      </c>
      <c r="E1617" s="9" t="str">
        <f aca="false">IF(AND('Formation Ledger'!A1596&lt;&gt;"",'Formation Ledger'!V1596=0),"PASS","FAIL")</f>
        <v>PASS</v>
      </c>
      <c r="F1617" s="9" t="s">
        <v>76</v>
      </c>
      <c r="G1617" s="6"/>
      <c r="H1617" s="6"/>
      <c r="I1617" s="6"/>
      <c r="J1617" s="6"/>
      <c r="K1617" s="6"/>
      <c r="L1617" s="6"/>
      <c r="M1617" s="6"/>
      <c r="N1617" s="6"/>
      <c r="O1617" s="6"/>
      <c r="P1617" s="6"/>
      <c r="Q1617" s="6"/>
      <c r="R1617" s="6"/>
      <c r="S1617" s="6"/>
      <c r="T1617" s="6"/>
      <c r="U1617" s="6"/>
      <c r="V1617" s="6"/>
      <c r="W1617" s="6"/>
      <c r="X1617" s="6"/>
      <c r="Y1617" s="6"/>
      <c r="Z1617" s="6"/>
    </row>
    <row r="1618" customFormat="false" ht="15" hidden="false" customHeight="false" outlineLevel="0" collapsed="false">
      <c r="A1618" s="9" t="s">
        <v>7461</v>
      </c>
      <c r="B1618" s="9" t="s">
        <v>5870</v>
      </c>
      <c r="C1618" s="9" t="s">
        <v>1839</v>
      </c>
      <c r="D1618" s="9" t="s">
        <v>5871</v>
      </c>
      <c r="E1618" s="9" t="str">
        <f aca="false">IF(AND('Formation Ledger'!A1597&lt;&gt;"",'Formation Ledger'!V1597=0),"PASS","FAIL")</f>
        <v>PASS</v>
      </c>
      <c r="F1618" s="9" t="s">
        <v>76</v>
      </c>
      <c r="G1618" s="6"/>
      <c r="H1618" s="6"/>
      <c r="I1618" s="6"/>
      <c r="J1618" s="6"/>
      <c r="K1618" s="6"/>
      <c r="L1618" s="6"/>
      <c r="M1618" s="6"/>
      <c r="N1618" s="6"/>
      <c r="O1618" s="6"/>
      <c r="P1618" s="6"/>
      <c r="Q1618" s="6"/>
      <c r="R1618" s="6"/>
      <c r="S1618" s="6"/>
      <c r="T1618" s="6"/>
      <c r="U1618" s="6"/>
      <c r="V1618" s="6"/>
      <c r="W1618" s="6"/>
      <c r="X1618" s="6"/>
      <c r="Y1618" s="6"/>
      <c r="Z1618" s="6"/>
    </row>
    <row r="1619" customFormat="false" ht="15" hidden="false" customHeight="false" outlineLevel="0" collapsed="false">
      <c r="A1619" s="9" t="s">
        <v>7462</v>
      </c>
      <c r="B1619" s="9" t="s">
        <v>5870</v>
      </c>
      <c r="C1619" s="9" t="s">
        <v>1840</v>
      </c>
      <c r="D1619" s="9" t="s">
        <v>5871</v>
      </c>
      <c r="E1619" s="9" t="str">
        <f aca="false">IF(AND('Formation Ledger'!A1598&lt;&gt;"",'Formation Ledger'!V1598=0),"PASS","FAIL")</f>
        <v>PASS</v>
      </c>
      <c r="F1619" s="9" t="s">
        <v>76</v>
      </c>
      <c r="G1619" s="6"/>
      <c r="H1619" s="6"/>
      <c r="I1619" s="6"/>
      <c r="J1619" s="6"/>
      <c r="K1619" s="6"/>
      <c r="L1619" s="6"/>
      <c r="M1619" s="6"/>
      <c r="N1619" s="6"/>
      <c r="O1619" s="6"/>
      <c r="P1619" s="6"/>
      <c r="Q1619" s="6"/>
      <c r="R1619" s="6"/>
      <c r="S1619" s="6"/>
      <c r="T1619" s="6"/>
      <c r="U1619" s="6"/>
      <c r="V1619" s="6"/>
      <c r="W1619" s="6"/>
      <c r="X1619" s="6"/>
      <c r="Y1619" s="6"/>
      <c r="Z1619" s="6"/>
    </row>
    <row r="1620" customFormat="false" ht="15" hidden="false" customHeight="false" outlineLevel="0" collapsed="false">
      <c r="A1620" s="9" t="s">
        <v>7463</v>
      </c>
      <c r="B1620" s="9" t="s">
        <v>5870</v>
      </c>
      <c r="C1620" s="9" t="s">
        <v>1841</v>
      </c>
      <c r="D1620" s="9" t="s">
        <v>5871</v>
      </c>
      <c r="E1620" s="9" t="str">
        <f aca="false">IF(AND('Formation Ledger'!A1599&lt;&gt;"",'Formation Ledger'!V1599=0),"PASS","FAIL")</f>
        <v>PASS</v>
      </c>
      <c r="F1620" s="9" t="s">
        <v>76</v>
      </c>
      <c r="G1620" s="6"/>
      <c r="H1620" s="6"/>
      <c r="I1620" s="6"/>
      <c r="J1620" s="6"/>
      <c r="K1620" s="6"/>
      <c r="L1620" s="6"/>
      <c r="M1620" s="6"/>
      <c r="N1620" s="6"/>
      <c r="O1620" s="6"/>
      <c r="P1620" s="6"/>
      <c r="Q1620" s="6"/>
      <c r="R1620" s="6"/>
      <c r="S1620" s="6"/>
      <c r="T1620" s="6"/>
      <c r="U1620" s="6"/>
      <c r="V1620" s="6"/>
      <c r="W1620" s="6"/>
      <c r="X1620" s="6"/>
      <c r="Y1620" s="6"/>
      <c r="Z1620" s="6"/>
    </row>
    <row r="1621" customFormat="false" ht="15" hidden="false" customHeight="false" outlineLevel="0" collapsed="false">
      <c r="A1621" s="9" t="s">
        <v>7464</v>
      </c>
      <c r="B1621" s="9" t="s">
        <v>5870</v>
      </c>
      <c r="C1621" s="9" t="s">
        <v>1842</v>
      </c>
      <c r="D1621" s="9" t="s">
        <v>5871</v>
      </c>
      <c r="E1621" s="9" t="str">
        <f aca="false">IF(AND('Formation Ledger'!A1600&lt;&gt;"",'Formation Ledger'!V1600=0),"PASS","FAIL")</f>
        <v>PASS</v>
      </c>
      <c r="F1621" s="9" t="s">
        <v>76</v>
      </c>
      <c r="G1621" s="6"/>
      <c r="H1621" s="6"/>
      <c r="I1621" s="6"/>
      <c r="J1621" s="6"/>
      <c r="K1621" s="6"/>
      <c r="L1621" s="6"/>
      <c r="M1621" s="6"/>
      <c r="N1621" s="6"/>
      <c r="O1621" s="6"/>
      <c r="P1621" s="6"/>
      <c r="Q1621" s="6"/>
      <c r="R1621" s="6"/>
      <c r="S1621" s="6"/>
      <c r="T1621" s="6"/>
      <c r="U1621" s="6"/>
      <c r="V1621" s="6"/>
      <c r="W1621" s="6"/>
      <c r="X1621" s="6"/>
      <c r="Y1621" s="6"/>
      <c r="Z1621" s="6"/>
    </row>
    <row r="1622" customFormat="false" ht="15" hidden="false" customHeight="false" outlineLevel="0" collapsed="false">
      <c r="A1622" s="9" t="s">
        <v>7465</v>
      </c>
      <c r="B1622" s="9" t="s">
        <v>5870</v>
      </c>
      <c r="C1622" s="9" t="s">
        <v>1843</v>
      </c>
      <c r="D1622" s="9" t="s">
        <v>5871</v>
      </c>
      <c r="E1622" s="9" t="str">
        <f aca="false">IF(AND('Formation Ledger'!A1601&lt;&gt;"",'Formation Ledger'!V1601=0),"PASS","FAIL")</f>
        <v>PASS</v>
      </c>
      <c r="F1622" s="9" t="s">
        <v>76</v>
      </c>
      <c r="G1622" s="6"/>
      <c r="H1622" s="6"/>
      <c r="I1622" s="6"/>
      <c r="J1622" s="6"/>
      <c r="K1622" s="6"/>
      <c r="L1622" s="6"/>
      <c r="M1622" s="6"/>
      <c r="N1622" s="6"/>
      <c r="O1622" s="6"/>
      <c r="P1622" s="6"/>
      <c r="Q1622" s="6"/>
      <c r="R1622" s="6"/>
      <c r="S1622" s="6"/>
      <c r="T1622" s="6"/>
      <c r="U1622" s="6"/>
      <c r="V1622" s="6"/>
      <c r="W1622" s="6"/>
      <c r="X1622" s="6"/>
      <c r="Y1622" s="6"/>
      <c r="Z1622" s="6"/>
    </row>
    <row r="1623" customFormat="false" ht="15" hidden="false" customHeight="false" outlineLevel="0" collapsed="false">
      <c r="A1623" s="9" t="s">
        <v>7466</v>
      </c>
      <c r="B1623" s="9" t="s">
        <v>5870</v>
      </c>
      <c r="C1623" s="9" t="s">
        <v>1844</v>
      </c>
      <c r="D1623" s="9" t="s">
        <v>5871</v>
      </c>
      <c r="E1623" s="9" t="str">
        <f aca="false">IF(AND('Formation Ledger'!A1602&lt;&gt;"",'Formation Ledger'!V1602=0),"PASS","FAIL")</f>
        <v>PASS</v>
      </c>
      <c r="F1623" s="9" t="s">
        <v>76</v>
      </c>
      <c r="G1623" s="6"/>
      <c r="H1623" s="6"/>
      <c r="I1623" s="6"/>
      <c r="J1623" s="6"/>
      <c r="K1623" s="6"/>
      <c r="L1623" s="6"/>
      <c r="M1623" s="6"/>
      <c r="N1623" s="6"/>
      <c r="O1623" s="6"/>
      <c r="P1623" s="6"/>
      <c r="Q1623" s="6"/>
      <c r="R1623" s="6"/>
      <c r="S1623" s="6"/>
      <c r="T1623" s="6"/>
      <c r="U1623" s="6"/>
      <c r="V1623" s="6"/>
      <c r="W1623" s="6"/>
      <c r="X1623" s="6"/>
      <c r="Y1623" s="6"/>
      <c r="Z1623" s="6"/>
    </row>
    <row r="1624" customFormat="false" ht="15" hidden="false" customHeight="false" outlineLevel="0" collapsed="false">
      <c r="A1624" s="9" t="s">
        <v>7467</v>
      </c>
      <c r="B1624" s="9" t="s">
        <v>5870</v>
      </c>
      <c r="C1624" s="9" t="s">
        <v>1845</v>
      </c>
      <c r="D1624" s="9" t="s">
        <v>5871</v>
      </c>
      <c r="E1624" s="9" t="str">
        <f aca="false">IF(AND('Formation Ledger'!A1603&lt;&gt;"",'Formation Ledger'!V1603=0),"PASS","FAIL")</f>
        <v>PASS</v>
      </c>
      <c r="F1624" s="9" t="s">
        <v>76</v>
      </c>
      <c r="G1624" s="6"/>
      <c r="H1624" s="6"/>
      <c r="I1624" s="6"/>
      <c r="J1624" s="6"/>
      <c r="K1624" s="6"/>
      <c r="L1624" s="6"/>
      <c r="M1624" s="6"/>
      <c r="N1624" s="6"/>
      <c r="O1624" s="6"/>
      <c r="P1624" s="6"/>
      <c r="Q1624" s="6"/>
      <c r="R1624" s="6"/>
      <c r="S1624" s="6"/>
      <c r="T1624" s="6"/>
      <c r="U1624" s="6"/>
      <c r="V1624" s="6"/>
      <c r="W1624" s="6"/>
      <c r="X1624" s="6"/>
      <c r="Y1624" s="6"/>
      <c r="Z1624" s="6"/>
    </row>
    <row r="1625" customFormat="false" ht="15" hidden="false" customHeight="false" outlineLevel="0" collapsed="false">
      <c r="A1625" s="9" t="s">
        <v>7468</v>
      </c>
      <c r="B1625" s="9" t="s">
        <v>5870</v>
      </c>
      <c r="C1625" s="9" t="s">
        <v>1846</v>
      </c>
      <c r="D1625" s="9" t="s">
        <v>5871</v>
      </c>
      <c r="E1625" s="9" t="str">
        <f aca="false">IF(AND('Formation Ledger'!A1604&lt;&gt;"",'Formation Ledger'!V1604=0),"PASS","FAIL")</f>
        <v>PASS</v>
      </c>
      <c r="F1625" s="9" t="s">
        <v>76</v>
      </c>
      <c r="G1625" s="6"/>
      <c r="H1625" s="6"/>
      <c r="I1625" s="6"/>
      <c r="J1625" s="6"/>
      <c r="K1625" s="6"/>
      <c r="L1625" s="6"/>
      <c r="M1625" s="6"/>
      <c r="N1625" s="6"/>
      <c r="O1625" s="6"/>
      <c r="P1625" s="6"/>
      <c r="Q1625" s="6"/>
      <c r="R1625" s="6"/>
      <c r="S1625" s="6"/>
      <c r="T1625" s="6"/>
      <c r="U1625" s="6"/>
      <c r="V1625" s="6"/>
      <c r="W1625" s="6"/>
      <c r="X1625" s="6"/>
      <c r="Y1625" s="6"/>
      <c r="Z1625" s="6"/>
    </row>
    <row r="1626" customFormat="false" ht="15" hidden="false" customHeight="false" outlineLevel="0" collapsed="false">
      <c r="A1626" s="9" t="s">
        <v>7469</v>
      </c>
      <c r="B1626" s="9" t="s">
        <v>5870</v>
      </c>
      <c r="C1626" s="9" t="s">
        <v>1847</v>
      </c>
      <c r="D1626" s="9" t="s">
        <v>5871</v>
      </c>
      <c r="E1626" s="9" t="str">
        <f aca="false">IF(AND('Formation Ledger'!A1605&lt;&gt;"",'Formation Ledger'!V1605=0),"PASS","FAIL")</f>
        <v>PASS</v>
      </c>
      <c r="F1626" s="9" t="s">
        <v>76</v>
      </c>
      <c r="G1626" s="6"/>
      <c r="H1626" s="6"/>
      <c r="I1626" s="6"/>
      <c r="J1626" s="6"/>
      <c r="K1626" s="6"/>
      <c r="L1626" s="6"/>
      <c r="M1626" s="6"/>
      <c r="N1626" s="6"/>
      <c r="O1626" s="6"/>
      <c r="P1626" s="6"/>
      <c r="Q1626" s="6"/>
      <c r="R1626" s="6"/>
      <c r="S1626" s="6"/>
      <c r="T1626" s="6"/>
      <c r="U1626" s="6"/>
      <c r="V1626" s="6"/>
      <c r="W1626" s="6"/>
      <c r="X1626" s="6"/>
      <c r="Y1626" s="6"/>
      <c r="Z1626" s="6"/>
    </row>
    <row r="1627" customFormat="false" ht="15" hidden="false" customHeight="false" outlineLevel="0" collapsed="false">
      <c r="A1627" s="9" t="s">
        <v>7470</v>
      </c>
      <c r="B1627" s="9" t="s">
        <v>5870</v>
      </c>
      <c r="C1627" s="9" t="s">
        <v>1848</v>
      </c>
      <c r="D1627" s="9" t="s">
        <v>5871</v>
      </c>
      <c r="E1627" s="9" t="str">
        <f aca="false">IF(AND('Formation Ledger'!A1606&lt;&gt;"",'Formation Ledger'!V1606=0),"PASS","FAIL")</f>
        <v>PASS</v>
      </c>
      <c r="F1627" s="9" t="s">
        <v>76</v>
      </c>
      <c r="G1627" s="6"/>
      <c r="H1627" s="6"/>
      <c r="I1627" s="6"/>
      <c r="J1627" s="6"/>
      <c r="K1627" s="6"/>
      <c r="L1627" s="6"/>
      <c r="M1627" s="6"/>
      <c r="N1627" s="6"/>
      <c r="O1627" s="6"/>
      <c r="P1627" s="6"/>
      <c r="Q1627" s="6"/>
      <c r="R1627" s="6"/>
      <c r="S1627" s="6"/>
      <c r="T1627" s="6"/>
      <c r="U1627" s="6"/>
      <c r="V1627" s="6"/>
      <c r="W1627" s="6"/>
      <c r="X1627" s="6"/>
      <c r="Y1627" s="6"/>
      <c r="Z1627" s="6"/>
    </row>
    <row r="1628" customFormat="false" ht="15" hidden="false" customHeight="false" outlineLevel="0" collapsed="false">
      <c r="A1628" s="9" t="s">
        <v>7471</v>
      </c>
      <c r="B1628" s="9" t="s">
        <v>5870</v>
      </c>
      <c r="C1628" s="9" t="s">
        <v>1849</v>
      </c>
      <c r="D1628" s="9" t="s">
        <v>5871</v>
      </c>
      <c r="E1628" s="9" t="str">
        <f aca="false">IF(AND('Formation Ledger'!A1607&lt;&gt;"",'Formation Ledger'!V1607=0),"PASS","FAIL")</f>
        <v>PASS</v>
      </c>
      <c r="F1628" s="9" t="s">
        <v>76</v>
      </c>
      <c r="G1628" s="6"/>
      <c r="H1628" s="6"/>
      <c r="I1628" s="6"/>
      <c r="J1628" s="6"/>
      <c r="K1628" s="6"/>
      <c r="L1628" s="6"/>
      <c r="M1628" s="6"/>
      <c r="N1628" s="6"/>
      <c r="O1628" s="6"/>
      <c r="P1628" s="6"/>
      <c r="Q1628" s="6"/>
      <c r="R1628" s="6"/>
      <c r="S1628" s="6"/>
      <c r="T1628" s="6"/>
      <c r="U1628" s="6"/>
      <c r="V1628" s="6"/>
      <c r="W1628" s="6"/>
      <c r="X1628" s="6"/>
      <c r="Y1628" s="6"/>
      <c r="Z1628" s="6"/>
    </row>
    <row r="1629" customFormat="false" ht="15" hidden="false" customHeight="false" outlineLevel="0" collapsed="false">
      <c r="A1629" s="9" t="s">
        <v>7472</v>
      </c>
      <c r="B1629" s="9" t="s">
        <v>5870</v>
      </c>
      <c r="C1629" s="9" t="s">
        <v>1850</v>
      </c>
      <c r="D1629" s="9" t="s">
        <v>5871</v>
      </c>
      <c r="E1629" s="9" t="str">
        <f aca="false">IF(AND('Formation Ledger'!A1608&lt;&gt;"",'Formation Ledger'!V1608=0),"PASS","FAIL")</f>
        <v>PASS</v>
      </c>
      <c r="F1629" s="9" t="s">
        <v>76</v>
      </c>
      <c r="G1629" s="6"/>
      <c r="H1629" s="6"/>
      <c r="I1629" s="6"/>
      <c r="J1629" s="6"/>
      <c r="K1629" s="6"/>
      <c r="L1629" s="6"/>
      <c r="M1629" s="6"/>
      <c r="N1629" s="6"/>
      <c r="O1629" s="6"/>
      <c r="P1629" s="6"/>
      <c r="Q1629" s="6"/>
      <c r="R1629" s="6"/>
      <c r="S1629" s="6"/>
      <c r="T1629" s="6"/>
      <c r="U1629" s="6"/>
      <c r="V1629" s="6"/>
      <c r="W1629" s="6"/>
      <c r="X1629" s="6"/>
      <c r="Y1629" s="6"/>
      <c r="Z1629" s="6"/>
    </row>
    <row r="1630" customFormat="false" ht="15" hidden="false" customHeight="false" outlineLevel="0" collapsed="false">
      <c r="A1630" s="9" t="s">
        <v>7473</v>
      </c>
      <c r="B1630" s="9" t="s">
        <v>5870</v>
      </c>
      <c r="C1630" s="9" t="s">
        <v>1851</v>
      </c>
      <c r="D1630" s="9" t="s">
        <v>5871</v>
      </c>
      <c r="E1630" s="9" t="str">
        <f aca="false">IF(AND('Formation Ledger'!A1609&lt;&gt;"",'Formation Ledger'!V1609=0),"PASS","FAIL")</f>
        <v>PASS</v>
      </c>
      <c r="F1630" s="9" t="s">
        <v>76</v>
      </c>
      <c r="G1630" s="6"/>
      <c r="H1630" s="6"/>
      <c r="I1630" s="6"/>
      <c r="J1630" s="6"/>
      <c r="K1630" s="6"/>
      <c r="L1630" s="6"/>
      <c r="M1630" s="6"/>
      <c r="N1630" s="6"/>
      <c r="O1630" s="6"/>
      <c r="P1630" s="6"/>
      <c r="Q1630" s="6"/>
      <c r="R1630" s="6"/>
      <c r="S1630" s="6"/>
      <c r="T1630" s="6"/>
      <c r="U1630" s="6"/>
      <c r="V1630" s="6"/>
      <c r="W1630" s="6"/>
      <c r="X1630" s="6"/>
      <c r="Y1630" s="6"/>
      <c r="Z1630" s="6"/>
    </row>
    <row r="1631" customFormat="false" ht="15" hidden="false" customHeight="false" outlineLevel="0" collapsed="false">
      <c r="A1631" s="9" t="s">
        <v>7474</v>
      </c>
      <c r="B1631" s="9" t="s">
        <v>5870</v>
      </c>
      <c r="C1631" s="9" t="s">
        <v>1852</v>
      </c>
      <c r="D1631" s="9" t="s">
        <v>5871</v>
      </c>
      <c r="E1631" s="9" t="str">
        <f aca="false">IF(AND('Formation Ledger'!A1610&lt;&gt;"",'Formation Ledger'!V1610=0),"PASS","FAIL")</f>
        <v>PASS</v>
      </c>
      <c r="F1631" s="9" t="s">
        <v>76</v>
      </c>
      <c r="G1631" s="6"/>
      <c r="H1631" s="6"/>
      <c r="I1631" s="6"/>
      <c r="J1631" s="6"/>
      <c r="K1631" s="6"/>
      <c r="L1631" s="6"/>
      <c r="M1631" s="6"/>
      <c r="N1631" s="6"/>
      <c r="O1631" s="6"/>
      <c r="P1631" s="6"/>
      <c r="Q1631" s="6"/>
      <c r="R1631" s="6"/>
      <c r="S1631" s="6"/>
      <c r="T1631" s="6"/>
      <c r="U1631" s="6"/>
      <c r="V1631" s="6"/>
      <c r="W1631" s="6"/>
      <c r="X1631" s="6"/>
      <c r="Y1631" s="6"/>
      <c r="Z1631" s="6"/>
    </row>
    <row r="1632" customFormat="false" ht="15" hidden="false" customHeight="false" outlineLevel="0" collapsed="false">
      <c r="A1632" s="9" t="s">
        <v>7475</v>
      </c>
      <c r="B1632" s="9" t="s">
        <v>5870</v>
      </c>
      <c r="C1632" s="9" t="s">
        <v>1853</v>
      </c>
      <c r="D1632" s="9" t="s">
        <v>5871</v>
      </c>
      <c r="E1632" s="9" t="str">
        <f aca="false">IF(AND('Formation Ledger'!A1611&lt;&gt;"",'Formation Ledger'!V1611=0),"PASS","FAIL")</f>
        <v>PASS</v>
      </c>
      <c r="F1632" s="9" t="s">
        <v>76</v>
      </c>
      <c r="G1632" s="6"/>
      <c r="H1632" s="6"/>
      <c r="I1632" s="6"/>
      <c r="J1632" s="6"/>
      <c r="K1632" s="6"/>
      <c r="L1632" s="6"/>
      <c r="M1632" s="6"/>
      <c r="N1632" s="6"/>
      <c r="O1632" s="6"/>
      <c r="P1632" s="6"/>
      <c r="Q1632" s="6"/>
      <c r="R1632" s="6"/>
      <c r="S1632" s="6"/>
      <c r="T1632" s="6"/>
      <c r="U1632" s="6"/>
      <c r="V1632" s="6"/>
      <c r="W1632" s="6"/>
      <c r="X1632" s="6"/>
      <c r="Y1632" s="6"/>
      <c r="Z1632" s="6"/>
    </row>
    <row r="1633" customFormat="false" ht="15" hidden="false" customHeight="false" outlineLevel="0" collapsed="false">
      <c r="A1633" s="9" t="s">
        <v>7476</v>
      </c>
      <c r="B1633" s="9" t="s">
        <v>5870</v>
      </c>
      <c r="C1633" s="9" t="s">
        <v>1854</v>
      </c>
      <c r="D1633" s="9" t="s">
        <v>5871</v>
      </c>
      <c r="E1633" s="9" t="str">
        <f aca="false">IF(AND('Formation Ledger'!A1612&lt;&gt;"",'Formation Ledger'!V1612=0),"PASS","FAIL")</f>
        <v>PASS</v>
      </c>
      <c r="F1633" s="9" t="s">
        <v>76</v>
      </c>
      <c r="G1633" s="6"/>
      <c r="H1633" s="6"/>
      <c r="I1633" s="6"/>
      <c r="J1633" s="6"/>
      <c r="K1633" s="6"/>
      <c r="L1633" s="6"/>
      <c r="M1633" s="6"/>
      <c r="N1633" s="6"/>
      <c r="O1633" s="6"/>
      <c r="P1633" s="6"/>
      <c r="Q1633" s="6"/>
      <c r="R1633" s="6"/>
      <c r="S1633" s="6"/>
      <c r="T1633" s="6"/>
      <c r="U1633" s="6"/>
      <c r="V1633" s="6"/>
      <c r="W1633" s="6"/>
      <c r="X1633" s="6"/>
      <c r="Y1633" s="6"/>
      <c r="Z1633" s="6"/>
    </row>
    <row r="1634" customFormat="false" ht="15" hidden="false" customHeight="false" outlineLevel="0" collapsed="false">
      <c r="A1634" s="9" t="s">
        <v>7477</v>
      </c>
      <c r="B1634" s="9" t="s">
        <v>5870</v>
      </c>
      <c r="C1634" s="9" t="s">
        <v>1855</v>
      </c>
      <c r="D1634" s="9" t="s">
        <v>5871</v>
      </c>
      <c r="E1634" s="9" t="str">
        <f aca="false">IF(AND('Formation Ledger'!A1613&lt;&gt;"",'Formation Ledger'!V1613=0),"PASS","FAIL")</f>
        <v>PASS</v>
      </c>
      <c r="F1634" s="9" t="s">
        <v>76</v>
      </c>
      <c r="G1634" s="6"/>
      <c r="H1634" s="6"/>
      <c r="I1634" s="6"/>
      <c r="J1634" s="6"/>
      <c r="K1634" s="6"/>
      <c r="L1634" s="6"/>
      <c r="M1634" s="6"/>
      <c r="N1634" s="6"/>
      <c r="O1634" s="6"/>
      <c r="P1634" s="6"/>
      <c r="Q1634" s="6"/>
      <c r="R1634" s="6"/>
      <c r="S1634" s="6"/>
      <c r="T1634" s="6"/>
      <c r="U1634" s="6"/>
      <c r="V1634" s="6"/>
      <c r="W1634" s="6"/>
      <c r="X1634" s="6"/>
      <c r="Y1634" s="6"/>
      <c r="Z1634" s="6"/>
    </row>
    <row r="1635" customFormat="false" ht="15" hidden="false" customHeight="false" outlineLevel="0" collapsed="false">
      <c r="A1635" s="9" t="s">
        <v>7478</v>
      </c>
      <c r="B1635" s="9" t="s">
        <v>5870</v>
      </c>
      <c r="C1635" s="9" t="s">
        <v>1856</v>
      </c>
      <c r="D1635" s="9" t="s">
        <v>5871</v>
      </c>
      <c r="E1635" s="9" t="str">
        <f aca="false">IF(AND('Formation Ledger'!A1614&lt;&gt;"",'Formation Ledger'!V1614=0),"PASS","FAIL")</f>
        <v>PASS</v>
      </c>
      <c r="F1635" s="9" t="s">
        <v>76</v>
      </c>
      <c r="G1635" s="6"/>
      <c r="H1635" s="6"/>
      <c r="I1635" s="6"/>
      <c r="J1635" s="6"/>
      <c r="K1635" s="6"/>
      <c r="L1635" s="6"/>
      <c r="M1635" s="6"/>
      <c r="N1635" s="6"/>
      <c r="O1635" s="6"/>
      <c r="P1635" s="6"/>
      <c r="Q1635" s="6"/>
      <c r="R1635" s="6"/>
      <c r="S1635" s="6"/>
      <c r="T1635" s="6"/>
      <c r="U1635" s="6"/>
      <c r="V1635" s="6"/>
      <c r="W1635" s="6"/>
      <c r="X1635" s="6"/>
      <c r="Y1635" s="6"/>
      <c r="Z1635" s="6"/>
    </row>
    <row r="1636" customFormat="false" ht="15" hidden="false" customHeight="false" outlineLevel="0" collapsed="false">
      <c r="A1636" s="9" t="s">
        <v>7479</v>
      </c>
      <c r="B1636" s="9" t="s">
        <v>5870</v>
      </c>
      <c r="C1636" s="9" t="s">
        <v>1857</v>
      </c>
      <c r="D1636" s="9" t="s">
        <v>5871</v>
      </c>
      <c r="E1636" s="9" t="str">
        <f aca="false">IF(AND('Formation Ledger'!A1615&lt;&gt;"",'Formation Ledger'!V1615=0),"PASS","FAIL")</f>
        <v>PASS</v>
      </c>
      <c r="F1636" s="9" t="s">
        <v>76</v>
      </c>
      <c r="G1636" s="6"/>
      <c r="H1636" s="6"/>
      <c r="I1636" s="6"/>
      <c r="J1636" s="6"/>
      <c r="K1636" s="6"/>
      <c r="L1636" s="6"/>
      <c r="M1636" s="6"/>
      <c r="N1636" s="6"/>
      <c r="O1636" s="6"/>
      <c r="P1636" s="6"/>
      <c r="Q1636" s="6"/>
      <c r="R1636" s="6"/>
      <c r="S1636" s="6"/>
      <c r="T1636" s="6"/>
      <c r="U1636" s="6"/>
      <c r="V1636" s="6"/>
      <c r="W1636" s="6"/>
      <c r="X1636" s="6"/>
      <c r="Y1636" s="6"/>
      <c r="Z1636" s="6"/>
    </row>
    <row r="1637" customFormat="false" ht="15" hidden="false" customHeight="false" outlineLevel="0" collapsed="false">
      <c r="A1637" s="9" t="s">
        <v>7480</v>
      </c>
      <c r="B1637" s="9" t="s">
        <v>5870</v>
      </c>
      <c r="C1637" s="9" t="s">
        <v>1858</v>
      </c>
      <c r="D1637" s="9" t="s">
        <v>5871</v>
      </c>
      <c r="E1637" s="9" t="str">
        <f aca="false">IF(AND('Formation Ledger'!A1616&lt;&gt;"",'Formation Ledger'!V1616=0),"PASS","FAIL")</f>
        <v>PASS</v>
      </c>
      <c r="F1637" s="9" t="s">
        <v>76</v>
      </c>
      <c r="G1637" s="6"/>
      <c r="H1637" s="6"/>
      <c r="I1637" s="6"/>
      <c r="J1637" s="6"/>
      <c r="K1637" s="6"/>
      <c r="L1637" s="6"/>
      <c r="M1637" s="6"/>
      <c r="N1637" s="6"/>
      <c r="O1637" s="6"/>
      <c r="P1637" s="6"/>
      <c r="Q1637" s="6"/>
      <c r="R1637" s="6"/>
      <c r="S1637" s="6"/>
      <c r="T1637" s="6"/>
      <c r="U1637" s="6"/>
      <c r="V1637" s="6"/>
      <c r="W1637" s="6"/>
      <c r="X1637" s="6"/>
      <c r="Y1637" s="6"/>
      <c r="Z1637" s="6"/>
    </row>
    <row r="1638" customFormat="false" ht="15" hidden="false" customHeight="false" outlineLevel="0" collapsed="false">
      <c r="A1638" s="9" t="s">
        <v>7481</v>
      </c>
      <c r="B1638" s="9" t="s">
        <v>5870</v>
      </c>
      <c r="C1638" s="9" t="s">
        <v>1859</v>
      </c>
      <c r="D1638" s="9" t="s">
        <v>5871</v>
      </c>
      <c r="E1638" s="9" t="str">
        <f aca="false">IF(AND('Formation Ledger'!A1617&lt;&gt;"",'Formation Ledger'!V1617=0),"PASS","FAIL")</f>
        <v>PASS</v>
      </c>
      <c r="F1638" s="9" t="s">
        <v>76</v>
      </c>
      <c r="G1638" s="6"/>
      <c r="H1638" s="6"/>
      <c r="I1638" s="6"/>
      <c r="J1638" s="6"/>
      <c r="K1638" s="6"/>
      <c r="L1638" s="6"/>
      <c r="M1638" s="6"/>
      <c r="N1638" s="6"/>
      <c r="O1638" s="6"/>
      <c r="P1638" s="6"/>
      <c r="Q1638" s="6"/>
      <c r="R1638" s="6"/>
      <c r="S1638" s="6"/>
      <c r="T1638" s="6"/>
      <c r="U1638" s="6"/>
      <c r="V1638" s="6"/>
      <c r="W1638" s="6"/>
      <c r="X1638" s="6"/>
      <c r="Y1638" s="6"/>
      <c r="Z1638" s="6"/>
    </row>
    <row r="1639" customFormat="false" ht="15" hidden="false" customHeight="false" outlineLevel="0" collapsed="false">
      <c r="A1639" s="9" t="s">
        <v>7482</v>
      </c>
      <c r="B1639" s="9" t="s">
        <v>5870</v>
      </c>
      <c r="C1639" s="9" t="s">
        <v>1860</v>
      </c>
      <c r="D1639" s="9" t="s">
        <v>5871</v>
      </c>
      <c r="E1639" s="9" t="str">
        <f aca="false">IF(AND('Formation Ledger'!A1618&lt;&gt;"",'Formation Ledger'!V1618=0),"PASS","FAIL")</f>
        <v>PASS</v>
      </c>
      <c r="F1639" s="9" t="s">
        <v>76</v>
      </c>
      <c r="G1639" s="6"/>
      <c r="H1639" s="6"/>
      <c r="I1639" s="6"/>
      <c r="J1639" s="6"/>
      <c r="K1639" s="6"/>
      <c r="L1639" s="6"/>
      <c r="M1639" s="6"/>
      <c r="N1639" s="6"/>
      <c r="O1639" s="6"/>
      <c r="P1639" s="6"/>
      <c r="Q1639" s="6"/>
      <c r="R1639" s="6"/>
      <c r="S1639" s="6"/>
      <c r="T1639" s="6"/>
      <c r="U1639" s="6"/>
      <c r="V1639" s="6"/>
      <c r="W1639" s="6"/>
      <c r="X1639" s="6"/>
      <c r="Y1639" s="6"/>
      <c r="Z1639" s="6"/>
    </row>
    <row r="1640" customFormat="false" ht="15" hidden="false" customHeight="false" outlineLevel="0" collapsed="false">
      <c r="A1640" s="9" t="s">
        <v>7483</v>
      </c>
      <c r="B1640" s="9" t="s">
        <v>5870</v>
      </c>
      <c r="C1640" s="9" t="s">
        <v>1861</v>
      </c>
      <c r="D1640" s="9" t="s">
        <v>5871</v>
      </c>
      <c r="E1640" s="9" t="str">
        <f aca="false">IF(AND('Formation Ledger'!A1619&lt;&gt;"",'Formation Ledger'!V1619=0),"PASS","FAIL")</f>
        <v>PASS</v>
      </c>
      <c r="F1640" s="9" t="s">
        <v>76</v>
      </c>
      <c r="G1640" s="6"/>
      <c r="H1640" s="6"/>
      <c r="I1640" s="6"/>
      <c r="J1640" s="6"/>
      <c r="K1640" s="6"/>
      <c r="L1640" s="6"/>
      <c r="M1640" s="6"/>
      <c r="N1640" s="6"/>
      <c r="O1640" s="6"/>
      <c r="P1640" s="6"/>
      <c r="Q1640" s="6"/>
      <c r="R1640" s="6"/>
      <c r="S1640" s="6"/>
      <c r="T1640" s="6"/>
      <c r="U1640" s="6"/>
      <c r="V1640" s="6"/>
      <c r="W1640" s="6"/>
      <c r="X1640" s="6"/>
      <c r="Y1640" s="6"/>
      <c r="Z1640" s="6"/>
    </row>
    <row r="1641" customFormat="false" ht="15" hidden="false" customHeight="false" outlineLevel="0" collapsed="false">
      <c r="A1641" s="9" t="s">
        <v>7484</v>
      </c>
      <c r="B1641" s="9" t="s">
        <v>5870</v>
      </c>
      <c r="C1641" s="9" t="s">
        <v>1862</v>
      </c>
      <c r="D1641" s="9" t="s">
        <v>5871</v>
      </c>
      <c r="E1641" s="9" t="str">
        <f aca="false">IF(AND('Formation Ledger'!A1620&lt;&gt;"",'Formation Ledger'!V1620=0),"PASS","FAIL")</f>
        <v>PASS</v>
      </c>
      <c r="F1641" s="9" t="s">
        <v>76</v>
      </c>
      <c r="G1641" s="6"/>
      <c r="H1641" s="6"/>
      <c r="I1641" s="6"/>
      <c r="J1641" s="6"/>
      <c r="K1641" s="6"/>
      <c r="L1641" s="6"/>
      <c r="M1641" s="6"/>
      <c r="N1641" s="6"/>
      <c r="O1641" s="6"/>
      <c r="P1641" s="6"/>
      <c r="Q1641" s="6"/>
      <c r="R1641" s="6"/>
      <c r="S1641" s="6"/>
      <c r="T1641" s="6"/>
      <c r="U1641" s="6"/>
      <c r="V1641" s="6"/>
      <c r="W1641" s="6"/>
      <c r="X1641" s="6"/>
      <c r="Y1641" s="6"/>
      <c r="Z1641" s="6"/>
    </row>
    <row r="1642" customFormat="false" ht="15" hidden="false" customHeight="false" outlineLevel="0" collapsed="false">
      <c r="A1642" s="9" t="s">
        <v>7485</v>
      </c>
      <c r="B1642" s="9" t="s">
        <v>5870</v>
      </c>
      <c r="C1642" s="9" t="s">
        <v>1863</v>
      </c>
      <c r="D1642" s="9" t="s">
        <v>5871</v>
      </c>
      <c r="E1642" s="9" t="str">
        <f aca="false">IF(AND('Formation Ledger'!A1621&lt;&gt;"",'Formation Ledger'!V1621=0),"PASS","FAIL")</f>
        <v>PASS</v>
      </c>
      <c r="F1642" s="9" t="s">
        <v>76</v>
      </c>
      <c r="G1642" s="6"/>
      <c r="H1642" s="6"/>
      <c r="I1642" s="6"/>
      <c r="J1642" s="6"/>
      <c r="K1642" s="6"/>
      <c r="L1642" s="6"/>
      <c r="M1642" s="6"/>
      <c r="N1642" s="6"/>
      <c r="O1642" s="6"/>
      <c r="P1642" s="6"/>
      <c r="Q1642" s="6"/>
      <c r="R1642" s="6"/>
      <c r="S1642" s="6"/>
      <c r="T1642" s="6"/>
      <c r="U1642" s="6"/>
      <c r="V1642" s="6"/>
      <c r="W1642" s="6"/>
      <c r="X1642" s="6"/>
      <c r="Y1642" s="6"/>
      <c r="Z1642" s="6"/>
    </row>
    <row r="1643" customFormat="false" ht="15" hidden="false" customHeight="false" outlineLevel="0" collapsed="false">
      <c r="A1643" s="9" t="s">
        <v>7486</v>
      </c>
      <c r="B1643" s="9" t="s">
        <v>5870</v>
      </c>
      <c r="C1643" s="9" t="s">
        <v>1864</v>
      </c>
      <c r="D1643" s="9" t="s">
        <v>5871</v>
      </c>
      <c r="E1643" s="9" t="str">
        <f aca="false">IF(AND('Formation Ledger'!A1622&lt;&gt;"",'Formation Ledger'!V1622=0),"PASS","FAIL")</f>
        <v>PASS</v>
      </c>
      <c r="F1643" s="9" t="s">
        <v>76</v>
      </c>
      <c r="G1643" s="6"/>
      <c r="H1643" s="6"/>
      <c r="I1643" s="6"/>
      <c r="J1643" s="6"/>
      <c r="K1643" s="6"/>
      <c r="L1643" s="6"/>
      <c r="M1643" s="6"/>
      <c r="N1643" s="6"/>
      <c r="O1643" s="6"/>
      <c r="P1643" s="6"/>
      <c r="Q1643" s="6"/>
      <c r="R1643" s="6"/>
      <c r="S1643" s="6"/>
      <c r="T1643" s="6"/>
      <c r="U1643" s="6"/>
      <c r="V1643" s="6"/>
      <c r="W1643" s="6"/>
      <c r="X1643" s="6"/>
      <c r="Y1643" s="6"/>
      <c r="Z1643" s="6"/>
    </row>
    <row r="1644" customFormat="false" ht="15" hidden="false" customHeight="false" outlineLevel="0" collapsed="false">
      <c r="A1644" s="9" t="s">
        <v>7487</v>
      </c>
      <c r="B1644" s="9" t="s">
        <v>5870</v>
      </c>
      <c r="C1644" s="9" t="s">
        <v>1865</v>
      </c>
      <c r="D1644" s="9" t="s">
        <v>5871</v>
      </c>
      <c r="E1644" s="9" t="str">
        <f aca="false">IF(AND('Formation Ledger'!A1623&lt;&gt;"",'Formation Ledger'!V1623=0),"PASS","FAIL")</f>
        <v>PASS</v>
      </c>
      <c r="F1644" s="9" t="s">
        <v>76</v>
      </c>
      <c r="G1644" s="6"/>
      <c r="H1644" s="6"/>
      <c r="I1644" s="6"/>
      <c r="J1644" s="6"/>
      <c r="K1644" s="6"/>
      <c r="L1644" s="6"/>
      <c r="M1644" s="6"/>
      <c r="N1644" s="6"/>
      <c r="O1644" s="6"/>
      <c r="P1644" s="6"/>
      <c r="Q1644" s="6"/>
      <c r="R1644" s="6"/>
      <c r="S1644" s="6"/>
      <c r="T1644" s="6"/>
      <c r="U1644" s="6"/>
      <c r="V1644" s="6"/>
      <c r="W1644" s="6"/>
      <c r="X1644" s="6"/>
      <c r="Y1644" s="6"/>
      <c r="Z1644" s="6"/>
    </row>
    <row r="1645" customFormat="false" ht="15" hidden="false" customHeight="false" outlineLevel="0" collapsed="false">
      <c r="A1645" s="9" t="s">
        <v>7488</v>
      </c>
      <c r="B1645" s="9" t="s">
        <v>5870</v>
      </c>
      <c r="C1645" s="9" t="s">
        <v>1866</v>
      </c>
      <c r="D1645" s="9" t="s">
        <v>5871</v>
      </c>
      <c r="E1645" s="9" t="str">
        <f aca="false">IF(AND('Formation Ledger'!A1624&lt;&gt;"",'Formation Ledger'!V1624=0),"PASS","FAIL")</f>
        <v>PASS</v>
      </c>
      <c r="F1645" s="9" t="s">
        <v>76</v>
      </c>
      <c r="G1645" s="6"/>
      <c r="H1645" s="6"/>
      <c r="I1645" s="6"/>
      <c r="J1645" s="6"/>
      <c r="K1645" s="6"/>
      <c r="L1645" s="6"/>
      <c r="M1645" s="6"/>
      <c r="N1645" s="6"/>
      <c r="O1645" s="6"/>
      <c r="P1645" s="6"/>
      <c r="Q1645" s="6"/>
      <c r="R1645" s="6"/>
      <c r="S1645" s="6"/>
      <c r="T1645" s="6"/>
      <c r="U1645" s="6"/>
      <c r="V1645" s="6"/>
      <c r="W1645" s="6"/>
      <c r="X1645" s="6"/>
      <c r="Y1645" s="6"/>
      <c r="Z1645" s="6"/>
    </row>
    <row r="1646" customFormat="false" ht="15" hidden="false" customHeight="false" outlineLevel="0" collapsed="false">
      <c r="A1646" s="9" t="s">
        <v>7489</v>
      </c>
      <c r="B1646" s="9" t="s">
        <v>5870</v>
      </c>
      <c r="C1646" s="9" t="s">
        <v>1867</v>
      </c>
      <c r="D1646" s="9" t="s">
        <v>5871</v>
      </c>
      <c r="E1646" s="9" t="str">
        <f aca="false">IF(AND('Formation Ledger'!A1625&lt;&gt;"",'Formation Ledger'!V1625=0),"PASS","FAIL")</f>
        <v>PASS</v>
      </c>
      <c r="F1646" s="9" t="s">
        <v>76</v>
      </c>
      <c r="G1646" s="6"/>
      <c r="H1646" s="6"/>
      <c r="I1646" s="6"/>
      <c r="J1646" s="6"/>
      <c r="K1646" s="6"/>
      <c r="L1646" s="6"/>
      <c r="M1646" s="6"/>
      <c r="N1646" s="6"/>
      <c r="O1646" s="6"/>
      <c r="P1646" s="6"/>
      <c r="Q1646" s="6"/>
      <c r="R1646" s="6"/>
      <c r="S1646" s="6"/>
      <c r="T1646" s="6"/>
      <c r="U1646" s="6"/>
      <c r="V1646" s="6"/>
      <c r="W1646" s="6"/>
      <c r="X1646" s="6"/>
      <c r="Y1646" s="6"/>
      <c r="Z1646" s="6"/>
    </row>
    <row r="1647" customFormat="false" ht="15" hidden="false" customHeight="false" outlineLevel="0" collapsed="false">
      <c r="A1647" s="9" t="s">
        <v>7490</v>
      </c>
      <c r="B1647" s="9" t="s">
        <v>5870</v>
      </c>
      <c r="C1647" s="9" t="s">
        <v>1868</v>
      </c>
      <c r="D1647" s="9" t="s">
        <v>5871</v>
      </c>
      <c r="E1647" s="9" t="str">
        <f aca="false">IF(AND('Formation Ledger'!A1626&lt;&gt;"",'Formation Ledger'!V1626=0),"PASS","FAIL")</f>
        <v>PASS</v>
      </c>
      <c r="F1647" s="9" t="s">
        <v>76</v>
      </c>
      <c r="G1647" s="6"/>
      <c r="H1647" s="6"/>
      <c r="I1647" s="6"/>
      <c r="J1647" s="6"/>
      <c r="K1647" s="6"/>
      <c r="L1647" s="6"/>
      <c r="M1647" s="6"/>
      <c r="N1647" s="6"/>
      <c r="O1647" s="6"/>
      <c r="P1647" s="6"/>
      <c r="Q1647" s="6"/>
      <c r="R1647" s="6"/>
      <c r="S1647" s="6"/>
      <c r="T1647" s="6"/>
      <c r="U1647" s="6"/>
      <c r="V1647" s="6"/>
      <c r="W1647" s="6"/>
      <c r="X1647" s="6"/>
      <c r="Y1647" s="6"/>
      <c r="Z1647" s="6"/>
    </row>
    <row r="1648" customFormat="false" ht="15" hidden="false" customHeight="false" outlineLevel="0" collapsed="false">
      <c r="A1648" s="9" t="s">
        <v>7491</v>
      </c>
      <c r="B1648" s="9" t="s">
        <v>5870</v>
      </c>
      <c r="C1648" s="9" t="s">
        <v>1869</v>
      </c>
      <c r="D1648" s="9" t="s">
        <v>5871</v>
      </c>
      <c r="E1648" s="9" t="str">
        <f aca="false">IF(AND('Formation Ledger'!A1627&lt;&gt;"",'Formation Ledger'!V1627=0),"PASS","FAIL")</f>
        <v>PASS</v>
      </c>
      <c r="F1648" s="9" t="s">
        <v>76</v>
      </c>
      <c r="G1648" s="6"/>
      <c r="H1648" s="6"/>
      <c r="I1648" s="6"/>
      <c r="J1648" s="6"/>
      <c r="K1648" s="6"/>
      <c r="L1648" s="6"/>
      <c r="M1648" s="6"/>
      <c r="N1648" s="6"/>
      <c r="O1648" s="6"/>
      <c r="P1648" s="6"/>
      <c r="Q1648" s="6"/>
      <c r="R1648" s="6"/>
      <c r="S1648" s="6"/>
      <c r="T1648" s="6"/>
      <c r="U1648" s="6"/>
      <c r="V1648" s="6"/>
      <c r="W1648" s="6"/>
      <c r="X1648" s="6"/>
      <c r="Y1648" s="6"/>
      <c r="Z1648" s="6"/>
    </row>
    <row r="1649" customFormat="false" ht="15" hidden="false" customHeight="false" outlineLevel="0" collapsed="false">
      <c r="A1649" s="9" t="s">
        <v>7492</v>
      </c>
      <c r="B1649" s="9" t="s">
        <v>5870</v>
      </c>
      <c r="C1649" s="9" t="s">
        <v>1870</v>
      </c>
      <c r="D1649" s="9" t="s">
        <v>5871</v>
      </c>
      <c r="E1649" s="9" t="str">
        <f aca="false">IF(AND('Formation Ledger'!A1628&lt;&gt;"",'Formation Ledger'!V1628=0),"PASS","FAIL")</f>
        <v>PASS</v>
      </c>
      <c r="F1649" s="9" t="s">
        <v>76</v>
      </c>
      <c r="G1649" s="6"/>
      <c r="H1649" s="6"/>
      <c r="I1649" s="6"/>
      <c r="J1649" s="6"/>
      <c r="K1649" s="6"/>
      <c r="L1649" s="6"/>
      <c r="M1649" s="6"/>
      <c r="N1649" s="6"/>
      <c r="O1649" s="6"/>
      <c r="P1649" s="6"/>
      <c r="Q1649" s="6"/>
      <c r="R1649" s="6"/>
      <c r="S1649" s="6"/>
      <c r="T1649" s="6"/>
      <c r="U1649" s="6"/>
      <c r="V1649" s="6"/>
      <c r="W1649" s="6"/>
      <c r="X1649" s="6"/>
      <c r="Y1649" s="6"/>
      <c r="Z1649" s="6"/>
    </row>
    <row r="1650" customFormat="false" ht="15" hidden="false" customHeight="false" outlineLevel="0" collapsed="false">
      <c r="A1650" s="9" t="s">
        <v>7493</v>
      </c>
      <c r="B1650" s="9" t="s">
        <v>5870</v>
      </c>
      <c r="C1650" s="9" t="s">
        <v>1871</v>
      </c>
      <c r="D1650" s="9" t="s">
        <v>5871</v>
      </c>
      <c r="E1650" s="9" t="str">
        <f aca="false">IF(AND('Formation Ledger'!A1629&lt;&gt;"",'Formation Ledger'!V1629=0),"PASS","FAIL")</f>
        <v>PASS</v>
      </c>
      <c r="F1650" s="9" t="s">
        <v>76</v>
      </c>
      <c r="G1650" s="6"/>
      <c r="H1650" s="6"/>
      <c r="I1650" s="6"/>
      <c r="J1650" s="6"/>
      <c r="K1650" s="6"/>
      <c r="L1650" s="6"/>
      <c r="M1650" s="6"/>
      <c r="N1650" s="6"/>
      <c r="O1650" s="6"/>
      <c r="P1650" s="6"/>
      <c r="Q1650" s="6"/>
      <c r="R1650" s="6"/>
      <c r="S1650" s="6"/>
      <c r="T1650" s="6"/>
      <c r="U1650" s="6"/>
      <c r="V1650" s="6"/>
      <c r="W1650" s="6"/>
      <c r="X1650" s="6"/>
      <c r="Y1650" s="6"/>
      <c r="Z1650" s="6"/>
    </row>
    <row r="1651" customFormat="false" ht="15" hidden="false" customHeight="false" outlineLevel="0" collapsed="false">
      <c r="A1651" s="9" t="s">
        <v>7494</v>
      </c>
      <c r="B1651" s="9" t="s">
        <v>5870</v>
      </c>
      <c r="C1651" s="9" t="s">
        <v>1872</v>
      </c>
      <c r="D1651" s="9" t="s">
        <v>5871</v>
      </c>
      <c r="E1651" s="9" t="str">
        <f aca="false">IF(AND('Formation Ledger'!A1630&lt;&gt;"",'Formation Ledger'!V1630=0),"PASS","FAIL")</f>
        <v>PASS</v>
      </c>
      <c r="F1651" s="9" t="s">
        <v>76</v>
      </c>
      <c r="G1651" s="6"/>
      <c r="H1651" s="6"/>
      <c r="I1651" s="6"/>
      <c r="J1651" s="6"/>
      <c r="K1651" s="6"/>
      <c r="L1651" s="6"/>
      <c r="M1651" s="6"/>
      <c r="N1651" s="6"/>
      <c r="O1651" s="6"/>
      <c r="P1651" s="6"/>
      <c r="Q1651" s="6"/>
      <c r="R1651" s="6"/>
      <c r="S1651" s="6"/>
      <c r="T1651" s="6"/>
      <c r="U1651" s="6"/>
      <c r="V1651" s="6"/>
      <c r="W1651" s="6"/>
      <c r="X1651" s="6"/>
      <c r="Y1651" s="6"/>
      <c r="Z1651" s="6"/>
    </row>
    <row r="1652" customFormat="false" ht="15" hidden="false" customHeight="false" outlineLevel="0" collapsed="false">
      <c r="A1652" s="9" t="s">
        <v>7495</v>
      </c>
      <c r="B1652" s="9" t="s">
        <v>5870</v>
      </c>
      <c r="C1652" s="9" t="s">
        <v>1873</v>
      </c>
      <c r="D1652" s="9" t="s">
        <v>5871</v>
      </c>
      <c r="E1652" s="9" t="str">
        <f aca="false">IF(AND('Formation Ledger'!A1631&lt;&gt;"",'Formation Ledger'!V1631=0),"PASS","FAIL")</f>
        <v>PASS</v>
      </c>
      <c r="F1652" s="9" t="s">
        <v>76</v>
      </c>
      <c r="G1652" s="6"/>
      <c r="H1652" s="6"/>
      <c r="I1652" s="6"/>
      <c r="J1652" s="6"/>
      <c r="K1652" s="6"/>
      <c r="L1652" s="6"/>
      <c r="M1652" s="6"/>
      <c r="N1652" s="6"/>
      <c r="O1652" s="6"/>
      <c r="P1652" s="6"/>
      <c r="Q1652" s="6"/>
      <c r="R1652" s="6"/>
      <c r="S1652" s="6"/>
      <c r="T1652" s="6"/>
      <c r="U1652" s="6"/>
      <c r="V1652" s="6"/>
      <c r="W1652" s="6"/>
      <c r="X1652" s="6"/>
      <c r="Y1652" s="6"/>
      <c r="Z1652" s="6"/>
    </row>
    <row r="1653" customFormat="false" ht="15" hidden="false" customHeight="false" outlineLevel="0" collapsed="false">
      <c r="A1653" s="9" t="s">
        <v>7496</v>
      </c>
      <c r="B1653" s="9" t="s">
        <v>5870</v>
      </c>
      <c r="C1653" s="9" t="s">
        <v>1874</v>
      </c>
      <c r="D1653" s="9" t="s">
        <v>5871</v>
      </c>
      <c r="E1653" s="9" t="str">
        <f aca="false">IF(AND('Formation Ledger'!A1632&lt;&gt;"",'Formation Ledger'!V1632=0),"PASS","FAIL")</f>
        <v>PASS</v>
      </c>
      <c r="F1653" s="9" t="s">
        <v>76</v>
      </c>
      <c r="G1653" s="6"/>
      <c r="H1653" s="6"/>
      <c r="I1653" s="6"/>
      <c r="J1653" s="6"/>
      <c r="K1653" s="6"/>
      <c r="L1653" s="6"/>
      <c r="M1653" s="6"/>
      <c r="N1653" s="6"/>
      <c r="O1653" s="6"/>
      <c r="P1653" s="6"/>
      <c r="Q1653" s="6"/>
      <c r="R1653" s="6"/>
      <c r="S1653" s="6"/>
      <c r="T1653" s="6"/>
      <c r="U1653" s="6"/>
      <c r="V1653" s="6"/>
      <c r="W1653" s="6"/>
      <c r="X1653" s="6"/>
      <c r="Y1653" s="6"/>
      <c r="Z1653" s="6"/>
    </row>
    <row r="1654" customFormat="false" ht="15" hidden="false" customHeight="false" outlineLevel="0" collapsed="false">
      <c r="A1654" s="9" t="s">
        <v>7497</v>
      </c>
      <c r="B1654" s="9" t="s">
        <v>5870</v>
      </c>
      <c r="C1654" s="9" t="s">
        <v>1875</v>
      </c>
      <c r="D1654" s="9" t="s">
        <v>5871</v>
      </c>
      <c r="E1654" s="9" t="str">
        <f aca="false">IF(AND('Formation Ledger'!A1633&lt;&gt;"",'Formation Ledger'!V1633=0),"PASS","FAIL")</f>
        <v>PASS</v>
      </c>
      <c r="F1654" s="9" t="s">
        <v>76</v>
      </c>
      <c r="G1654" s="6"/>
      <c r="H1654" s="6"/>
      <c r="I1654" s="6"/>
      <c r="J1654" s="6"/>
      <c r="K1654" s="6"/>
      <c r="L1654" s="6"/>
      <c r="M1654" s="6"/>
      <c r="N1654" s="6"/>
      <c r="O1654" s="6"/>
      <c r="P1654" s="6"/>
      <c r="Q1654" s="6"/>
      <c r="R1654" s="6"/>
      <c r="S1654" s="6"/>
      <c r="T1654" s="6"/>
      <c r="U1654" s="6"/>
      <c r="V1654" s="6"/>
      <c r="W1654" s="6"/>
      <c r="X1654" s="6"/>
      <c r="Y1654" s="6"/>
      <c r="Z1654" s="6"/>
    </row>
    <row r="1655" customFormat="false" ht="15" hidden="false" customHeight="false" outlineLevel="0" collapsed="false">
      <c r="A1655" s="9" t="s">
        <v>7498</v>
      </c>
      <c r="B1655" s="9" t="s">
        <v>5870</v>
      </c>
      <c r="C1655" s="9" t="s">
        <v>1876</v>
      </c>
      <c r="D1655" s="9" t="s">
        <v>5871</v>
      </c>
      <c r="E1655" s="9" t="str">
        <f aca="false">IF(AND('Formation Ledger'!A1634&lt;&gt;"",'Formation Ledger'!V1634=0),"PASS","FAIL")</f>
        <v>PASS</v>
      </c>
      <c r="F1655" s="9" t="s">
        <v>76</v>
      </c>
      <c r="G1655" s="6"/>
      <c r="H1655" s="6"/>
      <c r="I1655" s="6"/>
      <c r="J1655" s="6"/>
      <c r="K1655" s="6"/>
      <c r="L1655" s="6"/>
      <c r="M1655" s="6"/>
      <c r="N1655" s="6"/>
      <c r="O1655" s="6"/>
      <c r="P1655" s="6"/>
      <c r="Q1655" s="6"/>
      <c r="R1655" s="6"/>
      <c r="S1655" s="6"/>
      <c r="T1655" s="6"/>
      <c r="U1655" s="6"/>
      <c r="V1655" s="6"/>
      <c r="W1655" s="6"/>
      <c r="X1655" s="6"/>
      <c r="Y1655" s="6"/>
      <c r="Z1655" s="6"/>
    </row>
    <row r="1656" customFormat="false" ht="15" hidden="false" customHeight="false" outlineLevel="0" collapsed="false">
      <c r="A1656" s="9" t="s">
        <v>7499</v>
      </c>
      <c r="B1656" s="9" t="s">
        <v>5870</v>
      </c>
      <c r="C1656" s="9" t="s">
        <v>1877</v>
      </c>
      <c r="D1656" s="9" t="s">
        <v>5871</v>
      </c>
      <c r="E1656" s="9" t="str">
        <f aca="false">IF(AND('Formation Ledger'!A1635&lt;&gt;"",'Formation Ledger'!V1635=0),"PASS","FAIL")</f>
        <v>PASS</v>
      </c>
      <c r="F1656" s="9" t="s">
        <v>76</v>
      </c>
      <c r="G1656" s="6"/>
      <c r="H1656" s="6"/>
      <c r="I1656" s="6"/>
      <c r="J1656" s="6"/>
      <c r="K1656" s="6"/>
      <c r="L1656" s="6"/>
      <c r="M1656" s="6"/>
      <c r="N1656" s="6"/>
      <c r="O1656" s="6"/>
      <c r="P1656" s="6"/>
      <c r="Q1656" s="6"/>
      <c r="R1656" s="6"/>
      <c r="S1656" s="6"/>
      <c r="T1656" s="6"/>
      <c r="U1656" s="6"/>
      <c r="V1656" s="6"/>
      <c r="W1656" s="6"/>
      <c r="X1656" s="6"/>
      <c r="Y1656" s="6"/>
      <c r="Z1656" s="6"/>
    </row>
    <row r="1657" customFormat="false" ht="15" hidden="false" customHeight="false" outlineLevel="0" collapsed="false">
      <c r="A1657" s="9" t="s">
        <v>7500</v>
      </c>
      <c r="B1657" s="9" t="s">
        <v>5870</v>
      </c>
      <c r="C1657" s="9" t="s">
        <v>1878</v>
      </c>
      <c r="D1657" s="9" t="s">
        <v>5871</v>
      </c>
      <c r="E1657" s="9" t="str">
        <f aca="false">IF(AND('Formation Ledger'!A1636&lt;&gt;"",'Formation Ledger'!V1636=0),"PASS","FAIL")</f>
        <v>PASS</v>
      </c>
      <c r="F1657" s="9" t="s">
        <v>76</v>
      </c>
      <c r="G1657" s="6"/>
      <c r="H1657" s="6"/>
      <c r="I1657" s="6"/>
      <c r="J1657" s="6"/>
      <c r="K1657" s="6"/>
      <c r="L1657" s="6"/>
      <c r="M1657" s="6"/>
      <c r="N1657" s="6"/>
      <c r="O1657" s="6"/>
      <c r="P1657" s="6"/>
      <c r="Q1657" s="6"/>
      <c r="R1657" s="6"/>
      <c r="S1657" s="6"/>
      <c r="T1657" s="6"/>
      <c r="U1657" s="6"/>
      <c r="V1657" s="6"/>
      <c r="W1657" s="6"/>
      <c r="X1657" s="6"/>
      <c r="Y1657" s="6"/>
      <c r="Z1657" s="6"/>
    </row>
    <row r="1658" customFormat="false" ht="15" hidden="false" customHeight="false" outlineLevel="0" collapsed="false">
      <c r="A1658" s="9" t="s">
        <v>7501</v>
      </c>
      <c r="B1658" s="9" t="s">
        <v>5870</v>
      </c>
      <c r="C1658" s="9" t="s">
        <v>1879</v>
      </c>
      <c r="D1658" s="9" t="s">
        <v>5871</v>
      </c>
      <c r="E1658" s="9" t="str">
        <f aca="false">IF(AND('Formation Ledger'!A1637&lt;&gt;"",'Formation Ledger'!V1637=0),"PASS","FAIL")</f>
        <v>PASS</v>
      </c>
      <c r="F1658" s="9" t="s">
        <v>76</v>
      </c>
      <c r="G1658" s="6"/>
      <c r="H1658" s="6"/>
      <c r="I1658" s="6"/>
      <c r="J1658" s="6"/>
      <c r="K1658" s="6"/>
      <c r="L1658" s="6"/>
      <c r="M1658" s="6"/>
      <c r="N1658" s="6"/>
      <c r="O1658" s="6"/>
      <c r="P1658" s="6"/>
      <c r="Q1658" s="6"/>
      <c r="R1658" s="6"/>
      <c r="S1658" s="6"/>
      <c r="T1658" s="6"/>
      <c r="U1658" s="6"/>
      <c r="V1658" s="6"/>
      <c r="W1658" s="6"/>
      <c r="X1658" s="6"/>
      <c r="Y1658" s="6"/>
      <c r="Z1658" s="6"/>
    </row>
    <row r="1659" customFormat="false" ht="15" hidden="false" customHeight="false" outlineLevel="0" collapsed="false">
      <c r="A1659" s="9" t="s">
        <v>7502</v>
      </c>
      <c r="B1659" s="9" t="s">
        <v>5870</v>
      </c>
      <c r="C1659" s="9" t="s">
        <v>1880</v>
      </c>
      <c r="D1659" s="9" t="s">
        <v>5871</v>
      </c>
      <c r="E1659" s="9" t="str">
        <f aca="false">IF(AND('Formation Ledger'!A1638&lt;&gt;"",'Formation Ledger'!V1638=0),"PASS","FAIL")</f>
        <v>PASS</v>
      </c>
      <c r="F1659" s="9" t="s">
        <v>76</v>
      </c>
      <c r="G1659" s="6"/>
      <c r="H1659" s="6"/>
      <c r="I1659" s="6"/>
      <c r="J1659" s="6"/>
      <c r="K1659" s="6"/>
      <c r="L1659" s="6"/>
      <c r="M1659" s="6"/>
      <c r="N1659" s="6"/>
      <c r="O1659" s="6"/>
      <c r="P1659" s="6"/>
      <c r="Q1659" s="6"/>
      <c r="R1659" s="6"/>
      <c r="S1659" s="6"/>
      <c r="T1659" s="6"/>
      <c r="U1659" s="6"/>
      <c r="V1659" s="6"/>
      <c r="W1659" s="6"/>
      <c r="X1659" s="6"/>
      <c r="Y1659" s="6"/>
      <c r="Z1659" s="6"/>
    </row>
    <row r="1660" customFormat="false" ht="15" hidden="false" customHeight="false" outlineLevel="0" collapsed="false">
      <c r="A1660" s="9" t="s">
        <v>7503</v>
      </c>
      <c r="B1660" s="9" t="s">
        <v>5870</v>
      </c>
      <c r="C1660" s="9" t="s">
        <v>1881</v>
      </c>
      <c r="D1660" s="9" t="s">
        <v>5871</v>
      </c>
      <c r="E1660" s="9" t="str">
        <f aca="false">IF(AND('Formation Ledger'!A1639&lt;&gt;"",'Formation Ledger'!V1639=0),"PASS","FAIL")</f>
        <v>PASS</v>
      </c>
      <c r="F1660" s="9" t="s">
        <v>76</v>
      </c>
      <c r="G1660" s="6"/>
      <c r="H1660" s="6"/>
      <c r="I1660" s="6"/>
      <c r="J1660" s="6"/>
      <c r="K1660" s="6"/>
      <c r="L1660" s="6"/>
      <c r="M1660" s="6"/>
      <c r="N1660" s="6"/>
      <c r="O1660" s="6"/>
      <c r="P1660" s="6"/>
      <c r="Q1660" s="6"/>
      <c r="R1660" s="6"/>
      <c r="S1660" s="6"/>
      <c r="T1660" s="6"/>
      <c r="U1660" s="6"/>
      <c r="V1660" s="6"/>
      <c r="W1660" s="6"/>
      <c r="X1660" s="6"/>
      <c r="Y1660" s="6"/>
      <c r="Z1660" s="6"/>
    </row>
    <row r="1661" customFormat="false" ht="15" hidden="false" customHeight="false" outlineLevel="0" collapsed="false">
      <c r="A1661" s="9" t="s">
        <v>7504</v>
      </c>
      <c r="B1661" s="9" t="s">
        <v>5870</v>
      </c>
      <c r="C1661" s="9" t="s">
        <v>1882</v>
      </c>
      <c r="D1661" s="9" t="s">
        <v>5871</v>
      </c>
      <c r="E1661" s="9" t="str">
        <f aca="false">IF(AND('Formation Ledger'!A1640&lt;&gt;"",'Formation Ledger'!V1640=0),"PASS","FAIL")</f>
        <v>PASS</v>
      </c>
      <c r="F1661" s="9" t="s">
        <v>76</v>
      </c>
      <c r="G1661" s="6"/>
      <c r="H1661" s="6"/>
      <c r="I1661" s="6"/>
      <c r="J1661" s="6"/>
      <c r="K1661" s="6"/>
      <c r="L1661" s="6"/>
      <c r="M1661" s="6"/>
      <c r="N1661" s="6"/>
      <c r="O1661" s="6"/>
      <c r="P1661" s="6"/>
      <c r="Q1661" s="6"/>
      <c r="R1661" s="6"/>
      <c r="S1661" s="6"/>
      <c r="T1661" s="6"/>
      <c r="U1661" s="6"/>
      <c r="V1661" s="6"/>
      <c r="W1661" s="6"/>
      <c r="X1661" s="6"/>
      <c r="Y1661" s="6"/>
      <c r="Z1661" s="6"/>
    </row>
    <row r="1662" customFormat="false" ht="15" hidden="false" customHeight="false" outlineLevel="0" collapsed="false">
      <c r="A1662" s="9" t="s">
        <v>7505</v>
      </c>
      <c r="B1662" s="9" t="s">
        <v>5870</v>
      </c>
      <c r="C1662" s="9" t="s">
        <v>1883</v>
      </c>
      <c r="D1662" s="9" t="s">
        <v>5871</v>
      </c>
      <c r="E1662" s="9" t="str">
        <f aca="false">IF(AND('Formation Ledger'!A1641&lt;&gt;"",'Formation Ledger'!V1641=0),"PASS","FAIL")</f>
        <v>PASS</v>
      </c>
      <c r="F1662" s="9" t="s">
        <v>76</v>
      </c>
      <c r="G1662" s="6"/>
      <c r="H1662" s="6"/>
      <c r="I1662" s="6"/>
      <c r="J1662" s="6"/>
      <c r="K1662" s="6"/>
      <c r="L1662" s="6"/>
      <c r="M1662" s="6"/>
      <c r="N1662" s="6"/>
      <c r="O1662" s="6"/>
      <c r="P1662" s="6"/>
      <c r="Q1662" s="6"/>
      <c r="R1662" s="6"/>
      <c r="S1662" s="6"/>
      <c r="T1662" s="6"/>
      <c r="U1662" s="6"/>
      <c r="V1662" s="6"/>
      <c r="W1662" s="6"/>
      <c r="X1662" s="6"/>
      <c r="Y1662" s="6"/>
      <c r="Z1662" s="6"/>
    </row>
    <row r="1663" customFormat="false" ht="15" hidden="false" customHeight="false" outlineLevel="0" collapsed="false">
      <c r="A1663" s="9" t="s">
        <v>7506</v>
      </c>
      <c r="B1663" s="9" t="s">
        <v>5870</v>
      </c>
      <c r="C1663" s="9" t="s">
        <v>1884</v>
      </c>
      <c r="D1663" s="9" t="s">
        <v>5871</v>
      </c>
      <c r="E1663" s="9" t="str">
        <f aca="false">IF(AND('Formation Ledger'!A1642&lt;&gt;"",'Formation Ledger'!V1642=0),"PASS","FAIL")</f>
        <v>PASS</v>
      </c>
      <c r="F1663" s="9" t="s">
        <v>76</v>
      </c>
      <c r="G1663" s="6"/>
      <c r="H1663" s="6"/>
      <c r="I1663" s="6"/>
      <c r="J1663" s="6"/>
      <c r="K1663" s="6"/>
      <c r="L1663" s="6"/>
      <c r="M1663" s="6"/>
      <c r="N1663" s="6"/>
      <c r="O1663" s="6"/>
      <c r="P1663" s="6"/>
      <c r="Q1663" s="6"/>
      <c r="R1663" s="6"/>
      <c r="S1663" s="6"/>
      <c r="T1663" s="6"/>
      <c r="U1663" s="6"/>
      <c r="V1663" s="6"/>
      <c r="W1663" s="6"/>
      <c r="X1663" s="6"/>
      <c r="Y1663" s="6"/>
      <c r="Z1663" s="6"/>
    </row>
    <row r="1664" customFormat="false" ht="15" hidden="false" customHeight="false" outlineLevel="0" collapsed="false">
      <c r="A1664" s="9" t="s">
        <v>7507</v>
      </c>
      <c r="B1664" s="9" t="s">
        <v>5870</v>
      </c>
      <c r="C1664" s="9" t="s">
        <v>1885</v>
      </c>
      <c r="D1664" s="9" t="s">
        <v>5871</v>
      </c>
      <c r="E1664" s="9" t="str">
        <f aca="false">IF(AND('Formation Ledger'!A1643&lt;&gt;"",'Formation Ledger'!V1643=0),"PASS","FAIL")</f>
        <v>PASS</v>
      </c>
      <c r="F1664" s="9" t="s">
        <v>76</v>
      </c>
      <c r="G1664" s="6"/>
      <c r="H1664" s="6"/>
      <c r="I1664" s="6"/>
      <c r="J1664" s="6"/>
      <c r="K1664" s="6"/>
      <c r="L1664" s="6"/>
      <c r="M1664" s="6"/>
      <c r="N1664" s="6"/>
      <c r="O1664" s="6"/>
      <c r="P1664" s="6"/>
      <c r="Q1664" s="6"/>
      <c r="R1664" s="6"/>
      <c r="S1664" s="6"/>
      <c r="T1664" s="6"/>
      <c r="U1664" s="6"/>
      <c r="V1664" s="6"/>
      <c r="W1664" s="6"/>
      <c r="X1664" s="6"/>
      <c r="Y1664" s="6"/>
      <c r="Z1664" s="6"/>
    </row>
    <row r="1665" customFormat="false" ht="15" hidden="false" customHeight="false" outlineLevel="0" collapsed="false">
      <c r="A1665" s="9" t="s">
        <v>7508</v>
      </c>
      <c r="B1665" s="9" t="s">
        <v>5870</v>
      </c>
      <c r="C1665" s="9" t="s">
        <v>1886</v>
      </c>
      <c r="D1665" s="9" t="s">
        <v>5871</v>
      </c>
      <c r="E1665" s="9" t="str">
        <f aca="false">IF(AND('Formation Ledger'!A1644&lt;&gt;"",'Formation Ledger'!V1644=0),"PASS","FAIL")</f>
        <v>PASS</v>
      </c>
      <c r="F1665" s="9" t="s">
        <v>76</v>
      </c>
      <c r="G1665" s="6"/>
      <c r="H1665" s="6"/>
      <c r="I1665" s="6"/>
      <c r="J1665" s="6"/>
      <c r="K1665" s="6"/>
      <c r="L1665" s="6"/>
      <c r="M1665" s="6"/>
      <c r="N1665" s="6"/>
      <c r="O1665" s="6"/>
      <c r="P1665" s="6"/>
      <c r="Q1665" s="6"/>
      <c r="R1665" s="6"/>
      <c r="S1665" s="6"/>
      <c r="T1665" s="6"/>
      <c r="U1665" s="6"/>
      <c r="V1665" s="6"/>
      <c r="W1665" s="6"/>
      <c r="X1665" s="6"/>
      <c r="Y1665" s="6"/>
      <c r="Z1665" s="6"/>
    </row>
    <row r="1666" customFormat="false" ht="15" hidden="false" customHeight="false" outlineLevel="0" collapsed="false">
      <c r="A1666" s="9" t="s">
        <v>7509</v>
      </c>
      <c r="B1666" s="9" t="s">
        <v>5870</v>
      </c>
      <c r="C1666" s="9" t="s">
        <v>1887</v>
      </c>
      <c r="D1666" s="9" t="s">
        <v>5871</v>
      </c>
      <c r="E1666" s="9" t="str">
        <f aca="false">IF(AND('Formation Ledger'!A1645&lt;&gt;"",'Formation Ledger'!V1645=0),"PASS","FAIL")</f>
        <v>PASS</v>
      </c>
      <c r="F1666" s="9" t="s">
        <v>76</v>
      </c>
      <c r="G1666" s="6"/>
      <c r="H1666" s="6"/>
      <c r="I1666" s="6"/>
      <c r="J1666" s="6"/>
      <c r="K1666" s="6"/>
      <c r="L1666" s="6"/>
      <c r="M1666" s="6"/>
      <c r="N1666" s="6"/>
      <c r="O1666" s="6"/>
      <c r="P1666" s="6"/>
      <c r="Q1666" s="6"/>
      <c r="R1666" s="6"/>
      <c r="S1666" s="6"/>
      <c r="T1666" s="6"/>
      <c r="U1666" s="6"/>
      <c r="V1666" s="6"/>
      <c r="W1666" s="6"/>
      <c r="X1666" s="6"/>
      <c r="Y1666" s="6"/>
      <c r="Z1666" s="6"/>
    </row>
    <row r="1667" customFormat="false" ht="15" hidden="false" customHeight="false" outlineLevel="0" collapsed="false">
      <c r="A1667" s="9" t="s">
        <v>7510</v>
      </c>
      <c r="B1667" s="9" t="s">
        <v>5870</v>
      </c>
      <c r="C1667" s="9" t="s">
        <v>1888</v>
      </c>
      <c r="D1667" s="9" t="s">
        <v>5871</v>
      </c>
      <c r="E1667" s="9" t="str">
        <f aca="false">IF(AND('Formation Ledger'!A1646&lt;&gt;"",'Formation Ledger'!V1646=0),"PASS","FAIL")</f>
        <v>PASS</v>
      </c>
      <c r="F1667" s="9" t="s">
        <v>76</v>
      </c>
      <c r="G1667" s="6"/>
      <c r="H1667" s="6"/>
      <c r="I1667" s="6"/>
      <c r="J1667" s="6"/>
      <c r="K1667" s="6"/>
      <c r="L1667" s="6"/>
      <c r="M1667" s="6"/>
      <c r="N1667" s="6"/>
      <c r="O1667" s="6"/>
      <c r="P1667" s="6"/>
      <c r="Q1667" s="6"/>
      <c r="R1667" s="6"/>
      <c r="S1667" s="6"/>
      <c r="T1667" s="6"/>
      <c r="U1667" s="6"/>
      <c r="V1667" s="6"/>
      <c r="W1667" s="6"/>
      <c r="X1667" s="6"/>
      <c r="Y1667" s="6"/>
      <c r="Z1667" s="6"/>
    </row>
    <row r="1668" customFormat="false" ht="15" hidden="false" customHeight="false" outlineLevel="0" collapsed="false">
      <c r="A1668" s="9" t="s">
        <v>7511</v>
      </c>
      <c r="B1668" s="9" t="s">
        <v>5870</v>
      </c>
      <c r="C1668" s="9" t="s">
        <v>1889</v>
      </c>
      <c r="D1668" s="9" t="s">
        <v>5871</v>
      </c>
      <c r="E1668" s="9" t="str">
        <f aca="false">IF(AND('Formation Ledger'!A1647&lt;&gt;"",'Formation Ledger'!V1647=0),"PASS","FAIL")</f>
        <v>PASS</v>
      </c>
      <c r="F1668" s="9" t="s">
        <v>76</v>
      </c>
      <c r="G1668" s="6"/>
      <c r="H1668" s="6"/>
      <c r="I1668" s="6"/>
      <c r="J1668" s="6"/>
      <c r="K1668" s="6"/>
      <c r="L1668" s="6"/>
      <c r="M1668" s="6"/>
      <c r="N1668" s="6"/>
      <c r="O1668" s="6"/>
      <c r="P1668" s="6"/>
      <c r="Q1668" s="6"/>
      <c r="R1668" s="6"/>
      <c r="S1668" s="6"/>
      <c r="T1668" s="6"/>
      <c r="U1668" s="6"/>
      <c r="V1668" s="6"/>
      <c r="W1668" s="6"/>
      <c r="X1668" s="6"/>
      <c r="Y1668" s="6"/>
      <c r="Z1668" s="6"/>
    </row>
    <row r="1669" customFormat="false" ht="15" hidden="false" customHeight="false" outlineLevel="0" collapsed="false">
      <c r="A1669" s="9" t="s">
        <v>7512</v>
      </c>
      <c r="B1669" s="9" t="s">
        <v>5870</v>
      </c>
      <c r="C1669" s="9" t="s">
        <v>1890</v>
      </c>
      <c r="D1669" s="9" t="s">
        <v>5871</v>
      </c>
      <c r="E1669" s="9" t="str">
        <f aca="false">IF(AND('Formation Ledger'!A1648&lt;&gt;"",'Formation Ledger'!V1648=0),"PASS","FAIL")</f>
        <v>PASS</v>
      </c>
      <c r="F1669" s="9" t="s">
        <v>76</v>
      </c>
      <c r="G1669" s="6"/>
      <c r="H1669" s="6"/>
      <c r="I1669" s="6"/>
      <c r="J1669" s="6"/>
      <c r="K1669" s="6"/>
      <c r="L1669" s="6"/>
      <c r="M1669" s="6"/>
      <c r="N1669" s="6"/>
      <c r="O1669" s="6"/>
      <c r="P1669" s="6"/>
      <c r="Q1669" s="6"/>
      <c r="R1669" s="6"/>
      <c r="S1669" s="6"/>
      <c r="T1669" s="6"/>
      <c r="U1669" s="6"/>
      <c r="V1669" s="6"/>
      <c r="W1669" s="6"/>
      <c r="X1669" s="6"/>
      <c r="Y1669" s="6"/>
      <c r="Z1669" s="6"/>
    </row>
    <row r="1670" customFormat="false" ht="15" hidden="false" customHeight="false" outlineLevel="0" collapsed="false">
      <c r="A1670" s="9" t="s">
        <v>7513</v>
      </c>
      <c r="B1670" s="9" t="s">
        <v>5870</v>
      </c>
      <c r="C1670" s="9" t="s">
        <v>1891</v>
      </c>
      <c r="D1670" s="9" t="s">
        <v>5871</v>
      </c>
      <c r="E1670" s="9" t="str">
        <f aca="false">IF(AND('Formation Ledger'!A1649&lt;&gt;"",'Formation Ledger'!V1649=0),"PASS","FAIL")</f>
        <v>PASS</v>
      </c>
      <c r="F1670" s="9" t="s">
        <v>76</v>
      </c>
      <c r="G1670" s="6"/>
      <c r="H1670" s="6"/>
      <c r="I1670" s="6"/>
      <c r="J1670" s="6"/>
      <c r="K1670" s="6"/>
      <c r="L1670" s="6"/>
      <c r="M1670" s="6"/>
      <c r="N1670" s="6"/>
      <c r="O1670" s="6"/>
      <c r="P1670" s="6"/>
      <c r="Q1670" s="6"/>
      <c r="R1670" s="6"/>
      <c r="S1670" s="6"/>
      <c r="T1670" s="6"/>
      <c r="U1670" s="6"/>
      <c r="V1670" s="6"/>
      <c r="W1670" s="6"/>
      <c r="X1670" s="6"/>
      <c r="Y1670" s="6"/>
      <c r="Z1670" s="6"/>
    </row>
    <row r="1671" customFormat="false" ht="15" hidden="false" customHeight="false" outlineLevel="0" collapsed="false">
      <c r="A1671" s="9" t="s">
        <v>7514</v>
      </c>
      <c r="B1671" s="9" t="s">
        <v>5870</v>
      </c>
      <c r="C1671" s="9" t="s">
        <v>1892</v>
      </c>
      <c r="D1671" s="9" t="s">
        <v>5871</v>
      </c>
      <c r="E1671" s="9" t="str">
        <f aca="false">IF(AND('Formation Ledger'!A1650&lt;&gt;"",'Formation Ledger'!V1650=0),"PASS","FAIL")</f>
        <v>PASS</v>
      </c>
      <c r="F1671" s="9" t="s">
        <v>76</v>
      </c>
      <c r="G1671" s="6"/>
      <c r="H1671" s="6"/>
      <c r="I1671" s="6"/>
      <c r="J1671" s="6"/>
      <c r="K1671" s="6"/>
      <c r="L1671" s="6"/>
      <c r="M1671" s="6"/>
      <c r="N1671" s="6"/>
      <c r="O1671" s="6"/>
      <c r="P1671" s="6"/>
      <c r="Q1671" s="6"/>
      <c r="R1671" s="6"/>
      <c r="S1671" s="6"/>
      <c r="T1671" s="6"/>
      <c r="U1671" s="6"/>
      <c r="V1671" s="6"/>
      <c r="W1671" s="6"/>
      <c r="X1671" s="6"/>
      <c r="Y1671" s="6"/>
      <c r="Z1671" s="6"/>
    </row>
    <row r="1672" customFormat="false" ht="15" hidden="false" customHeight="false" outlineLevel="0" collapsed="false">
      <c r="A1672" s="9" t="s">
        <v>7515</v>
      </c>
      <c r="B1672" s="9" t="s">
        <v>5870</v>
      </c>
      <c r="C1672" s="9" t="s">
        <v>1893</v>
      </c>
      <c r="D1672" s="9" t="s">
        <v>5871</v>
      </c>
      <c r="E1672" s="9" t="str">
        <f aca="false">IF(AND('Formation Ledger'!A1651&lt;&gt;"",'Formation Ledger'!V1651=0),"PASS","FAIL")</f>
        <v>PASS</v>
      </c>
      <c r="F1672" s="9" t="s">
        <v>76</v>
      </c>
      <c r="G1672" s="6"/>
      <c r="H1672" s="6"/>
      <c r="I1672" s="6"/>
      <c r="J1672" s="6"/>
      <c r="K1672" s="6"/>
      <c r="L1672" s="6"/>
      <c r="M1672" s="6"/>
      <c r="N1672" s="6"/>
      <c r="O1672" s="6"/>
      <c r="P1672" s="6"/>
      <c r="Q1672" s="6"/>
      <c r="R1672" s="6"/>
      <c r="S1672" s="6"/>
      <c r="T1672" s="6"/>
      <c r="U1672" s="6"/>
      <c r="V1672" s="6"/>
      <c r="W1672" s="6"/>
      <c r="X1672" s="6"/>
      <c r="Y1672" s="6"/>
      <c r="Z1672" s="6"/>
    </row>
    <row r="1673" customFormat="false" ht="15" hidden="false" customHeight="false" outlineLevel="0" collapsed="false">
      <c r="A1673" s="9" t="s">
        <v>7516</v>
      </c>
      <c r="B1673" s="9" t="s">
        <v>5870</v>
      </c>
      <c r="C1673" s="9" t="s">
        <v>1894</v>
      </c>
      <c r="D1673" s="9" t="s">
        <v>5871</v>
      </c>
      <c r="E1673" s="9" t="str">
        <f aca="false">IF(AND('Formation Ledger'!A1652&lt;&gt;"",'Formation Ledger'!V1652=0),"PASS","FAIL")</f>
        <v>PASS</v>
      </c>
      <c r="F1673" s="9" t="s">
        <v>76</v>
      </c>
      <c r="G1673" s="6"/>
      <c r="H1673" s="6"/>
      <c r="I1673" s="6"/>
      <c r="J1673" s="6"/>
      <c r="K1673" s="6"/>
      <c r="L1673" s="6"/>
      <c r="M1673" s="6"/>
      <c r="N1673" s="6"/>
      <c r="O1673" s="6"/>
      <c r="P1673" s="6"/>
      <c r="Q1673" s="6"/>
      <c r="R1673" s="6"/>
      <c r="S1673" s="6"/>
      <c r="T1673" s="6"/>
      <c r="U1673" s="6"/>
      <c r="V1673" s="6"/>
      <c r="W1673" s="6"/>
      <c r="X1673" s="6"/>
      <c r="Y1673" s="6"/>
      <c r="Z1673" s="6"/>
    </row>
    <row r="1674" customFormat="false" ht="15" hidden="false" customHeight="false" outlineLevel="0" collapsed="false">
      <c r="A1674" s="9" t="s">
        <v>7517</v>
      </c>
      <c r="B1674" s="9" t="s">
        <v>5870</v>
      </c>
      <c r="C1674" s="9" t="s">
        <v>1895</v>
      </c>
      <c r="D1674" s="9" t="s">
        <v>5871</v>
      </c>
      <c r="E1674" s="9" t="str">
        <f aca="false">IF(AND('Formation Ledger'!A1653&lt;&gt;"",'Formation Ledger'!V1653=0),"PASS","FAIL")</f>
        <v>PASS</v>
      </c>
      <c r="F1674" s="9" t="s">
        <v>76</v>
      </c>
      <c r="G1674" s="6"/>
      <c r="H1674" s="6"/>
      <c r="I1674" s="6"/>
      <c r="J1674" s="6"/>
      <c r="K1674" s="6"/>
      <c r="L1674" s="6"/>
      <c r="M1674" s="6"/>
      <c r="N1674" s="6"/>
      <c r="O1674" s="6"/>
      <c r="P1674" s="6"/>
      <c r="Q1674" s="6"/>
      <c r="R1674" s="6"/>
      <c r="S1674" s="6"/>
      <c r="T1674" s="6"/>
      <c r="U1674" s="6"/>
      <c r="V1674" s="6"/>
      <c r="W1674" s="6"/>
      <c r="X1674" s="6"/>
      <c r="Y1674" s="6"/>
      <c r="Z1674" s="6"/>
    </row>
    <row r="1675" customFormat="false" ht="15" hidden="false" customHeight="false" outlineLevel="0" collapsed="false">
      <c r="A1675" s="9" t="s">
        <v>7518</v>
      </c>
      <c r="B1675" s="9" t="s">
        <v>5870</v>
      </c>
      <c r="C1675" s="9" t="s">
        <v>1896</v>
      </c>
      <c r="D1675" s="9" t="s">
        <v>5871</v>
      </c>
      <c r="E1675" s="9" t="str">
        <f aca="false">IF(AND('Formation Ledger'!A1654&lt;&gt;"",'Formation Ledger'!V1654=0),"PASS","FAIL")</f>
        <v>PASS</v>
      </c>
      <c r="F1675" s="9" t="s">
        <v>76</v>
      </c>
      <c r="G1675" s="6"/>
      <c r="H1675" s="6"/>
      <c r="I1675" s="6"/>
      <c r="J1675" s="6"/>
      <c r="K1675" s="6"/>
      <c r="L1675" s="6"/>
      <c r="M1675" s="6"/>
      <c r="N1675" s="6"/>
      <c r="O1675" s="6"/>
      <c r="P1675" s="6"/>
      <c r="Q1675" s="6"/>
      <c r="R1675" s="6"/>
      <c r="S1675" s="6"/>
      <c r="T1675" s="6"/>
      <c r="U1675" s="6"/>
      <c r="V1675" s="6"/>
      <c r="W1675" s="6"/>
      <c r="X1675" s="6"/>
      <c r="Y1675" s="6"/>
      <c r="Z1675" s="6"/>
    </row>
    <row r="1676" customFormat="false" ht="15" hidden="false" customHeight="false" outlineLevel="0" collapsed="false">
      <c r="A1676" s="9" t="s">
        <v>7519</v>
      </c>
      <c r="B1676" s="9" t="s">
        <v>5870</v>
      </c>
      <c r="C1676" s="9" t="s">
        <v>1897</v>
      </c>
      <c r="D1676" s="9" t="s">
        <v>5871</v>
      </c>
      <c r="E1676" s="9" t="str">
        <f aca="false">IF(AND('Formation Ledger'!A1655&lt;&gt;"",'Formation Ledger'!V1655=0),"PASS","FAIL")</f>
        <v>PASS</v>
      </c>
      <c r="F1676" s="9" t="s">
        <v>76</v>
      </c>
      <c r="G1676" s="6"/>
      <c r="H1676" s="6"/>
      <c r="I1676" s="6"/>
      <c r="J1676" s="6"/>
      <c r="K1676" s="6"/>
      <c r="L1676" s="6"/>
      <c r="M1676" s="6"/>
      <c r="N1676" s="6"/>
      <c r="O1676" s="6"/>
      <c r="P1676" s="6"/>
      <c r="Q1676" s="6"/>
      <c r="R1676" s="6"/>
      <c r="S1676" s="6"/>
      <c r="T1676" s="6"/>
      <c r="U1676" s="6"/>
      <c r="V1676" s="6"/>
      <c r="W1676" s="6"/>
      <c r="X1676" s="6"/>
      <c r="Y1676" s="6"/>
      <c r="Z1676" s="6"/>
    </row>
    <row r="1677" customFormat="false" ht="15" hidden="false" customHeight="false" outlineLevel="0" collapsed="false">
      <c r="A1677" s="9" t="s">
        <v>7520</v>
      </c>
      <c r="B1677" s="9" t="s">
        <v>5870</v>
      </c>
      <c r="C1677" s="9" t="s">
        <v>1900</v>
      </c>
      <c r="D1677" s="9" t="s">
        <v>5871</v>
      </c>
      <c r="E1677" s="9" t="str">
        <f aca="false">IF(AND('Formation Ledger'!A1656&lt;&gt;"",'Formation Ledger'!V1656=0),"PASS","FAIL")</f>
        <v>PASS</v>
      </c>
      <c r="F1677" s="9" t="s">
        <v>76</v>
      </c>
      <c r="G1677" s="6"/>
      <c r="H1677" s="6"/>
      <c r="I1677" s="6"/>
      <c r="J1677" s="6"/>
      <c r="K1677" s="6"/>
      <c r="L1677" s="6"/>
      <c r="M1677" s="6"/>
      <c r="N1677" s="6"/>
      <c r="O1677" s="6"/>
      <c r="P1677" s="6"/>
      <c r="Q1677" s="6"/>
      <c r="R1677" s="6"/>
      <c r="S1677" s="6"/>
      <c r="T1677" s="6"/>
      <c r="U1677" s="6"/>
      <c r="V1677" s="6"/>
      <c r="W1677" s="6"/>
      <c r="X1677" s="6"/>
      <c r="Y1677" s="6"/>
      <c r="Z1677" s="6"/>
    </row>
    <row r="1678" customFormat="false" ht="15" hidden="false" customHeight="false" outlineLevel="0" collapsed="false">
      <c r="A1678" s="9" t="s">
        <v>7521</v>
      </c>
      <c r="B1678" s="9" t="s">
        <v>5870</v>
      </c>
      <c r="C1678" s="9" t="s">
        <v>1901</v>
      </c>
      <c r="D1678" s="9" t="s">
        <v>5871</v>
      </c>
      <c r="E1678" s="9" t="str">
        <f aca="false">IF(AND('Formation Ledger'!A1657&lt;&gt;"",'Formation Ledger'!V1657=0),"PASS","FAIL")</f>
        <v>PASS</v>
      </c>
      <c r="F1678" s="9" t="s">
        <v>76</v>
      </c>
      <c r="G1678" s="6"/>
      <c r="H1678" s="6"/>
      <c r="I1678" s="6"/>
      <c r="J1678" s="6"/>
      <c r="K1678" s="6"/>
      <c r="L1678" s="6"/>
      <c r="M1678" s="6"/>
      <c r="N1678" s="6"/>
      <c r="O1678" s="6"/>
      <c r="P1678" s="6"/>
      <c r="Q1678" s="6"/>
      <c r="R1678" s="6"/>
      <c r="S1678" s="6"/>
      <c r="T1678" s="6"/>
      <c r="U1678" s="6"/>
      <c r="V1678" s="6"/>
      <c r="W1678" s="6"/>
      <c r="X1678" s="6"/>
      <c r="Y1678" s="6"/>
      <c r="Z1678" s="6"/>
    </row>
    <row r="1679" customFormat="false" ht="15" hidden="false" customHeight="false" outlineLevel="0" collapsed="false">
      <c r="A1679" s="9" t="s">
        <v>7522</v>
      </c>
      <c r="B1679" s="9" t="s">
        <v>5870</v>
      </c>
      <c r="C1679" s="9" t="s">
        <v>1902</v>
      </c>
      <c r="D1679" s="9" t="s">
        <v>5871</v>
      </c>
      <c r="E1679" s="9" t="str">
        <f aca="false">IF(AND('Formation Ledger'!A1658&lt;&gt;"",'Formation Ledger'!V1658=0),"PASS","FAIL")</f>
        <v>PASS</v>
      </c>
      <c r="F1679" s="9" t="s">
        <v>76</v>
      </c>
      <c r="G1679" s="6"/>
      <c r="H1679" s="6"/>
      <c r="I1679" s="6"/>
      <c r="J1679" s="6"/>
      <c r="K1679" s="6"/>
      <c r="L1679" s="6"/>
      <c r="M1679" s="6"/>
      <c r="N1679" s="6"/>
      <c r="O1679" s="6"/>
      <c r="P1679" s="6"/>
      <c r="Q1679" s="6"/>
      <c r="R1679" s="6"/>
      <c r="S1679" s="6"/>
      <c r="T1679" s="6"/>
      <c r="U1679" s="6"/>
      <c r="V1679" s="6"/>
      <c r="W1679" s="6"/>
      <c r="X1679" s="6"/>
      <c r="Y1679" s="6"/>
      <c r="Z1679" s="6"/>
    </row>
    <row r="1680" customFormat="false" ht="15" hidden="false" customHeight="false" outlineLevel="0" collapsed="false">
      <c r="A1680" s="9" t="s">
        <v>7523</v>
      </c>
      <c r="B1680" s="9" t="s">
        <v>5870</v>
      </c>
      <c r="C1680" s="9" t="s">
        <v>1903</v>
      </c>
      <c r="D1680" s="9" t="s">
        <v>5871</v>
      </c>
      <c r="E1680" s="9" t="str">
        <f aca="false">IF(AND('Formation Ledger'!A1659&lt;&gt;"",'Formation Ledger'!V1659=0),"PASS","FAIL")</f>
        <v>PASS</v>
      </c>
      <c r="F1680" s="9" t="s">
        <v>76</v>
      </c>
      <c r="G1680" s="6"/>
      <c r="H1680" s="6"/>
      <c r="I1680" s="6"/>
      <c r="J1680" s="6"/>
      <c r="K1680" s="6"/>
      <c r="L1680" s="6"/>
      <c r="M1680" s="6"/>
      <c r="N1680" s="6"/>
      <c r="O1680" s="6"/>
      <c r="P1680" s="6"/>
      <c r="Q1680" s="6"/>
      <c r="R1680" s="6"/>
      <c r="S1680" s="6"/>
      <c r="T1680" s="6"/>
      <c r="U1680" s="6"/>
      <c r="V1680" s="6"/>
      <c r="W1680" s="6"/>
      <c r="X1680" s="6"/>
      <c r="Y1680" s="6"/>
      <c r="Z1680" s="6"/>
    </row>
    <row r="1681" customFormat="false" ht="15" hidden="false" customHeight="false" outlineLevel="0" collapsed="false">
      <c r="A1681" s="9" t="s">
        <v>7524</v>
      </c>
      <c r="B1681" s="9" t="s">
        <v>5870</v>
      </c>
      <c r="C1681" s="9" t="s">
        <v>1904</v>
      </c>
      <c r="D1681" s="9" t="s">
        <v>5871</v>
      </c>
      <c r="E1681" s="9" t="str">
        <f aca="false">IF(AND('Formation Ledger'!A1660&lt;&gt;"",'Formation Ledger'!V1660=0),"PASS","FAIL")</f>
        <v>PASS</v>
      </c>
      <c r="F1681" s="9" t="s">
        <v>76</v>
      </c>
      <c r="G1681" s="6"/>
      <c r="H1681" s="6"/>
      <c r="I1681" s="6"/>
      <c r="J1681" s="6"/>
      <c r="K1681" s="6"/>
      <c r="L1681" s="6"/>
      <c r="M1681" s="6"/>
      <c r="N1681" s="6"/>
      <c r="O1681" s="6"/>
      <c r="P1681" s="6"/>
      <c r="Q1681" s="6"/>
      <c r="R1681" s="6"/>
      <c r="S1681" s="6"/>
      <c r="T1681" s="6"/>
      <c r="U1681" s="6"/>
      <c r="V1681" s="6"/>
      <c r="W1681" s="6"/>
      <c r="X1681" s="6"/>
      <c r="Y1681" s="6"/>
      <c r="Z1681" s="6"/>
    </row>
    <row r="1682" customFormat="false" ht="15" hidden="false" customHeight="false" outlineLevel="0" collapsed="false">
      <c r="A1682" s="9" t="s">
        <v>7525</v>
      </c>
      <c r="B1682" s="9" t="s">
        <v>5870</v>
      </c>
      <c r="C1682" s="9" t="s">
        <v>1905</v>
      </c>
      <c r="D1682" s="9" t="s">
        <v>5871</v>
      </c>
      <c r="E1682" s="9" t="str">
        <f aca="false">IF(AND('Formation Ledger'!A1661&lt;&gt;"",'Formation Ledger'!V1661=0),"PASS","FAIL")</f>
        <v>PASS</v>
      </c>
      <c r="F1682" s="9" t="s">
        <v>76</v>
      </c>
      <c r="G1682" s="6"/>
      <c r="H1682" s="6"/>
      <c r="I1682" s="6"/>
      <c r="J1682" s="6"/>
      <c r="K1682" s="6"/>
      <c r="L1682" s="6"/>
      <c r="M1682" s="6"/>
      <c r="N1682" s="6"/>
      <c r="O1682" s="6"/>
      <c r="P1682" s="6"/>
      <c r="Q1682" s="6"/>
      <c r="R1682" s="6"/>
      <c r="S1682" s="6"/>
      <c r="T1682" s="6"/>
      <c r="U1682" s="6"/>
      <c r="V1682" s="6"/>
      <c r="W1682" s="6"/>
      <c r="X1682" s="6"/>
      <c r="Y1682" s="6"/>
      <c r="Z1682" s="6"/>
    </row>
    <row r="1683" customFormat="false" ht="15" hidden="false" customHeight="false" outlineLevel="0" collapsed="false">
      <c r="A1683" s="9" t="s">
        <v>7526</v>
      </c>
      <c r="B1683" s="9" t="s">
        <v>5870</v>
      </c>
      <c r="C1683" s="9" t="s">
        <v>1906</v>
      </c>
      <c r="D1683" s="9" t="s">
        <v>5871</v>
      </c>
      <c r="E1683" s="9" t="str">
        <f aca="false">IF(AND('Formation Ledger'!A1662&lt;&gt;"",'Formation Ledger'!V1662=0),"PASS","FAIL")</f>
        <v>PASS</v>
      </c>
      <c r="F1683" s="9" t="s">
        <v>76</v>
      </c>
      <c r="G1683" s="6"/>
      <c r="H1683" s="6"/>
      <c r="I1683" s="6"/>
      <c r="J1683" s="6"/>
      <c r="K1683" s="6"/>
      <c r="L1683" s="6"/>
      <c r="M1683" s="6"/>
      <c r="N1683" s="6"/>
      <c r="O1683" s="6"/>
      <c r="P1683" s="6"/>
      <c r="Q1683" s="6"/>
      <c r="R1683" s="6"/>
      <c r="S1683" s="6"/>
      <c r="T1683" s="6"/>
      <c r="U1683" s="6"/>
      <c r="V1683" s="6"/>
      <c r="W1683" s="6"/>
      <c r="X1683" s="6"/>
      <c r="Y1683" s="6"/>
      <c r="Z1683" s="6"/>
    </row>
    <row r="1684" customFormat="false" ht="15" hidden="false" customHeight="false" outlineLevel="0" collapsed="false">
      <c r="A1684" s="9" t="s">
        <v>7527</v>
      </c>
      <c r="B1684" s="9" t="s">
        <v>5870</v>
      </c>
      <c r="C1684" s="9" t="s">
        <v>1907</v>
      </c>
      <c r="D1684" s="9" t="s">
        <v>5871</v>
      </c>
      <c r="E1684" s="9" t="str">
        <f aca="false">IF(AND('Formation Ledger'!A1663&lt;&gt;"",'Formation Ledger'!V1663=0),"PASS","FAIL")</f>
        <v>PASS</v>
      </c>
      <c r="F1684" s="9" t="s">
        <v>76</v>
      </c>
      <c r="G1684" s="6"/>
      <c r="H1684" s="6"/>
      <c r="I1684" s="6"/>
      <c r="J1684" s="6"/>
      <c r="K1684" s="6"/>
      <c r="L1684" s="6"/>
      <c r="M1684" s="6"/>
      <c r="N1684" s="6"/>
      <c r="O1684" s="6"/>
      <c r="P1684" s="6"/>
      <c r="Q1684" s="6"/>
      <c r="R1684" s="6"/>
      <c r="S1684" s="6"/>
      <c r="T1684" s="6"/>
      <c r="U1684" s="6"/>
      <c r="V1684" s="6"/>
      <c r="W1684" s="6"/>
      <c r="X1684" s="6"/>
      <c r="Y1684" s="6"/>
      <c r="Z1684" s="6"/>
    </row>
    <row r="1685" customFormat="false" ht="15" hidden="false" customHeight="false" outlineLevel="0" collapsed="false">
      <c r="A1685" s="9" t="s">
        <v>7528</v>
      </c>
      <c r="B1685" s="9" t="s">
        <v>5870</v>
      </c>
      <c r="C1685" s="9" t="s">
        <v>1908</v>
      </c>
      <c r="D1685" s="9" t="s">
        <v>5871</v>
      </c>
      <c r="E1685" s="9" t="str">
        <f aca="false">IF(AND('Formation Ledger'!A1664&lt;&gt;"",'Formation Ledger'!V1664=0),"PASS","FAIL")</f>
        <v>PASS</v>
      </c>
      <c r="F1685" s="9" t="s">
        <v>76</v>
      </c>
      <c r="G1685" s="6"/>
      <c r="H1685" s="6"/>
      <c r="I1685" s="6"/>
      <c r="J1685" s="6"/>
      <c r="K1685" s="6"/>
      <c r="L1685" s="6"/>
      <c r="M1685" s="6"/>
      <c r="N1685" s="6"/>
      <c r="O1685" s="6"/>
      <c r="P1685" s="6"/>
      <c r="Q1685" s="6"/>
      <c r="R1685" s="6"/>
      <c r="S1685" s="6"/>
      <c r="T1685" s="6"/>
      <c r="U1685" s="6"/>
      <c r="V1685" s="6"/>
      <c r="W1685" s="6"/>
      <c r="X1685" s="6"/>
      <c r="Y1685" s="6"/>
      <c r="Z1685" s="6"/>
    </row>
    <row r="1686" customFormat="false" ht="15" hidden="false" customHeight="false" outlineLevel="0" collapsed="false">
      <c r="A1686" s="9" t="s">
        <v>7529</v>
      </c>
      <c r="B1686" s="9" t="s">
        <v>5870</v>
      </c>
      <c r="C1686" s="9" t="s">
        <v>1909</v>
      </c>
      <c r="D1686" s="9" t="s">
        <v>5871</v>
      </c>
      <c r="E1686" s="9" t="str">
        <f aca="false">IF(AND('Formation Ledger'!A1665&lt;&gt;"",'Formation Ledger'!V1665=0),"PASS","FAIL")</f>
        <v>PASS</v>
      </c>
      <c r="F1686" s="9" t="s">
        <v>76</v>
      </c>
      <c r="G1686" s="6"/>
      <c r="H1686" s="6"/>
      <c r="I1686" s="6"/>
      <c r="J1686" s="6"/>
      <c r="K1686" s="6"/>
      <c r="L1686" s="6"/>
      <c r="M1686" s="6"/>
      <c r="N1686" s="6"/>
      <c r="O1686" s="6"/>
      <c r="P1686" s="6"/>
      <c r="Q1686" s="6"/>
      <c r="R1686" s="6"/>
      <c r="S1686" s="6"/>
      <c r="T1686" s="6"/>
      <c r="U1686" s="6"/>
      <c r="V1686" s="6"/>
      <c r="W1686" s="6"/>
      <c r="X1686" s="6"/>
      <c r="Y1686" s="6"/>
      <c r="Z1686" s="6"/>
    </row>
    <row r="1687" customFormat="false" ht="15" hidden="false" customHeight="false" outlineLevel="0" collapsed="false">
      <c r="A1687" s="9" t="s">
        <v>7530</v>
      </c>
      <c r="B1687" s="9" t="s">
        <v>5870</v>
      </c>
      <c r="C1687" s="9" t="s">
        <v>1910</v>
      </c>
      <c r="D1687" s="9" t="s">
        <v>5871</v>
      </c>
      <c r="E1687" s="9" t="str">
        <f aca="false">IF(AND('Formation Ledger'!A1666&lt;&gt;"",'Formation Ledger'!V1666=0),"PASS","FAIL")</f>
        <v>PASS</v>
      </c>
      <c r="F1687" s="9" t="s">
        <v>76</v>
      </c>
      <c r="G1687" s="6"/>
      <c r="H1687" s="6"/>
      <c r="I1687" s="6"/>
      <c r="J1687" s="6"/>
      <c r="K1687" s="6"/>
      <c r="L1687" s="6"/>
      <c r="M1687" s="6"/>
      <c r="N1687" s="6"/>
      <c r="O1687" s="6"/>
      <c r="P1687" s="6"/>
      <c r="Q1687" s="6"/>
      <c r="R1687" s="6"/>
      <c r="S1687" s="6"/>
      <c r="T1687" s="6"/>
      <c r="U1687" s="6"/>
      <c r="V1687" s="6"/>
      <c r="W1687" s="6"/>
      <c r="X1687" s="6"/>
      <c r="Y1687" s="6"/>
      <c r="Z1687" s="6"/>
    </row>
    <row r="1688" customFormat="false" ht="15" hidden="false" customHeight="false" outlineLevel="0" collapsed="false">
      <c r="A1688" s="9" t="s">
        <v>7531</v>
      </c>
      <c r="B1688" s="9" t="s">
        <v>5870</v>
      </c>
      <c r="C1688" s="9" t="s">
        <v>1911</v>
      </c>
      <c r="D1688" s="9" t="s">
        <v>5871</v>
      </c>
      <c r="E1688" s="9" t="str">
        <f aca="false">IF(AND('Formation Ledger'!A1667&lt;&gt;"",'Formation Ledger'!V1667=0),"PASS","FAIL")</f>
        <v>PASS</v>
      </c>
      <c r="F1688" s="9" t="s">
        <v>76</v>
      </c>
      <c r="G1688" s="6"/>
      <c r="H1688" s="6"/>
      <c r="I1688" s="6"/>
      <c r="J1688" s="6"/>
      <c r="K1688" s="6"/>
      <c r="L1688" s="6"/>
      <c r="M1688" s="6"/>
      <c r="N1688" s="6"/>
      <c r="O1688" s="6"/>
      <c r="P1688" s="6"/>
      <c r="Q1688" s="6"/>
      <c r="R1688" s="6"/>
      <c r="S1688" s="6"/>
      <c r="T1688" s="6"/>
      <c r="U1688" s="6"/>
      <c r="V1688" s="6"/>
      <c r="W1688" s="6"/>
      <c r="X1688" s="6"/>
      <c r="Y1688" s="6"/>
      <c r="Z1688" s="6"/>
    </row>
    <row r="1689" customFormat="false" ht="15" hidden="false" customHeight="false" outlineLevel="0" collapsed="false">
      <c r="A1689" s="9" t="s">
        <v>7532</v>
      </c>
      <c r="B1689" s="9" t="s">
        <v>5870</v>
      </c>
      <c r="C1689" s="9" t="s">
        <v>1912</v>
      </c>
      <c r="D1689" s="9" t="s">
        <v>5871</v>
      </c>
      <c r="E1689" s="9" t="str">
        <f aca="false">IF(AND('Formation Ledger'!A1668&lt;&gt;"",'Formation Ledger'!V1668=0),"PASS","FAIL")</f>
        <v>PASS</v>
      </c>
      <c r="F1689" s="9" t="s">
        <v>76</v>
      </c>
      <c r="G1689" s="6"/>
      <c r="H1689" s="6"/>
      <c r="I1689" s="6"/>
      <c r="J1689" s="6"/>
      <c r="K1689" s="6"/>
      <c r="L1689" s="6"/>
      <c r="M1689" s="6"/>
      <c r="N1689" s="6"/>
      <c r="O1689" s="6"/>
      <c r="P1689" s="6"/>
      <c r="Q1689" s="6"/>
      <c r="R1689" s="6"/>
      <c r="S1689" s="6"/>
      <c r="T1689" s="6"/>
      <c r="U1689" s="6"/>
      <c r="V1689" s="6"/>
      <c r="W1689" s="6"/>
      <c r="X1689" s="6"/>
      <c r="Y1689" s="6"/>
      <c r="Z1689" s="6"/>
    </row>
    <row r="1690" customFormat="false" ht="15" hidden="false" customHeight="false" outlineLevel="0" collapsed="false">
      <c r="A1690" s="9" t="s">
        <v>7533</v>
      </c>
      <c r="B1690" s="9" t="s">
        <v>5870</v>
      </c>
      <c r="C1690" s="9" t="s">
        <v>1913</v>
      </c>
      <c r="D1690" s="9" t="s">
        <v>5871</v>
      </c>
      <c r="E1690" s="9" t="str">
        <f aca="false">IF(AND('Formation Ledger'!A1669&lt;&gt;"",'Formation Ledger'!V1669=0),"PASS","FAIL")</f>
        <v>PASS</v>
      </c>
      <c r="F1690" s="9" t="s">
        <v>76</v>
      </c>
      <c r="G1690" s="6"/>
      <c r="H1690" s="6"/>
      <c r="I1690" s="6"/>
      <c r="J1690" s="6"/>
      <c r="K1690" s="6"/>
      <c r="L1690" s="6"/>
      <c r="M1690" s="6"/>
      <c r="N1690" s="6"/>
      <c r="O1690" s="6"/>
      <c r="P1690" s="6"/>
      <c r="Q1690" s="6"/>
      <c r="R1690" s="6"/>
      <c r="S1690" s="6"/>
      <c r="T1690" s="6"/>
      <c r="U1690" s="6"/>
      <c r="V1690" s="6"/>
      <c r="W1690" s="6"/>
      <c r="X1690" s="6"/>
      <c r="Y1690" s="6"/>
      <c r="Z1690" s="6"/>
    </row>
    <row r="1691" customFormat="false" ht="15" hidden="false" customHeight="false" outlineLevel="0" collapsed="false">
      <c r="A1691" s="9" t="s">
        <v>7534</v>
      </c>
      <c r="B1691" s="9" t="s">
        <v>5870</v>
      </c>
      <c r="C1691" s="9" t="s">
        <v>1914</v>
      </c>
      <c r="D1691" s="9" t="s">
        <v>5871</v>
      </c>
      <c r="E1691" s="9" t="str">
        <f aca="false">IF(AND('Formation Ledger'!A1670&lt;&gt;"",'Formation Ledger'!V1670=0),"PASS","FAIL")</f>
        <v>PASS</v>
      </c>
      <c r="F1691" s="9" t="s">
        <v>76</v>
      </c>
      <c r="G1691" s="6"/>
      <c r="H1691" s="6"/>
      <c r="I1691" s="6"/>
      <c r="J1691" s="6"/>
      <c r="K1691" s="6"/>
      <c r="L1691" s="6"/>
      <c r="M1691" s="6"/>
      <c r="N1691" s="6"/>
      <c r="O1691" s="6"/>
      <c r="P1691" s="6"/>
      <c r="Q1691" s="6"/>
      <c r="R1691" s="6"/>
      <c r="S1691" s="6"/>
      <c r="T1691" s="6"/>
      <c r="U1691" s="6"/>
      <c r="V1691" s="6"/>
      <c r="W1691" s="6"/>
      <c r="X1691" s="6"/>
      <c r="Y1691" s="6"/>
      <c r="Z1691" s="6"/>
    </row>
    <row r="1692" customFormat="false" ht="15" hidden="false" customHeight="false" outlineLevel="0" collapsed="false">
      <c r="A1692" s="9" t="s">
        <v>7535</v>
      </c>
      <c r="B1692" s="9" t="s">
        <v>5870</v>
      </c>
      <c r="C1692" s="9" t="s">
        <v>1915</v>
      </c>
      <c r="D1692" s="9" t="s">
        <v>5871</v>
      </c>
      <c r="E1692" s="9" t="str">
        <f aca="false">IF(AND('Formation Ledger'!A1671&lt;&gt;"",'Formation Ledger'!V1671=0),"PASS","FAIL")</f>
        <v>PASS</v>
      </c>
      <c r="F1692" s="9" t="s">
        <v>76</v>
      </c>
      <c r="G1692" s="6"/>
      <c r="H1692" s="6"/>
      <c r="I1692" s="6"/>
      <c r="J1692" s="6"/>
      <c r="K1692" s="6"/>
      <c r="L1692" s="6"/>
      <c r="M1692" s="6"/>
      <c r="N1692" s="6"/>
      <c r="O1692" s="6"/>
      <c r="P1692" s="6"/>
      <c r="Q1692" s="6"/>
      <c r="R1692" s="6"/>
      <c r="S1692" s="6"/>
      <c r="T1692" s="6"/>
      <c r="U1692" s="6"/>
      <c r="V1692" s="6"/>
      <c r="W1692" s="6"/>
      <c r="X1692" s="6"/>
      <c r="Y1692" s="6"/>
      <c r="Z1692" s="6"/>
    </row>
    <row r="1693" customFormat="false" ht="15" hidden="false" customHeight="false" outlineLevel="0" collapsed="false">
      <c r="A1693" s="9" t="s">
        <v>7536</v>
      </c>
      <c r="B1693" s="9" t="s">
        <v>5870</v>
      </c>
      <c r="C1693" s="9" t="s">
        <v>1916</v>
      </c>
      <c r="D1693" s="9" t="s">
        <v>5871</v>
      </c>
      <c r="E1693" s="9" t="str">
        <f aca="false">IF(AND('Formation Ledger'!A1672&lt;&gt;"",'Formation Ledger'!V1672=0),"PASS","FAIL")</f>
        <v>PASS</v>
      </c>
      <c r="F1693" s="9" t="s">
        <v>76</v>
      </c>
      <c r="G1693" s="6"/>
      <c r="H1693" s="6"/>
      <c r="I1693" s="6"/>
      <c r="J1693" s="6"/>
      <c r="K1693" s="6"/>
      <c r="L1693" s="6"/>
      <c r="M1693" s="6"/>
      <c r="N1693" s="6"/>
      <c r="O1693" s="6"/>
      <c r="P1693" s="6"/>
      <c r="Q1693" s="6"/>
      <c r="R1693" s="6"/>
      <c r="S1693" s="6"/>
      <c r="T1693" s="6"/>
      <c r="U1693" s="6"/>
      <c r="V1693" s="6"/>
      <c r="W1693" s="6"/>
      <c r="X1693" s="6"/>
      <c r="Y1693" s="6"/>
      <c r="Z1693" s="6"/>
    </row>
    <row r="1694" customFormat="false" ht="15" hidden="false" customHeight="false" outlineLevel="0" collapsed="false">
      <c r="A1694" s="9" t="s">
        <v>7537</v>
      </c>
      <c r="B1694" s="9" t="s">
        <v>5870</v>
      </c>
      <c r="C1694" s="9" t="s">
        <v>1917</v>
      </c>
      <c r="D1694" s="9" t="s">
        <v>5871</v>
      </c>
      <c r="E1694" s="9" t="str">
        <f aca="false">IF(AND('Formation Ledger'!A1673&lt;&gt;"",'Formation Ledger'!V1673=0),"PASS","FAIL")</f>
        <v>PASS</v>
      </c>
      <c r="F1694" s="9" t="s">
        <v>76</v>
      </c>
      <c r="G1694" s="6"/>
      <c r="H1694" s="6"/>
      <c r="I1694" s="6"/>
      <c r="J1694" s="6"/>
      <c r="K1694" s="6"/>
      <c r="L1694" s="6"/>
      <c r="M1694" s="6"/>
      <c r="N1694" s="6"/>
      <c r="O1694" s="6"/>
      <c r="P1694" s="6"/>
      <c r="Q1694" s="6"/>
      <c r="R1694" s="6"/>
      <c r="S1694" s="6"/>
      <c r="T1694" s="6"/>
      <c r="U1694" s="6"/>
      <c r="V1694" s="6"/>
      <c r="W1694" s="6"/>
      <c r="X1694" s="6"/>
      <c r="Y1694" s="6"/>
      <c r="Z1694" s="6"/>
    </row>
    <row r="1695" customFormat="false" ht="15" hidden="false" customHeight="false" outlineLevel="0" collapsed="false">
      <c r="A1695" s="9" t="s">
        <v>7538</v>
      </c>
      <c r="B1695" s="9" t="s">
        <v>5870</v>
      </c>
      <c r="C1695" s="9" t="s">
        <v>1918</v>
      </c>
      <c r="D1695" s="9" t="s">
        <v>5871</v>
      </c>
      <c r="E1695" s="9" t="str">
        <f aca="false">IF(AND('Formation Ledger'!A1674&lt;&gt;"",'Formation Ledger'!V1674=0),"PASS","FAIL")</f>
        <v>PASS</v>
      </c>
      <c r="F1695" s="9" t="s">
        <v>76</v>
      </c>
      <c r="G1695" s="6"/>
      <c r="H1695" s="6"/>
      <c r="I1695" s="6"/>
      <c r="J1695" s="6"/>
      <c r="K1695" s="6"/>
      <c r="L1695" s="6"/>
      <c r="M1695" s="6"/>
      <c r="N1695" s="6"/>
      <c r="O1695" s="6"/>
      <c r="P1695" s="6"/>
      <c r="Q1695" s="6"/>
      <c r="R1695" s="6"/>
      <c r="S1695" s="6"/>
      <c r="T1695" s="6"/>
      <c r="U1695" s="6"/>
      <c r="V1695" s="6"/>
      <c r="W1695" s="6"/>
      <c r="X1695" s="6"/>
      <c r="Y1695" s="6"/>
      <c r="Z1695" s="6"/>
    </row>
    <row r="1696" customFormat="false" ht="15" hidden="false" customHeight="false" outlineLevel="0" collapsed="false">
      <c r="A1696" s="9" t="s">
        <v>7539</v>
      </c>
      <c r="B1696" s="9" t="s">
        <v>5870</v>
      </c>
      <c r="C1696" s="9" t="s">
        <v>1919</v>
      </c>
      <c r="D1696" s="9" t="s">
        <v>5871</v>
      </c>
      <c r="E1696" s="9" t="str">
        <f aca="false">IF(AND('Formation Ledger'!A1675&lt;&gt;"",'Formation Ledger'!V1675=0),"PASS","FAIL")</f>
        <v>PASS</v>
      </c>
      <c r="F1696" s="9" t="s">
        <v>76</v>
      </c>
      <c r="G1696" s="6"/>
      <c r="H1696" s="6"/>
      <c r="I1696" s="6"/>
      <c r="J1696" s="6"/>
      <c r="K1696" s="6"/>
      <c r="L1696" s="6"/>
      <c r="M1696" s="6"/>
      <c r="N1696" s="6"/>
      <c r="O1696" s="6"/>
      <c r="P1696" s="6"/>
      <c r="Q1696" s="6"/>
      <c r="R1696" s="6"/>
      <c r="S1696" s="6"/>
      <c r="T1696" s="6"/>
      <c r="U1696" s="6"/>
      <c r="V1696" s="6"/>
      <c r="W1696" s="6"/>
      <c r="X1696" s="6"/>
      <c r="Y1696" s="6"/>
      <c r="Z1696" s="6"/>
    </row>
    <row r="1697" customFormat="false" ht="15" hidden="false" customHeight="false" outlineLevel="0" collapsed="false">
      <c r="A1697" s="9" t="s">
        <v>7540</v>
      </c>
      <c r="B1697" s="9" t="s">
        <v>5870</v>
      </c>
      <c r="C1697" s="9" t="s">
        <v>1920</v>
      </c>
      <c r="D1697" s="9" t="s">
        <v>5871</v>
      </c>
      <c r="E1697" s="9" t="str">
        <f aca="false">IF(AND('Formation Ledger'!A1676&lt;&gt;"",'Formation Ledger'!V1676=0),"PASS","FAIL")</f>
        <v>PASS</v>
      </c>
      <c r="F1697" s="9" t="s">
        <v>76</v>
      </c>
      <c r="G1697" s="6"/>
      <c r="H1697" s="6"/>
      <c r="I1697" s="6"/>
      <c r="J1697" s="6"/>
      <c r="K1697" s="6"/>
      <c r="L1697" s="6"/>
      <c r="M1697" s="6"/>
      <c r="N1697" s="6"/>
      <c r="O1697" s="6"/>
      <c r="P1697" s="6"/>
      <c r="Q1697" s="6"/>
      <c r="R1697" s="6"/>
      <c r="S1697" s="6"/>
      <c r="T1697" s="6"/>
      <c r="U1697" s="6"/>
      <c r="V1697" s="6"/>
      <c r="W1697" s="6"/>
      <c r="X1697" s="6"/>
      <c r="Y1697" s="6"/>
      <c r="Z1697" s="6"/>
    </row>
    <row r="1698" customFormat="false" ht="15" hidden="false" customHeight="false" outlineLevel="0" collapsed="false">
      <c r="A1698" s="9" t="s">
        <v>7541</v>
      </c>
      <c r="B1698" s="9" t="s">
        <v>5870</v>
      </c>
      <c r="C1698" s="9" t="s">
        <v>1921</v>
      </c>
      <c r="D1698" s="9" t="s">
        <v>5871</v>
      </c>
      <c r="E1698" s="9" t="str">
        <f aca="false">IF(AND('Formation Ledger'!A1677&lt;&gt;"",'Formation Ledger'!V1677=0),"PASS","FAIL")</f>
        <v>PASS</v>
      </c>
      <c r="F1698" s="9" t="s">
        <v>76</v>
      </c>
      <c r="G1698" s="6"/>
      <c r="H1698" s="6"/>
      <c r="I1698" s="6"/>
      <c r="J1698" s="6"/>
      <c r="K1698" s="6"/>
      <c r="L1698" s="6"/>
      <c r="M1698" s="6"/>
      <c r="N1698" s="6"/>
      <c r="O1698" s="6"/>
      <c r="P1698" s="6"/>
      <c r="Q1698" s="6"/>
      <c r="R1698" s="6"/>
      <c r="S1698" s="6"/>
      <c r="T1698" s="6"/>
      <c r="U1698" s="6"/>
      <c r="V1698" s="6"/>
      <c r="W1698" s="6"/>
      <c r="X1698" s="6"/>
      <c r="Y1698" s="6"/>
      <c r="Z1698" s="6"/>
    </row>
    <row r="1699" customFormat="false" ht="15" hidden="false" customHeight="false" outlineLevel="0" collapsed="false">
      <c r="A1699" s="9" t="s">
        <v>7542</v>
      </c>
      <c r="B1699" s="9" t="s">
        <v>5870</v>
      </c>
      <c r="C1699" s="9" t="s">
        <v>1922</v>
      </c>
      <c r="D1699" s="9" t="s">
        <v>5871</v>
      </c>
      <c r="E1699" s="9" t="str">
        <f aca="false">IF(AND('Formation Ledger'!A1678&lt;&gt;"",'Formation Ledger'!V1678=0),"PASS","FAIL")</f>
        <v>PASS</v>
      </c>
      <c r="F1699" s="9" t="s">
        <v>76</v>
      </c>
      <c r="G1699" s="6"/>
      <c r="H1699" s="6"/>
      <c r="I1699" s="6"/>
      <c r="J1699" s="6"/>
      <c r="K1699" s="6"/>
      <c r="L1699" s="6"/>
      <c r="M1699" s="6"/>
      <c r="N1699" s="6"/>
      <c r="O1699" s="6"/>
      <c r="P1699" s="6"/>
      <c r="Q1699" s="6"/>
      <c r="R1699" s="6"/>
      <c r="S1699" s="6"/>
      <c r="T1699" s="6"/>
      <c r="U1699" s="6"/>
      <c r="V1699" s="6"/>
      <c r="W1699" s="6"/>
      <c r="X1699" s="6"/>
      <c r="Y1699" s="6"/>
      <c r="Z1699" s="6"/>
    </row>
    <row r="1700" customFormat="false" ht="15" hidden="false" customHeight="false" outlineLevel="0" collapsed="false">
      <c r="A1700" s="9" t="s">
        <v>7543</v>
      </c>
      <c r="B1700" s="9" t="s">
        <v>5870</v>
      </c>
      <c r="C1700" s="9" t="s">
        <v>1923</v>
      </c>
      <c r="D1700" s="9" t="s">
        <v>5871</v>
      </c>
      <c r="E1700" s="9" t="str">
        <f aca="false">IF(AND('Formation Ledger'!A1679&lt;&gt;"",'Formation Ledger'!V1679=0),"PASS","FAIL")</f>
        <v>PASS</v>
      </c>
      <c r="F1700" s="9" t="s">
        <v>76</v>
      </c>
      <c r="G1700" s="6"/>
      <c r="H1700" s="6"/>
      <c r="I1700" s="6"/>
      <c r="J1700" s="6"/>
      <c r="K1700" s="6"/>
      <c r="L1700" s="6"/>
      <c r="M1700" s="6"/>
      <c r="N1700" s="6"/>
      <c r="O1700" s="6"/>
      <c r="P1700" s="6"/>
      <c r="Q1700" s="6"/>
      <c r="R1700" s="6"/>
      <c r="S1700" s="6"/>
      <c r="T1700" s="6"/>
      <c r="U1700" s="6"/>
      <c r="V1700" s="6"/>
      <c r="W1700" s="6"/>
      <c r="X1700" s="6"/>
      <c r="Y1700" s="6"/>
      <c r="Z1700" s="6"/>
    </row>
    <row r="1701" customFormat="false" ht="15" hidden="false" customHeight="false" outlineLevel="0" collapsed="false">
      <c r="A1701" s="9" t="s">
        <v>7544</v>
      </c>
      <c r="B1701" s="9" t="s">
        <v>5870</v>
      </c>
      <c r="C1701" s="9" t="s">
        <v>1924</v>
      </c>
      <c r="D1701" s="9" t="s">
        <v>5871</v>
      </c>
      <c r="E1701" s="9" t="str">
        <f aca="false">IF(AND('Formation Ledger'!A1680&lt;&gt;"",'Formation Ledger'!V1680=0),"PASS","FAIL")</f>
        <v>PASS</v>
      </c>
      <c r="F1701" s="9" t="s">
        <v>76</v>
      </c>
      <c r="G1701" s="6"/>
      <c r="H1701" s="6"/>
      <c r="I1701" s="6"/>
      <c r="J1701" s="6"/>
      <c r="K1701" s="6"/>
      <c r="L1701" s="6"/>
      <c r="M1701" s="6"/>
      <c r="N1701" s="6"/>
      <c r="O1701" s="6"/>
      <c r="P1701" s="6"/>
      <c r="Q1701" s="6"/>
      <c r="R1701" s="6"/>
      <c r="S1701" s="6"/>
      <c r="T1701" s="6"/>
      <c r="U1701" s="6"/>
      <c r="V1701" s="6"/>
      <c r="W1701" s="6"/>
      <c r="X1701" s="6"/>
      <c r="Y1701" s="6"/>
      <c r="Z1701" s="6"/>
    </row>
    <row r="1702" customFormat="false" ht="15" hidden="false" customHeight="false" outlineLevel="0" collapsed="false">
      <c r="A1702" s="9" t="s">
        <v>7545</v>
      </c>
      <c r="B1702" s="9" t="s">
        <v>5870</v>
      </c>
      <c r="C1702" s="9" t="s">
        <v>1925</v>
      </c>
      <c r="D1702" s="9" t="s">
        <v>5871</v>
      </c>
      <c r="E1702" s="9" t="str">
        <f aca="false">IF(AND('Formation Ledger'!A1681&lt;&gt;"",'Formation Ledger'!V1681=0),"PASS","FAIL")</f>
        <v>PASS</v>
      </c>
      <c r="F1702" s="9" t="s">
        <v>76</v>
      </c>
      <c r="G1702" s="6"/>
      <c r="H1702" s="6"/>
      <c r="I1702" s="6"/>
      <c r="J1702" s="6"/>
      <c r="K1702" s="6"/>
      <c r="L1702" s="6"/>
      <c r="M1702" s="6"/>
      <c r="N1702" s="6"/>
      <c r="O1702" s="6"/>
      <c r="P1702" s="6"/>
      <c r="Q1702" s="6"/>
      <c r="R1702" s="6"/>
      <c r="S1702" s="6"/>
      <c r="T1702" s="6"/>
      <c r="U1702" s="6"/>
      <c r="V1702" s="6"/>
      <c r="W1702" s="6"/>
      <c r="X1702" s="6"/>
      <c r="Y1702" s="6"/>
      <c r="Z1702" s="6"/>
    </row>
    <row r="1703" customFormat="false" ht="15" hidden="false" customHeight="false" outlineLevel="0" collapsed="false">
      <c r="A1703" s="9" t="s">
        <v>7546</v>
      </c>
      <c r="B1703" s="9" t="s">
        <v>5870</v>
      </c>
      <c r="C1703" s="9" t="s">
        <v>1926</v>
      </c>
      <c r="D1703" s="9" t="s">
        <v>5871</v>
      </c>
      <c r="E1703" s="9" t="str">
        <f aca="false">IF(AND('Formation Ledger'!A1682&lt;&gt;"",'Formation Ledger'!V1682=0),"PASS","FAIL")</f>
        <v>PASS</v>
      </c>
      <c r="F1703" s="9" t="s">
        <v>76</v>
      </c>
      <c r="G1703" s="6"/>
      <c r="H1703" s="6"/>
      <c r="I1703" s="6"/>
      <c r="J1703" s="6"/>
      <c r="K1703" s="6"/>
      <c r="L1703" s="6"/>
      <c r="M1703" s="6"/>
      <c r="N1703" s="6"/>
      <c r="O1703" s="6"/>
      <c r="P1703" s="6"/>
      <c r="Q1703" s="6"/>
      <c r="R1703" s="6"/>
      <c r="S1703" s="6"/>
      <c r="T1703" s="6"/>
      <c r="U1703" s="6"/>
      <c r="V1703" s="6"/>
      <c r="W1703" s="6"/>
      <c r="X1703" s="6"/>
      <c r="Y1703" s="6"/>
      <c r="Z1703" s="6"/>
    </row>
    <row r="1704" customFormat="false" ht="15" hidden="false" customHeight="false" outlineLevel="0" collapsed="false">
      <c r="A1704" s="9" t="s">
        <v>7547</v>
      </c>
      <c r="B1704" s="9" t="s">
        <v>5870</v>
      </c>
      <c r="C1704" s="9" t="s">
        <v>1927</v>
      </c>
      <c r="D1704" s="9" t="s">
        <v>5871</v>
      </c>
      <c r="E1704" s="9" t="str">
        <f aca="false">IF(AND('Formation Ledger'!A1683&lt;&gt;"",'Formation Ledger'!V1683=0),"PASS","FAIL")</f>
        <v>PASS</v>
      </c>
      <c r="F1704" s="9" t="s">
        <v>76</v>
      </c>
      <c r="G1704" s="6"/>
      <c r="H1704" s="6"/>
      <c r="I1704" s="6"/>
      <c r="J1704" s="6"/>
      <c r="K1704" s="6"/>
      <c r="L1704" s="6"/>
      <c r="M1704" s="6"/>
      <c r="N1704" s="6"/>
      <c r="O1704" s="6"/>
      <c r="P1704" s="6"/>
      <c r="Q1704" s="6"/>
      <c r="R1704" s="6"/>
      <c r="S1704" s="6"/>
      <c r="T1704" s="6"/>
      <c r="U1704" s="6"/>
      <c r="V1704" s="6"/>
      <c r="W1704" s="6"/>
      <c r="X1704" s="6"/>
      <c r="Y1704" s="6"/>
      <c r="Z1704" s="6"/>
    </row>
    <row r="1705" customFormat="false" ht="15" hidden="false" customHeight="false" outlineLevel="0" collapsed="false">
      <c r="A1705" s="9" t="s">
        <v>7548</v>
      </c>
      <c r="B1705" s="9" t="s">
        <v>5870</v>
      </c>
      <c r="C1705" s="9" t="s">
        <v>1928</v>
      </c>
      <c r="D1705" s="9" t="s">
        <v>5871</v>
      </c>
      <c r="E1705" s="9" t="str">
        <f aca="false">IF(AND('Formation Ledger'!A1684&lt;&gt;"",'Formation Ledger'!V1684=0),"PASS","FAIL")</f>
        <v>PASS</v>
      </c>
      <c r="F1705" s="9" t="s">
        <v>76</v>
      </c>
      <c r="G1705" s="6"/>
      <c r="H1705" s="6"/>
      <c r="I1705" s="6"/>
      <c r="J1705" s="6"/>
      <c r="K1705" s="6"/>
      <c r="L1705" s="6"/>
      <c r="M1705" s="6"/>
      <c r="N1705" s="6"/>
      <c r="O1705" s="6"/>
      <c r="P1705" s="6"/>
      <c r="Q1705" s="6"/>
      <c r="R1705" s="6"/>
      <c r="S1705" s="6"/>
      <c r="T1705" s="6"/>
      <c r="U1705" s="6"/>
      <c r="V1705" s="6"/>
      <c r="W1705" s="6"/>
      <c r="X1705" s="6"/>
      <c r="Y1705" s="6"/>
      <c r="Z1705" s="6"/>
    </row>
    <row r="1706" customFormat="false" ht="15" hidden="false" customHeight="false" outlineLevel="0" collapsed="false">
      <c r="A1706" s="9" t="s">
        <v>7549</v>
      </c>
      <c r="B1706" s="9" t="s">
        <v>5870</v>
      </c>
      <c r="C1706" s="9" t="s">
        <v>1929</v>
      </c>
      <c r="D1706" s="9" t="s">
        <v>5871</v>
      </c>
      <c r="E1706" s="9" t="str">
        <f aca="false">IF(AND('Formation Ledger'!A1685&lt;&gt;"",'Formation Ledger'!V1685=0),"PASS","FAIL")</f>
        <v>PASS</v>
      </c>
      <c r="F1706" s="9" t="s">
        <v>76</v>
      </c>
      <c r="G1706" s="6"/>
      <c r="H1706" s="6"/>
      <c r="I1706" s="6"/>
      <c r="J1706" s="6"/>
      <c r="K1706" s="6"/>
      <c r="L1706" s="6"/>
      <c r="M1706" s="6"/>
      <c r="N1706" s="6"/>
      <c r="O1706" s="6"/>
      <c r="P1706" s="6"/>
      <c r="Q1706" s="6"/>
      <c r="R1706" s="6"/>
      <c r="S1706" s="6"/>
      <c r="T1706" s="6"/>
      <c r="U1706" s="6"/>
      <c r="V1706" s="6"/>
      <c r="W1706" s="6"/>
      <c r="X1706" s="6"/>
      <c r="Y1706" s="6"/>
      <c r="Z1706" s="6"/>
    </row>
    <row r="1707" customFormat="false" ht="15" hidden="false" customHeight="false" outlineLevel="0" collapsed="false">
      <c r="A1707" s="9" t="s">
        <v>7550</v>
      </c>
      <c r="B1707" s="9" t="s">
        <v>5870</v>
      </c>
      <c r="C1707" s="9" t="s">
        <v>1930</v>
      </c>
      <c r="D1707" s="9" t="s">
        <v>5871</v>
      </c>
      <c r="E1707" s="9" t="str">
        <f aca="false">IF(AND('Formation Ledger'!A1686&lt;&gt;"",'Formation Ledger'!V1686=0),"PASS","FAIL")</f>
        <v>PASS</v>
      </c>
      <c r="F1707" s="9" t="s">
        <v>76</v>
      </c>
      <c r="G1707" s="6"/>
      <c r="H1707" s="6"/>
      <c r="I1707" s="6"/>
      <c r="J1707" s="6"/>
      <c r="K1707" s="6"/>
      <c r="L1707" s="6"/>
      <c r="M1707" s="6"/>
      <c r="N1707" s="6"/>
      <c r="O1707" s="6"/>
      <c r="P1707" s="6"/>
      <c r="Q1707" s="6"/>
      <c r="R1707" s="6"/>
      <c r="S1707" s="6"/>
      <c r="T1707" s="6"/>
      <c r="U1707" s="6"/>
      <c r="V1707" s="6"/>
      <c r="W1707" s="6"/>
      <c r="X1707" s="6"/>
      <c r="Y1707" s="6"/>
      <c r="Z1707" s="6"/>
    </row>
    <row r="1708" customFormat="false" ht="15" hidden="false" customHeight="false" outlineLevel="0" collapsed="false">
      <c r="A1708" s="9" t="s">
        <v>7551</v>
      </c>
      <c r="B1708" s="9" t="s">
        <v>5870</v>
      </c>
      <c r="C1708" s="9" t="s">
        <v>1931</v>
      </c>
      <c r="D1708" s="9" t="s">
        <v>5871</v>
      </c>
      <c r="E1708" s="9" t="str">
        <f aca="false">IF(AND('Formation Ledger'!A1687&lt;&gt;"",'Formation Ledger'!V1687=0),"PASS","FAIL")</f>
        <v>PASS</v>
      </c>
      <c r="F1708" s="9" t="s">
        <v>76</v>
      </c>
      <c r="G1708" s="6"/>
      <c r="H1708" s="6"/>
      <c r="I1708" s="6"/>
      <c r="J1708" s="6"/>
      <c r="K1708" s="6"/>
      <c r="L1708" s="6"/>
      <c r="M1708" s="6"/>
      <c r="N1708" s="6"/>
      <c r="O1708" s="6"/>
      <c r="P1708" s="6"/>
      <c r="Q1708" s="6"/>
      <c r="R1708" s="6"/>
      <c r="S1708" s="6"/>
      <c r="T1708" s="6"/>
      <c r="U1708" s="6"/>
      <c r="V1708" s="6"/>
      <c r="W1708" s="6"/>
      <c r="X1708" s="6"/>
      <c r="Y1708" s="6"/>
      <c r="Z1708" s="6"/>
    </row>
    <row r="1709" customFormat="false" ht="15" hidden="false" customHeight="false" outlineLevel="0" collapsed="false">
      <c r="A1709" s="9" t="s">
        <v>7552</v>
      </c>
      <c r="B1709" s="9" t="s">
        <v>5870</v>
      </c>
      <c r="C1709" s="9" t="s">
        <v>1932</v>
      </c>
      <c r="D1709" s="9" t="s">
        <v>5871</v>
      </c>
      <c r="E1709" s="9" t="str">
        <f aca="false">IF(AND('Formation Ledger'!A1688&lt;&gt;"",'Formation Ledger'!V1688=0),"PASS","FAIL")</f>
        <v>PASS</v>
      </c>
      <c r="F1709" s="9" t="s">
        <v>76</v>
      </c>
      <c r="G1709" s="6"/>
      <c r="H1709" s="6"/>
      <c r="I1709" s="6"/>
      <c r="J1709" s="6"/>
      <c r="K1709" s="6"/>
      <c r="L1709" s="6"/>
      <c r="M1709" s="6"/>
      <c r="N1709" s="6"/>
      <c r="O1709" s="6"/>
      <c r="P1709" s="6"/>
      <c r="Q1709" s="6"/>
      <c r="R1709" s="6"/>
      <c r="S1709" s="6"/>
      <c r="T1709" s="6"/>
      <c r="U1709" s="6"/>
      <c r="V1709" s="6"/>
      <c r="W1709" s="6"/>
      <c r="X1709" s="6"/>
      <c r="Y1709" s="6"/>
      <c r="Z1709" s="6"/>
    </row>
    <row r="1710" customFormat="false" ht="15" hidden="false" customHeight="false" outlineLevel="0" collapsed="false">
      <c r="A1710" s="9" t="s">
        <v>7553</v>
      </c>
      <c r="B1710" s="9" t="s">
        <v>5870</v>
      </c>
      <c r="C1710" s="9" t="s">
        <v>1933</v>
      </c>
      <c r="D1710" s="9" t="s">
        <v>5871</v>
      </c>
      <c r="E1710" s="9" t="str">
        <f aca="false">IF(AND('Formation Ledger'!A1689&lt;&gt;"",'Formation Ledger'!V1689=0),"PASS","FAIL")</f>
        <v>PASS</v>
      </c>
      <c r="F1710" s="9" t="s">
        <v>76</v>
      </c>
      <c r="G1710" s="6"/>
      <c r="H1710" s="6"/>
      <c r="I1710" s="6"/>
      <c r="J1710" s="6"/>
      <c r="K1710" s="6"/>
      <c r="L1710" s="6"/>
      <c r="M1710" s="6"/>
      <c r="N1710" s="6"/>
      <c r="O1710" s="6"/>
      <c r="P1710" s="6"/>
      <c r="Q1710" s="6"/>
      <c r="R1710" s="6"/>
      <c r="S1710" s="6"/>
      <c r="T1710" s="6"/>
      <c r="U1710" s="6"/>
      <c r="V1710" s="6"/>
      <c r="W1710" s="6"/>
      <c r="X1710" s="6"/>
      <c r="Y1710" s="6"/>
      <c r="Z1710" s="6"/>
    </row>
    <row r="1711" customFormat="false" ht="15" hidden="false" customHeight="false" outlineLevel="0" collapsed="false">
      <c r="A1711" s="9" t="s">
        <v>7554</v>
      </c>
      <c r="B1711" s="9" t="s">
        <v>5870</v>
      </c>
      <c r="C1711" s="9" t="s">
        <v>1934</v>
      </c>
      <c r="D1711" s="9" t="s">
        <v>5871</v>
      </c>
      <c r="E1711" s="9" t="str">
        <f aca="false">IF(AND('Formation Ledger'!A1690&lt;&gt;"",'Formation Ledger'!V1690=0),"PASS","FAIL")</f>
        <v>PASS</v>
      </c>
      <c r="F1711" s="9" t="s">
        <v>76</v>
      </c>
      <c r="G1711" s="6"/>
      <c r="H1711" s="6"/>
      <c r="I1711" s="6"/>
      <c r="J1711" s="6"/>
      <c r="K1711" s="6"/>
      <c r="L1711" s="6"/>
      <c r="M1711" s="6"/>
      <c r="N1711" s="6"/>
      <c r="O1711" s="6"/>
      <c r="P1711" s="6"/>
      <c r="Q1711" s="6"/>
      <c r="R1711" s="6"/>
      <c r="S1711" s="6"/>
      <c r="T1711" s="6"/>
      <c r="U1711" s="6"/>
      <c r="V1711" s="6"/>
      <c r="W1711" s="6"/>
      <c r="X1711" s="6"/>
      <c r="Y1711" s="6"/>
      <c r="Z1711" s="6"/>
    </row>
    <row r="1712" customFormat="false" ht="15" hidden="false" customHeight="false" outlineLevel="0" collapsed="false">
      <c r="A1712" s="9" t="s">
        <v>7555</v>
      </c>
      <c r="B1712" s="9" t="s">
        <v>5870</v>
      </c>
      <c r="C1712" s="9" t="s">
        <v>1935</v>
      </c>
      <c r="D1712" s="9" t="s">
        <v>5871</v>
      </c>
      <c r="E1712" s="9" t="str">
        <f aca="false">IF(AND('Formation Ledger'!A1691&lt;&gt;"",'Formation Ledger'!V1691=0),"PASS","FAIL")</f>
        <v>PASS</v>
      </c>
      <c r="F1712" s="9" t="s">
        <v>76</v>
      </c>
      <c r="G1712" s="6"/>
      <c r="H1712" s="6"/>
      <c r="I1712" s="6"/>
      <c r="J1712" s="6"/>
      <c r="K1712" s="6"/>
      <c r="L1712" s="6"/>
      <c r="M1712" s="6"/>
      <c r="N1712" s="6"/>
      <c r="O1712" s="6"/>
      <c r="P1712" s="6"/>
      <c r="Q1712" s="6"/>
      <c r="R1712" s="6"/>
      <c r="S1712" s="6"/>
      <c r="T1712" s="6"/>
      <c r="U1712" s="6"/>
      <c r="V1712" s="6"/>
      <c r="W1712" s="6"/>
      <c r="X1712" s="6"/>
      <c r="Y1712" s="6"/>
      <c r="Z1712" s="6"/>
    </row>
    <row r="1713" customFormat="false" ht="15" hidden="false" customHeight="false" outlineLevel="0" collapsed="false">
      <c r="A1713" s="9" t="s">
        <v>7556</v>
      </c>
      <c r="B1713" s="9" t="s">
        <v>5870</v>
      </c>
      <c r="C1713" s="9" t="s">
        <v>1936</v>
      </c>
      <c r="D1713" s="9" t="s">
        <v>5871</v>
      </c>
      <c r="E1713" s="9" t="str">
        <f aca="false">IF(AND('Formation Ledger'!A1692&lt;&gt;"",'Formation Ledger'!V1692=0),"PASS","FAIL")</f>
        <v>PASS</v>
      </c>
      <c r="F1713" s="9" t="s">
        <v>76</v>
      </c>
      <c r="G1713" s="6"/>
      <c r="H1713" s="6"/>
      <c r="I1713" s="6"/>
      <c r="J1713" s="6"/>
      <c r="K1713" s="6"/>
      <c r="L1713" s="6"/>
      <c r="M1713" s="6"/>
      <c r="N1713" s="6"/>
      <c r="O1713" s="6"/>
      <c r="P1713" s="6"/>
      <c r="Q1713" s="6"/>
      <c r="R1713" s="6"/>
      <c r="S1713" s="6"/>
      <c r="T1713" s="6"/>
      <c r="U1713" s="6"/>
      <c r="V1713" s="6"/>
      <c r="W1713" s="6"/>
      <c r="X1713" s="6"/>
      <c r="Y1713" s="6"/>
      <c r="Z1713" s="6"/>
    </row>
    <row r="1714" customFormat="false" ht="15" hidden="false" customHeight="false" outlineLevel="0" collapsed="false">
      <c r="A1714" s="9" t="s">
        <v>7557</v>
      </c>
      <c r="B1714" s="9" t="s">
        <v>5870</v>
      </c>
      <c r="C1714" s="9" t="s">
        <v>1937</v>
      </c>
      <c r="D1714" s="9" t="s">
        <v>5871</v>
      </c>
      <c r="E1714" s="9" t="str">
        <f aca="false">IF(AND('Formation Ledger'!A1693&lt;&gt;"",'Formation Ledger'!V1693=0),"PASS","FAIL")</f>
        <v>PASS</v>
      </c>
      <c r="F1714" s="9" t="s">
        <v>76</v>
      </c>
      <c r="G1714" s="6"/>
      <c r="H1714" s="6"/>
      <c r="I1714" s="6"/>
      <c r="J1714" s="6"/>
      <c r="K1714" s="6"/>
      <c r="L1714" s="6"/>
      <c r="M1714" s="6"/>
      <c r="N1714" s="6"/>
      <c r="O1714" s="6"/>
      <c r="P1714" s="6"/>
      <c r="Q1714" s="6"/>
      <c r="R1714" s="6"/>
      <c r="S1714" s="6"/>
      <c r="T1714" s="6"/>
      <c r="U1714" s="6"/>
      <c r="V1714" s="6"/>
      <c r="W1714" s="6"/>
      <c r="X1714" s="6"/>
      <c r="Y1714" s="6"/>
      <c r="Z1714" s="6"/>
    </row>
    <row r="1715" customFormat="false" ht="15" hidden="false" customHeight="false" outlineLevel="0" collapsed="false">
      <c r="A1715" s="9" t="s">
        <v>7558</v>
      </c>
      <c r="B1715" s="9" t="s">
        <v>5870</v>
      </c>
      <c r="C1715" s="9" t="s">
        <v>1938</v>
      </c>
      <c r="D1715" s="9" t="s">
        <v>5871</v>
      </c>
      <c r="E1715" s="9" t="str">
        <f aca="false">IF(AND('Formation Ledger'!A1694&lt;&gt;"",'Formation Ledger'!V1694=0),"PASS","FAIL")</f>
        <v>PASS</v>
      </c>
      <c r="F1715" s="9" t="s">
        <v>76</v>
      </c>
      <c r="G1715" s="6"/>
      <c r="H1715" s="6"/>
      <c r="I1715" s="6"/>
      <c r="J1715" s="6"/>
      <c r="K1715" s="6"/>
      <c r="L1715" s="6"/>
      <c r="M1715" s="6"/>
      <c r="N1715" s="6"/>
      <c r="O1715" s="6"/>
      <c r="P1715" s="6"/>
      <c r="Q1715" s="6"/>
      <c r="R1715" s="6"/>
      <c r="S1715" s="6"/>
      <c r="T1715" s="6"/>
      <c r="U1715" s="6"/>
      <c r="V1715" s="6"/>
      <c r="W1715" s="6"/>
      <c r="X1715" s="6"/>
      <c r="Y1715" s="6"/>
      <c r="Z1715" s="6"/>
    </row>
    <row r="1716" customFormat="false" ht="15" hidden="false" customHeight="false" outlineLevel="0" collapsed="false">
      <c r="A1716" s="9" t="s">
        <v>7559</v>
      </c>
      <c r="B1716" s="9" t="s">
        <v>5870</v>
      </c>
      <c r="C1716" s="9" t="s">
        <v>1939</v>
      </c>
      <c r="D1716" s="9" t="s">
        <v>5871</v>
      </c>
      <c r="E1716" s="9" t="str">
        <f aca="false">IF(AND('Formation Ledger'!A1695&lt;&gt;"",'Formation Ledger'!V1695=0),"PASS","FAIL")</f>
        <v>PASS</v>
      </c>
      <c r="F1716" s="9" t="s">
        <v>76</v>
      </c>
      <c r="G1716" s="6"/>
      <c r="H1716" s="6"/>
      <c r="I1716" s="6"/>
      <c r="J1716" s="6"/>
      <c r="K1716" s="6"/>
      <c r="L1716" s="6"/>
      <c r="M1716" s="6"/>
      <c r="N1716" s="6"/>
      <c r="O1716" s="6"/>
      <c r="P1716" s="6"/>
      <c r="Q1716" s="6"/>
      <c r="R1716" s="6"/>
      <c r="S1716" s="6"/>
      <c r="T1716" s="6"/>
      <c r="U1716" s="6"/>
      <c r="V1716" s="6"/>
      <c r="W1716" s="6"/>
      <c r="X1716" s="6"/>
      <c r="Y1716" s="6"/>
      <c r="Z1716" s="6"/>
    </row>
    <row r="1717" customFormat="false" ht="15" hidden="false" customHeight="false" outlineLevel="0" collapsed="false">
      <c r="A1717" s="9" t="s">
        <v>7560</v>
      </c>
      <c r="B1717" s="9" t="s">
        <v>5870</v>
      </c>
      <c r="C1717" s="9" t="s">
        <v>1940</v>
      </c>
      <c r="D1717" s="9" t="s">
        <v>5871</v>
      </c>
      <c r="E1717" s="9" t="str">
        <f aca="false">IF(AND('Formation Ledger'!A1696&lt;&gt;"",'Formation Ledger'!V1696=0),"PASS","FAIL")</f>
        <v>PASS</v>
      </c>
      <c r="F1717" s="9" t="s">
        <v>76</v>
      </c>
      <c r="G1717" s="6"/>
      <c r="H1717" s="6"/>
      <c r="I1717" s="6"/>
      <c r="J1717" s="6"/>
      <c r="K1717" s="6"/>
      <c r="L1717" s="6"/>
      <c r="M1717" s="6"/>
      <c r="N1717" s="6"/>
      <c r="O1717" s="6"/>
      <c r="P1717" s="6"/>
      <c r="Q1717" s="6"/>
      <c r="R1717" s="6"/>
      <c r="S1717" s="6"/>
      <c r="T1717" s="6"/>
      <c r="U1717" s="6"/>
      <c r="V1717" s="6"/>
      <c r="W1717" s="6"/>
      <c r="X1717" s="6"/>
      <c r="Y1717" s="6"/>
      <c r="Z1717" s="6"/>
    </row>
    <row r="1718" customFormat="false" ht="15" hidden="false" customHeight="false" outlineLevel="0" collapsed="false">
      <c r="A1718" s="9" t="s">
        <v>7561</v>
      </c>
      <c r="B1718" s="9" t="s">
        <v>5870</v>
      </c>
      <c r="C1718" s="9" t="s">
        <v>1941</v>
      </c>
      <c r="D1718" s="9" t="s">
        <v>5871</v>
      </c>
      <c r="E1718" s="9" t="str">
        <f aca="false">IF(AND('Formation Ledger'!A1697&lt;&gt;"",'Formation Ledger'!V1697=0),"PASS","FAIL")</f>
        <v>PASS</v>
      </c>
      <c r="F1718" s="9" t="s">
        <v>76</v>
      </c>
      <c r="G1718" s="6"/>
      <c r="H1718" s="6"/>
      <c r="I1718" s="6"/>
      <c r="J1718" s="6"/>
      <c r="K1718" s="6"/>
      <c r="L1718" s="6"/>
      <c r="M1718" s="6"/>
      <c r="N1718" s="6"/>
      <c r="O1718" s="6"/>
      <c r="P1718" s="6"/>
      <c r="Q1718" s="6"/>
      <c r="R1718" s="6"/>
      <c r="S1718" s="6"/>
      <c r="T1718" s="6"/>
      <c r="U1718" s="6"/>
      <c r="V1718" s="6"/>
      <c r="W1718" s="6"/>
      <c r="X1718" s="6"/>
      <c r="Y1718" s="6"/>
      <c r="Z1718" s="6"/>
    </row>
    <row r="1719" customFormat="false" ht="15" hidden="false" customHeight="false" outlineLevel="0" collapsed="false">
      <c r="A1719" s="9" t="s">
        <v>7562</v>
      </c>
      <c r="B1719" s="9" t="s">
        <v>5870</v>
      </c>
      <c r="C1719" s="9" t="s">
        <v>1942</v>
      </c>
      <c r="D1719" s="9" t="s">
        <v>5871</v>
      </c>
      <c r="E1719" s="9" t="str">
        <f aca="false">IF(AND('Formation Ledger'!A1698&lt;&gt;"",'Formation Ledger'!V1698=0),"PASS","FAIL")</f>
        <v>PASS</v>
      </c>
      <c r="F1719" s="9" t="s">
        <v>76</v>
      </c>
      <c r="G1719" s="6"/>
      <c r="H1719" s="6"/>
      <c r="I1719" s="6"/>
      <c r="J1719" s="6"/>
      <c r="K1719" s="6"/>
      <c r="L1719" s="6"/>
      <c r="M1719" s="6"/>
      <c r="N1719" s="6"/>
      <c r="O1719" s="6"/>
      <c r="P1719" s="6"/>
      <c r="Q1719" s="6"/>
      <c r="R1719" s="6"/>
      <c r="S1719" s="6"/>
      <c r="T1719" s="6"/>
      <c r="U1719" s="6"/>
      <c r="V1719" s="6"/>
      <c r="W1719" s="6"/>
      <c r="X1719" s="6"/>
      <c r="Y1719" s="6"/>
      <c r="Z1719" s="6"/>
    </row>
    <row r="1720" customFormat="false" ht="15" hidden="false" customHeight="false" outlineLevel="0" collapsed="false">
      <c r="A1720" s="9" t="s">
        <v>7563</v>
      </c>
      <c r="B1720" s="9" t="s">
        <v>5870</v>
      </c>
      <c r="C1720" s="9" t="s">
        <v>1943</v>
      </c>
      <c r="D1720" s="9" t="s">
        <v>5871</v>
      </c>
      <c r="E1720" s="9" t="str">
        <f aca="false">IF(AND('Formation Ledger'!A1699&lt;&gt;"",'Formation Ledger'!V1699=0),"PASS","FAIL")</f>
        <v>PASS</v>
      </c>
      <c r="F1720" s="9" t="s">
        <v>76</v>
      </c>
      <c r="G1720" s="6"/>
      <c r="H1720" s="6"/>
      <c r="I1720" s="6"/>
      <c r="J1720" s="6"/>
      <c r="K1720" s="6"/>
      <c r="L1720" s="6"/>
      <c r="M1720" s="6"/>
      <c r="N1720" s="6"/>
      <c r="O1720" s="6"/>
      <c r="P1720" s="6"/>
      <c r="Q1720" s="6"/>
      <c r="R1720" s="6"/>
      <c r="S1720" s="6"/>
      <c r="T1720" s="6"/>
      <c r="U1720" s="6"/>
      <c r="V1720" s="6"/>
      <c r="W1720" s="6"/>
      <c r="X1720" s="6"/>
      <c r="Y1720" s="6"/>
      <c r="Z1720" s="6"/>
    </row>
    <row r="1721" customFormat="false" ht="15" hidden="false" customHeight="false" outlineLevel="0" collapsed="false">
      <c r="A1721" s="9" t="s">
        <v>7564</v>
      </c>
      <c r="B1721" s="9" t="s">
        <v>5870</v>
      </c>
      <c r="C1721" s="9" t="s">
        <v>1944</v>
      </c>
      <c r="D1721" s="9" t="s">
        <v>5871</v>
      </c>
      <c r="E1721" s="9" t="str">
        <f aca="false">IF(AND('Formation Ledger'!A1700&lt;&gt;"",'Formation Ledger'!V1700=0),"PASS","FAIL")</f>
        <v>PASS</v>
      </c>
      <c r="F1721" s="9" t="s">
        <v>76</v>
      </c>
      <c r="G1721" s="6"/>
      <c r="H1721" s="6"/>
      <c r="I1721" s="6"/>
      <c r="J1721" s="6"/>
      <c r="K1721" s="6"/>
      <c r="L1721" s="6"/>
      <c r="M1721" s="6"/>
      <c r="N1721" s="6"/>
      <c r="O1721" s="6"/>
      <c r="P1721" s="6"/>
      <c r="Q1721" s="6"/>
      <c r="R1721" s="6"/>
      <c r="S1721" s="6"/>
      <c r="T1721" s="6"/>
      <c r="U1721" s="6"/>
      <c r="V1721" s="6"/>
      <c r="W1721" s="6"/>
      <c r="X1721" s="6"/>
      <c r="Y1721" s="6"/>
      <c r="Z1721" s="6"/>
    </row>
    <row r="1722" customFormat="false" ht="15" hidden="false" customHeight="false" outlineLevel="0" collapsed="false">
      <c r="A1722" s="9" t="s">
        <v>7565</v>
      </c>
      <c r="B1722" s="9" t="s">
        <v>5870</v>
      </c>
      <c r="C1722" s="9" t="s">
        <v>1945</v>
      </c>
      <c r="D1722" s="9" t="s">
        <v>5871</v>
      </c>
      <c r="E1722" s="9" t="str">
        <f aca="false">IF(AND('Formation Ledger'!A1701&lt;&gt;"",'Formation Ledger'!V1701=0),"PASS","FAIL")</f>
        <v>PASS</v>
      </c>
      <c r="F1722" s="9" t="s">
        <v>76</v>
      </c>
      <c r="G1722" s="6"/>
      <c r="H1722" s="6"/>
      <c r="I1722" s="6"/>
      <c r="J1722" s="6"/>
      <c r="K1722" s="6"/>
      <c r="L1722" s="6"/>
      <c r="M1722" s="6"/>
      <c r="N1722" s="6"/>
      <c r="O1722" s="6"/>
      <c r="P1722" s="6"/>
      <c r="Q1722" s="6"/>
      <c r="R1722" s="6"/>
      <c r="S1722" s="6"/>
      <c r="T1722" s="6"/>
      <c r="U1722" s="6"/>
      <c r="V1722" s="6"/>
      <c r="W1722" s="6"/>
      <c r="X1722" s="6"/>
      <c r="Y1722" s="6"/>
      <c r="Z1722" s="6"/>
    </row>
    <row r="1723" customFormat="false" ht="15" hidden="false" customHeight="false" outlineLevel="0" collapsed="false">
      <c r="A1723" s="9" t="s">
        <v>7566</v>
      </c>
      <c r="B1723" s="9" t="s">
        <v>5870</v>
      </c>
      <c r="C1723" s="9" t="s">
        <v>1946</v>
      </c>
      <c r="D1723" s="9" t="s">
        <v>5871</v>
      </c>
      <c r="E1723" s="9" t="str">
        <f aca="false">IF(AND('Formation Ledger'!A1702&lt;&gt;"",'Formation Ledger'!V1702=0),"PASS","FAIL")</f>
        <v>PASS</v>
      </c>
      <c r="F1723" s="9" t="s">
        <v>76</v>
      </c>
      <c r="G1723" s="6"/>
      <c r="H1723" s="6"/>
      <c r="I1723" s="6"/>
      <c r="J1723" s="6"/>
      <c r="K1723" s="6"/>
      <c r="L1723" s="6"/>
      <c r="M1723" s="6"/>
      <c r="N1723" s="6"/>
      <c r="O1723" s="6"/>
      <c r="P1723" s="6"/>
      <c r="Q1723" s="6"/>
      <c r="R1723" s="6"/>
      <c r="S1723" s="6"/>
      <c r="T1723" s="6"/>
      <c r="U1723" s="6"/>
      <c r="V1723" s="6"/>
      <c r="W1723" s="6"/>
      <c r="X1723" s="6"/>
      <c r="Y1723" s="6"/>
      <c r="Z1723" s="6"/>
    </row>
    <row r="1724" customFormat="false" ht="15" hidden="false" customHeight="false" outlineLevel="0" collapsed="false">
      <c r="A1724" s="9" t="s">
        <v>7567</v>
      </c>
      <c r="B1724" s="9" t="s">
        <v>5870</v>
      </c>
      <c r="C1724" s="9" t="s">
        <v>1947</v>
      </c>
      <c r="D1724" s="9" t="s">
        <v>5871</v>
      </c>
      <c r="E1724" s="9" t="str">
        <f aca="false">IF(AND('Formation Ledger'!A1703&lt;&gt;"",'Formation Ledger'!V1703=0),"PASS","FAIL")</f>
        <v>PASS</v>
      </c>
      <c r="F1724" s="9" t="s">
        <v>76</v>
      </c>
      <c r="G1724" s="6"/>
      <c r="H1724" s="6"/>
      <c r="I1724" s="6"/>
      <c r="J1724" s="6"/>
      <c r="K1724" s="6"/>
      <c r="L1724" s="6"/>
      <c r="M1724" s="6"/>
      <c r="N1724" s="6"/>
      <c r="O1724" s="6"/>
      <c r="P1724" s="6"/>
      <c r="Q1724" s="6"/>
      <c r="R1724" s="6"/>
      <c r="S1724" s="6"/>
      <c r="T1724" s="6"/>
      <c r="U1724" s="6"/>
      <c r="V1724" s="6"/>
      <c r="W1724" s="6"/>
      <c r="X1724" s="6"/>
      <c r="Y1724" s="6"/>
      <c r="Z1724" s="6"/>
    </row>
    <row r="1725" customFormat="false" ht="15" hidden="false" customHeight="false" outlineLevel="0" collapsed="false">
      <c r="A1725" s="9" t="s">
        <v>7568</v>
      </c>
      <c r="B1725" s="9" t="s">
        <v>5870</v>
      </c>
      <c r="C1725" s="9" t="s">
        <v>1948</v>
      </c>
      <c r="D1725" s="9" t="s">
        <v>5871</v>
      </c>
      <c r="E1725" s="9" t="str">
        <f aca="false">IF(AND('Formation Ledger'!A1704&lt;&gt;"",'Formation Ledger'!V1704=0),"PASS","FAIL")</f>
        <v>PASS</v>
      </c>
      <c r="F1725" s="9" t="s">
        <v>76</v>
      </c>
      <c r="G1725" s="6"/>
      <c r="H1725" s="6"/>
      <c r="I1725" s="6"/>
      <c r="J1725" s="6"/>
      <c r="K1725" s="6"/>
      <c r="L1725" s="6"/>
      <c r="M1725" s="6"/>
      <c r="N1725" s="6"/>
      <c r="O1725" s="6"/>
      <c r="P1725" s="6"/>
      <c r="Q1725" s="6"/>
      <c r="R1725" s="6"/>
      <c r="S1725" s="6"/>
      <c r="T1725" s="6"/>
      <c r="U1725" s="6"/>
      <c r="V1725" s="6"/>
      <c r="W1725" s="6"/>
      <c r="X1725" s="6"/>
      <c r="Y1725" s="6"/>
      <c r="Z1725" s="6"/>
    </row>
    <row r="1726" customFormat="false" ht="15" hidden="false" customHeight="false" outlineLevel="0" collapsed="false">
      <c r="A1726" s="9" t="s">
        <v>7569</v>
      </c>
      <c r="B1726" s="9" t="s">
        <v>5870</v>
      </c>
      <c r="C1726" s="9" t="s">
        <v>1949</v>
      </c>
      <c r="D1726" s="9" t="s">
        <v>5871</v>
      </c>
      <c r="E1726" s="9" t="str">
        <f aca="false">IF(AND('Formation Ledger'!A1705&lt;&gt;"",'Formation Ledger'!V1705=0),"PASS","FAIL")</f>
        <v>PASS</v>
      </c>
      <c r="F1726" s="9" t="s">
        <v>76</v>
      </c>
      <c r="G1726" s="6"/>
      <c r="H1726" s="6"/>
      <c r="I1726" s="6"/>
      <c r="J1726" s="6"/>
      <c r="K1726" s="6"/>
      <c r="L1726" s="6"/>
      <c r="M1726" s="6"/>
      <c r="N1726" s="6"/>
      <c r="O1726" s="6"/>
      <c r="P1726" s="6"/>
      <c r="Q1726" s="6"/>
      <c r="R1726" s="6"/>
      <c r="S1726" s="6"/>
      <c r="T1726" s="6"/>
      <c r="U1726" s="6"/>
      <c r="V1726" s="6"/>
      <c r="W1726" s="6"/>
      <c r="X1726" s="6"/>
      <c r="Y1726" s="6"/>
      <c r="Z1726" s="6"/>
    </row>
    <row r="1727" customFormat="false" ht="15" hidden="false" customHeight="false" outlineLevel="0" collapsed="false">
      <c r="A1727" s="9" t="s">
        <v>7570</v>
      </c>
      <c r="B1727" s="9" t="s">
        <v>5870</v>
      </c>
      <c r="C1727" s="9" t="s">
        <v>1950</v>
      </c>
      <c r="D1727" s="9" t="s">
        <v>5871</v>
      </c>
      <c r="E1727" s="9" t="str">
        <f aca="false">IF(AND('Formation Ledger'!A1706&lt;&gt;"",'Formation Ledger'!V1706=0),"PASS","FAIL")</f>
        <v>PASS</v>
      </c>
      <c r="F1727" s="9" t="s">
        <v>76</v>
      </c>
      <c r="G1727" s="6"/>
      <c r="H1727" s="6"/>
      <c r="I1727" s="6"/>
      <c r="J1727" s="6"/>
      <c r="K1727" s="6"/>
      <c r="L1727" s="6"/>
      <c r="M1727" s="6"/>
      <c r="N1727" s="6"/>
      <c r="O1727" s="6"/>
      <c r="P1727" s="6"/>
      <c r="Q1727" s="6"/>
      <c r="R1727" s="6"/>
      <c r="S1727" s="6"/>
      <c r="T1727" s="6"/>
      <c r="U1727" s="6"/>
      <c r="V1727" s="6"/>
      <c r="W1727" s="6"/>
      <c r="X1727" s="6"/>
      <c r="Y1727" s="6"/>
      <c r="Z1727" s="6"/>
    </row>
    <row r="1728" customFormat="false" ht="15" hidden="false" customHeight="false" outlineLevel="0" collapsed="false">
      <c r="A1728" s="9" t="s">
        <v>7571</v>
      </c>
      <c r="B1728" s="9" t="s">
        <v>5870</v>
      </c>
      <c r="C1728" s="9" t="s">
        <v>1951</v>
      </c>
      <c r="D1728" s="9" t="s">
        <v>5871</v>
      </c>
      <c r="E1728" s="9" t="str">
        <f aca="false">IF(AND('Formation Ledger'!A1707&lt;&gt;"",'Formation Ledger'!V1707=0),"PASS","FAIL")</f>
        <v>PASS</v>
      </c>
      <c r="F1728" s="9" t="s">
        <v>76</v>
      </c>
      <c r="G1728" s="6"/>
      <c r="H1728" s="6"/>
      <c r="I1728" s="6"/>
      <c r="J1728" s="6"/>
      <c r="K1728" s="6"/>
      <c r="L1728" s="6"/>
      <c r="M1728" s="6"/>
      <c r="N1728" s="6"/>
      <c r="O1728" s="6"/>
      <c r="P1728" s="6"/>
      <c r="Q1728" s="6"/>
      <c r="R1728" s="6"/>
      <c r="S1728" s="6"/>
      <c r="T1728" s="6"/>
      <c r="U1728" s="6"/>
      <c r="V1728" s="6"/>
      <c r="W1728" s="6"/>
      <c r="X1728" s="6"/>
      <c r="Y1728" s="6"/>
      <c r="Z1728" s="6"/>
    </row>
    <row r="1729" customFormat="false" ht="15" hidden="false" customHeight="false" outlineLevel="0" collapsed="false">
      <c r="A1729" s="9" t="s">
        <v>7572</v>
      </c>
      <c r="B1729" s="9" t="s">
        <v>5870</v>
      </c>
      <c r="C1729" s="9" t="s">
        <v>1952</v>
      </c>
      <c r="D1729" s="9" t="s">
        <v>5871</v>
      </c>
      <c r="E1729" s="9" t="str">
        <f aca="false">IF(AND('Formation Ledger'!A1708&lt;&gt;"",'Formation Ledger'!V1708=0),"PASS","FAIL")</f>
        <v>PASS</v>
      </c>
      <c r="F1729" s="9" t="s">
        <v>76</v>
      </c>
      <c r="G1729" s="6"/>
      <c r="H1729" s="6"/>
      <c r="I1729" s="6"/>
      <c r="J1729" s="6"/>
      <c r="K1729" s="6"/>
      <c r="L1729" s="6"/>
      <c r="M1729" s="6"/>
      <c r="N1729" s="6"/>
      <c r="O1729" s="6"/>
      <c r="P1729" s="6"/>
      <c r="Q1729" s="6"/>
      <c r="R1729" s="6"/>
      <c r="S1729" s="6"/>
      <c r="T1729" s="6"/>
      <c r="U1729" s="6"/>
      <c r="V1729" s="6"/>
      <c r="W1729" s="6"/>
      <c r="X1729" s="6"/>
      <c r="Y1729" s="6"/>
      <c r="Z1729" s="6"/>
    </row>
    <row r="1730" customFormat="false" ht="15" hidden="false" customHeight="false" outlineLevel="0" collapsed="false">
      <c r="A1730" s="9" t="s">
        <v>7573</v>
      </c>
      <c r="B1730" s="9" t="s">
        <v>5870</v>
      </c>
      <c r="C1730" s="9" t="s">
        <v>1953</v>
      </c>
      <c r="D1730" s="9" t="s">
        <v>5871</v>
      </c>
      <c r="E1730" s="9" t="str">
        <f aca="false">IF(AND('Formation Ledger'!A1709&lt;&gt;"",'Formation Ledger'!V1709=0),"PASS","FAIL")</f>
        <v>PASS</v>
      </c>
      <c r="F1730" s="9" t="s">
        <v>76</v>
      </c>
      <c r="G1730" s="6"/>
      <c r="H1730" s="6"/>
      <c r="I1730" s="6"/>
      <c r="J1730" s="6"/>
      <c r="K1730" s="6"/>
      <c r="L1730" s="6"/>
      <c r="M1730" s="6"/>
      <c r="N1730" s="6"/>
      <c r="O1730" s="6"/>
      <c r="P1730" s="6"/>
      <c r="Q1730" s="6"/>
      <c r="R1730" s="6"/>
      <c r="S1730" s="6"/>
      <c r="T1730" s="6"/>
      <c r="U1730" s="6"/>
      <c r="V1730" s="6"/>
      <c r="W1730" s="6"/>
      <c r="X1730" s="6"/>
      <c r="Y1730" s="6"/>
      <c r="Z1730" s="6"/>
    </row>
    <row r="1731" customFormat="false" ht="15" hidden="false" customHeight="false" outlineLevel="0" collapsed="false">
      <c r="A1731" s="9" t="s">
        <v>7574</v>
      </c>
      <c r="B1731" s="9" t="s">
        <v>5870</v>
      </c>
      <c r="C1731" s="9" t="s">
        <v>1954</v>
      </c>
      <c r="D1731" s="9" t="s">
        <v>5871</v>
      </c>
      <c r="E1731" s="9" t="str">
        <f aca="false">IF(AND('Formation Ledger'!A1710&lt;&gt;"",'Formation Ledger'!V1710=0),"PASS","FAIL")</f>
        <v>PASS</v>
      </c>
      <c r="F1731" s="9" t="s">
        <v>76</v>
      </c>
      <c r="G1731" s="6"/>
      <c r="H1731" s="6"/>
      <c r="I1731" s="6"/>
      <c r="J1731" s="6"/>
      <c r="K1731" s="6"/>
      <c r="L1731" s="6"/>
      <c r="M1731" s="6"/>
      <c r="N1731" s="6"/>
      <c r="O1731" s="6"/>
      <c r="P1731" s="6"/>
      <c r="Q1731" s="6"/>
      <c r="R1731" s="6"/>
      <c r="S1731" s="6"/>
      <c r="T1731" s="6"/>
      <c r="U1731" s="6"/>
      <c r="V1731" s="6"/>
      <c r="W1731" s="6"/>
      <c r="X1731" s="6"/>
      <c r="Y1731" s="6"/>
      <c r="Z1731" s="6"/>
    </row>
    <row r="1732" customFormat="false" ht="15" hidden="false" customHeight="false" outlineLevel="0" collapsed="false">
      <c r="A1732" s="9" t="s">
        <v>7575</v>
      </c>
      <c r="B1732" s="9" t="s">
        <v>5870</v>
      </c>
      <c r="C1732" s="9" t="s">
        <v>1955</v>
      </c>
      <c r="D1732" s="9" t="s">
        <v>5871</v>
      </c>
      <c r="E1732" s="9" t="str">
        <f aca="false">IF(AND('Formation Ledger'!A1711&lt;&gt;"",'Formation Ledger'!V1711=0),"PASS","FAIL")</f>
        <v>PASS</v>
      </c>
      <c r="F1732" s="9" t="s">
        <v>76</v>
      </c>
      <c r="G1732" s="6"/>
      <c r="H1732" s="6"/>
      <c r="I1732" s="6"/>
      <c r="J1732" s="6"/>
      <c r="K1732" s="6"/>
      <c r="L1732" s="6"/>
      <c r="M1732" s="6"/>
      <c r="N1732" s="6"/>
      <c r="O1732" s="6"/>
      <c r="P1732" s="6"/>
      <c r="Q1732" s="6"/>
      <c r="R1732" s="6"/>
      <c r="S1732" s="6"/>
      <c r="T1732" s="6"/>
      <c r="U1732" s="6"/>
      <c r="V1732" s="6"/>
      <c r="W1732" s="6"/>
      <c r="X1732" s="6"/>
      <c r="Y1732" s="6"/>
      <c r="Z1732" s="6"/>
    </row>
    <row r="1733" customFormat="false" ht="15" hidden="false" customHeight="false" outlineLevel="0" collapsed="false">
      <c r="A1733" s="9" t="s">
        <v>7576</v>
      </c>
      <c r="B1733" s="9" t="s">
        <v>5870</v>
      </c>
      <c r="C1733" s="9" t="s">
        <v>1956</v>
      </c>
      <c r="D1733" s="9" t="s">
        <v>5871</v>
      </c>
      <c r="E1733" s="9" t="str">
        <f aca="false">IF(AND('Formation Ledger'!A1712&lt;&gt;"",'Formation Ledger'!V1712=0),"PASS","FAIL")</f>
        <v>PASS</v>
      </c>
      <c r="F1733" s="9" t="s">
        <v>76</v>
      </c>
      <c r="G1733" s="6"/>
      <c r="H1733" s="6"/>
      <c r="I1733" s="6"/>
      <c r="J1733" s="6"/>
      <c r="K1733" s="6"/>
      <c r="L1733" s="6"/>
      <c r="M1733" s="6"/>
      <c r="N1733" s="6"/>
      <c r="O1733" s="6"/>
      <c r="P1733" s="6"/>
      <c r="Q1733" s="6"/>
      <c r="R1733" s="6"/>
      <c r="S1733" s="6"/>
      <c r="T1733" s="6"/>
      <c r="U1733" s="6"/>
      <c r="V1733" s="6"/>
      <c r="W1733" s="6"/>
      <c r="X1733" s="6"/>
      <c r="Y1733" s="6"/>
      <c r="Z1733" s="6"/>
    </row>
    <row r="1734" customFormat="false" ht="15" hidden="false" customHeight="false" outlineLevel="0" collapsed="false">
      <c r="A1734" s="9" t="s">
        <v>7577</v>
      </c>
      <c r="B1734" s="9" t="s">
        <v>5870</v>
      </c>
      <c r="C1734" s="9" t="s">
        <v>1957</v>
      </c>
      <c r="D1734" s="9" t="s">
        <v>5871</v>
      </c>
      <c r="E1734" s="9" t="str">
        <f aca="false">IF(AND('Formation Ledger'!A1713&lt;&gt;"",'Formation Ledger'!V1713=0),"PASS","FAIL")</f>
        <v>PASS</v>
      </c>
      <c r="F1734" s="9" t="s">
        <v>76</v>
      </c>
      <c r="G1734" s="6"/>
      <c r="H1734" s="6"/>
      <c r="I1734" s="6"/>
      <c r="J1734" s="6"/>
      <c r="K1734" s="6"/>
      <c r="L1734" s="6"/>
      <c r="M1734" s="6"/>
      <c r="N1734" s="6"/>
      <c r="O1734" s="6"/>
      <c r="P1734" s="6"/>
      <c r="Q1734" s="6"/>
      <c r="R1734" s="6"/>
      <c r="S1734" s="6"/>
      <c r="T1734" s="6"/>
      <c r="U1734" s="6"/>
      <c r="V1734" s="6"/>
      <c r="W1734" s="6"/>
      <c r="X1734" s="6"/>
      <c r="Y1734" s="6"/>
      <c r="Z1734" s="6"/>
    </row>
    <row r="1735" customFormat="false" ht="15" hidden="false" customHeight="false" outlineLevel="0" collapsed="false">
      <c r="A1735" s="9" t="s">
        <v>7578</v>
      </c>
      <c r="B1735" s="9" t="s">
        <v>5870</v>
      </c>
      <c r="C1735" s="9" t="s">
        <v>1958</v>
      </c>
      <c r="D1735" s="9" t="s">
        <v>5871</v>
      </c>
      <c r="E1735" s="9" t="str">
        <f aca="false">IF(AND('Formation Ledger'!A1714&lt;&gt;"",'Formation Ledger'!V1714=0),"PASS","FAIL")</f>
        <v>PASS</v>
      </c>
      <c r="F1735" s="9" t="s">
        <v>76</v>
      </c>
      <c r="G1735" s="6"/>
      <c r="H1735" s="6"/>
      <c r="I1735" s="6"/>
      <c r="J1735" s="6"/>
      <c r="K1735" s="6"/>
      <c r="L1735" s="6"/>
      <c r="M1735" s="6"/>
      <c r="N1735" s="6"/>
      <c r="O1735" s="6"/>
      <c r="P1735" s="6"/>
      <c r="Q1735" s="6"/>
      <c r="R1735" s="6"/>
      <c r="S1735" s="6"/>
      <c r="T1735" s="6"/>
      <c r="U1735" s="6"/>
      <c r="V1735" s="6"/>
      <c r="W1735" s="6"/>
      <c r="X1735" s="6"/>
      <c r="Y1735" s="6"/>
      <c r="Z1735" s="6"/>
    </row>
    <row r="1736" customFormat="false" ht="15" hidden="false" customHeight="false" outlineLevel="0" collapsed="false">
      <c r="A1736" s="9" t="s">
        <v>7579</v>
      </c>
      <c r="B1736" s="9" t="s">
        <v>5870</v>
      </c>
      <c r="C1736" s="9" t="s">
        <v>1959</v>
      </c>
      <c r="D1736" s="9" t="s">
        <v>5871</v>
      </c>
      <c r="E1736" s="9" t="str">
        <f aca="false">IF(AND('Formation Ledger'!A1715&lt;&gt;"",'Formation Ledger'!V1715=0),"PASS","FAIL")</f>
        <v>PASS</v>
      </c>
      <c r="F1736" s="9" t="s">
        <v>76</v>
      </c>
      <c r="G1736" s="6"/>
      <c r="H1736" s="6"/>
      <c r="I1736" s="6"/>
      <c r="J1736" s="6"/>
      <c r="K1736" s="6"/>
      <c r="L1736" s="6"/>
      <c r="M1736" s="6"/>
      <c r="N1736" s="6"/>
      <c r="O1736" s="6"/>
      <c r="P1736" s="6"/>
      <c r="Q1736" s="6"/>
      <c r="R1736" s="6"/>
      <c r="S1736" s="6"/>
      <c r="T1736" s="6"/>
      <c r="U1736" s="6"/>
      <c r="V1736" s="6"/>
      <c r="W1736" s="6"/>
      <c r="X1736" s="6"/>
      <c r="Y1736" s="6"/>
      <c r="Z1736" s="6"/>
    </row>
    <row r="1737" customFormat="false" ht="15" hidden="false" customHeight="false" outlineLevel="0" collapsed="false">
      <c r="A1737" s="9" t="s">
        <v>7580</v>
      </c>
      <c r="B1737" s="9" t="s">
        <v>5870</v>
      </c>
      <c r="C1737" s="9" t="s">
        <v>1960</v>
      </c>
      <c r="D1737" s="9" t="s">
        <v>5871</v>
      </c>
      <c r="E1737" s="9" t="str">
        <f aca="false">IF(AND('Formation Ledger'!A1716&lt;&gt;"",'Formation Ledger'!V1716=0),"PASS","FAIL")</f>
        <v>PASS</v>
      </c>
      <c r="F1737" s="9" t="s">
        <v>76</v>
      </c>
      <c r="G1737" s="6"/>
      <c r="H1737" s="6"/>
      <c r="I1737" s="6"/>
      <c r="J1737" s="6"/>
      <c r="K1737" s="6"/>
      <c r="L1737" s="6"/>
      <c r="M1737" s="6"/>
      <c r="N1737" s="6"/>
      <c r="O1737" s="6"/>
      <c r="P1737" s="6"/>
      <c r="Q1737" s="6"/>
      <c r="R1737" s="6"/>
      <c r="S1737" s="6"/>
      <c r="T1737" s="6"/>
      <c r="U1737" s="6"/>
      <c r="V1737" s="6"/>
      <c r="W1737" s="6"/>
      <c r="X1737" s="6"/>
      <c r="Y1737" s="6"/>
      <c r="Z1737" s="6"/>
    </row>
    <row r="1738" customFormat="false" ht="15" hidden="false" customHeight="false" outlineLevel="0" collapsed="false">
      <c r="A1738" s="9" t="s">
        <v>7581</v>
      </c>
      <c r="B1738" s="9" t="s">
        <v>5870</v>
      </c>
      <c r="C1738" s="9" t="s">
        <v>1961</v>
      </c>
      <c r="D1738" s="9" t="s">
        <v>5871</v>
      </c>
      <c r="E1738" s="9" t="str">
        <f aca="false">IF(AND('Formation Ledger'!A1717&lt;&gt;"",'Formation Ledger'!V1717=0),"PASS","FAIL")</f>
        <v>PASS</v>
      </c>
      <c r="F1738" s="9" t="s">
        <v>76</v>
      </c>
      <c r="G1738" s="6"/>
      <c r="H1738" s="6"/>
      <c r="I1738" s="6"/>
      <c r="J1738" s="6"/>
      <c r="K1738" s="6"/>
      <c r="L1738" s="6"/>
      <c r="M1738" s="6"/>
      <c r="N1738" s="6"/>
      <c r="O1738" s="6"/>
      <c r="P1738" s="6"/>
      <c r="Q1738" s="6"/>
      <c r="R1738" s="6"/>
      <c r="S1738" s="6"/>
      <c r="T1738" s="6"/>
      <c r="U1738" s="6"/>
      <c r="V1738" s="6"/>
      <c r="W1738" s="6"/>
      <c r="X1738" s="6"/>
      <c r="Y1738" s="6"/>
      <c r="Z1738" s="6"/>
    </row>
    <row r="1739" customFormat="false" ht="15" hidden="false" customHeight="false" outlineLevel="0" collapsed="false">
      <c r="A1739" s="9" t="s">
        <v>7582</v>
      </c>
      <c r="B1739" s="9" t="s">
        <v>5870</v>
      </c>
      <c r="C1739" s="9" t="s">
        <v>1962</v>
      </c>
      <c r="D1739" s="9" t="s">
        <v>5871</v>
      </c>
      <c r="E1739" s="9" t="str">
        <f aca="false">IF(AND('Formation Ledger'!A1718&lt;&gt;"",'Formation Ledger'!V1718=0),"PASS","FAIL")</f>
        <v>PASS</v>
      </c>
      <c r="F1739" s="9" t="s">
        <v>76</v>
      </c>
      <c r="G1739" s="6"/>
      <c r="H1739" s="6"/>
      <c r="I1739" s="6"/>
      <c r="J1739" s="6"/>
      <c r="K1739" s="6"/>
      <c r="L1739" s="6"/>
      <c r="M1739" s="6"/>
      <c r="N1739" s="6"/>
      <c r="O1739" s="6"/>
      <c r="P1739" s="6"/>
      <c r="Q1739" s="6"/>
      <c r="R1739" s="6"/>
      <c r="S1739" s="6"/>
      <c r="T1739" s="6"/>
      <c r="U1739" s="6"/>
      <c r="V1739" s="6"/>
      <c r="W1739" s="6"/>
      <c r="X1739" s="6"/>
      <c r="Y1739" s="6"/>
      <c r="Z1739" s="6"/>
    </row>
    <row r="1740" customFormat="false" ht="15" hidden="false" customHeight="false" outlineLevel="0" collapsed="false">
      <c r="A1740" s="9" t="s">
        <v>7583</v>
      </c>
      <c r="B1740" s="9" t="s">
        <v>5870</v>
      </c>
      <c r="C1740" s="9" t="s">
        <v>1963</v>
      </c>
      <c r="D1740" s="9" t="s">
        <v>5871</v>
      </c>
      <c r="E1740" s="9" t="str">
        <f aca="false">IF(AND('Formation Ledger'!A1719&lt;&gt;"",'Formation Ledger'!V1719=0),"PASS","FAIL")</f>
        <v>PASS</v>
      </c>
      <c r="F1740" s="9" t="s">
        <v>76</v>
      </c>
      <c r="G1740" s="6"/>
      <c r="H1740" s="6"/>
      <c r="I1740" s="6"/>
      <c r="J1740" s="6"/>
      <c r="K1740" s="6"/>
      <c r="L1740" s="6"/>
      <c r="M1740" s="6"/>
      <c r="N1740" s="6"/>
      <c r="O1740" s="6"/>
      <c r="P1740" s="6"/>
      <c r="Q1740" s="6"/>
      <c r="R1740" s="6"/>
      <c r="S1740" s="6"/>
      <c r="T1740" s="6"/>
      <c r="U1740" s="6"/>
      <c r="V1740" s="6"/>
      <c r="W1740" s="6"/>
      <c r="X1740" s="6"/>
      <c r="Y1740" s="6"/>
      <c r="Z1740" s="6"/>
    </row>
    <row r="1741" customFormat="false" ht="15" hidden="false" customHeight="false" outlineLevel="0" collapsed="false">
      <c r="A1741" s="9" t="s">
        <v>7584</v>
      </c>
      <c r="B1741" s="9" t="s">
        <v>5870</v>
      </c>
      <c r="C1741" s="9" t="s">
        <v>1964</v>
      </c>
      <c r="D1741" s="9" t="s">
        <v>5871</v>
      </c>
      <c r="E1741" s="9" t="str">
        <f aca="false">IF(AND('Formation Ledger'!A1720&lt;&gt;"",'Formation Ledger'!V1720=0),"PASS","FAIL")</f>
        <v>PASS</v>
      </c>
      <c r="F1741" s="9" t="s">
        <v>76</v>
      </c>
      <c r="G1741" s="6"/>
      <c r="H1741" s="6"/>
      <c r="I1741" s="6"/>
      <c r="J1741" s="6"/>
      <c r="K1741" s="6"/>
      <c r="L1741" s="6"/>
      <c r="M1741" s="6"/>
      <c r="N1741" s="6"/>
      <c r="O1741" s="6"/>
      <c r="P1741" s="6"/>
      <c r="Q1741" s="6"/>
      <c r="R1741" s="6"/>
      <c r="S1741" s="6"/>
      <c r="T1741" s="6"/>
      <c r="U1741" s="6"/>
      <c r="V1741" s="6"/>
      <c r="W1741" s="6"/>
      <c r="X1741" s="6"/>
      <c r="Y1741" s="6"/>
      <c r="Z1741" s="6"/>
    </row>
    <row r="1742" customFormat="false" ht="15" hidden="false" customHeight="false" outlineLevel="0" collapsed="false">
      <c r="A1742" s="9" t="s">
        <v>7585</v>
      </c>
      <c r="B1742" s="9" t="s">
        <v>5870</v>
      </c>
      <c r="C1742" s="9" t="s">
        <v>1965</v>
      </c>
      <c r="D1742" s="9" t="s">
        <v>5871</v>
      </c>
      <c r="E1742" s="9" t="str">
        <f aca="false">IF(AND('Formation Ledger'!A1721&lt;&gt;"",'Formation Ledger'!V1721=0),"PASS","FAIL")</f>
        <v>PASS</v>
      </c>
      <c r="F1742" s="9" t="s">
        <v>76</v>
      </c>
      <c r="G1742" s="6"/>
      <c r="H1742" s="6"/>
      <c r="I1742" s="6"/>
      <c r="J1742" s="6"/>
      <c r="K1742" s="6"/>
      <c r="L1742" s="6"/>
      <c r="M1742" s="6"/>
      <c r="N1742" s="6"/>
      <c r="O1742" s="6"/>
      <c r="P1742" s="6"/>
      <c r="Q1742" s="6"/>
      <c r="R1742" s="6"/>
      <c r="S1742" s="6"/>
      <c r="T1742" s="6"/>
      <c r="U1742" s="6"/>
      <c r="V1742" s="6"/>
      <c r="W1742" s="6"/>
      <c r="X1742" s="6"/>
      <c r="Y1742" s="6"/>
      <c r="Z1742" s="6"/>
    </row>
    <row r="1743" customFormat="false" ht="15" hidden="false" customHeight="false" outlineLevel="0" collapsed="false">
      <c r="A1743" s="9" t="s">
        <v>7586</v>
      </c>
      <c r="B1743" s="9" t="s">
        <v>5870</v>
      </c>
      <c r="C1743" s="9" t="s">
        <v>1966</v>
      </c>
      <c r="D1743" s="9" t="s">
        <v>5871</v>
      </c>
      <c r="E1743" s="9" t="str">
        <f aca="false">IF(AND('Formation Ledger'!A1722&lt;&gt;"",'Formation Ledger'!V1722=0),"PASS","FAIL")</f>
        <v>PASS</v>
      </c>
      <c r="F1743" s="9" t="s">
        <v>76</v>
      </c>
      <c r="G1743" s="6"/>
      <c r="H1743" s="6"/>
      <c r="I1743" s="6"/>
      <c r="J1743" s="6"/>
      <c r="K1743" s="6"/>
      <c r="L1743" s="6"/>
      <c r="M1743" s="6"/>
      <c r="N1743" s="6"/>
      <c r="O1743" s="6"/>
      <c r="P1743" s="6"/>
      <c r="Q1743" s="6"/>
      <c r="R1743" s="6"/>
      <c r="S1743" s="6"/>
      <c r="T1743" s="6"/>
      <c r="U1743" s="6"/>
      <c r="V1743" s="6"/>
      <c r="W1743" s="6"/>
      <c r="X1743" s="6"/>
      <c r="Y1743" s="6"/>
      <c r="Z1743" s="6"/>
    </row>
    <row r="1744" customFormat="false" ht="15" hidden="false" customHeight="false" outlineLevel="0" collapsed="false">
      <c r="A1744" s="9" t="s">
        <v>7587</v>
      </c>
      <c r="B1744" s="9" t="s">
        <v>5870</v>
      </c>
      <c r="C1744" s="9" t="s">
        <v>1969</v>
      </c>
      <c r="D1744" s="9" t="s">
        <v>5871</v>
      </c>
      <c r="E1744" s="9" t="str">
        <f aca="false">IF(AND('Formation Ledger'!A1723&lt;&gt;"",'Formation Ledger'!V1723=0),"PASS","FAIL")</f>
        <v>PASS</v>
      </c>
      <c r="F1744" s="9" t="s">
        <v>76</v>
      </c>
      <c r="G1744" s="6"/>
      <c r="H1744" s="6"/>
      <c r="I1744" s="6"/>
      <c r="J1744" s="6"/>
      <c r="K1744" s="6"/>
      <c r="L1744" s="6"/>
      <c r="M1744" s="6"/>
      <c r="N1744" s="6"/>
      <c r="O1744" s="6"/>
      <c r="P1744" s="6"/>
      <c r="Q1744" s="6"/>
      <c r="R1744" s="6"/>
      <c r="S1744" s="6"/>
      <c r="T1744" s="6"/>
      <c r="U1744" s="6"/>
      <c r="V1744" s="6"/>
      <c r="W1744" s="6"/>
      <c r="X1744" s="6"/>
      <c r="Y1744" s="6"/>
      <c r="Z1744" s="6"/>
    </row>
    <row r="1745" customFormat="false" ht="15" hidden="false" customHeight="false" outlineLevel="0" collapsed="false">
      <c r="A1745" s="9" t="s">
        <v>7588</v>
      </c>
      <c r="B1745" s="9" t="s">
        <v>5870</v>
      </c>
      <c r="C1745" s="9" t="s">
        <v>1970</v>
      </c>
      <c r="D1745" s="9" t="s">
        <v>5871</v>
      </c>
      <c r="E1745" s="9" t="str">
        <f aca="false">IF(AND('Formation Ledger'!A1724&lt;&gt;"",'Formation Ledger'!V1724=0),"PASS","FAIL")</f>
        <v>PASS</v>
      </c>
      <c r="F1745" s="9" t="s">
        <v>76</v>
      </c>
      <c r="G1745" s="6"/>
      <c r="H1745" s="6"/>
      <c r="I1745" s="6"/>
      <c r="J1745" s="6"/>
      <c r="K1745" s="6"/>
      <c r="L1745" s="6"/>
      <c r="M1745" s="6"/>
      <c r="N1745" s="6"/>
      <c r="O1745" s="6"/>
      <c r="P1745" s="6"/>
      <c r="Q1745" s="6"/>
      <c r="R1745" s="6"/>
      <c r="S1745" s="6"/>
      <c r="T1745" s="6"/>
      <c r="U1745" s="6"/>
      <c r="V1745" s="6"/>
      <c r="W1745" s="6"/>
      <c r="X1745" s="6"/>
      <c r="Y1745" s="6"/>
      <c r="Z1745" s="6"/>
    </row>
    <row r="1746" customFormat="false" ht="15" hidden="false" customHeight="false" outlineLevel="0" collapsed="false">
      <c r="A1746" s="9" t="s">
        <v>7589</v>
      </c>
      <c r="B1746" s="9" t="s">
        <v>5870</v>
      </c>
      <c r="C1746" s="9" t="s">
        <v>1971</v>
      </c>
      <c r="D1746" s="9" t="s">
        <v>5871</v>
      </c>
      <c r="E1746" s="9" t="str">
        <f aca="false">IF(AND('Formation Ledger'!A1725&lt;&gt;"",'Formation Ledger'!V1725=0),"PASS","FAIL")</f>
        <v>PASS</v>
      </c>
      <c r="F1746" s="9" t="s">
        <v>76</v>
      </c>
      <c r="G1746" s="6"/>
      <c r="H1746" s="6"/>
      <c r="I1746" s="6"/>
      <c r="J1746" s="6"/>
      <c r="K1746" s="6"/>
      <c r="L1746" s="6"/>
      <c r="M1746" s="6"/>
      <c r="N1746" s="6"/>
      <c r="O1746" s="6"/>
      <c r="P1746" s="6"/>
      <c r="Q1746" s="6"/>
      <c r="R1746" s="6"/>
      <c r="S1746" s="6"/>
      <c r="T1746" s="6"/>
      <c r="U1746" s="6"/>
      <c r="V1746" s="6"/>
      <c r="W1746" s="6"/>
      <c r="X1746" s="6"/>
      <c r="Y1746" s="6"/>
      <c r="Z1746" s="6"/>
    </row>
    <row r="1747" customFormat="false" ht="15" hidden="false" customHeight="false" outlineLevel="0" collapsed="false">
      <c r="A1747" s="9" t="s">
        <v>7590</v>
      </c>
      <c r="B1747" s="9" t="s">
        <v>5870</v>
      </c>
      <c r="C1747" s="9" t="s">
        <v>1972</v>
      </c>
      <c r="D1747" s="9" t="s">
        <v>5871</v>
      </c>
      <c r="E1747" s="9" t="str">
        <f aca="false">IF(AND('Formation Ledger'!A1726&lt;&gt;"",'Formation Ledger'!V1726=0),"PASS","FAIL")</f>
        <v>PASS</v>
      </c>
      <c r="F1747" s="9" t="s">
        <v>76</v>
      </c>
      <c r="G1747" s="6"/>
      <c r="H1747" s="6"/>
      <c r="I1747" s="6"/>
      <c r="J1747" s="6"/>
      <c r="K1747" s="6"/>
      <c r="L1747" s="6"/>
      <c r="M1747" s="6"/>
      <c r="N1747" s="6"/>
      <c r="O1747" s="6"/>
      <c r="P1747" s="6"/>
      <c r="Q1747" s="6"/>
      <c r="R1747" s="6"/>
      <c r="S1747" s="6"/>
      <c r="T1747" s="6"/>
      <c r="U1747" s="6"/>
      <c r="V1747" s="6"/>
      <c r="W1747" s="6"/>
      <c r="X1747" s="6"/>
      <c r="Y1747" s="6"/>
      <c r="Z1747" s="6"/>
    </row>
    <row r="1748" customFormat="false" ht="15" hidden="false" customHeight="false" outlineLevel="0" collapsed="false">
      <c r="A1748" s="9" t="s">
        <v>7591</v>
      </c>
      <c r="B1748" s="9" t="s">
        <v>5870</v>
      </c>
      <c r="C1748" s="9" t="s">
        <v>1973</v>
      </c>
      <c r="D1748" s="9" t="s">
        <v>5871</v>
      </c>
      <c r="E1748" s="9" t="str">
        <f aca="false">IF(AND('Formation Ledger'!A1727&lt;&gt;"",'Formation Ledger'!V1727=0),"PASS","FAIL")</f>
        <v>PASS</v>
      </c>
      <c r="F1748" s="9" t="s">
        <v>76</v>
      </c>
      <c r="G1748" s="6"/>
      <c r="H1748" s="6"/>
      <c r="I1748" s="6"/>
      <c r="J1748" s="6"/>
      <c r="K1748" s="6"/>
      <c r="L1748" s="6"/>
      <c r="M1748" s="6"/>
      <c r="N1748" s="6"/>
      <c r="O1748" s="6"/>
      <c r="P1748" s="6"/>
      <c r="Q1748" s="6"/>
      <c r="R1748" s="6"/>
      <c r="S1748" s="6"/>
      <c r="T1748" s="6"/>
      <c r="U1748" s="6"/>
      <c r="V1748" s="6"/>
      <c r="W1748" s="6"/>
      <c r="X1748" s="6"/>
      <c r="Y1748" s="6"/>
      <c r="Z1748" s="6"/>
    </row>
    <row r="1749" customFormat="false" ht="15" hidden="false" customHeight="false" outlineLevel="0" collapsed="false">
      <c r="A1749" s="9" t="s">
        <v>7592</v>
      </c>
      <c r="B1749" s="9" t="s">
        <v>5870</v>
      </c>
      <c r="C1749" s="9" t="s">
        <v>1974</v>
      </c>
      <c r="D1749" s="9" t="s">
        <v>5871</v>
      </c>
      <c r="E1749" s="9" t="str">
        <f aca="false">IF(AND('Formation Ledger'!A1728&lt;&gt;"",'Formation Ledger'!V1728=0),"PASS","FAIL")</f>
        <v>PASS</v>
      </c>
      <c r="F1749" s="9" t="s">
        <v>76</v>
      </c>
      <c r="G1749" s="6"/>
      <c r="H1749" s="6"/>
      <c r="I1749" s="6"/>
      <c r="J1749" s="6"/>
      <c r="K1749" s="6"/>
      <c r="L1749" s="6"/>
      <c r="M1749" s="6"/>
      <c r="N1749" s="6"/>
      <c r="O1749" s="6"/>
      <c r="P1749" s="6"/>
      <c r="Q1749" s="6"/>
      <c r="R1749" s="6"/>
      <c r="S1749" s="6"/>
      <c r="T1749" s="6"/>
      <c r="U1749" s="6"/>
      <c r="V1749" s="6"/>
      <c r="W1749" s="6"/>
      <c r="X1749" s="6"/>
      <c r="Y1749" s="6"/>
      <c r="Z1749" s="6"/>
    </row>
    <row r="1750" customFormat="false" ht="15" hidden="false" customHeight="false" outlineLevel="0" collapsed="false">
      <c r="A1750" s="9" t="s">
        <v>7593</v>
      </c>
      <c r="B1750" s="9" t="s">
        <v>5870</v>
      </c>
      <c r="C1750" s="9" t="s">
        <v>1975</v>
      </c>
      <c r="D1750" s="9" t="s">
        <v>5871</v>
      </c>
      <c r="E1750" s="9" t="str">
        <f aca="false">IF(AND('Formation Ledger'!A1729&lt;&gt;"",'Formation Ledger'!V1729=0),"PASS","FAIL")</f>
        <v>PASS</v>
      </c>
      <c r="F1750" s="9" t="s">
        <v>76</v>
      </c>
      <c r="G1750" s="6"/>
      <c r="H1750" s="6"/>
      <c r="I1750" s="6"/>
      <c r="J1750" s="6"/>
      <c r="K1750" s="6"/>
      <c r="L1750" s="6"/>
      <c r="M1750" s="6"/>
      <c r="N1750" s="6"/>
      <c r="O1750" s="6"/>
      <c r="P1750" s="6"/>
      <c r="Q1750" s="6"/>
      <c r="R1750" s="6"/>
      <c r="S1750" s="6"/>
      <c r="T1750" s="6"/>
      <c r="U1750" s="6"/>
      <c r="V1750" s="6"/>
      <c r="W1750" s="6"/>
      <c r="X1750" s="6"/>
      <c r="Y1750" s="6"/>
      <c r="Z1750" s="6"/>
    </row>
    <row r="1751" customFormat="false" ht="15" hidden="false" customHeight="false" outlineLevel="0" collapsed="false">
      <c r="A1751" s="9" t="s">
        <v>7594</v>
      </c>
      <c r="B1751" s="9" t="s">
        <v>5870</v>
      </c>
      <c r="C1751" s="9" t="s">
        <v>1976</v>
      </c>
      <c r="D1751" s="9" t="s">
        <v>5871</v>
      </c>
      <c r="E1751" s="9" t="str">
        <f aca="false">IF(AND('Formation Ledger'!A1730&lt;&gt;"",'Formation Ledger'!V1730=0),"PASS","FAIL")</f>
        <v>PASS</v>
      </c>
      <c r="F1751" s="9" t="s">
        <v>76</v>
      </c>
      <c r="G1751" s="6"/>
      <c r="H1751" s="6"/>
      <c r="I1751" s="6"/>
      <c r="J1751" s="6"/>
      <c r="K1751" s="6"/>
      <c r="L1751" s="6"/>
      <c r="M1751" s="6"/>
      <c r="N1751" s="6"/>
      <c r="O1751" s="6"/>
      <c r="P1751" s="6"/>
      <c r="Q1751" s="6"/>
      <c r="R1751" s="6"/>
      <c r="S1751" s="6"/>
      <c r="T1751" s="6"/>
      <c r="U1751" s="6"/>
      <c r="V1751" s="6"/>
      <c r="W1751" s="6"/>
      <c r="X1751" s="6"/>
      <c r="Y1751" s="6"/>
      <c r="Z1751" s="6"/>
    </row>
    <row r="1752" customFormat="false" ht="15" hidden="false" customHeight="false" outlineLevel="0" collapsed="false">
      <c r="A1752" s="9" t="s">
        <v>7595</v>
      </c>
      <c r="B1752" s="9" t="s">
        <v>5870</v>
      </c>
      <c r="C1752" s="9" t="s">
        <v>1977</v>
      </c>
      <c r="D1752" s="9" t="s">
        <v>5871</v>
      </c>
      <c r="E1752" s="9" t="str">
        <f aca="false">IF(AND('Formation Ledger'!A1731&lt;&gt;"",'Formation Ledger'!V1731=0),"PASS","FAIL")</f>
        <v>PASS</v>
      </c>
      <c r="F1752" s="9" t="s">
        <v>76</v>
      </c>
      <c r="G1752" s="6"/>
      <c r="H1752" s="6"/>
      <c r="I1752" s="6"/>
      <c r="J1752" s="6"/>
      <c r="K1752" s="6"/>
      <c r="L1752" s="6"/>
      <c r="M1752" s="6"/>
      <c r="N1752" s="6"/>
      <c r="O1752" s="6"/>
      <c r="P1752" s="6"/>
      <c r="Q1752" s="6"/>
      <c r="R1752" s="6"/>
      <c r="S1752" s="6"/>
      <c r="T1752" s="6"/>
      <c r="U1752" s="6"/>
      <c r="V1752" s="6"/>
      <c r="W1752" s="6"/>
      <c r="X1752" s="6"/>
      <c r="Y1752" s="6"/>
      <c r="Z1752" s="6"/>
    </row>
    <row r="1753" customFormat="false" ht="15" hidden="false" customHeight="false" outlineLevel="0" collapsed="false">
      <c r="A1753" s="9" t="s">
        <v>7596</v>
      </c>
      <c r="B1753" s="9" t="s">
        <v>5870</v>
      </c>
      <c r="C1753" s="9" t="s">
        <v>1978</v>
      </c>
      <c r="D1753" s="9" t="s">
        <v>5871</v>
      </c>
      <c r="E1753" s="9" t="str">
        <f aca="false">IF(AND('Formation Ledger'!A1732&lt;&gt;"",'Formation Ledger'!V1732=0),"PASS","FAIL")</f>
        <v>PASS</v>
      </c>
      <c r="F1753" s="9" t="s">
        <v>76</v>
      </c>
      <c r="G1753" s="6"/>
      <c r="H1753" s="6"/>
      <c r="I1753" s="6"/>
      <c r="J1753" s="6"/>
      <c r="K1753" s="6"/>
      <c r="L1753" s="6"/>
      <c r="M1753" s="6"/>
      <c r="N1753" s="6"/>
      <c r="O1753" s="6"/>
      <c r="P1753" s="6"/>
      <c r="Q1753" s="6"/>
      <c r="R1753" s="6"/>
      <c r="S1753" s="6"/>
      <c r="T1753" s="6"/>
      <c r="U1753" s="6"/>
      <c r="V1753" s="6"/>
      <c r="W1753" s="6"/>
      <c r="X1753" s="6"/>
      <c r="Y1753" s="6"/>
      <c r="Z1753" s="6"/>
    </row>
    <row r="1754" customFormat="false" ht="15" hidden="false" customHeight="false" outlineLevel="0" collapsed="false">
      <c r="A1754" s="9" t="s">
        <v>7597</v>
      </c>
      <c r="B1754" s="9" t="s">
        <v>5870</v>
      </c>
      <c r="C1754" s="9" t="s">
        <v>1979</v>
      </c>
      <c r="D1754" s="9" t="s">
        <v>5871</v>
      </c>
      <c r="E1754" s="9" t="str">
        <f aca="false">IF(AND('Formation Ledger'!A1733&lt;&gt;"",'Formation Ledger'!V1733=0),"PASS","FAIL")</f>
        <v>PASS</v>
      </c>
      <c r="F1754" s="9" t="s">
        <v>76</v>
      </c>
      <c r="G1754" s="6"/>
      <c r="H1754" s="6"/>
      <c r="I1754" s="6"/>
      <c r="J1754" s="6"/>
      <c r="K1754" s="6"/>
      <c r="L1754" s="6"/>
      <c r="M1754" s="6"/>
      <c r="N1754" s="6"/>
      <c r="O1754" s="6"/>
      <c r="P1754" s="6"/>
      <c r="Q1754" s="6"/>
      <c r="R1754" s="6"/>
      <c r="S1754" s="6"/>
      <c r="T1754" s="6"/>
      <c r="U1754" s="6"/>
      <c r="V1754" s="6"/>
      <c r="W1754" s="6"/>
      <c r="X1754" s="6"/>
      <c r="Y1754" s="6"/>
      <c r="Z1754" s="6"/>
    </row>
    <row r="1755" customFormat="false" ht="15" hidden="false" customHeight="false" outlineLevel="0" collapsed="false">
      <c r="A1755" s="9" t="s">
        <v>7598</v>
      </c>
      <c r="B1755" s="9" t="s">
        <v>5870</v>
      </c>
      <c r="C1755" s="9" t="s">
        <v>1980</v>
      </c>
      <c r="D1755" s="9" t="s">
        <v>5871</v>
      </c>
      <c r="E1755" s="9" t="str">
        <f aca="false">IF(AND('Formation Ledger'!A1734&lt;&gt;"",'Formation Ledger'!V1734=0),"PASS","FAIL")</f>
        <v>PASS</v>
      </c>
      <c r="F1755" s="9" t="s">
        <v>76</v>
      </c>
      <c r="G1755" s="6"/>
      <c r="H1755" s="6"/>
      <c r="I1755" s="6"/>
      <c r="J1755" s="6"/>
      <c r="K1755" s="6"/>
      <c r="L1755" s="6"/>
      <c r="M1755" s="6"/>
      <c r="N1755" s="6"/>
      <c r="O1755" s="6"/>
      <c r="P1755" s="6"/>
      <c r="Q1755" s="6"/>
      <c r="R1755" s="6"/>
      <c r="S1755" s="6"/>
      <c r="T1755" s="6"/>
      <c r="U1755" s="6"/>
      <c r="V1755" s="6"/>
      <c r="W1755" s="6"/>
      <c r="X1755" s="6"/>
      <c r="Y1755" s="6"/>
      <c r="Z1755" s="6"/>
    </row>
    <row r="1756" customFormat="false" ht="15" hidden="false" customHeight="false" outlineLevel="0" collapsed="false">
      <c r="A1756" s="9" t="s">
        <v>7599</v>
      </c>
      <c r="B1756" s="9" t="s">
        <v>5870</v>
      </c>
      <c r="C1756" s="9" t="s">
        <v>1981</v>
      </c>
      <c r="D1756" s="9" t="s">
        <v>5871</v>
      </c>
      <c r="E1756" s="9" t="str">
        <f aca="false">IF(AND('Formation Ledger'!A1735&lt;&gt;"",'Formation Ledger'!V1735=0),"PASS","FAIL")</f>
        <v>PASS</v>
      </c>
      <c r="F1756" s="9" t="s">
        <v>76</v>
      </c>
      <c r="G1756" s="6"/>
      <c r="H1756" s="6"/>
      <c r="I1756" s="6"/>
      <c r="J1756" s="6"/>
      <c r="K1756" s="6"/>
      <c r="L1756" s="6"/>
      <c r="M1756" s="6"/>
      <c r="N1756" s="6"/>
      <c r="O1756" s="6"/>
      <c r="P1756" s="6"/>
      <c r="Q1756" s="6"/>
      <c r="R1756" s="6"/>
      <c r="S1756" s="6"/>
      <c r="T1756" s="6"/>
      <c r="U1756" s="6"/>
      <c r="V1756" s="6"/>
      <c r="W1756" s="6"/>
      <c r="X1756" s="6"/>
      <c r="Y1756" s="6"/>
      <c r="Z1756" s="6"/>
    </row>
    <row r="1757" customFormat="false" ht="15" hidden="false" customHeight="false" outlineLevel="0" collapsed="false">
      <c r="A1757" s="9" t="s">
        <v>7600</v>
      </c>
      <c r="B1757" s="9" t="s">
        <v>5870</v>
      </c>
      <c r="C1757" s="9" t="s">
        <v>1982</v>
      </c>
      <c r="D1757" s="9" t="s">
        <v>5871</v>
      </c>
      <c r="E1757" s="9" t="str">
        <f aca="false">IF(AND('Formation Ledger'!A1736&lt;&gt;"",'Formation Ledger'!V1736=0),"PASS","FAIL")</f>
        <v>PASS</v>
      </c>
      <c r="F1757" s="9" t="s">
        <v>76</v>
      </c>
      <c r="G1757" s="6"/>
      <c r="H1757" s="6"/>
      <c r="I1757" s="6"/>
      <c r="J1757" s="6"/>
      <c r="K1757" s="6"/>
      <c r="L1757" s="6"/>
      <c r="M1757" s="6"/>
      <c r="N1757" s="6"/>
      <c r="O1757" s="6"/>
      <c r="P1757" s="6"/>
      <c r="Q1757" s="6"/>
      <c r="R1757" s="6"/>
      <c r="S1757" s="6"/>
      <c r="T1757" s="6"/>
      <c r="U1757" s="6"/>
      <c r="V1757" s="6"/>
      <c r="W1757" s="6"/>
      <c r="X1757" s="6"/>
      <c r="Y1757" s="6"/>
      <c r="Z1757" s="6"/>
    </row>
    <row r="1758" customFormat="false" ht="15" hidden="false" customHeight="false" outlineLevel="0" collapsed="false">
      <c r="A1758" s="9" t="s">
        <v>7601</v>
      </c>
      <c r="B1758" s="9" t="s">
        <v>5870</v>
      </c>
      <c r="C1758" s="9" t="s">
        <v>1983</v>
      </c>
      <c r="D1758" s="9" t="s">
        <v>5871</v>
      </c>
      <c r="E1758" s="9" t="str">
        <f aca="false">IF(AND('Formation Ledger'!A1737&lt;&gt;"",'Formation Ledger'!V1737=0),"PASS","FAIL")</f>
        <v>PASS</v>
      </c>
      <c r="F1758" s="9" t="s">
        <v>76</v>
      </c>
      <c r="G1758" s="6"/>
      <c r="H1758" s="6"/>
      <c r="I1758" s="6"/>
      <c r="J1758" s="6"/>
      <c r="K1758" s="6"/>
      <c r="L1758" s="6"/>
      <c r="M1758" s="6"/>
      <c r="N1758" s="6"/>
      <c r="O1758" s="6"/>
      <c r="P1758" s="6"/>
      <c r="Q1758" s="6"/>
      <c r="R1758" s="6"/>
      <c r="S1758" s="6"/>
      <c r="T1758" s="6"/>
      <c r="U1758" s="6"/>
      <c r="V1758" s="6"/>
      <c r="W1758" s="6"/>
      <c r="X1758" s="6"/>
      <c r="Y1758" s="6"/>
      <c r="Z1758" s="6"/>
    </row>
    <row r="1759" customFormat="false" ht="15" hidden="false" customHeight="false" outlineLevel="0" collapsed="false">
      <c r="A1759" s="9" t="s">
        <v>7602</v>
      </c>
      <c r="B1759" s="9" t="s">
        <v>5870</v>
      </c>
      <c r="C1759" s="9" t="s">
        <v>1984</v>
      </c>
      <c r="D1759" s="9" t="s">
        <v>5871</v>
      </c>
      <c r="E1759" s="9" t="str">
        <f aca="false">IF(AND('Formation Ledger'!A1738&lt;&gt;"",'Formation Ledger'!V1738=0),"PASS","FAIL")</f>
        <v>PASS</v>
      </c>
      <c r="F1759" s="9" t="s">
        <v>76</v>
      </c>
      <c r="G1759" s="6"/>
      <c r="H1759" s="6"/>
      <c r="I1759" s="6"/>
      <c r="J1759" s="6"/>
      <c r="K1759" s="6"/>
      <c r="L1759" s="6"/>
      <c r="M1759" s="6"/>
      <c r="N1759" s="6"/>
      <c r="O1759" s="6"/>
      <c r="P1759" s="6"/>
      <c r="Q1759" s="6"/>
      <c r="R1759" s="6"/>
      <c r="S1759" s="6"/>
      <c r="T1759" s="6"/>
      <c r="U1759" s="6"/>
      <c r="V1759" s="6"/>
      <c r="W1759" s="6"/>
      <c r="X1759" s="6"/>
      <c r="Y1759" s="6"/>
      <c r="Z1759" s="6"/>
    </row>
    <row r="1760" customFormat="false" ht="15" hidden="false" customHeight="false" outlineLevel="0" collapsed="false">
      <c r="A1760" s="9" t="s">
        <v>7603</v>
      </c>
      <c r="B1760" s="9" t="s">
        <v>5870</v>
      </c>
      <c r="C1760" s="9" t="s">
        <v>1985</v>
      </c>
      <c r="D1760" s="9" t="s">
        <v>5871</v>
      </c>
      <c r="E1760" s="9" t="str">
        <f aca="false">IF(AND('Formation Ledger'!A1739&lt;&gt;"",'Formation Ledger'!V1739=0),"PASS","FAIL")</f>
        <v>PASS</v>
      </c>
      <c r="F1760" s="9" t="s">
        <v>76</v>
      </c>
      <c r="G1760" s="6"/>
      <c r="H1760" s="6"/>
      <c r="I1760" s="6"/>
      <c r="J1760" s="6"/>
      <c r="K1760" s="6"/>
      <c r="L1760" s="6"/>
      <c r="M1760" s="6"/>
      <c r="N1760" s="6"/>
      <c r="O1760" s="6"/>
      <c r="P1760" s="6"/>
      <c r="Q1760" s="6"/>
      <c r="R1760" s="6"/>
      <c r="S1760" s="6"/>
      <c r="T1760" s="6"/>
      <c r="U1760" s="6"/>
      <c r="V1760" s="6"/>
      <c r="W1760" s="6"/>
      <c r="X1760" s="6"/>
      <c r="Y1760" s="6"/>
      <c r="Z1760" s="6"/>
    </row>
    <row r="1761" customFormat="false" ht="15" hidden="false" customHeight="false" outlineLevel="0" collapsed="false">
      <c r="A1761" s="9" t="s">
        <v>7604</v>
      </c>
      <c r="B1761" s="9" t="s">
        <v>5870</v>
      </c>
      <c r="C1761" s="9" t="s">
        <v>1986</v>
      </c>
      <c r="D1761" s="9" t="s">
        <v>5871</v>
      </c>
      <c r="E1761" s="9" t="str">
        <f aca="false">IF(AND('Formation Ledger'!A1740&lt;&gt;"",'Formation Ledger'!V1740=0),"PASS","FAIL")</f>
        <v>PASS</v>
      </c>
      <c r="F1761" s="9" t="s">
        <v>76</v>
      </c>
      <c r="G1761" s="6"/>
      <c r="H1761" s="6"/>
      <c r="I1761" s="6"/>
      <c r="J1761" s="6"/>
      <c r="K1761" s="6"/>
      <c r="L1761" s="6"/>
      <c r="M1761" s="6"/>
      <c r="N1761" s="6"/>
      <c r="O1761" s="6"/>
      <c r="P1761" s="6"/>
      <c r="Q1761" s="6"/>
      <c r="R1761" s="6"/>
      <c r="S1761" s="6"/>
      <c r="T1761" s="6"/>
      <c r="U1761" s="6"/>
      <c r="V1761" s="6"/>
      <c r="W1761" s="6"/>
      <c r="X1761" s="6"/>
      <c r="Y1761" s="6"/>
      <c r="Z1761" s="6"/>
    </row>
    <row r="1762" customFormat="false" ht="15" hidden="false" customHeight="false" outlineLevel="0" collapsed="false">
      <c r="A1762" s="9" t="s">
        <v>7605</v>
      </c>
      <c r="B1762" s="9" t="s">
        <v>5870</v>
      </c>
      <c r="C1762" s="9" t="s">
        <v>1987</v>
      </c>
      <c r="D1762" s="9" t="s">
        <v>5871</v>
      </c>
      <c r="E1762" s="9" t="str">
        <f aca="false">IF(AND('Formation Ledger'!A1741&lt;&gt;"",'Formation Ledger'!V1741=0),"PASS","FAIL")</f>
        <v>PASS</v>
      </c>
      <c r="F1762" s="9" t="s">
        <v>76</v>
      </c>
      <c r="G1762" s="6"/>
      <c r="H1762" s="6"/>
      <c r="I1762" s="6"/>
      <c r="J1762" s="6"/>
      <c r="K1762" s="6"/>
      <c r="L1762" s="6"/>
      <c r="M1762" s="6"/>
      <c r="N1762" s="6"/>
      <c r="O1762" s="6"/>
      <c r="P1762" s="6"/>
      <c r="Q1762" s="6"/>
      <c r="R1762" s="6"/>
      <c r="S1762" s="6"/>
      <c r="T1762" s="6"/>
      <c r="U1762" s="6"/>
      <c r="V1762" s="6"/>
      <c r="W1762" s="6"/>
      <c r="X1762" s="6"/>
      <c r="Y1762" s="6"/>
      <c r="Z1762" s="6"/>
    </row>
    <row r="1763" customFormat="false" ht="15" hidden="false" customHeight="false" outlineLevel="0" collapsed="false">
      <c r="A1763" s="9" t="s">
        <v>7606</v>
      </c>
      <c r="B1763" s="9" t="s">
        <v>5870</v>
      </c>
      <c r="C1763" s="9" t="s">
        <v>1988</v>
      </c>
      <c r="D1763" s="9" t="s">
        <v>5871</v>
      </c>
      <c r="E1763" s="9" t="str">
        <f aca="false">IF(AND('Formation Ledger'!A1742&lt;&gt;"",'Formation Ledger'!V1742=0),"PASS","FAIL")</f>
        <v>PASS</v>
      </c>
      <c r="F1763" s="9" t="s">
        <v>76</v>
      </c>
      <c r="G1763" s="6"/>
      <c r="H1763" s="6"/>
      <c r="I1763" s="6"/>
      <c r="J1763" s="6"/>
      <c r="K1763" s="6"/>
      <c r="L1763" s="6"/>
      <c r="M1763" s="6"/>
      <c r="N1763" s="6"/>
      <c r="O1763" s="6"/>
      <c r="P1763" s="6"/>
      <c r="Q1763" s="6"/>
      <c r="R1763" s="6"/>
      <c r="S1763" s="6"/>
      <c r="T1763" s="6"/>
      <c r="U1763" s="6"/>
      <c r="V1763" s="6"/>
      <c r="W1763" s="6"/>
      <c r="X1763" s="6"/>
      <c r="Y1763" s="6"/>
      <c r="Z1763" s="6"/>
    </row>
    <row r="1764" customFormat="false" ht="15" hidden="false" customHeight="false" outlineLevel="0" collapsed="false">
      <c r="A1764" s="9" t="s">
        <v>7607</v>
      </c>
      <c r="B1764" s="9" t="s">
        <v>5870</v>
      </c>
      <c r="C1764" s="9" t="s">
        <v>1989</v>
      </c>
      <c r="D1764" s="9" t="s">
        <v>5871</v>
      </c>
      <c r="E1764" s="9" t="str">
        <f aca="false">IF(AND('Formation Ledger'!A1743&lt;&gt;"",'Formation Ledger'!V1743=0),"PASS","FAIL")</f>
        <v>PASS</v>
      </c>
      <c r="F1764" s="9" t="s">
        <v>76</v>
      </c>
      <c r="G1764" s="6"/>
      <c r="H1764" s="6"/>
      <c r="I1764" s="6"/>
      <c r="J1764" s="6"/>
      <c r="K1764" s="6"/>
      <c r="L1764" s="6"/>
      <c r="M1764" s="6"/>
      <c r="N1764" s="6"/>
      <c r="O1764" s="6"/>
      <c r="P1764" s="6"/>
      <c r="Q1764" s="6"/>
      <c r="R1764" s="6"/>
      <c r="S1764" s="6"/>
      <c r="T1764" s="6"/>
      <c r="U1764" s="6"/>
      <c r="V1764" s="6"/>
      <c r="W1764" s="6"/>
      <c r="X1764" s="6"/>
      <c r="Y1764" s="6"/>
      <c r="Z1764" s="6"/>
    </row>
    <row r="1765" customFormat="false" ht="15" hidden="false" customHeight="false" outlineLevel="0" collapsed="false">
      <c r="A1765" s="9" t="s">
        <v>7608</v>
      </c>
      <c r="B1765" s="9" t="s">
        <v>5870</v>
      </c>
      <c r="C1765" s="9" t="s">
        <v>1990</v>
      </c>
      <c r="D1765" s="9" t="s">
        <v>5871</v>
      </c>
      <c r="E1765" s="9" t="str">
        <f aca="false">IF(AND('Formation Ledger'!A1744&lt;&gt;"",'Formation Ledger'!V1744=0),"PASS","FAIL")</f>
        <v>PASS</v>
      </c>
      <c r="F1765" s="9" t="s">
        <v>76</v>
      </c>
      <c r="G1765" s="6"/>
      <c r="H1765" s="6"/>
      <c r="I1765" s="6"/>
      <c r="J1765" s="6"/>
      <c r="K1765" s="6"/>
      <c r="L1765" s="6"/>
      <c r="M1765" s="6"/>
      <c r="N1765" s="6"/>
      <c r="O1765" s="6"/>
      <c r="P1765" s="6"/>
      <c r="Q1765" s="6"/>
      <c r="R1765" s="6"/>
      <c r="S1765" s="6"/>
      <c r="T1765" s="6"/>
      <c r="U1765" s="6"/>
      <c r="V1765" s="6"/>
      <c r="W1765" s="6"/>
      <c r="X1765" s="6"/>
      <c r="Y1765" s="6"/>
      <c r="Z1765" s="6"/>
    </row>
    <row r="1766" customFormat="false" ht="15" hidden="false" customHeight="false" outlineLevel="0" collapsed="false">
      <c r="A1766" s="9" t="s">
        <v>7609</v>
      </c>
      <c r="B1766" s="9" t="s">
        <v>5870</v>
      </c>
      <c r="C1766" s="9" t="s">
        <v>1991</v>
      </c>
      <c r="D1766" s="9" t="s">
        <v>5871</v>
      </c>
      <c r="E1766" s="9" t="str">
        <f aca="false">IF(AND('Formation Ledger'!A1745&lt;&gt;"",'Formation Ledger'!V1745=0),"PASS","FAIL")</f>
        <v>PASS</v>
      </c>
      <c r="F1766" s="9" t="s">
        <v>76</v>
      </c>
      <c r="G1766" s="6"/>
      <c r="H1766" s="6"/>
      <c r="I1766" s="6"/>
      <c r="J1766" s="6"/>
      <c r="K1766" s="6"/>
      <c r="L1766" s="6"/>
      <c r="M1766" s="6"/>
      <c r="N1766" s="6"/>
      <c r="O1766" s="6"/>
      <c r="P1766" s="6"/>
      <c r="Q1766" s="6"/>
      <c r="R1766" s="6"/>
      <c r="S1766" s="6"/>
      <c r="T1766" s="6"/>
      <c r="U1766" s="6"/>
      <c r="V1766" s="6"/>
      <c r="W1766" s="6"/>
      <c r="X1766" s="6"/>
      <c r="Y1766" s="6"/>
      <c r="Z1766" s="6"/>
    </row>
    <row r="1767" customFormat="false" ht="15" hidden="false" customHeight="false" outlineLevel="0" collapsed="false">
      <c r="A1767" s="9" t="s">
        <v>7610</v>
      </c>
      <c r="B1767" s="9" t="s">
        <v>5870</v>
      </c>
      <c r="C1767" s="9" t="s">
        <v>1992</v>
      </c>
      <c r="D1767" s="9" t="s">
        <v>5871</v>
      </c>
      <c r="E1767" s="9" t="str">
        <f aca="false">IF(AND('Formation Ledger'!A1746&lt;&gt;"",'Formation Ledger'!V1746=0),"PASS","FAIL")</f>
        <v>PASS</v>
      </c>
      <c r="F1767" s="9" t="s">
        <v>76</v>
      </c>
      <c r="G1767" s="6"/>
      <c r="H1767" s="6"/>
      <c r="I1767" s="6"/>
      <c r="J1767" s="6"/>
      <c r="K1767" s="6"/>
      <c r="L1767" s="6"/>
      <c r="M1767" s="6"/>
      <c r="N1767" s="6"/>
      <c r="O1767" s="6"/>
      <c r="P1767" s="6"/>
      <c r="Q1767" s="6"/>
      <c r="R1767" s="6"/>
      <c r="S1767" s="6"/>
      <c r="T1767" s="6"/>
      <c r="U1767" s="6"/>
      <c r="V1767" s="6"/>
      <c r="W1767" s="6"/>
      <c r="X1767" s="6"/>
      <c r="Y1767" s="6"/>
      <c r="Z1767" s="6"/>
    </row>
    <row r="1768" customFormat="false" ht="15" hidden="false" customHeight="false" outlineLevel="0" collapsed="false">
      <c r="A1768" s="9" t="s">
        <v>7611</v>
      </c>
      <c r="B1768" s="9" t="s">
        <v>5870</v>
      </c>
      <c r="C1768" s="9" t="s">
        <v>1993</v>
      </c>
      <c r="D1768" s="9" t="s">
        <v>5871</v>
      </c>
      <c r="E1768" s="9" t="str">
        <f aca="false">IF(AND('Formation Ledger'!A1747&lt;&gt;"",'Formation Ledger'!V1747=0),"PASS","FAIL")</f>
        <v>PASS</v>
      </c>
      <c r="F1768" s="9" t="s">
        <v>76</v>
      </c>
      <c r="G1768" s="6"/>
      <c r="H1768" s="6"/>
      <c r="I1768" s="6"/>
      <c r="J1768" s="6"/>
      <c r="K1768" s="6"/>
      <c r="L1768" s="6"/>
      <c r="M1768" s="6"/>
      <c r="N1768" s="6"/>
      <c r="O1768" s="6"/>
      <c r="P1768" s="6"/>
      <c r="Q1768" s="6"/>
      <c r="R1768" s="6"/>
      <c r="S1768" s="6"/>
      <c r="T1768" s="6"/>
      <c r="U1768" s="6"/>
      <c r="V1768" s="6"/>
      <c r="W1768" s="6"/>
      <c r="X1768" s="6"/>
      <c r="Y1768" s="6"/>
      <c r="Z1768" s="6"/>
    </row>
    <row r="1769" customFormat="false" ht="15" hidden="false" customHeight="false" outlineLevel="0" collapsed="false">
      <c r="A1769" s="9" t="s">
        <v>7612</v>
      </c>
      <c r="B1769" s="9" t="s">
        <v>5870</v>
      </c>
      <c r="C1769" s="9" t="s">
        <v>1994</v>
      </c>
      <c r="D1769" s="9" t="s">
        <v>5871</v>
      </c>
      <c r="E1769" s="9" t="str">
        <f aca="false">IF(AND('Formation Ledger'!A1748&lt;&gt;"",'Formation Ledger'!V1748=0),"PASS","FAIL")</f>
        <v>PASS</v>
      </c>
      <c r="F1769" s="9" t="s">
        <v>76</v>
      </c>
      <c r="G1769" s="6"/>
      <c r="H1769" s="6"/>
      <c r="I1769" s="6"/>
      <c r="J1769" s="6"/>
      <c r="K1769" s="6"/>
      <c r="L1769" s="6"/>
      <c r="M1769" s="6"/>
      <c r="N1769" s="6"/>
      <c r="O1769" s="6"/>
      <c r="P1769" s="6"/>
      <c r="Q1769" s="6"/>
      <c r="R1769" s="6"/>
      <c r="S1769" s="6"/>
      <c r="T1769" s="6"/>
      <c r="U1769" s="6"/>
      <c r="V1769" s="6"/>
      <c r="W1769" s="6"/>
      <c r="X1769" s="6"/>
      <c r="Y1769" s="6"/>
      <c r="Z1769" s="6"/>
    </row>
    <row r="1770" customFormat="false" ht="15" hidden="false" customHeight="false" outlineLevel="0" collapsed="false">
      <c r="A1770" s="9" t="s">
        <v>7613</v>
      </c>
      <c r="B1770" s="9" t="s">
        <v>5870</v>
      </c>
      <c r="C1770" s="9" t="s">
        <v>1995</v>
      </c>
      <c r="D1770" s="9" t="s">
        <v>5871</v>
      </c>
      <c r="E1770" s="9" t="str">
        <f aca="false">IF(AND('Formation Ledger'!A1749&lt;&gt;"",'Formation Ledger'!V1749=0),"PASS","FAIL")</f>
        <v>PASS</v>
      </c>
      <c r="F1770" s="9" t="s">
        <v>76</v>
      </c>
      <c r="G1770" s="6"/>
      <c r="H1770" s="6"/>
      <c r="I1770" s="6"/>
      <c r="J1770" s="6"/>
      <c r="K1770" s="6"/>
      <c r="L1770" s="6"/>
      <c r="M1770" s="6"/>
      <c r="N1770" s="6"/>
      <c r="O1770" s="6"/>
      <c r="P1770" s="6"/>
      <c r="Q1770" s="6"/>
      <c r="R1770" s="6"/>
      <c r="S1770" s="6"/>
      <c r="T1770" s="6"/>
      <c r="U1770" s="6"/>
      <c r="V1770" s="6"/>
      <c r="W1770" s="6"/>
      <c r="X1770" s="6"/>
      <c r="Y1770" s="6"/>
      <c r="Z1770" s="6"/>
    </row>
    <row r="1771" customFormat="false" ht="15" hidden="false" customHeight="false" outlineLevel="0" collapsed="false">
      <c r="A1771" s="9" t="s">
        <v>7614</v>
      </c>
      <c r="B1771" s="9" t="s">
        <v>5870</v>
      </c>
      <c r="C1771" s="9" t="s">
        <v>1996</v>
      </c>
      <c r="D1771" s="9" t="s">
        <v>5871</v>
      </c>
      <c r="E1771" s="9" t="str">
        <f aca="false">IF(AND('Formation Ledger'!A1750&lt;&gt;"",'Formation Ledger'!V1750=0),"PASS","FAIL")</f>
        <v>PASS</v>
      </c>
      <c r="F1771" s="9" t="s">
        <v>76</v>
      </c>
      <c r="G1771" s="6"/>
      <c r="H1771" s="6"/>
      <c r="I1771" s="6"/>
      <c r="J1771" s="6"/>
      <c r="K1771" s="6"/>
      <c r="L1771" s="6"/>
      <c r="M1771" s="6"/>
      <c r="N1771" s="6"/>
      <c r="O1771" s="6"/>
      <c r="P1771" s="6"/>
      <c r="Q1771" s="6"/>
      <c r="R1771" s="6"/>
      <c r="S1771" s="6"/>
      <c r="T1771" s="6"/>
      <c r="U1771" s="6"/>
      <c r="V1771" s="6"/>
      <c r="W1771" s="6"/>
      <c r="X1771" s="6"/>
      <c r="Y1771" s="6"/>
      <c r="Z1771" s="6"/>
    </row>
    <row r="1772" customFormat="false" ht="15" hidden="false" customHeight="false" outlineLevel="0" collapsed="false">
      <c r="A1772" s="9" t="s">
        <v>7615</v>
      </c>
      <c r="B1772" s="9" t="s">
        <v>5870</v>
      </c>
      <c r="C1772" s="9" t="s">
        <v>1997</v>
      </c>
      <c r="D1772" s="9" t="s">
        <v>5871</v>
      </c>
      <c r="E1772" s="9" t="str">
        <f aca="false">IF(AND('Formation Ledger'!A1751&lt;&gt;"",'Formation Ledger'!V1751=0),"PASS","FAIL")</f>
        <v>PASS</v>
      </c>
      <c r="F1772" s="9" t="s">
        <v>76</v>
      </c>
      <c r="G1772" s="6"/>
      <c r="H1772" s="6"/>
      <c r="I1772" s="6"/>
      <c r="J1772" s="6"/>
      <c r="K1772" s="6"/>
      <c r="L1772" s="6"/>
      <c r="M1772" s="6"/>
      <c r="N1772" s="6"/>
      <c r="O1772" s="6"/>
      <c r="P1772" s="6"/>
      <c r="Q1772" s="6"/>
      <c r="R1772" s="6"/>
      <c r="S1772" s="6"/>
      <c r="T1772" s="6"/>
      <c r="U1772" s="6"/>
      <c r="V1772" s="6"/>
      <c r="W1772" s="6"/>
      <c r="X1772" s="6"/>
      <c r="Y1772" s="6"/>
      <c r="Z1772" s="6"/>
    </row>
    <row r="1773" customFormat="false" ht="15" hidden="false" customHeight="false" outlineLevel="0" collapsed="false">
      <c r="A1773" s="9" t="s">
        <v>7616</v>
      </c>
      <c r="B1773" s="9" t="s">
        <v>5870</v>
      </c>
      <c r="C1773" s="9" t="s">
        <v>1998</v>
      </c>
      <c r="D1773" s="9" t="s">
        <v>5871</v>
      </c>
      <c r="E1773" s="9" t="str">
        <f aca="false">IF(AND('Formation Ledger'!A1752&lt;&gt;"",'Formation Ledger'!V1752=0),"PASS","FAIL")</f>
        <v>PASS</v>
      </c>
      <c r="F1773" s="9" t="s">
        <v>76</v>
      </c>
      <c r="G1773" s="6"/>
      <c r="H1773" s="6"/>
      <c r="I1773" s="6"/>
      <c r="J1773" s="6"/>
      <c r="K1773" s="6"/>
      <c r="L1773" s="6"/>
      <c r="M1773" s="6"/>
      <c r="N1773" s="6"/>
      <c r="O1773" s="6"/>
      <c r="P1773" s="6"/>
      <c r="Q1773" s="6"/>
      <c r="R1773" s="6"/>
      <c r="S1773" s="6"/>
      <c r="T1773" s="6"/>
      <c r="U1773" s="6"/>
      <c r="V1773" s="6"/>
      <c r="W1773" s="6"/>
      <c r="X1773" s="6"/>
      <c r="Y1773" s="6"/>
      <c r="Z1773" s="6"/>
    </row>
    <row r="1774" customFormat="false" ht="15" hidden="false" customHeight="false" outlineLevel="0" collapsed="false">
      <c r="A1774" s="9" t="s">
        <v>7617</v>
      </c>
      <c r="B1774" s="9" t="s">
        <v>5870</v>
      </c>
      <c r="C1774" s="9" t="s">
        <v>1999</v>
      </c>
      <c r="D1774" s="9" t="s">
        <v>5871</v>
      </c>
      <c r="E1774" s="9" t="str">
        <f aca="false">IF(AND('Formation Ledger'!A1753&lt;&gt;"",'Formation Ledger'!V1753=0),"PASS","FAIL")</f>
        <v>PASS</v>
      </c>
      <c r="F1774" s="9" t="s">
        <v>76</v>
      </c>
      <c r="G1774" s="6"/>
      <c r="H1774" s="6"/>
      <c r="I1774" s="6"/>
      <c r="J1774" s="6"/>
      <c r="K1774" s="6"/>
      <c r="L1774" s="6"/>
      <c r="M1774" s="6"/>
      <c r="N1774" s="6"/>
      <c r="O1774" s="6"/>
      <c r="P1774" s="6"/>
      <c r="Q1774" s="6"/>
      <c r="R1774" s="6"/>
      <c r="S1774" s="6"/>
      <c r="T1774" s="6"/>
      <c r="U1774" s="6"/>
      <c r="V1774" s="6"/>
      <c r="W1774" s="6"/>
      <c r="X1774" s="6"/>
      <c r="Y1774" s="6"/>
      <c r="Z1774" s="6"/>
    </row>
    <row r="1775" customFormat="false" ht="15" hidden="false" customHeight="false" outlineLevel="0" collapsed="false">
      <c r="A1775" s="9" t="s">
        <v>7618</v>
      </c>
      <c r="B1775" s="9" t="s">
        <v>5870</v>
      </c>
      <c r="C1775" s="9" t="s">
        <v>2000</v>
      </c>
      <c r="D1775" s="9" t="s">
        <v>5871</v>
      </c>
      <c r="E1775" s="9" t="str">
        <f aca="false">IF(AND('Formation Ledger'!A1754&lt;&gt;"",'Formation Ledger'!V1754=0),"PASS","FAIL")</f>
        <v>PASS</v>
      </c>
      <c r="F1775" s="9" t="s">
        <v>76</v>
      </c>
      <c r="G1775" s="6"/>
      <c r="H1775" s="6"/>
      <c r="I1775" s="6"/>
      <c r="J1775" s="6"/>
      <c r="K1775" s="6"/>
      <c r="L1775" s="6"/>
      <c r="M1775" s="6"/>
      <c r="N1775" s="6"/>
      <c r="O1775" s="6"/>
      <c r="P1775" s="6"/>
      <c r="Q1775" s="6"/>
      <c r="R1775" s="6"/>
      <c r="S1775" s="6"/>
      <c r="T1775" s="6"/>
      <c r="U1775" s="6"/>
      <c r="V1775" s="6"/>
      <c r="W1775" s="6"/>
      <c r="X1775" s="6"/>
      <c r="Y1775" s="6"/>
      <c r="Z1775" s="6"/>
    </row>
    <row r="1776" customFormat="false" ht="15" hidden="false" customHeight="false" outlineLevel="0" collapsed="false">
      <c r="A1776" s="9" t="s">
        <v>7619</v>
      </c>
      <c r="B1776" s="9" t="s">
        <v>5870</v>
      </c>
      <c r="C1776" s="9" t="s">
        <v>2001</v>
      </c>
      <c r="D1776" s="9" t="s">
        <v>5871</v>
      </c>
      <c r="E1776" s="9" t="str">
        <f aca="false">IF(AND('Formation Ledger'!A1755&lt;&gt;"",'Formation Ledger'!V1755=0),"PASS","FAIL")</f>
        <v>PASS</v>
      </c>
      <c r="F1776" s="9" t="s">
        <v>76</v>
      </c>
      <c r="G1776" s="6"/>
      <c r="H1776" s="6"/>
      <c r="I1776" s="6"/>
      <c r="J1776" s="6"/>
      <c r="K1776" s="6"/>
      <c r="L1776" s="6"/>
      <c r="M1776" s="6"/>
      <c r="N1776" s="6"/>
      <c r="O1776" s="6"/>
      <c r="P1776" s="6"/>
      <c r="Q1776" s="6"/>
      <c r="R1776" s="6"/>
      <c r="S1776" s="6"/>
      <c r="T1776" s="6"/>
      <c r="U1776" s="6"/>
      <c r="V1776" s="6"/>
      <c r="W1776" s="6"/>
      <c r="X1776" s="6"/>
      <c r="Y1776" s="6"/>
      <c r="Z1776" s="6"/>
    </row>
    <row r="1777" customFormat="false" ht="15" hidden="false" customHeight="false" outlineLevel="0" collapsed="false">
      <c r="A1777" s="9" t="s">
        <v>7620</v>
      </c>
      <c r="B1777" s="9" t="s">
        <v>5870</v>
      </c>
      <c r="C1777" s="9" t="s">
        <v>2002</v>
      </c>
      <c r="D1777" s="9" t="s">
        <v>5871</v>
      </c>
      <c r="E1777" s="9" t="str">
        <f aca="false">IF(AND('Formation Ledger'!A1756&lt;&gt;"",'Formation Ledger'!V1756=0),"PASS","FAIL")</f>
        <v>PASS</v>
      </c>
      <c r="F1777" s="9" t="s">
        <v>76</v>
      </c>
      <c r="G1777" s="6"/>
      <c r="H1777" s="6"/>
      <c r="I1777" s="6"/>
      <c r="J1777" s="6"/>
      <c r="K1777" s="6"/>
      <c r="L1777" s="6"/>
      <c r="M1777" s="6"/>
      <c r="N1777" s="6"/>
      <c r="O1777" s="6"/>
      <c r="P1777" s="6"/>
      <c r="Q1777" s="6"/>
      <c r="R1777" s="6"/>
      <c r="S1777" s="6"/>
      <c r="T1777" s="6"/>
      <c r="U1777" s="6"/>
      <c r="V1777" s="6"/>
      <c r="W1777" s="6"/>
      <c r="X1777" s="6"/>
      <c r="Y1777" s="6"/>
      <c r="Z1777" s="6"/>
    </row>
    <row r="1778" customFormat="false" ht="15" hidden="false" customHeight="false" outlineLevel="0" collapsed="false">
      <c r="A1778" s="9" t="s">
        <v>7621</v>
      </c>
      <c r="B1778" s="9" t="s">
        <v>5870</v>
      </c>
      <c r="C1778" s="9" t="s">
        <v>2003</v>
      </c>
      <c r="D1778" s="9" t="s">
        <v>5871</v>
      </c>
      <c r="E1778" s="9" t="str">
        <f aca="false">IF(AND('Formation Ledger'!A1757&lt;&gt;"",'Formation Ledger'!V1757=0),"PASS","FAIL")</f>
        <v>PASS</v>
      </c>
      <c r="F1778" s="9" t="s">
        <v>76</v>
      </c>
      <c r="G1778" s="6"/>
      <c r="H1778" s="6"/>
      <c r="I1778" s="6"/>
      <c r="J1778" s="6"/>
      <c r="K1778" s="6"/>
      <c r="L1778" s="6"/>
      <c r="M1778" s="6"/>
      <c r="N1778" s="6"/>
      <c r="O1778" s="6"/>
      <c r="P1778" s="6"/>
      <c r="Q1778" s="6"/>
      <c r="R1778" s="6"/>
      <c r="S1778" s="6"/>
      <c r="T1778" s="6"/>
      <c r="U1778" s="6"/>
      <c r="V1778" s="6"/>
      <c r="W1778" s="6"/>
      <c r="X1778" s="6"/>
      <c r="Y1778" s="6"/>
      <c r="Z1778" s="6"/>
    </row>
    <row r="1779" customFormat="false" ht="15" hidden="false" customHeight="false" outlineLevel="0" collapsed="false">
      <c r="A1779" s="9" t="s">
        <v>7622</v>
      </c>
      <c r="B1779" s="9" t="s">
        <v>5870</v>
      </c>
      <c r="C1779" s="9" t="s">
        <v>2004</v>
      </c>
      <c r="D1779" s="9" t="s">
        <v>5871</v>
      </c>
      <c r="E1779" s="9" t="str">
        <f aca="false">IF(AND('Formation Ledger'!A1758&lt;&gt;"",'Formation Ledger'!V1758=0),"PASS","FAIL")</f>
        <v>PASS</v>
      </c>
      <c r="F1779" s="9" t="s">
        <v>76</v>
      </c>
      <c r="G1779" s="6"/>
      <c r="H1779" s="6"/>
      <c r="I1779" s="6"/>
      <c r="J1779" s="6"/>
      <c r="K1779" s="6"/>
      <c r="L1779" s="6"/>
      <c r="M1779" s="6"/>
      <c r="N1779" s="6"/>
      <c r="O1779" s="6"/>
      <c r="P1779" s="6"/>
      <c r="Q1779" s="6"/>
      <c r="R1779" s="6"/>
      <c r="S1779" s="6"/>
      <c r="T1779" s="6"/>
      <c r="U1779" s="6"/>
      <c r="V1779" s="6"/>
      <c r="W1779" s="6"/>
      <c r="X1779" s="6"/>
      <c r="Y1779" s="6"/>
      <c r="Z1779" s="6"/>
    </row>
    <row r="1780" customFormat="false" ht="15" hidden="false" customHeight="false" outlineLevel="0" collapsed="false">
      <c r="A1780" s="9" t="s">
        <v>7623</v>
      </c>
      <c r="B1780" s="9" t="s">
        <v>5870</v>
      </c>
      <c r="C1780" s="9" t="s">
        <v>2005</v>
      </c>
      <c r="D1780" s="9" t="s">
        <v>5871</v>
      </c>
      <c r="E1780" s="9" t="str">
        <f aca="false">IF(AND('Formation Ledger'!A1759&lt;&gt;"",'Formation Ledger'!V1759=0),"PASS","FAIL")</f>
        <v>PASS</v>
      </c>
      <c r="F1780" s="9" t="s">
        <v>76</v>
      </c>
      <c r="G1780" s="6"/>
      <c r="H1780" s="6"/>
      <c r="I1780" s="6"/>
      <c r="J1780" s="6"/>
      <c r="K1780" s="6"/>
      <c r="L1780" s="6"/>
      <c r="M1780" s="6"/>
      <c r="N1780" s="6"/>
      <c r="O1780" s="6"/>
      <c r="P1780" s="6"/>
      <c r="Q1780" s="6"/>
      <c r="R1780" s="6"/>
      <c r="S1780" s="6"/>
      <c r="T1780" s="6"/>
      <c r="U1780" s="6"/>
      <c r="V1780" s="6"/>
      <c r="W1780" s="6"/>
      <c r="X1780" s="6"/>
      <c r="Y1780" s="6"/>
      <c r="Z1780" s="6"/>
    </row>
    <row r="1781" customFormat="false" ht="15" hidden="false" customHeight="false" outlineLevel="0" collapsed="false">
      <c r="A1781" s="9" t="s">
        <v>7624</v>
      </c>
      <c r="B1781" s="9" t="s">
        <v>5870</v>
      </c>
      <c r="C1781" s="9" t="s">
        <v>2006</v>
      </c>
      <c r="D1781" s="9" t="s">
        <v>5871</v>
      </c>
      <c r="E1781" s="9" t="str">
        <f aca="false">IF(AND('Formation Ledger'!A1760&lt;&gt;"",'Formation Ledger'!V1760=0),"PASS","FAIL")</f>
        <v>PASS</v>
      </c>
      <c r="F1781" s="9" t="s">
        <v>76</v>
      </c>
      <c r="G1781" s="6"/>
      <c r="H1781" s="6"/>
      <c r="I1781" s="6"/>
      <c r="J1781" s="6"/>
      <c r="K1781" s="6"/>
      <c r="L1781" s="6"/>
      <c r="M1781" s="6"/>
      <c r="N1781" s="6"/>
      <c r="O1781" s="6"/>
      <c r="P1781" s="6"/>
      <c r="Q1781" s="6"/>
      <c r="R1781" s="6"/>
      <c r="S1781" s="6"/>
      <c r="T1781" s="6"/>
      <c r="U1781" s="6"/>
      <c r="V1781" s="6"/>
      <c r="W1781" s="6"/>
      <c r="X1781" s="6"/>
      <c r="Y1781" s="6"/>
      <c r="Z1781" s="6"/>
    </row>
    <row r="1782" customFormat="false" ht="15" hidden="false" customHeight="false" outlineLevel="0" collapsed="false">
      <c r="A1782" s="9" t="s">
        <v>7625</v>
      </c>
      <c r="B1782" s="9" t="s">
        <v>5870</v>
      </c>
      <c r="C1782" s="9" t="s">
        <v>2007</v>
      </c>
      <c r="D1782" s="9" t="s">
        <v>5871</v>
      </c>
      <c r="E1782" s="9" t="str">
        <f aca="false">IF(AND('Formation Ledger'!A1761&lt;&gt;"",'Formation Ledger'!V1761=0),"PASS","FAIL")</f>
        <v>PASS</v>
      </c>
      <c r="F1782" s="9" t="s">
        <v>76</v>
      </c>
      <c r="G1782" s="6"/>
      <c r="H1782" s="6"/>
      <c r="I1782" s="6"/>
      <c r="J1782" s="6"/>
      <c r="K1782" s="6"/>
      <c r="L1782" s="6"/>
      <c r="M1782" s="6"/>
      <c r="N1782" s="6"/>
      <c r="O1782" s="6"/>
      <c r="P1782" s="6"/>
      <c r="Q1782" s="6"/>
      <c r="R1782" s="6"/>
      <c r="S1782" s="6"/>
      <c r="T1782" s="6"/>
      <c r="U1782" s="6"/>
      <c r="V1782" s="6"/>
      <c r="W1782" s="6"/>
      <c r="X1782" s="6"/>
      <c r="Y1782" s="6"/>
      <c r="Z1782" s="6"/>
    </row>
    <row r="1783" customFormat="false" ht="15" hidden="false" customHeight="false" outlineLevel="0" collapsed="false">
      <c r="A1783" s="9" t="s">
        <v>7626</v>
      </c>
      <c r="B1783" s="9" t="s">
        <v>5870</v>
      </c>
      <c r="C1783" s="9" t="s">
        <v>2008</v>
      </c>
      <c r="D1783" s="9" t="s">
        <v>5871</v>
      </c>
      <c r="E1783" s="9" t="str">
        <f aca="false">IF(AND('Formation Ledger'!A1762&lt;&gt;"",'Formation Ledger'!V1762=0),"PASS","FAIL")</f>
        <v>PASS</v>
      </c>
      <c r="F1783" s="9" t="s">
        <v>76</v>
      </c>
      <c r="G1783" s="6"/>
      <c r="H1783" s="6"/>
      <c r="I1783" s="6"/>
      <c r="J1783" s="6"/>
      <c r="K1783" s="6"/>
      <c r="L1783" s="6"/>
      <c r="M1783" s="6"/>
      <c r="N1783" s="6"/>
      <c r="O1783" s="6"/>
      <c r="P1783" s="6"/>
      <c r="Q1783" s="6"/>
      <c r="R1783" s="6"/>
      <c r="S1783" s="6"/>
      <c r="T1783" s="6"/>
      <c r="U1783" s="6"/>
      <c r="V1783" s="6"/>
      <c r="W1783" s="6"/>
      <c r="X1783" s="6"/>
      <c r="Y1783" s="6"/>
      <c r="Z1783" s="6"/>
    </row>
    <row r="1784" customFormat="false" ht="15" hidden="false" customHeight="false" outlineLevel="0" collapsed="false">
      <c r="A1784" s="9" t="s">
        <v>7627</v>
      </c>
      <c r="B1784" s="9" t="s">
        <v>5870</v>
      </c>
      <c r="C1784" s="9" t="s">
        <v>2009</v>
      </c>
      <c r="D1784" s="9" t="s">
        <v>5871</v>
      </c>
      <c r="E1784" s="9" t="str">
        <f aca="false">IF(AND('Formation Ledger'!A1763&lt;&gt;"",'Formation Ledger'!V1763=0),"PASS","FAIL")</f>
        <v>PASS</v>
      </c>
      <c r="F1784" s="9" t="s">
        <v>76</v>
      </c>
      <c r="G1784" s="6"/>
      <c r="H1784" s="6"/>
      <c r="I1784" s="6"/>
      <c r="J1784" s="6"/>
      <c r="K1784" s="6"/>
      <c r="L1784" s="6"/>
      <c r="M1784" s="6"/>
      <c r="N1784" s="6"/>
      <c r="O1784" s="6"/>
      <c r="P1784" s="6"/>
      <c r="Q1784" s="6"/>
      <c r="R1784" s="6"/>
      <c r="S1784" s="6"/>
      <c r="T1784" s="6"/>
      <c r="U1784" s="6"/>
      <c r="V1784" s="6"/>
      <c r="W1784" s="6"/>
      <c r="X1784" s="6"/>
      <c r="Y1784" s="6"/>
      <c r="Z1784" s="6"/>
    </row>
    <row r="1785" customFormat="false" ht="15" hidden="false" customHeight="false" outlineLevel="0" collapsed="false">
      <c r="A1785" s="9" t="s">
        <v>7628</v>
      </c>
      <c r="B1785" s="9" t="s">
        <v>5870</v>
      </c>
      <c r="C1785" s="9" t="s">
        <v>2010</v>
      </c>
      <c r="D1785" s="9" t="s">
        <v>5871</v>
      </c>
      <c r="E1785" s="9" t="str">
        <f aca="false">IF(AND('Formation Ledger'!A1764&lt;&gt;"",'Formation Ledger'!V1764=0),"PASS","FAIL")</f>
        <v>PASS</v>
      </c>
      <c r="F1785" s="9" t="s">
        <v>76</v>
      </c>
      <c r="G1785" s="6"/>
      <c r="H1785" s="6"/>
      <c r="I1785" s="6"/>
      <c r="J1785" s="6"/>
      <c r="K1785" s="6"/>
      <c r="L1785" s="6"/>
      <c r="M1785" s="6"/>
      <c r="N1785" s="6"/>
      <c r="O1785" s="6"/>
      <c r="P1785" s="6"/>
      <c r="Q1785" s="6"/>
      <c r="R1785" s="6"/>
      <c r="S1785" s="6"/>
      <c r="T1785" s="6"/>
      <c r="U1785" s="6"/>
      <c r="V1785" s="6"/>
      <c r="W1785" s="6"/>
      <c r="X1785" s="6"/>
      <c r="Y1785" s="6"/>
      <c r="Z1785" s="6"/>
    </row>
    <row r="1786" customFormat="false" ht="15" hidden="false" customHeight="false" outlineLevel="0" collapsed="false">
      <c r="A1786" s="9" t="s">
        <v>7629</v>
      </c>
      <c r="B1786" s="9" t="s">
        <v>5870</v>
      </c>
      <c r="C1786" s="9" t="s">
        <v>2011</v>
      </c>
      <c r="D1786" s="9" t="s">
        <v>5871</v>
      </c>
      <c r="E1786" s="9" t="str">
        <f aca="false">IF(AND('Formation Ledger'!A1765&lt;&gt;"",'Formation Ledger'!V1765=0),"PASS","FAIL")</f>
        <v>PASS</v>
      </c>
      <c r="F1786" s="9" t="s">
        <v>76</v>
      </c>
      <c r="G1786" s="6"/>
      <c r="H1786" s="6"/>
      <c r="I1786" s="6"/>
      <c r="J1786" s="6"/>
      <c r="K1786" s="6"/>
      <c r="L1786" s="6"/>
      <c r="M1786" s="6"/>
      <c r="N1786" s="6"/>
      <c r="O1786" s="6"/>
      <c r="P1786" s="6"/>
      <c r="Q1786" s="6"/>
      <c r="R1786" s="6"/>
      <c r="S1786" s="6"/>
      <c r="T1786" s="6"/>
      <c r="U1786" s="6"/>
      <c r="V1786" s="6"/>
      <c r="W1786" s="6"/>
      <c r="X1786" s="6"/>
      <c r="Y1786" s="6"/>
      <c r="Z1786" s="6"/>
    </row>
    <row r="1787" customFormat="false" ht="15" hidden="false" customHeight="false" outlineLevel="0" collapsed="false">
      <c r="A1787" s="9" t="s">
        <v>7630</v>
      </c>
      <c r="B1787" s="9" t="s">
        <v>5870</v>
      </c>
      <c r="C1787" s="9" t="s">
        <v>2012</v>
      </c>
      <c r="D1787" s="9" t="s">
        <v>5871</v>
      </c>
      <c r="E1787" s="9" t="str">
        <f aca="false">IF(AND('Formation Ledger'!A1766&lt;&gt;"",'Formation Ledger'!V1766=0),"PASS","FAIL")</f>
        <v>PASS</v>
      </c>
      <c r="F1787" s="9" t="s">
        <v>76</v>
      </c>
      <c r="G1787" s="6"/>
      <c r="H1787" s="6"/>
      <c r="I1787" s="6"/>
      <c r="J1787" s="6"/>
      <c r="K1787" s="6"/>
      <c r="L1787" s="6"/>
      <c r="M1787" s="6"/>
      <c r="N1787" s="6"/>
      <c r="O1787" s="6"/>
      <c r="P1787" s="6"/>
      <c r="Q1787" s="6"/>
      <c r="R1787" s="6"/>
      <c r="S1787" s="6"/>
      <c r="T1787" s="6"/>
      <c r="U1787" s="6"/>
      <c r="V1787" s="6"/>
      <c r="W1787" s="6"/>
      <c r="X1787" s="6"/>
      <c r="Y1787" s="6"/>
      <c r="Z1787" s="6"/>
    </row>
    <row r="1788" customFormat="false" ht="15" hidden="false" customHeight="false" outlineLevel="0" collapsed="false">
      <c r="A1788" s="9" t="s">
        <v>7631</v>
      </c>
      <c r="B1788" s="9" t="s">
        <v>5870</v>
      </c>
      <c r="C1788" s="9" t="s">
        <v>2013</v>
      </c>
      <c r="D1788" s="9" t="s">
        <v>5871</v>
      </c>
      <c r="E1788" s="9" t="str">
        <f aca="false">IF(AND('Formation Ledger'!A1767&lt;&gt;"",'Formation Ledger'!V1767=0),"PASS","FAIL")</f>
        <v>PASS</v>
      </c>
      <c r="F1788" s="9" t="s">
        <v>76</v>
      </c>
      <c r="G1788" s="6"/>
      <c r="H1788" s="6"/>
      <c r="I1788" s="6"/>
      <c r="J1788" s="6"/>
      <c r="K1788" s="6"/>
      <c r="L1788" s="6"/>
      <c r="M1788" s="6"/>
      <c r="N1788" s="6"/>
      <c r="O1788" s="6"/>
      <c r="P1788" s="6"/>
      <c r="Q1788" s="6"/>
      <c r="R1788" s="6"/>
      <c r="S1788" s="6"/>
      <c r="T1788" s="6"/>
      <c r="U1788" s="6"/>
      <c r="V1788" s="6"/>
      <c r="W1788" s="6"/>
      <c r="X1788" s="6"/>
      <c r="Y1788" s="6"/>
      <c r="Z1788" s="6"/>
    </row>
    <row r="1789" customFormat="false" ht="15" hidden="false" customHeight="false" outlineLevel="0" collapsed="false">
      <c r="A1789" s="9" t="s">
        <v>7632</v>
      </c>
      <c r="B1789" s="9" t="s">
        <v>5870</v>
      </c>
      <c r="C1789" s="9" t="s">
        <v>2014</v>
      </c>
      <c r="D1789" s="9" t="s">
        <v>5871</v>
      </c>
      <c r="E1789" s="9" t="str">
        <f aca="false">IF(AND('Formation Ledger'!A1768&lt;&gt;"",'Formation Ledger'!V1768=0),"PASS","FAIL")</f>
        <v>PASS</v>
      </c>
      <c r="F1789" s="9" t="s">
        <v>76</v>
      </c>
      <c r="G1789" s="6"/>
      <c r="H1789" s="6"/>
      <c r="I1789" s="6"/>
      <c r="J1789" s="6"/>
      <c r="K1789" s="6"/>
      <c r="L1789" s="6"/>
      <c r="M1789" s="6"/>
      <c r="N1789" s="6"/>
      <c r="O1789" s="6"/>
      <c r="P1789" s="6"/>
      <c r="Q1789" s="6"/>
      <c r="R1789" s="6"/>
      <c r="S1789" s="6"/>
      <c r="T1789" s="6"/>
      <c r="U1789" s="6"/>
      <c r="V1789" s="6"/>
      <c r="W1789" s="6"/>
      <c r="X1789" s="6"/>
      <c r="Y1789" s="6"/>
      <c r="Z1789" s="6"/>
    </row>
    <row r="1790" customFormat="false" ht="15" hidden="false" customHeight="false" outlineLevel="0" collapsed="false">
      <c r="A1790" s="9" t="s">
        <v>7633</v>
      </c>
      <c r="B1790" s="9" t="s">
        <v>5870</v>
      </c>
      <c r="C1790" s="9" t="s">
        <v>2015</v>
      </c>
      <c r="D1790" s="9" t="s">
        <v>5871</v>
      </c>
      <c r="E1790" s="9" t="str">
        <f aca="false">IF(AND('Formation Ledger'!A1769&lt;&gt;"",'Formation Ledger'!V1769=0),"PASS","FAIL")</f>
        <v>PASS</v>
      </c>
      <c r="F1790" s="9" t="s">
        <v>76</v>
      </c>
      <c r="G1790" s="6"/>
      <c r="H1790" s="6"/>
      <c r="I1790" s="6"/>
      <c r="J1790" s="6"/>
      <c r="K1790" s="6"/>
      <c r="L1790" s="6"/>
      <c r="M1790" s="6"/>
      <c r="N1790" s="6"/>
      <c r="O1790" s="6"/>
      <c r="P1790" s="6"/>
      <c r="Q1790" s="6"/>
      <c r="R1790" s="6"/>
      <c r="S1790" s="6"/>
      <c r="T1790" s="6"/>
      <c r="U1790" s="6"/>
      <c r="V1790" s="6"/>
      <c r="W1790" s="6"/>
      <c r="X1790" s="6"/>
      <c r="Y1790" s="6"/>
      <c r="Z1790" s="6"/>
    </row>
    <row r="1791" customFormat="false" ht="15" hidden="false" customHeight="false" outlineLevel="0" collapsed="false">
      <c r="A1791" s="9" t="s">
        <v>7634</v>
      </c>
      <c r="B1791" s="9" t="s">
        <v>5870</v>
      </c>
      <c r="C1791" s="9" t="s">
        <v>2016</v>
      </c>
      <c r="D1791" s="9" t="s">
        <v>5871</v>
      </c>
      <c r="E1791" s="9" t="str">
        <f aca="false">IF(AND('Formation Ledger'!A1770&lt;&gt;"",'Formation Ledger'!V1770=0),"PASS","FAIL")</f>
        <v>PASS</v>
      </c>
      <c r="F1791" s="9" t="s">
        <v>76</v>
      </c>
      <c r="G1791" s="6"/>
      <c r="H1791" s="6"/>
      <c r="I1791" s="6"/>
      <c r="J1791" s="6"/>
      <c r="K1791" s="6"/>
      <c r="L1791" s="6"/>
      <c r="M1791" s="6"/>
      <c r="N1791" s="6"/>
      <c r="O1791" s="6"/>
      <c r="P1791" s="6"/>
      <c r="Q1791" s="6"/>
      <c r="R1791" s="6"/>
      <c r="S1791" s="6"/>
      <c r="T1791" s="6"/>
      <c r="U1791" s="6"/>
      <c r="V1791" s="6"/>
      <c r="W1791" s="6"/>
      <c r="X1791" s="6"/>
      <c r="Y1791" s="6"/>
      <c r="Z1791" s="6"/>
    </row>
    <row r="1792" customFormat="false" ht="15" hidden="false" customHeight="false" outlineLevel="0" collapsed="false">
      <c r="A1792" s="9" t="s">
        <v>7635</v>
      </c>
      <c r="B1792" s="9" t="s">
        <v>5870</v>
      </c>
      <c r="C1792" s="9" t="s">
        <v>2017</v>
      </c>
      <c r="D1792" s="9" t="s">
        <v>5871</v>
      </c>
      <c r="E1792" s="9" t="str">
        <f aca="false">IF(AND('Formation Ledger'!A1771&lt;&gt;"",'Formation Ledger'!V1771=0),"PASS","FAIL")</f>
        <v>PASS</v>
      </c>
      <c r="F1792" s="9" t="s">
        <v>76</v>
      </c>
      <c r="G1792" s="6"/>
      <c r="H1792" s="6"/>
      <c r="I1792" s="6"/>
      <c r="J1792" s="6"/>
      <c r="K1792" s="6"/>
      <c r="L1792" s="6"/>
      <c r="M1792" s="6"/>
      <c r="N1792" s="6"/>
      <c r="O1792" s="6"/>
      <c r="P1792" s="6"/>
      <c r="Q1792" s="6"/>
      <c r="R1792" s="6"/>
      <c r="S1792" s="6"/>
      <c r="T1792" s="6"/>
      <c r="U1792" s="6"/>
      <c r="V1792" s="6"/>
      <c r="W1792" s="6"/>
      <c r="X1792" s="6"/>
      <c r="Y1792" s="6"/>
      <c r="Z1792" s="6"/>
    </row>
    <row r="1793" customFormat="false" ht="15" hidden="false" customHeight="false" outlineLevel="0" collapsed="false">
      <c r="A1793" s="9" t="s">
        <v>7636</v>
      </c>
      <c r="B1793" s="9" t="s">
        <v>5870</v>
      </c>
      <c r="C1793" s="9" t="s">
        <v>2018</v>
      </c>
      <c r="D1793" s="9" t="s">
        <v>5871</v>
      </c>
      <c r="E1793" s="9" t="str">
        <f aca="false">IF(AND('Formation Ledger'!A1772&lt;&gt;"",'Formation Ledger'!V1772=0),"PASS","FAIL")</f>
        <v>PASS</v>
      </c>
      <c r="F1793" s="9" t="s">
        <v>76</v>
      </c>
      <c r="G1793" s="6"/>
      <c r="H1793" s="6"/>
      <c r="I1793" s="6"/>
      <c r="J1793" s="6"/>
      <c r="K1793" s="6"/>
      <c r="L1793" s="6"/>
      <c r="M1793" s="6"/>
      <c r="N1793" s="6"/>
      <c r="O1793" s="6"/>
      <c r="P1793" s="6"/>
      <c r="Q1793" s="6"/>
      <c r="R1793" s="6"/>
      <c r="S1793" s="6"/>
      <c r="T1793" s="6"/>
      <c r="U1793" s="6"/>
      <c r="V1793" s="6"/>
      <c r="W1793" s="6"/>
      <c r="X1793" s="6"/>
      <c r="Y1793" s="6"/>
      <c r="Z1793" s="6"/>
    </row>
    <row r="1794" customFormat="false" ht="15" hidden="false" customHeight="false" outlineLevel="0" collapsed="false">
      <c r="A1794" s="9" t="s">
        <v>7637</v>
      </c>
      <c r="B1794" s="9" t="s">
        <v>5870</v>
      </c>
      <c r="C1794" s="9" t="s">
        <v>2019</v>
      </c>
      <c r="D1794" s="9" t="s">
        <v>5871</v>
      </c>
      <c r="E1794" s="9" t="str">
        <f aca="false">IF(AND('Formation Ledger'!A1773&lt;&gt;"",'Formation Ledger'!V1773=0),"PASS","FAIL")</f>
        <v>PASS</v>
      </c>
      <c r="F1794" s="9" t="s">
        <v>76</v>
      </c>
      <c r="G1794" s="6"/>
      <c r="H1794" s="6"/>
      <c r="I1794" s="6"/>
      <c r="J1794" s="6"/>
      <c r="K1794" s="6"/>
      <c r="L1794" s="6"/>
      <c r="M1794" s="6"/>
      <c r="N1794" s="6"/>
      <c r="O1794" s="6"/>
      <c r="P1794" s="6"/>
      <c r="Q1794" s="6"/>
      <c r="R1794" s="6"/>
      <c r="S1794" s="6"/>
      <c r="T1794" s="6"/>
      <c r="U1794" s="6"/>
      <c r="V1794" s="6"/>
      <c r="W1794" s="6"/>
      <c r="X1794" s="6"/>
      <c r="Y1794" s="6"/>
      <c r="Z1794" s="6"/>
    </row>
    <row r="1795" customFormat="false" ht="15" hidden="false" customHeight="false" outlineLevel="0" collapsed="false">
      <c r="A1795" s="9" t="s">
        <v>7638</v>
      </c>
      <c r="B1795" s="9" t="s">
        <v>5870</v>
      </c>
      <c r="C1795" s="9" t="s">
        <v>2020</v>
      </c>
      <c r="D1795" s="9" t="s">
        <v>5871</v>
      </c>
      <c r="E1795" s="9" t="str">
        <f aca="false">IF(AND('Formation Ledger'!A1774&lt;&gt;"",'Formation Ledger'!V1774=0),"PASS","FAIL")</f>
        <v>PASS</v>
      </c>
      <c r="F1795" s="9" t="s">
        <v>76</v>
      </c>
      <c r="G1795" s="6"/>
      <c r="H1795" s="6"/>
      <c r="I1795" s="6"/>
      <c r="J1795" s="6"/>
      <c r="K1795" s="6"/>
      <c r="L1795" s="6"/>
      <c r="M1795" s="6"/>
      <c r="N1795" s="6"/>
      <c r="O1795" s="6"/>
      <c r="P1795" s="6"/>
      <c r="Q1795" s="6"/>
      <c r="R1795" s="6"/>
      <c r="S1795" s="6"/>
      <c r="T1795" s="6"/>
      <c r="U1795" s="6"/>
      <c r="V1795" s="6"/>
      <c r="W1795" s="6"/>
      <c r="X1795" s="6"/>
      <c r="Y1795" s="6"/>
      <c r="Z1795" s="6"/>
    </row>
    <row r="1796" customFormat="false" ht="15" hidden="false" customHeight="false" outlineLevel="0" collapsed="false">
      <c r="A1796" s="9" t="s">
        <v>7639</v>
      </c>
      <c r="B1796" s="9" t="s">
        <v>5870</v>
      </c>
      <c r="C1796" s="9" t="s">
        <v>2021</v>
      </c>
      <c r="D1796" s="9" t="s">
        <v>5871</v>
      </c>
      <c r="E1796" s="9" t="str">
        <f aca="false">IF(AND('Formation Ledger'!A1775&lt;&gt;"",'Formation Ledger'!V1775=0),"PASS","FAIL")</f>
        <v>PASS</v>
      </c>
      <c r="F1796" s="9" t="s">
        <v>76</v>
      </c>
      <c r="G1796" s="6"/>
      <c r="H1796" s="6"/>
      <c r="I1796" s="6"/>
      <c r="J1796" s="6"/>
      <c r="K1796" s="6"/>
      <c r="L1796" s="6"/>
      <c r="M1796" s="6"/>
      <c r="N1796" s="6"/>
      <c r="O1796" s="6"/>
      <c r="P1796" s="6"/>
      <c r="Q1796" s="6"/>
      <c r="R1796" s="6"/>
      <c r="S1796" s="6"/>
      <c r="T1796" s="6"/>
      <c r="U1796" s="6"/>
      <c r="V1796" s="6"/>
      <c r="W1796" s="6"/>
      <c r="X1796" s="6"/>
      <c r="Y1796" s="6"/>
      <c r="Z1796" s="6"/>
    </row>
    <row r="1797" customFormat="false" ht="15" hidden="false" customHeight="false" outlineLevel="0" collapsed="false">
      <c r="A1797" s="9" t="s">
        <v>7640</v>
      </c>
      <c r="B1797" s="9" t="s">
        <v>5870</v>
      </c>
      <c r="C1797" s="9" t="s">
        <v>2022</v>
      </c>
      <c r="D1797" s="9" t="s">
        <v>5871</v>
      </c>
      <c r="E1797" s="9" t="str">
        <f aca="false">IF(AND('Formation Ledger'!A1776&lt;&gt;"",'Formation Ledger'!V1776=0),"PASS","FAIL")</f>
        <v>PASS</v>
      </c>
      <c r="F1797" s="9" t="s">
        <v>76</v>
      </c>
      <c r="G1797" s="6"/>
      <c r="H1797" s="6"/>
      <c r="I1797" s="6"/>
      <c r="J1797" s="6"/>
      <c r="K1797" s="6"/>
      <c r="L1797" s="6"/>
      <c r="M1797" s="6"/>
      <c r="N1797" s="6"/>
      <c r="O1797" s="6"/>
      <c r="P1797" s="6"/>
      <c r="Q1797" s="6"/>
      <c r="R1797" s="6"/>
      <c r="S1797" s="6"/>
      <c r="T1797" s="6"/>
      <c r="U1797" s="6"/>
      <c r="V1797" s="6"/>
      <c r="W1797" s="6"/>
      <c r="X1797" s="6"/>
      <c r="Y1797" s="6"/>
      <c r="Z1797" s="6"/>
    </row>
    <row r="1798" customFormat="false" ht="15" hidden="false" customHeight="false" outlineLevel="0" collapsed="false">
      <c r="A1798" s="9" t="s">
        <v>7641</v>
      </c>
      <c r="B1798" s="9" t="s">
        <v>5870</v>
      </c>
      <c r="C1798" s="9" t="s">
        <v>2023</v>
      </c>
      <c r="D1798" s="9" t="s">
        <v>5871</v>
      </c>
      <c r="E1798" s="9" t="str">
        <f aca="false">IF(AND('Formation Ledger'!A1777&lt;&gt;"",'Formation Ledger'!V1777=0),"PASS","FAIL")</f>
        <v>PASS</v>
      </c>
      <c r="F1798" s="9" t="s">
        <v>76</v>
      </c>
      <c r="G1798" s="6"/>
      <c r="H1798" s="6"/>
      <c r="I1798" s="6"/>
      <c r="J1798" s="6"/>
      <c r="K1798" s="6"/>
      <c r="L1798" s="6"/>
      <c r="M1798" s="6"/>
      <c r="N1798" s="6"/>
      <c r="O1798" s="6"/>
      <c r="P1798" s="6"/>
      <c r="Q1798" s="6"/>
      <c r="R1798" s="6"/>
      <c r="S1798" s="6"/>
      <c r="T1798" s="6"/>
      <c r="U1798" s="6"/>
      <c r="V1798" s="6"/>
      <c r="W1798" s="6"/>
      <c r="X1798" s="6"/>
      <c r="Y1798" s="6"/>
      <c r="Z1798" s="6"/>
    </row>
    <row r="1799" customFormat="false" ht="15" hidden="false" customHeight="false" outlineLevel="0" collapsed="false">
      <c r="A1799" s="9" t="s">
        <v>7642</v>
      </c>
      <c r="B1799" s="9" t="s">
        <v>5870</v>
      </c>
      <c r="C1799" s="9" t="s">
        <v>2024</v>
      </c>
      <c r="D1799" s="9" t="s">
        <v>5871</v>
      </c>
      <c r="E1799" s="9" t="str">
        <f aca="false">IF(AND('Formation Ledger'!A1778&lt;&gt;"",'Formation Ledger'!V1778=0),"PASS","FAIL")</f>
        <v>PASS</v>
      </c>
      <c r="F1799" s="9" t="s">
        <v>76</v>
      </c>
      <c r="G1799" s="6"/>
      <c r="H1799" s="6"/>
      <c r="I1799" s="6"/>
      <c r="J1799" s="6"/>
      <c r="K1799" s="6"/>
      <c r="L1799" s="6"/>
      <c r="M1799" s="6"/>
      <c r="N1799" s="6"/>
      <c r="O1799" s="6"/>
      <c r="P1799" s="6"/>
      <c r="Q1799" s="6"/>
      <c r="R1799" s="6"/>
      <c r="S1799" s="6"/>
      <c r="T1799" s="6"/>
      <c r="U1799" s="6"/>
      <c r="V1799" s="6"/>
      <c r="W1799" s="6"/>
      <c r="X1799" s="6"/>
      <c r="Y1799" s="6"/>
      <c r="Z1799" s="6"/>
    </row>
    <row r="1800" customFormat="false" ht="15" hidden="false" customHeight="false" outlineLevel="0" collapsed="false">
      <c r="A1800" s="9" t="s">
        <v>7643</v>
      </c>
      <c r="B1800" s="9" t="s">
        <v>5870</v>
      </c>
      <c r="C1800" s="9" t="s">
        <v>2028</v>
      </c>
      <c r="D1800" s="9" t="s">
        <v>5871</v>
      </c>
      <c r="E1800" s="9" t="str">
        <f aca="false">IF(AND('Formation Ledger'!A1779&lt;&gt;"",'Formation Ledger'!V1779=0),"PASS","FAIL")</f>
        <v>PASS</v>
      </c>
      <c r="F1800" s="9" t="s">
        <v>76</v>
      </c>
      <c r="G1800" s="6"/>
      <c r="H1800" s="6"/>
      <c r="I1800" s="6"/>
      <c r="J1800" s="6"/>
      <c r="K1800" s="6"/>
      <c r="L1800" s="6"/>
      <c r="M1800" s="6"/>
      <c r="N1800" s="6"/>
      <c r="O1800" s="6"/>
      <c r="P1800" s="6"/>
      <c r="Q1800" s="6"/>
      <c r="R1800" s="6"/>
      <c r="S1800" s="6"/>
      <c r="T1800" s="6"/>
      <c r="U1800" s="6"/>
      <c r="V1800" s="6"/>
      <c r="W1800" s="6"/>
      <c r="X1800" s="6"/>
      <c r="Y1800" s="6"/>
      <c r="Z1800" s="6"/>
    </row>
    <row r="1801" customFormat="false" ht="15" hidden="false" customHeight="false" outlineLevel="0" collapsed="false">
      <c r="A1801" s="9" t="s">
        <v>7644</v>
      </c>
      <c r="B1801" s="9" t="s">
        <v>5870</v>
      </c>
      <c r="C1801" s="9" t="s">
        <v>2029</v>
      </c>
      <c r="D1801" s="9" t="s">
        <v>5871</v>
      </c>
      <c r="E1801" s="9" t="str">
        <f aca="false">IF(AND('Formation Ledger'!A1780&lt;&gt;"",'Formation Ledger'!V1780=0),"PASS","FAIL")</f>
        <v>PASS</v>
      </c>
      <c r="F1801" s="9" t="s">
        <v>76</v>
      </c>
      <c r="G1801" s="6"/>
      <c r="H1801" s="6"/>
      <c r="I1801" s="6"/>
      <c r="J1801" s="6"/>
      <c r="K1801" s="6"/>
      <c r="L1801" s="6"/>
      <c r="M1801" s="6"/>
      <c r="N1801" s="6"/>
      <c r="O1801" s="6"/>
      <c r="P1801" s="6"/>
      <c r="Q1801" s="6"/>
      <c r="R1801" s="6"/>
      <c r="S1801" s="6"/>
      <c r="T1801" s="6"/>
      <c r="U1801" s="6"/>
      <c r="V1801" s="6"/>
      <c r="W1801" s="6"/>
      <c r="X1801" s="6"/>
      <c r="Y1801" s="6"/>
      <c r="Z1801" s="6"/>
    </row>
    <row r="1802" customFormat="false" ht="15" hidden="false" customHeight="false" outlineLevel="0" collapsed="false">
      <c r="A1802" s="9" t="s">
        <v>7645</v>
      </c>
      <c r="B1802" s="9" t="s">
        <v>5870</v>
      </c>
      <c r="C1802" s="9" t="s">
        <v>2030</v>
      </c>
      <c r="D1802" s="9" t="s">
        <v>5871</v>
      </c>
      <c r="E1802" s="9" t="str">
        <f aca="false">IF(AND('Formation Ledger'!A1781&lt;&gt;"",'Formation Ledger'!V1781=0),"PASS","FAIL")</f>
        <v>PASS</v>
      </c>
      <c r="F1802" s="9" t="s">
        <v>76</v>
      </c>
      <c r="G1802" s="6"/>
      <c r="H1802" s="6"/>
      <c r="I1802" s="6"/>
      <c r="J1802" s="6"/>
      <c r="K1802" s="6"/>
      <c r="L1802" s="6"/>
      <c r="M1802" s="6"/>
      <c r="N1802" s="6"/>
      <c r="O1802" s="6"/>
      <c r="P1802" s="6"/>
      <c r="Q1802" s="6"/>
      <c r="R1802" s="6"/>
      <c r="S1802" s="6"/>
      <c r="T1802" s="6"/>
      <c r="U1802" s="6"/>
      <c r="V1802" s="6"/>
      <c r="W1802" s="6"/>
      <c r="X1802" s="6"/>
      <c r="Y1802" s="6"/>
      <c r="Z1802" s="6"/>
    </row>
    <row r="1803" customFormat="false" ht="15" hidden="false" customHeight="false" outlineLevel="0" collapsed="false">
      <c r="A1803" s="9" t="s">
        <v>7646</v>
      </c>
      <c r="B1803" s="9" t="s">
        <v>5870</v>
      </c>
      <c r="C1803" s="9" t="s">
        <v>2031</v>
      </c>
      <c r="D1803" s="9" t="s">
        <v>5871</v>
      </c>
      <c r="E1803" s="9" t="str">
        <f aca="false">IF(AND('Formation Ledger'!A1782&lt;&gt;"",'Formation Ledger'!V1782=0),"PASS","FAIL")</f>
        <v>PASS</v>
      </c>
      <c r="F1803" s="9" t="s">
        <v>76</v>
      </c>
      <c r="G1803" s="6"/>
      <c r="H1803" s="6"/>
      <c r="I1803" s="6"/>
      <c r="J1803" s="6"/>
      <c r="K1803" s="6"/>
      <c r="L1803" s="6"/>
      <c r="M1803" s="6"/>
      <c r="N1803" s="6"/>
      <c r="O1803" s="6"/>
      <c r="P1803" s="6"/>
      <c r="Q1803" s="6"/>
      <c r="R1803" s="6"/>
      <c r="S1803" s="6"/>
      <c r="T1803" s="6"/>
      <c r="U1803" s="6"/>
      <c r="V1803" s="6"/>
      <c r="W1803" s="6"/>
      <c r="X1803" s="6"/>
      <c r="Y1803" s="6"/>
      <c r="Z1803" s="6"/>
    </row>
    <row r="1804" customFormat="false" ht="15" hidden="false" customHeight="false" outlineLevel="0" collapsed="false">
      <c r="A1804" s="9" t="s">
        <v>7647</v>
      </c>
      <c r="B1804" s="9" t="s">
        <v>5870</v>
      </c>
      <c r="C1804" s="9" t="s">
        <v>2032</v>
      </c>
      <c r="D1804" s="9" t="s">
        <v>5871</v>
      </c>
      <c r="E1804" s="9" t="str">
        <f aca="false">IF(AND('Formation Ledger'!A1783&lt;&gt;"",'Formation Ledger'!V1783=0),"PASS","FAIL")</f>
        <v>PASS</v>
      </c>
      <c r="F1804" s="9" t="s">
        <v>76</v>
      </c>
      <c r="G1804" s="6"/>
      <c r="H1804" s="6"/>
      <c r="I1804" s="6"/>
      <c r="J1804" s="6"/>
      <c r="K1804" s="6"/>
      <c r="L1804" s="6"/>
      <c r="M1804" s="6"/>
      <c r="N1804" s="6"/>
      <c r="O1804" s="6"/>
      <c r="P1804" s="6"/>
      <c r="Q1804" s="6"/>
      <c r="R1804" s="6"/>
      <c r="S1804" s="6"/>
      <c r="T1804" s="6"/>
      <c r="U1804" s="6"/>
      <c r="V1804" s="6"/>
      <c r="W1804" s="6"/>
      <c r="X1804" s="6"/>
      <c r="Y1804" s="6"/>
      <c r="Z1804" s="6"/>
    </row>
    <row r="1805" customFormat="false" ht="15" hidden="false" customHeight="false" outlineLevel="0" collapsed="false">
      <c r="A1805" s="9" t="s">
        <v>7648</v>
      </c>
      <c r="B1805" s="9" t="s">
        <v>5870</v>
      </c>
      <c r="C1805" s="9" t="s">
        <v>2033</v>
      </c>
      <c r="D1805" s="9" t="s">
        <v>5871</v>
      </c>
      <c r="E1805" s="9" t="str">
        <f aca="false">IF(AND('Formation Ledger'!A1784&lt;&gt;"",'Formation Ledger'!V1784=0),"PASS","FAIL")</f>
        <v>PASS</v>
      </c>
      <c r="F1805" s="9" t="s">
        <v>76</v>
      </c>
      <c r="G1805" s="6"/>
      <c r="H1805" s="6"/>
      <c r="I1805" s="6"/>
      <c r="J1805" s="6"/>
      <c r="K1805" s="6"/>
      <c r="L1805" s="6"/>
      <c r="M1805" s="6"/>
      <c r="N1805" s="6"/>
      <c r="O1805" s="6"/>
      <c r="P1805" s="6"/>
      <c r="Q1805" s="6"/>
      <c r="R1805" s="6"/>
      <c r="S1805" s="6"/>
      <c r="T1805" s="6"/>
      <c r="U1805" s="6"/>
      <c r="V1805" s="6"/>
      <c r="W1805" s="6"/>
      <c r="X1805" s="6"/>
      <c r="Y1805" s="6"/>
      <c r="Z1805" s="6"/>
    </row>
    <row r="1806" customFormat="false" ht="15" hidden="false" customHeight="false" outlineLevel="0" collapsed="false">
      <c r="A1806" s="9" t="s">
        <v>7649</v>
      </c>
      <c r="B1806" s="9" t="s">
        <v>5870</v>
      </c>
      <c r="C1806" s="9" t="s">
        <v>2034</v>
      </c>
      <c r="D1806" s="9" t="s">
        <v>5871</v>
      </c>
      <c r="E1806" s="9" t="str">
        <f aca="false">IF(AND('Formation Ledger'!A1785&lt;&gt;"",'Formation Ledger'!V1785=0),"PASS","FAIL")</f>
        <v>PASS</v>
      </c>
      <c r="F1806" s="9" t="s">
        <v>76</v>
      </c>
      <c r="G1806" s="6"/>
      <c r="H1806" s="6"/>
      <c r="I1806" s="6"/>
      <c r="J1806" s="6"/>
      <c r="K1806" s="6"/>
      <c r="L1806" s="6"/>
      <c r="M1806" s="6"/>
      <c r="N1806" s="6"/>
      <c r="O1806" s="6"/>
      <c r="P1806" s="6"/>
      <c r="Q1806" s="6"/>
      <c r="R1806" s="6"/>
      <c r="S1806" s="6"/>
      <c r="T1806" s="6"/>
      <c r="U1806" s="6"/>
      <c r="V1806" s="6"/>
      <c r="W1806" s="6"/>
      <c r="X1806" s="6"/>
      <c r="Y1806" s="6"/>
      <c r="Z1806" s="6"/>
    </row>
    <row r="1807" customFormat="false" ht="15" hidden="false" customHeight="false" outlineLevel="0" collapsed="false">
      <c r="A1807" s="9" t="s">
        <v>7650</v>
      </c>
      <c r="B1807" s="9" t="s">
        <v>5870</v>
      </c>
      <c r="C1807" s="9" t="s">
        <v>2035</v>
      </c>
      <c r="D1807" s="9" t="s">
        <v>5871</v>
      </c>
      <c r="E1807" s="9" t="str">
        <f aca="false">IF(AND('Formation Ledger'!A1786&lt;&gt;"",'Formation Ledger'!V1786=0),"PASS","FAIL")</f>
        <v>PASS</v>
      </c>
      <c r="F1807" s="9" t="s">
        <v>76</v>
      </c>
      <c r="G1807" s="6"/>
      <c r="H1807" s="6"/>
      <c r="I1807" s="6"/>
      <c r="J1807" s="6"/>
      <c r="K1807" s="6"/>
      <c r="L1807" s="6"/>
      <c r="M1807" s="6"/>
      <c r="N1807" s="6"/>
      <c r="O1807" s="6"/>
      <c r="P1807" s="6"/>
      <c r="Q1807" s="6"/>
      <c r="R1807" s="6"/>
      <c r="S1807" s="6"/>
      <c r="T1807" s="6"/>
      <c r="U1807" s="6"/>
      <c r="V1807" s="6"/>
      <c r="W1807" s="6"/>
      <c r="X1807" s="6"/>
      <c r="Y1807" s="6"/>
      <c r="Z1807" s="6"/>
    </row>
    <row r="1808" customFormat="false" ht="15" hidden="false" customHeight="false" outlineLevel="0" collapsed="false">
      <c r="A1808" s="9" t="s">
        <v>7651</v>
      </c>
      <c r="B1808" s="9" t="s">
        <v>5870</v>
      </c>
      <c r="C1808" s="9" t="s">
        <v>2036</v>
      </c>
      <c r="D1808" s="9" t="s">
        <v>5871</v>
      </c>
      <c r="E1808" s="9" t="str">
        <f aca="false">IF(AND('Formation Ledger'!A1787&lt;&gt;"",'Formation Ledger'!V1787=0),"PASS","FAIL")</f>
        <v>PASS</v>
      </c>
      <c r="F1808" s="9" t="s">
        <v>76</v>
      </c>
      <c r="G1808" s="6"/>
      <c r="H1808" s="6"/>
      <c r="I1808" s="6"/>
      <c r="J1808" s="6"/>
      <c r="K1808" s="6"/>
      <c r="L1808" s="6"/>
      <c r="M1808" s="6"/>
      <c r="N1808" s="6"/>
      <c r="O1808" s="6"/>
      <c r="P1808" s="6"/>
      <c r="Q1808" s="6"/>
      <c r="R1808" s="6"/>
      <c r="S1808" s="6"/>
      <c r="T1808" s="6"/>
      <c r="U1808" s="6"/>
      <c r="V1808" s="6"/>
      <c r="W1808" s="6"/>
      <c r="X1808" s="6"/>
      <c r="Y1808" s="6"/>
      <c r="Z1808" s="6"/>
    </row>
    <row r="1809" customFormat="false" ht="15" hidden="false" customHeight="false" outlineLevel="0" collapsed="false">
      <c r="A1809" s="9" t="s">
        <v>7652</v>
      </c>
      <c r="B1809" s="9" t="s">
        <v>5870</v>
      </c>
      <c r="C1809" s="9" t="s">
        <v>2037</v>
      </c>
      <c r="D1809" s="9" t="s">
        <v>5871</v>
      </c>
      <c r="E1809" s="9" t="str">
        <f aca="false">IF(AND('Formation Ledger'!A1788&lt;&gt;"",'Formation Ledger'!V1788=0),"PASS","FAIL")</f>
        <v>PASS</v>
      </c>
      <c r="F1809" s="9" t="s">
        <v>76</v>
      </c>
      <c r="G1809" s="6"/>
      <c r="H1809" s="6"/>
      <c r="I1809" s="6"/>
      <c r="J1809" s="6"/>
      <c r="K1809" s="6"/>
      <c r="L1809" s="6"/>
      <c r="M1809" s="6"/>
      <c r="N1809" s="6"/>
      <c r="O1809" s="6"/>
      <c r="P1809" s="6"/>
      <c r="Q1809" s="6"/>
      <c r="R1809" s="6"/>
      <c r="S1809" s="6"/>
      <c r="T1809" s="6"/>
      <c r="U1809" s="6"/>
      <c r="V1809" s="6"/>
      <c r="W1809" s="6"/>
      <c r="X1809" s="6"/>
      <c r="Y1809" s="6"/>
      <c r="Z1809" s="6"/>
    </row>
    <row r="1810" customFormat="false" ht="15" hidden="false" customHeight="false" outlineLevel="0" collapsed="false">
      <c r="A1810" s="9" t="s">
        <v>7653</v>
      </c>
      <c r="B1810" s="9" t="s">
        <v>5870</v>
      </c>
      <c r="C1810" s="9" t="s">
        <v>2038</v>
      </c>
      <c r="D1810" s="9" t="s">
        <v>5871</v>
      </c>
      <c r="E1810" s="9" t="str">
        <f aca="false">IF(AND('Formation Ledger'!A1789&lt;&gt;"",'Formation Ledger'!V1789=0),"PASS","FAIL")</f>
        <v>PASS</v>
      </c>
      <c r="F1810" s="9" t="s">
        <v>76</v>
      </c>
      <c r="G1810" s="6"/>
      <c r="H1810" s="6"/>
      <c r="I1810" s="6"/>
      <c r="J1810" s="6"/>
      <c r="K1810" s="6"/>
      <c r="L1810" s="6"/>
      <c r="M1810" s="6"/>
      <c r="N1810" s="6"/>
      <c r="O1810" s="6"/>
      <c r="P1810" s="6"/>
      <c r="Q1810" s="6"/>
      <c r="R1810" s="6"/>
      <c r="S1810" s="6"/>
      <c r="T1810" s="6"/>
      <c r="U1810" s="6"/>
      <c r="V1810" s="6"/>
      <c r="W1810" s="6"/>
      <c r="X1810" s="6"/>
      <c r="Y1810" s="6"/>
      <c r="Z1810" s="6"/>
    </row>
    <row r="1811" customFormat="false" ht="15" hidden="false" customHeight="false" outlineLevel="0" collapsed="false">
      <c r="A1811" s="9" t="s">
        <v>7654</v>
      </c>
      <c r="B1811" s="9" t="s">
        <v>5870</v>
      </c>
      <c r="C1811" s="9" t="s">
        <v>2039</v>
      </c>
      <c r="D1811" s="9" t="s">
        <v>5871</v>
      </c>
      <c r="E1811" s="9" t="str">
        <f aca="false">IF(AND('Formation Ledger'!A1790&lt;&gt;"",'Formation Ledger'!V1790=0),"PASS","FAIL")</f>
        <v>PASS</v>
      </c>
      <c r="F1811" s="9" t="s">
        <v>76</v>
      </c>
      <c r="G1811" s="6"/>
      <c r="H1811" s="6"/>
      <c r="I1811" s="6"/>
      <c r="J1811" s="6"/>
      <c r="K1811" s="6"/>
      <c r="L1811" s="6"/>
      <c r="M1811" s="6"/>
      <c r="N1811" s="6"/>
      <c r="O1811" s="6"/>
      <c r="P1811" s="6"/>
      <c r="Q1811" s="6"/>
      <c r="R1811" s="6"/>
      <c r="S1811" s="6"/>
      <c r="T1811" s="6"/>
      <c r="U1811" s="6"/>
      <c r="V1811" s="6"/>
      <c r="W1811" s="6"/>
      <c r="X1811" s="6"/>
      <c r="Y1811" s="6"/>
      <c r="Z1811" s="6"/>
    </row>
    <row r="1812" customFormat="false" ht="15" hidden="false" customHeight="false" outlineLevel="0" collapsed="false">
      <c r="A1812" s="9" t="s">
        <v>7655</v>
      </c>
      <c r="B1812" s="9" t="s">
        <v>5870</v>
      </c>
      <c r="C1812" s="9" t="s">
        <v>2040</v>
      </c>
      <c r="D1812" s="9" t="s">
        <v>5871</v>
      </c>
      <c r="E1812" s="9" t="str">
        <f aca="false">IF(AND('Formation Ledger'!A1791&lt;&gt;"",'Formation Ledger'!V1791=0),"PASS","FAIL")</f>
        <v>PASS</v>
      </c>
      <c r="F1812" s="9" t="s">
        <v>76</v>
      </c>
      <c r="G1812" s="6"/>
      <c r="H1812" s="6"/>
      <c r="I1812" s="6"/>
      <c r="J1812" s="6"/>
      <c r="K1812" s="6"/>
      <c r="L1812" s="6"/>
      <c r="M1812" s="6"/>
      <c r="N1812" s="6"/>
      <c r="O1812" s="6"/>
      <c r="P1812" s="6"/>
      <c r="Q1812" s="6"/>
      <c r="R1812" s="6"/>
      <c r="S1812" s="6"/>
      <c r="T1812" s="6"/>
      <c r="U1812" s="6"/>
      <c r="V1812" s="6"/>
      <c r="W1812" s="6"/>
      <c r="X1812" s="6"/>
      <c r="Y1812" s="6"/>
      <c r="Z1812" s="6"/>
    </row>
    <row r="1813" customFormat="false" ht="15" hidden="false" customHeight="false" outlineLevel="0" collapsed="false">
      <c r="A1813" s="9" t="s">
        <v>7656</v>
      </c>
      <c r="B1813" s="9" t="s">
        <v>5870</v>
      </c>
      <c r="C1813" s="9" t="s">
        <v>2041</v>
      </c>
      <c r="D1813" s="9" t="s">
        <v>5871</v>
      </c>
      <c r="E1813" s="9" t="str">
        <f aca="false">IF(AND('Formation Ledger'!A1792&lt;&gt;"",'Formation Ledger'!V1792=0),"PASS","FAIL")</f>
        <v>PASS</v>
      </c>
      <c r="F1813" s="9" t="s">
        <v>76</v>
      </c>
      <c r="G1813" s="6"/>
      <c r="H1813" s="6"/>
      <c r="I1813" s="6"/>
      <c r="J1813" s="6"/>
      <c r="K1813" s="6"/>
      <c r="L1813" s="6"/>
      <c r="M1813" s="6"/>
      <c r="N1813" s="6"/>
      <c r="O1813" s="6"/>
      <c r="P1813" s="6"/>
      <c r="Q1813" s="6"/>
      <c r="R1813" s="6"/>
      <c r="S1813" s="6"/>
      <c r="T1813" s="6"/>
      <c r="U1813" s="6"/>
      <c r="V1813" s="6"/>
      <c r="W1813" s="6"/>
      <c r="X1813" s="6"/>
      <c r="Y1813" s="6"/>
      <c r="Z1813" s="6"/>
    </row>
    <row r="1814" customFormat="false" ht="15" hidden="false" customHeight="false" outlineLevel="0" collapsed="false">
      <c r="A1814" s="9" t="s">
        <v>7657</v>
      </c>
      <c r="B1814" s="9" t="s">
        <v>5870</v>
      </c>
      <c r="C1814" s="9" t="s">
        <v>2042</v>
      </c>
      <c r="D1814" s="9" t="s">
        <v>5871</v>
      </c>
      <c r="E1814" s="9" t="str">
        <f aca="false">IF(AND('Formation Ledger'!A1793&lt;&gt;"",'Formation Ledger'!V1793=0),"PASS","FAIL")</f>
        <v>PASS</v>
      </c>
      <c r="F1814" s="9" t="s">
        <v>76</v>
      </c>
      <c r="G1814" s="6"/>
      <c r="H1814" s="6"/>
      <c r="I1814" s="6"/>
      <c r="J1814" s="6"/>
      <c r="K1814" s="6"/>
      <c r="L1814" s="6"/>
      <c r="M1814" s="6"/>
      <c r="N1814" s="6"/>
      <c r="O1814" s="6"/>
      <c r="P1814" s="6"/>
      <c r="Q1814" s="6"/>
      <c r="R1814" s="6"/>
      <c r="S1814" s="6"/>
      <c r="T1814" s="6"/>
      <c r="U1814" s="6"/>
      <c r="V1814" s="6"/>
      <c r="W1814" s="6"/>
      <c r="X1814" s="6"/>
      <c r="Y1814" s="6"/>
      <c r="Z1814" s="6"/>
    </row>
    <row r="1815" customFormat="false" ht="15" hidden="false" customHeight="false" outlineLevel="0" collapsed="false">
      <c r="A1815" s="9" t="s">
        <v>7658</v>
      </c>
      <c r="B1815" s="9" t="s">
        <v>5870</v>
      </c>
      <c r="C1815" s="9" t="s">
        <v>2043</v>
      </c>
      <c r="D1815" s="9" t="s">
        <v>5871</v>
      </c>
      <c r="E1815" s="9" t="str">
        <f aca="false">IF(AND('Formation Ledger'!A1794&lt;&gt;"",'Formation Ledger'!V1794=0),"PASS","FAIL")</f>
        <v>PASS</v>
      </c>
      <c r="F1815" s="9" t="s">
        <v>76</v>
      </c>
      <c r="G1815" s="6"/>
      <c r="H1815" s="6"/>
      <c r="I1815" s="6"/>
      <c r="J1815" s="6"/>
      <c r="K1815" s="6"/>
      <c r="L1815" s="6"/>
      <c r="M1815" s="6"/>
      <c r="N1815" s="6"/>
      <c r="O1815" s="6"/>
      <c r="P1815" s="6"/>
      <c r="Q1815" s="6"/>
      <c r="R1815" s="6"/>
      <c r="S1815" s="6"/>
      <c r="T1815" s="6"/>
      <c r="U1815" s="6"/>
      <c r="V1815" s="6"/>
      <c r="W1815" s="6"/>
      <c r="X1815" s="6"/>
      <c r="Y1815" s="6"/>
      <c r="Z1815" s="6"/>
    </row>
    <row r="1816" customFormat="false" ht="15" hidden="false" customHeight="false" outlineLevel="0" collapsed="false">
      <c r="A1816" s="9" t="s">
        <v>7659</v>
      </c>
      <c r="B1816" s="9" t="s">
        <v>5870</v>
      </c>
      <c r="C1816" s="9" t="s">
        <v>2044</v>
      </c>
      <c r="D1816" s="9" t="s">
        <v>5871</v>
      </c>
      <c r="E1816" s="9" t="str">
        <f aca="false">IF(AND('Formation Ledger'!A1795&lt;&gt;"",'Formation Ledger'!V1795=0),"PASS","FAIL")</f>
        <v>PASS</v>
      </c>
      <c r="F1816" s="9" t="s">
        <v>76</v>
      </c>
      <c r="G1816" s="6"/>
      <c r="H1816" s="6"/>
      <c r="I1816" s="6"/>
      <c r="J1816" s="6"/>
      <c r="K1816" s="6"/>
      <c r="L1816" s="6"/>
      <c r="M1816" s="6"/>
      <c r="N1816" s="6"/>
      <c r="O1816" s="6"/>
      <c r="P1816" s="6"/>
      <c r="Q1816" s="6"/>
      <c r="R1816" s="6"/>
      <c r="S1816" s="6"/>
      <c r="T1816" s="6"/>
      <c r="U1816" s="6"/>
      <c r="V1816" s="6"/>
      <c r="W1816" s="6"/>
      <c r="X1816" s="6"/>
      <c r="Y1816" s="6"/>
      <c r="Z1816" s="6"/>
    </row>
    <row r="1817" customFormat="false" ht="15" hidden="false" customHeight="false" outlineLevel="0" collapsed="false">
      <c r="A1817" s="9" t="s">
        <v>7660</v>
      </c>
      <c r="B1817" s="9" t="s">
        <v>5870</v>
      </c>
      <c r="C1817" s="9" t="s">
        <v>2045</v>
      </c>
      <c r="D1817" s="9" t="s">
        <v>5871</v>
      </c>
      <c r="E1817" s="9" t="str">
        <f aca="false">IF(AND('Formation Ledger'!A1796&lt;&gt;"",'Formation Ledger'!V1796=0),"PASS","FAIL")</f>
        <v>PASS</v>
      </c>
      <c r="F1817" s="9" t="s">
        <v>76</v>
      </c>
      <c r="G1817" s="6"/>
      <c r="H1817" s="6"/>
      <c r="I1817" s="6"/>
      <c r="J1817" s="6"/>
      <c r="K1817" s="6"/>
      <c r="L1817" s="6"/>
      <c r="M1817" s="6"/>
      <c r="N1817" s="6"/>
      <c r="O1817" s="6"/>
      <c r="P1817" s="6"/>
      <c r="Q1817" s="6"/>
      <c r="R1817" s="6"/>
      <c r="S1817" s="6"/>
      <c r="T1817" s="6"/>
      <c r="U1817" s="6"/>
      <c r="V1817" s="6"/>
      <c r="W1817" s="6"/>
      <c r="X1817" s="6"/>
      <c r="Y1817" s="6"/>
      <c r="Z1817" s="6"/>
    </row>
    <row r="1818" customFormat="false" ht="15" hidden="false" customHeight="false" outlineLevel="0" collapsed="false">
      <c r="A1818" s="9" t="s">
        <v>7661</v>
      </c>
      <c r="B1818" s="9" t="s">
        <v>5870</v>
      </c>
      <c r="C1818" s="9" t="s">
        <v>2046</v>
      </c>
      <c r="D1818" s="9" t="s">
        <v>5871</v>
      </c>
      <c r="E1818" s="9" t="str">
        <f aca="false">IF(AND('Formation Ledger'!A1797&lt;&gt;"",'Formation Ledger'!V1797=0),"PASS","FAIL")</f>
        <v>PASS</v>
      </c>
      <c r="F1818" s="9" t="s">
        <v>76</v>
      </c>
      <c r="G1818" s="6"/>
      <c r="H1818" s="6"/>
      <c r="I1818" s="6"/>
      <c r="J1818" s="6"/>
      <c r="K1818" s="6"/>
      <c r="L1818" s="6"/>
      <c r="M1818" s="6"/>
      <c r="N1818" s="6"/>
      <c r="O1818" s="6"/>
      <c r="P1818" s="6"/>
      <c r="Q1818" s="6"/>
      <c r="R1818" s="6"/>
      <c r="S1818" s="6"/>
      <c r="T1818" s="6"/>
      <c r="U1818" s="6"/>
      <c r="V1818" s="6"/>
      <c r="W1818" s="6"/>
      <c r="X1818" s="6"/>
      <c r="Y1818" s="6"/>
      <c r="Z1818" s="6"/>
    </row>
    <row r="1819" customFormat="false" ht="15" hidden="false" customHeight="false" outlineLevel="0" collapsed="false">
      <c r="A1819" s="9" t="s">
        <v>7662</v>
      </c>
      <c r="B1819" s="9" t="s">
        <v>5870</v>
      </c>
      <c r="C1819" s="9" t="s">
        <v>2047</v>
      </c>
      <c r="D1819" s="9" t="s">
        <v>5871</v>
      </c>
      <c r="E1819" s="9" t="str">
        <f aca="false">IF(AND('Formation Ledger'!A1798&lt;&gt;"",'Formation Ledger'!V1798=0),"PASS","FAIL")</f>
        <v>PASS</v>
      </c>
      <c r="F1819" s="9" t="s">
        <v>76</v>
      </c>
      <c r="G1819" s="6"/>
      <c r="H1819" s="6"/>
      <c r="I1819" s="6"/>
      <c r="J1819" s="6"/>
      <c r="K1819" s="6"/>
      <c r="L1819" s="6"/>
      <c r="M1819" s="6"/>
      <c r="N1819" s="6"/>
      <c r="O1819" s="6"/>
      <c r="P1819" s="6"/>
      <c r="Q1819" s="6"/>
      <c r="R1819" s="6"/>
      <c r="S1819" s="6"/>
      <c r="T1819" s="6"/>
      <c r="U1819" s="6"/>
      <c r="V1819" s="6"/>
      <c r="W1819" s="6"/>
      <c r="X1819" s="6"/>
      <c r="Y1819" s="6"/>
      <c r="Z1819" s="6"/>
    </row>
    <row r="1820" customFormat="false" ht="15" hidden="false" customHeight="false" outlineLevel="0" collapsed="false">
      <c r="A1820" s="9" t="s">
        <v>7663</v>
      </c>
      <c r="B1820" s="9" t="s">
        <v>5870</v>
      </c>
      <c r="C1820" s="9" t="s">
        <v>2048</v>
      </c>
      <c r="D1820" s="9" t="s">
        <v>5871</v>
      </c>
      <c r="E1820" s="9" t="str">
        <f aca="false">IF(AND('Formation Ledger'!A1799&lt;&gt;"",'Formation Ledger'!V1799=0),"PASS","FAIL")</f>
        <v>PASS</v>
      </c>
      <c r="F1820" s="9" t="s">
        <v>76</v>
      </c>
      <c r="G1820" s="6"/>
      <c r="H1820" s="6"/>
      <c r="I1820" s="6"/>
      <c r="J1820" s="6"/>
      <c r="K1820" s="6"/>
      <c r="L1820" s="6"/>
      <c r="M1820" s="6"/>
      <c r="N1820" s="6"/>
      <c r="O1820" s="6"/>
      <c r="P1820" s="6"/>
      <c r="Q1820" s="6"/>
      <c r="R1820" s="6"/>
      <c r="S1820" s="6"/>
      <c r="T1820" s="6"/>
      <c r="U1820" s="6"/>
      <c r="V1820" s="6"/>
      <c r="W1820" s="6"/>
      <c r="X1820" s="6"/>
      <c r="Y1820" s="6"/>
      <c r="Z1820" s="6"/>
    </row>
    <row r="1821" customFormat="false" ht="15" hidden="false" customHeight="false" outlineLevel="0" collapsed="false">
      <c r="A1821" s="9" t="s">
        <v>7664</v>
      </c>
      <c r="B1821" s="9" t="s">
        <v>5870</v>
      </c>
      <c r="C1821" s="9" t="s">
        <v>2049</v>
      </c>
      <c r="D1821" s="9" t="s">
        <v>5871</v>
      </c>
      <c r="E1821" s="9" t="str">
        <f aca="false">IF(AND('Formation Ledger'!A1800&lt;&gt;"",'Formation Ledger'!V1800=0),"PASS","FAIL")</f>
        <v>PASS</v>
      </c>
      <c r="F1821" s="9" t="s">
        <v>76</v>
      </c>
      <c r="G1821" s="6"/>
      <c r="H1821" s="6"/>
      <c r="I1821" s="6"/>
      <c r="J1821" s="6"/>
      <c r="K1821" s="6"/>
      <c r="L1821" s="6"/>
      <c r="M1821" s="6"/>
      <c r="N1821" s="6"/>
      <c r="O1821" s="6"/>
      <c r="P1821" s="6"/>
      <c r="Q1821" s="6"/>
      <c r="R1821" s="6"/>
      <c r="S1821" s="6"/>
      <c r="T1821" s="6"/>
      <c r="U1821" s="6"/>
      <c r="V1821" s="6"/>
      <c r="W1821" s="6"/>
      <c r="X1821" s="6"/>
      <c r="Y1821" s="6"/>
      <c r="Z1821" s="6"/>
    </row>
    <row r="1822" customFormat="false" ht="15" hidden="false" customHeight="false" outlineLevel="0" collapsed="false">
      <c r="A1822" s="9" t="s">
        <v>7665</v>
      </c>
      <c r="B1822" s="9" t="s">
        <v>5870</v>
      </c>
      <c r="C1822" s="9" t="s">
        <v>2050</v>
      </c>
      <c r="D1822" s="9" t="s">
        <v>5871</v>
      </c>
      <c r="E1822" s="9" t="str">
        <f aca="false">IF(AND('Formation Ledger'!A1801&lt;&gt;"",'Formation Ledger'!V1801=0),"PASS","FAIL")</f>
        <v>PASS</v>
      </c>
      <c r="F1822" s="9" t="s">
        <v>76</v>
      </c>
      <c r="G1822" s="6"/>
      <c r="H1822" s="6"/>
      <c r="I1822" s="6"/>
      <c r="J1822" s="6"/>
      <c r="K1822" s="6"/>
      <c r="L1822" s="6"/>
      <c r="M1822" s="6"/>
      <c r="N1822" s="6"/>
      <c r="O1822" s="6"/>
      <c r="P1822" s="6"/>
      <c r="Q1822" s="6"/>
      <c r="R1822" s="6"/>
      <c r="S1822" s="6"/>
      <c r="T1822" s="6"/>
      <c r="U1822" s="6"/>
      <c r="V1822" s="6"/>
      <c r="W1822" s="6"/>
      <c r="X1822" s="6"/>
      <c r="Y1822" s="6"/>
      <c r="Z1822" s="6"/>
    </row>
    <row r="1823" customFormat="false" ht="15" hidden="false" customHeight="false" outlineLevel="0" collapsed="false">
      <c r="A1823" s="9" t="s">
        <v>7666</v>
      </c>
      <c r="B1823" s="9" t="s">
        <v>5870</v>
      </c>
      <c r="C1823" s="9" t="s">
        <v>2051</v>
      </c>
      <c r="D1823" s="9" t="s">
        <v>5871</v>
      </c>
      <c r="E1823" s="9" t="str">
        <f aca="false">IF(AND('Formation Ledger'!A1802&lt;&gt;"",'Formation Ledger'!V1802=0),"PASS","FAIL")</f>
        <v>PASS</v>
      </c>
      <c r="F1823" s="9" t="s">
        <v>76</v>
      </c>
      <c r="G1823" s="6"/>
      <c r="H1823" s="6"/>
      <c r="I1823" s="6"/>
      <c r="J1823" s="6"/>
      <c r="K1823" s="6"/>
      <c r="L1823" s="6"/>
      <c r="M1823" s="6"/>
      <c r="N1823" s="6"/>
      <c r="O1823" s="6"/>
      <c r="P1823" s="6"/>
      <c r="Q1823" s="6"/>
      <c r="R1823" s="6"/>
      <c r="S1823" s="6"/>
      <c r="T1823" s="6"/>
      <c r="U1823" s="6"/>
      <c r="V1823" s="6"/>
      <c r="W1823" s="6"/>
      <c r="X1823" s="6"/>
      <c r="Y1823" s="6"/>
      <c r="Z1823" s="6"/>
    </row>
    <row r="1824" customFormat="false" ht="15" hidden="false" customHeight="false" outlineLevel="0" collapsed="false">
      <c r="A1824" s="9" t="s">
        <v>7667</v>
      </c>
      <c r="B1824" s="9" t="s">
        <v>5870</v>
      </c>
      <c r="C1824" s="9" t="s">
        <v>2052</v>
      </c>
      <c r="D1824" s="9" t="s">
        <v>5871</v>
      </c>
      <c r="E1824" s="9" t="str">
        <f aca="false">IF(AND('Formation Ledger'!A1803&lt;&gt;"",'Formation Ledger'!V1803=0),"PASS","FAIL")</f>
        <v>PASS</v>
      </c>
      <c r="F1824" s="9" t="s">
        <v>76</v>
      </c>
      <c r="G1824" s="6"/>
      <c r="H1824" s="6"/>
      <c r="I1824" s="6"/>
      <c r="J1824" s="6"/>
      <c r="K1824" s="6"/>
      <c r="L1824" s="6"/>
      <c r="M1824" s="6"/>
      <c r="N1824" s="6"/>
      <c r="O1824" s="6"/>
      <c r="P1824" s="6"/>
      <c r="Q1824" s="6"/>
      <c r="R1824" s="6"/>
      <c r="S1824" s="6"/>
      <c r="T1824" s="6"/>
      <c r="U1824" s="6"/>
      <c r="V1824" s="6"/>
      <c r="W1824" s="6"/>
      <c r="X1824" s="6"/>
      <c r="Y1824" s="6"/>
      <c r="Z1824" s="6"/>
    </row>
    <row r="1825" customFormat="false" ht="15" hidden="false" customHeight="false" outlineLevel="0" collapsed="false">
      <c r="A1825" s="9" t="s">
        <v>7668</v>
      </c>
      <c r="B1825" s="9" t="s">
        <v>5870</v>
      </c>
      <c r="C1825" s="9" t="s">
        <v>2053</v>
      </c>
      <c r="D1825" s="9" t="s">
        <v>5871</v>
      </c>
      <c r="E1825" s="9" t="str">
        <f aca="false">IF(AND('Formation Ledger'!A1804&lt;&gt;"",'Formation Ledger'!V1804=0),"PASS","FAIL")</f>
        <v>PASS</v>
      </c>
      <c r="F1825" s="9" t="s">
        <v>76</v>
      </c>
      <c r="G1825" s="6"/>
      <c r="H1825" s="6"/>
      <c r="I1825" s="6"/>
      <c r="J1825" s="6"/>
      <c r="K1825" s="6"/>
      <c r="L1825" s="6"/>
      <c r="M1825" s="6"/>
      <c r="N1825" s="6"/>
      <c r="O1825" s="6"/>
      <c r="P1825" s="6"/>
      <c r="Q1825" s="6"/>
      <c r="R1825" s="6"/>
      <c r="S1825" s="6"/>
      <c r="T1825" s="6"/>
      <c r="U1825" s="6"/>
      <c r="V1825" s="6"/>
      <c r="W1825" s="6"/>
      <c r="X1825" s="6"/>
      <c r="Y1825" s="6"/>
      <c r="Z1825" s="6"/>
    </row>
    <row r="1826" customFormat="false" ht="15" hidden="false" customHeight="false" outlineLevel="0" collapsed="false">
      <c r="A1826" s="9" t="s">
        <v>7669</v>
      </c>
      <c r="B1826" s="9" t="s">
        <v>5870</v>
      </c>
      <c r="C1826" s="9" t="s">
        <v>2054</v>
      </c>
      <c r="D1826" s="9" t="s">
        <v>5871</v>
      </c>
      <c r="E1826" s="9" t="str">
        <f aca="false">IF(AND('Formation Ledger'!A1805&lt;&gt;"",'Formation Ledger'!V1805=0),"PASS","FAIL")</f>
        <v>PASS</v>
      </c>
      <c r="F1826" s="9" t="s">
        <v>76</v>
      </c>
      <c r="G1826" s="6"/>
      <c r="H1826" s="6"/>
      <c r="I1826" s="6"/>
      <c r="J1826" s="6"/>
      <c r="K1826" s="6"/>
      <c r="L1826" s="6"/>
      <c r="M1826" s="6"/>
      <c r="N1826" s="6"/>
      <c r="O1826" s="6"/>
      <c r="P1826" s="6"/>
      <c r="Q1826" s="6"/>
      <c r="R1826" s="6"/>
      <c r="S1826" s="6"/>
      <c r="T1826" s="6"/>
      <c r="U1826" s="6"/>
      <c r="V1826" s="6"/>
      <c r="W1826" s="6"/>
      <c r="X1826" s="6"/>
      <c r="Y1826" s="6"/>
      <c r="Z1826" s="6"/>
    </row>
    <row r="1827" customFormat="false" ht="15" hidden="false" customHeight="false" outlineLevel="0" collapsed="false">
      <c r="A1827" s="9" t="s">
        <v>7670</v>
      </c>
      <c r="B1827" s="9" t="s">
        <v>5870</v>
      </c>
      <c r="C1827" s="9" t="s">
        <v>2055</v>
      </c>
      <c r="D1827" s="9" t="s">
        <v>5871</v>
      </c>
      <c r="E1827" s="9" t="str">
        <f aca="false">IF(AND('Formation Ledger'!A1806&lt;&gt;"",'Formation Ledger'!V1806=0),"PASS","FAIL")</f>
        <v>PASS</v>
      </c>
      <c r="F1827" s="9" t="s">
        <v>76</v>
      </c>
      <c r="G1827" s="6"/>
      <c r="H1827" s="6"/>
      <c r="I1827" s="6"/>
      <c r="J1827" s="6"/>
      <c r="K1827" s="6"/>
      <c r="L1827" s="6"/>
      <c r="M1827" s="6"/>
      <c r="N1827" s="6"/>
      <c r="O1827" s="6"/>
      <c r="P1827" s="6"/>
      <c r="Q1827" s="6"/>
      <c r="R1827" s="6"/>
      <c r="S1827" s="6"/>
      <c r="T1827" s="6"/>
      <c r="U1827" s="6"/>
      <c r="V1827" s="6"/>
      <c r="W1827" s="6"/>
      <c r="X1827" s="6"/>
      <c r="Y1827" s="6"/>
      <c r="Z1827" s="6"/>
    </row>
    <row r="1828" customFormat="false" ht="15" hidden="false" customHeight="false" outlineLevel="0" collapsed="false">
      <c r="A1828" s="9" t="s">
        <v>7671</v>
      </c>
      <c r="B1828" s="9" t="s">
        <v>5870</v>
      </c>
      <c r="C1828" s="9" t="s">
        <v>2056</v>
      </c>
      <c r="D1828" s="9" t="s">
        <v>5871</v>
      </c>
      <c r="E1828" s="9" t="str">
        <f aca="false">IF(AND('Formation Ledger'!A1807&lt;&gt;"",'Formation Ledger'!V1807=0),"PASS","FAIL")</f>
        <v>PASS</v>
      </c>
      <c r="F1828" s="9" t="s">
        <v>76</v>
      </c>
      <c r="G1828" s="6"/>
      <c r="H1828" s="6"/>
      <c r="I1828" s="6"/>
      <c r="J1828" s="6"/>
      <c r="K1828" s="6"/>
      <c r="L1828" s="6"/>
      <c r="M1828" s="6"/>
      <c r="N1828" s="6"/>
      <c r="O1828" s="6"/>
      <c r="P1828" s="6"/>
      <c r="Q1828" s="6"/>
      <c r="R1828" s="6"/>
      <c r="S1828" s="6"/>
      <c r="T1828" s="6"/>
      <c r="U1828" s="6"/>
      <c r="V1828" s="6"/>
      <c r="W1828" s="6"/>
      <c r="X1828" s="6"/>
      <c r="Y1828" s="6"/>
      <c r="Z1828" s="6"/>
    </row>
    <row r="1829" customFormat="false" ht="15" hidden="false" customHeight="false" outlineLevel="0" collapsed="false">
      <c r="A1829" s="9" t="s">
        <v>7672</v>
      </c>
      <c r="B1829" s="9" t="s">
        <v>5870</v>
      </c>
      <c r="C1829" s="9" t="s">
        <v>2057</v>
      </c>
      <c r="D1829" s="9" t="s">
        <v>5871</v>
      </c>
      <c r="E1829" s="9" t="str">
        <f aca="false">IF(AND('Formation Ledger'!A1808&lt;&gt;"",'Formation Ledger'!V1808=0),"PASS","FAIL")</f>
        <v>PASS</v>
      </c>
      <c r="F1829" s="9" t="s">
        <v>76</v>
      </c>
      <c r="G1829" s="6"/>
      <c r="H1829" s="6"/>
      <c r="I1829" s="6"/>
      <c r="J1829" s="6"/>
      <c r="K1829" s="6"/>
      <c r="L1829" s="6"/>
      <c r="M1829" s="6"/>
      <c r="N1829" s="6"/>
      <c r="O1829" s="6"/>
      <c r="P1829" s="6"/>
      <c r="Q1829" s="6"/>
      <c r="R1829" s="6"/>
      <c r="S1829" s="6"/>
      <c r="T1829" s="6"/>
      <c r="U1829" s="6"/>
      <c r="V1829" s="6"/>
      <c r="W1829" s="6"/>
      <c r="X1829" s="6"/>
      <c r="Y1829" s="6"/>
      <c r="Z1829" s="6"/>
    </row>
    <row r="1830" customFormat="false" ht="15" hidden="false" customHeight="false" outlineLevel="0" collapsed="false">
      <c r="A1830" s="9" t="s">
        <v>7673</v>
      </c>
      <c r="B1830" s="9" t="s">
        <v>5870</v>
      </c>
      <c r="C1830" s="9" t="s">
        <v>2058</v>
      </c>
      <c r="D1830" s="9" t="s">
        <v>5871</v>
      </c>
      <c r="E1830" s="9" t="str">
        <f aca="false">IF(AND('Formation Ledger'!A1809&lt;&gt;"",'Formation Ledger'!V1809=0),"PASS","FAIL")</f>
        <v>PASS</v>
      </c>
      <c r="F1830" s="9" t="s">
        <v>76</v>
      </c>
      <c r="G1830" s="6"/>
      <c r="H1830" s="6"/>
      <c r="I1830" s="6"/>
      <c r="J1830" s="6"/>
      <c r="K1830" s="6"/>
      <c r="L1830" s="6"/>
      <c r="M1830" s="6"/>
      <c r="N1830" s="6"/>
      <c r="O1830" s="6"/>
      <c r="P1830" s="6"/>
      <c r="Q1830" s="6"/>
      <c r="R1830" s="6"/>
      <c r="S1830" s="6"/>
      <c r="T1830" s="6"/>
      <c r="U1830" s="6"/>
      <c r="V1830" s="6"/>
      <c r="W1830" s="6"/>
      <c r="X1830" s="6"/>
      <c r="Y1830" s="6"/>
      <c r="Z1830" s="6"/>
    </row>
    <row r="1831" customFormat="false" ht="15" hidden="false" customHeight="false" outlineLevel="0" collapsed="false">
      <c r="A1831" s="9" t="s">
        <v>7674</v>
      </c>
      <c r="B1831" s="9" t="s">
        <v>5870</v>
      </c>
      <c r="C1831" s="9" t="s">
        <v>2059</v>
      </c>
      <c r="D1831" s="9" t="s">
        <v>5871</v>
      </c>
      <c r="E1831" s="9" t="str">
        <f aca="false">IF(AND('Formation Ledger'!A1810&lt;&gt;"",'Formation Ledger'!V1810=0),"PASS","FAIL")</f>
        <v>PASS</v>
      </c>
      <c r="F1831" s="9" t="s">
        <v>76</v>
      </c>
      <c r="G1831" s="6"/>
      <c r="H1831" s="6"/>
      <c r="I1831" s="6"/>
      <c r="J1831" s="6"/>
      <c r="K1831" s="6"/>
      <c r="L1831" s="6"/>
      <c r="M1831" s="6"/>
      <c r="N1831" s="6"/>
      <c r="O1831" s="6"/>
      <c r="P1831" s="6"/>
      <c r="Q1831" s="6"/>
      <c r="R1831" s="6"/>
      <c r="S1831" s="6"/>
      <c r="T1831" s="6"/>
      <c r="U1831" s="6"/>
      <c r="V1831" s="6"/>
      <c r="W1831" s="6"/>
      <c r="X1831" s="6"/>
      <c r="Y1831" s="6"/>
      <c r="Z1831" s="6"/>
    </row>
    <row r="1832" customFormat="false" ht="15" hidden="false" customHeight="false" outlineLevel="0" collapsed="false">
      <c r="A1832" s="9" t="s">
        <v>7675</v>
      </c>
      <c r="B1832" s="9" t="s">
        <v>5870</v>
      </c>
      <c r="C1832" s="9" t="s">
        <v>2060</v>
      </c>
      <c r="D1832" s="9" t="s">
        <v>5871</v>
      </c>
      <c r="E1832" s="9" t="str">
        <f aca="false">IF(AND('Formation Ledger'!A1811&lt;&gt;"",'Formation Ledger'!V1811=0),"PASS","FAIL")</f>
        <v>PASS</v>
      </c>
      <c r="F1832" s="9" t="s">
        <v>76</v>
      </c>
      <c r="G1832" s="6"/>
      <c r="H1832" s="6"/>
      <c r="I1832" s="6"/>
      <c r="J1832" s="6"/>
      <c r="K1832" s="6"/>
      <c r="L1832" s="6"/>
      <c r="M1832" s="6"/>
      <c r="N1832" s="6"/>
      <c r="O1832" s="6"/>
      <c r="P1832" s="6"/>
      <c r="Q1832" s="6"/>
      <c r="R1832" s="6"/>
      <c r="S1832" s="6"/>
      <c r="T1832" s="6"/>
      <c r="U1832" s="6"/>
      <c r="V1832" s="6"/>
      <c r="W1832" s="6"/>
      <c r="X1832" s="6"/>
      <c r="Y1832" s="6"/>
      <c r="Z1832" s="6"/>
    </row>
    <row r="1833" customFormat="false" ht="15" hidden="false" customHeight="false" outlineLevel="0" collapsed="false">
      <c r="A1833" s="9" t="s">
        <v>7676</v>
      </c>
      <c r="B1833" s="9" t="s">
        <v>5870</v>
      </c>
      <c r="C1833" s="9" t="s">
        <v>2061</v>
      </c>
      <c r="D1833" s="9" t="s">
        <v>5871</v>
      </c>
      <c r="E1833" s="9" t="str">
        <f aca="false">IF(AND('Formation Ledger'!A1812&lt;&gt;"",'Formation Ledger'!V1812=0),"PASS","FAIL")</f>
        <v>PASS</v>
      </c>
      <c r="F1833" s="9" t="s">
        <v>76</v>
      </c>
      <c r="G1833" s="6"/>
      <c r="H1833" s="6"/>
      <c r="I1833" s="6"/>
      <c r="J1833" s="6"/>
      <c r="K1833" s="6"/>
      <c r="L1833" s="6"/>
      <c r="M1833" s="6"/>
      <c r="N1833" s="6"/>
      <c r="O1833" s="6"/>
      <c r="P1833" s="6"/>
      <c r="Q1833" s="6"/>
      <c r="R1833" s="6"/>
      <c r="S1833" s="6"/>
      <c r="T1833" s="6"/>
      <c r="U1833" s="6"/>
      <c r="V1833" s="6"/>
      <c r="W1833" s="6"/>
      <c r="X1833" s="6"/>
      <c r="Y1833" s="6"/>
      <c r="Z1833" s="6"/>
    </row>
    <row r="1834" customFormat="false" ht="15" hidden="false" customHeight="false" outlineLevel="0" collapsed="false">
      <c r="A1834" s="9" t="s">
        <v>7677</v>
      </c>
      <c r="B1834" s="9" t="s">
        <v>5870</v>
      </c>
      <c r="C1834" s="9" t="s">
        <v>2062</v>
      </c>
      <c r="D1834" s="9" t="s">
        <v>5871</v>
      </c>
      <c r="E1834" s="9" t="str">
        <f aca="false">IF(AND('Formation Ledger'!A1813&lt;&gt;"",'Formation Ledger'!V1813=0),"PASS","FAIL")</f>
        <v>PASS</v>
      </c>
      <c r="F1834" s="9" t="s">
        <v>76</v>
      </c>
      <c r="G1834" s="6"/>
      <c r="H1834" s="6"/>
      <c r="I1834" s="6"/>
      <c r="J1834" s="6"/>
      <c r="K1834" s="6"/>
      <c r="L1834" s="6"/>
      <c r="M1834" s="6"/>
      <c r="N1834" s="6"/>
      <c r="O1834" s="6"/>
      <c r="P1834" s="6"/>
      <c r="Q1834" s="6"/>
      <c r="R1834" s="6"/>
      <c r="S1834" s="6"/>
      <c r="T1834" s="6"/>
      <c r="U1834" s="6"/>
      <c r="V1834" s="6"/>
      <c r="W1834" s="6"/>
      <c r="X1834" s="6"/>
      <c r="Y1834" s="6"/>
      <c r="Z1834" s="6"/>
    </row>
    <row r="1835" customFormat="false" ht="15" hidden="false" customHeight="false" outlineLevel="0" collapsed="false">
      <c r="A1835" s="9" t="s">
        <v>7678</v>
      </c>
      <c r="B1835" s="9" t="s">
        <v>5870</v>
      </c>
      <c r="C1835" s="9" t="s">
        <v>2063</v>
      </c>
      <c r="D1835" s="9" t="s">
        <v>5871</v>
      </c>
      <c r="E1835" s="9" t="str">
        <f aca="false">IF(AND('Formation Ledger'!A1814&lt;&gt;"",'Formation Ledger'!V1814=0),"PASS","FAIL")</f>
        <v>PASS</v>
      </c>
      <c r="F1835" s="9" t="s">
        <v>76</v>
      </c>
      <c r="G1835" s="6"/>
      <c r="H1835" s="6"/>
      <c r="I1835" s="6"/>
      <c r="J1835" s="6"/>
      <c r="K1835" s="6"/>
      <c r="L1835" s="6"/>
      <c r="M1835" s="6"/>
      <c r="N1835" s="6"/>
      <c r="O1835" s="6"/>
      <c r="P1835" s="6"/>
      <c r="Q1835" s="6"/>
      <c r="R1835" s="6"/>
      <c r="S1835" s="6"/>
      <c r="T1835" s="6"/>
      <c r="U1835" s="6"/>
      <c r="V1835" s="6"/>
      <c r="W1835" s="6"/>
      <c r="X1835" s="6"/>
      <c r="Y1835" s="6"/>
      <c r="Z1835" s="6"/>
    </row>
    <row r="1836" customFormat="false" ht="15" hidden="false" customHeight="false" outlineLevel="0" collapsed="false">
      <c r="A1836" s="9" t="s">
        <v>7679</v>
      </c>
      <c r="B1836" s="9" t="s">
        <v>5870</v>
      </c>
      <c r="C1836" s="9" t="s">
        <v>2064</v>
      </c>
      <c r="D1836" s="9" t="s">
        <v>5871</v>
      </c>
      <c r="E1836" s="9" t="str">
        <f aca="false">IF(AND('Formation Ledger'!A1815&lt;&gt;"",'Formation Ledger'!V1815=0),"PASS","FAIL")</f>
        <v>PASS</v>
      </c>
      <c r="F1836" s="9" t="s">
        <v>76</v>
      </c>
      <c r="G1836" s="6"/>
      <c r="H1836" s="6"/>
      <c r="I1836" s="6"/>
      <c r="J1836" s="6"/>
      <c r="K1836" s="6"/>
      <c r="L1836" s="6"/>
      <c r="M1836" s="6"/>
      <c r="N1836" s="6"/>
      <c r="O1836" s="6"/>
      <c r="P1836" s="6"/>
      <c r="Q1836" s="6"/>
      <c r="R1836" s="6"/>
      <c r="S1836" s="6"/>
      <c r="T1836" s="6"/>
      <c r="U1836" s="6"/>
      <c r="V1836" s="6"/>
      <c r="W1836" s="6"/>
      <c r="X1836" s="6"/>
      <c r="Y1836" s="6"/>
      <c r="Z1836" s="6"/>
    </row>
    <row r="1837" customFormat="false" ht="15" hidden="false" customHeight="false" outlineLevel="0" collapsed="false">
      <c r="A1837" s="9" t="s">
        <v>7680</v>
      </c>
      <c r="B1837" s="9" t="s">
        <v>5870</v>
      </c>
      <c r="C1837" s="9" t="s">
        <v>2065</v>
      </c>
      <c r="D1837" s="9" t="s">
        <v>5871</v>
      </c>
      <c r="E1837" s="9" t="str">
        <f aca="false">IF(AND('Formation Ledger'!A1816&lt;&gt;"",'Formation Ledger'!V1816=0),"PASS","FAIL")</f>
        <v>PASS</v>
      </c>
      <c r="F1837" s="9" t="s">
        <v>76</v>
      </c>
      <c r="G1837" s="6"/>
      <c r="H1837" s="6"/>
      <c r="I1837" s="6"/>
      <c r="J1837" s="6"/>
      <c r="K1837" s="6"/>
      <c r="L1837" s="6"/>
      <c r="M1837" s="6"/>
      <c r="N1837" s="6"/>
      <c r="O1837" s="6"/>
      <c r="P1837" s="6"/>
      <c r="Q1837" s="6"/>
      <c r="R1837" s="6"/>
      <c r="S1837" s="6"/>
      <c r="T1837" s="6"/>
      <c r="U1837" s="6"/>
      <c r="V1837" s="6"/>
      <c r="W1837" s="6"/>
      <c r="X1837" s="6"/>
      <c r="Y1837" s="6"/>
      <c r="Z1837" s="6"/>
    </row>
    <row r="1838" customFormat="false" ht="15" hidden="false" customHeight="false" outlineLevel="0" collapsed="false">
      <c r="A1838" s="9" t="s">
        <v>7681</v>
      </c>
      <c r="B1838" s="9" t="s">
        <v>5870</v>
      </c>
      <c r="C1838" s="9" t="s">
        <v>2066</v>
      </c>
      <c r="D1838" s="9" t="s">
        <v>5871</v>
      </c>
      <c r="E1838" s="9" t="str">
        <f aca="false">IF(AND('Formation Ledger'!A1817&lt;&gt;"",'Formation Ledger'!V1817=0),"PASS","FAIL")</f>
        <v>PASS</v>
      </c>
      <c r="F1838" s="9" t="s">
        <v>76</v>
      </c>
      <c r="G1838" s="6"/>
      <c r="H1838" s="6"/>
      <c r="I1838" s="6"/>
      <c r="J1838" s="6"/>
      <c r="K1838" s="6"/>
      <c r="L1838" s="6"/>
      <c r="M1838" s="6"/>
      <c r="N1838" s="6"/>
      <c r="O1838" s="6"/>
      <c r="P1838" s="6"/>
      <c r="Q1838" s="6"/>
      <c r="R1838" s="6"/>
      <c r="S1838" s="6"/>
      <c r="T1838" s="6"/>
      <c r="U1838" s="6"/>
      <c r="V1838" s="6"/>
      <c r="W1838" s="6"/>
      <c r="X1838" s="6"/>
      <c r="Y1838" s="6"/>
      <c r="Z1838" s="6"/>
    </row>
    <row r="1839" customFormat="false" ht="15" hidden="false" customHeight="false" outlineLevel="0" collapsed="false">
      <c r="A1839" s="9" t="s">
        <v>7682</v>
      </c>
      <c r="B1839" s="9" t="s">
        <v>5870</v>
      </c>
      <c r="C1839" s="9" t="s">
        <v>2067</v>
      </c>
      <c r="D1839" s="9" t="s">
        <v>5871</v>
      </c>
      <c r="E1839" s="9" t="str">
        <f aca="false">IF(AND('Formation Ledger'!A1818&lt;&gt;"",'Formation Ledger'!V1818=0),"PASS","FAIL")</f>
        <v>PASS</v>
      </c>
      <c r="F1839" s="9" t="s">
        <v>76</v>
      </c>
      <c r="G1839" s="6"/>
      <c r="H1839" s="6"/>
      <c r="I1839" s="6"/>
      <c r="J1839" s="6"/>
      <c r="K1839" s="6"/>
      <c r="L1839" s="6"/>
      <c r="M1839" s="6"/>
      <c r="N1839" s="6"/>
      <c r="O1839" s="6"/>
      <c r="P1839" s="6"/>
      <c r="Q1839" s="6"/>
      <c r="R1839" s="6"/>
      <c r="S1839" s="6"/>
      <c r="T1839" s="6"/>
      <c r="U1839" s="6"/>
      <c r="V1839" s="6"/>
      <c r="W1839" s="6"/>
      <c r="X1839" s="6"/>
      <c r="Y1839" s="6"/>
      <c r="Z1839" s="6"/>
    </row>
    <row r="1840" customFormat="false" ht="15" hidden="false" customHeight="false" outlineLevel="0" collapsed="false">
      <c r="A1840" s="9" t="s">
        <v>7683</v>
      </c>
      <c r="B1840" s="9" t="s">
        <v>5870</v>
      </c>
      <c r="C1840" s="9" t="s">
        <v>2068</v>
      </c>
      <c r="D1840" s="9" t="s">
        <v>5871</v>
      </c>
      <c r="E1840" s="9" t="str">
        <f aca="false">IF(AND('Formation Ledger'!A1819&lt;&gt;"",'Formation Ledger'!V1819=0),"PASS","FAIL")</f>
        <v>PASS</v>
      </c>
      <c r="F1840" s="9" t="s">
        <v>76</v>
      </c>
      <c r="G1840" s="6"/>
      <c r="H1840" s="6"/>
      <c r="I1840" s="6"/>
      <c r="J1840" s="6"/>
      <c r="K1840" s="6"/>
      <c r="L1840" s="6"/>
      <c r="M1840" s="6"/>
      <c r="N1840" s="6"/>
      <c r="O1840" s="6"/>
      <c r="P1840" s="6"/>
      <c r="Q1840" s="6"/>
      <c r="R1840" s="6"/>
      <c r="S1840" s="6"/>
      <c r="T1840" s="6"/>
      <c r="U1840" s="6"/>
      <c r="V1840" s="6"/>
      <c r="W1840" s="6"/>
      <c r="X1840" s="6"/>
      <c r="Y1840" s="6"/>
      <c r="Z1840" s="6"/>
    </row>
    <row r="1841" customFormat="false" ht="15" hidden="false" customHeight="false" outlineLevel="0" collapsed="false">
      <c r="A1841" s="9" t="s">
        <v>7684</v>
      </c>
      <c r="B1841" s="9" t="s">
        <v>5870</v>
      </c>
      <c r="C1841" s="9" t="s">
        <v>2069</v>
      </c>
      <c r="D1841" s="9" t="s">
        <v>5871</v>
      </c>
      <c r="E1841" s="9" t="str">
        <f aca="false">IF(AND('Formation Ledger'!A1820&lt;&gt;"",'Formation Ledger'!V1820=0),"PASS","FAIL")</f>
        <v>PASS</v>
      </c>
      <c r="F1841" s="9" t="s">
        <v>76</v>
      </c>
      <c r="G1841" s="6"/>
      <c r="H1841" s="6"/>
      <c r="I1841" s="6"/>
      <c r="J1841" s="6"/>
      <c r="K1841" s="6"/>
      <c r="L1841" s="6"/>
      <c r="M1841" s="6"/>
      <c r="N1841" s="6"/>
      <c r="O1841" s="6"/>
      <c r="P1841" s="6"/>
      <c r="Q1841" s="6"/>
      <c r="R1841" s="6"/>
      <c r="S1841" s="6"/>
      <c r="T1841" s="6"/>
      <c r="U1841" s="6"/>
      <c r="V1841" s="6"/>
      <c r="W1841" s="6"/>
      <c r="X1841" s="6"/>
      <c r="Y1841" s="6"/>
      <c r="Z1841" s="6"/>
    </row>
    <row r="1842" customFormat="false" ht="15" hidden="false" customHeight="false" outlineLevel="0" collapsed="false">
      <c r="A1842" s="9" t="s">
        <v>7685</v>
      </c>
      <c r="B1842" s="9" t="s">
        <v>5870</v>
      </c>
      <c r="C1842" s="9" t="s">
        <v>2070</v>
      </c>
      <c r="D1842" s="9" t="s">
        <v>5871</v>
      </c>
      <c r="E1842" s="9" t="str">
        <f aca="false">IF(AND('Formation Ledger'!A1821&lt;&gt;"",'Formation Ledger'!V1821=0),"PASS","FAIL")</f>
        <v>PASS</v>
      </c>
      <c r="F1842" s="9" t="s">
        <v>76</v>
      </c>
      <c r="G1842" s="6"/>
      <c r="H1842" s="6"/>
      <c r="I1842" s="6"/>
      <c r="J1842" s="6"/>
      <c r="K1842" s="6"/>
      <c r="L1842" s="6"/>
      <c r="M1842" s="6"/>
      <c r="N1842" s="6"/>
      <c r="O1842" s="6"/>
      <c r="P1842" s="6"/>
      <c r="Q1842" s="6"/>
      <c r="R1842" s="6"/>
      <c r="S1842" s="6"/>
      <c r="T1842" s="6"/>
      <c r="U1842" s="6"/>
      <c r="V1842" s="6"/>
      <c r="W1842" s="6"/>
      <c r="X1842" s="6"/>
      <c r="Y1842" s="6"/>
      <c r="Z1842" s="6"/>
    </row>
    <row r="1843" customFormat="false" ht="15" hidden="false" customHeight="false" outlineLevel="0" collapsed="false">
      <c r="A1843" s="9" t="s">
        <v>7686</v>
      </c>
      <c r="B1843" s="9" t="s">
        <v>5870</v>
      </c>
      <c r="C1843" s="9" t="s">
        <v>2071</v>
      </c>
      <c r="D1843" s="9" t="s">
        <v>5871</v>
      </c>
      <c r="E1843" s="9" t="str">
        <f aca="false">IF(AND('Formation Ledger'!A1822&lt;&gt;"",'Formation Ledger'!V1822=0),"PASS","FAIL")</f>
        <v>PASS</v>
      </c>
      <c r="F1843" s="9" t="s">
        <v>76</v>
      </c>
      <c r="G1843" s="6"/>
      <c r="H1843" s="6"/>
      <c r="I1843" s="6"/>
      <c r="J1843" s="6"/>
      <c r="K1843" s="6"/>
      <c r="L1843" s="6"/>
      <c r="M1843" s="6"/>
      <c r="N1843" s="6"/>
      <c r="O1843" s="6"/>
      <c r="P1843" s="6"/>
      <c r="Q1843" s="6"/>
      <c r="R1843" s="6"/>
      <c r="S1843" s="6"/>
      <c r="T1843" s="6"/>
      <c r="U1843" s="6"/>
      <c r="V1843" s="6"/>
      <c r="W1843" s="6"/>
      <c r="X1843" s="6"/>
      <c r="Y1843" s="6"/>
      <c r="Z1843" s="6"/>
    </row>
    <row r="1844" customFormat="false" ht="15" hidden="false" customHeight="false" outlineLevel="0" collapsed="false">
      <c r="A1844" s="9" t="s">
        <v>7687</v>
      </c>
      <c r="B1844" s="9" t="s">
        <v>5870</v>
      </c>
      <c r="C1844" s="9" t="s">
        <v>2072</v>
      </c>
      <c r="D1844" s="9" t="s">
        <v>5871</v>
      </c>
      <c r="E1844" s="9" t="str">
        <f aca="false">IF(AND('Formation Ledger'!A1823&lt;&gt;"",'Formation Ledger'!V1823=0),"PASS","FAIL")</f>
        <v>PASS</v>
      </c>
      <c r="F1844" s="9" t="s">
        <v>76</v>
      </c>
      <c r="G1844" s="6"/>
      <c r="H1844" s="6"/>
      <c r="I1844" s="6"/>
      <c r="J1844" s="6"/>
      <c r="K1844" s="6"/>
      <c r="L1844" s="6"/>
      <c r="M1844" s="6"/>
      <c r="N1844" s="6"/>
      <c r="O1844" s="6"/>
      <c r="P1844" s="6"/>
      <c r="Q1844" s="6"/>
      <c r="R1844" s="6"/>
      <c r="S1844" s="6"/>
      <c r="T1844" s="6"/>
      <c r="U1844" s="6"/>
      <c r="V1844" s="6"/>
      <c r="W1844" s="6"/>
      <c r="X1844" s="6"/>
      <c r="Y1844" s="6"/>
      <c r="Z1844" s="6"/>
    </row>
    <row r="1845" customFormat="false" ht="15" hidden="false" customHeight="false" outlineLevel="0" collapsed="false">
      <c r="A1845" s="9" t="s">
        <v>7688</v>
      </c>
      <c r="B1845" s="9" t="s">
        <v>5870</v>
      </c>
      <c r="C1845" s="9" t="s">
        <v>2073</v>
      </c>
      <c r="D1845" s="9" t="s">
        <v>5871</v>
      </c>
      <c r="E1845" s="9" t="str">
        <f aca="false">IF(AND('Formation Ledger'!A1824&lt;&gt;"",'Formation Ledger'!V1824=0),"PASS","FAIL")</f>
        <v>PASS</v>
      </c>
      <c r="F1845" s="9" t="s">
        <v>76</v>
      </c>
      <c r="G1845" s="6"/>
      <c r="H1845" s="6"/>
      <c r="I1845" s="6"/>
      <c r="J1845" s="6"/>
      <c r="K1845" s="6"/>
      <c r="L1845" s="6"/>
      <c r="M1845" s="6"/>
      <c r="N1845" s="6"/>
      <c r="O1845" s="6"/>
      <c r="P1845" s="6"/>
      <c r="Q1845" s="6"/>
      <c r="R1845" s="6"/>
      <c r="S1845" s="6"/>
      <c r="T1845" s="6"/>
      <c r="U1845" s="6"/>
      <c r="V1845" s="6"/>
      <c r="W1845" s="6"/>
      <c r="X1845" s="6"/>
      <c r="Y1845" s="6"/>
      <c r="Z1845" s="6"/>
    </row>
    <row r="1846" customFormat="false" ht="15" hidden="false" customHeight="false" outlineLevel="0" collapsed="false">
      <c r="A1846" s="9" t="s">
        <v>7689</v>
      </c>
      <c r="B1846" s="9" t="s">
        <v>5870</v>
      </c>
      <c r="C1846" s="9" t="s">
        <v>2074</v>
      </c>
      <c r="D1846" s="9" t="s">
        <v>5871</v>
      </c>
      <c r="E1846" s="9" t="str">
        <f aca="false">IF(AND('Formation Ledger'!A1825&lt;&gt;"",'Formation Ledger'!V1825=0),"PASS","FAIL")</f>
        <v>PASS</v>
      </c>
      <c r="F1846" s="9" t="s">
        <v>76</v>
      </c>
      <c r="G1846" s="6"/>
      <c r="H1846" s="6"/>
      <c r="I1846" s="6"/>
      <c r="J1846" s="6"/>
      <c r="K1846" s="6"/>
      <c r="L1846" s="6"/>
      <c r="M1846" s="6"/>
      <c r="N1846" s="6"/>
      <c r="O1846" s="6"/>
      <c r="P1846" s="6"/>
      <c r="Q1846" s="6"/>
      <c r="R1846" s="6"/>
      <c r="S1846" s="6"/>
      <c r="T1846" s="6"/>
      <c r="U1846" s="6"/>
      <c r="V1846" s="6"/>
      <c r="W1846" s="6"/>
      <c r="X1846" s="6"/>
      <c r="Y1846" s="6"/>
      <c r="Z1846" s="6"/>
    </row>
    <row r="1847" customFormat="false" ht="15" hidden="false" customHeight="false" outlineLevel="0" collapsed="false">
      <c r="A1847" s="9" t="s">
        <v>7690</v>
      </c>
      <c r="B1847" s="9" t="s">
        <v>5870</v>
      </c>
      <c r="C1847" s="9" t="s">
        <v>2075</v>
      </c>
      <c r="D1847" s="9" t="s">
        <v>5871</v>
      </c>
      <c r="E1847" s="9" t="str">
        <f aca="false">IF(AND('Formation Ledger'!A1826&lt;&gt;"",'Formation Ledger'!V1826=0),"PASS","FAIL")</f>
        <v>PASS</v>
      </c>
      <c r="F1847" s="9" t="s">
        <v>76</v>
      </c>
      <c r="G1847" s="6"/>
      <c r="H1847" s="6"/>
      <c r="I1847" s="6"/>
      <c r="J1847" s="6"/>
      <c r="K1847" s="6"/>
      <c r="L1847" s="6"/>
      <c r="M1847" s="6"/>
      <c r="N1847" s="6"/>
      <c r="O1847" s="6"/>
      <c r="P1847" s="6"/>
      <c r="Q1847" s="6"/>
      <c r="R1847" s="6"/>
      <c r="S1847" s="6"/>
      <c r="T1847" s="6"/>
      <c r="U1847" s="6"/>
      <c r="V1847" s="6"/>
      <c r="W1847" s="6"/>
      <c r="X1847" s="6"/>
      <c r="Y1847" s="6"/>
      <c r="Z1847" s="6"/>
    </row>
    <row r="1848" customFormat="false" ht="15" hidden="false" customHeight="false" outlineLevel="0" collapsed="false">
      <c r="A1848" s="9" t="s">
        <v>7691</v>
      </c>
      <c r="B1848" s="9" t="s">
        <v>5870</v>
      </c>
      <c r="C1848" s="9" t="s">
        <v>2076</v>
      </c>
      <c r="D1848" s="9" t="s">
        <v>5871</v>
      </c>
      <c r="E1848" s="9" t="str">
        <f aca="false">IF(AND('Formation Ledger'!A1827&lt;&gt;"",'Formation Ledger'!V1827=0),"PASS","FAIL")</f>
        <v>PASS</v>
      </c>
      <c r="F1848" s="9" t="s">
        <v>76</v>
      </c>
      <c r="G1848" s="6"/>
      <c r="H1848" s="6"/>
      <c r="I1848" s="6"/>
      <c r="J1848" s="6"/>
      <c r="K1848" s="6"/>
      <c r="L1848" s="6"/>
      <c r="M1848" s="6"/>
      <c r="N1848" s="6"/>
      <c r="O1848" s="6"/>
      <c r="P1848" s="6"/>
      <c r="Q1848" s="6"/>
      <c r="R1848" s="6"/>
      <c r="S1848" s="6"/>
      <c r="T1848" s="6"/>
      <c r="U1848" s="6"/>
      <c r="V1848" s="6"/>
      <c r="W1848" s="6"/>
      <c r="X1848" s="6"/>
      <c r="Y1848" s="6"/>
      <c r="Z1848" s="6"/>
    </row>
    <row r="1849" customFormat="false" ht="15" hidden="false" customHeight="false" outlineLevel="0" collapsed="false">
      <c r="A1849" s="9" t="s">
        <v>7692</v>
      </c>
      <c r="B1849" s="9" t="s">
        <v>5870</v>
      </c>
      <c r="C1849" s="9" t="s">
        <v>2077</v>
      </c>
      <c r="D1849" s="9" t="s">
        <v>5871</v>
      </c>
      <c r="E1849" s="9" t="str">
        <f aca="false">IF(AND('Formation Ledger'!A1828&lt;&gt;"",'Formation Ledger'!V1828=0),"PASS","FAIL")</f>
        <v>PASS</v>
      </c>
      <c r="F1849" s="9" t="s">
        <v>76</v>
      </c>
      <c r="G1849" s="6"/>
      <c r="H1849" s="6"/>
      <c r="I1849" s="6"/>
      <c r="J1849" s="6"/>
      <c r="K1849" s="6"/>
      <c r="L1849" s="6"/>
      <c r="M1849" s="6"/>
      <c r="N1849" s="6"/>
      <c r="O1849" s="6"/>
      <c r="P1849" s="6"/>
      <c r="Q1849" s="6"/>
      <c r="R1849" s="6"/>
      <c r="S1849" s="6"/>
      <c r="T1849" s="6"/>
      <c r="U1849" s="6"/>
      <c r="V1849" s="6"/>
      <c r="W1849" s="6"/>
      <c r="X1849" s="6"/>
      <c r="Y1849" s="6"/>
      <c r="Z1849" s="6"/>
    </row>
    <row r="1850" customFormat="false" ht="15" hidden="false" customHeight="false" outlineLevel="0" collapsed="false">
      <c r="A1850" s="9" t="s">
        <v>7693</v>
      </c>
      <c r="B1850" s="9" t="s">
        <v>5870</v>
      </c>
      <c r="C1850" s="9" t="s">
        <v>2078</v>
      </c>
      <c r="D1850" s="9" t="s">
        <v>5871</v>
      </c>
      <c r="E1850" s="9" t="str">
        <f aca="false">IF(AND('Formation Ledger'!A1829&lt;&gt;"",'Formation Ledger'!V1829=0),"PASS","FAIL")</f>
        <v>PASS</v>
      </c>
      <c r="F1850" s="9" t="s">
        <v>76</v>
      </c>
      <c r="G1850" s="6"/>
      <c r="H1850" s="6"/>
      <c r="I1850" s="6"/>
      <c r="J1850" s="6"/>
      <c r="K1850" s="6"/>
      <c r="L1850" s="6"/>
      <c r="M1850" s="6"/>
      <c r="N1850" s="6"/>
      <c r="O1850" s="6"/>
      <c r="P1850" s="6"/>
      <c r="Q1850" s="6"/>
      <c r="R1850" s="6"/>
      <c r="S1850" s="6"/>
      <c r="T1850" s="6"/>
      <c r="U1850" s="6"/>
      <c r="V1850" s="6"/>
      <c r="W1850" s="6"/>
      <c r="X1850" s="6"/>
      <c r="Y1850" s="6"/>
      <c r="Z1850" s="6"/>
    </row>
    <row r="1851" customFormat="false" ht="15" hidden="false" customHeight="false" outlineLevel="0" collapsed="false">
      <c r="A1851" s="9" t="s">
        <v>7694</v>
      </c>
      <c r="B1851" s="9" t="s">
        <v>5870</v>
      </c>
      <c r="C1851" s="9" t="s">
        <v>2079</v>
      </c>
      <c r="D1851" s="9" t="s">
        <v>5871</v>
      </c>
      <c r="E1851" s="9" t="str">
        <f aca="false">IF(AND('Formation Ledger'!A1830&lt;&gt;"",'Formation Ledger'!V1830=0),"PASS","FAIL")</f>
        <v>PASS</v>
      </c>
      <c r="F1851" s="9" t="s">
        <v>76</v>
      </c>
      <c r="G1851" s="6"/>
      <c r="H1851" s="6"/>
      <c r="I1851" s="6"/>
      <c r="J1851" s="6"/>
      <c r="K1851" s="6"/>
      <c r="L1851" s="6"/>
      <c r="M1851" s="6"/>
      <c r="N1851" s="6"/>
      <c r="O1851" s="6"/>
      <c r="P1851" s="6"/>
      <c r="Q1851" s="6"/>
      <c r="R1851" s="6"/>
      <c r="S1851" s="6"/>
      <c r="T1851" s="6"/>
      <c r="U1851" s="6"/>
      <c r="V1851" s="6"/>
      <c r="W1851" s="6"/>
      <c r="X1851" s="6"/>
      <c r="Y1851" s="6"/>
      <c r="Z1851" s="6"/>
    </row>
    <row r="1852" customFormat="false" ht="15" hidden="false" customHeight="false" outlineLevel="0" collapsed="false">
      <c r="A1852" s="9" t="s">
        <v>7695</v>
      </c>
      <c r="B1852" s="9" t="s">
        <v>5870</v>
      </c>
      <c r="C1852" s="9" t="s">
        <v>2080</v>
      </c>
      <c r="D1852" s="9" t="s">
        <v>5871</v>
      </c>
      <c r="E1852" s="9" t="str">
        <f aca="false">IF(AND('Formation Ledger'!A1831&lt;&gt;"",'Formation Ledger'!V1831=0),"PASS","FAIL")</f>
        <v>PASS</v>
      </c>
      <c r="F1852" s="9" t="s">
        <v>76</v>
      </c>
      <c r="G1852" s="6"/>
      <c r="H1852" s="6"/>
      <c r="I1852" s="6"/>
      <c r="J1852" s="6"/>
      <c r="K1852" s="6"/>
      <c r="L1852" s="6"/>
      <c r="M1852" s="6"/>
      <c r="N1852" s="6"/>
      <c r="O1852" s="6"/>
      <c r="P1852" s="6"/>
      <c r="Q1852" s="6"/>
      <c r="R1852" s="6"/>
      <c r="S1852" s="6"/>
      <c r="T1852" s="6"/>
      <c r="U1852" s="6"/>
      <c r="V1852" s="6"/>
      <c r="W1852" s="6"/>
      <c r="X1852" s="6"/>
      <c r="Y1852" s="6"/>
      <c r="Z1852" s="6"/>
    </row>
    <row r="1853" customFormat="false" ht="15" hidden="false" customHeight="false" outlineLevel="0" collapsed="false">
      <c r="A1853" s="9" t="s">
        <v>7696</v>
      </c>
      <c r="B1853" s="9" t="s">
        <v>5870</v>
      </c>
      <c r="C1853" s="9" t="s">
        <v>2081</v>
      </c>
      <c r="D1853" s="9" t="s">
        <v>5871</v>
      </c>
      <c r="E1853" s="9" t="str">
        <f aca="false">IF(AND('Formation Ledger'!A1832&lt;&gt;"",'Formation Ledger'!V1832=0),"PASS","FAIL")</f>
        <v>PASS</v>
      </c>
      <c r="F1853" s="9" t="s">
        <v>76</v>
      </c>
      <c r="G1853" s="6"/>
      <c r="H1853" s="6"/>
      <c r="I1853" s="6"/>
      <c r="J1853" s="6"/>
      <c r="K1853" s="6"/>
      <c r="L1853" s="6"/>
      <c r="M1853" s="6"/>
      <c r="N1853" s="6"/>
      <c r="O1853" s="6"/>
      <c r="P1853" s="6"/>
      <c r="Q1853" s="6"/>
      <c r="R1853" s="6"/>
      <c r="S1853" s="6"/>
      <c r="T1853" s="6"/>
      <c r="U1853" s="6"/>
      <c r="V1853" s="6"/>
      <c r="W1853" s="6"/>
      <c r="X1853" s="6"/>
      <c r="Y1853" s="6"/>
      <c r="Z1853" s="6"/>
    </row>
    <row r="1854" customFormat="false" ht="15" hidden="false" customHeight="false" outlineLevel="0" collapsed="false">
      <c r="A1854" s="9" t="s">
        <v>7697</v>
      </c>
      <c r="B1854" s="9" t="s">
        <v>5870</v>
      </c>
      <c r="C1854" s="9" t="s">
        <v>2082</v>
      </c>
      <c r="D1854" s="9" t="s">
        <v>5871</v>
      </c>
      <c r="E1854" s="9" t="str">
        <f aca="false">IF(AND('Formation Ledger'!A1833&lt;&gt;"",'Formation Ledger'!V1833=0),"PASS","FAIL")</f>
        <v>PASS</v>
      </c>
      <c r="F1854" s="9" t="s">
        <v>76</v>
      </c>
      <c r="G1854" s="6"/>
      <c r="H1854" s="6"/>
      <c r="I1854" s="6"/>
      <c r="J1854" s="6"/>
      <c r="K1854" s="6"/>
      <c r="L1854" s="6"/>
      <c r="M1854" s="6"/>
      <c r="N1854" s="6"/>
      <c r="O1854" s="6"/>
      <c r="P1854" s="6"/>
      <c r="Q1854" s="6"/>
      <c r="R1854" s="6"/>
      <c r="S1854" s="6"/>
      <c r="T1854" s="6"/>
      <c r="U1854" s="6"/>
      <c r="V1854" s="6"/>
      <c r="W1854" s="6"/>
      <c r="X1854" s="6"/>
      <c r="Y1854" s="6"/>
      <c r="Z1854" s="6"/>
    </row>
    <row r="1855" customFormat="false" ht="15" hidden="false" customHeight="false" outlineLevel="0" collapsed="false">
      <c r="A1855" s="9" t="s">
        <v>7698</v>
      </c>
      <c r="B1855" s="9" t="s">
        <v>5870</v>
      </c>
      <c r="C1855" s="9" t="s">
        <v>2083</v>
      </c>
      <c r="D1855" s="9" t="s">
        <v>5871</v>
      </c>
      <c r="E1855" s="9" t="str">
        <f aca="false">IF(AND('Formation Ledger'!A1834&lt;&gt;"",'Formation Ledger'!V1834=0),"PASS","FAIL")</f>
        <v>PASS</v>
      </c>
      <c r="F1855" s="9" t="s">
        <v>76</v>
      </c>
      <c r="G1855" s="6"/>
      <c r="H1855" s="6"/>
      <c r="I1855" s="6"/>
      <c r="J1855" s="6"/>
      <c r="K1855" s="6"/>
      <c r="L1855" s="6"/>
      <c r="M1855" s="6"/>
      <c r="N1855" s="6"/>
      <c r="O1855" s="6"/>
      <c r="P1855" s="6"/>
      <c r="Q1855" s="6"/>
      <c r="R1855" s="6"/>
      <c r="S1855" s="6"/>
      <c r="T1855" s="6"/>
      <c r="U1855" s="6"/>
      <c r="V1855" s="6"/>
      <c r="W1855" s="6"/>
      <c r="X1855" s="6"/>
      <c r="Y1855" s="6"/>
      <c r="Z1855" s="6"/>
    </row>
    <row r="1856" customFormat="false" ht="15" hidden="false" customHeight="false" outlineLevel="0" collapsed="false">
      <c r="A1856" s="9" t="s">
        <v>7699</v>
      </c>
      <c r="B1856" s="9" t="s">
        <v>5870</v>
      </c>
      <c r="C1856" s="9" t="s">
        <v>2084</v>
      </c>
      <c r="D1856" s="9" t="s">
        <v>5871</v>
      </c>
      <c r="E1856" s="9" t="str">
        <f aca="false">IF(AND('Formation Ledger'!A1835&lt;&gt;"",'Formation Ledger'!V1835=0),"PASS","FAIL")</f>
        <v>PASS</v>
      </c>
      <c r="F1856" s="9" t="s">
        <v>76</v>
      </c>
      <c r="G1856" s="6"/>
      <c r="H1856" s="6"/>
      <c r="I1856" s="6"/>
      <c r="J1856" s="6"/>
      <c r="K1856" s="6"/>
      <c r="L1856" s="6"/>
      <c r="M1856" s="6"/>
      <c r="N1856" s="6"/>
      <c r="O1856" s="6"/>
      <c r="P1856" s="6"/>
      <c r="Q1856" s="6"/>
      <c r="R1856" s="6"/>
      <c r="S1856" s="6"/>
      <c r="T1856" s="6"/>
      <c r="U1856" s="6"/>
      <c r="V1856" s="6"/>
      <c r="W1856" s="6"/>
      <c r="X1856" s="6"/>
      <c r="Y1856" s="6"/>
      <c r="Z1856" s="6"/>
    </row>
    <row r="1857" customFormat="false" ht="15" hidden="false" customHeight="false" outlineLevel="0" collapsed="false">
      <c r="A1857" s="9" t="s">
        <v>7700</v>
      </c>
      <c r="B1857" s="9" t="s">
        <v>5870</v>
      </c>
      <c r="C1857" s="9" t="s">
        <v>2085</v>
      </c>
      <c r="D1857" s="9" t="s">
        <v>5871</v>
      </c>
      <c r="E1857" s="9" t="str">
        <f aca="false">IF(AND('Formation Ledger'!A1836&lt;&gt;"",'Formation Ledger'!V1836=0),"PASS","FAIL")</f>
        <v>PASS</v>
      </c>
      <c r="F1857" s="9" t="s">
        <v>76</v>
      </c>
      <c r="G1857" s="6"/>
      <c r="H1857" s="6"/>
      <c r="I1857" s="6"/>
      <c r="J1857" s="6"/>
      <c r="K1857" s="6"/>
      <c r="L1857" s="6"/>
      <c r="M1857" s="6"/>
      <c r="N1857" s="6"/>
      <c r="O1857" s="6"/>
      <c r="P1857" s="6"/>
      <c r="Q1857" s="6"/>
      <c r="R1857" s="6"/>
      <c r="S1857" s="6"/>
      <c r="T1857" s="6"/>
      <c r="U1857" s="6"/>
      <c r="V1857" s="6"/>
      <c r="W1857" s="6"/>
      <c r="X1857" s="6"/>
      <c r="Y1857" s="6"/>
      <c r="Z1857" s="6"/>
    </row>
    <row r="1858" customFormat="false" ht="15" hidden="false" customHeight="false" outlineLevel="0" collapsed="false">
      <c r="A1858" s="9" t="s">
        <v>7701</v>
      </c>
      <c r="B1858" s="9" t="s">
        <v>5870</v>
      </c>
      <c r="C1858" s="9" t="s">
        <v>2086</v>
      </c>
      <c r="D1858" s="9" t="s">
        <v>5871</v>
      </c>
      <c r="E1858" s="9" t="str">
        <f aca="false">IF(AND('Formation Ledger'!A1837&lt;&gt;"",'Formation Ledger'!V1837=0),"PASS","FAIL")</f>
        <v>PASS</v>
      </c>
      <c r="F1858" s="9" t="s">
        <v>76</v>
      </c>
      <c r="G1858" s="6"/>
      <c r="H1858" s="6"/>
      <c r="I1858" s="6"/>
      <c r="J1858" s="6"/>
      <c r="K1858" s="6"/>
      <c r="L1858" s="6"/>
      <c r="M1858" s="6"/>
      <c r="N1858" s="6"/>
      <c r="O1858" s="6"/>
      <c r="P1858" s="6"/>
      <c r="Q1858" s="6"/>
      <c r="R1858" s="6"/>
      <c r="S1858" s="6"/>
      <c r="T1858" s="6"/>
      <c r="U1858" s="6"/>
      <c r="V1858" s="6"/>
      <c r="W1858" s="6"/>
      <c r="X1858" s="6"/>
      <c r="Y1858" s="6"/>
      <c r="Z1858" s="6"/>
    </row>
    <row r="1859" customFormat="false" ht="15" hidden="false" customHeight="false" outlineLevel="0" collapsed="false">
      <c r="A1859" s="9" t="s">
        <v>7702</v>
      </c>
      <c r="B1859" s="9" t="s">
        <v>5870</v>
      </c>
      <c r="C1859" s="9" t="s">
        <v>2087</v>
      </c>
      <c r="D1859" s="9" t="s">
        <v>5871</v>
      </c>
      <c r="E1859" s="9" t="str">
        <f aca="false">IF(AND('Formation Ledger'!A1838&lt;&gt;"",'Formation Ledger'!V1838=0),"PASS","FAIL")</f>
        <v>PASS</v>
      </c>
      <c r="F1859" s="9" t="s">
        <v>76</v>
      </c>
      <c r="G1859" s="6"/>
      <c r="H1859" s="6"/>
      <c r="I1859" s="6"/>
      <c r="J1859" s="6"/>
      <c r="K1859" s="6"/>
      <c r="L1859" s="6"/>
      <c r="M1859" s="6"/>
      <c r="N1859" s="6"/>
      <c r="O1859" s="6"/>
      <c r="P1859" s="6"/>
      <c r="Q1859" s="6"/>
      <c r="R1859" s="6"/>
      <c r="S1859" s="6"/>
      <c r="T1859" s="6"/>
      <c r="U1859" s="6"/>
      <c r="V1859" s="6"/>
      <c r="W1859" s="6"/>
      <c r="X1859" s="6"/>
      <c r="Y1859" s="6"/>
      <c r="Z1859" s="6"/>
    </row>
    <row r="1860" customFormat="false" ht="15" hidden="false" customHeight="false" outlineLevel="0" collapsed="false">
      <c r="A1860" s="9" t="s">
        <v>7703</v>
      </c>
      <c r="B1860" s="9" t="s">
        <v>5870</v>
      </c>
      <c r="C1860" s="9" t="s">
        <v>2088</v>
      </c>
      <c r="D1860" s="9" t="s">
        <v>5871</v>
      </c>
      <c r="E1860" s="9" t="str">
        <f aca="false">IF(AND('Formation Ledger'!A1839&lt;&gt;"",'Formation Ledger'!V1839=0),"PASS","FAIL")</f>
        <v>PASS</v>
      </c>
      <c r="F1860" s="9" t="s">
        <v>76</v>
      </c>
      <c r="G1860" s="6"/>
      <c r="H1860" s="6"/>
      <c r="I1860" s="6"/>
      <c r="J1860" s="6"/>
      <c r="K1860" s="6"/>
      <c r="L1860" s="6"/>
      <c r="M1860" s="6"/>
      <c r="N1860" s="6"/>
      <c r="O1860" s="6"/>
      <c r="P1860" s="6"/>
      <c r="Q1860" s="6"/>
      <c r="R1860" s="6"/>
      <c r="S1860" s="6"/>
      <c r="T1860" s="6"/>
      <c r="U1860" s="6"/>
      <c r="V1860" s="6"/>
      <c r="W1860" s="6"/>
      <c r="X1860" s="6"/>
      <c r="Y1860" s="6"/>
      <c r="Z1860" s="6"/>
    </row>
    <row r="1861" customFormat="false" ht="15" hidden="false" customHeight="false" outlineLevel="0" collapsed="false">
      <c r="A1861" s="9" t="s">
        <v>7704</v>
      </c>
      <c r="B1861" s="9" t="s">
        <v>5870</v>
      </c>
      <c r="C1861" s="9" t="s">
        <v>2089</v>
      </c>
      <c r="D1861" s="9" t="s">
        <v>5871</v>
      </c>
      <c r="E1861" s="9" t="str">
        <f aca="false">IF(AND('Formation Ledger'!A1840&lt;&gt;"",'Formation Ledger'!V1840=0),"PASS","FAIL")</f>
        <v>PASS</v>
      </c>
      <c r="F1861" s="9" t="s">
        <v>76</v>
      </c>
      <c r="G1861" s="6"/>
      <c r="H1861" s="6"/>
      <c r="I1861" s="6"/>
      <c r="J1861" s="6"/>
      <c r="K1861" s="6"/>
      <c r="L1861" s="6"/>
      <c r="M1861" s="6"/>
      <c r="N1861" s="6"/>
      <c r="O1861" s="6"/>
      <c r="P1861" s="6"/>
      <c r="Q1861" s="6"/>
      <c r="R1861" s="6"/>
      <c r="S1861" s="6"/>
      <c r="T1861" s="6"/>
      <c r="U1861" s="6"/>
      <c r="V1861" s="6"/>
      <c r="W1861" s="6"/>
      <c r="X1861" s="6"/>
      <c r="Y1861" s="6"/>
      <c r="Z1861" s="6"/>
    </row>
    <row r="1862" customFormat="false" ht="15" hidden="false" customHeight="false" outlineLevel="0" collapsed="false">
      <c r="A1862" s="9" t="s">
        <v>7705</v>
      </c>
      <c r="B1862" s="9" t="s">
        <v>5870</v>
      </c>
      <c r="C1862" s="9" t="s">
        <v>2090</v>
      </c>
      <c r="D1862" s="9" t="s">
        <v>5871</v>
      </c>
      <c r="E1862" s="9" t="str">
        <f aca="false">IF(AND('Formation Ledger'!A1841&lt;&gt;"",'Formation Ledger'!V1841=0),"PASS","FAIL")</f>
        <v>PASS</v>
      </c>
      <c r="F1862" s="9" t="s">
        <v>76</v>
      </c>
      <c r="G1862" s="6"/>
      <c r="H1862" s="6"/>
      <c r="I1862" s="6"/>
      <c r="J1862" s="6"/>
      <c r="K1862" s="6"/>
      <c r="L1862" s="6"/>
      <c r="M1862" s="6"/>
      <c r="N1862" s="6"/>
      <c r="O1862" s="6"/>
      <c r="P1862" s="6"/>
      <c r="Q1862" s="6"/>
      <c r="R1862" s="6"/>
      <c r="S1862" s="6"/>
      <c r="T1862" s="6"/>
      <c r="U1862" s="6"/>
      <c r="V1862" s="6"/>
      <c r="W1862" s="6"/>
      <c r="X1862" s="6"/>
      <c r="Y1862" s="6"/>
      <c r="Z1862" s="6"/>
    </row>
    <row r="1863" customFormat="false" ht="15" hidden="false" customHeight="false" outlineLevel="0" collapsed="false">
      <c r="A1863" s="9" t="s">
        <v>7706</v>
      </c>
      <c r="B1863" s="9" t="s">
        <v>5870</v>
      </c>
      <c r="C1863" s="9" t="s">
        <v>2091</v>
      </c>
      <c r="D1863" s="9" t="s">
        <v>5871</v>
      </c>
      <c r="E1863" s="9" t="str">
        <f aca="false">IF(AND('Formation Ledger'!A1842&lt;&gt;"",'Formation Ledger'!V1842=0),"PASS","FAIL")</f>
        <v>PASS</v>
      </c>
      <c r="F1863" s="9" t="s">
        <v>76</v>
      </c>
      <c r="G1863" s="6"/>
      <c r="H1863" s="6"/>
      <c r="I1863" s="6"/>
      <c r="J1863" s="6"/>
      <c r="K1863" s="6"/>
      <c r="L1863" s="6"/>
      <c r="M1863" s="6"/>
      <c r="N1863" s="6"/>
      <c r="O1863" s="6"/>
      <c r="P1863" s="6"/>
      <c r="Q1863" s="6"/>
      <c r="R1863" s="6"/>
      <c r="S1863" s="6"/>
      <c r="T1863" s="6"/>
      <c r="U1863" s="6"/>
      <c r="V1863" s="6"/>
      <c r="W1863" s="6"/>
      <c r="X1863" s="6"/>
      <c r="Y1863" s="6"/>
      <c r="Z1863" s="6"/>
    </row>
    <row r="1864" customFormat="false" ht="15" hidden="false" customHeight="false" outlineLevel="0" collapsed="false">
      <c r="A1864" s="9" t="s">
        <v>7707</v>
      </c>
      <c r="B1864" s="9" t="s">
        <v>5870</v>
      </c>
      <c r="C1864" s="9" t="s">
        <v>2092</v>
      </c>
      <c r="D1864" s="9" t="s">
        <v>5871</v>
      </c>
      <c r="E1864" s="9" t="str">
        <f aca="false">IF(AND('Formation Ledger'!A1843&lt;&gt;"",'Formation Ledger'!V1843=0),"PASS","FAIL")</f>
        <v>PASS</v>
      </c>
      <c r="F1864" s="9" t="s">
        <v>76</v>
      </c>
      <c r="G1864" s="6"/>
      <c r="H1864" s="6"/>
      <c r="I1864" s="6"/>
      <c r="J1864" s="6"/>
      <c r="K1864" s="6"/>
      <c r="L1864" s="6"/>
      <c r="M1864" s="6"/>
      <c r="N1864" s="6"/>
      <c r="O1864" s="6"/>
      <c r="P1864" s="6"/>
      <c r="Q1864" s="6"/>
      <c r="R1864" s="6"/>
      <c r="S1864" s="6"/>
      <c r="T1864" s="6"/>
      <c r="U1864" s="6"/>
      <c r="V1864" s="6"/>
      <c r="W1864" s="6"/>
      <c r="X1864" s="6"/>
      <c r="Y1864" s="6"/>
      <c r="Z1864" s="6"/>
    </row>
    <row r="1865" customFormat="false" ht="15" hidden="false" customHeight="false" outlineLevel="0" collapsed="false">
      <c r="A1865" s="9" t="s">
        <v>7708</v>
      </c>
      <c r="B1865" s="9" t="s">
        <v>5870</v>
      </c>
      <c r="C1865" s="9" t="s">
        <v>2095</v>
      </c>
      <c r="D1865" s="9" t="s">
        <v>5871</v>
      </c>
      <c r="E1865" s="9" t="str">
        <f aca="false">IF(AND('Formation Ledger'!A1844&lt;&gt;"",'Formation Ledger'!V1844=0),"PASS","FAIL")</f>
        <v>PASS</v>
      </c>
      <c r="F1865" s="9" t="s">
        <v>76</v>
      </c>
      <c r="G1865" s="6"/>
      <c r="H1865" s="6"/>
      <c r="I1865" s="6"/>
      <c r="J1865" s="6"/>
      <c r="K1865" s="6"/>
      <c r="L1865" s="6"/>
      <c r="M1865" s="6"/>
      <c r="N1865" s="6"/>
      <c r="O1865" s="6"/>
      <c r="P1865" s="6"/>
      <c r="Q1865" s="6"/>
      <c r="R1865" s="6"/>
      <c r="S1865" s="6"/>
      <c r="T1865" s="6"/>
      <c r="U1865" s="6"/>
      <c r="V1865" s="6"/>
      <c r="W1865" s="6"/>
      <c r="X1865" s="6"/>
      <c r="Y1865" s="6"/>
      <c r="Z1865" s="6"/>
    </row>
    <row r="1866" customFormat="false" ht="15" hidden="false" customHeight="false" outlineLevel="0" collapsed="false">
      <c r="A1866" s="9" t="s">
        <v>7709</v>
      </c>
      <c r="B1866" s="9" t="s">
        <v>5870</v>
      </c>
      <c r="C1866" s="9" t="s">
        <v>2096</v>
      </c>
      <c r="D1866" s="9" t="s">
        <v>5871</v>
      </c>
      <c r="E1866" s="9" t="str">
        <f aca="false">IF(AND('Formation Ledger'!A1845&lt;&gt;"",'Formation Ledger'!V1845=0),"PASS","FAIL")</f>
        <v>PASS</v>
      </c>
      <c r="F1866" s="9" t="s">
        <v>76</v>
      </c>
      <c r="G1866" s="6"/>
      <c r="H1866" s="6"/>
      <c r="I1866" s="6"/>
      <c r="J1866" s="6"/>
      <c r="K1866" s="6"/>
      <c r="L1866" s="6"/>
      <c r="M1866" s="6"/>
      <c r="N1866" s="6"/>
      <c r="O1866" s="6"/>
      <c r="P1866" s="6"/>
      <c r="Q1866" s="6"/>
      <c r="R1866" s="6"/>
      <c r="S1866" s="6"/>
      <c r="T1866" s="6"/>
      <c r="U1866" s="6"/>
      <c r="V1866" s="6"/>
      <c r="W1866" s="6"/>
      <c r="X1866" s="6"/>
      <c r="Y1866" s="6"/>
      <c r="Z1866" s="6"/>
    </row>
    <row r="1867" customFormat="false" ht="15" hidden="false" customHeight="false" outlineLevel="0" collapsed="false">
      <c r="A1867" s="9" t="s">
        <v>7710</v>
      </c>
      <c r="B1867" s="9" t="s">
        <v>5870</v>
      </c>
      <c r="C1867" s="9" t="s">
        <v>2097</v>
      </c>
      <c r="D1867" s="9" t="s">
        <v>5871</v>
      </c>
      <c r="E1867" s="9" t="str">
        <f aca="false">IF(AND('Formation Ledger'!A1846&lt;&gt;"",'Formation Ledger'!V1846=0),"PASS","FAIL")</f>
        <v>PASS</v>
      </c>
      <c r="F1867" s="9" t="s">
        <v>76</v>
      </c>
      <c r="G1867" s="6"/>
      <c r="H1867" s="6"/>
      <c r="I1867" s="6"/>
      <c r="J1867" s="6"/>
      <c r="K1867" s="6"/>
      <c r="L1867" s="6"/>
      <c r="M1867" s="6"/>
      <c r="N1867" s="6"/>
      <c r="O1867" s="6"/>
      <c r="P1867" s="6"/>
      <c r="Q1867" s="6"/>
      <c r="R1867" s="6"/>
      <c r="S1867" s="6"/>
      <c r="T1867" s="6"/>
      <c r="U1867" s="6"/>
      <c r="V1867" s="6"/>
      <c r="W1867" s="6"/>
      <c r="X1867" s="6"/>
      <c r="Y1867" s="6"/>
      <c r="Z1867" s="6"/>
    </row>
    <row r="1868" customFormat="false" ht="15" hidden="false" customHeight="false" outlineLevel="0" collapsed="false">
      <c r="A1868" s="9" t="s">
        <v>7711</v>
      </c>
      <c r="B1868" s="9" t="s">
        <v>5870</v>
      </c>
      <c r="C1868" s="9" t="s">
        <v>2098</v>
      </c>
      <c r="D1868" s="9" t="s">
        <v>5871</v>
      </c>
      <c r="E1868" s="9" t="str">
        <f aca="false">IF(AND('Formation Ledger'!A1847&lt;&gt;"",'Formation Ledger'!V1847=0),"PASS","FAIL")</f>
        <v>PASS</v>
      </c>
      <c r="F1868" s="9" t="s">
        <v>76</v>
      </c>
      <c r="G1868" s="6"/>
      <c r="H1868" s="6"/>
      <c r="I1868" s="6"/>
      <c r="J1868" s="6"/>
      <c r="K1868" s="6"/>
      <c r="L1868" s="6"/>
      <c r="M1868" s="6"/>
      <c r="N1868" s="6"/>
      <c r="O1868" s="6"/>
      <c r="P1868" s="6"/>
      <c r="Q1868" s="6"/>
      <c r="R1868" s="6"/>
      <c r="S1868" s="6"/>
      <c r="T1868" s="6"/>
      <c r="U1868" s="6"/>
      <c r="V1868" s="6"/>
      <c r="W1868" s="6"/>
      <c r="X1868" s="6"/>
      <c r="Y1868" s="6"/>
      <c r="Z1868" s="6"/>
    </row>
    <row r="1869" customFormat="false" ht="15" hidden="false" customHeight="false" outlineLevel="0" collapsed="false">
      <c r="A1869" s="9" t="s">
        <v>7712</v>
      </c>
      <c r="B1869" s="9" t="s">
        <v>5870</v>
      </c>
      <c r="C1869" s="9" t="s">
        <v>2099</v>
      </c>
      <c r="D1869" s="9" t="s">
        <v>5871</v>
      </c>
      <c r="E1869" s="9" t="str">
        <f aca="false">IF(AND('Formation Ledger'!A1848&lt;&gt;"",'Formation Ledger'!V1848=0),"PASS","FAIL")</f>
        <v>PASS</v>
      </c>
      <c r="F1869" s="9" t="s">
        <v>76</v>
      </c>
      <c r="G1869" s="6"/>
      <c r="H1869" s="6"/>
      <c r="I1869" s="6"/>
      <c r="J1869" s="6"/>
      <c r="K1869" s="6"/>
      <c r="L1869" s="6"/>
      <c r="M1869" s="6"/>
      <c r="N1869" s="6"/>
      <c r="O1869" s="6"/>
      <c r="P1869" s="6"/>
      <c r="Q1869" s="6"/>
      <c r="R1869" s="6"/>
      <c r="S1869" s="6"/>
      <c r="T1869" s="6"/>
      <c r="U1869" s="6"/>
      <c r="V1869" s="6"/>
      <c r="W1869" s="6"/>
      <c r="X1869" s="6"/>
      <c r="Y1869" s="6"/>
      <c r="Z1869" s="6"/>
    </row>
    <row r="1870" customFormat="false" ht="15" hidden="false" customHeight="false" outlineLevel="0" collapsed="false">
      <c r="A1870" s="9" t="s">
        <v>7713</v>
      </c>
      <c r="B1870" s="9" t="s">
        <v>5870</v>
      </c>
      <c r="C1870" s="9" t="s">
        <v>2100</v>
      </c>
      <c r="D1870" s="9" t="s">
        <v>5871</v>
      </c>
      <c r="E1870" s="9" t="str">
        <f aca="false">IF(AND('Formation Ledger'!A1849&lt;&gt;"",'Formation Ledger'!V1849=0),"PASS","FAIL")</f>
        <v>PASS</v>
      </c>
      <c r="F1870" s="9" t="s">
        <v>76</v>
      </c>
      <c r="G1870" s="6"/>
      <c r="H1870" s="6"/>
      <c r="I1870" s="6"/>
      <c r="J1870" s="6"/>
      <c r="K1870" s="6"/>
      <c r="L1870" s="6"/>
      <c r="M1870" s="6"/>
      <c r="N1870" s="6"/>
      <c r="O1870" s="6"/>
      <c r="P1870" s="6"/>
      <c r="Q1870" s="6"/>
      <c r="R1870" s="6"/>
      <c r="S1870" s="6"/>
      <c r="T1870" s="6"/>
      <c r="U1870" s="6"/>
      <c r="V1870" s="6"/>
      <c r="W1870" s="6"/>
      <c r="X1870" s="6"/>
      <c r="Y1870" s="6"/>
      <c r="Z1870" s="6"/>
    </row>
    <row r="1871" customFormat="false" ht="15" hidden="false" customHeight="false" outlineLevel="0" collapsed="false">
      <c r="A1871" s="9" t="s">
        <v>7714</v>
      </c>
      <c r="B1871" s="9" t="s">
        <v>5870</v>
      </c>
      <c r="C1871" s="9" t="s">
        <v>2101</v>
      </c>
      <c r="D1871" s="9" t="s">
        <v>5871</v>
      </c>
      <c r="E1871" s="9" t="str">
        <f aca="false">IF(AND('Formation Ledger'!A1850&lt;&gt;"",'Formation Ledger'!V1850=0),"PASS","FAIL")</f>
        <v>PASS</v>
      </c>
      <c r="F1871" s="9" t="s">
        <v>76</v>
      </c>
      <c r="G1871" s="6"/>
      <c r="H1871" s="6"/>
      <c r="I1871" s="6"/>
      <c r="J1871" s="6"/>
      <c r="K1871" s="6"/>
      <c r="L1871" s="6"/>
      <c r="M1871" s="6"/>
      <c r="N1871" s="6"/>
      <c r="O1871" s="6"/>
      <c r="P1871" s="6"/>
      <c r="Q1871" s="6"/>
      <c r="R1871" s="6"/>
      <c r="S1871" s="6"/>
      <c r="T1871" s="6"/>
      <c r="U1871" s="6"/>
      <c r="V1871" s="6"/>
      <c r="W1871" s="6"/>
      <c r="X1871" s="6"/>
      <c r="Y1871" s="6"/>
      <c r="Z1871" s="6"/>
    </row>
    <row r="1872" customFormat="false" ht="15" hidden="false" customHeight="false" outlineLevel="0" collapsed="false">
      <c r="A1872" s="9" t="s">
        <v>7715</v>
      </c>
      <c r="B1872" s="9" t="s">
        <v>5870</v>
      </c>
      <c r="C1872" s="9" t="s">
        <v>2102</v>
      </c>
      <c r="D1872" s="9" t="s">
        <v>5871</v>
      </c>
      <c r="E1872" s="9" t="str">
        <f aca="false">IF(AND('Formation Ledger'!A1851&lt;&gt;"",'Formation Ledger'!V1851=0),"PASS","FAIL")</f>
        <v>PASS</v>
      </c>
      <c r="F1872" s="9" t="s">
        <v>76</v>
      </c>
      <c r="G1872" s="6"/>
      <c r="H1872" s="6"/>
      <c r="I1872" s="6"/>
      <c r="J1872" s="6"/>
      <c r="K1872" s="6"/>
      <c r="L1872" s="6"/>
      <c r="M1872" s="6"/>
      <c r="N1872" s="6"/>
      <c r="O1872" s="6"/>
      <c r="P1872" s="6"/>
      <c r="Q1872" s="6"/>
      <c r="R1872" s="6"/>
      <c r="S1872" s="6"/>
      <c r="T1872" s="6"/>
      <c r="U1872" s="6"/>
      <c r="V1872" s="6"/>
      <c r="W1872" s="6"/>
      <c r="X1872" s="6"/>
      <c r="Y1872" s="6"/>
      <c r="Z1872" s="6"/>
    </row>
    <row r="1873" customFormat="false" ht="15" hidden="false" customHeight="false" outlineLevel="0" collapsed="false">
      <c r="A1873" s="9" t="s">
        <v>7716</v>
      </c>
      <c r="B1873" s="9" t="s">
        <v>5870</v>
      </c>
      <c r="C1873" s="9" t="s">
        <v>2103</v>
      </c>
      <c r="D1873" s="9" t="s">
        <v>5871</v>
      </c>
      <c r="E1873" s="9" t="str">
        <f aca="false">IF(AND('Formation Ledger'!A1852&lt;&gt;"",'Formation Ledger'!V1852=0),"PASS","FAIL")</f>
        <v>PASS</v>
      </c>
      <c r="F1873" s="9" t="s">
        <v>76</v>
      </c>
      <c r="G1873" s="6"/>
      <c r="H1873" s="6"/>
      <c r="I1873" s="6"/>
      <c r="J1873" s="6"/>
      <c r="K1873" s="6"/>
      <c r="L1873" s="6"/>
      <c r="M1873" s="6"/>
      <c r="N1873" s="6"/>
      <c r="O1873" s="6"/>
      <c r="P1873" s="6"/>
      <c r="Q1873" s="6"/>
      <c r="R1873" s="6"/>
      <c r="S1873" s="6"/>
      <c r="T1873" s="6"/>
      <c r="U1873" s="6"/>
      <c r="V1873" s="6"/>
      <c r="W1873" s="6"/>
      <c r="X1873" s="6"/>
      <c r="Y1873" s="6"/>
      <c r="Z1873" s="6"/>
    </row>
    <row r="1874" customFormat="false" ht="15" hidden="false" customHeight="false" outlineLevel="0" collapsed="false">
      <c r="A1874" s="9" t="s">
        <v>7717</v>
      </c>
      <c r="B1874" s="9" t="s">
        <v>5870</v>
      </c>
      <c r="C1874" s="9" t="s">
        <v>2104</v>
      </c>
      <c r="D1874" s="9" t="s">
        <v>5871</v>
      </c>
      <c r="E1874" s="9" t="str">
        <f aca="false">IF(AND('Formation Ledger'!A1853&lt;&gt;"",'Formation Ledger'!V1853=0),"PASS","FAIL")</f>
        <v>PASS</v>
      </c>
      <c r="F1874" s="9" t="s">
        <v>76</v>
      </c>
      <c r="G1874" s="6"/>
      <c r="H1874" s="6"/>
      <c r="I1874" s="6"/>
      <c r="J1874" s="6"/>
      <c r="K1874" s="6"/>
      <c r="L1874" s="6"/>
      <c r="M1874" s="6"/>
      <c r="N1874" s="6"/>
      <c r="O1874" s="6"/>
      <c r="P1874" s="6"/>
      <c r="Q1874" s="6"/>
      <c r="R1874" s="6"/>
      <c r="S1874" s="6"/>
      <c r="T1874" s="6"/>
      <c r="U1874" s="6"/>
      <c r="V1874" s="6"/>
      <c r="W1874" s="6"/>
      <c r="X1874" s="6"/>
      <c r="Y1874" s="6"/>
      <c r="Z1874" s="6"/>
    </row>
    <row r="1875" customFormat="false" ht="15" hidden="false" customHeight="false" outlineLevel="0" collapsed="false">
      <c r="A1875" s="9" t="s">
        <v>7718</v>
      </c>
      <c r="B1875" s="9" t="s">
        <v>5870</v>
      </c>
      <c r="C1875" s="9" t="s">
        <v>2105</v>
      </c>
      <c r="D1875" s="9" t="s">
        <v>5871</v>
      </c>
      <c r="E1875" s="9" t="str">
        <f aca="false">IF(AND('Formation Ledger'!A1854&lt;&gt;"",'Formation Ledger'!V1854=0),"PASS","FAIL")</f>
        <v>PASS</v>
      </c>
      <c r="F1875" s="9" t="s">
        <v>76</v>
      </c>
      <c r="G1875" s="6"/>
      <c r="H1875" s="6"/>
      <c r="I1875" s="6"/>
      <c r="J1875" s="6"/>
      <c r="K1875" s="6"/>
      <c r="L1875" s="6"/>
      <c r="M1875" s="6"/>
      <c r="N1875" s="6"/>
      <c r="O1875" s="6"/>
      <c r="P1875" s="6"/>
      <c r="Q1875" s="6"/>
      <c r="R1875" s="6"/>
      <c r="S1875" s="6"/>
      <c r="T1875" s="6"/>
      <c r="U1875" s="6"/>
      <c r="V1875" s="6"/>
      <c r="W1875" s="6"/>
      <c r="X1875" s="6"/>
      <c r="Y1875" s="6"/>
      <c r="Z1875" s="6"/>
    </row>
    <row r="1876" customFormat="false" ht="15" hidden="false" customHeight="false" outlineLevel="0" collapsed="false">
      <c r="A1876" s="9" t="s">
        <v>7719</v>
      </c>
      <c r="B1876" s="9" t="s">
        <v>5870</v>
      </c>
      <c r="C1876" s="9" t="s">
        <v>2106</v>
      </c>
      <c r="D1876" s="9" t="s">
        <v>5871</v>
      </c>
      <c r="E1876" s="9" t="str">
        <f aca="false">IF(AND('Formation Ledger'!A1855&lt;&gt;"",'Formation Ledger'!V1855=0),"PASS","FAIL")</f>
        <v>PASS</v>
      </c>
      <c r="F1876" s="9" t="s">
        <v>76</v>
      </c>
      <c r="G1876" s="6"/>
      <c r="H1876" s="6"/>
      <c r="I1876" s="6"/>
      <c r="J1876" s="6"/>
      <c r="K1876" s="6"/>
      <c r="L1876" s="6"/>
      <c r="M1876" s="6"/>
      <c r="N1876" s="6"/>
      <c r="O1876" s="6"/>
      <c r="P1876" s="6"/>
      <c r="Q1876" s="6"/>
      <c r="R1876" s="6"/>
      <c r="S1876" s="6"/>
      <c r="T1876" s="6"/>
      <c r="U1876" s="6"/>
      <c r="V1876" s="6"/>
      <c r="W1876" s="6"/>
      <c r="X1876" s="6"/>
      <c r="Y1876" s="6"/>
      <c r="Z1876" s="6"/>
    </row>
    <row r="1877" customFormat="false" ht="15" hidden="false" customHeight="false" outlineLevel="0" collapsed="false">
      <c r="A1877" s="9" t="s">
        <v>7720</v>
      </c>
      <c r="B1877" s="9" t="s">
        <v>5870</v>
      </c>
      <c r="C1877" s="9" t="s">
        <v>2107</v>
      </c>
      <c r="D1877" s="9" t="s">
        <v>5871</v>
      </c>
      <c r="E1877" s="9" t="str">
        <f aca="false">IF(AND('Formation Ledger'!A1856&lt;&gt;"",'Formation Ledger'!V1856=0),"PASS","FAIL")</f>
        <v>PASS</v>
      </c>
      <c r="F1877" s="9" t="s">
        <v>76</v>
      </c>
      <c r="G1877" s="6"/>
      <c r="H1877" s="6"/>
      <c r="I1877" s="6"/>
      <c r="J1877" s="6"/>
      <c r="K1877" s="6"/>
      <c r="L1877" s="6"/>
      <c r="M1877" s="6"/>
      <c r="N1877" s="6"/>
      <c r="O1877" s="6"/>
      <c r="P1877" s="6"/>
      <c r="Q1877" s="6"/>
      <c r="R1877" s="6"/>
      <c r="S1877" s="6"/>
      <c r="T1877" s="6"/>
      <c r="U1877" s="6"/>
      <c r="V1877" s="6"/>
      <c r="W1877" s="6"/>
      <c r="X1877" s="6"/>
      <c r="Y1877" s="6"/>
      <c r="Z1877" s="6"/>
    </row>
    <row r="1878" customFormat="false" ht="15" hidden="false" customHeight="false" outlineLevel="0" collapsed="false">
      <c r="A1878" s="9" t="s">
        <v>7721</v>
      </c>
      <c r="B1878" s="9" t="s">
        <v>5870</v>
      </c>
      <c r="C1878" s="9" t="s">
        <v>2108</v>
      </c>
      <c r="D1878" s="9" t="s">
        <v>5871</v>
      </c>
      <c r="E1878" s="9" t="str">
        <f aca="false">IF(AND('Formation Ledger'!A1857&lt;&gt;"",'Formation Ledger'!V1857=0),"PASS","FAIL")</f>
        <v>PASS</v>
      </c>
      <c r="F1878" s="9" t="s">
        <v>76</v>
      </c>
      <c r="G1878" s="6"/>
      <c r="H1878" s="6"/>
      <c r="I1878" s="6"/>
      <c r="J1878" s="6"/>
      <c r="K1878" s="6"/>
      <c r="L1878" s="6"/>
      <c r="M1878" s="6"/>
      <c r="N1878" s="6"/>
      <c r="O1878" s="6"/>
      <c r="P1878" s="6"/>
      <c r="Q1878" s="6"/>
      <c r="R1878" s="6"/>
      <c r="S1878" s="6"/>
      <c r="T1878" s="6"/>
      <c r="U1878" s="6"/>
      <c r="V1878" s="6"/>
      <c r="W1878" s="6"/>
      <c r="X1878" s="6"/>
      <c r="Y1878" s="6"/>
      <c r="Z1878" s="6"/>
    </row>
    <row r="1879" customFormat="false" ht="15" hidden="false" customHeight="false" outlineLevel="0" collapsed="false">
      <c r="A1879" s="9" t="s">
        <v>7722</v>
      </c>
      <c r="B1879" s="9" t="s">
        <v>5870</v>
      </c>
      <c r="C1879" s="9" t="s">
        <v>2109</v>
      </c>
      <c r="D1879" s="9" t="s">
        <v>5871</v>
      </c>
      <c r="E1879" s="9" t="str">
        <f aca="false">IF(AND('Formation Ledger'!A1858&lt;&gt;"",'Formation Ledger'!V1858=0),"PASS","FAIL")</f>
        <v>PASS</v>
      </c>
      <c r="F1879" s="9" t="s">
        <v>76</v>
      </c>
      <c r="G1879" s="6"/>
      <c r="H1879" s="6"/>
      <c r="I1879" s="6"/>
      <c r="J1879" s="6"/>
      <c r="K1879" s="6"/>
      <c r="L1879" s="6"/>
      <c r="M1879" s="6"/>
      <c r="N1879" s="6"/>
      <c r="O1879" s="6"/>
      <c r="P1879" s="6"/>
      <c r="Q1879" s="6"/>
      <c r="R1879" s="6"/>
      <c r="S1879" s="6"/>
      <c r="T1879" s="6"/>
      <c r="U1879" s="6"/>
      <c r="V1879" s="6"/>
      <c r="W1879" s="6"/>
      <c r="X1879" s="6"/>
      <c r="Y1879" s="6"/>
      <c r="Z1879" s="6"/>
    </row>
    <row r="1880" customFormat="false" ht="15" hidden="false" customHeight="false" outlineLevel="0" collapsed="false">
      <c r="A1880" s="9" t="s">
        <v>7723</v>
      </c>
      <c r="B1880" s="9" t="s">
        <v>5870</v>
      </c>
      <c r="C1880" s="9" t="s">
        <v>2110</v>
      </c>
      <c r="D1880" s="9" t="s">
        <v>5871</v>
      </c>
      <c r="E1880" s="9" t="str">
        <f aca="false">IF(AND('Formation Ledger'!A1859&lt;&gt;"",'Formation Ledger'!V1859=0),"PASS","FAIL")</f>
        <v>PASS</v>
      </c>
      <c r="F1880" s="9" t="s">
        <v>76</v>
      </c>
      <c r="G1880" s="6"/>
      <c r="H1880" s="6"/>
      <c r="I1880" s="6"/>
      <c r="J1880" s="6"/>
      <c r="K1880" s="6"/>
      <c r="L1880" s="6"/>
      <c r="M1880" s="6"/>
      <c r="N1880" s="6"/>
      <c r="O1880" s="6"/>
      <c r="P1880" s="6"/>
      <c r="Q1880" s="6"/>
      <c r="R1880" s="6"/>
      <c r="S1880" s="6"/>
      <c r="T1880" s="6"/>
      <c r="U1880" s="6"/>
      <c r="V1880" s="6"/>
      <c r="W1880" s="6"/>
      <c r="X1880" s="6"/>
      <c r="Y1880" s="6"/>
      <c r="Z1880" s="6"/>
    </row>
    <row r="1881" customFormat="false" ht="15" hidden="false" customHeight="false" outlineLevel="0" collapsed="false">
      <c r="A1881" s="9" t="s">
        <v>7724</v>
      </c>
      <c r="B1881" s="9" t="s">
        <v>5870</v>
      </c>
      <c r="C1881" s="9" t="s">
        <v>2111</v>
      </c>
      <c r="D1881" s="9" t="s">
        <v>5871</v>
      </c>
      <c r="E1881" s="9" t="str">
        <f aca="false">IF(AND('Formation Ledger'!A1860&lt;&gt;"",'Formation Ledger'!V1860=0),"PASS","FAIL")</f>
        <v>PASS</v>
      </c>
      <c r="F1881" s="9" t="s">
        <v>76</v>
      </c>
      <c r="G1881" s="6"/>
      <c r="H1881" s="6"/>
      <c r="I1881" s="6"/>
      <c r="J1881" s="6"/>
      <c r="K1881" s="6"/>
      <c r="L1881" s="6"/>
      <c r="M1881" s="6"/>
      <c r="N1881" s="6"/>
      <c r="O1881" s="6"/>
      <c r="P1881" s="6"/>
      <c r="Q1881" s="6"/>
      <c r="R1881" s="6"/>
      <c r="S1881" s="6"/>
      <c r="T1881" s="6"/>
      <c r="U1881" s="6"/>
      <c r="V1881" s="6"/>
      <c r="W1881" s="6"/>
      <c r="X1881" s="6"/>
      <c r="Y1881" s="6"/>
      <c r="Z1881" s="6"/>
    </row>
    <row r="1882" customFormat="false" ht="15" hidden="false" customHeight="false" outlineLevel="0" collapsed="false">
      <c r="A1882" s="9" t="s">
        <v>7725</v>
      </c>
      <c r="B1882" s="9" t="s">
        <v>5870</v>
      </c>
      <c r="C1882" s="9" t="s">
        <v>2112</v>
      </c>
      <c r="D1882" s="9" t="s">
        <v>5871</v>
      </c>
      <c r="E1882" s="9" t="str">
        <f aca="false">IF(AND('Formation Ledger'!A1861&lt;&gt;"",'Formation Ledger'!V1861=0),"PASS","FAIL")</f>
        <v>PASS</v>
      </c>
      <c r="F1882" s="9" t="s">
        <v>76</v>
      </c>
      <c r="G1882" s="6"/>
      <c r="H1882" s="6"/>
      <c r="I1882" s="6"/>
      <c r="J1882" s="6"/>
      <c r="K1882" s="6"/>
      <c r="L1882" s="6"/>
      <c r="M1882" s="6"/>
      <c r="N1882" s="6"/>
      <c r="O1882" s="6"/>
      <c r="P1882" s="6"/>
      <c r="Q1882" s="6"/>
      <c r="R1882" s="6"/>
      <c r="S1882" s="6"/>
      <c r="T1882" s="6"/>
      <c r="U1882" s="6"/>
      <c r="V1882" s="6"/>
      <c r="W1882" s="6"/>
      <c r="X1882" s="6"/>
      <c r="Y1882" s="6"/>
      <c r="Z1882" s="6"/>
    </row>
    <row r="1883" customFormat="false" ht="15" hidden="false" customHeight="false" outlineLevel="0" collapsed="false">
      <c r="A1883" s="9" t="s">
        <v>7726</v>
      </c>
      <c r="B1883" s="9" t="s">
        <v>5870</v>
      </c>
      <c r="C1883" s="9" t="s">
        <v>2113</v>
      </c>
      <c r="D1883" s="9" t="s">
        <v>5871</v>
      </c>
      <c r="E1883" s="9" t="str">
        <f aca="false">IF(AND('Formation Ledger'!A1862&lt;&gt;"",'Formation Ledger'!V1862=0),"PASS","FAIL")</f>
        <v>PASS</v>
      </c>
      <c r="F1883" s="9" t="s">
        <v>76</v>
      </c>
      <c r="G1883" s="6"/>
      <c r="H1883" s="6"/>
      <c r="I1883" s="6"/>
      <c r="J1883" s="6"/>
      <c r="K1883" s="6"/>
      <c r="L1883" s="6"/>
      <c r="M1883" s="6"/>
      <c r="N1883" s="6"/>
      <c r="O1883" s="6"/>
      <c r="P1883" s="6"/>
      <c r="Q1883" s="6"/>
      <c r="R1883" s="6"/>
      <c r="S1883" s="6"/>
      <c r="T1883" s="6"/>
      <c r="U1883" s="6"/>
      <c r="V1883" s="6"/>
      <c r="W1883" s="6"/>
      <c r="X1883" s="6"/>
      <c r="Y1883" s="6"/>
      <c r="Z1883" s="6"/>
    </row>
    <row r="1884" customFormat="false" ht="15" hidden="false" customHeight="false" outlineLevel="0" collapsed="false">
      <c r="A1884" s="9" t="s">
        <v>7727</v>
      </c>
      <c r="B1884" s="9" t="s">
        <v>5870</v>
      </c>
      <c r="C1884" s="9" t="s">
        <v>2114</v>
      </c>
      <c r="D1884" s="9" t="s">
        <v>5871</v>
      </c>
      <c r="E1884" s="9" t="str">
        <f aca="false">IF(AND('Formation Ledger'!A1863&lt;&gt;"",'Formation Ledger'!V1863=0),"PASS","FAIL")</f>
        <v>PASS</v>
      </c>
      <c r="F1884" s="9" t="s">
        <v>76</v>
      </c>
      <c r="G1884" s="6"/>
      <c r="H1884" s="6"/>
      <c r="I1884" s="6"/>
      <c r="J1884" s="6"/>
      <c r="K1884" s="6"/>
      <c r="L1884" s="6"/>
      <c r="M1884" s="6"/>
      <c r="N1884" s="6"/>
      <c r="O1884" s="6"/>
      <c r="P1884" s="6"/>
      <c r="Q1884" s="6"/>
      <c r="R1884" s="6"/>
      <c r="S1884" s="6"/>
      <c r="T1884" s="6"/>
      <c r="U1884" s="6"/>
      <c r="V1884" s="6"/>
      <c r="W1884" s="6"/>
      <c r="X1884" s="6"/>
      <c r="Y1884" s="6"/>
      <c r="Z1884" s="6"/>
    </row>
    <row r="1885" customFormat="false" ht="15" hidden="false" customHeight="false" outlineLevel="0" collapsed="false">
      <c r="A1885" s="9" t="s">
        <v>7728</v>
      </c>
      <c r="B1885" s="9" t="s">
        <v>5870</v>
      </c>
      <c r="C1885" s="9" t="s">
        <v>2115</v>
      </c>
      <c r="D1885" s="9" t="s">
        <v>5871</v>
      </c>
      <c r="E1885" s="9" t="str">
        <f aca="false">IF(AND('Formation Ledger'!A1864&lt;&gt;"",'Formation Ledger'!V1864=0),"PASS","FAIL")</f>
        <v>PASS</v>
      </c>
      <c r="F1885" s="9" t="s">
        <v>76</v>
      </c>
      <c r="G1885" s="6"/>
      <c r="H1885" s="6"/>
      <c r="I1885" s="6"/>
      <c r="J1885" s="6"/>
      <c r="K1885" s="6"/>
      <c r="L1885" s="6"/>
      <c r="M1885" s="6"/>
      <c r="N1885" s="6"/>
      <c r="O1885" s="6"/>
      <c r="P1885" s="6"/>
      <c r="Q1885" s="6"/>
      <c r="R1885" s="6"/>
      <c r="S1885" s="6"/>
      <c r="T1885" s="6"/>
      <c r="U1885" s="6"/>
      <c r="V1885" s="6"/>
      <c r="W1885" s="6"/>
      <c r="X1885" s="6"/>
      <c r="Y1885" s="6"/>
      <c r="Z1885" s="6"/>
    </row>
    <row r="1886" customFormat="false" ht="15" hidden="false" customHeight="false" outlineLevel="0" collapsed="false">
      <c r="A1886" s="9" t="s">
        <v>7729</v>
      </c>
      <c r="B1886" s="9" t="s">
        <v>5870</v>
      </c>
      <c r="C1886" s="9" t="s">
        <v>2116</v>
      </c>
      <c r="D1886" s="9" t="s">
        <v>5871</v>
      </c>
      <c r="E1886" s="9" t="str">
        <f aca="false">IF(AND('Formation Ledger'!A1865&lt;&gt;"",'Formation Ledger'!V1865=0),"PASS","FAIL")</f>
        <v>PASS</v>
      </c>
      <c r="F1886" s="9" t="s">
        <v>76</v>
      </c>
      <c r="G1886" s="6"/>
      <c r="H1886" s="6"/>
      <c r="I1886" s="6"/>
      <c r="J1886" s="6"/>
      <c r="K1886" s="6"/>
      <c r="L1886" s="6"/>
      <c r="M1886" s="6"/>
      <c r="N1886" s="6"/>
      <c r="O1886" s="6"/>
      <c r="P1886" s="6"/>
      <c r="Q1886" s="6"/>
      <c r="R1886" s="6"/>
      <c r="S1886" s="6"/>
      <c r="T1886" s="6"/>
      <c r="U1886" s="6"/>
      <c r="V1886" s="6"/>
      <c r="W1886" s="6"/>
      <c r="X1886" s="6"/>
      <c r="Y1886" s="6"/>
      <c r="Z1886" s="6"/>
    </row>
    <row r="1887" customFormat="false" ht="15" hidden="false" customHeight="false" outlineLevel="0" collapsed="false">
      <c r="A1887" s="9" t="s">
        <v>7730</v>
      </c>
      <c r="B1887" s="9" t="s">
        <v>5870</v>
      </c>
      <c r="C1887" s="9" t="s">
        <v>2117</v>
      </c>
      <c r="D1887" s="9" t="s">
        <v>5871</v>
      </c>
      <c r="E1887" s="9" t="str">
        <f aca="false">IF(AND('Formation Ledger'!A1866&lt;&gt;"",'Formation Ledger'!V1866=0),"PASS","FAIL")</f>
        <v>PASS</v>
      </c>
      <c r="F1887" s="9" t="s">
        <v>76</v>
      </c>
      <c r="G1887" s="6"/>
      <c r="H1887" s="6"/>
      <c r="I1887" s="6"/>
      <c r="J1887" s="6"/>
      <c r="K1887" s="6"/>
      <c r="L1887" s="6"/>
      <c r="M1887" s="6"/>
      <c r="N1887" s="6"/>
      <c r="O1887" s="6"/>
      <c r="P1887" s="6"/>
      <c r="Q1887" s="6"/>
      <c r="R1887" s="6"/>
      <c r="S1887" s="6"/>
      <c r="T1887" s="6"/>
      <c r="U1887" s="6"/>
      <c r="V1887" s="6"/>
      <c r="W1887" s="6"/>
      <c r="X1887" s="6"/>
      <c r="Y1887" s="6"/>
      <c r="Z1887" s="6"/>
    </row>
    <row r="1888" customFormat="false" ht="15" hidden="false" customHeight="false" outlineLevel="0" collapsed="false">
      <c r="A1888" s="9" t="s">
        <v>7731</v>
      </c>
      <c r="B1888" s="9" t="s">
        <v>5870</v>
      </c>
      <c r="C1888" s="9" t="s">
        <v>2118</v>
      </c>
      <c r="D1888" s="9" t="s">
        <v>5871</v>
      </c>
      <c r="E1888" s="9" t="str">
        <f aca="false">IF(AND('Formation Ledger'!A1867&lt;&gt;"",'Formation Ledger'!V1867=0),"PASS","FAIL")</f>
        <v>PASS</v>
      </c>
      <c r="F1888" s="9" t="s">
        <v>76</v>
      </c>
      <c r="G1888" s="6"/>
      <c r="H1888" s="6"/>
      <c r="I1888" s="6"/>
      <c r="J1888" s="6"/>
      <c r="K1888" s="6"/>
      <c r="L1888" s="6"/>
      <c r="M1888" s="6"/>
      <c r="N1888" s="6"/>
      <c r="O1888" s="6"/>
      <c r="P1888" s="6"/>
      <c r="Q1888" s="6"/>
      <c r="R1888" s="6"/>
      <c r="S1888" s="6"/>
      <c r="T1888" s="6"/>
      <c r="U1888" s="6"/>
      <c r="V1888" s="6"/>
      <c r="W1888" s="6"/>
      <c r="X1888" s="6"/>
      <c r="Y1888" s="6"/>
      <c r="Z1888" s="6"/>
    </row>
    <row r="1889" customFormat="false" ht="15" hidden="false" customHeight="false" outlineLevel="0" collapsed="false">
      <c r="A1889" s="9" t="s">
        <v>7732</v>
      </c>
      <c r="B1889" s="9" t="s">
        <v>5870</v>
      </c>
      <c r="C1889" s="9" t="s">
        <v>2119</v>
      </c>
      <c r="D1889" s="9" t="s">
        <v>5871</v>
      </c>
      <c r="E1889" s="9" t="str">
        <f aca="false">IF(AND('Formation Ledger'!A1868&lt;&gt;"",'Formation Ledger'!V1868=0),"PASS","FAIL")</f>
        <v>PASS</v>
      </c>
      <c r="F1889" s="9" t="s">
        <v>76</v>
      </c>
      <c r="G1889" s="6"/>
      <c r="H1889" s="6"/>
      <c r="I1889" s="6"/>
      <c r="J1889" s="6"/>
      <c r="K1889" s="6"/>
      <c r="L1889" s="6"/>
      <c r="M1889" s="6"/>
      <c r="N1889" s="6"/>
      <c r="O1889" s="6"/>
      <c r="P1889" s="6"/>
      <c r="Q1889" s="6"/>
      <c r="R1889" s="6"/>
      <c r="S1889" s="6"/>
      <c r="T1889" s="6"/>
      <c r="U1889" s="6"/>
      <c r="V1889" s="6"/>
      <c r="W1889" s="6"/>
      <c r="X1889" s="6"/>
      <c r="Y1889" s="6"/>
      <c r="Z1889" s="6"/>
    </row>
    <row r="1890" customFormat="false" ht="15" hidden="false" customHeight="false" outlineLevel="0" collapsed="false">
      <c r="A1890" s="9" t="s">
        <v>7733</v>
      </c>
      <c r="B1890" s="9" t="s">
        <v>5870</v>
      </c>
      <c r="C1890" s="9" t="s">
        <v>2120</v>
      </c>
      <c r="D1890" s="9" t="s">
        <v>5871</v>
      </c>
      <c r="E1890" s="9" t="str">
        <f aca="false">IF(AND('Formation Ledger'!A1869&lt;&gt;"",'Formation Ledger'!V1869=0),"PASS","FAIL")</f>
        <v>PASS</v>
      </c>
      <c r="F1890" s="9" t="s">
        <v>76</v>
      </c>
      <c r="G1890" s="6"/>
      <c r="H1890" s="6"/>
      <c r="I1890" s="6"/>
      <c r="J1890" s="6"/>
      <c r="K1890" s="6"/>
      <c r="L1890" s="6"/>
      <c r="M1890" s="6"/>
      <c r="N1890" s="6"/>
      <c r="O1890" s="6"/>
      <c r="P1890" s="6"/>
      <c r="Q1890" s="6"/>
      <c r="R1890" s="6"/>
      <c r="S1890" s="6"/>
      <c r="T1890" s="6"/>
      <c r="U1890" s="6"/>
      <c r="V1890" s="6"/>
      <c r="W1890" s="6"/>
      <c r="X1890" s="6"/>
      <c r="Y1890" s="6"/>
      <c r="Z1890" s="6"/>
    </row>
    <row r="1891" customFormat="false" ht="15" hidden="false" customHeight="false" outlineLevel="0" collapsed="false">
      <c r="A1891" s="9" t="s">
        <v>7734</v>
      </c>
      <c r="B1891" s="9" t="s">
        <v>5870</v>
      </c>
      <c r="C1891" s="9" t="s">
        <v>2121</v>
      </c>
      <c r="D1891" s="9" t="s">
        <v>5871</v>
      </c>
      <c r="E1891" s="9" t="str">
        <f aca="false">IF(AND('Formation Ledger'!A1870&lt;&gt;"",'Formation Ledger'!V1870=0),"PASS","FAIL")</f>
        <v>PASS</v>
      </c>
      <c r="F1891" s="9" t="s">
        <v>76</v>
      </c>
      <c r="G1891" s="6"/>
      <c r="H1891" s="6"/>
      <c r="I1891" s="6"/>
      <c r="J1891" s="6"/>
      <c r="K1891" s="6"/>
      <c r="L1891" s="6"/>
      <c r="M1891" s="6"/>
      <c r="N1891" s="6"/>
      <c r="O1891" s="6"/>
      <c r="P1891" s="6"/>
      <c r="Q1891" s="6"/>
      <c r="R1891" s="6"/>
      <c r="S1891" s="6"/>
      <c r="T1891" s="6"/>
      <c r="U1891" s="6"/>
      <c r="V1891" s="6"/>
      <c r="W1891" s="6"/>
      <c r="X1891" s="6"/>
      <c r="Y1891" s="6"/>
      <c r="Z1891" s="6"/>
    </row>
    <row r="1892" customFormat="false" ht="15" hidden="false" customHeight="false" outlineLevel="0" collapsed="false">
      <c r="A1892" s="9" t="s">
        <v>7735</v>
      </c>
      <c r="B1892" s="9" t="s">
        <v>5870</v>
      </c>
      <c r="C1892" s="9" t="s">
        <v>2122</v>
      </c>
      <c r="D1892" s="9" t="s">
        <v>5871</v>
      </c>
      <c r="E1892" s="9" t="str">
        <f aca="false">IF(AND('Formation Ledger'!A1871&lt;&gt;"",'Formation Ledger'!V1871=0),"PASS","FAIL")</f>
        <v>PASS</v>
      </c>
      <c r="F1892" s="9" t="s">
        <v>76</v>
      </c>
      <c r="G1892" s="6"/>
      <c r="H1892" s="6"/>
      <c r="I1892" s="6"/>
      <c r="J1892" s="6"/>
      <c r="K1892" s="6"/>
      <c r="L1892" s="6"/>
      <c r="M1892" s="6"/>
      <c r="N1892" s="6"/>
      <c r="O1892" s="6"/>
      <c r="P1892" s="6"/>
      <c r="Q1892" s="6"/>
      <c r="R1892" s="6"/>
      <c r="S1892" s="6"/>
      <c r="T1892" s="6"/>
      <c r="U1892" s="6"/>
      <c r="V1892" s="6"/>
      <c r="W1892" s="6"/>
      <c r="X1892" s="6"/>
      <c r="Y1892" s="6"/>
      <c r="Z1892" s="6"/>
    </row>
    <row r="1893" customFormat="false" ht="15" hidden="false" customHeight="false" outlineLevel="0" collapsed="false">
      <c r="A1893" s="9" t="s">
        <v>7736</v>
      </c>
      <c r="B1893" s="9" t="s">
        <v>5870</v>
      </c>
      <c r="C1893" s="9" t="s">
        <v>2123</v>
      </c>
      <c r="D1893" s="9" t="s">
        <v>5871</v>
      </c>
      <c r="E1893" s="9" t="str">
        <f aca="false">IF(AND('Formation Ledger'!A1872&lt;&gt;"",'Formation Ledger'!V1872=0),"PASS","FAIL")</f>
        <v>PASS</v>
      </c>
      <c r="F1893" s="9" t="s">
        <v>76</v>
      </c>
      <c r="G1893" s="6"/>
      <c r="H1893" s="6"/>
      <c r="I1893" s="6"/>
      <c r="J1893" s="6"/>
      <c r="K1893" s="6"/>
      <c r="L1893" s="6"/>
      <c r="M1893" s="6"/>
      <c r="N1893" s="6"/>
      <c r="O1893" s="6"/>
      <c r="P1893" s="6"/>
      <c r="Q1893" s="6"/>
      <c r="R1893" s="6"/>
      <c r="S1893" s="6"/>
      <c r="T1893" s="6"/>
      <c r="U1893" s="6"/>
      <c r="V1893" s="6"/>
      <c r="W1893" s="6"/>
      <c r="X1893" s="6"/>
      <c r="Y1893" s="6"/>
      <c r="Z1893" s="6"/>
    </row>
    <row r="1894" customFormat="false" ht="15" hidden="false" customHeight="false" outlineLevel="0" collapsed="false">
      <c r="A1894" s="9" t="s">
        <v>7737</v>
      </c>
      <c r="B1894" s="9" t="s">
        <v>5870</v>
      </c>
      <c r="C1894" s="9" t="s">
        <v>2124</v>
      </c>
      <c r="D1894" s="9" t="s">
        <v>5871</v>
      </c>
      <c r="E1894" s="9" t="str">
        <f aca="false">IF(AND('Formation Ledger'!A1873&lt;&gt;"",'Formation Ledger'!V1873=0),"PASS","FAIL")</f>
        <v>PASS</v>
      </c>
      <c r="F1894" s="9" t="s">
        <v>76</v>
      </c>
      <c r="G1894" s="6"/>
      <c r="H1894" s="6"/>
      <c r="I1894" s="6"/>
      <c r="J1894" s="6"/>
      <c r="K1894" s="6"/>
      <c r="L1894" s="6"/>
      <c r="M1894" s="6"/>
      <c r="N1894" s="6"/>
      <c r="O1894" s="6"/>
      <c r="P1894" s="6"/>
      <c r="Q1894" s="6"/>
      <c r="R1894" s="6"/>
      <c r="S1894" s="6"/>
      <c r="T1894" s="6"/>
      <c r="U1894" s="6"/>
      <c r="V1894" s="6"/>
      <c r="W1894" s="6"/>
      <c r="X1894" s="6"/>
      <c r="Y1894" s="6"/>
      <c r="Z1894" s="6"/>
    </row>
    <row r="1895" customFormat="false" ht="15" hidden="false" customHeight="false" outlineLevel="0" collapsed="false">
      <c r="A1895" s="9" t="s">
        <v>7738</v>
      </c>
      <c r="B1895" s="9" t="s">
        <v>5870</v>
      </c>
      <c r="C1895" s="9" t="s">
        <v>2125</v>
      </c>
      <c r="D1895" s="9" t="s">
        <v>5871</v>
      </c>
      <c r="E1895" s="9" t="str">
        <f aca="false">IF(AND('Formation Ledger'!A1874&lt;&gt;"",'Formation Ledger'!V1874=0),"PASS","FAIL")</f>
        <v>PASS</v>
      </c>
      <c r="F1895" s="9" t="s">
        <v>76</v>
      </c>
      <c r="G1895" s="6"/>
      <c r="H1895" s="6"/>
      <c r="I1895" s="6"/>
      <c r="J1895" s="6"/>
      <c r="K1895" s="6"/>
      <c r="L1895" s="6"/>
      <c r="M1895" s="6"/>
      <c r="N1895" s="6"/>
      <c r="O1895" s="6"/>
      <c r="P1895" s="6"/>
      <c r="Q1895" s="6"/>
      <c r="R1895" s="6"/>
      <c r="S1895" s="6"/>
      <c r="T1895" s="6"/>
      <c r="U1895" s="6"/>
      <c r="V1895" s="6"/>
      <c r="W1895" s="6"/>
      <c r="X1895" s="6"/>
      <c r="Y1895" s="6"/>
      <c r="Z1895" s="6"/>
    </row>
    <row r="1896" customFormat="false" ht="15" hidden="false" customHeight="false" outlineLevel="0" collapsed="false">
      <c r="A1896" s="9" t="s">
        <v>7739</v>
      </c>
      <c r="B1896" s="9" t="s">
        <v>5870</v>
      </c>
      <c r="C1896" s="9" t="s">
        <v>2126</v>
      </c>
      <c r="D1896" s="9" t="s">
        <v>5871</v>
      </c>
      <c r="E1896" s="9" t="str">
        <f aca="false">IF(AND('Formation Ledger'!A1875&lt;&gt;"",'Formation Ledger'!V1875=0),"PASS","FAIL")</f>
        <v>PASS</v>
      </c>
      <c r="F1896" s="9" t="s">
        <v>76</v>
      </c>
      <c r="G1896" s="6"/>
      <c r="H1896" s="6"/>
      <c r="I1896" s="6"/>
      <c r="J1896" s="6"/>
      <c r="K1896" s="6"/>
      <c r="L1896" s="6"/>
      <c r="M1896" s="6"/>
      <c r="N1896" s="6"/>
      <c r="O1896" s="6"/>
      <c r="P1896" s="6"/>
      <c r="Q1896" s="6"/>
      <c r="R1896" s="6"/>
      <c r="S1896" s="6"/>
      <c r="T1896" s="6"/>
      <c r="U1896" s="6"/>
      <c r="V1896" s="6"/>
      <c r="W1896" s="6"/>
      <c r="X1896" s="6"/>
      <c r="Y1896" s="6"/>
      <c r="Z1896" s="6"/>
    </row>
    <row r="1897" customFormat="false" ht="15" hidden="false" customHeight="false" outlineLevel="0" collapsed="false">
      <c r="A1897" s="9" t="s">
        <v>7740</v>
      </c>
      <c r="B1897" s="9" t="s">
        <v>5870</v>
      </c>
      <c r="C1897" s="9" t="s">
        <v>2127</v>
      </c>
      <c r="D1897" s="9" t="s">
        <v>5871</v>
      </c>
      <c r="E1897" s="9" t="str">
        <f aca="false">IF(AND('Formation Ledger'!A1876&lt;&gt;"",'Formation Ledger'!V1876=0),"PASS","FAIL")</f>
        <v>PASS</v>
      </c>
      <c r="F1897" s="9" t="s">
        <v>76</v>
      </c>
      <c r="G1897" s="6"/>
      <c r="H1897" s="6"/>
      <c r="I1897" s="6"/>
      <c r="J1897" s="6"/>
      <c r="K1897" s="6"/>
      <c r="L1897" s="6"/>
      <c r="M1897" s="6"/>
      <c r="N1897" s="6"/>
      <c r="O1897" s="6"/>
      <c r="P1897" s="6"/>
      <c r="Q1897" s="6"/>
      <c r="R1897" s="6"/>
      <c r="S1897" s="6"/>
      <c r="T1897" s="6"/>
      <c r="U1897" s="6"/>
      <c r="V1897" s="6"/>
      <c r="W1897" s="6"/>
      <c r="X1897" s="6"/>
      <c r="Y1897" s="6"/>
      <c r="Z1897" s="6"/>
    </row>
    <row r="1898" customFormat="false" ht="15" hidden="false" customHeight="false" outlineLevel="0" collapsed="false">
      <c r="A1898" s="9" t="s">
        <v>7741</v>
      </c>
      <c r="B1898" s="9" t="s">
        <v>5870</v>
      </c>
      <c r="C1898" s="9" t="s">
        <v>2128</v>
      </c>
      <c r="D1898" s="9" t="s">
        <v>5871</v>
      </c>
      <c r="E1898" s="9" t="str">
        <f aca="false">IF(AND('Formation Ledger'!A1877&lt;&gt;"",'Formation Ledger'!V1877=0),"PASS","FAIL")</f>
        <v>PASS</v>
      </c>
      <c r="F1898" s="9" t="s">
        <v>76</v>
      </c>
      <c r="G1898" s="6"/>
      <c r="H1898" s="6"/>
      <c r="I1898" s="6"/>
      <c r="J1898" s="6"/>
      <c r="K1898" s="6"/>
      <c r="L1898" s="6"/>
      <c r="M1898" s="6"/>
      <c r="N1898" s="6"/>
      <c r="O1898" s="6"/>
      <c r="P1898" s="6"/>
      <c r="Q1898" s="6"/>
      <c r="R1898" s="6"/>
      <c r="S1898" s="6"/>
      <c r="T1898" s="6"/>
      <c r="U1898" s="6"/>
      <c r="V1898" s="6"/>
      <c r="W1898" s="6"/>
      <c r="X1898" s="6"/>
      <c r="Y1898" s="6"/>
      <c r="Z1898" s="6"/>
    </row>
    <row r="1899" customFormat="false" ht="15" hidden="false" customHeight="false" outlineLevel="0" collapsed="false">
      <c r="A1899" s="9" t="s">
        <v>7742</v>
      </c>
      <c r="B1899" s="9" t="s">
        <v>5870</v>
      </c>
      <c r="C1899" s="9" t="s">
        <v>2129</v>
      </c>
      <c r="D1899" s="9" t="s">
        <v>5871</v>
      </c>
      <c r="E1899" s="9" t="str">
        <f aca="false">IF(AND('Formation Ledger'!A1878&lt;&gt;"",'Formation Ledger'!V1878=0),"PASS","FAIL")</f>
        <v>PASS</v>
      </c>
      <c r="F1899" s="9" t="s">
        <v>76</v>
      </c>
      <c r="G1899" s="6"/>
      <c r="H1899" s="6"/>
      <c r="I1899" s="6"/>
      <c r="J1899" s="6"/>
      <c r="K1899" s="6"/>
      <c r="L1899" s="6"/>
      <c r="M1899" s="6"/>
      <c r="N1899" s="6"/>
      <c r="O1899" s="6"/>
      <c r="P1899" s="6"/>
      <c r="Q1899" s="6"/>
      <c r="R1899" s="6"/>
      <c r="S1899" s="6"/>
      <c r="T1899" s="6"/>
      <c r="U1899" s="6"/>
      <c r="V1899" s="6"/>
      <c r="W1899" s="6"/>
      <c r="X1899" s="6"/>
      <c r="Y1899" s="6"/>
      <c r="Z1899" s="6"/>
    </row>
    <row r="1900" customFormat="false" ht="15" hidden="false" customHeight="false" outlineLevel="0" collapsed="false">
      <c r="A1900" s="9" t="s">
        <v>7743</v>
      </c>
      <c r="B1900" s="9" t="s">
        <v>5870</v>
      </c>
      <c r="C1900" s="9" t="s">
        <v>2130</v>
      </c>
      <c r="D1900" s="9" t="s">
        <v>5871</v>
      </c>
      <c r="E1900" s="9" t="str">
        <f aca="false">IF(AND('Formation Ledger'!A1879&lt;&gt;"",'Formation Ledger'!V1879=0),"PASS","FAIL")</f>
        <v>PASS</v>
      </c>
      <c r="F1900" s="9" t="s">
        <v>76</v>
      </c>
      <c r="G1900" s="6"/>
      <c r="H1900" s="6"/>
      <c r="I1900" s="6"/>
      <c r="J1900" s="6"/>
      <c r="K1900" s="6"/>
      <c r="L1900" s="6"/>
      <c r="M1900" s="6"/>
      <c r="N1900" s="6"/>
      <c r="O1900" s="6"/>
      <c r="P1900" s="6"/>
      <c r="Q1900" s="6"/>
      <c r="R1900" s="6"/>
      <c r="S1900" s="6"/>
      <c r="T1900" s="6"/>
      <c r="U1900" s="6"/>
      <c r="V1900" s="6"/>
      <c r="W1900" s="6"/>
      <c r="X1900" s="6"/>
      <c r="Y1900" s="6"/>
      <c r="Z1900" s="6"/>
    </row>
    <row r="1901" customFormat="false" ht="15" hidden="false" customHeight="false" outlineLevel="0" collapsed="false">
      <c r="A1901" s="9" t="s">
        <v>7744</v>
      </c>
      <c r="B1901" s="9" t="s">
        <v>5870</v>
      </c>
      <c r="C1901" s="9" t="s">
        <v>2131</v>
      </c>
      <c r="D1901" s="9" t="s">
        <v>5871</v>
      </c>
      <c r="E1901" s="9" t="str">
        <f aca="false">IF(AND('Formation Ledger'!A1880&lt;&gt;"",'Formation Ledger'!V1880=0),"PASS","FAIL")</f>
        <v>PASS</v>
      </c>
      <c r="F1901" s="9" t="s">
        <v>76</v>
      </c>
      <c r="G1901" s="6"/>
      <c r="H1901" s="6"/>
      <c r="I1901" s="6"/>
      <c r="J1901" s="6"/>
      <c r="K1901" s="6"/>
      <c r="L1901" s="6"/>
      <c r="M1901" s="6"/>
      <c r="N1901" s="6"/>
      <c r="O1901" s="6"/>
      <c r="P1901" s="6"/>
      <c r="Q1901" s="6"/>
      <c r="R1901" s="6"/>
      <c r="S1901" s="6"/>
      <c r="T1901" s="6"/>
      <c r="U1901" s="6"/>
      <c r="V1901" s="6"/>
      <c r="W1901" s="6"/>
      <c r="X1901" s="6"/>
      <c r="Y1901" s="6"/>
      <c r="Z1901" s="6"/>
    </row>
    <row r="1902" customFormat="false" ht="15" hidden="false" customHeight="false" outlineLevel="0" collapsed="false">
      <c r="A1902" s="9" t="s">
        <v>7745</v>
      </c>
      <c r="B1902" s="9" t="s">
        <v>5870</v>
      </c>
      <c r="C1902" s="9" t="s">
        <v>2132</v>
      </c>
      <c r="D1902" s="9" t="s">
        <v>5871</v>
      </c>
      <c r="E1902" s="9" t="str">
        <f aca="false">IF(AND('Formation Ledger'!A1881&lt;&gt;"",'Formation Ledger'!V1881=0),"PASS","FAIL")</f>
        <v>PASS</v>
      </c>
      <c r="F1902" s="9" t="s">
        <v>76</v>
      </c>
      <c r="G1902" s="6"/>
      <c r="H1902" s="6"/>
      <c r="I1902" s="6"/>
      <c r="J1902" s="6"/>
      <c r="K1902" s="6"/>
      <c r="L1902" s="6"/>
      <c r="M1902" s="6"/>
      <c r="N1902" s="6"/>
      <c r="O1902" s="6"/>
      <c r="P1902" s="6"/>
      <c r="Q1902" s="6"/>
      <c r="R1902" s="6"/>
      <c r="S1902" s="6"/>
      <c r="T1902" s="6"/>
      <c r="U1902" s="6"/>
      <c r="V1902" s="6"/>
      <c r="W1902" s="6"/>
      <c r="X1902" s="6"/>
      <c r="Y1902" s="6"/>
      <c r="Z1902" s="6"/>
    </row>
    <row r="1903" customFormat="false" ht="15" hidden="false" customHeight="false" outlineLevel="0" collapsed="false">
      <c r="A1903" s="9" t="s">
        <v>7746</v>
      </c>
      <c r="B1903" s="9" t="s">
        <v>5870</v>
      </c>
      <c r="C1903" s="9" t="s">
        <v>2133</v>
      </c>
      <c r="D1903" s="9" t="s">
        <v>5871</v>
      </c>
      <c r="E1903" s="9" t="str">
        <f aca="false">IF(AND('Formation Ledger'!A1882&lt;&gt;"",'Formation Ledger'!V1882=0),"PASS","FAIL")</f>
        <v>PASS</v>
      </c>
      <c r="F1903" s="9" t="s">
        <v>76</v>
      </c>
      <c r="G1903" s="6"/>
      <c r="H1903" s="6"/>
      <c r="I1903" s="6"/>
      <c r="J1903" s="6"/>
      <c r="K1903" s="6"/>
      <c r="L1903" s="6"/>
      <c r="M1903" s="6"/>
      <c r="N1903" s="6"/>
      <c r="O1903" s="6"/>
      <c r="P1903" s="6"/>
      <c r="Q1903" s="6"/>
      <c r="R1903" s="6"/>
      <c r="S1903" s="6"/>
      <c r="T1903" s="6"/>
      <c r="U1903" s="6"/>
      <c r="V1903" s="6"/>
      <c r="W1903" s="6"/>
      <c r="X1903" s="6"/>
      <c r="Y1903" s="6"/>
      <c r="Z1903" s="6"/>
    </row>
    <row r="1904" customFormat="false" ht="15" hidden="false" customHeight="false" outlineLevel="0" collapsed="false">
      <c r="A1904" s="9" t="s">
        <v>7747</v>
      </c>
      <c r="B1904" s="9" t="s">
        <v>5870</v>
      </c>
      <c r="C1904" s="9" t="s">
        <v>2134</v>
      </c>
      <c r="D1904" s="9" t="s">
        <v>5871</v>
      </c>
      <c r="E1904" s="9" t="str">
        <f aca="false">IF(AND('Formation Ledger'!A1883&lt;&gt;"",'Formation Ledger'!V1883=0),"PASS","FAIL")</f>
        <v>PASS</v>
      </c>
      <c r="F1904" s="9" t="s">
        <v>76</v>
      </c>
      <c r="G1904" s="6"/>
      <c r="H1904" s="6"/>
      <c r="I1904" s="6"/>
      <c r="J1904" s="6"/>
      <c r="K1904" s="6"/>
      <c r="L1904" s="6"/>
      <c r="M1904" s="6"/>
      <c r="N1904" s="6"/>
      <c r="O1904" s="6"/>
      <c r="P1904" s="6"/>
      <c r="Q1904" s="6"/>
      <c r="R1904" s="6"/>
      <c r="S1904" s="6"/>
      <c r="T1904" s="6"/>
      <c r="U1904" s="6"/>
      <c r="V1904" s="6"/>
      <c r="W1904" s="6"/>
      <c r="X1904" s="6"/>
      <c r="Y1904" s="6"/>
      <c r="Z1904" s="6"/>
    </row>
    <row r="1905" customFormat="false" ht="15" hidden="false" customHeight="false" outlineLevel="0" collapsed="false">
      <c r="A1905" s="9" t="s">
        <v>7748</v>
      </c>
      <c r="B1905" s="9" t="s">
        <v>5870</v>
      </c>
      <c r="C1905" s="9" t="s">
        <v>2135</v>
      </c>
      <c r="D1905" s="9" t="s">
        <v>5871</v>
      </c>
      <c r="E1905" s="9" t="str">
        <f aca="false">IF(AND('Formation Ledger'!A1884&lt;&gt;"",'Formation Ledger'!V1884=0),"PASS","FAIL")</f>
        <v>PASS</v>
      </c>
      <c r="F1905" s="9" t="s">
        <v>76</v>
      </c>
      <c r="G1905" s="6"/>
      <c r="H1905" s="6"/>
      <c r="I1905" s="6"/>
      <c r="J1905" s="6"/>
      <c r="K1905" s="6"/>
      <c r="L1905" s="6"/>
      <c r="M1905" s="6"/>
      <c r="N1905" s="6"/>
      <c r="O1905" s="6"/>
      <c r="P1905" s="6"/>
      <c r="Q1905" s="6"/>
      <c r="R1905" s="6"/>
      <c r="S1905" s="6"/>
      <c r="T1905" s="6"/>
      <c r="U1905" s="6"/>
      <c r="V1905" s="6"/>
      <c r="W1905" s="6"/>
      <c r="X1905" s="6"/>
      <c r="Y1905" s="6"/>
      <c r="Z1905" s="6"/>
    </row>
    <row r="1906" customFormat="false" ht="15" hidden="false" customHeight="false" outlineLevel="0" collapsed="false">
      <c r="A1906" s="9" t="s">
        <v>7749</v>
      </c>
      <c r="B1906" s="9" t="s">
        <v>5870</v>
      </c>
      <c r="C1906" s="9" t="s">
        <v>2136</v>
      </c>
      <c r="D1906" s="9" t="s">
        <v>5871</v>
      </c>
      <c r="E1906" s="9" t="str">
        <f aca="false">IF(AND('Formation Ledger'!A1885&lt;&gt;"",'Formation Ledger'!V1885=0),"PASS","FAIL")</f>
        <v>PASS</v>
      </c>
      <c r="F1906" s="9" t="s">
        <v>76</v>
      </c>
      <c r="G1906" s="6"/>
      <c r="H1906" s="6"/>
      <c r="I1906" s="6"/>
      <c r="J1906" s="6"/>
      <c r="K1906" s="6"/>
      <c r="L1906" s="6"/>
      <c r="M1906" s="6"/>
      <c r="N1906" s="6"/>
      <c r="O1906" s="6"/>
      <c r="P1906" s="6"/>
      <c r="Q1906" s="6"/>
      <c r="R1906" s="6"/>
      <c r="S1906" s="6"/>
      <c r="T1906" s="6"/>
      <c r="U1906" s="6"/>
      <c r="V1906" s="6"/>
      <c r="W1906" s="6"/>
      <c r="X1906" s="6"/>
      <c r="Y1906" s="6"/>
      <c r="Z1906" s="6"/>
    </row>
    <row r="1907" customFormat="false" ht="15" hidden="false" customHeight="false" outlineLevel="0" collapsed="false">
      <c r="A1907" s="9" t="s">
        <v>7750</v>
      </c>
      <c r="B1907" s="9" t="s">
        <v>5870</v>
      </c>
      <c r="C1907" s="9" t="s">
        <v>2137</v>
      </c>
      <c r="D1907" s="9" t="s">
        <v>5871</v>
      </c>
      <c r="E1907" s="9" t="str">
        <f aca="false">IF(AND('Formation Ledger'!A1886&lt;&gt;"",'Formation Ledger'!V1886=0),"PASS","FAIL")</f>
        <v>PASS</v>
      </c>
      <c r="F1907" s="9" t="s">
        <v>76</v>
      </c>
      <c r="G1907" s="6"/>
      <c r="H1907" s="6"/>
      <c r="I1907" s="6"/>
      <c r="J1907" s="6"/>
      <c r="K1907" s="6"/>
      <c r="L1907" s="6"/>
      <c r="M1907" s="6"/>
      <c r="N1907" s="6"/>
      <c r="O1907" s="6"/>
      <c r="P1907" s="6"/>
      <c r="Q1907" s="6"/>
      <c r="R1907" s="6"/>
      <c r="S1907" s="6"/>
      <c r="T1907" s="6"/>
      <c r="U1907" s="6"/>
      <c r="V1907" s="6"/>
      <c r="W1907" s="6"/>
      <c r="X1907" s="6"/>
      <c r="Y1907" s="6"/>
      <c r="Z1907" s="6"/>
    </row>
    <row r="1908" customFormat="false" ht="15" hidden="false" customHeight="false" outlineLevel="0" collapsed="false">
      <c r="A1908" s="9" t="s">
        <v>7751</v>
      </c>
      <c r="B1908" s="9" t="s">
        <v>5870</v>
      </c>
      <c r="C1908" s="9" t="s">
        <v>2138</v>
      </c>
      <c r="D1908" s="9" t="s">
        <v>5871</v>
      </c>
      <c r="E1908" s="9" t="str">
        <f aca="false">IF(AND('Formation Ledger'!A1887&lt;&gt;"",'Formation Ledger'!V1887=0),"PASS","FAIL")</f>
        <v>PASS</v>
      </c>
      <c r="F1908" s="9" t="s">
        <v>76</v>
      </c>
      <c r="G1908" s="6"/>
      <c r="H1908" s="6"/>
      <c r="I1908" s="6"/>
      <c r="J1908" s="6"/>
      <c r="K1908" s="6"/>
      <c r="L1908" s="6"/>
      <c r="M1908" s="6"/>
      <c r="N1908" s="6"/>
      <c r="O1908" s="6"/>
      <c r="P1908" s="6"/>
      <c r="Q1908" s="6"/>
      <c r="R1908" s="6"/>
      <c r="S1908" s="6"/>
      <c r="T1908" s="6"/>
      <c r="U1908" s="6"/>
      <c r="V1908" s="6"/>
      <c r="W1908" s="6"/>
      <c r="X1908" s="6"/>
      <c r="Y1908" s="6"/>
      <c r="Z1908" s="6"/>
    </row>
    <row r="1909" customFormat="false" ht="15" hidden="false" customHeight="false" outlineLevel="0" collapsed="false">
      <c r="A1909" s="9" t="s">
        <v>7752</v>
      </c>
      <c r="B1909" s="9" t="s">
        <v>5870</v>
      </c>
      <c r="C1909" s="9" t="s">
        <v>2139</v>
      </c>
      <c r="D1909" s="9" t="s">
        <v>5871</v>
      </c>
      <c r="E1909" s="9" t="str">
        <f aca="false">IF(AND('Formation Ledger'!A1888&lt;&gt;"",'Formation Ledger'!V1888=0),"PASS","FAIL")</f>
        <v>PASS</v>
      </c>
      <c r="F1909" s="9" t="s">
        <v>76</v>
      </c>
      <c r="G1909" s="6"/>
      <c r="H1909" s="6"/>
      <c r="I1909" s="6"/>
      <c r="J1909" s="6"/>
      <c r="K1909" s="6"/>
      <c r="L1909" s="6"/>
      <c r="M1909" s="6"/>
      <c r="N1909" s="6"/>
      <c r="O1909" s="6"/>
      <c r="P1909" s="6"/>
      <c r="Q1909" s="6"/>
      <c r="R1909" s="6"/>
      <c r="S1909" s="6"/>
      <c r="T1909" s="6"/>
      <c r="U1909" s="6"/>
      <c r="V1909" s="6"/>
      <c r="W1909" s="6"/>
      <c r="X1909" s="6"/>
      <c r="Y1909" s="6"/>
      <c r="Z1909" s="6"/>
    </row>
    <row r="1910" customFormat="false" ht="15" hidden="false" customHeight="false" outlineLevel="0" collapsed="false">
      <c r="A1910" s="9" t="s">
        <v>7753</v>
      </c>
      <c r="B1910" s="9" t="s">
        <v>5870</v>
      </c>
      <c r="C1910" s="9" t="s">
        <v>2140</v>
      </c>
      <c r="D1910" s="9" t="s">
        <v>5871</v>
      </c>
      <c r="E1910" s="9" t="str">
        <f aca="false">IF(AND('Formation Ledger'!A1889&lt;&gt;"",'Formation Ledger'!V1889=0),"PASS","FAIL")</f>
        <v>PASS</v>
      </c>
      <c r="F1910" s="9" t="s">
        <v>76</v>
      </c>
      <c r="G1910" s="6"/>
      <c r="H1910" s="6"/>
      <c r="I1910" s="6"/>
      <c r="J1910" s="6"/>
      <c r="K1910" s="6"/>
      <c r="L1910" s="6"/>
      <c r="M1910" s="6"/>
      <c r="N1910" s="6"/>
      <c r="O1910" s="6"/>
      <c r="P1910" s="6"/>
      <c r="Q1910" s="6"/>
      <c r="R1910" s="6"/>
      <c r="S1910" s="6"/>
      <c r="T1910" s="6"/>
      <c r="U1910" s="6"/>
      <c r="V1910" s="6"/>
      <c r="W1910" s="6"/>
      <c r="X1910" s="6"/>
      <c r="Y1910" s="6"/>
      <c r="Z1910" s="6"/>
    </row>
    <row r="1911" customFormat="false" ht="15" hidden="false" customHeight="false" outlineLevel="0" collapsed="false">
      <c r="A1911" s="9" t="s">
        <v>7754</v>
      </c>
      <c r="B1911" s="9" t="s">
        <v>5870</v>
      </c>
      <c r="C1911" s="9" t="s">
        <v>2141</v>
      </c>
      <c r="D1911" s="9" t="s">
        <v>5871</v>
      </c>
      <c r="E1911" s="9" t="str">
        <f aca="false">IF(AND('Formation Ledger'!A1890&lt;&gt;"",'Formation Ledger'!V1890=0),"PASS","FAIL")</f>
        <v>PASS</v>
      </c>
      <c r="F1911" s="9" t="s">
        <v>76</v>
      </c>
      <c r="G1911" s="6"/>
      <c r="H1911" s="6"/>
      <c r="I1911" s="6"/>
      <c r="J1911" s="6"/>
      <c r="K1911" s="6"/>
      <c r="L1911" s="6"/>
      <c r="M1911" s="6"/>
      <c r="N1911" s="6"/>
      <c r="O1911" s="6"/>
      <c r="P1911" s="6"/>
      <c r="Q1911" s="6"/>
      <c r="R1911" s="6"/>
      <c r="S1911" s="6"/>
      <c r="T1911" s="6"/>
      <c r="U1911" s="6"/>
      <c r="V1911" s="6"/>
      <c r="W1911" s="6"/>
      <c r="X1911" s="6"/>
      <c r="Y1911" s="6"/>
      <c r="Z1911" s="6"/>
    </row>
    <row r="1912" customFormat="false" ht="15" hidden="false" customHeight="false" outlineLevel="0" collapsed="false">
      <c r="A1912" s="9" t="s">
        <v>7755</v>
      </c>
      <c r="B1912" s="9" t="s">
        <v>5870</v>
      </c>
      <c r="C1912" s="9" t="s">
        <v>2142</v>
      </c>
      <c r="D1912" s="9" t="s">
        <v>5871</v>
      </c>
      <c r="E1912" s="9" t="str">
        <f aca="false">IF(AND('Formation Ledger'!A1891&lt;&gt;"",'Formation Ledger'!V1891=0),"PASS","FAIL")</f>
        <v>PASS</v>
      </c>
      <c r="F1912" s="9" t="s">
        <v>76</v>
      </c>
      <c r="G1912" s="6"/>
      <c r="H1912" s="6"/>
      <c r="I1912" s="6"/>
      <c r="J1912" s="6"/>
      <c r="K1912" s="6"/>
      <c r="L1912" s="6"/>
      <c r="M1912" s="6"/>
      <c r="N1912" s="6"/>
      <c r="O1912" s="6"/>
      <c r="P1912" s="6"/>
      <c r="Q1912" s="6"/>
      <c r="R1912" s="6"/>
      <c r="S1912" s="6"/>
      <c r="T1912" s="6"/>
      <c r="U1912" s="6"/>
      <c r="V1912" s="6"/>
      <c r="W1912" s="6"/>
      <c r="X1912" s="6"/>
      <c r="Y1912" s="6"/>
      <c r="Z1912" s="6"/>
    </row>
    <row r="1913" customFormat="false" ht="15" hidden="false" customHeight="false" outlineLevel="0" collapsed="false">
      <c r="A1913" s="9" t="s">
        <v>7756</v>
      </c>
      <c r="B1913" s="9" t="s">
        <v>5870</v>
      </c>
      <c r="C1913" s="9" t="s">
        <v>2143</v>
      </c>
      <c r="D1913" s="9" t="s">
        <v>5871</v>
      </c>
      <c r="E1913" s="9" t="str">
        <f aca="false">IF(AND('Formation Ledger'!A1892&lt;&gt;"",'Formation Ledger'!V1892=0),"PASS","FAIL")</f>
        <v>PASS</v>
      </c>
      <c r="F1913" s="9" t="s">
        <v>76</v>
      </c>
      <c r="G1913" s="6"/>
      <c r="H1913" s="6"/>
      <c r="I1913" s="6"/>
      <c r="J1913" s="6"/>
      <c r="K1913" s="6"/>
      <c r="L1913" s="6"/>
      <c r="M1913" s="6"/>
      <c r="N1913" s="6"/>
      <c r="O1913" s="6"/>
      <c r="P1913" s="6"/>
      <c r="Q1913" s="6"/>
      <c r="R1913" s="6"/>
      <c r="S1913" s="6"/>
      <c r="T1913" s="6"/>
      <c r="U1913" s="6"/>
      <c r="V1913" s="6"/>
      <c r="W1913" s="6"/>
      <c r="X1913" s="6"/>
      <c r="Y1913" s="6"/>
      <c r="Z1913" s="6"/>
    </row>
    <row r="1914" customFormat="false" ht="15" hidden="false" customHeight="false" outlineLevel="0" collapsed="false">
      <c r="A1914" s="9" t="s">
        <v>7757</v>
      </c>
      <c r="B1914" s="9" t="s">
        <v>5870</v>
      </c>
      <c r="C1914" s="9" t="s">
        <v>2144</v>
      </c>
      <c r="D1914" s="9" t="s">
        <v>5871</v>
      </c>
      <c r="E1914" s="9" t="str">
        <f aca="false">IF(AND('Formation Ledger'!A1893&lt;&gt;"",'Formation Ledger'!V1893=0),"PASS","FAIL")</f>
        <v>PASS</v>
      </c>
      <c r="F1914" s="9" t="s">
        <v>76</v>
      </c>
      <c r="G1914" s="6"/>
      <c r="H1914" s="6"/>
      <c r="I1914" s="6"/>
      <c r="J1914" s="6"/>
      <c r="K1914" s="6"/>
      <c r="L1914" s="6"/>
      <c r="M1914" s="6"/>
      <c r="N1914" s="6"/>
      <c r="O1914" s="6"/>
      <c r="P1914" s="6"/>
      <c r="Q1914" s="6"/>
      <c r="R1914" s="6"/>
      <c r="S1914" s="6"/>
      <c r="T1914" s="6"/>
      <c r="U1914" s="6"/>
      <c r="V1914" s="6"/>
      <c r="W1914" s="6"/>
      <c r="X1914" s="6"/>
      <c r="Y1914" s="6"/>
      <c r="Z1914" s="6"/>
    </row>
    <row r="1915" customFormat="false" ht="15" hidden="false" customHeight="false" outlineLevel="0" collapsed="false">
      <c r="A1915" s="9" t="s">
        <v>7758</v>
      </c>
      <c r="B1915" s="9" t="s">
        <v>5870</v>
      </c>
      <c r="C1915" s="9" t="s">
        <v>2145</v>
      </c>
      <c r="D1915" s="9" t="s">
        <v>5871</v>
      </c>
      <c r="E1915" s="9" t="str">
        <f aca="false">IF(AND('Formation Ledger'!A1894&lt;&gt;"",'Formation Ledger'!V1894=0),"PASS","FAIL")</f>
        <v>PASS</v>
      </c>
      <c r="F1915" s="9" t="s">
        <v>76</v>
      </c>
      <c r="G1915" s="6"/>
      <c r="H1915" s="6"/>
      <c r="I1915" s="6"/>
      <c r="J1915" s="6"/>
      <c r="K1915" s="6"/>
      <c r="L1915" s="6"/>
      <c r="M1915" s="6"/>
      <c r="N1915" s="6"/>
      <c r="O1915" s="6"/>
      <c r="P1915" s="6"/>
      <c r="Q1915" s="6"/>
      <c r="R1915" s="6"/>
      <c r="S1915" s="6"/>
      <c r="T1915" s="6"/>
      <c r="U1915" s="6"/>
      <c r="V1915" s="6"/>
      <c r="W1915" s="6"/>
      <c r="X1915" s="6"/>
      <c r="Y1915" s="6"/>
      <c r="Z1915" s="6"/>
    </row>
    <row r="1916" customFormat="false" ht="15" hidden="false" customHeight="false" outlineLevel="0" collapsed="false">
      <c r="A1916" s="9" t="s">
        <v>7759</v>
      </c>
      <c r="B1916" s="9" t="s">
        <v>5870</v>
      </c>
      <c r="C1916" s="9" t="s">
        <v>2146</v>
      </c>
      <c r="D1916" s="9" t="s">
        <v>5871</v>
      </c>
      <c r="E1916" s="9" t="str">
        <f aca="false">IF(AND('Formation Ledger'!A1895&lt;&gt;"",'Formation Ledger'!V1895=0),"PASS","FAIL")</f>
        <v>PASS</v>
      </c>
      <c r="F1916" s="9" t="s">
        <v>76</v>
      </c>
      <c r="G1916" s="6"/>
      <c r="H1916" s="6"/>
      <c r="I1916" s="6"/>
      <c r="J1916" s="6"/>
      <c r="K1916" s="6"/>
      <c r="L1916" s="6"/>
      <c r="M1916" s="6"/>
      <c r="N1916" s="6"/>
      <c r="O1916" s="6"/>
      <c r="P1916" s="6"/>
      <c r="Q1916" s="6"/>
      <c r="R1916" s="6"/>
      <c r="S1916" s="6"/>
      <c r="T1916" s="6"/>
      <c r="U1916" s="6"/>
      <c r="V1916" s="6"/>
      <c r="W1916" s="6"/>
      <c r="X1916" s="6"/>
      <c r="Y1916" s="6"/>
      <c r="Z1916" s="6"/>
    </row>
    <row r="1917" customFormat="false" ht="15" hidden="false" customHeight="false" outlineLevel="0" collapsed="false">
      <c r="A1917" s="9" t="s">
        <v>7760</v>
      </c>
      <c r="B1917" s="9" t="s">
        <v>5870</v>
      </c>
      <c r="C1917" s="9" t="s">
        <v>2147</v>
      </c>
      <c r="D1917" s="9" t="s">
        <v>5871</v>
      </c>
      <c r="E1917" s="9" t="str">
        <f aca="false">IF(AND('Formation Ledger'!A1896&lt;&gt;"",'Formation Ledger'!V1896=0),"PASS","FAIL")</f>
        <v>PASS</v>
      </c>
      <c r="F1917" s="9" t="s">
        <v>76</v>
      </c>
      <c r="G1917" s="6"/>
      <c r="H1917" s="6"/>
      <c r="I1917" s="6"/>
      <c r="J1917" s="6"/>
      <c r="K1917" s="6"/>
      <c r="L1917" s="6"/>
      <c r="M1917" s="6"/>
      <c r="N1917" s="6"/>
      <c r="O1917" s="6"/>
      <c r="P1917" s="6"/>
      <c r="Q1917" s="6"/>
      <c r="R1917" s="6"/>
      <c r="S1917" s="6"/>
      <c r="T1917" s="6"/>
      <c r="U1917" s="6"/>
      <c r="V1917" s="6"/>
      <c r="W1917" s="6"/>
      <c r="X1917" s="6"/>
      <c r="Y1917" s="6"/>
      <c r="Z1917" s="6"/>
    </row>
    <row r="1918" customFormat="false" ht="15" hidden="false" customHeight="false" outlineLevel="0" collapsed="false">
      <c r="A1918" s="9" t="s">
        <v>7761</v>
      </c>
      <c r="B1918" s="9" t="s">
        <v>5870</v>
      </c>
      <c r="C1918" s="9" t="s">
        <v>2148</v>
      </c>
      <c r="D1918" s="9" t="s">
        <v>5871</v>
      </c>
      <c r="E1918" s="9" t="str">
        <f aca="false">IF(AND('Formation Ledger'!A1897&lt;&gt;"",'Formation Ledger'!V1897=0),"PASS","FAIL")</f>
        <v>PASS</v>
      </c>
      <c r="F1918" s="9" t="s">
        <v>76</v>
      </c>
      <c r="G1918" s="6"/>
      <c r="H1918" s="6"/>
      <c r="I1918" s="6"/>
      <c r="J1918" s="6"/>
      <c r="K1918" s="6"/>
      <c r="L1918" s="6"/>
      <c r="M1918" s="6"/>
      <c r="N1918" s="6"/>
      <c r="O1918" s="6"/>
      <c r="P1918" s="6"/>
      <c r="Q1918" s="6"/>
      <c r="R1918" s="6"/>
      <c r="S1918" s="6"/>
      <c r="T1918" s="6"/>
      <c r="U1918" s="6"/>
      <c r="V1918" s="6"/>
      <c r="W1918" s="6"/>
      <c r="X1918" s="6"/>
      <c r="Y1918" s="6"/>
      <c r="Z1918" s="6"/>
    </row>
    <row r="1919" customFormat="false" ht="15" hidden="false" customHeight="false" outlineLevel="0" collapsed="false">
      <c r="A1919" s="9" t="s">
        <v>7762</v>
      </c>
      <c r="B1919" s="9" t="s">
        <v>5870</v>
      </c>
      <c r="C1919" s="9" t="s">
        <v>2149</v>
      </c>
      <c r="D1919" s="9" t="s">
        <v>5871</v>
      </c>
      <c r="E1919" s="9" t="str">
        <f aca="false">IF(AND('Formation Ledger'!A1898&lt;&gt;"",'Formation Ledger'!V1898=0),"PASS","FAIL")</f>
        <v>PASS</v>
      </c>
      <c r="F1919" s="9" t="s">
        <v>76</v>
      </c>
      <c r="G1919" s="6"/>
      <c r="H1919" s="6"/>
      <c r="I1919" s="6"/>
      <c r="J1919" s="6"/>
      <c r="K1919" s="6"/>
      <c r="L1919" s="6"/>
      <c r="M1919" s="6"/>
      <c r="N1919" s="6"/>
      <c r="O1919" s="6"/>
      <c r="P1919" s="6"/>
      <c r="Q1919" s="6"/>
      <c r="R1919" s="6"/>
      <c r="S1919" s="6"/>
      <c r="T1919" s="6"/>
      <c r="U1919" s="6"/>
      <c r="V1919" s="6"/>
      <c r="W1919" s="6"/>
      <c r="X1919" s="6"/>
      <c r="Y1919" s="6"/>
      <c r="Z1919" s="6"/>
    </row>
    <row r="1920" customFormat="false" ht="15" hidden="false" customHeight="false" outlineLevel="0" collapsed="false">
      <c r="A1920" s="9" t="s">
        <v>7763</v>
      </c>
      <c r="B1920" s="9" t="s">
        <v>5870</v>
      </c>
      <c r="C1920" s="9" t="s">
        <v>2150</v>
      </c>
      <c r="D1920" s="9" t="s">
        <v>5871</v>
      </c>
      <c r="E1920" s="9" t="str">
        <f aca="false">IF(AND('Formation Ledger'!A1899&lt;&gt;"",'Formation Ledger'!V1899=0),"PASS","FAIL")</f>
        <v>PASS</v>
      </c>
      <c r="F1920" s="9" t="s">
        <v>76</v>
      </c>
      <c r="G1920" s="6"/>
      <c r="H1920" s="6"/>
      <c r="I1920" s="6"/>
      <c r="J1920" s="6"/>
      <c r="K1920" s="6"/>
      <c r="L1920" s="6"/>
      <c r="M1920" s="6"/>
      <c r="N1920" s="6"/>
      <c r="O1920" s="6"/>
      <c r="P1920" s="6"/>
      <c r="Q1920" s="6"/>
      <c r="R1920" s="6"/>
      <c r="S1920" s="6"/>
      <c r="T1920" s="6"/>
      <c r="U1920" s="6"/>
      <c r="V1920" s="6"/>
      <c r="W1920" s="6"/>
      <c r="X1920" s="6"/>
      <c r="Y1920" s="6"/>
      <c r="Z1920" s="6"/>
    </row>
    <row r="1921" customFormat="false" ht="15" hidden="false" customHeight="false" outlineLevel="0" collapsed="false">
      <c r="A1921" s="9" t="s">
        <v>7764</v>
      </c>
      <c r="B1921" s="9" t="s">
        <v>5870</v>
      </c>
      <c r="C1921" s="9" t="s">
        <v>2151</v>
      </c>
      <c r="D1921" s="9" t="s">
        <v>5871</v>
      </c>
      <c r="E1921" s="9" t="str">
        <f aca="false">IF(AND('Formation Ledger'!A1900&lt;&gt;"",'Formation Ledger'!V1900=0),"PASS","FAIL")</f>
        <v>PASS</v>
      </c>
      <c r="F1921" s="9" t="s">
        <v>76</v>
      </c>
      <c r="G1921" s="6"/>
      <c r="H1921" s="6"/>
      <c r="I1921" s="6"/>
      <c r="J1921" s="6"/>
      <c r="K1921" s="6"/>
      <c r="L1921" s="6"/>
      <c r="M1921" s="6"/>
      <c r="N1921" s="6"/>
      <c r="O1921" s="6"/>
      <c r="P1921" s="6"/>
      <c r="Q1921" s="6"/>
      <c r="R1921" s="6"/>
      <c r="S1921" s="6"/>
      <c r="T1921" s="6"/>
      <c r="U1921" s="6"/>
      <c r="V1921" s="6"/>
      <c r="W1921" s="6"/>
      <c r="X1921" s="6"/>
      <c r="Y1921" s="6"/>
      <c r="Z1921" s="6"/>
    </row>
    <row r="1922" customFormat="false" ht="15" hidden="false" customHeight="false" outlineLevel="0" collapsed="false">
      <c r="A1922" s="9" t="s">
        <v>7765</v>
      </c>
      <c r="B1922" s="9" t="s">
        <v>5870</v>
      </c>
      <c r="C1922" s="9" t="s">
        <v>2152</v>
      </c>
      <c r="D1922" s="9" t="s">
        <v>5871</v>
      </c>
      <c r="E1922" s="9" t="str">
        <f aca="false">IF(AND('Formation Ledger'!A1901&lt;&gt;"",'Formation Ledger'!V1901=0),"PASS","FAIL")</f>
        <v>PASS</v>
      </c>
      <c r="F1922" s="9" t="s">
        <v>76</v>
      </c>
      <c r="G1922" s="6"/>
      <c r="H1922" s="6"/>
      <c r="I1922" s="6"/>
      <c r="J1922" s="6"/>
      <c r="K1922" s="6"/>
      <c r="L1922" s="6"/>
      <c r="M1922" s="6"/>
      <c r="N1922" s="6"/>
      <c r="O1922" s="6"/>
      <c r="P1922" s="6"/>
      <c r="Q1922" s="6"/>
      <c r="R1922" s="6"/>
      <c r="S1922" s="6"/>
      <c r="T1922" s="6"/>
      <c r="U1922" s="6"/>
      <c r="V1922" s="6"/>
      <c r="W1922" s="6"/>
      <c r="X1922" s="6"/>
      <c r="Y1922" s="6"/>
      <c r="Z1922" s="6"/>
    </row>
    <row r="1923" customFormat="false" ht="15" hidden="false" customHeight="false" outlineLevel="0" collapsed="false">
      <c r="A1923" s="9" t="s">
        <v>7766</v>
      </c>
      <c r="B1923" s="9" t="s">
        <v>5870</v>
      </c>
      <c r="C1923" s="9" t="s">
        <v>2153</v>
      </c>
      <c r="D1923" s="9" t="s">
        <v>5871</v>
      </c>
      <c r="E1923" s="9" t="str">
        <f aca="false">IF(AND('Formation Ledger'!A1902&lt;&gt;"",'Formation Ledger'!V1902=0),"PASS","FAIL")</f>
        <v>PASS</v>
      </c>
      <c r="F1923" s="9" t="s">
        <v>76</v>
      </c>
      <c r="G1923" s="6"/>
      <c r="H1923" s="6"/>
      <c r="I1923" s="6"/>
      <c r="J1923" s="6"/>
      <c r="K1923" s="6"/>
      <c r="L1923" s="6"/>
      <c r="M1923" s="6"/>
      <c r="N1923" s="6"/>
      <c r="O1923" s="6"/>
      <c r="P1923" s="6"/>
      <c r="Q1923" s="6"/>
      <c r="R1923" s="6"/>
      <c r="S1923" s="6"/>
      <c r="T1923" s="6"/>
      <c r="U1923" s="6"/>
      <c r="V1923" s="6"/>
      <c r="W1923" s="6"/>
      <c r="X1923" s="6"/>
      <c r="Y1923" s="6"/>
      <c r="Z1923" s="6"/>
    </row>
    <row r="1924" customFormat="false" ht="15" hidden="false" customHeight="false" outlineLevel="0" collapsed="false">
      <c r="A1924" s="9" t="s">
        <v>7767</v>
      </c>
      <c r="B1924" s="9" t="s">
        <v>5870</v>
      </c>
      <c r="C1924" s="9" t="s">
        <v>2154</v>
      </c>
      <c r="D1924" s="9" t="s">
        <v>5871</v>
      </c>
      <c r="E1924" s="9" t="str">
        <f aca="false">IF(AND('Formation Ledger'!A1903&lt;&gt;"",'Formation Ledger'!V1903=0),"PASS","FAIL")</f>
        <v>PASS</v>
      </c>
      <c r="F1924" s="9" t="s">
        <v>76</v>
      </c>
      <c r="G1924" s="6"/>
      <c r="H1924" s="6"/>
      <c r="I1924" s="6"/>
      <c r="J1924" s="6"/>
      <c r="K1924" s="6"/>
      <c r="L1924" s="6"/>
      <c r="M1924" s="6"/>
      <c r="N1924" s="6"/>
      <c r="O1924" s="6"/>
      <c r="P1924" s="6"/>
      <c r="Q1924" s="6"/>
      <c r="R1924" s="6"/>
      <c r="S1924" s="6"/>
      <c r="T1924" s="6"/>
      <c r="U1924" s="6"/>
      <c r="V1924" s="6"/>
      <c r="W1924" s="6"/>
      <c r="X1924" s="6"/>
      <c r="Y1924" s="6"/>
      <c r="Z1924" s="6"/>
    </row>
    <row r="1925" customFormat="false" ht="15" hidden="false" customHeight="false" outlineLevel="0" collapsed="false">
      <c r="A1925" s="9" t="s">
        <v>7768</v>
      </c>
      <c r="B1925" s="9" t="s">
        <v>5870</v>
      </c>
      <c r="C1925" s="9" t="s">
        <v>2155</v>
      </c>
      <c r="D1925" s="9" t="s">
        <v>5871</v>
      </c>
      <c r="E1925" s="9" t="str">
        <f aca="false">IF(AND('Formation Ledger'!A1904&lt;&gt;"",'Formation Ledger'!V1904=0),"PASS","FAIL")</f>
        <v>PASS</v>
      </c>
      <c r="F1925" s="9" t="s">
        <v>76</v>
      </c>
      <c r="G1925" s="6"/>
      <c r="H1925" s="6"/>
      <c r="I1925" s="6"/>
      <c r="J1925" s="6"/>
      <c r="K1925" s="6"/>
      <c r="L1925" s="6"/>
      <c r="M1925" s="6"/>
      <c r="N1925" s="6"/>
      <c r="O1925" s="6"/>
      <c r="P1925" s="6"/>
      <c r="Q1925" s="6"/>
      <c r="R1925" s="6"/>
      <c r="S1925" s="6"/>
      <c r="T1925" s="6"/>
      <c r="U1925" s="6"/>
      <c r="V1925" s="6"/>
      <c r="W1925" s="6"/>
      <c r="X1925" s="6"/>
      <c r="Y1925" s="6"/>
      <c r="Z1925" s="6"/>
    </row>
    <row r="1926" customFormat="false" ht="15" hidden="false" customHeight="false" outlineLevel="0" collapsed="false">
      <c r="A1926" s="9" t="s">
        <v>7769</v>
      </c>
      <c r="B1926" s="9" t="s">
        <v>5870</v>
      </c>
      <c r="C1926" s="9" t="s">
        <v>2156</v>
      </c>
      <c r="D1926" s="9" t="s">
        <v>5871</v>
      </c>
      <c r="E1926" s="9" t="str">
        <f aca="false">IF(AND('Formation Ledger'!A1905&lt;&gt;"",'Formation Ledger'!V1905=0),"PASS","FAIL")</f>
        <v>PASS</v>
      </c>
      <c r="F1926" s="9" t="s">
        <v>76</v>
      </c>
      <c r="G1926" s="6"/>
      <c r="H1926" s="6"/>
      <c r="I1926" s="6"/>
      <c r="J1926" s="6"/>
      <c r="K1926" s="6"/>
      <c r="L1926" s="6"/>
      <c r="M1926" s="6"/>
      <c r="N1926" s="6"/>
      <c r="O1926" s="6"/>
      <c r="P1926" s="6"/>
      <c r="Q1926" s="6"/>
      <c r="R1926" s="6"/>
      <c r="S1926" s="6"/>
      <c r="T1926" s="6"/>
      <c r="U1926" s="6"/>
      <c r="V1926" s="6"/>
      <c r="W1926" s="6"/>
      <c r="X1926" s="6"/>
      <c r="Y1926" s="6"/>
      <c r="Z1926" s="6"/>
    </row>
    <row r="1927" customFormat="false" ht="15" hidden="false" customHeight="false" outlineLevel="0" collapsed="false">
      <c r="A1927" s="9" t="s">
        <v>7770</v>
      </c>
      <c r="B1927" s="9" t="s">
        <v>5870</v>
      </c>
      <c r="C1927" s="9" t="s">
        <v>2157</v>
      </c>
      <c r="D1927" s="9" t="s">
        <v>5871</v>
      </c>
      <c r="E1927" s="9" t="str">
        <f aca="false">IF(AND('Formation Ledger'!A1906&lt;&gt;"",'Formation Ledger'!V1906=0),"PASS","FAIL")</f>
        <v>PASS</v>
      </c>
      <c r="F1927" s="9" t="s">
        <v>76</v>
      </c>
      <c r="G1927" s="6"/>
      <c r="H1927" s="6"/>
      <c r="I1927" s="6"/>
      <c r="J1927" s="6"/>
      <c r="K1927" s="6"/>
      <c r="L1927" s="6"/>
      <c r="M1927" s="6"/>
      <c r="N1927" s="6"/>
      <c r="O1927" s="6"/>
      <c r="P1927" s="6"/>
      <c r="Q1927" s="6"/>
      <c r="R1927" s="6"/>
      <c r="S1927" s="6"/>
      <c r="T1927" s="6"/>
      <c r="U1927" s="6"/>
      <c r="V1927" s="6"/>
      <c r="W1927" s="6"/>
      <c r="X1927" s="6"/>
      <c r="Y1927" s="6"/>
      <c r="Z1927" s="6"/>
    </row>
    <row r="1928" customFormat="false" ht="15" hidden="false" customHeight="false" outlineLevel="0" collapsed="false">
      <c r="A1928" s="9" t="s">
        <v>7771</v>
      </c>
      <c r="B1928" s="9" t="s">
        <v>5870</v>
      </c>
      <c r="C1928" s="9" t="s">
        <v>2158</v>
      </c>
      <c r="D1928" s="9" t="s">
        <v>5871</v>
      </c>
      <c r="E1928" s="9" t="str">
        <f aca="false">IF(AND('Formation Ledger'!A1907&lt;&gt;"",'Formation Ledger'!V1907=0),"PASS","FAIL")</f>
        <v>PASS</v>
      </c>
      <c r="F1928" s="9" t="s">
        <v>76</v>
      </c>
      <c r="G1928" s="6"/>
      <c r="H1928" s="6"/>
      <c r="I1928" s="6"/>
      <c r="J1928" s="6"/>
      <c r="K1928" s="6"/>
      <c r="L1928" s="6"/>
      <c r="M1928" s="6"/>
      <c r="N1928" s="6"/>
      <c r="O1928" s="6"/>
      <c r="P1928" s="6"/>
      <c r="Q1928" s="6"/>
      <c r="R1928" s="6"/>
      <c r="S1928" s="6"/>
      <c r="T1928" s="6"/>
      <c r="U1928" s="6"/>
      <c r="V1928" s="6"/>
      <c r="W1928" s="6"/>
      <c r="X1928" s="6"/>
      <c r="Y1928" s="6"/>
      <c r="Z1928" s="6"/>
    </row>
    <row r="1929" customFormat="false" ht="15" hidden="false" customHeight="false" outlineLevel="0" collapsed="false">
      <c r="A1929" s="9" t="s">
        <v>7772</v>
      </c>
      <c r="B1929" s="9" t="s">
        <v>5870</v>
      </c>
      <c r="C1929" s="9" t="s">
        <v>2159</v>
      </c>
      <c r="D1929" s="9" t="s">
        <v>5871</v>
      </c>
      <c r="E1929" s="9" t="str">
        <f aca="false">IF(AND('Formation Ledger'!A1908&lt;&gt;"",'Formation Ledger'!V1908=0),"PASS","FAIL")</f>
        <v>PASS</v>
      </c>
      <c r="F1929" s="9" t="s">
        <v>76</v>
      </c>
      <c r="G1929" s="6"/>
      <c r="H1929" s="6"/>
      <c r="I1929" s="6"/>
      <c r="J1929" s="6"/>
      <c r="K1929" s="6"/>
      <c r="L1929" s="6"/>
      <c r="M1929" s="6"/>
      <c r="N1929" s="6"/>
      <c r="O1929" s="6"/>
      <c r="P1929" s="6"/>
      <c r="Q1929" s="6"/>
      <c r="R1929" s="6"/>
      <c r="S1929" s="6"/>
      <c r="T1929" s="6"/>
      <c r="U1929" s="6"/>
      <c r="V1929" s="6"/>
      <c r="W1929" s="6"/>
      <c r="X1929" s="6"/>
      <c r="Y1929" s="6"/>
      <c r="Z1929" s="6"/>
    </row>
    <row r="1930" customFormat="false" ht="15" hidden="false" customHeight="false" outlineLevel="0" collapsed="false">
      <c r="A1930" s="9" t="s">
        <v>7773</v>
      </c>
      <c r="B1930" s="9" t="s">
        <v>5870</v>
      </c>
      <c r="C1930" s="9" t="s">
        <v>2160</v>
      </c>
      <c r="D1930" s="9" t="s">
        <v>5871</v>
      </c>
      <c r="E1930" s="9" t="str">
        <f aca="false">IF(AND('Formation Ledger'!A1909&lt;&gt;"",'Formation Ledger'!V1909=0),"PASS","FAIL")</f>
        <v>PASS</v>
      </c>
      <c r="F1930" s="9" t="s">
        <v>76</v>
      </c>
      <c r="G1930" s="6"/>
      <c r="H1930" s="6"/>
      <c r="I1930" s="6"/>
      <c r="J1930" s="6"/>
      <c r="K1930" s="6"/>
      <c r="L1930" s="6"/>
      <c r="M1930" s="6"/>
      <c r="N1930" s="6"/>
      <c r="O1930" s="6"/>
      <c r="P1930" s="6"/>
      <c r="Q1930" s="6"/>
      <c r="R1930" s="6"/>
      <c r="S1930" s="6"/>
      <c r="T1930" s="6"/>
      <c r="U1930" s="6"/>
      <c r="V1930" s="6"/>
      <c r="W1930" s="6"/>
      <c r="X1930" s="6"/>
      <c r="Y1930" s="6"/>
      <c r="Z1930" s="6"/>
    </row>
    <row r="1931" customFormat="false" ht="15" hidden="false" customHeight="false" outlineLevel="0" collapsed="false">
      <c r="A1931" s="9" t="s">
        <v>7774</v>
      </c>
      <c r="B1931" s="9" t="s">
        <v>5870</v>
      </c>
      <c r="C1931" s="9" t="s">
        <v>2161</v>
      </c>
      <c r="D1931" s="9" t="s">
        <v>5871</v>
      </c>
      <c r="E1931" s="9" t="str">
        <f aca="false">IF(AND('Formation Ledger'!A1910&lt;&gt;"",'Formation Ledger'!V1910=0),"PASS","FAIL")</f>
        <v>PASS</v>
      </c>
      <c r="F1931" s="9" t="s">
        <v>76</v>
      </c>
      <c r="G1931" s="6"/>
      <c r="H1931" s="6"/>
      <c r="I1931" s="6"/>
      <c r="J1931" s="6"/>
      <c r="K1931" s="6"/>
      <c r="L1931" s="6"/>
      <c r="M1931" s="6"/>
      <c r="N1931" s="6"/>
      <c r="O1931" s="6"/>
      <c r="P1931" s="6"/>
      <c r="Q1931" s="6"/>
      <c r="R1931" s="6"/>
      <c r="S1931" s="6"/>
      <c r="T1931" s="6"/>
      <c r="U1931" s="6"/>
      <c r="V1931" s="6"/>
      <c r="W1931" s="6"/>
      <c r="X1931" s="6"/>
      <c r="Y1931" s="6"/>
      <c r="Z1931" s="6"/>
    </row>
    <row r="1932" customFormat="false" ht="15" hidden="false" customHeight="false" outlineLevel="0" collapsed="false">
      <c r="A1932" s="9" t="s">
        <v>7775</v>
      </c>
      <c r="B1932" s="9" t="s">
        <v>5870</v>
      </c>
      <c r="C1932" s="9" t="s">
        <v>2162</v>
      </c>
      <c r="D1932" s="9" t="s">
        <v>5871</v>
      </c>
      <c r="E1932" s="9" t="str">
        <f aca="false">IF(AND('Formation Ledger'!A1911&lt;&gt;"",'Formation Ledger'!V1911=0),"PASS","FAIL")</f>
        <v>PASS</v>
      </c>
      <c r="F1932" s="9" t="s">
        <v>76</v>
      </c>
      <c r="G1932" s="6"/>
      <c r="H1932" s="6"/>
      <c r="I1932" s="6"/>
      <c r="J1932" s="6"/>
      <c r="K1932" s="6"/>
      <c r="L1932" s="6"/>
      <c r="M1932" s="6"/>
      <c r="N1932" s="6"/>
      <c r="O1932" s="6"/>
      <c r="P1932" s="6"/>
      <c r="Q1932" s="6"/>
      <c r="R1932" s="6"/>
      <c r="S1932" s="6"/>
      <c r="T1932" s="6"/>
      <c r="U1932" s="6"/>
      <c r="V1932" s="6"/>
      <c r="W1932" s="6"/>
      <c r="X1932" s="6"/>
      <c r="Y1932" s="6"/>
      <c r="Z1932" s="6"/>
    </row>
    <row r="1933" customFormat="false" ht="15" hidden="false" customHeight="false" outlineLevel="0" collapsed="false">
      <c r="A1933" s="9" t="s">
        <v>7776</v>
      </c>
      <c r="B1933" s="9" t="s">
        <v>5870</v>
      </c>
      <c r="C1933" s="9" t="s">
        <v>2163</v>
      </c>
      <c r="D1933" s="9" t="s">
        <v>5871</v>
      </c>
      <c r="E1933" s="9" t="str">
        <f aca="false">IF(AND('Formation Ledger'!A1912&lt;&gt;"",'Formation Ledger'!V1912=0),"PASS","FAIL")</f>
        <v>PASS</v>
      </c>
      <c r="F1933" s="9" t="s">
        <v>76</v>
      </c>
      <c r="G1933" s="6"/>
      <c r="H1933" s="6"/>
      <c r="I1933" s="6"/>
      <c r="J1933" s="6"/>
      <c r="K1933" s="6"/>
      <c r="L1933" s="6"/>
      <c r="M1933" s="6"/>
      <c r="N1933" s="6"/>
      <c r="O1933" s="6"/>
      <c r="P1933" s="6"/>
      <c r="Q1933" s="6"/>
      <c r="R1933" s="6"/>
      <c r="S1933" s="6"/>
      <c r="T1933" s="6"/>
      <c r="U1933" s="6"/>
      <c r="V1933" s="6"/>
      <c r="W1933" s="6"/>
      <c r="X1933" s="6"/>
      <c r="Y1933" s="6"/>
      <c r="Z1933" s="6"/>
    </row>
    <row r="1934" customFormat="false" ht="15" hidden="false" customHeight="false" outlineLevel="0" collapsed="false">
      <c r="A1934" s="9" t="s">
        <v>7777</v>
      </c>
      <c r="B1934" s="9" t="s">
        <v>5870</v>
      </c>
      <c r="C1934" s="9" t="s">
        <v>2164</v>
      </c>
      <c r="D1934" s="9" t="s">
        <v>5871</v>
      </c>
      <c r="E1934" s="9" t="str">
        <f aca="false">IF(AND('Formation Ledger'!A1913&lt;&gt;"",'Formation Ledger'!V1913=0),"PASS","FAIL")</f>
        <v>PASS</v>
      </c>
      <c r="F1934" s="9" t="s">
        <v>76</v>
      </c>
      <c r="G1934" s="6"/>
      <c r="H1934" s="6"/>
      <c r="I1934" s="6"/>
      <c r="J1934" s="6"/>
      <c r="K1934" s="6"/>
      <c r="L1934" s="6"/>
      <c r="M1934" s="6"/>
      <c r="N1934" s="6"/>
      <c r="O1934" s="6"/>
      <c r="P1934" s="6"/>
      <c r="Q1934" s="6"/>
      <c r="R1934" s="6"/>
      <c r="S1934" s="6"/>
      <c r="T1934" s="6"/>
      <c r="U1934" s="6"/>
      <c r="V1934" s="6"/>
      <c r="W1934" s="6"/>
      <c r="X1934" s="6"/>
      <c r="Y1934" s="6"/>
      <c r="Z1934" s="6"/>
    </row>
    <row r="1935" customFormat="false" ht="15" hidden="false" customHeight="false" outlineLevel="0" collapsed="false">
      <c r="A1935" s="9" t="s">
        <v>7778</v>
      </c>
      <c r="B1935" s="9" t="s">
        <v>5870</v>
      </c>
      <c r="C1935" s="9" t="s">
        <v>2165</v>
      </c>
      <c r="D1935" s="9" t="s">
        <v>5871</v>
      </c>
      <c r="E1935" s="9" t="str">
        <f aca="false">IF(AND('Formation Ledger'!A1914&lt;&gt;"",'Formation Ledger'!V1914=0),"PASS","FAIL")</f>
        <v>PASS</v>
      </c>
      <c r="F1935" s="9" t="s">
        <v>76</v>
      </c>
      <c r="G1935" s="6"/>
      <c r="H1935" s="6"/>
      <c r="I1935" s="6"/>
      <c r="J1935" s="6"/>
      <c r="K1935" s="6"/>
      <c r="L1935" s="6"/>
      <c r="M1935" s="6"/>
      <c r="N1935" s="6"/>
      <c r="O1935" s="6"/>
      <c r="P1935" s="6"/>
      <c r="Q1935" s="6"/>
      <c r="R1935" s="6"/>
      <c r="S1935" s="6"/>
      <c r="T1935" s="6"/>
      <c r="U1935" s="6"/>
      <c r="V1935" s="6"/>
      <c r="W1935" s="6"/>
      <c r="X1935" s="6"/>
      <c r="Y1935" s="6"/>
      <c r="Z1935" s="6"/>
    </row>
    <row r="1936" customFormat="false" ht="15" hidden="false" customHeight="false" outlineLevel="0" collapsed="false">
      <c r="A1936" s="9" t="s">
        <v>7779</v>
      </c>
      <c r="B1936" s="9" t="s">
        <v>5870</v>
      </c>
      <c r="C1936" s="9" t="s">
        <v>2166</v>
      </c>
      <c r="D1936" s="9" t="s">
        <v>5871</v>
      </c>
      <c r="E1936" s="9" t="str">
        <f aca="false">IF(AND('Formation Ledger'!A1915&lt;&gt;"",'Formation Ledger'!V1915=0),"PASS","FAIL")</f>
        <v>PASS</v>
      </c>
      <c r="F1936" s="9" t="s">
        <v>76</v>
      </c>
      <c r="G1936" s="6"/>
      <c r="H1936" s="6"/>
      <c r="I1936" s="6"/>
      <c r="J1936" s="6"/>
      <c r="K1936" s="6"/>
      <c r="L1936" s="6"/>
      <c r="M1936" s="6"/>
      <c r="N1936" s="6"/>
      <c r="O1936" s="6"/>
      <c r="P1936" s="6"/>
      <c r="Q1936" s="6"/>
      <c r="R1936" s="6"/>
      <c r="S1936" s="6"/>
      <c r="T1936" s="6"/>
      <c r="U1936" s="6"/>
      <c r="V1936" s="6"/>
      <c r="W1936" s="6"/>
      <c r="X1936" s="6"/>
      <c r="Y1936" s="6"/>
      <c r="Z1936" s="6"/>
    </row>
    <row r="1937" customFormat="false" ht="15" hidden="false" customHeight="false" outlineLevel="0" collapsed="false">
      <c r="A1937" s="9" t="s">
        <v>7780</v>
      </c>
      <c r="B1937" s="9" t="s">
        <v>5870</v>
      </c>
      <c r="C1937" s="9" t="s">
        <v>2167</v>
      </c>
      <c r="D1937" s="9" t="s">
        <v>5871</v>
      </c>
      <c r="E1937" s="9" t="str">
        <f aca="false">IF(AND('Formation Ledger'!A1916&lt;&gt;"",'Formation Ledger'!V1916=0),"PASS","FAIL")</f>
        <v>PASS</v>
      </c>
      <c r="F1937" s="9" t="s">
        <v>76</v>
      </c>
      <c r="G1937" s="6"/>
      <c r="H1937" s="6"/>
      <c r="I1937" s="6"/>
      <c r="J1937" s="6"/>
      <c r="K1937" s="6"/>
      <c r="L1937" s="6"/>
      <c r="M1937" s="6"/>
      <c r="N1937" s="6"/>
      <c r="O1937" s="6"/>
      <c r="P1937" s="6"/>
      <c r="Q1937" s="6"/>
      <c r="R1937" s="6"/>
      <c r="S1937" s="6"/>
      <c r="T1937" s="6"/>
      <c r="U1937" s="6"/>
      <c r="V1937" s="6"/>
      <c r="W1937" s="6"/>
      <c r="X1937" s="6"/>
      <c r="Y1937" s="6"/>
      <c r="Z1937" s="6"/>
    </row>
    <row r="1938" customFormat="false" ht="15" hidden="false" customHeight="false" outlineLevel="0" collapsed="false">
      <c r="A1938" s="9" t="s">
        <v>7781</v>
      </c>
      <c r="B1938" s="9" t="s">
        <v>5870</v>
      </c>
      <c r="C1938" s="9" t="s">
        <v>2168</v>
      </c>
      <c r="D1938" s="9" t="s">
        <v>5871</v>
      </c>
      <c r="E1938" s="9" t="str">
        <f aca="false">IF(AND('Formation Ledger'!A1917&lt;&gt;"",'Formation Ledger'!V1917=0),"PASS","FAIL")</f>
        <v>PASS</v>
      </c>
      <c r="F1938" s="9" t="s">
        <v>76</v>
      </c>
      <c r="G1938" s="6"/>
      <c r="H1938" s="6"/>
      <c r="I1938" s="6"/>
      <c r="J1938" s="6"/>
      <c r="K1938" s="6"/>
      <c r="L1938" s="6"/>
      <c r="M1938" s="6"/>
      <c r="N1938" s="6"/>
      <c r="O1938" s="6"/>
      <c r="P1938" s="6"/>
      <c r="Q1938" s="6"/>
      <c r="R1938" s="6"/>
      <c r="S1938" s="6"/>
      <c r="T1938" s="6"/>
      <c r="U1938" s="6"/>
      <c r="V1938" s="6"/>
      <c r="W1938" s="6"/>
      <c r="X1938" s="6"/>
      <c r="Y1938" s="6"/>
      <c r="Z1938" s="6"/>
    </row>
    <row r="1939" customFormat="false" ht="15" hidden="false" customHeight="false" outlineLevel="0" collapsed="false">
      <c r="A1939" s="9" t="s">
        <v>7782</v>
      </c>
      <c r="B1939" s="9" t="s">
        <v>5870</v>
      </c>
      <c r="C1939" s="9" t="s">
        <v>2169</v>
      </c>
      <c r="D1939" s="9" t="s">
        <v>5871</v>
      </c>
      <c r="E1939" s="9" t="str">
        <f aca="false">IF(AND('Formation Ledger'!A1918&lt;&gt;"",'Formation Ledger'!V1918=0),"PASS","FAIL")</f>
        <v>PASS</v>
      </c>
      <c r="F1939" s="9" t="s">
        <v>76</v>
      </c>
      <c r="G1939" s="6"/>
      <c r="H1939" s="6"/>
      <c r="I1939" s="6"/>
      <c r="J1939" s="6"/>
      <c r="K1939" s="6"/>
      <c r="L1939" s="6"/>
      <c r="M1939" s="6"/>
      <c r="N1939" s="6"/>
      <c r="O1939" s="6"/>
      <c r="P1939" s="6"/>
      <c r="Q1939" s="6"/>
      <c r="R1939" s="6"/>
      <c r="S1939" s="6"/>
      <c r="T1939" s="6"/>
      <c r="U1939" s="6"/>
      <c r="V1939" s="6"/>
      <c r="W1939" s="6"/>
      <c r="X1939" s="6"/>
      <c r="Y1939" s="6"/>
      <c r="Z1939" s="6"/>
    </row>
    <row r="1940" customFormat="false" ht="15" hidden="false" customHeight="false" outlineLevel="0" collapsed="false">
      <c r="A1940" s="9" t="s">
        <v>7783</v>
      </c>
      <c r="B1940" s="9" t="s">
        <v>5870</v>
      </c>
      <c r="C1940" s="9" t="s">
        <v>2170</v>
      </c>
      <c r="D1940" s="9" t="s">
        <v>5871</v>
      </c>
      <c r="E1940" s="9" t="str">
        <f aca="false">IF(AND('Formation Ledger'!A1919&lt;&gt;"",'Formation Ledger'!V1919=0),"PASS","FAIL")</f>
        <v>PASS</v>
      </c>
      <c r="F1940" s="9" t="s">
        <v>76</v>
      </c>
      <c r="G1940" s="6"/>
      <c r="H1940" s="6"/>
      <c r="I1940" s="6"/>
      <c r="J1940" s="6"/>
      <c r="K1940" s="6"/>
      <c r="L1940" s="6"/>
      <c r="M1940" s="6"/>
      <c r="N1940" s="6"/>
      <c r="O1940" s="6"/>
      <c r="P1940" s="6"/>
      <c r="Q1940" s="6"/>
      <c r="R1940" s="6"/>
      <c r="S1940" s="6"/>
      <c r="T1940" s="6"/>
      <c r="U1940" s="6"/>
      <c r="V1940" s="6"/>
      <c r="W1940" s="6"/>
      <c r="X1940" s="6"/>
      <c r="Y1940" s="6"/>
      <c r="Z1940" s="6"/>
    </row>
    <row r="1941" customFormat="false" ht="15" hidden="false" customHeight="false" outlineLevel="0" collapsed="false">
      <c r="A1941" s="9" t="s">
        <v>7784</v>
      </c>
      <c r="B1941" s="9" t="s">
        <v>5870</v>
      </c>
      <c r="C1941" s="9" t="s">
        <v>2171</v>
      </c>
      <c r="D1941" s="9" t="s">
        <v>5871</v>
      </c>
      <c r="E1941" s="9" t="str">
        <f aca="false">IF(AND('Formation Ledger'!A1920&lt;&gt;"",'Formation Ledger'!V1920=0),"PASS","FAIL")</f>
        <v>PASS</v>
      </c>
      <c r="F1941" s="9" t="s">
        <v>76</v>
      </c>
      <c r="G1941" s="6"/>
      <c r="H1941" s="6"/>
      <c r="I1941" s="6"/>
      <c r="J1941" s="6"/>
      <c r="K1941" s="6"/>
      <c r="L1941" s="6"/>
      <c r="M1941" s="6"/>
      <c r="N1941" s="6"/>
      <c r="O1941" s="6"/>
      <c r="P1941" s="6"/>
      <c r="Q1941" s="6"/>
      <c r="R1941" s="6"/>
      <c r="S1941" s="6"/>
      <c r="T1941" s="6"/>
      <c r="U1941" s="6"/>
      <c r="V1941" s="6"/>
      <c r="W1941" s="6"/>
      <c r="X1941" s="6"/>
      <c r="Y1941" s="6"/>
      <c r="Z1941" s="6"/>
    </row>
    <row r="1942" customFormat="false" ht="15" hidden="false" customHeight="false" outlineLevel="0" collapsed="false">
      <c r="A1942" s="9" t="s">
        <v>7785</v>
      </c>
      <c r="B1942" s="9" t="s">
        <v>5870</v>
      </c>
      <c r="C1942" s="9" t="s">
        <v>2172</v>
      </c>
      <c r="D1942" s="9" t="s">
        <v>5871</v>
      </c>
      <c r="E1942" s="9" t="str">
        <f aca="false">IF(AND('Formation Ledger'!A1921&lt;&gt;"",'Formation Ledger'!V1921=0),"PASS","FAIL")</f>
        <v>PASS</v>
      </c>
      <c r="F1942" s="9" t="s">
        <v>76</v>
      </c>
      <c r="G1942" s="6"/>
      <c r="H1942" s="6"/>
      <c r="I1942" s="6"/>
      <c r="J1942" s="6"/>
      <c r="K1942" s="6"/>
      <c r="L1942" s="6"/>
      <c r="M1942" s="6"/>
      <c r="N1942" s="6"/>
      <c r="O1942" s="6"/>
      <c r="P1942" s="6"/>
      <c r="Q1942" s="6"/>
      <c r="R1942" s="6"/>
      <c r="S1942" s="6"/>
      <c r="T1942" s="6"/>
      <c r="U1942" s="6"/>
      <c r="V1942" s="6"/>
      <c r="W1942" s="6"/>
      <c r="X1942" s="6"/>
      <c r="Y1942" s="6"/>
      <c r="Z1942" s="6"/>
    </row>
    <row r="1943" customFormat="false" ht="15" hidden="false" customHeight="false" outlineLevel="0" collapsed="false">
      <c r="A1943" s="9" t="s">
        <v>7786</v>
      </c>
      <c r="B1943" s="9" t="s">
        <v>5870</v>
      </c>
      <c r="C1943" s="9" t="s">
        <v>2173</v>
      </c>
      <c r="D1943" s="9" t="s">
        <v>5871</v>
      </c>
      <c r="E1943" s="9" t="str">
        <f aca="false">IF(AND('Formation Ledger'!A1922&lt;&gt;"",'Formation Ledger'!V1922=0),"PASS","FAIL")</f>
        <v>PASS</v>
      </c>
      <c r="F1943" s="9" t="s">
        <v>76</v>
      </c>
      <c r="G1943" s="6"/>
      <c r="H1943" s="6"/>
      <c r="I1943" s="6"/>
      <c r="J1943" s="6"/>
      <c r="K1943" s="6"/>
      <c r="L1943" s="6"/>
      <c r="M1943" s="6"/>
      <c r="N1943" s="6"/>
      <c r="O1943" s="6"/>
      <c r="P1943" s="6"/>
      <c r="Q1943" s="6"/>
      <c r="R1943" s="6"/>
      <c r="S1943" s="6"/>
      <c r="T1943" s="6"/>
      <c r="U1943" s="6"/>
      <c r="V1943" s="6"/>
      <c r="W1943" s="6"/>
      <c r="X1943" s="6"/>
      <c r="Y1943" s="6"/>
      <c r="Z1943" s="6"/>
    </row>
    <row r="1944" customFormat="false" ht="15" hidden="false" customHeight="false" outlineLevel="0" collapsed="false">
      <c r="A1944" s="9" t="s">
        <v>7787</v>
      </c>
      <c r="B1944" s="9" t="s">
        <v>5870</v>
      </c>
      <c r="C1944" s="9" t="s">
        <v>2174</v>
      </c>
      <c r="D1944" s="9" t="s">
        <v>5871</v>
      </c>
      <c r="E1944" s="9" t="str">
        <f aca="false">IF(AND('Formation Ledger'!A1923&lt;&gt;"",'Formation Ledger'!V1923=0),"PASS","FAIL")</f>
        <v>PASS</v>
      </c>
      <c r="F1944" s="9" t="s">
        <v>76</v>
      </c>
      <c r="G1944" s="6"/>
      <c r="H1944" s="6"/>
      <c r="I1944" s="6"/>
      <c r="J1944" s="6"/>
      <c r="K1944" s="6"/>
      <c r="L1944" s="6"/>
      <c r="M1944" s="6"/>
      <c r="N1944" s="6"/>
      <c r="O1944" s="6"/>
      <c r="P1944" s="6"/>
      <c r="Q1944" s="6"/>
      <c r="R1944" s="6"/>
      <c r="S1944" s="6"/>
      <c r="T1944" s="6"/>
      <c r="U1944" s="6"/>
      <c r="V1944" s="6"/>
      <c r="W1944" s="6"/>
      <c r="X1944" s="6"/>
      <c r="Y1944" s="6"/>
      <c r="Z1944" s="6"/>
    </row>
    <row r="1945" customFormat="false" ht="15" hidden="false" customHeight="false" outlineLevel="0" collapsed="false">
      <c r="A1945" s="9" t="s">
        <v>7788</v>
      </c>
      <c r="B1945" s="9" t="s">
        <v>5870</v>
      </c>
      <c r="C1945" s="9" t="s">
        <v>2175</v>
      </c>
      <c r="D1945" s="9" t="s">
        <v>5871</v>
      </c>
      <c r="E1945" s="9" t="str">
        <f aca="false">IF(AND('Formation Ledger'!A1924&lt;&gt;"",'Formation Ledger'!V1924=0),"PASS","FAIL")</f>
        <v>PASS</v>
      </c>
      <c r="F1945" s="9" t="s">
        <v>76</v>
      </c>
      <c r="G1945" s="6"/>
      <c r="H1945" s="6"/>
      <c r="I1945" s="6"/>
      <c r="J1945" s="6"/>
      <c r="K1945" s="6"/>
      <c r="L1945" s="6"/>
      <c r="M1945" s="6"/>
      <c r="N1945" s="6"/>
      <c r="O1945" s="6"/>
      <c r="P1945" s="6"/>
      <c r="Q1945" s="6"/>
      <c r="R1945" s="6"/>
      <c r="S1945" s="6"/>
      <c r="T1945" s="6"/>
      <c r="U1945" s="6"/>
      <c r="V1945" s="6"/>
      <c r="W1945" s="6"/>
      <c r="X1945" s="6"/>
      <c r="Y1945" s="6"/>
      <c r="Z1945" s="6"/>
    </row>
    <row r="1946" customFormat="false" ht="15" hidden="false" customHeight="false" outlineLevel="0" collapsed="false">
      <c r="A1946" s="9" t="s">
        <v>7789</v>
      </c>
      <c r="B1946" s="9" t="s">
        <v>5870</v>
      </c>
      <c r="C1946" s="9" t="s">
        <v>2176</v>
      </c>
      <c r="D1946" s="9" t="s">
        <v>5871</v>
      </c>
      <c r="E1946" s="9" t="str">
        <f aca="false">IF(AND('Formation Ledger'!A1925&lt;&gt;"",'Formation Ledger'!V1925=0),"PASS","FAIL")</f>
        <v>PASS</v>
      </c>
      <c r="F1946" s="9" t="s">
        <v>76</v>
      </c>
      <c r="G1946" s="6"/>
      <c r="H1946" s="6"/>
      <c r="I1946" s="6"/>
      <c r="J1946" s="6"/>
      <c r="K1946" s="6"/>
      <c r="L1946" s="6"/>
      <c r="M1946" s="6"/>
      <c r="N1946" s="6"/>
      <c r="O1946" s="6"/>
      <c r="P1946" s="6"/>
      <c r="Q1946" s="6"/>
      <c r="R1946" s="6"/>
      <c r="S1946" s="6"/>
      <c r="T1946" s="6"/>
      <c r="U1946" s="6"/>
      <c r="V1946" s="6"/>
      <c r="W1946" s="6"/>
      <c r="X1946" s="6"/>
      <c r="Y1946" s="6"/>
      <c r="Z1946" s="6"/>
    </row>
    <row r="1947" customFormat="false" ht="15" hidden="false" customHeight="false" outlineLevel="0" collapsed="false">
      <c r="A1947" s="9" t="s">
        <v>7790</v>
      </c>
      <c r="B1947" s="9" t="s">
        <v>5870</v>
      </c>
      <c r="C1947" s="9" t="s">
        <v>2177</v>
      </c>
      <c r="D1947" s="9" t="s">
        <v>5871</v>
      </c>
      <c r="E1947" s="9" t="str">
        <f aca="false">IF(AND('Formation Ledger'!A1926&lt;&gt;"",'Formation Ledger'!V1926=0),"PASS","FAIL")</f>
        <v>PASS</v>
      </c>
      <c r="F1947" s="9" t="s">
        <v>76</v>
      </c>
      <c r="G1947" s="6"/>
      <c r="H1947" s="6"/>
      <c r="I1947" s="6"/>
      <c r="J1947" s="6"/>
      <c r="K1947" s="6"/>
      <c r="L1947" s="6"/>
      <c r="M1947" s="6"/>
      <c r="N1947" s="6"/>
      <c r="O1947" s="6"/>
      <c r="P1947" s="6"/>
      <c r="Q1947" s="6"/>
      <c r="R1947" s="6"/>
      <c r="S1947" s="6"/>
      <c r="T1947" s="6"/>
      <c r="U1947" s="6"/>
      <c r="V1947" s="6"/>
      <c r="W1947" s="6"/>
      <c r="X1947" s="6"/>
      <c r="Y1947" s="6"/>
      <c r="Z1947" s="6"/>
    </row>
    <row r="1948" customFormat="false" ht="15" hidden="false" customHeight="false" outlineLevel="0" collapsed="false">
      <c r="A1948" s="9" t="s">
        <v>7791</v>
      </c>
      <c r="B1948" s="9" t="s">
        <v>5870</v>
      </c>
      <c r="C1948" s="9" t="s">
        <v>2178</v>
      </c>
      <c r="D1948" s="9" t="s">
        <v>5871</v>
      </c>
      <c r="E1948" s="9" t="str">
        <f aca="false">IF(AND('Formation Ledger'!A1927&lt;&gt;"",'Formation Ledger'!V1927=0),"PASS","FAIL")</f>
        <v>PASS</v>
      </c>
      <c r="F1948" s="9" t="s">
        <v>76</v>
      </c>
      <c r="G1948" s="6"/>
      <c r="H1948" s="6"/>
      <c r="I1948" s="6"/>
      <c r="J1948" s="6"/>
      <c r="K1948" s="6"/>
      <c r="L1948" s="6"/>
      <c r="M1948" s="6"/>
      <c r="N1948" s="6"/>
      <c r="O1948" s="6"/>
      <c r="P1948" s="6"/>
      <c r="Q1948" s="6"/>
      <c r="R1948" s="6"/>
      <c r="S1948" s="6"/>
      <c r="T1948" s="6"/>
      <c r="U1948" s="6"/>
      <c r="V1948" s="6"/>
      <c r="W1948" s="6"/>
      <c r="X1948" s="6"/>
      <c r="Y1948" s="6"/>
      <c r="Z1948" s="6"/>
    </row>
    <row r="1949" customFormat="false" ht="15" hidden="false" customHeight="false" outlineLevel="0" collapsed="false">
      <c r="A1949" s="9" t="s">
        <v>7792</v>
      </c>
      <c r="B1949" s="9" t="s">
        <v>5870</v>
      </c>
      <c r="C1949" s="9" t="s">
        <v>2179</v>
      </c>
      <c r="D1949" s="9" t="s">
        <v>5871</v>
      </c>
      <c r="E1949" s="9" t="str">
        <f aca="false">IF(AND('Formation Ledger'!A1928&lt;&gt;"",'Formation Ledger'!V1928=0),"PASS","FAIL")</f>
        <v>PASS</v>
      </c>
      <c r="F1949" s="9" t="s">
        <v>76</v>
      </c>
      <c r="G1949" s="6"/>
      <c r="H1949" s="6"/>
      <c r="I1949" s="6"/>
      <c r="J1949" s="6"/>
      <c r="K1949" s="6"/>
      <c r="L1949" s="6"/>
      <c r="M1949" s="6"/>
      <c r="N1949" s="6"/>
      <c r="O1949" s="6"/>
      <c r="P1949" s="6"/>
      <c r="Q1949" s="6"/>
      <c r="R1949" s="6"/>
      <c r="S1949" s="6"/>
      <c r="T1949" s="6"/>
      <c r="U1949" s="6"/>
      <c r="V1949" s="6"/>
      <c r="W1949" s="6"/>
      <c r="X1949" s="6"/>
      <c r="Y1949" s="6"/>
      <c r="Z1949" s="6"/>
    </row>
    <row r="1950" customFormat="false" ht="15" hidden="false" customHeight="false" outlineLevel="0" collapsed="false">
      <c r="A1950" s="9" t="s">
        <v>7793</v>
      </c>
      <c r="B1950" s="9" t="s">
        <v>5870</v>
      </c>
      <c r="C1950" s="9" t="s">
        <v>2180</v>
      </c>
      <c r="D1950" s="9" t="s">
        <v>5871</v>
      </c>
      <c r="E1950" s="9" t="str">
        <f aca="false">IF(AND('Formation Ledger'!A1929&lt;&gt;"",'Formation Ledger'!V1929=0),"PASS","FAIL")</f>
        <v>PASS</v>
      </c>
      <c r="F1950" s="9" t="s">
        <v>76</v>
      </c>
      <c r="G1950" s="6"/>
      <c r="H1950" s="6"/>
      <c r="I1950" s="6"/>
      <c r="J1950" s="6"/>
      <c r="K1950" s="6"/>
      <c r="L1950" s="6"/>
      <c r="M1950" s="6"/>
      <c r="N1950" s="6"/>
      <c r="O1950" s="6"/>
      <c r="P1950" s="6"/>
      <c r="Q1950" s="6"/>
      <c r="R1950" s="6"/>
      <c r="S1950" s="6"/>
      <c r="T1950" s="6"/>
      <c r="U1950" s="6"/>
      <c r="V1950" s="6"/>
      <c r="W1950" s="6"/>
      <c r="X1950" s="6"/>
      <c r="Y1950" s="6"/>
      <c r="Z1950" s="6"/>
    </row>
    <row r="1951" customFormat="false" ht="15" hidden="false" customHeight="false" outlineLevel="0" collapsed="false">
      <c r="A1951" s="9" t="s">
        <v>7794</v>
      </c>
      <c r="B1951" s="9" t="s">
        <v>5870</v>
      </c>
      <c r="C1951" s="9" t="s">
        <v>2181</v>
      </c>
      <c r="D1951" s="9" t="s">
        <v>5871</v>
      </c>
      <c r="E1951" s="9" t="str">
        <f aca="false">IF(AND('Formation Ledger'!A1930&lt;&gt;"",'Formation Ledger'!V1930=0),"PASS","FAIL")</f>
        <v>PASS</v>
      </c>
      <c r="F1951" s="9" t="s">
        <v>76</v>
      </c>
      <c r="G1951" s="6"/>
      <c r="H1951" s="6"/>
      <c r="I1951" s="6"/>
      <c r="J1951" s="6"/>
      <c r="K1951" s="6"/>
      <c r="L1951" s="6"/>
      <c r="M1951" s="6"/>
      <c r="N1951" s="6"/>
      <c r="O1951" s="6"/>
      <c r="P1951" s="6"/>
      <c r="Q1951" s="6"/>
      <c r="R1951" s="6"/>
      <c r="S1951" s="6"/>
      <c r="T1951" s="6"/>
      <c r="U1951" s="6"/>
      <c r="V1951" s="6"/>
      <c r="W1951" s="6"/>
      <c r="X1951" s="6"/>
      <c r="Y1951" s="6"/>
      <c r="Z1951" s="6"/>
    </row>
    <row r="1952" customFormat="false" ht="15" hidden="false" customHeight="false" outlineLevel="0" collapsed="false">
      <c r="A1952" s="9" t="s">
        <v>7795</v>
      </c>
      <c r="B1952" s="9" t="s">
        <v>5870</v>
      </c>
      <c r="C1952" s="9" t="s">
        <v>2182</v>
      </c>
      <c r="D1952" s="9" t="s">
        <v>5871</v>
      </c>
      <c r="E1952" s="9" t="str">
        <f aca="false">IF(AND('Formation Ledger'!A1931&lt;&gt;"",'Formation Ledger'!V1931=0),"PASS","FAIL")</f>
        <v>PASS</v>
      </c>
      <c r="F1952" s="9" t="s">
        <v>76</v>
      </c>
      <c r="G1952" s="6"/>
      <c r="H1952" s="6"/>
      <c r="I1952" s="6"/>
      <c r="J1952" s="6"/>
      <c r="K1952" s="6"/>
      <c r="L1952" s="6"/>
      <c r="M1952" s="6"/>
      <c r="N1952" s="6"/>
      <c r="O1952" s="6"/>
      <c r="P1952" s="6"/>
      <c r="Q1952" s="6"/>
      <c r="R1952" s="6"/>
      <c r="S1952" s="6"/>
      <c r="T1952" s="6"/>
      <c r="U1952" s="6"/>
      <c r="V1952" s="6"/>
      <c r="W1952" s="6"/>
      <c r="X1952" s="6"/>
      <c r="Y1952" s="6"/>
      <c r="Z1952" s="6"/>
    </row>
    <row r="1953" customFormat="false" ht="15" hidden="false" customHeight="false" outlineLevel="0" collapsed="false">
      <c r="A1953" s="9" t="s">
        <v>7796</v>
      </c>
      <c r="B1953" s="9" t="s">
        <v>5870</v>
      </c>
      <c r="C1953" s="9" t="s">
        <v>2186</v>
      </c>
      <c r="D1953" s="9" t="s">
        <v>5871</v>
      </c>
      <c r="E1953" s="9" t="str">
        <f aca="false">IF(AND('Formation Ledger'!A1932&lt;&gt;"",'Formation Ledger'!V1932=0),"PASS","FAIL")</f>
        <v>PASS</v>
      </c>
      <c r="F1953" s="9" t="s">
        <v>76</v>
      </c>
      <c r="G1953" s="6"/>
      <c r="H1953" s="6"/>
      <c r="I1953" s="6"/>
      <c r="J1953" s="6"/>
      <c r="K1953" s="6"/>
      <c r="L1953" s="6"/>
      <c r="M1953" s="6"/>
      <c r="N1953" s="6"/>
      <c r="O1953" s="6"/>
      <c r="P1953" s="6"/>
      <c r="Q1953" s="6"/>
      <c r="R1953" s="6"/>
      <c r="S1953" s="6"/>
      <c r="T1953" s="6"/>
      <c r="U1953" s="6"/>
      <c r="V1953" s="6"/>
      <c r="W1953" s="6"/>
      <c r="X1953" s="6"/>
      <c r="Y1953" s="6"/>
      <c r="Z1953" s="6"/>
    </row>
    <row r="1954" customFormat="false" ht="15" hidden="false" customHeight="false" outlineLevel="0" collapsed="false">
      <c r="A1954" s="9" t="s">
        <v>7797</v>
      </c>
      <c r="B1954" s="9" t="s">
        <v>5870</v>
      </c>
      <c r="C1954" s="9" t="s">
        <v>2187</v>
      </c>
      <c r="D1954" s="9" t="s">
        <v>5871</v>
      </c>
      <c r="E1954" s="9" t="str">
        <f aca="false">IF(AND('Formation Ledger'!A1933&lt;&gt;"",'Formation Ledger'!V1933=0),"PASS","FAIL")</f>
        <v>PASS</v>
      </c>
      <c r="F1954" s="9" t="s">
        <v>76</v>
      </c>
      <c r="G1954" s="6"/>
      <c r="H1954" s="6"/>
      <c r="I1954" s="6"/>
      <c r="J1954" s="6"/>
      <c r="K1954" s="6"/>
      <c r="L1954" s="6"/>
      <c r="M1954" s="6"/>
      <c r="N1954" s="6"/>
      <c r="O1954" s="6"/>
      <c r="P1954" s="6"/>
      <c r="Q1954" s="6"/>
      <c r="R1954" s="6"/>
      <c r="S1954" s="6"/>
      <c r="T1954" s="6"/>
      <c r="U1954" s="6"/>
      <c r="V1954" s="6"/>
      <c r="W1954" s="6"/>
      <c r="X1954" s="6"/>
      <c r="Y1954" s="6"/>
      <c r="Z1954" s="6"/>
    </row>
    <row r="1955" customFormat="false" ht="15" hidden="false" customHeight="false" outlineLevel="0" collapsed="false">
      <c r="A1955" s="9" t="s">
        <v>7798</v>
      </c>
      <c r="B1955" s="9" t="s">
        <v>5870</v>
      </c>
      <c r="C1955" s="9" t="s">
        <v>2188</v>
      </c>
      <c r="D1955" s="9" t="s">
        <v>5871</v>
      </c>
      <c r="E1955" s="9" t="str">
        <f aca="false">IF(AND('Formation Ledger'!A1934&lt;&gt;"",'Formation Ledger'!V1934=0),"PASS","FAIL")</f>
        <v>PASS</v>
      </c>
      <c r="F1955" s="9" t="s">
        <v>76</v>
      </c>
      <c r="G1955" s="6"/>
      <c r="H1955" s="6"/>
      <c r="I1955" s="6"/>
      <c r="J1955" s="6"/>
      <c r="K1955" s="6"/>
      <c r="L1955" s="6"/>
      <c r="M1955" s="6"/>
      <c r="N1955" s="6"/>
      <c r="O1955" s="6"/>
      <c r="P1955" s="6"/>
      <c r="Q1955" s="6"/>
      <c r="R1955" s="6"/>
      <c r="S1955" s="6"/>
      <c r="T1955" s="6"/>
      <c r="U1955" s="6"/>
      <c r="V1955" s="6"/>
      <c r="W1955" s="6"/>
      <c r="X1955" s="6"/>
      <c r="Y1955" s="6"/>
      <c r="Z1955" s="6"/>
    </row>
    <row r="1956" customFormat="false" ht="15" hidden="false" customHeight="false" outlineLevel="0" collapsed="false">
      <c r="A1956" s="9" t="s">
        <v>7799</v>
      </c>
      <c r="B1956" s="9" t="s">
        <v>5870</v>
      </c>
      <c r="C1956" s="9" t="s">
        <v>2189</v>
      </c>
      <c r="D1956" s="9" t="s">
        <v>5871</v>
      </c>
      <c r="E1956" s="9" t="str">
        <f aca="false">IF(AND('Formation Ledger'!A1935&lt;&gt;"",'Formation Ledger'!V1935=0),"PASS","FAIL")</f>
        <v>PASS</v>
      </c>
      <c r="F1956" s="9" t="s">
        <v>76</v>
      </c>
      <c r="G1956" s="6"/>
      <c r="H1956" s="6"/>
      <c r="I1956" s="6"/>
      <c r="J1956" s="6"/>
      <c r="K1956" s="6"/>
      <c r="L1956" s="6"/>
      <c r="M1956" s="6"/>
      <c r="N1956" s="6"/>
      <c r="O1956" s="6"/>
      <c r="P1956" s="6"/>
      <c r="Q1956" s="6"/>
      <c r="R1956" s="6"/>
      <c r="S1956" s="6"/>
      <c r="T1956" s="6"/>
      <c r="U1956" s="6"/>
      <c r="V1956" s="6"/>
      <c r="W1956" s="6"/>
      <c r="X1956" s="6"/>
      <c r="Y1956" s="6"/>
      <c r="Z1956" s="6"/>
    </row>
    <row r="1957" customFormat="false" ht="15" hidden="false" customHeight="false" outlineLevel="0" collapsed="false">
      <c r="A1957" s="9" t="s">
        <v>7800</v>
      </c>
      <c r="B1957" s="9" t="s">
        <v>5870</v>
      </c>
      <c r="C1957" s="9" t="s">
        <v>2190</v>
      </c>
      <c r="D1957" s="9" t="s">
        <v>5871</v>
      </c>
      <c r="E1957" s="9" t="str">
        <f aca="false">IF(AND('Formation Ledger'!A1936&lt;&gt;"",'Formation Ledger'!V1936=0),"PASS","FAIL")</f>
        <v>PASS</v>
      </c>
      <c r="F1957" s="9" t="s">
        <v>76</v>
      </c>
      <c r="G1957" s="6"/>
      <c r="H1957" s="6"/>
      <c r="I1957" s="6"/>
      <c r="J1957" s="6"/>
      <c r="K1957" s="6"/>
      <c r="L1957" s="6"/>
      <c r="M1957" s="6"/>
      <c r="N1957" s="6"/>
      <c r="O1957" s="6"/>
      <c r="P1957" s="6"/>
      <c r="Q1957" s="6"/>
      <c r="R1957" s="6"/>
      <c r="S1957" s="6"/>
      <c r="T1957" s="6"/>
      <c r="U1957" s="6"/>
      <c r="V1957" s="6"/>
      <c r="W1957" s="6"/>
      <c r="X1957" s="6"/>
      <c r="Y1957" s="6"/>
      <c r="Z1957" s="6"/>
    </row>
    <row r="1958" customFormat="false" ht="15" hidden="false" customHeight="false" outlineLevel="0" collapsed="false">
      <c r="A1958" s="9" t="s">
        <v>7801</v>
      </c>
      <c r="B1958" s="9" t="s">
        <v>5870</v>
      </c>
      <c r="C1958" s="9" t="s">
        <v>2191</v>
      </c>
      <c r="D1958" s="9" t="s">
        <v>5871</v>
      </c>
      <c r="E1958" s="9" t="str">
        <f aca="false">IF(AND('Formation Ledger'!A1937&lt;&gt;"",'Formation Ledger'!V1937=0),"PASS","FAIL")</f>
        <v>PASS</v>
      </c>
      <c r="F1958" s="9" t="s">
        <v>76</v>
      </c>
      <c r="G1958" s="6"/>
      <c r="H1958" s="6"/>
      <c r="I1958" s="6"/>
      <c r="J1958" s="6"/>
      <c r="K1958" s="6"/>
      <c r="L1958" s="6"/>
      <c r="M1958" s="6"/>
      <c r="N1958" s="6"/>
      <c r="O1958" s="6"/>
      <c r="P1958" s="6"/>
      <c r="Q1958" s="6"/>
      <c r="R1958" s="6"/>
      <c r="S1958" s="6"/>
      <c r="T1958" s="6"/>
      <c r="U1958" s="6"/>
      <c r="V1958" s="6"/>
      <c r="W1958" s="6"/>
      <c r="X1958" s="6"/>
      <c r="Y1958" s="6"/>
      <c r="Z1958" s="6"/>
    </row>
    <row r="1959" customFormat="false" ht="15" hidden="false" customHeight="false" outlineLevel="0" collapsed="false">
      <c r="A1959" s="9" t="s">
        <v>7802</v>
      </c>
      <c r="B1959" s="9" t="s">
        <v>5870</v>
      </c>
      <c r="C1959" s="9" t="s">
        <v>2192</v>
      </c>
      <c r="D1959" s="9" t="s">
        <v>5871</v>
      </c>
      <c r="E1959" s="9" t="str">
        <f aca="false">IF(AND('Formation Ledger'!A1938&lt;&gt;"",'Formation Ledger'!V1938=0),"PASS","FAIL")</f>
        <v>PASS</v>
      </c>
      <c r="F1959" s="9" t="s">
        <v>76</v>
      </c>
      <c r="G1959" s="6"/>
      <c r="H1959" s="6"/>
      <c r="I1959" s="6"/>
      <c r="J1959" s="6"/>
      <c r="K1959" s="6"/>
      <c r="L1959" s="6"/>
      <c r="M1959" s="6"/>
      <c r="N1959" s="6"/>
      <c r="O1959" s="6"/>
      <c r="P1959" s="6"/>
      <c r="Q1959" s="6"/>
      <c r="R1959" s="6"/>
      <c r="S1959" s="6"/>
      <c r="T1959" s="6"/>
      <c r="U1959" s="6"/>
      <c r="V1959" s="6"/>
      <c r="W1959" s="6"/>
      <c r="X1959" s="6"/>
      <c r="Y1959" s="6"/>
      <c r="Z1959" s="6"/>
    </row>
    <row r="1960" customFormat="false" ht="15" hidden="false" customHeight="false" outlineLevel="0" collapsed="false">
      <c r="A1960" s="9" t="s">
        <v>7803</v>
      </c>
      <c r="B1960" s="9" t="s">
        <v>5870</v>
      </c>
      <c r="C1960" s="9" t="s">
        <v>2193</v>
      </c>
      <c r="D1960" s="9" t="s">
        <v>5871</v>
      </c>
      <c r="E1960" s="9" t="str">
        <f aca="false">IF(AND('Formation Ledger'!A1939&lt;&gt;"",'Formation Ledger'!V1939=0),"PASS","FAIL")</f>
        <v>PASS</v>
      </c>
      <c r="F1960" s="9" t="s">
        <v>76</v>
      </c>
      <c r="G1960" s="6"/>
      <c r="H1960" s="6"/>
      <c r="I1960" s="6"/>
      <c r="J1960" s="6"/>
      <c r="K1960" s="6"/>
      <c r="L1960" s="6"/>
      <c r="M1960" s="6"/>
      <c r="N1960" s="6"/>
      <c r="O1960" s="6"/>
      <c r="P1960" s="6"/>
      <c r="Q1960" s="6"/>
      <c r="R1960" s="6"/>
      <c r="S1960" s="6"/>
      <c r="T1960" s="6"/>
      <c r="U1960" s="6"/>
      <c r="V1960" s="6"/>
      <c r="W1960" s="6"/>
      <c r="X1960" s="6"/>
      <c r="Y1960" s="6"/>
      <c r="Z1960" s="6"/>
    </row>
    <row r="1961" customFormat="false" ht="15" hidden="false" customHeight="false" outlineLevel="0" collapsed="false">
      <c r="A1961" s="9" t="s">
        <v>7804</v>
      </c>
      <c r="B1961" s="9" t="s">
        <v>5870</v>
      </c>
      <c r="C1961" s="9" t="s">
        <v>2194</v>
      </c>
      <c r="D1961" s="9" t="s">
        <v>5871</v>
      </c>
      <c r="E1961" s="9" t="str">
        <f aca="false">IF(AND('Formation Ledger'!A1940&lt;&gt;"",'Formation Ledger'!V1940=0),"PASS","FAIL")</f>
        <v>PASS</v>
      </c>
      <c r="F1961" s="9" t="s">
        <v>76</v>
      </c>
      <c r="G1961" s="6"/>
      <c r="H1961" s="6"/>
      <c r="I1961" s="6"/>
      <c r="J1961" s="6"/>
      <c r="K1961" s="6"/>
      <c r="L1961" s="6"/>
      <c r="M1961" s="6"/>
      <c r="N1961" s="6"/>
      <c r="O1961" s="6"/>
      <c r="P1961" s="6"/>
      <c r="Q1961" s="6"/>
      <c r="R1961" s="6"/>
      <c r="S1961" s="6"/>
      <c r="T1961" s="6"/>
      <c r="U1961" s="6"/>
      <c r="V1961" s="6"/>
      <c r="W1961" s="6"/>
      <c r="X1961" s="6"/>
      <c r="Y1961" s="6"/>
      <c r="Z1961" s="6"/>
    </row>
    <row r="1962" customFormat="false" ht="15" hidden="false" customHeight="false" outlineLevel="0" collapsed="false">
      <c r="A1962" s="9" t="s">
        <v>7805</v>
      </c>
      <c r="B1962" s="9" t="s">
        <v>5870</v>
      </c>
      <c r="C1962" s="9" t="s">
        <v>2195</v>
      </c>
      <c r="D1962" s="9" t="s">
        <v>5871</v>
      </c>
      <c r="E1962" s="9" t="str">
        <f aca="false">IF(AND('Formation Ledger'!A1941&lt;&gt;"",'Formation Ledger'!V1941=0),"PASS","FAIL")</f>
        <v>PASS</v>
      </c>
      <c r="F1962" s="9" t="s">
        <v>76</v>
      </c>
      <c r="G1962" s="6"/>
      <c r="H1962" s="6"/>
      <c r="I1962" s="6"/>
      <c r="J1962" s="6"/>
      <c r="K1962" s="6"/>
      <c r="L1962" s="6"/>
      <c r="M1962" s="6"/>
      <c r="N1962" s="6"/>
      <c r="O1962" s="6"/>
      <c r="P1962" s="6"/>
      <c r="Q1962" s="6"/>
      <c r="R1962" s="6"/>
      <c r="S1962" s="6"/>
      <c r="T1962" s="6"/>
      <c r="U1962" s="6"/>
      <c r="V1962" s="6"/>
      <c r="W1962" s="6"/>
      <c r="X1962" s="6"/>
      <c r="Y1962" s="6"/>
      <c r="Z1962" s="6"/>
    </row>
    <row r="1963" customFormat="false" ht="15" hidden="false" customHeight="false" outlineLevel="0" collapsed="false">
      <c r="A1963" s="9" t="s">
        <v>7806</v>
      </c>
      <c r="B1963" s="9" t="s">
        <v>5870</v>
      </c>
      <c r="C1963" s="9" t="s">
        <v>2196</v>
      </c>
      <c r="D1963" s="9" t="s">
        <v>5871</v>
      </c>
      <c r="E1963" s="9" t="str">
        <f aca="false">IF(AND('Formation Ledger'!A1942&lt;&gt;"",'Formation Ledger'!V1942=0),"PASS","FAIL")</f>
        <v>PASS</v>
      </c>
      <c r="F1963" s="9" t="s">
        <v>76</v>
      </c>
      <c r="G1963" s="6"/>
      <c r="H1963" s="6"/>
      <c r="I1963" s="6"/>
      <c r="J1963" s="6"/>
      <c r="K1963" s="6"/>
      <c r="L1963" s="6"/>
      <c r="M1963" s="6"/>
      <c r="N1963" s="6"/>
      <c r="O1963" s="6"/>
      <c r="P1963" s="6"/>
      <c r="Q1963" s="6"/>
      <c r="R1963" s="6"/>
      <c r="S1963" s="6"/>
      <c r="T1963" s="6"/>
      <c r="U1963" s="6"/>
      <c r="V1963" s="6"/>
      <c r="W1963" s="6"/>
      <c r="X1963" s="6"/>
      <c r="Y1963" s="6"/>
      <c r="Z1963" s="6"/>
    </row>
    <row r="1964" customFormat="false" ht="15" hidden="false" customHeight="false" outlineLevel="0" collapsed="false">
      <c r="A1964" s="9" t="s">
        <v>7807</v>
      </c>
      <c r="B1964" s="9" t="s">
        <v>5870</v>
      </c>
      <c r="C1964" s="9" t="s">
        <v>2197</v>
      </c>
      <c r="D1964" s="9" t="s">
        <v>5871</v>
      </c>
      <c r="E1964" s="9" t="str">
        <f aca="false">IF(AND('Formation Ledger'!A1943&lt;&gt;"",'Formation Ledger'!V1943=0),"PASS","FAIL")</f>
        <v>PASS</v>
      </c>
      <c r="F1964" s="9" t="s">
        <v>76</v>
      </c>
      <c r="G1964" s="6"/>
      <c r="H1964" s="6"/>
      <c r="I1964" s="6"/>
      <c r="J1964" s="6"/>
      <c r="K1964" s="6"/>
      <c r="L1964" s="6"/>
      <c r="M1964" s="6"/>
      <c r="N1964" s="6"/>
      <c r="O1964" s="6"/>
      <c r="P1964" s="6"/>
      <c r="Q1964" s="6"/>
      <c r="R1964" s="6"/>
      <c r="S1964" s="6"/>
      <c r="T1964" s="6"/>
      <c r="U1964" s="6"/>
      <c r="V1964" s="6"/>
      <c r="W1964" s="6"/>
      <c r="X1964" s="6"/>
      <c r="Y1964" s="6"/>
      <c r="Z1964" s="6"/>
    </row>
    <row r="1965" customFormat="false" ht="15" hidden="false" customHeight="false" outlineLevel="0" collapsed="false">
      <c r="A1965" s="9" t="s">
        <v>7808</v>
      </c>
      <c r="B1965" s="9" t="s">
        <v>5870</v>
      </c>
      <c r="C1965" s="9" t="s">
        <v>2198</v>
      </c>
      <c r="D1965" s="9" t="s">
        <v>5871</v>
      </c>
      <c r="E1965" s="9" t="str">
        <f aca="false">IF(AND('Formation Ledger'!A1944&lt;&gt;"",'Formation Ledger'!V1944=0),"PASS","FAIL")</f>
        <v>PASS</v>
      </c>
      <c r="F1965" s="9" t="s">
        <v>76</v>
      </c>
      <c r="G1965" s="6"/>
      <c r="H1965" s="6"/>
      <c r="I1965" s="6"/>
      <c r="J1965" s="6"/>
      <c r="K1965" s="6"/>
      <c r="L1965" s="6"/>
      <c r="M1965" s="6"/>
      <c r="N1965" s="6"/>
      <c r="O1965" s="6"/>
      <c r="P1965" s="6"/>
      <c r="Q1965" s="6"/>
      <c r="R1965" s="6"/>
      <c r="S1965" s="6"/>
      <c r="T1965" s="6"/>
      <c r="U1965" s="6"/>
      <c r="V1965" s="6"/>
      <c r="W1965" s="6"/>
      <c r="X1965" s="6"/>
      <c r="Y1965" s="6"/>
      <c r="Z1965" s="6"/>
    </row>
    <row r="1966" customFormat="false" ht="15" hidden="false" customHeight="false" outlineLevel="0" collapsed="false">
      <c r="A1966" s="9" t="s">
        <v>7809</v>
      </c>
      <c r="B1966" s="9" t="s">
        <v>5870</v>
      </c>
      <c r="C1966" s="9" t="s">
        <v>2199</v>
      </c>
      <c r="D1966" s="9" t="s">
        <v>5871</v>
      </c>
      <c r="E1966" s="9" t="str">
        <f aca="false">IF(AND('Formation Ledger'!A1945&lt;&gt;"",'Formation Ledger'!V1945=0),"PASS","FAIL")</f>
        <v>PASS</v>
      </c>
      <c r="F1966" s="9" t="s">
        <v>76</v>
      </c>
      <c r="G1966" s="6"/>
      <c r="H1966" s="6"/>
      <c r="I1966" s="6"/>
      <c r="J1966" s="6"/>
      <c r="K1966" s="6"/>
      <c r="L1966" s="6"/>
      <c r="M1966" s="6"/>
      <c r="N1966" s="6"/>
      <c r="O1966" s="6"/>
      <c r="P1966" s="6"/>
      <c r="Q1966" s="6"/>
      <c r="R1966" s="6"/>
      <c r="S1966" s="6"/>
      <c r="T1966" s="6"/>
      <c r="U1966" s="6"/>
      <c r="V1966" s="6"/>
      <c r="W1966" s="6"/>
      <c r="X1966" s="6"/>
      <c r="Y1966" s="6"/>
      <c r="Z1966" s="6"/>
    </row>
    <row r="1967" customFormat="false" ht="15" hidden="false" customHeight="false" outlineLevel="0" collapsed="false">
      <c r="A1967" s="9" t="s">
        <v>7810</v>
      </c>
      <c r="B1967" s="9" t="s">
        <v>5870</v>
      </c>
      <c r="C1967" s="9" t="s">
        <v>2200</v>
      </c>
      <c r="D1967" s="9" t="s">
        <v>5871</v>
      </c>
      <c r="E1967" s="9" t="str">
        <f aca="false">IF(AND('Formation Ledger'!A1946&lt;&gt;"",'Formation Ledger'!V1946=0),"PASS","FAIL")</f>
        <v>PASS</v>
      </c>
      <c r="F1967" s="9" t="s">
        <v>76</v>
      </c>
      <c r="G1967" s="6"/>
      <c r="H1967" s="6"/>
      <c r="I1967" s="6"/>
      <c r="J1967" s="6"/>
      <c r="K1967" s="6"/>
      <c r="L1967" s="6"/>
      <c r="M1967" s="6"/>
      <c r="N1967" s="6"/>
      <c r="O1967" s="6"/>
      <c r="P1967" s="6"/>
      <c r="Q1967" s="6"/>
      <c r="R1967" s="6"/>
      <c r="S1967" s="6"/>
      <c r="T1967" s="6"/>
      <c r="U1967" s="6"/>
      <c r="V1967" s="6"/>
      <c r="W1967" s="6"/>
      <c r="X1967" s="6"/>
      <c r="Y1967" s="6"/>
      <c r="Z1967" s="6"/>
    </row>
    <row r="1968" customFormat="false" ht="15" hidden="false" customHeight="false" outlineLevel="0" collapsed="false">
      <c r="A1968" s="9" t="s">
        <v>7811</v>
      </c>
      <c r="B1968" s="9" t="s">
        <v>5870</v>
      </c>
      <c r="C1968" s="9" t="s">
        <v>2201</v>
      </c>
      <c r="D1968" s="9" t="s">
        <v>5871</v>
      </c>
      <c r="E1968" s="9" t="str">
        <f aca="false">IF(AND('Formation Ledger'!A1947&lt;&gt;"",'Formation Ledger'!V1947=0),"PASS","FAIL")</f>
        <v>PASS</v>
      </c>
      <c r="F1968" s="9" t="s">
        <v>76</v>
      </c>
      <c r="G1968" s="6"/>
      <c r="H1968" s="6"/>
      <c r="I1968" s="6"/>
      <c r="J1968" s="6"/>
      <c r="K1968" s="6"/>
      <c r="L1968" s="6"/>
      <c r="M1968" s="6"/>
      <c r="N1968" s="6"/>
      <c r="O1968" s="6"/>
      <c r="P1968" s="6"/>
      <c r="Q1968" s="6"/>
      <c r="R1968" s="6"/>
      <c r="S1968" s="6"/>
      <c r="T1968" s="6"/>
      <c r="U1968" s="6"/>
      <c r="V1968" s="6"/>
      <c r="W1968" s="6"/>
      <c r="X1968" s="6"/>
      <c r="Y1968" s="6"/>
      <c r="Z1968" s="6"/>
    </row>
    <row r="1969" customFormat="false" ht="15" hidden="false" customHeight="false" outlineLevel="0" collapsed="false">
      <c r="A1969" s="9" t="s">
        <v>7812</v>
      </c>
      <c r="B1969" s="9" t="s">
        <v>5870</v>
      </c>
      <c r="C1969" s="9" t="s">
        <v>2202</v>
      </c>
      <c r="D1969" s="9" t="s">
        <v>5871</v>
      </c>
      <c r="E1969" s="9" t="str">
        <f aca="false">IF(AND('Formation Ledger'!A1948&lt;&gt;"",'Formation Ledger'!V1948=0),"PASS","FAIL")</f>
        <v>PASS</v>
      </c>
      <c r="F1969" s="9" t="s">
        <v>76</v>
      </c>
      <c r="G1969" s="6"/>
      <c r="H1969" s="6"/>
      <c r="I1969" s="6"/>
      <c r="J1969" s="6"/>
      <c r="K1969" s="6"/>
      <c r="L1969" s="6"/>
      <c r="M1969" s="6"/>
      <c r="N1969" s="6"/>
      <c r="O1969" s="6"/>
      <c r="P1969" s="6"/>
      <c r="Q1969" s="6"/>
      <c r="R1969" s="6"/>
      <c r="S1969" s="6"/>
      <c r="T1969" s="6"/>
      <c r="U1969" s="6"/>
      <c r="V1969" s="6"/>
      <c r="W1969" s="6"/>
      <c r="X1969" s="6"/>
      <c r="Y1969" s="6"/>
      <c r="Z1969" s="6"/>
    </row>
    <row r="1970" customFormat="false" ht="15" hidden="false" customHeight="false" outlineLevel="0" collapsed="false">
      <c r="A1970" s="9" t="s">
        <v>7813</v>
      </c>
      <c r="B1970" s="9" t="s">
        <v>5870</v>
      </c>
      <c r="C1970" s="9" t="s">
        <v>2203</v>
      </c>
      <c r="D1970" s="9" t="s">
        <v>5871</v>
      </c>
      <c r="E1970" s="9" t="str">
        <f aca="false">IF(AND('Formation Ledger'!A1949&lt;&gt;"",'Formation Ledger'!V1949=0),"PASS","FAIL")</f>
        <v>PASS</v>
      </c>
      <c r="F1970" s="9" t="s">
        <v>76</v>
      </c>
      <c r="G1970" s="6"/>
      <c r="H1970" s="6"/>
      <c r="I1970" s="6"/>
      <c r="J1970" s="6"/>
      <c r="K1970" s="6"/>
      <c r="L1970" s="6"/>
      <c r="M1970" s="6"/>
      <c r="N1970" s="6"/>
      <c r="O1970" s="6"/>
      <c r="P1970" s="6"/>
      <c r="Q1970" s="6"/>
      <c r="R1970" s="6"/>
      <c r="S1970" s="6"/>
      <c r="T1970" s="6"/>
      <c r="U1970" s="6"/>
      <c r="V1970" s="6"/>
      <c r="W1970" s="6"/>
      <c r="X1970" s="6"/>
      <c r="Y1970" s="6"/>
      <c r="Z1970" s="6"/>
    </row>
    <row r="1971" customFormat="false" ht="15" hidden="false" customHeight="false" outlineLevel="0" collapsed="false">
      <c r="A1971" s="9" t="s">
        <v>7814</v>
      </c>
      <c r="B1971" s="9" t="s">
        <v>5870</v>
      </c>
      <c r="C1971" s="9" t="s">
        <v>2204</v>
      </c>
      <c r="D1971" s="9" t="s">
        <v>5871</v>
      </c>
      <c r="E1971" s="9" t="str">
        <f aca="false">IF(AND('Formation Ledger'!A1950&lt;&gt;"",'Formation Ledger'!V1950=0),"PASS","FAIL")</f>
        <v>PASS</v>
      </c>
      <c r="F1971" s="9" t="s">
        <v>76</v>
      </c>
      <c r="G1971" s="6"/>
      <c r="H1971" s="6"/>
      <c r="I1971" s="6"/>
      <c r="J1971" s="6"/>
      <c r="K1971" s="6"/>
      <c r="L1971" s="6"/>
      <c r="M1971" s="6"/>
      <c r="N1971" s="6"/>
      <c r="O1971" s="6"/>
      <c r="P1971" s="6"/>
      <c r="Q1971" s="6"/>
      <c r="R1971" s="6"/>
      <c r="S1971" s="6"/>
      <c r="T1971" s="6"/>
      <c r="U1971" s="6"/>
      <c r="V1971" s="6"/>
      <c r="W1971" s="6"/>
      <c r="X1971" s="6"/>
      <c r="Y1971" s="6"/>
      <c r="Z1971" s="6"/>
    </row>
    <row r="1972" customFormat="false" ht="15" hidden="false" customHeight="false" outlineLevel="0" collapsed="false">
      <c r="A1972" s="9" t="s">
        <v>7815</v>
      </c>
      <c r="B1972" s="9" t="s">
        <v>5870</v>
      </c>
      <c r="C1972" s="9" t="s">
        <v>2205</v>
      </c>
      <c r="D1972" s="9" t="s">
        <v>5871</v>
      </c>
      <c r="E1972" s="9" t="str">
        <f aca="false">IF(AND('Formation Ledger'!A1951&lt;&gt;"",'Formation Ledger'!V1951=0),"PASS","FAIL")</f>
        <v>PASS</v>
      </c>
      <c r="F1972" s="9" t="s">
        <v>76</v>
      </c>
      <c r="G1972" s="6"/>
      <c r="H1972" s="6"/>
      <c r="I1972" s="6"/>
      <c r="J1972" s="6"/>
      <c r="K1972" s="6"/>
      <c r="L1972" s="6"/>
      <c r="M1972" s="6"/>
      <c r="N1972" s="6"/>
      <c r="O1972" s="6"/>
      <c r="P1972" s="6"/>
      <c r="Q1972" s="6"/>
      <c r="R1972" s="6"/>
      <c r="S1972" s="6"/>
      <c r="T1972" s="6"/>
      <c r="U1972" s="6"/>
      <c r="V1972" s="6"/>
      <c r="W1972" s="6"/>
      <c r="X1972" s="6"/>
      <c r="Y1972" s="6"/>
      <c r="Z1972" s="6"/>
    </row>
    <row r="1973" customFormat="false" ht="15" hidden="false" customHeight="false" outlineLevel="0" collapsed="false">
      <c r="A1973" s="9" t="s">
        <v>7816</v>
      </c>
      <c r="B1973" s="9" t="s">
        <v>5870</v>
      </c>
      <c r="C1973" s="9" t="s">
        <v>2206</v>
      </c>
      <c r="D1973" s="9" t="s">
        <v>5871</v>
      </c>
      <c r="E1973" s="9" t="str">
        <f aca="false">IF(AND('Formation Ledger'!A1952&lt;&gt;"",'Formation Ledger'!V1952=0),"PASS","FAIL")</f>
        <v>PASS</v>
      </c>
      <c r="F1973" s="9" t="s">
        <v>76</v>
      </c>
      <c r="G1973" s="6"/>
      <c r="H1973" s="6"/>
      <c r="I1973" s="6"/>
      <c r="J1973" s="6"/>
      <c r="K1973" s="6"/>
      <c r="L1973" s="6"/>
      <c r="M1973" s="6"/>
      <c r="N1973" s="6"/>
      <c r="O1973" s="6"/>
      <c r="P1973" s="6"/>
      <c r="Q1973" s="6"/>
      <c r="R1973" s="6"/>
      <c r="S1973" s="6"/>
      <c r="T1973" s="6"/>
      <c r="U1973" s="6"/>
      <c r="V1973" s="6"/>
      <c r="W1973" s="6"/>
      <c r="X1973" s="6"/>
      <c r="Y1973" s="6"/>
      <c r="Z1973" s="6"/>
    </row>
    <row r="1974" customFormat="false" ht="15" hidden="false" customHeight="false" outlineLevel="0" collapsed="false">
      <c r="A1974" s="9" t="s">
        <v>7817</v>
      </c>
      <c r="B1974" s="9" t="s">
        <v>5870</v>
      </c>
      <c r="C1974" s="9" t="s">
        <v>2207</v>
      </c>
      <c r="D1974" s="9" t="s">
        <v>5871</v>
      </c>
      <c r="E1974" s="9" t="str">
        <f aca="false">IF(AND('Formation Ledger'!A1953&lt;&gt;"",'Formation Ledger'!V1953=0),"PASS","FAIL")</f>
        <v>PASS</v>
      </c>
      <c r="F1974" s="9" t="s">
        <v>76</v>
      </c>
      <c r="G1974" s="6"/>
      <c r="H1974" s="6"/>
      <c r="I1974" s="6"/>
      <c r="J1974" s="6"/>
      <c r="K1974" s="6"/>
      <c r="L1974" s="6"/>
      <c r="M1974" s="6"/>
      <c r="N1974" s="6"/>
      <c r="O1974" s="6"/>
      <c r="P1974" s="6"/>
      <c r="Q1974" s="6"/>
      <c r="R1974" s="6"/>
      <c r="S1974" s="6"/>
      <c r="T1974" s="6"/>
      <c r="U1974" s="6"/>
      <c r="V1974" s="6"/>
      <c r="W1974" s="6"/>
      <c r="X1974" s="6"/>
      <c r="Y1974" s="6"/>
      <c r="Z1974" s="6"/>
    </row>
    <row r="1975" customFormat="false" ht="15" hidden="false" customHeight="false" outlineLevel="0" collapsed="false">
      <c r="A1975" s="9" t="s">
        <v>7818</v>
      </c>
      <c r="B1975" s="9" t="s">
        <v>5870</v>
      </c>
      <c r="C1975" s="9" t="s">
        <v>2208</v>
      </c>
      <c r="D1975" s="9" t="s">
        <v>5871</v>
      </c>
      <c r="E1975" s="9" t="str">
        <f aca="false">IF(AND('Formation Ledger'!A1954&lt;&gt;"",'Formation Ledger'!V1954=0),"PASS","FAIL")</f>
        <v>PASS</v>
      </c>
      <c r="F1975" s="9" t="s">
        <v>76</v>
      </c>
      <c r="G1975" s="6"/>
      <c r="H1975" s="6"/>
      <c r="I1975" s="6"/>
      <c r="J1975" s="6"/>
      <c r="K1975" s="6"/>
      <c r="L1975" s="6"/>
      <c r="M1975" s="6"/>
      <c r="N1975" s="6"/>
      <c r="O1975" s="6"/>
      <c r="P1975" s="6"/>
      <c r="Q1975" s="6"/>
      <c r="R1975" s="6"/>
      <c r="S1975" s="6"/>
      <c r="T1975" s="6"/>
      <c r="U1975" s="6"/>
      <c r="V1975" s="6"/>
      <c r="W1975" s="6"/>
      <c r="X1975" s="6"/>
      <c r="Y1975" s="6"/>
      <c r="Z1975" s="6"/>
    </row>
    <row r="1976" customFormat="false" ht="15" hidden="false" customHeight="false" outlineLevel="0" collapsed="false">
      <c r="A1976" s="9" t="s">
        <v>7819</v>
      </c>
      <c r="B1976" s="9" t="s">
        <v>5870</v>
      </c>
      <c r="C1976" s="9" t="s">
        <v>2209</v>
      </c>
      <c r="D1976" s="9" t="s">
        <v>5871</v>
      </c>
      <c r="E1976" s="9" t="str">
        <f aca="false">IF(AND('Formation Ledger'!A1955&lt;&gt;"",'Formation Ledger'!V1955=0),"PASS","FAIL")</f>
        <v>PASS</v>
      </c>
      <c r="F1976" s="9" t="s">
        <v>76</v>
      </c>
      <c r="G1976" s="6"/>
      <c r="H1976" s="6"/>
      <c r="I1976" s="6"/>
      <c r="J1976" s="6"/>
      <c r="K1976" s="6"/>
      <c r="L1976" s="6"/>
      <c r="M1976" s="6"/>
      <c r="N1976" s="6"/>
      <c r="O1976" s="6"/>
      <c r="P1976" s="6"/>
      <c r="Q1976" s="6"/>
      <c r="R1976" s="6"/>
      <c r="S1976" s="6"/>
      <c r="T1976" s="6"/>
      <c r="U1976" s="6"/>
      <c r="V1976" s="6"/>
      <c r="W1976" s="6"/>
      <c r="X1976" s="6"/>
      <c r="Y1976" s="6"/>
      <c r="Z1976" s="6"/>
    </row>
    <row r="1977" customFormat="false" ht="15" hidden="false" customHeight="false" outlineLevel="0" collapsed="false">
      <c r="A1977" s="9" t="s">
        <v>7820</v>
      </c>
      <c r="B1977" s="9" t="s">
        <v>5870</v>
      </c>
      <c r="C1977" s="9" t="s">
        <v>2210</v>
      </c>
      <c r="D1977" s="9" t="s">
        <v>5871</v>
      </c>
      <c r="E1977" s="9" t="str">
        <f aca="false">IF(AND('Formation Ledger'!A1956&lt;&gt;"",'Formation Ledger'!V1956=0),"PASS","FAIL")</f>
        <v>PASS</v>
      </c>
      <c r="F1977" s="9" t="s">
        <v>76</v>
      </c>
      <c r="G1977" s="6"/>
      <c r="H1977" s="6"/>
      <c r="I1977" s="6"/>
      <c r="J1977" s="6"/>
      <c r="K1977" s="6"/>
      <c r="L1977" s="6"/>
      <c r="M1977" s="6"/>
      <c r="N1977" s="6"/>
      <c r="O1977" s="6"/>
      <c r="P1977" s="6"/>
      <c r="Q1977" s="6"/>
      <c r="R1977" s="6"/>
      <c r="S1977" s="6"/>
      <c r="T1977" s="6"/>
      <c r="U1977" s="6"/>
      <c r="V1977" s="6"/>
      <c r="W1977" s="6"/>
      <c r="X1977" s="6"/>
      <c r="Y1977" s="6"/>
      <c r="Z1977" s="6"/>
    </row>
    <row r="1978" customFormat="false" ht="15" hidden="false" customHeight="false" outlineLevel="0" collapsed="false">
      <c r="A1978" s="9" t="s">
        <v>7821</v>
      </c>
      <c r="B1978" s="9" t="s">
        <v>5870</v>
      </c>
      <c r="C1978" s="9" t="s">
        <v>2211</v>
      </c>
      <c r="D1978" s="9" t="s">
        <v>5871</v>
      </c>
      <c r="E1978" s="9" t="str">
        <f aca="false">IF(AND('Formation Ledger'!A1957&lt;&gt;"",'Formation Ledger'!V1957=0),"PASS","FAIL")</f>
        <v>PASS</v>
      </c>
      <c r="F1978" s="9" t="s">
        <v>76</v>
      </c>
      <c r="G1978" s="6"/>
      <c r="H1978" s="6"/>
      <c r="I1978" s="6"/>
      <c r="J1978" s="6"/>
      <c r="K1978" s="6"/>
      <c r="L1978" s="6"/>
      <c r="M1978" s="6"/>
      <c r="N1978" s="6"/>
      <c r="O1978" s="6"/>
      <c r="P1978" s="6"/>
      <c r="Q1978" s="6"/>
      <c r="R1978" s="6"/>
      <c r="S1978" s="6"/>
      <c r="T1978" s="6"/>
      <c r="U1978" s="6"/>
      <c r="V1978" s="6"/>
      <c r="W1978" s="6"/>
      <c r="X1978" s="6"/>
      <c r="Y1978" s="6"/>
      <c r="Z1978" s="6"/>
    </row>
    <row r="1979" customFormat="false" ht="15" hidden="false" customHeight="false" outlineLevel="0" collapsed="false">
      <c r="A1979" s="9" t="s">
        <v>7822</v>
      </c>
      <c r="B1979" s="9" t="s">
        <v>5870</v>
      </c>
      <c r="C1979" s="9" t="s">
        <v>2212</v>
      </c>
      <c r="D1979" s="9" t="s">
        <v>5871</v>
      </c>
      <c r="E1979" s="9" t="str">
        <f aca="false">IF(AND('Formation Ledger'!A1958&lt;&gt;"",'Formation Ledger'!V1958=0),"PASS","FAIL")</f>
        <v>PASS</v>
      </c>
      <c r="F1979" s="9" t="s">
        <v>76</v>
      </c>
      <c r="G1979" s="6"/>
      <c r="H1979" s="6"/>
      <c r="I1979" s="6"/>
      <c r="J1979" s="6"/>
      <c r="K1979" s="6"/>
      <c r="L1979" s="6"/>
      <c r="M1979" s="6"/>
      <c r="N1979" s="6"/>
      <c r="O1979" s="6"/>
      <c r="P1979" s="6"/>
      <c r="Q1979" s="6"/>
      <c r="R1979" s="6"/>
      <c r="S1979" s="6"/>
      <c r="T1979" s="6"/>
      <c r="U1979" s="6"/>
      <c r="V1979" s="6"/>
      <c r="W1979" s="6"/>
      <c r="X1979" s="6"/>
      <c r="Y1979" s="6"/>
      <c r="Z1979" s="6"/>
    </row>
    <row r="1980" customFormat="false" ht="15" hidden="false" customHeight="false" outlineLevel="0" collapsed="false">
      <c r="A1980" s="9" t="s">
        <v>7823</v>
      </c>
      <c r="B1980" s="9" t="s">
        <v>5870</v>
      </c>
      <c r="C1980" s="9" t="s">
        <v>2213</v>
      </c>
      <c r="D1980" s="9" t="s">
        <v>5871</v>
      </c>
      <c r="E1980" s="9" t="str">
        <f aca="false">IF(AND('Formation Ledger'!A1959&lt;&gt;"",'Formation Ledger'!V1959=0),"PASS","FAIL")</f>
        <v>PASS</v>
      </c>
      <c r="F1980" s="9" t="s">
        <v>76</v>
      </c>
      <c r="G1980" s="6"/>
      <c r="H1980" s="6"/>
      <c r="I1980" s="6"/>
      <c r="J1980" s="6"/>
      <c r="K1980" s="6"/>
      <c r="L1980" s="6"/>
      <c r="M1980" s="6"/>
      <c r="N1980" s="6"/>
      <c r="O1980" s="6"/>
      <c r="P1980" s="6"/>
      <c r="Q1980" s="6"/>
      <c r="R1980" s="6"/>
      <c r="S1980" s="6"/>
      <c r="T1980" s="6"/>
      <c r="U1980" s="6"/>
      <c r="V1980" s="6"/>
      <c r="W1980" s="6"/>
      <c r="X1980" s="6"/>
      <c r="Y1980" s="6"/>
      <c r="Z1980" s="6"/>
    </row>
    <row r="1981" customFormat="false" ht="15" hidden="false" customHeight="false" outlineLevel="0" collapsed="false">
      <c r="A1981" s="9" t="s">
        <v>7824</v>
      </c>
      <c r="B1981" s="9" t="s">
        <v>5870</v>
      </c>
      <c r="C1981" s="9" t="s">
        <v>2214</v>
      </c>
      <c r="D1981" s="9" t="s">
        <v>5871</v>
      </c>
      <c r="E1981" s="9" t="str">
        <f aca="false">IF(AND('Formation Ledger'!A1960&lt;&gt;"",'Formation Ledger'!V1960=0),"PASS","FAIL")</f>
        <v>PASS</v>
      </c>
      <c r="F1981" s="9" t="s">
        <v>76</v>
      </c>
      <c r="G1981" s="6"/>
      <c r="H1981" s="6"/>
      <c r="I1981" s="6"/>
      <c r="J1981" s="6"/>
      <c r="K1981" s="6"/>
      <c r="L1981" s="6"/>
      <c r="M1981" s="6"/>
      <c r="N1981" s="6"/>
      <c r="O1981" s="6"/>
      <c r="P1981" s="6"/>
      <c r="Q1981" s="6"/>
      <c r="R1981" s="6"/>
      <c r="S1981" s="6"/>
      <c r="T1981" s="6"/>
      <c r="U1981" s="6"/>
      <c r="V1981" s="6"/>
      <c r="W1981" s="6"/>
      <c r="X1981" s="6"/>
      <c r="Y1981" s="6"/>
      <c r="Z1981" s="6"/>
    </row>
    <row r="1982" customFormat="false" ht="15" hidden="false" customHeight="false" outlineLevel="0" collapsed="false">
      <c r="A1982" s="9" t="s">
        <v>7825</v>
      </c>
      <c r="B1982" s="9" t="s">
        <v>5870</v>
      </c>
      <c r="C1982" s="9" t="s">
        <v>2215</v>
      </c>
      <c r="D1982" s="9" t="s">
        <v>5871</v>
      </c>
      <c r="E1982" s="9" t="str">
        <f aca="false">IF(AND('Formation Ledger'!A1961&lt;&gt;"",'Formation Ledger'!V1961=0),"PASS","FAIL")</f>
        <v>PASS</v>
      </c>
      <c r="F1982" s="9" t="s">
        <v>76</v>
      </c>
      <c r="G1982" s="6"/>
      <c r="H1982" s="6"/>
      <c r="I1982" s="6"/>
      <c r="J1982" s="6"/>
      <c r="K1982" s="6"/>
      <c r="L1982" s="6"/>
      <c r="M1982" s="6"/>
      <c r="N1982" s="6"/>
      <c r="O1982" s="6"/>
      <c r="P1982" s="6"/>
      <c r="Q1982" s="6"/>
      <c r="R1982" s="6"/>
      <c r="S1982" s="6"/>
      <c r="T1982" s="6"/>
      <c r="U1982" s="6"/>
      <c r="V1982" s="6"/>
      <c r="W1982" s="6"/>
      <c r="X1982" s="6"/>
      <c r="Y1982" s="6"/>
      <c r="Z1982" s="6"/>
    </row>
    <row r="1983" customFormat="false" ht="15" hidden="false" customHeight="false" outlineLevel="0" collapsed="false">
      <c r="A1983" s="9" t="s">
        <v>7826</v>
      </c>
      <c r="B1983" s="9" t="s">
        <v>5870</v>
      </c>
      <c r="C1983" s="9" t="s">
        <v>2216</v>
      </c>
      <c r="D1983" s="9" t="s">
        <v>5871</v>
      </c>
      <c r="E1983" s="9" t="str">
        <f aca="false">IF(AND('Formation Ledger'!A1962&lt;&gt;"",'Formation Ledger'!V1962=0),"PASS","FAIL")</f>
        <v>PASS</v>
      </c>
      <c r="F1983" s="9" t="s">
        <v>76</v>
      </c>
      <c r="G1983" s="6"/>
      <c r="H1983" s="6"/>
      <c r="I1983" s="6"/>
      <c r="J1983" s="6"/>
      <c r="K1983" s="6"/>
      <c r="L1983" s="6"/>
      <c r="M1983" s="6"/>
      <c r="N1983" s="6"/>
      <c r="O1983" s="6"/>
      <c r="P1983" s="6"/>
      <c r="Q1983" s="6"/>
      <c r="R1983" s="6"/>
      <c r="S1983" s="6"/>
      <c r="T1983" s="6"/>
      <c r="U1983" s="6"/>
      <c r="V1983" s="6"/>
      <c r="W1983" s="6"/>
      <c r="X1983" s="6"/>
      <c r="Y1983" s="6"/>
      <c r="Z1983" s="6"/>
    </row>
    <row r="1984" customFormat="false" ht="15" hidden="false" customHeight="false" outlineLevel="0" collapsed="false">
      <c r="A1984" s="9" t="s">
        <v>7827</v>
      </c>
      <c r="B1984" s="9" t="s">
        <v>5870</v>
      </c>
      <c r="C1984" s="9" t="s">
        <v>2217</v>
      </c>
      <c r="D1984" s="9" t="s">
        <v>5871</v>
      </c>
      <c r="E1984" s="9" t="str">
        <f aca="false">IF(AND('Formation Ledger'!A1963&lt;&gt;"",'Formation Ledger'!V1963=0),"PASS","FAIL")</f>
        <v>PASS</v>
      </c>
      <c r="F1984" s="9" t="s">
        <v>76</v>
      </c>
      <c r="G1984" s="6"/>
      <c r="H1984" s="6"/>
      <c r="I1984" s="6"/>
      <c r="J1984" s="6"/>
      <c r="K1984" s="6"/>
      <c r="L1984" s="6"/>
      <c r="M1984" s="6"/>
      <c r="N1984" s="6"/>
      <c r="O1984" s="6"/>
      <c r="P1984" s="6"/>
      <c r="Q1984" s="6"/>
      <c r="R1984" s="6"/>
      <c r="S1984" s="6"/>
      <c r="T1984" s="6"/>
      <c r="U1984" s="6"/>
      <c r="V1984" s="6"/>
      <c r="W1984" s="6"/>
      <c r="X1984" s="6"/>
      <c r="Y1984" s="6"/>
      <c r="Z1984" s="6"/>
    </row>
    <row r="1985" customFormat="false" ht="15" hidden="false" customHeight="false" outlineLevel="0" collapsed="false">
      <c r="A1985" s="9" t="s">
        <v>7828</v>
      </c>
      <c r="B1985" s="9" t="s">
        <v>5870</v>
      </c>
      <c r="C1985" s="9" t="s">
        <v>2218</v>
      </c>
      <c r="D1985" s="9" t="s">
        <v>5871</v>
      </c>
      <c r="E1985" s="9" t="str">
        <f aca="false">IF(AND('Formation Ledger'!A1964&lt;&gt;"",'Formation Ledger'!V1964=0),"PASS","FAIL")</f>
        <v>PASS</v>
      </c>
      <c r="F1985" s="9" t="s">
        <v>76</v>
      </c>
      <c r="G1985" s="6"/>
      <c r="H1985" s="6"/>
      <c r="I1985" s="6"/>
      <c r="J1985" s="6"/>
      <c r="K1985" s="6"/>
      <c r="L1985" s="6"/>
      <c r="M1985" s="6"/>
      <c r="N1985" s="6"/>
      <c r="O1985" s="6"/>
      <c r="P1985" s="6"/>
      <c r="Q1985" s="6"/>
      <c r="R1985" s="6"/>
      <c r="S1985" s="6"/>
      <c r="T1985" s="6"/>
      <c r="U1985" s="6"/>
      <c r="V1985" s="6"/>
      <c r="W1985" s="6"/>
      <c r="X1985" s="6"/>
      <c r="Y1985" s="6"/>
      <c r="Z1985" s="6"/>
    </row>
    <row r="1986" customFormat="false" ht="15" hidden="false" customHeight="false" outlineLevel="0" collapsed="false">
      <c r="A1986" s="9" t="s">
        <v>7829</v>
      </c>
      <c r="B1986" s="9" t="s">
        <v>5870</v>
      </c>
      <c r="C1986" s="9" t="s">
        <v>2219</v>
      </c>
      <c r="D1986" s="9" t="s">
        <v>5871</v>
      </c>
      <c r="E1986" s="9" t="str">
        <f aca="false">IF(AND('Formation Ledger'!A1965&lt;&gt;"",'Formation Ledger'!V1965=0),"PASS","FAIL")</f>
        <v>PASS</v>
      </c>
      <c r="F1986" s="9" t="s">
        <v>76</v>
      </c>
      <c r="G1986" s="6"/>
      <c r="H1986" s="6"/>
      <c r="I1986" s="6"/>
      <c r="J1986" s="6"/>
      <c r="K1986" s="6"/>
      <c r="L1986" s="6"/>
      <c r="M1986" s="6"/>
      <c r="N1986" s="6"/>
      <c r="O1986" s="6"/>
      <c r="P1986" s="6"/>
      <c r="Q1986" s="6"/>
      <c r="R1986" s="6"/>
      <c r="S1986" s="6"/>
      <c r="T1986" s="6"/>
      <c r="U1986" s="6"/>
      <c r="V1986" s="6"/>
      <c r="W1986" s="6"/>
      <c r="X1986" s="6"/>
      <c r="Y1986" s="6"/>
      <c r="Z1986" s="6"/>
    </row>
    <row r="1987" customFormat="false" ht="15" hidden="false" customHeight="false" outlineLevel="0" collapsed="false">
      <c r="A1987" s="9" t="s">
        <v>7830</v>
      </c>
      <c r="B1987" s="9" t="s">
        <v>5870</v>
      </c>
      <c r="C1987" s="9" t="s">
        <v>2220</v>
      </c>
      <c r="D1987" s="9" t="s">
        <v>5871</v>
      </c>
      <c r="E1987" s="9" t="str">
        <f aca="false">IF(AND('Formation Ledger'!A1966&lt;&gt;"",'Formation Ledger'!V1966=0),"PASS","FAIL")</f>
        <v>PASS</v>
      </c>
      <c r="F1987" s="9" t="s">
        <v>76</v>
      </c>
      <c r="G1987" s="6"/>
      <c r="H1987" s="6"/>
      <c r="I1987" s="6"/>
      <c r="J1987" s="6"/>
      <c r="K1987" s="6"/>
      <c r="L1987" s="6"/>
      <c r="M1987" s="6"/>
      <c r="N1987" s="6"/>
      <c r="O1987" s="6"/>
      <c r="P1987" s="6"/>
      <c r="Q1987" s="6"/>
      <c r="R1987" s="6"/>
      <c r="S1987" s="6"/>
      <c r="T1987" s="6"/>
      <c r="U1987" s="6"/>
      <c r="V1987" s="6"/>
      <c r="W1987" s="6"/>
      <c r="X1987" s="6"/>
      <c r="Y1987" s="6"/>
      <c r="Z1987" s="6"/>
    </row>
    <row r="1988" customFormat="false" ht="15" hidden="false" customHeight="false" outlineLevel="0" collapsed="false">
      <c r="A1988" s="9" t="s">
        <v>7831</v>
      </c>
      <c r="B1988" s="9" t="s">
        <v>5870</v>
      </c>
      <c r="C1988" s="9" t="s">
        <v>2221</v>
      </c>
      <c r="D1988" s="9" t="s">
        <v>5871</v>
      </c>
      <c r="E1988" s="9" t="str">
        <f aca="false">IF(AND('Formation Ledger'!A1967&lt;&gt;"",'Formation Ledger'!V1967=0),"PASS","FAIL")</f>
        <v>PASS</v>
      </c>
      <c r="F1988" s="9" t="s">
        <v>76</v>
      </c>
      <c r="G1988" s="6"/>
      <c r="H1988" s="6"/>
      <c r="I1988" s="6"/>
      <c r="J1988" s="6"/>
      <c r="K1988" s="6"/>
      <c r="L1988" s="6"/>
      <c r="M1988" s="6"/>
      <c r="N1988" s="6"/>
      <c r="O1988" s="6"/>
      <c r="P1988" s="6"/>
      <c r="Q1988" s="6"/>
      <c r="R1988" s="6"/>
      <c r="S1988" s="6"/>
      <c r="T1988" s="6"/>
      <c r="U1988" s="6"/>
      <c r="V1988" s="6"/>
      <c r="W1988" s="6"/>
      <c r="X1988" s="6"/>
      <c r="Y1988" s="6"/>
      <c r="Z1988" s="6"/>
    </row>
    <row r="1989" customFormat="false" ht="15" hidden="false" customHeight="false" outlineLevel="0" collapsed="false">
      <c r="A1989" s="9" t="s">
        <v>7832</v>
      </c>
      <c r="B1989" s="9" t="s">
        <v>5870</v>
      </c>
      <c r="C1989" s="9" t="s">
        <v>2222</v>
      </c>
      <c r="D1989" s="9" t="s">
        <v>5871</v>
      </c>
      <c r="E1989" s="9" t="str">
        <f aca="false">IF(AND('Formation Ledger'!A1968&lt;&gt;"",'Formation Ledger'!V1968=0),"PASS","FAIL")</f>
        <v>PASS</v>
      </c>
      <c r="F1989" s="9" t="s">
        <v>76</v>
      </c>
      <c r="G1989" s="6"/>
      <c r="H1989" s="6"/>
      <c r="I1989" s="6"/>
      <c r="J1989" s="6"/>
      <c r="K1989" s="6"/>
      <c r="L1989" s="6"/>
      <c r="M1989" s="6"/>
      <c r="N1989" s="6"/>
      <c r="O1989" s="6"/>
      <c r="P1989" s="6"/>
      <c r="Q1989" s="6"/>
      <c r="R1989" s="6"/>
      <c r="S1989" s="6"/>
      <c r="T1989" s="6"/>
      <c r="U1989" s="6"/>
      <c r="V1989" s="6"/>
      <c r="W1989" s="6"/>
      <c r="X1989" s="6"/>
      <c r="Y1989" s="6"/>
      <c r="Z1989" s="6"/>
    </row>
    <row r="1990" customFormat="false" ht="15" hidden="false" customHeight="false" outlineLevel="0" collapsed="false">
      <c r="A1990" s="9" t="s">
        <v>7833</v>
      </c>
      <c r="B1990" s="9" t="s">
        <v>5870</v>
      </c>
      <c r="C1990" s="9" t="s">
        <v>2223</v>
      </c>
      <c r="D1990" s="9" t="s">
        <v>5871</v>
      </c>
      <c r="E1990" s="9" t="str">
        <f aca="false">IF(AND('Formation Ledger'!A1969&lt;&gt;"",'Formation Ledger'!V1969=0),"PASS","FAIL")</f>
        <v>PASS</v>
      </c>
      <c r="F1990" s="9" t="s">
        <v>76</v>
      </c>
      <c r="G1990" s="6"/>
      <c r="H1990" s="6"/>
      <c r="I1990" s="6"/>
      <c r="J1990" s="6"/>
      <c r="K1990" s="6"/>
      <c r="L1990" s="6"/>
      <c r="M1990" s="6"/>
      <c r="N1990" s="6"/>
      <c r="O1990" s="6"/>
      <c r="P1990" s="6"/>
      <c r="Q1990" s="6"/>
      <c r="R1990" s="6"/>
      <c r="S1990" s="6"/>
      <c r="T1990" s="6"/>
      <c r="U1990" s="6"/>
      <c r="V1990" s="6"/>
      <c r="W1990" s="6"/>
      <c r="X1990" s="6"/>
      <c r="Y1990" s="6"/>
      <c r="Z1990" s="6"/>
    </row>
    <row r="1991" customFormat="false" ht="15" hidden="false" customHeight="false" outlineLevel="0" collapsed="false">
      <c r="A1991" s="9" t="s">
        <v>7834</v>
      </c>
      <c r="B1991" s="9" t="s">
        <v>5870</v>
      </c>
      <c r="C1991" s="9" t="s">
        <v>2224</v>
      </c>
      <c r="D1991" s="9" t="s">
        <v>5871</v>
      </c>
      <c r="E1991" s="9" t="str">
        <f aca="false">IF(AND('Formation Ledger'!A1970&lt;&gt;"",'Formation Ledger'!V1970=0),"PASS","FAIL")</f>
        <v>PASS</v>
      </c>
      <c r="F1991" s="9" t="s">
        <v>76</v>
      </c>
      <c r="G1991" s="6"/>
      <c r="H1991" s="6"/>
      <c r="I1991" s="6"/>
      <c r="J1991" s="6"/>
      <c r="K1991" s="6"/>
      <c r="L1991" s="6"/>
      <c r="M1991" s="6"/>
      <c r="N1991" s="6"/>
      <c r="O1991" s="6"/>
      <c r="P1991" s="6"/>
      <c r="Q1991" s="6"/>
      <c r="R1991" s="6"/>
      <c r="S1991" s="6"/>
      <c r="T1991" s="6"/>
      <c r="U1991" s="6"/>
      <c r="V1991" s="6"/>
      <c r="W1991" s="6"/>
      <c r="X1991" s="6"/>
      <c r="Y1991" s="6"/>
      <c r="Z1991" s="6"/>
    </row>
    <row r="1992" customFormat="false" ht="15" hidden="false" customHeight="false" outlineLevel="0" collapsed="false">
      <c r="A1992" s="9" t="s">
        <v>7835</v>
      </c>
      <c r="B1992" s="9" t="s">
        <v>5870</v>
      </c>
      <c r="C1992" s="9" t="s">
        <v>2225</v>
      </c>
      <c r="D1992" s="9" t="s">
        <v>5871</v>
      </c>
      <c r="E1992" s="9" t="str">
        <f aca="false">IF(AND('Formation Ledger'!A1971&lt;&gt;"",'Formation Ledger'!V1971=0),"PASS","FAIL")</f>
        <v>PASS</v>
      </c>
      <c r="F1992" s="9" t="s">
        <v>76</v>
      </c>
      <c r="G1992" s="6"/>
      <c r="H1992" s="6"/>
      <c r="I1992" s="6"/>
      <c r="J1992" s="6"/>
      <c r="K1992" s="6"/>
      <c r="L1992" s="6"/>
      <c r="M1992" s="6"/>
      <c r="N1992" s="6"/>
      <c r="O1992" s="6"/>
      <c r="P1992" s="6"/>
      <c r="Q1992" s="6"/>
      <c r="R1992" s="6"/>
      <c r="S1992" s="6"/>
      <c r="T1992" s="6"/>
      <c r="U1992" s="6"/>
      <c r="V1992" s="6"/>
      <c r="W1992" s="6"/>
      <c r="X1992" s="6"/>
      <c r="Y1992" s="6"/>
      <c r="Z1992" s="6"/>
    </row>
    <row r="1993" customFormat="false" ht="15" hidden="false" customHeight="false" outlineLevel="0" collapsed="false">
      <c r="A1993" s="9" t="s">
        <v>7836</v>
      </c>
      <c r="B1993" s="9" t="s">
        <v>5870</v>
      </c>
      <c r="C1993" s="9" t="s">
        <v>2226</v>
      </c>
      <c r="D1993" s="9" t="s">
        <v>5871</v>
      </c>
      <c r="E1993" s="9" t="str">
        <f aca="false">IF(AND('Formation Ledger'!A1972&lt;&gt;"",'Formation Ledger'!V1972=0),"PASS","FAIL")</f>
        <v>PASS</v>
      </c>
      <c r="F1993" s="9" t="s">
        <v>76</v>
      </c>
      <c r="G1993" s="6"/>
      <c r="H1993" s="6"/>
      <c r="I1993" s="6"/>
      <c r="J1993" s="6"/>
      <c r="K1993" s="6"/>
      <c r="L1993" s="6"/>
      <c r="M1993" s="6"/>
      <c r="N1993" s="6"/>
      <c r="O1993" s="6"/>
      <c r="P1993" s="6"/>
      <c r="Q1993" s="6"/>
      <c r="R1993" s="6"/>
      <c r="S1993" s="6"/>
      <c r="T1993" s="6"/>
      <c r="U1993" s="6"/>
      <c r="V1993" s="6"/>
      <c r="W1993" s="6"/>
      <c r="X1993" s="6"/>
      <c r="Y1993" s="6"/>
      <c r="Z1993" s="6"/>
    </row>
    <row r="1994" customFormat="false" ht="15" hidden="false" customHeight="false" outlineLevel="0" collapsed="false">
      <c r="A1994" s="9" t="s">
        <v>7837</v>
      </c>
      <c r="B1994" s="9" t="s">
        <v>5870</v>
      </c>
      <c r="C1994" s="9" t="s">
        <v>2227</v>
      </c>
      <c r="D1994" s="9" t="s">
        <v>5871</v>
      </c>
      <c r="E1994" s="9" t="str">
        <f aca="false">IF(AND('Formation Ledger'!A1973&lt;&gt;"",'Formation Ledger'!V1973=0),"PASS","FAIL")</f>
        <v>PASS</v>
      </c>
      <c r="F1994" s="9" t="s">
        <v>76</v>
      </c>
      <c r="G1994" s="6"/>
      <c r="H1994" s="6"/>
      <c r="I1994" s="6"/>
      <c r="J1994" s="6"/>
      <c r="K1994" s="6"/>
      <c r="L1994" s="6"/>
      <c r="M1994" s="6"/>
      <c r="N1994" s="6"/>
      <c r="O1994" s="6"/>
      <c r="P1994" s="6"/>
      <c r="Q1994" s="6"/>
      <c r="R1994" s="6"/>
      <c r="S1994" s="6"/>
      <c r="T1994" s="6"/>
      <c r="U1994" s="6"/>
      <c r="V1994" s="6"/>
      <c r="W1994" s="6"/>
      <c r="X1994" s="6"/>
      <c r="Y1994" s="6"/>
      <c r="Z1994" s="6"/>
    </row>
    <row r="1995" customFormat="false" ht="15" hidden="false" customHeight="false" outlineLevel="0" collapsed="false">
      <c r="A1995" s="9" t="s">
        <v>7838</v>
      </c>
      <c r="B1995" s="9" t="s">
        <v>5870</v>
      </c>
      <c r="C1995" s="9" t="s">
        <v>2228</v>
      </c>
      <c r="D1995" s="9" t="s">
        <v>5871</v>
      </c>
      <c r="E1995" s="9" t="str">
        <f aca="false">IF(AND('Formation Ledger'!A1974&lt;&gt;"",'Formation Ledger'!V1974=0),"PASS","FAIL")</f>
        <v>PASS</v>
      </c>
      <c r="F1995" s="9" t="s">
        <v>76</v>
      </c>
      <c r="G1995" s="6"/>
      <c r="H1995" s="6"/>
      <c r="I1995" s="6"/>
      <c r="J1995" s="6"/>
      <c r="K1995" s="6"/>
      <c r="L1995" s="6"/>
      <c r="M1995" s="6"/>
      <c r="N1995" s="6"/>
      <c r="O1995" s="6"/>
      <c r="P1995" s="6"/>
      <c r="Q1995" s="6"/>
      <c r="R1995" s="6"/>
      <c r="S1995" s="6"/>
      <c r="T1995" s="6"/>
      <c r="U1995" s="6"/>
      <c r="V1995" s="6"/>
      <c r="W1995" s="6"/>
      <c r="X1995" s="6"/>
      <c r="Y1995" s="6"/>
      <c r="Z1995" s="6"/>
    </row>
    <row r="1996" customFormat="false" ht="15" hidden="false" customHeight="false" outlineLevel="0" collapsed="false">
      <c r="A1996" s="9" t="s">
        <v>7839</v>
      </c>
      <c r="B1996" s="9" t="s">
        <v>5870</v>
      </c>
      <c r="C1996" s="9" t="s">
        <v>2229</v>
      </c>
      <c r="D1996" s="9" t="s">
        <v>5871</v>
      </c>
      <c r="E1996" s="9" t="str">
        <f aca="false">IF(AND('Formation Ledger'!A1975&lt;&gt;"",'Formation Ledger'!V1975=0),"PASS","FAIL")</f>
        <v>PASS</v>
      </c>
      <c r="F1996" s="9" t="s">
        <v>76</v>
      </c>
      <c r="G1996" s="6"/>
      <c r="H1996" s="6"/>
      <c r="I1996" s="6"/>
      <c r="J1996" s="6"/>
      <c r="K1996" s="6"/>
      <c r="L1996" s="6"/>
      <c r="M1996" s="6"/>
      <c r="N1996" s="6"/>
      <c r="O1996" s="6"/>
      <c r="P1996" s="6"/>
      <c r="Q1996" s="6"/>
      <c r="R1996" s="6"/>
      <c r="S1996" s="6"/>
      <c r="T1996" s="6"/>
      <c r="U1996" s="6"/>
      <c r="V1996" s="6"/>
      <c r="W1996" s="6"/>
      <c r="X1996" s="6"/>
      <c r="Y1996" s="6"/>
      <c r="Z1996" s="6"/>
    </row>
    <row r="1997" customFormat="false" ht="15" hidden="false" customHeight="false" outlineLevel="0" collapsed="false">
      <c r="A1997" s="9" t="s">
        <v>7840</v>
      </c>
      <c r="B1997" s="9" t="s">
        <v>5870</v>
      </c>
      <c r="C1997" s="9" t="s">
        <v>2230</v>
      </c>
      <c r="D1997" s="9" t="s">
        <v>5871</v>
      </c>
      <c r="E1997" s="9" t="str">
        <f aca="false">IF(AND('Formation Ledger'!A1976&lt;&gt;"",'Formation Ledger'!V1976=0),"PASS","FAIL")</f>
        <v>PASS</v>
      </c>
      <c r="F1997" s="9" t="s">
        <v>76</v>
      </c>
      <c r="G1997" s="6"/>
      <c r="H1997" s="6"/>
      <c r="I1997" s="6"/>
      <c r="J1997" s="6"/>
      <c r="K1997" s="6"/>
      <c r="L1997" s="6"/>
      <c r="M1997" s="6"/>
      <c r="N1997" s="6"/>
      <c r="O1997" s="6"/>
      <c r="P1997" s="6"/>
      <c r="Q1997" s="6"/>
      <c r="R1997" s="6"/>
      <c r="S1997" s="6"/>
      <c r="T1997" s="6"/>
      <c r="U1997" s="6"/>
      <c r="V1997" s="6"/>
      <c r="W1997" s="6"/>
      <c r="X1997" s="6"/>
      <c r="Y1997" s="6"/>
      <c r="Z1997" s="6"/>
    </row>
    <row r="1998" customFormat="false" ht="15" hidden="false" customHeight="false" outlineLevel="0" collapsed="false">
      <c r="A1998" s="9" t="s">
        <v>7841</v>
      </c>
      <c r="B1998" s="9" t="s">
        <v>5870</v>
      </c>
      <c r="C1998" s="9" t="s">
        <v>2231</v>
      </c>
      <c r="D1998" s="9" t="s">
        <v>5871</v>
      </c>
      <c r="E1998" s="9" t="str">
        <f aca="false">IF(AND('Formation Ledger'!A1977&lt;&gt;"",'Formation Ledger'!V1977=0),"PASS","FAIL")</f>
        <v>PASS</v>
      </c>
      <c r="F1998" s="9" t="s">
        <v>76</v>
      </c>
      <c r="G1998" s="6"/>
      <c r="H1998" s="6"/>
      <c r="I1998" s="6"/>
      <c r="J1998" s="6"/>
      <c r="K1998" s="6"/>
      <c r="L1998" s="6"/>
      <c r="M1998" s="6"/>
      <c r="N1998" s="6"/>
      <c r="O1998" s="6"/>
      <c r="P1998" s="6"/>
      <c r="Q1998" s="6"/>
      <c r="R1998" s="6"/>
      <c r="S1998" s="6"/>
      <c r="T1998" s="6"/>
      <c r="U1998" s="6"/>
      <c r="V1998" s="6"/>
      <c r="W1998" s="6"/>
      <c r="X1998" s="6"/>
      <c r="Y1998" s="6"/>
      <c r="Z1998" s="6"/>
    </row>
    <row r="1999" customFormat="false" ht="15" hidden="false" customHeight="false" outlineLevel="0" collapsed="false">
      <c r="A1999" s="9" t="s">
        <v>7842</v>
      </c>
      <c r="B1999" s="9" t="s">
        <v>5870</v>
      </c>
      <c r="C1999" s="9" t="s">
        <v>2232</v>
      </c>
      <c r="D1999" s="9" t="s">
        <v>5871</v>
      </c>
      <c r="E1999" s="9" t="str">
        <f aca="false">IF(AND('Formation Ledger'!A1978&lt;&gt;"",'Formation Ledger'!V1978=0),"PASS","FAIL")</f>
        <v>PASS</v>
      </c>
      <c r="F1999" s="9" t="s">
        <v>76</v>
      </c>
      <c r="G1999" s="6"/>
      <c r="H1999" s="6"/>
      <c r="I1999" s="6"/>
      <c r="J1999" s="6"/>
      <c r="K1999" s="6"/>
      <c r="L1999" s="6"/>
      <c r="M1999" s="6"/>
      <c r="N1999" s="6"/>
      <c r="O1999" s="6"/>
      <c r="P1999" s="6"/>
      <c r="Q1999" s="6"/>
      <c r="R1999" s="6"/>
      <c r="S1999" s="6"/>
      <c r="T1999" s="6"/>
      <c r="U1999" s="6"/>
      <c r="V1999" s="6"/>
      <c r="W1999" s="6"/>
      <c r="X1999" s="6"/>
      <c r="Y1999" s="6"/>
      <c r="Z1999" s="6"/>
    </row>
    <row r="2000" customFormat="false" ht="15" hidden="false" customHeight="false" outlineLevel="0" collapsed="false">
      <c r="A2000" s="9" t="s">
        <v>7843</v>
      </c>
      <c r="B2000" s="9" t="s">
        <v>5870</v>
      </c>
      <c r="C2000" s="9" t="s">
        <v>2233</v>
      </c>
      <c r="D2000" s="9" t="s">
        <v>5871</v>
      </c>
      <c r="E2000" s="9" t="str">
        <f aca="false">IF(AND('Formation Ledger'!A1979&lt;&gt;"",'Formation Ledger'!V1979=0),"PASS","FAIL")</f>
        <v>PASS</v>
      </c>
      <c r="F2000" s="9" t="s">
        <v>76</v>
      </c>
      <c r="G2000" s="6"/>
      <c r="H2000" s="6"/>
      <c r="I2000" s="6"/>
      <c r="J2000" s="6"/>
      <c r="K2000" s="6"/>
      <c r="L2000" s="6"/>
      <c r="M2000" s="6"/>
      <c r="N2000" s="6"/>
      <c r="O2000" s="6"/>
      <c r="P2000" s="6"/>
      <c r="Q2000" s="6"/>
      <c r="R2000" s="6"/>
      <c r="S2000" s="6"/>
      <c r="T2000" s="6"/>
      <c r="U2000" s="6"/>
      <c r="V2000" s="6"/>
      <c r="W2000" s="6"/>
      <c r="X2000" s="6"/>
      <c r="Y2000" s="6"/>
      <c r="Z2000" s="6"/>
    </row>
    <row r="2001" customFormat="false" ht="15" hidden="false" customHeight="false" outlineLevel="0" collapsed="false">
      <c r="A2001" s="9" t="s">
        <v>7844</v>
      </c>
      <c r="B2001" s="9" t="s">
        <v>5870</v>
      </c>
      <c r="C2001" s="9" t="s">
        <v>2234</v>
      </c>
      <c r="D2001" s="9" t="s">
        <v>5871</v>
      </c>
      <c r="E2001" s="9" t="str">
        <f aca="false">IF(AND('Formation Ledger'!A1980&lt;&gt;"",'Formation Ledger'!V1980=0),"PASS","FAIL")</f>
        <v>PASS</v>
      </c>
      <c r="F2001" s="9" t="s">
        <v>76</v>
      </c>
      <c r="G2001" s="6"/>
      <c r="H2001" s="6"/>
      <c r="I2001" s="6"/>
      <c r="J2001" s="6"/>
      <c r="K2001" s="6"/>
      <c r="L2001" s="6"/>
      <c r="M2001" s="6"/>
      <c r="N2001" s="6"/>
      <c r="O2001" s="6"/>
      <c r="P2001" s="6"/>
      <c r="Q2001" s="6"/>
      <c r="R2001" s="6"/>
      <c r="S2001" s="6"/>
      <c r="T2001" s="6"/>
      <c r="U2001" s="6"/>
      <c r="V2001" s="6"/>
      <c r="W2001" s="6"/>
      <c r="X2001" s="6"/>
      <c r="Y2001" s="6"/>
      <c r="Z2001" s="6"/>
    </row>
    <row r="2002" customFormat="false" ht="15" hidden="false" customHeight="false" outlineLevel="0" collapsed="false">
      <c r="A2002" s="9" t="s">
        <v>7845</v>
      </c>
      <c r="B2002" s="9" t="s">
        <v>5870</v>
      </c>
      <c r="C2002" s="9" t="s">
        <v>2235</v>
      </c>
      <c r="D2002" s="9" t="s">
        <v>5871</v>
      </c>
      <c r="E2002" s="9" t="str">
        <f aca="false">IF(AND('Formation Ledger'!A1981&lt;&gt;"",'Formation Ledger'!V1981=0),"PASS","FAIL")</f>
        <v>PASS</v>
      </c>
      <c r="F2002" s="9" t="s">
        <v>76</v>
      </c>
      <c r="G2002" s="6"/>
      <c r="H2002" s="6"/>
      <c r="I2002" s="6"/>
      <c r="J2002" s="6"/>
      <c r="K2002" s="6"/>
      <c r="L2002" s="6"/>
      <c r="M2002" s="6"/>
      <c r="N2002" s="6"/>
      <c r="O2002" s="6"/>
      <c r="P2002" s="6"/>
      <c r="Q2002" s="6"/>
      <c r="R2002" s="6"/>
      <c r="S2002" s="6"/>
      <c r="T2002" s="6"/>
      <c r="U2002" s="6"/>
      <c r="V2002" s="6"/>
      <c r="W2002" s="6"/>
      <c r="X2002" s="6"/>
      <c r="Y2002" s="6"/>
      <c r="Z2002" s="6"/>
    </row>
    <row r="2003" customFormat="false" ht="15" hidden="false" customHeight="false" outlineLevel="0" collapsed="false">
      <c r="A2003" s="9" t="s">
        <v>7846</v>
      </c>
      <c r="B2003" s="9" t="s">
        <v>5870</v>
      </c>
      <c r="C2003" s="9" t="s">
        <v>2236</v>
      </c>
      <c r="D2003" s="9" t="s">
        <v>5871</v>
      </c>
      <c r="E2003" s="9" t="str">
        <f aca="false">IF(AND('Formation Ledger'!A1982&lt;&gt;"",'Formation Ledger'!V1982=0),"PASS","FAIL")</f>
        <v>PASS</v>
      </c>
      <c r="F2003" s="9" t="s">
        <v>76</v>
      </c>
      <c r="G2003" s="6"/>
      <c r="H2003" s="6"/>
      <c r="I2003" s="6"/>
      <c r="J2003" s="6"/>
      <c r="K2003" s="6"/>
      <c r="L2003" s="6"/>
      <c r="M2003" s="6"/>
      <c r="N2003" s="6"/>
      <c r="O2003" s="6"/>
      <c r="P2003" s="6"/>
      <c r="Q2003" s="6"/>
      <c r="R2003" s="6"/>
      <c r="S2003" s="6"/>
      <c r="T2003" s="6"/>
      <c r="U2003" s="6"/>
      <c r="V2003" s="6"/>
      <c r="W2003" s="6"/>
      <c r="X2003" s="6"/>
      <c r="Y2003" s="6"/>
      <c r="Z2003" s="6"/>
    </row>
    <row r="2004" customFormat="false" ht="15" hidden="false" customHeight="false" outlineLevel="0" collapsed="false">
      <c r="A2004" s="9" t="s">
        <v>7847</v>
      </c>
      <c r="B2004" s="9" t="s">
        <v>5870</v>
      </c>
      <c r="C2004" s="9" t="s">
        <v>2237</v>
      </c>
      <c r="D2004" s="9" t="s">
        <v>5871</v>
      </c>
      <c r="E2004" s="9" t="str">
        <f aca="false">IF(AND('Formation Ledger'!A1983&lt;&gt;"",'Formation Ledger'!V1983=0),"PASS","FAIL")</f>
        <v>PASS</v>
      </c>
      <c r="F2004" s="9" t="s">
        <v>76</v>
      </c>
      <c r="G2004" s="6"/>
      <c r="H2004" s="6"/>
      <c r="I2004" s="6"/>
      <c r="J2004" s="6"/>
      <c r="K2004" s="6"/>
      <c r="L2004" s="6"/>
      <c r="M2004" s="6"/>
      <c r="N2004" s="6"/>
      <c r="O2004" s="6"/>
      <c r="P2004" s="6"/>
      <c r="Q2004" s="6"/>
      <c r="R2004" s="6"/>
      <c r="S2004" s="6"/>
      <c r="T2004" s="6"/>
      <c r="U2004" s="6"/>
      <c r="V2004" s="6"/>
      <c r="W2004" s="6"/>
      <c r="X2004" s="6"/>
      <c r="Y2004" s="6"/>
      <c r="Z2004" s="6"/>
    </row>
    <row r="2005" customFormat="false" ht="15" hidden="false" customHeight="false" outlineLevel="0" collapsed="false">
      <c r="A2005" s="9" t="s">
        <v>7848</v>
      </c>
      <c r="B2005" s="9" t="s">
        <v>5870</v>
      </c>
      <c r="C2005" s="9" t="s">
        <v>2238</v>
      </c>
      <c r="D2005" s="9" t="s">
        <v>5871</v>
      </c>
      <c r="E2005" s="9" t="str">
        <f aca="false">IF(AND('Formation Ledger'!A1984&lt;&gt;"",'Formation Ledger'!V1984=0),"PASS","FAIL")</f>
        <v>PASS</v>
      </c>
      <c r="F2005" s="9" t="s">
        <v>76</v>
      </c>
      <c r="G2005" s="6"/>
      <c r="H2005" s="6"/>
      <c r="I2005" s="6"/>
      <c r="J2005" s="6"/>
      <c r="K2005" s="6"/>
      <c r="L2005" s="6"/>
      <c r="M2005" s="6"/>
      <c r="N2005" s="6"/>
      <c r="O2005" s="6"/>
      <c r="P2005" s="6"/>
      <c r="Q2005" s="6"/>
      <c r="R2005" s="6"/>
      <c r="S2005" s="6"/>
      <c r="T2005" s="6"/>
      <c r="U2005" s="6"/>
      <c r="V2005" s="6"/>
      <c r="W2005" s="6"/>
      <c r="X2005" s="6"/>
      <c r="Y2005" s="6"/>
      <c r="Z2005" s="6"/>
    </row>
    <row r="2006" customFormat="false" ht="15" hidden="false" customHeight="false" outlineLevel="0" collapsed="false">
      <c r="A2006" s="9" t="s">
        <v>7849</v>
      </c>
      <c r="B2006" s="9" t="s">
        <v>5870</v>
      </c>
      <c r="C2006" s="9" t="s">
        <v>2239</v>
      </c>
      <c r="D2006" s="9" t="s">
        <v>5871</v>
      </c>
      <c r="E2006" s="9" t="str">
        <f aca="false">IF(AND('Formation Ledger'!A1985&lt;&gt;"",'Formation Ledger'!V1985=0),"PASS","FAIL")</f>
        <v>PASS</v>
      </c>
      <c r="F2006" s="9" t="s">
        <v>76</v>
      </c>
      <c r="G2006" s="6"/>
      <c r="H2006" s="6"/>
      <c r="I2006" s="6"/>
      <c r="J2006" s="6"/>
      <c r="K2006" s="6"/>
      <c r="L2006" s="6"/>
      <c r="M2006" s="6"/>
      <c r="N2006" s="6"/>
      <c r="O2006" s="6"/>
      <c r="P2006" s="6"/>
      <c r="Q2006" s="6"/>
      <c r="R2006" s="6"/>
      <c r="S2006" s="6"/>
      <c r="T2006" s="6"/>
      <c r="U2006" s="6"/>
      <c r="V2006" s="6"/>
      <c r="W2006" s="6"/>
      <c r="X2006" s="6"/>
      <c r="Y2006" s="6"/>
      <c r="Z2006" s="6"/>
    </row>
    <row r="2007" customFormat="false" ht="15" hidden="false" customHeight="false" outlineLevel="0" collapsed="false">
      <c r="A2007" s="9" t="s">
        <v>7850</v>
      </c>
      <c r="B2007" s="9" t="s">
        <v>5870</v>
      </c>
      <c r="C2007" s="9" t="s">
        <v>2240</v>
      </c>
      <c r="D2007" s="9" t="s">
        <v>5871</v>
      </c>
      <c r="E2007" s="9" t="str">
        <f aca="false">IF(AND('Formation Ledger'!A1986&lt;&gt;"",'Formation Ledger'!V1986=0),"PASS","FAIL")</f>
        <v>PASS</v>
      </c>
      <c r="F2007" s="9" t="s">
        <v>76</v>
      </c>
      <c r="G2007" s="6"/>
      <c r="H2007" s="6"/>
      <c r="I2007" s="6"/>
      <c r="J2007" s="6"/>
      <c r="K2007" s="6"/>
      <c r="L2007" s="6"/>
      <c r="M2007" s="6"/>
      <c r="N2007" s="6"/>
      <c r="O2007" s="6"/>
      <c r="P2007" s="6"/>
      <c r="Q2007" s="6"/>
      <c r="R2007" s="6"/>
      <c r="S2007" s="6"/>
      <c r="T2007" s="6"/>
      <c r="U2007" s="6"/>
      <c r="V2007" s="6"/>
      <c r="W2007" s="6"/>
      <c r="X2007" s="6"/>
      <c r="Y2007" s="6"/>
      <c r="Z2007" s="6"/>
    </row>
    <row r="2008" customFormat="false" ht="15" hidden="false" customHeight="false" outlineLevel="0" collapsed="false">
      <c r="A2008" s="9" t="s">
        <v>7851</v>
      </c>
      <c r="B2008" s="9" t="s">
        <v>5870</v>
      </c>
      <c r="C2008" s="9" t="s">
        <v>2241</v>
      </c>
      <c r="D2008" s="9" t="s">
        <v>5871</v>
      </c>
      <c r="E2008" s="9" t="str">
        <f aca="false">IF(AND('Formation Ledger'!A1987&lt;&gt;"",'Formation Ledger'!V1987=0),"PASS","FAIL")</f>
        <v>PASS</v>
      </c>
      <c r="F2008" s="9" t="s">
        <v>76</v>
      </c>
      <c r="G2008" s="6"/>
      <c r="H2008" s="6"/>
      <c r="I2008" s="6"/>
      <c r="J2008" s="6"/>
      <c r="K2008" s="6"/>
      <c r="L2008" s="6"/>
      <c r="M2008" s="6"/>
      <c r="N2008" s="6"/>
      <c r="O2008" s="6"/>
      <c r="P2008" s="6"/>
      <c r="Q2008" s="6"/>
      <c r="R2008" s="6"/>
      <c r="S2008" s="6"/>
      <c r="T2008" s="6"/>
      <c r="U2008" s="6"/>
      <c r="V2008" s="6"/>
      <c r="W2008" s="6"/>
      <c r="X2008" s="6"/>
      <c r="Y2008" s="6"/>
      <c r="Z2008" s="6"/>
    </row>
    <row r="2009" customFormat="false" ht="15" hidden="false" customHeight="false" outlineLevel="0" collapsed="false">
      <c r="A2009" s="9" t="s">
        <v>7852</v>
      </c>
      <c r="B2009" s="9" t="s">
        <v>5870</v>
      </c>
      <c r="C2009" s="9" t="s">
        <v>2242</v>
      </c>
      <c r="D2009" s="9" t="s">
        <v>5871</v>
      </c>
      <c r="E2009" s="9" t="str">
        <f aca="false">IF(AND('Formation Ledger'!A1988&lt;&gt;"",'Formation Ledger'!V1988=0),"PASS","FAIL")</f>
        <v>PASS</v>
      </c>
      <c r="F2009" s="9" t="s">
        <v>76</v>
      </c>
      <c r="G2009" s="6"/>
      <c r="H2009" s="6"/>
      <c r="I2009" s="6"/>
      <c r="J2009" s="6"/>
      <c r="K2009" s="6"/>
      <c r="L2009" s="6"/>
      <c r="M2009" s="6"/>
      <c r="N2009" s="6"/>
      <c r="O2009" s="6"/>
      <c r="P2009" s="6"/>
      <c r="Q2009" s="6"/>
      <c r="R2009" s="6"/>
      <c r="S2009" s="6"/>
      <c r="T2009" s="6"/>
      <c r="U2009" s="6"/>
      <c r="V2009" s="6"/>
      <c r="W2009" s="6"/>
      <c r="X2009" s="6"/>
      <c r="Y2009" s="6"/>
      <c r="Z2009" s="6"/>
    </row>
    <row r="2010" customFormat="false" ht="15" hidden="false" customHeight="false" outlineLevel="0" collapsed="false">
      <c r="A2010" s="9" t="s">
        <v>7853</v>
      </c>
      <c r="B2010" s="9" t="s">
        <v>5870</v>
      </c>
      <c r="C2010" s="9" t="s">
        <v>2243</v>
      </c>
      <c r="D2010" s="9" t="s">
        <v>5871</v>
      </c>
      <c r="E2010" s="9" t="str">
        <f aca="false">IF(AND('Formation Ledger'!A1989&lt;&gt;"",'Formation Ledger'!V1989=0),"PASS","FAIL")</f>
        <v>PASS</v>
      </c>
      <c r="F2010" s="9" t="s">
        <v>76</v>
      </c>
      <c r="G2010" s="6"/>
      <c r="H2010" s="6"/>
      <c r="I2010" s="6"/>
      <c r="J2010" s="6"/>
      <c r="K2010" s="6"/>
      <c r="L2010" s="6"/>
      <c r="M2010" s="6"/>
      <c r="N2010" s="6"/>
      <c r="O2010" s="6"/>
      <c r="P2010" s="6"/>
      <c r="Q2010" s="6"/>
      <c r="R2010" s="6"/>
      <c r="S2010" s="6"/>
      <c r="T2010" s="6"/>
      <c r="U2010" s="6"/>
      <c r="V2010" s="6"/>
      <c r="W2010" s="6"/>
      <c r="X2010" s="6"/>
      <c r="Y2010" s="6"/>
      <c r="Z2010" s="6"/>
    </row>
    <row r="2011" customFormat="false" ht="15" hidden="false" customHeight="false" outlineLevel="0" collapsed="false">
      <c r="A2011" s="9" t="s">
        <v>7854</v>
      </c>
      <c r="B2011" s="9" t="s">
        <v>5870</v>
      </c>
      <c r="C2011" s="9" t="s">
        <v>2244</v>
      </c>
      <c r="D2011" s="9" t="s">
        <v>5871</v>
      </c>
      <c r="E2011" s="9" t="str">
        <f aca="false">IF(AND('Formation Ledger'!A1990&lt;&gt;"",'Formation Ledger'!V1990=0),"PASS","FAIL")</f>
        <v>PASS</v>
      </c>
      <c r="F2011" s="9" t="s">
        <v>76</v>
      </c>
      <c r="G2011" s="6"/>
      <c r="H2011" s="6"/>
      <c r="I2011" s="6"/>
      <c r="J2011" s="6"/>
      <c r="K2011" s="6"/>
      <c r="L2011" s="6"/>
      <c r="M2011" s="6"/>
      <c r="N2011" s="6"/>
      <c r="O2011" s="6"/>
      <c r="P2011" s="6"/>
      <c r="Q2011" s="6"/>
      <c r="R2011" s="6"/>
      <c r="S2011" s="6"/>
      <c r="T2011" s="6"/>
      <c r="U2011" s="6"/>
      <c r="V2011" s="6"/>
      <c r="W2011" s="6"/>
      <c r="X2011" s="6"/>
      <c r="Y2011" s="6"/>
      <c r="Z2011" s="6"/>
    </row>
    <row r="2012" customFormat="false" ht="15" hidden="false" customHeight="false" outlineLevel="0" collapsed="false">
      <c r="A2012" s="9" t="s">
        <v>7855</v>
      </c>
      <c r="B2012" s="9" t="s">
        <v>5870</v>
      </c>
      <c r="C2012" s="9" t="s">
        <v>2245</v>
      </c>
      <c r="D2012" s="9" t="s">
        <v>5871</v>
      </c>
      <c r="E2012" s="9" t="str">
        <f aca="false">IF(AND('Formation Ledger'!A1991&lt;&gt;"",'Formation Ledger'!V1991=0),"PASS","FAIL")</f>
        <v>PASS</v>
      </c>
      <c r="F2012" s="9" t="s">
        <v>76</v>
      </c>
      <c r="G2012" s="6"/>
      <c r="H2012" s="6"/>
      <c r="I2012" s="6"/>
      <c r="J2012" s="6"/>
      <c r="K2012" s="6"/>
      <c r="L2012" s="6"/>
      <c r="M2012" s="6"/>
      <c r="N2012" s="6"/>
      <c r="O2012" s="6"/>
      <c r="P2012" s="6"/>
      <c r="Q2012" s="6"/>
      <c r="R2012" s="6"/>
      <c r="S2012" s="6"/>
      <c r="T2012" s="6"/>
      <c r="U2012" s="6"/>
      <c r="V2012" s="6"/>
      <c r="W2012" s="6"/>
      <c r="X2012" s="6"/>
      <c r="Y2012" s="6"/>
      <c r="Z2012" s="6"/>
    </row>
    <row r="2013" customFormat="false" ht="15" hidden="false" customHeight="false" outlineLevel="0" collapsed="false">
      <c r="A2013" s="9" t="s">
        <v>7856</v>
      </c>
      <c r="B2013" s="9" t="s">
        <v>5870</v>
      </c>
      <c r="C2013" s="9" t="s">
        <v>2246</v>
      </c>
      <c r="D2013" s="9" t="s">
        <v>5871</v>
      </c>
      <c r="E2013" s="9" t="str">
        <f aca="false">IF(AND('Formation Ledger'!A1992&lt;&gt;"",'Formation Ledger'!V1992=0),"PASS","FAIL")</f>
        <v>PASS</v>
      </c>
      <c r="F2013" s="9" t="s">
        <v>76</v>
      </c>
      <c r="G2013" s="6"/>
      <c r="H2013" s="6"/>
      <c r="I2013" s="6"/>
      <c r="J2013" s="6"/>
      <c r="K2013" s="6"/>
      <c r="L2013" s="6"/>
      <c r="M2013" s="6"/>
      <c r="N2013" s="6"/>
      <c r="O2013" s="6"/>
      <c r="P2013" s="6"/>
      <c r="Q2013" s="6"/>
      <c r="R2013" s="6"/>
      <c r="S2013" s="6"/>
      <c r="T2013" s="6"/>
      <c r="U2013" s="6"/>
      <c r="V2013" s="6"/>
      <c r="W2013" s="6"/>
      <c r="X2013" s="6"/>
      <c r="Y2013" s="6"/>
      <c r="Z2013" s="6"/>
    </row>
    <row r="2014" customFormat="false" ht="15" hidden="false" customHeight="false" outlineLevel="0" collapsed="false">
      <c r="A2014" s="9" t="s">
        <v>7857</v>
      </c>
      <c r="B2014" s="9" t="s">
        <v>5870</v>
      </c>
      <c r="C2014" s="9" t="s">
        <v>2247</v>
      </c>
      <c r="D2014" s="9" t="s">
        <v>5871</v>
      </c>
      <c r="E2014" s="9" t="str">
        <f aca="false">IF(AND('Formation Ledger'!A1993&lt;&gt;"",'Formation Ledger'!V1993=0),"PASS","FAIL")</f>
        <v>PASS</v>
      </c>
      <c r="F2014" s="9" t="s">
        <v>76</v>
      </c>
      <c r="G2014" s="6"/>
      <c r="H2014" s="6"/>
      <c r="I2014" s="6"/>
      <c r="J2014" s="6"/>
      <c r="K2014" s="6"/>
      <c r="L2014" s="6"/>
      <c r="M2014" s="6"/>
      <c r="N2014" s="6"/>
      <c r="O2014" s="6"/>
      <c r="P2014" s="6"/>
      <c r="Q2014" s="6"/>
      <c r="R2014" s="6"/>
      <c r="S2014" s="6"/>
      <c r="T2014" s="6"/>
      <c r="U2014" s="6"/>
      <c r="V2014" s="6"/>
      <c r="W2014" s="6"/>
      <c r="X2014" s="6"/>
      <c r="Y2014" s="6"/>
      <c r="Z2014" s="6"/>
    </row>
    <row r="2015" customFormat="false" ht="15" hidden="false" customHeight="false" outlineLevel="0" collapsed="false">
      <c r="A2015" s="9" t="s">
        <v>7858</v>
      </c>
      <c r="B2015" s="9" t="s">
        <v>5870</v>
      </c>
      <c r="C2015" s="9" t="s">
        <v>2248</v>
      </c>
      <c r="D2015" s="9" t="s">
        <v>5871</v>
      </c>
      <c r="E2015" s="9" t="str">
        <f aca="false">IF(AND('Formation Ledger'!A1994&lt;&gt;"",'Formation Ledger'!V1994=0),"PASS","FAIL")</f>
        <v>PASS</v>
      </c>
      <c r="F2015" s="9" t="s">
        <v>76</v>
      </c>
      <c r="G2015" s="6"/>
      <c r="H2015" s="6"/>
      <c r="I2015" s="6"/>
      <c r="J2015" s="6"/>
      <c r="K2015" s="6"/>
      <c r="L2015" s="6"/>
      <c r="M2015" s="6"/>
      <c r="N2015" s="6"/>
      <c r="O2015" s="6"/>
      <c r="P2015" s="6"/>
      <c r="Q2015" s="6"/>
      <c r="R2015" s="6"/>
      <c r="S2015" s="6"/>
      <c r="T2015" s="6"/>
      <c r="U2015" s="6"/>
      <c r="V2015" s="6"/>
      <c r="W2015" s="6"/>
      <c r="X2015" s="6"/>
      <c r="Y2015" s="6"/>
      <c r="Z2015" s="6"/>
    </row>
    <row r="2016" customFormat="false" ht="15" hidden="false" customHeight="false" outlineLevel="0" collapsed="false">
      <c r="A2016" s="9" t="s">
        <v>7859</v>
      </c>
      <c r="B2016" s="9" t="s">
        <v>5870</v>
      </c>
      <c r="C2016" s="9" t="s">
        <v>2249</v>
      </c>
      <c r="D2016" s="9" t="s">
        <v>5871</v>
      </c>
      <c r="E2016" s="9" t="str">
        <f aca="false">IF(AND('Formation Ledger'!A1995&lt;&gt;"",'Formation Ledger'!V1995=0),"PASS","FAIL")</f>
        <v>PASS</v>
      </c>
      <c r="F2016" s="9" t="s">
        <v>76</v>
      </c>
      <c r="G2016" s="6"/>
      <c r="H2016" s="6"/>
      <c r="I2016" s="6"/>
      <c r="J2016" s="6"/>
      <c r="K2016" s="6"/>
      <c r="L2016" s="6"/>
      <c r="M2016" s="6"/>
      <c r="N2016" s="6"/>
      <c r="O2016" s="6"/>
      <c r="P2016" s="6"/>
      <c r="Q2016" s="6"/>
      <c r="R2016" s="6"/>
      <c r="S2016" s="6"/>
      <c r="T2016" s="6"/>
      <c r="U2016" s="6"/>
      <c r="V2016" s="6"/>
      <c r="W2016" s="6"/>
      <c r="X2016" s="6"/>
      <c r="Y2016" s="6"/>
      <c r="Z2016" s="6"/>
    </row>
    <row r="2017" customFormat="false" ht="15" hidden="false" customHeight="false" outlineLevel="0" collapsed="false">
      <c r="A2017" s="9" t="s">
        <v>7860</v>
      </c>
      <c r="B2017" s="9" t="s">
        <v>5870</v>
      </c>
      <c r="C2017" s="9" t="s">
        <v>2250</v>
      </c>
      <c r="D2017" s="9" t="s">
        <v>5871</v>
      </c>
      <c r="E2017" s="9" t="str">
        <f aca="false">IF(AND('Formation Ledger'!A1996&lt;&gt;"",'Formation Ledger'!V1996=0),"PASS","FAIL")</f>
        <v>PASS</v>
      </c>
      <c r="F2017" s="9" t="s">
        <v>76</v>
      </c>
      <c r="G2017" s="6"/>
      <c r="H2017" s="6"/>
      <c r="I2017" s="6"/>
      <c r="J2017" s="6"/>
      <c r="K2017" s="6"/>
      <c r="L2017" s="6"/>
      <c r="M2017" s="6"/>
      <c r="N2017" s="6"/>
      <c r="O2017" s="6"/>
      <c r="P2017" s="6"/>
      <c r="Q2017" s="6"/>
      <c r="R2017" s="6"/>
      <c r="S2017" s="6"/>
      <c r="T2017" s="6"/>
      <c r="U2017" s="6"/>
      <c r="V2017" s="6"/>
      <c r="W2017" s="6"/>
      <c r="X2017" s="6"/>
      <c r="Y2017" s="6"/>
      <c r="Z2017" s="6"/>
    </row>
    <row r="2018" customFormat="false" ht="15" hidden="false" customHeight="false" outlineLevel="0" collapsed="false">
      <c r="A2018" s="9" t="s">
        <v>7861</v>
      </c>
      <c r="B2018" s="9" t="s">
        <v>5870</v>
      </c>
      <c r="C2018" s="9" t="s">
        <v>2251</v>
      </c>
      <c r="D2018" s="9" t="s">
        <v>5871</v>
      </c>
      <c r="E2018" s="9" t="str">
        <f aca="false">IF(AND('Formation Ledger'!A1997&lt;&gt;"",'Formation Ledger'!V1997=0),"PASS","FAIL")</f>
        <v>PASS</v>
      </c>
      <c r="F2018" s="9" t="s">
        <v>76</v>
      </c>
      <c r="G2018" s="6"/>
      <c r="H2018" s="6"/>
      <c r="I2018" s="6"/>
      <c r="J2018" s="6"/>
      <c r="K2018" s="6"/>
      <c r="L2018" s="6"/>
      <c r="M2018" s="6"/>
      <c r="N2018" s="6"/>
      <c r="O2018" s="6"/>
      <c r="P2018" s="6"/>
      <c r="Q2018" s="6"/>
      <c r="R2018" s="6"/>
      <c r="S2018" s="6"/>
      <c r="T2018" s="6"/>
      <c r="U2018" s="6"/>
      <c r="V2018" s="6"/>
      <c r="W2018" s="6"/>
      <c r="X2018" s="6"/>
      <c r="Y2018" s="6"/>
      <c r="Z2018" s="6"/>
    </row>
    <row r="2019" customFormat="false" ht="15" hidden="false" customHeight="false" outlineLevel="0" collapsed="false">
      <c r="A2019" s="9" t="s">
        <v>7862</v>
      </c>
      <c r="B2019" s="9" t="s">
        <v>5870</v>
      </c>
      <c r="C2019" s="9" t="s">
        <v>2252</v>
      </c>
      <c r="D2019" s="9" t="s">
        <v>5871</v>
      </c>
      <c r="E2019" s="9" t="str">
        <f aca="false">IF(AND('Formation Ledger'!A1998&lt;&gt;"",'Formation Ledger'!V1998=0),"PASS","FAIL")</f>
        <v>PASS</v>
      </c>
      <c r="F2019" s="9" t="s">
        <v>76</v>
      </c>
      <c r="G2019" s="6"/>
      <c r="H2019" s="6"/>
      <c r="I2019" s="6"/>
      <c r="J2019" s="6"/>
      <c r="K2019" s="6"/>
      <c r="L2019" s="6"/>
      <c r="M2019" s="6"/>
      <c r="N2019" s="6"/>
      <c r="O2019" s="6"/>
      <c r="P2019" s="6"/>
      <c r="Q2019" s="6"/>
      <c r="R2019" s="6"/>
      <c r="S2019" s="6"/>
      <c r="T2019" s="6"/>
      <c r="U2019" s="6"/>
      <c r="V2019" s="6"/>
      <c r="W2019" s="6"/>
      <c r="X2019" s="6"/>
      <c r="Y2019" s="6"/>
      <c r="Z2019" s="6"/>
    </row>
    <row r="2020" customFormat="false" ht="15" hidden="false" customHeight="false" outlineLevel="0" collapsed="false">
      <c r="A2020" s="9" t="s">
        <v>7863</v>
      </c>
      <c r="B2020" s="9" t="s">
        <v>5870</v>
      </c>
      <c r="C2020" s="9" t="s">
        <v>2253</v>
      </c>
      <c r="D2020" s="9" t="s">
        <v>5871</v>
      </c>
      <c r="E2020" s="9" t="str">
        <f aca="false">IF(AND('Formation Ledger'!A1999&lt;&gt;"",'Formation Ledger'!V1999=0),"PASS","FAIL")</f>
        <v>PASS</v>
      </c>
      <c r="F2020" s="9" t="s">
        <v>76</v>
      </c>
      <c r="G2020" s="6"/>
      <c r="H2020" s="6"/>
      <c r="I2020" s="6"/>
      <c r="J2020" s="6"/>
      <c r="K2020" s="6"/>
      <c r="L2020" s="6"/>
      <c r="M2020" s="6"/>
      <c r="N2020" s="6"/>
      <c r="O2020" s="6"/>
      <c r="P2020" s="6"/>
      <c r="Q2020" s="6"/>
      <c r="R2020" s="6"/>
      <c r="S2020" s="6"/>
      <c r="T2020" s="6"/>
      <c r="U2020" s="6"/>
      <c r="V2020" s="6"/>
      <c r="W2020" s="6"/>
      <c r="X2020" s="6"/>
      <c r="Y2020" s="6"/>
      <c r="Z2020" s="6"/>
    </row>
    <row r="2021" customFormat="false" ht="15" hidden="false" customHeight="false" outlineLevel="0" collapsed="false">
      <c r="A2021" s="9" t="s">
        <v>7864</v>
      </c>
      <c r="B2021" s="9" t="s">
        <v>5870</v>
      </c>
      <c r="C2021" s="9" t="s">
        <v>2254</v>
      </c>
      <c r="D2021" s="9" t="s">
        <v>5871</v>
      </c>
      <c r="E2021" s="9" t="str">
        <f aca="false">IF(AND('Formation Ledger'!A2000&lt;&gt;"",'Formation Ledger'!V2000=0),"PASS","FAIL")</f>
        <v>PASS</v>
      </c>
      <c r="F2021" s="9" t="s">
        <v>76</v>
      </c>
      <c r="G2021" s="6"/>
      <c r="H2021" s="6"/>
      <c r="I2021" s="6"/>
      <c r="J2021" s="6"/>
      <c r="K2021" s="6"/>
      <c r="L2021" s="6"/>
      <c r="M2021" s="6"/>
      <c r="N2021" s="6"/>
      <c r="O2021" s="6"/>
      <c r="P2021" s="6"/>
      <c r="Q2021" s="6"/>
      <c r="R2021" s="6"/>
      <c r="S2021" s="6"/>
      <c r="T2021" s="6"/>
      <c r="U2021" s="6"/>
      <c r="V2021" s="6"/>
      <c r="W2021" s="6"/>
      <c r="X2021" s="6"/>
      <c r="Y2021" s="6"/>
      <c r="Z2021" s="6"/>
    </row>
    <row r="2022" customFormat="false" ht="15" hidden="false" customHeight="false" outlineLevel="0" collapsed="false">
      <c r="A2022" s="9" t="s">
        <v>7865</v>
      </c>
      <c r="B2022" s="9" t="s">
        <v>5870</v>
      </c>
      <c r="C2022" s="9" t="s">
        <v>2255</v>
      </c>
      <c r="D2022" s="9" t="s">
        <v>5871</v>
      </c>
      <c r="E2022" s="9" t="str">
        <f aca="false">IF(AND('Formation Ledger'!A2001&lt;&gt;"",'Formation Ledger'!V2001=0),"PASS","FAIL")</f>
        <v>PASS</v>
      </c>
      <c r="F2022" s="9" t="s">
        <v>76</v>
      </c>
      <c r="G2022" s="6"/>
      <c r="H2022" s="6"/>
      <c r="I2022" s="6"/>
      <c r="J2022" s="6"/>
      <c r="K2022" s="6"/>
      <c r="L2022" s="6"/>
      <c r="M2022" s="6"/>
      <c r="N2022" s="6"/>
      <c r="O2022" s="6"/>
      <c r="P2022" s="6"/>
      <c r="Q2022" s="6"/>
      <c r="R2022" s="6"/>
      <c r="S2022" s="6"/>
      <c r="T2022" s="6"/>
      <c r="U2022" s="6"/>
      <c r="V2022" s="6"/>
      <c r="W2022" s="6"/>
      <c r="X2022" s="6"/>
      <c r="Y2022" s="6"/>
      <c r="Z2022" s="6"/>
    </row>
    <row r="2023" customFormat="false" ht="15" hidden="false" customHeight="false" outlineLevel="0" collapsed="false">
      <c r="A2023" s="9" t="s">
        <v>7866</v>
      </c>
      <c r="B2023" s="9" t="s">
        <v>5870</v>
      </c>
      <c r="C2023" s="9" t="s">
        <v>2256</v>
      </c>
      <c r="D2023" s="9" t="s">
        <v>5871</v>
      </c>
      <c r="E2023" s="9" t="str">
        <f aca="false">IF(AND('Formation Ledger'!A2002&lt;&gt;"",'Formation Ledger'!V2002=0),"PASS","FAIL")</f>
        <v>PASS</v>
      </c>
      <c r="F2023" s="9" t="s">
        <v>76</v>
      </c>
      <c r="G2023" s="6"/>
      <c r="H2023" s="6"/>
      <c r="I2023" s="6"/>
      <c r="J2023" s="6"/>
      <c r="K2023" s="6"/>
      <c r="L2023" s="6"/>
      <c r="M2023" s="6"/>
      <c r="N2023" s="6"/>
      <c r="O2023" s="6"/>
      <c r="P2023" s="6"/>
      <c r="Q2023" s="6"/>
      <c r="R2023" s="6"/>
      <c r="S2023" s="6"/>
      <c r="T2023" s="6"/>
      <c r="U2023" s="6"/>
      <c r="V2023" s="6"/>
      <c r="W2023" s="6"/>
      <c r="X2023" s="6"/>
      <c r="Y2023" s="6"/>
      <c r="Z2023" s="6"/>
    </row>
    <row r="2024" customFormat="false" ht="15" hidden="false" customHeight="false" outlineLevel="0" collapsed="false">
      <c r="A2024" s="9" t="s">
        <v>7867</v>
      </c>
      <c r="B2024" s="9" t="s">
        <v>5870</v>
      </c>
      <c r="C2024" s="9" t="s">
        <v>2257</v>
      </c>
      <c r="D2024" s="9" t="s">
        <v>5871</v>
      </c>
      <c r="E2024" s="9" t="str">
        <f aca="false">IF(AND('Formation Ledger'!A2003&lt;&gt;"",'Formation Ledger'!V2003=0),"PASS","FAIL")</f>
        <v>PASS</v>
      </c>
      <c r="F2024" s="9" t="s">
        <v>76</v>
      </c>
      <c r="G2024" s="6"/>
      <c r="H2024" s="6"/>
      <c r="I2024" s="6"/>
      <c r="J2024" s="6"/>
      <c r="K2024" s="6"/>
      <c r="L2024" s="6"/>
      <c r="M2024" s="6"/>
      <c r="N2024" s="6"/>
      <c r="O2024" s="6"/>
      <c r="P2024" s="6"/>
      <c r="Q2024" s="6"/>
      <c r="R2024" s="6"/>
      <c r="S2024" s="6"/>
      <c r="T2024" s="6"/>
      <c r="U2024" s="6"/>
      <c r="V2024" s="6"/>
      <c r="W2024" s="6"/>
      <c r="X2024" s="6"/>
      <c r="Y2024" s="6"/>
      <c r="Z2024" s="6"/>
    </row>
    <row r="2025" customFormat="false" ht="15" hidden="false" customHeight="false" outlineLevel="0" collapsed="false">
      <c r="A2025" s="9" t="s">
        <v>7868</v>
      </c>
      <c r="B2025" s="9" t="s">
        <v>5870</v>
      </c>
      <c r="C2025" s="9" t="s">
        <v>2258</v>
      </c>
      <c r="D2025" s="9" t="s">
        <v>5871</v>
      </c>
      <c r="E2025" s="9" t="str">
        <f aca="false">IF(AND('Formation Ledger'!A2004&lt;&gt;"",'Formation Ledger'!V2004=0),"PASS","FAIL")</f>
        <v>PASS</v>
      </c>
      <c r="F2025" s="9" t="s">
        <v>76</v>
      </c>
      <c r="G2025" s="6"/>
      <c r="H2025" s="6"/>
      <c r="I2025" s="6"/>
      <c r="J2025" s="6"/>
      <c r="K2025" s="6"/>
      <c r="L2025" s="6"/>
      <c r="M2025" s="6"/>
      <c r="N2025" s="6"/>
      <c r="O2025" s="6"/>
      <c r="P2025" s="6"/>
      <c r="Q2025" s="6"/>
      <c r="R2025" s="6"/>
      <c r="S2025" s="6"/>
      <c r="T2025" s="6"/>
      <c r="U2025" s="6"/>
      <c r="V2025" s="6"/>
      <c r="W2025" s="6"/>
      <c r="X2025" s="6"/>
      <c r="Y2025" s="6"/>
      <c r="Z2025" s="6"/>
    </row>
    <row r="2026" customFormat="false" ht="15" hidden="false" customHeight="false" outlineLevel="0" collapsed="false">
      <c r="A2026" s="9" t="s">
        <v>7869</v>
      </c>
      <c r="B2026" s="9" t="s">
        <v>5870</v>
      </c>
      <c r="C2026" s="9" t="s">
        <v>2259</v>
      </c>
      <c r="D2026" s="9" t="s">
        <v>5871</v>
      </c>
      <c r="E2026" s="9" t="str">
        <f aca="false">IF(AND('Formation Ledger'!A2005&lt;&gt;"",'Formation Ledger'!V2005=0),"PASS","FAIL")</f>
        <v>PASS</v>
      </c>
      <c r="F2026" s="9" t="s">
        <v>76</v>
      </c>
      <c r="G2026" s="6"/>
      <c r="H2026" s="6"/>
      <c r="I2026" s="6"/>
      <c r="J2026" s="6"/>
      <c r="K2026" s="6"/>
      <c r="L2026" s="6"/>
      <c r="M2026" s="6"/>
      <c r="N2026" s="6"/>
      <c r="O2026" s="6"/>
      <c r="P2026" s="6"/>
      <c r="Q2026" s="6"/>
      <c r="R2026" s="6"/>
      <c r="S2026" s="6"/>
      <c r="T2026" s="6"/>
      <c r="U2026" s="6"/>
      <c r="V2026" s="6"/>
      <c r="W2026" s="6"/>
      <c r="X2026" s="6"/>
      <c r="Y2026" s="6"/>
      <c r="Z2026" s="6"/>
    </row>
    <row r="2027" customFormat="false" ht="15" hidden="false" customHeight="false" outlineLevel="0" collapsed="false">
      <c r="A2027" s="9" t="s">
        <v>7870</v>
      </c>
      <c r="B2027" s="9" t="s">
        <v>5870</v>
      </c>
      <c r="C2027" s="9" t="s">
        <v>2260</v>
      </c>
      <c r="D2027" s="9" t="s">
        <v>5871</v>
      </c>
      <c r="E2027" s="9" t="str">
        <f aca="false">IF(AND('Formation Ledger'!A2006&lt;&gt;"",'Formation Ledger'!V2006=0),"PASS","FAIL")</f>
        <v>PASS</v>
      </c>
      <c r="F2027" s="9" t="s">
        <v>76</v>
      </c>
      <c r="G2027" s="6"/>
      <c r="H2027" s="6"/>
      <c r="I2027" s="6"/>
      <c r="J2027" s="6"/>
      <c r="K2027" s="6"/>
      <c r="L2027" s="6"/>
      <c r="M2027" s="6"/>
      <c r="N2027" s="6"/>
      <c r="O2027" s="6"/>
      <c r="P2027" s="6"/>
      <c r="Q2027" s="6"/>
      <c r="R2027" s="6"/>
      <c r="S2027" s="6"/>
      <c r="T2027" s="6"/>
      <c r="U2027" s="6"/>
      <c r="V2027" s="6"/>
      <c r="W2027" s="6"/>
      <c r="X2027" s="6"/>
      <c r="Y2027" s="6"/>
      <c r="Z2027" s="6"/>
    </row>
    <row r="2028" customFormat="false" ht="15" hidden="false" customHeight="false" outlineLevel="0" collapsed="false">
      <c r="A2028" s="9" t="s">
        <v>7871</v>
      </c>
      <c r="B2028" s="9" t="s">
        <v>5870</v>
      </c>
      <c r="C2028" s="9" t="s">
        <v>2261</v>
      </c>
      <c r="D2028" s="9" t="s">
        <v>5871</v>
      </c>
      <c r="E2028" s="9" t="str">
        <f aca="false">IF(AND('Formation Ledger'!A2007&lt;&gt;"",'Formation Ledger'!V2007=0),"PASS","FAIL")</f>
        <v>PASS</v>
      </c>
      <c r="F2028" s="9" t="s">
        <v>76</v>
      </c>
      <c r="G2028" s="6"/>
      <c r="H2028" s="6"/>
      <c r="I2028" s="6"/>
      <c r="J2028" s="6"/>
      <c r="K2028" s="6"/>
      <c r="L2028" s="6"/>
      <c r="M2028" s="6"/>
      <c r="N2028" s="6"/>
      <c r="O2028" s="6"/>
      <c r="P2028" s="6"/>
      <c r="Q2028" s="6"/>
      <c r="R2028" s="6"/>
      <c r="S2028" s="6"/>
      <c r="T2028" s="6"/>
      <c r="U2028" s="6"/>
      <c r="V2028" s="6"/>
      <c r="W2028" s="6"/>
      <c r="X2028" s="6"/>
      <c r="Y2028" s="6"/>
      <c r="Z2028" s="6"/>
    </row>
    <row r="2029" customFormat="false" ht="15" hidden="false" customHeight="false" outlineLevel="0" collapsed="false">
      <c r="A2029" s="9" t="s">
        <v>7872</v>
      </c>
      <c r="B2029" s="9" t="s">
        <v>5870</v>
      </c>
      <c r="C2029" s="9" t="s">
        <v>2262</v>
      </c>
      <c r="D2029" s="9" t="s">
        <v>5871</v>
      </c>
      <c r="E2029" s="9" t="str">
        <f aca="false">IF(AND('Formation Ledger'!A2008&lt;&gt;"",'Formation Ledger'!V2008=0),"PASS","FAIL")</f>
        <v>PASS</v>
      </c>
      <c r="F2029" s="9" t="s">
        <v>76</v>
      </c>
      <c r="G2029" s="6"/>
      <c r="H2029" s="6"/>
      <c r="I2029" s="6"/>
      <c r="J2029" s="6"/>
      <c r="K2029" s="6"/>
      <c r="L2029" s="6"/>
      <c r="M2029" s="6"/>
      <c r="N2029" s="6"/>
      <c r="O2029" s="6"/>
      <c r="P2029" s="6"/>
      <c r="Q2029" s="6"/>
      <c r="R2029" s="6"/>
      <c r="S2029" s="6"/>
      <c r="T2029" s="6"/>
      <c r="U2029" s="6"/>
      <c r="V2029" s="6"/>
      <c r="W2029" s="6"/>
      <c r="X2029" s="6"/>
      <c r="Y2029" s="6"/>
      <c r="Z2029" s="6"/>
    </row>
    <row r="2030" customFormat="false" ht="15" hidden="false" customHeight="false" outlineLevel="0" collapsed="false">
      <c r="A2030" s="9" t="s">
        <v>7873</v>
      </c>
      <c r="B2030" s="9" t="s">
        <v>5870</v>
      </c>
      <c r="C2030" s="9" t="s">
        <v>2263</v>
      </c>
      <c r="D2030" s="9" t="s">
        <v>5871</v>
      </c>
      <c r="E2030" s="9" t="str">
        <f aca="false">IF(AND('Formation Ledger'!A2009&lt;&gt;"",'Formation Ledger'!V2009=0),"PASS","FAIL")</f>
        <v>PASS</v>
      </c>
      <c r="F2030" s="9" t="s">
        <v>76</v>
      </c>
      <c r="G2030" s="6"/>
      <c r="H2030" s="6"/>
      <c r="I2030" s="6"/>
      <c r="J2030" s="6"/>
      <c r="K2030" s="6"/>
      <c r="L2030" s="6"/>
      <c r="M2030" s="6"/>
      <c r="N2030" s="6"/>
      <c r="O2030" s="6"/>
      <c r="P2030" s="6"/>
      <c r="Q2030" s="6"/>
      <c r="R2030" s="6"/>
      <c r="S2030" s="6"/>
      <c r="T2030" s="6"/>
      <c r="U2030" s="6"/>
      <c r="V2030" s="6"/>
      <c r="W2030" s="6"/>
      <c r="X2030" s="6"/>
      <c r="Y2030" s="6"/>
      <c r="Z2030" s="6"/>
    </row>
    <row r="2031" customFormat="false" ht="15" hidden="false" customHeight="false" outlineLevel="0" collapsed="false">
      <c r="A2031" s="9" t="s">
        <v>7874</v>
      </c>
      <c r="B2031" s="9" t="s">
        <v>5870</v>
      </c>
      <c r="C2031" s="9" t="s">
        <v>2264</v>
      </c>
      <c r="D2031" s="9" t="s">
        <v>5871</v>
      </c>
      <c r="E2031" s="9" t="str">
        <f aca="false">IF(AND('Formation Ledger'!A2010&lt;&gt;"",'Formation Ledger'!V2010=0),"PASS","FAIL")</f>
        <v>PASS</v>
      </c>
      <c r="F2031" s="9" t="s">
        <v>76</v>
      </c>
      <c r="G2031" s="6"/>
      <c r="H2031" s="6"/>
      <c r="I2031" s="6"/>
      <c r="J2031" s="6"/>
      <c r="K2031" s="6"/>
      <c r="L2031" s="6"/>
      <c r="M2031" s="6"/>
      <c r="N2031" s="6"/>
      <c r="O2031" s="6"/>
      <c r="P2031" s="6"/>
      <c r="Q2031" s="6"/>
      <c r="R2031" s="6"/>
      <c r="S2031" s="6"/>
      <c r="T2031" s="6"/>
      <c r="U2031" s="6"/>
      <c r="V2031" s="6"/>
      <c r="W2031" s="6"/>
      <c r="X2031" s="6"/>
      <c r="Y2031" s="6"/>
      <c r="Z2031" s="6"/>
    </row>
    <row r="2032" customFormat="false" ht="15" hidden="false" customHeight="false" outlineLevel="0" collapsed="false">
      <c r="A2032" s="9" t="s">
        <v>7875</v>
      </c>
      <c r="B2032" s="9" t="s">
        <v>5870</v>
      </c>
      <c r="C2032" s="9" t="s">
        <v>2265</v>
      </c>
      <c r="D2032" s="9" t="s">
        <v>5871</v>
      </c>
      <c r="E2032" s="9" t="str">
        <f aca="false">IF(AND('Formation Ledger'!A2011&lt;&gt;"",'Formation Ledger'!V2011=0),"PASS","FAIL")</f>
        <v>PASS</v>
      </c>
      <c r="F2032" s="9" t="s">
        <v>76</v>
      </c>
      <c r="G2032" s="6"/>
      <c r="H2032" s="6"/>
      <c r="I2032" s="6"/>
      <c r="J2032" s="6"/>
      <c r="K2032" s="6"/>
      <c r="L2032" s="6"/>
      <c r="M2032" s="6"/>
      <c r="N2032" s="6"/>
      <c r="O2032" s="6"/>
      <c r="P2032" s="6"/>
      <c r="Q2032" s="6"/>
      <c r="R2032" s="6"/>
      <c r="S2032" s="6"/>
      <c r="T2032" s="6"/>
      <c r="U2032" s="6"/>
      <c r="V2032" s="6"/>
      <c r="W2032" s="6"/>
      <c r="X2032" s="6"/>
      <c r="Y2032" s="6"/>
      <c r="Z2032" s="6"/>
    </row>
    <row r="2033" customFormat="false" ht="15" hidden="false" customHeight="false" outlineLevel="0" collapsed="false">
      <c r="A2033" s="9" t="s">
        <v>7876</v>
      </c>
      <c r="B2033" s="9" t="s">
        <v>5870</v>
      </c>
      <c r="C2033" s="9" t="s">
        <v>2266</v>
      </c>
      <c r="D2033" s="9" t="s">
        <v>5871</v>
      </c>
      <c r="E2033" s="9" t="str">
        <f aca="false">IF(AND('Formation Ledger'!A2012&lt;&gt;"",'Formation Ledger'!V2012=0),"PASS","FAIL")</f>
        <v>PASS</v>
      </c>
      <c r="F2033" s="9" t="s">
        <v>76</v>
      </c>
      <c r="G2033" s="6"/>
      <c r="H2033" s="6"/>
      <c r="I2033" s="6"/>
      <c r="J2033" s="6"/>
      <c r="K2033" s="6"/>
      <c r="L2033" s="6"/>
      <c r="M2033" s="6"/>
      <c r="N2033" s="6"/>
      <c r="O2033" s="6"/>
      <c r="P2033" s="6"/>
      <c r="Q2033" s="6"/>
      <c r="R2033" s="6"/>
      <c r="S2033" s="6"/>
      <c r="T2033" s="6"/>
      <c r="U2033" s="6"/>
      <c r="V2033" s="6"/>
      <c r="W2033" s="6"/>
      <c r="X2033" s="6"/>
      <c r="Y2033" s="6"/>
      <c r="Z2033" s="6"/>
    </row>
    <row r="2034" customFormat="false" ht="15" hidden="false" customHeight="false" outlineLevel="0" collapsed="false">
      <c r="A2034" s="9" t="s">
        <v>7877</v>
      </c>
      <c r="B2034" s="9" t="s">
        <v>5870</v>
      </c>
      <c r="C2034" s="9" t="s">
        <v>2267</v>
      </c>
      <c r="D2034" s="9" t="s">
        <v>5871</v>
      </c>
      <c r="E2034" s="9" t="str">
        <f aca="false">IF(AND('Formation Ledger'!A2013&lt;&gt;"",'Formation Ledger'!V2013=0),"PASS","FAIL")</f>
        <v>PASS</v>
      </c>
      <c r="F2034" s="9" t="s">
        <v>76</v>
      </c>
      <c r="G2034" s="6"/>
      <c r="H2034" s="6"/>
      <c r="I2034" s="6"/>
      <c r="J2034" s="6"/>
      <c r="K2034" s="6"/>
      <c r="L2034" s="6"/>
      <c r="M2034" s="6"/>
      <c r="N2034" s="6"/>
      <c r="O2034" s="6"/>
      <c r="P2034" s="6"/>
      <c r="Q2034" s="6"/>
      <c r="R2034" s="6"/>
      <c r="S2034" s="6"/>
      <c r="T2034" s="6"/>
      <c r="U2034" s="6"/>
      <c r="V2034" s="6"/>
      <c r="W2034" s="6"/>
      <c r="X2034" s="6"/>
      <c r="Y2034" s="6"/>
      <c r="Z2034" s="6"/>
    </row>
    <row r="2035" customFormat="false" ht="15" hidden="false" customHeight="false" outlineLevel="0" collapsed="false">
      <c r="A2035" s="9" t="s">
        <v>7878</v>
      </c>
      <c r="B2035" s="9" t="s">
        <v>5870</v>
      </c>
      <c r="C2035" s="9" t="s">
        <v>2268</v>
      </c>
      <c r="D2035" s="9" t="s">
        <v>5871</v>
      </c>
      <c r="E2035" s="9" t="str">
        <f aca="false">IF(AND('Formation Ledger'!A2014&lt;&gt;"",'Formation Ledger'!V2014=0),"PASS","FAIL")</f>
        <v>PASS</v>
      </c>
      <c r="F2035" s="9" t="s">
        <v>76</v>
      </c>
      <c r="G2035" s="6"/>
      <c r="H2035" s="6"/>
      <c r="I2035" s="6"/>
      <c r="J2035" s="6"/>
      <c r="K2035" s="6"/>
      <c r="L2035" s="6"/>
      <c r="M2035" s="6"/>
      <c r="N2035" s="6"/>
      <c r="O2035" s="6"/>
      <c r="P2035" s="6"/>
      <c r="Q2035" s="6"/>
      <c r="R2035" s="6"/>
      <c r="S2035" s="6"/>
      <c r="T2035" s="6"/>
      <c r="U2035" s="6"/>
      <c r="V2035" s="6"/>
      <c r="W2035" s="6"/>
      <c r="X2035" s="6"/>
      <c r="Y2035" s="6"/>
      <c r="Z2035" s="6"/>
    </row>
    <row r="2036" customFormat="false" ht="15" hidden="false" customHeight="false" outlineLevel="0" collapsed="false">
      <c r="A2036" s="9" t="s">
        <v>7879</v>
      </c>
      <c r="B2036" s="9" t="s">
        <v>5870</v>
      </c>
      <c r="C2036" s="9" t="s">
        <v>2269</v>
      </c>
      <c r="D2036" s="9" t="s">
        <v>5871</v>
      </c>
      <c r="E2036" s="9" t="str">
        <f aca="false">IF(AND('Formation Ledger'!A2015&lt;&gt;"",'Formation Ledger'!V2015=0),"PASS","FAIL")</f>
        <v>PASS</v>
      </c>
      <c r="F2036" s="9" t="s">
        <v>76</v>
      </c>
      <c r="G2036" s="6"/>
      <c r="H2036" s="6"/>
      <c r="I2036" s="6"/>
      <c r="J2036" s="6"/>
      <c r="K2036" s="6"/>
      <c r="L2036" s="6"/>
      <c r="M2036" s="6"/>
      <c r="N2036" s="6"/>
      <c r="O2036" s="6"/>
      <c r="P2036" s="6"/>
      <c r="Q2036" s="6"/>
      <c r="R2036" s="6"/>
      <c r="S2036" s="6"/>
      <c r="T2036" s="6"/>
      <c r="U2036" s="6"/>
      <c r="V2036" s="6"/>
      <c r="W2036" s="6"/>
      <c r="X2036" s="6"/>
      <c r="Y2036" s="6"/>
      <c r="Z2036" s="6"/>
    </row>
    <row r="2037" customFormat="false" ht="15" hidden="false" customHeight="false" outlineLevel="0" collapsed="false">
      <c r="A2037" s="9" t="s">
        <v>7880</v>
      </c>
      <c r="B2037" s="9" t="s">
        <v>5870</v>
      </c>
      <c r="C2037" s="9" t="s">
        <v>2270</v>
      </c>
      <c r="D2037" s="9" t="s">
        <v>5871</v>
      </c>
      <c r="E2037" s="9" t="str">
        <f aca="false">IF(AND('Formation Ledger'!A2016&lt;&gt;"",'Formation Ledger'!V2016=0),"PASS","FAIL")</f>
        <v>PASS</v>
      </c>
      <c r="F2037" s="9" t="s">
        <v>76</v>
      </c>
      <c r="G2037" s="6"/>
      <c r="H2037" s="6"/>
      <c r="I2037" s="6"/>
      <c r="J2037" s="6"/>
      <c r="K2037" s="6"/>
      <c r="L2037" s="6"/>
      <c r="M2037" s="6"/>
      <c r="N2037" s="6"/>
      <c r="O2037" s="6"/>
      <c r="P2037" s="6"/>
      <c r="Q2037" s="6"/>
      <c r="R2037" s="6"/>
      <c r="S2037" s="6"/>
      <c r="T2037" s="6"/>
      <c r="U2037" s="6"/>
      <c r="V2037" s="6"/>
      <c r="W2037" s="6"/>
      <c r="X2037" s="6"/>
      <c r="Y2037" s="6"/>
      <c r="Z2037" s="6"/>
    </row>
    <row r="2038" customFormat="false" ht="15" hidden="false" customHeight="false" outlineLevel="0" collapsed="false">
      <c r="A2038" s="9" t="s">
        <v>7881</v>
      </c>
      <c r="B2038" s="9" t="s">
        <v>5870</v>
      </c>
      <c r="C2038" s="9" t="s">
        <v>2271</v>
      </c>
      <c r="D2038" s="9" t="s">
        <v>5871</v>
      </c>
      <c r="E2038" s="9" t="str">
        <f aca="false">IF(AND('Formation Ledger'!A2017&lt;&gt;"",'Formation Ledger'!V2017=0),"PASS","FAIL")</f>
        <v>PASS</v>
      </c>
      <c r="F2038" s="9" t="s">
        <v>76</v>
      </c>
      <c r="G2038" s="6"/>
      <c r="H2038" s="6"/>
      <c r="I2038" s="6"/>
      <c r="J2038" s="6"/>
      <c r="K2038" s="6"/>
      <c r="L2038" s="6"/>
      <c r="M2038" s="6"/>
      <c r="N2038" s="6"/>
      <c r="O2038" s="6"/>
      <c r="P2038" s="6"/>
      <c r="Q2038" s="6"/>
      <c r="R2038" s="6"/>
      <c r="S2038" s="6"/>
      <c r="T2038" s="6"/>
      <c r="U2038" s="6"/>
      <c r="V2038" s="6"/>
      <c r="W2038" s="6"/>
      <c r="X2038" s="6"/>
      <c r="Y2038" s="6"/>
      <c r="Z2038" s="6"/>
    </row>
    <row r="2039" customFormat="false" ht="15" hidden="false" customHeight="false" outlineLevel="0" collapsed="false">
      <c r="A2039" s="9" t="s">
        <v>7882</v>
      </c>
      <c r="B2039" s="9" t="s">
        <v>5870</v>
      </c>
      <c r="C2039" s="9" t="s">
        <v>2272</v>
      </c>
      <c r="D2039" s="9" t="s">
        <v>5871</v>
      </c>
      <c r="E2039" s="9" t="str">
        <f aca="false">IF(AND('Formation Ledger'!A2018&lt;&gt;"",'Formation Ledger'!V2018=0),"PASS","FAIL")</f>
        <v>PASS</v>
      </c>
      <c r="F2039" s="9" t="s">
        <v>76</v>
      </c>
      <c r="G2039" s="6"/>
      <c r="H2039" s="6"/>
      <c r="I2039" s="6"/>
      <c r="J2039" s="6"/>
      <c r="K2039" s="6"/>
      <c r="L2039" s="6"/>
      <c r="M2039" s="6"/>
      <c r="N2039" s="6"/>
      <c r="O2039" s="6"/>
      <c r="P2039" s="6"/>
      <c r="Q2039" s="6"/>
      <c r="R2039" s="6"/>
      <c r="S2039" s="6"/>
      <c r="T2039" s="6"/>
      <c r="U2039" s="6"/>
      <c r="V2039" s="6"/>
      <c r="W2039" s="6"/>
      <c r="X2039" s="6"/>
      <c r="Y2039" s="6"/>
      <c r="Z2039" s="6"/>
    </row>
    <row r="2040" customFormat="false" ht="15" hidden="false" customHeight="false" outlineLevel="0" collapsed="false">
      <c r="A2040" s="9" t="s">
        <v>7883</v>
      </c>
      <c r="B2040" s="9" t="s">
        <v>5870</v>
      </c>
      <c r="C2040" s="9" t="s">
        <v>2273</v>
      </c>
      <c r="D2040" s="9" t="s">
        <v>5871</v>
      </c>
      <c r="E2040" s="9" t="str">
        <f aca="false">IF(AND('Formation Ledger'!A2019&lt;&gt;"",'Formation Ledger'!V2019=0),"PASS","FAIL")</f>
        <v>PASS</v>
      </c>
      <c r="F2040" s="9" t="s">
        <v>76</v>
      </c>
      <c r="G2040" s="6"/>
      <c r="H2040" s="6"/>
      <c r="I2040" s="6"/>
      <c r="J2040" s="6"/>
      <c r="K2040" s="6"/>
      <c r="L2040" s="6"/>
      <c r="M2040" s="6"/>
      <c r="N2040" s="6"/>
      <c r="O2040" s="6"/>
      <c r="P2040" s="6"/>
      <c r="Q2040" s="6"/>
      <c r="R2040" s="6"/>
      <c r="S2040" s="6"/>
      <c r="T2040" s="6"/>
      <c r="U2040" s="6"/>
      <c r="V2040" s="6"/>
      <c r="W2040" s="6"/>
      <c r="X2040" s="6"/>
      <c r="Y2040" s="6"/>
      <c r="Z2040" s="6"/>
    </row>
    <row r="2041" customFormat="false" ht="15" hidden="false" customHeight="false" outlineLevel="0" collapsed="false">
      <c r="A2041" s="9" t="s">
        <v>7884</v>
      </c>
      <c r="B2041" s="9" t="s">
        <v>5870</v>
      </c>
      <c r="C2041" s="9" t="s">
        <v>2274</v>
      </c>
      <c r="D2041" s="9" t="s">
        <v>5871</v>
      </c>
      <c r="E2041" s="9" t="str">
        <f aca="false">IF(AND('Formation Ledger'!A2020&lt;&gt;"",'Formation Ledger'!V2020=0),"PASS","FAIL")</f>
        <v>PASS</v>
      </c>
      <c r="F2041" s="9" t="s">
        <v>76</v>
      </c>
      <c r="G2041" s="6"/>
      <c r="H2041" s="6"/>
      <c r="I2041" s="6"/>
      <c r="J2041" s="6"/>
      <c r="K2041" s="6"/>
      <c r="L2041" s="6"/>
      <c r="M2041" s="6"/>
      <c r="N2041" s="6"/>
      <c r="O2041" s="6"/>
      <c r="P2041" s="6"/>
      <c r="Q2041" s="6"/>
      <c r="R2041" s="6"/>
      <c r="S2041" s="6"/>
      <c r="T2041" s="6"/>
      <c r="U2041" s="6"/>
      <c r="V2041" s="6"/>
      <c r="W2041" s="6"/>
      <c r="X2041" s="6"/>
      <c r="Y2041" s="6"/>
      <c r="Z2041" s="6"/>
    </row>
    <row r="2042" customFormat="false" ht="15" hidden="false" customHeight="false" outlineLevel="0" collapsed="false">
      <c r="A2042" s="9" t="s">
        <v>7885</v>
      </c>
      <c r="B2042" s="9" t="s">
        <v>5870</v>
      </c>
      <c r="C2042" s="9" t="s">
        <v>2275</v>
      </c>
      <c r="D2042" s="9" t="s">
        <v>5871</v>
      </c>
      <c r="E2042" s="9" t="str">
        <f aca="false">IF(AND('Formation Ledger'!A2021&lt;&gt;"",'Formation Ledger'!V2021=0),"PASS","FAIL")</f>
        <v>PASS</v>
      </c>
      <c r="F2042" s="9" t="s">
        <v>76</v>
      </c>
      <c r="G2042" s="6"/>
      <c r="H2042" s="6"/>
      <c r="I2042" s="6"/>
      <c r="J2042" s="6"/>
      <c r="K2042" s="6"/>
      <c r="L2042" s="6"/>
      <c r="M2042" s="6"/>
      <c r="N2042" s="6"/>
      <c r="O2042" s="6"/>
      <c r="P2042" s="6"/>
      <c r="Q2042" s="6"/>
      <c r="R2042" s="6"/>
      <c r="S2042" s="6"/>
      <c r="T2042" s="6"/>
      <c r="U2042" s="6"/>
      <c r="V2042" s="6"/>
      <c r="W2042" s="6"/>
      <c r="X2042" s="6"/>
      <c r="Y2042" s="6"/>
      <c r="Z2042" s="6"/>
    </row>
    <row r="2043" customFormat="false" ht="15" hidden="false" customHeight="false" outlineLevel="0" collapsed="false">
      <c r="A2043" s="9" t="s">
        <v>7886</v>
      </c>
      <c r="B2043" s="9" t="s">
        <v>5870</v>
      </c>
      <c r="C2043" s="9" t="s">
        <v>2276</v>
      </c>
      <c r="D2043" s="9" t="s">
        <v>5871</v>
      </c>
      <c r="E2043" s="9" t="str">
        <f aca="false">IF(AND('Formation Ledger'!A2022&lt;&gt;"",'Formation Ledger'!V2022=0),"PASS","FAIL")</f>
        <v>PASS</v>
      </c>
      <c r="F2043" s="9" t="s">
        <v>76</v>
      </c>
      <c r="G2043" s="6"/>
      <c r="H2043" s="6"/>
      <c r="I2043" s="6"/>
      <c r="J2043" s="6"/>
      <c r="K2043" s="6"/>
      <c r="L2043" s="6"/>
      <c r="M2043" s="6"/>
      <c r="N2043" s="6"/>
      <c r="O2043" s="6"/>
      <c r="P2043" s="6"/>
      <c r="Q2043" s="6"/>
      <c r="R2043" s="6"/>
      <c r="S2043" s="6"/>
      <c r="T2043" s="6"/>
      <c r="U2043" s="6"/>
      <c r="V2043" s="6"/>
      <c r="W2043" s="6"/>
      <c r="X2043" s="6"/>
      <c r="Y2043" s="6"/>
      <c r="Z2043" s="6"/>
    </row>
    <row r="2044" customFormat="false" ht="15" hidden="false" customHeight="false" outlineLevel="0" collapsed="false">
      <c r="A2044" s="9" t="s">
        <v>7887</v>
      </c>
      <c r="B2044" s="9" t="s">
        <v>5870</v>
      </c>
      <c r="C2044" s="9" t="s">
        <v>2277</v>
      </c>
      <c r="D2044" s="9" t="s">
        <v>5871</v>
      </c>
      <c r="E2044" s="9" t="str">
        <f aca="false">IF(AND('Formation Ledger'!A2023&lt;&gt;"",'Formation Ledger'!V2023=0),"PASS","FAIL")</f>
        <v>PASS</v>
      </c>
      <c r="F2044" s="9" t="s">
        <v>76</v>
      </c>
      <c r="G2044" s="6"/>
      <c r="H2044" s="6"/>
      <c r="I2044" s="6"/>
      <c r="J2044" s="6"/>
      <c r="K2044" s="6"/>
      <c r="L2044" s="6"/>
      <c r="M2044" s="6"/>
      <c r="N2044" s="6"/>
      <c r="O2044" s="6"/>
      <c r="P2044" s="6"/>
      <c r="Q2044" s="6"/>
      <c r="R2044" s="6"/>
      <c r="S2044" s="6"/>
      <c r="T2044" s="6"/>
      <c r="U2044" s="6"/>
      <c r="V2044" s="6"/>
      <c r="W2044" s="6"/>
      <c r="X2044" s="6"/>
      <c r="Y2044" s="6"/>
      <c r="Z2044" s="6"/>
    </row>
    <row r="2045" customFormat="false" ht="15" hidden="false" customHeight="false" outlineLevel="0" collapsed="false">
      <c r="A2045" s="9" t="s">
        <v>7888</v>
      </c>
      <c r="B2045" s="9" t="s">
        <v>5870</v>
      </c>
      <c r="C2045" s="9" t="s">
        <v>2278</v>
      </c>
      <c r="D2045" s="9" t="s">
        <v>5871</v>
      </c>
      <c r="E2045" s="9" t="str">
        <f aca="false">IF(AND('Formation Ledger'!A2024&lt;&gt;"",'Formation Ledger'!V2024=0),"PASS","FAIL")</f>
        <v>PASS</v>
      </c>
      <c r="F2045" s="9" t="s">
        <v>76</v>
      </c>
      <c r="G2045" s="6"/>
      <c r="H2045" s="6"/>
      <c r="I2045" s="6"/>
      <c r="J2045" s="6"/>
      <c r="K2045" s="6"/>
      <c r="L2045" s="6"/>
      <c r="M2045" s="6"/>
      <c r="N2045" s="6"/>
      <c r="O2045" s="6"/>
      <c r="P2045" s="6"/>
      <c r="Q2045" s="6"/>
      <c r="R2045" s="6"/>
      <c r="S2045" s="6"/>
      <c r="T2045" s="6"/>
      <c r="U2045" s="6"/>
      <c r="V2045" s="6"/>
      <c r="W2045" s="6"/>
      <c r="X2045" s="6"/>
      <c r="Y2045" s="6"/>
      <c r="Z2045" s="6"/>
    </row>
    <row r="2046" customFormat="false" ht="15" hidden="false" customHeight="false" outlineLevel="0" collapsed="false">
      <c r="A2046" s="9" t="s">
        <v>7889</v>
      </c>
      <c r="B2046" s="9" t="s">
        <v>5870</v>
      </c>
      <c r="C2046" s="9" t="s">
        <v>2279</v>
      </c>
      <c r="D2046" s="9" t="s">
        <v>5871</v>
      </c>
      <c r="E2046" s="9" t="str">
        <f aca="false">IF(AND('Formation Ledger'!A2025&lt;&gt;"",'Formation Ledger'!V2025=0),"PASS","FAIL")</f>
        <v>PASS</v>
      </c>
      <c r="F2046" s="9" t="s">
        <v>76</v>
      </c>
      <c r="G2046" s="6"/>
      <c r="H2046" s="6"/>
      <c r="I2046" s="6"/>
      <c r="J2046" s="6"/>
      <c r="K2046" s="6"/>
      <c r="L2046" s="6"/>
      <c r="M2046" s="6"/>
      <c r="N2046" s="6"/>
      <c r="O2046" s="6"/>
      <c r="P2046" s="6"/>
      <c r="Q2046" s="6"/>
      <c r="R2046" s="6"/>
      <c r="S2046" s="6"/>
      <c r="T2046" s="6"/>
      <c r="U2046" s="6"/>
      <c r="V2046" s="6"/>
      <c r="W2046" s="6"/>
      <c r="X2046" s="6"/>
      <c r="Y2046" s="6"/>
      <c r="Z2046" s="6"/>
    </row>
    <row r="2047" customFormat="false" ht="15" hidden="false" customHeight="false" outlineLevel="0" collapsed="false">
      <c r="A2047" s="9" t="s">
        <v>7890</v>
      </c>
      <c r="B2047" s="9" t="s">
        <v>5870</v>
      </c>
      <c r="C2047" s="9" t="s">
        <v>2280</v>
      </c>
      <c r="D2047" s="9" t="s">
        <v>5871</v>
      </c>
      <c r="E2047" s="9" t="str">
        <f aca="false">IF(AND('Formation Ledger'!A2026&lt;&gt;"",'Formation Ledger'!V2026=0),"PASS","FAIL")</f>
        <v>PASS</v>
      </c>
      <c r="F2047" s="9" t="s">
        <v>76</v>
      </c>
      <c r="G2047" s="6"/>
      <c r="H2047" s="6"/>
      <c r="I2047" s="6"/>
      <c r="J2047" s="6"/>
      <c r="K2047" s="6"/>
      <c r="L2047" s="6"/>
      <c r="M2047" s="6"/>
      <c r="N2047" s="6"/>
      <c r="O2047" s="6"/>
      <c r="P2047" s="6"/>
      <c r="Q2047" s="6"/>
      <c r="R2047" s="6"/>
      <c r="S2047" s="6"/>
      <c r="T2047" s="6"/>
      <c r="U2047" s="6"/>
      <c r="V2047" s="6"/>
      <c r="W2047" s="6"/>
      <c r="X2047" s="6"/>
      <c r="Y2047" s="6"/>
      <c r="Z2047" s="6"/>
    </row>
    <row r="2048" customFormat="false" ht="15" hidden="false" customHeight="false" outlineLevel="0" collapsed="false">
      <c r="A2048" s="9" t="s">
        <v>7891</v>
      </c>
      <c r="B2048" s="9" t="s">
        <v>5870</v>
      </c>
      <c r="C2048" s="9" t="s">
        <v>2281</v>
      </c>
      <c r="D2048" s="9" t="s">
        <v>5871</v>
      </c>
      <c r="E2048" s="9" t="str">
        <f aca="false">IF(AND('Formation Ledger'!A2027&lt;&gt;"",'Formation Ledger'!V2027=0),"PASS","FAIL")</f>
        <v>PASS</v>
      </c>
      <c r="F2048" s="9" t="s">
        <v>76</v>
      </c>
      <c r="G2048" s="6"/>
      <c r="H2048" s="6"/>
      <c r="I2048" s="6"/>
      <c r="J2048" s="6"/>
      <c r="K2048" s="6"/>
      <c r="L2048" s="6"/>
      <c r="M2048" s="6"/>
      <c r="N2048" s="6"/>
      <c r="O2048" s="6"/>
      <c r="P2048" s="6"/>
      <c r="Q2048" s="6"/>
      <c r="R2048" s="6"/>
      <c r="S2048" s="6"/>
      <c r="T2048" s="6"/>
      <c r="U2048" s="6"/>
      <c r="V2048" s="6"/>
      <c r="W2048" s="6"/>
      <c r="X2048" s="6"/>
      <c r="Y2048" s="6"/>
      <c r="Z2048" s="6"/>
    </row>
    <row r="2049" customFormat="false" ht="15" hidden="false" customHeight="false" outlineLevel="0" collapsed="false">
      <c r="A2049" s="9" t="s">
        <v>7892</v>
      </c>
      <c r="B2049" s="9" t="s">
        <v>5870</v>
      </c>
      <c r="C2049" s="9" t="s">
        <v>2282</v>
      </c>
      <c r="D2049" s="9" t="s">
        <v>5871</v>
      </c>
      <c r="E2049" s="9" t="str">
        <f aca="false">IF(AND('Formation Ledger'!A2028&lt;&gt;"",'Formation Ledger'!V2028=0),"PASS","FAIL")</f>
        <v>PASS</v>
      </c>
      <c r="F2049" s="9" t="s">
        <v>76</v>
      </c>
      <c r="G2049" s="6"/>
      <c r="H2049" s="6"/>
      <c r="I2049" s="6"/>
      <c r="J2049" s="6"/>
      <c r="K2049" s="6"/>
      <c r="L2049" s="6"/>
      <c r="M2049" s="6"/>
      <c r="N2049" s="6"/>
      <c r="O2049" s="6"/>
      <c r="P2049" s="6"/>
      <c r="Q2049" s="6"/>
      <c r="R2049" s="6"/>
      <c r="S2049" s="6"/>
      <c r="T2049" s="6"/>
      <c r="U2049" s="6"/>
      <c r="V2049" s="6"/>
      <c r="W2049" s="6"/>
      <c r="X2049" s="6"/>
      <c r="Y2049" s="6"/>
      <c r="Z2049" s="6"/>
    </row>
    <row r="2050" customFormat="false" ht="15" hidden="false" customHeight="false" outlineLevel="0" collapsed="false">
      <c r="A2050" s="9" t="s">
        <v>7893</v>
      </c>
      <c r="B2050" s="9" t="s">
        <v>5870</v>
      </c>
      <c r="C2050" s="9" t="s">
        <v>2283</v>
      </c>
      <c r="D2050" s="9" t="s">
        <v>5871</v>
      </c>
      <c r="E2050" s="9" t="str">
        <f aca="false">IF(AND('Formation Ledger'!A2029&lt;&gt;"",'Formation Ledger'!V2029=0),"PASS","FAIL")</f>
        <v>PASS</v>
      </c>
      <c r="F2050" s="9" t="s">
        <v>76</v>
      </c>
      <c r="G2050" s="6"/>
      <c r="H2050" s="6"/>
      <c r="I2050" s="6"/>
      <c r="J2050" s="6"/>
      <c r="K2050" s="6"/>
      <c r="L2050" s="6"/>
      <c r="M2050" s="6"/>
      <c r="N2050" s="6"/>
      <c r="O2050" s="6"/>
      <c r="P2050" s="6"/>
      <c r="Q2050" s="6"/>
      <c r="R2050" s="6"/>
      <c r="S2050" s="6"/>
      <c r="T2050" s="6"/>
      <c r="U2050" s="6"/>
      <c r="V2050" s="6"/>
      <c r="W2050" s="6"/>
      <c r="X2050" s="6"/>
      <c r="Y2050" s="6"/>
      <c r="Z2050" s="6"/>
    </row>
    <row r="2051" customFormat="false" ht="15" hidden="false" customHeight="false" outlineLevel="0" collapsed="false">
      <c r="A2051" s="9" t="s">
        <v>7894</v>
      </c>
      <c r="B2051" s="9" t="s">
        <v>5870</v>
      </c>
      <c r="C2051" s="9" t="s">
        <v>2284</v>
      </c>
      <c r="D2051" s="9" t="s">
        <v>5871</v>
      </c>
      <c r="E2051" s="9" t="str">
        <f aca="false">IF(AND('Formation Ledger'!A2030&lt;&gt;"",'Formation Ledger'!V2030=0),"PASS","FAIL")</f>
        <v>PASS</v>
      </c>
      <c r="F2051" s="9" t="s">
        <v>76</v>
      </c>
      <c r="G2051" s="6"/>
      <c r="H2051" s="6"/>
      <c r="I2051" s="6"/>
      <c r="J2051" s="6"/>
      <c r="K2051" s="6"/>
      <c r="L2051" s="6"/>
      <c r="M2051" s="6"/>
      <c r="N2051" s="6"/>
      <c r="O2051" s="6"/>
      <c r="P2051" s="6"/>
      <c r="Q2051" s="6"/>
      <c r="R2051" s="6"/>
      <c r="S2051" s="6"/>
      <c r="T2051" s="6"/>
      <c r="U2051" s="6"/>
      <c r="V2051" s="6"/>
      <c r="W2051" s="6"/>
      <c r="X2051" s="6"/>
      <c r="Y2051" s="6"/>
      <c r="Z2051" s="6"/>
    </row>
    <row r="2052" customFormat="false" ht="15" hidden="false" customHeight="false" outlineLevel="0" collapsed="false">
      <c r="A2052" s="9" t="s">
        <v>7895</v>
      </c>
      <c r="B2052" s="9" t="s">
        <v>5870</v>
      </c>
      <c r="C2052" s="9" t="s">
        <v>2285</v>
      </c>
      <c r="D2052" s="9" t="s">
        <v>5871</v>
      </c>
      <c r="E2052" s="9" t="str">
        <f aca="false">IF(AND('Formation Ledger'!A2031&lt;&gt;"",'Formation Ledger'!V2031=0),"PASS","FAIL")</f>
        <v>PASS</v>
      </c>
      <c r="F2052" s="9" t="s">
        <v>76</v>
      </c>
      <c r="G2052" s="6"/>
      <c r="H2052" s="6"/>
      <c r="I2052" s="6"/>
      <c r="J2052" s="6"/>
      <c r="K2052" s="6"/>
      <c r="L2052" s="6"/>
      <c r="M2052" s="6"/>
      <c r="N2052" s="6"/>
      <c r="O2052" s="6"/>
      <c r="P2052" s="6"/>
      <c r="Q2052" s="6"/>
      <c r="R2052" s="6"/>
      <c r="S2052" s="6"/>
      <c r="T2052" s="6"/>
      <c r="U2052" s="6"/>
      <c r="V2052" s="6"/>
      <c r="W2052" s="6"/>
      <c r="X2052" s="6"/>
      <c r="Y2052" s="6"/>
      <c r="Z2052" s="6"/>
    </row>
    <row r="2053" customFormat="false" ht="15" hidden="false" customHeight="false" outlineLevel="0" collapsed="false">
      <c r="A2053" s="9" t="s">
        <v>7896</v>
      </c>
      <c r="B2053" s="9" t="s">
        <v>5870</v>
      </c>
      <c r="C2053" s="9" t="s">
        <v>2286</v>
      </c>
      <c r="D2053" s="9" t="s">
        <v>5871</v>
      </c>
      <c r="E2053" s="9" t="str">
        <f aca="false">IF(AND('Formation Ledger'!A2032&lt;&gt;"",'Formation Ledger'!V2032=0),"PASS","FAIL")</f>
        <v>PASS</v>
      </c>
      <c r="F2053" s="9" t="s">
        <v>76</v>
      </c>
      <c r="G2053" s="6"/>
      <c r="H2053" s="6"/>
      <c r="I2053" s="6"/>
      <c r="J2053" s="6"/>
      <c r="K2053" s="6"/>
      <c r="L2053" s="6"/>
      <c r="M2053" s="6"/>
      <c r="N2053" s="6"/>
      <c r="O2053" s="6"/>
      <c r="P2053" s="6"/>
      <c r="Q2053" s="6"/>
      <c r="R2053" s="6"/>
      <c r="S2053" s="6"/>
      <c r="T2053" s="6"/>
      <c r="U2053" s="6"/>
      <c r="V2053" s="6"/>
      <c r="W2053" s="6"/>
      <c r="X2053" s="6"/>
      <c r="Y2053" s="6"/>
      <c r="Z2053" s="6"/>
    </row>
    <row r="2054" customFormat="false" ht="15" hidden="false" customHeight="false" outlineLevel="0" collapsed="false">
      <c r="A2054" s="9" t="s">
        <v>7897</v>
      </c>
      <c r="B2054" s="9" t="s">
        <v>5870</v>
      </c>
      <c r="C2054" s="9" t="s">
        <v>2287</v>
      </c>
      <c r="D2054" s="9" t="s">
        <v>5871</v>
      </c>
      <c r="E2054" s="9" t="str">
        <f aca="false">IF(AND('Formation Ledger'!A2033&lt;&gt;"",'Formation Ledger'!V2033=0),"PASS","FAIL")</f>
        <v>PASS</v>
      </c>
      <c r="F2054" s="9" t="s">
        <v>76</v>
      </c>
      <c r="G2054" s="6"/>
      <c r="H2054" s="6"/>
      <c r="I2054" s="6"/>
      <c r="J2054" s="6"/>
      <c r="K2054" s="6"/>
      <c r="L2054" s="6"/>
      <c r="M2054" s="6"/>
      <c r="N2054" s="6"/>
      <c r="O2054" s="6"/>
      <c r="P2054" s="6"/>
      <c r="Q2054" s="6"/>
      <c r="R2054" s="6"/>
      <c r="S2054" s="6"/>
      <c r="T2054" s="6"/>
      <c r="U2054" s="6"/>
      <c r="V2054" s="6"/>
      <c r="W2054" s="6"/>
      <c r="X2054" s="6"/>
      <c r="Y2054" s="6"/>
      <c r="Z2054" s="6"/>
    </row>
    <row r="2055" customFormat="false" ht="15" hidden="false" customHeight="false" outlineLevel="0" collapsed="false">
      <c r="A2055" s="9" t="s">
        <v>7898</v>
      </c>
      <c r="B2055" s="9" t="s">
        <v>5870</v>
      </c>
      <c r="C2055" s="9" t="s">
        <v>2288</v>
      </c>
      <c r="D2055" s="9" t="s">
        <v>5871</v>
      </c>
      <c r="E2055" s="9" t="str">
        <f aca="false">IF(AND('Formation Ledger'!A2034&lt;&gt;"",'Formation Ledger'!V2034=0),"PASS","FAIL")</f>
        <v>PASS</v>
      </c>
      <c r="F2055" s="9" t="s">
        <v>76</v>
      </c>
      <c r="G2055" s="6"/>
      <c r="H2055" s="6"/>
      <c r="I2055" s="6"/>
      <c r="J2055" s="6"/>
      <c r="K2055" s="6"/>
      <c r="L2055" s="6"/>
      <c r="M2055" s="6"/>
      <c r="N2055" s="6"/>
      <c r="O2055" s="6"/>
      <c r="P2055" s="6"/>
      <c r="Q2055" s="6"/>
      <c r="R2055" s="6"/>
      <c r="S2055" s="6"/>
      <c r="T2055" s="6"/>
      <c r="U2055" s="6"/>
      <c r="V2055" s="6"/>
      <c r="W2055" s="6"/>
      <c r="X2055" s="6"/>
      <c r="Y2055" s="6"/>
      <c r="Z2055" s="6"/>
    </row>
    <row r="2056" customFormat="false" ht="15" hidden="false" customHeight="false" outlineLevel="0" collapsed="false">
      <c r="A2056" s="9" t="s">
        <v>7899</v>
      </c>
      <c r="B2056" s="9" t="s">
        <v>5870</v>
      </c>
      <c r="C2056" s="9" t="s">
        <v>2289</v>
      </c>
      <c r="D2056" s="9" t="s">
        <v>5871</v>
      </c>
      <c r="E2056" s="9" t="str">
        <f aca="false">IF(AND('Formation Ledger'!A2035&lt;&gt;"",'Formation Ledger'!V2035=0),"PASS","FAIL")</f>
        <v>PASS</v>
      </c>
      <c r="F2056" s="9" t="s">
        <v>76</v>
      </c>
      <c r="G2056" s="6"/>
      <c r="H2056" s="6"/>
      <c r="I2056" s="6"/>
      <c r="J2056" s="6"/>
      <c r="K2056" s="6"/>
      <c r="L2056" s="6"/>
      <c r="M2056" s="6"/>
      <c r="N2056" s="6"/>
      <c r="O2056" s="6"/>
      <c r="P2056" s="6"/>
      <c r="Q2056" s="6"/>
      <c r="R2056" s="6"/>
      <c r="S2056" s="6"/>
      <c r="T2056" s="6"/>
      <c r="U2056" s="6"/>
      <c r="V2056" s="6"/>
      <c r="W2056" s="6"/>
      <c r="X2056" s="6"/>
      <c r="Y2056" s="6"/>
      <c r="Z2056" s="6"/>
    </row>
    <row r="2057" customFormat="false" ht="15" hidden="false" customHeight="false" outlineLevel="0" collapsed="false">
      <c r="A2057" s="9" t="s">
        <v>7900</v>
      </c>
      <c r="B2057" s="9" t="s">
        <v>5870</v>
      </c>
      <c r="C2057" s="9" t="s">
        <v>2290</v>
      </c>
      <c r="D2057" s="9" t="s">
        <v>5871</v>
      </c>
      <c r="E2057" s="9" t="str">
        <f aca="false">IF(AND('Formation Ledger'!A2036&lt;&gt;"",'Formation Ledger'!V2036=0),"PASS","FAIL")</f>
        <v>PASS</v>
      </c>
      <c r="F2057" s="9" t="s">
        <v>76</v>
      </c>
      <c r="G2057" s="6"/>
      <c r="H2057" s="6"/>
      <c r="I2057" s="6"/>
      <c r="J2057" s="6"/>
      <c r="K2057" s="6"/>
      <c r="L2057" s="6"/>
      <c r="M2057" s="6"/>
      <c r="N2057" s="6"/>
      <c r="O2057" s="6"/>
      <c r="P2057" s="6"/>
      <c r="Q2057" s="6"/>
      <c r="R2057" s="6"/>
      <c r="S2057" s="6"/>
      <c r="T2057" s="6"/>
      <c r="U2057" s="6"/>
      <c r="V2057" s="6"/>
      <c r="W2057" s="6"/>
      <c r="X2057" s="6"/>
      <c r="Y2057" s="6"/>
      <c r="Z2057" s="6"/>
    </row>
    <row r="2058" customFormat="false" ht="15" hidden="false" customHeight="false" outlineLevel="0" collapsed="false">
      <c r="A2058" s="9" t="s">
        <v>7901</v>
      </c>
      <c r="B2058" s="9" t="s">
        <v>5870</v>
      </c>
      <c r="C2058" s="9" t="s">
        <v>2291</v>
      </c>
      <c r="D2058" s="9" t="s">
        <v>5871</v>
      </c>
      <c r="E2058" s="9" t="str">
        <f aca="false">IF(AND('Formation Ledger'!A2037&lt;&gt;"",'Formation Ledger'!V2037=0),"PASS","FAIL")</f>
        <v>PASS</v>
      </c>
      <c r="F2058" s="9" t="s">
        <v>76</v>
      </c>
      <c r="G2058" s="6"/>
      <c r="H2058" s="6"/>
      <c r="I2058" s="6"/>
      <c r="J2058" s="6"/>
      <c r="K2058" s="6"/>
      <c r="L2058" s="6"/>
      <c r="M2058" s="6"/>
      <c r="N2058" s="6"/>
      <c r="O2058" s="6"/>
      <c r="P2058" s="6"/>
      <c r="Q2058" s="6"/>
      <c r="R2058" s="6"/>
      <c r="S2058" s="6"/>
      <c r="T2058" s="6"/>
      <c r="U2058" s="6"/>
      <c r="V2058" s="6"/>
      <c r="W2058" s="6"/>
      <c r="X2058" s="6"/>
      <c r="Y2058" s="6"/>
      <c r="Z2058" s="6"/>
    </row>
    <row r="2059" customFormat="false" ht="15" hidden="false" customHeight="false" outlineLevel="0" collapsed="false">
      <c r="A2059" s="9" t="s">
        <v>7902</v>
      </c>
      <c r="B2059" s="9" t="s">
        <v>5870</v>
      </c>
      <c r="C2059" s="9" t="s">
        <v>2292</v>
      </c>
      <c r="D2059" s="9" t="s">
        <v>5871</v>
      </c>
      <c r="E2059" s="9" t="str">
        <f aca="false">IF(AND('Formation Ledger'!A2038&lt;&gt;"",'Formation Ledger'!V2038=0),"PASS","FAIL")</f>
        <v>PASS</v>
      </c>
      <c r="F2059" s="9" t="s">
        <v>76</v>
      </c>
      <c r="G2059" s="6"/>
      <c r="H2059" s="6"/>
      <c r="I2059" s="6"/>
      <c r="J2059" s="6"/>
      <c r="K2059" s="6"/>
      <c r="L2059" s="6"/>
      <c r="M2059" s="6"/>
      <c r="N2059" s="6"/>
      <c r="O2059" s="6"/>
      <c r="P2059" s="6"/>
      <c r="Q2059" s="6"/>
      <c r="R2059" s="6"/>
      <c r="S2059" s="6"/>
      <c r="T2059" s="6"/>
      <c r="U2059" s="6"/>
      <c r="V2059" s="6"/>
      <c r="W2059" s="6"/>
      <c r="X2059" s="6"/>
      <c r="Y2059" s="6"/>
      <c r="Z2059" s="6"/>
    </row>
    <row r="2060" customFormat="false" ht="15" hidden="false" customHeight="false" outlineLevel="0" collapsed="false">
      <c r="A2060" s="9" t="s">
        <v>7903</v>
      </c>
      <c r="B2060" s="9" t="s">
        <v>5870</v>
      </c>
      <c r="C2060" s="9" t="s">
        <v>2293</v>
      </c>
      <c r="D2060" s="9" t="s">
        <v>5871</v>
      </c>
      <c r="E2060" s="9" t="str">
        <f aca="false">IF(AND('Formation Ledger'!A2039&lt;&gt;"",'Formation Ledger'!V2039=0),"PASS","FAIL")</f>
        <v>PASS</v>
      </c>
      <c r="F2060" s="9" t="s">
        <v>76</v>
      </c>
      <c r="G2060" s="6"/>
      <c r="H2060" s="6"/>
      <c r="I2060" s="6"/>
      <c r="J2060" s="6"/>
      <c r="K2060" s="6"/>
      <c r="L2060" s="6"/>
      <c r="M2060" s="6"/>
      <c r="N2060" s="6"/>
      <c r="O2060" s="6"/>
      <c r="P2060" s="6"/>
      <c r="Q2060" s="6"/>
      <c r="R2060" s="6"/>
      <c r="S2060" s="6"/>
      <c r="T2060" s="6"/>
      <c r="U2060" s="6"/>
      <c r="V2060" s="6"/>
      <c r="W2060" s="6"/>
      <c r="X2060" s="6"/>
      <c r="Y2060" s="6"/>
      <c r="Z2060" s="6"/>
    </row>
    <row r="2061" customFormat="false" ht="15" hidden="false" customHeight="false" outlineLevel="0" collapsed="false">
      <c r="A2061" s="9" t="s">
        <v>7904</v>
      </c>
      <c r="B2061" s="9" t="s">
        <v>5870</v>
      </c>
      <c r="C2061" s="9" t="s">
        <v>2294</v>
      </c>
      <c r="D2061" s="9" t="s">
        <v>5871</v>
      </c>
      <c r="E2061" s="9" t="str">
        <f aca="false">IF(AND('Formation Ledger'!A2040&lt;&gt;"",'Formation Ledger'!V2040=0),"PASS","FAIL")</f>
        <v>PASS</v>
      </c>
      <c r="F2061" s="9" t="s">
        <v>76</v>
      </c>
      <c r="G2061" s="6"/>
      <c r="H2061" s="6"/>
      <c r="I2061" s="6"/>
      <c r="J2061" s="6"/>
      <c r="K2061" s="6"/>
      <c r="L2061" s="6"/>
      <c r="M2061" s="6"/>
      <c r="N2061" s="6"/>
      <c r="O2061" s="6"/>
      <c r="P2061" s="6"/>
      <c r="Q2061" s="6"/>
      <c r="R2061" s="6"/>
      <c r="S2061" s="6"/>
      <c r="T2061" s="6"/>
      <c r="U2061" s="6"/>
      <c r="V2061" s="6"/>
      <c r="W2061" s="6"/>
      <c r="X2061" s="6"/>
      <c r="Y2061" s="6"/>
      <c r="Z2061" s="6"/>
    </row>
    <row r="2062" customFormat="false" ht="15" hidden="false" customHeight="false" outlineLevel="0" collapsed="false">
      <c r="A2062" s="9" t="s">
        <v>7905</v>
      </c>
      <c r="B2062" s="9" t="s">
        <v>5870</v>
      </c>
      <c r="C2062" s="9" t="s">
        <v>2295</v>
      </c>
      <c r="D2062" s="9" t="s">
        <v>5871</v>
      </c>
      <c r="E2062" s="9" t="str">
        <f aca="false">IF(AND('Formation Ledger'!A2041&lt;&gt;"",'Formation Ledger'!V2041=0),"PASS","FAIL")</f>
        <v>PASS</v>
      </c>
      <c r="F2062" s="9" t="s">
        <v>76</v>
      </c>
      <c r="G2062" s="6"/>
      <c r="H2062" s="6"/>
      <c r="I2062" s="6"/>
      <c r="J2062" s="6"/>
      <c r="K2062" s="6"/>
      <c r="L2062" s="6"/>
      <c r="M2062" s="6"/>
      <c r="N2062" s="6"/>
      <c r="O2062" s="6"/>
      <c r="P2062" s="6"/>
      <c r="Q2062" s="6"/>
      <c r="R2062" s="6"/>
      <c r="S2062" s="6"/>
      <c r="T2062" s="6"/>
      <c r="U2062" s="6"/>
      <c r="V2062" s="6"/>
      <c r="W2062" s="6"/>
      <c r="X2062" s="6"/>
      <c r="Y2062" s="6"/>
      <c r="Z2062" s="6"/>
    </row>
    <row r="2063" customFormat="false" ht="15" hidden="false" customHeight="false" outlineLevel="0" collapsed="false">
      <c r="A2063" s="9" t="s">
        <v>7906</v>
      </c>
      <c r="B2063" s="9" t="s">
        <v>5870</v>
      </c>
      <c r="C2063" s="9" t="s">
        <v>2296</v>
      </c>
      <c r="D2063" s="9" t="s">
        <v>5871</v>
      </c>
      <c r="E2063" s="9" t="str">
        <f aca="false">IF(AND('Formation Ledger'!A2042&lt;&gt;"",'Formation Ledger'!V2042=0),"PASS","FAIL")</f>
        <v>PASS</v>
      </c>
      <c r="F2063" s="9" t="s">
        <v>76</v>
      </c>
      <c r="G2063" s="6"/>
      <c r="H2063" s="6"/>
      <c r="I2063" s="6"/>
      <c r="J2063" s="6"/>
      <c r="K2063" s="6"/>
      <c r="L2063" s="6"/>
      <c r="M2063" s="6"/>
      <c r="N2063" s="6"/>
      <c r="O2063" s="6"/>
      <c r="P2063" s="6"/>
      <c r="Q2063" s="6"/>
      <c r="R2063" s="6"/>
      <c r="S2063" s="6"/>
      <c r="T2063" s="6"/>
      <c r="U2063" s="6"/>
      <c r="V2063" s="6"/>
      <c r="W2063" s="6"/>
      <c r="X2063" s="6"/>
      <c r="Y2063" s="6"/>
      <c r="Z2063" s="6"/>
    </row>
    <row r="2064" customFormat="false" ht="15" hidden="false" customHeight="false" outlineLevel="0" collapsed="false">
      <c r="A2064" s="9" t="s">
        <v>7907</v>
      </c>
      <c r="B2064" s="9" t="s">
        <v>5870</v>
      </c>
      <c r="C2064" s="9" t="s">
        <v>2297</v>
      </c>
      <c r="D2064" s="9" t="s">
        <v>5871</v>
      </c>
      <c r="E2064" s="9" t="str">
        <f aca="false">IF(AND('Formation Ledger'!A2043&lt;&gt;"",'Formation Ledger'!V2043=0),"PASS","FAIL")</f>
        <v>PASS</v>
      </c>
      <c r="F2064" s="9" t="s">
        <v>76</v>
      </c>
      <c r="G2064" s="6"/>
      <c r="H2064" s="6"/>
      <c r="I2064" s="6"/>
      <c r="J2064" s="6"/>
      <c r="K2064" s="6"/>
      <c r="L2064" s="6"/>
      <c r="M2064" s="6"/>
      <c r="N2064" s="6"/>
      <c r="O2064" s="6"/>
      <c r="P2064" s="6"/>
      <c r="Q2064" s="6"/>
      <c r="R2064" s="6"/>
      <c r="S2064" s="6"/>
      <c r="T2064" s="6"/>
      <c r="U2064" s="6"/>
      <c r="V2064" s="6"/>
      <c r="W2064" s="6"/>
      <c r="X2064" s="6"/>
      <c r="Y2064" s="6"/>
      <c r="Z2064" s="6"/>
    </row>
    <row r="2065" customFormat="false" ht="15" hidden="false" customHeight="false" outlineLevel="0" collapsed="false">
      <c r="A2065" s="9" t="s">
        <v>7908</v>
      </c>
      <c r="B2065" s="9" t="s">
        <v>5870</v>
      </c>
      <c r="C2065" s="9" t="s">
        <v>2298</v>
      </c>
      <c r="D2065" s="9" t="s">
        <v>5871</v>
      </c>
      <c r="E2065" s="9" t="str">
        <f aca="false">IF(AND('Formation Ledger'!A2044&lt;&gt;"",'Formation Ledger'!V2044=0),"PASS","FAIL")</f>
        <v>PASS</v>
      </c>
      <c r="F2065" s="9" t="s">
        <v>76</v>
      </c>
      <c r="G2065" s="6"/>
      <c r="H2065" s="6"/>
      <c r="I2065" s="6"/>
      <c r="J2065" s="6"/>
      <c r="K2065" s="6"/>
      <c r="L2065" s="6"/>
      <c r="M2065" s="6"/>
      <c r="N2065" s="6"/>
      <c r="O2065" s="6"/>
      <c r="P2065" s="6"/>
      <c r="Q2065" s="6"/>
      <c r="R2065" s="6"/>
      <c r="S2065" s="6"/>
      <c r="T2065" s="6"/>
      <c r="U2065" s="6"/>
      <c r="V2065" s="6"/>
      <c r="W2065" s="6"/>
      <c r="X2065" s="6"/>
      <c r="Y2065" s="6"/>
      <c r="Z2065" s="6"/>
    </row>
    <row r="2066" customFormat="false" ht="15" hidden="false" customHeight="false" outlineLevel="0" collapsed="false">
      <c r="A2066" s="9" t="s">
        <v>7909</v>
      </c>
      <c r="B2066" s="9" t="s">
        <v>5870</v>
      </c>
      <c r="C2066" s="9" t="s">
        <v>2299</v>
      </c>
      <c r="D2066" s="9" t="s">
        <v>5871</v>
      </c>
      <c r="E2066" s="9" t="str">
        <f aca="false">IF(AND('Formation Ledger'!A2045&lt;&gt;"",'Formation Ledger'!V2045=0),"PASS","FAIL")</f>
        <v>PASS</v>
      </c>
      <c r="F2066" s="9" t="s">
        <v>76</v>
      </c>
      <c r="G2066" s="6"/>
      <c r="H2066" s="6"/>
      <c r="I2066" s="6"/>
      <c r="J2066" s="6"/>
      <c r="K2066" s="6"/>
      <c r="L2066" s="6"/>
      <c r="M2066" s="6"/>
      <c r="N2066" s="6"/>
      <c r="O2066" s="6"/>
      <c r="P2066" s="6"/>
      <c r="Q2066" s="6"/>
      <c r="R2066" s="6"/>
      <c r="S2066" s="6"/>
      <c r="T2066" s="6"/>
      <c r="U2066" s="6"/>
      <c r="V2066" s="6"/>
      <c r="W2066" s="6"/>
      <c r="X2066" s="6"/>
      <c r="Y2066" s="6"/>
      <c r="Z2066" s="6"/>
    </row>
    <row r="2067" customFormat="false" ht="15" hidden="false" customHeight="false" outlineLevel="0" collapsed="false">
      <c r="A2067" s="9" t="s">
        <v>7910</v>
      </c>
      <c r="B2067" s="9" t="s">
        <v>5870</v>
      </c>
      <c r="C2067" s="9" t="s">
        <v>2300</v>
      </c>
      <c r="D2067" s="9" t="s">
        <v>5871</v>
      </c>
      <c r="E2067" s="9" t="str">
        <f aca="false">IF(AND('Formation Ledger'!A2046&lt;&gt;"",'Formation Ledger'!V2046=0),"PASS","FAIL")</f>
        <v>PASS</v>
      </c>
      <c r="F2067" s="9" t="s">
        <v>76</v>
      </c>
      <c r="G2067" s="6"/>
      <c r="H2067" s="6"/>
      <c r="I2067" s="6"/>
      <c r="J2067" s="6"/>
      <c r="K2067" s="6"/>
      <c r="L2067" s="6"/>
      <c r="M2067" s="6"/>
      <c r="N2067" s="6"/>
      <c r="O2067" s="6"/>
      <c r="P2067" s="6"/>
      <c r="Q2067" s="6"/>
      <c r="R2067" s="6"/>
      <c r="S2067" s="6"/>
      <c r="T2067" s="6"/>
      <c r="U2067" s="6"/>
      <c r="V2067" s="6"/>
      <c r="W2067" s="6"/>
      <c r="X2067" s="6"/>
      <c r="Y2067" s="6"/>
      <c r="Z2067" s="6"/>
    </row>
    <row r="2068" customFormat="false" ht="15" hidden="false" customHeight="false" outlineLevel="0" collapsed="false">
      <c r="A2068" s="9" t="s">
        <v>7911</v>
      </c>
      <c r="B2068" s="9" t="s">
        <v>5870</v>
      </c>
      <c r="C2068" s="9" t="s">
        <v>2301</v>
      </c>
      <c r="D2068" s="9" t="s">
        <v>5871</v>
      </c>
      <c r="E2068" s="9" t="str">
        <f aca="false">IF(AND('Formation Ledger'!A2047&lt;&gt;"",'Formation Ledger'!V2047=0),"PASS","FAIL")</f>
        <v>PASS</v>
      </c>
      <c r="F2068" s="9" t="s">
        <v>76</v>
      </c>
      <c r="G2068" s="6"/>
      <c r="H2068" s="6"/>
      <c r="I2068" s="6"/>
      <c r="J2068" s="6"/>
      <c r="K2068" s="6"/>
      <c r="L2068" s="6"/>
      <c r="M2068" s="6"/>
      <c r="N2068" s="6"/>
      <c r="O2068" s="6"/>
      <c r="P2068" s="6"/>
      <c r="Q2068" s="6"/>
      <c r="R2068" s="6"/>
      <c r="S2068" s="6"/>
      <c r="T2068" s="6"/>
      <c r="U2068" s="6"/>
      <c r="V2068" s="6"/>
      <c r="W2068" s="6"/>
      <c r="X2068" s="6"/>
      <c r="Y2068" s="6"/>
      <c r="Z2068" s="6"/>
    </row>
    <row r="2069" customFormat="false" ht="15" hidden="false" customHeight="false" outlineLevel="0" collapsed="false">
      <c r="A2069" s="9" t="s">
        <v>7912</v>
      </c>
      <c r="B2069" s="9" t="s">
        <v>5870</v>
      </c>
      <c r="C2069" s="9" t="s">
        <v>2304</v>
      </c>
      <c r="D2069" s="9" t="s">
        <v>5871</v>
      </c>
      <c r="E2069" s="9" t="str">
        <f aca="false">IF(AND('Formation Ledger'!A2048&lt;&gt;"",'Formation Ledger'!V2048=0),"PASS","FAIL")</f>
        <v>PASS</v>
      </c>
      <c r="F2069" s="9" t="s">
        <v>76</v>
      </c>
      <c r="G2069" s="6"/>
      <c r="H2069" s="6"/>
      <c r="I2069" s="6"/>
      <c r="J2069" s="6"/>
      <c r="K2069" s="6"/>
      <c r="L2069" s="6"/>
      <c r="M2069" s="6"/>
      <c r="N2069" s="6"/>
      <c r="O2069" s="6"/>
      <c r="P2069" s="6"/>
      <c r="Q2069" s="6"/>
      <c r="R2069" s="6"/>
      <c r="S2069" s="6"/>
      <c r="T2069" s="6"/>
      <c r="U2069" s="6"/>
      <c r="V2069" s="6"/>
      <c r="W2069" s="6"/>
      <c r="X2069" s="6"/>
      <c r="Y2069" s="6"/>
      <c r="Z2069" s="6"/>
    </row>
    <row r="2070" customFormat="false" ht="15" hidden="false" customHeight="false" outlineLevel="0" collapsed="false">
      <c r="A2070" s="9" t="s">
        <v>7913</v>
      </c>
      <c r="B2070" s="9" t="s">
        <v>5870</v>
      </c>
      <c r="C2070" s="9" t="s">
        <v>2305</v>
      </c>
      <c r="D2070" s="9" t="s">
        <v>5871</v>
      </c>
      <c r="E2070" s="9" t="str">
        <f aca="false">IF(AND('Formation Ledger'!A2049&lt;&gt;"",'Formation Ledger'!V2049=0),"PASS","FAIL")</f>
        <v>PASS</v>
      </c>
      <c r="F2070" s="9" t="s">
        <v>76</v>
      </c>
      <c r="G2070" s="6"/>
      <c r="H2070" s="6"/>
      <c r="I2070" s="6"/>
      <c r="J2070" s="6"/>
      <c r="K2070" s="6"/>
      <c r="L2070" s="6"/>
      <c r="M2070" s="6"/>
      <c r="N2070" s="6"/>
      <c r="O2070" s="6"/>
      <c r="P2070" s="6"/>
      <c r="Q2070" s="6"/>
      <c r="R2070" s="6"/>
      <c r="S2070" s="6"/>
      <c r="T2070" s="6"/>
      <c r="U2070" s="6"/>
      <c r="V2070" s="6"/>
      <c r="W2070" s="6"/>
      <c r="X2070" s="6"/>
      <c r="Y2070" s="6"/>
      <c r="Z2070" s="6"/>
    </row>
    <row r="2071" customFormat="false" ht="15" hidden="false" customHeight="false" outlineLevel="0" collapsed="false">
      <c r="A2071" s="9" t="s">
        <v>7914</v>
      </c>
      <c r="B2071" s="9" t="s">
        <v>5870</v>
      </c>
      <c r="C2071" s="9" t="s">
        <v>2306</v>
      </c>
      <c r="D2071" s="9" t="s">
        <v>5871</v>
      </c>
      <c r="E2071" s="9" t="str">
        <f aca="false">IF(AND('Formation Ledger'!A2050&lt;&gt;"",'Formation Ledger'!V2050=0),"PASS","FAIL")</f>
        <v>PASS</v>
      </c>
      <c r="F2071" s="9" t="s">
        <v>76</v>
      </c>
      <c r="G2071" s="6"/>
      <c r="H2071" s="6"/>
      <c r="I2071" s="6"/>
      <c r="J2071" s="6"/>
      <c r="K2071" s="6"/>
      <c r="L2071" s="6"/>
      <c r="M2071" s="6"/>
      <c r="N2071" s="6"/>
      <c r="O2071" s="6"/>
      <c r="P2071" s="6"/>
      <c r="Q2071" s="6"/>
      <c r="R2071" s="6"/>
      <c r="S2071" s="6"/>
      <c r="T2071" s="6"/>
      <c r="U2071" s="6"/>
      <c r="V2071" s="6"/>
      <c r="W2071" s="6"/>
      <c r="X2071" s="6"/>
      <c r="Y2071" s="6"/>
      <c r="Z2071" s="6"/>
    </row>
    <row r="2072" customFormat="false" ht="15" hidden="false" customHeight="false" outlineLevel="0" collapsed="false">
      <c r="A2072" s="9" t="s">
        <v>7915</v>
      </c>
      <c r="B2072" s="9" t="s">
        <v>5870</v>
      </c>
      <c r="C2072" s="9" t="s">
        <v>2307</v>
      </c>
      <c r="D2072" s="9" t="s">
        <v>5871</v>
      </c>
      <c r="E2072" s="9" t="str">
        <f aca="false">IF(AND('Formation Ledger'!A2051&lt;&gt;"",'Formation Ledger'!V2051=0),"PASS","FAIL")</f>
        <v>PASS</v>
      </c>
      <c r="F2072" s="9" t="s">
        <v>76</v>
      </c>
      <c r="G2072" s="6"/>
      <c r="H2072" s="6"/>
      <c r="I2072" s="6"/>
      <c r="J2072" s="6"/>
      <c r="K2072" s="6"/>
      <c r="L2072" s="6"/>
      <c r="M2072" s="6"/>
      <c r="N2072" s="6"/>
      <c r="O2072" s="6"/>
      <c r="P2072" s="6"/>
      <c r="Q2072" s="6"/>
      <c r="R2072" s="6"/>
      <c r="S2072" s="6"/>
      <c r="T2072" s="6"/>
      <c r="U2072" s="6"/>
      <c r="V2072" s="6"/>
      <c r="W2072" s="6"/>
      <c r="X2072" s="6"/>
      <c r="Y2072" s="6"/>
      <c r="Z2072" s="6"/>
    </row>
    <row r="2073" customFormat="false" ht="15" hidden="false" customHeight="false" outlineLevel="0" collapsed="false">
      <c r="A2073" s="9" t="s">
        <v>7916</v>
      </c>
      <c r="B2073" s="9" t="s">
        <v>5870</v>
      </c>
      <c r="C2073" s="9" t="s">
        <v>2308</v>
      </c>
      <c r="D2073" s="9" t="s">
        <v>5871</v>
      </c>
      <c r="E2073" s="9" t="str">
        <f aca="false">IF(AND('Formation Ledger'!A2052&lt;&gt;"",'Formation Ledger'!V2052=0),"PASS","FAIL")</f>
        <v>PASS</v>
      </c>
      <c r="F2073" s="9" t="s">
        <v>76</v>
      </c>
      <c r="G2073" s="6"/>
      <c r="H2073" s="6"/>
      <c r="I2073" s="6"/>
      <c r="J2073" s="6"/>
      <c r="K2073" s="6"/>
      <c r="L2073" s="6"/>
      <c r="M2073" s="6"/>
      <c r="N2073" s="6"/>
      <c r="O2073" s="6"/>
      <c r="P2073" s="6"/>
      <c r="Q2073" s="6"/>
      <c r="R2073" s="6"/>
      <c r="S2073" s="6"/>
      <c r="T2073" s="6"/>
      <c r="U2073" s="6"/>
      <c r="V2073" s="6"/>
      <c r="W2073" s="6"/>
      <c r="X2073" s="6"/>
      <c r="Y2073" s="6"/>
      <c r="Z2073" s="6"/>
    </row>
    <row r="2074" customFormat="false" ht="15" hidden="false" customHeight="false" outlineLevel="0" collapsed="false">
      <c r="A2074" s="9" t="s">
        <v>7917</v>
      </c>
      <c r="B2074" s="9" t="s">
        <v>5870</v>
      </c>
      <c r="C2074" s="9" t="s">
        <v>2309</v>
      </c>
      <c r="D2074" s="9" t="s">
        <v>5871</v>
      </c>
      <c r="E2074" s="9" t="str">
        <f aca="false">IF(AND('Formation Ledger'!A2053&lt;&gt;"",'Formation Ledger'!V2053=0),"PASS","FAIL")</f>
        <v>PASS</v>
      </c>
      <c r="F2074" s="9" t="s">
        <v>76</v>
      </c>
      <c r="G2074" s="6"/>
      <c r="H2074" s="6"/>
      <c r="I2074" s="6"/>
      <c r="J2074" s="6"/>
      <c r="K2074" s="6"/>
      <c r="L2074" s="6"/>
      <c r="M2074" s="6"/>
      <c r="N2074" s="6"/>
      <c r="O2074" s="6"/>
      <c r="P2074" s="6"/>
      <c r="Q2074" s="6"/>
      <c r="R2074" s="6"/>
      <c r="S2074" s="6"/>
      <c r="T2074" s="6"/>
      <c r="U2074" s="6"/>
      <c r="V2074" s="6"/>
      <c r="W2074" s="6"/>
      <c r="X2074" s="6"/>
      <c r="Y2074" s="6"/>
      <c r="Z2074" s="6"/>
    </row>
    <row r="2075" customFormat="false" ht="15" hidden="false" customHeight="false" outlineLevel="0" collapsed="false">
      <c r="A2075" s="9" t="s">
        <v>7918</v>
      </c>
      <c r="B2075" s="9" t="s">
        <v>5870</v>
      </c>
      <c r="C2075" s="9" t="s">
        <v>2310</v>
      </c>
      <c r="D2075" s="9" t="s">
        <v>5871</v>
      </c>
      <c r="E2075" s="9" t="str">
        <f aca="false">IF(AND('Formation Ledger'!A2054&lt;&gt;"",'Formation Ledger'!V2054=0),"PASS","FAIL")</f>
        <v>PASS</v>
      </c>
      <c r="F2075" s="9" t="s">
        <v>76</v>
      </c>
      <c r="G2075" s="6"/>
      <c r="H2075" s="6"/>
      <c r="I2075" s="6"/>
      <c r="J2075" s="6"/>
      <c r="K2075" s="6"/>
      <c r="L2075" s="6"/>
      <c r="M2075" s="6"/>
      <c r="N2075" s="6"/>
      <c r="O2075" s="6"/>
      <c r="P2075" s="6"/>
      <c r="Q2075" s="6"/>
      <c r="R2075" s="6"/>
      <c r="S2075" s="6"/>
      <c r="T2075" s="6"/>
      <c r="U2075" s="6"/>
      <c r="V2075" s="6"/>
      <c r="W2075" s="6"/>
      <c r="X2075" s="6"/>
      <c r="Y2075" s="6"/>
      <c r="Z2075" s="6"/>
    </row>
    <row r="2076" customFormat="false" ht="15" hidden="false" customHeight="false" outlineLevel="0" collapsed="false">
      <c r="A2076" s="9" t="s">
        <v>7919</v>
      </c>
      <c r="B2076" s="9" t="s">
        <v>5870</v>
      </c>
      <c r="C2076" s="9" t="s">
        <v>2311</v>
      </c>
      <c r="D2076" s="9" t="s">
        <v>5871</v>
      </c>
      <c r="E2076" s="9" t="str">
        <f aca="false">IF(AND('Formation Ledger'!A2055&lt;&gt;"",'Formation Ledger'!V2055=0),"PASS","FAIL")</f>
        <v>PASS</v>
      </c>
      <c r="F2076" s="9" t="s">
        <v>76</v>
      </c>
      <c r="G2076" s="6"/>
      <c r="H2076" s="6"/>
      <c r="I2076" s="6"/>
      <c r="J2076" s="6"/>
      <c r="K2076" s="6"/>
      <c r="L2076" s="6"/>
      <c r="M2076" s="6"/>
      <c r="N2076" s="6"/>
      <c r="O2076" s="6"/>
      <c r="P2076" s="6"/>
      <c r="Q2076" s="6"/>
      <c r="R2076" s="6"/>
      <c r="S2076" s="6"/>
      <c r="T2076" s="6"/>
      <c r="U2076" s="6"/>
      <c r="V2076" s="6"/>
      <c r="W2076" s="6"/>
      <c r="X2076" s="6"/>
      <c r="Y2076" s="6"/>
      <c r="Z2076" s="6"/>
    </row>
    <row r="2077" customFormat="false" ht="15" hidden="false" customHeight="false" outlineLevel="0" collapsed="false">
      <c r="A2077" s="9" t="s">
        <v>7920</v>
      </c>
      <c r="B2077" s="9" t="s">
        <v>5870</v>
      </c>
      <c r="C2077" s="9" t="s">
        <v>2312</v>
      </c>
      <c r="D2077" s="9" t="s">
        <v>5871</v>
      </c>
      <c r="E2077" s="9" t="str">
        <f aca="false">IF(AND('Formation Ledger'!A2056&lt;&gt;"",'Formation Ledger'!V2056=0),"PASS","FAIL")</f>
        <v>PASS</v>
      </c>
      <c r="F2077" s="9" t="s">
        <v>76</v>
      </c>
      <c r="G2077" s="6"/>
      <c r="H2077" s="6"/>
      <c r="I2077" s="6"/>
      <c r="J2077" s="6"/>
      <c r="K2077" s="6"/>
      <c r="L2077" s="6"/>
      <c r="M2077" s="6"/>
      <c r="N2077" s="6"/>
      <c r="O2077" s="6"/>
      <c r="P2077" s="6"/>
      <c r="Q2077" s="6"/>
      <c r="R2077" s="6"/>
      <c r="S2077" s="6"/>
      <c r="T2077" s="6"/>
      <c r="U2077" s="6"/>
      <c r="V2077" s="6"/>
      <c r="W2077" s="6"/>
      <c r="X2077" s="6"/>
      <c r="Y2077" s="6"/>
      <c r="Z2077" s="6"/>
    </row>
    <row r="2078" customFormat="false" ht="15" hidden="false" customHeight="false" outlineLevel="0" collapsed="false">
      <c r="A2078" s="9" t="s">
        <v>7921</v>
      </c>
      <c r="B2078" s="9" t="s">
        <v>5870</v>
      </c>
      <c r="C2078" s="9" t="s">
        <v>2313</v>
      </c>
      <c r="D2078" s="9" t="s">
        <v>5871</v>
      </c>
      <c r="E2078" s="9" t="str">
        <f aca="false">IF(AND('Formation Ledger'!A2057&lt;&gt;"",'Formation Ledger'!V2057=0),"PASS","FAIL")</f>
        <v>PASS</v>
      </c>
      <c r="F2078" s="9" t="s">
        <v>76</v>
      </c>
      <c r="G2078" s="6"/>
      <c r="H2078" s="6"/>
      <c r="I2078" s="6"/>
      <c r="J2078" s="6"/>
      <c r="K2078" s="6"/>
      <c r="L2078" s="6"/>
      <c r="M2078" s="6"/>
      <c r="N2078" s="6"/>
      <c r="O2078" s="6"/>
      <c r="P2078" s="6"/>
      <c r="Q2078" s="6"/>
      <c r="R2078" s="6"/>
      <c r="S2078" s="6"/>
      <c r="T2078" s="6"/>
      <c r="U2078" s="6"/>
      <c r="V2078" s="6"/>
      <c r="W2078" s="6"/>
      <c r="X2078" s="6"/>
      <c r="Y2078" s="6"/>
      <c r="Z2078" s="6"/>
    </row>
    <row r="2079" customFormat="false" ht="15" hidden="false" customHeight="false" outlineLevel="0" collapsed="false">
      <c r="A2079" s="9" t="s">
        <v>7922</v>
      </c>
      <c r="B2079" s="9" t="s">
        <v>5870</v>
      </c>
      <c r="C2079" s="9" t="s">
        <v>2314</v>
      </c>
      <c r="D2079" s="9" t="s">
        <v>5871</v>
      </c>
      <c r="E2079" s="9" t="str">
        <f aca="false">IF(AND('Formation Ledger'!A2058&lt;&gt;"",'Formation Ledger'!V2058=0),"PASS","FAIL")</f>
        <v>PASS</v>
      </c>
      <c r="F2079" s="9" t="s">
        <v>76</v>
      </c>
      <c r="G2079" s="6"/>
      <c r="H2079" s="6"/>
      <c r="I2079" s="6"/>
      <c r="J2079" s="6"/>
      <c r="K2079" s="6"/>
      <c r="L2079" s="6"/>
      <c r="M2079" s="6"/>
      <c r="N2079" s="6"/>
      <c r="O2079" s="6"/>
      <c r="P2079" s="6"/>
      <c r="Q2079" s="6"/>
      <c r="R2079" s="6"/>
      <c r="S2079" s="6"/>
      <c r="T2079" s="6"/>
      <c r="U2079" s="6"/>
      <c r="V2079" s="6"/>
      <c r="W2079" s="6"/>
      <c r="X2079" s="6"/>
      <c r="Y2079" s="6"/>
      <c r="Z2079" s="6"/>
    </row>
    <row r="2080" customFormat="false" ht="15" hidden="false" customHeight="false" outlineLevel="0" collapsed="false">
      <c r="A2080" s="9" t="s">
        <v>7923</v>
      </c>
      <c r="B2080" s="9" t="s">
        <v>5870</v>
      </c>
      <c r="C2080" s="9" t="s">
        <v>2315</v>
      </c>
      <c r="D2080" s="9" t="s">
        <v>5871</v>
      </c>
      <c r="E2080" s="9" t="str">
        <f aca="false">IF(AND('Formation Ledger'!A2059&lt;&gt;"",'Formation Ledger'!V2059=0),"PASS","FAIL")</f>
        <v>PASS</v>
      </c>
      <c r="F2080" s="9" t="s">
        <v>76</v>
      </c>
      <c r="G2080" s="6"/>
      <c r="H2080" s="6"/>
      <c r="I2080" s="6"/>
      <c r="J2080" s="6"/>
      <c r="K2080" s="6"/>
      <c r="L2080" s="6"/>
      <c r="M2080" s="6"/>
      <c r="N2080" s="6"/>
      <c r="O2080" s="6"/>
      <c r="P2080" s="6"/>
      <c r="Q2080" s="6"/>
      <c r="R2080" s="6"/>
      <c r="S2080" s="6"/>
      <c r="T2080" s="6"/>
      <c r="U2080" s="6"/>
      <c r="V2080" s="6"/>
      <c r="W2080" s="6"/>
      <c r="X2080" s="6"/>
      <c r="Y2080" s="6"/>
      <c r="Z2080" s="6"/>
    </row>
    <row r="2081" customFormat="false" ht="15" hidden="false" customHeight="false" outlineLevel="0" collapsed="false">
      <c r="A2081" s="9" t="s">
        <v>7924</v>
      </c>
      <c r="B2081" s="9" t="s">
        <v>5870</v>
      </c>
      <c r="C2081" s="9" t="s">
        <v>2316</v>
      </c>
      <c r="D2081" s="9" t="s">
        <v>5871</v>
      </c>
      <c r="E2081" s="9" t="str">
        <f aca="false">IF(AND('Formation Ledger'!A2060&lt;&gt;"",'Formation Ledger'!V2060=0),"PASS","FAIL")</f>
        <v>PASS</v>
      </c>
      <c r="F2081" s="9" t="s">
        <v>76</v>
      </c>
      <c r="G2081" s="6"/>
      <c r="H2081" s="6"/>
      <c r="I2081" s="6"/>
      <c r="J2081" s="6"/>
      <c r="K2081" s="6"/>
      <c r="L2081" s="6"/>
      <c r="M2081" s="6"/>
      <c r="N2081" s="6"/>
      <c r="O2081" s="6"/>
      <c r="P2081" s="6"/>
      <c r="Q2081" s="6"/>
      <c r="R2081" s="6"/>
      <c r="S2081" s="6"/>
      <c r="T2081" s="6"/>
      <c r="U2081" s="6"/>
      <c r="V2081" s="6"/>
      <c r="W2081" s="6"/>
      <c r="X2081" s="6"/>
      <c r="Y2081" s="6"/>
      <c r="Z2081" s="6"/>
    </row>
    <row r="2082" customFormat="false" ht="15" hidden="false" customHeight="false" outlineLevel="0" collapsed="false">
      <c r="A2082" s="9" t="s">
        <v>7925</v>
      </c>
      <c r="B2082" s="9" t="s">
        <v>5870</v>
      </c>
      <c r="C2082" s="9" t="s">
        <v>2317</v>
      </c>
      <c r="D2082" s="9" t="s">
        <v>5871</v>
      </c>
      <c r="E2082" s="9" t="str">
        <f aca="false">IF(AND('Formation Ledger'!A2061&lt;&gt;"",'Formation Ledger'!V2061=0),"PASS","FAIL")</f>
        <v>PASS</v>
      </c>
      <c r="F2082" s="9" t="s">
        <v>76</v>
      </c>
      <c r="G2082" s="6"/>
      <c r="H2082" s="6"/>
      <c r="I2082" s="6"/>
      <c r="J2082" s="6"/>
      <c r="K2082" s="6"/>
      <c r="L2082" s="6"/>
      <c r="M2082" s="6"/>
      <c r="N2082" s="6"/>
      <c r="O2082" s="6"/>
      <c r="P2082" s="6"/>
      <c r="Q2082" s="6"/>
      <c r="R2082" s="6"/>
      <c r="S2082" s="6"/>
      <c r="T2082" s="6"/>
      <c r="U2082" s="6"/>
      <c r="V2082" s="6"/>
      <c r="W2082" s="6"/>
      <c r="X2082" s="6"/>
      <c r="Y2082" s="6"/>
      <c r="Z2082" s="6"/>
    </row>
    <row r="2083" customFormat="false" ht="15" hidden="false" customHeight="false" outlineLevel="0" collapsed="false">
      <c r="A2083" s="9" t="s">
        <v>7926</v>
      </c>
      <c r="B2083" s="9" t="s">
        <v>5870</v>
      </c>
      <c r="C2083" s="9" t="s">
        <v>2318</v>
      </c>
      <c r="D2083" s="9" t="s">
        <v>5871</v>
      </c>
      <c r="E2083" s="9" t="str">
        <f aca="false">IF(AND('Formation Ledger'!A2062&lt;&gt;"",'Formation Ledger'!V2062=0),"PASS","FAIL")</f>
        <v>PASS</v>
      </c>
      <c r="F2083" s="9" t="s">
        <v>76</v>
      </c>
      <c r="G2083" s="6"/>
      <c r="H2083" s="6"/>
      <c r="I2083" s="6"/>
      <c r="J2083" s="6"/>
      <c r="K2083" s="6"/>
      <c r="L2083" s="6"/>
      <c r="M2083" s="6"/>
      <c r="N2083" s="6"/>
      <c r="O2083" s="6"/>
      <c r="P2083" s="6"/>
      <c r="Q2083" s="6"/>
      <c r="R2083" s="6"/>
      <c r="S2083" s="6"/>
      <c r="T2083" s="6"/>
      <c r="U2083" s="6"/>
      <c r="V2083" s="6"/>
      <c r="W2083" s="6"/>
      <c r="X2083" s="6"/>
      <c r="Y2083" s="6"/>
      <c r="Z2083" s="6"/>
    </row>
    <row r="2084" customFormat="false" ht="15" hidden="false" customHeight="false" outlineLevel="0" collapsed="false">
      <c r="A2084" s="9" t="s">
        <v>7927</v>
      </c>
      <c r="B2084" s="9" t="s">
        <v>5870</v>
      </c>
      <c r="C2084" s="9" t="s">
        <v>2319</v>
      </c>
      <c r="D2084" s="9" t="s">
        <v>5871</v>
      </c>
      <c r="E2084" s="9" t="str">
        <f aca="false">IF(AND('Formation Ledger'!A2063&lt;&gt;"",'Formation Ledger'!V2063=0),"PASS","FAIL")</f>
        <v>PASS</v>
      </c>
      <c r="F2084" s="9" t="s">
        <v>76</v>
      </c>
      <c r="G2084" s="6"/>
      <c r="H2084" s="6"/>
      <c r="I2084" s="6"/>
      <c r="J2084" s="6"/>
      <c r="K2084" s="6"/>
      <c r="L2084" s="6"/>
      <c r="M2084" s="6"/>
      <c r="N2084" s="6"/>
      <c r="O2084" s="6"/>
      <c r="P2084" s="6"/>
      <c r="Q2084" s="6"/>
      <c r="R2084" s="6"/>
      <c r="S2084" s="6"/>
      <c r="T2084" s="6"/>
      <c r="U2084" s="6"/>
      <c r="V2084" s="6"/>
      <c r="W2084" s="6"/>
      <c r="X2084" s="6"/>
      <c r="Y2084" s="6"/>
      <c r="Z2084" s="6"/>
    </row>
    <row r="2085" customFormat="false" ht="15" hidden="false" customHeight="false" outlineLevel="0" collapsed="false">
      <c r="A2085" s="9" t="s">
        <v>7928</v>
      </c>
      <c r="B2085" s="9" t="s">
        <v>5870</v>
      </c>
      <c r="C2085" s="9" t="s">
        <v>2320</v>
      </c>
      <c r="D2085" s="9" t="s">
        <v>5871</v>
      </c>
      <c r="E2085" s="9" t="str">
        <f aca="false">IF(AND('Formation Ledger'!A2064&lt;&gt;"",'Formation Ledger'!V2064=0),"PASS","FAIL")</f>
        <v>PASS</v>
      </c>
      <c r="F2085" s="9" t="s">
        <v>76</v>
      </c>
      <c r="G2085" s="6"/>
      <c r="H2085" s="6"/>
      <c r="I2085" s="6"/>
      <c r="J2085" s="6"/>
      <c r="K2085" s="6"/>
      <c r="L2085" s="6"/>
      <c r="M2085" s="6"/>
      <c r="N2085" s="6"/>
      <c r="O2085" s="6"/>
      <c r="P2085" s="6"/>
      <c r="Q2085" s="6"/>
      <c r="R2085" s="6"/>
      <c r="S2085" s="6"/>
      <c r="T2085" s="6"/>
      <c r="U2085" s="6"/>
      <c r="V2085" s="6"/>
      <c r="W2085" s="6"/>
      <c r="X2085" s="6"/>
      <c r="Y2085" s="6"/>
      <c r="Z2085" s="6"/>
    </row>
    <row r="2086" customFormat="false" ht="15" hidden="false" customHeight="false" outlineLevel="0" collapsed="false">
      <c r="A2086" s="9" t="s">
        <v>7929</v>
      </c>
      <c r="B2086" s="9" t="s">
        <v>5870</v>
      </c>
      <c r="C2086" s="9" t="s">
        <v>2321</v>
      </c>
      <c r="D2086" s="9" t="s">
        <v>5871</v>
      </c>
      <c r="E2086" s="9" t="str">
        <f aca="false">IF(AND('Formation Ledger'!A2065&lt;&gt;"",'Formation Ledger'!V2065=0),"PASS","FAIL")</f>
        <v>PASS</v>
      </c>
      <c r="F2086" s="9" t="s">
        <v>76</v>
      </c>
      <c r="G2086" s="6"/>
      <c r="H2086" s="6"/>
      <c r="I2086" s="6"/>
      <c r="J2086" s="6"/>
      <c r="K2086" s="6"/>
      <c r="L2086" s="6"/>
      <c r="M2086" s="6"/>
      <c r="N2086" s="6"/>
      <c r="O2086" s="6"/>
      <c r="P2086" s="6"/>
      <c r="Q2086" s="6"/>
      <c r="R2086" s="6"/>
      <c r="S2086" s="6"/>
      <c r="T2086" s="6"/>
      <c r="U2086" s="6"/>
      <c r="V2086" s="6"/>
      <c r="W2086" s="6"/>
      <c r="X2086" s="6"/>
      <c r="Y2086" s="6"/>
      <c r="Z2086" s="6"/>
    </row>
    <row r="2087" customFormat="false" ht="15" hidden="false" customHeight="false" outlineLevel="0" collapsed="false">
      <c r="A2087" s="9" t="s">
        <v>7930</v>
      </c>
      <c r="B2087" s="9" t="s">
        <v>5870</v>
      </c>
      <c r="C2087" s="9" t="s">
        <v>2322</v>
      </c>
      <c r="D2087" s="9" t="s">
        <v>5871</v>
      </c>
      <c r="E2087" s="9" t="str">
        <f aca="false">IF(AND('Formation Ledger'!A2066&lt;&gt;"",'Formation Ledger'!V2066=0),"PASS","FAIL")</f>
        <v>PASS</v>
      </c>
      <c r="F2087" s="9" t="s">
        <v>76</v>
      </c>
      <c r="G2087" s="6"/>
      <c r="H2087" s="6"/>
      <c r="I2087" s="6"/>
      <c r="J2087" s="6"/>
      <c r="K2087" s="6"/>
      <c r="L2087" s="6"/>
      <c r="M2087" s="6"/>
      <c r="N2087" s="6"/>
      <c r="O2087" s="6"/>
      <c r="P2087" s="6"/>
      <c r="Q2087" s="6"/>
      <c r="R2087" s="6"/>
      <c r="S2087" s="6"/>
      <c r="T2087" s="6"/>
      <c r="U2087" s="6"/>
      <c r="V2087" s="6"/>
      <c r="W2087" s="6"/>
      <c r="X2087" s="6"/>
      <c r="Y2087" s="6"/>
      <c r="Z2087" s="6"/>
    </row>
    <row r="2088" customFormat="false" ht="15" hidden="false" customHeight="false" outlineLevel="0" collapsed="false">
      <c r="A2088" s="9" t="s">
        <v>7931</v>
      </c>
      <c r="B2088" s="9" t="s">
        <v>5870</v>
      </c>
      <c r="C2088" s="9" t="s">
        <v>2323</v>
      </c>
      <c r="D2088" s="9" t="s">
        <v>5871</v>
      </c>
      <c r="E2088" s="9" t="str">
        <f aca="false">IF(AND('Formation Ledger'!A2067&lt;&gt;"",'Formation Ledger'!V2067=0),"PASS","FAIL")</f>
        <v>PASS</v>
      </c>
      <c r="F2088" s="9" t="s">
        <v>76</v>
      </c>
      <c r="G2088" s="6"/>
      <c r="H2088" s="6"/>
      <c r="I2088" s="6"/>
      <c r="J2088" s="6"/>
      <c r="K2088" s="6"/>
      <c r="L2088" s="6"/>
      <c r="M2088" s="6"/>
      <c r="N2088" s="6"/>
      <c r="O2088" s="6"/>
      <c r="P2088" s="6"/>
      <c r="Q2088" s="6"/>
      <c r="R2088" s="6"/>
      <c r="S2088" s="6"/>
      <c r="T2088" s="6"/>
      <c r="U2088" s="6"/>
      <c r="V2088" s="6"/>
      <c r="W2088" s="6"/>
      <c r="X2088" s="6"/>
      <c r="Y2088" s="6"/>
      <c r="Z2088" s="6"/>
    </row>
    <row r="2089" customFormat="false" ht="15" hidden="false" customHeight="false" outlineLevel="0" collapsed="false">
      <c r="A2089" s="9" t="s">
        <v>7932</v>
      </c>
      <c r="B2089" s="9" t="s">
        <v>5870</v>
      </c>
      <c r="C2089" s="9" t="s">
        <v>2324</v>
      </c>
      <c r="D2089" s="9" t="s">
        <v>5871</v>
      </c>
      <c r="E2089" s="9" t="str">
        <f aca="false">IF(AND('Formation Ledger'!A2068&lt;&gt;"",'Formation Ledger'!V2068=0),"PASS","FAIL")</f>
        <v>PASS</v>
      </c>
      <c r="F2089" s="9" t="s">
        <v>76</v>
      </c>
      <c r="G2089" s="6"/>
      <c r="H2089" s="6"/>
      <c r="I2089" s="6"/>
      <c r="J2089" s="6"/>
      <c r="K2089" s="6"/>
      <c r="L2089" s="6"/>
      <c r="M2089" s="6"/>
      <c r="N2089" s="6"/>
      <c r="O2089" s="6"/>
      <c r="P2089" s="6"/>
      <c r="Q2089" s="6"/>
      <c r="R2089" s="6"/>
      <c r="S2089" s="6"/>
      <c r="T2089" s="6"/>
      <c r="U2089" s="6"/>
      <c r="V2089" s="6"/>
      <c r="W2089" s="6"/>
      <c r="X2089" s="6"/>
      <c r="Y2089" s="6"/>
      <c r="Z2089" s="6"/>
    </row>
    <row r="2090" customFormat="false" ht="15" hidden="false" customHeight="false" outlineLevel="0" collapsed="false">
      <c r="A2090" s="9" t="s">
        <v>7933</v>
      </c>
      <c r="B2090" s="9" t="s">
        <v>5870</v>
      </c>
      <c r="C2090" s="9" t="s">
        <v>2325</v>
      </c>
      <c r="D2090" s="9" t="s">
        <v>5871</v>
      </c>
      <c r="E2090" s="9" t="str">
        <f aca="false">IF(AND('Formation Ledger'!A2069&lt;&gt;"",'Formation Ledger'!V2069=0),"PASS","FAIL")</f>
        <v>PASS</v>
      </c>
      <c r="F2090" s="9" t="s">
        <v>76</v>
      </c>
      <c r="G2090" s="6"/>
      <c r="H2090" s="6"/>
      <c r="I2090" s="6"/>
      <c r="J2090" s="6"/>
      <c r="K2090" s="6"/>
      <c r="L2090" s="6"/>
      <c r="M2090" s="6"/>
      <c r="N2090" s="6"/>
      <c r="O2090" s="6"/>
      <c r="P2090" s="6"/>
      <c r="Q2090" s="6"/>
      <c r="R2090" s="6"/>
      <c r="S2090" s="6"/>
      <c r="T2090" s="6"/>
      <c r="U2090" s="6"/>
      <c r="V2090" s="6"/>
      <c r="W2090" s="6"/>
      <c r="X2090" s="6"/>
      <c r="Y2090" s="6"/>
      <c r="Z2090" s="6"/>
    </row>
    <row r="2091" customFormat="false" ht="15" hidden="false" customHeight="false" outlineLevel="0" collapsed="false">
      <c r="A2091" s="9" t="s">
        <v>7934</v>
      </c>
      <c r="B2091" s="9" t="s">
        <v>5870</v>
      </c>
      <c r="C2091" s="9" t="s">
        <v>2326</v>
      </c>
      <c r="D2091" s="9" t="s">
        <v>5871</v>
      </c>
      <c r="E2091" s="9" t="str">
        <f aca="false">IF(AND('Formation Ledger'!A2070&lt;&gt;"",'Formation Ledger'!V2070=0),"PASS","FAIL")</f>
        <v>PASS</v>
      </c>
      <c r="F2091" s="9" t="s">
        <v>76</v>
      </c>
      <c r="G2091" s="6"/>
      <c r="H2091" s="6"/>
      <c r="I2091" s="6"/>
      <c r="J2091" s="6"/>
      <c r="K2091" s="6"/>
      <c r="L2091" s="6"/>
      <c r="M2091" s="6"/>
      <c r="N2091" s="6"/>
      <c r="O2091" s="6"/>
      <c r="P2091" s="6"/>
      <c r="Q2091" s="6"/>
      <c r="R2091" s="6"/>
      <c r="S2091" s="6"/>
      <c r="T2091" s="6"/>
      <c r="U2091" s="6"/>
      <c r="V2091" s="6"/>
      <c r="W2091" s="6"/>
      <c r="X2091" s="6"/>
      <c r="Y2091" s="6"/>
      <c r="Z2091" s="6"/>
    </row>
    <row r="2092" customFormat="false" ht="15" hidden="false" customHeight="false" outlineLevel="0" collapsed="false">
      <c r="A2092" s="9" t="s">
        <v>7935</v>
      </c>
      <c r="B2092" s="9" t="s">
        <v>5870</v>
      </c>
      <c r="C2092" s="9" t="s">
        <v>2327</v>
      </c>
      <c r="D2092" s="9" t="s">
        <v>5871</v>
      </c>
      <c r="E2092" s="9" t="str">
        <f aca="false">IF(AND('Formation Ledger'!A2071&lt;&gt;"",'Formation Ledger'!V2071=0),"PASS","FAIL")</f>
        <v>PASS</v>
      </c>
      <c r="F2092" s="9" t="s">
        <v>76</v>
      </c>
      <c r="G2092" s="6"/>
      <c r="H2092" s="6"/>
      <c r="I2092" s="6"/>
      <c r="J2092" s="6"/>
      <c r="K2092" s="6"/>
      <c r="L2092" s="6"/>
      <c r="M2092" s="6"/>
      <c r="N2092" s="6"/>
      <c r="O2092" s="6"/>
      <c r="P2092" s="6"/>
      <c r="Q2092" s="6"/>
      <c r="R2092" s="6"/>
      <c r="S2092" s="6"/>
      <c r="T2092" s="6"/>
      <c r="U2092" s="6"/>
      <c r="V2092" s="6"/>
      <c r="W2092" s="6"/>
      <c r="X2092" s="6"/>
      <c r="Y2092" s="6"/>
      <c r="Z2092" s="6"/>
    </row>
    <row r="2093" customFormat="false" ht="15" hidden="false" customHeight="false" outlineLevel="0" collapsed="false">
      <c r="A2093" s="9" t="s">
        <v>7936</v>
      </c>
      <c r="B2093" s="9" t="s">
        <v>5870</v>
      </c>
      <c r="C2093" s="9" t="s">
        <v>2328</v>
      </c>
      <c r="D2093" s="9" t="s">
        <v>5871</v>
      </c>
      <c r="E2093" s="9" t="str">
        <f aca="false">IF(AND('Formation Ledger'!A2072&lt;&gt;"",'Formation Ledger'!V2072=0),"PASS","FAIL")</f>
        <v>PASS</v>
      </c>
      <c r="F2093" s="9" t="s">
        <v>76</v>
      </c>
      <c r="G2093" s="6"/>
      <c r="H2093" s="6"/>
      <c r="I2093" s="6"/>
      <c r="J2093" s="6"/>
      <c r="K2093" s="6"/>
      <c r="L2093" s="6"/>
      <c r="M2093" s="6"/>
      <c r="N2093" s="6"/>
      <c r="O2093" s="6"/>
      <c r="P2093" s="6"/>
      <c r="Q2093" s="6"/>
      <c r="R2093" s="6"/>
      <c r="S2093" s="6"/>
      <c r="T2093" s="6"/>
      <c r="U2093" s="6"/>
      <c r="V2093" s="6"/>
      <c r="W2093" s="6"/>
      <c r="X2093" s="6"/>
      <c r="Y2093" s="6"/>
      <c r="Z2093" s="6"/>
    </row>
    <row r="2094" customFormat="false" ht="15" hidden="false" customHeight="false" outlineLevel="0" collapsed="false">
      <c r="A2094" s="9" t="s">
        <v>7937</v>
      </c>
      <c r="B2094" s="9" t="s">
        <v>5870</v>
      </c>
      <c r="C2094" s="9" t="s">
        <v>2329</v>
      </c>
      <c r="D2094" s="9" t="s">
        <v>5871</v>
      </c>
      <c r="E2094" s="9" t="str">
        <f aca="false">IF(AND('Formation Ledger'!A2073&lt;&gt;"",'Formation Ledger'!V2073=0),"PASS","FAIL")</f>
        <v>PASS</v>
      </c>
      <c r="F2094" s="9" t="s">
        <v>76</v>
      </c>
      <c r="G2094" s="6"/>
      <c r="H2094" s="6"/>
      <c r="I2094" s="6"/>
      <c r="J2094" s="6"/>
      <c r="K2094" s="6"/>
      <c r="L2094" s="6"/>
      <c r="M2094" s="6"/>
      <c r="N2094" s="6"/>
      <c r="O2094" s="6"/>
      <c r="P2094" s="6"/>
      <c r="Q2094" s="6"/>
      <c r="R2094" s="6"/>
      <c r="S2094" s="6"/>
      <c r="T2094" s="6"/>
      <c r="U2094" s="6"/>
      <c r="V2094" s="6"/>
      <c r="W2094" s="6"/>
      <c r="X2094" s="6"/>
      <c r="Y2094" s="6"/>
      <c r="Z2094" s="6"/>
    </row>
    <row r="2095" customFormat="false" ht="15" hidden="false" customHeight="false" outlineLevel="0" collapsed="false">
      <c r="A2095" s="9" t="s">
        <v>7938</v>
      </c>
      <c r="B2095" s="9" t="s">
        <v>5870</v>
      </c>
      <c r="C2095" s="9" t="s">
        <v>2330</v>
      </c>
      <c r="D2095" s="9" t="s">
        <v>5871</v>
      </c>
      <c r="E2095" s="9" t="str">
        <f aca="false">IF(AND('Formation Ledger'!A2074&lt;&gt;"",'Formation Ledger'!V2074=0),"PASS","FAIL")</f>
        <v>PASS</v>
      </c>
      <c r="F2095" s="9" t="s">
        <v>76</v>
      </c>
      <c r="G2095" s="6"/>
      <c r="H2095" s="6"/>
      <c r="I2095" s="6"/>
      <c r="J2095" s="6"/>
      <c r="K2095" s="6"/>
      <c r="L2095" s="6"/>
      <c r="M2095" s="6"/>
      <c r="N2095" s="6"/>
      <c r="O2095" s="6"/>
      <c r="P2095" s="6"/>
      <c r="Q2095" s="6"/>
      <c r="R2095" s="6"/>
      <c r="S2095" s="6"/>
      <c r="T2095" s="6"/>
      <c r="U2095" s="6"/>
      <c r="V2095" s="6"/>
      <c r="W2095" s="6"/>
      <c r="X2095" s="6"/>
      <c r="Y2095" s="6"/>
      <c r="Z2095" s="6"/>
    </row>
    <row r="2096" customFormat="false" ht="15" hidden="false" customHeight="false" outlineLevel="0" collapsed="false">
      <c r="A2096" s="9" t="s">
        <v>7939</v>
      </c>
      <c r="B2096" s="9" t="s">
        <v>5870</v>
      </c>
      <c r="C2096" s="9" t="s">
        <v>2331</v>
      </c>
      <c r="D2096" s="9" t="s">
        <v>5871</v>
      </c>
      <c r="E2096" s="9" t="str">
        <f aca="false">IF(AND('Formation Ledger'!A2075&lt;&gt;"",'Formation Ledger'!V2075=0),"PASS","FAIL")</f>
        <v>PASS</v>
      </c>
      <c r="F2096" s="9" t="s">
        <v>76</v>
      </c>
      <c r="G2096" s="6"/>
      <c r="H2096" s="6"/>
      <c r="I2096" s="6"/>
      <c r="J2096" s="6"/>
      <c r="K2096" s="6"/>
      <c r="L2096" s="6"/>
      <c r="M2096" s="6"/>
      <c r="N2096" s="6"/>
      <c r="O2096" s="6"/>
      <c r="P2096" s="6"/>
      <c r="Q2096" s="6"/>
      <c r="R2096" s="6"/>
      <c r="S2096" s="6"/>
      <c r="T2096" s="6"/>
      <c r="U2096" s="6"/>
      <c r="V2096" s="6"/>
      <c r="W2096" s="6"/>
      <c r="X2096" s="6"/>
      <c r="Y2096" s="6"/>
      <c r="Z2096" s="6"/>
    </row>
    <row r="2097" customFormat="false" ht="15" hidden="false" customHeight="false" outlineLevel="0" collapsed="false">
      <c r="A2097" s="9" t="s">
        <v>7940</v>
      </c>
      <c r="B2097" s="9" t="s">
        <v>5870</v>
      </c>
      <c r="C2097" s="9" t="s">
        <v>2332</v>
      </c>
      <c r="D2097" s="9" t="s">
        <v>5871</v>
      </c>
      <c r="E2097" s="9" t="str">
        <f aca="false">IF(AND('Formation Ledger'!A2076&lt;&gt;"",'Formation Ledger'!V2076=0),"PASS","FAIL")</f>
        <v>PASS</v>
      </c>
      <c r="F2097" s="9" t="s">
        <v>76</v>
      </c>
      <c r="G2097" s="6"/>
      <c r="H2097" s="6"/>
      <c r="I2097" s="6"/>
      <c r="J2097" s="6"/>
      <c r="K2097" s="6"/>
      <c r="L2097" s="6"/>
      <c r="M2097" s="6"/>
      <c r="N2097" s="6"/>
      <c r="O2097" s="6"/>
      <c r="P2097" s="6"/>
      <c r="Q2097" s="6"/>
      <c r="R2097" s="6"/>
      <c r="S2097" s="6"/>
      <c r="T2097" s="6"/>
      <c r="U2097" s="6"/>
      <c r="V2097" s="6"/>
      <c r="W2097" s="6"/>
      <c r="X2097" s="6"/>
      <c r="Y2097" s="6"/>
      <c r="Z2097" s="6"/>
    </row>
    <row r="2098" customFormat="false" ht="15" hidden="false" customHeight="false" outlineLevel="0" collapsed="false">
      <c r="A2098" s="9" t="s">
        <v>7941</v>
      </c>
      <c r="B2098" s="9" t="s">
        <v>5870</v>
      </c>
      <c r="C2098" s="9" t="s">
        <v>2333</v>
      </c>
      <c r="D2098" s="9" t="s">
        <v>5871</v>
      </c>
      <c r="E2098" s="9" t="str">
        <f aca="false">IF(AND('Formation Ledger'!A2077&lt;&gt;"",'Formation Ledger'!V2077=0),"PASS","FAIL")</f>
        <v>PASS</v>
      </c>
      <c r="F2098" s="9" t="s">
        <v>76</v>
      </c>
      <c r="G2098" s="6"/>
      <c r="H2098" s="6"/>
      <c r="I2098" s="6"/>
      <c r="J2098" s="6"/>
      <c r="K2098" s="6"/>
      <c r="L2098" s="6"/>
      <c r="M2098" s="6"/>
      <c r="N2098" s="6"/>
      <c r="O2098" s="6"/>
      <c r="P2098" s="6"/>
      <c r="Q2098" s="6"/>
      <c r="R2098" s="6"/>
      <c r="S2098" s="6"/>
      <c r="T2098" s="6"/>
      <c r="U2098" s="6"/>
      <c r="V2098" s="6"/>
      <c r="W2098" s="6"/>
      <c r="X2098" s="6"/>
      <c r="Y2098" s="6"/>
      <c r="Z2098" s="6"/>
    </row>
    <row r="2099" customFormat="false" ht="15" hidden="false" customHeight="false" outlineLevel="0" collapsed="false">
      <c r="A2099" s="9" t="s">
        <v>7942</v>
      </c>
      <c r="B2099" s="9" t="s">
        <v>5870</v>
      </c>
      <c r="C2099" s="9" t="s">
        <v>2334</v>
      </c>
      <c r="D2099" s="9" t="s">
        <v>5871</v>
      </c>
      <c r="E2099" s="9" t="str">
        <f aca="false">IF(AND('Formation Ledger'!A2078&lt;&gt;"",'Formation Ledger'!V2078=0),"PASS","FAIL")</f>
        <v>PASS</v>
      </c>
      <c r="F2099" s="9" t="s">
        <v>76</v>
      </c>
      <c r="G2099" s="6"/>
      <c r="H2099" s="6"/>
      <c r="I2099" s="6"/>
      <c r="J2099" s="6"/>
      <c r="K2099" s="6"/>
      <c r="L2099" s="6"/>
      <c r="M2099" s="6"/>
      <c r="N2099" s="6"/>
      <c r="O2099" s="6"/>
      <c r="P2099" s="6"/>
      <c r="Q2099" s="6"/>
      <c r="R2099" s="6"/>
      <c r="S2099" s="6"/>
      <c r="T2099" s="6"/>
      <c r="U2099" s="6"/>
      <c r="V2099" s="6"/>
      <c r="W2099" s="6"/>
      <c r="X2099" s="6"/>
      <c r="Y2099" s="6"/>
      <c r="Z2099" s="6"/>
    </row>
    <row r="2100" customFormat="false" ht="15" hidden="false" customHeight="false" outlineLevel="0" collapsed="false">
      <c r="A2100" s="9" t="s">
        <v>7943</v>
      </c>
      <c r="B2100" s="9" t="s">
        <v>5870</v>
      </c>
      <c r="C2100" s="9" t="s">
        <v>2335</v>
      </c>
      <c r="D2100" s="9" t="s">
        <v>5871</v>
      </c>
      <c r="E2100" s="9" t="str">
        <f aca="false">IF(AND('Formation Ledger'!A2079&lt;&gt;"",'Formation Ledger'!V2079=0),"PASS","FAIL")</f>
        <v>PASS</v>
      </c>
      <c r="F2100" s="9" t="s">
        <v>76</v>
      </c>
      <c r="G2100" s="6"/>
      <c r="H2100" s="6"/>
      <c r="I2100" s="6"/>
      <c r="J2100" s="6"/>
      <c r="K2100" s="6"/>
      <c r="L2100" s="6"/>
      <c r="M2100" s="6"/>
      <c r="N2100" s="6"/>
      <c r="O2100" s="6"/>
      <c r="P2100" s="6"/>
      <c r="Q2100" s="6"/>
      <c r="R2100" s="6"/>
      <c r="S2100" s="6"/>
      <c r="T2100" s="6"/>
      <c r="U2100" s="6"/>
      <c r="V2100" s="6"/>
      <c r="W2100" s="6"/>
      <c r="X2100" s="6"/>
      <c r="Y2100" s="6"/>
      <c r="Z2100" s="6"/>
    </row>
    <row r="2101" customFormat="false" ht="15" hidden="false" customHeight="false" outlineLevel="0" collapsed="false">
      <c r="A2101" s="9" t="s">
        <v>7944</v>
      </c>
      <c r="B2101" s="9" t="s">
        <v>5870</v>
      </c>
      <c r="C2101" s="9" t="s">
        <v>2336</v>
      </c>
      <c r="D2101" s="9" t="s">
        <v>5871</v>
      </c>
      <c r="E2101" s="9" t="str">
        <f aca="false">IF(AND('Formation Ledger'!A2080&lt;&gt;"",'Formation Ledger'!V2080=0),"PASS","FAIL")</f>
        <v>PASS</v>
      </c>
      <c r="F2101" s="9" t="s">
        <v>76</v>
      </c>
      <c r="G2101" s="6"/>
      <c r="H2101" s="6"/>
      <c r="I2101" s="6"/>
      <c r="J2101" s="6"/>
      <c r="K2101" s="6"/>
      <c r="L2101" s="6"/>
      <c r="M2101" s="6"/>
      <c r="N2101" s="6"/>
      <c r="O2101" s="6"/>
      <c r="P2101" s="6"/>
      <c r="Q2101" s="6"/>
      <c r="R2101" s="6"/>
      <c r="S2101" s="6"/>
      <c r="T2101" s="6"/>
      <c r="U2101" s="6"/>
      <c r="V2101" s="6"/>
      <c r="W2101" s="6"/>
      <c r="X2101" s="6"/>
      <c r="Y2101" s="6"/>
      <c r="Z2101" s="6"/>
    </row>
    <row r="2102" customFormat="false" ht="15" hidden="false" customHeight="false" outlineLevel="0" collapsed="false">
      <c r="A2102" s="9" t="s">
        <v>7945</v>
      </c>
      <c r="B2102" s="9" t="s">
        <v>5870</v>
      </c>
      <c r="C2102" s="9" t="s">
        <v>2337</v>
      </c>
      <c r="D2102" s="9" t="s">
        <v>5871</v>
      </c>
      <c r="E2102" s="9" t="str">
        <f aca="false">IF(AND('Formation Ledger'!A2081&lt;&gt;"",'Formation Ledger'!V2081=0),"PASS","FAIL")</f>
        <v>PASS</v>
      </c>
      <c r="F2102" s="9" t="s">
        <v>76</v>
      </c>
      <c r="G2102" s="6"/>
      <c r="H2102" s="6"/>
      <c r="I2102" s="6"/>
      <c r="J2102" s="6"/>
      <c r="K2102" s="6"/>
      <c r="L2102" s="6"/>
      <c r="M2102" s="6"/>
      <c r="N2102" s="6"/>
      <c r="O2102" s="6"/>
      <c r="P2102" s="6"/>
      <c r="Q2102" s="6"/>
      <c r="R2102" s="6"/>
      <c r="S2102" s="6"/>
      <c r="T2102" s="6"/>
      <c r="U2102" s="6"/>
      <c r="V2102" s="6"/>
      <c r="W2102" s="6"/>
      <c r="X2102" s="6"/>
      <c r="Y2102" s="6"/>
      <c r="Z2102" s="6"/>
    </row>
    <row r="2103" customFormat="false" ht="15" hidden="false" customHeight="false" outlineLevel="0" collapsed="false">
      <c r="A2103" s="9" t="s">
        <v>7946</v>
      </c>
      <c r="B2103" s="9" t="s">
        <v>5870</v>
      </c>
      <c r="C2103" s="9" t="s">
        <v>2338</v>
      </c>
      <c r="D2103" s="9" t="s">
        <v>5871</v>
      </c>
      <c r="E2103" s="9" t="str">
        <f aca="false">IF(AND('Formation Ledger'!A2082&lt;&gt;"",'Formation Ledger'!V2082=0),"PASS","FAIL")</f>
        <v>PASS</v>
      </c>
      <c r="F2103" s="9" t="s">
        <v>76</v>
      </c>
      <c r="G2103" s="6"/>
      <c r="H2103" s="6"/>
      <c r="I2103" s="6"/>
      <c r="J2103" s="6"/>
      <c r="K2103" s="6"/>
      <c r="L2103" s="6"/>
      <c r="M2103" s="6"/>
      <c r="N2103" s="6"/>
      <c r="O2103" s="6"/>
      <c r="P2103" s="6"/>
      <c r="Q2103" s="6"/>
      <c r="R2103" s="6"/>
      <c r="S2103" s="6"/>
      <c r="T2103" s="6"/>
      <c r="U2103" s="6"/>
      <c r="V2103" s="6"/>
      <c r="W2103" s="6"/>
      <c r="X2103" s="6"/>
      <c r="Y2103" s="6"/>
      <c r="Z2103" s="6"/>
    </row>
    <row r="2104" customFormat="false" ht="15" hidden="false" customHeight="false" outlineLevel="0" collapsed="false">
      <c r="A2104" s="9" t="s">
        <v>7947</v>
      </c>
      <c r="B2104" s="9" t="s">
        <v>5870</v>
      </c>
      <c r="C2104" s="9" t="s">
        <v>2339</v>
      </c>
      <c r="D2104" s="9" t="s">
        <v>5871</v>
      </c>
      <c r="E2104" s="9" t="str">
        <f aca="false">IF(AND('Formation Ledger'!A2083&lt;&gt;"",'Formation Ledger'!V2083=0),"PASS","FAIL")</f>
        <v>PASS</v>
      </c>
      <c r="F2104" s="9" t="s">
        <v>76</v>
      </c>
      <c r="G2104" s="6"/>
      <c r="H2104" s="6"/>
      <c r="I2104" s="6"/>
      <c r="J2104" s="6"/>
      <c r="K2104" s="6"/>
      <c r="L2104" s="6"/>
      <c r="M2104" s="6"/>
      <c r="N2104" s="6"/>
      <c r="O2104" s="6"/>
      <c r="P2104" s="6"/>
      <c r="Q2104" s="6"/>
      <c r="R2104" s="6"/>
      <c r="S2104" s="6"/>
      <c r="T2104" s="6"/>
      <c r="U2104" s="6"/>
      <c r="V2104" s="6"/>
      <c r="W2104" s="6"/>
      <c r="X2104" s="6"/>
      <c r="Y2104" s="6"/>
      <c r="Z2104" s="6"/>
    </row>
    <row r="2105" customFormat="false" ht="15" hidden="false" customHeight="false" outlineLevel="0" collapsed="false">
      <c r="A2105" s="9" t="s">
        <v>7948</v>
      </c>
      <c r="B2105" s="9" t="s">
        <v>5870</v>
      </c>
      <c r="C2105" s="9" t="s">
        <v>2340</v>
      </c>
      <c r="D2105" s="9" t="s">
        <v>5871</v>
      </c>
      <c r="E2105" s="9" t="str">
        <f aca="false">IF(AND('Formation Ledger'!A2084&lt;&gt;"",'Formation Ledger'!V2084=0),"PASS","FAIL")</f>
        <v>PASS</v>
      </c>
      <c r="F2105" s="9" t="s">
        <v>76</v>
      </c>
      <c r="G2105" s="6"/>
      <c r="H2105" s="6"/>
      <c r="I2105" s="6"/>
      <c r="J2105" s="6"/>
      <c r="K2105" s="6"/>
      <c r="L2105" s="6"/>
      <c r="M2105" s="6"/>
      <c r="N2105" s="6"/>
      <c r="O2105" s="6"/>
      <c r="P2105" s="6"/>
      <c r="Q2105" s="6"/>
      <c r="R2105" s="6"/>
      <c r="S2105" s="6"/>
      <c r="T2105" s="6"/>
      <c r="U2105" s="6"/>
      <c r="V2105" s="6"/>
      <c r="W2105" s="6"/>
      <c r="X2105" s="6"/>
      <c r="Y2105" s="6"/>
      <c r="Z2105" s="6"/>
    </row>
    <row r="2106" customFormat="false" ht="15" hidden="false" customHeight="false" outlineLevel="0" collapsed="false">
      <c r="A2106" s="9" t="s">
        <v>7949</v>
      </c>
      <c r="B2106" s="9" t="s">
        <v>5870</v>
      </c>
      <c r="C2106" s="9" t="s">
        <v>2341</v>
      </c>
      <c r="D2106" s="9" t="s">
        <v>5871</v>
      </c>
      <c r="E2106" s="9" t="str">
        <f aca="false">IF(AND('Formation Ledger'!A2085&lt;&gt;"",'Formation Ledger'!V2085=0),"PASS","FAIL")</f>
        <v>PASS</v>
      </c>
      <c r="F2106" s="9" t="s">
        <v>76</v>
      </c>
      <c r="G2106" s="6"/>
      <c r="H2106" s="6"/>
      <c r="I2106" s="6"/>
      <c r="J2106" s="6"/>
      <c r="K2106" s="6"/>
      <c r="L2106" s="6"/>
      <c r="M2106" s="6"/>
      <c r="N2106" s="6"/>
      <c r="O2106" s="6"/>
      <c r="P2106" s="6"/>
      <c r="Q2106" s="6"/>
      <c r="R2106" s="6"/>
      <c r="S2106" s="6"/>
      <c r="T2106" s="6"/>
      <c r="U2106" s="6"/>
      <c r="V2106" s="6"/>
      <c r="W2106" s="6"/>
      <c r="X2106" s="6"/>
      <c r="Y2106" s="6"/>
      <c r="Z2106" s="6"/>
    </row>
    <row r="2107" customFormat="false" ht="15" hidden="false" customHeight="false" outlineLevel="0" collapsed="false">
      <c r="A2107" s="9" t="s">
        <v>7950</v>
      </c>
      <c r="B2107" s="9" t="s">
        <v>5870</v>
      </c>
      <c r="C2107" s="9" t="s">
        <v>2342</v>
      </c>
      <c r="D2107" s="9" t="s">
        <v>5871</v>
      </c>
      <c r="E2107" s="9" t="str">
        <f aca="false">IF(AND('Formation Ledger'!A2086&lt;&gt;"",'Formation Ledger'!V2086=0),"PASS","FAIL")</f>
        <v>PASS</v>
      </c>
      <c r="F2107" s="9" t="s">
        <v>76</v>
      </c>
      <c r="G2107" s="6"/>
      <c r="H2107" s="6"/>
      <c r="I2107" s="6"/>
      <c r="J2107" s="6"/>
      <c r="K2107" s="6"/>
      <c r="L2107" s="6"/>
      <c r="M2107" s="6"/>
      <c r="N2107" s="6"/>
      <c r="O2107" s="6"/>
      <c r="P2107" s="6"/>
      <c r="Q2107" s="6"/>
      <c r="R2107" s="6"/>
      <c r="S2107" s="6"/>
      <c r="T2107" s="6"/>
      <c r="U2107" s="6"/>
      <c r="V2107" s="6"/>
      <c r="W2107" s="6"/>
      <c r="X2107" s="6"/>
      <c r="Y2107" s="6"/>
      <c r="Z2107" s="6"/>
    </row>
    <row r="2108" customFormat="false" ht="15" hidden="false" customHeight="false" outlineLevel="0" collapsed="false">
      <c r="A2108" s="9" t="s">
        <v>7951</v>
      </c>
      <c r="B2108" s="9" t="s">
        <v>5870</v>
      </c>
      <c r="C2108" s="9" t="s">
        <v>2343</v>
      </c>
      <c r="D2108" s="9" t="s">
        <v>5871</v>
      </c>
      <c r="E2108" s="9" t="str">
        <f aca="false">IF(AND('Formation Ledger'!A2087&lt;&gt;"",'Formation Ledger'!V2087=0),"PASS","FAIL")</f>
        <v>PASS</v>
      </c>
      <c r="F2108" s="9" t="s">
        <v>76</v>
      </c>
      <c r="G2108" s="6"/>
      <c r="H2108" s="6"/>
      <c r="I2108" s="6"/>
      <c r="J2108" s="6"/>
      <c r="K2108" s="6"/>
      <c r="L2108" s="6"/>
      <c r="M2108" s="6"/>
      <c r="N2108" s="6"/>
      <c r="O2108" s="6"/>
      <c r="P2108" s="6"/>
      <c r="Q2108" s="6"/>
      <c r="R2108" s="6"/>
      <c r="S2108" s="6"/>
      <c r="T2108" s="6"/>
      <c r="U2108" s="6"/>
      <c r="V2108" s="6"/>
      <c r="W2108" s="6"/>
      <c r="X2108" s="6"/>
      <c r="Y2108" s="6"/>
      <c r="Z2108" s="6"/>
    </row>
    <row r="2109" customFormat="false" ht="15" hidden="false" customHeight="false" outlineLevel="0" collapsed="false">
      <c r="A2109" s="9" t="s">
        <v>7952</v>
      </c>
      <c r="B2109" s="9" t="s">
        <v>5870</v>
      </c>
      <c r="C2109" s="9" t="s">
        <v>2344</v>
      </c>
      <c r="D2109" s="9" t="s">
        <v>5871</v>
      </c>
      <c r="E2109" s="9" t="str">
        <f aca="false">IF(AND('Formation Ledger'!A2088&lt;&gt;"",'Formation Ledger'!V2088=0),"PASS","FAIL")</f>
        <v>PASS</v>
      </c>
      <c r="F2109" s="9" t="s">
        <v>76</v>
      </c>
      <c r="G2109" s="6"/>
      <c r="H2109" s="6"/>
      <c r="I2109" s="6"/>
      <c r="J2109" s="6"/>
      <c r="K2109" s="6"/>
      <c r="L2109" s="6"/>
      <c r="M2109" s="6"/>
      <c r="N2109" s="6"/>
      <c r="O2109" s="6"/>
      <c r="P2109" s="6"/>
      <c r="Q2109" s="6"/>
      <c r="R2109" s="6"/>
      <c r="S2109" s="6"/>
      <c r="T2109" s="6"/>
      <c r="U2109" s="6"/>
      <c r="V2109" s="6"/>
      <c r="W2109" s="6"/>
      <c r="X2109" s="6"/>
      <c r="Y2109" s="6"/>
      <c r="Z2109" s="6"/>
    </row>
    <row r="2110" customFormat="false" ht="15" hidden="false" customHeight="false" outlineLevel="0" collapsed="false">
      <c r="A2110" s="9" t="s">
        <v>7953</v>
      </c>
      <c r="B2110" s="9" t="s">
        <v>5870</v>
      </c>
      <c r="C2110" s="9" t="s">
        <v>2345</v>
      </c>
      <c r="D2110" s="9" t="s">
        <v>5871</v>
      </c>
      <c r="E2110" s="9" t="str">
        <f aca="false">IF(AND('Formation Ledger'!A2089&lt;&gt;"",'Formation Ledger'!V2089=0),"PASS","FAIL")</f>
        <v>PASS</v>
      </c>
      <c r="F2110" s="9" t="s">
        <v>76</v>
      </c>
      <c r="G2110" s="6"/>
      <c r="H2110" s="6"/>
      <c r="I2110" s="6"/>
      <c r="J2110" s="6"/>
      <c r="K2110" s="6"/>
      <c r="L2110" s="6"/>
      <c r="M2110" s="6"/>
      <c r="N2110" s="6"/>
      <c r="O2110" s="6"/>
      <c r="P2110" s="6"/>
      <c r="Q2110" s="6"/>
      <c r="R2110" s="6"/>
      <c r="S2110" s="6"/>
      <c r="T2110" s="6"/>
      <c r="U2110" s="6"/>
      <c r="V2110" s="6"/>
      <c r="W2110" s="6"/>
      <c r="X2110" s="6"/>
      <c r="Y2110" s="6"/>
      <c r="Z2110" s="6"/>
    </row>
    <row r="2111" customFormat="false" ht="15" hidden="false" customHeight="false" outlineLevel="0" collapsed="false">
      <c r="A2111" s="9" t="s">
        <v>7954</v>
      </c>
      <c r="B2111" s="9" t="s">
        <v>5870</v>
      </c>
      <c r="C2111" s="9" t="s">
        <v>2346</v>
      </c>
      <c r="D2111" s="9" t="s">
        <v>5871</v>
      </c>
      <c r="E2111" s="9" t="str">
        <f aca="false">IF(AND('Formation Ledger'!A2090&lt;&gt;"",'Formation Ledger'!V2090=0),"PASS","FAIL")</f>
        <v>PASS</v>
      </c>
      <c r="F2111" s="9" t="s">
        <v>76</v>
      </c>
      <c r="G2111" s="6"/>
      <c r="H2111" s="6"/>
      <c r="I2111" s="6"/>
      <c r="J2111" s="6"/>
      <c r="K2111" s="6"/>
      <c r="L2111" s="6"/>
      <c r="M2111" s="6"/>
      <c r="N2111" s="6"/>
      <c r="O2111" s="6"/>
      <c r="P2111" s="6"/>
      <c r="Q2111" s="6"/>
      <c r="R2111" s="6"/>
      <c r="S2111" s="6"/>
      <c r="T2111" s="6"/>
      <c r="U2111" s="6"/>
      <c r="V2111" s="6"/>
      <c r="W2111" s="6"/>
      <c r="X2111" s="6"/>
      <c r="Y2111" s="6"/>
      <c r="Z2111" s="6"/>
    </row>
    <row r="2112" customFormat="false" ht="15" hidden="false" customHeight="false" outlineLevel="0" collapsed="false">
      <c r="A2112" s="9" t="s">
        <v>7955</v>
      </c>
      <c r="B2112" s="9" t="s">
        <v>5870</v>
      </c>
      <c r="C2112" s="9" t="s">
        <v>2347</v>
      </c>
      <c r="D2112" s="9" t="s">
        <v>5871</v>
      </c>
      <c r="E2112" s="9" t="str">
        <f aca="false">IF(AND('Formation Ledger'!A2091&lt;&gt;"",'Formation Ledger'!V2091=0),"PASS","FAIL")</f>
        <v>PASS</v>
      </c>
      <c r="F2112" s="9" t="s">
        <v>76</v>
      </c>
      <c r="G2112" s="6"/>
      <c r="H2112" s="6"/>
      <c r="I2112" s="6"/>
      <c r="J2112" s="6"/>
      <c r="K2112" s="6"/>
      <c r="L2112" s="6"/>
      <c r="M2112" s="6"/>
      <c r="N2112" s="6"/>
      <c r="O2112" s="6"/>
      <c r="P2112" s="6"/>
      <c r="Q2112" s="6"/>
      <c r="R2112" s="6"/>
      <c r="S2112" s="6"/>
      <c r="T2112" s="6"/>
      <c r="U2112" s="6"/>
      <c r="V2112" s="6"/>
      <c r="W2112" s="6"/>
      <c r="X2112" s="6"/>
      <c r="Y2112" s="6"/>
      <c r="Z2112" s="6"/>
    </row>
    <row r="2113" customFormat="false" ht="15" hidden="false" customHeight="false" outlineLevel="0" collapsed="false">
      <c r="A2113" s="9" t="s">
        <v>7956</v>
      </c>
      <c r="B2113" s="9" t="s">
        <v>5870</v>
      </c>
      <c r="C2113" s="9" t="s">
        <v>2348</v>
      </c>
      <c r="D2113" s="9" t="s">
        <v>5871</v>
      </c>
      <c r="E2113" s="9" t="str">
        <f aca="false">IF(AND('Formation Ledger'!A2092&lt;&gt;"",'Formation Ledger'!V2092=0),"PASS","FAIL")</f>
        <v>PASS</v>
      </c>
      <c r="F2113" s="9" t="s">
        <v>76</v>
      </c>
      <c r="G2113" s="6"/>
      <c r="H2113" s="6"/>
      <c r="I2113" s="6"/>
      <c r="J2113" s="6"/>
      <c r="K2113" s="6"/>
      <c r="L2113" s="6"/>
      <c r="M2113" s="6"/>
      <c r="N2113" s="6"/>
      <c r="O2113" s="6"/>
      <c r="P2113" s="6"/>
      <c r="Q2113" s="6"/>
      <c r="R2113" s="6"/>
      <c r="S2113" s="6"/>
      <c r="T2113" s="6"/>
      <c r="U2113" s="6"/>
      <c r="V2113" s="6"/>
      <c r="W2113" s="6"/>
      <c r="X2113" s="6"/>
      <c r="Y2113" s="6"/>
      <c r="Z2113" s="6"/>
    </row>
    <row r="2114" customFormat="false" ht="15" hidden="false" customHeight="false" outlineLevel="0" collapsed="false">
      <c r="A2114" s="9" t="s">
        <v>7957</v>
      </c>
      <c r="B2114" s="9" t="s">
        <v>5870</v>
      </c>
      <c r="C2114" s="9" t="s">
        <v>2349</v>
      </c>
      <c r="D2114" s="9" t="s">
        <v>5871</v>
      </c>
      <c r="E2114" s="9" t="str">
        <f aca="false">IF(AND('Formation Ledger'!A2093&lt;&gt;"",'Formation Ledger'!V2093=0),"PASS","FAIL")</f>
        <v>PASS</v>
      </c>
      <c r="F2114" s="9" t="s">
        <v>76</v>
      </c>
      <c r="G2114" s="6"/>
      <c r="H2114" s="6"/>
      <c r="I2114" s="6"/>
      <c r="J2114" s="6"/>
      <c r="K2114" s="6"/>
      <c r="L2114" s="6"/>
      <c r="M2114" s="6"/>
      <c r="N2114" s="6"/>
      <c r="O2114" s="6"/>
      <c r="P2114" s="6"/>
      <c r="Q2114" s="6"/>
      <c r="R2114" s="6"/>
      <c r="S2114" s="6"/>
      <c r="T2114" s="6"/>
      <c r="U2114" s="6"/>
      <c r="V2114" s="6"/>
      <c r="W2114" s="6"/>
      <c r="X2114" s="6"/>
      <c r="Y2114" s="6"/>
      <c r="Z2114" s="6"/>
    </row>
    <row r="2115" customFormat="false" ht="15" hidden="false" customHeight="false" outlineLevel="0" collapsed="false">
      <c r="A2115" s="9" t="s">
        <v>7958</v>
      </c>
      <c r="B2115" s="9" t="s">
        <v>5870</v>
      </c>
      <c r="C2115" s="9" t="s">
        <v>2350</v>
      </c>
      <c r="D2115" s="9" t="s">
        <v>5871</v>
      </c>
      <c r="E2115" s="9" t="str">
        <f aca="false">IF(AND('Formation Ledger'!A2094&lt;&gt;"",'Formation Ledger'!V2094=0),"PASS","FAIL")</f>
        <v>PASS</v>
      </c>
      <c r="F2115" s="9" t="s">
        <v>76</v>
      </c>
      <c r="G2115" s="6"/>
      <c r="H2115" s="6"/>
      <c r="I2115" s="6"/>
      <c r="J2115" s="6"/>
      <c r="K2115" s="6"/>
      <c r="L2115" s="6"/>
      <c r="M2115" s="6"/>
      <c r="N2115" s="6"/>
      <c r="O2115" s="6"/>
      <c r="P2115" s="6"/>
      <c r="Q2115" s="6"/>
      <c r="R2115" s="6"/>
      <c r="S2115" s="6"/>
      <c r="T2115" s="6"/>
      <c r="U2115" s="6"/>
      <c r="V2115" s="6"/>
      <c r="W2115" s="6"/>
      <c r="X2115" s="6"/>
      <c r="Y2115" s="6"/>
      <c r="Z2115" s="6"/>
    </row>
    <row r="2116" customFormat="false" ht="15" hidden="false" customHeight="false" outlineLevel="0" collapsed="false">
      <c r="A2116" s="9" t="s">
        <v>7959</v>
      </c>
      <c r="B2116" s="9" t="s">
        <v>5870</v>
      </c>
      <c r="C2116" s="9" t="s">
        <v>2351</v>
      </c>
      <c r="D2116" s="9" t="s">
        <v>5871</v>
      </c>
      <c r="E2116" s="9" t="str">
        <f aca="false">IF(AND('Formation Ledger'!A2095&lt;&gt;"",'Formation Ledger'!V2095=0),"PASS","FAIL")</f>
        <v>PASS</v>
      </c>
      <c r="F2116" s="9" t="s">
        <v>76</v>
      </c>
      <c r="G2116" s="6"/>
      <c r="H2116" s="6"/>
      <c r="I2116" s="6"/>
      <c r="J2116" s="6"/>
      <c r="K2116" s="6"/>
      <c r="L2116" s="6"/>
      <c r="M2116" s="6"/>
      <c r="N2116" s="6"/>
      <c r="O2116" s="6"/>
      <c r="P2116" s="6"/>
      <c r="Q2116" s="6"/>
      <c r="R2116" s="6"/>
      <c r="S2116" s="6"/>
      <c r="T2116" s="6"/>
      <c r="U2116" s="6"/>
      <c r="V2116" s="6"/>
      <c r="W2116" s="6"/>
      <c r="X2116" s="6"/>
      <c r="Y2116" s="6"/>
      <c r="Z2116" s="6"/>
    </row>
    <row r="2117" customFormat="false" ht="15" hidden="false" customHeight="false" outlineLevel="0" collapsed="false">
      <c r="A2117" s="9" t="s">
        <v>7960</v>
      </c>
      <c r="B2117" s="9" t="s">
        <v>5870</v>
      </c>
      <c r="C2117" s="9" t="s">
        <v>2352</v>
      </c>
      <c r="D2117" s="9" t="s">
        <v>5871</v>
      </c>
      <c r="E2117" s="9" t="str">
        <f aca="false">IF(AND('Formation Ledger'!A2096&lt;&gt;"",'Formation Ledger'!V2096=0),"PASS","FAIL")</f>
        <v>PASS</v>
      </c>
      <c r="F2117" s="9" t="s">
        <v>76</v>
      </c>
      <c r="G2117" s="6"/>
      <c r="H2117" s="6"/>
      <c r="I2117" s="6"/>
      <c r="J2117" s="6"/>
      <c r="K2117" s="6"/>
      <c r="L2117" s="6"/>
      <c r="M2117" s="6"/>
      <c r="N2117" s="6"/>
      <c r="O2117" s="6"/>
      <c r="P2117" s="6"/>
      <c r="Q2117" s="6"/>
      <c r="R2117" s="6"/>
      <c r="S2117" s="6"/>
      <c r="T2117" s="6"/>
      <c r="U2117" s="6"/>
      <c r="V2117" s="6"/>
      <c r="W2117" s="6"/>
      <c r="X2117" s="6"/>
      <c r="Y2117" s="6"/>
      <c r="Z2117" s="6"/>
    </row>
    <row r="2118" customFormat="false" ht="15" hidden="false" customHeight="false" outlineLevel="0" collapsed="false">
      <c r="A2118" s="9" t="s">
        <v>7961</v>
      </c>
      <c r="B2118" s="9" t="s">
        <v>5870</v>
      </c>
      <c r="C2118" s="9" t="s">
        <v>2353</v>
      </c>
      <c r="D2118" s="9" t="s">
        <v>5871</v>
      </c>
      <c r="E2118" s="9" t="str">
        <f aca="false">IF(AND('Formation Ledger'!A2097&lt;&gt;"",'Formation Ledger'!V2097=0),"PASS","FAIL")</f>
        <v>PASS</v>
      </c>
      <c r="F2118" s="9" t="s">
        <v>76</v>
      </c>
      <c r="G2118" s="6"/>
      <c r="H2118" s="6"/>
      <c r="I2118" s="6"/>
      <c r="J2118" s="6"/>
      <c r="K2118" s="6"/>
      <c r="L2118" s="6"/>
      <c r="M2118" s="6"/>
      <c r="N2118" s="6"/>
      <c r="O2118" s="6"/>
      <c r="P2118" s="6"/>
      <c r="Q2118" s="6"/>
      <c r="R2118" s="6"/>
      <c r="S2118" s="6"/>
      <c r="T2118" s="6"/>
      <c r="U2118" s="6"/>
      <c r="V2118" s="6"/>
      <c r="W2118" s="6"/>
      <c r="X2118" s="6"/>
      <c r="Y2118" s="6"/>
      <c r="Z2118" s="6"/>
    </row>
    <row r="2119" customFormat="false" ht="15" hidden="false" customHeight="false" outlineLevel="0" collapsed="false">
      <c r="A2119" s="9" t="s">
        <v>7962</v>
      </c>
      <c r="B2119" s="9" t="s">
        <v>5870</v>
      </c>
      <c r="C2119" s="9" t="s">
        <v>2354</v>
      </c>
      <c r="D2119" s="9" t="s">
        <v>5871</v>
      </c>
      <c r="E2119" s="9" t="str">
        <f aca="false">IF(AND('Formation Ledger'!A2098&lt;&gt;"",'Formation Ledger'!V2098=0),"PASS","FAIL")</f>
        <v>PASS</v>
      </c>
      <c r="F2119" s="9" t="s">
        <v>76</v>
      </c>
      <c r="G2119" s="6"/>
      <c r="H2119" s="6"/>
      <c r="I2119" s="6"/>
      <c r="J2119" s="6"/>
      <c r="K2119" s="6"/>
      <c r="L2119" s="6"/>
      <c r="M2119" s="6"/>
      <c r="N2119" s="6"/>
      <c r="O2119" s="6"/>
      <c r="P2119" s="6"/>
      <c r="Q2119" s="6"/>
      <c r="R2119" s="6"/>
      <c r="S2119" s="6"/>
      <c r="T2119" s="6"/>
      <c r="U2119" s="6"/>
      <c r="V2119" s="6"/>
      <c r="W2119" s="6"/>
      <c r="X2119" s="6"/>
      <c r="Y2119" s="6"/>
      <c r="Z2119" s="6"/>
    </row>
    <row r="2120" customFormat="false" ht="15" hidden="false" customHeight="false" outlineLevel="0" collapsed="false">
      <c r="A2120" s="9" t="s">
        <v>7963</v>
      </c>
      <c r="B2120" s="9" t="s">
        <v>5870</v>
      </c>
      <c r="C2120" s="9" t="s">
        <v>2355</v>
      </c>
      <c r="D2120" s="9" t="s">
        <v>5871</v>
      </c>
      <c r="E2120" s="9" t="str">
        <f aca="false">IF(AND('Formation Ledger'!A2099&lt;&gt;"",'Formation Ledger'!V2099=0),"PASS","FAIL")</f>
        <v>PASS</v>
      </c>
      <c r="F2120" s="9" t="s">
        <v>76</v>
      </c>
      <c r="G2120" s="6"/>
      <c r="H2120" s="6"/>
      <c r="I2120" s="6"/>
      <c r="J2120" s="6"/>
      <c r="K2120" s="6"/>
      <c r="L2120" s="6"/>
      <c r="M2120" s="6"/>
      <c r="N2120" s="6"/>
      <c r="O2120" s="6"/>
      <c r="P2120" s="6"/>
      <c r="Q2120" s="6"/>
      <c r="R2120" s="6"/>
      <c r="S2120" s="6"/>
      <c r="T2120" s="6"/>
      <c r="U2120" s="6"/>
      <c r="V2120" s="6"/>
      <c r="W2120" s="6"/>
      <c r="X2120" s="6"/>
      <c r="Y2120" s="6"/>
      <c r="Z2120" s="6"/>
    </row>
    <row r="2121" customFormat="false" ht="15" hidden="false" customHeight="false" outlineLevel="0" collapsed="false">
      <c r="A2121" s="9" t="s">
        <v>7964</v>
      </c>
      <c r="B2121" s="9" t="s">
        <v>5870</v>
      </c>
      <c r="C2121" s="9" t="s">
        <v>2356</v>
      </c>
      <c r="D2121" s="9" t="s">
        <v>5871</v>
      </c>
      <c r="E2121" s="9" t="str">
        <f aca="false">IF(AND('Formation Ledger'!A2100&lt;&gt;"",'Formation Ledger'!V2100=0),"PASS","FAIL")</f>
        <v>PASS</v>
      </c>
      <c r="F2121" s="9" t="s">
        <v>76</v>
      </c>
      <c r="G2121" s="6"/>
      <c r="H2121" s="6"/>
      <c r="I2121" s="6"/>
      <c r="J2121" s="6"/>
      <c r="K2121" s="6"/>
      <c r="L2121" s="6"/>
      <c r="M2121" s="6"/>
      <c r="N2121" s="6"/>
      <c r="O2121" s="6"/>
      <c r="P2121" s="6"/>
      <c r="Q2121" s="6"/>
      <c r="R2121" s="6"/>
      <c r="S2121" s="6"/>
      <c r="T2121" s="6"/>
      <c r="U2121" s="6"/>
      <c r="V2121" s="6"/>
      <c r="W2121" s="6"/>
      <c r="X2121" s="6"/>
      <c r="Y2121" s="6"/>
      <c r="Z2121" s="6"/>
    </row>
    <row r="2122" customFormat="false" ht="15" hidden="false" customHeight="false" outlineLevel="0" collapsed="false">
      <c r="A2122" s="9" t="s">
        <v>7965</v>
      </c>
      <c r="B2122" s="9" t="s">
        <v>5870</v>
      </c>
      <c r="C2122" s="9" t="s">
        <v>2357</v>
      </c>
      <c r="D2122" s="9" t="s">
        <v>5871</v>
      </c>
      <c r="E2122" s="9" t="str">
        <f aca="false">IF(AND('Formation Ledger'!A2101&lt;&gt;"",'Formation Ledger'!V2101=0),"PASS","FAIL")</f>
        <v>PASS</v>
      </c>
      <c r="F2122" s="9" t="s">
        <v>76</v>
      </c>
      <c r="G2122" s="6"/>
      <c r="H2122" s="6"/>
      <c r="I2122" s="6"/>
      <c r="J2122" s="6"/>
      <c r="K2122" s="6"/>
      <c r="L2122" s="6"/>
      <c r="M2122" s="6"/>
      <c r="N2122" s="6"/>
      <c r="O2122" s="6"/>
      <c r="P2122" s="6"/>
      <c r="Q2122" s="6"/>
      <c r="R2122" s="6"/>
      <c r="S2122" s="6"/>
      <c r="T2122" s="6"/>
      <c r="U2122" s="6"/>
      <c r="V2122" s="6"/>
      <c r="W2122" s="6"/>
      <c r="X2122" s="6"/>
      <c r="Y2122" s="6"/>
      <c r="Z2122" s="6"/>
    </row>
    <row r="2123" customFormat="false" ht="15" hidden="false" customHeight="false" outlineLevel="0" collapsed="false">
      <c r="A2123" s="9" t="s">
        <v>7966</v>
      </c>
      <c r="B2123" s="9" t="s">
        <v>5870</v>
      </c>
      <c r="C2123" s="9" t="s">
        <v>2358</v>
      </c>
      <c r="D2123" s="9" t="s">
        <v>5871</v>
      </c>
      <c r="E2123" s="9" t="str">
        <f aca="false">IF(AND('Formation Ledger'!A2102&lt;&gt;"",'Formation Ledger'!V2102=0),"PASS","FAIL")</f>
        <v>PASS</v>
      </c>
      <c r="F2123" s="9" t="s">
        <v>76</v>
      </c>
      <c r="G2123" s="6"/>
      <c r="H2123" s="6"/>
      <c r="I2123" s="6"/>
      <c r="J2123" s="6"/>
      <c r="K2123" s="6"/>
      <c r="L2123" s="6"/>
      <c r="M2123" s="6"/>
      <c r="N2123" s="6"/>
      <c r="O2123" s="6"/>
      <c r="P2123" s="6"/>
      <c r="Q2123" s="6"/>
      <c r="R2123" s="6"/>
      <c r="S2123" s="6"/>
      <c r="T2123" s="6"/>
      <c r="U2123" s="6"/>
      <c r="V2123" s="6"/>
      <c r="W2123" s="6"/>
      <c r="X2123" s="6"/>
      <c r="Y2123" s="6"/>
      <c r="Z2123" s="6"/>
    </row>
    <row r="2124" customFormat="false" ht="15" hidden="false" customHeight="false" outlineLevel="0" collapsed="false">
      <c r="A2124" s="9" t="s">
        <v>7967</v>
      </c>
      <c r="B2124" s="9" t="s">
        <v>5870</v>
      </c>
      <c r="C2124" s="9" t="s">
        <v>2359</v>
      </c>
      <c r="D2124" s="9" t="s">
        <v>5871</v>
      </c>
      <c r="E2124" s="9" t="str">
        <f aca="false">IF(AND('Formation Ledger'!A2103&lt;&gt;"",'Formation Ledger'!V2103=0),"PASS","FAIL")</f>
        <v>PASS</v>
      </c>
      <c r="F2124" s="9" t="s">
        <v>76</v>
      </c>
      <c r="G2124" s="6"/>
      <c r="H2124" s="6"/>
      <c r="I2124" s="6"/>
      <c r="J2124" s="6"/>
      <c r="K2124" s="6"/>
      <c r="L2124" s="6"/>
      <c r="M2124" s="6"/>
      <c r="N2124" s="6"/>
      <c r="O2124" s="6"/>
      <c r="P2124" s="6"/>
      <c r="Q2124" s="6"/>
      <c r="R2124" s="6"/>
      <c r="S2124" s="6"/>
      <c r="T2124" s="6"/>
      <c r="U2124" s="6"/>
      <c r="V2124" s="6"/>
      <c r="W2124" s="6"/>
      <c r="X2124" s="6"/>
      <c r="Y2124" s="6"/>
      <c r="Z2124" s="6"/>
    </row>
    <row r="2125" customFormat="false" ht="15" hidden="false" customHeight="false" outlineLevel="0" collapsed="false">
      <c r="A2125" s="9" t="s">
        <v>7968</v>
      </c>
      <c r="B2125" s="9" t="s">
        <v>5870</v>
      </c>
      <c r="C2125" s="9" t="s">
        <v>2360</v>
      </c>
      <c r="D2125" s="9" t="s">
        <v>5871</v>
      </c>
      <c r="E2125" s="9" t="str">
        <f aca="false">IF(AND('Formation Ledger'!A2104&lt;&gt;"",'Formation Ledger'!V2104=0),"PASS","FAIL")</f>
        <v>PASS</v>
      </c>
      <c r="F2125" s="9" t="s">
        <v>76</v>
      </c>
      <c r="G2125" s="6"/>
      <c r="H2125" s="6"/>
      <c r="I2125" s="6"/>
      <c r="J2125" s="6"/>
      <c r="K2125" s="6"/>
      <c r="L2125" s="6"/>
      <c r="M2125" s="6"/>
      <c r="N2125" s="6"/>
      <c r="O2125" s="6"/>
      <c r="P2125" s="6"/>
      <c r="Q2125" s="6"/>
      <c r="R2125" s="6"/>
      <c r="S2125" s="6"/>
      <c r="T2125" s="6"/>
      <c r="U2125" s="6"/>
      <c r="V2125" s="6"/>
      <c r="W2125" s="6"/>
      <c r="X2125" s="6"/>
      <c r="Y2125" s="6"/>
      <c r="Z2125" s="6"/>
    </row>
    <row r="2126" customFormat="false" ht="15" hidden="false" customHeight="false" outlineLevel="0" collapsed="false">
      <c r="A2126" s="9" t="s">
        <v>7969</v>
      </c>
      <c r="B2126" s="9" t="s">
        <v>5870</v>
      </c>
      <c r="C2126" s="9" t="s">
        <v>2361</v>
      </c>
      <c r="D2126" s="9" t="s">
        <v>5871</v>
      </c>
      <c r="E2126" s="9" t="str">
        <f aca="false">IF(AND('Formation Ledger'!A2105&lt;&gt;"",'Formation Ledger'!V2105=0),"PASS","FAIL")</f>
        <v>PASS</v>
      </c>
      <c r="F2126" s="9" t="s">
        <v>76</v>
      </c>
      <c r="G2126" s="6"/>
      <c r="H2126" s="6"/>
      <c r="I2126" s="6"/>
      <c r="J2126" s="6"/>
      <c r="K2126" s="6"/>
      <c r="L2126" s="6"/>
      <c r="M2126" s="6"/>
      <c r="N2126" s="6"/>
      <c r="O2126" s="6"/>
      <c r="P2126" s="6"/>
      <c r="Q2126" s="6"/>
      <c r="R2126" s="6"/>
      <c r="S2126" s="6"/>
      <c r="T2126" s="6"/>
      <c r="U2126" s="6"/>
      <c r="V2126" s="6"/>
      <c r="W2126" s="6"/>
      <c r="X2126" s="6"/>
      <c r="Y2126" s="6"/>
      <c r="Z2126" s="6"/>
    </row>
    <row r="2127" customFormat="false" ht="15" hidden="false" customHeight="false" outlineLevel="0" collapsed="false">
      <c r="A2127" s="9" t="s">
        <v>7970</v>
      </c>
      <c r="B2127" s="9" t="s">
        <v>5870</v>
      </c>
      <c r="C2127" s="9" t="s">
        <v>2362</v>
      </c>
      <c r="D2127" s="9" t="s">
        <v>5871</v>
      </c>
      <c r="E2127" s="9" t="str">
        <f aca="false">IF(AND('Formation Ledger'!A2106&lt;&gt;"",'Formation Ledger'!V2106=0),"PASS","FAIL")</f>
        <v>PASS</v>
      </c>
      <c r="F2127" s="9" t="s">
        <v>76</v>
      </c>
      <c r="G2127" s="6"/>
      <c r="H2127" s="6"/>
      <c r="I2127" s="6"/>
      <c r="J2127" s="6"/>
      <c r="K2127" s="6"/>
      <c r="L2127" s="6"/>
      <c r="M2127" s="6"/>
      <c r="N2127" s="6"/>
      <c r="O2127" s="6"/>
      <c r="P2127" s="6"/>
      <c r="Q2127" s="6"/>
      <c r="R2127" s="6"/>
      <c r="S2127" s="6"/>
      <c r="T2127" s="6"/>
      <c r="U2127" s="6"/>
      <c r="V2127" s="6"/>
      <c r="W2127" s="6"/>
      <c r="X2127" s="6"/>
      <c r="Y2127" s="6"/>
      <c r="Z2127" s="6"/>
    </row>
    <row r="2128" customFormat="false" ht="15" hidden="false" customHeight="false" outlineLevel="0" collapsed="false">
      <c r="A2128" s="9" t="s">
        <v>7971</v>
      </c>
      <c r="B2128" s="9" t="s">
        <v>5870</v>
      </c>
      <c r="C2128" s="9" t="s">
        <v>2363</v>
      </c>
      <c r="D2128" s="9" t="s">
        <v>5871</v>
      </c>
      <c r="E2128" s="9" t="str">
        <f aca="false">IF(AND('Formation Ledger'!A2107&lt;&gt;"",'Formation Ledger'!V2107=0),"PASS","FAIL")</f>
        <v>PASS</v>
      </c>
      <c r="F2128" s="9" t="s">
        <v>76</v>
      </c>
      <c r="G2128" s="6"/>
      <c r="H2128" s="6"/>
      <c r="I2128" s="6"/>
      <c r="J2128" s="6"/>
      <c r="K2128" s="6"/>
      <c r="L2128" s="6"/>
      <c r="M2128" s="6"/>
      <c r="N2128" s="6"/>
      <c r="O2128" s="6"/>
      <c r="P2128" s="6"/>
      <c r="Q2128" s="6"/>
      <c r="R2128" s="6"/>
      <c r="S2128" s="6"/>
      <c r="T2128" s="6"/>
      <c r="U2128" s="6"/>
      <c r="V2128" s="6"/>
      <c r="W2128" s="6"/>
      <c r="X2128" s="6"/>
      <c r="Y2128" s="6"/>
      <c r="Z2128" s="6"/>
    </row>
    <row r="2129" customFormat="false" ht="15" hidden="false" customHeight="false" outlineLevel="0" collapsed="false">
      <c r="A2129" s="9" t="s">
        <v>7972</v>
      </c>
      <c r="B2129" s="9" t="s">
        <v>5870</v>
      </c>
      <c r="C2129" s="9" t="s">
        <v>2364</v>
      </c>
      <c r="D2129" s="9" t="s">
        <v>5871</v>
      </c>
      <c r="E2129" s="9" t="str">
        <f aca="false">IF(AND('Formation Ledger'!A2108&lt;&gt;"",'Formation Ledger'!V2108=0),"PASS","FAIL")</f>
        <v>PASS</v>
      </c>
      <c r="F2129" s="9" t="s">
        <v>76</v>
      </c>
      <c r="G2129" s="6"/>
      <c r="H2129" s="6"/>
      <c r="I2129" s="6"/>
      <c r="J2129" s="6"/>
      <c r="K2129" s="6"/>
      <c r="L2129" s="6"/>
      <c r="M2129" s="6"/>
      <c r="N2129" s="6"/>
      <c r="O2129" s="6"/>
      <c r="P2129" s="6"/>
      <c r="Q2129" s="6"/>
      <c r="R2129" s="6"/>
      <c r="S2129" s="6"/>
      <c r="T2129" s="6"/>
      <c r="U2129" s="6"/>
      <c r="V2129" s="6"/>
      <c r="W2129" s="6"/>
      <c r="X2129" s="6"/>
      <c r="Y2129" s="6"/>
      <c r="Z2129" s="6"/>
    </row>
    <row r="2130" customFormat="false" ht="15" hidden="false" customHeight="false" outlineLevel="0" collapsed="false">
      <c r="A2130" s="9" t="s">
        <v>7973</v>
      </c>
      <c r="B2130" s="9" t="s">
        <v>5870</v>
      </c>
      <c r="C2130" s="9" t="s">
        <v>2365</v>
      </c>
      <c r="D2130" s="9" t="s">
        <v>5871</v>
      </c>
      <c r="E2130" s="9" t="str">
        <f aca="false">IF(AND('Formation Ledger'!A2109&lt;&gt;"",'Formation Ledger'!V2109=0),"PASS","FAIL")</f>
        <v>PASS</v>
      </c>
      <c r="F2130" s="9" t="s">
        <v>76</v>
      </c>
      <c r="G2130" s="6"/>
      <c r="H2130" s="6"/>
      <c r="I2130" s="6"/>
      <c r="J2130" s="6"/>
      <c r="K2130" s="6"/>
      <c r="L2130" s="6"/>
      <c r="M2130" s="6"/>
      <c r="N2130" s="6"/>
      <c r="O2130" s="6"/>
      <c r="P2130" s="6"/>
      <c r="Q2130" s="6"/>
      <c r="R2130" s="6"/>
      <c r="S2130" s="6"/>
      <c r="T2130" s="6"/>
      <c r="U2130" s="6"/>
      <c r="V2130" s="6"/>
      <c r="W2130" s="6"/>
      <c r="X2130" s="6"/>
      <c r="Y2130" s="6"/>
      <c r="Z2130" s="6"/>
    </row>
    <row r="2131" customFormat="false" ht="15" hidden="false" customHeight="false" outlineLevel="0" collapsed="false">
      <c r="A2131" s="9" t="s">
        <v>7974</v>
      </c>
      <c r="B2131" s="9" t="s">
        <v>5870</v>
      </c>
      <c r="C2131" s="9" t="s">
        <v>2366</v>
      </c>
      <c r="D2131" s="9" t="s">
        <v>5871</v>
      </c>
      <c r="E2131" s="9" t="str">
        <f aca="false">IF(AND('Formation Ledger'!A2110&lt;&gt;"",'Formation Ledger'!V2110=0),"PASS","FAIL")</f>
        <v>PASS</v>
      </c>
      <c r="F2131" s="9" t="s">
        <v>76</v>
      </c>
      <c r="G2131" s="6"/>
      <c r="H2131" s="6"/>
      <c r="I2131" s="6"/>
      <c r="J2131" s="6"/>
      <c r="K2131" s="6"/>
      <c r="L2131" s="6"/>
      <c r="M2131" s="6"/>
      <c r="N2131" s="6"/>
      <c r="O2131" s="6"/>
      <c r="P2131" s="6"/>
      <c r="Q2131" s="6"/>
      <c r="R2131" s="6"/>
      <c r="S2131" s="6"/>
      <c r="T2131" s="6"/>
      <c r="U2131" s="6"/>
      <c r="V2131" s="6"/>
      <c r="W2131" s="6"/>
      <c r="X2131" s="6"/>
      <c r="Y2131" s="6"/>
      <c r="Z2131" s="6"/>
    </row>
    <row r="2132" customFormat="false" ht="15" hidden="false" customHeight="false" outlineLevel="0" collapsed="false">
      <c r="A2132" s="9" t="s">
        <v>7975</v>
      </c>
      <c r="B2132" s="9" t="s">
        <v>5870</v>
      </c>
      <c r="C2132" s="9" t="s">
        <v>2367</v>
      </c>
      <c r="D2132" s="9" t="s">
        <v>5871</v>
      </c>
      <c r="E2132" s="9" t="str">
        <f aca="false">IF(AND('Formation Ledger'!A2111&lt;&gt;"",'Formation Ledger'!V2111=0),"PASS","FAIL")</f>
        <v>PASS</v>
      </c>
      <c r="F2132" s="9" t="s">
        <v>76</v>
      </c>
      <c r="G2132" s="6"/>
      <c r="H2132" s="6"/>
      <c r="I2132" s="6"/>
      <c r="J2132" s="6"/>
      <c r="K2132" s="6"/>
      <c r="L2132" s="6"/>
      <c r="M2132" s="6"/>
      <c r="N2132" s="6"/>
      <c r="O2132" s="6"/>
      <c r="P2132" s="6"/>
      <c r="Q2132" s="6"/>
      <c r="R2132" s="6"/>
      <c r="S2132" s="6"/>
      <c r="T2132" s="6"/>
      <c r="U2132" s="6"/>
      <c r="V2132" s="6"/>
      <c r="W2132" s="6"/>
      <c r="X2132" s="6"/>
      <c r="Y2132" s="6"/>
      <c r="Z2132" s="6"/>
    </row>
    <row r="2133" customFormat="false" ht="15" hidden="false" customHeight="false" outlineLevel="0" collapsed="false">
      <c r="A2133" s="9" t="s">
        <v>7976</v>
      </c>
      <c r="B2133" s="9" t="s">
        <v>5870</v>
      </c>
      <c r="C2133" s="9" t="s">
        <v>2368</v>
      </c>
      <c r="D2133" s="9" t="s">
        <v>5871</v>
      </c>
      <c r="E2133" s="9" t="str">
        <f aca="false">IF(AND('Formation Ledger'!A2112&lt;&gt;"",'Formation Ledger'!V2112=0),"PASS","FAIL")</f>
        <v>PASS</v>
      </c>
      <c r="F2133" s="9" t="s">
        <v>76</v>
      </c>
      <c r="G2133" s="6"/>
      <c r="H2133" s="6"/>
      <c r="I2133" s="6"/>
      <c r="J2133" s="6"/>
      <c r="K2133" s="6"/>
      <c r="L2133" s="6"/>
      <c r="M2133" s="6"/>
      <c r="N2133" s="6"/>
      <c r="O2133" s="6"/>
      <c r="P2133" s="6"/>
      <c r="Q2133" s="6"/>
      <c r="R2133" s="6"/>
      <c r="S2133" s="6"/>
      <c r="T2133" s="6"/>
      <c r="U2133" s="6"/>
      <c r="V2133" s="6"/>
      <c r="W2133" s="6"/>
      <c r="X2133" s="6"/>
      <c r="Y2133" s="6"/>
      <c r="Z2133" s="6"/>
    </row>
    <row r="2134" customFormat="false" ht="15" hidden="false" customHeight="false" outlineLevel="0" collapsed="false">
      <c r="A2134" s="9" t="s">
        <v>7977</v>
      </c>
      <c r="B2134" s="9" t="s">
        <v>5870</v>
      </c>
      <c r="C2134" s="9" t="s">
        <v>2369</v>
      </c>
      <c r="D2134" s="9" t="s">
        <v>5871</v>
      </c>
      <c r="E2134" s="9" t="str">
        <f aca="false">IF(AND('Formation Ledger'!A2113&lt;&gt;"",'Formation Ledger'!V2113=0),"PASS","FAIL")</f>
        <v>PASS</v>
      </c>
      <c r="F2134" s="9" t="s">
        <v>76</v>
      </c>
      <c r="G2134" s="6"/>
      <c r="H2134" s="6"/>
      <c r="I2134" s="6"/>
      <c r="J2134" s="6"/>
      <c r="K2134" s="6"/>
      <c r="L2134" s="6"/>
      <c r="M2134" s="6"/>
      <c r="N2134" s="6"/>
      <c r="O2134" s="6"/>
      <c r="P2134" s="6"/>
      <c r="Q2134" s="6"/>
      <c r="R2134" s="6"/>
      <c r="S2134" s="6"/>
      <c r="T2134" s="6"/>
      <c r="U2134" s="6"/>
      <c r="V2134" s="6"/>
      <c r="W2134" s="6"/>
      <c r="X2134" s="6"/>
      <c r="Y2134" s="6"/>
      <c r="Z2134" s="6"/>
    </row>
    <row r="2135" customFormat="false" ht="15" hidden="false" customHeight="false" outlineLevel="0" collapsed="false">
      <c r="A2135" s="9" t="s">
        <v>7978</v>
      </c>
      <c r="B2135" s="9" t="s">
        <v>5870</v>
      </c>
      <c r="C2135" s="9" t="s">
        <v>2370</v>
      </c>
      <c r="D2135" s="9" t="s">
        <v>5871</v>
      </c>
      <c r="E2135" s="9" t="str">
        <f aca="false">IF(AND('Formation Ledger'!A2114&lt;&gt;"",'Formation Ledger'!V2114=0),"PASS","FAIL")</f>
        <v>PASS</v>
      </c>
      <c r="F2135" s="9" t="s">
        <v>76</v>
      </c>
      <c r="G2135" s="6"/>
      <c r="H2135" s="6"/>
      <c r="I2135" s="6"/>
      <c r="J2135" s="6"/>
      <c r="K2135" s="6"/>
      <c r="L2135" s="6"/>
      <c r="M2135" s="6"/>
      <c r="N2135" s="6"/>
      <c r="O2135" s="6"/>
      <c r="P2135" s="6"/>
      <c r="Q2135" s="6"/>
      <c r="R2135" s="6"/>
      <c r="S2135" s="6"/>
      <c r="T2135" s="6"/>
      <c r="U2135" s="6"/>
      <c r="V2135" s="6"/>
      <c r="W2135" s="6"/>
      <c r="X2135" s="6"/>
      <c r="Y2135" s="6"/>
      <c r="Z2135" s="6"/>
    </row>
    <row r="2136" customFormat="false" ht="15" hidden="false" customHeight="false" outlineLevel="0" collapsed="false">
      <c r="A2136" s="9" t="s">
        <v>7979</v>
      </c>
      <c r="B2136" s="9" t="s">
        <v>5870</v>
      </c>
      <c r="C2136" s="9" t="s">
        <v>2371</v>
      </c>
      <c r="D2136" s="9" t="s">
        <v>5871</v>
      </c>
      <c r="E2136" s="9" t="str">
        <f aca="false">IF(AND('Formation Ledger'!A2115&lt;&gt;"",'Formation Ledger'!V2115=0),"PASS","FAIL")</f>
        <v>PASS</v>
      </c>
      <c r="F2136" s="9" t="s">
        <v>76</v>
      </c>
      <c r="G2136" s="6"/>
      <c r="H2136" s="6"/>
      <c r="I2136" s="6"/>
      <c r="J2136" s="6"/>
      <c r="K2136" s="6"/>
      <c r="L2136" s="6"/>
      <c r="M2136" s="6"/>
      <c r="N2136" s="6"/>
      <c r="O2136" s="6"/>
      <c r="P2136" s="6"/>
      <c r="Q2136" s="6"/>
      <c r="R2136" s="6"/>
      <c r="S2136" s="6"/>
      <c r="T2136" s="6"/>
      <c r="U2136" s="6"/>
      <c r="V2136" s="6"/>
      <c r="W2136" s="6"/>
      <c r="X2136" s="6"/>
      <c r="Y2136" s="6"/>
      <c r="Z2136" s="6"/>
    </row>
    <row r="2137" customFormat="false" ht="15" hidden="false" customHeight="false" outlineLevel="0" collapsed="false">
      <c r="A2137" s="9" t="s">
        <v>7980</v>
      </c>
      <c r="B2137" s="9" t="s">
        <v>5870</v>
      </c>
      <c r="C2137" s="9" t="s">
        <v>2372</v>
      </c>
      <c r="D2137" s="9" t="s">
        <v>5871</v>
      </c>
      <c r="E2137" s="9" t="str">
        <f aca="false">IF(AND('Formation Ledger'!A2116&lt;&gt;"",'Formation Ledger'!V2116=0),"PASS","FAIL")</f>
        <v>PASS</v>
      </c>
      <c r="F2137" s="9" t="s">
        <v>76</v>
      </c>
      <c r="G2137" s="6"/>
      <c r="H2137" s="6"/>
      <c r="I2137" s="6"/>
      <c r="J2137" s="6"/>
      <c r="K2137" s="6"/>
      <c r="L2137" s="6"/>
      <c r="M2137" s="6"/>
      <c r="N2137" s="6"/>
      <c r="O2137" s="6"/>
      <c r="P2137" s="6"/>
      <c r="Q2137" s="6"/>
      <c r="R2137" s="6"/>
      <c r="S2137" s="6"/>
      <c r="T2137" s="6"/>
      <c r="U2137" s="6"/>
      <c r="V2137" s="6"/>
      <c r="W2137" s="6"/>
      <c r="X2137" s="6"/>
      <c r="Y2137" s="6"/>
      <c r="Z2137" s="6"/>
    </row>
    <row r="2138" customFormat="false" ht="15" hidden="false" customHeight="false" outlineLevel="0" collapsed="false">
      <c r="A2138" s="9" t="s">
        <v>7981</v>
      </c>
      <c r="B2138" s="9" t="s">
        <v>5870</v>
      </c>
      <c r="C2138" s="9" t="s">
        <v>2373</v>
      </c>
      <c r="D2138" s="9" t="s">
        <v>5871</v>
      </c>
      <c r="E2138" s="9" t="str">
        <f aca="false">IF(AND('Formation Ledger'!A2117&lt;&gt;"",'Formation Ledger'!V2117=0),"PASS","FAIL")</f>
        <v>PASS</v>
      </c>
      <c r="F2138" s="9" t="s">
        <v>76</v>
      </c>
      <c r="G2138" s="6"/>
      <c r="H2138" s="6"/>
      <c r="I2138" s="6"/>
      <c r="J2138" s="6"/>
      <c r="K2138" s="6"/>
      <c r="L2138" s="6"/>
      <c r="M2138" s="6"/>
      <c r="N2138" s="6"/>
      <c r="O2138" s="6"/>
      <c r="P2138" s="6"/>
      <c r="Q2138" s="6"/>
      <c r="R2138" s="6"/>
      <c r="S2138" s="6"/>
      <c r="T2138" s="6"/>
      <c r="U2138" s="6"/>
      <c r="V2138" s="6"/>
      <c r="W2138" s="6"/>
      <c r="X2138" s="6"/>
      <c r="Y2138" s="6"/>
      <c r="Z2138" s="6"/>
    </row>
    <row r="2139" customFormat="false" ht="15" hidden="false" customHeight="false" outlineLevel="0" collapsed="false">
      <c r="A2139" s="9" t="s">
        <v>7982</v>
      </c>
      <c r="B2139" s="9" t="s">
        <v>5870</v>
      </c>
      <c r="C2139" s="9" t="s">
        <v>2374</v>
      </c>
      <c r="D2139" s="9" t="s">
        <v>5871</v>
      </c>
      <c r="E2139" s="9" t="str">
        <f aca="false">IF(AND('Formation Ledger'!A2118&lt;&gt;"",'Formation Ledger'!V2118=0),"PASS","FAIL")</f>
        <v>PASS</v>
      </c>
      <c r="F2139" s="9" t="s">
        <v>76</v>
      </c>
      <c r="G2139" s="6"/>
      <c r="H2139" s="6"/>
      <c r="I2139" s="6"/>
      <c r="J2139" s="6"/>
      <c r="K2139" s="6"/>
      <c r="L2139" s="6"/>
      <c r="M2139" s="6"/>
      <c r="N2139" s="6"/>
      <c r="O2139" s="6"/>
      <c r="P2139" s="6"/>
      <c r="Q2139" s="6"/>
      <c r="R2139" s="6"/>
      <c r="S2139" s="6"/>
      <c r="T2139" s="6"/>
      <c r="U2139" s="6"/>
      <c r="V2139" s="6"/>
      <c r="W2139" s="6"/>
      <c r="X2139" s="6"/>
      <c r="Y2139" s="6"/>
      <c r="Z2139" s="6"/>
    </row>
    <row r="2140" customFormat="false" ht="15" hidden="false" customHeight="false" outlineLevel="0" collapsed="false">
      <c r="A2140" s="9" t="s">
        <v>7983</v>
      </c>
      <c r="B2140" s="9" t="s">
        <v>5870</v>
      </c>
      <c r="C2140" s="9" t="s">
        <v>2375</v>
      </c>
      <c r="D2140" s="9" t="s">
        <v>5871</v>
      </c>
      <c r="E2140" s="9" t="str">
        <f aca="false">IF(AND('Formation Ledger'!A2119&lt;&gt;"",'Formation Ledger'!V2119=0),"PASS","FAIL")</f>
        <v>PASS</v>
      </c>
      <c r="F2140" s="9" t="s">
        <v>76</v>
      </c>
      <c r="G2140" s="6"/>
      <c r="H2140" s="6"/>
      <c r="I2140" s="6"/>
      <c r="J2140" s="6"/>
      <c r="K2140" s="6"/>
      <c r="L2140" s="6"/>
      <c r="M2140" s="6"/>
      <c r="N2140" s="6"/>
      <c r="O2140" s="6"/>
      <c r="P2140" s="6"/>
      <c r="Q2140" s="6"/>
      <c r="R2140" s="6"/>
      <c r="S2140" s="6"/>
      <c r="T2140" s="6"/>
      <c r="U2140" s="6"/>
      <c r="V2140" s="6"/>
      <c r="W2140" s="6"/>
      <c r="X2140" s="6"/>
      <c r="Y2140" s="6"/>
      <c r="Z2140" s="6"/>
    </row>
    <row r="2141" customFormat="false" ht="15" hidden="false" customHeight="false" outlineLevel="0" collapsed="false">
      <c r="A2141" s="9" t="s">
        <v>7984</v>
      </c>
      <c r="B2141" s="9" t="s">
        <v>5870</v>
      </c>
      <c r="C2141" s="9" t="s">
        <v>2376</v>
      </c>
      <c r="D2141" s="9" t="s">
        <v>5871</v>
      </c>
      <c r="E2141" s="9" t="str">
        <f aca="false">IF(AND('Formation Ledger'!A2120&lt;&gt;"",'Formation Ledger'!V2120=0),"PASS","FAIL")</f>
        <v>PASS</v>
      </c>
      <c r="F2141" s="9" t="s">
        <v>76</v>
      </c>
      <c r="G2141" s="6"/>
      <c r="H2141" s="6"/>
      <c r="I2141" s="6"/>
      <c r="J2141" s="6"/>
      <c r="K2141" s="6"/>
      <c r="L2141" s="6"/>
      <c r="M2141" s="6"/>
      <c r="N2141" s="6"/>
      <c r="O2141" s="6"/>
      <c r="P2141" s="6"/>
      <c r="Q2141" s="6"/>
      <c r="R2141" s="6"/>
      <c r="S2141" s="6"/>
      <c r="T2141" s="6"/>
      <c r="U2141" s="6"/>
      <c r="V2141" s="6"/>
      <c r="W2141" s="6"/>
      <c r="X2141" s="6"/>
      <c r="Y2141" s="6"/>
      <c r="Z2141" s="6"/>
    </row>
    <row r="2142" customFormat="false" ht="15" hidden="false" customHeight="false" outlineLevel="0" collapsed="false">
      <c r="A2142" s="9" t="s">
        <v>7985</v>
      </c>
      <c r="B2142" s="9" t="s">
        <v>5870</v>
      </c>
      <c r="C2142" s="9" t="s">
        <v>2377</v>
      </c>
      <c r="D2142" s="9" t="s">
        <v>5871</v>
      </c>
      <c r="E2142" s="9" t="str">
        <f aca="false">IF(AND('Formation Ledger'!A2121&lt;&gt;"",'Formation Ledger'!V2121=0),"PASS","FAIL")</f>
        <v>PASS</v>
      </c>
      <c r="F2142" s="9" t="s">
        <v>76</v>
      </c>
      <c r="G2142" s="6"/>
      <c r="H2142" s="6"/>
      <c r="I2142" s="6"/>
      <c r="J2142" s="6"/>
      <c r="K2142" s="6"/>
      <c r="L2142" s="6"/>
      <c r="M2142" s="6"/>
      <c r="N2142" s="6"/>
      <c r="O2142" s="6"/>
      <c r="P2142" s="6"/>
      <c r="Q2142" s="6"/>
      <c r="R2142" s="6"/>
      <c r="S2142" s="6"/>
      <c r="T2142" s="6"/>
      <c r="U2142" s="6"/>
      <c r="V2142" s="6"/>
      <c r="W2142" s="6"/>
      <c r="X2142" s="6"/>
      <c r="Y2142" s="6"/>
      <c r="Z2142" s="6"/>
    </row>
    <row r="2143" customFormat="false" ht="15" hidden="false" customHeight="false" outlineLevel="0" collapsed="false">
      <c r="A2143" s="9" t="s">
        <v>7986</v>
      </c>
      <c r="B2143" s="9" t="s">
        <v>5870</v>
      </c>
      <c r="C2143" s="9" t="s">
        <v>2378</v>
      </c>
      <c r="D2143" s="9" t="s">
        <v>5871</v>
      </c>
      <c r="E2143" s="9" t="str">
        <f aca="false">IF(AND('Formation Ledger'!A2122&lt;&gt;"",'Formation Ledger'!V2122=0),"PASS","FAIL")</f>
        <v>PASS</v>
      </c>
      <c r="F2143" s="9" t="s">
        <v>76</v>
      </c>
      <c r="G2143" s="6"/>
      <c r="H2143" s="6"/>
      <c r="I2143" s="6"/>
      <c r="J2143" s="6"/>
      <c r="K2143" s="6"/>
      <c r="L2143" s="6"/>
      <c r="M2143" s="6"/>
      <c r="N2143" s="6"/>
      <c r="O2143" s="6"/>
      <c r="P2143" s="6"/>
      <c r="Q2143" s="6"/>
      <c r="R2143" s="6"/>
      <c r="S2143" s="6"/>
      <c r="T2143" s="6"/>
      <c r="U2143" s="6"/>
      <c r="V2143" s="6"/>
      <c r="W2143" s="6"/>
      <c r="X2143" s="6"/>
      <c r="Y2143" s="6"/>
      <c r="Z2143" s="6"/>
    </row>
    <row r="2144" customFormat="false" ht="15" hidden="false" customHeight="false" outlineLevel="0" collapsed="false">
      <c r="A2144" s="9" t="s">
        <v>7987</v>
      </c>
      <c r="B2144" s="9" t="s">
        <v>5870</v>
      </c>
      <c r="C2144" s="9" t="s">
        <v>2379</v>
      </c>
      <c r="D2144" s="9" t="s">
        <v>5871</v>
      </c>
      <c r="E2144" s="9" t="str">
        <f aca="false">IF(AND('Formation Ledger'!A2123&lt;&gt;"",'Formation Ledger'!V2123=0),"PASS","FAIL")</f>
        <v>PASS</v>
      </c>
      <c r="F2144" s="9" t="s">
        <v>76</v>
      </c>
      <c r="G2144" s="6"/>
      <c r="H2144" s="6"/>
      <c r="I2144" s="6"/>
      <c r="J2144" s="6"/>
      <c r="K2144" s="6"/>
      <c r="L2144" s="6"/>
      <c r="M2144" s="6"/>
      <c r="N2144" s="6"/>
      <c r="O2144" s="6"/>
      <c r="P2144" s="6"/>
      <c r="Q2144" s="6"/>
      <c r="R2144" s="6"/>
      <c r="S2144" s="6"/>
      <c r="T2144" s="6"/>
      <c r="U2144" s="6"/>
      <c r="V2144" s="6"/>
      <c r="W2144" s="6"/>
      <c r="X2144" s="6"/>
      <c r="Y2144" s="6"/>
      <c r="Z2144" s="6"/>
    </row>
    <row r="2145" customFormat="false" ht="15" hidden="false" customHeight="false" outlineLevel="0" collapsed="false">
      <c r="A2145" s="9" t="s">
        <v>7988</v>
      </c>
      <c r="B2145" s="9" t="s">
        <v>5870</v>
      </c>
      <c r="C2145" s="9" t="s">
        <v>2380</v>
      </c>
      <c r="D2145" s="9" t="s">
        <v>5871</v>
      </c>
      <c r="E2145" s="9" t="str">
        <f aca="false">IF(AND('Formation Ledger'!A2124&lt;&gt;"",'Formation Ledger'!V2124=0),"PASS","FAIL")</f>
        <v>PASS</v>
      </c>
      <c r="F2145" s="9" t="s">
        <v>76</v>
      </c>
      <c r="G2145" s="6"/>
      <c r="H2145" s="6"/>
      <c r="I2145" s="6"/>
      <c r="J2145" s="6"/>
      <c r="K2145" s="6"/>
      <c r="L2145" s="6"/>
      <c r="M2145" s="6"/>
      <c r="N2145" s="6"/>
      <c r="O2145" s="6"/>
      <c r="P2145" s="6"/>
      <c r="Q2145" s="6"/>
      <c r="R2145" s="6"/>
      <c r="S2145" s="6"/>
      <c r="T2145" s="6"/>
      <c r="U2145" s="6"/>
      <c r="V2145" s="6"/>
      <c r="W2145" s="6"/>
      <c r="X2145" s="6"/>
      <c r="Y2145" s="6"/>
      <c r="Z2145" s="6"/>
    </row>
    <row r="2146" customFormat="false" ht="15" hidden="false" customHeight="false" outlineLevel="0" collapsed="false">
      <c r="A2146" s="9" t="s">
        <v>7989</v>
      </c>
      <c r="B2146" s="9" t="s">
        <v>5870</v>
      </c>
      <c r="C2146" s="9" t="s">
        <v>2381</v>
      </c>
      <c r="D2146" s="9" t="s">
        <v>5871</v>
      </c>
      <c r="E2146" s="9" t="str">
        <f aca="false">IF(AND('Formation Ledger'!A2125&lt;&gt;"",'Formation Ledger'!V2125=0),"PASS","FAIL")</f>
        <v>PASS</v>
      </c>
      <c r="F2146" s="9" t="s">
        <v>76</v>
      </c>
      <c r="G2146" s="6"/>
      <c r="H2146" s="6"/>
      <c r="I2146" s="6"/>
      <c r="J2146" s="6"/>
      <c r="K2146" s="6"/>
      <c r="L2146" s="6"/>
      <c r="M2146" s="6"/>
      <c r="N2146" s="6"/>
      <c r="O2146" s="6"/>
      <c r="P2146" s="6"/>
      <c r="Q2146" s="6"/>
      <c r="R2146" s="6"/>
      <c r="S2146" s="6"/>
      <c r="T2146" s="6"/>
      <c r="U2146" s="6"/>
      <c r="V2146" s="6"/>
      <c r="W2146" s="6"/>
      <c r="X2146" s="6"/>
      <c r="Y2146" s="6"/>
      <c r="Z2146" s="6"/>
    </row>
    <row r="2147" customFormat="false" ht="15" hidden="false" customHeight="false" outlineLevel="0" collapsed="false">
      <c r="A2147" s="9" t="s">
        <v>7990</v>
      </c>
      <c r="B2147" s="9" t="s">
        <v>5870</v>
      </c>
      <c r="C2147" s="9" t="s">
        <v>2382</v>
      </c>
      <c r="D2147" s="9" t="s">
        <v>5871</v>
      </c>
      <c r="E2147" s="9" t="str">
        <f aca="false">IF(AND('Formation Ledger'!A2126&lt;&gt;"",'Formation Ledger'!V2126=0),"PASS","FAIL")</f>
        <v>PASS</v>
      </c>
      <c r="F2147" s="9" t="s">
        <v>76</v>
      </c>
      <c r="G2147" s="6"/>
      <c r="H2147" s="6"/>
      <c r="I2147" s="6"/>
      <c r="J2147" s="6"/>
      <c r="K2147" s="6"/>
      <c r="L2147" s="6"/>
      <c r="M2147" s="6"/>
      <c r="N2147" s="6"/>
      <c r="O2147" s="6"/>
      <c r="P2147" s="6"/>
      <c r="Q2147" s="6"/>
      <c r="R2147" s="6"/>
      <c r="S2147" s="6"/>
      <c r="T2147" s="6"/>
      <c r="U2147" s="6"/>
      <c r="V2147" s="6"/>
      <c r="W2147" s="6"/>
      <c r="X2147" s="6"/>
      <c r="Y2147" s="6"/>
      <c r="Z2147" s="6"/>
    </row>
    <row r="2148" customFormat="false" ht="15" hidden="false" customHeight="false" outlineLevel="0" collapsed="false">
      <c r="A2148" s="9" t="s">
        <v>7991</v>
      </c>
      <c r="B2148" s="9" t="s">
        <v>5870</v>
      </c>
      <c r="C2148" s="9" t="s">
        <v>2383</v>
      </c>
      <c r="D2148" s="9" t="s">
        <v>5871</v>
      </c>
      <c r="E2148" s="9" t="str">
        <f aca="false">IF(AND('Formation Ledger'!A2127&lt;&gt;"",'Formation Ledger'!V2127=0),"PASS","FAIL")</f>
        <v>PASS</v>
      </c>
      <c r="F2148" s="9" t="s">
        <v>76</v>
      </c>
      <c r="G2148" s="6"/>
      <c r="H2148" s="6"/>
      <c r="I2148" s="6"/>
      <c r="J2148" s="6"/>
      <c r="K2148" s="6"/>
      <c r="L2148" s="6"/>
      <c r="M2148" s="6"/>
      <c r="N2148" s="6"/>
      <c r="O2148" s="6"/>
      <c r="P2148" s="6"/>
      <c r="Q2148" s="6"/>
      <c r="R2148" s="6"/>
      <c r="S2148" s="6"/>
      <c r="T2148" s="6"/>
      <c r="U2148" s="6"/>
      <c r="V2148" s="6"/>
      <c r="W2148" s="6"/>
      <c r="X2148" s="6"/>
      <c r="Y2148" s="6"/>
      <c r="Z2148" s="6"/>
    </row>
    <row r="2149" customFormat="false" ht="15" hidden="false" customHeight="false" outlineLevel="0" collapsed="false">
      <c r="A2149" s="9" t="s">
        <v>7992</v>
      </c>
      <c r="B2149" s="9" t="s">
        <v>5870</v>
      </c>
      <c r="C2149" s="9" t="s">
        <v>2384</v>
      </c>
      <c r="D2149" s="9" t="s">
        <v>5871</v>
      </c>
      <c r="E2149" s="9" t="str">
        <f aca="false">IF(AND('Formation Ledger'!A2128&lt;&gt;"",'Formation Ledger'!V2128=0),"PASS","FAIL")</f>
        <v>PASS</v>
      </c>
      <c r="F2149" s="9" t="s">
        <v>76</v>
      </c>
      <c r="G2149" s="6"/>
      <c r="H2149" s="6"/>
      <c r="I2149" s="6"/>
      <c r="J2149" s="6"/>
      <c r="K2149" s="6"/>
      <c r="L2149" s="6"/>
      <c r="M2149" s="6"/>
      <c r="N2149" s="6"/>
      <c r="O2149" s="6"/>
      <c r="P2149" s="6"/>
      <c r="Q2149" s="6"/>
      <c r="R2149" s="6"/>
      <c r="S2149" s="6"/>
      <c r="T2149" s="6"/>
      <c r="U2149" s="6"/>
      <c r="V2149" s="6"/>
      <c r="W2149" s="6"/>
      <c r="X2149" s="6"/>
      <c r="Y2149" s="6"/>
      <c r="Z2149" s="6"/>
    </row>
    <row r="2150" customFormat="false" ht="15" hidden="false" customHeight="false" outlineLevel="0" collapsed="false">
      <c r="A2150" s="9" t="s">
        <v>7993</v>
      </c>
      <c r="B2150" s="9" t="s">
        <v>5870</v>
      </c>
      <c r="C2150" s="9" t="s">
        <v>2385</v>
      </c>
      <c r="D2150" s="9" t="s">
        <v>5871</v>
      </c>
      <c r="E2150" s="9" t="str">
        <f aca="false">IF(AND('Formation Ledger'!A2129&lt;&gt;"",'Formation Ledger'!V2129=0),"PASS","FAIL")</f>
        <v>PASS</v>
      </c>
      <c r="F2150" s="9" t="s">
        <v>76</v>
      </c>
      <c r="G2150" s="6"/>
      <c r="H2150" s="6"/>
      <c r="I2150" s="6"/>
      <c r="J2150" s="6"/>
      <c r="K2150" s="6"/>
      <c r="L2150" s="6"/>
      <c r="M2150" s="6"/>
      <c r="N2150" s="6"/>
      <c r="O2150" s="6"/>
      <c r="P2150" s="6"/>
      <c r="Q2150" s="6"/>
      <c r="R2150" s="6"/>
      <c r="S2150" s="6"/>
      <c r="T2150" s="6"/>
      <c r="U2150" s="6"/>
      <c r="V2150" s="6"/>
      <c r="W2150" s="6"/>
      <c r="X2150" s="6"/>
      <c r="Y2150" s="6"/>
      <c r="Z2150" s="6"/>
    </row>
    <row r="2151" customFormat="false" ht="15" hidden="false" customHeight="false" outlineLevel="0" collapsed="false">
      <c r="A2151" s="9" t="s">
        <v>7994</v>
      </c>
      <c r="B2151" s="9" t="s">
        <v>5870</v>
      </c>
      <c r="C2151" s="9" t="s">
        <v>2386</v>
      </c>
      <c r="D2151" s="9" t="s">
        <v>5871</v>
      </c>
      <c r="E2151" s="9" t="str">
        <f aca="false">IF(AND('Formation Ledger'!A2130&lt;&gt;"",'Formation Ledger'!V2130=0),"PASS","FAIL")</f>
        <v>PASS</v>
      </c>
      <c r="F2151" s="9" t="s">
        <v>76</v>
      </c>
      <c r="G2151" s="6"/>
      <c r="H2151" s="6"/>
      <c r="I2151" s="6"/>
      <c r="J2151" s="6"/>
      <c r="K2151" s="6"/>
      <c r="L2151" s="6"/>
      <c r="M2151" s="6"/>
      <c r="N2151" s="6"/>
      <c r="O2151" s="6"/>
      <c r="P2151" s="6"/>
      <c r="Q2151" s="6"/>
      <c r="R2151" s="6"/>
      <c r="S2151" s="6"/>
      <c r="T2151" s="6"/>
      <c r="U2151" s="6"/>
      <c r="V2151" s="6"/>
      <c r="W2151" s="6"/>
      <c r="X2151" s="6"/>
      <c r="Y2151" s="6"/>
      <c r="Z2151" s="6"/>
    </row>
    <row r="2152" customFormat="false" ht="15" hidden="false" customHeight="false" outlineLevel="0" collapsed="false">
      <c r="A2152" s="9" t="s">
        <v>7995</v>
      </c>
      <c r="B2152" s="9" t="s">
        <v>5870</v>
      </c>
      <c r="C2152" s="9" t="s">
        <v>2387</v>
      </c>
      <c r="D2152" s="9" t="s">
        <v>5871</v>
      </c>
      <c r="E2152" s="9" t="str">
        <f aca="false">IF(AND('Formation Ledger'!A2131&lt;&gt;"",'Formation Ledger'!V2131=0),"PASS","FAIL")</f>
        <v>PASS</v>
      </c>
      <c r="F2152" s="9" t="s">
        <v>76</v>
      </c>
      <c r="G2152" s="6"/>
      <c r="H2152" s="6"/>
      <c r="I2152" s="6"/>
      <c r="J2152" s="6"/>
      <c r="K2152" s="6"/>
      <c r="L2152" s="6"/>
      <c r="M2152" s="6"/>
      <c r="N2152" s="6"/>
      <c r="O2152" s="6"/>
      <c r="P2152" s="6"/>
      <c r="Q2152" s="6"/>
      <c r="R2152" s="6"/>
      <c r="S2152" s="6"/>
      <c r="T2152" s="6"/>
      <c r="U2152" s="6"/>
      <c r="V2152" s="6"/>
      <c r="W2152" s="6"/>
      <c r="X2152" s="6"/>
      <c r="Y2152" s="6"/>
      <c r="Z2152" s="6"/>
    </row>
    <row r="2153" customFormat="false" ht="15" hidden="false" customHeight="false" outlineLevel="0" collapsed="false">
      <c r="A2153" s="9" t="s">
        <v>7996</v>
      </c>
      <c r="B2153" s="9" t="s">
        <v>5870</v>
      </c>
      <c r="C2153" s="9" t="s">
        <v>2388</v>
      </c>
      <c r="D2153" s="9" t="s">
        <v>5871</v>
      </c>
      <c r="E2153" s="9" t="str">
        <f aca="false">IF(AND('Formation Ledger'!A2132&lt;&gt;"",'Formation Ledger'!V2132=0),"PASS","FAIL")</f>
        <v>PASS</v>
      </c>
      <c r="F2153" s="9" t="s">
        <v>76</v>
      </c>
      <c r="G2153" s="6"/>
      <c r="H2153" s="6"/>
      <c r="I2153" s="6"/>
      <c r="J2153" s="6"/>
      <c r="K2153" s="6"/>
      <c r="L2153" s="6"/>
      <c r="M2153" s="6"/>
      <c r="N2153" s="6"/>
      <c r="O2153" s="6"/>
      <c r="P2153" s="6"/>
      <c r="Q2153" s="6"/>
      <c r="R2153" s="6"/>
      <c r="S2153" s="6"/>
      <c r="T2153" s="6"/>
      <c r="U2153" s="6"/>
      <c r="V2153" s="6"/>
      <c r="W2153" s="6"/>
      <c r="X2153" s="6"/>
      <c r="Y2153" s="6"/>
      <c r="Z2153" s="6"/>
    </row>
    <row r="2154" customFormat="false" ht="15" hidden="false" customHeight="false" outlineLevel="0" collapsed="false">
      <c r="A2154" s="9" t="s">
        <v>7997</v>
      </c>
      <c r="B2154" s="9" t="s">
        <v>5870</v>
      </c>
      <c r="C2154" s="9" t="s">
        <v>2389</v>
      </c>
      <c r="D2154" s="9" t="s">
        <v>5871</v>
      </c>
      <c r="E2154" s="9" t="str">
        <f aca="false">IF(AND('Formation Ledger'!A2133&lt;&gt;"",'Formation Ledger'!V2133=0),"PASS","FAIL")</f>
        <v>PASS</v>
      </c>
      <c r="F2154" s="9" t="s">
        <v>76</v>
      </c>
      <c r="G2154" s="6"/>
      <c r="H2154" s="6"/>
      <c r="I2154" s="6"/>
      <c r="J2154" s="6"/>
      <c r="K2154" s="6"/>
      <c r="L2154" s="6"/>
      <c r="M2154" s="6"/>
      <c r="N2154" s="6"/>
      <c r="O2154" s="6"/>
      <c r="P2154" s="6"/>
      <c r="Q2154" s="6"/>
      <c r="R2154" s="6"/>
      <c r="S2154" s="6"/>
      <c r="T2154" s="6"/>
      <c r="U2154" s="6"/>
      <c r="V2154" s="6"/>
      <c r="W2154" s="6"/>
      <c r="X2154" s="6"/>
      <c r="Y2154" s="6"/>
      <c r="Z2154" s="6"/>
    </row>
    <row r="2155" customFormat="false" ht="15" hidden="false" customHeight="false" outlineLevel="0" collapsed="false">
      <c r="A2155" s="9" t="s">
        <v>7998</v>
      </c>
      <c r="B2155" s="9" t="s">
        <v>5870</v>
      </c>
      <c r="C2155" s="9" t="s">
        <v>2390</v>
      </c>
      <c r="D2155" s="9" t="s">
        <v>5871</v>
      </c>
      <c r="E2155" s="9" t="str">
        <f aca="false">IF(AND('Formation Ledger'!A2134&lt;&gt;"",'Formation Ledger'!V2134=0),"PASS","FAIL")</f>
        <v>PASS</v>
      </c>
      <c r="F2155" s="9" t="s">
        <v>76</v>
      </c>
      <c r="G2155" s="6"/>
      <c r="H2155" s="6"/>
      <c r="I2155" s="6"/>
      <c r="J2155" s="6"/>
      <c r="K2155" s="6"/>
      <c r="L2155" s="6"/>
      <c r="M2155" s="6"/>
      <c r="N2155" s="6"/>
      <c r="O2155" s="6"/>
      <c r="P2155" s="6"/>
      <c r="Q2155" s="6"/>
      <c r="R2155" s="6"/>
      <c r="S2155" s="6"/>
      <c r="T2155" s="6"/>
      <c r="U2155" s="6"/>
      <c r="V2155" s="6"/>
      <c r="W2155" s="6"/>
      <c r="X2155" s="6"/>
      <c r="Y2155" s="6"/>
      <c r="Z2155" s="6"/>
    </row>
    <row r="2156" customFormat="false" ht="15" hidden="false" customHeight="false" outlineLevel="0" collapsed="false">
      <c r="A2156" s="9" t="s">
        <v>7999</v>
      </c>
      <c r="B2156" s="9" t="s">
        <v>5870</v>
      </c>
      <c r="C2156" s="9" t="s">
        <v>2391</v>
      </c>
      <c r="D2156" s="9" t="s">
        <v>5871</v>
      </c>
      <c r="E2156" s="9" t="str">
        <f aca="false">IF(AND('Formation Ledger'!A2135&lt;&gt;"",'Formation Ledger'!V2135=0),"PASS","FAIL")</f>
        <v>PASS</v>
      </c>
      <c r="F2156" s="9" t="s">
        <v>76</v>
      </c>
      <c r="G2156" s="6"/>
      <c r="H2156" s="6"/>
      <c r="I2156" s="6"/>
      <c r="J2156" s="6"/>
      <c r="K2156" s="6"/>
      <c r="L2156" s="6"/>
      <c r="M2156" s="6"/>
      <c r="N2156" s="6"/>
      <c r="O2156" s="6"/>
      <c r="P2156" s="6"/>
      <c r="Q2156" s="6"/>
      <c r="R2156" s="6"/>
      <c r="S2156" s="6"/>
      <c r="T2156" s="6"/>
      <c r="U2156" s="6"/>
      <c r="V2156" s="6"/>
      <c r="W2156" s="6"/>
      <c r="X2156" s="6"/>
      <c r="Y2156" s="6"/>
      <c r="Z2156" s="6"/>
    </row>
    <row r="2157" customFormat="false" ht="15" hidden="false" customHeight="false" outlineLevel="0" collapsed="false">
      <c r="A2157" s="9" t="s">
        <v>8000</v>
      </c>
      <c r="B2157" s="9" t="s">
        <v>5870</v>
      </c>
      <c r="C2157" s="9" t="s">
        <v>2392</v>
      </c>
      <c r="D2157" s="9" t="s">
        <v>5871</v>
      </c>
      <c r="E2157" s="9" t="str">
        <f aca="false">IF(AND('Formation Ledger'!A2136&lt;&gt;"",'Formation Ledger'!V2136=0),"PASS","FAIL")</f>
        <v>PASS</v>
      </c>
      <c r="F2157" s="9" t="s">
        <v>76</v>
      </c>
      <c r="G2157" s="6"/>
      <c r="H2157" s="6"/>
      <c r="I2157" s="6"/>
      <c r="J2157" s="6"/>
      <c r="K2157" s="6"/>
      <c r="L2157" s="6"/>
      <c r="M2157" s="6"/>
      <c r="N2157" s="6"/>
      <c r="O2157" s="6"/>
      <c r="P2157" s="6"/>
      <c r="Q2157" s="6"/>
      <c r="R2157" s="6"/>
      <c r="S2157" s="6"/>
      <c r="T2157" s="6"/>
      <c r="U2157" s="6"/>
      <c r="V2157" s="6"/>
      <c r="W2157" s="6"/>
      <c r="X2157" s="6"/>
      <c r="Y2157" s="6"/>
      <c r="Z2157" s="6"/>
    </row>
    <row r="2158" customFormat="false" ht="15" hidden="false" customHeight="false" outlineLevel="0" collapsed="false">
      <c r="A2158" s="9" t="s">
        <v>8001</v>
      </c>
      <c r="B2158" s="9" t="s">
        <v>5870</v>
      </c>
      <c r="C2158" s="9" t="s">
        <v>2393</v>
      </c>
      <c r="D2158" s="9" t="s">
        <v>5871</v>
      </c>
      <c r="E2158" s="9" t="str">
        <f aca="false">IF(AND('Formation Ledger'!A2137&lt;&gt;"",'Formation Ledger'!V2137=0),"PASS","FAIL")</f>
        <v>PASS</v>
      </c>
      <c r="F2158" s="9" t="s">
        <v>76</v>
      </c>
      <c r="G2158" s="6"/>
      <c r="H2158" s="6"/>
      <c r="I2158" s="6"/>
      <c r="J2158" s="6"/>
      <c r="K2158" s="6"/>
      <c r="L2158" s="6"/>
      <c r="M2158" s="6"/>
      <c r="N2158" s="6"/>
      <c r="O2158" s="6"/>
      <c r="P2158" s="6"/>
      <c r="Q2158" s="6"/>
      <c r="R2158" s="6"/>
      <c r="S2158" s="6"/>
      <c r="T2158" s="6"/>
      <c r="U2158" s="6"/>
      <c r="V2158" s="6"/>
      <c r="W2158" s="6"/>
      <c r="X2158" s="6"/>
      <c r="Y2158" s="6"/>
      <c r="Z2158" s="6"/>
    </row>
    <row r="2159" customFormat="false" ht="15" hidden="false" customHeight="false" outlineLevel="0" collapsed="false">
      <c r="A2159" s="9" t="s">
        <v>8002</v>
      </c>
      <c r="B2159" s="9" t="s">
        <v>5870</v>
      </c>
      <c r="C2159" s="9" t="s">
        <v>2394</v>
      </c>
      <c r="D2159" s="9" t="s">
        <v>5871</v>
      </c>
      <c r="E2159" s="9" t="str">
        <f aca="false">IF(AND('Formation Ledger'!A2138&lt;&gt;"",'Formation Ledger'!V2138=0),"PASS","FAIL")</f>
        <v>PASS</v>
      </c>
      <c r="F2159" s="9" t="s">
        <v>76</v>
      </c>
      <c r="G2159" s="6"/>
      <c r="H2159" s="6"/>
      <c r="I2159" s="6"/>
      <c r="J2159" s="6"/>
      <c r="K2159" s="6"/>
      <c r="L2159" s="6"/>
      <c r="M2159" s="6"/>
      <c r="N2159" s="6"/>
      <c r="O2159" s="6"/>
      <c r="P2159" s="6"/>
      <c r="Q2159" s="6"/>
      <c r="R2159" s="6"/>
      <c r="S2159" s="6"/>
      <c r="T2159" s="6"/>
      <c r="U2159" s="6"/>
      <c r="V2159" s="6"/>
      <c r="W2159" s="6"/>
      <c r="X2159" s="6"/>
      <c r="Y2159" s="6"/>
      <c r="Z2159" s="6"/>
    </row>
    <row r="2160" customFormat="false" ht="15" hidden="false" customHeight="false" outlineLevel="0" collapsed="false">
      <c r="A2160" s="9" t="s">
        <v>8003</v>
      </c>
      <c r="B2160" s="9" t="s">
        <v>5870</v>
      </c>
      <c r="C2160" s="9" t="s">
        <v>2395</v>
      </c>
      <c r="D2160" s="9" t="s">
        <v>5871</v>
      </c>
      <c r="E2160" s="9" t="str">
        <f aca="false">IF(AND('Formation Ledger'!A2139&lt;&gt;"",'Formation Ledger'!V2139=0),"PASS","FAIL")</f>
        <v>PASS</v>
      </c>
      <c r="F2160" s="9" t="s">
        <v>76</v>
      </c>
      <c r="G2160" s="6"/>
      <c r="H2160" s="6"/>
      <c r="I2160" s="6"/>
      <c r="J2160" s="6"/>
      <c r="K2160" s="6"/>
      <c r="L2160" s="6"/>
      <c r="M2160" s="6"/>
      <c r="N2160" s="6"/>
      <c r="O2160" s="6"/>
      <c r="P2160" s="6"/>
      <c r="Q2160" s="6"/>
      <c r="R2160" s="6"/>
      <c r="S2160" s="6"/>
      <c r="T2160" s="6"/>
      <c r="U2160" s="6"/>
      <c r="V2160" s="6"/>
      <c r="W2160" s="6"/>
      <c r="X2160" s="6"/>
      <c r="Y2160" s="6"/>
      <c r="Z2160" s="6"/>
    </row>
    <row r="2161" customFormat="false" ht="15" hidden="false" customHeight="false" outlineLevel="0" collapsed="false">
      <c r="A2161" s="9" t="s">
        <v>8004</v>
      </c>
      <c r="B2161" s="9" t="s">
        <v>5870</v>
      </c>
      <c r="C2161" s="9" t="s">
        <v>2396</v>
      </c>
      <c r="D2161" s="9" t="s">
        <v>5871</v>
      </c>
      <c r="E2161" s="9" t="str">
        <f aca="false">IF(AND('Formation Ledger'!A2140&lt;&gt;"",'Formation Ledger'!V2140=0),"PASS","FAIL")</f>
        <v>PASS</v>
      </c>
      <c r="F2161" s="9" t="s">
        <v>76</v>
      </c>
      <c r="G2161" s="6"/>
      <c r="H2161" s="6"/>
      <c r="I2161" s="6"/>
      <c r="J2161" s="6"/>
      <c r="K2161" s="6"/>
      <c r="L2161" s="6"/>
      <c r="M2161" s="6"/>
      <c r="N2161" s="6"/>
      <c r="O2161" s="6"/>
      <c r="P2161" s="6"/>
      <c r="Q2161" s="6"/>
      <c r="R2161" s="6"/>
      <c r="S2161" s="6"/>
      <c r="T2161" s="6"/>
      <c r="U2161" s="6"/>
      <c r="V2161" s="6"/>
      <c r="W2161" s="6"/>
      <c r="X2161" s="6"/>
      <c r="Y2161" s="6"/>
      <c r="Z2161" s="6"/>
    </row>
    <row r="2162" customFormat="false" ht="15" hidden="false" customHeight="false" outlineLevel="0" collapsed="false">
      <c r="A2162" s="9" t="s">
        <v>8005</v>
      </c>
      <c r="B2162" s="9" t="s">
        <v>5870</v>
      </c>
      <c r="C2162" s="9" t="s">
        <v>2397</v>
      </c>
      <c r="D2162" s="9" t="s">
        <v>5871</v>
      </c>
      <c r="E2162" s="9" t="str">
        <f aca="false">IF(AND('Formation Ledger'!A2141&lt;&gt;"",'Formation Ledger'!V2141=0),"PASS","FAIL")</f>
        <v>PASS</v>
      </c>
      <c r="F2162" s="9" t="s">
        <v>76</v>
      </c>
      <c r="G2162" s="6"/>
      <c r="H2162" s="6"/>
      <c r="I2162" s="6"/>
      <c r="J2162" s="6"/>
      <c r="K2162" s="6"/>
      <c r="L2162" s="6"/>
      <c r="M2162" s="6"/>
      <c r="N2162" s="6"/>
      <c r="O2162" s="6"/>
      <c r="P2162" s="6"/>
      <c r="Q2162" s="6"/>
      <c r="R2162" s="6"/>
      <c r="S2162" s="6"/>
      <c r="T2162" s="6"/>
      <c r="U2162" s="6"/>
      <c r="V2162" s="6"/>
      <c r="W2162" s="6"/>
      <c r="X2162" s="6"/>
      <c r="Y2162" s="6"/>
      <c r="Z2162" s="6"/>
    </row>
    <row r="2163" customFormat="false" ht="15" hidden="false" customHeight="false" outlineLevel="0" collapsed="false">
      <c r="A2163" s="9" t="s">
        <v>8006</v>
      </c>
      <c r="B2163" s="9" t="s">
        <v>5870</v>
      </c>
      <c r="C2163" s="9" t="s">
        <v>2398</v>
      </c>
      <c r="D2163" s="9" t="s">
        <v>5871</v>
      </c>
      <c r="E2163" s="9" t="str">
        <f aca="false">IF(AND('Formation Ledger'!A2142&lt;&gt;"",'Formation Ledger'!V2142=0),"PASS","FAIL")</f>
        <v>PASS</v>
      </c>
      <c r="F2163" s="9" t="s">
        <v>76</v>
      </c>
      <c r="G2163" s="6"/>
      <c r="H2163" s="6"/>
      <c r="I2163" s="6"/>
      <c r="J2163" s="6"/>
      <c r="K2163" s="6"/>
      <c r="L2163" s="6"/>
      <c r="M2163" s="6"/>
      <c r="N2163" s="6"/>
      <c r="O2163" s="6"/>
      <c r="P2163" s="6"/>
      <c r="Q2163" s="6"/>
      <c r="R2163" s="6"/>
      <c r="S2163" s="6"/>
      <c r="T2163" s="6"/>
      <c r="U2163" s="6"/>
      <c r="V2163" s="6"/>
      <c r="W2163" s="6"/>
      <c r="X2163" s="6"/>
      <c r="Y2163" s="6"/>
      <c r="Z2163" s="6"/>
    </row>
    <row r="2164" customFormat="false" ht="15" hidden="false" customHeight="false" outlineLevel="0" collapsed="false">
      <c r="A2164" s="9" t="s">
        <v>8007</v>
      </c>
      <c r="B2164" s="9" t="s">
        <v>5870</v>
      </c>
      <c r="C2164" s="9" t="s">
        <v>2399</v>
      </c>
      <c r="D2164" s="9" t="s">
        <v>5871</v>
      </c>
      <c r="E2164" s="9" t="str">
        <f aca="false">IF(AND('Formation Ledger'!A2143&lt;&gt;"",'Formation Ledger'!V2143=0),"PASS","FAIL")</f>
        <v>PASS</v>
      </c>
      <c r="F2164" s="9" t="s">
        <v>76</v>
      </c>
      <c r="G2164" s="6"/>
      <c r="H2164" s="6"/>
      <c r="I2164" s="6"/>
      <c r="J2164" s="6"/>
      <c r="K2164" s="6"/>
      <c r="L2164" s="6"/>
      <c r="M2164" s="6"/>
      <c r="N2164" s="6"/>
      <c r="O2164" s="6"/>
      <c r="P2164" s="6"/>
      <c r="Q2164" s="6"/>
      <c r="R2164" s="6"/>
      <c r="S2164" s="6"/>
      <c r="T2164" s="6"/>
      <c r="U2164" s="6"/>
      <c r="V2164" s="6"/>
      <c r="W2164" s="6"/>
      <c r="X2164" s="6"/>
      <c r="Y2164" s="6"/>
      <c r="Z2164" s="6"/>
    </row>
    <row r="2165" customFormat="false" ht="15" hidden="false" customHeight="false" outlineLevel="0" collapsed="false">
      <c r="A2165" s="9" t="s">
        <v>8008</v>
      </c>
      <c r="B2165" s="9" t="s">
        <v>5870</v>
      </c>
      <c r="C2165" s="9" t="s">
        <v>2400</v>
      </c>
      <c r="D2165" s="9" t="s">
        <v>5871</v>
      </c>
      <c r="E2165" s="9" t="str">
        <f aca="false">IF(AND('Formation Ledger'!A2144&lt;&gt;"",'Formation Ledger'!V2144=0),"PASS","FAIL")</f>
        <v>PASS</v>
      </c>
      <c r="F2165" s="9" t="s">
        <v>76</v>
      </c>
      <c r="G2165" s="6"/>
      <c r="H2165" s="6"/>
      <c r="I2165" s="6"/>
      <c r="J2165" s="6"/>
      <c r="K2165" s="6"/>
      <c r="L2165" s="6"/>
      <c r="M2165" s="6"/>
      <c r="N2165" s="6"/>
      <c r="O2165" s="6"/>
      <c r="P2165" s="6"/>
      <c r="Q2165" s="6"/>
      <c r="R2165" s="6"/>
      <c r="S2165" s="6"/>
      <c r="T2165" s="6"/>
      <c r="U2165" s="6"/>
      <c r="V2165" s="6"/>
      <c r="W2165" s="6"/>
      <c r="X2165" s="6"/>
      <c r="Y2165" s="6"/>
      <c r="Z2165" s="6"/>
    </row>
    <row r="2166" customFormat="false" ht="15" hidden="false" customHeight="false" outlineLevel="0" collapsed="false">
      <c r="A2166" s="9" t="s">
        <v>8009</v>
      </c>
      <c r="B2166" s="9" t="s">
        <v>5870</v>
      </c>
      <c r="C2166" s="9" t="s">
        <v>2401</v>
      </c>
      <c r="D2166" s="9" t="s">
        <v>5871</v>
      </c>
      <c r="E2166" s="9" t="str">
        <f aca="false">IF(AND('Formation Ledger'!A2145&lt;&gt;"",'Formation Ledger'!V2145=0),"PASS","FAIL")</f>
        <v>PASS</v>
      </c>
      <c r="F2166" s="9" t="s">
        <v>76</v>
      </c>
      <c r="G2166" s="6"/>
      <c r="H2166" s="6"/>
      <c r="I2166" s="6"/>
      <c r="J2166" s="6"/>
      <c r="K2166" s="6"/>
      <c r="L2166" s="6"/>
      <c r="M2166" s="6"/>
      <c r="N2166" s="6"/>
      <c r="O2166" s="6"/>
      <c r="P2166" s="6"/>
      <c r="Q2166" s="6"/>
      <c r="R2166" s="6"/>
      <c r="S2166" s="6"/>
      <c r="T2166" s="6"/>
      <c r="U2166" s="6"/>
      <c r="V2166" s="6"/>
      <c r="W2166" s="6"/>
      <c r="X2166" s="6"/>
      <c r="Y2166" s="6"/>
      <c r="Z2166" s="6"/>
    </row>
    <row r="2167" customFormat="false" ht="15" hidden="false" customHeight="false" outlineLevel="0" collapsed="false">
      <c r="A2167" s="9" t="s">
        <v>8010</v>
      </c>
      <c r="B2167" s="9" t="s">
        <v>5870</v>
      </c>
      <c r="C2167" s="9" t="s">
        <v>2402</v>
      </c>
      <c r="D2167" s="9" t="s">
        <v>5871</v>
      </c>
      <c r="E2167" s="9" t="str">
        <f aca="false">IF(AND('Formation Ledger'!A2146&lt;&gt;"",'Formation Ledger'!V2146=0),"PASS","FAIL")</f>
        <v>PASS</v>
      </c>
      <c r="F2167" s="9" t="s">
        <v>76</v>
      </c>
      <c r="G2167" s="6"/>
      <c r="H2167" s="6"/>
      <c r="I2167" s="6"/>
      <c r="J2167" s="6"/>
      <c r="K2167" s="6"/>
      <c r="L2167" s="6"/>
      <c r="M2167" s="6"/>
      <c r="N2167" s="6"/>
      <c r="O2167" s="6"/>
      <c r="P2167" s="6"/>
      <c r="Q2167" s="6"/>
      <c r="R2167" s="6"/>
      <c r="S2167" s="6"/>
      <c r="T2167" s="6"/>
      <c r="U2167" s="6"/>
      <c r="V2167" s="6"/>
      <c r="W2167" s="6"/>
      <c r="X2167" s="6"/>
      <c r="Y2167" s="6"/>
      <c r="Z2167" s="6"/>
    </row>
    <row r="2168" customFormat="false" ht="15" hidden="false" customHeight="false" outlineLevel="0" collapsed="false">
      <c r="A2168" s="9" t="s">
        <v>8011</v>
      </c>
      <c r="B2168" s="9" t="s">
        <v>5870</v>
      </c>
      <c r="C2168" s="9" t="s">
        <v>2403</v>
      </c>
      <c r="D2168" s="9" t="s">
        <v>5871</v>
      </c>
      <c r="E2168" s="9" t="str">
        <f aca="false">IF(AND('Formation Ledger'!A2147&lt;&gt;"",'Formation Ledger'!V2147=0),"PASS","FAIL")</f>
        <v>PASS</v>
      </c>
      <c r="F2168" s="9" t="s">
        <v>76</v>
      </c>
      <c r="G2168" s="6"/>
      <c r="H2168" s="6"/>
      <c r="I2168" s="6"/>
      <c r="J2168" s="6"/>
      <c r="K2168" s="6"/>
      <c r="L2168" s="6"/>
      <c r="M2168" s="6"/>
      <c r="N2168" s="6"/>
      <c r="O2168" s="6"/>
      <c r="P2168" s="6"/>
      <c r="Q2168" s="6"/>
      <c r="R2168" s="6"/>
      <c r="S2168" s="6"/>
      <c r="T2168" s="6"/>
      <c r="U2168" s="6"/>
      <c r="V2168" s="6"/>
      <c r="W2168" s="6"/>
      <c r="X2168" s="6"/>
      <c r="Y2168" s="6"/>
      <c r="Z2168" s="6"/>
    </row>
    <row r="2169" customFormat="false" ht="15" hidden="false" customHeight="false" outlineLevel="0" collapsed="false">
      <c r="A2169" s="9" t="s">
        <v>8012</v>
      </c>
      <c r="B2169" s="9" t="s">
        <v>5870</v>
      </c>
      <c r="C2169" s="9" t="s">
        <v>2404</v>
      </c>
      <c r="D2169" s="9" t="s">
        <v>5871</v>
      </c>
      <c r="E2169" s="9" t="str">
        <f aca="false">IF(AND('Formation Ledger'!A2148&lt;&gt;"",'Formation Ledger'!V2148=0),"PASS","FAIL")</f>
        <v>PASS</v>
      </c>
      <c r="F2169" s="9" t="s">
        <v>76</v>
      </c>
      <c r="G2169" s="6"/>
      <c r="H2169" s="6"/>
      <c r="I2169" s="6"/>
      <c r="J2169" s="6"/>
      <c r="K2169" s="6"/>
      <c r="L2169" s="6"/>
      <c r="M2169" s="6"/>
      <c r="N2169" s="6"/>
      <c r="O2169" s="6"/>
      <c r="P2169" s="6"/>
      <c r="Q2169" s="6"/>
      <c r="R2169" s="6"/>
      <c r="S2169" s="6"/>
      <c r="T2169" s="6"/>
      <c r="U2169" s="6"/>
      <c r="V2169" s="6"/>
      <c r="W2169" s="6"/>
      <c r="X2169" s="6"/>
      <c r="Y2169" s="6"/>
      <c r="Z2169" s="6"/>
    </row>
    <row r="2170" customFormat="false" ht="15" hidden="false" customHeight="false" outlineLevel="0" collapsed="false">
      <c r="A2170" s="9" t="s">
        <v>8013</v>
      </c>
      <c r="B2170" s="9" t="s">
        <v>5870</v>
      </c>
      <c r="C2170" s="9" t="s">
        <v>2405</v>
      </c>
      <c r="D2170" s="9" t="s">
        <v>5871</v>
      </c>
      <c r="E2170" s="9" t="str">
        <f aca="false">IF(AND('Formation Ledger'!A2149&lt;&gt;"",'Formation Ledger'!V2149=0),"PASS","FAIL")</f>
        <v>PASS</v>
      </c>
      <c r="F2170" s="9" t="s">
        <v>76</v>
      </c>
      <c r="G2170" s="6"/>
      <c r="H2170" s="6"/>
      <c r="I2170" s="6"/>
      <c r="J2170" s="6"/>
      <c r="K2170" s="6"/>
      <c r="L2170" s="6"/>
      <c r="M2170" s="6"/>
      <c r="N2170" s="6"/>
      <c r="O2170" s="6"/>
      <c r="P2170" s="6"/>
      <c r="Q2170" s="6"/>
      <c r="R2170" s="6"/>
      <c r="S2170" s="6"/>
      <c r="T2170" s="6"/>
      <c r="U2170" s="6"/>
      <c r="V2170" s="6"/>
      <c r="W2170" s="6"/>
      <c r="X2170" s="6"/>
      <c r="Y2170" s="6"/>
      <c r="Z2170" s="6"/>
    </row>
    <row r="2171" customFormat="false" ht="15" hidden="false" customHeight="false" outlineLevel="0" collapsed="false">
      <c r="A2171" s="9" t="s">
        <v>8014</v>
      </c>
      <c r="B2171" s="9" t="s">
        <v>5870</v>
      </c>
      <c r="C2171" s="9" t="s">
        <v>2406</v>
      </c>
      <c r="D2171" s="9" t="s">
        <v>5871</v>
      </c>
      <c r="E2171" s="9" t="str">
        <f aca="false">IF(AND('Formation Ledger'!A2150&lt;&gt;"",'Formation Ledger'!V2150=0),"PASS","FAIL")</f>
        <v>PASS</v>
      </c>
      <c r="F2171" s="9" t="s">
        <v>76</v>
      </c>
      <c r="G2171" s="6"/>
      <c r="H2171" s="6"/>
      <c r="I2171" s="6"/>
      <c r="J2171" s="6"/>
      <c r="K2171" s="6"/>
      <c r="L2171" s="6"/>
      <c r="M2171" s="6"/>
      <c r="N2171" s="6"/>
      <c r="O2171" s="6"/>
      <c r="P2171" s="6"/>
      <c r="Q2171" s="6"/>
      <c r="R2171" s="6"/>
      <c r="S2171" s="6"/>
      <c r="T2171" s="6"/>
      <c r="U2171" s="6"/>
      <c r="V2171" s="6"/>
      <c r="W2171" s="6"/>
      <c r="X2171" s="6"/>
      <c r="Y2171" s="6"/>
      <c r="Z2171" s="6"/>
    </row>
    <row r="2172" customFormat="false" ht="15" hidden="false" customHeight="false" outlineLevel="0" collapsed="false">
      <c r="A2172" s="9" t="s">
        <v>8015</v>
      </c>
      <c r="B2172" s="9" t="s">
        <v>5870</v>
      </c>
      <c r="C2172" s="9" t="s">
        <v>2407</v>
      </c>
      <c r="D2172" s="9" t="s">
        <v>5871</v>
      </c>
      <c r="E2172" s="9" t="str">
        <f aca="false">IF(AND('Formation Ledger'!A2151&lt;&gt;"",'Formation Ledger'!V2151=0),"PASS","FAIL")</f>
        <v>PASS</v>
      </c>
      <c r="F2172" s="9" t="s">
        <v>76</v>
      </c>
      <c r="G2172" s="6"/>
      <c r="H2172" s="6"/>
      <c r="I2172" s="6"/>
      <c r="J2172" s="6"/>
      <c r="K2172" s="6"/>
      <c r="L2172" s="6"/>
      <c r="M2172" s="6"/>
      <c r="N2172" s="6"/>
      <c r="O2172" s="6"/>
      <c r="P2172" s="6"/>
      <c r="Q2172" s="6"/>
      <c r="R2172" s="6"/>
      <c r="S2172" s="6"/>
      <c r="T2172" s="6"/>
      <c r="U2172" s="6"/>
      <c r="V2172" s="6"/>
      <c r="W2172" s="6"/>
      <c r="X2172" s="6"/>
      <c r="Y2172" s="6"/>
      <c r="Z2172" s="6"/>
    </row>
    <row r="2173" customFormat="false" ht="15" hidden="false" customHeight="false" outlineLevel="0" collapsed="false">
      <c r="A2173" s="9" t="s">
        <v>8016</v>
      </c>
      <c r="B2173" s="9" t="s">
        <v>5870</v>
      </c>
      <c r="C2173" s="9" t="s">
        <v>2408</v>
      </c>
      <c r="D2173" s="9" t="s">
        <v>5871</v>
      </c>
      <c r="E2173" s="9" t="str">
        <f aca="false">IF(AND('Formation Ledger'!A2152&lt;&gt;"",'Formation Ledger'!V2152=0),"PASS","FAIL")</f>
        <v>PASS</v>
      </c>
      <c r="F2173" s="9" t="s">
        <v>76</v>
      </c>
      <c r="G2173" s="6"/>
      <c r="H2173" s="6"/>
      <c r="I2173" s="6"/>
      <c r="J2173" s="6"/>
      <c r="K2173" s="6"/>
      <c r="L2173" s="6"/>
      <c r="M2173" s="6"/>
      <c r="N2173" s="6"/>
      <c r="O2173" s="6"/>
      <c r="P2173" s="6"/>
      <c r="Q2173" s="6"/>
      <c r="R2173" s="6"/>
      <c r="S2173" s="6"/>
      <c r="T2173" s="6"/>
      <c r="U2173" s="6"/>
      <c r="V2173" s="6"/>
      <c r="W2173" s="6"/>
      <c r="X2173" s="6"/>
      <c r="Y2173" s="6"/>
      <c r="Z2173" s="6"/>
    </row>
    <row r="2174" customFormat="false" ht="15" hidden="false" customHeight="false" outlineLevel="0" collapsed="false">
      <c r="A2174" s="9" t="s">
        <v>8017</v>
      </c>
      <c r="B2174" s="9" t="s">
        <v>5870</v>
      </c>
      <c r="C2174" s="9" t="s">
        <v>2409</v>
      </c>
      <c r="D2174" s="9" t="s">
        <v>5871</v>
      </c>
      <c r="E2174" s="9" t="str">
        <f aca="false">IF(AND('Formation Ledger'!A2153&lt;&gt;"",'Formation Ledger'!V2153=0),"PASS","FAIL")</f>
        <v>PASS</v>
      </c>
      <c r="F2174" s="9" t="s">
        <v>76</v>
      </c>
      <c r="G2174" s="6"/>
      <c r="H2174" s="6"/>
      <c r="I2174" s="6"/>
      <c r="J2174" s="6"/>
      <c r="K2174" s="6"/>
      <c r="L2174" s="6"/>
      <c r="M2174" s="6"/>
      <c r="N2174" s="6"/>
      <c r="O2174" s="6"/>
      <c r="P2174" s="6"/>
      <c r="Q2174" s="6"/>
      <c r="R2174" s="6"/>
      <c r="S2174" s="6"/>
      <c r="T2174" s="6"/>
      <c r="U2174" s="6"/>
      <c r="V2174" s="6"/>
      <c r="W2174" s="6"/>
      <c r="X2174" s="6"/>
      <c r="Y2174" s="6"/>
      <c r="Z2174" s="6"/>
    </row>
    <row r="2175" customFormat="false" ht="15" hidden="false" customHeight="false" outlineLevel="0" collapsed="false">
      <c r="A2175" s="9" t="s">
        <v>8018</v>
      </c>
      <c r="B2175" s="9" t="s">
        <v>5870</v>
      </c>
      <c r="C2175" s="9" t="s">
        <v>2410</v>
      </c>
      <c r="D2175" s="9" t="s">
        <v>5871</v>
      </c>
      <c r="E2175" s="9" t="str">
        <f aca="false">IF(AND('Formation Ledger'!A2154&lt;&gt;"",'Formation Ledger'!V2154=0),"PASS","FAIL")</f>
        <v>PASS</v>
      </c>
      <c r="F2175" s="9" t="s">
        <v>76</v>
      </c>
      <c r="G2175" s="6"/>
      <c r="H2175" s="6"/>
      <c r="I2175" s="6"/>
      <c r="J2175" s="6"/>
      <c r="K2175" s="6"/>
      <c r="L2175" s="6"/>
      <c r="M2175" s="6"/>
      <c r="N2175" s="6"/>
      <c r="O2175" s="6"/>
      <c r="P2175" s="6"/>
      <c r="Q2175" s="6"/>
      <c r="R2175" s="6"/>
      <c r="S2175" s="6"/>
      <c r="T2175" s="6"/>
      <c r="U2175" s="6"/>
      <c r="V2175" s="6"/>
      <c r="W2175" s="6"/>
      <c r="X2175" s="6"/>
      <c r="Y2175" s="6"/>
      <c r="Z2175" s="6"/>
    </row>
    <row r="2176" customFormat="false" ht="15" hidden="false" customHeight="false" outlineLevel="0" collapsed="false">
      <c r="A2176" s="9" t="s">
        <v>8019</v>
      </c>
      <c r="B2176" s="9" t="s">
        <v>5870</v>
      </c>
      <c r="C2176" s="9" t="s">
        <v>2411</v>
      </c>
      <c r="D2176" s="9" t="s">
        <v>5871</v>
      </c>
      <c r="E2176" s="9" t="str">
        <f aca="false">IF(AND('Formation Ledger'!A2155&lt;&gt;"",'Formation Ledger'!V2155=0),"PASS","FAIL")</f>
        <v>PASS</v>
      </c>
      <c r="F2176" s="9" t="s">
        <v>76</v>
      </c>
      <c r="G2176" s="6"/>
      <c r="H2176" s="6"/>
      <c r="I2176" s="6"/>
      <c r="J2176" s="6"/>
      <c r="K2176" s="6"/>
      <c r="L2176" s="6"/>
      <c r="M2176" s="6"/>
      <c r="N2176" s="6"/>
      <c r="O2176" s="6"/>
      <c r="P2176" s="6"/>
      <c r="Q2176" s="6"/>
      <c r="R2176" s="6"/>
      <c r="S2176" s="6"/>
      <c r="T2176" s="6"/>
      <c r="U2176" s="6"/>
      <c r="V2176" s="6"/>
      <c r="W2176" s="6"/>
      <c r="X2176" s="6"/>
      <c r="Y2176" s="6"/>
      <c r="Z2176" s="6"/>
    </row>
    <row r="2177" customFormat="false" ht="15" hidden="false" customHeight="false" outlineLevel="0" collapsed="false">
      <c r="A2177" s="9" t="s">
        <v>8020</v>
      </c>
      <c r="B2177" s="9" t="s">
        <v>5870</v>
      </c>
      <c r="C2177" s="9" t="s">
        <v>2412</v>
      </c>
      <c r="D2177" s="9" t="s">
        <v>5871</v>
      </c>
      <c r="E2177" s="9" t="str">
        <f aca="false">IF(AND('Formation Ledger'!A2156&lt;&gt;"",'Formation Ledger'!V2156=0),"PASS","FAIL")</f>
        <v>PASS</v>
      </c>
      <c r="F2177" s="9" t="s">
        <v>76</v>
      </c>
      <c r="G2177" s="6"/>
      <c r="H2177" s="6"/>
      <c r="I2177" s="6"/>
      <c r="J2177" s="6"/>
      <c r="K2177" s="6"/>
      <c r="L2177" s="6"/>
      <c r="M2177" s="6"/>
      <c r="N2177" s="6"/>
      <c r="O2177" s="6"/>
      <c r="P2177" s="6"/>
      <c r="Q2177" s="6"/>
      <c r="R2177" s="6"/>
      <c r="S2177" s="6"/>
      <c r="T2177" s="6"/>
      <c r="U2177" s="6"/>
      <c r="V2177" s="6"/>
      <c r="W2177" s="6"/>
      <c r="X2177" s="6"/>
      <c r="Y2177" s="6"/>
      <c r="Z2177" s="6"/>
    </row>
    <row r="2178" customFormat="false" ht="15" hidden="false" customHeight="false" outlineLevel="0" collapsed="false">
      <c r="A2178" s="9" t="s">
        <v>8021</v>
      </c>
      <c r="B2178" s="9" t="s">
        <v>5870</v>
      </c>
      <c r="C2178" s="9" t="s">
        <v>2413</v>
      </c>
      <c r="D2178" s="9" t="s">
        <v>5871</v>
      </c>
      <c r="E2178" s="9" t="str">
        <f aca="false">IF(AND('Formation Ledger'!A2157&lt;&gt;"",'Formation Ledger'!V2157=0),"PASS","FAIL")</f>
        <v>PASS</v>
      </c>
      <c r="F2178" s="9" t="s">
        <v>76</v>
      </c>
      <c r="G2178" s="6"/>
      <c r="H2178" s="6"/>
      <c r="I2178" s="6"/>
      <c r="J2178" s="6"/>
      <c r="K2178" s="6"/>
      <c r="L2178" s="6"/>
      <c r="M2178" s="6"/>
      <c r="N2178" s="6"/>
      <c r="O2178" s="6"/>
      <c r="P2178" s="6"/>
      <c r="Q2178" s="6"/>
      <c r="R2178" s="6"/>
      <c r="S2178" s="6"/>
      <c r="T2178" s="6"/>
      <c r="U2178" s="6"/>
      <c r="V2178" s="6"/>
      <c r="W2178" s="6"/>
      <c r="X2178" s="6"/>
      <c r="Y2178" s="6"/>
      <c r="Z2178" s="6"/>
    </row>
    <row r="2179" customFormat="false" ht="15" hidden="false" customHeight="false" outlineLevel="0" collapsed="false">
      <c r="A2179" s="9" t="s">
        <v>8022</v>
      </c>
      <c r="B2179" s="9" t="s">
        <v>5870</v>
      </c>
      <c r="C2179" s="9" t="s">
        <v>2414</v>
      </c>
      <c r="D2179" s="9" t="s">
        <v>5871</v>
      </c>
      <c r="E2179" s="9" t="str">
        <f aca="false">IF(AND('Formation Ledger'!A2158&lt;&gt;"",'Formation Ledger'!V2158=0),"PASS","FAIL")</f>
        <v>PASS</v>
      </c>
      <c r="F2179" s="9" t="s">
        <v>76</v>
      </c>
      <c r="G2179" s="6"/>
      <c r="H2179" s="6"/>
      <c r="I2179" s="6"/>
      <c r="J2179" s="6"/>
      <c r="K2179" s="6"/>
      <c r="L2179" s="6"/>
      <c r="M2179" s="6"/>
      <c r="N2179" s="6"/>
      <c r="O2179" s="6"/>
      <c r="P2179" s="6"/>
      <c r="Q2179" s="6"/>
      <c r="R2179" s="6"/>
      <c r="S2179" s="6"/>
      <c r="T2179" s="6"/>
      <c r="U2179" s="6"/>
      <c r="V2179" s="6"/>
      <c r="W2179" s="6"/>
      <c r="X2179" s="6"/>
      <c r="Y2179" s="6"/>
      <c r="Z2179" s="6"/>
    </row>
    <row r="2180" customFormat="false" ht="15" hidden="false" customHeight="false" outlineLevel="0" collapsed="false">
      <c r="A2180" s="9" t="s">
        <v>8023</v>
      </c>
      <c r="B2180" s="9" t="s">
        <v>5870</v>
      </c>
      <c r="C2180" s="9" t="s">
        <v>2415</v>
      </c>
      <c r="D2180" s="9" t="s">
        <v>5871</v>
      </c>
      <c r="E2180" s="9" t="str">
        <f aca="false">IF(AND('Formation Ledger'!A2159&lt;&gt;"",'Formation Ledger'!V2159=0),"PASS","FAIL")</f>
        <v>PASS</v>
      </c>
      <c r="F2180" s="9" t="s">
        <v>76</v>
      </c>
      <c r="G2180" s="6"/>
      <c r="H2180" s="6"/>
      <c r="I2180" s="6"/>
      <c r="J2180" s="6"/>
      <c r="K2180" s="6"/>
      <c r="L2180" s="6"/>
      <c r="M2180" s="6"/>
      <c r="N2180" s="6"/>
      <c r="O2180" s="6"/>
      <c r="P2180" s="6"/>
      <c r="Q2180" s="6"/>
      <c r="R2180" s="6"/>
      <c r="S2180" s="6"/>
      <c r="T2180" s="6"/>
      <c r="U2180" s="6"/>
      <c r="V2180" s="6"/>
      <c r="W2180" s="6"/>
      <c r="X2180" s="6"/>
      <c r="Y2180" s="6"/>
      <c r="Z2180" s="6"/>
    </row>
    <row r="2181" customFormat="false" ht="15" hidden="false" customHeight="false" outlineLevel="0" collapsed="false">
      <c r="A2181" s="9" t="s">
        <v>8024</v>
      </c>
      <c r="B2181" s="9" t="s">
        <v>5870</v>
      </c>
      <c r="C2181" s="9" t="s">
        <v>2416</v>
      </c>
      <c r="D2181" s="9" t="s">
        <v>5871</v>
      </c>
      <c r="E2181" s="9" t="str">
        <f aca="false">IF(AND('Formation Ledger'!A2160&lt;&gt;"",'Formation Ledger'!V2160=0),"PASS","FAIL")</f>
        <v>PASS</v>
      </c>
      <c r="F2181" s="9" t="s">
        <v>76</v>
      </c>
      <c r="G2181" s="6"/>
      <c r="H2181" s="6"/>
      <c r="I2181" s="6"/>
      <c r="J2181" s="6"/>
      <c r="K2181" s="6"/>
      <c r="L2181" s="6"/>
      <c r="M2181" s="6"/>
      <c r="N2181" s="6"/>
      <c r="O2181" s="6"/>
      <c r="P2181" s="6"/>
      <c r="Q2181" s="6"/>
      <c r="R2181" s="6"/>
      <c r="S2181" s="6"/>
      <c r="T2181" s="6"/>
      <c r="U2181" s="6"/>
      <c r="V2181" s="6"/>
      <c r="W2181" s="6"/>
      <c r="X2181" s="6"/>
      <c r="Y2181" s="6"/>
      <c r="Z2181" s="6"/>
    </row>
    <row r="2182" customFormat="false" ht="15" hidden="false" customHeight="false" outlineLevel="0" collapsed="false">
      <c r="A2182" s="9" t="s">
        <v>8025</v>
      </c>
      <c r="B2182" s="9" t="s">
        <v>5870</v>
      </c>
      <c r="C2182" s="9" t="s">
        <v>2417</v>
      </c>
      <c r="D2182" s="9" t="s">
        <v>5871</v>
      </c>
      <c r="E2182" s="9" t="str">
        <f aca="false">IF(AND('Formation Ledger'!A2161&lt;&gt;"",'Formation Ledger'!V2161=0),"PASS","FAIL")</f>
        <v>PASS</v>
      </c>
      <c r="F2182" s="9" t="s">
        <v>76</v>
      </c>
      <c r="G2182" s="6"/>
      <c r="H2182" s="6"/>
      <c r="I2182" s="6"/>
      <c r="J2182" s="6"/>
      <c r="K2182" s="6"/>
      <c r="L2182" s="6"/>
      <c r="M2182" s="6"/>
      <c r="N2182" s="6"/>
      <c r="O2182" s="6"/>
      <c r="P2182" s="6"/>
      <c r="Q2182" s="6"/>
      <c r="R2182" s="6"/>
      <c r="S2182" s="6"/>
      <c r="T2182" s="6"/>
      <c r="U2182" s="6"/>
      <c r="V2182" s="6"/>
      <c r="W2182" s="6"/>
      <c r="X2182" s="6"/>
      <c r="Y2182" s="6"/>
      <c r="Z2182" s="6"/>
    </row>
    <row r="2183" customFormat="false" ht="15" hidden="false" customHeight="false" outlineLevel="0" collapsed="false">
      <c r="A2183" s="9" t="s">
        <v>8026</v>
      </c>
      <c r="B2183" s="9" t="s">
        <v>5870</v>
      </c>
      <c r="C2183" s="9" t="s">
        <v>2418</v>
      </c>
      <c r="D2183" s="9" t="s">
        <v>5871</v>
      </c>
      <c r="E2183" s="9" t="str">
        <f aca="false">IF(AND('Formation Ledger'!A2162&lt;&gt;"",'Formation Ledger'!V2162=0),"PASS","FAIL")</f>
        <v>PASS</v>
      </c>
      <c r="F2183" s="9" t="s">
        <v>76</v>
      </c>
      <c r="G2183" s="6"/>
      <c r="H2183" s="6"/>
      <c r="I2183" s="6"/>
      <c r="J2183" s="6"/>
      <c r="K2183" s="6"/>
      <c r="L2183" s="6"/>
      <c r="M2183" s="6"/>
      <c r="N2183" s="6"/>
      <c r="O2183" s="6"/>
      <c r="P2183" s="6"/>
      <c r="Q2183" s="6"/>
      <c r="R2183" s="6"/>
      <c r="S2183" s="6"/>
      <c r="T2183" s="6"/>
      <c r="U2183" s="6"/>
      <c r="V2183" s="6"/>
      <c r="W2183" s="6"/>
      <c r="X2183" s="6"/>
      <c r="Y2183" s="6"/>
      <c r="Z2183" s="6"/>
    </row>
    <row r="2184" customFormat="false" ht="15" hidden="false" customHeight="false" outlineLevel="0" collapsed="false">
      <c r="A2184" s="9" t="s">
        <v>8027</v>
      </c>
      <c r="B2184" s="9" t="s">
        <v>5870</v>
      </c>
      <c r="C2184" s="9" t="s">
        <v>2419</v>
      </c>
      <c r="D2184" s="9" t="s">
        <v>5871</v>
      </c>
      <c r="E2184" s="9" t="str">
        <f aca="false">IF(AND('Formation Ledger'!A2163&lt;&gt;"",'Formation Ledger'!V2163=0),"PASS","FAIL")</f>
        <v>PASS</v>
      </c>
      <c r="F2184" s="9" t="s">
        <v>76</v>
      </c>
      <c r="G2184" s="6"/>
      <c r="H2184" s="6"/>
      <c r="I2184" s="6"/>
      <c r="J2184" s="6"/>
      <c r="K2184" s="6"/>
      <c r="L2184" s="6"/>
      <c r="M2184" s="6"/>
      <c r="N2184" s="6"/>
      <c r="O2184" s="6"/>
      <c r="P2184" s="6"/>
      <c r="Q2184" s="6"/>
      <c r="R2184" s="6"/>
      <c r="S2184" s="6"/>
      <c r="T2184" s="6"/>
      <c r="U2184" s="6"/>
      <c r="V2184" s="6"/>
      <c r="W2184" s="6"/>
      <c r="X2184" s="6"/>
      <c r="Y2184" s="6"/>
      <c r="Z2184" s="6"/>
    </row>
    <row r="2185" customFormat="false" ht="15" hidden="false" customHeight="false" outlineLevel="0" collapsed="false">
      <c r="A2185" s="9" t="s">
        <v>8028</v>
      </c>
      <c r="B2185" s="9" t="s">
        <v>5870</v>
      </c>
      <c r="C2185" s="9" t="s">
        <v>2420</v>
      </c>
      <c r="D2185" s="9" t="s">
        <v>5871</v>
      </c>
      <c r="E2185" s="9" t="str">
        <f aca="false">IF(AND('Formation Ledger'!A2164&lt;&gt;"",'Formation Ledger'!V2164=0),"PASS","FAIL")</f>
        <v>PASS</v>
      </c>
      <c r="F2185" s="9" t="s">
        <v>76</v>
      </c>
      <c r="G2185" s="6"/>
      <c r="H2185" s="6"/>
      <c r="I2185" s="6"/>
      <c r="J2185" s="6"/>
      <c r="K2185" s="6"/>
      <c r="L2185" s="6"/>
      <c r="M2185" s="6"/>
      <c r="N2185" s="6"/>
      <c r="O2185" s="6"/>
      <c r="P2185" s="6"/>
      <c r="Q2185" s="6"/>
      <c r="R2185" s="6"/>
      <c r="S2185" s="6"/>
      <c r="T2185" s="6"/>
      <c r="U2185" s="6"/>
      <c r="V2185" s="6"/>
      <c r="W2185" s="6"/>
      <c r="X2185" s="6"/>
      <c r="Y2185" s="6"/>
      <c r="Z2185" s="6"/>
    </row>
    <row r="2186" customFormat="false" ht="15" hidden="false" customHeight="false" outlineLevel="0" collapsed="false">
      <c r="A2186" s="9" t="s">
        <v>8029</v>
      </c>
      <c r="B2186" s="9" t="s">
        <v>5870</v>
      </c>
      <c r="C2186" s="9" t="s">
        <v>2421</v>
      </c>
      <c r="D2186" s="9" t="s">
        <v>5871</v>
      </c>
      <c r="E2186" s="9" t="str">
        <f aca="false">IF(AND('Formation Ledger'!A2165&lt;&gt;"",'Formation Ledger'!V2165=0),"PASS","FAIL")</f>
        <v>PASS</v>
      </c>
      <c r="F2186" s="9" t="s">
        <v>76</v>
      </c>
      <c r="G2186" s="6"/>
      <c r="H2186" s="6"/>
      <c r="I2186" s="6"/>
      <c r="J2186" s="6"/>
      <c r="K2186" s="6"/>
      <c r="L2186" s="6"/>
      <c r="M2186" s="6"/>
      <c r="N2186" s="6"/>
      <c r="O2186" s="6"/>
      <c r="P2186" s="6"/>
      <c r="Q2186" s="6"/>
      <c r="R2186" s="6"/>
      <c r="S2186" s="6"/>
      <c r="T2186" s="6"/>
      <c r="U2186" s="6"/>
      <c r="V2186" s="6"/>
      <c r="W2186" s="6"/>
      <c r="X2186" s="6"/>
      <c r="Y2186" s="6"/>
      <c r="Z2186" s="6"/>
    </row>
    <row r="2187" customFormat="false" ht="15" hidden="false" customHeight="false" outlineLevel="0" collapsed="false">
      <c r="A2187" s="9" t="s">
        <v>8030</v>
      </c>
      <c r="B2187" s="9" t="s">
        <v>5870</v>
      </c>
      <c r="C2187" s="9" t="s">
        <v>2422</v>
      </c>
      <c r="D2187" s="9" t="s">
        <v>5871</v>
      </c>
      <c r="E2187" s="9" t="str">
        <f aca="false">IF(AND('Formation Ledger'!A2166&lt;&gt;"",'Formation Ledger'!V2166=0),"PASS","FAIL")</f>
        <v>PASS</v>
      </c>
      <c r="F2187" s="9" t="s">
        <v>76</v>
      </c>
      <c r="G2187" s="6"/>
      <c r="H2187" s="6"/>
      <c r="I2187" s="6"/>
      <c r="J2187" s="6"/>
      <c r="K2187" s="6"/>
      <c r="L2187" s="6"/>
      <c r="M2187" s="6"/>
      <c r="N2187" s="6"/>
      <c r="O2187" s="6"/>
      <c r="P2187" s="6"/>
      <c r="Q2187" s="6"/>
      <c r="R2187" s="6"/>
      <c r="S2187" s="6"/>
      <c r="T2187" s="6"/>
      <c r="U2187" s="6"/>
      <c r="V2187" s="6"/>
      <c r="W2187" s="6"/>
      <c r="X2187" s="6"/>
      <c r="Y2187" s="6"/>
      <c r="Z2187" s="6"/>
    </row>
    <row r="2188" customFormat="false" ht="15" hidden="false" customHeight="false" outlineLevel="0" collapsed="false">
      <c r="A2188" s="9" t="s">
        <v>8031</v>
      </c>
      <c r="B2188" s="9" t="s">
        <v>5870</v>
      </c>
      <c r="C2188" s="9" t="s">
        <v>2423</v>
      </c>
      <c r="D2188" s="9" t="s">
        <v>5871</v>
      </c>
      <c r="E2188" s="9" t="str">
        <f aca="false">IF(AND('Formation Ledger'!A2167&lt;&gt;"",'Formation Ledger'!V2167=0),"PASS","FAIL")</f>
        <v>PASS</v>
      </c>
      <c r="F2188" s="9" t="s">
        <v>76</v>
      </c>
      <c r="G2188" s="6"/>
      <c r="H2188" s="6"/>
      <c r="I2188" s="6"/>
      <c r="J2188" s="6"/>
      <c r="K2188" s="6"/>
      <c r="L2188" s="6"/>
      <c r="M2188" s="6"/>
      <c r="N2188" s="6"/>
      <c r="O2188" s="6"/>
      <c r="P2188" s="6"/>
      <c r="Q2188" s="6"/>
      <c r="R2188" s="6"/>
      <c r="S2188" s="6"/>
      <c r="T2188" s="6"/>
      <c r="U2188" s="6"/>
      <c r="V2188" s="6"/>
      <c r="W2188" s="6"/>
      <c r="X2188" s="6"/>
      <c r="Y2188" s="6"/>
      <c r="Z2188" s="6"/>
    </row>
    <row r="2189" customFormat="false" ht="15" hidden="false" customHeight="false" outlineLevel="0" collapsed="false">
      <c r="A2189" s="9" t="s">
        <v>8032</v>
      </c>
      <c r="B2189" s="9" t="s">
        <v>5870</v>
      </c>
      <c r="C2189" s="9" t="s">
        <v>2424</v>
      </c>
      <c r="D2189" s="9" t="s">
        <v>5871</v>
      </c>
      <c r="E2189" s="9" t="str">
        <f aca="false">IF(AND('Formation Ledger'!A2168&lt;&gt;"",'Formation Ledger'!V2168=0),"PASS","FAIL")</f>
        <v>PASS</v>
      </c>
      <c r="F2189" s="9" t="s">
        <v>76</v>
      </c>
      <c r="G2189" s="6"/>
      <c r="H2189" s="6"/>
      <c r="I2189" s="6"/>
      <c r="J2189" s="6"/>
      <c r="K2189" s="6"/>
      <c r="L2189" s="6"/>
      <c r="M2189" s="6"/>
      <c r="N2189" s="6"/>
      <c r="O2189" s="6"/>
      <c r="P2189" s="6"/>
      <c r="Q2189" s="6"/>
      <c r="R2189" s="6"/>
      <c r="S2189" s="6"/>
      <c r="T2189" s="6"/>
      <c r="U2189" s="6"/>
      <c r="V2189" s="6"/>
      <c r="W2189" s="6"/>
      <c r="X2189" s="6"/>
      <c r="Y2189" s="6"/>
      <c r="Z2189" s="6"/>
    </row>
    <row r="2190" customFormat="false" ht="15" hidden="false" customHeight="false" outlineLevel="0" collapsed="false">
      <c r="A2190" s="9" t="s">
        <v>8033</v>
      </c>
      <c r="B2190" s="9" t="s">
        <v>5870</v>
      </c>
      <c r="C2190" s="9" t="s">
        <v>2425</v>
      </c>
      <c r="D2190" s="9" t="s">
        <v>5871</v>
      </c>
      <c r="E2190" s="9" t="str">
        <f aca="false">IF(AND('Formation Ledger'!A2169&lt;&gt;"",'Formation Ledger'!V2169=0),"PASS","FAIL")</f>
        <v>PASS</v>
      </c>
      <c r="F2190" s="9" t="s">
        <v>76</v>
      </c>
      <c r="G2190" s="6"/>
      <c r="H2190" s="6"/>
      <c r="I2190" s="6"/>
      <c r="J2190" s="6"/>
      <c r="K2190" s="6"/>
      <c r="L2190" s="6"/>
      <c r="M2190" s="6"/>
      <c r="N2190" s="6"/>
      <c r="O2190" s="6"/>
      <c r="P2190" s="6"/>
      <c r="Q2190" s="6"/>
      <c r="R2190" s="6"/>
      <c r="S2190" s="6"/>
      <c r="T2190" s="6"/>
      <c r="U2190" s="6"/>
      <c r="V2190" s="6"/>
      <c r="W2190" s="6"/>
      <c r="X2190" s="6"/>
      <c r="Y2190" s="6"/>
      <c r="Z2190" s="6"/>
    </row>
    <row r="2191" customFormat="false" ht="15" hidden="false" customHeight="false" outlineLevel="0" collapsed="false">
      <c r="A2191" s="9" t="s">
        <v>8034</v>
      </c>
      <c r="B2191" s="9" t="s">
        <v>5870</v>
      </c>
      <c r="C2191" s="9" t="s">
        <v>2426</v>
      </c>
      <c r="D2191" s="9" t="s">
        <v>5871</v>
      </c>
      <c r="E2191" s="9" t="str">
        <f aca="false">IF(AND('Formation Ledger'!A2170&lt;&gt;"",'Formation Ledger'!V2170=0),"PASS","FAIL")</f>
        <v>PASS</v>
      </c>
      <c r="F2191" s="9" t="s">
        <v>76</v>
      </c>
      <c r="G2191" s="6"/>
      <c r="H2191" s="6"/>
      <c r="I2191" s="6"/>
      <c r="J2191" s="6"/>
      <c r="K2191" s="6"/>
      <c r="L2191" s="6"/>
      <c r="M2191" s="6"/>
      <c r="N2191" s="6"/>
      <c r="O2191" s="6"/>
      <c r="P2191" s="6"/>
      <c r="Q2191" s="6"/>
      <c r="R2191" s="6"/>
      <c r="S2191" s="6"/>
      <c r="T2191" s="6"/>
      <c r="U2191" s="6"/>
      <c r="V2191" s="6"/>
      <c r="W2191" s="6"/>
      <c r="X2191" s="6"/>
      <c r="Y2191" s="6"/>
      <c r="Z2191" s="6"/>
    </row>
    <row r="2192" customFormat="false" ht="15" hidden="false" customHeight="false" outlineLevel="0" collapsed="false">
      <c r="A2192" s="9" t="s">
        <v>8035</v>
      </c>
      <c r="B2192" s="9" t="s">
        <v>5870</v>
      </c>
      <c r="C2192" s="9" t="s">
        <v>2427</v>
      </c>
      <c r="D2192" s="9" t="s">
        <v>5871</v>
      </c>
      <c r="E2192" s="9" t="str">
        <f aca="false">IF(AND('Formation Ledger'!A2171&lt;&gt;"",'Formation Ledger'!V2171=0),"PASS","FAIL")</f>
        <v>PASS</v>
      </c>
      <c r="F2192" s="9" t="s">
        <v>76</v>
      </c>
      <c r="G2192" s="6"/>
      <c r="H2192" s="6"/>
      <c r="I2192" s="6"/>
      <c r="J2192" s="6"/>
      <c r="K2192" s="6"/>
      <c r="L2192" s="6"/>
      <c r="M2192" s="6"/>
      <c r="N2192" s="6"/>
      <c r="O2192" s="6"/>
      <c r="P2192" s="6"/>
      <c r="Q2192" s="6"/>
      <c r="R2192" s="6"/>
      <c r="S2192" s="6"/>
      <c r="T2192" s="6"/>
      <c r="U2192" s="6"/>
      <c r="V2192" s="6"/>
      <c r="W2192" s="6"/>
      <c r="X2192" s="6"/>
      <c r="Y2192" s="6"/>
      <c r="Z2192" s="6"/>
    </row>
    <row r="2193" customFormat="false" ht="15" hidden="false" customHeight="false" outlineLevel="0" collapsed="false">
      <c r="A2193" s="9" t="s">
        <v>8036</v>
      </c>
      <c r="B2193" s="9" t="s">
        <v>5870</v>
      </c>
      <c r="C2193" s="9" t="s">
        <v>2428</v>
      </c>
      <c r="D2193" s="9" t="s">
        <v>5871</v>
      </c>
      <c r="E2193" s="9" t="str">
        <f aca="false">IF(AND('Formation Ledger'!A2172&lt;&gt;"",'Formation Ledger'!V2172=0),"PASS","FAIL")</f>
        <v>PASS</v>
      </c>
      <c r="F2193" s="9" t="s">
        <v>76</v>
      </c>
      <c r="G2193" s="6"/>
      <c r="H2193" s="6"/>
      <c r="I2193" s="6"/>
      <c r="J2193" s="6"/>
      <c r="K2193" s="6"/>
      <c r="L2193" s="6"/>
      <c r="M2193" s="6"/>
      <c r="N2193" s="6"/>
      <c r="O2193" s="6"/>
      <c r="P2193" s="6"/>
      <c r="Q2193" s="6"/>
      <c r="R2193" s="6"/>
      <c r="S2193" s="6"/>
      <c r="T2193" s="6"/>
      <c r="U2193" s="6"/>
      <c r="V2193" s="6"/>
      <c r="W2193" s="6"/>
      <c r="X2193" s="6"/>
      <c r="Y2193" s="6"/>
      <c r="Z2193" s="6"/>
    </row>
    <row r="2194" customFormat="false" ht="15" hidden="false" customHeight="false" outlineLevel="0" collapsed="false">
      <c r="A2194" s="9" t="s">
        <v>8037</v>
      </c>
      <c r="B2194" s="9" t="s">
        <v>5870</v>
      </c>
      <c r="C2194" s="9" t="s">
        <v>2429</v>
      </c>
      <c r="D2194" s="9" t="s">
        <v>5871</v>
      </c>
      <c r="E2194" s="9" t="str">
        <f aca="false">IF(AND('Formation Ledger'!A2173&lt;&gt;"",'Formation Ledger'!V2173=0),"PASS","FAIL")</f>
        <v>PASS</v>
      </c>
      <c r="F2194" s="9" t="s">
        <v>76</v>
      </c>
      <c r="G2194" s="6"/>
      <c r="H2194" s="6"/>
      <c r="I2194" s="6"/>
      <c r="J2194" s="6"/>
      <c r="K2194" s="6"/>
      <c r="L2194" s="6"/>
      <c r="M2194" s="6"/>
      <c r="N2194" s="6"/>
      <c r="O2194" s="6"/>
      <c r="P2194" s="6"/>
      <c r="Q2194" s="6"/>
      <c r="R2194" s="6"/>
      <c r="S2194" s="6"/>
      <c r="T2194" s="6"/>
      <c r="U2194" s="6"/>
      <c r="V2194" s="6"/>
      <c r="W2194" s="6"/>
      <c r="X2194" s="6"/>
      <c r="Y2194" s="6"/>
      <c r="Z2194" s="6"/>
    </row>
    <row r="2195" customFormat="false" ht="15" hidden="false" customHeight="false" outlineLevel="0" collapsed="false">
      <c r="A2195" s="9" t="s">
        <v>8038</v>
      </c>
      <c r="B2195" s="9" t="s">
        <v>5870</v>
      </c>
      <c r="C2195" s="9" t="s">
        <v>2430</v>
      </c>
      <c r="D2195" s="9" t="s">
        <v>5871</v>
      </c>
      <c r="E2195" s="9" t="str">
        <f aca="false">IF(AND('Formation Ledger'!A2174&lt;&gt;"",'Formation Ledger'!V2174=0),"PASS","FAIL")</f>
        <v>PASS</v>
      </c>
      <c r="F2195" s="9" t="s">
        <v>76</v>
      </c>
      <c r="G2195" s="6"/>
      <c r="H2195" s="6"/>
      <c r="I2195" s="6"/>
      <c r="J2195" s="6"/>
      <c r="K2195" s="6"/>
      <c r="L2195" s="6"/>
      <c r="M2195" s="6"/>
      <c r="N2195" s="6"/>
      <c r="O2195" s="6"/>
      <c r="P2195" s="6"/>
      <c r="Q2195" s="6"/>
      <c r="R2195" s="6"/>
      <c r="S2195" s="6"/>
      <c r="T2195" s="6"/>
      <c r="U2195" s="6"/>
      <c r="V2195" s="6"/>
      <c r="W2195" s="6"/>
      <c r="X2195" s="6"/>
      <c r="Y2195" s="6"/>
      <c r="Z2195" s="6"/>
    </row>
    <row r="2196" customFormat="false" ht="15" hidden="false" customHeight="false" outlineLevel="0" collapsed="false">
      <c r="A2196" s="9" t="s">
        <v>8039</v>
      </c>
      <c r="B2196" s="9" t="s">
        <v>5870</v>
      </c>
      <c r="C2196" s="9" t="s">
        <v>2431</v>
      </c>
      <c r="D2196" s="9" t="s">
        <v>5871</v>
      </c>
      <c r="E2196" s="9" t="str">
        <f aca="false">IF(AND('Formation Ledger'!A2175&lt;&gt;"",'Formation Ledger'!V2175=0),"PASS","FAIL")</f>
        <v>PASS</v>
      </c>
      <c r="F2196" s="9" t="s">
        <v>76</v>
      </c>
      <c r="G2196" s="6"/>
      <c r="H2196" s="6"/>
      <c r="I2196" s="6"/>
      <c r="J2196" s="6"/>
      <c r="K2196" s="6"/>
      <c r="L2196" s="6"/>
      <c r="M2196" s="6"/>
      <c r="N2196" s="6"/>
      <c r="O2196" s="6"/>
      <c r="P2196" s="6"/>
      <c r="Q2196" s="6"/>
      <c r="R2196" s="6"/>
      <c r="S2196" s="6"/>
      <c r="T2196" s="6"/>
      <c r="U2196" s="6"/>
      <c r="V2196" s="6"/>
      <c r="W2196" s="6"/>
      <c r="X2196" s="6"/>
      <c r="Y2196" s="6"/>
      <c r="Z2196" s="6"/>
    </row>
    <row r="2197" customFormat="false" ht="15" hidden="false" customHeight="false" outlineLevel="0" collapsed="false">
      <c r="A2197" s="9" t="s">
        <v>8040</v>
      </c>
      <c r="B2197" s="9" t="s">
        <v>5870</v>
      </c>
      <c r="C2197" s="9" t="s">
        <v>2432</v>
      </c>
      <c r="D2197" s="9" t="s">
        <v>5871</v>
      </c>
      <c r="E2197" s="9" t="str">
        <f aca="false">IF(AND('Formation Ledger'!A2176&lt;&gt;"",'Formation Ledger'!V2176=0),"PASS","FAIL")</f>
        <v>PASS</v>
      </c>
      <c r="F2197" s="9" t="s">
        <v>76</v>
      </c>
      <c r="G2197" s="6"/>
      <c r="H2197" s="6"/>
      <c r="I2197" s="6"/>
      <c r="J2197" s="6"/>
      <c r="K2197" s="6"/>
      <c r="L2197" s="6"/>
      <c r="M2197" s="6"/>
      <c r="N2197" s="6"/>
      <c r="O2197" s="6"/>
      <c r="P2197" s="6"/>
      <c r="Q2197" s="6"/>
      <c r="R2197" s="6"/>
      <c r="S2197" s="6"/>
      <c r="T2197" s="6"/>
      <c r="U2197" s="6"/>
      <c r="V2197" s="6"/>
      <c r="W2197" s="6"/>
      <c r="X2197" s="6"/>
      <c r="Y2197" s="6"/>
      <c r="Z2197" s="6"/>
    </row>
    <row r="2198" customFormat="false" ht="15" hidden="false" customHeight="false" outlineLevel="0" collapsed="false">
      <c r="A2198" s="9" t="s">
        <v>8041</v>
      </c>
      <c r="B2198" s="9" t="s">
        <v>5870</v>
      </c>
      <c r="C2198" s="9" t="s">
        <v>2433</v>
      </c>
      <c r="D2198" s="9" t="s">
        <v>5871</v>
      </c>
      <c r="E2198" s="9" t="str">
        <f aca="false">IF(AND('Formation Ledger'!A2177&lt;&gt;"",'Formation Ledger'!V2177=0),"PASS","FAIL")</f>
        <v>PASS</v>
      </c>
      <c r="F2198" s="9" t="s">
        <v>76</v>
      </c>
      <c r="G2198" s="6"/>
      <c r="H2198" s="6"/>
      <c r="I2198" s="6"/>
      <c r="J2198" s="6"/>
      <c r="K2198" s="6"/>
      <c r="L2198" s="6"/>
      <c r="M2198" s="6"/>
      <c r="N2198" s="6"/>
      <c r="O2198" s="6"/>
      <c r="P2198" s="6"/>
      <c r="Q2198" s="6"/>
      <c r="R2198" s="6"/>
      <c r="S2198" s="6"/>
      <c r="T2198" s="6"/>
      <c r="U2198" s="6"/>
      <c r="V2198" s="6"/>
      <c r="W2198" s="6"/>
      <c r="X2198" s="6"/>
      <c r="Y2198" s="6"/>
      <c r="Z2198" s="6"/>
    </row>
    <row r="2199" customFormat="false" ht="15" hidden="false" customHeight="false" outlineLevel="0" collapsed="false">
      <c r="A2199" s="9" t="s">
        <v>8042</v>
      </c>
      <c r="B2199" s="9" t="s">
        <v>5870</v>
      </c>
      <c r="C2199" s="9" t="s">
        <v>2434</v>
      </c>
      <c r="D2199" s="9" t="s">
        <v>5871</v>
      </c>
      <c r="E2199" s="9" t="str">
        <f aca="false">IF(AND('Formation Ledger'!A2178&lt;&gt;"",'Formation Ledger'!V2178=0),"PASS","FAIL")</f>
        <v>PASS</v>
      </c>
      <c r="F2199" s="9" t="s">
        <v>76</v>
      </c>
      <c r="G2199" s="6"/>
      <c r="H2199" s="6"/>
      <c r="I2199" s="6"/>
      <c r="J2199" s="6"/>
      <c r="K2199" s="6"/>
      <c r="L2199" s="6"/>
      <c r="M2199" s="6"/>
      <c r="N2199" s="6"/>
      <c r="O2199" s="6"/>
      <c r="P2199" s="6"/>
      <c r="Q2199" s="6"/>
      <c r="R2199" s="6"/>
      <c r="S2199" s="6"/>
      <c r="T2199" s="6"/>
      <c r="U2199" s="6"/>
      <c r="V2199" s="6"/>
      <c r="W2199" s="6"/>
      <c r="X2199" s="6"/>
      <c r="Y2199" s="6"/>
      <c r="Z2199" s="6"/>
    </row>
    <row r="2200" customFormat="false" ht="15" hidden="false" customHeight="false" outlineLevel="0" collapsed="false">
      <c r="A2200" s="9" t="s">
        <v>8043</v>
      </c>
      <c r="B2200" s="9" t="s">
        <v>5870</v>
      </c>
      <c r="C2200" s="9" t="s">
        <v>2435</v>
      </c>
      <c r="D2200" s="9" t="s">
        <v>5871</v>
      </c>
      <c r="E2200" s="9" t="str">
        <f aca="false">IF(AND('Formation Ledger'!A2179&lt;&gt;"",'Formation Ledger'!V2179=0),"PASS","FAIL")</f>
        <v>PASS</v>
      </c>
      <c r="F2200" s="9" t="s">
        <v>76</v>
      </c>
      <c r="G2200" s="6"/>
      <c r="H2200" s="6"/>
      <c r="I2200" s="6"/>
      <c r="J2200" s="6"/>
      <c r="K2200" s="6"/>
      <c r="L2200" s="6"/>
      <c r="M2200" s="6"/>
      <c r="N2200" s="6"/>
      <c r="O2200" s="6"/>
      <c r="P2200" s="6"/>
      <c r="Q2200" s="6"/>
      <c r="R2200" s="6"/>
      <c r="S2200" s="6"/>
      <c r="T2200" s="6"/>
      <c r="U2200" s="6"/>
      <c r="V2200" s="6"/>
      <c r="W2200" s="6"/>
      <c r="X2200" s="6"/>
      <c r="Y2200" s="6"/>
      <c r="Z2200" s="6"/>
    </row>
    <row r="2201" customFormat="false" ht="15" hidden="false" customHeight="false" outlineLevel="0" collapsed="false">
      <c r="A2201" s="9" t="s">
        <v>8044</v>
      </c>
      <c r="B2201" s="9" t="s">
        <v>5870</v>
      </c>
      <c r="C2201" s="9" t="s">
        <v>2436</v>
      </c>
      <c r="D2201" s="9" t="s">
        <v>5871</v>
      </c>
      <c r="E2201" s="9" t="str">
        <f aca="false">IF(AND('Formation Ledger'!A2180&lt;&gt;"",'Formation Ledger'!V2180=0),"PASS","FAIL")</f>
        <v>PASS</v>
      </c>
      <c r="F2201" s="9" t="s">
        <v>76</v>
      </c>
      <c r="G2201" s="6"/>
      <c r="H2201" s="6"/>
      <c r="I2201" s="6"/>
      <c r="J2201" s="6"/>
      <c r="K2201" s="6"/>
      <c r="L2201" s="6"/>
      <c r="M2201" s="6"/>
      <c r="N2201" s="6"/>
      <c r="O2201" s="6"/>
      <c r="P2201" s="6"/>
      <c r="Q2201" s="6"/>
      <c r="R2201" s="6"/>
      <c r="S2201" s="6"/>
      <c r="T2201" s="6"/>
      <c r="U2201" s="6"/>
      <c r="V2201" s="6"/>
      <c r="W2201" s="6"/>
      <c r="X2201" s="6"/>
      <c r="Y2201" s="6"/>
      <c r="Z2201" s="6"/>
    </row>
    <row r="2202" customFormat="false" ht="15" hidden="false" customHeight="false" outlineLevel="0" collapsed="false">
      <c r="A2202" s="9" t="s">
        <v>8045</v>
      </c>
      <c r="B2202" s="9" t="s">
        <v>5870</v>
      </c>
      <c r="C2202" s="9" t="s">
        <v>2437</v>
      </c>
      <c r="D2202" s="9" t="s">
        <v>5871</v>
      </c>
      <c r="E2202" s="9" t="str">
        <f aca="false">IF(AND('Formation Ledger'!A2181&lt;&gt;"",'Formation Ledger'!V2181=0),"PASS","FAIL")</f>
        <v>PASS</v>
      </c>
      <c r="F2202" s="9" t="s">
        <v>76</v>
      </c>
      <c r="G2202" s="6"/>
      <c r="H2202" s="6"/>
      <c r="I2202" s="6"/>
      <c r="J2202" s="6"/>
      <c r="K2202" s="6"/>
      <c r="L2202" s="6"/>
      <c r="M2202" s="6"/>
      <c r="N2202" s="6"/>
      <c r="O2202" s="6"/>
      <c r="P2202" s="6"/>
      <c r="Q2202" s="6"/>
      <c r="R2202" s="6"/>
      <c r="S2202" s="6"/>
      <c r="T2202" s="6"/>
      <c r="U2202" s="6"/>
      <c r="V2202" s="6"/>
      <c r="W2202" s="6"/>
      <c r="X2202" s="6"/>
      <c r="Y2202" s="6"/>
      <c r="Z2202" s="6"/>
    </row>
    <row r="2203" customFormat="false" ht="15" hidden="false" customHeight="false" outlineLevel="0" collapsed="false">
      <c r="A2203" s="9" t="s">
        <v>8046</v>
      </c>
      <c r="B2203" s="9" t="s">
        <v>5870</v>
      </c>
      <c r="C2203" s="9" t="s">
        <v>2438</v>
      </c>
      <c r="D2203" s="9" t="s">
        <v>5871</v>
      </c>
      <c r="E2203" s="9" t="str">
        <f aca="false">IF(AND('Formation Ledger'!A2182&lt;&gt;"",'Formation Ledger'!V2182=0),"PASS","FAIL")</f>
        <v>PASS</v>
      </c>
      <c r="F2203" s="9" t="s">
        <v>76</v>
      </c>
      <c r="G2203" s="6"/>
      <c r="H2203" s="6"/>
      <c r="I2203" s="6"/>
      <c r="J2203" s="6"/>
      <c r="K2203" s="6"/>
      <c r="L2203" s="6"/>
      <c r="M2203" s="6"/>
      <c r="N2203" s="6"/>
      <c r="O2203" s="6"/>
      <c r="P2203" s="6"/>
      <c r="Q2203" s="6"/>
      <c r="R2203" s="6"/>
      <c r="S2203" s="6"/>
      <c r="T2203" s="6"/>
      <c r="U2203" s="6"/>
      <c r="V2203" s="6"/>
      <c r="W2203" s="6"/>
      <c r="X2203" s="6"/>
      <c r="Y2203" s="6"/>
      <c r="Z2203" s="6"/>
    </row>
    <row r="2204" customFormat="false" ht="15" hidden="false" customHeight="false" outlineLevel="0" collapsed="false">
      <c r="A2204" s="9" t="s">
        <v>8047</v>
      </c>
      <c r="B2204" s="9" t="s">
        <v>5870</v>
      </c>
      <c r="C2204" s="9" t="s">
        <v>2441</v>
      </c>
      <c r="D2204" s="9" t="s">
        <v>5871</v>
      </c>
      <c r="E2204" s="9" t="str">
        <f aca="false">IF(AND('Formation Ledger'!A2183&lt;&gt;"",'Formation Ledger'!V2183=0),"PASS","FAIL")</f>
        <v>PASS</v>
      </c>
      <c r="F2204" s="9" t="s">
        <v>76</v>
      </c>
      <c r="G2204" s="6"/>
      <c r="H2204" s="6"/>
      <c r="I2204" s="6"/>
      <c r="J2204" s="6"/>
      <c r="K2204" s="6"/>
      <c r="L2204" s="6"/>
      <c r="M2204" s="6"/>
      <c r="N2204" s="6"/>
      <c r="O2204" s="6"/>
      <c r="P2204" s="6"/>
      <c r="Q2204" s="6"/>
      <c r="R2204" s="6"/>
      <c r="S2204" s="6"/>
      <c r="T2204" s="6"/>
      <c r="U2204" s="6"/>
      <c r="V2204" s="6"/>
      <c r="W2204" s="6"/>
      <c r="X2204" s="6"/>
      <c r="Y2204" s="6"/>
      <c r="Z2204" s="6"/>
    </row>
    <row r="2205" customFormat="false" ht="15" hidden="false" customHeight="false" outlineLevel="0" collapsed="false">
      <c r="A2205" s="9" t="s">
        <v>8048</v>
      </c>
      <c r="B2205" s="9" t="s">
        <v>5870</v>
      </c>
      <c r="C2205" s="9" t="s">
        <v>2442</v>
      </c>
      <c r="D2205" s="9" t="s">
        <v>5871</v>
      </c>
      <c r="E2205" s="9" t="str">
        <f aca="false">IF(AND('Formation Ledger'!A2184&lt;&gt;"",'Formation Ledger'!V2184=0),"PASS","FAIL")</f>
        <v>PASS</v>
      </c>
      <c r="F2205" s="9" t="s">
        <v>76</v>
      </c>
      <c r="G2205" s="6"/>
      <c r="H2205" s="6"/>
      <c r="I2205" s="6"/>
      <c r="J2205" s="6"/>
      <c r="K2205" s="6"/>
      <c r="L2205" s="6"/>
      <c r="M2205" s="6"/>
      <c r="N2205" s="6"/>
      <c r="O2205" s="6"/>
      <c r="P2205" s="6"/>
      <c r="Q2205" s="6"/>
      <c r="R2205" s="6"/>
      <c r="S2205" s="6"/>
      <c r="T2205" s="6"/>
      <c r="U2205" s="6"/>
      <c r="V2205" s="6"/>
      <c r="W2205" s="6"/>
      <c r="X2205" s="6"/>
      <c r="Y2205" s="6"/>
      <c r="Z2205" s="6"/>
    </row>
    <row r="2206" customFormat="false" ht="15" hidden="false" customHeight="false" outlineLevel="0" collapsed="false">
      <c r="A2206" s="9" t="s">
        <v>8049</v>
      </c>
      <c r="B2206" s="9" t="s">
        <v>5870</v>
      </c>
      <c r="C2206" s="9" t="s">
        <v>2443</v>
      </c>
      <c r="D2206" s="9" t="s">
        <v>5871</v>
      </c>
      <c r="E2206" s="9" t="str">
        <f aca="false">IF(AND('Formation Ledger'!A2185&lt;&gt;"",'Formation Ledger'!V2185=0),"PASS","FAIL")</f>
        <v>PASS</v>
      </c>
      <c r="F2206" s="9" t="s">
        <v>76</v>
      </c>
      <c r="G2206" s="6"/>
      <c r="H2206" s="6"/>
      <c r="I2206" s="6"/>
      <c r="J2206" s="6"/>
      <c r="K2206" s="6"/>
      <c r="L2206" s="6"/>
      <c r="M2206" s="6"/>
      <c r="N2206" s="6"/>
      <c r="O2206" s="6"/>
      <c r="P2206" s="6"/>
      <c r="Q2206" s="6"/>
      <c r="R2206" s="6"/>
      <c r="S2206" s="6"/>
      <c r="T2206" s="6"/>
      <c r="U2206" s="6"/>
      <c r="V2206" s="6"/>
      <c r="W2206" s="6"/>
      <c r="X2206" s="6"/>
      <c r="Y2206" s="6"/>
      <c r="Z2206" s="6"/>
    </row>
    <row r="2207" customFormat="false" ht="15" hidden="false" customHeight="false" outlineLevel="0" collapsed="false">
      <c r="A2207" s="9" t="s">
        <v>8050</v>
      </c>
      <c r="B2207" s="9" t="s">
        <v>5870</v>
      </c>
      <c r="C2207" s="9" t="s">
        <v>2444</v>
      </c>
      <c r="D2207" s="9" t="s">
        <v>5871</v>
      </c>
      <c r="E2207" s="9" t="str">
        <f aca="false">IF(AND('Formation Ledger'!A2186&lt;&gt;"",'Formation Ledger'!V2186=0),"PASS","FAIL")</f>
        <v>PASS</v>
      </c>
      <c r="F2207" s="9" t="s">
        <v>76</v>
      </c>
      <c r="G2207" s="6"/>
      <c r="H2207" s="6"/>
      <c r="I2207" s="6"/>
      <c r="J2207" s="6"/>
      <c r="K2207" s="6"/>
      <c r="L2207" s="6"/>
      <c r="M2207" s="6"/>
      <c r="N2207" s="6"/>
      <c r="O2207" s="6"/>
      <c r="P2207" s="6"/>
      <c r="Q2207" s="6"/>
      <c r="R2207" s="6"/>
      <c r="S2207" s="6"/>
      <c r="T2207" s="6"/>
      <c r="U2207" s="6"/>
      <c r="V2207" s="6"/>
      <c r="W2207" s="6"/>
      <c r="X2207" s="6"/>
      <c r="Y2207" s="6"/>
      <c r="Z2207" s="6"/>
    </row>
    <row r="2208" customFormat="false" ht="15" hidden="false" customHeight="false" outlineLevel="0" collapsed="false">
      <c r="A2208" s="9" t="s">
        <v>8051</v>
      </c>
      <c r="B2208" s="9" t="s">
        <v>5870</v>
      </c>
      <c r="C2208" s="9" t="s">
        <v>2445</v>
      </c>
      <c r="D2208" s="9" t="s">
        <v>5871</v>
      </c>
      <c r="E2208" s="9" t="str">
        <f aca="false">IF(AND('Formation Ledger'!A2187&lt;&gt;"",'Formation Ledger'!V2187=0),"PASS","FAIL")</f>
        <v>PASS</v>
      </c>
      <c r="F2208" s="9" t="s">
        <v>76</v>
      </c>
      <c r="G2208" s="6"/>
      <c r="H2208" s="6"/>
      <c r="I2208" s="6"/>
      <c r="J2208" s="6"/>
      <c r="K2208" s="6"/>
      <c r="L2208" s="6"/>
      <c r="M2208" s="6"/>
      <c r="N2208" s="6"/>
      <c r="O2208" s="6"/>
      <c r="P2208" s="6"/>
      <c r="Q2208" s="6"/>
      <c r="R2208" s="6"/>
      <c r="S2208" s="6"/>
      <c r="T2208" s="6"/>
      <c r="U2208" s="6"/>
      <c r="V2208" s="6"/>
      <c r="W2208" s="6"/>
      <c r="X2208" s="6"/>
      <c r="Y2208" s="6"/>
      <c r="Z2208" s="6"/>
    </row>
    <row r="2209" customFormat="false" ht="15" hidden="false" customHeight="false" outlineLevel="0" collapsed="false">
      <c r="A2209" s="9" t="s">
        <v>8052</v>
      </c>
      <c r="B2209" s="9" t="s">
        <v>5870</v>
      </c>
      <c r="C2209" s="9" t="s">
        <v>2446</v>
      </c>
      <c r="D2209" s="9" t="s">
        <v>5871</v>
      </c>
      <c r="E2209" s="9" t="str">
        <f aca="false">IF(AND('Formation Ledger'!A2188&lt;&gt;"",'Formation Ledger'!V2188=0),"PASS","FAIL")</f>
        <v>PASS</v>
      </c>
      <c r="F2209" s="9" t="s">
        <v>76</v>
      </c>
      <c r="G2209" s="6"/>
      <c r="H2209" s="6"/>
      <c r="I2209" s="6"/>
      <c r="J2209" s="6"/>
      <c r="K2209" s="6"/>
      <c r="L2209" s="6"/>
      <c r="M2209" s="6"/>
      <c r="N2209" s="6"/>
      <c r="O2209" s="6"/>
      <c r="P2209" s="6"/>
      <c r="Q2209" s="6"/>
      <c r="R2209" s="6"/>
      <c r="S2209" s="6"/>
      <c r="T2209" s="6"/>
      <c r="U2209" s="6"/>
      <c r="V2209" s="6"/>
      <c r="W2209" s="6"/>
      <c r="X2209" s="6"/>
      <c r="Y2209" s="6"/>
      <c r="Z2209" s="6"/>
    </row>
    <row r="2210" customFormat="false" ht="15" hidden="false" customHeight="false" outlineLevel="0" collapsed="false">
      <c r="A2210" s="9" t="s">
        <v>8053</v>
      </c>
      <c r="B2210" s="9" t="s">
        <v>5870</v>
      </c>
      <c r="C2210" s="9" t="s">
        <v>2447</v>
      </c>
      <c r="D2210" s="9" t="s">
        <v>5871</v>
      </c>
      <c r="E2210" s="9" t="str">
        <f aca="false">IF(AND('Formation Ledger'!A2189&lt;&gt;"",'Formation Ledger'!V2189=0),"PASS","FAIL")</f>
        <v>PASS</v>
      </c>
      <c r="F2210" s="9" t="s">
        <v>76</v>
      </c>
      <c r="G2210" s="6"/>
      <c r="H2210" s="6"/>
      <c r="I2210" s="6"/>
      <c r="J2210" s="6"/>
      <c r="K2210" s="6"/>
      <c r="L2210" s="6"/>
      <c r="M2210" s="6"/>
      <c r="N2210" s="6"/>
      <c r="O2210" s="6"/>
      <c r="P2210" s="6"/>
      <c r="Q2210" s="6"/>
      <c r="R2210" s="6"/>
      <c r="S2210" s="6"/>
      <c r="T2210" s="6"/>
      <c r="U2210" s="6"/>
      <c r="V2210" s="6"/>
      <c r="W2210" s="6"/>
      <c r="X2210" s="6"/>
      <c r="Y2210" s="6"/>
      <c r="Z2210" s="6"/>
    </row>
    <row r="2211" customFormat="false" ht="15" hidden="false" customHeight="false" outlineLevel="0" collapsed="false">
      <c r="A2211" s="9" t="s">
        <v>8054</v>
      </c>
      <c r="B2211" s="9" t="s">
        <v>5870</v>
      </c>
      <c r="C2211" s="9" t="s">
        <v>2448</v>
      </c>
      <c r="D2211" s="9" t="s">
        <v>5871</v>
      </c>
      <c r="E2211" s="9" t="str">
        <f aca="false">IF(AND('Formation Ledger'!A2190&lt;&gt;"",'Formation Ledger'!V2190=0),"PASS","FAIL")</f>
        <v>PASS</v>
      </c>
      <c r="F2211" s="9" t="s">
        <v>76</v>
      </c>
      <c r="G2211" s="6"/>
      <c r="H2211" s="6"/>
      <c r="I2211" s="6"/>
      <c r="J2211" s="6"/>
      <c r="K2211" s="6"/>
      <c r="L2211" s="6"/>
      <c r="M2211" s="6"/>
      <c r="N2211" s="6"/>
      <c r="O2211" s="6"/>
      <c r="P2211" s="6"/>
      <c r="Q2211" s="6"/>
      <c r="R2211" s="6"/>
      <c r="S2211" s="6"/>
      <c r="T2211" s="6"/>
      <c r="U2211" s="6"/>
      <c r="V2211" s="6"/>
      <c r="W2211" s="6"/>
      <c r="X2211" s="6"/>
      <c r="Y2211" s="6"/>
      <c r="Z2211" s="6"/>
    </row>
    <row r="2212" customFormat="false" ht="15" hidden="false" customHeight="false" outlineLevel="0" collapsed="false">
      <c r="A2212" s="9" t="s">
        <v>8055</v>
      </c>
      <c r="B2212" s="9" t="s">
        <v>5870</v>
      </c>
      <c r="C2212" s="9" t="s">
        <v>2449</v>
      </c>
      <c r="D2212" s="9" t="s">
        <v>5871</v>
      </c>
      <c r="E2212" s="9" t="str">
        <f aca="false">IF(AND('Formation Ledger'!A2191&lt;&gt;"",'Formation Ledger'!V2191=0),"PASS","FAIL")</f>
        <v>PASS</v>
      </c>
      <c r="F2212" s="9" t="s">
        <v>76</v>
      </c>
      <c r="G2212" s="6"/>
      <c r="H2212" s="6"/>
      <c r="I2212" s="6"/>
      <c r="J2212" s="6"/>
      <c r="K2212" s="6"/>
      <c r="L2212" s="6"/>
      <c r="M2212" s="6"/>
      <c r="N2212" s="6"/>
      <c r="O2212" s="6"/>
      <c r="P2212" s="6"/>
      <c r="Q2212" s="6"/>
      <c r="R2212" s="6"/>
      <c r="S2212" s="6"/>
      <c r="T2212" s="6"/>
      <c r="U2212" s="6"/>
      <c r="V2212" s="6"/>
      <c r="W2212" s="6"/>
      <c r="X2212" s="6"/>
      <c r="Y2212" s="6"/>
      <c r="Z2212" s="6"/>
    </row>
    <row r="2213" customFormat="false" ht="15" hidden="false" customHeight="false" outlineLevel="0" collapsed="false">
      <c r="A2213" s="9" t="s">
        <v>8056</v>
      </c>
      <c r="B2213" s="9" t="s">
        <v>5870</v>
      </c>
      <c r="C2213" s="9" t="s">
        <v>2450</v>
      </c>
      <c r="D2213" s="9" t="s">
        <v>5871</v>
      </c>
      <c r="E2213" s="9" t="str">
        <f aca="false">IF(AND('Formation Ledger'!A2192&lt;&gt;"",'Formation Ledger'!V2192=0),"PASS","FAIL")</f>
        <v>PASS</v>
      </c>
      <c r="F2213" s="9" t="s">
        <v>76</v>
      </c>
      <c r="G2213" s="6"/>
      <c r="H2213" s="6"/>
      <c r="I2213" s="6"/>
      <c r="J2213" s="6"/>
      <c r="K2213" s="6"/>
      <c r="L2213" s="6"/>
      <c r="M2213" s="6"/>
      <c r="N2213" s="6"/>
      <c r="O2213" s="6"/>
      <c r="P2213" s="6"/>
      <c r="Q2213" s="6"/>
      <c r="R2213" s="6"/>
      <c r="S2213" s="6"/>
      <c r="T2213" s="6"/>
      <c r="U2213" s="6"/>
      <c r="V2213" s="6"/>
      <c r="W2213" s="6"/>
      <c r="X2213" s="6"/>
      <c r="Y2213" s="6"/>
      <c r="Z2213" s="6"/>
    </row>
    <row r="2214" customFormat="false" ht="15" hidden="false" customHeight="false" outlineLevel="0" collapsed="false">
      <c r="A2214" s="9" t="s">
        <v>8057</v>
      </c>
      <c r="B2214" s="9" t="s">
        <v>5870</v>
      </c>
      <c r="C2214" s="9" t="s">
        <v>2451</v>
      </c>
      <c r="D2214" s="9" t="s">
        <v>5871</v>
      </c>
      <c r="E2214" s="9" t="str">
        <f aca="false">IF(AND('Formation Ledger'!A2193&lt;&gt;"",'Formation Ledger'!V2193=0),"PASS","FAIL")</f>
        <v>PASS</v>
      </c>
      <c r="F2214" s="9" t="s">
        <v>76</v>
      </c>
      <c r="G2214" s="6"/>
      <c r="H2214" s="6"/>
      <c r="I2214" s="6"/>
      <c r="J2214" s="6"/>
      <c r="K2214" s="6"/>
      <c r="L2214" s="6"/>
      <c r="M2214" s="6"/>
      <c r="N2214" s="6"/>
      <c r="O2214" s="6"/>
      <c r="P2214" s="6"/>
      <c r="Q2214" s="6"/>
      <c r="R2214" s="6"/>
      <c r="S2214" s="6"/>
      <c r="T2214" s="6"/>
      <c r="U2214" s="6"/>
      <c r="V2214" s="6"/>
      <c r="W2214" s="6"/>
      <c r="X2214" s="6"/>
      <c r="Y2214" s="6"/>
      <c r="Z2214" s="6"/>
    </row>
    <row r="2215" customFormat="false" ht="15" hidden="false" customHeight="false" outlineLevel="0" collapsed="false">
      <c r="A2215" s="9" t="s">
        <v>8058</v>
      </c>
      <c r="B2215" s="9" t="s">
        <v>5870</v>
      </c>
      <c r="C2215" s="9" t="s">
        <v>2452</v>
      </c>
      <c r="D2215" s="9" t="s">
        <v>5871</v>
      </c>
      <c r="E2215" s="9" t="str">
        <f aca="false">IF(AND('Formation Ledger'!A2194&lt;&gt;"",'Formation Ledger'!V2194=0),"PASS","FAIL")</f>
        <v>PASS</v>
      </c>
      <c r="F2215" s="9" t="s">
        <v>76</v>
      </c>
      <c r="G2215" s="6"/>
      <c r="H2215" s="6"/>
      <c r="I2215" s="6"/>
      <c r="J2215" s="6"/>
      <c r="K2215" s="6"/>
      <c r="L2215" s="6"/>
      <c r="M2215" s="6"/>
      <c r="N2215" s="6"/>
      <c r="O2215" s="6"/>
      <c r="P2215" s="6"/>
      <c r="Q2215" s="6"/>
      <c r="R2215" s="6"/>
      <c r="S2215" s="6"/>
      <c r="T2215" s="6"/>
      <c r="U2215" s="6"/>
      <c r="V2215" s="6"/>
      <c r="W2215" s="6"/>
      <c r="X2215" s="6"/>
      <c r="Y2215" s="6"/>
      <c r="Z2215" s="6"/>
    </row>
    <row r="2216" customFormat="false" ht="15" hidden="false" customHeight="false" outlineLevel="0" collapsed="false">
      <c r="A2216" s="9" t="s">
        <v>8059</v>
      </c>
      <c r="B2216" s="9" t="s">
        <v>5870</v>
      </c>
      <c r="C2216" s="9" t="s">
        <v>2453</v>
      </c>
      <c r="D2216" s="9" t="s">
        <v>5871</v>
      </c>
      <c r="E2216" s="9" t="str">
        <f aca="false">IF(AND('Formation Ledger'!A2195&lt;&gt;"",'Formation Ledger'!V2195=0),"PASS","FAIL")</f>
        <v>PASS</v>
      </c>
      <c r="F2216" s="9" t="s">
        <v>76</v>
      </c>
      <c r="G2216" s="6"/>
      <c r="H2216" s="6"/>
      <c r="I2216" s="6"/>
      <c r="J2216" s="6"/>
      <c r="K2216" s="6"/>
      <c r="L2216" s="6"/>
      <c r="M2216" s="6"/>
      <c r="N2216" s="6"/>
      <c r="O2216" s="6"/>
      <c r="P2216" s="6"/>
      <c r="Q2216" s="6"/>
      <c r="R2216" s="6"/>
      <c r="S2216" s="6"/>
      <c r="T2216" s="6"/>
      <c r="U2216" s="6"/>
      <c r="V2216" s="6"/>
      <c r="W2216" s="6"/>
      <c r="X2216" s="6"/>
      <c r="Y2216" s="6"/>
      <c r="Z2216" s="6"/>
    </row>
    <row r="2217" customFormat="false" ht="15" hidden="false" customHeight="false" outlineLevel="0" collapsed="false">
      <c r="A2217" s="9" t="s">
        <v>8060</v>
      </c>
      <c r="B2217" s="9" t="s">
        <v>5870</v>
      </c>
      <c r="C2217" s="9" t="s">
        <v>2454</v>
      </c>
      <c r="D2217" s="9" t="s">
        <v>5871</v>
      </c>
      <c r="E2217" s="9" t="str">
        <f aca="false">IF(AND('Formation Ledger'!A2196&lt;&gt;"",'Formation Ledger'!V2196=0),"PASS","FAIL")</f>
        <v>PASS</v>
      </c>
      <c r="F2217" s="9" t="s">
        <v>76</v>
      </c>
      <c r="G2217" s="6"/>
      <c r="H2217" s="6"/>
      <c r="I2217" s="6"/>
      <c r="J2217" s="6"/>
      <c r="K2217" s="6"/>
      <c r="L2217" s="6"/>
      <c r="M2217" s="6"/>
      <c r="N2217" s="6"/>
      <c r="O2217" s="6"/>
      <c r="P2217" s="6"/>
      <c r="Q2217" s="6"/>
      <c r="R2217" s="6"/>
      <c r="S2217" s="6"/>
      <c r="T2217" s="6"/>
      <c r="U2217" s="6"/>
      <c r="V2217" s="6"/>
      <c r="W2217" s="6"/>
      <c r="X2217" s="6"/>
      <c r="Y2217" s="6"/>
      <c r="Z2217" s="6"/>
    </row>
    <row r="2218" customFormat="false" ht="15" hidden="false" customHeight="false" outlineLevel="0" collapsed="false">
      <c r="A2218" s="9" t="s">
        <v>8061</v>
      </c>
      <c r="B2218" s="9" t="s">
        <v>5870</v>
      </c>
      <c r="C2218" s="9" t="s">
        <v>2455</v>
      </c>
      <c r="D2218" s="9" t="s">
        <v>5871</v>
      </c>
      <c r="E2218" s="9" t="str">
        <f aca="false">IF(AND('Formation Ledger'!A2197&lt;&gt;"",'Formation Ledger'!V2197=0),"PASS","FAIL")</f>
        <v>PASS</v>
      </c>
      <c r="F2218" s="9" t="s">
        <v>76</v>
      </c>
      <c r="G2218" s="6"/>
      <c r="H2218" s="6"/>
      <c r="I2218" s="6"/>
      <c r="J2218" s="6"/>
      <c r="K2218" s="6"/>
      <c r="L2218" s="6"/>
      <c r="M2218" s="6"/>
      <c r="N2218" s="6"/>
      <c r="O2218" s="6"/>
      <c r="P2218" s="6"/>
      <c r="Q2218" s="6"/>
      <c r="R2218" s="6"/>
      <c r="S2218" s="6"/>
      <c r="T2218" s="6"/>
      <c r="U2218" s="6"/>
      <c r="V2218" s="6"/>
      <c r="W2218" s="6"/>
      <c r="X2218" s="6"/>
      <c r="Y2218" s="6"/>
      <c r="Z2218" s="6"/>
    </row>
    <row r="2219" customFormat="false" ht="15" hidden="false" customHeight="false" outlineLevel="0" collapsed="false">
      <c r="A2219" s="9" t="s">
        <v>8062</v>
      </c>
      <c r="B2219" s="9" t="s">
        <v>5870</v>
      </c>
      <c r="C2219" s="9" t="s">
        <v>2456</v>
      </c>
      <c r="D2219" s="9" t="s">
        <v>5871</v>
      </c>
      <c r="E2219" s="9" t="str">
        <f aca="false">IF(AND('Formation Ledger'!A2198&lt;&gt;"",'Formation Ledger'!V2198=0),"PASS","FAIL")</f>
        <v>PASS</v>
      </c>
      <c r="F2219" s="9" t="s">
        <v>76</v>
      </c>
      <c r="G2219" s="6"/>
      <c r="H2219" s="6"/>
      <c r="I2219" s="6"/>
      <c r="J2219" s="6"/>
      <c r="K2219" s="6"/>
      <c r="L2219" s="6"/>
      <c r="M2219" s="6"/>
      <c r="N2219" s="6"/>
      <c r="O2219" s="6"/>
      <c r="P2219" s="6"/>
      <c r="Q2219" s="6"/>
      <c r="R2219" s="6"/>
      <c r="S2219" s="6"/>
      <c r="T2219" s="6"/>
      <c r="U2219" s="6"/>
      <c r="V2219" s="6"/>
      <c r="W2219" s="6"/>
      <c r="X2219" s="6"/>
      <c r="Y2219" s="6"/>
      <c r="Z2219" s="6"/>
    </row>
    <row r="2220" customFormat="false" ht="15" hidden="false" customHeight="false" outlineLevel="0" collapsed="false">
      <c r="A2220" s="9" t="s">
        <v>8063</v>
      </c>
      <c r="B2220" s="9" t="s">
        <v>5870</v>
      </c>
      <c r="C2220" s="9" t="s">
        <v>2457</v>
      </c>
      <c r="D2220" s="9" t="s">
        <v>5871</v>
      </c>
      <c r="E2220" s="9" t="str">
        <f aca="false">IF(AND('Formation Ledger'!A2199&lt;&gt;"",'Formation Ledger'!V2199=0),"PASS","FAIL")</f>
        <v>PASS</v>
      </c>
      <c r="F2220" s="9" t="s">
        <v>76</v>
      </c>
      <c r="G2220" s="6"/>
      <c r="H2220" s="6"/>
      <c r="I2220" s="6"/>
      <c r="J2220" s="6"/>
      <c r="K2220" s="6"/>
      <c r="L2220" s="6"/>
      <c r="M2220" s="6"/>
      <c r="N2220" s="6"/>
      <c r="O2220" s="6"/>
      <c r="P2220" s="6"/>
      <c r="Q2220" s="6"/>
      <c r="R2220" s="6"/>
      <c r="S2220" s="6"/>
      <c r="T2220" s="6"/>
      <c r="U2220" s="6"/>
      <c r="V2220" s="6"/>
      <c r="W2220" s="6"/>
      <c r="X2220" s="6"/>
      <c r="Y2220" s="6"/>
      <c r="Z2220" s="6"/>
    </row>
    <row r="2221" customFormat="false" ht="15" hidden="false" customHeight="false" outlineLevel="0" collapsed="false">
      <c r="A2221" s="9" t="s">
        <v>8064</v>
      </c>
      <c r="B2221" s="9" t="s">
        <v>5870</v>
      </c>
      <c r="C2221" s="9" t="s">
        <v>2458</v>
      </c>
      <c r="D2221" s="9" t="s">
        <v>5871</v>
      </c>
      <c r="E2221" s="9" t="str">
        <f aca="false">IF(AND('Formation Ledger'!A2200&lt;&gt;"",'Formation Ledger'!V2200=0),"PASS","FAIL")</f>
        <v>PASS</v>
      </c>
      <c r="F2221" s="9" t="s">
        <v>76</v>
      </c>
      <c r="G2221" s="6"/>
      <c r="H2221" s="6"/>
      <c r="I2221" s="6"/>
      <c r="J2221" s="6"/>
      <c r="K2221" s="6"/>
      <c r="L2221" s="6"/>
      <c r="M2221" s="6"/>
      <c r="N2221" s="6"/>
      <c r="O2221" s="6"/>
      <c r="P2221" s="6"/>
      <c r="Q2221" s="6"/>
      <c r="R2221" s="6"/>
      <c r="S2221" s="6"/>
      <c r="T2221" s="6"/>
      <c r="U2221" s="6"/>
      <c r="V2221" s="6"/>
      <c r="W2221" s="6"/>
      <c r="X2221" s="6"/>
      <c r="Y2221" s="6"/>
      <c r="Z2221" s="6"/>
    </row>
    <row r="2222" customFormat="false" ht="15" hidden="false" customHeight="false" outlineLevel="0" collapsed="false">
      <c r="A2222" s="9" t="s">
        <v>8065</v>
      </c>
      <c r="B2222" s="9" t="s">
        <v>5870</v>
      </c>
      <c r="C2222" s="9" t="s">
        <v>2459</v>
      </c>
      <c r="D2222" s="9" t="s">
        <v>5871</v>
      </c>
      <c r="E2222" s="9" t="str">
        <f aca="false">IF(AND('Formation Ledger'!A2201&lt;&gt;"",'Formation Ledger'!V2201=0),"PASS","FAIL")</f>
        <v>PASS</v>
      </c>
      <c r="F2222" s="9" t="s">
        <v>76</v>
      </c>
      <c r="G2222" s="6"/>
      <c r="H2222" s="6"/>
      <c r="I2222" s="6"/>
      <c r="J2222" s="6"/>
      <c r="K2222" s="6"/>
      <c r="L2222" s="6"/>
      <c r="M2222" s="6"/>
      <c r="N2222" s="6"/>
      <c r="O2222" s="6"/>
      <c r="P2222" s="6"/>
      <c r="Q2222" s="6"/>
      <c r="R2222" s="6"/>
      <c r="S2222" s="6"/>
      <c r="T2222" s="6"/>
      <c r="U2222" s="6"/>
      <c r="V2222" s="6"/>
      <c r="W2222" s="6"/>
      <c r="X2222" s="6"/>
      <c r="Y2222" s="6"/>
      <c r="Z2222" s="6"/>
    </row>
    <row r="2223" customFormat="false" ht="15" hidden="false" customHeight="false" outlineLevel="0" collapsed="false">
      <c r="A2223" s="9" t="s">
        <v>8066</v>
      </c>
      <c r="B2223" s="9" t="s">
        <v>5870</v>
      </c>
      <c r="C2223" s="9" t="s">
        <v>2460</v>
      </c>
      <c r="D2223" s="9" t="s">
        <v>5871</v>
      </c>
      <c r="E2223" s="9" t="str">
        <f aca="false">IF(AND('Formation Ledger'!A2202&lt;&gt;"",'Formation Ledger'!V2202=0),"PASS","FAIL")</f>
        <v>PASS</v>
      </c>
      <c r="F2223" s="9" t="s">
        <v>76</v>
      </c>
      <c r="G2223" s="6"/>
      <c r="H2223" s="6"/>
      <c r="I2223" s="6"/>
      <c r="J2223" s="6"/>
      <c r="K2223" s="6"/>
      <c r="L2223" s="6"/>
      <c r="M2223" s="6"/>
      <c r="N2223" s="6"/>
      <c r="O2223" s="6"/>
      <c r="P2223" s="6"/>
      <c r="Q2223" s="6"/>
      <c r="R2223" s="6"/>
      <c r="S2223" s="6"/>
      <c r="T2223" s="6"/>
      <c r="U2223" s="6"/>
      <c r="V2223" s="6"/>
      <c r="W2223" s="6"/>
      <c r="X2223" s="6"/>
      <c r="Y2223" s="6"/>
      <c r="Z2223" s="6"/>
    </row>
    <row r="2224" customFormat="false" ht="15" hidden="false" customHeight="false" outlineLevel="0" collapsed="false">
      <c r="A2224" s="9" t="s">
        <v>8067</v>
      </c>
      <c r="B2224" s="9" t="s">
        <v>5870</v>
      </c>
      <c r="C2224" s="9" t="s">
        <v>2461</v>
      </c>
      <c r="D2224" s="9" t="s">
        <v>5871</v>
      </c>
      <c r="E2224" s="9" t="str">
        <f aca="false">IF(AND('Formation Ledger'!A2203&lt;&gt;"",'Formation Ledger'!V2203=0),"PASS","FAIL")</f>
        <v>PASS</v>
      </c>
      <c r="F2224" s="9" t="s">
        <v>76</v>
      </c>
      <c r="G2224" s="6"/>
      <c r="H2224" s="6"/>
      <c r="I2224" s="6"/>
      <c r="J2224" s="6"/>
      <c r="K2224" s="6"/>
      <c r="L2224" s="6"/>
      <c r="M2224" s="6"/>
      <c r="N2224" s="6"/>
      <c r="O2224" s="6"/>
      <c r="P2224" s="6"/>
      <c r="Q2224" s="6"/>
      <c r="R2224" s="6"/>
      <c r="S2224" s="6"/>
      <c r="T2224" s="6"/>
      <c r="U2224" s="6"/>
      <c r="V2224" s="6"/>
      <c r="W2224" s="6"/>
      <c r="X2224" s="6"/>
      <c r="Y2224" s="6"/>
      <c r="Z2224" s="6"/>
    </row>
    <row r="2225" customFormat="false" ht="15" hidden="false" customHeight="false" outlineLevel="0" collapsed="false">
      <c r="A2225" s="9" t="s">
        <v>8068</v>
      </c>
      <c r="B2225" s="9" t="s">
        <v>5870</v>
      </c>
      <c r="C2225" s="9" t="s">
        <v>2462</v>
      </c>
      <c r="D2225" s="9" t="s">
        <v>5871</v>
      </c>
      <c r="E2225" s="9" t="str">
        <f aca="false">IF(AND('Formation Ledger'!A2204&lt;&gt;"",'Formation Ledger'!V2204=0),"PASS","FAIL")</f>
        <v>PASS</v>
      </c>
      <c r="F2225" s="9" t="s">
        <v>76</v>
      </c>
      <c r="G2225" s="6"/>
      <c r="H2225" s="6"/>
      <c r="I2225" s="6"/>
      <c r="J2225" s="6"/>
      <c r="K2225" s="6"/>
      <c r="L2225" s="6"/>
      <c r="M2225" s="6"/>
      <c r="N2225" s="6"/>
      <c r="O2225" s="6"/>
      <c r="P2225" s="6"/>
      <c r="Q2225" s="6"/>
      <c r="R2225" s="6"/>
      <c r="S2225" s="6"/>
      <c r="T2225" s="6"/>
      <c r="U2225" s="6"/>
      <c r="V2225" s="6"/>
      <c r="W2225" s="6"/>
      <c r="X2225" s="6"/>
      <c r="Y2225" s="6"/>
      <c r="Z2225" s="6"/>
    </row>
    <row r="2226" customFormat="false" ht="15" hidden="false" customHeight="false" outlineLevel="0" collapsed="false">
      <c r="A2226" s="9" t="s">
        <v>8069</v>
      </c>
      <c r="B2226" s="9" t="s">
        <v>5870</v>
      </c>
      <c r="C2226" s="9" t="s">
        <v>2463</v>
      </c>
      <c r="D2226" s="9" t="s">
        <v>5871</v>
      </c>
      <c r="E2226" s="9" t="str">
        <f aca="false">IF(AND('Formation Ledger'!A2205&lt;&gt;"",'Formation Ledger'!V2205=0),"PASS","FAIL")</f>
        <v>PASS</v>
      </c>
      <c r="F2226" s="9" t="s">
        <v>76</v>
      </c>
      <c r="G2226" s="6"/>
      <c r="H2226" s="6"/>
      <c r="I2226" s="6"/>
      <c r="J2226" s="6"/>
      <c r="K2226" s="6"/>
      <c r="L2226" s="6"/>
      <c r="M2226" s="6"/>
      <c r="N2226" s="6"/>
      <c r="O2226" s="6"/>
      <c r="P2226" s="6"/>
      <c r="Q2226" s="6"/>
      <c r="R2226" s="6"/>
      <c r="S2226" s="6"/>
      <c r="T2226" s="6"/>
      <c r="U2226" s="6"/>
      <c r="V2226" s="6"/>
      <c r="W2226" s="6"/>
      <c r="X2226" s="6"/>
      <c r="Y2226" s="6"/>
      <c r="Z2226" s="6"/>
    </row>
    <row r="2227" customFormat="false" ht="15" hidden="false" customHeight="false" outlineLevel="0" collapsed="false">
      <c r="A2227" s="9" t="s">
        <v>8070</v>
      </c>
      <c r="B2227" s="9" t="s">
        <v>5870</v>
      </c>
      <c r="C2227" s="9" t="s">
        <v>2464</v>
      </c>
      <c r="D2227" s="9" t="s">
        <v>5871</v>
      </c>
      <c r="E2227" s="9" t="str">
        <f aca="false">IF(AND('Formation Ledger'!A2206&lt;&gt;"",'Formation Ledger'!V2206=0),"PASS","FAIL")</f>
        <v>PASS</v>
      </c>
      <c r="F2227" s="9" t="s">
        <v>76</v>
      </c>
      <c r="G2227" s="6"/>
      <c r="H2227" s="6"/>
      <c r="I2227" s="6"/>
      <c r="J2227" s="6"/>
      <c r="K2227" s="6"/>
      <c r="L2227" s="6"/>
      <c r="M2227" s="6"/>
      <c r="N2227" s="6"/>
      <c r="O2227" s="6"/>
      <c r="P2227" s="6"/>
      <c r="Q2227" s="6"/>
      <c r="R2227" s="6"/>
      <c r="S2227" s="6"/>
      <c r="T2227" s="6"/>
      <c r="U2227" s="6"/>
      <c r="V2227" s="6"/>
      <c r="W2227" s="6"/>
      <c r="X2227" s="6"/>
      <c r="Y2227" s="6"/>
      <c r="Z2227" s="6"/>
    </row>
    <row r="2228" customFormat="false" ht="15" hidden="false" customHeight="false" outlineLevel="0" collapsed="false">
      <c r="A2228" s="9" t="s">
        <v>8071</v>
      </c>
      <c r="B2228" s="9" t="s">
        <v>5870</v>
      </c>
      <c r="C2228" s="9" t="s">
        <v>2465</v>
      </c>
      <c r="D2228" s="9" t="s">
        <v>5871</v>
      </c>
      <c r="E2228" s="9" t="str">
        <f aca="false">IF(AND('Formation Ledger'!A2207&lt;&gt;"",'Formation Ledger'!V2207=0),"PASS","FAIL")</f>
        <v>PASS</v>
      </c>
      <c r="F2228" s="9" t="s">
        <v>76</v>
      </c>
      <c r="G2228" s="6"/>
      <c r="H2228" s="6"/>
      <c r="I2228" s="6"/>
      <c r="J2228" s="6"/>
      <c r="K2228" s="6"/>
      <c r="L2228" s="6"/>
      <c r="M2228" s="6"/>
      <c r="N2228" s="6"/>
      <c r="O2228" s="6"/>
      <c r="P2228" s="6"/>
      <c r="Q2228" s="6"/>
      <c r="R2228" s="6"/>
      <c r="S2228" s="6"/>
      <c r="T2228" s="6"/>
      <c r="U2228" s="6"/>
      <c r="V2228" s="6"/>
      <c r="W2228" s="6"/>
      <c r="X2228" s="6"/>
      <c r="Y2228" s="6"/>
      <c r="Z2228" s="6"/>
    </row>
    <row r="2229" customFormat="false" ht="15" hidden="false" customHeight="false" outlineLevel="0" collapsed="false">
      <c r="A2229" s="9" t="s">
        <v>8072</v>
      </c>
      <c r="B2229" s="9" t="s">
        <v>5870</v>
      </c>
      <c r="C2229" s="9" t="s">
        <v>2466</v>
      </c>
      <c r="D2229" s="9" t="s">
        <v>5871</v>
      </c>
      <c r="E2229" s="9" t="str">
        <f aca="false">IF(AND('Formation Ledger'!A2208&lt;&gt;"",'Formation Ledger'!V2208=0),"PASS","FAIL")</f>
        <v>PASS</v>
      </c>
      <c r="F2229" s="9" t="s">
        <v>76</v>
      </c>
      <c r="G2229" s="6"/>
      <c r="H2229" s="6"/>
      <c r="I2229" s="6"/>
      <c r="J2229" s="6"/>
      <c r="K2229" s="6"/>
      <c r="L2229" s="6"/>
      <c r="M2229" s="6"/>
      <c r="N2229" s="6"/>
      <c r="O2229" s="6"/>
      <c r="P2229" s="6"/>
      <c r="Q2229" s="6"/>
      <c r="R2229" s="6"/>
      <c r="S2229" s="6"/>
      <c r="T2229" s="6"/>
      <c r="U2229" s="6"/>
      <c r="V2229" s="6"/>
      <c r="W2229" s="6"/>
      <c r="X2229" s="6"/>
      <c r="Y2229" s="6"/>
      <c r="Z2229" s="6"/>
    </row>
    <row r="2230" customFormat="false" ht="15" hidden="false" customHeight="false" outlineLevel="0" collapsed="false">
      <c r="A2230" s="9" t="s">
        <v>8073</v>
      </c>
      <c r="B2230" s="9" t="s">
        <v>5870</v>
      </c>
      <c r="C2230" s="9" t="s">
        <v>2467</v>
      </c>
      <c r="D2230" s="9" t="s">
        <v>5871</v>
      </c>
      <c r="E2230" s="9" t="str">
        <f aca="false">IF(AND('Formation Ledger'!A2209&lt;&gt;"",'Formation Ledger'!V2209=0),"PASS","FAIL")</f>
        <v>PASS</v>
      </c>
      <c r="F2230" s="9" t="s">
        <v>76</v>
      </c>
      <c r="G2230" s="6"/>
      <c r="H2230" s="6"/>
      <c r="I2230" s="6"/>
      <c r="J2230" s="6"/>
      <c r="K2230" s="6"/>
      <c r="L2230" s="6"/>
      <c r="M2230" s="6"/>
      <c r="N2230" s="6"/>
      <c r="O2230" s="6"/>
      <c r="P2230" s="6"/>
      <c r="Q2230" s="6"/>
      <c r="R2230" s="6"/>
      <c r="S2230" s="6"/>
      <c r="T2230" s="6"/>
      <c r="U2230" s="6"/>
      <c r="V2230" s="6"/>
      <c r="W2230" s="6"/>
      <c r="X2230" s="6"/>
      <c r="Y2230" s="6"/>
      <c r="Z2230" s="6"/>
    </row>
    <row r="2231" customFormat="false" ht="15" hidden="false" customHeight="false" outlineLevel="0" collapsed="false">
      <c r="A2231" s="9" t="s">
        <v>8074</v>
      </c>
      <c r="B2231" s="9" t="s">
        <v>5870</v>
      </c>
      <c r="C2231" s="9" t="s">
        <v>2468</v>
      </c>
      <c r="D2231" s="9" t="s">
        <v>5871</v>
      </c>
      <c r="E2231" s="9" t="str">
        <f aca="false">IF(AND('Formation Ledger'!A2210&lt;&gt;"",'Formation Ledger'!V2210=0),"PASS","FAIL")</f>
        <v>PASS</v>
      </c>
      <c r="F2231" s="9" t="s">
        <v>76</v>
      </c>
      <c r="G2231" s="6"/>
      <c r="H2231" s="6"/>
      <c r="I2231" s="6"/>
      <c r="J2231" s="6"/>
      <c r="K2231" s="6"/>
      <c r="L2231" s="6"/>
      <c r="M2231" s="6"/>
      <c r="N2231" s="6"/>
      <c r="O2231" s="6"/>
      <c r="P2231" s="6"/>
      <c r="Q2231" s="6"/>
      <c r="R2231" s="6"/>
      <c r="S2231" s="6"/>
      <c r="T2231" s="6"/>
      <c r="U2231" s="6"/>
      <c r="V2231" s="6"/>
      <c r="W2231" s="6"/>
      <c r="X2231" s="6"/>
      <c r="Y2231" s="6"/>
      <c r="Z2231" s="6"/>
    </row>
    <row r="2232" customFormat="false" ht="15" hidden="false" customHeight="false" outlineLevel="0" collapsed="false">
      <c r="A2232" s="9" t="s">
        <v>8075</v>
      </c>
      <c r="B2232" s="9" t="s">
        <v>5870</v>
      </c>
      <c r="C2232" s="9" t="s">
        <v>2469</v>
      </c>
      <c r="D2232" s="9" t="s">
        <v>5871</v>
      </c>
      <c r="E2232" s="9" t="str">
        <f aca="false">IF(AND('Formation Ledger'!A2211&lt;&gt;"",'Formation Ledger'!V2211=0),"PASS","FAIL")</f>
        <v>PASS</v>
      </c>
      <c r="F2232" s="9" t="s">
        <v>76</v>
      </c>
      <c r="G2232" s="6"/>
      <c r="H2232" s="6"/>
      <c r="I2232" s="6"/>
      <c r="J2232" s="6"/>
      <c r="K2232" s="6"/>
      <c r="L2232" s="6"/>
      <c r="M2232" s="6"/>
      <c r="N2232" s="6"/>
      <c r="O2232" s="6"/>
      <c r="P2232" s="6"/>
      <c r="Q2232" s="6"/>
      <c r="R2232" s="6"/>
      <c r="S2232" s="6"/>
      <c r="T2232" s="6"/>
      <c r="U2232" s="6"/>
      <c r="V2232" s="6"/>
      <c r="W2232" s="6"/>
      <c r="X2232" s="6"/>
      <c r="Y2232" s="6"/>
      <c r="Z2232" s="6"/>
    </row>
    <row r="2233" customFormat="false" ht="15" hidden="false" customHeight="false" outlineLevel="0" collapsed="false">
      <c r="A2233" s="9" t="s">
        <v>8076</v>
      </c>
      <c r="B2233" s="9" t="s">
        <v>5870</v>
      </c>
      <c r="C2233" s="9" t="s">
        <v>2470</v>
      </c>
      <c r="D2233" s="9" t="s">
        <v>5871</v>
      </c>
      <c r="E2233" s="9" t="str">
        <f aca="false">IF(AND('Formation Ledger'!A2212&lt;&gt;"",'Formation Ledger'!V2212=0),"PASS","FAIL")</f>
        <v>PASS</v>
      </c>
      <c r="F2233" s="9" t="s">
        <v>76</v>
      </c>
      <c r="G2233" s="6"/>
      <c r="H2233" s="6"/>
      <c r="I2233" s="6"/>
      <c r="J2233" s="6"/>
      <c r="K2233" s="6"/>
      <c r="L2233" s="6"/>
      <c r="M2233" s="6"/>
      <c r="N2233" s="6"/>
      <c r="O2233" s="6"/>
      <c r="P2233" s="6"/>
      <c r="Q2233" s="6"/>
      <c r="R2233" s="6"/>
      <c r="S2233" s="6"/>
      <c r="T2233" s="6"/>
      <c r="U2233" s="6"/>
      <c r="V2233" s="6"/>
      <c r="W2233" s="6"/>
      <c r="X2233" s="6"/>
      <c r="Y2233" s="6"/>
      <c r="Z2233" s="6"/>
    </row>
    <row r="2234" customFormat="false" ht="15" hidden="false" customHeight="false" outlineLevel="0" collapsed="false">
      <c r="A2234" s="9" t="s">
        <v>8077</v>
      </c>
      <c r="B2234" s="9" t="s">
        <v>5870</v>
      </c>
      <c r="C2234" s="9" t="s">
        <v>2471</v>
      </c>
      <c r="D2234" s="9" t="s">
        <v>5871</v>
      </c>
      <c r="E2234" s="9" t="str">
        <f aca="false">IF(AND('Formation Ledger'!A2213&lt;&gt;"",'Formation Ledger'!V2213=0),"PASS","FAIL")</f>
        <v>PASS</v>
      </c>
      <c r="F2234" s="9" t="s">
        <v>76</v>
      </c>
      <c r="G2234" s="6"/>
      <c r="H2234" s="6"/>
      <c r="I2234" s="6"/>
      <c r="J2234" s="6"/>
      <c r="K2234" s="6"/>
      <c r="L2234" s="6"/>
      <c r="M2234" s="6"/>
      <c r="N2234" s="6"/>
      <c r="O2234" s="6"/>
      <c r="P2234" s="6"/>
      <c r="Q2234" s="6"/>
      <c r="R2234" s="6"/>
      <c r="S2234" s="6"/>
      <c r="T2234" s="6"/>
      <c r="U2234" s="6"/>
      <c r="V2234" s="6"/>
      <c r="W2234" s="6"/>
      <c r="X2234" s="6"/>
      <c r="Y2234" s="6"/>
      <c r="Z2234" s="6"/>
    </row>
    <row r="2235" customFormat="false" ht="15" hidden="false" customHeight="false" outlineLevel="0" collapsed="false">
      <c r="A2235" s="9" t="s">
        <v>8078</v>
      </c>
      <c r="B2235" s="9" t="s">
        <v>5870</v>
      </c>
      <c r="C2235" s="9" t="s">
        <v>2472</v>
      </c>
      <c r="D2235" s="9" t="s">
        <v>5871</v>
      </c>
      <c r="E2235" s="9" t="str">
        <f aca="false">IF(AND('Formation Ledger'!A2214&lt;&gt;"",'Formation Ledger'!V2214=0),"PASS","FAIL")</f>
        <v>PASS</v>
      </c>
      <c r="F2235" s="9" t="s">
        <v>76</v>
      </c>
      <c r="G2235" s="6"/>
      <c r="H2235" s="6"/>
      <c r="I2235" s="6"/>
      <c r="J2235" s="6"/>
      <c r="K2235" s="6"/>
      <c r="L2235" s="6"/>
      <c r="M2235" s="6"/>
      <c r="N2235" s="6"/>
      <c r="O2235" s="6"/>
      <c r="P2235" s="6"/>
      <c r="Q2235" s="6"/>
      <c r="R2235" s="6"/>
      <c r="S2235" s="6"/>
      <c r="T2235" s="6"/>
      <c r="U2235" s="6"/>
      <c r="V2235" s="6"/>
      <c r="W2235" s="6"/>
      <c r="X2235" s="6"/>
      <c r="Y2235" s="6"/>
      <c r="Z2235" s="6"/>
    </row>
    <row r="2236" customFormat="false" ht="15" hidden="false" customHeight="false" outlineLevel="0" collapsed="false">
      <c r="A2236" s="9" t="s">
        <v>8079</v>
      </c>
      <c r="B2236" s="9" t="s">
        <v>5870</v>
      </c>
      <c r="C2236" s="9" t="s">
        <v>2473</v>
      </c>
      <c r="D2236" s="9" t="s">
        <v>5871</v>
      </c>
      <c r="E2236" s="9" t="str">
        <f aca="false">IF(AND('Formation Ledger'!A2215&lt;&gt;"",'Formation Ledger'!V2215=0),"PASS","FAIL")</f>
        <v>PASS</v>
      </c>
      <c r="F2236" s="9" t="s">
        <v>76</v>
      </c>
      <c r="G2236" s="6"/>
      <c r="H2236" s="6"/>
      <c r="I2236" s="6"/>
      <c r="J2236" s="6"/>
      <c r="K2236" s="6"/>
      <c r="L2236" s="6"/>
      <c r="M2236" s="6"/>
      <c r="N2236" s="6"/>
      <c r="O2236" s="6"/>
      <c r="P2236" s="6"/>
      <c r="Q2236" s="6"/>
      <c r="R2236" s="6"/>
      <c r="S2236" s="6"/>
      <c r="T2236" s="6"/>
      <c r="U2236" s="6"/>
      <c r="V2236" s="6"/>
      <c r="W2236" s="6"/>
      <c r="X2236" s="6"/>
      <c r="Y2236" s="6"/>
      <c r="Z2236" s="6"/>
    </row>
    <row r="2237" customFormat="false" ht="15" hidden="false" customHeight="false" outlineLevel="0" collapsed="false">
      <c r="A2237" s="9" t="s">
        <v>8080</v>
      </c>
      <c r="B2237" s="9" t="s">
        <v>5870</v>
      </c>
      <c r="C2237" s="9" t="s">
        <v>2474</v>
      </c>
      <c r="D2237" s="9" t="s">
        <v>5871</v>
      </c>
      <c r="E2237" s="9" t="str">
        <f aca="false">IF(AND('Formation Ledger'!A2216&lt;&gt;"",'Formation Ledger'!V2216=0),"PASS","FAIL")</f>
        <v>PASS</v>
      </c>
      <c r="F2237" s="9" t="s">
        <v>76</v>
      </c>
      <c r="G2237" s="6"/>
      <c r="H2237" s="6"/>
      <c r="I2237" s="6"/>
      <c r="J2237" s="6"/>
      <c r="K2237" s="6"/>
      <c r="L2237" s="6"/>
      <c r="M2237" s="6"/>
      <c r="N2237" s="6"/>
      <c r="O2237" s="6"/>
      <c r="P2237" s="6"/>
      <c r="Q2237" s="6"/>
      <c r="R2237" s="6"/>
      <c r="S2237" s="6"/>
      <c r="T2237" s="6"/>
      <c r="U2237" s="6"/>
      <c r="V2237" s="6"/>
      <c r="W2237" s="6"/>
      <c r="X2237" s="6"/>
      <c r="Y2237" s="6"/>
      <c r="Z2237" s="6"/>
    </row>
    <row r="2238" customFormat="false" ht="15" hidden="false" customHeight="false" outlineLevel="0" collapsed="false">
      <c r="A2238" s="9" t="s">
        <v>8081</v>
      </c>
      <c r="B2238" s="9" t="s">
        <v>5870</v>
      </c>
      <c r="C2238" s="9" t="s">
        <v>2475</v>
      </c>
      <c r="D2238" s="9" t="s">
        <v>5871</v>
      </c>
      <c r="E2238" s="9" t="str">
        <f aca="false">IF(AND('Formation Ledger'!A2217&lt;&gt;"",'Formation Ledger'!V2217=0),"PASS","FAIL")</f>
        <v>PASS</v>
      </c>
      <c r="F2238" s="9" t="s">
        <v>76</v>
      </c>
      <c r="G2238" s="6"/>
      <c r="H2238" s="6"/>
      <c r="I2238" s="6"/>
      <c r="J2238" s="6"/>
      <c r="K2238" s="6"/>
      <c r="L2238" s="6"/>
      <c r="M2238" s="6"/>
      <c r="N2238" s="6"/>
      <c r="O2238" s="6"/>
      <c r="P2238" s="6"/>
      <c r="Q2238" s="6"/>
      <c r="R2238" s="6"/>
      <c r="S2238" s="6"/>
      <c r="T2238" s="6"/>
      <c r="U2238" s="6"/>
      <c r="V2238" s="6"/>
      <c r="W2238" s="6"/>
      <c r="X2238" s="6"/>
      <c r="Y2238" s="6"/>
      <c r="Z2238" s="6"/>
    </row>
    <row r="2239" customFormat="false" ht="15" hidden="false" customHeight="false" outlineLevel="0" collapsed="false">
      <c r="A2239" s="9" t="s">
        <v>8082</v>
      </c>
      <c r="B2239" s="9" t="s">
        <v>5870</v>
      </c>
      <c r="C2239" s="9" t="s">
        <v>2476</v>
      </c>
      <c r="D2239" s="9" t="s">
        <v>5871</v>
      </c>
      <c r="E2239" s="9" t="str">
        <f aca="false">IF(AND('Formation Ledger'!A2218&lt;&gt;"",'Formation Ledger'!V2218=0),"PASS","FAIL")</f>
        <v>PASS</v>
      </c>
      <c r="F2239" s="9" t="s">
        <v>76</v>
      </c>
      <c r="G2239" s="6"/>
      <c r="H2239" s="6"/>
      <c r="I2239" s="6"/>
      <c r="J2239" s="6"/>
      <c r="K2239" s="6"/>
      <c r="L2239" s="6"/>
      <c r="M2239" s="6"/>
      <c r="N2239" s="6"/>
      <c r="O2239" s="6"/>
      <c r="P2239" s="6"/>
      <c r="Q2239" s="6"/>
      <c r="R2239" s="6"/>
      <c r="S2239" s="6"/>
      <c r="T2239" s="6"/>
      <c r="U2239" s="6"/>
      <c r="V2239" s="6"/>
      <c r="W2239" s="6"/>
      <c r="X2239" s="6"/>
      <c r="Y2239" s="6"/>
      <c r="Z2239" s="6"/>
    </row>
    <row r="2240" customFormat="false" ht="15" hidden="false" customHeight="false" outlineLevel="0" collapsed="false">
      <c r="A2240" s="9" t="s">
        <v>8083</v>
      </c>
      <c r="B2240" s="9" t="s">
        <v>5870</v>
      </c>
      <c r="C2240" s="9" t="s">
        <v>2477</v>
      </c>
      <c r="D2240" s="9" t="s">
        <v>5871</v>
      </c>
      <c r="E2240" s="9" t="str">
        <f aca="false">IF(AND('Formation Ledger'!A2219&lt;&gt;"",'Formation Ledger'!V2219=0),"PASS","FAIL")</f>
        <v>PASS</v>
      </c>
      <c r="F2240" s="9" t="s">
        <v>76</v>
      </c>
      <c r="G2240" s="6"/>
      <c r="H2240" s="6"/>
      <c r="I2240" s="6"/>
      <c r="J2240" s="6"/>
      <c r="K2240" s="6"/>
      <c r="L2240" s="6"/>
      <c r="M2240" s="6"/>
      <c r="N2240" s="6"/>
      <c r="O2240" s="6"/>
      <c r="P2240" s="6"/>
      <c r="Q2240" s="6"/>
      <c r="R2240" s="6"/>
      <c r="S2240" s="6"/>
      <c r="T2240" s="6"/>
      <c r="U2240" s="6"/>
      <c r="V2240" s="6"/>
      <c r="W2240" s="6"/>
      <c r="X2240" s="6"/>
      <c r="Y2240" s="6"/>
      <c r="Z2240" s="6"/>
    </row>
    <row r="2241" customFormat="false" ht="15" hidden="false" customHeight="false" outlineLevel="0" collapsed="false">
      <c r="A2241" s="9" t="s">
        <v>8084</v>
      </c>
      <c r="B2241" s="9" t="s">
        <v>5870</v>
      </c>
      <c r="C2241" s="9" t="s">
        <v>2478</v>
      </c>
      <c r="D2241" s="9" t="s">
        <v>5871</v>
      </c>
      <c r="E2241" s="9" t="str">
        <f aca="false">IF(AND('Formation Ledger'!A2220&lt;&gt;"",'Formation Ledger'!V2220=0),"PASS","FAIL")</f>
        <v>PASS</v>
      </c>
      <c r="F2241" s="9" t="s">
        <v>76</v>
      </c>
      <c r="G2241" s="6"/>
      <c r="H2241" s="6"/>
      <c r="I2241" s="6"/>
      <c r="J2241" s="6"/>
      <c r="K2241" s="6"/>
      <c r="L2241" s="6"/>
      <c r="M2241" s="6"/>
      <c r="N2241" s="6"/>
      <c r="O2241" s="6"/>
      <c r="P2241" s="6"/>
      <c r="Q2241" s="6"/>
      <c r="R2241" s="6"/>
      <c r="S2241" s="6"/>
      <c r="T2241" s="6"/>
      <c r="U2241" s="6"/>
      <c r="V2241" s="6"/>
      <c r="W2241" s="6"/>
      <c r="X2241" s="6"/>
      <c r="Y2241" s="6"/>
      <c r="Z2241" s="6"/>
    </row>
    <row r="2242" customFormat="false" ht="15" hidden="false" customHeight="false" outlineLevel="0" collapsed="false">
      <c r="A2242" s="9" t="s">
        <v>8085</v>
      </c>
      <c r="B2242" s="9" t="s">
        <v>5870</v>
      </c>
      <c r="C2242" s="9" t="s">
        <v>2479</v>
      </c>
      <c r="D2242" s="9" t="s">
        <v>5871</v>
      </c>
      <c r="E2242" s="9" t="str">
        <f aca="false">IF(AND('Formation Ledger'!A2221&lt;&gt;"",'Formation Ledger'!V2221=0),"PASS","FAIL")</f>
        <v>PASS</v>
      </c>
      <c r="F2242" s="9" t="s">
        <v>76</v>
      </c>
      <c r="G2242" s="6"/>
      <c r="H2242" s="6"/>
      <c r="I2242" s="6"/>
      <c r="J2242" s="6"/>
      <c r="K2242" s="6"/>
      <c r="L2242" s="6"/>
      <c r="M2242" s="6"/>
      <c r="N2242" s="6"/>
      <c r="O2242" s="6"/>
      <c r="P2242" s="6"/>
      <c r="Q2242" s="6"/>
      <c r="R2242" s="6"/>
      <c r="S2242" s="6"/>
      <c r="T2242" s="6"/>
      <c r="U2242" s="6"/>
      <c r="V2242" s="6"/>
      <c r="W2242" s="6"/>
      <c r="X2242" s="6"/>
      <c r="Y2242" s="6"/>
      <c r="Z2242" s="6"/>
    </row>
    <row r="2243" customFormat="false" ht="15" hidden="false" customHeight="false" outlineLevel="0" collapsed="false">
      <c r="A2243" s="9" t="s">
        <v>8086</v>
      </c>
      <c r="B2243" s="9" t="s">
        <v>5870</v>
      </c>
      <c r="C2243" s="9" t="s">
        <v>2480</v>
      </c>
      <c r="D2243" s="9" t="s">
        <v>5871</v>
      </c>
      <c r="E2243" s="9" t="str">
        <f aca="false">IF(AND('Formation Ledger'!A2222&lt;&gt;"",'Formation Ledger'!V2222=0),"PASS","FAIL")</f>
        <v>PASS</v>
      </c>
      <c r="F2243" s="9" t="s">
        <v>76</v>
      </c>
      <c r="G2243" s="6"/>
      <c r="H2243" s="6"/>
      <c r="I2243" s="6"/>
      <c r="J2243" s="6"/>
      <c r="K2243" s="6"/>
      <c r="L2243" s="6"/>
      <c r="M2243" s="6"/>
      <c r="N2243" s="6"/>
      <c r="O2243" s="6"/>
      <c r="P2243" s="6"/>
      <c r="Q2243" s="6"/>
      <c r="R2243" s="6"/>
      <c r="S2243" s="6"/>
      <c r="T2243" s="6"/>
      <c r="U2243" s="6"/>
      <c r="V2243" s="6"/>
      <c r="W2243" s="6"/>
      <c r="X2243" s="6"/>
      <c r="Y2243" s="6"/>
      <c r="Z2243" s="6"/>
    </row>
    <row r="2244" customFormat="false" ht="15" hidden="false" customHeight="false" outlineLevel="0" collapsed="false">
      <c r="A2244" s="9" t="s">
        <v>8087</v>
      </c>
      <c r="B2244" s="9" t="s">
        <v>5870</v>
      </c>
      <c r="C2244" s="9" t="s">
        <v>2481</v>
      </c>
      <c r="D2244" s="9" t="s">
        <v>5871</v>
      </c>
      <c r="E2244" s="9" t="str">
        <f aca="false">IF(AND('Formation Ledger'!A2223&lt;&gt;"",'Formation Ledger'!V2223=0),"PASS","FAIL")</f>
        <v>PASS</v>
      </c>
      <c r="F2244" s="9" t="s">
        <v>76</v>
      </c>
      <c r="G2244" s="6"/>
      <c r="H2244" s="6"/>
      <c r="I2244" s="6"/>
      <c r="J2244" s="6"/>
      <c r="K2244" s="6"/>
      <c r="L2244" s="6"/>
      <c r="M2244" s="6"/>
      <c r="N2244" s="6"/>
      <c r="O2244" s="6"/>
      <c r="P2244" s="6"/>
      <c r="Q2244" s="6"/>
      <c r="R2244" s="6"/>
      <c r="S2244" s="6"/>
      <c r="T2244" s="6"/>
      <c r="U2244" s="6"/>
      <c r="V2244" s="6"/>
      <c r="W2244" s="6"/>
      <c r="X2244" s="6"/>
      <c r="Y2244" s="6"/>
      <c r="Z2244" s="6"/>
    </row>
    <row r="2245" customFormat="false" ht="15" hidden="false" customHeight="false" outlineLevel="0" collapsed="false">
      <c r="A2245" s="9" t="s">
        <v>8088</v>
      </c>
      <c r="B2245" s="9" t="s">
        <v>5870</v>
      </c>
      <c r="C2245" s="9" t="s">
        <v>2482</v>
      </c>
      <c r="D2245" s="9" t="s">
        <v>5871</v>
      </c>
      <c r="E2245" s="9" t="str">
        <f aca="false">IF(AND('Formation Ledger'!A2224&lt;&gt;"",'Formation Ledger'!V2224=0),"PASS","FAIL")</f>
        <v>PASS</v>
      </c>
      <c r="F2245" s="9" t="s">
        <v>76</v>
      </c>
      <c r="G2245" s="6"/>
      <c r="H2245" s="6"/>
      <c r="I2245" s="6"/>
      <c r="J2245" s="6"/>
      <c r="K2245" s="6"/>
      <c r="L2245" s="6"/>
      <c r="M2245" s="6"/>
      <c r="N2245" s="6"/>
      <c r="O2245" s="6"/>
      <c r="P2245" s="6"/>
      <c r="Q2245" s="6"/>
      <c r="R2245" s="6"/>
      <c r="S2245" s="6"/>
      <c r="T2245" s="6"/>
      <c r="U2245" s="6"/>
      <c r="V2245" s="6"/>
      <c r="W2245" s="6"/>
      <c r="X2245" s="6"/>
      <c r="Y2245" s="6"/>
      <c r="Z2245" s="6"/>
    </row>
    <row r="2246" customFormat="false" ht="15" hidden="false" customHeight="false" outlineLevel="0" collapsed="false">
      <c r="A2246" s="9" t="s">
        <v>8089</v>
      </c>
      <c r="B2246" s="9" t="s">
        <v>5870</v>
      </c>
      <c r="C2246" s="9" t="s">
        <v>2483</v>
      </c>
      <c r="D2246" s="9" t="s">
        <v>5871</v>
      </c>
      <c r="E2246" s="9" t="str">
        <f aca="false">IF(AND('Formation Ledger'!A2225&lt;&gt;"",'Formation Ledger'!V2225=0),"PASS","FAIL")</f>
        <v>PASS</v>
      </c>
      <c r="F2246" s="9" t="s">
        <v>76</v>
      </c>
      <c r="G2246" s="6"/>
      <c r="H2246" s="6"/>
      <c r="I2246" s="6"/>
      <c r="J2246" s="6"/>
      <c r="K2246" s="6"/>
      <c r="L2246" s="6"/>
      <c r="M2246" s="6"/>
      <c r="N2246" s="6"/>
      <c r="O2246" s="6"/>
      <c r="P2246" s="6"/>
      <c r="Q2246" s="6"/>
      <c r="R2246" s="6"/>
      <c r="S2246" s="6"/>
      <c r="T2246" s="6"/>
      <c r="U2246" s="6"/>
      <c r="V2246" s="6"/>
      <c r="W2246" s="6"/>
      <c r="X2246" s="6"/>
      <c r="Y2246" s="6"/>
      <c r="Z2246" s="6"/>
    </row>
    <row r="2247" customFormat="false" ht="15" hidden="false" customHeight="false" outlineLevel="0" collapsed="false">
      <c r="A2247" s="9" t="s">
        <v>8090</v>
      </c>
      <c r="B2247" s="9" t="s">
        <v>5870</v>
      </c>
      <c r="C2247" s="9" t="s">
        <v>2484</v>
      </c>
      <c r="D2247" s="9" t="s">
        <v>5871</v>
      </c>
      <c r="E2247" s="9" t="str">
        <f aca="false">IF(AND('Formation Ledger'!A2226&lt;&gt;"",'Formation Ledger'!V2226=0),"PASS","FAIL")</f>
        <v>PASS</v>
      </c>
      <c r="F2247" s="9" t="s">
        <v>76</v>
      </c>
      <c r="G2247" s="6"/>
      <c r="H2247" s="6"/>
      <c r="I2247" s="6"/>
      <c r="J2247" s="6"/>
      <c r="K2247" s="6"/>
      <c r="L2247" s="6"/>
      <c r="M2247" s="6"/>
      <c r="N2247" s="6"/>
      <c r="O2247" s="6"/>
      <c r="P2247" s="6"/>
      <c r="Q2247" s="6"/>
      <c r="R2247" s="6"/>
      <c r="S2247" s="6"/>
      <c r="T2247" s="6"/>
      <c r="U2247" s="6"/>
      <c r="V2247" s="6"/>
      <c r="W2247" s="6"/>
      <c r="X2247" s="6"/>
      <c r="Y2247" s="6"/>
      <c r="Z2247" s="6"/>
    </row>
    <row r="2248" customFormat="false" ht="15" hidden="false" customHeight="false" outlineLevel="0" collapsed="false">
      <c r="A2248" s="9" t="s">
        <v>8091</v>
      </c>
      <c r="B2248" s="9" t="s">
        <v>5870</v>
      </c>
      <c r="C2248" s="9" t="s">
        <v>2485</v>
      </c>
      <c r="D2248" s="9" t="s">
        <v>5871</v>
      </c>
      <c r="E2248" s="9" t="str">
        <f aca="false">IF(AND('Formation Ledger'!A2227&lt;&gt;"",'Formation Ledger'!V2227=0),"PASS","FAIL")</f>
        <v>PASS</v>
      </c>
      <c r="F2248" s="9" t="s">
        <v>76</v>
      </c>
      <c r="G2248" s="6"/>
      <c r="H2248" s="6"/>
      <c r="I2248" s="6"/>
      <c r="J2248" s="6"/>
      <c r="K2248" s="6"/>
      <c r="L2248" s="6"/>
      <c r="M2248" s="6"/>
      <c r="N2248" s="6"/>
      <c r="O2248" s="6"/>
      <c r="P2248" s="6"/>
      <c r="Q2248" s="6"/>
      <c r="R2248" s="6"/>
      <c r="S2248" s="6"/>
      <c r="T2248" s="6"/>
      <c r="U2248" s="6"/>
      <c r="V2248" s="6"/>
      <c r="W2248" s="6"/>
      <c r="X2248" s="6"/>
      <c r="Y2248" s="6"/>
      <c r="Z2248" s="6"/>
    </row>
    <row r="2249" customFormat="false" ht="15" hidden="false" customHeight="false" outlineLevel="0" collapsed="false">
      <c r="A2249" s="9" t="s">
        <v>8092</v>
      </c>
      <c r="B2249" s="9" t="s">
        <v>5870</v>
      </c>
      <c r="C2249" s="9" t="s">
        <v>2486</v>
      </c>
      <c r="D2249" s="9" t="s">
        <v>5871</v>
      </c>
      <c r="E2249" s="9" t="str">
        <f aca="false">IF(AND('Formation Ledger'!A2228&lt;&gt;"",'Formation Ledger'!V2228=0),"PASS","FAIL")</f>
        <v>PASS</v>
      </c>
      <c r="F2249" s="9" t="s">
        <v>76</v>
      </c>
      <c r="G2249" s="6"/>
      <c r="H2249" s="6"/>
      <c r="I2249" s="6"/>
      <c r="J2249" s="6"/>
      <c r="K2249" s="6"/>
      <c r="L2249" s="6"/>
      <c r="M2249" s="6"/>
      <c r="N2249" s="6"/>
      <c r="O2249" s="6"/>
      <c r="P2249" s="6"/>
      <c r="Q2249" s="6"/>
      <c r="R2249" s="6"/>
      <c r="S2249" s="6"/>
      <c r="T2249" s="6"/>
      <c r="U2249" s="6"/>
      <c r="V2249" s="6"/>
      <c r="W2249" s="6"/>
      <c r="X2249" s="6"/>
      <c r="Y2249" s="6"/>
      <c r="Z2249" s="6"/>
    </row>
    <row r="2250" customFormat="false" ht="15" hidden="false" customHeight="false" outlineLevel="0" collapsed="false">
      <c r="A2250" s="9" t="s">
        <v>8093</v>
      </c>
      <c r="B2250" s="9" t="s">
        <v>5870</v>
      </c>
      <c r="C2250" s="9" t="s">
        <v>2487</v>
      </c>
      <c r="D2250" s="9" t="s">
        <v>5871</v>
      </c>
      <c r="E2250" s="9" t="str">
        <f aca="false">IF(AND('Formation Ledger'!A2229&lt;&gt;"",'Formation Ledger'!V2229=0),"PASS","FAIL")</f>
        <v>PASS</v>
      </c>
      <c r="F2250" s="9" t="s">
        <v>76</v>
      </c>
      <c r="G2250" s="6"/>
      <c r="H2250" s="6"/>
      <c r="I2250" s="6"/>
      <c r="J2250" s="6"/>
      <c r="K2250" s="6"/>
      <c r="L2250" s="6"/>
      <c r="M2250" s="6"/>
      <c r="N2250" s="6"/>
      <c r="O2250" s="6"/>
      <c r="P2250" s="6"/>
      <c r="Q2250" s="6"/>
      <c r="R2250" s="6"/>
      <c r="S2250" s="6"/>
      <c r="T2250" s="6"/>
      <c r="U2250" s="6"/>
      <c r="V2250" s="6"/>
      <c r="W2250" s="6"/>
      <c r="X2250" s="6"/>
      <c r="Y2250" s="6"/>
      <c r="Z2250" s="6"/>
    </row>
    <row r="2251" customFormat="false" ht="15" hidden="false" customHeight="false" outlineLevel="0" collapsed="false">
      <c r="A2251" s="9" t="s">
        <v>8094</v>
      </c>
      <c r="B2251" s="9" t="s">
        <v>5870</v>
      </c>
      <c r="C2251" s="9" t="s">
        <v>2488</v>
      </c>
      <c r="D2251" s="9" t="s">
        <v>5871</v>
      </c>
      <c r="E2251" s="9" t="str">
        <f aca="false">IF(AND('Formation Ledger'!A2230&lt;&gt;"",'Formation Ledger'!V2230=0),"PASS","FAIL")</f>
        <v>PASS</v>
      </c>
      <c r="F2251" s="9" t="s">
        <v>76</v>
      </c>
      <c r="G2251" s="6"/>
      <c r="H2251" s="6"/>
      <c r="I2251" s="6"/>
      <c r="J2251" s="6"/>
      <c r="K2251" s="6"/>
      <c r="L2251" s="6"/>
      <c r="M2251" s="6"/>
      <c r="N2251" s="6"/>
      <c r="O2251" s="6"/>
      <c r="P2251" s="6"/>
      <c r="Q2251" s="6"/>
      <c r="R2251" s="6"/>
      <c r="S2251" s="6"/>
      <c r="T2251" s="6"/>
      <c r="U2251" s="6"/>
      <c r="V2251" s="6"/>
      <c r="W2251" s="6"/>
      <c r="X2251" s="6"/>
      <c r="Y2251" s="6"/>
      <c r="Z2251" s="6"/>
    </row>
    <row r="2252" customFormat="false" ht="15" hidden="false" customHeight="false" outlineLevel="0" collapsed="false">
      <c r="A2252" s="9" t="s">
        <v>8095</v>
      </c>
      <c r="B2252" s="9" t="s">
        <v>5870</v>
      </c>
      <c r="C2252" s="9" t="s">
        <v>2489</v>
      </c>
      <c r="D2252" s="9" t="s">
        <v>5871</v>
      </c>
      <c r="E2252" s="9" t="str">
        <f aca="false">IF(AND('Formation Ledger'!A2231&lt;&gt;"",'Formation Ledger'!V2231=0),"PASS","FAIL")</f>
        <v>PASS</v>
      </c>
      <c r="F2252" s="9" t="s">
        <v>76</v>
      </c>
      <c r="G2252" s="6"/>
      <c r="H2252" s="6"/>
      <c r="I2252" s="6"/>
      <c r="J2252" s="6"/>
      <c r="K2252" s="6"/>
      <c r="L2252" s="6"/>
      <c r="M2252" s="6"/>
      <c r="N2252" s="6"/>
      <c r="O2252" s="6"/>
      <c r="P2252" s="6"/>
      <c r="Q2252" s="6"/>
      <c r="R2252" s="6"/>
      <c r="S2252" s="6"/>
      <c r="T2252" s="6"/>
      <c r="U2252" s="6"/>
      <c r="V2252" s="6"/>
      <c r="W2252" s="6"/>
      <c r="X2252" s="6"/>
      <c r="Y2252" s="6"/>
      <c r="Z2252" s="6"/>
    </row>
    <row r="2253" customFormat="false" ht="15" hidden="false" customHeight="false" outlineLevel="0" collapsed="false">
      <c r="A2253" s="9" t="s">
        <v>8096</v>
      </c>
      <c r="B2253" s="9" t="s">
        <v>5870</v>
      </c>
      <c r="C2253" s="9" t="s">
        <v>2490</v>
      </c>
      <c r="D2253" s="9" t="s">
        <v>5871</v>
      </c>
      <c r="E2253" s="9" t="str">
        <f aca="false">IF(AND('Formation Ledger'!A2232&lt;&gt;"",'Formation Ledger'!V2232=0),"PASS","FAIL")</f>
        <v>PASS</v>
      </c>
      <c r="F2253" s="9" t="s">
        <v>76</v>
      </c>
      <c r="G2253" s="6"/>
      <c r="H2253" s="6"/>
      <c r="I2253" s="6"/>
      <c r="J2253" s="6"/>
      <c r="K2253" s="6"/>
      <c r="L2253" s="6"/>
      <c r="M2253" s="6"/>
      <c r="N2253" s="6"/>
      <c r="O2253" s="6"/>
      <c r="P2253" s="6"/>
      <c r="Q2253" s="6"/>
      <c r="R2253" s="6"/>
      <c r="S2253" s="6"/>
      <c r="T2253" s="6"/>
      <c r="U2253" s="6"/>
      <c r="V2253" s="6"/>
      <c r="W2253" s="6"/>
      <c r="X2253" s="6"/>
      <c r="Y2253" s="6"/>
      <c r="Z2253" s="6"/>
    </row>
    <row r="2254" customFormat="false" ht="15" hidden="false" customHeight="false" outlineLevel="0" collapsed="false">
      <c r="A2254" s="9" t="s">
        <v>8097</v>
      </c>
      <c r="B2254" s="9" t="s">
        <v>5870</v>
      </c>
      <c r="C2254" s="9" t="s">
        <v>2491</v>
      </c>
      <c r="D2254" s="9" t="s">
        <v>5871</v>
      </c>
      <c r="E2254" s="9" t="str">
        <f aca="false">IF(AND('Formation Ledger'!A2233&lt;&gt;"",'Formation Ledger'!V2233=0),"PASS","FAIL")</f>
        <v>PASS</v>
      </c>
      <c r="F2254" s="9" t="s">
        <v>76</v>
      </c>
      <c r="G2254" s="6"/>
      <c r="H2254" s="6"/>
      <c r="I2254" s="6"/>
      <c r="J2254" s="6"/>
      <c r="K2254" s="6"/>
      <c r="L2254" s="6"/>
      <c r="M2254" s="6"/>
      <c r="N2254" s="6"/>
      <c r="O2254" s="6"/>
      <c r="P2254" s="6"/>
      <c r="Q2254" s="6"/>
      <c r="R2254" s="6"/>
      <c r="S2254" s="6"/>
      <c r="T2254" s="6"/>
      <c r="U2254" s="6"/>
      <c r="V2254" s="6"/>
      <c r="W2254" s="6"/>
      <c r="X2254" s="6"/>
      <c r="Y2254" s="6"/>
      <c r="Z2254" s="6"/>
    </row>
    <row r="2255" customFormat="false" ht="15" hidden="false" customHeight="false" outlineLevel="0" collapsed="false">
      <c r="A2255" s="9" t="s">
        <v>8098</v>
      </c>
      <c r="B2255" s="9" t="s">
        <v>5870</v>
      </c>
      <c r="C2255" s="9" t="s">
        <v>2492</v>
      </c>
      <c r="D2255" s="9" t="s">
        <v>5871</v>
      </c>
      <c r="E2255" s="9" t="str">
        <f aca="false">IF(AND('Formation Ledger'!A2234&lt;&gt;"",'Formation Ledger'!V2234=0),"PASS","FAIL")</f>
        <v>PASS</v>
      </c>
      <c r="F2255" s="9" t="s">
        <v>76</v>
      </c>
      <c r="G2255" s="6"/>
      <c r="H2255" s="6"/>
      <c r="I2255" s="6"/>
      <c r="J2255" s="6"/>
      <c r="K2255" s="6"/>
      <c r="L2255" s="6"/>
      <c r="M2255" s="6"/>
      <c r="N2255" s="6"/>
      <c r="O2255" s="6"/>
      <c r="P2255" s="6"/>
      <c r="Q2255" s="6"/>
      <c r="R2255" s="6"/>
      <c r="S2255" s="6"/>
      <c r="T2255" s="6"/>
      <c r="U2255" s="6"/>
      <c r="V2255" s="6"/>
      <c r="W2255" s="6"/>
      <c r="X2255" s="6"/>
      <c r="Y2255" s="6"/>
      <c r="Z2255" s="6"/>
    </row>
    <row r="2256" customFormat="false" ht="15" hidden="false" customHeight="false" outlineLevel="0" collapsed="false">
      <c r="A2256" s="9" t="s">
        <v>8099</v>
      </c>
      <c r="B2256" s="9" t="s">
        <v>5870</v>
      </c>
      <c r="C2256" s="9" t="s">
        <v>2493</v>
      </c>
      <c r="D2256" s="9" t="s">
        <v>5871</v>
      </c>
      <c r="E2256" s="9" t="str">
        <f aca="false">IF(AND('Formation Ledger'!A2235&lt;&gt;"",'Formation Ledger'!V2235=0),"PASS","FAIL")</f>
        <v>PASS</v>
      </c>
      <c r="F2256" s="9" t="s">
        <v>76</v>
      </c>
      <c r="G2256" s="6"/>
      <c r="H2256" s="6"/>
      <c r="I2256" s="6"/>
      <c r="J2256" s="6"/>
      <c r="K2256" s="6"/>
      <c r="L2256" s="6"/>
      <c r="M2256" s="6"/>
      <c r="N2256" s="6"/>
      <c r="O2256" s="6"/>
      <c r="P2256" s="6"/>
      <c r="Q2256" s="6"/>
      <c r="R2256" s="6"/>
      <c r="S2256" s="6"/>
      <c r="T2256" s="6"/>
      <c r="U2256" s="6"/>
      <c r="V2256" s="6"/>
      <c r="W2256" s="6"/>
      <c r="X2256" s="6"/>
      <c r="Y2256" s="6"/>
      <c r="Z2256" s="6"/>
    </row>
    <row r="2257" customFormat="false" ht="15" hidden="false" customHeight="false" outlineLevel="0" collapsed="false">
      <c r="A2257" s="9" t="s">
        <v>8100</v>
      </c>
      <c r="B2257" s="9" t="s">
        <v>5870</v>
      </c>
      <c r="C2257" s="9" t="s">
        <v>2494</v>
      </c>
      <c r="D2257" s="9" t="s">
        <v>5871</v>
      </c>
      <c r="E2257" s="9" t="str">
        <f aca="false">IF(AND('Formation Ledger'!A2236&lt;&gt;"",'Formation Ledger'!V2236=0),"PASS","FAIL")</f>
        <v>PASS</v>
      </c>
      <c r="F2257" s="9" t="s">
        <v>76</v>
      </c>
      <c r="G2257" s="6"/>
      <c r="H2257" s="6"/>
      <c r="I2257" s="6"/>
      <c r="J2257" s="6"/>
      <c r="K2257" s="6"/>
      <c r="L2257" s="6"/>
      <c r="M2257" s="6"/>
      <c r="N2257" s="6"/>
      <c r="O2257" s="6"/>
      <c r="P2257" s="6"/>
      <c r="Q2257" s="6"/>
      <c r="R2257" s="6"/>
      <c r="S2257" s="6"/>
      <c r="T2257" s="6"/>
      <c r="U2257" s="6"/>
      <c r="V2257" s="6"/>
      <c r="W2257" s="6"/>
      <c r="X2257" s="6"/>
      <c r="Y2257" s="6"/>
      <c r="Z2257" s="6"/>
    </row>
    <row r="2258" customFormat="false" ht="15" hidden="false" customHeight="false" outlineLevel="0" collapsed="false">
      <c r="A2258" s="9" t="s">
        <v>8101</v>
      </c>
      <c r="B2258" s="9" t="s">
        <v>5870</v>
      </c>
      <c r="C2258" s="9" t="s">
        <v>2495</v>
      </c>
      <c r="D2258" s="9" t="s">
        <v>5871</v>
      </c>
      <c r="E2258" s="9" t="str">
        <f aca="false">IF(AND('Formation Ledger'!A2237&lt;&gt;"",'Formation Ledger'!V2237=0),"PASS","FAIL")</f>
        <v>PASS</v>
      </c>
      <c r="F2258" s="9" t="s">
        <v>76</v>
      </c>
      <c r="G2258" s="6"/>
      <c r="H2258" s="6"/>
      <c r="I2258" s="6"/>
      <c r="J2258" s="6"/>
      <c r="K2258" s="6"/>
      <c r="L2258" s="6"/>
      <c r="M2258" s="6"/>
      <c r="N2258" s="6"/>
      <c r="O2258" s="6"/>
      <c r="P2258" s="6"/>
      <c r="Q2258" s="6"/>
      <c r="R2258" s="6"/>
      <c r="S2258" s="6"/>
      <c r="T2258" s="6"/>
      <c r="U2258" s="6"/>
      <c r="V2258" s="6"/>
      <c r="W2258" s="6"/>
      <c r="X2258" s="6"/>
      <c r="Y2258" s="6"/>
      <c r="Z2258" s="6"/>
    </row>
    <row r="2259" customFormat="false" ht="15" hidden="false" customHeight="false" outlineLevel="0" collapsed="false">
      <c r="A2259" s="9" t="s">
        <v>8102</v>
      </c>
      <c r="B2259" s="9" t="s">
        <v>5870</v>
      </c>
      <c r="C2259" s="9" t="s">
        <v>2496</v>
      </c>
      <c r="D2259" s="9" t="s">
        <v>5871</v>
      </c>
      <c r="E2259" s="9" t="str">
        <f aca="false">IF(AND('Formation Ledger'!A2238&lt;&gt;"",'Formation Ledger'!V2238=0),"PASS","FAIL")</f>
        <v>PASS</v>
      </c>
      <c r="F2259" s="9" t="s">
        <v>76</v>
      </c>
      <c r="G2259" s="6"/>
      <c r="H2259" s="6"/>
      <c r="I2259" s="6"/>
      <c r="J2259" s="6"/>
      <c r="K2259" s="6"/>
      <c r="L2259" s="6"/>
      <c r="M2259" s="6"/>
      <c r="N2259" s="6"/>
      <c r="O2259" s="6"/>
      <c r="P2259" s="6"/>
      <c r="Q2259" s="6"/>
      <c r="R2259" s="6"/>
      <c r="S2259" s="6"/>
      <c r="T2259" s="6"/>
      <c r="U2259" s="6"/>
      <c r="V2259" s="6"/>
      <c r="W2259" s="6"/>
      <c r="X2259" s="6"/>
      <c r="Y2259" s="6"/>
      <c r="Z2259" s="6"/>
    </row>
    <row r="2260" customFormat="false" ht="15" hidden="false" customHeight="false" outlineLevel="0" collapsed="false">
      <c r="A2260" s="9" t="s">
        <v>8103</v>
      </c>
      <c r="B2260" s="9" t="s">
        <v>5870</v>
      </c>
      <c r="C2260" s="9" t="s">
        <v>2497</v>
      </c>
      <c r="D2260" s="9" t="s">
        <v>5871</v>
      </c>
      <c r="E2260" s="9" t="str">
        <f aca="false">IF(AND('Formation Ledger'!A2239&lt;&gt;"",'Formation Ledger'!V2239=0),"PASS","FAIL")</f>
        <v>PASS</v>
      </c>
      <c r="F2260" s="9" t="s">
        <v>76</v>
      </c>
      <c r="G2260" s="6"/>
      <c r="H2260" s="6"/>
      <c r="I2260" s="6"/>
      <c r="J2260" s="6"/>
      <c r="K2260" s="6"/>
      <c r="L2260" s="6"/>
      <c r="M2260" s="6"/>
      <c r="N2260" s="6"/>
      <c r="O2260" s="6"/>
      <c r="P2260" s="6"/>
      <c r="Q2260" s="6"/>
      <c r="R2260" s="6"/>
      <c r="S2260" s="6"/>
      <c r="T2260" s="6"/>
      <c r="U2260" s="6"/>
      <c r="V2260" s="6"/>
      <c r="W2260" s="6"/>
      <c r="X2260" s="6"/>
      <c r="Y2260" s="6"/>
      <c r="Z2260" s="6"/>
    </row>
    <row r="2261" customFormat="false" ht="15" hidden="false" customHeight="false" outlineLevel="0" collapsed="false">
      <c r="A2261" s="9" t="s">
        <v>8104</v>
      </c>
      <c r="B2261" s="9" t="s">
        <v>5870</v>
      </c>
      <c r="C2261" s="9" t="s">
        <v>2498</v>
      </c>
      <c r="D2261" s="9" t="s">
        <v>5871</v>
      </c>
      <c r="E2261" s="9" t="str">
        <f aca="false">IF(AND('Formation Ledger'!A2240&lt;&gt;"",'Formation Ledger'!V2240=0),"PASS","FAIL")</f>
        <v>PASS</v>
      </c>
      <c r="F2261" s="9" t="s">
        <v>76</v>
      </c>
      <c r="G2261" s="6"/>
      <c r="H2261" s="6"/>
      <c r="I2261" s="6"/>
      <c r="J2261" s="6"/>
      <c r="K2261" s="6"/>
      <c r="L2261" s="6"/>
      <c r="M2261" s="6"/>
      <c r="N2261" s="6"/>
      <c r="O2261" s="6"/>
      <c r="P2261" s="6"/>
      <c r="Q2261" s="6"/>
      <c r="R2261" s="6"/>
      <c r="S2261" s="6"/>
      <c r="T2261" s="6"/>
      <c r="U2261" s="6"/>
      <c r="V2261" s="6"/>
      <c r="W2261" s="6"/>
      <c r="X2261" s="6"/>
      <c r="Y2261" s="6"/>
      <c r="Z2261" s="6"/>
    </row>
    <row r="2262" customFormat="false" ht="15" hidden="false" customHeight="false" outlineLevel="0" collapsed="false">
      <c r="A2262" s="9" t="s">
        <v>8105</v>
      </c>
      <c r="B2262" s="9" t="s">
        <v>5870</v>
      </c>
      <c r="C2262" s="9" t="s">
        <v>2499</v>
      </c>
      <c r="D2262" s="9" t="s">
        <v>5871</v>
      </c>
      <c r="E2262" s="9" t="str">
        <f aca="false">IF(AND('Formation Ledger'!A2241&lt;&gt;"",'Formation Ledger'!V2241=0),"PASS","FAIL")</f>
        <v>PASS</v>
      </c>
      <c r="F2262" s="9" t="s">
        <v>76</v>
      </c>
      <c r="G2262" s="6"/>
      <c r="H2262" s="6"/>
      <c r="I2262" s="6"/>
      <c r="J2262" s="6"/>
      <c r="K2262" s="6"/>
      <c r="L2262" s="6"/>
      <c r="M2262" s="6"/>
      <c r="N2262" s="6"/>
      <c r="O2262" s="6"/>
      <c r="P2262" s="6"/>
      <c r="Q2262" s="6"/>
      <c r="R2262" s="6"/>
      <c r="S2262" s="6"/>
      <c r="T2262" s="6"/>
      <c r="U2262" s="6"/>
      <c r="V2262" s="6"/>
      <c r="W2262" s="6"/>
      <c r="X2262" s="6"/>
      <c r="Y2262" s="6"/>
      <c r="Z2262" s="6"/>
    </row>
    <row r="2263" customFormat="false" ht="15" hidden="false" customHeight="false" outlineLevel="0" collapsed="false">
      <c r="A2263" s="9" t="s">
        <v>8106</v>
      </c>
      <c r="B2263" s="9" t="s">
        <v>5870</v>
      </c>
      <c r="C2263" s="9" t="s">
        <v>2500</v>
      </c>
      <c r="D2263" s="9" t="s">
        <v>5871</v>
      </c>
      <c r="E2263" s="9" t="str">
        <f aca="false">IF(AND('Formation Ledger'!A2242&lt;&gt;"",'Formation Ledger'!V2242=0),"PASS","FAIL")</f>
        <v>PASS</v>
      </c>
      <c r="F2263" s="9" t="s">
        <v>76</v>
      </c>
      <c r="G2263" s="6"/>
      <c r="H2263" s="6"/>
      <c r="I2263" s="6"/>
      <c r="J2263" s="6"/>
      <c r="K2263" s="6"/>
      <c r="L2263" s="6"/>
      <c r="M2263" s="6"/>
      <c r="N2263" s="6"/>
      <c r="O2263" s="6"/>
      <c r="P2263" s="6"/>
      <c r="Q2263" s="6"/>
      <c r="R2263" s="6"/>
      <c r="S2263" s="6"/>
      <c r="T2263" s="6"/>
      <c r="U2263" s="6"/>
      <c r="V2263" s="6"/>
      <c r="W2263" s="6"/>
      <c r="X2263" s="6"/>
      <c r="Y2263" s="6"/>
      <c r="Z2263" s="6"/>
    </row>
    <row r="2264" customFormat="false" ht="15" hidden="false" customHeight="false" outlineLevel="0" collapsed="false">
      <c r="A2264" s="9" t="s">
        <v>8107</v>
      </c>
      <c r="B2264" s="9" t="s">
        <v>5870</v>
      </c>
      <c r="C2264" s="9" t="s">
        <v>2501</v>
      </c>
      <c r="D2264" s="9" t="s">
        <v>5871</v>
      </c>
      <c r="E2264" s="9" t="str">
        <f aca="false">IF(AND('Formation Ledger'!A2243&lt;&gt;"",'Formation Ledger'!V2243=0),"PASS","FAIL")</f>
        <v>PASS</v>
      </c>
      <c r="F2264" s="9" t="s">
        <v>76</v>
      </c>
      <c r="G2264" s="6"/>
      <c r="H2264" s="6"/>
      <c r="I2264" s="6"/>
      <c r="J2264" s="6"/>
      <c r="K2264" s="6"/>
      <c r="L2264" s="6"/>
      <c r="M2264" s="6"/>
      <c r="N2264" s="6"/>
      <c r="O2264" s="6"/>
      <c r="P2264" s="6"/>
      <c r="Q2264" s="6"/>
      <c r="R2264" s="6"/>
      <c r="S2264" s="6"/>
      <c r="T2264" s="6"/>
      <c r="U2264" s="6"/>
      <c r="V2264" s="6"/>
      <c r="W2264" s="6"/>
      <c r="X2264" s="6"/>
      <c r="Y2264" s="6"/>
      <c r="Z2264" s="6"/>
    </row>
    <row r="2265" customFormat="false" ht="15" hidden="false" customHeight="false" outlineLevel="0" collapsed="false">
      <c r="A2265" s="9" t="s">
        <v>8108</v>
      </c>
      <c r="B2265" s="9" t="s">
        <v>5870</v>
      </c>
      <c r="C2265" s="9" t="s">
        <v>2502</v>
      </c>
      <c r="D2265" s="9" t="s">
        <v>5871</v>
      </c>
      <c r="E2265" s="9" t="str">
        <f aca="false">IF(AND('Formation Ledger'!A2244&lt;&gt;"",'Formation Ledger'!V2244=0),"PASS","FAIL")</f>
        <v>PASS</v>
      </c>
      <c r="F2265" s="9" t="s">
        <v>76</v>
      </c>
      <c r="G2265" s="6"/>
      <c r="H2265" s="6"/>
      <c r="I2265" s="6"/>
      <c r="J2265" s="6"/>
      <c r="K2265" s="6"/>
      <c r="L2265" s="6"/>
      <c r="M2265" s="6"/>
      <c r="N2265" s="6"/>
      <c r="O2265" s="6"/>
      <c r="P2265" s="6"/>
      <c r="Q2265" s="6"/>
      <c r="R2265" s="6"/>
      <c r="S2265" s="6"/>
      <c r="T2265" s="6"/>
      <c r="U2265" s="6"/>
      <c r="V2265" s="6"/>
      <c r="W2265" s="6"/>
      <c r="X2265" s="6"/>
      <c r="Y2265" s="6"/>
      <c r="Z2265" s="6"/>
    </row>
    <row r="2266" customFormat="false" ht="15" hidden="false" customHeight="false" outlineLevel="0" collapsed="false">
      <c r="A2266" s="9" t="s">
        <v>8109</v>
      </c>
      <c r="B2266" s="9" t="s">
        <v>5870</v>
      </c>
      <c r="C2266" s="9" t="s">
        <v>2503</v>
      </c>
      <c r="D2266" s="9" t="s">
        <v>5871</v>
      </c>
      <c r="E2266" s="9" t="str">
        <f aca="false">IF(AND('Formation Ledger'!A2245&lt;&gt;"",'Formation Ledger'!V2245=0),"PASS","FAIL")</f>
        <v>PASS</v>
      </c>
      <c r="F2266" s="9" t="s">
        <v>76</v>
      </c>
      <c r="G2266" s="6"/>
      <c r="H2266" s="6"/>
      <c r="I2266" s="6"/>
      <c r="J2266" s="6"/>
      <c r="K2266" s="6"/>
      <c r="L2266" s="6"/>
      <c r="M2266" s="6"/>
      <c r="N2266" s="6"/>
      <c r="O2266" s="6"/>
      <c r="P2266" s="6"/>
      <c r="Q2266" s="6"/>
      <c r="R2266" s="6"/>
      <c r="S2266" s="6"/>
      <c r="T2266" s="6"/>
      <c r="U2266" s="6"/>
      <c r="V2266" s="6"/>
      <c r="W2266" s="6"/>
      <c r="X2266" s="6"/>
      <c r="Y2266" s="6"/>
      <c r="Z2266" s="6"/>
    </row>
    <row r="2267" customFormat="false" ht="15" hidden="false" customHeight="false" outlineLevel="0" collapsed="false">
      <c r="A2267" s="9" t="s">
        <v>8110</v>
      </c>
      <c r="B2267" s="9" t="s">
        <v>5870</v>
      </c>
      <c r="C2267" s="9" t="s">
        <v>2504</v>
      </c>
      <c r="D2267" s="9" t="s">
        <v>5871</v>
      </c>
      <c r="E2267" s="9" t="str">
        <f aca="false">IF(AND('Formation Ledger'!A2246&lt;&gt;"",'Formation Ledger'!V2246=0),"PASS","FAIL")</f>
        <v>PASS</v>
      </c>
      <c r="F2267" s="9" t="s">
        <v>76</v>
      </c>
      <c r="G2267" s="6"/>
      <c r="H2267" s="6"/>
      <c r="I2267" s="6"/>
      <c r="J2267" s="6"/>
      <c r="K2267" s="6"/>
      <c r="L2267" s="6"/>
      <c r="M2267" s="6"/>
      <c r="N2267" s="6"/>
      <c r="O2267" s="6"/>
      <c r="P2267" s="6"/>
      <c r="Q2267" s="6"/>
      <c r="R2267" s="6"/>
      <c r="S2267" s="6"/>
      <c r="T2267" s="6"/>
      <c r="U2267" s="6"/>
      <c r="V2267" s="6"/>
      <c r="W2267" s="6"/>
      <c r="X2267" s="6"/>
      <c r="Y2267" s="6"/>
      <c r="Z2267" s="6"/>
    </row>
    <row r="2268" customFormat="false" ht="15" hidden="false" customHeight="false" outlineLevel="0" collapsed="false">
      <c r="A2268" s="9" t="s">
        <v>8111</v>
      </c>
      <c r="B2268" s="9" t="s">
        <v>5870</v>
      </c>
      <c r="C2268" s="9" t="s">
        <v>2505</v>
      </c>
      <c r="D2268" s="9" t="s">
        <v>5871</v>
      </c>
      <c r="E2268" s="9" t="str">
        <f aca="false">IF(AND('Formation Ledger'!A2247&lt;&gt;"",'Formation Ledger'!V2247=0),"PASS","FAIL")</f>
        <v>PASS</v>
      </c>
      <c r="F2268" s="9" t="s">
        <v>76</v>
      </c>
      <c r="G2268" s="6"/>
      <c r="H2268" s="6"/>
      <c r="I2268" s="6"/>
      <c r="J2268" s="6"/>
      <c r="K2268" s="6"/>
      <c r="L2268" s="6"/>
      <c r="M2268" s="6"/>
      <c r="N2268" s="6"/>
      <c r="O2268" s="6"/>
      <c r="P2268" s="6"/>
      <c r="Q2268" s="6"/>
      <c r="R2268" s="6"/>
      <c r="S2268" s="6"/>
      <c r="T2268" s="6"/>
      <c r="U2268" s="6"/>
      <c r="V2268" s="6"/>
      <c r="W2268" s="6"/>
      <c r="X2268" s="6"/>
      <c r="Y2268" s="6"/>
      <c r="Z2268" s="6"/>
    </row>
    <row r="2269" customFormat="false" ht="15" hidden="false" customHeight="false" outlineLevel="0" collapsed="false">
      <c r="A2269" s="9" t="s">
        <v>8112</v>
      </c>
      <c r="B2269" s="9" t="s">
        <v>5870</v>
      </c>
      <c r="C2269" s="9" t="s">
        <v>2506</v>
      </c>
      <c r="D2269" s="9" t="s">
        <v>5871</v>
      </c>
      <c r="E2269" s="9" t="str">
        <f aca="false">IF(AND('Formation Ledger'!A2248&lt;&gt;"",'Formation Ledger'!V2248=0),"PASS","FAIL")</f>
        <v>PASS</v>
      </c>
      <c r="F2269" s="9" t="s">
        <v>76</v>
      </c>
      <c r="G2269" s="6"/>
      <c r="H2269" s="6"/>
      <c r="I2269" s="6"/>
      <c r="J2269" s="6"/>
      <c r="K2269" s="6"/>
      <c r="L2269" s="6"/>
      <c r="M2269" s="6"/>
      <c r="N2269" s="6"/>
      <c r="O2269" s="6"/>
      <c r="P2269" s="6"/>
      <c r="Q2269" s="6"/>
      <c r="R2269" s="6"/>
      <c r="S2269" s="6"/>
      <c r="T2269" s="6"/>
      <c r="U2269" s="6"/>
      <c r="V2269" s="6"/>
      <c r="W2269" s="6"/>
      <c r="X2269" s="6"/>
      <c r="Y2269" s="6"/>
      <c r="Z2269" s="6"/>
    </row>
    <row r="2270" customFormat="false" ht="15" hidden="false" customHeight="false" outlineLevel="0" collapsed="false">
      <c r="A2270" s="9" t="s">
        <v>8113</v>
      </c>
      <c r="B2270" s="9" t="s">
        <v>5870</v>
      </c>
      <c r="C2270" s="9" t="s">
        <v>2507</v>
      </c>
      <c r="D2270" s="9" t="s">
        <v>5871</v>
      </c>
      <c r="E2270" s="9" t="str">
        <f aca="false">IF(AND('Formation Ledger'!A2249&lt;&gt;"",'Formation Ledger'!V2249=0),"PASS","FAIL")</f>
        <v>PASS</v>
      </c>
      <c r="F2270" s="9" t="s">
        <v>76</v>
      </c>
      <c r="G2270" s="6"/>
      <c r="H2270" s="6"/>
      <c r="I2270" s="6"/>
      <c r="J2270" s="6"/>
      <c r="K2270" s="6"/>
      <c r="L2270" s="6"/>
      <c r="M2270" s="6"/>
      <c r="N2270" s="6"/>
      <c r="O2270" s="6"/>
      <c r="P2270" s="6"/>
      <c r="Q2270" s="6"/>
      <c r="R2270" s="6"/>
      <c r="S2270" s="6"/>
      <c r="T2270" s="6"/>
      <c r="U2270" s="6"/>
      <c r="V2270" s="6"/>
      <c r="W2270" s="6"/>
      <c r="X2270" s="6"/>
      <c r="Y2270" s="6"/>
      <c r="Z2270" s="6"/>
    </row>
    <row r="2271" customFormat="false" ht="15" hidden="false" customHeight="false" outlineLevel="0" collapsed="false">
      <c r="A2271" s="9" t="s">
        <v>8114</v>
      </c>
      <c r="B2271" s="9" t="s">
        <v>5870</v>
      </c>
      <c r="C2271" s="9" t="s">
        <v>2508</v>
      </c>
      <c r="D2271" s="9" t="s">
        <v>5871</v>
      </c>
      <c r="E2271" s="9" t="str">
        <f aca="false">IF(AND('Formation Ledger'!A2250&lt;&gt;"",'Formation Ledger'!V2250=0),"PASS","FAIL")</f>
        <v>PASS</v>
      </c>
      <c r="F2271" s="9" t="s">
        <v>76</v>
      </c>
      <c r="G2271" s="6"/>
      <c r="H2271" s="6"/>
      <c r="I2271" s="6"/>
      <c r="J2271" s="6"/>
      <c r="K2271" s="6"/>
      <c r="L2271" s="6"/>
      <c r="M2271" s="6"/>
      <c r="N2271" s="6"/>
      <c r="O2271" s="6"/>
      <c r="P2271" s="6"/>
      <c r="Q2271" s="6"/>
      <c r="R2271" s="6"/>
      <c r="S2271" s="6"/>
      <c r="T2271" s="6"/>
      <c r="U2271" s="6"/>
      <c r="V2271" s="6"/>
      <c r="W2271" s="6"/>
      <c r="X2271" s="6"/>
      <c r="Y2271" s="6"/>
      <c r="Z2271" s="6"/>
    </row>
    <row r="2272" customFormat="false" ht="15" hidden="false" customHeight="false" outlineLevel="0" collapsed="false">
      <c r="A2272" s="9" t="s">
        <v>8115</v>
      </c>
      <c r="B2272" s="9" t="s">
        <v>5870</v>
      </c>
      <c r="C2272" s="9" t="s">
        <v>2509</v>
      </c>
      <c r="D2272" s="9" t="s">
        <v>5871</v>
      </c>
      <c r="E2272" s="9" t="str">
        <f aca="false">IF(AND('Formation Ledger'!A2251&lt;&gt;"",'Formation Ledger'!V2251=0),"PASS","FAIL")</f>
        <v>PASS</v>
      </c>
      <c r="F2272" s="9" t="s">
        <v>76</v>
      </c>
      <c r="G2272" s="6"/>
      <c r="H2272" s="6"/>
      <c r="I2272" s="6"/>
      <c r="J2272" s="6"/>
      <c r="K2272" s="6"/>
      <c r="L2272" s="6"/>
      <c r="M2272" s="6"/>
      <c r="N2272" s="6"/>
      <c r="O2272" s="6"/>
      <c r="P2272" s="6"/>
      <c r="Q2272" s="6"/>
      <c r="R2272" s="6"/>
      <c r="S2272" s="6"/>
      <c r="T2272" s="6"/>
      <c r="U2272" s="6"/>
      <c r="V2272" s="6"/>
      <c r="W2272" s="6"/>
      <c r="X2272" s="6"/>
      <c r="Y2272" s="6"/>
      <c r="Z2272" s="6"/>
    </row>
    <row r="2273" customFormat="false" ht="15" hidden="false" customHeight="false" outlineLevel="0" collapsed="false">
      <c r="A2273" s="9" t="s">
        <v>8116</v>
      </c>
      <c r="B2273" s="9" t="s">
        <v>5870</v>
      </c>
      <c r="C2273" s="9" t="s">
        <v>2510</v>
      </c>
      <c r="D2273" s="9" t="s">
        <v>5871</v>
      </c>
      <c r="E2273" s="9" t="str">
        <f aca="false">IF(AND('Formation Ledger'!A2252&lt;&gt;"",'Formation Ledger'!V2252=0),"PASS","FAIL")</f>
        <v>PASS</v>
      </c>
      <c r="F2273" s="9" t="s">
        <v>76</v>
      </c>
      <c r="G2273" s="6"/>
      <c r="H2273" s="6"/>
      <c r="I2273" s="6"/>
      <c r="J2273" s="6"/>
      <c r="K2273" s="6"/>
      <c r="L2273" s="6"/>
      <c r="M2273" s="6"/>
      <c r="N2273" s="6"/>
      <c r="O2273" s="6"/>
      <c r="P2273" s="6"/>
      <c r="Q2273" s="6"/>
      <c r="R2273" s="6"/>
      <c r="S2273" s="6"/>
      <c r="T2273" s="6"/>
      <c r="U2273" s="6"/>
      <c r="V2273" s="6"/>
      <c r="W2273" s="6"/>
      <c r="X2273" s="6"/>
      <c r="Y2273" s="6"/>
      <c r="Z2273" s="6"/>
    </row>
    <row r="2274" customFormat="false" ht="15" hidden="false" customHeight="false" outlineLevel="0" collapsed="false">
      <c r="A2274" s="9" t="s">
        <v>8117</v>
      </c>
      <c r="B2274" s="9" t="s">
        <v>5870</v>
      </c>
      <c r="C2274" s="9" t="s">
        <v>2511</v>
      </c>
      <c r="D2274" s="9" t="s">
        <v>5871</v>
      </c>
      <c r="E2274" s="9" t="str">
        <f aca="false">IF(AND('Formation Ledger'!A2253&lt;&gt;"",'Formation Ledger'!V2253=0),"PASS","FAIL")</f>
        <v>PASS</v>
      </c>
      <c r="F2274" s="9" t="s">
        <v>76</v>
      </c>
      <c r="G2274" s="6"/>
      <c r="H2274" s="6"/>
      <c r="I2274" s="6"/>
      <c r="J2274" s="6"/>
      <c r="K2274" s="6"/>
      <c r="L2274" s="6"/>
      <c r="M2274" s="6"/>
      <c r="N2274" s="6"/>
      <c r="O2274" s="6"/>
      <c r="P2274" s="6"/>
      <c r="Q2274" s="6"/>
      <c r="R2274" s="6"/>
      <c r="S2274" s="6"/>
      <c r="T2274" s="6"/>
      <c r="U2274" s="6"/>
      <c r="V2274" s="6"/>
      <c r="W2274" s="6"/>
      <c r="X2274" s="6"/>
      <c r="Y2274" s="6"/>
      <c r="Z2274" s="6"/>
    </row>
    <row r="2275" customFormat="false" ht="15" hidden="false" customHeight="false" outlineLevel="0" collapsed="false">
      <c r="A2275" s="9" t="s">
        <v>8118</v>
      </c>
      <c r="B2275" s="9" t="s">
        <v>5870</v>
      </c>
      <c r="C2275" s="9" t="s">
        <v>2512</v>
      </c>
      <c r="D2275" s="9" t="s">
        <v>5871</v>
      </c>
      <c r="E2275" s="9" t="str">
        <f aca="false">IF(AND('Formation Ledger'!A2254&lt;&gt;"",'Formation Ledger'!V2254=0),"PASS","FAIL")</f>
        <v>PASS</v>
      </c>
      <c r="F2275" s="9" t="s">
        <v>76</v>
      </c>
      <c r="G2275" s="6"/>
      <c r="H2275" s="6"/>
      <c r="I2275" s="6"/>
      <c r="J2275" s="6"/>
      <c r="K2275" s="6"/>
      <c r="L2275" s="6"/>
      <c r="M2275" s="6"/>
      <c r="N2275" s="6"/>
      <c r="O2275" s="6"/>
      <c r="P2275" s="6"/>
      <c r="Q2275" s="6"/>
      <c r="R2275" s="6"/>
      <c r="S2275" s="6"/>
      <c r="T2275" s="6"/>
      <c r="U2275" s="6"/>
      <c r="V2275" s="6"/>
      <c r="W2275" s="6"/>
      <c r="X2275" s="6"/>
      <c r="Y2275" s="6"/>
      <c r="Z2275" s="6"/>
    </row>
    <row r="2276" customFormat="false" ht="15" hidden="false" customHeight="false" outlineLevel="0" collapsed="false">
      <c r="A2276" s="9" t="s">
        <v>8119</v>
      </c>
      <c r="B2276" s="9" t="s">
        <v>5870</v>
      </c>
      <c r="C2276" s="9" t="s">
        <v>2513</v>
      </c>
      <c r="D2276" s="9" t="s">
        <v>5871</v>
      </c>
      <c r="E2276" s="9" t="str">
        <f aca="false">IF(AND('Formation Ledger'!A2255&lt;&gt;"",'Formation Ledger'!V2255=0),"PASS","FAIL")</f>
        <v>PASS</v>
      </c>
      <c r="F2276" s="9" t="s">
        <v>76</v>
      </c>
      <c r="G2276" s="6"/>
      <c r="H2276" s="6"/>
      <c r="I2276" s="6"/>
      <c r="J2276" s="6"/>
      <c r="K2276" s="6"/>
      <c r="L2276" s="6"/>
      <c r="M2276" s="6"/>
      <c r="N2276" s="6"/>
      <c r="O2276" s="6"/>
      <c r="P2276" s="6"/>
      <c r="Q2276" s="6"/>
      <c r="R2276" s="6"/>
      <c r="S2276" s="6"/>
      <c r="T2276" s="6"/>
      <c r="U2276" s="6"/>
      <c r="V2276" s="6"/>
      <c r="W2276" s="6"/>
      <c r="X2276" s="6"/>
      <c r="Y2276" s="6"/>
      <c r="Z2276" s="6"/>
    </row>
    <row r="2277" customFormat="false" ht="15" hidden="false" customHeight="false" outlineLevel="0" collapsed="false">
      <c r="A2277" s="9" t="s">
        <v>8120</v>
      </c>
      <c r="B2277" s="9" t="s">
        <v>5870</v>
      </c>
      <c r="C2277" s="9" t="s">
        <v>2514</v>
      </c>
      <c r="D2277" s="9" t="s">
        <v>5871</v>
      </c>
      <c r="E2277" s="9" t="str">
        <f aca="false">IF(AND('Formation Ledger'!A2256&lt;&gt;"",'Formation Ledger'!V2256=0),"PASS","FAIL")</f>
        <v>PASS</v>
      </c>
      <c r="F2277" s="9" t="s">
        <v>76</v>
      </c>
      <c r="G2277" s="6"/>
      <c r="H2277" s="6"/>
      <c r="I2277" s="6"/>
      <c r="J2277" s="6"/>
      <c r="K2277" s="6"/>
      <c r="L2277" s="6"/>
      <c r="M2277" s="6"/>
      <c r="N2277" s="6"/>
      <c r="O2277" s="6"/>
      <c r="P2277" s="6"/>
      <c r="Q2277" s="6"/>
      <c r="R2277" s="6"/>
      <c r="S2277" s="6"/>
      <c r="T2277" s="6"/>
      <c r="U2277" s="6"/>
      <c r="V2277" s="6"/>
      <c r="W2277" s="6"/>
      <c r="X2277" s="6"/>
      <c r="Y2277" s="6"/>
      <c r="Z2277" s="6"/>
    </row>
    <row r="2278" customFormat="false" ht="15" hidden="false" customHeight="false" outlineLevel="0" collapsed="false">
      <c r="A2278" s="9" t="s">
        <v>8121</v>
      </c>
      <c r="B2278" s="9" t="s">
        <v>5870</v>
      </c>
      <c r="C2278" s="9" t="s">
        <v>2515</v>
      </c>
      <c r="D2278" s="9" t="s">
        <v>5871</v>
      </c>
      <c r="E2278" s="9" t="str">
        <f aca="false">IF(AND('Formation Ledger'!A2257&lt;&gt;"",'Formation Ledger'!V2257=0),"PASS","FAIL")</f>
        <v>PASS</v>
      </c>
      <c r="F2278" s="9" t="s">
        <v>76</v>
      </c>
      <c r="G2278" s="6"/>
      <c r="H2278" s="6"/>
      <c r="I2278" s="6"/>
      <c r="J2278" s="6"/>
      <c r="K2278" s="6"/>
      <c r="L2278" s="6"/>
      <c r="M2278" s="6"/>
      <c r="N2278" s="6"/>
      <c r="O2278" s="6"/>
      <c r="P2278" s="6"/>
      <c r="Q2278" s="6"/>
      <c r="R2278" s="6"/>
      <c r="S2278" s="6"/>
      <c r="T2278" s="6"/>
      <c r="U2278" s="6"/>
      <c r="V2278" s="6"/>
      <c r="W2278" s="6"/>
      <c r="X2278" s="6"/>
      <c r="Y2278" s="6"/>
      <c r="Z2278" s="6"/>
    </row>
    <row r="2279" customFormat="false" ht="15" hidden="false" customHeight="false" outlineLevel="0" collapsed="false">
      <c r="A2279" s="9" t="s">
        <v>8122</v>
      </c>
      <c r="B2279" s="9" t="s">
        <v>5870</v>
      </c>
      <c r="C2279" s="9" t="s">
        <v>2516</v>
      </c>
      <c r="D2279" s="9" t="s">
        <v>5871</v>
      </c>
      <c r="E2279" s="9" t="str">
        <f aca="false">IF(AND('Formation Ledger'!A2258&lt;&gt;"",'Formation Ledger'!V2258=0),"PASS","FAIL")</f>
        <v>PASS</v>
      </c>
      <c r="F2279" s="9" t="s">
        <v>76</v>
      </c>
      <c r="G2279" s="6"/>
      <c r="H2279" s="6"/>
      <c r="I2279" s="6"/>
      <c r="J2279" s="6"/>
      <c r="K2279" s="6"/>
      <c r="L2279" s="6"/>
      <c r="M2279" s="6"/>
      <c r="N2279" s="6"/>
      <c r="O2279" s="6"/>
      <c r="P2279" s="6"/>
      <c r="Q2279" s="6"/>
      <c r="R2279" s="6"/>
      <c r="S2279" s="6"/>
      <c r="T2279" s="6"/>
      <c r="U2279" s="6"/>
      <c r="V2279" s="6"/>
      <c r="W2279" s="6"/>
      <c r="X2279" s="6"/>
      <c r="Y2279" s="6"/>
      <c r="Z2279" s="6"/>
    </row>
    <row r="2280" customFormat="false" ht="15" hidden="false" customHeight="false" outlineLevel="0" collapsed="false">
      <c r="A2280" s="9" t="s">
        <v>8123</v>
      </c>
      <c r="B2280" s="9" t="s">
        <v>5870</v>
      </c>
      <c r="C2280" s="9" t="s">
        <v>2517</v>
      </c>
      <c r="D2280" s="9" t="s">
        <v>5871</v>
      </c>
      <c r="E2280" s="9" t="str">
        <f aca="false">IF(AND('Formation Ledger'!A2259&lt;&gt;"",'Formation Ledger'!V2259=0),"PASS","FAIL")</f>
        <v>PASS</v>
      </c>
      <c r="F2280" s="9" t="s">
        <v>76</v>
      </c>
      <c r="G2280" s="6"/>
      <c r="H2280" s="6"/>
      <c r="I2280" s="6"/>
      <c r="J2280" s="6"/>
      <c r="K2280" s="6"/>
      <c r="L2280" s="6"/>
      <c r="M2280" s="6"/>
      <c r="N2280" s="6"/>
      <c r="O2280" s="6"/>
      <c r="P2280" s="6"/>
      <c r="Q2280" s="6"/>
      <c r="R2280" s="6"/>
      <c r="S2280" s="6"/>
      <c r="T2280" s="6"/>
      <c r="U2280" s="6"/>
      <c r="V2280" s="6"/>
      <c r="W2280" s="6"/>
      <c r="X2280" s="6"/>
      <c r="Y2280" s="6"/>
      <c r="Z2280" s="6"/>
    </row>
    <row r="2281" customFormat="false" ht="15" hidden="false" customHeight="false" outlineLevel="0" collapsed="false">
      <c r="A2281" s="9" t="s">
        <v>8124</v>
      </c>
      <c r="B2281" s="9" t="s">
        <v>5870</v>
      </c>
      <c r="C2281" s="9" t="s">
        <v>2518</v>
      </c>
      <c r="D2281" s="9" t="s">
        <v>5871</v>
      </c>
      <c r="E2281" s="9" t="str">
        <f aca="false">IF(AND('Formation Ledger'!A2260&lt;&gt;"",'Formation Ledger'!V2260=0),"PASS","FAIL")</f>
        <v>PASS</v>
      </c>
      <c r="F2281" s="9" t="s">
        <v>76</v>
      </c>
      <c r="G2281" s="6"/>
      <c r="H2281" s="6"/>
      <c r="I2281" s="6"/>
      <c r="J2281" s="6"/>
      <c r="K2281" s="6"/>
      <c r="L2281" s="6"/>
      <c r="M2281" s="6"/>
      <c r="N2281" s="6"/>
      <c r="O2281" s="6"/>
      <c r="P2281" s="6"/>
      <c r="Q2281" s="6"/>
      <c r="R2281" s="6"/>
      <c r="S2281" s="6"/>
      <c r="T2281" s="6"/>
      <c r="U2281" s="6"/>
      <c r="V2281" s="6"/>
      <c r="W2281" s="6"/>
      <c r="X2281" s="6"/>
      <c r="Y2281" s="6"/>
      <c r="Z2281" s="6"/>
    </row>
    <row r="2282" customFormat="false" ht="15" hidden="false" customHeight="false" outlineLevel="0" collapsed="false">
      <c r="A2282" s="9" t="s">
        <v>8125</v>
      </c>
      <c r="B2282" s="9" t="s">
        <v>5870</v>
      </c>
      <c r="C2282" s="9" t="s">
        <v>2519</v>
      </c>
      <c r="D2282" s="9" t="s">
        <v>5871</v>
      </c>
      <c r="E2282" s="9" t="str">
        <f aca="false">IF(AND('Formation Ledger'!A2261&lt;&gt;"",'Formation Ledger'!V2261=0),"PASS","FAIL")</f>
        <v>PASS</v>
      </c>
      <c r="F2282" s="9" t="s">
        <v>76</v>
      </c>
      <c r="G2282" s="6"/>
      <c r="H2282" s="6"/>
      <c r="I2282" s="6"/>
      <c r="J2282" s="6"/>
      <c r="K2282" s="6"/>
      <c r="L2282" s="6"/>
      <c r="M2282" s="6"/>
      <c r="N2282" s="6"/>
      <c r="O2282" s="6"/>
      <c r="P2282" s="6"/>
      <c r="Q2282" s="6"/>
      <c r="R2282" s="6"/>
      <c r="S2282" s="6"/>
      <c r="T2282" s="6"/>
      <c r="U2282" s="6"/>
      <c r="V2282" s="6"/>
      <c r="W2282" s="6"/>
      <c r="X2282" s="6"/>
      <c r="Y2282" s="6"/>
      <c r="Z2282" s="6"/>
    </row>
    <row r="2283" customFormat="false" ht="15" hidden="false" customHeight="false" outlineLevel="0" collapsed="false">
      <c r="A2283" s="9" t="s">
        <v>8126</v>
      </c>
      <c r="B2283" s="9" t="s">
        <v>5870</v>
      </c>
      <c r="C2283" s="9" t="s">
        <v>2520</v>
      </c>
      <c r="D2283" s="9" t="s">
        <v>5871</v>
      </c>
      <c r="E2283" s="9" t="str">
        <f aca="false">IF(AND('Formation Ledger'!A2262&lt;&gt;"",'Formation Ledger'!V2262=0),"PASS","FAIL")</f>
        <v>PASS</v>
      </c>
      <c r="F2283" s="9" t="s">
        <v>76</v>
      </c>
      <c r="G2283" s="6"/>
      <c r="H2283" s="6"/>
      <c r="I2283" s="6"/>
      <c r="J2283" s="6"/>
      <c r="K2283" s="6"/>
      <c r="L2283" s="6"/>
      <c r="M2283" s="6"/>
      <c r="N2283" s="6"/>
      <c r="O2283" s="6"/>
      <c r="P2283" s="6"/>
      <c r="Q2283" s="6"/>
      <c r="R2283" s="6"/>
      <c r="S2283" s="6"/>
      <c r="T2283" s="6"/>
      <c r="U2283" s="6"/>
      <c r="V2283" s="6"/>
      <c r="W2283" s="6"/>
      <c r="X2283" s="6"/>
      <c r="Y2283" s="6"/>
      <c r="Z2283" s="6"/>
    </row>
    <row r="2284" customFormat="false" ht="15" hidden="false" customHeight="false" outlineLevel="0" collapsed="false">
      <c r="A2284" s="9" t="s">
        <v>8127</v>
      </c>
      <c r="B2284" s="9" t="s">
        <v>5870</v>
      </c>
      <c r="C2284" s="9" t="s">
        <v>2521</v>
      </c>
      <c r="D2284" s="9" t="s">
        <v>5871</v>
      </c>
      <c r="E2284" s="9" t="str">
        <f aca="false">IF(AND('Formation Ledger'!A2263&lt;&gt;"",'Formation Ledger'!V2263=0),"PASS","FAIL")</f>
        <v>PASS</v>
      </c>
      <c r="F2284" s="9" t="s">
        <v>76</v>
      </c>
      <c r="G2284" s="6"/>
      <c r="H2284" s="6"/>
      <c r="I2284" s="6"/>
      <c r="J2284" s="6"/>
      <c r="K2284" s="6"/>
      <c r="L2284" s="6"/>
      <c r="M2284" s="6"/>
      <c r="N2284" s="6"/>
      <c r="O2284" s="6"/>
      <c r="P2284" s="6"/>
      <c r="Q2284" s="6"/>
      <c r="R2284" s="6"/>
      <c r="S2284" s="6"/>
      <c r="T2284" s="6"/>
      <c r="U2284" s="6"/>
      <c r="V2284" s="6"/>
      <c r="W2284" s="6"/>
      <c r="X2284" s="6"/>
      <c r="Y2284" s="6"/>
      <c r="Z2284" s="6"/>
    </row>
    <row r="2285" customFormat="false" ht="15" hidden="false" customHeight="false" outlineLevel="0" collapsed="false">
      <c r="A2285" s="9" t="s">
        <v>8128</v>
      </c>
      <c r="B2285" s="9" t="s">
        <v>5870</v>
      </c>
      <c r="C2285" s="9" t="s">
        <v>2522</v>
      </c>
      <c r="D2285" s="9" t="s">
        <v>5871</v>
      </c>
      <c r="E2285" s="9" t="str">
        <f aca="false">IF(AND('Formation Ledger'!A2264&lt;&gt;"",'Formation Ledger'!V2264=0),"PASS","FAIL")</f>
        <v>PASS</v>
      </c>
      <c r="F2285" s="9" t="s">
        <v>76</v>
      </c>
      <c r="G2285" s="6"/>
      <c r="H2285" s="6"/>
      <c r="I2285" s="6"/>
      <c r="J2285" s="6"/>
      <c r="K2285" s="6"/>
      <c r="L2285" s="6"/>
      <c r="M2285" s="6"/>
      <c r="N2285" s="6"/>
      <c r="O2285" s="6"/>
      <c r="P2285" s="6"/>
      <c r="Q2285" s="6"/>
      <c r="R2285" s="6"/>
      <c r="S2285" s="6"/>
      <c r="T2285" s="6"/>
      <c r="U2285" s="6"/>
      <c r="V2285" s="6"/>
      <c r="W2285" s="6"/>
      <c r="X2285" s="6"/>
      <c r="Y2285" s="6"/>
      <c r="Z2285" s="6"/>
    </row>
    <row r="2286" customFormat="false" ht="15" hidden="false" customHeight="false" outlineLevel="0" collapsed="false">
      <c r="A2286" s="9" t="s">
        <v>8129</v>
      </c>
      <c r="B2286" s="9" t="s">
        <v>5870</v>
      </c>
      <c r="C2286" s="9" t="s">
        <v>2523</v>
      </c>
      <c r="D2286" s="9" t="s">
        <v>5871</v>
      </c>
      <c r="E2286" s="9" t="str">
        <f aca="false">IF(AND('Formation Ledger'!A2265&lt;&gt;"",'Formation Ledger'!V2265=0),"PASS","FAIL")</f>
        <v>PASS</v>
      </c>
      <c r="F2286" s="9" t="s">
        <v>76</v>
      </c>
      <c r="G2286" s="6"/>
      <c r="H2286" s="6"/>
      <c r="I2286" s="6"/>
      <c r="J2286" s="6"/>
      <c r="K2286" s="6"/>
      <c r="L2286" s="6"/>
      <c r="M2286" s="6"/>
      <c r="N2286" s="6"/>
      <c r="O2286" s="6"/>
      <c r="P2286" s="6"/>
      <c r="Q2286" s="6"/>
      <c r="R2286" s="6"/>
      <c r="S2286" s="6"/>
      <c r="T2286" s="6"/>
      <c r="U2286" s="6"/>
      <c r="V2286" s="6"/>
      <c r="W2286" s="6"/>
      <c r="X2286" s="6"/>
      <c r="Y2286" s="6"/>
      <c r="Z2286" s="6"/>
    </row>
    <row r="2287" customFormat="false" ht="15" hidden="false" customHeight="false" outlineLevel="0" collapsed="false">
      <c r="A2287" s="9" t="s">
        <v>8130</v>
      </c>
      <c r="B2287" s="9" t="s">
        <v>5870</v>
      </c>
      <c r="C2287" s="9" t="s">
        <v>2524</v>
      </c>
      <c r="D2287" s="9" t="s">
        <v>5871</v>
      </c>
      <c r="E2287" s="9" t="str">
        <f aca="false">IF(AND('Formation Ledger'!A2266&lt;&gt;"",'Formation Ledger'!V2266=0),"PASS","FAIL")</f>
        <v>PASS</v>
      </c>
      <c r="F2287" s="9" t="s">
        <v>76</v>
      </c>
      <c r="G2287" s="6"/>
      <c r="H2287" s="6"/>
      <c r="I2287" s="6"/>
      <c r="J2287" s="6"/>
      <c r="K2287" s="6"/>
      <c r="L2287" s="6"/>
      <c r="M2287" s="6"/>
      <c r="N2287" s="6"/>
      <c r="O2287" s="6"/>
      <c r="P2287" s="6"/>
      <c r="Q2287" s="6"/>
      <c r="R2287" s="6"/>
      <c r="S2287" s="6"/>
      <c r="T2287" s="6"/>
      <c r="U2287" s="6"/>
      <c r="V2287" s="6"/>
      <c r="W2287" s="6"/>
      <c r="X2287" s="6"/>
      <c r="Y2287" s="6"/>
      <c r="Z2287" s="6"/>
    </row>
    <row r="2288" customFormat="false" ht="15" hidden="false" customHeight="false" outlineLevel="0" collapsed="false">
      <c r="A2288" s="9" t="s">
        <v>8131</v>
      </c>
      <c r="B2288" s="9" t="s">
        <v>5870</v>
      </c>
      <c r="C2288" s="9" t="s">
        <v>2525</v>
      </c>
      <c r="D2288" s="9" t="s">
        <v>5871</v>
      </c>
      <c r="E2288" s="9" t="str">
        <f aca="false">IF(AND('Formation Ledger'!A2267&lt;&gt;"",'Formation Ledger'!V2267=0),"PASS","FAIL")</f>
        <v>PASS</v>
      </c>
      <c r="F2288" s="9" t="s">
        <v>76</v>
      </c>
      <c r="G2288" s="6"/>
      <c r="H2288" s="6"/>
      <c r="I2288" s="6"/>
      <c r="J2288" s="6"/>
      <c r="K2288" s="6"/>
      <c r="L2288" s="6"/>
      <c r="M2288" s="6"/>
      <c r="N2288" s="6"/>
      <c r="O2288" s="6"/>
      <c r="P2288" s="6"/>
      <c r="Q2288" s="6"/>
      <c r="R2288" s="6"/>
      <c r="S2288" s="6"/>
      <c r="T2288" s="6"/>
      <c r="U2288" s="6"/>
      <c r="V2288" s="6"/>
      <c r="W2288" s="6"/>
      <c r="X2288" s="6"/>
      <c r="Y2288" s="6"/>
      <c r="Z2288" s="6"/>
    </row>
    <row r="2289" customFormat="false" ht="15" hidden="false" customHeight="false" outlineLevel="0" collapsed="false">
      <c r="A2289" s="9" t="s">
        <v>8132</v>
      </c>
      <c r="B2289" s="9" t="s">
        <v>5870</v>
      </c>
      <c r="C2289" s="9" t="s">
        <v>2526</v>
      </c>
      <c r="D2289" s="9" t="s">
        <v>5871</v>
      </c>
      <c r="E2289" s="9" t="str">
        <f aca="false">IF(AND('Formation Ledger'!A2268&lt;&gt;"",'Formation Ledger'!V2268=0),"PASS","FAIL")</f>
        <v>PASS</v>
      </c>
      <c r="F2289" s="9" t="s">
        <v>76</v>
      </c>
      <c r="G2289" s="6"/>
      <c r="H2289" s="6"/>
      <c r="I2289" s="6"/>
      <c r="J2289" s="6"/>
      <c r="K2289" s="6"/>
      <c r="L2289" s="6"/>
      <c r="M2289" s="6"/>
      <c r="N2289" s="6"/>
      <c r="O2289" s="6"/>
      <c r="P2289" s="6"/>
      <c r="Q2289" s="6"/>
      <c r="R2289" s="6"/>
      <c r="S2289" s="6"/>
      <c r="T2289" s="6"/>
      <c r="U2289" s="6"/>
      <c r="V2289" s="6"/>
      <c r="W2289" s="6"/>
      <c r="X2289" s="6"/>
      <c r="Y2289" s="6"/>
      <c r="Z2289" s="6"/>
    </row>
    <row r="2290" customFormat="false" ht="15" hidden="false" customHeight="false" outlineLevel="0" collapsed="false">
      <c r="A2290" s="9" t="s">
        <v>8133</v>
      </c>
      <c r="B2290" s="9" t="s">
        <v>5870</v>
      </c>
      <c r="C2290" s="9" t="s">
        <v>2527</v>
      </c>
      <c r="D2290" s="9" t="s">
        <v>5871</v>
      </c>
      <c r="E2290" s="9" t="str">
        <f aca="false">IF(AND('Formation Ledger'!A2269&lt;&gt;"",'Formation Ledger'!V2269=0),"PASS","FAIL")</f>
        <v>PASS</v>
      </c>
      <c r="F2290" s="9" t="s">
        <v>76</v>
      </c>
      <c r="G2290" s="6"/>
      <c r="H2290" s="6"/>
      <c r="I2290" s="6"/>
      <c r="J2290" s="6"/>
      <c r="K2290" s="6"/>
      <c r="L2290" s="6"/>
      <c r="M2290" s="6"/>
      <c r="N2290" s="6"/>
      <c r="O2290" s="6"/>
      <c r="P2290" s="6"/>
      <c r="Q2290" s="6"/>
      <c r="R2290" s="6"/>
      <c r="S2290" s="6"/>
      <c r="T2290" s="6"/>
      <c r="U2290" s="6"/>
      <c r="V2290" s="6"/>
      <c r="W2290" s="6"/>
      <c r="X2290" s="6"/>
      <c r="Y2290" s="6"/>
      <c r="Z2290" s="6"/>
    </row>
    <row r="2291" customFormat="false" ht="15" hidden="false" customHeight="false" outlineLevel="0" collapsed="false">
      <c r="A2291" s="9" t="s">
        <v>8134</v>
      </c>
      <c r="B2291" s="9" t="s">
        <v>5870</v>
      </c>
      <c r="C2291" s="9" t="s">
        <v>2528</v>
      </c>
      <c r="D2291" s="9" t="s">
        <v>5871</v>
      </c>
      <c r="E2291" s="9" t="str">
        <f aca="false">IF(AND('Formation Ledger'!A2270&lt;&gt;"",'Formation Ledger'!V2270=0),"PASS","FAIL")</f>
        <v>PASS</v>
      </c>
      <c r="F2291" s="9" t="s">
        <v>76</v>
      </c>
      <c r="G2291" s="6"/>
      <c r="H2291" s="6"/>
      <c r="I2291" s="6"/>
      <c r="J2291" s="6"/>
      <c r="K2291" s="6"/>
      <c r="L2291" s="6"/>
      <c r="M2291" s="6"/>
      <c r="N2291" s="6"/>
      <c r="O2291" s="6"/>
      <c r="P2291" s="6"/>
      <c r="Q2291" s="6"/>
      <c r="R2291" s="6"/>
      <c r="S2291" s="6"/>
      <c r="T2291" s="6"/>
      <c r="U2291" s="6"/>
      <c r="V2291" s="6"/>
      <c r="W2291" s="6"/>
      <c r="X2291" s="6"/>
      <c r="Y2291" s="6"/>
      <c r="Z2291" s="6"/>
    </row>
    <row r="2292" customFormat="false" ht="15" hidden="false" customHeight="false" outlineLevel="0" collapsed="false">
      <c r="A2292" s="9" t="s">
        <v>8135</v>
      </c>
      <c r="B2292" s="9" t="s">
        <v>5870</v>
      </c>
      <c r="C2292" s="9" t="s">
        <v>2529</v>
      </c>
      <c r="D2292" s="9" t="s">
        <v>5871</v>
      </c>
      <c r="E2292" s="9" t="str">
        <f aca="false">IF(AND('Formation Ledger'!A2271&lt;&gt;"",'Formation Ledger'!V2271=0),"PASS","FAIL")</f>
        <v>PASS</v>
      </c>
      <c r="F2292" s="9" t="s">
        <v>76</v>
      </c>
      <c r="G2292" s="6"/>
      <c r="H2292" s="6"/>
      <c r="I2292" s="6"/>
      <c r="J2292" s="6"/>
      <c r="K2292" s="6"/>
      <c r="L2292" s="6"/>
      <c r="M2292" s="6"/>
      <c r="N2292" s="6"/>
      <c r="O2292" s="6"/>
      <c r="P2292" s="6"/>
      <c r="Q2292" s="6"/>
      <c r="R2292" s="6"/>
      <c r="S2292" s="6"/>
      <c r="T2292" s="6"/>
      <c r="U2292" s="6"/>
      <c r="V2292" s="6"/>
      <c r="W2292" s="6"/>
      <c r="X2292" s="6"/>
      <c r="Y2292" s="6"/>
      <c r="Z2292" s="6"/>
    </row>
    <row r="2293" customFormat="false" ht="15" hidden="false" customHeight="false" outlineLevel="0" collapsed="false">
      <c r="A2293" s="9" t="s">
        <v>8136</v>
      </c>
      <c r="B2293" s="9" t="s">
        <v>5870</v>
      </c>
      <c r="C2293" s="9" t="s">
        <v>2530</v>
      </c>
      <c r="D2293" s="9" t="s">
        <v>5871</v>
      </c>
      <c r="E2293" s="9" t="str">
        <f aca="false">IF(AND('Formation Ledger'!A2272&lt;&gt;"",'Formation Ledger'!V2272=0),"PASS","FAIL")</f>
        <v>PASS</v>
      </c>
      <c r="F2293" s="9" t="s">
        <v>76</v>
      </c>
      <c r="G2293" s="6"/>
      <c r="H2293" s="6"/>
      <c r="I2293" s="6"/>
      <c r="J2293" s="6"/>
      <c r="K2293" s="6"/>
      <c r="L2293" s="6"/>
      <c r="M2293" s="6"/>
      <c r="N2293" s="6"/>
      <c r="O2293" s="6"/>
      <c r="P2293" s="6"/>
      <c r="Q2293" s="6"/>
      <c r="R2293" s="6"/>
      <c r="S2293" s="6"/>
      <c r="T2293" s="6"/>
      <c r="U2293" s="6"/>
      <c r="V2293" s="6"/>
      <c r="W2293" s="6"/>
      <c r="X2293" s="6"/>
      <c r="Y2293" s="6"/>
      <c r="Z2293" s="6"/>
    </row>
    <row r="2294" customFormat="false" ht="15" hidden="false" customHeight="false" outlineLevel="0" collapsed="false">
      <c r="A2294" s="9" t="s">
        <v>8137</v>
      </c>
      <c r="B2294" s="9" t="s">
        <v>5870</v>
      </c>
      <c r="C2294" s="9" t="s">
        <v>2531</v>
      </c>
      <c r="D2294" s="9" t="s">
        <v>5871</v>
      </c>
      <c r="E2294" s="9" t="str">
        <f aca="false">IF(AND('Formation Ledger'!A2273&lt;&gt;"",'Formation Ledger'!V2273=0),"PASS","FAIL")</f>
        <v>PASS</v>
      </c>
      <c r="F2294" s="9" t="s">
        <v>76</v>
      </c>
      <c r="G2294" s="6"/>
      <c r="H2294" s="6"/>
      <c r="I2294" s="6"/>
      <c r="J2294" s="6"/>
      <c r="K2294" s="6"/>
      <c r="L2294" s="6"/>
      <c r="M2294" s="6"/>
      <c r="N2294" s="6"/>
      <c r="O2294" s="6"/>
      <c r="P2294" s="6"/>
      <c r="Q2294" s="6"/>
      <c r="R2294" s="6"/>
      <c r="S2294" s="6"/>
      <c r="T2294" s="6"/>
      <c r="U2294" s="6"/>
      <c r="V2294" s="6"/>
      <c r="W2294" s="6"/>
      <c r="X2294" s="6"/>
      <c r="Y2294" s="6"/>
      <c r="Z2294" s="6"/>
    </row>
    <row r="2295" customFormat="false" ht="15" hidden="false" customHeight="false" outlineLevel="0" collapsed="false">
      <c r="A2295" s="9" t="s">
        <v>8138</v>
      </c>
      <c r="B2295" s="9" t="s">
        <v>5870</v>
      </c>
      <c r="C2295" s="9" t="s">
        <v>2532</v>
      </c>
      <c r="D2295" s="9" t="s">
        <v>5871</v>
      </c>
      <c r="E2295" s="9" t="str">
        <f aca="false">IF(AND('Formation Ledger'!A2274&lt;&gt;"",'Formation Ledger'!V2274=0),"PASS","FAIL")</f>
        <v>PASS</v>
      </c>
      <c r="F2295" s="9" t="s">
        <v>76</v>
      </c>
      <c r="G2295" s="6"/>
      <c r="H2295" s="6"/>
      <c r="I2295" s="6"/>
      <c r="J2295" s="6"/>
      <c r="K2295" s="6"/>
      <c r="L2295" s="6"/>
      <c r="M2295" s="6"/>
      <c r="N2295" s="6"/>
      <c r="O2295" s="6"/>
      <c r="P2295" s="6"/>
      <c r="Q2295" s="6"/>
      <c r="R2295" s="6"/>
      <c r="S2295" s="6"/>
      <c r="T2295" s="6"/>
      <c r="U2295" s="6"/>
      <c r="V2295" s="6"/>
      <c r="W2295" s="6"/>
      <c r="X2295" s="6"/>
      <c r="Y2295" s="6"/>
      <c r="Z2295" s="6"/>
    </row>
    <row r="2296" customFormat="false" ht="15" hidden="false" customHeight="false" outlineLevel="0" collapsed="false">
      <c r="A2296" s="9" t="s">
        <v>8139</v>
      </c>
      <c r="B2296" s="9" t="s">
        <v>5870</v>
      </c>
      <c r="C2296" s="9" t="s">
        <v>2533</v>
      </c>
      <c r="D2296" s="9" t="s">
        <v>5871</v>
      </c>
      <c r="E2296" s="9" t="str">
        <f aca="false">IF(AND('Formation Ledger'!A2275&lt;&gt;"",'Formation Ledger'!V2275=0),"PASS","FAIL")</f>
        <v>PASS</v>
      </c>
      <c r="F2296" s="9" t="s">
        <v>76</v>
      </c>
      <c r="G2296" s="6"/>
      <c r="H2296" s="6"/>
      <c r="I2296" s="6"/>
      <c r="J2296" s="6"/>
      <c r="K2296" s="6"/>
      <c r="L2296" s="6"/>
      <c r="M2296" s="6"/>
      <c r="N2296" s="6"/>
      <c r="O2296" s="6"/>
      <c r="P2296" s="6"/>
      <c r="Q2296" s="6"/>
      <c r="R2296" s="6"/>
      <c r="S2296" s="6"/>
      <c r="T2296" s="6"/>
      <c r="U2296" s="6"/>
      <c r="V2296" s="6"/>
      <c r="W2296" s="6"/>
      <c r="X2296" s="6"/>
      <c r="Y2296" s="6"/>
      <c r="Z2296" s="6"/>
    </row>
    <row r="2297" customFormat="false" ht="15" hidden="false" customHeight="false" outlineLevel="0" collapsed="false">
      <c r="A2297" s="9" t="s">
        <v>8140</v>
      </c>
      <c r="B2297" s="9" t="s">
        <v>5870</v>
      </c>
      <c r="C2297" s="9" t="s">
        <v>2534</v>
      </c>
      <c r="D2297" s="9" t="s">
        <v>5871</v>
      </c>
      <c r="E2297" s="9" t="str">
        <f aca="false">IF(AND('Formation Ledger'!A2276&lt;&gt;"",'Formation Ledger'!V2276=0),"PASS","FAIL")</f>
        <v>PASS</v>
      </c>
      <c r="F2297" s="9" t="s">
        <v>76</v>
      </c>
      <c r="G2297" s="6"/>
      <c r="H2297" s="6"/>
      <c r="I2297" s="6"/>
      <c r="J2297" s="6"/>
      <c r="K2297" s="6"/>
      <c r="L2297" s="6"/>
      <c r="M2297" s="6"/>
      <c r="N2297" s="6"/>
      <c r="O2297" s="6"/>
      <c r="P2297" s="6"/>
      <c r="Q2297" s="6"/>
      <c r="R2297" s="6"/>
      <c r="S2297" s="6"/>
      <c r="T2297" s="6"/>
      <c r="U2297" s="6"/>
      <c r="V2297" s="6"/>
      <c r="W2297" s="6"/>
      <c r="X2297" s="6"/>
      <c r="Y2297" s="6"/>
      <c r="Z2297" s="6"/>
    </row>
    <row r="2298" customFormat="false" ht="15" hidden="false" customHeight="false" outlineLevel="0" collapsed="false">
      <c r="A2298" s="9" t="s">
        <v>8141</v>
      </c>
      <c r="B2298" s="9" t="s">
        <v>5870</v>
      </c>
      <c r="C2298" s="9" t="s">
        <v>2535</v>
      </c>
      <c r="D2298" s="9" t="s">
        <v>5871</v>
      </c>
      <c r="E2298" s="9" t="str">
        <f aca="false">IF(AND('Formation Ledger'!A2277&lt;&gt;"",'Formation Ledger'!V2277=0),"PASS","FAIL")</f>
        <v>PASS</v>
      </c>
      <c r="F2298" s="9" t="s">
        <v>76</v>
      </c>
      <c r="G2298" s="6"/>
      <c r="H2298" s="6"/>
      <c r="I2298" s="6"/>
      <c r="J2298" s="6"/>
      <c r="K2298" s="6"/>
      <c r="L2298" s="6"/>
      <c r="M2298" s="6"/>
      <c r="N2298" s="6"/>
      <c r="O2298" s="6"/>
      <c r="P2298" s="6"/>
      <c r="Q2298" s="6"/>
      <c r="R2298" s="6"/>
      <c r="S2298" s="6"/>
      <c r="T2298" s="6"/>
      <c r="U2298" s="6"/>
      <c r="V2298" s="6"/>
      <c r="W2298" s="6"/>
      <c r="X2298" s="6"/>
      <c r="Y2298" s="6"/>
      <c r="Z2298" s="6"/>
    </row>
    <row r="2299" customFormat="false" ht="15" hidden="false" customHeight="false" outlineLevel="0" collapsed="false">
      <c r="A2299" s="9" t="s">
        <v>8142</v>
      </c>
      <c r="B2299" s="9" t="s">
        <v>5870</v>
      </c>
      <c r="C2299" s="9" t="s">
        <v>2536</v>
      </c>
      <c r="D2299" s="9" t="s">
        <v>5871</v>
      </c>
      <c r="E2299" s="9" t="str">
        <f aca="false">IF(AND('Formation Ledger'!A2278&lt;&gt;"",'Formation Ledger'!V2278=0),"PASS","FAIL")</f>
        <v>PASS</v>
      </c>
      <c r="F2299" s="9" t="s">
        <v>76</v>
      </c>
      <c r="G2299" s="6"/>
      <c r="H2299" s="6"/>
      <c r="I2299" s="6"/>
      <c r="J2299" s="6"/>
      <c r="K2299" s="6"/>
      <c r="L2299" s="6"/>
      <c r="M2299" s="6"/>
      <c r="N2299" s="6"/>
      <c r="O2299" s="6"/>
      <c r="P2299" s="6"/>
      <c r="Q2299" s="6"/>
      <c r="R2299" s="6"/>
      <c r="S2299" s="6"/>
      <c r="T2299" s="6"/>
      <c r="U2299" s="6"/>
      <c r="V2299" s="6"/>
      <c r="W2299" s="6"/>
      <c r="X2299" s="6"/>
      <c r="Y2299" s="6"/>
      <c r="Z2299" s="6"/>
    </row>
    <row r="2300" customFormat="false" ht="15" hidden="false" customHeight="false" outlineLevel="0" collapsed="false">
      <c r="A2300" s="9" t="s">
        <v>8143</v>
      </c>
      <c r="B2300" s="9" t="s">
        <v>5870</v>
      </c>
      <c r="C2300" s="9" t="s">
        <v>2537</v>
      </c>
      <c r="D2300" s="9" t="s">
        <v>5871</v>
      </c>
      <c r="E2300" s="9" t="str">
        <f aca="false">IF(AND('Formation Ledger'!A2279&lt;&gt;"",'Formation Ledger'!V2279=0),"PASS","FAIL")</f>
        <v>PASS</v>
      </c>
      <c r="F2300" s="9" t="s">
        <v>76</v>
      </c>
      <c r="G2300" s="6"/>
      <c r="H2300" s="6"/>
      <c r="I2300" s="6"/>
      <c r="J2300" s="6"/>
      <c r="K2300" s="6"/>
      <c r="L2300" s="6"/>
      <c r="M2300" s="6"/>
      <c r="N2300" s="6"/>
      <c r="O2300" s="6"/>
      <c r="P2300" s="6"/>
      <c r="Q2300" s="6"/>
      <c r="R2300" s="6"/>
      <c r="S2300" s="6"/>
      <c r="T2300" s="6"/>
      <c r="U2300" s="6"/>
      <c r="V2300" s="6"/>
      <c r="W2300" s="6"/>
      <c r="X2300" s="6"/>
      <c r="Y2300" s="6"/>
      <c r="Z2300" s="6"/>
    </row>
    <row r="2301" customFormat="false" ht="15" hidden="false" customHeight="false" outlineLevel="0" collapsed="false">
      <c r="A2301" s="9" t="s">
        <v>8144</v>
      </c>
      <c r="B2301" s="9" t="s">
        <v>5870</v>
      </c>
      <c r="C2301" s="9" t="s">
        <v>2538</v>
      </c>
      <c r="D2301" s="9" t="s">
        <v>5871</v>
      </c>
      <c r="E2301" s="9" t="str">
        <f aca="false">IF(AND('Formation Ledger'!A2280&lt;&gt;"",'Formation Ledger'!V2280=0),"PASS","FAIL")</f>
        <v>PASS</v>
      </c>
      <c r="F2301" s="9" t="s">
        <v>76</v>
      </c>
      <c r="G2301" s="6"/>
      <c r="H2301" s="6"/>
      <c r="I2301" s="6"/>
      <c r="J2301" s="6"/>
      <c r="K2301" s="6"/>
      <c r="L2301" s="6"/>
      <c r="M2301" s="6"/>
      <c r="N2301" s="6"/>
      <c r="O2301" s="6"/>
      <c r="P2301" s="6"/>
      <c r="Q2301" s="6"/>
      <c r="R2301" s="6"/>
      <c r="S2301" s="6"/>
      <c r="T2301" s="6"/>
      <c r="U2301" s="6"/>
      <c r="V2301" s="6"/>
      <c r="W2301" s="6"/>
      <c r="X2301" s="6"/>
      <c r="Y2301" s="6"/>
      <c r="Z2301" s="6"/>
    </row>
    <row r="2302" customFormat="false" ht="15" hidden="false" customHeight="false" outlineLevel="0" collapsed="false">
      <c r="A2302" s="9" t="s">
        <v>8145</v>
      </c>
      <c r="B2302" s="9" t="s">
        <v>5870</v>
      </c>
      <c r="C2302" s="9" t="s">
        <v>2539</v>
      </c>
      <c r="D2302" s="9" t="s">
        <v>5871</v>
      </c>
      <c r="E2302" s="9" t="str">
        <f aca="false">IF(AND('Formation Ledger'!A2281&lt;&gt;"",'Formation Ledger'!V2281=0),"PASS","FAIL")</f>
        <v>PASS</v>
      </c>
      <c r="F2302" s="9" t="s">
        <v>76</v>
      </c>
      <c r="G2302" s="6"/>
      <c r="H2302" s="6"/>
      <c r="I2302" s="6"/>
      <c r="J2302" s="6"/>
      <c r="K2302" s="6"/>
      <c r="L2302" s="6"/>
      <c r="M2302" s="6"/>
      <c r="N2302" s="6"/>
      <c r="O2302" s="6"/>
      <c r="P2302" s="6"/>
      <c r="Q2302" s="6"/>
      <c r="R2302" s="6"/>
      <c r="S2302" s="6"/>
      <c r="T2302" s="6"/>
      <c r="U2302" s="6"/>
      <c r="V2302" s="6"/>
      <c r="W2302" s="6"/>
      <c r="X2302" s="6"/>
      <c r="Y2302" s="6"/>
      <c r="Z2302" s="6"/>
    </row>
    <row r="2303" customFormat="false" ht="15" hidden="false" customHeight="false" outlineLevel="0" collapsed="false">
      <c r="A2303" s="9" t="s">
        <v>8146</v>
      </c>
      <c r="B2303" s="9" t="s">
        <v>5870</v>
      </c>
      <c r="C2303" s="9" t="s">
        <v>2540</v>
      </c>
      <c r="D2303" s="9" t="s">
        <v>5871</v>
      </c>
      <c r="E2303" s="9" t="str">
        <f aca="false">IF(AND('Formation Ledger'!A2282&lt;&gt;"",'Formation Ledger'!V2282=0),"PASS","FAIL")</f>
        <v>PASS</v>
      </c>
      <c r="F2303" s="9" t="s">
        <v>76</v>
      </c>
      <c r="G2303" s="6"/>
      <c r="H2303" s="6"/>
      <c r="I2303" s="6"/>
      <c r="J2303" s="6"/>
      <c r="K2303" s="6"/>
      <c r="L2303" s="6"/>
      <c r="M2303" s="6"/>
      <c r="N2303" s="6"/>
      <c r="O2303" s="6"/>
      <c r="P2303" s="6"/>
      <c r="Q2303" s="6"/>
      <c r="R2303" s="6"/>
      <c r="S2303" s="6"/>
      <c r="T2303" s="6"/>
      <c r="U2303" s="6"/>
      <c r="V2303" s="6"/>
      <c r="W2303" s="6"/>
      <c r="X2303" s="6"/>
      <c r="Y2303" s="6"/>
      <c r="Z2303" s="6"/>
    </row>
    <row r="2304" customFormat="false" ht="15" hidden="false" customHeight="false" outlineLevel="0" collapsed="false">
      <c r="A2304" s="9" t="s">
        <v>8147</v>
      </c>
      <c r="B2304" s="9" t="s">
        <v>5870</v>
      </c>
      <c r="C2304" s="9" t="s">
        <v>2541</v>
      </c>
      <c r="D2304" s="9" t="s">
        <v>5871</v>
      </c>
      <c r="E2304" s="9" t="str">
        <f aca="false">IF(AND('Formation Ledger'!A2283&lt;&gt;"",'Formation Ledger'!V2283=0),"PASS","FAIL")</f>
        <v>PASS</v>
      </c>
      <c r="F2304" s="9" t="s">
        <v>76</v>
      </c>
      <c r="G2304" s="6"/>
      <c r="H2304" s="6"/>
      <c r="I2304" s="6"/>
      <c r="J2304" s="6"/>
      <c r="K2304" s="6"/>
      <c r="L2304" s="6"/>
      <c r="M2304" s="6"/>
      <c r="N2304" s="6"/>
      <c r="O2304" s="6"/>
      <c r="P2304" s="6"/>
      <c r="Q2304" s="6"/>
      <c r="R2304" s="6"/>
      <c r="S2304" s="6"/>
      <c r="T2304" s="6"/>
      <c r="U2304" s="6"/>
      <c r="V2304" s="6"/>
      <c r="W2304" s="6"/>
      <c r="X2304" s="6"/>
      <c r="Y2304" s="6"/>
      <c r="Z2304" s="6"/>
    </row>
    <row r="2305" customFormat="false" ht="15" hidden="false" customHeight="false" outlineLevel="0" collapsed="false">
      <c r="A2305" s="9" t="s">
        <v>8148</v>
      </c>
      <c r="B2305" s="9" t="s">
        <v>5870</v>
      </c>
      <c r="C2305" s="9" t="s">
        <v>2542</v>
      </c>
      <c r="D2305" s="9" t="s">
        <v>5871</v>
      </c>
      <c r="E2305" s="9" t="str">
        <f aca="false">IF(AND('Formation Ledger'!A2284&lt;&gt;"",'Formation Ledger'!V2284=0),"PASS","FAIL")</f>
        <v>PASS</v>
      </c>
      <c r="F2305" s="9" t="s">
        <v>76</v>
      </c>
      <c r="G2305" s="6"/>
      <c r="H2305" s="6"/>
      <c r="I2305" s="6"/>
      <c r="J2305" s="6"/>
      <c r="K2305" s="6"/>
      <c r="L2305" s="6"/>
      <c r="M2305" s="6"/>
      <c r="N2305" s="6"/>
      <c r="O2305" s="6"/>
      <c r="P2305" s="6"/>
      <c r="Q2305" s="6"/>
      <c r="R2305" s="6"/>
      <c r="S2305" s="6"/>
      <c r="T2305" s="6"/>
      <c r="U2305" s="6"/>
      <c r="V2305" s="6"/>
      <c r="W2305" s="6"/>
      <c r="X2305" s="6"/>
      <c r="Y2305" s="6"/>
      <c r="Z2305" s="6"/>
    </row>
    <row r="2306" customFormat="false" ht="15" hidden="false" customHeight="false" outlineLevel="0" collapsed="false">
      <c r="A2306" s="9" t="s">
        <v>8149</v>
      </c>
      <c r="B2306" s="9" t="s">
        <v>5870</v>
      </c>
      <c r="C2306" s="9" t="s">
        <v>2543</v>
      </c>
      <c r="D2306" s="9" t="s">
        <v>5871</v>
      </c>
      <c r="E2306" s="9" t="str">
        <f aca="false">IF(AND('Formation Ledger'!A2285&lt;&gt;"",'Formation Ledger'!V2285=0),"PASS","FAIL")</f>
        <v>PASS</v>
      </c>
      <c r="F2306" s="9" t="s">
        <v>76</v>
      </c>
      <c r="G2306" s="6"/>
      <c r="H2306" s="6"/>
      <c r="I2306" s="6"/>
      <c r="J2306" s="6"/>
      <c r="K2306" s="6"/>
      <c r="L2306" s="6"/>
      <c r="M2306" s="6"/>
      <c r="N2306" s="6"/>
      <c r="O2306" s="6"/>
      <c r="P2306" s="6"/>
      <c r="Q2306" s="6"/>
      <c r="R2306" s="6"/>
      <c r="S2306" s="6"/>
      <c r="T2306" s="6"/>
      <c r="U2306" s="6"/>
      <c r="V2306" s="6"/>
      <c r="W2306" s="6"/>
      <c r="X2306" s="6"/>
      <c r="Y2306" s="6"/>
      <c r="Z2306" s="6"/>
    </row>
    <row r="2307" customFormat="false" ht="15" hidden="false" customHeight="false" outlineLevel="0" collapsed="false">
      <c r="A2307" s="9" t="s">
        <v>8150</v>
      </c>
      <c r="B2307" s="9" t="s">
        <v>5870</v>
      </c>
      <c r="C2307" s="9" t="s">
        <v>2546</v>
      </c>
      <c r="D2307" s="9" t="s">
        <v>5871</v>
      </c>
      <c r="E2307" s="9" t="str">
        <f aca="false">IF(AND('Formation Ledger'!A2286&lt;&gt;"",'Formation Ledger'!V2286=0),"PASS","FAIL")</f>
        <v>PASS</v>
      </c>
      <c r="F2307" s="9" t="s">
        <v>76</v>
      </c>
      <c r="G2307" s="6"/>
      <c r="H2307" s="6"/>
      <c r="I2307" s="6"/>
      <c r="J2307" s="6"/>
      <c r="K2307" s="6"/>
      <c r="L2307" s="6"/>
      <c r="M2307" s="6"/>
      <c r="N2307" s="6"/>
      <c r="O2307" s="6"/>
      <c r="P2307" s="6"/>
      <c r="Q2307" s="6"/>
      <c r="R2307" s="6"/>
      <c r="S2307" s="6"/>
      <c r="T2307" s="6"/>
      <c r="U2307" s="6"/>
      <c r="V2307" s="6"/>
      <c r="W2307" s="6"/>
      <c r="X2307" s="6"/>
      <c r="Y2307" s="6"/>
      <c r="Z2307" s="6"/>
    </row>
    <row r="2308" customFormat="false" ht="15" hidden="false" customHeight="false" outlineLevel="0" collapsed="false">
      <c r="A2308" s="9" t="s">
        <v>8151</v>
      </c>
      <c r="B2308" s="9" t="s">
        <v>5870</v>
      </c>
      <c r="C2308" s="9" t="s">
        <v>2547</v>
      </c>
      <c r="D2308" s="9" t="s">
        <v>5871</v>
      </c>
      <c r="E2308" s="9" t="str">
        <f aca="false">IF(AND('Formation Ledger'!A2287&lt;&gt;"",'Formation Ledger'!V2287=0),"PASS","FAIL")</f>
        <v>PASS</v>
      </c>
      <c r="F2308" s="9" t="s">
        <v>76</v>
      </c>
      <c r="G2308" s="6"/>
      <c r="H2308" s="6"/>
      <c r="I2308" s="6"/>
      <c r="J2308" s="6"/>
      <c r="K2308" s="6"/>
      <c r="L2308" s="6"/>
      <c r="M2308" s="6"/>
      <c r="N2308" s="6"/>
      <c r="O2308" s="6"/>
      <c r="P2308" s="6"/>
      <c r="Q2308" s="6"/>
      <c r="R2308" s="6"/>
      <c r="S2308" s="6"/>
      <c r="T2308" s="6"/>
      <c r="U2308" s="6"/>
      <c r="V2308" s="6"/>
      <c r="W2308" s="6"/>
      <c r="X2308" s="6"/>
      <c r="Y2308" s="6"/>
      <c r="Z2308" s="6"/>
    </row>
    <row r="2309" customFormat="false" ht="15" hidden="false" customHeight="false" outlineLevel="0" collapsed="false">
      <c r="A2309" s="9" t="s">
        <v>8152</v>
      </c>
      <c r="B2309" s="9" t="s">
        <v>5870</v>
      </c>
      <c r="C2309" s="9" t="s">
        <v>2548</v>
      </c>
      <c r="D2309" s="9" t="s">
        <v>5871</v>
      </c>
      <c r="E2309" s="9" t="str">
        <f aca="false">IF(AND('Formation Ledger'!A2288&lt;&gt;"",'Formation Ledger'!V2288=0),"PASS","FAIL")</f>
        <v>PASS</v>
      </c>
      <c r="F2309" s="9" t="s">
        <v>76</v>
      </c>
      <c r="G2309" s="6"/>
      <c r="H2309" s="6"/>
      <c r="I2309" s="6"/>
      <c r="J2309" s="6"/>
      <c r="K2309" s="6"/>
      <c r="L2309" s="6"/>
      <c r="M2309" s="6"/>
      <c r="N2309" s="6"/>
      <c r="O2309" s="6"/>
      <c r="P2309" s="6"/>
      <c r="Q2309" s="6"/>
      <c r="R2309" s="6"/>
      <c r="S2309" s="6"/>
      <c r="T2309" s="6"/>
      <c r="U2309" s="6"/>
      <c r="V2309" s="6"/>
      <c r="W2309" s="6"/>
      <c r="X2309" s="6"/>
      <c r="Y2309" s="6"/>
      <c r="Z2309" s="6"/>
    </row>
    <row r="2310" customFormat="false" ht="15" hidden="false" customHeight="false" outlineLevel="0" collapsed="false">
      <c r="A2310" s="9" t="s">
        <v>8153</v>
      </c>
      <c r="B2310" s="9" t="s">
        <v>5870</v>
      </c>
      <c r="C2310" s="9" t="s">
        <v>2549</v>
      </c>
      <c r="D2310" s="9" t="s">
        <v>5871</v>
      </c>
      <c r="E2310" s="9" t="str">
        <f aca="false">IF(AND('Formation Ledger'!A2289&lt;&gt;"",'Formation Ledger'!V2289=0),"PASS","FAIL")</f>
        <v>PASS</v>
      </c>
      <c r="F2310" s="9" t="s">
        <v>76</v>
      </c>
      <c r="G2310" s="6"/>
      <c r="H2310" s="6"/>
      <c r="I2310" s="6"/>
      <c r="J2310" s="6"/>
      <c r="K2310" s="6"/>
      <c r="L2310" s="6"/>
      <c r="M2310" s="6"/>
      <c r="N2310" s="6"/>
      <c r="O2310" s="6"/>
      <c r="P2310" s="6"/>
      <c r="Q2310" s="6"/>
      <c r="R2310" s="6"/>
      <c r="S2310" s="6"/>
      <c r="T2310" s="6"/>
      <c r="U2310" s="6"/>
      <c r="V2310" s="6"/>
      <c r="W2310" s="6"/>
      <c r="X2310" s="6"/>
      <c r="Y2310" s="6"/>
      <c r="Z2310" s="6"/>
    </row>
    <row r="2311" customFormat="false" ht="15" hidden="false" customHeight="false" outlineLevel="0" collapsed="false">
      <c r="A2311" s="9" t="s">
        <v>8154</v>
      </c>
      <c r="B2311" s="9" t="s">
        <v>5870</v>
      </c>
      <c r="C2311" s="9" t="s">
        <v>2550</v>
      </c>
      <c r="D2311" s="9" t="s">
        <v>5871</v>
      </c>
      <c r="E2311" s="9" t="str">
        <f aca="false">IF(AND('Formation Ledger'!A2290&lt;&gt;"",'Formation Ledger'!V2290=0),"PASS","FAIL")</f>
        <v>PASS</v>
      </c>
      <c r="F2311" s="9" t="s">
        <v>76</v>
      </c>
      <c r="G2311" s="6"/>
      <c r="H2311" s="6"/>
      <c r="I2311" s="6"/>
      <c r="J2311" s="6"/>
      <c r="K2311" s="6"/>
      <c r="L2311" s="6"/>
      <c r="M2311" s="6"/>
      <c r="N2311" s="6"/>
      <c r="O2311" s="6"/>
      <c r="P2311" s="6"/>
      <c r="Q2311" s="6"/>
      <c r="R2311" s="6"/>
      <c r="S2311" s="6"/>
      <c r="T2311" s="6"/>
      <c r="U2311" s="6"/>
      <c r="V2311" s="6"/>
      <c r="W2311" s="6"/>
      <c r="X2311" s="6"/>
      <c r="Y2311" s="6"/>
      <c r="Z2311" s="6"/>
    </row>
    <row r="2312" customFormat="false" ht="15" hidden="false" customHeight="false" outlineLevel="0" collapsed="false">
      <c r="A2312" s="9" t="s">
        <v>8155</v>
      </c>
      <c r="B2312" s="9" t="s">
        <v>5870</v>
      </c>
      <c r="C2312" s="9" t="s">
        <v>2551</v>
      </c>
      <c r="D2312" s="9" t="s">
        <v>5871</v>
      </c>
      <c r="E2312" s="9" t="str">
        <f aca="false">IF(AND('Formation Ledger'!A2291&lt;&gt;"",'Formation Ledger'!V2291=0),"PASS","FAIL")</f>
        <v>PASS</v>
      </c>
      <c r="F2312" s="9" t="s">
        <v>76</v>
      </c>
      <c r="G2312" s="6"/>
      <c r="H2312" s="6"/>
      <c r="I2312" s="6"/>
      <c r="J2312" s="6"/>
      <c r="K2312" s="6"/>
      <c r="L2312" s="6"/>
      <c r="M2312" s="6"/>
      <c r="N2312" s="6"/>
      <c r="O2312" s="6"/>
      <c r="P2312" s="6"/>
      <c r="Q2312" s="6"/>
      <c r="R2312" s="6"/>
      <c r="S2312" s="6"/>
      <c r="T2312" s="6"/>
      <c r="U2312" s="6"/>
      <c r="V2312" s="6"/>
      <c r="W2312" s="6"/>
      <c r="X2312" s="6"/>
      <c r="Y2312" s="6"/>
      <c r="Z2312" s="6"/>
    </row>
    <row r="2313" customFormat="false" ht="15" hidden="false" customHeight="false" outlineLevel="0" collapsed="false">
      <c r="A2313" s="9" t="s">
        <v>8156</v>
      </c>
      <c r="B2313" s="9" t="s">
        <v>5870</v>
      </c>
      <c r="C2313" s="9" t="s">
        <v>2552</v>
      </c>
      <c r="D2313" s="9" t="s">
        <v>5871</v>
      </c>
      <c r="E2313" s="9" t="str">
        <f aca="false">IF(AND('Formation Ledger'!A2292&lt;&gt;"",'Formation Ledger'!V2292=0),"PASS","FAIL")</f>
        <v>PASS</v>
      </c>
      <c r="F2313" s="9" t="s">
        <v>76</v>
      </c>
      <c r="G2313" s="6"/>
      <c r="H2313" s="6"/>
      <c r="I2313" s="6"/>
      <c r="J2313" s="6"/>
      <c r="K2313" s="6"/>
      <c r="L2313" s="6"/>
      <c r="M2313" s="6"/>
      <c r="N2313" s="6"/>
      <c r="O2313" s="6"/>
      <c r="P2313" s="6"/>
      <c r="Q2313" s="6"/>
      <c r="R2313" s="6"/>
      <c r="S2313" s="6"/>
      <c r="T2313" s="6"/>
      <c r="U2313" s="6"/>
      <c r="V2313" s="6"/>
      <c r="W2313" s="6"/>
      <c r="X2313" s="6"/>
      <c r="Y2313" s="6"/>
      <c r="Z2313" s="6"/>
    </row>
    <row r="2314" customFormat="false" ht="15" hidden="false" customHeight="false" outlineLevel="0" collapsed="false">
      <c r="A2314" s="9" t="s">
        <v>8157</v>
      </c>
      <c r="B2314" s="9" t="s">
        <v>5870</v>
      </c>
      <c r="C2314" s="9" t="s">
        <v>2553</v>
      </c>
      <c r="D2314" s="9" t="s">
        <v>5871</v>
      </c>
      <c r="E2314" s="9" t="str">
        <f aca="false">IF(AND('Formation Ledger'!A2293&lt;&gt;"",'Formation Ledger'!V2293=0),"PASS","FAIL")</f>
        <v>PASS</v>
      </c>
      <c r="F2314" s="9" t="s">
        <v>76</v>
      </c>
      <c r="G2314" s="6"/>
      <c r="H2314" s="6"/>
      <c r="I2314" s="6"/>
      <c r="J2314" s="6"/>
      <c r="K2314" s="6"/>
      <c r="L2314" s="6"/>
      <c r="M2314" s="6"/>
      <c r="N2314" s="6"/>
      <c r="O2314" s="6"/>
      <c r="P2314" s="6"/>
      <c r="Q2314" s="6"/>
      <c r="R2314" s="6"/>
      <c r="S2314" s="6"/>
      <c r="T2314" s="6"/>
      <c r="U2314" s="6"/>
      <c r="V2314" s="6"/>
      <c r="W2314" s="6"/>
      <c r="X2314" s="6"/>
      <c r="Y2314" s="6"/>
      <c r="Z2314" s="6"/>
    </row>
    <row r="2315" customFormat="false" ht="15" hidden="false" customHeight="false" outlineLevel="0" collapsed="false">
      <c r="A2315" s="9" t="s">
        <v>8158</v>
      </c>
      <c r="B2315" s="9" t="s">
        <v>5870</v>
      </c>
      <c r="C2315" s="9" t="s">
        <v>2554</v>
      </c>
      <c r="D2315" s="9" t="s">
        <v>5871</v>
      </c>
      <c r="E2315" s="9" t="str">
        <f aca="false">IF(AND('Formation Ledger'!A2294&lt;&gt;"",'Formation Ledger'!V2294=0),"PASS","FAIL")</f>
        <v>PASS</v>
      </c>
      <c r="F2315" s="9" t="s">
        <v>76</v>
      </c>
      <c r="G2315" s="6"/>
      <c r="H2315" s="6"/>
      <c r="I2315" s="6"/>
      <c r="J2315" s="6"/>
      <c r="K2315" s="6"/>
      <c r="L2315" s="6"/>
      <c r="M2315" s="6"/>
      <c r="N2315" s="6"/>
      <c r="O2315" s="6"/>
      <c r="P2315" s="6"/>
      <c r="Q2315" s="6"/>
      <c r="R2315" s="6"/>
      <c r="S2315" s="6"/>
      <c r="T2315" s="6"/>
      <c r="U2315" s="6"/>
      <c r="V2315" s="6"/>
      <c r="W2315" s="6"/>
      <c r="X2315" s="6"/>
      <c r="Y2315" s="6"/>
      <c r="Z2315" s="6"/>
    </row>
    <row r="2316" customFormat="false" ht="15" hidden="false" customHeight="false" outlineLevel="0" collapsed="false">
      <c r="A2316" s="9" t="s">
        <v>8159</v>
      </c>
      <c r="B2316" s="9" t="s">
        <v>5870</v>
      </c>
      <c r="C2316" s="9" t="s">
        <v>2555</v>
      </c>
      <c r="D2316" s="9" t="s">
        <v>5871</v>
      </c>
      <c r="E2316" s="9" t="str">
        <f aca="false">IF(AND('Formation Ledger'!A2295&lt;&gt;"",'Formation Ledger'!V2295=0),"PASS","FAIL")</f>
        <v>PASS</v>
      </c>
      <c r="F2316" s="9" t="s">
        <v>76</v>
      </c>
      <c r="G2316" s="6"/>
      <c r="H2316" s="6"/>
      <c r="I2316" s="6"/>
      <c r="J2316" s="6"/>
      <c r="K2316" s="6"/>
      <c r="L2316" s="6"/>
      <c r="M2316" s="6"/>
      <c r="N2316" s="6"/>
      <c r="O2316" s="6"/>
      <c r="P2316" s="6"/>
      <c r="Q2316" s="6"/>
      <c r="R2316" s="6"/>
      <c r="S2316" s="6"/>
      <c r="T2316" s="6"/>
      <c r="U2316" s="6"/>
      <c r="V2316" s="6"/>
      <c r="W2316" s="6"/>
      <c r="X2316" s="6"/>
      <c r="Y2316" s="6"/>
      <c r="Z2316" s="6"/>
    </row>
    <row r="2317" customFormat="false" ht="15" hidden="false" customHeight="false" outlineLevel="0" collapsed="false">
      <c r="A2317" s="9" t="s">
        <v>8160</v>
      </c>
      <c r="B2317" s="9" t="s">
        <v>5870</v>
      </c>
      <c r="C2317" s="9" t="s">
        <v>2556</v>
      </c>
      <c r="D2317" s="9" t="s">
        <v>5871</v>
      </c>
      <c r="E2317" s="9" t="str">
        <f aca="false">IF(AND('Formation Ledger'!A2296&lt;&gt;"",'Formation Ledger'!V2296=0),"PASS","FAIL")</f>
        <v>PASS</v>
      </c>
      <c r="F2317" s="9" t="s">
        <v>76</v>
      </c>
      <c r="G2317" s="6"/>
      <c r="H2317" s="6"/>
      <c r="I2317" s="6"/>
      <c r="J2317" s="6"/>
      <c r="K2317" s="6"/>
      <c r="L2317" s="6"/>
      <c r="M2317" s="6"/>
      <c r="N2317" s="6"/>
      <c r="O2317" s="6"/>
      <c r="P2317" s="6"/>
      <c r="Q2317" s="6"/>
      <c r="R2317" s="6"/>
      <c r="S2317" s="6"/>
      <c r="T2317" s="6"/>
      <c r="U2317" s="6"/>
      <c r="V2317" s="6"/>
      <c r="W2317" s="6"/>
      <c r="X2317" s="6"/>
      <c r="Y2317" s="6"/>
      <c r="Z2317" s="6"/>
    </row>
    <row r="2318" customFormat="false" ht="15" hidden="false" customHeight="false" outlineLevel="0" collapsed="false">
      <c r="A2318" s="9" t="s">
        <v>8161</v>
      </c>
      <c r="B2318" s="9" t="s">
        <v>5870</v>
      </c>
      <c r="C2318" s="9" t="s">
        <v>2557</v>
      </c>
      <c r="D2318" s="9" t="s">
        <v>5871</v>
      </c>
      <c r="E2318" s="9" t="str">
        <f aca="false">IF(AND('Formation Ledger'!A2297&lt;&gt;"",'Formation Ledger'!V2297=0),"PASS","FAIL")</f>
        <v>PASS</v>
      </c>
      <c r="F2318" s="9" t="s">
        <v>76</v>
      </c>
      <c r="G2318" s="6"/>
      <c r="H2318" s="6"/>
      <c r="I2318" s="6"/>
      <c r="J2318" s="6"/>
      <c r="K2318" s="6"/>
      <c r="L2318" s="6"/>
      <c r="M2318" s="6"/>
      <c r="N2318" s="6"/>
      <c r="O2318" s="6"/>
      <c r="P2318" s="6"/>
      <c r="Q2318" s="6"/>
      <c r="R2318" s="6"/>
      <c r="S2318" s="6"/>
      <c r="T2318" s="6"/>
      <c r="U2318" s="6"/>
      <c r="V2318" s="6"/>
      <c r="W2318" s="6"/>
      <c r="X2318" s="6"/>
      <c r="Y2318" s="6"/>
      <c r="Z2318" s="6"/>
    </row>
    <row r="2319" customFormat="false" ht="15" hidden="false" customHeight="false" outlineLevel="0" collapsed="false">
      <c r="A2319" s="9" t="s">
        <v>8162</v>
      </c>
      <c r="B2319" s="9" t="s">
        <v>5870</v>
      </c>
      <c r="C2319" s="9" t="s">
        <v>2558</v>
      </c>
      <c r="D2319" s="9" t="s">
        <v>5871</v>
      </c>
      <c r="E2319" s="9" t="str">
        <f aca="false">IF(AND('Formation Ledger'!A2298&lt;&gt;"",'Formation Ledger'!V2298=0),"PASS","FAIL")</f>
        <v>PASS</v>
      </c>
      <c r="F2319" s="9" t="s">
        <v>76</v>
      </c>
      <c r="G2319" s="6"/>
      <c r="H2319" s="6"/>
      <c r="I2319" s="6"/>
      <c r="J2319" s="6"/>
      <c r="K2319" s="6"/>
      <c r="L2319" s="6"/>
      <c r="M2319" s="6"/>
      <c r="N2319" s="6"/>
      <c r="O2319" s="6"/>
      <c r="P2319" s="6"/>
      <c r="Q2319" s="6"/>
      <c r="R2319" s="6"/>
      <c r="S2319" s="6"/>
      <c r="T2319" s="6"/>
      <c r="U2319" s="6"/>
      <c r="V2319" s="6"/>
      <c r="W2319" s="6"/>
      <c r="X2319" s="6"/>
      <c r="Y2319" s="6"/>
      <c r="Z2319" s="6"/>
    </row>
    <row r="2320" customFormat="false" ht="15" hidden="false" customHeight="false" outlineLevel="0" collapsed="false">
      <c r="A2320" s="9" t="s">
        <v>8163</v>
      </c>
      <c r="B2320" s="9" t="s">
        <v>5870</v>
      </c>
      <c r="C2320" s="9" t="s">
        <v>2559</v>
      </c>
      <c r="D2320" s="9" t="s">
        <v>5871</v>
      </c>
      <c r="E2320" s="9" t="str">
        <f aca="false">IF(AND('Formation Ledger'!A2299&lt;&gt;"",'Formation Ledger'!V2299=0),"PASS","FAIL")</f>
        <v>PASS</v>
      </c>
      <c r="F2320" s="9" t="s">
        <v>76</v>
      </c>
      <c r="G2320" s="6"/>
      <c r="H2320" s="6"/>
      <c r="I2320" s="6"/>
      <c r="J2320" s="6"/>
      <c r="K2320" s="6"/>
      <c r="L2320" s="6"/>
      <c r="M2320" s="6"/>
      <c r="N2320" s="6"/>
      <c r="O2320" s="6"/>
      <c r="P2320" s="6"/>
      <c r="Q2320" s="6"/>
      <c r="R2320" s="6"/>
      <c r="S2320" s="6"/>
      <c r="T2320" s="6"/>
      <c r="U2320" s="6"/>
      <c r="V2320" s="6"/>
      <c r="W2320" s="6"/>
      <c r="X2320" s="6"/>
      <c r="Y2320" s="6"/>
      <c r="Z2320" s="6"/>
    </row>
    <row r="2321" customFormat="false" ht="15" hidden="false" customHeight="false" outlineLevel="0" collapsed="false">
      <c r="A2321" s="9" t="s">
        <v>8164</v>
      </c>
      <c r="B2321" s="9" t="s">
        <v>5870</v>
      </c>
      <c r="C2321" s="9" t="s">
        <v>2560</v>
      </c>
      <c r="D2321" s="9" t="s">
        <v>5871</v>
      </c>
      <c r="E2321" s="9" t="str">
        <f aca="false">IF(AND('Formation Ledger'!A2300&lt;&gt;"",'Formation Ledger'!V2300=0),"PASS","FAIL")</f>
        <v>PASS</v>
      </c>
      <c r="F2321" s="9" t="s">
        <v>76</v>
      </c>
      <c r="G2321" s="6"/>
      <c r="H2321" s="6"/>
      <c r="I2321" s="6"/>
      <c r="J2321" s="6"/>
      <c r="K2321" s="6"/>
      <c r="L2321" s="6"/>
      <c r="M2321" s="6"/>
      <c r="N2321" s="6"/>
      <c r="O2321" s="6"/>
      <c r="P2321" s="6"/>
      <c r="Q2321" s="6"/>
      <c r="R2321" s="6"/>
      <c r="S2321" s="6"/>
      <c r="T2321" s="6"/>
      <c r="U2321" s="6"/>
      <c r="V2321" s="6"/>
      <c r="W2321" s="6"/>
      <c r="X2321" s="6"/>
      <c r="Y2321" s="6"/>
      <c r="Z2321" s="6"/>
    </row>
    <row r="2322" customFormat="false" ht="15" hidden="false" customHeight="false" outlineLevel="0" collapsed="false">
      <c r="A2322" s="9" t="s">
        <v>8165</v>
      </c>
      <c r="B2322" s="9" t="s">
        <v>5870</v>
      </c>
      <c r="C2322" s="9" t="s">
        <v>2561</v>
      </c>
      <c r="D2322" s="9" t="s">
        <v>5871</v>
      </c>
      <c r="E2322" s="9" t="str">
        <f aca="false">IF(AND('Formation Ledger'!A2301&lt;&gt;"",'Formation Ledger'!V2301=0),"PASS","FAIL")</f>
        <v>PASS</v>
      </c>
      <c r="F2322" s="9" t="s">
        <v>76</v>
      </c>
      <c r="G2322" s="6"/>
      <c r="H2322" s="6"/>
      <c r="I2322" s="6"/>
      <c r="J2322" s="6"/>
      <c r="K2322" s="6"/>
      <c r="L2322" s="6"/>
      <c r="M2322" s="6"/>
      <c r="N2322" s="6"/>
      <c r="O2322" s="6"/>
      <c r="P2322" s="6"/>
      <c r="Q2322" s="6"/>
      <c r="R2322" s="6"/>
      <c r="S2322" s="6"/>
      <c r="T2322" s="6"/>
      <c r="U2322" s="6"/>
      <c r="V2322" s="6"/>
      <c r="W2322" s="6"/>
      <c r="X2322" s="6"/>
      <c r="Y2322" s="6"/>
      <c r="Z2322" s="6"/>
    </row>
    <row r="2323" customFormat="false" ht="15" hidden="false" customHeight="false" outlineLevel="0" collapsed="false">
      <c r="A2323" s="9" t="s">
        <v>8166</v>
      </c>
      <c r="B2323" s="9" t="s">
        <v>5870</v>
      </c>
      <c r="C2323" s="9" t="s">
        <v>2562</v>
      </c>
      <c r="D2323" s="9" t="s">
        <v>5871</v>
      </c>
      <c r="E2323" s="9" t="str">
        <f aca="false">IF(AND('Formation Ledger'!A2302&lt;&gt;"",'Formation Ledger'!V2302=0),"PASS","FAIL")</f>
        <v>PASS</v>
      </c>
      <c r="F2323" s="9" t="s">
        <v>76</v>
      </c>
      <c r="G2323" s="6"/>
      <c r="H2323" s="6"/>
      <c r="I2323" s="6"/>
      <c r="J2323" s="6"/>
      <c r="K2323" s="6"/>
      <c r="L2323" s="6"/>
      <c r="M2323" s="6"/>
      <c r="N2323" s="6"/>
      <c r="O2323" s="6"/>
      <c r="P2323" s="6"/>
      <c r="Q2323" s="6"/>
      <c r="R2323" s="6"/>
      <c r="S2323" s="6"/>
      <c r="T2323" s="6"/>
      <c r="U2323" s="6"/>
      <c r="V2323" s="6"/>
      <c r="W2323" s="6"/>
      <c r="X2323" s="6"/>
      <c r="Y2323" s="6"/>
      <c r="Z2323" s="6"/>
    </row>
    <row r="2324" customFormat="false" ht="15" hidden="false" customHeight="false" outlineLevel="0" collapsed="false">
      <c r="A2324" s="9" t="s">
        <v>8167</v>
      </c>
      <c r="B2324" s="9" t="s">
        <v>5870</v>
      </c>
      <c r="C2324" s="9" t="s">
        <v>2563</v>
      </c>
      <c r="D2324" s="9" t="s">
        <v>5871</v>
      </c>
      <c r="E2324" s="9" t="str">
        <f aca="false">IF(AND('Formation Ledger'!A2303&lt;&gt;"",'Formation Ledger'!V2303=0),"PASS","FAIL")</f>
        <v>PASS</v>
      </c>
      <c r="F2324" s="9" t="s">
        <v>76</v>
      </c>
      <c r="G2324" s="6"/>
      <c r="H2324" s="6"/>
      <c r="I2324" s="6"/>
      <c r="J2324" s="6"/>
      <c r="K2324" s="6"/>
      <c r="L2324" s="6"/>
      <c r="M2324" s="6"/>
      <c r="N2324" s="6"/>
      <c r="O2324" s="6"/>
      <c r="P2324" s="6"/>
      <c r="Q2324" s="6"/>
      <c r="R2324" s="6"/>
      <c r="S2324" s="6"/>
      <c r="T2324" s="6"/>
      <c r="U2324" s="6"/>
      <c r="V2324" s="6"/>
      <c r="W2324" s="6"/>
      <c r="X2324" s="6"/>
      <c r="Y2324" s="6"/>
      <c r="Z2324" s="6"/>
    </row>
    <row r="2325" customFormat="false" ht="15" hidden="false" customHeight="false" outlineLevel="0" collapsed="false">
      <c r="A2325" s="9" t="s">
        <v>8168</v>
      </c>
      <c r="B2325" s="9" t="s">
        <v>5870</v>
      </c>
      <c r="C2325" s="9" t="s">
        <v>2564</v>
      </c>
      <c r="D2325" s="9" t="s">
        <v>5871</v>
      </c>
      <c r="E2325" s="9" t="str">
        <f aca="false">IF(AND('Formation Ledger'!A2304&lt;&gt;"",'Formation Ledger'!V2304=0),"PASS","FAIL")</f>
        <v>PASS</v>
      </c>
      <c r="F2325" s="9" t="s">
        <v>76</v>
      </c>
      <c r="G2325" s="6"/>
      <c r="H2325" s="6"/>
      <c r="I2325" s="6"/>
      <c r="J2325" s="6"/>
      <c r="K2325" s="6"/>
      <c r="L2325" s="6"/>
      <c r="M2325" s="6"/>
      <c r="N2325" s="6"/>
      <c r="O2325" s="6"/>
      <c r="P2325" s="6"/>
      <c r="Q2325" s="6"/>
      <c r="R2325" s="6"/>
      <c r="S2325" s="6"/>
      <c r="T2325" s="6"/>
      <c r="U2325" s="6"/>
      <c r="V2325" s="6"/>
      <c r="W2325" s="6"/>
      <c r="X2325" s="6"/>
      <c r="Y2325" s="6"/>
      <c r="Z2325" s="6"/>
    </row>
    <row r="2326" customFormat="false" ht="15" hidden="false" customHeight="false" outlineLevel="0" collapsed="false">
      <c r="A2326" s="9" t="s">
        <v>8169</v>
      </c>
      <c r="B2326" s="9" t="s">
        <v>5870</v>
      </c>
      <c r="C2326" s="9" t="s">
        <v>2565</v>
      </c>
      <c r="D2326" s="9" t="s">
        <v>5871</v>
      </c>
      <c r="E2326" s="9" t="str">
        <f aca="false">IF(AND('Formation Ledger'!A2305&lt;&gt;"",'Formation Ledger'!V2305=0),"PASS","FAIL")</f>
        <v>PASS</v>
      </c>
      <c r="F2326" s="9" t="s">
        <v>76</v>
      </c>
      <c r="G2326" s="6"/>
      <c r="H2326" s="6"/>
      <c r="I2326" s="6"/>
      <c r="J2326" s="6"/>
      <c r="K2326" s="6"/>
      <c r="L2326" s="6"/>
      <c r="M2326" s="6"/>
      <c r="N2326" s="6"/>
      <c r="O2326" s="6"/>
      <c r="P2326" s="6"/>
      <c r="Q2326" s="6"/>
      <c r="R2326" s="6"/>
      <c r="S2326" s="6"/>
      <c r="T2326" s="6"/>
      <c r="U2326" s="6"/>
      <c r="V2326" s="6"/>
      <c r="W2326" s="6"/>
      <c r="X2326" s="6"/>
      <c r="Y2326" s="6"/>
      <c r="Z2326" s="6"/>
    </row>
    <row r="2327" customFormat="false" ht="15" hidden="false" customHeight="false" outlineLevel="0" collapsed="false">
      <c r="A2327" s="9" t="s">
        <v>8170</v>
      </c>
      <c r="B2327" s="9" t="s">
        <v>5870</v>
      </c>
      <c r="C2327" s="9" t="s">
        <v>2566</v>
      </c>
      <c r="D2327" s="9" t="s">
        <v>5871</v>
      </c>
      <c r="E2327" s="9" t="str">
        <f aca="false">IF(AND('Formation Ledger'!A2306&lt;&gt;"",'Formation Ledger'!V2306=0),"PASS","FAIL")</f>
        <v>PASS</v>
      </c>
      <c r="F2327" s="9" t="s">
        <v>76</v>
      </c>
      <c r="G2327" s="6"/>
      <c r="H2327" s="6"/>
      <c r="I2327" s="6"/>
      <c r="J2327" s="6"/>
      <c r="K2327" s="6"/>
      <c r="L2327" s="6"/>
      <c r="M2327" s="6"/>
      <c r="N2327" s="6"/>
      <c r="O2327" s="6"/>
      <c r="P2327" s="6"/>
      <c r="Q2327" s="6"/>
      <c r="R2327" s="6"/>
      <c r="S2327" s="6"/>
      <c r="T2327" s="6"/>
      <c r="U2327" s="6"/>
      <c r="V2327" s="6"/>
      <c r="W2327" s="6"/>
      <c r="X2327" s="6"/>
      <c r="Y2327" s="6"/>
      <c r="Z2327" s="6"/>
    </row>
    <row r="2328" customFormat="false" ht="15" hidden="false" customHeight="false" outlineLevel="0" collapsed="false">
      <c r="A2328" s="9" t="s">
        <v>8171</v>
      </c>
      <c r="B2328" s="9" t="s">
        <v>5870</v>
      </c>
      <c r="C2328" s="9" t="s">
        <v>2567</v>
      </c>
      <c r="D2328" s="9" t="s">
        <v>5871</v>
      </c>
      <c r="E2328" s="9" t="str">
        <f aca="false">IF(AND('Formation Ledger'!A2307&lt;&gt;"",'Formation Ledger'!V2307=0),"PASS","FAIL")</f>
        <v>PASS</v>
      </c>
      <c r="F2328" s="9" t="s">
        <v>76</v>
      </c>
      <c r="G2328" s="6"/>
      <c r="H2328" s="6"/>
      <c r="I2328" s="6"/>
      <c r="J2328" s="6"/>
      <c r="K2328" s="6"/>
      <c r="L2328" s="6"/>
      <c r="M2328" s="6"/>
      <c r="N2328" s="6"/>
      <c r="O2328" s="6"/>
      <c r="P2328" s="6"/>
      <c r="Q2328" s="6"/>
      <c r="R2328" s="6"/>
      <c r="S2328" s="6"/>
      <c r="T2328" s="6"/>
      <c r="U2328" s="6"/>
      <c r="V2328" s="6"/>
      <c r="W2328" s="6"/>
      <c r="X2328" s="6"/>
      <c r="Y2328" s="6"/>
      <c r="Z2328" s="6"/>
    </row>
    <row r="2329" customFormat="false" ht="15" hidden="false" customHeight="false" outlineLevel="0" collapsed="false">
      <c r="A2329" s="9" t="s">
        <v>8172</v>
      </c>
      <c r="B2329" s="9" t="s">
        <v>5870</v>
      </c>
      <c r="C2329" s="9" t="s">
        <v>2568</v>
      </c>
      <c r="D2329" s="9" t="s">
        <v>5871</v>
      </c>
      <c r="E2329" s="9" t="str">
        <f aca="false">IF(AND('Formation Ledger'!A2308&lt;&gt;"",'Formation Ledger'!V2308=0),"PASS","FAIL")</f>
        <v>PASS</v>
      </c>
      <c r="F2329" s="9" t="s">
        <v>76</v>
      </c>
      <c r="G2329" s="6"/>
      <c r="H2329" s="6"/>
      <c r="I2329" s="6"/>
      <c r="J2329" s="6"/>
      <c r="K2329" s="6"/>
      <c r="L2329" s="6"/>
      <c r="M2329" s="6"/>
      <c r="N2329" s="6"/>
      <c r="O2329" s="6"/>
      <c r="P2329" s="6"/>
      <c r="Q2329" s="6"/>
      <c r="R2329" s="6"/>
      <c r="S2329" s="6"/>
      <c r="T2329" s="6"/>
      <c r="U2329" s="6"/>
      <c r="V2329" s="6"/>
      <c r="W2329" s="6"/>
      <c r="X2329" s="6"/>
      <c r="Y2329" s="6"/>
      <c r="Z2329" s="6"/>
    </row>
    <row r="2330" customFormat="false" ht="15" hidden="false" customHeight="false" outlineLevel="0" collapsed="false">
      <c r="A2330" s="9" t="s">
        <v>8173</v>
      </c>
      <c r="B2330" s="9" t="s">
        <v>5870</v>
      </c>
      <c r="C2330" s="9" t="s">
        <v>2569</v>
      </c>
      <c r="D2330" s="9" t="s">
        <v>5871</v>
      </c>
      <c r="E2330" s="9" t="str">
        <f aca="false">IF(AND('Formation Ledger'!A2309&lt;&gt;"",'Formation Ledger'!V2309=0),"PASS","FAIL")</f>
        <v>PASS</v>
      </c>
      <c r="F2330" s="9" t="s">
        <v>76</v>
      </c>
      <c r="G2330" s="6"/>
      <c r="H2330" s="6"/>
      <c r="I2330" s="6"/>
      <c r="J2330" s="6"/>
      <c r="K2330" s="6"/>
      <c r="L2330" s="6"/>
      <c r="M2330" s="6"/>
      <c r="N2330" s="6"/>
      <c r="O2330" s="6"/>
      <c r="P2330" s="6"/>
      <c r="Q2330" s="6"/>
      <c r="R2330" s="6"/>
      <c r="S2330" s="6"/>
      <c r="T2330" s="6"/>
      <c r="U2330" s="6"/>
      <c r="V2330" s="6"/>
      <c r="W2330" s="6"/>
      <c r="X2330" s="6"/>
      <c r="Y2330" s="6"/>
      <c r="Z2330" s="6"/>
    </row>
    <row r="2331" customFormat="false" ht="15" hidden="false" customHeight="false" outlineLevel="0" collapsed="false">
      <c r="A2331" s="9" t="s">
        <v>8174</v>
      </c>
      <c r="B2331" s="9" t="s">
        <v>5870</v>
      </c>
      <c r="C2331" s="9" t="s">
        <v>2570</v>
      </c>
      <c r="D2331" s="9" t="s">
        <v>5871</v>
      </c>
      <c r="E2331" s="9" t="str">
        <f aca="false">IF(AND('Formation Ledger'!A2310&lt;&gt;"",'Formation Ledger'!V2310=0),"PASS","FAIL")</f>
        <v>PASS</v>
      </c>
      <c r="F2331" s="9" t="s">
        <v>76</v>
      </c>
      <c r="G2331" s="6"/>
      <c r="H2331" s="6"/>
      <c r="I2331" s="6"/>
      <c r="J2331" s="6"/>
      <c r="K2331" s="6"/>
      <c r="L2331" s="6"/>
      <c r="M2331" s="6"/>
      <c r="N2331" s="6"/>
      <c r="O2331" s="6"/>
      <c r="P2331" s="6"/>
      <c r="Q2331" s="6"/>
      <c r="R2331" s="6"/>
      <c r="S2331" s="6"/>
      <c r="T2331" s="6"/>
      <c r="U2331" s="6"/>
      <c r="V2331" s="6"/>
      <c r="W2331" s="6"/>
      <c r="X2331" s="6"/>
      <c r="Y2331" s="6"/>
      <c r="Z2331" s="6"/>
    </row>
    <row r="2332" customFormat="false" ht="15" hidden="false" customHeight="false" outlineLevel="0" collapsed="false">
      <c r="A2332" s="9" t="s">
        <v>8175</v>
      </c>
      <c r="B2332" s="9" t="s">
        <v>5870</v>
      </c>
      <c r="C2332" s="9" t="s">
        <v>2571</v>
      </c>
      <c r="D2332" s="9" t="s">
        <v>5871</v>
      </c>
      <c r="E2332" s="9" t="str">
        <f aca="false">IF(AND('Formation Ledger'!A2311&lt;&gt;"",'Formation Ledger'!V2311=0),"PASS","FAIL")</f>
        <v>PASS</v>
      </c>
      <c r="F2332" s="9" t="s">
        <v>76</v>
      </c>
      <c r="G2332" s="6"/>
      <c r="H2332" s="6"/>
      <c r="I2332" s="6"/>
      <c r="J2332" s="6"/>
      <c r="K2332" s="6"/>
      <c r="L2332" s="6"/>
      <c r="M2332" s="6"/>
      <c r="N2332" s="6"/>
      <c r="O2332" s="6"/>
      <c r="P2332" s="6"/>
      <c r="Q2332" s="6"/>
      <c r="R2332" s="6"/>
      <c r="S2332" s="6"/>
      <c r="T2332" s="6"/>
      <c r="U2332" s="6"/>
      <c r="V2332" s="6"/>
      <c r="W2332" s="6"/>
      <c r="X2332" s="6"/>
      <c r="Y2332" s="6"/>
      <c r="Z2332" s="6"/>
    </row>
    <row r="2333" customFormat="false" ht="15" hidden="false" customHeight="false" outlineLevel="0" collapsed="false">
      <c r="A2333" s="9" t="s">
        <v>8176</v>
      </c>
      <c r="B2333" s="9" t="s">
        <v>5870</v>
      </c>
      <c r="C2333" s="9" t="s">
        <v>2572</v>
      </c>
      <c r="D2333" s="9" t="s">
        <v>5871</v>
      </c>
      <c r="E2333" s="9" t="str">
        <f aca="false">IF(AND('Formation Ledger'!A2312&lt;&gt;"",'Formation Ledger'!V2312=0),"PASS","FAIL")</f>
        <v>PASS</v>
      </c>
      <c r="F2333" s="9" t="s">
        <v>76</v>
      </c>
      <c r="G2333" s="6"/>
      <c r="H2333" s="6"/>
      <c r="I2333" s="6"/>
      <c r="J2333" s="6"/>
      <c r="K2333" s="6"/>
      <c r="L2333" s="6"/>
      <c r="M2333" s="6"/>
      <c r="N2333" s="6"/>
      <c r="O2333" s="6"/>
      <c r="P2333" s="6"/>
      <c r="Q2333" s="6"/>
      <c r="R2333" s="6"/>
      <c r="S2333" s="6"/>
      <c r="T2333" s="6"/>
      <c r="U2333" s="6"/>
      <c r="V2333" s="6"/>
      <c r="W2333" s="6"/>
      <c r="X2333" s="6"/>
      <c r="Y2333" s="6"/>
      <c r="Z2333" s="6"/>
    </row>
    <row r="2334" customFormat="false" ht="15" hidden="false" customHeight="false" outlineLevel="0" collapsed="false">
      <c r="A2334" s="9" t="s">
        <v>8177</v>
      </c>
      <c r="B2334" s="9" t="s">
        <v>5870</v>
      </c>
      <c r="C2334" s="9" t="s">
        <v>2573</v>
      </c>
      <c r="D2334" s="9" t="s">
        <v>5871</v>
      </c>
      <c r="E2334" s="9" t="str">
        <f aca="false">IF(AND('Formation Ledger'!A2313&lt;&gt;"",'Formation Ledger'!V2313=0),"PASS","FAIL")</f>
        <v>PASS</v>
      </c>
      <c r="F2334" s="9" t="s">
        <v>76</v>
      </c>
      <c r="G2334" s="6"/>
      <c r="H2334" s="6"/>
      <c r="I2334" s="6"/>
      <c r="J2334" s="6"/>
      <c r="K2334" s="6"/>
      <c r="L2334" s="6"/>
      <c r="M2334" s="6"/>
      <c r="N2334" s="6"/>
      <c r="O2334" s="6"/>
      <c r="P2334" s="6"/>
      <c r="Q2334" s="6"/>
      <c r="R2334" s="6"/>
      <c r="S2334" s="6"/>
      <c r="T2334" s="6"/>
      <c r="U2334" s="6"/>
      <c r="V2334" s="6"/>
      <c r="W2334" s="6"/>
      <c r="X2334" s="6"/>
      <c r="Y2334" s="6"/>
      <c r="Z2334" s="6"/>
    </row>
    <row r="2335" customFormat="false" ht="15" hidden="false" customHeight="false" outlineLevel="0" collapsed="false">
      <c r="A2335" s="9" t="s">
        <v>8178</v>
      </c>
      <c r="B2335" s="9" t="s">
        <v>5870</v>
      </c>
      <c r="C2335" s="9" t="s">
        <v>2574</v>
      </c>
      <c r="D2335" s="9" t="s">
        <v>5871</v>
      </c>
      <c r="E2335" s="9" t="str">
        <f aca="false">IF(AND('Formation Ledger'!A2314&lt;&gt;"",'Formation Ledger'!V2314=0),"PASS","FAIL")</f>
        <v>PASS</v>
      </c>
      <c r="F2335" s="9" t="s">
        <v>76</v>
      </c>
      <c r="G2335" s="6"/>
      <c r="H2335" s="6"/>
      <c r="I2335" s="6"/>
      <c r="J2335" s="6"/>
      <c r="K2335" s="6"/>
      <c r="L2335" s="6"/>
      <c r="M2335" s="6"/>
      <c r="N2335" s="6"/>
      <c r="O2335" s="6"/>
      <c r="P2335" s="6"/>
      <c r="Q2335" s="6"/>
      <c r="R2335" s="6"/>
      <c r="S2335" s="6"/>
      <c r="T2335" s="6"/>
      <c r="U2335" s="6"/>
      <c r="V2335" s="6"/>
      <c r="W2335" s="6"/>
      <c r="X2335" s="6"/>
      <c r="Y2335" s="6"/>
      <c r="Z2335" s="6"/>
    </row>
    <row r="2336" customFormat="false" ht="15" hidden="false" customHeight="false" outlineLevel="0" collapsed="false">
      <c r="A2336" s="9" t="s">
        <v>8179</v>
      </c>
      <c r="B2336" s="9" t="s">
        <v>5870</v>
      </c>
      <c r="C2336" s="9" t="s">
        <v>2575</v>
      </c>
      <c r="D2336" s="9" t="s">
        <v>5871</v>
      </c>
      <c r="E2336" s="9" t="str">
        <f aca="false">IF(AND('Formation Ledger'!A2315&lt;&gt;"",'Formation Ledger'!V2315=0),"PASS","FAIL")</f>
        <v>PASS</v>
      </c>
      <c r="F2336" s="9" t="s">
        <v>76</v>
      </c>
      <c r="G2336" s="6"/>
      <c r="H2336" s="6"/>
      <c r="I2336" s="6"/>
      <c r="J2336" s="6"/>
      <c r="K2336" s="6"/>
      <c r="L2336" s="6"/>
      <c r="M2336" s="6"/>
      <c r="N2336" s="6"/>
      <c r="O2336" s="6"/>
      <c r="P2336" s="6"/>
      <c r="Q2336" s="6"/>
      <c r="R2336" s="6"/>
      <c r="S2336" s="6"/>
      <c r="T2336" s="6"/>
      <c r="U2336" s="6"/>
      <c r="V2336" s="6"/>
      <c r="W2336" s="6"/>
      <c r="X2336" s="6"/>
      <c r="Y2336" s="6"/>
      <c r="Z2336" s="6"/>
    </row>
    <row r="2337" customFormat="false" ht="15" hidden="false" customHeight="false" outlineLevel="0" collapsed="false">
      <c r="A2337" s="9" t="s">
        <v>8180</v>
      </c>
      <c r="B2337" s="9" t="s">
        <v>5870</v>
      </c>
      <c r="C2337" s="9" t="s">
        <v>2576</v>
      </c>
      <c r="D2337" s="9" t="s">
        <v>5871</v>
      </c>
      <c r="E2337" s="9" t="str">
        <f aca="false">IF(AND('Formation Ledger'!A2316&lt;&gt;"",'Formation Ledger'!V2316=0),"PASS","FAIL")</f>
        <v>PASS</v>
      </c>
      <c r="F2337" s="9" t="s">
        <v>76</v>
      </c>
      <c r="G2337" s="6"/>
      <c r="H2337" s="6"/>
      <c r="I2337" s="6"/>
      <c r="J2337" s="6"/>
      <c r="K2337" s="6"/>
      <c r="L2337" s="6"/>
      <c r="M2337" s="6"/>
      <c r="N2337" s="6"/>
      <c r="O2337" s="6"/>
      <c r="P2337" s="6"/>
      <c r="Q2337" s="6"/>
      <c r="R2337" s="6"/>
      <c r="S2337" s="6"/>
      <c r="T2337" s="6"/>
      <c r="U2337" s="6"/>
      <c r="V2337" s="6"/>
      <c r="W2337" s="6"/>
      <c r="X2337" s="6"/>
      <c r="Y2337" s="6"/>
      <c r="Z2337" s="6"/>
    </row>
    <row r="2338" customFormat="false" ht="15" hidden="false" customHeight="false" outlineLevel="0" collapsed="false">
      <c r="A2338" s="9" t="s">
        <v>8181</v>
      </c>
      <c r="B2338" s="9" t="s">
        <v>5870</v>
      </c>
      <c r="C2338" s="9" t="s">
        <v>2577</v>
      </c>
      <c r="D2338" s="9" t="s">
        <v>5871</v>
      </c>
      <c r="E2338" s="9" t="str">
        <f aca="false">IF(AND('Formation Ledger'!A2317&lt;&gt;"",'Formation Ledger'!V2317=0),"PASS","FAIL")</f>
        <v>PASS</v>
      </c>
      <c r="F2338" s="9" t="s">
        <v>76</v>
      </c>
      <c r="G2338" s="6"/>
      <c r="H2338" s="6"/>
      <c r="I2338" s="6"/>
      <c r="J2338" s="6"/>
      <c r="K2338" s="6"/>
      <c r="L2338" s="6"/>
      <c r="M2338" s="6"/>
      <c r="N2338" s="6"/>
      <c r="O2338" s="6"/>
      <c r="P2338" s="6"/>
      <c r="Q2338" s="6"/>
      <c r="R2338" s="6"/>
      <c r="S2338" s="6"/>
      <c r="T2338" s="6"/>
      <c r="U2338" s="6"/>
      <c r="V2338" s="6"/>
      <c r="W2338" s="6"/>
      <c r="X2338" s="6"/>
      <c r="Y2338" s="6"/>
      <c r="Z2338" s="6"/>
    </row>
    <row r="2339" customFormat="false" ht="15" hidden="false" customHeight="false" outlineLevel="0" collapsed="false">
      <c r="A2339" s="9" t="s">
        <v>8182</v>
      </c>
      <c r="B2339" s="9" t="s">
        <v>5870</v>
      </c>
      <c r="C2339" s="9" t="s">
        <v>2578</v>
      </c>
      <c r="D2339" s="9" t="s">
        <v>5871</v>
      </c>
      <c r="E2339" s="9" t="str">
        <f aca="false">IF(AND('Formation Ledger'!A2318&lt;&gt;"",'Formation Ledger'!V2318=0),"PASS","FAIL")</f>
        <v>PASS</v>
      </c>
      <c r="F2339" s="9" t="s">
        <v>76</v>
      </c>
      <c r="G2339" s="6"/>
      <c r="H2339" s="6"/>
      <c r="I2339" s="6"/>
      <c r="J2339" s="6"/>
      <c r="K2339" s="6"/>
      <c r="L2339" s="6"/>
      <c r="M2339" s="6"/>
      <c r="N2339" s="6"/>
      <c r="O2339" s="6"/>
      <c r="P2339" s="6"/>
      <c r="Q2339" s="6"/>
      <c r="R2339" s="6"/>
      <c r="S2339" s="6"/>
      <c r="T2339" s="6"/>
      <c r="U2339" s="6"/>
      <c r="V2339" s="6"/>
      <c r="W2339" s="6"/>
      <c r="X2339" s="6"/>
      <c r="Y2339" s="6"/>
      <c r="Z2339" s="6"/>
    </row>
    <row r="2340" customFormat="false" ht="15" hidden="false" customHeight="false" outlineLevel="0" collapsed="false">
      <c r="A2340" s="9" t="s">
        <v>8183</v>
      </c>
      <c r="B2340" s="9" t="s">
        <v>5870</v>
      </c>
      <c r="C2340" s="9" t="s">
        <v>2579</v>
      </c>
      <c r="D2340" s="9" t="s">
        <v>5871</v>
      </c>
      <c r="E2340" s="9" t="str">
        <f aca="false">IF(AND('Formation Ledger'!A2319&lt;&gt;"",'Formation Ledger'!V2319=0),"PASS","FAIL")</f>
        <v>PASS</v>
      </c>
      <c r="F2340" s="9" t="s">
        <v>76</v>
      </c>
      <c r="G2340" s="6"/>
      <c r="H2340" s="6"/>
      <c r="I2340" s="6"/>
      <c r="J2340" s="6"/>
      <c r="K2340" s="6"/>
      <c r="L2340" s="6"/>
      <c r="M2340" s="6"/>
      <c r="N2340" s="6"/>
      <c r="O2340" s="6"/>
      <c r="P2340" s="6"/>
      <c r="Q2340" s="6"/>
      <c r="R2340" s="6"/>
      <c r="S2340" s="6"/>
      <c r="T2340" s="6"/>
      <c r="U2340" s="6"/>
      <c r="V2340" s="6"/>
      <c r="W2340" s="6"/>
      <c r="X2340" s="6"/>
      <c r="Y2340" s="6"/>
      <c r="Z2340" s="6"/>
    </row>
    <row r="2341" customFormat="false" ht="15" hidden="false" customHeight="false" outlineLevel="0" collapsed="false">
      <c r="A2341" s="9" t="s">
        <v>8184</v>
      </c>
      <c r="B2341" s="9" t="s">
        <v>5870</v>
      </c>
      <c r="C2341" s="9" t="s">
        <v>2580</v>
      </c>
      <c r="D2341" s="9" t="s">
        <v>5871</v>
      </c>
      <c r="E2341" s="9" t="str">
        <f aca="false">IF(AND('Formation Ledger'!A2320&lt;&gt;"",'Formation Ledger'!V2320=0),"PASS","FAIL")</f>
        <v>PASS</v>
      </c>
      <c r="F2341" s="9" t="s">
        <v>76</v>
      </c>
      <c r="G2341" s="6"/>
      <c r="H2341" s="6"/>
      <c r="I2341" s="6"/>
      <c r="J2341" s="6"/>
      <c r="K2341" s="6"/>
      <c r="L2341" s="6"/>
      <c r="M2341" s="6"/>
      <c r="N2341" s="6"/>
      <c r="O2341" s="6"/>
      <c r="P2341" s="6"/>
      <c r="Q2341" s="6"/>
      <c r="R2341" s="6"/>
      <c r="S2341" s="6"/>
      <c r="T2341" s="6"/>
      <c r="U2341" s="6"/>
      <c r="V2341" s="6"/>
      <c r="W2341" s="6"/>
      <c r="X2341" s="6"/>
      <c r="Y2341" s="6"/>
      <c r="Z2341" s="6"/>
    </row>
    <row r="2342" customFormat="false" ht="15" hidden="false" customHeight="false" outlineLevel="0" collapsed="false">
      <c r="A2342" s="9" t="s">
        <v>8185</v>
      </c>
      <c r="B2342" s="9" t="s">
        <v>5870</v>
      </c>
      <c r="C2342" s="9" t="s">
        <v>2581</v>
      </c>
      <c r="D2342" s="9" t="s">
        <v>5871</v>
      </c>
      <c r="E2342" s="9" t="str">
        <f aca="false">IF(AND('Formation Ledger'!A2321&lt;&gt;"",'Formation Ledger'!V2321=0),"PASS","FAIL")</f>
        <v>PASS</v>
      </c>
      <c r="F2342" s="9" t="s">
        <v>76</v>
      </c>
      <c r="G2342" s="6"/>
      <c r="H2342" s="6"/>
      <c r="I2342" s="6"/>
      <c r="J2342" s="6"/>
      <c r="K2342" s="6"/>
      <c r="L2342" s="6"/>
      <c r="M2342" s="6"/>
      <c r="N2342" s="6"/>
      <c r="O2342" s="6"/>
      <c r="P2342" s="6"/>
      <c r="Q2342" s="6"/>
      <c r="R2342" s="6"/>
      <c r="S2342" s="6"/>
      <c r="T2342" s="6"/>
      <c r="U2342" s="6"/>
      <c r="V2342" s="6"/>
      <c r="W2342" s="6"/>
      <c r="X2342" s="6"/>
      <c r="Y2342" s="6"/>
      <c r="Z2342" s="6"/>
    </row>
    <row r="2343" customFormat="false" ht="15" hidden="false" customHeight="false" outlineLevel="0" collapsed="false">
      <c r="A2343" s="9" t="s">
        <v>8186</v>
      </c>
      <c r="B2343" s="9" t="s">
        <v>5870</v>
      </c>
      <c r="C2343" s="9" t="s">
        <v>2582</v>
      </c>
      <c r="D2343" s="9" t="s">
        <v>5871</v>
      </c>
      <c r="E2343" s="9" t="str">
        <f aca="false">IF(AND('Formation Ledger'!A2322&lt;&gt;"",'Formation Ledger'!V2322=0),"PASS","FAIL")</f>
        <v>PASS</v>
      </c>
      <c r="F2343" s="9" t="s">
        <v>76</v>
      </c>
      <c r="G2343" s="6"/>
      <c r="H2343" s="6"/>
      <c r="I2343" s="6"/>
      <c r="J2343" s="6"/>
      <c r="K2343" s="6"/>
      <c r="L2343" s="6"/>
      <c r="M2343" s="6"/>
      <c r="N2343" s="6"/>
      <c r="O2343" s="6"/>
      <c r="P2343" s="6"/>
      <c r="Q2343" s="6"/>
      <c r="R2343" s="6"/>
      <c r="S2343" s="6"/>
      <c r="T2343" s="6"/>
      <c r="U2343" s="6"/>
      <c r="V2343" s="6"/>
      <c r="W2343" s="6"/>
      <c r="X2343" s="6"/>
      <c r="Y2343" s="6"/>
      <c r="Z2343" s="6"/>
    </row>
    <row r="2344" customFormat="false" ht="15" hidden="false" customHeight="false" outlineLevel="0" collapsed="false">
      <c r="A2344" s="9" t="s">
        <v>8187</v>
      </c>
      <c r="B2344" s="9" t="s">
        <v>5870</v>
      </c>
      <c r="C2344" s="9" t="s">
        <v>2583</v>
      </c>
      <c r="D2344" s="9" t="s">
        <v>5871</v>
      </c>
      <c r="E2344" s="9" t="str">
        <f aca="false">IF(AND('Formation Ledger'!A2323&lt;&gt;"",'Formation Ledger'!V2323=0),"PASS","FAIL")</f>
        <v>PASS</v>
      </c>
      <c r="F2344" s="9" t="s">
        <v>76</v>
      </c>
      <c r="G2344" s="6"/>
      <c r="H2344" s="6"/>
      <c r="I2344" s="6"/>
      <c r="J2344" s="6"/>
      <c r="K2344" s="6"/>
      <c r="L2344" s="6"/>
      <c r="M2344" s="6"/>
      <c r="N2344" s="6"/>
      <c r="O2344" s="6"/>
      <c r="P2344" s="6"/>
      <c r="Q2344" s="6"/>
      <c r="R2344" s="6"/>
      <c r="S2344" s="6"/>
      <c r="T2344" s="6"/>
      <c r="U2344" s="6"/>
      <c r="V2344" s="6"/>
      <c r="W2344" s="6"/>
      <c r="X2344" s="6"/>
      <c r="Y2344" s="6"/>
      <c r="Z2344" s="6"/>
    </row>
    <row r="2345" customFormat="false" ht="15" hidden="false" customHeight="false" outlineLevel="0" collapsed="false">
      <c r="A2345" s="9" t="s">
        <v>8188</v>
      </c>
      <c r="B2345" s="9" t="s">
        <v>5870</v>
      </c>
      <c r="C2345" s="9" t="s">
        <v>2584</v>
      </c>
      <c r="D2345" s="9" t="s">
        <v>5871</v>
      </c>
      <c r="E2345" s="9" t="str">
        <f aca="false">IF(AND('Formation Ledger'!A2324&lt;&gt;"",'Formation Ledger'!V2324=0),"PASS","FAIL")</f>
        <v>PASS</v>
      </c>
      <c r="F2345" s="9" t="s">
        <v>76</v>
      </c>
      <c r="G2345" s="6"/>
      <c r="H2345" s="6"/>
      <c r="I2345" s="6"/>
      <c r="J2345" s="6"/>
      <c r="K2345" s="6"/>
      <c r="L2345" s="6"/>
      <c r="M2345" s="6"/>
      <c r="N2345" s="6"/>
      <c r="O2345" s="6"/>
      <c r="P2345" s="6"/>
      <c r="Q2345" s="6"/>
      <c r="R2345" s="6"/>
      <c r="S2345" s="6"/>
      <c r="T2345" s="6"/>
      <c r="U2345" s="6"/>
      <c r="V2345" s="6"/>
      <c r="W2345" s="6"/>
      <c r="X2345" s="6"/>
      <c r="Y2345" s="6"/>
      <c r="Z2345" s="6"/>
    </row>
    <row r="2346" customFormat="false" ht="15" hidden="false" customHeight="false" outlineLevel="0" collapsed="false">
      <c r="A2346" s="9" t="s">
        <v>8189</v>
      </c>
      <c r="B2346" s="9" t="s">
        <v>5870</v>
      </c>
      <c r="C2346" s="9" t="s">
        <v>2585</v>
      </c>
      <c r="D2346" s="9" t="s">
        <v>5871</v>
      </c>
      <c r="E2346" s="9" t="str">
        <f aca="false">IF(AND('Formation Ledger'!A2325&lt;&gt;"",'Formation Ledger'!V2325=0),"PASS","FAIL")</f>
        <v>PASS</v>
      </c>
      <c r="F2346" s="9" t="s">
        <v>76</v>
      </c>
      <c r="G2346" s="6"/>
      <c r="H2346" s="6"/>
      <c r="I2346" s="6"/>
      <c r="J2346" s="6"/>
      <c r="K2346" s="6"/>
      <c r="L2346" s="6"/>
      <c r="M2346" s="6"/>
      <c r="N2346" s="6"/>
      <c r="O2346" s="6"/>
      <c r="P2346" s="6"/>
      <c r="Q2346" s="6"/>
      <c r="R2346" s="6"/>
      <c r="S2346" s="6"/>
      <c r="T2346" s="6"/>
      <c r="U2346" s="6"/>
      <c r="V2346" s="6"/>
      <c r="W2346" s="6"/>
      <c r="X2346" s="6"/>
      <c r="Y2346" s="6"/>
      <c r="Z2346" s="6"/>
    </row>
    <row r="2347" customFormat="false" ht="15" hidden="false" customHeight="false" outlineLevel="0" collapsed="false">
      <c r="A2347" s="9" t="s">
        <v>8190</v>
      </c>
      <c r="B2347" s="9" t="s">
        <v>5870</v>
      </c>
      <c r="C2347" s="9" t="s">
        <v>2586</v>
      </c>
      <c r="D2347" s="9" t="s">
        <v>5871</v>
      </c>
      <c r="E2347" s="9" t="str">
        <f aca="false">IF(AND('Formation Ledger'!A2326&lt;&gt;"",'Formation Ledger'!V2326=0),"PASS","FAIL")</f>
        <v>PASS</v>
      </c>
      <c r="F2347" s="9" t="s">
        <v>76</v>
      </c>
      <c r="G2347" s="6"/>
      <c r="H2347" s="6"/>
      <c r="I2347" s="6"/>
      <c r="J2347" s="6"/>
      <c r="K2347" s="6"/>
      <c r="L2347" s="6"/>
      <c r="M2347" s="6"/>
      <c r="N2347" s="6"/>
      <c r="O2347" s="6"/>
      <c r="P2347" s="6"/>
      <c r="Q2347" s="6"/>
      <c r="R2347" s="6"/>
      <c r="S2347" s="6"/>
      <c r="T2347" s="6"/>
      <c r="U2347" s="6"/>
      <c r="V2347" s="6"/>
      <c r="W2347" s="6"/>
      <c r="X2347" s="6"/>
      <c r="Y2347" s="6"/>
      <c r="Z2347" s="6"/>
    </row>
    <row r="2348" customFormat="false" ht="15" hidden="false" customHeight="false" outlineLevel="0" collapsed="false">
      <c r="A2348" s="9" t="s">
        <v>8191</v>
      </c>
      <c r="B2348" s="9" t="s">
        <v>5870</v>
      </c>
      <c r="C2348" s="9" t="s">
        <v>2587</v>
      </c>
      <c r="D2348" s="9" t="s">
        <v>5871</v>
      </c>
      <c r="E2348" s="9" t="str">
        <f aca="false">IF(AND('Formation Ledger'!A2327&lt;&gt;"",'Formation Ledger'!V2327=0),"PASS","FAIL")</f>
        <v>PASS</v>
      </c>
      <c r="F2348" s="9" t="s">
        <v>76</v>
      </c>
      <c r="G2348" s="6"/>
      <c r="H2348" s="6"/>
      <c r="I2348" s="6"/>
      <c r="J2348" s="6"/>
      <c r="K2348" s="6"/>
      <c r="L2348" s="6"/>
      <c r="M2348" s="6"/>
      <c r="N2348" s="6"/>
      <c r="O2348" s="6"/>
      <c r="P2348" s="6"/>
      <c r="Q2348" s="6"/>
      <c r="R2348" s="6"/>
      <c r="S2348" s="6"/>
      <c r="T2348" s="6"/>
      <c r="U2348" s="6"/>
      <c r="V2348" s="6"/>
      <c r="W2348" s="6"/>
      <c r="X2348" s="6"/>
      <c r="Y2348" s="6"/>
      <c r="Z2348" s="6"/>
    </row>
    <row r="2349" customFormat="false" ht="15" hidden="false" customHeight="false" outlineLevel="0" collapsed="false">
      <c r="A2349" s="9" t="s">
        <v>8192</v>
      </c>
      <c r="B2349" s="9" t="s">
        <v>5870</v>
      </c>
      <c r="C2349" s="9" t="s">
        <v>2588</v>
      </c>
      <c r="D2349" s="9" t="s">
        <v>5871</v>
      </c>
      <c r="E2349" s="9" t="str">
        <f aca="false">IF(AND('Formation Ledger'!A2328&lt;&gt;"",'Formation Ledger'!V2328=0),"PASS","FAIL")</f>
        <v>PASS</v>
      </c>
      <c r="F2349" s="9" t="s">
        <v>76</v>
      </c>
      <c r="G2349" s="6"/>
      <c r="H2349" s="6"/>
      <c r="I2349" s="6"/>
      <c r="J2349" s="6"/>
      <c r="K2349" s="6"/>
      <c r="L2349" s="6"/>
      <c r="M2349" s="6"/>
      <c r="N2349" s="6"/>
      <c r="O2349" s="6"/>
      <c r="P2349" s="6"/>
      <c r="Q2349" s="6"/>
      <c r="R2349" s="6"/>
      <c r="S2349" s="6"/>
      <c r="T2349" s="6"/>
      <c r="U2349" s="6"/>
      <c r="V2349" s="6"/>
      <c r="W2349" s="6"/>
      <c r="X2349" s="6"/>
      <c r="Y2349" s="6"/>
      <c r="Z2349" s="6"/>
    </row>
    <row r="2350" customFormat="false" ht="15" hidden="false" customHeight="false" outlineLevel="0" collapsed="false">
      <c r="A2350" s="9" t="s">
        <v>8193</v>
      </c>
      <c r="B2350" s="9" t="s">
        <v>5870</v>
      </c>
      <c r="C2350" s="9" t="s">
        <v>2589</v>
      </c>
      <c r="D2350" s="9" t="s">
        <v>5871</v>
      </c>
      <c r="E2350" s="9" t="str">
        <f aca="false">IF(AND('Formation Ledger'!A2329&lt;&gt;"",'Formation Ledger'!V2329=0),"PASS","FAIL")</f>
        <v>PASS</v>
      </c>
      <c r="F2350" s="9" t="s">
        <v>76</v>
      </c>
      <c r="G2350" s="6"/>
      <c r="H2350" s="6"/>
      <c r="I2350" s="6"/>
      <c r="J2350" s="6"/>
      <c r="K2350" s="6"/>
      <c r="L2350" s="6"/>
      <c r="M2350" s="6"/>
      <c r="N2350" s="6"/>
      <c r="O2350" s="6"/>
      <c r="P2350" s="6"/>
      <c r="Q2350" s="6"/>
      <c r="R2350" s="6"/>
      <c r="S2350" s="6"/>
      <c r="T2350" s="6"/>
      <c r="U2350" s="6"/>
      <c r="V2350" s="6"/>
      <c r="W2350" s="6"/>
      <c r="X2350" s="6"/>
      <c r="Y2350" s="6"/>
      <c r="Z2350" s="6"/>
    </row>
    <row r="2351" customFormat="false" ht="15" hidden="false" customHeight="false" outlineLevel="0" collapsed="false">
      <c r="A2351" s="9" t="s">
        <v>8194</v>
      </c>
      <c r="B2351" s="9" t="s">
        <v>5870</v>
      </c>
      <c r="C2351" s="9" t="s">
        <v>2590</v>
      </c>
      <c r="D2351" s="9" t="s">
        <v>5871</v>
      </c>
      <c r="E2351" s="9" t="str">
        <f aca="false">IF(AND('Formation Ledger'!A2330&lt;&gt;"",'Formation Ledger'!V2330=0),"PASS","FAIL")</f>
        <v>PASS</v>
      </c>
      <c r="F2351" s="9" t="s">
        <v>76</v>
      </c>
      <c r="G2351" s="6"/>
      <c r="H2351" s="6"/>
      <c r="I2351" s="6"/>
      <c r="J2351" s="6"/>
      <c r="K2351" s="6"/>
      <c r="L2351" s="6"/>
      <c r="M2351" s="6"/>
      <c r="N2351" s="6"/>
      <c r="O2351" s="6"/>
      <c r="P2351" s="6"/>
      <c r="Q2351" s="6"/>
      <c r="R2351" s="6"/>
      <c r="S2351" s="6"/>
      <c r="T2351" s="6"/>
      <c r="U2351" s="6"/>
      <c r="V2351" s="6"/>
      <c r="W2351" s="6"/>
      <c r="X2351" s="6"/>
      <c r="Y2351" s="6"/>
      <c r="Z2351" s="6"/>
    </row>
    <row r="2352" customFormat="false" ht="15" hidden="false" customHeight="false" outlineLevel="0" collapsed="false">
      <c r="A2352" s="9" t="s">
        <v>8195</v>
      </c>
      <c r="B2352" s="9" t="s">
        <v>5870</v>
      </c>
      <c r="C2352" s="9" t="s">
        <v>2591</v>
      </c>
      <c r="D2352" s="9" t="s">
        <v>5871</v>
      </c>
      <c r="E2352" s="9" t="str">
        <f aca="false">IF(AND('Formation Ledger'!A2331&lt;&gt;"",'Formation Ledger'!V2331=0),"PASS","FAIL")</f>
        <v>PASS</v>
      </c>
      <c r="F2352" s="9" t="s">
        <v>76</v>
      </c>
      <c r="G2352" s="6"/>
      <c r="H2352" s="6"/>
      <c r="I2352" s="6"/>
      <c r="J2352" s="6"/>
      <c r="K2352" s="6"/>
      <c r="L2352" s="6"/>
      <c r="M2352" s="6"/>
      <c r="N2352" s="6"/>
      <c r="O2352" s="6"/>
      <c r="P2352" s="6"/>
      <c r="Q2352" s="6"/>
      <c r="R2352" s="6"/>
      <c r="S2352" s="6"/>
      <c r="T2352" s="6"/>
      <c r="U2352" s="6"/>
      <c r="V2352" s="6"/>
      <c r="W2352" s="6"/>
      <c r="X2352" s="6"/>
      <c r="Y2352" s="6"/>
      <c r="Z2352" s="6"/>
    </row>
    <row r="2353" customFormat="false" ht="15" hidden="false" customHeight="false" outlineLevel="0" collapsed="false">
      <c r="A2353" s="9" t="s">
        <v>8196</v>
      </c>
      <c r="B2353" s="9" t="s">
        <v>5870</v>
      </c>
      <c r="C2353" s="9" t="s">
        <v>2592</v>
      </c>
      <c r="D2353" s="9" t="s">
        <v>5871</v>
      </c>
      <c r="E2353" s="9" t="str">
        <f aca="false">IF(AND('Formation Ledger'!A2332&lt;&gt;"",'Formation Ledger'!V2332=0),"PASS","FAIL")</f>
        <v>PASS</v>
      </c>
      <c r="F2353" s="9" t="s">
        <v>76</v>
      </c>
      <c r="G2353" s="6"/>
      <c r="H2353" s="6"/>
      <c r="I2353" s="6"/>
      <c r="J2353" s="6"/>
      <c r="K2353" s="6"/>
      <c r="L2353" s="6"/>
      <c r="M2353" s="6"/>
      <c r="N2353" s="6"/>
      <c r="O2353" s="6"/>
      <c r="P2353" s="6"/>
      <c r="Q2353" s="6"/>
      <c r="R2353" s="6"/>
      <c r="S2353" s="6"/>
      <c r="T2353" s="6"/>
      <c r="U2353" s="6"/>
      <c r="V2353" s="6"/>
      <c r="W2353" s="6"/>
      <c r="X2353" s="6"/>
      <c r="Y2353" s="6"/>
      <c r="Z2353" s="6"/>
    </row>
    <row r="2354" customFormat="false" ht="15" hidden="false" customHeight="false" outlineLevel="0" collapsed="false">
      <c r="A2354" s="9" t="s">
        <v>8197</v>
      </c>
      <c r="B2354" s="9" t="s">
        <v>5870</v>
      </c>
      <c r="C2354" s="9" t="s">
        <v>2593</v>
      </c>
      <c r="D2354" s="9" t="s">
        <v>5871</v>
      </c>
      <c r="E2354" s="9" t="str">
        <f aca="false">IF(AND('Formation Ledger'!A2333&lt;&gt;"",'Formation Ledger'!V2333=0),"PASS","FAIL")</f>
        <v>PASS</v>
      </c>
      <c r="F2354" s="9" t="s">
        <v>76</v>
      </c>
      <c r="G2354" s="6"/>
      <c r="H2354" s="6"/>
      <c r="I2354" s="6"/>
      <c r="J2354" s="6"/>
      <c r="K2354" s="6"/>
      <c r="L2354" s="6"/>
      <c r="M2354" s="6"/>
      <c r="N2354" s="6"/>
      <c r="O2354" s="6"/>
      <c r="P2354" s="6"/>
      <c r="Q2354" s="6"/>
      <c r="R2354" s="6"/>
      <c r="S2354" s="6"/>
      <c r="T2354" s="6"/>
      <c r="U2354" s="6"/>
      <c r="V2354" s="6"/>
      <c r="W2354" s="6"/>
      <c r="X2354" s="6"/>
      <c r="Y2354" s="6"/>
      <c r="Z2354" s="6"/>
    </row>
    <row r="2355" customFormat="false" ht="15" hidden="false" customHeight="false" outlineLevel="0" collapsed="false">
      <c r="A2355" s="9" t="s">
        <v>8198</v>
      </c>
      <c r="B2355" s="9" t="s">
        <v>5870</v>
      </c>
      <c r="C2355" s="9" t="s">
        <v>2594</v>
      </c>
      <c r="D2355" s="9" t="s">
        <v>5871</v>
      </c>
      <c r="E2355" s="9" t="str">
        <f aca="false">IF(AND('Formation Ledger'!A2334&lt;&gt;"",'Formation Ledger'!V2334=0),"PASS","FAIL")</f>
        <v>PASS</v>
      </c>
      <c r="F2355" s="9" t="s">
        <v>76</v>
      </c>
      <c r="G2355" s="6"/>
      <c r="H2355" s="6"/>
      <c r="I2355" s="6"/>
      <c r="J2355" s="6"/>
      <c r="K2355" s="6"/>
      <c r="L2355" s="6"/>
      <c r="M2355" s="6"/>
      <c r="N2355" s="6"/>
      <c r="O2355" s="6"/>
      <c r="P2355" s="6"/>
      <c r="Q2355" s="6"/>
      <c r="R2355" s="6"/>
      <c r="S2355" s="6"/>
      <c r="T2355" s="6"/>
      <c r="U2355" s="6"/>
      <c r="V2355" s="6"/>
      <c r="W2355" s="6"/>
      <c r="X2355" s="6"/>
      <c r="Y2355" s="6"/>
      <c r="Z2355" s="6"/>
    </row>
    <row r="2356" customFormat="false" ht="15" hidden="false" customHeight="false" outlineLevel="0" collapsed="false">
      <c r="A2356" s="9" t="s">
        <v>8199</v>
      </c>
      <c r="B2356" s="9" t="s">
        <v>5870</v>
      </c>
      <c r="C2356" s="9" t="s">
        <v>2595</v>
      </c>
      <c r="D2356" s="9" t="s">
        <v>5871</v>
      </c>
      <c r="E2356" s="9" t="str">
        <f aca="false">IF(AND('Formation Ledger'!A2335&lt;&gt;"",'Formation Ledger'!V2335=0),"PASS","FAIL")</f>
        <v>PASS</v>
      </c>
      <c r="F2356" s="9" t="s">
        <v>76</v>
      </c>
      <c r="G2356" s="6"/>
      <c r="H2356" s="6"/>
      <c r="I2356" s="6"/>
      <c r="J2356" s="6"/>
      <c r="K2356" s="6"/>
      <c r="L2356" s="6"/>
      <c r="M2356" s="6"/>
      <c r="N2356" s="6"/>
      <c r="O2356" s="6"/>
      <c r="P2356" s="6"/>
      <c r="Q2356" s="6"/>
      <c r="R2356" s="6"/>
      <c r="S2356" s="6"/>
      <c r="T2356" s="6"/>
      <c r="U2356" s="6"/>
      <c r="V2356" s="6"/>
      <c r="W2356" s="6"/>
      <c r="X2356" s="6"/>
      <c r="Y2356" s="6"/>
      <c r="Z2356" s="6"/>
    </row>
    <row r="2357" customFormat="false" ht="15" hidden="false" customHeight="false" outlineLevel="0" collapsed="false">
      <c r="A2357" s="9" t="s">
        <v>8200</v>
      </c>
      <c r="B2357" s="9" t="s">
        <v>5870</v>
      </c>
      <c r="C2357" s="9" t="s">
        <v>2596</v>
      </c>
      <c r="D2357" s="9" t="s">
        <v>5871</v>
      </c>
      <c r="E2357" s="9" t="str">
        <f aca="false">IF(AND('Formation Ledger'!A2336&lt;&gt;"",'Formation Ledger'!V2336=0),"PASS","FAIL")</f>
        <v>PASS</v>
      </c>
      <c r="F2357" s="9" t="s">
        <v>76</v>
      </c>
      <c r="G2357" s="6"/>
      <c r="H2357" s="6"/>
      <c r="I2357" s="6"/>
      <c r="J2357" s="6"/>
      <c r="K2357" s="6"/>
      <c r="L2357" s="6"/>
      <c r="M2357" s="6"/>
      <c r="N2357" s="6"/>
      <c r="O2357" s="6"/>
      <c r="P2357" s="6"/>
      <c r="Q2357" s="6"/>
      <c r="R2357" s="6"/>
      <c r="S2357" s="6"/>
      <c r="T2357" s="6"/>
      <c r="U2357" s="6"/>
      <c r="V2357" s="6"/>
      <c r="W2357" s="6"/>
      <c r="X2357" s="6"/>
      <c r="Y2357" s="6"/>
      <c r="Z2357" s="6"/>
    </row>
    <row r="2358" customFormat="false" ht="15" hidden="false" customHeight="false" outlineLevel="0" collapsed="false">
      <c r="A2358" s="9" t="s">
        <v>8201</v>
      </c>
      <c r="B2358" s="9" t="s">
        <v>5870</v>
      </c>
      <c r="C2358" s="9" t="s">
        <v>2597</v>
      </c>
      <c r="D2358" s="9" t="s">
        <v>5871</v>
      </c>
      <c r="E2358" s="9" t="str">
        <f aca="false">IF(AND('Formation Ledger'!A2337&lt;&gt;"",'Formation Ledger'!V2337=0),"PASS","FAIL")</f>
        <v>PASS</v>
      </c>
      <c r="F2358" s="9" t="s">
        <v>76</v>
      </c>
      <c r="G2358" s="6"/>
      <c r="H2358" s="6"/>
      <c r="I2358" s="6"/>
      <c r="J2358" s="6"/>
      <c r="K2358" s="6"/>
      <c r="L2358" s="6"/>
      <c r="M2358" s="6"/>
      <c r="N2358" s="6"/>
      <c r="O2358" s="6"/>
      <c r="P2358" s="6"/>
      <c r="Q2358" s="6"/>
      <c r="R2358" s="6"/>
      <c r="S2358" s="6"/>
      <c r="T2358" s="6"/>
      <c r="U2358" s="6"/>
      <c r="V2358" s="6"/>
      <c r="W2358" s="6"/>
      <c r="X2358" s="6"/>
      <c r="Y2358" s="6"/>
      <c r="Z2358" s="6"/>
    </row>
    <row r="2359" customFormat="false" ht="15" hidden="false" customHeight="false" outlineLevel="0" collapsed="false">
      <c r="A2359" s="9" t="s">
        <v>8202</v>
      </c>
      <c r="B2359" s="9" t="s">
        <v>5870</v>
      </c>
      <c r="C2359" s="9" t="s">
        <v>2598</v>
      </c>
      <c r="D2359" s="9" t="s">
        <v>5871</v>
      </c>
      <c r="E2359" s="9" t="str">
        <f aca="false">IF(AND('Formation Ledger'!A2338&lt;&gt;"",'Formation Ledger'!V2338=0),"PASS","FAIL")</f>
        <v>PASS</v>
      </c>
      <c r="F2359" s="9" t="s">
        <v>76</v>
      </c>
      <c r="G2359" s="6"/>
      <c r="H2359" s="6"/>
      <c r="I2359" s="6"/>
      <c r="J2359" s="6"/>
      <c r="K2359" s="6"/>
      <c r="L2359" s="6"/>
      <c r="M2359" s="6"/>
      <c r="N2359" s="6"/>
      <c r="O2359" s="6"/>
      <c r="P2359" s="6"/>
      <c r="Q2359" s="6"/>
      <c r="R2359" s="6"/>
      <c r="S2359" s="6"/>
      <c r="T2359" s="6"/>
      <c r="U2359" s="6"/>
      <c r="V2359" s="6"/>
      <c r="W2359" s="6"/>
      <c r="X2359" s="6"/>
      <c r="Y2359" s="6"/>
      <c r="Z2359" s="6"/>
    </row>
    <row r="2360" customFormat="false" ht="15" hidden="false" customHeight="false" outlineLevel="0" collapsed="false">
      <c r="A2360" s="9" t="s">
        <v>8203</v>
      </c>
      <c r="B2360" s="9" t="s">
        <v>5870</v>
      </c>
      <c r="C2360" s="9" t="s">
        <v>2599</v>
      </c>
      <c r="D2360" s="9" t="s">
        <v>5871</v>
      </c>
      <c r="E2360" s="9" t="str">
        <f aca="false">IF(AND('Formation Ledger'!A2339&lt;&gt;"",'Formation Ledger'!V2339=0),"PASS","FAIL")</f>
        <v>PASS</v>
      </c>
      <c r="F2360" s="9" t="s">
        <v>76</v>
      </c>
      <c r="G2360" s="6"/>
      <c r="H2360" s="6"/>
      <c r="I2360" s="6"/>
      <c r="J2360" s="6"/>
      <c r="K2360" s="6"/>
      <c r="L2360" s="6"/>
      <c r="M2360" s="6"/>
      <c r="N2360" s="6"/>
      <c r="O2360" s="6"/>
      <c r="P2360" s="6"/>
      <c r="Q2360" s="6"/>
      <c r="R2360" s="6"/>
      <c r="S2360" s="6"/>
      <c r="T2360" s="6"/>
      <c r="U2360" s="6"/>
      <c r="V2360" s="6"/>
      <c r="W2360" s="6"/>
      <c r="X2360" s="6"/>
      <c r="Y2360" s="6"/>
      <c r="Z2360" s="6"/>
    </row>
    <row r="2361" customFormat="false" ht="15" hidden="false" customHeight="false" outlineLevel="0" collapsed="false">
      <c r="A2361" s="9" t="s">
        <v>8204</v>
      </c>
      <c r="B2361" s="9" t="s">
        <v>5870</v>
      </c>
      <c r="C2361" s="9" t="s">
        <v>2600</v>
      </c>
      <c r="D2361" s="9" t="s">
        <v>5871</v>
      </c>
      <c r="E2361" s="9" t="str">
        <f aca="false">IF(AND('Formation Ledger'!A2340&lt;&gt;"",'Formation Ledger'!V2340=0),"PASS","FAIL")</f>
        <v>PASS</v>
      </c>
      <c r="F2361" s="9" t="s">
        <v>76</v>
      </c>
      <c r="G2361" s="6"/>
      <c r="H2361" s="6"/>
      <c r="I2361" s="6"/>
      <c r="J2361" s="6"/>
      <c r="K2361" s="6"/>
      <c r="L2361" s="6"/>
      <c r="M2361" s="6"/>
      <c r="N2361" s="6"/>
      <c r="O2361" s="6"/>
      <c r="P2361" s="6"/>
      <c r="Q2361" s="6"/>
      <c r="R2361" s="6"/>
      <c r="S2361" s="6"/>
      <c r="T2361" s="6"/>
      <c r="U2361" s="6"/>
      <c r="V2361" s="6"/>
      <c r="W2361" s="6"/>
      <c r="X2361" s="6"/>
      <c r="Y2361" s="6"/>
      <c r="Z2361" s="6"/>
    </row>
    <row r="2362" customFormat="false" ht="15" hidden="false" customHeight="false" outlineLevel="0" collapsed="false">
      <c r="A2362" s="9" t="s">
        <v>8205</v>
      </c>
      <c r="B2362" s="9" t="s">
        <v>5870</v>
      </c>
      <c r="C2362" s="9" t="s">
        <v>2601</v>
      </c>
      <c r="D2362" s="9" t="s">
        <v>5871</v>
      </c>
      <c r="E2362" s="9" t="str">
        <f aca="false">IF(AND('Formation Ledger'!A2341&lt;&gt;"",'Formation Ledger'!V2341=0),"PASS","FAIL")</f>
        <v>PASS</v>
      </c>
      <c r="F2362" s="9" t="s">
        <v>76</v>
      </c>
      <c r="G2362" s="6"/>
      <c r="H2362" s="6"/>
      <c r="I2362" s="6"/>
      <c r="J2362" s="6"/>
      <c r="K2362" s="6"/>
      <c r="L2362" s="6"/>
      <c r="M2362" s="6"/>
      <c r="N2362" s="6"/>
      <c r="O2362" s="6"/>
      <c r="P2362" s="6"/>
      <c r="Q2362" s="6"/>
      <c r="R2362" s="6"/>
      <c r="S2362" s="6"/>
      <c r="T2362" s="6"/>
      <c r="U2362" s="6"/>
      <c r="V2362" s="6"/>
      <c r="W2362" s="6"/>
      <c r="X2362" s="6"/>
      <c r="Y2362" s="6"/>
      <c r="Z2362" s="6"/>
    </row>
    <row r="2363" customFormat="false" ht="15" hidden="false" customHeight="false" outlineLevel="0" collapsed="false">
      <c r="A2363" s="9" t="s">
        <v>8206</v>
      </c>
      <c r="B2363" s="9" t="s">
        <v>5870</v>
      </c>
      <c r="C2363" s="9" t="s">
        <v>2602</v>
      </c>
      <c r="D2363" s="9" t="s">
        <v>5871</v>
      </c>
      <c r="E2363" s="9" t="str">
        <f aca="false">IF(AND('Formation Ledger'!A2342&lt;&gt;"",'Formation Ledger'!V2342=0),"PASS","FAIL")</f>
        <v>PASS</v>
      </c>
      <c r="F2363" s="9" t="s">
        <v>76</v>
      </c>
      <c r="G2363" s="6"/>
      <c r="H2363" s="6"/>
      <c r="I2363" s="6"/>
      <c r="J2363" s="6"/>
      <c r="K2363" s="6"/>
      <c r="L2363" s="6"/>
      <c r="M2363" s="6"/>
      <c r="N2363" s="6"/>
      <c r="O2363" s="6"/>
      <c r="P2363" s="6"/>
      <c r="Q2363" s="6"/>
      <c r="R2363" s="6"/>
      <c r="S2363" s="6"/>
      <c r="T2363" s="6"/>
      <c r="U2363" s="6"/>
      <c r="V2363" s="6"/>
      <c r="W2363" s="6"/>
      <c r="X2363" s="6"/>
      <c r="Y2363" s="6"/>
      <c r="Z2363" s="6"/>
    </row>
    <row r="2364" customFormat="false" ht="15" hidden="false" customHeight="false" outlineLevel="0" collapsed="false">
      <c r="A2364" s="9" t="s">
        <v>8207</v>
      </c>
      <c r="B2364" s="9" t="s">
        <v>5870</v>
      </c>
      <c r="C2364" s="9" t="s">
        <v>2603</v>
      </c>
      <c r="D2364" s="9" t="s">
        <v>5871</v>
      </c>
      <c r="E2364" s="9" t="str">
        <f aca="false">IF(AND('Formation Ledger'!A2343&lt;&gt;"",'Formation Ledger'!V2343=0),"PASS","FAIL")</f>
        <v>PASS</v>
      </c>
      <c r="F2364" s="9" t="s">
        <v>76</v>
      </c>
      <c r="G2364" s="6"/>
      <c r="H2364" s="6"/>
      <c r="I2364" s="6"/>
      <c r="J2364" s="6"/>
      <c r="K2364" s="6"/>
      <c r="L2364" s="6"/>
      <c r="M2364" s="6"/>
      <c r="N2364" s="6"/>
      <c r="O2364" s="6"/>
      <c r="P2364" s="6"/>
      <c r="Q2364" s="6"/>
      <c r="R2364" s="6"/>
      <c r="S2364" s="6"/>
      <c r="T2364" s="6"/>
      <c r="U2364" s="6"/>
      <c r="V2364" s="6"/>
      <c r="W2364" s="6"/>
      <c r="X2364" s="6"/>
      <c r="Y2364" s="6"/>
      <c r="Z2364" s="6"/>
    </row>
    <row r="2365" customFormat="false" ht="15" hidden="false" customHeight="false" outlineLevel="0" collapsed="false">
      <c r="A2365" s="9" t="s">
        <v>8208</v>
      </c>
      <c r="B2365" s="9" t="s">
        <v>5870</v>
      </c>
      <c r="C2365" s="9" t="s">
        <v>2604</v>
      </c>
      <c r="D2365" s="9" t="s">
        <v>5871</v>
      </c>
      <c r="E2365" s="9" t="str">
        <f aca="false">IF(AND('Formation Ledger'!A2344&lt;&gt;"",'Formation Ledger'!V2344=0),"PASS","FAIL")</f>
        <v>PASS</v>
      </c>
      <c r="F2365" s="9" t="s">
        <v>76</v>
      </c>
      <c r="G2365" s="6"/>
      <c r="H2365" s="6"/>
      <c r="I2365" s="6"/>
      <c r="J2365" s="6"/>
      <c r="K2365" s="6"/>
      <c r="L2365" s="6"/>
      <c r="M2365" s="6"/>
      <c r="N2365" s="6"/>
      <c r="O2365" s="6"/>
      <c r="P2365" s="6"/>
      <c r="Q2365" s="6"/>
      <c r="R2365" s="6"/>
      <c r="S2365" s="6"/>
      <c r="T2365" s="6"/>
      <c r="U2365" s="6"/>
      <c r="V2365" s="6"/>
      <c r="W2365" s="6"/>
      <c r="X2365" s="6"/>
      <c r="Y2365" s="6"/>
      <c r="Z2365" s="6"/>
    </row>
    <row r="2366" customFormat="false" ht="15" hidden="false" customHeight="false" outlineLevel="0" collapsed="false">
      <c r="A2366" s="9" t="s">
        <v>8209</v>
      </c>
      <c r="B2366" s="9" t="s">
        <v>5870</v>
      </c>
      <c r="C2366" s="9" t="s">
        <v>2605</v>
      </c>
      <c r="D2366" s="9" t="s">
        <v>5871</v>
      </c>
      <c r="E2366" s="9" t="str">
        <f aca="false">IF(AND('Formation Ledger'!A2345&lt;&gt;"",'Formation Ledger'!V2345=0),"PASS","FAIL")</f>
        <v>PASS</v>
      </c>
      <c r="F2366" s="9" t="s">
        <v>76</v>
      </c>
      <c r="G2366" s="6"/>
      <c r="H2366" s="6"/>
      <c r="I2366" s="6"/>
      <c r="J2366" s="6"/>
      <c r="K2366" s="6"/>
      <c r="L2366" s="6"/>
      <c r="M2366" s="6"/>
      <c r="N2366" s="6"/>
      <c r="O2366" s="6"/>
      <c r="P2366" s="6"/>
      <c r="Q2366" s="6"/>
      <c r="R2366" s="6"/>
      <c r="S2366" s="6"/>
      <c r="T2366" s="6"/>
      <c r="U2366" s="6"/>
      <c r="V2366" s="6"/>
      <c r="W2366" s="6"/>
      <c r="X2366" s="6"/>
      <c r="Y2366" s="6"/>
      <c r="Z2366" s="6"/>
    </row>
    <row r="2367" customFormat="false" ht="15" hidden="false" customHeight="false" outlineLevel="0" collapsed="false">
      <c r="A2367" s="9" t="s">
        <v>8210</v>
      </c>
      <c r="B2367" s="9" t="s">
        <v>5870</v>
      </c>
      <c r="C2367" s="9" t="s">
        <v>2606</v>
      </c>
      <c r="D2367" s="9" t="s">
        <v>5871</v>
      </c>
      <c r="E2367" s="9" t="str">
        <f aca="false">IF(AND('Formation Ledger'!A2346&lt;&gt;"",'Formation Ledger'!V2346=0),"PASS","FAIL")</f>
        <v>PASS</v>
      </c>
      <c r="F2367" s="9" t="s">
        <v>76</v>
      </c>
      <c r="G2367" s="6"/>
      <c r="H2367" s="6"/>
      <c r="I2367" s="6"/>
      <c r="J2367" s="6"/>
      <c r="K2367" s="6"/>
      <c r="L2367" s="6"/>
      <c r="M2367" s="6"/>
      <c r="N2367" s="6"/>
      <c r="O2367" s="6"/>
      <c r="P2367" s="6"/>
      <c r="Q2367" s="6"/>
      <c r="R2367" s="6"/>
      <c r="S2367" s="6"/>
      <c r="T2367" s="6"/>
      <c r="U2367" s="6"/>
      <c r="V2367" s="6"/>
      <c r="W2367" s="6"/>
      <c r="X2367" s="6"/>
      <c r="Y2367" s="6"/>
      <c r="Z2367" s="6"/>
    </row>
    <row r="2368" customFormat="false" ht="15" hidden="false" customHeight="false" outlineLevel="0" collapsed="false">
      <c r="A2368" s="9" t="s">
        <v>8211</v>
      </c>
      <c r="B2368" s="9" t="s">
        <v>5870</v>
      </c>
      <c r="C2368" s="9" t="s">
        <v>2607</v>
      </c>
      <c r="D2368" s="9" t="s">
        <v>5871</v>
      </c>
      <c r="E2368" s="9" t="str">
        <f aca="false">IF(AND('Formation Ledger'!A2347&lt;&gt;"",'Formation Ledger'!V2347=0),"PASS","FAIL")</f>
        <v>PASS</v>
      </c>
      <c r="F2368" s="9" t="s">
        <v>76</v>
      </c>
      <c r="G2368" s="6"/>
      <c r="H2368" s="6"/>
      <c r="I2368" s="6"/>
      <c r="J2368" s="6"/>
      <c r="K2368" s="6"/>
      <c r="L2368" s="6"/>
      <c r="M2368" s="6"/>
      <c r="N2368" s="6"/>
      <c r="O2368" s="6"/>
      <c r="P2368" s="6"/>
      <c r="Q2368" s="6"/>
      <c r="R2368" s="6"/>
      <c r="S2368" s="6"/>
      <c r="T2368" s="6"/>
      <c r="U2368" s="6"/>
      <c r="V2368" s="6"/>
      <c r="W2368" s="6"/>
      <c r="X2368" s="6"/>
      <c r="Y2368" s="6"/>
      <c r="Z2368" s="6"/>
    </row>
    <row r="2369" customFormat="false" ht="15" hidden="false" customHeight="false" outlineLevel="0" collapsed="false">
      <c r="A2369" s="9" t="s">
        <v>8212</v>
      </c>
      <c r="B2369" s="9" t="s">
        <v>5870</v>
      </c>
      <c r="C2369" s="9" t="s">
        <v>2608</v>
      </c>
      <c r="D2369" s="9" t="s">
        <v>5871</v>
      </c>
      <c r="E2369" s="9" t="str">
        <f aca="false">IF(AND('Formation Ledger'!A2348&lt;&gt;"",'Formation Ledger'!V2348=0),"PASS","FAIL")</f>
        <v>PASS</v>
      </c>
      <c r="F2369" s="9" t="s">
        <v>76</v>
      </c>
      <c r="G2369" s="6"/>
      <c r="H2369" s="6"/>
      <c r="I2369" s="6"/>
      <c r="J2369" s="6"/>
      <c r="K2369" s="6"/>
      <c r="L2369" s="6"/>
      <c r="M2369" s="6"/>
      <c r="N2369" s="6"/>
      <c r="O2369" s="6"/>
      <c r="P2369" s="6"/>
      <c r="Q2369" s="6"/>
      <c r="R2369" s="6"/>
      <c r="S2369" s="6"/>
      <c r="T2369" s="6"/>
      <c r="U2369" s="6"/>
      <c r="V2369" s="6"/>
      <c r="W2369" s="6"/>
      <c r="X2369" s="6"/>
      <c r="Y2369" s="6"/>
      <c r="Z2369" s="6"/>
    </row>
    <row r="2370" customFormat="false" ht="15" hidden="false" customHeight="false" outlineLevel="0" collapsed="false">
      <c r="A2370" s="9" t="s">
        <v>8213</v>
      </c>
      <c r="B2370" s="9" t="s">
        <v>5870</v>
      </c>
      <c r="C2370" s="9" t="s">
        <v>2609</v>
      </c>
      <c r="D2370" s="9" t="s">
        <v>5871</v>
      </c>
      <c r="E2370" s="9" t="str">
        <f aca="false">IF(AND('Formation Ledger'!A2349&lt;&gt;"",'Formation Ledger'!V2349=0),"PASS","FAIL")</f>
        <v>PASS</v>
      </c>
      <c r="F2370" s="9" t="s">
        <v>76</v>
      </c>
      <c r="G2370" s="6"/>
      <c r="H2370" s="6"/>
      <c r="I2370" s="6"/>
      <c r="J2370" s="6"/>
      <c r="K2370" s="6"/>
      <c r="L2370" s="6"/>
      <c r="M2370" s="6"/>
      <c r="N2370" s="6"/>
      <c r="O2370" s="6"/>
      <c r="P2370" s="6"/>
      <c r="Q2370" s="6"/>
      <c r="R2370" s="6"/>
      <c r="S2370" s="6"/>
      <c r="T2370" s="6"/>
      <c r="U2370" s="6"/>
      <c r="V2370" s="6"/>
      <c r="W2370" s="6"/>
      <c r="X2370" s="6"/>
      <c r="Y2370" s="6"/>
      <c r="Z2370" s="6"/>
    </row>
    <row r="2371" customFormat="false" ht="15" hidden="false" customHeight="false" outlineLevel="0" collapsed="false">
      <c r="A2371" s="9" t="s">
        <v>8214</v>
      </c>
      <c r="B2371" s="9" t="s">
        <v>5870</v>
      </c>
      <c r="C2371" s="9" t="s">
        <v>2610</v>
      </c>
      <c r="D2371" s="9" t="s">
        <v>5871</v>
      </c>
      <c r="E2371" s="9" t="str">
        <f aca="false">IF(AND('Formation Ledger'!A2350&lt;&gt;"",'Formation Ledger'!V2350=0),"PASS","FAIL")</f>
        <v>PASS</v>
      </c>
      <c r="F2371" s="9" t="s">
        <v>76</v>
      </c>
      <c r="G2371" s="6"/>
      <c r="H2371" s="6"/>
      <c r="I2371" s="6"/>
      <c r="J2371" s="6"/>
      <c r="K2371" s="6"/>
      <c r="L2371" s="6"/>
      <c r="M2371" s="6"/>
      <c r="N2371" s="6"/>
      <c r="O2371" s="6"/>
      <c r="P2371" s="6"/>
      <c r="Q2371" s="6"/>
      <c r="R2371" s="6"/>
      <c r="S2371" s="6"/>
      <c r="T2371" s="6"/>
      <c r="U2371" s="6"/>
      <c r="V2371" s="6"/>
      <c r="W2371" s="6"/>
      <c r="X2371" s="6"/>
      <c r="Y2371" s="6"/>
      <c r="Z2371" s="6"/>
    </row>
    <row r="2372" customFormat="false" ht="15" hidden="false" customHeight="false" outlineLevel="0" collapsed="false">
      <c r="A2372" s="9" t="s">
        <v>8215</v>
      </c>
      <c r="B2372" s="9" t="s">
        <v>5870</v>
      </c>
      <c r="C2372" s="9" t="s">
        <v>2611</v>
      </c>
      <c r="D2372" s="9" t="s">
        <v>5871</v>
      </c>
      <c r="E2372" s="9" t="str">
        <f aca="false">IF(AND('Formation Ledger'!A2351&lt;&gt;"",'Formation Ledger'!V2351=0),"PASS","FAIL")</f>
        <v>PASS</v>
      </c>
      <c r="F2372" s="9" t="s">
        <v>76</v>
      </c>
      <c r="G2372" s="6"/>
      <c r="H2372" s="6"/>
      <c r="I2372" s="6"/>
      <c r="J2372" s="6"/>
      <c r="K2372" s="6"/>
      <c r="L2372" s="6"/>
      <c r="M2372" s="6"/>
      <c r="N2372" s="6"/>
      <c r="O2372" s="6"/>
      <c r="P2372" s="6"/>
      <c r="Q2372" s="6"/>
      <c r="R2372" s="6"/>
      <c r="S2372" s="6"/>
      <c r="T2372" s="6"/>
      <c r="U2372" s="6"/>
      <c r="V2372" s="6"/>
      <c r="W2372" s="6"/>
      <c r="X2372" s="6"/>
      <c r="Y2372" s="6"/>
      <c r="Z2372" s="6"/>
    </row>
    <row r="2373" customFormat="false" ht="15" hidden="false" customHeight="false" outlineLevel="0" collapsed="false">
      <c r="A2373" s="9" t="s">
        <v>8216</v>
      </c>
      <c r="B2373" s="9" t="s">
        <v>5870</v>
      </c>
      <c r="C2373" s="9" t="s">
        <v>2612</v>
      </c>
      <c r="D2373" s="9" t="s">
        <v>5871</v>
      </c>
      <c r="E2373" s="9" t="str">
        <f aca="false">IF(AND('Formation Ledger'!A2352&lt;&gt;"",'Formation Ledger'!V2352=0),"PASS","FAIL")</f>
        <v>PASS</v>
      </c>
      <c r="F2373" s="9" t="s">
        <v>76</v>
      </c>
      <c r="G2373" s="6"/>
      <c r="H2373" s="6"/>
      <c r="I2373" s="6"/>
      <c r="J2373" s="6"/>
      <c r="K2373" s="6"/>
      <c r="L2373" s="6"/>
      <c r="M2373" s="6"/>
      <c r="N2373" s="6"/>
      <c r="O2373" s="6"/>
      <c r="P2373" s="6"/>
      <c r="Q2373" s="6"/>
      <c r="R2373" s="6"/>
      <c r="S2373" s="6"/>
      <c r="T2373" s="6"/>
      <c r="U2373" s="6"/>
      <c r="V2373" s="6"/>
      <c r="W2373" s="6"/>
      <c r="X2373" s="6"/>
      <c r="Y2373" s="6"/>
      <c r="Z2373" s="6"/>
    </row>
    <row r="2374" customFormat="false" ht="15" hidden="false" customHeight="false" outlineLevel="0" collapsed="false">
      <c r="A2374" s="9" t="s">
        <v>8217</v>
      </c>
      <c r="B2374" s="9" t="s">
        <v>5870</v>
      </c>
      <c r="C2374" s="9" t="s">
        <v>2613</v>
      </c>
      <c r="D2374" s="9" t="s">
        <v>5871</v>
      </c>
      <c r="E2374" s="9" t="str">
        <f aca="false">IF(AND('Formation Ledger'!A2353&lt;&gt;"",'Formation Ledger'!V2353=0),"PASS","FAIL")</f>
        <v>PASS</v>
      </c>
      <c r="F2374" s="9" t="s">
        <v>76</v>
      </c>
      <c r="G2374" s="6"/>
      <c r="H2374" s="6"/>
      <c r="I2374" s="6"/>
      <c r="J2374" s="6"/>
      <c r="K2374" s="6"/>
      <c r="L2374" s="6"/>
      <c r="M2374" s="6"/>
      <c r="N2374" s="6"/>
      <c r="O2374" s="6"/>
      <c r="P2374" s="6"/>
      <c r="Q2374" s="6"/>
      <c r="R2374" s="6"/>
      <c r="S2374" s="6"/>
      <c r="T2374" s="6"/>
      <c r="U2374" s="6"/>
      <c r="V2374" s="6"/>
      <c r="W2374" s="6"/>
      <c r="X2374" s="6"/>
      <c r="Y2374" s="6"/>
      <c r="Z2374" s="6"/>
    </row>
    <row r="2375" customFormat="false" ht="15" hidden="false" customHeight="false" outlineLevel="0" collapsed="false">
      <c r="A2375" s="9" t="s">
        <v>8218</v>
      </c>
      <c r="B2375" s="9" t="s">
        <v>5870</v>
      </c>
      <c r="C2375" s="9" t="s">
        <v>2614</v>
      </c>
      <c r="D2375" s="9" t="s">
        <v>5871</v>
      </c>
      <c r="E2375" s="9" t="str">
        <f aca="false">IF(AND('Formation Ledger'!A2354&lt;&gt;"",'Formation Ledger'!V2354=0),"PASS","FAIL")</f>
        <v>PASS</v>
      </c>
      <c r="F2375" s="9" t="s">
        <v>76</v>
      </c>
      <c r="G2375" s="6"/>
      <c r="H2375" s="6"/>
      <c r="I2375" s="6"/>
      <c r="J2375" s="6"/>
      <c r="K2375" s="6"/>
      <c r="L2375" s="6"/>
      <c r="M2375" s="6"/>
      <c r="N2375" s="6"/>
      <c r="O2375" s="6"/>
      <c r="P2375" s="6"/>
      <c r="Q2375" s="6"/>
      <c r="R2375" s="6"/>
      <c r="S2375" s="6"/>
      <c r="T2375" s="6"/>
      <c r="U2375" s="6"/>
      <c r="V2375" s="6"/>
      <c r="W2375" s="6"/>
      <c r="X2375" s="6"/>
      <c r="Y2375" s="6"/>
      <c r="Z2375" s="6"/>
    </row>
    <row r="2376" customFormat="false" ht="15" hidden="false" customHeight="false" outlineLevel="0" collapsed="false">
      <c r="A2376" s="9" t="s">
        <v>8219</v>
      </c>
      <c r="B2376" s="9" t="s">
        <v>5870</v>
      </c>
      <c r="C2376" s="9" t="s">
        <v>2615</v>
      </c>
      <c r="D2376" s="9" t="s">
        <v>5871</v>
      </c>
      <c r="E2376" s="9" t="str">
        <f aca="false">IF(AND('Formation Ledger'!A2355&lt;&gt;"",'Formation Ledger'!V2355=0),"PASS","FAIL")</f>
        <v>PASS</v>
      </c>
      <c r="F2376" s="9" t="s">
        <v>76</v>
      </c>
      <c r="G2376" s="6"/>
      <c r="H2376" s="6"/>
      <c r="I2376" s="6"/>
      <c r="J2376" s="6"/>
      <c r="K2376" s="6"/>
      <c r="L2376" s="6"/>
      <c r="M2376" s="6"/>
      <c r="N2376" s="6"/>
      <c r="O2376" s="6"/>
      <c r="P2376" s="6"/>
      <c r="Q2376" s="6"/>
      <c r="R2376" s="6"/>
      <c r="S2376" s="6"/>
      <c r="T2376" s="6"/>
      <c r="U2376" s="6"/>
      <c r="V2376" s="6"/>
      <c r="W2376" s="6"/>
      <c r="X2376" s="6"/>
      <c r="Y2376" s="6"/>
      <c r="Z2376" s="6"/>
    </row>
    <row r="2377" customFormat="false" ht="15" hidden="false" customHeight="false" outlineLevel="0" collapsed="false">
      <c r="A2377" s="9" t="s">
        <v>8220</v>
      </c>
      <c r="B2377" s="9" t="s">
        <v>5870</v>
      </c>
      <c r="C2377" s="9" t="s">
        <v>2616</v>
      </c>
      <c r="D2377" s="9" t="s">
        <v>5871</v>
      </c>
      <c r="E2377" s="9" t="str">
        <f aca="false">IF(AND('Formation Ledger'!A2356&lt;&gt;"",'Formation Ledger'!V2356=0),"PASS","FAIL")</f>
        <v>PASS</v>
      </c>
      <c r="F2377" s="9" t="s">
        <v>76</v>
      </c>
      <c r="G2377" s="6"/>
      <c r="H2377" s="6"/>
      <c r="I2377" s="6"/>
      <c r="J2377" s="6"/>
      <c r="K2377" s="6"/>
      <c r="L2377" s="6"/>
      <c r="M2377" s="6"/>
      <c r="N2377" s="6"/>
      <c r="O2377" s="6"/>
      <c r="P2377" s="6"/>
      <c r="Q2377" s="6"/>
      <c r="R2377" s="6"/>
      <c r="S2377" s="6"/>
      <c r="T2377" s="6"/>
      <c r="U2377" s="6"/>
      <c r="V2377" s="6"/>
      <c r="W2377" s="6"/>
      <c r="X2377" s="6"/>
      <c r="Y2377" s="6"/>
      <c r="Z2377" s="6"/>
    </row>
    <row r="2378" customFormat="false" ht="15" hidden="false" customHeight="false" outlineLevel="0" collapsed="false">
      <c r="A2378" s="9" t="s">
        <v>8221</v>
      </c>
      <c r="B2378" s="9" t="s">
        <v>5870</v>
      </c>
      <c r="C2378" s="9" t="s">
        <v>2617</v>
      </c>
      <c r="D2378" s="9" t="s">
        <v>5871</v>
      </c>
      <c r="E2378" s="9" t="str">
        <f aca="false">IF(AND('Formation Ledger'!A2357&lt;&gt;"",'Formation Ledger'!V2357=0),"PASS","FAIL")</f>
        <v>PASS</v>
      </c>
      <c r="F2378" s="9" t="s">
        <v>76</v>
      </c>
      <c r="G2378" s="6"/>
      <c r="H2378" s="6"/>
      <c r="I2378" s="6"/>
      <c r="J2378" s="6"/>
      <c r="K2378" s="6"/>
      <c r="L2378" s="6"/>
      <c r="M2378" s="6"/>
      <c r="N2378" s="6"/>
      <c r="O2378" s="6"/>
      <c r="P2378" s="6"/>
      <c r="Q2378" s="6"/>
      <c r="R2378" s="6"/>
      <c r="S2378" s="6"/>
      <c r="T2378" s="6"/>
      <c r="U2378" s="6"/>
      <c r="V2378" s="6"/>
      <c r="W2378" s="6"/>
      <c r="X2378" s="6"/>
      <c r="Y2378" s="6"/>
      <c r="Z2378" s="6"/>
    </row>
    <row r="2379" customFormat="false" ht="15" hidden="false" customHeight="false" outlineLevel="0" collapsed="false">
      <c r="A2379" s="9" t="s">
        <v>8222</v>
      </c>
      <c r="B2379" s="9" t="s">
        <v>5870</v>
      </c>
      <c r="C2379" s="9" t="s">
        <v>2618</v>
      </c>
      <c r="D2379" s="9" t="s">
        <v>5871</v>
      </c>
      <c r="E2379" s="9" t="str">
        <f aca="false">IF(AND('Formation Ledger'!A2358&lt;&gt;"",'Formation Ledger'!V2358=0),"PASS","FAIL")</f>
        <v>PASS</v>
      </c>
      <c r="F2379" s="9" t="s">
        <v>76</v>
      </c>
      <c r="G2379" s="6"/>
      <c r="H2379" s="6"/>
      <c r="I2379" s="6"/>
      <c r="J2379" s="6"/>
      <c r="K2379" s="6"/>
      <c r="L2379" s="6"/>
      <c r="M2379" s="6"/>
      <c r="N2379" s="6"/>
      <c r="O2379" s="6"/>
      <c r="P2379" s="6"/>
      <c r="Q2379" s="6"/>
      <c r="R2379" s="6"/>
      <c r="S2379" s="6"/>
      <c r="T2379" s="6"/>
      <c r="U2379" s="6"/>
      <c r="V2379" s="6"/>
      <c r="W2379" s="6"/>
      <c r="X2379" s="6"/>
      <c r="Y2379" s="6"/>
      <c r="Z2379" s="6"/>
    </row>
    <row r="2380" customFormat="false" ht="15" hidden="false" customHeight="false" outlineLevel="0" collapsed="false">
      <c r="A2380" s="9" t="s">
        <v>8223</v>
      </c>
      <c r="B2380" s="9" t="s">
        <v>5870</v>
      </c>
      <c r="C2380" s="9" t="s">
        <v>2619</v>
      </c>
      <c r="D2380" s="9" t="s">
        <v>5871</v>
      </c>
      <c r="E2380" s="9" t="str">
        <f aca="false">IF(AND('Formation Ledger'!A2359&lt;&gt;"",'Formation Ledger'!V2359=0),"PASS","FAIL")</f>
        <v>PASS</v>
      </c>
      <c r="F2380" s="9" t="s">
        <v>76</v>
      </c>
      <c r="G2380" s="6"/>
      <c r="H2380" s="6"/>
      <c r="I2380" s="6"/>
      <c r="J2380" s="6"/>
      <c r="K2380" s="6"/>
      <c r="L2380" s="6"/>
      <c r="M2380" s="6"/>
      <c r="N2380" s="6"/>
      <c r="O2380" s="6"/>
      <c r="P2380" s="6"/>
      <c r="Q2380" s="6"/>
      <c r="R2380" s="6"/>
      <c r="S2380" s="6"/>
      <c r="T2380" s="6"/>
      <c r="U2380" s="6"/>
      <c r="V2380" s="6"/>
      <c r="W2380" s="6"/>
      <c r="X2380" s="6"/>
      <c r="Y2380" s="6"/>
      <c r="Z2380" s="6"/>
    </row>
    <row r="2381" customFormat="false" ht="15" hidden="false" customHeight="false" outlineLevel="0" collapsed="false">
      <c r="A2381" s="9" t="s">
        <v>8224</v>
      </c>
      <c r="B2381" s="9" t="s">
        <v>5870</v>
      </c>
      <c r="C2381" s="9" t="s">
        <v>2620</v>
      </c>
      <c r="D2381" s="9" t="s">
        <v>5871</v>
      </c>
      <c r="E2381" s="9" t="str">
        <f aca="false">IF(AND('Formation Ledger'!A2360&lt;&gt;"",'Formation Ledger'!V2360=0),"PASS","FAIL")</f>
        <v>PASS</v>
      </c>
      <c r="F2381" s="9" t="s">
        <v>76</v>
      </c>
      <c r="G2381" s="6"/>
      <c r="H2381" s="6"/>
      <c r="I2381" s="6"/>
      <c r="J2381" s="6"/>
      <c r="K2381" s="6"/>
      <c r="L2381" s="6"/>
      <c r="M2381" s="6"/>
      <c r="N2381" s="6"/>
      <c r="O2381" s="6"/>
      <c r="P2381" s="6"/>
      <c r="Q2381" s="6"/>
      <c r="R2381" s="6"/>
      <c r="S2381" s="6"/>
      <c r="T2381" s="6"/>
      <c r="U2381" s="6"/>
      <c r="V2381" s="6"/>
      <c r="W2381" s="6"/>
      <c r="X2381" s="6"/>
      <c r="Y2381" s="6"/>
      <c r="Z2381" s="6"/>
    </row>
    <row r="2382" customFormat="false" ht="15" hidden="false" customHeight="false" outlineLevel="0" collapsed="false">
      <c r="A2382" s="9" t="s">
        <v>8225</v>
      </c>
      <c r="B2382" s="9" t="s">
        <v>5870</v>
      </c>
      <c r="C2382" s="9" t="s">
        <v>2621</v>
      </c>
      <c r="D2382" s="9" t="s">
        <v>5871</v>
      </c>
      <c r="E2382" s="9" t="str">
        <f aca="false">IF(AND('Formation Ledger'!A2361&lt;&gt;"",'Formation Ledger'!V2361=0),"PASS","FAIL")</f>
        <v>PASS</v>
      </c>
      <c r="F2382" s="9" t="s">
        <v>76</v>
      </c>
      <c r="G2382" s="6"/>
      <c r="H2382" s="6"/>
      <c r="I2382" s="6"/>
      <c r="J2382" s="6"/>
      <c r="K2382" s="6"/>
      <c r="L2382" s="6"/>
      <c r="M2382" s="6"/>
      <c r="N2382" s="6"/>
      <c r="O2382" s="6"/>
      <c r="P2382" s="6"/>
      <c r="Q2382" s="6"/>
      <c r="R2382" s="6"/>
      <c r="S2382" s="6"/>
      <c r="T2382" s="6"/>
      <c r="U2382" s="6"/>
      <c r="V2382" s="6"/>
      <c r="W2382" s="6"/>
      <c r="X2382" s="6"/>
      <c r="Y2382" s="6"/>
      <c r="Z2382" s="6"/>
    </row>
    <row r="2383" customFormat="false" ht="15" hidden="false" customHeight="false" outlineLevel="0" collapsed="false">
      <c r="A2383" s="9" t="s">
        <v>8226</v>
      </c>
      <c r="B2383" s="9" t="s">
        <v>5870</v>
      </c>
      <c r="C2383" s="9" t="s">
        <v>2622</v>
      </c>
      <c r="D2383" s="9" t="s">
        <v>5871</v>
      </c>
      <c r="E2383" s="9" t="str">
        <f aca="false">IF(AND('Formation Ledger'!A2362&lt;&gt;"",'Formation Ledger'!V2362=0),"PASS","FAIL")</f>
        <v>PASS</v>
      </c>
      <c r="F2383" s="9" t="s">
        <v>76</v>
      </c>
      <c r="G2383" s="6"/>
      <c r="H2383" s="6"/>
      <c r="I2383" s="6"/>
      <c r="J2383" s="6"/>
      <c r="K2383" s="6"/>
      <c r="L2383" s="6"/>
      <c r="M2383" s="6"/>
      <c r="N2383" s="6"/>
      <c r="O2383" s="6"/>
      <c r="P2383" s="6"/>
      <c r="Q2383" s="6"/>
      <c r="R2383" s="6"/>
      <c r="S2383" s="6"/>
      <c r="T2383" s="6"/>
      <c r="U2383" s="6"/>
      <c r="V2383" s="6"/>
      <c r="W2383" s="6"/>
      <c r="X2383" s="6"/>
      <c r="Y2383" s="6"/>
      <c r="Z2383" s="6"/>
    </row>
    <row r="2384" customFormat="false" ht="15" hidden="false" customHeight="false" outlineLevel="0" collapsed="false">
      <c r="A2384" s="9" t="s">
        <v>8227</v>
      </c>
      <c r="B2384" s="9" t="s">
        <v>5870</v>
      </c>
      <c r="C2384" s="9" t="s">
        <v>2623</v>
      </c>
      <c r="D2384" s="9" t="s">
        <v>5871</v>
      </c>
      <c r="E2384" s="9" t="str">
        <f aca="false">IF(AND('Formation Ledger'!A2363&lt;&gt;"",'Formation Ledger'!V2363=0),"PASS","FAIL")</f>
        <v>PASS</v>
      </c>
      <c r="F2384" s="9" t="s">
        <v>76</v>
      </c>
      <c r="G2384" s="6"/>
      <c r="H2384" s="6"/>
      <c r="I2384" s="6"/>
      <c r="J2384" s="6"/>
      <c r="K2384" s="6"/>
      <c r="L2384" s="6"/>
      <c r="M2384" s="6"/>
      <c r="N2384" s="6"/>
      <c r="O2384" s="6"/>
      <c r="P2384" s="6"/>
      <c r="Q2384" s="6"/>
      <c r="R2384" s="6"/>
      <c r="S2384" s="6"/>
      <c r="T2384" s="6"/>
      <c r="U2384" s="6"/>
      <c r="V2384" s="6"/>
      <c r="W2384" s="6"/>
      <c r="X2384" s="6"/>
      <c r="Y2384" s="6"/>
      <c r="Z2384" s="6"/>
    </row>
    <row r="2385" customFormat="false" ht="15" hidden="false" customHeight="false" outlineLevel="0" collapsed="false">
      <c r="A2385" s="9" t="s">
        <v>8228</v>
      </c>
      <c r="B2385" s="9" t="s">
        <v>5870</v>
      </c>
      <c r="C2385" s="9" t="s">
        <v>2624</v>
      </c>
      <c r="D2385" s="9" t="s">
        <v>5871</v>
      </c>
      <c r="E2385" s="9" t="str">
        <f aca="false">IF(AND('Formation Ledger'!A2364&lt;&gt;"",'Formation Ledger'!V2364=0),"PASS","FAIL")</f>
        <v>PASS</v>
      </c>
      <c r="F2385" s="9" t="s">
        <v>76</v>
      </c>
      <c r="G2385" s="6"/>
      <c r="H2385" s="6"/>
      <c r="I2385" s="6"/>
      <c r="J2385" s="6"/>
      <c r="K2385" s="6"/>
      <c r="L2385" s="6"/>
      <c r="M2385" s="6"/>
      <c r="N2385" s="6"/>
      <c r="O2385" s="6"/>
      <c r="P2385" s="6"/>
      <c r="Q2385" s="6"/>
      <c r="R2385" s="6"/>
      <c r="S2385" s="6"/>
      <c r="T2385" s="6"/>
      <c r="U2385" s="6"/>
      <c r="V2385" s="6"/>
      <c r="W2385" s="6"/>
      <c r="X2385" s="6"/>
      <c r="Y2385" s="6"/>
      <c r="Z2385" s="6"/>
    </row>
    <row r="2386" customFormat="false" ht="15" hidden="false" customHeight="false" outlineLevel="0" collapsed="false">
      <c r="A2386" s="9" t="s">
        <v>8229</v>
      </c>
      <c r="B2386" s="9" t="s">
        <v>5870</v>
      </c>
      <c r="C2386" s="9" t="s">
        <v>2625</v>
      </c>
      <c r="D2386" s="9" t="s">
        <v>5871</v>
      </c>
      <c r="E2386" s="9" t="str">
        <f aca="false">IF(AND('Formation Ledger'!A2365&lt;&gt;"",'Formation Ledger'!V2365=0),"PASS","FAIL")</f>
        <v>PASS</v>
      </c>
      <c r="F2386" s="9" t="s">
        <v>76</v>
      </c>
      <c r="G2386" s="6"/>
      <c r="H2386" s="6"/>
      <c r="I2386" s="6"/>
      <c r="J2386" s="6"/>
      <c r="K2386" s="6"/>
      <c r="L2386" s="6"/>
      <c r="M2386" s="6"/>
      <c r="N2386" s="6"/>
      <c r="O2386" s="6"/>
      <c r="P2386" s="6"/>
      <c r="Q2386" s="6"/>
      <c r="R2386" s="6"/>
      <c r="S2386" s="6"/>
      <c r="T2386" s="6"/>
      <c r="U2386" s="6"/>
      <c r="V2386" s="6"/>
      <c r="W2386" s="6"/>
      <c r="X2386" s="6"/>
      <c r="Y2386" s="6"/>
      <c r="Z2386" s="6"/>
    </row>
    <row r="2387" customFormat="false" ht="15" hidden="false" customHeight="false" outlineLevel="0" collapsed="false">
      <c r="A2387" s="9" t="s">
        <v>8230</v>
      </c>
      <c r="B2387" s="9" t="s">
        <v>5870</v>
      </c>
      <c r="C2387" s="9" t="s">
        <v>2626</v>
      </c>
      <c r="D2387" s="9" t="s">
        <v>5871</v>
      </c>
      <c r="E2387" s="9" t="str">
        <f aca="false">IF(AND('Formation Ledger'!A2366&lt;&gt;"",'Formation Ledger'!V2366=0),"PASS","FAIL")</f>
        <v>PASS</v>
      </c>
      <c r="F2387" s="9" t="s">
        <v>76</v>
      </c>
      <c r="G2387" s="6"/>
      <c r="H2387" s="6"/>
      <c r="I2387" s="6"/>
      <c r="J2387" s="6"/>
      <c r="K2387" s="6"/>
      <c r="L2387" s="6"/>
      <c r="M2387" s="6"/>
      <c r="N2387" s="6"/>
      <c r="O2387" s="6"/>
      <c r="P2387" s="6"/>
      <c r="Q2387" s="6"/>
      <c r="R2387" s="6"/>
      <c r="S2387" s="6"/>
      <c r="T2387" s="6"/>
      <c r="U2387" s="6"/>
      <c r="V2387" s="6"/>
      <c r="W2387" s="6"/>
      <c r="X2387" s="6"/>
      <c r="Y2387" s="6"/>
      <c r="Z2387" s="6"/>
    </row>
    <row r="2388" customFormat="false" ht="15" hidden="false" customHeight="false" outlineLevel="0" collapsed="false">
      <c r="A2388" s="9" t="s">
        <v>8231</v>
      </c>
      <c r="B2388" s="9" t="s">
        <v>5870</v>
      </c>
      <c r="C2388" s="9" t="s">
        <v>2627</v>
      </c>
      <c r="D2388" s="9" t="s">
        <v>5871</v>
      </c>
      <c r="E2388" s="9" t="str">
        <f aca="false">IF(AND('Formation Ledger'!A2367&lt;&gt;"",'Formation Ledger'!V2367=0),"PASS","FAIL")</f>
        <v>PASS</v>
      </c>
      <c r="F2388" s="9" t="s">
        <v>76</v>
      </c>
      <c r="G2388" s="6"/>
      <c r="H2388" s="6"/>
      <c r="I2388" s="6"/>
      <c r="J2388" s="6"/>
      <c r="K2388" s="6"/>
      <c r="L2388" s="6"/>
      <c r="M2388" s="6"/>
      <c r="N2388" s="6"/>
      <c r="O2388" s="6"/>
      <c r="P2388" s="6"/>
      <c r="Q2388" s="6"/>
      <c r="R2388" s="6"/>
      <c r="S2388" s="6"/>
      <c r="T2388" s="6"/>
      <c r="U2388" s="6"/>
      <c r="V2388" s="6"/>
      <c r="W2388" s="6"/>
      <c r="X2388" s="6"/>
      <c r="Y2388" s="6"/>
      <c r="Z2388" s="6"/>
    </row>
    <row r="2389" customFormat="false" ht="15" hidden="false" customHeight="false" outlineLevel="0" collapsed="false">
      <c r="A2389" s="9" t="s">
        <v>8232</v>
      </c>
      <c r="B2389" s="9" t="s">
        <v>5870</v>
      </c>
      <c r="C2389" s="9" t="s">
        <v>2628</v>
      </c>
      <c r="D2389" s="9" t="s">
        <v>5871</v>
      </c>
      <c r="E2389" s="9" t="str">
        <f aca="false">IF(AND('Formation Ledger'!A2368&lt;&gt;"",'Formation Ledger'!V2368=0),"PASS","FAIL")</f>
        <v>PASS</v>
      </c>
      <c r="F2389" s="9" t="s">
        <v>76</v>
      </c>
      <c r="G2389" s="6"/>
      <c r="H2389" s="6"/>
      <c r="I2389" s="6"/>
      <c r="J2389" s="6"/>
      <c r="K2389" s="6"/>
      <c r="L2389" s="6"/>
      <c r="M2389" s="6"/>
      <c r="N2389" s="6"/>
      <c r="O2389" s="6"/>
      <c r="P2389" s="6"/>
      <c r="Q2389" s="6"/>
      <c r="R2389" s="6"/>
      <c r="S2389" s="6"/>
      <c r="T2389" s="6"/>
      <c r="U2389" s="6"/>
      <c r="V2389" s="6"/>
      <c r="W2389" s="6"/>
      <c r="X2389" s="6"/>
      <c r="Y2389" s="6"/>
      <c r="Z2389" s="6"/>
    </row>
    <row r="2390" customFormat="false" ht="15" hidden="false" customHeight="false" outlineLevel="0" collapsed="false">
      <c r="A2390" s="9" t="s">
        <v>8233</v>
      </c>
      <c r="B2390" s="9" t="s">
        <v>5870</v>
      </c>
      <c r="C2390" s="9" t="s">
        <v>2629</v>
      </c>
      <c r="D2390" s="9" t="s">
        <v>5871</v>
      </c>
      <c r="E2390" s="9" t="str">
        <f aca="false">IF(AND('Formation Ledger'!A2369&lt;&gt;"",'Formation Ledger'!V2369=0),"PASS","FAIL")</f>
        <v>PASS</v>
      </c>
      <c r="F2390" s="9" t="s">
        <v>76</v>
      </c>
      <c r="G2390" s="6"/>
      <c r="H2390" s="6"/>
      <c r="I2390" s="6"/>
      <c r="J2390" s="6"/>
      <c r="K2390" s="6"/>
      <c r="L2390" s="6"/>
      <c r="M2390" s="6"/>
      <c r="N2390" s="6"/>
      <c r="O2390" s="6"/>
      <c r="P2390" s="6"/>
      <c r="Q2390" s="6"/>
      <c r="R2390" s="6"/>
      <c r="S2390" s="6"/>
      <c r="T2390" s="6"/>
      <c r="U2390" s="6"/>
      <c r="V2390" s="6"/>
      <c r="W2390" s="6"/>
      <c r="X2390" s="6"/>
      <c r="Y2390" s="6"/>
      <c r="Z2390" s="6"/>
    </row>
    <row r="2391" customFormat="false" ht="15" hidden="false" customHeight="false" outlineLevel="0" collapsed="false">
      <c r="A2391" s="9" t="s">
        <v>8234</v>
      </c>
      <c r="B2391" s="9" t="s">
        <v>5870</v>
      </c>
      <c r="C2391" s="9" t="s">
        <v>2630</v>
      </c>
      <c r="D2391" s="9" t="s">
        <v>5871</v>
      </c>
      <c r="E2391" s="9" t="str">
        <f aca="false">IF(AND('Formation Ledger'!A2370&lt;&gt;"",'Formation Ledger'!V2370=0),"PASS","FAIL")</f>
        <v>PASS</v>
      </c>
      <c r="F2391" s="9" t="s">
        <v>76</v>
      </c>
      <c r="G2391" s="6"/>
      <c r="H2391" s="6"/>
      <c r="I2391" s="6"/>
      <c r="J2391" s="6"/>
      <c r="K2391" s="6"/>
      <c r="L2391" s="6"/>
      <c r="M2391" s="6"/>
      <c r="N2391" s="6"/>
      <c r="O2391" s="6"/>
      <c r="P2391" s="6"/>
      <c r="Q2391" s="6"/>
      <c r="R2391" s="6"/>
      <c r="S2391" s="6"/>
      <c r="T2391" s="6"/>
      <c r="U2391" s="6"/>
      <c r="V2391" s="6"/>
      <c r="W2391" s="6"/>
      <c r="X2391" s="6"/>
      <c r="Y2391" s="6"/>
      <c r="Z2391" s="6"/>
    </row>
    <row r="2392" customFormat="false" ht="15" hidden="false" customHeight="false" outlineLevel="0" collapsed="false">
      <c r="A2392" s="9" t="s">
        <v>8235</v>
      </c>
      <c r="B2392" s="9" t="s">
        <v>5870</v>
      </c>
      <c r="C2392" s="9" t="s">
        <v>2631</v>
      </c>
      <c r="D2392" s="9" t="s">
        <v>5871</v>
      </c>
      <c r="E2392" s="9" t="str">
        <f aca="false">IF(AND('Formation Ledger'!A2371&lt;&gt;"",'Formation Ledger'!V2371=0),"PASS","FAIL")</f>
        <v>PASS</v>
      </c>
      <c r="F2392" s="9" t="s">
        <v>76</v>
      </c>
      <c r="G2392" s="6"/>
      <c r="H2392" s="6"/>
      <c r="I2392" s="6"/>
      <c r="J2392" s="6"/>
      <c r="K2392" s="6"/>
      <c r="L2392" s="6"/>
      <c r="M2392" s="6"/>
      <c r="N2392" s="6"/>
      <c r="O2392" s="6"/>
      <c r="P2392" s="6"/>
      <c r="Q2392" s="6"/>
      <c r="R2392" s="6"/>
      <c r="S2392" s="6"/>
      <c r="T2392" s="6"/>
      <c r="U2392" s="6"/>
      <c r="V2392" s="6"/>
      <c r="W2392" s="6"/>
      <c r="X2392" s="6"/>
      <c r="Y2392" s="6"/>
      <c r="Z2392" s="6"/>
    </row>
    <row r="2393" customFormat="false" ht="15" hidden="false" customHeight="false" outlineLevel="0" collapsed="false">
      <c r="A2393" s="9" t="s">
        <v>8236</v>
      </c>
      <c r="B2393" s="9" t="s">
        <v>5870</v>
      </c>
      <c r="C2393" s="9" t="s">
        <v>2632</v>
      </c>
      <c r="D2393" s="9" t="s">
        <v>5871</v>
      </c>
      <c r="E2393" s="9" t="str">
        <f aca="false">IF(AND('Formation Ledger'!A2372&lt;&gt;"",'Formation Ledger'!V2372=0),"PASS","FAIL")</f>
        <v>PASS</v>
      </c>
      <c r="F2393" s="9" t="s">
        <v>76</v>
      </c>
      <c r="G2393" s="6"/>
      <c r="H2393" s="6"/>
      <c r="I2393" s="6"/>
      <c r="J2393" s="6"/>
      <c r="K2393" s="6"/>
      <c r="L2393" s="6"/>
      <c r="M2393" s="6"/>
      <c r="N2393" s="6"/>
      <c r="O2393" s="6"/>
      <c r="P2393" s="6"/>
      <c r="Q2393" s="6"/>
      <c r="R2393" s="6"/>
      <c r="S2393" s="6"/>
      <c r="T2393" s="6"/>
      <c r="U2393" s="6"/>
      <c r="V2393" s="6"/>
      <c r="W2393" s="6"/>
      <c r="X2393" s="6"/>
      <c r="Y2393" s="6"/>
      <c r="Z2393" s="6"/>
    </row>
    <row r="2394" customFormat="false" ht="15" hidden="false" customHeight="false" outlineLevel="0" collapsed="false">
      <c r="A2394" s="9" t="s">
        <v>8237</v>
      </c>
      <c r="B2394" s="9" t="s">
        <v>5870</v>
      </c>
      <c r="C2394" s="9" t="s">
        <v>2633</v>
      </c>
      <c r="D2394" s="9" t="s">
        <v>5871</v>
      </c>
      <c r="E2394" s="9" t="str">
        <f aca="false">IF(AND('Formation Ledger'!A2373&lt;&gt;"",'Formation Ledger'!V2373=0),"PASS","FAIL")</f>
        <v>PASS</v>
      </c>
      <c r="F2394" s="9" t="s">
        <v>76</v>
      </c>
      <c r="G2394" s="6"/>
      <c r="H2394" s="6"/>
      <c r="I2394" s="6"/>
      <c r="J2394" s="6"/>
      <c r="K2394" s="6"/>
      <c r="L2394" s="6"/>
      <c r="M2394" s="6"/>
      <c r="N2394" s="6"/>
      <c r="O2394" s="6"/>
      <c r="P2394" s="6"/>
      <c r="Q2394" s="6"/>
      <c r="R2394" s="6"/>
      <c r="S2394" s="6"/>
      <c r="T2394" s="6"/>
      <c r="U2394" s="6"/>
      <c r="V2394" s="6"/>
      <c r="W2394" s="6"/>
      <c r="X2394" s="6"/>
      <c r="Y2394" s="6"/>
      <c r="Z2394" s="6"/>
    </row>
    <row r="2395" customFormat="false" ht="15" hidden="false" customHeight="false" outlineLevel="0" collapsed="false">
      <c r="A2395" s="9" t="s">
        <v>8238</v>
      </c>
      <c r="B2395" s="9" t="s">
        <v>5870</v>
      </c>
      <c r="C2395" s="9" t="s">
        <v>2634</v>
      </c>
      <c r="D2395" s="9" t="s">
        <v>5871</v>
      </c>
      <c r="E2395" s="9" t="str">
        <f aca="false">IF(AND('Formation Ledger'!A2374&lt;&gt;"",'Formation Ledger'!V2374=0),"PASS","FAIL")</f>
        <v>PASS</v>
      </c>
      <c r="F2395" s="9" t="s">
        <v>76</v>
      </c>
      <c r="G2395" s="6"/>
      <c r="H2395" s="6"/>
      <c r="I2395" s="6"/>
      <c r="J2395" s="6"/>
      <c r="K2395" s="6"/>
      <c r="L2395" s="6"/>
      <c r="M2395" s="6"/>
      <c r="N2395" s="6"/>
      <c r="O2395" s="6"/>
      <c r="P2395" s="6"/>
      <c r="Q2395" s="6"/>
      <c r="R2395" s="6"/>
      <c r="S2395" s="6"/>
      <c r="T2395" s="6"/>
      <c r="U2395" s="6"/>
      <c r="V2395" s="6"/>
      <c r="W2395" s="6"/>
      <c r="X2395" s="6"/>
      <c r="Y2395" s="6"/>
      <c r="Z2395" s="6"/>
    </row>
    <row r="2396" customFormat="false" ht="15" hidden="false" customHeight="false" outlineLevel="0" collapsed="false">
      <c r="A2396" s="9" t="s">
        <v>8239</v>
      </c>
      <c r="B2396" s="9" t="s">
        <v>5870</v>
      </c>
      <c r="C2396" s="9" t="s">
        <v>2635</v>
      </c>
      <c r="D2396" s="9" t="s">
        <v>5871</v>
      </c>
      <c r="E2396" s="9" t="str">
        <f aca="false">IF(AND('Formation Ledger'!A2375&lt;&gt;"",'Formation Ledger'!V2375=0),"PASS","FAIL")</f>
        <v>PASS</v>
      </c>
      <c r="F2396" s="9" t="s">
        <v>76</v>
      </c>
      <c r="G2396" s="6"/>
      <c r="H2396" s="6"/>
      <c r="I2396" s="6"/>
      <c r="J2396" s="6"/>
      <c r="K2396" s="6"/>
      <c r="L2396" s="6"/>
      <c r="M2396" s="6"/>
      <c r="N2396" s="6"/>
      <c r="O2396" s="6"/>
      <c r="P2396" s="6"/>
      <c r="Q2396" s="6"/>
      <c r="R2396" s="6"/>
      <c r="S2396" s="6"/>
      <c r="T2396" s="6"/>
      <c r="U2396" s="6"/>
      <c r="V2396" s="6"/>
      <c r="W2396" s="6"/>
      <c r="X2396" s="6"/>
      <c r="Y2396" s="6"/>
      <c r="Z2396" s="6"/>
    </row>
    <row r="2397" customFormat="false" ht="15" hidden="false" customHeight="false" outlineLevel="0" collapsed="false">
      <c r="A2397" s="9" t="s">
        <v>8240</v>
      </c>
      <c r="B2397" s="9" t="s">
        <v>5870</v>
      </c>
      <c r="C2397" s="9" t="s">
        <v>2636</v>
      </c>
      <c r="D2397" s="9" t="s">
        <v>5871</v>
      </c>
      <c r="E2397" s="9" t="str">
        <f aca="false">IF(AND('Formation Ledger'!A2376&lt;&gt;"",'Formation Ledger'!V2376=0),"PASS","FAIL")</f>
        <v>PASS</v>
      </c>
      <c r="F2397" s="9" t="s">
        <v>76</v>
      </c>
      <c r="G2397" s="6"/>
      <c r="H2397" s="6"/>
      <c r="I2397" s="6"/>
      <c r="J2397" s="6"/>
      <c r="K2397" s="6"/>
      <c r="L2397" s="6"/>
      <c r="M2397" s="6"/>
      <c r="N2397" s="6"/>
      <c r="O2397" s="6"/>
      <c r="P2397" s="6"/>
      <c r="Q2397" s="6"/>
      <c r="R2397" s="6"/>
      <c r="S2397" s="6"/>
      <c r="T2397" s="6"/>
      <c r="U2397" s="6"/>
      <c r="V2397" s="6"/>
      <c r="W2397" s="6"/>
      <c r="X2397" s="6"/>
      <c r="Y2397" s="6"/>
      <c r="Z2397" s="6"/>
    </row>
    <row r="2398" customFormat="false" ht="15" hidden="false" customHeight="false" outlineLevel="0" collapsed="false">
      <c r="A2398" s="9" t="s">
        <v>8241</v>
      </c>
      <c r="B2398" s="9" t="s">
        <v>5870</v>
      </c>
      <c r="C2398" s="9" t="s">
        <v>2637</v>
      </c>
      <c r="D2398" s="9" t="s">
        <v>5871</v>
      </c>
      <c r="E2398" s="9" t="str">
        <f aca="false">IF(AND('Formation Ledger'!A2377&lt;&gt;"",'Formation Ledger'!V2377=0),"PASS","FAIL")</f>
        <v>PASS</v>
      </c>
      <c r="F2398" s="9" t="s">
        <v>76</v>
      </c>
      <c r="G2398" s="6"/>
      <c r="H2398" s="6"/>
      <c r="I2398" s="6"/>
      <c r="J2398" s="6"/>
      <c r="K2398" s="6"/>
      <c r="L2398" s="6"/>
      <c r="M2398" s="6"/>
      <c r="N2398" s="6"/>
      <c r="O2398" s="6"/>
      <c r="P2398" s="6"/>
      <c r="Q2398" s="6"/>
      <c r="R2398" s="6"/>
      <c r="S2398" s="6"/>
      <c r="T2398" s="6"/>
      <c r="U2398" s="6"/>
      <c r="V2398" s="6"/>
      <c r="W2398" s="6"/>
      <c r="X2398" s="6"/>
      <c r="Y2398" s="6"/>
      <c r="Z2398" s="6"/>
    </row>
    <row r="2399" customFormat="false" ht="15" hidden="false" customHeight="false" outlineLevel="0" collapsed="false">
      <c r="A2399" s="9" t="s">
        <v>8242</v>
      </c>
      <c r="B2399" s="9" t="s">
        <v>5870</v>
      </c>
      <c r="C2399" s="9" t="s">
        <v>2638</v>
      </c>
      <c r="D2399" s="9" t="s">
        <v>5871</v>
      </c>
      <c r="E2399" s="9" t="str">
        <f aca="false">IF(AND('Formation Ledger'!A2378&lt;&gt;"",'Formation Ledger'!V2378=0),"PASS","FAIL")</f>
        <v>PASS</v>
      </c>
      <c r="F2399" s="9" t="s">
        <v>76</v>
      </c>
      <c r="G2399" s="6"/>
      <c r="H2399" s="6"/>
      <c r="I2399" s="6"/>
      <c r="J2399" s="6"/>
      <c r="K2399" s="6"/>
      <c r="L2399" s="6"/>
      <c r="M2399" s="6"/>
      <c r="N2399" s="6"/>
      <c r="O2399" s="6"/>
      <c r="P2399" s="6"/>
      <c r="Q2399" s="6"/>
      <c r="R2399" s="6"/>
      <c r="S2399" s="6"/>
      <c r="T2399" s="6"/>
      <c r="U2399" s="6"/>
      <c r="V2399" s="6"/>
      <c r="W2399" s="6"/>
      <c r="X2399" s="6"/>
      <c r="Y2399" s="6"/>
      <c r="Z2399" s="6"/>
    </row>
    <row r="2400" customFormat="false" ht="15" hidden="false" customHeight="false" outlineLevel="0" collapsed="false">
      <c r="A2400" s="9" t="s">
        <v>8243</v>
      </c>
      <c r="B2400" s="9" t="s">
        <v>5870</v>
      </c>
      <c r="C2400" s="9" t="s">
        <v>2639</v>
      </c>
      <c r="D2400" s="9" t="s">
        <v>5871</v>
      </c>
      <c r="E2400" s="9" t="str">
        <f aca="false">IF(AND('Formation Ledger'!A2379&lt;&gt;"",'Formation Ledger'!V2379=0),"PASS","FAIL")</f>
        <v>PASS</v>
      </c>
      <c r="F2400" s="9" t="s">
        <v>76</v>
      </c>
      <c r="G2400" s="6"/>
      <c r="H2400" s="6"/>
      <c r="I2400" s="6"/>
      <c r="J2400" s="6"/>
      <c r="K2400" s="6"/>
      <c r="L2400" s="6"/>
      <c r="M2400" s="6"/>
      <c r="N2400" s="6"/>
      <c r="O2400" s="6"/>
      <c r="P2400" s="6"/>
      <c r="Q2400" s="6"/>
      <c r="R2400" s="6"/>
      <c r="S2400" s="6"/>
      <c r="T2400" s="6"/>
      <c r="U2400" s="6"/>
      <c r="V2400" s="6"/>
      <c r="W2400" s="6"/>
      <c r="X2400" s="6"/>
      <c r="Y2400" s="6"/>
      <c r="Z2400" s="6"/>
    </row>
    <row r="2401" customFormat="false" ht="15" hidden="false" customHeight="false" outlineLevel="0" collapsed="false">
      <c r="A2401" s="9" t="s">
        <v>8244</v>
      </c>
      <c r="B2401" s="9" t="s">
        <v>5870</v>
      </c>
      <c r="C2401" s="9" t="s">
        <v>2640</v>
      </c>
      <c r="D2401" s="9" t="s">
        <v>5871</v>
      </c>
      <c r="E2401" s="9" t="str">
        <f aca="false">IF(AND('Formation Ledger'!A2380&lt;&gt;"",'Formation Ledger'!V2380=0),"PASS","FAIL")</f>
        <v>PASS</v>
      </c>
      <c r="F2401" s="9" t="s">
        <v>76</v>
      </c>
      <c r="G2401" s="6"/>
      <c r="H2401" s="6"/>
      <c r="I2401" s="6"/>
      <c r="J2401" s="6"/>
      <c r="K2401" s="6"/>
      <c r="L2401" s="6"/>
      <c r="M2401" s="6"/>
      <c r="N2401" s="6"/>
      <c r="O2401" s="6"/>
      <c r="P2401" s="6"/>
      <c r="Q2401" s="6"/>
      <c r="R2401" s="6"/>
      <c r="S2401" s="6"/>
      <c r="T2401" s="6"/>
      <c r="U2401" s="6"/>
      <c r="V2401" s="6"/>
      <c r="W2401" s="6"/>
      <c r="X2401" s="6"/>
      <c r="Y2401" s="6"/>
      <c r="Z2401" s="6"/>
    </row>
    <row r="2402" customFormat="false" ht="15" hidden="false" customHeight="false" outlineLevel="0" collapsed="false">
      <c r="A2402" s="9" t="s">
        <v>8245</v>
      </c>
      <c r="B2402" s="9" t="s">
        <v>5870</v>
      </c>
      <c r="C2402" s="9" t="s">
        <v>2641</v>
      </c>
      <c r="D2402" s="9" t="s">
        <v>5871</v>
      </c>
      <c r="E2402" s="9" t="str">
        <f aca="false">IF(AND('Formation Ledger'!A2381&lt;&gt;"",'Formation Ledger'!V2381=0),"PASS","FAIL")</f>
        <v>PASS</v>
      </c>
      <c r="F2402" s="9" t="s">
        <v>76</v>
      </c>
      <c r="G2402" s="6"/>
      <c r="H2402" s="6"/>
      <c r="I2402" s="6"/>
      <c r="J2402" s="6"/>
      <c r="K2402" s="6"/>
      <c r="L2402" s="6"/>
      <c r="M2402" s="6"/>
      <c r="N2402" s="6"/>
      <c r="O2402" s="6"/>
      <c r="P2402" s="6"/>
      <c r="Q2402" s="6"/>
      <c r="R2402" s="6"/>
      <c r="S2402" s="6"/>
      <c r="T2402" s="6"/>
      <c r="U2402" s="6"/>
      <c r="V2402" s="6"/>
      <c r="W2402" s="6"/>
      <c r="X2402" s="6"/>
      <c r="Y2402" s="6"/>
      <c r="Z2402" s="6"/>
    </row>
    <row r="2403" customFormat="false" ht="15" hidden="false" customHeight="false" outlineLevel="0" collapsed="false">
      <c r="A2403" s="9" t="s">
        <v>8246</v>
      </c>
      <c r="B2403" s="9" t="s">
        <v>5870</v>
      </c>
      <c r="C2403" s="9" t="s">
        <v>2642</v>
      </c>
      <c r="D2403" s="9" t="s">
        <v>5871</v>
      </c>
      <c r="E2403" s="9" t="str">
        <f aca="false">IF(AND('Formation Ledger'!A2382&lt;&gt;"",'Formation Ledger'!V2382=0),"PASS","FAIL")</f>
        <v>PASS</v>
      </c>
      <c r="F2403" s="9" t="s">
        <v>76</v>
      </c>
      <c r="G2403" s="6"/>
      <c r="H2403" s="6"/>
      <c r="I2403" s="6"/>
      <c r="J2403" s="6"/>
      <c r="K2403" s="6"/>
      <c r="L2403" s="6"/>
      <c r="M2403" s="6"/>
      <c r="N2403" s="6"/>
      <c r="O2403" s="6"/>
      <c r="P2403" s="6"/>
      <c r="Q2403" s="6"/>
      <c r="R2403" s="6"/>
      <c r="S2403" s="6"/>
      <c r="T2403" s="6"/>
      <c r="U2403" s="6"/>
      <c r="V2403" s="6"/>
      <c r="W2403" s="6"/>
      <c r="X2403" s="6"/>
      <c r="Y2403" s="6"/>
      <c r="Z2403" s="6"/>
    </row>
    <row r="2404" customFormat="false" ht="15" hidden="false" customHeight="false" outlineLevel="0" collapsed="false">
      <c r="A2404" s="9" t="s">
        <v>8247</v>
      </c>
      <c r="B2404" s="9" t="s">
        <v>5870</v>
      </c>
      <c r="C2404" s="9" t="s">
        <v>2643</v>
      </c>
      <c r="D2404" s="9" t="s">
        <v>5871</v>
      </c>
      <c r="E2404" s="9" t="str">
        <f aca="false">IF(AND('Formation Ledger'!A2383&lt;&gt;"",'Formation Ledger'!V2383=0),"PASS","FAIL")</f>
        <v>PASS</v>
      </c>
      <c r="F2404" s="9" t="s">
        <v>76</v>
      </c>
      <c r="G2404" s="6"/>
      <c r="H2404" s="6"/>
      <c r="I2404" s="6"/>
      <c r="J2404" s="6"/>
      <c r="K2404" s="6"/>
      <c r="L2404" s="6"/>
      <c r="M2404" s="6"/>
      <c r="N2404" s="6"/>
      <c r="O2404" s="6"/>
      <c r="P2404" s="6"/>
      <c r="Q2404" s="6"/>
      <c r="R2404" s="6"/>
      <c r="S2404" s="6"/>
      <c r="T2404" s="6"/>
      <c r="U2404" s="6"/>
      <c r="V2404" s="6"/>
      <c r="W2404" s="6"/>
      <c r="X2404" s="6"/>
      <c r="Y2404" s="6"/>
      <c r="Z2404" s="6"/>
    </row>
    <row r="2405" customFormat="false" ht="15" hidden="false" customHeight="false" outlineLevel="0" collapsed="false">
      <c r="A2405" s="9" t="s">
        <v>8248</v>
      </c>
      <c r="B2405" s="9" t="s">
        <v>5870</v>
      </c>
      <c r="C2405" s="9" t="s">
        <v>2644</v>
      </c>
      <c r="D2405" s="9" t="s">
        <v>5871</v>
      </c>
      <c r="E2405" s="9" t="str">
        <f aca="false">IF(AND('Formation Ledger'!A2384&lt;&gt;"",'Formation Ledger'!V2384=0),"PASS","FAIL")</f>
        <v>PASS</v>
      </c>
      <c r="F2405" s="9" t="s">
        <v>76</v>
      </c>
      <c r="G2405" s="6"/>
      <c r="H2405" s="6"/>
      <c r="I2405" s="6"/>
      <c r="J2405" s="6"/>
      <c r="K2405" s="6"/>
      <c r="L2405" s="6"/>
      <c r="M2405" s="6"/>
      <c r="N2405" s="6"/>
      <c r="O2405" s="6"/>
      <c r="P2405" s="6"/>
      <c r="Q2405" s="6"/>
      <c r="R2405" s="6"/>
      <c r="S2405" s="6"/>
      <c r="T2405" s="6"/>
      <c r="U2405" s="6"/>
      <c r="V2405" s="6"/>
      <c r="W2405" s="6"/>
      <c r="X2405" s="6"/>
      <c r="Y2405" s="6"/>
      <c r="Z2405" s="6"/>
    </row>
    <row r="2406" customFormat="false" ht="15" hidden="false" customHeight="false" outlineLevel="0" collapsed="false">
      <c r="A2406" s="9" t="s">
        <v>8249</v>
      </c>
      <c r="B2406" s="9" t="s">
        <v>5870</v>
      </c>
      <c r="C2406" s="9" t="s">
        <v>2645</v>
      </c>
      <c r="D2406" s="9" t="s">
        <v>5871</v>
      </c>
      <c r="E2406" s="9" t="str">
        <f aca="false">IF(AND('Formation Ledger'!A2385&lt;&gt;"",'Formation Ledger'!V2385=0),"PASS","FAIL")</f>
        <v>PASS</v>
      </c>
      <c r="F2406" s="9" t="s">
        <v>76</v>
      </c>
      <c r="G2406" s="6"/>
      <c r="H2406" s="6"/>
      <c r="I2406" s="6"/>
      <c r="J2406" s="6"/>
      <c r="K2406" s="6"/>
      <c r="L2406" s="6"/>
      <c r="M2406" s="6"/>
      <c r="N2406" s="6"/>
      <c r="O2406" s="6"/>
      <c r="P2406" s="6"/>
      <c r="Q2406" s="6"/>
      <c r="R2406" s="6"/>
      <c r="S2406" s="6"/>
      <c r="T2406" s="6"/>
      <c r="U2406" s="6"/>
      <c r="V2406" s="6"/>
      <c r="W2406" s="6"/>
      <c r="X2406" s="6"/>
      <c r="Y2406" s="6"/>
      <c r="Z2406" s="6"/>
    </row>
    <row r="2407" customFormat="false" ht="15" hidden="false" customHeight="false" outlineLevel="0" collapsed="false">
      <c r="A2407" s="9" t="s">
        <v>8250</v>
      </c>
      <c r="B2407" s="9" t="s">
        <v>5870</v>
      </c>
      <c r="C2407" s="9" t="s">
        <v>2646</v>
      </c>
      <c r="D2407" s="9" t="s">
        <v>5871</v>
      </c>
      <c r="E2407" s="9" t="str">
        <f aca="false">IF(AND('Formation Ledger'!A2386&lt;&gt;"",'Formation Ledger'!V2386=0),"PASS","FAIL")</f>
        <v>PASS</v>
      </c>
      <c r="F2407" s="9" t="s">
        <v>76</v>
      </c>
      <c r="G2407" s="6"/>
      <c r="H2407" s="6"/>
      <c r="I2407" s="6"/>
      <c r="J2407" s="6"/>
      <c r="K2407" s="6"/>
      <c r="L2407" s="6"/>
      <c r="M2407" s="6"/>
      <c r="N2407" s="6"/>
      <c r="O2407" s="6"/>
      <c r="P2407" s="6"/>
      <c r="Q2407" s="6"/>
      <c r="R2407" s="6"/>
      <c r="S2407" s="6"/>
      <c r="T2407" s="6"/>
      <c r="U2407" s="6"/>
      <c r="V2407" s="6"/>
      <c r="W2407" s="6"/>
      <c r="X2407" s="6"/>
      <c r="Y2407" s="6"/>
      <c r="Z2407" s="6"/>
    </row>
    <row r="2408" customFormat="false" ht="15" hidden="false" customHeight="false" outlineLevel="0" collapsed="false">
      <c r="A2408" s="9" t="s">
        <v>8251</v>
      </c>
      <c r="B2408" s="9" t="s">
        <v>5870</v>
      </c>
      <c r="C2408" s="9" t="s">
        <v>2647</v>
      </c>
      <c r="D2408" s="9" t="s">
        <v>5871</v>
      </c>
      <c r="E2408" s="9" t="str">
        <f aca="false">IF(AND('Formation Ledger'!A2387&lt;&gt;"",'Formation Ledger'!V2387=0),"PASS","FAIL")</f>
        <v>PASS</v>
      </c>
      <c r="F2408" s="9" t="s">
        <v>76</v>
      </c>
      <c r="G2408" s="6"/>
      <c r="H2408" s="6"/>
      <c r="I2408" s="6"/>
      <c r="J2408" s="6"/>
      <c r="K2408" s="6"/>
      <c r="L2408" s="6"/>
      <c r="M2408" s="6"/>
      <c r="N2408" s="6"/>
      <c r="O2408" s="6"/>
      <c r="P2408" s="6"/>
      <c r="Q2408" s="6"/>
      <c r="R2408" s="6"/>
      <c r="S2408" s="6"/>
      <c r="T2408" s="6"/>
      <c r="U2408" s="6"/>
      <c r="V2408" s="6"/>
      <c r="W2408" s="6"/>
      <c r="X2408" s="6"/>
      <c r="Y2408" s="6"/>
      <c r="Z2408" s="6"/>
    </row>
    <row r="2409" customFormat="false" ht="15" hidden="false" customHeight="false" outlineLevel="0" collapsed="false">
      <c r="A2409" s="9" t="s">
        <v>8252</v>
      </c>
      <c r="B2409" s="9" t="s">
        <v>5870</v>
      </c>
      <c r="C2409" s="9" t="s">
        <v>2648</v>
      </c>
      <c r="D2409" s="9" t="s">
        <v>5871</v>
      </c>
      <c r="E2409" s="9" t="str">
        <f aca="false">IF(AND('Formation Ledger'!A2388&lt;&gt;"",'Formation Ledger'!V2388=0),"PASS","FAIL")</f>
        <v>PASS</v>
      </c>
      <c r="F2409" s="9" t="s">
        <v>76</v>
      </c>
      <c r="G2409" s="6"/>
      <c r="H2409" s="6"/>
      <c r="I2409" s="6"/>
      <c r="J2409" s="6"/>
      <c r="K2409" s="6"/>
      <c r="L2409" s="6"/>
      <c r="M2409" s="6"/>
      <c r="N2409" s="6"/>
      <c r="O2409" s="6"/>
      <c r="P2409" s="6"/>
      <c r="Q2409" s="6"/>
      <c r="R2409" s="6"/>
      <c r="S2409" s="6"/>
      <c r="T2409" s="6"/>
      <c r="U2409" s="6"/>
      <c r="V2409" s="6"/>
      <c r="W2409" s="6"/>
      <c r="X2409" s="6"/>
      <c r="Y2409" s="6"/>
      <c r="Z2409" s="6"/>
    </row>
    <row r="2410" customFormat="false" ht="15" hidden="false" customHeight="false" outlineLevel="0" collapsed="false">
      <c r="A2410" s="9" t="s">
        <v>8253</v>
      </c>
      <c r="B2410" s="9" t="s">
        <v>5870</v>
      </c>
      <c r="C2410" s="9" t="s">
        <v>2649</v>
      </c>
      <c r="D2410" s="9" t="s">
        <v>5871</v>
      </c>
      <c r="E2410" s="9" t="str">
        <f aca="false">IF(AND('Formation Ledger'!A2389&lt;&gt;"",'Formation Ledger'!V2389=0),"PASS","FAIL")</f>
        <v>PASS</v>
      </c>
      <c r="F2410" s="9" t="s">
        <v>76</v>
      </c>
      <c r="G2410" s="6"/>
      <c r="H2410" s="6"/>
      <c r="I2410" s="6"/>
      <c r="J2410" s="6"/>
      <c r="K2410" s="6"/>
      <c r="L2410" s="6"/>
      <c r="M2410" s="6"/>
      <c r="N2410" s="6"/>
      <c r="O2410" s="6"/>
      <c r="P2410" s="6"/>
      <c r="Q2410" s="6"/>
      <c r="R2410" s="6"/>
      <c r="S2410" s="6"/>
      <c r="T2410" s="6"/>
      <c r="U2410" s="6"/>
      <c r="V2410" s="6"/>
      <c r="W2410" s="6"/>
      <c r="X2410" s="6"/>
      <c r="Y2410" s="6"/>
      <c r="Z2410" s="6"/>
    </row>
    <row r="2411" customFormat="false" ht="15" hidden="false" customHeight="false" outlineLevel="0" collapsed="false">
      <c r="A2411" s="9" t="s">
        <v>8254</v>
      </c>
      <c r="B2411" s="9" t="s">
        <v>5870</v>
      </c>
      <c r="C2411" s="9" t="s">
        <v>2650</v>
      </c>
      <c r="D2411" s="9" t="s">
        <v>5871</v>
      </c>
      <c r="E2411" s="9" t="str">
        <f aca="false">IF(AND('Formation Ledger'!A2390&lt;&gt;"",'Formation Ledger'!V2390=0),"PASS","FAIL")</f>
        <v>PASS</v>
      </c>
      <c r="F2411" s="9" t="s">
        <v>76</v>
      </c>
      <c r="G2411" s="6"/>
      <c r="H2411" s="6"/>
      <c r="I2411" s="6"/>
      <c r="J2411" s="6"/>
      <c r="K2411" s="6"/>
      <c r="L2411" s="6"/>
      <c r="M2411" s="6"/>
      <c r="N2411" s="6"/>
      <c r="O2411" s="6"/>
      <c r="P2411" s="6"/>
      <c r="Q2411" s="6"/>
      <c r="R2411" s="6"/>
      <c r="S2411" s="6"/>
      <c r="T2411" s="6"/>
      <c r="U2411" s="6"/>
      <c r="V2411" s="6"/>
      <c r="W2411" s="6"/>
      <c r="X2411" s="6"/>
      <c r="Y2411" s="6"/>
      <c r="Z2411" s="6"/>
    </row>
    <row r="2412" customFormat="false" ht="15" hidden="false" customHeight="false" outlineLevel="0" collapsed="false">
      <c r="A2412" s="9" t="s">
        <v>8255</v>
      </c>
      <c r="B2412" s="9" t="s">
        <v>5870</v>
      </c>
      <c r="C2412" s="9" t="s">
        <v>2651</v>
      </c>
      <c r="D2412" s="9" t="s">
        <v>5871</v>
      </c>
      <c r="E2412" s="9" t="str">
        <f aca="false">IF(AND('Formation Ledger'!A2391&lt;&gt;"",'Formation Ledger'!V2391=0),"PASS","FAIL")</f>
        <v>PASS</v>
      </c>
      <c r="F2412" s="9" t="s">
        <v>76</v>
      </c>
      <c r="G2412" s="6"/>
      <c r="H2412" s="6"/>
      <c r="I2412" s="6"/>
      <c r="J2412" s="6"/>
      <c r="K2412" s="6"/>
      <c r="L2412" s="6"/>
      <c r="M2412" s="6"/>
      <c r="N2412" s="6"/>
      <c r="O2412" s="6"/>
      <c r="P2412" s="6"/>
      <c r="Q2412" s="6"/>
      <c r="R2412" s="6"/>
      <c r="S2412" s="6"/>
      <c r="T2412" s="6"/>
      <c r="U2412" s="6"/>
      <c r="V2412" s="6"/>
      <c r="W2412" s="6"/>
      <c r="X2412" s="6"/>
      <c r="Y2412" s="6"/>
      <c r="Z2412" s="6"/>
    </row>
    <row r="2413" customFormat="false" ht="15" hidden="false" customHeight="false" outlineLevel="0" collapsed="false">
      <c r="A2413" s="9" t="s">
        <v>8256</v>
      </c>
      <c r="B2413" s="9" t="s">
        <v>5870</v>
      </c>
      <c r="C2413" s="9" t="s">
        <v>2652</v>
      </c>
      <c r="D2413" s="9" t="s">
        <v>5871</v>
      </c>
      <c r="E2413" s="9" t="str">
        <f aca="false">IF(AND('Formation Ledger'!A2392&lt;&gt;"",'Formation Ledger'!V2392=0),"PASS","FAIL")</f>
        <v>PASS</v>
      </c>
      <c r="F2413" s="9" t="s">
        <v>76</v>
      </c>
      <c r="G2413" s="6"/>
      <c r="H2413" s="6"/>
      <c r="I2413" s="6"/>
      <c r="J2413" s="6"/>
      <c r="K2413" s="6"/>
      <c r="L2413" s="6"/>
      <c r="M2413" s="6"/>
      <c r="N2413" s="6"/>
      <c r="O2413" s="6"/>
      <c r="P2413" s="6"/>
      <c r="Q2413" s="6"/>
      <c r="R2413" s="6"/>
      <c r="S2413" s="6"/>
      <c r="T2413" s="6"/>
      <c r="U2413" s="6"/>
      <c r="V2413" s="6"/>
      <c r="W2413" s="6"/>
      <c r="X2413" s="6"/>
      <c r="Y2413" s="6"/>
      <c r="Z2413" s="6"/>
    </row>
    <row r="2414" customFormat="false" ht="15" hidden="false" customHeight="false" outlineLevel="0" collapsed="false">
      <c r="A2414" s="9" t="s">
        <v>8257</v>
      </c>
      <c r="B2414" s="9" t="s">
        <v>5870</v>
      </c>
      <c r="C2414" s="9" t="s">
        <v>2653</v>
      </c>
      <c r="D2414" s="9" t="s">
        <v>5871</v>
      </c>
      <c r="E2414" s="9" t="str">
        <f aca="false">IF(AND('Formation Ledger'!A2393&lt;&gt;"",'Formation Ledger'!V2393=0),"PASS","FAIL")</f>
        <v>PASS</v>
      </c>
      <c r="F2414" s="9" t="s">
        <v>76</v>
      </c>
      <c r="G2414" s="6"/>
      <c r="H2414" s="6"/>
      <c r="I2414" s="6"/>
      <c r="J2414" s="6"/>
      <c r="K2414" s="6"/>
      <c r="L2414" s="6"/>
      <c r="M2414" s="6"/>
      <c r="N2414" s="6"/>
      <c r="O2414" s="6"/>
      <c r="P2414" s="6"/>
      <c r="Q2414" s="6"/>
      <c r="R2414" s="6"/>
      <c r="S2414" s="6"/>
      <c r="T2414" s="6"/>
      <c r="U2414" s="6"/>
      <c r="V2414" s="6"/>
      <c r="W2414" s="6"/>
      <c r="X2414" s="6"/>
      <c r="Y2414" s="6"/>
      <c r="Z2414" s="6"/>
    </row>
    <row r="2415" customFormat="false" ht="15" hidden="false" customHeight="false" outlineLevel="0" collapsed="false">
      <c r="A2415" s="9" t="s">
        <v>8258</v>
      </c>
      <c r="B2415" s="9" t="s">
        <v>5870</v>
      </c>
      <c r="C2415" s="9" t="s">
        <v>2654</v>
      </c>
      <c r="D2415" s="9" t="s">
        <v>5871</v>
      </c>
      <c r="E2415" s="9" t="str">
        <f aca="false">IF(AND('Formation Ledger'!A2394&lt;&gt;"",'Formation Ledger'!V2394=0),"PASS","FAIL")</f>
        <v>PASS</v>
      </c>
      <c r="F2415" s="9" t="s">
        <v>76</v>
      </c>
      <c r="G2415" s="6"/>
      <c r="H2415" s="6"/>
      <c r="I2415" s="6"/>
      <c r="J2415" s="6"/>
      <c r="K2415" s="6"/>
      <c r="L2415" s="6"/>
      <c r="M2415" s="6"/>
      <c r="N2415" s="6"/>
      <c r="O2415" s="6"/>
      <c r="P2415" s="6"/>
      <c r="Q2415" s="6"/>
      <c r="R2415" s="6"/>
      <c r="S2415" s="6"/>
      <c r="T2415" s="6"/>
      <c r="U2415" s="6"/>
      <c r="V2415" s="6"/>
      <c r="W2415" s="6"/>
      <c r="X2415" s="6"/>
      <c r="Y2415" s="6"/>
      <c r="Z2415" s="6"/>
    </row>
    <row r="2416" customFormat="false" ht="15" hidden="false" customHeight="false" outlineLevel="0" collapsed="false">
      <c r="A2416" s="9" t="s">
        <v>8259</v>
      </c>
      <c r="B2416" s="9" t="s">
        <v>5870</v>
      </c>
      <c r="C2416" s="9" t="s">
        <v>2655</v>
      </c>
      <c r="D2416" s="9" t="s">
        <v>5871</v>
      </c>
      <c r="E2416" s="9" t="str">
        <f aca="false">IF(AND('Formation Ledger'!A2395&lt;&gt;"",'Formation Ledger'!V2395=0),"PASS","FAIL")</f>
        <v>PASS</v>
      </c>
      <c r="F2416" s="9" t="s">
        <v>76</v>
      </c>
      <c r="G2416" s="6"/>
      <c r="H2416" s="6"/>
      <c r="I2416" s="6"/>
      <c r="J2416" s="6"/>
      <c r="K2416" s="6"/>
      <c r="L2416" s="6"/>
      <c r="M2416" s="6"/>
      <c r="N2416" s="6"/>
      <c r="O2416" s="6"/>
      <c r="P2416" s="6"/>
      <c r="Q2416" s="6"/>
      <c r="R2416" s="6"/>
      <c r="S2416" s="6"/>
      <c r="T2416" s="6"/>
      <c r="U2416" s="6"/>
      <c r="V2416" s="6"/>
      <c r="W2416" s="6"/>
      <c r="X2416" s="6"/>
      <c r="Y2416" s="6"/>
      <c r="Z2416" s="6"/>
    </row>
    <row r="2417" customFormat="false" ht="15" hidden="false" customHeight="false" outlineLevel="0" collapsed="false">
      <c r="A2417" s="9" t="s">
        <v>8260</v>
      </c>
      <c r="B2417" s="9" t="s">
        <v>5870</v>
      </c>
      <c r="C2417" s="9" t="s">
        <v>2656</v>
      </c>
      <c r="D2417" s="9" t="s">
        <v>5871</v>
      </c>
      <c r="E2417" s="9" t="str">
        <f aca="false">IF(AND('Formation Ledger'!A2396&lt;&gt;"",'Formation Ledger'!V2396=0),"PASS","FAIL")</f>
        <v>PASS</v>
      </c>
      <c r="F2417" s="9" t="s">
        <v>76</v>
      </c>
      <c r="G2417" s="6"/>
      <c r="H2417" s="6"/>
      <c r="I2417" s="6"/>
      <c r="J2417" s="6"/>
      <c r="K2417" s="6"/>
      <c r="L2417" s="6"/>
      <c r="M2417" s="6"/>
      <c r="N2417" s="6"/>
      <c r="O2417" s="6"/>
      <c r="P2417" s="6"/>
      <c r="Q2417" s="6"/>
      <c r="R2417" s="6"/>
      <c r="S2417" s="6"/>
      <c r="T2417" s="6"/>
      <c r="U2417" s="6"/>
      <c r="V2417" s="6"/>
      <c r="W2417" s="6"/>
      <c r="X2417" s="6"/>
      <c r="Y2417" s="6"/>
      <c r="Z2417" s="6"/>
    </row>
    <row r="2418" customFormat="false" ht="15" hidden="false" customHeight="false" outlineLevel="0" collapsed="false">
      <c r="A2418" s="9" t="s">
        <v>8261</v>
      </c>
      <c r="B2418" s="9" t="s">
        <v>5870</v>
      </c>
      <c r="C2418" s="9" t="s">
        <v>2657</v>
      </c>
      <c r="D2418" s="9" t="s">
        <v>5871</v>
      </c>
      <c r="E2418" s="9" t="str">
        <f aca="false">IF(AND('Formation Ledger'!A2397&lt;&gt;"",'Formation Ledger'!V2397=0),"PASS","FAIL")</f>
        <v>PASS</v>
      </c>
      <c r="F2418" s="9" t="s">
        <v>76</v>
      </c>
      <c r="G2418" s="6"/>
      <c r="H2418" s="6"/>
      <c r="I2418" s="6"/>
      <c r="J2418" s="6"/>
      <c r="K2418" s="6"/>
      <c r="L2418" s="6"/>
      <c r="M2418" s="6"/>
      <c r="N2418" s="6"/>
      <c r="O2418" s="6"/>
      <c r="P2418" s="6"/>
      <c r="Q2418" s="6"/>
      <c r="R2418" s="6"/>
      <c r="S2418" s="6"/>
      <c r="T2418" s="6"/>
      <c r="U2418" s="6"/>
      <c r="V2418" s="6"/>
      <c r="W2418" s="6"/>
      <c r="X2418" s="6"/>
      <c r="Y2418" s="6"/>
      <c r="Z2418" s="6"/>
    </row>
    <row r="2419" customFormat="false" ht="15" hidden="false" customHeight="false" outlineLevel="0" collapsed="false">
      <c r="A2419" s="9" t="s">
        <v>8262</v>
      </c>
      <c r="B2419" s="9" t="s">
        <v>5870</v>
      </c>
      <c r="C2419" s="9" t="s">
        <v>2658</v>
      </c>
      <c r="D2419" s="9" t="s">
        <v>5871</v>
      </c>
      <c r="E2419" s="9" t="str">
        <f aca="false">IF(AND('Formation Ledger'!A2398&lt;&gt;"",'Formation Ledger'!V2398=0),"PASS","FAIL")</f>
        <v>PASS</v>
      </c>
      <c r="F2419" s="9" t="s">
        <v>76</v>
      </c>
      <c r="G2419" s="6"/>
      <c r="H2419" s="6"/>
      <c r="I2419" s="6"/>
      <c r="J2419" s="6"/>
      <c r="K2419" s="6"/>
      <c r="L2419" s="6"/>
      <c r="M2419" s="6"/>
      <c r="N2419" s="6"/>
      <c r="O2419" s="6"/>
      <c r="P2419" s="6"/>
      <c r="Q2419" s="6"/>
      <c r="R2419" s="6"/>
      <c r="S2419" s="6"/>
      <c r="T2419" s="6"/>
      <c r="U2419" s="6"/>
      <c r="V2419" s="6"/>
      <c r="W2419" s="6"/>
      <c r="X2419" s="6"/>
      <c r="Y2419" s="6"/>
      <c r="Z2419" s="6"/>
    </row>
    <row r="2420" customFormat="false" ht="15" hidden="false" customHeight="false" outlineLevel="0" collapsed="false">
      <c r="A2420" s="9" t="s">
        <v>8263</v>
      </c>
      <c r="B2420" s="9" t="s">
        <v>5870</v>
      </c>
      <c r="C2420" s="9" t="s">
        <v>2659</v>
      </c>
      <c r="D2420" s="9" t="s">
        <v>5871</v>
      </c>
      <c r="E2420" s="9" t="str">
        <f aca="false">IF(AND('Formation Ledger'!A2399&lt;&gt;"",'Formation Ledger'!V2399=0),"PASS","FAIL")</f>
        <v>PASS</v>
      </c>
      <c r="F2420" s="9" t="s">
        <v>76</v>
      </c>
      <c r="G2420" s="6"/>
      <c r="H2420" s="6"/>
      <c r="I2420" s="6"/>
      <c r="J2420" s="6"/>
      <c r="K2420" s="6"/>
      <c r="L2420" s="6"/>
      <c r="M2420" s="6"/>
      <c r="N2420" s="6"/>
      <c r="O2420" s="6"/>
      <c r="P2420" s="6"/>
      <c r="Q2420" s="6"/>
      <c r="R2420" s="6"/>
      <c r="S2420" s="6"/>
      <c r="T2420" s="6"/>
      <c r="U2420" s="6"/>
      <c r="V2420" s="6"/>
      <c r="W2420" s="6"/>
      <c r="X2420" s="6"/>
      <c r="Y2420" s="6"/>
      <c r="Z2420" s="6"/>
    </row>
    <row r="2421" customFormat="false" ht="15" hidden="false" customHeight="false" outlineLevel="0" collapsed="false">
      <c r="A2421" s="9" t="s">
        <v>8264</v>
      </c>
      <c r="B2421" s="9" t="s">
        <v>5870</v>
      </c>
      <c r="C2421" s="9" t="s">
        <v>2660</v>
      </c>
      <c r="D2421" s="9" t="s">
        <v>5871</v>
      </c>
      <c r="E2421" s="9" t="str">
        <f aca="false">IF(AND('Formation Ledger'!A2400&lt;&gt;"",'Formation Ledger'!V2400=0),"PASS","FAIL")</f>
        <v>PASS</v>
      </c>
      <c r="F2421" s="9" t="s">
        <v>76</v>
      </c>
      <c r="G2421" s="6"/>
      <c r="H2421" s="6"/>
      <c r="I2421" s="6"/>
      <c r="J2421" s="6"/>
      <c r="K2421" s="6"/>
      <c r="L2421" s="6"/>
      <c r="M2421" s="6"/>
      <c r="N2421" s="6"/>
      <c r="O2421" s="6"/>
      <c r="P2421" s="6"/>
      <c r="Q2421" s="6"/>
      <c r="R2421" s="6"/>
      <c r="S2421" s="6"/>
      <c r="T2421" s="6"/>
      <c r="U2421" s="6"/>
      <c r="V2421" s="6"/>
      <c r="W2421" s="6"/>
      <c r="X2421" s="6"/>
      <c r="Y2421" s="6"/>
      <c r="Z2421" s="6"/>
    </row>
    <row r="2422" customFormat="false" ht="15" hidden="false" customHeight="false" outlineLevel="0" collapsed="false">
      <c r="A2422" s="9" t="s">
        <v>8265</v>
      </c>
      <c r="B2422" s="9" t="s">
        <v>5870</v>
      </c>
      <c r="C2422" s="9" t="s">
        <v>2661</v>
      </c>
      <c r="D2422" s="9" t="s">
        <v>5871</v>
      </c>
      <c r="E2422" s="9" t="str">
        <f aca="false">IF(AND('Formation Ledger'!A2401&lt;&gt;"",'Formation Ledger'!V2401=0),"PASS","FAIL")</f>
        <v>PASS</v>
      </c>
      <c r="F2422" s="9" t="s">
        <v>76</v>
      </c>
      <c r="G2422" s="6"/>
      <c r="H2422" s="6"/>
      <c r="I2422" s="6"/>
      <c r="J2422" s="6"/>
      <c r="K2422" s="6"/>
      <c r="L2422" s="6"/>
      <c r="M2422" s="6"/>
      <c r="N2422" s="6"/>
      <c r="O2422" s="6"/>
      <c r="P2422" s="6"/>
      <c r="Q2422" s="6"/>
      <c r="R2422" s="6"/>
      <c r="S2422" s="6"/>
      <c r="T2422" s="6"/>
      <c r="U2422" s="6"/>
      <c r="V2422" s="6"/>
      <c r="W2422" s="6"/>
      <c r="X2422" s="6"/>
      <c r="Y2422" s="6"/>
      <c r="Z2422" s="6"/>
    </row>
    <row r="2423" customFormat="false" ht="15" hidden="false" customHeight="false" outlineLevel="0" collapsed="false">
      <c r="A2423" s="9" t="s">
        <v>8266</v>
      </c>
      <c r="B2423" s="9" t="s">
        <v>5870</v>
      </c>
      <c r="C2423" s="9" t="s">
        <v>2662</v>
      </c>
      <c r="D2423" s="9" t="s">
        <v>5871</v>
      </c>
      <c r="E2423" s="9" t="str">
        <f aca="false">IF(AND('Formation Ledger'!A2402&lt;&gt;"",'Formation Ledger'!V2402=0),"PASS","FAIL")</f>
        <v>PASS</v>
      </c>
      <c r="F2423" s="9" t="s">
        <v>76</v>
      </c>
      <c r="G2423" s="6"/>
      <c r="H2423" s="6"/>
      <c r="I2423" s="6"/>
      <c r="J2423" s="6"/>
      <c r="K2423" s="6"/>
      <c r="L2423" s="6"/>
      <c r="M2423" s="6"/>
      <c r="N2423" s="6"/>
      <c r="O2423" s="6"/>
      <c r="P2423" s="6"/>
      <c r="Q2423" s="6"/>
      <c r="R2423" s="6"/>
      <c r="S2423" s="6"/>
      <c r="T2423" s="6"/>
      <c r="U2423" s="6"/>
      <c r="V2423" s="6"/>
      <c r="W2423" s="6"/>
      <c r="X2423" s="6"/>
      <c r="Y2423" s="6"/>
      <c r="Z2423" s="6"/>
    </row>
    <row r="2424" customFormat="false" ht="15" hidden="false" customHeight="false" outlineLevel="0" collapsed="false">
      <c r="A2424" s="9" t="s">
        <v>8267</v>
      </c>
      <c r="B2424" s="9" t="s">
        <v>5870</v>
      </c>
      <c r="C2424" s="9" t="s">
        <v>2663</v>
      </c>
      <c r="D2424" s="9" t="s">
        <v>5871</v>
      </c>
      <c r="E2424" s="9" t="str">
        <f aca="false">IF(AND('Formation Ledger'!A2403&lt;&gt;"",'Formation Ledger'!V2403=0),"PASS","FAIL")</f>
        <v>PASS</v>
      </c>
      <c r="F2424" s="9" t="s">
        <v>76</v>
      </c>
      <c r="G2424" s="6"/>
      <c r="H2424" s="6"/>
      <c r="I2424" s="6"/>
      <c r="J2424" s="6"/>
      <c r="K2424" s="6"/>
      <c r="L2424" s="6"/>
      <c r="M2424" s="6"/>
      <c r="N2424" s="6"/>
      <c r="O2424" s="6"/>
      <c r="P2424" s="6"/>
      <c r="Q2424" s="6"/>
      <c r="R2424" s="6"/>
      <c r="S2424" s="6"/>
      <c r="T2424" s="6"/>
      <c r="U2424" s="6"/>
      <c r="V2424" s="6"/>
      <c r="W2424" s="6"/>
      <c r="X2424" s="6"/>
      <c r="Y2424" s="6"/>
      <c r="Z2424" s="6"/>
    </row>
    <row r="2425" customFormat="false" ht="15" hidden="false" customHeight="false" outlineLevel="0" collapsed="false">
      <c r="A2425" s="9" t="s">
        <v>8268</v>
      </c>
      <c r="B2425" s="9" t="s">
        <v>5870</v>
      </c>
      <c r="C2425" s="9" t="s">
        <v>2664</v>
      </c>
      <c r="D2425" s="9" t="s">
        <v>5871</v>
      </c>
      <c r="E2425" s="9" t="str">
        <f aca="false">IF(AND('Formation Ledger'!A2404&lt;&gt;"",'Formation Ledger'!V2404=0),"PASS","FAIL")</f>
        <v>PASS</v>
      </c>
      <c r="F2425" s="9" t="s">
        <v>76</v>
      </c>
      <c r="G2425" s="6"/>
      <c r="H2425" s="6"/>
      <c r="I2425" s="6"/>
      <c r="J2425" s="6"/>
      <c r="K2425" s="6"/>
      <c r="L2425" s="6"/>
      <c r="M2425" s="6"/>
      <c r="N2425" s="6"/>
      <c r="O2425" s="6"/>
      <c r="P2425" s="6"/>
      <c r="Q2425" s="6"/>
      <c r="R2425" s="6"/>
      <c r="S2425" s="6"/>
      <c r="T2425" s="6"/>
      <c r="U2425" s="6"/>
      <c r="V2425" s="6"/>
      <c r="W2425" s="6"/>
      <c r="X2425" s="6"/>
      <c r="Y2425" s="6"/>
      <c r="Z2425" s="6"/>
    </row>
    <row r="2426" customFormat="false" ht="15" hidden="false" customHeight="false" outlineLevel="0" collapsed="false">
      <c r="A2426" s="9" t="s">
        <v>8269</v>
      </c>
      <c r="B2426" s="9" t="s">
        <v>5870</v>
      </c>
      <c r="C2426" s="9" t="s">
        <v>2665</v>
      </c>
      <c r="D2426" s="9" t="s">
        <v>5871</v>
      </c>
      <c r="E2426" s="9" t="str">
        <f aca="false">IF(AND('Formation Ledger'!A2405&lt;&gt;"",'Formation Ledger'!V2405=0),"PASS","FAIL")</f>
        <v>PASS</v>
      </c>
      <c r="F2426" s="9" t="s">
        <v>76</v>
      </c>
      <c r="G2426" s="6"/>
      <c r="H2426" s="6"/>
      <c r="I2426" s="6"/>
      <c r="J2426" s="6"/>
      <c r="K2426" s="6"/>
      <c r="L2426" s="6"/>
      <c r="M2426" s="6"/>
      <c r="N2426" s="6"/>
      <c r="O2426" s="6"/>
      <c r="P2426" s="6"/>
      <c r="Q2426" s="6"/>
      <c r="R2426" s="6"/>
      <c r="S2426" s="6"/>
      <c r="T2426" s="6"/>
      <c r="U2426" s="6"/>
      <c r="V2426" s="6"/>
      <c r="W2426" s="6"/>
      <c r="X2426" s="6"/>
      <c r="Y2426" s="6"/>
      <c r="Z2426" s="6"/>
    </row>
    <row r="2427" customFormat="false" ht="15" hidden="false" customHeight="false" outlineLevel="0" collapsed="false">
      <c r="A2427" s="9" t="s">
        <v>8270</v>
      </c>
      <c r="B2427" s="9" t="s">
        <v>5870</v>
      </c>
      <c r="C2427" s="9" t="s">
        <v>2666</v>
      </c>
      <c r="D2427" s="9" t="s">
        <v>5871</v>
      </c>
      <c r="E2427" s="9" t="str">
        <f aca="false">IF(AND('Formation Ledger'!A2406&lt;&gt;"",'Formation Ledger'!V2406=0),"PASS","FAIL")</f>
        <v>PASS</v>
      </c>
      <c r="F2427" s="9" t="s">
        <v>76</v>
      </c>
      <c r="G2427" s="6"/>
      <c r="H2427" s="6"/>
      <c r="I2427" s="6"/>
      <c r="J2427" s="6"/>
      <c r="K2427" s="6"/>
      <c r="L2427" s="6"/>
      <c r="M2427" s="6"/>
      <c r="N2427" s="6"/>
      <c r="O2427" s="6"/>
      <c r="P2427" s="6"/>
      <c r="Q2427" s="6"/>
      <c r="R2427" s="6"/>
      <c r="S2427" s="6"/>
      <c r="T2427" s="6"/>
      <c r="U2427" s="6"/>
      <c r="V2427" s="6"/>
      <c r="W2427" s="6"/>
      <c r="X2427" s="6"/>
      <c r="Y2427" s="6"/>
      <c r="Z2427" s="6"/>
    </row>
    <row r="2428" customFormat="false" ht="15" hidden="false" customHeight="false" outlineLevel="0" collapsed="false">
      <c r="A2428" s="9" t="s">
        <v>8271</v>
      </c>
      <c r="B2428" s="9" t="s">
        <v>5870</v>
      </c>
      <c r="C2428" s="9" t="s">
        <v>2667</v>
      </c>
      <c r="D2428" s="9" t="s">
        <v>5871</v>
      </c>
      <c r="E2428" s="9" t="str">
        <f aca="false">IF(AND('Formation Ledger'!A2407&lt;&gt;"",'Formation Ledger'!V2407=0),"PASS","FAIL")</f>
        <v>PASS</v>
      </c>
      <c r="F2428" s="9" t="s">
        <v>76</v>
      </c>
      <c r="G2428" s="6"/>
      <c r="H2428" s="6"/>
      <c r="I2428" s="6"/>
      <c r="J2428" s="6"/>
      <c r="K2428" s="6"/>
      <c r="L2428" s="6"/>
      <c r="M2428" s="6"/>
      <c r="N2428" s="6"/>
      <c r="O2428" s="6"/>
      <c r="P2428" s="6"/>
      <c r="Q2428" s="6"/>
      <c r="R2428" s="6"/>
      <c r="S2428" s="6"/>
      <c r="T2428" s="6"/>
      <c r="U2428" s="6"/>
      <c r="V2428" s="6"/>
      <c r="W2428" s="6"/>
      <c r="X2428" s="6"/>
      <c r="Y2428" s="6"/>
      <c r="Z2428" s="6"/>
    </row>
    <row r="2429" customFormat="false" ht="15" hidden="false" customHeight="false" outlineLevel="0" collapsed="false">
      <c r="A2429" s="9" t="s">
        <v>8272</v>
      </c>
      <c r="B2429" s="9" t="s">
        <v>5870</v>
      </c>
      <c r="C2429" s="9" t="s">
        <v>2668</v>
      </c>
      <c r="D2429" s="9" t="s">
        <v>5871</v>
      </c>
      <c r="E2429" s="9" t="str">
        <f aca="false">IF(AND('Formation Ledger'!A2408&lt;&gt;"",'Formation Ledger'!V2408=0),"PASS","FAIL")</f>
        <v>PASS</v>
      </c>
      <c r="F2429" s="9" t="s">
        <v>76</v>
      </c>
      <c r="G2429" s="6"/>
      <c r="H2429" s="6"/>
      <c r="I2429" s="6"/>
      <c r="J2429" s="6"/>
      <c r="K2429" s="6"/>
      <c r="L2429" s="6"/>
      <c r="M2429" s="6"/>
      <c r="N2429" s="6"/>
      <c r="O2429" s="6"/>
      <c r="P2429" s="6"/>
      <c r="Q2429" s="6"/>
      <c r="R2429" s="6"/>
      <c r="S2429" s="6"/>
      <c r="T2429" s="6"/>
      <c r="U2429" s="6"/>
      <c r="V2429" s="6"/>
      <c r="W2429" s="6"/>
      <c r="X2429" s="6"/>
      <c r="Y2429" s="6"/>
      <c r="Z2429" s="6"/>
    </row>
    <row r="2430" customFormat="false" ht="15" hidden="false" customHeight="false" outlineLevel="0" collapsed="false">
      <c r="A2430" s="9" t="s">
        <v>8273</v>
      </c>
      <c r="B2430" s="9" t="s">
        <v>5870</v>
      </c>
      <c r="C2430" s="9" t="s">
        <v>2669</v>
      </c>
      <c r="D2430" s="9" t="s">
        <v>5871</v>
      </c>
      <c r="E2430" s="9" t="str">
        <f aca="false">IF(AND('Formation Ledger'!A2409&lt;&gt;"",'Formation Ledger'!V2409=0),"PASS","FAIL")</f>
        <v>PASS</v>
      </c>
      <c r="F2430" s="9" t="s">
        <v>76</v>
      </c>
      <c r="G2430" s="6"/>
      <c r="H2430" s="6"/>
      <c r="I2430" s="6"/>
      <c r="J2430" s="6"/>
      <c r="K2430" s="6"/>
      <c r="L2430" s="6"/>
      <c r="M2430" s="6"/>
      <c r="N2430" s="6"/>
      <c r="O2430" s="6"/>
      <c r="P2430" s="6"/>
      <c r="Q2430" s="6"/>
      <c r="R2430" s="6"/>
      <c r="S2430" s="6"/>
      <c r="T2430" s="6"/>
      <c r="U2430" s="6"/>
      <c r="V2430" s="6"/>
      <c r="W2430" s="6"/>
      <c r="X2430" s="6"/>
      <c r="Y2430" s="6"/>
      <c r="Z2430" s="6"/>
    </row>
    <row r="2431" customFormat="false" ht="15" hidden="false" customHeight="false" outlineLevel="0" collapsed="false">
      <c r="A2431" s="9" t="s">
        <v>8274</v>
      </c>
      <c r="B2431" s="9" t="s">
        <v>5870</v>
      </c>
      <c r="C2431" s="9" t="s">
        <v>2670</v>
      </c>
      <c r="D2431" s="9" t="s">
        <v>5871</v>
      </c>
      <c r="E2431" s="9" t="str">
        <f aca="false">IF(AND('Formation Ledger'!A2410&lt;&gt;"",'Formation Ledger'!V2410=0),"PASS","FAIL")</f>
        <v>PASS</v>
      </c>
      <c r="F2431" s="9" t="s">
        <v>76</v>
      </c>
      <c r="G2431" s="6"/>
      <c r="H2431" s="6"/>
      <c r="I2431" s="6"/>
      <c r="J2431" s="6"/>
      <c r="K2431" s="6"/>
      <c r="L2431" s="6"/>
      <c r="M2431" s="6"/>
      <c r="N2431" s="6"/>
      <c r="O2431" s="6"/>
      <c r="P2431" s="6"/>
      <c r="Q2431" s="6"/>
      <c r="R2431" s="6"/>
      <c r="S2431" s="6"/>
      <c r="T2431" s="6"/>
      <c r="U2431" s="6"/>
      <c r="V2431" s="6"/>
      <c r="W2431" s="6"/>
      <c r="X2431" s="6"/>
      <c r="Y2431" s="6"/>
      <c r="Z2431" s="6"/>
    </row>
    <row r="2432" customFormat="false" ht="15" hidden="false" customHeight="false" outlineLevel="0" collapsed="false">
      <c r="A2432" s="9" t="s">
        <v>8275</v>
      </c>
      <c r="B2432" s="9" t="s">
        <v>5870</v>
      </c>
      <c r="C2432" s="9" t="s">
        <v>2671</v>
      </c>
      <c r="D2432" s="9" t="s">
        <v>5871</v>
      </c>
      <c r="E2432" s="9" t="str">
        <f aca="false">IF(AND('Formation Ledger'!A2411&lt;&gt;"",'Formation Ledger'!V2411=0),"PASS","FAIL")</f>
        <v>PASS</v>
      </c>
      <c r="F2432" s="9" t="s">
        <v>76</v>
      </c>
      <c r="G2432" s="6"/>
      <c r="H2432" s="6"/>
      <c r="I2432" s="6"/>
      <c r="J2432" s="6"/>
      <c r="K2432" s="6"/>
      <c r="L2432" s="6"/>
      <c r="M2432" s="6"/>
      <c r="N2432" s="6"/>
      <c r="O2432" s="6"/>
      <c r="P2432" s="6"/>
      <c r="Q2432" s="6"/>
      <c r="R2432" s="6"/>
      <c r="S2432" s="6"/>
      <c r="T2432" s="6"/>
      <c r="U2432" s="6"/>
      <c r="V2432" s="6"/>
      <c r="W2432" s="6"/>
      <c r="X2432" s="6"/>
      <c r="Y2432" s="6"/>
      <c r="Z2432" s="6"/>
    </row>
    <row r="2433" customFormat="false" ht="15" hidden="false" customHeight="false" outlineLevel="0" collapsed="false">
      <c r="A2433" s="9" t="s">
        <v>8276</v>
      </c>
      <c r="B2433" s="9" t="s">
        <v>5870</v>
      </c>
      <c r="C2433" s="9" t="s">
        <v>2672</v>
      </c>
      <c r="D2433" s="9" t="s">
        <v>5871</v>
      </c>
      <c r="E2433" s="9" t="str">
        <f aca="false">IF(AND('Formation Ledger'!A2412&lt;&gt;"",'Formation Ledger'!V2412=0),"PASS","FAIL")</f>
        <v>PASS</v>
      </c>
      <c r="F2433" s="9" t="s">
        <v>76</v>
      </c>
      <c r="G2433" s="6"/>
      <c r="H2433" s="6"/>
      <c r="I2433" s="6"/>
      <c r="J2433" s="6"/>
      <c r="K2433" s="6"/>
      <c r="L2433" s="6"/>
      <c r="M2433" s="6"/>
      <c r="N2433" s="6"/>
      <c r="O2433" s="6"/>
      <c r="P2433" s="6"/>
      <c r="Q2433" s="6"/>
      <c r="R2433" s="6"/>
      <c r="S2433" s="6"/>
      <c r="T2433" s="6"/>
      <c r="U2433" s="6"/>
      <c r="V2433" s="6"/>
      <c r="W2433" s="6"/>
      <c r="X2433" s="6"/>
      <c r="Y2433" s="6"/>
      <c r="Z2433" s="6"/>
    </row>
    <row r="2434" customFormat="false" ht="15" hidden="false" customHeight="false" outlineLevel="0" collapsed="false">
      <c r="A2434" s="9" t="s">
        <v>8277</v>
      </c>
      <c r="B2434" s="9" t="s">
        <v>5870</v>
      </c>
      <c r="C2434" s="9" t="s">
        <v>2673</v>
      </c>
      <c r="D2434" s="9" t="s">
        <v>5871</v>
      </c>
      <c r="E2434" s="9" t="str">
        <f aca="false">IF(AND('Formation Ledger'!A2413&lt;&gt;"",'Formation Ledger'!V2413=0),"PASS","FAIL")</f>
        <v>PASS</v>
      </c>
      <c r="F2434" s="9" t="s">
        <v>76</v>
      </c>
      <c r="G2434" s="6"/>
      <c r="H2434" s="6"/>
      <c r="I2434" s="6"/>
      <c r="J2434" s="6"/>
      <c r="K2434" s="6"/>
      <c r="L2434" s="6"/>
      <c r="M2434" s="6"/>
      <c r="N2434" s="6"/>
      <c r="O2434" s="6"/>
      <c r="P2434" s="6"/>
      <c r="Q2434" s="6"/>
      <c r="R2434" s="6"/>
      <c r="S2434" s="6"/>
      <c r="T2434" s="6"/>
      <c r="U2434" s="6"/>
      <c r="V2434" s="6"/>
      <c r="W2434" s="6"/>
      <c r="X2434" s="6"/>
      <c r="Y2434" s="6"/>
      <c r="Z2434" s="6"/>
    </row>
    <row r="2435" customFormat="false" ht="15" hidden="false" customHeight="false" outlineLevel="0" collapsed="false">
      <c r="A2435" s="9" t="s">
        <v>8278</v>
      </c>
      <c r="B2435" s="9" t="s">
        <v>5870</v>
      </c>
      <c r="C2435" s="9" t="s">
        <v>2674</v>
      </c>
      <c r="D2435" s="9" t="s">
        <v>5871</v>
      </c>
      <c r="E2435" s="9" t="str">
        <f aca="false">IF(AND('Formation Ledger'!A2414&lt;&gt;"",'Formation Ledger'!V2414=0),"PASS","FAIL")</f>
        <v>PASS</v>
      </c>
      <c r="F2435" s="9" t="s">
        <v>76</v>
      </c>
      <c r="G2435" s="6"/>
      <c r="H2435" s="6"/>
      <c r="I2435" s="6"/>
      <c r="J2435" s="6"/>
      <c r="K2435" s="6"/>
      <c r="L2435" s="6"/>
      <c r="M2435" s="6"/>
      <c r="N2435" s="6"/>
      <c r="O2435" s="6"/>
      <c r="P2435" s="6"/>
      <c r="Q2435" s="6"/>
      <c r="R2435" s="6"/>
      <c r="S2435" s="6"/>
      <c r="T2435" s="6"/>
      <c r="U2435" s="6"/>
      <c r="V2435" s="6"/>
      <c r="W2435" s="6"/>
      <c r="X2435" s="6"/>
      <c r="Y2435" s="6"/>
      <c r="Z2435" s="6"/>
    </row>
    <row r="2436" customFormat="false" ht="15" hidden="false" customHeight="false" outlineLevel="0" collapsed="false">
      <c r="A2436" s="9" t="s">
        <v>8279</v>
      </c>
      <c r="B2436" s="9" t="s">
        <v>5870</v>
      </c>
      <c r="C2436" s="9" t="s">
        <v>2675</v>
      </c>
      <c r="D2436" s="9" t="s">
        <v>5871</v>
      </c>
      <c r="E2436" s="9" t="str">
        <f aca="false">IF(AND('Formation Ledger'!A2415&lt;&gt;"",'Formation Ledger'!V2415=0),"PASS","FAIL")</f>
        <v>PASS</v>
      </c>
      <c r="F2436" s="9" t="s">
        <v>76</v>
      </c>
      <c r="G2436" s="6"/>
      <c r="H2436" s="6"/>
      <c r="I2436" s="6"/>
      <c r="J2436" s="6"/>
      <c r="K2436" s="6"/>
      <c r="L2436" s="6"/>
      <c r="M2436" s="6"/>
      <c r="N2436" s="6"/>
      <c r="O2436" s="6"/>
      <c r="P2436" s="6"/>
      <c r="Q2436" s="6"/>
      <c r="R2436" s="6"/>
      <c r="S2436" s="6"/>
      <c r="T2436" s="6"/>
      <c r="U2436" s="6"/>
      <c r="V2436" s="6"/>
      <c r="W2436" s="6"/>
      <c r="X2436" s="6"/>
      <c r="Y2436" s="6"/>
      <c r="Z2436" s="6"/>
    </row>
    <row r="2437" customFormat="false" ht="15" hidden="false" customHeight="false" outlineLevel="0" collapsed="false">
      <c r="A2437" s="9" t="s">
        <v>8280</v>
      </c>
      <c r="B2437" s="9" t="s">
        <v>5870</v>
      </c>
      <c r="C2437" s="9" t="s">
        <v>2676</v>
      </c>
      <c r="D2437" s="9" t="s">
        <v>5871</v>
      </c>
      <c r="E2437" s="9" t="str">
        <f aca="false">IF(AND('Formation Ledger'!A2416&lt;&gt;"",'Formation Ledger'!V2416=0),"PASS","FAIL")</f>
        <v>PASS</v>
      </c>
      <c r="F2437" s="9" t="s">
        <v>76</v>
      </c>
      <c r="G2437" s="6"/>
      <c r="H2437" s="6"/>
      <c r="I2437" s="6"/>
      <c r="J2437" s="6"/>
      <c r="K2437" s="6"/>
      <c r="L2437" s="6"/>
      <c r="M2437" s="6"/>
      <c r="N2437" s="6"/>
      <c r="O2437" s="6"/>
      <c r="P2437" s="6"/>
      <c r="Q2437" s="6"/>
      <c r="R2437" s="6"/>
      <c r="S2437" s="6"/>
      <c r="T2437" s="6"/>
      <c r="U2437" s="6"/>
      <c r="V2437" s="6"/>
      <c r="W2437" s="6"/>
      <c r="X2437" s="6"/>
      <c r="Y2437" s="6"/>
      <c r="Z2437" s="6"/>
    </row>
    <row r="2438" customFormat="false" ht="15" hidden="false" customHeight="false" outlineLevel="0" collapsed="false">
      <c r="A2438" s="9" t="s">
        <v>8281</v>
      </c>
      <c r="B2438" s="9" t="s">
        <v>5870</v>
      </c>
      <c r="C2438" s="9" t="s">
        <v>2677</v>
      </c>
      <c r="D2438" s="9" t="s">
        <v>5871</v>
      </c>
      <c r="E2438" s="9" t="str">
        <f aca="false">IF(AND('Formation Ledger'!A2417&lt;&gt;"",'Formation Ledger'!V2417=0),"PASS","FAIL")</f>
        <v>PASS</v>
      </c>
      <c r="F2438" s="9" t="s">
        <v>76</v>
      </c>
      <c r="G2438" s="6"/>
      <c r="H2438" s="6"/>
      <c r="I2438" s="6"/>
      <c r="J2438" s="6"/>
      <c r="K2438" s="6"/>
      <c r="L2438" s="6"/>
      <c r="M2438" s="6"/>
      <c r="N2438" s="6"/>
      <c r="O2438" s="6"/>
      <c r="P2438" s="6"/>
      <c r="Q2438" s="6"/>
      <c r="R2438" s="6"/>
      <c r="S2438" s="6"/>
      <c r="T2438" s="6"/>
      <c r="U2438" s="6"/>
      <c r="V2438" s="6"/>
      <c r="W2438" s="6"/>
      <c r="X2438" s="6"/>
      <c r="Y2438" s="6"/>
      <c r="Z2438" s="6"/>
    </row>
    <row r="2439" customFormat="false" ht="15" hidden="false" customHeight="false" outlineLevel="0" collapsed="false">
      <c r="A2439" s="9" t="s">
        <v>8282</v>
      </c>
      <c r="B2439" s="9" t="s">
        <v>5870</v>
      </c>
      <c r="C2439" s="9" t="s">
        <v>2678</v>
      </c>
      <c r="D2439" s="9" t="s">
        <v>5871</v>
      </c>
      <c r="E2439" s="9" t="str">
        <f aca="false">IF(AND('Formation Ledger'!A2418&lt;&gt;"",'Formation Ledger'!V2418=0),"PASS","FAIL")</f>
        <v>PASS</v>
      </c>
      <c r="F2439" s="9" t="s">
        <v>76</v>
      </c>
      <c r="G2439" s="6"/>
      <c r="H2439" s="6"/>
      <c r="I2439" s="6"/>
      <c r="J2439" s="6"/>
      <c r="K2439" s="6"/>
      <c r="L2439" s="6"/>
      <c r="M2439" s="6"/>
      <c r="N2439" s="6"/>
      <c r="O2439" s="6"/>
      <c r="P2439" s="6"/>
      <c r="Q2439" s="6"/>
      <c r="R2439" s="6"/>
      <c r="S2439" s="6"/>
      <c r="T2439" s="6"/>
      <c r="U2439" s="6"/>
      <c r="V2439" s="6"/>
      <c r="W2439" s="6"/>
      <c r="X2439" s="6"/>
      <c r="Y2439" s="6"/>
      <c r="Z2439" s="6"/>
    </row>
    <row r="2440" customFormat="false" ht="15" hidden="false" customHeight="false" outlineLevel="0" collapsed="false">
      <c r="A2440" s="9" t="s">
        <v>8283</v>
      </c>
      <c r="B2440" s="9" t="s">
        <v>5870</v>
      </c>
      <c r="C2440" s="9" t="s">
        <v>2679</v>
      </c>
      <c r="D2440" s="9" t="s">
        <v>5871</v>
      </c>
      <c r="E2440" s="9" t="str">
        <f aca="false">IF(AND('Formation Ledger'!A2419&lt;&gt;"",'Formation Ledger'!V2419=0),"PASS","FAIL")</f>
        <v>PASS</v>
      </c>
      <c r="F2440" s="9" t="s">
        <v>76</v>
      </c>
      <c r="G2440" s="6"/>
      <c r="H2440" s="6"/>
      <c r="I2440" s="6"/>
      <c r="J2440" s="6"/>
      <c r="K2440" s="6"/>
      <c r="L2440" s="6"/>
      <c r="M2440" s="6"/>
      <c r="N2440" s="6"/>
      <c r="O2440" s="6"/>
      <c r="P2440" s="6"/>
      <c r="Q2440" s="6"/>
      <c r="R2440" s="6"/>
      <c r="S2440" s="6"/>
      <c r="T2440" s="6"/>
      <c r="U2440" s="6"/>
      <c r="V2440" s="6"/>
      <c r="W2440" s="6"/>
      <c r="X2440" s="6"/>
      <c r="Y2440" s="6"/>
      <c r="Z2440" s="6"/>
    </row>
    <row r="2441" customFormat="false" ht="15" hidden="false" customHeight="false" outlineLevel="0" collapsed="false">
      <c r="A2441" s="9" t="s">
        <v>8284</v>
      </c>
      <c r="B2441" s="9" t="s">
        <v>5870</v>
      </c>
      <c r="C2441" s="9" t="s">
        <v>2680</v>
      </c>
      <c r="D2441" s="9" t="s">
        <v>5871</v>
      </c>
      <c r="E2441" s="9" t="str">
        <f aca="false">IF(AND('Formation Ledger'!A2420&lt;&gt;"",'Formation Ledger'!V2420=0),"PASS","FAIL")</f>
        <v>PASS</v>
      </c>
      <c r="F2441" s="9" t="s">
        <v>76</v>
      </c>
      <c r="G2441" s="6"/>
      <c r="H2441" s="6"/>
      <c r="I2441" s="6"/>
      <c r="J2441" s="6"/>
      <c r="K2441" s="6"/>
      <c r="L2441" s="6"/>
      <c r="M2441" s="6"/>
      <c r="N2441" s="6"/>
      <c r="O2441" s="6"/>
      <c r="P2441" s="6"/>
      <c r="Q2441" s="6"/>
      <c r="R2441" s="6"/>
      <c r="S2441" s="6"/>
      <c r="T2441" s="6"/>
      <c r="U2441" s="6"/>
      <c r="V2441" s="6"/>
      <c r="W2441" s="6"/>
      <c r="X2441" s="6"/>
      <c r="Y2441" s="6"/>
      <c r="Z2441" s="6"/>
    </row>
    <row r="2442" customFormat="false" ht="15" hidden="false" customHeight="false" outlineLevel="0" collapsed="false">
      <c r="A2442" s="9" t="s">
        <v>8285</v>
      </c>
      <c r="B2442" s="9" t="s">
        <v>5870</v>
      </c>
      <c r="C2442" s="9" t="s">
        <v>2683</v>
      </c>
      <c r="D2442" s="9" t="s">
        <v>5871</v>
      </c>
      <c r="E2442" s="9" t="str">
        <f aca="false">IF(AND('Formation Ledger'!A2421&lt;&gt;"",'Formation Ledger'!V2421=0),"PASS","FAIL")</f>
        <v>PASS</v>
      </c>
      <c r="F2442" s="9" t="s">
        <v>76</v>
      </c>
      <c r="G2442" s="6"/>
      <c r="H2442" s="6"/>
      <c r="I2442" s="6"/>
      <c r="J2442" s="6"/>
      <c r="K2442" s="6"/>
      <c r="L2442" s="6"/>
      <c r="M2442" s="6"/>
      <c r="N2442" s="6"/>
      <c r="O2442" s="6"/>
      <c r="P2442" s="6"/>
      <c r="Q2442" s="6"/>
      <c r="R2442" s="6"/>
      <c r="S2442" s="6"/>
      <c r="T2442" s="6"/>
      <c r="U2442" s="6"/>
      <c r="V2442" s="6"/>
      <c r="W2442" s="6"/>
      <c r="X2442" s="6"/>
      <c r="Y2442" s="6"/>
      <c r="Z2442" s="6"/>
    </row>
    <row r="2443" customFormat="false" ht="15" hidden="false" customHeight="false" outlineLevel="0" collapsed="false">
      <c r="A2443" s="9" t="s">
        <v>8286</v>
      </c>
      <c r="B2443" s="9" t="s">
        <v>5870</v>
      </c>
      <c r="C2443" s="9" t="s">
        <v>2684</v>
      </c>
      <c r="D2443" s="9" t="s">
        <v>5871</v>
      </c>
      <c r="E2443" s="9" t="str">
        <f aca="false">IF(AND('Formation Ledger'!A2422&lt;&gt;"",'Formation Ledger'!V2422=0),"PASS","FAIL")</f>
        <v>PASS</v>
      </c>
      <c r="F2443" s="9" t="s">
        <v>76</v>
      </c>
      <c r="G2443" s="6"/>
      <c r="H2443" s="6"/>
      <c r="I2443" s="6"/>
      <c r="J2443" s="6"/>
      <c r="K2443" s="6"/>
      <c r="L2443" s="6"/>
      <c r="M2443" s="6"/>
      <c r="N2443" s="6"/>
      <c r="O2443" s="6"/>
      <c r="P2443" s="6"/>
      <c r="Q2443" s="6"/>
      <c r="R2443" s="6"/>
      <c r="S2443" s="6"/>
      <c r="T2443" s="6"/>
      <c r="U2443" s="6"/>
      <c r="V2443" s="6"/>
      <c r="W2443" s="6"/>
      <c r="X2443" s="6"/>
      <c r="Y2443" s="6"/>
      <c r="Z2443" s="6"/>
    </row>
    <row r="2444" customFormat="false" ht="15" hidden="false" customHeight="false" outlineLevel="0" collapsed="false">
      <c r="A2444" s="9" t="s">
        <v>8287</v>
      </c>
      <c r="B2444" s="9" t="s">
        <v>5870</v>
      </c>
      <c r="C2444" s="9" t="s">
        <v>2685</v>
      </c>
      <c r="D2444" s="9" t="s">
        <v>5871</v>
      </c>
      <c r="E2444" s="9" t="str">
        <f aca="false">IF(AND('Formation Ledger'!A2423&lt;&gt;"",'Formation Ledger'!V2423=0),"PASS","FAIL")</f>
        <v>PASS</v>
      </c>
      <c r="F2444" s="9" t="s">
        <v>76</v>
      </c>
      <c r="G2444" s="6"/>
      <c r="H2444" s="6"/>
      <c r="I2444" s="6"/>
      <c r="J2444" s="6"/>
      <c r="K2444" s="6"/>
      <c r="L2444" s="6"/>
      <c r="M2444" s="6"/>
      <c r="N2444" s="6"/>
      <c r="O2444" s="6"/>
      <c r="P2444" s="6"/>
      <c r="Q2444" s="6"/>
      <c r="R2444" s="6"/>
      <c r="S2444" s="6"/>
      <c r="T2444" s="6"/>
      <c r="U2444" s="6"/>
      <c r="V2444" s="6"/>
      <c r="W2444" s="6"/>
      <c r="X2444" s="6"/>
      <c r="Y2444" s="6"/>
      <c r="Z2444" s="6"/>
    </row>
    <row r="2445" customFormat="false" ht="15" hidden="false" customHeight="false" outlineLevel="0" collapsed="false">
      <c r="A2445" s="9" t="s">
        <v>8288</v>
      </c>
      <c r="B2445" s="9" t="s">
        <v>5870</v>
      </c>
      <c r="C2445" s="9" t="s">
        <v>2686</v>
      </c>
      <c r="D2445" s="9" t="s">
        <v>5871</v>
      </c>
      <c r="E2445" s="9" t="str">
        <f aca="false">IF(AND('Formation Ledger'!A2424&lt;&gt;"",'Formation Ledger'!V2424=0),"PASS","FAIL")</f>
        <v>PASS</v>
      </c>
      <c r="F2445" s="9" t="s">
        <v>76</v>
      </c>
      <c r="G2445" s="6"/>
      <c r="H2445" s="6"/>
      <c r="I2445" s="6"/>
      <c r="J2445" s="6"/>
      <c r="K2445" s="6"/>
      <c r="L2445" s="6"/>
      <c r="M2445" s="6"/>
      <c r="N2445" s="6"/>
      <c r="O2445" s="6"/>
      <c r="P2445" s="6"/>
      <c r="Q2445" s="6"/>
      <c r="R2445" s="6"/>
      <c r="S2445" s="6"/>
      <c r="T2445" s="6"/>
      <c r="U2445" s="6"/>
      <c r="V2445" s="6"/>
      <c r="W2445" s="6"/>
      <c r="X2445" s="6"/>
      <c r="Y2445" s="6"/>
      <c r="Z2445" s="6"/>
    </row>
    <row r="2446" customFormat="false" ht="15" hidden="false" customHeight="false" outlineLevel="0" collapsed="false">
      <c r="A2446" s="9" t="s">
        <v>8289</v>
      </c>
      <c r="B2446" s="9" t="s">
        <v>5870</v>
      </c>
      <c r="C2446" s="9" t="s">
        <v>2687</v>
      </c>
      <c r="D2446" s="9" t="s">
        <v>5871</v>
      </c>
      <c r="E2446" s="9" t="str">
        <f aca="false">IF(AND('Formation Ledger'!A2425&lt;&gt;"",'Formation Ledger'!V2425=0),"PASS","FAIL")</f>
        <v>PASS</v>
      </c>
      <c r="F2446" s="9" t="s">
        <v>76</v>
      </c>
      <c r="G2446" s="6"/>
      <c r="H2446" s="6"/>
      <c r="I2446" s="6"/>
      <c r="J2446" s="6"/>
      <c r="K2446" s="6"/>
      <c r="L2446" s="6"/>
      <c r="M2446" s="6"/>
      <c r="N2446" s="6"/>
      <c r="O2446" s="6"/>
      <c r="P2446" s="6"/>
      <c r="Q2446" s="6"/>
      <c r="R2446" s="6"/>
      <c r="S2446" s="6"/>
      <c r="T2446" s="6"/>
      <c r="U2446" s="6"/>
      <c r="V2446" s="6"/>
      <c r="W2446" s="6"/>
      <c r="X2446" s="6"/>
      <c r="Y2446" s="6"/>
      <c r="Z2446" s="6"/>
    </row>
    <row r="2447" customFormat="false" ht="15" hidden="false" customHeight="false" outlineLevel="0" collapsed="false">
      <c r="A2447" s="9" t="s">
        <v>8290</v>
      </c>
      <c r="B2447" s="9" t="s">
        <v>5870</v>
      </c>
      <c r="C2447" s="9" t="s">
        <v>2688</v>
      </c>
      <c r="D2447" s="9" t="s">
        <v>5871</v>
      </c>
      <c r="E2447" s="9" t="str">
        <f aca="false">IF(AND('Formation Ledger'!A2426&lt;&gt;"",'Formation Ledger'!V2426=0),"PASS","FAIL")</f>
        <v>PASS</v>
      </c>
      <c r="F2447" s="9" t="s">
        <v>76</v>
      </c>
      <c r="G2447" s="6"/>
      <c r="H2447" s="6"/>
      <c r="I2447" s="6"/>
      <c r="J2447" s="6"/>
      <c r="K2447" s="6"/>
      <c r="L2447" s="6"/>
      <c r="M2447" s="6"/>
      <c r="N2447" s="6"/>
      <c r="O2447" s="6"/>
      <c r="P2447" s="6"/>
      <c r="Q2447" s="6"/>
      <c r="R2447" s="6"/>
      <c r="S2447" s="6"/>
      <c r="T2447" s="6"/>
      <c r="U2447" s="6"/>
      <c r="V2447" s="6"/>
      <c r="W2447" s="6"/>
      <c r="X2447" s="6"/>
      <c r="Y2447" s="6"/>
      <c r="Z2447" s="6"/>
    </row>
    <row r="2448" customFormat="false" ht="15" hidden="false" customHeight="false" outlineLevel="0" collapsed="false">
      <c r="A2448" s="9" t="s">
        <v>8291</v>
      </c>
      <c r="B2448" s="9" t="s">
        <v>5870</v>
      </c>
      <c r="C2448" s="9" t="s">
        <v>2689</v>
      </c>
      <c r="D2448" s="9" t="s">
        <v>5871</v>
      </c>
      <c r="E2448" s="9" t="str">
        <f aca="false">IF(AND('Formation Ledger'!A2427&lt;&gt;"",'Formation Ledger'!V2427=0),"PASS","FAIL")</f>
        <v>PASS</v>
      </c>
      <c r="F2448" s="9" t="s">
        <v>76</v>
      </c>
      <c r="G2448" s="6"/>
      <c r="H2448" s="6"/>
      <c r="I2448" s="6"/>
      <c r="J2448" s="6"/>
      <c r="K2448" s="6"/>
      <c r="L2448" s="6"/>
      <c r="M2448" s="6"/>
      <c r="N2448" s="6"/>
      <c r="O2448" s="6"/>
      <c r="P2448" s="6"/>
      <c r="Q2448" s="6"/>
      <c r="R2448" s="6"/>
      <c r="S2448" s="6"/>
      <c r="T2448" s="6"/>
      <c r="U2448" s="6"/>
      <c r="V2448" s="6"/>
      <c r="W2448" s="6"/>
      <c r="X2448" s="6"/>
      <c r="Y2448" s="6"/>
      <c r="Z2448" s="6"/>
    </row>
    <row r="2449" customFormat="false" ht="15" hidden="false" customHeight="false" outlineLevel="0" collapsed="false">
      <c r="A2449" s="9" t="s">
        <v>8292</v>
      </c>
      <c r="B2449" s="9" t="s">
        <v>5870</v>
      </c>
      <c r="C2449" s="9" t="s">
        <v>2690</v>
      </c>
      <c r="D2449" s="9" t="s">
        <v>5871</v>
      </c>
      <c r="E2449" s="9" t="str">
        <f aca="false">IF(AND('Formation Ledger'!A2428&lt;&gt;"",'Formation Ledger'!V2428=0),"PASS","FAIL")</f>
        <v>PASS</v>
      </c>
      <c r="F2449" s="9" t="s">
        <v>76</v>
      </c>
      <c r="G2449" s="6"/>
      <c r="H2449" s="6"/>
      <c r="I2449" s="6"/>
      <c r="J2449" s="6"/>
      <c r="K2449" s="6"/>
      <c r="L2449" s="6"/>
      <c r="M2449" s="6"/>
      <c r="N2449" s="6"/>
      <c r="O2449" s="6"/>
      <c r="P2449" s="6"/>
      <c r="Q2449" s="6"/>
      <c r="R2449" s="6"/>
      <c r="S2449" s="6"/>
      <c r="T2449" s="6"/>
      <c r="U2449" s="6"/>
      <c r="V2449" s="6"/>
      <c r="W2449" s="6"/>
      <c r="X2449" s="6"/>
      <c r="Y2449" s="6"/>
      <c r="Z2449" s="6"/>
    </row>
    <row r="2450" customFormat="false" ht="15" hidden="false" customHeight="false" outlineLevel="0" collapsed="false">
      <c r="A2450" s="9" t="s">
        <v>8293</v>
      </c>
      <c r="B2450" s="9" t="s">
        <v>5870</v>
      </c>
      <c r="C2450" s="9" t="s">
        <v>2691</v>
      </c>
      <c r="D2450" s="9" t="s">
        <v>5871</v>
      </c>
      <c r="E2450" s="9" t="str">
        <f aca="false">IF(AND('Formation Ledger'!A2429&lt;&gt;"",'Formation Ledger'!V2429=0),"PASS","FAIL")</f>
        <v>PASS</v>
      </c>
      <c r="F2450" s="9" t="s">
        <v>76</v>
      </c>
      <c r="G2450" s="6"/>
      <c r="H2450" s="6"/>
      <c r="I2450" s="6"/>
      <c r="J2450" s="6"/>
      <c r="K2450" s="6"/>
      <c r="L2450" s="6"/>
      <c r="M2450" s="6"/>
      <c r="N2450" s="6"/>
      <c r="O2450" s="6"/>
      <c r="P2450" s="6"/>
      <c r="Q2450" s="6"/>
      <c r="R2450" s="6"/>
      <c r="S2450" s="6"/>
      <c r="T2450" s="6"/>
      <c r="U2450" s="6"/>
      <c r="V2450" s="6"/>
      <c r="W2450" s="6"/>
      <c r="X2450" s="6"/>
      <c r="Y2450" s="6"/>
      <c r="Z2450" s="6"/>
    </row>
    <row r="2451" customFormat="false" ht="15" hidden="false" customHeight="false" outlineLevel="0" collapsed="false">
      <c r="A2451" s="9" t="s">
        <v>8294</v>
      </c>
      <c r="B2451" s="9" t="s">
        <v>5870</v>
      </c>
      <c r="C2451" s="9" t="s">
        <v>2692</v>
      </c>
      <c r="D2451" s="9" t="s">
        <v>5871</v>
      </c>
      <c r="E2451" s="9" t="str">
        <f aca="false">IF(AND('Formation Ledger'!A2430&lt;&gt;"",'Formation Ledger'!V2430=0),"PASS","FAIL")</f>
        <v>PASS</v>
      </c>
      <c r="F2451" s="9" t="s">
        <v>76</v>
      </c>
      <c r="G2451" s="6"/>
      <c r="H2451" s="6"/>
      <c r="I2451" s="6"/>
      <c r="J2451" s="6"/>
      <c r="K2451" s="6"/>
      <c r="L2451" s="6"/>
      <c r="M2451" s="6"/>
      <c r="N2451" s="6"/>
      <c r="O2451" s="6"/>
      <c r="P2451" s="6"/>
      <c r="Q2451" s="6"/>
      <c r="R2451" s="6"/>
      <c r="S2451" s="6"/>
      <c r="T2451" s="6"/>
      <c r="U2451" s="6"/>
      <c r="V2451" s="6"/>
      <c r="W2451" s="6"/>
      <c r="X2451" s="6"/>
      <c r="Y2451" s="6"/>
      <c r="Z2451" s="6"/>
    </row>
    <row r="2452" customFormat="false" ht="15" hidden="false" customHeight="false" outlineLevel="0" collapsed="false">
      <c r="A2452" s="9" t="s">
        <v>8295</v>
      </c>
      <c r="B2452" s="9" t="s">
        <v>5870</v>
      </c>
      <c r="C2452" s="9" t="s">
        <v>2693</v>
      </c>
      <c r="D2452" s="9" t="s">
        <v>5871</v>
      </c>
      <c r="E2452" s="9" t="str">
        <f aca="false">IF(AND('Formation Ledger'!A2431&lt;&gt;"",'Formation Ledger'!V2431=0),"PASS","FAIL")</f>
        <v>PASS</v>
      </c>
      <c r="F2452" s="9" t="s">
        <v>76</v>
      </c>
      <c r="G2452" s="6"/>
      <c r="H2452" s="6"/>
      <c r="I2452" s="6"/>
      <c r="J2452" s="6"/>
      <c r="K2452" s="6"/>
      <c r="L2452" s="6"/>
      <c r="M2452" s="6"/>
      <c r="N2452" s="6"/>
      <c r="O2452" s="6"/>
      <c r="P2452" s="6"/>
      <c r="Q2452" s="6"/>
      <c r="R2452" s="6"/>
      <c r="S2452" s="6"/>
      <c r="T2452" s="6"/>
      <c r="U2452" s="6"/>
      <c r="V2452" s="6"/>
      <c r="W2452" s="6"/>
      <c r="X2452" s="6"/>
      <c r="Y2452" s="6"/>
      <c r="Z2452" s="6"/>
    </row>
    <row r="2453" customFormat="false" ht="15" hidden="false" customHeight="false" outlineLevel="0" collapsed="false">
      <c r="A2453" s="9" t="s">
        <v>8296</v>
      </c>
      <c r="B2453" s="9" t="s">
        <v>5870</v>
      </c>
      <c r="C2453" s="9" t="s">
        <v>2694</v>
      </c>
      <c r="D2453" s="9" t="s">
        <v>5871</v>
      </c>
      <c r="E2453" s="9" t="str">
        <f aca="false">IF(AND('Formation Ledger'!A2432&lt;&gt;"",'Formation Ledger'!V2432=0),"PASS","FAIL")</f>
        <v>PASS</v>
      </c>
      <c r="F2453" s="9" t="s">
        <v>76</v>
      </c>
      <c r="G2453" s="6"/>
      <c r="H2453" s="6"/>
      <c r="I2453" s="6"/>
      <c r="J2453" s="6"/>
      <c r="K2453" s="6"/>
      <c r="L2453" s="6"/>
      <c r="M2453" s="6"/>
      <c r="N2453" s="6"/>
      <c r="O2453" s="6"/>
      <c r="P2453" s="6"/>
      <c r="Q2453" s="6"/>
      <c r="R2453" s="6"/>
      <c r="S2453" s="6"/>
      <c r="T2453" s="6"/>
      <c r="U2453" s="6"/>
      <c r="V2453" s="6"/>
      <c r="W2453" s="6"/>
      <c r="X2453" s="6"/>
      <c r="Y2453" s="6"/>
      <c r="Z2453" s="6"/>
    </row>
    <row r="2454" customFormat="false" ht="15" hidden="false" customHeight="false" outlineLevel="0" collapsed="false">
      <c r="A2454" s="9" t="s">
        <v>8297</v>
      </c>
      <c r="B2454" s="9" t="s">
        <v>5870</v>
      </c>
      <c r="C2454" s="9" t="s">
        <v>2695</v>
      </c>
      <c r="D2454" s="9" t="s">
        <v>5871</v>
      </c>
      <c r="E2454" s="9" t="str">
        <f aca="false">IF(AND('Formation Ledger'!A2433&lt;&gt;"",'Formation Ledger'!V2433=0),"PASS","FAIL")</f>
        <v>PASS</v>
      </c>
      <c r="F2454" s="9" t="s">
        <v>76</v>
      </c>
      <c r="G2454" s="6"/>
      <c r="H2454" s="6"/>
      <c r="I2454" s="6"/>
      <c r="J2454" s="6"/>
      <c r="K2454" s="6"/>
      <c r="L2454" s="6"/>
      <c r="M2454" s="6"/>
      <c r="N2454" s="6"/>
      <c r="O2454" s="6"/>
      <c r="P2454" s="6"/>
      <c r="Q2454" s="6"/>
      <c r="R2454" s="6"/>
      <c r="S2454" s="6"/>
      <c r="T2454" s="6"/>
      <c r="U2454" s="6"/>
      <c r="V2454" s="6"/>
      <c r="W2454" s="6"/>
      <c r="X2454" s="6"/>
      <c r="Y2454" s="6"/>
      <c r="Z2454" s="6"/>
    </row>
    <row r="2455" customFormat="false" ht="15" hidden="false" customHeight="false" outlineLevel="0" collapsed="false">
      <c r="A2455" s="9" t="s">
        <v>8298</v>
      </c>
      <c r="B2455" s="9" t="s">
        <v>5870</v>
      </c>
      <c r="C2455" s="9" t="s">
        <v>2696</v>
      </c>
      <c r="D2455" s="9" t="s">
        <v>5871</v>
      </c>
      <c r="E2455" s="9" t="str">
        <f aca="false">IF(AND('Formation Ledger'!A2434&lt;&gt;"",'Formation Ledger'!V2434=0),"PASS","FAIL")</f>
        <v>PASS</v>
      </c>
      <c r="F2455" s="9" t="s">
        <v>76</v>
      </c>
      <c r="G2455" s="6"/>
      <c r="H2455" s="6"/>
      <c r="I2455" s="6"/>
      <c r="J2455" s="6"/>
      <c r="K2455" s="6"/>
      <c r="L2455" s="6"/>
      <c r="M2455" s="6"/>
      <c r="N2455" s="6"/>
      <c r="O2455" s="6"/>
      <c r="P2455" s="6"/>
      <c r="Q2455" s="6"/>
      <c r="R2455" s="6"/>
      <c r="S2455" s="6"/>
      <c r="T2455" s="6"/>
      <c r="U2455" s="6"/>
      <c r="V2455" s="6"/>
      <c r="W2455" s="6"/>
      <c r="X2455" s="6"/>
      <c r="Y2455" s="6"/>
      <c r="Z2455" s="6"/>
    </row>
    <row r="2456" customFormat="false" ht="15" hidden="false" customHeight="false" outlineLevel="0" collapsed="false">
      <c r="A2456" s="9" t="s">
        <v>8299</v>
      </c>
      <c r="B2456" s="9" t="s">
        <v>5870</v>
      </c>
      <c r="C2456" s="9" t="s">
        <v>2697</v>
      </c>
      <c r="D2456" s="9" t="s">
        <v>5871</v>
      </c>
      <c r="E2456" s="9" t="str">
        <f aca="false">IF(AND('Formation Ledger'!A2435&lt;&gt;"",'Formation Ledger'!V2435=0),"PASS","FAIL")</f>
        <v>PASS</v>
      </c>
      <c r="F2456" s="9" t="s">
        <v>76</v>
      </c>
      <c r="G2456" s="6"/>
      <c r="H2456" s="6"/>
      <c r="I2456" s="6"/>
      <c r="J2456" s="6"/>
      <c r="K2456" s="6"/>
      <c r="L2456" s="6"/>
      <c r="M2456" s="6"/>
      <c r="N2456" s="6"/>
      <c r="O2456" s="6"/>
      <c r="P2456" s="6"/>
      <c r="Q2456" s="6"/>
      <c r="R2456" s="6"/>
      <c r="S2456" s="6"/>
      <c r="T2456" s="6"/>
      <c r="U2456" s="6"/>
      <c r="V2456" s="6"/>
      <c r="W2456" s="6"/>
      <c r="X2456" s="6"/>
      <c r="Y2456" s="6"/>
      <c r="Z2456" s="6"/>
    </row>
    <row r="2457" customFormat="false" ht="15" hidden="false" customHeight="false" outlineLevel="0" collapsed="false">
      <c r="A2457" s="9" t="s">
        <v>8300</v>
      </c>
      <c r="B2457" s="9" t="s">
        <v>5870</v>
      </c>
      <c r="C2457" s="9" t="s">
        <v>2698</v>
      </c>
      <c r="D2457" s="9" t="s">
        <v>5871</v>
      </c>
      <c r="E2457" s="9" t="str">
        <f aca="false">IF(AND('Formation Ledger'!A2436&lt;&gt;"",'Formation Ledger'!V2436=0),"PASS","FAIL")</f>
        <v>PASS</v>
      </c>
      <c r="F2457" s="9" t="s">
        <v>76</v>
      </c>
      <c r="G2457" s="6"/>
      <c r="H2457" s="6"/>
      <c r="I2457" s="6"/>
      <c r="J2457" s="6"/>
      <c r="K2457" s="6"/>
      <c r="L2457" s="6"/>
      <c r="M2457" s="6"/>
      <c r="N2457" s="6"/>
      <c r="O2457" s="6"/>
      <c r="P2457" s="6"/>
      <c r="Q2457" s="6"/>
      <c r="R2457" s="6"/>
      <c r="S2457" s="6"/>
      <c r="T2457" s="6"/>
      <c r="U2457" s="6"/>
      <c r="V2457" s="6"/>
      <c r="W2457" s="6"/>
      <c r="X2457" s="6"/>
      <c r="Y2457" s="6"/>
      <c r="Z2457" s="6"/>
    </row>
    <row r="2458" customFormat="false" ht="15" hidden="false" customHeight="false" outlineLevel="0" collapsed="false">
      <c r="A2458" s="9" t="s">
        <v>8301</v>
      </c>
      <c r="B2458" s="9" t="s">
        <v>5870</v>
      </c>
      <c r="C2458" s="9" t="s">
        <v>2699</v>
      </c>
      <c r="D2458" s="9" t="s">
        <v>5871</v>
      </c>
      <c r="E2458" s="9" t="str">
        <f aca="false">IF(AND('Formation Ledger'!A2437&lt;&gt;"",'Formation Ledger'!V2437=0),"PASS","FAIL")</f>
        <v>PASS</v>
      </c>
      <c r="F2458" s="9" t="s">
        <v>76</v>
      </c>
      <c r="G2458" s="6"/>
      <c r="H2458" s="6"/>
      <c r="I2458" s="6"/>
      <c r="J2458" s="6"/>
      <c r="K2458" s="6"/>
      <c r="L2458" s="6"/>
      <c r="M2458" s="6"/>
      <c r="N2458" s="6"/>
      <c r="O2458" s="6"/>
      <c r="P2458" s="6"/>
      <c r="Q2458" s="6"/>
      <c r="R2458" s="6"/>
      <c r="S2458" s="6"/>
      <c r="T2458" s="6"/>
      <c r="U2458" s="6"/>
      <c r="V2458" s="6"/>
      <c r="W2458" s="6"/>
      <c r="X2458" s="6"/>
      <c r="Y2458" s="6"/>
      <c r="Z2458" s="6"/>
    </row>
    <row r="2459" customFormat="false" ht="15" hidden="false" customHeight="false" outlineLevel="0" collapsed="false">
      <c r="A2459" s="9" t="s">
        <v>8302</v>
      </c>
      <c r="B2459" s="9" t="s">
        <v>5870</v>
      </c>
      <c r="C2459" s="9" t="s">
        <v>2700</v>
      </c>
      <c r="D2459" s="9" t="s">
        <v>5871</v>
      </c>
      <c r="E2459" s="9" t="str">
        <f aca="false">IF(AND('Formation Ledger'!A2438&lt;&gt;"",'Formation Ledger'!V2438=0),"PASS","FAIL")</f>
        <v>PASS</v>
      </c>
      <c r="F2459" s="9" t="s">
        <v>76</v>
      </c>
      <c r="G2459" s="6"/>
      <c r="H2459" s="6"/>
      <c r="I2459" s="6"/>
      <c r="J2459" s="6"/>
      <c r="K2459" s="6"/>
      <c r="L2459" s="6"/>
      <c r="M2459" s="6"/>
      <c r="N2459" s="6"/>
      <c r="O2459" s="6"/>
      <c r="P2459" s="6"/>
      <c r="Q2459" s="6"/>
      <c r="R2459" s="6"/>
      <c r="S2459" s="6"/>
      <c r="T2459" s="6"/>
      <c r="U2459" s="6"/>
      <c r="V2459" s="6"/>
      <c r="W2459" s="6"/>
      <c r="X2459" s="6"/>
      <c r="Y2459" s="6"/>
      <c r="Z2459" s="6"/>
    </row>
    <row r="2460" customFormat="false" ht="15" hidden="false" customHeight="false" outlineLevel="0" collapsed="false">
      <c r="A2460" s="9" t="s">
        <v>8303</v>
      </c>
      <c r="B2460" s="9" t="s">
        <v>5870</v>
      </c>
      <c r="C2460" s="9" t="s">
        <v>2701</v>
      </c>
      <c r="D2460" s="9" t="s">
        <v>5871</v>
      </c>
      <c r="E2460" s="9" t="str">
        <f aca="false">IF(AND('Formation Ledger'!A2439&lt;&gt;"",'Formation Ledger'!V2439=0),"PASS","FAIL")</f>
        <v>PASS</v>
      </c>
      <c r="F2460" s="9" t="s">
        <v>76</v>
      </c>
      <c r="G2460" s="6"/>
      <c r="H2460" s="6"/>
      <c r="I2460" s="6"/>
      <c r="J2460" s="6"/>
      <c r="K2460" s="6"/>
      <c r="L2460" s="6"/>
      <c r="M2460" s="6"/>
      <c r="N2460" s="6"/>
      <c r="O2460" s="6"/>
      <c r="P2460" s="6"/>
      <c r="Q2460" s="6"/>
      <c r="R2460" s="6"/>
      <c r="S2460" s="6"/>
      <c r="T2460" s="6"/>
      <c r="U2460" s="6"/>
      <c r="V2460" s="6"/>
      <c r="W2460" s="6"/>
      <c r="X2460" s="6"/>
      <c r="Y2460" s="6"/>
      <c r="Z2460" s="6"/>
    </row>
    <row r="2461" customFormat="false" ht="15" hidden="false" customHeight="false" outlineLevel="0" collapsed="false">
      <c r="A2461" s="9" t="s">
        <v>8304</v>
      </c>
      <c r="B2461" s="9" t="s">
        <v>5870</v>
      </c>
      <c r="C2461" s="9" t="s">
        <v>2702</v>
      </c>
      <c r="D2461" s="9" t="s">
        <v>5871</v>
      </c>
      <c r="E2461" s="9" t="str">
        <f aca="false">IF(AND('Formation Ledger'!A2440&lt;&gt;"",'Formation Ledger'!V2440=0),"PASS","FAIL")</f>
        <v>PASS</v>
      </c>
      <c r="F2461" s="9" t="s">
        <v>76</v>
      </c>
      <c r="G2461" s="6"/>
      <c r="H2461" s="6"/>
      <c r="I2461" s="6"/>
      <c r="J2461" s="6"/>
      <c r="K2461" s="6"/>
      <c r="L2461" s="6"/>
      <c r="M2461" s="6"/>
      <c r="N2461" s="6"/>
      <c r="O2461" s="6"/>
      <c r="P2461" s="6"/>
      <c r="Q2461" s="6"/>
      <c r="R2461" s="6"/>
      <c r="S2461" s="6"/>
      <c r="T2461" s="6"/>
      <c r="U2461" s="6"/>
      <c r="V2461" s="6"/>
      <c r="W2461" s="6"/>
      <c r="X2461" s="6"/>
      <c r="Y2461" s="6"/>
      <c r="Z2461" s="6"/>
    </row>
    <row r="2462" customFormat="false" ht="15" hidden="false" customHeight="false" outlineLevel="0" collapsed="false">
      <c r="A2462" s="9" t="s">
        <v>8305</v>
      </c>
      <c r="B2462" s="9" t="s">
        <v>5870</v>
      </c>
      <c r="C2462" s="9" t="s">
        <v>2703</v>
      </c>
      <c r="D2462" s="9" t="s">
        <v>5871</v>
      </c>
      <c r="E2462" s="9" t="str">
        <f aca="false">IF(AND('Formation Ledger'!A2441&lt;&gt;"",'Formation Ledger'!V2441=0),"PASS","FAIL")</f>
        <v>PASS</v>
      </c>
      <c r="F2462" s="9" t="s">
        <v>76</v>
      </c>
      <c r="G2462" s="6"/>
      <c r="H2462" s="6"/>
      <c r="I2462" s="6"/>
      <c r="J2462" s="6"/>
      <c r="K2462" s="6"/>
      <c r="L2462" s="6"/>
      <c r="M2462" s="6"/>
      <c r="N2462" s="6"/>
      <c r="O2462" s="6"/>
      <c r="P2462" s="6"/>
      <c r="Q2462" s="6"/>
      <c r="R2462" s="6"/>
      <c r="S2462" s="6"/>
      <c r="T2462" s="6"/>
      <c r="U2462" s="6"/>
      <c r="V2462" s="6"/>
      <c r="W2462" s="6"/>
      <c r="X2462" s="6"/>
      <c r="Y2462" s="6"/>
      <c r="Z2462" s="6"/>
    </row>
    <row r="2463" customFormat="false" ht="15" hidden="false" customHeight="false" outlineLevel="0" collapsed="false">
      <c r="A2463" s="9" t="s">
        <v>8306</v>
      </c>
      <c r="B2463" s="9" t="s">
        <v>5870</v>
      </c>
      <c r="C2463" s="9" t="s">
        <v>2704</v>
      </c>
      <c r="D2463" s="9" t="s">
        <v>5871</v>
      </c>
      <c r="E2463" s="9" t="str">
        <f aca="false">IF(AND('Formation Ledger'!A2442&lt;&gt;"",'Formation Ledger'!V2442=0),"PASS","FAIL")</f>
        <v>PASS</v>
      </c>
      <c r="F2463" s="9" t="s">
        <v>76</v>
      </c>
      <c r="G2463" s="6"/>
      <c r="H2463" s="6"/>
      <c r="I2463" s="6"/>
      <c r="J2463" s="6"/>
      <c r="K2463" s="6"/>
      <c r="L2463" s="6"/>
      <c r="M2463" s="6"/>
      <c r="N2463" s="6"/>
      <c r="O2463" s="6"/>
      <c r="P2463" s="6"/>
      <c r="Q2463" s="6"/>
      <c r="R2463" s="6"/>
      <c r="S2463" s="6"/>
      <c r="T2463" s="6"/>
      <c r="U2463" s="6"/>
      <c r="V2463" s="6"/>
      <c r="W2463" s="6"/>
      <c r="X2463" s="6"/>
      <c r="Y2463" s="6"/>
      <c r="Z2463" s="6"/>
    </row>
    <row r="2464" customFormat="false" ht="15" hidden="false" customHeight="false" outlineLevel="0" collapsed="false">
      <c r="A2464" s="9" t="s">
        <v>8307</v>
      </c>
      <c r="B2464" s="9" t="s">
        <v>5870</v>
      </c>
      <c r="C2464" s="9" t="s">
        <v>2705</v>
      </c>
      <c r="D2464" s="9" t="s">
        <v>5871</v>
      </c>
      <c r="E2464" s="9" t="str">
        <f aca="false">IF(AND('Formation Ledger'!A2443&lt;&gt;"",'Formation Ledger'!V2443=0),"PASS","FAIL")</f>
        <v>PASS</v>
      </c>
      <c r="F2464" s="9" t="s">
        <v>76</v>
      </c>
      <c r="G2464" s="6"/>
      <c r="H2464" s="6"/>
      <c r="I2464" s="6"/>
      <c r="J2464" s="6"/>
      <c r="K2464" s="6"/>
      <c r="L2464" s="6"/>
      <c r="M2464" s="6"/>
      <c r="N2464" s="6"/>
      <c r="O2464" s="6"/>
      <c r="P2464" s="6"/>
      <c r="Q2464" s="6"/>
      <c r="R2464" s="6"/>
      <c r="S2464" s="6"/>
      <c r="T2464" s="6"/>
      <c r="U2464" s="6"/>
      <c r="V2464" s="6"/>
      <c r="W2464" s="6"/>
      <c r="X2464" s="6"/>
      <c r="Y2464" s="6"/>
      <c r="Z2464" s="6"/>
    </row>
    <row r="2465" customFormat="false" ht="15" hidden="false" customHeight="false" outlineLevel="0" collapsed="false">
      <c r="A2465" s="9" t="s">
        <v>8308</v>
      </c>
      <c r="B2465" s="9" t="s">
        <v>5870</v>
      </c>
      <c r="C2465" s="9" t="s">
        <v>2706</v>
      </c>
      <c r="D2465" s="9" t="s">
        <v>5871</v>
      </c>
      <c r="E2465" s="9" t="str">
        <f aca="false">IF(AND('Formation Ledger'!A2444&lt;&gt;"",'Formation Ledger'!V2444=0),"PASS","FAIL")</f>
        <v>PASS</v>
      </c>
      <c r="F2465" s="9" t="s">
        <v>76</v>
      </c>
      <c r="G2465" s="6"/>
      <c r="H2465" s="6"/>
      <c r="I2465" s="6"/>
      <c r="J2465" s="6"/>
      <c r="K2465" s="6"/>
      <c r="L2465" s="6"/>
      <c r="M2465" s="6"/>
      <c r="N2465" s="6"/>
      <c r="O2465" s="6"/>
      <c r="P2465" s="6"/>
      <c r="Q2465" s="6"/>
      <c r="R2465" s="6"/>
      <c r="S2465" s="6"/>
      <c r="T2465" s="6"/>
      <c r="U2465" s="6"/>
      <c r="V2465" s="6"/>
      <c r="W2465" s="6"/>
      <c r="X2465" s="6"/>
      <c r="Y2465" s="6"/>
      <c r="Z2465" s="6"/>
    </row>
    <row r="2466" customFormat="false" ht="15" hidden="false" customHeight="false" outlineLevel="0" collapsed="false">
      <c r="A2466" s="9" t="s">
        <v>8309</v>
      </c>
      <c r="B2466" s="9" t="s">
        <v>5870</v>
      </c>
      <c r="C2466" s="9" t="s">
        <v>2707</v>
      </c>
      <c r="D2466" s="9" t="s">
        <v>5871</v>
      </c>
      <c r="E2466" s="9" t="str">
        <f aca="false">IF(AND('Formation Ledger'!A2445&lt;&gt;"",'Formation Ledger'!V2445=0),"PASS","FAIL")</f>
        <v>PASS</v>
      </c>
      <c r="F2466" s="9" t="s">
        <v>76</v>
      </c>
      <c r="G2466" s="6"/>
      <c r="H2466" s="6"/>
      <c r="I2466" s="6"/>
      <c r="J2466" s="6"/>
      <c r="K2466" s="6"/>
      <c r="L2466" s="6"/>
      <c r="M2466" s="6"/>
      <c r="N2466" s="6"/>
      <c r="O2466" s="6"/>
      <c r="P2466" s="6"/>
      <c r="Q2466" s="6"/>
      <c r="R2466" s="6"/>
      <c r="S2466" s="6"/>
      <c r="T2466" s="6"/>
      <c r="U2466" s="6"/>
      <c r="V2466" s="6"/>
      <c r="W2466" s="6"/>
      <c r="X2466" s="6"/>
      <c r="Y2466" s="6"/>
      <c r="Z2466" s="6"/>
    </row>
    <row r="2467" customFormat="false" ht="15" hidden="false" customHeight="false" outlineLevel="0" collapsed="false">
      <c r="A2467" s="9" t="s">
        <v>8310</v>
      </c>
      <c r="B2467" s="9" t="s">
        <v>5870</v>
      </c>
      <c r="C2467" s="9" t="s">
        <v>2708</v>
      </c>
      <c r="D2467" s="9" t="s">
        <v>5871</v>
      </c>
      <c r="E2467" s="9" t="str">
        <f aca="false">IF(AND('Formation Ledger'!A2446&lt;&gt;"",'Formation Ledger'!V2446=0),"PASS","FAIL")</f>
        <v>PASS</v>
      </c>
      <c r="F2467" s="9" t="s">
        <v>76</v>
      </c>
      <c r="G2467" s="6"/>
      <c r="H2467" s="6"/>
      <c r="I2467" s="6"/>
      <c r="J2467" s="6"/>
      <c r="K2467" s="6"/>
      <c r="L2467" s="6"/>
      <c r="M2467" s="6"/>
      <c r="N2467" s="6"/>
      <c r="O2467" s="6"/>
      <c r="P2467" s="6"/>
      <c r="Q2467" s="6"/>
      <c r="R2467" s="6"/>
      <c r="S2467" s="6"/>
      <c r="T2467" s="6"/>
      <c r="U2467" s="6"/>
      <c r="V2467" s="6"/>
      <c r="W2467" s="6"/>
      <c r="X2467" s="6"/>
      <c r="Y2467" s="6"/>
      <c r="Z2467" s="6"/>
    </row>
    <row r="2468" customFormat="false" ht="15" hidden="false" customHeight="false" outlineLevel="0" collapsed="false">
      <c r="A2468" s="9" t="s">
        <v>8311</v>
      </c>
      <c r="B2468" s="9" t="s">
        <v>5870</v>
      </c>
      <c r="C2468" s="9" t="s">
        <v>2709</v>
      </c>
      <c r="D2468" s="9" t="s">
        <v>5871</v>
      </c>
      <c r="E2468" s="9" t="str">
        <f aca="false">IF(AND('Formation Ledger'!A2447&lt;&gt;"",'Formation Ledger'!V2447=0),"PASS","FAIL")</f>
        <v>PASS</v>
      </c>
      <c r="F2468" s="9" t="s">
        <v>76</v>
      </c>
      <c r="G2468" s="6"/>
      <c r="H2468" s="6"/>
      <c r="I2468" s="6"/>
      <c r="J2468" s="6"/>
      <c r="K2468" s="6"/>
      <c r="L2468" s="6"/>
      <c r="M2468" s="6"/>
      <c r="N2468" s="6"/>
      <c r="O2468" s="6"/>
      <c r="P2468" s="6"/>
      <c r="Q2468" s="6"/>
      <c r="R2468" s="6"/>
      <c r="S2468" s="6"/>
      <c r="T2468" s="6"/>
      <c r="U2468" s="6"/>
      <c r="V2468" s="6"/>
      <c r="W2468" s="6"/>
      <c r="X2468" s="6"/>
      <c r="Y2468" s="6"/>
      <c r="Z2468" s="6"/>
    </row>
    <row r="2469" customFormat="false" ht="15" hidden="false" customHeight="false" outlineLevel="0" collapsed="false">
      <c r="A2469" s="9" t="s">
        <v>8312</v>
      </c>
      <c r="B2469" s="9" t="s">
        <v>5870</v>
      </c>
      <c r="C2469" s="9" t="s">
        <v>2710</v>
      </c>
      <c r="D2469" s="9" t="s">
        <v>5871</v>
      </c>
      <c r="E2469" s="9" t="str">
        <f aca="false">IF(AND('Formation Ledger'!A2448&lt;&gt;"",'Formation Ledger'!V2448=0),"PASS","FAIL")</f>
        <v>PASS</v>
      </c>
      <c r="F2469" s="9" t="s">
        <v>76</v>
      </c>
      <c r="G2469" s="6"/>
      <c r="H2469" s="6"/>
      <c r="I2469" s="6"/>
      <c r="J2469" s="6"/>
      <c r="K2469" s="6"/>
      <c r="L2469" s="6"/>
      <c r="M2469" s="6"/>
      <c r="N2469" s="6"/>
      <c r="O2469" s="6"/>
      <c r="P2469" s="6"/>
      <c r="Q2469" s="6"/>
      <c r="R2469" s="6"/>
      <c r="S2469" s="6"/>
      <c r="T2469" s="6"/>
      <c r="U2469" s="6"/>
      <c r="V2469" s="6"/>
      <c r="W2469" s="6"/>
      <c r="X2469" s="6"/>
      <c r="Y2469" s="6"/>
      <c r="Z2469" s="6"/>
    </row>
    <row r="2470" customFormat="false" ht="15" hidden="false" customHeight="false" outlineLevel="0" collapsed="false">
      <c r="A2470" s="9" t="s">
        <v>8313</v>
      </c>
      <c r="B2470" s="9" t="s">
        <v>5870</v>
      </c>
      <c r="C2470" s="9" t="s">
        <v>2711</v>
      </c>
      <c r="D2470" s="9" t="s">
        <v>5871</v>
      </c>
      <c r="E2470" s="9" t="str">
        <f aca="false">IF(AND('Formation Ledger'!A2449&lt;&gt;"",'Formation Ledger'!V2449=0),"PASS","FAIL")</f>
        <v>PASS</v>
      </c>
      <c r="F2470" s="9" t="s">
        <v>76</v>
      </c>
      <c r="G2470" s="6"/>
      <c r="H2470" s="6"/>
      <c r="I2470" s="6"/>
      <c r="J2470" s="6"/>
      <c r="K2470" s="6"/>
      <c r="L2470" s="6"/>
      <c r="M2470" s="6"/>
      <c r="N2470" s="6"/>
      <c r="O2470" s="6"/>
      <c r="P2470" s="6"/>
      <c r="Q2470" s="6"/>
      <c r="R2470" s="6"/>
      <c r="S2470" s="6"/>
      <c r="T2470" s="6"/>
      <c r="U2470" s="6"/>
      <c r="V2470" s="6"/>
      <c r="W2470" s="6"/>
      <c r="X2470" s="6"/>
      <c r="Y2470" s="6"/>
      <c r="Z2470" s="6"/>
    </row>
    <row r="2471" customFormat="false" ht="15" hidden="false" customHeight="false" outlineLevel="0" collapsed="false">
      <c r="A2471" s="9" t="s">
        <v>8314</v>
      </c>
      <c r="B2471" s="9" t="s">
        <v>5870</v>
      </c>
      <c r="C2471" s="9" t="s">
        <v>2712</v>
      </c>
      <c r="D2471" s="9" t="s">
        <v>5871</v>
      </c>
      <c r="E2471" s="9" t="str">
        <f aca="false">IF(AND('Formation Ledger'!A2450&lt;&gt;"",'Formation Ledger'!V2450=0),"PASS","FAIL")</f>
        <v>PASS</v>
      </c>
      <c r="F2471" s="9" t="s">
        <v>76</v>
      </c>
      <c r="G2471" s="6"/>
      <c r="H2471" s="6"/>
      <c r="I2471" s="6"/>
      <c r="J2471" s="6"/>
      <c r="K2471" s="6"/>
      <c r="L2471" s="6"/>
      <c r="M2471" s="6"/>
      <c r="N2471" s="6"/>
      <c r="O2471" s="6"/>
      <c r="P2471" s="6"/>
      <c r="Q2471" s="6"/>
      <c r="R2471" s="6"/>
      <c r="S2471" s="6"/>
      <c r="T2471" s="6"/>
      <c r="U2471" s="6"/>
      <c r="V2471" s="6"/>
      <c r="W2471" s="6"/>
      <c r="X2471" s="6"/>
      <c r="Y2471" s="6"/>
      <c r="Z2471" s="6"/>
    </row>
    <row r="2472" customFormat="false" ht="15" hidden="false" customHeight="false" outlineLevel="0" collapsed="false">
      <c r="A2472" s="9" t="s">
        <v>8315</v>
      </c>
      <c r="B2472" s="9" t="s">
        <v>5870</v>
      </c>
      <c r="C2472" s="9" t="s">
        <v>2713</v>
      </c>
      <c r="D2472" s="9" t="s">
        <v>5871</v>
      </c>
      <c r="E2472" s="9" t="str">
        <f aca="false">IF(AND('Formation Ledger'!A2451&lt;&gt;"",'Formation Ledger'!V2451=0),"PASS","FAIL")</f>
        <v>PASS</v>
      </c>
      <c r="F2472" s="9" t="s">
        <v>76</v>
      </c>
      <c r="G2472" s="6"/>
      <c r="H2472" s="6"/>
      <c r="I2472" s="6"/>
      <c r="J2472" s="6"/>
      <c r="K2472" s="6"/>
      <c r="L2472" s="6"/>
      <c r="M2472" s="6"/>
      <c r="N2472" s="6"/>
      <c r="O2472" s="6"/>
      <c r="P2472" s="6"/>
      <c r="Q2472" s="6"/>
      <c r="R2472" s="6"/>
      <c r="S2472" s="6"/>
      <c r="T2472" s="6"/>
      <c r="U2472" s="6"/>
      <c r="V2472" s="6"/>
      <c r="W2472" s="6"/>
      <c r="X2472" s="6"/>
      <c r="Y2472" s="6"/>
      <c r="Z2472" s="6"/>
    </row>
    <row r="2473" customFormat="false" ht="15" hidden="false" customHeight="false" outlineLevel="0" collapsed="false">
      <c r="A2473" s="9" t="s">
        <v>8316</v>
      </c>
      <c r="B2473" s="9" t="s">
        <v>5870</v>
      </c>
      <c r="C2473" s="9" t="s">
        <v>2714</v>
      </c>
      <c r="D2473" s="9" t="s">
        <v>5871</v>
      </c>
      <c r="E2473" s="9" t="str">
        <f aca="false">IF(AND('Formation Ledger'!A2452&lt;&gt;"",'Formation Ledger'!V2452=0),"PASS","FAIL")</f>
        <v>PASS</v>
      </c>
      <c r="F2473" s="9" t="s">
        <v>76</v>
      </c>
      <c r="G2473" s="6"/>
      <c r="H2473" s="6"/>
      <c r="I2473" s="6"/>
      <c r="J2473" s="6"/>
      <c r="K2473" s="6"/>
      <c r="L2473" s="6"/>
      <c r="M2473" s="6"/>
      <c r="N2473" s="6"/>
      <c r="O2473" s="6"/>
      <c r="P2473" s="6"/>
      <c r="Q2473" s="6"/>
      <c r="R2473" s="6"/>
      <c r="S2473" s="6"/>
      <c r="T2473" s="6"/>
      <c r="U2473" s="6"/>
      <c r="V2473" s="6"/>
      <c r="W2473" s="6"/>
      <c r="X2473" s="6"/>
      <c r="Y2473" s="6"/>
      <c r="Z2473" s="6"/>
    </row>
    <row r="2474" customFormat="false" ht="15" hidden="false" customHeight="false" outlineLevel="0" collapsed="false">
      <c r="A2474" s="9" t="s">
        <v>8317</v>
      </c>
      <c r="B2474" s="9" t="s">
        <v>5870</v>
      </c>
      <c r="C2474" s="9" t="s">
        <v>2715</v>
      </c>
      <c r="D2474" s="9" t="s">
        <v>5871</v>
      </c>
      <c r="E2474" s="9" t="str">
        <f aca="false">IF(AND('Formation Ledger'!A2453&lt;&gt;"",'Formation Ledger'!V2453=0),"PASS","FAIL")</f>
        <v>PASS</v>
      </c>
      <c r="F2474" s="9" t="s">
        <v>76</v>
      </c>
      <c r="G2474" s="6"/>
      <c r="H2474" s="6"/>
      <c r="I2474" s="6"/>
      <c r="J2474" s="6"/>
      <c r="K2474" s="6"/>
      <c r="L2474" s="6"/>
      <c r="M2474" s="6"/>
      <c r="N2474" s="6"/>
      <c r="O2474" s="6"/>
      <c r="P2474" s="6"/>
      <c r="Q2474" s="6"/>
      <c r="R2474" s="6"/>
      <c r="S2474" s="6"/>
      <c r="T2474" s="6"/>
      <c r="U2474" s="6"/>
      <c r="V2474" s="6"/>
      <c r="W2474" s="6"/>
      <c r="X2474" s="6"/>
      <c r="Y2474" s="6"/>
      <c r="Z2474" s="6"/>
    </row>
    <row r="2475" customFormat="false" ht="15" hidden="false" customHeight="false" outlineLevel="0" collapsed="false">
      <c r="A2475" s="9" t="s">
        <v>8318</v>
      </c>
      <c r="B2475" s="9" t="s">
        <v>5870</v>
      </c>
      <c r="C2475" s="9" t="s">
        <v>2716</v>
      </c>
      <c r="D2475" s="9" t="s">
        <v>5871</v>
      </c>
      <c r="E2475" s="9" t="str">
        <f aca="false">IF(AND('Formation Ledger'!A2454&lt;&gt;"",'Formation Ledger'!V2454=0),"PASS","FAIL")</f>
        <v>PASS</v>
      </c>
      <c r="F2475" s="9" t="s">
        <v>76</v>
      </c>
      <c r="G2475" s="6"/>
      <c r="H2475" s="6"/>
      <c r="I2475" s="6"/>
      <c r="J2475" s="6"/>
      <c r="K2475" s="6"/>
      <c r="L2475" s="6"/>
      <c r="M2475" s="6"/>
      <c r="N2475" s="6"/>
      <c r="O2475" s="6"/>
      <c r="P2475" s="6"/>
      <c r="Q2475" s="6"/>
      <c r="R2475" s="6"/>
      <c r="S2475" s="6"/>
      <c r="T2475" s="6"/>
      <c r="U2475" s="6"/>
      <c r="V2475" s="6"/>
      <c r="W2475" s="6"/>
      <c r="X2475" s="6"/>
      <c r="Y2475" s="6"/>
      <c r="Z2475" s="6"/>
    </row>
    <row r="2476" customFormat="false" ht="15" hidden="false" customHeight="false" outlineLevel="0" collapsed="false">
      <c r="A2476" s="9" t="s">
        <v>8319</v>
      </c>
      <c r="B2476" s="9" t="s">
        <v>5870</v>
      </c>
      <c r="C2476" s="9" t="s">
        <v>2717</v>
      </c>
      <c r="D2476" s="9" t="s">
        <v>5871</v>
      </c>
      <c r="E2476" s="9" t="str">
        <f aca="false">IF(AND('Formation Ledger'!A2455&lt;&gt;"",'Formation Ledger'!V2455=0),"PASS","FAIL")</f>
        <v>PASS</v>
      </c>
      <c r="F2476" s="9" t="s">
        <v>76</v>
      </c>
      <c r="G2476" s="6"/>
      <c r="H2476" s="6"/>
      <c r="I2476" s="6"/>
      <c r="J2476" s="6"/>
      <c r="K2476" s="6"/>
      <c r="L2476" s="6"/>
      <c r="M2476" s="6"/>
      <c r="N2476" s="6"/>
      <c r="O2476" s="6"/>
      <c r="P2476" s="6"/>
      <c r="Q2476" s="6"/>
      <c r="R2476" s="6"/>
      <c r="S2476" s="6"/>
      <c r="T2476" s="6"/>
      <c r="U2476" s="6"/>
      <c r="V2476" s="6"/>
      <c r="W2476" s="6"/>
      <c r="X2476" s="6"/>
      <c r="Y2476" s="6"/>
      <c r="Z2476" s="6"/>
    </row>
    <row r="2477" customFormat="false" ht="15" hidden="false" customHeight="false" outlineLevel="0" collapsed="false">
      <c r="A2477" s="9" t="s">
        <v>8320</v>
      </c>
      <c r="B2477" s="9" t="s">
        <v>5870</v>
      </c>
      <c r="C2477" s="9" t="s">
        <v>2718</v>
      </c>
      <c r="D2477" s="9" t="s">
        <v>5871</v>
      </c>
      <c r="E2477" s="9" t="str">
        <f aca="false">IF(AND('Formation Ledger'!A2456&lt;&gt;"",'Formation Ledger'!V2456=0),"PASS","FAIL")</f>
        <v>PASS</v>
      </c>
      <c r="F2477" s="9" t="s">
        <v>76</v>
      </c>
      <c r="G2477" s="6"/>
      <c r="H2477" s="6"/>
      <c r="I2477" s="6"/>
      <c r="J2477" s="6"/>
      <c r="K2477" s="6"/>
      <c r="L2477" s="6"/>
      <c r="M2477" s="6"/>
      <c r="N2477" s="6"/>
      <c r="O2477" s="6"/>
      <c r="P2477" s="6"/>
      <c r="Q2477" s="6"/>
      <c r="R2477" s="6"/>
      <c r="S2477" s="6"/>
      <c r="T2477" s="6"/>
      <c r="U2477" s="6"/>
      <c r="V2477" s="6"/>
      <c r="W2477" s="6"/>
      <c r="X2477" s="6"/>
      <c r="Y2477" s="6"/>
      <c r="Z2477" s="6"/>
    </row>
    <row r="2478" customFormat="false" ht="15" hidden="false" customHeight="false" outlineLevel="0" collapsed="false">
      <c r="A2478" s="9" t="s">
        <v>8321</v>
      </c>
      <c r="B2478" s="9" t="s">
        <v>5870</v>
      </c>
      <c r="C2478" s="9" t="s">
        <v>2719</v>
      </c>
      <c r="D2478" s="9" t="s">
        <v>5871</v>
      </c>
      <c r="E2478" s="9" t="str">
        <f aca="false">IF(AND('Formation Ledger'!A2457&lt;&gt;"",'Formation Ledger'!V2457=0),"PASS","FAIL")</f>
        <v>PASS</v>
      </c>
      <c r="F2478" s="9" t="s">
        <v>76</v>
      </c>
      <c r="G2478" s="6"/>
      <c r="H2478" s="6"/>
      <c r="I2478" s="6"/>
      <c r="J2478" s="6"/>
      <c r="K2478" s="6"/>
      <c r="L2478" s="6"/>
      <c r="M2478" s="6"/>
      <c r="N2478" s="6"/>
      <c r="O2478" s="6"/>
      <c r="P2478" s="6"/>
      <c r="Q2478" s="6"/>
      <c r="R2478" s="6"/>
      <c r="S2478" s="6"/>
      <c r="T2478" s="6"/>
      <c r="U2478" s="6"/>
      <c r="V2478" s="6"/>
      <c r="W2478" s="6"/>
      <c r="X2478" s="6"/>
      <c r="Y2478" s="6"/>
      <c r="Z2478" s="6"/>
    </row>
    <row r="2479" customFormat="false" ht="15" hidden="false" customHeight="false" outlineLevel="0" collapsed="false">
      <c r="A2479" s="9" t="s">
        <v>8322</v>
      </c>
      <c r="B2479" s="9" t="s">
        <v>5870</v>
      </c>
      <c r="C2479" s="9" t="s">
        <v>2720</v>
      </c>
      <c r="D2479" s="9" t="s">
        <v>5871</v>
      </c>
      <c r="E2479" s="9" t="str">
        <f aca="false">IF(AND('Formation Ledger'!A2458&lt;&gt;"",'Formation Ledger'!V2458=0),"PASS","FAIL")</f>
        <v>PASS</v>
      </c>
      <c r="F2479" s="9" t="s">
        <v>76</v>
      </c>
      <c r="G2479" s="6"/>
      <c r="H2479" s="6"/>
      <c r="I2479" s="6"/>
      <c r="J2479" s="6"/>
      <c r="K2479" s="6"/>
      <c r="L2479" s="6"/>
      <c r="M2479" s="6"/>
      <c r="N2479" s="6"/>
      <c r="O2479" s="6"/>
      <c r="P2479" s="6"/>
      <c r="Q2479" s="6"/>
      <c r="R2479" s="6"/>
      <c r="S2479" s="6"/>
      <c r="T2479" s="6"/>
      <c r="U2479" s="6"/>
      <c r="V2479" s="6"/>
      <c r="W2479" s="6"/>
      <c r="X2479" s="6"/>
      <c r="Y2479" s="6"/>
      <c r="Z2479" s="6"/>
    </row>
    <row r="2480" customFormat="false" ht="15" hidden="false" customHeight="false" outlineLevel="0" collapsed="false">
      <c r="A2480" s="9" t="s">
        <v>8323</v>
      </c>
      <c r="B2480" s="9" t="s">
        <v>5870</v>
      </c>
      <c r="C2480" s="9" t="s">
        <v>2721</v>
      </c>
      <c r="D2480" s="9" t="s">
        <v>5871</v>
      </c>
      <c r="E2480" s="9" t="str">
        <f aca="false">IF(AND('Formation Ledger'!A2459&lt;&gt;"",'Formation Ledger'!V2459=0),"PASS","FAIL")</f>
        <v>PASS</v>
      </c>
      <c r="F2480" s="9" t="s">
        <v>76</v>
      </c>
      <c r="G2480" s="6"/>
      <c r="H2480" s="6"/>
      <c r="I2480" s="6"/>
      <c r="J2480" s="6"/>
      <c r="K2480" s="6"/>
      <c r="L2480" s="6"/>
      <c r="M2480" s="6"/>
      <c r="N2480" s="6"/>
      <c r="O2480" s="6"/>
      <c r="P2480" s="6"/>
      <c r="Q2480" s="6"/>
      <c r="R2480" s="6"/>
      <c r="S2480" s="6"/>
      <c r="T2480" s="6"/>
      <c r="U2480" s="6"/>
      <c r="V2480" s="6"/>
      <c r="W2480" s="6"/>
      <c r="X2480" s="6"/>
      <c r="Y2480" s="6"/>
      <c r="Z2480" s="6"/>
    </row>
    <row r="2481" customFormat="false" ht="15" hidden="false" customHeight="false" outlineLevel="0" collapsed="false">
      <c r="A2481" s="9" t="s">
        <v>8324</v>
      </c>
      <c r="B2481" s="9" t="s">
        <v>5870</v>
      </c>
      <c r="C2481" s="9" t="s">
        <v>2722</v>
      </c>
      <c r="D2481" s="9" t="s">
        <v>5871</v>
      </c>
      <c r="E2481" s="9" t="str">
        <f aca="false">IF(AND('Formation Ledger'!A2460&lt;&gt;"",'Formation Ledger'!V2460=0),"PASS","FAIL")</f>
        <v>PASS</v>
      </c>
      <c r="F2481" s="9" t="s">
        <v>76</v>
      </c>
      <c r="G2481" s="6"/>
      <c r="H2481" s="6"/>
      <c r="I2481" s="6"/>
      <c r="J2481" s="6"/>
      <c r="K2481" s="6"/>
      <c r="L2481" s="6"/>
      <c r="M2481" s="6"/>
      <c r="N2481" s="6"/>
      <c r="O2481" s="6"/>
      <c r="P2481" s="6"/>
      <c r="Q2481" s="6"/>
      <c r="R2481" s="6"/>
      <c r="S2481" s="6"/>
      <c r="T2481" s="6"/>
      <c r="U2481" s="6"/>
      <c r="V2481" s="6"/>
      <c r="W2481" s="6"/>
      <c r="X2481" s="6"/>
      <c r="Y2481" s="6"/>
      <c r="Z2481" s="6"/>
    </row>
    <row r="2482" customFormat="false" ht="15" hidden="false" customHeight="false" outlineLevel="0" collapsed="false">
      <c r="A2482" s="9" t="s">
        <v>8325</v>
      </c>
      <c r="B2482" s="9" t="s">
        <v>5870</v>
      </c>
      <c r="C2482" s="9" t="s">
        <v>2723</v>
      </c>
      <c r="D2482" s="9" t="s">
        <v>5871</v>
      </c>
      <c r="E2482" s="9" t="str">
        <f aca="false">IF(AND('Formation Ledger'!A2461&lt;&gt;"",'Formation Ledger'!V2461=0),"PASS","FAIL")</f>
        <v>PASS</v>
      </c>
      <c r="F2482" s="9" t="s">
        <v>76</v>
      </c>
      <c r="G2482" s="6"/>
      <c r="H2482" s="6"/>
      <c r="I2482" s="6"/>
      <c r="J2482" s="6"/>
      <c r="K2482" s="6"/>
      <c r="L2482" s="6"/>
      <c r="M2482" s="6"/>
      <c r="N2482" s="6"/>
      <c r="O2482" s="6"/>
      <c r="P2482" s="6"/>
      <c r="Q2482" s="6"/>
      <c r="R2482" s="6"/>
      <c r="S2482" s="6"/>
      <c r="T2482" s="6"/>
      <c r="U2482" s="6"/>
      <c r="V2482" s="6"/>
      <c r="W2482" s="6"/>
      <c r="X2482" s="6"/>
      <c r="Y2482" s="6"/>
      <c r="Z2482" s="6"/>
    </row>
    <row r="2483" customFormat="false" ht="15" hidden="false" customHeight="false" outlineLevel="0" collapsed="false">
      <c r="A2483" s="9" t="s">
        <v>8326</v>
      </c>
      <c r="B2483" s="9" t="s">
        <v>5870</v>
      </c>
      <c r="C2483" s="9" t="s">
        <v>2724</v>
      </c>
      <c r="D2483" s="9" t="s">
        <v>5871</v>
      </c>
      <c r="E2483" s="9" t="str">
        <f aca="false">IF(AND('Formation Ledger'!A2462&lt;&gt;"",'Formation Ledger'!V2462=0),"PASS","FAIL")</f>
        <v>PASS</v>
      </c>
      <c r="F2483" s="9" t="s">
        <v>76</v>
      </c>
      <c r="G2483" s="6"/>
      <c r="H2483" s="6"/>
      <c r="I2483" s="6"/>
      <c r="J2483" s="6"/>
      <c r="K2483" s="6"/>
      <c r="L2483" s="6"/>
      <c r="M2483" s="6"/>
      <c r="N2483" s="6"/>
      <c r="O2483" s="6"/>
      <c r="P2483" s="6"/>
      <c r="Q2483" s="6"/>
      <c r="R2483" s="6"/>
      <c r="S2483" s="6"/>
      <c r="T2483" s="6"/>
      <c r="U2483" s="6"/>
      <c r="V2483" s="6"/>
      <c r="W2483" s="6"/>
      <c r="X2483" s="6"/>
      <c r="Y2483" s="6"/>
      <c r="Z2483" s="6"/>
    </row>
    <row r="2484" customFormat="false" ht="15" hidden="false" customHeight="false" outlineLevel="0" collapsed="false">
      <c r="A2484" s="9" t="s">
        <v>8327</v>
      </c>
      <c r="B2484" s="9" t="s">
        <v>5870</v>
      </c>
      <c r="C2484" s="9" t="s">
        <v>2725</v>
      </c>
      <c r="D2484" s="9" t="s">
        <v>5871</v>
      </c>
      <c r="E2484" s="9" t="str">
        <f aca="false">IF(AND('Formation Ledger'!A2463&lt;&gt;"",'Formation Ledger'!V2463=0),"PASS","FAIL")</f>
        <v>PASS</v>
      </c>
      <c r="F2484" s="9" t="s">
        <v>76</v>
      </c>
      <c r="G2484" s="6"/>
      <c r="H2484" s="6"/>
      <c r="I2484" s="6"/>
      <c r="J2484" s="6"/>
      <c r="K2484" s="6"/>
      <c r="L2484" s="6"/>
      <c r="M2484" s="6"/>
      <c r="N2484" s="6"/>
      <c r="O2484" s="6"/>
      <c r="P2484" s="6"/>
      <c r="Q2484" s="6"/>
      <c r="R2484" s="6"/>
      <c r="S2484" s="6"/>
      <c r="T2484" s="6"/>
      <c r="U2484" s="6"/>
      <c r="V2484" s="6"/>
      <c r="W2484" s="6"/>
      <c r="X2484" s="6"/>
      <c r="Y2484" s="6"/>
      <c r="Z2484" s="6"/>
    </row>
    <row r="2485" customFormat="false" ht="15" hidden="false" customHeight="false" outlineLevel="0" collapsed="false">
      <c r="A2485" s="9" t="s">
        <v>8328</v>
      </c>
      <c r="B2485" s="9" t="s">
        <v>5870</v>
      </c>
      <c r="C2485" s="9" t="s">
        <v>2726</v>
      </c>
      <c r="D2485" s="9" t="s">
        <v>5871</v>
      </c>
      <c r="E2485" s="9" t="str">
        <f aca="false">IF(AND('Formation Ledger'!A2464&lt;&gt;"",'Formation Ledger'!V2464=0),"PASS","FAIL")</f>
        <v>PASS</v>
      </c>
      <c r="F2485" s="9" t="s">
        <v>76</v>
      </c>
      <c r="G2485" s="6"/>
      <c r="H2485" s="6"/>
      <c r="I2485" s="6"/>
      <c r="J2485" s="6"/>
      <c r="K2485" s="6"/>
      <c r="L2485" s="6"/>
      <c r="M2485" s="6"/>
      <c r="N2485" s="6"/>
      <c r="O2485" s="6"/>
      <c r="P2485" s="6"/>
      <c r="Q2485" s="6"/>
      <c r="R2485" s="6"/>
      <c r="S2485" s="6"/>
      <c r="T2485" s="6"/>
      <c r="U2485" s="6"/>
      <c r="V2485" s="6"/>
      <c r="W2485" s="6"/>
      <c r="X2485" s="6"/>
      <c r="Y2485" s="6"/>
      <c r="Z2485" s="6"/>
    </row>
    <row r="2486" customFormat="false" ht="15" hidden="false" customHeight="false" outlineLevel="0" collapsed="false">
      <c r="A2486" s="9" t="s">
        <v>8329</v>
      </c>
      <c r="B2486" s="9" t="s">
        <v>5870</v>
      </c>
      <c r="C2486" s="9" t="s">
        <v>2727</v>
      </c>
      <c r="D2486" s="9" t="s">
        <v>5871</v>
      </c>
      <c r="E2486" s="9" t="str">
        <f aca="false">IF(AND('Formation Ledger'!A2465&lt;&gt;"",'Formation Ledger'!V2465=0),"PASS","FAIL")</f>
        <v>PASS</v>
      </c>
      <c r="F2486" s="9" t="s">
        <v>76</v>
      </c>
      <c r="G2486" s="6"/>
      <c r="H2486" s="6"/>
      <c r="I2486" s="6"/>
      <c r="J2486" s="6"/>
      <c r="K2486" s="6"/>
      <c r="L2486" s="6"/>
      <c r="M2486" s="6"/>
      <c r="N2486" s="6"/>
      <c r="O2486" s="6"/>
      <c r="P2486" s="6"/>
      <c r="Q2486" s="6"/>
      <c r="R2486" s="6"/>
      <c r="S2486" s="6"/>
      <c r="T2486" s="6"/>
      <c r="U2486" s="6"/>
      <c r="V2486" s="6"/>
      <c r="W2486" s="6"/>
      <c r="X2486" s="6"/>
      <c r="Y2486" s="6"/>
      <c r="Z2486" s="6"/>
    </row>
    <row r="2487" customFormat="false" ht="15" hidden="false" customHeight="false" outlineLevel="0" collapsed="false">
      <c r="A2487" s="9" t="s">
        <v>8330</v>
      </c>
      <c r="B2487" s="9" t="s">
        <v>5870</v>
      </c>
      <c r="C2487" s="9" t="s">
        <v>2728</v>
      </c>
      <c r="D2487" s="9" t="s">
        <v>5871</v>
      </c>
      <c r="E2487" s="9" t="str">
        <f aca="false">IF(AND('Formation Ledger'!A2466&lt;&gt;"",'Formation Ledger'!V2466=0),"PASS","FAIL")</f>
        <v>PASS</v>
      </c>
      <c r="F2487" s="9" t="s">
        <v>76</v>
      </c>
      <c r="G2487" s="6"/>
      <c r="H2487" s="6"/>
      <c r="I2487" s="6"/>
      <c r="J2487" s="6"/>
      <c r="K2487" s="6"/>
      <c r="L2487" s="6"/>
      <c r="M2487" s="6"/>
      <c r="N2487" s="6"/>
      <c r="O2487" s="6"/>
      <c r="P2487" s="6"/>
      <c r="Q2487" s="6"/>
      <c r="R2487" s="6"/>
      <c r="S2487" s="6"/>
      <c r="T2487" s="6"/>
      <c r="U2487" s="6"/>
      <c r="V2487" s="6"/>
      <c r="W2487" s="6"/>
      <c r="X2487" s="6"/>
      <c r="Y2487" s="6"/>
      <c r="Z2487" s="6"/>
    </row>
    <row r="2488" customFormat="false" ht="15" hidden="false" customHeight="false" outlineLevel="0" collapsed="false">
      <c r="A2488" s="9" t="s">
        <v>8331</v>
      </c>
      <c r="B2488" s="9" t="s">
        <v>5870</v>
      </c>
      <c r="C2488" s="9" t="s">
        <v>2729</v>
      </c>
      <c r="D2488" s="9" t="s">
        <v>5871</v>
      </c>
      <c r="E2488" s="9" t="str">
        <f aca="false">IF(AND('Formation Ledger'!A2467&lt;&gt;"",'Formation Ledger'!V2467=0),"PASS","FAIL")</f>
        <v>PASS</v>
      </c>
      <c r="F2488" s="9" t="s">
        <v>76</v>
      </c>
      <c r="G2488" s="6"/>
      <c r="H2488" s="6"/>
      <c r="I2488" s="6"/>
      <c r="J2488" s="6"/>
      <c r="K2488" s="6"/>
      <c r="L2488" s="6"/>
      <c r="M2488" s="6"/>
      <c r="N2488" s="6"/>
      <c r="O2488" s="6"/>
      <c r="P2488" s="6"/>
      <c r="Q2488" s="6"/>
      <c r="R2488" s="6"/>
      <c r="S2488" s="6"/>
      <c r="T2488" s="6"/>
      <c r="U2488" s="6"/>
      <c r="V2488" s="6"/>
      <c r="W2488" s="6"/>
      <c r="X2488" s="6"/>
      <c r="Y2488" s="6"/>
      <c r="Z2488" s="6"/>
    </row>
    <row r="2489" customFormat="false" ht="15" hidden="false" customHeight="false" outlineLevel="0" collapsed="false">
      <c r="A2489" s="9" t="s">
        <v>8332</v>
      </c>
      <c r="B2489" s="9" t="s">
        <v>5870</v>
      </c>
      <c r="C2489" s="9" t="s">
        <v>2730</v>
      </c>
      <c r="D2489" s="9" t="s">
        <v>5871</v>
      </c>
      <c r="E2489" s="9" t="str">
        <f aca="false">IF(AND('Formation Ledger'!A2468&lt;&gt;"",'Formation Ledger'!V2468=0),"PASS","FAIL")</f>
        <v>PASS</v>
      </c>
      <c r="F2489" s="9" t="s">
        <v>76</v>
      </c>
      <c r="G2489" s="6"/>
      <c r="H2489" s="6"/>
      <c r="I2489" s="6"/>
      <c r="J2489" s="6"/>
      <c r="K2489" s="6"/>
      <c r="L2489" s="6"/>
      <c r="M2489" s="6"/>
      <c r="N2489" s="6"/>
      <c r="O2489" s="6"/>
      <c r="P2489" s="6"/>
      <c r="Q2489" s="6"/>
      <c r="R2489" s="6"/>
      <c r="S2489" s="6"/>
      <c r="T2489" s="6"/>
      <c r="U2489" s="6"/>
      <c r="V2489" s="6"/>
      <c r="W2489" s="6"/>
      <c r="X2489" s="6"/>
      <c r="Y2489" s="6"/>
      <c r="Z2489" s="6"/>
    </row>
    <row r="2490" customFormat="false" ht="15" hidden="false" customHeight="false" outlineLevel="0" collapsed="false">
      <c r="A2490" s="9" t="s">
        <v>8333</v>
      </c>
      <c r="B2490" s="9" t="s">
        <v>5870</v>
      </c>
      <c r="C2490" s="9" t="s">
        <v>2731</v>
      </c>
      <c r="D2490" s="9" t="s">
        <v>5871</v>
      </c>
      <c r="E2490" s="9" t="str">
        <f aca="false">IF(AND('Formation Ledger'!A2469&lt;&gt;"",'Formation Ledger'!V2469=0),"PASS","FAIL")</f>
        <v>PASS</v>
      </c>
      <c r="F2490" s="9" t="s">
        <v>76</v>
      </c>
      <c r="G2490" s="6"/>
      <c r="H2490" s="6"/>
      <c r="I2490" s="6"/>
      <c r="J2490" s="6"/>
      <c r="K2490" s="6"/>
      <c r="L2490" s="6"/>
      <c r="M2490" s="6"/>
      <c r="N2490" s="6"/>
      <c r="O2490" s="6"/>
      <c r="P2490" s="6"/>
      <c r="Q2490" s="6"/>
      <c r="R2490" s="6"/>
      <c r="S2490" s="6"/>
      <c r="T2490" s="6"/>
      <c r="U2490" s="6"/>
      <c r="V2490" s="6"/>
      <c r="W2490" s="6"/>
      <c r="X2490" s="6"/>
      <c r="Y2490" s="6"/>
      <c r="Z2490" s="6"/>
    </row>
    <row r="2491" customFormat="false" ht="15" hidden="false" customHeight="false" outlineLevel="0" collapsed="false">
      <c r="A2491" s="9" t="s">
        <v>8334</v>
      </c>
      <c r="B2491" s="9" t="s">
        <v>5870</v>
      </c>
      <c r="C2491" s="9" t="s">
        <v>2732</v>
      </c>
      <c r="D2491" s="9" t="s">
        <v>5871</v>
      </c>
      <c r="E2491" s="9" t="str">
        <f aca="false">IF(AND('Formation Ledger'!A2470&lt;&gt;"",'Formation Ledger'!V2470=0),"PASS","FAIL")</f>
        <v>PASS</v>
      </c>
      <c r="F2491" s="9" t="s">
        <v>76</v>
      </c>
      <c r="G2491" s="6"/>
      <c r="H2491" s="6"/>
      <c r="I2491" s="6"/>
      <c r="J2491" s="6"/>
      <c r="K2491" s="6"/>
      <c r="L2491" s="6"/>
      <c r="M2491" s="6"/>
      <c r="N2491" s="6"/>
      <c r="O2491" s="6"/>
      <c r="P2491" s="6"/>
      <c r="Q2491" s="6"/>
      <c r="R2491" s="6"/>
      <c r="S2491" s="6"/>
      <c r="T2491" s="6"/>
      <c r="U2491" s="6"/>
      <c r="V2491" s="6"/>
      <c r="W2491" s="6"/>
      <c r="X2491" s="6"/>
      <c r="Y2491" s="6"/>
      <c r="Z2491" s="6"/>
    </row>
    <row r="2492" customFormat="false" ht="15" hidden="false" customHeight="false" outlineLevel="0" collapsed="false">
      <c r="A2492" s="9" t="s">
        <v>8335</v>
      </c>
      <c r="B2492" s="9" t="s">
        <v>5870</v>
      </c>
      <c r="C2492" s="9" t="s">
        <v>2733</v>
      </c>
      <c r="D2492" s="9" t="s">
        <v>5871</v>
      </c>
      <c r="E2492" s="9" t="str">
        <f aca="false">IF(AND('Formation Ledger'!A2471&lt;&gt;"",'Formation Ledger'!V2471=0),"PASS","FAIL")</f>
        <v>PASS</v>
      </c>
      <c r="F2492" s="9" t="s">
        <v>76</v>
      </c>
      <c r="G2492" s="6"/>
      <c r="H2492" s="6"/>
      <c r="I2492" s="6"/>
      <c r="J2492" s="6"/>
      <c r="K2492" s="6"/>
      <c r="L2492" s="6"/>
      <c r="M2492" s="6"/>
      <c r="N2492" s="6"/>
      <c r="O2492" s="6"/>
      <c r="P2492" s="6"/>
      <c r="Q2492" s="6"/>
      <c r="R2492" s="6"/>
      <c r="S2492" s="6"/>
      <c r="T2492" s="6"/>
      <c r="U2492" s="6"/>
      <c r="V2492" s="6"/>
      <c r="W2492" s="6"/>
      <c r="X2492" s="6"/>
      <c r="Y2492" s="6"/>
      <c r="Z2492" s="6"/>
    </row>
    <row r="2493" customFormat="false" ht="15" hidden="false" customHeight="false" outlineLevel="0" collapsed="false">
      <c r="A2493" s="9" t="s">
        <v>8336</v>
      </c>
      <c r="B2493" s="9" t="s">
        <v>5870</v>
      </c>
      <c r="C2493" s="9" t="s">
        <v>2734</v>
      </c>
      <c r="D2493" s="9" t="s">
        <v>5871</v>
      </c>
      <c r="E2493" s="9" t="str">
        <f aca="false">IF(AND('Formation Ledger'!A2472&lt;&gt;"",'Formation Ledger'!V2472=0),"PASS","FAIL")</f>
        <v>PASS</v>
      </c>
      <c r="F2493" s="9" t="s">
        <v>76</v>
      </c>
      <c r="G2493" s="6"/>
      <c r="H2493" s="6"/>
      <c r="I2493" s="6"/>
      <c r="J2493" s="6"/>
      <c r="K2493" s="6"/>
      <c r="L2493" s="6"/>
      <c r="M2493" s="6"/>
      <c r="N2493" s="6"/>
      <c r="O2493" s="6"/>
      <c r="P2493" s="6"/>
      <c r="Q2493" s="6"/>
      <c r="R2493" s="6"/>
      <c r="S2493" s="6"/>
      <c r="T2493" s="6"/>
      <c r="U2493" s="6"/>
      <c r="V2493" s="6"/>
      <c r="W2493" s="6"/>
      <c r="X2493" s="6"/>
      <c r="Y2493" s="6"/>
      <c r="Z2493" s="6"/>
    </row>
    <row r="2494" customFormat="false" ht="15" hidden="false" customHeight="false" outlineLevel="0" collapsed="false">
      <c r="A2494" s="9" t="s">
        <v>8337</v>
      </c>
      <c r="B2494" s="9" t="s">
        <v>5870</v>
      </c>
      <c r="C2494" s="9" t="s">
        <v>2735</v>
      </c>
      <c r="D2494" s="9" t="s">
        <v>5871</v>
      </c>
      <c r="E2494" s="9" t="str">
        <f aca="false">IF(AND('Formation Ledger'!A2473&lt;&gt;"",'Formation Ledger'!V2473=0),"PASS","FAIL")</f>
        <v>PASS</v>
      </c>
      <c r="F2494" s="9" t="s">
        <v>76</v>
      </c>
      <c r="G2494" s="6"/>
      <c r="H2494" s="6"/>
      <c r="I2494" s="6"/>
      <c r="J2494" s="6"/>
      <c r="K2494" s="6"/>
      <c r="L2494" s="6"/>
      <c r="M2494" s="6"/>
      <c r="N2494" s="6"/>
      <c r="O2494" s="6"/>
      <c r="P2494" s="6"/>
      <c r="Q2494" s="6"/>
      <c r="R2494" s="6"/>
      <c r="S2494" s="6"/>
      <c r="T2494" s="6"/>
      <c r="U2494" s="6"/>
      <c r="V2494" s="6"/>
      <c r="W2494" s="6"/>
      <c r="X2494" s="6"/>
      <c r="Y2494" s="6"/>
      <c r="Z2494" s="6"/>
    </row>
    <row r="2495" customFormat="false" ht="15" hidden="false" customHeight="false" outlineLevel="0" collapsed="false">
      <c r="A2495" s="9" t="s">
        <v>8338</v>
      </c>
      <c r="B2495" s="9" t="s">
        <v>5870</v>
      </c>
      <c r="C2495" s="9" t="s">
        <v>2736</v>
      </c>
      <c r="D2495" s="9" t="s">
        <v>5871</v>
      </c>
      <c r="E2495" s="9" t="str">
        <f aca="false">IF(AND('Formation Ledger'!A2474&lt;&gt;"",'Formation Ledger'!V2474=0),"PASS","FAIL")</f>
        <v>PASS</v>
      </c>
      <c r="F2495" s="9" t="s">
        <v>76</v>
      </c>
      <c r="G2495" s="6"/>
      <c r="H2495" s="6"/>
      <c r="I2495" s="6"/>
      <c r="J2495" s="6"/>
      <c r="K2495" s="6"/>
      <c r="L2495" s="6"/>
      <c r="M2495" s="6"/>
      <c r="N2495" s="6"/>
      <c r="O2495" s="6"/>
      <c r="P2495" s="6"/>
      <c r="Q2495" s="6"/>
      <c r="R2495" s="6"/>
      <c r="S2495" s="6"/>
      <c r="T2495" s="6"/>
      <c r="U2495" s="6"/>
      <c r="V2495" s="6"/>
      <c r="W2495" s="6"/>
      <c r="X2495" s="6"/>
      <c r="Y2495" s="6"/>
      <c r="Z2495" s="6"/>
    </row>
    <row r="2496" customFormat="false" ht="15" hidden="false" customHeight="false" outlineLevel="0" collapsed="false">
      <c r="A2496" s="9" t="s">
        <v>8339</v>
      </c>
      <c r="B2496" s="9" t="s">
        <v>5870</v>
      </c>
      <c r="C2496" s="9" t="s">
        <v>2737</v>
      </c>
      <c r="D2496" s="9" t="s">
        <v>5871</v>
      </c>
      <c r="E2496" s="9" t="str">
        <f aca="false">IF(AND('Formation Ledger'!A2475&lt;&gt;"",'Formation Ledger'!V2475=0),"PASS","FAIL")</f>
        <v>PASS</v>
      </c>
      <c r="F2496" s="9" t="s">
        <v>76</v>
      </c>
      <c r="G2496" s="6"/>
      <c r="H2496" s="6"/>
      <c r="I2496" s="6"/>
      <c r="J2496" s="6"/>
      <c r="K2496" s="6"/>
      <c r="L2496" s="6"/>
      <c r="M2496" s="6"/>
      <c r="N2496" s="6"/>
      <c r="O2496" s="6"/>
      <c r="P2496" s="6"/>
      <c r="Q2496" s="6"/>
      <c r="R2496" s="6"/>
      <c r="S2496" s="6"/>
      <c r="T2496" s="6"/>
      <c r="U2496" s="6"/>
      <c r="V2496" s="6"/>
      <c r="W2496" s="6"/>
      <c r="X2496" s="6"/>
      <c r="Y2496" s="6"/>
      <c r="Z2496" s="6"/>
    </row>
    <row r="2497" customFormat="false" ht="15" hidden="false" customHeight="false" outlineLevel="0" collapsed="false">
      <c r="A2497" s="9" t="s">
        <v>8340</v>
      </c>
      <c r="B2497" s="9" t="s">
        <v>5870</v>
      </c>
      <c r="C2497" s="9" t="s">
        <v>2738</v>
      </c>
      <c r="D2497" s="9" t="s">
        <v>5871</v>
      </c>
      <c r="E2497" s="9" t="str">
        <f aca="false">IF(AND('Formation Ledger'!A2476&lt;&gt;"",'Formation Ledger'!V2476=0),"PASS","FAIL")</f>
        <v>PASS</v>
      </c>
      <c r="F2497" s="9" t="s">
        <v>76</v>
      </c>
      <c r="G2497" s="6"/>
      <c r="H2497" s="6"/>
      <c r="I2497" s="6"/>
      <c r="J2497" s="6"/>
      <c r="K2497" s="6"/>
      <c r="L2497" s="6"/>
      <c r="M2497" s="6"/>
      <c r="N2497" s="6"/>
      <c r="O2497" s="6"/>
      <c r="P2497" s="6"/>
      <c r="Q2497" s="6"/>
      <c r="R2497" s="6"/>
      <c r="S2497" s="6"/>
      <c r="T2497" s="6"/>
      <c r="U2497" s="6"/>
      <c r="V2497" s="6"/>
      <c r="W2497" s="6"/>
      <c r="X2497" s="6"/>
      <c r="Y2497" s="6"/>
      <c r="Z2497" s="6"/>
    </row>
    <row r="2498" customFormat="false" ht="15" hidden="false" customHeight="false" outlineLevel="0" collapsed="false">
      <c r="A2498" s="9" t="s">
        <v>8341</v>
      </c>
      <c r="B2498" s="9" t="s">
        <v>5870</v>
      </c>
      <c r="C2498" s="9" t="s">
        <v>2739</v>
      </c>
      <c r="D2498" s="9" t="s">
        <v>5871</v>
      </c>
      <c r="E2498" s="9" t="str">
        <f aca="false">IF(AND('Formation Ledger'!A2477&lt;&gt;"",'Formation Ledger'!V2477=0),"PASS","FAIL")</f>
        <v>PASS</v>
      </c>
      <c r="F2498" s="9" t="s">
        <v>76</v>
      </c>
      <c r="G2498" s="6"/>
      <c r="H2498" s="6"/>
      <c r="I2498" s="6"/>
      <c r="J2498" s="6"/>
      <c r="K2498" s="6"/>
      <c r="L2498" s="6"/>
      <c r="M2498" s="6"/>
      <c r="N2498" s="6"/>
      <c r="O2498" s="6"/>
      <c r="P2498" s="6"/>
      <c r="Q2498" s="6"/>
      <c r="R2498" s="6"/>
      <c r="S2498" s="6"/>
      <c r="T2498" s="6"/>
      <c r="U2498" s="6"/>
      <c r="V2498" s="6"/>
      <c r="W2498" s="6"/>
      <c r="X2498" s="6"/>
      <c r="Y2498" s="6"/>
      <c r="Z2498" s="6"/>
    </row>
    <row r="2499" customFormat="false" ht="15" hidden="false" customHeight="false" outlineLevel="0" collapsed="false">
      <c r="A2499" s="9" t="s">
        <v>8342</v>
      </c>
      <c r="B2499" s="9" t="s">
        <v>5870</v>
      </c>
      <c r="C2499" s="9" t="s">
        <v>2740</v>
      </c>
      <c r="D2499" s="9" t="s">
        <v>5871</v>
      </c>
      <c r="E2499" s="9" t="str">
        <f aca="false">IF(AND('Formation Ledger'!A2478&lt;&gt;"",'Formation Ledger'!V2478=0),"PASS","FAIL")</f>
        <v>PASS</v>
      </c>
      <c r="F2499" s="9" t="s">
        <v>76</v>
      </c>
      <c r="G2499" s="6"/>
      <c r="H2499" s="6"/>
      <c r="I2499" s="6"/>
      <c r="J2499" s="6"/>
      <c r="K2499" s="6"/>
      <c r="L2499" s="6"/>
      <c r="M2499" s="6"/>
      <c r="N2499" s="6"/>
      <c r="O2499" s="6"/>
      <c r="P2499" s="6"/>
      <c r="Q2499" s="6"/>
      <c r="R2499" s="6"/>
      <c r="S2499" s="6"/>
      <c r="T2499" s="6"/>
      <c r="U2499" s="6"/>
      <c r="V2499" s="6"/>
      <c r="W2499" s="6"/>
      <c r="X2499" s="6"/>
      <c r="Y2499" s="6"/>
      <c r="Z2499" s="6"/>
    </row>
    <row r="2500" customFormat="false" ht="15" hidden="false" customHeight="false" outlineLevel="0" collapsed="false">
      <c r="A2500" s="9" t="s">
        <v>8343</v>
      </c>
      <c r="B2500" s="9" t="s">
        <v>5870</v>
      </c>
      <c r="C2500" s="9" t="s">
        <v>2741</v>
      </c>
      <c r="D2500" s="9" t="s">
        <v>5871</v>
      </c>
      <c r="E2500" s="9" t="str">
        <f aca="false">IF(AND('Formation Ledger'!A2479&lt;&gt;"",'Formation Ledger'!V2479=0),"PASS","FAIL")</f>
        <v>PASS</v>
      </c>
      <c r="F2500" s="9" t="s">
        <v>76</v>
      </c>
      <c r="G2500" s="6"/>
      <c r="H2500" s="6"/>
      <c r="I2500" s="6"/>
      <c r="J2500" s="6"/>
      <c r="K2500" s="6"/>
      <c r="L2500" s="6"/>
      <c r="M2500" s="6"/>
      <c r="N2500" s="6"/>
      <c r="O2500" s="6"/>
      <c r="P2500" s="6"/>
      <c r="Q2500" s="6"/>
      <c r="R2500" s="6"/>
      <c r="S2500" s="6"/>
      <c r="T2500" s="6"/>
      <c r="U2500" s="6"/>
      <c r="V2500" s="6"/>
      <c r="W2500" s="6"/>
      <c r="X2500" s="6"/>
      <c r="Y2500" s="6"/>
      <c r="Z2500" s="6"/>
    </row>
    <row r="2501" customFormat="false" ht="15" hidden="false" customHeight="false" outlineLevel="0" collapsed="false">
      <c r="A2501" s="9" t="s">
        <v>8344</v>
      </c>
      <c r="B2501" s="9" t="s">
        <v>5870</v>
      </c>
      <c r="C2501" s="9" t="s">
        <v>2742</v>
      </c>
      <c r="D2501" s="9" t="s">
        <v>5871</v>
      </c>
      <c r="E2501" s="9" t="str">
        <f aca="false">IF(AND('Formation Ledger'!A2480&lt;&gt;"",'Formation Ledger'!V2480=0),"PASS","FAIL")</f>
        <v>PASS</v>
      </c>
      <c r="F2501" s="9" t="s">
        <v>76</v>
      </c>
      <c r="G2501" s="6"/>
      <c r="H2501" s="6"/>
      <c r="I2501" s="6"/>
      <c r="J2501" s="6"/>
      <c r="K2501" s="6"/>
      <c r="L2501" s="6"/>
      <c r="M2501" s="6"/>
      <c r="N2501" s="6"/>
      <c r="O2501" s="6"/>
      <c r="P2501" s="6"/>
      <c r="Q2501" s="6"/>
      <c r="R2501" s="6"/>
      <c r="S2501" s="6"/>
      <c r="T2501" s="6"/>
      <c r="U2501" s="6"/>
      <c r="V2501" s="6"/>
      <c r="W2501" s="6"/>
      <c r="X2501" s="6"/>
      <c r="Y2501" s="6"/>
      <c r="Z2501" s="6"/>
    </row>
    <row r="2502" customFormat="false" ht="15" hidden="false" customHeight="false" outlineLevel="0" collapsed="false">
      <c r="A2502" s="9" t="s">
        <v>8345</v>
      </c>
      <c r="B2502" s="9" t="s">
        <v>5870</v>
      </c>
      <c r="C2502" s="9" t="s">
        <v>2743</v>
      </c>
      <c r="D2502" s="9" t="s">
        <v>5871</v>
      </c>
      <c r="E2502" s="9" t="str">
        <f aca="false">IF(AND('Formation Ledger'!A2481&lt;&gt;"",'Formation Ledger'!V2481=0),"PASS","FAIL")</f>
        <v>PASS</v>
      </c>
      <c r="F2502" s="9" t="s">
        <v>76</v>
      </c>
      <c r="G2502" s="6"/>
      <c r="H2502" s="6"/>
      <c r="I2502" s="6"/>
      <c r="J2502" s="6"/>
      <c r="K2502" s="6"/>
      <c r="L2502" s="6"/>
      <c r="M2502" s="6"/>
      <c r="N2502" s="6"/>
      <c r="O2502" s="6"/>
      <c r="P2502" s="6"/>
      <c r="Q2502" s="6"/>
      <c r="R2502" s="6"/>
      <c r="S2502" s="6"/>
      <c r="T2502" s="6"/>
      <c r="U2502" s="6"/>
      <c r="V2502" s="6"/>
      <c r="W2502" s="6"/>
      <c r="X2502" s="6"/>
      <c r="Y2502" s="6"/>
      <c r="Z2502" s="6"/>
    </row>
    <row r="2503" customFormat="false" ht="15" hidden="false" customHeight="false" outlineLevel="0" collapsed="false">
      <c r="A2503" s="9" t="s">
        <v>8346</v>
      </c>
      <c r="B2503" s="9" t="s">
        <v>5870</v>
      </c>
      <c r="C2503" s="9" t="s">
        <v>2744</v>
      </c>
      <c r="D2503" s="9" t="s">
        <v>5871</v>
      </c>
      <c r="E2503" s="9" t="str">
        <f aca="false">IF(AND('Formation Ledger'!A2482&lt;&gt;"",'Formation Ledger'!V2482=0),"PASS","FAIL")</f>
        <v>PASS</v>
      </c>
      <c r="F2503" s="9" t="s">
        <v>76</v>
      </c>
      <c r="G2503" s="6"/>
      <c r="H2503" s="6"/>
      <c r="I2503" s="6"/>
      <c r="J2503" s="6"/>
      <c r="K2503" s="6"/>
      <c r="L2503" s="6"/>
      <c r="M2503" s="6"/>
      <c r="N2503" s="6"/>
      <c r="O2503" s="6"/>
      <c r="P2503" s="6"/>
      <c r="Q2503" s="6"/>
      <c r="R2503" s="6"/>
      <c r="S2503" s="6"/>
      <c r="T2503" s="6"/>
      <c r="U2503" s="6"/>
      <c r="V2503" s="6"/>
      <c r="W2503" s="6"/>
      <c r="X2503" s="6"/>
      <c r="Y2503" s="6"/>
      <c r="Z2503" s="6"/>
    </row>
    <row r="2504" customFormat="false" ht="15" hidden="false" customHeight="false" outlineLevel="0" collapsed="false">
      <c r="A2504" s="9" t="s">
        <v>8347</v>
      </c>
      <c r="B2504" s="9" t="s">
        <v>5870</v>
      </c>
      <c r="C2504" s="9" t="s">
        <v>2745</v>
      </c>
      <c r="D2504" s="9" t="s">
        <v>5871</v>
      </c>
      <c r="E2504" s="9" t="str">
        <f aca="false">IF(AND('Formation Ledger'!A2483&lt;&gt;"",'Formation Ledger'!V2483=0),"PASS","FAIL")</f>
        <v>PASS</v>
      </c>
      <c r="F2504" s="9" t="s">
        <v>76</v>
      </c>
      <c r="G2504" s="6"/>
      <c r="H2504" s="6"/>
      <c r="I2504" s="6"/>
      <c r="J2504" s="6"/>
      <c r="K2504" s="6"/>
      <c r="L2504" s="6"/>
      <c r="M2504" s="6"/>
      <c r="N2504" s="6"/>
      <c r="O2504" s="6"/>
      <c r="P2504" s="6"/>
      <c r="Q2504" s="6"/>
      <c r="R2504" s="6"/>
      <c r="S2504" s="6"/>
      <c r="T2504" s="6"/>
      <c r="U2504" s="6"/>
      <c r="V2504" s="6"/>
      <c r="W2504" s="6"/>
      <c r="X2504" s="6"/>
      <c r="Y2504" s="6"/>
      <c r="Z2504" s="6"/>
    </row>
    <row r="2505" customFormat="false" ht="15" hidden="false" customHeight="false" outlineLevel="0" collapsed="false">
      <c r="A2505" s="9" t="s">
        <v>8348</v>
      </c>
      <c r="B2505" s="9" t="s">
        <v>5870</v>
      </c>
      <c r="C2505" s="9" t="s">
        <v>2746</v>
      </c>
      <c r="D2505" s="9" t="s">
        <v>5871</v>
      </c>
      <c r="E2505" s="9" t="str">
        <f aca="false">IF(AND('Formation Ledger'!A2484&lt;&gt;"",'Formation Ledger'!V2484=0),"PASS","FAIL")</f>
        <v>PASS</v>
      </c>
      <c r="F2505" s="9" t="s">
        <v>76</v>
      </c>
      <c r="G2505" s="6"/>
      <c r="H2505" s="6"/>
      <c r="I2505" s="6"/>
      <c r="J2505" s="6"/>
      <c r="K2505" s="6"/>
      <c r="L2505" s="6"/>
      <c r="M2505" s="6"/>
      <c r="N2505" s="6"/>
      <c r="O2505" s="6"/>
      <c r="P2505" s="6"/>
      <c r="Q2505" s="6"/>
      <c r="R2505" s="6"/>
      <c r="S2505" s="6"/>
      <c r="T2505" s="6"/>
      <c r="U2505" s="6"/>
      <c r="V2505" s="6"/>
      <c r="W2505" s="6"/>
      <c r="X2505" s="6"/>
      <c r="Y2505" s="6"/>
      <c r="Z2505" s="6"/>
    </row>
    <row r="2506" customFormat="false" ht="15" hidden="false" customHeight="false" outlineLevel="0" collapsed="false">
      <c r="A2506" s="9" t="s">
        <v>8349</v>
      </c>
      <c r="B2506" s="9" t="s">
        <v>5870</v>
      </c>
      <c r="C2506" s="9" t="s">
        <v>2747</v>
      </c>
      <c r="D2506" s="9" t="s">
        <v>5871</v>
      </c>
      <c r="E2506" s="9" t="str">
        <f aca="false">IF(AND('Formation Ledger'!A2485&lt;&gt;"",'Formation Ledger'!V2485=0),"PASS","FAIL")</f>
        <v>PASS</v>
      </c>
      <c r="F2506" s="9" t="s">
        <v>76</v>
      </c>
      <c r="G2506" s="6"/>
      <c r="H2506" s="6"/>
      <c r="I2506" s="6"/>
      <c r="J2506" s="6"/>
      <c r="K2506" s="6"/>
      <c r="L2506" s="6"/>
      <c r="M2506" s="6"/>
      <c r="N2506" s="6"/>
      <c r="O2506" s="6"/>
      <c r="P2506" s="6"/>
      <c r="Q2506" s="6"/>
      <c r="R2506" s="6"/>
      <c r="S2506" s="6"/>
      <c r="T2506" s="6"/>
      <c r="U2506" s="6"/>
      <c r="V2506" s="6"/>
      <c r="W2506" s="6"/>
      <c r="X2506" s="6"/>
      <c r="Y2506" s="6"/>
      <c r="Z2506" s="6"/>
    </row>
    <row r="2507" customFormat="false" ht="15" hidden="false" customHeight="false" outlineLevel="0" collapsed="false">
      <c r="A2507" s="9" t="s">
        <v>8350</v>
      </c>
      <c r="B2507" s="9" t="s">
        <v>5870</v>
      </c>
      <c r="C2507" s="9" t="s">
        <v>2748</v>
      </c>
      <c r="D2507" s="9" t="s">
        <v>5871</v>
      </c>
      <c r="E2507" s="9" t="str">
        <f aca="false">IF(AND('Formation Ledger'!A2486&lt;&gt;"",'Formation Ledger'!V2486=0),"PASS","FAIL")</f>
        <v>PASS</v>
      </c>
      <c r="F2507" s="9" t="s">
        <v>76</v>
      </c>
      <c r="G2507" s="6"/>
      <c r="H2507" s="6"/>
      <c r="I2507" s="6"/>
      <c r="J2507" s="6"/>
      <c r="K2507" s="6"/>
      <c r="L2507" s="6"/>
      <c r="M2507" s="6"/>
      <c r="N2507" s="6"/>
      <c r="O2507" s="6"/>
      <c r="P2507" s="6"/>
      <c r="Q2507" s="6"/>
      <c r="R2507" s="6"/>
      <c r="S2507" s="6"/>
      <c r="T2507" s="6"/>
      <c r="U2507" s="6"/>
      <c r="V2507" s="6"/>
      <c r="W2507" s="6"/>
      <c r="X2507" s="6"/>
      <c r="Y2507" s="6"/>
      <c r="Z2507" s="6"/>
    </row>
    <row r="2508" customFormat="false" ht="15" hidden="false" customHeight="false" outlineLevel="0" collapsed="false">
      <c r="A2508" s="9" t="s">
        <v>8351</v>
      </c>
      <c r="B2508" s="9" t="s">
        <v>5870</v>
      </c>
      <c r="C2508" s="9" t="s">
        <v>2749</v>
      </c>
      <c r="D2508" s="9" t="s">
        <v>5871</v>
      </c>
      <c r="E2508" s="9" t="str">
        <f aca="false">IF(AND('Formation Ledger'!A2487&lt;&gt;"",'Formation Ledger'!V2487=0),"PASS","FAIL")</f>
        <v>PASS</v>
      </c>
      <c r="F2508" s="9" t="s">
        <v>76</v>
      </c>
      <c r="G2508" s="6"/>
      <c r="H2508" s="6"/>
      <c r="I2508" s="6"/>
      <c r="J2508" s="6"/>
      <c r="K2508" s="6"/>
      <c r="L2508" s="6"/>
      <c r="M2508" s="6"/>
      <c r="N2508" s="6"/>
      <c r="O2508" s="6"/>
      <c r="P2508" s="6"/>
      <c r="Q2508" s="6"/>
      <c r="R2508" s="6"/>
      <c r="S2508" s="6"/>
      <c r="T2508" s="6"/>
      <c r="U2508" s="6"/>
      <c r="V2508" s="6"/>
      <c r="W2508" s="6"/>
      <c r="X2508" s="6"/>
      <c r="Y2508" s="6"/>
      <c r="Z2508" s="6"/>
    </row>
    <row r="2509" customFormat="false" ht="15" hidden="false" customHeight="false" outlineLevel="0" collapsed="false">
      <c r="A2509" s="9" t="s">
        <v>8352</v>
      </c>
      <c r="B2509" s="9" t="s">
        <v>5870</v>
      </c>
      <c r="C2509" s="9" t="s">
        <v>2750</v>
      </c>
      <c r="D2509" s="9" t="s">
        <v>5871</v>
      </c>
      <c r="E2509" s="9" t="str">
        <f aca="false">IF(AND('Formation Ledger'!A2488&lt;&gt;"",'Formation Ledger'!V2488=0),"PASS","FAIL")</f>
        <v>PASS</v>
      </c>
      <c r="F2509" s="9" t="s">
        <v>76</v>
      </c>
      <c r="G2509" s="6"/>
      <c r="H2509" s="6"/>
      <c r="I2509" s="6"/>
      <c r="J2509" s="6"/>
      <c r="K2509" s="6"/>
      <c r="L2509" s="6"/>
      <c r="M2509" s="6"/>
      <c r="N2509" s="6"/>
      <c r="O2509" s="6"/>
      <c r="P2509" s="6"/>
      <c r="Q2509" s="6"/>
      <c r="R2509" s="6"/>
      <c r="S2509" s="6"/>
      <c r="T2509" s="6"/>
      <c r="U2509" s="6"/>
      <c r="V2509" s="6"/>
      <c r="W2509" s="6"/>
      <c r="X2509" s="6"/>
      <c r="Y2509" s="6"/>
      <c r="Z2509" s="6"/>
    </row>
    <row r="2510" customFormat="false" ht="15" hidden="false" customHeight="false" outlineLevel="0" collapsed="false">
      <c r="A2510" s="9" t="s">
        <v>8353</v>
      </c>
      <c r="B2510" s="9" t="s">
        <v>5870</v>
      </c>
      <c r="C2510" s="9" t="s">
        <v>2751</v>
      </c>
      <c r="D2510" s="9" t="s">
        <v>5871</v>
      </c>
      <c r="E2510" s="9" t="str">
        <f aca="false">IF(AND('Formation Ledger'!A2489&lt;&gt;"",'Formation Ledger'!V2489=0),"PASS","FAIL")</f>
        <v>PASS</v>
      </c>
      <c r="F2510" s="9" t="s">
        <v>76</v>
      </c>
      <c r="G2510" s="6"/>
      <c r="H2510" s="6"/>
      <c r="I2510" s="6"/>
      <c r="J2510" s="6"/>
      <c r="K2510" s="6"/>
      <c r="L2510" s="6"/>
      <c r="M2510" s="6"/>
      <c r="N2510" s="6"/>
      <c r="O2510" s="6"/>
      <c r="P2510" s="6"/>
      <c r="Q2510" s="6"/>
      <c r="R2510" s="6"/>
      <c r="S2510" s="6"/>
      <c r="T2510" s="6"/>
      <c r="U2510" s="6"/>
      <c r="V2510" s="6"/>
      <c r="W2510" s="6"/>
      <c r="X2510" s="6"/>
      <c r="Y2510" s="6"/>
      <c r="Z2510" s="6"/>
    </row>
    <row r="2511" customFormat="false" ht="15" hidden="false" customHeight="false" outlineLevel="0" collapsed="false">
      <c r="A2511" s="9" t="s">
        <v>8354</v>
      </c>
      <c r="B2511" s="9" t="s">
        <v>5870</v>
      </c>
      <c r="C2511" s="9" t="s">
        <v>2752</v>
      </c>
      <c r="D2511" s="9" t="s">
        <v>5871</v>
      </c>
      <c r="E2511" s="9" t="str">
        <f aca="false">IF(AND('Formation Ledger'!A2490&lt;&gt;"",'Formation Ledger'!V2490=0),"PASS","FAIL")</f>
        <v>PASS</v>
      </c>
      <c r="F2511" s="9" t="s">
        <v>76</v>
      </c>
      <c r="G2511" s="6"/>
      <c r="H2511" s="6"/>
      <c r="I2511" s="6"/>
      <c r="J2511" s="6"/>
      <c r="K2511" s="6"/>
      <c r="L2511" s="6"/>
      <c r="M2511" s="6"/>
      <c r="N2511" s="6"/>
      <c r="O2511" s="6"/>
      <c r="P2511" s="6"/>
      <c r="Q2511" s="6"/>
      <c r="R2511" s="6"/>
      <c r="S2511" s="6"/>
      <c r="T2511" s="6"/>
      <c r="U2511" s="6"/>
      <c r="V2511" s="6"/>
      <c r="W2511" s="6"/>
      <c r="X2511" s="6"/>
      <c r="Y2511" s="6"/>
      <c r="Z2511" s="6"/>
    </row>
    <row r="2512" customFormat="false" ht="15" hidden="false" customHeight="false" outlineLevel="0" collapsed="false">
      <c r="A2512" s="9" t="s">
        <v>8355</v>
      </c>
      <c r="B2512" s="9" t="s">
        <v>5870</v>
      </c>
      <c r="C2512" s="9" t="s">
        <v>2753</v>
      </c>
      <c r="D2512" s="9" t="s">
        <v>5871</v>
      </c>
      <c r="E2512" s="9" t="str">
        <f aca="false">IF(AND('Formation Ledger'!A2491&lt;&gt;"",'Formation Ledger'!V2491=0),"PASS","FAIL")</f>
        <v>PASS</v>
      </c>
      <c r="F2512" s="9" t="s">
        <v>76</v>
      </c>
      <c r="G2512" s="6"/>
      <c r="H2512" s="6"/>
      <c r="I2512" s="6"/>
      <c r="J2512" s="6"/>
      <c r="K2512" s="6"/>
      <c r="L2512" s="6"/>
      <c r="M2512" s="6"/>
      <c r="N2512" s="6"/>
      <c r="O2512" s="6"/>
      <c r="P2512" s="6"/>
      <c r="Q2512" s="6"/>
      <c r="R2512" s="6"/>
      <c r="S2512" s="6"/>
      <c r="T2512" s="6"/>
      <c r="U2512" s="6"/>
      <c r="V2512" s="6"/>
      <c r="W2512" s="6"/>
      <c r="X2512" s="6"/>
      <c r="Y2512" s="6"/>
      <c r="Z2512" s="6"/>
    </row>
    <row r="2513" customFormat="false" ht="15" hidden="false" customHeight="false" outlineLevel="0" collapsed="false">
      <c r="A2513" s="9" t="s">
        <v>8356</v>
      </c>
      <c r="B2513" s="9" t="s">
        <v>5870</v>
      </c>
      <c r="C2513" s="9" t="s">
        <v>2754</v>
      </c>
      <c r="D2513" s="9" t="s">
        <v>5871</v>
      </c>
      <c r="E2513" s="9" t="str">
        <f aca="false">IF(AND('Formation Ledger'!A2492&lt;&gt;"",'Formation Ledger'!V2492=0),"PASS","FAIL")</f>
        <v>PASS</v>
      </c>
      <c r="F2513" s="9" t="s">
        <v>76</v>
      </c>
      <c r="G2513" s="6"/>
      <c r="H2513" s="6"/>
      <c r="I2513" s="6"/>
      <c r="J2513" s="6"/>
      <c r="K2513" s="6"/>
      <c r="L2513" s="6"/>
      <c r="M2513" s="6"/>
      <c r="N2513" s="6"/>
      <c r="O2513" s="6"/>
      <c r="P2513" s="6"/>
      <c r="Q2513" s="6"/>
      <c r="R2513" s="6"/>
      <c r="S2513" s="6"/>
      <c r="T2513" s="6"/>
      <c r="U2513" s="6"/>
      <c r="V2513" s="6"/>
      <c r="W2513" s="6"/>
      <c r="X2513" s="6"/>
      <c r="Y2513" s="6"/>
      <c r="Z2513" s="6"/>
    </row>
    <row r="2514" customFormat="false" ht="15" hidden="false" customHeight="false" outlineLevel="0" collapsed="false">
      <c r="A2514" s="9" t="s">
        <v>8357</v>
      </c>
      <c r="B2514" s="9" t="s">
        <v>5870</v>
      </c>
      <c r="C2514" s="9" t="s">
        <v>2755</v>
      </c>
      <c r="D2514" s="9" t="s">
        <v>5871</v>
      </c>
      <c r="E2514" s="9" t="str">
        <f aca="false">IF(AND('Formation Ledger'!A2493&lt;&gt;"",'Formation Ledger'!V2493=0),"PASS","FAIL")</f>
        <v>PASS</v>
      </c>
      <c r="F2514" s="9" t="s">
        <v>76</v>
      </c>
      <c r="G2514" s="6"/>
      <c r="H2514" s="6"/>
      <c r="I2514" s="6"/>
      <c r="J2514" s="6"/>
      <c r="K2514" s="6"/>
      <c r="L2514" s="6"/>
      <c r="M2514" s="6"/>
      <c r="N2514" s="6"/>
      <c r="O2514" s="6"/>
      <c r="P2514" s="6"/>
      <c r="Q2514" s="6"/>
      <c r="R2514" s="6"/>
      <c r="S2514" s="6"/>
      <c r="T2514" s="6"/>
      <c r="U2514" s="6"/>
      <c r="V2514" s="6"/>
      <c r="W2514" s="6"/>
      <c r="X2514" s="6"/>
      <c r="Y2514" s="6"/>
      <c r="Z2514" s="6"/>
    </row>
    <row r="2515" customFormat="false" ht="15" hidden="false" customHeight="false" outlineLevel="0" collapsed="false">
      <c r="A2515" s="9" t="s">
        <v>8358</v>
      </c>
      <c r="B2515" s="9" t="s">
        <v>5870</v>
      </c>
      <c r="C2515" s="9" t="s">
        <v>2756</v>
      </c>
      <c r="D2515" s="9" t="s">
        <v>5871</v>
      </c>
      <c r="E2515" s="9" t="str">
        <f aca="false">IF(AND('Formation Ledger'!A2494&lt;&gt;"",'Formation Ledger'!V2494=0),"PASS","FAIL")</f>
        <v>PASS</v>
      </c>
      <c r="F2515" s="9" t="s">
        <v>76</v>
      </c>
      <c r="G2515" s="6"/>
      <c r="H2515" s="6"/>
      <c r="I2515" s="6"/>
      <c r="J2515" s="6"/>
      <c r="K2515" s="6"/>
      <c r="L2515" s="6"/>
      <c r="M2515" s="6"/>
      <c r="N2515" s="6"/>
      <c r="O2515" s="6"/>
      <c r="P2515" s="6"/>
      <c r="Q2515" s="6"/>
      <c r="R2515" s="6"/>
      <c r="S2515" s="6"/>
      <c r="T2515" s="6"/>
      <c r="U2515" s="6"/>
      <c r="V2515" s="6"/>
      <c r="W2515" s="6"/>
      <c r="X2515" s="6"/>
      <c r="Y2515" s="6"/>
      <c r="Z2515" s="6"/>
    </row>
    <row r="2516" customFormat="false" ht="15" hidden="false" customHeight="false" outlineLevel="0" collapsed="false">
      <c r="A2516" s="9" t="s">
        <v>8359</v>
      </c>
      <c r="B2516" s="9" t="s">
        <v>5870</v>
      </c>
      <c r="C2516" s="9" t="s">
        <v>2757</v>
      </c>
      <c r="D2516" s="9" t="s">
        <v>5871</v>
      </c>
      <c r="E2516" s="9" t="str">
        <f aca="false">IF(AND('Formation Ledger'!A2495&lt;&gt;"",'Formation Ledger'!V2495=0),"PASS","FAIL")</f>
        <v>PASS</v>
      </c>
      <c r="F2516" s="9" t="s">
        <v>76</v>
      </c>
      <c r="G2516" s="6"/>
      <c r="H2516" s="6"/>
      <c r="I2516" s="6"/>
      <c r="J2516" s="6"/>
      <c r="K2516" s="6"/>
      <c r="L2516" s="6"/>
      <c r="M2516" s="6"/>
      <c r="N2516" s="6"/>
      <c r="O2516" s="6"/>
      <c r="P2516" s="6"/>
      <c r="Q2516" s="6"/>
      <c r="R2516" s="6"/>
      <c r="S2516" s="6"/>
      <c r="T2516" s="6"/>
      <c r="U2516" s="6"/>
      <c r="V2516" s="6"/>
      <c r="W2516" s="6"/>
      <c r="X2516" s="6"/>
      <c r="Y2516" s="6"/>
      <c r="Z2516" s="6"/>
    </row>
    <row r="2517" customFormat="false" ht="15" hidden="false" customHeight="false" outlineLevel="0" collapsed="false">
      <c r="A2517" s="9" t="s">
        <v>8360</v>
      </c>
      <c r="B2517" s="9" t="s">
        <v>5870</v>
      </c>
      <c r="C2517" s="9" t="s">
        <v>2758</v>
      </c>
      <c r="D2517" s="9" t="s">
        <v>5871</v>
      </c>
      <c r="E2517" s="9" t="str">
        <f aca="false">IF(AND('Formation Ledger'!A2496&lt;&gt;"",'Formation Ledger'!V2496=0),"PASS","FAIL")</f>
        <v>PASS</v>
      </c>
      <c r="F2517" s="9" t="s">
        <v>76</v>
      </c>
      <c r="G2517" s="6"/>
      <c r="H2517" s="6"/>
      <c r="I2517" s="6"/>
      <c r="J2517" s="6"/>
      <c r="K2517" s="6"/>
      <c r="L2517" s="6"/>
      <c r="M2517" s="6"/>
      <c r="N2517" s="6"/>
      <c r="O2517" s="6"/>
      <c r="P2517" s="6"/>
      <c r="Q2517" s="6"/>
      <c r="R2517" s="6"/>
      <c r="S2517" s="6"/>
      <c r="T2517" s="6"/>
      <c r="U2517" s="6"/>
      <c r="V2517" s="6"/>
      <c r="W2517" s="6"/>
      <c r="X2517" s="6"/>
      <c r="Y2517" s="6"/>
      <c r="Z2517" s="6"/>
    </row>
    <row r="2518" customFormat="false" ht="15" hidden="false" customHeight="false" outlineLevel="0" collapsed="false">
      <c r="A2518" s="9" t="s">
        <v>8361</v>
      </c>
      <c r="B2518" s="9" t="s">
        <v>5870</v>
      </c>
      <c r="C2518" s="9" t="s">
        <v>2759</v>
      </c>
      <c r="D2518" s="9" t="s">
        <v>5871</v>
      </c>
      <c r="E2518" s="9" t="str">
        <f aca="false">IF(AND('Formation Ledger'!A2497&lt;&gt;"",'Formation Ledger'!V2497=0),"PASS","FAIL")</f>
        <v>PASS</v>
      </c>
      <c r="F2518" s="9" t="s">
        <v>76</v>
      </c>
      <c r="G2518" s="6"/>
      <c r="H2518" s="6"/>
      <c r="I2518" s="6"/>
      <c r="J2518" s="6"/>
      <c r="K2518" s="6"/>
      <c r="L2518" s="6"/>
      <c r="M2518" s="6"/>
      <c r="N2518" s="6"/>
      <c r="O2518" s="6"/>
      <c r="P2518" s="6"/>
      <c r="Q2518" s="6"/>
      <c r="R2518" s="6"/>
      <c r="S2518" s="6"/>
      <c r="T2518" s="6"/>
      <c r="U2518" s="6"/>
      <c r="V2518" s="6"/>
      <c r="W2518" s="6"/>
      <c r="X2518" s="6"/>
      <c r="Y2518" s="6"/>
      <c r="Z2518" s="6"/>
    </row>
    <row r="2519" customFormat="false" ht="15" hidden="false" customHeight="false" outlineLevel="0" collapsed="false">
      <c r="A2519" s="9" t="s">
        <v>8362</v>
      </c>
      <c r="B2519" s="9" t="s">
        <v>5870</v>
      </c>
      <c r="C2519" s="9" t="s">
        <v>2760</v>
      </c>
      <c r="D2519" s="9" t="s">
        <v>5871</v>
      </c>
      <c r="E2519" s="9" t="str">
        <f aca="false">IF(AND('Formation Ledger'!A2498&lt;&gt;"",'Formation Ledger'!V2498=0),"PASS","FAIL")</f>
        <v>PASS</v>
      </c>
      <c r="F2519" s="9" t="s">
        <v>76</v>
      </c>
      <c r="G2519" s="6"/>
      <c r="H2519" s="6"/>
      <c r="I2519" s="6"/>
      <c r="J2519" s="6"/>
      <c r="K2519" s="6"/>
      <c r="L2519" s="6"/>
      <c r="M2519" s="6"/>
      <c r="N2519" s="6"/>
      <c r="O2519" s="6"/>
      <c r="P2519" s="6"/>
      <c r="Q2519" s="6"/>
      <c r="R2519" s="6"/>
      <c r="S2519" s="6"/>
      <c r="T2519" s="6"/>
      <c r="U2519" s="6"/>
      <c r="V2519" s="6"/>
      <c r="W2519" s="6"/>
      <c r="X2519" s="6"/>
      <c r="Y2519" s="6"/>
      <c r="Z2519" s="6"/>
    </row>
    <row r="2520" customFormat="false" ht="15" hidden="false" customHeight="false" outlineLevel="0" collapsed="false">
      <c r="A2520" s="9" t="s">
        <v>8363</v>
      </c>
      <c r="B2520" s="9" t="s">
        <v>5870</v>
      </c>
      <c r="C2520" s="9" t="s">
        <v>2761</v>
      </c>
      <c r="D2520" s="9" t="s">
        <v>5871</v>
      </c>
      <c r="E2520" s="9" t="str">
        <f aca="false">IF(AND('Formation Ledger'!A2499&lt;&gt;"",'Formation Ledger'!V2499=0),"PASS","FAIL")</f>
        <v>PASS</v>
      </c>
      <c r="F2520" s="9" t="s">
        <v>76</v>
      </c>
      <c r="G2520" s="6"/>
      <c r="H2520" s="6"/>
      <c r="I2520" s="6"/>
      <c r="J2520" s="6"/>
      <c r="K2520" s="6"/>
      <c r="L2520" s="6"/>
      <c r="M2520" s="6"/>
      <c r="N2520" s="6"/>
      <c r="O2520" s="6"/>
      <c r="P2520" s="6"/>
      <c r="Q2520" s="6"/>
      <c r="R2520" s="6"/>
      <c r="S2520" s="6"/>
      <c r="T2520" s="6"/>
      <c r="U2520" s="6"/>
      <c r="V2520" s="6"/>
      <c r="W2520" s="6"/>
      <c r="X2520" s="6"/>
      <c r="Y2520" s="6"/>
      <c r="Z2520" s="6"/>
    </row>
    <row r="2521" customFormat="false" ht="15" hidden="false" customHeight="false" outlineLevel="0" collapsed="false">
      <c r="A2521" s="9" t="s">
        <v>8364</v>
      </c>
      <c r="B2521" s="9" t="s">
        <v>5870</v>
      </c>
      <c r="C2521" s="9" t="s">
        <v>2762</v>
      </c>
      <c r="D2521" s="9" t="s">
        <v>5871</v>
      </c>
      <c r="E2521" s="9" t="str">
        <f aca="false">IF(AND('Formation Ledger'!A2500&lt;&gt;"",'Formation Ledger'!V2500=0),"PASS","FAIL")</f>
        <v>PASS</v>
      </c>
      <c r="F2521" s="9" t="s">
        <v>76</v>
      </c>
      <c r="G2521" s="6"/>
      <c r="H2521" s="6"/>
      <c r="I2521" s="6"/>
      <c r="J2521" s="6"/>
      <c r="K2521" s="6"/>
      <c r="L2521" s="6"/>
      <c r="M2521" s="6"/>
      <c r="N2521" s="6"/>
      <c r="O2521" s="6"/>
      <c r="P2521" s="6"/>
      <c r="Q2521" s="6"/>
      <c r="R2521" s="6"/>
      <c r="S2521" s="6"/>
      <c r="T2521" s="6"/>
      <c r="U2521" s="6"/>
      <c r="V2521" s="6"/>
      <c r="W2521" s="6"/>
      <c r="X2521" s="6"/>
      <c r="Y2521" s="6"/>
      <c r="Z2521" s="6"/>
    </row>
    <row r="2522" customFormat="false" ht="15" hidden="false" customHeight="false" outlineLevel="0" collapsed="false">
      <c r="A2522" s="9" t="s">
        <v>8365</v>
      </c>
      <c r="B2522" s="9" t="s">
        <v>5870</v>
      </c>
      <c r="C2522" s="9" t="s">
        <v>2763</v>
      </c>
      <c r="D2522" s="9" t="s">
        <v>5871</v>
      </c>
      <c r="E2522" s="9" t="str">
        <f aca="false">IF(AND('Formation Ledger'!A2501&lt;&gt;"",'Formation Ledger'!V2501=0),"PASS","FAIL")</f>
        <v>PASS</v>
      </c>
      <c r="F2522" s="9" t="s">
        <v>76</v>
      </c>
      <c r="G2522" s="6"/>
      <c r="H2522" s="6"/>
      <c r="I2522" s="6"/>
      <c r="J2522" s="6"/>
      <c r="K2522" s="6"/>
      <c r="L2522" s="6"/>
      <c r="M2522" s="6"/>
      <c r="N2522" s="6"/>
      <c r="O2522" s="6"/>
      <c r="P2522" s="6"/>
      <c r="Q2522" s="6"/>
      <c r="R2522" s="6"/>
      <c r="S2522" s="6"/>
      <c r="T2522" s="6"/>
      <c r="U2522" s="6"/>
      <c r="V2522" s="6"/>
      <c r="W2522" s="6"/>
      <c r="X2522" s="6"/>
      <c r="Y2522" s="6"/>
      <c r="Z2522" s="6"/>
    </row>
    <row r="2523" customFormat="false" ht="15" hidden="false" customHeight="false" outlineLevel="0" collapsed="false">
      <c r="A2523" s="9" t="s">
        <v>8366</v>
      </c>
      <c r="B2523" s="9" t="s">
        <v>5870</v>
      </c>
      <c r="C2523" s="9" t="s">
        <v>2764</v>
      </c>
      <c r="D2523" s="9" t="s">
        <v>5871</v>
      </c>
      <c r="E2523" s="9" t="str">
        <f aca="false">IF(AND('Formation Ledger'!A2502&lt;&gt;"",'Formation Ledger'!V2502=0),"PASS","FAIL")</f>
        <v>PASS</v>
      </c>
      <c r="F2523" s="9" t="s">
        <v>76</v>
      </c>
      <c r="G2523" s="6"/>
      <c r="H2523" s="6"/>
      <c r="I2523" s="6"/>
      <c r="J2523" s="6"/>
      <c r="K2523" s="6"/>
      <c r="L2523" s="6"/>
      <c r="M2523" s="6"/>
      <c r="N2523" s="6"/>
      <c r="O2523" s="6"/>
      <c r="P2523" s="6"/>
      <c r="Q2523" s="6"/>
      <c r="R2523" s="6"/>
      <c r="S2523" s="6"/>
      <c r="T2523" s="6"/>
      <c r="U2523" s="6"/>
      <c r="V2523" s="6"/>
      <c r="W2523" s="6"/>
      <c r="X2523" s="6"/>
      <c r="Y2523" s="6"/>
      <c r="Z2523" s="6"/>
    </row>
    <row r="2524" customFormat="false" ht="15" hidden="false" customHeight="false" outlineLevel="0" collapsed="false">
      <c r="A2524" s="9" t="s">
        <v>8367</v>
      </c>
      <c r="B2524" s="9" t="s">
        <v>5870</v>
      </c>
      <c r="C2524" s="9" t="s">
        <v>2765</v>
      </c>
      <c r="D2524" s="9" t="s">
        <v>5871</v>
      </c>
      <c r="E2524" s="9" t="str">
        <f aca="false">IF(AND('Formation Ledger'!A2503&lt;&gt;"",'Formation Ledger'!V2503=0),"PASS","FAIL")</f>
        <v>PASS</v>
      </c>
      <c r="F2524" s="9" t="s">
        <v>76</v>
      </c>
      <c r="G2524" s="6"/>
      <c r="H2524" s="6"/>
      <c r="I2524" s="6"/>
      <c r="J2524" s="6"/>
      <c r="K2524" s="6"/>
      <c r="L2524" s="6"/>
      <c r="M2524" s="6"/>
      <c r="N2524" s="6"/>
      <c r="O2524" s="6"/>
      <c r="P2524" s="6"/>
      <c r="Q2524" s="6"/>
      <c r="R2524" s="6"/>
      <c r="S2524" s="6"/>
      <c r="T2524" s="6"/>
      <c r="U2524" s="6"/>
      <c r="V2524" s="6"/>
      <c r="W2524" s="6"/>
      <c r="X2524" s="6"/>
      <c r="Y2524" s="6"/>
      <c r="Z2524" s="6"/>
    </row>
    <row r="2525" customFormat="false" ht="15" hidden="false" customHeight="false" outlineLevel="0" collapsed="false">
      <c r="A2525" s="9" t="s">
        <v>8368</v>
      </c>
      <c r="B2525" s="9" t="s">
        <v>5870</v>
      </c>
      <c r="C2525" s="9" t="s">
        <v>2766</v>
      </c>
      <c r="D2525" s="9" t="s">
        <v>5871</v>
      </c>
      <c r="E2525" s="9" t="str">
        <f aca="false">IF(AND('Formation Ledger'!A2504&lt;&gt;"",'Formation Ledger'!V2504=0),"PASS","FAIL")</f>
        <v>PASS</v>
      </c>
      <c r="F2525" s="9" t="s">
        <v>76</v>
      </c>
      <c r="G2525" s="6"/>
      <c r="H2525" s="6"/>
      <c r="I2525" s="6"/>
      <c r="J2525" s="6"/>
      <c r="K2525" s="6"/>
      <c r="L2525" s="6"/>
      <c r="M2525" s="6"/>
      <c r="N2525" s="6"/>
      <c r="O2525" s="6"/>
      <c r="P2525" s="6"/>
      <c r="Q2525" s="6"/>
      <c r="R2525" s="6"/>
      <c r="S2525" s="6"/>
      <c r="T2525" s="6"/>
      <c r="U2525" s="6"/>
      <c r="V2525" s="6"/>
      <c r="W2525" s="6"/>
      <c r="X2525" s="6"/>
      <c r="Y2525" s="6"/>
      <c r="Z2525" s="6"/>
    </row>
    <row r="2526" customFormat="false" ht="15" hidden="false" customHeight="false" outlineLevel="0" collapsed="false">
      <c r="A2526" s="9" t="s">
        <v>8369</v>
      </c>
      <c r="B2526" s="9" t="s">
        <v>5870</v>
      </c>
      <c r="C2526" s="9" t="s">
        <v>2767</v>
      </c>
      <c r="D2526" s="9" t="s">
        <v>5871</v>
      </c>
      <c r="E2526" s="9" t="str">
        <f aca="false">IF(AND('Formation Ledger'!A2505&lt;&gt;"",'Formation Ledger'!V2505=0),"PASS","FAIL")</f>
        <v>PASS</v>
      </c>
      <c r="F2526" s="9" t="s">
        <v>76</v>
      </c>
      <c r="G2526" s="6"/>
      <c r="H2526" s="6"/>
      <c r="I2526" s="6"/>
      <c r="J2526" s="6"/>
      <c r="K2526" s="6"/>
      <c r="L2526" s="6"/>
      <c r="M2526" s="6"/>
      <c r="N2526" s="6"/>
      <c r="O2526" s="6"/>
      <c r="P2526" s="6"/>
      <c r="Q2526" s="6"/>
      <c r="R2526" s="6"/>
      <c r="S2526" s="6"/>
      <c r="T2526" s="6"/>
      <c r="U2526" s="6"/>
      <c r="V2526" s="6"/>
      <c r="W2526" s="6"/>
      <c r="X2526" s="6"/>
      <c r="Y2526" s="6"/>
      <c r="Z2526" s="6"/>
    </row>
    <row r="2527" customFormat="false" ht="15" hidden="false" customHeight="false" outlineLevel="0" collapsed="false">
      <c r="A2527" s="9" t="s">
        <v>8370</v>
      </c>
      <c r="B2527" s="9" t="s">
        <v>5870</v>
      </c>
      <c r="C2527" s="9" t="s">
        <v>2768</v>
      </c>
      <c r="D2527" s="9" t="s">
        <v>5871</v>
      </c>
      <c r="E2527" s="9" t="str">
        <f aca="false">IF(AND('Formation Ledger'!A2506&lt;&gt;"",'Formation Ledger'!V2506=0),"PASS","FAIL")</f>
        <v>PASS</v>
      </c>
      <c r="F2527" s="9" t="s">
        <v>76</v>
      </c>
      <c r="G2527" s="6"/>
      <c r="H2527" s="6"/>
      <c r="I2527" s="6"/>
      <c r="J2527" s="6"/>
      <c r="K2527" s="6"/>
      <c r="L2527" s="6"/>
      <c r="M2527" s="6"/>
      <c r="N2527" s="6"/>
      <c r="O2527" s="6"/>
      <c r="P2527" s="6"/>
      <c r="Q2527" s="6"/>
      <c r="R2527" s="6"/>
      <c r="S2527" s="6"/>
      <c r="T2527" s="6"/>
      <c r="U2527" s="6"/>
      <c r="V2527" s="6"/>
      <c r="W2527" s="6"/>
      <c r="X2527" s="6"/>
      <c r="Y2527" s="6"/>
      <c r="Z2527" s="6"/>
    </row>
    <row r="2528" customFormat="false" ht="15" hidden="false" customHeight="false" outlineLevel="0" collapsed="false">
      <c r="A2528" s="9" t="s">
        <v>8371</v>
      </c>
      <c r="B2528" s="9" t="s">
        <v>5870</v>
      </c>
      <c r="C2528" s="9" t="s">
        <v>2769</v>
      </c>
      <c r="D2528" s="9" t="s">
        <v>5871</v>
      </c>
      <c r="E2528" s="9" t="str">
        <f aca="false">IF(AND('Formation Ledger'!A2507&lt;&gt;"",'Formation Ledger'!V2507=0),"PASS","FAIL")</f>
        <v>PASS</v>
      </c>
      <c r="F2528" s="9" t="s">
        <v>76</v>
      </c>
      <c r="G2528" s="6"/>
      <c r="H2528" s="6"/>
      <c r="I2528" s="6"/>
      <c r="J2528" s="6"/>
      <c r="K2528" s="6"/>
      <c r="L2528" s="6"/>
      <c r="M2528" s="6"/>
      <c r="N2528" s="6"/>
      <c r="O2528" s="6"/>
      <c r="P2528" s="6"/>
      <c r="Q2528" s="6"/>
      <c r="R2528" s="6"/>
      <c r="S2528" s="6"/>
      <c r="T2528" s="6"/>
      <c r="U2528" s="6"/>
      <c r="V2528" s="6"/>
      <c r="W2528" s="6"/>
      <c r="X2528" s="6"/>
      <c r="Y2528" s="6"/>
      <c r="Z2528" s="6"/>
    </row>
    <row r="2529" customFormat="false" ht="15" hidden="false" customHeight="false" outlineLevel="0" collapsed="false">
      <c r="A2529" s="9" t="s">
        <v>8372</v>
      </c>
      <c r="B2529" s="9" t="s">
        <v>5870</v>
      </c>
      <c r="C2529" s="9" t="s">
        <v>2770</v>
      </c>
      <c r="D2529" s="9" t="s">
        <v>5871</v>
      </c>
      <c r="E2529" s="9" t="str">
        <f aca="false">IF(AND('Formation Ledger'!A2508&lt;&gt;"",'Formation Ledger'!V2508=0),"PASS","FAIL")</f>
        <v>PASS</v>
      </c>
      <c r="F2529" s="9" t="s">
        <v>76</v>
      </c>
      <c r="G2529" s="6"/>
      <c r="H2529" s="6"/>
      <c r="I2529" s="6"/>
      <c r="J2529" s="6"/>
      <c r="K2529" s="6"/>
      <c r="L2529" s="6"/>
      <c r="M2529" s="6"/>
      <c r="N2529" s="6"/>
      <c r="O2529" s="6"/>
      <c r="P2529" s="6"/>
      <c r="Q2529" s="6"/>
      <c r="R2529" s="6"/>
      <c r="S2529" s="6"/>
      <c r="T2529" s="6"/>
      <c r="U2529" s="6"/>
      <c r="V2529" s="6"/>
      <c r="W2529" s="6"/>
      <c r="X2529" s="6"/>
      <c r="Y2529" s="6"/>
      <c r="Z2529" s="6"/>
    </row>
    <row r="2530" customFormat="false" ht="15" hidden="false" customHeight="false" outlineLevel="0" collapsed="false">
      <c r="A2530" s="9" t="s">
        <v>8373</v>
      </c>
      <c r="B2530" s="9" t="s">
        <v>5870</v>
      </c>
      <c r="C2530" s="9" t="s">
        <v>2771</v>
      </c>
      <c r="D2530" s="9" t="s">
        <v>5871</v>
      </c>
      <c r="E2530" s="9" t="str">
        <f aca="false">IF(AND('Formation Ledger'!A2509&lt;&gt;"",'Formation Ledger'!V2509=0),"PASS","FAIL")</f>
        <v>PASS</v>
      </c>
      <c r="F2530" s="9" t="s">
        <v>76</v>
      </c>
      <c r="G2530" s="6"/>
      <c r="H2530" s="6"/>
      <c r="I2530" s="6"/>
      <c r="J2530" s="6"/>
      <c r="K2530" s="6"/>
      <c r="L2530" s="6"/>
      <c r="M2530" s="6"/>
      <c r="N2530" s="6"/>
      <c r="O2530" s="6"/>
      <c r="P2530" s="6"/>
      <c r="Q2530" s="6"/>
      <c r="R2530" s="6"/>
      <c r="S2530" s="6"/>
      <c r="T2530" s="6"/>
      <c r="U2530" s="6"/>
      <c r="V2530" s="6"/>
      <c r="W2530" s="6"/>
      <c r="X2530" s="6"/>
      <c r="Y2530" s="6"/>
      <c r="Z2530" s="6"/>
    </row>
    <row r="2531" customFormat="false" ht="15" hidden="false" customHeight="false" outlineLevel="0" collapsed="false">
      <c r="A2531" s="9" t="s">
        <v>8374</v>
      </c>
      <c r="B2531" s="9" t="s">
        <v>5870</v>
      </c>
      <c r="C2531" s="9" t="s">
        <v>2772</v>
      </c>
      <c r="D2531" s="9" t="s">
        <v>5871</v>
      </c>
      <c r="E2531" s="9" t="str">
        <f aca="false">IF(AND('Formation Ledger'!A2510&lt;&gt;"",'Formation Ledger'!V2510=0),"PASS","FAIL")</f>
        <v>PASS</v>
      </c>
      <c r="F2531" s="9" t="s">
        <v>76</v>
      </c>
      <c r="G2531" s="6"/>
      <c r="H2531" s="6"/>
      <c r="I2531" s="6"/>
      <c r="J2531" s="6"/>
      <c r="K2531" s="6"/>
      <c r="L2531" s="6"/>
      <c r="M2531" s="6"/>
      <c r="N2531" s="6"/>
      <c r="O2531" s="6"/>
      <c r="P2531" s="6"/>
      <c r="Q2531" s="6"/>
      <c r="R2531" s="6"/>
      <c r="S2531" s="6"/>
      <c r="T2531" s="6"/>
      <c r="U2531" s="6"/>
      <c r="V2531" s="6"/>
      <c r="W2531" s="6"/>
      <c r="X2531" s="6"/>
      <c r="Y2531" s="6"/>
      <c r="Z2531" s="6"/>
    </row>
    <row r="2532" customFormat="false" ht="15" hidden="false" customHeight="false" outlineLevel="0" collapsed="false">
      <c r="A2532" s="9" t="s">
        <v>8375</v>
      </c>
      <c r="B2532" s="9" t="s">
        <v>5870</v>
      </c>
      <c r="C2532" s="9" t="s">
        <v>2773</v>
      </c>
      <c r="D2532" s="9" t="s">
        <v>5871</v>
      </c>
      <c r="E2532" s="9" t="str">
        <f aca="false">IF(AND('Formation Ledger'!A2511&lt;&gt;"",'Formation Ledger'!V2511=0),"PASS","FAIL")</f>
        <v>PASS</v>
      </c>
      <c r="F2532" s="9" t="s">
        <v>76</v>
      </c>
      <c r="G2532" s="6"/>
      <c r="H2532" s="6"/>
      <c r="I2532" s="6"/>
      <c r="J2532" s="6"/>
      <c r="K2532" s="6"/>
      <c r="L2532" s="6"/>
      <c r="M2532" s="6"/>
      <c r="N2532" s="6"/>
      <c r="O2532" s="6"/>
      <c r="P2532" s="6"/>
      <c r="Q2532" s="6"/>
      <c r="R2532" s="6"/>
      <c r="S2532" s="6"/>
      <c r="T2532" s="6"/>
      <c r="U2532" s="6"/>
      <c r="V2532" s="6"/>
      <c r="W2532" s="6"/>
      <c r="X2532" s="6"/>
      <c r="Y2532" s="6"/>
      <c r="Z2532" s="6"/>
    </row>
    <row r="2533" customFormat="false" ht="15" hidden="false" customHeight="false" outlineLevel="0" collapsed="false">
      <c r="A2533" s="9" t="s">
        <v>8376</v>
      </c>
      <c r="B2533" s="9" t="s">
        <v>5870</v>
      </c>
      <c r="C2533" s="9" t="s">
        <v>2774</v>
      </c>
      <c r="D2533" s="9" t="s">
        <v>5871</v>
      </c>
      <c r="E2533" s="9" t="str">
        <f aca="false">IF(AND('Formation Ledger'!A2512&lt;&gt;"",'Formation Ledger'!V2512=0),"PASS","FAIL")</f>
        <v>PASS</v>
      </c>
      <c r="F2533" s="9" t="s">
        <v>76</v>
      </c>
      <c r="G2533" s="6"/>
      <c r="H2533" s="6"/>
      <c r="I2533" s="6"/>
      <c r="J2533" s="6"/>
      <c r="K2533" s="6"/>
      <c r="L2533" s="6"/>
      <c r="M2533" s="6"/>
      <c r="N2533" s="6"/>
      <c r="O2533" s="6"/>
      <c r="P2533" s="6"/>
      <c r="Q2533" s="6"/>
      <c r="R2533" s="6"/>
      <c r="S2533" s="6"/>
      <c r="T2533" s="6"/>
      <c r="U2533" s="6"/>
      <c r="V2533" s="6"/>
      <c r="W2533" s="6"/>
      <c r="X2533" s="6"/>
      <c r="Y2533" s="6"/>
      <c r="Z2533" s="6"/>
    </row>
    <row r="2534" customFormat="false" ht="15" hidden="false" customHeight="false" outlineLevel="0" collapsed="false">
      <c r="A2534" s="9" t="s">
        <v>8377</v>
      </c>
      <c r="B2534" s="9" t="s">
        <v>5870</v>
      </c>
      <c r="C2534" s="9" t="s">
        <v>2775</v>
      </c>
      <c r="D2534" s="9" t="s">
        <v>5871</v>
      </c>
      <c r="E2534" s="9" t="str">
        <f aca="false">IF(AND('Formation Ledger'!A2513&lt;&gt;"",'Formation Ledger'!V2513=0),"PASS","FAIL")</f>
        <v>PASS</v>
      </c>
      <c r="F2534" s="9" t="s">
        <v>76</v>
      </c>
      <c r="G2534" s="6"/>
      <c r="H2534" s="6"/>
      <c r="I2534" s="6"/>
      <c r="J2534" s="6"/>
      <c r="K2534" s="6"/>
      <c r="L2534" s="6"/>
      <c r="M2534" s="6"/>
      <c r="N2534" s="6"/>
      <c r="O2534" s="6"/>
      <c r="P2534" s="6"/>
      <c r="Q2534" s="6"/>
      <c r="R2534" s="6"/>
      <c r="S2534" s="6"/>
      <c r="T2534" s="6"/>
      <c r="U2534" s="6"/>
      <c r="V2534" s="6"/>
      <c r="W2534" s="6"/>
      <c r="X2534" s="6"/>
      <c r="Y2534" s="6"/>
      <c r="Z2534" s="6"/>
    </row>
    <row r="2535" customFormat="false" ht="15" hidden="false" customHeight="false" outlineLevel="0" collapsed="false">
      <c r="A2535" s="9" t="s">
        <v>8378</v>
      </c>
      <c r="B2535" s="9" t="s">
        <v>5870</v>
      </c>
      <c r="C2535" s="9" t="s">
        <v>2776</v>
      </c>
      <c r="D2535" s="9" t="s">
        <v>5871</v>
      </c>
      <c r="E2535" s="9" t="str">
        <f aca="false">IF(AND('Formation Ledger'!A2514&lt;&gt;"",'Formation Ledger'!V2514=0),"PASS","FAIL")</f>
        <v>PASS</v>
      </c>
      <c r="F2535" s="9" t="s">
        <v>76</v>
      </c>
      <c r="G2535" s="6"/>
      <c r="H2535" s="6"/>
      <c r="I2535" s="6"/>
      <c r="J2535" s="6"/>
      <c r="K2535" s="6"/>
      <c r="L2535" s="6"/>
      <c r="M2535" s="6"/>
      <c r="N2535" s="6"/>
      <c r="O2535" s="6"/>
      <c r="P2535" s="6"/>
      <c r="Q2535" s="6"/>
      <c r="R2535" s="6"/>
      <c r="S2535" s="6"/>
      <c r="T2535" s="6"/>
      <c r="U2535" s="6"/>
      <c r="V2535" s="6"/>
      <c r="W2535" s="6"/>
      <c r="X2535" s="6"/>
      <c r="Y2535" s="6"/>
      <c r="Z2535" s="6"/>
    </row>
    <row r="2536" customFormat="false" ht="15" hidden="false" customHeight="false" outlineLevel="0" collapsed="false">
      <c r="A2536" s="9" t="s">
        <v>8379</v>
      </c>
      <c r="B2536" s="9" t="s">
        <v>5870</v>
      </c>
      <c r="C2536" s="9" t="s">
        <v>2777</v>
      </c>
      <c r="D2536" s="9" t="s">
        <v>5871</v>
      </c>
      <c r="E2536" s="9" t="str">
        <f aca="false">IF(AND('Formation Ledger'!A2515&lt;&gt;"",'Formation Ledger'!V2515=0),"PASS","FAIL")</f>
        <v>PASS</v>
      </c>
      <c r="F2536" s="9" t="s">
        <v>76</v>
      </c>
      <c r="G2536" s="6"/>
      <c r="H2536" s="6"/>
      <c r="I2536" s="6"/>
      <c r="J2536" s="6"/>
      <c r="K2536" s="6"/>
      <c r="L2536" s="6"/>
      <c r="M2536" s="6"/>
      <c r="N2536" s="6"/>
      <c r="O2536" s="6"/>
      <c r="P2536" s="6"/>
      <c r="Q2536" s="6"/>
      <c r="R2536" s="6"/>
      <c r="S2536" s="6"/>
      <c r="T2536" s="6"/>
      <c r="U2536" s="6"/>
      <c r="V2536" s="6"/>
      <c r="W2536" s="6"/>
      <c r="X2536" s="6"/>
      <c r="Y2536" s="6"/>
      <c r="Z2536" s="6"/>
    </row>
    <row r="2537" customFormat="false" ht="15" hidden="false" customHeight="false" outlineLevel="0" collapsed="false">
      <c r="A2537" s="9" t="s">
        <v>8380</v>
      </c>
      <c r="B2537" s="9" t="s">
        <v>5870</v>
      </c>
      <c r="C2537" s="9" t="s">
        <v>2778</v>
      </c>
      <c r="D2537" s="9" t="s">
        <v>5871</v>
      </c>
      <c r="E2537" s="9" t="str">
        <f aca="false">IF(AND('Formation Ledger'!A2516&lt;&gt;"",'Formation Ledger'!V2516=0),"PASS","FAIL")</f>
        <v>PASS</v>
      </c>
      <c r="F2537" s="9" t="s">
        <v>76</v>
      </c>
      <c r="G2537" s="6"/>
      <c r="H2537" s="6"/>
      <c r="I2537" s="6"/>
      <c r="J2537" s="6"/>
      <c r="K2537" s="6"/>
      <c r="L2537" s="6"/>
      <c r="M2537" s="6"/>
      <c r="N2537" s="6"/>
      <c r="O2537" s="6"/>
      <c r="P2537" s="6"/>
      <c r="Q2537" s="6"/>
      <c r="R2537" s="6"/>
      <c r="S2537" s="6"/>
      <c r="T2537" s="6"/>
      <c r="U2537" s="6"/>
      <c r="V2537" s="6"/>
      <c r="W2537" s="6"/>
      <c r="X2537" s="6"/>
      <c r="Y2537" s="6"/>
      <c r="Z2537" s="6"/>
    </row>
    <row r="2538" customFormat="false" ht="15" hidden="false" customHeight="false" outlineLevel="0" collapsed="false">
      <c r="A2538" s="9" t="s">
        <v>8381</v>
      </c>
      <c r="B2538" s="9" t="s">
        <v>5870</v>
      </c>
      <c r="C2538" s="9" t="s">
        <v>2779</v>
      </c>
      <c r="D2538" s="9" t="s">
        <v>5871</v>
      </c>
      <c r="E2538" s="9" t="str">
        <f aca="false">IF(AND('Formation Ledger'!A2517&lt;&gt;"",'Formation Ledger'!V2517=0),"PASS","FAIL")</f>
        <v>PASS</v>
      </c>
      <c r="F2538" s="9" t="s">
        <v>76</v>
      </c>
      <c r="G2538" s="6"/>
      <c r="H2538" s="6"/>
      <c r="I2538" s="6"/>
      <c r="J2538" s="6"/>
      <c r="K2538" s="6"/>
      <c r="L2538" s="6"/>
      <c r="M2538" s="6"/>
      <c r="N2538" s="6"/>
      <c r="O2538" s="6"/>
      <c r="P2538" s="6"/>
      <c r="Q2538" s="6"/>
      <c r="R2538" s="6"/>
      <c r="S2538" s="6"/>
      <c r="T2538" s="6"/>
      <c r="U2538" s="6"/>
      <c r="V2538" s="6"/>
      <c r="W2538" s="6"/>
      <c r="X2538" s="6"/>
      <c r="Y2538" s="6"/>
      <c r="Z2538" s="6"/>
    </row>
    <row r="2539" customFormat="false" ht="15" hidden="false" customHeight="false" outlineLevel="0" collapsed="false">
      <c r="A2539" s="9" t="s">
        <v>8382</v>
      </c>
      <c r="B2539" s="9" t="s">
        <v>5870</v>
      </c>
      <c r="C2539" s="9" t="s">
        <v>2780</v>
      </c>
      <c r="D2539" s="9" t="s">
        <v>5871</v>
      </c>
      <c r="E2539" s="9" t="str">
        <f aca="false">IF(AND('Formation Ledger'!A2518&lt;&gt;"",'Formation Ledger'!V2518=0),"PASS","FAIL")</f>
        <v>PASS</v>
      </c>
      <c r="F2539" s="9" t="s">
        <v>76</v>
      </c>
      <c r="G2539" s="6"/>
      <c r="H2539" s="6"/>
      <c r="I2539" s="6"/>
      <c r="J2539" s="6"/>
      <c r="K2539" s="6"/>
      <c r="L2539" s="6"/>
      <c r="M2539" s="6"/>
      <c r="N2539" s="6"/>
      <c r="O2539" s="6"/>
      <c r="P2539" s="6"/>
      <c r="Q2539" s="6"/>
      <c r="R2539" s="6"/>
      <c r="S2539" s="6"/>
      <c r="T2539" s="6"/>
      <c r="U2539" s="6"/>
      <c r="V2539" s="6"/>
      <c r="W2539" s="6"/>
      <c r="X2539" s="6"/>
      <c r="Y2539" s="6"/>
      <c r="Z2539" s="6"/>
    </row>
    <row r="2540" customFormat="false" ht="15" hidden="false" customHeight="false" outlineLevel="0" collapsed="false">
      <c r="A2540" s="9" t="s">
        <v>8383</v>
      </c>
      <c r="B2540" s="9" t="s">
        <v>5870</v>
      </c>
      <c r="C2540" s="9" t="s">
        <v>2781</v>
      </c>
      <c r="D2540" s="9" t="s">
        <v>5871</v>
      </c>
      <c r="E2540" s="9" t="str">
        <f aca="false">IF(AND('Formation Ledger'!A2519&lt;&gt;"",'Formation Ledger'!V2519=0),"PASS","FAIL")</f>
        <v>PASS</v>
      </c>
      <c r="F2540" s="9" t="s">
        <v>76</v>
      </c>
      <c r="G2540" s="6"/>
      <c r="H2540" s="6"/>
      <c r="I2540" s="6"/>
      <c r="J2540" s="6"/>
      <c r="K2540" s="6"/>
      <c r="L2540" s="6"/>
      <c r="M2540" s="6"/>
      <c r="N2540" s="6"/>
      <c r="O2540" s="6"/>
      <c r="P2540" s="6"/>
      <c r="Q2540" s="6"/>
      <c r="R2540" s="6"/>
      <c r="S2540" s="6"/>
      <c r="T2540" s="6"/>
      <c r="U2540" s="6"/>
      <c r="V2540" s="6"/>
      <c r="W2540" s="6"/>
      <c r="X2540" s="6"/>
      <c r="Y2540" s="6"/>
      <c r="Z2540" s="6"/>
    </row>
    <row r="2541" customFormat="false" ht="15" hidden="false" customHeight="false" outlineLevel="0" collapsed="false">
      <c r="A2541" s="9" t="s">
        <v>8384</v>
      </c>
      <c r="B2541" s="9" t="s">
        <v>5870</v>
      </c>
      <c r="C2541" s="9" t="s">
        <v>2782</v>
      </c>
      <c r="D2541" s="9" t="s">
        <v>5871</v>
      </c>
      <c r="E2541" s="9" t="str">
        <f aca="false">IF(AND('Formation Ledger'!A2520&lt;&gt;"",'Formation Ledger'!V2520=0),"PASS","FAIL")</f>
        <v>PASS</v>
      </c>
      <c r="F2541" s="9" t="s">
        <v>76</v>
      </c>
      <c r="G2541" s="6"/>
      <c r="H2541" s="6"/>
      <c r="I2541" s="6"/>
      <c r="J2541" s="6"/>
      <c r="K2541" s="6"/>
      <c r="L2541" s="6"/>
      <c r="M2541" s="6"/>
      <c r="N2541" s="6"/>
      <c r="O2541" s="6"/>
      <c r="P2541" s="6"/>
      <c r="Q2541" s="6"/>
      <c r="R2541" s="6"/>
      <c r="S2541" s="6"/>
      <c r="T2541" s="6"/>
      <c r="U2541" s="6"/>
      <c r="V2541" s="6"/>
      <c r="W2541" s="6"/>
      <c r="X2541" s="6"/>
      <c r="Y2541" s="6"/>
      <c r="Z2541" s="6"/>
    </row>
    <row r="2542" customFormat="false" ht="15" hidden="false" customHeight="false" outlineLevel="0" collapsed="false">
      <c r="A2542" s="9" t="s">
        <v>8385</v>
      </c>
      <c r="B2542" s="9" t="s">
        <v>5870</v>
      </c>
      <c r="C2542" s="9" t="s">
        <v>2783</v>
      </c>
      <c r="D2542" s="9" t="s">
        <v>5871</v>
      </c>
      <c r="E2542" s="9" t="str">
        <f aca="false">IF(AND('Formation Ledger'!A2521&lt;&gt;"",'Formation Ledger'!V2521=0),"PASS","FAIL")</f>
        <v>PASS</v>
      </c>
      <c r="F2542" s="9" t="s">
        <v>76</v>
      </c>
      <c r="G2542" s="6"/>
      <c r="H2542" s="6"/>
      <c r="I2542" s="6"/>
      <c r="J2542" s="6"/>
      <c r="K2542" s="6"/>
      <c r="L2542" s="6"/>
      <c r="M2542" s="6"/>
      <c r="N2542" s="6"/>
      <c r="O2542" s="6"/>
      <c r="P2542" s="6"/>
      <c r="Q2542" s="6"/>
      <c r="R2542" s="6"/>
      <c r="S2542" s="6"/>
      <c r="T2542" s="6"/>
      <c r="U2542" s="6"/>
      <c r="V2542" s="6"/>
      <c r="W2542" s="6"/>
      <c r="X2542" s="6"/>
      <c r="Y2542" s="6"/>
      <c r="Z2542" s="6"/>
    </row>
    <row r="2543" customFormat="false" ht="15" hidden="false" customHeight="false" outlineLevel="0" collapsed="false">
      <c r="A2543" s="9" t="s">
        <v>8386</v>
      </c>
      <c r="B2543" s="9" t="s">
        <v>5870</v>
      </c>
      <c r="C2543" s="9" t="s">
        <v>2784</v>
      </c>
      <c r="D2543" s="9" t="s">
        <v>5871</v>
      </c>
      <c r="E2543" s="9" t="str">
        <f aca="false">IF(AND('Formation Ledger'!A2522&lt;&gt;"",'Formation Ledger'!V2522=0),"PASS","FAIL")</f>
        <v>PASS</v>
      </c>
      <c r="F2543" s="9" t="s">
        <v>76</v>
      </c>
      <c r="G2543" s="6"/>
      <c r="H2543" s="6"/>
      <c r="I2543" s="6"/>
      <c r="J2543" s="6"/>
      <c r="K2543" s="6"/>
      <c r="L2543" s="6"/>
      <c r="M2543" s="6"/>
      <c r="N2543" s="6"/>
      <c r="O2543" s="6"/>
      <c r="P2543" s="6"/>
      <c r="Q2543" s="6"/>
      <c r="R2543" s="6"/>
      <c r="S2543" s="6"/>
      <c r="T2543" s="6"/>
      <c r="U2543" s="6"/>
      <c r="V2543" s="6"/>
      <c r="W2543" s="6"/>
      <c r="X2543" s="6"/>
      <c r="Y2543" s="6"/>
      <c r="Z2543" s="6"/>
    </row>
    <row r="2544" customFormat="false" ht="15" hidden="false" customHeight="false" outlineLevel="0" collapsed="false">
      <c r="A2544" s="9" t="s">
        <v>8387</v>
      </c>
      <c r="B2544" s="9" t="s">
        <v>5870</v>
      </c>
      <c r="C2544" s="9" t="s">
        <v>2785</v>
      </c>
      <c r="D2544" s="9" t="s">
        <v>5871</v>
      </c>
      <c r="E2544" s="9" t="str">
        <f aca="false">IF(AND('Formation Ledger'!A2523&lt;&gt;"",'Formation Ledger'!V2523=0),"PASS","FAIL")</f>
        <v>PASS</v>
      </c>
      <c r="F2544" s="9" t="s">
        <v>76</v>
      </c>
      <c r="G2544" s="6"/>
      <c r="H2544" s="6"/>
      <c r="I2544" s="6"/>
      <c r="J2544" s="6"/>
      <c r="K2544" s="6"/>
      <c r="L2544" s="6"/>
      <c r="M2544" s="6"/>
      <c r="N2544" s="6"/>
      <c r="O2544" s="6"/>
      <c r="P2544" s="6"/>
      <c r="Q2544" s="6"/>
      <c r="R2544" s="6"/>
      <c r="S2544" s="6"/>
      <c r="T2544" s="6"/>
      <c r="U2544" s="6"/>
      <c r="V2544" s="6"/>
      <c r="W2544" s="6"/>
      <c r="X2544" s="6"/>
      <c r="Y2544" s="6"/>
      <c r="Z2544" s="6"/>
    </row>
    <row r="2545" customFormat="false" ht="15" hidden="false" customHeight="false" outlineLevel="0" collapsed="false">
      <c r="A2545" s="9" t="s">
        <v>8388</v>
      </c>
      <c r="B2545" s="9" t="s">
        <v>5870</v>
      </c>
      <c r="C2545" s="9" t="s">
        <v>2786</v>
      </c>
      <c r="D2545" s="9" t="s">
        <v>5871</v>
      </c>
      <c r="E2545" s="9" t="str">
        <f aca="false">IF(AND('Formation Ledger'!A2524&lt;&gt;"",'Formation Ledger'!V2524=0),"PASS","FAIL")</f>
        <v>PASS</v>
      </c>
      <c r="F2545" s="9" t="s">
        <v>76</v>
      </c>
      <c r="G2545" s="6"/>
      <c r="H2545" s="6"/>
      <c r="I2545" s="6"/>
      <c r="J2545" s="6"/>
      <c r="K2545" s="6"/>
      <c r="L2545" s="6"/>
      <c r="M2545" s="6"/>
      <c r="N2545" s="6"/>
      <c r="O2545" s="6"/>
      <c r="P2545" s="6"/>
      <c r="Q2545" s="6"/>
      <c r="R2545" s="6"/>
      <c r="S2545" s="6"/>
      <c r="T2545" s="6"/>
      <c r="U2545" s="6"/>
      <c r="V2545" s="6"/>
      <c r="W2545" s="6"/>
      <c r="X2545" s="6"/>
      <c r="Y2545" s="6"/>
      <c r="Z2545" s="6"/>
    </row>
    <row r="2546" customFormat="false" ht="15" hidden="false" customHeight="false" outlineLevel="0" collapsed="false">
      <c r="A2546" s="9" t="s">
        <v>8389</v>
      </c>
      <c r="B2546" s="9" t="s">
        <v>5870</v>
      </c>
      <c r="C2546" s="9" t="s">
        <v>2787</v>
      </c>
      <c r="D2546" s="9" t="s">
        <v>5871</v>
      </c>
      <c r="E2546" s="9" t="str">
        <f aca="false">IF(AND('Formation Ledger'!A2525&lt;&gt;"",'Formation Ledger'!V2525=0),"PASS","FAIL")</f>
        <v>PASS</v>
      </c>
      <c r="F2546" s="9" t="s">
        <v>76</v>
      </c>
      <c r="G2546" s="6"/>
      <c r="H2546" s="6"/>
      <c r="I2546" s="6"/>
      <c r="J2546" s="6"/>
      <c r="K2546" s="6"/>
      <c r="L2546" s="6"/>
      <c r="M2546" s="6"/>
      <c r="N2546" s="6"/>
      <c r="O2546" s="6"/>
      <c r="P2546" s="6"/>
      <c r="Q2546" s="6"/>
      <c r="R2546" s="6"/>
      <c r="S2546" s="6"/>
      <c r="T2546" s="6"/>
      <c r="U2546" s="6"/>
      <c r="V2546" s="6"/>
      <c r="W2546" s="6"/>
      <c r="X2546" s="6"/>
      <c r="Y2546" s="6"/>
      <c r="Z2546" s="6"/>
    </row>
    <row r="2547" customFormat="false" ht="15" hidden="false" customHeight="false" outlineLevel="0" collapsed="false">
      <c r="A2547" s="9" t="s">
        <v>8390</v>
      </c>
      <c r="B2547" s="9" t="s">
        <v>5870</v>
      </c>
      <c r="C2547" s="9" t="s">
        <v>2788</v>
      </c>
      <c r="D2547" s="9" t="s">
        <v>5871</v>
      </c>
      <c r="E2547" s="9" t="str">
        <f aca="false">IF(AND('Formation Ledger'!A2526&lt;&gt;"",'Formation Ledger'!V2526=0),"PASS","FAIL")</f>
        <v>PASS</v>
      </c>
      <c r="F2547" s="9" t="s">
        <v>76</v>
      </c>
      <c r="G2547" s="6"/>
      <c r="H2547" s="6"/>
      <c r="I2547" s="6"/>
      <c r="J2547" s="6"/>
      <c r="K2547" s="6"/>
      <c r="L2547" s="6"/>
      <c r="M2547" s="6"/>
      <c r="N2547" s="6"/>
      <c r="O2547" s="6"/>
      <c r="P2547" s="6"/>
      <c r="Q2547" s="6"/>
      <c r="R2547" s="6"/>
      <c r="S2547" s="6"/>
      <c r="T2547" s="6"/>
      <c r="U2547" s="6"/>
      <c r="V2547" s="6"/>
      <c r="W2547" s="6"/>
      <c r="X2547" s="6"/>
      <c r="Y2547" s="6"/>
      <c r="Z2547" s="6"/>
    </row>
    <row r="2548" customFormat="false" ht="15" hidden="false" customHeight="false" outlineLevel="0" collapsed="false">
      <c r="A2548" s="9" t="s">
        <v>8391</v>
      </c>
      <c r="B2548" s="9" t="s">
        <v>5870</v>
      </c>
      <c r="C2548" s="9" t="s">
        <v>2789</v>
      </c>
      <c r="D2548" s="9" t="s">
        <v>5871</v>
      </c>
      <c r="E2548" s="9" t="str">
        <f aca="false">IF(AND('Formation Ledger'!A2527&lt;&gt;"",'Formation Ledger'!V2527=0),"PASS","FAIL")</f>
        <v>PASS</v>
      </c>
      <c r="F2548" s="9" t="s">
        <v>76</v>
      </c>
      <c r="G2548" s="6"/>
      <c r="H2548" s="6"/>
      <c r="I2548" s="6"/>
      <c r="J2548" s="6"/>
      <c r="K2548" s="6"/>
      <c r="L2548" s="6"/>
      <c r="M2548" s="6"/>
      <c r="N2548" s="6"/>
      <c r="O2548" s="6"/>
      <c r="P2548" s="6"/>
      <c r="Q2548" s="6"/>
      <c r="R2548" s="6"/>
      <c r="S2548" s="6"/>
      <c r="T2548" s="6"/>
      <c r="U2548" s="6"/>
      <c r="V2548" s="6"/>
      <c r="W2548" s="6"/>
      <c r="X2548" s="6"/>
      <c r="Y2548" s="6"/>
      <c r="Z2548" s="6"/>
    </row>
    <row r="2549" customFormat="false" ht="15" hidden="false" customHeight="false" outlineLevel="0" collapsed="false">
      <c r="A2549" s="9" t="s">
        <v>8392</v>
      </c>
      <c r="B2549" s="9" t="s">
        <v>5870</v>
      </c>
      <c r="C2549" s="9" t="s">
        <v>2790</v>
      </c>
      <c r="D2549" s="9" t="s">
        <v>5871</v>
      </c>
      <c r="E2549" s="9" t="str">
        <f aca="false">IF(AND('Formation Ledger'!A2528&lt;&gt;"",'Formation Ledger'!V2528=0),"PASS","FAIL")</f>
        <v>PASS</v>
      </c>
      <c r="F2549" s="9" t="s">
        <v>76</v>
      </c>
      <c r="G2549" s="6"/>
      <c r="H2549" s="6"/>
      <c r="I2549" s="6"/>
      <c r="J2549" s="6"/>
      <c r="K2549" s="6"/>
      <c r="L2549" s="6"/>
      <c r="M2549" s="6"/>
      <c r="N2549" s="6"/>
      <c r="O2549" s="6"/>
      <c r="P2549" s="6"/>
      <c r="Q2549" s="6"/>
      <c r="R2549" s="6"/>
      <c r="S2549" s="6"/>
      <c r="T2549" s="6"/>
      <c r="U2549" s="6"/>
      <c r="V2549" s="6"/>
      <c r="W2549" s="6"/>
      <c r="X2549" s="6"/>
      <c r="Y2549" s="6"/>
      <c r="Z2549" s="6"/>
    </row>
    <row r="2550" customFormat="false" ht="15" hidden="false" customHeight="false" outlineLevel="0" collapsed="false">
      <c r="A2550" s="9" t="s">
        <v>8393</v>
      </c>
      <c r="B2550" s="9" t="s">
        <v>5870</v>
      </c>
      <c r="C2550" s="9" t="s">
        <v>2791</v>
      </c>
      <c r="D2550" s="9" t="s">
        <v>5871</v>
      </c>
      <c r="E2550" s="9" t="str">
        <f aca="false">IF(AND('Formation Ledger'!A2529&lt;&gt;"",'Formation Ledger'!V2529=0),"PASS","FAIL")</f>
        <v>PASS</v>
      </c>
      <c r="F2550" s="9" t="s">
        <v>76</v>
      </c>
      <c r="G2550" s="6"/>
      <c r="H2550" s="6"/>
      <c r="I2550" s="6"/>
      <c r="J2550" s="6"/>
      <c r="K2550" s="6"/>
      <c r="L2550" s="6"/>
      <c r="M2550" s="6"/>
      <c r="N2550" s="6"/>
      <c r="O2550" s="6"/>
      <c r="P2550" s="6"/>
      <c r="Q2550" s="6"/>
      <c r="R2550" s="6"/>
      <c r="S2550" s="6"/>
      <c r="T2550" s="6"/>
      <c r="U2550" s="6"/>
      <c r="V2550" s="6"/>
      <c r="W2550" s="6"/>
      <c r="X2550" s="6"/>
      <c r="Y2550" s="6"/>
      <c r="Z2550" s="6"/>
    </row>
    <row r="2551" customFormat="false" ht="15" hidden="false" customHeight="false" outlineLevel="0" collapsed="false">
      <c r="A2551" s="9" t="s">
        <v>8394</v>
      </c>
      <c r="B2551" s="9" t="s">
        <v>5870</v>
      </c>
      <c r="C2551" s="9" t="s">
        <v>2792</v>
      </c>
      <c r="D2551" s="9" t="s">
        <v>5871</v>
      </c>
      <c r="E2551" s="9" t="str">
        <f aca="false">IF(AND('Formation Ledger'!A2530&lt;&gt;"",'Formation Ledger'!V2530=0),"PASS","FAIL")</f>
        <v>PASS</v>
      </c>
      <c r="F2551" s="9" t="s">
        <v>76</v>
      </c>
      <c r="G2551" s="6"/>
      <c r="H2551" s="6"/>
      <c r="I2551" s="6"/>
      <c r="J2551" s="6"/>
      <c r="K2551" s="6"/>
      <c r="L2551" s="6"/>
      <c r="M2551" s="6"/>
      <c r="N2551" s="6"/>
      <c r="O2551" s="6"/>
      <c r="P2551" s="6"/>
      <c r="Q2551" s="6"/>
      <c r="R2551" s="6"/>
      <c r="S2551" s="6"/>
      <c r="T2551" s="6"/>
      <c r="U2551" s="6"/>
      <c r="V2551" s="6"/>
      <c r="W2551" s="6"/>
      <c r="X2551" s="6"/>
      <c r="Y2551" s="6"/>
      <c r="Z2551" s="6"/>
    </row>
    <row r="2552" customFormat="false" ht="15" hidden="false" customHeight="false" outlineLevel="0" collapsed="false">
      <c r="A2552" s="9" t="s">
        <v>8395</v>
      </c>
      <c r="B2552" s="9" t="s">
        <v>5870</v>
      </c>
      <c r="C2552" s="9" t="s">
        <v>2793</v>
      </c>
      <c r="D2552" s="9" t="s">
        <v>5871</v>
      </c>
      <c r="E2552" s="9" t="str">
        <f aca="false">IF(AND('Formation Ledger'!A2531&lt;&gt;"",'Formation Ledger'!V2531=0),"PASS","FAIL")</f>
        <v>PASS</v>
      </c>
      <c r="F2552" s="9" t="s">
        <v>76</v>
      </c>
      <c r="G2552" s="6"/>
      <c r="H2552" s="6"/>
      <c r="I2552" s="6"/>
      <c r="J2552" s="6"/>
      <c r="K2552" s="6"/>
      <c r="L2552" s="6"/>
      <c r="M2552" s="6"/>
      <c r="N2552" s="6"/>
      <c r="O2552" s="6"/>
      <c r="P2552" s="6"/>
      <c r="Q2552" s="6"/>
      <c r="R2552" s="6"/>
      <c r="S2552" s="6"/>
      <c r="T2552" s="6"/>
      <c r="U2552" s="6"/>
      <c r="V2552" s="6"/>
      <c r="W2552" s="6"/>
      <c r="X2552" s="6"/>
      <c r="Y2552" s="6"/>
      <c r="Z2552" s="6"/>
    </row>
    <row r="2553" customFormat="false" ht="15" hidden="false" customHeight="false" outlineLevel="0" collapsed="false">
      <c r="A2553" s="9" t="s">
        <v>8396</v>
      </c>
      <c r="B2553" s="9" t="s">
        <v>5870</v>
      </c>
      <c r="C2553" s="9" t="s">
        <v>2794</v>
      </c>
      <c r="D2553" s="9" t="s">
        <v>5871</v>
      </c>
      <c r="E2553" s="9" t="str">
        <f aca="false">IF(AND('Formation Ledger'!A2532&lt;&gt;"",'Formation Ledger'!V2532=0),"PASS","FAIL")</f>
        <v>PASS</v>
      </c>
      <c r="F2553" s="9" t="s">
        <v>76</v>
      </c>
      <c r="G2553" s="6"/>
      <c r="H2553" s="6"/>
      <c r="I2553" s="6"/>
      <c r="J2553" s="6"/>
      <c r="K2553" s="6"/>
      <c r="L2553" s="6"/>
      <c r="M2553" s="6"/>
      <c r="N2553" s="6"/>
      <c r="O2553" s="6"/>
      <c r="P2553" s="6"/>
      <c r="Q2553" s="6"/>
      <c r="R2553" s="6"/>
      <c r="S2553" s="6"/>
      <c r="T2553" s="6"/>
      <c r="U2553" s="6"/>
      <c r="V2553" s="6"/>
      <c r="W2553" s="6"/>
      <c r="X2553" s="6"/>
      <c r="Y2553" s="6"/>
      <c r="Z2553" s="6"/>
    </row>
    <row r="2554" customFormat="false" ht="15" hidden="false" customHeight="false" outlineLevel="0" collapsed="false">
      <c r="A2554" s="9" t="s">
        <v>8397</v>
      </c>
      <c r="B2554" s="9" t="s">
        <v>5870</v>
      </c>
      <c r="C2554" s="9" t="s">
        <v>2795</v>
      </c>
      <c r="D2554" s="9" t="s">
        <v>5871</v>
      </c>
      <c r="E2554" s="9" t="str">
        <f aca="false">IF(AND('Formation Ledger'!A2533&lt;&gt;"",'Formation Ledger'!V2533=0),"PASS","FAIL")</f>
        <v>PASS</v>
      </c>
      <c r="F2554" s="9" t="s">
        <v>76</v>
      </c>
      <c r="G2554" s="6"/>
      <c r="H2554" s="6"/>
      <c r="I2554" s="6"/>
      <c r="J2554" s="6"/>
      <c r="K2554" s="6"/>
      <c r="L2554" s="6"/>
      <c r="M2554" s="6"/>
      <c r="N2554" s="6"/>
      <c r="O2554" s="6"/>
      <c r="P2554" s="6"/>
      <c r="Q2554" s="6"/>
      <c r="R2554" s="6"/>
      <c r="S2554" s="6"/>
      <c r="T2554" s="6"/>
      <c r="U2554" s="6"/>
      <c r="V2554" s="6"/>
      <c r="W2554" s="6"/>
      <c r="X2554" s="6"/>
      <c r="Y2554" s="6"/>
      <c r="Z2554" s="6"/>
    </row>
    <row r="2555" customFormat="false" ht="15" hidden="false" customHeight="false" outlineLevel="0" collapsed="false">
      <c r="A2555" s="9" t="s">
        <v>8398</v>
      </c>
      <c r="B2555" s="9" t="s">
        <v>5870</v>
      </c>
      <c r="C2555" s="9" t="s">
        <v>2796</v>
      </c>
      <c r="D2555" s="9" t="s">
        <v>5871</v>
      </c>
      <c r="E2555" s="9" t="str">
        <f aca="false">IF(AND('Formation Ledger'!A2534&lt;&gt;"",'Formation Ledger'!V2534=0),"PASS","FAIL")</f>
        <v>PASS</v>
      </c>
      <c r="F2555" s="9" t="s">
        <v>76</v>
      </c>
      <c r="G2555" s="6"/>
      <c r="H2555" s="6"/>
      <c r="I2555" s="6"/>
      <c r="J2555" s="6"/>
      <c r="K2555" s="6"/>
      <c r="L2555" s="6"/>
      <c r="M2555" s="6"/>
      <c r="N2555" s="6"/>
      <c r="O2555" s="6"/>
      <c r="P2555" s="6"/>
      <c r="Q2555" s="6"/>
      <c r="R2555" s="6"/>
      <c r="S2555" s="6"/>
      <c r="T2555" s="6"/>
      <c r="U2555" s="6"/>
      <c r="V2555" s="6"/>
      <c r="W2555" s="6"/>
      <c r="X2555" s="6"/>
      <c r="Y2555" s="6"/>
      <c r="Z2555" s="6"/>
    </row>
    <row r="2556" customFormat="false" ht="15" hidden="false" customHeight="false" outlineLevel="0" collapsed="false">
      <c r="A2556" s="9" t="s">
        <v>8399</v>
      </c>
      <c r="B2556" s="9" t="s">
        <v>5870</v>
      </c>
      <c r="C2556" s="9" t="s">
        <v>2797</v>
      </c>
      <c r="D2556" s="9" t="s">
        <v>5871</v>
      </c>
      <c r="E2556" s="9" t="str">
        <f aca="false">IF(AND('Formation Ledger'!A2535&lt;&gt;"",'Formation Ledger'!V2535=0),"PASS","FAIL")</f>
        <v>PASS</v>
      </c>
      <c r="F2556" s="9" t="s">
        <v>76</v>
      </c>
      <c r="G2556" s="6"/>
      <c r="H2556" s="6"/>
      <c r="I2556" s="6"/>
      <c r="J2556" s="6"/>
      <c r="K2556" s="6"/>
      <c r="L2556" s="6"/>
      <c r="M2556" s="6"/>
      <c r="N2556" s="6"/>
      <c r="O2556" s="6"/>
      <c r="P2556" s="6"/>
      <c r="Q2556" s="6"/>
      <c r="R2556" s="6"/>
      <c r="S2556" s="6"/>
      <c r="T2556" s="6"/>
      <c r="U2556" s="6"/>
      <c r="V2556" s="6"/>
      <c r="W2556" s="6"/>
      <c r="X2556" s="6"/>
      <c r="Y2556" s="6"/>
      <c r="Z2556" s="6"/>
    </row>
    <row r="2557" customFormat="false" ht="15" hidden="false" customHeight="false" outlineLevel="0" collapsed="false">
      <c r="A2557" s="9" t="s">
        <v>8400</v>
      </c>
      <c r="B2557" s="9" t="s">
        <v>5870</v>
      </c>
      <c r="C2557" s="9" t="s">
        <v>2798</v>
      </c>
      <c r="D2557" s="9" t="s">
        <v>5871</v>
      </c>
      <c r="E2557" s="9" t="str">
        <f aca="false">IF(AND('Formation Ledger'!A2536&lt;&gt;"",'Formation Ledger'!V2536=0),"PASS","FAIL")</f>
        <v>PASS</v>
      </c>
      <c r="F2557" s="9" t="s">
        <v>76</v>
      </c>
      <c r="G2557" s="6"/>
      <c r="H2557" s="6"/>
      <c r="I2557" s="6"/>
      <c r="J2557" s="6"/>
      <c r="K2557" s="6"/>
      <c r="L2557" s="6"/>
      <c r="M2557" s="6"/>
      <c r="N2557" s="6"/>
      <c r="O2557" s="6"/>
      <c r="P2557" s="6"/>
      <c r="Q2557" s="6"/>
      <c r="R2557" s="6"/>
      <c r="S2557" s="6"/>
      <c r="T2557" s="6"/>
      <c r="U2557" s="6"/>
      <c r="V2557" s="6"/>
      <c r="W2557" s="6"/>
      <c r="X2557" s="6"/>
      <c r="Y2557" s="6"/>
      <c r="Z2557" s="6"/>
    </row>
    <row r="2558" customFormat="false" ht="15" hidden="false" customHeight="false" outlineLevel="0" collapsed="false">
      <c r="A2558" s="9" t="s">
        <v>8401</v>
      </c>
      <c r="B2558" s="9" t="s">
        <v>5870</v>
      </c>
      <c r="C2558" s="9" t="s">
        <v>2799</v>
      </c>
      <c r="D2558" s="9" t="s">
        <v>5871</v>
      </c>
      <c r="E2558" s="9" t="str">
        <f aca="false">IF(AND('Formation Ledger'!A2537&lt;&gt;"",'Formation Ledger'!V2537=0),"PASS","FAIL")</f>
        <v>PASS</v>
      </c>
      <c r="F2558" s="9" t="s">
        <v>76</v>
      </c>
      <c r="G2558" s="6"/>
      <c r="H2558" s="6"/>
      <c r="I2558" s="6"/>
      <c r="J2558" s="6"/>
      <c r="K2558" s="6"/>
      <c r="L2558" s="6"/>
      <c r="M2558" s="6"/>
      <c r="N2558" s="6"/>
      <c r="O2558" s="6"/>
      <c r="P2558" s="6"/>
      <c r="Q2558" s="6"/>
      <c r="R2558" s="6"/>
      <c r="S2558" s="6"/>
      <c r="T2558" s="6"/>
      <c r="U2558" s="6"/>
      <c r="V2558" s="6"/>
      <c r="W2558" s="6"/>
      <c r="X2558" s="6"/>
      <c r="Y2558" s="6"/>
      <c r="Z2558" s="6"/>
    </row>
    <row r="2559" customFormat="false" ht="15" hidden="false" customHeight="false" outlineLevel="0" collapsed="false">
      <c r="A2559" s="9" t="s">
        <v>8402</v>
      </c>
      <c r="B2559" s="9" t="s">
        <v>5870</v>
      </c>
      <c r="C2559" s="9" t="s">
        <v>2800</v>
      </c>
      <c r="D2559" s="9" t="s">
        <v>5871</v>
      </c>
      <c r="E2559" s="9" t="str">
        <f aca="false">IF(AND('Formation Ledger'!A2538&lt;&gt;"",'Formation Ledger'!V2538=0),"PASS","FAIL")</f>
        <v>PASS</v>
      </c>
      <c r="F2559" s="9" t="s">
        <v>76</v>
      </c>
      <c r="G2559" s="6"/>
      <c r="H2559" s="6"/>
      <c r="I2559" s="6"/>
      <c r="J2559" s="6"/>
      <c r="K2559" s="6"/>
      <c r="L2559" s="6"/>
      <c r="M2559" s="6"/>
      <c r="N2559" s="6"/>
      <c r="O2559" s="6"/>
      <c r="P2559" s="6"/>
      <c r="Q2559" s="6"/>
      <c r="R2559" s="6"/>
      <c r="S2559" s="6"/>
      <c r="T2559" s="6"/>
      <c r="U2559" s="6"/>
      <c r="V2559" s="6"/>
      <c r="W2559" s="6"/>
      <c r="X2559" s="6"/>
      <c r="Y2559" s="6"/>
      <c r="Z2559" s="6"/>
    </row>
    <row r="2560" customFormat="false" ht="15" hidden="false" customHeight="false" outlineLevel="0" collapsed="false">
      <c r="A2560" s="9" t="s">
        <v>8403</v>
      </c>
      <c r="B2560" s="9" t="s">
        <v>5870</v>
      </c>
      <c r="C2560" s="9" t="s">
        <v>2801</v>
      </c>
      <c r="D2560" s="9" t="s">
        <v>5871</v>
      </c>
      <c r="E2560" s="9" t="str">
        <f aca="false">IF(AND('Formation Ledger'!A2539&lt;&gt;"",'Formation Ledger'!V2539=0),"PASS","FAIL")</f>
        <v>PASS</v>
      </c>
      <c r="F2560" s="9" t="s">
        <v>76</v>
      </c>
      <c r="G2560" s="6"/>
      <c r="H2560" s="6"/>
      <c r="I2560" s="6"/>
      <c r="J2560" s="6"/>
      <c r="K2560" s="6"/>
      <c r="L2560" s="6"/>
      <c r="M2560" s="6"/>
      <c r="N2560" s="6"/>
      <c r="O2560" s="6"/>
      <c r="P2560" s="6"/>
      <c r="Q2560" s="6"/>
      <c r="R2560" s="6"/>
      <c r="S2560" s="6"/>
      <c r="T2560" s="6"/>
      <c r="U2560" s="6"/>
      <c r="V2560" s="6"/>
      <c r="W2560" s="6"/>
      <c r="X2560" s="6"/>
      <c r="Y2560" s="6"/>
      <c r="Z2560" s="6"/>
    </row>
    <row r="2561" customFormat="false" ht="15" hidden="false" customHeight="false" outlineLevel="0" collapsed="false">
      <c r="A2561" s="9" t="s">
        <v>8404</v>
      </c>
      <c r="B2561" s="9" t="s">
        <v>5870</v>
      </c>
      <c r="C2561" s="9" t="s">
        <v>2802</v>
      </c>
      <c r="D2561" s="9" t="s">
        <v>5871</v>
      </c>
      <c r="E2561" s="9" t="str">
        <f aca="false">IF(AND('Formation Ledger'!A2540&lt;&gt;"",'Formation Ledger'!V2540=0),"PASS","FAIL")</f>
        <v>PASS</v>
      </c>
      <c r="F2561" s="9" t="s">
        <v>76</v>
      </c>
      <c r="G2561" s="6"/>
      <c r="H2561" s="6"/>
      <c r="I2561" s="6"/>
      <c r="J2561" s="6"/>
      <c r="K2561" s="6"/>
      <c r="L2561" s="6"/>
      <c r="M2561" s="6"/>
      <c r="N2561" s="6"/>
      <c r="O2561" s="6"/>
      <c r="P2561" s="6"/>
      <c r="Q2561" s="6"/>
      <c r="R2561" s="6"/>
      <c r="S2561" s="6"/>
      <c r="T2561" s="6"/>
      <c r="U2561" s="6"/>
      <c r="V2561" s="6"/>
      <c r="W2561" s="6"/>
      <c r="X2561" s="6"/>
      <c r="Y2561" s="6"/>
      <c r="Z2561" s="6"/>
    </row>
    <row r="2562" customFormat="false" ht="15" hidden="false" customHeight="false" outlineLevel="0" collapsed="false">
      <c r="A2562" s="9" t="s">
        <v>8405</v>
      </c>
      <c r="B2562" s="9" t="s">
        <v>5870</v>
      </c>
      <c r="C2562" s="9" t="s">
        <v>2803</v>
      </c>
      <c r="D2562" s="9" t="s">
        <v>5871</v>
      </c>
      <c r="E2562" s="9" t="str">
        <f aca="false">IF(AND('Formation Ledger'!A2541&lt;&gt;"",'Formation Ledger'!V2541=0),"PASS","FAIL")</f>
        <v>PASS</v>
      </c>
      <c r="F2562" s="9" t="s">
        <v>76</v>
      </c>
      <c r="G2562" s="6"/>
      <c r="H2562" s="6"/>
      <c r="I2562" s="6"/>
      <c r="J2562" s="6"/>
      <c r="K2562" s="6"/>
      <c r="L2562" s="6"/>
      <c r="M2562" s="6"/>
      <c r="N2562" s="6"/>
      <c r="O2562" s="6"/>
      <c r="P2562" s="6"/>
      <c r="Q2562" s="6"/>
      <c r="R2562" s="6"/>
      <c r="S2562" s="6"/>
      <c r="T2562" s="6"/>
      <c r="U2562" s="6"/>
      <c r="V2562" s="6"/>
      <c r="W2562" s="6"/>
      <c r="X2562" s="6"/>
      <c r="Y2562" s="6"/>
      <c r="Z2562" s="6"/>
    </row>
    <row r="2563" customFormat="false" ht="15" hidden="false" customHeight="false" outlineLevel="0" collapsed="false">
      <c r="A2563" s="9" t="s">
        <v>8406</v>
      </c>
      <c r="B2563" s="9" t="s">
        <v>5870</v>
      </c>
      <c r="C2563" s="9" t="s">
        <v>2804</v>
      </c>
      <c r="D2563" s="9" t="s">
        <v>5871</v>
      </c>
      <c r="E2563" s="9" t="str">
        <f aca="false">IF(AND('Formation Ledger'!A2542&lt;&gt;"",'Formation Ledger'!V2542=0),"PASS","FAIL")</f>
        <v>PASS</v>
      </c>
      <c r="F2563" s="9" t="s">
        <v>76</v>
      </c>
      <c r="G2563" s="6"/>
      <c r="H2563" s="6"/>
      <c r="I2563" s="6"/>
      <c r="J2563" s="6"/>
      <c r="K2563" s="6"/>
      <c r="L2563" s="6"/>
      <c r="M2563" s="6"/>
      <c r="N2563" s="6"/>
      <c r="O2563" s="6"/>
      <c r="P2563" s="6"/>
      <c r="Q2563" s="6"/>
      <c r="R2563" s="6"/>
      <c r="S2563" s="6"/>
      <c r="T2563" s="6"/>
      <c r="U2563" s="6"/>
      <c r="V2563" s="6"/>
      <c r="W2563" s="6"/>
      <c r="X2563" s="6"/>
      <c r="Y2563" s="6"/>
      <c r="Z2563" s="6"/>
    </row>
    <row r="2564" customFormat="false" ht="15" hidden="false" customHeight="false" outlineLevel="0" collapsed="false">
      <c r="A2564" s="9" t="s">
        <v>8407</v>
      </c>
      <c r="B2564" s="9" t="s">
        <v>5870</v>
      </c>
      <c r="C2564" s="9" t="s">
        <v>2805</v>
      </c>
      <c r="D2564" s="9" t="s">
        <v>5871</v>
      </c>
      <c r="E2564" s="9" t="str">
        <f aca="false">IF(AND('Formation Ledger'!A2543&lt;&gt;"",'Formation Ledger'!V2543=0),"PASS","FAIL")</f>
        <v>PASS</v>
      </c>
      <c r="F2564" s="9" t="s">
        <v>76</v>
      </c>
      <c r="G2564" s="6"/>
      <c r="H2564" s="6"/>
      <c r="I2564" s="6"/>
      <c r="J2564" s="6"/>
      <c r="K2564" s="6"/>
      <c r="L2564" s="6"/>
      <c r="M2564" s="6"/>
      <c r="N2564" s="6"/>
      <c r="O2564" s="6"/>
      <c r="P2564" s="6"/>
      <c r="Q2564" s="6"/>
      <c r="R2564" s="6"/>
      <c r="S2564" s="6"/>
      <c r="T2564" s="6"/>
      <c r="U2564" s="6"/>
      <c r="V2564" s="6"/>
      <c r="W2564" s="6"/>
      <c r="X2564" s="6"/>
      <c r="Y2564" s="6"/>
      <c r="Z2564" s="6"/>
    </row>
    <row r="2565" customFormat="false" ht="15" hidden="false" customHeight="false" outlineLevel="0" collapsed="false">
      <c r="A2565" s="9" t="s">
        <v>8408</v>
      </c>
      <c r="B2565" s="9" t="s">
        <v>5870</v>
      </c>
      <c r="C2565" s="9" t="s">
        <v>2806</v>
      </c>
      <c r="D2565" s="9" t="s">
        <v>5871</v>
      </c>
      <c r="E2565" s="9" t="str">
        <f aca="false">IF(AND('Formation Ledger'!A2544&lt;&gt;"",'Formation Ledger'!V2544=0),"PASS","FAIL")</f>
        <v>PASS</v>
      </c>
      <c r="F2565" s="9" t="s">
        <v>76</v>
      </c>
      <c r="G2565" s="6"/>
      <c r="H2565" s="6"/>
      <c r="I2565" s="6"/>
      <c r="J2565" s="6"/>
      <c r="K2565" s="6"/>
      <c r="L2565" s="6"/>
      <c r="M2565" s="6"/>
      <c r="N2565" s="6"/>
      <c r="O2565" s="6"/>
      <c r="P2565" s="6"/>
      <c r="Q2565" s="6"/>
      <c r="R2565" s="6"/>
      <c r="S2565" s="6"/>
      <c r="T2565" s="6"/>
      <c r="U2565" s="6"/>
      <c r="V2565" s="6"/>
      <c r="W2565" s="6"/>
      <c r="X2565" s="6"/>
      <c r="Y2565" s="6"/>
      <c r="Z2565" s="6"/>
    </row>
    <row r="2566" customFormat="false" ht="15" hidden="false" customHeight="false" outlineLevel="0" collapsed="false">
      <c r="A2566" s="9" t="s">
        <v>8409</v>
      </c>
      <c r="B2566" s="9" t="s">
        <v>5870</v>
      </c>
      <c r="C2566" s="9" t="s">
        <v>2807</v>
      </c>
      <c r="D2566" s="9" t="s">
        <v>5871</v>
      </c>
      <c r="E2566" s="9" t="str">
        <f aca="false">IF(AND('Formation Ledger'!A2545&lt;&gt;"",'Formation Ledger'!V2545=0),"PASS","FAIL")</f>
        <v>PASS</v>
      </c>
      <c r="F2566" s="9" t="s">
        <v>76</v>
      </c>
      <c r="G2566" s="6"/>
      <c r="H2566" s="6"/>
      <c r="I2566" s="6"/>
      <c r="J2566" s="6"/>
      <c r="K2566" s="6"/>
      <c r="L2566" s="6"/>
      <c r="M2566" s="6"/>
      <c r="N2566" s="6"/>
      <c r="O2566" s="6"/>
      <c r="P2566" s="6"/>
      <c r="Q2566" s="6"/>
      <c r="R2566" s="6"/>
      <c r="S2566" s="6"/>
      <c r="T2566" s="6"/>
      <c r="U2566" s="6"/>
      <c r="V2566" s="6"/>
      <c r="W2566" s="6"/>
      <c r="X2566" s="6"/>
      <c r="Y2566" s="6"/>
      <c r="Z2566" s="6"/>
    </row>
    <row r="2567" customFormat="false" ht="15" hidden="false" customHeight="false" outlineLevel="0" collapsed="false">
      <c r="A2567" s="9" t="s">
        <v>8410</v>
      </c>
      <c r="B2567" s="9" t="s">
        <v>5870</v>
      </c>
      <c r="C2567" s="9" t="s">
        <v>2808</v>
      </c>
      <c r="D2567" s="9" t="s">
        <v>5871</v>
      </c>
      <c r="E2567" s="9" t="str">
        <f aca="false">IF(AND('Formation Ledger'!A2546&lt;&gt;"",'Formation Ledger'!V2546=0),"PASS","FAIL")</f>
        <v>PASS</v>
      </c>
      <c r="F2567" s="9" t="s">
        <v>76</v>
      </c>
      <c r="G2567" s="6"/>
      <c r="H2567" s="6"/>
      <c r="I2567" s="6"/>
      <c r="J2567" s="6"/>
      <c r="K2567" s="6"/>
      <c r="L2567" s="6"/>
      <c r="M2567" s="6"/>
      <c r="N2567" s="6"/>
      <c r="O2567" s="6"/>
      <c r="P2567" s="6"/>
      <c r="Q2567" s="6"/>
      <c r="R2567" s="6"/>
      <c r="S2567" s="6"/>
      <c r="T2567" s="6"/>
      <c r="U2567" s="6"/>
      <c r="V2567" s="6"/>
      <c r="W2567" s="6"/>
      <c r="X2567" s="6"/>
      <c r="Y2567" s="6"/>
      <c r="Z2567" s="6"/>
    </row>
    <row r="2568" customFormat="false" ht="15" hidden="false" customHeight="false" outlineLevel="0" collapsed="false">
      <c r="A2568" s="9" t="s">
        <v>8411</v>
      </c>
      <c r="B2568" s="9" t="s">
        <v>5870</v>
      </c>
      <c r="C2568" s="9" t="s">
        <v>2809</v>
      </c>
      <c r="D2568" s="9" t="s">
        <v>5871</v>
      </c>
      <c r="E2568" s="9" t="str">
        <f aca="false">IF(AND('Formation Ledger'!A2547&lt;&gt;"",'Formation Ledger'!V2547=0),"PASS","FAIL")</f>
        <v>PASS</v>
      </c>
      <c r="F2568" s="9" t="s">
        <v>76</v>
      </c>
      <c r="G2568" s="6"/>
      <c r="H2568" s="6"/>
      <c r="I2568" s="6"/>
      <c r="J2568" s="6"/>
      <c r="K2568" s="6"/>
      <c r="L2568" s="6"/>
      <c r="M2568" s="6"/>
      <c r="N2568" s="6"/>
      <c r="O2568" s="6"/>
      <c r="P2568" s="6"/>
      <c r="Q2568" s="6"/>
      <c r="R2568" s="6"/>
      <c r="S2568" s="6"/>
      <c r="T2568" s="6"/>
      <c r="U2568" s="6"/>
      <c r="V2568" s="6"/>
      <c r="W2568" s="6"/>
      <c r="X2568" s="6"/>
      <c r="Y2568" s="6"/>
      <c r="Z2568" s="6"/>
    </row>
    <row r="2569" customFormat="false" ht="15" hidden="false" customHeight="false" outlineLevel="0" collapsed="false">
      <c r="A2569" s="9" t="s">
        <v>8412</v>
      </c>
      <c r="B2569" s="9" t="s">
        <v>5870</v>
      </c>
      <c r="C2569" s="9" t="s">
        <v>2812</v>
      </c>
      <c r="D2569" s="9" t="s">
        <v>5871</v>
      </c>
      <c r="E2569" s="9" t="str">
        <f aca="false">IF(AND('Formation Ledger'!A2548&lt;&gt;"",'Formation Ledger'!V2548=0),"PASS","FAIL")</f>
        <v>PASS</v>
      </c>
      <c r="F2569" s="9" t="s">
        <v>76</v>
      </c>
      <c r="G2569" s="6"/>
      <c r="H2569" s="6"/>
      <c r="I2569" s="6"/>
      <c r="J2569" s="6"/>
      <c r="K2569" s="6"/>
      <c r="L2569" s="6"/>
      <c r="M2569" s="6"/>
      <c r="N2569" s="6"/>
      <c r="O2569" s="6"/>
      <c r="P2569" s="6"/>
      <c r="Q2569" s="6"/>
      <c r="R2569" s="6"/>
      <c r="S2569" s="6"/>
      <c r="T2569" s="6"/>
      <c r="U2569" s="6"/>
      <c r="V2569" s="6"/>
      <c r="W2569" s="6"/>
      <c r="X2569" s="6"/>
      <c r="Y2569" s="6"/>
      <c r="Z2569" s="6"/>
    </row>
    <row r="2570" customFormat="false" ht="15" hidden="false" customHeight="false" outlineLevel="0" collapsed="false">
      <c r="A2570" s="9" t="s">
        <v>8413</v>
      </c>
      <c r="B2570" s="9" t="s">
        <v>5870</v>
      </c>
      <c r="C2570" s="9" t="s">
        <v>2813</v>
      </c>
      <c r="D2570" s="9" t="s">
        <v>5871</v>
      </c>
      <c r="E2570" s="9" t="str">
        <f aca="false">IF(AND('Formation Ledger'!A2549&lt;&gt;"",'Formation Ledger'!V2549=0),"PASS","FAIL")</f>
        <v>PASS</v>
      </c>
      <c r="F2570" s="9" t="s">
        <v>76</v>
      </c>
      <c r="G2570" s="6"/>
      <c r="H2570" s="6"/>
      <c r="I2570" s="6"/>
      <c r="J2570" s="6"/>
      <c r="K2570" s="6"/>
      <c r="L2570" s="6"/>
      <c r="M2570" s="6"/>
      <c r="N2570" s="6"/>
      <c r="O2570" s="6"/>
      <c r="P2570" s="6"/>
      <c r="Q2570" s="6"/>
      <c r="R2570" s="6"/>
      <c r="S2570" s="6"/>
      <c r="T2570" s="6"/>
      <c r="U2570" s="6"/>
      <c r="V2570" s="6"/>
      <c r="W2570" s="6"/>
      <c r="X2570" s="6"/>
      <c r="Y2570" s="6"/>
      <c r="Z2570" s="6"/>
    </row>
    <row r="2571" customFormat="false" ht="15" hidden="false" customHeight="false" outlineLevel="0" collapsed="false">
      <c r="A2571" s="9" t="s">
        <v>8414</v>
      </c>
      <c r="B2571" s="9" t="s">
        <v>5870</v>
      </c>
      <c r="C2571" s="9" t="s">
        <v>2814</v>
      </c>
      <c r="D2571" s="9" t="s">
        <v>5871</v>
      </c>
      <c r="E2571" s="9" t="str">
        <f aca="false">IF(AND('Formation Ledger'!A2550&lt;&gt;"",'Formation Ledger'!V2550=0),"PASS","FAIL")</f>
        <v>PASS</v>
      </c>
      <c r="F2571" s="9" t="s">
        <v>76</v>
      </c>
      <c r="G2571" s="6"/>
      <c r="H2571" s="6"/>
      <c r="I2571" s="6"/>
      <c r="J2571" s="6"/>
      <c r="K2571" s="6"/>
      <c r="L2571" s="6"/>
      <c r="M2571" s="6"/>
      <c r="N2571" s="6"/>
      <c r="O2571" s="6"/>
      <c r="P2571" s="6"/>
      <c r="Q2571" s="6"/>
      <c r="R2571" s="6"/>
      <c r="S2571" s="6"/>
      <c r="T2571" s="6"/>
      <c r="U2571" s="6"/>
      <c r="V2571" s="6"/>
      <c r="W2571" s="6"/>
      <c r="X2571" s="6"/>
      <c r="Y2571" s="6"/>
      <c r="Z2571" s="6"/>
    </row>
    <row r="2572" customFormat="false" ht="15" hidden="false" customHeight="false" outlineLevel="0" collapsed="false">
      <c r="A2572" s="9" t="s">
        <v>8415</v>
      </c>
      <c r="B2572" s="9" t="s">
        <v>5870</v>
      </c>
      <c r="C2572" s="9" t="s">
        <v>2815</v>
      </c>
      <c r="D2572" s="9" t="s">
        <v>5871</v>
      </c>
      <c r="E2572" s="9" t="str">
        <f aca="false">IF(AND('Formation Ledger'!A2551&lt;&gt;"",'Formation Ledger'!V2551=0),"PASS","FAIL")</f>
        <v>PASS</v>
      </c>
      <c r="F2572" s="9" t="s">
        <v>76</v>
      </c>
      <c r="G2572" s="6"/>
      <c r="H2572" s="6"/>
      <c r="I2572" s="6"/>
      <c r="J2572" s="6"/>
      <c r="K2572" s="6"/>
      <c r="L2572" s="6"/>
      <c r="M2572" s="6"/>
      <c r="N2572" s="6"/>
      <c r="O2572" s="6"/>
      <c r="P2572" s="6"/>
      <c r="Q2572" s="6"/>
      <c r="R2572" s="6"/>
      <c r="S2572" s="6"/>
      <c r="T2572" s="6"/>
      <c r="U2572" s="6"/>
      <c r="V2572" s="6"/>
      <c r="W2572" s="6"/>
      <c r="X2572" s="6"/>
      <c r="Y2572" s="6"/>
      <c r="Z2572" s="6"/>
    </row>
    <row r="2573" customFormat="false" ht="15" hidden="false" customHeight="false" outlineLevel="0" collapsed="false">
      <c r="A2573" s="9" t="s">
        <v>8416</v>
      </c>
      <c r="B2573" s="9" t="s">
        <v>5870</v>
      </c>
      <c r="C2573" s="9" t="s">
        <v>2816</v>
      </c>
      <c r="D2573" s="9" t="s">
        <v>5871</v>
      </c>
      <c r="E2573" s="9" t="str">
        <f aca="false">IF(AND('Formation Ledger'!A2552&lt;&gt;"",'Formation Ledger'!V2552=0),"PASS","FAIL")</f>
        <v>PASS</v>
      </c>
      <c r="F2573" s="9" t="s">
        <v>76</v>
      </c>
      <c r="G2573" s="6"/>
      <c r="H2573" s="6"/>
      <c r="I2573" s="6"/>
      <c r="J2573" s="6"/>
      <c r="K2573" s="6"/>
      <c r="L2573" s="6"/>
      <c r="M2573" s="6"/>
      <c r="N2573" s="6"/>
      <c r="O2573" s="6"/>
      <c r="P2573" s="6"/>
      <c r="Q2573" s="6"/>
      <c r="R2573" s="6"/>
      <c r="S2573" s="6"/>
      <c r="T2573" s="6"/>
      <c r="U2573" s="6"/>
      <c r="V2573" s="6"/>
      <c r="W2573" s="6"/>
      <c r="X2573" s="6"/>
      <c r="Y2573" s="6"/>
      <c r="Z2573" s="6"/>
    </row>
    <row r="2574" customFormat="false" ht="15" hidden="false" customHeight="false" outlineLevel="0" collapsed="false">
      <c r="A2574" s="9" t="s">
        <v>8417</v>
      </c>
      <c r="B2574" s="9" t="s">
        <v>5870</v>
      </c>
      <c r="C2574" s="9" t="s">
        <v>2817</v>
      </c>
      <c r="D2574" s="9" t="s">
        <v>5871</v>
      </c>
      <c r="E2574" s="9" t="str">
        <f aca="false">IF(AND('Formation Ledger'!A2553&lt;&gt;"",'Formation Ledger'!V2553=0),"PASS","FAIL")</f>
        <v>PASS</v>
      </c>
      <c r="F2574" s="9" t="s">
        <v>76</v>
      </c>
      <c r="G2574" s="6"/>
      <c r="H2574" s="6"/>
      <c r="I2574" s="6"/>
      <c r="J2574" s="6"/>
      <c r="K2574" s="6"/>
      <c r="L2574" s="6"/>
      <c r="M2574" s="6"/>
      <c r="N2574" s="6"/>
      <c r="O2574" s="6"/>
      <c r="P2574" s="6"/>
      <c r="Q2574" s="6"/>
      <c r="R2574" s="6"/>
      <c r="S2574" s="6"/>
      <c r="T2574" s="6"/>
      <c r="U2574" s="6"/>
      <c r="V2574" s="6"/>
      <c r="W2574" s="6"/>
      <c r="X2574" s="6"/>
      <c r="Y2574" s="6"/>
      <c r="Z2574" s="6"/>
    </row>
    <row r="2575" customFormat="false" ht="15" hidden="false" customHeight="false" outlineLevel="0" collapsed="false">
      <c r="A2575" s="9" t="s">
        <v>8418</v>
      </c>
      <c r="B2575" s="9" t="s">
        <v>5870</v>
      </c>
      <c r="C2575" s="9" t="s">
        <v>2818</v>
      </c>
      <c r="D2575" s="9" t="s">
        <v>5871</v>
      </c>
      <c r="E2575" s="9" t="str">
        <f aca="false">IF(AND('Formation Ledger'!A2554&lt;&gt;"",'Formation Ledger'!V2554=0),"PASS","FAIL")</f>
        <v>PASS</v>
      </c>
      <c r="F2575" s="9" t="s">
        <v>76</v>
      </c>
      <c r="G2575" s="6"/>
      <c r="H2575" s="6"/>
      <c r="I2575" s="6"/>
      <c r="J2575" s="6"/>
      <c r="K2575" s="6"/>
      <c r="L2575" s="6"/>
      <c r="M2575" s="6"/>
      <c r="N2575" s="6"/>
      <c r="O2575" s="6"/>
      <c r="P2575" s="6"/>
      <c r="Q2575" s="6"/>
      <c r="R2575" s="6"/>
      <c r="S2575" s="6"/>
      <c r="T2575" s="6"/>
      <c r="U2575" s="6"/>
      <c r="V2575" s="6"/>
      <c r="W2575" s="6"/>
      <c r="X2575" s="6"/>
      <c r="Y2575" s="6"/>
      <c r="Z2575" s="6"/>
    </row>
    <row r="2576" customFormat="false" ht="15" hidden="false" customHeight="false" outlineLevel="0" collapsed="false">
      <c r="A2576" s="9" t="s">
        <v>8419</v>
      </c>
      <c r="B2576" s="9" t="s">
        <v>5870</v>
      </c>
      <c r="C2576" s="9" t="s">
        <v>2819</v>
      </c>
      <c r="D2576" s="9" t="s">
        <v>5871</v>
      </c>
      <c r="E2576" s="9" t="str">
        <f aca="false">IF(AND('Formation Ledger'!A2555&lt;&gt;"",'Formation Ledger'!V2555=0),"PASS","FAIL")</f>
        <v>PASS</v>
      </c>
      <c r="F2576" s="9" t="s">
        <v>76</v>
      </c>
      <c r="G2576" s="6"/>
      <c r="H2576" s="6"/>
      <c r="I2576" s="6"/>
      <c r="J2576" s="6"/>
      <c r="K2576" s="6"/>
      <c r="L2576" s="6"/>
      <c r="M2576" s="6"/>
      <c r="N2576" s="6"/>
      <c r="O2576" s="6"/>
      <c r="P2576" s="6"/>
      <c r="Q2576" s="6"/>
      <c r="R2576" s="6"/>
      <c r="S2576" s="6"/>
      <c r="T2576" s="6"/>
      <c r="U2576" s="6"/>
      <c r="V2576" s="6"/>
      <c r="W2576" s="6"/>
      <c r="X2576" s="6"/>
      <c r="Y2576" s="6"/>
      <c r="Z2576" s="6"/>
    </row>
    <row r="2577" customFormat="false" ht="15" hidden="false" customHeight="false" outlineLevel="0" collapsed="false">
      <c r="A2577" s="9" t="s">
        <v>8420</v>
      </c>
      <c r="B2577" s="9" t="s">
        <v>5870</v>
      </c>
      <c r="C2577" s="9" t="s">
        <v>2820</v>
      </c>
      <c r="D2577" s="9" t="s">
        <v>5871</v>
      </c>
      <c r="E2577" s="9" t="str">
        <f aca="false">IF(AND('Formation Ledger'!A2556&lt;&gt;"",'Formation Ledger'!V2556=0),"PASS","FAIL")</f>
        <v>PASS</v>
      </c>
      <c r="F2577" s="9" t="s">
        <v>76</v>
      </c>
      <c r="G2577" s="6"/>
      <c r="H2577" s="6"/>
      <c r="I2577" s="6"/>
      <c r="J2577" s="6"/>
      <c r="K2577" s="6"/>
      <c r="L2577" s="6"/>
      <c r="M2577" s="6"/>
      <c r="N2577" s="6"/>
      <c r="O2577" s="6"/>
      <c r="P2577" s="6"/>
      <c r="Q2577" s="6"/>
      <c r="R2577" s="6"/>
      <c r="S2577" s="6"/>
      <c r="T2577" s="6"/>
      <c r="U2577" s="6"/>
      <c r="V2577" s="6"/>
      <c r="W2577" s="6"/>
      <c r="X2577" s="6"/>
      <c r="Y2577" s="6"/>
      <c r="Z2577" s="6"/>
    </row>
    <row r="2578" customFormat="false" ht="15" hidden="false" customHeight="false" outlineLevel="0" collapsed="false">
      <c r="A2578" s="9" t="s">
        <v>8421</v>
      </c>
      <c r="B2578" s="9" t="s">
        <v>5870</v>
      </c>
      <c r="C2578" s="9" t="s">
        <v>2821</v>
      </c>
      <c r="D2578" s="9" t="s">
        <v>5871</v>
      </c>
      <c r="E2578" s="9" t="str">
        <f aca="false">IF(AND('Formation Ledger'!A2557&lt;&gt;"",'Formation Ledger'!V2557=0),"PASS","FAIL")</f>
        <v>PASS</v>
      </c>
      <c r="F2578" s="9" t="s">
        <v>76</v>
      </c>
      <c r="G2578" s="6"/>
      <c r="H2578" s="6"/>
      <c r="I2578" s="6"/>
      <c r="J2578" s="6"/>
      <c r="K2578" s="6"/>
      <c r="L2578" s="6"/>
      <c r="M2578" s="6"/>
      <c r="N2578" s="6"/>
      <c r="O2578" s="6"/>
      <c r="P2578" s="6"/>
      <c r="Q2578" s="6"/>
      <c r="R2578" s="6"/>
      <c r="S2578" s="6"/>
      <c r="T2578" s="6"/>
      <c r="U2578" s="6"/>
      <c r="V2578" s="6"/>
      <c r="W2578" s="6"/>
      <c r="X2578" s="6"/>
      <c r="Y2578" s="6"/>
      <c r="Z2578" s="6"/>
    </row>
    <row r="2579" customFormat="false" ht="15" hidden="false" customHeight="false" outlineLevel="0" collapsed="false">
      <c r="A2579" s="9" t="s">
        <v>8422</v>
      </c>
      <c r="B2579" s="9" t="s">
        <v>5870</v>
      </c>
      <c r="C2579" s="9" t="s">
        <v>2822</v>
      </c>
      <c r="D2579" s="9" t="s">
        <v>5871</v>
      </c>
      <c r="E2579" s="9" t="str">
        <f aca="false">IF(AND('Formation Ledger'!A2558&lt;&gt;"",'Formation Ledger'!V2558=0),"PASS","FAIL")</f>
        <v>PASS</v>
      </c>
      <c r="F2579" s="9" t="s">
        <v>76</v>
      </c>
      <c r="G2579" s="6"/>
      <c r="H2579" s="6"/>
      <c r="I2579" s="6"/>
      <c r="J2579" s="6"/>
      <c r="K2579" s="6"/>
      <c r="L2579" s="6"/>
      <c r="M2579" s="6"/>
      <c r="N2579" s="6"/>
      <c r="O2579" s="6"/>
      <c r="P2579" s="6"/>
      <c r="Q2579" s="6"/>
      <c r="R2579" s="6"/>
      <c r="S2579" s="6"/>
      <c r="T2579" s="6"/>
      <c r="U2579" s="6"/>
      <c r="V2579" s="6"/>
      <c r="W2579" s="6"/>
      <c r="X2579" s="6"/>
      <c r="Y2579" s="6"/>
      <c r="Z2579" s="6"/>
    </row>
    <row r="2580" customFormat="false" ht="15" hidden="false" customHeight="false" outlineLevel="0" collapsed="false">
      <c r="A2580" s="9" t="s">
        <v>8423</v>
      </c>
      <c r="B2580" s="9" t="s">
        <v>5870</v>
      </c>
      <c r="C2580" s="9" t="s">
        <v>2823</v>
      </c>
      <c r="D2580" s="9" t="s">
        <v>5871</v>
      </c>
      <c r="E2580" s="9" t="str">
        <f aca="false">IF(AND('Formation Ledger'!A2559&lt;&gt;"",'Formation Ledger'!V2559=0),"PASS","FAIL")</f>
        <v>PASS</v>
      </c>
      <c r="F2580" s="9" t="s">
        <v>76</v>
      </c>
      <c r="G2580" s="6"/>
      <c r="H2580" s="6"/>
      <c r="I2580" s="6"/>
      <c r="J2580" s="6"/>
      <c r="K2580" s="6"/>
      <c r="L2580" s="6"/>
      <c r="M2580" s="6"/>
      <c r="N2580" s="6"/>
      <c r="O2580" s="6"/>
      <c r="P2580" s="6"/>
      <c r="Q2580" s="6"/>
      <c r="R2580" s="6"/>
      <c r="S2580" s="6"/>
      <c r="T2580" s="6"/>
      <c r="U2580" s="6"/>
      <c r="V2580" s="6"/>
      <c r="W2580" s="6"/>
      <c r="X2580" s="6"/>
      <c r="Y2580" s="6"/>
      <c r="Z2580" s="6"/>
    </row>
    <row r="2581" customFormat="false" ht="15" hidden="false" customHeight="false" outlineLevel="0" collapsed="false">
      <c r="A2581" s="9" t="s">
        <v>8424</v>
      </c>
      <c r="B2581" s="9" t="s">
        <v>5870</v>
      </c>
      <c r="C2581" s="9" t="s">
        <v>2824</v>
      </c>
      <c r="D2581" s="9" t="s">
        <v>5871</v>
      </c>
      <c r="E2581" s="9" t="str">
        <f aca="false">IF(AND('Formation Ledger'!A2560&lt;&gt;"",'Formation Ledger'!V2560=0),"PASS","FAIL")</f>
        <v>PASS</v>
      </c>
      <c r="F2581" s="9" t="s">
        <v>76</v>
      </c>
      <c r="G2581" s="6"/>
      <c r="H2581" s="6"/>
      <c r="I2581" s="6"/>
      <c r="J2581" s="6"/>
      <c r="K2581" s="6"/>
      <c r="L2581" s="6"/>
      <c r="M2581" s="6"/>
      <c r="N2581" s="6"/>
      <c r="O2581" s="6"/>
      <c r="P2581" s="6"/>
      <c r="Q2581" s="6"/>
      <c r="R2581" s="6"/>
      <c r="S2581" s="6"/>
      <c r="T2581" s="6"/>
      <c r="U2581" s="6"/>
      <c r="V2581" s="6"/>
      <c r="W2581" s="6"/>
      <c r="X2581" s="6"/>
      <c r="Y2581" s="6"/>
      <c r="Z2581" s="6"/>
    </row>
    <row r="2582" customFormat="false" ht="15" hidden="false" customHeight="false" outlineLevel="0" collapsed="false">
      <c r="A2582" s="9" t="s">
        <v>8425</v>
      </c>
      <c r="B2582" s="9" t="s">
        <v>5870</v>
      </c>
      <c r="C2582" s="9" t="s">
        <v>2825</v>
      </c>
      <c r="D2582" s="9" t="s">
        <v>5871</v>
      </c>
      <c r="E2582" s="9" t="str">
        <f aca="false">IF(AND('Formation Ledger'!A2561&lt;&gt;"",'Formation Ledger'!V2561=0),"PASS","FAIL")</f>
        <v>PASS</v>
      </c>
      <c r="F2582" s="9" t="s">
        <v>76</v>
      </c>
      <c r="G2582" s="6"/>
      <c r="H2582" s="6"/>
      <c r="I2582" s="6"/>
      <c r="J2582" s="6"/>
      <c r="K2582" s="6"/>
      <c r="L2582" s="6"/>
      <c r="M2582" s="6"/>
      <c r="N2582" s="6"/>
      <c r="O2582" s="6"/>
      <c r="P2582" s="6"/>
      <c r="Q2582" s="6"/>
      <c r="R2582" s="6"/>
      <c r="S2582" s="6"/>
      <c r="T2582" s="6"/>
      <c r="U2582" s="6"/>
      <c r="V2582" s="6"/>
      <c r="W2582" s="6"/>
      <c r="X2582" s="6"/>
      <c r="Y2582" s="6"/>
      <c r="Z2582" s="6"/>
    </row>
    <row r="2583" customFormat="false" ht="15" hidden="false" customHeight="false" outlineLevel="0" collapsed="false">
      <c r="A2583" s="9" t="s">
        <v>8426</v>
      </c>
      <c r="B2583" s="9" t="s">
        <v>5870</v>
      </c>
      <c r="C2583" s="9" t="s">
        <v>2826</v>
      </c>
      <c r="D2583" s="9" t="s">
        <v>5871</v>
      </c>
      <c r="E2583" s="9" t="str">
        <f aca="false">IF(AND('Formation Ledger'!A2562&lt;&gt;"",'Formation Ledger'!V2562=0),"PASS","FAIL")</f>
        <v>PASS</v>
      </c>
      <c r="F2583" s="9" t="s">
        <v>76</v>
      </c>
      <c r="G2583" s="6"/>
      <c r="H2583" s="6"/>
      <c r="I2583" s="6"/>
      <c r="J2583" s="6"/>
      <c r="K2583" s="6"/>
      <c r="L2583" s="6"/>
      <c r="M2583" s="6"/>
      <c r="N2583" s="6"/>
      <c r="O2583" s="6"/>
      <c r="P2583" s="6"/>
      <c r="Q2583" s="6"/>
      <c r="R2583" s="6"/>
      <c r="S2583" s="6"/>
      <c r="T2583" s="6"/>
      <c r="U2583" s="6"/>
      <c r="V2583" s="6"/>
      <c r="W2583" s="6"/>
      <c r="X2583" s="6"/>
      <c r="Y2583" s="6"/>
      <c r="Z2583" s="6"/>
    </row>
    <row r="2584" customFormat="false" ht="15" hidden="false" customHeight="false" outlineLevel="0" collapsed="false">
      <c r="A2584" s="9" t="s">
        <v>8427</v>
      </c>
      <c r="B2584" s="9" t="s">
        <v>5870</v>
      </c>
      <c r="C2584" s="9" t="s">
        <v>2827</v>
      </c>
      <c r="D2584" s="9" t="s">
        <v>5871</v>
      </c>
      <c r="E2584" s="9" t="str">
        <f aca="false">IF(AND('Formation Ledger'!A2563&lt;&gt;"",'Formation Ledger'!V2563=0),"PASS","FAIL")</f>
        <v>PASS</v>
      </c>
      <c r="F2584" s="9" t="s">
        <v>76</v>
      </c>
      <c r="G2584" s="6"/>
      <c r="H2584" s="6"/>
      <c r="I2584" s="6"/>
      <c r="J2584" s="6"/>
      <c r="K2584" s="6"/>
      <c r="L2584" s="6"/>
      <c r="M2584" s="6"/>
      <c r="N2584" s="6"/>
      <c r="O2584" s="6"/>
      <c r="P2584" s="6"/>
      <c r="Q2584" s="6"/>
      <c r="R2584" s="6"/>
      <c r="S2584" s="6"/>
      <c r="T2584" s="6"/>
      <c r="U2584" s="6"/>
      <c r="V2584" s="6"/>
      <c r="W2584" s="6"/>
      <c r="X2584" s="6"/>
      <c r="Y2584" s="6"/>
      <c r="Z2584" s="6"/>
    </row>
    <row r="2585" customFormat="false" ht="15" hidden="false" customHeight="false" outlineLevel="0" collapsed="false">
      <c r="A2585" s="9" t="s">
        <v>8428</v>
      </c>
      <c r="B2585" s="9" t="s">
        <v>5870</v>
      </c>
      <c r="C2585" s="9" t="s">
        <v>2828</v>
      </c>
      <c r="D2585" s="9" t="s">
        <v>5871</v>
      </c>
      <c r="E2585" s="9" t="str">
        <f aca="false">IF(AND('Formation Ledger'!A2564&lt;&gt;"",'Formation Ledger'!V2564=0),"PASS","FAIL")</f>
        <v>PASS</v>
      </c>
      <c r="F2585" s="9" t="s">
        <v>76</v>
      </c>
      <c r="G2585" s="6"/>
      <c r="H2585" s="6"/>
      <c r="I2585" s="6"/>
      <c r="J2585" s="6"/>
      <c r="K2585" s="6"/>
      <c r="L2585" s="6"/>
      <c r="M2585" s="6"/>
      <c r="N2585" s="6"/>
      <c r="O2585" s="6"/>
      <c r="P2585" s="6"/>
      <c r="Q2585" s="6"/>
      <c r="R2585" s="6"/>
      <c r="S2585" s="6"/>
      <c r="T2585" s="6"/>
      <c r="U2585" s="6"/>
      <c r="V2585" s="6"/>
      <c r="W2585" s="6"/>
      <c r="X2585" s="6"/>
      <c r="Y2585" s="6"/>
      <c r="Z2585" s="6"/>
    </row>
    <row r="2586" customFormat="false" ht="15" hidden="false" customHeight="false" outlineLevel="0" collapsed="false">
      <c r="A2586" s="9" t="s">
        <v>8429</v>
      </c>
      <c r="B2586" s="9" t="s">
        <v>5870</v>
      </c>
      <c r="C2586" s="9" t="s">
        <v>2829</v>
      </c>
      <c r="D2586" s="9" t="s">
        <v>5871</v>
      </c>
      <c r="E2586" s="9" t="str">
        <f aca="false">IF(AND('Formation Ledger'!A2565&lt;&gt;"",'Formation Ledger'!V2565=0),"PASS","FAIL")</f>
        <v>PASS</v>
      </c>
      <c r="F2586" s="9" t="s">
        <v>76</v>
      </c>
      <c r="G2586" s="6"/>
      <c r="H2586" s="6"/>
      <c r="I2586" s="6"/>
      <c r="J2586" s="6"/>
      <c r="K2586" s="6"/>
      <c r="L2586" s="6"/>
      <c r="M2586" s="6"/>
      <c r="N2586" s="6"/>
      <c r="O2586" s="6"/>
      <c r="P2586" s="6"/>
      <c r="Q2586" s="6"/>
      <c r="R2586" s="6"/>
      <c r="S2586" s="6"/>
      <c r="T2586" s="6"/>
      <c r="U2586" s="6"/>
      <c r="V2586" s="6"/>
      <c r="W2586" s="6"/>
      <c r="X2586" s="6"/>
      <c r="Y2586" s="6"/>
      <c r="Z2586" s="6"/>
    </row>
    <row r="2587" customFormat="false" ht="15" hidden="false" customHeight="false" outlineLevel="0" collapsed="false">
      <c r="A2587" s="9" t="s">
        <v>8430</v>
      </c>
      <c r="B2587" s="9" t="s">
        <v>5870</v>
      </c>
      <c r="C2587" s="9" t="s">
        <v>2830</v>
      </c>
      <c r="D2587" s="9" t="s">
        <v>5871</v>
      </c>
      <c r="E2587" s="9" t="str">
        <f aca="false">IF(AND('Formation Ledger'!A2566&lt;&gt;"",'Formation Ledger'!V2566=0),"PASS","FAIL")</f>
        <v>PASS</v>
      </c>
      <c r="F2587" s="9" t="s">
        <v>76</v>
      </c>
      <c r="G2587" s="6"/>
      <c r="H2587" s="6"/>
      <c r="I2587" s="6"/>
      <c r="J2587" s="6"/>
      <c r="K2587" s="6"/>
      <c r="L2587" s="6"/>
      <c r="M2587" s="6"/>
      <c r="N2587" s="6"/>
      <c r="O2587" s="6"/>
      <c r="P2587" s="6"/>
      <c r="Q2587" s="6"/>
      <c r="R2587" s="6"/>
      <c r="S2587" s="6"/>
      <c r="T2587" s="6"/>
      <c r="U2587" s="6"/>
      <c r="V2587" s="6"/>
      <c r="W2587" s="6"/>
      <c r="X2587" s="6"/>
      <c r="Y2587" s="6"/>
      <c r="Z2587" s="6"/>
    </row>
    <row r="2588" customFormat="false" ht="15" hidden="false" customHeight="false" outlineLevel="0" collapsed="false">
      <c r="A2588" s="9" t="s">
        <v>8431</v>
      </c>
      <c r="B2588" s="9" t="s">
        <v>5870</v>
      </c>
      <c r="C2588" s="9" t="s">
        <v>2831</v>
      </c>
      <c r="D2588" s="9" t="s">
        <v>5871</v>
      </c>
      <c r="E2588" s="9" t="str">
        <f aca="false">IF(AND('Formation Ledger'!A2567&lt;&gt;"",'Formation Ledger'!V2567=0),"PASS","FAIL")</f>
        <v>PASS</v>
      </c>
      <c r="F2588" s="9" t="s">
        <v>76</v>
      </c>
      <c r="G2588" s="6"/>
      <c r="H2588" s="6"/>
      <c r="I2588" s="6"/>
      <c r="J2588" s="6"/>
      <c r="K2588" s="6"/>
      <c r="L2588" s="6"/>
      <c r="M2588" s="6"/>
      <c r="N2588" s="6"/>
      <c r="O2588" s="6"/>
      <c r="P2588" s="6"/>
      <c r="Q2588" s="6"/>
      <c r="R2588" s="6"/>
      <c r="S2588" s="6"/>
      <c r="T2588" s="6"/>
      <c r="U2588" s="6"/>
      <c r="V2588" s="6"/>
      <c r="W2588" s="6"/>
      <c r="X2588" s="6"/>
      <c r="Y2588" s="6"/>
      <c r="Z2588" s="6"/>
    </row>
    <row r="2589" customFormat="false" ht="15" hidden="false" customHeight="false" outlineLevel="0" collapsed="false">
      <c r="A2589" s="9" t="s">
        <v>8432</v>
      </c>
      <c r="B2589" s="9" t="s">
        <v>5870</v>
      </c>
      <c r="C2589" s="9" t="s">
        <v>2832</v>
      </c>
      <c r="D2589" s="9" t="s">
        <v>5871</v>
      </c>
      <c r="E2589" s="9" t="str">
        <f aca="false">IF(AND('Formation Ledger'!A2568&lt;&gt;"",'Formation Ledger'!V2568=0),"PASS","FAIL")</f>
        <v>PASS</v>
      </c>
      <c r="F2589" s="9" t="s">
        <v>76</v>
      </c>
      <c r="G2589" s="6"/>
      <c r="H2589" s="6"/>
      <c r="I2589" s="6"/>
      <c r="J2589" s="6"/>
      <c r="K2589" s="6"/>
      <c r="L2589" s="6"/>
      <c r="M2589" s="6"/>
      <c r="N2589" s="6"/>
      <c r="O2589" s="6"/>
      <c r="P2589" s="6"/>
      <c r="Q2589" s="6"/>
      <c r="R2589" s="6"/>
      <c r="S2589" s="6"/>
      <c r="T2589" s="6"/>
      <c r="U2589" s="6"/>
      <c r="V2589" s="6"/>
      <c r="W2589" s="6"/>
      <c r="X2589" s="6"/>
      <c r="Y2589" s="6"/>
      <c r="Z2589" s="6"/>
    </row>
    <row r="2590" customFormat="false" ht="15" hidden="false" customHeight="false" outlineLevel="0" collapsed="false">
      <c r="A2590" s="9" t="s">
        <v>8433</v>
      </c>
      <c r="B2590" s="9" t="s">
        <v>5870</v>
      </c>
      <c r="C2590" s="9" t="s">
        <v>2833</v>
      </c>
      <c r="D2590" s="9" t="s">
        <v>5871</v>
      </c>
      <c r="E2590" s="9" t="str">
        <f aca="false">IF(AND('Formation Ledger'!A2569&lt;&gt;"",'Formation Ledger'!V2569=0),"PASS","FAIL")</f>
        <v>PASS</v>
      </c>
      <c r="F2590" s="9" t="s">
        <v>76</v>
      </c>
      <c r="G2590" s="6"/>
      <c r="H2590" s="6"/>
      <c r="I2590" s="6"/>
      <c r="J2590" s="6"/>
      <c r="K2590" s="6"/>
      <c r="L2590" s="6"/>
      <c r="M2590" s="6"/>
      <c r="N2590" s="6"/>
      <c r="O2590" s="6"/>
      <c r="P2590" s="6"/>
      <c r="Q2590" s="6"/>
      <c r="R2590" s="6"/>
      <c r="S2590" s="6"/>
      <c r="T2590" s="6"/>
      <c r="U2590" s="6"/>
      <c r="V2590" s="6"/>
      <c r="W2590" s="6"/>
      <c r="X2590" s="6"/>
      <c r="Y2590" s="6"/>
      <c r="Z2590" s="6"/>
    </row>
    <row r="2591" customFormat="false" ht="15" hidden="false" customHeight="false" outlineLevel="0" collapsed="false">
      <c r="A2591" s="9" t="s">
        <v>8434</v>
      </c>
      <c r="B2591" s="9" t="s">
        <v>5870</v>
      </c>
      <c r="C2591" s="9" t="s">
        <v>2834</v>
      </c>
      <c r="D2591" s="9" t="s">
        <v>5871</v>
      </c>
      <c r="E2591" s="9" t="str">
        <f aca="false">IF(AND('Formation Ledger'!A2570&lt;&gt;"",'Formation Ledger'!V2570=0),"PASS","FAIL")</f>
        <v>PASS</v>
      </c>
      <c r="F2591" s="9" t="s">
        <v>76</v>
      </c>
      <c r="G2591" s="6"/>
      <c r="H2591" s="6"/>
      <c r="I2591" s="6"/>
      <c r="J2591" s="6"/>
      <c r="K2591" s="6"/>
      <c r="L2591" s="6"/>
      <c r="M2591" s="6"/>
      <c r="N2591" s="6"/>
      <c r="O2591" s="6"/>
      <c r="P2591" s="6"/>
      <c r="Q2591" s="6"/>
      <c r="R2591" s="6"/>
      <c r="S2591" s="6"/>
      <c r="T2591" s="6"/>
      <c r="U2591" s="6"/>
      <c r="V2591" s="6"/>
      <c r="W2591" s="6"/>
      <c r="X2591" s="6"/>
      <c r="Y2591" s="6"/>
      <c r="Z2591" s="6"/>
    </row>
    <row r="2592" customFormat="false" ht="15" hidden="false" customHeight="false" outlineLevel="0" collapsed="false">
      <c r="A2592" s="9" t="s">
        <v>8435</v>
      </c>
      <c r="B2592" s="9" t="s">
        <v>5870</v>
      </c>
      <c r="C2592" s="9" t="s">
        <v>2835</v>
      </c>
      <c r="D2592" s="9" t="s">
        <v>5871</v>
      </c>
      <c r="E2592" s="9" t="str">
        <f aca="false">IF(AND('Formation Ledger'!A2571&lt;&gt;"",'Formation Ledger'!V2571=0),"PASS","FAIL")</f>
        <v>PASS</v>
      </c>
      <c r="F2592" s="9" t="s">
        <v>76</v>
      </c>
      <c r="G2592" s="6"/>
      <c r="H2592" s="6"/>
      <c r="I2592" s="6"/>
      <c r="J2592" s="6"/>
      <c r="K2592" s="6"/>
      <c r="L2592" s="6"/>
      <c r="M2592" s="6"/>
      <c r="N2592" s="6"/>
      <c r="O2592" s="6"/>
      <c r="P2592" s="6"/>
      <c r="Q2592" s="6"/>
      <c r="R2592" s="6"/>
      <c r="S2592" s="6"/>
      <c r="T2592" s="6"/>
      <c r="U2592" s="6"/>
      <c r="V2592" s="6"/>
      <c r="W2592" s="6"/>
      <c r="X2592" s="6"/>
      <c r="Y2592" s="6"/>
      <c r="Z2592" s="6"/>
    </row>
    <row r="2593" customFormat="false" ht="15" hidden="false" customHeight="false" outlineLevel="0" collapsed="false">
      <c r="A2593" s="9" t="s">
        <v>8436</v>
      </c>
      <c r="B2593" s="9" t="s">
        <v>5870</v>
      </c>
      <c r="C2593" s="9" t="s">
        <v>2836</v>
      </c>
      <c r="D2593" s="9" t="s">
        <v>5871</v>
      </c>
      <c r="E2593" s="9" t="str">
        <f aca="false">IF(AND('Formation Ledger'!A2572&lt;&gt;"",'Formation Ledger'!V2572=0),"PASS","FAIL")</f>
        <v>PASS</v>
      </c>
      <c r="F2593" s="9" t="s">
        <v>76</v>
      </c>
      <c r="G2593" s="6"/>
      <c r="H2593" s="6"/>
      <c r="I2593" s="6"/>
      <c r="J2593" s="6"/>
      <c r="K2593" s="6"/>
      <c r="L2593" s="6"/>
      <c r="M2593" s="6"/>
      <c r="N2593" s="6"/>
      <c r="O2593" s="6"/>
      <c r="P2593" s="6"/>
      <c r="Q2593" s="6"/>
      <c r="R2593" s="6"/>
      <c r="S2593" s="6"/>
      <c r="T2593" s="6"/>
      <c r="U2593" s="6"/>
      <c r="V2593" s="6"/>
      <c r="W2593" s="6"/>
      <c r="X2593" s="6"/>
      <c r="Y2593" s="6"/>
      <c r="Z2593" s="6"/>
    </row>
    <row r="2594" customFormat="false" ht="15" hidden="false" customHeight="false" outlineLevel="0" collapsed="false">
      <c r="A2594" s="9" t="s">
        <v>8437</v>
      </c>
      <c r="B2594" s="9" t="s">
        <v>5870</v>
      </c>
      <c r="C2594" s="9" t="s">
        <v>2837</v>
      </c>
      <c r="D2594" s="9" t="s">
        <v>5871</v>
      </c>
      <c r="E2594" s="9" t="str">
        <f aca="false">IF(AND('Formation Ledger'!A2573&lt;&gt;"",'Formation Ledger'!V2573=0),"PASS","FAIL")</f>
        <v>PASS</v>
      </c>
      <c r="F2594" s="9" t="s">
        <v>76</v>
      </c>
      <c r="G2594" s="6"/>
      <c r="H2594" s="6"/>
      <c r="I2594" s="6"/>
      <c r="J2594" s="6"/>
      <c r="K2594" s="6"/>
      <c r="L2594" s="6"/>
      <c r="M2594" s="6"/>
      <c r="N2594" s="6"/>
      <c r="O2594" s="6"/>
      <c r="P2594" s="6"/>
      <c r="Q2594" s="6"/>
      <c r="R2594" s="6"/>
      <c r="S2594" s="6"/>
      <c r="T2594" s="6"/>
      <c r="U2594" s="6"/>
      <c r="V2594" s="6"/>
      <c r="W2594" s="6"/>
      <c r="X2594" s="6"/>
      <c r="Y2594" s="6"/>
      <c r="Z2594" s="6"/>
    </row>
    <row r="2595" customFormat="false" ht="15" hidden="false" customHeight="false" outlineLevel="0" collapsed="false">
      <c r="A2595" s="9" t="s">
        <v>8438</v>
      </c>
      <c r="B2595" s="9" t="s">
        <v>5870</v>
      </c>
      <c r="C2595" s="9" t="s">
        <v>2838</v>
      </c>
      <c r="D2595" s="9" t="s">
        <v>5871</v>
      </c>
      <c r="E2595" s="9" t="str">
        <f aca="false">IF(AND('Formation Ledger'!A2574&lt;&gt;"",'Formation Ledger'!V2574=0),"PASS","FAIL")</f>
        <v>PASS</v>
      </c>
      <c r="F2595" s="9" t="s">
        <v>76</v>
      </c>
      <c r="G2595" s="6"/>
      <c r="H2595" s="6"/>
      <c r="I2595" s="6"/>
      <c r="J2595" s="6"/>
      <c r="K2595" s="6"/>
      <c r="L2595" s="6"/>
      <c r="M2595" s="6"/>
      <c r="N2595" s="6"/>
      <c r="O2595" s="6"/>
      <c r="P2595" s="6"/>
      <c r="Q2595" s="6"/>
      <c r="R2595" s="6"/>
      <c r="S2595" s="6"/>
      <c r="T2595" s="6"/>
      <c r="U2595" s="6"/>
      <c r="V2595" s="6"/>
      <c r="W2595" s="6"/>
      <c r="X2595" s="6"/>
      <c r="Y2595" s="6"/>
      <c r="Z2595" s="6"/>
    </row>
    <row r="2596" customFormat="false" ht="15" hidden="false" customHeight="false" outlineLevel="0" collapsed="false">
      <c r="A2596" s="9" t="s">
        <v>8439</v>
      </c>
      <c r="B2596" s="9" t="s">
        <v>5870</v>
      </c>
      <c r="C2596" s="9" t="s">
        <v>2839</v>
      </c>
      <c r="D2596" s="9" t="s">
        <v>5871</v>
      </c>
      <c r="E2596" s="9" t="str">
        <f aca="false">IF(AND('Formation Ledger'!A2575&lt;&gt;"",'Formation Ledger'!V2575=0),"PASS","FAIL")</f>
        <v>PASS</v>
      </c>
      <c r="F2596" s="9" t="s">
        <v>76</v>
      </c>
      <c r="G2596" s="6"/>
      <c r="H2596" s="6"/>
      <c r="I2596" s="6"/>
      <c r="J2596" s="6"/>
      <c r="K2596" s="6"/>
      <c r="L2596" s="6"/>
      <c r="M2596" s="6"/>
      <c r="N2596" s="6"/>
      <c r="O2596" s="6"/>
      <c r="P2596" s="6"/>
      <c r="Q2596" s="6"/>
      <c r="R2596" s="6"/>
      <c r="S2596" s="6"/>
      <c r="T2596" s="6"/>
      <c r="U2596" s="6"/>
      <c r="V2596" s="6"/>
      <c r="W2596" s="6"/>
      <c r="X2596" s="6"/>
      <c r="Y2596" s="6"/>
      <c r="Z2596" s="6"/>
    </row>
    <row r="2597" customFormat="false" ht="15" hidden="false" customHeight="false" outlineLevel="0" collapsed="false">
      <c r="A2597" s="9" t="s">
        <v>8440</v>
      </c>
      <c r="B2597" s="9" t="s">
        <v>5870</v>
      </c>
      <c r="C2597" s="9" t="s">
        <v>2840</v>
      </c>
      <c r="D2597" s="9" t="s">
        <v>5871</v>
      </c>
      <c r="E2597" s="9" t="str">
        <f aca="false">IF(AND('Formation Ledger'!A2576&lt;&gt;"",'Formation Ledger'!V2576=0),"PASS","FAIL")</f>
        <v>PASS</v>
      </c>
      <c r="F2597" s="9" t="s">
        <v>76</v>
      </c>
      <c r="G2597" s="6"/>
      <c r="H2597" s="6"/>
      <c r="I2597" s="6"/>
      <c r="J2597" s="6"/>
      <c r="K2597" s="6"/>
      <c r="L2597" s="6"/>
      <c r="M2597" s="6"/>
      <c r="N2597" s="6"/>
      <c r="O2597" s="6"/>
      <c r="P2597" s="6"/>
      <c r="Q2597" s="6"/>
      <c r="R2597" s="6"/>
      <c r="S2597" s="6"/>
      <c r="T2597" s="6"/>
      <c r="U2597" s="6"/>
      <c r="V2597" s="6"/>
      <c r="W2597" s="6"/>
      <c r="X2597" s="6"/>
      <c r="Y2597" s="6"/>
      <c r="Z2597" s="6"/>
    </row>
    <row r="2598" customFormat="false" ht="15" hidden="false" customHeight="false" outlineLevel="0" collapsed="false">
      <c r="A2598" s="9" t="s">
        <v>8441</v>
      </c>
      <c r="B2598" s="9" t="s">
        <v>5870</v>
      </c>
      <c r="C2598" s="9" t="s">
        <v>2841</v>
      </c>
      <c r="D2598" s="9" t="s">
        <v>5871</v>
      </c>
      <c r="E2598" s="9" t="str">
        <f aca="false">IF(AND('Formation Ledger'!A2577&lt;&gt;"",'Formation Ledger'!V2577=0),"PASS","FAIL")</f>
        <v>PASS</v>
      </c>
      <c r="F2598" s="9" t="s">
        <v>76</v>
      </c>
      <c r="G2598" s="6"/>
      <c r="H2598" s="6"/>
      <c r="I2598" s="6"/>
      <c r="J2598" s="6"/>
      <c r="K2598" s="6"/>
      <c r="L2598" s="6"/>
      <c r="M2598" s="6"/>
      <c r="N2598" s="6"/>
      <c r="O2598" s="6"/>
      <c r="P2598" s="6"/>
      <c r="Q2598" s="6"/>
      <c r="R2598" s="6"/>
      <c r="S2598" s="6"/>
      <c r="T2598" s="6"/>
      <c r="U2598" s="6"/>
      <c r="V2598" s="6"/>
      <c r="W2598" s="6"/>
      <c r="X2598" s="6"/>
      <c r="Y2598" s="6"/>
      <c r="Z2598" s="6"/>
    </row>
    <row r="2599" customFormat="false" ht="15" hidden="false" customHeight="false" outlineLevel="0" collapsed="false">
      <c r="A2599" s="9" t="s">
        <v>8442</v>
      </c>
      <c r="B2599" s="9" t="s">
        <v>5870</v>
      </c>
      <c r="C2599" s="9" t="s">
        <v>2842</v>
      </c>
      <c r="D2599" s="9" t="s">
        <v>5871</v>
      </c>
      <c r="E2599" s="9" t="str">
        <f aca="false">IF(AND('Formation Ledger'!A2578&lt;&gt;"",'Formation Ledger'!V2578=0),"PASS","FAIL")</f>
        <v>PASS</v>
      </c>
      <c r="F2599" s="9" t="s">
        <v>76</v>
      </c>
      <c r="G2599" s="6"/>
      <c r="H2599" s="6"/>
      <c r="I2599" s="6"/>
      <c r="J2599" s="6"/>
      <c r="K2599" s="6"/>
      <c r="L2599" s="6"/>
      <c r="M2599" s="6"/>
      <c r="N2599" s="6"/>
      <c r="O2599" s="6"/>
      <c r="P2599" s="6"/>
      <c r="Q2599" s="6"/>
      <c r="R2599" s="6"/>
      <c r="S2599" s="6"/>
      <c r="T2599" s="6"/>
      <c r="U2599" s="6"/>
      <c r="V2599" s="6"/>
      <c r="W2599" s="6"/>
      <c r="X2599" s="6"/>
      <c r="Y2599" s="6"/>
      <c r="Z2599" s="6"/>
    </row>
    <row r="2600" customFormat="false" ht="15" hidden="false" customHeight="false" outlineLevel="0" collapsed="false">
      <c r="A2600" s="9" t="s">
        <v>8443</v>
      </c>
      <c r="B2600" s="9" t="s">
        <v>5870</v>
      </c>
      <c r="C2600" s="9" t="s">
        <v>2843</v>
      </c>
      <c r="D2600" s="9" t="s">
        <v>5871</v>
      </c>
      <c r="E2600" s="9" t="str">
        <f aca="false">IF(AND('Formation Ledger'!A2579&lt;&gt;"",'Formation Ledger'!V2579=0),"PASS","FAIL")</f>
        <v>PASS</v>
      </c>
      <c r="F2600" s="9" t="s">
        <v>76</v>
      </c>
      <c r="G2600" s="6"/>
      <c r="H2600" s="6"/>
      <c r="I2600" s="6"/>
      <c r="J2600" s="6"/>
      <c r="K2600" s="6"/>
      <c r="L2600" s="6"/>
      <c r="M2600" s="6"/>
      <c r="N2600" s="6"/>
      <c r="O2600" s="6"/>
      <c r="P2600" s="6"/>
      <c r="Q2600" s="6"/>
      <c r="R2600" s="6"/>
      <c r="S2600" s="6"/>
      <c r="T2600" s="6"/>
      <c r="U2600" s="6"/>
      <c r="V2600" s="6"/>
      <c r="W2600" s="6"/>
      <c r="X2600" s="6"/>
      <c r="Y2600" s="6"/>
      <c r="Z2600" s="6"/>
    </row>
    <row r="2601" customFormat="false" ht="15" hidden="false" customHeight="false" outlineLevel="0" collapsed="false">
      <c r="A2601" s="9" t="s">
        <v>8444</v>
      </c>
      <c r="B2601" s="9" t="s">
        <v>5870</v>
      </c>
      <c r="C2601" s="9" t="s">
        <v>2844</v>
      </c>
      <c r="D2601" s="9" t="s">
        <v>5871</v>
      </c>
      <c r="E2601" s="9" t="str">
        <f aca="false">IF(AND('Formation Ledger'!A2580&lt;&gt;"",'Formation Ledger'!V2580=0),"PASS","FAIL")</f>
        <v>PASS</v>
      </c>
      <c r="F2601" s="9" t="s">
        <v>76</v>
      </c>
      <c r="G2601" s="6"/>
      <c r="H2601" s="6"/>
      <c r="I2601" s="6"/>
      <c r="J2601" s="6"/>
      <c r="K2601" s="6"/>
      <c r="L2601" s="6"/>
      <c r="M2601" s="6"/>
      <c r="N2601" s="6"/>
      <c r="O2601" s="6"/>
      <c r="P2601" s="6"/>
      <c r="Q2601" s="6"/>
      <c r="R2601" s="6"/>
      <c r="S2601" s="6"/>
      <c r="T2601" s="6"/>
      <c r="U2601" s="6"/>
      <c r="V2601" s="6"/>
      <c r="W2601" s="6"/>
      <c r="X2601" s="6"/>
      <c r="Y2601" s="6"/>
      <c r="Z2601" s="6"/>
    </row>
    <row r="2602" customFormat="false" ht="15" hidden="false" customHeight="false" outlineLevel="0" collapsed="false">
      <c r="A2602" s="9" t="s">
        <v>8445</v>
      </c>
      <c r="B2602" s="9" t="s">
        <v>5870</v>
      </c>
      <c r="C2602" s="9" t="s">
        <v>2845</v>
      </c>
      <c r="D2602" s="9" t="s">
        <v>5871</v>
      </c>
      <c r="E2602" s="9" t="str">
        <f aca="false">IF(AND('Formation Ledger'!A2581&lt;&gt;"",'Formation Ledger'!V2581=0),"PASS","FAIL")</f>
        <v>PASS</v>
      </c>
      <c r="F2602" s="9" t="s">
        <v>76</v>
      </c>
      <c r="G2602" s="6"/>
      <c r="H2602" s="6"/>
      <c r="I2602" s="6"/>
      <c r="J2602" s="6"/>
      <c r="K2602" s="6"/>
      <c r="L2602" s="6"/>
      <c r="M2602" s="6"/>
      <c r="N2602" s="6"/>
      <c r="O2602" s="6"/>
      <c r="P2602" s="6"/>
      <c r="Q2602" s="6"/>
      <c r="R2602" s="6"/>
      <c r="S2602" s="6"/>
      <c r="T2602" s="6"/>
      <c r="U2602" s="6"/>
      <c r="V2602" s="6"/>
      <c r="W2602" s="6"/>
      <c r="X2602" s="6"/>
      <c r="Y2602" s="6"/>
      <c r="Z2602" s="6"/>
    </row>
    <row r="2603" customFormat="false" ht="15" hidden="false" customHeight="false" outlineLevel="0" collapsed="false">
      <c r="A2603" s="9" t="s">
        <v>8446</v>
      </c>
      <c r="B2603" s="9" t="s">
        <v>5870</v>
      </c>
      <c r="C2603" s="9" t="s">
        <v>2846</v>
      </c>
      <c r="D2603" s="9" t="s">
        <v>5871</v>
      </c>
      <c r="E2603" s="9" t="str">
        <f aca="false">IF(AND('Formation Ledger'!A2582&lt;&gt;"",'Formation Ledger'!V2582=0),"PASS","FAIL")</f>
        <v>PASS</v>
      </c>
      <c r="F2603" s="9" t="s">
        <v>76</v>
      </c>
      <c r="G2603" s="6"/>
      <c r="H2603" s="6"/>
      <c r="I2603" s="6"/>
      <c r="J2603" s="6"/>
      <c r="K2603" s="6"/>
      <c r="L2603" s="6"/>
      <c r="M2603" s="6"/>
      <c r="N2603" s="6"/>
      <c r="O2603" s="6"/>
      <c r="P2603" s="6"/>
      <c r="Q2603" s="6"/>
      <c r="R2603" s="6"/>
      <c r="S2603" s="6"/>
      <c r="T2603" s="6"/>
      <c r="U2603" s="6"/>
      <c r="V2603" s="6"/>
      <c r="W2603" s="6"/>
      <c r="X2603" s="6"/>
      <c r="Y2603" s="6"/>
      <c r="Z2603" s="6"/>
    </row>
    <row r="2604" customFormat="false" ht="15" hidden="false" customHeight="false" outlineLevel="0" collapsed="false">
      <c r="A2604" s="9" t="s">
        <v>8447</v>
      </c>
      <c r="B2604" s="9" t="s">
        <v>5870</v>
      </c>
      <c r="C2604" s="9" t="s">
        <v>2847</v>
      </c>
      <c r="D2604" s="9" t="s">
        <v>5871</v>
      </c>
      <c r="E2604" s="9" t="str">
        <f aca="false">IF(AND('Formation Ledger'!A2583&lt;&gt;"",'Formation Ledger'!V2583=0),"PASS","FAIL")</f>
        <v>PASS</v>
      </c>
      <c r="F2604" s="9" t="s">
        <v>76</v>
      </c>
      <c r="G2604" s="6"/>
      <c r="H2604" s="6"/>
      <c r="I2604" s="6"/>
      <c r="J2604" s="6"/>
      <c r="K2604" s="6"/>
      <c r="L2604" s="6"/>
      <c r="M2604" s="6"/>
      <c r="N2604" s="6"/>
      <c r="O2604" s="6"/>
      <c r="P2604" s="6"/>
      <c r="Q2604" s="6"/>
      <c r="R2604" s="6"/>
      <c r="S2604" s="6"/>
      <c r="T2604" s="6"/>
      <c r="U2604" s="6"/>
      <c r="V2604" s="6"/>
      <c r="W2604" s="6"/>
      <c r="X2604" s="6"/>
      <c r="Y2604" s="6"/>
      <c r="Z2604" s="6"/>
    </row>
    <row r="2605" customFormat="false" ht="15" hidden="false" customHeight="false" outlineLevel="0" collapsed="false">
      <c r="A2605" s="9" t="s">
        <v>8448</v>
      </c>
      <c r="B2605" s="9" t="s">
        <v>5870</v>
      </c>
      <c r="C2605" s="9" t="s">
        <v>2848</v>
      </c>
      <c r="D2605" s="9" t="s">
        <v>5871</v>
      </c>
      <c r="E2605" s="9" t="str">
        <f aca="false">IF(AND('Formation Ledger'!A2584&lt;&gt;"",'Formation Ledger'!V2584=0),"PASS","FAIL")</f>
        <v>PASS</v>
      </c>
      <c r="F2605" s="9" t="s">
        <v>76</v>
      </c>
      <c r="G2605" s="6"/>
      <c r="H2605" s="6"/>
      <c r="I2605" s="6"/>
      <c r="J2605" s="6"/>
      <c r="K2605" s="6"/>
      <c r="L2605" s="6"/>
      <c r="M2605" s="6"/>
      <c r="N2605" s="6"/>
      <c r="O2605" s="6"/>
      <c r="P2605" s="6"/>
      <c r="Q2605" s="6"/>
      <c r="R2605" s="6"/>
      <c r="S2605" s="6"/>
      <c r="T2605" s="6"/>
      <c r="U2605" s="6"/>
      <c r="V2605" s="6"/>
      <c r="W2605" s="6"/>
      <c r="X2605" s="6"/>
      <c r="Y2605" s="6"/>
      <c r="Z2605" s="6"/>
    </row>
    <row r="2606" customFormat="false" ht="15" hidden="false" customHeight="false" outlineLevel="0" collapsed="false">
      <c r="A2606" s="9" t="s">
        <v>8449</v>
      </c>
      <c r="B2606" s="9" t="s">
        <v>5870</v>
      </c>
      <c r="C2606" s="9" t="s">
        <v>2849</v>
      </c>
      <c r="D2606" s="9" t="s">
        <v>5871</v>
      </c>
      <c r="E2606" s="9" t="str">
        <f aca="false">IF(AND('Formation Ledger'!A2585&lt;&gt;"",'Formation Ledger'!V2585=0),"PASS","FAIL")</f>
        <v>PASS</v>
      </c>
      <c r="F2606" s="9" t="s">
        <v>76</v>
      </c>
      <c r="G2606" s="6"/>
      <c r="H2606" s="6"/>
      <c r="I2606" s="6"/>
      <c r="J2606" s="6"/>
      <c r="K2606" s="6"/>
      <c r="L2606" s="6"/>
      <c r="M2606" s="6"/>
      <c r="N2606" s="6"/>
      <c r="O2606" s="6"/>
      <c r="P2606" s="6"/>
      <c r="Q2606" s="6"/>
      <c r="R2606" s="6"/>
      <c r="S2606" s="6"/>
      <c r="T2606" s="6"/>
      <c r="U2606" s="6"/>
      <c r="V2606" s="6"/>
      <c r="W2606" s="6"/>
      <c r="X2606" s="6"/>
      <c r="Y2606" s="6"/>
      <c r="Z2606" s="6"/>
    </row>
    <row r="2607" customFormat="false" ht="15" hidden="false" customHeight="false" outlineLevel="0" collapsed="false">
      <c r="A2607" s="9" t="s">
        <v>8450</v>
      </c>
      <c r="B2607" s="9" t="s">
        <v>5870</v>
      </c>
      <c r="C2607" s="9" t="s">
        <v>2850</v>
      </c>
      <c r="D2607" s="9" t="s">
        <v>5871</v>
      </c>
      <c r="E2607" s="9" t="str">
        <f aca="false">IF(AND('Formation Ledger'!A2586&lt;&gt;"",'Formation Ledger'!V2586=0),"PASS","FAIL")</f>
        <v>PASS</v>
      </c>
      <c r="F2607" s="9" t="s">
        <v>76</v>
      </c>
      <c r="G2607" s="6"/>
      <c r="H2607" s="6"/>
      <c r="I2607" s="6"/>
      <c r="J2607" s="6"/>
      <c r="K2607" s="6"/>
      <c r="L2607" s="6"/>
      <c r="M2607" s="6"/>
      <c r="N2607" s="6"/>
      <c r="O2607" s="6"/>
      <c r="P2607" s="6"/>
      <c r="Q2607" s="6"/>
      <c r="R2607" s="6"/>
      <c r="S2607" s="6"/>
      <c r="T2607" s="6"/>
      <c r="U2607" s="6"/>
      <c r="V2607" s="6"/>
      <c r="W2607" s="6"/>
      <c r="X2607" s="6"/>
      <c r="Y2607" s="6"/>
      <c r="Z2607" s="6"/>
    </row>
    <row r="2608" customFormat="false" ht="15" hidden="false" customHeight="false" outlineLevel="0" collapsed="false">
      <c r="A2608" s="9" t="s">
        <v>8451</v>
      </c>
      <c r="B2608" s="9" t="s">
        <v>5870</v>
      </c>
      <c r="C2608" s="9" t="s">
        <v>2851</v>
      </c>
      <c r="D2608" s="9" t="s">
        <v>5871</v>
      </c>
      <c r="E2608" s="9" t="str">
        <f aca="false">IF(AND('Formation Ledger'!A2587&lt;&gt;"",'Formation Ledger'!V2587=0),"PASS","FAIL")</f>
        <v>PASS</v>
      </c>
      <c r="F2608" s="9" t="s">
        <v>76</v>
      </c>
      <c r="G2608" s="6"/>
      <c r="H2608" s="6"/>
      <c r="I2608" s="6"/>
      <c r="J2608" s="6"/>
      <c r="K2608" s="6"/>
      <c r="L2608" s="6"/>
      <c r="M2608" s="6"/>
      <c r="N2608" s="6"/>
      <c r="O2608" s="6"/>
      <c r="P2608" s="6"/>
      <c r="Q2608" s="6"/>
      <c r="R2608" s="6"/>
      <c r="S2608" s="6"/>
      <c r="T2608" s="6"/>
      <c r="U2608" s="6"/>
      <c r="V2608" s="6"/>
      <c r="W2608" s="6"/>
      <c r="X2608" s="6"/>
      <c r="Y2608" s="6"/>
      <c r="Z2608" s="6"/>
    </row>
    <row r="2609" customFormat="false" ht="15" hidden="false" customHeight="false" outlineLevel="0" collapsed="false">
      <c r="A2609" s="9" t="s">
        <v>8452</v>
      </c>
      <c r="B2609" s="9" t="s">
        <v>5870</v>
      </c>
      <c r="C2609" s="9" t="s">
        <v>2852</v>
      </c>
      <c r="D2609" s="9" t="s">
        <v>5871</v>
      </c>
      <c r="E2609" s="9" t="str">
        <f aca="false">IF(AND('Formation Ledger'!A2588&lt;&gt;"",'Formation Ledger'!V2588=0),"PASS","FAIL")</f>
        <v>PASS</v>
      </c>
      <c r="F2609" s="9" t="s">
        <v>76</v>
      </c>
      <c r="G2609" s="6"/>
      <c r="H2609" s="6"/>
      <c r="I2609" s="6"/>
      <c r="J2609" s="6"/>
      <c r="K2609" s="6"/>
      <c r="L2609" s="6"/>
      <c r="M2609" s="6"/>
      <c r="N2609" s="6"/>
      <c r="O2609" s="6"/>
      <c r="P2609" s="6"/>
      <c r="Q2609" s="6"/>
      <c r="R2609" s="6"/>
      <c r="S2609" s="6"/>
      <c r="T2609" s="6"/>
      <c r="U2609" s="6"/>
      <c r="V2609" s="6"/>
      <c r="W2609" s="6"/>
      <c r="X2609" s="6"/>
      <c r="Y2609" s="6"/>
      <c r="Z2609" s="6"/>
    </row>
    <row r="2610" customFormat="false" ht="15" hidden="false" customHeight="false" outlineLevel="0" collapsed="false">
      <c r="A2610" s="9" t="s">
        <v>8453</v>
      </c>
      <c r="B2610" s="9" t="s">
        <v>5870</v>
      </c>
      <c r="C2610" s="9" t="s">
        <v>2853</v>
      </c>
      <c r="D2610" s="9" t="s">
        <v>5871</v>
      </c>
      <c r="E2610" s="9" t="str">
        <f aca="false">IF(AND('Formation Ledger'!A2589&lt;&gt;"",'Formation Ledger'!V2589=0),"PASS","FAIL")</f>
        <v>PASS</v>
      </c>
      <c r="F2610" s="9" t="s">
        <v>76</v>
      </c>
      <c r="G2610" s="6"/>
      <c r="H2610" s="6"/>
      <c r="I2610" s="6"/>
      <c r="J2610" s="6"/>
      <c r="K2610" s="6"/>
      <c r="L2610" s="6"/>
      <c r="M2610" s="6"/>
      <c r="N2610" s="6"/>
      <c r="O2610" s="6"/>
      <c r="P2610" s="6"/>
      <c r="Q2610" s="6"/>
      <c r="R2610" s="6"/>
      <c r="S2610" s="6"/>
      <c r="T2610" s="6"/>
      <c r="U2610" s="6"/>
      <c r="V2610" s="6"/>
      <c r="W2610" s="6"/>
      <c r="X2610" s="6"/>
      <c r="Y2610" s="6"/>
      <c r="Z2610" s="6"/>
    </row>
    <row r="2611" customFormat="false" ht="15" hidden="false" customHeight="false" outlineLevel="0" collapsed="false">
      <c r="A2611" s="9" t="s">
        <v>8454</v>
      </c>
      <c r="B2611" s="9" t="s">
        <v>5870</v>
      </c>
      <c r="C2611" s="9" t="s">
        <v>2854</v>
      </c>
      <c r="D2611" s="9" t="s">
        <v>5871</v>
      </c>
      <c r="E2611" s="9" t="str">
        <f aca="false">IF(AND('Formation Ledger'!A2590&lt;&gt;"",'Formation Ledger'!V2590=0),"PASS","FAIL")</f>
        <v>PASS</v>
      </c>
      <c r="F2611" s="9" t="s">
        <v>76</v>
      </c>
      <c r="G2611" s="6"/>
      <c r="H2611" s="6"/>
      <c r="I2611" s="6"/>
      <c r="J2611" s="6"/>
      <c r="K2611" s="6"/>
      <c r="L2611" s="6"/>
      <c r="M2611" s="6"/>
      <c r="N2611" s="6"/>
      <c r="O2611" s="6"/>
      <c r="P2611" s="6"/>
      <c r="Q2611" s="6"/>
      <c r="R2611" s="6"/>
      <c r="S2611" s="6"/>
      <c r="T2611" s="6"/>
      <c r="U2611" s="6"/>
      <c r="V2611" s="6"/>
      <c r="W2611" s="6"/>
      <c r="X2611" s="6"/>
      <c r="Y2611" s="6"/>
      <c r="Z2611" s="6"/>
    </row>
    <row r="2612" customFormat="false" ht="15" hidden="false" customHeight="false" outlineLevel="0" collapsed="false">
      <c r="A2612" s="9" t="s">
        <v>8455</v>
      </c>
      <c r="B2612" s="9" t="s">
        <v>5870</v>
      </c>
      <c r="C2612" s="9" t="s">
        <v>2855</v>
      </c>
      <c r="D2612" s="9" t="s">
        <v>5871</v>
      </c>
      <c r="E2612" s="9" t="str">
        <f aca="false">IF(AND('Formation Ledger'!A2591&lt;&gt;"",'Formation Ledger'!V2591=0),"PASS","FAIL")</f>
        <v>PASS</v>
      </c>
      <c r="F2612" s="9" t="s">
        <v>76</v>
      </c>
      <c r="G2612" s="6"/>
      <c r="H2612" s="6"/>
      <c r="I2612" s="6"/>
      <c r="J2612" s="6"/>
      <c r="K2612" s="6"/>
      <c r="L2612" s="6"/>
      <c r="M2612" s="6"/>
      <c r="N2612" s="6"/>
      <c r="O2612" s="6"/>
      <c r="P2612" s="6"/>
      <c r="Q2612" s="6"/>
      <c r="R2612" s="6"/>
      <c r="S2612" s="6"/>
      <c r="T2612" s="6"/>
      <c r="U2612" s="6"/>
      <c r="V2612" s="6"/>
      <c r="W2612" s="6"/>
      <c r="X2612" s="6"/>
      <c r="Y2612" s="6"/>
      <c r="Z2612" s="6"/>
    </row>
    <row r="2613" customFormat="false" ht="15" hidden="false" customHeight="false" outlineLevel="0" collapsed="false">
      <c r="A2613" s="9" t="s">
        <v>8456</v>
      </c>
      <c r="B2613" s="9" t="s">
        <v>5870</v>
      </c>
      <c r="C2613" s="9" t="s">
        <v>2856</v>
      </c>
      <c r="D2613" s="9" t="s">
        <v>5871</v>
      </c>
      <c r="E2613" s="9" t="str">
        <f aca="false">IF(AND('Formation Ledger'!A2592&lt;&gt;"",'Formation Ledger'!V2592=0),"PASS","FAIL")</f>
        <v>PASS</v>
      </c>
      <c r="F2613" s="9" t="s">
        <v>76</v>
      </c>
      <c r="G2613" s="6"/>
      <c r="H2613" s="6"/>
      <c r="I2613" s="6"/>
      <c r="J2613" s="6"/>
      <c r="K2613" s="6"/>
      <c r="L2613" s="6"/>
      <c r="M2613" s="6"/>
      <c r="N2613" s="6"/>
      <c r="O2613" s="6"/>
      <c r="P2613" s="6"/>
      <c r="Q2613" s="6"/>
      <c r="R2613" s="6"/>
      <c r="S2613" s="6"/>
      <c r="T2613" s="6"/>
      <c r="U2613" s="6"/>
      <c r="V2613" s="6"/>
      <c r="W2613" s="6"/>
      <c r="X2613" s="6"/>
      <c r="Y2613" s="6"/>
      <c r="Z2613" s="6"/>
    </row>
    <row r="2614" customFormat="false" ht="15" hidden="false" customHeight="false" outlineLevel="0" collapsed="false">
      <c r="A2614" s="9" t="s">
        <v>8457</v>
      </c>
      <c r="B2614" s="9" t="s">
        <v>5870</v>
      </c>
      <c r="C2614" s="9" t="s">
        <v>2857</v>
      </c>
      <c r="D2614" s="9" t="s">
        <v>5871</v>
      </c>
      <c r="E2614" s="9" t="str">
        <f aca="false">IF(AND('Formation Ledger'!A2593&lt;&gt;"",'Formation Ledger'!V2593=0),"PASS","FAIL")</f>
        <v>PASS</v>
      </c>
      <c r="F2614" s="9" t="s">
        <v>76</v>
      </c>
      <c r="G2614" s="6"/>
      <c r="H2614" s="6"/>
      <c r="I2614" s="6"/>
      <c r="J2614" s="6"/>
      <c r="K2614" s="6"/>
      <c r="L2614" s="6"/>
      <c r="M2614" s="6"/>
      <c r="N2614" s="6"/>
      <c r="O2614" s="6"/>
      <c r="P2614" s="6"/>
      <c r="Q2614" s="6"/>
      <c r="R2614" s="6"/>
      <c r="S2614" s="6"/>
      <c r="T2614" s="6"/>
      <c r="U2614" s="6"/>
      <c r="V2614" s="6"/>
      <c r="W2614" s="6"/>
      <c r="X2614" s="6"/>
      <c r="Y2614" s="6"/>
      <c r="Z2614" s="6"/>
    </row>
    <row r="2615" customFormat="false" ht="15" hidden="false" customHeight="false" outlineLevel="0" collapsed="false">
      <c r="A2615" s="9" t="s">
        <v>8458</v>
      </c>
      <c r="B2615" s="9" t="s">
        <v>5870</v>
      </c>
      <c r="C2615" s="9" t="s">
        <v>2858</v>
      </c>
      <c r="D2615" s="9" t="s">
        <v>5871</v>
      </c>
      <c r="E2615" s="9" t="str">
        <f aca="false">IF(AND('Formation Ledger'!A2594&lt;&gt;"",'Formation Ledger'!V2594=0),"PASS","FAIL")</f>
        <v>PASS</v>
      </c>
      <c r="F2615" s="9" t="s">
        <v>76</v>
      </c>
      <c r="G2615" s="6"/>
      <c r="H2615" s="6"/>
      <c r="I2615" s="6"/>
      <c r="J2615" s="6"/>
      <c r="K2615" s="6"/>
      <c r="L2615" s="6"/>
      <c r="M2615" s="6"/>
      <c r="N2615" s="6"/>
      <c r="O2615" s="6"/>
      <c r="P2615" s="6"/>
      <c r="Q2615" s="6"/>
      <c r="R2615" s="6"/>
      <c r="S2615" s="6"/>
      <c r="T2615" s="6"/>
      <c r="U2615" s="6"/>
      <c r="V2615" s="6"/>
      <c r="W2615" s="6"/>
      <c r="X2615" s="6"/>
      <c r="Y2615" s="6"/>
      <c r="Z2615" s="6"/>
    </row>
    <row r="2616" customFormat="false" ht="15" hidden="false" customHeight="false" outlineLevel="0" collapsed="false">
      <c r="A2616" s="9" t="s">
        <v>8459</v>
      </c>
      <c r="B2616" s="9" t="s">
        <v>5870</v>
      </c>
      <c r="C2616" s="9" t="s">
        <v>2859</v>
      </c>
      <c r="D2616" s="9" t="s">
        <v>5871</v>
      </c>
      <c r="E2616" s="9" t="str">
        <f aca="false">IF(AND('Formation Ledger'!A2595&lt;&gt;"",'Formation Ledger'!V2595=0),"PASS","FAIL")</f>
        <v>PASS</v>
      </c>
      <c r="F2616" s="9" t="s">
        <v>76</v>
      </c>
      <c r="G2616" s="6"/>
      <c r="H2616" s="6"/>
      <c r="I2616" s="6"/>
      <c r="J2616" s="6"/>
      <c r="K2616" s="6"/>
      <c r="L2616" s="6"/>
      <c r="M2616" s="6"/>
      <c r="N2616" s="6"/>
      <c r="O2616" s="6"/>
      <c r="P2616" s="6"/>
      <c r="Q2616" s="6"/>
      <c r="R2616" s="6"/>
      <c r="S2616" s="6"/>
      <c r="T2616" s="6"/>
      <c r="U2616" s="6"/>
      <c r="V2616" s="6"/>
      <c r="W2616" s="6"/>
      <c r="X2616" s="6"/>
      <c r="Y2616" s="6"/>
      <c r="Z2616" s="6"/>
    </row>
    <row r="2617" customFormat="false" ht="15" hidden="false" customHeight="false" outlineLevel="0" collapsed="false">
      <c r="A2617" s="9" t="s">
        <v>8460</v>
      </c>
      <c r="B2617" s="9" t="s">
        <v>5870</v>
      </c>
      <c r="C2617" s="9" t="s">
        <v>2860</v>
      </c>
      <c r="D2617" s="9" t="s">
        <v>5871</v>
      </c>
      <c r="E2617" s="9" t="str">
        <f aca="false">IF(AND('Formation Ledger'!A2596&lt;&gt;"",'Formation Ledger'!V2596=0),"PASS","FAIL")</f>
        <v>PASS</v>
      </c>
      <c r="F2617" s="9" t="s">
        <v>76</v>
      </c>
      <c r="G2617" s="6"/>
      <c r="H2617" s="6"/>
      <c r="I2617" s="6"/>
      <c r="J2617" s="6"/>
      <c r="K2617" s="6"/>
      <c r="L2617" s="6"/>
      <c r="M2617" s="6"/>
      <c r="N2617" s="6"/>
      <c r="O2617" s="6"/>
      <c r="P2617" s="6"/>
      <c r="Q2617" s="6"/>
      <c r="R2617" s="6"/>
      <c r="S2617" s="6"/>
      <c r="T2617" s="6"/>
      <c r="U2617" s="6"/>
      <c r="V2617" s="6"/>
      <c r="W2617" s="6"/>
      <c r="X2617" s="6"/>
      <c r="Y2617" s="6"/>
      <c r="Z2617" s="6"/>
    </row>
    <row r="2618" customFormat="false" ht="15" hidden="false" customHeight="false" outlineLevel="0" collapsed="false">
      <c r="A2618" s="9" t="s">
        <v>8461</v>
      </c>
      <c r="B2618" s="9" t="s">
        <v>5870</v>
      </c>
      <c r="C2618" s="9" t="s">
        <v>2861</v>
      </c>
      <c r="D2618" s="9" t="s">
        <v>5871</v>
      </c>
      <c r="E2618" s="9" t="str">
        <f aca="false">IF(AND('Formation Ledger'!A2597&lt;&gt;"",'Formation Ledger'!V2597=0),"PASS","FAIL")</f>
        <v>PASS</v>
      </c>
      <c r="F2618" s="9" t="s">
        <v>76</v>
      </c>
      <c r="G2618" s="6"/>
      <c r="H2618" s="6"/>
      <c r="I2618" s="6"/>
      <c r="J2618" s="6"/>
      <c r="K2618" s="6"/>
      <c r="L2618" s="6"/>
      <c r="M2618" s="6"/>
      <c r="N2618" s="6"/>
      <c r="O2618" s="6"/>
      <c r="P2618" s="6"/>
      <c r="Q2618" s="6"/>
      <c r="R2618" s="6"/>
      <c r="S2618" s="6"/>
      <c r="T2618" s="6"/>
      <c r="U2618" s="6"/>
      <c r="V2618" s="6"/>
      <c r="W2618" s="6"/>
      <c r="X2618" s="6"/>
      <c r="Y2618" s="6"/>
      <c r="Z2618" s="6"/>
    </row>
    <row r="2619" customFormat="false" ht="15" hidden="false" customHeight="false" outlineLevel="0" collapsed="false">
      <c r="A2619" s="9" t="s">
        <v>8462</v>
      </c>
      <c r="B2619" s="9" t="s">
        <v>5870</v>
      </c>
      <c r="C2619" s="9" t="s">
        <v>2862</v>
      </c>
      <c r="D2619" s="9" t="s">
        <v>5871</v>
      </c>
      <c r="E2619" s="9" t="str">
        <f aca="false">IF(AND('Formation Ledger'!A2598&lt;&gt;"",'Formation Ledger'!V2598=0),"PASS","FAIL")</f>
        <v>PASS</v>
      </c>
      <c r="F2619" s="9" t="s">
        <v>76</v>
      </c>
      <c r="G2619" s="6"/>
      <c r="H2619" s="6"/>
      <c r="I2619" s="6"/>
      <c r="J2619" s="6"/>
      <c r="K2619" s="6"/>
      <c r="L2619" s="6"/>
      <c r="M2619" s="6"/>
      <c r="N2619" s="6"/>
      <c r="O2619" s="6"/>
      <c r="P2619" s="6"/>
      <c r="Q2619" s="6"/>
      <c r="R2619" s="6"/>
      <c r="S2619" s="6"/>
      <c r="T2619" s="6"/>
      <c r="U2619" s="6"/>
      <c r="V2619" s="6"/>
      <c r="W2619" s="6"/>
      <c r="X2619" s="6"/>
      <c r="Y2619" s="6"/>
      <c r="Z2619" s="6"/>
    </row>
    <row r="2620" customFormat="false" ht="15" hidden="false" customHeight="false" outlineLevel="0" collapsed="false">
      <c r="A2620" s="9" t="s">
        <v>8463</v>
      </c>
      <c r="B2620" s="9" t="s">
        <v>5870</v>
      </c>
      <c r="C2620" s="9" t="s">
        <v>2863</v>
      </c>
      <c r="D2620" s="9" t="s">
        <v>5871</v>
      </c>
      <c r="E2620" s="9" t="str">
        <f aca="false">IF(AND('Formation Ledger'!A2599&lt;&gt;"",'Formation Ledger'!V2599=0),"PASS","FAIL")</f>
        <v>PASS</v>
      </c>
      <c r="F2620" s="9" t="s">
        <v>76</v>
      </c>
      <c r="G2620" s="6"/>
      <c r="H2620" s="6"/>
      <c r="I2620" s="6"/>
      <c r="J2620" s="6"/>
      <c r="K2620" s="6"/>
      <c r="L2620" s="6"/>
      <c r="M2620" s="6"/>
      <c r="N2620" s="6"/>
      <c r="O2620" s="6"/>
      <c r="P2620" s="6"/>
      <c r="Q2620" s="6"/>
      <c r="R2620" s="6"/>
      <c r="S2620" s="6"/>
      <c r="T2620" s="6"/>
      <c r="U2620" s="6"/>
      <c r="V2620" s="6"/>
      <c r="W2620" s="6"/>
      <c r="X2620" s="6"/>
      <c r="Y2620" s="6"/>
      <c r="Z2620" s="6"/>
    </row>
    <row r="2621" customFormat="false" ht="15" hidden="false" customHeight="false" outlineLevel="0" collapsed="false">
      <c r="A2621" s="9" t="s">
        <v>8464</v>
      </c>
      <c r="B2621" s="9" t="s">
        <v>5870</v>
      </c>
      <c r="C2621" s="9" t="s">
        <v>2864</v>
      </c>
      <c r="D2621" s="9" t="s">
        <v>5871</v>
      </c>
      <c r="E2621" s="9" t="str">
        <f aca="false">IF(AND('Formation Ledger'!A2600&lt;&gt;"",'Formation Ledger'!V2600=0),"PASS","FAIL")</f>
        <v>PASS</v>
      </c>
      <c r="F2621" s="9" t="s">
        <v>76</v>
      </c>
      <c r="G2621" s="6"/>
      <c r="H2621" s="6"/>
      <c r="I2621" s="6"/>
      <c r="J2621" s="6"/>
      <c r="K2621" s="6"/>
      <c r="L2621" s="6"/>
      <c r="M2621" s="6"/>
      <c r="N2621" s="6"/>
      <c r="O2621" s="6"/>
      <c r="P2621" s="6"/>
      <c r="Q2621" s="6"/>
      <c r="R2621" s="6"/>
      <c r="S2621" s="6"/>
      <c r="T2621" s="6"/>
      <c r="U2621" s="6"/>
      <c r="V2621" s="6"/>
      <c r="W2621" s="6"/>
      <c r="X2621" s="6"/>
      <c r="Y2621" s="6"/>
      <c r="Z2621" s="6"/>
    </row>
    <row r="2622" customFormat="false" ht="15" hidden="false" customHeight="false" outlineLevel="0" collapsed="false">
      <c r="A2622" s="9" t="s">
        <v>8465</v>
      </c>
      <c r="B2622" s="9" t="s">
        <v>5870</v>
      </c>
      <c r="C2622" s="9" t="s">
        <v>2865</v>
      </c>
      <c r="D2622" s="9" t="s">
        <v>5871</v>
      </c>
      <c r="E2622" s="9" t="str">
        <f aca="false">IF(AND('Formation Ledger'!A2601&lt;&gt;"",'Formation Ledger'!V2601=0),"PASS","FAIL")</f>
        <v>PASS</v>
      </c>
      <c r="F2622" s="9" t="s">
        <v>76</v>
      </c>
      <c r="G2622" s="6"/>
      <c r="H2622" s="6"/>
      <c r="I2622" s="6"/>
      <c r="J2622" s="6"/>
      <c r="K2622" s="6"/>
      <c r="L2622" s="6"/>
      <c r="M2622" s="6"/>
      <c r="N2622" s="6"/>
      <c r="O2622" s="6"/>
      <c r="P2622" s="6"/>
      <c r="Q2622" s="6"/>
      <c r="R2622" s="6"/>
      <c r="S2622" s="6"/>
      <c r="T2622" s="6"/>
      <c r="U2622" s="6"/>
      <c r="V2622" s="6"/>
      <c r="W2622" s="6"/>
      <c r="X2622" s="6"/>
      <c r="Y2622" s="6"/>
      <c r="Z2622" s="6"/>
    </row>
    <row r="2623" customFormat="false" ht="15" hidden="false" customHeight="false" outlineLevel="0" collapsed="false">
      <c r="A2623" s="9" t="s">
        <v>8466</v>
      </c>
      <c r="B2623" s="9" t="s">
        <v>5870</v>
      </c>
      <c r="C2623" s="9" t="s">
        <v>2866</v>
      </c>
      <c r="D2623" s="9" t="s">
        <v>5871</v>
      </c>
      <c r="E2623" s="9" t="str">
        <f aca="false">IF(AND('Formation Ledger'!A2602&lt;&gt;"",'Formation Ledger'!V2602=0),"PASS","FAIL")</f>
        <v>PASS</v>
      </c>
      <c r="F2623" s="9" t="s">
        <v>76</v>
      </c>
      <c r="G2623" s="6"/>
      <c r="H2623" s="6"/>
      <c r="I2623" s="6"/>
      <c r="J2623" s="6"/>
      <c r="K2623" s="6"/>
      <c r="L2623" s="6"/>
      <c r="M2623" s="6"/>
      <c r="N2623" s="6"/>
      <c r="O2623" s="6"/>
      <c r="P2623" s="6"/>
      <c r="Q2623" s="6"/>
      <c r="R2623" s="6"/>
      <c r="S2623" s="6"/>
      <c r="T2623" s="6"/>
      <c r="U2623" s="6"/>
      <c r="V2623" s="6"/>
      <c r="W2623" s="6"/>
      <c r="X2623" s="6"/>
      <c r="Y2623" s="6"/>
      <c r="Z2623" s="6"/>
    </row>
    <row r="2624" customFormat="false" ht="15" hidden="false" customHeight="false" outlineLevel="0" collapsed="false">
      <c r="A2624" s="9" t="s">
        <v>8467</v>
      </c>
      <c r="B2624" s="9" t="s">
        <v>5870</v>
      </c>
      <c r="C2624" s="9" t="s">
        <v>2867</v>
      </c>
      <c r="D2624" s="9" t="s">
        <v>5871</v>
      </c>
      <c r="E2624" s="9" t="str">
        <f aca="false">IF(AND('Formation Ledger'!A2603&lt;&gt;"",'Formation Ledger'!V2603=0),"PASS","FAIL")</f>
        <v>PASS</v>
      </c>
      <c r="F2624" s="9" t="s">
        <v>76</v>
      </c>
      <c r="G2624" s="6"/>
      <c r="H2624" s="6"/>
      <c r="I2624" s="6"/>
      <c r="J2624" s="6"/>
      <c r="K2624" s="6"/>
      <c r="L2624" s="6"/>
      <c r="M2624" s="6"/>
      <c r="N2624" s="6"/>
      <c r="O2624" s="6"/>
      <c r="P2624" s="6"/>
      <c r="Q2624" s="6"/>
      <c r="R2624" s="6"/>
      <c r="S2624" s="6"/>
      <c r="T2624" s="6"/>
      <c r="U2624" s="6"/>
      <c r="V2624" s="6"/>
      <c r="W2624" s="6"/>
      <c r="X2624" s="6"/>
      <c r="Y2624" s="6"/>
      <c r="Z2624" s="6"/>
    </row>
    <row r="2625" customFormat="false" ht="15" hidden="false" customHeight="false" outlineLevel="0" collapsed="false">
      <c r="A2625" s="9" t="s">
        <v>8468</v>
      </c>
      <c r="B2625" s="9" t="s">
        <v>5870</v>
      </c>
      <c r="C2625" s="9" t="s">
        <v>2868</v>
      </c>
      <c r="D2625" s="9" t="s">
        <v>5871</v>
      </c>
      <c r="E2625" s="9" t="str">
        <f aca="false">IF(AND('Formation Ledger'!A2604&lt;&gt;"",'Formation Ledger'!V2604=0),"PASS","FAIL")</f>
        <v>PASS</v>
      </c>
      <c r="F2625" s="9" t="s">
        <v>76</v>
      </c>
      <c r="G2625" s="6"/>
      <c r="H2625" s="6"/>
      <c r="I2625" s="6"/>
      <c r="J2625" s="6"/>
      <c r="K2625" s="6"/>
      <c r="L2625" s="6"/>
      <c r="M2625" s="6"/>
      <c r="N2625" s="6"/>
      <c r="O2625" s="6"/>
      <c r="P2625" s="6"/>
      <c r="Q2625" s="6"/>
      <c r="R2625" s="6"/>
      <c r="S2625" s="6"/>
      <c r="T2625" s="6"/>
      <c r="U2625" s="6"/>
      <c r="V2625" s="6"/>
      <c r="W2625" s="6"/>
      <c r="X2625" s="6"/>
      <c r="Y2625" s="6"/>
      <c r="Z2625" s="6"/>
    </row>
    <row r="2626" customFormat="false" ht="15" hidden="false" customHeight="false" outlineLevel="0" collapsed="false">
      <c r="A2626" s="9" t="s">
        <v>8469</v>
      </c>
      <c r="B2626" s="9" t="s">
        <v>5870</v>
      </c>
      <c r="C2626" s="9" t="s">
        <v>2869</v>
      </c>
      <c r="D2626" s="9" t="s">
        <v>5871</v>
      </c>
      <c r="E2626" s="9" t="str">
        <f aca="false">IF(AND('Formation Ledger'!A2605&lt;&gt;"",'Formation Ledger'!V2605=0),"PASS","FAIL")</f>
        <v>PASS</v>
      </c>
      <c r="F2626" s="9" t="s">
        <v>76</v>
      </c>
      <c r="G2626" s="6"/>
      <c r="H2626" s="6"/>
      <c r="I2626" s="6"/>
      <c r="J2626" s="6"/>
      <c r="K2626" s="6"/>
      <c r="L2626" s="6"/>
      <c r="M2626" s="6"/>
      <c r="N2626" s="6"/>
      <c r="O2626" s="6"/>
      <c r="P2626" s="6"/>
      <c r="Q2626" s="6"/>
      <c r="R2626" s="6"/>
      <c r="S2626" s="6"/>
      <c r="T2626" s="6"/>
      <c r="U2626" s="6"/>
      <c r="V2626" s="6"/>
      <c r="W2626" s="6"/>
      <c r="X2626" s="6"/>
      <c r="Y2626" s="6"/>
      <c r="Z2626" s="6"/>
    </row>
    <row r="2627" customFormat="false" ht="15" hidden="false" customHeight="false" outlineLevel="0" collapsed="false">
      <c r="A2627" s="9" t="s">
        <v>8470</v>
      </c>
      <c r="B2627" s="9" t="s">
        <v>5870</v>
      </c>
      <c r="C2627" s="9" t="s">
        <v>2870</v>
      </c>
      <c r="D2627" s="9" t="s">
        <v>5871</v>
      </c>
      <c r="E2627" s="9" t="str">
        <f aca="false">IF(AND('Formation Ledger'!A2606&lt;&gt;"",'Formation Ledger'!V2606=0),"PASS","FAIL")</f>
        <v>PASS</v>
      </c>
      <c r="F2627" s="9" t="s">
        <v>76</v>
      </c>
      <c r="G2627" s="6"/>
      <c r="H2627" s="6"/>
      <c r="I2627" s="6"/>
      <c r="J2627" s="6"/>
      <c r="K2627" s="6"/>
      <c r="L2627" s="6"/>
      <c r="M2627" s="6"/>
      <c r="N2627" s="6"/>
      <c r="O2627" s="6"/>
      <c r="P2627" s="6"/>
      <c r="Q2627" s="6"/>
      <c r="R2627" s="6"/>
      <c r="S2627" s="6"/>
      <c r="T2627" s="6"/>
      <c r="U2627" s="6"/>
      <c r="V2627" s="6"/>
      <c r="W2627" s="6"/>
      <c r="X2627" s="6"/>
      <c r="Y2627" s="6"/>
      <c r="Z2627" s="6"/>
    </row>
    <row r="2628" customFormat="false" ht="15" hidden="false" customHeight="false" outlineLevel="0" collapsed="false">
      <c r="A2628" s="9" t="s">
        <v>8471</v>
      </c>
      <c r="B2628" s="9" t="s">
        <v>5870</v>
      </c>
      <c r="C2628" s="9" t="s">
        <v>2871</v>
      </c>
      <c r="D2628" s="9" t="s">
        <v>5871</v>
      </c>
      <c r="E2628" s="9" t="str">
        <f aca="false">IF(AND('Formation Ledger'!A2607&lt;&gt;"",'Formation Ledger'!V2607=0),"PASS","FAIL")</f>
        <v>PASS</v>
      </c>
      <c r="F2628" s="9" t="s">
        <v>76</v>
      </c>
      <c r="G2628" s="6"/>
      <c r="H2628" s="6"/>
      <c r="I2628" s="6"/>
      <c r="J2628" s="6"/>
      <c r="K2628" s="6"/>
      <c r="L2628" s="6"/>
      <c r="M2628" s="6"/>
      <c r="N2628" s="6"/>
      <c r="O2628" s="6"/>
      <c r="P2628" s="6"/>
      <c r="Q2628" s="6"/>
      <c r="R2628" s="6"/>
      <c r="S2628" s="6"/>
      <c r="T2628" s="6"/>
      <c r="U2628" s="6"/>
      <c r="V2628" s="6"/>
      <c r="W2628" s="6"/>
      <c r="X2628" s="6"/>
      <c r="Y2628" s="6"/>
      <c r="Z2628" s="6"/>
    </row>
    <row r="2629" customFormat="false" ht="15" hidden="false" customHeight="false" outlineLevel="0" collapsed="false">
      <c r="A2629" s="9" t="s">
        <v>8472</v>
      </c>
      <c r="B2629" s="9" t="s">
        <v>5870</v>
      </c>
      <c r="C2629" s="9" t="s">
        <v>2872</v>
      </c>
      <c r="D2629" s="9" t="s">
        <v>5871</v>
      </c>
      <c r="E2629" s="9" t="str">
        <f aca="false">IF(AND('Formation Ledger'!A2608&lt;&gt;"",'Formation Ledger'!V2608=0),"PASS","FAIL")</f>
        <v>PASS</v>
      </c>
      <c r="F2629" s="9" t="s">
        <v>76</v>
      </c>
      <c r="G2629" s="6"/>
      <c r="H2629" s="6"/>
      <c r="I2629" s="6"/>
      <c r="J2629" s="6"/>
      <c r="K2629" s="6"/>
      <c r="L2629" s="6"/>
      <c r="M2629" s="6"/>
      <c r="N2629" s="6"/>
      <c r="O2629" s="6"/>
      <c r="P2629" s="6"/>
      <c r="Q2629" s="6"/>
      <c r="R2629" s="6"/>
      <c r="S2629" s="6"/>
      <c r="T2629" s="6"/>
      <c r="U2629" s="6"/>
      <c r="V2629" s="6"/>
      <c r="W2629" s="6"/>
      <c r="X2629" s="6"/>
      <c r="Y2629" s="6"/>
      <c r="Z2629" s="6"/>
    </row>
    <row r="2630" customFormat="false" ht="15" hidden="false" customHeight="false" outlineLevel="0" collapsed="false">
      <c r="A2630" s="9" t="s">
        <v>8473</v>
      </c>
      <c r="B2630" s="9" t="s">
        <v>5870</v>
      </c>
      <c r="C2630" s="9" t="s">
        <v>2873</v>
      </c>
      <c r="D2630" s="9" t="s">
        <v>5871</v>
      </c>
      <c r="E2630" s="9" t="str">
        <f aca="false">IF(AND('Formation Ledger'!A2609&lt;&gt;"",'Formation Ledger'!V2609=0),"PASS","FAIL")</f>
        <v>PASS</v>
      </c>
      <c r="F2630" s="9" t="s">
        <v>76</v>
      </c>
      <c r="G2630" s="6"/>
      <c r="H2630" s="6"/>
      <c r="I2630" s="6"/>
      <c r="J2630" s="6"/>
      <c r="K2630" s="6"/>
      <c r="L2630" s="6"/>
      <c r="M2630" s="6"/>
      <c r="N2630" s="6"/>
      <c r="O2630" s="6"/>
      <c r="P2630" s="6"/>
      <c r="Q2630" s="6"/>
      <c r="R2630" s="6"/>
      <c r="S2630" s="6"/>
      <c r="T2630" s="6"/>
      <c r="U2630" s="6"/>
      <c r="V2630" s="6"/>
      <c r="W2630" s="6"/>
      <c r="X2630" s="6"/>
      <c r="Y2630" s="6"/>
      <c r="Z2630" s="6"/>
    </row>
    <row r="2631" customFormat="false" ht="15" hidden="false" customHeight="false" outlineLevel="0" collapsed="false">
      <c r="A2631" s="9" t="s">
        <v>8474</v>
      </c>
      <c r="B2631" s="9" t="s">
        <v>5870</v>
      </c>
      <c r="C2631" s="9" t="s">
        <v>2874</v>
      </c>
      <c r="D2631" s="9" t="s">
        <v>5871</v>
      </c>
      <c r="E2631" s="9" t="str">
        <f aca="false">IF(AND('Formation Ledger'!A2610&lt;&gt;"",'Formation Ledger'!V2610=0),"PASS","FAIL")</f>
        <v>PASS</v>
      </c>
      <c r="F2631" s="9" t="s">
        <v>76</v>
      </c>
      <c r="G2631" s="6"/>
      <c r="H2631" s="6"/>
      <c r="I2631" s="6"/>
      <c r="J2631" s="6"/>
      <c r="K2631" s="6"/>
      <c r="L2631" s="6"/>
      <c r="M2631" s="6"/>
      <c r="N2631" s="6"/>
      <c r="O2631" s="6"/>
      <c r="P2631" s="6"/>
      <c r="Q2631" s="6"/>
      <c r="R2631" s="6"/>
      <c r="S2631" s="6"/>
      <c r="T2631" s="6"/>
      <c r="U2631" s="6"/>
      <c r="V2631" s="6"/>
      <c r="W2631" s="6"/>
      <c r="X2631" s="6"/>
      <c r="Y2631" s="6"/>
      <c r="Z2631" s="6"/>
    </row>
    <row r="2632" customFormat="false" ht="15" hidden="false" customHeight="false" outlineLevel="0" collapsed="false">
      <c r="A2632" s="9" t="s">
        <v>8475</v>
      </c>
      <c r="B2632" s="9" t="s">
        <v>5870</v>
      </c>
      <c r="C2632" s="9" t="s">
        <v>2875</v>
      </c>
      <c r="D2632" s="9" t="s">
        <v>5871</v>
      </c>
      <c r="E2632" s="9" t="str">
        <f aca="false">IF(AND('Formation Ledger'!A2611&lt;&gt;"",'Formation Ledger'!V2611=0),"PASS","FAIL")</f>
        <v>PASS</v>
      </c>
      <c r="F2632" s="9" t="s">
        <v>76</v>
      </c>
      <c r="G2632" s="6"/>
      <c r="H2632" s="6"/>
      <c r="I2632" s="6"/>
      <c r="J2632" s="6"/>
      <c r="K2632" s="6"/>
      <c r="L2632" s="6"/>
      <c r="M2632" s="6"/>
      <c r="N2632" s="6"/>
      <c r="O2632" s="6"/>
      <c r="P2632" s="6"/>
      <c r="Q2632" s="6"/>
      <c r="R2632" s="6"/>
      <c r="S2632" s="6"/>
      <c r="T2632" s="6"/>
      <c r="U2632" s="6"/>
      <c r="V2632" s="6"/>
      <c r="W2632" s="6"/>
      <c r="X2632" s="6"/>
      <c r="Y2632" s="6"/>
      <c r="Z2632" s="6"/>
    </row>
    <row r="2633" customFormat="false" ht="15" hidden="false" customHeight="false" outlineLevel="0" collapsed="false">
      <c r="A2633" s="9" t="s">
        <v>8476</v>
      </c>
      <c r="B2633" s="9" t="s">
        <v>5870</v>
      </c>
      <c r="C2633" s="9" t="s">
        <v>2876</v>
      </c>
      <c r="D2633" s="9" t="s">
        <v>5871</v>
      </c>
      <c r="E2633" s="9" t="str">
        <f aca="false">IF(AND('Formation Ledger'!A2612&lt;&gt;"",'Formation Ledger'!V2612=0),"PASS","FAIL")</f>
        <v>PASS</v>
      </c>
      <c r="F2633" s="9" t="s">
        <v>76</v>
      </c>
      <c r="G2633" s="6"/>
      <c r="H2633" s="6"/>
      <c r="I2633" s="6"/>
      <c r="J2633" s="6"/>
      <c r="K2633" s="6"/>
      <c r="L2633" s="6"/>
      <c r="M2633" s="6"/>
      <c r="N2633" s="6"/>
      <c r="O2633" s="6"/>
      <c r="P2633" s="6"/>
      <c r="Q2633" s="6"/>
      <c r="R2633" s="6"/>
      <c r="S2633" s="6"/>
      <c r="T2633" s="6"/>
      <c r="U2633" s="6"/>
      <c r="V2633" s="6"/>
      <c r="W2633" s="6"/>
      <c r="X2633" s="6"/>
      <c r="Y2633" s="6"/>
      <c r="Z2633" s="6"/>
    </row>
    <row r="2634" customFormat="false" ht="15" hidden="false" customHeight="false" outlineLevel="0" collapsed="false">
      <c r="A2634" s="9" t="s">
        <v>8477</v>
      </c>
      <c r="B2634" s="9" t="s">
        <v>5870</v>
      </c>
      <c r="C2634" s="9" t="s">
        <v>2877</v>
      </c>
      <c r="D2634" s="9" t="s">
        <v>5871</v>
      </c>
      <c r="E2634" s="9" t="str">
        <f aca="false">IF(AND('Formation Ledger'!A2613&lt;&gt;"",'Formation Ledger'!V2613=0),"PASS","FAIL")</f>
        <v>PASS</v>
      </c>
      <c r="F2634" s="9" t="s">
        <v>76</v>
      </c>
      <c r="G2634" s="6"/>
      <c r="H2634" s="6"/>
      <c r="I2634" s="6"/>
      <c r="J2634" s="6"/>
      <c r="K2634" s="6"/>
      <c r="L2634" s="6"/>
      <c r="M2634" s="6"/>
      <c r="N2634" s="6"/>
      <c r="O2634" s="6"/>
      <c r="P2634" s="6"/>
      <c r="Q2634" s="6"/>
      <c r="R2634" s="6"/>
      <c r="S2634" s="6"/>
      <c r="T2634" s="6"/>
      <c r="U2634" s="6"/>
      <c r="V2634" s="6"/>
      <c r="W2634" s="6"/>
      <c r="X2634" s="6"/>
      <c r="Y2634" s="6"/>
      <c r="Z2634" s="6"/>
    </row>
    <row r="2635" customFormat="false" ht="15" hidden="false" customHeight="false" outlineLevel="0" collapsed="false">
      <c r="A2635" s="9" t="s">
        <v>8478</v>
      </c>
      <c r="B2635" s="9" t="s">
        <v>5870</v>
      </c>
      <c r="C2635" s="9" t="s">
        <v>2878</v>
      </c>
      <c r="D2635" s="9" t="s">
        <v>5871</v>
      </c>
      <c r="E2635" s="9" t="str">
        <f aca="false">IF(AND('Formation Ledger'!A2614&lt;&gt;"",'Formation Ledger'!V2614=0),"PASS","FAIL")</f>
        <v>PASS</v>
      </c>
      <c r="F2635" s="9" t="s">
        <v>76</v>
      </c>
      <c r="G2635" s="6"/>
      <c r="H2635" s="6"/>
      <c r="I2635" s="6"/>
      <c r="J2635" s="6"/>
      <c r="K2635" s="6"/>
      <c r="L2635" s="6"/>
      <c r="M2635" s="6"/>
      <c r="N2635" s="6"/>
      <c r="O2635" s="6"/>
      <c r="P2635" s="6"/>
      <c r="Q2635" s="6"/>
      <c r="R2635" s="6"/>
      <c r="S2635" s="6"/>
      <c r="T2635" s="6"/>
      <c r="U2635" s="6"/>
      <c r="V2635" s="6"/>
      <c r="W2635" s="6"/>
      <c r="X2635" s="6"/>
      <c r="Y2635" s="6"/>
      <c r="Z2635" s="6"/>
    </row>
    <row r="2636" customFormat="false" ht="15" hidden="false" customHeight="false" outlineLevel="0" collapsed="false">
      <c r="A2636" s="9" t="s">
        <v>8479</v>
      </c>
      <c r="B2636" s="9" t="s">
        <v>5870</v>
      </c>
      <c r="C2636" s="9" t="s">
        <v>2879</v>
      </c>
      <c r="D2636" s="9" t="s">
        <v>5871</v>
      </c>
      <c r="E2636" s="9" t="str">
        <f aca="false">IF(AND('Formation Ledger'!A2615&lt;&gt;"",'Formation Ledger'!V2615=0),"PASS","FAIL")</f>
        <v>PASS</v>
      </c>
      <c r="F2636" s="9" t="s">
        <v>76</v>
      </c>
      <c r="G2636" s="6"/>
      <c r="H2636" s="6"/>
      <c r="I2636" s="6"/>
      <c r="J2636" s="6"/>
      <c r="K2636" s="6"/>
      <c r="L2636" s="6"/>
      <c r="M2636" s="6"/>
      <c r="N2636" s="6"/>
      <c r="O2636" s="6"/>
      <c r="P2636" s="6"/>
      <c r="Q2636" s="6"/>
      <c r="R2636" s="6"/>
      <c r="S2636" s="6"/>
      <c r="T2636" s="6"/>
      <c r="U2636" s="6"/>
      <c r="V2636" s="6"/>
      <c r="W2636" s="6"/>
      <c r="X2636" s="6"/>
      <c r="Y2636" s="6"/>
      <c r="Z2636" s="6"/>
    </row>
    <row r="2637" customFormat="false" ht="15" hidden="false" customHeight="false" outlineLevel="0" collapsed="false">
      <c r="A2637" s="9" t="s">
        <v>8480</v>
      </c>
      <c r="B2637" s="9" t="s">
        <v>5870</v>
      </c>
      <c r="C2637" s="9" t="s">
        <v>2880</v>
      </c>
      <c r="D2637" s="9" t="s">
        <v>5871</v>
      </c>
      <c r="E2637" s="9" t="str">
        <f aca="false">IF(AND('Formation Ledger'!A2616&lt;&gt;"",'Formation Ledger'!V2616=0),"PASS","FAIL")</f>
        <v>PASS</v>
      </c>
      <c r="F2637" s="9" t="s">
        <v>76</v>
      </c>
      <c r="G2637" s="6"/>
      <c r="H2637" s="6"/>
      <c r="I2637" s="6"/>
      <c r="J2637" s="6"/>
      <c r="K2637" s="6"/>
      <c r="L2637" s="6"/>
      <c r="M2637" s="6"/>
      <c r="N2637" s="6"/>
      <c r="O2637" s="6"/>
      <c r="P2637" s="6"/>
      <c r="Q2637" s="6"/>
      <c r="R2637" s="6"/>
      <c r="S2637" s="6"/>
      <c r="T2637" s="6"/>
      <c r="U2637" s="6"/>
      <c r="V2637" s="6"/>
      <c r="W2637" s="6"/>
      <c r="X2637" s="6"/>
      <c r="Y2637" s="6"/>
      <c r="Z2637" s="6"/>
    </row>
    <row r="2638" customFormat="false" ht="15" hidden="false" customHeight="false" outlineLevel="0" collapsed="false">
      <c r="A2638" s="9" t="s">
        <v>8481</v>
      </c>
      <c r="B2638" s="9" t="s">
        <v>5870</v>
      </c>
      <c r="C2638" s="9" t="s">
        <v>2881</v>
      </c>
      <c r="D2638" s="9" t="s">
        <v>5871</v>
      </c>
      <c r="E2638" s="9" t="str">
        <f aca="false">IF(AND('Formation Ledger'!A2617&lt;&gt;"",'Formation Ledger'!V2617=0),"PASS","FAIL")</f>
        <v>PASS</v>
      </c>
      <c r="F2638" s="9" t="s">
        <v>76</v>
      </c>
      <c r="G2638" s="6"/>
      <c r="H2638" s="6"/>
      <c r="I2638" s="6"/>
      <c r="J2638" s="6"/>
      <c r="K2638" s="6"/>
      <c r="L2638" s="6"/>
      <c r="M2638" s="6"/>
      <c r="N2638" s="6"/>
      <c r="O2638" s="6"/>
      <c r="P2638" s="6"/>
      <c r="Q2638" s="6"/>
      <c r="R2638" s="6"/>
      <c r="S2638" s="6"/>
      <c r="T2638" s="6"/>
      <c r="U2638" s="6"/>
      <c r="V2638" s="6"/>
      <c r="W2638" s="6"/>
      <c r="X2638" s="6"/>
      <c r="Y2638" s="6"/>
      <c r="Z2638" s="6"/>
    </row>
    <row r="2639" customFormat="false" ht="15" hidden="false" customHeight="false" outlineLevel="0" collapsed="false">
      <c r="A2639" s="9" t="s">
        <v>8482</v>
      </c>
      <c r="B2639" s="9" t="s">
        <v>5870</v>
      </c>
      <c r="C2639" s="9" t="s">
        <v>2882</v>
      </c>
      <c r="D2639" s="9" t="s">
        <v>5871</v>
      </c>
      <c r="E2639" s="9" t="str">
        <f aca="false">IF(AND('Formation Ledger'!A2618&lt;&gt;"",'Formation Ledger'!V2618=0),"PASS","FAIL")</f>
        <v>PASS</v>
      </c>
      <c r="F2639" s="9" t="s">
        <v>76</v>
      </c>
      <c r="G2639" s="6"/>
      <c r="H2639" s="6"/>
      <c r="I2639" s="6"/>
      <c r="J2639" s="6"/>
      <c r="K2639" s="6"/>
      <c r="L2639" s="6"/>
      <c r="M2639" s="6"/>
      <c r="N2639" s="6"/>
      <c r="O2639" s="6"/>
      <c r="P2639" s="6"/>
      <c r="Q2639" s="6"/>
      <c r="R2639" s="6"/>
      <c r="S2639" s="6"/>
      <c r="T2639" s="6"/>
      <c r="U2639" s="6"/>
      <c r="V2639" s="6"/>
      <c r="W2639" s="6"/>
      <c r="X2639" s="6"/>
      <c r="Y2639" s="6"/>
      <c r="Z2639" s="6"/>
    </row>
    <row r="2640" customFormat="false" ht="15" hidden="false" customHeight="false" outlineLevel="0" collapsed="false">
      <c r="A2640" s="9" t="s">
        <v>8483</v>
      </c>
      <c r="B2640" s="9" t="s">
        <v>5870</v>
      </c>
      <c r="C2640" s="9" t="s">
        <v>2883</v>
      </c>
      <c r="D2640" s="9" t="s">
        <v>5871</v>
      </c>
      <c r="E2640" s="9" t="str">
        <f aca="false">IF(AND('Formation Ledger'!A2619&lt;&gt;"",'Formation Ledger'!V2619=0),"PASS","FAIL")</f>
        <v>PASS</v>
      </c>
      <c r="F2640" s="9" t="s">
        <v>76</v>
      </c>
      <c r="G2640" s="6"/>
      <c r="H2640" s="6"/>
      <c r="I2640" s="6"/>
      <c r="J2640" s="6"/>
      <c r="K2640" s="6"/>
      <c r="L2640" s="6"/>
      <c r="M2640" s="6"/>
      <c r="N2640" s="6"/>
      <c r="O2640" s="6"/>
      <c r="P2640" s="6"/>
      <c r="Q2640" s="6"/>
      <c r="R2640" s="6"/>
      <c r="S2640" s="6"/>
      <c r="T2640" s="6"/>
      <c r="U2640" s="6"/>
      <c r="V2640" s="6"/>
      <c r="W2640" s="6"/>
      <c r="X2640" s="6"/>
      <c r="Y2640" s="6"/>
      <c r="Z2640" s="6"/>
    </row>
    <row r="2641" customFormat="false" ht="15" hidden="false" customHeight="false" outlineLevel="0" collapsed="false">
      <c r="A2641" s="9" t="s">
        <v>8484</v>
      </c>
      <c r="B2641" s="9" t="s">
        <v>5870</v>
      </c>
      <c r="C2641" s="9" t="s">
        <v>2884</v>
      </c>
      <c r="D2641" s="9" t="s">
        <v>5871</v>
      </c>
      <c r="E2641" s="9" t="str">
        <f aca="false">IF(AND('Formation Ledger'!A2620&lt;&gt;"",'Formation Ledger'!V2620=0),"PASS","FAIL")</f>
        <v>PASS</v>
      </c>
      <c r="F2641" s="9" t="s">
        <v>76</v>
      </c>
      <c r="G2641" s="6"/>
      <c r="H2641" s="6"/>
      <c r="I2641" s="6"/>
      <c r="J2641" s="6"/>
      <c r="K2641" s="6"/>
      <c r="L2641" s="6"/>
      <c r="M2641" s="6"/>
      <c r="N2641" s="6"/>
      <c r="O2641" s="6"/>
      <c r="P2641" s="6"/>
      <c r="Q2641" s="6"/>
      <c r="R2641" s="6"/>
      <c r="S2641" s="6"/>
      <c r="T2641" s="6"/>
      <c r="U2641" s="6"/>
      <c r="V2641" s="6"/>
      <c r="W2641" s="6"/>
      <c r="X2641" s="6"/>
      <c r="Y2641" s="6"/>
      <c r="Z2641" s="6"/>
    </row>
    <row r="2642" customFormat="false" ht="15" hidden="false" customHeight="false" outlineLevel="0" collapsed="false">
      <c r="A2642" s="9" t="s">
        <v>8485</v>
      </c>
      <c r="B2642" s="9" t="s">
        <v>5870</v>
      </c>
      <c r="C2642" s="9" t="s">
        <v>2885</v>
      </c>
      <c r="D2642" s="9" t="s">
        <v>5871</v>
      </c>
      <c r="E2642" s="9" t="str">
        <f aca="false">IF(AND('Formation Ledger'!A2621&lt;&gt;"",'Formation Ledger'!V2621=0),"PASS","FAIL")</f>
        <v>PASS</v>
      </c>
      <c r="F2642" s="9" t="s">
        <v>76</v>
      </c>
      <c r="G2642" s="6"/>
      <c r="H2642" s="6"/>
      <c r="I2642" s="6"/>
      <c r="J2642" s="6"/>
      <c r="K2642" s="6"/>
      <c r="L2642" s="6"/>
      <c r="M2642" s="6"/>
      <c r="N2642" s="6"/>
      <c r="O2642" s="6"/>
      <c r="P2642" s="6"/>
      <c r="Q2642" s="6"/>
      <c r="R2642" s="6"/>
      <c r="S2642" s="6"/>
      <c r="T2642" s="6"/>
      <c r="U2642" s="6"/>
      <c r="V2642" s="6"/>
      <c r="W2642" s="6"/>
      <c r="X2642" s="6"/>
      <c r="Y2642" s="6"/>
      <c r="Z2642" s="6"/>
    </row>
    <row r="2643" customFormat="false" ht="15" hidden="false" customHeight="false" outlineLevel="0" collapsed="false">
      <c r="A2643" s="9" t="s">
        <v>8486</v>
      </c>
      <c r="B2643" s="9" t="s">
        <v>5870</v>
      </c>
      <c r="C2643" s="9" t="s">
        <v>2886</v>
      </c>
      <c r="D2643" s="9" t="s">
        <v>5871</v>
      </c>
      <c r="E2643" s="9" t="str">
        <f aca="false">IF(AND('Formation Ledger'!A2622&lt;&gt;"",'Formation Ledger'!V2622=0),"PASS","FAIL")</f>
        <v>PASS</v>
      </c>
      <c r="F2643" s="9" t="s">
        <v>76</v>
      </c>
      <c r="G2643" s="6"/>
      <c r="H2643" s="6"/>
      <c r="I2643" s="6"/>
      <c r="J2643" s="6"/>
      <c r="K2643" s="6"/>
      <c r="L2643" s="6"/>
      <c r="M2643" s="6"/>
      <c r="N2643" s="6"/>
      <c r="O2643" s="6"/>
      <c r="P2643" s="6"/>
      <c r="Q2643" s="6"/>
      <c r="R2643" s="6"/>
      <c r="S2643" s="6"/>
      <c r="T2643" s="6"/>
      <c r="U2643" s="6"/>
      <c r="V2643" s="6"/>
      <c r="W2643" s="6"/>
      <c r="X2643" s="6"/>
      <c r="Y2643" s="6"/>
      <c r="Z2643" s="6"/>
    </row>
    <row r="2644" customFormat="false" ht="15" hidden="false" customHeight="false" outlineLevel="0" collapsed="false">
      <c r="A2644" s="9" t="s">
        <v>8487</v>
      </c>
      <c r="B2644" s="9" t="s">
        <v>5870</v>
      </c>
      <c r="C2644" s="9" t="s">
        <v>2887</v>
      </c>
      <c r="D2644" s="9" t="s">
        <v>5871</v>
      </c>
      <c r="E2644" s="9" t="str">
        <f aca="false">IF(AND('Formation Ledger'!A2623&lt;&gt;"",'Formation Ledger'!V2623=0),"PASS","FAIL")</f>
        <v>PASS</v>
      </c>
      <c r="F2644" s="9" t="s">
        <v>76</v>
      </c>
      <c r="G2644" s="6"/>
      <c r="H2644" s="6"/>
      <c r="I2644" s="6"/>
      <c r="J2644" s="6"/>
      <c r="K2644" s="6"/>
      <c r="L2644" s="6"/>
      <c r="M2644" s="6"/>
      <c r="N2644" s="6"/>
      <c r="O2644" s="6"/>
      <c r="P2644" s="6"/>
      <c r="Q2644" s="6"/>
      <c r="R2644" s="6"/>
      <c r="S2644" s="6"/>
      <c r="T2644" s="6"/>
      <c r="U2644" s="6"/>
      <c r="V2644" s="6"/>
      <c r="W2644" s="6"/>
      <c r="X2644" s="6"/>
      <c r="Y2644" s="6"/>
      <c r="Z2644" s="6"/>
    </row>
    <row r="2645" customFormat="false" ht="15" hidden="false" customHeight="false" outlineLevel="0" collapsed="false">
      <c r="A2645" s="9" t="s">
        <v>8488</v>
      </c>
      <c r="B2645" s="9" t="s">
        <v>5870</v>
      </c>
      <c r="C2645" s="9" t="s">
        <v>2888</v>
      </c>
      <c r="D2645" s="9" t="s">
        <v>5871</v>
      </c>
      <c r="E2645" s="9" t="str">
        <f aca="false">IF(AND('Formation Ledger'!A2624&lt;&gt;"",'Formation Ledger'!V2624=0),"PASS","FAIL")</f>
        <v>PASS</v>
      </c>
      <c r="F2645" s="9" t="s">
        <v>76</v>
      </c>
      <c r="G2645" s="6"/>
      <c r="H2645" s="6"/>
      <c r="I2645" s="6"/>
      <c r="J2645" s="6"/>
      <c r="K2645" s="6"/>
      <c r="L2645" s="6"/>
      <c r="M2645" s="6"/>
      <c r="N2645" s="6"/>
      <c r="O2645" s="6"/>
      <c r="P2645" s="6"/>
      <c r="Q2645" s="6"/>
      <c r="R2645" s="6"/>
      <c r="S2645" s="6"/>
      <c r="T2645" s="6"/>
      <c r="U2645" s="6"/>
      <c r="V2645" s="6"/>
      <c r="W2645" s="6"/>
      <c r="X2645" s="6"/>
      <c r="Y2645" s="6"/>
      <c r="Z2645" s="6"/>
    </row>
    <row r="2646" customFormat="false" ht="15" hidden="false" customHeight="false" outlineLevel="0" collapsed="false">
      <c r="A2646" s="9" t="s">
        <v>8489</v>
      </c>
      <c r="B2646" s="9" t="s">
        <v>5870</v>
      </c>
      <c r="C2646" s="9" t="s">
        <v>2889</v>
      </c>
      <c r="D2646" s="9" t="s">
        <v>5871</v>
      </c>
      <c r="E2646" s="9" t="str">
        <f aca="false">IF(AND('Formation Ledger'!A2625&lt;&gt;"",'Formation Ledger'!V2625=0),"PASS","FAIL")</f>
        <v>PASS</v>
      </c>
      <c r="F2646" s="9" t="s">
        <v>76</v>
      </c>
      <c r="G2646" s="6"/>
      <c r="H2646" s="6"/>
      <c r="I2646" s="6"/>
      <c r="J2646" s="6"/>
      <c r="K2646" s="6"/>
      <c r="L2646" s="6"/>
      <c r="M2646" s="6"/>
      <c r="N2646" s="6"/>
      <c r="O2646" s="6"/>
      <c r="P2646" s="6"/>
      <c r="Q2646" s="6"/>
      <c r="R2646" s="6"/>
      <c r="S2646" s="6"/>
      <c r="T2646" s="6"/>
      <c r="U2646" s="6"/>
      <c r="V2646" s="6"/>
      <c r="W2646" s="6"/>
      <c r="X2646" s="6"/>
      <c r="Y2646" s="6"/>
      <c r="Z2646" s="6"/>
    </row>
    <row r="2647" customFormat="false" ht="15" hidden="false" customHeight="false" outlineLevel="0" collapsed="false">
      <c r="A2647" s="9" t="s">
        <v>8490</v>
      </c>
      <c r="B2647" s="9" t="s">
        <v>5870</v>
      </c>
      <c r="C2647" s="9" t="s">
        <v>2890</v>
      </c>
      <c r="D2647" s="9" t="s">
        <v>5871</v>
      </c>
      <c r="E2647" s="9" t="str">
        <f aca="false">IF(AND('Formation Ledger'!A2626&lt;&gt;"",'Formation Ledger'!V2626=0),"PASS","FAIL")</f>
        <v>PASS</v>
      </c>
      <c r="F2647" s="9" t="s">
        <v>76</v>
      </c>
      <c r="G2647" s="6"/>
      <c r="H2647" s="6"/>
      <c r="I2647" s="6"/>
      <c r="J2647" s="6"/>
      <c r="K2647" s="6"/>
      <c r="L2647" s="6"/>
      <c r="M2647" s="6"/>
      <c r="N2647" s="6"/>
      <c r="O2647" s="6"/>
      <c r="P2647" s="6"/>
      <c r="Q2647" s="6"/>
      <c r="R2647" s="6"/>
      <c r="S2647" s="6"/>
      <c r="T2647" s="6"/>
      <c r="U2647" s="6"/>
      <c r="V2647" s="6"/>
      <c r="W2647" s="6"/>
      <c r="X2647" s="6"/>
      <c r="Y2647" s="6"/>
      <c r="Z2647" s="6"/>
    </row>
    <row r="2648" customFormat="false" ht="15" hidden="false" customHeight="false" outlineLevel="0" collapsed="false">
      <c r="A2648" s="9" t="s">
        <v>8491</v>
      </c>
      <c r="B2648" s="9" t="s">
        <v>5870</v>
      </c>
      <c r="C2648" s="9" t="s">
        <v>2891</v>
      </c>
      <c r="D2648" s="9" t="s">
        <v>5871</v>
      </c>
      <c r="E2648" s="9" t="str">
        <f aca="false">IF(AND('Formation Ledger'!A2627&lt;&gt;"",'Formation Ledger'!V2627=0),"PASS","FAIL")</f>
        <v>PASS</v>
      </c>
      <c r="F2648" s="9" t="s">
        <v>76</v>
      </c>
      <c r="G2648" s="6"/>
      <c r="H2648" s="6"/>
      <c r="I2648" s="6"/>
      <c r="J2648" s="6"/>
      <c r="K2648" s="6"/>
      <c r="L2648" s="6"/>
      <c r="M2648" s="6"/>
      <c r="N2648" s="6"/>
      <c r="O2648" s="6"/>
      <c r="P2648" s="6"/>
      <c r="Q2648" s="6"/>
      <c r="R2648" s="6"/>
      <c r="S2648" s="6"/>
      <c r="T2648" s="6"/>
      <c r="U2648" s="6"/>
      <c r="V2648" s="6"/>
      <c r="W2648" s="6"/>
      <c r="X2648" s="6"/>
      <c r="Y2648" s="6"/>
      <c r="Z2648" s="6"/>
    </row>
    <row r="2649" customFormat="false" ht="15" hidden="false" customHeight="false" outlineLevel="0" collapsed="false">
      <c r="A2649" s="9" t="s">
        <v>8492</v>
      </c>
      <c r="B2649" s="9" t="s">
        <v>5870</v>
      </c>
      <c r="C2649" s="9" t="s">
        <v>2892</v>
      </c>
      <c r="D2649" s="9" t="s">
        <v>5871</v>
      </c>
      <c r="E2649" s="9" t="str">
        <f aca="false">IF(AND('Formation Ledger'!A2628&lt;&gt;"",'Formation Ledger'!V2628=0),"PASS","FAIL")</f>
        <v>PASS</v>
      </c>
      <c r="F2649" s="9" t="s">
        <v>76</v>
      </c>
      <c r="G2649" s="6"/>
      <c r="H2649" s="6"/>
      <c r="I2649" s="6"/>
      <c r="J2649" s="6"/>
      <c r="K2649" s="6"/>
      <c r="L2649" s="6"/>
      <c r="M2649" s="6"/>
      <c r="N2649" s="6"/>
      <c r="O2649" s="6"/>
      <c r="P2649" s="6"/>
      <c r="Q2649" s="6"/>
      <c r="R2649" s="6"/>
      <c r="S2649" s="6"/>
      <c r="T2649" s="6"/>
      <c r="U2649" s="6"/>
      <c r="V2649" s="6"/>
      <c r="W2649" s="6"/>
      <c r="X2649" s="6"/>
      <c r="Y2649" s="6"/>
      <c r="Z2649" s="6"/>
    </row>
    <row r="2650" customFormat="false" ht="15" hidden="false" customHeight="false" outlineLevel="0" collapsed="false">
      <c r="A2650" s="9" t="s">
        <v>8493</v>
      </c>
      <c r="B2650" s="9" t="s">
        <v>5870</v>
      </c>
      <c r="C2650" s="9" t="s">
        <v>2893</v>
      </c>
      <c r="D2650" s="9" t="s">
        <v>5871</v>
      </c>
      <c r="E2650" s="9" t="str">
        <f aca="false">IF(AND('Formation Ledger'!A2629&lt;&gt;"",'Formation Ledger'!V2629=0),"PASS","FAIL")</f>
        <v>PASS</v>
      </c>
      <c r="F2650" s="9" t="s">
        <v>76</v>
      </c>
      <c r="G2650" s="6"/>
      <c r="H2650" s="6"/>
      <c r="I2650" s="6"/>
      <c r="J2650" s="6"/>
      <c r="K2650" s="6"/>
      <c r="L2650" s="6"/>
      <c r="M2650" s="6"/>
      <c r="N2650" s="6"/>
      <c r="O2650" s="6"/>
      <c r="P2650" s="6"/>
      <c r="Q2650" s="6"/>
      <c r="R2650" s="6"/>
      <c r="S2650" s="6"/>
      <c r="T2650" s="6"/>
      <c r="U2650" s="6"/>
      <c r="V2650" s="6"/>
      <c r="W2650" s="6"/>
      <c r="X2650" s="6"/>
      <c r="Y2650" s="6"/>
      <c r="Z2650" s="6"/>
    </row>
    <row r="2651" customFormat="false" ht="15" hidden="false" customHeight="false" outlineLevel="0" collapsed="false">
      <c r="A2651" s="9" t="s">
        <v>8494</v>
      </c>
      <c r="B2651" s="9" t="s">
        <v>5870</v>
      </c>
      <c r="C2651" s="9" t="s">
        <v>2894</v>
      </c>
      <c r="D2651" s="9" t="s">
        <v>5871</v>
      </c>
      <c r="E2651" s="9" t="str">
        <f aca="false">IF(AND('Formation Ledger'!A2630&lt;&gt;"",'Formation Ledger'!V2630=0),"PASS","FAIL")</f>
        <v>PASS</v>
      </c>
      <c r="F2651" s="9" t="s">
        <v>76</v>
      </c>
      <c r="G2651" s="6"/>
      <c r="H2651" s="6"/>
      <c r="I2651" s="6"/>
      <c r="J2651" s="6"/>
      <c r="K2651" s="6"/>
      <c r="L2651" s="6"/>
      <c r="M2651" s="6"/>
      <c r="N2651" s="6"/>
      <c r="O2651" s="6"/>
      <c r="P2651" s="6"/>
      <c r="Q2651" s="6"/>
      <c r="R2651" s="6"/>
      <c r="S2651" s="6"/>
      <c r="T2651" s="6"/>
      <c r="U2651" s="6"/>
      <c r="V2651" s="6"/>
      <c r="W2651" s="6"/>
      <c r="X2651" s="6"/>
      <c r="Y2651" s="6"/>
      <c r="Z2651" s="6"/>
    </row>
    <row r="2652" customFormat="false" ht="15" hidden="false" customHeight="false" outlineLevel="0" collapsed="false">
      <c r="A2652" s="9" t="s">
        <v>8495</v>
      </c>
      <c r="B2652" s="9" t="s">
        <v>5870</v>
      </c>
      <c r="C2652" s="9" t="s">
        <v>2895</v>
      </c>
      <c r="D2652" s="9" t="s">
        <v>5871</v>
      </c>
      <c r="E2652" s="9" t="str">
        <f aca="false">IF(AND('Formation Ledger'!A2631&lt;&gt;"",'Formation Ledger'!V2631=0),"PASS","FAIL")</f>
        <v>PASS</v>
      </c>
      <c r="F2652" s="9" t="s">
        <v>76</v>
      </c>
      <c r="G2652" s="6"/>
      <c r="H2652" s="6"/>
      <c r="I2652" s="6"/>
      <c r="J2652" s="6"/>
      <c r="K2652" s="6"/>
      <c r="L2652" s="6"/>
      <c r="M2652" s="6"/>
      <c r="N2652" s="6"/>
      <c r="O2652" s="6"/>
      <c r="P2652" s="6"/>
      <c r="Q2652" s="6"/>
      <c r="R2652" s="6"/>
      <c r="S2652" s="6"/>
      <c r="T2652" s="6"/>
      <c r="U2652" s="6"/>
      <c r="V2652" s="6"/>
      <c r="W2652" s="6"/>
      <c r="X2652" s="6"/>
      <c r="Y2652" s="6"/>
      <c r="Z2652" s="6"/>
    </row>
    <row r="2653" customFormat="false" ht="15" hidden="false" customHeight="false" outlineLevel="0" collapsed="false">
      <c r="A2653" s="9" t="s">
        <v>8496</v>
      </c>
      <c r="B2653" s="9" t="s">
        <v>5870</v>
      </c>
      <c r="C2653" s="9" t="s">
        <v>2896</v>
      </c>
      <c r="D2653" s="9" t="s">
        <v>5871</v>
      </c>
      <c r="E2653" s="9" t="str">
        <f aca="false">IF(AND('Formation Ledger'!A2632&lt;&gt;"",'Formation Ledger'!V2632=0),"PASS","FAIL")</f>
        <v>PASS</v>
      </c>
      <c r="F2653" s="9" t="s">
        <v>76</v>
      </c>
      <c r="G2653" s="6"/>
      <c r="H2653" s="6"/>
      <c r="I2653" s="6"/>
      <c r="J2653" s="6"/>
      <c r="K2653" s="6"/>
      <c r="L2653" s="6"/>
      <c r="M2653" s="6"/>
      <c r="N2653" s="6"/>
      <c r="O2653" s="6"/>
      <c r="P2653" s="6"/>
      <c r="Q2653" s="6"/>
      <c r="R2653" s="6"/>
      <c r="S2653" s="6"/>
      <c r="T2653" s="6"/>
      <c r="U2653" s="6"/>
      <c r="V2653" s="6"/>
      <c r="W2653" s="6"/>
      <c r="X2653" s="6"/>
      <c r="Y2653" s="6"/>
      <c r="Z2653" s="6"/>
    </row>
    <row r="2654" customFormat="false" ht="15" hidden="false" customHeight="false" outlineLevel="0" collapsed="false">
      <c r="A2654" s="9" t="s">
        <v>8497</v>
      </c>
      <c r="B2654" s="9" t="s">
        <v>5870</v>
      </c>
      <c r="C2654" s="9" t="s">
        <v>2897</v>
      </c>
      <c r="D2654" s="9" t="s">
        <v>5871</v>
      </c>
      <c r="E2654" s="9" t="str">
        <f aca="false">IF(AND('Formation Ledger'!A2633&lt;&gt;"",'Formation Ledger'!V2633=0),"PASS","FAIL")</f>
        <v>PASS</v>
      </c>
      <c r="F2654" s="9" t="s">
        <v>76</v>
      </c>
      <c r="G2654" s="6"/>
      <c r="H2654" s="6"/>
      <c r="I2654" s="6"/>
      <c r="J2654" s="6"/>
      <c r="K2654" s="6"/>
      <c r="L2654" s="6"/>
      <c r="M2654" s="6"/>
      <c r="N2654" s="6"/>
      <c r="O2654" s="6"/>
      <c r="P2654" s="6"/>
      <c r="Q2654" s="6"/>
      <c r="R2654" s="6"/>
      <c r="S2654" s="6"/>
      <c r="T2654" s="6"/>
      <c r="U2654" s="6"/>
      <c r="V2654" s="6"/>
      <c r="W2654" s="6"/>
      <c r="X2654" s="6"/>
      <c r="Y2654" s="6"/>
      <c r="Z2654" s="6"/>
    </row>
    <row r="2655" customFormat="false" ht="15" hidden="false" customHeight="false" outlineLevel="0" collapsed="false">
      <c r="A2655" s="9" t="s">
        <v>8498</v>
      </c>
      <c r="B2655" s="9" t="s">
        <v>5870</v>
      </c>
      <c r="C2655" s="9" t="s">
        <v>2898</v>
      </c>
      <c r="D2655" s="9" t="s">
        <v>5871</v>
      </c>
      <c r="E2655" s="9" t="str">
        <f aca="false">IF(AND('Formation Ledger'!A2634&lt;&gt;"",'Formation Ledger'!V2634=0),"PASS","FAIL")</f>
        <v>PASS</v>
      </c>
      <c r="F2655" s="9" t="s">
        <v>76</v>
      </c>
      <c r="G2655" s="6"/>
      <c r="H2655" s="6"/>
      <c r="I2655" s="6"/>
      <c r="J2655" s="6"/>
      <c r="K2655" s="6"/>
      <c r="L2655" s="6"/>
      <c r="M2655" s="6"/>
      <c r="N2655" s="6"/>
      <c r="O2655" s="6"/>
      <c r="P2655" s="6"/>
      <c r="Q2655" s="6"/>
      <c r="R2655" s="6"/>
      <c r="S2655" s="6"/>
      <c r="T2655" s="6"/>
      <c r="U2655" s="6"/>
      <c r="V2655" s="6"/>
      <c r="W2655" s="6"/>
      <c r="X2655" s="6"/>
      <c r="Y2655" s="6"/>
      <c r="Z2655" s="6"/>
    </row>
    <row r="2656" customFormat="false" ht="15" hidden="false" customHeight="false" outlineLevel="0" collapsed="false">
      <c r="A2656" s="9" t="s">
        <v>8499</v>
      </c>
      <c r="B2656" s="9" t="s">
        <v>5870</v>
      </c>
      <c r="C2656" s="9" t="s">
        <v>2899</v>
      </c>
      <c r="D2656" s="9" t="s">
        <v>5871</v>
      </c>
      <c r="E2656" s="9" t="str">
        <f aca="false">IF(AND('Formation Ledger'!A2635&lt;&gt;"",'Formation Ledger'!V2635=0),"PASS","FAIL")</f>
        <v>PASS</v>
      </c>
      <c r="F2656" s="9" t="s">
        <v>76</v>
      </c>
      <c r="G2656" s="6"/>
      <c r="H2656" s="6"/>
      <c r="I2656" s="6"/>
      <c r="J2656" s="6"/>
      <c r="K2656" s="6"/>
      <c r="L2656" s="6"/>
      <c r="M2656" s="6"/>
      <c r="N2656" s="6"/>
      <c r="O2656" s="6"/>
      <c r="P2656" s="6"/>
      <c r="Q2656" s="6"/>
      <c r="R2656" s="6"/>
      <c r="S2656" s="6"/>
      <c r="T2656" s="6"/>
      <c r="U2656" s="6"/>
      <c r="V2656" s="6"/>
      <c r="W2656" s="6"/>
      <c r="X2656" s="6"/>
      <c r="Y2656" s="6"/>
      <c r="Z2656" s="6"/>
    </row>
    <row r="2657" customFormat="false" ht="15" hidden="false" customHeight="false" outlineLevel="0" collapsed="false">
      <c r="A2657" s="9" t="s">
        <v>8500</v>
      </c>
      <c r="B2657" s="9" t="s">
        <v>5870</v>
      </c>
      <c r="C2657" s="9" t="s">
        <v>2900</v>
      </c>
      <c r="D2657" s="9" t="s">
        <v>5871</v>
      </c>
      <c r="E2657" s="9" t="str">
        <f aca="false">IF(AND('Formation Ledger'!A2636&lt;&gt;"",'Formation Ledger'!V2636=0),"PASS","FAIL")</f>
        <v>PASS</v>
      </c>
      <c r="F2657" s="9" t="s">
        <v>76</v>
      </c>
      <c r="G2657" s="6"/>
      <c r="H2657" s="6"/>
      <c r="I2657" s="6"/>
      <c r="J2657" s="6"/>
      <c r="K2657" s="6"/>
      <c r="L2657" s="6"/>
      <c r="M2657" s="6"/>
      <c r="N2657" s="6"/>
      <c r="O2657" s="6"/>
      <c r="P2657" s="6"/>
      <c r="Q2657" s="6"/>
      <c r="R2657" s="6"/>
      <c r="S2657" s="6"/>
      <c r="T2657" s="6"/>
      <c r="U2657" s="6"/>
      <c r="V2657" s="6"/>
      <c r="W2657" s="6"/>
      <c r="X2657" s="6"/>
      <c r="Y2657" s="6"/>
      <c r="Z2657" s="6"/>
    </row>
    <row r="2658" customFormat="false" ht="15" hidden="false" customHeight="false" outlineLevel="0" collapsed="false">
      <c r="A2658" s="9" t="s">
        <v>8501</v>
      </c>
      <c r="B2658" s="9" t="s">
        <v>5870</v>
      </c>
      <c r="C2658" s="9" t="s">
        <v>2901</v>
      </c>
      <c r="D2658" s="9" t="s">
        <v>5871</v>
      </c>
      <c r="E2658" s="9" t="str">
        <f aca="false">IF(AND('Formation Ledger'!A2637&lt;&gt;"",'Formation Ledger'!V2637=0),"PASS","FAIL")</f>
        <v>PASS</v>
      </c>
      <c r="F2658" s="9" t="s">
        <v>76</v>
      </c>
      <c r="G2658" s="6"/>
      <c r="H2658" s="6"/>
      <c r="I2658" s="6"/>
      <c r="J2658" s="6"/>
      <c r="K2658" s="6"/>
      <c r="L2658" s="6"/>
      <c r="M2658" s="6"/>
      <c r="N2658" s="6"/>
      <c r="O2658" s="6"/>
      <c r="P2658" s="6"/>
      <c r="Q2658" s="6"/>
      <c r="R2658" s="6"/>
      <c r="S2658" s="6"/>
      <c r="T2658" s="6"/>
      <c r="U2658" s="6"/>
      <c r="V2658" s="6"/>
      <c r="W2658" s="6"/>
      <c r="X2658" s="6"/>
      <c r="Y2658" s="6"/>
      <c r="Z2658" s="6"/>
    </row>
    <row r="2659" customFormat="false" ht="15" hidden="false" customHeight="false" outlineLevel="0" collapsed="false">
      <c r="A2659" s="9" t="s">
        <v>8502</v>
      </c>
      <c r="B2659" s="9" t="s">
        <v>5870</v>
      </c>
      <c r="C2659" s="9" t="s">
        <v>2902</v>
      </c>
      <c r="D2659" s="9" t="s">
        <v>5871</v>
      </c>
      <c r="E2659" s="9" t="str">
        <f aca="false">IF(AND('Formation Ledger'!A2638&lt;&gt;"",'Formation Ledger'!V2638=0),"PASS","FAIL")</f>
        <v>PASS</v>
      </c>
      <c r="F2659" s="9" t="s">
        <v>76</v>
      </c>
      <c r="G2659" s="6"/>
      <c r="H2659" s="6"/>
      <c r="I2659" s="6"/>
      <c r="J2659" s="6"/>
      <c r="K2659" s="6"/>
      <c r="L2659" s="6"/>
      <c r="M2659" s="6"/>
      <c r="N2659" s="6"/>
      <c r="O2659" s="6"/>
      <c r="P2659" s="6"/>
      <c r="Q2659" s="6"/>
      <c r="R2659" s="6"/>
      <c r="S2659" s="6"/>
      <c r="T2659" s="6"/>
      <c r="U2659" s="6"/>
      <c r="V2659" s="6"/>
      <c r="W2659" s="6"/>
      <c r="X2659" s="6"/>
      <c r="Y2659" s="6"/>
      <c r="Z2659" s="6"/>
    </row>
    <row r="2660" customFormat="false" ht="15" hidden="false" customHeight="false" outlineLevel="0" collapsed="false">
      <c r="A2660" s="9" t="s">
        <v>8503</v>
      </c>
      <c r="B2660" s="9" t="s">
        <v>5870</v>
      </c>
      <c r="C2660" s="9" t="s">
        <v>2903</v>
      </c>
      <c r="D2660" s="9" t="s">
        <v>5871</v>
      </c>
      <c r="E2660" s="9" t="str">
        <f aca="false">IF(AND('Formation Ledger'!A2639&lt;&gt;"",'Formation Ledger'!V2639=0),"PASS","FAIL")</f>
        <v>PASS</v>
      </c>
      <c r="F2660" s="9" t="s">
        <v>76</v>
      </c>
      <c r="G2660" s="6"/>
      <c r="H2660" s="6"/>
      <c r="I2660" s="6"/>
      <c r="J2660" s="6"/>
      <c r="K2660" s="6"/>
      <c r="L2660" s="6"/>
      <c r="M2660" s="6"/>
      <c r="N2660" s="6"/>
      <c r="O2660" s="6"/>
      <c r="P2660" s="6"/>
      <c r="Q2660" s="6"/>
      <c r="R2660" s="6"/>
      <c r="S2660" s="6"/>
      <c r="T2660" s="6"/>
      <c r="U2660" s="6"/>
      <c r="V2660" s="6"/>
      <c r="W2660" s="6"/>
      <c r="X2660" s="6"/>
      <c r="Y2660" s="6"/>
      <c r="Z2660" s="6"/>
    </row>
    <row r="2661" customFormat="false" ht="15" hidden="false" customHeight="false" outlineLevel="0" collapsed="false">
      <c r="A2661" s="9" t="s">
        <v>8504</v>
      </c>
      <c r="B2661" s="9" t="s">
        <v>5870</v>
      </c>
      <c r="C2661" s="9" t="s">
        <v>2904</v>
      </c>
      <c r="D2661" s="9" t="s">
        <v>5871</v>
      </c>
      <c r="E2661" s="9" t="str">
        <f aca="false">IF(AND('Formation Ledger'!A2640&lt;&gt;"",'Formation Ledger'!V2640=0),"PASS","FAIL")</f>
        <v>PASS</v>
      </c>
      <c r="F2661" s="9" t="s">
        <v>76</v>
      </c>
      <c r="G2661" s="6"/>
      <c r="H2661" s="6"/>
      <c r="I2661" s="6"/>
      <c r="J2661" s="6"/>
      <c r="K2661" s="6"/>
      <c r="L2661" s="6"/>
      <c r="M2661" s="6"/>
      <c r="N2661" s="6"/>
      <c r="O2661" s="6"/>
      <c r="P2661" s="6"/>
      <c r="Q2661" s="6"/>
      <c r="R2661" s="6"/>
      <c r="S2661" s="6"/>
      <c r="T2661" s="6"/>
      <c r="U2661" s="6"/>
      <c r="V2661" s="6"/>
      <c r="W2661" s="6"/>
      <c r="X2661" s="6"/>
      <c r="Y2661" s="6"/>
      <c r="Z2661" s="6"/>
    </row>
    <row r="2662" customFormat="false" ht="15" hidden="false" customHeight="false" outlineLevel="0" collapsed="false">
      <c r="A2662" s="9" t="s">
        <v>8505</v>
      </c>
      <c r="B2662" s="9" t="s">
        <v>5870</v>
      </c>
      <c r="C2662" s="9" t="s">
        <v>2905</v>
      </c>
      <c r="D2662" s="9" t="s">
        <v>5871</v>
      </c>
      <c r="E2662" s="9" t="str">
        <f aca="false">IF(AND('Formation Ledger'!A2641&lt;&gt;"",'Formation Ledger'!V2641=0),"PASS","FAIL")</f>
        <v>PASS</v>
      </c>
      <c r="F2662" s="9" t="s">
        <v>76</v>
      </c>
      <c r="G2662" s="6"/>
      <c r="H2662" s="6"/>
      <c r="I2662" s="6"/>
      <c r="J2662" s="6"/>
      <c r="K2662" s="6"/>
      <c r="L2662" s="6"/>
      <c r="M2662" s="6"/>
      <c r="N2662" s="6"/>
      <c r="O2662" s="6"/>
      <c r="P2662" s="6"/>
      <c r="Q2662" s="6"/>
      <c r="R2662" s="6"/>
      <c r="S2662" s="6"/>
      <c r="T2662" s="6"/>
      <c r="U2662" s="6"/>
      <c r="V2662" s="6"/>
      <c r="W2662" s="6"/>
      <c r="X2662" s="6"/>
      <c r="Y2662" s="6"/>
      <c r="Z2662" s="6"/>
    </row>
    <row r="2663" customFormat="false" ht="15" hidden="false" customHeight="false" outlineLevel="0" collapsed="false">
      <c r="A2663" s="9" t="s">
        <v>8506</v>
      </c>
      <c r="B2663" s="9" t="s">
        <v>5870</v>
      </c>
      <c r="C2663" s="9" t="s">
        <v>2906</v>
      </c>
      <c r="D2663" s="9" t="s">
        <v>5871</v>
      </c>
      <c r="E2663" s="9" t="str">
        <f aca="false">IF(AND('Formation Ledger'!A2642&lt;&gt;"",'Formation Ledger'!V2642=0),"PASS","FAIL")</f>
        <v>PASS</v>
      </c>
      <c r="F2663" s="9" t="s">
        <v>76</v>
      </c>
      <c r="G2663" s="6"/>
      <c r="H2663" s="6"/>
      <c r="I2663" s="6"/>
      <c r="J2663" s="6"/>
      <c r="K2663" s="6"/>
      <c r="L2663" s="6"/>
      <c r="M2663" s="6"/>
      <c r="N2663" s="6"/>
      <c r="O2663" s="6"/>
      <c r="P2663" s="6"/>
      <c r="Q2663" s="6"/>
      <c r="R2663" s="6"/>
      <c r="S2663" s="6"/>
      <c r="T2663" s="6"/>
      <c r="U2663" s="6"/>
      <c r="V2663" s="6"/>
      <c r="W2663" s="6"/>
      <c r="X2663" s="6"/>
      <c r="Y2663" s="6"/>
      <c r="Z2663" s="6"/>
    </row>
    <row r="2664" customFormat="false" ht="15" hidden="false" customHeight="false" outlineLevel="0" collapsed="false">
      <c r="A2664" s="9" t="s">
        <v>8507</v>
      </c>
      <c r="B2664" s="9" t="s">
        <v>5870</v>
      </c>
      <c r="C2664" s="9" t="s">
        <v>2907</v>
      </c>
      <c r="D2664" s="9" t="s">
        <v>5871</v>
      </c>
      <c r="E2664" s="9" t="str">
        <f aca="false">IF(AND('Formation Ledger'!A2643&lt;&gt;"",'Formation Ledger'!V2643=0),"PASS","FAIL")</f>
        <v>PASS</v>
      </c>
      <c r="F2664" s="9" t="s">
        <v>76</v>
      </c>
      <c r="G2664" s="6"/>
      <c r="H2664" s="6"/>
      <c r="I2664" s="6"/>
      <c r="J2664" s="6"/>
      <c r="K2664" s="6"/>
      <c r="L2664" s="6"/>
      <c r="M2664" s="6"/>
      <c r="N2664" s="6"/>
      <c r="O2664" s="6"/>
      <c r="P2664" s="6"/>
      <c r="Q2664" s="6"/>
      <c r="R2664" s="6"/>
      <c r="S2664" s="6"/>
      <c r="T2664" s="6"/>
      <c r="U2664" s="6"/>
      <c r="V2664" s="6"/>
      <c r="W2664" s="6"/>
      <c r="X2664" s="6"/>
      <c r="Y2664" s="6"/>
      <c r="Z2664" s="6"/>
    </row>
    <row r="2665" customFormat="false" ht="15" hidden="false" customHeight="false" outlineLevel="0" collapsed="false">
      <c r="A2665" s="9" t="s">
        <v>8508</v>
      </c>
      <c r="B2665" s="9" t="s">
        <v>5870</v>
      </c>
      <c r="C2665" s="9" t="s">
        <v>2908</v>
      </c>
      <c r="D2665" s="9" t="s">
        <v>5871</v>
      </c>
      <c r="E2665" s="9" t="str">
        <f aca="false">IF(AND('Formation Ledger'!A2644&lt;&gt;"",'Formation Ledger'!V2644=0),"PASS","FAIL")</f>
        <v>PASS</v>
      </c>
      <c r="F2665" s="9" t="s">
        <v>76</v>
      </c>
      <c r="G2665" s="6"/>
      <c r="H2665" s="6"/>
      <c r="I2665" s="6"/>
      <c r="J2665" s="6"/>
      <c r="K2665" s="6"/>
      <c r="L2665" s="6"/>
      <c r="M2665" s="6"/>
      <c r="N2665" s="6"/>
      <c r="O2665" s="6"/>
      <c r="P2665" s="6"/>
      <c r="Q2665" s="6"/>
      <c r="R2665" s="6"/>
      <c r="S2665" s="6"/>
      <c r="T2665" s="6"/>
      <c r="U2665" s="6"/>
      <c r="V2665" s="6"/>
      <c r="W2665" s="6"/>
      <c r="X2665" s="6"/>
      <c r="Y2665" s="6"/>
      <c r="Z2665" s="6"/>
    </row>
    <row r="2666" customFormat="false" ht="15" hidden="false" customHeight="false" outlineLevel="0" collapsed="false">
      <c r="A2666" s="9" t="s">
        <v>8509</v>
      </c>
      <c r="B2666" s="9" t="s">
        <v>5870</v>
      </c>
      <c r="C2666" s="9" t="s">
        <v>2909</v>
      </c>
      <c r="D2666" s="9" t="s">
        <v>5871</v>
      </c>
      <c r="E2666" s="9" t="str">
        <f aca="false">IF(AND('Formation Ledger'!A2645&lt;&gt;"",'Formation Ledger'!V2645=0),"PASS","FAIL")</f>
        <v>PASS</v>
      </c>
      <c r="F2666" s="9" t="s">
        <v>76</v>
      </c>
      <c r="G2666" s="6"/>
      <c r="H2666" s="6"/>
      <c r="I2666" s="6"/>
      <c r="J2666" s="6"/>
      <c r="K2666" s="6"/>
      <c r="L2666" s="6"/>
      <c r="M2666" s="6"/>
      <c r="N2666" s="6"/>
      <c r="O2666" s="6"/>
      <c r="P2666" s="6"/>
      <c r="Q2666" s="6"/>
      <c r="R2666" s="6"/>
      <c r="S2666" s="6"/>
      <c r="T2666" s="6"/>
      <c r="U2666" s="6"/>
      <c r="V2666" s="6"/>
      <c r="W2666" s="6"/>
      <c r="X2666" s="6"/>
      <c r="Y2666" s="6"/>
      <c r="Z2666" s="6"/>
    </row>
    <row r="2667" customFormat="false" ht="15" hidden="false" customHeight="false" outlineLevel="0" collapsed="false">
      <c r="A2667" s="9" t="s">
        <v>8510</v>
      </c>
      <c r="B2667" s="9" t="s">
        <v>5870</v>
      </c>
      <c r="C2667" s="9" t="s">
        <v>2910</v>
      </c>
      <c r="D2667" s="9" t="s">
        <v>5871</v>
      </c>
      <c r="E2667" s="9" t="str">
        <f aca="false">IF(AND('Formation Ledger'!A2646&lt;&gt;"",'Formation Ledger'!V2646=0),"PASS","FAIL")</f>
        <v>PASS</v>
      </c>
      <c r="F2667" s="9" t="s">
        <v>76</v>
      </c>
      <c r="G2667" s="6"/>
      <c r="H2667" s="6"/>
      <c r="I2667" s="6"/>
      <c r="J2667" s="6"/>
      <c r="K2667" s="6"/>
      <c r="L2667" s="6"/>
      <c r="M2667" s="6"/>
      <c r="N2667" s="6"/>
      <c r="O2667" s="6"/>
      <c r="P2667" s="6"/>
      <c r="Q2667" s="6"/>
      <c r="R2667" s="6"/>
      <c r="S2667" s="6"/>
      <c r="T2667" s="6"/>
      <c r="U2667" s="6"/>
      <c r="V2667" s="6"/>
      <c r="W2667" s="6"/>
      <c r="X2667" s="6"/>
      <c r="Y2667" s="6"/>
      <c r="Z2667" s="6"/>
    </row>
    <row r="2668" customFormat="false" ht="15" hidden="false" customHeight="false" outlineLevel="0" collapsed="false">
      <c r="A2668" s="9" t="s">
        <v>8511</v>
      </c>
      <c r="B2668" s="9" t="s">
        <v>5870</v>
      </c>
      <c r="C2668" s="9" t="s">
        <v>2911</v>
      </c>
      <c r="D2668" s="9" t="s">
        <v>5871</v>
      </c>
      <c r="E2668" s="9" t="str">
        <f aca="false">IF(AND('Formation Ledger'!A2647&lt;&gt;"",'Formation Ledger'!V2647=0),"PASS","FAIL")</f>
        <v>PASS</v>
      </c>
      <c r="F2668" s="9" t="s">
        <v>76</v>
      </c>
      <c r="G2668" s="6"/>
      <c r="H2668" s="6"/>
      <c r="I2668" s="6"/>
      <c r="J2668" s="6"/>
      <c r="K2668" s="6"/>
      <c r="L2668" s="6"/>
      <c r="M2668" s="6"/>
      <c r="N2668" s="6"/>
      <c r="O2668" s="6"/>
      <c r="P2668" s="6"/>
      <c r="Q2668" s="6"/>
      <c r="R2668" s="6"/>
      <c r="S2668" s="6"/>
      <c r="T2668" s="6"/>
      <c r="U2668" s="6"/>
      <c r="V2668" s="6"/>
      <c r="W2668" s="6"/>
      <c r="X2668" s="6"/>
      <c r="Y2668" s="6"/>
      <c r="Z2668" s="6"/>
    </row>
    <row r="2669" customFormat="false" ht="15" hidden="false" customHeight="false" outlineLevel="0" collapsed="false">
      <c r="A2669" s="9" t="s">
        <v>8512</v>
      </c>
      <c r="B2669" s="9" t="s">
        <v>5870</v>
      </c>
      <c r="C2669" s="9" t="s">
        <v>2912</v>
      </c>
      <c r="D2669" s="9" t="s">
        <v>5871</v>
      </c>
      <c r="E2669" s="9" t="str">
        <f aca="false">IF(AND('Formation Ledger'!A2648&lt;&gt;"",'Formation Ledger'!V2648=0),"PASS","FAIL")</f>
        <v>PASS</v>
      </c>
      <c r="F2669" s="9" t="s">
        <v>76</v>
      </c>
      <c r="G2669" s="6"/>
      <c r="H2669" s="6"/>
      <c r="I2669" s="6"/>
      <c r="J2669" s="6"/>
      <c r="K2669" s="6"/>
      <c r="L2669" s="6"/>
      <c r="M2669" s="6"/>
      <c r="N2669" s="6"/>
      <c r="O2669" s="6"/>
      <c r="P2669" s="6"/>
      <c r="Q2669" s="6"/>
      <c r="R2669" s="6"/>
      <c r="S2669" s="6"/>
      <c r="T2669" s="6"/>
      <c r="U2669" s="6"/>
      <c r="V2669" s="6"/>
      <c r="W2669" s="6"/>
      <c r="X2669" s="6"/>
      <c r="Y2669" s="6"/>
      <c r="Z2669" s="6"/>
    </row>
    <row r="2670" customFormat="false" ht="15" hidden="false" customHeight="false" outlineLevel="0" collapsed="false">
      <c r="A2670" s="9" t="s">
        <v>8513</v>
      </c>
      <c r="B2670" s="9" t="s">
        <v>5870</v>
      </c>
      <c r="C2670" s="9" t="s">
        <v>2913</v>
      </c>
      <c r="D2670" s="9" t="s">
        <v>5871</v>
      </c>
      <c r="E2670" s="9" t="str">
        <f aca="false">IF(AND('Formation Ledger'!A2649&lt;&gt;"",'Formation Ledger'!V2649=0),"PASS","FAIL")</f>
        <v>PASS</v>
      </c>
      <c r="F2670" s="9" t="s">
        <v>76</v>
      </c>
      <c r="G2670" s="6"/>
      <c r="H2670" s="6"/>
      <c r="I2670" s="6"/>
      <c r="J2670" s="6"/>
      <c r="K2670" s="6"/>
      <c r="L2670" s="6"/>
      <c r="M2670" s="6"/>
      <c r="N2670" s="6"/>
      <c r="O2670" s="6"/>
      <c r="P2670" s="6"/>
      <c r="Q2670" s="6"/>
      <c r="R2670" s="6"/>
      <c r="S2670" s="6"/>
      <c r="T2670" s="6"/>
      <c r="U2670" s="6"/>
      <c r="V2670" s="6"/>
      <c r="W2670" s="6"/>
      <c r="X2670" s="6"/>
      <c r="Y2670" s="6"/>
      <c r="Z2670" s="6"/>
    </row>
    <row r="2671" customFormat="false" ht="15" hidden="false" customHeight="false" outlineLevel="0" collapsed="false">
      <c r="A2671" s="9" t="s">
        <v>8514</v>
      </c>
      <c r="B2671" s="9" t="s">
        <v>5870</v>
      </c>
      <c r="C2671" s="9" t="s">
        <v>2914</v>
      </c>
      <c r="D2671" s="9" t="s">
        <v>5871</v>
      </c>
      <c r="E2671" s="9" t="str">
        <f aca="false">IF(AND('Formation Ledger'!A2650&lt;&gt;"",'Formation Ledger'!V2650=0),"PASS","FAIL")</f>
        <v>PASS</v>
      </c>
      <c r="F2671" s="9" t="s">
        <v>76</v>
      </c>
      <c r="G2671" s="6"/>
      <c r="H2671" s="6"/>
      <c r="I2671" s="6"/>
      <c r="J2671" s="6"/>
      <c r="K2671" s="6"/>
      <c r="L2671" s="6"/>
      <c r="M2671" s="6"/>
      <c r="N2671" s="6"/>
      <c r="O2671" s="6"/>
      <c r="P2671" s="6"/>
      <c r="Q2671" s="6"/>
      <c r="R2671" s="6"/>
      <c r="S2671" s="6"/>
      <c r="T2671" s="6"/>
      <c r="U2671" s="6"/>
      <c r="V2671" s="6"/>
      <c r="W2671" s="6"/>
      <c r="X2671" s="6"/>
      <c r="Y2671" s="6"/>
      <c r="Z2671" s="6"/>
    </row>
    <row r="2672" customFormat="false" ht="15" hidden="false" customHeight="false" outlineLevel="0" collapsed="false">
      <c r="A2672" s="9" t="s">
        <v>8515</v>
      </c>
      <c r="B2672" s="9" t="s">
        <v>5870</v>
      </c>
      <c r="C2672" s="9" t="s">
        <v>2915</v>
      </c>
      <c r="D2672" s="9" t="s">
        <v>5871</v>
      </c>
      <c r="E2672" s="9" t="str">
        <f aca="false">IF(AND('Formation Ledger'!A2651&lt;&gt;"",'Formation Ledger'!V2651=0),"PASS","FAIL")</f>
        <v>PASS</v>
      </c>
      <c r="F2672" s="9" t="s">
        <v>76</v>
      </c>
      <c r="G2672" s="6"/>
      <c r="H2672" s="6"/>
      <c r="I2672" s="6"/>
      <c r="J2672" s="6"/>
      <c r="K2672" s="6"/>
      <c r="L2672" s="6"/>
      <c r="M2672" s="6"/>
      <c r="N2672" s="6"/>
      <c r="O2672" s="6"/>
      <c r="P2672" s="6"/>
      <c r="Q2672" s="6"/>
      <c r="R2672" s="6"/>
      <c r="S2672" s="6"/>
      <c r="T2672" s="6"/>
      <c r="U2672" s="6"/>
      <c r="V2672" s="6"/>
      <c r="W2672" s="6"/>
      <c r="X2672" s="6"/>
      <c r="Y2672" s="6"/>
      <c r="Z2672" s="6"/>
    </row>
    <row r="2673" customFormat="false" ht="15" hidden="false" customHeight="false" outlineLevel="0" collapsed="false">
      <c r="A2673" s="9" t="s">
        <v>8516</v>
      </c>
      <c r="B2673" s="9" t="s">
        <v>5870</v>
      </c>
      <c r="C2673" s="9" t="s">
        <v>2916</v>
      </c>
      <c r="D2673" s="9" t="s">
        <v>5871</v>
      </c>
      <c r="E2673" s="9" t="str">
        <f aca="false">IF(AND('Formation Ledger'!A2652&lt;&gt;"",'Formation Ledger'!V2652=0),"PASS","FAIL")</f>
        <v>PASS</v>
      </c>
      <c r="F2673" s="9" t="s">
        <v>76</v>
      </c>
      <c r="G2673" s="6"/>
      <c r="H2673" s="6"/>
      <c r="I2673" s="6"/>
      <c r="J2673" s="6"/>
      <c r="K2673" s="6"/>
      <c r="L2673" s="6"/>
      <c r="M2673" s="6"/>
      <c r="N2673" s="6"/>
      <c r="O2673" s="6"/>
      <c r="P2673" s="6"/>
      <c r="Q2673" s="6"/>
      <c r="R2673" s="6"/>
      <c r="S2673" s="6"/>
      <c r="T2673" s="6"/>
      <c r="U2673" s="6"/>
      <c r="V2673" s="6"/>
      <c r="W2673" s="6"/>
      <c r="X2673" s="6"/>
      <c r="Y2673" s="6"/>
      <c r="Z2673" s="6"/>
    </row>
    <row r="2674" customFormat="false" ht="15" hidden="false" customHeight="false" outlineLevel="0" collapsed="false">
      <c r="A2674" s="9" t="s">
        <v>8517</v>
      </c>
      <c r="B2674" s="9" t="s">
        <v>5870</v>
      </c>
      <c r="C2674" s="9" t="s">
        <v>2917</v>
      </c>
      <c r="D2674" s="9" t="s">
        <v>5871</v>
      </c>
      <c r="E2674" s="9" t="str">
        <f aca="false">IF(AND('Formation Ledger'!A2653&lt;&gt;"",'Formation Ledger'!V2653=0),"PASS","FAIL")</f>
        <v>PASS</v>
      </c>
      <c r="F2674" s="9" t="s">
        <v>76</v>
      </c>
      <c r="G2674" s="6"/>
      <c r="H2674" s="6"/>
      <c r="I2674" s="6"/>
      <c r="J2674" s="6"/>
      <c r="K2674" s="6"/>
      <c r="L2674" s="6"/>
      <c r="M2674" s="6"/>
      <c r="N2674" s="6"/>
      <c r="O2674" s="6"/>
      <c r="P2674" s="6"/>
      <c r="Q2674" s="6"/>
      <c r="R2674" s="6"/>
      <c r="S2674" s="6"/>
      <c r="T2674" s="6"/>
      <c r="U2674" s="6"/>
      <c r="V2674" s="6"/>
      <c r="W2674" s="6"/>
      <c r="X2674" s="6"/>
      <c r="Y2674" s="6"/>
      <c r="Z2674" s="6"/>
    </row>
    <row r="2675" customFormat="false" ht="15" hidden="false" customHeight="false" outlineLevel="0" collapsed="false">
      <c r="A2675" s="9" t="s">
        <v>8518</v>
      </c>
      <c r="B2675" s="9" t="s">
        <v>5870</v>
      </c>
      <c r="C2675" s="9" t="s">
        <v>2918</v>
      </c>
      <c r="D2675" s="9" t="s">
        <v>5871</v>
      </c>
      <c r="E2675" s="9" t="str">
        <f aca="false">IF(AND('Formation Ledger'!A2654&lt;&gt;"",'Formation Ledger'!V2654=0),"PASS","FAIL")</f>
        <v>PASS</v>
      </c>
      <c r="F2675" s="9" t="s">
        <v>76</v>
      </c>
      <c r="G2675" s="6"/>
      <c r="H2675" s="6"/>
      <c r="I2675" s="6"/>
      <c r="J2675" s="6"/>
      <c r="K2675" s="6"/>
      <c r="L2675" s="6"/>
      <c r="M2675" s="6"/>
      <c r="N2675" s="6"/>
      <c r="O2675" s="6"/>
      <c r="P2675" s="6"/>
      <c r="Q2675" s="6"/>
      <c r="R2675" s="6"/>
      <c r="S2675" s="6"/>
      <c r="T2675" s="6"/>
      <c r="U2675" s="6"/>
      <c r="V2675" s="6"/>
      <c r="W2675" s="6"/>
      <c r="X2675" s="6"/>
      <c r="Y2675" s="6"/>
      <c r="Z2675" s="6"/>
    </row>
    <row r="2676" customFormat="false" ht="15" hidden="false" customHeight="false" outlineLevel="0" collapsed="false">
      <c r="A2676" s="9" t="s">
        <v>8519</v>
      </c>
      <c r="B2676" s="9" t="s">
        <v>5870</v>
      </c>
      <c r="C2676" s="9" t="s">
        <v>2919</v>
      </c>
      <c r="D2676" s="9" t="s">
        <v>5871</v>
      </c>
      <c r="E2676" s="9" t="str">
        <f aca="false">IF(AND('Formation Ledger'!A2655&lt;&gt;"",'Formation Ledger'!V2655=0),"PASS","FAIL")</f>
        <v>PASS</v>
      </c>
      <c r="F2676" s="9" t="s">
        <v>76</v>
      </c>
      <c r="G2676" s="6"/>
      <c r="H2676" s="6"/>
      <c r="I2676" s="6"/>
      <c r="J2676" s="6"/>
      <c r="K2676" s="6"/>
      <c r="L2676" s="6"/>
      <c r="M2676" s="6"/>
      <c r="N2676" s="6"/>
      <c r="O2676" s="6"/>
      <c r="P2676" s="6"/>
      <c r="Q2676" s="6"/>
      <c r="R2676" s="6"/>
      <c r="S2676" s="6"/>
      <c r="T2676" s="6"/>
      <c r="U2676" s="6"/>
      <c r="V2676" s="6"/>
      <c r="W2676" s="6"/>
      <c r="X2676" s="6"/>
      <c r="Y2676" s="6"/>
      <c r="Z2676" s="6"/>
    </row>
    <row r="2677" customFormat="false" ht="15" hidden="false" customHeight="false" outlineLevel="0" collapsed="false">
      <c r="A2677" s="9" t="s">
        <v>8520</v>
      </c>
      <c r="B2677" s="9" t="s">
        <v>5870</v>
      </c>
      <c r="C2677" s="9" t="s">
        <v>2920</v>
      </c>
      <c r="D2677" s="9" t="s">
        <v>5871</v>
      </c>
      <c r="E2677" s="9" t="str">
        <f aca="false">IF(AND('Formation Ledger'!A2656&lt;&gt;"",'Formation Ledger'!V2656=0),"PASS","FAIL")</f>
        <v>PASS</v>
      </c>
      <c r="F2677" s="9" t="s">
        <v>76</v>
      </c>
      <c r="G2677" s="6"/>
      <c r="H2677" s="6"/>
      <c r="I2677" s="6"/>
      <c r="J2677" s="6"/>
      <c r="K2677" s="6"/>
      <c r="L2677" s="6"/>
      <c r="M2677" s="6"/>
      <c r="N2677" s="6"/>
      <c r="O2677" s="6"/>
      <c r="P2677" s="6"/>
      <c r="Q2677" s="6"/>
      <c r="R2677" s="6"/>
      <c r="S2677" s="6"/>
      <c r="T2677" s="6"/>
      <c r="U2677" s="6"/>
      <c r="V2677" s="6"/>
      <c r="W2677" s="6"/>
      <c r="X2677" s="6"/>
      <c r="Y2677" s="6"/>
      <c r="Z2677" s="6"/>
    </row>
    <row r="2678" customFormat="false" ht="15" hidden="false" customHeight="false" outlineLevel="0" collapsed="false">
      <c r="A2678" s="9" t="s">
        <v>8521</v>
      </c>
      <c r="B2678" s="9" t="s">
        <v>5870</v>
      </c>
      <c r="C2678" s="9" t="s">
        <v>2921</v>
      </c>
      <c r="D2678" s="9" t="s">
        <v>5871</v>
      </c>
      <c r="E2678" s="9" t="str">
        <f aca="false">IF(AND('Formation Ledger'!A2657&lt;&gt;"",'Formation Ledger'!V2657=0),"PASS","FAIL")</f>
        <v>PASS</v>
      </c>
      <c r="F2678" s="9" t="s">
        <v>76</v>
      </c>
      <c r="G2678" s="6"/>
      <c r="H2678" s="6"/>
      <c r="I2678" s="6"/>
      <c r="J2678" s="6"/>
      <c r="K2678" s="6"/>
      <c r="L2678" s="6"/>
      <c r="M2678" s="6"/>
      <c r="N2678" s="6"/>
      <c r="O2678" s="6"/>
      <c r="P2678" s="6"/>
      <c r="Q2678" s="6"/>
      <c r="R2678" s="6"/>
      <c r="S2678" s="6"/>
      <c r="T2678" s="6"/>
      <c r="U2678" s="6"/>
      <c r="V2678" s="6"/>
      <c r="W2678" s="6"/>
      <c r="X2678" s="6"/>
      <c r="Y2678" s="6"/>
      <c r="Z2678" s="6"/>
    </row>
    <row r="2679" customFormat="false" ht="15" hidden="false" customHeight="false" outlineLevel="0" collapsed="false">
      <c r="A2679" s="9" t="s">
        <v>8522</v>
      </c>
      <c r="B2679" s="9" t="s">
        <v>5870</v>
      </c>
      <c r="C2679" s="9" t="s">
        <v>2922</v>
      </c>
      <c r="D2679" s="9" t="s">
        <v>5871</v>
      </c>
      <c r="E2679" s="9" t="str">
        <f aca="false">IF(AND('Formation Ledger'!A2658&lt;&gt;"",'Formation Ledger'!V2658=0),"PASS","FAIL")</f>
        <v>PASS</v>
      </c>
      <c r="F2679" s="9" t="s">
        <v>76</v>
      </c>
      <c r="G2679" s="6"/>
      <c r="H2679" s="6"/>
      <c r="I2679" s="6"/>
      <c r="J2679" s="6"/>
      <c r="K2679" s="6"/>
      <c r="L2679" s="6"/>
      <c r="M2679" s="6"/>
      <c r="N2679" s="6"/>
      <c r="O2679" s="6"/>
      <c r="P2679" s="6"/>
      <c r="Q2679" s="6"/>
      <c r="R2679" s="6"/>
      <c r="S2679" s="6"/>
      <c r="T2679" s="6"/>
      <c r="U2679" s="6"/>
      <c r="V2679" s="6"/>
      <c r="W2679" s="6"/>
      <c r="X2679" s="6"/>
      <c r="Y2679" s="6"/>
      <c r="Z2679" s="6"/>
    </row>
    <row r="2680" customFormat="false" ht="15" hidden="false" customHeight="false" outlineLevel="0" collapsed="false">
      <c r="A2680" s="9" t="s">
        <v>8523</v>
      </c>
      <c r="B2680" s="9" t="s">
        <v>5870</v>
      </c>
      <c r="C2680" s="9" t="s">
        <v>2923</v>
      </c>
      <c r="D2680" s="9" t="s">
        <v>5871</v>
      </c>
      <c r="E2680" s="9" t="str">
        <f aca="false">IF(AND('Formation Ledger'!A2659&lt;&gt;"",'Formation Ledger'!V2659=0),"PASS","FAIL")</f>
        <v>PASS</v>
      </c>
      <c r="F2680" s="9" t="s">
        <v>76</v>
      </c>
      <c r="G2680" s="6"/>
      <c r="H2680" s="6"/>
      <c r="I2680" s="6"/>
      <c r="J2680" s="6"/>
      <c r="K2680" s="6"/>
      <c r="L2680" s="6"/>
      <c r="M2680" s="6"/>
      <c r="N2680" s="6"/>
      <c r="O2680" s="6"/>
      <c r="P2680" s="6"/>
      <c r="Q2680" s="6"/>
      <c r="R2680" s="6"/>
      <c r="S2680" s="6"/>
      <c r="T2680" s="6"/>
      <c r="U2680" s="6"/>
      <c r="V2680" s="6"/>
      <c r="W2680" s="6"/>
      <c r="X2680" s="6"/>
      <c r="Y2680" s="6"/>
      <c r="Z2680" s="6"/>
    </row>
    <row r="2681" customFormat="false" ht="15" hidden="false" customHeight="false" outlineLevel="0" collapsed="false">
      <c r="A2681" s="9" t="s">
        <v>8524</v>
      </c>
      <c r="B2681" s="9" t="s">
        <v>5870</v>
      </c>
      <c r="C2681" s="9" t="s">
        <v>2924</v>
      </c>
      <c r="D2681" s="9" t="s">
        <v>5871</v>
      </c>
      <c r="E2681" s="9" t="str">
        <f aca="false">IF(AND('Formation Ledger'!A2660&lt;&gt;"",'Formation Ledger'!V2660=0),"PASS","FAIL")</f>
        <v>PASS</v>
      </c>
      <c r="F2681" s="9" t="s">
        <v>76</v>
      </c>
      <c r="G2681" s="6"/>
      <c r="H2681" s="6"/>
      <c r="I2681" s="6"/>
      <c r="J2681" s="6"/>
      <c r="K2681" s="6"/>
      <c r="L2681" s="6"/>
      <c r="M2681" s="6"/>
      <c r="N2681" s="6"/>
      <c r="O2681" s="6"/>
      <c r="P2681" s="6"/>
      <c r="Q2681" s="6"/>
      <c r="R2681" s="6"/>
      <c r="S2681" s="6"/>
      <c r="T2681" s="6"/>
      <c r="U2681" s="6"/>
      <c r="V2681" s="6"/>
      <c r="W2681" s="6"/>
      <c r="X2681" s="6"/>
      <c r="Y2681" s="6"/>
      <c r="Z2681" s="6"/>
    </row>
    <row r="2682" customFormat="false" ht="15" hidden="false" customHeight="false" outlineLevel="0" collapsed="false">
      <c r="A2682" s="9" t="s">
        <v>8525</v>
      </c>
      <c r="B2682" s="9" t="s">
        <v>5870</v>
      </c>
      <c r="C2682" s="9" t="s">
        <v>2925</v>
      </c>
      <c r="D2682" s="9" t="s">
        <v>5871</v>
      </c>
      <c r="E2682" s="9" t="str">
        <f aca="false">IF(AND('Formation Ledger'!A2661&lt;&gt;"",'Formation Ledger'!V2661=0),"PASS","FAIL")</f>
        <v>PASS</v>
      </c>
      <c r="F2682" s="9" t="s">
        <v>76</v>
      </c>
      <c r="G2682" s="6"/>
      <c r="H2682" s="6"/>
      <c r="I2682" s="6"/>
      <c r="J2682" s="6"/>
      <c r="K2682" s="6"/>
      <c r="L2682" s="6"/>
      <c r="M2682" s="6"/>
      <c r="N2682" s="6"/>
      <c r="O2682" s="6"/>
      <c r="P2682" s="6"/>
      <c r="Q2682" s="6"/>
      <c r="R2682" s="6"/>
      <c r="S2682" s="6"/>
      <c r="T2682" s="6"/>
      <c r="U2682" s="6"/>
      <c r="V2682" s="6"/>
      <c r="W2682" s="6"/>
      <c r="X2682" s="6"/>
      <c r="Y2682" s="6"/>
      <c r="Z2682" s="6"/>
    </row>
    <row r="2683" customFormat="false" ht="15" hidden="false" customHeight="false" outlineLevel="0" collapsed="false">
      <c r="A2683" s="9" t="s">
        <v>8526</v>
      </c>
      <c r="B2683" s="9" t="s">
        <v>5870</v>
      </c>
      <c r="C2683" s="9" t="s">
        <v>2926</v>
      </c>
      <c r="D2683" s="9" t="s">
        <v>5871</v>
      </c>
      <c r="E2683" s="9" t="str">
        <f aca="false">IF(AND('Formation Ledger'!A2662&lt;&gt;"",'Formation Ledger'!V2662=0),"PASS","FAIL")</f>
        <v>PASS</v>
      </c>
      <c r="F2683" s="9" t="s">
        <v>76</v>
      </c>
      <c r="G2683" s="6"/>
      <c r="H2683" s="6"/>
      <c r="I2683" s="6"/>
      <c r="J2683" s="6"/>
      <c r="K2683" s="6"/>
      <c r="L2683" s="6"/>
      <c r="M2683" s="6"/>
      <c r="N2683" s="6"/>
      <c r="O2683" s="6"/>
      <c r="P2683" s="6"/>
      <c r="Q2683" s="6"/>
      <c r="R2683" s="6"/>
      <c r="S2683" s="6"/>
      <c r="T2683" s="6"/>
      <c r="U2683" s="6"/>
      <c r="V2683" s="6"/>
      <c r="W2683" s="6"/>
      <c r="X2683" s="6"/>
      <c r="Y2683" s="6"/>
      <c r="Z2683" s="6"/>
    </row>
    <row r="2684" customFormat="false" ht="15" hidden="false" customHeight="false" outlineLevel="0" collapsed="false">
      <c r="A2684" s="9" t="s">
        <v>8527</v>
      </c>
      <c r="B2684" s="9" t="s">
        <v>5870</v>
      </c>
      <c r="C2684" s="9" t="s">
        <v>2927</v>
      </c>
      <c r="D2684" s="9" t="s">
        <v>5871</v>
      </c>
      <c r="E2684" s="9" t="str">
        <f aca="false">IF(AND('Formation Ledger'!A2663&lt;&gt;"",'Formation Ledger'!V2663=0),"PASS","FAIL")</f>
        <v>PASS</v>
      </c>
      <c r="F2684" s="9" t="s">
        <v>76</v>
      </c>
      <c r="G2684" s="6"/>
      <c r="H2684" s="6"/>
      <c r="I2684" s="6"/>
      <c r="J2684" s="6"/>
      <c r="K2684" s="6"/>
      <c r="L2684" s="6"/>
      <c r="M2684" s="6"/>
      <c r="N2684" s="6"/>
      <c r="O2684" s="6"/>
      <c r="P2684" s="6"/>
      <c r="Q2684" s="6"/>
      <c r="R2684" s="6"/>
      <c r="S2684" s="6"/>
      <c r="T2684" s="6"/>
      <c r="U2684" s="6"/>
      <c r="V2684" s="6"/>
      <c r="W2684" s="6"/>
      <c r="X2684" s="6"/>
      <c r="Y2684" s="6"/>
      <c r="Z2684" s="6"/>
    </row>
    <row r="2685" customFormat="false" ht="15" hidden="false" customHeight="false" outlineLevel="0" collapsed="false">
      <c r="A2685" s="9" t="s">
        <v>8528</v>
      </c>
      <c r="B2685" s="9" t="s">
        <v>5870</v>
      </c>
      <c r="C2685" s="9" t="s">
        <v>2928</v>
      </c>
      <c r="D2685" s="9" t="s">
        <v>5871</v>
      </c>
      <c r="E2685" s="9" t="str">
        <f aca="false">IF(AND('Formation Ledger'!A2664&lt;&gt;"",'Formation Ledger'!V2664=0),"PASS","FAIL")</f>
        <v>PASS</v>
      </c>
      <c r="F2685" s="9" t="s">
        <v>76</v>
      </c>
      <c r="G2685" s="6"/>
      <c r="H2685" s="6"/>
      <c r="I2685" s="6"/>
      <c r="J2685" s="6"/>
      <c r="K2685" s="6"/>
      <c r="L2685" s="6"/>
      <c r="M2685" s="6"/>
      <c r="N2685" s="6"/>
      <c r="O2685" s="6"/>
      <c r="P2685" s="6"/>
      <c r="Q2685" s="6"/>
      <c r="R2685" s="6"/>
      <c r="S2685" s="6"/>
      <c r="T2685" s="6"/>
      <c r="U2685" s="6"/>
      <c r="V2685" s="6"/>
      <c r="W2685" s="6"/>
      <c r="X2685" s="6"/>
      <c r="Y2685" s="6"/>
      <c r="Z2685" s="6"/>
    </row>
    <row r="2686" customFormat="false" ht="15" hidden="false" customHeight="false" outlineLevel="0" collapsed="false">
      <c r="A2686" s="9" t="s">
        <v>8529</v>
      </c>
      <c r="B2686" s="9" t="s">
        <v>5870</v>
      </c>
      <c r="C2686" s="9" t="s">
        <v>2929</v>
      </c>
      <c r="D2686" s="9" t="s">
        <v>5871</v>
      </c>
      <c r="E2686" s="9" t="str">
        <f aca="false">IF(AND('Formation Ledger'!A2665&lt;&gt;"",'Formation Ledger'!V2665=0),"PASS","FAIL")</f>
        <v>PASS</v>
      </c>
      <c r="F2686" s="9" t="s">
        <v>76</v>
      </c>
      <c r="G2686" s="6"/>
      <c r="H2686" s="6"/>
      <c r="I2686" s="6"/>
      <c r="J2686" s="6"/>
      <c r="K2686" s="6"/>
      <c r="L2686" s="6"/>
      <c r="M2686" s="6"/>
      <c r="N2686" s="6"/>
      <c r="O2686" s="6"/>
      <c r="P2686" s="6"/>
      <c r="Q2686" s="6"/>
      <c r="R2686" s="6"/>
      <c r="S2686" s="6"/>
      <c r="T2686" s="6"/>
      <c r="U2686" s="6"/>
      <c r="V2686" s="6"/>
      <c r="W2686" s="6"/>
      <c r="X2686" s="6"/>
      <c r="Y2686" s="6"/>
      <c r="Z2686" s="6"/>
    </row>
    <row r="2687" customFormat="false" ht="15" hidden="false" customHeight="false" outlineLevel="0" collapsed="false">
      <c r="A2687" s="9" t="s">
        <v>8530</v>
      </c>
      <c r="B2687" s="9" t="s">
        <v>5870</v>
      </c>
      <c r="C2687" s="9" t="s">
        <v>2930</v>
      </c>
      <c r="D2687" s="9" t="s">
        <v>5871</v>
      </c>
      <c r="E2687" s="9" t="str">
        <f aca="false">IF(AND('Formation Ledger'!A2666&lt;&gt;"",'Formation Ledger'!V2666=0),"PASS","FAIL")</f>
        <v>PASS</v>
      </c>
      <c r="F2687" s="9" t="s">
        <v>76</v>
      </c>
      <c r="G2687" s="6"/>
      <c r="H2687" s="6"/>
      <c r="I2687" s="6"/>
      <c r="J2687" s="6"/>
      <c r="K2687" s="6"/>
      <c r="L2687" s="6"/>
      <c r="M2687" s="6"/>
      <c r="N2687" s="6"/>
      <c r="O2687" s="6"/>
      <c r="P2687" s="6"/>
      <c r="Q2687" s="6"/>
      <c r="R2687" s="6"/>
      <c r="S2687" s="6"/>
      <c r="T2687" s="6"/>
      <c r="U2687" s="6"/>
      <c r="V2687" s="6"/>
      <c r="W2687" s="6"/>
      <c r="X2687" s="6"/>
      <c r="Y2687" s="6"/>
      <c r="Z2687" s="6"/>
    </row>
    <row r="2688" customFormat="false" ht="15" hidden="false" customHeight="false" outlineLevel="0" collapsed="false">
      <c r="A2688" s="9" t="s">
        <v>8531</v>
      </c>
      <c r="B2688" s="9" t="s">
        <v>5870</v>
      </c>
      <c r="C2688" s="9" t="s">
        <v>2931</v>
      </c>
      <c r="D2688" s="9" t="s">
        <v>5871</v>
      </c>
      <c r="E2688" s="9" t="str">
        <f aca="false">IF(AND('Formation Ledger'!A2667&lt;&gt;"",'Formation Ledger'!V2667=0),"PASS","FAIL")</f>
        <v>PASS</v>
      </c>
      <c r="F2688" s="9" t="s">
        <v>76</v>
      </c>
      <c r="G2688" s="6"/>
      <c r="H2688" s="6"/>
      <c r="I2688" s="6"/>
      <c r="J2688" s="6"/>
      <c r="K2688" s="6"/>
      <c r="L2688" s="6"/>
      <c r="M2688" s="6"/>
      <c r="N2688" s="6"/>
      <c r="O2688" s="6"/>
      <c r="P2688" s="6"/>
      <c r="Q2688" s="6"/>
      <c r="R2688" s="6"/>
      <c r="S2688" s="6"/>
      <c r="T2688" s="6"/>
      <c r="U2688" s="6"/>
      <c r="V2688" s="6"/>
      <c r="W2688" s="6"/>
      <c r="X2688" s="6"/>
      <c r="Y2688" s="6"/>
      <c r="Z2688" s="6"/>
    </row>
    <row r="2689" customFormat="false" ht="15" hidden="false" customHeight="false" outlineLevel="0" collapsed="false">
      <c r="A2689" s="9" t="s">
        <v>8532</v>
      </c>
      <c r="B2689" s="9" t="s">
        <v>5870</v>
      </c>
      <c r="C2689" s="9" t="s">
        <v>2932</v>
      </c>
      <c r="D2689" s="9" t="s">
        <v>5871</v>
      </c>
      <c r="E2689" s="9" t="str">
        <f aca="false">IF(AND('Formation Ledger'!A2668&lt;&gt;"",'Formation Ledger'!V2668=0),"PASS","FAIL")</f>
        <v>PASS</v>
      </c>
      <c r="F2689" s="9" t="s">
        <v>76</v>
      </c>
      <c r="G2689" s="6"/>
      <c r="H2689" s="6"/>
      <c r="I2689" s="6"/>
      <c r="J2689" s="6"/>
      <c r="K2689" s="6"/>
      <c r="L2689" s="6"/>
      <c r="M2689" s="6"/>
      <c r="N2689" s="6"/>
      <c r="O2689" s="6"/>
      <c r="P2689" s="6"/>
      <c r="Q2689" s="6"/>
      <c r="R2689" s="6"/>
      <c r="S2689" s="6"/>
      <c r="T2689" s="6"/>
      <c r="U2689" s="6"/>
      <c r="V2689" s="6"/>
      <c r="W2689" s="6"/>
      <c r="X2689" s="6"/>
      <c r="Y2689" s="6"/>
      <c r="Z2689" s="6"/>
    </row>
    <row r="2690" customFormat="false" ht="15" hidden="false" customHeight="false" outlineLevel="0" collapsed="false">
      <c r="A2690" s="9" t="s">
        <v>8533</v>
      </c>
      <c r="B2690" s="9" t="s">
        <v>5870</v>
      </c>
      <c r="C2690" s="9" t="s">
        <v>2933</v>
      </c>
      <c r="D2690" s="9" t="s">
        <v>5871</v>
      </c>
      <c r="E2690" s="9" t="str">
        <f aca="false">IF(AND('Formation Ledger'!A2669&lt;&gt;"",'Formation Ledger'!V2669=0),"PASS","FAIL")</f>
        <v>PASS</v>
      </c>
      <c r="F2690" s="9" t="s">
        <v>76</v>
      </c>
      <c r="G2690" s="6"/>
      <c r="H2690" s="6"/>
      <c r="I2690" s="6"/>
      <c r="J2690" s="6"/>
      <c r="K2690" s="6"/>
      <c r="L2690" s="6"/>
      <c r="M2690" s="6"/>
      <c r="N2690" s="6"/>
      <c r="O2690" s="6"/>
      <c r="P2690" s="6"/>
      <c r="Q2690" s="6"/>
      <c r="R2690" s="6"/>
      <c r="S2690" s="6"/>
      <c r="T2690" s="6"/>
      <c r="U2690" s="6"/>
      <c r="V2690" s="6"/>
      <c r="W2690" s="6"/>
      <c r="X2690" s="6"/>
      <c r="Y2690" s="6"/>
      <c r="Z2690" s="6"/>
    </row>
    <row r="2691" customFormat="false" ht="15" hidden="false" customHeight="false" outlineLevel="0" collapsed="false">
      <c r="A2691" s="9" t="s">
        <v>8534</v>
      </c>
      <c r="B2691" s="9" t="s">
        <v>5870</v>
      </c>
      <c r="C2691" s="9" t="s">
        <v>2934</v>
      </c>
      <c r="D2691" s="9" t="s">
        <v>5871</v>
      </c>
      <c r="E2691" s="9" t="str">
        <f aca="false">IF(AND('Formation Ledger'!A2670&lt;&gt;"",'Formation Ledger'!V2670=0),"PASS","FAIL")</f>
        <v>PASS</v>
      </c>
      <c r="F2691" s="9" t="s">
        <v>76</v>
      </c>
      <c r="G2691" s="6"/>
      <c r="H2691" s="6"/>
      <c r="I2691" s="6"/>
      <c r="J2691" s="6"/>
      <c r="K2691" s="6"/>
      <c r="L2691" s="6"/>
      <c r="M2691" s="6"/>
      <c r="N2691" s="6"/>
      <c r="O2691" s="6"/>
      <c r="P2691" s="6"/>
      <c r="Q2691" s="6"/>
      <c r="R2691" s="6"/>
      <c r="S2691" s="6"/>
      <c r="T2691" s="6"/>
      <c r="U2691" s="6"/>
      <c r="V2691" s="6"/>
      <c r="W2691" s="6"/>
      <c r="X2691" s="6"/>
      <c r="Y2691" s="6"/>
      <c r="Z2691" s="6"/>
    </row>
    <row r="2692" customFormat="false" ht="15" hidden="false" customHeight="false" outlineLevel="0" collapsed="false">
      <c r="A2692" s="9" t="s">
        <v>8535</v>
      </c>
      <c r="B2692" s="9" t="s">
        <v>5870</v>
      </c>
      <c r="C2692" s="9" t="s">
        <v>2935</v>
      </c>
      <c r="D2692" s="9" t="s">
        <v>5871</v>
      </c>
      <c r="E2692" s="9" t="str">
        <f aca="false">IF(AND('Formation Ledger'!A2671&lt;&gt;"",'Formation Ledger'!V2671=0),"PASS","FAIL")</f>
        <v>PASS</v>
      </c>
      <c r="F2692" s="9" t="s">
        <v>76</v>
      </c>
      <c r="G2692" s="6"/>
      <c r="H2692" s="6"/>
      <c r="I2692" s="6"/>
      <c r="J2692" s="6"/>
      <c r="K2692" s="6"/>
      <c r="L2692" s="6"/>
      <c r="M2692" s="6"/>
      <c r="N2692" s="6"/>
      <c r="O2692" s="6"/>
      <c r="P2692" s="6"/>
      <c r="Q2692" s="6"/>
      <c r="R2692" s="6"/>
      <c r="S2692" s="6"/>
      <c r="T2692" s="6"/>
      <c r="U2692" s="6"/>
      <c r="V2692" s="6"/>
      <c r="W2692" s="6"/>
      <c r="X2692" s="6"/>
      <c r="Y2692" s="6"/>
      <c r="Z2692" s="6"/>
    </row>
    <row r="2693" customFormat="false" ht="15" hidden="false" customHeight="false" outlineLevel="0" collapsed="false">
      <c r="A2693" s="9" t="s">
        <v>8536</v>
      </c>
      <c r="B2693" s="9" t="s">
        <v>5870</v>
      </c>
      <c r="C2693" s="9" t="s">
        <v>2936</v>
      </c>
      <c r="D2693" s="9" t="s">
        <v>5871</v>
      </c>
      <c r="E2693" s="9" t="str">
        <f aca="false">IF(AND('Formation Ledger'!A2672&lt;&gt;"",'Formation Ledger'!V2672=0),"PASS","FAIL")</f>
        <v>PASS</v>
      </c>
      <c r="F2693" s="9" t="s">
        <v>76</v>
      </c>
      <c r="G2693" s="6"/>
      <c r="H2693" s="6"/>
      <c r="I2693" s="6"/>
      <c r="J2693" s="6"/>
      <c r="K2693" s="6"/>
      <c r="L2693" s="6"/>
      <c r="M2693" s="6"/>
      <c r="N2693" s="6"/>
      <c r="O2693" s="6"/>
      <c r="P2693" s="6"/>
      <c r="Q2693" s="6"/>
      <c r="R2693" s="6"/>
      <c r="S2693" s="6"/>
      <c r="T2693" s="6"/>
      <c r="U2693" s="6"/>
      <c r="V2693" s="6"/>
      <c r="W2693" s="6"/>
      <c r="X2693" s="6"/>
      <c r="Y2693" s="6"/>
      <c r="Z2693" s="6"/>
    </row>
    <row r="2694" customFormat="false" ht="15" hidden="false" customHeight="false" outlineLevel="0" collapsed="false">
      <c r="A2694" s="9" t="s">
        <v>8537</v>
      </c>
      <c r="B2694" s="9" t="s">
        <v>5870</v>
      </c>
      <c r="C2694" s="9" t="s">
        <v>2937</v>
      </c>
      <c r="D2694" s="9" t="s">
        <v>5871</v>
      </c>
      <c r="E2694" s="9" t="str">
        <f aca="false">IF(AND('Formation Ledger'!A2673&lt;&gt;"",'Formation Ledger'!V2673=0),"PASS","FAIL")</f>
        <v>PASS</v>
      </c>
      <c r="F2694" s="9" t="s">
        <v>76</v>
      </c>
      <c r="G2694" s="6"/>
      <c r="H2694" s="6"/>
      <c r="I2694" s="6"/>
      <c r="J2694" s="6"/>
      <c r="K2694" s="6"/>
      <c r="L2694" s="6"/>
      <c r="M2694" s="6"/>
      <c r="N2694" s="6"/>
      <c r="O2694" s="6"/>
      <c r="P2694" s="6"/>
      <c r="Q2694" s="6"/>
      <c r="R2694" s="6"/>
      <c r="S2694" s="6"/>
      <c r="T2694" s="6"/>
      <c r="U2694" s="6"/>
      <c r="V2694" s="6"/>
      <c r="W2694" s="6"/>
      <c r="X2694" s="6"/>
      <c r="Y2694" s="6"/>
      <c r="Z2694" s="6"/>
    </row>
    <row r="2695" customFormat="false" ht="15" hidden="false" customHeight="false" outlineLevel="0" collapsed="false">
      <c r="A2695" s="9" t="s">
        <v>8538</v>
      </c>
      <c r="B2695" s="9" t="s">
        <v>5870</v>
      </c>
      <c r="C2695" s="9" t="s">
        <v>2938</v>
      </c>
      <c r="D2695" s="9" t="s">
        <v>5871</v>
      </c>
      <c r="E2695" s="9" t="str">
        <f aca="false">IF(AND('Formation Ledger'!A2674&lt;&gt;"",'Formation Ledger'!V2674=0),"PASS","FAIL")</f>
        <v>PASS</v>
      </c>
      <c r="F2695" s="9" t="s">
        <v>76</v>
      </c>
      <c r="G2695" s="6"/>
      <c r="H2695" s="6"/>
      <c r="I2695" s="6"/>
      <c r="J2695" s="6"/>
      <c r="K2695" s="6"/>
      <c r="L2695" s="6"/>
      <c r="M2695" s="6"/>
      <c r="N2695" s="6"/>
      <c r="O2695" s="6"/>
      <c r="P2695" s="6"/>
      <c r="Q2695" s="6"/>
      <c r="R2695" s="6"/>
      <c r="S2695" s="6"/>
      <c r="T2695" s="6"/>
      <c r="U2695" s="6"/>
      <c r="V2695" s="6"/>
      <c r="W2695" s="6"/>
      <c r="X2695" s="6"/>
      <c r="Y2695" s="6"/>
      <c r="Z2695" s="6"/>
    </row>
    <row r="2696" customFormat="false" ht="15" hidden="false" customHeight="false" outlineLevel="0" collapsed="false">
      <c r="A2696" s="9" t="s">
        <v>8539</v>
      </c>
      <c r="B2696" s="9" t="s">
        <v>5870</v>
      </c>
      <c r="C2696" s="9" t="s">
        <v>2939</v>
      </c>
      <c r="D2696" s="9" t="s">
        <v>5871</v>
      </c>
      <c r="E2696" s="9" t="str">
        <f aca="false">IF(AND('Formation Ledger'!A2675&lt;&gt;"",'Formation Ledger'!V2675=0),"PASS","FAIL")</f>
        <v>PASS</v>
      </c>
      <c r="F2696" s="9" t="s">
        <v>76</v>
      </c>
      <c r="G2696" s="6"/>
      <c r="H2696" s="6"/>
      <c r="I2696" s="6"/>
      <c r="J2696" s="6"/>
      <c r="K2696" s="6"/>
      <c r="L2696" s="6"/>
      <c r="M2696" s="6"/>
      <c r="N2696" s="6"/>
      <c r="O2696" s="6"/>
      <c r="P2696" s="6"/>
      <c r="Q2696" s="6"/>
      <c r="R2696" s="6"/>
      <c r="S2696" s="6"/>
      <c r="T2696" s="6"/>
      <c r="U2696" s="6"/>
      <c r="V2696" s="6"/>
      <c r="W2696" s="6"/>
      <c r="X2696" s="6"/>
      <c r="Y2696" s="6"/>
      <c r="Z2696" s="6"/>
    </row>
    <row r="2697" customFormat="false" ht="15" hidden="false" customHeight="false" outlineLevel="0" collapsed="false">
      <c r="A2697" s="9" t="s">
        <v>8540</v>
      </c>
      <c r="B2697" s="9" t="s">
        <v>5870</v>
      </c>
      <c r="C2697" s="9" t="s">
        <v>2940</v>
      </c>
      <c r="D2697" s="9" t="s">
        <v>5871</v>
      </c>
      <c r="E2697" s="9" t="str">
        <f aca="false">IF(AND('Formation Ledger'!A2676&lt;&gt;"",'Formation Ledger'!V2676=0),"PASS","FAIL")</f>
        <v>PASS</v>
      </c>
      <c r="F2697" s="9" t="s">
        <v>76</v>
      </c>
      <c r="G2697" s="6"/>
      <c r="H2697" s="6"/>
      <c r="I2697" s="6"/>
      <c r="J2697" s="6"/>
      <c r="K2697" s="6"/>
      <c r="L2697" s="6"/>
      <c r="M2697" s="6"/>
      <c r="N2697" s="6"/>
      <c r="O2697" s="6"/>
      <c r="P2697" s="6"/>
      <c r="Q2697" s="6"/>
      <c r="R2697" s="6"/>
      <c r="S2697" s="6"/>
      <c r="T2697" s="6"/>
      <c r="U2697" s="6"/>
      <c r="V2697" s="6"/>
      <c r="W2697" s="6"/>
      <c r="X2697" s="6"/>
      <c r="Y2697" s="6"/>
      <c r="Z2697" s="6"/>
    </row>
    <row r="2698" customFormat="false" ht="15" hidden="false" customHeight="false" outlineLevel="0" collapsed="false">
      <c r="A2698" s="9" t="s">
        <v>8541</v>
      </c>
      <c r="B2698" s="9" t="s">
        <v>5870</v>
      </c>
      <c r="C2698" s="9" t="s">
        <v>2941</v>
      </c>
      <c r="D2698" s="9" t="s">
        <v>5871</v>
      </c>
      <c r="E2698" s="9" t="str">
        <f aca="false">IF(AND('Formation Ledger'!A2677&lt;&gt;"",'Formation Ledger'!V2677=0),"PASS","FAIL")</f>
        <v>PASS</v>
      </c>
      <c r="F2698" s="9" t="s">
        <v>76</v>
      </c>
      <c r="G2698" s="6"/>
      <c r="H2698" s="6"/>
      <c r="I2698" s="6"/>
      <c r="J2698" s="6"/>
      <c r="K2698" s="6"/>
      <c r="L2698" s="6"/>
      <c r="M2698" s="6"/>
      <c r="N2698" s="6"/>
      <c r="O2698" s="6"/>
      <c r="P2698" s="6"/>
      <c r="Q2698" s="6"/>
      <c r="R2698" s="6"/>
      <c r="S2698" s="6"/>
      <c r="T2698" s="6"/>
      <c r="U2698" s="6"/>
      <c r="V2698" s="6"/>
      <c r="W2698" s="6"/>
      <c r="X2698" s="6"/>
      <c r="Y2698" s="6"/>
      <c r="Z2698" s="6"/>
    </row>
    <row r="2699" customFormat="false" ht="15" hidden="false" customHeight="false" outlineLevel="0" collapsed="false">
      <c r="A2699" s="9" t="s">
        <v>8542</v>
      </c>
      <c r="B2699" s="9" t="s">
        <v>5870</v>
      </c>
      <c r="C2699" s="9" t="s">
        <v>2942</v>
      </c>
      <c r="D2699" s="9" t="s">
        <v>5871</v>
      </c>
      <c r="E2699" s="9" t="str">
        <f aca="false">IF(AND('Formation Ledger'!A2678&lt;&gt;"",'Formation Ledger'!V2678=0),"PASS","FAIL")</f>
        <v>PASS</v>
      </c>
      <c r="F2699" s="9" t="s">
        <v>76</v>
      </c>
      <c r="G2699" s="6"/>
      <c r="H2699" s="6"/>
      <c r="I2699" s="6"/>
      <c r="J2699" s="6"/>
      <c r="K2699" s="6"/>
      <c r="L2699" s="6"/>
      <c r="M2699" s="6"/>
      <c r="N2699" s="6"/>
      <c r="O2699" s="6"/>
      <c r="P2699" s="6"/>
      <c r="Q2699" s="6"/>
      <c r="R2699" s="6"/>
      <c r="S2699" s="6"/>
      <c r="T2699" s="6"/>
      <c r="U2699" s="6"/>
      <c r="V2699" s="6"/>
      <c r="W2699" s="6"/>
      <c r="X2699" s="6"/>
      <c r="Y2699" s="6"/>
      <c r="Z2699" s="6"/>
    </row>
    <row r="2700" customFormat="false" ht="15" hidden="false" customHeight="false" outlineLevel="0" collapsed="false">
      <c r="A2700" s="9" t="s">
        <v>8543</v>
      </c>
      <c r="B2700" s="9" t="s">
        <v>5870</v>
      </c>
      <c r="C2700" s="9" t="s">
        <v>2943</v>
      </c>
      <c r="D2700" s="9" t="s">
        <v>5871</v>
      </c>
      <c r="E2700" s="9" t="str">
        <f aca="false">IF(AND('Formation Ledger'!A2679&lt;&gt;"",'Formation Ledger'!V2679=0),"PASS","FAIL")</f>
        <v>PASS</v>
      </c>
      <c r="F2700" s="9" t="s">
        <v>76</v>
      </c>
      <c r="G2700" s="6"/>
      <c r="H2700" s="6"/>
      <c r="I2700" s="6"/>
      <c r="J2700" s="6"/>
      <c r="K2700" s="6"/>
      <c r="L2700" s="6"/>
      <c r="M2700" s="6"/>
      <c r="N2700" s="6"/>
      <c r="O2700" s="6"/>
      <c r="P2700" s="6"/>
      <c r="Q2700" s="6"/>
      <c r="R2700" s="6"/>
      <c r="S2700" s="6"/>
      <c r="T2700" s="6"/>
      <c r="U2700" s="6"/>
      <c r="V2700" s="6"/>
      <c r="W2700" s="6"/>
      <c r="X2700" s="6"/>
      <c r="Y2700" s="6"/>
      <c r="Z2700" s="6"/>
    </row>
    <row r="2701" customFormat="false" ht="15" hidden="false" customHeight="false" outlineLevel="0" collapsed="false">
      <c r="A2701" s="9" t="s">
        <v>8544</v>
      </c>
      <c r="B2701" s="9" t="s">
        <v>5870</v>
      </c>
      <c r="C2701" s="9" t="s">
        <v>2944</v>
      </c>
      <c r="D2701" s="9" t="s">
        <v>5871</v>
      </c>
      <c r="E2701" s="9" t="str">
        <f aca="false">IF(AND('Formation Ledger'!A2680&lt;&gt;"",'Formation Ledger'!V2680=0),"PASS","FAIL")</f>
        <v>PASS</v>
      </c>
      <c r="F2701" s="9" t="s">
        <v>76</v>
      </c>
      <c r="G2701" s="6"/>
      <c r="H2701" s="6"/>
      <c r="I2701" s="6"/>
      <c r="J2701" s="6"/>
      <c r="K2701" s="6"/>
      <c r="L2701" s="6"/>
      <c r="M2701" s="6"/>
      <c r="N2701" s="6"/>
      <c r="O2701" s="6"/>
      <c r="P2701" s="6"/>
      <c r="Q2701" s="6"/>
      <c r="R2701" s="6"/>
      <c r="S2701" s="6"/>
      <c r="T2701" s="6"/>
      <c r="U2701" s="6"/>
      <c r="V2701" s="6"/>
      <c r="W2701" s="6"/>
      <c r="X2701" s="6"/>
      <c r="Y2701" s="6"/>
      <c r="Z2701" s="6"/>
    </row>
    <row r="2702" customFormat="false" ht="15" hidden="false" customHeight="false" outlineLevel="0" collapsed="false">
      <c r="A2702" s="9" t="s">
        <v>8545</v>
      </c>
      <c r="B2702" s="9" t="s">
        <v>5870</v>
      </c>
      <c r="C2702" s="9" t="s">
        <v>2945</v>
      </c>
      <c r="D2702" s="9" t="s">
        <v>5871</v>
      </c>
      <c r="E2702" s="9" t="str">
        <f aca="false">IF(AND('Formation Ledger'!A2681&lt;&gt;"",'Formation Ledger'!V2681=0),"PASS","FAIL")</f>
        <v>PASS</v>
      </c>
      <c r="F2702" s="9" t="s">
        <v>76</v>
      </c>
      <c r="G2702" s="6"/>
      <c r="H2702" s="6"/>
      <c r="I2702" s="6"/>
      <c r="J2702" s="6"/>
      <c r="K2702" s="6"/>
      <c r="L2702" s="6"/>
      <c r="M2702" s="6"/>
      <c r="N2702" s="6"/>
      <c r="O2702" s="6"/>
      <c r="P2702" s="6"/>
      <c r="Q2702" s="6"/>
      <c r="R2702" s="6"/>
      <c r="S2702" s="6"/>
      <c r="T2702" s="6"/>
      <c r="U2702" s="6"/>
      <c r="V2702" s="6"/>
      <c r="W2702" s="6"/>
      <c r="X2702" s="6"/>
      <c r="Y2702" s="6"/>
      <c r="Z2702" s="6"/>
    </row>
    <row r="2703" customFormat="false" ht="15" hidden="false" customHeight="false" outlineLevel="0" collapsed="false">
      <c r="A2703" s="9" t="s">
        <v>8546</v>
      </c>
      <c r="B2703" s="9" t="s">
        <v>5870</v>
      </c>
      <c r="C2703" s="9" t="s">
        <v>2946</v>
      </c>
      <c r="D2703" s="9" t="s">
        <v>5871</v>
      </c>
      <c r="E2703" s="9" t="str">
        <f aca="false">IF(AND('Formation Ledger'!A2682&lt;&gt;"",'Formation Ledger'!V2682=0),"PASS","FAIL")</f>
        <v>PASS</v>
      </c>
      <c r="F2703" s="9" t="s">
        <v>76</v>
      </c>
      <c r="G2703" s="6"/>
      <c r="H2703" s="6"/>
      <c r="I2703" s="6"/>
      <c r="J2703" s="6"/>
      <c r="K2703" s="6"/>
      <c r="L2703" s="6"/>
      <c r="M2703" s="6"/>
      <c r="N2703" s="6"/>
      <c r="O2703" s="6"/>
      <c r="P2703" s="6"/>
      <c r="Q2703" s="6"/>
      <c r="R2703" s="6"/>
      <c r="S2703" s="6"/>
      <c r="T2703" s="6"/>
      <c r="U2703" s="6"/>
      <c r="V2703" s="6"/>
      <c r="W2703" s="6"/>
      <c r="X2703" s="6"/>
      <c r="Y2703" s="6"/>
      <c r="Z2703" s="6"/>
    </row>
    <row r="2704" customFormat="false" ht="15" hidden="false" customHeight="false" outlineLevel="0" collapsed="false">
      <c r="A2704" s="9" t="s">
        <v>8547</v>
      </c>
      <c r="B2704" s="9" t="s">
        <v>5870</v>
      </c>
      <c r="C2704" s="9" t="s">
        <v>2947</v>
      </c>
      <c r="D2704" s="9" t="s">
        <v>5871</v>
      </c>
      <c r="E2704" s="9" t="str">
        <f aca="false">IF(AND('Formation Ledger'!A2683&lt;&gt;"",'Formation Ledger'!V2683=0),"PASS","FAIL")</f>
        <v>PASS</v>
      </c>
      <c r="F2704" s="9" t="s">
        <v>76</v>
      </c>
      <c r="G2704" s="6"/>
      <c r="H2704" s="6"/>
      <c r="I2704" s="6"/>
      <c r="J2704" s="6"/>
      <c r="K2704" s="6"/>
      <c r="L2704" s="6"/>
      <c r="M2704" s="6"/>
      <c r="N2704" s="6"/>
      <c r="O2704" s="6"/>
      <c r="P2704" s="6"/>
      <c r="Q2704" s="6"/>
      <c r="R2704" s="6"/>
      <c r="S2704" s="6"/>
      <c r="T2704" s="6"/>
      <c r="U2704" s="6"/>
      <c r="V2704" s="6"/>
      <c r="W2704" s="6"/>
      <c r="X2704" s="6"/>
      <c r="Y2704" s="6"/>
      <c r="Z2704" s="6"/>
    </row>
    <row r="2705" customFormat="false" ht="15" hidden="false" customHeight="false" outlineLevel="0" collapsed="false">
      <c r="A2705" s="9" t="s">
        <v>8548</v>
      </c>
      <c r="B2705" s="9" t="s">
        <v>5870</v>
      </c>
      <c r="C2705" s="9" t="s">
        <v>2948</v>
      </c>
      <c r="D2705" s="9" t="s">
        <v>5871</v>
      </c>
      <c r="E2705" s="9" t="str">
        <f aca="false">IF(AND('Formation Ledger'!A2684&lt;&gt;"",'Formation Ledger'!V2684=0),"PASS","FAIL")</f>
        <v>PASS</v>
      </c>
      <c r="F2705" s="9" t="s">
        <v>76</v>
      </c>
      <c r="G2705" s="6"/>
      <c r="H2705" s="6"/>
      <c r="I2705" s="6"/>
      <c r="J2705" s="6"/>
      <c r="K2705" s="6"/>
      <c r="L2705" s="6"/>
      <c r="M2705" s="6"/>
      <c r="N2705" s="6"/>
      <c r="O2705" s="6"/>
      <c r="P2705" s="6"/>
      <c r="Q2705" s="6"/>
      <c r="R2705" s="6"/>
      <c r="S2705" s="6"/>
      <c r="T2705" s="6"/>
      <c r="U2705" s="6"/>
      <c r="V2705" s="6"/>
      <c r="W2705" s="6"/>
      <c r="X2705" s="6"/>
      <c r="Y2705" s="6"/>
      <c r="Z2705" s="6"/>
    </row>
    <row r="2706" customFormat="false" ht="15" hidden="false" customHeight="false" outlineLevel="0" collapsed="false">
      <c r="A2706" s="9" t="s">
        <v>8549</v>
      </c>
      <c r="B2706" s="9" t="s">
        <v>5870</v>
      </c>
      <c r="C2706" s="9" t="s">
        <v>2949</v>
      </c>
      <c r="D2706" s="9" t="s">
        <v>5871</v>
      </c>
      <c r="E2706" s="9" t="str">
        <f aca="false">IF(AND('Formation Ledger'!A2685&lt;&gt;"",'Formation Ledger'!V2685=0),"PASS","FAIL")</f>
        <v>PASS</v>
      </c>
      <c r="F2706" s="9" t="s">
        <v>76</v>
      </c>
      <c r="G2706" s="6"/>
      <c r="H2706" s="6"/>
      <c r="I2706" s="6"/>
      <c r="J2706" s="6"/>
      <c r="K2706" s="6"/>
      <c r="L2706" s="6"/>
      <c r="M2706" s="6"/>
      <c r="N2706" s="6"/>
      <c r="O2706" s="6"/>
      <c r="P2706" s="6"/>
      <c r="Q2706" s="6"/>
      <c r="R2706" s="6"/>
      <c r="S2706" s="6"/>
      <c r="T2706" s="6"/>
      <c r="U2706" s="6"/>
      <c r="V2706" s="6"/>
      <c r="W2706" s="6"/>
      <c r="X2706" s="6"/>
      <c r="Y2706" s="6"/>
      <c r="Z2706" s="6"/>
    </row>
    <row r="2707" customFormat="false" ht="15" hidden="false" customHeight="false" outlineLevel="0" collapsed="false">
      <c r="A2707" s="9" t="s">
        <v>8550</v>
      </c>
      <c r="B2707" s="9" t="s">
        <v>5870</v>
      </c>
      <c r="C2707" s="9" t="s">
        <v>2950</v>
      </c>
      <c r="D2707" s="9" t="s">
        <v>5871</v>
      </c>
      <c r="E2707" s="9" t="str">
        <f aca="false">IF(AND('Formation Ledger'!A2686&lt;&gt;"",'Formation Ledger'!V2686=0),"PASS","FAIL")</f>
        <v>PASS</v>
      </c>
      <c r="F2707" s="9" t="s">
        <v>76</v>
      </c>
      <c r="G2707" s="6"/>
      <c r="H2707" s="6"/>
      <c r="I2707" s="6"/>
      <c r="J2707" s="6"/>
      <c r="K2707" s="6"/>
      <c r="L2707" s="6"/>
      <c r="M2707" s="6"/>
      <c r="N2707" s="6"/>
      <c r="O2707" s="6"/>
      <c r="P2707" s="6"/>
      <c r="Q2707" s="6"/>
      <c r="R2707" s="6"/>
      <c r="S2707" s="6"/>
      <c r="T2707" s="6"/>
      <c r="U2707" s="6"/>
      <c r="V2707" s="6"/>
      <c r="W2707" s="6"/>
      <c r="X2707" s="6"/>
      <c r="Y2707" s="6"/>
      <c r="Z2707" s="6"/>
    </row>
    <row r="2708" customFormat="false" ht="15" hidden="false" customHeight="false" outlineLevel="0" collapsed="false">
      <c r="A2708" s="9" t="s">
        <v>8551</v>
      </c>
      <c r="B2708" s="9" t="s">
        <v>5870</v>
      </c>
      <c r="C2708" s="9" t="s">
        <v>2951</v>
      </c>
      <c r="D2708" s="9" t="s">
        <v>5871</v>
      </c>
      <c r="E2708" s="9" t="str">
        <f aca="false">IF(AND('Formation Ledger'!A2687&lt;&gt;"",'Formation Ledger'!V2687=0),"PASS","FAIL")</f>
        <v>PASS</v>
      </c>
      <c r="F2708" s="9" t="s">
        <v>76</v>
      </c>
      <c r="G2708" s="6"/>
      <c r="H2708" s="6"/>
      <c r="I2708" s="6"/>
      <c r="J2708" s="6"/>
      <c r="K2708" s="6"/>
      <c r="L2708" s="6"/>
      <c r="M2708" s="6"/>
      <c r="N2708" s="6"/>
      <c r="O2708" s="6"/>
      <c r="P2708" s="6"/>
      <c r="Q2708" s="6"/>
      <c r="R2708" s="6"/>
      <c r="S2708" s="6"/>
      <c r="T2708" s="6"/>
      <c r="U2708" s="6"/>
      <c r="V2708" s="6"/>
      <c r="W2708" s="6"/>
      <c r="X2708" s="6"/>
      <c r="Y2708" s="6"/>
      <c r="Z2708" s="6"/>
    </row>
    <row r="2709" customFormat="false" ht="15" hidden="false" customHeight="false" outlineLevel="0" collapsed="false">
      <c r="A2709" s="9" t="s">
        <v>8552</v>
      </c>
      <c r="B2709" s="9" t="s">
        <v>5870</v>
      </c>
      <c r="C2709" s="9" t="s">
        <v>2952</v>
      </c>
      <c r="D2709" s="9" t="s">
        <v>5871</v>
      </c>
      <c r="E2709" s="9" t="str">
        <f aca="false">IF(AND('Formation Ledger'!A2688&lt;&gt;"",'Formation Ledger'!V2688=0),"PASS","FAIL")</f>
        <v>PASS</v>
      </c>
      <c r="F2709" s="9" t="s">
        <v>76</v>
      </c>
      <c r="G2709" s="6"/>
      <c r="H2709" s="6"/>
      <c r="I2709" s="6"/>
      <c r="J2709" s="6"/>
      <c r="K2709" s="6"/>
      <c r="L2709" s="6"/>
      <c r="M2709" s="6"/>
      <c r="N2709" s="6"/>
      <c r="O2709" s="6"/>
      <c r="P2709" s="6"/>
      <c r="Q2709" s="6"/>
      <c r="R2709" s="6"/>
      <c r="S2709" s="6"/>
      <c r="T2709" s="6"/>
      <c r="U2709" s="6"/>
      <c r="V2709" s="6"/>
      <c r="W2709" s="6"/>
      <c r="X2709" s="6"/>
      <c r="Y2709" s="6"/>
      <c r="Z2709" s="6"/>
    </row>
    <row r="2710" customFormat="false" ht="15" hidden="false" customHeight="false" outlineLevel="0" collapsed="false">
      <c r="A2710" s="9" t="s">
        <v>8553</v>
      </c>
      <c r="B2710" s="9" t="s">
        <v>5870</v>
      </c>
      <c r="C2710" s="9" t="s">
        <v>2953</v>
      </c>
      <c r="D2710" s="9" t="s">
        <v>5871</v>
      </c>
      <c r="E2710" s="9" t="str">
        <f aca="false">IF(AND('Formation Ledger'!A2689&lt;&gt;"",'Formation Ledger'!V2689=0),"PASS","FAIL")</f>
        <v>PASS</v>
      </c>
      <c r="F2710" s="9" t="s">
        <v>76</v>
      </c>
      <c r="G2710" s="6"/>
      <c r="H2710" s="6"/>
      <c r="I2710" s="6"/>
      <c r="J2710" s="6"/>
      <c r="K2710" s="6"/>
      <c r="L2710" s="6"/>
      <c r="M2710" s="6"/>
      <c r="N2710" s="6"/>
      <c r="O2710" s="6"/>
      <c r="P2710" s="6"/>
      <c r="Q2710" s="6"/>
      <c r="R2710" s="6"/>
      <c r="S2710" s="6"/>
      <c r="T2710" s="6"/>
      <c r="U2710" s="6"/>
      <c r="V2710" s="6"/>
      <c r="W2710" s="6"/>
      <c r="X2710" s="6"/>
      <c r="Y2710" s="6"/>
      <c r="Z2710" s="6"/>
    </row>
    <row r="2711" customFormat="false" ht="15" hidden="false" customHeight="false" outlineLevel="0" collapsed="false">
      <c r="A2711" s="9" t="s">
        <v>8554</v>
      </c>
      <c r="B2711" s="9" t="s">
        <v>5870</v>
      </c>
      <c r="C2711" s="9" t="s">
        <v>2954</v>
      </c>
      <c r="D2711" s="9" t="s">
        <v>5871</v>
      </c>
      <c r="E2711" s="9" t="str">
        <f aca="false">IF(AND('Formation Ledger'!A2690&lt;&gt;"",'Formation Ledger'!V2690=0),"PASS","FAIL")</f>
        <v>PASS</v>
      </c>
      <c r="F2711" s="9" t="s">
        <v>76</v>
      </c>
      <c r="G2711" s="6"/>
      <c r="H2711" s="6"/>
      <c r="I2711" s="6"/>
      <c r="J2711" s="6"/>
      <c r="K2711" s="6"/>
      <c r="L2711" s="6"/>
      <c r="M2711" s="6"/>
      <c r="N2711" s="6"/>
      <c r="O2711" s="6"/>
      <c r="P2711" s="6"/>
      <c r="Q2711" s="6"/>
      <c r="R2711" s="6"/>
      <c r="S2711" s="6"/>
      <c r="T2711" s="6"/>
      <c r="U2711" s="6"/>
      <c r="V2711" s="6"/>
      <c r="W2711" s="6"/>
      <c r="X2711" s="6"/>
      <c r="Y2711" s="6"/>
      <c r="Z2711" s="6"/>
    </row>
    <row r="2712" customFormat="false" ht="15" hidden="false" customHeight="false" outlineLevel="0" collapsed="false">
      <c r="A2712" s="9" t="s">
        <v>8555</v>
      </c>
      <c r="B2712" s="9" t="s">
        <v>5870</v>
      </c>
      <c r="C2712" s="9" t="s">
        <v>2955</v>
      </c>
      <c r="D2712" s="9" t="s">
        <v>5871</v>
      </c>
      <c r="E2712" s="9" t="str">
        <f aca="false">IF(AND('Formation Ledger'!A2691&lt;&gt;"",'Formation Ledger'!V2691=0),"PASS","FAIL")</f>
        <v>PASS</v>
      </c>
      <c r="F2712" s="9" t="s">
        <v>76</v>
      </c>
      <c r="G2712" s="6"/>
      <c r="H2712" s="6"/>
      <c r="I2712" s="6"/>
      <c r="J2712" s="6"/>
      <c r="K2712" s="6"/>
      <c r="L2712" s="6"/>
      <c r="M2712" s="6"/>
      <c r="N2712" s="6"/>
      <c r="O2712" s="6"/>
      <c r="P2712" s="6"/>
      <c r="Q2712" s="6"/>
      <c r="R2712" s="6"/>
      <c r="S2712" s="6"/>
      <c r="T2712" s="6"/>
      <c r="U2712" s="6"/>
      <c r="V2712" s="6"/>
      <c r="W2712" s="6"/>
      <c r="X2712" s="6"/>
      <c r="Y2712" s="6"/>
      <c r="Z2712" s="6"/>
    </row>
    <row r="2713" customFormat="false" ht="15" hidden="false" customHeight="false" outlineLevel="0" collapsed="false">
      <c r="A2713" s="9" t="s">
        <v>8556</v>
      </c>
      <c r="B2713" s="9" t="s">
        <v>5870</v>
      </c>
      <c r="C2713" s="9" t="s">
        <v>2956</v>
      </c>
      <c r="D2713" s="9" t="s">
        <v>5871</v>
      </c>
      <c r="E2713" s="9" t="str">
        <f aca="false">IF(AND('Formation Ledger'!A2692&lt;&gt;"",'Formation Ledger'!V2692=0),"PASS","FAIL")</f>
        <v>PASS</v>
      </c>
      <c r="F2713" s="9" t="s">
        <v>76</v>
      </c>
      <c r="G2713" s="6"/>
      <c r="H2713" s="6"/>
      <c r="I2713" s="6"/>
      <c r="J2713" s="6"/>
      <c r="K2713" s="6"/>
      <c r="L2713" s="6"/>
      <c r="M2713" s="6"/>
      <c r="N2713" s="6"/>
      <c r="O2713" s="6"/>
      <c r="P2713" s="6"/>
      <c r="Q2713" s="6"/>
      <c r="R2713" s="6"/>
      <c r="S2713" s="6"/>
      <c r="T2713" s="6"/>
      <c r="U2713" s="6"/>
      <c r="V2713" s="6"/>
      <c r="W2713" s="6"/>
      <c r="X2713" s="6"/>
      <c r="Y2713" s="6"/>
      <c r="Z2713" s="6"/>
    </row>
    <row r="2714" customFormat="false" ht="15" hidden="false" customHeight="false" outlineLevel="0" collapsed="false">
      <c r="A2714" s="9" t="s">
        <v>8557</v>
      </c>
      <c r="B2714" s="9" t="s">
        <v>5870</v>
      </c>
      <c r="C2714" s="9" t="s">
        <v>2957</v>
      </c>
      <c r="D2714" s="9" t="s">
        <v>5871</v>
      </c>
      <c r="E2714" s="9" t="str">
        <f aca="false">IF(AND('Formation Ledger'!A2693&lt;&gt;"",'Formation Ledger'!V2693=0),"PASS","FAIL")</f>
        <v>PASS</v>
      </c>
      <c r="F2714" s="9" t="s">
        <v>76</v>
      </c>
      <c r="G2714" s="6"/>
      <c r="H2714" s="6"/>
      <c r="I2714" s="6"/>
      <c r="J2714" s="6"/>
      <c r="K2714" s="6"/>
      <c r="L2714" s="6"/>
      <c r="M2714" s="6"/>
      <c r="N2714" s="6"/>
      <c r="O2714" s="6"/>
      <c r="P2714" s="6"/>
      <c r="Q2714" s="6"/>
      <c r="R2714" s="6"/>
      <c r="S2714" s="6"/>
      <c r="T2714" s="6"/>
      <c r="U2714" s="6"/>
      <c r="V2714" s="6"/>
      <c r="W2714" s="6"/>
      <c r="X2714" s="6"/>
      <c r="Y2714" s="6"/>
      <c r="Z2714" s="6"/>
    </row>
    <row r="2715" customFormat="false" ht="15" hidden="false" customHeight="false" outlineLevel="0" collapsed="false">
      <c r="A2715" s="9" t="s">
        <v>8558</v>
      </c>
      <c r="B2715" s="9" t="s">
        <v>5870</v>
      </c>
      <c r="C2715" s="9" t="s">
        <v>2958</v>
      </c>
      <c r="D2715" s="9" t="s">
        <v>5871</v>
      </c>
      <c r="E2715" s="9" t="str">
        <f aca="false">IF(AND('Formation Ledger'!A2694&lt;&gt;"",'Formation Ledger'!V2694=0),"PASS","FAIL")</f>
        <v>PASS</v>
      </c>
      <c r="F2715" s="9" t="s">
        <v>76</v>
      </c>
      <c r="G2715" s="6"/>
      <c r="H2715" s="6"/>
      <c r="I2715" s="6"/>
      <c r="J2715" s="6"/>
      <c r="K2715" s="6"/>
      <c r="L2715" s="6"/>
      <c r="M2715" s="6"/>
      <c r="N2715" s="6"/>
      <c r="O2715" s="6"/>
      <c r="P2715" s="6"/>
      <c r="Q2715" s="6"/>
      <c r="R2715" s="6"/>
      <c r="S2715" s="6"/>
      <c r="T2715" s="6"/>
      <c r="U2715" s="6"/>
      <c r="V2715" s="6"/>
      <c r="W2715" s="6"/>
      <c r="X2715" s="6"/>
      <c r="Y2715" s="6"/>
      <c r="Z2715" s="6"/>
    </row>
    <row r="2716" customFormat="false" ht="15" hidden="false" customHeight="false" outlineLevel="0" collapsed="false">
      <c r="A2716" s="9" t="s">
        <v>8559</v>
      </c>
      <c r="B2716" s="9" t="s">
        <v>5870</v>
      </c>
      <c r="C2716" s="9" t="s">
        <v>2959</v>
      </c>
      <c r="D2716" s="9" t="s">
        <v>5871</v>
      </c>
      <c r="E2716" s="9" t="str">
        <f aca="false">IF(AND('Formation Ledger'!A2695&lt;&gt;"",'Formation Ledger'!V2695=0),"PASS","FAIL")</f>
        <v>PASS</v>
      </c>
      <c r="F2716" s="9" t="s">
        <v>76</v>
      </c>
      <c r="G2716" s="6"/>
      <c r="H2716" s="6"/>
      <c r="I2716" s="6"/>
      <c r="J2716" s="6"/>
      <c r="K2716" s="6"/>
      <c r="L2716" s="6"/>
      <c r="M2716" s="6"/>
      <c r="N2716" s="6"/>
      <c r="O2716" s="6"/>
      <c r="P2716" s="6"/>
      <c r="Q2716" s="6"/>
      <c r="R2716" s="6"/>
      <c r="S2716" s="6"/>
      <c r="T2716" s="6"/>
      <c r="U2716" s="6"/>
      <c r="V2716" s="6"/>
      <c r="W2716" s="6"/>
      <c r="X2716" s="6"/>
      <c r="Y2716" s="6"/>
      <c r="Z2716" s="6"/>
    </row>
    <row r="2717" customFormat="false" ht="15" hidden="false" customHeight="false" outlineLevel="0" collapsed="false">
      <c r="A2717" s="9" t="s">
        <v>8560</v>
      </c>
      <c r="B2717" s="9" t="s">
        <v>5870</v>
      </c>
      <c r="C2717" s="9" t="s">
        <v>2960</v>
      </c>
      <c r="D2717" s="9" t="s">
        <v>5871</v>
      </c>
      <c r="E2717" s="9" t="str">
        <f aca="false">IF(AND('Formation Ledger'!A2696&lt;&gt;"",'Formation Ledger'!V2696=0),"PASS","FAIL")</f>
        <v>PASS</v>
      </c>
      <c r="F2717" s="9" t="s">
        <v>76</v>
      </c>
      <c r="G2717" s="6"/>
      <c r="H2717" s="6"/>
      <c r="I2717" s="6"/>
      <c r="J2717" s="6"/>
      <c r="K2717" s="6"/>
      <c r="L2717" s="6"/>
      <c r="M2717" s="6"/>
      <c r="N2717" s="6"/>
      <c r="O2717" s="6"/>
      <c r="P2717" s="6"/>
      <c r="Q2717" s="6"/>
      <c r="R2717" s="6"/>
      <c r="S2717" s="6"/>
      <c r="T2717" s="6"/>
      <c r="U2717" s="6"/>
      <c r="V2717" s="6"/>
      <c r="W2717" s="6"/>
      <c r="X2717" s="6"/>
      <c r="Y2717" s="6"/>
      <c r="Z2717" s="6"/>
    </row>
    <row r="2718" customFormat="false" ht="15" hidden="false" customHeight="false" outlineLevel="0" collapsed="false">
      <c r="A2718" s="9" t="s">
        <v>8561</v>
      </c>
      <c r="B2718" s="9" t="s">
        <v>5870</v>
      </c>
      <c r="C2718" s="9" t="s">
        <v>2961</v>
      </c>
      <c r="D2718" s="9" t="s">
        <v>5871</v>
      </c>
      <c r="E2718" s="9" t="str">
        <f aca="false">IF(AND('Formation Ledger'!A2697&lt;&gt;"",'Formation Ledger'!V2697=0),"PASS","FAIL")</f>
        <v>PASS</v>
      </c>
      <c r="F2718" s="9" t="s">
        <v>76</v>
      </c>
      <c r="G2718" s="6"/>
      <c r="H2718" s="6"/>
      <c r="I2718" s="6"/>
      <c r="J2718" s="6"/>
      <c r="K2718" s="6"/>
      <c r="L2718" s="6"/>
      <c r="M2718" s="6"/>
      <c r="N2718" s="6"/>
      <c r="O2718" s="6"/>
      <c r="P2718" s="6"/>
      <c r="Q2718" s="6"/>
      <c r="R2718" s="6"/>
      <c r="S2718" s="6"/>
      <c r="T2718" s="6"/>
      <c r="U2718" s="6"/>
      <c r="V2718" s="6"/>
      <c r="W2718" s="6"/>
      <c r="X2718" s="6"/>
      <c r="Y2718" s="6"/>
      <c r="Z2718" s="6"/>
    </row>
    <row r="2719" customFormat="false" ht="15" hidden="false" customHeight="false" outlineLevel="0" collapsed="false">
      <c r="A2719" s="9" t="s">
        <v>8562</v>
      </c>
      <c r="B2719" s="9" t="s">
        <v>5870</v>
      </c>
      <c r="C2719" s="9" t="s">
        <v>2962</v>
      </c>
      <c r="D2719" s="9" t="s">
        <v>5871</v>
      </c>
      <c r="E2719" s="9" t="str">
        <f aca="false">IF(AND('Formation Ledger'!A2698&lt;&gt;"",'Formation Ledger'!V2698=0),"PASS","FAIL")</f>
        <v>PASS</v>
      </c>
      <c r="F2719" s="9" t="s">
        <v>76</v>
      </c>
      <c r="G2719" s="6"/>
      <c r="H2719" s="6"/>
      <c r="I2719" s="6"/>
      <c r="J2719" s="6"/>
      <c r="K2719" s="6"/>
      <c r="L2719" s="6"/>
      <c r="M2719" s="6"/>
      <c r="N2719" s="6"/>
      <c r="O2719" s="6"/>
      <c r="P2719" s="6"/>
      <c r="Q2719" s="6"/>
      <c r="R2719" s="6"/>
      <c r="S2719" s="6"/>
      <c r="T2719" s="6"/>
      <c r="U2719" s="6"/>
      <c r="V2719" s="6"/>
      <c r="W2719" s="6"/>
      <c r="X2719" s="6"/>
      <c r="Y2719" s="6"/>
      <c r="Z2719" s="6"/>
    </row>
    <row r="2720" customFormat="false" ht="15" hidden="false" customHeight="false" outlineLevel="0" collapsed="false">
      <c r="A2720" s="9" t="s">
        <v>8563</v>
      </c>
      <c r="B2720" s="9" t="s">
        <v>5870</v>
      </c>
      <c r="C2720" s="9" t="s">
        <v>2963</v>
      </c>
      <c r="D2720" s="9" t="s">
        <v>5871</v>
      </c>
      <c r="E2720" s="9" t="str">
        <f aca="false">IF(AND('Formation Ledger'!A2699&lt;&gt;"",'Formation Ledger'!V2699=0),"PASS","FAIL")</f>
        <v>PASS</v>
      </c>
      <c r="F2720" s="9" t="s">
        <v>76</v>
      </c>
      <c r="G2720" s="6"/>
      <c r="H2720" s="6"/>
      <c r="I2720" s="6"/>
      <c r="J2720" s="6"/>
      <c r="K2720" s="6"/>
      <c r="L2720" s="6"/>
      <c r="M2720" s="6"/>
      <c r="N2720" s="6"/>
      <c r="O2720" s="6"/>
      <c r="P2720" s="6"/>
      <c r="Q2720" s="6"/>
      <c r="R2720" s="6"/>
      <c r="S2720" s="6"/>
      <c r="T2720" s="6"/>
      <c r="U2720" s="6"/>
      <c r="V2720" s="6"/>
      <c r="W2720" s="6"/>
      <c r="X2720" s="6"/>
      <c r="Y2720" s="6"/>
      <c r="Z2720" s="6"/>
    </row>
    <row r="2721" customFormat="false" ht="15" hidden="false" customHeight="false" outlineLevel="0" collapsed="false">
      <c r="A2721" s="9" t="s">
        <v>8564</v>
      </c>
      <c r="B2721" s="9" t="s">
        <v>5870</v>
      </c>
      <c r="C2721" s="9" t="s">
        <v>2964</v>
      </c>
      <c r="D2721" s="9" t="s">
        <v>5871</v>
      </c>
      <c r="E2721" s="9" t="str">
        <f aca="false">IF(AND('Formation Ledger'!A2700&lt;&gt;"",'Formation Ledger'!V2700=0),"PASS","FAIL")</f>
        <v>PASS</v>
      </c>
      <c r="F2721" s="9" t="s">
        <v>76</v>
      </c>
      <c r="G2721" s="6"/>
      <c r="H2721" s="6"/>
      <c r="I2721" s="6"/>
      <c r="J2721" s="6"/>
      <c r="K2721" s="6"/>
      <c r="L2721" s="6"/>
      <c r="M2721" s="6"/>
      <c r="N2721" s="6"/>
      <c r="O2721" s="6"/>
      <c r="P2721" s="6"/>
      <c r="Q2721" s="6"/>
      <c r="R2721" s="6"/>
      <c r="S2721" s="6"/>
      <c r="T2721" s="6"/>
      <c r="U2721" s="6"/>
      <c r="V2721" s="6"/>
      <c r="W2721" s="6"/>
      <c r="X2721" s="6"/>
      <c r="Y2721" s="6"/>
      <c r="Z2721" s="6"/>
    </row>
    <row r="2722" customFormat="false" ht="15" hidden="false" customHeight="false" outlineLevel="0" collapsed="false">
      <c r="A2722" s="9" t="s">
        <v>8565</v>
      </c>
      <c r="B2722" s="9" t="s">
        <v>5870</v>
      </c>
      <c r="C2722" s="9" t="s">
        <v>2965</v>
      </c>
      <c r="D2722" s="9" t="s">
        <v>5871</v>
      </c>
      <c r="E2722" s="9" t="str">
        <f aca="false">IF(AND('Formation Ledger'!A2701&lt;&gt;"",'Formation Ledger'!V2701=0),"PASS","FAIL")</f>
        <v>PASS</v>
      </c>
      <c r="F2722" s="9" t="s">
        <v>76</v>
      </c>
      <c r="G2722" s="6"/>
      <c r="H2722" s="6"/>
      <c r="I2722" s="6"/>
      <c r="J2722" s="6"/>
      <c r="K2722" s="6"/>
      <c r="L2722" s="6"/>
      <c r="M2722" s="6"/>
      <c r="N2722" s="6"/>
      <c r="O2722" s="6"/>
      <c r="P2722" s="6"/>
      <c r="Q2722" s="6"/>
      <c r="R2722" s="6"/>
      <c r="S2722" s="6"/>
      <c r="T2722" s="6"/>
      <c r="U2722" s="6"/>
      <c r="V2722" s="6"/>
      <c r="W2722" s="6"/>
      <c r="X2722" s="6"/>
      <c r="Y2722" s="6"/>
      <c r="Z2722" s="6"/>
    </row>
    <row r="2723" customFormat="false" ht="15" hidden="false" customHeight="false" outlineLevel="0" collapsed="false">
      <c r="A2723" s="9" t="s">
        <v>8566</v>
      </c>
      <c r="B2723" s="9" t="s">
        <v>5870</v>
      </c>
      <c r="C2723" s="9" t="s">
        <v>2966</v>
      </c>
      <c r="D2723" s="9" t="s">
        <v>5871</v>
      </c>
      <c r="E2723" s="9" t="str">
        <f aca="false">IF(AND('Formation Ledger'!A2702&lt;&gt;"",'Formation Ledger'!V2702=0),"PASS","FAIL")</f>
        <v>PASS</v>
      </c>
      <c r="F2723" s="9" t="s">
        <v>76</v>
      </c>
      <c r="G2723" s="6"/>
      <c r="H2723" s="6"/>
      <c r="I2723" s="6"/>
      <c r="J2723" s="6"/>
      <c r="K2723" s="6"/>
      <c r="L2723" s="6"/>
      <c r="M2723" s="6"/>
      <c r="N2723" s="6"/>
      <c r="O2723" s="6"/>
      <c r="P2723" s="6"/>
      <c r="Q2723" s="6"/>
      <c r="R2723" s="6"/>
      <c r="S2723" s="6"/>
      <c r="T2723" s="6"/>
      <c r="U2723" s="6"/>
      <c r="V2723" s="6"/>
      <c r="W2723" s="6"/>
      <c r="X2723" s="6"/>
      <c r="Y2723" s="6"/>
      <c r="Z2723" s="6"/>
    </row>
    <row r="2724" customFormat="false" ht="15" hidden="false" customHeight="false" outlineLevel="0" collapsed="false">
      <c r="A2724" s="9" t="s">
        <v>8567</v>
      </c>
      <c r="B2724" s="9" t="s">
        <v>5870</v>
      </c>
      <c r="C2724" s="9" t="s">
        <v>2967</v>
      </c>
      <c r="D2724" s="9" t="s">
        <v>5871</v>
      </c>
      <c r="E2724" s="9" t="str">
        <f aca="false">IF(AND('Formation Ledger'!A2703&lt;&gt;"",'Formation Ledger'!V2703=0),"PASS","FAIL")</f>
        <v>PASS</v>
      </c>
      <c r="F2724" s="9" t="s">
        <v>76</v>
      </c>
      <c r="G2724" s="6"/>
      <c r="H2724" s="6"/>
      <c r="I2724" s="6"/>
      <c r="J2724" s="6"/>
      <c r="K2724" s="6"/>
      <c r="L2724" s="6"/>
      <c r="M2724" s="6"/>
      <c r="N2724" s="6"/>
      <c r="O2724" s="6"/>
      <c r="P2724" s="6"/>
      <c r="Q2724" s="6"/>
      <c r="R2724" s="6"/>
      <c r="S2724" s="6"/>
      <c r="T2724" s="6"/>
      <c r="U2724" s="6"/>
      <c r="V2724" s="6"/>
      <c r="W2724" s="6"/>
      <c r="X2724" s="6"/>
      <c r="Y2724" s="6"/>
      <c r="Z2724" s="6"/>
    </row>
    <row r="2725" customFormat="false" ht="15" hidden="false" customHeight="false" outlineLevel="0" collapsed="false">
      <c r="A2725" s="9" t="s">
        <v>8568</v>
      </c>
      <c r="B2725" s="9" t="s">
        <v>5870</v>
      </c>
      <c r="C2725" s="9" t="s">
        <v>2968</v>
      </c>
      <c r="D2725" s="9" t="s">
        <v>5871</v>
      </c>
      <c r="E2725" s="9" t="str">
        <f aca="false">IF(AND('Formation Ledger'!A2704&lt;&gt;"",'Formation Ledger'!V2704=0),"PASS","FAIL")</f>
        <v>PASS</v>
      </c>
      <c r="F2725" s="9" t="s">
        <v>76</v>
      </c>
      <c r="G2725" s="6"/>
      <c r="H2725" s="6"/>
      <c r="I2725" s="6"/>
      <c r="J2725" s="6"/>
      <c r="K2725" s="6"/>
      <c r="L2725" s="6"/>
      <c r="M2725" s="6"/>
      <c r="N2725" s="6"/>
      <c r="O2725" s="6"/>
      <c r="P2725" s="6"/>
      <c r="Q2725" s="6"/>
      <c r="R2725" s="6"/>
      <c r="S2725" s="6"/>
      <c r="T2725" s="6"/>
      <c r="U2725" s="6"/>
      <c r="V2725" s="6"/>
      <c r="W2725" s="6"/>
      <c r="X2725" s="6"/>
      <c r="Y2725" s="6"/>
      <c r="Z2725" s="6"/>
    </row>
    <row r="2726" customFormat="false" ht="15" hidden="false" customHeight="false" outlineLevel="0" collapsed="false">
      <c r="A2726" s="9" t="s">
        <v>8569</v>
      </c>
      <c r="B2726" s="9" t="s">
        <v>5870</v>
      </c>
      <c r="C2726" s="9" t="s">
        <v>2972</v>
      </c>
      <c r="D2726" s="9" t="s">
        <v>5871</v>
      </c>
      <c r="E2726" s="9" t="str">
        <f aca="false">IF(AND('Formation Ledger'!A2705&lt;&gt;"",'Formation Ledger'!V2705=0),"PASS","FAIL")</f>
        <v>PASS</v>
      </c>
      <c r="F2726" s="9" t="s">
        <v>76</v>
      </c>
      <c r="G2726" s="6"/>
      <c r="H2726" s="6"/>
      <c r="I2726" s="6"/>
      <c r="J2726" s="6"/>
      <c r="K2726" s="6"/>
      <c r="L2726" s="6"/>
      <c r="M2726" s="6"/>
      <c r="N2726" s="6"/>
      <c r="O2726" s="6"/>
      <c r="P2726" s="6"/>
      <c r="Q2726" s="6"/>
      <c r="R2726" s="6"/>
      <c r="S2726" s="6"/>
      <c r="T2726" s="6"/>
      <c r="U2726" s="6"/>
      <c r="V2726" s="6"/>
      <c r="W2726" s="6"/>
      <c r="X2726" s="6"/>
      <c r="Y2726" s="6"/>
      <c r="Z2726" s="6"/>
    </row>
    <row r="2727" customFormat="false" ht="15" hidden="false" customHeight="false" outlineLevel="0" collapsed="false">
      <c r="A2727" s="9" t="s">
        <v>8570</v>
      </c>
      <c r="B2727" s="9" t="s">
        <v>5870</v>
      </c>
      <c r="C2727" s="9" t="s">
        <v>2973</v>
      </c>
      <c r="D2727" s="9" t="s">
        <v>5871</v>
      </c>
      <c r="E2727" s="9" t="str">
        <f aca="false">IF(AND('Formation Ledger'!A2706&lt;&gt;"",'Formation Ledger'!V2706=0),"PASS","FAIL")</f>
        <v>PASS</v>
      </c>
      <c r="F2727" s="9" t="s">
        <v>76</v>
      </c>
      <c r="G2727" s="6"/>
      <c r="H2727" s="6"/>
      <c r="I2727" s="6"/>
      <c r="J2727" s="6"/>
      <c r="K2727" s="6"/>
      <c r="L2727" s="6"/>
      <c r="M2727" s="6"/>
      <c r="N2727" s="6"/>
      <c r="O2727" s="6"/>
      <c r="P2727" s="6"/>
      <c r="Q2727" s="6"/>
      <c r="R2727" s="6"/>
      <c r="S2727" s="6"/>
      <c r="T2727" s="6"/>
      <c r="U2727" s="6"/>
      <c r="V2727" s="6"/>
      <c r="W2727" s="6"/>
      <c r="X2727" s="6"/>
      <c r="Y2727" s="6"/>
      <c r="Z2727" s="6"/>
    </row>
    <row r="2728" customFormat="false" ht="15" hidden="false" customHeight="false" outlineLevel="0" collapsed="false">
      <c r="A2728" s="9" t="s">
        <v>8571</v>
      </c>
      <c r="B2728" s="9" t="s">
        <v>5870</v>
      </c>
      <c r="C2728" s="9" t="s">
        <v>2974</v>
      </c>
      <c r="D2728" s="9" t="s">
        <v>5871</v>
      </c>
      <c r="E2728" s="9" t="str">
        <f aca="false">IF(AND('Formation Ledger'!A2707&lt;&gt;"",'Formation Ledger'!V2707=0),"PASS","FAIL")</f>
        <v>PASS</v>
      </c>
      <c r="F2728" s="9" t="s">
        <v>76</v>
      </c>
      <c r="G2728" s="6"/>
      <c r="H2728" s="6"/>
      <c r="I2728" s="6"/>
      <c r="J2728" s="6"/>
      <c r="K2728" s="6"/>
      <c r="L2728" s="6"/>
      <c r="M2728" s="6"/>
      <c r="N2728" s="6"/>
      <c r="O2728" s="6"/>
      <c r="P2728" s="6"/>
      <c r="Q2728" s="6"/>
      <c r="R2728" s="6"/>
      <c r="S2728" s="6"/>
      <c r="T2728" s="6"/>
      <c r="U2728" s="6"/>
      <c r="V2728" s="6"/>
      <c r="W2728" s="6"/>
      <c r="X2728" s="6"/>
      <c r="Y2728" s="6"/>
      <c r="Z2728" s="6"/>
    </row>
    <row r="2729" customFormat="false" ht="15" hidden="false" customHeight="false" outlineLevel="0" collapsed="false">
      <c r="A2729" s="9" t="s">
        <v>8572</v>
      </c>
      <c r="B2729" s="9" t="s">
        <v>5870</v>
      </c>
      <c r="C2729" s="9" t="s">
        <v>2975</v>
      </c>
      <c r="D2729" s="9" t="s">
        <v>5871</v>
      </c>
      <c r="E2729" s="9" t="str">
        <f aca="false">IF(AND('Formation Ledger'!A2708&lt;&gt;"",'Formation Ledger'!V2708=0),"PASS","FAIL")</f>
        <v>PASS</v>
      </c>
      <c r="F2729" s="9" t="s">
        <v>76</v>
      </c>
      <c r="G2729" s="6"/>
      <c r="H2729" s="6"/>
      <c r="I2729" s="6"/>
      <c r="J2729" s="6"/>
      <c r="K2729" s="6"/>
      <c r="L2729" s="6"/>
      <c r="M2729" s="6"/>
      <c r="N2729" s="6"/>
      <c r="O2729" s="6"/>
      <c r="P2729" s="6"/>
      <c r="Q2729" s="6"/>
      <c r="R2729" s="6"/>
      <c r="S2729" s="6"/>
      <c r="T2729" s="6"/>
      <c r="U2729" s="6"/>
      <c r="V2729" s="6"/>
      <c r="W2729" s="6"/>
      <c r="X2729" s="6"/>
      <c r="Y2729" s="6"/>
      <c r="Z2729" s="6"/>
    </row>
    <row r="2730" customFormat="false" ht="15" hidden="false" customHeight="false" outlineLevel="0" collapsed="false">
      <c r="A2730" s="9" t="s">
        <v>8573</v>
      </c>
      <c r="B2730" s="9" t="s">
        <v>5870</v>
      </c>
      <c r="C2730" s="9" t="s">
        <v>2976</v>
      </c>
      <c r="D2730" s="9" t="s">
        <v>5871</v>
      </c>
      <c r="E2730" s="9" t="str">
        <f aca="false">IF(AND('Formation Ledger'!A2709&lt;&gt;"",'Formation Ledger'!V2709=0),"PASS","FAIL")</f>
        <v>PASS</v>
      </c>
      <c r="F2730" s="9" t="s">
        <v>76</v>
      </c>
      <c r="G2730" s="6"/>
      <c r="H2730" s="6"/>
      <c r="I2730" s="6"/>
      <c r="J2730" s="6"/>
      <c r="K2730" s="6"/>
      <c r="L2730" s="6"/>
      <c r="M2730" s="6"/>
      <c r="N2730" s="6"/>
      <c r="O2730" s="6"/>
      <c r="P2730" s="6"/>
      <c r="Q2730" s="6"/>
      <c r="R2730" s="6"/>
      <c r="S2730" s="6"/>
      <c r="T2730" s="6"/>
      <c r="U2730" s="6"/>
      <c r="V2730" s="6"/>
      <c r="W2730" s="6"/>
      <c r="X2730" s="6"/>
      <c r="Y2730" s="6"/>
      <c r="Z2730" s="6"/>
    </row>
    <row r="2731" customFormat="false" ht="15" hidden="false" customHeight="false" outlineLevel="0" collapsed="false">
      <c r="A2731" s="9" t="s">
        <v>8574</v>
      </c>
      <c r="B2731" s="9" t="s">
        <v>5870</v>
      </c>
      <c r="C2731" s="9" t="s">
        <v>2977</v>
      </c>
      <c r="D2731" s="9" t="s">
        <v>5871</v>
      </c>
      <c r="E2731" s="9" t="str">
        <f aca="false">IF(AND('Formation Ledger'!A2710&lt;&gt;"",'Formation Ledger'!V2710=0),"PASS","FAIL")</f>
        <v>PASS</v>
      </c>
      <c r="F2731" s="9" t="s">
        <v>76</v>
      </c>
      <c r="G2731" s="6"/>
      <c r="H2731" s="6"/>
      <c r="I2731" s="6"/>
      <c r="J2731" s="6"/>
      <c r="K2731" s="6"/>
      <c r="L2731" s="6"/>
      <c r="M2731" s="6"/>
      <c r="N2731" s="6"/>
      <c r="O2731" s="6"/>
      <c r="P2731" s="6"/>
      <c r="Q2731" s="6"/>
      <c r="R2731" s="6"/>
      <c r="S2731" s="6"/>
      <c r="T2731" s="6"/>
      <c r="U2731" s="6"/>
      <c r="V2731" s="6"/>
      <c r="W2731" s="6"/>
      <c r="X2731" s="6"/>
      <c r="Y2731" s="6"/>
      <c r="Z2731" s="6"/>
    </row>
    <row r="2732" customFormat="false" ht="15" hidden="false" customHeight="false" outlineLevel="0" collapsed="false">
      <c r="A2732" s="9" t="s">
        <v>8575</v>
      </c>
      <c r="B2732" s="9" t="s">
        <v>5870</v>
      </c>
      <c r="C2732" s="9" t="s">
        <v>2978</v>
      </c>
      <c r="D2732" s="9" t="s">
        <v>5871</v>
      </c>
      <c r="E2732" s="9" t="str">
        <f aca="false">IF(AND('Formation Ledger'!A2711&lt;&gt;"",'Formation Ledger'!V2711=0),"PASS","FAIL")</f>
        <v>PASS</v>
      </c>
      <c r="F2732" s="9" t="s">
        <v>76</v>
      </c>
      <c r="G2732" s="6"/>
      <c r="H2732" s="6"/>
      <c r="I2732" s="6"/>
      <c r="J2732" s="6"/>
      <c r="K2732" s="6"/>
      <c r="L2732" s="6"/>
      <c r="M2732" s="6"/>
      <c r="N2732" s="6"/>
      <c r="O2732" s="6"/>
      <c r="P2732" s="6"/>
      <c r="Q2732" s="6"/>
      <c r="R2732" s="6"/>
      <c r="S2732" s="6"/>
      <c r="T2732" s="6"/>
      <c r="U2732" s="6"/>
      <c r="V2732" s="6"/>
      <c r="W2732" s="6"/>
      <c r="X2732" s="6"/>
      <c r="Y2732" s="6"/>
      <c r="Z2732" s="6"/>
    </row>
    <row r="2733" customFormat="false" ht="15" hidden="false" customHeight="false" outlineLevel="0" collapsed="false">
      <c r="A2733" s="9" t="s">
        <v>8576</v>
      </c>
      <c r="B2733" s="9" t="s">
        <v>5870</v>
      </c>
      <c r="C2733" s="9" t="s">
        <v>2979</v>
      </c>
      <c r="D2733" s="9" t="s">
        <v>5871</v>
      </c>
      <c r="E2733" s="9" t="str">
        <f aca="false">IF(AND('Formation Ledger'!A2712&lt;&gt;"",'Formation Ledger'!V2712=0),"PASS","FAIL")</f>
        <v>PASS</v>
      </c>
      <c r="F2733" s="9" t="s">
        <v>76</v>
      </c>
      <c r="G2733" s="6"/>
      <c r="H2733" s="6"/>
      <c r="I2733" s="6"/>
      <c r="J2733" s="6"/>
      <c r="K2733" s="6"/>
      <c r="L2733" s="6"/>
      <c r="M2733" s="6"/>
      <c r="N2733" s="6"/>
      <c r="O2733" s="6"/>
      <c r="P2733" s="6"/>
      <c r="Q2733" s="6"/>
      <c r="R2733" s="6"/>
      <c r="S2733" s="6"/>
      <c r="T2733" s="6"/>
      <c r="U2733" s="6"/>
      <c r="V2733" s="6"/>
      <c r="W2733" s="6"/>
      <c r="X2733" s="6"/>
      <c r="Y2733" s="6"/>
      <c r="Z2733" s="6"/>
    </row>
    <row r="2734" customFormat="false" ht="15" hidden="false" customHeight="false" outlineLevel="0" collapsed="false">
      <c r="A2734" s="9" t="s">
        <v>8577</v>
      </c>
      <c r="B2734" s="9" t="s">
        <v>5870</v>
      </c>
      <c r="C2734" s="9" t="s">
        <v>2980</v>
      </c>
      <c r="D2734" s="9" t="s">
        <v>5871</v>
      </c>
      <c r="E2734" s="9" t="str">
        <f aca="false">IF(AND('Formation Ledger'!A2713&lt;&gt;"",'Formation Ledger'!V2713=0),"PASS","FAIL")</f>
        <v>PASS</v>
      </c>
      <c r="F2734" s="9" t="s">
        <v>76</v>
      </c>
      <c r="G2734" s="6"/>
      <c r="H2734" s="6"/>
      <c r="I2734" s="6"/>
      <c r="J2734" s="6"/>
      <c r="K2734" s="6"/>
      <c r="L2734" s="6"/>
      <c r="M2734" s="6"/>
      <c r="N2734" s="6"/>
      <c r="O2734" s="6"/>
      <c r="P2734" s="6"/>
      <c r="Q2734" s="6"/>
      <c r="R2734" s="6"/>
      <c r="S2734" s="6"/>
      <c r="T2734" s="6"/>
      <c r="U2734" s="6"/>
      <c r="V2734" s="6"/>
      <c r="W2734" s="6"/>
      <c r="X2734" s="6"/>
      <c r="Y2734" s="6"/>
      <c r="Z2734" s="6"/>
    </row>
    <row r="2735" customFormat="false" ht="15" hidden="false" customHeight="false" outlineLevel="0" collapsed="false">
      <c r="A2735" s="9" t="s">
        <v>8578</v>
      </c>
      <c r="B2735" s="9" t="s">
        <v>5870</v>
      </c>
      <c r="C2735" s="9" t="s">
        <v>2981</v>
      </c>
      <c r="D2735" s="9" t="s">
        <v>5871</v>
      </c>
      <c r="E2735" s="9" t="str">
        <f aca="false">IF(AND('Formation Ledger'!A2714&lt;&gt;"",'Formation Ledger'!V2714=0),"PASS","FAIL")</f>
        <v>PASS</v>
      </c>
      <c r="F2735" s="9" t="s">
        <v>76</v>
      </c>
      <c r="G2735" s="6"/>
      <c r="H2735" s="6"/>
      <c r="I2735" s="6"/>
      <c r="J2735" s="6"/>
      <c r="K2735" s="6"/>
      <c r="L2735" s="6"/>
      <c r="M2735" s="6"/>
      <c r="N2735" s="6"/>
      <c r="O2735" s="6"/>
      <c r="P2735" s="6"/>
      <c r="Q2735" s="6"/>
      <c r="R2735" s="6"/>
      <c r="S2735" s="6"/>
      <c r="T2735" s="6"/>
      <c r="U2735" s="6"/>
      <c r="V2735" s="6"/>
      <c r="W2735" s="6"/>
      <c r="X2735" s="6"/>
      <c r="Y2735" s="6"/>
      <c r="Z2735" s="6"/>
    </row>
    <row r="2736" customFormat="false" ht="15" hidden="false" customHeight="false" outlineLevel="0" collapsed="false">
      <c r="A2736" s="9" t="s">
        <v>8579</v>
      </c>
      <c r="B2736" s="9" t="s">
        <v>5870</v>
      </c>
      <c r="C2736" s="9" t="s">
        <v>2982</v>
      </c>
      <c r="D2736" s="9" t="s">
        <v>5871</v>
      </c>
      <c r="E2736" s="9" t="str">
        <f aca="false">IF(AND('Formation Ledger'!A2715&lt;&gt;"",'Formation Ledger'!V2715=0),"PASS","FAIL")</f>
        <v>PASS</v>
      </c>
      <c r="F2736" s="9" t="s">
        <v>76</v>
      </c>
      <c r="G2736" s="6"/>
      <c r="H2736" s="6"/>
      <c r="I2736" s="6"/>
      <c r="J2736" s="6"/>
      <c r="K2736" s="6"/>
      <c r="L2736" s="6"/>
      <c r="M2736" s="6"/>
      <c r="N2736" s="6"/>
      <c r="O2736" s="6"/>
      <c r="P2736" s="6"/>
      <c r="Q2736" s="6"/>
      <c r="R2736" s="6"/>
      <c r="S2736" s="6"/>
      <c r="T2736" s="6"/>
      <c r="U2736" s="6"/>
      <c r="V2736" s="6"/>
      <c r="W2736" s="6"/>
      <c r="X2736" s="6"/>
      <c r="Y2736" s="6"/>
      <c r="Z2736" s="6"/>
    </row>
    <row r="2737" customFormat="false" ht="15" hidden="false" customHeight="false" outlineLevel="0" collapsed="false">
      <c r="A2737" s="9" t="s">
        <v>8580</v>
      </c>
      <c r="B2737" s="9" t="s">
        <v>5870</v>
      </c>
      <c r="C2737" s="9" t="s">
        <v>2983</v>
      </c>
      <c r="D2737" s="9" t="s">
        <v>5871</v>
      </c>
      <c r="E2737" s="9" t="str">
        <f aca="false">IF(AND('Formation Ledger'!A2716&lt;&gt;"",'Formation Ledger'!V2716=0),"PASS","FAIL")</f>
        <v>PASS</v>
      </c>
      <c r="F2737" s="9" t="s">
        <v>76</v>
      </c>
      <c r="G2737" s="6"/>
      <c r="H2737" s="6"/>
      <c r="I2737" s="6"/>
      <c r="J2737" s="6"/>
      <c r="K2737" s="6"/>
      <c r="L2737" s="6"/>
      <c r="M2737" s="6"/>
      <c r="N2737" s="6"/>
      <c r="O2737" s="6"/>
      <c r="P2737" s="6"/>
      <c r="Q2737" s="6"/>
      <c r="R2737" s="6"/>
      <c r="S2737" s="6"/>
      <c r="T2737" s="6"/>
      <c r="U2737" s="6"/>
      <c r="V2737" s="6"/>
      <c r="W2737" s="6"/>
      <c r="X2737" s="6"/>
      <c r="Y2737" s="6"/>
      <c r="Z2737" s="6"/>
    </row>
    <row r="2738" customFormat="false" ht="15" hidden="false" customHeight="false" outlineLevel="0" collapsed="false">
      <c r="A2738" s="9" t="s">
        <v>8581</v>
      </c>
      <c r="B2738" s="9" t="s">
        <v>5870</v>
      </c>
      <c r="C2738" s="9" t="s">
        <v>2984</v>
      </c>
      <c r="D2738" s="9" t="s">
        <v>5871</v>
      </c>
      <c r="E2738" s="9" t="str">
        <f aca="false">IF(AND('Formation Ledger'!A2717&lt;&gt;"",'Formation Ledger'!V2717=0),"PASS","FAIL")</f>
        <v>PASS</v>
      </c>
      <c r="F2738" s="9" t="s">
        <v>76</v>
      </c>
      <c r="G2738" s="6"/>
      <c r="H2738" s="6"/>
      <c r="I2738" s="6"/>
      <c r="J2738" s="6"/>
      <c r="K2738" s="6"/>
      <c r="L2738" s="6"/>
      <c r="M2738" s="6"/>
      <c r="N2738" s="6"/>
      <c r="O2738" s="6"/>
      <c r="P2738" s="6"/>
      <c r="Q2738" s="6"/>
      <c r="R2738" s="6"/>
      <c r="S2738" s="6"/>
      <c r="T2738" s="6"/>
      <c r="U2738" s="6"/>
      <c r="V2738" s="6"/>
      <c r="W2738" s="6"/>
      <c r="X2738" s="6"/>
      <c r="Y2738" s="6"/>
      <c r="Z2738" s="6"/>
    </row>
    <row r="2739" customFormat="false" ht="15" hidden="false" customHeight="false" outlineLevel="0" collapsed="false">
      <c r="A2739" s="9" t="s">
        <v>8582</v>
      </c>
      <c r="B2739" s="9" t="s">
        <v>5870</v>
      </c>
      <c r="C2739" s="9" t="s">
        <v>2985</v>
      </c>
      <c r="D2739" s="9" t="s">
        <v>5871</v>
      </c>
      <c r="E2739" s="9" t="str">
        <f aca="false">IF(AND('Formation Ledger'!A2718&lt;&gt;"",'Formation Ledger'!V2718=0),"PASS","FAIL")</f>
        <v>PASS</v>
      </c>
      <c r="F2739" s="9" t="s">
        <v>76</v>
      </c>
      <c r="G2739" s="6"/>
      <c r="H2739" s="6"/>
      <c r="I2739" s="6"/>
      <c r="J2739" s="6"/>
      <c r="K2739" s="6"/>
      <c r="L2739" s="6"/>
      <c r="M2739" s="6"/>
      <c r="N2739" s="6"/>
      <c r="O2739" s="6"/>
      <c r="P2739" s="6"/>
      <c r="Q2739" s="6"/>
      <c r="R2739" s="6"/>
      <c r="S2739" s="6"/>
      <c r="T2739" s="6"/>
      <c r="U2739" s="6"/>
      <c r="V2739" s="6"/>
      <c r="W2739" s="6"/>
      <c r="X2739" s="6"/>
      <c r="Y2739" s="6"/>
      <c r="Z2739" s="6"/>
    </row>
    <row r="2740" customFormat="false" ht="15" hidden="false" customHeight="false" outlineLevel="0" collapsed="false">
      <c r="A2740" s="9" t="s">
        <v>8583</v>
      </c>
      <c r="B2740" s="9" t="s">
        <v>5870</v>
      </c>
      <c r="C2740" s="9" t="s">
        <v>2986</v>
      </c>
      <c r="D2740" s="9" t="s">
        <v>5871</v>
      </c>
      <c r="E2740" s="9" t="str">
        <f aca="false">IF(AND('Formation Ledger'!A2719&lt;&gt;"",'Formation Ledger'!V2719=0),"PASS","FAIL")</f>
        <v>PASS</v>
      </c>
      <c r="F2740" s="9" t="s">
        <v>76</v>
      </c>
      <c r="G2740" s="6"/>
      <c r="H2740" s="6"/>
      <c r="I2740" s="6"/>
      <c r="J2740" s="6"/>
      <c r="K2740" s="6"/>
      <c r="L2740" s="6"/>
      <c r="M2740" s="6"/>
      <c r="N2740" s="6"/>
      <c r="O2740" s="6"/>
      <c r="P2740" s="6"/>
      <c r="Q2740" s="6"/>
      <c r="R2740" s="6"/>
      <c r="S2740" s="6"/>
      <c r="T2740" s="6"/>
      <c r="U2740" s="6"/>
      <c r="V2740" s="6"/>
      <c r="W2740" s="6"/>
      <c r="X2740" s="6"/>
      <c r="Y2740" s="6"/>
      <c r="Z2740" s="6"/>
    </row>
    <row r="2741" customFormat="false" ht="15" hidden="false" customHeight="false" outlineLevel="0" collapsed="false">
      <c r="A2741" s="9" t="s">
        <v>8584</v>
      </c>
      <c r="B2741" s="9" t="s">
        <v>5870</v>
      </c>
      <c r="C2741" s="9" t="s">
        <v>2987</v>
      </c>
      <c r="D2741" s="9" t="s">
        <v>5871</v>
      </c>
      <c r="E2741" s="9" t="str">
        <f aca="false">IF(AND('Formation Ledger'!A2720&lt;&gt;"",'Formation Ledger'!V2720=0),"PASS","FAIL")</f>
        <v>PASS</v>
      </c>
      <c r="F2741" s="9" t="s">
        <v>76</v>
      </c>
      <c r="G2741" s="6"/>
      <c r="H2741" s="6"/>
      <c r="I2741" s="6"/>
      <c r="J2741" s="6"/>
      <c r="K2741" s="6"/>
      <c r="L2741" s="6"/>
      <c r="M2741" s="6"/>
      <c r="N2741" s="6"/>
      <c r="O2741" s="6"/>
      <c r="P2741" s="6"/>
      <c r="Q2741" s="6"/>
      <c r="R2741" s="6"/>
      <c r="S2741" s="6"/>
      <c r="T2741" s="6"/>
      <c r="U2741" s="6"/>
      <c r="V2741" s="6"/>
      <c r="W2741" s="6"/>
      <c r="X2741" s="6"/>
      <c r="Y2741" s="6"/>
      <c r="Z2741" s="6"/>
    </row>
    <row r="2742" customFormat="false" ht="15" hidden="false" customHeight="false" outlineLevel="0" collapsed="false">
      <c r="A2742" s="9" t="s">
        <v>8585</v>
      </c>
      <c r="B2742" s="9" t="s">
        <v>5870</v>
      </c>
      <c r="C2742" s="9" t="s">
        <v>2988</v>
      </c>
      <c r="D2742" s="9" t="s">
        <v>5871</v>
      </c>
      <c r="E2742" s="9" t="str">
        <f aca="false">IF(AND('Formation Ledger'!A2721&lt;&gt;"",'Formation Ledger'!V2721=0),"PASS","FAIL")</f>
        <v>PASS</v>
      </c>
      <c r="F2742" s="9" t="s">
        <v>76</v>
      </c>
      <c r="G2742" s="6"/>
      <c r="H2742" s="6"/>
      <c r="I2742" s="6"/>
      <c r="J2742" s="6"/>
      <c r="K2742" s="6"/>
      <c r="L2742" s="6"/>
      <c r="M2742" s="6"/>
      <c r="N2742" s="6"/>
      <c r="O2742" s="6"/>
      <c r="P2742" s="6"/>
      <c r="Q2742" s="6"/>
      <c r="R2742" s="6"/>
      <c r="S2742" s="6"/>
      <c r="T2742" s="6"/>
      <c r="U2742" s="6"/>
      <c r="V2742" s="6"/>
      <c r="W2742" s="6"/>
      <c r="X2742" s="6"/>
      <c r="Y2742" s="6"/>
      <c r="Z2742" s="6"/>
    </row>
    <row r="2743" customFormat="false" ht="15" hidden="false" customHeight="false" outlineLevel="0" collapsed="false">
      <c r="A2743" s="9" t="s">
        <v>8586</v>
      </c>
      <c r="B2743" s="9" t="s">
        <v>5870</v>
      </c>
      <c r="C2743" s="9" t="s">
        <v>2989</v>
      </c>
      <c r="D2743" s="9" t="s">
        <v>5871</v>
      </c>
      <c r="E2743" s="9" t="str">
        <f aca="false">IF(AND('Formation Ledger'!A2722&lt;&gt;"",'Formation Ledger'!V2722=0),"PASS","FAIL")</f>
        <v>PASS</v>
      </c>
      <c r="F2743" s="9" t="s">
        <v>76</v>
      </c>
      <c r="G2743" s="6"/>
      <c r="H2743" s="6"/>
      <c r="I2743" s="6"/>
      <c r="J2743" s="6"/>
      <c r="K2743" s="6"/>
      <c r="L2743" s="6"/>
      <c r="M2743" s="6"/>
      <c r="N2743" s="6"/>
      <c r="O2743" s="6"/>
      <c r="P2743" s="6"/>
      <c r="Q2743" s="6"/>
      <c r="R2743" s="6"/>
      <c r="S2743" s="6"/>
      <c r="T2743" s="6"/>
      <c r="U2743" s="6"/>
      <c r="V2743" s="6"/>
      <c r="W2743" s="6"/>
      <c r="X2743" s="6"/>
      <c r="Y2743" s="6"/>
      <c r="Z2743" s="6"/>
    </row>
    <row r="2744" customFormat="false" ht="15" hidden="false" customHeight="false" outlineLevel="0" collapsed="false">
      <c r="A2744" s="9" t="s">
        <v>8587</v>
      </c>
      <c r="B2744" s="9" t="s">
        <v>5870</v>
      </c>
      <c r="C2744" s="9" t="s">
        <v>2990</v>
      </c>
      <c r="D2744" s="9" t="s">
        <v>5871</v>
      </c>
      <c r="E2744" s="9" t="str">
        <f aca="false">IF(AND('Formation Ledger'!A2723&lt;&gt;"",'Formation Ledger'!V2723=0),"PASS","FAIL")</f>
        <v>PASS</v>
      </c>
      <c r="F2744" s="9" t="s">
        <v>76</v>
      </c>
      <c r="G2744" s="6"/>
      <c r="H2744" s="6"/>
      <c r="I2744" s="6"/>
      <c r="J2744" s="6"/>
      <c r="K2744" s="6"/>
      <c r="L2744" s="6"/>
      <c r="M2744" s="6"/>
      <c r="N2744" s="6"/>
      <c r="O2744" s="6"/>
      <c r="P2744" s="6"/>
      <c r="Q2744" s="6"/>
      <c r="R2744" s="6"/>
      <c r="S2744" s="6"/>
      <c r="T2744" s="6"/>
      <c r="U2744" s="6"/>
      <c r="V2744" s="6"/>
      <c r="W2744" s="6"/>
      <c r="X2744" s="6"/>
      <c r="Y2744" s="6"/>
      <c r="Z2744" s="6"/>
    </row>
    <row r="2745" customFormat="false" ht="15" hidden="false" customHeight="false" outlineLevel="0" collapsed="false">
      <c r="A2745" s="9" t="s">
        <v>8588</v>
      </c>
      <c r="B2745" s="9" t="s">
        <v>5870</v>
      </c>
      <c r="C2745" s="9" t="s">
        <v>2991</v>
      </c>
      <c r="D2745" s="9" t="s">
        <v>5871</v>
      </c>
      <c r="E2745" s="9" t="str">
        <f aca="false">IF(AND('Formation Ledger'!A2724&lt;&gt;"",'Formation Ledger'!V2724=0),"PASS","FAIL")</f>
        <v>PASS</v>
      </c>
      <c r="F2745" s="9" t="s">
        <v>76</v>
      </c>
      <c r="G2745" s="6"/>
      <c r="H2745" s="6"/>
      <c r="I2745" s="6"/>
      <c r="J2745" s="6"/>
      <c r="K2745" s="6"/>
      <c r="L2745" s="6"/>
      <c r="M2745" s="6"/>
      <c r="N2745" s="6"/>
      <c r="O2745" s="6"/>
      <c r="P2745" s="6"/>
      <c r="Q2745" s="6"/>
      <c r="R2745" s="6"/>
      <c r="S2745" s="6"/>
      <c r="T2745" s="6"/>
      <c r="U2745" s="6"/>
      <c r="V2745" s="6"/>
      <c r="W2745" s="6"/>
      <c r="X2745" s="6"/>
      <c r="Y2745" s="6"/>
      <c r="Z2745" s="6"/>
    </row>
    <row r="2746" customFormat="false" ht="15" hidden="false" customHeight="false" outlineLevel="0" collapsed="false">
      <c r="A2746" s="9" t="s">
        <v>8589</v>
      </c>
      <c r="B2746" s="9" t="s">
        <v>5870</v>
      </c>
      <c r="C2746" s="9" t="s">
        <v>2992</v>
      </c>
      <c r="D2746" s="9" t="s">
        <v>5871</v>
      </c>
      <c r="E2746" s="9" t="str">
        <f aca="false">IF(AND('Formation Ledger'!A2725&lt;&gt;"",'Formation Ledger'!V2725=0),"PASS","FAIL")</f>
        <v>PASS</v>
      </c>
      <c r="F2746" s="9" t="s">
        <v>76</v>
      </c>
      <c r="G2746" s="6"/>
      <c r="H2746" s="6"/>
      <c r="I2746" s="6"/>
      <c r="J2746" s="6"/>
      <c r="K2746" s="6"/>
      <c r="L2746" s="6"/>
      <c r="M2746" s="6"/>
      <c r="N2746" s="6"/>
      <c r="O2746" s="6"/>
      <c r="P2746" s="6"/>
      <c r="Q2746" s="6"/>
      <c r="R2746" s="6"/>
      <c r="S2746" s="6"/>
      <c r="T2746" s="6"/>
      <c r="U2746" s="6"/>
      <c r="V2746" s="6"/>
      <c r="W2746" s="6"/>
      <c r="X2746" s="6"/>
      <c r="Y2746" s="6"/>
      <c r="Z2746" s="6"/>
    </row>
    <row r="2747" customFormat="false" ht="15" hidden="false" customHeight="false" outlineLevel="0" collapsed="false">
      <c r="A2747" s="9" t="s">
        <v>8590</v>
      </c>
      <c r="B2747" s="9" t="s">
        <v>5870</v>
      </c>
      <c r="C2747" s="9" t="s">
        <v>2993</v>
      </c>
      <c r="D2747" s="9" t="s">
        <v>5871</v>
      </c>
      <c r="E2747" s="9" t="str">
        <f aca="false">IF(AND('Formation Ledger'!A2726&lt;&gt;"",'Formation Ledger'!V2726=0),"PASS","FAIL")</f>
        <v>PASS</v>
      </c>
      <c r="F2747" s="9" t="s">
        <v>76</v>
      </c>
      <c r="G2747" s="6"/>
      <c r="H2747" s="6"/>
      <c r="I2747" s="6"/>
      <c r="J2747" s="6"/>
      <c r="K2747" s="6"/>
      <c r="L2747" s="6"/>
      <c r="M2747" s="6"/>
      <c r="N2747" s="6"/>
      <c r="O2747" s="6"/>
      <c r="P2747" s="6"/>
      <c r="Q2747" s="6"/>
      <c r="R2747" s="6"/>
      <c r="S2747" s="6"/>
      <c r="T2747" s="6"/>
      <c r="U2747" s="6"/>
      <c r="V2747" s="6"/>
      <c r="W2747" s="6"/>
      <c r="X2747" s="6"/>
      <c r="Y2747" s="6"/>
      <c r="Z2747" s="6"/>
    </row>
    <row r="2748" customFormat="false" ht="15" hidden="false" customHeight="false" outlineLevel="0" collapsed="false">
      <c r="A2748" s="9" t="s">
        <v>8591</v>
      </c>
      <c r="B2748" s="9" t="s">
        <v>5870</v>
      </c>
      <c r="C2748" s="9" t="s">
        <v>2994</v>
      </c>
      <c r="D2748" s="9" t="s">
        <v>5871</v>
      </c>
      <c r="E2748" s="9" t="str">
        <f aca="false">IF(AND('Formation Ledger'!A2727&lt;&gt;"",'Formation Ledger'!V2727=0),"PASS","FAIL")</f>
        <v>PASS</v>
      </c>
      <c r="F2748" s="9" t="s">
        <v>76</v>
      </c>
      <c r="G2748" s="6"/>
      <c r="H2748" s="6"/>
      <c r="I2748" s="6"/>
      <c r="J2748" s="6"/>
      <c r="K2748" s="6"/>
      <c r="L2748" s="6"/>
      <c r="M2748" s="6"/>
      <c r="N2748" s="6"/>
      <c r="O2748" s="6"/>
      <c r="P2748" s="6"/>
      <c r="Q2748" s="6"/>
      <c r="R2748" s="6"/>
      <c r="S2748" s="6"/>
      <c r="T2748" s="6"/>
      <c r="U2748" s="6"/>
      <c r="V2748" s="6"/>
      <c r="W2748" s="6"/>
      <c r="X2748" s="6"/>
      <c r="Y2748" s="6"/>
      <c r="Z2748" s="6"/>
    </row>
    <row r="2749" customFormat="false" ht="15" hidden="false" customHeight="false" outlineLevel="0" collapsed="false">
      <c r="A2749" s="9" t="s">
        <v>8592</v>
      </c>
      <c r="B2749" s="9" t="s">
        <v>5870</v>
      </c>
      <c r="C2749" s="9" t="s">
        <v>2995</v>
      </c>
      <c r="D2749" s="9" t="s">
        <v>5871</v>
      </c>
      <c r="E2749" s="9" t="str">
        <f aca="false">IF(AND('Formation Ledger'!A2728&lt;&gt;"",'Formation Ledger'!V2728=0),"PASS","FAIL")</f>
        <v>PASS</v>
      </c>
      <c r="F2749" s="9" t="s">
        <v>76</v>
      </c>
      <c r="G2749" s="6"/>
      <c r="H2749" s="6"/>
      <c r="I2749" s="6"/>
      <c r="J2749" s="6"/>
      <c r="K2749" s="6"/>
      <c r="L2749" s="6"/>
      <c r="M2749" s="6"/>
      <c r="N2749" s="6"/>
      <c r="O2749" s="6"/>
      <c r="P2749" s="6"/>
      <c r="Q2749" s="6"/>
      <c r="R2749" s="6"/>
      <c r="S2749" s="6"/>
      <c r="T2749" s="6"/>
      <c r="U2749" s="6"/>
      <c r="V2749" s="6"/>
      <c r="W2749" s="6"/>
      <c r="X2749" s="6"/>
      <c r="Y2749" s="6"/>
      <c r="Z2749" s="6"/>
    </row>
    <row r="2750" customFormat="false" ht="15" hidden="false" customHeight="false" outlineLevel="0" collapsed="false">
      <c r="A2750" s="9" t="s">
        <v>8593</v>
      </c>
      <c r="B2750" s="9" t="s">
        <v>5870</v>
      </c>
      <c r="C2750" s="9" t="s">
        <v>2996</v>
      </c>
      <c r="D2750" s="9" t="s">
        <v>5871</v>
      </c>
      <c r="E2750" s="9" t="str">
        <f aca="false">IF(AND('Formation Ledger'!A2729&lt;&gt;"",'Formation Ledger'!V2729=0),"PASS","FAIL")</f>
        <v>PASS</v>
      </c>
      <c r="F2750" s="9" t="s">
        <v>76</v>
      </c>
      <c r="G2750" s="6"/>
      <c r="H2750" s="6"/>
      <c r="I2750" s="6"/>
      <c r="J2750" s="6"/>
      <c r="K2750" s="6"/>
      <c r="L2750" s="6"/>
      <c r="M2750" s="6"/>
      <c r="N2750" s="6"/>
      <c r="O2750" s="6"/>
      <c r="P2750" s="6"/>
      <c r="Q2750" s="6"/>
      <c r="R2750" s="6"/>
      <c r="S2750" s="6"/>
      <c r="T2750" s="6"/>
      <c r="U2750" s="6"/>
      <c r="V2750" s="6"/>
      <c r="W2750" s="6"/>
      <c r="X2750" s="6"/>
      <c r="Y2750" s="6"/>
      <c r="Z2750" s="6"/>
    </row>
    <row r="2751" customFormat="false" ht="15" hidden="false" customHeight="false" outlineLevel="0" collapsed="false">
      <c r="A2751" s="9" t="s">
        <v>8594</v>
      </c>
      <c r="B2751" s="9" t="s">
        <v>5870</v>
      </c>
      <c r="C2751" s="9" t="s">
        <v>2997</v>
      </c>
      <c r="D2751" s="9" t="s">
        <v>5871</v>
      </c>
      <c r="E2751" s="9" t="str">
        <f aca="false">IF(AND('Formation Ledger'!A2730&lt;&gt;"",'Formation Ledger'!V2730=0),"PASS","FAIL")</f>
        <v>PASS</v>
      </c>
      <c r="F2751" s="9" t="s">
        <v>76</v>
      </c>
      <c r="G2751" s="6"/>
      <c r="H2751" s="6"/>
      <c r="I2751" s="6"/>
      <c r="J2751" s="6"/>
      <c r="K2751" s="6"/>
      <c r="L2751" s="6"/>
      <c r="M2751" s="6"/>
      <c r="N2751" s="6"/>
      <c r="O2751" s="6"/>
      <c r="P2751" s="6"/>
      <c r="Q2751" s="6"/>
      <c r="R2751" s="6"/>
      <c r="S2751" s="6"/>
      <c r="T2751" s="6"/>
      <c r="U2751" s="6"/>
      <c r="V2751" s="6"/>
      <c r="W2751" s="6"/>
      <c r="X2751" s="6"/>
      <c r="Y2751" s="6"/>
      <c r="Z2751" s="6"/>
    </row>
    <row r="2752" customFormat="false" ht="15" hidden="false" customHeight="false" outlineLevel="0" collapsed="false">
      <c r="A2752" s="9" t="s">
        <v>8595</v>
      </c>
      <c r="B2752" s="9" t="s">
        <v>5870</v>
      </c>
      <c r="C2752" s="9" t="s">
        <v>2998</v>
      </c>
      <c r="D2752" s="9" t="s">
        <v>5871</v>
      </c>
      <c r="E2752" s="9" t="str">
        <f aca="false">IF(AND('Formation Ledger'!A2731&lt;&gt;"",'Formation Ledger'!V2731=0),"PASS","FAIL")</f>
        <v>PASS</v>
      </c>
      <c r="F2752" s="9" t="s">
        <v>76</v>
      </c>
      <c r="G2752" s="6"/>
      <c r="H2752" s="6"/>
      <c r="I2752" s="6"/>
      <c r="J2752" s="6"/>
      <c r="K2752" s="6"/>
      <c r="L2752" s="6"/>
      <c r="M2752" s="6"/>
      <c r="N2752" s="6"/>
      <c r="O2752" s="6"/>
      <c r="P2752" s="6"/>
      <c r="Q2752" s="6"/>
      <c r="R2752" s="6"/>
      <c r="S2752" s="6"/>
      <c r="T2752" s="6"/>
      <c r="U2752" s="6"/>
      <c r="V2752" s="6"/>
      <c r="W2752" s="6"/>
      <c r="X2752" s="6"/>
      <c r="Y2752" s="6"/>
      <c r="Z2752" s="6"/>
    </row>
    <row r="2753" customFormat="false" ht="15" hidden="false" customHeight="false" outlineLevel="0" collapsed="false">
      <c r="A2753" s="9" t="s">
        <v>8596</v>
      </c>
      <c r="B2753" s="9" t="s">
        <v>5870</v>
      </c>
      <c r="C2753" s="9" t="s">
        <v>2999</v>
      </c>
      <c r="D2753" s="9" t="s">
        <v>5871</v>
      </c>
      <c r="E2753" s="9" t="str">
        <f aca="false">IF(AND('Formation Ledger'!A2732&lt;&gt;"",'Formation Ledger'!V2732=0),"PASS","FAIL")</f>
        <v>PASS</v>
      </c>
      <c r="F2753" s="9" t="s">
        <v>76</v>
      </c>
      <c r="G2753" s="6"/>
      <c r="H2753" s="6"/>
      <c r="I2753" s="6"/>
      <c r="J2753" s="6"/>
      <c r="K2753" s="6"/>
      <c r="L2753" s="6"/>
      <c r="M2753" s="6"/>
      <c r="N2753" s="6"/>
      <c r="O2753" s="6"/>
      <c r="P2753" s="6"/>
      <c r="Q2753" s="6"/>
      <c r="R2753" s="6"/>
      <c r="S2753" s="6"/>
      <c r="T2753" s="6"/>
      <c r="U2753" s="6"/>
      <c r="V2753" s="6"/>
      <c r="W2753" s="6"/>
      <c r="X2753" s="6"/>
      <c r="Y2753" s="6"/>
      <c r="Z2753" s="6"/>
    </row>
    <row r="2754" customFormat="false" ht="15" hidden="false" customHeight="false" outlineLevel="0" collapsed="false">
      <c r="A2754" s="9" t="s">
        <v>8597</v>
      </c>
      <c r="B2754" s="9" t="s">
        <v>5870</v>
      </c>
      <c r="C2754" s="9" t="s">
        <v>3000</v>
      </c>
      <c r="D2754" s="9" t="s">
        <v>5871</v>
      </c>
      <c r="E2754" s="9" t="str">
        <f aca="false">IF(AND('Formation Ledger'!A2733&lt;&gt;"",'Formation Ledger'!V2733=0),"PASS","FAIL")</f>
        <v>PASS</v>
      </c>
      <c r="F2754" s="9" t="s">
        <v>76</v>
      </c>
      <c r="G2754" s="6"/>
      <c r="H2754" s="6"/>
      <c r="I2754" s="6"/>
      <c r="J2754" s="6"/>
      <c r="K2754" s="6"/>
      <c r="L2754" s="6"/>
      <c r="M2754" s="6"/>
      <c r="N2754" s="6"/>
      <c r="O2754" s="6"/>
      <c r="P2754" s="6"/>
      <c r="Q2754" s="6"/>
      <c r="R2754" s="6"/>
      <c r="S2754" s="6"/>
      <c r="T2754" s="6"/>
      <c r="U2754" s="6"/>
      <c r="V2754" s="6"/>
      <c r="W2754" s="6"/>
      <c r="X2754" s="6"/>
      <c r="Y2754" s="6"/>
      <c r="Z2754" s="6"/>
    </row>
    <row r="2755" customFormat="false" ht="15" hidden="false" customHeight="false" outlineLevel="0" collapsed="false">
      <c r="A2755" s="9" t="s">
        <v>8598</v>
      </c>
      <c r="B2755" s="9" t="s">
        <v>5870</v>
      </c>
      <c r="C2755" s="9" t="s">
        <v>3001</v>
      </c>
      <c r="D2755" s="9" t="s">
        <v>5871</v>
      </c>
      <c r="E2755" s="9" t="str">
        <f aca="false">IF(AND('Formation Ledger'!A2734&lt;&gt;"",'Formation Ledger'!V2734=0),"PASS","FAIL")</f>
        <v>PASS</v>
      </c>
      <c r="F2755" s="9" t="s">
        <v>76</v>
      </c>
      <c r="G2755" s="6"/>
      <c r="H2755" s="6"/>
      <c r="I2755" s="6"/>
      <c r="J2755" s="6"/>
      <c r="K2755" s="6"/>
      <c r="L2755" s="6"/>
      <c r="M2755" s="6"/>
      <c r="N2755" s="6"/>
      <c r="O2755" s="6"/>
      <c r="P2755" s="6"/>
      <c r="Q2755" s="6"/>
      <c r="R2755" s="6"/>
      <c r="S2755" s="6"/>
      <c r="T2755" s="6"/>
      <c r="U2755" s="6"/>
      <c r="V2755" s="6"/>
      <c r="W2755" s="6"/>
      <c r="X2755" s="6"/>
      <c r="Y2755" s="6"/>
      <c r="Z2755" s="6"/>
    </row>
    <row r="2756" customFormat="false" ht="15" hidden="false" customHeight="false" outlineLevel="0" collapsed="false">
      <c r="A2756" s="9" t="s">
        <v>8599</v>
      </c>
      <c r="B2756" s="9" t="s">
        <v>5870</v>
      </c>
      <c r="C2756" s="9" t="s">
        <v>3002</v>
      </c>
      <c r="D2756" s="9" t="s">
        <v>5871</v>
      </c>
      <c r="E2756" s="9" t="str">
        <f aca="false">IF(AND('Formation Ledger'!A2735&lt;&gt;"",'Formation Ledger'!V2735=0),"PASS","FAIL")</f>
        <v>PASS</v>
      </c>
      <c r="F2756" s="9" t="s">
        <v>76</v>
      </c>
      <c r="G2756" s="6"/>
      <c r="H2756" s="6"/>
      <c r="I2756" s="6"/>
      <c r="J2756" s="6"/>
      <c r="K2756" s="6"/>
      <c r="L2756" s="6"/>
      <c r="M2756" s="6"/>
      <c r="N2756" s="6"/>
      <c r="O2756" s="6"/>
      <c r="P2756" s="6"/>
      <c r="Q2756" s="6"/>
      <c r="R2756" s="6"/>
      <c r="S2756" s="6"/>
      <c r="T2756" s="6"/>
      <c r="U2756" s="6"/>
      <c r="V2756" s="6"/>
      <c r="W2756" s="6"/>
      <c r="X2756" s="6"/>
      <c r="Y2756" s="6"/>
      <c r="Z2756" s="6"/>
    </row>
    <row r="2757" customFormat="false" ht="15" hidden="false" customHeight="false" outlineLevel="0" collapsed="false">
      <c r="A2757" s="9" t="s">
        <v>8600</v>
      </c>
      <c r="B2757" s="9" t="s">
        <v>5870</v>
      </c>
      <c r="C2757" s="9" t="s">
        <v>3003</v>
      </c>
      <c r="D2757" s="9" t="s">
        <v>5871</v>
      </c>
      <c r="E2757" s="9" t="str">
        <f aca="false">IF(AND('Formation Ledger'!A2736&lt;&gt;"",'Formation Ledger'!V2736=0),"PASS","FAIL")</f>
        <v>PASS</v>
      </c>
      <c r="F2757" s="9" t="s">
        <v>76</v>
      </c>
      <c r="G2757" s="6"/>
      <c r="H2757" s="6"/>
      <c r="I2757" s="6"/>
      <c r="J2757" s="6"/>
      <c r="K2757" s="6"/>
      <c r="L2757" s="6"/>
      <c r="M2757" s="6"/>
      <c r="N2757" s="6"/>
      <c r="O2757" s="6"/>
      <c r="P2757" s="6"/>
      <c r="Q2757" s="6"/>
      <c r="R2757" s="6"/>
      <c r="S2757" s="6"/>
      <c r="T2757" s="6"/>
      <c r="U2757" s="6"/>
      <c r="V2757" s="6"/>
      <c r="W2757" s="6"/>
      <c r="X2757" s="6"/>
      <c r="Y2757" s="6"/>
      <c r="Z2757" s="6"/>
    </row>
    <row r="2758" customFormat="false" ht="15" hidden="false" customHeight="false" outlineLevel="0" collapsed="false">
      <c r="A2758" s="9" t="s">
        <v>8601</v>
      </c>
      <c r="B2758" s="9" t="s">
        <v>5870</v>
      </c>
      <c r="C2758" s="9" t="s">
        <v>3004</v>
      </c>
      <c r="D2758" s="9" t="s">
        <v>5871</v>
      </c>
      <c r="E2758" s="9" t="str">
        <f aca="false">IF(AND('Formation Ledger'!A2737&lt;&gt;"",'Formation Ledger'!V2737=0),"PASS","FAIL")</f>
        <v>PASS</v>
      </c>
      <c r="F2758" s="9" t="s">
        <v>76</v>
      </c>
      <c r="G2758" s="6"/>
      <c r="H2758" s="6"/>
      <c r="I2758" s="6"/>
      <c r="J2758" s="6"/>
      <c r="K2758" s="6"/>
      <c r="L2758" s="6"/>
      <c r="M2758" s="6"/>
      <c r="N2758" s="6"/>
      <c r="O2758" s="6"/>
      <c r="P2758" s="6"/>
      <c r="Q2758" s="6"/>
      <c r="R2758" s="6"/>
      <c r="S2758" s="6"/>
      <c r="T2758" s="6"/>
      <c r="U2758" s="6"/>
      <c r="V2758" s="6"/>
      <c r="W2758" s="6"/>
      <c r="X2758" s="6"/>
      <c r="Y2758" s="6"/>
      <c r="Z2758" s="6"/>
    </row>
    <row r="2759" customFormat="false" ht="15" hidden="false" customHeight="false" outlineLevel="0" collapsed="false">
      <c r="A2759" s="9" t="s">
        <v>8602</v>
      </c>
      <c r="B2759" s="9" t="s">
        <v>5870</v>
      </c>
      <c r="C2759" s="9" t="s">
        <v>3005</v>
      </c>
      <c r="D2759" s="9" t="s">
        <v>5871</v>
      </c>
      <c r="E2759" s="9" t="str">
        <f aca="false">IF(AND('Formation Ledger'!A2738&lt;&gt;"",'Formation Ledger'!V2738=0),"PASS","FAIL")</f>
        <v>PASS</v>
      </c>
      <c r="F2759" s="9" t="s">
        <v>76</v>
      </c>
      <c r="G2759" s="6"/>
      <c r="H2759" s="6"/>
      <c r="I2759" s="6"/>
      <c r="J2759" s="6"/>
      <c r="K2759" s="6"/>
      <c r="L2759" s="6"/>
      <c r="M2759" s="6"/>
      <c r="N2759" s="6"/>
      <c r="O2759" s="6"/>
      <c r="P2759" s="6"/>
      <c r="Q2759" s="6"/>
      <c r="R2759" s="6"/>
      <c r="S2759" s="6"/>
      <c r="T2759" s="6"/>
      <c r="U2759" s="6"/>
      <c r="V2759" s="6"/>
      <c r="W2759" s="6"/>
      <c r="X2759" s="6"/>
      <c r="Y2759" s="6"/>
      <c r="Z2759" s="6"/>
    </row>
    <row r="2760" customFormat="false" ht="15" hidden="false" customHeight="false" outlineLevel="0" collapsed="false">
      <c r="A2760" s="9" t="s">
        <v>8603</v>
      </c>
      <c r="B2760" s="9" t="s">
        <v>5870</v>
      </c>
      <c r="C2760" s="9" t="s">
        <v>3006</v>
      </c>
      <c r="D2760" s="9" t="s">
        <v>5871</v>
      </c>
      <c r="E2760" s="9" t="str">
        <f aca="false">IF(AND('Formation Ledger'!A2739&lt;&gt;"",'Formation Ledger'!V2739=0),"PASS","FAIL")</f>
        <v>PASS</v>
      </c>
      <c r="F2760" s="9" t="s">
        <v>76</v>
      </c>
      <c r="G2760" s="6"/>
      <c r="H2760" s="6"/>
      <c r="I2760" s="6"/>
      <c r="J2760" s="6"/>
      <c r="K2760" s="6"/>
      <c r="L2760" s="6"/>
      <c r="M2760" s="6"/>
      <c r="N2760" s="6"/>
      <c r="O2760" s="6"/>
      <c r="P2760" s="6"/>
      <c r="Q2760" s="6"/>
      <c r="R2760" s="6"/>
      <c r="S2760" s="6"/>
      <c r="T2760" s="6"/>
      <c r="U2760" s="6"/>
      <c r="V2760" s="6"/>
      <c r="W2760" s="6"/>
      <c r="X2760" s="6"/>
      <c r="Y2760" s="6"/>
      <c r="Z2760" s="6"/>
    </row>
    <row r="2761" customFormat="false" ht="15" hidden="false" customHeight="false" outlineLevel="0" collapsed="false">
      <c r="A2761" s="9" t="s">
        <v>8604</v>
      </c>
      <c r="B2761" s="9" t="s">
        <v>5870</v>
      </c>
      <c r="C2761" s="9" t="s">
        <v>3007</v>
      </c>
      <c r="D2761" s="9" t="s">
        <v>5871</v>
      </c>
      <c r="E2761" s="9" t="str">
        <f aca="false">IF(AND('Formation Ledger'!A2740&lt;&gt;"",'Formation Ledger'!V2740=0),"PASS","FAIL")</f>
        <v>PASS</v>
      </c>
      <c r="F2761" s="9" t="s">
        <v>76</v>
      </c>
      <c r="G2761" s="6"/>
      <c r="H2761" s="6"/>
      <c r="I2761" s="6"/>
      <c r="J2761" s="6"/>
      <c r="K2761" s="6"/>
      <c r="L2761" s="6"/>
      <c r="M2761" s="6"/>
      <c r="N2761" s="6"/>
      <c r="O2761" s="6"/>
      <c r="P2761" s="6"/>
      <c r="Q2761" s="6"/>
      <c r="R2761" s="6"/>
      <c r="S2761" s="6"/>
      <c r="T2761" s="6"/>
      <c r="U2761" s="6"/>
      <c r="V2761" s="6"/>
      <c r="W2761" s="6"/>
      <c r="X2761" s="6"/>
      <c r="Y2761" s="6"/>
      <c r="Z2761" s="6"/>
    </row>
    <row r="2762" customFormat="false" ht="15" hidden="false" customHeight="false" outlineLevel="0" collapsed="false">
      <c r="A2762" s="9" t="s">
        <v>8605</v>
      </c>
      <c r="B2762" s="9" t="s">
        <v>5870</v>
      </c>
      <c r="C2762" s="9" t="s">
        <v>3008</v>
      </c>
      <c r="D2762" s="9" t="s">
        <v>5871</v>
      </c>
      <c r="E2762" s="9" t="str">
        <f aca="false">IF(AND('Formation Ledger'!A2741&lt;&gt;"",'Formation Ledger'!V2741=0),"PASS","FAIL")</f>
        <v>PASS</v>
      </c>
      <c r="F2762" s="9" t="s">
        <v>76</v>
      </c>
      <c r="G2762" s="6"/>
      <c r="H2762" s="6"/>
      <c r="I2762" s="6"/>
      <c r="J2762" s="6"/>
      <c r="K2762" s="6"/>
      <c r="L2762" s="6"/>
      <c r="M2762" s="6"/>
      <c r="N2762" s="6"/>
      <c r="O2762" s="6"/>
      <c r="P2762" s="6"/>
      <c r="Q2762" s="6"/>
      <c r="R2762" s="6"/>
      <c r="S2762" s="6"/>
      <c r="T2762" s="6"/>
      <c r="U2762" s="6"/>
      <c r="V2762" s="6"/>
      <c r="W2762" s="6"/>
      <c r="X2762" s="6"/>
      <c r="Y2762" s="6"/>
      <c r="Z2762" s="6"/>
    </row>
    <row r="2763" customFormat="false" ht="15" hidden="false" customHeight="false" outlineLevel="0" collapsed="false">
      <c r="A2763" s="9" t="s">
        <v>8606</v>
      </c>
      <c r="B2763" s="9" t="s">
        <v>5870</v>
      </c>
      <c r="C2763" s="9" t="s">
        <v>3009</v>
      </c>
      <c r="D2763" s="9" t="s">
        <v>5871</v>
      </c>
      <c r="E2763" s="9" t="str">
        <f aca="false">IF(AND('Formation Ledger'!A2742&lt;&gt;"",'Formation Ledger'!V2742=0),"PASS","FAIL")</f>
        <v>PASS</v>
      </c>
      <c r="F2763" s="9" t="s">
        <v>76</v>
      </c>
      <c r="G2763" s="6"/>
      <c r="H2763" s="6"/>
      <c r="I2763" s="6"/>
      <c r="J2763" s="6"/>
      <c r="K2763" s="6"/>
      <c r="L2763" s="6"/>
      <c r="M2763" s="6"/>
      <c r="N2763" s="6"/>
      <c r="O2763" s="6"/>
      <c r="P2763" s="6"/>
      <c r="Q2763" s="6"/>
      <c r="R2763" s="6"/>
      <c r="S2763" s="6"/>
      <c r="T2763" s="6"/>
      <c r="U2763" s="6"/>
      <c r="V2763" s="6"/>
      <c r="W2763" s="6"/>
      <c r="X2763" s="6"/>
      <c r="Y2763" s="6"/>
      <c r="Z2763" s="6"/>
    </row>
    <row r="2764" customFormat="false" ht="15" hidden="false" customHeight="false" outlineLevel="0" collapsed="false">
      <c r="A2764" s="9" t="s">
        <v>8607</v>
      </c>
      <c r="B2764" s="9" t="s">
        <v>5870</v>
      </c>
      <c r="C2764" s="9" t="s">
        <v>3010</v>
      </c>
      <c r="D2764" s="9" t="s">
        <v>5871</v>
      </c>
      <c r="E2764" s="9" t="str">
        <f aca="false">IF(AND('Formation Ledger'!A2743&lt;&gt;"",'Formation Ledger'!V2743=0),"PASS","FAIL")</f>
        <v>PASS</v>
      </c>
      <c r="F2764" s="9" t="s">
        <v>76</v>
      </c>
      <c r="G2764" s="6"/>
      <c r="H2764" s="6"/>
      <c r="I2764" s="6"/>
      <c r="J2764" s="6"/>
      <c r="K2764" s="6"/>
      <c r="L2764" s="6"/>
      <c r="M2764" s="6"/>
      <c r="N2764" s="6"/>
      <c r="O2764" s="6"/>
      <c r="P2764" s="6"/>
      <c r="Q2764" s="6"/>
      <c r="R2764" s="6"/>
      <c r="S2764" s="6"/>
      <c r="T2764" s="6"/>
      <c r="U2764" s="6"/>
      <c r="V2764" s="6"/>
      <c r="W2764" s="6"/>
      <c r="X2764" s="6"/>
      <c r="Y2764" s="6"/>
      <c r="Z2764" s="6"/>
    </row>
    <row r="2765" customFormat="false" ht="15" hidden="false" customHeight="false" outlineLevel="0" collapsed="false">
      <c r="A2765" s="9" t="s">
        <v>8608</v>
      </c>
      <c r="B2765" s="9" t="s">
        <v>5870</v>
      </c>
      <c r="C2765" s="9" t="s">
        <v>3011</v>
      </c>
      <c r="D2765" s="9" t="s">
        <v>5871</v>
      </c>
      <c r="E2765" s="9" t="str">
        <f aca="false">IF(AND('Formation Ledger'!A2744&lt;&gt;"",'Formation Ledger'!V2744=0),"PASS","FAIL")</f>
        <v>PASS</v>
      </c>
      <c r="F2765" s="9" t="s">
        <v>76</v>
      </c>
      <c r="G2765" s="6"/>
      <c r="H2765" s="6"/>
      <c r="I2765" s="6"/>
      <c r="J2765" s="6"/>
      <c r="K2765" s="6"/>
      <c r="L2765" s="6"/>
      <c r="M2765" s="6"/>
      <c r="N2765" s="6"/>
      <c r="O2765" s="6"/>
      <c r="P2765" s="6"/>
      <c r="Q2765" s="6"/>
      <c r="R2765" s="6"/>
      <c r="S2765" s="6"/>
      <c r="T2765" s="6"/>
      <c r="U2765" s="6"/>
      <c r="V2765" s="6"/>
      <c r="W2765" s="6"/>
      <c r="X2765" s="6"/>
      <c r="Y2765" s="6"/>
      <c r="Z2765" s="6"/>
    </row>
    <row r="2766" customFormat="false" ht="15" hidden="false" customHeight="false" outlineLevel="0" collapsed="false">
      <c r="A2766" s="9" t="s">
        <v>8609</v>
      </c>
      <c r="B2766" s="9" t="s">
        <v>5870</v>
      </c>
      <c r="C2766" s="9" t="s">
        <v>3012</v>
      </c>
      <c r="D2766" s="9" t="s">
        <v>5871</v>
      </c>
      <c r="E2766" s="9" t="str">
        <f aca="false">IF(AND('Formation Ledger'!A2745&lt;&gt;"",'Formation Ledger'!V2745=0),"PASS","FAIL")</f>
        <v>PASS</v>
      </c>
      <c r="F2766" s="9" t="s">
        <v>76</v>
      </c>
      <c r="G2766" s="6"/>
      <c r="H2766" s="6"/>
      <c r="I2766" s="6"/>
      <c r="J2766" s="6"/>
      <c r="K2766" s="6"/>
      <c r="L2766" s="6"/>
      <c r="M2766" s="6"/>
      <c r="N2766" s="6"/>
      <c r="O2766" s="6"/>
      <c r="P2766" s="6"/>
      <c r="Q2766" s="6"/>
      <c r="R2766" s="6"/>
      <c r="S2766" s="6"/>
      <c r="T2766" s="6"/>
      <c r="U2766" s="6"/>
      <c r="V2766" s="6"/>
      <c r="W2766" s="6"/>
      <c r="X2766" s="6"/>
      <c r="Y2766" s="6"/>
      <c r="Z2766" s="6"/>
    </row>
    <row r="2767" customFormat="false" ht="15" hidden="false" customHeight="false" outlineLevel="0" collapsed="false">
      <c r="A2767" s="9" t="s">
        <v>8610</v>
      </c>
      <c r="B2767" s="9" t="s">
        <v>5870</v>
      </c>
      <c r="C2767" s="9" t="s">
        <v>3013</v>
      </c>
      <c r="D2767" s="9" t="s">
        <v>5871</v>
      </c>
      <c r="E2767" s="9" t="str">
        <f aca="false">IF(AND('Formation Ledger'!A2746&lt;&gt;"",'Formation Ledger'!V2746=0),"PASS","FAIL")</f>
        <v>PASS</v>
      </c>
      <c r="F2767" s="9" t="s">
        <v>76</v>
      </c>
      <c r="G2767" s="6"/>
      <c r="H2767" s="6"/>
      <c r="I2767" s="6"/>
      <c r="J2767" s="6"/>
      <c r="K2767" s="6"/>
      <c r="L2767" s="6"/>
      <c r="M2767" s="6"/>
      <c r="N2767" s="6"/>
      <c r="O2767" s="6"/>
      <c r="P2767" s="6"/>
      <c r="Q2767" s="6"/>
      <c r="R2767" s="6"/>
      <c r="S2767" s="6"/>
      <c r="T2767" s="6"/>
      <c r="U2767" s="6"/>
      <c r="V2767" s="6"/>
      <c r="W2767" s="6"/>
      <c r="X2767" s="6"/>
      <c r="Y2767" s="6"/>
      <c r="Z2767" s="6"/>
    </row>
    <row r="2768" customFormat="false" ht="15" hidden="false" customHeight="false" outlineLevel="0" collapsed="false">
      <c r="A2768" s="9" t="s">
        <v>8611</v>
      </c>
      <c r="B2768" s="9" t="s">
        <v>5870</v>
      </c>
      <c r="C2768" s="9" t="s">
        <v>3014</v>
      </c>
      <c r="D2768" s="9" t="s">
        <v>5871</v>
      </c>
      <c r="E2768" s="9" t="str">
        <f aca="false">IF(AND('Formation Ledger'!A2747&lt;&gt;"",'Formation Ledger'!V2747=0),"PASS","FAIL")</f>
        <v>PASS</v>
      </c>
      <c r="F2768" s="9" t="s">
        <v>76</v>
      </c>
      <c r="G2768" s="6"/>
      <c r="H2768" s="6"/>
      <c r="I2768" s="6"/>
      <c r="J2768" s="6"/>
      <c r="K2768" s="6"/>
      <c r="L2768" s="6"/>
      <c r="M2768" s="6"/>
      <c r="N2768" s="6"/>
      <c r="O2768" s="6"/>
      <c r="P2768" s="6"/>
      <c r="Q2768" s="6"/>
      <c r="R2768" s="6"/>
      <c r="S2768" s="6"/>
      <c r="T2768" s="6"/>
      <c r="U2768" s="6"/>
      <c r="V2768" s="6"/>
      <c r="W2768" s="6"/>
      <c r="X2768" s="6"/>
      <c r="Y2768" s="6"/>
      <c r="Z2768" s="6"/>
    </row>
    <row r="2769" customFormat="false" ht="15" hidden="false" customHeight="false" outlineLevel="0" collapsed="false">
      <c r="A2769" s="9" t="s">
        <v>8612</v>
      </c>
      <c r="B2769" s="9" t="s">
        <v>5870</v>
      </c>
      <c r="C2769" s="9" t="s">
        <v>3015</v>
      </c>
      <c r="D2769" s="9" t="s">
        <v>5871</v>
      </c>
      <c r="E2769" s="9" t="str">
        <f aca="false">IF(AND('Formation Ledger'!A2748&lt;&gt;"",'Formation Ledger'!V2748=0),"PASS","FAIL")</f>
        <v>PASS</v>
      </c>
      <c r="F2769" s="9" t="s">
        <v>76</v>
      </c>
      <c r="G2769" s="6"/>
      <c r="H2769" s="6"/>
      <c r="I2769" s="6"/>
      <c r="J2769" s="6"/>
      <c r="K2769" s="6"/>
      <c r="L2769" s="6"/>
      <c r="M2769" s="6"/>
      <c r="N2769" s="6"/>
      <c r="O2769" s="6"/>
      <c r="P2769" s="6"/>
      <c r="Q2769" s="6"/>
      <c r="R2769" s="6"/>
      <c r="S2769" s="6"/>
      <c r="T2769" s="6"/>
      <c r="U2769" s="6"/>
      <c r="V2769" s="6"/>
      <c r="W2769" s="6"/>
      <c r="X2769" s="6"/>
      <c r="Y2769" s="6"/>
      <c r="Z2769" s="6"/>
    </row>
    <row r="2770" customFormat="false" ht="15" hidden="false" customHeight="false" outlineLevel="0" collapsed="false">
      <c r="A2770" s="9" t="s">
        <v>8613</v>
      </c>
      <c r="B2770" s="9" t="s">
        <v>5870</v>
      </c>
      <c r="C2770" s="9" t="s">
        <v>3016</v>
      </c>
      <c r="D2770" s="9" t="s">
        <v>5871</v>
      </c>
      <c r="E2770" s="9" t="str">
        <f aca="false">IF(AND('Formation Ledger'!A2749&lt;&gt;"",'Formation Ledger'!V2749=0),"PASS","FAIL")</f>
        <v>PASS</v>
      </c>
      <c r="F2770" s="9" t="s">
        <v>76</v>
      </c>
      <c r="G2770" s="6"/>
      <c r="H2770" s="6"/>
      <c r="I2770" s="6"/>
      <c r="J2770" s="6"/>
      <c r="K2770" s="6"/>
      <c r="L2770" s="6"/>
      <c r="M2770" s="6"/>
      <c r="N2770" s="6"/>
      <c r="O2770" s="6"/>
      <c r="P2770" s="6"/>
      <c r="Q2770" s="6"/>
      <c r="R2770" s="6"/>
      <c r="S2770" s="6"/>
      <c r="T2770" s="6"/>
      <c r="U2770" s="6"/>
      <c r="V2770" s="6"/>
      <c r="W2770" s="6"/>
      <c r="X2770" s="6"/>
      <c r="Y2770" s="6"/>
      <c r="Z2770" s="6"/>
    </row>
    <row r="2771" customFormat="false" ht="15" hidden="false" customHeight="false" outlineLevel="0" collapsed="false">
      <c r="A2771" s="9" t="s">
        <v>8614</v>
      </c>
      <c r="B2771" s="9" t="s">
        <v>5870</v>
      </c>
      <c r="C2771" s="9" t="s">
        <v>3017</v>
      </c>
      <c r="D2771" s="9" t="s">
        <v>5871</v>
      </c>
      <c r="E2771" s="9" t="str">
        <f aca="false">IF(AND('Formation Ledger'!A2750&lt;&gt;"",'Formation Ledger'!V2750=0),"PASS","FAIL")</f>
        <v>PASS</v>
      </c>
      <c r="F2771" s="9" t="s">
        <v>76</v>
      </c>
      <c r="G2771" s="6"/>
      <c r="H2771" s="6"/>
      <c r="I2771" s="6"/>
      <c r="J2771" s="6"/>
      <c r="K2771" s="6"/>
      <c r="L2771" s="6"/>
      <c r="M2771" s="6"/>
      <c r="N2771" s="6"/>
      <c r="O2771" s="6"/>
      <c r="P2771" s="6"/>
      <c r="Q2771" s="6"/>
      <c r="R2771" s="6"/>
      <c r="S2771" s="6"/>
      <c r="T2771" s="6"/>
      <c r="U2771" s="6"/>
      <c r="V2771" s="6"/>
      <c r="W2771" s="6"/>
      <c r="X2771" s="6"/>
      <c r="Y2771" s="6"/>
      <c r="Z2771" s="6"/>
    </row>
    <row r="2772" customFormat="false" ht="15" hidden="false" customHeight="false" outlineLevel="0" collapsed="false">
      <c r="A2772" s="9" t="s">
        <v>8615</v>
      </c>
      <c r="B2772" s="9" t="s">
        <v>5870</v>
      </c>
      <c r="C2772" s="9" t="s">
        <v>3018</v>
      </c>
      <c r="D2772" s="9" t="s">
        <v>5871</v>
      </c>
      <c r="E2772" s="9" t="str">
        <f aca="false">IF(AND('Formation Ledger'!A2751&lt;&gt;"",'Formation Ledger'!V2751=0),"PASS","FAIL")</f>
        <v>PASS</v>
      </c>
      <c r="F2772" s="9" t="s">
        <v>76</v>
      </c>
      <c r="G2772" s="6"/>
      <c r="H2772" s="6"/>
      <c r="I2772" s="6"/>
      <c r="J2772" s="6"/>
      <c r="K2772" s="6"/>
      <c r="L2772" s="6"/>
      <c r="M2772" s="6"/>
      <c r="N2772" s="6"/>
      <c r="O2772" s="6"/>
      <c r="P2772" s="6"/>
      <c r="Q2772" s="6"/>
      <c r="R2772" s="6"/>
      <c r="S2772" s="6"/>
      <c r="T2772" s="6"/>
      <c r="U2772" s="6"/>
      <c r="V2772" s="6"/>
      <c r="W2772" s="6"/>
      <c r="X2772" s="6"/>
      <c r="Y2772" s="6"/>
      <c r="Z2772" s="6"/>
    </row>
    <row r="2773" customFormat="false" ht="15" hidden="false" customHeight="false" outlineLevel="0" collapsed="false">
      <c r="A2773" s="9" t="s">
        <v>8616</v>
      </c>
      <c r="B2773" s="9" t="s">
        <v>5870</v>
      </c>
      <c r="C2773" s="9" t="s">
        <v>3019</v>
      </c>
      <c r="D2773" s="9" t="s">
        <v>5871</v>
      </c>
      <c r="E2773" s="9" t="str">
        <f aca="false">IF(AND('Formation Ledger'!A2752&lt;&gt;"",'Formation Ledger'!V2752=0),"PASS","FAIL")</f>
        <v>PASS</v>
      </c>
      <c r="F2773" s="9" t="s">
        <v>76</v>
      </c>
      <c r="G2773" s="6"/>
      <c r="H2773" s="6"/>
      <c r="I2773" s="6"/>
      <c r="J2773" s="6"/>
      <c r="K2773" s="6"/>
      <c r="L2773" s="6"/>
      <c r="M2773" s="6"/>
      <c r="N2773" s="6"/>
      <c r="O2773" s="6"/>
      <c r="P2773" s="6"/>
      <c r="Q2773" s="6"/>
      <c r="R2773" s="6"/>
      <c r="S2773" s="6"/>
      <c r="T2773" s="6"/>
      <c r="U2773" s="6"/>
      <c r="V2773" s="6"/>
      <c r="W2773" s="6"/>
      <c r="X2773" s="6"/>
      <c r="Y2773" s="6"/>
      <c r="Z2773" s="6"/>
    </row>
    <row r="2774" customFormat="false" ht="15" hidden="false" customHeight="false" outlineLevel="0" collapsed="false">
      <c r="A2774" s="9" t="s">
        <v>8617</v>
      </c>
      <c r="B2774" s="9" t="s">
        <v>5870</v>
      </c>
      <c r="C2774" s="9" t="s">
        <v>3020</v>
      </c>
      <c r="D2774" s="9" t="s">
        <v>5871</v>
      </c>
      <c r="E2774" s="9" t="str">
        <f aca="false">IF(AND('Formation Ledger'!A2753&lt;&gt;"",'Formation Ledger'!V2753=0),"PASS","FAIL")</f>
        <v>PASS</v>
      </c>
      <c r="F2774" s="9" t="s">
        <v>76</v>
      </c>
      <c r="G2774" s="6"/>
      <c r="H2774" s="6"/>
      <c r="I2774" s="6"/>
      <c r="J2774" s="6"/>
      <c r="K2774" s="6"/>
      <c r="L2774" s="6"/>
      <c r="M2774" s="6"/>
      <c r="N2774" s="6"/>
      <c r="O2774" s="6"/>
      <c r="P2774" s="6"/>
      <c r="Q2774" s="6"/>
      <c r="R2774" s="6"/>
      <c r="S2774" s="6"/>
      <c r="T2774" s="6"/>
      <c r="U2774" s="6"/>
      <c r="V2774" s="6"/>
      <c r="W2774" s="6"/>
      <c r="X2774" s="6"/>
      <c r="Y2774" s="6"/>
      <c r="Z2774" s="6"/>
    </row>
    <row r="2775" customFormat="false" ht="15" hidden="false" customHeight="false" outlineLevel="0" collapsed="false">
      <c r="A2775" s="9" t="s">
        <v>8618</v>
      </c>
      <c r="B2775" s="9" t="s">
        <v>5870</v>
      </c>
      <c r="C2775" s="9" t="s">
        <v>3021</v>
      </c>
      <c r="D2775" s="9" t="s">
        <v>5871</v>
      </c>
      <c r="E2775" s="9" t="str">
        <f aca="false">IF(AND('Formation Ledger'!A2754&lt;&gt;"",'Formation Ledger'!V2754=0),"PASS","FAIL")</f>
        <v>PASS</v>
      </c>
      <c r="F2775" s="9" t="s">
        <v>76</v>
      </c>
      <c r="G2775" s="6"/>
      <c r="H2775" s="6"/>
      <c r="I2775" s="6"/>
      <c r="J2775" s="6"/>
      <c r="K2775" s="6"/>
      <c r="L2775" s="6"/>
      <c r="M2775" s="6"/>
      <c r="N2775" s="6"/>
      <c r="O2775" s="6"/>
      <c r="P2775" s="6"/>
      <c r="Q2775" s="6"/>
      <c r="R2775" s="6"/>
      <c r="S2775" s="6"/>
      <c r="T2775" s="6"/>
      <c r="U2775" s="6"/>
      <c r="V2775" s="6"/>
      <c r="W2775" s="6"/>
      <c r="X2775" s="6"/>
      <c r="Y2775" s="6"/>
      <c r="Z2775" s="6"/>
    </row>
    <row r="2776" customFormat="false" ht="15" hidden="false" customHeight="false" outlineLevel="0" collapsed="false">
      <c r="A2776" s="9" t="s">
        <v>8619</v>
      </c>
      <c r="B2776" s="9" t="s">
        <v>5870</v>
      </c>
      <c r="C2776" s="9" t="s">
        <v>3022</v>
      </c>
      <c r="D2776" s="9" t="s">
        <v>5871</v>
      </c>
      <c r="E2776" s="9" t="str">
        <f aca="false">IF(AND('Formation Ledger'!A2755&lt;&gt;"",'Formation Ledger'!V2755=0),"PASS","FAIL")</f>
        <v>PASS</v>
      </c>
      <c r="F2776" s="9" t="s">
        <v>76</v>
      </c>
      <c r="G2776" s="6"/>
      <c r="H2776" s="6"/>
      <c r="I2776" s="6"/>
      <c r="J2776" s="6"/>
      <c r="K2776" s="6"/>
      <c r="L2776" s="6"/>
      <c r="M2776" s="6"/>
      <c r="N2776" s="6"/>
      <c r="O2776" s="6"/>
      <c r="P2776" s="6"/>
      <c r="Q2776" s="6"/>
      <c r="R2776" s="6"/>
      <c r="S2776" s="6"/>
      <c r="T2776" s="6"/>
      <c r="U2776" s="6"/>
      <c r="V2776" s="6"/>
      <c r="W2776" s="6"/>
      <c r="X2776" s="6"/>
      <c r="Y2776" s="6"/>
      <c r="Z2776" s="6"/>
    </row>
    <row r="2777" customFormat="false" ht="15" hidden="false" customHeight="false" outlineLevel="0" collapsed="false">
      <c r="A2777" s="9" t="s">
        <v>8620</v>
      </c>
      <c r="B2777" s="9" t="s">
        <v>5870</v>
      </c>
      <c r="C2777" s="9" t="s">
        <v>3023</v>
      </c>
      <c r="D2777" s="9" t="s">
        <v>5871</v>
      </c>
      <c r="E2777" s="9" t="str">
        <f aca="false">IF(AND('Formation Ledger'!A2756&lt;&gt;"",'Formation Ledger'!V2756=0),"PASS","FAIL")</f>
        <v>PASS</v>
      </c>
      <c r="F2777" s="9" t="s">
        <v>76</v>
      </c>
      <c r="G2777" s="6"/>
      <c r="H2777" s="6"/>
      <c r="I2777" s="6"/>
      <c r="J2777" s="6"/>
      <c r="K2777" s="6"/>
      <c r="L2777" s="6"/>
      <c r="M2777" s="6"/>
      <c r="N2777" s="6"/>
      <c r="O2777" s="6"/>
      <c r="P2777" s="6"/>
      <c r="Q2777" s="6"/>
      <c r="R2777" s="6"/>
      <c r="S2777" s="6"/>
      <c r="T2777" s="6"/>
      <c r="U2777" s="6"/>
      <c r="V2777" s="6"/>
      <c r="W2777" s="6"/>
      <c r="X2777" s="6"/>
      <c r="Y2777" s="6"/>
      <c r="Z2777" s="6"/>
    </row>
    <row r="2778" customFormat="false" ht="15" hidden="false" customHeight="false" outlineLevel="0" collapsed="false">
      <c r="A2778" s="9" t="s">
        <v>8621</v>
      </c>
      <c r="B2778" s="9" t="s">
        <v>5870</v>
      </c>
      <c r="C2778" s="9" t="s">
        <v>3024</v>
      </c>
      <c r="D2778" s="9" t="s">
        <v>5871</v>
      </c>
      <c r="E2778" s="9" t="str">
        <f aca="false">IF(AND('Formation Ledger'!A2757&lt;&gt;"",'Formation Ledger'!V2757=0),"PASS","FAIL")</f>
        <v>PASS</v>
      </c>
      <c r="F2778" s="9" t="s">
        <v>76</v>
      </c>
      <c r="G2778" s="6"/>
      <c r="H2778" s="6"/>
      <c r="I2778" s="6"/>
      <c r="J2778" s="6"/>
      <c r="K2778" s="6"/>
      <c r="L2778" s="6"/>
      <c r="M2778" s="6"/>
      <c r="N2778" s="6"/>
      <c r="O2778" s="6"/>
      <c r="P2778" s="6"/>
      <c r="Q2778" s="6"/>
      <c r="R2778" s="6"/>
      <c r="S2778" s="6"/>
      <c r="T2778" s="6"/>
      <c r="U2778" s="6"/>
      <c r="V2778" s="6"/>
      <c r="W2778" s="6"/>
      <c r="X2778" s="6"/>
      <c r="Y2778" s="6"/>
      <c r="Z2778" s="6"/>
    </row>
    <row r="2779" customFormat="false" ht="15" hidden="false" customHeight="false" outlineLevel="0" collapsed="false">
      <c r="A2779" s="9" t="s">
        <v>8622</v>
      </c>
      <c r="B2779" s="9" t="s">
        <v>5870</v>
      </c>
      <c r="C2779" s="9" t="s">
        <v>3025</v>
      </c>
      <c r="D2779" s="9" t="s">
        <v>5871</v>
      </c>
      <c r="E2779" s="9" t="str">
        <f aca="false">IF(AND('Formation Ledger'!A2758&lt;&gt;"",'Formation Ledger'!V2758=0),"PASS","FAIL")</f>
        <v>PASS</v>
      </c>
      <c r="F2779" s="9" t="s">
        <v>76</v>
      </c>
      <c r="G2779" s="6"/>
      <c r="H2779" s="6"/>
      <c r="I2779" s="6"/>
      <c r="J2779" s="6"/>
      <c r="K2779" s="6"/>
      <c r="L2779" s="6"/>
      <c r="M2779" s="6"/>
      <c r="N2779" s="6"/>
      <c r="O2779" s="6"/>
      <c r="P2779" s="6"/>
      <c r="Q2779" s="6"/>
      <c r="R2779" s="6"/>
      <c r="S2779" s="6"/>
      <c r="T2779" s="6"/>
      <c r="U2779" s="6"/>
      <c r="V2779" s="6"/>
      <c r="W2779" s="6"/>
      <c r="X2779" s="6"/>
      <c r="Y2779" s="6"/>
      <c r="Z2779" s="6"/>
    </row>
    <row r="2780" customFormat="false" ht="15" hidden="false" customHeight="false" outlineLevel="0" collapsed="false">
      <c r="A2780" s="9" t="s">
        <v>8623</v>
      </c>
      <c r="B2780" s="9" t="s">
        <v>5870</v>
      </c>
      <c r="C2780" s="9" t="s">
        <v>3026</v>
      </c>
      <c r="D2780" s="9" t="s">
        <v>5871</v>
      </c>
      <c r="E2780" s="9" t="str">
        <f aca="false">IF(AND('Formation Ledger'!A2759&lt;&gt;"",'Formation Ledger'!V2759=0),"PASS","FAIL")</f>
        <v>PASS</v>
      </c>
      <c r="F2780" s="9" t="s">
        <v>76</v>
      </c>
      <c r="G2780" s="6"/>
      <c r="H2780" s="6"/>
      <c r="I2780" s="6"/>
      <c r="J2780" s="6"/>
      <c r="K2780" s="6"/>
      <c r="L2780" s="6"/>
      <c r="M2780" s="6"/>
      <c r="N2780" s="6"/>
      <c r="O2780" s="6"/>
      <c r="P2780" s="6"/>
      <c r="Q2780" s="6"/>
      <c r="R2780" s="6"/>
      <c r="S2780" s="6"/>
      <c r="T2780" s="6"/>
      <c r="U2780" s="6"/>
      <c r="V2780" s="6"/>
      <c r="W2780" s="6"/>
      <c r="X2780" s="6"/>
      <c r="Y2780" s="6"/>
      <c r="Z2780" s="6"/>
    </row>
    <row r="2781" customFormat="false" ht="15" hidden="false" customHeight="false" outlineLevel="0" collapsed="false">
      <c r="A2781" s="9" t="s">
        <v>8624</v>
      </c>
      <c r="B2781" s="9" t="s">
        <v>5870</v>
      </c>
      <c r="C2781" s="9" t="s">
        <v>3027</v>
      </c>
      <c r="D2781" s="9" t="s">
        <v>5871</v>
      </c>
      <c r="E2781" s="9" t="str">
        <f aca="false">IF(AND('Formation Ledger'!A2760&lt;&gt;"",'Formation Ledger'!V2760=0),"PASS","FAIL")</f>
        <v>PASS</v>
      </c>
      <c r="F2781" s="9" t="s">
        <v>76</v>
      </c>
      <c r="G2781" s="6"/>
      <c r="H2781" s="6"/>
      <c r="I2781" s="6"/>
      <c r="J2781" s="6"/>
      <c r="K2781" s="6"/>
      <c r="L2781" s="6"/>
      <c r="M2781" s="6"/>
      <c r="N2781" s="6"/>
      <c r="O2781" s="6"/>
      <c r="P2781" s="6"/>
      <c r="Q2781" s="6"/>
      <c r="R2781" s="6"/>
      <c r="S2781" s="6"/>
      <c r="T2781" s="6"/>
      <c r="U2781" s="6"/>
      <c r="V2781" s="6"/>
      <c r="W2781" s="6"/>
      <c r="X2781" s="6"/>
      <c r="Y2781" s="6"/>
      <c r="Z2781" s="6"/>
    </row>
    <row r="2782" customFormat="false" ht="15" hidden="false" customHeight="false" outlineLevel="0" collapsed="false">
      <c r="A2782" s="9" t="s">
        <v>8625</v>
      </c>
      <c r="B2782" s="9" t="s">
        <v>5870</v>
      </c>
      <c r="C2782" s="9" t="s">
        <v>3028</v>
      </c>
      <c r="D2782" s="9" t="s">
        <v>5871</v>
      </c>
      <c r="E2782" s="9" t="str">
        <f aca="false">IF(AND('Formation Ledger'!A2761&lt;&gt;"",'Formation Ledger'!V2761=0),"PASS","FAIL")</f>
        <v>PASS</v>
      </c>
      <c r="F2782" s="9" t="s">
        <v>76</v>
      </c>
      <c r="G2782" s="6"/>
      <c r="H2782" s="6"/>
      <c r="I2782" s="6"/>
      <c r="J2782" s="6"/>
      <c r="K2782" s="6"/>
      <c r="L2782" s="6"/>
      <c r="M2782" s="6"/>
      <c r="N2782" s="6"/>
      <c r="O2782" s="6"/>
      <c r="P2782" s="6"/>
      <c r="Q2782" s="6"/>
      <c r="R2782" s="6"/>
      <c r="S2782" s="6"/>
      <c r="T2782" s="6"/>
      <c r="U2782" s="6"/>
      <c r="V2782" s="6"/>
      <c r="W2782" s="6"/>
      <c r="X2782" s="6"/>
      <c r="Y2782" s="6"/>
      <c r="Z2782" s="6"/>
    </row>
    <row r="2783" customFormat="false" ht="15" hidden="false" customHeight="false" outlineLevel="0" collapsed="false">
      <c r="A2783" s="9" t="s">
        <v>8626</v>
      </c>
      <c r="B2783" s="9" t="s">
        <v>5870</v>
      </c>
      <c r="C2783" s="9" t="s">
        <v>3029</v>
      </c>
      <c r="D2783" s="9" t="s">
        <v>5871</v>
      </c>
      <c r="E2783" s="9" t="str">
        <f aca="false">IF(AND('Formation Ledger'!A2762&lt;&gt;"",'Formation Ledger'!V2762=0),"PASS","FAIL")</f>
        <v>PASS</v>
      </c>
      <c r="F2783" s="9" t="s">
        <v>76</v>
      </c>
      <c r="G2783" s="6"/>
      <c r="H2783" s="6"/>
      <c r="I2783" s="6"/>
      <c r="J2783" s="6"/>
      <c r="K2783" s="6"/>
      <c r="L2783" s="6"/>
      <c r="M2783" s="6"/>
      <c r="N2783" s="6"/>
      <c r="O2783" s="6"/>
      <c r="P2783" s="6"/>
      <c r="Q2783" s="6"/>
      <c r="R2783" s="6"/>
      <c r="S2783" s="6"/>
      <c r="T2783" s="6"/>
      <c r="U2783" s="6"/>
      <c r="V2783" s="6"/>
      <c r="W2783" s="6"/>
      <c r="X2783" s="6"/>
      <c r="Y2783" s="6"/>
      <c r="Z2783" s="6"/>
    </row>
    <row r="2784" customFormat="false" ht="15" hidden="false" customHeight="false" outlineLevel="0" collapsed="false">
      <c r="A2784" s="9" t="s">
        <v>8627</v>
      </c>
      <c r="B2784" s="9" t="s">
        <v>5870</v>
      </c>
      <c r="C2784" s="9" t="s">
        <v>3030</v>
      </c>
      <c r="D2784" s="9" t="s">
        <v>5871</v>
      </c>
      <c r="E2784" s="9" t="str">
        <f aca="false">IF(AND('Formation Ledger'!A2763&lt;&gt;"",'Formation Ledger'!V2763=0),"PASS","FAIL")</f>
        <v>PASS</v>
      </c>
      <c r="F2784" s="9" t="s">
        <v>76</v>
      </c>
      <c r="G2784" s="6"/>
      <c r="H2784" s="6"/>
      <c r="I2784" s="6"/>
      <c r="J2784" s="6"/>
      <c r="K2784" s="6"/>
      <c r="L2784" s="6"/>
      <c r="M2784" s="6"/>
      <c r="N2784" s="6"/>
      <c r="O2784" s="6"/>
      <c r="P2784" s="6"/>
      <c r="Q2784" s="6"/>
      <c r="R2784" s="6"/>
      <c r="S2784" s="6"/>
      <c r="T2784" s="6"/>
      <c r="U2784" s="6"/>
      <c r="V2784" s="6"/>
      <c r="W2784" s="6"/>
      <c r="X2784" s="6"/>
      <c r="Y2784" s="6"/>
      <c r="Z2784" s="6"/>
    </row>
    <row r="2785" customFormat="false" ht="15" hidden="false" customHeight="false" outlineLevel="0" collapsed="false">
      <c r="A2785" s="9" t="s">
        <v>8628</v>
      </c>
      <c r="B2785" s="9" t="s">
        <v>5870</v>
      </c>
      <c r="C2785" s="9" t="s">
        <v>3031</v>
      </c>
      <c r="D2785" s="9" t="s">
        <v>5871</v>
      </c>
      <c r="E2785" s="9" t="str">
        <f aca="false">IF(AND('Formation Ledger'!A2764&lt;&gt;"",'Formation Ledger'!V2764=0),"PASS","FAIL")</f>
        <v>PASS</v>
      </c>
      <c r="F2785" s="9" t="s">
        <v>76</v>
      </c>
      <c r="G2785" s="6"/>
      <c r="H2785" s="6"/>
      <c r="I2785" s="6"/>
      <c r="J2785" s="6"/>
      <c r="K2785" s="6"/>
      <c r="L2785" s="6"/>
      <c r="M2785" s="6"/>
      <c r="N2785" s="6"/>
      <c r="O2785" s="6"/>
      <c r="P2785" s="6"/>
      <c r="Q2785" s="6"/>
      <c r="R2785" s="6"/>
      <c r="S2785" s="6"/>
      <c r="T2785" s="6"/>
      <c r="U2785" s="6"/>
      <c r="V2785" s="6"/>
      <c r="W2785" s="6"/>
      <c r="X2785" s="6"/>
      <c r="Y2785" s="6"/>
      <c r="Z2785" s="6"/>
    </row>
    <row r="2786" customFormat="false" ht="15" hidden="false" customHeight="false" outlineLevel="0" collapsed="false">
      <c r="A2786" s="9" t="s">
        <v>8629</v>
      </c>
      <c r="B2786" s="9" t="s">
        <v>5870</v>
      </c>
      <c r="C2786" s="9" t="s">
        <v>3032</v>
      </c>
      <c r="D2786" s="9" t="s">
        <v>5871</v>
      </c>
      <c r="E2786" s="9" t="str">
        <f aca="false">IF(AND('Formation Ledger'!A2765&lt;&gt;"",'Formation Ledger'!V2765=0),"PASS","FAIL")</f>
        <v>PASS</v>
      </c>
      <c r="F2786" s="9" t="s">
        <v>76</v>
      </c>
      <c r="G2786" s="6"/>
      <c r="H2786" s="6"/>
      <c r="I2786" s="6"/>
      <c r="J2786" s="6"/>
      <c r="K2786" s="6"/>
      <c r="L2786" s="6"/>
      <c r="M2786" s="6"/>
      <c r="N2786" s="6"/>
      <c r="O2786" s="6"/>
      <c r="P2786" s="6"/>
      <c r="Q2786" s="6"/>
      <c r="R2786" s="6"/>
      <c r="S2786" s="6"/>
      <c r="T2786" s="6"/>
      <c r="U2786" s="6"/>
      <c r="V2786" s="6"/>
      <c r="W2786" s="6"/>
      <c r="X2786" s="6"/>
      <c r="Y2786" s="6"/>
      <c r="Z2786" s="6"/>
    </row>
    <row r="2787" customFormat="false" ht="15" hidden="false" customHeight="false" outlineLevel="0" collapsed="false">
      <c r="A2787" s="9" t="s">
        <v>8630</v>
      </c>
      <c r="B2787" s="9" t="s">
        <v>5870</v>
      </c>
      <c r="C2787" s="9" t="s">
        <v>3033</v>
      </c>
      <c r="D2787" s="9" t="s">
        <v>5871</v>
      </c>
      <c r="E2787" s="9" t="str">
        <f aca="false">IF(AND('Formation Ledger'!A2766&lt;&gt;"",'Formation Ledger'!V2766=0),"PASS","FAIL")</f>
        <v>PASS</v>
      </c>
      <c r="F2787" s="9" t="s">
        <v>76</v>
      </c>
      <c r="G2787" s="6"/>
      <c r="H2787" s="6"/>
      <c r="I2787" s="6"/>
      <c r="J2787" s="6"/>
      <c r="K2787" s="6"/>
      <c r="L2787" s="6"/>
      <c r="M2787" s="6"/>
      <c r="N2787" s="6"/>
      <c r="O2787" s="6"/>
      <c r="P2787" s="6"/>
      <c r="Q2787" s="6"/>
      <c r="R2787" s="6"/>
      <c r="S2787" s="6"/>
      <c r="T2787" s="6"/>
      <c r="U2787" s="6"/>
      <c r="V2787" s="6"/>
      <c r="W2787" s="6"/>
      <c r="X2787" s="6"/>
      <c r="Y2787" s="6"/>
      <c r="Z2787" s="6"/>
    </row>
    <row r="2788" customFormat="false" ht="15" hidden="false" customHeight="false" outlineLevel="0" collapsed="false">
      <c r="A2788" s="9" t="s">
        <v>8631</v>
      </c>
      <c r="B2788" s="9" t="s">
        <v>5870</v>
      </c>
      <c r="C2788" s="9" t="s">
        <v>3034</v>
      </c>
      <c r="D2788" s="9" t="s">
        <v>5871</v>
      </c>
      <c r="E2788" s="9" t="str">
        <f aca="false">IF(AND('Formation Ledger'!A2767&lt;&gt;"",'Formation Ledger'!V2767=0),"PASS","FAIL")</f>
        <v>PASS</v>
      </c>
      <c r="F2788" s="9" t="s">
        <v>76</v>
      </c>
      <c r="G2788" s="6"/>
      <c r="H2788" s="6"/>
      <c r="I2788" s="6"/>
      <c r="J2788" s="6"/>
      <c r="K2788" s="6"/>
      <c r="L2788" s="6"/>
      <c r="M2788" s="6"/>
      <c r="N2788" s="6"/>
      <c r="O2788" s="6"/>
      <c r="P2788" s="6"/>
      <c r="Q2788" s="6"/>
      <c r="R2788" s="6"/>
      <c r="S2788" s="6"/>
      <c r="T2788" s="6"/>
      <c r="U2788" s="6"/>
      <c r="V2788" s="6"/>
      <c r="W2788" s="6"/>
      <c r="X2788" s="6"/>
      <c r="Y2788" s="6"/>
      <c r="Z2788" s="6"/>
    </row>
    <row r="2789" customFormat="false" ht="15" hidden="false" customHeight="false" outlineLevel="0" collapsed="false">
      <c r="A2789" s="9" t="s">
        <v>8632</v>
      </c>
      <c r="B2789" s="9" t="s">
        <v>5870</v>
      </c>
      <c r="C2789" s="9" t="s">
        <v>3035</v>
      </c>
      <c r="D2789" s="9" t="s">
        <v>5871</v>
      </c>
      <c r="E2789" s="9" t="str">
        <f aca="false">IF(AND('Formation Ledger'!A2768&lt;&gt;"",'Formation Ledger'!V2768=0),"PASS","FAIL")</f>
        <v>PASS</v>
      </c>
      <c r="F2789" s="9" t="s">
        <v>76</v>
      </c>
      <c r="G2789" s="6"/>
      <c r="H2789" s="6"/>
      <c r="I2789" s="6"/>
      <c r="J2789" s="6"/>
      <c r="K2789" s="6"/>
      <c r="L2789" s="6"/>
      <c r="M2789" s="6"/>
      <c r="N2789" s="6"/>
      <c r="O2789" s="6"/>
      <c r="P2789" s="6"/>
      <c r="Q2789" s="6"/>
      <c r="R2789" s="6"/>
      <c r="S2789" s="6"/>
      <c r="T2789" s="6"/>
      <c r="U2789" s="6"/>
      <c r="V2789" s="6"/>
      <c r="W2789" s="6"/>
      <c r="X2789" s="6"/>
      <c r="Y2789" s="6"/>
      <c r="Z2789" s="6"/>
    </row>
    <row r="2790" customFormat="false" ht="15" hidden="false" customHeight="false" outlineLevel="0" collapsed="false">
      <c r="A2790" s="9" t="s">
        <v>8633</v>
      </c>
      <c r="B2790" s="9" t="s">
        <v>5870</v>
      </c>
      <c r="C2790" s="9" t="s">
        <v>3036</v>
      </c>
      <c r="D2790" s="9" t="s">
        <v>5871</v>
      </c>
      <c r="E2790" s="9" t="str">
        <f aca="false">IF(AND('Formation Ledger'!A2769&lt;&gt;"",'Formation Ledger'!V2769=0),"PASS","FAIL")</f>
        <v>PASS</v>
      </c>
      <c r="F2790" s="9" t="s">
        <v>76</v>
      </c>
      <c r="G2790" s="6"/>
      <c r="H2790" s="6"/>
      <c r="I2790" s="6"/>
      <c r="J2790" s="6"/>
      <c r="K2790" s="6"/>
      <c r="L2790" s="6"/>
      <c r="M2790" s="6"/>
      <c r="N2790" s="6"/>
      <c r="O2790" s="6"/>
      <c r="P2790" s="6"/>
      <c r="Q2790" s="6"/>
      <c r="R2790" s="6"/>
      <c r="S2790" s="6"/>
      <c r="T2790" s="6"/>
      <c r="U2790" s="6"/>
      <c r="V2790" s="6"/>
      <c r="W2790" s="6"/>
      <c r="X2790" s="6"/>
      <c r="Y2790" s="6"/>
      <c r="Z2790" s="6"/>
    </row>
    <row r="2791" customFormat="false" ht="15" hidden="false" customHeight="false" outlineLevel="0" collapsed="false">
      <c r="A2791" s="9" t="s">
        <v>8634</v>
      </c>
      <c r="B2791" s="9" t="s">
        <v>5870</v>
      </c>
      <c r="C2791" s="9" t="s">
        <v>3037</v>
      </c>
      <c r="D2791" s="9" t="s">
        <v>5871</v>
      </c>
      <c r="E2791" s="9" t="str">
        <f aca="false">IF(AND('Formation Ledger'!A2770&lt;&gt;"",'Formation Ledger'!V2770=0),"PASS","FAIL")</f>
        <v>PASS</v>
      </c>
      <c r="F2791" s="9" t="s">
        <v>76</v>
      </c>
      <c r="G2791" s="6"/>
      <c r="H2791" s="6"/>
      <c r="I2791" s="6"/>
      <c r="J2791" s="6"/>
      <c r="K2791" s="6"/>
      <c r="L2791" s="6"/>
      <c r="M2791" s="6"/>
      <c r="N2791" s="6"/>
      <c r="O2791" s="6"/>
      <c r="P2791" s="6"/>
      <c r="Q2791" s="6"/>
      <c r="R2791" s="6"/>
      <c r="S2791" s="6"/>
      <c r="T2791" s="6"/>
      <c r="U2791" s="6"/>
      <c r="V2791" s="6"/>
      <c r="W2791" s="6"/>
      <c r="X2791" s="6"/>
      <c r="Y2791" s="6"/>
      <c r="Z2791" s="6"/>
    </row>
    <row r="2792" customFormat="false" ht="15" hidden="false" customHeight="false" outlineLevel="0" collapsed="false">
      <c r="A2792" s="9" t="s">
        <v>8635</v>
      </c>
      <c r="B2792" s="9" t="s">
        <v>5870</v>
      </c>
      <c r="C2792" s="9" t="s">
        <v>3038</v>
      </c>
      <c r="D2792" s="9" t="s">
        <v>5871</v>
      </c>
      <c r="E2792" s="9" t="str">
        <f aca="false">IF(AND('Formation Ledger'!A2771&lt;&gt;"",'Formation Ledger'!V2771=0),"PASS","FAIL")</f>
        <v>PASS</v>
      </c>
      <c r="F2792" s="9" t="s">
        <v>76</v>
      </c>
      <c r="G2792" s="6"/>
      <c r="H2792" s="6"/>
      <c r="I2792" s="6"/>
      <c r="J2792" s="6"/>
      <c r="K2792" s="6"/>
      <c r="L2792" s="6"/>
      <c r="M2792" s="6"/>
      <c r="N2792" s="6"/>
      <c r="O2792" s="6"/>
      <c r="P2792" s="6"/>
      <c r="Q2792" s="6"/>
      <c r="R2792" s="6"/>
      <c r="S2792" s="6"/>
      <c r="T2792" s="6"/>
      <c r="U2792" s="6"/>
      <c r="V2792" s="6"/>
      <c r="W2792" s="6"/>
      <c r="X2792" s="6"/>
      <c r="Y2792" s="6"/>
      <c r="Z2792" s="6"/>
    </row>
    <row r="2793" customFormat="false" ht="15" hidden="false" customHeight="false" outlineLevel="0" collapsed="false">
      <c r="A2793" s="9" t="s">
        <v>8636</v>
      </c>
      <c r="B2793" s="9" t="s">
        <v>5870</v>
      </c>
      <c r="C2793" s="9" t="s">
        <v>3039</v>
      </c>
      <c r="D2793" s="9" t="s">
        <v>5871</v>
      </c>
      <c r="E2793" s="9" t="str">
        <f aca="false">IF(AND('Formation Ledger'!A2772&lt;&gt;"",'Formation Ledger'!V2772=0),"PASS","FAIL")</f>
        <v>PASS</v>
      </c>
      <c r="F2793" s="9" t="s">
        <v>76</v>
      </c>
      <c r="G2793" s="6"/>
      <c r="H2793" s="6"/>
      <c r="I2793" s="6"/>
      <c r="J2793" s="6"/>
      <c r="K2793" s="6"/>
      <c r="L2793" s="6"/>
      <c r="M2793" s="6"/>
      <c r="N2793" s="6"/>
      <c r="O2793" s="6"/>
      <c r="P2793" s="6"/>
      <c r="Q2793" s="6"/>
      <c r="R2793" s="6"/>
      <c r="S2793" s="6"/>
      <c r="T2793" s="6"/>
      <c r="U2793" s="6"/>
      <c r="V2793" s="6"/>
      <c r="W2793" s="6"/>
      <c r="X2793" s="6"/>
      <c r="Y2793" s="6"/>
      <c r="Z2793" s="6"/>
    </row>
    <row r="2794" customFormat="false" ht="15" hidden="false" customHeight="false" outlineLevel="0" collapsed="false">
      <c r="A2794" s="9" t="s">
        <v>8637</v>
      </c>
      <c r="B2794" s="9" t="s">
        <v>5870</v>
      </c>
      <c r="C2794" s="9" t="s">
        <v>3040</v>
      </c>
      <c r="D2794" s="9" t="s">
        <v>5871</v>
      </c>
      <c r="E2794" s="9" t="str">
        <f aca="false">IF(AND('Formation Ledger'!A2773&lt;&gt;"",'Formation Ledger'!V2773=0),"PASS","FAIL")</f>
        <v>PASS</v>
      </c>
      <c r="F2794" s="9" t="s">
        <v>76</v>
      </c>
      <c r="G2794" s="6"/>
      <c r="H2794" s="6"/>
      <c r="I2794" s="6"/>
      <c r="J2794" s="6"/>
      <c r="K2794" s="6"/>
      <c r="L2794" s="6"/>
      <c r="M2794" s="6"/>
      <c r="N2794" s="6"/>
      <c r="O2794" s="6"/>
      <c r="P2794" s="6"/>
      <c r="Q2794" s="6"/>
      <c r="R2794" s="6"/>
      <c r="S2794" s="6"/>
      <c r="T2794" s="6"/>
      <c r="U2794" s="6"/>
      <c r="V2794" s="6"/>
      <c r="W2794" s="6"/>
      <c r="X2794" s="6"/>
      <c r="Y2794" s="6"/>
      <c r="Z2794" s="6"/>
    </row>
    <row r="2795" customFormat="false" ht="15" hidden="false" customHeight="false" outlineLevel="0" collapsed="false">
      <c r="A2795" s="9" t="s">
        <v>8638</v>
      </c>
      <c r="B2795" s="9" t="s">
        <v>5870</v>
      </c>
      <c r="C2795" s="9" t="s">
        <v>3041</v>
      </c>
      <c r="D2795" s="9" t="s">
        <v>5871</v>
      </c>
      <c r="E2795" s="9" t="str">
        <f aca="false">IF(AND('Formation Ledger'!A2774&lt;&gt;"",'Formation Ledger'!V2774=0),"PASS","FAIL")</f>
        <v>PASS</v>
      </c>
      <c r="F2795" s="9" t="s">
        <v>76</v>
      </c>
      <c r="G2795" s="6"/>
      <c r="H2795" s="6"/>
      <c r="I2795" s="6"/>
      <c r="J2795" s="6"/>
      <c r="K2795" s="6"/>
      <c r="L2795" s="6"/>
      <c r="M2795" s="6"/>
      <c r="N2795" s="6"/>
      <c r="O2795" s="6"/>
      <c r="P2795" s="6"/>
      <c r="Q2795" s="6"/>
      <c r="R2795" s="6"/>
      <c r="S2795" s="6"/>
      <c r="T2795" s="6"/>
      <c r="U2795" s="6"/>
      <c r="V2795" s="6"/>
      <c r="W2795" s="6"/>
      <c r="X2795" s="6"/>
      <c r="Y2795" s="6"/>
      <c r="Z2795" s="6"/>
    </row>
    <row r="2796" customFormat="false" ht="15" hidden="false" customHeight="false" outlineLevel="0" collapsed="false">
      <c r="A2796" s="9" t="s">
        <v>8639</v>
      </c>
      <c r="B2796" s="9" t="s">
        <v>5870</v>
      </c>
      <c r="C2796" s="9" t="s">
        <v>3042</v>
      </c>
      <c r="D2796" s="9" t="s">
        <v>5871</v>
      </c>
      <c r="E2796" s="9" t="str">
        <f aca="false">IF(AND('Formation Ledger'!A2775&lt;&gt;"",'Formation Ledger'!V2775=0),"PASS","FAIL")</f>
        <v>PASS</v>
      </c>
      <c r="F2796" s="9" t="s">
        <v>76</v>
      </c>
      <c r="G2796" s="6"/>
      <c r="H2796" s="6"/>
      <c r="I2796" s="6"/>
      <c r="J2796" s="6"/>
      <c r="K2796" s="6"/>
      <c r="L2796" s="6"/>
      <c r="M2796" s="6"/>
      <c r="N2796" s="6"/>
      <c r="O2796" s="6"/>
      <c r="P2796" s="6"/>
      <c r="Q2796" s="6"/>
      <c r="R2796" s="6"/>
      <c r="S2796" s="6"/>
      <c r="T2796" s="6"/>
      <c r="U2796" s="6"/>
      <c r="V2796" s="6"/>
      <c r="W2796" s="6"/>
      <c r="X2796" s="6"/>
      <c r="Y2796" s="6"/>
      <c r="Z2796" s="6"/>
    </row>
    <row r="2797" customFormat="false" ht="15" hidden="false" customHeight="false" outlineLevel="0" collapsed="false">
      <c r="A2797" s="9" t="s">
        <v>8640</v>
      </c>
      <c r="B2797" s="9" t="s">
        <v>5870</v>
      </c>
      <c r="C2797" s="9" t="s">
        <v>3043</v>
      </c>
      <c r="D2797" s="9" t="s">
        <v>5871</v>
      </c>
      <c r="E2797" s="9" t="str">
        <f aca="false">IF(AND('Formation Ledger'!A2776&lt;&gt;"",'Formation Ledger'!V2776=0),"PASS","FAIL")</f>
        <v>PASS</v>
      </c>
      <c r="F2797" s="9" t="s">
        <v>76</v>
      </c>
      <c r="G2797" s="6"/>
      <c r="H2797" s="6"/>
      <c r="I2797" s="6"/>
      <c r="J2797" s="6"/>
      <c r="K2797" s="6"/>
      <c r="L2797" s="6"/>
      <c r="M2797" s="6"/>
      <c r="N2797" s="6"/>
      <c r="O2797" s="6"/>
      <c r="P2797" s="6"/>
      <c r="Q2797" s="6"/>
      <c r="R2797" s="6"/>
      <c r="S2797" s="6"/>
      <c r="T2797" s="6"/>
      <c r="U2797" s="6"/>
      <c r="V2797" s="6"/>
      <c r="W2797" s="6"/>
      <c r="X2797" s="6"/>
      <c r="Y2797" s="6"/>
      <c r="Z2797" s="6"/>
    </row>
    <row r="2798" customFormat="false" ht="15" hidden="false" customHeight="false" outlineLevel="0" collapsed="false">
      <c r="A2798" s="9" t="s">
        <v>8641</v>
      </c>
      <c r="B2798" s="9" t="s">
        <v>5870</v>
      </c>
      <c r="C2798" s="9" t="s">
        <v>3044</v>
      </c>
      <c r="D2798" s="9" t="s">
        <v>5871</v>
      </c>
      <c r="E2798" s="9" t="str">
        <f aca="false">IF(AND('Formation Ledger'!A2777&lt;&gt;"",'Formation Ledger'!V2777=0),"PASS","FAIL")</f>
        <v>PASS</v>
      </c>
      <c r="F2798" s="9" t="s">
        <v>76</v>
      </c>
      <c r="G2798" s="6"/>
      <c r="H2798" s="6"/>
      <c r="I2798" s="6"/>
      <c r="J2798" s="6"/>
      <c r="K2798" s="6"/>
      <c r="L2798" s="6"/>
      <c r="M2798" s="6"/>
      <c r="N2798" s="6"/>
      <c r="O2798" s="6"/>
      <c r="P2798" s="6"/>
      <c r="Q2798" s="6"/>
      <c r="R2798" s="6"/>
      <c r="S2798" s="6"/>
      <c r="T2798" s="6"/>
      <c r="U2798" s="6"/>
      <c r="V2798" s="6"/>
      <c r="W2798" s="6"/>
      <c r="X2798" s="6"/>
      <c r="Y2798" s="6"/>
      <c r="Z2798" s="6"/>
    </row>
    <row r="2799" customFormat="false" ht="15" hidden="false" customHeight="false" outlineLevel="0" collapsed="false">
      <c r="A2799" s="9" t="s">
        <v>8642</v>
      </c>
      <c r="B2799" s="9" t="s">
        <v>5870</v>
      </c>
      <c r="C2799" s="9" t="s">
        <v>3045</v>
      </c>
      <c r="D2799" s="9" t="s">
        <v>5871</v>
      </c>
      <c r="E2799" s="9" t="str">
        <f aca="false">IF(AND('Formation Ledger'!A2778&lt;&gt;"",'Formation Ledger'!V2778=0),"PASS","FAIL")</f>
        <v>PASS</v>
      </c>
      <c r="F2799" s="9" t="s">
        <v>76</v>
      </c>
      <c r="G2799" s="6"/>
      <c r="H2799" s="6"/>
      <c r="I2799" s="6"/>
      <c r="J2799" s="6"/>
      <c r="K2799" s="6"/>
      <c r="L2799" s="6"/>
      <c r="M2799" s="6"/>
      <c r="N2799" s="6"/>
      <c r="O2799" s="6"/>
      <c r="P2799" s="6"/>
      <c r="Q2799" s="6"/>
      <c r="R2799" s="6"/>
      <c r="S2799" s="6"/>
      <c r="T2799" s="6"/>
      <c r="U2799" s="6"/>
      <c r="V2799" s="6"/>
      <c r="W2799" s="6"/>
      <c r="X2799" s="6"/>
      <c r="Y2799" s="6"/>
      <c r="Z2799" s="6"/>
    </row>
    <row r="2800" customFormat="false" ht="15" hidden="false" customHeight="false" outlineLevel="0" collapsed="false">
      <c r="A2800" s="9" t="s">
        <v>8643</v>
      </c>
      <c r="B2800" s="9" t="s">
        <v>5870</v>
      </c>
      <c r="C2800" s="9" t="s">
        <v>3046</v>
      </c>
      <c r="D2800" s="9" t="s">
        <v>5871</v>
      </c>
      <c r="E2800" s="9" t="str">
        <f aca="false">IF(AND('Formation Ledger'!A2779&lt;&gt;"",'Formation Ledger'!V2779=0),"PASS","FAIL")</f>
        <v>PASS</v>
      </c>
      <c r="F2800" s="9" t="s">
        <v>76</v>
      </c>
      <c r="G2800" s="6"/>
      <c r="H2800" s="6"/>
      <c r="I2800" s="6"/>
      <c r="J2800" s="6"/>
      <c r="K2800" s="6"/>
      <c r="L2800" s="6"/>
      <c r="M2800" s="6"/>
      <c r="N2800" s="6"/>
      <c r="O2800" s="6"/>
      <c r="P2800" s="6"/>
      <c r="Q2800" s="6"/>
      <c r="R2800" s="6"/>
      <c r="S2800" s="6"/>
      <c r="T2800" s="6"/>
      <c r="U2800" s="6"/>
      <c r="V2800" s="6"/>
      <c r="W2800" s="6"/>
      <c r="X2800" s="6"/>
      <c r="Y2800" s="6"/>
      <c r="Z2800" s="6"/>
    </row>
    <row r="2801" customFormat="false" ht="15" hidden="false" customHeight="false" outlineLevel="0" collapsed="false">
      <c r="A2801" s="9" t="s">
        <v>8644</v>
      </c>
      <c r="B2801" s="9" t="s">
        <v>5870</v>
      </c>
      <c r="C2801" s="9" t="s">
        <v>3047</v>
      </c>
      <c r="D2801" s="9" t="s">
        <v>5871</v>
      </c>
      <c r="E2801" s="9" t="str">
        <f aca="false">IF(AND('Formation Ledger'!A2780&lt;&gt;"",'Formation Ledger'!V2780=0),"PASS","FAIL")</f>
        <v>PASS</v>
      </c>
      <c r="F2801" s="9" t="s">
        <v>76</v>
      </c>
      <c r="G2801" s="6"/>
      <c r="H2801" s="6"/>
      <c r="I2801" s="6"/>
      <c r="J2801" s="6"/>
      <c r="K2801" s="6"/>
      <c r="L2801" s="6"/>
      <c r="M2801" s="6"/>
      <c r="N2801" s="6"/>
      <c r="O2801" s="6"/>
      <c r="P2801" s="6"/>
      <c r="Q2801" s="6"/>
      <c r="R2801" s="6"/>
      <c r="S2801" s="6"/>
      <c r="T2801" s="6"/>
      <c r="U2801" s="6"/>
      <c r="V2801" s="6"/>
      <c r="W2801" s="6"/>
      <c r="X2801" s="6"/>
      <c r="Y2801" s="6"/>
      <c r="Z2801" s="6"/>
    </row>
    <row r="2802" customFormat="false" ht="15" hidden="false" customHeight="false" outlineLevel="0" collapsed="false">
      <c r="A2802" s="9" t="s">
        <v>8645</v>
      </c>
      <c r="B2802" s="9" t="s">
        <v>5870</v>
      </c>
      <c r="C2802" s="9" t="s">
        <v>3048</v>
      </c>
      <c r="D2802" s="9" t="s">
        <v>5871</v>
      </c>
      <c r="E2802" s="9" t="str">
        <f aca="false">IF(AND('Formation Ledger'!A2781&lt;&gt;"",'Formation Ledger'!V2781=0),"PASS","FAIL")</f>
        <v>PASS</v>
      </c>
      <c r="F2802" s="9" t="s">
        <v>76</v>
      </c>
      <c r="G2802" s="6"/>
      <c r="H2802" s="6"/>
      <c r="I2802" s="6"/>
      <c r="J2802" s="6"/>
      <c r="K2802" s="6"/>
      <c r="L2802" s="6"/>
      <c r="M2802" s="6"/>
      <c r="N2802" s="6"/>
      <c r="O2802" s="6"/>
      <c r="P2802" s="6"/>
      <c r="Q2802" s="6"/>
      <c r="R2802" s="6"/>
      <c r="S2802" s="6"/>
      <c r="T2802" s="6"/>
      <c r="U2802" s="6"/>
      <c r="V2802" s="6"/>
      <c r="W2802" s="6"/>
      <c r="X2802" s="6"/>
      <c r="Y2802" s="6"/>
      <c r="Z2802" s="6"/>
    </row>
    <row r="2803" customFormat="false" ht="15" hidden="false" customHeight="false" outlineLevel="0" collapsed="false">
      <c r="A2803" s="9" t="s">
        <v>8646</v>
      </c>
      <c r="B2803" s="9" t="s">
        <v>5870</v>
      </c>
      <c r="C2803" s="9" t="s">
        <v>3049</v>
      </c>
      <c r="D2803" s="9" t="s">
        <v>5871</v>
      </c>
      <c r="E2803" s="9" t="str">
        <f aca="false">IF(AND('Formation Ledger'!A2782&lt;&gt;"",'Formation Ledger'!V2782=0),"PASS","FAIL")</f>
        <v>PASS</v>
      </c>
      <c r="F2803" s="9" t="s">
        <v>76</v>
      </c>
      <c r="G2803" s="6"/>
      <c r="H2803" s="6"/>
      <c r="I2803" s="6"/>
      <c r="J2803" s="6"/>
      <c r="K2803" s="6"/>
      <c r="L2803" s="6"/>
      <c r="M2803" s="6"/>
      <c r="N2803" s="6"/>
      <c r="O2803" s="6"/>
      <c r="P2803" s="6"/>
      <c r="Q2803" s="6"/>
      <c r="R2803" s="6"/>
      <c r="S2803" s="6"/>
      <c r="T2803" s="6"/>
      <c r="U2803" s="6"/>
      <c r="V2803" s="6"/>
      <c r="W2803" s="6"/>
      <c r="X2803" s="6"/>
      <c r="Y2803" s="6"/>
      <c r="Z2803" s="6"/>
    </row>
    <row r="2804" customFormat="false" ht="15" hidden="false" customHeight="false" outlineLevel="0" collapsed="false">
      <c r="A2804" s="9" t="s">
        <v>8647</v>
      </c>
      <c r="B2804" s="9" t="s">
        <v>5870</v>
      </c>
      <c r="C2804" s="9" t="s">
        <v>3050</v>
      </c>
      <c r="D2804" s="9" t="s">
        <v>5871</v>
      </c>
      <c r="E2804" s="9" t="str">
        <f aca="false">IF(AND('Formation Ledger'!A2783&lt;&gt;"",'Formation Ledger'!V2783=0),"PASS","FAIL")</f>
        <v>PASS</v>
      </c>
      <c r="F2804" s="9" t="s">
        <v>76</v>
      </c>
      <c r="G2804" s="6"/>
      <c r="H2804" s="6"/>
      <c r="I2804" s="6"/>
      <c r="J2804" s="6"/>
      <c r="K2804" s="6"/>
      <c r="L2804" s="6"/>
      <c r="M2804" s="6"/>
      <c r="N2804" s="6"/>
      <c r="O2804" s="6"/>
      <c r="P2804" s="6"/>
      <c r="Q2804" s="6"/>
      <c r="R2804" s="6"/>
      <c r="S2804" s="6"/>
      <c r="T2804" s="6"/>
      <c r="U2804" s="6"/>
      <c r="V2804" s="6"/>
      <c r="W2804" s="6"/>
      <c r="X2804" s="6"/>
      <c r="Y2804" s="6"/>
      <c r="Z2804" s="6"/>
    </row>
    <row r="2805" customFormat="false" ht="15" hidden="false" customHeight="false" outlineLevel="0" collapsed="false">
      <c r="A2805" s="9" t="s">
        <v>8648</v>
      </c>
      <c r="B2805" s="9" t="s">
        <v>5870</v>
      </c>
      <c r="C2805" s="9" t="s">
        <v>3051</v>
      </c>
      <c r="D2805" s="9" t="s">
        <v>5871</v>
      </c>
      <c r="E2805" s="9" t="str">
        <f aca="false">IF(AND('Formation Ledger'!A2784&lt;&gt;"",'Formation Ledger'!V2784=0),"PASS","FAIL")</f>
        <v>PASS</v>
      </c>
      <c r="F2805" s="9" t="s">
        <v>76</v>
      </c>
      <c r="G2805" s="6"/>
      <c r="H2805" s="6"/>
      <c r="I2805" s="6"/>
      <c r="J2805" s="6"/>
      <c r="K2805" s="6"/>
      <c r="L2805" s="6"/>
      <c r="M2805" s="6"/>
      <c r="N2805" s="6"/>
      <c r="O2805" s="6"/>
      <c r="P2805" s="6"/>
      <c r="Q2805" s="6"/>
      <c r="R2805" s="6"/>
      <c r="S2805" s="6"/>
      <c r="T2805" s="6"/>
      <c r="U2805" s="6"/>
      <c r="V2805" s="6"/>
      <c r="W2805" s="6"/>
      <c r="X2805" s="6"/>
      <c r="Y2805" s="6"/>
      <c r="Z2805" s="6"/>
    </row>
    <row r="2806" customFormat="false" ht="15" hidden="false" customHeight="false" outlineLevel="0" collapsed="false">
      <c r="A2806" s="9" t="s">
        <v>8649</v>
      </c>
      <c r="B2806" s="9" t="s">
        <v>5870</v>
      </c>
      <c r="C2806" s="9" t="s">
        <v>3052</v>
      </c>
      <c r="D2806" s="9" t="s">
        <v>5871</v>
      </c>
      <c r="E2806" s="9" t="str">
        <f aca="false">IF(AND('Formation Ledger'!A2785&lt;&gt;"",'Formation Ledger'!V2785=0),"PASS","FAIL")</f>
        <v>PASS</v>
      </c>
      <c r="F2806" s="9" t="s">
        <v>76</v>
      </c>
      <c r="G2806" s="6"/>
      <c r="H2806" s="6"/>
      <c r="I2806" s="6"/>
      <c r="J2806" s="6"/>
      <c r="K2806" s="6"/>
      <c r="L2806" s="6"/>
      <c r="M2806" s="6"/>
      <c r="N2806" s="6"/>
      <c r="O2806" s="6"/>
      <c r="P2806" s="6"/>
      <c r="Q2806" s="6"/>
      <c r="R2806" s="6"/>
      <c r="S2806" s="6"/>
      <c r="T2806" s="6"/>
      <c r="U2806" s="6"/>
      <c r="V2806" s="6"/>
      <c r="W2806" s="6"/>
      <c r="X2806" s="6"/>
      <c r="Y2806" s="6"/>
      <c r="Z2806" s="6"/>
    </row>
    <row r="2807" customFormat="false" ht="15" hidden="false" customHeight="false" outlineLevel="0" collapsed="false">
      <c r="A2807" s="9" t="s">
        <v>8650</v>
      </c>
      <c r="B2807" s="9" t="s">
        <v>5870</v>
      </c>
      <c r="C2807" s="9" t="s">
        <v>3053</v>
      </c>
      <c r="D2807" s="9" t="s">
        <v>5871</v>
      </c>
      <c r="E2807" s="9" t="str">
        <f aca="false">IF(AND('Formation Ledger'!A2786&lt;&gt;"",'Formation Ledger'!V2786=0),"PASS","FAIL")</f>
        <v>PASS</v>
      </c>
      <c r="F2807" s="9" t="s">
        <v>76</v>
      </c>
      <c r="G2807" s="6"/>
      <c r="H2807" s="6"/>
      <c r="I2807" s="6"/>
      <c r="J2807" s="6"/>
      <c r="K2807" s="6"/>
      <c r="L2807" s="6"/>
      <c r="M2807" s="6"/>
      <c r="N2807" s="6"/>
      <c r="O2807" s="6"/>
      <c r="P2807" s="6"/>
      <c r="Q2807" s="6"/>
      <c r="R2807" s="6"/>
      <c r="S2807" s="6"/>
      <c r="T2807" s="6"/>
      <c r="U2807" s="6"/>
      <c r="V2807" s="6"/>
      <c r="W2807" s="6"/>
      <c r="X2807" s="6"/>
      <c r="Y2807" s="6"/>
      <c r="Z2807" s="6"/>
    </row>
    <row r="2808" customFormat="false" ht="15" hidden="false" customHeight="false" outlineLevel="0" collapsed="false">
      <c r="A2808" s="9" t="s">
        <v>8651</v>
      </c>
      <c r="B2808" s="9" t="s">
        <v>5870</v>
      </c>
      <c r="C2808" s="9" t="s">
        <v>3054</v>
      </c>
      <c r="D2808" s="9" t="s">
        <v>5871</v>
      </c>
      <c r="E2808" s="9" t="str">
        <f aca="false">IF(AND('Formation Ledger'!A2787&lt;&gt;"",'Formation Ledger'!V2787=0),"PASS","FAIL")</f>
        <v>PASS</v>
      </c>
      <c r="F2808" s="9" t="s">
        <v>76</v>
      </c>
      <c r="G2808" s="6"/>
      <c r="H2808" s="6"/>
      <c r="I2808" s="6"/>
      <c r="J2808" s="6"/>
      <c r="K2808" s="6"/>
      <c r="L2808" s="6"/>
      <c r="M2808" s="6"/>
      <c r="N2808" s="6"/>
      <c r="O2808" s="6"/>
      <c r="P2808" s="6"/>
      <c r="Q2808" s="6"/>
      <c r="R2808" s="6"/>
      <c r="S2808" s="6"/>
      <c r="T2808" s="6"/>
      <c r="U2808" s="6"/>
      <c r="V2808" s="6"/>
      <c r="W2808" s="6"/>
      <c r="X2808" s="6"/>
      <c r="Y2808" s="6"/>
      <c r="Z2808" s="6"/>
    </row>
    <row r="2809" customFormat="false" ht="15" hidden="false" customHeight="false" outlineLevel="0" collapsed="false">
      <c r="A2809" s="9" t="s">
        <v>8652</v>
      </c>
      <c r="B2809" s="9" t="s">
        <v>5870</v>
      </c>
      <c r="C2809" s="9" t="s">
        <v>3055</v>
      </c>
      <c r="D2809" s="9" t="s">
        <v>5871</v>
      </c>
      <c r="E2809" s="9" t="str">
        <f aca="false">IF(AND('Formation Ledger'!A2788&lt;&gt;"",'Formation Ledger'!V2788=0),"PASS","FAIL")</f>
        <v>PASS</v>
      </c>
      <c r="F2809" s="9" t="s">
        <v>76</v>
      </c>
      <c r="G2809" s="6"/>
      <c r="H2809" s="6"/>
      <c r="I2809" s="6"/>
      <c r="J2809" s="6"/>
      <c r="K2809" s="6"/>
      <c r="L2809" s="6"/>
      <c r="M2809" s="6"/>
      <c r="N2809" s="6"/>
      <c r="O2809" s="6"/>
      <c r="P2809" s="6"/>
      <c r="Q2809" s="6"/>
      <c r="R2809" s="6"/>
      <c r="S2809" s="6"/>
      <c r="T2809" s="6"/>
      <c r="U2809" s="6"/>
      <c r="V2809" s="6"/>
      <c r="W2809" s="6"/>
      <c r="X2809" s="6"/>
      <c r="Y2809" s="6"/>
      <c r="Z2809" s="6"/>
    </row>
    <row r="2810" customFormat="false" ht="15" hidden="false" customHeight="false" outlineLevel="0" collapsed="false">
      <c r="A2810" s="9" t="s">
        <v>8653</v>
      </c>
      <c r="B2810" s="9" t="s">
        <v>5870</v>
      </c>
      <c r="C2810" s="9" t="s">
        <v>3056</v>
      </c>
      <c r="D2810" s="9" t="s">
        <v>5871</v>
      </c>
      <c r="E2810" s="9" t="str">
        <f aca="false">IF(AND('Formation Ledger'!A2789&lt;&gt;"",'Formation Ledger'!V2789=0),"PASS","FAIL")</f>
        <v>PASS</v>
      </c>
      <c r="F2810" s="9" t="s">
        <v>76</v>
      </c>
      <c r="G2810" s="6"/>
      <c r="H2810" s="6"/>
      <c r="I2810" s="6"/>
      <c r="J2810" s="6"/>
      <c r="K2810" s="6"/>
      <c r="L2810" s="6"/>
      <c r="M2810" s="6"/>
      <c r="N2810" s="6"/>
      <c r="O2810" s="6"/>
      <c r="P2810" s="6"/>
      <c r="Q2810" s="6"/>
      <c r="R2810" s="6"/>
      <c r="S2810" s="6"/>
      <c r="T2810" s="6"/>
      <c r="U2810" s="6"/>
      <c r="V2810" s="6"/>
      <c r="W2810" s="6"/>
      <c r="X2810" s="6"/>
      <c r="Y2810" s="6"/>
      <c r="Z2810" s="6"/>
    </row>
    <row r="2811" customFormat="false" ht="15" hidden="false" customHeight="false" outlineLevel="0" collapsed="false">
      <c r="A2811" s="9" t="s">
        <v>8654</v>
      </c>
      <c r="B2811" s="9" t="s">
        <v>5870</v>
      </c>
      <c r="C2811" s="9" t="s">
        <v>3057</v>
      </c>
      <c r="D2811" s="9" t="s">
        <v>5871</v>
      </c>
      <c r="E2811" s="9" t="str">
        <f aca="false">IF(AND('Formation Ledger'!A2790&lt;&gt;"",'Formation Ledger'!V2790=0),"PASS","FAIL")</f>
        <v>PASS</v>
      </c>
      <c r="F2811" s="9" t="s">
        <v>76</v>
      </c>
      <c r="G2811" s="6"/>
      <c r="H2811" s="6"/>
      <c r="I2811" s="6"/>
      <c r="J2811" s="6"/>
      <c r="K2811" s="6"/>
      <c r="L2811" s="6"/>
      <c r="M2811" s="6"/>
      <c r="N2811" s="6"/>
      <c r="O2811" s="6"/>
      <c r="P2811" s="6"/>
      <c r="Q2811" s="6"/>
      <c r="R2811" s="6"/>
      <c r="S2811" s="6"/>
      <c r="T2811" s="6"/>
      <c r="U2811" s="6"/>
      <c r="V2811" s="6"/>
      <c r="W2811" s="6"/>
      <c r="X2811" s="6"/>
      <c r="Y2811" s="6"/>
      <c r="Z2811" s="6"/>
    </row>
    <row r="2812" customFormat="false" ht="15" hidden="false" customHeight="false" outlineLevel="0" collapsed="false">
      <c r="A2812" s="9" t="s">
        <v>8655</v>
      </c>
      <c r="B2812" s="9" t="s">
        <v>5870</v>
      </c>
      <c r="C2812" s="9" t="s">
        <v>3058</v>
      </c>
      <c r="D2812" s="9" t="s">
        <v>5871</v>
      </c>
      <c r="E2812" s="9" t="str">
        <f aca="false">IF(AND('Formation Ledger'!A2791&lt;&gt;"",'Formation Ledger'!V2791=0),"PASS","FAIL")</f>
        <v>PASS</v>
      </c>
      <c r="F2812" s="9" t="s">
        <v>76</v>
      </c>
      <c r="G2812" s="6"/>
      <c r="H2812" s="6"/>
      <c r="I2812" s="6"/>
      <c r="J2812" s="6"/>
      <c r="K2812" s="6"/>
      <c r="L2812" s="6"/>
      <c r="M2812" s="6"/>
      <c r="N2812" s="6"/>
      <c r="O2812" s="6"/>
      <c r="P2812" s="6"/>
      <c r="Q2812" s="6"/>
      <c r="R2812" s="6"/>
      <c r="S2812" s="6"/>
      <c r="T2812" s="6"/>
      <c r="U2812" s="6"/>
      <c r="V2812" s="6"/>
      <c r="W2812" s="6"/>
      <c r="X2812" s="6"/>
      <c r="Y2812" s="6"/>
      <c r="Z2812" s="6"/>
    </row>
    <row r="2813" customFormat="false" ht="15" hidden="false" customHeight="false" outlineLevel="0" collapsed="false">
      <c r="A2813" s="9" t="s">
        <v>8656</v>
      </c>
      <c r="B2813" s="9" t="s">
        <v>5870</v>
      </c>
      <c r="C2813" s="9" t="s">
        <v>3059</v>
      </c>
      <c r="D2813" s="9" t="s">
        <v>5871</v>
      </c>
      <c r="E2813" s="9" t="str">
        <f aca="false">IF(AND('Formation Ledger'!A2792&lt;&gt;"",'Formation Ledger'!V2792=0),"PASS","FAIL")</f>
        <v>PASS</v>
      </c>
      <c r="F2813" s="9" t="s">
        <v>76</v>
      </c>
      <c r="G2813" s="6"/>
      <c r="H2813" s="6"/>
      <c r="I2813" s="6"/>
      <c r="J2813" s="6"/>
      <c r="K2813" s="6"/>
      <c r="L2813" s="6"/>
      <c r="M2813" s="6"/>
      <c r="N2813" s="6"/>
      <c r="O2813" s="6"/>
      <c r="P2813" s="6"/>
      <c r="Q2813" s="6"/>
      <c r="R2813" s="6"/>
      <c r="S2813" s="6"/>
      <c r="T2813" s="6"/>
      <c r="U2813" s="6"/>
      <c r="V2813" s="6"/>
      <c r="W2813" s="6"/>
      <c r="X2813" s="6"/>
      <c r="Y2813" s="6"/>
      <c r="Z2813" s="6"/>
    </row>
    <row r="2814" customFormat="false" ht="15" hidden="false" customHeight="false" outlineLevel="0" collapsed="false">
      <c r="A2814" s="9" t="s">
        <v>8657</v>
      </c>
      <c r="B2814" s="9" t="s">
        <v>5870</v>
      </c>
      <c r="C2814" s="9" t="s">
        <v>3060</v>
      </c>
      <c r="D2814" s="9" t="s">
        <v>5871</v>
      </c>
      <c r="E2814" s="9" t="str">
        <f aca="false">IF(AND('Formation Ledger'!A2793&lt;&gt;"",'Formation Ledger'!V2793=0),"PASS","FAIL")</f>
        <v>PASS</v>
      </c>
      <c r="F2814" s="9" t="s">
        <v>76</v>
      </c>
      <c r="G2814" s="6"/>
      <c r="H2814" s="6"/>
      <c r="I2814" s="6"/>
      <c r="J2814" s="6"/>
      <c r="K2814" s="6"/>
      <c r="L2814" s="6"/>
      <c r="M2814" s="6"/>
      <c r="N2814" s="6"/>
      <c r="O2814" s="6"/>
      <c r="P2814" s="6"/>
      <c r="Q2814" s="6"/>
      <c r="R2814" s="6"/>
      <c r="S2814" s="6"/>
      <c r="T2814" s="6"/>
      <c r="U2814" s="6"/>
      <c r="V2814" s="6"/>
      <c r="W2814" s="6"/>
      <c r="X2814" s="6"/>
      <c r="Y2814" s="6"/>
      <c r="Z2814" s="6"/>
    </row>
    <row r="2815" customFormat="false" ht="15" hidden="false" customHeight="false" outlineLevel="0" collapsed="false">
      <c r="A2815" s="9" t="s">
        <v>8658</v>
      </c>
      <c r="B2815" s="9" t="s">
        <v>5870</v>
      </c>
      <c r="C2815" s="9" t="s">
        <v>3061</v>
      </c>
      <c r="D2815" s="9" t="s">
        <v>5871</v>
      </c>
      <c r="E2815" s="9" t="str">
        <f aca="false">IF(AND('Formation Ledger'!A2794&lt;&gt;"",'Formation Ledger'!V2794=0),"PASS","FAIL")</f>
        <v>PASS</v>
      </c>
      <c r="F2815" s="9" t="s">
        <v>76</v>
      </c>
      <c r="G2815" s="6"/>
      <c r="H2815" s="6"/>
      <c r="I2815" s="6"/>
      <c r="J2815" s="6"/>
      <c r="K2815" s="6"/>
      <c r="L2815" s="6"/>
      <c r="M2815" s="6"/>
      <c r="N2815" s="6"/>
      <c r="O2815" s="6"/>
      <c r="P2815" s="6"/>
      <c r="Q2815" s="6"/>
      <c r="R2815" s="6"/>
      <c r="S2815" s="6"/>
      <c r="T2815" s="6"/>
      <c r="U2815" s="6"/>
      <c r="V2815" s="6"/>
      <c r="W2815" s="6"/>
      <c r="X2815" s="6"/>
      <c r="Y2815" s="6"/>
      <c r="Z2815" s="6"/>
    </row>
    <row r="2816" customFormat="false" ht="15" hidden="false" customHeight="false" outlineLevel="0" collapsed="false">
      <c r="A2816" s="9" t="s">
        <v>8659</v>
      </c>
      <c r="B2816" s="9" t="s">
        <v>5870</v>
      </c>
      <c r="C2816" s="9" t="s">
        <v>3062</v>
      </c>
      <c r="D2816" s="9" t="s">
        <v>5871</v>
      </c>
      <c r="E2816" s="9" t="str">
        <f aca="false">IF(AND('Formation Ledger'!A2795&lt;&gt;"",'Formation Ledger'!V2795=0),"PASS","FAIL")</f>
        <v>PASS</v>
      </c>
      <c r="F2816" s="9" t="s">
        <v>76</v>
      </c>
      <c r="G2816" s="6"/>
      <c r="H2816" s="6"/>
      <c r="I2816" s="6"/>
      <c r="J2816" s="6"/>
      <c r="K2816" s="6"/>
      <c r="L2816" s="6"/>
      <c r="M2816" s="6"/>
      <c r="N2816" s="6"/>
      <c r="O2816" s="6"/>
      <c r="P2816" s="6"/>
      <c r="Q2816" s="6"/>
      <c r="R2816" s="6"/>
      <c r="S2816" s="6"/>
      <c r="T2816" s="6"/>
      <c r="U2816" s="6"/>
      <c r="V2816" s="6"/>
      <c r="W2816" s="6"/>
      <c r="X2816" s="6"/>
      <c r="Y2816" s="6"/>
      <c r="Z2816" s="6"/>
    </row>
    <row r="2817" customFormat="false" ht="15" hidden="false" customHeight="false" outlineLevel="0" collapsed="false">
      <c r="A2817" s="9" t="s">
        <v>8660</v>
      </c>
      <c r="B2817" s="9" t="s">
        <v>5870</v>
      </c>
      <c r="C2817" s="9" t="s">
        <v>3063</v>
      </c>
      <c r="D2817" s="9" t="s">
        <v>5871</v>
      </c>
      <c r="E2817" s="9" t="str">
        <f aca="false">IF(AND('Formation Ledger'!A2796&lt;&gt;"",'Formation Ledger'!V2796=0),"PASS","FAIL")</f>
        <v>PASS</v>
      </c>
      <c r="F2817" s="9" t="s">
        <v>76</v>
      </c>
      <c r="G2817" s="6"/>
      <c r="H2817" s="6"/>
      <c r="I2817" s="6"/>
      <c r="J2817" s="6"/>
      <c r="K2817" s="6"/>
      <c r="L2817" s="6"/>
      <c r="M2817" s="6"/>
      <c r="N2817" s="6"/>
      <c r="O2817" s="6"/>
      <c r="P2817" s="6"/>
      <c r="Q2817" s="6"/>
      <c r="R2817" s="6"/>
      <c r="S2817" s="6"/>
      <c r="T2817" s="6"/>
      <c r="U2817" s="6"/>
      <c r="V2817" s="6"/>
      <c r="W2817" s="6"/>
      <c r="X2817" s="6"/>
      <c r="Y2817" s="6"/>
      <c r="Z2817" s="6"/>
    </row>
    <row r="2818" customFormat="false" ht="15" hidden="false" customHeight="false" outlineLevel="0" collapsed="false">
      <c r="A2818" s="9" t="s">
        <v>8661</v>
      </c>
      <c r="B2818" s="9" t="s">
        <v>5870</v>
      </c>
      <c r="C2818" s="9" t="s">
        <v>3064</v>
      </c>
      <c r="D2818" s="9" t="s">
        <v>5871</v>
      </c>
      <c r="E2818" s="9" t="str">
        <f aca="false">IF(AND('Formation Ledger'!A2797&lt;&gt;"",'Formation Ledger'!V2797=0),"PASS","FAIL")</f>
        <v>PASS</v>
      </c>
      <c r="F2818" s="9" t="s">
        <v>76</v>
      </c>
      <c r="G2818" s="6"/>
      <c r="H2818" s="6"/>
      <c r="I2818" s="6"/>
      <c r="J2818" s="6"/>
      <c r="K2818" s="6"/>
      <c r="L2818" s="6"/>
      <c r="M2818" s="6"/>
      <c r="N2818" s="6"/>
      <c r="O2818" s="6"/>
      <c r="P2818" s="6"/>
      <c r="Q2818" s="6"/>
      <c r="R2818" s="6"/>
      <c r="S2818" s="6"/>
      <c r="T2818" s="6"/>
      <c r="U2818" s="6"/>
      <c r="V2818" s="6"/>
      <c r="W2818" s="6"/>
      <c r="X2818" s="6"/>
      <c r="Y2818" s="6"/>
      <c r="Z2818" s="6"/>
    </row>
    <row r="2819" customFormat="false" ht="15" hidden="false" customHeight="false" outlineLevel="0" collapsed="false">
      <c r="A2819" s="9" t="s">
        <v>8662</v>
      </c>
      <c r="B2819" s="9" t="s">
        <v>5870</v>
      </c>
      <c r="C2819" s="9" t="s">
        <v>3065</v>
      </c>
      <c r="D2819" s="9" t="s">
        <v>5871</v>
      </c>
      <c r="E2819" s="9" t="str">
        <f aca="false">IF(AND('Formation Ledger'!A2798&lt;&gt;"",'Formation Ledger'!V2798=0),"PASS","FAIL")</f>
        <v>PASS</v>
      </c>
      <c r="F2819" s="9" t="s">
        <v>76</v>
      </c>
      <c r="G2819" s="6"/>
      <c r="H2819" s="6"/>
      <c r="I2819" s="6"/>
      <c r="J2819" s="6"/>
      <c r="K2819" s="6"/>
      <c r="L2819" s="6"/>
      <c r="M2819" s="6"/>
      <c r="N2819" s="6"/>
      <c r="O2819" s="6"/>
      <c r="P2819" s="6"/>
      <c r="Q2819" s="6"/>
      <c r="R2819" s="6"/>
      <c r="S2819" s="6"/>
      <c r="T2819" s="6"/>
      <c r="U2819" s="6"/>
      <c r="V2819" s="6"/>
      <c r="W2819" s="6"/>
      <c r="X2819" s="6"/>
      <c r="Y2819" s="6"/>
      <c r="Z2819" s="6"/>
    </row>
    <row r="2820" customFormat="false" ht="15" hidden="false" customHeight="false" outlineLevel="0" collapsed="false">
      <c r="A2820" s="9" t="s">
        <v>8663</v>
      </c>
      <c r="B2820" s="9" t="s">
        <v>5870</v>
      </c>
      <c r="C2820" s="9" t="s">
        <v>3066</v>
      </c>
      <c r="D2820" s="9" t="s">
        <v>5871</v>
      </c>
      <c r="E2820" s="9" t="str">
        <f aca="false">IF(AND('Formation Ledger'!A2799&lt;&gt;"",'Formation Ledger'!V2799=0),"PASS","FAIL")</f>
        <v>PASS</v>
      </c>
      <c r="F2820" s="9" t="s">
        <v>76</v>
      </c>
      <c r="G2820" s="6"/>
      <c r="H2820" s="6"/>
      <c r="I2820" s="6"/>
      <c r="J2820" s="6"/>
      <c r="K2820" s="6"/>
      <c r="L2820" s="6"/>
      <c r="M2820" s="6"/>
      <c r="N2820" s="6"/>
      <c r="O2820" s="6"/>
      <c r="P2820" s="6"/>
      <c r="Q2820" s="6"/>
      <c r="R2820" s="6"/>
      <c r="S2820" s="6"/>
      <c r="T2820" s="6"/>
      <c r="U2820" s="6"/>
      <c r="V2820" s="6"/>
      <c r="W2820" s="6"/>
      <c r="X2820" s="6"/>
      <c r="Y2820" s="6"/>
      <c r="Z2820" s="6"/>
    </row>
    <row r="2821" customFormat="false" ht="15" hidden="false" customHeight="false" outlineLevel="0" collapsed="false">
      <c r="A2821" s="9" t="s">
        <v>8664</v>
      </c>
      <c r="B2821" s="9" t="s">
        <v>5870</v>
      </c>
      <c r="C2821" s="9" t="s">
        <v>3067</v>
      </c>
      <c r="D2821" s="9" t="s">
        <v>5871</v>
      </c>
      <c r="E2821" s="9" t="str">
        <f aca="false">IF(AND('Formation Ledger'!A2800&lt;&gt;"",'Formation Ledger'!V2800=0),"PASS","FAIL")</f>
        <v>PASS</v>
      </c>
      <c r="F2821" s="9" t="s">
        <v>76</v>
      </c>
      <c r="G2821" s="6"/>
      <c r="H2821" s="6"/>
      <c r="I2821" s="6"/>
      <c r="J2821" s="6"/>
      <c r="K2821" s="6"/>
      <c r="L2821" s="6"/>
      <c r="M2821" s="6"/>
      <c r="N2821" s="6"/>
      <c r="O2821" s="6"/>
      <c r="P2821" s="6"/>
      <c r="Q2821" s="6"/>
      <c r="R2821" s="6"/>
      <c r="S2821" s="6"/>
      <c r="T2821" s="6"/>
      <c r="U2821" s="6"/>
      <c r="V2821" s="6"/>
      <c r="W2821" s="6"/>
      <c r="X2821" s="6"/>
      <c r="Y2821" s="6"/>
      <c r="Z2821" s="6"/>
    </row>
    <row r="2822" customFormat="false" ht="15" hidden="false" customHeight="false" outlineLevel="0" collapsed="false">
      <c r="A2822" s="9" t="s">
        <v>8665</v>
      </c>
      <c r="B2822" s="9" t="s">
        <v>5870</v>
      </c>
      <c r="C2822" s="9" t="s">
        <v>3068</v>
      </c>
      <c r="D2822" s="9" t="s">
        <v>5871</v>
      </c>
      <c r="E2822" s="9" t="str">
        <f aca="false">IF(AND('Formation Ledger'!A2801&lt;&gt;"",'Formation Ledger'!V2801=0),"PASS","FAIL")</f>
        <v>PASS</v>
      </c>
      <c r="F2822" s="9" t="s">
        <v>76</v>
      </c>
      <c r="G2822" s="6"/>
      <c r="H2822" s="6"/>
      <c r="I2822" s="6"/>
      <c r="J2822" s="6"/>
      <c r="K2822" s="6"/>
      <c r="L2822" s="6"/>
      <c r="M2822" s="6"/>
      <c r="N2822" s="6"/>
      <c r="O2822" s="6"/>
      <c r="P2822" s="6"/>
      <c r="Q2822" s="6"/>
      <c r="R2822" s="6"/>
      <c r="S2822" s="6"/>
      <c r="T2822" s="6"/>
      <c r="U2822" s="6"/>
      <c r="V2822" s="6"/>
      <c r="W2822" s="6"/>
      <c r="X2822" s="6"/>
      <c r="Y2822" s="6"/>
      <c r="Z2822" s="6"/>
    </row>
    <row r="2823" customFormat="false" ht="15" hidden="false" customHeight="false" outlineLevel="0" collapsed="false">
      <c r="A2823" s="9" t="s">
        <v>8666</v>
      </c>
      <c r="B2823" s="9" t="s">
        <v>5870</v>
      </c>
      <c r="C2823" s="9" t="s">
        <v>3069</v>
      </c>
      <c r="D2823" s="9" t="s">
        <v>5871</v>
      </c>
      <c r="E2823" s="9" t="str">
        <f aca="false">IF(AND('Formation Ledger'!A2802&lt;&gt;"",'Formation Ledger'!V2802=0),"PASS","FAIL")</f>
        <v>PASS</v>
      </c>
      <c r="F2823" s="9" t="s">
        <v>76</v>
      </c>
      <c r="G2823" s="6"/>
      <c r="H2823" s="6"/>
      <c r="I2823" s="6"/>
      <c r="J2823" s="6"/>
      <c r="K2823" s="6"/>
      <c r="L2823" s="6"/>
      <c r="M2823" s="6"/>
      <c r="N2823" s="6"/>
      <c r="O2823" s="6"/>
      <c r="P2823" s="6"/>
      <c r="Q2823" s="6"/>
      <c r="R2823" s="6"/>
      <c r="S2823" s="6"/>
      <c r="T2823" s="6"/>
      <c r="U2823" s="6"/>
      <c r="V2823" s="6"/>
      <c r="W2823" s="6"/>
      <c r="X2823" s="6"/>
      <c r="Y2823" s="6"/>
      <c r="Z2823" s="6"/>
    </row>
    <row r="2824" customFormat="false" ht="15" hidden="false" customHeight="false" outlineLevel="0" collapsed="false">
      <c r="A2824" s="9" t="s">
        <v>8667</v>
      </c>
      <c r="B2824" s="9" t="s">
        <v>5870</v>
      </c>
      <c r="C2824" s="9" t="s">
        <v>3070</v>
      </c>
      <c r="D2824" s="9" t="s">
        <v>5871</v>
      </c>
      <c r="E2824" s="9" t="str">
        <f aca="false">IF(AND('Formation Ledger'!A2803&lt;&gt;"",'Formation Ledger'!V2803=0),"PASS","FAIL")</f>
        <v>PASS</v>
      </c>
      <c r="F2824" s="9" t="s">
        <v>76</v>
      </c>
      <c r="G2824" s="6"/>
      <c r="H2824" s="6"/>
      <c r="I2824" s="6"/>
      <c r="J2824" s="6"/>
      <c r="K2824" s="6"/>
      <c r="L2824" s="6"/>
      <c r="M2824" s="6"/>
      <c r="N2824" s="6"/>
      <c r="O2824" s="6"/>
      <c r="P2824" s="6"/>
      <c r="Q2824" s="6"/>
      <c r="R2824" s="6"/>
      <c r="S2824" s="6"/>
      <c r="T2824" s="6"/>
      <c r="U2824" s="6"/>
      <c r="V2824" s="6"/>
      <c r="W2824" s="6"/>
      <c r="X2824" s="6"/>
      <c r="Y2824" s="6"/>
      <c r="Z2824" s="6"/>
    </row>
    <row r="2825" customFormat="false" ht="15" hidden="false" customHeight="false" outlineLevel="0" collapsed="false">
      <c r="A2825" s="9" t="s">
        <v>8668</v>
      </c>
      <c r="B2825" s="9" t="s">
        <v>5870</v>
      </c>
      <c r="C2825" s="9" t="s">
        <v>3071</v>
      </c>
      <c r="D2825" s="9" t="s">
        <v>5871</v>
      </c>
      <c r="E2825" s="9" t="str">
        <f aca="false">IF(AND('Formation Ledger'!A2804&lt;&gt;"",'Formation Ledger'!V2804=0),"PASS","FAIL")</f>
        <v>PASS</v>
      </c>
      <c r="F2825" s="9" t="s">
        <v>76</v>
      </c>
      <c r="G2825" s="6"/>
      <c r="H2825" s="6"/>
      <c r="I2825" s="6"/>
      <c r="J2825" s="6"/>
      <c r="K2825" s="6"/>
      <c r="L2825" s="6"/>
      <c r="M2825" s="6"/>
      <c r="N2825" s="6"/>
      <c r="O2825" s="6"/>
      <c r="P2825" s="6"/>
      <c r="Q2825" s="6"/>
      <c r="R2825" s="6"/>
      <c r="S2825" s="6"/>
      <c r="T2825" s="6"/>
      <c r="U2825" s="6"/>
      <c r="V2825" s="6"/>
      <c r="W2825" s="6"/>
      <c r="X2825" s="6"/>
      <c r="Y2825" s="6"/>
      <c r="Z2825" s="6"/>
    </row>
    <row r="2826" customFormat="false" ht="15" hidden="false" customHeight="false" outlineLevel="0" collapsed="false">
      <c r="A2826" s="9" t="s">
        <v>8669</v>
      </c>
      <c r="B2826" s="9" t="s">
        <v>5870</v>
      </c>
      <c r="C2826" s="9" t="s">
        <v>3072</v>
      </c>
      <c r="D2826" s="9" t="s">
        <v>5871</v>
      </c>
      <c r="E2826" s="9" t="str">
        <f aca="false">IF(AND('Formation Ledger'!A2805&lt;&gt;"",'Formation Ledger'!V2805=0),"PASS","FAIL")</f>
        <v>PASS</v>
      </c>
      <c r="F2826" s="9" t="s">
        <v>76</v>
      </c>
      <c r="G2826" s="6"/>
      <c r="H2826" s="6"/>
      <c r="I2826" s="6"/>
      <c r="J2826" s="6"/>
      <c r="K2826" s="6"/>
      <c r="L2826" s="6"/>
      <c r="M2826" s="6"/>
      <c r="N2826" s="6"/>
      <c r="O2826" s="6"/>
      <c r="P2826" s="6"/>
      <c r="Q2826" s="6"/>
      <c r="R2826" s="6"/>
      <c r="S2826" s="6"/>
      <c r="T2826" s="6"/>
      <c r="U2826" s="6"/>
      <c r="V2826" s="6"/>
      <c r="W2826" s="6"/>
      <c r="X2826" s="6"/>
      <c r="Y2826" s="6"/>
      <c r="Z2826" s="6"/>
    </row>
    <row r="2827" customFormat="false" ht="15" hidden="false" customHeight="false" outlineLevel="0" collapsed="false">
      <c r="A2827" s="9" t="s">
        <v>8670</v>
      </c>
      <c r="B2827" s="9" t="s">
        <v>5870</v>
      </c>
      <c r="C2827" s="9" t="s">
        <v>3073</v>
      </c>
      <c r="D2827" s="9" t="s">
        <v>5871</v>
      </c>
      <c r="E2827" s="9" t="str">
        <f aca="false">IF(AND('Formation Ledger'!A2806&lt;&gt;"",'Formation Ledger'!V2806=0),"PASS","FAIL")</f>
        <v>PASS</v>
      </c>
      <c r="F2827" s="9" t="s">
        <v>76</v>
      </c>
      <c r="G2827" s="6"/>
      <c r="H2827" s="6"/>
      <c r="I2827" s="6"/>
      <c r="J2827" s="6"/>
      <c r="K2827" s="6"/>
      <c r="L2827" s="6"/>
      <c r="M2827" s="6"/>
      <c r="N2827" s="6"/>
      <c r="O2827" s="6"/>
      <c r="P2827" s="6"/>
      <c r="Q2827" s="6"/>
      <c r="R2827" s="6"/>
      <c r="S2827" s="6"/>
      <c r="T2827" s="6"/>
      <c r="U2827" s="6"/>
      <c r="V2827" s="6"/>
      <c r="W2827" s="6"/>
      <c r="X2827" s="6"/>
      <c r="Y2827" s="6"/>
      <c r="Z2827" s="6"/>
    </row>
    <row r="2828" customFormat="false" ht="15" hidden="false" customHeight="false" outlineLevel="0" collapsed="false">
      <c r="A2828" s="9" t="s">
        <v>8671</v>
      </c>
      <c r="B2828" s="9" t="s">
        <v>5870</v>
      </c>
      <c r="C2828" s="9" t="s">
        <v>3074</v>
      </c>
      <c r="D2828" s="9" t="s">
        <v>5871</v>
      </c>
      <c r="E2828" s="9" t="str">
        <f aca="false">IF(AND('Formation Ledger'!A2807&lt;&gt;"",'Formation Ledger'!V2807=0),"PASS","FAIL")</f>
        <v>PASS</v>
      </c>
      <c r="F2828" s="9" t="s">
        <v>76</v>
      </c>
      <c r="G2828" s="6"/>
      <c r="H2828" s="6"/>
      <c r="I2828" s="6"/>
      <c r="J2828" s="6"/>
      <c r="K2828" s="6"/>
      <c r="L2828" s="6"/>
      <c r="M2828" s="6"/>
      <c r="N2828" s="6"/>
      <c r="O2828" s="6"/>
      <c r="P2828" s="6"/>
      <c r="Q2828" s="6"/>
      <c r="R2828" s="6"/>
      <c r="S2828" s="6"/>
      <c r="T2828" s="6"/>
      <c r="U2828" s="6"/>
      <c r="V2828" s="6"/>
      <c r="W2828" s="6"/>
      <c r="X2828" s="6"/>
      <c r="Y2828" s="6"/>
      <c r="Z2828" s="6"/>
    </row>
    <row r="2829" customFormat="false" ht="15" hidden="false" customHeight="false" outlineLevel="0" collapsed="false">
      <c r="A2829" s="9" t="s">
        <v>8672</v>
      </c>
      <c r="B2829" s="9" t="s">
        <v>5870</v>
      </c>
      <c r="C2829" s="9" t="s">
        <v>3075</v>
      </c>
      <c r="D2829" s="9" t="s">
        <v>5871</v>
      </c>
      <c r="E2829" s="9" t="str">
        <f aca="false">IF(AND('Formation Ledger'!A2808&lt;&gt;"",'Formation Ledger'!V2808=0),"PASS","FAIL")</f>
        <v>PASS</v>
      </c>
      <c r="F2829" s="9" t="s">
        <v>76</v>
      </c>
      <c r="G2829" s="6"/>
      <c r="H2829" s="6"/>
      <c r="I2829" s="6"/>
      <c r="J2829" s="6"/>
      <c r="K2829" s="6"/>
      <c r="L2829" s="6"/>
      <c r="M2829" s="6"/>
      <c r="N2829" s="6"/>
      <c r="O2829" s="6"/>
      <c r="P2829" s="6"/>
      <c r="Q2829" s="6"/>
      <c r="R2829" s="6"/>
      <c r="S2829" s="6"/>
      <c r="T2829" s="6"/>
      <c r="U2829" s="6"/>
      <c r="V2829" s="6"/>
      <c r="W2829" s="6"/>
      <c r="X2829" s="6"/>
      <c r="Y2829" s="6"/>
      <c r="Z2829" s="6"/>
    </row>
    <row r="2830" customFormat="false" ht="15" hidden="false" customHeight="false" outlineLevel="0" collapsed="false">
      <c r="A2830" s="9" t="s">
        <v>8673</v>
      </c>
      <c r="B2830" s="9" t="s">
        <v>5870</v>
      </c>
      <c r="C2830" s="9" t="s">
        <v>3076</v>
      </c>
      <c r="D2830" s="9" t="s">
        <v>5871</v>
      </c>
      <c r="E2830" s="9" t="str">
        <f aca="false">IF(AND('Formation Ledger'!A2809&lt;&gt;"",'Formation Ledger'!V2809=0),"PASS","FAIL")</f>
        <v>PASS</v>
      </c>
      <c r="F2830" s="9" t="s">
        <v>76</v>
      </c>
      <c r="G2830" s="6"/>
      <c r="H2830" s="6"/>
      <c r="I2830" s="6"/>
      <c r="J2830" s="6"/>
      <c r="K2830" s="6"/>
      <c r="L2830" s="6"/>
      <c r="M2830" s="6"/>
      <c r="N2830" s="6"/>
      <c r="O2830" s="6"/>
      <c r="P2830" s="6"/>
      <c r="Q2830" s="6"/>
      <c r="R2830" s="6"/>
      <c r="S2830" s="6"/>
      <c r="T2830" s="6"/>
      <c r="U2830" s="6"/>
      <c r="V2830" s="6"/>
      <c r="W2830" s="6"/>
      <c r="X2830" s="6"/>
      <c r="Y2830" s="6"/>
      <c r="Z2830" s="6"/>
    </row>
    <row r="2831" customFormat="false" ht="15" hidden="false" customHeight="false" outlineLevel="0" collapsed="false">
      <c r="A2831" s="9" t="s">
        <v>8674</v>
      </c>
      <c r="B2831" s="9" t="s">
        <v>5870</v>
      </c>
      <c r="C2831" s="9" t="s">
        <v>3077</v>
      </c>
      <c r="D2831" s="9" t="s">
        <v>5871</v>
      </c>
      <c r="E2831" s="9" t="str">
        <f aca="false">IF(AND('Formation Ledger'!A2810&lt;&gt;"",'Formation Ledger'!V2810=0),"PASS","FAIL")</f>
        <v>PASS</v>
      </c>
      <c r="F2831" s="9" t="s">
        <v>76</v>
      </c>
      <c r="G2831" s="6"/>
      <c r="H2831" s="6"/>
      <c r="I2831" s="6"/>
      <c r="J2831" s="6"/>
      <c r="K2831" s="6"/>
      <c r="L2831" s="6"/>
      <c r="M2831" s="6"/>
      <c r="N2831" s="6"/>
      <c r="O2831" s="6"/>
      <c r="P2831" s="6"/>
      <c r="Q2831" s="6"/>
      <c r="R2831" s="6"/>
      <c r="S2831" s="6"/>
      <c r="T2831" s="6"/>
      <c r="U2831" s="6"/>
      <c r="V2831" s="6"/>
      <c r="W2831" s="6"/>
      <c r="X2831" s="6"/>
      <c r="Y2831" s="6"/>
      <c r="Z2831" s="6"/>
    </row>
    <row r="2832" customFormat="false" ht="15" hidden="false" customHeight="false" outlineLevel="0" collapsed="false">
      <c r="A2832" s="9" t="s">
        <v>8675</v>
      </c>
      <c r="B2832" s="9" t="s">
        <v>5870</v>
      </c>
      <c r="C2832" s="9" t="s">
        <v>3078</v>
      </c>
      <c r="D2832" s="9" t="s">
        <v>5871</v>
      </c>
      <c r="E2832" s="9" t="str">
        <f aca="false">IF(AND('Formation Ledger'!A2811&lt;&gt;"",'Formation Ledger'!V2811=0),"PASS","FAIL")</f>
        <v>PASS</v>
      </c>
      <c r="F2832" s="9" t="s">
        <v>76</v>
      </c>
      <c r="G2832" s="6"/>
      <c r="H2832" s="6"/>
      <c r="I2832" s="6"/>
      <c r="J2832" s="6"/>
      <c r="K2832" s="6"/>
      <c r="L2832" s="6"/>
      <c r="M2832" s="6"/>
      <c r="N2832" s="6"/>
      <c r="O2832" s="6"/>
      <c r="P2832" s="6"/>
      <c r="Q2832" s="6"/>
      <c r="R2832" s="6"/>
      <c r="S2832" s="6"/>
      <c r="T2832" s="6"/>
      <c r="U2832" s="6"/>
      <c r="V2832" s="6"/>
      <c r="W2832" s="6"/>
      <c r="X2832" s="6"/>
      <c r="Y2832" s="6"/>
      <c r="Z2832" s="6"/>
    </row>
    <row r="2833" customFormat="false" ht="15" hidden="false" customHeight="false" outlineLevel="0" collapsed="false">
      <c r="A2833" s="9" t="s">
        <v>8676</v>
      </c>
      <c r="B2833" s="9" t="s">
        <v>5870</v>
      </c>
      <c r="C2833" s="9" t="s">
        <v>3079</v>
      </c>
      <c r="D2833" s="9" t="s">
        <v>5871</v>
      </c>
      <c r="E2833" s="9" t="str">
        <f aca="false">IF(AND('Formation Ledger'!A2812&lt;&gt;"",'Formation Ledger'!V2812=0),"PASS","FAIL")</f>
        <v>PASS</v>
      </c>
      <c r="F2833" s="9" t="s">
        <v>76</v>
      </c>
      <c r="G2833" s="6"/>
      <c r="H2833" s="6"/>
      <c r="I2833" s="6"/>
      <c r="J2833" s="6"/>
      <c r="K2833" s="6"/>
      <c r="L2833" s="6"/>
      <c r="M2833" s="6"/>
      <c r="N2833" s="6"/>
      <c r="O2833" s="6"/>
      <c r="P2833" s="6"/>
      <c r="Q2833" s="6"/>
      <c r="R2833" s="6"/>
      <c r="S2833" s="6"/>
      <c r="T2833" s="6"/>
      <c r="U2833" s="6"/>
      <c r="V2833" s="6"/>
      <c r="W2833" s="6"/>
      <c r="X2833" s="6"/>
      <c r="Y2833" s="6"/>
      <c r="Z2833" s="6"/>
    </row>
    <row r="2834" customFormat="false" ht="15" hidden="false" customHeight="false" outlineLevel="0" collapsed="false">
      <c r="A2834" s="9" t="s">
        <v>8677</v>
      </c>
      <c r="B2834" s="9" t="s">
        <v>5870</v>
      </c>
      <c r="C2834" s="9" t="s">
        <v>3080</v>
      </c>
      <c r="D2834" s="9" t="s">
        <v>5871</v>
      </c>
      <c r="E2834" s="9" t="str">
        <f aca="false">IF(AND('Formation Ledger'!A2813&lt;&gt;"",'Formation Ledger'!V2813=0),"PASS","FAIL")</f>
        <v>PASS</v>
      </c>
      <c r="F2834" s="9" t="s">
        <v>76</v>
      </c>
      <c r="G2834" s="6"/>
      <c r="H2834" s="6"/>
      <c r="I2834" s="6"/>
      <c r="J2834" s="6"/>
      <c r="K2834" s="6"/>
      <c r="L2834" s="6"/>
      <c r="M2834" s="6"/>
      <c r="N2834" s="6"/>
      <c r="O2834" s="6"/>
      <c r="P2834" s="6"/>
      <c r="Q2834" s="6"/>
      <c r="R2834" s="6"/>
      <c r="S2834" s="6"/>
      <c r="T2834" s="6"/>
      <c r="U2834" s="6"/>
      <c r="V2834" s="6"/>
      <c r="W2834" s="6"/>
      <c r="X2834" s="6"/>
      <c r="Y2834" s="6"/>
      <c r="Z2834" s="6"/>
    </row>
    <row r="2835" customFormat="false" ht="15" hidden="false" customHeight="false" outlineLevel="0" collapsed="false">
      <c r="A2835" s="9" t="s">
        <v>8678</v>
      </c>
      <c r="B2835" s="9" t="s">
        <v>5870</v>
      </c>
      <c r="C2835" s="9" t="s">
        <v>3081</v>
      </c>
      <c r="D2835" s="9" t="s">
        <v>5871</v>
      </c>
      <c r="E2835" s="9" t="str">
        <f aca="false">IF(AND('Formation Ledger'!A2814&lt;&gt;"",'Formation Ledger'!V2814=0),"PASS","FAIL")</f>
        <v>PASS</v>
      </c>
      <c r="F2835" s="9" t="s">
        <v>76</v>
      </c>
      <c r="G2835" s="6"/>
      <c r="H2835" s="6"/>
      <c r="I2835" s="6"/>
      <c r="J2835" s="6"/>
      <c r="K2835" s="6"/>
      <c r="L2835" s="6"/>
      <c r="M2835" s="6"/>
      <c r="N2835" s="6"/>
      <c r="O2835" s="6"/>
      <c r="P2835" s="6"/>
      <c r="Q2835" s="6"/>
      <c r="R2835" s="6"/>
      <c r="S2835" s="6"/>
      <c r="T2835" s="6"/>
      <c r="U2835" s="6"/>
      <c r="V2835" s="6"/>
      <c r="W2835" s="6"/>
      <c r="X2835" s="6"/>
      <c r="Y2835" s="6"/>
      <c r="Z2835" s="6"/>
    </row>
    <row r="2836" customFormat="false" ht="15" hidden="false" customHeight="false" outlineLevel="0" collapsed="false">
      <c r="A2836" s="9" t="s">
        <v>8679</v>
      </c>
      <c r="B2836" s="9" t="s">
        <v>5870</v>
      </c>
      <c r="C2836" s="9" t="s">
        <v>3082</v>
      </c>
      <c r="D2836" s="9" t="s">
        <v>5871</v>
      </c>
      <c r="E2836" s="9" t="str">
        <f aca="false">IF(AND('Formation Ledger'!A2815&lt;&gt;"",'Formation Ledger'!V2815=0),"PASS","FAIL")</f>
        <v>PASS</v>
      </c>
      <c r="F2836" s="9" t="s">
        <v>76</v>
      </c>
      <c r="G2836" s="6"/>
      <c r="H2836" s="6"/>
      <c r="I2836" s="6"/>
      <c r="J2836" s="6"/>
      <c r="K2836" s="6"/>
      <c r="L2836" s="6"/>
      <c r="M2836" s="6"/>
      <c r="N2836" s="6"/>
      <c r="O2836" s="6"/>
      <c r="P2836" s="6"/>
      <c r="Q2836" s="6"/>
      <c r="R2836" s="6"/>
      <c r="S2836" s="6"/>
      <c r="T2836" s="6"/>
      <c r="U2836" s="6"/>
      <c r="V2836" s="6"/>
      <c r="W2836" s="6"/>
      <c r="X2836" s="6"/>
      <c r="Y2836" s="6"/>
      <c r="Z2836" s="6"/>
    </row>
    <row r="2837" customFormat="false" ht="15" hidden="false" customHeight="false" outlineLevel="0" collapsed="false">
      <c r="A2837" s="9" t="s">
        <v>8680</v>
      </c>
      <c r="B2837" s="9" t="s">
        <v>5870</v>
      </c>
      <c r="C2837" s="9" t="s">
        <v>3083</v>
      </c>
      <c r="D2837" s="9" t="s">
        <v>5871</v>
      </c>
      <c r="E2837" s="9" t="str">
        <f aca="false">IF(AND('Formation Ledger'!A2816&lt;&gt;"",'Formation Ledger'!V2816=0),"PASS","FAIL")</f>
        <v>PASS</v>
      </c>
      <c r="F2837" s="9" t="s">
        <v>76</v>
      </c>
      <c r="G2837" s="6"/>
      <c r="H2837" s="6"/>
      <c r="I2837" s="6"/>
      <c r="J2837" s="6"/>
      <c r="K2837" s="6"/>
      <c r="L2837" s="6"/>
      <c r="M2837" s="6"/>
      <c r="N2837" s="6"/>
      <c r="O2837" s="6"/>
      <c r="P2837" s="6"/>
      <c r="Q2837" s="6"/>
      <c r="R2837" s="6"/>
      <c r="S2837" s="6"/>
      <c r="T2837" s="6"/>
      <c r="U2837" s="6"/>
      <c r="V2837" s="6"/>
      <c r="W2837" s="6"/>
      <c r="X2837" s="6"/>
      <c r="Y2837" s="6"/>
      <c r="Z2837" s="6"/>
    </row>
    <row r="2838" customFormat="false" ht="15" hidden="false" customHeight="false" outlineLevel="0" collapsed="false">
      <c r="A2838" s="9" t="s">
        <v>8681</v>
      </c>
      <c r="B2838" s="9" t="s">
        <v>5870</v>
      </c>
      <c r="C2838" s="9" t="s">
        <v>3084</v>
      </c>
      <c r="D2838" s="9" t="s">
        <v>5871</v>
      </c>
      <c r="E2838" s="9" t="str">
        <f aca="false">IF(AND('Formation Ledger'!A2817&lt;&gt;"",'Formation Ledger'!V2817=0),"PASS","FAIL")</f>
        <v>PASS</v>
      </c>
      <c r="F2838" s="9" t="s">
        <v>76</v>
      </c>
      <c r="G2838" s="6"/>
      <c r="H2838" s="6"/>
      <c r="I2838" s="6"/>
      <c r="J2838" s="6"/>
      <c r="K2838" s="6"/>
      <c r="L2838" s="6"/>
      <c r="M2838" s="6"/>
      <c r="N2838" s="6"/>
      <c r="O2838" s="6"/>
      <c r="P2838" s="6"/>
      <c r="Q2838" s="6"/>
      <c r="R2838" s="6"/>
      <c r="S2838" s="6"/>
      <c r="T2838" s="6"/>
      <c r="U2838" s="6"/>
      <c r="V2838" s="6"/>
      <c r="W2838" s="6"/>
      <c r="X2838" s="6"/>
      <c r="Y2838" s="6"/>
      <c r="Z2838" s="6"/>
    </row>
    <row r="2839" customFormat="false" ht="15" hidden="false" customHeight="false" outlineLevel="0" collapsed="false">
      <c r="A2839" s="9" t="s">
        <v>8682</v>
      </c>
      <c r="B2839" s="9" t="s">
        <v>5870</v>
      </c>
      <c r="C2839" s="9" t="s">
        <v>3085</v>
      </c>
      <c r="D2839" s="9" t="s">
        <v>5871</v>
      </c>
      <c r="E2839" s="9" t="str">
        <f aca="false">IF(AND('Formation Ledger'!A2818&lt;&gt;"",'Formation Ledger'!V2818=0),"PASS","FAIL")</f>
        <v>PASS</v>
      </c>
      <c r="F2839" s="9" t="s">
        <v>76</v>
      </c>
      <c r="G2839" s="6"/>
      <c r="H2839" s="6"/>
      <c r="I2839" s="6"/>
      <c r="J2839" s="6"/>
      <c r="K2839" s="6"/>
      <c r="L2839" s="6"/>
      <c r="M2839" s="6"/>
      <c r="N2839" s="6"/>
      <c r="O2839" s="6"/>
      <c r="P2839" s="6"/>
      <c r="Q2839" s="6"/>
      <c r="R2839" s="6"/>
      <c r="S2839" s="6"/>
      <c r="T2839" s="6"/>
      <c r="U2839" s="6"/>
      <c r="V2839" s="6"/>
      <c r="W2839" s="6"/>
      <c r="X2839" s="6"/>
      <c r="Y2839" s="6"/>
      <c r="Z2839" s="6"/>
    </row>
    <row r="2840" customFormat="false" ht="15" hidden="false" customHeight="false" outlineLevel="0" collapsed="false">
      <c r="A2840" s="9" t="s">
        <v>8683</v>
      </c>
      <c r="B2840" s="9" t="s">
        <v>5870</v>
      </c>
      <c r="C2840" s="9" t="s">
        <v>3086</v>
      </c>
      <c r="D2840" s="9" t="s">
        <v>5871</v>
      </c>
      <c r="E2840" s="9" t="str">
        <f aca="false">IF(AND('Formation Ledger'!A2819&lt;&gt;"",'Formation Ledger'!V2819=0),"PASS","FAIL")</f>
        <v>PASS</v>
      </c>
      <c r="F2840" s="9" t="s">
        <v>76</v>
      </c>
      <c r="G2840" s="6"/>
      <c r="H2840" s="6"/>
      <c r="I2840" s="6"/>
      <c r="J2840" s="6"/>
      <c r="K2840" s="6"/>
      <c r="L2840" s="6"/>
      <c r="M2840" s="6"/>
      <c r="N2840" s="6"/>
      <c r="O2840" s="6"/>
      <c r="P2840" s="6"/>
      <c r="Q2840" s="6"/>
      <c r="R2840" s="6"/>
      <c r="S2840" s="6"/>
      <c r="T2840" s="6"/>
      <c r="U2840" s="6"/>
      <c r="V2840" s="6"/>
      <c r="W2840" s="6"/>
      <c r="X2840" s="6"/>
      <c r="Y2840" s="6"/>
      <c r="Z2840" s="6"/>
    </row>
    <row r="2841" customFormat="false" ht="15" hidden="false" customHeight="false" outlineLevel="0" collapsed="false">
      <c r="A2841" s="9" t="s">
        <v>8684</v>
      </c>
      <c r="B2841" s="9" t="s">
        <v>5870</v>
      </c>
      <c r="C2841" s="9" t="s">
        <v>3087</v>
      </c>
      <c r="D2841" s="9" t="s">
        <v>5871</v>
      </c>
      <c r="E2841" s="9" t="str">
        <f aca="false">IF(AND('Formation Ledger'!A2820&lt;&gt;"",'Formation Ledger'!V2820=0),"PASS","FAIL")</f>
        <v>PASS</v>
      </c>
      <c r="F2841" s="9" t="s">
        <v>76</v>
      </c>
      <c r="G2841" s="6"/>
      <c r="H2841" s="6"/>
      <c r="I2841" s="6"/>
      <c r="J2841" s="6"/>
      <c r="K2841" s="6"/>
      <c r="L2841" s="6"/>
      <c r="M2841" s="6"/>
      <c r="N2841" s="6"/>
      <c r="O2841" s="6"/>
      <c r="P2841" s="6"/>
      <c r="Q2841" s="6"/>
      <c r="R2841" s="6"/>
      <c r="S2841" s="6"/>
      <c r="T2841" s="6"/>
      <c r="U2841" s="6"/>
      <c r="V2841" s="6"/>
      <c r="W2841" s="6"/>
      <c r="X2841" s="6"/>
      <c r="Y2841" s="6"/>
      <c r="Z2841" s="6"/>
    </row>
    <row r="2842" customFormat="false" ht="15" hidden="false" customHeight="false" outlineLevel="0" collapsed="false">
      <c r="A2842" s="9" t="s">
        <v>8685</v>
      </c>
      <c r="B2842" s="9" t="s">
        <v>5870</v>
      </c>
      <c r="C2842" s="9" t="s">
        <v>3088</v>
      </c>
      <c r="D2842" s="9" t="s">
        <v>5871</v>
      </c>
      <c r="E2842" s="9" t="str">
        <f aca="false">IF(AND('Formation Ledger'!A2821&lt;&gt;"",'Formation Ledger'!V2821=0),"PASS","FAIL")</f>
        <v>PASS</v>
      </c>
      <c r="F2842" s="9" t="s">
        <v>76</v>
      </c>
      <c r="G2842" s="6"/>
      <c r="H2842" s="6"/>
      <c r="I2842" s="6"/>
      <c r="J2842" s="6"/>
      <c r="K2842" s="6"/>
      <c r="L2842" s="6"/>
      <c r="M2842" s="6"/>
      <c r="N2842" s="6"/>
      <c r="O2842" s="6"/>
      <c r="P2842" s="6"/>
      <c r="Q2842" s="6"/>
      <c r="R2842" s="6"/>
      <c r="S2842" s="6"/>
      <c r="T2842" s="6"/>
      <c r="U2842" s="6"/>
      <c r="V2842" s="6"/>
      <c r="W2842" s="6"/>
      <c r="X2842" s="6"/>
      <c r="Y2842" s="6"/>
      <c r="Z2842" s="6"/>
    </row>
    <row r="2843" customFormat="false" ht="15" hidden="false" customHeight="false" outlineLevel="0" collapsed="false">
      <c r="A2843" s="9" t="s">
        <v>8686</v>
      </c>
      <c r="B2843" s="9" t="s">
        <v>5870</v>
      </c>
      <c r="C2843" s="9" t="s">
        <v>3089</v>
      </c>
      <c r="D2843" s="9" t="s">
        <v>5871</v>
      </c>
      <c r="E2843" s="9" t="str">
        <f aca="false">IF(AND('Formation Ledger'!A2822&lt;&gt;"",'Formation Ledger'!V2822=0),"PASS","FAIL")</f>
        <v>PASS</v>
      </c>
      <c r="F2843" s="9" t="s">
        <v>76</v>
      </c>
      <c r="G2843" s="6"/>
      <c r="H2843" s="6"/>
      <c r="I2843" s="6"/>
      <c r="J2843" s="6"/>
      <c r="K2843" s="6"/>
      <c r="L2843" s="6"/>
      <c r="M2843" s="6"/>
      <c r="N2843" s="6"/>
      <c r="O2843" s="6"/>
      <c r="P2843" s="6"/>
      <c r="Q2843" s="6"/>
      <c r="R2843" s="6"/>
      <c r="S2843" s="6"/>
      <c r="T2843" s="6"/>
      <c r="U2843" s="6"/>
      <c r="V2843" s="6"/>
      <c r="W2843" s="6"/>
      <c r="X2843" s="6"/>
      <c r="Y2843" s="6"/>
      <c r="Z2843" s="6"/>
    </row>
    <row r="2844" customFormat="false" ht="15" hidden="false" customHeight="false" outlineLevel="0" collapsed="false">
      <c r="A2844" s="9" t="s">
        <v>8687</v>
      </c>
      <c r="B2844" s="9" t="s">
        <v>5870</v>
      </c>
      <c r="C2844" s="9" t="s">
        <v>3090</v>
      </c>
      <c r="D2844" s="9" t="s">
        <v>5871</v>
      </c>
      <c r="E2844" s="9" t="str">
        <f aca="false">IF(AND('Formation Ledger'!A2823&lt;&gt;"",'Formation Ledger'!V2823=0),"PASS","FAIL")</f>
        <v>PASS</v>
      </c>
      <c r="F2844" s="9" t="s">
        <v>76</v>
      </c>
      <c r="G2844" s="6"/>
      <c r="H2844" s="6"/>
      <c r="I2844" s="6"/>
      <c r="J2844" s="6"/>
      <c r="K2844" s="6"/>
      <c r="L2844" s="6"/>
      <c r="M2844" s="6"/>
      <c r="N2844" s="6"/>
      <c r="O2844" s="6"/>
      <c r="P2844" s="6"/>
      <c r="Q2844" s="6"/>
      <c r="R2844" s="6"/>
      <c r="S2844" s="6"/>
      <c r="T2844" s="6"/>
      <c r="U2844" s="6"/>
      <c r="V2844" s="6"/>
      <c r="W2844" s="6"/>
      <c r="X2844" s="6"/>
      <c r="Y2844" s="6"/>
      <c r="Z2844" s="6"/>
    </row>
    <row r="2845" customFormat="false" ht="15" hidden="false" customHeight="false" outlineLevel="0" collapsed="false">
      <c r="A2845" s="9" t="s">
        <v>8688</v>
      </c>
      <c r="B2845" s="9" t="s">
        <v>5870</v>
      </c>
      <c r="C2845" s="9" t="s">
        <v>3091</v>
      </c>
      <c r="D2845" s="9" t="s">
        <v>5871</v>
      </c>
      <c r="E2845" s="9" t="str">
        <f aca="false">IF(AND('Formation Ledger'!A2824&lt;&gt;"",'Formation Ledger'!V2824=0),"PASS","FAIL")</f>
        <v>PASS</v>
      </c>
      <c r="F2845" s="9" t="s">
        <v>76</v>
      </c>
      <c r="G2845" s="6"/>
      <c r="H2845" s="6"/>
      <c r="I2845" s="6"/>
      <c r="J2845" s="6"/>
      <c r="K2845" s="6"/>
      <c r="L2845" s="6"/>
      <c r="M2845" s="6"/>
      <c r="N2845" s="6"/>
      <c r="O2845" s="6"/>
      <c r="P2845" s="6"/>
      <c r="Q2845" s="6"/>
      <c r="R2845" s="6"/>
      <c r="S2845" s="6"/>
      <c r="T2845" s="6"/>
      <c r="U2845" s="6"/>
      <c r="V2845" s="6"/>
      <c r="W2845" s="6"/>
      <c r="X2845" s="6"/>
      <c r="Y2845" s="6"/>
      <c r="Z2845" s="6"/>
    </row>
    <row r="2846" customFormat="false" ht="15" hidden="false" customHeight="false" outlineLevel="0" collapsed="false">
      <c r="A2846" s="9" t="s">
        <v>8689</v>
      </c>
      <c r="B2846" s="9" t="s">
        <v>5870</v>
      </c>
      <c r="C2846" s="9" t="s">
        <v>3092</v>
      </c>
      <c r="D2846" s="9" t="s">
        <v>5871</v>
      </c>
      <c r="E2846" s="9" t="str">
        <f aca="false">IF(AND('Formation Ledger'!A2825&lt;&gt;"",'Formation Ledger'!V2825=0),"PASS","FAIL")</f>
        <v>PASS</v>
      </c>
      <c r="F2846" s="9" t="s">
        <v>76</v>
      </c>
      <c r="G2846" s="6"/>
      <c r="H2846" s="6"/>
      <c r="I2846" s="6"/>
      <c r="J2846" s="6"/>
      <c r="K2846" s="6"/>
      <c r="L2846" s="6"/>
      <c r="M2846" s="6"/>
      <c r="N2846" s="6"/>
      <c r="O2846" s="6"/>
      <c r="P2846" s="6"/>
      <c r="Q2846" s="6"/>
      <c r="R2846" s="6"/>
      <c r="S2846" s="6"/>
      <c r="T2846" s="6"/>
      <c r="U2846" s="6"/>
      <c r="V2846" s="6"/>
      <c r="W2846" s="6"/>
      <c r="X2846" s="6"/>
      <c r="Y2846" s="6"/>
      <c r="Z2846" s="6"/>
    </row>
    <row r="2847" customFormat="false" ht="15" hidden="false" customHeight="false" outlineLevel="0" collapsed="false">
      <c r="A2847" s="9" t="s">
        <v>8690</v>
      </c>
      <c r="B2847" s="9" t="s">
        <v>5870</v>
      </c>
      <c r="C2847" s="9" t="s">
        <v>3093</v>
      </c>
      <c r="D2847" s="9" t="s">
        <v>5871</v>
      </c>
      <c r="E2847" s="9" t="str">
        <f aca="false">IF(AND('Formation Ledger'!A2826&lt;&gt;"",'Formation Ledger'!V2826=0),"PASS","FAIL")</f>
        <v>PASS</v>
      </c>
      <c r="F2847" s="9" t="s">
        <v>76</v>
      </c>
      <c r="G2847" s="6"/>
      <c r="H2847" s="6"/>
      <c r="I2847" s="6"/>
      <c r="J2847" s="6"/>
      <c r="K2847" s="6"/>
      <c r="L2847" s="6"/>
      <c r="M2847" s="6"/>
      <c r="N2847" s="6"/>
      <c r="O2847" s="6"/>
      <c r="P2847" s="6"/>
      <c r="Q2847" s="6"/>
      <c r="R2847" s="6"/>
      <c r="S2847" s="6"/>
      <c r="T2847" s="6"/>
      <c r="U2847" s="6"/>
      <c r="V2847" s="6"/>
      <c r="W2847" s="6"/>
      <c r="X2847" s="6"/>
      <c r="Y2847" s="6"/>
      <c r="Z2847" s="6"/>
    </row>
    <row r="2848" customFormat="false" ht="15" hidden="false" customHeight="false" outlineLevel="0" collapsed="false">
      <c r="A2848" s="9" t="s">
        <v>8691</v>
      </c>
      <c r="B2848" s="9" t="s">
        <v>5870</v>
      </c>
      <c r="C2848" s="9" t="s">
        <v>3094</v>
      </c>
      <c r="D2848" s="9" t="s">
        <v>5871</v>
      </c>
      <c r="E2848" s="9" t="str">
        <f aca="false">IF(AND('Formation Ledger'!A2827&lt;&gt;"",'Formation Ledger'!V2827=0),"PASS","FAIL")</f>
        <v>PASS</v>
      </c>
      <c r="F2848" s="9" t="s">
        <v>76</v>
      </c>
      <c r="G2848" s="6"/>
      <c r="H2848" s="6"/>
      <c r="I2848" s="6"/>
      <c r="J2848" s="6"/>
      <c r="K2848" s="6"/>
      <c r="L2848" s="6"/>
      <c r="M2848" s="6"/>
      <c r="N2848" s="6"/>
      <c r="O2848" s="6"/>
      <c r="P2848" s="6"/>
      <c r="Q2848" s="6"/>
      <c r="R2848" s="6"/>
      <c r="S2848" s="6"/>
      <c r="T2848" s="6"/>
      <c r="U2848" s="6"/>
      <c r="V2848" s="6"/>
      <c r="W2848" s="6"/>
      <c r="X2848" s="6"/>
      <c r="Y2848" s="6"/>
      <c r="Z2848" s="6"/>
    </row>
    <row r="2849" customFormat="false" ht="15" hidden="false" customHeight="false" outlineLevel="0" collapsed="false">
      <c r="A2849" s="9" t="s">
        <v>8692</v>
      </c>
      <c r="B2849" s="9" t="s">
        <v>5870</v>
      </c>
      <c r="C2849" s="9" t="s">
        <v>3095</v>
      </c>
      <c r="D2849" s="9" t="s">
        <v>5871</v>
      </c>
      <c r="E2849" s="9" t="str">
        <f aca="false">IF(AND('Formation Ledger'!A2828&lt;&gt;"",'Formation Ledger'!V2828=0),"PASS","FAIL")</f>
        <v>PASS</v>
      </c>
      <c r="F2849" s="9" t="s">
        <v>76</v>
      </c>
      <c r="G2849" s="6"/>
      <c r="H2849" s="6"/>
      <c r="I2849" s="6"/>
      <c r="J2849" s="6"/>
      <c r="K2849" s="6"/>
      <c r="L2849" s="6"/>
      <c r="M2849" s="6"/>
      <c r="N2849" s="6"/>
      <c r="O2849" s="6"/>
      <c r="P2849" s="6"/>
      <c r="Q2849" s="6"/>
      <c r="R2849" s="6"/>
      <c r="S2849" s="6"/>
      <c r="T2849" s="6"/>
      <c r="U2849" s="6"/>
      <c r="V2849" s="6"/>
      <c r="W2849" s="6"/>
      <c r="X2849" s="6"/>
      <c r="Y2849" s="6"/>
      <c r="Z2849" s="6"/>
    </row>
    <row r="2850" customFormat="false" ht="15" hidden="false" customHeight="false" outlineLevel="0" collapsed="false">
      <c r="A2850" s="9" t="s">
        <v>8693</v>
      </c>
      <c r="B2850" s="9" t="s">
        <v>5870</v>
      </c>
      <c r="C2850" s="9" t="s">
        <v>3096</v>
      </c>
      <c r="D2850" s="9" t="s">
        <v>5871</v>
      </c>
      <c r="E2850" s="9" t="str">
        <f aca="false">IF(AND('Formation Ledger'!A2829&lt;&gt;"",'Formation Ledger'!V2829=0),"PASS","FAIL")</f>
        <v>PASS</v>
      </c>
      <c r="F2850" s="9" t="s">
        <v>76</v>
      </c>
      <c r="G2850" s="6"/>
      <c r="H2850" s="6"/>
      <c r="I2850" s="6"/>
      <c r="J2850" s="6"/>
      <c r="K2850" s="6"/>
      <c r="L2850" s="6"/>
      <c r="M2850" s="6"/>
      <c r="N2850" s="6"/>
      <c r="O2850" s="6"/>
      <c r="P2850" s="6"/>
      <c r="Q2850" s="6"/>
      <c r="R2850" s="6"/>
      <c r="S2850" s="6"/>
      <c r="T2850" s="6"/>
      <c r="U2850" s="6"/>
      <c r="V2850" s="6"/>
      <c r="W2850" s="6"/>
      <c r="X2850" s="6"/>
      <c r="Y2850" s="6"/>
      <c r="Z2850" s="6"/>
    </row>
    <row r="2851" customFormat="false" ht="15" hidden="false" customHeight="false" outlineLevel="0" collapsed="false">
      <c r="A2851" s="9" t="s">
        <v>8694</v>
      </c>
      <c r="B2851" s="9" t="s">
        <v>5870</v>
      </c>
      <c r="C2851" s="9" t="s">
        <v>3097</v>
      </c>
      <c r="D2851" s="9" t="s">
        <v>5871</v>
      </c>
      <c r="E2851" s="9" t="str">
        <f aca="false">IF(AND('Formation Ledger'!A2830&lt;&gt;"",'Formation Ledger'!V2830=0),"PASS","FAIL")</f>
        <v>PASS</v>
      </c>
      <c r="F2851" s="9" t="s">
        <v>76</v>
      </c>
      <c r="G2851" s="6"/>
      <c r="H2851" s="6"/>
      <c r="I2851" s="6"/>
      <c r="J2851" s="6"/>
      <c r="K2851" s="6"/>
      <c r="L2851" s="6"/>
      <c r="M2851" s="6"/>
      <c r="N2851" s="6"/>
      <c r="O2851" s="6"/>
      <c r="P2851" s="6"/>
      <c r="Q2851" s="6"/>
      <c r="R2851" s="6"/>
      <c r="S2851" s="6"/>
      <c r="T2851" s="6"/>
      <c r="U2851" s="6"/>
      <c r="V2851" s="6"/>
      <c r="W2851" s="6"/>
      <c r="X2851" s="6"/>
      <c r="Y2851" s="6"/>
      <c r="Z2851" s="6"/>
    </row>
    <row r="2852" customFormat="false" ht="15" hidden="false" customHeight="false" outlineLevel="0" collapsed="false">
      <c r="A2852" s="9" t="s">
        <v>8695</v>
      </c>
      <c r="B2852" s="9" t="s">
        <v>5870</v>
      </c>
      <c r="C2852" s="9" t="s">
        <v>3098</v>
      </c>
      <c r="D2852" s="9" t="s">
        <v>5871</v>
      </c>
      <c r="E2852" s="9" t="str">
        <f aca="false">IF(AND('Formation Ledger'!A2831&lt;&gt;"",'Formation Ledger'!V2831=0),"PASS","FAIL")</f>
        <v>PASS</v>
      </c>
      <c r="F2852" s="9" t="s">
        <v>76</v>
      </c>
      <c r="G2852" s="6"/>
      <c r="H2852" s="6"/>
      <c r="I2852" s="6"/>
      <c r="J2852" s="6"/>
      <c r="K2852" s="6"/>
      <c r="L2852" s="6"/>
      <c r="M2852" s="6"/>
      <c r="N2852" s="6"/>
      <c r="O2852" s="6"/>
      <c r="P2852" s="6"/>
      <c r="Q2852" s="6"/>
      <c r="R2852" s="6"/>
      <c r="S2852" s="6"/>
      <c r="T2852" s="6"/>
      <c r="U2852" s="6"/>
      <c r="V2852" s="6"/>
      <c r="W2852" s="6"/>
      <c r="X2852" s="6"/>
      <c r="Y2852" s="6"/>
      <c r="Z2852" s="6"/>
    </row>
    <row r="2853" customFormat="false" ht="15" hidden="false" customHeight="false" outlineLevel="0" collapsed="false">
      <c r="A2853" s="9" t="s">
        <v>8696</v>
      </c>
      <c r="B2853" s="9" t="s">
        <v>5870</v>
      </c>
      <c r="C2853" s="9" t="s">
        <v>3099</v>
      </c>
      <c r="D2853" s="9" t="s">
        <v>5871</v>
      </c>
      <c r="E2853" s="9" t="str">
        <f aca="false">IF(AND('Formation Ledger'!A2832&lt;&gt;"",'Formation Ledger'!V2832=0),"PASS","FAIL")</f>
        <v>PASS</v>
      </c>
      <c r="F2853" s="9" t="s">
        <v>76</v>
      </c>
      <c r="G2853" s="6"/>
      <c r="H2853" s="6"/>
      <c r="I2853" s="6"/>
      <c r="J2853" s="6"/>
      <c r="K2853" s="6"/>
      <c r="L2853" s="6"/>
      <c r="M2853" s="6"/>
      <c r="N2853" s="6"/>
      <c r="O2853" s="6"/>
      <c r="P2853" s="6"/>
      <c r="Q2853" s="6"/>
      <c r="R2853" s="6"/>
      <c r="S2853" s="6"/>
      <c r="T2853" s="6"/>
      <c r="U2853" s="6"/>
      <c r="V2853" s="6"/>
      <c r="W2853" s="6"/>
      <c r="X2853" s="6"/>
      <c r="Y2853" s="6"/>
      <c r="Z2853" s="6"/>
    </row>
    <row r="2854" customFormat="false" ht="15" hidden="false" customHeight="false" outlineLevel="0" collapsed="false">
      <c r="A2854" s="9" t="s">
        <v>8697</v>
      </c>
      <c r="B2854" s="9" t="s">
        <v>5870</v>
      </c>
      <c r="C2854" s="9" t="s">
        <v>3100</v>
      </c>
      <c r="D2854" s="9" t="s">
        <v>5871</v>
      </c>
      <c r="E2854" s="9" t="str">
        <f aca="false">IF(AND('Formation Ledger'!A2833&lt;&gt;"",'Formation Ledger'!V2833=0),"PASS","FAIL")</f>
        <v>PASS</v>
      </c>
      <c r="F2854" s="9" t="s">
        <v>76</v>
      </c>
      <c r="G2854" s="6"/>
      <c r="H2854" s="6"/>
      <c r="I2854" s="6"/>
      <c r="J2854" s="6"/>
      <c r="K2854" s="6"/>
      <c r="L2854" s="6"/>
      <c r="M2854" s="6"/>
      <c r="N2854" s="6"/>
      <c r="O2854" s="6"/>
      <c r="P2854" s="6"/>
      <c r="Q2854" s="6"/>
      <c r="R2854" s="6"/>
      <c r="S2854" s="6"/>
      <c r="T2854" s="6"/>
      <c r="U2854" s="6"/>
      <c r="V2854" s="6"/>
      <c r="W2854" s="6"/>
      <c r="X2854" s="6"/>
      <c r="Y2854" s="6"/>
      <c r="Z2854" s="6"/>
    </row>
    <row r="2855" customFormat="false" ht="15" hidden="false" customHeight="false" outlineLevel="0" collapsed="false">
      <c r="A2855" s="9" t="s">
        <v>8698</v>
      </c>
      <c r="B2855" s="9" t="s">
        <v>5870</v>
      </c>
      <c r="C2855" s="9" t="s">
        <v>3101</v>
      </c>
      <c r="D2855" s="9" t="s">
        <v>5871</v>
      </c>
      <c r="E2855" s="9" t="str">
        <f aca="false">IF(AND('Formation Ledger'!A2834&lt;&gt;"",'Formation Ledger'!V2834=0),"PASS","FAIL")</f>
        <v>PASS</v>
      </c>
      <c r="F2855" s="9" t="s">
        <v>76</v>
      </c>
      <c r="G2855" s="6"/>
      <c r="H2855" s="6"/>
      <c r="I2855" s="6"/>
      <c r="J2855" s="6"/>
      <c r="K2855" s="6"/>
      <c r="L2855" s="6"/>
      <c r="M2855" s="6"/>
      <c r="N2855" s="6"/>
      <c r="O2855" s="6"/>
      <c r="P2855" s="6"/>
      <c r="Q2855" s="6"/>
      <c r="R2855" s="6"/>
      <c r="S2855" s="6"/>
      <c r="T2855" s="6"/>
      <c r="U2855" s="6"/>
      <c r="V2855" s="6"/>
      <c r="W2855" s="6"/>
      <c r="X2855" s="6"/>
      <c r="Y2855" s="6"/>
      <c r="Z2855" s="6"/>
    </row>
    <row r="2856" customFormat="false" ht="15" hidden="false" customHeight="false" outlineLevel="0" collapsed="false">
      <c r="A2856" s="9" t="s">
        <v>8699</v>
      </c>
      <c r="B2856" s="9" t="s">
        <v>5870</v>
      </c>
      <c r="C2856" s="9" t="s">
        <v>3102</v>
      </c>
      <c r="D2856" s="9" t="s">
        <v>5871</v>
      </c>
      <c r="E2856" s="9" t="str">
        <f aca="false">IF(AND('Formation Ledger'!A2835&lt;&gt;"",'Formation Ledger'!V2835=0),"PASS","FAIL")</f>
        <v>PASS</v>
      </c>
      <c r="F2856" s="9" t="s">
        <v>76</v>
      </c>
      <c r="G2856" s="6"/>
      <c r="H2856" s="6"/>
      <c r="I2856" s="6"/>
      <c r="J2856" s="6"/>
      <c r="K2856" s="6"/>
      <c r="L2856" s="6"/>
      <c r="M2856" s="6"/>
      <c r="N2856" s="6"/>
      <c r="O2856" s="6"/>
      <c r="P2856" s="6"/>
      <c r="Q2856" s="6"/>
      <c r="R2856" s="6"/>
      <c r="S2856" s="6"/>
      <c r="T2856" s="6"/>
      <c r="U2856" s="6"/>
      <c r="V2856" s="6"/>
      <c r="W2856" s="6"/>
      <c r="X2856" s="6"/>
      <c r="Y2856" s="6"/>
      <c r="Z2856" s="6"/>
    </row>
    <row r="2857" customFormat="false" ht="15" hidden="false" customHeight="false" outlineLevel="0" collapsed="false">
      <c r="A2857" s="9" t="s">
        <v>8700</v>
      </c>
      <c r="B2857" s="9" t="s">
        <v>5870</v>
      </c>
      <c r="C2857" s="9" t="s">
        <v>3103</v>
      </c>
      <c r="D2857" s="9" t="s">
        <v>5871</v>
      </c>
      <c r="E2857" s="9" t="str">
        <f aca="false">IF(AND('Formation Ledger'!A2836&lt;&gt;"",'Formation Ledger'!V2836=0),"PASS","FAIL")</f>
        <v>PASS</v>
      </c>
      <c r="F2857" s="9" t="s">
        <v>76</v>
      </c>
      <c r="G2857" s="6"/>
      <c r="H2857" s="6"/>
      <c r="I2857" s="6"/>
      <c r="J2857" s="6"/>
      <c r="K2857" s="6"/>
      <c r="L2857" s="6"/>
      <c r="M2857" s="6"/>
      <c r="N2857" s="6"/>
      <c r="O2857" s="6"/>
      <c r="P2857" s="6"/>
      <c r="Q2857" s="6"/>
      <c r="R2857" s="6"/>
      <c r="S2857" s="6"/>
      <c r="T2857" s="6"/>
      <c r="U2857" s="6"/>
      <c r="V2857" s="6"/>
      <c r="W2857" s="6"/>
      <c r="X2857" s="6"/>
      <c r="Y2857" s="6"/>
      <c r="Z2857" s="6"/>
    </row>
    <row r="2858" customFormat="false" ht="15" hidden="false" customHeight="false" outlineLevel="0" collapsed="false">
      <c r="A2858" s="9" t="s">
        <v>8701</v>
      </c>
      <c r="B2858" s="9" t="s">
        <v>5870</v>
      </c>
      <c r="C2858" s="9" t="s">
        <v>3104</v>
      </c>
      <c r="D2858" s="9" t="s">
        <v>5871</v>
      </c>
      <c r="E2858" s="9" t="str">
        <f aca="false">IF(AND('Formation Ledger'!A2837&lt;&gt;"",'Formation Ledger'!V2837=0),"PASS","FAIL")</f>
        <v>PASS</v>
      </c>
      <c r="F2858" s="9" t="s">
        <v>76</v>
      </c>
      <c r="G2858" s="6"/>
      <c r="H2858" s="6"/>
      <c r="I2858" s="6"/>
      <c r="J2858" s="6"/>
      <c r="K2858" s="6"/>
      <c r="L2858" s="6"/>
      <c r="M2858" s="6"/>
      <c r="N2858" s="6"/>
      <c r="O2858" s="6"/>
      <c r="P2858" s="6"/>
      <c r="Q2858" s="6"/>
      <c r="R2858" s="6"/>
      <c r="S2858" s="6"/>
      <c r="T2858" s="6"/>
      <c r="U2858" s="6"/>
      <c r="V2858" s="6"/>
      <c r="W2858" s="6"/>
      <c r="X2858" s="6"/>
      <c r="Y2858" s="6"/>
      <c r="Z2858" s="6"/>
    </row>
    <row r="2859" customFormat="false" ht="15" hidden="false" customHeight="false" outlineLevel="0" collapsed="false">
      <c r="A2859" s="9" t="s">
        <v>8702</v>
      </c>
      <c r="B2859" s="9" t="s">
        <v>5870</v>
      </c>
      <c r="C2859" s="9" t="s">
        <v>3105</v>
      </c>
      <c r="D2859" s="9" t="s">
        <v>5871</v>
      </c>
      <c r="E2859" s="9" t="str">
        <f aca="false">IF(AND('Formation Ledger'!A2838&lt;&gt;"",'Formation Ledger'!V2838=0),"PASS","FAIL")</f>
        <v>PASS</v>
      </c>
      <c r="F2859" s="9" t="s">
        <v>76</v>
      </c>
      <c r="G2859" s="6"/>
      <c r="H2859" s="6"/>
      <c r="I2859" s="6"/>
      <c r="J2859" s="6"/>
      <c r="K2859" s="6"/>
      <c r="L2859" s="6"/>
      <c r="M2859" s="6"/>
      <c r="N2859" s="6"/>
      <c r="O2859" s="6"/>
      <c r="P2859" s="6"/>
      <c r="Q2859" s="6"/>
      <c r="R2859" s="6"/>
      <c r="S2859" s="6"/>
      <c r="T2859" s="6"/>
      <c r="U2859" s="6"/>
      <c r="V2859" s="6"/>
      <c r="W2859" s="6"/>
      <c r="X2859" s="6"/>
      <c r="Y2859" s="6"/>
      <c r="Z2859" s="6"/>
    </row>
    <row r="2860" customFormat="false" ht="15" hidden="false" customHeight="false" outlineLevel="0" collapsed="false">
      <c r="A2860" s="9" t="s">
        <v>8703</v>
      </c>
      <c r="B2860" s="9" t="s">
        <v>5870</v>
      </c>
      <c r="C2860" s="9" t="s">
        <v>3106</v>
      </c>
      <c r="D2860" s="9" t="s">
        <v>5871</v>
      </c>
      <c r="E2860" s="9" t="str">
        <f aca="false">IF(AND('Formation Ledger'!A2839&lt;&gt;"",'Formation Ledger'!V2839=0),"PASS","FAIL")</f>
        <v>PASS</v>
      </c>
      <c r="F2860" s="9" t="s">
        <v>76</v>
      </c>
      <c r="G2860" s="6"/>
      <c r="H2860" s="6"/>
      <c r="I2860" s="6"/>
      <c r="J2860" s="6"/>
      <c r="K2860" s="6"/>
      <c r="L2860" s="6"/>
      <c r="M2860" s="6"/>
      <c r="N2860" s="6"/>
      <c r="O2860" s="6"/>
      <c r="P2860" s="6"/>
      <c r="Q2860" s="6"/>
      <c r="R2860" s="6"/>
      <c r="S2860" s="6"/>
      <c r="T2860" s="6"/>
      <c r="U2860" s="6"/>
      <c r="V2860" s="6"/>
      <c r="W2860" s="6"/>
      <c r="X2860" s="6"/>
      <c r="Y2860" s="6"/>
      <c r="Z2860" s="6"/>
    </row>
    <row r="2861" customFormat="false" ht="15" hidden="false" customHeight="false" outlineLevel="0" collapsed="false">
      <c r="A2861" s="9" t="s">
        <v>8704</v>
      </c>
      <c r="B2861" s="9" t="s">
        <v>5870</v>
      </c>
      <c r="C2861" s="9" t="s">
        <v>3107</v>
      </c>
      <c r="D2861" s="9" t="s">
        <v>5871</v>
      </c>
      <c r="E2861" s="9" t="str">
        <f aca="false">IF(AND('Formation Ledger'!A2840&lt;&gt;"",'Formation Ledger'!V2840=0),"PASS","FAIL")</f>
        <v>PASS</v>
      </c>
      <c r="F2861" s="9" t="s">
        <v>76</v>
      </c>
      <c r="G2861" s="6"/>
      <c r="H2861" s="6"/>
      <c r="I2861" s="6"/>
      <c r="J2861" s="6"/>
      <c r="K2861" s="6"/>
      <c r="L2861" s="6"/>
      <c r="M2861" s="6"/>
      <c r="N2861" s="6"/>
      <c r="O2861" s="6"/>
      <c r="P2861" s="6"/>
      <c r="Q2861" s="6"/>
      <c r="R2861" s="6"/>
      <c r="S2861" s="6"/>
      <c r="T2861" s="6"/>
      <c r="U2861" s="6"/>
      <c r="V2861" s="6"/>
      <c r="W2861" s="6"/>
      <c r="X2861" s="6"/>
      <c r="Y2861" s="6"/>
      <c r="Z2861" s="6"/>
    </row>
    <row r="2862" customFormat="false" ht="15" hidden="false" customHeight="false" outlineLevel="0" collapsed="false">
      <c r="A2862" s="9" t="s">
        <v>8705</v>
      </c>
      <c r="B2862" s="9" t="s">
        <v>5870</v>
      </c>
      <c r="C2862" s="9" t="s">
        <v>3108</v>
      </c>
      <c r="D2862" s="9" t="s">
        <v>5871</v>
      </c>
      <c r="E2862" s="9" t="str">
        <f aca="false">IF(AND('Formation Ledger'!A2841&lt;&gt;"",'Formation Ledger'!V2841=0),"PASS","FAIL")</f>
        <v>PASS</v>
      </c>
      <c r="F2862" s="9" t="s">
        <v>76</v>
      </c>
      <c r="G2862" s="6"/>
      <c r="H2862" s="6"/>
      <c r="I2862" s="6"/>
      <c r="J2862" s="6"/>
      <c r="K2862" s="6"/>
      <c r="L2862" s="6"/>
      <c r="M2862" s="6"/>
      <c r="N2862" s="6"/>
      <c r="O2862" s="6"/>
      <c r="P2862" s="6"/>
      <c r="Q2862" s="6"/>
      <c r="R2862" s="6"/>
      <c r="S2862" s="6"/>
      <c r="T2862" s="6"/>
      <c r="U2862" s="6"/>
      <c r="V2862" s="6"/>
      <c r="W2862" s="6"/>
      <c r="X2862" s="6"/>
      <c r="Y2862" s="6"/>
      <c r="Z2862" s="6"/>
    </row>
    <row r="2863" customFormat="false" ht="15" hidden="false" customHeight="false" outlineLevel="0" collapsed="false">
      <c r="A2863" s="9" t="s">
        <v>8706</v>
      </c>
      <c r="B2863" s="9" t="s">
        <v>5870</v>
      </c>
      <c r="C2863" s="9" t="s">
        <v>3109</v>
      </c>
      <c r="D2863" s="9" t="s">
        <v>5871</v>
      </c>
      <c r="E2863" s="9" t="str">
        <f aca="false">IF(AND('Formation Ledger'!A2842&lt;&gt;"",'Formation Ledger'!V2842=0),"PASS","FAIL")</f>
        <v>PASS</v>
      </c>
      <c r="F2863" s="9" t="s">
        <v>76</v>
      </c>
      <c r="G2863" s="6"/>
      <c r="H2863" s="6"/>
      <c r="I2863" s="6"/>
      <c r="J2863" s="6"/>
      <c r="K2863" s="6"/>
      <c r="L2863" s="6"/>
      <c r="M2863" s="6"/>
      <c r="N2863" s="6"/>
      <c r="O2863" s="6"/>
      <c r="P2863" s="6"/>
      <c r="Q2863" s="6"/>
      <c r="R2863" s="6"/>
      <c r="S2863" s="6"/>
      <c r="T2863" s="6"/>
      <c r="U2863" s="6"/>
      <c r="V2863" s="6"/>
      <c r="W2863" s="6"/>
      <c r="X2863" s="6"/>
      <c r="Y2863" s="6"/>
      <c r="Z2863" s="6"/>
    </row>
    <row r="2864" customFormat="false" ht="15" hidden="false" customHeight="false" outlineLevel="0" collapsed="false">
      <c r="A2864" s="9" t="s">
        <v>8707</v>
      </c>
      <c r="B2864" s="9" t="s">
        <v>5870</v>
      </c>
      <c r="C2864" s="9" t="s">
        <v>3110</v>
      </c>
      <c r="D2864" s="9" t="s">
        <v>5871</v>
      </c>
      <c r="E2864" s="9" t="str">
        <f aca="false">IF(AND('Formation Ledger'!A2843&lt;&gt;"",'Formation Ledger'!V2843=0),"PASS","FAIL")</f>
        <v>PASS</v>
      </c>
      <c r="F2864" s="9" t="s">
        <v>76</v>
      </c>
      <c r="G2864" s="6"/>
      <c r="H2864" s="6"/>
      <c r="I2864" s="6"/>
      <c r="J2864" s="6"/>
      <c r="K2864" s="6"/>
      <c r="L2864" s="6"/>
      <c r="M2864" s="6"/>
      <c r="N2864" s="6"/>
      <c r="O2864" s="6"/>
      <c r="P2864" s="6"/>
      <c r="Q2864" s="6"/>
      <c r="R2864" s="6"/>
      <c r="S2864" s="6"/>
      <c r="T2864" s="6"/>
      <c r="U2864" s="6"/>
      <c r="V2864" s="6"/>
      <c r="W2864" s="6"/>
      <c r="X2864" s="6"/>
      <c r="Y2864" s="6"/>
      <c r="Z2864" s="6"/>
    </row>
    <row r="2865" customFormat="false" ht="15" hidden="false" customHeight="false" outlineLevel="0" collapsed="false">
      <c r="A2865" s="9" t="s">
        <v>8708</v>
      </c>
      <c r="B2865" s="9" t="s">
        <v>5870</v>
      </c>
      <c r="C2865" s="9" t="s">
        <v>3111</v>
      </c>
      <c r="D2865" s="9" t="s">
        <v>5871</v>
      </c>
      <c r="E2865" s="9" t="str">
        <f aca="false">IF(AND('Formation Ledger'!A2844&lt;&gt;"",'Formation Ledger'!V2844=0),"PASS","FAIL")</f>
        <v>PASS</v>
      </c>
      <c r="F2865" s="9" t="s">
        <v>76</v>
      </c>
      <c r="G2865" s="6"/>
      <c r="H2865" s="6"/>
      <c r="I2865" s="6"/>
      <c r="J2865" s="6"/>
      <c r="K2865" s="6"/>
      <c r="L2865" s="6"/>
      <c r="M2865" s="6"/>
      <c r="N2865" s="6"/>
      <c r="O2865" s="6"/>
      <c r="P2865" s="6"/>
      <c r="Q2865" s="6"/>
      <c r="R2865" s="6"/>
      <c r="S2865" s="6"/>
      <c r="T2865" s="6"/>
      <c r="U2865" s="6"/>
      <c r="V2865" s="6"/>
      <c r="W2865" s="6"/>
      <c r="X2865" s="6"/>
      <c r="Y2865" s="6"/>
      <c r="Z2865" s="6"/>
    </row>
    <row r="2866" customFormat="false" ht="15" hidden="false" customHeight="false" outlineLevel="0" collapsed="false">
      <c r="A2866" s="9" t="s">
        <v>8709</v>
      </c>
      <c r="B2866" s="9" t="s">
        <v>5870</v>
      </c>
      <c r="C2866" s="9" t="s">
        <v>3112</v>
      </c>
      <c r="D2866" s="9" t="s">
        <v>5871</v>
      </c>
      <c r="E2866" s="9" t="str">
        <f aca="false">IF(AND('Formation Ledger'!A2845&lt;&gt;"",'Formation Ledger'!V2845=0),"PASS","FAIL")</f>
        <v>PASS</v>
      </c>
      <c r="F2866" s="9" t="s">
        <v>76</v>
      </c>
      <c r="G2866" s="6"/>
      <c r="H2866" s="6"/>
      <c r="I2866" s="6"/>
      <c r="J2866" s="6"/>
      <c r="K2866" s="6"/>
      <c r="L2866" s="6"/>
      <c r="M2866" s="6"/>
      <c r="N2866" s="6"/>
      <c r="O2866" s="6"/>
      <c r="P2866" s="6"/>
      <c r="Q2866" s="6"/>
      <c r="R2866" s="6"/>
      <c r="S2866" s="6"/>
      <c r="T2866" s="6"/>
      <c r="U2866" s="6"/>
      <c r="V2866" s="6"/>
      <c r="W2866" s="6"/>
      <c r="X2866" s="6"/>
      <c r="Y2866" s="6"/>
      <c r="Z2866" s="6"/>
    </row>
    <row r="2867" customFormat="false" ht="15" hidden="false" customHeight="false" outlineLevel="0" collapsed="false">
      <c r="A2867" s="9" t="s">
        <v>8710</v>
      </c>
      <c r="B2867" s="9" t="s">
        <v>5870</v>
      </c>
      <c r="C2867" s="9" t="s">
        <v>3113</v>
      </c>
      <c r="D2867" s="9" t="s">
        <v>5871</v>
      </c>
      <c r="E2867" s="9" t="str">
        <f aca="false">IF(AND('Formation Ledger'!A2846&lt;&gt;"",'Formation Ledger'!V2846=0),"PASS","FAIL")</f>
        <v>PASS</v>
      </c>
      <c r="F2867" s="9" t="s">
        <v>76</v>
      </c>
      <c r="G2867" s="6"/>
      <c r="H2867" s="6"/>
      <c r="I2867" s="6"/>
      <c r="J2867" s="6"/>
      <c r="K2867" s="6"/>
      <c r="L2867" s="6"/>
      <c r="M2867" s="6"/>
      <c r="N2867" s="6"/>
      <c r="O2867" s="6"/>
      <c r="P2867" s="6"/>
      <c r="Q2867" s="6"/>
      <c r="R2867" s="6"/>
      <c r="S2867" s="6"/>
      <c r="T2867" s="6"/>
      <c r="U2867" s="6"/>
      <c r="V2867" s="6"/>
      <c r="W2867" s="6"/>
      <c r="X2867" s="6"/>
      <c r="Y2867" s="6"/>
      <c r="Z2867" s="6"/>
    </row>
    <row r="2868" customFormat="false" ht="15" hidden="false" customHeight="false" outlineLevel="0" collapsed="false">
      <c r="A2868" s="9" t="s">
        <v>8711</v>
      </c>
      <c r="B2868" s="9" t="s">
        <v>5870</v>
      </c>
      <c r="C2868" s="9" t="s">
        <v>3114</v>
      </c>
      <c r="D2868" s="9" t="s">
        <v>5871</v>
      </c>
      <c r="E2868" s="9" t="str">
        <f aca="false">IF(AND('Formation Ledger'!A2847&lt;&gt;"",'Formation Ledger'!V2847=0),"PASS","FAIL")</f>
        <v>PASS</v>
      </c>
      <c r="F2868" s="9" t="s">
        <v>76</v>
      </c>
      <c r="G2868" s="6"/>
      <c r="H2868" s="6"/>
      <c r="I2868" s="6"/>
      <c r="J2868" s="6"/>
      <c r="K2868" s="6"/>
      <c r="L2868" s="6"/>
      <c r="M2868" s="6"/>
      <c r="N2868" s="6"/>
      <c r="O2868" s="6"/>
      <c r="P2868" s="6"/>
      <c r="Q2868" s="6"/>
      <c r="R2868" s="6"/>
      <c r="S2868" s="6"/>
      <c r="T2868" s="6"/>
      <c r="U2868" s="6"/>
      <c r="V2868" s="6"/>
      <c r="W2868" s="6"/>
      <c r="X2868" s="6"/>
      <c r="Y2868" s="6"/>
      <c r="Z2868" s="6"/>
    </row>
    <row r="2869" customFormat="false" ht="15" hidden="false" customHeight="false" outlineLevel="0" collapsed="false">
      <c r="A2869" s="9" t="s">
        <v>8712</v>
      </c>
      <c r="B2869" s="9" t="s">
        <v>5870</v>
      </c>
      <c r="C2869" s="9" t="s">
        <v>3115</v>
      </c>
      <c r="D2869" s="9" t="s">
        <v>5871</v>
      </c>
      <c r="E2869" s="9" t="str">
        <f aca="false">IF(AND('Formation Ledger'!A2848&lt;&gt;"",'Formation Ledger'!V2848=0),"PASS","FAIL")</f>
        <v>PASS</v>
      </c>
      <c r="F2869" s="9" t="s">
        <v>76</v>
      </c>
      <c r="G2869" s="6"/>
      <c r="H2869" s="6"/>
      <c r="I2869" s="6"/>
      <c r="J2869" s="6"/>
      <c r="K2869" s="6"/>
      <c r="L2869" s="6"/>
      <c r="M2869" s="6"/>
      <c r="N2869" s="6"/>
      <c r="O2869" s="6"/>
      <c r="P2869" s="6"/>
      <c r="Q2869" s="6"/>
      <c r="R2869" s="6"/>
      <c r="S2869" s="6"/>
      <c r="T2869" s="6"/>
      <c r="U2869" s="6"/>
      <c r="V2869" s="6"/>
      <c r="W2869" s="6"/>
      <c r="X2869" s="6"/>
      <c r="Y2869" s="6"/>
      <c r="Z2869" s="6"/>
    </row>
    <row r="2870" customFormat="false" ht="15" hidden="false" customHeight="false" outlineLevel="0" collapsed="false">
      <c r="A2870" s="9" t="s">
        <v>8713</v>
      </c>
      <c r="B2870" s="9" t="s">
        <v>5870</v>
      </c>
      <c r="C2870" s="9" t="s">
        <v>3116</v>
      </c>
      <c r="D2870" s="9" t="s">
        <v>5871</v>
      </c>
      <c r="E2870" s="9" t="str">
        <f aca="false">IF(AND('Formation Ledger'!A2849&lt;&gt;"",'Formation Ledger'!V2849=0),"PASS","FAIL")</f>
        <v>PASS</v>
      </c>
      <c r="F2870" s="9" t="s">
        <v>76</v>
      </c>
      <c r="G2870" s="6"/>
      <c r="H2870" s="6"/>
      <c r="I2870" s="6"/>
      <c r="J2870" s="6"/>
      <c r="K2870" s="6"/>
      <c r="L2870" s="6"/>
      <c r="M2870" s="6"/>
      <c r="N2870" s="6"/>
      <c r="O2870" s="6"/>
      <c r="P2870" s="6"/>
      <c r="Q2870" s="6"/>
      <c r="R2870" s="6"/>
      <c r="S2870" s="6"/>
      <c r="T2870" s="6"/>
      <c r="U2870" s="6"/>
      <c r="V2870" s="6"/>
      <c r="W2870" s="6"/>
      <c r="X2870" s="6"/>
      <c r="Y2870" s="6"/>
      <c r="Z2870" s="6"/>
    </row>
    <row r="2871" customFormat="false" ht="15" hidden="false" customHeight="false" outlineLevel="0" collapsed="false">
      <c r="A2871" s="9" t="s">
        <v>8714</v>
      </c>
      <c r="B2871" s="9" t="s">
        <v>5870</v>
      </c>
      <c r="C2871" s="9" t="s">
        <v>3117</v>
      </c>
      <c r="D2871" s="9" t="s">
        <v>5871</v>
      </c>
      <c r="E2871" s="9" t="str">
        <f aca="false">IF(AND('Formation Ledger'!A2850&lt;&gt;"",'Formation Ledger'!V2850=0),"PASS","FAIL")</f>
        <v>PASS</v>
      </c>
      <c r="F2871" s="9" t="s">
        <v>76</v>
      </c>
      <c r="G2871" s="6"/>
      <c r="H2871" s="6"/>
      <c r="I2871" s="6"/>
      <c r="J2871" s="6"/>
      <c r="K2871" s="6"/>
      <c r="L2871" s="6"/>
      <c r="M2871" s="6"/>
      <c r="N2871" s="6"/>
      <c r="O2871" s="6"/>
      <c r="P2871" s="6"/>
      <c r="Q2871" s="6"/>
      <c r="R2871" s="6"/>
      <c r="S2871" s="6"/>
      <c r="T2871" s="6"/>
      <c r="U2871" s="6"/>
      <c r="V2871" s="6"/>
      <c r="W2871" s="6"/>
      <c r="X2871" s="6"/>
      <c r="Y2871" s="6"/>
      <c r="Z2871" s="6"/>
    </row>
    <row r="2872" customFormat="false" ht="15" hidden="false" customHeight="false" outlineLevel="0" collapsed="false">
      <c r="A2872" s="9" t="s">
        <v>8715</v>
      </c>
      <c r="B2872" s="9" t="s">
        <v>5870</v>
      </c>
      <c r="C2872" s="9" t="s">
        <v>3118</v>
      </c>
      <c r="D2872" s="9" t="s">
        <v>5871</v>
      </c>
      <c r="E2872" s="9" t="str">
        <f aca="false">IF(AND('Formation Ledger'!A2851&lt;&gt;"",'Formation Ledger'!V2851=0),"PASS","FAIL")</f>
        <v>PASS</v>
      </c>
      <c r="F2872" s="9" t="s">
        <v>76</v>
      </c>
      <c r="G2872" s="6"/>
      <c r="H2872" s="6"/>
      <c r="I2872" s="6"/>
      <c r="J2872" s="6"/>
      <c r="K2872" s="6"/>
      <c r="L2872" s="6"/>
      <c r="M2872" s="6"/>
      <c r="N2872" s="6"/>
      <c r="O2872" s="6"/>
      <c r="P2872" s="6"/>
      <c r="Q2872" s="6"/>
      <c r="R2872" s="6"/>
      <c r="S2872" s="6"/>
      <c r="T2872" s="6"/>
      <c r="U2872" s="6"/>
      <c r="V2872" s="6"/>
      <c r="W2872" s="6"/>
      <c r="X2872" s="6"/>
      <c r="Y2872" s="6"/>
      <c r="Z2872" s="6"/>
    </row>
    <row r="2873" customFormat="false" ht="15" hidden="false" customHeight="false" outlineLevel="0" collapsed="false">
      <c r="A2873" s="9" t="s">
        <v>8716</v>
      </c>
      <c r="B2873" s="9" t="s">
        <v>5870</v>
      </c>
      <c r="C2873" s="9" t="s">
        <v>3119</v>
      </c>
      <c r="D2873" s="9" t="s">
        <v>5871</v>
      </c>
      <c r="E2873" s="9" t="str">
        <f aca="false">IF(AND('Formation Ledger'!A2852&lt;&gt;"",'Formation Ledger'!V2852=0),"PASS","FAIL")</f>
        <v>PASS</v>
      </c>
      <c r="F2873" s="9" t="s">
        <v>76</v>
      </c>
      <c r="G2873" s="6"/>
      <c r="H2873" s="6"/>
      <c r="I2873" s="6"/>
      <c r="J2873" s="6"/>
      <c r="K2873" s="6"/>
      <c r="L2873" s="6"/>
      <c r="M2873" s="6"/>
      <c r="N2873" s="6"/>
      <c r="O2873" s="6"/>
      <c r="P2873" s="6"/>
      <c r="Q2873" s="6"/>
      <c r="R2873" s="6"/>
      <c r="S2873" s="6"/>
      <c r="T2873" s="6"/>
      <c r="U2873" s="6"/>
      <c r="V2873" s="6"/>
      <c r="W2873" s="6"/>
      <c r="X2873" s="6"/>
      <c r="Y2873" s="6"/>
      <c r="Z2873" s="6"/>
    </row>
    <row r="2874" customFormat="false" ht="15" hidden="false" customHeight="false" outlineLevel="0" collapsed="false">
      <c r="A2874" s="9" t="s">
        <v>8717</v>
      </c>
      <c r="B2874" s="9" t="s">
        <v>5870</v>
      </c>
      <c r="C2874" s="9" t="s">
        <v>3120</v>
      </c>
      <c r="D2874" s="9" t="s">
        <v>5871</v>
      </c>
      <c r="E2874" s="9" t="str">
        <f aca="false">IF(AND('Formation Ledger'!A2853&lt;&gt;"",'Formation Ledger'!V2853=0),"PASS","FAIL")</f>
        <v>PASS</v>
      </c>
      <c r="F2874" s="9" t="s">
        <v>76</v>
      </c>
      <c r="G2874" s="6"/>
      <c r="H2874" s="6"/>
      <c r="I2874" s="6"/>
      <c r="J2874" s="6"/>
      <c r="K2874" s="6"/>
      <c r="L2874" s="6"/>
      <c r="M2874" s="6"/>
      <c r="N2874" s="6"/>
      <c r="O2874" s="6"/>
      <c r="P2874" s="6"/>
      <c r="Q2874" s="6"/>
      <c r="R2874" s="6"/>
      <c r="S2874" s="6"/>
      <c r="T2874" s="6"/>
      <c r="U2874" s="6"/>
      <c r="V2874" s="6"/>
      <c r="W2874" s="6"/>
      <c r="X2874" s="6"/>
      <c r="Y2874" s="6"/>
      <c r="Z2874" s="6"/>
    </row>
    <row r="2875" customFormat="false" ht="15" hidden="false" customHeight="false" outlineLevel="0" collapsed="false">
      <c r="A2875" s="9" t="s">
        <v>8718</v>
      </c>
      <c r="B2875" s="9" t="s">
        <v>5870</v>
      </c>
      <c r="C2875" s="9" t="s">
        <v>3121</v>
      </c>
      <c r="D2875" s="9" t="s">
        <v>5871</v>
      </c>
      <c r="E2875" s="9" t="str">
        <f aca="false">IF(AND('Formation Ledger'!A2854&lt;&gt;"",'Formation Ledger'!V2854=0),"PASS","FAIL")</f>
        <v>PASS</v>
      </c>
      <c r="F2875" s="9" t="s">
        <v>76</v>
      </c>
      <c r="G2875" s="6"/>
      <c r="H2875" s="6"/>
      <c r="I2875" s="6"/>
      <c r="J2875" s="6"/>
      <c r="K2875" s="6"/>
      <c r="L2875" s="6"/>
      <c r="M2875" s="6"/>
      <c r="N2875" s="6"/>
      <c r="O2875" s="6"/>
      <c r="P2875" s="6"/>
      <c r="Q2875" s="6"/>
      <c r="R2875" s="6"/>
      <c r="S2875" s="6"/>
      <c r="T2875" s="6"/>
      <c r="U2875" s="6"/>
      <c r="V2875" s="6"/>
      <c r="W2875" s="6"/>
      <c r="X2875" s="6"/>
      <c r="Y2875" s="6"/>
      <c r="Z2875" s="6"/>
    </row>
    <row r="2876" customFormat="false" ht="15" hidden="false" customHeight="false" outlineLevel="0" collapsed="false">
      <c r="A2876" s="9" t="s">
        <v>8719</v>
      </c>
      <c r="B2876" s="9" t="s">
        <v>5870</v>
      </c>
      <c r="C2876" s="9" t="s">
        <v>3122</v>
      </c>
      <c r="D2876" s="9" t="s">
        <v>5871</v>
      </c>
      <c r="E2876" s="9" t="str">
        <f aca="false">IF(AND('Formation Ledger'!A2855&lt;&gt;"",'Formation Ledger'!V2855=0),"PASS","FAIL")</f>
        <v>PASS</v>
      </c>
      <c r="F2876" s="9" t="s">
        <v>76</v>
      </c>
      <c r="G2876" s="6"/>
      <c r="H2876" s="6"/>
      <c r="I2876" s="6"/>
      <c r="J2876" s="6"/>
      <c r="K2876" s="6"/>
      <c r="L2876" s="6"/>
      <c r="M2876" s="6"/>
      <c r="N2876" s="6"/>
      <c r="O2876" s="6"/>
      <c r="P2876" s="6"/>
      <c r="Q2876" s="6"/>
      <c r="R2876" s="6"/>
      <c r="S2876" s="6"/>
      <c r="T2876" s="6"/>
      <c r="U2876" s="6"/>
      <c r="V2876" s="6"/>
      <c r="W2876" s="6"/>
      <c r="X2876" s="6"/>
      <c r="Y2876" s="6"/>
      <c r="Z2876" s="6"/>
    </row>
    <row r="2877" customFormat="false" ht="15" hidden="false" customHeight="false" outlineLevel="0" collapsed="false">
      <c r="A2877" s="9" t="s">
        <v>8720</v>
      </c>
      <c r="B2877" s="9" t="s">
        <v>5870</v>
      </c>
      <c r="C2877" s="9" t="s">
        <v>3123</v>
      </c>
      <c r="D2877" s="9" t="s">
        <v>5871</v>
      </c>
      <c r="E2877" s="9" t="str">
        <f aca="false">IF(AND('Formation Ledger'!A2856&lt;&gt;"",'Formation Ledger'!V2856=0),"PASS","FAIL")</f>
        <v>PASS</v>
      </c>
      <c r="F2877" s="9" t="s">
        <v>76</v>
      </c>
      <c r="G2877" s="6"/>
      <c r="H2877" s="6"/>
      <c r="I2877" s="6"/>
      <c r="J2877" s="6"/>
      <c r="K2877" s="6"/>
      <c r="L2877" s="6"/>
      <c r="M2877" s="6"/>
      <c r="N2877" s="6"/>
      <c r="O2877" s="6"/>
      <c r="P2877" s="6"/>
      <c r="Q2877" s="6"/>
      <c r="R2877" s="6"/>
      <c r="S2877" s="6"/>
      <c r="T2877" s="6"/>
      <c r="U2877" s="6"/>
      <c r="V2877" s="6"/>
      <c r="W2877" s="6"/>
      <c r="X2877" s="6"/>
      <c r="Y2877" s="6"/>
      <c r="Z2877" s="6"/>
    </row>
    <row r="2878" customFormat="false" ht="15" hidden="false" customHeight="false" outlineLevel="0" collapsed="false">
      <c r="A2878" s="9" t="s">
        <v>8721</v>
      </c>
      <c r="B2878" s="9" t="s">
        <v>5870</v>
      </c>
      <c r="C2878" s="9" t="s">
        <v>3124</v>
      </c>
      <c r="D2878" s="9" t="s">
        <v>5871</v>
      </c>
      <c r="E2878" s="9" t="str">
        <f aca="false">IF(AND('Formation Ledger'!A2857&lt;&gt;"",'Formation Ledger'!V2857=0),"PASS","FAIL")</f>
        <v>PASS</v>
      </c>
      <c r="F2878" s="9" t="s">
        <v>76</v>
      </c>
      <c r="G2878" s="6"/>
      <c r="H2878" s="6"/>
      <c r="I2878" s="6"/>
      <c r="J2878" s="6"/>
      <c r="K2878" s="6"/>
      <c r="L2878" s="6"/>
      <c r="M2878" s="6"/>
      <c r="N2878" s="6"/>
      <c r="O2878" s="6"/>
      <c r="P2878" s="6"/>
      <c r="Q2878" s="6"/>
      <c r="R2878" s="6"/>
      <c r="S2878" s="6"/>
      <c r="T2878" s="6"/>
      <c r="U2878" s="6"/>
      <c r="V2878" s="6"/>
      <c r="W2878" s="6"/>
      <c r="X2878" s="6"/>
      <c r="Y2878" s="6"/>
      <c r="Z2878" s="6"/>
    </row>
    <row r="2879" customFormat="false" ht="15" hidden="false" customHeight="false" outlineLevel="0" collapsed="false">
      <c r="A2879" s="9" t="s">
        <v>8722</v>
      </c>
      <c r="B2879" s="9" t="s">
        <v>5870</v>
      </c>
      <c r="C2879" s="9" t="s">
        <v>3125</v>
      </c>
      <c r="D2879" s="9" t="s">
        <v>5871</v>
      </c>
      <c r="E2879" s="9" t="str">
        <f aca="false">IF(AND('Formation Ledger'!A2858&lt;&gt;"",'Formation Ledger'!V2858=0),"PASS","FAIL")</f>
        <v>PASS</v>
      </c>
      <c r="F2879" s="9" t="s">
        <v>76</v>
      </c>
      <c r="G2879" s="6"/>
      <c r="H2879" s="6"/>
      <c r="I2879" s="6"/>
      <c r="J2879" s="6"/>
      <c r="K2879" s="6"/>
      <c r="L2879" s="6"/>
      <c r="M2879" s="6"/>
      <c r="N2879" s="6"/>
      <c r="O2879" s="6"/>
      <c r="P2879" s="6"/>
      <c r="Q2879" s="6"/>
      <c r="R2879" s="6"/>
      <c r="S2879" s="6"/>
      <c r="T2879" s="6"/>
      <c r="U2879" s="6"/>
      <c r="V2879" s="6"/>
      <c r="W2879" s="6"/>
      <c r="X2879" s="6"/>
      <c r="Y2879" s="6"/>
      <c r="Z2879" s="6"/>
    </row>
    <row r="2880" customFormat="false" ht="15" hidden="false" customHeight="false" outlineLevel="0" collapsed="false">
      <c r="A2880" s="9" t="s">
        <v>8723</v>
      </c>
      <c r="B2880" s="9" t="s">
        <v>5870</v>
      </c>
      <c r="C2880" s="9" t="s">
        <v>3126</v>
      </c>
      <c r="D2880" s="9" t="s">
        <v>5871</v>
      </c>
      <c r="E2880" s="9" t="str">
        <f aca="false">IF(AND('Formation Ledger'!A2859&lt;&gt;"",'Formation Ledger'!V2859=0),"PASS","FAIL")</f>
        <v>PASS</v>
      </c>
      <c r="F2880" s="9" t="s">
        <v>76</v>
      </c>
      <c r="G2880" s="6"/>
      <c r="H2880" s="6"/>
      <c r="I2880" s="6"/>
      <c r="J2880" s="6"/>
      <c r="K2880" s="6"/>
      <c r="L2880" s="6"/>
      <c r="M2880" s="6"/>
      <c r="N2880" s="6"/>
      <c r="O2880" s="6"/>
      <c r="P2880" s="6"/>
      <c r="Q2880" s="6"/>
      <c r="R2880" s="6"/>
      <c r="S2880" s="6"/>
      <c r="T2880" s="6"/>
      <c r="U2880" s="6"/>
      <c r="V2880" s="6"/>
      <c r="W2880" s="6"/>
      <c r="X2880" s="6"/>
      <c r="Y2880" s="6"/>
      <c r="Z2880" s="6"/>
    </row>
    <row r="2881" customFormat="false" ht="15" hidden="false" customHeight="false" outlineLevel="0" collapsed="false">
      <c r="A2881" s="9" t="s">
        <v>8724</v>
      </c>
      <c r="B2881" s="9" t="s">
        <v>5870</v>
      </c>
      <c r="C2881" s="9" t="s">
        <v>3127</v>
      </c>
      <c r="D2881" s="9" t="s">
        <v>5871</v>
      </c>
      <c r="E2881" s="9" t="str">
        <f aca="false">IF(AND('Formation Ledger'!A2860&lt;&gt;"",'Formation Ledger'!V2860=0),"PASS","FAIL")</f>
        <v>PASS</v>
      </c>
      <c r="F2881" s="9" t="s">
        <v>76</v>
      </c>
      <c r="G2881" s="6"/>
      <c r="H2881" s="6"/>
      <c r="I2881" s="6"/>
      <c r="J2881" s="6"/>
      <c r="K2881" s="6"/>
      <c r="L2881" s="6"/>
      <c r="M2881" s="6"/>
      <c r="N2881" s="6"/>
      <c r="O2881" s="6"/>
      <c r="P2881" s="6"/>
      <c r="Q2881" s="6"/>
      <c r="R2881" s="6"/>
      <c r="S2881" s="6"/>
      <c r="T2881" s="6"/>
      <c r="U2881" s="6"/>
      <c r="V2881" s="6"/>
      <c r="W2881" s="6"/>
      <c r="X2881" s="6"/>
      <c r="Y2881" s="6"/>
      <c r="Z2881" s="6"/>
    </row>
    <row r="2882" customFormat="false" ht="15" hidden="false" customHeight="false" outlineLevel="0" collapsed="false">
      <c r="A2882" s="9" t="s">
        <v>8725</v>
      </c>
      <c r="B2882" s="9" t="s">
        <v>5870</v>
      </c>
      <c r="C2882" s="9" t="s">
        <v>3128</v>
      </c>
      <c r="D2882" s="9" t="s">
        <v>5871</v>
      </c>
      <c r="E2882" s="9" t="str">
        <f aca="false">IF(AND('Formation Ledger'!A2861&lt;&gt;"",'Formation Ledger'!V2861=0),"PASS","FAIL")</f>
        <v>PASS</v>
      </c>
      <c r="F2882" s="9" t="s">
        <v>76</v>
      </c>
      <c r="G2882" s="6"/>
      <c r="H2882" s="6"/>
      <c r="I2882" s="6"/>
      <c r="J2882" s="6"/>
      <c r="K2882" s="6"/>
      <c r="L2882" s="6"/>
      <c r="M2882" s="6"/>
      <c r="N2882" s="6"/>
      <c r="O2882" s="6"/>
      <c r="P2882" s="6"/>
      <c r="Q2882" s="6"/>
      <c r="R2882" s="6"/>
      <c r="S2882" s="6"/>
      <c r="T2882" s="6"/>
      <c r="U2882" s="6"/>
      <c r="V2882" s="6"/>
      <c r="W2882" s="6"/>
      <c r="X2882" s="6"/>
      <c r="Y2882" s="6"/>
      <c r="Z2882" s="6"/>
    </row>
    <row r="2883" customFormat="false" ht="15" hidden="false" customHeight="false" outlineLevel="0" collapsed="false">
      <c r="A2883" s="9" t="s">
        <v>8726</v>
      </c>
      <c r="B2883" s="9" t="s">
        <v>5870</v>
      </c>
      <c r="C2883" s="9" t="s">
        <v>3129</v>
      </c>
      <c r="D2883" s="9" t="s">
        <v>5871</v>
      </c>
      <c r="E2883" s="9" t="str">
        <f aca="false">IF(AND('Formation Ledger'!A2862&lt;&gt;"",'Formation Ledger'!V2862=0),"PASS","FAIL")</f>
        <v>PASS</v>
      </c>
      <c r="F2883" s="9" t="s">
        <v>76</v>
      </c>
      <c r="G2883" s="6"/>
      <c r="H2883" s="6"/>
      <c r="I2883" s="6"/>
      <c r="J2883" s="6"/>
      <c r="K2883" s="6"/>
      <c r="L2883" s="6"/>
      <c r="M2883" s="6"/>
      <c r="N2883" s="6"/>
      <c r="O2883" s="6"/>
      <c r="P2883" s="6"/>
      <c r="Q2883" s="6"/>
      <c r="R2883" s="6"/>
      <c r="S2883" s="6"/>
      <c r="T2883" s="6"/>
      <c r="U2883" s="6"/>
      <c r="V2883" s="6"/>
      <c r="W2883" s="6"/>
      <c r="X2883" s="6"/>
      <c r="Y2883" s="6"/>
      <c r="Z2883" s="6"/>
    </row>
    <row r="2884" customFormat="false" ht="15" hidden="false" customHeight="false" outlineLevel="0" collapsed="false">
      <c r="A2884" s="9" t="s">
        <v>8727</v>
      </c>
      <c r="B2884" s="9" t="s">
        <v>5870</v>
      </c>
      <c r="C2884" s="9" t="s">
        <v>3130</v>
      </c>
      <c r="D2884" s="9" t="s">
        <v>5871</v>
      </c>
      <c r="E2884" s="9" t="str">
        <f aca="false">IF(AND('Formation Ledger'!A2863&lt;&gt;"",'Formation Ledger'!V2863=0),"PASS","FAIL")</f>
        <v>PASS</v>
      </c>
      <c r="F2884" s="9" t="s">
        <v>76</v>
      </c>
      <c r="G2884" s="6"/>
      <c r="H2884" s="6"/>
      <c r="I2884" s="6"/>
      <c r="J2884" s="6"/>
      <c r="K2884" s="6"/>
      <c r="L2884" s="6"/>
      <c r="M2884" s="6"/>
      <c r="N2884" s="6"/>
      <c r="O2884" s="6"/>
      <c r="P2884" s="6"/>
      <c r="Q2884" s="6"/>
      <c r="R2884" s="6"/>
      <c r="S2884" s="6"/>
      <c r="T2884" s="6"/>
      <c r="U2884" s="6"/>
      <c r="V2884" s="6"/>
      <c r="W2884" s="6"/>
      <c r="X2884" s="6"/>
      <c r="Y2884" s="6"/>
      <c r="Z2884" s="6"/>
    </row>
    <row r="2885" customFormat="false" ht="15" hidden="false" customHeight="false" outlineLevel="0" collapsed="false">
      <c r="A2885" s="9" t="s">
        <v>8728</v>
      </c>
      <c r="B2885" s="9" t="s">
        <v>5870</v>
      </c>
      <c r="C2885" s="9" t="s">
        <v>3131</v>
      </c>
      <c r="D2885" s="9" t="s">
        <v>5871</v>
      </c>
      <c r="E2885" s="9" t="str">
        <f aca="false">IF(AND('Formation Ledger'!A2864&lt;&gt;"",'Formation Ledger'!V2864=0),"PASS","FAIL")</f>
        <v>PASS</v>
      </c>
      <c r="F2885" s="9" t="s">
        <v>76</v>
      </c>
      <c r="G2885" s="6"/>
      <c r="H2885" s="6"/>
      <c r="I2885" s="6"/>
      <c r="J2885" s="6"/>
      <c r="K2885" s="6"/>
      <c r="L2885" s="6"/>
      <c r="M2885" s="6"/>
      <c r="N2885" s="6"/>
      <c r="O2885" s="6"/>
      <c r="P2885" s="6"/>
      <c r="Q2885" s="6"/>
      <c r="R2885" s="6"/>
      <c r="S2885" s="6"/>
      <c r="T2885" s="6"/>
      <c r="U2885" s="6"/>
      <c r="V2885" s="6"/>
      <c r="W2885" s="6"/>
      <c r="X2885" s="6"/>
      <c r="Y2885" s="6"/>
      <c r="Z2885" s="6"/>
    </row>
    <row r="2886" customFormat="false" ht="15" hidden="false" customHeight="false" outlineLevel="0" collapsed="false">
      <c r="A2886" s="9" t="s">
        <v>8729</v>
      </c>
      <c r="B2886" s="9" t="s">
        <v>5870</v>
      </c>
      <c r="C2886" s="9" t="s">
        <v>3132</v>
      </c>
      <c r="D2886" s="9" t="s">
        <v>5871</v>
      </c>
      <c r="E2886" s="9" t="str">
        <f aca="false">IF(AND('Formation Ledger'!A2865&lt;&gt;"",'Formation Ledger'!V2865=0),"PASS","FAIL")</f>
        <v>PASS</v>
      </c>
      <c r="F2886" s="9" t="s">
        <v>76</v>
      </c>
      <c r="G2886" s="6"/>
      <c r="H2886" s="6"/>
      <c r="I2886" s="6"/>
      <c r="J2886" s="6"/>
      <c r="K2886" s="6"/>
      <c r="L2886" s="6"/>
      <c r="M2886" s="6"/>
      <c r="N2886" s="6"/>
      <c r="O2886" s="6"/>
      <c r="P2886" s="6"/>
      <c r="Q2886" s="6"/>
      <c r="R2886" s="6"/>
      <c r="S2886" s="6"/>
      <c r="T2886" s="6"/>
      <c r="U2886" s="6"/>
      <c r="V2886" s="6"/>
      <c r="W2886" s="6"/>
      <c r="X2886" s="6"/>
      <c r="Y2886" s="6"/>
      <c r="Z2886" s="6"/>
    </row>
    <row r="2887" customFormat="false" ht="15" hidden="false" customHeight="false" outlineLevel="0" collapsed="false">
      <c r="A2887" s="9" t="s">
        <v>8730</v>
      </c>
      <c r="B2887" s="9" t="s">
        <v>5870</v>
      </c>
      <c r="C2887" s="9" t="s">
        <v>3133</v>
      </c>
      <c r="D2887" s="9" t="s">
        <v>5871</v>
      </c>
      <c r="E2887" s="9" t="str">
        <f aca="false">IF(AND('Formation Ledger'!A2866&lt;&gt;"",'Formation Ledger'!V2866=0),"PASS","FAIL")</f>
        <v>PASS</v>
      </c>
      <c r="F2887" s="9" t="s">
        <v>76</v>
      </c>
      <c r="G2887" s="6"/>
      <c r="H2887" s="6"/>
      <c r="I2887" s="6"/>
      <c r="J2887" s="6"/>
      <c r="K2887" s="6"/>
      <c r="L2887" s="6"/>
      <c r="M2887" s="6"/>
      <c r="N2887" s="6"/>
      <c r="O2887" s="6"/>
      <c r="P2887" s="6"/>
      <c r="Q2887" s="6"/>
      <c r="R2887" s="6"/>
      <c r="S2887" s="6"/>
      <c r="T2887" s="6"/>
      <c r="U2887" s="6"/>
      <c r="V2887" s="6"/>
      <c r="W2887" s="6"/>
      <c r="X2887" s="6"/>
      <c r="Y2887" s="6"/>
      <c r="Z2887" s="6"/>
    </row>
    <row r="2888" customFormat="false" ht="15" hidden="false" customHeight="false" outlineLevel="0" collapsed="false">
      <c r="A2888" s="9" t="s">
        <v>8731</v>
      </c>
      <c r="B2888" s="9" t="s">
        <v>5870</v>
      </c>
      <c r="C2888" s="9" t="s">
        <v>3134</v>
      </c>
      <c r="D2888" s="9" t="s">
        <v>5871</v>
      </c>
      <c r="E2888" s="9" t="str">
        <f aca="false">IF(AND('Formation Ledger'!A2867&lt;&gt;"",'Formation Ledger'!V2867=0),"PASS","FAIL")</f>
        <v>PASS</v>
      </c>
      <c r="F2888" s="9" t="s">
        <v>76</v>
      </c>
      <c r="G2888" s="6"/>
      <c r="H2888" s="6"/>
      <c r="I2888" s="6"/>
      <c r="J2888" s="6"/>
      <c r="K2888" s="6"/>
      <c r="L2888" s="6"/>
      <c r="M2888" s="6"/>
      <c r="N2888" s="6"/>
      <c r="O2888" s="6"/>
      <c r="P2888" s="6"/>
      <c r="Q2888" s="6"/>
      <c r="R2888" s="6"/>
      <c r="S2888" s="6"/>
      <c r="T2888" s="6"/>
      <c r="U2888" s="6"/>
      <c r="V2888" s="6"/>
      <c r="W2888" s="6"/>
      <c r="X2888" s="6"/>
      <c r="Y2888" s="6"/>
      <c r="Z2888" s="6"/>
    </row>
    <row r="2889" customFormat="false" ht="15" hidden="false" customHeight="false" outlineLevel="0" collapsed="false">
      <c r="A2889" s="9" t="s">
        <v>8732</v>
      </c>
      <c r="B2889" s="9" t="s">
        <v>5870</v>
      </c>
      <c r="C2889" s="9" t="s">
        <v>3135</v>
      </c>
      <c r="D2889" s="9" t="s">
        <v>5871</v>
      </c>
      <c r="E2889" s="9" t="str">
        <f aca="false">IF(AND('Formation Ledger'!A2868&lt;&gt;"",'Formation Ledger'!V2868=0),"PASS","FAIL")</f>
        <v>PASS</v>
      </c>
      <c r="F2889" s="9" t="s">
        <v>76</v>
      </c>
      <c r="G2889" s="6"/>
      <c r="H2889" s="6"/>
      <c r="I2889" s="6"/>
      <c r="J2889" s="6"/>
      <c r="K2889" s="6"/>
      <c r="L2889" s="6"/>
      <c r="M2889" s="6"/>
      <c r="N2889" s="6"/>
      <c r="O2889" s="6"/>
      <c r="P2889" s="6"/>
      <c r="Q2889" s="6"/>
      <c r="R2889" s="6"/>
      <c r="S2889" s="6"/>
      <c r="T2889" s="6"/>
      <c r="U2889" s="6"/>
      <c r="V2889" s="6"/>
      <c r="W2889" s="6"/>
      <c r="X2889" s="6"/>
      <c r="Y2889" s="6"/>
      <c r="Z2889" s="6"/>
    </row>
    <row r="2890" customFormat="false" ht="15" hidden="false" customHeight="false" outlineLevel="0" collapsed="false">
      <c r="A2890" s="9" t="s">
        <v>8733</v>
      </c>
      <c r="B2890" s="9" t="s">
        <v>5870</v>
      </c>
      <c r="C2890" s="9" t="s">
        <v>3136</v>
      </c>
      <c r="D2890" s="9" t="s">
        <v>5871</v>
      </c>
      <c r="E2890" s="9" t="str">
        <f aca="false">IF(AND('Formation Ledger'!A2869&lt;&gt;"",'Formation Ledger'!V2869=0),"PASS","FAIL")</f>
        <v>PASS</v>
      </c>
      <c r="F2890" s="9" t="s">
        <v>76</v>
      </c>
      <c r="G2890" s="6"/>
      <c r="H2890" s="6"/>
      <c r="I2890" s="6"/>
      <c r="J2890" s="6"/>
      <c r="K2890" s="6"/>
      <c r="L2890" s="6"/>
      <c r="M2890" s="6"/>
      <c r="N2890" s="6"/>
      <c r="O2890" s="6"/>
      <c r="P2890" s="6"/>
      <c r="Q2890" s="6"/>
      <c r="R2890" s="6"/>
      <c r="S2890" s="6"/>
      <c r="T2890" s="6"/>
      <c r="U2890" s="6"/>
      <c r="V2890" s="6"/>
      <c r="W2890" s="6"/>
      <c r="X2890" s="6"/>
      <c r="Y2890" s="6"/>
      <c r="Z2890" s="6"/>
    </row>
    <row r="2891" customFormat="false" ht="15" hidden="false" customHeight="false" outlineLevel="0" collapsed="false">
      <c r="A2891" s="9" t="s">
        <v>8734</v>
      </c>
      <c r="B2891" s="9" t="s">
        <v>5870</v>
      </c>
      <c r="C2891" s="9" t="s">
        <v>3137</v>
      </c>
      <c r="D2891" s="9" t="s">
        <v>5871</v>
      </c>
      <c r="E2891" s="9" t="str">
        <f aca="false">IF(AND('Formation Ledger'!A2870&lt;&gt;"",'Formation Ledger'!V2870=0),"PASS","FAIL")</f>
        <v>PASS</v>
      </c>
      <c r="F2891" s="9" t="s">
        <v>76</v>
      </c>
      <c r="G2891" s="6"/>
      <c r="H2891" s="6"/>
      <c r="I2891" s="6"/>
      <c r="J2891" s="6"/>
      <c r="K2891" s="6"/>
      <c r="L2891" s="6"/>
      <c r="M2891" s="6"/>
      <c r="N2891" s="6"/>
      <c r="O2891" s="6"/>
      <c r="P2891" s="6"/>
      <c r="Q2891" s="6"/>
      <c r="R2891" s="6"/>
      <c r="S2891" s="6"/>
      <c r="T2891" s="6"/>
      <c r="U2891" s="6"/>
      <c r="V2891" s="6"/>
      <c r="W2891" s="6"/>
      <c r="X2891" s="6"/>
      <c r="Y2891" s="6"/>
      <c r="Z2891" s="6"/>
    </row>
    <row r="2892" customFormat="false" ht="15" hidden="false" customHeight="false" outlineLevel="0" collapsed="false">
      <c r="A2892" s="9" t="s">
        <v>8735</v>
      </c>
      <c r="B2892" s="9" t="s">
        <v>5870</v>
      </c>
      <c r="C2892" s="9" t="s">
        <v>3138</v>
      </c>
      <c r="D2892" s="9" t="s">
        <v>5871</v>
      </c>
      <c r="E2892" s="9" t="str">
        <f aca="false">IF(AND('Formation Ledger'!A2871&lt;&gt;"",'Formation Ledger'!V2871=0),"PASS","FAIL")</f>
        <v>PASS</v>
      </c>
      <c r="F2892" s="9" t="s">
        <v>76</v>
      </c>
      <c r="G2892" s="6"/>
      <c r="H2892" s="6"/>
      <c r="I2892" s="6"/>
      <c r="J2892" s="6"/>
      <c r="K2892" s="6"/>
      <c r="L2892" s="6"/>
      <c r="M2892" s="6"/>
      <c r="N2892" s="6"/>
      <c r="O2892" s="6"/>
      <c r="P2892" s="6"/>
      <c r="Q2892" s="6"/>
      <c r="R2892" s="6"/>
      <c r="S2892" s="6"/>
      <c r="T2892" s="6"/>
      <c r="U2892" s="6"/>
      <c r="V2892" s="6"/>
      <c r="W2892" s="6"/>
      <c r="X2892" s="6"/>
      <c r="Y2892" s="6"/>
      <c r="Z2892" s="6"/>
    </row>
    <row r="2893" customFormat="false" ht="15" hidden="false" customHeight="false" outlineLevel="0" collapsed="false">
      <c r="A2893" s="9" t="s">
        <v>8736</v>
      </c>
      <c r="B2893" s="9" t="s">
        <v>5870</v>
      </c>
      <c r="C2893" s="9" t="s">
        <v>3139</v>
      </c>
      <c r="D2893" s="9" t="s">
        <v>5871</v>
      </c>
      <c r="E2893" s="9" t="str">
        <f aca="false">IF(AND('Formation Ledger'!A2872&lt;&gt;"",'Formation Ledger'!V2872=0),"PASS","FAIL")</f>
        <v>PASS</v>
      </c>
      <c r="F2893" s="9" t="s">
        <v>76</v>
      </c>
      <c r="G2893" s="6"/>
      <c r="H2893" s="6"/>
      <c r="I2893" s="6"/>
      <c r="J2893" s="6"/>
      <c r="K2893" s="6"/>
      <c r="L2893" s="6"/>
      <c r="M2893" s="6"/>
      <c r="N2893" s="6"/>
      <c r="O2893" s="6"/>
      <c r="P2893" s="6"/>
      <c r="Q2893" s="6"/>
      <c r="R2893" s="6"/>
      <c r="S2893" s="6"/>
      <c r="T2893" s="6"/>
      <c r="U2893" s="6"/>
      <c r="V2893" s="6"/>
      <c r="W2893" s="6"/>
      <c r="X2893" s="6"/>
      <c r="Y2893" s="6"/>
      <c r="Z2893" s="6"/>
    </row>
    <row r="2894" customFormat="false" ht="15" hidden="false" customHeight="false" outlineLevel="0" collapsed="false">
      <c r="A2894" s="9" t="s">
        <v>8737</v>
      </c>
      <c r="B2894" s="9" t="s">
        <v>5870</v>
      </c>
      <c r="C2894" s="9" t="s">
        <v>3140</v>
      </c>
      <c r="D2894" s="9" t="s">
        <v>5871</v>
      </c>
      <c r="E2894" s="9" t="str">
        <f aca="false">IF(AND('Formation Ledger'!A2873&lt;&gt;"",'Formation Ledger'!V2873=0),"PASS","FAIL")</f>
        <v>PASS</v>
      </c>
      <c r="F2894" s="9" t="s">
        <v>76</v>
      </c>
      <c r="G2894" s="6"/>
      <c r="H2894" s="6"/>
      <c r="I2894" s="6"/>
      <c r="J2894" s="6"/>
      <c r="K2894" s="6"/>
      <c r="L2894" s="6"/>
      <c r="M2894" s="6"/>
      <c r="N2894" s="6"/>
      <c r="O2894" s="6"/>
      <c r="P2894" s="6"/>
      <c r="Q2894" s="6"/>
      <c r="R2894" s="6"/>
      <c r="S2894" s="6"/>
      <c r="T2894" s="6"/>
      <c r="U2894" s="6"/>
      <c r="V2894" s="6"/>
      <c r="W2894" s="6"/>
      <c r="X2894" s="6"/>
      <c r="Y2894" s="6"/>
      <c r="Z2894" s="6"/>
    </row>
    <row r="2895" customFormat="false" ht="15" hidden="false" customHeight="false" outlineLevel="0" collapsed="false">
      <c r="A2895" s="9" t="s">
        <v>8738</v>
      </c>
      <c r="B2895" s="9" t="s">
        <v>5870</v>
      </c>
      <c r="C2895" s="9" t="s">
        <v>3141</v>
      </c>
      <c r="D2895" s="9" t="s">
        <v>5871</v>
      </c>
      <c r="E2895" s="9" t="str">
        <f aca="false">IF(AND('Formation Ledger'!A2874&lt;&gt;"",'Formation Ledger'!V2874=0),"PASS","FAIL")</f>
        <v>PASS</v>
      </c>
      <c r="F2895" s="9" t="s">
        <v>76</v>
      </c>
      <c r="G2895" s="6"/>
      <c r="H2895" s="6"/>
      <c r="I2895" s="6"/>
      <c r="J2895" s="6"/>
      <c r="K2895" s="6"/>
      <c r="L2895" s="6"/>
      <c r="M2895" s="6"/>
      <c r="N2895" s="6"/>
      <c r="O2895" s="6"/>
      <c r="P2895" s="6"/>
      <c r="Q2895" s="6"/>
      <c r="R2895" s="6"/>
      <c r="S2895" s="6"/>
      <c r="T2895" s="6"/>
      <c r="U2895" s="6"/>
      <c r="V2895" s="6"/>
      <c r="W2895" s="6"/>
      <c r="X2895" s="6"/>
      <c r="Y2895" s="6"/>
      <c r="Z2895" s="6"/>
    </row>
    <row r="2896" customFormat="false" ht="15" hidden="false" customHeight="false" outlineLevel="0" collapsed="false">
      <c r="A2896" s="9" t="s">
        <v>8739</v>
      </c>
      <c r="B2896" s="9" t="s">
        <v>5870</v>
      </c>
      <c r="C2896" s="9" t="s">
        <v>3142</v>
      </c>
      <c r="D2896" s="9" t="s">
        <v>5871</v>
      </c>
      <c r="E2896" s="9" t="str">
        <f aca="false">IF(AND('Formation Ledger'!A2875&lt;&gt;"",'Formation Ledger'!V2875=0),"PASS","FAIL")</f>
        <v>PASS</v>
      </c>
      <c r="F2896" s="9" t="s">
        <v>76</v>
      </c>
      <c r="G2896" s="6"/>
      <c r="H2896" s="6"/>
      <c r="I2896" s="6"/>
      <c r="J2896" s="6"/>
      <c r="K2896" s="6"/>
      <c r="L2896" s="6"/>
      <c r="M2896" s="6"/>
      <c r="N2896" s="6"/>
      <c r="O2896" s="6"/>
      <c r="P2896" s="6"/>
      <c r="Q2896" s="6"/>
      <c r="R2896" s="6"/>
      <c r="S2896" s="6"/>
      <c r="T2896" s="6"/>
      <c r="U2896" s="6"/>
      <c r="V2896" s="6"/>
      <c r="W2896" s="6"/>
      <c r="X2896" s="6"/>
      <c r="Y2896" s="6"/>
      <c r="Z2896" s="6"/>
    </row>
    <row r="2897" customFormat="false" ht="15" hidden="false" customHeight="false" outlineLevel="0" collapsed="false">
      <c r="A2897" s="9" t="s">
        <v>8740</v>
      </c>
      <c r="B2897" s="9" t="s">
        <v>5870</v>
      </c>
      <c r="C2897" s="9" t="s">
        <v>3143</v>
      </c>
      <c r="D2897" s="9" t="s">
        <v>5871</v>
      </c>
      <c r="E2897" s="9" t="str">
        <f aca="false">IF(AND('Formation Ledger'!A2876&lt;&gt;"",'Formation Ledger'!V2876=0),"PASS","FAIL")</f>
        <v>PASS</v>
      </c>
      <c r="F2897" s="9" t="s">
        <v>76</v>
      </c>
      <c r="G2897" s="6"/>
      <c r="H2897" s="6"/>
      <c r="I2897" s="6"/>
      <c r="J2897" s="6"/>
      <c r="K2897" s="6"/>
      <c r="L2897" s="6"/>
      <c r="M2897" s="6"/>
      <c r="N2897" s="6"/>
      <c r="O2897" s="6"/>
      <c r="P2897" s="6"/>
      <c r="Q2897" s="6"/>
      <c r="R2897" s="6"/>
      <c r="S2897" s="6"/>
      <c r="T2897" s="6"/>
      <c r="U2897" s="6"/>
      <c r="V2897" s="6"/>
      <c r="W2897" s="6"/>
      <c r="X2897" s="6"/>
      <c r="Y2897" s="6"/>
      <c r="Z2897" s="6"/>
    </row>
    <row r="2898" customFormat="false" ht="15" hidden="false" customHeight="false" outlineLevel="0" collapsed="false">
      <c r="A2898" s="9" t="s">
        <v>8741</v>
      </c>
      <c r="B2898" s="9" t="s">
        <v>5870</v>
      </c>
      <c r="C2898" s="9" t="s">
        <v>3144</v>
      </c>
      <c r="D2898" s="9" t="s">
        <v>5871</v>
      </c>
      <c r="E2898" s="9" t="str">
        <f aca="false">IF(AND('Formation Ledger'!A2877&lt;&gt;"",'Formation Ledger'!V2877=0),"PASS","FAIL")</f>
        <v>PASS</v>
      </c>
      <c r="F2898" s="9" t="s">
        <v>76</v>
      </c>
      <c r="G2898" s="6"/>
      <c r="H2898" s="6"/>
      <c r="I2898" s="6"/>
      <c r="J2898" s="6"/>
      <c r="K2898" s="6"/>
      <c r="L2898" s="6"/>
      <c r="M2898" s="6"/>
      <c r="N2898" s="6"/>
      <c r="O2898" s="6"/>
      <c r="P2898" s="6"/>
      <c r="Q2898" s="6"/>
      <c r="R2898" s="6"/>
      <c r="S2898" s="6"/>
      <c r="T2898" s="6"/>
      <c r="U2898" s="6"/>
      <c r="V2898" s="6"/>
      <c r="W2898" s="6"/>
      <c r="X2898" s="6"/>
      <c r="Y2898" s="6"/>
      <c r="Z2898" s="6"/>
    </row>
    <row r="2899" customFormat="false" ht="15" hidden="false" customHeight="false" outlineLevel="0" collapsed="false">
      <c r="A2899" s="9" t="s">
        <v>8742</v>
      </c>
      <c r="B2899" s="9" t="s">
        <v>5870</v>
      </c>
      <c r="C2899" s="9" t="s">
        <v>3145</v>
      </c>
      <c r="D2899" s="9" t="s">
        <v>5871</v>
      </c>
      <c r="E2899" s="9" t="str">
        <f aca="false">IF(AND('Formation Ledger'!A2878&lt;&gt;"",'Formation Ledger'!V2878=0),"PASS","FAIL")</f>
        <v>PASS</v>
      </c>
      <c r="F2899" s="9" t="s">
        <v>76</v>
      </c>
      <c r="G2899" s="6"/>
      <c r="H2899" s="6"/>
      <c r="I2899" s="6"/>
      <c r="J2899" s="6"/>
      <c r="K2899" s="6"/>
      <c r="L2899" s="6"/>
      <c r="M2899" s="6"/>
      <c r="N2899" s="6"/>
      <c r="O2899" s="6"/>
      <c r="P2899" s="6"/>
      <c r="Q2899" s="6"/>
      <c r="R2899" s="6"/>
      <c r="S2899" s="6"/>
      <c r="T2899" s="6"/>
      <c r="U2899" s="6"/>
      <c r="V2899" s="6"/>
      <c r="W2899" s="6"/>
      <c r="X2899" s="6"/>
      <c r="Y2899" s="6"/>
      <c r="Z2899" s="6"/>
    </row>
    <row r="2900" customFormat="false" ht="15" hidden="false" customHeight="false" outlineLevel="0" collapsed="false">
      <c r="A2900" s="9" t="s">
        <v>8743</v>
      </c>
      <c r="B2900" s="9" t="s">
        <v>5870</v>
      </c>
      <c r="C2900" s="9" t="s">
        <v>3148</v>
      </c>
      <c r="D2900" s="9" t="s">
        <v>5871</v>
      </c>
      <c r="E2900" s="9" t="str">
        <f aca="false">IF(AND('Formation Ledger'!A2879&lt;&gt;"",'Formation Ledger'!V2879=0),"PASS","FAIL")</f>
        <v>PASS</v>
      </c>
      <c r="F2900" s="9" t="s">
        <v>76</v>
      </c>
      <c r="G2900" s="6"/>
      <c r="H2900" s="6"/>
      <c r="I2900" s="6"/>
      <c r="J2900" s="6"/>
      <c r="K2900" s="6"/>
      <c r="L2900" s="6"/>
      <c r="M2900" s="6"/>
      <c r="N2900" s="6"/>
      <c r="O2900" s="6"/>
      <c r="P2900" s="6"/>
      <c r="Q2900" s="6"/>
      <c r="R2900" s="6"/>
      <c r="S2900" s="6"/>
      <c r="T2900" s="6"/>
      <c r="U2900" s="6"/>
      <c r="V2900" s="6"/>
      <c r="W2900" s="6"/>
      <c r="X2900" s="6"/>
      <c r="Y2900" s="6"/>
      <c r="Z2900" s="6"/>
    </row>
    <row r="2901" customFormat="false" ht="15" hidden="false" customHeight="false" outlineLevel="0" collapsed="false">
      <c r="A2901" s="9" t="s">
        <v>8744</v>
      </c>
      <c r="B2901" s="9" t="s">
        <v>5870</v>
      </c>
      <c r="C2901" s="9" t="s">
        <v>3149</v>
      </c>
      <c r="D2901" s="9" t="s">
        <v>5871</v>
      </c>
      <c r="E2901" s="9" t="str">
        <f aca="false">IF(AND('Formation Ledger'!A2880&lt;&gt;"",'Formation Ledger'!V2880=0),"PASS","FAIL")</f>
        <v>PASS</v>
      </c>
      <c r="F2901" s="9" t="s">
        <v>76</v>
      </c>
      <c r="G2901" s="6"/>
      <c r="H2901" s="6"/>
      <c r="I2901" s="6"/>
      <c r="J2901" s="6"/>
      <c r="K2901" s="6"/>
      <c r="L2901" s="6"/>
      <c r="M2901" s="6"/>
      <c r="N2901" s="6"/>
      <c r="O2901" s="6"/>
      <c r="P2901" s="6"/>
      <c r="Q2901" s="6"/>
      <c r="R2901" s="6"/>
      <c r="S2901" s="6"/>
      <c r="T2901" s="6"/>
      <c r="U2901" s="6"/>
      <c r="V2901" s="6"/>
      <c r="W2901" s="6"/>
      <c r="X2901" s="6"/>
      <c r="Y2901" s="6"/>
      <c r="Z2901" s="6"/>
    </row>
    <row r="2902" customFormat="false" ht="15" hidden="false" customHeight="false" outlineLevel="0" collapsed="false">
      <c r="A2902" s="9" t="s">
        <v>8745</v>
      </c>
      <c r="B2902" s="9" t="s">
        <v>5870</v>
      </c>
      <c r="C2902" s="9" t="s">
        <v>3150</v>
      </c>
      <c r="D2902" s="9" t="s">
        <v>5871</v>
      </c>
      <c r="E2902" s="9" t="str">
        <f aca="false">IF(AND('Formation Ledger'!A2881&lt;&gt;"",'Formation Ledger'!V2881=0),"PASS","FAIL")</f>
        <v>PASS</v>
      </c>
      <c r="F2902" s="9" t="s">
        <v>76</v>
      </c>
      <c r="G2902" s="6"/>
      <c r="H2902" s="6"/>
      <c r="I2902" s="6"/>
      <c r="J2902" s="6"/>
      <c r="K2902" s="6"/>
      <c r="L2902" s="6"/>
      <c r="M2902" s="6"/>
      <c r="N2902" s="6"/>
      <c r="O2902" s="6"/>
      <c r="P2902" s="6"/>
      <c r="Q2902" s="6"/>
      <c r="R2902" s="6"/>
      <c r="S2902" s="6"/>
      <c r="T2902" s="6"/>
      <c r="U2902" s="6"/>
      <c r="V2902" s="6"/>
      <c r="W2902" s="6"/>
      <c r="X2902" s="6"/>
      <c r="Y2902" s="6"/>
      <c r="Z2902" s="6"/>
    </row>
    <row r="2903" customFormat="false" ht="15" hidden="false" customHeight="false" outlineLevel="0" collapsed="false">
      <c r="A2903" s="9" t="s">
        <v>8746</v>
      </c>
      <c r="B2903" s="9" t="s">
        <v>5870</v>
      </c>
      <c r="C2903" s="9" t="s">
        <v>3151</v>
      </c>
      <c r="D2903" s="9" t="s">
        <v>5871</v>
      </c>
      <c r="E2903" s="9" t="str">
        <f aca="false">IF(AND('Formation Ledger'!A2882&lt;&gt;"",'Formation Ledger'!V2882=0),"PASS","FAIL")</f>
        <v>PASS</v>
      </c>
      <c r="F2903" s="9" t="s">
        <v>76</v>
      </c>
      <c r="G2903" s="6"/>
      <c r="H2903" s="6"/>
      <c r="I2903" s="6"/>
      <c r="J2903" s="6"/>
      <c r="K2903" s="6"/>
      <c r="L2903" s="6"/>
      <c r="M2903" s="6"/>
      <c r="N2903" s="6"/>
      <c r="O2903" s="6"/>
      <c r="P2903" s="6"/>
      <c r="Q2903" s="6"/>
      <c r="R2903" s="6"/>
      <c r="S2903" s="6"/>
      <c r="T2903" s="6"/>
      <c r="U2903" s="6"/>
      <c r="V2903" s="6"/>
      <c r="W2903" s="6"/>
      <c r="X2903" s="6"/>
      <c r="Y2903" s="6"/>
      <c r="Z2903" s="6"/>
    </row>
    <row r="2904" customFormat="false" ht="15" hidden="false" customHeight="false" outlineLevel="0" collapsed="false">
      <c r="A2904" s="9" t="s">
        <v>8747</v>
      </c>
      <c r="B2904" s="9" t="s">
        <v>5870</v>
      </c>
      <c r="C2904" s="9" t="s">
        <v>3152</v>
      </c>
      <c r="D2904" s="9" t="s">
        <v>5871</v>
      </c>
      <c r="E2904" s="9" t="str">
        <f aca="false">IF(AND('Formation Ledger'!A2883&lt;&gt;"",'Formation Ledger'!V2883=0),"PASS","FAIL")</f>
        <v>PASS</v>
      </c>
      <c r="F2904" s="9" t="s">
        <v>76</v>
      </c>
      <c r="G2904" s="6"/>
      <c r="H2904" s="6"/>
      <c r="I2904" s="6"/>
      <c r="J2904" s="6"/>
      <c r="K2904" s="6"/>
      <c r="L2904" s="6"/>
      <c r="M2904" s="6"/>
      <c r="N2904" s="6"/>
      <c r="O2904" s="6"/>
      <c r="P2904" s="6"/>
      <c r="Q2904" s="6"/>
      <c r="R2904" s="6"/>
      <c r="S2904" s="6"/>
      <c r="T2904" s="6"/>
      <c r="U2904" s="6"/>
      <c r="V2904" s="6"/>
      <c r="W2904" s="6"/>
      <c r="X2904" s="6"/>
      <c r="Y2904" s="6"/>
      <c r="Z2904" s="6"/>
    </row>
    <row r="2905" customFormat="false" ht="15" hidden="false" customHeight="false" outlineLevel="0" collapsed="false">
      <c r="A2905" s="9" t="s">
        <v>8748</v>
      </c>
      <c r="B2905" s="9" t="s">
        <v>5870</v>
      </c>
      <c r="C2905" s="9" t="s">
        <v>3153</v>
      </c>
      <c r="D2905" s="9" t="s">
        <v>5871</v>
      </c>
      <c r="E2905" s="9" t="str">
        <f aca="false">IF(AND('Formation Ledger'!A2884&lt;&gt;"",'Formation Ledger'!V2884=0),"PASS","FAIL")</f>
        <v>PASS</v>
      </c>
      <c r="F2905" s="9" t="s">
        <v>76</v>
      </c>
      <c r="G2905" s="6"/>
      <c r="H2905" s="6"/>
      <c r="I2905" s="6"/>
      <c r="J2905" s="6"/>
      <c r="K2905" s="6"/>
      <c r="L2905" s="6"/>
      <c r="M2905" s="6"/>
      <c r="N2905" s="6"/>
      <c r="O2905" s="6"/>
      <c r="P2905" s="6"/>
      <c r="Q2905" s="6"/>
      <c r="R2905" s="6"/>
      <c r="S2905" s="6"/>
      <c r="T2905" s="6"/>
      <c r="U2905" s="6"/>
      <c r="V2905" s="6"/>
      <c r="W2905" s="6"/>
      <c r="X2905" s="6"/>
      <c r="Y2905" s="6"/>
      <c r="Z2905" s="6"/>
    </row>
    <row r="2906" customFormat="false" ht="15" hidden="false" customHeight="false" outlineLevel="0" collapsed="false">
      <c r="A2906" s="9" t="s">
        <v>8749</v>
      </c>
      <c r="B2906" s="9" t="s">
        <v>5870</v>
      </c>
      <c r="C2906" s="9" t="s">
        <v>3154</v>
      </c>
      <c r="D2906" s="9" t="s">
        <v>5871</v>
      </c>
      <c r="E2906" s="9" t="str">
        <f aca="false">IF(AND('Formation Ledger'!A2885&lt;&gt;"",'Formation Ledger'!V2885=0),"PASS","FAIL")</f>
        <v>PASS</v>
      </c>
      <c r="F2906" s="9" t="s">
        <v>76</v>
      </c>
      <c r="G2906" s="6"/>
      <c r="H2906" s="6"/>
      <c r="I2906" s="6"/>
      <c r="J2906" s="6"/>
      <c r="K2906" s="6"/>
      <c r="L2906" s="6"/>
      <c r="M2906" s="6"/>
      <c r="N2906" s="6"/>
      <c r="O2906" s="6"/>
      <c r="P2906" s="6"/>
      <c r="Q2906" s="6"/>
      <c r="R2906" s="6"/>
      <c r="S2906" s="6"/>
      <c r="T2906" s="6"/>
      <c r="U2906" s="6"/>
      <c r="V2906" s="6"/>
      <c r="W2906" s="6"/>
      <c r="X2906" s="6"/>
      <c r="Y2906" s="6"/>
      <c r="Z2906" s="6"/>
    </row>
    <row r="2907" customFormat="false" ht="15" hidden="false" customHeight="false" outlineLevel="0" collapsed="false">
      <c r="A2907" s="9" t="s">
        <v>8750</v>
      </c>
      <c r="B2907" s="9" t="s">
        <v>5870</v>
      </c>
      <c r="C2907" s="9" t="s">
        <v>3155</v>
      </c>
      <c r="D2907" s="9" t="s">
        <v>5871</v>
      </c>
      <c r="E2907" s="9" t="str">
        <f aca="false">IF(AND('Formation Ledger'!A2886&lt;&gt;"",'Formation Ledger'!V2886=0),"PASS","FAIL")</f>
        <v>PASS</v>
      </c>
      <c r="F2907" s="9" t="s">
        <v>76</v>
      </c>
      <c r="G2907" s="6"/>
      <c r="H2907" s="6"/>
      <c r="I2907" s="6"/>
      <c r="J2907" s="6"/>
      <c r="K2907" s="6"/>
      <c r="L2907" s="6"/>
      <c r="M2907" s="6"/>
      <c r="N2907" s="6"/>
      <c r="O2907" s="6"/>
      <c r="P2907" s="6"/>
      <c r="Q2907" s="6"/>
      <c r="R2907" s="6"/>
      <c r="S2907" s="6"/>
      <c r="T2907" s="6"/>
      <c r="U2907" s="6"/>
      <c r="V2907" s="6"/>
      <c r="W2907" s="6"/>
      <c r="X2907" s="6"/>
      <c r="Y2907" s="6"/>
      <c r="Z2907" s="6"/>
    </row>
    <row r="2908" customFormat="false" ht="15" hidden="false" customHeight="false" outlineLevel="0" collapsed="false">
      <c r="A2908" s="9" t="s">
        <v>8751</v>
      </c>
      <c r="B2908" s="9" t="s">
        <v>5870</v>
      </c>
      <c r="C2908" s="9" t="s">
        <v>3156</v>
      </c>
      <c r="D2908" s="9" t="s">
        <v>5871</v>
      </c>
      <c r="E2908" s="9" t="str">
        <f aca="false">IF(AND('Formation Ledger'!A2887&lt;&gt;"",'Formation Ledger'!V2887=0),"PASS","FAIL")</f>
        <v>PASS</v>
      </c>
      <c r="F2908" s="9" t="s">
        <v>76</v>
      </c>
      <c r="G2908" s="6"/>
      <c r="H2908" s="6"/>
      <c r="I2908" s="6"/>
      <c r="J2908" s="6"/>
      <c r="K2908" s="6"/>
      <c r="L2908" s="6"/>
      <c r="M2908" s="6"/>
      <c r="N2908" s="6"/>
      <c r="O2908" s="6"/>
      <c r="P2908" s="6"/>
      <c r="Q2908" s="6"/>
      <c r="R2908" s="6"/>
      <c r="S2908" s="6"/>
      <c r="T2908" s="6"/>
      <c r="U2908" s="6"/>
      <c r="V2908" s="6"/>
      <c r="W2908" s="6"/>
      <c r="X2908" s="6"/>
      <c r="Y2908" s="6"/>
      <c r="Z2908" s="6"/>
    </row>
    <row r="2909" customFormat="false" ht="15" hidden="false" customHeight="false" outlineLevel="0" collapsed="false">
      <c r="A2909" s="9" t="s">
        <v>8752</v>
      </c>
      <c r="B2909" s="9" t="s">
        <v>5870</v>
      </c>
      <c r="C2909" s="9" t="s">
        <v>3157</v>
      </c>
      <c r="D2909" s="9" t="s">
        <v>5871</v>
      </c>
      <c r="E2909" s="9" t="str">
        <f aca="false">IF(AND('Formation Ledger'!A2888&lt;&gt;"",'Formation Ledger'!V2888=0),"PASS","FAIL")</f>
        <v>PASS</v>
      </c>
      <c r="F2909" s="9" t="s">
        <v>76</v>
      </c>
      <c r="G2909" s="6"/>
      <c r="H2909" s="6"/>
      <c r="I2909" s="6"/>
      <c r="J2909" s="6"/>
      <c r="K2909" s="6"/>
      <c r="L2909" s="6"/>
      <c r="M2909" s="6"/>
      <c r="N2909" s="6"/>
      <c r="O2909" s="6"/>
      <c r="P2909" s="6"/>
      <c r="Q2909" s="6"/>
      <c r="R2909" s="6"/>
      <c r="S2909" s="6"/>
      <c r="T2909" s="6"/>
      <c r="U2909" s="6"/>
      <c r="V2909" s="6"/>
      <c r="W2909" s="6"/>
      <c r="X2909" s="6"/>
      <c r="Y2909" s="6"/>
      <c r="Z2909" s="6"/>
    </row>
    <row r="2910" customFormat="false" ht="15" hidden="false" customHeight="false" outlineLevel="0" collapsed="false">
      <c r="A2910" s="9" t="s">
        <v>8753</v>
      </c>
      <c r="B2910" s="9" t="s">
        <v>5870</v>
      </c>
      <c r="C2910" s="9" t="s">
        <v>3158</v>
      </c>
      <c r="D2910" s="9" t="s">
        <v>5871</v>
      </c>
      <c r="E2910" s="9" t="str">
        <f aca="false">IF(AND('Formation Ledger'!A2889&lt;&gt;"",'Formation Ledger'!V2889=0),"PASS","FAIL")</f>
        <v>PASS</v>
      </c>
      <c r="F2910" s="9" t="s">
        <v>76</v>
      </c>
      <c r="G2910" s="6"/>
      <c r="H2910" s="6"/>
      <c r="I2910" s="6"/>
      <c r="J2910" s="6"/>
      <c r="K2910" s="6"/>
      <c r="L2910" s="6"/>
      <c r="M2910" s="6"/>
      <c r="N2910" s="6"/>
      <c r="O2910" s="6"/>
      <c r="P2910" s="6"/>
      <c r="Q2910" s="6"/>
      <c r="R2910" s="6"/>
      <c r="S2910" s="6"/>
      <c r="T2910" s="6"/>
      <c r="U2910" s="6"/>
      <c r="V2910" s="6"/>
      <c r="W2910" s="6"/>
      <c r="X2910" s="6"/>
      <c r="Y2910" s="6"/>
      <c r="Z2910" s="6"/>
    </row>
    <row r="2911" customFormat="false" ht="15" hidden="false" customHeight="false" outlineLevel="0" collapsed="false">
      <c r="A2911" s="9" t="s">
        <v>8754</v>
      </c>
      <c r="B2911" s="9" t="s">
        <v>5870</v>
      </c>
      <c r="C2911" s="9" t="s">
        <v>3159</v>
      </c>
      <c r="D2911" s="9" t="s">
        <v>5871</v>
      </c>
      <c r="E2911" s="9" t="str">
        <f aca="false">IF(AND('Formation Ledger'!A2890&lt;&gt;"",'Formation Ledger'!V2890=0),"PASS","FAIL")</f>
        <v>PASS</v>
      </c>
      <c r="F2911" s="9" t="s">
        <v>76</v>
      </c>
      <c r="G2911" s="6"/>
      <c r="H2911" s="6"/>
      <c r="I2911" s="6"/>
      <c r="J2911" s="6"/>
      <c r="K2911" s="6"/>
      <c r="L2911" s="6"/>
      <c r="M2911" s="6"/>
      <c r="N2911" s="6"/>
      <c r="O2911" s="6"/>
      <c r="P2911" s="6"/>
      <c r="Q2911" s="6"/>
      <c r="R2911" s="6"/>
      <c r="S2911" s="6"/>
      <c r="T2911" s="6"/>
      <c r="U2911" s="6"/>
      <c r="V2911" s="6"/>
      <c r="W2911" s="6"/>
      <c r="X2911" s="6"/>
      <c r="Y2911" s="6"/>
      <c r="Z2911" s="6"/>
    </row>
    <row r="2912" customFormat="false" ht="15" hidden="false" customHeight="false" outlineLevel="0" collapsed="false">
      <c r="A2912" s="9" t="s">
        <v>8755</v>
      </c>
      <c r="B2912" s="9" t="s">
        <v>5870</v>
      </c>
      <c r="C2912" s="9" t="s">
        <v>3160</v>
      </c>
      <c r="D2912" s="9" t="s">
        <v>5871</v>
      </c>
      <c r="E2912" s="9" t="str">
        <f aca="false">IF(AND('Formation Ledger'!A2891&lt;&gt;"",'Formation Ledger'!V2891=0),"PASS","FAIL")</f>
        <v>PASS</v>
      </c>
      <c r="F2912" s="9" t="s">
        <v>76</v>
      </c>
      <c r="G2912" s="6"/>
      <c r="H2912" s="6"/>
      <c r="I2912" s="6"/>
      <c r="J2912" s="6"/>
      <c r="K2912" s="6"/>
      <c r="L2912" s="6"/>
      <c r="M2912" s="6"/>
      <c r="N2912" s="6"/>
      <c r="O2912" s="6"/>
      <c r="P2912" s="6"/>
      <c r="Q2912" s="6"/>
      <c r="R2912" s="6"/>
      <c r="S2912" s="6"/>
      <c r="T2912" s="6"/>
      <c r="U2912" s="6"/>
      <c r="V2912" s="6"/>
      <c r="W2912" s="6"/>
      <c r="X2912" s="6"/>
      <c r="Y2912" s="6"/>
      <c r="Z2912" s="6"/>
    </row>
    <row r="2913" customFormat="false" ht="15" hidden="false" customHeight="false" outlineLevel="0" collapsed="false">
      <c r="A2913" s="9" t="s">
        <v>8756</v>
      </c>
      <c r="B2913" s="9" t="s">
        <v>5870</v>
      </c>
      <c r="C2913" s="9" t="s">
        <v>3161</v>
      </c>
      <c r="D2913" s="9" t="s">
        <v>5871</v>
      </c>
      <c r="E2913" s="9" t="str">
        <f aca="false">IF(AND('Formation Ledger'!A2892&lt;&gt;"",'Formation Ledger'!V2892=0),"PASS","FAIL")</f>
        <v>PASS</v>
      </c>
      <c r="F2913" s="9" t="s">
        <v>76</v>
      </c>
      <c r="G2913" s="6"/>
      <c r="H2913" s="6"/>
      <c r="I2913" s="6"/>
      <c r="J2913" s="6"/>
      <c r="K2913" s="6"/>
      <c r="L2913" s="6"/>
      <c r="M2913" s="6"/>
      <c r="N2913" s="6"/>
      <c r="O2913" s="6"/>
      <c r="P2913" s="6"/>
      <c r="Q2913" s="6"/>
      <c r="R2913" s="6"/>
      <c r="S2913" s="6"/>
      <c r="T2913" s="6"/>
      <c r="U2913" s="6"/>
      <c r="V2913" s="6"/>
      <c r="W2913" s="6"/>
      <c r="X2913" s="6"/>
      <c r="Y2913" s="6"/>
      <c r="Z2913" s="6"/>
    </row>
    <row r="2914" customFormat="false" ht="15" hidden="false" customHeight="false" outlineLevel="0" collapsed="false">
      <c r="A2914" s="9" t="s">
        <v>8757</v>
      </c>
      <c r="B2914" s="9" t="s">
        <v>5870</v>
      </c>
      <c r="C2914" s="9" t="s">
        <v>3162</v>
      </c>
      <c r="D2914" s="9" t="s">
        <v>5871</v>
      </c>
      <c r="E2914" s="9" t="str">
        <f aca="false">IF(AND('Formation Ledger'!A2893&lt;&gt;"",'Formation Ledger'!V2893=0),"PASS","FAIL")</f>
        <v>PASS</v>
      </c>
      <c r="F2914" s="9" t="s">
        <v>76</v>
      </c>
      <c r="G2914" s="6"/>
      <c r="H2914" s="6"/>
      <c r="I2914" s="6"/>
      <c r="J2914" s="6"/>
      <c r="K2914" s="6"/>
      <c r="L2914" s="6"/>
      <c r="M2914" s="6"/>
      <c r="N2914" s="6"/>
      <c r="O2914" s="6"/>
      <c r="P2914" s="6"/>
      <c r="Q2914" s="6"/>
      <c r="R2914" s="6"/>
      <c r="S2914" s="6"/>
      <c r="T2914" s="6"/>
      <c r="U2914" s="6"/>
      <c r="V2914" s="6"/>
      <c r="W2914" s="6"/>
      <c r="X2914" s="6"/>
      <c r="Y2914" s="6"/>
      <c r="Z2914" s="6"/>
    </row>
    <row r="2915" customFormat="false" ht="15" hidden="false" customHeight="false" outlineLevel="0" collapsed="false">
      <c r="A2915" s="9" t="s">
        <v>8758</v>
      </c>
      <c r="B2915" s="9" t="s">
        <v>5870</v>
      </c>
      <c r="C2915" s="9" t="s">
        <v>3163</v>
      </c>
      <c r="D2915" s="9" t="s">
        <v>5871</v>
      </c>
      <c r="E2915" s="9" t="str">
        <f aca="false">IF(AND('Formation Ledger'!A2894&lt;&gt;"",'Formation Ledger'!V2894=0),"PASS","FAIL")</f>
        <v>PASS</v>
      </c>
      <c r="F2915" s="9" t="s">
        <v>76</v>
      </c>
      <c r="G2915" s="6"/>
      <c r="H2915" s="6"/>
      <c r="I2915" s="6"/>
      <c r="J2915" s="6"/>
      <c r="K2915" s="6"/>
      <c r="L2915" s="6"/>
      <c r="M2915" s="6"/>
      <c r="N2915" s="6"/>
      <c r="O2915" s="6"/>
      <c r="P2915" s="6"/>
      <c r="Q2915" s="6"/>
      <c r="R2915" s="6"/>
      <c r="S2915" s="6"/>
      <c r="T2915" s="6"/>
      <c r="U2915" s="6"/>
      <c r="V2915" s="6"/>
      <c r="W2915" s="6"/>
      <c r="X2915" s="6"/>
      <c r="Y2915" s="6"/>
      <c r="Z2915" s="6"/>
    </row>
    <row r="2916" customFormat="false" ht="15" hidden="false" customHeight="false" outlineLevel="0" collapsed="false">
      <c r="A2916" s="9" t="s">
        <v>8759</v>
      </c>
      <c r="B2916" s="9" t="s">
        <v>5870</v>
      </c>
      <c r="C2916" s="9" t="s">
        <v>3164</v>
      </c>
      <c r="D2916" s="9" t="s">
        <v>5871</v>
      </c>
      <c r="E2916" s="9" t="str">
        <f aca="false">IF(AND('Formation Ledger'!A2895&lt;&gt;"",'Formation Ledger'!V2895=0),"PASS","FAIL")</f>
        <v>PASS</v>
      </c>
      <c r="F2916" s="9" t="s">
        <v>76</v>
      </c>
      <c r="G2916" s="6"/>
      <c r="H2916" s="6"/>
      <c r="I2916" s="6"/>
      <c r="J2916" s="6"/>
      <c r="K2916" s="6"/>
      <c r="L2916" s="6"/>
      <c r="M2916" s="6"/>
      <c r="N2916" s="6"/>
      <c r="O2916" s="6"/>
      <c r="P2916" s="6"/>
      <c r="Q2916" s="6"/>
      <c r="R2916" s="6"/>
      <c r="S2916" s="6"/>
      <c r="T2916" s="6"/>
      <c r="U2916" s="6"/>
      <c r="V2916" s="6"/>
      <c r="W2916" s="6"/>
      <c r="X2916" s="6"/>
      <c r="Y2916" s="6"/>
      <c r="Z2916" s="6"/>
    </row>
    <row r="2917" customFormat="false" ht="15" hidden="false" customHeight="false" outlineLevel="0" collapsed="false">
      <c r="A2917" s="9" t="s">
        <v>8760</v>
      </c>
      <c r="B2917" s="9" t="s">
        <v>5870</v>
      </c>
      <c r="C2917" s="9" t="s">
        <v>3165</v>
      </c>
      <c r="D2917" s="9" t="s">
        <v>5871</v>
      </c>
      <c r="E2917" s="9" t="str">
        <f aca="false">IF(AND('Formation Ledger'!A2896&lt;&gt;"",'Formation Ledger'!V2896=0),"PASS","FAIL")</f>
        <v>PASS</v>
      </c>
      <c r="F2917" s="9" t="s">
        <v>76</v>
      </c>
      <c r="G2917" s="6"/>
      <c r="H2917" s="6"/>
      <c r="I2917" s="6"/>
      <c r="J2917" s="6"/>
      <c r="K2917" s="6"/>
      <c r="L2917" s="6"/>
      <c r="M2917" s="6"/>
      <c r="N2917" s="6"/>
      <c r="O2917" s="6"/>
      <c r="P2917" s="6"/>
      <c r="Q2917" s="6"/>
      <c r="R2917" s="6"/>
      <c r="S2917" s="6"/>
      <c r="T2917" s="6"/>
      <c r="U2917" s="6"/>
      <c r="V2917" s="6"/>
      <c r="W2917" s="6"/>
      <c r="X2917" s="6"/>
      <c r="Y2917" s="6"/>
      <c r="Z2917" s="6"/>
    </row>
    <row r="2918" customFormat="false" ht="15" hidden="false" customHeight="false" outlineLevel="0" collapsed="false">
      <c r="A2918" s="9" t="s">
        <v>8761</v>
      </c>
      <c r="B2918" s="9" t="s">
        <v>5870</v>
      </c>
      <c r="C2918" s="9" t="s">
        <v>3166</v>
      </c>
      <c r="D2918" s="9" t="s">
        <v>5871</v>
      </c>
      <c r="E2918" s="9" t="str">
        <f aca="false">IF(AND('Formation Ledger'!A2897&lt;&gt;"",'Formation Ledger'!V2897=0),"PASS","FAIL")</f>
        <v>PASS</v>
      </c>
      <c r="F2918" s="9" t="s">
        <v>76</v>
      </c>
      <c r="G2918" s="6"/>
      <c r="H2918" s="6"/>
      <c r="I2918" s="6"/>
      <c r="J2918" s="6"/>
      <c r="K2918" s="6"/>
      <c r="L2918" s="6"/>
      <c r="M2918" s="6"/>
      <c r="N2918" s="6"/>
      <c r="O2918" s="6"/>
      <c r="P2918" s="6"/>
      <c r="Q2918" s="6"/>
      <c r="R2918" s="6"/>
      <c r="S2918" s="6"/>
      <c r="T2918" s="6"/>
      <c r="U2918" s="6"/>
      <c r="V2918" s="6"/>
      <c r="W2918" s="6"/>
      <c r="X2918" s="6"/>
      <c r="Y2918" s="6"/>
      <c r="Z2918" s="6"/>
    </row>
    <row r="2919" customFormat="false" ht="15" hidden="false" customHeight="false" outlineLevel="0" collapsed="false">
      <c r="A2919" s="9" t="s">
        <v>8762</v>
      </c>
      <c r="B2919" s="9" t="s">
        <v>5870</v>
      </c>
      <c r="C2919" s="9" t="s">
        <v>3167</v>
      </c>
      <c r="D2919" s="9" t="s">
        <v>5871</v>
      </c>
      <c r="E2919" s="9" t="str">
        <f aca="false">IF(AND('Formation Ledger'!A2898&lt;&gt;"",'Formation Ledger'!V2898=0),"PASS","FAIL")</f>
        <v>PASS</v>
      </c>
      <c r="F2919" s="9" t="s">
        <v>76</v>
      </c>
      <c r="G2919" s="6"/>
      <c r="H2919" s="6"/>
      <c r="I2919" s="6"/>
      <c r="J2919" s="6"/>
      <c r="K2919" s="6"/>
      <c r="L2919" s="6"/>
      <c r="M2919" s="6"/>
      <c r="N2919" s="6"/>
      <c r="O2919" s="6"/>
      <c r="P2919" s="6"/>
      <c r="Q2919" s="6"/>
      <c r="R2919" s="6"/>
      <c r="S2919" s="6"/>
      <c r="T2919" s="6"/>
      <c r="U2919" s="6"/>
      <c r="V2919" s="6"/>
      <c r="W2919" s="6"/>
      <c r="X2919" s="6"/>
      <c r="Y2919" s="6"/>
      <c r="Z2919" s="6"/>
    </row>
    <row r="2920" customFormat="false" ht="15" hidden="false" customHeight="false" outlineLevel="0" collapsed="false">
      <c r="A2920" s="9" t="s">
        <v>8763</v>
      </c>
      <c r="B2920" s="9" t="s">
        <v>5870</v>
      </c>
      <c r="C2920" s="9" t="s">
        <v>3168</v>
      </c>
      <c r="D2920" s="9" t="s">
        <v>5871</v>
      </c>
      <c r="E2920" s="9" t="str">
        <f aca="false">IF(AND('Formation Ledger'!A2899&lt;&gt;"",'Formation Ledger'!V2899=0),"PASS","FAIL")</f>
        <v>PASS</v>
      </c>
      <c r="F2920" s="9" t="s">
        <v>76</v>
      </c>
      <c r="G2920" s="6"/>
      <c r="H2920" s="6"/>
      <c r="I2920" s="6"/>
      <c r="J2920" s="6"/>
      <c r="K2920" s="6"/>
      <c r="L2920" s="6"/>
      <c r="M2920" s="6"/>
      <c r="N2920" s="6"/>
      <c r="O2920" s="6"/>
      <c r="P2920" s="6"/>
      <c r="Q2920" s="6"/>
      <c r="R2920" s="6"/>
      <c r="S2920" s="6"/>
      <c r="T2920" s="6"/>
      <c r="U2920" s="6"/>
      <c r="V2920" s="6"/>
      <c r="W2920" s="6"/>
      <c r="X2920" s="6"/>
      <c r="Y2920" s="6"/>
      <c r="Z2920" s="6"/>
    </row>
    <row r="2921" customFormat="false" ht="15" hidden="false" customHeight="false" outlineLevel="0" collapsed="false">
      <c r="A2921" s="9" t="s">
        <v>8764</v>
      </c>
      <c r="B2921" s="9" t="s">
        <v>5870</v>
      </c>
      <c r="C2921" s="9" t="s">
        <v>3169</v>
      </c>
      <c r="D2921" s="9" t="s">
        <v>5871</v>
      </c>
      <c r="E2921" s="9" t="str">
        <f aca="false">IF(AND('Formation Ledger'!A2900&lt;&gt;"",'Formation Ledger'!V2900=0),"PASS","FAIL")</f>
        <v>PASS</v>
      </c>
      <c r="F2921" s="9" t="s">
        <v>76</v>
      </c>
      <c r="G2921" s="6"/>
      <c r="H2921" s="6"/>
      <c r="I2921" s="6"/>
      <c r="J2921" s="6"/>
      <c r="K2921" s="6"/>
      <c r="L2921" s="6"/>
      <c r="M2921" s="6"/>
      <c r="N2921" s="6"/>
      <c r="O2921" s="6"/>
      <c r="P2921" s="6"/>
      <c r="Q2921" s="6"/>
      <c r="R2921" s="6"/>
      <c r="S2921" s="6"/>
      <c r="T2921" s="6"/>
      <c r="U2921" s="6"/>
      <c r="V2921" s="6"/>
      <c r="W2921" s="6"/>
      <c r="X2921" s="6"/>
      <c r="Y2921" s="6"/>
      <c r="Z2921" s="6"/>
    </row>
    <row r="2922" customFormat="false" ht="15" hidden="false" customHeight="false" outlineLevel="0" collapsed="false">
      <c r="A2922" s="9" t="s">
        <v>8765</v>
      </c>
      <c r="B2922" s="9" t="s">
        <v>5870</v>
      </c>
      <c r="C2922" s="9" t="s">
        <v>3170</v>
      </c>
      <c r="D2922" s="9" t="s">
        <v>5871</v>
      </c>
      <c r="E2922" s="9" t="str">
        <f aca="false">IF(AND('Formation Ledger'!A2901&lt;&gt;"",'Formation Ledger'!V2901=0),"PASS","FAIL")</f>
        <v>PASS</v>
      </c>
      <c r="F2922" s="9" t="s">
        <v>76</v>
      </c>
      <c r="G2922" s="6"/>
      <c r="H2922" s="6"/>
      <c r="I2922" s="6"/>
      <c r="J2922" s="6"/>
      <c r="K2922" s="6"/>
      <c r="L2922" s="6"/>
      <c r="M2922" s="6"/>
      <c r="N2922" s="6"/>
      <c r="O2922" s="6"/>
      <c r="P2922" s="6"/>
      <c r="Q2922" s="6"/>
      <c r="R2922" s="6"/>
      <c r="S2922" s="6"/>
      <c r="T2922" s="6"/>
      <c r="U2922" s="6"/>
      <c r="V2922" s="6"/>
      <c r="W2922" s="6"/>
      <c r="X2922" s="6"/>
      <c r="Y2922" s="6"/>
      <c r="Z2922" s="6"/>
    </row>
    <row r="2923" customFormat="false" ht="15" hidden="false" customHeight="false" outlineLevel="0" collapsed="false">
      <c r="A2923" s="9" t="s">
        <v>8766</v>
      </c>
      <c r="B2923" s="9" t="s">
        <v>5870</v>
      </c>
      <c r="C2923" s="9" t="s">
        <v>3171</v>
      </c>
      <c r="D2923" s="9" t="s">
        <v>5871</v>
      </c>
      <c r="E2923" s="9" t="str">
        <f aca="false">IF(AND('Formation Ledger'!A2902&lt;&gt;"",'Formation Ledger'!V2902=0),"PASS","FAIL")</f>
        <v>PASS</v>
      </c>
      <c r="F2923" s="9" t="s">
        <v>76</v>
      </c>
      <c r="G2923" s="6"/>
      <c r="H2923" s="6"/>
      <c r="I2923" s="6"/>
      <c r="J2923" s="6"/>
      <c r="K2923" s="6"/>
      <c r="L2923" s="6"/>
      <c r="M2923" s="6"/>
      <c r="N2923" s="6"/>
      <c r="O2923" s="6"/>
      <c r="P2923" s="6"/>
      <c r="Q2923" s="6"/>
      <c r="R2923" s="6"/>
      <c r="S2923" s="6"/>
      <c r="T2923" s="6"/>
      <c r="U2923" s="6"/>
      <c r="V2923" s="6"/>
      <c r="W2923" s="6"/>
      <c r="X2923" s="6"/>
      <c r="Y2923" s="6"/>
      <c r="Z2923" s="6"/>
    </row>
    <row r="2924" customFormat="false" ht="15" hidden="false" customHeight="false" outlineLevel="0" collapsed="false">
      <c r="A2924" s="9" t="s">
        <v>8767</v>
      </c>
      <c r="B2924" s="9" t="s">
        <v>5870</v>
      </c>
      <c r="C2924" s="9" t="s">
        <v>3172</v>
      </c>
      <c r="D2924" s="9" t="s">
        <v>5871</v>
      </c>
      <c r="E2924" s="9" t="str">
        <f aca="false">IF(AND('Formation Ledger'!A2903&lt;&gt;"",'Formation Ledger'!V2903=0),"PASS","FAIL")</f>
        <v>PASS</v>
      </c>
      <c r="F2924" s="9" t="s">
        <v>76</v>
      </c>
      <c r="G2924" s="6"/>
      <c r="H2924" s="6"/>
      <c r="I2924" s="6"/>
      <c r="J2924" s="6"/>
      <c r="K2924" s="6"/>
      <c r="L2924" s="6"/>
      <c r="M2924" s="6"/>
      <c r="N2924" s="6"/>
      <c r="O2924" s="6"/>
      <c r="P2924" s="6"/>
      <c r="Q2924" s="6"/>
      <c r="R2924" s="6"/>
      <c r="S2924" s="6"/>
      <c r="T2924" s="6"/>
      <c r="U2924" s="6"/>
      <c r="V2924" s="6"/>
      <c r="W2924" s="6"/>
      <c r="X2924" s="6"/>
      <c r="Y2924" s="6"/>
      <c r="Z2924" s="6"/>
    </row>
    <row r="2925" customFormat="false" ht="15" hidden="false" customHeight="false" outlineLevel="0" collapsed="false">
      <c r="A2925" s="9" t="s">
        <v>8768</v>
      </c>
      <c r="B2925" s="9" t="s">
        <v>5870</v>
      </c>
      <c r="C2925" s="9" t="s">
        <v>3173</v>
      </c>
      <c r="D2925" s="9" t="s">
        <v>5871</v>
      </c>
      <c r="E2925" s="9" t="str">
        <f aca="false">IF(AND('Formation Ledger'!A2904&lt;&gt;"",'Formation Ledger'!V2904=0),"PASS","FAIL")</f>
        <v>PASS</v>
      </c>
      <c r="F2925" s="9" t="s">
        <v>76</v>
      </c>
      <c r="G2925" s="6"/>
      <c r="H2925" s="6"/>
      <c r="I2925" s="6"/>
      <c r="J2925" s="6"/>
      <c r="K2925" s="6"/>
      <c r="L2925" s="6"/>
      <c r="M2925" s="6"/>
      <c r="N2925" s="6"/>
      <c r="O2925" s="6"/>
      <c r="P2925" s="6"/>
      <c r="Q2925" s="6"/>
      <c r="R2925" s="6"/>
      <c r="S2925" s="6"/>
      <c r="T2925" s="6"/>
      <c r="U2925" s="6"/>
      <c r="V2925" s="6"/>
      <c r="W2925" s="6"/>
      <c r="X2925" s="6"/>
      <c r="Y2925" s="6"/>
      <c r="Z2925" s="6"/>
    </row>
    <row r="2926" customFormat="false" ht="15" hidden="false" customHeight="false" outlineLevel="0" collapsed="false">
      <c r="A2926" s="9" t="s">
        <v>8769</v>
      </c>
      <c r="B2926" s="9" t="s">
        <v>5870</v>
      </c>
      <c r="C2926" s="9" t="s">
        <v>3174</v>
      </c>
      <c r="D2926" s="9" t="s">
        <v>5871</v>
      </c>
      <c r="E2926" s="9" t="str">
        <f aca="false">IF(AND('Formation Ledger'!A2905&lt;&gt;"",'Formation Ledger'!V2905=0),"PASS","FAIL")</f>
        <v>PASS</v>
      </c>
      <c r="F2926" s="9" t="s">
        <v>76</v>
      </c>
      <c r="G2926" s="6"/>
      <c r="H2926" s="6"/>
      <c r="I2926" s="6"/>
      <c r="J2926" s="6"/>
      <c r="K2926" s="6"/>
      <c r="L2926" s="6"/>
      <c r="M2926" s="6"/>
      <c r="N2926" s="6"/>
      <c r="O2926" s="6"/>
      <c r="P2926" s="6"/>
      <c r="Q2926" s="6"/>
      <c r="R2926" s="6"/>
      <c r="S2926" s="6"/>
      <c r="T2926" s="6"/>
      <c r="U2926" s="6"/>
      <c r="V2926" s="6"/>
      <c r="W2926" s="6"/>
      <c r="X2926" s="6"/>
      <c r="Y2926" s="6"/>
      <c r="Z2926" s="6"/>
    </row>
    <row r="2927" customFormat="false" ht="15" hidden="false" customHeight="false" outlineLevel="0" collapsed="false">
      <c r="A2927" s="9" t="s">
        <v>8770</v>
      </c>
      <c r="B2927" s="9" t="s">
        <v>5870</v>
      </c>
      <c r="C2927" s="9" t="s">
        <v>3175</v>
      </c>
      <c r="D2927" s="9" t="s">
        <v>5871</v>
      </c>
      <c r="E2927" s="9" t="str">
        <f aca="false">IF(AND('Formation Ledger'!A2906&lt;&gt;"",'Formation Ledger'!V2906=0),"PASS","FAIL")</f>
        <v>PASS</v>
      </c>
      <c r="F2927" s="9" t="s">
        <v>76</v>
      </c>
      <c r="G2927" s="6"/>
      <c r="H2927" s="6"/>
      <c r="I2927" s="6"/>
      <c r="J2927" s="6"/>
      <c r="K2927" s="6"/>
      <c r="L2927" s="6"/>
      <c r="M2927" s="6"/>
      <c r="N2927" s="6"/>
      <c r="O2927" s="6"/>
      <c r="P2927" s="6"/>
      <c r="Q2927" s="6"/>
      <c r="R2927" s="6"/>
      <c r="S2927" s="6"/>
      <c r="T2927" s="6"/>
      <c r="U2927" s="6"/>
      <c r="V2927" s="6"/>
      <c r="W2927" s="6"/>
      <c r="X2927" s="6"/>
      <c r="Y2927" s="6"/>
      <c r="Z2927" s="6"/>
    </row>
    <row r="2928" customFormat="false" ht="15" hidden="false" customHeight="false" outlineLevel="0" collapsed="false">
      <c r="A2928" s="9" t="s">
        <v>8771</v>
      </c>
      <c r="B2928" s="9" t="s">
        <v>5870</v>
      </c>
      <c r="C2928" s="9" t="s">
        <v>3176</v>
      </c>
      <c r="D2928" s="9" t="s">
        <v>5871</v>
      </c>
      <c r="E2928" s="9" t="str">
        <f aca="false">IF(AND('Formation Ledger'!A2907&lt;&gt;"",'Formation Ledger'!V2907=0),"PASS","FAIL")</f>
        <v>PASS</v>
      </c>
      <c r="F2928" s="9" t="s">
        <v>76</v>
      </c>
      <c r="G2928" s="6"/>
      <c r="H2928" s="6"/>
      <c r="I2928" s="6"/>
      <c r="J2928" s="6"/>
      <c r="K2928" s="6"/>
      <c r="L2928" s="6"/>
      <c r="M2928" s="6"/>
      <c r="N2928" s="6"/>
      <c r="O2928" s="6"/>
      <c r="P2928" s="6"/>
      <c r="Q2928" s="6"/>
      <c r="R2928" s="6"/>
      <c r="S2928" s="6"/>
      <c r="T2928" s="6"/>
      <c r="U2928" s="6"/>
      <c r="V2928" s="6"/>
      <c r="W2928" s="6"/>
      <c r="X2928" s="6"/>
      <c r="Y2928" s="6"/>
      <c r="Z2928" s="6"/>
    </row>
    <row r="2929" customFormat="false" ht="15" hidden="false" customHeight="false" outlineLevel="0" collapsed="false">
      <c r="A2929" s="9" t="s">
        <v>8772</v>
      </c>
      <c r="B2929" s="9" t="s">
        <v>5870</v>
      </c>
      <c r="C2929" s="9" t="s">
        <v>3177</v>
      </c>
      <c r="D2929" s="9" t="s">
        <v>5871</v>
      </c>
      <c r="E2929" s="9" t="str">
        <f aca="false">IF(AND('Formation Ledger'!A2908&lt;&gt;"",'Formation Ledger'!V2908=0),"PASS","FAIL")</f>
        <v>PASS</v>
      </c>
      <c r="F2929" s="9" t="s">
        <v>76</v>
      </c>
      <c r="G2929" s="6"/>
      <c r="H2929" s="6"/>
      <c r="I2929" s="6"/>
      <c r="J2929" s="6"/>
      <c r="K2929" s="6"/>
      <c r="L2929" s="6"/>
      <c r="M2929" s="6"/>
      <c r="N2929" s="6"/>
      <c r="O2929" s="6"/>
      <c r="P2929" s="6"/>
      <c r="Q2929" s="6"/>
      <c r="R2929" s="6"/>
      <c r="S2929" s="6"/>
      <c r="T2929" s="6"/>
      <c r="U2929" s="6"/>
      <c r="V2929" s="6"/>
      <c r="W2929" s="6"/>
      <c r="X2929" s="6"/>
      <c r="Y2929" s="6"/>
      <c r="Z2929" s="6"/>
    </row>
    <row r="2930" customFormat="false" ht="15" hidden="false" customHeight="false" outlineLevel="0" collapsed="false">
      <c r="A2930" s="9" t="s">
        <v>8773</v>
      </c>
      <c r="B2930" s="9" t="s">
        <v>5870</v>
      </c>
      <c r="C2930" s="9" t="s">
        <v>3178</v>
      </c>
      <c r="D2930" s="9" t="s">
        <v>5871</v>
      </c>
      <c r="E2930" s="9" t="str">
        <f aca="false">IF(AND('Formation Ledger'!A2909&lt;&gt;"",'Formation Ledger'!V2909=0),"PASS","FAIL")</f>
        <v>PASS</v>
      </c>
      <c r="F2930" s="9" t="s">
        <v>76</v>
      </c>
      <c r="G2930" s="6"/>
      <c r="H2930" s="6"/>
      <c r="I2930" s="6"/>
      <c r="J2930" s="6"/>
      <c r="K2930" s="6"/>
      <c r="L2930" s="6"/>
      <c r="M2930" s="6"/>
      <c r="N2930" s="6"/>
      <c r="O2930" s="6"/>
      <c r="P2930" s="6"/>
      <c r="Q2930" s="6"/>
      <c r="R2930" s="6"/>
      <c r="S2930" s="6"/>
      <c r="T2930" s="6"/>
      <c r="U2930" s="6"/>
      <c r="V2930" s="6"/>
      <c r="W2930" s="6"/>
      <c r="X2930" s="6"/>
      <c r="Y2930" s="6"/>
      <c r="Z2930" s="6"/>
    </row>
    <row r="2931" customFormat="false" ht="15" hidden="false" customHeight="false" outlineLevel="0" collapsed="false">
      <c r="A2931" s="9" t="s">
        <v>8774</v>
      </c>
      <c r="B2931" s="9" t="s">
        <v>5870</v>
      </c>
      <c r="C2931" s="9" t="s">
        <v>3179</v>
      </c>
      <c r="D2931" s="9" t="s">
        <v>5871</v>
      </c>
      <c r="E2931" s="9" t="str">
        <f aca="false">IF(AND('Formation Ledger'!A2910&lt;&gt;"",'Formation Ledger'!V2910=0),"PASS","FAIL")</f>
        <v>PASS</v>
      </c>
      <c r="F2931" s="9" t="s">
        <v>76</v>
      </c>
      <c r="G2931" s="6"/>
      <c r="H2931" s="6"/>
      <c r="I2931" s="6"/>
      <c r="J2931" s="6"/>
      <c r="K2931" s="6"/>
      <c r="L2931" s="6"/>
      <c r="M2931" s="6"/>
      <c r="N2931" s="6"/>
      <c r="O2931" s="6"/>
      <c r="P2931" s="6"/>
      <c r="Q2931" s="6"/>
      <c r="R2931" s="6"/>
      <c r="S2931" s="6"/>
      <c r="T2931" s="6"/>
      <c r="U2931" s="6"/>
      <c r="V2931" s="6"/>
      <c r="W2931" s="6"/>
      <c r="X2931" s="6"/>
      <c r="Y2931" s="6"/>
      <c r="Z2931" s="6"/>
    </row>
    <row r="2932" customFormat="false" ht="15" hidden="false" customHeight="false" outlineLevel="0" collapsed="false">
      <c r="A2932" s="9" t="s">
        <v>8775</v>
      </c>
      <c r="B2932" s="9" t="s">
        <v>5870</v>
      </c>
      <c r="C2932" s="9" t="s">
        <v>3180</v>
      </c>
      <c r="D2932" s="9" t="s">
        <v>5871</v>
      </c>
      <c r="E2932" s="9" t="str">
        <f aca="false">IF(AND('Formation Ledger'!A2911&lt;&gt;"",'Formation Ledger'!V2911=0),"PASS","FAIL")</f>
        <v>PASS</v>
      </c>
      <c r="F2932" s="9" t="s">
        <v>76</v>
      </c>
      <c r="G2932" s="6"/>
      <c r="H2932" s="6"/>
      <c r="I2932" s="6"/>
      <c r="J2932" s="6"/>
      <c r="K2932" s="6"/>
      <c r="L2932" s="6"/>
      <c r="M2932" s="6"/>
      <c r="N2932" s="6"/>
      <c r="O2932" s="6"/>
      <c r="P2932" s="6"/>
      <c r="Q2932" s="6"/>
      <c r="R2932" s="6"/>
      <c r="S2932" s="6"/>
      <c r="T2932" s="6"/>
      <c r="U2932" s="6"/>
      <c r="V2932" s="6"/>
      <c r="W2932" s="6"/>
      <c r="X2932" s="6"/>
      <c r="Y2932" s="6"/>
      <c r="Z2932" s="6"/>
    </row>
    <row r="2933" customFormat="false" ht="15" hidden="false" customHeight="false" outlineLevel="0" collapsed="false">
      <c r="A2933" s="9" t="s">
        <v>8776</v>
      </c>
      <c r="B2933" s="9" t="s">
        <v>5870</v>
      </c>
      <c r="C2933" s="9" t="s">
        <v>3181</v>
      </c>
      <c r="D2933" s="9" t="s">
        <v>5871</v>
      </c>
      <c r="E2933" s="9" t="str">
        <f aca="false">IF(AND('Formation Ledger'!A2912&lt;&gt;"",'Formation Ledger'!V2912=0),"PASS","FAIL")</f>
        <v>PASS</v>
      </c>
      <c r="F2933" s="9" t="s">
        <v>76</v>
      </c>
      <c r="G2933" s="6"/>
      <c r="H2933" s="6"/>
      <c r="I2933" s="6"/>
      <c r="J2933" s="6"/>
      <c r="K2933" s="6"/>
      <c r="L2933" s="6"/>
      <c r="M2933" s="6"/>
      <c r="N2933" s="6"/>
      <c r="O2933" s="6"/>
      <c r="P2933" s="6"/>
      <c r="Q2933" s="6"/>
      <c r="R2933" s="6"/>
      <c r="S2933" s="6"/>
      <c r="T2933" s="6"/>
      <c r="U2933" s="6"/>
      <c r="V2933" s="6"/>
      <c r="W2933" s="6"/>
      <c r="X2933" s="6"/>
      <c r="Y2933" s="6"/>
      <c r="Z2933" s="6"/>
    </row>
    <row r="2934" customFormat="false" ht="15" hidden="false" customHeight="false" outlineLevel="0" collapsed="false">
      <c r="A2934" s="9" t="s">
        <v>8777</v>
      </c>
      <c r="B2934" s="9" t="s">
        <v>5870</v>
      </c>
      <c r="C2934" s="9" t="s">
        <v>3182</v>
      </c>
      <c r="D2934" s="9" t="s">
        <v>5871</v>
      </c>
      <c r="E2934" s="9" t="str">
        <f aca="false">IF(AND('Formation Ledger'!A2913&lt;&gt;"",'Formation Ledger'!V2913=0),"PASS","FAIL")</f>
        <v>PASS</v>
      </c>
      <c r="F2934" s="9" t="s">
        <v>76</v>
      </c>
      <c r="G2934" s="6"/>
      <c r="H2934" s="6"/>
      <c r="I2934" s="6"/>
      <c r="J2934" s="6"/>
      <c r="K2934" s="6"/>
      <c r="L2934" s="6"/>
      <c r="M2934" s="6"/>
      <c r="N2934" s="6"/>
      <c r="O2934" s="6"/>
      <c r="P2934" s="6"/>
      <c r="Q2934" s="6"/>
      <c r="R2934" s="6"/>
      <c r="S2934" s="6"/>
      <c r="T2934" s="6"/>
      <c r="U2934" s="6"/>
      <c r="V2934" s="6"/>
      <c r="W2934" s="6"/>
      <c r="X2934" s="6"/>
      <c r="Y2934" s="6"/>
      <c r="Z2934" s="6"/>
    </row>
    <row r="2935" customFormat="false" ht="15" hidden="false" customHeight="false" outlineLevel="0" collapsed="false">
      <c r="A2935" s="9" t="s">
        <v>8778</v>
      </c>
      <c r="B2935" s="9" t="s">
        <v>5870</v>
      </c>
      <c r="C2935" s="9" t="s">
        <v>3183</v>
      </c>
      <c r="D2935" s="9" t="s">
        <v>5871</v>
      </c>
      <c r="E2935" s="9" t="str">
        <f aca="false">IF(AND('Formation Ledger'!A2914&lt;&gt;"",'Formation Ledger'!V2914=0),"PASS","FAIL")</f>
        <v>PASS</v>
      </c>
      <c r="F2935" s="9" t="s">
        <v>76</v>
      </c>
      <c r="G2935" s="6"/>
      <c r="H2935" s="6"/>
      <c r="I2935" s="6"/>
      <c r="J2935" s="6"/>
      <c r="K2935" s="6"/>
      <c r="L2935" s="6"/>
      <c r="M2935" s="6"/>
      <c r="N2935" s="6"/>
      <c r="O2935" s="6"/>
      <c r="P2935" s="6"/>
      <c r="Q2935" s="6"/>
      <c r="R2935" s="6"/>
      <c r="S2935" s="6"/>
      <c r="T2935" s="6"/>
      <c r="U2935" s="6"/>
      <c r="V2935" s="6"/>
      <c r="W2935" s="6"/>
      <c r="X2935" s="6"/>
      <c r="Y2935" s="6"/>
      <c r="Z2935" s="6"/>
    </row>
    <row r="2936" customFormat="false" ht="15" hidden="false" customHeight="false" outlineLevel="0" collapsed="false">
      <c r="A2936" s="9" t="s">
        <v>8779</v>
      </c>
      <c r="B2936" s="9" t="s">
        <v>5870</v>
      </c>
      <c r="C2936" s="9" t="s">
        <v>3184</v>
      </c>
      <c r="D2936" s="9" t="s">
        <v>5871</v>
      </c>
      <c r="E2936" s="9" t="str">
        <f aca="false">IF(AND('Formation Ledger'!A2915&lt;&gt;"",'Formation Ledger'!V2915=0),"PASS","FAIL")</f>
        <v>PASS</v>
      </c>
      <c r="F2936" s="9" t="s">
        <v>76</v>
      </c>
      <c r="G2936" s="6"/>
      <c r="H2936" s="6"/>
      <c r="I2936" s="6"/>
      <c r="J2936" s="6"/>
      <c r="K2936" s="6"/>
      <c r="L2936" s="6"/>
      <c r="M2936" s="6"/>
      <c r="N2936" s="6"/>
      <c r="O2936" s="6"/>
      <c r="P2936" s="6"/>
      <c r="Q2936" s="6"/>
      <c r="R2936" s="6"/>
      <c r="S2936" s="6"/>
      <c r="T2936" s="6"/>
      <c r="U2936" s="6"/>
      <c r="V2936" s="6"/>
      <c r="W2936" s="6"/>
      <c r="X2936" s="6"/>
      <c r="Y2936" s="6"/>
      <c r="Z2936" s="6"/>
    </row>
    <row r="2937" customFormat="false" ht="15" hidden="false" customHeight="false" outlineLevel="0" collapsed="false">
      <c r="A2937" s="9" t="s">
        <v>8780</v>
      </c>
      <c r="B2937" s="9" t="s">
        <v>5870</v>
      </c>
      <c r="C2937" s="9" t="s">
        <v>3185</v>
      </c>
      <c r="D2937" s="9" t="s">
        <v>5871</v>
      </c>
      <c r="E2937" s="9" t="str">
        <f aca="false">IF(AND('Formation Ledger'!A2916&lt;&gt;"",'Formation Ledger'!V2916=0),"PASS","FAIL")</f>
        <v>PASS</v>
      </c>
      <c r="F2937" s="9" t="s">
        <v>76</v>
      </c>
      <c r="G2937" s="6"/>
      <c r="H2937" s="6"/>
      <c r="I2937" s="6"/>
      <c r="J2937" s="6"/>
      <c r="K2937" s="6"/>
      <c r="L2937" s="6"/>
      <c r="M2937" s="6"/>
      <c r="N2937" s="6"/>
      <c r="O2937" s="6"/>
      <c r="P2937" s="6"/>
      <c r="Q2937" s="6"/>
      <c r="R2937" s="6"/>
      <c r="S2937" s="6"/>
      <c r="T2937" s="6"/>
      <c r="U2937" s="6"/>
      <c r="V2937" s="6"/>
      <c r="W2937" s="6"/>
      <c r="X2937" s="6"/>
      <c r="Y2937" s="6"/>
      <c r="Z2937" s="6"/>
    </row>
    <row r="2938" customFormat="false" ht="15" hidden="false" customHeight="false" outlineLevel="0" collapsed="false">
      <c r="A2938" s="9" t="s">
        <v>8781</v>
      </c>
      <c r="B2938" s="9" t="s">
        <v>5870</v>
      </c>
      <c r="C2938" s="9" t="s">
        <v>3186</v>
      </c>
      <c r="D2938" s="9" t="s">
        <v>5871</v>
      </c>
      <c r="E2938" s="9" t="str">
        <f aca="false">IF(AND('Formation Ledger'!A2917&lt;&gt;"",'Formation Ledger'!V2917=0),"PASS","FAIL")</f>
        <v>PASS</v>
      </c>
      <c r="F2938" s="9" t="s">
        <v>76</v>
      </c>
      <c r="G2938" s="6"/>
      <c r="H2938" s="6"/>
      <c r="I2938" s="6"/>
      <c r="J2938" s="6"/>
      <c r="K2938" s="6"/>
      <c r="L2938" s="6"/>
      <c r="M2938" s="6"/>
      <c r="N2938" s="6"/>
      <c r="O2938" s="6"/>
      <c r="P2938" s="6"/>
      <c r="Q2938" s="6"/>
      <c r="R2938" s="6"/>
      <c r="S2938" s="6"/>
      <c r="T2938" s="6"/>
      <c r="U2938" s="6"/>
      <c r="V2938" s="6"/>
      <c r="W2938" s="6"/>
      <c r="X2938" s="6"/>
      <c r="Y2938" s="6"/>
      <c r="Z2938" s="6"/>
    </row>
    <row r="2939" customFormat="false" ht="15" hidden="false" customHeight="false" outlineLevel="0" collapsed="false">
      <c r="A2939" s="9" t="s">
        <v>8782</v>
      </c>
      <c r="B2939" s="9" t="s">
        <v>5870</v>
      </c>
      <c r="C2939" s="9" t="s">
        <v>3187</v>
      </c>
      <c r="D2939" s="9" t="s">
        <v>5871</v>
      </c>
      <c r="E2939" s="9" t="str">
        <f aca="false">IF(AND('Formation Ledger'!A2918&lt;&gt;"",'Formation Ledger'!V2918=0),"PASS","FAIL")</f>
        <v>PASS</v>
      </c>
      <c r="F2939" s="9" t="s">
        <v>76</v>
      </c>
      <c r="G2939" s="6"/>
      <c r="H2939" s="6"/>
      <c r="I2939" s="6"/>
      <c r="J2939" s="6"/>
      <c r="K2939" s="6"/>
      <c r="L2939" s="6"/>
      <c r="M2939" s="6"/>
      <c r="N2939" s="6"/>
      <c r="O2939" s="6"/>
      <c r="P2939" s="6"/>
      <c r="Q2939" s="6"/>
      <c r="R2939" s="6"/>
      <c r="S2939" s="6"/>
      <c r="T2939" s="6"/>
      <c r="U2939" s="6"/>
      <c r="V2939" s="6"/>
      <c r="W2939" s="6"/>
      <c r="X2939" s="6"/>
      <c r="Y2939" s="6"/>
      <c r="Z2939" s="6"/>
    </row>
    <row r="2940" customFormat="false" ht="15" hidden="false" customHeight="false" outlineLevel="0" collapsed="false">
      <c r="A2940" s="9" t="s">
        <v>8783</v>
      </c>
      <c r="B2940" s="9" t="s">
        <v>5870</v>
      </c>
      <c r="C2940" s="9" t="s">
        <v>3188</v>
      </c>
      <c r="D2940" s="9" t="s">
        <v>5871</v>
      </c>
      <c r="E2940" s="9" t="str">
        <f aca="false">IF(AND('Formation Ledger'!A2919&lt;&gt;"",'Formation Ledger'!V2919=0),"PASS","FAIL")</f>
        <v>PASS</v>
      </c>
      <c r="F2940" s="9" t="s">
        <v>76</v>
      </c>
      <c r="G2940" s="6"/>
      <c r="H2940" s="6"/>
      <c r="I2940" s="6"/>
      <c r="J2940" s="6"/>
      <c r="K2940" s="6"/>
      <c r="L2940" s="6"/>
      <c r="M2940" s="6"/>
      <c r="N2940" s="6"/>
      <c r="O2940" s="6"/>
      <c r="P2940" s="6"/>
      <c r="Q2940" s="6"/>
      <c r="R2940" s="6"/>
      <c r="S2940" s="6"/>
      <c r="T2940" s="6"/>
      <c r="U2940" s="6"/>
      <c r="V2940" s="6"/>
      <c r="W2940" s="6"/>
      <c r="X2940" s="6"/>
      <c r="Y2940" s="6"/>
      <c r="Z2940" s="6"/>
    </row>
    <row r="2941" customFormat="false" ht="15" hidden="false" customHeight="false" outlineLevel="0" collapsed="false">
      <c r="A2941" s="9" t="s">
        <v>8784</v>
      </c>
      <c r="B2941" s="9" t="s">
        <v>5870</v>
      </c>
      <c r="C2941" s="9" t="s">
        <v>3189</v>
      </c>
      <c r="D2941" s="9" t="s">
        <v>5871</v>
      </c>
      <c r="E2941" s="9" t="str">
        <f aca="false">IF(AND('Formation Ledger'!A2920&lt;&gt;"",'Formation Ledger'!V2920=0),"PASS","FAIL")</f>
        <v>PASS</v>
      </c>
      <c r="F2941" s="9" t="s">
        <v>76</v>
      </c>
      <c r="G2941" s="6"/>
      <c r="H2941" s="6"/>
      <c r="I2941" s="6"/>
      <c r="J2941" s="6"/>
      <c r="K2941" s="6"/>
      <c r="L2941" s="6"/>
      <c r="M2941" s="6"/>
      <c r="N2941" s="6"/>
      <c r="O2941" s="6"/>
      <c r="P2941" s="6"/>
      <c r="Q2941" s="6"/>
      <c r="R2941" s="6"/>
      <c r="S2941" s="6"/>
      <c r="T2941" s="6"/>
      <c r="U2941" s="6"/>
      <c r="V2941" s="6"/>
      <c r="W2941" s="6"/>
      <c r="X2941" s="6"/>
      <c r="Y2941" s="6"/>
      <c r="Z2941" s="6"/>
    </row>
    <row r="2942" customFormat="false" ht="15" hidden="false" customHeight="false" outlineLevel="0" collapsed="false">
      <c r="A2942" s="9" t="s">
        <v>8785</v>
      </c>
      <c r="B2942" s="9" t="s">
        <v>5870</v>
      </c>
      <c r="C2942" s="9" t="s">
        <v>3190</v>
      </c>
      <c r="D2942" s="9" t="s">
        <v>5871</v>
      </c>
      <c r="E2942" s="9" t="str">
        <f aca="false">IF(AND('Formation Ledger'!A2921&lt;&gt;"",'Formation Ledger'!V2921=0),"PASS","FAIL")</f>
        <v>PASS</v>
      </c>
      <c r="F2942" s="9" t="s">
        <v>76</v>
      </c>
      <c r="G2942" s="6"/>
      <c r="H2942" s="6"/>
      <c r="I2942" s="6"/>
      <c r="J2942" s="6"/>
      <c r="K2942" s="6"/>
      <c r="L2942" s="6"/>
      <c r="M2942" s="6"/>
      <c r="N2942" s="6"/>
      <c r="O2942" s="6"/>
      <c r="P2942" s="6"/>
      <c r="Q2942" s="6"/>
      <c r="R2942" s="6"/>
      <c r="S2942" s="6"/>
      <c r="T2942" s="6"/>
      <c r="U2942" s="6"/>
      <c r="V2942" s="6"/>
      <c r="W2942" s="6"/>
      <c r="X2942" s="6"/>
      <c r="Y2942" s="6"/>
      <c r="Z2942" s="6"/>
    </row>
    <row r="2943" customFormat="false" ht="15" hidden="false" customHeight="false" outlineLevel="0" collapsed="false">
      <c r="A2943" s="9" t="s">
        <v>8786</v>
      </c>
      <c r="B2943" s="9" t="s">
        <v>5870</v>
      </c>
      <c r="C2943" s="9" t="s">
        <v>3191</v>
      </c>
      <c r="D2943" s="9" t="s">
        <v>5871</v>
      </c>
      <c r="E2943" s="9" t="str">
        <f aca="false">IF(AND('Formation Ledger'!A2922&lt;&gt;"",'Formation Ledger'!V2922=0),"PASS","FAIL")</f>
        <v>PASS</v>
      </c>
      <c r="F2943" s="9" t="s">
        <v>76</v>
      </c>
      <c r="G2943" s="6"/>
      <c r="H2943" s="6"/>
      <c r="I2943" s="6"/>
      <c r="J2943" s="6"/>
      <c r="K2943" s="6"/>
      <c r="L2943" s="6"/>
      <c r="M2943" s="6"/>
      <c r="N2943" s="6"/>
      <c r="O2943" s="6"/>
      <c r="P2943" s="6"/>
      <c r="Q2943" s="6"/>
      <c r="R2943" s="6"/>
      <c r="S2943" s="6"/>
      <c r="T2943" s="6"/>
      <c r="U2943" s="6"/>
      <c r="V2943" s="6"/>
      <c r="W2943" s="6"/>
      <c r="X2943" s="6"/>
      <c r="Y2943" s="6"/>
      <c r="Z2943" s="6"/>
    </row>
    <row r="2944" customFormat="false" ht="15" hidden="false" customHeight="false" outlineLevel="0" collapsed="false">
      <c r="A2944" s="9" t="s">
        <v>8787</v>
      </c>
      <c r="B2944" s="9" t="s">
        <v>5870</v>
      </c>
      <c r="C2944" s="9" t="s">
        <v>3192</v>
      </c>
      <c r="D2944" s="9" t="s">
        <v>5871</v>
      </c>
      <c r="E2944" s="9" t="str">
        <f aca="false">IF(AND('Formation Ledger'!A2923&lt;&gt;"",'Formation Ledger'!V2923=0),"PASS","FAIL")</f>
        <v>PASS</v>
      </c>
      <c r="F2944" s="9" t="s">
        <v>76</v>
      </c>
      <c r="G2944" s="6"/>
      <c r="H2944" s="6"/>
      <c r="I2944" s="6"/>
      <c r="J2944" s="6"/>
      <c r="K2944" s="6"/>
      <c r="L2944" s="6"/>
      <c r="M2944" s="6"/>
      <c r="N2944" s="6"/>
      <c r="O2944" s="6"/>
      <c r="P2944" s="6"/>
      <c r="Q2944" s="6"/>
      <c r="R2944" s="6"/>
      <c r="S2944" s="6"/>
      <c r="T2944" s="6"/>
      <c r="U2944" s="6"/>
      <c r="V2944" s="6"/>
      <c r="W2944" s="6"/>
      <c r="X2944" s="6"/>
      <c r="Y2944" s="6"/>
      <c r="Z2944" s="6"/>
    </row>
    <row r="2945" customFormat="false" ht="15" hidden="false" customHeight="false" outlineLevel="0" collapsed="false">
      <c r="A2945" s="9" t="s">
        <v>8788</v>
      </c>
      <c r="B2945" s="9" t="s">
        <v>5870</v>
      </c>
      <c r="C2945" s="9" t="s">
        <v>3193</v>
      </c>
      <c r="D2945" s="9" t="s">
        <v>5871</v>
      </c>
      <c r="E2945" s="9" t="str">
        <f aca="false">IF(AND('Formation Ledger'!A2924&lt;&gt;"",'Formation Ledger'!V2924=0),"PASS","FAIL")</f>
        <v>PASS</v>
      </c>
      <c r="F2945" s="9" t="s">
        <v>76</v>
      </c>
      <c r="G2945" s="6"/>
      <c r="H2945" s="6"/>
      <c r="I2945" s="6"/>
      <c r="J2945" s="6"/>
      <c r="K2945" s="6"/>
      <c r="L2945" s="6"/>
      <c r="M2945" s="6"/>
      <c r="N2945" s="6"/>
      <c r="O2945" s="6"/>
      <c r="P2945" s="6"/>
      <c r="Q2945" s="6"/>
      <c r="R2945" s="6"/>
      <c r="S2945" s="6"/>
      <c r="T2945" s="6"/>
      <c r="U2945" s="6"/>
      <c r="V2945" s="6"/>
      <c r="W2945" s="6"/>
      <c r="X2945" s="6"/>
      <c r="Y2945" s="6"/>
      <c r="Z2945" s="6"/>
    </row>
    <row r="2946" customFormat="false" ht="15" hidden="false" customHeight="false" outlineLevel="0" collapsed="false">
      <c r="A2946" s="9" t="s">
        <v>8789</v>
      </c>
      <c r="B2946" s="9" t="s">
        <v>5870</v>
      </c>
      <c r="C2946" s="9" t="s">
        <v>3194</v>
      </c>
      <c r="D2946" s="9" t="s">
        <v>5871</v>
      </c>
      <c r="E2946" s="9" t="str">
        <f aca="false">IF(AND('Formation Ledger'!A2925&lt;&gt;"",'Formation Ledger'!V2925=0),"PASS","FAIL")</f>
        <v>PASS</v>
      </c>
      <c r="F2946" s="9" t="s">
        <v>76</v>
      </c>
      <c r="G2946" s="6"/>
      <c r="H2946" s="6"/>
      <c r="I2946" s="6"/>
      <c r="J2946" s="6"/>
      <c r="K2946" s="6"/>
      <c r="L2946" s="6"/>
      <c r="M2946" s="6"/>
      <c r="N2946" s="6"/>
      <c r="O2946" s="6"/>
      <c r="P2946" s="6"/>
      <c r="Q2946" s="6"/>
      <c r="R2946" s="6"/>
      <c r="S2946" s="6"/>
      <c r="T2946" s="6"/>
      <c r="U2946" s="6"/>
      <c r="V2946" s="6"/>
      <c r="W2946" s="6"/>
      <c r="X2946" s="6"/>
      <c r="Y2946" s="6"/>
      <c r="Z2946" s="6"/>
    </row>
    <row r="2947" customFormat="false" ht="15" hidden="false" customHeight="false" outlineLevel="0" collapsed="false">
      <c r="A2947" s="9" t="s">
        <v>8790</v>
      </c>
      <c r="B2947" s="9" t="s">
        <v>5870</v>
      </c>
      <c r="C2947" s="9" t="s">
        <v>3195</v>
      </c>
      <c r="D2947" s="9" t="s">
        <v>5871</v>
      </c>
      <c r="E2947" s="9" t="str">
        <f aca="false">IF(AND('Formation Ledger'!A2926&lt;&gt;"",'Formation Ledger'!V2926=0),"PASS","FAIL")</f>
        <v>PASS</v>
      </c>
      <c r="F2947" s="9" t="s">
        <v>76</v>
      </c>
      <c r="G2947" s="6"/>
      <c r="H2947" s="6"/>
      <c r="I2947" s="6"/>
      <c r="J2947" s="6"/>
      <c r="K2947" s="6"/>
      <c r="L2947" s="6"/>
      <c r="M2947" s="6"/>
      <c r="N2947" s="6"/>
      <c r="O2947" s="6"/>
      <c r="P2947" s="6"/>
      <c r="Q2947" s="6"/>
      <c r="R2947" s="6"/>
      <c r="S2947" s="6"/>
      <c r="T2947" s="6"/>
      <c r="U2947" s="6"/>
      <c r="V2947" s="6"/>
      <c r="W2947" s="6"/>
      <c r="X2947" s="6"/>
      <c r="Y2947" s="6"/>
      <c r="Z2947" s="6"/>
    </row>
    <row r="2948" customFormat="false" ht="15" hidden="false" customHeight="false" outlineLevel="0" collapsed="false">
      <c r="A2948" s="9" t="s">
        <v>8791</v>
      </c>
      <c r="B2948" s="9" t="s">
        <v>5870</v>
      </c>
      <c r="C2948" s="9" t="s">
        <v>3196</v>
      </c>
      <c r="D2948" s="9" t="s">
        <v>5871</v>
      </c>
      <c r="E2948" s="9" t="str">
        <f aca="false">IF(AND('Formation Ledger'!A2927&lt;&gt;"",'Formation Ledger'!V2927=0),"PASS","FAIL")</f>
        <v>PASS</v>
      </c>
      <c r="F2948" s="9" t="s">
        <v>76</v>
      </c>
      <c r="G2948" s="6"/>
      <c r="H2948" s="6"/>
      <c r="I2948" s="6"/>
      <c r="J2948" s="6"/>
      <c r="K2948" s="6"/>
      <c r="L2948" s="6"/>
      <c r="M2948" s="6"/>
      <c r="N2948" s="6"/>
      <c r="O2948" s="6"/>
      <c r="P2948" s="6"/>
      <c r="Q2948" s="6"/>
      <c r="R2948" s="6"/>
      <c r="S2948" s="6"/>
      <c r="T2948" s="6"/>
      <c r="U2948" s="6"/>
      <c r="V2948" s="6"/>
      <c r="W2948" s="6"/>
      <c r="X2948" s="6"/>
      <c r="Y2948" s="6"/>
      <c r="Z2948" s="6"/>
    </row>
    <row r="2949" customFormat="false" ht="15" hidden="false" customHeight="false" outlineLevel="0" collapsed="false">
      <c r="A2949" s="9" t="s">
        <v>8792</v>
      </c>
      <c r="B2949" s="9" t="s">
        <v>5870</v>
      </c>
      <c r="C2949" s="9" t="s">
        <v>3197</v>
      </c>
      <c r="D2949" s="9" t="s">
        <v>5871</v>
      </c>
      <c r="E2949" s="9" t="str">
        <f aca="false">IF(AND('Formation Ledger'!A2928&lt;&gt;"",'Formation Ledger'!V2928=0),"PASS","FAIL")</f>
        <v>PASS</v>
      </c>
      <c r="F2949" s="9" t="s">
        <v>76</v>
      </c>
      <c r="G2949" s="6"/>
      <c r="H2949" s="6"/>
      <c r="I2949" s="6"/>
      <c r="J2949" s="6"/>
      <c r="K2949" s="6"/>
      <c r="L2949" s="6"/>
      <c r="M2949" s="6"/>
      <c r="N2949" s="6"/>
      <c r="O2949" s="6"/>
      <c r="P2949" s="6"/>
      <c r="Q2949" s="6"/>
      <c r="R2949" s="6"/>
      <c r="S2949" s="6"/>
      <c r="T2949" s="6"/>
      <c r="U2949" s="6"/>
      <c r="V2949" s="6"/>
      <c r="W2949" s="6"/>
      <c r="X2949" s="6"/>
      <c r="Y2949" s="6"/>
      <c r="Z2949" s="6"/>
    </row>
    <row r="2950" customFormat="false" ht="15" hidden="false" customHeight="false" outlineLevel="0" collapsed="false">
      <c r="A2950" s="9" t="s">
        <v>8793</v>
      </c>
      <c r="B2950" s="9" t="s">
        <v>5870</v>
      </c>
      <c r="C2950" s="9" t="s">
        <v>3198</v>
      </c>
      <c r="D2950" s="9" t="s">
        <v>5871</v>
      </c>
      <c r="E2950" s="9" t="str">
        <f aca="false">IF(AND('Formation Ledger'!A2929&lt;&gt;"",'Formation Ledger'!V2929=0),"PASS","FAIL")</f>
        <v>PASS</v>
      </c>
      <c r="F2950" s="9" t="s">
        <v>76</v>
      </c>
      <c r="G2950" s="6"/>
      <c r="H2950" s="6"/>
      <c r="I2950" s="6"/>
      <c r="J2950" s="6"/>
      <c r="K2950" s="6"/>
      <c r="L2950" s="6"/>
      <c r="M2950" s="6"/>
      <c r="N2950" s="6"/>
      <c r="O2950" s="6"/>
      <c r="P2950" s="6"/>
      <c r="Q2950" s="6"/>
      <c r="R2950" s="6"/>
      <c r="S2950" s="6"/>
      <c r="T2950" s="6"/>
      <c r="U2950" s="6"/>
      <c r="V2950" s="6"/>
      <c r="W2950" s="6"/>
      <c r="X2950" s="6"/>
      <c r="Y2950" s="6"/>
      <c r="Z2950" s="6"/>
    </row>
    <row r="2951" customFormat="false" ht="15" hidden="false" customHeight="false" outlineLevel="0" collapsed="false">
      <c r="A2951" s="9" t="s">
        <v>8794</v>
      </c>
      <c r="B2951" s="9" t="s">
        <v>5870</v>
      </c>
      <c r="C2951" s="9" t="s">
        <v>3199</v>
      </c>
      <c r="D2951" s="9" t="s">
        <v>5871</v>
      </c>
      <c r="E2951" s="9" t="str">
        <f aca="false">IF(AND('Formation Ledger'!A2930&lt;&gt;"",'Formation Ledger'!V2930=0),"PASS","FAIL")</f>
        <v>PASS</v>
      </c>
      <c r="F2951" s="9" t="s">
        <v>76</v>
      </c>
      <c r="G2951" s="6"/>
      <c r="H2951" s="6"/>
      <c r="I2951" s="6"/>
      <c r="J2951" s="6"/>
      <c r="K2951" s="6"/>
      <c r="L2951" s="6"/>
      <c r="M2951" s="6"/>
      <c r="N2951" s="6"/>
      <c r="O2951" s="6"/>
      <c r="P2951" s="6"/>
      <c r="Q2951" s="6"/>
      <c r="R2951" s="6"/>
      <c r="S2951" s="6"/>
      <c r="T2951" s="6"/>
      <c r="U2951" s="6"/>
      <c r="V2951" s="6"/>
      <c r="W2951" s="6"/>
      <c r="X2951" s="6"/>
      <c r="Y2951" s="6"/>
      <c r="Z2951" s="6"/>
    </row>
    <row r="2952" customFormat="false" ht="15" hidden="false" customHeight="false" outlineLevel="0" collapsed="false">
      <c r="A2952" s="9" t="s">
        <v>8795</v>
      </c>
      <c r="B2952" s="9" t="s">
        <v>5870</v>
      </c>
      <c r="C2952" s="9" t="s">
        <v>3200</v>
      </c>
      <c r="D2952" s="9" t="s">
        <v>5871</v>
      </c>
      <c r="E2952" s="9" t="str">
        <f aca="false">IF(AND('Formation Ledger'!A2931&lt;&gt;"",'Formation Ledger'!V2931=0),"PASS","FAIL")</f>
        <v>PASS</v>
      </c>
      <c r="F2952" s="9" t="s">
        <v>76</v>
      </c>
      <c r="G2952" s="6"/>
      <c r="H2952" s="6"/>
      <c r="I2952" s="6"/>
      <c r="J2952" s="6"/>
      <c r="K2952" s="6"/>
      <c r="L2952" s="6"/>
      <c r="M2952" s="6"/>
      <c r="N2952" s="6"/>
      <c r="O2952" s="6"/>
      <c r="P2952" s="6"/>
      <c r="Q2952" s="6"/>
      <c r="R2952" s="6"/>
      <c r="S2952" s="6"/>
      <c r="T2952" s="6"/>
      <c r="U2952" s="6"/>
      <c r="V2952" s="6"/>
      <c r="W2952" s="6"/>
      <c r="X2952" s="6"/>
      <c r="Y2952" s="6"/>
      <c r="Z2952" s="6"/>
    </row>
    <row r="2953" customFormat="false" ht="15" hidden="false" customHeight="false" outlineLevel="0" collapsed="false">
      <c r="A2953" s="9" t="s">
        <v>8796</v>
      </c>
      <c r="B2953" s="9" t="s">
        <v>5870</v>
      </c>
      <c r="C2953" s="9" t="s">
        <v>3201</v>
      </c>
      <c r="D2953" s="9" t="s">
        <v>5871</v>
      </c>
      <c r="E2953" s="9" t="str">
        <f aca="false">IF(AND('Formation Ledger'!A2932&lt;&gt;"",'Formation Ledger'!V2932=0),"PASS","FAIL")</f>
        <v>PASS</v>
      </c>
      <c r="F2953" s="9" t="s">
        <v>76</v>
      </c>
      <c r="G2953" s="6"/>
      <c r="H2953" s="6"/>
      <c r="I2953" s="6"/>
      <c r="J2953" s="6"/>
      <c r="K2953" s="6"/>
      <c r="L2953" s="6"/>
      <c r="M2953" s="6"/>
      <c r="N2953" s="6"/>
      <c r="O2953" s="6"/>
      <c r="P2953" s="6"/>
      <c r="Q2953" s="6"/>
      <c r="R2953" s="6"/>
      <c r="S2953" s="6"/>
      <c r="T2953" s="6"/>
      <c r="U2953" s="6"/>
      <c r="V2953" s="6"/>
      <c r="W2953" s="6"/>
      <c r="X2953" s="6"/>
      <c r="Y2953" s="6"/>
      <c r="Z2953" s="6"/>
    </row>
    <row r="2954" customFormat="false" ht="15" hidden="false" customHeight="false" outlineLevel="0" collapsed="false">
      <c r="A2954" s="9" t="s">
        <v>8797</v>
      </c>
      <c r="B2954" s="9" t="s">
        <v>5870</v>
      </c>
      <c r="C2954" s="9" t="s">
        <v>3202</v>
      </c>
      <c r="D2954" s="9" t="s">
        <v>5871</v>
      </c>
      <c r="E2954" s="9" t="str">
        <f aca="false">IF(AND('Formation Ledger'!A2933&lt;&gt;"",'Formation Ledger'!V2933=0),"PASS","FAIL")</f>
        <v>PASS</v>
      </c>
      <c r="F2954" s="9" t="s">
        <v>76</v>
      </c>
      <c r="G2954" s="6"/>
      <c r="H2954" s="6"/>
      <c r="I2954" s="6"/>
      <c r="J2954" s="6"/>
      <c r="K2954" s="6"/>
      <c r="L2954" s="6"/>
      <c r="M2954" s="6"/>
      <c r="N2954" s="6"/>
      <c r="O2954" s="6"/>
      <c r="P2954" s="6"/>
      <c r="Q2954" s="6"/>
      <c r="R2954" s="6"/>
      <c r="S2954" s="6"/>
      <c r="T2954" s="6"/>
      <c r="U2954" s="6"/>
      <c r="V2954" s="6"/>
      <c r="W2954" s="6"/>
      <c r="X2954" s="6"/>
      <c r="Y2954" s="6"/>
      <c r="Z2954" s="6"/>
    </row>
    <row r="2955" customFormat="false" ht="15" hidden="false" customHeight="false" outlineLevel="0" collapsed="false">
      <c r="A2955" s="9" t="s">
        <v>8798</v>
      </c>
      <c r="B2955" s="9" t="s">
        <v>5870</v>
      </c>
      <c r="C2955" s="9" t="s">
        <v>3203</v>
      </c>
      <c r="D2955" s="9" t="s">
        <v>5871</v>
      </c>
      <c r="E2955" s="9" t="str">
        <f aca="false">IF(AND('Formation Ledger'!A2934&lt;&gt;"",'Formation Ledger'!V2934=0),"PASS","FAIL")</f>
        <v>PASS</v>
      </c>
      <c r="F2955" s="9" t="s">
        <v>76</v>
      </c>
      <c r="G2955" s="6"/>
      <c r="H2955" s="6"/>
      <c r="I2955" s="6"/>
      <c r="J2955" s="6"/>
      <c r="K2955" s="6"/>
      <c r="L2955" s="6"/>
      <c r="M2955" s="6"/>
      <c r="N2955" s="6"/>
      <c r="O2955" s="6"/>
      <c r="P2955" s="6"/>
      <c r="Q2955" s="6"/>
      <c r="R2955" s="6"/>
      <c r="S2955" s="6"/>
      <c r="T2955" s="6"/>
      <c r="U2955" s="6"/>
      <c r="V2955" s="6"/>
      <c r="W2955" s="6"/>
      <c r="X2955" s="6"/>
      <c r="Y2955" s="6"/>
      <c r="Z2955" s="6"/>
    </row>
    <row r="2956" customFormat="false" ht="15" hidden="false" customHeight="false" outlineLevel="0" collapsed="false">
      <c r="A2956" s="9" t="s">
        <v>8799</v>
      </c>
      <c r="B2956" s="9" t="s">
        <v>5870</v>
      </c>
      <c r="C2956" s="9" t="s">
        <v>3204</v>
      </c>
      <c r="D2956" s="9" t="s">
        <v>5871</v>
      </c>
      <c r="E2956" s="9" t="str">
        <f aca="false">IF(AND('Formation Ledger'!A2935&lt;&gt;"",'Formation Ledger'!V2935=0),"PASS","FAIL")</f>
        <v>PASS</v>
      </c>
      <c r="F2956" s="9" t="s">
        <v>76</v>
      </c>
      <c r="G2956" s="6"/>
      <c r="H2956" s="6"/>
      <c r="I2956" s="6"/>
      <c r="J2956" s="6"/>
      <c r="K2956" s="6"/>
      <c r="L2956" s="6"/>
      <c r="M2956" s="6"/>
      <c r="N2956" s="6"/>
      <c r="O2956" s="6"/>
      <c r="P2956" s="6"/>
      <c r="Q2956" s="6"/>
      <c r="R2956" s="6"/>
      <c r="S2956" s="6"/>
      <c r="T2956" s="6"/>
      <c r="U2956" s="6"/>
      <c r="V2956" s="6"/>
      <c r="W2956" s="6"/>
      <c r="X2956" s="6"/>
      <c r="Y2956" s="6"/>
      <c r="Z2956" s="6"/>
    </row>
    <row r="2957" customFormat="false" ht="15" hidden="false" customHeight="false" outlineLevel="0" collapsed="false">
      <c r="A2957" s="9" t="s">
        <v>8800</v>
      </c>
      <c r="B2957" s="9" t="s">
        <v>5870</v>
      </c>
      <c r="C2957" s="9" t="s">
        <v>3205</v>
      </c>
      <c r="D2957" s="9" t="s">
        <v>5871</v>
      </c>
      <c r="E2957" s="9" t="str">
        <f aca="false">IF(AND('Formation Ledger'!A2936&lt;&gt;"",'Formation Ledger'!V2936=0),"PASS","FAIL")</f>
        <v>PASS</v>
      </c>
      <c r="F2957" s="9" t="s">
        <v>76</v>
      </c>
      <c r="G2957" s="6"/>
      <c r="H2957" s="6"/>
      <c r="I2957" s="6"/>
      <c r="J2957" s="6"/>
      <c r="K2957" s="6"/>
      <c r="L2957" s="6"/>
      <c r="M2957" s="6"/>
      <c r="N2957" s="6"/>
      <c r="O2957" s="6"/>
      <c r="P2957" s="6"/>
      <c r="Q2957" s="6"/>
      <c r="R2957" s="6"/>
      <c r="S2957" s="6"/>
      <c r="T2957" s="6"/>
      <c r="U2957" s="6"/>
      <c r="V2957" s="6"/>
      <c r="W2957" s="6"/>
      <c r="X2957" s="6"/>
      <c r="Y2957" s="6"/>
      <c r="Z2957" s="6"/>
    </row>
    <row r="2958" customFormat="false" ht="15" hidden="false" customHeight="false" outlineLevel="0" collapsed="false">
      <c r="A2958" s="9" t="s">
        <v>8801</v>
      </c>
      <c r="B2958" s="9" t="s">
        <v>5870</v>
      </c>
      <c r="C2958" s="9" t="s">
        <v>3206</v>
      </c>
      <c r="D2958" s="9" t="s">
        <v>5871</v>
      </c>
      <c r="E2958" s="9" t="str">
        <f aca="false">IF(AND('Formation Ledger'!A2937&lt;&gt;"",'Formation Ledger'!V2937=0),"PASS","FAIL")</f>
        <v>PASS</v>
      </c>
      <c r="F2958" s="9" t="s">
        <v>76</v>
      </c>
      <c r="G2958" s="6"/>
      <c r="H2958" s="6"/>
      <c r="I2958" s="6"/>
      <c r="J2958" s="6"/>
      <c r="K2958" s="6"/>
      <c r="L2958" s="6"/>
      <c r="M2958" s="6"/>
      <c r="N2958" s="6"/>
      <c r="O2958" s="6"/>
      <c r="P2958" s="6"/>
      <c r="Q2958" s="6"/>
      <c r="R2958" s="6"/>
      <c r="S2958" s="6"/>
      <c r="T2958" s="6"/>
      <c r="U2958" s="6"/>
      <c r="V2958" s="6"/>
      <c r="W2958" s="6"/>
      <c r="X2958" s="6"/>
      <c r="Y2958" s="6"/>
      <c r="Z2958" s="6"/>
    </row>
    <row r="2959" customFormat="false" ht="15" hidden="false" customHeight="false" outlineLevel="0" collapsed="false">
      <c r="A2959" s="9" t="s">
        <v>8802</v>
      </c>
      <c r="B2959" s="9" t="s">
        <v>5870</v>
      </c>
      <c r="C2959" s="9" t="s">
        <v>3207</v>
      </c>
      <c r="D2959" s="9" t="s">
        <v>5871</v>
      </c>
      <c r="E2959" s="9" t="str">
        <f aca="false">IF(AND('Formation Ledger'!A2938&lt;&gt;"",'Formation Ledger'!V2938=0),"PASS","FAIL")</f>
        <v>PASS</v>
      </c>
      <c r="F2959" s="9" t="s">
        <v>76</v>
      </c>
      <c r="G2959" s="6"/>
      <c r="H2959" s="6"/>
      <c r="I2959" s="6"/>
      <c r="J2959" s="6"/>
      <c r="K2959" s="6"/>
      <c r="L2959" s="6"/>
      <c r="M2959" s="6"/>
      <c r="N2959" s="6"/>
      <c r="O2959" s="6"/>
      <c r="P2959" s="6"/>
      <c r="Q2959" s="6"/>
      <c r="R2959" s="6"/>
      <c r="S2959" s="6"/>
      <c r="T2959" s="6"/>
      <c r="U2959" s="6"/>
      <c r="V2959" s="6"/>
      <c r="W2959" s="6"/>
      <c r="X2959" s="6"/>
      <c r="Y2959" s="6"/>
      <c r="Z2959" s="6"/>
    </row>
    <row r="2960" customFormat="false" ht="15" hidden="false" customHeight="false" outlineLevel="0" collapsed="false">
      <c r="A2960" s="9" t="s">
        <v>8803</v>
      </c>
      <c r="B2960" s="9" t="s">
        <v>5870</v>
      </c>
      <c r="C2960" s="9" t="s">
        <v>3208</v>
      </c>
      <c r="D2960" s="9" t="s">
        <v>5871</v>
      </c>
      <c r="E2960" s="9" t="str">
        <f aca="false">IF(AND('Formation Ledger'!A2939&lt;&gt;"",'Formation Ledger'!V2939=0),"PASS","FAIL")</f>
        <v>PASS</v>
      </c>
      <c r="F2960" s="9" t="s">
        <v>76</v>
      </c>
      <c r="G2960" s="6"/>
      <c r="H2960" s="6"/>
      <c r="I2960" s="6"/>
      <c r="J2960" s="6"/>
      <c r="K2960" s="6"/>
      <c r="L2960" s="6"/>
      <c r="M2960" s="6"/>
      <c r="N2960" s="6"/>
      <c r="O2960" s="6"/>
      <c r="P2960" s="6"/>
      <c r="Q2960" s="6"/>
      <c r="R2960" s="6"/>
      <c r="S2960" s="6"/>
      <c r="T2960" s="6"/>
      <c r="U2960" s="6"/>
      <c r="V2960" s="6"/>
      <c r="W2960" s="6"/>
      <c r="X2960" s="6"/>
      <c r="Y2960" s="6"/>
      <c r="Z2960" s="6"/>
    </row>
    <row r="2961" customFormat="false" ht="15" hidden="false" customHeight="false" outlineLevel="0" collapsed="false">
      <c r="A2961" s="9" t="s">
        <v>8804</v>
      </c>
      <c r="B2961" s="9" t="s">
        <v>5870</v>
      </c>
      <c r="C2961" s="9" t="s">
        <v>3209</v>
      </c>
      <c r="D2961" s="9" t="s">
        <v>5871</v>
      </c>
      <c r="E2961" s="9" t="str">
        <f aca="false">IF(AND('Formation Ledger'!A2940&lt;&gt;"",'Formation Ledger'!V2940=0),"PASS","FAIL")</f>
        <v>PASS</v>
      </c>
      <c r="F2961" s="9" t="s">
        <v>76</v>
      </c>
      <c r="G2961" s="6"/>
      <c r="H2961" s="6"/>
      <c r="I2961" s="6"/>
      <c r="J2961" s="6"/>
      <c r="K2961" s="6"/>
      <c r="L2961" s="6"/>
      <c r="M2961" s="6"/>
      <c r="N2961" s="6"/>
      <c r="O2961" s="6"/>
      <c r="P2961" s="6"/>
      <c r="Q2961" s="6"/>
      <c r="R2961" s="6"/>
      <c r="S2961" s="6"/>
      <c r="T2961" s="6"/>
      <c r="U2961" s="6"/>
      <c r="V2961" s="6"/>
      <c r="W2961" s="6"/>
      <c r="X2961" s="6"/>
      <c r="Y2961" s="6"/>
      <c r="Z2961" s="6"/>
    </row>
    <row r="2962" customFormat="false" ht="15" hidden="false" customHeight="false" outlineLevel="0" collapsed="false">
      <c r="A2962" s="9" t="s">
        <v>8805</v>
      </c>
      <c r="B2962" s="9" t="s">
        <v>5870</v>
      </c>
      <c r="C2962" s="9" t="s">
        <v>3210</v>
      </c>
      <c r="D2962" s="9" t="s">
        <v>5871</v>
      </c>
      <c r="E2962" s="9" t="str">
        <f aca="false">IF(AND('Formation Ledger'!A2941&lt;&gt;"",'Formation Ledger'!V2941=0),"PASS","FAIL")</f>
        <v>PASS</v>
      </c>
      <c r="F2962" s="9" t="s">
        <v>76</v>
      </c>
      <c r="G2962" s="6"/>
      <c r="H2962" s="6"/>
      <c r="I2962" s="6"/>
      <c r="J2962" s="6"/>
      <c r="K2962" s="6"/>
      <c r="L2962" s="6"/>
      <c r="M2962" s="6"/>
      <c r="N2962" s="6"/>
      <c r="O2962" s="6"/>
      <c r="P2962" s="6"/>
      <c r="Q2962" s="6"/>
      <c r="R2962" s="6"/>
      <c r="S2962" s="6"/>
      <c r="T2962" s="6"/>
      <c r="U2962" s="6"/>
      <c r="V2962" s="6"/>
      <c r="W2962" s="6"/>
      <c r="X2962" s="6"/>
      <c r="Y2962" s="6"/>
      <c r="Z2962" s="6"/>
    </row>
    <row r="2963" customFormat="false" ht="15" hidden="false" customHeight="false" outlineLevel="0" collapsed="false">
      <c r="A2963" s="9" t="s">
        <v>8806</v>
      </c>
      <c r="B2963" s="9" t="s">
        <v>5870</v>
      </c>
      <c r="C2963" s="9" t="s">
        <v>3211</v>
      </c>
      <c r="D2963" s="9" t="s">
        <v>5871</v>
      </c>
      <c r="E2963" s="9" t="str">
        <f aca="false">IF(AND('Formation Ledger'!A2942&lt;&gt;"",'Formation Ledger'!V2942=0),"PASS","FAIL")</f>
        <v>PASS</v>
      </c>
      <c r="F2963" s="9" t="s">
        <v>76</v>
      </c>
      <c r="G2963" s="6"/>
      <c r="H2963" s="6"/>
      <c r="I2963" s="6"/>
      <c r="J2963" s="6"/>
      <c r="K2963" s="6"/>
      <c r="L2963" s="6"/>
      <c r="M2963" s="6"/>
      <c r="N2963" s="6"/>
      <c r="O2963" s="6"/>
      <c r="P2963" s="6"/>
      <c r="Q2963" s="6"/>
      <c r="R2963" s="6"/>
      <c r="S2963" s="6"/>
      <c r="T2963" s="6"/>
      <c r="U2963" s="6"/>
      <c r="V2963" s="6"/>
      <c r="W2963" s="6"/>
      <c r="X2963" s="6"/>
      <c r="Y2963" s="6"/>
      <c r="Z2963" s="6"/>
    </row>
    <row r="2964" customFormat="false" ht="15" hidden="false" customHeight="false" outlineLevel="0" collapsed="false">
      <c r="A2964" s="9" t="s">
        <v>8807</v>
      </c>
      <c r="B2964" s="9" t="s">
        <v>5870</v>
      </c>
      <c r="C2964" s="9" t="s">
        <v>3212</v>
      </c>
      <c r="D2964" s="9" t="s">
        <v>5871</v>
      </c>
      <c r="E2964" s="9" t="str">
        <f aca="false">IF(AND('Formation Ledger'!A2943&lt;&gt;"",'Formation Ledger'!V2943=0),"PASS","FAIL")</f>
        <v>PASS</v>
      </c>
      <c r="F2964" s="9" t="s">
        <v>76</v>
      </c>
      <c r="G2964" s="6"/>
      <c r="H2964" s="6"/>
      <c r="I2964" s="6"/>
      <c r="J2964" s="6"/>
      <c r="K2964" s="6"/>
      <c r="L2964" s="6"/>
      <c r="M2964" s="6"/>
      <c r="N2964" s="6"/>
      <c r="O2964" s="6"/>
      <c r="P2964" s="6"/>
      <c r="Q2964" s="6"/>
      <c r="R2964" s="6"/>
      <c r="S2964" s="6"/>
      <c r="T2964" s="6"/>
      <c r="U2964" s="6"/>
      <c r="V2964" s="6"/>
      <c r="W2964" s="6"/>
      <c r="X2964" s="6"/>
      <c r="Y2964" s="6"/>
      <c r="Z2964" s="6"/>
    </row>
    <row r="2965" customFormat="false" ht="15" hidden="false" customHeight="false" outlineLevel="0" collapsed="false">
      <c r="A2965" s="9" t="s">
        <v>8808</v>
      </c>
      <c r="B2965" s="9" t="s">
        <v>5870</v>
      </c>
      <c r="C2965" s="9" t="s">
        <v>3213</v>
      </c>
      <c r="D2965" s="9" t="s">
        <v>5871</v>
      </c>
      <c r="E2965" s="9" t="str">
        <f aca="false">IF(AND('Formation Ledger'!A2944&lt;&gt;"",'Formation Ledger'!V2944=0),"PASS","FAIL")</f>
        <v>PASS</v>
      </c>
      <c r="F2965" s="9" t="s">
        <v>76</v>
      </c>
      <c r="G2965" s="6"/>
      <c r="H2965" s="6"/>
      <c r="I2965" s="6"/>
      <c r="J2965" s="6"/>
      <c r="K2965" s="6"/>
      <c r="L2965" s="6"/>
      <c r="M2965" s="6"/>
      <c r="N2965" s="6"/>
      <c r="O2965" s="6"/>
      <c r="P2965" s="6"/>
      <c r="Q2965" s="6"/>
      <c r="R2965" s="6"/>
      <c r="S2965" s="6"/>
      <c r="T2965" s="6"/>
      <c r="U2965" s="6"/>
      <c r="V2965" s="6"/>
      <c r="W2965" s="6"/>
      <c r="X2965" s="6"/>
      <c r="Y2965" s="6"/>
      <c r="Z2965" s="6"/>
    </row>
    <row r="2966" customFormat="false" ht="15" hidden="false" customHeight="false" outlineLevel="0" collapsed="false">
      <c r="A2966" s="9" t="s">
        <v>8809</v>
      </c>
      <c r="B2966" s="9" t="s">
        <v>5870</v>
      </c>
      <c r="C2966" s="9" t="s">
        <v>3214</v>
      </c>
      <c r="D2966" s="9" t="s">
        <v>5871</v>
      </c>
      <c r="E2966" s="9" t="str">
        <f aca="false">IF(AND('Formation Ledger'!A2945&lt;&gt;"",'Formation Ledger'!V2945=0),"PASS","FAIL")</f>
        <v>PASS</v>
      </c>
      <c r="F2966" s="9" t="s">
        <v>76</v>
      </c>
      <c r="G2966" s="6"/>
      <c r="H2966" s="6"/>
      <c r="I2966" s="6"/>
      <c r="J2966" s="6"/>
      <c r="K2966" s="6"/>
      <c r="L2966" s="6"/>
      <c r="M2966" s="6"/>
      <c r="N2966" s="6"/>
      <c r="O2966" s="6"/>
      <c r="P2966" s="6"/>
      <c r="Q2966" s="6"/>
      <c r="R2966" s="6"/>
      <c r="S2966" s="6"/>
      <c r="T2966" s="6"/>
      <c r="U2966" s="6"/>
      <c r="V2966" s="6"/>
      <c r="W2966" s="6"/>
      <c r="X2966" s="6"/>
      <c r="Y2966" s="6"/>
      <c r="Z2966" s="6"/>
    </row>
    <row r="2967" customFormat="false" ht="15" hidden="false" customHeight="false" outlineLevel="0" collapsed="false">
      <c r="A2967" s="9" t="s">
        <v>8810</v>
      </c>
      <c r="B2967" s="9" t="s">
        <v>5870</v>
      </c>
      <c r="C2967" s="9" t="s">
        <v>3215</v>
      </c>
      <c r="D2967" s="9" t="s">
        <v>5871</v>
      </c>
      <c r="E2967" s="9" t="str">
        <f aca="false">IF(AND('Formation Ledger'!A2946&lt;&gt;"",'Formation Ledger'!V2946=0),"PASS","FAIL")</f>
        <v>PASS</v>
      </c>
      <c r="F2967" s="9" t="s">
        <v>76</v>
      </c>
      <c r="G2967" s="6"/>
      <c r="H2967" s="6"/>
      <c r="I2967" s="6"/>
      <c r="J2967" s="6"/>
      <c r="K2967" s="6"/>
      <c r="L2967" s="6"/>
      <c r="M2967" s="6"/>
      <c r="N2967" s="6"/>
      <c r="O2967" s="6"/>
      <c r="P2967" s="6"/>
      <c r="Q2967" s="6"/>
      <c r="R2967" s="6"/>
      <c r="S2967" s="6"/>
      <c r="T2967" s="6"/>
      <c r="U2967" s="6"/>
      <c r="V2967" s="6"/>
      <c r="W2967" s="6"/>
      <c r="X2967" s="6"/>
      <c r="Y2967" s="6"/>
      <c r="Z2967" s="6"/>
    </row>
    <row r="2968" customFormat="false" ht="15" hidden="false" customHeight="false" outlineLevel="0" collapsed="false">
      <c r="A2968" s="9" t="s">
        <v>8811</v>
      </c>
      <c r="B2968" s="9" t="s">
        <v>5870</v>
      </c>
      <c r="C2968" s="9" t="s">
        <v>3216</v>
      </c>
      <c r="D2968" s="9" t="s">
        <v>5871</v>
      </c>
      <c r="E2968" s="9" t="str">
        <f aca="false">IF(AND('Formation Ledger'!A2947&lt;&gt;"",'Formation Ledger'!V2947=0),"PASS","FAIL")</f>
        <v>PASS</v>
      </c>
      <c r="F2968" s="9" t="s">
        <v>76</v>
      </c>
      <c r="G2968" s="6"/>
      <c r="H2968" s="6"/>
      <c r="I2968" s="6"/>
      <c r="J2968" s="6"/>
      <c r="K2968" s="6"/>
      <c r="L2968" s="6"/>
      <c r="M2968" s="6"/>
      <c r="N2968" s="6"/>
      <c r="O2968" s="6"/>
      <c r="P2968" s="6"/>
      <c r="Q2968" s="6"/>
      <c r="R2968" s="6"/>
      <c r="S2968" s="6"/>
      <c r="T2968" s="6"/>
      <c r="U2968" s="6"/>
      <c r="V2968" s="6"/>
      <c r="W2968" s="6"/>
      <c r="X2968" s="6"/>
      <c r="Y2968" s="6"/>
      <c r="Z2968" s="6"/>
    </row>
    <row r="2969" customFormat="false" ht="15" hidden="false" customHeight="false" outlineLevel="0" collapsed="false">
      <c r="A2969" s="9" t="s">
        <v>8812</v>
      </c>
      <c r="B2969" s="9" t="s">
        <v>5870</v>
      </c>
      <c r="C2969" s="9" t="s">
        <v>3217</v>
      </c>
      <c r="D2969" s="9" t="s">
        <v>5871</v>
      </c>
      <c r="E2969" s="9" t="str">
        <f aca="false">IF(AND('Formation Ledger'!A2948&lt;&gt;"",'Formation Ledger'!V2948=0),"PASS","FAIL")</f>
        <v>PASS</v>
      </c>
      <c r="F2969" s="9" t="s">
        <v>76</v>
      </c>
      <c r="G2969" s="6"/>
      <c r="H2969" s="6"/>
      <c r="I2969" s="6"/>
      <c r="J2969" s="6"/>
      <c r="K2969" s="6"/>
      <c r="L2969" s="6"/>
      <c r="M2969" s="6"/>
      <c r="N2969" s="6"/>
      <c r="O2969" s="6"/>
      <c r="P2969" s="6"/>
      <c r="Q2969" s="6"/>
      <c r="R2969" s="6"/>
      <c r="S2969" s="6"/>
      <c r="T2969" s="6"/>
      <c r="U2969" s="6"/>
      <c r="V2969" s="6"/>
      <c r="W2969" s="6"/>
      <c r="X2969" s="6"/>
      <c r="Y2969" s="6"/>
      <c r="Z2969" s="6"/>
    </row>
    <row r="2970" customFormat="false" ht="15" hidden="false" customHeight="false" outlineLevel="0" collapsed="false">
      <c r="A2970" s="9" t="s">
        <v>8813</v>
      </c>
      <c r="B2970" s="9" t="s">
        <v>5870</v>
      </c>
      <c r="C2970" s="9" t="s">
        <v>3218</v>
      </c>
      <c r="D2970" s="9" t="s">
        <v>5871</v>
      </c>
      <c r="E2970" s="9" t="str">
        <f aca="false">IF(AND('Formation Ledger'!A2949&lt;&gt;"",'Formation Ledger'!V2949=0),"PASS","FAIL")</f>
        <v>PASS</v>
      </c>
      <c r="F2970" s="9" t="s">
        <v>76</v>
      </c>
      <c r="G2970" s="6"/>
      <c r="H2970" s="6"/>
      <c r="I2970" s="6"/>
      <c r="J2970" s="6"/>
      <c r="K2970" s="6"/>
      <c r="L2970" s="6"/>
      <c r="M2970" s="6"/>
      <c r="N2970" s="6"/>
      <c r="O2970" s="6"/>
      <c r="P2970" s="6"/>
      <c r="Q2970" s="6"/>
      <c r="R2970" s="6"/>
      <c r="S2970" s="6"/>
      <c r="T2970" s="6"/>
      <c r="U2970" s="6"/>
      <c r="V2970" s="6"/>
      <c r="W2970" s="6"/>
      <c r="X2970" s="6"/>
      <c r="Y2970" s="6"/>
      <c r="Z2970" s="6"/>
    </row>
    <row r="2971" customFormat="false" ht="15" hidden="false" customHeight="false" outlineLevel="0" collapsed="false">
      <c r="A2971" s="9" t="s">
        <v>8814</v>
      </c>
      <c r="B2971" s="9" t="s">
        <v>5870</v>
      </c>
      <c r="C2971" s="9" t="s">
        <v>3219</v>
      </c>
      <c r="D2971" s="9" t="s">
        <v>5871</v>
      </c>
      <c r="E2971" s="9" t="str">
        <f aca="false">IF(AND('Formation Ledger'!A2950&lt;&gt;"",'Formation Ledger'!V2950=0),"PASS","FAIL")</f>
        <v>PASS</v>
      </c>
      <c r="F2971" s="9" t="s">
        <v>76</v>
      </c>
      <c r="G2971" s="6"/>
      <c r="H2971" s="6"/>
      <c r="I2971" s="6"/>
      <c r="J2971" s="6"/>
      <c r="K2971" s="6"/>
      <c r="L2971" s="6"/>
      <c r="M2971" s="6"/>
      <c r="N2971" s="6"/>
      <c r="O2971" s="6"/>
      <c r="P2971" s="6"/>
      <c r="Q2971" s="6"/>
      <c r="R2971" s="6"/>
      <c r="S2971" s="6"/>
      <c r="T2971" s="6"/>
      <c r="U2971" s="6"/>
      <c r="V2971" s="6"/>
      <c r="W2971" s="6"/>
      <c r="X2971" s="6"/>
      <c r="Y2971" s="6"/>
      <c r="Z2971" s="6"/>
    </row>
    <row r="2972" customFormat="false" ht="15" hidden="false" customHeight="false" outlineLevel="0" collapsed="false">
      <c r="A2972" s="9" t="s">
        <v>8815</v>
      </c>
      <c r="B2972" s="9" t="s">
        <v>5870</v>
      </c>
      <c r="C2972" s="9" t="s">
        <v>3220</v>
      </c>
      <c r="D2972" s="9" t="s">
        <v>5871</v>
      </c>
      <c r="E2972" s="9" t="str">
        <f aca="false">IF(AND('Formation Ledger'!A2951&lt;&gt;"",'Formation Ledger'!V2951=0),"PASS","FAIL")</f>
        <v>PASS</v>
      </c>
      <c r="F2972" s="9" t="s">
        <v>76</v>
      </c>
      <c r="G2972" s="6"/>
      <c r="H2972" s="6"/>
      <c r="I2972" s="6"/>
      <c r="J2972" s="6"/>
      <c r="K2972" s="6"/>
      <c r="L2972" s="6"/>
      <c r="M2972" s="6"/>
      <c r="N2972" s="6"/>
      <c r="O2972" s="6"/>
      <c r="P2972" s="6"/>
      <c r="Q2972" s="6"/>
      <c r="R2972" s="6"/>
      <c r="S2972" s="6"/>
      <c r="T2972" s="6"/>
      <c r="U2972" s="6"/>
      <c r="V2972" s="6"/>
      <c r="W2972" s="6"/>
      <c r="X2972" s="6"/>
      <c r="Y2972" s="6"/>
      <c r="Z2972" s="6"/>
    </row>
    <row r="2973" customFormat="false" ht="15" hidden="false" customHeight="false" outlineLevel="0" collapsed="false">
      <c r="A2973" s="9" t="s">
        <v>8816</v>
      </c>
      <c r="B2973" s="9" t="s">
        <v>5870</v>
      </c>
      <c r="C2973" s="9" t="s">
        <v>3221</v>
      </c>
      <c r="D2973" s="9" t="s">
        <v>5871</v>
      </c>
      <c r="E2973" s="9" t="str">
        <f aca="false">IF(AND('Formation Ledger'!A2952&lt;&gt;"",'Formation Ledger'!V2952=0),"PASS","FAIL")</f>
        <v>PASS</v>
      </c>
      <c r="F2973" s="9" t="s">
        <v>76</v>
      </c>
      <c r="G2973" s="6"/>
      <c r="H2973" s="6"/>
      <c r="I2973" s="6"/>
      <c r="J2973" s="6"/>
      <c r="K2973" s="6"/>
      <c r="L2973" s="6"/>
      <c r="M2973" s="6"/>
      <c r="N2973" s="6"/>
      <c r="O2973" s="6"/>
      <c r="P2973" s="6"/>
      <c r="Q2973" s="6"/>
      <c r="R2973" s="6"/>
      <c r="S2973" s="6"/>
      <c r="T2973" s="6"/>
      <c r="U2973" s="6"/>
      <c r="V2973" s="6"/>
      <c r="W2973" s="6"/>
      <c r="X2973" s="6"/>
      <c r="Y2973" s="6"/>
      <c r="Z2973" s="6"/>
    </row>
    <row r="2974" customFormat="false" ht="15" hidden="false" customHeight="false" outlineLevel="0" collapsed="false">
      <c r="A2974" s="9" t="s">
        <v>8817</v>
      </c>
      <c r="B2974" s="9" t="s">
        <v>5870</v>
      </c>
      <c r="C2974" s="9" t="s">
        <v>3222</v>
      </c>
      <c r="D2974" s="9" t="s">
        <v>5871</v>
      </c>
      <c r="E2974" s="9" t="str">
        <f aca="false">IF(AND('Formation Ledger'!A2953&lt;&gt;"",'Formation Ledger'!V2953=0),"PASS","FAIL")</f>
        <v>PASS</v>
      </c>
      <c r="F2974" s="9" t="s">
        <v>76</v>
      </c>
      <c r="G2974" s="6"/>
      <c r="H2974" s="6"/>
      <c r="I2974" s="6"/>
      <c r="J2974" s="6"/>
      <c r="K2974" s="6"/>
      <c r="L2974" s="6"/>
      <c r="M2974" s="6"/>
      <c r="N2974" s="6"/>
      <c r="O2974" s="6"/>
      <c r="P2974" s="6"/>
      <c r="Q2974" s="6"/>
      <c r="R2974" s="6"/>
      <c r="S2974" s="6"/>
      <c r="T2974" s="6"/>
      <c r="U2974" s="6"/>
      <c r="V2974" s="6"/>
      <c r="W2974" s="6"/>
      <c r="X2974" s="6"/>
      <c r="Y2974" s="6"/>
      <c r="Z2974" s="6"/>
    </row>
    <row r="2975" customFormat="false" ht="15" hidden="false" customHeight="false" outlineLevel="0" collapsed="false">
      <c r="A2975" s="9" t="s">
        <v>8818</v>
      </c>
      <c r="B2975" s="9" t="s">
        <v>5870</v>
      </c>
      <c r="C2975" s="9" t="s">
        <v>3223</v>
      </c>
      <c r="D2975" s="9" t="s">
        <v>5871</v>
      </c>
      <c r="E2975" s="9" t="str">
        <f aca="false">IF(AND('Formation Ledger'!A2954&lt;&gt;"",'Formation Ledger'!V2954=0),"PASS","FAIL")</f>
        <v>PASS</v>
      </c>
      <c r="F2975" s="9" t="s">
        <v>76</v>
      </c>
      <c r="G2975" s="6"/>
      <c r="H2975" s="6"/>
      <c r="I2975" s="6"/>
      <c r="J2975" s="6"/>
      <c r="K2975" s="6"/>
      <c r="L2975" s="6"/>
      <c r="M2975" s="6"/>
      <c r="N2975" s="6"/>
      <c r="O2975" s="6"/>
      <c r="P2975" s="6"/>
      <c r="Q2975" s="6"/>
      <c r="R2975" s="6"/>
      <c r="S2975" s="6"/>
      <c r="T2975" s="6"/>
      <c r="U2975" s="6"/>
      <c r="V2975" s="6"/>
      <c r="W2975" s="6"/>
      <c r="X2975" s="6"/>
      <c r="Y2975" s="6"/>
      <c r="Z2975" s="6"/>
    </row>
    <row r="2976" customFormat="false" ht="15" hidden="false" customHeight="false" outlineLevel="0" collapsed="false">
      <c r="A2976" s="9" t="s">
        <v>8819</v>
      </c>
      <c r="B2976" s="9" t="s">
        <v>5870</v>
      </c>
      <c r="C2976" s="9" t="s">
        <v>3224</v>
      </c>
      <c r="D2976" s="9" t="s">
        <v>5871</v>
      </c>
      <c r="E2976" s="9" t="str">
        <f aca="false">IF(AND('Formation Ledger'!A2955&lt;&gt;"",'Formation Ledger'!V2955=0),"PASS","FAIL")</f>
        <v>PASS</v>
      </c>
      <c r="F2976" s="9" t="s">
        <v>76</v>
      </c>
      <c r="G2976" s="6"/>
      <c r="H2976" s="6"/>
      <c r="I2976" s="6"/>
      <c r="J2976" s="6"/>
      <c r="K2976" s="6"/>
      <c r="L2976" s="6"/>
      <c r="M2976" s="6"/>
      <c r="N2976" s="6"/>
      <c r="O2976" s="6"/>
      <c r="P2976" s="6"/>
      <c r="Q2976" s="6"/>
      <c r="R2976" s="6"/>
      <c r="S2976" s="6"/>
      <c r="T2976" s="6"/>
      <c r="U2976" s="6"/>
      <c r="V2976" s="6"/>
      <c r="W2976" s="6"/>
      <c r="X2976" s="6"/>
      <c r="Y2976" s="6"/>
      <c r="Z2976" s="6"/>
    </row>
    <row r="2977" customFormat="false" ht="15" hidden="false" customHeight="false" outlineLevel="0" collapsed="false">
      <c r="A2977" s="9" t="s">
        <v>8820</v>
      </c>
      <c r="B2977" s="9" t="s">
        <v>5870</v>
      </c>
      <c r="C2977" s="9" t="s">
        <v>3225</v>
      </c>
      <c r="D2977" s="9" t="s">
        <v>5871</v>
      </c>
      <c r="E2977" s="9" t="str">
        <f aca="false">IF(AND('Formation Ledger'!A2956&lt;&gt;"",'Formation Ledger'!V2956=0),"PASS","FAIL")</f>
        <v>PASS</v>
      </c>
      <c r="F2977" s="9" t="s">
        <v>76</v>
      </c>
      <c r="G2977" s="6"/>
      <c r="H2977" s="6"/>
      <c r="I2977" s="6"/>
      <c r="J2977" s="6"/>
      <c r="K2977" s="6"/>
      <c r="L2977" s="6"/>
      <c r="M2977" s="6"/>
      <c r="N2977" s="6"/>
      <c r="O2977" s="6"/>
      <c r="P2977" s="6"/>
      <c r="Q2977" s="6"/>
      <c r="R2977" s="6"/>
      <c r="S2977" s="6"/>
      <c r="T2977" s="6"/>
      <c r="U2977" s="6"/>
      <c r="V2977" s="6"/>
      <c r="W2977" s="6"/>
      <c r="X2977" s="6"/>
      <c r="Y2977" s="6"/>
      <c r="Z2977" s="6"/>
    </row>
    <row r="2978" customFormat="false" ht="15" hidden="false" customHeight="false" outlineLevel="0" collapsed="false">
      <c r="A2978" s="9" t="s">
        <v>8821</v>
      </c>
      <c r="B2978" s="9" t="s">
        <v>5870</v>
      </c>
      <c r="C2978" s="9" t="s">
        <v>3226</v>
      </c>
      <c r="D2978" s="9" t="s">
        <v>5871</v>
      </c>
      <c r="E2978" s="9" t="str">
        <f aca="false">IF(AND('Formation Ledger'!A2957&lt;&gt;"",'Formation Ledger'!V2957=0),"PASS","FAIL")</f>
        <v>PASS</v>
      </c>
      <c r="F2978" s="9" t="s">
        <v>76</v>
      </c>
      <c r="G2978" s="6"/>
      <c r="H2978" s="6"/>
      <c r="I2978" s="6"/>
      <c r="J2978" s="6"/>
      <c r="K2978" s="6"/>
      <c r="L2978" s="6"/>
      <c r="M2978" s="6"/>
      <c r="N2978" s="6"/>
      <c r="O2978" s="6"/>
      <c r="P2978" s="6"/>
      <c r="Q2978" s="6"/>
      <c r="R2978" s="6"/>
      <c r="S2978" s="6"/>
      <c r="T2978" s="6"/>
      <c r="U2978" s="6"/>
      <c r="V2978" s="6"/>
      <c r="W2978" s="6"/>
      <c r="X2978" s="6"/>
      <c r="Y2978" s="6"/>
      <c r="Z2978" s="6"/>
    </row>
    <row r="2979" customFormat="false" ht="15" hidden="false" customHeight="false" outlineLevel="0" collapsed="false">
      <c r="A2979" s="9" t="s">
        <v>8822</v>
      </c>
      <c r="B2979" s="9" t="s">
        <v>5870</v>
      </c>
      <c r="C2979" s="9" t="s">
        <v>3227</v>
      </c>
      <c r="D2979" s="9" t="s">
        <v>5871</v>
      </c>
      <c r="E2979" s="9" t="str">
        <f aca="false">IF(AND('Formation Ledger'!A2958&lt;&gt;"",'Formation Ledger'!V2958=0),"PASS","FAIL")</f>
        <v>PASS</v>
      </c>
      <c r="F2979" s="9" t="s">
        <v>76</v>
      </c>
      <c r="G2979" s="6"/>
      <c r="H2979" s="6"/>
      <c r="I2979" s="6"/>
      <c r="J2979" s="6"/>
      <c r="K2979" s="6"/>
      <c r="L2979" s="6"/>
      <c r="M2979" s="6"/>
      <c r="N2979" s="6"/>
      <c r="O2979" s="6"/>
      <c r="P2979" s="6"/>
      <c r="Q2979" s="6"/>
      <c r="R2979" s="6"/>
      <c r="S2979" s="6"/>
      <c r="T2979" s="6"/>
      <c r="U2979" s="6"/>
      <c r="V2979" s="6"/>
      <c r="W2979" s="6"/>
      <c r="X2979" s="6"/>
      <c r="Y2979" s="6"/>
      <c r="Z2979" s="6"/>
    </row>
    <row r="2980" customFormat="false" ht="15" hidden="false" customHeight="false" outlineLevel="0" collapsed="false">
      <c r="A2980" s="9" t="s">
        <v>8823</v>
      </c>
      <c r="B2980" s="9" t="s">
        <v>5870</v>
      </c>
      <c r="C2980" s="9" t="s">
        <v>3228</v>
      </c>
      <c r="D2980" s="9" t="s">
        <v>5871</v>
      </c>
      <c r="E2980" s="9" t="str">
        <f aca="false">IF(AND('Formation Ledger'!A2959&lt;&gt;"",'Formation Ledger'!V2959=0),"PASS","FAIL")</f>
        <v>PASS</v>
      </c>
      <c r="F2980" s="9" t="s">
        <v>76</v>
      </c>
      <c r="G2980" s="6"/>
      <c r="H2980" s="6"/>
      <c r="I2980" s="6"/>
      <c r="J2980" s="6"/>
      <c r="K2980" s="6"/>
      <c r="L2980" s="6"/>
      <c r="M2980" s="6"/>
      <c r="N2980" s="6"/>
      <c r="O2980" s="6"/>
      <c r="P2980" s="6"/>
      <c r="Q2980" s="6"/>
      <c r="R2980" s="6"/>
      <c r="S2980" s="6"/>
      <c r="T2980" s="6"/>
      <c r="U2980" s="6"/>
      <c r="V2980" s="6"/>
      <c r="W2980" s="6"/>
      <c r="X2980" s="6"/>
      <c r="Y2980" s="6"/>
      <c r="Z2980" s="6"/>
    </row>
    <row r="2981" customFormat="false" ht="15" hidden="false" customHeight="false" outlineLevel="0" collapsed="false">
      <c r="A2981" s="9" t="s">
        <v>8824</v>
      </c>
      <c r="B2981" s="9" t="s">
        <v>5870</v>
      </c>
      <c r="C2981" s="9" t="s">
        <v>3229</v>
      </c>
      <c r="D2981" s="9" t="s">
        <v>5871</v>
      </c>
      <c r="E2981" s="9" t="str">
        <f aca="false">IF(AND('Formation Ledger'!A2960&lt;&gt;"",'Formation Ledger'!V2960=0),"PASS","FAIL")</f>
        <v>PASS</v>
      </c>
      <c r="F2981" s="9" t="s">
        <v>76</v>
      </c>
      <c r="G2981" s="6"/>
      <c r="H2981" s="6"/>
      <c r="I2981" s="6"/>
      <c r="J2981" s="6"/>
      <c r="K2981" s="6"/>
      <c r="L2981" s="6"/>
      <c r="M2981" s="6"/>
      <c r="N2981" s="6"/>
      <c r="O2981" s="6"/>
      <c r="P2981" s="6"/>
      <c r="Q2981" s="6"/>
      <c r="R2981" s="6"/>
      <c r="S2981" s="6"/>
      <c r="T2981" s="6"/>
      <c r="U2981" s="6"/>
      <c r="V2981" s="6"/>
      <c r="W2981" s="6"/>
      <c r="X2981" s="6"/>
      <c r="Y2981" s="6"/>
      <c r="Z2981" s="6"/>
    </row>
    <row r="2982" customFormat="false" ht="15" hidden="false" customHeight="false" outlineLevel="0" collapsed="false">
      <c r="A2982" s="9" t="s">
        <v>8825</v>
      </c>
      <c r="B2982" s="9" t="s">
        <v>5870</v>
      </c>
      <c r="C2982" s="9" t="s">
        <v>3230</v>
      </c>
      <c r="D2982" s="9" t="s">
        <v>5871</v>
      </c>
      <c r="E2982" s="9" t="str">
        <f aca="false">IF(AND('Formation Ledger'!A2961&lt;&gt;"",'Formation Ledger'!V2961=0),"PASS","FAIL")</f>
        <v>PASS</v>
      </c>
      <c r="F2982" s="9" t="s">
        <v>76</v>
      </c>
      <c r="G2982" s="6"/>
      <c r="H2982" s="6"/>
      <c r="I2982" s="6"/>
      <c r="J2982" s="6"/>
      <c r="K2982" s="6"/>
      <c r="L2982" s="6"/>
      <c r="M2982" s="6"/>
      <c r="N2982" s="6"/>
      <c r="O2982" s="6"/>
      <c r="P2982" s="6"/>
      <c r="Q2982" s="6"/>
      <c r="R2982" s="6"/>
      <c r="S2982" s="6"/>
      <c r="T2982" s="6"/>
      <c r="U2982" s="6"/>
      <c r="V2982" s="6"/>
      <c r="W2982" s="6"/>
      <c r="X2982" s="6"/>
      <c r="Y2982" s="6"/>
      <c r="Z2982" s="6"/>
    </row>
    <row r="2983" customFormat="false" ht="15" hidden="false" customHeight="false" outlineLevel="0" collapsed="false">
      <c r="A2983" s="9" t="s">
        <v>8826</v>
      </c>
      <c r="B2983" s="9" t="s">
        <v>5870</v>
      </c>
      <c r="C2983" s="9" t="s">
        <v>3231</v>
      </c>
      <c r="D2983" s="9" t="s">
        <v>5871</v>
      </c>
      <c r="E2983" s="9" t="str">
        <f aca="false">IF(AND('Formation Ledger'!A2962&lt;&gt;"",'Formation Ledger'!V2962=0),"PASS","FAIL")</f>
        <v>PASS</v>
      </c>
      <c r="F2983" s="9" t="s">
        <v>76</v>
      </c>
      <c r="G2983" s="6"/>
      <c r="H2983" s="6"/>
      <c r="I2983" s="6"/>
      <c r="J2983" s="6"/>
      <c r="K2983" s="6"/>
      <c r="L2983" s="6"/>
      <c r="M2983" s="6"/>
      <c r="N2983" s="6"/>
      <c r="O2983" s="6"/>
      <c r="P2983" s="6"/>
      <c r="Q2983" s="6"/>
      <c r="R2983" s="6"/>
      <c r="S2983" s="6"/>
      <c r="T2983" s="6"/>
      <c r="U2983" s="6"/>
      <c r="V2983" s="6"/>
      <c r="W2983" s="6"/>
      <c r="X2983" s="6"/>
      <c r="Y2983" s="6"/>
      <c r="Z2983" s="6"/>
    </row>
    <row r="2984" customFormat="false" ht="15" hidden="false" customHeight="false" outlineLevel="0" collapsed="false">
      <c r="A2984" s="9" t="s">
        <v>8827</v>
      </c>
      <c r="B2984" s="9" t="s">
        <v>5870</v>
      </c>
      <c r="C2984" s="9" t="s">
        <v>3232</v>
      </c>
      <c r="D2984" s="9" t="s">
        <v>5871</v>
      </c>
      <c r="E2984" s="9" t="str">
        <f aca="false">IF(AND('Formation Ledger'!A2963&lt;&gt;"",'Formation Ledger'!V2963=0),"PASS","FAIL")</f>
        <v>PASS</v>
      </c>
      <c r="F2984" s="9" t="s">
        <v>76</v>
      </c>
      <c r="G2984" s="6"/>
      <c r="H2984" s="6"/>
      <c r="I2984" s="6"/>
      <c r="J2984" s="6"/>
      <c r="K2984" s="6"/>
      <c r="L2984" s="6"/>
      <c r="M2984" s="6"/>
      <c r="N2984" s="6"/>
      <c r="O2984" s="6"/>
      <c r="P2984" s="6"/>
      <c r="Q2984" s="6"/>
      <c r="R2984" s="6"/>
      <c r="S2984" s="6"/>
      <c r="T2984" s="6"/>
      <c r="U2984" s="6"/>
      <c r="V2984" s="6"/>
      <c r="W2984" s="6"/>
      <c r="X2984" s="6"/>
      <c r="Y2984" s="6"/>
      <c r="Z2984" s="6"/>
    </row>
    <row r="2985" customFormat="false" ht="15" hidden="false" customHeight="false" outlineLevel="0" collapsed="false">
      <c r="A2985" s="9" t="s">
        <v>8828</v>
      </c>
      <c r="B2985" s="9" t="s">
        <v>5870</v>
      </c>
      <c r="C2985" s="9" t="s">
        <v>3233</v>
      </c>
      <c r="D2985" s="9" t="s">
        <v>5871</v>
      </c>
      <c r="E2985" s="9" t="str">
        <f aca="false">IF(AND('Formation Ledger'!A2964&lt;&gt;"",'Formation Ledger'!V2964=0),"PASS","FAIL")</f>
        <v>PASS</v>
      </c>
      <c r="F2985" s="9" t="s">
        <v>76</v>
      </c>
      <c r="G2985" s="6"/>
      <c r="H2985" s="6"/>
      <c r="I2985" s="6"/>
      <c r="J2985" s="6"/>
      <c r="K2985" s="6"/>
      <c r="L2985" s="6"/>
      <c r="M2985" s="6"/>
      <c r="N2985" s="6"/>
      <c r="O2985" s="6"/>
      <c r="P2985" s="6"/>
      <c r="Q2985" s="6"/>
      <c r="R2985" s="6"/>
      <c r="S2985" s="6"/>
      <c r="T2985" s="6"/>
      <c r="U2985" s="6"/>
      <c r="V2985" s="6"/>
      <c r="W2985" s="6"/>
      <c r="X2985" s="6"/>
      <c r="Y2985" s="6"/>
      <c r="Z2985" s="6"/>
    </row>
    <row r="2986" customFormat="false" ht="15" hidden="false" customHeight="false" outlineLevel="0" collapsed="false">
      <c r="A2986" s="9" t="s">
        <v>8829</v>
      </c>
      <c r="B2986" s="9" t="s">
        <v>5870</v>
      </c>
      <c r="C2986" s="9" t="s">
        <v>3234</v>
      </c>
      <c r="D2986" s="9" t="s">
        <v>5871</v>
      </c>
      <c r="E2986" s="9" t="str">
        <f aca="false">IF(AND('Formation Ledger'!A2965&lt;&gt;"",'Formation Ledger'!V2965=0),"PASS","FAIL")</f>
        <v>PASS</v>
      </c>
      <c r="F2986" s="9" t="s">
        <v>76</v>
      </c>
      <c r="G2986" s="6"/>
      <c r="H2986" s="6"/>
      <c r="I2986" s="6"/>
      <c r="J2986" s="6"/>
      <c r="K2986" s="6"/>
      <c r="L2986" s="6"/>
      <c r="M2986" s="6"/>
      <c r="N2986" s="6"/>
      <c r="O2986" s="6"/>
      <c r="P2986" s="6"/>
      <c r="Q2986" s="6"/>
      <c r="R2986" s="6"/>
      <c r="S2986" s="6"/>
      <c r="T2986" s="6"/>
      <c r="U2986" s="6"/>
      <c r="V2986" s="6"/>
      <c r="W2986" s="6"/>
      <c r="X2986" s="6"/>
      <c r="Y2986" s="6"/>
      <c r="Z2986" s="6"/>
    </row>
    <row r="2987" customFormat="false" ht="15" hidden="false" customHeight="false" outlineLevel="0" collapsed="false">
      <c r="A2987" s="9" t="s">
        <v>8830</v>
      </c>
      <c r="B2987" s="9" t="s">
        <v>5870</v>
      </c>
      <c r="C2987" s="9" t="s">
        <v>3235</v>
      </c>
      <c r="D2987" s="9" t="s">
        <v>5871</v>
      </c>
      <c r="E2987" s="9" t="str">
        <f aca="false">IF(AND('Formation Ledger'!A2966&lt;&gt;"",'Formation Ledger'!V2966=0),"PASS","FAIL")</f>
        <v>PASS</v>
      </c>
      <c r="F2987" s="9" t="s">
        <v>76</v>
      </c>
      <c r="G2987" s="6"/>
      <c r="H2987" s="6"/>
      <c r="I2987" s="6"/>
      <c r="J2987" s="6"/>
      <c r="K2987" s="6"/>
      <c r="L2987" s="6"/>
      <c r="M2987" s="6"/>
      <c r="N2987" s="6"/>
      <c r="O2987" s="6"/>
      <c r="P2987" s="6"/>
      <c r="Q2987" s="6"/>
      <c r="R2987" s="6"/>
      <c r="S2987" s="6"/>
      <c r="T2987" s="6"/>
      <c r="U2987" s="6"/>
      <c r="V2987" s="6"/>
      <c r="W2987" s="6"/>
      <c r="X2987" s="6"/>
      <c r="Y2987" s="6"/>
      <c r="Z2987" s="6"/>
    </row>
    <row r="2988" customFormat="false" ht="15" hidden="false" customHeight="false" outlineLevel="0" collapsed="false">
      <c r="A2988" s="9" t="s">
        <v>8831</v>
      </c>
      <c r="B2988" s="9" t="s">
        <v>5870</v>
      </c>
      <c r="C2988" s="9" t="s">
        <v>3236</v>
      </c>
      <c r="D2988" s="9" t="s">
        <v>5871</v>
      </c>
      <c r="E2988" s="9" t="str">
        <f aca="false">IF(AND('Formation Ledger'!A2967&lt;&gt;"",'Formation Ledger'!V2967=0),"PASS","FAIL")</f>
        <v>PASS</v>
      </c>
      <c r="F2988" s="9" t="s">
        <v>76</v>
      </c>
      <c r="G2988" s="6"/>
      <c r="H2988" s="6"/>
      <c r="I2988" s="6"/>
      <c r="J2988" s="6"/>
      <c r="K2988" s="6"/>
      <c r="L2988" s="6"/>
      <c r="M2988" s="6"/>
      <c r="N2988" s="6"/>
      <c r="O2988" s="6"/>
      <c r="P2988" s="6"/>
      <c r="Q2988" s="6"/>
      <c r="R2988" s="6"/>
      <c r="S2988" s="6"/>
      <c r="T2988" s="6"/>
      <c r="U2988" s="6"/>
      <c r="V2988" s="6"/>
      <c r="W2988" s="6"/>
      <c r="X2988" s="6"/>
      <c r="Y2988" s="6"/>
      <c r="Z2988" s="6"/>
    </row>
    <row r="2989" customFormat="false" ht="15" hidden="false" customHeight="false" outlineLevel="0" collapsed="false">
      <c r="A2989" s="9" t="s">
        <v>8832</v>
      </c>
      <c r="B2989" s="9" t="s">
        <v>5870</v>
      </c>
      <c r="C2989" s="9" t="s">
        <v>3237</v>
      </c>
      <c r="D2989" s="9" t="s">
        <v>5871</v>
      </c>
      <c r="E2989" s="9" t="str">
        <f aca="false">IF(AND('Formation Ledger'!A2968&lt;&gt;"",'Formation Ledger'!V2968=0),"PASS","FAIL")</f>
        <v>PASS</v>
      </c>
      <c r="F2989" s="9" t="s">
        <v>76</v>
      </c>
      <c r="G2989" s="6"/>
      <c r="H2989" s="6"/>
      <c r="I2989" s="6"/>
      <c r="J2989" s="6"/>
      <c r="K2989" s="6"/>
      <c r="L2989" s="6"/>
      <c r="M2989" s="6"/>
      <c r="N2989" s="6"/>
      <c r="O2989" s="6"/>
      <c r="P2989" s="6"/>
      <c r="Q2989" s="6"/>
      <c r="R2989" s="6"/>
      <c r="S2989" s="6"/>
      <c r="T2989" s="6"/>
      <c r="U2989" s="6"/>
      <c r="V2989" s="6"/>
      <c r="W2989" s="6"/>
      <c r="X2989" s="6"/>
      <c r="Y2989" s="6"/>
      <c r="Z2989" s="6"/>
    </row>
    <row r="2990" customFormat="false" ht="15" hidden="false" customHeight="false" outlineLevel="0" collapsed="false">
      <c r="A2990" s="9" t="s">
        <v>8833</v>
      </c>
      <c r="B2990" s="9" t="s">
        <v>5870</v>
      </c>
      <c r="C2990" s="9" t="s">
        <v>3238</v>
      </c>
      <c r="D2990" s="9" t="s">
        <v>5871</v>
      </c>
      <c r="E2990" s="9" t="str">
        <f aca="false">IF(AND('Formation Ledger'!A2969&lt;&gt;"",'Formation Ledger'!V2969=0),"PASS","FAIL")</f>
        <v>PASS</v>
      </c>
      <c r="F2990" s="9" t="s">
        <v>76</v>
      </c>
      <c r="G2990" s="6"/>
      <c r="H2990" s="6"/>
      <c r="I2990" s="6"/>
      <c r="J2990" s="6"/>
      <c r="K2990" s="6"/>
      <c r="L2990" s="6"/>
      <c r="M2990" s="6"/>
      <c r="N2990" s="6"/>
      <c r="O2990" s="6"/>
      <c r="P2990" s="6"/>
      <c r="Q2990" s="6"/>
      <c r="R2990" s="6"/>
      <c r="S2990" s="6"/>
      <c r="T2990" s="6"/>
      <c r="U2990" s="6"/>
      <c r="V2990" s="6"/>
      <c r="W2990" s="6"/>
      <c r="X2990" s="6"/>
      <c r="Y2990" s="6"/>
      <c r="Z2990" s="6"/>
    </row>
    <row r="2991" customFormat="false" ht="15" hidden="false" customHeight="false" outlineLevel="0" collapsed="false">
      <c r="A2991" s="9" t="s">
        <v>8834</v>
      </c>
      <c r="B2991" s="9" t="s">
        <v>5870</v>
      </c>
      <c r="C2991" s="9" t="s">
        <v>3239</v>
      </c>
      <c r="D2991" s="9" t="s">
        <v>5871</v>
      </c>
      <c r="E2991" s="9" t="str">
        <f aca="false">IF(AND('Formation Ledger'!A2970&lt;&gt;"",'Formation Ledger'!V2970=0),"PASS","FAIL")</f>
        <v>PASS</v>
      </c>
      <c r="F2991" s="9" t="s">
        <v>76</v>
      </c>
      <c r="G2991" s="6"/>
      <c r="H2991" s="6"/>
      <c r="I2991" s="6"/>
      <c r="J2991" s="6"/>
      <c r="K2991" s="6"/>
      <c r="L2991" s="6"/>
      <c r="M2991" s="6"/>
      <c r="N2991" s="6"/>
      <c r="O2991" s="6"/>
      <c r="P2991" s="6"/>
      <c r="Q2991" s="6"/>
      <c r="R2991" s="6"/>
      <c r="S2991" s="6"/>
      <c r="T2991" s="6"/>
      <c r="U2991" s="6"/>
      <c r="V2991" s="6"/>
      <c r="W2991" s="6"/>
      <c r="X2991" s="6"/>
      <c r="Y2991" s="6"/>
      <c r="Z2991" s="6"/>
    </row>
    <row r="2992" customFormat="false" ht="15" hidden="false" customHeight="false" outlineLevel="0" collapsed="false">
      <c r="A2992" s="9" t="s">
        <v>8835</v>
      </c>
      <c r="B2992" s="9" t="s">
        <v>5870</v>
      </c>
      <c r="C2992" s="9" t="s">
        <v>3240</v>
      </c>
      <c r="D2992" s="9" t="s">
        <v>5871</v>
      </c>
      <c r="E2992" s="9" t="str">
        <f aca="false">IF(AND('Formation Ledger'!A2971&lt;&gt;"",'Formation Ledger'!V2971=0),"PASS","FAIL")</f>
        <v>PASS</v>
      </c>
      <c r="F2992" s="9" t="s">
        <v>76</v>
      </c>
      <c r="G2992" s="6"/>
      <c r="H2992" s="6"/>
      <c r="I2992" s="6"/>
      <c r="J2992" s="6"/>
      <c r="K2992" s="6"/>
      <c r="L2992" s="6"/>
      <c r="M2992" s="6"/>
      <c r="N2992" s="6"/>
      <c r="O2992" s="6"/>
      <c r="P2992" s="6"/>
      <c r="Q2992" s="6"/>
      <c r="R2992" s="6"/>
      <c r="S2992" s="6"/>
      <c r="T2992" s="6"/>
      <c r="U2992" s="6"/>
      <c r="V2992" s="6"/>
      <c r="W2992" s="6"/>
      <c r="X2992" s="6"/>
      <c r="Y2992" s="6"/>
      <c r="Z2992" s="6"/>
    </row>
    <row r="2993" customFormat="false" ht="15" hidden="false" customHeight="false" outlineLevel="0" collapsed="false">
      <c r="A2993" s="9" t="s">
        <v>8836</v>
      </c>
      <c r="B2993" s="9" t="s">
        <v>5870</v>
      </c>
      <c r="C2993" s="9" t="s">
        <v>3241</v>
      </c>
      <c r="D2993" s="9" t="s">
        <v>5871</v>
      </c>
      <c r="E2993" s="9" t="str">
        <f aca="false">IF(AND('Formation Ledger'!A2972&lt;&gt;"",'Formation Ledger'!V2972=0),"PASS","FAIL")</f>
        <v>PASS</v>
      </c>
      <c r="F2993" s="9" t="s">
        <v>76</v>
      </c>
      <c r="G2993" s="6"/>
      <c r="H2993" s="6"/>
      <c r="I2993" s="6"/>
      <c r="J2993" s="6"/>
      <c r="K2993" s="6"/>
      <c r="L2993" s="6"/>
      <c r="M2993" s="6"/>
      <c r="N2993" s="6"/>
      <c r="O2993" s="6"/>
      <c r="P2993" s="6"/>
      <c r="Q2993" s="6"/>
      <c r="R2993" s="6"/>
      <c r="S2993" s="6"/>
      <c r="T2993" s="6"/>
      <c r="U2993" s="6"/>
      <c r="V2993" s="6"/>
      <c r="W2993" s="6"/>
      <c r="X2993" s="6"/>
      <c r="Y2993" s="6"/>
      <c r="Z2993" s="6"/>
    </row>
    <row r="2994" customFormat="false" ht="15" hidden="false" customHeight="false" outlineLevel="0" collapsed="false">
      <c r="A2994" s="9" t="s">
        <v>8837</v>
      </c>
      <c r="B2994" s="9" t="s">
        <v>5870</v>
      </c>
      <c r="C2994" s="9" t="s">
        <v>3242</v>
      </c>
      <c r="D2994" s="9" t="s">
        <v>5871</v>
      </c>
      <c r="E2994" s="9" t="str">
        <f aca="false">IF(AND('Formation Ledger'!A2973&lt;&gt;"",'Formation Ledger'!V2973=0),"PASS","FAIL")</f>
        <v>PASS</v>
      </c>
      <c r="F2994" s="9" t="s">
        <v>76</v>
      </c>
      <c r="G2994" s="6"/>
      <c r="H2994" s="6"/>
      <c r="I2994" s="6"/>
      <c r="J2994" s="6"/>
      <c r="K2994" s="6"/>
      <c r="L2994" s="6"/>
      <c r="M2994" s="6"/>
      <c r="N2994" s="6"/>
      <c r="O2994" s="6"/>
      <c r="P2994" s="6"/>
      <c r="Q2994" s="6"/>
      <c r="R2994" s="6"/>
      <c r="S2994" s="6"/>
      <c r="T2994" s="6"/>
      <c r="U2994" s="6"/>
      <c r="V2994" s="6"/>
      <c r="W2994" s="6"/>
      <c r="X2994" s="6"/>
      <c r="Y2994" s="6"/>
      <c r="Z2994" s="6"/>
    </row>
    <row r="2995" customFormat="false" ht="15" hidden="false" customHeight="false" outlineLevel="0" collapsed="false">
      <c r="A2995" s="9" t="s">
        <v>8838</v>
      </c>
      <c r="B2995" s="9" t="s">
        <v>5870</v>
      </c>
      <c r="C2995" s="9" t="s">
        <v>3243</v>
      </c>
      <c r="D2995" s="9" t="s">
        <v>5871</v>
      </c>
      <c r="E2995" s="9" t="str">
        <f aca="false">IF(AND('Formation Ledger'!A2974&lt;&gt;"",'Formation Ledger'!V2974=0),"PASS","FAIL")</f>
        <v>PASS</v>
      </c>
      <c r="F2995" s="9" t="s">
        <v>76</v>
      </c>
      <c r="G2995" s="6"/>
      <c r="H2995" s="6"/>
      <c r="I2995" s="6"/>
      <c r="J2995" s="6"/>
      <c r="K2995" s="6"/>
      <c r="L2995" s="6"/>
      <c r="M2995" s="6"/>
      <c r="N2995" s="6"/>
      <c r="O2995" s="6"/>
      <c r="P2995" s="6"/>
      <c r="Q2995" s="6"/>
      <c r="R2995" s="6"/>
      <c r="S2995" s="6"/>
      <c r="T2995" s="6"/>
      <c r="U2995" s="6"/>
      <c r="V2995" s="6"/>
      <c r="W2995" s="6"/>
      <c r="X2995" s="6"/>
      <c r="Y2995" s="6"/>
      <c r="Z2995" s="6"/>
    </row>
    <row r="2996" customFormat="false" ht="15" hidden="false" customHeight="false" outlineLevel="0" collapsed="false">
      <c r="A2996" s="9" t="s">
        <v>8839</v>
      </c>
      <c r="B2996" s="9" t="s">
        <v>5870</v>
      </c>
      <c r="C2996" s="9" t="s">
        <v>3244</v>
      </c>
      <c r="D2996" s="9" t="s">
        <v>5871</v>
      </c>
      <c r="E2996" s="9" t="str">
        <f aca="false">IF(AND('Formation Ledger'!A2975&lt;&gt;"",'Formation Ledger'!V2975=0),"PASS","FAIL")</f>
        <v>PASS</v>
      </c>
      <c r="F2996" s="9" t="s">
        <v>76</v>
      </c>
      <c r="G2996" s="6"/>
      <c r="H2996" s="6"/>
      <c r="I2996" s="6"/>
      <c r="J2996" s="6"/>
      <c r="K2996" s="6"/>
      <c r="L2996" s="6"/>
      <c r="M2996" s="6"/>
      <c r="N2996" s="6"/>
      <c r="O2996" s="6"/>
      <c r="P2996" s="6"/>
      <c r="Q2996" s="6"/>
      <c r="R2996" s="6"/>
      <c r="S2996" s="6"/>
      <c r="T2996" s="6"/>
      <c r="U2996" s="6"/>
      <c r="V2996" s="6"/>
      <c r="W2996" s="6"/>
      <c r="X2996" s="6"/>
      <c r="Y2996" s="6"/>
      <c r="Z2996" s="6"/>
    </row>
    <row r="2997" customFormat="false" ht="15" hidden="false" customHeight="false" outlineLevel="0" collapsed="false">
      <c r="A2997" s="9" t="s">
        <v>8840</v>
      </c>
      <c r="B2997" s="9" t="s">
        <v>5870</v>
      </c>
      <c r="C2997" s="9" t="s">
        <v>3245</v>
      </c>
      <c r="D2997" s="9" t="s">
        <v>5871</v>
      </c>
      <c r="E2997" s="9" t="str">
        <f aca="false">IF(AND('Formation Ledger'!A2976&lt;&gt;"",'Formation Ledger'!V2976=0),"PASS","FAIL")</f>
        <v>PASS</v>
      </c>
      <c r="F2997" s="9" t="s">
        <v>76</v>
      </c>
      <c r="G2997" s="6"/>
      <c r="H2997" s="6"/>
      <c r="I2997" s="6"/>
      <c r="J2997" s="6"/>
      <c r="K2997" s="6"/>
      <c r="L2997" s="6"/>
      <c r="M2997" s="6"/>
      <c r="N2997" s="6"/>
      <c r="O2997" s="6"/>
      <c r="P2997" s="6"/>
      <c r="Q2997" s="6"/>
      <c r="R2997" s="6"/>
      <c r="S2997" s="6"/>
      <c r="T2997" s="6"/>
      <c r="U2997" s="6"/>
      <c r="V2997" s="6"/>
      <c r="W2997" s="6"/>
      <c r="X2997" s="6"/>
      <c r="Y2997" s="6"/>
      <c r="Z2997" s="6"/>
    </row>
    <row r="2998" customFormat="false" ht="15" hidden="false" customHeight="false" outlineLevel="0" collapsed="false">
      <c r="A2998" s="9" t="s">
        <v>8841</v>
      </c>
      <c r="B2998" s="9" t="s">
        <v>5870</v>
      </c>
      <c r="C2998" s="9" t="s">
        <v>3246</v>
      </c>
      <c r="D2998" s="9" t="s">
        <v>5871</v>
      </c>
      <c r="E2998" s="9" t="str">
        <f aca="false">IF(AND('Formation Ledger'!A2977&lt;&gt;"",'Formation Ledger'!V2977=0),"PASS","FAIL")</f>
        <v>PASS</v>
      </c>
      <c r="F2998" s="9" t="s">
        <v>76</v>
      </c>
      <c r="G2998" s="6"/>
      <c r="H2998" s="6"/>
      <c r="I2998" s="6"/>
      <c r="J2998" s="6"/>
      <c r="K2998" s="6"/>
      <c r="L2998" s="6"/>
      <c r="M2998" s="6"/>
      <c r="N2998" s="6"/>
      <c r="O2998" s="6"/>
      <c r="P2998" s="6"/>
      <c r="Q2998" s="6"/>
      <c r="R2998" s="6"/>
      <c r="S2998" s="6"/>
      <c r="T2998" s="6"/>
      <c r="U2998" s="6"/>
      <c r="V2998" s="6"/>
      <c r="W2998" s="6"/>
      <c r="X2998" s="6"/>
      <c r="Y2998" s="6"/>
      <c r="Z2998" s="6"/>
    </row>
    <row r="2999" customFormat="false" ht="15" hidden="false" customHeight="false" outlineLevel="0" collapsed="false">
      <c r="A2999" s="9" t="s">
        <v>8842</v>
      </c>
      <c r="B2999" s="9" t="s">
        <v>5870</v>
      </c>
      <c r="C2999" s="9" t="s">
        <v>3247</v>
      </c>
      <c r="D2999" s="9" t="s">
        <v>5871</v>
      </c>
      <c r="E2999" s="9" t="str">
        <f aca="false">IF(AND('Formation Ledger'!A2978&lt;&gt;"",'Formation Ledger'!V2978=0),"PASS","FAIL")</f>
        <v>PASS</v>
      </c>
      <c r="F2999" s="9" t="s">
        <v>76</v>
      </c>
      <c r="G2999" s="6"/>
      <c r="H2999" s="6"/>
      <c r="I2999" s="6"/>
      <c r="J2999" s="6"/>
      <c r="K2999" s="6"/>
      <c r="L2999" s="6"/>
      <c r="M2999" s="6"/>
      <c r="N2999" s="6"/>
      <c r="O2999" s="6"/>
      <c r="P2999" s="6"/>
      <c r="Q2999" s="6"/>
      <c r="R2999" s="6"/>
      <c r="S2999" s="6"/>
      <c r="T2999" s="6"/>
      <c r="U2999" s="6"/>
      <c r="V2999" s="6"/>
      <c r="W2999" s="6"/>
      <c r="X2999" s="6"/>
      <c r="Y2999" s="6"/>
      <c r="Z2999" s="6"/>
    </row>
    <row r="3000" customFormat="false" ht="15" hidden="false" customHeight="false" outlineLevel="0" collapsed="false">
      <c r="A3000" s="9" t="s">
        <v>8843</v>
      </c>
      <c r="B3000" s="9" t="s">
        <v>5870</v>
      </c>
      <c r="C3000" s="9" t="s">
        <v>3248</v>
      </c>
      <c r="D3000" s="9" t="s">
        <v>5871</v>
      </c>
      <c r="E3000" s="9" t="str">
        <f aca="false">IF(AND('Formation Ledger'!A2979&lt;&gt;"",'Formation Ledger'!V2979=0),"PASS","FAIL")</f>
        <v>PASS</v>
      </c>
      <c r="F3000" s="9" t="s">
        <v>76</v>
      </c>
      <c r="G3000" s="6"/>
      <c r="H3000" s="6"/>
      <c r="I3000" s="6"/>
      <c r="J3000" s="6"/>
      <c r="K3000" s="6"/>
      <c r="L3000" s="6"/>
      <c r="M3000" s="6"/>
      <c r="N3000" s="6"/>
      <c r="O3000" s="6"/>
      <c r="P3000" s="6"/>
      <c r="Q3000" s="6"/>
      <c r="R3000" s="6"/>
      <c r="S3000" s="6"/>
      <c r="T3000" s="6"/>
      <c r="U3000" s="6"/>
      <c r="V3000" s="6"/>
      <c r="W3000" s="6"/>
      <c r="X3000" s="6"/>
      <c r="Y3000" s="6"/>
      <c r="Z3000" s="6"/>
    </row>
    <row r="3001" customFormat="false" ht="15" hidden="false" customHeight="false" outlineLevel="0" collapsed="false">
      <c r="A3001" s="9" t="s">
        <v>8844</v>
      </c>
      <c r="B3001" s="9" t="s">
        <v>5870</v>
      </c>
      <c r="C3001" s="9" t="s">
        <v>3249</v>
      </c>
      <c r="D3001" s="9" t="s">
        <v>5871</v>
      </c>
      <c r="E3001" s="9" t="str">
        <f aca="false">IF(AND('Formation Ledger'!A2980&lt;&gt;"",'Formation Ledger'!V2980=0),"PASS","FAIL")</f>
        <v>PASS</v>
      </c>
      <c r="F3001" s="9" t="s">
        <v>76</v>
      </c>
      <c r="G3001" s="6"/>
      <c r="H3001" s="6"/>
      <c r="I3001" s="6"/>
      <c r="J3001" s="6"/>
      <c r="K3001" s="6"/>
      <c r="L3001" s="6"/>
      <c r="M3001" s="6"/>
      <c r="N3001" s="6"/>
      <c r="O3001" s="6"/>
      <c r="P3001" s="6"/>
      <c r="Q3001" s="6"/>
      <c r="R3001" s="6"/>
      <c r="S3001" s="6"/>
      <c r="T3001" s="6"/>
      <c r="U3001" s="6"/>
      <c r="V3001" s="6"/>
      <c r="W3001" s="6"/>
      <c r="X3001" s="6"/>
      <c r="Y3001" s="6"/>
      <c r="Z3001" s="6"/>
    </row>
    <row r="3002" customFormat="false" ht="15" hidden="false" customHeight="false" outlineLevel="0" collapsed="false">
      <c r="A3002" s="9" t="s">
        <v>8845</v>
      </c>
      <c r="B3002" s="9" t="s">
        <v>5870</v>
      </c>
      <c r="C3002" s="9" t="s">
        <v>3250</v>
      </c>
      <c r="D3002" s="9" t="s">
        <v>5871</v>
      </c>
      <c r="E3002" s="9" t="str">
        <f aca="false">IF(AND('Formation Ledger'!A2981&lt;&gt;"",'Formation Ledger'!V2981=0),"PASS","FAIL")</f>
        <v>PASS</v>
      </c>
      <c r="F3002" s="9" t="s">
        <v>76</v>
      </c>
      <c r="G3002" s="6"/>
      <c r="H3002" s="6"/>
      <c r="I3002" s="6"/>
      <c r="J3002" s="6"/>
      <c r="K3002" s="6"/>
      <c r="L3002" s="6"/>
      <c r="M3002" s="6"/>
      <c r="N3002" s="6"/>
      <c r="O3002" s="6"/>
      <c r="P3002" s="6"/>
      <c r="Q3002" s="6"/>
      <c r="R3002" s="6"/>
      <c r="S3002" s="6"/>
      <c r="T3002" s="6"/>
      <c r="U3002" s="6"/>
      <c r="V3002" s="6"/>
      <c r="W3002" s="6"/>
      <c r="X3002" s="6"/>
      <c r="Y3002" s="6"/>
      <c r="Z3002" s="6"/>
    </row>
    <row r="3003" customFormat="false" ht="15" hidden="false" customHeight="false" outlineLevel="0" collapsed="false">
      <c r="A3003" s="9" t="s">
        <v>8846</v>
      </c>
      <c r="B3003" s="9" t="s">
        <v>5870</v>
      </c>
      <c r="C3003" s="9" t="s">
        <v>3251</v>
      </c>
      <c r="D3003" s="9" t="s">
        <v>5871</v>
      </c>
      <c r="E3003" s="9" t="str">
        <f aca="false">IF(AND('Formation Ledger'!A2982&lt;&gt;"",'Formation Ledger'!V2982=0),"PASS","FAIL")</f>
        <v>PASS</v>
      </c>
      <c r="F3003" s="9" t="s">
        <v>76</v>
      </c>
      <c r="G3003" s="6"/>
      <c r="H3003" s="6"/>
      <c r="I3003" s="6"/>
      <c r="J3003" s="6"/>
      <c r="K3003" s="6"/>
      <c r="L3003" s="6"/>
      <c r="M3003" s="6"/>
      <c r="N3003" s="6"/>
      <c r="O3003" s="6"/>
      <c r="P3003" s="6"/>
      <c r="Q3003" s="6"/>
      <c r="R3003" s="6"/>
      <c r="S3003" s="6"/>
      <c r="T3003" s="6"/>
      <c r="U3003" s="6"/>
      <c r="V3003" s="6"/>
      <c r="W3003" s="6"/>
      <c r="X3003" s="6"/>
      <c r="Y3003" s="6"/>
      <c r="Z3003" s="6"/>
    </row>
    <row r="3004" customFormat="false" ht="15" hidden="false" customHeight="false" outlineLevel="0" collapsed="false">
      <c r="A3004" s="9" t="s">
        <v>8847</v>
      </c>
      <c r="B3004" s="9" t="s">
        <v>5870</v>
      </c>
      <c r="C3004" s="9" t="s">
        <v>3252</v>
      </c>
      <c r="D3004" s="9" t="s">
        <v>5871</v>
      </c>
      <c r="E3004" s="9" t="str">
        <f aca="false">IF(AND('Formation Ledger'!A2983&lt;&gt;"",'Formation Ledger'!V2983=0),"PASS","FAIL")</f>
        <v>PASS</v>
      </c>
      <c r="F3004" s="9" t="s">
        <v>76</v>
      </c>
      <c r="G3004" s="6"/>
      <c r="H3004" s="6"/>
      <c r="I3004" s="6"/>
      <c r="J3004" s="6"/>
      <c r="K3004" s="6"/>
      <c r="L3004" s="6"/>
      <c r="M3004" s="6"/>
      <c r="N3004" s="6"/>
      <c r="O3004" s="6"/>
      <c r="P3004" s="6"/>
      <c r="Q3004" s="6"/>
      <c r="R3004" s="6"/>
      <c r="S3004" s="6"/>
      <c r="T3004" s="6"/>
      <c r="U3004" s="6"/>
      <c r="V3004" s="6"/>
      <c r="W3004" s="6"/>
      <c r="X3004" s="6"/>
      <c r="Y3004" s="6"/>
      <c r="Z3004" s="6"/>
    </row>
    <row r="3005" customFormat="false" ht="15" hidden="false" customHeight="false" outlineLevel="0" collapsed="false">
      <c r="A3005" s="9" t="s">
        <v>8848</v>
      </c>
      <c r="B3005" s="9" t="s">
        <v>5870</v>
      </c>
      <c r="C3005" s="9" t="s">
        <v>3253</v>
      </c>
      <c r="D3005" s="9" t="s">
        <v>5871</v>
      </c>
      <c r="E3005" s="9" t="str">
        <f aca="false">IF(AND('Formation Ledger'!A2984&lt;&gt;"",'Formation Ledger'!V2984=0),"PASS","FAIL")</f>
        <v>PASS</v>
      </c>
      <c r="F3005" s="9" t="s">
        <v>76</v>
      </c>
      <c r="G3005" s="6"/>
      <c r="H3005" s="6"/>
      <c r="I3005" s="6"/>
      <c r="J3005" s="6"/>
      <c r="K3005" s="6"/>
      <c r="L3005" s="6"/>
      <c r="M3005" s="6"/>
      <c r="N3005" s="6"/>
      <c r="O3005" s="6"/>
      <c r="P3005" s="6"/>
      <c r="Q3005" s="6"/>
      <c r="R3005" s="6"/>
      <c r="S3005" s="6"/>
      <c r="T3005" s="6"/>
      <c r="U3005" s="6"/>
      <c r="V3005" s="6"/>
      <c r="W3005" s="6"/>
      <c r="X3005" s="6"/>
      <c r="Y3005" s="6"/>
      <c r="Z3005" s="6"/>
    </row>
    <row r="3006" customFormat="false" ht="15" hidden="false" customHeight="false" outlineLevel="0" collapsed="false">
      <c r="A3006" s="9" t="s">
        <v>8849</v>
      </c>
      <c r="B3006" s="9" t="s">
        <v>5870</v>
      </c>
      <c r="C3006" s="9" t="s">
        <v>3254</v>
      </c>
      <c r="D3006" s="9" t="s">
        <v>5871</v>
      </c>
      <c r="E3006" s="9" t="str">
        <f aca="false">IF(AND('Formation Ledger'!A2985&lt;&gt;"",'Formation Ledger'!V2985=0),"PASS","FAIL")</f>
        <v>PASS</v>
      </c>
      <c r="F3006" s="9" t="s">
        <v>76</v>
      </c>
      <c r="G3006" s="6"/>
      <c r="H3006" s="6"/>
      <c r="I3006" s="6"/>
      <c r="J3006" s="6"/>
      <c r="K3006" s="6"/>
      <c r="L3006" s="6"/>
      <c r="M3006" s="6"/>
      <c r="N3006" s="6"/>
      <c r="O3006" s="6"/>
      <c r="P3006" s="6"/>
      <c r="Q3006" s="6"/>
      <c r="R3006" s="6"/>
      <c r="S3006" s="6"/>
      <c r="T3006" s="6"/>
      <c r="U3006" s="6"/>
      <c r="V3006" s="6"/>
      <c r="W3006" s="6"/>
      <c r="X3006" s="6"/>
      <c r="Y3006" s="6"/>
      <c r="Z3006" s="6"/>
    </row>
    <row r="3007" customFormat="false" ht="15" hidden="false" customHeight="false" outlineLevel="0" collapsed="false">
      <c r="A3007" s="9" t="s">
        <v>8850</v>
      </c>
      <c r="B3007" s="9" t="s">
        <v>5870</v>
      </c>
      <c r="C3007" s="9" t="s">
        <v>3255</v>
      </c>
      <c r="D3007" s="9" t="s">
        <v>5871</v>
      </c>
      <c r="E3007" s="9" t="str">
        <f aca="false">IF(AND('Formation Ledger'!A2986&lt;&gt;"",'Formation Ledger'!V2986=0),"PASS","FAIL")</f>
        <v>PASS</v>
      </c>
      <c r="F3007" s="9" t="s">
        <v>76</v>
      </c>
      <c r="G3007" s="6"/>
      <c r="H3007" s="6"/>
      <c r="I3007" s="6"/>
      <c r="J3007" s="6"/>
      <c r="K3007" s="6"/>
      <c r="L3007" s="6"/>
      <c r="M3007" s="6"/>
      <c r="N3007" s="6"/>
      <c r="O3007" s="6"/>
      <c r="P3007" s="6"/>
      <c r="Q3007" s="6"/>
      <c r="R3007" s="6"/>
      <c r="S3007" s="6"/>
      <c r="T3007" s="6"/>
      <c r="U3007" s="6"/>
      <c r="V3007" s="6"/>
      <c r="W3007" s="6"/>
      <c r="X3007" s="6"/>
      <c r="Y3007" s="6"/>
      <c r="Z3007" s="6"/>
    </row>
    <row r="3008" customFormat="false" ht="15" hidden="false" customHeight="false" outlineLevel="0" collapsed="false">
      <c r="A3008" s="9" t="s">
        <v>8851</v>
      </c>
      <c r="B3008" s="9" t="s">
        <v>5870</v>
      </c>
      <c r="C3008" s="9" t="s">
        <v>3256</v>
      </c>
      <c r="D3008" s="9" t="s">
        <v>5871</v>
      </c>
      <c r="E3008" s="9" t="str">
        <f aca="false">IF(AND('Formation Ledger'!A2987&lt;&gt;"",'Formation Ledger'!V2987=0),"PASS","FAIL")</f>
        <v>PASS</v>
      </c>
      <c r="F3008" s="9" t="s">
        <v>76</v>
      </c>
      <c r="G3008" s="6"/>
      <c r="H3008" s="6"/>
      <c r="I3008" s="6"/>
      <c r="J3008" s="6"/>
      <c r="K3008" s="6"/>
      <c r="L3008" s="6"/>
      <c r="M3008" s="6"/>
      <c r="N3008" s="6"/>
      <c r="O3008" s="6"/>
      <c r="P3008" s="6"/>
      <c r="Q3008" s="6"/>
      <c r="R3008" s="6"/>
      <c r="S3008" s="6"/>
      <c r="T3008" s="6"/>
      <c r="U3008" s="6"/>
      <c r="V3008" s="6"/>
      <c r="W3008" s="6"/>
      <c r="X3008" s="6"/>
      <c r="Y3008" s="6"/>
      <c r="Z3008" s="6"/>
    </row>
    <row r="3009" customFormat="false" ht="15" hidden="false" customHeight="false" outlineLevel="0" collapsed="false">
      <c r="A3009" s="9" t="s">
        <v>8852</v>
      </c>
      <c r="B3009" s="9" t="s">
        <v>5870</v>
      </c>
      <c r="C3009" s="9" t="s">
        <v>3257</v>
      </c>
      <c r="D3009" s="9" t="s">
        <v>5871</v>
      </c>
      <c r="E3009" s="9" t="str">
        <f aca="false">IF(AND('Formation Ledger'!A2988&lt;&gt;"",'Formation Ledger'!V2988=0),"PASS","FAIL")</f>
        <v>PASS</v>
      </c>
      <c r="F3009" s="9" t="s">
        <v>76</v>
      </c>
      <c r="G3009" s="6"/>
      <c r="H3009" s="6"/>
      <c r="I3009" s="6"/>
      <c r="J3009" s="6"/>
      <c r="K3009" s="6"/>
      <c r="L3009" s="6"/>
      <c r="M3009" s="6"/>
      <c r="N3009" s="6"/>
      <c r="O3009" s="6"/>
      <c r="P3009" s="6"/>
      <c r="Q3009" s="6"/>
      <c r="R3009" s="6"/>
      <c r="S3009" s="6"/>
      <c r="T3009" s="6"/>
      <c r="U3009" s="6"/>
      <c r="V3009" s="6"/>
      <c r="W3009" s="6"/>
      <c r="X3009" s="6"/>
      <c r="Y3009" s="6"/>
      <c r="Z3009" s="6"/>
    </row>
    <row r="3010" customFormat="false" ht="15" hidden="false" customHeight="false" outlineLevel="0" collapsed="false">
      <c r="A3010" s="9" t="s">
        <v>8853</v>
      </c>
      <c r="B3010" s="9" t="s">
        <v>5870</v>
      </c>
      <c r="C3010" s="9" t="s">
        <v>3258</v>
      </c>
      <c r="D3010" s="9" t="s">
        <v>5871</v>
      </c>
      <c r="E3010" s="9" t="str">
        <f aca="false">IF(AND('Formation Ledger'!A2989&lt;&gt;"",'Formation Ledger'!V2989=0),"PASS","FAIL")</f>
        <v>PASS</v>
      </c>
      <c r="F3010" s="9" t="s">
        <v>76</v>
      </c>
      <c r="G3010" s="6"/>
      <c r="H3010" s="6"/>
      <c r="I3010" s="6"/>
      <c r="J3010" s="6"/>
      <c r="K3010" s="6"/>
      <c r="L3010" s="6"/>
      <c r="M3010" s="6"/>
      <c r="N3010" s="6"/>
      <c r="O3010" s="6"/>
      <c r="P3010" s="6"/>
      <c r="Q3010" s="6"/>
      <c r="R3010" s="6"/>
      <c r="S3010" s="6"/>
      <c r="T3010" s="6"/>
      <c r="U3010" s="6"/>
      <c r="V3010" s="6"/>
      <c r="W3010" s="6"/>
      <c r="X3010" s="6"/>
      <c r="Y3010" s="6"/>
      <c r="Z3010" s="6"/>
    </row>
    <row r="3011" customFormat="false" ht="15" hidden="false" customHeight="false" outlineLevel="0" collapsed="false">
      <c r="A3011" s="9" t="s">
        <v>8854</v>
      </c>
      <c r="B3011" s="9" t="s">
        <v>5870</v>
      </c>
      <c r="C3011" s="9" t="s">
        <v>3259</v>
      </c>
      <c r="D3011" s="9" t="s">
        <v>5871</v>
      </c>
      <c r="E3011" s="9" t="str">
        <f aca="false">IF(AND('Formation Ledger'!A2990&lt;&gt;"",'Formation Ledger'!V2990=0),"PASS","FAIL")</f>
        <v>PASS</v>
      </c>
      <c r="F3011" s="9" t="s">
        <v>76</v>
      </c>
      <c r="G3011" s="6"/>
      <c r="H3011" s="6"/>
      <c r="I3011" s="6"/>
      <c r="J3011" s="6"/>
      <c r="K3011" s="6"/>
      <c r="L3011" s="6"/>
      <c r="M3011" s="6"/>
      <c r="N3011" s="6"/>
      <c r="O3011" s="6"/>
      <c r="P3011" s="6"/>
      <c r="Q3011" s="6"/>
      <c r="R3011" s="6"/>
      <c r="S3011" s="6"/>
      <c r="T3011" s="6"/>
      <c r="U3011" s="6"/>
      <c r="V3011" s="6"/>
      <c r="W3011" s="6"/>
      <c r="X3011" s="6"/>
      <c r="Y3011" s="6"/>
      <c r="Z3011" s="6"/>
    </row>
    <row r="3012" customFormat="false" ht="15" hidden="false" customHeight="false" outlineLevel="0" collapsed="false">
      <c r="A3012" s="9" t="s">
        <v>8855</v>
      </c>
      <c r="B3012" s="9" t="s">
        <v>5870</v>
      </c>
      <c r="C3012" s="9" t="s">
        <v>3260</v>
      </c>
      <c r="D3012" s="9" t="s">
        <v>5871</v>
      </c>
      <c r="E3012" s="9" t="str">
        <f aca="false">IF(AND('Formation Ledger'!A2991&lt;&gt;"",'Formation Ledger'!V2991=0),"PASS","FAIL")</f>
        <v>PASS</v>
      </c>
      <c r="F3012" s="9" t="s">
        <v>76</v>
      </c>
      <c r="G3012" s="6"/>
      <c r="H3012" s="6"/>
      <c r="I3012" s="6"/>
      <c r="J3012" s="6"/>
      <c r="K3012" s="6"/>
      <c r="L3012" s="6"/>
      <c r="M3012" s="6"/>
      <c r="N3012" s="6"/>
      <c r="O3012" s="6"/>
      <c r="P3012" s="6"/>
      <c r="Q3012" s="6"/>
      <c r="R3012" s="6"/>
      <c r="S3012" s="6"/>
      <c r="T3012" s="6"/>
      <c r="U3012" s="6"/>
      <c r="V3012" s="6"/>
      <c r="W3012" s="6"/>
      <c r="X3012" s="6"/>
      <c r="Y3012" s="6"/>
      <c r="Z3012" s="6"/>
    </row>
    <row r="3013" customFormat="false" ht="15" hidden="false" customHeight="false" outlineLevel="0" collapsed="false">
      <c r="A3013" s="9" t="s">
        <v>8856</v>
      </c>
      <c r="B3013" s="9" t="s">
        <v>5870</v>
      </c>
      <c r="C3013" s="9" t="s">
        <v>3261</v>
      </c>
      <c r="D3013" s="9" t="s">
        <v>5871</v>
      </c>
      <c r="E3013" s="9" t="str">
        <f aca="false">IF(AND('Formation Ledger'!A2992&lt;&gt;"",'Formation Ledger'!V2992=0),"PASS","FAIL")</f>
        <v>PASS</v>
      </c>
      <c r="F3013" s="9" t="s">
        <v>76</v>
      </c>
      <c r="G3013" s="6"/>
      <c r="H3013" s="6"/>
      <c r="I3013" s="6"/>
      <c r="J3013" s="6"/>
      <c r="K3013" s="6"/>
      <c r="L3013" s="6"/>
      <c r="M3013" s="6"/>
      <c r="N3013" s="6"/>
      <c r="O3013" s="6"/>
      <c r="P3013" s="6"/>
      <c r="Q3013" s="6"/>
      <c r="R3013" s="6"/>
      <c r="S3013" s="6"/>
      <c r="T3013" s="6"/>
      <c r="U3013" s="6"/>
      <c r="V3013" s="6"/>
      <c r="W3013" s="6"/>
      <c r="X3013" s="6"/>
      <c r="Y3013" s="6"/>
      <c r="Z3013" s="6"/>
    </row>
    <row r="3014" customFormat="false" ht="15" hidden="false" customHeight="false" outlineLevel="0" collapsed="false">
      <c r="A3014" s="9" t="s">
        <v>8857</v>
      </c>
      <c r="B3014" s="9" t="s">
        <v>5870</v>
      </c>
      <c r="C3014" s="9" t="s">
        <v>3264</v>
      </c>
      <c r="D3014" s="9" t="s">
        <v>5871</v>
      </c>
      <c r="E3014" s="9" t="str">
        <f aca="false">IF(AND('Formation Ledger'!A2993&lt;&gt;"",'Formation Ledger'!V2993=0),"PASS","FAIL")</f>
        <v>PASS</v>
      </c>
      <c r="F3014" s="9" t="s">
        <v>76</v>
      </c>
      <c r="G3014" s="6"/>
      <c r="H3014" s="6"/>
      <c r="I3014" s="6"/>
      <c r="J3014" s="6"/>
      <c r="K3014" s="6"/>
      <c r="L3014" s="6"/>
      <c r="M3014" s="6"/>
      <c r="N3014" s="6"/>
      <c r="O3014" s="6"/>
      <c r="P3014" s="6"/>
      <c r="Q3014" s="6"/>
      <c r="R3014" s="6"/>
      <c r="S3014" s="6"/>
      <c r="T3014" s="6"/>
      <c r="U3014" s="6"/>
      <c r="V3014" s="6"/>
      <c r="W3014" s="6"/>
      <c r="X3014" s="6"/>
      <c r="Y3014" s="6"/>
      <c r="Z3014" s="6"/>
    </row>
    <row r="3015" customFormat="false" ht="15" hidden="false" customHeight="false" outlineLevel="0" collapsed="false">
      <c r="A3015" s="9" t="s">
        <v>8858</v>
      </c>
      <c r="B3015" s="9" t="s">
        <v>5870</v>
      </c>
      <c r="C3015" s="9" t="s">
        <v>3265</v>
      </c>
      <c r="D3015" s="9" t="s">
        <v>5871</v>
      </c>
      <c r="E3015" s="9" t="str">
        <f aca="false">IF(AND('Formation Ledger'!A2994&lt;&gt;"",'Formation Ledger'!V2994=0),"PASS","FAIL")</f>
        <v>PASS</v>
      </c>
      <c r="F3015" s="9" t="s">
        <v>76</v>
      </c>
      <c r="G3015" s="6"/>
      <c r="H3015" s="6"/>
      <c r="I3015" s="6"/>
      <c r="J3015" s="6"/>
      <c r="K3015" s="6"/>
      <c r="L3015" s="6"/>
      <c r="M3015" s="6"/>
      <c r="N3015" s="6"/>
      <c r="O3015" s="6"/>
      <c r="P3015" s="6"/>
      <c r="Q3015" s="6"/>
      <c r="R3015" s="6"/>
      <c r="S3015" s="6"/>
      <c r="T3015" s="6"/>
      <c r="U3015" s="6"/>
      <c r="V3015" s="6"/>
      <c r="W3015" s="6"/>
      <c r="X3015" s="6"/>
      <c r="Y3015" s="6"/>
      <c r="Z3015" s="6"/>
    </row>
    <row r="3016" customFormat="false" ht="15" hidden="false" customHeight="false" outlineLevel="0" collapsed="false">
      <c r="A3016" s="9" t="s">
        <v>8859</v>
      </c>
      <c r="B3016" s="9" t="s">
        <v>5870</v>
      </c>
      <c r="C3016" s="9" t="s">
        <v>3266</v>
      </c>
      <c r="D3016" s="9" t="s">
        <v>5871</v>
      </c>
      <c r="E3016" s="9" t="str">
        <f aca="false">IF(AND('Formation Ledger'!A2995&lt;&gt;"",'Formation Ledger'!V2995=0),"PASS","FAIL")</f>
        <v>PASS</v>
      </c>
      <c r="F3016" s="9" t="s">
        <v>76</v>
      </c>
      <c r="G3016" s="6"/>
      <c r="H3016" s="6"/>
      <c r="I3016" s="6"/>
      <c r="J3016" s="6"/>
      <c r="K3016" s="6"/>
      <c r="L3016" s="6"/>
      <c r="M3016" s="6"/>
      <c r="N3016" s="6"/>
      <c r="O3016" s="6"/>
      <c r="P3016" s="6"/>
      <c r="Q3016" s="6"/>
      <c r="R3016" s="6"/>
      <c r="S3016" s="6"/>
      <c r="T3016" s="6"/>
      <c r="U3016" s="6"/>
      <c r="V3016" s="6"/>
      <c r="W3016" s="6"/>
      <c r="X3016" s="6"/>
      <c r="Y3016" s="6"/>
      <c r="Z3016" s="6"/>
    </row>
    <row r="3017" customFormat="false" ht="15" hidden="false" customHeight="false" outlineLevel="0" collapsed="false">
      <c r="A3017" s="9" t="s">
        <v>8860</v>
      </c>
      <c r="B3017" s="9" t="s">
        <v>5870</v>
      </c>
      <c r="C3017" s="9" t="s">
        <v>3267</v>
      </c>
      <c r="D3017" s="9" t="s">
        <v>5871</v>
      </c>
      <c r="E3017" s="9" t="str">
        <f aca="false">IF(AND('Formation Ledger'!A2996&lt;&gt;"",'Formation Ledger'!V2996=0),"PASS","FAIL")</f>
        <v>PASS</v>
      </c>
      <c r="F3017" s="9" t="s">
        <v>76</v>
      </c>
      <c r="G3017" s="6"/>
      <c r="H3017" s="6"/>
      <c r="I3017" s="6"/>
      <c r="J3017" s="6"/>
      <c r="K3017" s="6"/>
      <c r="L3017" s="6"/>
      <c r="M3017" s="6"/>
      <c r="N3017" s="6"/>
      <c r="O3017" s="6"/>
      <c r="P3017" s="6"/>
      <c r="Q3017" s="6"/>
      <c r="R3017" s="6"/>
      <c r="S3017" s="6"/>
      <c r="T3017" s="6"/>
      <c r="U3017" s="6"/>
      <c r="V3017" s="6"/>
      <c r="W3017" s="6"/>
      <c r="X3017" s="6"/>
      <c r="Y3017" s="6"/>
      <c r="Z3017" s="6"/>
    </row>
    <row r="3018" customFormat="false" ht="15" hidden="false" customHeight="false" outlineLevel="0" collapsed="false">
      <c r="A3018" s="9" t="s">
        <v>8861</v>
      </c>
      <c r="B3018" s="9" t="s">
        <v>5870</v>
      </c>
      <c r="C3018" s="9" t="s">
        <v>3268</v>
      </c>
      <c r="D3018" s="9" t="s">
        <v>5871</v>
      </c>
      <c r="E3018" s="9" t="str">
        <f aca="false">IF(AND('Formation Ledger'!A2997&lt;&gt;"",'Formation Ledger'!V2997=0),"PASS","FAIL")</f>
        <v>PASS</v>
      </c>
      <c r="F3018" s="9" t="s">
        <v>76</v>
      </c>
      <c r="G3018" s="6"/>
      <c r="H3018" s="6"/>
      <c r="I3018" s="6"/>
      <c r="J3018" s="6"/>
      <c r="K3018" s="6"/>
      <c r="L3018" s="6"/>
      <c r="M3018" s="6"/>
      <c r="N3018" s="6"/>
      <c r="O3018" s="6"/>
      <c r="P3018" s="6"/>
      <c r="Q3018" s="6"/>
      <c r="R3018" s="6"/>
      <c r="S3018" s="6"/>
      <c r="T3018" s="6"/>
      <c r="U3018" s="6"/>
      <c r="V3018" s="6"/>
      <c r="W3018" s="6"/>
      <c r="X3018" s="6"/>
      <c r="Y3018" s="6"/>
      <c r="Z3018" s="6"/>
    </row>
    <row r="3019" customFormat="false" ht="15" hidden="false" customHeight="false" outlineLevel="0" collapsed="false">
      <c r="A3019" s="9" t="s">
        <v>8862</v>
      </c>
      <c r="B3019" s="9" t="s">
        <v>5870</v>
      </c>
      <c r="C3019" s="9" t="s">
        <v>3269</v>
      </c>
      <c r="D3019" s="9" t="s">
        <v>5871</v>
      </c>
      <c r="E3019" s="9" t="str">
        <f aca="false">IF(AND('Formation Ledger'!A2998&lt;&gt;"",'Formation Ledger'!V2998=0),"PASS","FAIL")</f>
        <v>PASS</v>
      </c>
      <c r="F3019" s="9" t="s">
        <v>76</v>
      </c>
      <c r="G3019" s="6"/>
      <c r="H3019" s="6"/>
      <c r="I3019" s="6"/>
      <c r="J3019" s="6"/>
      <c r="K3019" s="6"/>
      <c r="L3019" s="6"/>
      <c r="M3019" s="6"/>
      <c r="N3019" s="6"/>
      <c r="O3019" s="6"/>
      <c r="P3019" s="6"/>
      <c r="Q3019" s="6"/>
      <c r="R3019" s="6"/>
      <c r="S3019" s="6"/>
      <c r="T3019" s="6"/>
      <c r="U3019" s="6"/>
      <c r="V3019" s="6"/>
      <c r="W3019" s="6"/>
      <c r="X3019" s="6"/>
      <c r="Y3019" s="6"/>
      <c r="Z3019" s="6"/>
    </row>
    <row r="3020" customFormat="false" ht="15" hidden="false" customHeight="false" outlineLevel="0" collapsed="false">
      <c r="A3020" s="9" t="s">
        <v>8863</v>
      </c>
      <c r="B3020" s="9" t="s">
        <v>5870</v>
      </c>
      <c r="C3020" s="9" t="s">
        <v>3270</v>
      </c>
      <c r="D3020" s="9" t="s">
        <v>5871</v>
      </c>
      <c r="E3020" s="9" t="str">
        <f aca="false">IF(AND('Formation Ledger'!A2999&lt;&gt;"",'Formation Ledger'!V2999=0),"PASS","FAIL")</f>
        <v>PASS</v>
      </c>
      <c r="F3020" s="9" t="s">
        <v>76</v>
      </c>
      <c r="G3020" s="6"/>
      <c r="H3020" s="6"/>
      <c r="I3020" s="6"/>
      <c r="J3020" s="6"/>
      <c r="K3020" s="6"/>
      <c r="L3020" s="6"/>
      <c r="M3020" s="6"/>
      <c r="N3020" s="6"/>
      <c r="O3020" s="6"/>
      <c r="P3020" s="6"/>
      <c r="Q3020" s="6"/>
      <c r="R3020" s="6"/>
      <c r="S3020" s="6"/>
      <c r="T3020" s="6"/>
      <c r="U3020" s="6"/>
      <c r="V3020" s="6"/>
      <c r="W3020" s="6"/>
      <c r="X3020" s="6"/>
      <c r="Y3020" s="6"/>
      <c r="Z3020" s="6"/>
    </row>
    <row r="3021" customFormat="false" ht="15" hidden="false" customHeight="false" outlineLevel="0" collapsed="false">
      <c r="A3021" s="9" t="s">
        <v>8864</v>
      </c>
      <c r="B3021" s="9" t="s">
        <v>5870</v>
      </c>
      <c r="C3021" s="9" t="s">
        <v>3271</v>
      </c>
      <c r="D3021" s="9" t="s">
        <v>5871</v>
      </c>
      <c r="E3021" s="9" t="str">
        <f aca="false">IF(AND('Formation Ledger'!A3000&lt;&gt;"",'Formation Ledger'!V3000=0),"PASS","FAIL")</f>
        <v>PASS</v>
      </c>
      <c r="F3021" s="9" t="s">
        <v>76</v>
      </c>
      <c r="G3021" s="6"/>
      <c r="H3021" s="6"/>
      <c r="I3021" s="6"/>
      <c r="J3021" s="6"/>
      <c r="K3021" s="6"/>
      <c r="L3021" s="6"/>
      <c r="M3021" s="6"/>
      <c r="N3021" s="6"/>
      <c r="O3021" s="6"/>
      <c r="P3021" s="6"/>
      <c r="Q3021" s="6"/>
      <c r="R3021" s="6"/>
      <c r="S3021" s="6"/>
      <c r="T3021" s="6"/>
      <c r="U3021" s="6"/>
      <c r="V3021" s="6"/>
      <c r="W3021" s="6"/>
      <c r="X3021" s="6"/>
      <c r="Y3021" s="6"/>
      <c r="Z3021" s="6"/>
    </row>
    <row r="3022" customFormat="false" ht="15" hidden="false" customHeight="false" outlineLevel="0" collapsed="false">
      <c r="A3022" s="9" t="s">
        <v>8865</v>
      </c>
      <c r="B3022" s="9" t="s">
        <v>5870</v>
      </c>
      <c r="C3022" s="9" t="s">
        <v>3272</v>
      </c>
      <c r="D3022" s="9" t="s">
        <v>5871</v>
      </c>
      <c r="E3022" s="9" t="str">
        <f aca="false">IF(AND('Formation Ledger'!A3001&lt;&gt;"",'Formation Ledger'!V3001=0),"PASS","FAIL")</f>
        <v>PASS</v>
      </c>
      <c r="F3022" s="9" t="s">
        <v>76</v>
      </c>
      <c r="G3022" s="6"/>
      <c r="H3022" s="6"/>
      <c r="I3022" s="6"/>
      <c r="J3022" s="6"/>
      <c r="K3022" s="6"/>
      <c r="L3022" s="6"/>
      <c r="M3022" s="6"/>
      <c r="N3022" s="6"/>
      <c r="O3022" s="6"/>
      <c r="P3022" s="6"/>
      <c r="Q3022" s="6"/>
      <c r="R3022" s="6"/>
      <c r="S3022" s="6"/>
      <c r="T3022" s="6"/>
      <c r="U3022" s="6"/>
      <c r="V3022" s="6"/>
      <c r="W3022" s="6"/>
      <c r="X3022" s="6"/>
      <c r="Y3022" s="6"/>
      <c r="Z3022" s="6"/>
    </row>
    <row r="3023" customFormat="false" ht="15" hidden="false" customHeight="false" outlineLevel="0" collapsed="false">
      <c r="A3023" s="9" t="s">
        <v>8866</v>
      </c>
      <c r="B3023" s="9" t="s">
        <v>5870</v>
      </c>
      <c r="C3023" s="9" t="s">
        <v>3273</v>
      </c>
      <c r="D3023" s="9" t="s">
        <v>5871</v>
      </c>
      <c r="E3023" s="9" t="str">
        <f aca="false">IF(AND('Formation Ledger'!A3002&lt;&gt;"",'Formation Ledger'!V3002=0),"PASS","FAIL")</f>
        <v>PASS</v>
      </c>
      <c r="F3023" s="9" t="s">
        <v>76</v>
      </c>
      <c r="G3023" s="6"/>
      <c r="H3023" s="6"/>
      <c r="I3023" s="6"/>
      <c r="J3023" s="6"/>
      <c r="K3023" s="6"/>
      <c r="L3023" s="6"/>
      <c r="M3023" s="6"/>
      <c r="N3023" s="6"/>
      <c r="O3023" s="6"/>
      <c r="P3023" s="6"/>
      <c r="Q3023" s="6"/>
      <c r="R3023" s="6"/>
      <c r="S3023" s="6"/>
      <c r="T3023" s="6"/>
      <c r="U3023" s="6"/>
      <c r="V3023" s="6"/>
      <c r="W3023" s="6"/>
      <c r="X3023" s="6"/>
      <c r="Y3023" s="6"/>
      <c r="Z3023" s="6"/>
    </row>
    <row r="3024" customFormat="false" ht="15" hidden="false" customHeight="false" outlineLevel="0" collapsed="false">
      <c r="A3024" s="9" t="s">
        <v>8867</v>
      </c>
      <c r="B3024" s="9" t="s">
        <v>5870</v>
      </c>
      <c r="C3024" s="9" t="s">
        <v>3274</v>
      </c>
      <c r="D3024" s="9" t="s">
        <v>5871</v>
      </c>
      <c r="E3024" s="9" t="str">
        <f aca="false">IF(AND('Formation Ledger'!A3003&lt;&gt;"",'Formation Ledger'!V3003=0),"PASS","FAIL")</f>
        <v>PASS</v>
      </c>
      <c r="F3024" s="9" t="s">
        <v>76</v>
      </c>
      <c r="G3024" s="6"/>
      <c r="H3024" s="6"/>
      <c r="I3024" s="6"/>
      <c r="J3024" s="6"/>
      <c r="K3024" s="6"/>
      <c r="L3024" s="6"/>
      <c r="M3024" s="6"/>
      <c r="N3024" s="6"/>
      <c r="O3024" s="6"/>
      <c r="P3024" s="6"/>
      <c r="Q3024" s="6"/>
      <c r="R3024" s="6"/>
      <c r="S3024" s="6"/>
      <c r="T3024" s="6"/>
      <c r="U3024" s="6"/>
      <c r="V3024" s="6"/>
      <c r="W3024" s="6"/>
      <c r="X3024" s="6"/>
      <c r="Y3024" s="6"/>
      <c r="Z3024" s="6"/>
    </row>
    <row r="3025" customFormat="false" ht="15" hidden="false" customHeight="false" outlineLevel="0" collapsed="false">
      <c r="A3025" s="9" t="s">
        <v>8868</v>
      </c>
      <c r="B3025" s="9" t="s">
        <v>5870</v>
      </c>
      <c r="C3025" s="9" t="s">
        <v>3275</v>
      </c>
      <c r="D3025" s="9" t="s">
        <v>5871</v>
      </c>
      <c r="E3025" s="9" t="str">
        <f aca="false">IF(AND('Formation Ledger'!A3004&lt;&gt;"",'Formation Ledger'!V3004=0),"PASS","FAIL")</f>
        <v>PASS</v>
      </c>
      <c r="F3025" s="9" t="s">
        <v>76</v>
      </c>
      <c r="G3025" s="6"/>
      <c r="H3025" s="6"/>
      <c r="I3025" s="6"/>
      <c r="J3025" s="6"/>
      <c r="K3025" s="6"/>
      <c r="L3025" s="6"/>
      <c r="M3025" s="6"/>
      <c r="N3025" s="6"/>
      <c r="O3025" s="6"/>
      <c r="P3025" s="6"/>
      <c r="Q3025" s="6"/>
      <c r="R3025" s="6"/>
      <c r="S3025" s="6"/>
      <c r="T3025" s="6"/>
      <c r="U3025" s="6"/>
      <c r="V3025" s="6"/>
      <c r="W3025" s="6"/>
      <c r="X3025" s="6"/>
      <c r="Y3025" s="6"/>
      <c r="Z3025" s="6"/>
    </row>
    <row r="3026" customFormat="false" ht="15" hidden="false" customHeight="false" outlineLevel="0" collapsed="false">
      <c r="A3026" s="9" t="s">
        <v>8869</v>
      </c>
      <c r="B3026" s="9" t="s">
        <v>5870</v>
      </c>
      <c r="C3026" s="9" t="s">
        <v>3276</v>
      </c>
      <c r="D3026" s="9" t="s">
        <v>5871</v>
      </c>
      <c r="E3026" s="9" t="str">
        <f aca="false">IF(AND('Formation Ledger'!A3005&lt;&gt;"",'Formation Ledger'!V3005=0),"PASS","FAIL")</f>
        <v>PASS</v>
      </c>
      <c r="F3026" s="9" t="s">
        <v>76</v>
      </c>
      <c r="G3026" s="6"/>
      <c r="H3026" s="6"/>
      <c r="I3026" s="6"/>
      <c r="J3026" s="6"/>
      <c r="K3026" s="6"/>
      <c r="L3026" s="6"/>
      <c r="M3026" s="6"/>
      <c r="N3026" s="6"/>
      <c r="O3026" s="6"/>
      <c r="P3026" s="6"/>
      <c r="Q3026" s="6"/>
      <c r="R3026" s="6"/>
      <c r="S3026" s="6"/>
      <c r="T3026" s="6"/>
      <c r="U3026" s="6"/>
      <c r="V3026" s="6"/>
      <c r="W3026" s="6"/>
      <c r="X3026" s="6"/>
      <c r="Y3026" s="6"/>
      <c r="Z3026" s="6"/>
    </row>
    <row r="3027" customFormat="false" ht="15" hidden="false" customHeight="false" outlineLevel="0" collapsed="false">
      <c r="A3027" s="9" t="s">
        <v>8870</v>
      </c>
      <c r="B3027" s="9" t="s">
        <v>5870</v>
      </c>
      <c r="C3027" s="9" t="s">
        <v>3277</v>
      </c>
      <c r="D3027" s="9" t="s">
        <v>5871</v>
      </c>
      <c r="E3027" s="9" t="str">
        <f aca="false">IF(AND('Formation Ledger'!A3006&lt;&gt;"",'Formation Ledger'!V3006=0),"PASS","FAIL")</f>
        <v>PASS</v>
      </c>
      <c r="F3027" s="9" t="s">
        <v>76</v>
      </c>
      <c r="G3027" s="6"/>
      <c r="H3027" s="6"/>
      <c r="I3027" s="6"/>
      <c r="J3027" s="6"/>
      <c r="K3027" s="6"/>
      <c r="L3027" s="6"/>
      <c r="M3027" s="6"/>
      <c r="N3027" s="6"/>
      <c r="O3027" s="6"/>
      <c r="P3027" s="6"/>
      <c r="Q3027" s="6"/>
      <c r="R3027" s="6"/>
      <c r="S3027" s="6"/>
      <c r="T3027" s="6"/>
      <c r="U3027" s="6"/>
      <c r="V3027" s="6"/>
      <c r="W3027" s="6"/>
      <c r="X3027" s="6"/>
      <c r="Y3027" s="6"/>
      <c r="Z3027" s="6"/>
    </row>
    <row r="3028" customFormat="false" ht="15" hidden="false" customHeight="false" outlineLevel="0" collapsed="false">
      <c r="A3028" s="9" t="s">
        <v>8871</v>
      </c>
      <c r="B3028" s="9" t="s">
        <v>5870</v>
      </c>
      <c r="C3028" s="9" t="s">
        <v>3278</v>
      </c>
      <c r="D3028" s="9" t="s">
        <v>5871</v>
      </c>
      <c r="E3028" s="9" t="str">
        <f aca="false">IF(AND('Formation Ledger'!A3007&lt;&gt;"",'Formation Ledger'!V3007=0),"PASS","FAIL")</f>
        <v>PASS</v>
      </c>
      <c r="F3028" s="9" t="s">
        <v>76</v>
      </c>
      <c r="G3028" s="6"/>
      <c r="H3028" s="6"/>
      <c r="I3028" s="6"/>
      <c r="J3028" s="6"/>
      <c r="K3028" s="6"/>
      <c r="L3028" s="6"/>
      <c r="M3028" s="6"/>
      <c r="N3028" s="6"/>
      <c r="O3028" s="6"/>
      <c r="P3028" s="6"/>
      <c r="Q3028" s="6"/>
      <c r="R3028" s="6"/>
      <c r="S3028" s="6"/>
      <c r="T3028" s="6"/>
      <c r="U3028" s="6"/>
      <c r="V3028" s="6"/>
      <c r="W3028" s="6"/>
      <c r="X3028" s="6"/>
      <c r="Y3028" s="6"/>
      <c r="Z3028" s="6"/>
    </row>
    <row r="3029" customFormat="false" ht="15" hidden="false" customHeight="false" outlineLevel="0" collapsed="false">
      <c r="A3029" s="9" t="s">
        <v>8872</v>
      </c>
      <c r="B3029" s="9" t="s">
        <v>5870</v>
      </c>
      <c r="C3029" s="9" t="s">
        <v>3279</v>
      </c>
      <c r="D3029" s="9" t="s">
        <v>5871</v>
      </c>
      <c r="E3029" s="9" t="str">
        <f aca="false">IF(AND('Formation Ledger'!A3008&lt;&gt;"",'Formation Ledger'!V3008=0),"PASS","FAIL")</f>
        <v>PASS</v>
      </c>
      <c r="F3029" s="9" t="s">
        <v>76</v>
      </c>
      <c r="G3029" s="6"/>
      <c r="H3029" s="6"/>
      <c r="I3029" s="6"/>
      <c r="J3029" s="6"/>
      <c r="K3029" s="6"/>
      <c r="L3029" s="6"/>
      <c r="M3029" s="6"/>
      <c r="N3029" s="6"/>
      <c r="O3029" s="6"/>
      <c r="P3029" s="6"/>
      <c r="Q3029" s="6"/>
      <c r="R3029" s="6"/>
      <c r="S3029" s="6"/>
      <c r="T3029" s="6"/>
      <c r="U3029" s="6"/>
      <c r="V3029" s="6"/>
      <c r="W3029" s="6"/>
      <c r="X3029" s="6"/>
      <c r="Y3029" s="6"/>
      <c r="Z3029" s="6"/>
    </row>
    <row r="3030" customFormat="false" ht="15" hidden="false" customHeight="false" outlineLevel="0" collapsed="false">
      <c r="A3030" s="9" t="s">
        <v>8873</v>
      </c>
      <c r="B3030" s="9" t="s">
        <v>5870</v>
      </c>
      <c r="C3030" s="9" t="s">
        <v>3280</v>
      </c>
      <c r="D3030" s="9" t="s">
        <v>5871</v>
      </c>
      <c r="E3030" s="9" t="str">
        <f aca="false">IF(AND('Formation Ledger'!A3009&lt;&gt;"",'Formation Ledger'!V3009=0),"PASS","FAIL")</f>
        <v>PASS</v>
      </c>
      <c r="F3030" s="9" t="s">
        <v>76</v>
      </c>
      <c r="G3030" s="6"/>
      <c r="H3030" s="6"/>
      <c r="I3030" s="6"/>
      <c r="J3030" s="6"/>
      <c r="K3030" s="6"/>
      <c r="L3030" s="6"/>
      <c r="M3030" s="6"/>
      <c r="N3030" s="6"/>
      <c r="O3030" s="6"/>
      <c r="P3030" s="6"/>
      <c r="Q3030" s="6"/>
      <c r="R3030" s="6"/>
      <c r="S3030" s="6"/>
      <c r="T3030" s="6"/>
      <c r="U3030" s="6"/>
      <c r="V3030" s="6"/>
      <c r="W3030" s="6"/>
      <c r="X3030" s="6"/>
      <c r="Y3030" s="6"/>
      <c r="Z3030" s="6"/>
    </row>
    <row r="3031" customFormat="false" ht="15" hidden="false" customHeight="false" outlineLevel="0" collapsed="false">
      <c r="A3031" s="9" t="s">
        <v>8874</v>
      </c>
      <c r="B3031" s="9" t="s">
        <v>5870</v>
      </c>
      <c r="C3031" s="9" t="s">
        <v>3281</v>
      </c>
      <c r="D3031" s="9" t="s">
        <v>5871</v>
      </c>
      <c r="E3031" s="9" t="str">
        <f aca="false">IF(AND('Formation Ledger'!A3010&lt;&gt;"",'Formation Ledger'!V3010=0),"PASS","FAIL")</f>
        <v>PASS</v>
      </c>
      <c r="F3031" s="9" t="s">
        <v>76</v>
      </c>
      <c r="G3031" s="6"/>
      <c r="H3031" s="6"/>
      <c r="I3031" s="6"/>
      <c r="J3031" s="6"/>
      <c r="K3031" s="6"/>
      <c r="L3031" s="6"/>
      <c r="M3031" s="6"/>
      <c r="N3031" s="6"/>
      <c r="O3031" s="6"/>
      <c r="P3031" s="6"/>
      <c r="Q3031" s="6"/>
      <c r="R3031" s="6"/>
      <c r="S3031" s="6"/>
      <c r="T3031" s="6"/>
      <c r="U3031" s="6"/>
      <c r="V3031" s="6"/>
      <c r="W3031" s="6"/>
      <c r="X3031" s="6"/>
      <c r="Y3031" s="6"/>
      <c r="Z3031" s="6"/>
    </row>
    <row r="3032" customFormat="false" ht="15" hidden="false" customHeight="false" outlineLevel="0" collapsed="false">
      <c r="A3032" s="9" t="s">
        <v>8875</v>
      </c>
      <c r="B3032" s="9" t="s">
        <v>5870</v>
      </c>
      <c r="C3032" s="9" t="s">
        <v>3282</v>
      </c>
      <c r="D3032" s="9" t="s">
        <v>5871</v>
      </c>
      <c r="E3032" s="9" t="str">
        <f aca="false">IF(AND('Formation Ledger'!A3011&lt;&gt;"",'Formation Ledger'!V3011=0),"PASS","FAIL")</f>
        <v>PASS</v>
      </c>
      <c r="F3032" s="9" t="s">
        <v>76</v>
      </c>
      <c r="G3032" s="6"/>
      <c r="H3032" s="6"/>
      <c r="I3032" s="6"/>
      <c r="J3032" s="6"/>
      <c r="K3032" s="6"/>
      <c r="L3032" s="6"/>
      <c r="M3032" s="6"/>
      <c r="N3032" s="6"/>
      <c r="O3032" s="6"/>
      <c r="P3032" s="6"/>
      <c r="Q3032" s="6"/>
      <c r="R3032" s="6"/>
      <c r="S3032" s="6"/>
      <c r="T3032" s="6"/>
      <c r="U3032" s="6"/>
      <c r="V3032" s="6"/>
      <c r="W3032" s="6"/>
      <c r="X3032" s="6"/>
      <c r="Y3032" s="6"/>
      <c r="Z3032" s="6"/>
    </row>
    <row r="3033" customFormat="false" ht="15" hidden="false" customHeight="false" outlineLevel="0" collapsed="false">
      <c r="A3033" s="9" t="s">
        <v>8876</v>
      </c>
      <c r="B3033" s="9" t="s">
        <v>5870</v>
      </c>
      <c r="C3033" s="9" t="s">
        <v>3283</v>
      </c>
      <c r="D3033" s="9" t="s">
        <v>5871</v>
      </c>
      <c r="E3033" s="9" t="str">
        <f aca="false">IF(AND('Formation Ledger'!A3012&lt;&gt;"",'Formation Ledger'!V3012=0),"PASS","FAIL")</f>
        <v>PASS</v>
      </c>
      <c r="F3033" s="9" t="s">
        <v>76</v>
      </c>
      <c r="G3033" s="6"/>
      <c r="H3033" s="6"/>
      <c r="I3033" s="6"/>
      <c r="J3033" s="6"/>
      <c r="K3033" s="6"/>
      <c r="L3033" s="6"/>
      <c r="M3033" s="6"/>
      <c r="N3033" s="6"/>
      <c r="O3033" s="6"/>
      <c r="P3033" s="6"/>
      <c r="Q3033" s="6"/>
      <c r="R3033" s="6"/>
      <c r="S3033" s="6"/>
      <c r="T3033" s="6"/>
      <c r="U3033" s="6"/>
      <c r="V3033" s="6"/>
      <c r="W3033" s="6"/>
      <c r="X3033" s="6"/>
      <c r="Y3033" s="6"/>
      <c r="Z3033" s="6"/>
    </row>
    <row r="3034" customFormat="false" ht="15" hidden="false" customHeight="false" outlineLevel="0" collapsed="false">
      <c r="A3034" s="9" t="s">
        <v>8877</v>
      </c>
      <c r="B3034" s="9" t="s">
        <v>5870</v>
      </c>
      <c r="C3034" s="9" t="s">
        <v>3284</v>
      </c>
      <c r="D3034" s="9" t="s">
        <v>5871</v>
      </c>
      <c r="E3034" s="9" t="str">
        <f aca="false">IF(AND('Formation Ledger'!A3013&lt;&gt;"",'Formation Ledger'!V3013=0),"PASS","FAIL")</f>
        <v>PASS</v>
      </c>
      <c r="F3034" s="9" t="s">
        <v>76</v>
      </c>
      <c r="G3034" s="6"/>
      <c r="H3034" s="6"/>
      <c r="I3034" s="6"/>
      <c r="J3034" s="6"/>
      <c r="K3034" s="6"/>
      <c r="L3034" s="6"/>
      <c r="M3034" s="6"/>
      <c r="N3034" s="6"/>
      <c r="O3034" s="6"/>
      <c r="P3034" s="6"/>
      <c r="Q3034" s="6"/>
      <c r="R3034" s="6"/>
      <c r="S3034" s="6"/>
      <c r="T3034" s="6"/>
      <c r="U3034" s="6"/>
      <c r="V3034" s="6"/>
      <c r="W3034" s="6"/>
      <c r="X3034" s="6"/>
      <c r="Y3034" s="6"/>
      <c r="Z3034" s="6"/>
    </row>
    <row r="3035" customFormat="false" ht="15" hidden="false" customHeight="false" outlineLevel="0" collapsed="false">
      <c r="A3035" s="9" t="s">
        <v>8878</v>
      </c>
      <c r="B3035" s="9" t="s">
        <v>5870</v>
      </c>
      <c r="C3035" s="9" t="s">
        <v>3285</v>
      </c>
      <c r="D3035" s="9" t="s">
        <v>5871</v>
      </c>
      <c r="E3035" s="9" t="str">
        <f aca="false">IF(AND('Formation Ledger'!A3014&lt;&gt;"",'Formation Ledger'!V3014=0),"PASS","FAIL")</f>
        <v>PASS</v>
      </c>
      <c r="F3035" s="9" t="s">
        <v>76</v>
      </c>
      <c r="G3035" s="6"/>
      <c r="H3035" s="6"/>
      <c r="I3035" s="6"/>
      <c r="J3035" s="6"/>
      <c r="K3035" s="6"/>
      <c r="L3035" s="6"/>
      <c r="M3035" s="6"/>
      <c r="N3035" s="6"/>
      <c r="O3035" s="6"/>
      <c r="P3035" s="6"/>
      <c r="Q3035" s="6"/>
      <c r="R3035" s="6"/>
      <c r="S3035" s="6"/>
      <c r="T3035" s="6"/>
      <c r="U3035" s="6"/>
      <c r="V3035" s="6"/>
      <c r="W3035" s="6"/>
      <c r="X3035" s="6"/>
      <c r="Y3035" s="6"/>
      <c r="Z3035" s="6"/>
    </row>
    <row r="3036" customFormat="false" ht="15" hidden="false" customHeight="false" outlineLevel="0" collapsed="false">
      <c r="A3036" s="9" t="s">
        <v>8879</v>
      </c>
      <c r="B3036" s="9" t="s">
        <v>5870</v>
      </c>
      <c r="C3036" s="9" t="s">
        <v>3286</v>
      </c>
      <c r="D3036" s="9" t="s">
        <v>5871</v>
      </c>
      <c r="E3036" s="9" t="str">
        <f aca="false">IF(AND('Formation Ledger'!A3015&lt;&gt;"",'Formation Ledger'!V3015=0),"PASS","FAIL")</f>
        <v>PASS</v>
      </c>
      <c r="F3036" s="9" t="s">
        <v>76</v>
      </c>
      <c r="G3036" s="6"/>
      <c r="H3036" s="6"/>
      <c r="I3036" s="6"/>
      <c r="J3036" s="6"/>
      <c r="K3036" s="6"/>
      <c r="L3036" s="6"/>
      <c r="M3036" s="6"/>
      <c r="N3036" s="6"/>
      <c r="O3036" s="6"/>
      <c r="P3036" s="6"/>
      <c r="Q3036" s="6"/>
      <c r="R3036" s="6"/>
      <c r="S3036" s="6"/>
      <c r="T3036" s="6"/>
      <c r="U3036" s="6"/>
      <c r="V3036" s="6"/>
      <c r="W3036" s="6"/>
      <c r="X3036" s="6"/>
      <c r="Y3036" s="6"/>
      <c r="Z3036" s="6"/>
    </row>
    <row r="3037" customFormat="false" ht="15" hidden="false" customHeight="false" outlineLevel="0" collapsed="false">
      <c r="A3037" s="9" t="s">
        <v>8880</v>
      </c>
      <c r="B3037" s="9" t="s">
        <v>5870</v>
      </c>
      <c r="C3037" s="9" t="s">
        <v>3287</v>
      </c>
      <c r="D3037" s="9" t="s">
        <v>5871</v>
      </c>
      <c r="E3037" s="9" t="str">
        <f aca="false">IF(AND('Formation Ledger'!A3016&lt;&gt;"",'Formation Ledger'!V3016=0),"PASS","FAIL")</f>
        <v>PASS</v>
      </c>
      <c r="F3037" s="9" t="s">
        <v>76</v>
      </c>
      <c r="G3037" s="6"/>
      <c r="H3037" s="6"/>
      <c r="I3037" s="6"/>
      <c r="J3037" s="6"/>
      <c r="K3037" s="6"/>
      <c r="L3037" s="6"/>
      <c r="M3037" s="6"/>
      <c r="N3037" s="6"/>
      <c r="O3037" s="6"/>
      <c r="P3037" s="6"/>
      <c r="Q3037" s="6"/>
      <c r="R3037" s="6"/>
      <c r="S3037" s="6"/>
      <c r="T3037" s="6"/>
      <c r="U3037" s="6"/>
      <c r="V3037" s="6"/>
      <c r="W3037" s="6"/>
      <c r="X3037" s="6"/>
      <c r="Y3037" s="6"/>
      <c r="Z3037" s="6"/>
    </row>
    <row r="3038" customFormat="false" ht="15" hidden="false" customHeight="false" outlineLevel="0" collapsed="false">
      <c r="A3038" s="9" t="s">
        <v>8881</v>
      </c>
      <c r="B3038" s="9" t="s">
        <v>5870</v>
      </c>
      <c r="C3038" s="9" t="s">
        <v>3288</v>
      </c>
      <c r="D3038" s="9" t="s">
        <v>5871</v>
      </c>
      <c r="E3038" s="9" t="str">
        <f aca="false">IF(AND('Formation Ledger'!A3017&lt;&gt;"",'Formation Ledger'!V3017=0),"PASS","FAIL")</f>
        <v>PASS</v>
      </c>
      <c r="F3038" s="9" t="s">
        <v>76</v>
      </c>
      <c r="G3038" s="6"/>
      <c r="H3038" s="6"/>
      <c r="I3038" s="6"/>
      <c r="J3038" s="6"/>
      <c r="K3038" s="6"/>
      <c r="L3038" s="6"/>
      <c r="M3038" s="6"/>
      <c r="N3038" s="6"/>
      <c r="O3038" s="6"/>
      <c r="P3038" s="6"/>
      <c r="Q3038" s="6"/>
      <c r="R3038" s="6"/>
      <c r="S3038" s="6"/>
      <c r="T3038" s="6"/>
      <c r="U3038" s="6"/>
      <c r="V3038" s="6"/>
      <c r="W3038" s="6"/>
      <c r="X3038" s="6"/>
      <c r="Y3038" s="6"/>
      <c r="Z3038" s="6"/>
    </row>
    <row r="3039" customFormat="false" ht="15" hidden="false" customHeight="false" outlineLevel="0" collapsed="false">
      <c r="A3039" s="9" t="s">
        <v>8882</v>
      </c>
      <c r="B3039" s="9" t="s">
        <v>5870</v>
      </c>
      <c r="C3039" s="9" t="s">
        <v>3289</v>
      </c>
      <c r="D3039" s="9" t="s">
        <v>5871</v>
      </c>
      <c r="E3039" s="9" t="str">
        <f aca="false">IF(AND('Formation Ledger'!A3018&lt;&gt;"",'Formation Ledger'!V3018=0),"PASS","FAIL")</f>
        <v>PASS</v>
      </c>
      <c r="F3039" s="9" t="s">
        <v>76</v>
      </c>
      <c r="G3039" s="6"/>
      <c r="H3039" s="6"/>
      <c r="I3039" s="6"/>
      <c r="J3039" s="6"/>
      <c r="K3039" s="6"/>
      <c r="L3039" s="6"/>
      <c r="M3039" s="6"/>
      <c r="N3039" s="6"/>
      <c r="O3039" s="6"/>
      <c r="P3039" s="6"/>
      <c r="Q3039" s="6"/>
      <c r="R3039" s="6"/>
      <c r="S3039" s="6"/>
      <c r="T3039" s="6"/>
      <c r="U3039" s="6"/>
      <c r="V3039" s="6"/>
      <c r="W3039" s="6"/>
      <c r="X3039" s="6"/>
      <c r="Y3039" s="6"/>
      <c r="Z3039" s="6"/>
    </row>
    <row r="3040" customFormat="false" ht="15" hidden="false" customHeight="false" outlineLevel="0" collapsed="false">
      <c r="A3040" s="9" t="s">
        <v>8883</v>
      </c>
      <c r="B3040" s="9" t="s">
        <v>5870</v>
      </c>
      <c r="C3040" s="9" t="s">
        <v>3290</v>
      </c>
      <c r="D3040" s="9" t="s">
        <v>5871</v>
      </c>
      <c r="E3040" s="9" t="str">
        <f aca="false">IF(AND('Formation Ledger'!A3019&lt;&gt;"",'Formation Ledger'!V3019=0),"PASS","FAIL")</f>
        <v>PASS</v>
      </c>
      <c r="F3040" s="9" t="s">
        <v>76</v>
      </c>
      <c r="G3040" s="6"/>
      <c r="H3040" s="6"/>
      <c r="I3040" s="6"/>
      <c r="J3040" s="6"/>
      <c r="K3040" s="6"/>
      <c r="L3040" s="6"/>
      <c r="M3040" s="6"/>
      <c r="N3040" s="6"/>
      <c r="O3040" s="6"/>
      <c r="P3040" s="6"/>
      <c r="Q3040" s="6"/>
      <c r="R3040" s="6"/>
      <c r="S3040" s="6"/>
      <c r="T3040" s="6"/>
      <c r="U3040" s="6"/>
      <c r="V3040" s="6"/>
      <c r="W3040" s="6"/>
      <c r="X3040" s="6"/>
      <c r="Y3040" s="6"/>
      <c r="Z3040" s="6"/>
    </row>
    <row r="3041" customFormat="false" ht="15" hidden="false" customHeight="false" outlineLevel="0" collapsed="false">
      <c r="A3041" s="9" t="s">
        <v>8884</v>
      </c>
      <c r="B3041" s="9" t="s">
        <v>5870</v>
      </c>
      <c r="C3041" s="9" t="s">
        <v>3291</v>
      </c>
      <c r="D3041" s="9" t="s">
        <v>5871</v>
      </c>
      <c r="E3041" s="9" t="str">
        <f aca="false">IF(AND('Formation Ledger'!A3020&lt;&gt;"",'Formation Ledger'!V3020=0),"PASS","FAIL")</f>
        <v>PASS</v>
      </c>
      <c r="F3041" s="9" t="s">
        <v>76</v>
      </c>
      <c r="G3041" s="6"/>
      <c r="H3041" s="6"/>
      <c r="I3041" s="6"/>
      <c r="J3041" s="6"/>
      <c r="K3041" s="6"/>
      <c r="L3041" s="6"/>
      <c r="M3041" s="6"/>
      <c r="N3041" s="6"/>
      <c r="O3041" s="6"/>
      <c r="P3041" s="6"/>
      <c r="Q3041" s="6"/>
      <c r="R3041" s="6"/>
      <c r="S3041" s="6"/>
      <c r="T3041" s="6"/>
      <c r="U3041" s="6"/>
      <c r="V3041" s="6"/>
      <c r="W3041" s="6"/>
      <c r="X3041" s="6"/>
      <c r="Y3041" s="6"/>
      <c r="Z3041" s="6"/>
    </row>
    <row r="3042" customFormat="false" ht="15" hidden="false" customHeight="false" outlineLevel="0" collapsed="false">
      <c r="A3042" s="9" t="s">
        <v>8885</v>
      </c>
      <c r="B3042" s="9" t="s">
        <v>5870</v>
      </c>
      <c r="C3042" s="9" t="s">
        <v>3292</v>
      </c>
      <c r="D3042" s="9" t="s">
        <v>5871</v>
      </c>
      <c r="E3042" s="9" t="str">
        <f aca="false">IF(AND('Formation Ledger'!A3021&lt;&gt;"",'Formation Ledger'!V3021=0),"PASS","FAIL")</f>
        <v>PASS</v>
      </c>
      <c r="F3042" s="9" t="s">
        <v>76</v>
      </c>
      <c r="G3042" s="6"/>
      <c r="H3042" s="6"/>
      <c r="I3042" s="6"/>
      <c r="J3042" s="6"/>
      <c r="K3042" s="6"/>
      <c r="L3042" s="6"/>
      <c r="M3042" s="6"/>
      <c r="N3042" s="6"/>
      <c r="O3042" s="6"/>
      <c r="P3042" s="6"/>
      <c r="Q3042" s="6"/>
      <c r="R3042" s="6"/>
      <c r="S3042" s="6"/>
      <c r="T3042" s="6"/>
      <c r="U3042" s="6"/>
      <c r="V3042" s="6"/>
      <c r="W3042" s="6"/>
      <c r="X3042" s="6"/>
      <c r="Y3042" s="6"/>
      <c r="Z3042" s="6"/>
    </row>
    <row r="3043" customFormat="false" ht="15" hidden="false" customHeight="false" outlineLevel="0" collapsed="false">
      <c r="A3043" s="9" t="s">
        <v>8886</v>
      </c>
      <c r="B3043" s="9" t="s">
        <v>5870</v>
      </c>
      <c r="C3043" s="9" t="s">
        <v>3293</v>
      </c>
      <c r="D3043" s="9" t="s">
        <v>5871</v>
      </c>
      <c r="E3043" s="9" t="str">
        <f aca="false">IF(AND('Formation Ledger'!A3022&lt;&gt;"",'Formation Ledger'!V3022=0),"PASS","FAIL")</f>
        <v>PASS</v>
      </c>
      <c r="F3043" s="9" t="s">
        <v>76</v>
      </c>
      <c r="G3043" s="6"/>
      <c r="H3043" s="6"/>
      <c r="I3043" s="6"/>
      <c r="J3043" s="6"/>
      <c r="K3043" s="6"/>
      <c r="L3043" s="6"/>
      <c r="M3043" s="6"/>
      <c r="N3043" s="6"/>
      <c r="O3043" s="6"/>
      <c r="P3043" s="6"/>
      <c r="Q3043" s="6"/>
      <c r="R3043" s="6"/>
      <c r="S3043" s="6"/>
      <c r="T3043" s="6"/>
      <c r="U3043" s="6"/>
      <c r="V3043" s="6"/>
      <c r="W3043" s="6"/>
      <c r="X3043" s="6"/>
      <c r="Y3043" s="6"/>
      <c r="Z3043" s="6"/>
    </row>
    <row r="3044" customFormat="false" ht="15" hidden="false" customHeight="false" outlineLevel="0" collapsed="false">
      <c r="A3044" s="9" t="s">
        <v>8887</v>
      </c>
      <c r="B3044" s="9" t="s">
        <v>5870</v>
      </c>
      <c r="C3044" s="9" t="s">
        <v>3294</v>
      </c>
      <c r="D3044" s="9" t="s">
        <v>5871</v>
      </c>
      <c r="E3044" s="9" t="str">
        <f aca="false">IF(AND('Formation Ledger'!A3023&lt;&gt;"",'Formation Ledger'!V3023=0),"PASS","FAIL")</f>
        <v>PASS</v>
      </c>
      <c r="F3044" s="9" t="s">
        <v>76</v>
      </c>
      <c r="G3044" s="6"/>
      <c r="H3044" s="6"/>
      <c r="I3044" s="6"/>
      <c r="J3044" s="6"/>
      <c r="K3044" s="6"/>
      <c r="L3044" s="6"/>
      <c r="M3044" s="6"/>
      <c r="N3044" s="6"/>
      <c r="O3044" s="6"/>
      <c r="P3044" s="6"/>
      <c r="Q3044" s="6"/>
      <c r="R3044" s="6"/>
      <c r="S3044" s="6"/>
      <c r="T3044" s="6"/>
      <c r="U3044" s="6"/>
      <c r="V3044" s="6"/>
      <c r="W3044" s="6"/>
      <c r="X3044" s="6"/>
      <c r="Y3044" s="6"/>
      <c r="Z3044" s="6"/>
    </row>
    <row r="3045" customFormat="false" ht="15" hidden="false" customHeight="false" outlineLevel="0" collapsed="false">
      <c r="A3045" s="9" t="s">
        <v>8888</v>
      </c>
      <c r="B3045" s="9" t="s">
        <v>5870</v>
      </c>
      <c r="C3045" s="9" t="s">
        <v>3295</v>
      </c>
      <c r="D3045" s="9" t="s">
        <v>5871</v>
      </c>
      <c r="E3045" s="9" t="str">
        <f aca="false">IF(AND('Formation Ledger'!A3024&lt;&gt;"",'Formation Ledger'!V3024=0),"PASS","FAIL")</f>
        <v>PASS</v>
      </c>
      <c r="F3045" s="9" t="s">
        <v>76</v>
      </c>
      <c r="G3045" s="6"/>
      <c r="H3045" s="6"/>
      <c r="I3045" s="6"/>
      <c r="J3045" s="6"/>
      <c r="K3045" s="6"/>
      <c r="L3045" s="6"/>
      <c r="M3045" s="6"/>
      <c r="N3045" s="6"/>
      <c r="O3045" s="6"/>
      <c r="P3045" s="6"/>
      <c r="Q3045" s="6"/>
      <c r="R3045" s="6"/>
      <c r="S3045" s="6"/>
      <c r="T3045" s="6"/>
      <c r="U3045" s="6"/>
      <c r="V3045" s="6"/>
      <c r="W3045" s="6"/>
      <c r="X3045" s="6"/>
      <c r="Y3045" s="6"/>
      <c r="Z3045" s="6"/>
    </row>
    <row r="3046" customFormat="false" ht="15" hidden="false" customHeight="false" outlineLevel="0" collapsed="false">
      <c r="A3046" s="9" t="s">
        <v>8889</v>
      </c>
      <c r="B3046" s="9" t="s">
        <v>5870</v>
      </c>
      <c r="C3046" s="9" t="s">
        <v>3296</v>
      </c>
      <c r="D3046" s="9" t="s">
        <v>5871</v>
      </c>
      <c r="E3046" s="9" t="str">
        <f aca="false">IF(AND('Formation Ledger'!A3025&lt;&gt;"",'Formation Ledger'!V3025=0),"PASS","FAIL")</f>
        <v>PASS</v>
      </c>
      <c r="F3046" s="9" t="s">
        <v>76</v>
      </c>
      <c r="G3046" s="6"/>
      <c r="H3046" s="6"/>
      <c r="I3046" s="6"/>
      <c r="J3046" s="6"/>
      <c r="K3046" s="6"/>
      <c r="L3046" s="6"/>
      <c r="M3046" s="6"/>
      <c r="N3046" s="6"/>
      <c r="O3046" s="6"/>
      <c r="P3046" s="6"/>
      <c r="Q3046" s="6"/>
      <c r="R3046" s="6"/>
      <c r="S3046" s="6"/>
      <c r="T3046" s="6"/>
      <c r="U3046" s="6"/>
      <c r="V3046" s="6"/>
      <c r="W3046" s="6"/>
      <c r="X3046" s="6"/>
      <c r="Y3046" s="6"/>
      <c r="Z3046" s="6"/>
    </row>
    <row r="3047" customFormat="false" ht="15" hidden="false" customHeight="false" outlineLevel="0" collapsed="false">
      <c r="A3047" s="9" t="s">
        <v>8890</v>
      </c>
      <c r="B3047" s="9" t="s">
        <v>5870</v>
      </c>
      <c r="C3047" s="9" t="s">
        <v>3297</v>
      </c>
      <c r="D3047" s="9" t="s">
        <v>5871</v>
      </c>
      <c r="E3047" s="9" t="str">
        <f aca="false">IF(AND('Formation Ledger'!A3026&lt;&gt;"",'Formation Ledger'!V3026=0),"PASS","FAIL")</f>
        <v>PASS</v>
      </c>
      <c r="F3047" s="9" t="s">
        <v>76</v>
      </c>
      <c r="G3047" s="6"/>
      <c r="H3047" s="6"/>
      <c r="I3047" s="6"/>
      <c r="J3047" s="6"/>
      <c r="K3047" s="6"/>
      <c r="L3047" s="6"/>
      <c r="M3047" s="6"/>
      <c r="N3047" s="6"/>
      <c r="O3047" s="6"/>
      <c r="P3047" s="6"/>
      <c r="Q3047" s="6"/>
      <c r="R3047" s="6"/>
      <c r="S3047" s="6"/>
      <c r="T3047" s="6"/>
      <c r="U3047" s="6"/>
      <c r="V3047" s="6"/>
      <c r="W3047" s="6"/>
      <c r="X3047" s="6"/>
      <c r="Y3047" s="6"/>
      <c r="Z3047" s="6"/>
    </row>
    <row r="3048" customFormat="false" ht="15" hidden="false" customHeight="false" outlineLevel="0" collapsed="false">
      <c r="A3048" s="9" t="s">
        <v>8891</v>
      </c>
      <c r="B3048" s="9" t="s">
        <v>5870</v>
      </c>
      <c r="C3048" s="9" t="s">
        <v>3298</v>
      </c>
      <c r="D3048" s="9" t="s">
        <v>5871</v>
      </c>
      <c r="E3048" s="9" t="str">
        <f aca="false">IF(AND('Formation Ledger'!A3027&lt;&gt;"",'Formation Ledger'!V3027=0),"PASS","FAIL")</f>
        <v>PASS</v>
      </c>
      <c r="F3048" s="9" t="s">
        <v>76</v>
      </c>
      <c r="G3048" s="6"/>
      <c r="H3048" s="6"/>
      <c r="I3048" s="6"/>
      <c r="J3048" s="6"/>
      <c r="K3048" s="6"/>
      <c r="L3048" s="6"/>
      <c r="M3048" s="6"/>
      <c r="N3048" s="6"/>
      <c r="O3048" s="6"/>
      <c r="P3048" s="6"/>
      <c r="Q3048" s="6"/>
      <c r="R3048" s="6"/>
      <c r="S3048" s="6"/>
      <c r="T3048" s="6"/>
      <c r="U3048" s="6"/>
      <c r="V3048" s="6"/>
      <c r="W3048" s="6"/>
      <c r="X3048" s="6"/>
      <c r="Y3048" s="6"/>
      <c r="Z3048" s="6"/>
    </row>
    <row r="3049" customFormat="false" ht="15" hidden="false" customHeight="false" outlineLevel="0" collapsed="false">
      <c r="A3049" s="9" t="s">
        <v>8892</v>
      </c>
      <c r="B3049" s="9" t="s">
        <v>5870</v>
      </c>
      <c r="C3049" s="9" t="s">
        <v>3299</v>
      </c>
      <c r="D3049" s="9" t="s">
        <v>5871</v>
      </c>
      <c r="E3049" s="9" t="str">
        <f aca="false">IF(AND('Formation Ledger'!A3028&lt;&gt;"",'Formation Ledger'!V3028=0),"PASS","FAIL")</f>
        <v>PASS</v>
      </c>
      <c r="F3049" s="9" t="s">
        <v>76</v>
      </c>
      <c r="G3049" s="6"/>
      <c r="H3049" s="6"/>
      <c r="I3049" s="6"/>
      <c r="J3049" s="6"/>
      <c r="K3049" s="6"/>
      <c r="L3049" s="6"/>
      <c r="M3049" s="6"/>
      <c r="N3049" s="6"/>
      <c r="O3049" s="6"/>
      <c r="P3049" s="6"/>
      <c r="Q3049" s="6"/>
      <c r="R3049" s="6"/>
      <c r="S3049" s="6"/>
      <c r="T3049" s="6"/>
      <c r="U3049" s="6"/>
      <c r="V3049" s="6"/>
      <c r="W3049" s="6"/>
      <c r="X3049" s="6"/>
      <c r="Y3049" s="6"/>
      <c r="Z3049" s="6"/>
    </row>
    <row r="3050" customFormat="false" ht="15" hidden="false" customHeight="false" outlineLevel="0" collapsed="false">
      <c r="A3050" s="9" t="s">
        <v>8893</v>
      </c>
      <c r="B3050" s="9" t="s">
        <v>5870</v>
      </c>
      <c r="C3050" s="9" t="s">
        <v>3300</v>
      </c>
      <c r="D3050" s="9" t="s">
        <v>5871</v>
      </c>
      <c r="E3050" s="9" t="str">
        <f aca="false">IF(AND('Formation Ledger'!A3029&lt;&gt;"",'Formation Ledger'!V3029=0),"PASS","FAIL")</f>
        <v>PASS</v>
      </c>
      <c r="F3050" s="9" t="s">
        <v>76</v>
      </c>
      <c r="G3050" s="6"/>
      <c r="H3050" s="6"/>
      <c r="I3050" s="6"/>
      <c r="J3050" s="6"/>
      <c r="K3050" s="6"/>
      <c r="L3050" s="6"/>
      <c r="M3050" s="6"/>
      <c r="N3050" s="6"/>
      <c r="O3050" s="6"/>
      <c r="P3050" s="6"/>
      <c r="Q3050" s="6"/>
      <c r="R3050" s="6"/>
      <c r="S3050" s="6"/>
      <c r="T3050" s="6"/>
      <c r="U3050" s="6"/>
      <c r="V3050" s="6"/>
      <c r="W3050" s="6"/>
      <c r="X3050" s="6"/>
      <c r="Y3050" s="6"/>
      <c r="Z3050" s="6"/>
    </row>
    <row r="3051" customFormat="false" ht="15" hidden="false" customHeight="false" outlineLevel="0" collapsed="false">
      <c r="A3051" s="9" t="s">
        <v>8894</v>
      </c>
      <c r="B3051" s="9" t="s">
        <v>5870</v>
      </c>
      <c r="C3051" s="9" t="s">
        <v>3301</v>
      </c>
      <c r="D3051" s="9" t="s">
        <v>5871</v>
      </c>
      <c r="E3051" s="9" t="str">
        <f aca="false">IF(AND('Formation Ledger'!A3030&lt;&gt;"",'Formation Ledger'!V3030=0),"PASS","FAIL")</f>
        <v>PASS</v>
      </c>
      <c r="F3051" s="9" t="s">
        <v>76</v>
      </c>
      <c r="G3051" s="6"/>
      <c r="H3051" s="6"/>
      <c r="I3051" s="6"/>
      <c r="J3051" s="6"/>
      <c r="K3051" s="6"/>
      <c r="L3051" s="6"/>
      <c r="M3051" s="6"/>
      <c r="N3051" s="6"/>
      <c r="O3051" s="6"/>
      <c r="P3051" s="6"/>
      <c r="Q3051" s="6"/>
      <c r="R3051" s="6"/>
      <c r="S3051" s="6"/>
      <c r="T3051" s="6"/>
      <c r="U3051" s="6"/>
      <c r="V3051" s="6"/>
      <c r="W3051" s="6"/>
      <c r="X3051" s="6"/>
      <c r="Y3051" s="6"/>
      <c r="Z3051" s="6"/>
    </row>
    <row r="3052" customFormat="false" ht="15" hidden="false" customHeight="false" outlineLevel="0" collapsed="false">
      <c r="A3052" s="9" t="s">
        <v>8895</v>
      </c>
      <c r="B3052" s="9" t="s">
        <v>5870</v>
      </c>
      <c r="C3052" s="9" t="s">
        <v>3302</v>
      </c>
      <c r="D3052" s="9" t="s">
        <v>5871</v>
      </c>
      <c r="E3052" s="9" t="str">
        <f aca="false">IF(AND('Formation Ledger'!A3031&lt;&gt;"",'Formation Ledger'!V3031=0),"PASS","FAIL")</f>
        <v>PASS</v>
      </c>
      <c r="F3052" s="9" t="s">
        <v>76</v>
      </c>
      <c r="G3052" s="6"/>
      <c r="H3052" s="6"/>
      <c r="I3052" s="6"/>
      <c r="J3052" s="6"/>
      <c r="K3052" s="6"/>
      <c r="L3052" s="6"/>
      <c r="M3052" s="6"/>
      <c r="N3052" s="6"/>
      <c r="O3052" s="6"/>
      <c r="P3052" s="6"/>
      <c r="Q3052" s="6"/>
      <c r="R3052" s="6"/>
      <c r="S3052" s="6"/>
      <c r="T3052" s="6"/>
      <c r="U3052" s="6"/>
      <c r="V3052" s="6"/>
      <c r="W3052" s="6"/>
      <c r="X3052" s="6"/>
      <c r="Y3052" s="6"/>
      <c r="Z3052" s="6"/>
    </row>
    <row r="3053" customFormat="false" ht="15" hidden="false" customHeight="false" outlineLevel="0" collapsed="false">
      <c r="A3053" s="9" t="s">
        <v>8896</v>
      </c>
      <c r="B3053" s="9" t="s">
        <v>5870</v>
      </c>
      <c r="C3053" s="9" t="s">
        <v>3303</v>
      </c>
      <c r="D3053" s="9" t="s">
        <v>5871</v>
      </c>
      <c r="E3053" s="9" t="str">
        <f aca="false">IF(AND('Formation Ledger'!A3032&lt;&gt;"",'Formation Ledger'!V3032=0),"PASS","FAIL")</f>
        <v>PASS</v>
      </c>
      <c r="F3053" s="9" t="s">
        <v>76</v>
      </c>
      <c r="G3053" s="6"/>
      <c r="H3053" s="6"/>
      <c r="I3053" s="6"/>
      <c r="J3053" s="6"/>
      <c r="K3053" s="6"/>
      <c r="L3053" s="6"/>
      <c r="M3053" s="6"/>
      <c r="N3053" s="6"/>
      <c r="O3053" s="6"/>
      <c r="P3053" s="6"/>
      <c r="Q3053" s="6"/>
      <c r="R3053" s="6"/>
      <c r="S3053" s="6"/>
      <c r="T3053" s="6"/>
      <c r="U3053" s="6"/>
      <c r="V3053" s="6"/>
      <c r="W3053" s="6"/>
      <c r="X3053" s="6"/>
      <c r="Y3053" s="6"/>
      <c r="Z3053" s="6"/>
    </row>
    <row r="3054" customFormat="false" ht="15" hidden="false" customHeight="false" outlineLevel="0" collapsed="false">
      <c r="A3054" s="9" t="s">
        <v>8897</v>
      </c>
      <c r="B3054" s="9" t="s">
        <v>5870</v>
      </c>
      <c r="C3054" s="9" t="s">
        <v>3304</v>
      </c>
      <c r="D3054" s="9" t="s">
        <v>5871</v>
      </c>
      <c r="E3054" s="9" t="str">
        <f aca="false">IF(AND('Formation Ledger'!A3033&lt;&gt;"",'Formation Ledger'!V3033=0),"PASS","FAIL")</f>
        <v>PASS</v>
      </c>
      <c r="F3054" s="9" t="s">
        <v>76</v>
      </c>
      <c r="G3054" s="6"/>
      <c r="H3054" s="6"/>
      <c r="I3054" s="6"/>
      <c r="J3054" s="6"/>
      <c r="K3054" s="6"/>
      <c r="L3054" s="6"/>
      <c r="M3054" s="6"/>
      <c r="N3054" s="6"/>
      <c r="O3054" s="6"/>
      <c r="P3054" s="6"/>
      <c r="Q3054" s="6"/>
      <c r="R3054" s="6"/>
      <c r="S3054" s="6"/>
      <c r="T3054" s="6"/>
      <c r="U3054" s="6"/>
      <c r="V3054" s="6"/>
      <c r="W3054" s="6"/>
      <c r="X3054" s="6"/>
      <c r="Y3054" s="6"/>
      <c r="Z3054" s="6"/>
    </row>
    <row r="3055" customFormat="false" ht="15" hidden="false" customHeight="false" outlineLevel="0" collapsed="false">
      <c r="A3055" s="9" t="s">
        <v>8898</v>
      </c>
      <c r="B3055" s="9" t="s">
        <v>5870</v>
      </c>
      <c r="C3055" s="9" t="s">
        <v>3305</v>
      </c>
      <c r="D3055" s="9" t="s">
        <v>5871</v>
      </c>
      <c r="E3055" s="9" t="str">
        <f aca="false">IF(AND('Formation Ledger'!A3034&lt;&gt;"",'Formation Ledger'!V3034=0),"PASS","FAIL")</f>
        <v>PASS</v>
      </c>
      <c r="F3055" s="9" t="s">
        <v>76</v>
      </c>
      <c r="G3055" s="6"/>
      <c r="H3055" s="6"/>
      <c r="I3055" s="6"/>
      <c r="J3055" s="6"/>
      <c r="K3055" s="6"/>
      <c r="L3055" s="6"/>
      <c r="M3055" s="6"/>
      <c r="N3055" s="6"/>
      <c r="O3055" s="6"/>
      <c r="P3055" s="6"/>
      <c r="Q3055" s="6"/>
      <c r="R3055" s="6"/>
      <c r="S3055" s="6"/>
      <c r="T3055" s="6"/>
      <c r="U3055" s="6"/>
      <c r="V3055" s="6"/>
      <c r="W3055" s="6"/>
      <c r="X3055" s="6"/>
      <c r="Y3055" s="6"/>
      <c r="Z3055" s="6"/>
    </row>
    <row r="3056" customFormat="false" ht="15" hidden="false" customHeight="false" outlineLevel="0" collapsed="false">
      <c r="A3056" s="9" t="s">
        <v>8899</v>
      </c>
      <c r="B3056" s="9" t="s">
        <v>5870</v>
      </c>
      <c r="C3056" s="9" t="s">
        <v>3306</v>
      </c>
      <c r="D3056" s="9" t="s">
        <v>5871</v>
      </c>
      <c r="E3056" s="9" t="str">
        <f aca="false">IF(AND('Formation Ledger'!A3035&lt;&gt;"",'Formation Ledger'!V3035=0),"PASS","FAIL")</f>
        <v>PASS</v>
      </c>
      <c r="F3056" s="9" t="s">
        <v>76</v>
      </c>
      <c r="G3056" s="6"/>
      <c r="H3056" s="6"/>
      <c r="I3056" s="6"/>
      <c r="J3056" s="6"/>
      <c r="K3056" s="6"/>
      <c r="L3056" s="6"/>
      <c r="M3056" s="6"/>
      <c r="N3056" s="6"/>
      <c r="O3056" s="6"/>
      <c r="P3056" s="6"/>
      <c r="Q3056" s="6"/>
      <c r="R3056" s="6"/>
      <c r="S3056" s="6"/>
      <c r="T3056" s="6"/>
      <c r="U3056" s="6"/>
      <c r="V3056" s="6"/>
      <c r="W3056" s="6"/>
      <c r="X3056" s="6"/>
      <c r="Y3056" s="6"/>
      <c r="Z3056" s="6"/>
    </row>
    <row r="3057" customFormat="false" ht="15" hidden="false" customHeight="false" outlineLevel="0" collapsed="false">
      <c r="A3057" s="9" t="s">
        <v>8900</v>
      </c>
      <c r="B3057" s="9" t="s">
        <v>5870</v>
      </c>
      <c r="C3057" s="9" t="s">
        <v>3307</v>
      </c>
      <c r="D3057" s="9" t="s">
        <v>5871</v>
      </c>
      <c r="E3057" s="9" t="str">
        <f aca="false">IF(AND('Formation Ledger'!A3036&lt;&gt;"",'Formation Ledger'!V3036=0),"PASS","FAIL")</f>
        <v>PASS</v>
      </c>
      <c r="F3057" s="9" t="s">
        <v>76</v>
      </c>
      <c r="G3057" s="6"/>
      <c r="H3057" s="6"/>
      <c r="I3057" s="6"/>
      <c r="J3057" s="6"/>
      <c r="K3057" s="6"/>
      <c r="L3057" s="6"/>
      <c r="M3057" s="6"/>
      <c r="N3057" s="6"/>
      <c r="O3057" s="6"/>
      <c r="P3057" s="6"/>
      <c r="Q3057" s="6"/>
      <c r="R3057" s="6"/>
      <c r="S3057" s="6"/>
      <c r="T3057" s="6"/>
      <c r="U3057" s="6"/>
      <c r="V3057" s="6"/>
      <c r="W3057" s="6"/>
      <c r="X3057" s="6"/>
      <c r="Y3057" s="6"/>
      <c r="Z3057" s="6"/>
    </row>
    <row r="3058" customFormat="false" ht="15" hidden="false" customHeight="false" outlineLevel="0" collapsed="false">
      <c r="A3058" s="9" t="s">
        <v>8901</v>
      </c>
      <c r="B3058" s="9" t="s">
        <v>5870</v>
      </c>
      <c r="C3058" s="9" t="s">
        <v>3308</v>
      </c>
      <c r="D3058" s="9" t="s">
        <v>5871</v>
      </c>
      <c r="E3058" s="9" t="str">
        <f aca="false">IF(AND('Formation Ledger'!A3037&lt;&gt;"",'Formation Ledger'!V3037=0),"PASS","FAIL")</f>
        <v>PASS</v>
      </c>
      <c r="F3058" s="9" t="s">
        <v>76</v>
      </c>
      <c r="G3058" s="6"/>
      <c r="H3058" s="6"/>
      <c r="I3058" s="6"/>
      <c r="J3058" s="6"/>
      <c r="K3058" s="6"/>
      <c r="L3058" s="6"/>
      <c r="M3058" s="6"/>
      <c r="N3058" s="6"/>
      <c r="O3058" s="6"/>
      <c r="P3058" s="6"/>
      <c r="Q3058" s="6"/>
      <c r="R3058" s="6"/>
      <c r="S3058" s="6"/>
      <c r="T3058" s="6"/>
      <c r="U3058" s="6"/>
      <c r="V3058" s="6"/>
      <c r="W3058" s="6"/>
      <c r="X3058" s="6"/>
      <c r="Y3058" s="6"/>
      <c r="Z3058" s="6"/>
    </row>
    <row r="3059" customFormat="false" ht="15" hidden="false" customHeight="false" outlineLevel="0" collapsed="false">
      <c r="A3059" s="9" t="s">
        <v>8902</v>
      </c>
      <c r="B3059" s="9" t="s">
        <v>5870</v>
      </c>
      <c r="C3059" s="9" t="s">
        <v>3309</v>
      </c>
      <c r="D3059" s="9" t="s">
        <v>5871</v>
      </c>
      <c r="E3059" s="9" t="str">
        <f aca="false">IF(AND('Formation Ledger'!A3038&lt;&gt;"",'Formation Ledger'!V3038=0),"PASS","FAIL")</f>
        <v>PASS</v>
      </c>
      <c r="F3059" s="9" t="s">
        <v>76</v>
      </c>
      <c r="G3059" s="6"/>
      <c r="H3059" s="6"/>
      <c r="I3059" s="6"/>
      <c r="J3059" s="6"/>
      <c r="K3059" s="6"/>
      <c r="L3059" s="6"/>
      <c r="M3059" s="6"/>
      <c r="N3059" s="6"/>
      <c r="O3059" s="6"/>
      <c r="P3059" s="6"/>
      <c r="Q3059" s="6"/>
      <c r="R3059" s="6"/>
      <c r="S3059" s="6"/>
      <c r="T3059" s="6"/>
      <c r="U3059" s="6"/>
      <c r="V3059" s="6"/>
      <c r="W3059" s="6"/>
      <c r="X3059" s="6"/>
      <c r="Y3059" s="6"/>
      <c r="Z3059" s="6"/>
    </row>
    <row r="3060" customFormat="false" ht="15" hidden="false" customHeight="false" outlineLevel="0" collapsed="false">
      <c r="A3060" s="9" t="s">
        <v>8903</v>
      </c>
      <c r="B3060" s="9" t="s">
        <v>5870</v>
      </c>
      <c r="C3060" s="9" t="s">
        <v>3310</v>
      </c>
      <c r="D3060" s="9" t="s">
        <v>5871</v>
      </c>
      <c r="E3060" s="9" t="str">
        <f aca="false">IF(AND('Formation Ledger'!A3039&lt;&gt;"",'Formation Ledger'!V3039=0),"PASS","FAIL")</f>
        <v>PASS</v>
      </c>
      <c r="F3060" s="9" t="s">
        <v>76</v>
      </c>
      <c r="G3060" s="6"/>
      <c r="H3060" s="6"/>
      <c r="I3060" s="6"/>
      <c r="J3060" s="6"/>
      <c r="K3060" s="6"/>
      <c r="L3060" s="6"/>
      <c r="M3060" s="6"/>
      <c r="N3060" s="6"/>
      <c r="O3060" s="6"/>
      <c r="P3060" s="6"/>
      <c r="Q3060" s="6"/>
      <c r="R3060" s="6"/>
      <c r="S3060" s="6"/>
      <c r="T3060" s="6"/>
      <c r="U3060" s="6"/>
      <c r="V3060" s="6"/>
      <c r="W3060" s="6"/>
      <c r="X3060" s="6"/>
      <c r="Y3060" s="6"/>
      <c r="Z3060" s="6"/>
    </row>
    <row r="3061" customFormat="false" ht="15" hidden="false" customHeight="false" outlineLevel="0" collapsed="false">
      <c r="A3061" s="9" t="s">
        <v>8904</v>
      </c>
      <c r="B3061" s="9" t="s">
        <v>5870</v>
      </c>
      <c r="C3061" s="9" t="s">
        <v>3311</v>
      </c>
      <c r="D3061" s="9" t="s">
        <v>5871</v>
      </c>
      <c r="E3061" s="9" t="str">
        <f aca="false">IF(AND('Formation Ledger'!A3040&lt;&gt;"",'Formation Ledger'!V3040=0),"PASS","FAIL")</f>
        <v>PASS</v>
      </c>
      <c r="F3061" s="9" t="s">
        <v>76</v>
      </c>
      <c r="G3061" s="6"/>
      <c r="H3061" s="6"/>
      <c r="I3061" s="6"/>
      <c r="J3061" s="6"/>
      <c r="K3061" s="6"/>
      <c r="L3061" s="6"/>
      <c r="M3061" s="6"/>
      <c r="N3061" s="6"/>
      <c r="O3061" s="6"/>
      <c r="P3061" s="6"/>
      <c r="Q3061" s="6"/>
      <c r="R3061" s="6"/>
      <c r="S3061" s="6"/>
      <c r="T3061" s="6"/>
      <c r="U3061" s="6"/>
      <c r="V3061" s="6"/>
      <c r="W3061" s="6"/>
      <c r="X3061" s="6"/>
      <c r="Y3061" s="6"/>
      <c r="Z3061" s="6"/>
    </row>
    <row r="3062" customFormat="false" ht="15" hidden="false" customHeight="false" outlineLevel="0" collapsed="false">
      <c r="A3062" s="9" t="s">
        <v>8905</v>
      </c>
      <c r="B3062" s="9" t="s">
        <v>5870</v>
      </c>
      <c r="C3062" s="9" t="s">
        <v>3312</v>
      </c>
      <c r="D3062" s="9" t="s">
        <v>5871</v>
      </c>
      <c r="E3062" s="9" t="str">
        <f aca="false">IF(AND('Formation Ledger'!A3041&lt;&gt;"",'Formation Ledger'!V3041=0),"PASS","FAIL")</f>
        <v>PASS</v>
      </c>
      <c r="F3062" s="9" t="s">
        <v>76</v>
      </c>
      <c r="G3062" s="6"/>
      <c r="H3062" s="6"/>
      <c r="I3062" s="6"/>
      <c r="J3062" s="6"/>
      <c r="K3062" s="6"/>
      <c r="L3062" s="6"/>
      <c r="M3062" s="6"/>
      <c r="N3062" s="6"/>
      <c r="O3062" s="6"/>
      <c r="P3062" s="6"/>
      <c r="Q3062" s="6"/>
      <c r="R3062" s="6"/>
      <c r="S3062" s="6"/>
      <c r="T3062" s="6"/>
      <c r="U3062" s="6"/>
      <c r="V3062" s="6"/>
      <c r="W3062" s="6"/>
      <c r="X3062" s="6"/>
      <c r="Y3062" s="6"/>
      <c r="Z3062" s="6"/>
    </row>
    <row r="3063" customFormat="false" ht="15" hidden="false" customHeight="false" outlineLevel="0" collapsed="false">
      <c r="A3063" s="9" t="s">
        <v>8906</v>
      </c>
      <c r="B3063" s="9" t="s">
        <v>5870</v>
      </c>
      <c r="C3063" s="9" t="s">
        <v>3313</v>
      </c>
      <c r="D3063" s="9" t="s">
        <v>5871</v>
      </c>
      <c r="E3063" s="9" t="str">
        <f aca="false">IF(AND('Formation Ledger'!A3042&lt;&gt;"",'Formation Ledger'!V3042=0),"PASS","FAIL")</f>
        <v>PASS</v>
      </c>
      <c r="F3063" s="9" t="s">
        <v>76</v>
      </c>
      <c r="G3063" s="6"/>
      <c r="H3063" s="6"/>
      <c r="I3063" s="6"/>
      <c r="J3063" s="6"/>
      <c r="K3063" s="6"/>
      <c r="L3063" s="6"/>
      <c r="M3063" s="6"/>
      <c r="N3063" s="6"/>
      <c r="O3063" s="6"/>
      <c r="P3063" s="6"/>
      <c r="Q3063" s="6"/>
      <c r="R3063" s="6"/>
      <c r="S3063" s="6"/>
      <c r="T3063" s="6"/>
      <c r="U3063" s="6"/>
      <c r="V3063" s="6"/>
      <c r="W3063" s="6"/>
      <c r="X3063" s="6"/>
      <c r="Y3063" s="6"/>
      <c r="Z3063" s="6"/>
    </row>
    <row r="3064" customFormat="false" ht="15" hidden="false" customHeight="false" outlineLevel="0" collapsed="false">
      <c r="A3064" s="9" t="s">
        <v>8907</v>
      </c>
      <c r="B3064" s="9" t="s">
        <v>5870</v>
      </c>
      <c r="C3064" s="9" t="s">
        <v>3314</v>
      </c>
      <c r="D3064" s="9" t="s">
        <v>5871</v>
      </c>
      <c r="E3064" s="9" t="str">
        <f aca="false">IF(AND('Formation Ledger'!A3043&lt;&gt;"",'Formation Ledger'!V3043=0),"PASS","FAIL")</f>
        <v>PASS</v>
      </c>
      <c r="F3064" s="9" t="s">
        <v>76</v>
      </c>
      <c r="G3064" s="6"/>
      <c r="H3064" s="6"/>
      <c r="I3064" s="6"/>
      <c r="J3064" s="6"/>
      <c r="K3064" s="6"/>
      <c r="L3064" s="6"/>
      <c r="M3064" s="6"/>
      <c r="N3064" s="6"/>
      <c r="O3064" s="6"/>
      <c r="P3064" s="6"/>
      <c r="Q3064" s="6"/>
      <c r="R3064" s="6"/>
      <c r="S3064" s="6"/>
      <c r="T3064" s="6"/>
      <c r="U3064" s="6"/>
      <c r="V3064" s="6"/>
      <c r="W3064" s="6"/>
      <c r="X3064" s="6"/>
      <c r="Y3064" s="6"/>
      <c r="Z3064" s="6"/>
    </row>
    <row r="3065" customFormat="false" ht="15" hidden="false" customHeight="false" outlineLevel="0" collapsed="false">
      <c r="A3065" s="9" t="s">
        <v>8908</v>
      </c>
      <c r="B3065" s="9" t="s">
        <v>5870</v>
      </c>
      <c r="C3065" s="9" t="s">
        <v>3315</v>
      </c>
      <c r="D3065" s="9" t="s">
        <v>5871</v>
      </c>
      <c r="E3065" s="9" t="str">
        <f aca="false">IF(AND('Formation Ledger'!A3044&lt;&gt;"",'Formation Ledger'!V3044=0),"PASS","FAIL")</f>
        <v>PASS</v>
      </c>
      <c r="F3065" s="9" t="s">
        <v>76</v>
      </c>
      <c r="G3065" s="6"/>
      <c r="H3065" s="6"/>
      <c r="I3065" s="6"/>
      <c r="J3065" s="6"/>
      <c r="K3065" s="6"/>
      <c r="L3065" s="6"/>
      <c r="M3065" s="6"/>
      <c r="N3065" s="6"/>
      <c r="O3065" s="6"/>
      <c r="P3065" s="6"/>
      <c r="Q3065" s="6"/>
      <c r="R3065" s="6"/>
      <c r="S3065" s="6"/>
      <c r="T3065" s="6"/>
      <c r="U3065" s="6"/>
      <c r="V3065" s="6"/>
      <c r="W3065" s="6"/>
      <c r="X3065" s="6"/>
      <c r="Y3065" s="6"/>
      <c r="Z3065" s="6"/>
    </row>
    <row r="3066" customFormat="false" ht="15" hidden="false" customHeight="false" outlineLevel="0" collapsed="false">
      <c r="A3066" s="9" t="s">
        <v>8909</v>
      </c>
      <c r="B3066" s="9" t="s">
        <v>5870</v>
      </c>
      <c r="C3066" s="9" t="s">
        <v>3316</v>
      </c>
      <c r="D3066" s="9" t="s">
        <v>5871</v>
      </c>
      <c r="E3066" s="9" t="str">
        <f aca="false">IF(AND('Formation Ledger'!A3045&lt;&gt;"",'Formation Ledger'!V3045=0),"PASS","FAIL")</f>
        <v>PASS</v>
      </c>
      <c r="F3066" s="9" t="s">
        <v>76</v>
      </c>
      <c r="G3066" s="6"/>
      <c r="H3066" s="6"/>
      <c r="I3066" s="6"/>
      <c r="J3066" s="6"/>
      <c r="K3066" s="6"/>
      <c r="L3066" s="6"/>
      <c r="M3066" s="6"/>
      <c r="N3066" s="6"/>
      <c r="O3066" s="6"/>
      <c r="P3066" s="6"/>
      <c r="Q3066" s="6"/>
      <c r="R3066" s="6"/>
      <c r="S3066" s="6"/>
      <c r="T3066" s="6"/>
      <c r="U3066" s="6"/>
      <c r="V3066" s="6"/>
      <c r="W3066" s="6"/>
      <c r="X3066" s="6"/>
      <c r="Y3066" s="6"/>
      <c r="Z3066" s="6"/>
    </row>
    <row r="3067" customFormat="false" ht="15" hidden="false" customHeight="false" outlineLevel="0" collapsed="false">
      <c r="A3067" s="9" t="s">
        <v>8910</v>
      </c>
      <c r="B3067" s="9" t="s">
        <v>5870</v>
      </c>
      <c r="C3067" s="9" t="s">
        <v>3317</v>
      </c>
      <c r="D3067" s="9" t="s">
        <v>5871</v>
      </c>
      <c r="E3067" s="9" t="str">
        <f aca="false">IF(AND('Formation Ledger'!A3046&lt;&gt;"",'Formation Ledger'!V3046=0),"PASS","FAIL")</f>
        <v>PASS</v>
      </c>
      <c r="F3067" s="9" t="s">
        <v>76</v>
      </c>
      <c r="G3067" s="6"/>
      <c r="H3067" s="6"/>
      <c r="I3067" s="6"/>
      <c r="J3067" s="6"/>
      <c r="K3067" s="6"/>
      <c r="L3067" s="6"/>
      <c r="M3067" s="6"/>
      <c r="N3067" s="6"/>
      <c r="O3067" s="6"/>
      <c r="P3067" s="6"/>
      <c r="Q3067" s="6"/>
      <c r="R3067" s="6"/>
      <c r="S3067" s="6"/>
      <c r="T3067" s="6"/>
      <c r="U3067" s="6"/>
      <c r="V3067" s="6"/>
      <c r="W3067" s="6"/>
      <c r="X3067" s="6"/>
      <c r="Y3067" s="6"/>
      <c r="Z3067" s="6"/>
    </row>
    <row r="3068" customFormat="false" ht="15" hidden="false" customHeight="false" outlineLevel="0" collapsed="false">
      <c r="A3068" s="9" t="s">
        <v>8911</v>
      </c>
      <c r="B3068" s="9" t="s">
        <v>5870</v>
      </c>
      <c r="C3068" s="9" t="s">
        <v>3318</v>
      </c>
      <c r="D3068" s="9" t="s">
        <v>5871</v>
      </c>
      <c r="E3068" s="9" t="str">
        <f aca="false">IF(AND('Formation Ledger'!A3047&lt;&gt;"",'Formation Ledger'!V3047=0),"PASS","FAIL")</f>
        <v>PASS</v>
      </c>
      <c r="F3068" s="9" t="s">
        <v>76</v>
      </c>
      <c r="G3068" s="6"/>
      <c r="H3068" s="6"/>
      <c r="I3068" s="6"/>
      <c r="J3068" s="6"/>
      <c r="K3068" s="6"/>
      <c r="L3068" s="6"/>
      <c r="M3068" s="6"/>
      <c r="N3068" s="6"/>
      <c r="O3068" s="6"/>
      <c r="P3068" s="6"/>
      <c r="Q3068" s="6"/>
      <c r="R3068" s="6"/>
      <c r="S3068" s="6"/>
      <c r="T3068" s="6"/>
      <c r="U3068" s="6"/>
      <c r="V3068" s="6"/>
      <c r="W3068" s="6"/>
      <c r="X3068" s="6"/>
      <c r="Y3068" s="6"/>
      <c r="Z3068" s="6"/>
    </row>
    <row r="3069" customFormat="false" ht="15" hidden="false" customHeight="false" outlineLevel="0" collapsed="false">
      <c r="A3069" s="9" t="s">
        <v>8912</v>
      </c>
      <c r="B3069" s="9" t="s">
        <v>5870</v>
      </c>
      <c r="C3069" s="9" t="s">
        <v>3319</v>
      </c>
      <c r="D3069" s="9" t="s">
        <v>5871</v>
      </c>
      <c r="E3069" s="9" t="str">
        <f aca="false">IF(AND('Formation Ledger'!A3048&lt;&gt;"",'Formation Ledger'!V3048=0),"PASS","FAIL")</f>
        <v>PASS</v>
      </c>
      <c r="F3069" s="9" t="s">
        <v>76</v>
      </c>
      <c r="G3069" s="6"/>
      <c r="H3069" s="6"/>
      <c r="I3069" s="6"/>
      <c r="J3069" s="6"/>
      <c r="K3069" s="6"/>
      <c r="L3069" s="6"/>
      <c r="M3069" s="6"/>
      <c r="N3069" s="6"/>
      <c r="O3069" s="6"/>
      <c r="P3069" s="6"/>
      <c r="Q3069" s="6"/>
      <c r="R3069" s="6"/>
      <c r="S3069" s="6"/>
      <c r="T3069" s="6"/>
      <c r="U3069" s="6"/>
      <c r="V3069" s="6"/>
      <c r="W3069" s="6"/>
      <c r="X3069" s="6"/>
      <c r="Y3069" s="6"/>
      <c r="Z3069" s="6"/>
    </row>
    <row r="3070" customFormat="false" ht="15" hidden="false" customHeight="false" outlineLevel="0" collapsed="false">
      <c r="A3070" s="9" t="s">
        <v>8913</v>
      </c>
      <c r="B3070" s="9" t="s">
        <v>5870</v>
      </c>
      <c r="C3070" s="9" t="s">
        <v>3320</v>
      </c>
      <c r="D3070" s="9" t="s">
        <v>5871</v>
      </c>
      <c r="E3070" s="9" t="str">
        <f aca="false">IF(AND('Formation Ledger'!A3049&lt;&gt;"",'Formation Ledger'!V3049=0),"PASS","FAIL")</f>
        <v>PASS</v>
      </c>
      <c r="F3070" s="9" t="s">
        <v>76</v>
      </c>
      <c r="G3070" s="6"/>
      <c r="H3070" s="6"/>
      <c r="I3070" s="6"/>
      <c r="J3070" s="6"/>
      <c r="K3070" s="6"/>
      <c r="L3070" s="6"/>
      <c r="M3070" s="6"/>
      <c r="N3070" s="6"/>
      <c r="O3070" s="6"/>
      <c r="P3070" s="6"/>
      <c r="Q3070" s="6"/>
      <c r="R3070" s="6"/>
      <c r="S3070" s="6"/>
      <c r="T3070" s="6"/>
      <c r="U3070" s="6"/>
      <c r="V3070" s="6"/>
      <c r="W3070" s="6"/>
      <c r="X3070" s="6"/>
      <c r="Y3070" s="6"/>
      <c r="Z3070" s="6"/>
    </row>
    <row r="3071" customFormat="false" ht="15" hidden="false" customHeight="false" outlineLevel="0" collapsed="false">
      <c r="A3071" s="9" t="s">
        <v>8914</v>
      </c>
      <c r="B3071" s="9" t="s">
        <v>5870</v>
      </c>
      <c r="C3071" s="9" t="s">
        <v>3321</v>
      </c>
      <c r="D3071" s="9" t="s">
        <v>5871</v>
      </c>
      <c r="E3071" s="9" t="str">
        <f aca="false">IF(AND('Formation Ledger'!A3050&lt;&gt;"",'Formation Ledger'!V3050=0),"PASS","FAIL")</f>
        <v>PASS</v>
      </c>
      <c r="F3071" s="9" t="s">
        <v>76</v>
      </c>
      <c r="G3071" s="6"/>
      <c r="H3071" s="6"/>
      <c r="I3071" s="6"/>
      <c r="J3071" s="6"/>
      <c r="K3071" s="6"/>
      <c r="L3071" s="6"/>
      <c r="M3071" s="6"/>
      <c r="N3071" s="6"/>
      <c r="O3071" s="6"/>
      <c r="P3071" s="6"/>
      <c r="Q3071" s="6"/>
      <c r="R3071" s="6"/>
      <c r="S3071" s="6"/>
      <c r="T3071" s="6"/>
      <c r="U3071" s="6"/>
      <c r="V3071" s="6"/>
      <c r="W3071" s="6"/>
      <c r="X3071" s="6"/>
      <c r="Y3071" s="6"/>
      <c r="Z3071" s="6"/>
    </row>
    <row r="3072" customFormat="false" ht="15" hidden="false" customHeight="false" outlineLevel="0" collapsed="false">
      <c r="A3072" s="9" t="s">
        <v>8915</v>
      </c>
      <c r="B3072" s="9" t="s">
        <v>5870</v>
      </c>
      <c r="C3072" s="9" t="s">
        <v>3322</v>
      </c>
      <c r="D3072" s="9" t="s">
        <v>5871</v>
      </c>
      <c r="E3072" s="9" t="str">
        <f aca="false">IF(AND('Formation Ledger'!A3051&lt;&gt;"",'Formation Ledger'!V3051=0),"PASS","FAIL")</f>
        <v>PASS</v>
      </c>
      <c r="F3072" s="9" t="s">
        <v>76</v>
      </c>
      <c r="G3072" s="6"/>
      <c r="H3072" s="6"/>
      <c r="I3072" s="6"/>
      <c r="J3072" s="6"/>
      <c r="K3072" s="6"/>
      <c r="L3072" s="6"/>
      <c r="M3072" s="6"/>
      <c r="N3072" s="6"/>
      <c r="O3072" s="6"/>
      <c r="P3072" s="6"/>
      <c r="Q3072" s="6"/>
      <c r="R3072" s="6"/>
      <c r="S3072" s="6"/>
      <c r="T3072" s="6"/>
      <c r="U3072" s="6"/>
      <c r="V3072" s="6"/>
      <c r="W3072" s="6"/>
      <c r="X3072" s="6"/>
      <c r="Y3072" s="6"/>
      <c r="Z3072" s="6"/>
    </row>
    <row r="3073" customFormat="false" ht="15" hidden="false" customHeight="false" outlineLevel="0" collapsed="false">
      <c r="A3073" s="9" t="s">
        <v>8916</v>
      </c>
      <c r="B3073" s="9" t="s">
        <v>5870</v>
      </c>
      <c r="C3073" s="9" t="s">
        <v>3323</v>
      </c>
      <c r="D3073" s="9" t="s">
        <v>5871</v>
      </c>
      <c r="E3073" s="9" t="str">
        <f aca="false">IF(AND('Formation Ledger'!A3052&lt;&gt;"",'Formation Ledger'!V3052=0),"PASS","FAIL")</f>
        <v>PASS</v>
      </c>
      <c r="F3073" s="9" t="s">
        <v>76</v>
      </c>
      <c r="G3073" s="6"/>
      <c r="H3073" s="6"/>
      <c r="I3073" s="6"/>
      <c r="J3073" s="6"/>
      <c r="K3073" s="6"/>
      <c r="L3073" s="6"/>
      <c r="M3073" s="6"/>
      <c r="N3073" s="6"/>
      <c r="O3073" s="6"/>
      <c r="P3073" s="6"/>
      <c r="Q3073" s="6"/>
      <c r="R3073" s="6"/>
      <c r="S3073" s="6"/>
      <c r="T3073" s="6"/>
      <c r="U3073" s="6"/>
      <c r="V3073" s="6"/>
      <c r="W3073" s="6"/>
      <c r="X3073" s="6"/>
      <c r="Y3073" s="6"/>
      <c r="Z3073" s="6"/>
    </row>
    <row r="3074" customFormat="false" ht="15" hidden="false" customHeight="false" outlineLevel="0" collapsed="false">
      <c r="A3074" s="9" t="s">
        <v>8917</v>
      </c>
      <c r="B3074" s="9" t="s">
        <v>5870</v>
      </c>
      <c r="C3074" s="9" t="s">
        <v>3324</v>
      </c>
      <c r="D3074" s="9" t="s">
        <v>5871</v>
      </c>
      <c r="E3074" s="9" t="str">
        <f aca="false">IF(AND('Formation Ledger'!A3053&lt;&gt;"",'Formation Ledger'!V3053=0),"PASS","FAIL")</f>
        <v>PASS</v>
      </c>
      <c r="F3074" s="9" t="s">
        <v>76</v>
      </c>
      <c r="G3074" s="6"/>
      <c r="H3074" s="6"/>
      <c r="I3074" s="6"/>
      <c r="J3074" s="6"/>
      <c r="K3074" s="6"/>
      <c r="L3074" s="6"/>
      <c r="M3074" s="6"/>
      <c r="N3074" s="6"/>
      <c r="O3074" s="6"/>
      <c r="P3074" s="6"/>
      <c r="Q3074" s="6"/>
      <c r="R3074" s="6"/>
      <c r="S3074" s="6"/>
      <c r="T3074" s="6"/>
      <c r="U3074" s="6"/>
      <c r="V3074" s="6"/>
      <c r="W3074" s="6"/>
      <c r="X3074" s="6"/>
      <c r="Y3074" s="6"/>
      <c r="Z3074" s="6"/>
    </row>
    <row r="3075" customFormat="false" ht="15" hidden="false" customHeight="false" outlineLevel="0" collapsed="false">
      <c r="A3075" s="9" t="s">
        <v>8918</v>
      </c>
      <c r="B3075" s="9" t="s">
        <v>5870</v>
      </c>
      <c r="C3075" s="9" t="s">
        <v>3325</v>
      </c>
      <c r="D3075" s="9" t="s">
        <v>5871</v>
      </c>
      <c r="E3075" s="9" t="str">
        <f aca="false">IF(AND('Formation Ledger'!A3054&lt;&gt;"",'Formation Ledger'!V3054=0),"PASS","FAIL")</f>
        <v>PASS</v>
      </c>
      <c r="F3075" s="9" t="s">
        <v>76</v>
      </c>
      <c r="G3075" s="6"/>
      <c r="H3075" s="6"/>
      <c r="I3075" s="6"/>
      <c r="J3075" s="6"/>
      <c r="K3075" s="6"/>
      <c r="L3075" s="6"/>
      <c r="M3075" s="6"/>
      <c r="N3075" s="6"/>
      <c r="O3075" s="6"/>
      <c r="P3075" s="6"/>
      <c r="Q3075" s="6"/>
      <c r="R3075" s="6"/>
      <c r="S3075" s="6"/>
      <c r="T3075" s="6"/>
      <c r="U3075" s="6"/>
      <c r="V3075" s="6"/>
      <c r="W3075" s="6"/>
      <c r="X3075" s="6"/>
      <c r="Y3075" s="6"/>
      <c r="Z3075" s="6"/>
    </row>
    <row r="3076" customFormat="false" ht="15" hidden="false" customHeight="false" outlineLevel="0" collapsed="false">
      <c r="A3076" s="9" t="s">
        <v>8919</v>
      </c>
      <c r="B3076" s="9" t="s">
        <v>5870</v>
      </c>
      <c r="C3076" s="9" t="s">
        <v>3326</v>
      </c>
      <c r="D3076" s="9" t="s">
        <v>5871</v>
      </c>
      <c r="E3076" s="9" t="str">
        <f aca="false">IF(AND('Formation Ledger'!A3055&lt;&gt;"",'Formation Ledger'!V3055=0),"PASS","FAIL")</f>
        <v>PASS</v>
      </c>
      <c r="F3076" s="9" t="s">
        <v>76</v>
      </c>
      <c r="G3076" s="6"/>
      <c r="H3076" s="6"/>
      <c r="I3076" s="6"/>
      <c r="J3076" s="6"/>
      <c r="K3076" s="6"/>
      <c r="L3076" s="6"/>
      <c r="M3076" s="6"/>
      <c r="N3076" s="6"/>
      <c r="O3076" s="6"/>
      <c r="P3076" s="6"/>
      <c r="Q3076" s="6"/>
      <c r="R3076" s="6"/>
      <c r="S3076" s="6"/>
      <c r="T3076" s="6"/>
      <c r="U3076" s="6"/>
      <c r="V3076" s="6"/>
      <c r="W3076" s="6"/>
      <c r="X3076" s="6"/>
      <c r="Y3076" s="6"/>
      <c r="Z3076" s="6"/>
    </row>
    <row r="3077" customFormat="false" ht="15" hidden="false" customHeight="false" outlineLevel="0" collapsed="false">
      <c r="A3077" s="9" t="s">
        <v>8920</v>
      </c>
      <c r="B3077" s="9" t="s">
        <v>5870</v>
      </c>
      <c r="C3077" s="9" t="s">
        <v>3327</v>
      </c>
      <c r="D3077" s="9" t="s">
        <v>5871</v>
      </c>
      <c r="E3077" s="9" t="str">
        <f aca="false">IF(AND('Formation Ledger'!A3056&lt;&gt;"",'Formation Ledger'!V3056=0),"PASS","FAIL")</f>
        <v>PASS</v>
      </c>
      <c r="F3077" s="9" t="s">
        <v>76</v>
      </c>
      <c r="G3077" s="6"/>
      <c r="H3077" s="6"/>
      <c r="I3077" s="6"/>
      <c r="J3077" s="6"/>
      <c r="K3077" s="6"/>
      <c r="L3077" s="6"/>
      <c r="M3077" s="6"/>
      <c r="N3077" s="6"/>
      <c r="O3077" s="6"/>
      <c r="P3077" s="6"/>
      <c r="Q3077" s="6"/>
      <c r="R3077" s="6"/>
      <c r="S3077" s="6"/>
      <c r="T3077" s="6"/>
      <c r="U3077" s="6"/>
      <c r="V3077" s="6"/>
      <c r="W3077" s="6"/>
      <c r="X3077" s="6"/>
      <c r="Y3077" s="6"/>
      <c r="Z3077" s="6"/>
    </row>
    <row r="3078" customFormat="false" ht="15" hidden="false" customHeight="false" outlineLevel="0" collapsed="false">
      <c r="A3078" s="9" t="s">
        <v>8921</v>
      </c>
      <c r="B3078" s="9" t="s">
        <v>5870</v>
      </c>
      <c r="C3078" s="9" t="s">
        <v>3328</v>
      </c>
      <c r="D3078" s="9" t="s">
        <v>5871</v>
      </c>
      <c r="E3078" s="9" t="str">
        <f aca="false">IF(AND('Formation Ledger'!A3057&lt;&gt;"",'Formation Ledger'!V3057=0),"PASS","FAIL")</f>
        <v>PASS</v>
      </c>
      <c r="F3078" s="9" t="s">
        <v>76</v>
      </c>
      <c r="G3078" s="6"/>
      <c r="H3078" s="6"/>
      <c r="I3078" s="6"/>
      <c r="J3078" s="6"/>
      <c r="K3078" s="6"/>
      <c r="L3078" s="6"/>
      <c r="M3078" s="6"/>
      <c r="N3078" s="6"/>
      <c r="O3078" s="6"/>
      <c r="P3078" s="6"/>
      <c r="Q3078" s="6"/>
      <c r="R3078" s="6"/>
      <c r="S3078" s="6"/>
      <c r="T3078" s="6"/>
      <c r="U3078" s="6"/>
      <c r="V3078" s="6"/>
      <c r="W3078" s="6"/>
      <c r="X3078" s="6"/>
      <c r="Y3078" s="6"/>
      <c r="Z3078" s="6"/>
    </row>
    <row r="3079" customFormat="false" ht="15" hidden="false" customHeight="false" outlineLevel="0" collapsed="false">
      <c r="A3079" s="9" t="s">
        <v>8922</v>
      </c>
      <c r="B3079" s="9" t="s">
        <v>5870</v>
      </c>
      <c r="C3079" s="9" t="s">
        <v>3331</v>
      </c>
      <c r="D3079" s="9" t="s">
        <v>5871</v>
      </c>
      <c r="E3079" s="9" t="str">
        <f aca="false">IF(AND('Formation Ledger'!A3058&lt;&gt;"",'Formation Ledger'!V3058=0),"PASS","FAIL")</f>
        <v>PASS</v>
      </c>
      <c r="F3079" s="9" t="s">
        <v>76</v>
      </c>
      <c r="G3079" s="6"/>
      <c r="H3079" s="6"/>
      <c r="I3079" s="6"/>
      <c r="J3079" s="6"/>
      <c r="K3079" s="6"/>
      <c r="L3079" s="6"/>
      <c r="M3079" s="6"/>
      <c r="N3079" s="6"/>
      <c r="O3079" s="6"/>
      <c r="P3079" s="6"/>
      <c r="Q3079" s="6"/>
      <c r="R3079" s="6"/>
      <c r="S3079" s="6"/>
      <c r="T3079" s="6"/>
      <c r="U3079" s="6"/>
      <c r="V3079" s="6"/>
      <c r="W3079" s="6"/>
      <c r="X3079" s="6"/>
      <c r="Y3079" s="6"/>
      <c r="Z3079" s="6"/>
    </row>
    <row r="3080" customFormat="false" ht="15" hidden="false" customHeight="false" outlineLevel="0" collapsed="false">
      <c r="A3080" s="9" t="s">
        <v>8923</v>
      </c>
      <c r="B3080" s="9" t="s">
        <v>5870</v>
      </c>
      <c r="C3080" s="9" t="s">
        <v>3332</v>
      </c>
      <c r="D3080" s="9" t="s">
        <v>5871</v>
      </c>
      <c r="E3080" s="9" t="str">
        <f aca="false">IF(AND('Formation Ledger'!A3059&lt;&gt;"",'Formation Ledger'!V3059=0),"PASS","FAIL")</f>
        <v>PASS</v>
      </c>
      <c r="F3080" s="9" t="s">
        <v>76</v>
      </c>
      <c r="G3080" s="6"/>
      <c r="H3080" s="6"/>
      <c r="I3080" s="6"/>
      <c r="J3080" s="6"/>
      <c r="K3080" s="6"/>
      <c r="L3080" s="6"/>
      <c r="M3080" s="6"/>
      <c r="N3080" s="6"/>
      <c r="O3080" s="6"/>
      <c r="P3080" s="6"/>
      <c r="Q3080" s="6"/>
      <c r="R3080" s="6"/>
      <c r="S3080" s="6"/>
      <c r="T3080" s="6"/>
      <c r="U3080" s="6"/>
      <c r="V3080" s="6"/>
      <c r="W3080" s="6"/>
      <c r="X3080" s="6"/>
      <c r="Y3080" s="6"/>
      <c r="Z3080" s="6"/>
    </row>
    <row r="3081" customFormat="false" ht="15" hidden="false" customHeight="false" outlineLevel="0" collapsed="false">
      <c r="A3081" s="9" t="s">
        <v>8924</v>
      </c>
      <c r="B3081" s="9" t="s">
        <v>5870</v>
      </c>
      <c r="C3081" s="9" t="s">
        <v>3333</v>
      </c>
      <c r="D3081" s="9" t="s">
        <v>5871</v>
      </c>
      <c r="E3081" s="9" t="str">
        <f aca="false">IF(AND('Formation Ledger'!A3060&lt;&gt;"",'Formation Ledger'!V3060=0),"PASS","FAIL")</f>
        <v>PASS</v>
      </c>
      <c r="F3081" s="9" t="s">
        <v>76</v>
      </c>
      <c r="G3081" s="6"/>
      <c r="H3081" s="6"/>
      <c r="I3081" s="6"/>
      <c r="J3081" s="6"/>
      <c r="K3081" s="6"/>
      <c r="L3081" s="6"/>
      <c r="M3081" s="6"/>
      <c r="N3081" s="6"/>
      <c r="O3081" s="6"/>
      <c r="P3081" s="6"/>
      <c r="Q3081" s="6"/>
      <c r="R3081" s="6"/>
      <c r="S3081" s="6"/>
      <c r="T3081" s="6"/>
      <c r="U3081" s="6"/>
      <c r="V3081" s="6"/>
      <c r="W3081" s="6"/>
      <c r="X3081" s="6"/>
      <c r="Y3081" s="6"/>
      <c r="Z3081" s="6"/>
    </row>
    <row r="3082" customFormat="false" ht="15" hidden="false" customHeight="false" outlineLevel="0" collapsed="false">
      <c r="A3082" s="9" t="s">
        <v>8925</v>
      </c>
      <c r="B3082" s="9" t="s">
        <v>5870</v>
      </c>
      <c r="C3082" s="9" t="s">
        <v>3334</v>
      </c>
      <c r="D3082" s="9" t="s">
        <v>5871</v>
      </c>
      <c r="E3082" s="9" t="str">
        <f aca="false">IF(AND('Formation Ledger'!A3061&lt;&gt;"",'Formation Ledger'!V3061=0),"PASS","FAIL")</f>
        <v>PASS</v>
      </c>
      <c r="F3082" s="9" t="s">
        <v>76</v>
      </c>
      <c r="G3082" s="6"/>
      <c r="H3082" s="6"/>
      <c r="I3082" s="6"/>
      <c r="J3082" s="6"/>
      <c r="K3082" s="6"/>
      <c r="L3082" s="6"/>
      <c r="M3082" s="6"/>
      <c r="N3082" s="6"/>
      <c r="O3082" s="6"/>
      <c r="P3082" s="6"/>
      <c r="Q3082" s="6"/>
      <c r="R3082" s="6"/>
      <c r="S3082" s="6"/>
      <c r="T3082" s="6"/>
      <c r="U3082" s="6"/>
      <c r="V3082" s="6"/>
      <c r="W3082" s="6"/>
      <c r="X3082" s="6"/>
      <c r="Y3082" s="6"/>
      <c r="Z3082" s="6"/>
    </row>
    <row r="3083" customFormat="false" ht="15" hidden="false" customHeight="false" outlineLevel="0" collapsed="false">
      <c r="A3083" s="9" t="s">
        <v>8926</v>
      </c>
      <c r="B3083" s="9" t="s">
        <v>5870</v>
      </c>
      <c r="C3083" s="9" t="s">
        <v>3335</v>
      </c>
      <c r="D3083" s="9" t="s">
        <v>5871</v>
      </c>
      <c r="E3083" s="9" t="str">
        <f aca="false">IF(AND('Formation Ledger'!A3062&lt;&gt;"",'Formation Ledger'!V3062=0),"PASS","FAIL")</f>
        <v>PASS</v>
      </c>
      <c r="F3083" s="9" t="s">
        <v>76</v>
      </c>
      <c r="G3083" s="6"/>
      <c r="H3083" s="6"/>
      <c r="I3083" s="6"/>
      <c r="J3083" s="6"/>
      <c r="K3083" s="6"/>
      <c r="L3083" s="6"/>
      <c r="M3083" s="6"/>
      <c r="N3083" s="6"/>
      <c r="O3083" s="6"/>
      <c r="P3083" s="6"/>
      <c r="Q3083" s="6"/>
      <c r="R3083" s="6"/>
      <c r="S3083" s="6"/>
      <c r="T3083" s="6"/>
      <c r="U3083" s="6"/>
      <c r="V3083" s="6"/>
      <c r="W3083" s="6"/>
      <c r="X3083" s="6"/>
      <c r="Y3083" s="6"/>
      <c r="Z3083" s="6"/>
    </row>
    <row r="3084" customFormat="false" ht="15" hidden="false" customHeight="false" outlineLevel="0" collapsed="false">
      <c r="A3084" s="9" t="s">
        <v>8927</v>
      </c>
      <c r="B3084" s="9" t="s">
        <v>5870</v>
      </c>
      <c r="C3084" s="9" t="s">
        <v>3336</v>
      </c>
      <c r="D3084" s="9" t="s">
        <v>5871</v>
      </c>
      <c r="E3084" s="9" t="str">
        <f aca="false">IF(AND('Formation Ledger'!A3063&lt;&gt;"",'Formation Ledger'!V3063=0),"PASS","FAIL")</f>
        <v>PASS</v>
      </c>
      <c r="F3084" s="9" t="s">
        <v>76</v>
      </c>
      <c r="G3084" s="6"/>
      <c r="H3084" s="6"/>
      <c r="I3084" s="6"/>
      <c r="J3084" s="6"/>
      <c r="K3084" s="6"/>
      <c r="L3084" s="6"/>
      <c r="M3084" s="6"/>
      <c r="N3084" s="6"/>
      <c r="O3084" s="6"/>
      <c r="P3084" s="6"/>
      <c r="Q3084" s="6"/>
      <c r="R3084" s="6"/>
      <c r="S3084" s="6"/>
      <c r="T3084" s="6"/>
      <c r="U3084" s="6"/>
      <c r="V3084" s="6"/>
      <c r="W3084" s="6"/>
      <c r="X3084" s="6"/>
      <c r="Y3084" s="6"/>
      <c r="Z3084" s="6"/>
    </row>
    <row r="3085" customFormat="false" ht="15" hidden="false" customHeight="false" outlineLevel="0" collapsed="false">
      <c r="A3085" s="9" t="s">
        <v>8928</v>
      </c>
      <c r="B3085" s="9" t="s">
        <v>5870</v>
      </c>
      <c r="C3085" s="9" t="s">
        <v>3337</v>
      </c>
      <c r="D3085" s="9" t="s">
        <v>5871</v>
      </c>
      <c r="E3085" s="9" t="str">
        <f aca="false">IF(AND('Formation Ledger'!A3064&lt;&gt;"",'Formation Ledger'!V3064=0),"PASS","FAIL")</f>
        <v>PASS</v>
      </c>
      <c r="F3085" s="9" t="s">
        <v>76</v>
      </c>
      <c r="G3085" s="6"/>
      <c r="H3085" s="6"/>
      <c r="I3085" s="6"/>
      <c r="J3085" s="6"/>
      <c r="K3085" s="6"/>
      <c r="L3085" s="6"/>
      <c r="M3085" s="6"/>
      <c r="N3085" s="6"/>
      <c r="O3085" s="6"/>
      <c r="P3085" s="6"/>
      <c r="Q3085" s="6"/>
      <c r="R3085" s="6"/>
      <c r="S3085" s="6"/>
      <c r="T3085" s="6"/>
      <c r="U3085" s="6"/>
      <c r="V3085" s="6"/>
      <c r="W3085" s="6"/>
      <c r="X3085" s="6"/>
      <c r="Y3085" s="6"/>
      <c r="Z3085" s="6"/>
    </row>
    <row r="3086" customFormat="false" ht="15" hidden="false" customHeight="false" outlineLevel="0" collapsed="false">
      <c r="A3086" s="9" t="s">
        <v>8929</v>
      </c>
      <c r="B3086" s="9" t="s">
        <v>5870</v>
      </c>
      <c r="C3086" s="9" t="s">
        <v>3338</v>
      </c>
      <c r="D3086" s="9" t="s">
        <v>5871</v>
      </c>
      <c r="E3086" s="9" t="str">
        <f aca="false">IF(AND('Formation Ledger'!A3065&lt;&gt;"",'Formation Ledger'!V3065=0),"PASS","FAIL")</f>
        <v>PASS</v>
      </c>
      <c r="F3086" s="9" t="s">
        <v>76</v>
      </c>
      <c r="G3086" s="6"/>
      <c r="H3086" s="6"/>
      <c r="I3086" s="6"/>
      <c r="J3086" s="6"/>
      <c r="K3086" s="6"/>
      <c r="L3086" s="6"/>
      <c r="M3086" s="6"/>
      <c r="N3086" s="6"/>
      <c r="O3086" s="6"/>
      <c r="P3086" s="6"/>
      <c r="Q3086" s="6"/>
      <c r="R3086" s="6"/>
      <c r="S3086" s="6"/>
      <c r="T3086" s="6"/>
      <c r="U3086" s="6"/>
      <c r="V3086" s="6"/>
      <c r="W3086" s="6"/>
      <c r="X3086" s="6"/>
      <c r="Y3086" s="6"/>
      <c r="Z3086" s="6"/>
    </row>
    <row r="3087" customFormat="false" ht="15" hidden="false" customHeight="false" outlineLevel="0" collapsed="false">
      <c r="A3087" s="9" t="s">
        <v>8930</v>
      </c>
      <c r="B3087" s="9" t="s">
        <v>5870</v>
      </c>
      <c r="C3087" s="9" t="s">
        <v>3339</v>
      </c>
      <c r="D3087" s="9" t="s">
        <v>5871</v>
      </c>
      <c r="E3087" s="9" t="str">
        <f aca="false">IF(AND('Formation Ledger'!A3066&lt;&gt;"",'Formation Ledger'!V3066=0),"PASS","FAIL")</f>
        <v>PASS</v>
      </c>
      <c r="F3087" s="9" t="s">
        <v>76</v>
      </c>
      <c r="G3087" s="6"/>
      <c r="H3087" s="6"/>
      <c r="I3087" s="6"/>
      <c r="J3087" s="6"/>
      <c r="K3087" s="6"/>
      <c r="L3087" s="6"/>
      <c r="M3087" s="6"/>
      <c r="N3087" s="6"/>
      <c r="O3087" s="6"/>
      <c r="P3087" s="6"/>
      <c r="Q3087" s="6"/>
      <c r="R3087" s="6"/>
      <c r="S3087" s="6"/>
      <c r="T3087" s="6"/>
      <c r="U3087" s="6"/>
      <c r="V3087" s="6"/>
      <c r="W3087" s="6"/>
      <c r="X3087" s="6"/>
      <c r="Y3087" s="6"/>
      <c r="Z3087" s="6"/>
    </row>
    <row r="3088" customFormat="false" ht="15" hidden="false" customHeight="false" outlineLevel="0" collapsed="false">
      <c r="A3088" s="9" t="s">
        <v>8931</v>
      </c>
      <c r="B3088" s="9" t="s">
        <v>5870</v>
      </c>
      <c r="C3088" s="9" t="s">
        <v>3340</v>
      </c>
      <c r="D3088" s="9" t="s">
        <v>5871</v>
      </c>
      <c r="E3088" s="9" t="str">
        <f aca="false">IF(AND('Formation Ledger'!A3067&lt;&gt;"",'Formation Ledger'!V3067=0),"PASS","FAIL")</f>
        <v>PASS</v>
      </c>
      <c r="F3088" s="9" t="s">
        <v>76</v>
      </c>
      <c r="G3088" s="6"/>
      <c r="H3088" s="6"/>
      <c r="I3088" s="6"/>
      <c r="J3088" s="6"/>
      <c r="K3088" s="6"/>
      <c r="L3088" s="6"/>
      <c r="M3088" s="6"/>
      <c r="N3088" s="6"/>
      <c r="O3088" s="6"/>
      <c r="P3088" s="6"/>
      <c r="Q3088" s="6"/>
      <c r="R3088" s="6"/>
      <c r="S3088" s="6"/>
      <c r="T3088" s="6"/>
      <c r="U3088" s="6"/>
      <c r="V3088" s="6"/>
      <c r="W3088" s="6"/>
      <c r="X3088" s="6"/>
      <c r="Y3088" s="6"/>
      <c r="Z3088" s="6"/>
    </row>
    <row r="3089" customFormat="false" ht="15" hidden="false" customHeight="false" outlineLevel="0" collapsed="false">
      <c r="A3089" s="9" t="s">
        <v>8932</v>
      </c>
      <c r="B3089" s="9" t="s">
        <v>5870</v>
      </c>
      <c r="C3089" s="9" t="s">
        <v>3341</v>
      </c>
      <c r="D3089" s="9" t="s">
        <v>5871</v>
      </c>
      <c r="E3089" s="9" t="str">
        <f aca="false">IF(AND('Formation Ledger'!A3068&lt;&gt;"",'Formation Ledger'!V3068=0),"PASS","FAIL")</f>
        <v>PASS</v>
      </c>
      <c r="F3089" s="9" t="s">
        <v>76</v>
      </c>
      <c r="G3089" s="6"/>
      <c r="H3089" s="6"/>
      <c r="I3089" s="6"/>
      <c r="J3089" s="6"/>
      <c r="K3089" s="6"/>
      <c r="L3089" s="6"/>
      <c r="M3089" s="6"/>
      <c r="N3089" s="6"/>
      <c r="O3089" s="6"/>
      <c r="P3089" s="6"/>
      <c r="Q3089" s="6"/>
      <c r="R3089" s="6"/>
      <c r="S3089" s="6"/>
      <c r="T3089" s="6"/>
      <c r="U3089" s="6"/>
      <c r="V3089" s="6"/>
      <c r="W3089" s="6"/>
      <c r="X3089" s="6"/>
      <c r="Y3089" s="6"/>
      <c r="Z3089" s="6"/>
    </row>
    <row r="3090" customFormat="false" ht="15" hidden="false" customHeight="false" outlineLevel="0" collapsed="false">
      <c r="A3090" s="9" t="s">
        <v>8933</v>
      </c>
      <c r="B3090" s="9" t="s">
        <v>5870</v>
      </c>
      <c r="C3090" s="9" t="s">
        <v>3342</v>
      </c>
      <c r="D3090" s="9" t="s">
        <v>5871</v>
      </c>
      <c r="E3090" s="9" t="str">
        <f aca="false">IF(AND('Formation Ledger'!A3069&lt;&gt;"",'Formation Ledger'!V3069=0),"PASS","FAIL")</f>
        <v>PASS</v>
      </c>
      <c r="F3090" s="9" t="s">
        <v>76</v>
      </c>
      <c r="G3090" s="6"/>
      <c r="H3090" s="6"/>
      <c r="I3090" s="6"/>
      <c r="J3090" s="6"/>
      <c r="K3090" s="6"/>
      <c r="L3090" s="6"/>
      <c r="M3090" s="6"/>
      <c r="N3090" s="6"/>
      <c r="O3090" s="6"/>
      <c r="P3090" s="6"/>
      <c r="Q3090" s="6"/>
      <c r="R3090" s="6"/>
      <c r="S3090" s="6"/>
      <c r="T3090" s="6"/>
      <c r="U3090" s="6"/>
      <c r="V3090" s="6"/>
      <c r="W3090" s="6"/>
      <c r="X3090" s="6"/>
      <c r="Y3090" s="6"/>
      <c r="Z3090" s="6"/>
    </row>
    <row r="3091" customFormat="false" ht="15" hidden="false" customHeight="false" outlineLevel="0" collapsed="false">
      <c r="A3091" s="9" t="s">
        <v>8934</v>
      </c>
      <c r="B3091" s="9" t="s">
        <v>5870</v>
      </c>
      <c r="C3091" s="9" t="s">
        <v>3343</v>
      </c>
      <c r="D3091" s="9" t="s">
        <v>5871</v>
      </c>
      <c r="E3091" s="9" t="str">
        <f aca="false">IF(AND('Formation Ledger'!A3070&lt;&gt;"",'Formation Ledger'!V3070=0),"PASS","FAIL")</f>
        <v>PASS</v>
      </c>
      <c r="F3091" s="9" t="s">
        <v>76</v>
      </c>
      <c r="G3091" s="6"/>
      <c r="H3091" s="6"/>
      <c r="I3091" s="6"/>
      <c r="J3091" s="6"/>
      <c r="K3091" s="6"/>
      <c r="L3091" s="6"/>
      <c r="M3091" s="6"/>
      <c r="N3091" s="6"/>
      <c r="O3091" s="6"/>
      <c r="P3091" s="6"/>
      <c r="Q3091" s="6"/>
      <c r="R3091" s="6"/>
      <c r="S3091" s="6"/>
      <c r="T3091" s="6"/>
      <c r="U3091" s="6"/>
      <c r="V3091" s="6"/>
      <c r="W3091" s="6"/>
      <c r="X3091" s="6"/>
      <c r="Y3091" s="6"/>
      <c r="Z3091" s="6"/>
    </row>
    <row r="3092" customFormat="false" ht="15" hidden="false" customHeight="false" outlineLevel="0" collapsed="false">
      <c r="A3092" s="9" t="s">
        <v>8935</v>
      </c>
      <c r="B3092" s="9" t="s">
        <v>5870</v>
      </c>
      <c r="C3092" s="9" t="s">
        <v>3344</v>
      </c>
      <c r="D3092" s="9" t="s">
        <v>5871</v>
      </c>
      <c r="E3092" s="9" t="str">
        <f aca="false">IF(AND('Formation Ledger'!A3071&lt;&gt;"",'Formation Ledger'!V3071=0),"PASS","FAIL")</f>
        <v>PASS</v>
      </c>
      <c r="F3092" s="9" t="s">
        <v>76</v>
      </c>
      <c r="G3092" s="6"/>
      <c r="H3092" s="6"/>
      <c r="I3092" s="6"/>
      <c r="J3092" s="6"/>
      <c r="K3092" s="6"/>
      <c r="L3092" s="6"/>
      <c r="M3092" s="6"/>
      <c r="N3092" s="6"/>
      <c r="O3092" s="6"/>
      <c r="P3092" s="6"/>
      <c r="Q3092" s="6"/>
      <c r="R3092" s="6"/>
      <c r="S3092" s="6"/>
      <c r="T3092" s="6"/>
      <c r="U3092" s="6"/>
      <c r="V3092" s="6"/>
      <c r="W3092" s="6"/>
      <c r="X3092" s="6"/>
      <c r="Y3092" s="6"/>
      <c r="Z3092" s="6"/>
    </row>
    <row r="3093" customFormat="false" ht="15" hidden="false" customHeight="false" outlineLevel="0" collapsed="false">
      <c r="A3093" s="9" t="s">
        <v>8936</v>
      </c>
      <c r="B3093" s="9" t="s">
        <v>5870</v>
      </c>
      <c r="C3093" s="9" t="s">
        <v>3345</v>
      </c>
      <c r="D3093" s="9" t="s">
        <v>5871</v>
      </c>
      <c r="E3093" s="9" t="str">
        <f aca="false">IF(AND('Formation Ledger'!A3072&lt;&gt;"",'Formation Ledger'!V3072=0),"PASS","FAIL")</f>
        <v>PASS</v>
      </c>
      <c r="F3093" s="9" t="s">
        <v>76</v>
      </c>
      <c r="G3093" s="6"/>
      <c r="H3093" s="6"/>
      <c r="I3093" s="6"/>
      <c r="J3093" s="6"/>
      <c r="K3093" s="6"/>
      <c r="L3093" s="6"/>
      <c r="M3093" s="6"/>
      <c r="N3093" s="6"/>
      <c r="O3093" s="6"/>
      <c r="P3093" s="6"/>
      <c r="Q3093" s="6"/>
      <c r="R3093" s="6"/>
      <c r="S3093" s="6"/>
      <c r="T3093" s="6"/>
      <c r="U3093" s="6"/>
      <c r="V3093" s="6"/>
      <c r="W3093" s="6"/>
      <c r="X3093" s="6"/>
      <c r="Y3093" s="6"/>
      <c r="Z3093" s="6"/>
    </row>
    <row r="3094" customFormat="false" ht="15" hidden="false" customHeight="false" outlineLevel="0" collapsed="false">
      <c r="A3094" s="9" t="s">
        <v>8937</v>
      </c>
      <c r="B3094" s="9" t="s">
        <v>5870</v>
      </c>
      <c r="C3094" s="9" t="s">
        <v>3346</v>
      </c>
      <c r="D3094" s="9" t="s">
        <v>5871</v>
      </c>
      <c r="E3094" s="9" t="str">
        <f aca="false">IF(AND('Formation Ledger'!A3073&lt;&gt;"",'Formation Ledger'!V3073=0),"PASS","FAIL")</f>
        <v>PASS</v>
      </c>
      <c r="F3094" s="9" t="s">
        <v>76</v>
      </c>
      <c r="G3094" s="6"/>
      <c r="H3094" s="6"/>
      <c r="I3094" s="6"/>
      <c r="J3094" s="6"/>
      <c r="K3094" s="6"/>
      <c r="L3094" s="6"/>
      <c r="M3094" s="6"/>
      <c r="N3094" s="6"/>
      <c r="O3094" s="6"/>
      <c r="P3094" s="6"/>
      <c r="Q3094" s="6"/>
      <c r="R3094" s="6"/>
      <c r="S3094" s="6"/>
      <c r="T3094" s="6"/>
      <c r="U3094" s="6"/>
      <c r="V3094" s="6"/>
      <c r="W3094" s="6"/>
      <c r="X3094" s="6"/>
      <c r="Y3094" s="6"/>
      <c r="Z3094" s="6"/>
    </row>
    <row r="3095" customFormat="false" ht="15" hidden="false" customHeight="false" outlineLevel="0" collapsed="false">
      <c r="A3095" s="9" t="s">
        <v>8938</v>
      </c>
      <c r="B3095" s="9" t="s">
        <v>5870</v>
      </c>
      <c r="C3095" s="9" t="s">
        <v>3347</v>
      </c>
      <c r="D3095" s="9" t="s">
        <v>5871</v>
      </c>
      <c r="E3095" s="9" t="str">
        <f aca="false">IF(AND('Formation Ledger'!A3074&lt;&gt;"",'Formation Ledger'!V3074=0),"PASS","FAIL")</f>
        <v>PASS</v>
      </c>
      <c r="F3095" s="9" t="s">
        <v>76</v>
      </c>
      <c r="G3095" s="6"/>
      <c r="H3095" s="6"/>
      <c r="I3095" s="6"/>
      <c r="J3095" s="6"/>
      <c r="K3095" s="6"/>
      <c r="L3095" s="6"/>
      <c r="M3095" s="6"/>
      <c r="N3095" s="6"/>
      <c r="O3095" s="6"/>
      <c r="P3095" s="6"/>
      <c r="Q3095" s="6"/>
      <c r="R3095" s="6"/>
      <c r="S3095" s="6"/>
      <c r="T3095" s="6"/>
      <c r="U3095" s="6"/>
      <c r="V3095" s="6"/>
      <c r="W3095" s="6"/>
      <c r="X3095" s="6"/>
      <c r="Y3095" s="6"/>
      <c r="Z3095" s="6"/>
    </row>
    <row r="3096" customFormat="false" ht="15" hidden="false" customHeight="false" outlineLevel="0" collapsed="false">
      <c r="A3096" s="9" t="s">
        <v>8939</v>
      </c>
      <c r="B3096" s="9" t="s">
        <v>5870</v>
      </c>
      <c r="C3096" s="9" t="s">
        <v>3348</v>
      </c>
      <c r="D3096" s="9" t="s">
        <v>5871</v>
      </c>
      <c r="E3096" s="9" t="str">
        <f aca="false">IF(AND('Formation Ledger'!A3075&lt;&gt;"",'Formation Ledger'!V3075=0),"PASS","FAIL")</f>
        <v>PASS</v>
      </c>
      <c r="F3096" s="9" t="s">
        <v>76</v>
      </c>
      <c r="G3096" s="6"/>
      <c r="H3096" s="6"/>
      <c r="I3096" s="6"/>
      <c r="J3096" s="6"/>
      <c r="K3096" s="6"/>
      <c r="L3096" s="6"/>
      <c r="M3096" s="6"/>
      <c r="N3096" s="6"/>
      <c r="O3096" s="6"/>
      <c r="P3096" s="6"/>
      <c r="Q3096" s="6"/>
      <c r="R3096" s="6"/>
      <c r="S3096" s="6"/>
      <c r="T3096" s="6"/>
      <c r="U3096" s="6"/>
      <c r="V3096" s="6"/>
      <c r="W3096" s="6"/>
      <c r="X3096" s="6"/>
      <c r="Y3096" s="6"/>
      <c r="Z3096" s="6"/>
    </row>
    <row r="3097" customFormat="false" ht="15" hidden="false" customHeight="false" outlineLevel="0" collapsed="false">
      <c r="A3097" s="9" t="s">
        <v>8940</v>
      </c>
      <c r="B3097" s="9" t="s">
        <v>5870</v>
      </c>
      <c r="C3097" s="9" t="s">
        <v>3349</v>
      </c>
      <c r="D3097" s="9" t="s">
        <v>5871</v>
      </c>
      <c r="E3097" s="9" t="str">
        <f aca="false">IF(AND('Formation Ledger'!A3076&lt;&gt;"",'Formation Ledger'!V3076=0),"PASS","FAIL")</f>
        <v>PASS</v>
      </c>
      <c r="F3097" s="9" t="s">
        <v>76</v>
      </c>
      <c r="G3097" s="6"/>
      <c r="H3097" s="6"/>
      <c r="I3097" s="6"/>
      <c r="J3097" s="6"/>
      <c r="K3097" s="6"/>
      <c r="L3097" s="6"/>
      <c r="M3097" s="6"/>
      <c r="N3097" s="6"/>
      <c r="O3097" s="6"/>
      <c r="P3097" s="6"/>
      <c r="Q3097" s="6"/>
      <c r="R3097" s="6"/>
      <c r="S3097" s="6"/>
      <c r="T3097" s="6"/>
      <c r="U3097" s="6"/>
      <c r="V3097" s="6"/>
      <c r="W3097" s="6"/>
      <c r="X3097" s="6"/>
      <c r="Y3097" s="6"/>
      <c r="Z3097" s="6"/>
    </row>
    <row r="3098" customFormat="false" ht="15" hidden="false" customHeight="false" outlineLevel="0" collapsed="false">
      <c r="A3098" s="9" t="s">
        <v>8941</v>
      </c>
      <c r="B3098" s="9" t="s">
        <v>5870</v>
      </c>
      <c r="C3098" s="9" t="s">
        <v>3350</v>
      </c>
      <c r="D3098" s="9" t="s">
        <v>5871</v>
      </c>
      <c r="E3098" s="9" t="str">
        <f aca="false">IF(AND('Formation Ledger'!A3077&lt;&gt;"",'Formation Ledger'!V3077=0),"PASS","FAIL")</f>
        <v>PASS</v>
      </c>
      <c r="F3098" s="9" t="s">
        <v>76</v>
      </c>
      <c r="G3098" s="6"/>
      <c r="H3098" s="6"/>
      <c r="I3098" s="6"/>
      <c r="J3098" s="6"/>
      <c r="K3098" s="6"/>
      <c r="L3098" s="6"/>
      <c r="M3098" s="6"/>
      <c r="N3098" s="6"/>
      <c r="O3098" s="6"/>
      <c r="P3098" s="6"/>
      <c r="Q3098" s="6"/>
      <c r="R3098" s="6"/>
      <c r="S3098" s="6"/>
      <c r="T3098" s="6"/>
      <c r="U3098" s="6"/>
      <c r="V3098" s="6"/>
      <c r="W3098" s="6"/>
      <c r="X3098" s="6"/>
      <c r="Y3098" s="6"/>
      <c r="Z3098" s="6"/>
    </row>
    <row r="3099" customFormat="false" ht="15" hidden="false" customHeight="false" outlineLevel="0" collapsed="false">
      <c r="A3099" s="9" t="s">
        <v>8942</v>
      </c>
      <c r="B3099" s="9" t="s">
        <v>5870</v>
      </c>
      <c r="C3099" s="9" t="s">
        <v>3351</v>
      </c>
      <c r="D3099" s="9" t="s">
        <v>5871</v>
      </c>
      <c r="E3099" s="9" t="str">
        <f aca="false">IF(AND('Formation Ledger'!A3078&lt;&gt;"",'Formation Ledger'!V3078=0),"PASS","FAIL")</f>
        <v>PASS</v>
      </c>
      <c r="F3099" s="9" t="s">
        <v>76</v>
      </c>
      <c r="G3099" s="6"/>
      <c r="H3099" s="6"/>
      <c r="I3099" s="6"/>
      <c r="J3099" s="6"/>
      <c r="K3099" s="6"/>
      <c r="L3099" s="6"/>
      <c r="M3099" s="6"/>
      <c r="N3099" s="6"/>
      <c r="O3099" s="6"/>
      <c r="P3099" s="6"/>
      <c r="Q3099" s="6"/>
      <c r="R3099" s="6"/>
      <c r="S3099" s="6"/>
      <c r="T3099" s="6"/>
      <c r="U3099" s="6"/>
      <c r="V3099" s="6"/>
      <c r="W3099" s="6"/>
      <c r="X3099" s="6"/>
      <c r="Y3099" s="6"/>
      <c r="Z3099" s="6"/>
    </row>
    <row r="3100" customFormat="false" ht="15" hidden="false" customHeight="false" outlineLevel="0" collapsed="false">
      <c r="A3100" s="9" t="s">
        <v>8943</v>
      </c>
      <c r="B3100" s="9" t="s">
        <v>5870</v>
      </c>
      <c r="C3100" s="9" t="s">
        <v>3352</v>
      </c>
      <c r="D3100" s="9" t="s">
        <v>5871</v>
      </c>
      <c r="E3100" s="9" t="str">
        <f aca="false">IF(AND('Formation Ledger'!A3079&lt;&gt;"",'Formation Ledger'!V3079=0),"PASS","FAIL")</f>
        <v>PASS</v>
      </c>
      <c r="F3100" s="9" t="s">
        <v>76</v>
      </c>
      <c r="G3100" s="6"/>
      <c r="H3100" s="6"/>
      <c r="I3100" s="6"/>
      <c r="J3100" s="6"/>
      <c r="K3100" s="6"/>
      <c r="L3100" s="6"/>
      <c r="M3100" s="6"/>
      <c r="N3100" s="6"/>
      <c r="O3100" s="6"/>
      <c r="P3100" s="6"/>
      <c r="Q3100" s="6"/>
      <c r="R3100" s="6"/>
      <c r="S3100" s="6"/>
      <c r="T3100" s="6"/>
      <c r="U3100" s="6"/>
      <c r="V3100" s="6"/>
      <c r="W3100" s="6"/>
      <c r="X3100" s="6"/>
      <c r="Y3100" s="6"/>
      <c r="Z3100" s="6"/>
    </row>
    <row r="3101" customFormat="false" ht="15" hidden="false" customHeight="false" outlineLevel="0" collapsed="false">
      <c r="A3101" s="9" t="s">
        <v>8944</v>
      </c>
      <c r="B3101" s="9" t="s">
        <v>5870</v>
      </c>
      <c r="C3101" s="9" t="s">
        <v>3353</v>
      </c>
      <c r="D3101" s="9" t="s">
        <v>5871</v>
      </c>
      <c r="E3101" s="9" t="str">
        <f aca="false">IF(AND('Formation Ledger'!A3080&lt;&gt;"",'Formation Ledger'!V3080=0),"PASS","FAIL")</f>
        <v>PASS</v>
      </c>
      <c r="F3101" s="9" t="s">
        <v>76</v>
      </c>
      <c r="G3101" s="6"/>
      <c r="H3101" s="6"/>
      <c r="I3101" s="6"/>
      <c r="J3101" s="6"/>
      <c r="K3101" s="6"/>
      <c r="L3101" s="6"/>
      <c r="M3101" s="6"/>
      <c r="N3101" s="6"/>
      <c r="O3101" s="6"/>
      <c r="P3101" s="6"/>
      <c r="Q3101" s="6"/>
      <c r="R3101" s="6"/>
      <c r="S3101" s="6"/>
      <c r="T3101" s="6"/>
      <c r="U3101" s="6"/>
      <c r="V3101" s="6"/>
      <c r="W3101" s="6"/>
      <c r="X3101" s="6"/>
      <c r="Y3101" s="6"/>
      <c r="Z3101" s="6"/>
    </row>
    <row r="3102" customFormat="false" ht="15" hidden="false" customHeight="false" outlineLevel="0" collapsed="false">
      <c r="A3102" s="9" t="s">
        <v>8945</v>
      </c>
      <c r="B3102" s="9" t="s">
        <v>5870</v>
      </c>
      <c r="C3102" s="9" t="s">
        <v>3354</v>
      </c>
      <c r="D3102" s="9" t="s">
        <v>5871</v>
      </c>
      <c r="E3102" s="9" t="str">
        <f aca="false">IF(AND('Formation Ledger'!A3081&lt;&gt;"",'Formation Ledger'!V3081=0),"PASS","FAIL")</f>
        <v>PASS</v>
      </c>
      <c r="F3102" s="9" t="s">
        <v>76</v>
      </c>
      <c r="G3102" s="6"/>
      <c r="H3102" s="6"/>
      <c r="I3102" s="6"/>
      <c r="J3102" s="6"/>
      <c r="K3102" s="6"/>
      <c r="L3102" s="6"/>
      <c r="M3102" s="6"/>
      <c r="N3102" s="6"/>
      <c r="O3102" s="6"/>
      <c r="P3102" s="6"/>
      <c r="Q3102" s="6"/>
      <c r="R3102" s="6"/>
      <c r="S3102" s="6"/>
      <c r="T3102" s="6"/>
      <c r="U3102" s="6"/>
      <c r="V3102" s="6"/>
      <c r="W3102" s="6"/>
      <c r="X3102" s="6"/>
      <c r="Y3102" s="6"/>
      <c r="Z3102" s="6"/>
    </row>
    <row r="3103" customFormat="false" ht="15" hidden="false" customHeight="false" outlineLevel="0" collapsed="false">
      <c r="A3103" s="9" t="s">
        <v>8946</v>
      </c>
      <c r="B3103" s="9" t="s">
        <v>5870</v>
      </c>
      <c r="C3103" s="9" t="s">
        <v>3355</v>
      </c>
      <c r="D3103" s="9" t="s">
        <v>5871</v>
      </c>
      <c r="E3103" s="9" t="str">
        <f aca="false">IF(AND('Formation Ledger'!A3082&lt;&gt;"",'Formation Ledger'!V3082=0),"PASS","FAIL")</f>
        <v>PASS</v>
      </c>
      <c r="F3103" s="9" t="s">
        <v>76</v>
      </c>
      <c r="G3103" s="6"/>
      <c r="H3103" s="6"/>
      <c r="I3103" s="6"/>
      <c r="J3103" s="6"/>
      <c r="K3103" s="6"/>
      <c r="L3103" s="6"/>
      <c r="M3103" s="6"/>
      <c r="N3103" s="6"/>
      <c r="O3103" s="6"/>
      <c r="P3103" s="6"/>
      <c r="Q3103" s="6"/>
      <c r="R3103" s="6"/>
      <c r="S3103" s="6"/>
      <c r="T3103" s="6"/>
      <c r="U3103" s="6"/>
      <c r="V3103" s="6"/>
      <c r="W3103" s="6"/>
      <c r="X3103" s="6"/>
      <c r="Y3103" s="6"/>
      <c r="Z3103" s="6"/>
    </row>
    <row r="3104" customFormat="false" ht="15" hidden="false" customHeight="false" outlineLevel="0" collapsed="false">
      <c r="A3104" s="9" t="s">
        <v>8947</v>
      </c>
      <c r="B3104" s="9" t="s">
        <v>5870</v>
      </c>
      <c r="C3104" s="9" t="s">
        <v>3356</v>
      </c>
      <c r="D3104" s="9" t="s">
        <v>5871</v>
      </c>
      <c r="E3104" s="9" t="str">
        <f aca="false">IF(AND('Formation Ledger'!A3083&lt;&gt;"",'Formation Ledger'!V3083=0),"PASS","FAIL")</f>
        <v>PASS</v>
      </c>
      <c r="F3104" s="9" t="s">
        <v>76</v>
      </c>
      <c r="G3104" s="6"/>
      <c r="H3104" s="6"/>
      <c r="I3104" s="6"/>
      <c r="J3104" s="6"/>
      <c r="K3104" s="6"/>
      <c r="L3104" s="6"/>
      <c r="M3104" s="6"/>
      <c r="N3104" s="6"/>
      <c r="O3104" s="6"/>
      <c r="P3104" s="6"/>
      <c r="Q3104" s="6"/>
      <c r="R3104" s="6"/>
      <c r="S3104" s="6"/>
      <c r="T3104" s="6"/>
      <c r="U3104" s="6"/>
      <c r="V3104" s="6"/>
      <c r="W3104" s="6"/>
      <c r="X3104" s="6"/>
      <c r="Y3104" s="6"/>
      <c r="Z3104" s="6"/>
    </row>
    <row r="3105" customFormat="false" ht="15" hidden="false" customHeight="false" outlineLevel="0" collapsed="false">
      <c r="A3105" s="9" t="s">
        <v>8948</v>
      </c>
      <c r="B3105" s="9" t="s">
        <v>5870</v>
      </c>
      <c r="C3105" s="9" t="s">
        <v>3357</v>
      </c>
      <c r="D3105" s="9" t="s">
        <v>5871</v>
      </c>
      <c r="E3105" s="9" t="str">
        <f aca="false">IF(AND('Formation Ledger'!A3084&lt;&gt;"",'Formation Ledger'!V3084=0),"PASS","FAIL")</f>
        <v>PASS</v>
      </c>
      <c r="F3105" s="9" t="s">
        <v>76</v>
      </c>
      <c r="G3105" s="6"/>
      <c r="H3105" s="6"/>
      <c r="I3105" s="6"/>
      <c r="J3105" s="6"/>
      <c r="K3105" s="6"/>
      <c r="L3105" s="6"/>
      <c r="M3105" s="6"/>
      <c r="N3105" s="6"/>
      <c r="O3105" s="6"/>
      <c r="P3105" s="6"/>
      <c r="Q3105" s="6"/>
      <c r="R3105" s="6"/>
      <c r="S3105" s="6"/>
      <c r="T3105" s="6"/>
      <c r="U3105" s="6"/>
      <c r="V3105" s="6"/>
      <c r="W3105" s="6"/>
      <c r="X3105" s="6"/>
      <c r="Y3105" s="6"/>
      <c r="Z3105" s="6"/>
    </row>
    <row r="3106" customFormat="false" ht="15" hidden="false" customHeight="false" outlineLevel="0" collapsed="false">
      <c r="A3106" s="9" t="s">
        <v>8949</v>
      </c>
      <c r="B3106" s="9" t="s">
        <v>5870</v>
      </c>
      <c r="C3106" s="9" t="s">
        <v>3358</v>
      </c>
      <c r="D3106" s="9" t="s">
        <v>5871</v>
      </c>
      <c r="E3106" s="9" t="str">
        <f aca="false">IF(AND('Formation Ledger'!A3085&lt;&gt;"",'Formation Ledger'!V3085=0),"PASS","FAIL")</f>
        <v>PASS</v>
      </c>
      <c r="F3106" s="9" t="s">
        <v>76</v>
      </c>
      <c r="G3106" s="6"/>
      <c r="H3106" s="6"/>
      <c r="I3106" s="6"/>
      <c r="J3106" s="6"/>
      <c r="K3106" s="6"/>
      <c r="L3106" s="6"/>
      <c r="M3106" s="6"/>
      <c r="N3106" s="6"/>
      <c r="O3106" s="6"/>
      <c r="P3106" s="6"/>
      <c r="Q3106" s="6"/>
      <c r="R3106" s="6"/>
      <c r="S3106" s="6"/>
      <c r="T3106" s="6"/>
      <c r="U3106" s="6"/>
      <c r="V3106" s="6"/>
      <c r="W3106" s="6"/>
      <c r="X3106" s="6"/>
      <c r="Y3106" s="6"/>
      <c r="Z3106" s="6"/>
    </row>
    <row r="3107" customFormat="false" ht="15" hidden="false" customHeight="false" outlineLevel="0" collapsed="false">
      <c r="A3107" s="9" t="s">
        <v>8950</v>
      </c>
      <c r="B3107" s="9" t="s">
        <v>5870</v>
      </c>
      <c r="C3107" s="9" t="s">
        <v>3359</v>
      </c>
      <c r="D3107" s="9" t="s">
        <v>5871</v>
      </c>
      <c r="E3107" s="9" t="str">
        <f aca="false">IF(AND('Formation Ledger'!A3086&lt;&gt;"",'Formation Ledger'!V3086=0),"PASS","FAIL")</f>
        <v>PASS</v>
      </c>
      <c r="F3107" s="9" t="s">
        <v>76</v>
      </c>
      <c r="G3107" s="6"/>
      <c r="H3107" s="6"/>
      <c r="I3107" s="6"/>
      <c r="J3107" s="6"/>
      <c r="K3107" s="6"/>
      <c r="L3107" s="6"/>
      <c r="M3107" s="6"/>
      <c r="N3107" s="6"/>
      <c r="O3107" s="6"/>
      <c r="P3107" s="6"/>
      <c r="Q3107" s="6"/>
      <c r="R3107" s="6"/>
      <c r="S3107" s="6"/>
      <c r="T3107" s="6"/>
      <c r="U3107" s="6"/>
      <c r="V3107" s="6"/>
      <c r="W3107" s="6"/>
      <c r="X3107" s="6"/>
      <c r="Y3107" s="6"/>
      <c r="Z3107" s="6"/>
    </row>
    <row r="3108" customFormat="false" ht="15" hidden="false" customHeight="false" outlineLevel="0" collapsed="false">
      <c r="A3108" s="9" t="s">
        <v>8951</v>
      </c>
      <c r="B3108" s="9" t="s">
        <v>5870</v>
      </c>
      <c r="C3108" s="9" t="s">
        <v>3360</v>
      </c>
      <c r="D3108" s="9" t="s">
        <v>5871</v>
      </c>
      <c r="E3108" s="9" t="str">
        <f aca="false">IF(AND('Formation Ledger'!A3087&lt;&gt;"",'Formation Ledger'!V3087=0),"PASS","FAIL")</f>
        <v>PASS</v>
      </c>
      <c r="F3108" s="9" t="s">
        <v>76</v>
      </c>
      <c r="G3108" s="6"/>
      <c r="H3108" s="6"/>
      <c r="I3108" s="6"/>
      <c r="J3108" s="6"/>
      <c r="K3108" s="6"/>
      <c r="L3108" s="6"/>
      <c r="M3108" s="6"/>
      <c r="N3108" s="6"/>
      <c r="O3108" s="6"/>
      <c r="P3108" s="6"/>
      <c r="Q3108" s="6"/>
      <c r="R3108" s="6"/>
      <c r="S3108" s="6"/>
      <c r="T3108" s="6"/>
      <c r="U3108" s="6"/>
      <c r="V3108" s="6"/>
      <c r="W3108" s="6"/>
      <c r="X3108" s="6"/>
      <c r="Y3108" s="6"/>
      <c r="Z3108" s="6"/>
    </row>
    <row r="3109" customFormat="false" ht="15" hidden="false" customHeight="false" outlineLevel="0" collapsed="false">
      <c r="A3109" s="9" t="s">
        <v>8952</v>
      </c>
      <c r="B3109" s="9" t="s">
        <v>5870</v>
      </c>
      <c r="C3109" s="9" t="s">
        <v>3361</v>
      </c>
      <c r="D3109" s="9" t="s">
        <v>5871</v>
      </c>
      <c r="E3109" s="9" t="str">
        <f aca="false">IF(AND('Formation Ledger'!A3088&lt;&gt;"",'Formation Ledger'!V3088=0),"PASS","FAIL")</f>
        <v>PASS</v>
      </c>
      <c r="F3109" s="9" t="s">
        <v>76</v>
      </c>
      <c r="G3109" s="6"/>
      <c r="H3109" s="6"/>
      <c r="I3109" s="6"/>
      <c r="J3109" s="6"/>
      <c r="K3109" s="6"/>
      <c r="L3109" s="6"/>
      <c r="M3109" s="6"/>
      <c r="N3109" s="6"/>
      <c r="O3109" s="6"/>
      <c r="P3109" s="6"/>
      <c r="Q3109" s="6"/>
      <c r="R3109" s="6"/>
      <c r="S3109" s="6"/>
      <c r="T3109" s="6"/>
      <c r="U3109" s="6"/>
      <c r="V3109" s="6"/>
      <c r="W3109" s="6"/>
      <c r="X3109" s="6"/>
      <c r="Y3109" s="6"/>
      <c r="Z3109" s="6"/>
    </row>
    <row r="3110" customFormat="false" ht="15" hidden="false" customHeight="false" outlineLevel="0" collapsed="false">
      <c r="A3110" s="9" t="s">
        <v>8953</v>
      </c>
      <c r="B3110" s="9" t="s">
        <v>5870</v>
      </c>
      <c r="C3110" s="9" t="s">
        <v>3362</v>
      </c>
      <c r="D3110" s="9" t="s">
        <v>5871</v>
      </c>
      <c r="E3110" s="9" t="str">
        <f aca="false">IF(AND('Formation Ledger'!A3089&lt;&gt;"",'Formation Ledger'!V3089=0),"PASS","FAIL")</f>
        <v>PASS</v>
      </c>
      <c r="F3110" s="9" t="s">
        <v>76</v>
      </c>
      <c r="G3110" s="6"/>
      <c r="H3110" s="6"/>
      <c r="I3110" s="6"/>
      <c r="J3110" s="6"/>
      <c r="K3110" s="6"/>
      <c r="L3110" s="6"/>
      <c r="M3110" s="6"/>
      <c r="N3110" s="6"/>
      <c r="O3110" s="6"/>
      <c r="P3110" s="6"/>
      <c r="Q3110" s="6"/>
      <c r="R3110" s="6"/>
      <c r="S3110" s="6"/>
      <c r="T3110" s="6"/>
      <c r="U3110" s="6"/>
      <c r="V3110" s="6"/>
      <c r="W3110" s="6"/>
      <c r="X3110" s="6"/>
      <c r="Y3110" s="6"/>
      <c r="Z3110" s="6"/>
    </row>
    <row r="3111" customFormat="false" ht="15" hidden="false" customHeight="false" outlineLevel="0" collapsed="false">
      <c r="A3111" s="9" t="s">
        <v>8954</v>
      </c>
      <c r="B3111" s="9" t="s">
        <v>5870</v>
      </c>
      <c r="C3111" s="9" t="s">
        <v>3363</v>
      </c>
      <c r="D3111" s="9" t="s">
        <v>5871</v>
      </c>
      <c r="E3111" s="9" t="str">
        <f aca="false">IF(AND('Formation Ledger'!A3090&lt;&gt;"",'Formation Ledger'!V3090=0),"PASS","FAIL")</f>
        <v>PASS</v>
      </c>
      <c r="F3111" s="9" t="s">
        <v>76</v>
      </c>
      <c r="G3111" s="6"/>
      <c r="H3111" s="6"/>
      <c r="I3111" s="6"/>
      <c r="J3111" s="6"/>
      <c r="K3111" s="6"/>
      <c r="L3111" s="6"/>
      <c r="M3111" s="6"/>
      <c r="N3111" s="6"/>
      <c r="O3111" s="6"/>
      <c r="P3111" s="6"/>
      <c r="Q3111" s="6"/>
      <c r="R3111" s="6"/>
      <c r="S3111" s="6"/>
      <c r="T3111" s="6"/>
      <c r="U3111" s="6"/>
      <c r="V3111" s="6"/>
      <c r="W3111" s="6"/>
      <c r="X3111" s="6"/>
      <c r="Y3111" s="6"/>
      <c r="Z3111" s="6"/>
    </row>
    <row r="3112" customFormat="false" ht="15" hidden="false" customHeight="false" outlineLevel="0" collapsed="false">
      <c r="A3112" s="9" t="s">
        <v>8955</v>
      </c>
      <c r="B3112" s="9" t="s">
        <v>5870</v>
      </c>
      <c r="C3112" s="9" t="s">
        <v>3364</v>
      </c>
      <c r="D3112" s="9" t="s">
        <v>5871</v>
      </c>
      <c r="E3112" s="9" t="str">
        <f aca="false">IF(AND('Formation Ledger'!A3091&lt;&gt;"",'Formation Ledger'!V3091=0),"PASS","FAIL")</f>
        <v>PASS</v>
      </c>
      <c r="F3112" s="9" t="s">
        <v>76</v>
      </c>
      <c r="G3112" s="6"/>
      <c r="H3112" s="6"/>
      <c r="I3112" s="6"/>
      <c r="J3112" s="6"/>
      <c r="K3112" s="6"/>
      <c r="L3112" s="6"/>
      <c r="M3112" s="6"/>
      <c r="N3112" s="6"/>
      <c r="O3112" s="6"/>
      <c r="P3112" s="6"/>
      <c r="Q3112" s="6"/>
      <c r="R3112" s="6"/>
      <c r="S3112" s="6"/>
      <c r="T3112" s="6"/>
      <c r="U3112" s="6"/>
      <c r="V3112" s="6"/>
      <c r="W3112" s="6"/>
      <c r="X3112" s="6"/>
      <c r="Y3112" s="6"/>
      <c r="Z3112" s="6"/>
    </row>
    <row r="3113" customFormat="false" ht="15" hidden="false" customHeight="false" outlineLevel="0" collapsed="false">
      <c r="A3113" s="9" t="s">
        <v>8956</v>
      </c>
      <c r="B3113" s="9" t="s">
        <v>5870</v>
      </c>
      <c r="C3113" s="9" t="s">
        <v>3365</v>
      </c>
      <c r="D3113" s="9" t="s">
        <v>5871</v>
      </c>
      <c r="E3113" s="9" t="str">
        <f aca="false">IF(AND('Formation Ledger'!A3092&lt;&gt;"",'Formation Ledger'!V3092=0),"PASS","FAIL")</f>
        <v>PASS</v>
      </c>
      <c r="F3113" s="9" t="s">
        <v>76</v>
      </c>
      <c r="G3113" s="6"/>
      <c r="H3113" s="6"/>
      <c r="I3113" s="6"/>
      <c r="J3113" s="6"/>
      <c r="K3113" s="6"/>
      <c r="L3113" s="6"/>
      <c r="M3113" s="6"/>
      <c r="N3113" s="6"/>
      <c r="O3113" s="6"/>
      <c r="P3113" s="6"/>
      <c r="Q3113" s="6"/>
      <c r="R3113" s="6"/>
      <c r="S3113" s="6"/>
      <c r="T3113" s="6"/>
      <c r="U3113" s="6"/>
      <c r="V3113" s="6"/>
      <c r="W3113" s="6"/>
      <c r="X3113" s="6"/>
      <c r="Y3113" s="6"/>
      <c r="Z3113" s="6"/>
    </row>
    <row r="3114" customFormat="false" ht="15" hidden="false" customHeight="false" outlineLevel="0" collapsed="false">
      <c r="A3114" s="9" t="s">
        <v>8957</v>
      </c>
      <c r="B3114" s="9" t="s">
        <v>5870</v>
      </c>
      <c r="C3114" s="9" t="s">
        <v>3366</v>
      </c>
      <c r="D3114" s="9" t="s">
        <v>5871</v>
      </c>
      <c r="E3114" s="9" t="str">
        <f aca="false">IF(AND('Formation Ledger'!A3093&lt;&gt;"",'Formation Ledger'!V3093=0),"PASS","FAIL")</f>
        <v>PASS</v>
      </c>
      <c r="F3114" s="9" t="s">
        <v>76</v>
      </c>
      <c r="G3114" s="6"/>
      <c r="H3114" s="6"/>
      <c r="I3114" s="6"/>
      <c r="J3114" s="6"/>
      <c r="K3114" s="6"/>
      <c r="L3114" s="6"/>
      <c r="M3114" s="6"/>
      <c r="N3114" s="6"/>
      <c r="O3114" s="6"/>
      <c r="P3114" s="6"/>
      <c r="Q3114" s="6"/>
      <c r="R3114" s="6"/>
      <c r="S3114" s="6"/>
      <c r="T3114" s="6"/>
      <c r="U3114" s="6"/>
      <c r="V3114" s="6"/>
      <c r="W3114" s="6"/>
      <c r="X3114" s="6"/>
      <c r="Y3114" s="6"/>
      <c r="Z3114" s="6"/>
    </row>
    <row r="3115" customFormat="false" ht="15" hidden="false" customHeight="false" outlineLevel="0" collapsed="false">
      <c r="A3115" s="9" t="s">
        <v>8958</v>
      </c>
      <c r="B3115" s="9" t="s">
        <v>5870</v>
      </c>
      <c r="C3115" s="9" t="s">
        <v>3367</v>
      </c>
      <c r="D3115" s="9" t="s">
        <v>5871</v>
      </c>
      <c r="E3115" s="9" t="str">
        <f aca="false">IF(AND('Formation Ledger'!A3094&lt;&gt;"",'Formation Ledger'!V3094=0),"PASS","FAIL")</f>
        <v>PASS</v>
      </c>
      <c r="F3115" s="9" t="s">
        <v>76</v>
      </c>
      <c r="G3115" s="6"/>
      <c r="H3115" s="6"/>
      <c r="I3115" s="6"/>
      <c r="J3115" s="6"/>
      <c r="K3115" s="6"/>
      <c r="L3115" s="6"/>
      <c r="M3115" s="6"/>
      <c r="N3115" s="6"/>
      <c r="O3115" s="6"/>
      <c r="P3115" s="6"/>
      <c r="Q3115" s="6"/>
      <c r="R3115" s="6"/>
      <c r="S3115" s="6"/>
      <c r="T3115" s="6"/>
      <c r="U3115" s="6"/>
      <c r="V3115" s="6"/>
      <c r="W3115" s="6"/>
      <c r="X3115" s="6"/>
      <c r="Y3115" s="6"/>
      <c r="Z3115" s="6"/>
    </row>
    <row r="3116" customFormat="false" ht="15" hidden="false" customHeight="false" outlineLevel="0" collapsed="false">
      <c r="A3116" s="9" t="s">
        <v>8959</v>
      </c>
      <c r="B3116" s="9" t="s">
        <v>5870</v>
      </c>
      <c r="C3116" s="9" t="s">
        <v>3368</v>
      </c>
      <c r="D3116" s="9" t="s">
        <v>5871</v>
      </c>
      <c r="E3116" s="9" t="str">
        <f aca="false">IF(AND('Formation Ledger'!A3095&lt;&gt;"",'Formation Ledger'!V3095=0),"PASS","FAIL")</f>
        <v>PASS</v>
      </c>
      <c r="F3116" s="9" t="s">
        <v>76</v>
      </c>
      <c r="G3116" s="6"/>
      <c r="H3116" s="6"/>
      <c r="I3116" s="6"/>
      <c r="J3116" s="6"/>
      <c r="K3116" s="6"/>
      <c r="L3116" s="6"/>
      <c r="M3116" s="6"/>
      <c r="N3116" s="6"/>
      <c r="O3116" s="6"/>
      <c r="P3116" s="6"/>
      <c r="Q3116" s="6"/>
      <c r="R3116" s="6"/>
      <c r="S3116" s="6"/>
      <c r="T3116" s="6"/>
      <c r="U3116" s="6"/>
      <c r="V3116" s="6"/>
      <c r="W3116" s="6"/>
      <c r="X3116" s="6"/>
      <c r="Y3116" s="6"/>
      <c r="Z3116" s="6"/>
    </row>
    <row r="3117" customFormat="false" ht="15" hidden="false" customHeight="false" outlineLevel="0" collapsed="false">
      <c r="A3117" s="9" t="s">
        <v>8960</v>
      </c>
      <c r="B3117" s="9" t="s">
        <v>5870</v>
      </c>
      <c r="C3117" s="9" t="s">
        <v>3369</v>
      </c>
      <c r="D3117" s="9" t="s">
        <v>5871</v>
      </c>
      <c r="E3117" s="9" t="str">
        <f aca="false">IF(AND('Formation Ledger'!A3096&lt;&gt;"",'Formation Ledger'!V3096=0),"PASS","FAIL")</f>
        <v>PASS</v>
      </c>
      <c r="F3117" s="9" t="s">
        <v>76</v>
      </c>
      <c r="G3117" s="6"/>
      <c r="H3117" s="6"/>
      <c r="I3117" s="6"/>
      <c r="J3117" s="6"/>
      <c r="K3117" s="6"/>
      <c r="L3117" s="6"/>
      <c r="M3117" s="6"/>
      <c r="N3117" s="6"/>
      <c r="O3117" s="6"/>
      <c r="P3117" s="6"/>
      <c r="Q3117" s="6"/>
      <c r="R3117" s="6"/>
      <c r="S3117" s="6"/>
      <c r="T3117" s="6"/>
      <c r="U3117" s="6"/>
      <c r="V3117" s="6"/>
      <c r="W3117" s="6"/>
      <c r="X3117" s="6"/>
      <c r="Y3117" s="6"/>
      <c r="Z3117" s="6"/>
    </row>
    <row r="3118" customFormat="false" ht="15" hidden="false" customHeight="false" outlineLevel="0" collapsed="false">
      <c r="A3118" s="9" t="s">
        <v>8961</v>
      </c>
      <c r="B3118" s="9" t="s">
        <v>5870</v>
      </c>
      <c r="C3118" s="9" t="s">
        <v>3370</v>
      </c>
      <c r="D3118" s="9" t="s">
        <v>5871</v>
      </c>
      <c r="E3118" s="9" t="str">
        <f aca="false">IF(AND('Formation Ledger'!A3097&lt;&gt;"",'Formation Ledger'!V3097=0),"PASS","FAIL")</f>
        <v>PASS</v>
      </c>
      <c r="F3118" s="9" t="s">
        <v>76</v>
      </c>
      <c r="G3118" s="6"/>
      <c r="H3118" s="6"/>
      <c r="I3118" s="6"/>
      <c r="J3118" s="6"/>
      <c r="K3118" s="6"/>
      <c r="L3118" s="6"/>
      <c r="M3118" s="6"/>
      <c r="N3118" s="6"/>
      <c r="O3118" s="6"/>
      <c r="P3118" s="6"/>
      <c r="Q3118" s="6"/>
      <c r="R3118" s="6"/>
      <c r="S3118" s="6"/>
      <c r="T3118" s="6"/>
      <c r="U3118" s="6"/>
      <c r="V3118" s="6"/>
      <c r="W3118" s="6"/>
      <c r="X3118" s="6"/>
      <c r="Y3118" s="6"/>
      <c r="Z3118" s="6"/>
    </row>
    <row r="3119" customFormat="false" ht="15" hidden="false" customHeight="false" outlineLevel="0" collapsed="false">
      <c r="A3119" s="9" t="s">
        <v>8962</v>
      </c>
      <c r="B3119" s="9" t="s">
        <v>5870</v>
      </c>
      <c r="C3119" s="9" t="s">
        <v>3371</v>
      </c>
      <c r="D3119" s="9" t="s">
        <v>5871</v>
      </c>
      <c r="E3119" s="9" t="str">
        <f aca="false">IF(AND('Formation Ledger'!A3098&lt;&gt;"",'Formation Ledger'!V3098=0),"PASS","FAIL")</f>
        <v>PASS</v>
      </c>
      <c r="F3119" s="9" t="s">
        <v>76</v>
      </c>
      <c r="G3119" s="6"/>
      <c r="H3119" s="6"/>
      <c r="I3119" s="6"/>
      <c r="J3119" s="6"/>
      <c r="K3119" s="6"/>
      <c r="L3119" s="6"/>
      <c r="M3119" s="6"/>
      <c r="N3119" s="6"/>
      <c r="O3119" s="6"/>
      <c r="P3119" s="6"/>
      <c r="Q3119" s="6"/>
      <c r="R3119" s="6"/>
      <c r="S3119" s="6"/>
      <c r="T3119" s="6"/>
      <c r="U3119" s="6"/>
      <c r="V3119" s="6"/>
      <c r="W3119" s="6"/>
      <c r="X3119" s="6"/>
      <c r="Y3119" s="6"/>
      <c r="Z3119" s="6"/>
    </row>
    <row r="3120" customFormat="false" ht="15" hidden="false" customHeight="false" outlineLevel="0" collapsed="false">
      <c r="A3120" s="9" t="s">
        <v>8963</v>
      </c>
      <c r="B3120" s="9" t="s">
        <v>5870</v>
      </c>
      <c r="C3120" s="9" t="s">
        <v>3372</v>
      </c>
      <c r="D3120" s="9" t="s">
        <v>5871</v>
      </c>
      <c r="E3120" s="9" t="str">
        <f aca="false">IF(AND('Formation Ledger'!A3099&lt;&gt;"",'Formation Ledger'!V3099=0),"PASS","FAIL")</f>
        <v>PASS</v>
      </c>
      <c r="F3120" s="9" t="s">
        <v>76</v>
      </c>
      <c r="G3120" s="6"/>
      <c r="H3120" s="6"/>
      <c r="I3120" s="6"/>
      <c r="J3120" s="6"/>
      <c r="K3120" s="6"/>
      <c r="L3120" s="6"/>
      <c r="M3120" s="6"/>
      <c r="N3120" s="6"/>
      <c r="O3120" s="6"/>
      <c r="P3120" s="6"/>
      <c r="Q3120" s="6"/>
      <c r="R3120" s="6"/>
      <c r="S3120" s="6"/>
      <c r="T3120" s="6"/>
      <c r="U3120" s="6"/>
      <c r="V3120" s="6"/>
      <c r="W3120" s="6"/>
      <c r="X3120" s="6"/>
      <c r="Y3120" s="6"/>
      <c r="Z3120" s="6"/>
    </row>
    <row r="3121" customFormat="false" ht="15" hidden="false" customHeight="false" outlineLevel="0" collapsed="false">
      <c r="A3121" s="9" t="s">
        <v>8964</v>
      </c>
      <c r="B3121" s="9" t="s">
        <v>5870</v>
      </c>
      <c r="C3121" s="9" t="s">
        <v>3373</v>
      </c>
      <c r="D3121" s="9" t="s">
        <v>5871</v>
      </c>
      <c r="E3121" s="9" t="str">
        <f aca="false">IF(AND('Formation Ledger'!A3100&lt;&gt;"",'Formation Ledger'!V3100=0),"PASS","FAIL")</f>
        <v>PASS</v>
      </c>
      <c r="F3121" s="9" t="s">
        <v>76</v>
      </c>
      <c r="G3121" s="6"/>
      <c r="H3121" s="6"/>
      <c r="I3121" s="6"/>
      <c r="J3121" s="6"/>
      <c r="K3121" s="6"/>
      <c r="L3121" s="6"/>
      <c r="M3121" s="6"/>
      <c r="N3121" s="6"/>
      <c r="O3121" s="6"/>
      <c r="P3121" s="6"/>
      <c r="Q3121" s="6"/>
      <c r="R3121" s="6"/>
      <c r="S3121" s="6"/>
      <c r="T3121" s="6"/>
      <c r="U3121" s="6"/>
      <c r="V3121" s="6"/>
      <c r="W3121" s="6"/>
      <c r="X3121" s="6"/>
      <c r="Y3121" s="6"/>
      <c r="Z3121" s="6"/>
    </row>
    <row r="3122" customFormat="false" ht="15" hidden="false" customHeight="false" outlineLevel="0" collapsed="false">
      <c r="A3122" s="9" t="s">
        <v>8965</v>
      </c>
      <c r="B3122" s="9" t="s">
        <v>5870</v>
      </c>
      <c r="C3122" s="9" t="s">
        <v>3374</v>
      </c>
      <c r="D3122" s="9" t="s">
        <v>5871</v>
      </c>
      <c r="E3122" s="9" t="str">
        <f aca="false">IF(AND('Formation Ledger'!A3101&lt;&gt;"",'Formation Ledger'!V3101=0),"PASS","FAIL")</f>
        <v>PASS</v>
      </c>
      <c r="F3122" s="9" t="s">
        <v>76</v>
      </c>
      <c r="G3122" s="6"/>
      <c r="H3122" s="6"/>
      <c r="I3122" s="6"/>
      <c r="J3122" s="6"/>
      <c r="K3122" s="6"/>
      <c r="L3122" s="6"/>
      <c r="M3122" s="6"/>
      <c r="N3122" s="6"/>
      <c r="O3122" s="6"/>
      <c r="P3122" s="6"/>
      <c r="Q3122" s="6"/>
      <c r="R3122" s="6"/>
      <c r="S3122" s="6"/>
      <c r="T3122" s="6"/>
      <c r="U3122" s="6"/>
      <c r="V3122" s="6"/>
      <c r="W3122" s="6"/>
      <c r="X3122" s="6"/>
      <c r="Y3122" s="6"/>
      <c r="Z3122" s="6"/>
    </row>
    <row r="3123" customFormat="false" ht="15" hidden="false" customHeight="false" outlineLevel="0" collapsed="false">
      <c r="A3123" s="9" t="s">
        <v>8966</v>
      </c>
      <c r="B3123" s="9" t="s">
        <v>5870</v>
      </c>
      <c r="C3123" s="9" t="s">
        <v>3375</v>
      </c>
      <c r="D3123" s="9" t="s">
        <v>5871</v>
      </c>
      <c r="E3123" s="9" t="str">
        <f aca="false">IF(AND('Formation Ledger'!A3102&lt;&gt;"",'Formation Ledger'!V3102=0),"PASS","FAIL")</f>
        <v>PASS</v>
      </c>
      <c r="F3123" s="9" t="s">
        <v>76</v>
      </c>
      <c r="G3123" s="6"/>
      <c r="H3123" s="6"/>
      <c r="I3123" s="6"/>
      <c r="J3123" s="6"/>
      <c r="K3123" s="6"/>
      <c r="L3123" s="6"/>
      <c r="M3123" s="6"/>
      <c r="N3123" s="6"/>
      <c r="O3123" s="6"/>
      <c r="P3123" s="6"/>
      <c r="Q3123" s="6"/>
      <c r="R3123" s="6"/>
      <c r="S3123" s="6"/>
      <c r="T3123" s="6"/>
      <c r="U3123" s="6"/>
      <c r="V3123" s="6"/>
      <c r="W3123" s="6"/>
      <c r="X3123" s="6"/>
      <c r="Y3123" s="6"/>
      <c r="Z3123" s="6"/>
    </row>
    <row r="3124" customFormat="false" ht="15" hidden="false" customHeight="false" outlineLevel="0" collapsed="false">
      <c r="A3124" s="9" t="s">
        <v>8967</v>
      </c>
      <c r="B3124" s="9" t="s">
        <v>5870</v>
      </c>
      <c r="C3124" s="9" t="s">
        <v>3376</v>
      </c>
      <c r="D3124" s="9" t="s">
        <v>5871</v>
      </c>
      <c r="E3124" s="9" t="str">
        <f aca="false">IF(AND('Formation Ledger'!A3103&lt;&gt;"",'Formation Ledger'!V3103=0),"PASS","FAIL")</f>
        <v>PASS</v>
      </c>
      <c r="F3124" s="9" t="s">
        <v>76</v>
      </c>
      <c r="G3124" s="6"/>
      <c r="H3124" s="6"/>
      <c r="I3124" s="6"/>
      <c r="J3124" s="6"/>
      <c r="K3124" s="6"/>
      <c r="L3124" s="6"/>
      <c r="M3124" s="6"/>
      <c r="N3124" s="6"/>
      <c r="O3124" s="6"/>
      <c r="P3124" s="6"/>
      <c r="Q3124" s="6"/>
      <c r="R3124" s="6"/>
      <c r="S3124" s="6"/>
      <c r="T3124" s="6"/>
      <c r="U3124" s="6"/>
      <c r="V3124" s="6"/>
      <c r="W3124" s="6"/>
      <c r="X3124" s="6"/>
      <c r="Y3124" s="6"/>
      <c r="Z3124" s="6"/>
    </row>
    <row r="3125" customFormat="false" ht="15" hidden="false" customHeight="false" outlineLevel="0" collapsed="false">
      <c r="A3125" s="9" t="s">
        <v>8968</v>
      </c>
      <c r="B3125" s="9" t="s">
        <v>5870</v>
      </c>
      <c r="C3125" s="9" t="s">
        <v>3377</v>
      </c>
      <c r="D3125" s="9" t="s">
        <v>5871</v>
      </c>
      <c r="E3125" s="9" t="str">
        <f aca="false">IF(AND('Formation Ledger'!A3104&lt;&gt;"",'Formation Ledger'!V3104=0),"PASS","FAIL")</f>
        <v>PASS</v>
      </c>
      <c r="F3125" s="9" t="s">
        <v>76</v>
      </c>
      <c r="G3125" s="6"/>
      <c r="H3125" s="6"/>
      <c r="I3125" s="6"/>
      <c r="J3125" s="6"/>
      <c r="K3125" s="6"/>
      <c r="L3125" s="6"/>
      <c r="M3125" s="6"/>
      <c r="N3125" s="6"/>
      <c r="O3125" s="6"/>
      <c r="P3125" s="6"/>
      <c r="Q3125" s="6"/>
      <c r="R3125" s="6"/>
      <c r="S3125" s="6"/>
      <c r="T3125" s="6"/>
      <c r="U3125" s="6"/>
      <c r="V3125" s="6"/>
      <c r="W3125" s="6"/>
      <c r="X3125" s="6"/>
      <c r="Y3125" s="6"/>
      <c r="Z3125" s="6"/>
    </row>
    <row r="3126" customFormat="false" ht="15" hidden="false" customHeight="false" outlineLevel="0" collapsed="false">
      <c r="A3126" s="9" t="s">
        <v>8969</v>
      </c>
      <c r="B3126" s="9" t="s">
        <v>5870</v>
      </c>
      <c r="C3126" s="9" t="s">
        <v>3378</v>
      </c>
      <c r="D3126" s="9" t="s">
        <v>5871</v>
      </c>
      <c r="E3126" s="9" t="str">
        <f aca="false">IF(AND('Formation Ledger'!A3105&lt;&gt;"",'Formation Ledger'!V3105=0),"PASS","FAIL")</f>
        <v>PASS</v>
      </c>
      <c r="F3126" s="9" t="s">
        <v>76</v>
      </c>
      <c r="G3126" s="6"/>
      <c r="H3126" s="6"/>
      <c r="I3126" s="6"/>
      <c r="J3126" s="6"/>
      <c r="K3126" s="6"/>
      <c r="L3126" s="6"/>
      <c r="M3126" s="6"/>
      <c r="N3126" s="6"/>
      <c r="O3126" s="6"/>
      <c r="P3126" s="6"/>
      <c r="Q3126" s="6"/>
      <c r="R3126" s="6"/>
      <c r="S3126" s="6"/>
      <c r="T3126" s="6"/>
      <c r="U3126" s="6"/>
      <c r="V3126" s="6"/>
      <c r="W3126" s="6"/>
      <c r="X3126" s="6"/>
      <c r="Y3126" s="6"/>
      <c r="Z3126" s="6"/>
    </row>
    <row r="3127" customFormat="false" ht="15" hidden="false" customHeight="false" outlineLevel="0" collapsed="false">
      <c r="A3127" s="9" t="s">
        <v>8970</v>
      </c>
      <c r="B3127" s="9" t="s">
        <v>5870</v>
      </c>
      <c r="C3127" s="9" t="s">
        <v>3379</v>
      </c>
      <c r="D3127" s="9" t="s">
        <v>5871</v>
      </c>
      <c r="E3127" s="9" t="str">
        <f aca="false">IF(AND('Formation Ledger'!A3106&lt;&gt;"",'Formation Ledger'!V3106=0),"PASS","FAIL")</f>
        <v>PASS</v>
      </c>
      <c r="F3127" s="9" t="s">
        <v>76</v>
      </c>
      <c r="G3127" s="6"/>
      <c r="H3127" s="6"/>
      <c r="I3127" s="6"/>
      <c r="J3127" s="6"/>
      <c r="K3127" s="6"/>
      <c r="L3127" s="6"/>
      <c r="M3127" s="6"/>
      <c r="N3127" s="6"/>
      <c r="O3127" s="6"/>
      <c r="P3127" s="6"/>
      <c r="Q3127" s="6"/>
      <c r="R3127" s="6"/>
      <c r="S3127" s="6"/>
      <c r="T3127" s="6"/>
      <c r="U3127" s="6"/>
      <c r="V3127" s="6"/>
      <c r="W3127" s="6"/>
      <c r="X3127" s="6"/>
      <c r="Y3127" s="6"/>
      <c r="Z3127" s="6"/>
    </row>
    <row r="3128" customFormat="false" ht="15" hidden="false" customHeight="false" outlineLevel="0" collapsed="false">
      <c r="A3128" s="9" t="s">
        <v>8971</v>
      </c>
      <c r="B3128" s="9" t="s">
        <v>5870</v>
      </c>
      <c r="C3128" s="9" t="s">
        <v>3380</v>
      </c>
      <c r="D3128" s="9" t="s">
        <v>5871</v>
      </c>
      <c r="E3128" s="9" t="str">
        <f aca="false">IF(AND('Formation Ledger'!A3107&lt;&gt;"",'Formation Ledger'!V3107=0),"PASS","FAIL")</f>
        <v>PASS</v>
      </c>
      <c r="F3128" s="9" t="s">
        <v>76</v>
      </c>
      <c r="G3128" s="6"/>
      <c r="H3128" s="6"/>
      <c r="I3128" s="6"/>
      <c r="J3128" s="6"/>
      <c r="K3128" s="6"/>
      <c r="L3128" s="6"/>
      <c r="M3128" s="6"/>
      <c r="N3128" s="6"/>
      <c r="O3128" s="6"/>
      <c r="P3128" s="6"/>
      <c r="Q3128" s="6"/>
      <c r="R3128" s="6"/>
      <c r="S3128" s="6"/>
      <c r="T3128" s="6"/>
      <c r="U3128" s="6"/>
      <c r="V3128" s="6"/>
      <c r="W3128" s="6"/>
      <c r="X3128" s="6"/>
      <c r="Y3128" s="6"/>
      <c r="Z3128" s="6"/>
    </row>
    <row r="3129" customFormat="false" ht="15" hidden="false" customHeight="false" outlineLevel="0" collapsed="false">
      <c r="A3129" s="9" t="s">
        <v>8972</v>
      </c>
      <c r="B3129" s="9" t="s">
        <v>5870</v>
      </c>
      <c r="C3129" s="9" t="s">
        <v>3381</v>
      </c>
      <c r="D3129" s="9" t="s">
        <v>5871</v>
      </c>
      <c r="E3129" s="9" t="str">
        <f aca="false">IF(AND('Formation Ledger'!A3108&lt;&gt;"",'Formation Ledger'!V3108=0),"PASS","FAIL")</f>
        <v>PASS</v>
      </c>
      <c r="F3129" s="9" t="s">
        <v>76</v>
      </c>
      <c r="G3129" s="6"/>
      <c r="H3129" s="6"/>
      <c r="I3129" s="6"/>
      <c r="J3129" s="6"/>
      <c r="K3129" s="6"/>
      <c r="L3129" s="6"/>
      <c r="M3129" s="6"/>
      <c r="N3129" s="6"/>
      <c r="O3129" s="6"/>
      <c r="P3129" s="6"/>
      <c r="Q3129" s="6"/>
      <c r="R3129" s="6"/>
      <c r="S3129" s="6"/>
      <c r="T3129" s="6"/>
      <c r="U3129" s="6"/>
      <c r="V3129" s="6"/>
      <c r="W3129" s="6"/>
      <c r="X3129" s="6"/>
      <c r="Y3129" s="6"/>
      <c r="Z3129" s="6"/>
    </row>
    <row r="3130" customFormat="false" ht="15" hidden="false" customHeight="false" outlineLevel="0" collapsed="false">
      <c r="A3130" s="9" t="s">
        <v>8973</v>
      </c>
      <c r="B3130" s="9" t="s">
        <v>5870</v>
      </c>
      <c r="C3130" s="9" t="s">
        <v>3382</v>
      </c>
      <c r="D3130" s="9" t="s">
        <v>5871</v>
      </c>
      <c r="E3130" s="9" t="str">
        <f aca="false">IF(AND('Formation Ledger'!A3109&lt;&gt;"",'Formation Ledger'!V3109=0),"PASS","FAIL")</f>
        <v>PASS</v>
      </c>
      <c r="F3130" s="9" t="s">
        <v>76</v>
      </c>
      <c r="G3130" s="6"/>
      <c r="H3130" s="6"/>
      <c r="I3130" s="6"/>
      <c r="J3130" s="6"/>
      <c r="K3130" s="6"/>
      <c r="L3130" s="6"/>
      <c r="M3130" s="6"/>
      <c r="N3130" s="6"/>
      <c r="O3130" s="6"/>
      <c r="P3130" s="6"/>
      <c r="Q3130" s="6"/>
      <c r="R3130" s="6"/>
      <c r="S3130" s="6"/>
      <c r="T3130" s="6"/>
      <c r="U3130" s="6"/>
      <c r="V3130" s="6"/>
      <c r="W3130" s="6"/>
      <c r="X3130" s="6"/>
      <c r="Y3130" s="6"/>
      <c r="Z3130" s="6"/>
    </row>
    <row r="3131" customFormat="false" ht="15" hidden="false" customHeight="false" outlineLevel="0" collapsed="false">
      <c r="A3131" s="9" t="s">
        <v>8974</v>
      </c>
      <c r="B3131" s="9" t="s">
        <v>5870</v>
      </c>
      <c r="C3131" s="9" t="s">
        <v>3383</v>
      </c>
      <c r="D3131" s="9" t="s">
        <v>5871</v>
      </c>
      <c r="E3131" s="9" t="str">
        <f aca="false">IF(AND('Formation Ledger'!A3110&lt;&gt;"",'Formation Ledger'!V3110=0),"PASS","FAIL")</f>
        <v>PASS</v>
      </c>
      <c r="F3131" s="9" t="s">
        <v>76</v>
      </c>
      <c r="G3131" s="6"/>
      <c r="H3131" s="6"/>
      <c r="I3131" s="6"/>
      <c r="J3131" s="6"/>
      <c r="K3131" s="6"/>
      <c r="L3131" s="6"/>
      <c r="M3131" s="6"/>
      <c r="N3131" s="6"/>
      <c r="O3131" s="6"/>
      <c r="P3131" s="6"/>
      <c r="Q3131" s="6"/>
      <c r="R3131" s="6"/>
      <c r="S3131" s="6"/>
      <c r="T3131" s="6"/>
      <c r="U3131" s="6"/>
      <c r="V3131" s="6"/>
      <c r="W3131" s="6"/>
      <c r="X3131" s="6"/>
      <c r="Y3131" s="6"/>
      <c r="Z3131" s="6"/>
    </row>
    <row r="3132" customFormat="false" ht="15" hidden="false" customHeight="false" outlineLevel="0" collapsed="false">
      <c r="A3132" s="9" t="s">
        <v>8975</v>
      </c>
      <c r="B3132" s="9" t="s">
        <v>5870</v>
      </c>
      <c r="C3132" s="9" t="s">
        <v>3384</v>
      </c>
      <c r="D3132" s="9" t="s">
        <v>5871</v>
      </c>
      <c r="E3132" s="9" t="str">
        <f aca="false">IF(AND('Formation Ledger'!A3111&lt;&gt;"",'Formation Ledger'!V3111=0),"PASS","FAIL")</f>
        <v>PASS</v>
      </c>
      <c r="F3132" s="9" t="s">
        <v>76</v>
      </c>
      <c r="G3132" s="6"/>
      <c r="H3132" s="6"/>
      <c r="I3132" s="6"/>
      <c r="J3132" s="6"/>
      <c r="K3132" s="6"/>
      <c r="L3132" s="6"/>
      <c r="M3132" s="6"/>
      <c r="N3132" s="6"/>
      <c r="O3132" s="6"/>
      <c r="P3132" s="6"/>
      <c r="Q3132" s="6"/>
      <c r="R3132" s="6"/>
      <c r="S3132" s="6"/>
      <c r="T3132" s="6"/>
      <c r="U3132" s="6"/>
      <c r="V3132" s="6"/>
      <c r="W3132" s="6"/>
      <c r="X3132" s="6"/>
      <c r="Y3132" s="6"/>
      <c r="Z3132" s="6"/>
    </row>
    <row r="3133" customFormat="false" ht="15" hidden="false" customHeight="false" outlineLevel="0" collapsed="false">
      <c r="A3133" s="9" t="s">
        <v>8976</v>
      </c>
      <c r="B3133" s="9" t="s">
        <v>5870</v>
      </c>
      <c r="C3133" s="9" t="s">
        <v>3385</v>
      </c>
      <c r="D3133" s="9" t="s">
        <v>5871</v>
      </c>
      <c r="E3133" s="9" t="str">
        <f aca="false">IF(AND('Formation Ledger'!A3112&lt;&gt;"",'Formation Ledger'!V3112=0),"PASS","FAIL")</f>
        <v>PASS</v>
      </c>
      <c r="F3133" s="9" t="s">
        <v>76</v>
      </c>
      <c r="G3133" s="6"/>
      <c r="H3133" s="6"/>
      <c r="I3133" s="6"/>
      <c r="J3133" s="6"/>
      <c r="K3133" s="6"/>
      <c r="L3133" s="6"/>
      <c r="M3133" s="6"/>
      <c r="N3133" s="6"/>
      <c r="O3133" s="6"/>
      <c r="P3133" s="6"/>
      <c r="Q3133" s="6"/>
      <c r="R3133" s="6"/>
      <c r="S3133" s="6"/>
      <c r="T3133" s="6"/>
      <c r="U3133" s="6"/>
      <c r="V3133" s="6"/>
      <c r="W3133" s="6"/>
      <c r="X3133" s="6"/>
      <c r="Y3133" s="6"/>
      <c r="Z3133" s="6"/>
    </row>
    <row r="3134" customFormat="false" ht="15" hidden="false" customHeight="false" outlineLevel="0" collapsed="false">
      <c r="A3134" s="9" t="s">
        <v>8977</v>
      </c>
      <c r="B3134" s="9" t="s">
        <v>5870</v>
      </c>
      <c r="C3134" s="9" t="s">
        <v>3386</v>
      </c>
      <c r="D3134" s="9" t="s">
        <v>5871</v>
      </c>
      <c r="E3134" s="9" t="str">
        <f aca="false">IF(AND('Formation Ledger'!A3113&lt;&gt;"",'Formation Ledger'!V3113=0),"PASS","FAIL")</f>
        <v>PASS</v>
      </c>
      <c r="F3134" s="9" t="s">
        <v>76</v>
      </c>
      <c r="G3134" s="6"/>
      <c r="H3134" s="6"/>
      <c r="I3134" s="6"/>
      <c r="J3134" s="6"/>
      <c r="K3134" s="6"/>
      <c r="L3134" s="6"/>
      <c r="M3134" s="6"/>
      <c r="N3134" s="6"/>
      <c r="O3134" s="6"/>
      <c r="P3134" s="6"/>
      <c r="Q3134" s="6"/>
      <c r="R3134" s="6"/>
      <c r="S3134" s="6"/>
      <c r="T3134" s="6"/>
      <c r="U3134" s="6"/>
      <c r="V3134" s="6"/>
      <c r="W3134" s="6"/>
      <c r="X3134" s="6"/>
      <c r="Y3134" s="6"/>
      <c r="Z3134" s="6"/>
    </row>
    <row r="3135" customFormat="false" ht="15" hidden="false" customHeight="false" outlineLevel="0" collapsed="false">
      <c r="A3135" s="9" t="s">
        <v>8978</v>
      </c>
      <c r="B3135" s="9" t="s">
        <v>5870</v>
      </c>
      <c r="C3135" s="9" t="s">
        <v>3387</v>
      </c>
      <c r="D3135" s="9" t="s">
        <v>5871</v>
      </c>
      <c r="E3135" s="9" t="str">
        <f aca="false">IF(AND('Formation Ledger'!A3114&lt;&gt;"",'Formation Ledger'!V3114=0),"PASS","FAIL")</f>
        <v>PASS</v>
      </c>
      <c r="F3135" s="9" t="s">
        <v>76</v>
      </c>
      <c r="G3135" s="6"/>
      <c r="H3135" s="6"/>
      <c r="I3135" s="6"/>
      <c r="J3135" s="6"/>
      <c r="K3135" s="6"/>
      <c r="L3135" s="6"/>
      <c r="M3135" s="6"/>
      <c r="N3135" s="6"/>
      <c r="O3135" s="6"/>
      <c r="P3135" s="6"/>
      <c r="Q3135" s="6"/>
      <c r="R3135" s="6"/>
      <c r="S3135" s="6"/>
      <c r="T3135" s="6"/>
      <c r="U3135" s="6"/>
      <c r="V3135" s="6"/>
      <c r="W3135" s="6"/>
      <c r="X3135" s="6"/>
      <c r="Y3135" s="6"/>
      <c r="Z3135" s="6"/>
    </row>
    <row r="3136" customFormat="false" ht="15" hidden="false" customHeight="false" outlineLevel="0" collapsed="false">
      <c r="A3136" s="9" t="s">
        <v>8979</v>
      </c>
      <c r="B3136" s="9" t="s">
        <v>5870</v>
      </c>
      <c r="C3136" s="9" t="s">
        <v>3388</v>
      </c>
      <c r="D3136" s="9" t="s">
        <v>5871</v>
      </c>
      <c r="E3136" s="9" t="str">
        <f aca="false">IF(AND('Formation Ledger'!A3115&lt;&gt;"",'Formation Ledger'!V3115=0),"PASS","FAIL")</f>
        <v>PASS</v>
      </c>
      <c r="F3136" s="9" t="s">
        <v>76</v>
      </c>
      <c r="G3136" s="6"/>
      <c r="H3136" s="6"/>
      <c r="I3136" s="6"/>
      <c r="J3136" s="6"/>
      <c r="K3136" s="6"/>
      <c r="L3136" s="6"/>
      <c r="M3136" s="6"/>
      <c r="N3136" s="6"/>
      <c r="O3136" s="6"/>
      <c r="P3136" s="6"/>
      <c r="Q3136" s="6"/>
      <c r="R3136" s="6"/>
      <c r="S3136" s="6"/>
      <c r="T3136" s="6"/>
      <c r="U3136" s="6"/>
      <c r="V3136" s="6"/>
      <c r="W3136" s="6"/>
      <c r="X3136" s="6"/>
      <c r="Y3136" s="6"/>
      <c r="Z3136" s="6"/>
    </row>
    <row r="3137" customFormat="false" ht="15" hidden="false" customHeight="false" outlineLevel="0" collapsed="false">
      <c r="A3137" s="9" t="s">
        <v>8980</v>
      </c>
      <c r="B3137" s="9" t="s">
        <v>5870</v>
      </c>
      <c r="C3137" s="9" t="s">
        <v>3389</v>
      </c>
      <c r="D3137" s="9" t="s">
        <v>5871</v>
      </c>
      <c r="E3137" s="9" t="str">
        <f aca="false">IF(AND('Formation Ledger'!A3116&lt;&gt;"",'Formation Ledger'!V3116=0),"PASS","FAIL")</f>
        <v>PASS</v>
      </c>
      <c r="F3137" s="9" t="s">
        <v>76</v>
      </c>
      <c r="G3137" s="6"/>
      <c r="H3137" s="6"/>
      <c r="I3137" s="6"/>
      <c r="J3137" s="6"/>
      <c r="K3137" s="6"/>
      <c r="L3137" s="6"/>
      <c r="M3137" s="6"/>
      <c r="N3137" s="6"/>
      <c r="O3137" s="6"/>
      <c r="P3137" s="6"/>
      <c r="Q3137" s="6"/>
      <c r="R3137" s="6"/>
      <c r="S3137" s="6"/>
      <c r="T3137" s="6"/>
      <c r="U3137" s="6"/>
      <c r="V3137" s="6"/>
      <c r="W3137" s="6"/>
      <c r="X3137" s="6"/>
      <c r="Y3137" s="6"/>
      <c r="Z3137" s="6"/>
    </row>
    <row r="3138" customFormat="false" ht="15" hidden="false" customHeight="false" outlineLevel="0" collapsed="false">
      <c r="A3138" s="9" t="s">
        <v>8981</v>
      </c>
      <c r="B3138" s="9" t="s">
        <v>5870</v>
      </c>
      <c r="C3138" s="9" t="s">
        <v>3390</v>
      </c>
      <c r="D3138" s="9" t="s">
        <v>5871</v>
      </c>
      <c r="E3138" s="9" t="str">
        <f aca="false">IF(AND('Formation Ledger'!A3117&lt;&gt;"",'Formation Ledger'!V3117=0),"PASS","FAIL")</f>
        <v>PASS</v>
      </c>
      <c r="F3138" s="9" t="s">
        <v>76</v>
      </c>
      <c r="G3138" s="6"/>
      <c r="H3138" s="6"/>
      <c r="I3138" s="6"/>
      <c r="J3138" s="6"/>
      <c r="K3138" s="6"/>
      <c r="L3138" s="6"/>
      <c r="M3138" s="6"/>
      <c r="N3138" s="6"/>
      <c r="O3138" s="6"/>
      <c r="P3138" s="6"/>
      <c r="Q3138" s="6"/>
      <c r="R3138" s="6"/>
      <c r="S3138" s="6"/>
      <c r="T3138" s="6"/>
      <c r="U3138" s="6"/>
      <c r="V3138" s="6"/>
      <c r="W3138" s="6"/>
      <c r="X3138" s="6"/>
      <c r="Y3138" s="6"/>
      <c r="Z3138" s="6"/>
    </row>
    <row r="3139" customFormat="false" ht="15" hidden="false" customHeight="false" outlineLevel="0" collapsed="false">
      <c r="A3139" s="9" t="s">
        <v>8982</v>
      </c>
      <c r="B3139" s="9" t="s">
        <v>5870</v>
      </c>
      <c r="C3139" s="9" t="s">
        <v>3391</v>
      </c>
      <c r="D3139" s="9" t="s">
        <v>5871</v>
      </c>
      <c r="E3139" s="9" t="str">
        <f aca="false">IF(AND('Formation Ledger'!A3118&lt;&gt;"",'Formation Ledger'!V3118=0),"PASS","FAIL")</f>
        <v>PASS</v>
      </c>
      <c r="F3139" s="9" t="s">
        <v>76</v>
      </c>
      <c r="G3139" s="6"/>
      <c r="H3139" s="6"/>
      <c r="I3139" s="6"/>
      <c r="J3139" s="6"/>
      <c r="K3139" s="6"/>
      <c r="L3139" s="6"/>
      <c r="M3139" s="6"/>
      <c r="N3139" s="6"/>
      <c r="O3139" s="6"/>
      <c r="P3139" s="6"/>
      <c r="Q3139" s="6"/>
      <c r="R3139" s="6"/>
      <c r="S3139" s="6"/>
      <c r="T3139" s="6"/>
      <c r="U3139" s="6"/>
      <c r="V3139" s="6"/>
      <c r="W3139" s="6"/>
      <c r="X3139" s="6"/>
      <c r="Y3139" s="6"/>
      <c r="Z3139" s="6"/>
    </row>
    <row r="3140" customFormat="false" ht="15" hidden="false" customHeight="false" outlineLevel="0" collapsed="false">
      <c r="A3140" s="9" t="s">
        <v>8983</v>
      </c>
      <c r="B3140" s="9" t="s">
        <v>5870</v>
      </c>
      <c r="C3140" s="9" t="s">
        <v>3392</v>
      </c>
      <c r="D3140" s="9" t="s">
        <v>5871</v>
      </c>
      <c r="E3140" s="9" t="str">
        <f aca="false">IF(AND('Formation Ledger'!A3119&lt;&gt;"",'Formation Ledger'!V3119=0),"PASS","FAIL")</f>
        <v>PASS</v>
      </c>
      <c r="F3140" s="9" t="s">
        <v>76</v>
      </c>
      <c r="G3140" s="6"/>
      <c r="H3140" s="6"/>
      <c r="I3140" s="6"/>
      <c r="J3140" s="6"/>
      <c r="K3140" s="6"/>
      <c r="L3140" s="6"/>
      <c r="M3140" s="6"/>
      <c r="N3140" s="6"/>
      <c r="O3140" s="6"/>
      <c r="P3140" s="6"/>
      <c r="Q3140" s="6"/>
      <c r="R3140" s="6"/>
      <c r="S3140" s="6"/>
      <c r="T3140" s="6"/>
      <c r="U3140" s="6"/>
      <c r="V3140" s="6"/>
      <c r="W3140" s="6"/>
      <c r="X3140" s="6"/>
      <c r="Y3140" s="6"/>
      <c r="Z3140" s="6"/>
    </row>
    <row r="3141" customFormat="false" ht="15" hidden="false" customHeight="false" outlineLevel="0" collapsed="false">
      <c r="A3141" s="9" t="s">
        <v>8984</v>
      </c>
      <c r="B3141" s="9" t="s">
        <v>5870</v>
      </c>
      <c r="C3141" s="9" t="s">
        <v>3393</v>
      </c>
      <c r="D3141" s="9" t="s">
        <v>5871</v>
      </c>
      <c r="E3141" s="9" t="str">
        <f aca="false">IF(AND('Formation Ledger'!A3120&lt;&gt;"",'Formation Ledger'!V3120=0),"PASS","FAIL")</f>
        <v>PASS</v>
      </c>
      <c r="F3141" s="9" t="s">
        <v>76</v>
      </c>
      <c r="G3141" s="6"/>
      <c r="H3141" s="6"/>
      <c r="I3141" s="6"/>
      <c r="J3141" s="6"/>
      <c r="K3141" s="6"/>
      <c r="L3141" s="6"/>
      <c r="M3141" s="6"/>
      <c r="N3141" s="6"/>
      <c r="O3141" s="6"/>
      <c r="P3141" s="6"/>
      <c r="Q3141" s="6"/>
      <c r="R3141" s="6"/>
      <c r="S3141" s="6"/>
      <c r="T3141" s="6"/>
      <c r="U3141" s="6"/>
      <c r="V3141" s="6"/>
      <c r="W3141" s="6"/>
      <c r="X3141" s="6"/>
      <c r="Y3141" s="6"/>
      <c r="Z3141" s="6"/>
    </row>
    <row r="3142" customFormat="false" ht="15" hidden="false" customHeight="false" outlineLevel="0" collapsed="false">
      <c r="A3142" s="9" t="s">
        <v>8985</v>
      </c>
      <c r="B3142" s="9" t="s">
        <v>5870</v>
      </c>
      <c r="C3142" s="9" t="s">
        <v>3394</v>
      </c>
      <c r="D3142" s="9" t="s">
        <v>5871</v>
      </c>
      <c r="E3142" s="9" t="str">
        <f aca="false">IF(AND('Formation Ledger'!A3121&lt;&gt;"",'Formation Ledger'!V3121=0),"PASS","FAIL")</f>
        <v>PASS</v>
      </c>
      <c r="F3142" s="9" t="s">
        <v>76</v>
      </c>
      <c r="G3142" s="6"/>
      <c r="H3142" s="6"/>
      <c r="I3142" s="6"/>
      <c r="J3142" s="6"/>
      <c r="K3142" s="6"/>
      <c r="L3142" s="6"/>
      <c r="M3142" s="6"/>
      <c r="N3142" s="6"/>
      <c r="O3142" s="6"/>
      <c r="P3142" s="6"/>
      <c r="Q3142" s="6"/>
      <c r="R3142" s="6"/>
      <c r="S3142" s="6"/>
      <c r="T3142" s="6"/>
      <c r="U3142" s="6"/>
      <c r="V3142" s="6"/>
      <c r="W3142" s="6"/>
      <c r="X3142" s="6"/>
      <c r="Y3142" s="6"/>
      <c r="Z3142" s="6"/>
    </row>
    <row r="3143" customFormat="false" ht="15" hidden="false" customHeight="false" outlineLevel="0" collapsed="false">
      <c r="A3143" s="9" t="s">
        <v>8986</v>
      </c>
      <c r="B3143" s="9" t="s">
        <v>5870</v>
      </c>
      <c r="C3143" s="9" t="s">
        <v>3395</v>
      </c>
      <c r="D3143" s="9" t="s">
        <v>5871</v>
      </c>
      <c r="E3143" s="9" t="str">
        <f aca="false">IF(AND('Formation Ledger'!A3122&lt;&gt;"",'Formation Ledger'!V3122=0),"PASS","FAIL")</f>
        <v>PASS</v>
      </c>
      <c r="F3143" s="9" t="s">
        <v>76</v>
      </c>
      <c r="G3143" s="6"/>
      <c r="H3143" s="6"/>
      <c r="I3143" s="6"/>
      <c r="J3143" s="6"/>
      <c r="K3143" s="6"/>
      <c r="L3143" s="6"/>
      <c r="M3143" s="6"/>
      <c r="N3143" s="6"/>
      <c r="O3143" s="6"/>
      <c r="P3143" s="6"/>
      <c r="Q3143" s="6"/>
      <c r="R3143" s="6"/>
      <c r="S3143" s="6"/>
      <c r="T3143" s="6"/>
      <c r="U3143" s="6"/>
      <c r="V3143" s="6"/>
      <c r="W3143" s="6"/>
      <c r="X3143" s="6"/>
      <c r="Y3143" s="6"/>
      <c r="Z3143" s="6"/>
    </row>
    <row r="3144" customFormat="false" ht="15" hidden="false" customHeight="false" outlineLevel="0" collapsed="false">
      <c r="A3144" s="9" t="s">
        <v>8987</v>
      </c>
      <c r="B3144" s="9" t="s">
        <v>5870</v>
      </c>
      <c r="C3144" s="9" t="s">
        <v>3396</v>
      </c>
      <c r="D3144" s="9" t="s">
        <v>5871</v>
      </c>
      <c r="E3144" s="9" t="str">
        <f aca="false">IF(AND('Formation Ledger'!A3123&lt;&gt;"",'Formation Ledger'!V3123=0),"PASS","FAIL")</f>
        <v>PASS</v>
      </c>
      <c r="F3144" s="9" t="s">
        <v>76</v>
      </c>
      <c r="G3144" s="6"/>
      <c r="H3144" s="6"/>
      <c r="I3144" s="6"/>
      <c r="J3144" s="6"/>
      <c r="K3144" s="6"/>
      <c r="L3144" s="6"/>
      <c r="M3144" s="6"/>
      <c r="N3144" s="6"/>
      <c r="O3144" s="6"/>
      <c r="P3144" s="6"/>
      <c r="Q3144" s="6"/>
      <c r="R3144" s="6"/>
      <c r="S3144" s="6"/>
      <c r="T3144" s="6"/>
      <c r="U3144" s="6"/>
      <c r="V3144" s="6"/>
      <c r="W3144" s="6"/>
      <c r="X3144" s="6"/>
      <c r="Y3144" s="6"/>
      <c r="Z3144" s="6"/>
    </row>
    <row r="3145" customFormat="false" ht="15" hidden="false" customHeight="false" outlineLevel="0" collapsed="false">
      <c r="A3145" s="9" t="s">
        <v>8988</v>
      </c>
      <c r="B3145" s="9" t="s">
        <v>5870</v>
      </c>
      <c r="C3145" s="9" t="s">
        <v>3397</v>
      </c>
      <c r="D3145" s="9" t="s">
        <v>5871</v>
      </c>
      <c r="E3145" s="9" t="str">
        <f aca="false">IF(AND('Formation Ledger'!A3124&lt;&gt;"",'Formation Ledger'!V3124=0),"PASS","FAIL")</f>
        <v>PASS</v>
      </c>
      <c r="F3145" s="9" t="s">
        <v>76</v>
      </c>
      <c r="G3145" s="6"/>
      <c r="H3145" s="6"/>
      <c r="I3145" s="6"/>
      <c r="J3145" s="6"/>
      <c r="K3145" s="6"/>
      <c r="L3145" s="6"/>
      <c r="M3145" s="6"/>
      <c r="N3145" s="6"/>
      <c r="O3145" s="6"/>
      <c r="P3145" s="6"/>
      <c r="Q3145" s="6"/>
      <c r="R3145" s="6"/>
      <c r="S3145" s="6"/>
      <c r="T3145" s="6"/>
      <c r="U3145" s="6"/>
      <c r="V3145" s="6"/>
      <c r="W3145" s="6"/>
      <c r="X3145" s="6"/>
      <c r="Y3145" s="6"/>
      <c r="Z3145" s="6"/>
    </row>
    <row r="3146" customFormat="false" ht="15" hidden="false" customHeight="false" outlineLevel="0" collapsed="false">
      <c r="A3146" s="9" t="s">
        <v>8989</v>
      </c>
      <c r="B3146" s="9" t="s">
        <v>5870</v>
      </c>
      <c r="C3146" s="9" t="s">
        <v>3398</v>
      </c>
      <c r="D3146" s="9" t="s">
        <v>5871</v>
      </c>
      <c r="E3146" s="9" t="str">
        <f aca="false">IF(AND('Formation Ledger'!A3125&lt;&gt;"",'Formation Ledger'!V3125=0),"PASS","FAIL")</f>
        <v>PASS</v>
      </c>
      <c r="F3146" s="9" t="s">
        <v>76</v>
      </c>
      <c r="G3146" s="6"/>
      <c r="H3146" s="6"/>
      <c r="I3146" s="6"/>
      <c r="J3146" s="6"/>
      <c r="K3146" s="6"/>
      <c r="L3146" s="6"/>
      <c r="M3146" s="6"/>
      <c r="N3146" s="6"/>
      <c r="O3146" s="6"/>
      <c r="P3146" s="6"/>
      <c r="Q3146" s="6"/>
      <c r="R3146" s="6"/>
      <c r="S3146" s="6"/>
      <c r="T3146" s="6"/>
      <c r="U3146" s="6"/>
      <c r="V3146" s="6"/>
      <c r="W3146" s="6"/>
      <c r="X3146" s="6"/>
      <c r="Y3146" s="6"/>
      <c r="Z3146" s="6"/>
    </row>
    <row r="3147" customFormat="false" ht="15" hidden="false" customHeight="false" outlineLevel="0" collapsed="false">
      <c r="A3147" s="9" t="s">
        <v>8990</v>
      </c>
      <c r="B3147" s="9" t="s">
        <v>5870</v>
      </c>
      <c r="C3147" s="9" t="s">
        <v>3399</v>
      </c>
      <c r="D3147" s="9" t="s">
        <v>5871</v>
      </c>
      <c r="E3147" s="9" t="str">
        <f aca="false">IF(AND('Formation Ledger'!A3126&lt;&gt;"",'Formation Ledger'!V3126=0),"PASS","FAIL")</f>
        <v>PASS</v>
      </c>
      <c r="F3147" s="9" t="s">
        <v>76</v>
      </c>
      <c r="G3147" s="6"/>
      <c r="H3147" s="6"/>
      <c r="I3147" s="6"/>
      <c r="J3147" s="6"/>
      <c r="K3147" s="6"/>
      <c r="L3147" s="6"/>
      <c r="M3147" s="6"/>
      <c r="N3147" s="6"/>
      <c r="O3147" s="6"/>
      <c r="P3147" s="6"/>
      <c r="Q3147" s="6"/>
      <c r="R3147" s="6"/>
      <c r="S3147" s="6"/>
      <c r="T3147" s="6"/>
      <c r="U3147" s="6"/>
      <c r="V3147" s="6"/>
      <c r="W3147" s="6"/>
      <c r="X3147" s="6"/>
      <c r="Y3147" s="6"/>
      <c r="Z3147" s="6"/>
    </row>
    <row r="3148" customFormat="false" ht="15" hidden="false" customHeight="false" outlineLevel="0" collapsed="false">
      <c r="A3148" s="9" t="s">
        <v>8991</v>
      </c>
      <c r="B3148" s="9" t="s">
        <v>5870</v>
      </c>
      <c r="C3148" s="9" t="s">
        <v>3400</v>
      </c>
      <c r="D3148" s="9" t="s">
        <v>5871</v>
      </c>
      <c r="E3148" s="9" t="str">
        <f aca="false">IF(AND('Formation Ledger'!A3127&lt;&gt;"",'Formation Ledger'!V3127=0),"PASS","FAIL")</f>
        <v>PASS</v>
      </c>
      <c r="F3148" s="9" t="s">
        <v>76</v>
      </c>
      <c r="G3148" s="6"/>
      <c r="H3148" s="6"/>
      <c r="I3148" s="6"/>
      <c r="J3148" s="6"/>
      <c r="K3148" s="6"/>
      <c r="L3148" s="6"/>
      <c r="M3148" s="6"/>
      <c r="N3148" s="6"/>
      <c r="O3148" s="6"/>
      <c r="P3148" s="6"/>
      <c r="Q3148" s="6"/>
      <c r="R3148" s="6"/>
      <c r="S3148" s="6"/>
      <c r="T3148" s="6"/>
      <c r="U3148" s="6"/>
      <c r="V3148" s="6"/>
      <c r="W3148" s="6"/>
      <c r="X3148" s="6"/>
      <c r="Y3148" s="6"/>
      <c r="Z3148" s="6"/>
    </row>
    <row r="3149" customFormat="false" ht="15" hidden="false" customHeight="false" outlineLevel="0" collapsed="false">
      <c r="A3149" s="9" t="s">
        <v>8992</v>
      </c>
      <c r="B3149" s="9" t="s">
        <v>5870</v>
      </c>
      <c r="C3149" s="9" t="s">
        <v>3401</v>
      </c>
      <c r="D3149" s="9" t="s">
        <v>5871</v>
      </c>
      <c r="E3149" s="9" t="str">
        <f aca="false">IF(AND('Formation Ledger'!A3128&lt;&gt;"",'Formation Ledger'!V3128=0),"PASS","FAIL")</f>
        <v>PASS</v>
      </c>
      <c r="F3149" s="9" t="s">
        <v>76</v>
      </c>
      <c r="G3149" s="6"/>
      <c r="H3149" s="6"/>
      <c r="I3149" s="6"/>
      <c r="J3149" s="6"/>
      <c r="K3149" s="6"/>
      <c r="L3149" s="6"/>
      <c r="M3149" s="6"/>
      <c r="N3149" s="6"/>
      <c r="O3149" s="6"/>
      <c r="P3149" s="6"/>
      <c r="Q3149" s="6"/>
      <c r="R3149" s="6"/>
      <c r="S3149" s="6"/>
      <c r="T3149" s="6"/>
      <c r="U3149" s="6"/>
      <c r="V3149" s="6"/>
      <c r="W3149" s="6"/>
      <c r="X3149" s="6"/>
      <c r="Y3149" s="6"/>
      <c r="Z3149" s="6"/>
    </row>
    <row r="3150" customFormat="false" ht="15" hidden="false" customHeight="false" outlineLevel="0" collapsed="false">
      <c r="A3150" s="9" t="s">
        <v>8993</v>
      </c>
      <c r="B3150" s="9" t="s">
        <v>5870</v>
      </c>
      <c r="C3150" s="9" t="s">
        <v>3402</v>
      </c>
      <c r="D3150" s="9" t="s">
        <v>5871</v>
      </c>
      <c r="E3150" s="9" t="str">
        <f aca="false">IF(AND('Formation Ledger'!A3129&lt;&gt;"",'Formation Ledger'!V3129=0),"PASS","FAIL")</f>
        <v>PASS</v>
      </c>
      <c r="F3150" s="9" t="s">
        <v>76</v>
      </c>
      <c r="G3150" s="6"/>
      <c r="H3150" s="6"/>
      <c r="I3150" s="6"/>
      <c r="J3150" s="6"/>
      <c r="K3150" s="6"/>
      <c r="L3150" s="6"/>
      <c r="M3150" s="6"/>
      <c r="N3150" s="6"/>
      <c r="O3150" s="6"/>
      <c r="P3150" s="6"/>
      <c r="Q3150" s="6"/>
      <c r="R3150" s="6"/>
      <c r="S3150" s="6"/>
      <c r="T3150" s="6"/>
      <c r="U3150" s="6"/>
      <c r="V3150" s="6"/>
      <c r="W3150" s="6"/>
      <c r="X3150" s="6"/>
      <c r="Y3150" s="6"/>
      <c r="Z3150" s="6"/>
    </row>
    <row r="3151" customFormat="false" ht="15" hidden="false" customHeight="false" outlineLevel="0" collapsed="false">
      <c r="A3151" s="9" t="s">
        <v>8994</v>
      </c>
      <c r="B3151" s="9" t="s">
        <v>5870</v>
      </c>
      <c r="C3151" s="9" t="s">
        <v>3403</v>
      </c>
      <c r="D3151" s="9" t="s">
        <v>5871</v>
      </c>
      <c r="E3151" s="9" t="str">
        <f aca="false">IF(AND('Formation Ledger'!A3130&lt;&gt;"",'Formation Ledger'!V3130=0),"PASS","FAIL")</f>
        <v>PASS</v>
      </c>
      <c r="F3151" s="9" t="s">
        <v>76</v>
      </c>
      <c r="G3151" s="6"/>
      <c r="H3151" s="6"/>
      <c r="I3151" s="6"/>
      <c r="J3151" s="6"/>
      <c r="K3151" s="6"/>
      <c r="L3151" s="6"/>
      <c r="M3151" s="6"/>
      <c r="N3151" s="6"/>
      <c r="O3151" s="6"/>
      <c r="P3151" s="6"/>
      <c r="Q3151" s="6"/>
      <c r="R3151" s="6"/>
      <c r="S3151" s="6"/>
      <c r="T3151" s="6"/>
      <c r="U3151" s="6"/>
      <c r="V3151" s="6"/>
      <c r="W3151" s="6"/>
      <c r="X3151" s="6"/>
      <c r="Y3151" s="6"/>
      <c r="Z3151" s="6"/>
    </row>
    <row r="3152" customFormat="false" ht="15" hidden="false" customHeight="false" outlineLevel="0" collapsed="false">
      <c r="A3152" s="9" t="s">
        <v>8995</v>
      </c>
      <c r="B3152" s="9" t="s">
        <v>5870</v>
      </c>
      <c r="C3152" s="9" t="s">
        <v>3404</v>
      </c>
      <c r="D3152" s="9" t="s">
        <v>5871</v>
      </c>
      <c r="E3152" s="9" t="str">
        <f aca="false">IF(AND('Formation Ledger'!A3131&lt;&gt;"",'Formation Ledger'!V3131=0),"PASS","FAIL")</f>
        <v>PASS</v>
      </c>
      <c r="F3152" s="9" t="s">
        <v>76</v>
      </c>
      <c r="G3152" s="6"/>
      <c r="H3152" s="6"/>
      <c r="I3152" s="6"/>
      <c r="J3152" s="6"/>
      <c r="K3152" s="6"/>
      <c r="L3152" s="6"/>
      <c r="M3152" s="6"/>
      <c r="N3152" s="6"/>
      <c r="O3152" s="6"/>
      <c r="P3152" s="6"/>
      <c r="Q3152" s="6"/>
      <c r="R3152" s="6"/>
      <c r="S3152" s="6"/>
      <c r="T3152" s="6"/>
      <c r="U3152" s="6"/>
      <c r="V3152" s="6"/>
      <c r="W3152" s="6"/>
      <c r="X3152" s="6"/>
      <c r="Y3152" s="6"/>
      <c r="Z3152" s="6"/>
    </row>
    <row r="3153" customFormat="false" ht="15" hidden="false" customHeight="false" outlineLevel="0" collapsed="false">
      <c r="A3153" s="9" t="s">
        <v>8996</v>
      </c>
      <c r="B3153" s="9" t="s">
        <v>5870</v>
      </c>
      <c r="C3153" s="9" t="s">
        <v>3405</v>
      </c>
      <c r="D3153" s="9" t="s">
        <v>5871</v>
      </c>
      <c r="E3153" s="9" t="str">
        <f aca="false">IF(AND('Formation Ledger'!A3132&lt;&gt;"",'Formation Ledger'!V3132=0),"PASS","FAIL")</f>
        <v>PASS</v>
      </c>
      <c r="F3153" s="9" t="s">
        <v>76</v>
      </c>
      <c r="G3153" s="6"/>
      <c r="H3153" s="6"/>
      <c r="I3153" s="6"/>
      <c r="J3153" s="6"/>
      <c r="K3153" s="6"/>
      <c r="L3153" s="6"/>
      <c r="M3153" s="6"/>
      <c r="N3153" s="6"/>
      <c r="O3153" s="6"/>
      <c r="P3153" s="6"/>
      <c r="Q3153" s="6"/>
      <c r="R3153" s="6"/>
      <c r="S3153" s="6"/>
      <c r="T3153" s="6"/>
      <c r="U3153" s="6"/>
      <c r="V3153" s="6"/>
      <c r="W3153" s="6"/>
      <c r="X3153" s="6"/>
      <c r="Y3153" s="6"/>
      <c r="Z3153" s="6"/>
    </row>
    <row r="3154" customFormat="false" ht="15" hidden="false" customHeight="false" outlineLevel="0" collapsed="false">
      <c r="A3154" s="9" t="s">
        <v>8997</v>
      </c>
      <c r="B3154" s="9" t="s">
        <v>5870</v>
      </c>
      <c r="C3154" s="9" t="s">
        <v>3406</v>
      </c>
      <c r="D3154" s="9" t="s">
        <v>5871</v>
      </c>
      <c r="E3154" s="9" t="str">
        <f aca="false">IF(AND('Formation Ledger'!A3133&lt;&gt;"",'Formation Ledger'!V3133=0),"PASS","FAIL")</f>
        <v>PASS</v>
      </c>
      <c r="F3154" s="9" t="s">
        <v>76</v>
      </c>
      <c r="G3154" s="6"/>
      <c r="H3154" s="6"/>
      <c r="I3154" s="6"/>
      <c r="J3154" s="6"/>
      <c r="K3154" s="6"/>
      <c r="L3154" s="6"/>
      <c r="M3154" s="6"/>
      <c r="N3154" s="6"/>
      <c r="O3154" s="6"/>
      <c r="P3154" s="6"/>
      <c r="Q3154" s="6"/>
      <c r="R3154" s="6"/>
      <c r="S3154" s="6"/>
      <c r="T3154" s="6"/>
      <c r="U3154" s="6"/>
      <c r="V3154" s="6"/>
      <c r="W3154" s="6"/>
      <c r="X3154" s="6"/>
      <c r="Y3154" s="6"/>
      <c r="Z3154" s="6"/>
    </row>
    <row r="3155" customFormat="false" ht="15" hidden="false" customHeight="false" outlineLevel="0" collapsed="false">
      <c r="A3155" s="9" t="s">
        <v>8998</v>
      </c>
      <c r="B3155" s="9" t="s">
        <v>5870</v>
      </c>
      <c r="C3155" s="9" t="s">
        <v>3407</v>
      </c>
      <c r="D3155" s="9" t="s">
        <v>5871</v>
      </c>
      <c r="E3155" s="9" t="str">
        <f aca="false">IF(AND('Formation Ledger'!A3134&lt;&gt;"",'Formation Ledger'!V3134=0),"PASS","FAIL")</f>
        <v>PASS</v>
      </c>
      <c r="F3155" s="9" t="s">
        <v>76</v>
      </c>
      <c r="G3155" s="6"/>
      <c r="H3155" s="6"/>
      <c r="I3155" s="6"/>
      <c r="J3155" s="6"/>
      <c r="K3155" s="6"/>
      <c r="L3155" s="6"/>
      <c r="M3155" s="6"/>
      <c r="N3155" s="6"/>
      <c r="O3155" s="6"/>
      <c r="P3155" s="6"/>
      <c r="Q3155" s="6"/>
      <c r="R3155" s="6"/>
      <c r="S3155" s="6"/>
      <c r="T3155" s="6"/>
      <c r="U3155" s="6"/>
      <c r="V3155" s="6"/>
      <c r="W3155" s="6"/>
      <c r="X3155" s="6"/>
      <c r="Y3155" s="6"/>
      <c r="Z3155" s="6"/>
    </row>
    <row r="3156" customFormat="false" ht="15" hidden="false" customHeight="false" outlineLevel="0" collapsed="false">
      <c r="A3156" s="9" t="s">
        <v>8999</v>
      </c>
      <c r="B3156" s="9" t="s">
        <v>5870</v>
      </c>
      <c r="C3156" s="9" t="s">
        <v>3408</v>
      </c>
      <c r="D3156" s="9" t="s">
        <v>5871</v>
      </c>
      <c r="E3156" s="9" t="str">
        <f aca="false">IF(AND('Formation Ledger'!A3135&lt;&gt;"",'Formation Ledger'!V3135=0),"PASS","FAIL")</f>
        <v>PASS</v>
      </c>
      <c r="F3156" s="9" t="s">
        <v>76</v>
      </c>
      <c r="G3156" s="6"/>
      <c r="H3156" s="6"/>
      <c r="I3156" s="6"/>
      <c r="J3156" s="6"/>
      <c r="K3156" s="6"/>
      <c r="L3156" s="6"/>
      <c r="M3156" s="6"/>
      <c r="N3156" s="6"/>
      <c r="O3156" s="6"/>
      <c r="P3156" s="6"/>
      <c r="Q3156" s="6"/>
      <c r="R3156" s="6"/>
      <c r="S3156" s="6"/>
      <c r="T3156" s="6"/>
      <c r="U3156" s="6"/>
      <c r="V3156" s="6"/>
      <c r="W3156" s="6"/>
      <c r="X3156" s="6"/>
      <c r="Y3156" s="6"/>
      <c r="Z3156" s="6"/>
    </row>
    <row r="3157" customFormat="false" ht="15" hidden="false" customHeight="false" outlineLevel="0" collapsed="false">
      <c r="A3157" s="9" t="s">
        <v>9000</v>
      </c>
      <c r="B3157" s="9" t="s">
        <v>5870</v>
      </c>
      <c r="C3157" s="9" t="s">
        <v>3409</v>
      </c>
      <c r="D3157" s="9" t="s">
        <v>5871</v>
      </c>
      <c r="E3157" s="9" t="str">
        <f aca="false">IF(AND('Formation Ledger'!A3136&lt;&gt;"",'Formation Ledger'!V3136=0),"PASS","FAIL")</f>
        <v>PASS</v>
      </c>
      <c r="F3157" s="9" t="s">
        <v>76</v>
      </c>
      <c r="G3157" s="6"/>
      <c r="H3157" s="6"/>
      <c r="I3157" s="6"/>
      <c r="J3157" s="6"/>
      <c r="K3157" s="6"/>
      <c r="L3157" s="6"/>
      <c r="M3157" s="6"/>
      <c r="N3157" s="6"/>
      <c r="O3157" s="6"/>
      <c r="P3157" s="6"/>
      <c r="Q3157" s="6"/>
      <c r="R3157" s="6"/>
      <c r="S3157" s="6"/>
      <c r="T3157" s="6"/>
      <c r="U3157" s="6"/>
      <c r="V3157" s="6"/>
      <c r="W3157" s="6"/>
      <c r="X3157" s="6"/>
      <c r="Y3157" s="6"/>
      <c r="Z3157" s="6"/>
    </row>
    <row r="3158" customFormat="false" ht="15" hidden="false" customHeight="false" outlineLevel="0" collapsed="false">
      <c r="A3158" s="9" t="s">
        <v>9001</v>
      </c>
      <c r="B3158" s="9" t="s">
        <v>5870</v>
      </c>
      <c r="C3158" s="9" t="s">
        <v>3410</v>
      </c>
      <c r="D3158" s="9" t="s">
        <v>5871</v>
      </c>
      <c r="E3158" s="9" t="str">
        <f aca="false">IF(AND('Formation Ledger'!A3137&lt;&gt;"",'Formation Ledger'!V3137=0),"PASS","FAIL")</f>
        <v>PASS</v>
      </c>
      <c r="F3158" s="9" t="s">
        <v>76</v>
      </c>
      <c r="G3158" s="6"/>
      <c r="H3158" s="6"/>
      <c r="I3158" s="6"/>
      <c r="J3158" s="6"/>
      <c r="K3158" s="6"/>
      <c r="L3158" s="6"/>
      <c r="M3158" s="6"/>
      <c r="N3158" s="6"/>
      <c r="O3158" s="6"/>
      <c r="P3158" s="6"/>
      <c r="Q3158" s="6"/>
      <c r="R3158" s="6"/>
      <c r="S3158" s="6"/>
      <c r="T3158" s="6"/>
      <c r="U3158" s="6"/>
      <c r="V3158" s="6"/>
      <c r="W3158" s="6"/>
      <c r="X3158" s="6"/>
      <c r="Y3158" s="6"/>
      <c r="Z3158" s="6"/>
    </row>
    <row r="3159" customFormat="false" ht="15" hidden="false" customHeight="false" outlineLevel="0" collapsed="false">
      <c r="A3159" s="9" t="s">
        <v>9002</v>
      </c>
      <c r="B3159" s="9" t="s">
        <v>5870</v>
      </c>
      <c r="C3159" s="9" t="s">
        <v>3411</v>
      </c>
      <c r="D3159" s="9" t="s">
        <v>5871</v>
      </c>
      <c r="E3159" s="9" t="str">
        <f aca="false">IF(AND('Formation Ledger'!A3138&lt;&gt;"",'Formation Ledger'!V3138=0),"PASS","FAIL")</f>
        <v>PASS</v>
      </c>
      <c r="F3159" s="9" t="s">
        <v>76</v>
      </c>
      <c r="G3159" s="6"/>
      <c r="H3159" s="6"/>
      <c r="I3159" s="6"/>
      <c r="J3159" s="6"/>
      <c r="K3159" s="6"/>
      <c r="L3159" s="6"/>
      <c r="M3159" s="6"/>
      <c r="N3159" s="6"/>
      <c r="O3159" s="6"/>
      <c r="P3159" s="6"/>
      <c r="Q3159" s="6"/>
      <c r="R3159" s="6"/>
      <c r="S3159" s="6"/>
      <c r="T3159" s="6"/>
      <c r="U3159" s="6"/>
      <c r="V3159" s="6"/>
      <c r="W3159" s="6"/>
      <c r="X3159" s="6"/>
      <c r="Y3159" s="6"/>
      <c r="Z3159" s="6"/>
    </row>
    <row r="3160" customFormat="false" ht="15" hidden="false" customHeight="false" outlineLevel="0" collapsed="false">
      <c r="A3160" s="9" t="s">
        <v>9003</v>
      </c>
      <c r="B3160" s="9" t="s">
        <v>5870</v>
      </c>
      <c r="C3160" s="9" t="s">
        <v>3412</v>
      </c>
      <c r="D3160" s="9" t="s">
        <v>5871</v>
      </c>
      <c r="E3160" s="9" t="str">
        <f aca="false">IF(AND('Formation Ledger'!A3139&lt;&gt;"",'Formation Ledger'!V3139=0),"PASS","FAIL")</f>
        <v>PASS</v>
      </c>
      <c r="F3160" s="9" t="s">
        <v>76</v>
      </c>
      <c r="G3160" s="6"/>
      <c r="H3160" s="6"/>
      <c r="I3160" s="6"/>
      <c r="J3160" s="6"/>
      <c r="K3160" s="6"/>
      <c r="L3160" s="6"/>
      <c r="M3160" s="6"/>
      <c r="N3160" s="6"/>
      <c r="O3160" s="6"/>
      <c r="P3160" s="6"/>
      <c r="Q3160" s="6"/>
      <c r="R3160" s="6"/>
      <c r="S3160" s="6"/>
      <c r="T3160" s="6"/>
      <c r="U3160" s="6"/>
      <c r="V3160" s="6"/>
      <c r="W3160" s="6"/>
      <c r="X3160" s="6"/>
      <c r="Y3160" s="6"/>
      <c r="Z3160" s="6"/>
    </row>
    <row r="3161" customFormat="false" ht="15" hidden="false" customHeight="false" outlineLevel="0" collapsed="false">
      <c r="A3161" s="9" t="s">
        <v>9004</v>
      </c>
      <c r="B3161" s="9" t="s">
        <v>5870</v>
      </c>
      <c r="C3161" s="9" t="s">
        <v>3413</v>
      </c>
      <c r="D3161" s="9" t="s">
        <v>5871</v>
      </c>
      <c r="E3161" s="9" t="str">
        <f aca="false">IF(AND('Formation Ledger'!A3140&lt;&gt;"",'Formation Ledger'!V3140=0),"PASS","FAIL")</f>
        <v>PASS</v>
      </c>
      <c r="F3161" s="9" t="s">
        <v>76</v>
      </c>
      <c r="G3161" s="6"/>
      <c r="H3161" s="6"/>
      <c r="I3161" s="6"/>
      <c r="J3161" s="6"/>
      <c r="K3161" s="6"/>
      <c r="L3161" s="6"/>
      <c r="M3161" s="6"/>
      <c r="N3161" s="6"/>
      <c r="O3161" s="6"/>
      <c r="P3161" s="6"/>
      <c r="Q3161" s="6"/>
      <c r="R3161" s="6"/>
      <c r="S3161" s="6"/>
      <c r="T3161" s="6"/>
      <c r="U3161" s="6"/>
      <c r="V3161" s="6"/>
      <c r="W3161" s="6"/>
      <c r="X3161" s="6"/>
      <c r="Y3161" s="6"/>
      <c r="Z3161" s="6"/>
    </row>
    <row r="3162" customFormat="false" ht="15" hidden="false" customHeight="false" outlineLevel="0" collapsed="false">
      <c r="A3162" s="9" t="s">
        <v>9005</v>
      </c>
      <c r="B3162" s="9" t="s">
        <v>5870</v>
      </c>
      <c r="C3162" s="9" t="s">
        <v>3414</v>
      </c>
      <c r="D3162" s="9" t="s">
        <v>5871</v>
      </c>
      <c r="E3162" s="9" t="str">
        <f aca="false">IF(AND('Formation Ledger'!A3141&lt;&gt;"",'Formation Ledger'!V3141=0),"PASS","FAIL")</f>
        <v>PASS</v>
      </c>
      <c r="F3162" s="9" t="s">
        <v>76</v>
      </c>
      <c r="G3162" s="6"/>
      <c r="H3162" s="6"/>
      <c r="I3162" s="6"/>
      <c r="J3162" s="6"/>
      <c r="K3162" s="6"/>
      <c r="L3162" s="6"/>
      <c r="M3162" s="6"/>
      <c r="N3162" s="6"/>
      <c r="O3162" s="6"/>
      <c r="P3162" s="6"/>
      <c r="Q3162" s="6"/>
      <c r="R3162" s="6"/>
      <c r="S3162" s="6"/>
      <c r="T3162" s="6"/>
      <c r="U3162" s="6"/>
      <c r="V3162" s="6"/>
      <c r="W3162" s="6"/>
      <c r="X3162" s="6"/>
      <c r="Y3162" s="6"/>
      <c r="Z3162" s="6"/>
    </row>
    <row r="3163" customFormat="false" ht="15" hidden="false" customHeight="false" outlineLevel="0" collapsed="false">
      <c r="A3163" s="9" t="s">
        <v>9006</v>
      </c>
      <c r="B3163" s="9" t="s">
        <v>5870</v>
      </c>
      <c r="C3163" s="9" t="s">
        <v>3415</v>
      </c>
      <c r="D3163" s="9" t="s">
        <v>5871</v>
      </c>
      <c r="E3163" s="9" t="str">
        <f aca="false">IF(AND('Formation Ledger'!A3142&lt;&gt;"",'Formation Ledger'!V3142=0),"PASS","FAIL")</f>
        <v>PASS</v>
      </c>
      <c r="F3163" s="9" t="s">
        <v>76</v>
      </c>
      <c r="G3163" s="6"/>
      <c r="H3163" s="6"/>
      <c r="I3163" s="6"/>
      <c r="J3163" s="6"/>
      <c r="K3163" s="6"/>
      <c r="L3163" s="6"/>
      <c r="M3163" s="6"/>
      <c r="N3163" s="6"/>
      <c r="O3163" s="6"/>
      <c r="P3163" s="6"/>
      <c r="Q3163" s="6"/>
      <c r="R3163" s="6"/>
      <c r="S3163" s="6"/>
      <c r="T3163" s="6"/>
      <c r="U3163" s="6"/>
      <c r="V3163" s="6"/>
      <c r="W3163" s="6"/>
      <c r="X3163" s="6"/>
      <c r="Y3163" s="6"/>
      <c r="Z3163" s="6"/>
    </row>
    <row r="3164" customFormat="false" ht="15" hidden="false" customHeight="false" outlineLevel="0" collapsed="false">
      <c r="A3164" s="9" t="s">
        <v>9007</v>
      </c>
      <c r="B3164" s="9" t="s">
        <v>5870</v>
      </c>
      <c r="C3164" s="9" t="s">
        <v>3416</v>
      </c>
      <c r="D3164" s="9" t="s">
        <v>5871</v>
      </c>
      <c r="E3164" s="9" t="str">
        <f aca="false">IF(AND('Formation Ledger'!A3143&lt;&gt;"",'Formation Ledger'!V3143=0),"PASS","FAIL")</f>
        <v>PASS</v>
      </c>
      <c r="F3164" s="9" t="s">
        <v>76</v>
      </c>
      <c r="G3164" s="6"/>
      <c r="H3164" s="6"/>
      <c r="I3164" s="6"/>
      <c r="J3164" s="6"/>
      <c r="K3164" s="6"/>
      <c r="L3164" s="6"/>
      <c r="M3164" s="6"/>
      <c r="N3164" s="6"/>
      <c r="O3164" s="6"/>
      <c r="P3164" s="6"/>
      <c r="Q3164" s="6"/>
      <c r="R3164" s="6"/>
      <c r="S3164" s="6"/>
      <c r="T3164" s="6"/>
      <c r="U3164" s="6"/>
      <c r="V3164" s="6"/>
      <c r="W3164" s="6"/>
      <c r="X3164" s="6"/>
      <c r="Y3164" s="6"/>
      <c r="Z3164" s="6"/>
    </row>
    <row r="3165" customFormat="false" ht="15" hidden="false" customHeight="false" outlineLevel="0" collapsed="false">
      <c r="A3165" s="9" t="s">
        <v>9008</v>
      </c>
      <c r="B3165" s="9" t="s">
        <v>5870</v>
      </c>
      <c r="C3165" s="9" t="s">
        <v>3417</v>
      </c>
      <c r="D3165" s="9" t="s">
        <v>5871</v>
      </c>
      <c r="E3165" s="9" t="str">
        <f aca="false">IF(AND('Formation Ledger'!A3144&lt;&gt;"",'Formation Ledger'!V3144=0),"PASS","FAIL")</f>
        <v>PASS</v>
      </c>
      <c r="F3165" s="9" t="s">
        <v>76</v>
      </c>
      <c r="G3165" s="6"/>
      <c r="H3165" s="6"/>
      <c r="I3165" s="6"/>
      <c r="J3165" s="6"/>
      <c r="K3165" s="6"/>
      <c r="L3165" s="6"/>
      <c r="M3165" s="6"/>
      <c r="N3165" s="6"/>
      <c r="O3165" s="6"/>
      <c r="P3165" s="6"/>
      <c r="Q3165" s="6"/>
      <c r="R3165" s="6"/>
      <c r="S3165" s="6"/>
      <c r="T3165" s="6"/>
      <c r="U3165" s="6"/>
      <c r="V3165" s="6"/>
      <c r="W3165" s="6"/>
      <c r="X3165" s="6"/>
      <c r="Y3165" s="6"/>
      <c r="Z3165" s="6"/>
    </row>
    <row r="3166" customFormat="false" ht="15" hidden="false" customHeight="false" outlineLevel="0" collapsed="false">
      <c r="A3166" s="9" t="s">
        <v>9009</v>
      </c>
      <c r="B3166" s="9" t="s">
        <v>5870</v>
      </c>
      <c r="C3166" s="9" t="s">
        <v>3418</v>
      </c>
      <c r="D3166" s="9" t="s">
        <v>5871</v>
      </c>
      <c r="E3166" s="9" t="str">
        <f aca="false">IF(AND('Formation Ledger'!A3145&lt;&gt;"",'Formation Ledger'!V3145=0),"PASS","FAIL")</f>
        <v>PASS</v>
      </c>
      <c r="F3166" s="9" t="s">
        <v>76</v>
      </c>
      <c r="G3166" s="6"/>
      <c r="H3166" s="6"/>
      <c r="I3166" s="6"/>
      <c r="J3166" s="6"/>
      <c r="K3166" s="6"/>
      <c r="L3166" s="6"/>
      <c r="M3166" s="6"/>
      <c r="N3166" s="6"/>
      <c r="O3166" s="6"/>
      <c r="P3166" s="6"/>
      <c r="Q3166" s="6"/>
      <c r="R3166" s="6"/>
      <c r="S3166" s="6"/>
      <c r="T3166" s="6"/>
      <c r="U3166" s="6"/>
      <c r="V3166" s="6"/>
      <c r="W3166" s="6"/>
      <c r="X3166" s="6"/>
      <c r="Y3166" s="6"/>
      <c r="Z3166" s="6"/>
    </row>
    <row r="3167" customFormat="false" ht="15" hidden="false" customHeight="false" outlineLevel="0" collapsed="false">
      <c r="A3167" s="9" t="s">
        <v>9010</v>
      </c>
      <c r="B3167" s="9" t="s">
        <v>5870</v>
      </c>
      <c r="C3167" s="9" t="s">
        <v>3419</v>
      </c>
      <c r="D3167" s="9" t="s">
        <v>5871</v>
      </c>
      <c r="E3167" s="9" t="str">
        <f aca="false">IF(AND('Formation Ledger'!A3146&lt;&gt;"",'Formation Ledger'!V3146=0),"PASS","FAIL")</f>
        <v>PASS</v>
      </c>
      <c r="F3167" s="9" t="s">
        <v>76</v>
      </c>
      <c r="G3167" s="6"/>
      <c r="H3167" s="6"/>
      <c r="I3167" s="6"/>
      <c r="J3167" s="6"/>
      <c r="K3167" s="6"/>
      <c r="L3167" s="6"/>
      <c r="M3167" s="6"/>
      <c r="N3167" s="6"/>
      <c r="O3167" s="6"/>
      <c r="P3167" s="6"/>
      <c r="Q3167" s="6"/>
      <c r="R3167" s="6"/>
      <c r="S3167" s="6"/>
      <c r="T3167" s="6"/>
      <c r="U3167" s="6"/>
      <c r="V3167" s="6"/>
      <c r="W3167" s="6"/>
      <c r="X3167" s="6"/>
      <c r="Y3167" s="6"/>
      <c r="Z3167" s="6"/>
    </row>
    <row r="3168" customFormat="false" ht="15" hidden="false" customHeight="false" outlineLevel="0" collapsed="false">
      <c r="A3168" s="9" t="s">
        <v>9011</v>
      </c>
      <c r="B3168" s="9" t="s">
        <v>5870</v>
      </c>
      <c r="C3168" s="9" t="s">
        <v>3420</v>
      </c>
      <c r="D3168" s="9" t="s">
        <v>5871</v>
      </c>
      <c r="E3168" s="9" t="str">
        <f aca="false">IF(AND('Formation Ledger'!A3147&lt;&gt;"",'Formation Ledger'!V3147=0),"PASS","FAIL")</f>
        <v>PASS</v>
      </c>
      <c r="F3168" s="9" t="s">
        <v>76</v>
      </c>
      <c r="G3168" s="6"/>
      <c r="H3168" s="6"/>
      <c r="I3168" s="6"/>
      <c r="J3168" s="6"/>
      <c r="K3168" s="6"/>
      <c r="L3168" s="6"/>
      <c r="M3168" s="6"/>
      <c r="N3168" s="6"/>
      <c r="O3168" s="6"/>
      <c r="P3168" s="6"/>
      <c r="Q3168" s="6"/>
      <c r="R3168" s="6"/>
      <c r="S3168" s="6"/>
      <c r="T3168" s="6"/>
      <c r="U3168" s="6"/>
      <c r="V3168" s="6"/>
      <c r="W3168" s="6"/>
      <c r="X3168" s="6"/>
      <c r="Y3168" s="6"/>
      <c r="Z3168" s="6"/>
    </row>
    <row r="3169" customFormat="false" ht="15" hidden="false" customHeight="false" outlineLevel="0" collapsed="false">
      <c r="A3169" s="9" t="s">
        <v>9012</v>
      </c>
      <c r="B3169" s="9" t="s">
        <v>5870</v>
      </c>
      <c r="C3169" s="9" t="s">
        <v>3421</v>
      </c>
      <c r="D3169" s="9" t="s">
        <v>5871</v>
      </c>
      <c r="E3169" s="9" t="str">
        <f aca="false">IF(AND('Formation Ledger'!A3148&lt;&gt;"",'Formation Ledger'!V3148=0),"PASS","FAIL")</f>
        <v>PASS</v>
      </c>
      <c r="F3169" s="9" t="s">
        <v>76</v>
      </c>
      <c r="G3169" s="6"/>
      <c r="H3169" s="6"/>
      <c r="I3169" s="6"/>
      <c r="J3169" s="6"/>
      <c r="K3169" s="6"/>
      <c r="L3169" s="6"/>
      <c r="M3169" s="6"/>
      <c r="N3169" s="6"/>
      <c r="O3169" s="6"/>
      <c r="P3169" s="6"/>
      <c r="Q3169" s="6"/>
      <c r="R3169" s="6"/>
      <c r="S3169" s="6"/>
      <c r="T3169" s="6"/>
      <c r="U3169" s="6"/>
      <c r="V3169" s="6"/>
      <c r="W3169" s="6"/>
      <c r="X3169" s="6"/>
      <c r="Y3169" s="6"/>
      <c r="Z3169" s="6"/>
    </row>
    <row r="3170" customFormat="false" ht="15" hidden="false" customHeight="false" outlineLevel="0" collapsed="false">
      <c r="A3170" s="9" t="s">
        <v>9013</v>
      </c>
      <c r="B3170" s="9" t="s">
        <v>5870</v>
      </c>
      <c r="C3170" s="9" t="s">
        <v>3422</v>
      </c>
      <c r="D3170" s="9" t="s">
        <v>5871</v>
      </c>
      <c r="E3170" s="9" t="str">
        <f aca="false">IF(AND('Formation Ledger'!A3149&lt;&gt;"",'Formation Ledger'!V3149=0),"PASS","FAIL")</f>
        <v>PASS</v>
      </c>
      <c r="F3170" s="9" t="s">
        <v>76</v>
      </c>
      <c r="G3170" s="6"/>
      <c r="H3170" s="6"/>
      <c r="I3170" s="6"/>
      <c r="J3170" s="6"/>
      <c r="K3170" s="6"/>
      <c r="L3170" s="6"/>
      <c r="M3170" s="6"/>
      <c r="N3170" s="6"/>
      <c r="O3170" s="6"/>
      <c r="P3170" s="6"/>
      <c r="Q3170" s="6"/>
      <c r="R3170" s="6"/>
      <c r="S3170" s="6"/>
      <c r="T3170" s="6"/>
      <c r="U3170" s="6"/>
      <c r="V3170" s="6"/>
      <c r="W3170" s="6"/>
      <c r="X3170" s="6"/>
      <c r="Y3170" s="6"/>
      <c r="Z3170" s="6"/>
    </row>
    <row r="3171" customFormat="false" ht="15" hidden="false" customHeight="false" outlineLevel="0" collapsed="false">
      <c r="A3171" s="9" t="s">
        <v>9014</v>
      </c>
      <c r="B3171" s="9" t="s">
        <v>5870</v>
      </c>
      <c r="C3171" s="9" t="s">
        <v>3423</v>
      </c>
      <c r="D3171" s="9" t="s">
        <v>5871</v>
      </c>
      <c r="E3171" s="9" t="str">
        <f aca="false">IF(AND('Formation Ledger'!A3150&lt;&gt;"",'Formation Ledger'!V3150=0),"PASS","FAIL")</f>
        <v>PASS</v>
      </c>
      <c r="F3171" s="9" t="s">
        <v>76</v>
      </c>
      <c r="G3171" s="6"/>
      <c r="H3171" s="6"/>
      <c r="I3171" s="6"/>
      <c r="J3171" s="6"/>
      <c r="K3171" s="6"/>
      <c r="L3171" s="6"/>
      <c r="M3171" s="6"/>
      <c r="N3171" s="6"/>
      <c r="O3171" s="6"/>
      <c r="P3171" s="6"/>
      <c r="Q3171" s="6"/>
      <c r="R3171" s="6"/>
      <c r="S3171" s="6"/>
      <c r="T3171" s="6"/>
      <c r="U3171" s="6"/>
      <c r="V3171" s="6"/>
      <c r="W3171" s="6"/>
      <c r="X3171" s="6"/>
      <c r="Y3171" s="6"/>
      <c r="Z3171" s="6"/>
    </row>
    <row r="3172" customFormat="false" ht="15" hidden="false" customHeight="false" outlineLevel="0" collapsed="false">
      <c r="A3172" s="9" t="s">
        <v>9015</v>
      </c>
      <c r="B3172" s="9" t="s">
        <v>5870</v>
      </c>
      <c r="C3172" s="9" t="s">
        <v>3424</v>
      </c>
      <c r="D3172" s="9" t="s">
        <v>5871</v>
      </c>
      <c r="E3172" s="9" t="str">
        <f aca="false">IF(AND('Formation Ledger'!A3151&lt;&gt;"",'Formation Ledger'!V3151=0),"PASS","FAIL")</f>
        <v>PASS</v>
      </c>
      <c r="F3172" s="9" t="s">
        <v>76</v>
      </c>
      <c r="G3172" s="6"/>
      <c r="H3172" s="6"/>
      <c r="I3172" s="6"/>
      <c r="J3172" s="6"/>
      <c r="K3172" s="6"/>
      <c r="L3172" s="6"/>
      <c r="M3172" s="6"/>
      <c r="N3172" s="6"/>
      <c r="O3172" s="6"/>
      <c r="P3172" s="6"/>
      <c r="Q3172" s="6"/>
      <c r="R3172" s="6"/>
      <c r="S3172" s="6"/>
      <c r="T3172" s="6"/>
      <c r="U3172" s="6"/>
      <c r="V3172" s="6"/>
      <c r="W3172" s="6"/>
      <c r="X3172" s="6"/>
      <c r="Y3172" s="6"/>
      <c r="Z3172" s="6"/>
    </row>
    <row r="3173" customFormat="false" ht="15" hidden="false" customHeight="false" outlineLevel="0" collapsed="false">
      <c r="A3173" s="9" t="s">
        <v>9016</v>
      </c>
      <c r="B3173" s="9" t="s">
        <v>5870</v>
      </c>
      <c r="C3173" s="9" t="s">
        <v>3425</v>
      </c>
      <c r="D3173" s="9" t="s">
        <v>5871</v>
      </c>
      <c r="E3173" s="9" t="str">
        <f aca="false">IF(AND('Formation Ledger'!A3152&lt;&gt;"",'Formation Ledger'!V3152=0),"PASS","FAIL")</f>
        <v>PASS</v>
      </c>
      <c r="F3173" s="9" t="s">
        <v>76</v>
      </c>
      <c r="G3173" s="6"/>
      <c r="H3173" s="6"/>
      <c r="I3173" s="6"/>
      <c r="J3173" s="6"/>
      <c r="K3173" s="6"/>
      <c r="L3173" s="6"/>
      <c r="M3173" s="6"/>
      <c r="N3173" s="6"/>
      <c r="O3173" s="6"/>
      <c r="P3173" s="6"/>
      <c r="Q3173" s="6"/>
      <c r="R3173" s="6"/>
      <c r="S3173" s="6"/>
      <c r="T3173" s="6"/>
      <c r="U3173" s="6"/>
      <c r="V3173" s="6"/>
      <c r="W3173" s="6"/>
      <c r="X3173" s="6"/>
      <c r="Y3173" s="6"/>
      <c r="Z3173" s="6"/>
    </row>
    <row r="3174" customFormat="false" ht="15" hidden="false" customHeight="false" outlineLevel="0" collapsed="false">
      <c r="A3174" s="9" t="s">
        <v>9017</v>
      </c>
      <c r="B3174" s="9" t="s">
        <v>5870</v>
      </c>
      <c r="C3174" s="9" t="s">
        <v>3426</v>
      </c>
      <c r="D3174" s="9" t="s">
        <v>5871</v>
      </c>
      <c r="E3174" s="9" t="str">
        <f aca="false">IF(AND('Formation Ledger'!A3153&lt;&gt;"",'Formation Ledger'!V3153=0),"PASS","FAIL")</f>
        <v>PASS</v>
      </c>
      <c r="F3174" s="9" t="s">
        <v>76</v>
      </c>
      <c r="G3174" s="6"/>
      <c r="H3174" s="6"/>
      <c r="I3174" s="6"/>
      <c r="J3174" s="6"/>
      <c r="K3174" s="6"/>
      <c r="L3174" s="6"/>
      <c r="M3174" s="6"/>
      <c r="N3174" s="6"/>
      <c r="O3174" s="6"/>
      <c r="P3174" s="6"/>
      <c r="Q3174" s="6"/>
      <c r="R3174" s="6"/>
      <c r="S3174" s="6"/>
      <c r="T3174" s="6"/>
      <c r="U3174" s="6"/>
      <c r="V3174" s="6"/>
      <c r="W3174" s="6"/>
      <c r="X3174" s="6"/>
      <c r="Y3174" s="6"/>
      <c r="Z3174" s="6"/>
    </row>
    <row r="3175" customFormat="false" ht="15" hidden="false" customHeight="false" outlineLevel="0" collapsed="false">
      <c r="A3175" s="9" t="s">
        <v>9018</v>
      </c>
      <c r="B3175" s="9" t="s">
        <v>5870</v>
      </c>
      <c r="C3175" s="9" t="s">
        <v>3427</v>
      </c>
      <c r="D3175" s="9" t="s">
        <v>5871</v>
      </c>
      <c r="E3175" s="9" t="str">
        <f aca="false">IF(AND('Formation Ledger'!A3154&lt;&gt;"",'Formation Ledger'!V3154=0),"PASS","FAIL")</f>
        <v>PASS</v>
      </c>
      <c r="F3175" s="9" t="s">
        <v>76</v>
      </c>
      <c r="G3175" s="6"/>
      <c r="H3175" s="6"/>
      <c r="I3175" s="6"/>
      <c r="J3175" s="6"/>
      <c r="K3175" s="6"/>
      <c r="L3175" s="6"/>
      <c r="M3175" s="6"/>
      <c r="N3175" s="6"/>
      <c r="O3175" s="6"/>
      <c r="P3175" s="6"/>
      <c r="Q3175" s="6"/>
      <c r="R3175" s="6"/>
      <c r="S3175" s="6"/>
      <c r="T3175" s="6"/>
      <c r="U3175" s="6"/>
      <c r="V3175" s="6"/>
      <c r="W3175" s="6"/>
      <c r="X3175" s="6"/>
      <c r="Y3175" s="6"/>
      <c r="Z3175" s="6"/>
    </row>
    <row r="3176" customFormat="false" ht="15" hidden="false" customHeight="false" outlineLevel="0" collapsed="false">
      <c r="A3176" s="9" t="s">
        <v>9019</v>
      </c>
      <c r="B3176" s="9" t="s">
        <v>5870</v>
      </c>
      <c r="C3176" s="9" t="s">
        <v>3430</v>
      </c>
      <c r="D3176" s="9" t="s">
        <v>5871</v>
      </c>
      <c r="E3176" s="9" t="str">
        <f aca="false">IF(AND('Formation Ledger'!A3155&lt;&gt;"",'Formation Ledger'!V3155=0),"PASS","FAIL")</f>
        <v>PASS</v>
      </c>
      <c r="F3176" s="9" t="s">
        <v>76</v>
      </c>
      <c r="G3176" s="6"/>
      <c r="H3176" s="6"/>
      <c r="I3176" s="6"/>
      <c r="J3176" s="6"/>
      <c r="K3176" s="6"/>
      <c r="L3176" s="6"/>
      <c r="M3176" s="6"/>
      <c r="N3176" s="6"/>
      <c r="O3176" s="6"/>
      <c r="P3176" s="6"/>
      <c r="Q3176" s="6"/>
      <c r="R3176" s="6"/>
      <c r="S3176" s="6"/>
      <c r="T3176" s="6"/>
      <c r="U3176" s="6"/>
      <c r="V3176" s="6"/>
      <c r="W3176" s="6"/>
      <c r="X3176" s="6"/>
      <c r="Y3176" s="6"/>
      <c r="Z3176" s="6"/>
    </row>
    <row r="3177" customFormat="false" ht="15" hidden="false" customHeight="false" outlineLevel="0" collapsed="false">
      <c r="A3177" s="9" t="s">
        <v>9020</v>
      </c>
      <c r="B3177" s="9" t="s">
        <v>5870</v>
      </c>
      <c r="C3177" s="9" t="s">
        <v>3431</v>
      </c>
      <c r="D3177" s="9" t="s">
        <v>5871</v>
      </c>
      <c r="E3177" s="9" t="str">
        <f aca="false">IF(AND('Formation Ledger'!A3156&lt;&gt;"",'Formation Ledger'!V3156=0),"PASS","FAIL")</f>
        <v>PASS</v>
      </c>
      <c r="F3177" s="9" t="s">
        <v>76</v>
      </c>
      <c r="G3177" s="6"/>
      <c r="H3177" s="6"/>
      <c r="I3177" s="6"/>
      <c r="J3177" s="6"/>
      <c r="K3177" s="6"/>
      <c r="L3177" s="6"/>
      <c r="M3177" s="6"/>
      <c r="N3177" s="6"/>
      <c r="O3177" s="6"/>
      <c r="P3177" s="6"/>
      <c r="Q3177" s="6"/>
      <c r="R3177" s="6"/>
      <c r="S3177" s="6"/>
      <c r="T3177" s="6"/>
      <c r="U3177" s="6"/>
      <c r="V3177" s="6"/>
      <c r="W3177" s="6"/>
      <c r="X3177" s="6"/>
      <c r="Y3177" s="6"/>
      <c r="Z3177" s="6"/>
    </row>
    <row r="3178" customFormat="false" ht="15" hidden="false" customHeight="false" outlineLevel="0" collapsed="false">
      <c r="A3178" s="9" t="s">
        <v>9021</v>
      </c>
      <c r="B3178" s="9" t="s">
        <v>5870</v>
      </c>
      <c r="C3178" s="9" t="s">
        <v>3432</v>
      </c>
      <c r="D3178" s="9" t="s">
        <v>5871</v>
      </c>
      <c r="E3178" s="9" t="str">
        <f aca="false">IF(AND('Formation Ledger'!A3157&lt;&gt;"",'Formation Ledger'!V3157=0),"PASS","FAIL")</f>
        <v>PASS</v>
      </c>
      <c r="F3178" s="9" t="s">
        <v>76</v>
      </c>
      <c r="G3178" s="6"/>
      <c r="H3178" s="6"/>
      <c r="I3178" s="6"/>
      <c r="J3178" s="6"/>
      <c r="K3178" s="6"/>
      <c r="L3178" s="6"/>
      <c r="M3178" s="6"/>
      <c r="N3178" s="6"/>
      <c r="O3178" s="6"/>
      <c r="P3178" s="6"/>
      <c r="Q3178" s="6"/>
      <c r="R3178" s="6"/>
      <c r="S3178" s="6"/>
      <c r="T3178" s="6"/>
      <c r="U3178" s="6"/>
      <c r="V3178" s="6"/>
      <c r="W3178" s="6"/>
      <c r="X3178" s="6"/>
      <c r="Y3178" s="6"/>
      <c r="Z3178" s="6"/>
    </row>
    <row r="3179" customFormat="false" ht="15" hidden="false" customHeight="false" outlineLevel="0" collapsed="false">
      <c r="A3179" s="9" t="s">
        <v>9022</v>
      </c>
      <c r="B3179" s="9" t="s">
        <v>5870</v>
      </c>
      <c r="C3179" s="9" t="s">
        <v>3433</v>
      </c>
      <c r="D3179" s="9" t="s">
        <v>5871</v>
      </c>
      <c r="E3179" s="9" t="str">
        <f aca="false">IF(AND('Formation Ledger'!A3158&lt;&gt;"",'Formation Ledger'!V3158=0),"PASS","FAIL")</f>
        <v>PASS</v>
      </c>
      <c r="F3179" s="9" t="s">
        <v>76</v>
      </c>
      <c r="G3179" s="6"/>
      <c r="H3179" s="6"/>
      <c r="I3179" s="6"/>
      <c r="J3179" s="6"/>
      <c r="K3179" s="6"/>
      <c r="L3179" s="6"/>
      <c r="M3179" s="6"/>
      <c r="N3179" s="6"/>
      <c r="O3179" s="6"/>
      <c r="P3179" s="6"/>
      <c r="Q3179" s="6"/>
      <c r="R3179" s="6"/>
      <c r="S3179" s="6"/>
      <c r="T3179" s="6"/>
      <c r="U3179" s="6"/>
      <c r="V3179" s="6"/>
      <c r="W3179" s="6"/>
      <c r="X3179" s="6"/>
      <c r="Y3179" s="6"/>
      <c r="Z3179" s="6"/>
    </row>
    <row r="3180" customFormat="false" ht="15" hidden="false" customHeight="false" outlineLevel="0" collapsed="false">
      <c r="A3180" s="9" t="s">
        <v>9023</v>
      </c>
      <c r="B3180" s="9" t="s">
        <v>5870</v>
      </c>
      <c r="C3180" s="9" t="s">
        <v>3434</v>
      </c>
      <c r="D3180" s="9" t="s">
        <v>5871</v>
      </c>
      <c r="E3180" s="9" t="str">
        <f aca="false">IF(AND('Formation Ledger'!A3159&lt;&gt;"",'Formation Ledger'!V3159=0),"PASS","FAIL")</f>
        <v>PASS</v>
      </c>
      <c r="F3180" s="9" t="s">
        <v>76</v>
      </c>
      <c r="G3180" s="6"/>
      <c r="H3180" s="6"/>
      <c r="I3180" s="6"/>
      <c r="J3180" s="6"/>
      <c r="K3180" s="6"/>
      <c r="L3180" s="6"/>
      <c r="M3180" s="6"/>
      <c r="N3180" s="6"/>
      <c r="O3180" s="6"/>
      <c r="P3180" s="6"/>
      <c r="Q3180" s="6"/>
      <c r="R3180" s="6"/>
      <c r="S3180" s="6"/>
      <c r="T3180" s="6"/>
      <c r="U3180" s="6"/>
      <c r="V3180" s="6"/>
      <c r="W3180" s="6"/>
      <c r="X3180" s="6"/>
      <c r="Y3180" s="6"/>
      <c r="Z3180" s="6"/>
    </row>
    <row r="3181" customFormat="false" ht="15" hidden="false" customHeight="false" outlineLevel="0" collapsed="false">
      <c r="A3181" s="9" t="s">
        <v>9024</v>
      </c>
      <c r="B3181" s="9" t="s">
        <v>5870</v>
      </c>
      <c r="C3181" s="9" t="s">
        <v>3435</v>
      </c>
      <c r="D3181" s="9" t="s">
        <v>5871</v>
      </c>
      <c r="E3181" s="9" t="str">
        <f aca="false">IF(AND('Formation Ledger'!A3160&lt;&gt;"",'Formation Ledger'!V3160=0),"PASS","FAIL")</f>
        <v>PASS</v>
      </c>
      <c r="F3181" s="9" t="s">
        <v>76</v>
      </c>
      <c r="G3181" s="6"/>
      <c r="H3181" s="6"/>
      <c r="I3181" s="6"/>
      <c r="J3181" s="6"/>
      <c r="K3181" s="6"/>
      <c r="L3181" s="6"/>
      <c r="M3181" s="6"/>
      <c r="N3181" s="6"/>
      <c r="O3181" s="6"/>
      <c r="P3181" s="6"/>
      <c r="Q3181" s="6"/>
      <c r="R3181" s="6"/>
      <c r="S3181" s="6"/>
      <c r="T3181" s="6"/>
      <c r="U3181" s="6"/>
      <c r="V3181" s="6"/>
      <c r="W3181" s="6"/>
      <c r="X3181" s="6"/>
      <c r="Y3181" s="6"/>
      <c r="Z3181" s="6"/>
    </row>
    <row r="3182" customFormat="false" ht="15" hidden="false" customHeight="false" outlineLevel="0" collapsed="false">
      <c r="A3182" s="9" t="s">
        <v>9025</v>
      </c>
      <c r="B3182" s="9" t="s">
        <v>5870</v>
      </c>
      <c r="C3182" s="9" t="s">
        <v>3436</v>
      </c>
      <c r="D3182" s="9" t="s">
        <v>5871</v>
      </c>
      <c r="E3182" s="9" t="str">
        <f aca="false">IF(AND('Formation Ledger'!A3161&lt;&gt;"",'Formation Ledger'!V3161=0),"PASS","FAIL")</f>
        <v>PASS</v>
      </c>
      <c r="F3182" s="9" t="s">
        <v>76</v>
      </c>
      <c r="G3182" s="6"/>
      <c r="H3182" s="6"/>
      <c r="I3182" s="6"/>
      <c r="J3182" s="6"/>
      <c r="K3182" s="6"/>
      <c r="L3182" s="6"/>
      <c r="M3182" s="6"/>
      <c r="N3182" s="6"/>
      <c r="O3182" s="6"/>
      <c r="P3182" s="6"/>
      <c r="Q3182" s="6"/>
      <c r="R3182" s="6"/>
      <c r="S3182" s="6"/>
      <c r="T3182" s="6"/>
      <c r="U3182" s="6"/>
      <c r="V3182" s="6"/>
      <c r="W3182" s="6"/>
      <c r="X3182" s="6"/>
      <c r="Y3182" s="6"/>
      <c r="Z3182" s="6"/>
    </row>
    <row r="3183" customFormat="false" ht="15" hidden="false" customHeight="false" outlineLevel="0" collapsed="false">
      <c r="A3183" s="9" t="s">
        <v>9026</v>
      </c>
      <c r="B3183" s="9" t="s">
        <v>5870</v>
      </c>
      <c r="C3183" s="9" t="s">
        <v>3437</v>
      </c>
      <c r="D3183" s="9" t="s">
        <v>5871</v>
      </c>
      <c r="E3183" s="9" t="str">
        <f aca="false">IF(AND('Formation Ledger'!A3162&lt;&gt;"",'Formation Ledger'!V3162=0),"PASS","FAIL")</f>
        <v>PASS</v>
      </c>
      <c r="F3183" s="9" t="s">
        <v>76</v>
      </c>
      <c r="G3183" s="6"/>
      <c r="H3183" s="6"/>
      <c r="I3183" s="6"/>
      <c r="J3183" s="6"/>
      <c r="K3183" s="6"/>
      <c r="L3183" s="6"/>
      <c r="M3183" s="6"/>
      <c r="N3183" s="6"/>
      <c r="O3183" s="6"/>
      <c r="P3183" s="6"/>
      <c r="Q3183" s="6"/>
      <c r="R3183" s="6"/>
      <c r="S3183" s="6"/>
      <c r="T3183" s="6"/>
      <c r="U3183" s="6"/>
      <c r="V3183" s="6"/>
      <c r="W3183" s="6"/>
      <c r="X3183" s="6"/>
      <c r="Y3183" s="6"/>
      <c r="Z3183" s="6"/>
    </row>
    <row r="3184" customFormat="false" ht="15" hidden="false" customHeight="false" outlineLevel="0" collapsed="false">
      <c r="A3184" s="9" t="s">
        <v>9027</v>
      </c>
      <c r="B3184" s="9" t="s">
        <v>5870</v>
      </c>
      <c r="C3184" s="9" t="s">
        <v>3438</v>
      </c>
      <c r="D3184" s="9" t="s">
        <v>5871</v>
      </c>
      <c r="E3184" s="9" t="str">
        <f aca="false">IF(AND('Formation Ledger'!A3163&lt;&gt;"",'Formation Ledger'!V3163=0),"PASS","FAIL")</f>
        <v>PASS</v>
      </c>
      <c r="F3184" s="9" t="s">
        <v>76</v>
      </c>
      <c r="G3184" s="6"/>
      <c r="H3184" s="6"/>
      <c r="I3184" s="6"/>
      <c r="J3184" s="6"/>
      <c r="K3184" s="6"/>
      <c r="L3184" s="6"/>
      <c r="M3184" s="6"/>
      <c r="N3184" s="6"/>
      <c r="O3184" s="6"/>
      <c r="P3184" s="6"/>
      <c r="Q3184" s="6"/>
      <c r="R3184" s="6"/>
      <c r="S3184" s="6"/>
      <c r="T3184" s="6"/>
      <c r="U3184" s="6"/>
      <c r="V3184" s="6"/>
      <c r="W3184" s="6"/>
      <c r="X3184" s="6"/>
      <c r="Y3184" s="6"/>
      <c r="Z3184" s="6"/>
    </row>
    <row r="3185" customFormat="false" ht="15" hidden="false" customHeight="false" outlineLevel="0" collapsed="false">
      <c r="A3185" s="9" t="s">
        <v>9028</v>
      </c>
      <c r="B3185" s="9" t="s">
        <v>5870</v>
      </c>
      <c r="C3185" s="9" t="s">
        <v>3439</v>
      </c>
      <c r="D3185" s="9" t="s">
        <v>5871</v>
      </c>
      <c r="E3185" s="9" t="str">
        <f aca="false">IF(AND('Formation Ledger'!A3164&lt;&gt;"",'Formation Ledger'!V3164=0),"PASS","FAIL")</f>
        <v>PASS</v>
      </c>
      <c r="F3185" s="9" t="s">
        <v>76</v>
      </c>
      <c r="G3185" s="6"/>
      <c r="H3185" s="6"/>
      <c r="I3185" s="6"/>
      <c r="J3185" s="6"/>
      <c r="K3185" s="6"/>
      <c r="L3185" s="6"/>
      <c r="M3185" s="6"/>
      <c r="N3185" s="6"/>
      <c r="O3185" s="6"/>
      <c r="P3185" s="6"/>
      <c r="Q3185" s="6"/>
      <c r="R3185" s="6"/>
      <c r="S3185" s="6"/>
      <c r="T3185" s="6"/>
      <c r="U3185" s="6"/>
      <c r="V3185" s="6"/>
      <c r="W3185" s="6"/>
      <c r="X3185" s="6"/>
      <c r="Y3185" s="6"/>
      <c r="Z3185" s="6"/>
    </row>
    <row r="3186" customFormat="false" ht="15" hidden="false" customHeight="false" outlineLevel="0" collapsed="false">
      <c r="A3186" s="9" t="s">
        <v>9029</v>
      </c>
      <c r="B3186" s="9" t="s">
        <v>5870</v>
      </c>
      <c r="C3186" s="9" t="s">
        <v>3440</v>
      </c>
      <c r="D3186" s="9" t="s">
        <v>5871</v>
      </c>
      <c r="E3186" s="9" t="str">
        <f aca="false">IF(AND('Formation Ledger'!A3165&lt;&gt;"",'Formation Ledger'!V3165=0),"PASS","FAIL")</f>
        <v>PASS</v>
      </c>
      <c r="F3186" s="9" t="s">
        <v>76</v>
      </c>
      <c r="G3186" s="6"/>
      <c r="H3186" s="6"/>
      <c r="I3186" s="6"/>
      <c r="J3186" s="6"/>
      <c r="K3186" s="6"/>
      <c r="L3186" s="6"/>
      <c r="M3186" s="6"/>
      <c r="N3186" s="6"/>
      <c r="O3186" s="6"/>
      <c r="P3186" s="6"/>
      <c r="Q3186" s="6"/>
      <c r="R3186" s="6"/>
      <c r="S3186" s="6"/>
      <c r="T3186" s="6"/>
      <c r="U3186" s="6"/>
      <c r="V3186" s="6"/>
      <c r="W3186" s="6"/>
      <c r="X3186" s="6"/>
      <c r="Y3186" s="6"/>
      <c r="Z3186" s="6"/>
    </row>
    <row r="3187" customFormat="false" ht="15" hidden="false" customHeight="false" outlineLevel="0" collapsed="false">
      <c r="A3187" s="9" t="s">
        <v>9030</v>
      </c>
      <c r="B3187" s="9" t="s">
        <v>5870</v>
      </c>
      <c r="C3187" s="9" t="s">
        <v>3441</v>
      </c>
      <c r="D3187" s="9" t="s">
        <v>5871</v>
      </c>
      <c r="E3187" s="9" t="str">
        <f aca="false">IF(AND('Formation Ledger'!A3166&lt;&gt;"",'Formation Ledger'!V3166=0),"PASS","FAIL")</f>
        <v>PASS</v>
      </c>
      <c r="F3187" s="9" t="s">
        <v>76</v>
      </c>
      <c r="G3187" s="6"/>
      <c r="H3187" s="6"/>
      <c r="I3187" s="6"/>
      <c r="J3187" s="6"/>
      <c r="K3187" s="6"/>
      <c r="L3187" s="6"/>
      <c r="M3187" s="6"/>
      <c r="N3187" s="6"/>
      <c r="O3187" s="6"/>
      <c r="P3187" s="6"/>
      <c r="Q3187" s="6"/>
      <c r="R3187" s="6"/>
      <c r="S3187" s="6"/>
      <c r="T3187" s="6"/>
      <c r="U3187" s="6"/>
      <c r="V3187" s="6"/>
      <c r="W3187" s="6"/>
      <c r="X3187" s="6"/>
      <c r="Y3187" s="6"/>
      <c r="Z3187" s="6"/>
    </row>
    <row r="3188" customFormat="false" ht="15" hidden="false" customHeight="false" outlineLevel="0" collapsed="false">
      <c r="A3188" s="9" t="s">
        <v>9031</v>
      </c>
      <c r="B3188" s="9" t="s">
        <v>5870</v>
      </c>
      <c r="C3188" s="9" t="s">
        <v>3442</v>
      </c>
      <c r="D3188" s="9" t="s">
        <v>5871</v>
      </c>
      <c r="E3188" s="9" t="str">
        <f aca="false">IF(AND('Formation Ledger'!A3167&lt;&gt;"",'Formation Ledger'!V3167=0),"PASS","FAIL")</f>
        <v>PASS</v>
      </c>
      <c r="F3188" s="9" t="s">
        <v>76</v>
      </c>
      <c r="G3188" s="6"/>
      <c r="H3188" s="6"/>
      <c r="I3188" s="6"/>
      <c r="J3188" s="6"/>
      <c r="K3188" s="6"/>
      <c r="L3188" s="6"/>
      <c r="M3188" s="6"/>
      <c r="N3188" s="6"/>
      <c r="O3188" s="6"/>
      <c r="P3188" s="6"/>
      <c r="Q3188" s="6"/>
      <c r="R3188" s="6"/>
      <c r="S3188" s="6"/>
      <c r="T3188" s="6"/>
      <c r="U3188" s="6"/>
      <c r="V3188" s="6"/>
      <c r="W3188" s="6"/>
      <c r="X3188" s="6"/>
      <c r="Y3188" s="6"/>
      <c r="Z3188" s="6"/>
    </row>
    <row r="3189" customFormat="false" ht="15" hidden="false" customHeight="false" outlineLevel="0" collapsed="false">
      <c r="A3189" s="9" t="s">
        <v>9032</v>
      </c>
      <c r="B3189" s="9" t="s">
        <v>5870</v>
      </c>
      <c r="C3189" s="9" t="s">
        <v>3443</v>
      </c>
      <c r="D3189" s="9" t="s">
        <v>5871</v>
      </c>
      <c r="E3189" s="9" t="str">
        <f aca="false">IF(AND('Formation Ledger'!A3168&lt;&gt;"",'Formation Ledger'!V3168=0),"PASS","FAIL")</f>
        <v>PASS</v>
      </c>
      <c r="F3189" s="9" t="s">
        <v>76</v>
      </c>
      <c r="G3189" s="6"/>
      <c r="H3189" s="6"/>
      <c r="I3189" s="6"/>
      <c r="J3189" s="6"/>
      <c r="K3189" s="6"/>
      <c r="L3189" s="6"/>
      <c r="M3189" s="6"/>
      <c r="N3189" s="6"/>
      <c r="O3189" s="6"/>
      <c r="P3189" s="6"/>
      <c r="Q3189" s="6"/>
      <c r="R3189" s="6"/>
      <c r="S3189" s="6"/>
      <c r="T3189" s="6"/>
      <c r="U3189" s="6"/>
      <c r="V3189" s="6"/>
      <c r="W3189" s="6"/>
      <c r="X3189" s="6"/>
      <c r="Y3189" s="6"/>
      <c r="Z3189" s="6"/>
    </row>
    <row r="3190" customFormat="false" ht="15" hidden="false" customHeight="false" outlineLevel="0" collapsed="false">
      <c r="A3190" s="9" t="s">
        <v>9033</v>
      </c>
      <c r="B3190" s="9" t="s">
        <v>5870</v>
      </c>
      <c r="C3190" s="9" t="s">
        <v>3444</v>
      </c>
      <c r="D3190" s="9" t="s">
        <v>5871</v>
      </c>
      <c r="E3190" s="9" t="str">
        <f aca="false">IF(AND('Formation Ledger'!A3169&lt;&gt;"",'Formation Ledger'!V3169=0),"PASS","FAIL")</f>
        <v>PASS</v>
      </c>
      <c r="F3190" s="9" t="s">
        <v>76</v>
      </c>
      <c r="G3190" s="6"/>
      <c r="H3190" s="6"/>
      <c r="I3190" s="6"/>
      <c r="J3190" s="6"/>
      <c r="K3190" s="6"/>
      <c r="L3190" s="6"/>
      <c r="M3190" s="6"/>
      <c r="N3190" s="6"/>
      <c r="O3190" s="6"/>
      <c r="P3190" s="6"/>
      <c r="Q3190" s="6"/>
      <c r="R3190" s="6"/>
      <c r="S3190" s="6"/>
      <c r="T3190" s="6"/>
      <c r="U3190" s="6"/>
      <c r="V3190" s="6"/>
      <c r="W3190" s="6"/>
      <c r="X3190" s="6"/>
      <c r="Y3190" s="6"/>
      <c r="Z3190" s="6"/>
    </row>
    <row r="3191" customFormat="false" ht="15" hidden="false" customHeight="false" outlineLevel="0" collapsed="false">
      <c r="A3191" s="9" t="s">
        <v>9034</v>
      </c>
      <c r="B3191" s="9" t="s">
        <v>5870</v>
      </c>
      <c r="C3191" s="9" t="s">
        <v>3445</v>
      </c>
      <c r="D3191" s="9" t="s">
        <v>5871</v>
      </c>
      <c r="E3191" s="9" t="str">
        <f aca="false">IF(AND('Formation Ledger'!A3170&lt;&gt;"",'Formation Ledger'!V3170=0),"PASS","FAIL")</f>
        <v>PASS</v>
      </c>
      <c r="F3191" s="9" t="s">
        <v>76</v>
      </c>
      <c r="G3191" s="6"/>
      <c r="H3191" s="6"/>
      <c r="I3191" s="6"/>
      <c r="J3191" s="6"/>
      <c r="K3191" s="6"/>
      <c r="L3191" s="6"/>
      <c r="M3191" s="6"/>
      <c r="N3191" s="6"/>
      <c r="O3191" s="6"/>
      <c r="P3191" s="6"/>
      <c r="Q3191" s="6"/>
      <c r="R3191" s="6"/>
      <c r="S3191" s="6"/>
      <c r="T3191" s="6"/>
      <c r="U3191" s="6"/>
      <c r="V3191" s="6"/>
      <c r="W3191" s="6"/>
      <c r="X3191" s="6"/>
      <c r="Y3191" s="6"/>
      <c r="Z3191" s="6"/>
    </row>
    <row r="3192" customFormat="false" ht="15" hidden="false" customHeight="false" outlineLevel="0" collapsed="false">
      <c r="A3192" s="9" t="s">
        <v>9035</v>
      </c>
      <c r="B3192" s="9" t="s">
        <v>5870</v>
      </c>
      <c r="C3192" s="9" t="s">
        <v>3446</v>
      </c>
      <c r="D3192" s="9" t="s">
        <v>5871</v>
      </c>
      <c r="E3192" s="9" t="str">
        <f aca="false">IF(AND('Formation Ledger'!A3171&lt;&gt;"",'Formation Ledger'!V3171=0),"PASS","FAIL")</f>
        <v>PASS</v>
      </c>
      <c r="F3192" s="9" t="s">
        <v>76</v>
      </c>
      <c r="G3192" s="6"/>
      <c r="H3192" s="6"/>
      <c r="I3192" s="6"/>
      <c r="J3192" s="6"/>
      <c r="K3192" s="6"/>
      <c r="L3192" s="6"/>
      <c r="M3192" s="6"/>
      <c r="N3192" s="6"/>
      <c r="O3192" s="6"/>
      <c r="P3192" s="6"/>
      <c r="Q3192" s="6"/>
      <c r="R3192" s="6"/>
      <c r="S3192" s="6"/>
      <c r="T3192" s="6"/>
      <c r="U3192" s="6"/>
      <c r="V3192" s="6"/>
      <c r="W3192" s="6"/>
      <c r="X3192" s="6"/>
      <c r="Y3192" s="6"/>
      <c r="Z3192" s="6"/>
    </row>
    <row r="3193" customFormat="false" ht="15" hidden="false" customHeight="false" outlineLevel="0" collapsed="false">
      <c r="A3193" s="9" t="s">
        <v>9036</v>
      </c>
      <c r="B3193" s="9" t="s">
        <v>5870</v>
      </c>
      <c r="C3193" s="9" t="s">
        <v>3447</v>
      </c>
      <c r="D3193" s="9" t="s">
        <v>5871</v>
      </c>
      <c r="E3193" s="9" t="str">
        <f aca="false">IF(AND('Formation Ledger'!A3172&lt;&gt;"",'Formation Ledger'!V3172=0),"PASS","FAIL")</f>
        <v>PASS</v>
      </c>
      <c r="F3193" s="9" t="s">
        <v>76</v>
      </c>
      <c r="G3193" s="6"/>
      <c r="H3193" s="6"/>
      <c r="I3193" s="6"/>
      <c r="J3193" s="6"/>
      <c r="K3193" s="6"/>
      <c r="L3193" s="6"/>
      <c r="M3193" s="6"/>
      <c r="N3193" s="6"/>
      <c r="O3193" s="6"/>
      <c r="P3193" s="6"/>
      <c r="Q3193" s="6"/>
      <c r="R3193" s="6"/>
      <c r="S3193" s="6"/>
      <c r="T3193" s="6"/>
      <c r="U3193" s="6"/>
      <c r="V3193" s="6"/>
      <c r="W3193" s="6"/>
      <c r="X3193" s="6"/>
      <c r="Y3193" s="6"/>
      <c r="Z3193" s="6"/>
    </row>
    <row r="3194" customFormat="false" ht="15" hidden="false" customHeight="false" outlineLevel="0" collapsed="false">
      <c r="A3194" s="9" t="s">
        <v>9037</v>
      </c>
      <c r="B3194" s="9" t="s">
        <v>5870</v>
      </c>
      <c r="C3194" s="9" t="s">
        <v>3448</v>
      </c>
      <c r="D3194" s="9" t="s">
        <v>5871</v>
      </c>
      <c r="E3194" s="9" t="str">
        <f aca="false">IF(AND('Formation Ledger'!A3173&lt;&gt;"",'Formation Ledger'!V3173=0),"PASS","FAIL")</f>
        <v>PASS</v>
      </c>
      <c r="F3194" s="9" t="s">
        <v>76</v>
      </c>
      <c r="G3194" s="6"/>
      <c r="H3194" s="6"/>
      <c r="I3194" s="6"/>
      <c r="J3194" s="6"/>
      <c r="K3194" s="6"/>
      <c r="L3194" s="6"/>
      <c r="M3194" s="6"/>
      <c r="N3194" s="6"/>
      <c r="O3194" s="6"/>
      <c r="P3194" s="6"/>
      <c r="Q3194" s="6"/>
      <c r="R3194" s="6"/>
      <c r="S3194" s="6"/>
      <c r="T3194" s="6"/>
      <c r="U3194" s="6"/>
      <c r="V3194" s="6"/>
      <c r="W3194" s="6"/>
      <c r="X3194" s="6"/>
      <c r="Y3194" s="6"/>
      <c r="Z3194" s="6"/>
    </row>
    <row r="3195" customFormat="false" ht="15" hidden="false" customHeight="false" outlineLevel="0" collapsed="false">
      <c r="A3195" s="9" t="s">
        <v>9038</v>
      </c>
      <c r="B3195" s="9" t="s">
        <v>5870</v>
      </c>
      <c r="C3195" s="9" t="s">
        <v>3449</v>
      </c>
      <c r="D3195" s="9" t="s">
        <v>5871</v>
      </c>
      <c r="E3195" s="9" t="str">
        <f aca="false">IF(AND('Formation Ledger'!A3174&lt;&gt;"",'Formation Ledger'!V3174=0),"PASS","FAIL")</f>
        <v>PASS</v>
      </c>
      <c r="F3195" s="9" t="s">
        <v>76</v>
      </c>
      <c r="G3195" s="6"/>
      <c r="H3195" s="6"/>
      <c r="I3195" s="6"/>
      <c r="J3195" s="6"/>
      <c r="K3195" s="6"/>
      <c r="L3195" s="6"/>
      <c r="M3195" s="6"/>
      <c r="N3195" s="6"/>
      <c r="O3195" s="6"/>
      <c r="P3195" s="6"/>
      <c r="Q3195" s="6"/>
      <c r="R3195" s="6"/>
      <c r="S3195" s="6"/>
      <c r="T3195" s="6"/>
      <c r="U3195" s="6"/>
      <c r="V3195" s="6"/>
      <c r="W3195" s="6"/>
      <c r="X3195" s="6"/>
      <c r="Y3195" s="6"/>
      <c r="Z3195" s="6"/>
    </row>
    <row r="3196" customFormat="false" ht="15" hidden="false" customHeight="false" outlineLevel="0" collapsed="false">
      <c r="A3196" s="9" t="s">
        <v>9039</v>
      </c>
      <c r="B3196" s="9" t="s">
        <v>5870</v>
      </c>
      <c r="C3196" s="9" t="s">
        <v>3450</v>
      </c>
      <c r="D3196" s="9" t="s">
        <v>5871</v>
      </c>
      <c r="E3196" s="9" t="str">
        <f aca="false">IF(AND('Formation Ledger'!A3175&lt;&gt;"",'Formation Ledger'!V3175=0),"PASS","FAIL")</f>
        <v>PASS</v>
      </c>
      <c r="F3196" s="9" t="s">
        <v>76</v>
      </c>
      <c r="G3196" s="6"/>
      <c r="H3196" s="6"/>
      <c r="I3196" s="6"/>
      <c r="J3196" s="6"/>
      <c r="K3196" s="6"/>
      <c r="L3196" s="6"/>
      <c r="M3196" s="6"/>
      <c r="N3196" s="6"/>
      <c r="O3196" s="6"/>
      <c r="P3196" s="6"/>
      <c r="Q3196" s="6"/>
      <c r="R3196" s="6"/>
      <c r="S3196" s="6"/>
      <c r="T3196" s="6"/>
      <c r="U3196" s="6"/>
      <c r="V3196" s="6"/>
      <c r="W3196" s="6"/>
      <c r="X3196" s="6"/>
      <c r="Y3196" s="6"/>
      <c r="Z3196" s="6"/>
    </row>
    <row r="3197" customFormat="false" ht="15" hidden="false" customHeight="false" outlineLevel="0" collapsed="false">
      <c r="A3197" s="9" t="s">
        <v>9040</v>
      </c>
      <c r="B3197" s="9" t="s">
        <v>5870</v>
      </c>
      <c r="C3197" s="9" t="s">
        <v>3451</v>
      </c>
      <c r="D3197" s="9" t="s">
        <v>5871</v>
      </c>
      <c r="E3197" s="9" t="str">
        <f aca="false">IF(AND('Formation Ledger'!A3176&lt;&gt;"",'Formation Ledger'!V3176=0),"PASS","FAIL")</f>
        <v>PASS</v>
      </c>
      <c r="F3197" s="9" t="s">
        <v>76</v>
      </c>
      <c r="G3197" s="6"/>
      <c r="H3197" s="6"/>
      <c r="I3197" s="6"/>
      <c r="J3197" s="6"/>
      <c r="K3197" s="6"/>
      <c r="L3197" s="6"/>
      <c r="M3197" s="6"/>
      <c r="N3197" s="6"/>
      <c r="O3197" s="6"/>
      <c r="P3197" s="6"/>
      <c r="Q3197" s="6"/>
      <c r="R3197" s="6"/>
      <c r="S3197" s="6"/>
      <c r="T3197" s="6"/>
      <c r="U3197" s="6"/>
      <c r="V3197" s="6"/>
      <c r="W3197" s="6"/>
      <c r="X3197" s="6"/>
      <c r="Y3197" s="6"/>
      <c r="Z3197" s="6"/>
    </row>
    <row r="3198" customFormat="false" ht="15" hidden="false" customHeight="false" outlineLevel="0" collapsed="false">
      <c r="A3198" s="9" t="s">
        <v>9041</v>
      </c>
      <c r="B3198" s="9" t="s">
        <v>5870</v>
      </c>
      <c r="C3198" s="9" t="s">
        <v>3452</v>
      </c>
      <c r="D3198" s="9" t="s">
        <v>5871</v>
      </c>
      <c r="E3198" s="9" t="str">
        <f aca="false">IF(AND('Formation Ledger'!A3177&lt;&gt;"",'Formation Ledger'!V3177=0),"PASS","FAIL")</f>
        <v>PASS</v>
      </c>
      <c r="F3198" s="9" t="s">
        <v>76</v>
      </c>
      <c r="G3198" s="6"/>
      <c r="H3198" s="6"/>
      <c r="I3198" s="6"/>
      <c r="J3198" s="6"/>
      <c r="K3198" s="6"/>
      <c r="L3198" s="6"/>
      <c r="M3198" s="6"/>
      <c r="N3198" s="6"/>
      <c r="O3198" s="6"/>
      <c r="P3198" s="6"/>
      <c r="Q3198" s="6"/>
      <c r="R3198" s="6"/>
      <c r="S3198" s="6"/>
      <c r="T3198" s="6"/>
      <c r="U3198" s="6"/>
      <c r="V3198" s="6"/>
      <c r="W3198" s="6"/>
      <c r="X3198" s="6"/>
      <c r="Y3198" s="6"/>
      <c r="Z3198" s="6"/>
    </row>
    <row r="3199" customFormat="false" ht="15" hidden="false" customHeight="false" outlineLevel="0" collapsed="false">
      <c r="A3199" s="9" t="s">
        <v>9042</v>
      </c>
      <c r="B3199" s="9" t="s">
        <v>5870</v>
      </c>
      <c r="C3199" s="9" t="s">
        <v>3453</v>
      </c>
      <c r="D3199" s="9" t="s">
        <v>5871</v>
      </c>
      <c r="E3199" s="9" t="str">
        <f aca="false">IF(AND('Formation Ledger'!A3178&lt;&gt;"",'Formation Ledger'!V3178=0),"PASS","FAIL")</f>
        <v>PASS</v>
      </c>
      <c r="F3199" s="9" t="s">
        <v>76</v>
      </c>
      <c r="G3199" s="6"/>
      <c r="H3199" s="6"/>
      <c r="I3199" s="6"/>
      <c r="J3199" s="6"/>
      <c r="K3199" s="6"/>
      <c r="L3199" s="6"/>
      <c r="M3199" s="6"/>
      <c r="N3199" s="6"/>
      <c r="O3199" s="6"/>
      <c r="P3199" s="6"/>
      <c r="Q3199" s="6"/>
      <c r="R3199" s="6"/>
      <c r="S3199" s="6"/>
      <c r="T3199" s="6"/>
      <c r="U3199" s="6"/>
      <c r="V3199" s="6"/>
      <c r="W3199" s="6"/>
      <c r="X3199" s="6"/>
      <c r="Y3199" s="6"/>
      <c r="Z3199" s="6"/>
    </row>
    <row r="3200" customFormat="false" ht="15" hidden="false" customHeight="false" outlineLevel="0" collapsed="false">
      <c r="A3200" s="9" t="s">
        <v>9043</v>
      </c>
      <c r="B3200" s="9" t="s">
        <v>5870</v>
      </c>
      <c r="C3200" s="9" t="s">
        <v>3454</v>
      </c>
      <c r="D3200" s="9" t="s">
        <v>5871</v>
      </c>
      <c r="E3200" s="9" t="str">
        <f aca="false">IF(AND('Formation Ledger'!A3179&lt;&gt;"",'Formation Ledger'!V3179=0),"PASS","FAIL")</f>
        <v>PASS</v>
      </c>
      <c r="F3200" s="9" t="s">
        <v>76</v>
      </c>
      <c r="G3200" s="6"/>
      <c r="H3200" s="6"/>
      <c r="I3200" s="6"/>
      <c r="J3200" s="6"/>
      <c r="K3200" s="6"/>
      <c r="L3200" s="6"/>
      <c r="M3200" s="6"/>
      <c r="N3200" s="6"/>
      <c r="O3200" s="6"/>
      <c r="P3200" s="6"/>
      <c r="Q3200" s="6"/>
      <c r="R3200" s="6"/>
      <c r="S3200" s="6"/>
      <c r="T3200" s="6"/>
      <c r="U3200" s="6"/>
      <c r="V3200" s="6"/>
      <c r="W3200" s="6"/>
      <c r="X3200" s="6"/>
      <c r="Y3200" s="6"/>
      <c r="Z3200" s="6"/>
    </row>
    <row r="3201" customFormat="false" ht="15" hidden="false" customHeight="false" outlineLevel="0" collapsed="false">
      <c r="A3201" s="9" t="s">
        <v>9044</v>
      </c>
      <c r="B3201" s="9" t="s">
        <v>5870</v>
      </c>
      <c r="C3201" s="9" t="s">
        <v>3455</v>
      </c>
      <c r="D3201" s="9" t="s">
        <v>5871</v>
      </c>
      <c r="E3201" s="9" t="str">
        <f aca="false">IF(AND('Formation Ledger'!A3180&lt;&gt;"",'Formation Ledger'!V3180=0),"PASS","FAIL")</f>
        <v>PASS</v>
      </c>
      <c r="F3201" s="9" t="s">
        <v>76</v>
      </c>
      <c r="G3201" s="6"/>
      <c r="H3201" s="6"/>
      <c r="I3201" s="6"/>
      <c r="J3201" s="6"/>
      <c r="K3201" s="6"/>
      <c r="L3201" s="6"/>
      <c r="M3201" s="6"/>
      <c r="N3201" s="6"/>
      <c r="O3201" s="6"/>
      <c r="P3201" s="6"/>
      <c r="Q3201" s="6"/>
      <c r="R3201" s="6"/>
      <c r="S3201" s="6"/>
      <c r="T3201" s="6"/>
      <c r="U3201" s="6"/>
      <c r="V3201" s="6"/>
      <c r="W3201" s="6"/>
      <c r="X3201" s="6"/>
      <c r="Y3201" s="6"/>
      <c r="Z3201" s="6"/>
    </row>
    <row r="3202" customFormat="false" ht="15" hidden="false" customHeight="false" outlineLevel="0" collapsed="false">
      <c r="A3202" s="9" t="s">
        <v>9045</v>
      </c>
      <c r="B3202" s="9" t="s">
        <v>5870</v>
      </c>
      <c r="C3202" s="9" t="s">
        <v>3456</v>
      </c>
      <c r="D3202" s="9" t="s">
        <v>5871</v>
      </c>
      <c r="E3202" s="9" t="str">
        <f aca="false">IF(AND('Formation Ledger'!A3181&lt;&gt;"",'Formation Ledger'!V3181=0),"PASS","FAIL")</f>
        <v>PASS</v>
      </c>
      <c r="F3202" s="9" t="s">
        <v>76</v>
      </c>
      <c r="G3202" s="6"/>
      <c r="H3202" s="6"/>
      <c r="I3202" s="6"/>
      <c r="J3202" s="6"/>
      <c r="K3202" s="6"/>
      <c r="L3202" s="6"/>
      <c r="M3202" s="6"/>
      <c r="N3202" s="6"/>
      <c r="O3202" s="6"/>
      <c r="P3202" s="6"/>
      <c r="Q3202" s="6"/>
      <c r="R3202" s="6"/>
      <c r="S3202" s="6"/>
      <c r="T3202" s="6"/>
      <c r="U3202" s="6"/>
      <c r="V3202" s="6"/>
      <c r="W3202" s="6"/>
      <c r="X3202" s="6"/>
      <c r="Y3202" s="6"/>
      <c r="Z3202" s="6"/>
    </row>
    <row r="3203" customFormat="false" ht="15" hidden="false" customHeight="false" outlineLevel="0" collapsed="false">
      <c r="A3203" s="9" t="s">
        <v>9046</v>
      </c>
      <c r="B3203" s="9" t="s">
        <v>5870</v>
      </c>
      <c r="C3203" s="9" t="s">
        <v>3457</v>
      </c>
      <c r="D3203" s="9" t="s">
        <v>5871</v>
      </c>
      <c r="E3203" s="9" t="str">
        <f aca="false">IF(AND('Formation Ledger'!A3182&lt;&gt;"",'Formation Ledger'!V3182=0),"PASS","FAIL")</f>
        <v>PASS</v>
      </c>
      <c r="F3203" s="9" t="s">
        <v>76</v>
      </c>
      <c r="G3203" s="6"/>
      <c r="H3203" s="6"/>
      <c r="I3203" s="6"/>
      <c r="J3203" s="6"/>
      <c r="K3203" s="6"/>
      <c r="L3203" s="6"/>
      <c r="M3203" s="6"/>
      <c r="N3203" s="6"/>
      <c r="O3203" s="6"/>
      <c r="P3203" s="6"/>
      <c r="Q3203" s="6"/>
      <c r="R3203" s="6"/>
      <c r="S3203" s="6"/>
      <c r="T3203" s="6"/>
      <c r="U3203" s="6"/>
      <c r="V3203" s="6"/>
      <c r="W3203" s="6"/>
      <c r="X3203" s="6"/>
      <c r="Y3203" s="6"/>
      <c r="Z3203" s="6"/>
    </row>
    <row r="3204" customFormat="false" ht="15" hidden="false" customHeight="false" outlineLevel="0" collapsed="false">
      <c r="A3204" s="9" t="s">
        <v>9047</v>
      </c>
      <c r="B3204" s="9" t="s">
        <v>5870</v>
      </c>
      <c r="C3204" s="9" t="s">
        <v>3458</v>
      </c>
      <c r="D3204" s="9" t="s">
        <v>5871</v>
      </c>
      <c r="E3204" s="9" t="str">
        <f aca="false">IF(AND('Formation Ledger'!A3183&lt;&gt;"",'Formation Ledger'!V3183=0),"PASS","FAIL")</f>
        <v>PASS</v>
      </c>
      <c r="F3204" s="9" t="s">
        <v>76</v>
      </c>
      <c r="G3204" s="6"/>
      <c r="H3204" s="6"/>
      <c r="I3204" s="6"/>
      <c r="J3204" s="6"/>
      <c r="K3204" s="6"/>
      <c r="L3204" s="6"/>
      <c r="M3204" s="6"/>
      <c r="N3204" s="6"/>
      <c r="O3204" s="6"/>
      <c r="P3204" s="6"/>
      <c r="Q3204" s="6"/>
      <c r="R3204" s="6"/>
      <c r="S3204" s="6"/>
      <c r="T3204" s="6"/>
      <c r="U3204" s="6"/>
      <c r="V3204" s="6"/>
      <c r="W3204" s="6"/>
      <c r="X3204" s="6"/>
      <c r="Y3204" s="6"/>
      <c r="Z3204" s="6"/>
    </row>
    <row r="3205" customFormat="false" ht="15" hidden="false" customHeight="false" outlineLevel="0" collapsed="false">
      <c r="A3205" s="9" t="s">
        <v>9048</v>
      </c>
      <c r="B3205" s="9" t="s">
        <v>5870</v>
      </c>
      <c r="C3205" s="9" t="s">
        <v>3459</v>
      </c>
      <c r="D3205" s="9" t="s">
        <v>5871</v>
      </c>
      <c r="E3205" s="9" t="str">
        <f aca="false">IF(AND('Formation Ledger'!A3184&lt;&gt;"",'Formation Ledger'!V3184=0),"PASS","FAIL")</f>
        <v>PASS</v>
      </c>
      <c r="F3205" s="9" t="s">
        <v>76</v>
      </c>
      <c r="G3205" s="6"/>
      <c r="H3205" s="6"/>
      <c r="I3205" s="6"/>
      <c r="J3205" s="6"/>
      <c r="K3205" s="6"/>
      <c r="L3205" s="6"/>
      <c r="M3205" s="6"/>
      <c r="N3205" s="6"/>
      <c r="O3205" s="6"/>
      <c r="P3205" s="6"/>
      <c r="Q3205" s="6"/>
      <c r="R3205" s="6"/>
      <c r="S3205" s="6"/>
      <c r="T3205" s="6"/>
      <c r="U3205" s="6"/>
      <c r="V3205" s="6"/>
      <c r="W3205" s="6"/>
      <c r="X3205" s="6"/>
      <c r="Y3205" s="6"/>
      <c r="Z3205" s="6"/>
    </row>
    <row r="3206" customFormat="false" ht="15" hidden="false" customHeight="false" outlineLevel="0" collapsed="false">
      <c r="A3206" s="9" t="s">
        <v>9049</v>
      </c>
      <c r="B3206" s="9" t="s">
        <v>5870</v>
      </c>
      <c r="C3206" s="9" t="s">
        <v>3460</v>
      </c>
      <c r="D3206" s="9" t="s">
        <v>5871</v>
      </c>
      <c r="E3206" s="9" t="str">
        <f aca="false">IF(AND('Formation Ledger'!A3185&lt;&gt;"",'Formation Ledger'!V3185=0),"PASS","FAIL")</f>
        <v>PASS</v>
      </c>
      <c r="F3206" s="9" t="s">
        <v>76</v>
      </c>
      <c r="G3206" s="6"/>
      <c r="H3206" s="6"/>
      <c r="I3206" s="6"/>
      <c r="J3206" s="6"/>
      <c r="K3206" s="6"/>
      <c r="L3206" s="6"/>
      <c r="M3206" s="6"/>
      <c r="N3206" s="6"/>
      <c r="O3206" s="6"/>
      <c r="P3206" s="6"/>
      <c r="Q3206" s="6"/>
      <c r="R3206" s="6"/>
      <c r="S3206" s="6"/>
      <c r="T3206" s="6"/>
      <c r="U3206" s="6"/>
      <c r="V3206" s="6"/>
      <c r="W3206" s="6"/>
      <c r="X3206" s="6"/>
      <c r="Y3206" s="6"/>
      <c r="Z3206" s="6"/>
    </row>
    <row r="3207" customFormat="false" ht="15" hidden="false" customHeight="false" outlineLevel="0" collapsed="false">
      <c r="A3207" s="9" t="s">
        <v>9050</v>
      </c>
      <c r="B3207" s="9" t="s">
        <v>5870</v>
      </c>
      <c r="C3207" s="9" t="s">
        <v>3461</v>
      </c>
      <c r="D3207" s="9" t="s">
        <v>5871</v>
      </c>
      <c r="E3207" s="9" t="str">
        <f aca="false">IF(AND('Formation Ledger'!A3186&lt;&gt;"",'Formation Ledger'!V3186=0),"PASS","FAIL")</f>
        <v>PASS</v>
      </c>
      <c r="F3207" s="9" t="s">
        <v>76</v>
      </c>
      <c r="G3207" s="6"/>
      <c r="H3207" s="6"/>
      <c r="I3207" s="6"/>
      <c r="J3207" s="6"/>
      <c r="K3207" s="6"/>
      <c r="L3207" s="6"/>
      <c r="M3207" s="6"/>
      <c r="N3207" s="6"/>
      <c r="O3207" s="6"/>
      <c r="P3207" s="6"/>
      <c r="Q3207" s="6"/>
      <c r="R3207" s="6"/>
      <c r="S3207" s="6"/>
      <c r="T3207" s="6"/>
      <c r="U3207" s="6"/>
      <c r="V3207" s="6"/>
      <c r="W3207" s="6"/>
      <c r="X3207" s="6"/>
      <c r="Y3207" s="6"/>
      <c r="Z3207" s="6"/>
    </row>
    <row r="3208" customFormat="false" ht="15" hidden="false" customHeight="false" outlineLevel="0" collapsed="false">
      <c r="A3208" s="9" t="s">
        <v>9051</v>
      </c>
      <c r="B3208" s="9" t="s">
        <v>5870</v>
      </c>
      <c r="C3208" s="9" t="s">
        <v>3462</v>
      </c>
      <c r="D3208" s="9" t="s">
        <v>5871</v>
      </c>
      <c r="E3208" s="9" t="str">
        <f aca="false">IF(AND('Formation Ledger'!A3187&lt;&gt;"",'Formation Ledger'!V3187=0),"PASS","FAIL")</f>
        <v>PASS</v>
      </c>
      <c r="F3208" s="9" t="s">
        <v>76</v>
      </c>
      <c r="G3208" s="6"/>
      <c r="H3208" s="6"/>
      <c r="I3208" s="6"/>
      <c r="J3208" s="6"/>
      <c r="K3208" s="6"/>
      <c r="L3208" s="6"/>
      <c r="M3208" s="6"/>
      <c r="N3208" s="6"/>
      <c r="O3208" s="6"/>
      <c r="P3208" s="6"/>
      <c r="Q3208" s="6"/>
      <c r="R3208" s="6"/>
      <c r="S3208" s="6"/>
      <c r="T3208" s="6"/>
      <c r="U3208" s="6"/>
      <c r="V3208" s="6"/>
      <c r="W3208" s="6"/>
      <c r="X3208" s="6"/>
      <c r="Y3208" s="6"/>
      <c r="Z3208" s="6"/>
    </row>
    <row r="3209" customFormat="false" ht="15" hidden="false" customHeight="false" outlineLevel="0" collapsed="false">
      <c r="A3209" s="9" t="s">
        <v>9052</v>
      </c>
      <c r="B3209" s="9" t="s">
        <v>5870</v>
      </c>
      <c r="C3209" s="9" t="s">
        <v>3463</v>
      </c>
      <c r="D3209" s="9" t="s">
        <v>5871</v>
      </c>
      <c r="E3209" s="9" t="str">
        <f aca="false">IF(AND('Formation Ledger'!A3188&lt;&gt;"",'Formation Ledger'!V3188=0),"PASS","FAIL")</f>
        <v>PASS</v>
      </c>
      <c r="F3209" s="9" t="s">
        <v>76</v>
      </c>
      <c r="G3209" s="6"/>
      <c r="H3209" s="6"/>
      <c r="I3209" s="6"/>
      <c r="J3209" s="6"/>
      <c r="K3209" s="6"/>
      <c r="L3209" s="6"/>
      <c r="M3209" s="6"/>
      <c r="N3209" s="6"/>
      <c r="O3209" s="6"/>
      <c r="P3209" s="6"/>
      <c r="Q3209" s="6"/>
      <c r="R3209" s="6"/>
      <c r="S3209" s="6"/>
      <c r="T3209" s="6"/>
      <c r="U3209" s="6"/>
      <c r="V3209" s="6"/>
      <c r="W3209" s="6"/>
      <c r="X3209" s="6"/>
      <c r="Y3209" s="6"/>
      <c r="Z3209" s="6"/>
    </row>
    <row r="3210" customFormat="false" ht="15" hidden="false" customHeight="false" outlineLevel="0" collapsed="false">
      <c r="A3210" s="9" t="s">
        <v>9053</v>
      </c>
      <c r="B3210" s="9" t="s">
        <v>5870</v>
      </c>
      <c r="C3210" s="9" t="s">
        <v>3464</v>
      </c>
      <c r="D3210" s="9" t="s">
        <v>5871</v>
      </c>
      <c r="E3210" s="9" t="str">
        <f aca="false">IF(AND('Formation Ledger'!A3189&lt;&gt;"",'Formation Ledger'!V3189=0),"PASS","FAIL")</f>
        <v>PASS</v>
      </c>
      <c r="F3210" s="9" t="s">
        <v>76</v>
      </c>
      <c r="G3210" s="6"/>
      <c r="H3210" s="6"/>
      <c r="I3210" s="6"/>
      <c r="J3210" s="6"/>
      <c r="K3210" s="6"/>
      <c r="L3210" s="6"/>
      <c r="M3210" s="6"/>
      <c r="N3210" s="6"/>
      <c r="O3210" s="6"/>
      <c r="P3210" s="6"/>
      <c r="Q3210" s="6"/>
      <c r="R3210" s="6"/>
      <c r="S3210" s="6"/>
      <c r="T3210" s="6"/>
      <c r="U3210" s="6"/>
      <c r="V3210" s="6"/>
      <c r="W3210" s="6"/>
      <c r="X3210" s="6"/>
      <c r="Y3210" s="6"/>
      <c r="Z3210" s="6"/>
    </row>
    <row r="3211" customFormat="false" ht="15" hidden="false" customHeight="false" outlineLevel="0" collapsed="false">
      <c r="A3211" s="9" t="s">
        <v>9054</v>
      </c>
      <c r="B3211" s="9" t="s">
        <v>5870</v>
      </c>
      <c r="C3211" s="9" t="s">
        <v>3465</v>
      </c>
      <c r="D3211" s="9" t="s">
        <v>5871</v>
      </c>
      <c r="E3211" s="9" t="str">
        <f aca="false">IF(AND('Formation Ledger'!A3190&lt;&gt;"",'Formation Ledger'!V3190=0),"PASS","FAIL")</f>
        <v>PASS</v>
      </c>
      <c r="F3211" s="9" t="s">
        <v>76</v>
      </c>
      <c r="G3211" s="6"/>
      <c r="H3211" s="6"/>
      <c r="I3211" s="6"/>
      <c r="J3211" s="6"/>
      <c r="K3211" s="6"/>
      <c r="L3211" s="6"/>
      <c r="M3211" s="6"/>
      <c r="N3211" s="6"/>
      <c r="O3211" s="6"/>
      <c r="P3211" s="6"/>
      <c r="Q3211" s="6"/>
      <c r="R3211" s="6"/>
      <c r="S3211" s="6"/>
      <c r="T3211" s="6"/>
      <c r="U3211" s="6"/>
      <c r="V3211" s="6"/>
      <c r="W3211" s="6"/>
      <c r="X3211" s="6"/>
      <c r="Y3211" s="6"/>
      <c r="Z3211" s="6"/>
    </row>
    <row r="3212" customFormat="false" ht="15" hidden="false" customHeight="false" outlineLevel="0" collapsed="false">
      <c r="A3212" s="9" t="s">
        <v>9055</v>
      </c>
      <c r="B3212" s="9" t="s">
        <v>5870</v>
      </c>
      <c r="C3212" s="9" t="s">
        <v>3466</v>
      </c>
      <c r="D3212" s="9" t="s">
        <v>5871</v>
      </c>
      <c r="E3212" s="9" t="str">
        <f aca="false">IF(AND('Formation Ledger'!A3191&lt;&gt;"",'Formation Ledger'!V3191=0),"PASS","FAIL")</f>
        <v>PASS</v>
      </c>
      <c r="F3212" s="9" t="s">
        <v>76</v>
      </c>
      <c r="G3212" s="6"/>
      <c r="H3212" s="6"/>
      <c r="I3212" s="6"/>
      <c r="J3212" s="6"/>
      <c r="K3212" s="6"/>
      <c r="L3212" s="6"/>
      <c r="M3212" s="6"/>
      <c r="N3212" s="6"/>
      <c r="O3212" s="6"/>
      <c r="P3212" s="6"/>
      <c r="Q3212" s="6"/>
      <c r="R3212" s="6"/>
      <c r="S3212" s="6"/>
      <c r="T3212" s="6"/>
      <c r="U3212" s="6"/>
      <c r="V3212" s="6"/>
      <c r="W3212" s="6"/>
      <c r="X3212" s="6"/>
      <c r="Y3212" s="6"/>
      <c r="Z3212" s="6"/>
    </row>
    <row r="3213" customFormat="false" ht="15" hidden="false" customHeight="false" outlineLevel="0" collapsed="false">
      <c r="A3213" s="9" t="s">
        <v>9056</v>
      </c>
      <c r="B3213" s="9" t="s">
        <v>5870</v>
      </c>
      <c r="C3213" s="9" t="s">
        <v>3467</v>
      </c>
      <c r="D3213" s="9" t="s">
        <v>5871</v>
      </c>
      <c r="E3213" s="9" t="str">
        <f aca="false">IF(AND('Formation Ledger'!A3192&lt;&gt;"",'Formation Ledger'!V3192=0),"PASS","FAIL")</f>
        <v>PASS</v>
      </c>
      <c r="F3213" s="9" t="s">
        <v>76</v>
      </c>
      <c r="G3213" s="6"/>
      <c r="H3213" s="6"/>
      <c r="I3213" s="6"/>
      <c r="J3213" s="6"/>
      <c r="K3213" s="6"/>
      <c r="L3213" s="6"/>
      <c r="M3213" s="6"/>
      <c r="N3213" s="6"/>
      <c r="O3213" s="6"/>
      <c r="P3213" s="6"/>
      <c r="Q3213" s="6"/>
      <c r="R3213" s="6"/>
      <c r="S3213" s="6"/>
      <c r="T3213" s="6"/>
      <c r="U3213" s="6"/>
      <c r="V3213" s="6"/>
      <c r="W3213" s="6"/>
      <c r="X3213" s="6"/>
      <c r="Y3213" s="6"/>
      <c r="Z3213" s="6"/>
    </row>
    <row r="3214" customFormat="false" ht="15" hidden="false" customHeight="false" outlineLevel="0" collapsed="false">
      <c r="A3214" s="9" t="s">
        <v>9057</v>
      </c>
      <c r="B3214" s="9" t="s">
        <v>5870</v>
      </c>
      <c r="C3214" s="9" t="s">
        <v>3468</v>
      </c>
      <c r="D3214" s="9" t="s">
        <v>5871</v>
      </c>
      <c r="E3214" s="9" t="str">
        <f aca="false">IF(AND('Formation Ledger'!A3193&lt;&gt;"",'Formation Ledger'!V3193=0),"PASS","FAIL")</f>
        <v>PASS</v>
      </c>
      <c r="F3214" s="9" t="s">
        <v>76</v>
      </c>
      <c r="G3214" s="6"/>
      <c r="H3214" s="6"/>
      <c r="I3214" s="6"/>
      <c r="J3214" s="6"/>
      <c r="K3214" s="6"/>
      <c r="L3214" s="6"/>
      <c r="M3214" s="6"/>
      <c r="N3214" s="6"/>
      <c r="O3214" s="6"/>
      <c r="P3214" s="6"/>
      <c r="Q3214" s="6"/>
      <c r="R3214" s="6"/>
      <c r="S3214" s="6"/>
      <c r="T3214" s="6"/>
      <c r="U3214" s="6"/>
      <c r="V3214" s="6"/>
      <c r="W3214" s="6"/>
      <c r="X3214" s="6"/>
      <c r="Y3214" s="6"/>
      <c r="Z3214" s="6"/>
    </row>
    <row r="3215" customFormat="false" ht="15" hidden="false" customHeight="false" outlineLevel="0" collapsed="false">
      <c r="A3215" s="9" t="s">
        <v>9058</v>
      </c>
      <c r="B3215" s="9" t="s">
        <v>5870</v>
      </c>
      <c r="C3215" s="9" t="s">
        <v>3469</v>
      </c>
      <c r="D3215" s="9" t="s">
        <v>5871</v>
      </c>
      <c r="E3215" s="9" t="str">
        <f aca="false">IF(AND('Formation Ledger'!A3194&lt;&gt;"",'Formation Ledger'!V3194=0),"PASS","FAIL")</f>
        <v>PASS</v>
      </c>
      <c r="F3215" s="9" t="s">
        <v>76</v>
      </c>
      <c r="G3215" s="6"/>
      <c r="H3215" s="6"/>
      <c r="I3215" s="6"/>
      <c r="J3215" s="6"/>
      <c r="K3215" s="6"/>
      <c r="L3215" s="6"/>
      <c r="M3215" s="6"/>
      <c r="N3215" s="6"/>
      <c r="O3215" s="6"/>
      <c r="P3215" s="6"/>
      <c r="Q3215" s="6"/>
      <c r="R3215" s="6"/>
      <c r="S3215" s="6"/>
      <c r="T3215" s="6"/>
      <c r="U3215" s="6"/>
      <c r="V3215" s="6"/>
      <c r="W3215" s="6"/>
      <c r="X3215" s="6"/>
      <c r="Y3215" s="6"/>
      <c r="Z3215" s="6"/>
    </row>
    <row r="3216" customFormat="false" ht="15" hidden="false" customHeight="false" outlineLevel="0" collapsed="false">
      <c r="A3216" s="9" t="s">
        <v>9059</v>
      </c>
      <c r="B3216" s="9" t="s">
        <v>5870</v>
      </c>
      <c r="C3216" s="9" t="s">
        <v>3470</v>
      </c>
      <c r="D3216" s="9" t="s">
        <v>5871</v>
      </c>
      <c r="E3216" s="9" t="str">
        <f aca="false">IF(AND('Formation Ledger'!A3195&lt;&gt;"",'Formation Ledger'!V3195=0),"PASS","FAIL")</f>
        <v>PASS</v>
      </c>
      <c r="F3216" s="9" t="s">
        <v>76</v>
      </c>
      <c r="G3216" s="6"/>
      <c r="H3216" s="6"/>
      <c r="I3216" s="6"/>
      <c r="J3216" s="6"/>
      <c r="K3216" s="6"/>
      <c r="L3216" s="6"/>
      <c r="M3216" s="6"/>
      <c r="N3216" s="6"/>
      <c r="O3216" s="6"/>
      <c r="P3216" s="6"/>
      <c r="Q3216" s="6"/>
      <c r="R3216" s="6"/>
      <c r="S3216" s="6"/>
      <c r="T3216" s="6"/>
      <c r="U3216" s="6"/>
      <c r="V3216" s="6"/>
      <c r="W3216" s="6"/>
      <c r="X3216" s="6"/>
      <c r="Y3216" s="6"/>
      <c r="Z3216" s="6"/>
    </row>
    <row r="3217" customFormat="false" ht="15" hidden="false" customHeight="false" outlineLevel="0" collapsed="false">
      <c r="A3217" s="9" t="s">
        <v>9060</v>
      </c>
      <c r="B3217" s="9" t="s">
        <v>5870</v>
      </c>
      <c r="C3217" s="9" t="s">
        <v>3471</v>
      </c>
      <c r="D3217" s="9" t="s">
        <v>5871</v>
      </c>
      <c r="E3217" s="9" t="str">
        <f aca="false">IF(AND('Formation Ledger'!A3196&lt;&gt;"",'Formation Ledger'!V3196=0),"PASS","FAIL")</f>
        <v>PASS</v>
      </c>
      <c r="F3217" s="9" t="s">
        <v>76</v>
      </c>
      <c r="G3217" s="6"/>
      <c r="H3217" s="6"/>
      <c r="I3217" s="6"/>
      <c r="J3217" s="6"/>
      <c r="K3217" s="6"/>
      <c r="L3217" s="6"/>
      <c r="M3217" s="6"/>
      <c r="N3217" s="6"/>
      <c r="O3217" s="6"/>
      <c r="P3217" s="6"/>
      <c r="Q3217" s="6"/>
      <c r="R3217" s="6"/>
      <c r="S3217" s="6"/>
      <c r="T3217" s="6"/>
      <c r="U3217" s="6"/>
      <c r="V3217" s="6"/>
      <c r="W3217" s="6"/>
      <c r="X3217" s="6"/>
      <c r="Y3217" s="6"/>
      <c r="Z3217" s="6"/>
    </row>
    <row r="3218" customFormat="false" ht="15" hidden="false" customHeight="false" outlineLevel="0" collapsed="false">
      <c r="A3218" s="9" t="s">
        <v>9061</v>
      </c>
      <c r="B3218" s="9" t="s">
        <v>5870</v>
      </c>
      <c r="C3218" s="9" t="s">
        <v>3472</v>
      </c>
      <c r="D3218" s="9" t="s">
        <v>5871</v>
      </c>
      <c r="E3218" s="9" t="str">
        <f aca="false">IF(AND('Formation Ledger'!A3197&lt;&gt;"",'Formation Ledger'!V3197=0),"PASS","FAIL")</f>
        <v>PASS</v>
      </c>
      <c r="F3218" s="9" t="s">
        <v>76</v>
      </c>
      <c r="G3218" s="6"/>
      <c r="H3218" s="6"/>
      <c r="I3218" s="6"/>
      <c r="J3218" s="6"/>
      <c r="K3218" s="6"/>
      <c r="L3218" s="6"/>
      <c r="M3218" s="6"/>
      <c r="N3218" s="6"/>
      <c r="O3218" s="6"/>
      <c r="P3218" s="6"/>
      <c r="Q3218" s="6"/>
      <c r="R3218" s="6"/>
      <c r="S3218" s="6"/>
      <c r="T3218" s="6"/>
      <c r="U3218" s="6"/>
      <c r="V3218" s="6"/>
      <c r="W3218" s="6"/>
      <c r="X3218" s="6"/>
      <c r="Y3218" s="6"/>
      <c r="Z3218" s="6"/>
    </row>
    <row r="3219" customFormat="false" ht="15" hidden="false" customHeight="false" outlineLevel="0" collapsed="false">
      <c r="A3219" s="9" t="s">
        <v>9062</v>
      </c>
      <c r="B3219" s="9" t="s">
        <v>5870</v>
      </c>
      <c r="C3219" s="9" t="s">
        <v>3473</v>
      </c>
      <c r="D3219" s="9" t="s">
        <v>5871</v>
      </c>
      <c r="E3219" s="9" t="str">
        <f aca="false">IF(AND('Formation Ledger'!A3198&lt;&gt;"",'Formation Ledger'!V3198=0),"PASS","FAIL")</f>
        <v>PASS</v>
      </c>
      <c r="F3219" s="9" t="s">
        <v>76</v>
      </c>
      <c r="G3219" s="6"/>
      <c r="H3219" s="6"/>
      <c r="I3219" s="6"/>
      <c r="J3219" s="6"/>
      <c r="K3219" s="6"/>
      <c r="L3219" s="6"/>
      <c r="M3219" s="6"/>
      <c r="N3219" s="6"/>
      <c r="O3219" s="6"/>
      <c r="P3219" s="6"/>
      <c r="Q3219" s="6"/>
      <c r="R3219" s="6"/>
      <c r="S3219" s="6"/>
      <c r="T3219" s="6"/>
      <c r="U3219" s="6"/>
      <c r="V3219" s="6"/>
      <c r="W3219" s="6"/>
      <c r="X3219" s="6"/>
      <c r="Y3219" s="6"/>
      <c r="Z3219" s="6"/>
    </row>
    <row r="3220" customFormat="false" ht="15" hidden="false" customHeight="false" outlineLevel="0" collapsed="false">
      <c r="A3220" s="9" t="s">
        <v>9063</v>
      </c>
      <c r="B3220" s="9" t="s">
        <v>5870</v>
      </c>
      <c r="C3220" s="9" t="s">
        <v>3474</v>
      </c>
      <c r="D3220" s="9" t="s">
        <v>5871</v>
      </c>
      <c r="E3220" s="9" t="str">
        <f aca="false">IF(AND('Formation Ledger'!A3199&lt;&gt;"",'Formation Ledger'!V3199=0),"PASS","FAIL")</f>
        <v>PASS</v>
      </c>
      <c r="F3220" s="9" t="s">
        <v>76</v>
      </c>
      <c r="G3220" s="6"/>
      <c r="H3220" s="6"/>
      <c r="I3220" s="6"/>
      <c r="J3220" s="6"/>
      <c r="K3220" s="6"/>
      <c r="L3220" s="6"/>
      <c r="M3220" s="6"/>
      <c r="N3220" s="6"/>
      <c r="O3220" s="6"/>
      <c r="P3220" s="6"/>
      <c r="Q3220" s="6"/>
      <c r="R3220" s="6"/>
      <c r="S3220" s="6"/>
      <c r="T3220" s="6"/>
      <c r="U3220" s="6"/>
      <c r="V3220" s="6"/>
      <c r="W3220" s="6"/>
      <c r="X3220" s="6"/>
      <c r="Y3220" s="6"/>
      <c r="Z3220" s="6"/>
    </row>
    <row r="3221" customFormat="false" ht="15" hidden="false" customHeight="false" outlineLevel="0" collapsed="false">
      <c r="A3221" s="9" t="s">
        <v>9064</v>
      </c>
      <c r="B3221" s="9" t="s">
        <v>5870</v>
      </c>
      <c r="C3221" s="9" t="s">
        <v>3475</v>
      </c>
      <c r="D3221" s="9" t="s">
        <v>5871</v>
      </c>
      <c r="E3221" s="9" t="str">
        <f aca="false">IF(AND('Formation Ledger'!A3200&lt;&gt;"",'Formation Ledger'!V3200=0),"PASS","FAIL")</f>
        <v>PASS</v>
      </c>
      <c r="F3221" s="9" t="s">
        <v>76</v>
      </c>
      <c r="G3221" s="6"/>
      <c r="H3221" s="6"/>
      <c r="I3221" s="6"/>
      <c r="J3221" s="6"/>
      <c r="K3221" s="6"/>
      <c r="L3221" s="6"/>
      <c r="M3221" s="6"/>
      <c r="N3221" s="6"/>
      <c r="O3221" s="6"/>
      <c r="P3221" s="6"/>
      <c r="Q3221" s="6"/>
      <c r="R3221" s="6"/>
      <c r="S3221" s="6"/>
      <c r="T3221" s="6"/>
      <c r="U3221" s="6"/>
      <c r="V3221" s="6"/>
      <c r="W3221" s="6"/>
      <c r="X3221" s="6"/>
      <c r="Y3221" s="6"/>
      <c r="Z3221" s="6"/>
    </row>
    <row r="3222" customFormat="false" ht="15" hidden="false" customHeight="false" outlineLevel="0" collapsed="false">
      <c r="A3222" s="9" t="s">
        <v>9065</v>
      </c>
      <c r="B3222" s="9" t="s">
        <v>5870</v>
      </c>
      <c r="C3222" s="9" t="s">
        <v>3476</v>
      </c>
      <c r="D3222" s="9" t="s">
        <v>5871</v>
      </c>
      <c r="E3222" s="9" t="str">
        <f aca="false">IF(AND('Formation Ledger'!A3201&lt;&gt;"",'Formation Ledger'!V3201=0),"PASS","FAIL")</f>
        <v>PASS</v>
      </c>
      <c r="F3222" s="9" t="s">
        <v>76</v>
      </c>
      <c r="G3222" s="6"/>
      <c r="H3222" s="6"/>
      <c r="I3222" s="6"/>
      <c r="J3222" s="6"/>
      <c r="K3222" s="6"/>
      <c r="L3222" s="6"/>
      <c r="M3222" s="6"/>
      <c r="N3222" s="6"/>
      <c r="O3222" s="6"/>
      <c r="P3222" s="6"/>
      <c r="Q3222" s="6"/>
      <c r="R3222" s="6"/>
      <c r="S3222" s="6"/>
      <c r="T3222" s="6"/>
      <c r="U3222" s="6"/>
      <c r="V3222" s="6"/>
      <c r="W3222" s="6"/>
      <c r="X3222" s="6"/>
      <c r="Y3222" s="6"/>
      <c r="Z3222" s="6"/>
    </row>
    <row r="3223" customFormat="false" ht="15" hidden="false" customHeight="false" outlineLevel="0" collapsed="false">
      <c r="A3223" s="9" t="s">
        <v>9066</v>
      </c>
      <c r="B3223" s="9" t="s">
        <v>5870</v>
      </c>
      <c r="C3223" s="9" t="s">
        <v>3477</v>
      </c>
      <c r="D3223" s="9" t="s">
        <v>5871</v>
      </c>
      <c r="E3223" s="9" t="str">
        <f aca="false">IF(AND('Formation Ledger'!A3202&lt;&gt;"",'Formation Ledger'!V3202=0),"PASS","FAIL")</f>
        <v>PASS</v>
      </c>
      <c r="F3223" s="9" t="s">
        <v>76</v>
      </c>
      <c r="G3223" s="6"/>
      <c r="H3223" s="6"/>
      <c r="I3223" s="6"/>
      <c r="J3223" s="6"/>
      <c r="K3223" s="6"/>
      <c r="L3223" s="6"/>
      <c r="M3223" s="6"/>
      <c r="N3223" s="6"/>
      <c r="O3223" s="6"/>
      <c r="P3223" s="6"/>
      <c r="Q3223" s="6"/>
      <c r="R3223" s="6"/>
      <c r="S3223" s="6"/>
      <c r="T3223" s="6"/>
      <c r="U3223" s="6"/>
      <c r="V3223" s="6"/>
      <c r="W3223" s="6"/>
      <c r="X3223" s="6"/>
      <c r="Y3223" s="6"/>
      <c r="Z3223" s="6"/>
    </row>
    <row r="3224" customFormat="false" ht="15" hidden="false" customHeight="false" outlineLevel="0" collapsed="false">
      <c r="A3224" s="9" t="s">
        <v>9067</v>
      </c>
      <c r="B3224" s="9" t="s">
        <v>5870</v>
      </c>
      <c r="C3224" s="9" t="s">
        <v>3478</v>
      </c>
      <c r="D3224" s="9" t="s">
        <v>5871</v>
      </c>
      <c r="E3224" s="9" t="str">
        <f aca="false">IF(AND('Formation Ledger'!A3203&lt;&gt;"",'Formation Ledger'!V3203=0),"PASS","FAIL")</f>
        <v>PASS</v>
      </c>
      <c r="F3224" s="9" t="s">
        <v>76</v>
      </c>
      <c r="G3224" s="6"/>
      <c r="H3224" s="6"/>
      <c r="I3224" s="6"/>
      <c r="J3224" s="6"/>
      <c r="K3224" s="6"/>
      <c r="L3224" s="6"/>
      <c r="M3224" s="6"/>
      <c r="N3224" s="6"/>
      <c r="O3224" s="6"/>
      <c r="P3224" s="6"/>
      <c r="Q3224" s="6"/>
      <c r="R3224" s="6"/>
      <c r="S3224" s="6"/>
      <c r="T3224" s="6"/>
      <c r="U3224" s="6"/>
      <c r="V3224" s="6"/>
      <c r="W3224" s="6"/>
      <c r="X3224" s="6"/>
      <c r="Y3224" s="6"/>
      <c r="Z3224" s="6"/>
    </row>
    <row r="3225" customFormat="false" ht="15" hidden="false" customHeight="false" outlineLevel="0" collapsed="false">
      <c r="A3225" s="9" t="s">
        <v>9068</v>
      </c>
      <c r="B3225" s="9" t="s">
        <v>5870</v>
      </c>
      <c r="C3225" s="9" t="s">
        <v>3479</v>
      </c>
      <c r="D3225" s="9" t="s">
        <v>5871</v>
      </c>
      <c r="E3225" s="9" t="str">
        <f aca="false">IF(AND('Formation Ledger'!A3204&lt;&gt;"",'Formation Ledger'!V3204=0),"PASS","FAIL")</f>
        <v>PASS</v>
      </c>
      <c r="F3225" s="9" t="s">
        <v>76</v>
      </c>
      <c r="G3225" s="6"/>
      <c r="H3225" s="6"/>
      <c r="I3225" s="6"/>
      <c r="J3225" s="6"/>
      <c r="K3225" s="6"/>
      <c r="L3225" s="6"/>
      <c r="M3225" s="6"/>
      <c r="N3225" s="6"/>
      <c r="O3225" s="6"/>
      <c r="P3225" s="6"/>
      <c r="Q3225" s="6"/>
      <c r="R3225" s="6"/>
      <c r="S3225" s="6"/>
      <c r="T3225" s="6"/>
      <c r="U3225" s="6"/>
      <c r="V3225" s="6"/>
      <c r="W3225" s="6"/>
      <c r="X3225" s="6"/>
      <c r="Y3225" s="6"/>
      <c r="Z3225" s="6"/>
    </row>
    <row r="3226" customFormat="false" ht="15" hidden="false" customHeight="false" outlineLevel="0" collapsed="false">
      <c r="A3226" s="9" t="s">
        <v>9069</v>
      </c>
      <c r="B3226" s="9" t="s">
        <v>5870</v>
      </c>
      <c r="C3226" s="9" t="s">
        <v>3480</v>
      </c>
      <c r="D3226" s="9" t="s">
        <v>5871</v>
      </c>
      <c r="E3226" s="9" t="str">
        <f aca="false">IF(AND('Formation Ledger'!A3205&lt;&gt;"",'Formation Ledger'!V3205=0),"PASS","FAIL")</f>
        <v>PASS</v>
      </c>
      <c r="F3226" s="9" t="s">
        <v>76</v>
      </c>
      <c r="G3226" s="6"/>
      <c r="H3226" s="6"/>
      <c r="I3226" s="6"/>
      <c r="J3226" s="6"/>
      <c r="K3226" s="6"/>
      <c r="L3226" s="6"/>
      <c r="M3226" s="6"/>
      <c r="N3226" s="6"/>
      <c r="O3226" s="6"/>
      <c r="P3226" s="6"/>
      <c r="Q3226" s="6"/>
      <c r="R3226" s="6"/>
      <c r="S3226" s="6"/>
      <c r="T3226" s="6"/>
      <c r="U3226" s="6"/>
      <c r="V3226" s="6"/>
      <c r="W3226" s="6"/>
      <c r="X3226" s="6"/>
      <c r="Y3226" s="6"/>
      <c r="Z3226" s="6"/>
    </row>
    <row r="3227" customFormat="false" ht="15" hidden="false" customHeight="false" outlineLevel="0" collapsed="false">
      <c r="A3227" s="9" t="s">
        <v>9070</v>
      </c>
      <c r="B3227" s="9" t="s">
        <v>5870</v>
      </c>
      <c r="C3227" s="9" t="s">
        <v>3481</v>
      </c>
      <c r="D3227" s="9" t="s">
        <v>5871</v>
      </c>
      <c r="E3227" s="9" t="str">
        <f aca="false">IF(AND('Formation Ledger'!A3206&lt;&gt;"",'Formation Ledger'!V3206=0),"PASS","FAIL")</f>
        <v>PASS</v>
      </c>
      <c r="F3227" s="9" t="s">
        <v>76</v>
      </c>
      <c r="G3227" s="6"/>
      <c r="H3227" s="6"/>
      <c r="I3227" s="6"/>
      <c r="J3227" s="6"/>
      <c r="K3227" s="6"/>
      <c r="L3227" s="6"/>
      <c r="M3227" s="6"/>
      <c r="N3227" s="6"/>
      <c r="O3227" s="6"/>
      <c r="P3227" s="6"/>
      <c r="Q3227" s="6"/>
      <c r="R3227" s="6"/>
      <c r="S3227" s="6"/>
      <c r="T3227" s="6"/>
      <c r="U3227" s="6"/>
      <c r="V3227" s="6"/>
      <c r="W3227" s="6"/>
      <c r="X3227" s="6"/>
      <c r="Y3227" s="6"/>
      <c r="Z3227" s="6"/>
    </row>
    <row r="3228" customFormat="false" ht="15" hidden="false" customHeight="false" outlineLevel="0" collapsed="false">
      <c r="A3228" s="9" t="s">
        <v>9071</v>
      </c>
      <c r="B3228" s="9" t="s">
        <v>5870</v>
      </c>
      <c r="C3228" s="9" t="s">
        <v>3482</v>
      </c>
      <c r="D3228" s="9" t="s">
        <v>5871</v>
      </c>
      <c r="E3228" s="9" t="str">
        <f aca="false">IF(AND('Formation Ledger'!A3207&lt;&gt;"",'Formation Ledger'!V3207=0),"PASS","FAIL")</f>
        <v>PASS</v>
      </c>
      <c r="F3228" s="9" t="s">
        <v>76</v>
      </c>
      <c r="G3228" s="6"/>
      <c r="H3228" s="6"/>
      <c r="I3228" s="6"/>
      <c r="J3228" s="6"/>
      <c r="K3228" s="6"/>
      <c r="L3228" s="6"/>
      <c r="M3228" s="6"/>
      <c r="N3228" s="6"/>
      <c r="O3228" s="6"/>
      <c r="P3228" s="6"/>
      <c r="Q3228" s="6"/>
      <c r="R3228" s="6"/>
      <c r="S3228" s="6"/>
      <c r="T3228" s="6"/>
      <c r="U3228" s="6"/>
      <c r="V3228" s="6"/>
      <c r="W3228" s="6"/>
      <c r="X3228" s="6"/>
      <c r="Y3228" s="6"/>
      <c r="Z3228" s="6"/>
    </row>
    <row r="3229" customFormat="false" ht="15" hidden="false" customHeight="false" outlineLevel="0" collapsed="false">
      <c r="A3229" s="9" t="s">
        <v>9072</v>
      </c>
      <c r="B3229" s="9" t="s">
        <v>5870</v>
      </c>
      <c r="C3229" s="9" t="s">
        <v>3483</v>
      </c>
      <c r="D3229" s="9" t="s">
        <v>5871</v>
      </c>
      <c r="E3229" s="9" t="str">
        <f aca="false">IF(AND('Formation Ledger'!A3208&lt;&gt;"",'Formation Ledger'!V3208=0),"PASS","FAIL")</f>
        <v>PASS</v>
      </c>
      <c r="F3229" s="9" t="s">
        <v>76</v>
      </c>
      <c r="G3229" s="6"/>
      <c r="H3229" s="6"/>
      <c r="I3229" s="6"/>
      <c r="J3229" s="6"/>
      <c r="K3229" s="6"/>
      <c r="L3229" s="6"/>
      <c r="M3229" s="6"/>
      <c r="N3229" s="6"/>
      <c r="O3229" s="6"/>
      <c r="P3229" s="6"/>
      <c r="Q3229" s="6"/>
      <c r="R3229" s="6"/>
      <c r="S3229" s="6"/>
      <c r="T3229" s="6"/>
      <c r="U3229" s="6"/>
      <c r="V3229" s="6"/>
      <c r="W3229" s="6"/>
      <c r="X3229" s="6"/>
      <c r="Y3229" s="6"/>
      <c r="Z3229" s="6"/>
    </row>
    <row r="3230" customFormat="false" ht="15" hidden="false" customHeight="false" outlineLevel="0" collapsed="false">
      <c r="A3230" s="9" t="s">
        <v>9073</v>
      </c>
      <c r="B3230" s="9" t="s">
        <v>5870</v>
      </c>
      <c r="C3230" s="9" t="s">
        <v>3484</v>
      </c>
      <c r="D3230" s="9" t="s">
        <v>5871</v>
      </c>
      <c r="E3230" s="9" t="str">
        <f aca="false">IF(AND('Formation Ledger'!A3209&lt;&gt;"",'Formation Ledger'!V3209=0),"PASS","FAIL")</f>
        <v>PASS</v>
      </c>
      <c r="F3230" s="9" t="s">
        <v>76</v>
      </c>
      <c r="G3230" s="6"/>
      <c r="H3230" s="6"/>
      <c r="I3230" s="6"/>
      <c r="J3230" s="6"/>
      <c r="K3230" s="6"/>
      <c r="L3230" s="6"/>
      <c r="M3230" s="6"/>
      <c r="N3230" s="6"/>
      <c r="O3230" s="6"/>
      <c r="P3230" s="6"/>
      <c r="Q3230" s="6"/>
      <c r="R3230" s="6"/>
      <c r="S3230" s="6"/>
      <c r="T3230" s="6"/>
      <c r="U3230" s="6"/>
      <c r="V3230" s="6"/>
      <c r="W3230" s="6"/>
      <c r="X3230" s="6"/>
      <c r="Y3230" s="6"/>
      <c r="Z3230" s="6"/>
    </row>
    <row r="3231" customFormat="false" ht="15" hidden="false" customHeight="false" outlineLevel="0" collapsed="false">
      <c r="A3231" s="9" t="s">
        <v>9074</v>
      </c>
      <c r="B3231" s="9" t="s">
        <v>5870</v>
      </c>
      <c r="C3231" s="9" t="s">
        <v>3485</v>
      </c>
      <c r="D3231" s="9" t="s">
        <v>5871</v>
      </c>
      <c r="E3231" s="9" t="str">
        <f aca="false">IF(AND('Formation Ledger'!A3210&lt;&gt;"",'Formation Ledger'!V3210=0),"PASS","FAIL")</f>
        <v>PASS</v>
      </c>
      <c r="F3231" s="9" t="s">
        <v>76</v>
      </c>
      <c r="G3231" s="6"/>
      <c r="H3231" s="6"/>
      <c r="I3231" s="6"/>
      <c r="J3231" s="6"/>
      <c r="K3231" s="6"/>
      <c r="L3231" s="6"/>
      <c r="M3231" s="6"/>
      <c r="N3231" s="6"/>
      <c r="O3231" s="6"/>
      <c r="P3231" s="6"/>
      <c r="Q3231" s="6"/>
      <c r="R3231" s="6"/>
      <c r="S3231" s="6"/>
      <c r="T3231" s="6"/>
      <c r="U3231" s="6"/>
      <c r="V3231" s="6"/>
      <c r="W3231" s="6"/>
      <c r="X3231" s="6"/>
      <c r="Y3231" s="6"/>
      <c r="Z3231" s="6"/>
    </row>
    <row r="3232" customFormat="false" ht="15" hidden="false" customHeight="false" outlineLevel="0" collapsed="false">
      <c r="A3232" s="9" t="s">
        <v>9075</v>
      </c>
      <c r="B3232" s="9" t="s">
        <v>5870</v>
      </c>
      <c r="C3232" s="9" t="s">
        <v>3486</v>
      </c>
      <c r="D3232" s="9" t="s">
        <v>5871</v>
      </c>
      <c r="E3232" s="9" t="str">
        <f aca="false">IF(AND('Formation Ledger'!A3211&lt;&gt;"",'Formation Ledger'!V3211=0),"PASS","FAIL")</f>
        <v>PASS</v>
      </c>
      <c r="F3232" s="9" t="s">
        <v>76</v>
      </c>
      <c r="G3232" s="6"/>
      <c r="H3232" s="6"/>
      <c r="I3232" s="6"/>
      <c r="J3232" s="6"/>
      <c r="K3232" s="6"/>
      <c r="L3232" s="6"/>
      <c r="M3232" s="6"/>
      <c r="N3232" s="6"/>
      <c r="O3232" s="6"/>
      <c r="P3232" s="6"/>
      <c r="Q3232" s="6"/>
      <c r="R3232" s="6"/>
      <c r="S3232" s="6"/>
      <c r="T3232" s="6"/>
      <c r="U3232" s="6"/>
      <c r="V3232" s="6"/>
      <c r="W3232" s="6"/>
      <c r="X3232" s="6"/>
      <c r="Y3232" s="6"/>
      <c r="Z3232" s="6"/>
    </row>
    <row r="3233" customFormat="false" ht="15" hidden="false" customHeight="false" outlineLevel="0" collapsed="false">
      <c r="A3233" s="9" t="s">
        <v>9076</v>
      </c>
      <c r="B3233" s="9" t="s">
        <v>5870</v>
      </c>
      <c r="C3233" s="9" t="s">
        <v>3487</v>
      </c>
      <c r="D3233" s="9" t="s">
        <v>5871</v>
      </c>
      <c r="E3233" s="9" t="str">
        <f aca="false">IF(AND('Formation Ledger'!A3212&lt;&gt;"",'Formation Ledger'!V3212=0),"PASS","FAIL")</f>
        <v>PASS</v>
      </c>
      <c r="F3233" s="9" t="s">
        <v>76</v>
      </c>
      <c r="G3233" s="6"/>
      <c r="H3233" s="6"/>
      <c r="I3233" s="6"/>
      <c r="J3233" s="6"/>
      <c r="K3233" s="6"/>
      <c r="L3233" s="6"/>
      <c r="M3233" s="6"/>
      <c r="N3233" s="6"/>
      <c r="O3233" s="6"/>
      <c r="P3233" s="6"/>
      <c r="Q3233" s="6"/>
      <c r="R3233" s="6"/>
      <c r="S3233" s="6"/>
      <c r="T3233" s="6"/>
      <c r="U3233" s="6"/>
      <c r="V3233" s="6"/>
      <c r="W3233" s="6"/>
      <c r="X3233" s="6"/>
      <c r="Y3233" s="6"/>
      <c r="Z3233" s="6"/>
    </row>
    <row r="3234" customFormat="false" ht="15" hidden="false" customHeight="false" outlineLevel="0" collapsed="false">
      <c r="A3234" s="9" t="s">
        <v>9077</v>
      </c>
      <c r="B3234" s="9" t="s">
        <v>5870</v>
      </c>
      <c r="C3234" s="9" t="s">
        <v>3488</v>
      </c>
      <c r="D3234" s="9" t="s">
        <v>5871</v>
      </c>
      <c r="E3234" s="9" t="str">
        <f aca="false">IF(AND('Formation Ledger'!A3213&lt;&gt;"",'Formation Ledger'!V3213=0),"PASS","FAIL")</f>
        <v>PASS</v>
      </c>
      <c r="F3234" s="9" t="s">
        <v>76</v>
      </c>
      <c r="G3234" s="6"/>
      <c r="H3234" s="6"/>
      <c r="I3234" s="6"/>
      <c r="J3234" s="6"/>
      <c r="K3234" s="6"/>
      <c r="L3234" s="6"/>
      <c r="M3234" s="6"/>
      <c r="N3234" s="6"/>
      <c r="O3234" s="6"/>
      <c r="P3234" s="6"/>
      <c r="Q3234" s="6"/>
      <c r="R3234" s="6"/>
      <c r="S3234" s="6"/>
      <c r="T3234" s="6"/>
      <c r="U3234" s="6"/>
      <c r="V3234" s="6"/>
      <c r="W3234" s="6"/>
      <c r="X3234" s="6"/>
      <c r="Y3234" s="6"/>
      <c r="Z3234" s="6"/>
    </row>
    <row r="3235" customFormat="false" ht="15" hidden="false" customHeight="false" outlineLevel="0" collapsed="false">
      <c r="A3235" s="9" t="s">
        <v>9078</v>
      </c>
      <c r="B3235" s="9" t="s">
        <v>5870</v>
      </c>
      <c r="C3235" s="9" t="s">
        <v>3489</v>
      </c>
      <c r="D3235" s="9" t="s">
        <v>5871</v>
      </c>
      <c r="E3235" s="9" t="str">
        <f aca="false">IF(AND('Formation Ledger'!A3214&lt;&gt;"",'Formation Ledger'!V3214=0),"PASS","FAIL")</f>
        <v>PASS</v>
      </c>
      <c r="F3235" s="9" t="s">
        <v>76</v>
      </c>
      <c r="G3235" s="6"/>
      <c r="H3235" s="6"/>
      <c r="I3235" s="6"/>
      <c r="J3235" s="6"/>
      <c r="K3235" s="6"/>
      <c r="L3235" s="6"/>
      <c r="M3235" s="6"/>
      <c r="N3235" s="6"/>
      <c r="O3235" s="6"/>
      <c r="P3235" s="6"/>
      <c r="Q3235" s="6"/>
      <c r="R3235" s="6"/>
      <c r="S3235" s="6"/>
      <c r="T3235" s="6"/>
      <c r="U3235" s="6"/>
      <c r="V3235" s="6"/>
      <c r="W3235" s="6"/>
      <c r="X3235" s="6"/>
      <c r="Y3235" s="6"/>
      <c r="Z3235" s="6"/>
    </row>
    <row r="3236" customFormat="false" ht="15" hidden="false" customHeight="false" outlineLevel="0" collapsed="false">
      <c r="A3236" s="9" t="s">
        <v>9079</v>
      </c>
      <c r="B3236" s="9" t="s">
        <v>5870</v>
      </c>
      <c r="C3236" s="9" t="s">
        <v>3490</v>
      </c>
      <c r="D3236" s="9" t="s">
        <v>5871</v>
      </c>
      <c r="E3236" s="9" t="str">
        <f aca="false">IF(AND('Formation Ledger'!A3215&lt;&gt;"",'Formation Ledger'!V3215=0),"PASS","FAIL")</f>
        <v>PASS</v>
      </c>
      <c r="F3236" s="9" t="s">
        <v>76</v>
      </c>
      <c r="G3236" s="6"/>
      <c r="H3236" s="6"/>
      <c r="I3236" s="6"/>
      <c r="J3236" s="6"/>
      <c r="K3236" s="6"/>
      <c r="L3236" s="6"/>
      <c r="M3236" s="6"/>
      <c r="N3236" s="6"/>
      <c r="O3236" s="6"/>
      <c r="P3236" s="6"/>
      <c r="Q3236" s="6"/>
      <c r="R3236" s="6"/>
      <c r="S3236" s="6"/>
      <c r="T3236" s="6"/>
      <c r="U3236" s="6"/>
      <c r="V3236" s="6"/>
      <c r="W3236" s="6"/>
      <c r="X3236" s="6"/>
      <c r="Y3236" s="6"/>
      <c r="Z3236" s="6"/>
    </row>
    <row r="3237" customFormat="false" ht="15" hidden="false" customHeight="false" outlineLevel="0" collapsed="false">
      <c r="A3237" s="9" t="s">
        <v>9080</v>
      </c>
      <c r="B3237" s="9" t="s">
        <v>5870</v>
      </c>
      <c r="C3237" s="9" t="s">
        <v>3491</v>
      </c>
      <c r="D3237" s="9" t="s">
        <v>5871</v>
      </c>
      <c r="E3237" s="9" t="str">
        <f aca="false">IF(AND('Formation Ledger'!A3216&lt;&gt;"",'Formation Ledger'!V3216=0),"PASS","FAIL")</f>
        <v>PASS</v>
      </c>
      <c r="F3237" s="9" t="s">
        <v>76</v>
      </c>
      <c r="G3237" s="6"/>
      <c r="H3237" s="6"/>
      <c r="I3237" s="6"/>
      <c r="J3237" s="6"/>
      <c r="K3237" s="6"/>
      <c r="L3237" s="6"/>
      <c r="M3237" s="6"/>
      <c r="N3237" s="6"/>
      <c r="O3237" s="6"/>
      <c r="P3237" s="6"/>
      <c r="Q3237" s="6"/>
      <c r="R3237" s="6"/>
      <c r="S3237" s="6"/>
      <c r="T3237" s="6"/>
      <c r="U3237" s="6"/>
      <c r="V3237" s="6"/>
      <c r="W3237" s="6"/>
      <c r="X3237" s="6"/>
      <c r="Y3237" s="6"/>
      <c r="Z3237" s="6"/>
    </row>
    <row r="3238" customFormat="false" ht="15" hidden="false" customHeight="false" outlineLevel="0" collapsed="false">
      <c r="A3238" s="9" t="s">
        <v>9081</v>
      </c>
      <c r="B3238" s="9" t="s">
        <v>5870</v>
      </c>
      <c r="C3238" s="9" t="s">
        <v>3492</v>
      </c>
      <c r="D3238" s="9" t="s">
        <v>5871</v>
      </c>
      <c r="E3238" s="9" t="str">
        <f aca="false">IF(AND('Formation Ledger'!A3217&lt;&gt;"",'Formation Ledger'!V3217=0),"PASS","FAIL")</f>
        <v>PASS</v>
      </c>
      <c r="F3238" s="9" t="s">
        <v>76</v>
      </c>
      <c r="G3238" s="6"/>
      <c r="H3238" s="6"/>
      <c r="I3238" s="6"/>
      <c r="J3238" s="6"/>
      <c r="K3238" s="6"/>
      <c r="L3238" s="6"/>
      <c r="M3238" s="6"/>
      <c r="N3238" s="6"/>
      <c r="O3238" s="6"/>
      <c r="P3238" s="6"/>
      <c r="Q3238" s="6"/>
      <c r="R3238" s="6"/>
      <c r="S3238" s="6"/>
      <c r="T3238" s="6"/>
      <c r="U3238" s="6"/>
      <c r="V3238" s="6"/>
      <c r="W3238" s="6"/>
      <c r="X3238" s="6"/>
      <c r="Y3238" s="6"/>
      <c r="Z3238" s="6"/>
    </row>
    <row r="3239" customFormat="false" ht="15" hidden="false" customHeight="false" outlineLevel="0" collapsed="false">
      <c r="A3239" s="9" t="s">
        <v>9082</v>
      </c>
      <c r="B3239" s="9" t="s">
        <v>5870</v>
      </c>
      <c r="C3239" s="9" t="s">
        <v>3493</v>
      </c>
      <c r="D3239" s="9" t="s">
        <v>5871</v>
      </c>
      <c r="E3239" s="9" t="str">
        <f aca="false">IF(AND('Formation Ledger'!A3218&lt;&gt;"",'Formation Ledger'!V3218=0),"PASS","FAIL")</f>
        <v>PASS</v>
      </c>
      <c r="F3239" s="9" t="s">
        <v>76</v>
      </c>
      <c r="G3239" s="6"/>
      <c r="H3239" s="6"/>
      <c r="I3239" s="6"/>
      <c r="J3239" s="6"/>
      <c r="K3239" s="6"/>
      <c r="L3239" s="6"/>
      <c r="M3239" s="6"/>
      <c r="N3239" s="6"/>
      <c r="O3239" s="6"/>
      <c r="P3239" s="6"/>
      <c r="Q3239" s="6"/>
      <c r="R3239" s="6"/>
      <c r="S3239" s="6"/>
      <c r="T3239" s="6"/>
      <c r="U3239" s="6"/>
      <c r="V3239" s="6"/>
      <c r="W3239" s="6"/>
      <c r="X3239" s="6"/>
      <c r="Y3239" s="6"/>
      <c r="Z3239" s="6"/>
    </row>
    <row r="3240" customFormat="false" ht="15" hidden="false" customHeight="false" outlineLevel="0" collapsed="false">
      <c r="A3240" s="9" t="s">
        <v>9083</v>
      </c>
      <c r="B3240" s="9" t="s">
        <v>5870</v>
      </c>
      <c r="C3240" s="9" t="s">
        <v>3494</v>
      </c>
      <c r="D3240" s="9" t="s">
        <v>5871</v>
      </c>
      <c r="E3240" s="9" t="str">
        <f aca="false">IF(AND('Formation Ledger'!A3219&lt;&gt;"",'Formation Ledger'!V3219=0),"PASS","FAIL")</f>
        <v>PASS</v>
      </c>
      <c r="F3240" s="9" t="s">
        <v>76</v>
      </c>
      <c r="G3240" s="6"/>
      <c r="H3240" s="6"/>
      <c r="I3240" s="6"/>
      <c r="J3240" s="6"/>
      <c r="K3240" s="6"/>
      <c r="L3240" s="6"/>
      <c r="M3240" s="6"/>
      <c r="N3240" s="6"/>
      <c r="O3240" s="6"/>
      <c r="P3240" s="6"/>
      <c r="Q3240" s="6"/>
      <c r="R3240" s="6"/>
      <c r="S3240" s="6"/>
      <c r="T3240" s="6"/>
      <c r="U3240" s="6"/>
      <c r="V3240" s="6"/>
      <c r="W3240" s="6"/>
      <c r="X3240" s="6"/>
      <c r="Y3240" s="6"/>
      <c r="Z3240" s="6"/>
    </row>
    <row r="3241" customFormat="false" ht="15" hidden="false" customHeight="false" outlineLevel="0" collapsed="false">
      <c r="A3241" s="9" t="s">
        <v>9084</v>
      </c>
      <c r="B3241" s="9" t="s">
        <v>5870</v>
      </c>
      <c r="C3241" s="9" t="s">
        <v>3495</v>
      </c>
      <c r="D3241" s="9" t="s">
        <v>5871</v>
      </c>
      <c r="E3241" s="9" t="str">
        <f aca="false">IF(AND('Formation Ledger'!A3220&lt;&gt;"",'Formation Ledger'!V3220=0),"PASS","FAIL")</f>
        <v>PASS</v>
      </c>
      <c r="F3241" s="9" t="s">
        <v>76</v>
      </c>
      <c r="G3241" s="6"/>
      <c r="H3241" s="6"/>
      <c r="I3241" s="6"/>
      <c r="J3241" s="6"/>
      <c r="K3241" s="6"/>
      <c r="L3241" s="6"/>
      <c r="M3241" s="6"/>
      <c r="N3241" s="6"/>
      <c r="O3241" s="6"/>
      <c r="P3241" s="6"/>
      <c r="Q3241" s="6"/>
      <c r="R3241" s="6"/>
      <c r="S3241" s="6"/>
      <c r="T3241" s="6"/>
      <c r="U3241" s="6"/>
      <c r="V3241" s="6"/>
      <c r="W3241" s="6"/>
      <c r="X3241" s="6"/>
      <c r="Y3241" s="6"/>
      <c r="Z3241" s="6"/>
    </row>
    <row r="3242" customFormat="false" ht="15" hidden="false" customHeight="false" outlineLevel="0" collapsed="false">
      <c r="A3242" s="9" t="s">
        <v>9085</v>
      </c>
      <c r="B3242" s="9" t="s">
        <v>5870</v>
      </c>
      <c r="C3242" s="9" t="s">
        <v>3496</v>
      </c>
      <c r="D3242" s="9" t="s">
        <v>5871</v>
      </c>
      <c r="E3242" s="9" t="str">
        <f aca="false">IF(AND('Formation Ledger'!A3221&lt;&gt;"",'Formation Ledger'!V3221=0),"PASS","FAIL")</f>
        <v>PASS</v>
      </c>
      <c r="F3242" s="9" t="s">
        <v>76</v>
      </c>
      <c r="G3242" s="6"/>
      <c r="H3242" s="6"/>
      <c r="I3242" s="6"/>
      <c r="J3242" s="6"/>
      <c r="K3242" s="6"/>
      <c r="L3242" s="6"/>
      <c r="M3242" s="6"/>
      <c r="N3242" s="6"/>
      <c r="O3242" s="6"/>
      <c r="P3242" s="6"/>
      <c r="Q3242" s="6"/>
      <c r="R3242" s="6"/>
      <c r="S3242" s="6"/>
      <c r="T3242" s="6"/>
      <c r="U3242" s="6"/>
      <c r="V3242" s="6"/>
      <c r="W3242" s="6"/>
      <c r="X3242" s="6"/>
      <c r="Y3242" s="6"/>
      <c r="Z3242" s="6"/>
    </row>
    <row r="3243" customFormat="false" ht="15" hidden="false" customHeight="false" outlineLevel="0" collapsed="false">
      <c r="A3243" s="9" t="s">
        <v>9086</v>
      </c>
      <c r="B3243" s="9" t="s">
        <v>5870</v>
      </c>
      <c r="C3243" s="9" t="s">
        <v>3497</v>
      </c>
      <c r="D3243" s="9" t="s">
        <v>5871</v>
      </c>
      <c r="E3243" s="9" t="str">
        <f aca="false">IF(AND('Formation Ledger'!A3222&lt;&gt;"",'Formation Ledger'!V3222=0),"PASS","FAIL")</f>
        <v>PASS</v>
      </c>
      <c r="F3243" s="9" t="s">
        <v>76</v>
      </c>
      <c r="G3243" s="6"/>
      <c r="H3243" s="6"/>
      <c r="I3243" s="6"/>
      <c r="J3243" s="6"/>
      <c r="K3243" s="6"/>
      <c r="L3243" s="6"/>
      <c r="M3243" s="6"/>
      <c r="N3243" s="6"/>
      <c r="O3243" s="6"/>
      <c r="P3243" s="6"/>
      <c r="Q3243" s="6"/>
      <c r="R3243" s="6"/>
      <c r="S3243" s="6"/>
      <c r="T3243" s="6"/>
      <c r="U3243" s="6"/>
      <c r="V3243" s="6"/>
      <c r="W3243" s="6"/>
      <c r="X3243" s="6"/>
      <c r="Y3243" s="6"/>
      <c r="Z3243" s="6"/>
    </row>
    <row r="3244" customFormat="false" ht="15" hidden="false" customHeight="false" outlineLevel="0" collapsed="false">
      <c r="A3244" s="9" t="s">
        <v>9087</v>
      </c>
      <c r="B3244" s="9" t="s">
        <v>5870</v>
      </c>
      <c r="C3244" s="9" t="s">
        <v>3498</v>
      </c>
      <c r="D3244" s="9" t="s">
        <v>5871</v>
      </c>
      <c r="E3244" s="9" t="str">
        <f aca="false">IF(AND('Formation Ledger'!A3223&lt;&gt;"",'Formation Ledger'!V3223=0),"PASS","FAIL")</f>
        <v>PASS</v>
      </c>
      <c r="F3244" s="9" t="s">
        <v>76</v>
      </c>
      <c r="G3244" s="6"/>
      <c r="H3244" s="6"/>
      <c r="I3244" s="6"/>
      <c r="J3244" s="6"/>
      <c r="K3244" s="6"/>
      <c r="L3244" s="6"/>
      <c r="M3244" s="6"/>
      <c r="N3244" s="6"/>
      <c r="O3244" s="6"/>
      <c r="P3244" s="6"/>
      <c r="Q3244" s="6"/>
      <c r="R3244" s="6"/>
      <c r="S3244" s="6"/>
      <c r="T3244" s="6"/>
      <c r="U3244" s="6"/>
      <c r="V3244" s="6"/>
      <c r="W3244" s="6"/>
      <c r="X3244" s="6"/>
      <c r="Y3244" s="6"/>
      <c r="Z3244" s="6"/>
    </row>
    <row r="3245" customFormat="false" ht="15" hidden="false" customHeight="false" outlineLevel="0" collapsed="false">
      <c r="A3245" s="9" t="s">
        <v>9088</v>
      </c>
      <c r="B3245" s="9" t="s">
        <v>5870</v>
      </c>
      <c r="C3245" s="9" t="s">
        <v>3499</v>
      </c>
      <c r="D3245" s="9" t="s">
        <v>5871</v>
      </c>
      <c r="E3245" s="9" t="str">
        <f aca="false">IF(AND('Formation Ledger'!A3224&lt;&gt;"",'Formation Ledger'!V3224=0),"PASS","FAIL")</f>
        <v>PASS</v>
      </c>
      <c r="F3245" s="9" t="s">
        <v>76</v>
      </c>
      <c r="G3245" s="6"/>
      <c r="H3245" s="6"/>
      <c r="I3245" s="6"/>
      <c r="J3245" s="6"/>
      <c r="K3245" s="6"/>
      <c r="L3245" s="6"/>
      <c r="M3245" s="6"/>
      <c r="N3245" s="6"/>
      <c r="O3245" s="6"/>
      <c r="P3245" s="6"/>
      <c r="Q3245" s="6"/>
      <c r="R3245" s="6"/>
      <c r="S3245" s="6"/>
      <c r="T3245" s="6"/>
      <c r="U3245" s="6"/>
      <c r="V3245" s="6"/>
      <c r="W3245" s="6"/>
      <c r="X3245" s="6"/>
      <c r="Y3245" s="6"/>
      <c r="Z3245" s="6"/>
    </row>
    <row r="3246" customFormat="false" ht="15" hidden="false" customHeight="false" outlineLevel="0" collapsed="false">
      <c r="A3246" s="9" t="s">
        <v>9089</v>
      </c>
      <c r="B3246" s="9" t="s">
        <v>5870</v>
      </c>
      <c r="C3246" s="9" t="s">
        <v>3500</v>
      </c>
      <c r="D3246" s="9" t="s">
        <v>5871</v>
      </c>
      <c r="E3246" s="9" t="str">
        <f aca="false">IF(AND('Formation Ledger'!A3225&lt;&gt;"",'Formation Ledger'!V3225=0),"PASS","FAIL")</f>
        <v>PASS</v>
      </c>
      <c r="F3246" s="9" t="s">
        <v>76</v>
      </c>
      <c r="G3246" s="6"/>
      <c r="H3246" s="6"/>
      <c r="I3246" s="6"/>
      <c r="J3246" s="6"/>
      <c r="K3246" s="6"/>
      <c r="L3246" s="6"/>
      <c r="M3246" s="6"/>
      <c r="N3246" s="6"/>
      <c r="O3246" s="6"/>
      <c r="P3246" s="6"/>
      <c r="Q3246" s="6"/>
      <c r="R3246" s="6"/>
      <c r="S3246" s="6"/>
      <c r="T3246" s="6"/>
      <c r="U3246" s="6"/>
      <c r="V3246" s="6"/>
      <c r="W3246" s="6"/>
      <c r="X3246" s="6"/>
      <c r="Y3246" s="6"/>
      <c r="Z3246" s="6"/>
    </row>
    <row r="3247" customFormat="false" ht="15" hidden="false" customHeight="false" outlineLevel="0" collapsed="false">
      <c r="A3247" s="9" t="s">
        <v>9090</v>
      </c>
      <c r="B3247" s="9" t="s">
        <v>5870</v>
      </c>
      <c r="C3247" s="9" t="s">
        <v>3501</v>
      </c>
      <c r="D3247" s="9" t="s">
        <v>5871</v>
      </c>
      <c r="E3247" s="9" t="str">
        <f aca="false">IF(AND('Formation Ledger'!A3226&lt;&gt;"",'Formation Ledger'!V3226=0),"PASS","FAIL")</f>
        <v>PASS</v>
      </c>
      <c r="F3247" s="9" t="s">
        <v>76</v>
      </c>
      <c r="G3247" s="6"/>
      <c r="H3247" s="6"/>
      <c r="I3247" s="6"/>
      <c r="J3247" s="6"/>
      <c r="K3247" s="6"/>
      <c r="L3247" s="6"/>
      <c r="M3247" s="6"/>
      <c r="N3247" s="6"/>
      <c r="O3247" s="6"/>
      <c r="P3247" s="6"/>
      <c r="Q3247" s="6"/>
      <c r="R3247" s="6"/>
      <c r="S3247" s="6"/>
      <c r="T3247" s="6"/>
      <c r="U3247" s="6"/>
      <c r="V3247" s="6"/>
      <c r="W3247" s="6"/>
      <c r="X3247" s="6"/>
      <c r="Y3247" s="6"/>
      <c r="Z3247" s="6"/>
    </row>
    <row r="3248" customFormat="false" ht="15" hidden="false" customHeight="false" outlineLevel="0" collapsed="false">
      <c r="A3248" s="9" t="s">
        <v>9091</v>
      </c>
      <c r="B3248" s="9" t="s">
        <v>5870</v>
      </c>
      <c r="C3248" s="9" t="s">
        <v>3502</v>
      </c>
      <c r="D3248" s="9" t="s">
        <v>5871</v>
      </c>
      <c r="E3248" s="9" t="str">
        <f aca="false">IF(AND('Formation Ledger'!A3227&lt;&gt;"",'Formation Ledger'!V3227=0),"PASS","FAIL")</f>
        <v>PASS</v>
      </c>
      <c r="F3248" s="9" t="s">
        <v>76</v>
      </c>
      <c r="G3248" s="6"/>
      <c r="H3248" s="6"/>
      <c r="I3248" s="6"/>
      <c r="J3248" s="6"/>
      <c r="K3248" s="6"/>
      <c r="L3248" s="6"/>
      <c r="M3248" s="6"/>
      <c r="N3248" s="6"/>
      <c r="O3248" s="6"/>
      <c r="P3248" s="6"/>
      <c r="Q3248" s="6"/>
      <c r="R3248" s="6"/>
      <c r="S3248" s="6"/>
      <c r="T3248" s="6"/>
      <c r="U3248" s="6"/>
      <c r="V3248" s="6"/>
      <c r="W3248" s="6"/>
      <c r="X3248" s="6"/>
      <c r="Y3248" s="6"/>
      <c r="Z3248" s="6"/>
    </row>
    <row r="3249" customFormat="false" ht="15" hidden="false" customHeight="false" outlineLevel="0" collapsed="false">
      <c r="A3249" s="9" t="s">
        <v>9092</v>
      </c>
      <c r="B3249" s="9" t="s">
        <v>5870</v>
      </c>
      <c r="C3249" s="9" t="s">
        <v>3503</v>
      </c>
      <c r="D3249" s="9" t="s">
        <v>5871</v>
      </c>
      <c r="E3249" s="9" t="str">
        <f aca="false">IF(AND('Formation Ledger'!A3228&lt;&gt;"",'Formation Ledger'!V3228=0),"PASS","FAIL")</f>
        <v>PASS</v>
      </c>
      <c r="F3249" s="9" t="s">
        <v>76</v>
      </c>
      <c r="G3249" s="6"/>
      <c r="H3249" s="6"/>
      <c r="I3249" s="6"/>
      <c r="J3249" s="6"/>
      <c r="K3249" s="6"/>
      <c r="L3249" s="6"/>
      <c r="M3249" s="6"/>
      <c r="N3249" s="6"/>
      <c r="O3249" s="6"/>
      <c r="P3249" s="6"/>
      <c r="Q3249" s="6"/>
      <c r="R3249" s="6"/>
      <c r="S3249" s="6"/>
      <c r="T3249" s="6"/>
      <c r="U3249" s="6"/>
      <c r="V3249" s="6"/>
      <c r="W3249" s="6"/>
      <c r="X3249" s="6"/>
      <c r="Y3249" s="6"/>
      <c r="Z3249" s="6"/>
    </row>
    <row r="3250" customFormat="false" ht="15" hidden="false" customHeight="false" outlineLevel="0" collapsed="false">
      <c r="A3250" s="9" t="s">
        <v>9093</v>
      </c>
      <c r="B3250" s="9" t="s">
        <v>5870</v>
      </c>
      <c r="C3250" s="9" t="s">
        <v>3504</v>
      </c>
      <c r="D3250" s="9" t="s">
        <v>5871</v>
      </c>
      <c r="E3250" s="9" t="str">
        <f aca="false">IF(AND('Formation Ledger'!A3229&lt;&gt;"",'Formation Ledger'!V3229=0),"PASS","FAIL")</f>
        <v>PASS</v>
      </c>
      <c r="F3250" s="9" t="s">
        <v>76</v>
      </c>
      <c r="G3250" s="6"/>
      <c r="H3250" s="6"/>
      <c r="I3250" s="6"/>
      <c r="J3250" s="6"/>
      <c r="K3250" s="6"/>
      <c r="L3250" s="6"/>
      <c r="M3250" s="6"/>
      <c r="N3250" s="6"/>
      <c r="O3250" s="6"/>
      <c r="P3250" s="6"/>
      <c r="Q3250" s="6"/>
      <c r="R3250" s="6"/>
      <c r="S3250" s="6"/>
      <c r="T3250" s="6"/>
      <c r="U3250" s="6"/>
      <c r="V3250" s="6"/>
      <c r="W3250" s="6"/>
      <c r="X3250" s="6"/>
      <c r="Y3250" s="6"/>
      <c r="Z3250" s="6"/>
    </row>
    <row r="3251" customFormat="false" ht="15" hidden="false" customHeight="false" outlineLevel="0" collapsed="false">
      <c r="A3251" s="9" t="s">
        <v>9094</v>
      </c>
      <c r="B3251" s="9" t="s">
        <v>5870</v>
      </c>
      <c r="C3251" s="9" t="s">
        <v>3505</v>
      </c>
      <c r="D3251" s="9" t="s">
        <v>5871</v>
      </c>
      <c r="E3251" s="9" t="str">
        <f aca="false">IF(AND('Formation Ledger'!A3230&lt;&gt;"",'Formation Ledger'!V3230=0),"PASS","FAIL")</f>
        <v>PASS</v>
      </c>
      <c r="F3251" s="9" t="s">
        <v>76</v>
      </c>
      <c r="G3251" s="6"/>
      <c r="H3251" s="6"/>
      <c r="I3251" s="6"/>
      <c r="J3251" s="6"/>
      <c r="K3251" s="6"/>
      <c r="L3251" s="6"/>
      <c r="M3251" s="6"/>
      <c r="N3251" s="6"/>
      <c r="O3251" s="6"/>
      <c r="P3251" s="6"/>
      <c r="Q3251" s="6"/>
      <c r="R3251" s="6"/>
      <c r="S3251" s="6"/>
      <c r="T3251" s="6"/>
      <c r="U3251" s="6"/>
      <c r="V3251" s="6"/>
      <c r="W3251" s="6"/>
      <c r="X3251" s="6"/>
      <c r="Y3251" s="6"/>
      <c r="Z3251" s="6"/>
    </row>
    <row r="3252" customFormat="false" ht="15" hidden="false" customHeight="false" outlineLevel="0" collapsed="false">
      <c r="A3252" s="9" t="s">
        <v>9095</v>
      </c>
      <c r="B3252" s="9" t="s">
        <v>5870</v>
      </c>
      <c r="C3252" s="9" t="s">
        <v>3506</v>
      </c>
      <c r="D3252" s="9" t="s">
        <v>5871</v>
      </c>
      <c r="E3252" s="9" t="str">
        <f aca="false">IF(AND('Formation Ledger'!A3231&lt;&gt;"",'Formation Ledger'!V3231=0),"PASS","FAIL")</f>
        <v>PASS</v>
      </c>
      <c r="F3252" s="9" t="s">
        <v>76</v>
      </c>
      <c r="G3252" s="6"/>
      <c r="H3252" s="6"/>
      <c r="I3252" s="6"/>
      <c r="J3252" s="6"/>
      <c r="K3252" s="6"/>
      <c r="L3252" s="6"/>
      <c r="M3252" s="6"/>
      <c r="N3252" s="6"/>
      <c r="O3252" s="6"/>
      <c r="P3252" s="6"/>
      <c r="Q3252" s="6"/>
      <c r="R3252" s="6"/>
      <c r="S3252" s="6"/>
      <c r="T3252" s="6"/>
      <c r="U3252" s="6"/>
      <c r="V3252" s="6"/>
      <c r="W3252" s="6"/>
      <c r="X3252" s="6"/>
      <c r="Y3252" s="6"/>
      <c r="Z3252" s="6"/>
    </row>
    <row r="3253" customFormat="false" ht="15" hidden="false" customHeight="false" outlineLevel="0" collapsed="false">
      <c r="A3253" s="9" t="s">
        <v>9096</v>
      </c>
      <c r="B3253" s="9" t="s">
        <v>5870</v>
      </c>
      <c r="C3253" s="9" t="s">
        <v>3507</v>
      </c>
      <c r="D3253" s="9" t="s">
        <v>5871</v>
      </c>
      <c r="E3253" s="9" t="str">
        <f aca="false">IF(AND('Formation Ledger'!A3232&lt;&gt;"",'Formation Ledger'!V3232=0),"PASS","FAIL")</f>
        <v>PASS</v>
      </c>
      <c r="F3253" s="9" t="s">
        <v>76</v>
      </c>
      <c r="G3253" s="6"/>
      <c r="H3253" s="6"/>
      <c r="I3253" s="6"/>
      <c r="J3253" s="6"/>
      <c r="K3253" s="6"/>
      <c r="L3253" s="6"/>
      <c r="M3253" s="6"/>
      <c r="N3253" s="6"/>
      <c r="O3253" s="6"/>
      <c r="P3253" s="6"/>
      <c r="Q3253" s="6"/>
      <c r="R3253" s="6"/>
      <c r="S3253" s="6"/>
      <c r="T3253" s="6"/>
      <c r="U3253" s="6"/>
      <c r="V3253" s="6"/>
      <c r="W3253" s="6"/>
      <c r="X3253" s="6"/>
      <c r="Y3253" s="6"/>
      <c r="Z3253" s="6"/>
    </row>
    <row r="3254" customFormat="false" ht="15" hidden="false" customHeight="false" outlineLevel="0" collapsed="false">
      <c r="A3254" s="9" t="s">
        <v>9097</v>
      </c>
      <c r="B3254" s="9" t="s">
        <v>5870</v>
      </c>
      <c r="C3254" s="9" t="s">
        <v>3508</v>
      </c>
      <c r="D3254" s="9" t="s">
        <v>5871</v>
      </c>
      <c r="E3254" s="9" t="str">
        <f aca="false">IF(AND('Formation Ledger'!A3233&lt;&gt;"",'Formation Ledger'!V3233=0),"PASS","FAIL")</f>
        <v>PASS</v>
      </c>
      <c r="F3254" s="9" t="s">
        <v>76</v>
      </c>
      <c r="G3254" s="6"/>
      <c r="H3254" s="6"/>
      <c r="I3254" s="6"/>
      <c r="J3254" s="6"/>
      <c r="K3254" s="6"/>
      <c r="L3254" s="6"/>
      <c r="M3254" s="6"/>
      <c r="N3254" s="6"/>
      <c r="O3254" s="6"/>
      <c r="P3254" s="6"/>
      <c r="Q3254" s="6"/>
      <c r="R3254" s="6"/>
      <c r="S3254" s="6"/>
      <c r="T3254" s="6"/>
      <c r="U3254" s="6"/>
      <c r="V3254" s="6"/>
      <c r="W3254" s="6"/>
      <c r="X3254" s="6"/>
      <c r="Y3254" s="6"/>
      <c r="Z3254" s="6"/>
    </row>
    <row r="3255" customFormat="false" ht="15" hidden="false" customHeight="false" outlineLevel="0" collapsed="false">
      <c r="A3255" s="9" t="s">
        <v>9098</v>
      </c>
      <c r="B3255" s="9" t="s">
        <v>5870</v>
      </c>
      <c r="C3255" s="9" t="s">
        <v>3509</v>
      </c>
      <c r="D3255" s="9" t="s">
        <v>5871</v>
      </c>
      <c r="E3255" s="9" t="str">
        <f aca="false">IF(AND('Formation Ledger'!A3234&lt;&gt;"",'Formation Ledger'!V3234=0),"PASS","FAIL")</f>
        <v>PASS</v>
      </c>
      <c r="F3255" s="9" t="s">
        <v>76</v>
      </c>
      <c r="G3255" s="6"/>
      <c r="H3255" s="6"/>
      <c r="I3255" s="6"/>
      <c r="J3255" s="6"/>
      <c r="K3255" s="6"/>
      <c r="L3255" s="6"/>
      <c r="M3255" s="6"/>
      <c r="N3255" s="6"/>
      <c r="O3255" s="6"/>
      <c r="P3255" s="6"/>
      <c r="Q3255" s="6"/>
      <c r="R3255" s="6"/>
      <c r="S3255" s="6"/>
      <c r="T3255" s="6"/>
      <c r="U3255" s="6"/>
      <c r="V3255" s="6"/>
      <c r="W3255" s="6"/>
      <c r="X3255" s="6"/>
      <c r="Y3255" s="6"/>
      <c r="Z3255" s="6"/>
    </row>
    <row r="3256" customFormat="false" ht="15" hidden="false" customHeight="false" outlineLevel="0" collapsed="false">
      <c r="A3256" s="9" t="s">
        <v>9099</v>
      </c>
      <c r="B3256" s="9" t="s">
        <v>5870</v>
      </c>
      <c r="C3256" s="9" t="s">
        <v>3510</v>
      </c>
      <c r="D3256" s="9" t="s">
        <v>5871</v>
      </c>
      <c r="E3256" s="9" t="str">
        <f aca="false">IF(AND('Formation Ledger'!A3235&lt;&gt;"",'Formation Ledger'!V3235=0),"PASS","FAIL")</f>
        <v>PASS</v>
      </c>
      <c r="F3256" s="9" t="s">
        <v>76</v>
      </c>
      <c r="G3256" s="6"/>
      <c r="H3256" s="6"/>
      <c r="I3256" s="6"/>
      <c r="J3256" s="6"/>
      <c r="K3256" s="6"/>
      <c r="L3256" s="6"/>
      <c r="M3256" s="6"/>
      <c r="N3256" s="6"/>
      <c r="O3256" s="6"/>
      <c r="P3256" s="6"/>
      <c r="Q3256" s="6"/>
      <c r="R3256" s="6"/>
      <c r="S3256" s="6"/>
      <c r="T3256" s="6"/>
      <c r="U3256" s="6"/>
      <c r="V3256" s="6"/>
      <c r="W3256" s="6"/>
      <c r="X3256" s="6"/>
      <c r="Y3256" s="6"/>
      <c r="Z3256" s="6"/>
    </row>
    <row r="3257" customFormat="false" ht="15" hidden="false" customHeight="false" outlineLevel="0" collapsed="false">
      <c r="A3257" s="9" t="s">
        <v>9100</v>
      </c>
      <c r="B3257" s="9" t="s">
        <v>5870</v>
      </c>
      <c r="C3257" s="9" t="s">
        <v>3511</v>
      </c>
      <c r="D3257" s="9" t="s">
        <v>5871</v>
      </c>
      <c r="E3257" s="9" t="str">
        <f aca="false">IF(AND('Formation Ledger'!A3236&lt;&gt;"",'Formation Ledger'!V3236=0),"PASS","FAIL")</f>
        <v>PASS</v>
      </c>
      <c r="F3257" s="9" t="s">
        <v>76</v>
      </c>
      <c r="G3257" s="6"/>
      <c r="H3257" s="6"/>
      <c r="I3257" s="6"/>
      <c r="J3257" s="6"/>
      <c r="K3257" s="6"/>
      <c r="L3257" s="6"/>
      <c r="M3257" s="6"/>
      <c r="N3257" s="6"/>
      <c r="O3257" s="6"/>
      <c r="P3257" s="6"/>
      <c r="Q3257" s="6"/>
      <c r="R3257" s="6"/>
      <c r="S3257" s="6"/>
      <c r="T3257" s="6"/>
      <c r="U3257" s="6"/>
      <c r="V3257" s="6"/>
      <c r="W3257" s="6"/>
      <c r="X3257" s="6"/>
      <c r="Y3257" s="6"/>
      <c r="Z3257" s="6"/>
    </row>
    <row r="3258" customFormat="false" ht="15" hidden="false" customHeight="false" outlineLevel="0" collapsed="false">
      <c r="A3258" s="9" t="s">
        <v>9101</v>
      </c>
      <c r="B3258" s="9" t="s">
        <v>5870</v>
      </c>
      <c r="C3258" s="9" t="s">
        <v>3512</v>
      </c>
      <c r="D3258" s="9" t="s">
        <v>5871</v>
      </c>
      <c r="E3258" s="9" t="str">
        <f aca="false">IF(AND('Formation Ledger'!A3237&lt;&gt;"",'Formation Ledger'!V3237=0),"PASS","FAIL")</f>
        <v>PASS</v>
      </c>
      <c r="F3258" s="9" t="s">
        <v>76</v>
      </c>
      <c r="G3258" s="6"/>
      <c r="H3258" s="6"/>
      <c r="I3258" s="6"/>
      <c r="J3258" s="6"/>
      <c r="K3258" s="6"/>
      <c r="L3258" s="6"/>
      <c r="M3258" s="6"/>
      <c r="N3258" s="6"/>
      <c r="O3258" s="6"/>
      <c r="P3258" s="6"/>
      <c r="Q3258" s="6"/>
      <c r="R3258" s="6"/>
      <c r="S3258" s="6"/>
      <c r="T3258" s="6"/>
      <c r="U3258" s="6"/>
      <c r="V3258" s="6"/>
      <c r="W3258" s="6"/>
      <c r="X3258" s="6"/>
      <c r="Y3258" s="6"/>
      <c r="Z3258" s="6"/>
    </row>
    <row r="3259" customFormat="false" ht="15" hidden="false" customHeight="false" outlineLevel="0" collapsed="false">
      <c r="A3259" s="9" t="s">
        <v>9102</v>
      </c>
      <c r="B3259" s="9" t="s">
        <v>5870</v>
      </c>
      <c r="C3259" s="9" t="s">
        <v>3513</v>
      </c>
      <c r="D3259" s="9" t="s">
        <v>5871</v>
      </c>
      <c r="E3259" s="9" t="str">
        <f aca="false">IF(AND('Formation Ledger'!A3238&lt;&gt;"",'Formation Ledger'!V3238=0),"PASS","FAIL")</f>
        <v>PASS</v>
      </c>
      <c r="F3259" s="9" t="s">
        <v>76</v>
      </c>
      <c r="G3259" s="6"/>
      <c r="H3259" s="6"/>
      <c r="I3259" s="6"/>
      <c r="J3259" s="6"/>
      <c r="K3259" s="6"/>
      <c r="L3259" s="6"/>
      <c r="M3259" s="6"/>
      <c r="N3259" s="6"/>
      <c r="O3259" s="6"/>
      <c r="P3259" s="6"/>
      <c r="Q3259" s="6"/>
      <c r="R3259" s="6"/>
      <c r="S3259" s="6"/>
      <c r="T3259" s="6"/>
      <c r="U3259" s="6"/>
      <c r="V3259" s="6"/>
      <c r="W3259" s="6"/>
      <c r="X3259" s="6"/>
      <c r="Y3259" s="6"/>
      <c r="Z3259" s="6"/>
    </row>
    <row r="3260" customFormat="false" ht="15" hidden="false" customHeight="false" outlineLevel="0" collapsed="false">
      <c r="A3260" s="9" t="s">
        <v>9103</v>
      </c>
      <c r="B3260" s="9" t="s">
        <v>5870</v>
      </c>
      <c r="C3260" s="9" t="s">
        <v>3514</v>
      </c>
      <c r="D3260" s="9" t="s">
        <v>5871</v>
      </c>
      <c r="E3260" s="9" t="str">
        <f aca="false">IF(AND('Formation Ledger'!A3239&lt;&gt;"",'Formation Ledger'!V3239=0),"PASS","FAIL")</f>
        <v>PASS</v>
      </c>
      <c r="F3260" s="9" t="s">
        <v>76</v>
      </c>
      <c r="G3260" s="6"/>
      <c r="H3260" s="6"/>
      <c r="I3260" s="6"/>
      <c r="J3260" s="6"/>
      <c r="K3260" s="6"/>
      <c r="L3260" s="6"/>
      <c r="M3260" s="6"/>
      <c r="N3260" s="6"/>
      <c r="O3260" s="6"/>
      <c r="P3260" s="6"/>
      <c r="Q3260" s="6"/>
      <c r="R3260" s="6"/>
      <c r="S3260" s="6"/>
      <c r="T3260" s="6"/>
      <c r="U3260" s="6"/>
      <c r="V3260" s="6"/>
      <c r="W3260" s="6"/>
      <c r="X3260" s="6"/>
      <c r="Y3260" s="6"/>
      <c r="Z3260" s="6"/>
    </row>
    <row r="3261" customFormat="false" ht="15" hidden="false" customHeight="false" outlineLevel="0" collapsed="false">
      <c r="A3261" s="9" t="s">
        <v>9104</v>
      </c>
      <c r="B3261" s="9" t="s">
        <v>5870</v>
      </c>
      <c r="C3261" s="9" t="s">
        <v>3515</v>
      </c>
      <c r="D3261" s="9" t="s">
        <v>5871</v>
      </c>
      <c r="E3261" s="9" t="str">
        <f aca="false">IF(AND('Formation Ledger'!A3240&lt;&gt;"",'Formation Ledger'!V3240=0),"PASS","FAIL")</f>
        <v>PASS</v>
      </c>
      <c r="F3261" s="9" t="s">
        <v>76</v>
      </c>
      <c r="G3261" s="6"/>
      <c r="H3261" s="6"/>
      <c r="I3261" s="6"/>
      <c r="J3261" s="6"/>
      <c r="K3261" s="6"/>
      <c r="L3261" s="6"/>
      <c r="M3261" s="6"/>
      <c r="N3261" s="6"/>
      <c r="O3261" s="6"/>
      <c r="P3261" s="6"/>
      <c r="Q3261" s="6"/>
      <c r="R3261" s="6"/>
      <c r="S3261" s="6"/>
      <c r="T3261" s="6"/>
      <c r="U3261" s="6"/>
      <c r="V3261" s="6"/>
      <c r="W3261" s="6"/>
      <c r="X3261" s="6"/>
      <c r="Y3261" s="6"/>
      <c r="Z3261" s="6"/>
    </row>
    <row r="3262" customFormat="false" ht="15" hidden="false" customHeight="false" outlineLevel="0" collapsed="false">
      <c r="A3262" s="9" t="s">
        <v>9105</v>
      </c>
      <c r="B3262" s="9" t="s">
        <v>5870</v>
      </c>
      <c r="C3262" s="9" t="s">
        <v>3516</v>
      </c>
      <c r="D3262" s="9" t="s">
        <v>5871</v>
      </c>
      <c r="E3262" s="9" t="str">
        <f aca="false">IF(AND('Formation Ledger'!A3241&lt;&gt;"",'Formation Ledger'!V3241=0),"PASS","FAIL")</f>
        <v>PASS</v>
      </c>
      <c r="F3262" s="9" t="s">
        <v>76</v>
      </c>
      <c r="G3262" s="6"/>
      <c r="H3262" s="6"/>
      <c r="I3262" s="6"/>
      <c r="J3262" s="6"/>
      <c r="K3262" s="6"/>
      <c r="L3262" s="6"/>
      <c r="M3262" s="6"/>
      <c r="N3262" s="6"/>
      <c r="O3262" s="6"/>
      <c r="P3262" s="6"/>
      <c r="Q3262" s="6"/>
      <c r="R3262" s="6"/>
      <c r="S3262" s="6"/>
      <c r="T3262" s="6"/>
      <c r="U3262" s="6"/>
      <c r="V3262" s="6"/>
      <c r="W3262" s="6"/>
      <c r="X3262" s="6"/>
      <c r="Y3262" s="6"/>
      <c r="Z3262" s="6"/>
    </row>
    <row r="3263" customFormat="false" ht="15" hidden="false" customHeight="false" outlineLevel="0" collapsed="false">
      <c r="A3263" s="9" t="s">
        <v>9106</v>
      </c>
      <c r="B3263" s="9" t="s">
        <v>5870</v>
      </c>
      <c r="C3263" s="9" t="s">
        <v>3517</v>
      </c>
      <c r="D3263" s="9" t="s">
        <v>5871</v>
      </c>
      <c r="E3263" s="9" t="str">
        <f aca="false">IF(AND('Formation Ledger'!A3242&lt;&gt;"",'Formation Ledger'!V3242=0),"PASS","FAIL")</f>
        <v>PASS</v>
      </c>
      <c r="F3263" s="9" t="s">
        <v>76</v>
      </c>
      <c r="G3263" s="6"/>
      <c r="H3263" s="6"/>
      <c r="I3263" s="6"/>
      <c r="J3263" s="6"/>
      <c r="K3263" s="6"/>
      <c r="L3263" s="6"/>
      <c r="M3263" s="6"/>
      <c r="N3263" s="6"/>
      <c r="O3263" s="6"/>
      <c r="P3263" s="6"/>
      <c r="Q3263" s="6"/>
      <c r="R3263" s="6"/>
      <c r="S3263" s="6"/>
      <c r="T3263" s="6"/>
      <c r="U3263" s="6"/>
      <c r="V3263" s="6"/>
      <c r="W3263" s="6"/>
      <c r="X3263" s="6"/>
      <c r="Y3263" s="6"/>
      <c r="Z3263" s="6"/>
    </row>
    <row r="3264" customFormat="false" ht="15" hidden="false" customHeight="false" outlineLevel="0" collapsed="false">
      <c r="A3264" s="9" t="s">
        <v>9107</v>
      </c>
      <c r="B3264" s="9" t="s">
        <v>5870</v>
      </c>
      <c r="C3264" s="9" t="s">
        <v>3518</v>
      </c>
      <c r="D3264" s="9" t="s">
        <v>5871</v>
      </c>
      <c r="E3264" s="9" t="str">
        <f aca="false">IF(AND('Formation Ledger'!A3243&lt;&gt;"",'Formation Ledger'!V3243=0),"PASS","FAIL")</f>
        <v>PASS</v>
      </c>
      <c r="F3264" s="9" t="s">
        <v>76</v>
      </c>
      <c r="G3264" s="6"/>
      <c r="H3264" s="6"/>
      <c r="I3264" s="6"/>
      <c r="J3264" s="6"/>
      <c r="K3264" s="6"/>
      <c r="L3264" s="6"/>
      <c r="M3264" s="6"/>
      <c r="N3264" s="6"/>
      <c r="O3264" s="6"/>
      <c r="P3264" s="6"/>
      <c r="Q3264" s="6"/>
      <c r="R3264" s="6"/>
      <c r="S3264" s="6"/>
      <c r="T3264" s="6"/>
      <c r="U3264" s="6"/>
      <c r="V3264" s="6"/>
      <c r="W3264" s="6"/>
      <c r="X3264" s="6"/>
      <c r="Y3264" s="6"/>
      <c r="Z3264" s="6"/>
    </row>
    <row r="3265" customFormat="false" ht="15" hidden="false" customHeight="false" outlineLevel="0" collapsed="false">
      <c r="A3265" s="9" t="s">
        <v>9108</v>
      </c>
      <c r="B3265" s="9" t="s">
        <v>5870</v>
      </c>
      <c r="C3265" s="9" t="s">
        <v>3519</v>
      </c>
      <c r="D3265" s="9" t="s">
        <v>5871</v>
      </c>
      <c r="E3265" s="9" t="str">
        <f aca="false">IF(AND('Formation Ledger'!A3244&lt;&gt;"",'Formation Ledger'!V3244=0),"PASS","FAIL")</f>
        <v>PASS</v>
      </c>
      <c r="F3265" s="9" t="s">
        <v>76</v>
      </c>
      <c r="G3265" s="6"/>
      <c r="H3265" s="6"/>
      <c r="I3265" s="6"/>
      <c r="J3265" s="6"/>
      <c r="K3265" s="6"/>
      <c r="L3265" s="6"/>
      <c r="M3265" s="6"/>
      <c r="N3265" s="6"/>
      <c r="O3265" s="6"/>
      <c r="P3265" s="6"/>
      <c r="Q3265" s="6"/>
      <c r="R3265" s="6"/>
      <c r="S3265" s="6"/>
      <c r="T3265" s="6"/>
      <c r="U3265" s="6"/>
      <c r="V3265" s="6"/>
      <c r="W3265" s="6"/>
      <c r="X3265" s="6"/>
      <c r="Y3265" s="6"/>
      <c r="Z3265" s="6"/>
    </row>
    <row r="3266" customFormat="false" ht="15" hidden="false" customHeight="false" outlineLevel="0" collapsed="false">
      <c r="A3266" s="9" t="s">
        <v>9109</v>
      </c>
      <c r="B3266" s="9" t="s">
        <v>5870</v>
      </c>
      <c r="C3266" s="9" t="s">
        <v>3520</v>
      </c>
      <c r="D3266" s="9" t="s">
        <v>5871</v>
      </c>
      <c r="E3266" s="9" t="str">
        <f aca="false">IF(AND('Formation Ledger'!A3245&lt;&gt;"",'Formation Ledger'!V3245=0),"PASS","FAIL")</f>
        <v>PASS</v>
      </c>
      <c r="F3266" s="9" t="s">
        <v>76</v>
      </c>
      <c r="G3266" s="6"/>
      <c r="H3266" s="6"/>
      <c r="I3266" s="6"/>
      <c r="J3266" s="6"/>
      <c r="K3266" s="6"/>
      <c r="L3266" s="6"/>
      <c r="M3266" s="6"/>
      <c r="N3266" s="6"/>
      <c r="O3266" s="6"/>
      <c r="P3266" s="6"/>
      <c r="Q3266" s="6"/>
      <c r="R3266" s="6"/>
      <c r="S3266" s="6"/>
      <c r="T3266" s="6"/>
      <c r="U3266" s="6"/>
      <c r="V3266" s="6"/>
      <c r="W3266" s="6"/>
      <c r="X3266" s="6"/>
      <c r="Y3266" s="6"/>
      <c r="Z3266" s="6"/>
    </row>
    <row r="3267" customFormat="false" ht="15" hidden="false" customHeight="false" outlineLevel="0" collapsed="false">
      <c r="A3267" s="9" t="s">
        <v>9110</v>
      </c>
      <c r="B3267" s="9" t="s">
        <v>5870</v>
      </c>
      <c r="C3267" s="9" t="s">
        <v>3521</v>
      </c>
      <c r="D3267" s="9" t="s">
        <v>5871</v>
      </c>
      <c r="E3267" s="9" t="str">
        <f aca="false">IF(AND('Formation Ledger'!A3246&lt;&gt;"",'Formation Ledger'!V3246=0),"PASS","FAIL")</f>
        <v>PASS</v>
      </c>
      <c r="F3267" s="9" t="s">
        <v>76</v>
      </c>
      <c r="G3267" s="6"/>
      <c r="H3267" s="6"/>
      <c r="I3267" s="6"/>
      <c r="J3267" s="6"/>
      <c r="K3267" s="6"/>
      <c r="L3267" s="6"/>
      <c r="M3267" s="6"/>
      <c r="N3267" s="6"/>
      <c r="O3267" s="6"/>
      <c r="P3267" s="6"/>
      <c r="Q3267" s="6"/>
      <c r="R3267" s="6"/>
      <c r="S3267" s="6"/>
      <c r="T3267" s="6"/>
      <c r="U3267" s="6"/>
      <c r="V3267" s="6"/>
      <c r="W3267" s="6"/>
      <c r="X3267" s="6"/>
      <c r="Y3267" s="6"/>
      <c r="Z3267" s="6"/>
    </row>
    <row r="3268" customFormat="false" ht="15" hidden="false" customHeight="false" outlineLevel="0" collapsed="false">
      <c r="A3268" s="9" t="s">
        <v>9111</v>
      </c>
      <c r="B3268" s="9" t="s">
        <v>5870</v>
      </c>
      <c r="C3268" s="9" t="s">
        <v>3522</v>
      </c>
      <c r="D3268" s="9" t="s">
        <v>5871</v>
      </c>
      <c r="E3268" s="9" t="str">
        <f aca="false">IF(AND('Formation Ledger'!A3247&lt;&gt;"",'Formation Ledger'!V3247=0),"PASS","FAIL")</f>
        <v>PASS</v>
      </c>
      <c r="F3268" s="9" t="s">
        <v>76</v>
      </c>
      <c r="G3268" s="6"/>
      <c r="H3268" s="6"/>
      <c r="I3268" s="6"/>
      <c r="J3268" s="6"/>
      <c r="K3268" s="6"/>
      <c r="L3268" s="6"/>
      <c r="M3268" s="6"/>
      <c r="N3268" s="6"/>
      <c r="O3268" s="6"/>
      <c r="P3268" s="6"/>
      <c r="Q3268" s="6"/>
      <c r="R3268" s="6"/>
      <c r="S3268" s="6"/>
      <c r="T3268" s="6"/>
      <c r="U3268" s="6"/>
      <c r="V3268" s="6"/>
      <c r="W3268" s="6"/>
      <c r="X3268" s="6"/>
      <c r="Y3268" s="6"/>
      <c r="Z3268" s="6"/>
    </row>
    <row r="3269" customFormat="false" ht="15" hidden="false" customHeight="false" outlineLevel="0" collapsed="false">
      <c r="A3269" s="9" t="s">
        <v>9112</v>
      </c>
      <c r="B3269" s="9" t="s">
        <v>5870</v>
      </c>
      <c r="C3269" s="9" t="s">
        <v>3523</v>
      </c>
      <c r="D3269" s="9" t="s">
        <v>5871</v>
      </c>
      <c r="E3269" s="9" t="str">
        <f aca="false">IF(AND('Formation Ledger'!A3248&lt;&gt;"",'Formation Ledger'!V3248=0),"PASS","FAIL")</f>
        <v>PASS</v>
      </c>
      <c r="F3269" s="9" t="s">
        <v>76</v>
      </c>
      <c r="G3269" s="6"/>
      <c r="H3269" s="6"/>
      <c r="I3269" s="6"/>
      <c r="J3269" s="6"/>
      <c r="K3269" s="6"/>
      <c r="L3269" s="6"/>
      <c r="M3269" s="6"/>
      <c r="N3269" s="6"/>
      <c r="O3269" s="6"/>
      <c r="P3269" s="6"/>
      <c r="Q3269" s="6"/>
      <c r="R3269" s="6"/>
      <c r="S3269" s="6"/>
      <c r="T3269" s="6"/>
      <c r="U3269" s="6"/>
      <c r="V3269" s="6"/>
      <c r="W3269" s="6"/>
      <c r="X3269" s="6"/>
      <c r="Y3269" s="6"/>
      <c r="Z3269" s="6"/>
    </row>
    <row r="3270" customFormat="false" ht="15" hidden="false" customHeight="false" outlineLevel="0" collapsed="false">
      <c r="A3270" s="9" t="s">
        <v>9113</v>
      </c>
      <c r="B3270" s="9" t="s">
        <v>5870</v>
      </c>
      <c r="C3270" s="9" t="s">
        <v>3524</v>
      </c>
      <c r="D3270" s="9" t="s">
        <v>5871</v>
      </c>
      <c r="E3270" s="9" t="str">
        <f aca="false">IF(AND('Formation Ledger'!A3249&lt;&gt;"",'Formation Ledger'!V3249=0),"PASS","FAIL")</f>
        <v>PASS</v>
      </c>
      <c r="F3270" s="9" t="s">
        <v>76</v>
      </c>
      <c r="G3270" s="6"/>
      <c r="H3270" s="6"/>
      <c r="I3270" s="6"/>
      <c r="J3270" s="6"/>
      <c r="K3270" s="6"/>
      <c r="L3270" s="6"/>
      <c r="M3270" s="6"/>
      <c r="N3270" s="6"/>
      <c r="O3270" s="6"/>
      <c r="P3270" s="6"/>
      <c r="Q3270" s="6"/>
      <c r="R3270" s="6"/>
      <c r="S3270" s="6"/>
      <c r="T3270" s="6"/>
      <c r="U3270" s="6"/>
      <c r="V3270" s="6"/>
      <c r="W3270" s="6"/>
      <c r="X3270" s="6"/>
      <c r="Y3270" s="6"/>
      <c r="Z3270" s="6"/>
    </row>
    <row r="3271" customFormat="false" ht="15" hidden="false" customHeight="false" outlineLevel="0" collapsed="false">
      <c r="A3271" s="9" t="s">
        <v>9114</v>
      </c>
      <c r="B3271" s="9" t="s">
        <v>5870</v>
      </c>
      <c r="C3271" s="9" t="s">
        <v>3525</v>
      </c>
      <c r="D3271" s="9" t="s">
        <v>5871</v>
      </c>
      <c r="E3271" s="9" t="str">
        <f aca="false">IF(AND('Formation Ledger'!A3250&lt;&gt;"",'Formation Ledger'!V3250=0),"PASS","FAIL")</f>
        <v>PASS</v>
      </c>
      <c r="F3271" s="9" t="s">
        <v>76</v>
      </c>
      <c r="G3271" s="6"/>
      <c r="H3271" s="6"/>
      <c r="I3271" s="6"/>
      <c r="J3271" s="6"/>
      <c r="K3271" s="6"/>
      <c r="L3271" s="6"/>
      <c r="M3271" s="6"/>
      <c r="N3271" s="6"/>
      <c r="O3271" s="6"/>
      <c r="P3271" s="6"/>
      <c r="Q3271" s="6"/>
      <c r="R3271" s="6"/>
      <c r="S3271" s="6"/>
      <c r="T3271" s="6"/>
      <c r="U3271" s="6"/>
      <c r="V3271" s="6"/>
      <c r="W3271" s="6"/>
      <c r="X3271" s="6"/>
      <c r="Y3271" s="6"/>
      <c r="Z3271" s="6"/>
    </row>
    <row r="3272" customFormat="false" ht="15" hidden="false" customHeight="false" outlineLevel="0" collapsed="false">
      <c r="A3272" s="9" t="s">
        <v>9115</v>
      </c>
      <c r="B3272" s="9" t="s">
        <v>5870</v>
      </c>
      <c r="C3272" s="9" t="s">
        <v>3526</v>
      </c>
      <c r="D3272" s="9" t="s">
        <v>5871</v>
      </c>
      <c r="E3272" s="9" t="str">
        <f aca="false">IF(AND('Formation Ledger'!A3251&lt;&gt;"",'Formation Ledger'!V3251=0),"PASS","FAIL")</f>
        <v>PASS</v>
      </c>
      <c r="F3272" s="9" t="s">
        <v>76</v>
      </c>
      <c r="G3272" s="6"/>
      <c r="H3272" s="6"/>
      <c r="I3272" s="6"/>
      <c r="J3272" s="6"/>
      <c r="K3272" s="6"/>
      <c r="L3272" s="6"/>
      <c r="M3272" s="6"/>
      <c r="N3272" s="6"/>
      <c r="O3272" s="6"/>
      <c r="P3272" s="6"/>
      <c r="Q3272" s="6"/>
      <c r="R3272" s="6"/>
      <c r="S3272" s="6"/>
      <c r="T3272" s="6"/>
      <c r="U3272" s="6"/>
      <c r="V3272" s="6"/>
      <c r="W3272" s="6"/>
      <c r="X3272" s="6"/>
      <c r="Y3272" s="6"/>
      <c r="Z3272" s="6"/>
    </row>
    <row r="3273" customFormat="false" ht="15" hidden="false" customHeight="false" outlineLevel="0" collapsed="false">
      <c r="A3273" s="9" t="s">
        <v>9116</v>
      </c>
      <c r="B3273" s="9" t="s">
        <v>5870</v>
      </c>
      <c r="C3273" s="9" t="s">
        <v>3527</v>
      </c>
      <c r="D3273" s="9" t="s">
        <v>5871</v>
      </c>
      <c r="E3273" s="9" t="str">
        <f aca="false">IF(AND('Formation Ledger'!A3252&lt;&gt;"",'Formation Ledger'!V3252=0),"PASS","FAIL")</f>
        <v>PASS</v>
      </c>
      <c r="F3273" s="9" t="s">
        <v>76</v>
      </c>
      <c r="G3273" s="6"/>
      <c r="H3273" s="6"/>
      <c r="I3273" s="6"/>
      <c r="J3273" s="6"/>
      <c r="K3273" s="6"/>
      <c r="L3273" s="6"/>
      <c r="M3273" s="6"/>
      <c r="N3273" s="6"/>
      <c r="O3273" s="6"/>
      <c r="P3273" s="6"/>
      <c r="Q3273" s="6"/>
      <c r="R3273" s="6"/>
      <c r="S3273" s="6"/>
      <c r="T3273" s="6"/>
      <c r="U3273" s="6"/>
      <c r="V3273" s="6"/>
      <c r="W3273" s="6"/>
      <c r="X3273" s="6"/>
      <c r="Y3273" s="6"/>
      <c r="Z3273" s="6"/>
    </row>
    <row r="3274" customFormat="false" ht="15" hidden="false" customHeight="false" outlineLevel="0" collapsed="false">
      <c r="A3274" s="9" t="s">
        <v>9117</v>
      </c>
      <c r="B3274" s="9" t="s">
        <v>5870</v>
      </c>
      <c r="C3274" s="9" t="s">
        <v>3528</v>
      </c>
      <c r="D3274" s="9" t="s">
        <v>5871</v>
      </c>
      <c r="E3274" s="9" t="str">
        <f aca="false">IF(AND('Formation Ledger'!A3253&lt;&gt;"",'Formation Ledger'!V3253=0),"PASS","FAIL")</f>
        <v>PASS</v>
      </c>
      <c r="F3274" s="9" t="s">
        <v>76</v>
      </c>
      <c r="G3274" s="6"/>
      <c r="H3274" s="6"/>
      <c r="I3274" s="6"/>
      <c r="J3274" s="6"/>
      <c r="K3274" s="6"/>
      <c r="L3274" s="6"/>
      <c r="M3274" s="6"/>
      <c r="N3274" s="6"/>
      <c r="O3274" s="6"/>
      <c r="P3274" s="6"/>
      <c r="Q3274" s="6"/>
      <c r="R3274" s="6"/>
      <c r="S3274" s="6"/>
      <c r="T3274" s="6"/>
      <c r="U3274" s="6"/>
      <c r="V3274" s="6"/>
      <c r="W3274" s="6"/>
      <c r="X3274" s="6"/>
      <c r="Y3274" s="6"/>
      <c r="Z3274" s="6"/>
    </row>
    <row r="3275" customFormat="false" ht="15" hidden="false" customHeight="false" outlineLevel="0" collapsed="false">
      <c r="A3275" s="9" t="s">
        <v>9118</v>
      </c>
      <c r="B3275" s="9" t="s">
        <v>5870</v>
      </c>
      <c r="C3275" s="9" t="s">
        <v>3529</v>
      </c>
      <c r="D3275" s="9" t="s">
        <v>5871</v>
      </c>
      <c r="E3275" s="9" t="str">
        <f aca="false">IF(AND('Formation Ledger'!A3254&lt;&gt;"",'Formation Ledger'!V3254=0),"PASS","FAIL")</f>
        <v>PASS</v>
      </c>
      <c r="F3275" s="9" t="s">
        <v>76</v>
      </c>
      <c r="G3275" s="6"/>
      <c r="H3275" s="6"/>
      <c r="I3275" s="6"/>
      <c r="J3275" s="6"/>
      <c r="K3275" s="6"/>
      <c r="L3275" s="6"/>
      <c r="M3275" s="6"/>
      <c r="N3275" s="6"/>
      <c r="O3275" s="6"/>
      <c r="P3275" s="6"/>
      <c r="Q3275" s="6"/>
      <c r="R3275" s="6"/>
      <c r="S3275" s="6"/>
      <c r="T3275" s="6"/>
      <c r="U3275" s="6"/>
      <c r="V3275" s="6"/>
      <c r="W3275" s="6"/>
      <c r="X3275" s="6"/>
      <c r="Y3275" s="6"/>
      <c r="Z3275" s="6"/>
    </row>
    <row r="3276" customFormat="false" ht="15" hidden="false" customHeight="false" outlineLevel="0" collapsed="false">
      <c r="A3276" s="9" t="s">
        <v>9119</v>
      </c>
      <c r="B3276" s="9" t="s">
        <v>5870</v>
      </c>
      <c r="C3276" s="9" t="s">
        <v>3530</v>
      </c>
      <c r="D3276" s="9" t="s">
        <v>5871</v>
      </c>
      <c r="E3276" s="9" t="str">
        <f aca="false">IF(AND('Formation Ledger'!A3255&lt;&gt;"",'Formation Ledger'!V3255=0),"PASS","FAIL")</f>
        <v>PASS</v>
      </c>
      <c r="F3276" s="9" t="s">
        <v>76</v>
      </c>
      <c r="G3276" s="6"/>
      <c r="H3276" s="6"/>
      <c r="I3276" s="6"/>
      <c r="J3276" s="6"/>
      <c r="K3276" s="6"/>
      <c r="L3276" s="6"/>
      <c r="M3276" s="6"/>
      <c r="N3276" s="6"/>
      <c r="O3276" s="6"/>
      <c r="P3276" s="6"/>
      <c r="Q3276" s="6"/>
      <c r="R3276" s="6"/>
      <c r="S3276" s="6"/>
      <c r="T3276" s="6"/>
      <c r="U3276" s="6"/>
      <c r="V3276" s="6"/>
      <c r="W3276" s="6"/>
      <c r="X3276" s="6"/>
      <c r="Y3276" s="6"/>
      <c r="Z3276" s="6"/>
    </row>
    <row r="3277" customFormat="false" ht="15" hidden="false" customHeight="false" outlineLevel="0" collapsed="false">
      <c r="A3277" s="9" t="s">
        <v>9120</v>
      </c>
      <c r="B3277" s="9" t="s">
        <v>5870</v>
      </c>
      <c r="C3277" s="9" t="s">
        <v>3531</v>
      </c>
      <c r="D3277" s="9" t="s">
        <v>5871</v>
      </c>
      <c r="E3277" s="9" t="str">
        <f aca="false">IF(AND('Formation Ledger'!A3256&lt;&gt;"",'Formation Ledger'!V3256=0),"PASS","FAIL")</f>
        <v>PASS</v>
      </c>
      <c r="F3277" s="9" t="s">
        <v>76</v>
      </c>
      <c r="G3277" s="6"/>
      <c r="H3277" s="6"/>
      <c r="I3277" s="6"/>
      <c r="J3277" s="6"/>
      <c r="K3277" s="6"/>
      <c r="L3277" s="6"/>
      <c r="M3277" s="6"/>
      <c r="N3277" s="6"/>
      <c r="O3277" s="6"/>
      <c r="P3277" s="6"/>
      <c r="Q3277" s="6"/>
      <c r="R3277" s="6"/>
      <c r="S3277" s="6"/>
      <c r="T3277" s="6"/>
      <c r="U3277" s="6"/>
      <c r="V3277" s="6"/>
      <c r="W3277" s="6"/>
      <c r="X3277" s="6"/>
      <c r="Y3277" s="6"/>
      <c r="Z3277" s="6"/>
    </row>
    <row r="3278" customFormat="false" ht="15" hidden="false" customHeight="false" outlineLevel="0" collapsed="false">
      <c r="A3278" s="9" t="s">
        <v>9121</v>
      </c>
      <c r="B3278" s="9" t="s">
        <v>5870</v>
      </c>
      <c r="C3278" s="9" t="s">
        <v>3532</v>
      </c>
      <c r="D3278" s="9" t="s">
        <v>5871</v>
      </c>
      <c r="E3278" s="9" t="str">
        <f aca="false">IF(AND('Formation Ledger'!A3257&lt;&gt;"",'Formation Ledger'!V3257=0),"PASS","FAIL")</f>
        <v>PASS</v>
      </c>
      <c r="F3278" s="9" t="s">
        <v>76</v>
      </c>
      <c r="G3278" s="6"/>
      <c r="H3278" s="6"/>
      <c r="I3278" s="6"/>
      <c r="J3278" s="6"/>
      <c r="K3278" s="6"/>
      <c r="L3278" s="6"/>
      <c r="M3278" s="6"/>
      <c r="N3278" s="6"/>
      <c r="O3278" s="6"/>
      <c r="P3278" s="6"/>
      <c r="Q3278" s="6"/>
      <c r="R3278" s="6"/>
      <c r="S3278" s="6"/>
      <c r="T3278" s="6"/>
      <c r="U3278" s="6"/>
      <c r="V3278" s="6"/>
      <c r="W3278" s="6"/>
      <c r="X3278" s="6"/>
      <c r="Y3278" s="6"/>
      <c r="Z3278" s="6"/>
    </row>
    <row r="3279" customFormat="false" ht="15" hidden="false" customHeight="false" outlineLevel="0" collapsed="false">
      <c r="A3279" s="9" t="s">
        <v>9122</v>
      </c>
      <c r="B3279" s="9" t="s">
        <v>5870</v>
      </c>
      <c r="C3279" s="9" t="s">
        <v>3533</v>
      </c>
      <c r="D3279" s="9" t="s">
        <v>5871</v>
      </c>
      <c r="E3279" s="9" t="str">
        <f aca="false">IF(AND('Formation Ledger'!A3258&lt;&gt;"",'Formation Ledger'!V3258=0),"PASS","FAIL")</f>
        <v>PASS</v>
      </c>
      <c r="F3279" s="9" t="s">
        <v>76</v>
      </c>
      <c r="G3279" s="6"/>
      <c r="H3279" s="6"/>
      <c r="I3279" s="6"/>
      <c r="J3279" s="6"/>
      <c r="K3279" s="6"/>
      <c r="L3279" s="6"/>
      <c r="M3279" s="6"/>
      <c r="N3279" s="6"/>
      <c r="O3279" s="6"/>
      <c r="P3279" s="6"/>
      <c r="Q3279" s="6"/>
      <c r="R3279" s="6"/>
      <c r="S3279" s="6"/>
      <c r="T3279" s="6"/>
      <c r="U3279" s="6"/>
      <c r="V3279" s="6"/>
      <c r="W3279" s="6"/>
      <c r="X3279" s="6"/>
      <c r="Y3279" s="6"/>
      <c r="Z3279" s="6"/>
    </row>
    <row r="3280" customFormat="false" ht="15" hidden="false" customHeight="false" outlineLevel="0" collapsed="false">
      <c r="A3280" s="9" t="s">
        <v>9123</v>
      </c>
      <c r="B3280" s="9" t="s">
        <v>5870</v>
      </c>
      <c r="C3280" s="9" t="s">
        <v>3534</v>
      </c>
      <c r="D3280" s="9" t="s">
        <v>5871</v>
      </c>
      <c r="E3280" s="9" t="str">
        <f aca="false">IF(AND('Formation Ledger'!A3259&lt;&gt;"",'Formation Ledger'!V3259=0),"PASS","FAIL")</f>
        <v>PASS</v>
      </c>
      <c r="F3280" s="9" t="s">
        <v>76</v>
      </c>
      <c r="G3280" s="6"/>
      <c r="H3280" s="6"/>
      <c r="I3280" s="6"/>
      <c r="J3280" s="6"/>
      <c r="K3280" s="6"/>
      <c r="L3280" s="6"/>
      <c r="M3280" s="6"/>
      <c r="N3280" s="6"/>
      <c r="O3280" s="6"/>
      <c r="P3280" s="6"/>
      <c r="Q3280" s="6"/>
      <c r="R3280" s="6"/>
      <c r="S3280" s="6"/>
      <c r="T3280" s="6"/>
      <c r="U3280" s="6"/>
      <c r="V3280" s="6"/>
      <c r="W3280" s="6"/>
      <c r="X3280" s="6"/>
      <c r="Y3280" s="6"/>
      <c r="Z3280" s="6"/>
    </row>
    <row r="3281" customFormat="false" ht="15" hidden="false" customHeight="false" outlineLevel="0" collapsed="false">
      <c r="A3281" s="9" t="s">
        <v>9124</v>
      </c>
      <c r="B3281" s="9" t="s">
        <v>5870</v>
      </c>
      <c r="C3281" s="9" t="s">
        <v>3535</v>
      </c>
      <c r="D3281" s="9" t="s">
        <v>5871</v>
      </c>
      <c r="E3281" s="9" t="str">
        <f aca="false">IF(AND('Formation Ledger'!A3260&lt;&gt;"",'Formation Ledger'!V3260=0),"PASS","FAIL")</f>
        <v>PASS</v>
      </c>
      <c r="F3281" s="9" t="s">
        <v>76</v>
      </c>
      <c r="G3281" s="6"/>
      <c r="H3281" s="6"/>
      <c r="I3281" s="6"/>
      <c r="J3281" s="6"/>
      <c r="K3281" s="6"/>
      <c r="L3281" s="6"/>
      <c r="M3281" s="6"/>
      <c r="N3281" s="6"/>
      <c r="O3281" s="6"/>
      <c r="P3281" s="6"/>
      <c r="Q3281" s="6"/>
      <c r="R3281" s="6"/>
      <c r="S3281" s="6"/>
      <c r="T3281" s="6"/>
      <c r="U3281" s="6"/>
      <c r="V3281" s="6"/>
      <c r="W3281" s="6"/>
      <c r="X3281" s="6"/>
      <c r="Y3281" s="6"/>
      <c r="Z3281" s="6"/>
    </row>
    <row r="3282" customFormat="false" ht="15" hidden="false" customHeight="false" outlineLevel="0" collapsed="false">
      <c r="A3282" s="9" t="s">
        <v>9125</v>
      </c>
      <c r="B3282" s="9" t="s">
        <v>5870</v>
      </c>
      <c r="C3282" s="9" t="s">
        <v>3536</v>
      </c>
      <c r="D3282" s="9" t="s">
        <v>5871</v>
      </c>
      <c r="E3282" s="9" t="str">
        <f aca="false">IF(AND('Formation Ledger'!A3261&lt;&gt;"",'Formation Ledger'!V3261=0),"PASS","FAIL")</f>
        <v>PASS</v>
      </c>
      <c r="F3282" s="9" t="s">
        <v>76</v>
      </c>
      <c r="G3282" s="6"/>
      <c r="H3282" s="6"/>
      <c r="I3282" s="6"/>
      <c r="J3282" s="6"/>
      <c r="K3282" s="6"/>
      <c r="L3282" s="6"/>
      <c r="M3282" s="6"/>
      <c r="N3282" s="6"/>
      <c r="O3282" s="6"/>
      <c r="P3282" s="6"/>
      <c r="Q3282" s="6"/>
      <c r="R3282" s="6"/>
      <c r="S3282" s="6"/>
      <c r="T3282" s="6"/>
      <c r="U3282" s="6"/>
      <c r="V3282" s="6"/>
      <c r="W3282" s="6"/>
      <c r="X3282" s="6"/>
      <c r="Y3282" s="6"/>
      <c r="Z3282" s="6"/>
    </row>
    <row r="3283" customFormat="false" ht="15" hidden="false" customHeight="false" outlineLevel="0" collapsed="false">
      <c r="A3283" s="9" t="s">
        <v>9126</v>
      </c>
      <c r="B3283" s="9" t="s">
        <v>5870</v>
      </c>
      <c r="C3283" s="9" t="s">
        <v>3537</v>
      </c>
      <c r="D3283" s="9" t="s">
        <v>5871</v>
      </c>
      <c r="E3283" s="9" t="str">
        <f aca="false">IF(AND('Formation Ledger'!A3262&lt;&gt;"",'Formation Ledger'!V3262=0),"PASS","FAIL")</f>
        <v>PASS</v>
      </c>
      <c r="F3283" s="9" t="s">
        <v>76</v>
      </c>
      <c r="G3283" s="6"/>
      <c r="H3283" s="6"/>
      <c r="I3283" s="6"/>
      <c r="J3283" s="6"/>
      <c r="K3283" s="6"/>
      <c r="L3283" s="6"/>
      <c r="M3283" s="6"/>
      <c r="N3283" s="6"/>
      <c r="O3283" s="6"/>
      <c r="P3283" s="6"/>
      <c r="Q3283" s="6"/>
      <c r="R3283" s="6"/>
      <c r="S3283" s="6"/>
      <c r="T3283" s="6"/>
      <c r="U3283" s="6"/>
      <c r="V3283" s="6"/>
      <c r="W3283" s="6"/>
      <c r="X3283" s="6"/>
      <c r="Y3283" s="6"/>
      <c r="Z3283" s="6"/>
    </row>
    <row r="3284" customFormat="false" ht="15" hidden="false" customHeight="false" outlineLevel="0" collapsed="false">
      <c r="A3284" s="9" t="s">
        <v>9127</v>
      </c>
      <c r="B3284" s="9" t="s">
        <v>5870</v>
      </c>
      <c r="C3284" s="9" t="s">
        <v>3538</v>
      </c>
      <c r="D3284" s="9" t="s">
        <v>5871</v>
      </c>
      <c r="E3284" s="9" t="str">
        <f aca="false">IF(AND('Formation Ledger'!A3263&lt;&gt;"",'Formation Ledger'!V3263=0),"PASS","FAIL")</f>
        <v>PASS</v>
      </c>
      <c r="F3284" s="9" t="s">
        <v>76</v>
      </c>
      <c r="G3284" s="6"/>
      <c r="H3284" s="6"/>
      <c r="I3284" s="6"/>
      <c r="J3284" s="6"/>
      <c r="K3284" s="6"/>
      <c r="L3284" s="6"/>
      <c r="M3284" s="6"/>
      <c r="N3284" s="6"/>
      <c r="O3284" s="6"/>
      <c r="P3284" s="6"/>
      <c r="Q3284" s="6"/>
      <c r="R3284" s="6"/>
      <c r="S3284" s="6"/>
      <c r="T3284" s="6"/>
      <c r="U3284" s="6"/>
      <c r="V3284" s="6"/>
      <c r="W3284" s="6"/>
      <c r="X3284" s="6"/>
      <c r="Y3284" s="6"/>
      <c r="Z3284" s="6"/>
    </row>
    <row r="3285" customFormat="false" ht="15" hidden="false" customHeight="false" outlineLevel="0" collapsed="false">
      <c r="A3285" s="9" t="s">
        <v>9128</v>
      </c>
      <c r="B3285" s="9" t="s">
        <v>5870</v>
      </c>
      <c r="C3285" s="9" t="s">
        <v>3539</v>
      </c>
      <c r="D3285" s="9" t="s">
        <v>5871</v>
      </c>
      <c r="E3285" s="9" t="str">
        <f aca="false">IF(AND('Formation Ledger'!A3264&lt;&gt;"",'Formation Ledger'!V3264=0),"PASS","FAIL")</f>
        <v>PASS</v>
      </c>
      <c r="F3285" s="9" t="s">
        <v>76</v>
      </c>
      <c r="G3285" s="6"/>
      <c r="H3285" s="6"/>
      <c r="I3285" s="6"/>
      <c r="J3285" s="6"/>
      <c r="K3285" s="6"/>
      <c r="L3285" s="6"/>
      <c r="M3285" s="6"/>
      <c r="N3285" s="6"/>
      <c r="O3285" s="6"/>
      <c r="P3285" s="6"/>
      <c r="Q3285" s="6"/>
      <c r="R3285" s="6"/>
      <c r="S3285" s="6"/>
      <c r="T3285" s="6"/>
      <c r="U3285" s="6"/>
      <c r="V3285" s="6"/>
      <c r="W3285" s="6"/>
      <c r="X3285" s="6"/>
      <c r="Y3285" s="6"/>
      <c r="Z3285" s="6"/>
    </row>
    <row r="3286" customFormat="false" ht="15" hidden="false" customHeight="false" outlineLevel="0" collapsed="false">
      <c r="A3286" s="9" t="s">
        <v>9129</v>
      </c>
      <c r="B3286" s="9" t="s">
        <v>5870</v>
      </c>
      <c r="C3286" s="9" t="s">
        <v>3540</v>
      </c>
      <c r="D3286" s="9" t="s">
        <v>5871</v>
      </c>
      <c r="E3286" s="9" t="str">
        <f aca="false">IF(AND('Formation Ledger'!A3265&lt;&gt;"",'Formation Ledger'!V3265=0),"PASS","FAIL")</f>
        <v>PASS</v>
      </c>
      <c r="F3286" s="9" t="s">
        <v>76</v>
      </c>
      <c r="G3286" s="6"/>
      <c r="H3286" s="6"/>
      <c r="I3286" s="6"/>
      <c r="J3286" s="6"/>
      <c r="K3286" s="6"/>
      <c r="L3286" s="6"/>
      <c r="M3286" s="6"/>
      <c r="N3286" s="6"/>
      <c r="O3286" s="6"/>
      <c r="P3286" s="6"/>
      <c r="Q3286" s="6"/>
      <c r="R3286" s="6"/>
      <c r="S3286" s="6"/>
      <c r="T3286" s="6"/>
      <c r="U3286" s="6"/>
      <c r="V3286" s="6"/>
      <c r="W3286" s="6"/>
      <c r="X3286" s="6"/>
      <c r="Y3286" s="6"/>
      <c r="Z3286" s="6"/>
    </row>
    <row r="3287" customFormat="false" ht="15" hidden="false" customHeight="false" outlineLevel="0" collapsed="false">
      <c r="A3287" s="9" t="s">
        <v>9130</v>
      </c>
      <c r="B3287" s="9" t="s">
        <v>5870</v>
      </c>
      <c r="C3287" s="9" t="s">
        <v>3541</v>
      </c>
      <c r="D3287" s="9" t="s">
        <v>5871</v>
      </c>
      <c r="E3287" s="9" t="str">
        <f aca="false">IF(AND('Formation Ledger'!A3266&lt;&gt;"",'Formation Ledger'!V3266=0),"PASS","FAIL")</f>
        <v>PASS</v>
      </c>
      <c r="F3287" s="9" t="s">
        <v>76</v>
      </c>
      <c r="G3287" s="6"/>
      <c r="H3287" s="6"/>
      <c r="I3287" s="6"/>
      <c r="J3287" s="6"/>
      <c r="K3287" s="6"/>
      <c r="L3287" s="6"/>
      <c r="M3287" s="6"/>
      <c r="N3287" s="6"/>
      <c r="O3287" s="6"/>
      <c r="P3287" s="6"/>
      <c r="Q3287" s="6"/>
      <c r="R3287" s="6"/>
      <c r="S3287" s="6"/>
      <c r="T3287" s="6"/>
      <c r="U3287" s="6"/>
      <c r="V3287" s="6"/>
      <c r="W3287" s="6"/>
      <c r="X3287" s="6"/>
      <c r="Y3287" s="6"/>
      <c r="Z3287" s="6"/>
    </row>
    <row r="3288" customFormat="false" ht="15" hidden="false" customHeight="false" outlineLevel="0" collapsed="false">
      <c r="A3288" s="9" t="s">
        <v>9131</v>
      </c>
      <c r="B3288" s="9" t="s">
        <v>5870</v>
      </c>
      <c r="C3288" s="9" t="s">
        <v>3542</v>
      </c>
      <c r="D3288" s="9" t="s">
        <v>5871</v>
      </c>
      <c r="E3288" s="9" t="str">
        <f aca="false">IF(AND('Formation Ledger'!A3267&lt;&gt;"",'Formation Ledger'!V3267=0),"PASS","FAIL")</f>
        <v>PASS</v>
      </c>
      <c r="F3288" s="9" t="s">
        <v>76</v>
      </c>
      <c r="G3288" s="6"/>
      <c r="H3288" s="6"/>
      <c r="I3288" s="6"/>
      <c r="J3288" s="6"/>
      <c r="K3288" s="6"/>
      <c r="L3288" s="6"/>
      <c r="M3288" s="6"/>
      <c r="N3288" s="6"/>
      <c r="O3288" s="6"/>
      <c r="P3288" s="6"/>
      <c r="Q3288" s="6"/>
      <c r="R3288" s="6"/>
      <c r="S3288" s="6"/>
      <c r="T3288" s="6"/>
      <c r="U3288" s="6"/>
      <c r="V3288" s="6"/>
      <c r="W3288" s="6"/>
      <c r="X3288" s="6"/>
      <c r="Y3288" s="6"/>
      <c r="Z3288" s="6"/>
    </row>
    <row r="3289" customFormat="false" ht="15" hidden="false" customHeight="false" outlineLevel="0" collapsed="false">
      <c r="A3289" s="9" t="s">
        <v>9132</v>
      </c>
      <c r="B3289" s="9" t="s">
        <v>5870</v>
      </c>
      <c r="C3289" s="9" t="s">
        <v>3543</v>
      </c>
      <c r="D3289" s="9" t="s">
        <v>5871</v>
      </c>
      <c r="E3289" s="9" t="str">
        <f aca="false">IF(AND('Formation Ledger'!A3268&lt;&gt;"",'Formation Ledger'!V3268=0),"PASS","FAIL")</f>
        <v>PASS</v>
      </c>
      <c r="F3289" s="9" t="s">
        <v>76</v>
      </c>
      <c r="G3289" s="6"/>
      <c r="H3289" s="6"/>
      <c r="I3289" s="6"/>
      <c r="J3289" s="6"/>
      <c r="K3289" s="6"/>
      <c r="L3289" s="6"/>
      <c r="M3289" s="6"/>
      <c r="N3289" s="6"/>
      <c r="O3289" s="6"/>
      <c r="P3289" s="6"/>
      <c r="Q3289" s="6"/>
      <c r="R3289" s="6"/>
      <c r="S3289" s="6"/>
      <c r="T3289" s="6"/>
      <c r="U3289" s="6"/>
      <c r="V3289" s="6"/>
      <c r="W3289" s="6"/>
      <c r="X3289" s="6"/>
      <c r="Y3289" s="6"/>
      <c r="Z3289" s="6"/>
    </row>
    <row r="3290" customFormat="false" ht="15" hidden="false" customHeight="false" outlineLevel="0" collapsed="false">
      <c r="A3290" s="9" t="s">
        <v>9133</v>
      </c>
      <c r="B3290" s="9" t="s">
        <v>5870</v>
      </c>
      <c r="C3290" s="9" t="s">
        <v>3546</v>
      </c>
      <c r="D3290" s="9" t="s">
        <v>5871</v>
      </c>
      <c r="E3290" s="9" t="str">
        <f aca="false">IF(AND('Formation Ledger'!A3269&lt;&gt;"",'Formation Ledger'!V3269=0),"PASS","FAIL")</f>
        <v>PASS</v>
      </c>
      <c r="F3290" s="9" t="s">
        <v>76</v>
      </c>
      <c r="G3290" s="6"/>
      <c r="H3290" s="6"/>
      <c r="I3290" s="6"/>
      <c r="J3290" s="6"/>
      <c r="K3290" s="6"/>
      <c r="L3290" s="6"/>
      <c r="M3290" s="6"/>
      <c r="N3290" s="6"/>
      <c r="O3290" s="6"/>
      <c r="P3290" s="6"/>
      <c r="Q3290" s="6"/>
      <c r="R3290" s="6"/>
      <c r="S3290" s="6"/>
      <c r="T3290" s="6"/>
      <c r="U3290" s="6"/>
      <c r="V3290" s="6"/>
      <c r="W3290" s="6"/>
      <c r="X3290" s="6"/>
      <c r="Y3290" s="6"/>
      <c r="Z3290" s="6"/>
    </row>
    <row r="3291" customFormat="false" ht="15" hidden="false" customHeight="false" outlineLevel="0" collapsed="false">
      <c r="A3291" s="9" t="s">
        <v>9134</v>
      </c>
      <c r="B3291" s="9" t="s">
        <v>5870</v>
      </c>
      <c r="C3291" s="9" t="s">
        <v>3547</v>
      </c>
      <c r="D3291" s="9" t="s">
        <v>5871</v>
      </c>
      <c r="E3291" s="9" t="str">
        <f aca="false">IF(AND('Formation Ledger'!A3270&lt;&gt;"",'Formation Ledger'!V3270=0),"PASS","FAIL")</f>
        <v>PASS</v>
      </c>
      <c r="F3291" s="9" t="s">
        <v>76</v>
      </c>
      <c r="G3291" s="6"/>
      <c r="H3291" s="6"/>
      <c r="I3291" s="6"/>
      <c r="J3291" s="6"/>
      <c r="K3291" s="6"/>
      <c r="L3291" s="6"/>
      <c r="M3291" s="6"/>
      <c r="N3291" s="6"/>
      <c r="O3291" s="6"/>
      <c r="P3291" s="6"/>
      <c r="Q3291" s="6"/>
      <c r="R3291" s="6"/>
      <c r="S3291" s="6"/>
      <c r="T3291" s="6"/>
      <c r="U3291" s="6"/>
      <c r="V3291" s="6"/>
      <c r="W3291" s="6"/>
      <c r="X3291" s="6"/>
      <c r="Y3291" s="6"/>
      <c r="Z3291" s="6"/>
    </row>
    <row r="3292" customFormat="false" ht="15" hidden="false" customHeight="false" outlineLevel="0" collapsed="false">
      <c r="A3292" s="9" t="s">
        <v>9135</v>
      </c>
      <c r="B3292" s="9" t="s">
        <v>5870</v>
      </c>
      <c r="C3292" s="9" t="s">
        <v>3548</v>
      </c>
      <c r="D3292" s="9" t="s">
        <v>5871</v>
      </c>
      <c r="E3292" s="9" t="str">
        <f aca="false">IF(AND('Formation Ledger'!A3271&lt;&gt;"",'Formation Ledger'!V3271=0),"PASS","FAIL")</f>
        <v>PASS</v>
      </c>
      <c r="F3292" s="9" t="s">
        <v>76</v>
      </c>
      <c r="G3292" s="6"/>
      <c r="H3292" s="6"/>
      <c r="I3292" s="6"/>
      <c r="J3292" s="6"/>
      <c r="K3292" s="6"/>
      <c r="L3292" s="6"/>
      <c r="M3292" s="6"/>
      <c r="N3292" s="6"/>
      <c r="O3292" s="6"/>
      <c r="P3292" s="6"/>
      <c r="Q3292" s="6"/>
      <c r="R3292" s="6"/>
      <c r="S3292" s="6"/>
      <c r="T3292" s="6"/>
      <c r="U3292" s="6"/>
      <c r="V3292" s="6"/>
      <c r="W3292" s="6"/>
      <c r="X3292" s="6"/>
      <c r="Y3292" s="6"/>
      <c r="Z3292" s="6"/>
    </row>
    <row r="3293" customFormat="false" ht="15" hidden="false" customHeight="false" outlineLevel="0" collapsed="false">
      <c r="A3293" s="9" t="s">
        <v>9136</v>
      </c>
      <c r="B3293" s="9" t="s">
        <v>5870</v>
      </c>
      <c r="C3293" s="9" t="s">
        <v>3549</v>
      </c>
      <c r="D3293" s="9" t="s">
        <v>5871</v>
      </c>
      <c r="E3293" s="9" t="str">
        <f aca="false">IF(AND('Formation Ledger'!A3272&lt;&gt;"",'Formation Ledger'!V3272=0),"PASS","FAIL")</f>
        <v>PASS</v>
      </c>
      <c r="F3293" s="9" t="s">
        <v>76</v>
      </c>
      <c r="G3293" s="6"/>
      <c r="H3293" s="6"/>
      <c r="I3293" s="6"/>
      <c r="J3293" s="6"/>
      <c r="K3293" s="6"/>
      <c r="L3293" s="6"/>
      <c r="M3293" s="6"/>
      <c r="N3293" s="6"/>
      <c r="O3293" s="6"/>
      <c r="P3293" s="6"/>
      <c r="Q3293" s="6"/>
      <c r="R3293" s="6"/>
      <c r="S3293" s="6"/>
      <c r="T3293" s="6"/>
      <c r="U3293" s="6"/>
      <c r="V3293" s="6"/>
      <c r="W3293" s="6"/>
      <c r="X3293" s="6"/>
      <c r="Y3293" s="6"/>
      <c r="Z3293" s="6"/>
    </row>
    <row r="3294" customFormat="false" ht="15" hidden="false" customHeight="false" outlineLevel="0" collapsed="false">
      <c r="A3294" s="9" t="s">
        <v>9137</v>
      </c>
      <c r="B3294" s="9" t="s">
        <v>5870</v>
      </c>
      <c r="C3294" s="9" t="s">
        <v>3550</v>
      </c>
      <c r="D3294" s="9" t="s">
        <v>5871</v>
      </c>
      <c r="E3294" s="9" t="str">
        <f aca="false">IF(AND('Formation Ledger'!A3273&lt;&gt;"",'Formation Ledger'!V3273=0),"PASS","FAIL")</f>
        <v>PASS</v>
      </c>
      <c r="F3294" s="9" t="s">
        <v>76</v>
      </c>
      <c r="G3294" s="6"/>
      <c r="H3294" s="6"/>
      <c r="I3294" s="6"/>
      <c r="J3294" s="6"/>
      <c r="K3294" s="6"/>
      <c r="L3294" s="6"/>
      <c r="M3294" s="6"/>
      <c r="N3294" s="6"/>
      <c r="O3294" s="6"/>
      <c r="P3294" s="6"/>
      <c r="Q3294" s="6"/>
      <c r="R3294" s="6"/>
      <c r="S3294" s="6"/>
      <c r="T3294" s="6"/>
      <c r="U3294" s="6"/>
      <c r="V3294" s="6"/>
      <c r="W3294" s="6"/>
      <c r="X3294" s="6"/>
      <c r="Y3294" s="6"/>
      <c r="Z3294" s="6"/>
    </row>
    <row r="3295" customFormat="false" ht="15" hidden="false" customHeight="false" outlineLevel="0" collapsed="false">
      <c r="A3295" s="9" t="s">
        <v>9138</v>
      </c>
      <c r="B3295" s="9" t="s">
        <v>5870</v>
      </c>
      <c r="C3295" s="9" t="s">
        <v>3551</v>
      </c>
      <c r="D3295" s="9" t="s">
        <v>5871</v>
      </c>
      <c r="E3295" s="9" t="str">
        <f aca="false">IF(AND('Formation Ledger'!A3274&lt;&gt;"",'Formation Ledger'!V3274=0),"PASS","FAIL")</f>
        <v>PASS</v>
      </c>
      <c r="F3295" s="9" t="s">
        <v>76</v>
      </c>
      <c r="G3295" s="6"/>
      <c r="H3295" s="6"/>
      <c r="I3295" s="6"/>
      <c r="J3295" s="6"/>
      <c r="K3295" s="6"/>
      <c r="L3295" s="6"/>
      <c r="M3295" s="6"/>
      <c r="N3295" s="6"/>
      <c r="O3295" s="6"/>
      <c r="P3295" s="6"/>
      <c r="Q3295" s="6"/>
      <c r="R3295" s="6"/>
      <c r="S3295" s="6"/>
      <c r="T3295" s="6"/>
      <c r="U3295" s="6"/>
      <c r="V3295" s="6"/>
      <c r="W3295" s="6"/>
      <c r="X3295" s="6"/>
      <c r="Y3295" s="6"/>
      <c r="Z3295" s="6"/>
    </row>
    <row r="3296" customFormat="false" ht="15" hidden="false" customHeight="false" outlineLevel="0" collapsed="false">
      <c r="A3296" s="9" t="s">
        <v>9139</v>
      </c>
      <c r="B3296" s="9" t="s">
        <v>5870</v>
      </c>
      <c r="C3296" s="9" t="s">
        <v>3552</v>
      </c>
      <c r="D3296" s="9" t="s">
        <v>5871</v>
      </c>
      <c r="E3296" s="9" t="str">
        <f aca="false">IF(AND('Formation Ledger'!A3275&lt;&gt;"",'Formation Ledger'!V3275=0),"PASS","FAIL")</f>
        <v>PASS</v>
      </c>
      <c r="F3296" s="9" t="s">
        <v>76</v>
      </c>
      <c r="G3296" s="6"/>
      <c r="H3296" s="6"/>
      <c r="I3296" s="6"/>
      <c r="J3296" s="6"/>
      <c r="K3296" s="6"/>
      <c r="L3296" s="6"/>
      <c r="M3296" s="6"/>
      <c r="N3296" s="6"/>
      <c r="O3296" s="6"/>
      <c r="P3296" s="6"/>
      <c r="Q3296" s="6"/>
      <c r="R3296" s="6"/>
      <c r="S3296" s="6"/>
      <c r="T3296" s="6"/>
      <c r="U3296" s="6"/>
      <c r="V3296" s="6"/>
      <c r="W3296" s="6"/>
      <c r="X3296" s="6"/>
      <c r="Y3296" s="6"/>
      <c r="Z3296" s="6"/>
    </row>
    <row r="3297" customFormat="false" ht="15" hidden="false" customHeight="false" outlineLevel="0" collapsed="false">
      <c r="A3297" s="9" t="s">
        <v>9140</v>
      </c>
      <c r="B3297" s="9" t="s">
        <v>5870</v>
      </c>
      <c r="C3297" s="9" t="s">
        <v>3553</v>
      </c>
      <c r="D3297" s="9" t="s">
        <v>5871</v>
      </c>
      <c r="E3297" s="9" t="str">
        <f aca="false">IF(AND('Formation Ledger'!A3276&lt;&gt;"",'Formation Ledger'!V3276=0),"PASS","FAIL")</f>
        <v>PASS</v>
      </c>
      <c r="F3297" s="9" t="s">
        <v>76</v>
      </c>
      <c r="G3297" s="6"/>
      <c r="H3297" s="6"/>
      <c r="I3297" s="6"/>
      <c r="J3297" s="6"/>
      <c r="K3297" s="6"/>
      <c r="L3297" s="6"/>
      <c r="M3297" s="6"/>
      <c r="N3297" s="6"/>
      <c r="O3297" s="6"/>
      <c r="P3297" s="6"/>
      <c r="Q3297" s="6"/>
      <c r="R3297" s="6"/>
      <c r="S3297" s="6"/>
      <c r="T3297" s="6"/>
      <c r="U3297" s="6"/>
      <c r="V3297" s="6"/>
      <c r="W3297" s="6"/>
      <c r="X3297" s="6"/>
      <c r="Y3297" s="6"/>
      <c r="Z3297" s="6"/>
    </row>
    <row r="3298" customFormat="false" ht="15" hidden="false" customHeight="false" outlineLevel="0" collapsed="false">
      <c r="A3298" s="9" t="s">
        <v>9141</v>
      </c>
      <c r="B3298" s="9" t="s">
        <v>5870</v>
      </c>
      <c r="C3298" s="9" t="s">
        <v>3554</v>
      </c>
      <c r="D3298" s="9" t="s">
        <v>5871</v>
      </c>
      <c r="E3298" s="9" t="str">
        <f aca="false">IF(AND('Formation Ledger'!A3277&lt;&gt;"",'Formation Ledger'!V3277=0),"PASS","FAIL")</f>
        <v>PASS</v>
      </c>
      <c r="F3298" s="9" t="s">
        <v>76</v>
      </c>
      <c r="G3298" s="6"/>
      <c r="H3298" s="6"/>
      <c r="I3298" s="6"/>
      <c r="J3298" s="6"/>
      <c r="K3298" s="6"/>
      <c r="L3298" s="6"/>
      <c r="M3298" s="6"/>
      <c r="N3298" s="6"/>
      <c r="O3298" s="6"/>
      <c r="P3298" s="6"/>
      <c r="Q3298" s="6"/>
      <c r="R3298" s="6"/>
      <c r="S3298" s="6"/>
      <c r="T3298" s="6"/>
      <c r="U3298" s="6"/>
      <c r="V3298" s="6"/>
      <c r="W3298" s="6"/>
      <c r="X3298" s="6"/>
      <c r="Y3298" s="6"/>
      <c r="Z3298" s="6"/>
    </row>
    <row r="3299" customFormat="false" ht="15" hidden="false" customHeight="false" outlineLevel="0" collapsed="false">
      <c r="A3299" s="9" t="s">
        <v>9142</v>
      </c>
      <c r="B3299" s="9" t="s">
        <v>5870</v>
      </c>
      <c r="C3299" s="9" t="s">
        <v>3555</v>
      </c>
      <c r="D3299" s="9" t="s">
        <v>5871</v>
      </c>
      <c r="E3299" s="9" t="str">
        <f aca="false">IF(AND('Formation Ledger'!A3278&lt;&gt;"",'Formation Ledger'!V3278=0),"PASS","FAIL")</f>
        <v>PASS</v>
      </c>
      <c r="F3299" s="9" t="s">
        <v>76</v>
      </c>
      <c r="G3299" s="6"/>
      <c r="H3299" s="6"/>
      <c r="I3299" s="6"/>
      <c r="J3299" s="6"/>
      <c r="K3299" s="6"/>
      <c r="L3299" s="6"/>
      <c r="M3299" s="6"/>
      <c r="N3299" s="6"/>
      <c r="O3299" s="6"/>
      <c r="P3299" s="6"/>
      <c r="Q3299" s="6"/>
      <c r="R3299" s="6"/>
      <c r="S3299" s="6"/>
      <c r="T3299" s="6"/>
      <c r="U3299" s="6"/>
      <c r="V3299" s="6"/>
      <c r="W3299" s="6"/>
      <c r="X3299" s="6"/>
      <c r="Y3299" s="6"/>
      <c r="Z3299" s="6"/>
    </row>
    <row r="3300" customFormat="false" ht="15" hidden="false" customHeight="false" outlineLevel="0" collapsed="false">
      <c r="A3300" s="9" t="s">
        <v>9143</v>
      </c>
      <c r="B3300" s="9" t="s">
        <v>5870</v>
      </c>
      <c r="C3300" s="9" t="s">
        <v>3556</v>
      </c>
      <c r="D3300" s="9" t="s">
        <v>5871</v>
      </c>
      <c r="E3300" s="9" t="str">
        <f aca="false">IF(AND('Formation Ledger'!A3279&lt;&gt;"",'Formation Ledger'!V3279=0),"PASS","FAIL")</f>
        <v>PASS</v>
      </c>
      <c r="F3300" s="9" t="s">
        <v>76</v>
      </c>
      <c r="G3300" s="6"/>
      <c r="H3300" s="6"/>
      <c r="I3300" s="6"/>
      <c r="J3300" s="6"/>
      <c r="K3300" s="6"/>
      <c r="L3300" s="6"/>
      <c r="M3300" s="6"/>
      <c r="N3300" s="6"/>
      <c r="O3300" s="6"/>
      <c r="P3300" s="6"/>
      <c r="Q3300" s="6"/>
      <c r="R3300" s="6"/>
      <c r="S3300" s="6"/>
      <c r="T3300" s="6"/>
      <c r="U3300" s="6"/>
      <c r="V3300" s="6"/>
      <c r="W3300" s="6"/>
      <c r="X3300" s="6"/>
      <c r="Y3300" s="6"/>
      <c r="Z3300" s="6"/>
    </row>
    <row r="3301" customFormat="false" ht="15" hidden="false" customHeight="false" outlineLevel="0" collapsed="false">
      <c r="A3301" s="9" t="s">
        <v>9144</v>
      </c>
      <c r="B3301" s="9" t="s">
        <v>5870</v>
      </c>
      <c r="C3301" s="9" t="s">
        <v>3557</v>
      </c>
      <c r="D3301" s="9" t="s">
        <v>5871</v>
      </c>
      <c r="E3301" s="9" t="str">
        <f aca="false">IF(AND('Formation Ledger'!A3280&lt;&gt;"",'Formation Ledger'!V3280=0),"PASS","FAIL")</f>
        <v>PASS</v>
      </c>
      <c r="F3301" s="9" t="s">
        <v>76</v>
      </c>
      <c r="G3301" s="6"/>
      <c r="H3301" s="6"/>
      <c r="I3301" s="6"/>
      <c r="J3301" s="6"/>
      <c r="K3301" s="6"/>
      <c r="L3301" s="6"/>
      <c r="M3301" s="6"/>
      <c r="N3301" s="6"/>
      <c r="O3301" s="6"/>
      <c r="P3301" s="6"/>
      <c r="Q3301" s="6"/>
      <c r="R3301" s="6"/>
      <c r="S3301" s="6"/>
      <c r="T3301" s="6"/>
      <c r="U3301" s="6"/>
      <c r="V3301" s="6"/>
      <c r="W3301" s="6"/>
      <c r="X3301" s="6"/>
      <c r="Y3301" s="6"/>
      <c r="Z3301" s="6"/>
    </row>
    <row r="3302" customFormat="false" ht="15" hidden="false" customHeight="false" outlineLevel="0" collapsed="false">
      <c r="A3302" s="9" t="s">
        <v>9145</v>
      </c>
      <c r="B3302" s="9" t="s">
        <v>5870</v>
      </c>
      <c r="C3302" s="9" t="s">
        <v>3558</v>
      </c>
      <c r="D3302" s="9" t="s">
        <v>5871</v>
      </c>
      <c r="E3302" s="9" t="str">
        <f aca="false">IF(AND('Formation Ledger'!A3281&lt;&gt;"",'Formation Ledger'!V3281=0),"PASS","FAIL")</f>
        <v>PASS</v>
      </c>
      <c r="F3302" s="9" t="s">
        <v>76</v>
      </c>
      <c r="G3302" s="6"/>
      <c r="H3302" s="6"/>
      <c r="I3302" s="6"/>
      <c r="J3302" s="6"/>
      <c r="K3302" s="6"/>
      <c r="L3302" s="6"/>
      <c r="M3302" s="6"/>
      <c r="N3302" s="6"/>
      <c r="O3302" s="6"/>
      <c r="P3302" s="6"/>
      <c r="Q3302" s="6"/>
      <c r="R3302" s="6"/>
      <c r="S3302" s="6"/>
      <c r="T3302" s="6"/>
      <c r="U3302" s="6"/>
      <c r="V3302" s="6"/>
      <c r="W3302" s="6"/>
      <c r="X3302" s="6"/>
      <c r="Y3302" s="6"/>
      <c r="Z3302" s="6"/>
    </row>
    <row r="3303" customFormat="false" ht="15" hidden="false" customHeight="false" outlineLevel="0" collapsed="false">
      <c r="A3303" s="9" t="s">
        <v>9146</v>
      </c>
      <c r="B3303" s="9" t="s">
        <v>5870</v>
      </c>
      <c r="C3303" s="9" t="s">
        <v>3559</v>
      </c>
      <c r="D3303" s="9" t="s">
        <v>5871</v>
      </c>
      <c r="E3303" s="9" t="str">
        <f aca="false">IF(AND('Formation Ledger'!A3282&lt;&gt;"",'Formation Ledger'!V3282=0),"PASS","FAIL")</f>
        <v>PASS</v>
      </c>
      <c r="F3303" s="9" t="s">
        <v>76</v>
      </c>
      <c r="G3303" s="6"/>
      <c r="H3303" s="6"/>
      <c r="I3303" s="6"/>
      <c r="J3303" s="6"/>
      <c r="K3303" s="6"/>
      <c r="L3303" s="6"/>
      <c r="M3303" s="6"/>
      <c r="N3303" s="6"/>
      <c r="O3303" s="6"/>
      <c r="P3303" s="6"/>
      <c r="Q3303" s="6"/>
      <c r="R3303" s="6"/>
      <c r="S3303" s="6"/>
      <c r="T3303" s="6"/>
      <c r="U3303" s="6"/>
      <c r="V3303" s="6"/>
      <c r="W3303" s="6"/>
      <c r="X3303" s="6"/>
      <c r="Y3303" s="6"/>
      <c r="Z3303" s="6"/>
    </row>
    <row r="3304" customFormat="false" ht="15" hidden="false" customHeight="false" outlineLevel="0" collapsed="false">
      <c r="A3304" s="9" t="s">
        <v>9147</v>
      </c>
      <c r="B3304" s="9" t="s">
        <v>5870</v>
      </c>
      <c r="C3304" s="9" t="s">
        <v>3560</v>
      </c>
      <c r="D3304" s="9" t="s">
        <v>5871</v>
      </c>
      <c r="E3304" s="9" t="str">
        <f aca="false">IF(AND('Formation Ledger'!A3283&lt;&gt;"",'Formation Ledger'!V3283=0),"PASS","FAIL")</f>
        <v>PASS</v>
      </c>
      <c r="F3304" s="9" t="s">
        <v>76</v>
      </c>
      <c r="G3304" s="6"/>
      <c r="H3304" s="6"/>
      <c r="I3304" s="6"/>
      <c r="J3304" s="6"/>
      <c r="K3304" s="6"/>
      <c r="L3304" s="6"/>
      <c r="M3304" s="6"/>
      <c r="N3304" s="6"/>
      <c r="O3304" s="6"/>
      <c r="P3304" s="6"/>
      <c r="Q3304" s="6"/>
      <c r="R3304" s="6"/>
      <c r="S3304" s="6"/>
      <c r="T3304" s="6"/>
      <c r="U3304" s="6"/>
      <c r="V3304" s="6"/>
      <c r="W3304" s="6"/>
      <c r="X3304" s="6"/>
      <c r="Y3304" s="6"/>
      <c r="Z3304" s="6"/>
    </row>
    <row r="3305" customFormat="false" ht="15" hidden="false" customHeight="false" outlineLevel="0" collapsed="false">
      <c r="A3305" s="9" t="s">
        <v>9148</v>
      </c>
      <c r="B3305" s="9" t="s">
        <v>5870</v>
      </c>
      <c r="C3305" s="9" t="s">
        <v>3561</v>
      </c>
      <c r="D3305" s="9" t="s">
        <v>5871</v>
      </c>
      <c r="E3305" s="9" t="str">
        <f aca="false">IF(AND('Formation Ledger'!A3284&lt;&gt;"",'Formation Ledger'!V3284=0),"PASS","FAIL")</f>
        <v>PASS</v>
      </c>
      <c r="F3305" s="9" t="s">
        <v>76</v>
      </c>
      <c r="G3305" s="6"/>
      <c r="H3305" s="6"/>
      <c r="I3305" s="6"/>
      <c r="J3305" s="6"/>
      <c r="K3305" s="6"/>
      <c r="L3305" s="6"/>
      <c r="M3305" s="6"/>
      <c r="N3305" s="6"/>
      <c r="O3305" s="6"/>
      <c r="P3305" s="6"/>
      <c r="Q3305" s="6"/>
      <c r="R3305" s="6"/>
      <c r="S3305" s="6"/>
      <c r="T3305" s="6"/>
      <c r="U3305" s="6"/>
      <c r="V3305" s="6"/>
      <c r="W3305" s="6"/>
      <c r="X3305" s="6"/>
      <c r="Y3305" s="6"/>
      <c r="Z3305" s="6"/>
    </row>
    <row r="3306" customFormat="false" ht="15" hidden="false" customHeight="false" outlineLevel="0" collapsed="false">
      <c r="A3306" s="9" t="s">
        <v>9149</v>
      </c>
      <c r="B3306" s="9" t="s">
        <v>5870</v>
      </c>
      <c r="C3306" s="9" t="s">
        <v>3562</v>
      </c>
      <c r="D3306" s="9" t="s">
        <v>5871</v>
      </c>
      <c r="E3306" s="9" t="str">
        <f aca="false">IF(AND('Formation Ledger'!A3285&lt;&gt;"",'Formation Ledger'!V3285=0),"PASS","FAIL")</f>
        <v>PASS</v>
      </c>
      <c r="F3306" s="9" t="s">
        <v>76</v>
      </c>
      <c r="G3306" s="6"/>
      <c r="H3306" s="6"/>
      <c r="I3306" s="6"/>
      <c r="J3306" s="6"/>
      <c r="K3306" s="6"/>
      <c r="L3306" s="6"/>
      <c r="M3306" s="6"/>
      <c r="N3306" s="6"/>
      <c r="O3306" s="6"/>
      <c r="P3306" s="6"/>
      <c r="Q3306" s="6"/>
      <c r="R3306" s="6"/>
      <c r="S3306" s="6"/>
      <c r="T3306" s="6"/>
      <c r="U3306" s="6"/>
      <c r="V3306" s="6"/>
      <c r="W3306" s="6"/>
      <c r="X3306" s="6"/>
      <c r="Y3306" s="6"/>
      <c r="Z3306" s="6"/>
    </row>
    <row r="3307" customFormat="false" ht="15" hidden="false" customHeight="false" outlineLevel="0" collapsed="false">
      <c r="A3307" s="9" t="s">
        <v>9150</v>
      </c>
      <c r="B3307" s="9" t="s">
        <v>5870</v>
      </c>
      <c r="C3307" s="9" t="s">
        <v>3563</v>
      </c>
      <c r="D3307" s="9" t="s">
        <v>5871</v>
      </c>
      <c r="E3307" s="9" t="str">
        <f aca="false">IF(AND('Formation Ledger'!A3286&lt;&gt;"",'Formation Ledger'!V3286=0),"PASS","FAIL")</f>
        <v>PASS</v>
      </c>
      <c r="F3307" s="9" t="s">
        <v>76</v>
      </c>
      <c r="G3307" s="6"/>
      <c r="H3307" s="6"/>
      <c r="I3307" s="6"/>
      <c r="J3307" s="6"/>
      <c r="K3307" s="6"/>
      <c r="L3307" s="6"/>
      <c r="M3307" s="6"/>
      <c r="N3307" s="6"/>
      <c r="O3307" s="6"/>
      <c r="P3307" s="6"/>
      <c r="Q3307" s="6"/>
      <c r="R3307" s="6"/>
      <c r="S3307" s="6"/>
      <c r="T3307" s="6"/>
      <c r="U3307" s="6"/>
      <c r="V3307" s="6"/>
      <c r="W3307" s="6"/>
      <c r="X3307" s="6"/>
      <c r="Y3307" s="6"/>
      <c r="Z3307" s="6"/>
    </row>
    <row r="3308" customFormat="false" ht="15" hidden="false" customHeight="false" outlineLevel="0" collapsed="false">
      <c r="A3308" s="9" t="s">
        <v>9151</v>
      </c>
      <c r="B3308" s="9" t="s">
        <v>5870</v>
      </c>
      <c r="C3308" s="9" t="s">
        <v>3564</v>
      </c>
      <c r="D3308" s="9" t="s">
        <v>5871</v>
      </c>
      <c r="E3308" s="9" t="str">
        <f aca="false">IF(AND('Formation Ledger'!A3287&lt;&gt;"",'Formation Ledger'!V3287=0),"PASS","FAIL")</f>
        <v>PASS</v>
      </c>
      <c r="F3308" s="9" t="s">
        <v>76</v>
      </c>
      <c r="G3308" s="6"/>
      <c r="H3308" s="6"/>
      <c r="I3308" s="6"/>
      <c r="J3308" s="6"/>
      <c r="K3308" s="6"/>
      <c r="L3308" s="6"/>
      <c r="M3308" s="6"/>
      <c r="N3308" s="6"/>
      <c r="O3308" s="6"/>
      <c r="P3308" s="6"/>
      <c r="Q3308" s="6"/>
      <c r="R3308" s="6"/>
      <c r="S3308" s="6"/>
      <c r="T3308" s="6"/>
      <c r="U3308" s="6"/>
      <c r="V3308" s="6"/>
      <c r="W3308" s="6"/>
      <c r="X3308" s="6"/>
      <c r="Y3308" s="6"/>
      <c r="Z3308" s="6"/>
    </row>
    <row r="3309" customFormat="false" ht="15" hidden="false" customHeight="false" outlineLevel="0" collapsed="false">
      <c r="A3309" s="9" t="s">
        <v>9152</v>
      </c>
      <c r="B3309" s="9" t="s">
        <v>5870</v>
      </c>
      <c r="C3309" s="9" t="s">
        <v>3565</v>
      </c>
      <c r="D3309" s="9" t="s">
        <v>5871</v>
      </c>
      <c r="E3309" s="9" t="str">
        <f aca="false">IF(AND('Formation Ledger'!A3288&lt;&gt;"",'Formation Ledger'!V3288=0),"PASS","FAIL")</f>
        <v>PASS</v>
      </c>
      <c r="F3309" s="9" t="s">
        <v>76</v>
      </c>
      <c r="G3309" s="6"/>
      <c r="H3309" s="6"/>
      <c r="I3309" s="6"/>
      <c r="J3309" s="6"/>
      <c r="K3309" s="6"/>
      <c r="L3309" s="6"/>
      <c r="M3309" s="6"/>
      <c r="N3309" s="6"/>
      <c r="O3309" s="6"/>
      <c r="P3309" s="6"/>
      <c r="Q3309" s="6"/>
      <c r="R3309" s="6"/>
      <c r="S3309" s="6"/>
      <c r="T3309" s="6"/>
      <c r="U3309" s="6"/>
      <c r="V3309" s="6"/>
      <c r="W3309" s="6"/>
      <c r="X3309" s="6"/>
      <c r="Y3309" s="6"/>
      <c r="Z3309" s="6"/>
    </row>
    <row r="3310" customFormat="false" ht="15" hidden="false" customHeight="false" outlineLevel="0" collapsed="false">
      <c r="A3310" s="9" t="s">
        <v>9153</v>
      </c>
      <c r="B3310" s="9" t="s">
        <v>5870</v>
      </c>
      <c r="C3310" s="9" t="s">
        <v>3566</v>
      </c>
      <c r="D3310" s="9" t="s">
        <v>5871</v>
      </c>
      <c r="E3310" s="9" t="str">
        <f aca="false">IF(AND('Formation Ledger'!A3289&lt;&gt;"",'Formation Ledger'!V3289=0),"PASS","FAIL")</f>
        <v>PASS</v>
      </c>
      <c r="F3310" s="9" t="s">
        <v>76</v>
      </c>
      <c r="G3310" s="6"/>
      <c r="H3310" s="6"/>
      <c r="I3310" s="6"/>
      <c r="J3310" s="6"/>
      <c r="K3310" s="6"/>
      <c r="L3310" s="6"/>
      <c r="M3310" s="6"/>
      <c r="N3310" s="6"/>
      <c r="O3310" s="6"/>
      <c r="P3310" s="6"/>
      <c r="Q3310" s="6"/>
      <c r="R3310" s="6"/>
      <c r="S3310" s="6"/>
      <c r="T3310" s="6"/>
      <c r="U3310" s="6"/>
      <c r="V3310" s="6"/>
      <c r="W3310" s="6"/>
      <c r="X3310" s="6"/>
      <c r="Y3310" s="6"/>
      <c r="Z3310" s="6"/>
    </row>
    <row r="3311" customFormat="false" ht="15" hidden="false" customHeight="false" outlineLevel="0" collapsed="false">
      <c r="A3311" s="9" t="s">
        <v>9154</v>
      </c>
      <c r="B3311" s="9" t="s">
        <v>5870</v>
      </c>
      <c r="C3311" s="9" t="s">
        <v>3567</v>
      </c>
      <c r="D3311" s="9" t="s">
        <v>5871</v>
      </c>
      <c r="E3311" s="9" t="str">
        <f aca="false">IF(AND('Formation Ledger'!A3290&lt;&gt;"",'Formation Ledger'!V3290=0),"PASS","FAIL")</f>
        <v>PASS</v>
      </c>
      <c r="F3311" s="9" t="s">
        <v>76</v>
      </c>
      <c r="G3311" s="6"/>
      <c r="H3311" s="6"/>
      <c r="I3311" s="6"/>
      <c r="J3311" s="6"/>
      <c r="K3311" s="6"/>
      <c r="L3311" s="6"/>
      <c r="M3311" s="6"/>
      <c r="N3311" s="6"/>
      <c r="O3311" s="6"/>
      <c r="P3311" s="6"/>
      <c r="Q3311" s="6"/>
      <c r="R3311" s="6"/>
      <c r="S3311" s="6"/>
      <c r="T3311" s="6"/>
      <c r="U3311" s="6"/>
      <c r="V3311" s="6"/>
      <c r="W3311" s="6"/>
      <c r="X3311" s="6"/>
      <c r="Y3311" s="6"/>
      <c r="Z3311" s="6"/>
    </row>
    <row r="3312" customFormat="false" ht="15" hidden="false" customHeight="false" outlineLevel="0" collapsed="false">
      <c r="A3312" s="9" t="s">
        <v>9155</v>
      </c>
      <c r="B3312" s="9" t="s">
        <v>5870</v>
      </c>
      <c r="C3312" s="9" t="s">
        <v>3568</v>
      </c>
      <c r="D3312" s="9" t="s">
        <v>5871</v>
      </c>
      <c r="E3312" s="9" t="str">
        <f aca="false">IF(AND('Formation Ledger'!A3291&lt;&gt;"",'Formation Ledger'!V3291=0),"PASS","FAIL")</f>
        <v>PASS</v>
      </c>
      <c r="F3312" s="9" t="s">
        <v>76</v>
      </c>
      <c r="G3312" s="6"/>
      <c r="H3312" s="6"/>
      <c r="I3312" s="6"/>
      <c r="J3312" s="6"/>
      <c r="K3312" s="6"/>
      <c r="L3312" s="6"/>
      <c r="M3312" s="6"/>
      <c r="N3312" s="6"/>
      <c r="O3312" s="6"/>
      <c r="P3312" s="6"/>
      <c r="Q3312" s="6"/>
      <c r="R3312" s="6"/>
      <c r="S3312" s="6"/>
      <c r="T3312" s="6"/>
      <c r="U3312" s="6"/>
      <c r="V3312" s="6"/>
      <c r="W3312" s="6"/>
      <c r="X3312" s="6"/>
      <c r="Y3312" s="6"/>
      <c r="Z3312" s="6"/>
    </row>
    <row r="3313" customFormat="false" ht="15" hidden="false" customHeight="false" outlineLevel="0" collapsed="false">
      <c r="A3313" s="9" t="s">
        <v>9156</v>
      </c>
      <c r="B3313" s="9" t="s">
        <v>5870</v>
      </c>
      <c r="C3313" s="9" t="s">
        <v>3569</v>
      </c>
      <c r="D3313" s="9" t="s">
        <v>5871</v>
      </c>
      <c r="E3313" s="9" t="str">
        <f aca="false">IF(AND('Formation Ledger'!A3292&lt;&gt;"",'Formation Ledger'!V3292=0),"PASS","FAIL")</f>
        <v>PASS</v>
      </c>
      <c r="F3313" s="9" t="s">
        <v>76</v>
      </c>
      <c r="G3313" s="6"/>
      <c r="H3313" s="6"/>
      <c r="I3313" s="6"/>
      <c r="J3313" s="6"/>
      <c r="K3313" s="6"/>
      <c r="L3313" s="6"/>
      <c r="M3313" s="6"/>
      <c r="N3313" s="6"/>
      <c r="O3313" s="6"/>
      <c r="P3313" s="6"/>
      <c r="Q3313" s="6"/>
      <c r="R3313" s="6"/>
      <c r="S3313" s="6"/>
      <c r="T3313" s="6"/>
      <c r="U3313" s="6"/>
      <c r="V3313" s="6"/>
      <c r="W3313" s="6"/>
      <c r="X3313" s="6"/>
      <c r="Y3313" s="6"/>
      <c r="Z3313" s="6"/>
    </row>
    <row r="3314" customFormat="false" ht="15" hidden="false" customHeight="false" outlineLevel="0" collapsed="false">
      <c r="A3314" s="9" t="s">
        <v>9157</v>
      </c>
      <c r="B3314" s="9" t="s">
        <v>5870</v>
      </c>
      <c r="C3314" s="9" t="s">
        <v>3570</v>
      </c>
      <c r="D3314" s="9" t="s">
        <v>5871</v>
      </c>
      <c r="E3314" s="9" t="str">
        <f aca="false">IF(AND('Formation Ledger'!A3293&lt;&gt;"",'Formation Ledger'!V3293=0),"PASS","FAIL")</f>
        <v>PASS</v>
      </c>
      <c r="F3314" s="9" t="s">
        <v>76</v>
      </c>
      <c r="G3314" s="6"/>
      <c r="H3314" s="6"/>
      <c r="I3314" s="6"/>
      <c r="J3314" s="6"/>
      <c r="K3314" s="6"/>
      <c r="L3314" s="6"/>
      <c r="M3314" s="6"/>
      <c r="N3314" s="6"/>
      <c r="O3314" s="6"/>
      <c r="P3314" s="6"/>
      <c r="Q3314" s="6"/>
      <c r="R3314" s="6"/>
      <c r="S3314" s="6"/>
      <c r="T3314" s="6"/>
      <c r="U3314" s="6"/>
      <c r="V3314" s="6"/>
      <c r="W3314" s="6"/>
      <c r="X3314" s="6"/>
      <c r="Y3314" s="6"/>
      <c r="Z3314" s="6"/>
    </row>
    <row r="3315" customFormat="false" ht="15" hidden="false" customHeight="false" outlineLevel="0" collapsed="false">
      <c r="A3315" s="9" t="s">
        <v>9158</v>
      </c>
      <c r="B3315" s="9" t="s">
        <v>5870</v>
      </c>
      <c r="C3315" s="9" t="s">
        <v>3571</v>
      </c>
      <c r="D3315" s="9" t="s">
        <v>5871</v>
      </c>
      <c r="E3315" s="9" t="str">
        <f aca="false">IF(AND('Formation Ledger'!A3294&lt;&gt;"",'Formation Ledger'!V3294=0),"PASS","FAIL")</f>
        <v>PASS</v>
      </c>
      <c r="F3315" s="9" t="s">
        <v>76</v>
      </c>
      <c r="G3315" s="6"/>
      <c r="H3315" s="6"/>
      <c r="I3315" s="6"/>
      <c r="J3315" s="6"/>
      <c r="K3315" s="6"/>
      <c r="L3315" s="6"/>
      <c r="M3315" s="6"/>
      <c r="N3315" s="6"/>
      <c r="O3315" s="6"/>
      <c r="P3315" s="6"/>
      <c r="Q3315" s="6"/>
      <c r="R3315" s="6"/>
      <c r="S3315" s="6"/>
      <c r="T3315" s="6"/>
      <c r="U3315" s="6"/>
      <c r="V3315" s="6"/>
      <c r="W3315" s="6"/>
      <c r="X3315" s="6"/>
      <c r="Y3315" s="6"/>
      <c r="Z3315" s="6"/>
    </row>
    <row r="3316" customFormat="false" ht="15" hidden="false" customHeight="false" outlineLevel="0" collapsed="false">
      <c r="A3316" s="9" t="s">
        <v>9159</v>
      </c>
      <c r="B3316" s="9" t="s">
        <v>5870</v>
      </c>
      <c r="C3316" s="9" t="s">
        <v>3572</v>
      </c>
      <c r="D3316" s="9" t="s">
        <v>5871</v>
      </c>
      <c r="E3316" s="9" t="str">
        <f aca="false">IF(AND('Formation Ledger'!A3295&lt;&gt;"",'Formation Ledger'!V3295=0),"PASS","FAIL")</f>
        <v>PASS</v>
      </c>
      <c r="F3316" s="9" t="s">
        <v>76</v>
      </c>
      <c r="G3316" s="6"/>
      <c r="H3316" s="6"/>
      <c r="I3316" s="6"/>
      <c r="J3316" s="6"/>
      <c r="K3316" s="6"/>
      <c r="L3316" s="6"/>
      <c r="M3316" s="6"/>
      <c r="N3316" s="6"/>
      <c r="O3316" s="6"/>
      <c r="P3316" s="6"/>
      <c r="Q3316" s="6"/>
      <c r="R3316" s="6"/>
      <c r="S3316" s="6"/>
      <c r="T3316" s="6"/>
      <c r="U3316" s="6"/>
      <c r="V3316" s="6"/>
      <c r="W3316" s="6"/>
      <c r="X3316" s="6"/>
      <c r="Y3316" s="6"/>
      <c r="Z3316" s="6"/>
    </row>
    <row r="3317" customFormat="false" ht="15" hidden="false" customHeight="false" outlineLevel="0" collapsed="false">
      <c r="A3317" s="9" t="s">
        <v>9160</v>
      </c>
      <c r="B3317" s="9" t="s">
        <v>5870</v>
      </c>
      <c r="C3317" s="9" t="s">
        <v>3573</v>
      </c>
      <c r="D3317" s="9" t="s">
        <v>5871</v>
      </c>
      <c r="E3317" s="9" t="str">
        <f aca="false">IF(AND('Formation Ledger'!A3296&lt;&gt;"",'Formation Ledger'!V3296=0),"PASS","FAIL")</f>
        <v>PASS</v>
      </c>
      <c r="F3317" s="9" t="s">
        <v>76</v>
      </c>
      <c r="G3317" s="6"/>
      <c r="H3317" s="6"/>
      <c r="I3317" s="6"/>
      <c r="J3317" s="6"/>
      <c r="K3317" s="6"/>
      <c r="L3317" s="6"/>
      <c r="M3317" s="6"/>
      <c r="N3317" s="6"/>
      <c r="O3317" s="6"/>
      <c r="P3317" s="6"/>
      <c r="Q3317" s="6"/>
      <c r="R3317" s="6"/>
      <c r="S3317" s="6"/>
      <c r="T3317" s="6"/>
      <c r="U3317" s="6"/>
      <c r="V3317" s="6"/>
      <c r="W3317" s="6"/>
      <c r="X3317" s="6"/>
      <c r="Y3317" s="6"/>
      <c r="Z3317" s="6"/>
    </row>
    <row r="3318" customFormat="false" ht="15" hidden="false" customHeight="false" outlineLevel="0" collapsed="false">
      <c r="A3318" s="9" t="s">
        <v>9161</v>
      </c>
      <c r="B3318" s="9" t="s">
        <v>5870</v>
      </c>
      <c r="C3318" s="9" t="s">
        <v>3574</v>
      </c>
      <c r="D3318" s="9" t="s">
        <v>5871</v>
      </c>
      <c r="E3318" s="9" t="str">
        <f aca="false">IF(AND('Formation Ledger'!A3297&lt;&gt;"",'Formation Ledger'!V3297=0),"PASS","FAIL")</f>
        <v>PASS</v>
      </c>
      <c r="F3318" s="9" t="s">
        <v>76</v>
      </c>
      <c r="G3318" s="6"/>
      <c r="H3318" s="6"/>
      <c r="I3318" s="6"/>
      <c r="J3318" s="6"/>
      <c r="K3318" s="6"/>
      <c r="L3318" s="6"/>
      <c r="M3318" s="6"/>
      <c r="N3318" s="6"/>
      <c r="O3318" s="6"/>
      <c r="P3318" s="6"/>
      <c r="Q3318" s="6"/>
      <c r="R3318" s="6"/>
      <c r="S3318" s="6"/>
      <c r="T3318" s="6"/>
      <c r="U3318" s="6"/>
      <c r="V3318" s="6"/>
      <c r="W3318" s="6"/>
      <c r="X3318" s="6"/>
      <c r="Y3318" s="6"/>
      <c r="Z3318" s="6"/>
    </row>
    <row r="3319" customFormat="false" ht="15" hidden="false" customHeight="false" outlineLevel="0" collapsed="false">
      <c r="A3319" s="9" t="s">
        <v>9162</v>
      </c>
      <c r="B3319" s="9" t="s">
        <v>5870</v>
      </c>
      <c r="C3319" s="9" t="s">
        <v>3575</v>
      </c>
      <c r="D3319" s="9" t="s">
        <v>5871</v>
      </c>
      <c r="E3319" s="9" t="str">
        <f aca="false">IF(AND('Formation Ledger'!A3298&lt;&gt;"",'Formation Ledger'!V3298=0),"PASS","FAIL")</f>
        <v>PASS</v>
      </c>
      <c r="F3319" s="9" t="s">
        <v>76</v>
      </c>
      <c r="G3319" s="6"/>
      <c r="H3319" s="6"/>
      <c r="I3319" s="6"/>
      <c r="J3319" s="6"/>
      <c r="K3319" s="6"/>
      <c r="L3319" s="6"/>
      <c r="M3319" s="6"/>
      <c r="N3319" s="6"/>
      <c r="O3319" s="6"/>
      <c r="P3319" s="6"/>
      <c r="Q3319" s="6"/>
      <c r="R3319" s="6"/>
      <c r="S3319" s="6"/>
      <c r="T3319" s="6"/>
      <c r="U3319" s="6"/>
      <c r="V3319" s="6"/>
      <c r="W3319" s="6"/>
      <c r="X3319" s="6"/>
      <c r="Y3319" s="6"/>
      <c r="Z3319" s="6"/>
    </row>
    <row r="3320" customFormat="false" ht="15" hidden="false" customHeight="false" outlineLevel="0" collapsed="false">
      <c r="A3320" s="9" t="s">
        <v>9163</v>
      </c>
      <c r="B3320" s="9" t="s">
        <v>5870</v>
      </c>
      <c r="C3320" s="9" t="s">
        <v>3576</v>
      </c>
      <c r="D3320" s="9" t="s">
        <v>5871</v>
      </c>
      <c r="E3320" s="9" t="str">
        <f aca="false">IF(AND('Formation Ledger'!A3299&lt;&gt;"",'Formation Ledger'!V3299=0),"PASS","FAIL")</f>
        <v>PASS</v>
      </c>
      <c r="F3320" s="9" t="s">
        <v>76</v>
      </c>
      <c r="G3320" s="6"/>
      <c r="H3320" s="6"/>
      <c r="I3320" s="6"/>
      <c r="J3320" s="6"/>
      <c r="K3320" s="6"/>
      <c r="L3320" s="6"/>
      <c r="M3320" s="6"/>
      <c r="N3320" s="6"/>
      <c r="O3320" s="6"/>
      <c r="P3320" s="6"/>
      <c r="Q3320" s="6"/>
      <c r="R3320" s="6"/>
      <c r="S3320" s="6"/>
      <c r="T3320" s="6"/>
      <c r="U3320" s="6"/>
      <c r="V3320" s="6"/>
      <c r="W3320" s="6"/>
      <c r="X3320" s="6"/>
      <c r="Y3320" s="6"/>
      <c r="Z3320" s="6"/>
    </row>
    <row r="3321" customFormat="false" ht="15" hidden="false" customHeight="false" outlineLevel="0" collapsed="false">
      <c r="A3321" s="9" t="s">
        <v>9164</v>
      </c>
      <c r="B3321" s="9" t="s">
        <v>5870</v>
      </c>
      <c r="C3321" s="9" t="s">
        <v>3577</v>
      </c>
      <c r="D3321" s="9" t="s">
        <v>5871</v>
      </c>
      <c r="E3321" s="9" t="str">
        <f aca="false">IF(AND('Formation Ledger'!A3300&lt;&gt;"",'Formation Ledger'!V3300=0),"PASS","FAIL")</f>
        <v>PASS</v>
      </c>
      <c r="F3321" s="9" t="s">
        <v>76</v>
      </c>
      <c r="G3321" s="6"/>
      <c r="H3321" s="6"/>
      <c r="I3321" s="6"/>
      <c r="J3321" s="6"/>
      <c r="K3321" s="6"/>
      <c r="L3321" s="6"/>
      <c r="M3321" s="6"/>
      <c r="N3321" s="6"/>
      <c r="O3321" s="6"/>
      <c r="P3321" s="6"/>
      <c r="Q3321" s="6"/>
      <c r="R3321" s="6"/>
      <c r="S3321" s="6"/>
      <c r="T3321" s="6"/>
      <c r="U3321" s="6"/>
      <c r="V3321" s="6"/>
      <c r="W3321" s="6"/>
      <c r="X3321" s="6"/>
      <c r="Y3321" s="6"/>
      <c r="Z3321" s="6"/>
    </row>
    <row r="3322" customFormat="false" ht="15" hidden="false" customHeight="false" outlineLevel="0" collapsed="false">
      <c r="A3322" s="9" t="s">
        <v>9165</v>
      </c>
      <c r="B3322" s="9" t="s">
        <v>5870</v>
      </c>
      <c r="C3322" s="9" t="s">
        <v>3578</v>
      </c>
      <c r="D3322" s="9" t="s">
        <v>5871</v>
      </c>
      <c r="E3322" s="9" t="str">
        <f aca="false">IF(AND('Formation Ledger'!A3301&lt;&gt;"",'Formation Ledger'!V3301=0),"PASS","FAIL")</f>
        <v>PASS</v>
      </c>
      <c r="F3322" s="9" t="s">
        <v>76</v>
      </c>
      <c r="G3322" s="6"/>
      <c r="H3322" s="6"/>
      <c r="I3322" s="6"/>
      <c r="J3322" s="6"/>
      <c r="K3322" s="6"/>
      <c r="L3322" s="6"/>
      <c r="M3322" s="6"/>
      <c r="N3322" s="6"/>
      <c r="O3322" s="6"/>
      <c r="P3322" s="6"/>
      <c r="Q3322" s="6"/>
      <c r="R3322" s="6"/>
      <c r="S3322" s="6"/>
      <c r="T3322" s="6"/>
      <c r="U3322" s="6"/>
      <c r="V3322" s="6"/>
      <c r="W3322" s="6"/>
      <c r="X3322" s="6"/>
      <c r="Y3322" s="6"/>
      <c r="Z3322" s="6"/>
    </row>
    <row r="3323" customFormat="false" ht="15" hidden="false" customHeight="false" outlineLevel="0" collapsed="false">
      <c r="A3323" s="9" t="s">
        <v>9166</v>
      </c>
      <c r="B3323" s="9" t="s">
        <v>5870</v>
      </c>
      <c r="C3323" s="9" t="s">
        <v>3579</v>
      </c>
      <c r="D3323" s="9" t="s">
        <v>5871</v>
      </c>
      <c r="E3323" s="9" t="str">
        <f aca="false">IF(AND('Formation Ledger'!A3302&lt;&gt;"",'Formation Ledger'!V3302=0),"PASS","FAIL")</f>
        <v>PASS</v>
      </c>
      <c r="F3323" s="9" t="s">
        <v>76</v>
      </c>
      <c r="G3323" s="6"/>
      <c r="H3323" s="6"/>
      <c r="I3323" s="6"/>
      <c r="J3323" s="6"/>
      <c r="K3323" s="6"/>
      <c r="L3323" s="6"/>
      <c r="M3323" s="6"/>
      <c r="N3323" s="6"/>
      <c r="O3323" s="6"/>
      <c r="P3323" s="6"/>
      <c r="Q3323" s="6"/>
      <c r="R3323" s="6"/>
      <c r="S3323" s="6"/>
      <c r="T3323" s="6"/>
      <c r="U3323" s="6"/>
      <c r="V3323" s="6"/>
      <c r="W3323" s="6"/>
      <c r="X3323" s="6"/>
      <c r="Y3323" s="6"/>
      <c r="Z3323" s="6"/>
    </row>
    <row r="3324" customFormat="false" ht="15" hidden="false" customHeight="false" outlineLevel="0" collapsed="false">
      <c r="A3324" s="9" t="s">
        <v>9167</v>
      </c>
      <c r="B3324" s="9" t="s">
        <v>5870</v>
      </c>
      <c r="C3324" s="9" t="s">
        <v>3580</v>
      </c>
      <c r="D3324" s="9" t="s">
        <v>5871</v>
      </c>
      <c r="E3324" s="9" t="str">
        <f aca="false">IF(AND('Formation Ledger'!A3303&lt;&gt;"",'Formation Ledger'!V3303=0),"PASS","FAIL")</f>
        <v>PASS</v>
      </c>
      <c r="F3324" s="9" t="s">
        <v>76</v>
      </c>
      <c r="G3324" s="6"/>
      <c r="H3324" s="6"/>
      <c r="I3324" s="6"/>
      <c r="J3324" s="6"/>
      <c r="K3324" s="6"/>
      <c r="L3324" s="6"/>
      <c r="M3324" s="6"/>
      <c r="N3324" s="6"/>
      <c r="O3324" s="6"/>
      <c r="P3324" s="6"/>
      <c r="Q3324" s="6"/>
      <c r="R3324" s="6"/>
      <c r="S3324" s="6"/>
      <c r="T3324" s="6"/>
      <c r="U3324" s="6"/>
      <c r="V3324" s="6"/>
      <c r="W3324" s="6"/>
      <c r="X3324" s="6"/>
      <c r="Y3324" s="6"/>
      <c r="Z3324" s="6"/>
    </row>
    <row r="3325" customFormat="false" ht="15" hidden="false" customHeight="false" outlineLevel="0" collapsed="false">
      <c r="A3325" s="9" t="s">
        <v>9168</v>
      </c>
      <c r="B3325" s="9" t="s">
        <v>5870</v>
      </c>
      <c r="C3325" s="9" t="s">
        <v>3581</v>
      </c>
      <c r="D3325" s="9" t="s">
        <v>5871</v>
      </c>
      <c r="E3325" s="9" t="str">
        <f aca="false">IF(AND('Formation Ledger'!A3304&lt;&gt;"",'Formation Ledger'!V3304=0),"PASS","FAIL")</f>
        <v>PASS</v>
      </c>
      <c r="F3325" s="9" t="s">
        <v>76</v>
      </c>
      <c r="G3325" s="6"/>
      <c r="H3325" s="6"/>
      <c r="I3325" s="6"/>
      <c r="J3325" s="6"/>
      <c r="K3325" s="6"/>
      <c r="L3325" s="6"/>
      <c r="M3325" s="6"/>
      <c r="N3325" s="6"/>
      <c r="O3325" s="6"/>
      <c r="P3325" s="6"/>
      <c r="Q3325" s="6"/>
      <c r="R3325" s="6"/>
      <c r="S3325" s="6"/>
      <c r="T3325" s="6"/>
      <c r="U3325" s="6"/>
      <c r="V3325" s="6"/>
      <c r="W3325" s="6"/>
      <c r="X3325" s="6"/>
      <c r="Y3325" s="6"/>
      <c r="Z3325" s="6"/>
    </row>
    <row r="3326" customFormat="false" ht="15" hidden="false" customHeight="false" outlineLevel="0" collapsed="false">
      <c r="A3326" s="9" t="s">
        <v>9169</v>
      </c>
      <c r="B3326" s="9" t="s">
        <v>5870</v>
      </c>
      <c r="C3326" s="9" t="s">
        <v>3582</v>
      </c>
      <c r="D3326" s="9" t="s">
        <v>5871</v>
      </c>
      <c r="E3326" s="9" t="str">
        <f aca="false">IF(AND('Formation Ledger'!A3305&lt;&gt;"",'Formation Ledger'!V3305=0),"PASS","FAIL")</f>
        <v>PASS</v>
      </c>
      <c r="F3326" s="9" t="s">
        <v>76</v>
      </c>
      <c r="G3326" s="6"/>
      <c r="H3326" s="6"/>
      <c r="I3326" s="6"/>
      <c r="J3326" s="6"/>
      <c r="K3326" s="6"/>
      <c r="L3326" s="6"/>
      <c r="M3326" s="6"/>
      <c r="N3326" s="6"/>
      <c r="O3326" s="6"/>
      <c r="P3326" s="6"/>
      <c r="Q3326" s="6"/>
      <c r="R3326" s="6"/>
      <c r="S3326" s="6"/>
      <c r="T3326" s="6"/>
      <c r="U3326" s="6"/>
      <c r="V3326" s="6"/>
      <c r="W3326" s="6"/>
      <c r="X3326" s="6"/>
      <c r="Y3326" s="6"/>
      <c r="Z3326" s="6"/>
    </row>
    <row r="3327" customFormat="false" ht="15" hidden="false" customHeight="false" outlineLevel="0" collapsed="false">
      <c r="A3327" s="9" t="s">
        <v>9170</v>
      </c>
      <c r="B3327" s="9" t="s">
        <v>5870</v>
      </c>
      <c r="C3327" s="9" t="s">
        <v>3583</v>
      </c>
      <c r="D3327" s="9" t="s">
        <v>5871</v>
      </c>
      <c r="E3327" s="9" t="str">
        <f aca="false">IF(AND('Formation Ledger'!A3306&lt;&gt;"",'Formation Ledger'!V3306=0),"PASS","FAIL")</f>
        <v>PASS</v>
      </c>
      <c r="F3327" s="9" t="s">
        <v>76</v>
      </c>
      <c r="G3327" s="6"/>
      <c r="H3327" s="6"/>
      <c r="I3327" s="6"/>
      <c r="J3327" s="6"/>
      <c r="K3327" s="6"/>
      <c r="L3327" s="6"/>
      <c r="M3327" s="6"/>
      <c r="N3327" s="6"/>
      <c r="O3327" s="6"/>
      <c r="P3327" s="6"/>
      <c r="Q3327" s="6"/>
      <c r="R3327" s="6"/>
      <c r="S3327" s="6"/>
      <c r="T3327" s="6"/>
      <c r="U3327" s="6"/>
      <c r="V3327" s="6"/>
      <c r="W3327" s="6"/>
      <c r="X3327" s="6"/>
      <c r="Y3327" s="6"/>
      <c r="Z3327" s="6"/>
    </row>
    <row r="3328" customFormat="false" ht="15" hidden="false" customHeight="false" outlineLevel="0" collapsed="false">
      <c r="A3328" s="9" t="s">
        <v>9171</v>
      </c>
      <c r="B3328" s="9" t="s">
        <v>5870</v>
      </c>
      <c r="C3328" s="9" t="s">
        <v>3584</v>
      </c>
      <c r="D3328" s="9" t="s">
        <v>5871</v>
      </c>
      <c r="E3328" s="9" t="str">
        <f aca="false">IF(AND('Formation Ledger'!A3307&lt;&gt;"",'Formation Ledger'!V3307=0),"PASS","FAIL")</f>
        <v>PASS</v>
      </c>
      <c r="F3328" s="9" t="s">
        <v>76</v>
      </c>
      <c r="G3328" s="6"/>
      <c r="H3328" s="6"/>
      <c r="I3328" s="6"/>
      <c r="J3328" s="6"/>
      <c r="K3328" s="6"/>
      <c r="L3328" s="6"/>
      <c r="M3328" s="6"/>
      <c r="N3328" s="6"/>
      <c r="O3328" s="6"/>
      <c r="P3328" s="6"/>
      <c r="Q3328" s="6"/>
      <c r="R3328" s="6"/>
      <c r="S3328" s="6"/>
      <c r="T3328" s="6"/>
      <c r="U3328" s="6"/>
      <c r="V3328" s="6"/>
      <c r="W3328" s="6"/>
      <c r="X3328" s="6"/>
      <c r="Y3328" s="6"/>
      <c r="Z3328" s="6"/>
    </row>
    <row r="3329" customFormat="false" ht="15" hidden="false" customHeight="false" outlineLevel="0" collapsed="false">
      <c r="A3329" s="9" t="s">
        <v>9172</v>
      </c>
      <c r="B3329" s="9" t="s">
        <v>5870</v>
      </c>
      <c r="C3329" s="9" t="s">
        <v>3585</v>
      </c>
      <c r="D3329" s="9" t="s">
        <v>5871</v>
      </c>
      <c r="E3329" s="9" t="str">
        <f aca="false">IF(AND('Formation Ledger'!A3308&lt;&gt;"",'Formation Ledger'!V3308=0),"PASS","FAIL")</f>
        <v>PASS</v>
      </c>
      <c r="F3329" s="9" t="s">
        <v>76</v>
      </c>
      <c r="G3329" s="6"/>
      <c r="H3329" s="6"/>
      <c r="I3329" s="6"/>
      <c r="J3329" s="6"/>
      <c r="K3329" s="6"/>
      <c r="L3329" s="6"/>
      <c r="M3329" s="6"/>
      <c r="N3329" s="6"/>
      <c r="O3329" s="6"/>
      <c r="P3329" s="6"/>
      <c r="Q3329" s="6"/>
      <c r="R3329" s="6"/>
      <c r="S3329" s="6"/>
      <c r="T3329" s="6"/>
      <c r="U3329" s="6"/>
      <c r="V3329" s="6"/>
      <c r="W3329" s="6"/>
      <c r="X3329" s="6"/>
      <c r="Y3329" s="6"/>
      <c r="Z3329" s="6"/>
    </row>
    <row r="3330" customFormat="false" ht="15" hidden="false" customHeight="false" outlineLevel="0" collapsed="false">
      <c r="A3330" s="9" t="s">
        <v>9173</v>
      </c>
      <c r="B3330" s="9" t="s">
        <v>5870</v>
      </c>
      <c r="C3330" s="9" t="s">
        <v>3586</v>
      </c>
      <c r="D3330" s="9" t="s">
        <v>5871</v>
      </c>
      <c r="E3330" s="9" t="str">
        <f aca="false">IF(AND('Formation Ledger'!A3309&lt;&gt;"",'Formation Ledger'!V3309=0),"PASS","FAIL")</f>
        <v>PASS</v>
      </c>
      <c r="F3330" s="9" t="s">
        <v>76</v>
      </c>
      <c r="G3330" s="6"/>
      <c r="H3330" s="6"/>
      <c r="I3330" s="6"/>
      <c r="J3330" s="6"/>
      <c r="K3330" s="6"/>
      <c r="L3330" s="6"/>
      <c r="M3330" s="6"/>
      <c r="N3330" s="6"/>
      <c r="O3330" s="6"/>
      <c r="P3330" s="6"/>
      <c r="Q3330" s="6"/>
      <c r="R3330" s="6"/>
      <c r="S3330" s="6"/>
      <c r="T3330" s="6"/>
      <c r="U3330" s="6"/>
      <c r="V3330" s="6"/>
      <c r="W3330" s="6"/>
      <c r="X3330" s="6"/>
      <c r="Y3330" s="6"/>
      <c r="Z3330" s="6"/>
    </row>
    <row r="3331" customFormat="false" ht="15" hidden="false" customHeight="false" outlineLevel="0" collapsed="false">
      <c r="A3331" s="9" t="s">
        <v>9174</v>
      </c>
      <c r="B3331" s="9" t="s">
        <v>5870</v>
      </c>
      <c r="C3331" s="9" t="s">
        <v>3587</v>
      </c>
      <c r="D3331" s="9" t="s">
        <v>5871</v>
      </c>
      <c r="E3331" s="9" t="str">
        <f aca="false">IF(AND('Formation Ledger'!A3310&lt;&gt;"",'Formation Ledger'!V3310=0),"PASS","FAIL")</f>
        <v>PASS</v>
      </c>
      <c r="F3331" s="9" t="s">
        <v>76</v>
      </c>
      <c r="G3331" s="6"/>
      <c r="H3331" s="6"/>
      <c r="I3331" s="6"/>
      <c r="J3331" s="6"/>
      <c r="K3331" s="6"/>
      <c r="L3331" s="6"/>
      <c r="M3331" s="6"/>
      <c r="N3331" s="6"/>
      <c r="O3331" s="6"/>
      <c r="P3331" s="6"/>
      <c r="Q3331" s="6"/>
      <c r="R3331" s="6"/>
      <c r="S3331" s="6"/>
      <c r="T3331" s="6"/>
      <c r="U3331" s="6"/>
      <c r="V3331" s="6"/>
      <c r="W3331" s="6"/>
      <c r="X3331" s="6"/>
      <c r="Y3331" s="6"/>
      <c r="Z3331" s="6"/>
    </row>
    <row r="3332" customFormat="false" ht="15" hidden="false" customHeight="false" outlineLevel="0" collapsed="false">
      <c r="A3332" s="9" t="s">
        <v>9175</v>
      </c>
      <c r="B3332" s="9" t="s">
        <v>5870</v>
      </c>
      <c r="C3332" s="9" t="s">
        <v>3588</v>
      </c>
      <c r="D3332" s="9" t="s">
        <v>5871</v>
      </c>
      <c r="E3332" s="9" t="str">
        <f aca="false">IF(AND('Formation Ledger'!A3311&lt;&gt;"",'Formation Ledger'!V3311=0),"PASS","FAIL")</f>
        <v>PASS</v>
      </c>
      <c r="F3332" s="9" t="s">
        <v>76</v>
      </c>
      <c r="G3332" s="6"/>
      <c r="H3332" s="6"/>
      <c r="I3332" s="6"/>
      <c r="J3332" s="6"/>
      <c r="K3332" s="6"/>
      <c r="L3332" s="6"/>
      <c r="M3332" s="6"/>
      <c r="N3332" s="6"/>
      <c r="O3332" s="6"/>
      <c r="P3332" s="6"/>
      <c r="Q3332" s="6"/>
      <c r="R3332" s="6"/>
      <c r="S3332" s="6"/>
      <c r="T3332" s="6"/>
      <c r="U3332" s="6"/>
      <c r="V3332" s="6"/>
      <c r="W3332" s="6"/>
      <c r="X3332" s="6"/>
      <c r="Y3332" s="6"/>
      <c r="Z3332" s="6"/>
    </row>
    <row r="3333" customFormat="false" ht="15" hidden="false" customHeight="false" outlineLevel="0" collapsed="false">
      <c r="A3333" s="9" t="s">
        <v>9176</v>
      </c>
      <c r="B3333" s="9" t="s">
        <v>5870</v>
      </c>
      <c r="C3333" s="9" t="s">
        <v>3589</v>
      </c>
      <c r="D3333" s="9" t="s">
        <v>5871</v>
      </c>
      <c r="E3333" s="9" t="str">
        <f aca="false">IF(AND('Formation Ledger'!A3312&lt;&gt;"",'Formation Ledger'!V3312=0),"PASS","FAIL")</f>
        <v>PASS</v>
      </c>
      <c r="F3333" s="9" t="s">
        <v>76</v>
      </c>
      <c r="G3333" s="6"/>
      <c r="H3333" s="6"/>
      <c r="I3333" s="6"/>
      <c r="J3333" s="6"/>
      <c r="K3333" s="6"/>
      <c r="L3333" s="6"/>
      <c r="M3333" s="6"/>
      <c r="N3333" s="6"/>
      <c r="O3333" s="6"/>
      <c r="P3333" s="6"/>
      <c r="Q3333" s="6"/>
      <c r="R3333" s="6"/>
      <c r="S3333" s="6"/>
      <c r="T3333" s="6"/>
      <c r="U3333" s="6"/>
      <c r="V3333" s="6"/>
      <c r="W3333" s="6"/>
      <c r="X3333" s="6"/>
      <c r="Y3333" s="6"/>
      <c r="Z3333" s="6"/>
    </row>
    <row r="3334" customFormat="false" ht="15" hidden="false" customHeight="false" outlineLevel="0" collapsed="false">
      <c r="A3334" s="9" t="s">
        <v>9177</v>
      </c>
      <c r="B3334" s="9" t="s">
        <v>5870</v>
      </c>
      <c r="C3334" s="9" t="s">
        <v>3590</v>
      </c>
      <c r="D3334" s="9" t="s">
        <v>5871</v>
      </c>
      <c r="E3334" s="9" t="str">
        <f aca="false">IF(AND('Formation Ledger'!A3313&lt;&gt;"",'Formation Ledger'!V3313=0),"PASS","FAIL")</f>
        <v>PASS</v>
      </c>
      <c r="F3334" s="9" t="s">
        <v>76</v>
      </c>
      <c r="G3334" s="6"/>
      <c r="H3334" s="6"/>
      <c r="I3334" s="6"/>
      <c r="J3334" s="6"/>
      <c r="K3334" s="6"/>
      <c r="L3334" s="6"/>
      <c r="M3334" s="6"/>
      <c r="N3334" s="6"/>
      <c r="O3334" s="6"/>
      <c r="P3334" s="6"/>
      <c r="Q3334" s="6"/>
      <c r="R3334" s="6"/>
      <c r="S3334" s="6"/>
      <c r="T3334" s="6"/>
      <c r="U3334" s="6"/>
      <c r="V3334" s="6"/>
      <c r="W3334" s="6"/>
      <c r="X3334" s="6"/>
      <c r="Y3334" s="6"/>
      <c r="Z3334" s="6"/>
    </row>
    <row r="3335" customFormat="false" ht="15" hidden="false" customHeight="false" outlineLevel="0" collapsed="false">
      <c r="A3335" s="9" t="s">
        <v>9178</v>
      </c>
      <c r="B3335" s="9" t="s">
        <v>5870</v>
      </c>
      <c r="C3335" s="9" t="s">
        <v>3591</v>
      </c>
      <c r="D3335" s="9" t="s">
        <v>5871</v>
      </c>
      <c r="E3335" s="9" t="str">
        <f aca="false">IF(AND('Formation Ledger'!A3314&lt;&gt;"",'Formation Ledger'!V3314=0),"PASS","FAIL")</f>
        <v>PASS</v>
      </c>
      <c r="F3335" s="9" t="s">
        <v>76</v>
      </c>
      <c r="G3335" s="6"/>
      <c r="H3335" s="6"/>
      <c r="I3335" s="6"/>
      <c r="J3335" s="6"/>
      <c r="K3335" s="6"/>
      <c r="L3335" s="6"/>
      <c r="M3335" s="6"/>
      <c r="N3335" s="6"/>
      <c r="O3335" s="6"/>
      <c r="P3335" s="6"/>
      <c r="Q3335" s="6"/>
      <c r="R3335" s="6"/>
      <c r="S3335" s="6"/>
      <c r="T3335" s="6"/>
      <c r="U3335" s="6"/>
      <c r="V3335" s="6"/>
      <c r="W3335" s="6"/>
      <c r="X3335" s="6"/>
      <c r="Y3335" s="6"/>
      <c r="Z3335" s="6"/>
    </row>
    <row r="3336" customFormat="false" ht="15" hidden="false" customHeight="false" outlineLevel="0" collapsed="false">
      <c r="A3336" s="9" t="s">
        <v>9179</v>
      </c>
      <c r="B3336" s="9" t="s">
        <v>5870</v>
      </c>
      <c r="C3336" s="9" t="s">
        <v>3592</v>
      </c>
      <c r="D3336" s="9" t="s">
        <v>5871</v>
      </c>
      <c r="E3336" s="9" t="str">
        <f aca="false">IF(AND('Formation Ledger'!A3315&lt;&gt;"",'Formation Ledger'!V3315=0),"PASS","FAIL")</f>
        <v>PASS</v>
      </c>
      <c r="F3336" s="9" t="s">
        <v>76</v>
      </c>
      <c r="G3336" s="6"/>
      <c r="H3336" s="6"/>
      <c r="I3336" s="6"/>
      <c r="J3336" s="6"/>
      <c r="K3336" s="6"/>
      <c r="L3336" s="6"/>
      <c r="M3336" s="6"/>
      <c r="N3336" s="6"/>
      <c r="O3336" s="6"/>
      <c r="P3336" s="6"/>
      <c r="Q3336" s="6"/>
      <c r="R3336" s="6"/>
      <c r="S3336" s="6"/>
      <c r="T3336" s="6"/>
      <c r="U3336" s="6"/>
      <c r="V3336" s="6"/>
      <c r="W3336" s="6"/>
      <c r="X3336" s="6"/>
      <c r="Y3336" s="6"/>
      <c r="Z3336" s="6"/>
    </row>
    <row r="3337" customFormat="false" ht="15" hidden="false" customHeight="false" outlineLevel="0" collapsed="false">
      <c r="A3337" s="9" t="s">
        <v>9180</v>
      </c>
      <c r="B3337" s="9" t="s">
        <v>5870</v>
      </c>
      <c r="C3337" s="9" t="s">
        <v>3593</v>
      </c>
      <c r="D3337" s="9" t="s">
        <v>5871</v>
      </c>
      <c r="E3337" s="9" t="str">
        <f aca="false">IF(AND('Formation Ledger'!A3316&lt;&gt;"",'Formation Ledger'!V3316=0),"PASS","FAIL")</f>
        <v>PASS</v>
      </c>
      <c r="F3337" s="9" t="s">
        <v>76</v>
      </c>
      <c r="G3337" s="6"/>
      <c r="H3337" s="6"/>
      <c r="I3337" s="6"/>
      <c r="J3337" s="6"/>
      <c r="K3337" s="6"/>
      <c r="L3337" s="6"/>
      <c r="M3337" s="6"/>
      <c r="N3337" s="6"/>
      <c r="O3337" s="6"/>
      <c r="P3337" s="6"/>
      <c r="Q3337" s="6"/>
      <c r="R3337" s="6"/>
      <c r="S3337" s="6"/>
      <c r="T3337" s="6"/>
      <c r="U3337" s="6"/>
      <c r="V3337" s="6"/>
      <c r="W3337" s="6"/>
      <c r="X3337" s="6"/>
      <c r="Y3337" s="6"/>
      <c r="Z3337" s="6"/>
    </row>
    <row r="3338" customFormat="false" ht="15" hidden="false" customHeight="false" outlineLevel="0" collapsed="false">
      <c r="A3338" s="9" t="s">
        <v>9181</v>
      </c>
      <c r="B3338" s="9" t="s">
        <v>5870</v>
      </c>
      <c r="C3338" s="9" t="s">
        <v>3594</v>
      </c>
      <c r="D3338" s="9" t="s">
        <v>5871</v>
      </c>
      <c r="E3338" s="9" t="str">
        <f aca="false">IF(AND('Formation Ledger'!A3317&lt;&gt;"",'Formation Ledger'!V3317=0),"PASS","FAIL")</f>
        <v>PASS</v>
      </c>
      <c r="F3338" s="9" t="s">
        <v>76</v>
      </c>
      <c r="G3338" s="6"/>
      <c r="H3338" s="6"/>
      <c r="I3338" s="6"/>
      <c r="J3338" s="6"/>
      <c r="K3338" s="6"/>
      <c r="L3338" s="6"/>
      <c r="M3338" s="6"/>
      <c r="N3338" s="6"/>
      <c r="O3338" s="6"/>
      <c r="P3338" s="6"/>
      <c r="Q3338" s="6"/>
      <c r="R3338" s="6"/>
      <c r="S3338" s="6"/>
      <c r="T3338" s="6"/>
      <c r="U3338" s="6"/>
      <c r="V3338" s="6"/>
      <c r="W3338" s="6"/>
      <c r="X3338" s="6"/>
      <c r="Y3338" s="6"/>
      <c r="Z3338" s="6"/>
    </row>
    <row r="3339" customFormat="false" ht="15" hidden="false" customHeight="false" outlineLevel="0" collapsed="false">
      <c r="A3339" s="9" t="s">
        <v>9182</v>
      </c>
      <c r="B3339" s="9" t="s">
        <v>5870</v>
      </c>
      <c r="C3339" s="9" t="s">
        <v>3595</v>
      </c>
      <c r="D3339" s="9" t="s">
        <v>5871</v>
      </c>
      <c r="E3339" s="9" t="str">
        <f aca="false">IF(AND('Formation Ledger'!A3318&lt;&gt;"",'Formation Ledger'!V3318=0),"PASS","FAIL")</f>
        <v>PASS</v>
      </c>
      <c r="F3339" s="9" t="s">
        <v>76</v>
      </c>
      <c r="G3339" s="6"/>
      <c r="H3339" s="6"/>
      <c r="I3339" s="6"/>
      <c r="J3339" s="6"/>
      <c r="K3339" s="6"/>
      <c r="L3339" s="6"/>
      <c r="M3339" s="6"/>
      <c r="N3339" s="6"/>
      <c r="O3339" s="6"/>
      <c r="P3339" s="6"/>
      <c r="Q3339" s="6"/>
      <c r="R3339" s="6"/>
      <c r="S3339" s="6"/>
      <c r="T3339" s="6"/>
      <c r="U3339" s="6"/>
      <c r="V3339" s="6"/>
      <c r="W3339" s="6"/>
      <c r="X3339" s="6"/>
      <c r="Y3339" s="6"/>
      <c r="Z3339" s="6"/>
    </row>
    <row r="3340" customFormat="false" ht="15" hidden="false" customHeight="false" outlineLevel="0" collapsed="false">
      <c r="A3340" s="9" t="s">
        <v>9183</v>
      </c>
      <c r="B3340" s="9" t="s">
        <v>5870</v>
      </c>
      <c r="C3340" s="9" t="s">
        <v>3596</v>
      </c>
      <c r="D3340" s="9" t="s">
        <v>5871</v>
      </c>
      <c r="E3340" s="9" t="str">
        <f aca="false">IF(AND('Formation Ledger'!A3319&lt;&gt;"",'Formation Ledger'!V3319=0),"PASS","FAIL")</f>
        <v>PASS</v>
      </c>
      <c r="F3340" s="9" t="s">
        <v>76</v>
      </c>
      <c r="G3340" s="6"/>
      <c r="H3340" s="6"/>
      <c r="I3340" s="6"/>
      <c r="J3340" s="6"/>
      <c r="K3340" s="6"/>
      <c r="L3340" s="6"/>
      <c r="M3340" s="6"/>
      <c r="N3340" s="6"/>
      <c r="O3340" s="6"/>
      <c r="P3340" s="6"/>
      <c r="Q3340" s="6"/>
      <c r="R3340" s="6"/>
      <c r="S3340" s="6"/>
      <c r="T3340" s="6"/>
      <c r="U3340" s="6"/>
      <c r="V3340" s="6"/>
      <c r="W3340" s="6"/>
      <c r="X3340" s="6"/>
      <c r="Y3340" s="6"/>
      <c r="Z3340" s="6"/>
    </row>
    <row r="3341" customFormat="false" ht="15" hidden="false" customHeight="false" outlineLevel="0" collapsed="false">
      <c r="A3341" s="9" t="s">
        <v>9184</v>
      </c>
      <c r="B3341" s="9" t="s">
        <v>5870</v>
      </c>
      <c r="C3341" s="9" t="s">
        <v>3597</v>
      </c>
      <c r="D3341" s="9" t="s">
        <v>5871</v>
      </c>
      <c r="E3341" s="9" t="str">
        <f aca="false">IF(AND('Formation Ledger'!A3320&lt;&gt;"",'Formation Ledger'!V3320=0),"PASS","FAIL")</f>
        <v>PASS</v>
      </c>
      <c r="F3341" s="9" t="s">
        <v>76</v>
      </c>
      <c r="G3341" s="6"/>
      <c r="H3341" s="6"/>
      <c r="I3341" s="6"/>
      <c r="J3341" s="6"/>
      <c r="K3341" s="6"/>
      <c r="L3341" s="6"/>
      <c r="M3341" s="6"/>
      <c r="N3341" s="6"/>
      <c r="O3341" s="6"/>
      <c r="P3341" s="6"/>
      <c r="Q3341" s="6"/>
      <c r="R3341" s="6"/>
      <c r="S3341" s="6"/>
      <c r="T3341" s="6"/>
      <c r="U3341" s="6"/>
      <c r="V3341" s="6"/>
      <c r="W3341" s="6"/>
      <c r="X3341" s="6"/>
      <c r="Y3341" s="6"/>
      <c r="Z3341" s="6"/>
    </row>
    <row r="3342" customFormat="false" ht="15" hidden="false" customHeight="false" outlineLevel="0" collapsed="false">
      <c r="A3342" s="9" t="s">
        <v>9185</v>
      </c>
      <c r="B3342" s="9" t="s">
        <v>5870</v>
      </c>
      <c r="C3342" s="9" t="s">
        <v>3598</v>
      </c>
      <c r="D3342" s="9" t="s">
        <v>5871</v>
      </c>
      <c r="E3342" s="9" t="str">
        <f aca="false">IF(AND('Formation Ledger'!A3321&lt;&gt;"",'Formation Ledger'!V3321=0),"PASS","FAIL")</f>
        <v>PASS</v>
      </c>
      <c r="F3342" s="9" t="s">
        <v>76</v>
      </c>
      <c r="G3342" s="6"/>
      <c r="H3342" s="6"/>
      <c r="I3342" s="6"/>
      <c r="J3342" s="6"/>
      <c r="K3342" s="6"/>
      <c r="L3342" s="6"/>
      <c r="M3342" s="6"/>
      <c r="N3342" s="6"/>
      <c r="O3342" s="6"/>
      <c r="P3342" s="6"/>
      <c r="Q3342" s="6"/>
      <c r="R3342" s="6"/>
      <c r="S3342" s="6"/>
      <c r="T3342" s="6"/>
      <c r="U3342" s="6"/>
      <c r="V3342" s="6"/>
      <c r="W3342" s="6"/>
      <c r="X3342" s="6"/>
      <c r="Y3342" s="6"/>
      <c r="Z3342" s="6"/>
    </row>
    <row r="3343" customFormat="false" ht="15" hidden="false" customHeight="false" outlineLevel="0" collapsed="false">
      <c r="A3343" s="9" t="s">
        <v>9186</v>
      </c>
      <c r="B3343" s="9" t="s">
        <v>5870</v>
      </c>
      <c r="C3343" s="9" t="s">
        <v>3599</v>
      </c>
      <c r="D3343" s="9" t="s">
        <v>5871</v>
      </c>
      <c r="E3343" s="9" t="str">
        <f aca="false">IF(AND('Formation Ledger'!A3322&lt;&gt;"",'Formation Ledger'!V3322=0),"PASS","FAIL")</f>
        <v>PASS</v>
      </c>
      <c r="F3343" s="9" t="s">
        <v>76</v>
      </c>
      <c r="G3343" s="6"/>
      <c r="H3343" s="6"/>
      <c r="I3343" s="6"/>
      <c r="J3343" s="6"/>
      <c r="K3343" s="6"/>
      <c r="L3343" s="6"/>
      <c r="M3343" s="6"/>
      <c r="N3343" s="6"/>
      <c r="O3343" s="6"/>
      <c r="P3343" s="6"/>
      <c r="Q3343" s="6"/>
      <c r="R3343" s="6"/>
      <c r="S3343" s="6"/>
      <c r="T3343" s="6"/>
      <c r="U3343" s="6"/>
      <c r="V3343" s="6"/>
      <c r="W3343" s="6"/>
      <c r="X3343" s="6"/>
      <c r="Y3343" s="6"/>
      <c r="Z3343" s="6"/>
    </row>
    <row r="3344" customFormat="false" ht="15" hidden="false" customHeight="false" outlineLevel="0" collapsed="false">
      <c r="A3344" s="9" t="s">
        <v>9187</v>
      </c>
      <c r="B3344" s="9" t="s">
        <v>5870</v>
      </c>
      <c r="C3344" s="9" t="s">
        <v>3600</v>
      </c>
      <c r="D3344" s="9" t="s">
        <v>5871</v>
      </c>
      <c r="E3344" s="9" t="str">
        <f aca="false">IF(AND('Formation Ledger'!A3323&lt;&gt;"",'Formation Ledger'!V3323=0),"PASS","FAIL")</f>
        <v>PASS</v>
      </c>
      <c r="F3344" s="9" t="s">
        <v>76</v>
      </c>
      <c r="G3344" s="6"/>
      <c r="H3344" s="6"/>
      <c r="I3344" s="6"/>
      <c r="J3344" s="6"/>
      <c r="K3344" s="6"/>
      <c r="L3344" s="6"/>
      <c r="M3344" s="6"/>
      <c r="N3344" s="6"/>
      <c r="O3344" s="6"/>
      <c r="P3344" s="6"/>
      <c r="Q3344" s="6"/>
      <c r="R3344" s="6"/>
      <c r="S3344" s="6"/>
      <c r="T3344" s="6"/>
      <c r="U3344" s="6"/>
      <c r="V3344" s="6"/>
      <c r="W3344" s="6"/>
      <c r="X3344" s="6"/>
      <c r="Y3344" s="6"/>
      <c r="Z3344" s="6"/>
    </row>
    <row r="3345" customFormat="false" ht="15" hidden="false" customHeight="false" outlineLevel="0" collapsed="false">
      <c r="A3345" s="9" t="s">
        <v>9188</v>
      </c>
      <c r="B3345" s="9" t="s">
        <v>5870</v>
      </c>
      <c r="C3345" s="9" t="s">
        <v>3601</v>
      </c>
      <c r="D3345" s="9" t="s">
        <v>5871</v>
      </c>
      <c r="E3345" s="9" t="str">
        <f aca="false">IF(AND('Formation Ledger'!A3324&lt;&gt;"",'Formation Ledger'!V3324=0),"PASS","FAIL")</f>
        <v>PASS</v>
      </c>
      <c r="F3345" s="9" t="s">
        <v>76</v>
      </c>
      <c r="G3345" s="6"/>
      <c r="H3345" s="6"/>
      <c r="I3345" s="6"/>
      <c r="J3345" s="6"/>
      <c r="K3345" s="6"/>
      <c r="L3345" s="6"/>
      <c r="M3345" s="6"/>
      <c r="N3345" s="6"/>
      <c r="O3345" s="6"/>
      <c r="P3345" s="6"/>
      <c r="Q3345" s="6"/>
      <c r="R3345" s="6"/>
      <c r="S3345" s="6"/>
      <c r="T3345" s="6"/>
      <c r="U3345" s="6"/>
      <c r="V3345" s="6"/>
      <c r="W3345" s="6"/>
      <c r="X3345" s="6"/>
      <c r="Y3345" s="6"/>
      <c r="Z3345" s="6"/>
    </row>
    <row r="3346" customFormat="false" ht="15" hidden="false" customHeight="false" outlineLevel="0" collapsed="false">
      <c r="A3346" s="9" t="s">
        <v>9189</v>
      </c>
      <c r="B3346" s="9" t="s">
        <v>5870</v>
      </c>
      <c r="C3346" s="9" t="s">
        <v>3602</v>
      </c>
      <c r="D3346" s="9" t="s">
        <v>5871</v>
      </c>
      <c r="E3346" s="9" t="str">
        <f aca="false">IF(AND('Formation Ledger'!A3325&lt;&gt;"",'Formation Ledger'!V3325=0),"PASS","FAIL")</f>
        <v>PASS</v>
      </c>
      <c r="F3346" s="9" t="s">
        <v>76</v>
      </c>
      <c r="G3346" s="6"/>
      <c r="H3346" s="6"/>
      <c r="I3346" s="6"/>
      <c r="J3346" s="6"/>
      <c r="K3346" s="6"/>
      <c r="L3346" s="6"/>
      <c r="M3346" s="6"/>
      <c r="N3346" s="6"/>
      <c r="O3346" s="6"/>
      <c r="P3346" s="6"/>
      <c r="Q3346" s="6"/>
      <c r="R3346" s="6"/>
      <c r="S3346" s="6"/>
      <c r="T3346" s="6"/>
      <c r="U3346" s="6"/>
      <c r="V3346" s="6"/>
      <c r="W3346" s="6"/>
      <c r="X3346" s="6"/>
      <c r="Y3346" s="6"/>
      <c r="Z3346" s="6"/>
    </row>
    <row r="3347" customFormat="false" ht="15" hidden="false" customHeight="false" outlineLevel="0" collapsed="false">
      <c r="A3347" s="9" t="s">
        <v>9190</v>
      </c>
      <c r="B3347" s="9" t="s">
        <v>5870</v>
      </c>
      <c r="C3347" s="9" t="s">
        <v>3603</v>
      </c>
      <c r="D3347" s="9" t="s">
        <v>5871</v>
      </c>
      <c r="E3347" s="9" t="str">
        <f aca="false">IF(AND('Formation Ledger'!A3326&lt;&gt;"",'Formation Ledger'!V3326=0),"PASS","FAIL")</f>
        <v>PASS</v>
      </c>
      <c r="F3347" s="9" t="s">
        <v>76</v>
      </c>
      <c r="G3347" s="6"/>
      <c r="H3347" s="6"/>
      <c r="I3347" s="6"/>
      <c r="J3347" s="6"/>
      <c r="K3347" s="6"/>
      <c r="L3347" s="6"/>
      <c r="M3347" s="6"/>
      <c r="N3347" s="6"/>
      <c r="O3347" s="6"/>
      <c r="P3347" s="6"/>
      <c r="Q3347" s="6"/>
      <c r="R3347" s="6"/>
      <c r="S3347" s="6"/>
      <c r="T3347" s="6"/>
      <c r="U3347" s="6"/>
      <c r="V3347" s="6"/>
      <c r="W3347" s="6"/>
      <c r="X3347" s="6"/>
      <c r="Y3347" s="6"/>
      <c r="Z3347" s="6"/>
    </row>
    <row r="3348" customFormat="false" ht="15" hidden="false" customHeight="false" outlineLevel="0" collapsed="false">
      <c r="A3348" s="9" t="s">
        <v>9191</v>
      </c>
      <c r="B3348" s="9" t="s">
        <v>5870</v>
      </c>
      <c r="C3348" s="9" t="s">
        <v>3604</v>
      </c>
      <c r="D3348" s="9" t="s">
        <v>5871</v>
      </c>
      <c r="E3348" s="9" t="str">
        <f aca="false">IF(AND('Formation Ledger'!A3327&lt;&gt;"",'Formation Ledger'!V3327=0),"PASS","FAIL")</f>
        <v>PASS</v>
      </c>
      <c r="F3348" s="9" t="s">
        <v>76</v>
      </c>
      <c r="G3348" s="6"/>
      <c r="H3348" s="6"/>
      <c r="I3348" s="6"/>
      <c r="J3348" s="6"/>
      <c r="K3348" s="6"/>
      <c r="L3348" s="6"/>
      <c r="M3348" s="6"/>
      <c r="N3348" s="6"/>
      <c r="O3348" s="6"/>
      <c r="P3348" s="6"/>
      <c r="Q3348" s="6"/>
      <c r="R3348" s="6"/>
      <c r="S3348" s="6"/>
      <c r="T3348" s="6"/>
      <c r="U3348" s="6"/>
      <c r="V3348" s="6"/>
      <c r="W3348" s="6"/>
      <c r="X3348" s="6"/>
      <c r="Y3348" s="6"/>
      <c r="Z3348" s="6"/>
    </row>
    <row r="3349" customFormat="false" ht="15" hidden="false" customHeight="false" outlineLevel="0" collapsed="false">
      <c r="A3349" s="9" t="s">
        <v>9192</v>
      </c>
      <c r="B3349" s="9" t="s">
        <v>5870</v>
      </c>
      <c r="C3349" s="9" t="s">
        <v>3605</v>
      </c>
      <c r="D3349" s="9" t="s">
        <v>5871</v>
      </c>
      <c r="E3349" s="9" t="str">
        <f aca="false">IF(AND('Formation Ledger'!A3328&lt;&gt;"",'Formation Ledger'!V3328=0),"PASS","FAIL")</f>
        <v>PASS</v>
      </c>
      <c r="F3349" s="9" t="s">
        <v>76</v>
      </c>
      <c r="G3349" s="6"/>
      <c r="H3349" s="6"/>
      <c r="I3349" s="6"/>
      <c r="J3349" s="6"/>
      <c r="K3349" s="6"/>
      <c r="L3349" s="6"/>
      <c r="M3349" s="6"/>
      <c r="N3349" s="6"/>
      <c r="O3349" s="6"/>
      <c r="P3349" s="6"/>
      <c r="Q3349" s="6"/>
      <c r="R3349" s="6"/>
      <c r="S3349" s="6"/>
      <c r="T3349" s="6"/>
      <c r="U3349" s="6"/>
      <c r="V3349" s="6"/>
      <c r="W3349" s="6"/>
      <c r="X3349" s="6"/>
      <c r="Y3349" s="6"/>
      <c r="Z3349" s="6"/>
    </row>
    <row r="3350" customFormat="false" ht="15" hidden="false" customHeight="false" outlineLevel="0" collapsed="false">
      <c r="A3350" s="9" t="s">
        <v>9193</v>
      </c>
      <c r="B3350" s="9" t="s">
        <v>5870</v>
      </c>
      <c r="C3350" s="9" t="s">
        <v>3606</v>
      </c>
      <c r="D3350" s="9" t="s">
        <v>5871</v>
      </c>
      <c r="E3350" s="9" t="str">
        <f aca="false">IF(AND('Formation Ledger'!A3329&lt;&gt;"",'Formation Ledger'!V3329=0),"PASS","FAIL")</f>
        <v>PASS</v>
      </c>
      <c r="F3350" s="9" t="s">
        <v>76</v>
      </c>
      <c r="G3350" s="6"/>
      <c r="H3350" s="6"/>
      <c r="I3350" s="6"/>
      <c r="J3350" s="6"/>
      <c r="K3350" s="6"/>
      <c r="L3350" s="6"/>
      <c r="M3350" s="6"/>
      <c r="N3350" s="6"/>
      <c r="O3350" s="6"/>
      <c r="P3350" s="6"/>
      <c r="Q3350" s="6"/>
      <c r="R3350" s="6"/>
      <c r="S3350" s="6"/>
      <c r="T3350" s="6"/>
      <c r="U3350" s="6"/>
      <c r="V3350" s="6"/>
      <c r="W3350" s="6"/>
      <c r="X3350" s="6"/>
      <c r="Y3350" s="6"/>
      <c r="Z3350" s="6"/>
    </row>
    <row r="3351" customFormat="false" ht="15" hidden="false" customHeight="false" outlineLevel="0" collapsed="false">
      <c r="A3351" s="9" t="s">
        <v>9194</v>
      </c>
      <c r="B3351" s="9" t="s">
        <v>5870</v>
      </c>
      <c r="C3351" s="9" t="s">
        <v>3607</v>
      </c>
      <c r="D3351" s="9" t="s">
        <v>5871</v>
      </c>
      <c r="E3351" s="9" t="str">
        <f aca="false">IF(AND('Formation Ledger'!A3330&lt;&gt;"",'Formation Ledger'!V3330=0),"PASS","FAIL")</f>
        <v>PASS</v>
      </c>
      <c r="F3351" s="9" t="s">
        <v>76</v>
      </c>
      <c r="G3351" s="6"/>
      <c r="H3351" s="6"/>
      <c r="I3351" s="6"/>
      <c r="J3351" s="6"/>
      <c r="K3351" s="6"/>
      <c r="L3351" s="6"/>
      <c r="M3351" s="6"/>
      <c r="N3351" s="6"/>
      <c r="O3351" s="6"/>
      <c r="P3351" s="6"/>
      <c r="Q3351" s="6"/>
      <c r="R3351" s="6"/>
      <c r="S3351" s="6"/>
      <c r="T3351" s="6"/>
      <c r="U3351" s="6"/>
      <c r="V3351" s="6"/>
      <c r="W3351" s="6"/>
      <c r="X3351" s="6"/>
      <c r="Y3351" s="6"/>
      <c r="Z3351" s="6"/>
    </row>
    <row r="3352" customFormat="false" ht="15" hidden="false" customHeight="false" outlineLevel="0" collapsed="false">
      <c r="A3352" s="9" t="s">
        <v>9195</v>
      </c>
      <c r="B3352" s="9" t="s">
        <v>5870</v>
      </c>
      <c r="C3352" s="9" t="s">
        <v>3608</v>
      </c>
      <c r="D3352" s="9" t="s">
        <v>5871</v>
      </c>
      <c r="E3352" s="9" t="str">
        <f aca="false">IF(AND('Formation Ledger'!A3331&lt;&gt;"",'Formation Ledger'!V3331=0),"PASS","FAIL")</f>
        <v>PASS</v>
      </c>
      <c r="F3352" s="9" t="s">
        <v>76</v>
      </c>
      <c r="G3352" s="6"/>
      <c r="H3352" s="6"/>
      <c r="I3352" s="6"/>
      <c r="J3352" s="6"/>
      <c r="K3352" s="6"/>
      <c r="L3352" s="6"/>
      <c r="M3352" s="6"/>
      <c r="N3352" s="6"/>
      <c r="O3352" s="6"/>
      <c r="P3352" s="6"/>
      <c r="Q3352" s="6"/>
      <c r="R3352" s="6"/>
      <c r="S3352" s="6"/>
      <c r="T3352" s="6"/>
      <c r="U3352" s="6"/>
      <c r="V3352" s="6"/>
      <c r="W3352" s="6"/>
      <c r="X3352" s="6"/>
      <c r="Y3352" s="6"/>
      <c r="Z3352" s="6"/>
    </row>
    <row r="3353" customFormat="false" ht="15" hidden="false" customHeight="false" outlineLevel="0" collapsed="false">
      <c r="A3353" s="9" t="s">
        <v>9196</v>
      </c>
      <c r="B3353" s="9" t="s">
        <v>5870</v>
      </c>
      <c r="C3353" s="9" t="s">
        <v>3609</v>
      </c>
      <c r="D3353" s="9" t="s">
        <v>5871</v>
      </c>
      <c r="E3353" s="9" t="str">
        <f aca="false">IF(AND('Formation Ledger'!A3332&lt;&gt;"",'Formation Ledger'!V3332=0),"PASS","FAIL")</f>
        <v>PASS</v>
      </c>
      <c r="F3353" s="9" t="s">
        <v>76</v>
      </c>
      <c r="G3353" s="6"/>
      <c r="H3353" s="6"/>
      <c r="I3353" s="6"/>
      <c r="J3353" s="6"/>
      <c r="K3353" s="6"/>
      <c r="L3353" s="6"/>
      <c r="M3353" s="6"/>
      <c r="N3353" s="6"/>
      <c r="O3353" s="6"/>
      <c r="P3353" s="6"/>
      <c r="Q3353" s="6"/>
      <c r="R3353" s="6"/>
      <c r="S3353" s="6"/>
      <c r="T3353" s="6"/>
      <c r="U3353" s="6"/>
      <c r="V3353" s="6"/>
      <c r="W3353" s="6"/>
      <c r="X3353" s="6"/>
      <c r="Y3353" s="6"/>
      <c r="Z3353" s="6"/>
    </row>
    <row r="3354" customFormat="false" ht="15" hidden="false" customHeight="false" outlineLevel="0" collapsed="false">
      <c r="A3354" s="9" t="s">
        <v>9197</v>
      </c>
      <c r="B3354" s="9" t="s">
        <v>5870</v>
      </c>
      <c r="C3354" s="9" t="s">
        <v>3610</v>
      </c>
      <c r="D3354" s="9" t="s">
        <v>5871</v>
      </c>
      <c r="E3354" s="9" t="str">
        <f aca="false">IF(AND('Formation Ledger'!A3333&lt;&gt;"",'Formation Ledger'!V3333=0),"PASS","FAIL")</f>
        <v>PASS</v>
      </c>
      <c r="F3354" s="9" t="s">
        <v>76</v>
      </c>
      <c r="G3354" s="6"/>
      <c r="H3354" s="6"/>
      <c r="I3354" s="6"/>
      <c r="J3354" s="6"/>
      <c r="K3354" s="6"/>
      <c r="L3354" s="6"/>
      <c r="M3354" s="6"/>
      <c r="N3354" s="6"/>
      <c r="O3354" s="6"/>
      <c r="P3354" s="6"/>
      <c r="Q3354" s="6"/>
      <c r="R3354" s="6"/>
      <c r="S3354" s="6"/>
      <c r="T3354" s="6"/>
      <c r="U3354" s="6"/>
      <c r="V3354" s="6"/>
      <c r="W3354" s="6"/>
      <c r="X3354" s="6"/>
      <c r="Y3354" s="6"/>
      <c r="Z3354" s="6"/>
    </row>
    <row r="3355" customFormat="false" ht="15" hidden="false" customHeight="false" outlineLevel="0" collapsed="false">
      <c r="A3355" s="9" t="s">
        <v>9198</v>
      </c>
      <c r="B3355" s="9" t="s">
        <v>5870</v>
      </c>
      <c r="C3355" s="9" t="s">
        <v>3611</v>
      </c>
      <c r="D3355" s="9" t="s">
        <v>5871</v>
      </c>
      <c r="E3355" s="9" t="str">
        <f aca="false">IF(AND('Formation Ledger'!A3334&lt;&gt;"",'Formation Ledger'!V3334=0),"PASS","FAIL")</f>
        <v>PASS</v>
      </c>
      <c r="F3355" s="9" t="s">
        <v>76</v>
      </c>
      <c r="G3355" s="6"/>
      <c r="H3355" s="6"/>
      <c r="I3355" s="6"/>
      <c r="J3355" s="6"/>
      <c r="K3355" s="6"/>
      <c r="L3355" s="6"/>
      <c r="M3355" s="6"/>
      <c r="N3355" s="6"/>
      <c r="O3355" s="6"/>
      <c r="P3355" s="6"/>
      <c r="Q3355" s="6"/>
      <c r="R3355" s="6"/>
      <c r="S3355" s="6"/>
      <c r="T3355" s="6"/>
      <c r="U3355" s="6"/>
      <c r="V3355" s="6"/>
      <c r="W3355" s="6"/>
      <c r="X3355" s="6"/>
      <c r="Y3355" s="6"/>
      <c r="Z3355" s="6"/>
    </row>
    <row r="3356" customFormat="false" ht="15" hidden="false" customHeight="false" outlineLevel="0" collapsed="false">
      <c r="A3356" s="9" t="s">
        <v>9199</v>
      </c>
      <c r="B3356" s="9" t="s">
        <v>5870</v>
      </c>
      <c r="C3356" s="9" t="s">
        <v>3612</v>
      </c>
      <c r="D3356" s="9" t="s">
        <v>5871</v>
      </c>
      <c r="E3356" s="9" t="str">
        <f aca="false">IF(AND('Formation Ledger'!A3335&lt;&gt;"",'Formation Ledger'!V3335=0),"PASS","FAIL")</f>
        <v>PASS</v>
      </c>
      <c r="F3356" s="9" t="s">
        <v>76</v>
      </c>
      <c r="G3356" s="6"/>
      <c r="H3356" s="6"/>
      <c r="I3356" s="6"/>
      <c r="J3356" s="6"/>
      <c r="K3356" s="6"/>
      <c r="L3356" s="6"/>
      <c r="M3356" s="6"/>
      <c r="N3356" s="6"/>
      <c r="O3356" s="6"/>
      <c r="P3356" s="6"/>
      <c r="Q3356" s="6"/>
      <c r="R3356" s="6"/>
      <c r="S3356" s="6"/>
      <c r="T3356" s="6"/>
      <c r="U3356" s="6"/>
      <c r="V3356" s="6"/>
      <c r="W3356" s="6"/>
      <c r="X3356" s="6"/>
      <c r="Y3356" s="6"/>
      <c r="Z3356" s="6"/>
    </row>
    <row r="3357" customFormat="false" ht="15" hidden="false" customHeight="false" outlineLevel="0" collapsed="false">
      <c r="A3357" s="9" t="s">
        <v>9200</v>
      </c>
      <c r="B3357" s="9" t="s">
        <v>5870</v>
      </c>
      <c r="C3357" s="9" t="s">
        <v>3613</v>
      </c>
      <c r="D3357" s="9" t="s">
        <v>5871</v>
      </c>
      <c r="E3357" s="9" t="str">
        <f aca="false">IF(AND('Formation Ledger'!A3336&lt;&gt;"",'Formation Ledger'!V3336=0),"PASS","FAIL")</f>
        <v>PASS</v>
      </c>
      <c r="F3357" s="9" t="s">
        <v>76</v>
      </c>
      <c r="G3357" s="6"/>
      <c r="H3357" s="6"/>
      <c r="I3357" s="6"/>
      <c r="J3357" s="6"/>
      <c r="K3357" s="6"/>
      <c r="L3357" s="6"/>
      <c r="M3357" s="6"/>
      <c r="N3357" s="6"/>
      <c r="O3357" s="6"/>
      <c r="P3357" s="6"/>
      <c r="Q3357" s="6"/>
      <c r="R3357" s="6"/>
      <c r="S3357" s="6"/>
      <c r="T3357" s="6"/>
      <c r="U3357" s="6"/>
      <c r="V3357" s="6"/>
      <c r="W3357" s="6"/>
      <c r="X3357" s="6"/>
      <c r="Y3357" s="6"/>
      <c r="Z3357" s="6"/>
    </row>
    <row r="3358" customFormat="false" ht="15" hidden="false" customHeight="false" outlineLevel="0" collapsed="false">
      <c r="A3358" s="9" t="s">
        <v>9201</v>
      </c>
      <c r="B3358" s="9" t="s">
        <v>5870</v>
      </c>
      <c r="C3358" s="9" t="s">
        <v>3614</v>
      </c>
      <c r="D3358" s="9" t="s">
        <v>5871</v>
      </c>
      <c r="E3358" s="9" t="str">
        <f aca="false">IF(AND('Formation Ledger'!A3337&lt;&gt;"",'Formation Ledger'!V3337=0),"PASS","FAIL")</f>
        <v>PASS</v>
      </c>
      <c r="F3358" s="9" t="s">
        <v>76</v>
      </c>
      <c r="G3358" s="6"/>
      <c r="H3358" s="6"/>
      <c r="I3358" s="6"/>
      <c r="J3358" s="6"/>
      <c r="K3358" s="6"/>
      <c r="L3358" s="6"/>
      <c r="M3358" s="6"/>
      <c r="N3358" s="6"/>
      <c r="O3358" s="6"/>
      <c r="P3358" s="6"/>
      <c r="Q3358" s="6"/>
      <c r="R3358" s="6"/>
      <c r="S3358" s="6"/>
      <c r="T3358" s="6"/>
      <c r="U3358" s="6"/>
      <c r="V3358" s="6"/>
      <c r="W3358" s="6"/>
      <c r="X3358" s="6"/>
      <c r="Y3358" s="6"/>
      <c r="Z3358" s="6"/>
    </row>
    <row r="3359" customFormat="false" ht="15" hidden="false" customHeight="false" outlineLevel="0" collapsed="false">
      <c r="A3359" s="9" t="s">
        <v>9202</v>
      </c>
      <c r="B3359" s="9" t="s">
        <v>5870</v>
      </c>
      <c r="C3359" s="9" t="s">
        <v>3615</v>
      </c>
      <c r="D3359" s="9" t="s">
        <v>5871</v>
      </c>
      <c r="E3359" s="9" t="str">
        <f aca="false">IF(AND('Formation Ledger'!A3338&lt;&gt;"",'Formation Ledger'!V3338=0),"PASS","FAIL")</f>
        <v>PASS</v>
      </c>
      <c r="F3359" s="9" t="s">
        <v>76</v>
      </c>
      <c r="G3359" s="6"/>
      <c r="H3359" s="6"/>
      <c r="I3359" s="6"/>
      <c r="J3359" s="6"/>
      <c r="K3359" s="6"/>
      <c r="L3359" s="6"/>
      <c r="M3359" s="6"/>
      <c r="N3359" s="6"/>
      <c r="O3359" s="6"/>
      <c r="P3359" s="6"/>
      <c r="Q3359" s="6"/>
      <c r="R3359" s="6"/>
      <c r="S3359" s="6"/>
      <c r="T3359" s="6"/>
      <c r="U3359" s="6"/>
      <c r="V3359" s="6"/>
      <c r="W3359" s="6"/>
      <c r="X3359" s="6"/>
      <c r="Y3359" s="6"/>
      <c r="Z3359" s="6"/>
    </row>
    <row r="3360" customFormat="false" ht="15" hidden="false" customHeight="false" outlineLevel="0" collapsed="false">
      <c r="A3360" s="9" t="s">
        <v>9203</v>
      </c>
      <c r="B3360" s="9" t="s">
        <v>5870</v>
      </c>
      <c r="C3360" s="9" t="s">
        <v>3616</v>
      </c>
      <c r="D3360" s="9" t="s">
        <v>5871</v>
      </c>
      <c r="E3360" s="9" t="str">
        <f aca="false">IF(AND('Formation Ledger'!A3339&lt;&gt;"",'Formation Ledger'!V3339=0),"PASS","FAIL")</f>
        <v>PASS</v>
      </c>
      <c r="F3360" s="9" t="s">
        <v>76</v>
      </c>
      <c r="G3360" s="6"/>
      <c r="H3360" s="6"/>
      <c r="I3360" s="6"/>
      <c r="J3360" s="6"/>
      <c r="K3360" s="6"/>
      <c r="L3360" s="6"/>
      <c r="M3360" s="6"/>
      <c r="N3360" s="6"/>
      <c r="O3360" s="6"/>
      <c r="P3360" s="6"/>
      <c r="Q3360" s="6"/>
      <c r="R3360" s="6"/>
      <c r="S3360" s="6"/>
      <c r="T3360" s="6"/>
      <c r="U3360" s="6"/>
      <c r="V3360" s="6"/>
      <c r="W3360" s="6"/>
      <c r="X3360" s="6"/>
      <c r="Y3360" s="6"/>
      <c r="Z3360" s="6"/>
    </row>
    <row r="3361" customFormat="false" ht="15" hidden="false" customHeight="false" outlineLevel="0" collapsed="false">
      <c r="A3361" s="9" t="s">
        <v>9204</v>
      </c>
      <c r="B3361" s="9" t="s">
        <v>5870</v>
      </c>
      <c r="C3361" s="9" t="s">
        <v>3617</v>
      </c>
      <c r="D3361" s="9" t="s">
        <v>5871</v>
      </c>
      <c r="E3361" s="9" t="str">
        <f aca="false">IF(AND('Formation Ledger'!A3340&lt;&gt;"",'Formation Ledger'!V3340=0),"PASS","FAIL")</f>
        <v>PASS</v>
      </c>
      <c r="F3361" s="9" t="s">
        <v>76</v>
      </c>
      <c r="G3361" s="6"/>
      <c r="H3361" s="6"/>
      <c r="I3361" s="6"/>
      <c r="J3361" s="6"/>
      <c r="K3361" s="6"/>
      <c r="L3361" s="6"/>
      <c r="M3361" s="6"/>
      <c r="N3361" s="6"/>
      <c r="O3361" s="6"/>
      <c r="P3361" s="6"/>
      <c r="Q3361" s="6"/>
      <c r="R3361" s="6"/>
      <c r="S3361" s="6"/>
      <c r="T3361" s="6"/>
      <c r="U3361" s="6"/>
      <c r="V3361" s="6"/>
      <c r="W3361" s="6"/>
      <c r="X3361" s="6"/>
      <c r="Y3361" s="6"/>
      <c r="Z3361" s="6"/>
    </row>
    <row r="3362" customFormat="false" ht="15" hidden="false" customHeight="false" outlineLevel="0" collapsed="false">
      <c r="A3362" s="9" t="s">
        <v>9205</v>
      </c>
      <c r="B3362" s="9" t="s">
        <v>5870</v>
      </c>
      <c r="C3362" s="9" t="s">
        <v>3618</v>
      </c>
      <c r="D3362" s="9" t="s">
        <v>5871</v>
      </c>
      <c r="E3362" s="9" t="str">
        <f aca="false">IF(AND('Formation Ledger'!A3341&lt;&gt;"",'Formation Ledger'!V3341=0),"PASS","FAIL")</f>
        <v>PASS</v>
      </c>
      <c r="F3362" s="9" t="s">
        <v>76</v>
      </c>
      <c r="G3362" s="6"/>
      <c r="H3362" s="6"/>
      <c r="I3362" s="6"/>
      <c r="J3362" s="6"/>
      <c r="K3362" s="6"/>
      <c r="L3362" s="6"/>
      <c r="M3362" s="6"/>
      <c r="N3362" s="6"/>
      <c r="O3362" s="6"/>
      <c r="P3362" s="6"/>
      <c r="Q3362" s="6"/>
      <c r="R3362" s="6"/>
      <c r="S3362" s="6"/>
      <c r="T3362" s="6"/>
      <c r="U3362" s="6"/>
      <c r="V3362" s="6"/>
      <c r="W3362" s="6"/>
      <c r="X3362" s="6"/>
      <c r="Y3362" s="6"/>
      <c r="Z3362" s="6"/>
    </row>
    <row r="3363" customFormat="false" ht="15" hidden="false" customHeight="false" outlineLevel="0" collapsed="false">
      <c r="A3363" s="9" t="s">
        <v>9206</v>
      </c>
      <c r="B3363" s="9" t="s">
        <v>5870</v>
      </c>
      <c r="C3363" s="9" t="s">
        <v>3619</v>
      </c>
      <c r="D3363" s="9" t="s">
        <v>5871</v>
      </c>
      <c r="E3363" s="9" t="str">
        <f aca="false">IF(AND('Formation Ledger'!A3342&lt;&gt;"",'Formation Ledger'!V3342=0),"PASS","FAIL")</f>
        <v>PASS</v>
      </c>
      <c r="F3363" s="9" t="s">
        <v>76</v>
      </c>
      <c r="G3363" s="6"/>
      <c r="H3363" s="6"/>
      <c r="I3363" s="6"/>
      <c r="J3363" s="6"/>
      <c r="K3363" s="6"/>
      <c r="L3363" s="6"/>
      <c r="M3363" s="6"/>
      <c r="N3363" s="6"/>
      <c r="O3363" s="6"/>
      <c r="P3363" s="6"/>
      <c r="Q3363" s="6"/>
      <c r="R3363" s="6"/>
      <c r="S3363" s="6"/>
      <c r="T3363" s="6"/>
      <c r="U3363" s="6"/>
      <c r="V3363" s="6"/>
      <c r="W3363" s="6"/>
      <c r="X3363" s="6"/>
      <c r="Y3363" s="6"/>
      <c r="Z3363" s="6"/>
    </row>
    <row r="3364" customFormat="false" ht="15" hidden="false" customHeight="false" outlineLevel="0" collapsed="false">
      <c r="A3364" s="9" t="s">
        <v>9207</v>
      </c>
      <c r="B3364" s="9" t="s">
        <v>5870</v>
      </c>
      <c r="C3364" s="9" t="s">
        <v>3620</v>
      </c>
      <c r="D3364" s="9" t="s">
        <v>5871</v>
      </c>
      <c r="E3364" s="9" t="str">
        <f aca="false">IF(AND('Formation Ledger'!A3343&lt;&gt;"",'Formation Ledger'!V3343=0),"PASS","FAIL")</f>
        <v>PASS</v>
      </c>
      <c r="F3364" s="9" t="s">
        <v>76</v>
      </c>
      <c r="G3364" s="6"/>
      <c r="H3364" s="6"/>
      <c r="I3364" s="6"/>
      <c r="J3364" s="6"/>
      <c r="K3364" s="6"/>
      <c r="L3364" s="6"/>
      <c r="M3364" s="6"/>
      <c r="N3364" s="6"/>
      <c r="O3364" s="6"/>
      <c r="P3364" s="6"/>
      <c r="Q3364" s="6"/>
      <c r="R3364" s="6"/>
      <c r="S3364" s="6"/>
      <c r="T3364" s="6"/>
      <c r="U3364" s="6"/>
      <c r="V3364" s="6"/>
      <c r="W3364" s="6"/>
      <c r="X3364" s="6"/>
      <c r="Y3364" s="6"/>
      <c r="Z3364" s="6"/>
    </row>
    <row r="3365" customFormat="false" ht="15" hidden="false" customHeight="false" outlineLevel="0" collapsed="false">
      <c r="A3365" s="9" t="s">
        <v>9208</v>
      </c>
      <c r="B3365" s="9" t="s">
        <v>5870</v>
      </c>
      <c r="C3365" s="9" t="s">
        <v>3621</v>
      </c>
      <c r="D3365" s="9" t="s">
        <v>5871</v>
      </c>
      <c r="E3365" s="9" t="str">
        <f aca="false">IF(AND('Formation Ledger'!A3344&lt;&gt;"",'Formation Ledger'!V3344=0),"PASS","FAIL")</f>
        <v>PASS</v>
      </c>
      <c r="F3365" s="9" t="s">
        <v>76</v>
      </c>
      <c r="G3365" s="6"/>
      <c r="H3365" s="6"/>
      <c r="I3365" s="6"/>
      <c r="J3365" s="6"/>
      <c r="K3365" s="6"/>
      <c r="L3365" s="6"/>
      <c r="M3365" s="6"/>
      <c r="N3365" s="6"/>
      <c r="O3365" s="6"/>
      <c r="P3365" s="6"/>
      <c r="Q3365" s="6"/>
      <c r="R3365" s="6"/>
      <c r="S3365" s="6"/>
      <c r="T3365" s="6"/>
      <c r="U3365" s="6"/>
      <c r="V3365" s="6"/>
      <c r="W3365" s="6"/>
      <c r="X3365" s="6"/>
      <c r="Y3365" s="6"/>
      <c r="Z3365" s="6"/>
    </row>
    <row r="3366" customFormat="false" ht="15" hidden="false" customHeight="false" outlineLevel="0" collapsed="false">
      <c r="A3366" s="9" t="s">
        <v>9209</v>
      </c>
      <c r="B3366" s="9" t="s">
        <v>5870</v>
      </c>
      <c r="C3366" s="9" t="s">
        <v>3622</v>
      </c>
      <c r="D3366" s="9" t="s">
        <v>5871</v>
      </c>
      <c r="E3366" s="9" t="str">
        <f aca="false">IF(AND('Formation Ledger'!A3345&lt;&gt;"",'Formation Ledger'!V3345=0),"PASS","FAIL")</f>
        <v>PASS</v>
      </c>
      <c r="F3366" s="9" t="s">
        <v>76</v>
      </c>
      <c r="G3366" s="6"/>
      <c r="H3366" s="6"/>
      <c r="I3366" s="6"/>
      <c r="J3366" s="6"/>
      <c r="K3366" s="6"/>
      <c r="L3366" s="6"/>
      <c r="M3366" s="6"/>
      <c r="N3366" s="6"/>
      <c r="O3366" s="6"/>
      <c r="P3366" s="6"/>
      <c r="Q3366" s="6"/>
      <c r="R3366" s="6"/>
      <c r="S3366" s="6"/>
      <c r="T3366" s="6"/>
      <c r="U3366" s="6"/>
      <c r="V3366" s="6"/>
      <c r="W3366" s="6"/>
      <c r="X3366" s="6"/>
      <c r="Y3366" s="6"/>
      <c r="Z3366" s="6"/>
    </row>
    <row r="3367" customFormat="false" ht="15" hidden="false" customHeight="false" outlineLevel="0" collapsed="false">
      <c r="A3367" s="9" t="s">
        <v>9210</v>
      </c>
      <c r="B3367" s="9" t="s">
        <v>5870</v>
      </c>
      <c r="C3367" s="9" t="s">
        <v>3623</v>
      </c>
      <c r="D3367" s="9" t="s">
        <v>5871</v>
      </c>
      <c r="E3367" s="9" t="str">
        <f aca="false">IF(AND('Formation Ledger'!A3346&lt;&gt;"",'Formation Ledger'!V3346=0),"PASS","FAIL")</f>
        <v>PASS</v>
      </c>
      <c r="F3367" s="9" t="s">
        <v>76</v>
      </c>
      <c r="G3367" s="6"/>
      <c r="H3367" s="6"/>
      <c r="I3367" s="6"/>
      <c r="J3367" s="6"/>
      <c r="K3367" s="6"/>
      <c r="L3367" s="6"/>
      <c r="M3367" s="6"/>
      <c r="N3367" s="6"/>
      <c r="O3367" s="6"/>
      <c r="P3367" s="6"/>
      <c r="Q3367" s="6"/>
      <c r="R3367" s="6"/>
      <c r="S3367" s="6"/>
      <c r="T3367" s="6"/>
      <c r="U3367" s="6"/>
      <c r="V3367" s="6"/>
      <c r="W3367" s="6"/>
      <c r="X3367" s="6"/>
      <c r="Y3367" s="6"/>
      <c r="Z3367" s="6"/>
    </row>
    <row r="3368" customFormat="false" ht="15" hidden="false" customHeight="false" outlineLevel="0" collapsed="false">
      <c r="A3368" s="9" t="s">
        <v>9211</v>
      </c>
      <c r="B3368" s="9" t="s">
        <v>5870</v>
      </c>
      <c r="C3368" s="9" t="s">
        <v>3624</v>
      </c>
      <c r="D3368" s="9" t="s">
        <v>5871</v>
      </c>
      <c r="E3368" s="9" t="str">
        <f aca="false">IF(AND('Formation Ledger'!A3347&lt;&gt;"",'Formation Ledger'!V3347=0),"PASS","FAIL")</f>
        <v>PASS</v>
      </c>
      <c r="F3368" s="9" t="s">
        <v>76</v>
      </c>
      <c r="G3368" s="6"/>
      <c r="H3368" s="6"/>
      <c r="I3368" s="6"/>
      <c r="J3368" s="6"/>
      <c r="K3368" s="6"/>
      <c r="L3368" s="6"/>
      <c r="M3368" s="6"/>
      <c r="N3368" s="6"/>
      <c r="O3368" s="6"/>
      <c r="P3368" s="6"/>
      <c r="Q3368" s="6"/>
      <c r="R3368" s="6"/>
      <c r="S3368" s="6"/>
      <c r="T3368" s="6"/>
      <c r="U3368" s="6"/>
      <c r="V3368" s="6"/>
      <c r="W3368" s="6"/>
      <c r="X3368" s="6"/>
      <c r="Y3368" s="6"/>
      <c r="Z3368" s="6"/>
    </row>
    <row r="3369" customFormat="false" ht="15" hidden="false" customHeight="false" outlineLevel="0" collapsed="false">
      <c r="A3369" s="9" t="s">
        <v>9212</v>
      </c>
      <c r="B3369" s="9" t="s">
        <v>5870</v>
      </c>
      <c r="C3369" s="9" t="s">
        <v>3625</v>
      </c>
      <c r="D3369" s="9" t="s">
        <v>5871</v>
      </c>
      <c r="E3369" s="9" t="str">
        <f aca="false">IF(AND('Formation Ledger'!A3348&lt;&gt;"",'Formation Ledger'!V3348=0),"PASS","FAIL")</f>
        <v>PASS</v>
      </c>
      <c r="F3369" s="9" t="s">
        <v>76</v>
      </c>
      <c r="G3369" s="6"/>
      <c r="H3369" s="6"/>
      <c r="I3369" s="6"/>
      <c r="J3369" s="6"/>
      <c r="K3369" s="6"/>
      <c r="L3369" s="6"/>
      <c r="M3369" s="6"/>
      <c r="N3369" s="6"/>
      <c r="O3369" s="6"/>
      <c r="P3369" s="6"/>
      <c r="Q3369" s="6"/>
      <c r="R3369" s="6"/>
      <c r="S3369" s="6"/>
      <c r="T3369" s="6"/>
      <c r="U3369" s="6"/>
      <c r="V3369" s="6"/>
      <c r="W3369" s="6"/>
      <c r="X3369" s="6"/>
      <c r="Y3369" s="6"/>
      <c r="Z3369" s="6"/>
    </row>
    <row r="3370" customFormat="false" ht="15" hidden="false" customHeight="false" outlineLevel="0" collapsed="false">
      <c r="A3370" s="9" t="s">
        <v>9213</v>
      </c>
      <c r="B3370" s="9" t="s">
        <v>5870</v>
      </c>
      <c r="C3370" s="9" t="s">
        <v>3626</v>
      </c>
      <c r="D3370" s="9" t="s">
        <v>5871</v>
      </c>
      <c r="E3370" s="9" t="str">
        <f aca="false">IF(AND('Formation Ledger'!A3349&lt;&gt;"",'Formation Ledger'!V3349=0),"PASS","FAIL")</f>
        <v>PASS</v>
      </c>
      <c r="F3370" s="9" t="s">
        <v>76</v>
      </c>
      <c r="G3370" s="6"/>
      <c r="H3370" s="6"/>
      <c r="I3370" s="6"/>
      <c r="J3370" s="6"/>
      <c r="K3370" s="6"/>
      <c r="L3370" s="6"/>
      <c r="M3370" s="6"/>
      <c r="N3370" s="6"/>
      <c r="O3370" s="6"/>
      <c r="P3370" s="6"/>
      <c r="Q3370" s="6"/>
      <c r="R3370" s="6"/>
      <c r="S3370" s="6"/>
      <c r="T3370" s="6"/>
      <c r="U3370" s="6"/>
      <c r="V3370" s="6"/>
      <c r="W3370" s="6"/>
      <c r="X3370" s="6"/>
      <c r="Y3370" s="6"/>
      <c r="Z3370" s="6"/>
    </row>
    <row r="3371" customFormat="false" ht="15" hidden="false" customHeight="false" outlineLevel="0" collapsed="false">
      <c r="A3371" s="9" t="s">
        <v>9214</v>
      </c>
      <c r="B3371" s="9" t="s">
        <v>5870</v>
      </c>
      <c r="C3371" s="9" t="s">
        <v>3627</v>
      </c>
      <c r="D3371" s="9" t="s">
        <v>5871</v>
      </c>
      <c r="E3371" s="9" t="str">
        <f aca="false">IF(AND('Formation Ledger'!A3350&lt;&gt;"",'Formation Ledger'!V3350=0),"PASS","FAIL")</f>
        <v>PASS</v>
      </c>
      <c r="F3371" s="9" t="s">
        <v>76</v>
      </c>
      <c r="G3371" s="6"/>
      <c r="H3371" s="6"/>
      <c r="I3371" s="6"/>
      <c r="J3371" s="6"/>
      <c r="K3371" s="6"/>
      <c r="L3371" s="6"/>
      <c r="M3371" s="6"/>
      <c r="N3371" s="6"/>
      <c r="O3371" s="6"/>
      <c r="P3371" s="6"/>
      <c r="Q3371" s="6"/>
      <c r="R3371" s="6"/>
      <c r="S3371" s="6"/>
      <c r="T3371" s="6"/>
      <c r="U3371" s="6"/>
      <c r="V3371" s="6"/>
      <c r="W3371" s="6"/>
      <c r="X3371" s="6"/>
      <c r="Y3371" s="6"/>
      <c r="Z3371" s="6"/>
    </row>
    <row r="3372" customFormat="false" ht="15" hidden="false" customHeight="false" outlineLevel="0" collapsed="false">
      <c r="A3372" s="9" t="s">
        <v>9215</v>
      </c>
      <c r="B3372" s="9" t="s">
        <v>5870</v>
      </c>
      <c r="C3372" s="9" t="s">
        <v>3628</v>
      </c>
      <c r="D3372" s="9" t="s">
        <v>5871</v>
      </c>
      <c r="E3372" s="9" t="str">
        <f aca="false">IF(AND('Formation Ledger'!A3351&lt;&gt;"",'Formation Ledger'!V3351=0),"PASS","FAIL")</f>
        <v>PASS</v>
      </c>
      <c r="F3372" s="9" t="s">
        <v>76</v>
      </c>
      <c r="G3372" s="6"/>
      <c r="H3372" s="6"/>
      <c r="I3372" s="6"/>
      <c r="J3372" s="6"/>
      <c r="K3372" s="6"/>
      <c r="L3372" s="6"/>
      <c r="M3372" s="6"/>
      <c r="N3372" s="6"/>
      <c r="O3372" s="6"/>
      <c r="P3372" s="6"/>
      <c r="Q3372" s="6"/>
      <c r="R3372" s="6"/>
      <c r="S3372" s="6"/>
      <c r="T3372" s="6"/>
      <c r="U3372" s="6"/>
      <c r="V3372" s="6"/>
      <c r="W3372" s="6"/>
      <c r="X3372" s="6"/>
      <c r="Y3372" s="6"/>
      <c r="Z3372" s="6"/>
    </row>
    <row r="3373" customFormat="false" ht="15" hidden="false" customHeight="false" outlineLevel="0" collapsed="false">
      <c r="A3373" s="9" t="s">
        <v>9216</v>
      </c>
      <c r="B3373" s="9" t="s">
        <v>5870</v>
      </c>
      <c r="C3373" s="9" t="s">
        <v>3629</v>
      </c>
      <c r="D3373" s="9" t="s">
        <v>5871</v>
      </c>
      <c r="E3373" s="9" t="str">
        <f aca="false">IF(AND('Formation Ledger'!A3352&lt;&gt;"",'Formation Ledger'!V3352=0),"PASS","FAIL")</f>
        <v>PASS</v>
      </c>
      <c r="F3373" s="9" t="s">
        <v>76</v>
      </c>
      <c r="G3373" s="6"/>
      <c r="H3373" s="6"/>
      <c r="I3373" s="6"/>
      <c r="J3373" s="6"/>
      <c r="K3373" s="6"/>
      <c r="L3373" s="6"/>
      <c r="M3373" s="6"/>
      <c r="N3373" s="6"/>
      <c r="O3373" s="6"/>
      <c r="P3373" s="6"/>
      <c r="Q3373" s="6"/>
      <c r="R3373" s="6"/>
      <c r="S3373" s="6"/>
      <c r="T3373" s="6"/>
      <c r="U3373" s="6"/>
      <c r="V3373" s="6"/>
      <c r="W3373" s="6"/>
      <c r="X3373" s="6"/>
      <c r="Y3373" s="6"/>
      <c r="Z3373" s="6"/>
    </row>
    <row r="3374" customFormat="false" ht="15" hidden="false" customHeight="false" outlineLevel="0" collapsed="false">
      <c r="A3374" s="9" t="s">
        <v>9217</v>
      </c>
      <c r="B3374" s="9" t="s">
        <v>5870</v>
      </c>
      <c r="C3374" s="9" t="s">
        <v>3630</v>
      </c>
      <c r="D3374" s="9" t="s">
        <v>5871</v>
      </c>
      <c r="E3374" s="9" t="str">
        <f aca="false">IF(AND('Formation Ledger'!A3353&lt;&gt;"",'Formation Ledger'!V3353=0),"PASS","FAIL")</f>
        <v>PASS</v>
      </c>
      <c r="F3374" s="9" t="s">
        <v>76</v>
      </c>
      <c r="G3374" s="6"/>
      <c r="H3374" s="6"/>
      <c r="I3374" s="6"/>
      <c r="J3374" s="6"/>
      <c r="K3374" s="6"/>
      <c r="L3374" s="6"/>
      <c r="M3374" s="6"/>
      <c r="N3374" s="6"/>
      <c r="O3374" s="6"/>
      <c r="P3374" s="6"/>
      <c r="Q3374" s="6"/>
      <c r="R3374" s="6"/>
      <c r="S3374" s="6"/>
      <c r="T3374" s="6"/>
      <c r="U3374" s="6"/>
      <c r="V3374" s="6"/>
      <c r="W3374" s="6"/>
      <c r="X3374" s="6"/>
      <c r="Y3374" s="6"/>
      <c r="Z3374" s="6"/>
    </row>
    <row r="3375" customFormat="false" ht="15" hidden="false" customHeight="false" outlineLevel="0" collapsed="false">
      <c r="A3375" s="9" t="s">
        <v>9218</v>
      </c>
      <c r="B3375" s="9" t="s">
        <v>5870</v>
      </c>
      <c r="C3375" s="9" t="s">
        <v>3631</v>
      </c>
      <c r="D3375" s="9" t="s">
        <v>5871</v>
      </c>
      <c r="E3375" s="9" t="str">
        <f aca="false">IF(AND('Formation Ledger'!A3354&lt;&gt;"",'Formation Ledger'!V3354=0),"PASS","FAIL")</f>
        <v>PASS</v>
      </c>
      <c r="F3375" s="9" t="s">
        <v>76</v>
      </c>
      <c r="G3375" s="6"/>
      <c r="H3375" s="6"/>
      <c r="I3375" s="6"/>
      <c r="J3375" s="6"/>
      <c r="K3375" s="6"/>
      <c r="L3375" s="6"/>
      <c r="M3375" s="6"/>
      <c r="N3375" s="6"/>
      <c r="O3375" s="6"/>
      <c r="P3375" s="6"/>
      <c r="Q3375" s="6"/>
      <c r="R3375" s="6"/>
      <c r="S3375" s="6"/>
      <c r="T3375" s="6"/>
      <c r="U3375" s="6"/>
      <c r="V3375" s="6"/>
      <c r="W3375" s="6"/>
      <c r="X3375" s="6"/>
      <c r="Y3375" s="6"/>
      <c r="Z3375" s="6"/>
    </row>
    <row r="3376" customFormat="false" ht="15" hidden="false" customHeight="false" outlineLevel="0" collapsed="false">
      <c r="A3376" s="9" t="s">
        <v>9219</v>
      </c>
      <c r="B3376" s="9" t="s">
        <v>5870</v>
      </c>
      <c r="C3376" s="9" t="s">
        <v>3632</v>
      </c>
      <c r="D3376" s="9" t="s">
        <v>5871</v>
      </c>
      <c r="E3376" s="9" t="str">
        <f aca="false">IF(AND('Formation Ledger'!A3355&lt;&gt;"",'Formation Ledger'!V3355=0),"PASS","FAIL")</f>
        <v>PASS</v>
      </c>
      <c r="F3376" s="9" t="s">
        <v>76</v>
      </c>
      <c r="G3376" s="6"/>
      <c r="H3376" s="6"/>
      <c r="I3376" s="6"/>
      <c r="J3376" s="6"/>
      <c r="K3376" s="6"/>
      <c r="L3376" s="6"/>
      <c r="M3376" s="6"/>
      <c r="N3376" s="6"/>
      <c r="O3376" s="6"/>
      <c r="P3376" s="6"/>
      <c r="Q3376" s="6"/>
      <c r="R3376" s="6"/>
      <c r="S3376" s="6"/>
      <c r="T3376" s="6"/>
      <c r="U3376" s="6"/>
      <c r="V3376" s="6"/>
      <c r="W3376" s="6"/>
      <c r="X3376" s="6"/>
      <c r="Y3376" s="6"/>
      <c r="Z3376" s="6"/>
    </row>
    <row r="3377" customFormat="false" ht="15" hidden="false" customHeight="false" outlineLevel="0" collapsed="false">
      <c r="A3377" s="9" t="s">
        <v>9220</v>
      </c>
      <c r="B3377" s="9" t="s">
        <v>5870</v>
      </c>
      <c r="C3377" s="9" t="s">
        <v>3633</v>
      </c>
      <c r="D3377" s="9" t="s">
        <v>5871</v>
      </c>
      <c r="E3377" s="9" t="str">
        <f aca="false">IF(AND('Formation Ledger'!A3356&lt;&gt;"",'Formation Ledger'!V3356=0),"PASS","FAIL")</f>
        <v>PASS</v>
      </c>
      <c r="F3377" s="9" t="s">
        <v>76</v>
      </c>
      <c r="G3377" s="6"/>
      <c r="H3377" s="6"/>
      <c r="I3377" s="6"/>
      <c r="J3377" s="6"/>
      <c r="K3377" s="6"/>
      <c r="L3377" s="6"/>
      <c r="M3377" s="6"/>
      <c r="N3377" s="6"/>
      <c r="O3377" s="6"/>
      <c r="P3377" s="6"/>
      <c r="Q3377" s="6"/>
      <c r="R3377" s="6"/>
      <c r="S3377" s="6"/>
      <c r="T3377" s="6"/>
      <c r="U3377" s="6"/>
      <c r="V3377" s="6"/>
      <c r="W3377" s="6"/>
      <c r="X3377" s="6"/>
      <c r="Y3377" s="6"/>
      <c r="Z3377" s="6"/>
    </row>
    <row r="3378" customFormat="false" ht="15" hidden="false" customHeight="false" outlineLevel="0" collapsed="false">
      <c r="A3378" s="9" t="s">
        <v>9221</v>
      </c>
      <c r="B3378" s="9" t="s">
        <v>5870</v>
      </c>
      <c r="C3378" s="9" t="s">
        <v>3634</v>
      </c>
      <c r="D3378" s="9" t="s">
        <v>5871</v>
      </c>
      <c r="E3378" s="9" t="str">
        <f aca="false">IF(AND('Formation Ledger'!A3357&lt;&gt;"",'Formation Ledger'!V3357=0),"PASS","FAIL")</f>
        <v>PASS</v>
      </c>
      <c r="F3378" s="9" t="s">
        <v>76</v>
      </c>
      <c r="G3378" s="6"/>
      <c r="H3378" s="6"/>
      <c r="I3378" s="6"/>
      <c r="J3378" s="6"/>
      <c r="K3378" s="6"/>
      <c r="L3378" s="6"/>
      <c r="M3378" s="6"/>
      <c r="N3378" s="6"/>
      <c r="O3378" s="6"/>
      <c r="P3378" s="6"/>
      <c r="Q3378" s="6"/>
      <c r="R3378" s="6"/>
      <c r="S3378" s="6"/>
      <c r="T3378" s="6"/>
      <c r="U3378" s="6"/>
      <c r="V3378" s="6"/>
      <c r="W3378" s="6"/>
      <c r="X3378" s="6"/>
      <c r="Y3378" s="6"/>
      <c r="Z3378" s="6"/>
    </row>
    <row r="3379" customFormat="false" ht="15" hidden="false" customHeight="false" outlineLevel="0" collapsed="false">
      <c r="A3379" s="9" t="s">
        <v>9222</v>
      </c>
      <c r="B3379" s="9" t="s">
        <v>5870</v>
      </c>
      <c r="C3379" s="9" t="s">
        <v>3635</v>
      </c>
      <c r="D3379" s="9" t="s">
        <v>5871</v>
      </c>
      <c r="E3379" s="9" t="str">
        <f aca="false">IF(AND('Formation Ledger'!A3358&lt;&gt;"",'Formation Ledger'!V3358=0),"PASS","FAIL")</f>
        <v>PASS</v>
      </c>
      <c r="F3379" s="9" t="s">
        <v>76</v>
      </c>
      <c r="G3379" s="6"/>
      <c r="H3379" s="6"/>
      <c r="I3379" s="6"/>
      <c r="J3379" s="6"/>
      <c r="K3379" s="6"/>
      <c r="L3379" s="6"/>
      <c r="M3379" s="6"/>
      <c r="N3379" s="6"/>
      <c r="O3379" s="6"/>
      <c r="P3379" s="6"/>
      <c r="Q3379" s="6"/>
      <c r="R3379" s="6"/>
      <c r="S3379" s="6"/>
      <c r="T3379" s="6"/>
      <c r="U3379" s="6"/>
      <c r="V3379" s="6"/>
      <c r="W3379" s="6"/>
      <c r="X3379" s="6"/>
      <c r="Y3379" s="6"/>
      <c r="Z3379" s="6"/>
    </row>
    <row r="3380" customFormat="false" ht="15" hidden="false" customHeight="false" outlineLevel="0" collapsed="false">
      <c r="A3380" s="9" t="s">
        <v>9223</v>
      </c>
      <c r="B3380" s="9" t="s">
        <v>5870</v>
      </c>
      <c r="C3380" s="9" t="s">
        <v>3636</v>
      </c>
      <c r="D3380" s="9" t="s">
        <v>5871</v>
      </c>
      <c r="E3380" s="9" t="str">
        <f aca="false">IF(AND('Formation Ledger'!A3359&lt;&gt;"",'Formation Ledger'!V3359=0),"PASS","FAIL")</f>
        <v>PASS</v>
      </c>
      <c r="F3380" s="9" t="s">
        <v>76</v>
      </c>
      <c r="G3380" s="6"/>
      <c r="H3380" s="6"/>
      <c r="I3380" s="6"/>
      <c r="J3380" s="6"/>
      <c r="K3380" s="6"/>
      <c r="L3380" s="6"/>
      <c r="M3380" s="6"/>
      <c r="N3380" s="6"/>
      <c r="O3380" s="6"/>
      <c r="P3380" s="6"/>
      <c r="Q3380" s="6"/>
      <c r="R3380" s="6"/>
      <c r="S3380" s="6"/>
      <c r="T3380" s="6"/>
      <c r="U3380" s="6"/>
      <c r="V3380" s="6"/>
      <c r="W3380" s="6"/>
      <c r="X3380" s="6"/>
      <c r="Y3380" s="6"/>
      <c r="Z3380" s="6"/>
    </row>
    <row r="3381" customFormat="false" ht="15" hidden="false" customHeight="false" outlineLevel="0" collapsed="false">
      <c r="A3381" s="9" t="s">
        <v>9224</v>
      </c>
      <c r="B3381" s="9" t="s">
        <v>5870</v>
      </c>
      <c r="C3381" s="9" t="s">
        <v>3637</v>
      </c>
      <c r="D3381" s="9" t="s">
        <v>5871</v>
      </c>
      <c r="E3381" s="9" t="str">
        <f aca="false">IF(AND('Formation Ledger'!A3360&lt;&gt;"",'Formation Ledger'!V3360=0),"PASS","FAIL")</f>
        <v>PASS</v>
      </c>
      <c r="F3381" s="9" t="s">
        <v>76</v>
      </c>
      <c r="G3381" s="6"/>
      <c r="H3381" s="6"/>
      <c r="I3381" s="6"/>
      <c r="J3381" s="6"/>
      <c r="K3381" s="6"/>
      <c r="L3381" s="6"/>
      <c r="M3381" s="6"/>
      <c r="N3381" s="6"/>
      <c r="O3381" s="6"/>
      <c r="P3381" s="6"/>
      <c r="Q3381" s="6"/>
      <c r="R3381" s="6"/>
      <c r="S3381" s="6"/>
      <c r="T3381" s="6"/>
      <c r="U3381" s="6"/>
      <c r="V3381" s="6"/>
      <c r="W3381" s="6"/>
      <c r="X3381" s="6"/>
      <c r="Y3381" s="6"/>
      <c r="Z3381" s="6"/>
    </row>
    <row r="3382" customFormat="false" ht="15" hidden="false" customHeight="false" outlineLevel="0" collapsed="false">
      <c r="A3382" s="9" t="s">
        <v>9225</v>
      </c>
      <c r="B3382" s="9" t="s">
        <v>5870</v>
      </c>
      <c r="C3382" s="9" t="s">
        <v>3638</v>
      </c>
      <c r="D3382" s="9" t="s">
        <v>5871</v>
      </c>
      <c r="E3382" s="9" t="str">
        <f aca="false">IF(AND('Formation Ledger'!A3361&lt;&gt;"",'Formation Ledger'!V3361=0),"PASS","FAIL")</f>
        <v>PASS</v>
      </c>
      <c r="F3382" s="9" t="s">
        <v>76</v>
      </c>
      <c r="G3382" s="6"/>
      <c r="H3382" s="6"/>
      <c r="I3382" s="6"/>
      <c r="J3382" s="6"/>
      <c r="K3382" s="6"/>
      <c r="L3382" s="6"/>
      <c r="M3382" s="6"/>
      <c r="N3382" s="6"/>
      <c r="O3382" s="6"/>
      <c r="P3382" s="6"/>
      <c r="Q3382" s="6"/>
      <c r="R3382" s="6"/>
      <c r="S3382" s="6"/>
      <c r="T3382" s="6"/>
      <c r="U3382" s="6"/>
      <c r="V3382" s="6"/>
      <c r="W3382" s="6"/>
      <c r="X3382" s="6"/>
      <c r="Y3382" s="6"/>
      <c r="Z3382" s="6"/>
    </row>
    <row r="3383" customFormat="false" ht="15" hidden="false" customHeight="false" outlineLevel="0" collapsed="false">
      <c r="A3383" s="9" t="s">
        <v>9226</v>
      </c>
      <c r="B3383" s="9" t="s">
        <v>5870</v>
      </c>
      <c r="C3383" s="9" t="s">
        <v>3639</v>
      </c>
      <c r="D3383" s="9" t="s">
        <v>5871</v>
      </c>
      <c r="E3383" s="9" t="str">
        <f aca="false">IF(AND('Formation Ledger'!A3362&lt;&gt;"",'Formation Ledger'!V3362=0),"PASS","FAIL")</f>
        <v>PASS</v>
      </c>
      <c r="F3383" s="9" t="s">
        <v>76</v>
      </c>
      <c r="G3383" s="6"/>
      <c r="H3383" s="6"/>
      <c r="I3383" s="6"/>
      <c r="J3383" s="6"/>
      <c r="K3383" s="6"/>
      <c r="L3383" s="6"/>
      <c r="M3383" s="6"/>
      <c r="N3383" s="6"/>
      <c r="O3383" s="6"/>
      <c r="P3383" s="6"/>
      <c r="Q3383" s="6"/>
      <c r="R3383" s="6"/>
      <c r="S3383" s="6"/>
      <c r="T3383" s="6"/>
      <c r="U3383" s="6"/>
      <c r="V3383" s="6"/>
      <c r="W3383" s="6"/>
      <c r="X3383" s="6"/>
      <c r="Y3383" s="6"/>
      <c r="Z3383" s="6"/>
    </row>
    <row r="3384" customFormat="false" ht="15" hidden="false" customHeight="false" outlineLevel="0" collapsed="false">
      <c r="A3384" s="9" t="s">
        <v>9227</v>
      </c>
      <c r="B3384" s="9" t="s">
        <v>5870</v>
      </c>
      <c r="C3384" s="9" t="s">
        <v>3640</v>
      </c>
      <c r="D3384" s="9" t="s">
        <v>5871</v>
      </c>
      <c r="E3384" s="9" t="str">
        <f aca="false">IF(AND('Formation Ledger'!A3363&lt;&gt;"",'Formation Ledger'!V3363=0),"PASS","FAIL")</f>
        <v>PASS</v>
      </c>
      <c r="F3384" s="9" t="s">
        <v>76</v>
      </c>
      <c r="G3384" s="6"/>
      <c r="H3384" s="6"/>
      <c r="I3384" s="6"/>
      <c r="J3384" s="6"/>
      <c r="K3384" s="6"/>
      <c r="L3384" s="6"/>
      <c r="M3384" s="6"/>
      <c r="N3384" s="6"/>
      <c r="O3384" s="6"/>
      <c r="P3384" s="6"/>
      <c r="Q3384" s="6"/>
      <c r="R3384" s="6"/>
      <c r="S3384" s="6"/>
      <c r="T3384" s="6"/>
      <c r="U3384" s="6"/>
      <c r="V3384" s="6"/>
      <c r="W3384" s="6"/>
      <c r="X3384" s="6"/>
      <c r="Y3384" s="6"/>
      <c r="Z3384" s="6"/>
    </row>
    <row r="3385" customFormat="false" ht="15" hidden="false" customHeight="false" outlineLevel="0" collapsed="false">
      <c r="A3385" s="9" t="s">
        <v>9228</v>
      </c>
      <c r="B3385" s="9" t="s">
        <v>5870</v>
      </c>
      <c r="C3385" s="9" t="s">
        <v>3641</v>
      </c>
      <c r="D3385" s="9" t="s">
        <v>5871</v>
      </c>
      <c r="E3385" s="9" t="str">
        <f aca="false">IF(AND('Formation Ledger'!A3364&lt;&gt;"",'Formation Ledger'!V3364=0),"PASS","FAIL")</f>
        <v>PASS</v>
      </c>
      <c r="F3385" s="9" t="s">
        <v>76</v>
      </c>
      <c r="G3385" s="6"/>
      <c r="H3385" s="6"/>
      <c r="I3385" s="6"/>
      <c r="J3385" s="6"/>
      <c r="K3385" s="6"/>
      <c r="L3385" s="6"/>
      <c r="M3385" s="6"/>
      <c r="N3385" s="6"/>
      <c r="O3385" s="6"/>
      <c r="P3385" s="6"/>
      <c r="Q3385" s="6"/>
      <c r="R3385" s="6"/>
      <c r="S3385" s="6"/>
      <c r="T3385" s="6"/>
      <c r="U3385" s="6"/>
      <c r="V3385" s="6"/>
      <c r="W3385" s="6"/>
      <c r="X3385" s="6"/>
      <c r="Y3385" s="6"/>
      <c r="Z3385" s="6"/>
    </row>
    <row r="3386" customFormat="false" ht="15" hidden="false" customHeight="false" outlineLevel="0" collapsed="false">
      <c r="A3386" s="9" t="s">
        <v>9229</v>
      </c>
      <c r="B3386" s="9" t="s">
        <v>5870</v>
      </c>
      <c r="C3386" s="9" t="s">
        <v>3642</v>
      </c>
      <c r="D3386" s="9" t="s">
        <v>5871</v>
      </c>
      <c r="E3386" s="9" t="str">
        <f aca="false">IF(AND('Formation Ledger'!A3365&lt;&gt;"",'Formation Ledger'!V3365=0),"PASS","FAIL")</f>
        <v>PASS</v>
      </c>
      <c r="F3386" s="9" t="s">
        <v>76</v>
      </c>
      <c r="G3386" s="6"/>
      <c r="H3386" s="6"/>
      <c r="I3386" s="6"/>
      <c r="J3386" s="6"/>
      <c r="K3386" s="6"/>
      <c r="L3386" s="6"/>
      <c r="M3386" s="6"/>
      <c r="N3386" s="6"/>
      <c r="O3386" s="6"/>
      <c r="P3386" s="6"/>
      <c r="Q3386" s="6"/>
      <c r="R3386" s="6"/>
      <c r="S3386" s="6"/>
      <c r="T3386" s="6"/>
      <c r="U3386" s="6"/>
      <c r="V3386" s="6"/>
      <c r="W3386" s="6"/>
      <c r="X3386" s="6"/>
      <c r="Y3386" s="6"/>
      <c r="Z3386" s="6"/>
    </row>
    <row r="3387" customFormat="false" ht="15" hidden="false" customHeight="false" outlineLevel="0" collapsed="false">
      <c r="A3387" s="9" t="s">
        <v>9230</v>
      </c>
      <c r="B3387" s="9" t="s">
        <v>5870</v>
      </c>
      <c r="C3387" s="9" t="s">
        <v>3643</v>
      </c>
      <c r="D3387" s="9" t="s">
        <v>5871</v>
      </c>
      <c r="E3387" s="9" t="str">
        <f aca="false">IF(AND('Formation Ledger'!A3366&lt;&gt;"",'Formation Ledger'!V3366=0),"PASS","FAIL")</f>
        <v>PASS</v>
      </c>
      <c r="F3387" s="9" t="s">
        <v>76</v>
      </c>
      <c r="G3387" s="6"/>
      <c r="H3387" s="6"/>
      <c r="I3387" s="6"/>
      <c r="J3387" s="6"/>
      <c r="K3387" s="6"/>
      <c r="L3387" s="6"/>
      <c r="M3387" s="6"/>
      <c r="N3387" s="6"/>
      <c r="O3387" s="6"/>
      <c r="P3387" s="6"/>
      <c r="Q3387" s="6"/>
      <c r="R3387" s="6"/>
      <c r="S3387" s="6"/>
      <c r="T3387" s="6"/>
      <c r="U3387" s="6"/>
      <c r="V3387" s="6"/>
      <c r="W3387" s="6"/>
      <c r="X3387" s="6"/>
      <c r="Y3387" s="6"/>
      <c r="Z3387" s="6"/>
    </row>
    <row r="3388" customFormat="false" ht="15" hidden="false" customHeight="false" outlineLevel="0" collapsed="false">
      <c r="A3388" s="9" t="s">
        <v>9231</v>
      </c>
      <c r="B3388" s="9" t="s">
        <v>5870</v>
      </c>
      <c r="C3388" s="9" t="s">
        <v>3644</v>
      </c>
      <c r="D3388" s="9" t="s">
        <v>5871</v>
      </c>
      <c r="E3388" s="9" t="str">
        <f aca="false">IF(AND('Formation Ledger'!A3367&lt;&gt;"",'Formation Ledger'!V3367=0),"PASS","FAIL")</f>
        <v>PASS</v>
      </c>
      <c r="F3388" s="9" t="s">
        <v>76</v>
      </c>
      <c r="G3388" s="6"/>
      <c r="H3388" s="6"/>
      <c r="I3388" s="6"/>
      <c r="J3388" s="6"/>
      <c r="K3388" s="6"/>
      <c r="L3388" s="6"/>
      <c r="M3388" s="6"/>
      <c r="N3388" s="6"/>
      <c r="O3388" s="6"/>
      <c r="P3388" s="6"/>
      <c r="Q3388" s="6"/>
      <c r="R3388" s="6"/>
      <c r="S3388" s="6"/>
      <c r="T3388" s="6"/>
      <c r="U3388" s="6"/>
      <c r="V3388" s="6"/>
      <c r="W3388" s="6"/>
      <c r="X3388" s="6"/>
      <c r="Y3388" s="6"/>
      <c r="Z3388" s="6"/>
    </row>
    <row r="3389" customFormat="false" ht="15" hidden="false" customHeight="false" outlineLevel="0" collapsed="false">
      <c r="A3389" s="9" t="s">
        <v>9232</v>
      </c>
      <c r="B3389" s="9" t="s">
        <v>5870</v>
      </c>
      <c r="C3389" s="9" t="s">
        <v>3645</v>
      </c>
      <c r="D3389" s="9" t="s">
        <v>5871</v>
      </c>
      <c r="E3389" s="9" t="str">
        <f aca="false">IF(AND('Formation Ledger'!A3368&lt;&gt;"",'Formation Ledger'!V3368=0),"PASS","FAIL")</f>
        <v>PASS</v>
      </c>
      <c r="F3389" s="9" t="s">
        <v>76</v>
      </c>
      <c r="G3389" s="6"/>
      <c r="H3389" s="6"/>
      <c r="I3389" s="6"/>
      <c r="J3389" s="6"/>
      <c r="K3389" s="6"/>
      <c r="L3389" s="6"/>
      <c r="M3389" s="6"/>
      <c r="N3389" s="6"/>
      <c r="O3389" s="6"/>
      <c r="P3389" s="6"/>
      <c r="Q3389" s="6"/>
      <c r="R3389" s="6"/>
      <c r="S3389" s="6"/>
      <c r="T3389" s="6"/>
      <c r="U3389" s="6"/>
      <c r="V3389" s="6"/>
      <c r="W3389" s="6"/>
      <c r="X3389" s="6"/>
      <c r="Y3389" s="6"/>
      <c r="Z3389" s="6"/>
    </row>
    <row r="3390" customFormat="false" ht="15" hidden="false" customHeight="false" outlineLevel="0" collapsed="false">
      <c r="A3390" s="9" t="s">
        <v>9233</v>
      </c>
      <c r="B3390" s="9" t="s">
        <v>5870</v>
      </c>
      <c r="C3390" s="9" t="s">
        <v>3646</v>
      </c>
      <c r="D3390" s="9" t="s">
        <v>5871</v>
      </c>
      <c r="E3390" s="9" t="str">
        <f aca="false">IF(AND('Formation Ledger'!A3369&lt;&gt;"",'Formation Ledger'!V3369=0),"PASS","FAIL")</f>
        <v>PASS</v>
      </c>
      <c r="F3390" s="9" t="s">
        <v>76</v>
      </c>
      <c r="G3390" s="6"/>
      <c r="H3390" s="6"/>
      <c r="I3390" s="6"/>
      <c r="J3390" s="6"/>
      <c r="K3390" s="6"/>
      <c r="L3390" s="6"/>
      <c r="M3390" s="6"/>
      <c r="N3390" s="6"/>
      <c r="O3390" s="6"/>
      <c r="P3390" s="6"/>
      <c r="Q3390" s="6"/>
      <c r="R3390" s="6"/>
      <c r="S3390" s="6"/>
      <c r="T3390" s="6"/>
      <c r="U3390" s="6"/>
      <c r="V3390" s="6"/>
      <c r="W3390" s="6"/>
      <c r="X3390" s="6"/>
      <c r="Y3390" s="6"/>
      <c r="Z3390" s="6"/>
    </row>
    <row r="3391" customFormat="false" ht="15" hidden="false" customHeight="false" outlineLevel="0" collapsed="false">
      <c r="A3391" s="9" t="s">
        <v>9234</v>
      </c>
      <c r="B3391" s="9" t="s">
        <v>5870</v>
      </c>
      <c r="C3391" s="9" t="s">
        <v>3647</v>
      </c>
      <c r="D3391" s="9" t="s">
        <v>5871</v>
      </c>
      <c r="E3391" s="9" t="str">
        <f aca="false">IF(AND('Formation Ledger'!A3370&lt;&gt;"",'Formation Ledger'!V3370=0),"PASS","FAIL")</f>
        <v>PASS</v>
      </c>
      <c r="F3391" s="9" t="s">
        <v>76</v>
      </c>
      <c r="G3391" s="6"/>
      <c r="H3391" s="6"/>
      <c r="I3391" s="6"/>
      <c r="J3391" s="6"/>
      <c r="K3391" s="6"/>
      <c r="L3391" s="6"/>
      <c r="M3391" s="6"/>
      <c r="N3391" s="6"/>
      <c r="O3391" s="6"/>
      <c r="P3391" s="6"/>
      <c r="Q3391" s="6"/>
      <c r="R3391" s="6"/>
      <c r="S3391" s="6"/>
      <c r="T3391" s="6"/>
      <c r="U3391" s="6"/>
      <c r="V3391" s="6"/>
      <c r="W3391" s="6"/>
      <c r="X3391" s="6"/>
      <c r="Y3391" s="6"/>
      <c r="Z3391" s="6"/>
    </row>
    <row r="3392" customFormat="false" ht="15" hidden="false" customHeight="false" outlineLevel="0" collapsed="false">
      <c r="A3392" s="9" t="s">
        <v>9235</v>
      </c>
      <c r="B3392" s="9" t="s">
        <v>5870</v>
      </c>
      <c r="C3392" s="9" t="s">
        <v>3648</v>
      </c>
      <c r="D3392" s="9" t="s">
        <v>5871</v>
      </c>
      <c r="E3392" s="9" t="str">
        <f aca="false">IF(AND('Formation Ledger'!A3371&lt;&gt;"",'Formation Ledger'!V3371=0),"PASS","FAIL")</f>
        <v>PASS</v>
      </c>
      <c r="F3392" s="9" t="s">
        <v>76</v>
      </c>
      <c r="G3392" s="6"/>
      <c r="H3392" s="6"/>
      <c r="I3392" s="6"/>
      <c r="J3392" s="6"/>
      <c r="K3392" s="6"/>
      <c r="L3392" s="6"/>
      <c r="M3392" s="6"/>
      <c r="N3392" s="6"/>
      <c r="O3392" s="6"/>
      <c r="P3392" s="6"/>
      <c r="Q3392" s="6"/>
      <c r="R3392" s="6"/>
      <c r="S3392" s="6"/>
      <c r="T3392" s="6"/>
      <c r="U3392" s="6"/>
      <c r="V3392" s="6"/>
      <c r="W3392" s="6"/>
      <c r="X3392" s="6"/>
      <c r="Y3392" s="6"/>
      <c r="Z3392" s="6"/>
    </row>
    <row r="3393" customFormat="false" ht="15" hidden="false" customHeight="false" outlineLevel="0" collapsed="false">
      <c r="A3393" s="9" t="s">
        <v>9236</v>
      </c>
      <c r="B3393" s="9" t="s">
        <v>5870</v>
      </c>
      <c r="C3393" s="9" t="s">
        <v>3649</v>
      </c>
      <c r="D3393" s="9" t="s">
        <v>5871</v>
      </c>
      <c r="E3393" s="9" t="str">
        <f aca="false">IF(AND('Formation Ledger'!A3372&lt;&gt;"",'Formation Ledger'!V3372=0),"PASS","FAIL")</f>
        <v>PASS</v>
      </c>
      <c r="F3393" s="9" t="s">
        <v>76</v>
      </c>
      <c r="G3393" s="6"/>
      <c r="H3393" s="6"/>
      <c r="I3393" s="6"/>
      <c r="J3393" s="6"/>
      <c r="K3393" s="6"/>
      <c r="L3393" s="6"/>
      <c r="M3393" s="6"/>
      <c r="N3393" s="6"/>
      <c r="O3393" s="6"/>
      <c r="P3393" s="6"/>
      <c r="Q3393" s="6"/>
      <c r="R3393" s="6"/>
      <c r="S3393" s="6"/>
      <c r="T3393" s="6"/>
      <c r="U3393" s="6"/>
      <c r="V3393" s="6"/>
      <c r="W3393" s="6"/>
      <c r="X3393" s="6"/>
      <c r="Y3393" s="6"/>
      <c r="Z3393" s="6"/>
    </row>
    <row r="3394" customFormat="false" ht="15" hidden="false" customHeight="false" outlineLevel="0" collapsed="false">
      <c r="A3394" s="9" t="s">
        <v>9237</v>
      </c>
      <c r="B3394" s="9" t="s">
        <v>5870</v>
      </c>
      <c r="C3394" s="9" t="s">
        <v>3650</v>
      </c>
      <c r="D3394" s="9" t="s">
        <v>5871</v>
      </c>
      <c r="E3394" s="9" t="str">
        <f aca="false">IF(AND('Formation Ledger'!A3373&lt;&gt;"",'Formation Ledger'!V3373=0),"PASS","FAIL")</f>
        <v>PASS</v>
      </c>
      <c r="F3394" s="9" t="s">
        <v>76</v>
      </c>
      <c r="G3394" s="6"/>
      <c r="H3394" s="6"/>
      <c r="I3394" s="6"/>
      <c r="J3394" s="6"/>
      <c r="K3394" s="6"/>
      <c r="L3394" s="6"/>
      <c r="M3394" s="6"/>
      <c r="N3394" s="6"/>
      <c r="O3394" s="6"/>
      <c r="P3394" s="6"/>
      <c r="Q3394" s="6"/>
      <c r="R3394" s="6"/>
      <c r="S3394" s="6"/>
      <c r="T3394" s="6"/>
      <c r="U3394" s="6"/>
      <c r="V3394" s="6"/>
      <c r="W3394" s="6"/>
      <c r="X3394" s="6"/>
      <c r="Y3394" s="6"/>
      <c r="Z3394" s="6"/>
    </row>
    <row r="3395" customFormat="false" ht="15" hidden="false" customHeight="false" outlineLevel="0" collapsed="false">
      <c r="A3395" s="9" t="s">
        <v>9238</v>
      </c>
      <c r="B3395" s="9" t="s">
        <v>5870</v>
      </c>
      <c r="C3395" s="9" t="s">
        <v>3651</v>
      </c>
      <c r="D3395" s="9" t="s">
        <v>5871</v>
      </c>
      <c r="E3395" s="9" t="str">
        <f aca="false">IF(AND('Formation Ledger'!A3374&lt;&gt;"",'Formation Ledger'!V3374=0),"PASS","FAIL")</f>
        <v>PASS</v>
      </c>
      <c r="F3395" s="9" t="s">
        <v>76</v>
      </c>
      <c r="G3395" s="6"/>
      <c r="H3395" s="6"/>
      <c r="I3395" s="6"/>
      <c r="J3395" s="6"/>
      <c r="K3395" s="6"/>
      <c r="L3395" s="6"/>
      <c r="M3395" s="6"/>
      <c r="N3395" s="6"/>
      <c r="O3395" s="6"/>
      <c r="P3395" s="6"/>
      <c r="Q3395" s="6"/>
      <c r="R3395" s="6"/>
      <c r="S3395" s="6"/>
      <c r="T3395" s="6"/>
      <c r="U3395" s="6"/>
      <c r="V3395" s="6"/>
      <c r="W3395" s="6"/>
      <c r="X3395" s="6"/>
      <c r="Y3395" s="6"/>
      <c r="Z3395" s="6"/>
    </row>
    <row r="3396" customFormat="false" ht="15" hidden="false" customHeight="false" outlineLevel="0" collapsed="false">
      <c r="A3396" s="9" t="s">
        <v>9239</v>
      </c>
      <c r="B3396" s="9" t="s">
        <v>5870</v>
      </c>
      <c r="C3396" s="9" t="s">
        <v>3652</v>
      </c>
      <c r="D3396" s="9" t="s">
        <v>5871</v>
      </c>
      <c r="E3396" s="9" t="str">
        <f aca="false">IF(AND('Formation Ledger'!A3375&lt;&gt;"",'Formation Ledger'!V3375=0),"PASS","FAIL")</f>
        <v>PASS</v>
      </c>
      <c r="F3396" s="9" t="s">
        <v>76</v>
      </c>
      <c r="G3396" s="6"/>
      <c r="H3396" s="6"/>
      <c r="I3396" s="6"/>
      <c r="J3396" s="6"/>
      <c r="K3396" s="6"/>
      <c r="L3396" s="6"/>
      <c r="M3396" s="6"/>
      <c r="N3396" s="6"/>
      <c r="O3396" s="6"/>
      <c r="P3396" s="6"/>
      <c r="Q3396" s="6"/>
      <c r="R3396" s="6"/>
      <c r="S3396" s="6"/>
      <c r="T3396" s="6"/>
      <c r="U3396" s="6"/>
      <c r="V3396" s="6"/>
      <c r="W3396" s="6"/>
      <c r="X3396" s="6"/>
      <c r="Y3396" s="6"/>
      <c r="Z3396" s="6"/>
    </row>
    <row r="3397" customFormat="false" ht="15" hidden="false" customHeight="false" outlineLevel="0" collapsed="false">
      <c r="A3397" s="9" t="s">
        <v>9240</v>
      </c>
      <c r="B3397" s="9" t="s">
        <v>5870</v>
      </c>
      <c r="C3397" s="9" t="s">
        <v>3653</v>
      </c>
      <c r="D3397" s="9" t="s">
        <v>5871</v>
      </c>
      <c r="E3397" s="9" t="str">
        <f aca="false">IF(AND('Formation Ledger'!A3376&lt;&gt;"",'Formation Ledger'!V3376=0),"PASS","FAIL")</f>
        <v>PASS</v>
      </c>
      <c r="F3397" s="9" t="s">
        <v>76</v>
      </c>
      <c r="G3397" s="6"/>
      <c r="H3397" s="6"/>
      <c r="I3397" s="6"/>
      <c r="J3397" s="6"/>
      <c r="K3397" s="6"/>
      <c r="L3397" s="6"/>
      <c r="M3397" s="6"/>
      <c r="N3397" s="6"/>
      <c r="O3397" s="6"/>
      <c r="P3397" s="6"/>
      <c r="Q3397" s="6"/>
      <c r="R3397" s="6"/>
      <c r="S3397" s="6"/>
      <c r="T3397" s="6"/>
      <c r="U3397" s="6"/>
      <c r="V3397" s="6"/>
      <c r="W3397" s="6"/>
      <c r="X3397" s="6"/>
      <c r="Y3397" s="6"/>
      <c r="Z3397" s="6"/>
    </row>
    <row r="3398" customFormat="false" ht="15" hidden="false" customHeight="false" outlineLevel="0" collapsed="false">
      <c r="A3398" s="9" t="s">
        <v>9241</v>
      </c>
      <c r="B3398" s="9" t="s">
        <v>5870</v>
      </c>
      <c r="C3398" s="9" t="s">
        <v>3654</v>
      </c>
      <c r="D3398" s="9" t="s">
        <v>5871</v>
      </c>
      <c r="E3398" s="9" t="str">
        <f aca="false">IF(AND('Formation Ledger'!A3377&lt;&gt;"",'Formation Ledger'!V3377=0),"PASS","FAIL")</f>
        <v>PASS</v>
      </c>
      <c r="F3398" s="9" t="s">
        <v>76</v>
      </c>
      <c r="G3398" s="6"/>
      <c r="H3398" s="6"/>
      <c r="I3398" s="6"/>
      <c r="J3398" s="6"/>
      <c r="K3398" s="6"/>
      <c r="L3398" s="6"/>
      <c r="M3398" s="6"/>
      <c r="N3398" s="6"/>
      <c r="O3398" s="6"/>
      <c r="P3398" s="6"/>
      <c r="Q3398" s="6"/>
      <c r="R3398" s="6"/>
      <c r="S3398" s="6"/>
      <c r="T3398" s="6"/>
      <c r="U3398" s="6"/>
      <c r="V3398" s="6"/>
      <c r="W3398" s="6"/>
      <c r="X3398" s="6"/>
      <c r="Y3398" s="6"/>
      <c r="Z3398" s="6"/>
    </row>
    <row r="3399" customFormat="false" ht="15" hidden="false" customHeight="false" outlineLevel="0" collapsed="false">
      <c r="A3399" s="9" t="s">
        <v>9242</v>
      </c>
      <c r="B3399" s="9" t="s">
        <v>5870</v>
      </c>
      <c r="C3399" s="9" t="s">
        <v>3655</v>
      </c>
      <c r="D3399" s="9" t="s">
        <v>5871</v>
      </c>
      <c r="E3399" s="9" t="str">
        <f aca="false">IF(AND('Formation Ledger'!A3378&lt;&gt;"",'Formation Ledger'!V3378=0),"PASS","FAIL")</f>
        <v>PASS</v>
      </c>
      <c r="F3399" s="9" t="s">
        <v>76</v>
      </c>
      <c r="G3399" s="6"/>
      <c r="H3399" s="6"/>
      <c r="I3399" s="6"/>
      <c r="J3399" s="6"/>
      <c r="K3399" s="6"/>
      <c r="L3399" s="6"/>
      <c r="M3399" s="6"/>
      <c r="N3399" s="6"/>
      <c r="O3399" s="6"/>
      <c r="P3399" s="6"/>
      <c r="Q3399" s="6"/>
      <c r="R3399" s="6"/>
      <c r="S3399" s="6"/>
      <c r="T3399" s="6"/>
      <c r="U3399" s="6"/>
      <c r="V3399" s="6"/>
      <c r="W3399" s="6"/>
      <c r="X3399" s="6"/>
      <c r="Y3399" s="6"/>
      <c r="Z3399" s="6"/>
    </row>
    <row r="3400" customFormat="false" ht="15" hidden="false" customHeight="false" outlineLevel="0" collapsed="false">
      <c r="A3400" s="9" t="s">
        <v>9243</v>
      </c>
      <c r="B3400" s="9" t="s">
        <v>5870</v>
      </c>
      <c r="C3400" s="9" t="s">
        <v>3656</v>
      </c>
      <c r="D3400" s="9" t="s">
        <v>5871</v>
      </c>
      <c r="E3400" s="9" t="str">
        <f aca="false">IF(AND('Formation Ledger'!A3379&lt;&gt;"",'Formation Ledger'!V3379=0),"PASS","FAIL")</f>
        <v>PASS</v>
      </c>
      <c r="F3400" s="9" t="s">
        <v>76</v>
      </c>
      <c r="G3400" s="6"/>
      <c r="H3400" s="6"/>
      <c r="I3400" s="6"/>
      <c r="J3400" s="6"/>
      <c r="K3400" s="6"/>
      <c r="L3400" s="6"/>
      <c r="M3400" s="6"/>
      <c r="N3400" s="6"/>
      <c r="O3400" s="6"/>
      <c r="P3400" s="6"/>
      <c r="Q3400" s="6"/>
      <c r="R3400" s="6"/>
      <c r="S3400" s="6"/>
      <c r="T3400" s="6"/>
      <c r="U3400" s="6"/>
      <c r="V3400" s="6"/>
      <c r="W3400" s="6"/>
      <c r="X3400" s="6"/>
      <c r="Y3400" s="6"/>
      <c r="Z3400" s="6"/>
    </row>
    <row r="3401" customFormat="false" ht="15" hidden="false" customHeight="false" outlineLevel="0" collapsed="false">
      <c r="A3401" s="9" t="s">
        <v>9244</v>
      </c>
      <c r="B3401" s="9" t="s">
        <v>5870</v>
      </c>
      <c r="C3401" s="9" t="s">
        <v>3657</v>
      </c>
      <c r="D3401" s="9" t="s">
        <v>5871</v>
      </c>
      <c r="E3401" s="9" t="str">
        <f aca="false">IF(AND('Formation Ledger'!A3380&lt;&gt;"",'Formation Ledger'!V3380=0),"PASS","FAIL")</f>
        <v>PASS</v>
      </c>
      <c r="F3401" s="9" t="s">
        <v>76</v>
      </c>
      <c r="G3401" s="6"/>
      <c r="H3401" s="6"/>
      <c r="I3401" s="6"/>
      <c r="J3401" s="6"/>
      <c r="K3401" s="6"/>
      <c r="L3401" s="6"/>
      <c r="M3401" s="6"/>
      <c r="N3401" s="6"/>
      <c r="O3401" s="6"/>
      <c r="P3401" s="6"/>
      <c r="Q3401" s="6"/>
      <c r="R3401" s="6"/>
      <c r="S3401" s="6"/>
      <c r="T3401" s="6"/>
      <c r="U3401" s="6"/>
      <c r="V3401" s="6"/>
      <c r="W3401" s="6"/>
      <c r="X3401" s="6"/>
      <c r="Y3401" s="6"/>
      <c r="Z3401" s="6"/>
    </row>
    <row r="3402" customFormat="false" ht="15" hidden="false" customHeight="false" outlineLevel="0" collapsed="false">
      <c r="A3402" s="9" t="s">
        <v>9245</v>
      </c>
      <c r="B3402" s="9" t="s">
        <v>5870</v>
      </c>
      <c r="C3402" s="9" t="s">
        <v>3658</v>
      </c>
      <c r="D3402" s="9" t="s">
        <v>5871</v>
      </c>
      <c r="E3402" s="9" t="str">
        <f aca="false">IF(AND('Formation Ledger'!A3381&lt;&gt;"",'Formation Ledger'!V3381=0),"PASS","FAIL")</f>
        <v>PASS</v>
      </c>
      <c r="F3402" s="9" t="s">
        <v>76</v>
      </c>
      <c r="G3402" s="6"/>
      <c r="H3402" s="6"/>
      <c r="I3402" s="6"/>
      <c r="J3402" s="6"/>
      <c r="K3402" s="6"/>
      <c r="L3402" s="6"/>
      <c r="M3402" s="6"/>
      <c r="N3402" s="6"/>
      <c r="O3402" s="6"/>
      <c r="P3402" s="6"/>
      <c r="Q3402" s="6"/>
      <c r="R3402" s="6"/>
      <c r="S3402" s="6"/>
      <c r="T3402" s="6"/>
      <c r="U3402" s="6"/>
      <c r="V3402" s="6"/>
      <c r="W3402" s="6"/>
      <c r="X3402" s="6"/>
      <c r="Y3402" s="6"/>
      <c r="Z3402" s="6"/>
    </row>
    <row r="3403" customFormat="false" ht="15" hidden="false" customHeight="false" outlineLevel="0" collapsed="false">
      <c r="A3403" s="9" t="s">
        <v>9246</v>
      </c>
      <c r="B3403" s="9" t="s">
        <v>5870</v>
      </c>
      <c r="C3403" s="9" t="s">
        <v>3659</v>
      </c>
      <c r="D3403" s="9" t="s">
        <v>5871</v>
      </c>
      <c r="E3403" s="9" t="str">
        <f aca="false">IF(AND('Formation Ledger'!A3382&lt;&gt;"",'Formation Ledger'!V3382=0),"PASS","FAIL")</f>
        <v>PASS</v>
      </c>
      <c r="F3403" s="9" t="s">
        <v>76</v>
      </c>
      <c r="G3403" s="6"/>
      <c r="H3403" s="6"/>
      <c r="I3403" s="6"/>
      <c r="J3403" s="6"/>
      <c r="K3403" s="6"/>
      <c r="L3403" s="6"/>
      <c r="M3403" s="6"/>
      <c r="N3403" s="6"/>
      <c r="O3403" s="6"/>
      <c r="P3403" s="6"/>
      <c r="Q3403" s="6"/>
      <c r="R3403" s="6"/>
      <c r="S3403" s="6"/>
      <c r="T3403" s="6"/>
      <c r="U3403" s="6"/>
      <c r="V3403" s="6"/>
      <c r="W3403" s="6"/>
      <c r="X3403" s="6"/>
      <c r="Y3403" s="6"/>
      <c r="Z3403" s="6"/>
    </row>
    <row r="3404" customFormat="false" ht="15" hidden="false" customHeight="false" outlineLevel="0" collapsed="false">
      <c r="A3404" s="9" t="s">
        <v>9247</v>
      </c>
      <c r="B3404" s="9" t="s">
        <v>5870</v>
      </c>
      <c r="C3404" s="9" t="s">
        <v>3660</v>
      </c>
      <c r="D3404" s="9" t="s">
        <v>5871</v>
      </c>
      <c r="E3404" s="9" t="str">
        <f aca="false">IF(AND('Formation Ledger'!A3383&lt;&gt;"",'Formation Ledger'!V3383=0),"PASS","FAIL")</f>
        <v>PASS</v>
      </c>
      <c r="F3404" s="9" t="s">
        <v>76</v>
      </c>
      <c r="G3404" s="6"/>
      <c r="H3404" s="6"/>
      <c r="I3404" s="6"/>
      <c r="J3404" s="6"/>
      <c r="K3404" s="6"/>
      <c r="L3404" s="6"/>
      <c r="M3404" s="6"/>
      <c r="N3404" s="6"/>
      <c r="O3404" s="6"/>
      <c r="P3404" s="6"/>
      <c r="Q3404" s="6"/>
      <c r="R3404" s="6"/>
      <c r="S3404" s="6"/>
      <c r="T3404" s="6"/>
      <c r="U3404" s="6"/>
      <c r="V3404" s="6"/>
      <c r="W3404" s="6"/>
      <c r="X3404" s="6"/>
      <c r="Y3404" s="6"/>
      <c r="Z3404" s="6"/>
    </row>
    <row r="3405" customFormat="false" ht="15" hidden="false" customHeight="false" outlineLevel="0" collapsed="false">
      <c r="A3405" s="9" t="s">
        <v>9248</v>
      </c>
      <c r="B3405" s="9" t="s">
        <v>5870</v>
      </c>
      <c r="C3405" s="9" t="s">
        <v>3661</v>
      </c>
      <c r="D3405" s="9" t="s">
        <v>5871</v>
      </c>
      <c r="E3405" s="9" t="str">
        <f aca="false">IF(AND('Formation Ledger'!A3384&lt;&gt;"",'Formation Ledger'!V3384=0),"PASS","FAIL")</f>
        <v>PASS</v>
      </c>
      <c r="F3405" s="9" t="s">
        <v>76</v>
      </c>
      <c r="G3405" s="6"/>
      <c r="H3405" s="6"/>
      <c r="I3405" s="6"/>
      <c r="J3405" s="6"/>
      <c r="K3405" s="6"/>
      <c r="L3405" s="6"/>
      <c r="M3405" s="6"/>
      <c r="N3405" s="6"/>
      <c r="O3405" s="6"/>
      <c r="P3405" s="6"/>
      <c r="Q3405" s="6"/>
      <c r="R3405" s="6"/>
      <c r="S3405" s="6"/>
      <c r="T3405" s="6"/>
      <c r="U3405" s="6"/>
      <c r="V3405" s="6"/>
      <c r="W3405" s="6"/>
      <c r="X3405" s="6"/>
      <c r="Y3405" s="6"/>
      <c r="Z3405" s="6"/>
    </row>
    <row r="3406" customFormat="false" ht="15" hidden="false" customHeight="false" outlineLevel="0" collapsed="false">
      <c r="A3406" s="9" t="s">
        <v>9249</v>
      </c>
      <c r="B3406" s="9" t="s">
        <v>5870</v>
      </c>
      <c r="C3406" s="9" t="s">
        <v>3662</v>
      </c>
      <c r="D3406" s="9" t="s">
        <v>5871</v>
      </c>
      <c r="E3406" s="9" t="str">
        <f aca="false">IF(AND('Formation Ledger'!A3385&lt;&gt;"",'Formation Ledger'!V3385=0),"PASS","FAIL")</f>
        <v>PASS</v>
      </c>
      <c r="F3406" s="9" t="s">
        <v>76</v>
      </c>
      <c r="G3406" s="6"/>
      <c r="H3406" s="6"/>
      <c r="I3406" s="6"/>
      <c r="J3406" s="6"/>
      <c r="K3406" s="6"/>
      <c r="L3406" s="6"/>
      <c r="M3406" s="6"/>
      <c r="N3406" s="6"/>
      <c r="O3406" s="6"/>
      <c r="P3406" s="6"/>
      <c r="Q3406" s="6"/>
      <c r="R3406" s="6"/>
      <c r="S3406" s="6"/>
      <c r="T3406" s="6"/>
      <c r="U3406" s="6"/>
      <c r="V3406" s="6"/>
      <c r="W3406" s="6"/>
      <c r="X3406" s="6"/>
      <c r="Y3406" s="6"/>
      <c r="Z3406" s="6"/>
    </row>
    <row r="3407" customFormat="false" ht="15" hidden="false" customHeight="false" outlineLevel="0" collapsed="false">
      <c r="A3407" s="9" t="s">
        <v>9250</v>
      </c>
      <c r="B3407" s="9" t="s">
        <v>5870</v>
      </c>
      <c r="C3407" s="9" t="s">
        <v>3663</v>
      </c>
      <c r="D3407" s="9" t="s">
        <v>5871</v>
      </c>
      <c r="E3407" s="9" t="str">
        <f aca="false">IF(AND('Formation Ledger'!A3386&lt;&gt;"",'Formation Ledger'!V3386=0),"PASS","FAIL")</f>
        <v>PASS</v>
      </c>
      <c r="F3407" s="9" t="s">
        <v>76</v>
      </c>
      <c r="G3407" s="6"/>
      <c r="H3407" s="6"/>
      <c r="I3407" s="6"/>
      <c r="J3407" s="6"/>
      <c r="K3407" s="6"/>
      <c r="L3407" s="6"/>
      <c r="M3407" s="6"/>
      <c r="N3407" s="6"/>
      <c r="O3407" s="6"/>
      <c r="P3407" s="6"/>
      <c r="Q3407" s="6"/>
      <c r="R3407" s="6"/>
      <c r="S3407" s="6"/>
      <c r="T3407" s="6"/>
      <c r="U3407" s="6"/>
      <c r="V3407" s="6"/>
      <c r="W3407" s="6"/>
      <c r="X3407" s="6"/>
      <c r="Y3407" s="6"/>
      <c r="Z3407" s="6"/>
    </row>
    <row r="3408" customFormat="false" ht="15" hidden="false" customHeight="false" outlineLevel="0" collapsed="false">
      <c r="A3408" s="9" t="s">
        <v>9251</v>
      </c>
      <c r="B3408" s="9" t="s">
        <v>5870</v>
      </c>
      <c r="C3408" s="9" t="s">
        <v>3664</v>
      </c>
      <c r="D3408" s="9" t="s">
        <v>5871</v>
      </c>
      <c r="E3408" s="9" t="str">
        <f aca="false">IF(AND('Formation Ledger'!A3387&lt;&gt;"",'Formation Ledger'!V3387=0),"PASS","FAIL")</f>
        <v>PASS</v>
      </c>
      <c r="F3408" s="9" t="s">
        <v>76</v>
      </c>
      <c r="G3408" s="6"/>
      <c r="H3408" s="6"/>
      <c r="I3408" s="6"/>
      <c r="J3408" s="6"/>
      <c r="K3408" s="6"/>
      <c r="L3408" s="6"/>
      <c r="M3408" s="6"/>
      <c r="N3408" s="6"/>
      <c r="O3408" s="6"/>
      <c r="P3408" s="6"/>
      <c r="Q3408" s="6"/>
      <c r="R3408" s="6"/>
      <c r="S3408" s="6"/>
      <c r="T3408" s="6"/>
      <c r="U3408" s="6"/>
      <c r="V3408" s="6"/>
      <c r="W3408" s="6"/>
      <c r="X3408" s="6"/>
      <c r="Y3408" s="6"/>
      <c r="Z3408" s="6"/>
    </row>
    <row r="3409" customFormat="false" ht="15" hidden="false" customHeight="false" outlineLevel="0" collapsed="false">
      <c r="A3409" s="9" t="s">
        <v>9252</v>
      </c>
      <c r="B3409" s="9" t="s">
        <v>5870</v>
      </c>
      <c r="C3409" s="9" t="s">
        <v>3665</v>
      </c>
      <c r="D3409" s="9" t="s">
        <v>5871</v>
      </c>
      <c r="E3409" s="9" t="str">
        <f aca="false">IF(AND('Formation Ledger'!A3388&lt;&gt;"",'Formation Ledger'!V3388=0),"PASS","FAIL")</f>
        <v>PASS</v>
      </c>
      <c r="F3409" s="9" t="s">
        <v>76</v>
      </c>
      <c r="G3409" s="6"/>
      <c r="H3409" s="6"/>
      <c r="I3409" s="6"/>
      <c r="J3409" s="6"/>
      <c r="K3409" s="6"/>
      <c r="L3409" s="6"/>
      <c r="M3409" s="6"/>
      <c r="N3409" s="6"/>
      <c r="O3409" s="6"/>
      <c r="P3409" s="6"/>
      <c r="Q3409" s="6"/>
      <c r="R3409" s="6"/>
      <c r="S3409" s="6"/>
      <c r="T3409" s="6"/>
      <c r="U3409" s="6"/>
      <c r="V3409" s="6"/>
      <c r="W3409" s="6"/>
      <c r="X3409" s="6"/>
      <c r="Y3409" s="6"/>
      <c r="Z3409" s="6"/>
    </row>
    <row r="3410" customFormat="false" ht="15" hidden="false" customHeight="false" outlineLevel="0" collapsed="false">
      <c r="A3410" s="9" t="s">
        <v>9253</v>
      </c>
      <c r="B3410" s="9" t="s">
        <v>5870</v>
      </c>
      <c r="C3410" s="9" t="s">
        <v>3666</v>
      </c>
      <c r="D3410" s="9" t="s">
        <v>5871</v>
      </c>
      <c r="E3410" s="9" t="str">
        <f aca="false">IF(AND('Formation Ledger'!A3389&lt;&gt;"",'Formation Ledger'!V3389=0),"PASS","FAIL")</f>
        <v>PASS</v>
      </c>
      <c r="F3410" s="9" t="s">
        <v>76</v>
      </c>
      <c r="G3410" s="6"/>
      <c r="H3410" s="6"/>
      <c r="I3410" s="6"/>
      <c r="J3410" s="6"/>
      <c r="K3410" s="6"/>
      <c r="L3410" s="6"/>
      <c r="M3410" s="6"/>
      <c r="N3410" s="6"/>
      <c r="O3410" s="6"/>
      <c r="P3410" s="6"/>
      <c r="Q3410" s="6"/>
      <c r="R3410" s="6"/>
      <c r="S3410" s="6"/>
      <c r="T3410" s="6"/>
      <c r="U3410" s="6"/>
      <c r="V3410" s="6"/>
      <c r="W3410" s="6"/>
      <c r="X3410" s="6"/>
      <c r="Y3410" s="6"/>
      <c r="Z3410" s="6"/>
    </row>
    <row r="3411" customFormat="false" ht="15" hidden="false" customHeight="false" outlineLevel="0" collapsed="false">
      <c r="A3411" s="9" t="s">
        <v>9254</v>
      </c>
      <c r="B3411" s="9" t="s">
        <v>5870</v>
      </c>
      <c r="C3411" s="9" t="s">
        <v>3667</v>
      </c>
      <c r="D3411" s="9" t="s">
        <v>5871</v>
      </c>
      <c r="E3411" s="9" t="str">
        <f aca="false">IF(AND('Formation Ledger'!A3390&lt;&gt;"",'Formation Ledger'!V3390=0),"PASS","FAIL")</f>
        <v>PASS</v>
      </c>
      <c r="F3411" s="9" t="s">
        <v>76</v>
      </c>
      <c r="G3411" s="6"/>
      <c r="H3411" s="6"/>
      <c r="I3411" s="6"/>
      <c r="J3411" s="6"/>
      <c r="K3411" s="6"/>
      <c r="L3411" s="6"/>
      <c r="M3411" s="6"/>
      <c r="N3411" s="6"/>
      <c r="O3411" s="6"/>
      <c r="P3411" s="6"/>
      <c r="Q3411" s="6"/>
      <c r="R3411" s="6"/>
      <c r="S3411" s="6"/>
      <c r="T3411" s="6"/>
      <c r="U3411" s="6"/>
      <c r="V3411" s="6"/>
      <c r="W3411" s="6"/>
      <c r="X3411" s="6"/>
      <c r="Y3411" s="6"/>
      <c r="Z3411" s="6"/>
    </row>
    <row r="3412" customFormat="false" ht="15" hidden="false" customHeight="false" outlineLevel="0" collapsed="false">
      <c r="A3412" s="9" t="s">
        <v>9255</v>
      </c>
      <c r="B3412" s="9" t="s">
        <v>5870</v>
      </c>
      <c r="C3412" s="9" t="s">
        <v>3668</v>
      </c>
      <c r="D3412" s="9" t="s">
        <v>5871</v>
      </c>
      <c r="E3412" s="9" t="str">
        <f aca="false">IF(AND('Formation Ledger'!A3391&lt;&gt;"",'Formation Ledger'!V3391=0),"PASS","FAIL")</f>
        <v>PASS</v>
      </c>
      <c r="F3412" s="9" t="s">
        <v>76</v>
      </c>
      <c r="G3412" s="6"/>
      <c r="H3412" s="6"/>
      <c r="I3412" s="6"/>
      <c r="J3412" s="6"/>
      <c r="K3412" s="6"/>
      <c r="L3412" s="6"/>
      <c r="M3412" s="6"/>
      <c r="N3412" s="6"/>
      <c r="O3412" s="6"/>
      <c r="P3412" s="6"/>
      <c r="Q3412" s="6"/>
      <c r="R3412" s="6"/>
      <c r="S3412" s="6"/>
      <c r="T3412" s="6"/>
      <c r="U3412" s="6"/>
      <c r="V3412" s="6"/>
      <c r="W3412" s="6"/>
      <c r="X3412" s="6"/>
      <c r="Y3412" s="6"/>
      <c r="Z3412" s="6"/>
    </row>
    <row r="3413" customFormat="false" ht="15" hidden="false" customHeight="false" outlineLevel="0" collapsed="false">
      <c r="A3413" s="9" t="s">
        <v>9256</v>
      </c>
      <c r="B3413" s="9" t="s">
        <v>5870</v>
      </c>
      <c r="C3413" s="9" t="s">
        <v>3669</v>
      </c>
      <c r="D3413" s="9" t="s">
        <v>5871</v>
      </c>
      <c r="E3413" s="9" t="str">
        <f aca="false">IF(AND('Formation Ledger'!A3392&lt;&gt;"",'Formation Ledger'!V3392=0),"PASS","FAIL")</f>
        <v>PASS</v>
      </c>
      <c r="F3413" s="9" t="s">
        <v>76</v>
      </c>
      <c r="G3413" s="6"/>
      <c r="H3413" s="6"/>
      <c r="I3413" s="6"/>
      <c r="J3413" s="6"/>
      <c r="K3413" s="6"/>
      <c r="L3413" s="6"/>
      <c r="M3413" s="6"/>
      <c r="N3413" s="6"/>
      <c r="O3413" s="6"/>
      <c r="P3413" s="6"/>
      <c r="Q3413" s="6"/>
      <c r="R3413" s="6"/>
      <c r="S3413" s="6"/>
      <c r="T3413" s="6"/>
      <c r="U3413" s="6"/>
      <c r="V3413" s="6"/>
      <c r="W3413" s="6"/>
      <c r="X3413" s="6"/>
      <c r="Y3413" s="6"/>
      <c r="Z3413" s="6"/>
    </row>
    <row r="3414" customFormat="false" ht="15" hidden="false" customHeight="false" outlineLevel="0" collapsed="false">
      <c r="A3414" s="9" t="s">
        <v>9257</v>
      </c>
      <c r="B3414" s="9" t="s">
        <v>5870</v>
      </c>
      <c r="C3414" s="9" t="s">
        <v>3670</v>
      </c>
      <c r="D3414" s="9" t="s">
        <v>5871</v>
      </c>
      <c r="E3414" s="9" t="str">
        <f aca="false">IF(AND('Formation Ledger'!A3393&lt;&gt;"",'Formation Ledger'!V3393=0),"PASS","FAIL")</f>
        <v>PASS</v>
      </c>
      <c r="F3414" s="9" t="s">
        <v>76</v>
      </c>
      <c r="G3414" s="6"/>
      <c r="H3414" s="6"/>
      <c r="I3414" s="6"/>
      <c r="J3414" s="6"/>
      <c r="K3414" s="6"/>
      <c r="L3414" s="6"/>
      <c r="M3414" s="6"/>
      <c r="N3414" s="6"/>
      <c r="O3414" s="6"/>
      <c r="P3414" s="6"/>
      <c r="Q3414" s="6"/>
      <c r="R3414" s="6"/>
      <c r="S3414" s="6"/>
      <c r="T3414" s="6"/>
      <c r="U3414" s="6"/>
      <c r="V3414" s="6"/>
      <c r="W3414" s="6"/>
      <c r="X3414" s="6"/>
      <c r="Y3414" s="6"/>
      <c r="Z3414" s="6"/>
    </row>
    <row r="3415" customFormat="false" ht="15" hidden="false" customHeight="false" outlineLevel="0" collapsed="false">
      <c r="A3415" s="9" t="s">
        <v>9258</v>
      </c>
      <c r="B3415" s="9" t="s">
        <v>5870</v>
      </c>
      <c r="C3415" s="9" t="s">
        <v>3671</v>
      </c>
      <c r="D3415" s="9" t="s">
        <v>5871</v>
      </c>
      <c r="E3415" s="9" t="str">
        <f aca="false">IF(AND('Formation Ledger'!A3394&lt;&gt;"",'Formation Ledger'!V3394=0),"PASS","FAIL")</f>
        <v>PASS</v>
      </c>
      <c r="F3415" s="9" t="s">
        <v>76</v>
      </c>
      <c r="G3415" s="6"/>
      <c r="H3415" s="6"/>
      <c r="I3415" s="6"/>
      <c r="J3415" s="6"/>
      <c r="K3415" s="6"/>
      <c r="L3415" s="6"/>
      <c r="M3415" s="6"/>
      <c r="N3415" s="6"/>
      <c r="O3415" s="6"/>
      <c r="P3415" s="6"/>
      <c r="Q3415" s="6"/>
      <c r="R3415" s="6"/>
      <c r="S3415" s="6"/>
      <c r="T3415" s="6"/>
      <c r="U3415" s="6"/>
      <c r="V3415" s="6"/>
      <c r="W3415" s="6"/>
      <c r="X3415" s="6"/>
      <c r="Y3415" s="6"/>
      <c r="Z3415" s="6"/>
    </row>
    <row r="3416" customFormat="false" ht="15" hidden="false" customHeight="false" outlineLevel="0" collapsed="false">
      <c r="A3416" s="9" t="s">
        <v>9259</v>
      </c>
      <c r="B3416" s="9" t="s">
        <v>5870</v>
      </c>
      <c r="C3416" s="9" t="s">
        <v>3672</v>
      </c>
      <c r="D3416" s="9" t="s">
        <v>5871</v>
      </c>
      <c r="E3416" s="9" t="str">
        <f aca="false">IF(AND('Formation Ledger'!A3395&lt;&gt;"",'Formation Ledger'!V3395=0),"PASS","FAIL")</f>
        <v>PASS</v>
      </c>
      <c r="F3416" s="9" t="s">
        <v>76</v>
      </c>
      <c r="G3416" s="6"/>
      <c r="H3416" s="6"/>
      <c r="I3416" s="6"/>
      <c r="J3416" s="6"/>
      <c r="K3416" s="6"/>
      <c r="L3416" s="6"/>
      <c r="M3416" s="6"/>
      <c r="N3416" s="6"/>
      <c r="O3416" s="6"/>
      <c r="P3416" s="6"/>
      <c r="Q3416" s="6"/>
      <c r="R3416" s="6"/>
      <c r="S3416" s="6"/>
      <c r="T3416" s="6"/>
      <c r="U3416" s="6"/>
      <c r="V3416" s="6"/>
      <c r="W3416" s="6"/>
      <c r="X3416" s="6"/>
      <c r="Y3416" s="6"/>
      <c r="Z3416" s="6"/>
    </row>
    <row r="3417" customFormat="false" ht="15" hidden="false" customHeight="false" outlineLevel="0" collapsed="false">
      <c r="A3417" s="9" t="s">
        <v>9260</v>
      </c>
      <c r="B3417" s="9" t="s">
        <v>5870</v>
      </c>
      <c r="C3417" s="9" t="s">
        <v>3673</v>
      </c>
      <c r="D3417" s="9" t="s">
        <v>5871</v>
      </c>
      <c r="E3417" s="9" t="str">
        <f aca="false">IF(AND('Formation Ledger'!A3396&lt;&gt;"",'Formation Ledger'!V3396=0),"PASS","FAIL")</f>
        <v>PASS</v>
      </c>
      <c r="F3417" s="9" t="s">
        <v>76</v>
      </c>
      <c r="G3417" s="6"/>
      <c r="H3417" s="6"/>
      <c r="I3417" s="6"/>
      <c r="J3417" s="6"/>
      <c r="K3417" s="6"/>
      <c r="L3417" s="6"/>
      <c r="M3417" s="6"/>
      <c r="N3417" s="6"/>
      <c r="O3417" s="6"/>
      <c r="P3417" s="6"/>
      <c r="Q3417" s="6"/>
      <c r="R3417" s="6"/>
      <c r="S3417" s="6"/>
      <c r="T3417" s="6"/>
      <c r="U3417" s="6"/>
      <c r="V3417" s="6"/>
      <c r="W3417" s="6"/>
      <c r="X3417" s="6"/>
      <c r="Y3417" s="6"/>
      <c r="Z3417" s="6"/>
    </row>
    <row r="3418" customFormat="false" ht="15" hidden="false" customHeight="false" outlineLevel="0" collapsed="false">
      <c r="A3418" s="9" t="s">
        <v>9261</v>
      </c>
      <c r="B3418" s="9" t="s">
        <v>5870</v>
      </c>
      <c r="C3418" s="9" t="s">
        <v>3674</v>
      </c>
      <c r="D3418" s="9" t="s">
        <v>5871</v>
      </c>
      <c r="E3418" s="9" t="str">
        <f aca="false">IF(AND('Formation Ledger'!A3397&lt;&gt;"",'Formation Ledger'!V3397=0),"PASS","FAIL")</f>
        <v>PASS</v>
      </c>
      <c r="F3418" s="9" t="s">
        <v>76</v>
      </c>
      <c r="G3418" s="6"/>
      <c r="H3418" s="6"/>
      <c r="I3418" s="6"/>
      <c r="J3418" s="6"/>
      <c r="K3418" s="6"/>
      <c r="L3418" s="6"/>
      <c r="M3418" s="6"/>
      <c r="N3418" s="6"/>
      <c r="O3418" s="6"/>
      <c r="P3418" s="6"/>
      <c r="Q3418" s="6"/>
      <c r="R3418" s="6"/>
      <c r="S3418" s="6"/>
      <c r="T3418" s="6"/>
      <c r="U3418" s="6"/>
      <c r="V3418" s="6"/>
      <c r="W3418" s="6"/>
      <c r="X3418" s="6"/>
      <c r="Y3418" s="6"/>
      <c r="Z3418" s="6"/>
    </row>
    <row r="3419" customFormat="false" ht="15" hidden="false" customHeight="false" outlineLevel="0" collapsed="false">
      <c r="A3419" s="9" t="s">
        <v>9262</v>
      </c>
      <c r="B3419" s="9" t="s">
        <v>5870</v>
      </c>
      <c r="C3419" s="9" t="s">
        <v>3675</v>
      </c>
      <c r="D3419" s="9" t="s">
        <v>5871</v>
      </c>
      <c r="E3419" s="9" t="str">
        <f aca="false">IF(AND('Formation Ledger'!A3398&lt;&gt;"",'Formation Ledger'!V3398=0),"PASS","FAIL")</f>
        <v>PASS</v>
      </c>
      <c r="F3419" s="9" t="s">
        <v>76</v>
      </c>
      <c r="G3419" s="6"/>
      <c r="H3419" s="6"/>
      <c r="I3419" s="6"/>
      <c r="J3419" s="6"/>
      <c r="K3419" s="6"/>
      <c r="L3419" s="6"/>
      <c r="M3419" s="6"/>
      <c r="N3419" s="6"/>
      <c r="O3419" s="6"/>
      <c r="P3419" s="6"/>
      <c r="Q3419" s="6"/>
      <c r="R3419" s="6"/>
      <c r="S3419" s="6"/>
      <c r="T3419" s="6"/>
      <c r="U3419" s="6"/>
      <c r="V3419" s="6"/>
      <c r="W3419" s="6"/>
      <c r="X3419" s="6"/>
      <c r="Y3419" s="6"/>
      <c r="Z3419" s="6"/>
    </row>
    <row r="3420" customFormat="false" ht="15" hidden="false" customHeight="false" outlineLevel="0" collapsed="false">
      <c r="A3420" s="9" t="s">
        <v>9263</v>
      </c>
      <c r="B3420" s="9" t="s">
        <v>5870</v>
      </c>
      <c r="C3420" s="9" t="s">
        <v>3676</v>
      </c>
      <c r="D3420" s="9" t="s">
        <v>5871</v>
      </c>
      <c r="E3420" s="9" t="str">
        <f aca="false">IF(AND('Formation Ledger'!A3399&lt;&gt;"",'Formation Ledger'!V3399=0),"PASS","FAIL")</f>
        <v>PASS</v>
      </c>
      <c r="F3420" s="9" t="s">
        <v>76</v>
      </c>
      <c r="G3420" s="6"/>
      <c r="H3420" s="6"/>
      <c r="I3420" s="6"/>
      <c r="J3420" s="6"/>
      <c r="K3420" s="6"/>
      <c r="L3420" s="6"/>
      <c r="M3420" s="6"/>
      <c r="N3420" s="6"/>
      <c r="O3420" s="6"/>
      <c r="P3420" s="6"/>
      <c r="Q3420" s="6"/>
      <c r="R3420" s="6"/>
      <c r="S3420" s="6"/>
      <c r="T3420" s="6"/>
      <c r="U3420" s="6"/>
      <c r="V3420" s="6"/>
      <c r="W3420" s="6"/>
      <c r="X3420" s="6"/>
      <c r="Y3420" s="6"/>
      <c r="Z3420" s="6"/>
    </row>
    <row r="3421" customFormat="false" ht="15" hidden="false" customHeight="false" outlineLevel="0" collapsed="false">
      <c r="A3421" s="9" t="s">
        <v>9264</v>
      </c>
      <c r="B3421" s="9" t="s">
        <v>5870</v>
      </c>
      <c r="C3421" s="9" t="s">
        <v>3677</v>
      </c>
      <c r="D3421" s="9" t="s">
        <v>5871</v>
      </c>
      <c r="E3421" s="9" t="str">
        <f aca="false">IF(AND('Formation Ledger'!A3400&lt;&gt;"",'Formation Ledger'!V3400=0),"PASS","FAIL")</f>
        <v>PASS</v>
      </c>
      <c r="F3421" s="9" t="s">
        <v>76</v>
      </c>
      <c r="G3421" s="6"/>
      <c r="H3421" s="6"/>
      <c r="I3421" s="6"/>
      <c r="J3421" s="6"/>
      <c r="K3421" s="6"/>
      <c r="L3421" s="6"/>
      <c r="M3421" s="6"/>
      <c r="N3421" s="6"/>
      <c r="O3421" s="6"/>
      <c r="P3421" s="6"/>
      <c r="Q3421" s="6"/>
      <c r="R3421" s="6"/>
      <c r="S3421" s="6"/>
      <c r="T3421" s="6"/>
      <c r="U3421" s="6"/>
      <c r="V3421" s="6"/>
      <c r="W3421" s="6"/>
      <c r="X3421" s="6"/>
      <c r="Y3421" s="6"/>
      <c r="Z3421" s="6"/>
    </row>
    <row r="3422" customFormat="false" ht="15" hidden="false" customHeight="false" outlineLevel="0" collapsed="false">
      <c r="A3422" s="9" t="s">
        <v>9265</v>
      </c>
      <c r="B3422" s="9" t="s">
        <v>5870</v>
      </c>
      <c r="C3422" s="9" t="s">
        <v>3678</v>
      </c>
      <c r="D3422" s="9" t="s">
        <v>5871</v>
      </c>
      <c r="E3422" s="9" t="str">
        <f aca="false">IF(AND('Formation Ledger'!A3401&lt;&gt;"",'Formation Ledger'!V3401=0),"PASS","FAIL")</f>
        <v>PASS</v>
      </c>
      <c r="F3422" s="9" t="s">
        <v>76</v>
      </c>
      <c r="G3422" s="6"/>
      <c r="H3422" s="6"/>
      <c r="I3422" s="6"/>
      <c r="J3422" s="6"/>
      <c r="K3422" s="6"/>
      <c r="L3422" s="6"/>
      <c r="M3422" s="6"/>
      <c r="N3422" s="6"/>
      <c r="O3422" s="6"/>
      <c r="P3422" s="6"/>
      <c r="Q3422" s="6"/>
      <c r="R3422" s="6"/>
      <c r="S3422" s="6"/>
      <c r="T3422" s="6"/>
      <c r="U3422" s="6"/>
      <c r="V3422" s="6"/>
      <c r="W3422" s="6"/>
      <c r="X3422" s="6"/>
      <c r="Y3422" s="6"/>
      <c r="Z3422" s="6"/>
    </row>
    <row r="3423" customFormat="false" ht="15" hidden="false" customHeight="false" outlineLevel="0" collapsed="false">
      <c r="A3423" s="9" t="s">
        <v>9266</v>
      </c>
      <c r="B3423" s="9" t="s">
        <v>5870</v>
      </c>
      <c r="C3423" s="9" t="s">
        <v>3679</v>
      </c>
      <c r="D3423" s="9" t="s">
        <v>5871</v>
      </c>
      <c r="E3423" s="9" t="str">
        <f aca="false">IF(AND('Formation Ledger'!A3402&lt;&gt;"",'Formation Ledger'!V3402=0),"PASS","FAIL")</f>
        <v>PASS</v>
      </c>
      <c r="F3423" s="9" t="s">
        <v>76</v>
      </c>
      <c r="G3423" s="6"/>
      <c r="H3423" s="6"/>
      <c r="I3423" s="6"/>
      <c r="J3423" s="6"/>
      <c r="K3423" s="6"/>
      <c r="L3423" s="6"/>
      <c r="M3423" s="6"/>
      <c r="N3423" s="6"/>
      <c r="O3423" s="6"/>
      <c r="P3423" s="6"/>
      <c r="Q3423" s="6"/>
      <c r="R3423" s="6"/>
      <c r="S3423" s="6"/>
      <c r="T3423" s="6"/>
      <c r="U3423" s="6"/>
      <c r="V3423" s="6"/>
      <c r="W3423" s="6"/>
      <c r="X3423" s="6"/>
      <c r="Y3423" s="6"/>
      <c r="Z3423" s="6"/>
    </row>
    <row r="3424" customFormat="false" ht="15" hidden="false" customHeight="false" outlineLevel="0" collapsed="false">
      <c r="A3424" s="9" t="s">
        <v>9267</v>
      </c>
      <c r="B3424" s="9" t="s">
        <v>5870</v>
      </c>
      <c r="C3424" s="9" t="s">
        <v>3680</v>
      </c>
      <c r="D3424" s="9" t="s">
        <v>5871</v>
      </c>
      <c r="E3424" s="9" t="str">
        <f aca="false">IF(AND('Formation Ledger'!A3403&lt;&gt;"",'Formation Ledger'!V3403=0),"PASS","FAIL")</f>
        <v>PASS</v>
      </c>
      <c r="F3424" s="9" t="s">
        <v>76</v>
      </c>
      <c r="G3424" s="6"/>
      <c r="H3424" s="6"/>
      <c r="I3424" s="6"/>
      <c r="J3424" s="6"/>
      <c r="K3424" s="6"/>
      <c r="L3424" s="6"/>
      <c r="M3424" s="6"/>
      <c r="N3424" s="6"/>
      <c r="O3424" s="6"/>
      <c r="P3424" s="6"/>
      <c r="Q3424" s="6"/>
      <c r="R3424" s="6"/>
      <c r="S3424" s="6"/>
      <c r="T3424" s="6"/>
      <c r="U3424" s="6"/>
      <c r="V3424" s="6"/>
      <c r="W3424" s="6"/>
      <c r="X3424" s="6"/>
      <c r="Y3424" s="6"/>
      <c r="Z3424" s="6"/>
    </row>
    <row r="3425" customFormat="false" ht="15" hidden="false" customHeight="false" outlineLevel="0" collapsed="false">
      <c r="A3425" s="9" t="s">
        <v>9268</v>
      </c>
      <c r="B3425" s="9" t="s">
        <v>5870</v>
      </c>
      <c r="C3425" s="9" t="s">
        <v>3681</v>
      </c>
      <c r="D3425" s="9" t="s">
        <v>5871</v>
      </c>
      <c r="E3425" s="9" t="str">
        <f aca="false">IF(AND('Formation Ledger'!A3404&lt;&gt;"",'Formation Ledger'!V3404=0),"PASS","FAIL")</f>
        <v>PASS</v>
      </c>
      <c r="F3425" s="9" t="s">
        <v>76</v>
      </c>
      <c r="G3425" s="6"/>
      <c r="H3425" s="6"/>
      <c r="I3425" s="6"/>
      <c r="J3425" s="6"/>
      <c r="K3425" s="6"/>
      <c r="L3425" s="6"/>
      <c r="M3425" s="6"/>
      <c r="N3425" s="6"/>
      <c r="O3425" s="6"/>
      <c r="P3425" s="6"/>
      <c r="Q3425" s="6"/>
      <c r="R3425" s="6"/>
      <c r="S3425" s="6"/>
      <c r="T3425" s="6"/>
      <c r="U3425" s="6"/>
      <c r="V3425" s="6"/>
      <c r="W3425" s="6"/>
      <c r="X3425" s="6"/>
      <c r="Y3425" s="6"/>
      <c r="Z3425" s="6"/>
    </row>
    <row r="3426" customFormat="false" ht="15" hidden="false" customHeight="false" outlineLevel="0" collapsed="false">
      <c r="A3426" s="9" t="s">
        <v>9269</v>
      </c>
      <c r="B3426" s="9" t="s">
        <v>5870</v>
      </c>
      <c r="C3426" s="9" t="s">
        <v>3682</v>
      </c>
      <c r="D3426" s="9" t="s">
        <v>5871</v>
      </c>
      <c r="E3426" s="9" t="str">
        <f aca="false">IF(AND('Formation Ledger'!A3405&lt;&gt;"",'Formation Ledger'!V3405=0),"PASS","FAIL")</f>
        <v>PASS</v>
      </c>
      <c r="F3426" s="9" t="s">
        <v>76</v>
      </c>
      <c r="G3426" s="6"/>
      <c r="H3426" s="6"/>
      <c r="I3426" s="6"/>
      <c r="J3426" s="6"/>
      <c r="K3426" s="6"/>
      <c r="L3426" s="6"/>
      <c r="M3426" s="6"/>
      <c r="N3426" s="6"/>
      <c r="O3426" s="6"/>
      <c r="P3426" s="6"/>
      <c r="Q3426" s="6"/>
      <c r="R3426" s="6"/>
      <c r="S3426" s="6"/>
      <c r="T3426" s="6"/>
      <c r="U3426" s="6"/>
      <c r="V3426" s="6"/>
      <c r="W3426" s="6"/>
      <c r="X3426" s="6"/>
      <c r="Y3426" s="6"/>
      <c r="Z3426" s="6"/>
    </row>
    <row r="3427" customFormat="false" ht="15" hidden="false" customHeight="false" outlineLevel="0" collapsed="false">
      <c r="A3427" s="9" t="s">
        <v>9270</v>
      </c>
      <c r="B3427" s="9" t="s">
        <v>5870</v>
      </c>
      <c r="C3427" s="9" t="s">
        <v>3683</v>
      </c>
      <c r="D3427" s="9" t="s">
        <v>5871</v>
      </c>
      <c r="E3427" s="9" t="str">
        <f aca="false">IF(AND('Formation Ledger'!A3406&lt;&gt;"",'Formation Ledger'!V3406=0),"PASS","FAIL")</f>
        <v>PASS</v>
      </c>
      <c r="F3427" s="9" t="s">
        <v>76</v>
      </c>
      <c r="G3427" s="6"/>
      <c r="H3427" s="6"/>
      <c r="I3427" s="6"/>
      <c r="J3427" s="6"/>
      <c r="K3427" s="6"/>
      <c r="L3427" s="6"/>
      <c r="M3427" s="6"/>
      <c r="N3427" s="6"/>
      <c r="O3427" s="6"/>
      <c r="P3427" s="6"/>
      <c r="Q3427" s="6"/>
      <c r="R3427" s="6"/>
      <c r="S3427" s="6"/>
      <c r="T3427" s="6"/>
      <c r="U3427" s="6"/>
      <c r="V3427" s="6"/>
      <c r="W3427" s="6"/>
      <c r="X3427" s="6"/>
      <c r="Y3427" s="6"/>
      <c r="Z3427" s="6"/>
    </row>
    <row r="3428" customFormat="false" ht="15" hidden="false" customHeight="false" outlineLevel="0" collapsed="false">
      <c r="A3428" s="9" t="s">
        <v>9271</v>
      </c>
      <c r="B3428" s="9" t="s">
        <v>5870</v>
      </c>
      <c r="C3428" s="9" t="s">
        <v>3684</v>
      </c>
      <c r="D3428" s="9" t="s">
        <v>5871</v>
      </c>
      <c r="E3428" s="9" t="str">
        <f aca="false">IF(AND('Formation Ledger'!A3407&lt;&gt;"",'Formation Ledger'!V3407=0),"PASS","FAIL")</f>
        <v>PASS</v>
      </c>
      <c r="F3428" s="9" t="s">
        <v>76</v>
      </c>
      <c r="G3428" s="6"/>
      <c r="H3428" s="6"/>
      <c r="I3428" s="6"/>
      <c r="J3428" s="6"/>
      <c r="K3428" s="6"/>
      <c r="L3428" s="6"/>
      <c r="M3428" s="6"/>
      <c r="N3428" s="6"/>
      <c r="O3428" s="6"/>
      <c r="P3428" s="6"/>
      <c r="Q3428" s="6"/>
      <c r="R3428" s="6"/>
      <c r="S3428" s="6"/>
      <c r="T3428" s="6"/>
      <c r="U3428" s="6"/>
      <c r="V3428" s="6"/>
      <c r="W3428" s="6"/>
      <c r="X3428" s="6"/>
      <c r="Y3428" s="6"/>
      <c r="Z3428" s="6"/>
    </row>
    <row r="3429" customFormat="false" ht="15" hidden="false" customHeight="false" outlineLevel="0" collapsed="false">
      <c r="A3429" s="9" t="s">
        <v>9272</v>
      </c>
      <c r="B3429" s="9" t="s">
        <v>5870</v>
      </c>
      <c r="C3429" s="9" t="s">
        <v>3685</v>
      </c>
      <c r="D3429" s="9" t="s">
        <v>5871</v>
      </c>
      <c r="E3429" s="9" t="str">
        <f aca="false">IF(AND('Formation Ledger'!A3408&lt;&gt;"",'Formation Ledger'!V3408=0),"PASS","FAIL")</f>
        <v>PASS</v>
      </c>
      <c r="F3429" s="9" t="s">
        <v>76</v>
      </c>
      <c r="G3429" s="6"/>
      <c r="H3429" s="6"/>
      <c r="I3429" s="6"/>
      <c r="J3429" s="6"/>
      <c r="K3429" s="6"/>
      <c r="L3429" s="6"/>
      <c r="M3429" s="6"/>
      <c r="N3429" s="6"/>
      <c r="O3429" s="6"/>
      <c r="P3429" s="6"/>
      <c r="Q3429" s="6"/>
      <c r="R3429" s="6"/>
      <c r="S3429" s="6"/>
      <c r="T3429" s="6"/>
      <c r="U3429" s="6"/>
      <c r="V3429" s="6"/>
      <c r="W3429" s="6"/>
      <c r="X3429" s="6"/>
      <c r="Y3429" s="6"/>
      <c r="Z3429" s="6"/>
    </row>
    <row r="3430" customFormat="false" ht="15" hidden="false" customHeight="false" outlineLevel="0" collapsed="false">
      <c r="A3430" s="9" t="s">
        <v>9273</v>
      </c>
      <c r="B3430" s="9" t="s">
        <v>5870</v>
      </c>
      <c r="C3430" s="9" t="s">
        <v>3686</v>
      </c>
      <c r="D3430" s="9" t="s">
        <v>5871</v>
      </c>
      <c r="E3430" s="9" t="str">
        <f aca="false">IF(AND('Formation Ledger'!A3409&lt;&gt;"",'Formation Ledger'!V3409=0),"PASS","FAIL")</f>
        <v>PASS</v>
      </c>
      <c r="F3430" s="9" t="s">
        <v>76</v>
      </c>
      <c r="G3430" s="6"/>
      <c r="H3430" s="6"/>
      <c r="I3430" s="6"/>
      <c r="J3430" s="6"/>
      <c r="K3430" s="6"/>
      <c r="L3430" s="6"/>
      <c r="M3430" s="6"/>
      <c r="N3430" s="6"/>
      <c r="O3430" s="6"/>
      <c r="P3430" s="6"/>
      <c r="Q3430" s="6"/>
      <c r="R3430" s="6"/>
      <c r="S3430" s="6"/>
      <c r="T3430" s="6"/>
      <c r="U3430" s="6"/>
      <c r="V3430" s="6"/>
      <c r="W3430" s="6"/>
      <c r="X3430" s="6"/>
      <c r="Y3430" s="6"/>
      <c r="Z3430" s="6"/>
    </row>
    <row r="3431" customFormat="false" ht="15" hidden="false" customHeight="false" outlineLevel="0" collapsed="false">
      <c r="A3431" s="9" t="s">
        <v>9274</v>
      </c>
      <c r="B3431" s="9" t="s">
        <v>5870</v>
      </c>
      <c r="C3431" s="9" t="s">
        <v>3687</v>
      </c>
      <c r="D3431" s="9" t="s">
        <v>5871</v>
      </c>
      <c r="E3431" s="9" t="str">
        <f aca="false">IF(AND('Formation Ledger'!A3410&lt;&gt;"",'Formation Ledger'!V3410=0),"PASS","FAIL")</f>
        <v>PASS</v>
      </c>
      <c r="F3431" s="9" t="s">
        <v>76</v>
      </c>
      <c r="G3431" s="6"/>
      <c r="H3431" s="6"/>
      <c r="I3431" s="6"/>
      <c r="J3431" s="6"/>
      <c r="K3431" s="6"/>
      <c r="L3431" s="6"/>
      <c r="M3431" s="6"/>
      <c r="N3431" s="6"/>
      <c r="O3431" s="6"/>
      <c r="P3431" s="6"/>
      <c r="Q3431" s="6"/>
      <c r="R3431" s="6"/>
      <c r="S3431" s="6"/>
      <c r="T3431" s="6"/>
      <c r="U3431" s="6"/>
      <c r="V3431" s="6"/>
      <c r="W3431" s="6"/>
      <c r="X3431" s="6"/>
      <c r="Y3431" s="6"/>
      <c r="Z3431" s="6"/>
    </row>
    <row r="3432" customFormat="false" ht="15" hidden="false" customHeight="false" outlineLevel="0" collapsed="false">
      <c r="A3432" s="9" t="s">
        <v>9275</v>
      </c>
      <c r="B3432" s="9" t="s">
        <v>5870</v>
      </c>
      <c r="C3432" s="9" t="s">
        <v>3688</v>
      </c>
      <c r="D3432" s="9" t="s">
        <v>5871</v>
      </c>
      <c r="E3432" s="9" t="str">
        <f aca="false">IF(AND('Formation Ledger'!A3411&lt;&gt;"",'Formation Ledger'!V3411=0),"PASS","FAIL")</f>
        <v>PASS</v>
      </c>
      <c r="F3432" s="9" t="s">
        <v>76</v>
      </c>
      <c r="G3432" s="6"/>
      <c r="H3432" s="6"/>
      <c r="I3432" s="6"/>
      <c r="J3432" s="6"/>
      <c r="K3432" s="6"/>
      <c r="L3432" s="6"/>
      <c r="M3432" s="6"/>
      <c r="N3432" s="6"/>
      <c r="O3432" s="6"/>
      <c r="P3432" s="6"/>
      <c r="Q3432" s="6"/>
      <c r="R3432" s="6"/>
      <c r="S3432" s="6"/>
      <c r="T3432" s="6"/>
      <c r="U3432" s="6"/>
      <c r="V3432" s="6"/>
      <c r="W3432" s="6"/>
      <c r="X3432" s="6"/>
      <c r="Y3432" s="6"/>
      <c r="Z3432" s="6"/>
    </row>
    <row r="3433" customFormat="false" ht="15" hidden="false" customHeight="false" outlineLevel="0" collapsed="false">
      <c r="A3433" s="9" t="s">
        <v>9276</v>
      </c>
      <c r="B3433" s="9" t="s">
        <v>5870</v>
      </c>
      <c r="C3433" s="9" t="s">
        <v>3689</v>
      </c>
      <c r="D3433" s="9" t="s">
        <v>5871</v>
      </c>
      <c r="E3433" s="9" t="str">
        <f aca="false">IF(AND('Formation Ledger'!A3412&lt;&gt;"",'Formation Ledger'!V3412=0),"PASS","FAIL")</f>
        <v>PASS</v>
      </c>
      <c r="F3433" s="9" t="s">
        <v>76</v>
      </c>
      <c r="G3433" s="6"/>
      <c r="H3433" s="6"/>
      <c r="I3433" s="6"/>
      <c r="J3433" s="6"/>
      <c r="K3433" s="6"/>
      <c r="L3433" s="6"/>
      <c r="M3433" s="6"/>
      <c r="N3433" s="6"/>
      <c r="O3433" s="6"/>
      <c r="P3433" s="6"/>
      <c r="Q3433" s="6"/>
      <c r="R3433" s="6"/>
      <c r="S3433" s="6"/>
      <c r="T3433" s="6"/>
      <c r="U3433" s="6"/>
      <c r="V3433" s="6"/>
      <c r="W3433" s="6"/>
      <c r="X3433" s="6"/>
      <c r="Y3433" s="6"/>
      <c r="Z3433" s="6"/>
    </row>
    <row r="3434" customFormat="false" ht="15" hidden="false" customHeight="false" outlineLevel="0" collapsed="false">
      <c r="A3434" s="9" t="s">
        <v>9277</v>
      </c>
      <c r="B3434" s="9" t="s">
        <v>5870</v>
      </c>
      <c r="C3434" s="9" t="s">
        <v>3690</v>
      </c>
      <c r="D3434" s="9" t="s">
        <v>5871</v>
      </c>
      <c r="E3434" s="9" t="str">
        <f aca="false">IF(AND('Formation Ledger'!A3413&lt;&gt;"",'Formation Ledger'!V3413=0),"PASS","FAIL")</f>
        <v>PASS</v>
      </c>
      <c r="F3434" s="9" t="s">
        <v>76</v>
      </c>
      <c r="G3434" s="6"/>
      <c r="H3434" s="6"/>
      <c r="I3434" s="6"/>
      <c r="J3434" s="6"/>
      <c r="K3434" s="6"/>
      <c r="L3434" s="6"/>
      <c r="M3434" s="6"/>
      <c r="N3434" s="6"/>
      <c r="O3434" s="6"/>
      <c r="P3434" s="6"/>
      <c r="Q3434" s="6"/>
      <c r="R3434" s="6"/>
      <c r="S3434" s="6"/>
      <c r="T3434" s="6"/>
      <c r="U3434" s="6"/>
      <c r="V3434" s="6"/>
      <c r="W3434" s="6"/>
      <c r="X3434" s="6"/>
      <c r="Y3434" s="6"/>
      <c r="Z3434" s="6"/>
    </row>
    <row r="3435" customFormat="false" ht="15" hidden="false" customHeight="false" outlineLevel="0" collapsed="false">
      <c r="A3435" s="9" t="s">
        <v>9278</v>
      </c>
      <c r="B3435" s="9" t="s">
        <v>5870</v>
      </c>
      <c r="C3435" s="9" t="s">
        <v>3691</v>
      </c>
      <c r="D3435" s="9" t="s">
        <v>5871</v>
      </c>
      <c r="E3435" s="9" t="str">
        <f aca="false">IF(AND('Formation Ledger'!A3414&lt;&gt;"",'Formation Ledger'!V3414=0),"PASS","FAIL")</f>
        <v>PASS</v>
      </c>
      <c r="F3435" s="9" t="s">
        <v>76</v>
      </c>
      <c r="G3435" s="6"/>
      <c r="H3435" s="6"/>
      <c r="I3435" s="6"/>
      <c r="J3435" s="6"/>
      <c r="K3435" s="6"/>
      <c r="L3435" s="6"/>
      <c r="M3435" s="6"/>
      <c r="N3435" s="6"/>
      <c r="O3435" s="6"/>
      <c r="P3435" s="6"/>
      <c r="Q3435" s="6"/>
      <c r="R3435" s="6"/>
      <c r="S3435" s="6"/>
      <c r="T3435" s="6"/>
      <c r="U3435" s="6"/>
      <c r="V3435" s="6"/>
      <c r="W3435" s="6"/>
      <c r="X3435" s="6"/>
      <c r="Y3435" s="6"/>
      <c r="Z3435" s="6"/>
    </row>
    <row r="3436" customFormat="false" ht="15" hidden="false" customHeight="false" outlineLevel="0" collapsed="false">
      <c r="A3436" s="9" t="s">
        <v>9279</v>
      </c>
      <c r="B3436" s="9" t="s">
        <v>5870</v>
      </c>
      <c r="C3436" s="9" t="s">
        <v>3692</v>
      </c>
      <c r="D3436" s="9" t="s">
        <v>5871</v>
      </c>
      <c r="E3436" s="9" t="str">
        <f aca="false">IF(AND('Formation Ledger'!A3415&lt;&gt;"",'Formation Ledger'!V3415=0),"PASS","FAIL")</f>
        <v>PASS</v>
      </c>
      <c r="F3436" s="9" t="s">
        <v>76</v>
      </c>
      <c r="G3436" s="6"/>
      <c r="H3436" s="6"/>
      <c r="I3436" s="6"/>
      <c r="J3436" s="6"/>
      <c r="K3436" s="6"/>
      <c r="L3436" s="6"/>
      <c r="M3436" s="6"/>
      <c r="N3436" s="6"/>
      <c r="O3436" s="6"/>
      <c r="P3436" s="6"/>
      <c r="Q3436" s="6"/>
      <c r="R3436" s="6"/>
      <c r="S3436" s="6"/>
      <c r="T3436" s="6"/>
      <c r="U3436" s="6"/>
      <c r="V3436" s="6"/>
      <c r="W3436" s="6"/>
      <c r="X3436" s="6"/>
      <c r="Y3436" s="6"/>
      <c r="Z3436" s="6"/>
    </row>
    <row r="3437" customFormat="false" ht="15" hidden="false" customHeight="false" outlineLevel="0" collapsed="false">
      <c r="A3437" s="9" t="s">
        <v>9280</v>
      </c>
      <c r="B3437" s="9" t="s">
        <v>5870</v>
      </c>
      <c r="C3437" s="9" t="s">
        <v>3693</v>
      </c>
      <c r="D3437" s="9" t="s">
        <v>5871</v>
      </c>
      <c r="E3437" s="9" t="str">
        <f aca="false">IF(AND('Formation Ledger'!A3416&lt;&gt;"",'Formation Ledger'!V3416=0),"PASS","FAIL")</f>
        <v>PASS</v>
      </c>
      <c r="F3437" s="9" t="s">
        <v>76</v>
      </c>
      <c r="G3437" s="6"/>
      <c r="H3437" s="6"/>
      <c r="I3437" s="6"/>
      <c r="J3437" s="6"/>
      <c r="K3437" s="6"/>
      <c r="L3437" s="6"/>
      <c r="M3437" s="6"/>
      <c r="N3437" s="6"/>
      <c r="O3437" s="6"/>
      <c r="P3437" s="6"/>
      <c r="Q3437" s="6"/>
      <c r="R3437" s="6"/>
      <c r="S3437" s="6"/>
      <c r="T3437" s="6"/>
      <c r="U3437" s="6"/>
      <c r="V3437" s="6"/>
      <c r="W3437" s="6"/>
      <c r="X3437" s="6"/>
      <c r="Y3437" s="6"/>
      <c r="Z3437" s="6"/>
    </row>
    <row r="3438" customFormat="false" ht="15" hidden="false" customHeight="false" outlineLevel="0" collapsed="false">
      <c r="A3438" s="9" t="s">
        <v>9281</v>
      </c>
      <c r="B3438" s="9" t="s">
        <v>5870</v>
      </c>
      <c r="C3438" s="9" t="s">
        <v>3694</v>
      </c>
      <c r="D3438" s="9" t="s">
        <v>5871</v>
      </c>
      <c r="E3438" s="9" t="str">
        <f aca="false">IF(AND('Formation Ledger'!A3417&lt;&gt;"",'Formation Ledger'!V3417=0),"PASS","FAIL")</f>
        <v>PASS</v>
      </c>
      <c r="F3438" s="9" t="s">
        <v>76</v>
      </c>
      <c r="G3438" s="6"/>
      <c r="H3438" s="6"/>
      <c r="I3438" s="6"/>
      <c r="J3438" s="6"/>
      <c r="K3438" s="6"/>
      <c r="L3438" s="6"/>
      <c r="M3438" s="6"/>
      <c r="N3438" s="6"/>
      <c r="O3438" s="6"/>
      <c r="P3438" s="6"/>
      <c r="Q3438" s="6"/>
      <c r="R3438" s="6"/>
      <c r="S3438" s="6"/>
      <c r="T3438" s="6"/>
      <c r="U3438" s="6"/>
      <c r="V3438" s="6"/>
      <c r="W3438" s="6"/>
      <c r="X3438" s="6"/>
      <c r="Y3438" s="6"/>
      <c r="Z3438" s="6"/>
    </row>
    <row r="3439" customFormat="false" ht="15" hidden="false" customHeight="false" outlineLevel="0" collapsed="false">
      <c r="A3439" s="9" t="s">
        <v>9282</v>
      </c>
      <c r="B3439" s="9" t="s">
        <v>5870</v>
      </c>
      <c r="C3439" s="9" t="s">
        <v>3695</v>
      </c>
      <c r="D3439" s="9" t="s">
        <v>5871</v>
      </c>
      <c r="E3439" s="9" t="str">
        <f aca="false">IF(AND('Formation Ledger'!A3418&lt;&gt;"",'Formation Ledger'!V3418=0),"PASS","FAIL")</f>
        <v>PASS</v>
      </c>
      <c r="F3439" s="9" t="s">
        <v>76</v>
      </c>
      <c r="G3439" s="6"/>
      <c r="H3439" s="6"/>
      <c r="I3439" s="6"/>
      <c r="J3439" s="6"/>
      <c r="K3439" s="6"/>
      <c r="L3439" s="6"/>
      <c r="M3439" s="6"/>
      <c r="N3439" s="6"/>
      <c r="O3439" s="6"/>
      <c r="P3439" s="6"/>
      <c r="Q3439" s="6"/>
      <c r="R3439" s="6"/>
      <c r="S3439" s="6"/>
      <c r="T3439" s="6"/>
      <c r="U3439" s="6"/>
      <c r="V3439" s="6"/>
      <c r="W3439" s="6"/>
      <c r="X3439" s="6"/>
      <c r="Y3439" s="6"/>
      <c r="Z3439" s="6"/>
    </row>
    <row r="3440" customFormat="false" ht="15" hidden="false" customHeight="false" outlineLevel="0" collapsed="false">
      <c r="A3440" s="9" t="s">
        <v>9283</v>
      </c>
      <c r="B3440" s="9" t="s">
        <v>5870</v>
      </c>
      <c r="C3440" s="9" t="s">
        <v>3696</v>
      </c>
      <c r="D3440" s="9" t="s">
        <v>5871</v>
      </c>
      <c r="E3440" s="9" t="str">
        <f aca="false">IF(AND('Formation Ledger'!A3419&lt;&gt;"",'Formation Ledger'!V3419=0),"PASS","FAIL")</f>
        <v>PASS</v>
      </c>
      <c r="F3440" s="9" t="s">
        <v>76</v>
      </c>
      <c r="G3440" s="6"/>
      <c r="H3440" s="6"/>
      <c r="I3440" s="6"/>
      <c r="J3440" s="6"/>
      <c r="K3440" s="6"/>
      <c r="L3440" s="6"/>
      <c r="M3440" s="6"/>
      <c r="N3440" s="6"/>
      <c r="O3440" s="6"/>
      <c r="P3440" s="6"/>
      <c r="Q3440" s="6"/>
      <c r="R3440" s="6"/>
      <c r="S3440" s="6"/>
      <c r="T3440" s="6"/>
      <c r="U3440" s="6"/>
      <c r="V3440" s="6"/>
      <c r="W3440" s="6"/>
      <c r="X3440" s="6"/>
      <c r="Y3440" s="6"/>
      <c r="Z3440" s="6"/>
    </row>
    <row r="3441" customFormat="false" ht="15" hidden="false" customHeight="false" outlineLevel="0" collapsed="false">
      <c r="A3441" s="9" t="s">
        <v>9284</v>
      </c>
      <c r="B3441" s="9" t="s">
        <v>5870</v>
      </c>
      <c r="C3441" s="9" t="s">
        <v>3697</v>
      </c>
      <c r="D3441" s="9" t="s">
        <v>5871</v>
      </c>
      <c r="E3441" s="9" t="str">
        <f aca="false">IF(AND('Formation Ledger'!A3420&lt;&gt;"",'Formation Ledger'!V3420=0),"PASS","FAIL")</f>
        <v>PASS</v>
      </c>
      <c r="F3441" s="9" t="s">
        <v>76</v>
      </c>
      <c r="G3441" s="6"/>
      <c r="H3441" s="6"/>
      <c r="I3441" s="6"/>
      <c r="J3441" s="6"/>
      <c r="K3441" s="6"/>
      <c r="L3441" s="6"/>
      <c r="M3441" s="6"/>
      <c r="N3441" s="6"/>
      <c r="O3441" s="6"/>
      <c r="P3441" s="6"/>
      <c r="Q3441" s="6"/>
      <c r="R3441" s="6"/>
      <c r="S3441" s="6"/>
      <c r="T3441" s="6"/>
      <c r="U3441" s="6"/>
      <c r="V3441" s="6"/>
      <c r="W3441" s="6"/>
      <c r="X3441" s="6"/>
      <c r="Y3441" s="6"/>
      <c r="Z3441" s="6"/>
    </row>
    <row r="3442" customFormat="false" ht="15" hidden="false" customHeight="false" outlineLevel="0" collapsed="false">
      <c r="A3442" s="9" t="s">
        <v>9285</v>
      </c>
      <c r="B3442" s="9" t="s">
        <v>5870</v>
      </c>
      <c r="C3442" s="9" t="s">
        <v>3698</v>
      </c>
      <c r="D3442" s="9" t="s">
        <v>5871</v>
      </c>
      <c r="E3442" s="9" t="str">
        <f aca="false">IF(AND('Formation Ledger'!A3421&lt;&gt;"",'Formation Ledger'!V3421=0),"PASS","FAIL")</f>
        <v>PASS</v>
      </c>
      <c r="F3442" s="9" t="s">
        <v>76</v>
      </c>
      <c r="G3442" s="6"/>
      <c r="H3442" s="6"/>
      <c r="I3442" s="6"/>
      <c r="J3442" s="6"/>
      <c r="K3442" s="6"/>
      <c r="L3442" s="6"/>
      <c r="M3442" s="6"/>
      <c r="N3442" s="6"/>
      <c r="O3442" s="6"/>
      <c r="P3442" s="6"/>
      <c r="Q3442" s="6"/>
      <c r="R3442" s="6"/>
      <c r="S3442" s="6"/>
      <c r="T3442" s="6"/>
      <c r="U3442" s="6"/>
      <c r="V3442" s="6"/>
      <c r="W3442" s="6"/>
      <c r="X3442" s="6"/>
      <c r="Y3442" s="6"/>
      <c r="Z3442" s="6"/>
    </row>
    <row r="3443" customFormat="false" ht="15" hidden="false" customHeight="false" outlineLevel="0" collapsed="false">
      <c r="A3443" s="9" t="s">
        <v>9286</v>
      </c>
      <c r="B3443" s="9" t="s">
        <v>5870</v>
      </c>
      <c r="C3443" s="9" t="s">
        <v>3699</v>
      </c>
      <c r="D3443" s="9" t="s">
        <v>5871</v>
      </c>
      <c r="E3443" s="9" t="str">
        <f aca="false">IF(AND('Formation Ledger'!A3422&lt;&gt;"",'Formation Ledger'!V3422=0),"PASS","FAIL")</f>
        <v>PASS</v>
      </c>
      <c r="F3443" s="9" t="s">
        <v>76</v>
      </c>
      <c r="G3443" s="6"/>
      <c r="H3443" s="6"/>
      <c r="I3443" s="6"/>
      <c r="J3443" s="6"/>
      <c r="K3443" s="6"/>
      <c r="L3443" s="6"/>
      <c r="M3443" s="6"/>
      <c r="N3443" s="6"/>
      <c r="O3443" s="6"/>
      <c r="P3443" s="6"/>
      <c r="Q3443" s="6"/>
      <c r="R3443" s="6"/>
      <c r="S3443" s="6"/>
      <c r="T3443" s="6"/>
      <c r="U3443" s="6"/>
      <c r="V3443" s="6"/>
      <c r="W3443" s="6"/>
      <c r="X3443" s="6"/>
      <c r="Y3443" s="6"/>
      <c r="Z3443" s="6"/>
    </row>
    <row r="3444" customFormat="false" ht="15" hidden="false" customHeight="false" outlineLevel="0" collapsed="false">
      <c r="A3444" s="9" t="s">
        <v>9287</v>
      </c>
      <c r="B3444" s="9" t="s">
        <v>5870</v>
      </c>
      <c r="C3444" s="9" t="s">
        <v>3700</v>
      </c>
      <c r="D3444" s="9" t="s">
        <v>5871</v>
      </c>
      <c r="E3444" s="9" t="str">
        <f aca="false">IF(AND('Formation Ledger'!A3423&lt;&gt;"",'Formation Ledger'!V3423=0),"PASS","FAIL")</f>
        <v>PASS</v>
      </c>
      <c r="F3444" s="9" t="s">
        <v>76</v>
      </c>
      <c r="G3444" s="6"/>
      <c r="H3444" s="6"/>
      <c r="I3444" s="6"/>
      <c r="J3444" s="6"/>
      <c r="K3444" s="6"/>
      <c r="L3444" s="6"/>
      <c r="M3444" s="6"/>
      <c r="N3444" s="6"/>
      <c r="O3444" s="6"/>
      <c r="P3444" s="6"/>
      <c r="Q3444" s="6"/>
      <c r="R3444" s="6"/>
      <c r="S3444" s="6"/>
      <c r="T3444" s="6"/>
      <c r="U3444" s="6"/>
      <c r="V3444" s="6"/>
      <c r="W3444" s="6"/>
      <c r="X3444" s="6"/>
      <c r="Y3444" s="6"/>
      <c r="Z3444" s="6"/>
    </row>
    <row r="3445" customFormat="false" ht="15" hidden="false" customHeight="false" outlineLevel="0" collapsed="false">
      <c r="A3445" s="9" t="s">
        <v>9288</v>
      </c>
      <c r="B3445" s="9" t="s">
        <v>5870</v>
      </c>
      <c r="C3445" s="9" t="s">
        <v>3701</v>
      </c>
      <c r="D3445" s="9" t="s">
        <v>5871</v>
      </c>
      <c r="E3445" s="9" t="str">
        <f aca="false">IF(AND('Formation Ledger'!A3424&lt;&gt;"",'Formation Ledger'!V3424=0),"PASS","FAIL")</f>
        <v>PASS</v>
      </c>
      <c r="F3445" s="9" t="s">
        <v>76</v>
      </c>
      <c r="G3445" s="6"/>
      <c r="H3445" s="6"/>
      <c r="I3445" s="6"/>
      <c r="J3445" s="6"/>
      <c r="K3445" s="6"/>
      <c r="L3445" s="6"/>
      <c r="M3445" s="6"/>
      <c r="N3445" s="6"/>
      <c r="O3445" s="6"/>
      <c r="P3445" s="6"/>
      <c r="Q3445" s="6"/>
      <c r="R3445" s="6"/>
      <c r="S3445" s="6"/>
      <c r="T3445" s="6"/>
      <c r="U3445" s="6"/>
      <c r="V3445" s="6"/>
      <c r="W3445" s="6"/>
      <c r="X3445" s="6"/>
      <c r="Y3445" s="6"/>
      <c r="Z3445" s="6"/>
    </row>
    <row r="3446" customFormat="false" ht="15" hidden="false" customHeight="false" outlineLevel="0" collapsed="false">
      <c r="A3446" s="9" t="s">
        <v>9289</v>
      </c>
      <c r="B3446" s="9" t="s">
        <v>5870</v>
      </c>
      <c r="C3446" s="9" t="s">
        <v>3702</v>
      </c>
      <c r="D3446" s="9" t="s">
        <v>5871</v>
      </c>
      <c r="E3446" s="9" t="str">
        <f aca="false">IF(AND('Formation Ledger'!A3425&lt;&gt;"",'Formation Ledger'!V3425=0),"PASS","FAIL")</f>
        <v>PASS</v>
      </c>
      <c r="F3446" s="9" t="s">
        <v>76</v>
      </c>
      <c r="G3446" s="6"/>
      <c r="H3446" s="6"/>
      <c r="I3446" s="6"/>
      <c r="J3446" s="6"/>
      <c r="K3446" s="6"/>
      <c r="L3446" s="6"/>
      <c r="M3446" s="6"/>
      <c r="N3446" s="6"/>
      <c r="O3446" s="6"/>
      <c r="P3446" s="6"/>
      <c r="Q3446" s="6"/>
      <c r="R3446" s="6"/>
      <c r="S3446" s="6"/>
      <c r="T3446" s="6"/>
      <c r="U3446" s="6"/>
      <c r="V3446" s="6"/>
      <c r="W3446" s="6"/>
      <c r="X3446" s="6"/>
      <c r="Y3446" s="6"/>
      <c r="Z3446" s="6"/>
    </row>
    <row r="3447" customFormat="false" ht="15" hidden="false" customHeight="false" outlineLevel="0" collapsed="false">
      <c r="A3447" s="9" t="s">
        <v>9290</v>
      </c>
      <c r="B3447" s="9" t="s">
        <v>5870</v>
      </c>
      <c r="C3447" s="9" t="s">
        <v>3703</v>
      </c>
      <c r="D3447" s="9" t="s">
        <v>5871</v>
      </c>
      <c r="E3447" s="9" t="str">
        <f aca="false">IF(AND('Formation Ledger'!A3426&lt;&gt;"",'Formation Ledger'!V3426=0),"PASS","FAIL")</f>
        <v>PASS</v>
      </c>
      <c r="F3447" s="9" t="s">
        <v>76</v>
      </c>
      <c r="G3447" s="6"/>
      <c r="H3447" s="6"/>
      <c r="I3447" s="6"/>
      <c r="J3447" s="6"/>
      <c r="K3447" s="6"/>
      <c r="L3447" s="6"/>
      <c r="M3447" s="6"/>
      <c r="N3447" s="6"/>
      <c r="O3447" s="6"/>
      <c r="P3447" s="6"/>
      <c r="Q3447" s="6"/>
      <c r="R3447" s="6"/>
      <c r="S3447" s="6"/>
      <c r="T3447" s="6"/>
      <c r="U3447" s="6"/>
      <c r="V3447" s="6"/>
      <c r="W3447" s="6"/>
      <c r="X3447" s="6"/>
      <c r="Y3447" s="6"/>
      <c r="Z3447" s="6"/>
    </row>
    <row r="3448" customFormat="false" ht="15" hidden="false" customHeight="false" outlineLevel="0" collapsed="false">
      <c r="A3448" s="9" t="s">
        <v>9291</v>
      </c>
      <c r="B3448" s="9" t="s">
        <v>5870</v>
      </c>
      <c r="C3448" s="9" t="s">
        <v>3704</v>
      </c>
      <c r="D3448" s="9" t="s">
        <v>5871</v>
      </c>
      <c r="E3448" s="9" t="str">
        <f aca="false">IF(AND('Formation Ledger'!A3427&lt;&gt;"",'Formation Ledger'!V3427=0),"PASS","FAIL")</f>
        <v>PASS</v>
      </c>
      <c r="F3448" s="9" t="s">
        <v>76</v>
      </c>
      <c r="G3448" s="6"/>
      <c r="H3448" s="6"/>
      <c r="I3448" s="6"/>
      <c r="J3448" s="6"/>
      <c r="K3448" s="6"/>
      <c r="L3448" s="6"/>
      <c r="M3448" s="6"/>
      <c r="N3448" s="6"/>
      <c r="O3448" s="6"/>
      <c r="P3448" s="6"/>
      <c r="Q3448" s="6"/>
      <c r="R3448" s="6"/>
      <c r="S3448" s="6"/>
      <c r="T3448" s="6"/>
      <c r="U3448" s="6"/>
      <c r="V3448" s="6"/>
      <c r="W3448" s="6"/>
      <c r="X3448" s="6"/>
      <c r="Y3448" s="6"/>
      <c r="Z3448" s="6"/>
    </row>
    <row r="3449" customFormat="false" ht="15" hidden="false" customHeight="false" outlineLevel="0" collapsed="false">
      <c r="A3449" s="9" t="s">
        <v>9292</v>
      </c>
      <c r="B3449" s="9" t="s">
        <v>5870</v>
      </c>
      <c r="C3449" s="9" t="s">
        <v>3705</v>
      </c>
      <c r="D3449" s="9" t="s">
        <v>5871</v>
      </c>
      <c r="E3449" s="9" t="str">
        <f aca="false">IF(AND('Formation Ledger'!A3428&lt;&gt;"",'Formation Ledger'!V3428=0),"PASS","FAIL")</f>
        <v>PASS</v>
      </c>
      <c r="F3449" s="9" t="s">
        <v>76</v>
      </c>
      <c r="G3449" s="6"/>
      <c r="H3449" s="6"/>
      <c r="I3449" s="6"/>
      <c r="J3449" s="6"/>
      <c r="K3449" s="6"/>
      <c r="L3449" s="6"/>
      <c r="M3449" s="6"/>
      <c r="N3449" s="6"/>
      <c r="O3449" s="6"/>
      <c r="P3449" s="6"/>
      <c r="Q3449" s="6"/>
      <c r="R3449" s="6"/>
      <c r="S3449" s="6"/>
      <c r="T3449" s="6"/>
      <c r="U3449" s="6"/>
      <c r="V3449" s="6"/>
      <c r="W3449" s="6"/>
      <c r="X3449" s="6"/>
      <c r="Y3449" s="6"/>
      <c r="Z3449" s="6"/>
    </row>
    <row r="3450" customFormat="false" ht="15" hidden="false" customHeight="false" outlineLevel="0" collapsed="false">
      <c r="A3450" s="9" t="s">
        <v>9293</v>
      </c>
      <c r="B3450" s="9" t="s">
        <v>5870</v>
      </c>
      <c r="C3450" s="9" t="s">
        <v>3706</v>
      </c>
      <c r="D3450" s="9" t="s">
        <v>5871</v>
      </c>
      <c r="E3450" s="9" t="str">
        <f aca="false">IF(AND('Formation Ledger'!A3429&lt;&gt;"",'Formation Ledger'!V3429=0),"PASS","FAIL")</f>
        <v>PASS</v>
      </c>
      <c r="F3450" s="9" t="s">
        <v>76</v>
      </c>
      <c r="G3450" s="6"/>
      <c r="H3450" s="6"/>
      <c r="I3450" s="6"/>
      <c r="J3450" s="6"/>
      <c r="K3450" s="6"/>
      <c r="L3450" s="6"/>
      <c r="M3450" s="6"/>
      <c r="N3450" s="6"/>
      <c r="O3450" s="6"/>
      <c r="P3450" s="6"/>
      <c r="Q3450" s="6"/>
      <c r="R3450" s="6"/>
      <c r="S3450" s="6"/>
      <c r="T3450" s="6"/>
      <c r="U3450" s="6"/>
      <c r="V3450" s="6"/>
      <c r="W3450" s="6"/>
      <c r="X3450" s="6"/>
      <c r="Y3450" s="6"/>
      <c r="Z3450" s="6"/>
    </row>
    <row r="3451" customFormat="false" ht="15" hidden="false" customHeight="false" outlineLevel="0" collapsed="false">
      <c r="A3451" s="9" t="s">
        <v>9294</v>
      </c>
      <c r="B3451" s="9" t="s">
        <v>5870</v>
      </c>
      <c r="C3451" s="9" t="s">
        <v>3707</v>
      </c>
      <c r="D3451" s="9" t="s">
        <v>5871</v>
      </c>
      <c r="E3451" s="9" t="str">
        <f aca="false">IF(AND('Formation Ledger'!A3430&lt;&gt;"",'Formation Ledger'!V3430=0),"PASS","FAIL")</f>
        <v>PASS</v>
      </c>
      <c r="F3451" s="9" t="s">
        <v>76</v>
      </c>
      <c r="G3451" s="6"/>
      <c r="H3451" s="6"/>
      <c r="I3451" s="6"/>
      <c r="J3451" s="6"/>
      <c r="K3451" s="6"/>
      <c r="L3451" s="6"/>
      <c r="M3451" s="6"/>
      <c r="N3451" s="6"/>
      <c r="O3451" s="6"/>
      <c r="P3451" s="6"/>
      <c r="Q3451" s="6"/>
      <c r="R3451" s="6"/>
      <c r="S3451" s="6"/>
      <c r="T3451" s="6"/>
      <c r="U3451" s="6"/>
      <c r="V3451" s="6"/>
      <c r="W3451" s="6"/>
      <c r="X3451" s="6"/>
      <c r="Y3451" s="6"/>
      <c r="Z3451" s="6"/>
    </row>
    <row r="3452" customFormat="false" ht="15" hidden="false" customHeight="false" outlineLevel="0" collapsed="false">
      <c r="A3452" s="9" t="s">
        <v>9295</v>
      </c>
      <c r="B3452" s="9" t="s">
        <v>5870</v>
      </c>
      <c r="C3452" s="9" t="s">
        <v>3708</v>
      </c>
      <c r="D3452" s="9" t="s">
        <v>5871</v>
      </c>
      <c r="E3452" s="9" t="str">
        <f aca="false">IF(AND('Formation Ledger'!A3431&lt;&gt;"",'Formation Ledger'!V3431=0),"PASS","FAIL")</f>
        <v>PASS</v>
      </c>
      <c r="F3452" s="9" t="s">
        <v>76</v>
      </c>
      <c r="G3452" s="6"/>
      <c r="H3452" s="6"/>
      <c r="I3452" s="6"/>
      <c r="J3452" s="6"/>
      <c r="K3452" s="6"/>
      <c r="L3452" s="6"/>
      <c r="M3452" s="6"/>
      <c r="N3452" s="6"/>
      <c r="O3452" s="6"/>
      <c r="P3452" s="6"/>
      <c r="Q3452" s="6"/>
      <c r="R3452" s="6"/>
      <c r="S3452" s="6"/>
      <c r="T3452" s="6"/>
      <c r="U3452" s="6"/>
      <c r="V3452" s="6"/>
      <c r="W3452" s="6"/>
      <c r="X3452" s="6"/>
      <c r="Y3452" s="6"/>
      <c r="Z3452" s="6"/>
    </row>
    <row r="3453" customFormat="false" ht="15" hidden="false" customHeight="false" outlineLevel="0" collapsed="false">
      <c r="A3453" s="9" t="s">
        <v>9296</v>
      </c>
      <c r="B3453" s="9" t="s">
        <v>5870</v>
      </c>
      <c r="C3453" s="9" t="s">
        <v>3709</v>
      </c>
      <c r="D3453" s="9" t="s">
        <v>5871</v>
      </c>
      <c r="E3453" s="9" t="str">
        <f aca="false">IF(AND('Formation Ledger'!A3432&lt;&gt;"",'Formation Ledger'!V3432=0),"PASS","FAIL")</f>
        <v>PASS</v>
      </c>
      <c r="F3453" s="9" t="s">
        <v>76</v>
      </c>
      <c r="G3453" s="6"/>
      <c r="H3453" s="6"/>
      <c r="I3453" s="6"/>
      <c r="J3453" s="6"/>
      <c r="K3453" s="6"/>
      <c r="L3453" s="6"/>
      <c r="M3453" s="6"/>
      <c r="N3453" s="6"/>
      <c r="O3453" s="6"/>
      <c r="P3453" s="6"/>
      <c r="Q3453" s="6"/>
      <c r="R3453" s="6"/>
      <c r="S3453" s="6"/>
      <c r="T3453" s="6"/>
      <c r="U3453" s="6"/>
      <c r="V3453" s="6"/>
      <c r="W3453" s="6"/>
      <c r="X3453" s="6"/>
      <c r="Y3453" s="6"/>
      <c r="Z3453" s="6"/>
    </row>
    <row r="3454" customFormat="false" ht="15" hidden="false" customHeight="false" outlineLevel="0" collapsed="false">
      <c r="A3454" s="9" t="s">
        <v>9297</v>
      </c>
      <c r="B3454" s="9" t="s">
        <v>5870</v>
      </c>
      <c r="C3454" s="9" t="s">
        <v>3710</v>
      </c>
      <c r="D3454" s="9" t="s">
        <v>5871</v>
      </c>
      <c r="E3454" s="9" t="str">
        <f aca="false">IF(AND('Formation Ledger'!A3433&lt;&gt;"",'Formation Ledger'!V3433=0),"PASS","FAIL")</f>
        <v>PASS</v>
      </c>
      <c r="F3454" s="9" t="s">
        <v>76</v>
      </c>
      <c r="G3454" s="6"/>
      <c r="H3454" s="6"/>
      <c r="I3454" s="6"/>
      <c r="J3454" s="6"/>
      <c r="K3454" s="6"/>
      <c r="L3454" s="6"/>
      <c r="M3454" s="6"/>
      <c r="N3454" s="6"/>
      <c r="O3454" s="6"/>
      <c r="P3454" s="6"/>
      <c r="Q3454" s="6"/>
      <c r="R3454" s="6"/>
      <c r="S3454" s="6"/>
      <c r="T3454" s="6"/>
      <c r="U3454" s="6"/>
      <c r="V3454" s="6"/>
      <c r="W3454" s="6"/>
      <c r="X3454" s="6"/>
      <c r="Y3454" s="6"/>
      <c r="Z3454" s="6"/>
    </row>
    <row r="3455" customFormat="false" ht="15" hidden="false" customHeight="false" outlineLevel="0" collapsed="false">
      <c r="A3455" s="9" t="s">
        <v>9298</v>
      </c>
      <c r="B3455" s="9" t="s">
        <v>5870</v>
      </c>
      <c r="C3455" s="9" t="s">
        <v>3711</v>
      </c>
      <c r="D3455" s="9" t="s">
        <v>5871</v>
      </c>
      <c r="E3455" s="9" t="str">
        <f aca="false">IF(AND('Formation Ledger'!A3434&lt;&gt;"",'Formation Ledger'!V3434=0),"PASS","FAIL")</f>
        <v>PASS</v>
      </c>
      <c r="F3455" s="9" t="s">
        <v>76</v>
      </c>
      <c r="G3455" s="6"/>
      <c r="H3455" s="6"/>
      <c r="I3455" s="6"/>
      <c r="J3455" s="6"/>
      <c r="K3455" s="6"/>
      <c r="L3455" s="6"/>
      <c r="M3455" s="6"/>
      <c r="N3455" s="6"/>
      <c r="O3455" s="6"/>
      <c r="P3455" s="6"/>
      <c r="Q3455" s="6"/>
      <c r="R3455" s="6"/>
      <c r="S3455" s="6"/>
      <c r="T3455" s="6"/>
      <c r="U3455" s="6"/>
      <c r="V3455" s="6"/>
      <c r="W3455" s="6"/>
      <c r="X3455" s="6"/>
      <c r="Y3455" s="6"/>
      <c r="Z3455" s="6"/>
    </row>
    <row r="3456" customFormat="false" ht="15" hidden="false" customHeight="false" outlineLevel="0" collapsed="false">
      <c r="A3456" s="9" t="s">
        <v>9299</v>
      </c>
      <c r="B3456" s="9" t="s">
        <v>5870</v>
      </c>
      <c r="C3456" s="9" t="s">
        <v>3712</v>
      </c>
      <c r="D3456" s="9" t="s">
        <v>5871</v>
      </c>
      <c r="E3456" s="9" t="str">
        <f aca="false">IF(AND('Formation Ledger'!A3435&lt;&gt;"",'Formation Ledger'!V3435=0),"PASS","FAIL")</f>
        <v>PASS</v>
      </c>
      <c r="F3456" s="9" t="s">
        <v>76</v>
      </c>
      <c r="G3456" s="6"/>
      <c r="H3456" s="6"/>
      <c r="I3456" s="6"/>
      <c r="J3456" s="6"/>
      <c r="K3456" s="6"/>
      <c r="L3456" s="6"/>
      <c r="M3456" s="6"/>
      <c r="N3456" s="6"/>
      <c r="O3456" s="6"/>
      <c r="P3456" s="6"/>
      <c r="Q3456" s="6"/>
      <c r="R3456" s="6"/>
      <c r="S3456" s="6"/>
      <c r="T3456" s="6"/>
      <c r="U3456" s="6"/>
      <c r="V3456" s="6"/>
      <c r="W3456" s="6"/>
      <c r="X3456" s="6"/>
      <c r="Y3456" s="6"/>
      <c r="Z3456" s="6"/>
    </row>
    <row r="3457" customFormat="false" ht="15" hidden="false" customHeight="false" outlineLevel="0" collapsed="false">
      <c r="A3457" s="9" t="s">
        <v>9300</v>
      </c>
      <c r="B3457" s="9" t="s">
        <v>5870</v>
      </c>
      <c r="C3457" s="9" t="s">
        <v>3713</v>
      </c>
      <c r="D3457" s="9" t="s">
        <v>5871</v>
      </c>
      <c r="E3457" s="9" t="str">
        <f aca="false">IF(AND('Formation Ledger'!A3436&lt;&gt;"",'Formation Ledger'!V3436=0),"PASS","FAIL")</f>
        <v>PASS</v>
      </c>
      <c r="F3457" s="9" t="s">
        <v>76</v>
      </c>
      <c r="G3457" s="6"/>
      <c r="H3457" s="6"/>
      <c r="I3457" s="6"/>
      <c r="J3457" s="6"/>
      <c r="K3457" s="6"/>
      <c r="L3457" s="6"/>
      <c r="M3457" s="6"/>
      <c r="N3457" s="6"/>
      <c r="O3457" s="6"/>
      <c r="P3457" s="6"/>
      <c r="Q3457" s="6"/>
      <c r="R3457" s="6"/>
      <c r="S3457" s="6"/>
      <c r="T3457" s="6"/>
      <c r="U3457" s="6"/>
      <c r="V3457" s="6"/>
      <c r="W3457" s="6"/>
      <c r="X3457" s="6"/>
      <c r="Y3457" s="6"/>
      <c r="Z3457" s="6"/>
    </row>
    <row r="3458" customFormat="false" ht="15" hidden="false" customHeight="false" outlineLevel="0" collapsed="false">
      <c r="A3458" s="9" t="s">
        <v>9301</v>
      </c>
      <c r="B3458" s="9" t="s">
        <v>5870</v>
      </c>
      <c r="C3458" s="9" t="s">
        <v>3714</v>
      </c>
      <c r="D3458" s="9" t="s">
        <v>5871</v>
      </c>
      <c r="E3458" s="9" t="str">
        <f aca="false">IF(AND('Formation Ledger'!A3437&lt;&gt;"",'Formation Ledger'!V3437=0),"PASS","FAIL")</f>
        <v>PASS</v>
      </c>
      <c r="F3458" s="9" t="s">
        <v>76</v>
      </c>
      <c r="G3458" s="6"/>
      <c r="H3458" s="6"/>
      <c r="I3458" s="6"/>
      <c r="J3458" s="6"/>
      <c r="K3458" s="6"/>
      <c r="L3458" s="6"/>
      <c r="M3458" s="6"/>
      <c r="N3458" s="6"/>
      <c r="O3458" s="6"/>
      <c r="P3458" s="6"/>
      <c r="Q3458" s="6"/>
      <c r="R3458" s="6"/>
      <c r="S3458" s="6"/>
      <c r="T3458" s="6"/>
      <c r="U3458" s="6"/>
      <c r="V3458" s="6"/>
      <c r="W3458" s="6"/>
      <c r="X3458" s="6"/>
      <c r="Y3458" s="6"/>
      <c r="Z3458" s="6"/>
    </row>
    <row r="3459" customFormat="false" ht="15" hidden="false" customHeight="false" outlineLevel="0" collapsed="false">
      <c r="A3459" s="9" t="s">
        <v>9302</v>
      </c>
      <c r="B3459" s="9" t="s">
        <v>5870</v>
      </c>
      <c r="C3459" s="9" t="s">
        <v>3715</v>
      </c>
      <c r="D3459" s="9" t="s">
        <v>5871</v>
      </c>
      <c r="E3459" s="9" t="str">
        <f aca="false">IF(AND('Formation Ledger'!A3438&lt;&gt;"",'Formation Ledger'!V3438=0),"PASS","FAIL")</f>
        <v>PASS</v>
      </c>
      <c r="F3459" s="9" t="s">
        <v>76</v>
      </c>
      <c r="G3459" s="6"/>
      <c r="H3459" s="6"/>
      <c r="I3459" s="6"/>
      <c r="J3459" s="6"/>
      <c r="K3459" s="6"/>
      <c r="L3459" s="6"/>
      <c r="M3459" s="6"/>
      <c r="N3459" s="6"/>
      <c r="O3459" s="6"/>
      <c r="P3459" s="6"/>
      <c r="Q3459" s="6"/>
      <c r="R3459" s="6"/>
      <c r="S3459" s="6"/>
      <c r="T3459" s="6"/>
      <c r="U3459" s="6"/>
      <c r="V3459" s="6"/>
      <c r="W3459" s="6"/>
      <c r="X3459" s="6"/>
      <c r="Y3459" s="6"/>
      <c r="Z3459" s="6"/>
    </row>
    <row r="3460" customFormat="false" ht="15" hidden="false" customHeight="false" outlineLevel="0" collapsed="false">
      <c r="A3460" s="9" t="s">
        <v>9303</v>
      </c>
      <c r="B3460" s="9" t="s">
        <v>5870</v>
      </c>
      <c r="C3460" s="9" t="s">
        <v>3716</v>
      </c>
      <c r="D3460" s="9" t="s">
        <v>5871</v>
      </c>
      <c r="E3460" s="9" t="str">
        <f aca="false">IF(AND('Formation Ledger'!A3439&lt;&gt;"",'Formation Ledger'!V3439=0),"PASS","FAIL")</f>
        <v>PASS</v>
      </c>
      <c r="F3460" s="9" t="s">
        <v>76</v>
      </c>
      <c r="G3460" s="6"/>
      <c r="H3460" s="6"/>
      <c r="I3460" s="6"/>
      <c r="J3460" s="6"/>
      <c r="K3460" s="6"/>
      <c r="L3460" s="6"/>
      <c r="M3460" s="6"/>
      <c r="N3460" s="6"/>
      <c r="O3460" s="6"/>
      <c r="P3460" s="6"/>
      <c r="Q3460" s="6"/>
      <c r="R3460" s="6"/>
      <c r="S3460" s="6"/>
      <c r="T3460" s="6"/>
      <c r="U3460" s="6"/>
      <c r="V3460" s="6"/>
      <c r="W3460" s="6"/>
      <c r="X3460" s="6"/>
      <c r="Y3460" s="6"/>
      <c r="Z3460" s="6"/>
    </row>
    <row r="3461" customFormat="false" ht="15" hidden="false" customHeight="false" outlineLevel="0" collapsed="false">
      <c r="A3461" s="9" t="s">
        <v>9304</v>
      </c>
      <c r="B3461" s="9" t="s">
        <v>5870</v>
      </c>
      <c r="C3461" s="9" t="s">
        <v>3717</v>
      </c>
      <c r="D3461" s="9" t="s">
        <v>5871</v>
      </c>
      <c r="E3461" s="9" t="str">
        <f aca="false">IF(AND('Formation Ledger'!A3440&lt;&gt;"",'Formation Ledger'!V3440=0),"PASS","FAIL")</f>
        <v>PASS</v>
      </c>
      <c r="F3461" s="9" t="s">
        <v>76</v>
      </c>
      <c r="G3461" s="6"/>
      <c r="H3461" s="6"/>
      <c r="I3461" s="6"/>
      <c r="J3461" s="6"/>
      <c r="K3461" s="6"/>
      <c r="L3461" s="6"/>
      <c r="M3461" s="6"/>
      <c r="N3461" s="6"/>
      <c r="O3461" s="6"/>
      <c r="P3461" s="6"/>
      <c r="Q3461" s="6"/>
      <c r="R3461" s="6"/>
      <c r="S3461" s="6"/>
      <c r="T3461" s="6"/>
      <c r="U3461" s="6"/>
      <c r="V3461" s="6"/>
      <c r="W3461" s="6"/>
      <c r="X3461" s="6"/>
      <c r="Y3461" s="6"/>
      <c r="Z3461" s="6"/>
    </row>
    <row r="3462" customFormat="false" ht="15" hidden="false" customHeight="false" outlineLevel="0" collapsed="false">
      <c r="A3462" s="9" t="s">
        <v>9305</v>
      </c>
      <c r="B3462" s="9" t="s">
        <v>5870</v>
      </c>
      <c r="C3462" s="9" t="s">
        <v>3718</v>
      </c>
      <c r="D3462" s="9" t="s">
        <v>5871</v>
      </c>
      <c r="E3462" s="9" t="str">
        <f aca="false">IF(AND('Formation Ledger'!A3441&lt;&gt;"",'Formation Ledger'!V3441=0),"PASS","FAIL")</f>
        <v>PASS</v>
      </c>
      <c r="F3462" s="9" t="s">
        <v>76</v>
      </c>
      <c r="G3462" s="6"/>
      <c r="H3462" s="6"/>
      <c r="I3462" s="6"/>
      <c r="J3462" s="6"/>
      <c r="K3462" s="6"/>
      <c r="L3462" s="6"/>
      <c r="M3462" s="6"/>
      <c r="N3462" s="6"/>
      <c r="O3462" s="6"/>
      <c r="P3462" s="6"/>
      <c r="Q3462" s="6"/>
      <c r="R3462" s="6"/>
      <c r="S3462" s="6"/>
      <c r="T3462" s="6"/>
      <c r="U3462" s="6"/>
      <c r="V3462" s="6"/>
      <c r="W3462" s="6"/>
      <c r="X3462" s="6"/>
      <c r="Y3462" s="6"/>
      <c r="Z3462" s="6"/>
    </row>
    <row r="3463" customFormat="false" ht="15" hidden="false" customHeight="false" outlineLevel="0" collapsed="false">
      <c r="A3463" s="9" t="s">
        <v>9306</v>
      </c>
      <c r="B3463" s="9" t="s">
        <v>5870</v>
      </c>
      <c r="C3463" s="9" t="s">
        <v>3719</v>
      </c>
      <c r="D3463" s="9" t="s">
        <v>5871</v>
      </c>
      <c r="E3463" s="9" t="str">
        <f aca="false">IF(AND('Formation Ledger'!A3442&lt;&gt;"",'Formation Ledger'!V3442=0),"PASS","FAIL")</f>
        <v>PASS</v>
      </c>
      <c r="F3463" s="9" t="s">
        <v>76</v>
      </c>
      <c r="G3463" s="6"/>
      <c r="H3463" s="6"/>
      <c r="I3463" s="6"/>
      <c r="J3463" s="6"/>
      <c r="K3463" s="6"/>
      <c r="L3463" s="6"/>
      <c r="M3463" s="6"/>
      <c r="N3463" s="6"/>
      <c r="O3463" s="6"/>
      <c r="P3463" s="6"/>
      <c r="Q3463" s="6"/>
      <c r="R3463" s="6"/>
      <c r="S3463" s="6"/>
      <c r="T3463" s="6"/>
      <c r="U3463" s="6"/>
      <c r="V3463" s="6"/>
      <c r="W3463" s="6"/>
      <c r="X3463" s="6"/>
      <c r="Y3463" s="6"/>
      <c r="Z3463" s="6"/>
    </row>
    <row r="3464" customFormat="false" ht="15" hidden="false" customHeight="false" outlineLevel="0" collapsed="false">
      <c r="A3464" s="9" t="s">
        <v>9307</v>
      </c>
      <c r="B3464" s="9" t="s">
        <v>5870</v>
      </c>
      <c r="C3464" s="9" t="s">
        <v>3723</v>
      </c>
      <c r="D3464" s="9" t="s">
        <v>5871</v>
      </c>
      <c r="E3464" s="9" t="str">
        <f aca="false">IF(AND('Formation Ledger'!A3443&lt;&gt;"",'Formation Ledger'!V3443=0),"PASS","FAIL")</f>
        <v>PASS</v>
      </c>
      <c r="F3464" s="9" t="s">
        <v>76</v>
      </c>
      <c r="G3464" s="6"/>
      <c r="H3464" s="6"/>
      <c r="I3464" s="6"/>
      <c r="J3464" s="6"/>
      <c r="K3464" s="6"/>
      <c r="L3464" s="6"/>
      <c r="M3464" s="6"/>
      <c r="N3464" s="6"/>
      <c r="O3464" s="6"/>
      <c r="P3464" s="6"/>
      <c r="Q3464" s="6"/>
      <c r="R3464" s="6"/>
      <c r="S3464" s="6"/>
      <c r="T3464" s="6"/>
      <c r="U3464" s="6"/>
      <c r="V3464" s="6"/>
      <c r="W3464" s="6"/>
      <c r="X3464" s="6"/>
      <c r="Y3464" s="6"/>
      <c r="Z3464" s="6"/>
    </row>
    <row r="3465" customFormat="false" ht="15" hidden="false" customHeight="false" outlineLevel="0" collapsed="false">
      <c r="A3465" s="9" t="s">
        <v>9308</v>
      </c>
      <c r="B3465" s="9" t="s">
        <v>5870</v>
      </c>
      <c r="C3465" s="9" t="s">
        <v>3724</v>
      </c>
      <c r="D3465" s="9" t="s">
        <v>5871</v>
      </c>
      <c r="E3465" s="9" t="str">
        <f aca="false">IF(AND('Formation Ledger'!A3444&lt;&gt;"",'Formation Ledger'!V3444=0),"PASS","FAIL")</f>
        <v>PASS</v>
      </c>
      <c r="F3465" s="9" t="s">
        <v>76</v>
      </c>
      <c r="G3465" s="6"/>
      <c r="H3465" s="6"/>
      <c r="I3465" s="6"/>
      <c r="J3465" s="6"/>
      <c r="K3465" s="6"/>
      <c r="L3465" s="6"/>
      <c r="M3465" s="6"/>
      <c r="N3465" s="6"/>
      <c r="O3465" s="6"/>
      <c r="P3465" s="6"/>
      <c r="Q3465" s="6"/>
      <c r="R3465" s="6"/>
      <c r="S3465" s="6"/>
      <c r="T3465" s="6"/>
      <c r="U3465" s="6"/>
      <c r="V3465" s="6"/>
      <c r="W3465" s="6"/>
      <c r="X3465" s="6"/>
      <c r="Y3465" s="6"/>
      <c r="Z3465" s="6"/>
    </row>
    <row r="3466" customFormat="false" ht="15" hidden="false" customHeight="false" outlineLevel="0" collapsed="false">
      <c r="A3466" s="9" t="s">
        <v>9309</v>
      </c>
      <c r="B3466" s="9" t="s">
        <v>5870</v>
      </c>
      <c r="C3466" s="9" t="s">
        <v>3725</v>
      </c>
      <c r="D3466" s="9" t="s">
        <v>5871</v>
      </c>
      <c r="E3466" s="9" t="str">
        <f aca="false">IF(AND('Formation Ledger'!A3445&lt;&gt;"",'Formation Ledger'!V3445=0),"PASS","FAIL")</f>
        <v>PASS</v>
      </c>
      <c r="F3466" s="9" t="s">
        <v>76</v>
      </c>
      <c r="G3466" s="6"/>
      <c r="H3466" s="6"/>
      <c r="I3466" s="6"/>
      <c r="J3466" s="6"/>
      <c r="K3466" s="6"/>
      <c r="L3466" s="6"/>
      <c r="M3466" s="6"/>
      <c r="N3466" s="6"/>
      <c r="O3466" s="6"/>
      <c r="P3466" s="6"/>
      <c r="Q3466" s="6"/>
      <c r="R3466" s="6"/>
      <c r="S3466" s="6"/>
      <c r="T3466" s="6"/>
      <c r="U3466" s="6"/>
      <c r="V3466" s="6"/>
      <c r="W3466" s="6"/>
      <c r="X3466" s="6"/>
      <c r="Y3466" s="6"/>
      <c r="Z3466" s="6"/>
    </row>
    <row r="3467" customFormat="false" ht="15" hidden="false" customHeight="false" outlineLevel="0" collapsed="false">
      <c r="A3467" s="9" t="s">
        <v>9310</v>
      </c>
      <c r="B3467" s="9" t="s">
        <v>5870</v>
      </c>
      <c r="C3467" s="9" t="s">
        <v>3726</v>
      </c>
      <c r="D3467" s="9" t="s">
        <v>5871</v>
      </c>
      <c r="E3467" s="9" t="str">
        <f aca="false">IF(AND('Formation Ledger'!A3446&lt;&gt;"",'Formation Ledger'!V3446=0),"PASS","FAIL")</f>
        <v>PASS</v>
      </c>
      <c r="F3467" s="9" t="s">
        <v>76</v>
      </c>
      <c r="G3467" s="6"/>
      <c r="H3467" s="6"/>
      <c r="I3467" s="6"/>
      <c r="J3467" s="6"/>
      <c r="K3467" s="6"/>
      <c r="L3467" s="6"/>
      <c r="M3467" s="6"/>
      <c r="N3467" s="6"/>
      <c r="O3467" s="6"/>
      <c r="P3467" s="6"/>
      <c r="Q3467" s="6"/>
      <c r="R3467" s="6"/>
      <c r="S3467" s="6"/>
      <c r="T3467" s="6"/>
      <c r="U3467" s="6"/>
      <c r="V3467" s="6"/>
      <c r="W3467" s="6"/>
      <c r="X3467" s="6"/>
      <c r="Y3467" s="6"/>
      <c r="Z3467" s="6"/>
    </row>
    <row r="3468" customFormat="false" ht="15" hidden="false" customHeight="false" outlineLevel="0" collapsed="false">
      <c r="A3468" s="9" t="s">
        <v>9311</v>
      </c>
      <c r="B3468" s="9" t="s">
        <v>5870</v>
      </c>
      <c r="C3468" s="9" t="s">
        <v>3727</v>
      </c>
      <c r="D3468" s="9" t="s">
        <v>5871</v>
      </c>
      <c r="E3468" s="9" t="str">
        <f aca="false">IF(AND('Formation Ledger'!A3447&lt;&gt;"",'Formation Ledger'!V3447=0),"PASS","FAIL")</f>
        <v>PASS</v>
      </c>
      <c r="F3468" s="9" t="s">
        <v>76</v>
      </c>
      <c r="G3468" s="6"/>
      <c r="H3468" s="6"/>
      <c r="I3468" s="6"/>
      <c r="J3468" s="6"/>
      <c r="K3468" s="6"/>
      <c r="L3468" s="6"/>
      <c r="M3468" s="6"/>
      <c r="N3468" s="6"/>
      <c r="O3468" s="6"/>
      <c r="P3468" s="6"/>
      <c r="Q3468" s="6"/>
      <c r="R3468" s="6"/>
      <c r="S3468" s="6"/>
      <c r="T3468" s="6"/>
      <c r="U3468" s="6"/>
      <c r="V3468" s="6"/>
      <c r="W3468" s="6"/>
      <c r="X3468" s="6"/>
      <c r="Y3468" s="6"/>
      <c r="Z3468" s="6"/>
    </row>
    <row r="3469" customFormat="false" ht="15" hidden="false" customHeight="false" outlineLevel="0" collapsed="false">
      <c r="A3469" s="9" t="s">
        <v>9312</v>
      </c>
      <c r="B3469" s="9" t="s">
        <v>5870</v>
      </c>
      <c r="C3469" s="9" t="s">
        <v>3728</v>
      </c>
      <c r="D3469" s="9" t="s">
        <v>5871</v>
      </c>
      <c r="E3469" s="9" t="str">
        <f aca="false">IF(AND('Formation Ledger'!A3448&lt;&gt;"",'Formation Ledger'!V3448=0),"PASS","FAIL")</f>
        <v>PASS</v>
      </c>
      <c r="F3469" s="9" t="s">
        <v>76</v>
      </c>
      <c r="G3469" s="6"/>
      <c r="H3469" s="6"/>
      <c r="I3469" s="6"/>
      <c r="J3469" s="6"/>
      <c r="K3469" s="6"/>
      <c r="L3469" s="6"/>
      <c r="M3469" s="6"/>
      <c r="N3469" s="6"/>
      <c r="O3469" s="6"/>
      <c r="P3469" s="6"/>
      <c r="Q3469" s="6"/>
      <c r="R3469" s="6"/>
      <c r="S3469" s="6"/>
      <c r="T3469" s="6"/>
      <c r="U3469" s="6"/>
      <c r="V3469" s="6"/>
      <c r="W3469" s="6"/>
      <c r="X3469" s="6"/>
      <c r="Y3469" s="6"/>
      <c r="Z3469" s="6"/>
    </row>
    <row r="3470" customFormat="false" ht="15" hidden="false" customHeight="false" outlineLevel="0" collapsed="false">
      <c r="A3470" s="9" t="s">
        <v>9313</v>
      </c>
      <c r="B3470" s="9" t="s">
        <v>5870</v>
      </c>
      <c r="C3470" s="9" t="s">
        <v>3729</v>
      </c>
      <c r="D3470" s="9" t="s">
        <v>5871</v>
      </c>
      <c r="E3470" s="9" t="str">
        <f aca="false">IF(AND('Formation Ledger'!A3449&lt;&gt;"",'Formation Ledger'!V3449=0),"PASS","FAIL")</f>
        <v>PASS</v>
      </c>
      <c r="F3470" s="9" t="s">
        <v>76</v>
      </c>
      <c r="G3470" s="6"/>
      <c r="H3470" s="6"/>
      <c r="I3470" s="6"/>
      <c r="J3470" s="6"/>
      <c r="K3470" s="6"/>
      <c r="L3470" s="6"/>
      <c r="M3470" s="6"/>
      <c r="N3470" s="6"/>
      <c r="O3470" s="6"/>
      <c r="P3470" s="6"/>
      <c r="Q3470" s="6"/>
      <c r="R3470" s="6"/>
      <c r="S3470" s="6"/>
      <c r="T3470" s="6"/>
      <c r="U3470" s="6"/>
      <c r="V3470" s="6"/>
      <c r="W3470" s="6"/>
      <c r="X3470" s="6"/>
      <c r="Y3470" s="6"/>
      <c r="Z3470" s="6"/>
    </row>
    <row r="3471" customFormat="false" ht="15" hidden="false" customHeight="false" outlineLevel="0" collapsed="false">
      <c r="A3471" s="9" t="s">
        <v>9314</v>
      </c>
      <c r="B3471" s="9" t="s">
        <v>5870</v>
      </c>
      <c r="C3471" s="9" t="s">
        <v>3730</v>
      </c>
      <c r="D3471" s="9" t="s">
        <v>5871</v>
      </c>
      <c r="E3471" s="9" t="str">
        <f aca="false">IF(AND('Formation Ledger'!A3450&lt;&gt;"",'Formation Ledger'!V3450=0),"PASS","FAIL")</f>
        <v>PASS</v>
      </c>
      <c r="F3471" s="9" t="s">
        <v>76</v>
      </c>
      <c r="G3471" s="6"/>
      <c r="H3471" s="6"/>
      <c r="I3471" s="6"/>
      <c r="J3471" s="6"/>
      <c r="K3471" s="6"/>
      <c r="L3471" s="6"/>
      <c r="M3471" s="6"/>
      <c r="N3471" s="6"/>
      <c r="O3471" s="6"/>
      <c r="P3471" s="6"/>
      <c r="Q3471" s="6"/>
      <c r="R3471" s="6"/>
      <c r="S3471" s="6"/>
      <c r="T3471" s="6"/>
      <c r="U3471" s="6"/>
      <c r="V3471" s="6"/>
      <c r="W3471" s="6"/>
      <c r="X3471" s="6"/>
      <c r="Y3471" s="6"/>
      <c r="Z3471" s="6"/>
    </row>
    <row r="3472" customFormat="false" ht="15" hidden="false" customHeight="false" outlineLevel="0" collapsed="false">
      <c r="A3472" s="9" t="s">
        <v>9315</v>
      </c>
      <c r="B3472" s="9" t="s">
        <v>5870</v>
      </c>
      <c r="C3472" s="9" t="s">
        <v>3731</v>
      </c>
      <c r="D3472" s="9" t="s">
        <v>5871</v>
      </c>
      <c r="E3472" s="9" t="str">
        <f aca="false">IF(AND('Formation Ledger'!A3451&lt;&gt;"",'Formation Ledger'!V3451=0),"PASS","FAIL")</f>
        <v>PASS</v>
      </c>
      <c r="F3472" s="9" t="s">
        <v>76</v>
      </c>
      <c r="G3472" s="6"/>
      <c r="H3472" s="6"/>
      <c r="I3472" s="6"/>
      <c r="J3472" s="6"/>
      <c r="K3472" s="6"/>
      <c r="L3472" s="6"/>
      <c r="M3472" s="6"/>
      <c r="N3472" s="6"/>
      <c r="O3472" s="6"/>
      <c r="P3472" s="6"/>
      <c r="Q3472" s="6"/>
      <c r="R3472" s="6"/>
      <c r="S3472" s="6"/>
      <c r="T3472" s="6"/>
      <c r="U3472" s="6"/>
      <c r="V3472" s="6"/>
      <c r="W3472" s="6"/>
      <c r="X3472" s="6"/>
      <c r="Y3472" s="6"/>
      <c r="Z3472" s="6"/>
    </row>
    <row r="3473" customFormat="false" ht="15" hidden="false" customHeight="false" outlineLevel="0" collapsed="false">
      <c r="A3473" s="9" t="s">
        <v>9316</v>
      </c>
      <c r="B3473" s="9" t="s">
        <v>5870</v>
      </c>
      <c r="C3473" s="9" t="s">
        <v>3732</v>
      </c>
      <c r="D3473" s="9" t="s">
        <v>5871</v>
      </c>
      <c r="E3473" s="9" t="str">
        <f aca="false">IF(AND('Formation Ledger'!A3452&lt;&gt;"",'Formation Ledger'!V3452=0),"PASS","FAIL")</f>
        <v>PASS</v>
      </c>
      <c r="F3473" s="9" t="s">
        <v>76</v>
      </c>
      <c r="G3473" s="6"/>
      <c r="H3473" s="6"/>
      <c r="I3473" s="6"/>
      <c r="J3473" s="6"/>
      <c r="K3473" s="6"/>
      <c r="L3473" s="6"/>
      <c r="M3473" s="6"/>
      <c r="N3473" s="6"/>
      <c r="O3473" s="6"/>
      <c r="P3473" s="6"/>
      <c r="Q3473" s="6"/>
      <c r="R3473" s="6"/>
      <c r="S3473" s="6"/>
      <c r="T3473" s="6"/>
      <c r="U3473" s="6"/>
      <c r="V3473" s="6"/>
      <c r="W3473" s="6"/>
      <c r="X3473" s="6"/>
      <c r="Y3473" s="6"/>
      <c r="Z3473" s="6"/>
    </row>
    <row r="3474" customFormat="false" ht="15" hidden="false" customHeight="false" outlineLevel="0" collapsed="false">
      <c r="A3474" s="9" t="s">
        <v>9317</v>
      </c>
      <c r="B3474" s="9" t="s">
        <v>5870</v>
      </c>
      <c r="C3474" s="9" t="s">
        <v>3733</v>
      </c>
      <c r="D3474" s="9" t="s">
        <v>5871</v>
      </c>
      <c r="E3474" s="9" t="str">
        <f aca="false">IF(AND('Formation Ledger'!A3453&lt;&gt;"",'Formation Ledger'!V3453=0),"PASS","FAIL")</f>
        <v>PASS</v>
      </c>
      <c r="F3474" s="9" t="s">
        <v>76</v>
      </c>
      <c r="G3474" s="6"/>
      <c r="H3474" s="6"/>
      <c r="I3474" s="6"/>
      <c r="J3474" s="6"/>
      <c r="K3474" s="6"/>
      <c r="L3474" s="6"/>
      <c r="M3474" s="6"/>
      <c r="N3474" s="6"/>
      <c r="O3474" s="6"/>
      <c r="P3474" s="6"/>
      <c r="Q3474" s="6"/>
      <c r="R3474" s="6"/>
      <c r="S3474" s="6"/>
      <c r="T3474" s="6"/>
      <c r="U3474" s="6"/>
      <c r="V3474" s="6"/>
      <c r="W3474" s="6"/>
      <c r="X3474" s="6"/>
      <c r="Y3474" s="6"/>
      <c r="Z3474" s="6"/>
    </row>
    <row r="3475" customFormat="false" ht="15" hidden="false" customHeight="false" outlineLevel="0" collapsed="false">
      <c r="A3475" s="9" t="s">
        <v>9318</v>
      </c>
      <c r="B3475" s="9" t="s">
        <v>5870</v>
      </c>
      <c r="C3475" s="9" t="s">
        <v>3734</v>
      </c>
      <c r="D3475" s="9" t="s">
        <v>5871</v>
      </c>
      <c r="E3475" s="9" t="str">
        <f aca="false">IF(AND('Formation Ledger'!A3454&lt;&gt;"",'Formation Ledger'!V3454=0),"PASS","FAIL")</f>
        <v>PASS</v>
      </c>
      <c r="F3475" s="9" t="s">
        <v>76</v>
      </c>
      <c r="G3475" s="6"/>
      <c r="H3475" s="6"/>
      <c r="I3475" s="6"/>
      <c r="J3475" s="6"/>
      <c r="K3475" s="6"/>
      <c r="L3475" s="6"/>
      <c r="M3475" s="6"/>
      <c r="N3475" s="6"/>
      <c r="O3475" s="6"/>
      <c r="P3475" s="6"/>
      <c r="Q3475" s="6"/>
      <c r="R3475" s="6"/>
      <c r="S3475" s="6"/>
      <c r="T3475" s="6"/>
      <c r="U3475" s="6"/>
      <c r="V3475" s="6"/>
      <c r="W3475" s="6"/>
      <c r="X3475" s="6"/>
      <c r="Y3475" s="6"/>
      <c r="Z3475" s="6"/>
    </row>
    <row r="3476" customFormat="false" ht="15" hidden="false" customHeight="false" outlineLevel="0" collapsed="false">
      <c r="A3476" s="9" t="s">
        <v>9319</v>
      </c>
      <c r="B3476" s="9" t="s">
        <v>5870</v>
      </c>
      <c r="C3476" s="9" t="s">
        <v>3735</v>
      </c>
      <c r="D3476" s="9" t="s">
        <v>5871</v>
      </c>
      <c r="E3476" s="9" t="str">
        <f aca="false">IF(AND('Formation Ledger'!A3455&lt;&gt;"",'Formation Ledger'!V3455=0),"PASS","FAIL")</f>
        <v>PASS</v>
      </c>
      <c r="F3476" s="9" t="s">
        <v>76</v>
      </c>
      <c r="G3476" s="6"/>
      <c r="H3476" s="6"/>
      <c r="I3476" s="6"/>
      <c r="J3476" s="6"/>
      <c r="K3476" s="6"/>
      <c r="L3476" s="6"/>
      <c r="M3476" s="6"/>
      <c r="N3476" s="6"/>
      <c r="O3476" s="6"/>
      <c r="P3476" s="6"/>
      <c r="Q3476" s="6"/>
      <c r="R3476" s="6"/>
      <c r="S3476" s="6"/>
      <c r="T3476" s="6"/>
      <c r="U3476" s="6"/>
      <c r="V3476" s="6"/>
      <c r="W3476" s="6"/>
      <c r="X3476" s="6"/>
      <c r="Y3476" s="6"/>
      <c r="Z3476" s="6"/>
    </row>
    <row r="3477" customFormat="false" ht="15" hidden="false" customHeight="false" outlineLevel="0" collapsed="false">
      <c r="A3477" s="9" t="s">
        <v>9320</v>
      </c>
      <c r="B3477" s="9" t="s">
        <v>5870</v>
      </c>
      <c r="C3477" s="9" t="s">
        <v>3736</v>
      </c>
      <c r="D3477" s="9" t="s">
        <v>5871</v>
      </c>
      <c r="E3477" s="9" t="str">
        <f aca="false">IF(AND('Formation Ledger'!A3456&lt;&gt;"",'Formation Ledger'!V3456=0),"PASS","FAIL")</f>
        <v>PASS</v>
      </c>
      <c r="F3477" s="9" t="s">
        <v>76</v>
      </c>
      <c r="G3477" s="6"/>
      <c r="H3477" s="6"/>
      <c r="I3477" s="6"/>
      <c r="J3477" s="6"/>
      <c r="K3477" s="6"/>
      <c r="L3477" s="6"/>
      <c r="M3477" s="6"/>
      <c r="N3477" s="6"/>
      <c r="O3477" s="6"/>
      <c r="P3477" s="6"/>
      <c r="Q3477" s="6"/>
      <c r="R3477" s="6"/>
      <c r="S3477" s="6"/>
      <c r="T3477" s="6"/>
      <c r="U3477" s="6"/>
      <c r="V3477" s="6"/>
      <c r="W3477" s="6"/>
      <c r="X3477" s="6"/>
      <c r="Y3477" s="6"/>
      <c r="Z3477" s="6"/>
    </row>
    <row r="3478" customFormat="false" ht="15" hidden="false" customHeight="false" outlineLevel="0" collapsed="false">
      <c r="A3478" s="9" t="s">
        <v>9321</v>
      </c>
      <c r="B3478" s="9" t="s">
        <v>5870</v>
      </c>
      <c r="C3478" s="9" t="s">
        <v>3737</v>
      </c>
      <c r="D3478" s="9" t="s">
        <v>5871</v>
      </c>
      <c r="E3478" s="9" t="str">
        <f aca="false">IF(AND('Formation Ledger'!A3457&lt;&gt;"",'Formation Ledger'!V3457=0),"PASS","FAIL")</f>
        <v>PASS</v>
      </c>
      <c r="F3478" s="9" t="s">
        <v>76</v>
      </c>
      <c r="G3478" s="6"/>
      <c r="H3478" s="6"/>
      <c r="I3478" s="6"/>
      <c r="J3478" s="6"/>
      <c r="K3478" s="6"/>
      <c r="L3478" s="6"/>
      <c r="M3478" s="6"/>
      <c r="N3478" s="6"/>
      <c r="O3478" s="6"/>
      <c r="P3478" s="6"/>
      <c r="Q3478" s="6"/>
      <c r="R3478" s="6"/>
      <c r="S3478" s="6"/>
      <c r="T3478" s="6"/>
      <c r="U3478" s="6"/>
      <c r="V3478" s="6"/>
      <c r="W3478" s="6"/>
      <c r="X3478" s="6"/>
      <c r="Y3478" s="6"/>
      <c r="Z3478" s="6"/>
    </row>
    <row r="3479" customFormat="false" ht="15" hidden="false" customHeight="false" outlineLevel="0" collapsed="false">
      <c r="A3479" s="9" t="s">
        <v>9322</v>
      </c>
      <c r="B3479" s="9" t="s">
        <v>5870</v>
      </c>
      <c r="C3479" s="9" t="s">
        <v>3738</v>
      </c>
      <c r="D3479" s="9" t="s">
        <v>5871</v>
      </c>
      <c r="E3479" s="9" t="str">
        <f aca="false">IF(AND('Formation Ledger'!A3458&lt;&gt;"",'Formation Ledger'!V3458=0),"PASS","FAIL")</f>
        <v>PASS</v>
      </c>
      <c r="F3479" s="9" t="s">
        <v>76</v>
      </c>
      <c r="G3479" s="6"/>
      <c r="H3479" s="6"/>
      <c r="I3479" s="6"/>
      <c r="J3479" s="6"/>
      <c r="K3479" s="6"/>
      <c r="L3479" s="6"/>
      <c r="M3479" s="6"/>
      <c r="N3479" s="6"/>
      <c r="O3479" s="6"/>
      <c r="P3479" s="6"/>
      <c r="Q3479" s="6"/>
      <c r="R3479" s="6"/>
      <c r="S3479" s="6"/>
      <c r="T3479" s="6"/>
      <c r="U3479" s="6"/>
      <c r="V3479" s="6"/>
      <c r="W3479" s="6"/>
      <c r="X3479" s="6"/>
      <c r="Y3479" s="6"/>
      <c r="Z3479" s="6"/>
    </row>
    <row r="3480" customFormat="false" ht="15" hidden="false" customHeight="false" outlineLevel="0" collapsed="false">
      <c r="A3480" s="9" t="s">
        <v>9323</v>
      </c>
      <c r="B3480" s="9" t="s">
        <v>5870</v>
      </c>
      <c r="C3480" s="9" t="s">
        <v>3739</v>
      </c>
      <c r="D3480" s="9" t="s">
        <v>5871</v>
      </c>
      <c r="E3480" s="9" t="str">
        <f aca="false">IF(AND('Formation Ledger'!A3459&lt;&gt;"",'Formation Ledger'!V3459=0),"PASS","FAIL")</f>
        <v>PASS</v>
      </c>
      <c r="F3480" s="9" t="s">
        <v>76</v>
      </c>
      <c r="G3480" s="6"/>
      <c r="H3480" s="6"/>
      <c r="I3480" s="6"/>
      <c r="J3480" s="6"/>
      <c r="K3480" s="6"/>
      <c r="L3480" s="6"/>
      <c r="M3480" s="6"/>
      <c r="N3480" s="6"/>
      <c r="O3480" s="6"/>
      <c r="P3480" s="6"/>
      <c r="Q3480" s="6"/>
      <c r="R3480" s="6"/>
      <c r="S3480" s="6"/>
      <c r="T3480" s="6"/>
      <c r="U3480" s="6"/>
      <c r="V3480" s="6"/>
      <c r="W3480" s="6"/>
      <c r="X3480" s="6"/>
      <c r="Y3480" s="6"/>
      <c r="Z3480" s="6"/>
    </row>
    <row r="3481" customFormat="false" ht="15" hidden="false" customHeight="false" outlineLevel="0" collapsed="false">
      <c r="A3481" s="9" t="s">
        <v>9324</v>
      </c>
      <c r="B3481" s="9" t="s">
        <v>5870</v>
      </c>
      <c r="C3481" s="9" t="s">
        <v>3740</v>
      </c>
      <c r="D3481" s="9" t="s">
        <v>5871</v>
      </c>
      <c r="E3481" s="9" t="str">
        <f aca="false">IF(AND('Formation Ledger'!A3460&lt;&gt;"",'Formation Ledger'!V3460=0),"PASS","FAIL")</f>
        <v>PASS</v>
      </c>
      <c r="F3481" s="9" t="s">
        <v>76</v>
      </c>
      <c r="G3481" s="6"/>
      <c r="H3481" s="6"/>
      <c r="I3481" s="6"/>
      <c r="J3481" s="6"/>
      <c r="K3481" s="6"/>
      <c r="L3481" s="6"/>
      <c r="M3481" s="6"/>
      <c r="N3481" s="6"/>
      <c r="O3481" s="6"/>
      <c r="P3481" s="6"/>
      <c r="Q3481" s="6"/>
      <c r="R3481" s="6"/>
      <c r="S3481" s="6"/>
      <c r="T3481" s="6"/>
      <c r="U3481" s="6"/>
      <c r="V3481" s="6"/>
      <c r="W3481" s="6"/>
      <c r="X3481" s="6"/>
      <c r="Y3481" s="6"/>
      <c r="Z3481" s="6"/>
    </row>
    <row r="3482" customFormat="false" ht="15" hidden="false" customHeight="false" outlineLevel="0" collapsed="false">
      <c r="A3482" s="9" t="s">
        <v>9325</v>
      </c>
      <c r="B3482" s="9" t="s">
        <v>5870</v>
      </c>
      <c r="C3482" s="9" t="s">
        <v>3741</v>
      </c>
      <c r="D3482" s="9" t="s">
        <v>5871</v>
      </c>
      <c r="E3482" s="9" t="str">
        <f aca="false">IF(AND('Formation Ledger'!A3461&lt;&gt;"",'Formation Ledger'!V3461=0),"PASS","FAIL")</f>
        <v>PASS</v>
      </c>
      <c r="F3482" s="9" t="s">
        <v>76</v>
      </c>
      <c r="G3482" s="6"/>
      <c r="H3482" s="6"/>
      <c r="I3482" s="6"/>
      <c r="J3482" s="6"/>
      <c r="K3482" s="6"/>
      <c r="L3482" s="6"/>
      <c r="M3482" s="6"/>
      <c r="N3482" s="6"/>
      <c r="O3482" s="6"/>
      <c r="P3482" s="6"/>
      <c r="Q3482" s="6"/>
      <c r="R3482" s="6"/>
      <c r="S3482" s="6"/>
      <c r="T3482" s="6"/>
      <c r="U3482" s="6"/>
      <c r="V3482" s="6"/>
      <c r="W3482" s="6"/>
      <c r="X3482" s="6"/>
      <c r="Y3482" s="6"/>
      <c r="Z3482" s="6"/>
    </row>
    <row r="3483" customFormat="false" ht="15" hidden="false" customHeight="false" outlineLevel="0" collapsed="false">
      <c r="A3483" s="9" t="s">
        <v>9326</v>
      </c>
      <c r="B3483" s="9" t="s">
        <v>5870</v>
      </c>
      <c r="C3483" s="9" t="s">
        <v>3742</v>
      </c>
      <c r="D3483" s="9" t="s">
        <v>5871</v>
      </c>
      <c r="E3483" s="9" t="str">
        <f aca="false">IF(AND('Formation Ledger'!A3462&lt;&gt;"",'Formation Ledger'!V3462=0),"PASS","FAIL")</f>
        <v>PASS</v>
      </c>
      <c r="F3483" s="9" t="s">
        <v>76</v>
      </c>
      <c r="G3483" s="6"/>
      <c r="H3483" s="6"/>
      <c r="I3483" s="6"/>
      <c r="J3483" s="6"/>
      <c r="K3483" s="6"/>
      <c r="L3483" s="6"/>
      <c r="M3483" s="6"/>
      <c r="N3483" s="6"/>
      <c r="O3483" s="6"/>
      <c r="P3483" s="6"/>
      <c r="Q3483" s="6"/>
      <c r="R3483" s="6"/>
      <c r="S3483" s="6"/>
      <c r="T3483" s="6"/>
      <c r="U3483" s="6"/>
      <c r="V3483" s="6"/>
      <c r="W3483" s="6"/>
      <c r="X3483" s="6"/>
      <c r="Y3483" s="6"/>
      <c r="Z3483" s="6"/>
    </row>
    <row r="3484" customFormat="false" ht="15" hidden="false" customHeight="false" outlineLevel="0" collapsed="false">
      <c r="A3484" s="9" t="s">
        <v>9327</v>
      </c>
      <c r="B3484" s="9" t="s">
        <v>5870</v>
      </c>
      <c r="C3484" s="9" t="s">
        <v>3743</v>
      </c>
      <c r="D3484" s="9" t="s">
        <v>5871</v>
      </c>
      <c r="E3484" s="9" t="str">
        <f aca="false">IF(AND('Formation Ledger'!A3463&lt;&gt;"",'Formation Ledger'!V3463=0),"PASS","FAIL")</f>
        <v>PASS</v>
      </c>
      <c r="F3484" s="9" t="s">
        <v>76</v>
      </c>
      <c r="G3484" s="6"/>
      <c r="H3484" s="6"/>
      <c r="I3484" s="6"/>
      <c r="J3484" s="6"/>
      <c r="K3484" s="6"/>
      <c r="L3484" s="6"/>
      <c r="M3484" s="6"/>
      <c r="N3484" s="6"/>
      <c r="O3484" s="6"/>
      <c r="P3484" s="6"/>
      <c r="Q3484" s="6"/>
      <c r="R3484" s="6"/>
      <c r="S3484" s="6"/>
      <c r="T3484" s="6"/>
      <c r="U3484" s="6"/>
      <c r="V3484" s="6"/>
      <c r="W3484" s="6"/>
      <c r="X3484" s="6"/>
      <c r="Y3484" s="6"/>
      <c r="Z3484" s="6"/>
    </row>
    <row r="3485" customFormat="false" ht="15" hidden="false" customHeight="false" outlineLevel="0" collapsed="false">
      <c r="A3485" s="9" t="s">
        <v>9328</v>
      </c>
      <c r="B3485" s="9" t="s">
        <v>5870</v>
      </c>
      <c r="C3485" s="9" t="s">
        <v>3744</v>
      </c>
      <c r="D3485" s="9" t="s">
        <v>5871</v>
      </c>
      <c r="E3485" s="9" t="str">
        <f aca="false">IF(AND('Formation Ledger'!A3464&lt;&gt;"",'Formation Ledger'!V3464=0),"PASS","FAIL")</f>
        <v>PASS</v>
      </c>
      <c r="F3485" s="9" t="s">
        <v>76</v>
      </c>
      <c r="G3485" s="6"/>
      <c r="H3485" s="6"/>
      <c r="I3485" s="6"/>
      <c r="J3485" s="6"/>
      <c r="K3485" s="6"/>
      <c r="L3485" s="6"/>
      <c r="M3485" s="6"/>
      <c r="N3485" s="6"/>
      <c r="O3485" s="6"/>
      <c r="P3485" s="6"/>
      <c r="Q3485" s="6"/>
      <c r="R3485" s="6"/>
      <c r="S3485" s="6"/>
      <c r="T3485" s="6"/>
      <c r="U3485" s="6"/>
      <c r="V3485" s="6"/>
      <c r="W3485" s="6"/>
      <c r="X3485" s="6"/>
      <c r="Y3485" s="6"/>
      <c r="Z3485" s="6"/>
    </row>
    <row r="3486" customFormat="false" ht="15" hidden="false" customHeight="false" outlineLevel="0" collapsed="false">
      <c r="A3486" s="9" t="s">
        <v>9329</v>
      </c>
      <c r="B3486" s="9" t="s">
        <v>5870</v>
      </c>
      <c r="C3486" s="9" t="s">
        <v>3745</v>
      </c>
      <c r="D3486" s="9" t="s">
        <v>5871</v>
      </c>
      <c r="E3486" s="9" t="str">
        <f aca="false">IF(AND('Formation Ledger'!A3465&lt;&gt;"",'Formation Ledger'!V3465=0),"PASS","FAIL")</f>
        <v>PASS</v>
      </c>
      <c r="F3486" s="9" t="s">
        <v>76</v>
      </c>
      <c r="G3486" s="6"/>
      <c r="H3486" s="6"/>
      <c r="I3486" s="6"/>
      <c r="J3486" s="6"/>
      <c r="K3486" s="6"/>
      <c r="L3486" s="6"/>
      <c r="M3486" s="6"/>
      <c r="N3486" s="6"/>
      <c r="O3486" s="6"/>
      <c r="P3486" s="6"/>
      <c r="Q3486" s="6"/>
      <c r="R3486" s="6"/>
      <c r="S3486" s="6"/>
      <c r="T3486" s="6"/>
      <c r="U3486" s="6"/>
      <c r="V3486" s="6"/>
      <c r="W3486" s="6"/>
      <c r="X3486" s="6"/>
      <c r="Y3486" s="6"/>
      <c r="Z3486" s="6"/>
    </row>
    <row r="3487" customFormat="false" ht="15" hidden="false" customHeight="false" outlineLevel="0" collapsed="false">
      <c r="A3487" s="9" t="s">
        <v>9330</v>
      </c>
      <c r="B3487" s="9" t="s">
        <v>5870</v>
      </c>
      <c r="C3487" s="9" t="s">
        <v>3746</v>
      </c>
      <c r="D3487" s="9" t="s">
        <v>5871</v>
      </c>
      <c r="E3487" s="9" t="str">
        <f aca="false">IF(AND('Formation Ledger'!A3466&lt;&gt;"",'Formation Ledger'!V3466=0),"PASS","FAIL")</f>
        <v>PASS</v>
      </c>
      <c r="F3487" s="9" t="s">
        <v>76</v>
      </c>
      <c r="G3487" s="6"/>
      <c r="H3487" s="6"/>
      <c r="I3487" s="6"/>
      <c r="J3487" s="6"/>
      <c r="K3487" s="6"/>
      <c r="L3487" s="6"/>
      <c r="M3487" s="6"/>
      <c r="N3487" s="6"/>
      <c r="O3487" s="6"/>
      <c r="P3487" s="6"/>
      <c r="Q3487" s="6"/>
      <c r="R3487" s="6"/>
      <c r="S3487" s="6"/>
      <c r="T3487" s="6"/>
      <c r="U3487" s="6"/>
      <c r="V3487" s="6"/>
      <c r="W3487" s="6"/>
      <c r="X3487" s="6"/>
      <c r="Y3487" s="6"/>
      <c r="Z3487" s="6"/>
    </row>
    <row r="3488" customFormat="false" ht="15" hidden="false" customHeight="false" outlineLevel="0" collapsed="false">
      <c r="A3488" s="9" t="s">
        <v>9331</v>
      </c>
      <c r="B3488" s="9" t="s">
        <v>5870</v>
      </c>
      <c r="C3488" s="9" t="s">
        <v>3747</v>
      </c>
      <c r="D3488" s="9" t="s">
        <v>5871</v>
      </c>
      <c r="E3488" s="9" t="str">
        <f aca="false">IF(AND('Formation Ledger'!A3467&lt;&gt;"",'Formation Ledger'!V3467=0),"PASS","FAIL")</f>
        <v>PASS</v>
      </c>
      <c r="F3488" s="9" t="s">
        <v>76</v>
      </c>
      <c r="G3488" s="6"/>
      <c r="H3488" s="6"/>
      <c r="I3488" s="6"/>
      <c r="J3488" s="6"/>
      <c r="K3488" s="6"/>
      <c r="L3488" s="6"/>
      <c r="M3488" s="6"/>
      <c r="N3488" s="6"/>
      <c r="O3488" s="6"/>
      <c r="P3488" s="6"/>
      <c r="Q3488" s="6"/>
      <c r="R3488" s="6"/>
      <c r="S3488" s="6"/>
      <c r="T3488" s="6"/>
      <c r="U3488" s="6"/>
      <c r="V3488" s="6"/>
      <c r="W3488" s="6"/>
      <c r="X3488" s="6"/>
      <c r="Y3488" s="6"/>
      <c r="Z3488" s="6"/>
    </row>
    <row r="3489" customFormat="false" ht="15" hidden="false" customHeight="false" outlineLevel="0" collapsed="false">
      <c r="A3489" s="9" t="s">
        <v>9332</v>
      </c>
      <c r="B3489" s="9" t="s">
        <v>5870</v>
      </c>
      <c r="C3489" s="9" t="s">
        <v>3748</v>
      </c>
      <c r="D3489" s="9" t="s">
        <v>5871</v>
      </c>
      <c r="E3489" s="9" t="str">
        <f aca="false">IF(AND('Formation Ledger'!A3468&lt;&gt;"",'Formation Ledger'!V3468=0),"PASS","FAIL")</f>
        <v>PASS</v>
      </c>
      <c r="F3489" s="9" t="s">
        <v>76</v>
      </c>
      <c r="G3489" s="6"/>
      <c r="H3489" s="6"/>
      <c r="I3489" s="6"/>
      <c r="J3489" s="6"/>
      <c r="K3489" s="6"/>
      <c r="L3489" s="6"/>
      <c r="M3489" s="6"/>
      <c r="N3489" s="6"/>
      <c r="O3489" s="6"/>
      <c r="P3489" s="6"/>
      <c r="Q3489" s="6"/>
      <c r="R3489" s="6"/>
      <c r="S3489" s="6"/>
      <c r="T3489" s="6"/>
      <c r="U3489" s="6"/>
      <c r="V3489" s="6"/>
      <c r="W3489" s="6"/>
      <c r="X3489" s="6"/>
      <c r="Y3489" s="6"/>
      <c r="Z3489" s="6"/>
    </row>
    <row r="3490" customFormat="false" ht="15" hidden="false" customHeight="false" outlineLevel="0" collapsed="false">
      <c r="A3490" s="9" t="s">
        <v>9333</v>
      </c>
      <c r="B3490" s="9" t="s">
        <v>5870</v>
      </c>
      <c r="C3490" s="9" t="s">
        <v>3749</v>
      </c>
      <c r="D3490" s="9" t="s">
        <v>5871</v>
      </c>
      <c r="E3490" s="9" t="str">
        <f aca="false">IF(AND('Formation Ledger'!A3469&lt;&gt;"",'Formation Ledger'!V3469=0),"PASS","FAIL")</f>
        <v>PASS</v>
      </c>
      <c r="F3490" s="9" t="s">
        <v>76</v>
      </c>
      <c r="G3490" s="6"/>
      <c r="H3490" s="6"/>
      <c r="I3490" s="6"/>
      <c r="J3490" s="6"/>
      <c r="K3490" s="6"/>
      <c r="L3490" s="6"/>
      <c r="M3490" s="6"/>
      <c r="N3490" s="6"/>
      <c r="O3490" s="6"/>
      <c r="P3490" s="6"/>
      <c r="Q3490" s="6"/>
      <c r="R3490" s="6"/>
      <c r="S3490" s="6"/>
      <c r="T3490" s="6"/>
      <c r="U3490" s="6"/>
      <c r="V3490" s="6"/>
      <c r="W3490" s="6"/>
      <c r="X3490" s="6"/>
      <c r="Y3490" s="6"/>
      <c r="Z3490" s="6"/>
    </row>
    <row r="3491" customFormat="false" ht="15" hidden="false" customHeight="false" outlineLevel="0" collapsed="false">
      <c r="A3491" s="9" t="s">
        <v>9334</v>
      </c>
      <c r="B3491" s="9" t="s">
        <v>5870</v>
      </c>
      <c r="C3491" s="9" t="s">
        <v>3750</v>
      </c>
      <c r="D3491" s="9" t="s">
        <v>5871</v>
      </c>
      <c r="E3491" s="9" t="str">
        <f aca="false">IF(AND('Formation Ledger'!A3470&lt;&gt;"",'Formation Ledger'!V3470=0),"PASS","FAIL")</f>
        <v>PASS</v>
      </c>
      <c r="F3491" s="9" t="s">
        <v>76</v>
      </c>
      <c r="G3491" s="6"/>
      <c r="H3491" s="6"/>
      <c r="I3491" s="6"/>
      <c r="J3491" s="6"/>
      <c r="K3491" s="6"/>
      <c r="L3491" s="6"/>
      <c r="M3491" s="6"/>
      <c r="N3491" s="6"/>
      <c r="O3491" s="6"/>
      <c r="P3491" s="6"/>
      <c r="Q3491" s="6"/>
      <c r="R3491" s="6"/>
      <c r="S3491" s="6"/>
      <c r="T3491" s="6"/>
      <c r="U3491" s="6"/>
      <c r="V3491" s="6"/>
      <c r="W3491" s="6"/>
      <c r="X3491" s="6"/>
      <c r="Y3491" s="6"/>
      <c r="Z3491" s="6"/>
    </row>
    <row r="3492" customFormat="false" ht="15" hidden="false" customHeight="false" outlineLevel="0" collapsed="false">
      <c r="A3492" s="9" t="s">
        <v>9335</v>
      </c>
      <c r="B3492" s="9" t="s">
        <v>5870</v>
      </c>
      <c r="C3492" s="9" t="s">
        <v>3751</v>
      </c>
      <c r="D3492" s="9" t="s">
        <v>5871</v>
      </c>
      <c r="E3492" s="9" t="str">
        <f aca="false">IF(AND('Formation Ledger'!A3471&lt;&gt;"",'Formation Ledger'!V3471=0),"PASS","FAIL")</f>
        <v>PASS</v>
      </c>
      <c r="F3492" s="9" t="s">
        <v>76</v>
      </c>
      <c r="G3492" s="6"/>
      <c r="H3492" s="6"/>
      <c r="I3492" s="6"/>
      <c r="J3492" s="6"/>
      <c r="K3492" s="6"/>
      <c r="L3492" s="6"/>
      <c r="M3492" s="6"/>
      <c r="N3492" s="6"/>
      <c r="O3492" s="6"/>
      <c r="P3492" s="6"/>
      <c r="Q3492" s="6"/>
      <c r="R3492" s="6"/>
      <c r="S3492" s="6"/>
      <c r="T3492" s="6"/>
      <c r="U3492" s="6"/>
      <c r="V3492" s="6"/>
      <c r="W3492" s="6"/>
      <c r="X3492" s="6"/>
      <c r="Y3492" s="6"/>
      <c r="Z3492" s="6"/>
    </row>
    <row r="3493" customFormat="false" ht="15" hidden="false" customHeight="false" outlineLevel="0" collapsed="false">
      <c r="A3493" s="9" t="s">
        <v>9336</v>
      </c>
      <c r="B3493" s="9" t="s">
        <v>5870</v>
      </c>
      <c r="C3493" s="9" t="s">
        <v>3752</v>
      </c>
      <c r="D3493" s="9" t="s">
        <v>5871</v>
      </c>
      <c r="E3493" s="9" t="str">
        <f aca="false">IF(AND('Formation Ledger'!A3472&lt;&gt;"",'Formation Ledger'!V3472=0),"PASS","FAIL")</f>
        <v>PASS</v>
      </c>
      <c r="F3493" s="9" t="s">
        <v>76</v>
      </c>
      <c r="G3493" s="6"/>
      <c r="H3493" s="6"/>
      <c r="I3493" s="6"/>
      <c r="J3493" s="6"/>
      <c r="K3493" s="6"/>
      <c r="L3493" s="6"/>
      <c r="M3493" s="6"/>
      <c r="N3493" s="6"/>
      <c r="O3493" s="6"/>
      <c r="P3493" s="6"/>
      <c r="Q3493" s="6"/>
      <c r="R3493" s="6"/>
      <c r="S3493" s="6"/>
      <c r="T3493" s="6"/>
      <c r="U3493" s="6"/>
      <c r="V3493" s="6"/>
      <c r="W3493" s="6"/>
      <c r="X3493" s="6"/>
      <c r="Y3493" s="6"/>
      <c r="Z3493" s="6"/>
    </row>
    <row r="3494" customFormat="false" ht="15" hidden="false" customHeight="false" outlineLevel="0" collapsed="false">
      <c r="A3494" s="9" t="s">
        <v>9337</v>
      </c>
      <c r="B3494" s="9" t="s">
        <v>5870</v>
      </c>
      <c r="C3494" s="9" t="s">
        <v>3753</v>
      </c>
      <c r="D3494" s="9" t="s">
        <v>5871</v>
      </c>
      <c r="E3494" s="9" t="str">
        <f aca="false">IF(AND('Formation Ledger'!A3473&lt;&gt;"",'Formation Ledger'!V3473=0),"PASS","FAIL")</f>
        <v>PASS</v>
      </c>
      <c r="F3494" s="9" t="s">
        <v>76</v>
      </c>
      <c r="G3494" s="6"/>
      <c r="H3494" s="6"/>
      <c r="I3494" s="6"/>
      <c r="J3494" s="6"/>
      <c r="K3494" s="6"/>
      <c r="L3494" s="6"/>
      <c r="M3494" s="6"/>
      <c r="N3494" s="6"/>
      <c r="O3494" s="6"/>
      <c r="P3494" s="6"/>
      <c r="Q3494" s="6"/>
      <c r="R3494" s="6"/>
      <c r="S3494" s="6"/>
      <c r="T3494" s="6"/>
      <c r="U3494" s="6"/>
      <c r="V3494" s="6"/>
      <c r="W3494" s="6"/>
      <c r="X3494" s="6"/>
      <c r="Y3494" s="6"/>
      <c r="Z3494" s="6"/>
    </row>
    <row r="3495" customFormat="false" ht="15" hidden="false" customHeight="false" outlineLevel="0" collapsed="false">
      <c r="A3495" s="9" t="s">
        <v>9338</v>
      </c>
      <c r="B3495" s="9" t="s">
        <v>5870</v>
      </c>
      <c r="C3495" s="9" t="s">
        <v>3754</v>
      </c>
      <c r="D3495" s="9" t="s">
        <v>5871</v>
      </c>
      <c r="E3495" s="9" t="str">
        <f aca="false">IF(AND('Formation Ledger'!A3474&lt;&gt;"",'Formation Ledger'!V3474=0),"PASS","FAIL")</f>
        <v>PASS</v>
      </c>
      <c r="F3495" s="9" t="s">
        <v>76</v>
      </c>
      <c r="G3495" s="6"/>
      <c r="H3495" s="6"/>
      <c r="I3495" s="6"/>
      <c r="J3495" s="6"/>
      <c r="K3495" s="6"/>
      <c r="L3495" s="6"/>
      <c r="M3495" s="6"/>
      <c r="N3495" s="6"/>
      <c r="O3495" s="6"/>
      <c r="P3495" s="6"/>
      <c r="Q3495" s="6"/>
      <c r="R3495" s="6"/>
      <c r="S3495" s="6"/>
      <c r="T3495" s="6"/>
      <c r="U3495" s="6"/>
      <c r="V3495" s="6"/>
      <c r="W3495" s="6"/>
      <c r="X3495" s="6"/>
      <c r="Y3495" s="6"/>
      <c r="Z3495" s="6"/>
    </row>
    <row r="3496" customFormat="false" ht="15" hidden="false" customHeight="false" outlineLevel="0" collapsed="false">
      <c r="A3496" s="9" t="s">
        <v>9339</v>
      </c>
      <c r="B3496" s="9" t="s">
        <v>5870</v>
      </c>
      <c r="C3496" s="9" t="s">
        <v>3755</v>
      </c>
      <c r="D3496" s="9" t="s">
        <v>5871</v>
      </c>
      <c r="E3496" s="9" t="str">
        <f aca="false">IF(AND('Formation Ledger'!A3475&lt;&gt;"",'Formation Ledger'!V3475=0),"PASS","FAIL")</f>
        <v>PASS</v>
      </c>
      <c r="F3496" s="9" t="s">
        <v>76</v>
      </c>
      <c r="G3496" s="6"/>
      <c r="H3496" s="6"/>
      <c r="I3496" s="6"/>
      <c r="J3496" s="6"/>
      <c r="K3496" s="6"/>
      <c r="L3496" s="6"/>
      <c r="M3496" s="6"/>
      <c r="N3496" s="6"/>
      <c r="O3496" s="6"/>
      <c r="P3496" s="6"/>
      <c r="Q3496" s="6"/>
      <c r="R3496" s="6"/>
      <c r="S3496" s="6"/>
      <c r="T3496" s="6"/>
      <c r="U3496" s="6"/>
      <c r="V3496" s="6"/>
      <c r="W3496" s="6"/>
      <c r="X3496" s="6"/>
      <c r="Y3496" s="6"/>
      <c r="Z3496" s="6"/>
    </row>
    <row r="3497" customFormat="false" ht="15" hidden="false" customHeight="false" outlineLevel="0" collapsed="false">
      <c r="A3497" s="9" t="s">
        <v>9340</v>
      </c>
      <c r="B3497" s="9" t="s">
        <v>5870</v>
      </c>
      <c r="C3497" s="9" t="s">
        <v>3756</v>
      </c>
      <c r="D3497" s="9" t="s">
        <v>5871</v>
      </c>
      <c r="E3497" s="9" t="str">
        <f aca="false">IF(AND('Formation Ledger'!A3476&lt;&gt;"",'Formation Ledger'!V3476=0),"PASS","FAIL")</f>
        <v>PASS</v>
      </c>
      <c r="F3497" s="9" t="s">
        <v>76</v>
      </c>
      <c r="G3497" s="6"/>
      <c r="H3497" s="6"/>
      <c r="I3497" s="6"/>
      <c r="J3497" s="6"/>
      <c r="K3497" s="6"/>
      <c r="L3497" s="6"/>
      <c r="M3497" s="6"/>
      <c r="N3497" s="6"/>
      <c r="O3497" s="6"/>
      <c r="P3497" s="6"/>
      <c r="Q3497" s="6"/>
      <c r="R3497" s="6"/>
      <c r="S3497" s="6"/>
      <c r="T3497" s="6"/>
      <c r="U3497" s="6"/>
      <c r="V3497" s="6"/>
      <c r="W3497" s="6"/>
      <c r="X3497" s="6"/>
      <c r="Y3497" s="6"/>
      <c r="Z3497" s="6"/>
    </row>
    <row r="3498" customFormat="false" ht="15" hidden="false" customHeight="false" outlineLevel="0" collapsed="false">
      <c r="A3498" s="9" t="s">
        <v>9341</v>
      </c>
      <c r="B3498" s="9" t="s">
        <v>5870</v>
      </c>
      <c r="C3498" s="9" t="s">
        <v>3757</v>
      </c>
      <c r="D3498" s="9" t="s">
        <v>5871</v>
      </c>
      <c r="E3498" s="9" t="str">
        <f aca="false">IF(AND('Formation Ledger'!A3477&lt;&gt;"",'Formation Ledger'!V3477=0),"PASS","FAIL")</f>
        <v>PASS</v>
      </c>
      <c r="F3498" s="9" t="s">
        <v>76</v>
      </c>
      <c r="G3498" s="6"/>
      <c r="H3498" s="6"/>
      <c r="I3498" s="6"/>
      <c r="J3498" s="6"/>
      <c r="K3498" s="6"/>
      <c r="L3498" s="6"/>
      <c r="M3498" s="6"/>
      <c r="N3498" s="6"/>
      <c r="O3498" s="6"/>
      <c r="P3498" s="6"/>
      <c r="Q3498" s="6"/>
      <c r="R3498" s="6"/>
      <c r="S3498" s="6"/>
      <c r="T3498" s="6"/>
      <c r="U3498" s="6"/>
      <c r="V3498" s="6"/>
      <c r="W3498" s="6"/>
      <c r="X3498" s="6"/>
      <c r="Y3498" s="6"/>
      <c r="Z3498" s="6"/>
    </row>
    <row r="3499" customFormat="false" ht="15" hidden="false" customHeight="false" outlineLevel="0" collapsed="false">
      <c r="A3499" s="9" t="s">
        <v>9342</v>
      </c>
      <c r="B3499" s="9" t="s">
        <v>5870</v>
      </c>
      <c r="C3499" s="9" t="s">
        <v>3758</v>
      </c>
      <c r="D3499" s="9" t="s">
        <v>5871</v>
      </c>
      <c r="E3499" s="9" t="str">
        <f aca="false">IF(AND('Formation Ledger'!A3478&lt;&gt;"",'Formation Ledger'!V3478=0),"PASS","FAIL")</f>
        <v>PASS</v>
      </c>
      <c r="F3499" s="9" t="s">
        <v>76</v>
      </c>
      <c r="G3499" s="6"/>
      <c r="H3499" s="6"/>
      <c r="I3499" s="6"/>
      <c r="J3499" s="6"/>
      <c r="K3499" s="6"/>
      <c r="L3499" s="6"/>
      <c r="M3499" s="6"/>
      <c r="N3499" s="6"/>
      <c r="O3499" s="6"/>
      <c r="P3499" s="6"/>
      <c r="Q3499" s="6"/>
      <c r="R3499" s="6"/>
      <c r="S3499" s="6"/>
      <c r="T3499" s="6"/>
      <c r="U3499" s="6"/>
      <c r="V3499" s="6"/>
      <c r="W3499" s="6"/>
      <c r="X3499" s="6"/>
      <c r="Y3499" s="6"/>
      <c r="Z3499" s="6"/>
    </row>
    <row r="3500" customFormat="false" ht="15" hidden="false" customHeight="false" outlineLevel="0" collapsed="false">
      <c r="A3500" s="9" t="s">
        <v>9343</v>
      </c>
      <c r="B3500" s="9" t="s">
        <v>5870</v>
      </c>
      <c r="C3500" s="9" t="s">
        <v>3759</v>
      </c>
      <c r="D3500" s="9" t="s">
        <v>5871</v>
      </c>
      <c r="E3500" s="9" t="str">
        <f aca="false">IF(AND('Formation Ledger'!A3479&lt;&gt;"",'Formation Ledger'!V3479=0),"PASS","FAIL")</f>
        <v>PASS</v>
      </c>
      <c r="F3500" s="9" t="s">
        <v>76</v>
      </c>
      <c r="G3500" s="6"/>
      <c r="H3500" s="6"/>
      <c r="I3500" s="6"/>
      <c r="J3500" s="6"/>
      <c r="K3500" s="6"/>
      <c r="L3500" s="6"/>
      <c r="M3500" s="6"/>
      <c r="N3500" s="6"/>
      <c r="O3500" s="6"/>
      <c r="P3500" s="6"/>
      <c r="Q3500" s="6"/>
      <c r="R3500" s="6"/>
      <c r="S3500" s="6"/>
      <c r="T3500" s="6"/>
      <c r="U3500" s="6"/>
      <c r="V3500" s="6"/>
      <c r="W3500" s="6"/>
      <c r="X3500" s="6"/>
      <c r="Y3500" s="6"/>
      <c r="Z3500" s="6"/>
    </row>
    <row r="3501" customFormat="false" ht="15" hidden="false" customHeight="false" outlineLevel="0" collapsed="false">
      <c r="A3501" s="9" t="s">
        <v>9344</v>
      </c>
      <c r="B3501" s="9" t="s">
        <v>5870</v>
      </c>
      <c r="C3501" s="9" t="s">
        <v>3760</v>
      </c>
      <c r="D3501" s="9" t="s">
        <v>5871</v>
      </c>
      <c r="E3501" s="9" t="str">
        <f aca="false">IF(AND('Formation Ledger'!A3480&lt;&gt;"",'Formation Ledger'!V3480=0),"PASS","FAIL")</f>
        <v>PASS</v>
      </c>
      <c r="F3501" s="9" t="s">
        <v>76</v>
      </c>
      <c r="G3501" s="6"/>
      <c r="H3501" s="6"/>
      <c r="I3501" s="6"/>
      <c r="J3501" s="6"/>
      <c r="K3501" s="6"/>
      <c r="L3501" s="6"/>
      <c r="M3501" s="6"/>
      <c r="N3501" s="6"/>
      <c r="O3501" s="6"/>
      <c r="P3501" s="6"/>
      <c r="Q3501" s="6"/>
      <c r="R3501" s="6"/>
      <c r="S3501" s="6"/>
      <c r="T3501" s="6"/>
      <c r="U3501" s="6"/>
      <c r="V3501" s="6"/>
      <c r="W3501" s="6"/>
      <c r="X3501" s="6"/>
      <c r="Y3501" s="6"/>
      <c r="Z3501" s="6"/>
    </row>
    <row r="3502" customFormat="false" ht="15" hidden="false" customHeight="false" outlineLevel="0" collapsed="false">
      <c r="A3502" s="9" t="s">
        <v>9345</v>
      </c>
      <c r="B3502" s="9" t="s">
        <v>5870</v>
      </c>
      <c r="C3502" s="9" t="s">
        <v>3761</v>
      </c>
      <c r="D3502" s="9" t="s">
        <v>5871</v>
      </c>
      <c r="E3502" s="9" t="str">
        <f aca="false">IF(AND('Formation Ledger'!A3481&lt;&gt;"",'Formation Ledger'!V3481=0),"PASS","FAIL")</f>
        <v>PASS</v>
      </c>
      <c r="F3502" s="9" t="s">
        <v>76</v>
      </c>
      <c r="G3502" s="6"/>
      <c r="H3502" s="6"/>
      <c r="I3502" s="6"/>
      <c r="J3502" s="6"/>
      <c r="K3502" s="6"/>
      <c r="L3502" s="6"/>
      <c r="M3502" s="6"/>
      <c r="N3502" s="6"/>
      <c r="O3502" s="6"/>
      <c r="P3502" s="6"/>
      <c r="Q3502" s="6"/>
      <c r="R3502" s="6"/>
      <c r="S3502" s="6"/>
      <c r="T3502" s="6"/>
      <c r="U3502" s="6"/>
      <c r="V3502" s="6"/>
      <c r="W3502" s="6"/>
      <c r="X3502" s="6"/>
      <c r="Y3502" s="6"/>
      <c r="Z3502" s="6"/>
    </row>
    <row r="3503" customFormat="false" ht="15" hidden="false" customHeight="false" outlineLevel="0" collapsed="false">
      <c r="A3503" s="9" t="s">
        <v>9346</v>
      </c>
      <c r="B3503" s="9" t="s">
        <v>5870</v>
      </c>
      <c r="C3503" s="9" t="s">
        <v>3762</v>
      </c>
      <c r="D3503" s="9" t="s">
        <v>5871</v>
      </c>
      <c r="E3503" s="9" t="str">
        <f aca="false">IF(AND('Formation Ledger'!A3482&lt;&gt;"",'Formation Ledger'!V3482=0),"PASS","FAIL")</f>
        <v>PASS</v>
      </c>
      <c r="F3503" s="9" t="s">
        <v>76</v>
      </c>
      <c r="G3503" s="6"/>
      <c r="H3503" s="6"/>
      <c r="I3503" s="6"/>
      <c r="J3503" s="6"/>
      <c r="K3503" s="6"/>
      <c r="L3503" s="6"/>
      <c r="M3503" s="6"/>
      <c r="N3503" s="6"/>
      <c r="O3503" s="6"/>
      <c r="P3503" s="6"/>
      <c r="Q3503" s="6"/>
      <c r="R3503" s="6"/>
      <c r="S3503" s="6"/>
      <c r="T3503" s="6"/>
      <c r="U3503" s="6"/>
      <c r="V3503" s="6"/>
      <c r="W3503" s="6"/>
      <c r="X3503" s="6"/>
      <c r="Y3503" s="6"/>
      <c r="Z3503" s="6"/>
    </row>
    <row r="3504" customFormat="false" ht="15" hidden="false" customHeight="false" outlineLevel="0" collapsed="false">
      <c r="A3504" s="9" t="s">
        <v>9347</v>
      </c>
      <c r="B3504" s="9" t="s">
        <v>5870</v>
      </c>
      <c r="C3504" s="9" t="s">
        <v>3763</v>
      </c>
      <c r="D3504" s="9" t="s">
        <v>5871</v>
      </c>
      <c r="E3504" s="9" t="str">
        <f aca="false">IF(AND('Formation Ledger'!A3483&lt;&gt;"",'Formation Ledger'!V3483=0),"PASS","FAIL")</f>
        <v>PASS</v>
      </c>
      <c r="F3504" s="9" t="s">
        <v>76</v>
      </c>
      <c r="G3504" s="6"/>
      <c r="H3504" s="6"/>
      <c r="I3504" s="6"/>
      <c r="J3504" s="6"/>
      <c r="K3504" s="6"/>
      <c r="L3504" s="6"/>
      <c r="M3504" s="6"/>
      <c r="N3504" s="6"/>
      <c r="O3504" s="6"/>
      <c r="P3504" s="6"/>
      <c r="Q3504" s="6"/>
      <c r="R3504" s="6"/>
      <c r="S3504" s="6"/>
      <c r="T3504" s="6"/>
      <c r="U3504" s="6"/>
      <c r="V3504" s="6"/>
      <c r="W3504" s="6"/>
      <c r="X3504" s="6"/>
      <c r="Y3504" s="6"/>
      <c r="Z3504" s="6"/>
    </row>
    <row r="3505" customFormat="false" ht="15" hidden="false" customHeight="false" outlineLevel="0" collapsed="false">
      <c r="A3505" s="9" t="s">
        <v>9348</v>
      </c>
      <c r="B3505" s="9" t="s">
        <v>5870</v>
      </c>
      <c r="C3505" s="9" t="s">
        <v>3764</v>
      </c>
      <c r="D3505" s="9" t="s">
        <v>5871</v>
      </c>
      <c r="E3505" s="9" t="str">
        <f aca="false">IF(AND('Formation Ledger'!A3484&lt;&gt;"",'Formation Ledger'!V3484=0),"PASS","FAIL")</f>
        <v>PASS</v>
      </c>
      <c r="F3505" s="9" t="s">
        <v>76</v>
      </c>
      <c r="G3505" s="6"/>
      <c r="H3505" s="6"/>
      <c r="I3505" s="6"/>
      <c r="J3505" s="6"/>
      <c r="K3505" s="6"/>
      <c r="L3505" s="6"/>
      <c r="M3505" s="6"/>
      <c r="N3505" s="6"/>
      <c r="O3505" s="6"/>
      <c r="P3505" s="6"/>
      <c r="Q3505" s="6"/>
      <c r="R3505" s="6"/>
      <c r="S3505" s="6"/>
      <c r="T3505" s="6"/>
      <c r="U3505" s="6"/>
      <c r="V3505" s="6"/>
      <c r="W3505" s="6"/>
      <c r="X3505" s="6"/>
      <c r="Y3505" s="6"/>
      <c r="Z3505" s="6"/>
    </row>
    <row r="3506" customFormat="false" ht="15" hidden="false" customHeight="false" outlineLevel="0" collapsed="false">
      <c r="A3506" s="9" t="s">
        <v>9349</v>
      </c>
      <c r="B3506" s="9" t="s">
        <v>5870</v>
      </c>
      <c r="C3506" s="9" t="s">
        <v>3765</v>
      </c>
      <c r="D3506" s="9" t="s">
        <v>5871</v>
      </c>
      <c r="E3506" s="9" t="str">
        <f aca="false">IF(AND('Formation Ledger'!A3485&lt;&gt;"",'Formation Ledger'!V3485=0),"PASS","FAIL")</f>
        <v>PASS</v>
      </c>
      <c r="F3506" s="9" t="s">
        <v>76</v>
      </c>
      <c r="G3506" s="6"/>
      <c r="H3506" s="6"/>
      <c r="I3506" s="6"/>
      <c r="J3506" s="6"/>
      <c r="K3506" s="6"/>
      <c r="L3506" s="6"/>
      <c r="M3506" s="6"/>
      <c r="N3506" s="6"/>
      <c r="O3506" s="6"/>
      <c r="P3506" s="6"/>
      <c r="Q3506" s="6"/>
      <c r="R3506" s="6"/>
      <c r="S3506" s="6"/>
      <c r="T3506" s="6"/>
      <c r="U3506" s="6"/>
      <c r="V3506" s="6"/>
      <c r="W3506" s="6"/>
      <c r="X3506" s="6"/>
      <c r="Y3506" s="6"/>
      <c r="Z3506" s="6"/>
    </row>
    <row r="3507" customFormat="false" ht="15" hidden="false" customHeight="false" outlineLevel="0" collapsed="false">
      <c r="A3507" s="9" t="s">
        <v>9350</v>
      </c>
      <c r="B3507" s="9" t="s">
        <v>5870</v>
      </c>
      <c r="C3507" s="9" t="s">
        <v>3766</v>
      </c>
      <c r="D3507" s="9" t="s">
        <v>5871</v>
      </c>
      <c r="E3507" s="9" t="str">
        <f aca="false">IF(AND('Formation Ledger'!A3486&lt;&gt;"",'Formation Ledger'!V3486=0),"PASS","FAIL")</f>
        <v>PASS</v>
      </c>
      <c r="F3507" s="9" t="s">
        <v>76</v>
      </c>
      <c r="G3507" s="6"/>
      <c r="H3507" s="6"/>
      <c r="I3507" s="6"/>
      <c r="J3507" s="6"/>
      <c r="K3507" s="6"/>
      <c r="L3507" s="6"/>
      <c r="M3507" s="6"/>
      <c r="N3507" s="6"/>
      <c r="O3507" s="6"/>
      <c r="P3507" s="6"/>
      <c r="Q3507" s="6"/>
      <c r="R3507" s="6"/>
      <c r="S3507" s="6"/>
      <c r="T3507" s="6"/>
      <c r="U3507" s="6"/>
      <c r="V3507" s="6"/>
      <c r="W3507" s="6"/>
      <c r="X3507" s="6"/>
      <c r="Y3507" s="6"/>
      <c r="Z3507" s="6"/>
    </row>
    <row r="3508" customFormat="false" ht="15" hidden="false" customHeight="false" outlineLevel="0" collapsed="false">
      <c r="A3508" s="9" t="s">
        <v>9351</v>
      </c>
      <c r="B3508" s="9" t="s">
        <v>5870</v>
      </c>
      <c r="C3508" s="9" t="s">
        <v>3767</v>
      </c>
      <c r="D3508" s="9" t="s">
        <v>5871</v>
      </c>
      <c r="E3508" s="9" t="str">
        <f aca="false">IF(AND('Formation Ledger'!A3487&lt;&gt;"",'Formation Ledger'!V3487=0),"PASS","FAIL")</f>
        <v>PASS</v>
      </c>
      <c r="F3508" s="9" t="s">
        <v>76</v>
      </c>
      <c r="G3508" s="6"/>
      <c r="H3508" s="6"/>
      <c r="I3508" s="6"/>
      <c r="J3508" s="6"/>
      <c r="K3508" s="6"/>
      <c r="L3508" s="6"/>
      <c r="M3508" s="6"/>
      <c r="N3508" s="6"/>
      <c r="O3508" s="6"/>
      <c r="P3508" s="6"/>
      <c r="Q3508" s="6"/>
      <c r="R3508" s="6"/>
      <c r="S3508" s="6"/>
      <c r="T3508" s="6"/>
      <c r="U3508" s="6"/>
      <c r="V3508" s="6"/>
      <c r="W3508" s="6"/>
      <c r="X3508" s="6"/>
      <c r="Y3508" s="6"/>
      <c r="Z3508" s="6"/>
    </row>
    <row r="3509" customFormat="false" ht="15" hidden="false" customHeight="false" outlineLevel="0" collapsed="false">
      <c r="A3509" s="9" t="s">
        <v>9352</v>
      </c>
      <c r="B3509" s="9" t="s">
        <v>5870</v>
      </c>
      <c r="C3509" s="9" t="s">
        <v>3768</v>
      </c>
      <c r="D3509" s="9" t="s">
        <v>5871</v>
      </c>
      <c r="E3509" s="9" t="str">
        <f aca="false">IF(AND('Formation Ledger'!A3488&lt;&gt;"",'Formation Ledger'!V3488=0),"PASS","FAIL")</f>
        <v>PASS</v>
      </c>
      <c r="F3509" s="9" t="s">
        <v>76</v>
      </c>
      <c r="G3509" s="6"/>
      <c r="H3509" s="6"/>
      <c r="I3509" s="6"/>
      <c r="J3509" s="6"/>
      <c r="K3509" s="6"/>
      <c r="L3509" s="6"/>
      <c r="M3509" s="6"/>
      <c r="N3509" s="6"/>
      <c r="O3509" s="6"/>
      <c r="P3509" s="6"/>
      <c r="Q3509" s="6"/>
      <c r="R3509" s="6"/>
      <c r="S3509" s="6"/>
      <c r="T3509" s="6"/>
      <c r="U3509" s="6"/>
      <c r="V3509" s="6"/>
      <c r="W3509" s="6"/>
      <c r="X3509" s="6"/>
      <c r="Y3509" s="6"/>
      <c r="Z3509" s="6"/>
    </row>
    <row r="3510" customFormat="false" ht="15" hidden="false" customHeight="false" outlineLevel="0" collapsed="false">
      <c r="A3510" s="9" t="s">
        <v>9353</v>
      </c>
      <c r="B3510" s="9" t="s">
        <v>5870</v>
      </c>
      <c r="C3510" s="9" t="s">
        <v>3769</v>
      </c>
      <c r="D3510" s="9" t="s">
        <v>5871</v>
      </c>
      <c r="E3510" s="9" t="str">
        <f aca="false">IF(AND('Formation Ledger'!A3489&lt;&gt;"",'Formation Ledger'!V3489=0),"PASS","FAIL")</f>
        <v>PASS</v>
      </c>
      <c r="F3510" s="9" t="s">
        <v>76</v>
      </c>
      <c r="G3510" s="6"/>
      <c r="H3510" s="6"/>
      <c r="I3510" s="6"/>
      <c r="J3510" s="6"/>
      <c r="K3510" s="6"/>
      <c r="L3510" s="6"/>
      <c r="M3510" s="6"/>
      <c r="N3510" s="6"/>
      <c r="O3510" s="6"/>
      <c r="P3510" s="6"/>
      <c r="Q3510" s="6"/>
      <c r="R3510" s="6"/>
      <c r="S3510" s="6"/>
      <c r="T3510" s="6"/>
      <c r="U3510" s="6"/>
      <c r="V3510" s="6"/>
      <c r="W3510" s="6"/>
      <c r="X3510" s="6"/>
      <c r="Y3510" s="6"/>
      <c r="Z3510" s="6"/>
    </row>
    <row r="3511" customFormat="false" ht="15" hidden="false" customHeight="false" outlineLevel="0" collapsed="false">
      <c r="A3511" s="9" t="s">
        <v>9354</v>
      </c>
      <c r="B3511" s="9" t="s">
        <v>5870</v>
      </c>
      <c r="C3511" s="9" t="s">
        <v>3770</v>
      </c>
      <c r="D3511" s="9" t="s">
        <v>5871</v>
      </c>
      <c r="E3511" s="9" t="str">
        <f aca="false">IF(AND('Formation Ledger'!A3490&lt;&gt;"",'Formation Ledger'!V3490=0),"PASS","FAIL")</f>
        <v>PASS</v>
      </c>
      <c r="F3511" s="9" t="s">
        <v>76</v>
      </c>
      <c r="G3511" s="6"/>
      <c r="H3511" s="6"/>
      <c r="I3511" s="6"/>
      <c r="J3511" s="6"/>
      <c r="K3511" s="6"/>
      <c r="L3511" s="6"/>
      <c r="M3511" s="6"/>
      <c r="N3511" s="6"/>
      <c r="O3511" s="6"/>
      <c r="P3511" s="6"/>
      <c r="Q3511" s="6"/>
      <c r="R3511" s="6"/>
      <c r="S3511" s="6"/>
      <c r="T3511" s="6"/>
      <c r="U3511" s="6"/>
      <c r="V3511" s="6"/>
      <c r="W3511" s="6"/>
      <c r="X3511" s="6"/>
      <c r="Y3511" s="6"/>
      <c r="Z3511" s="6"/>
    </row>
    <row r="3512" customFormat="false" ht="15" hidden="false" customHeight="false" outlineLevel="0" collapsed="false">
      <c r="A3512" s="9" t="s">
        <v>9355</v>
      </c>
      <c r="B3512" s="9" t="s">
        <v>5870</v>
      </c>
      <c r="C3512" s="9" t="s">
        <v>3771</v>
      </c>
      <c r="D3512" s="9" t="s">
        <v>5871</v>
      </c>
      <c r="E3512" s="9" t="str">
        <f aca="false">IF(AND('Formation Ledger'!A3491&lt;&gt;"",'Formation Ledger'!V3491=0),"PASS","FAIL")</f>
        <v>PASS</v>
      </c>
      <c r="F3512" s="9" t="s">
        <v>76</v>
      </c>
      <c r="G3512" s="6"/>
      <c r="H3512" s="6"/>
      <c r="I3512" s="6"/>
      <c r="J3512" s="6"/>
      <c r="K3512" s="6"/>
      <c r="L3512" s="6"/>
      <c r="M3512" s="6"/>
      <c r="N3512" s="6"/>
      <c r="O3512" s="6"/>
      <c r="P3512" s="6"/>
      <c r="Q3512" s="6"/>
      <c r="R3512" s="6"/>
      <c r="S3512" s="6"/>
      <c r="T3512" s="6"/>
      <c r="U3512" s="6"/>
      <c r="V3512" s="6"/>
      <c r="W3512" s="6"/>
      <c r="X3512" s="6"/>
      <c r="Y3512" s="6"/>
      <c r="Z3512" s="6"/>
    </row>
    <row r="3513" customFormat="false" ht="15" hidden="false" customHeight="false" outlineLevel="0" collapsed="false">
      <c r="A3513" s="9" t="s">
        <v>9356</v>
      </c>
      <c r="B3513" s="9" t="s">
        <v>5870</v>
      </c>
      <c r="C3513" s="9" t="s">
        <v>3772</v>
      </c>
      <c r="D3513" s="9" t="s">
        <v>5871</v>
      </c>
      <c r="E3513" s="9" t="str">
        <f aca="false">IF(AND('Formation Ledger'!A3492&lt;&gt;"",'Formation Ledger'!V3492=0),"PASS","FAIL")</f>
        <v>PASS</v>
      </c>
      <c r="F3513" s="9" t="s">
        <v>76</v>
      </c>
      <c r="G3513" s="6"/>
      <c r="H3513" s="6"/>
      <c r="I3513" s="6"/>
      <c r="J3513" s="6"/>
      <c r="K3513" s="6"/>
      <c r="L3513" s="6"/>
      <c r="M3513" s="6"/>
      <c r="N3513" s="6"/>
      <c r="O3513" s="6"/>
      <c r="P3513" s="6"/>
      <c r="Q3513" s="6"/>
      <c r="R3513" s="6"/>
      <c r="S3513" s="6"/>
      <c r="T3513" s="6"/>
      <c r="U3513" s="6"/>
      <c r="V3513" s="6"/>
      <c r="W3513" s="6"/>
      <c r="X3513" s="6"/>
      <c r="Y3513" s="6"/>
      <c r="Z3513" s="6"/>
    </row>
    <row r="3514" customFormat="false" ht="15" hidden="false" customHeight="false" outlineLevel="0" collapsed="false">
      <c r="A3514" s="9" t="s">
        <v>9357</v>
      </c>
      <c r="B3514" s="9" t="s">
        <v>5870</v>
      </c>
      <c r="C3514" s="9" t="s">
        <v>3773</v>
      </c>
      <c r="D3514" s="9" t="s">
        <v>5871</v>
      </c>
      <c r="E3514" s="9" t="str">
        <f aca="false">IF(AND('Formation Ledger'!A3493&lt;&gt;"",'Formation Ledger'!V3493=0),"PASS","FAIL")</f>
        <v>PASS</v>
      </c>
      <c r="F3514" s="9" t="s">
        <v>76</v>
      </c>
      <c r="G3514" s="6"/>
      <c r="H3514" s="6"/>
      <c r="I3514" s="6"/>
      <c r="J3514" s="6"/>
      <c r="K3514" s="6"/>
      <c r="L3514" s="6"/>
      <c r="M3514" s="6"/>
      <c r="N3514" s="6"/>
      <c r="O3514" s="6"/>
      <c r="P3514" s="6"/>
      <c r="Q3514" s="6"/>
      <c r="R3514" s="6"/>
      <c r="S3514" s="6"/>
      <c r="T3514" s="6"/>
      <c r="U3514" s="6"/>
      <c r="V3514" s="6"/>
      <c r="W3514" s="6"/>
      <c r="X3514" s="6"/>
      <c r="Y3514" s="6"/>
      <c r="Z3514" s="6"/>
    </row>
    <row r="3515" customFormat="false" ht="15" hidden="false" customHeight="false" outlineLevel="0" collapsed="false">
      <c r="A3515" s="9" t="s">
        <v>9358</v>
      </c>
      <c r="B3515" s="9" t="s">
        <v>5870</v>
      </c>
      <c r="C3515" s="9" t="s">
        <v>3774</v>
      </c>
      <c r="D3515" s="9" t="s">
        <v>5871</v>
      </c>
      <c r="E3515" s="9" t="str">
        <f aca="false">IF(AND('Formation Ledger'!A3494&lt;&gt;"",'Formation Ledger'!V3494=0),"PASS","FAIL")</f>
        <v>PASS</v>
      </c>
      <c r="F3515" s="9" t="s">
        <v>76</v>
      </c>
      <c r="G3515" s="6"/>
      <c r="H3515" s="6"/>
      <c r="I3515" s="6"/>
      <c r="J3515" s="6"/>
      <c r="K3515" s="6"/>
      <c r="L3515" s="6"/>
      <c r="M3515" s="6"/>
      <c r="N3515" s="6"/>
      <c r="O3515" s="6"/>
      <c r="P3515" s="6"/>
      <c r="Q3515" s="6"/>
      <c r="R3515" s="6"/>
      <c r="S3515" s="6"/>
      <c r="T3515" s="6"/>
      <c r="U3515" s="6"/>
      <c r="V3515" s="6"/>
      <c r="W3515" s="6"/>
      <c r="X3515" s="6"/>
      <c r="Y3515" s="6"/>
      <c r="Z3515" s="6"/>
    </row>
    <row r="3516" customFormat="false" ht="15" hidden="false" customHeight="false" outlineLevel="0" collapsed="false">
      <c r="A3516" s="9" t="s">
        <v>9359</v>
      </c>
      <c r="B3516" s="9" t="s">
        <v>5870</v>
      </c>
      <c r="C3516" s="9" t="s">
        <v>3775</v>
      </c>
      <c r="D3516" s="9" t="s">
        <v>5871</v>
      </c>
      <c r="E3516" s="9" t="str">
        <f aca="false">IF(AND('Formation Ledger'!A3495&lt;&gt;"",'Formation Ledger'!V3495=0),"PASS","FAIL")</f>
        <v>PASS</v>
      </c>
      <c r="F3516" s="9" t="s">
        <v>76</v>
      </c>
      <c r="G3516" s="6"/>
      <c r="H3516" s="6"/>
      <c r="I3516" s="6"/>
      <c r="J3516" s="6"/>
      <c r="K3516" s="6"/>
      <c r="L3516" s="6"/>
      <c r="M3516" s="6"/>
      <c r="N3516" s="6"/>
      <c r="O3516" s="6"/>
      <c r="P3516" s="6"/>
      <c r="Q3516" s="6"/>
      <c r="R3516" s="6"/>
      <c r="S3516" s="6"/>
      <c r="T3516" s="6"/>
      <c r="U3516" s="6"/>
      <c r="V3516" s="6"/>
      <c r="W3516" s="6"/>
      <c r="X3516" s="6"/>
      <c r="Y3516" s="6"/>
      <c r="Z3516" s="6"/>
    </row>
    <row r="3517" customFormat="false" ht="15" hidden="false" customHeight="false" outlineLevel="0" collapsed="false">
      <c r="A3517" s="9" t="s">
        <v>9360</v>
      </c>
      <c r="B3517" s="9" t="s">
        <v>5870</v>
      </c>
      <c r="C3517" s="9" t="s">
        <v>3776</v>
      </c>
      <c r="D3517" s="9" t="s">
        <v>5871</v>
      </c>
      <c r="E3517" s="9" t="str">
        <f aca="false">IF(AND('Formation Ledger'!A3496&lt;&gt;"",'Formation Ledger'!V3496=0),"PASS","FAIL")</f>
        <v>PASS</v>
      </c>
      <c r="F3517" s="9" t="s">
        <v>76</v>
      </c>
      <c r="G3517" s="6"/>
      <c r="H3517" s="6"/>
      <c r="I3517" s="6"/>
      <c r="J3517" s="6"/>
      <c r="K3517" s="6"/>
      <c r="L3517" s="6"/>
      <c r="M3517" s="6"/>
      <c r="N3517" s="6"/>
      <c r="O3517" s="6"/>
      <c r="P3517" s="6"/>
      <c r="Q3517" s="6"/>
      <c r="R3517" s="6"/>
      <c r="S3517" s="6"/>
      <c r="T3517" s="6"/>
      <c r="U3517" s="6"/>
      <c r="V3517" s="6"/>
      <c r="W3517" s="6"/>
      <c r="X3517" s="6"/>
      <c r="Y3517" s="6"/>
      <c r="Z3517" s="6"/>
    </row>
    <row r="3518" customFormat="false" ht="15" hidden="false" customHeight="false" outlineLevel="0" collapsed="false">
      <c r="A3518" s="9" t="s">
        <v>9361</v>
      </c>
      <c r="B3518" s="9" t="s">
        <v>5870</v>
      </c>
      <c r="C3518" s="9" t="s">
        <v>3777</v>
      </c>
      <c r="D3518" s="9" t="s">
        <v>5871</v>
      </c>
      <c r="E3518" s="9" t="str">
        <f aca="false">IF(AND('Formation Ledger'!A3497&lt;&gt;"",'Formation Ledger'!V3497=0),"PASS","FAIL")</f>
        <v>PASS</v>
      </c>
      <c r="F3518" s="9" t="s">
        <v>76</v>
      </c>
      <c r="G3518" s="6"/>
      <c r="H3518" s="6"/>
      <c r="I3518" s="6"/>
      <c r="J3518" s="6"/>
      <c r="K3518" s="6"/>
      <c r="L3518" s="6"/>
      <c r="M3518" s="6"/>
      <c r="N3518" s="6"/>
      <c r="O3518" s="6"/>
      <c r="P3518" s="6"/>
      <c r="Q3518" s="6"/>
      <c r="R3518" s="6"/>
      <c r="S3518" s="6"/>
      <c r="T3518" s="6"/>
      <c r="U3518" s="6"/>
      <c r="V3518" s="6"/>
      <c r="W3518" s="6"/>
      <c r="X3518" s="6"/>
      <c r="Y3518" s="6"/>
      <c r="Z3518" s="6"/>
    </row>
    <row r="3519" customFormat="false" ht="15" hidden="false" customHeight="false" outlineLevel="0" collapsed="false">
      <c r="A3519" s="9" t="s">
        <v>9362</v>
      </c>
      <c r="B3519" s="9" t="s">
        <v>5870</v>
      </c>
      <c r="C3519" s="9" t="s">
        <v>3778</v>
      </c>
      <c r="D3519" s="9" t="s">
        <v>5871</v>
      </c>
      <c r="E3519" s="9" t="str">
        <f aca="false">IF(AND('Formation Ledger'!A3498&lt;&gt;"",'Formation Ledger'!V3498=0),"PASS","FAIL")</f>
        <v>PASS</v>
      </c>
      <c r="F3519" s="9" t="s">
        <v>76</v>
      </c>
      <c r="G3519" s="6"/>
      <c r="H3519" s="6"/>
      <c r="I3519" s="6"/>
      <c r="J3519" s="6"/>
      <c r="K3519" s="6"/>
      <c r="L3519" s="6"/>
      <c r="M3519" s="6"/>
      <c r="N3519" s="6"/>
      <c r="O3519" s="6"/>
      <c r="P3519" s="6"/>
      <c r="Q3519" s="6"/>
      <c r="R3519" s="6"/>
      <c r="S3519" s="6"/>
      <c r="T3519" s="6"/>
      <c r="U3519" s="6"/>
      <c r="V3519" s="6"/>
      <c r="W3519" s="6"/>
      <c r="X3519" s="6"/>
      <c r="Y3519" s="6"/>
      <c r="Z3519" s="6"/>
    </row>
    <row r="3520" customFormat="false" ht="15" hidden="false" customHeight="false" outlineLevel="0" collapsed="false">
      <c r="A3520" s="9" t="s">
        <v>9363</v>
      </c>
      <c r="B3520" s="9" t="s">
        <v>5870</v>
      </c>
      <c r="C3520" s="9" t="s">
        <v>3779</v>
      </c>
      <c r="D3520" s="9" t="s">
        <v>5871</v>
      </c>
      <c r="E3520" s="9" t="str">
        <f aca="false">IF(AND('Formation Ledger'!A3499&lt;&gt;"",'Formation Ledger'!V3499=0),"PASS","FAIL")</f>
        <v>PASS</v>
      </c>
      <c r="F3520" s="9" t="s">
        <v>76</v>
      </c>
      <c r="G3520" s="6"/>
      <c r="H3520" s="6"/>
      <c r="I3520" s="6"/>
      <c r="J3520" s="6"/>
      <c r="K3520" s="6"/>
      <c r="L3520" s="6"/>
      <c r="M3520" s="6"/>
      <c r="N3520" s="6"/>
      <c r="O3520" s="6"/>
      <c r="P3520" s="6"/>
      <c r="Q3520" s="6"/>
      <c r="R3520" s="6"/>
      <c r="S3520" s="6"/>
      <c r="T3520" s="6"/>
      <c r="U3520" s="6"/>
      <c r="V3520" s="6"/>
      <c r="W3520" s="6"/>
      <c r="X3520" s="6"/>
      <c r="Y3520" s="6"/>
      <c r="Z3520" s="6"/>
    </row>
    <row r="3521" customFormat="false" ht="15" hidden="false" customHeight="false" outlineLevel="0" collapsed="false">
      <c r="A3521" s="9" t="s">
        <v>9364</v>
      </c>
      <c r="B3521" s="9" t="s">
        <v>5870</v>
      </c>
      <c r="C3521" s="9" t="s">
        <v>3780</v>
      </c>
      <c r="D3521" s="9" t="s">
        <v>5871</v>
      </c>
      <c r="E3521" s="9" t="str">
        <f aca="false">IF(AND('Formation Ledger'!A3500&lt;&gt;"",'Formation Ledger'!V3500=0),"PASS","FAIL")</f>
        <v>PASS</v>
      </c>
      <c r="F3521" s="9" t="s">
        <v>76</v>
      </c>
      <c r="G3521" s="6"/>
      <c r="H3521" s="6"/>
      <c r="I3521" s="6"/>
      <c r="J3521" s="6"/>
      <c r="K3521" s="6"/>
      <c r="L3521" s="6"/>
      <c r="M3521" s="6"/>
      <c r="N3521" s="6"/>
      <c r="O3521" s="6"/>
      <c r="P3521" s="6"/>
      <c r="Q3521" s="6"/>
      <c r="R3521" s="6"/>
      <c r="S3521" s="6"/>
      <c r="T3521" s="6"/>
      <c r="U3521" s="6"/>
      <c r="V3521" s="6"/>
      <c r="W3521" s="6"/>
      <c r="X3521" s="6"/>
      <c r="Y3521" s="6"/>
      <c r="Z3521" s="6"/>
    </row>
    <row r="3522" customFormat="false" ht="15" hidden="false" customHeight="false" outlineLevel="0" collapsed="false">
      <c r="A3522" s="9" t="s">
        <v>9365</v>
      </c>
      <c r="B3522" s="9" t="s">
        <v>5870</v>
      </c>
      <c r="C3522" s="9" t="s">
        <v>3781</v>
      </c>
      <c r="D3522" s="9" t="s">
        <v>5871</v>
      </c>
      <c r="E3522" s="9" t="str">
        <f aca="false">IF(AND('Formation Ledger'!A3501&lt;&gt;"",'Formation Ledger'!V3501=0),"PASS","FAIL")</f>
        <v>PASS</v>
      </c>
      <c r="F3522" s="9" t="s">
        <v>76</v>
      </c>
      <c r="G3522" s="6"/>
      <c r="H3522" s="6"/>
      <c r="I3522" s="6"/>
      <c r="J3522" s="6"/>
      <c r="K3522" s="6"/>
      <c r="L3522" s="6"/>
      <c r="M3522" s="6"/>
      <c r="N3522" s="6"/>
      <c r="O3522" s="6"/>
      <c r="P3522" s="6"/>
      <c r="Q3522" s="6"/>
      <c r="R3522" s="6"/>
      <c r="S3522" s="6"/>
      <c r="T3522" s="6"/>
      <c r="U3522" s="6"/>
      <c r="V3522" s="6"/>
      <c r="W3522" s="6"/>
      <c r="X3522" s="6"/>
      <c r="Y3522" s="6"/>
      <c r="Z3522" s="6"/>
    </row>
    <row r="3523" customFormat="false" ht="15" hidden="false" customHeight="false" outlineLevel="0" collapsed="false">
      <c r="A3523" s="9" t="s">
        <v>9366</v>
      </c>
      <c r="B3523" s="9" t="s">
        <v>5870</v>
      </c>
      <c r="C3523" s="9" t="s">
        <v>3782</v>
      </c>
      <c r="D3523" s="9" t="s">
        <v>5871</v>
      </c>
      <c r="E3523" s="9" t="str">
        <f aca="false">IF(AND('Formation Ledger'!A3502&lt;&gt;"",'Formation Ledger'!V3502=0),"PASS","FAIL")</f>
        <v>PASS</v>
      </c>
      <c r="F3523" s="9" t="s">
        <v>76</v>
      </c>
      <c r="G3523" s="6"/>
      <c r="H3523" s="6"/>
      <c r="I3523" s="6"/>
      <c r="J3523" s="6"/>
      <c r="K3523" s="6"/>
      <c r="L3523" s="6"/>
      <c r="M3523" s="6"/>
      <c r="N3523" s="6"/>
      <c r="O3523" s="6"/>
      <c r="P3523" s="6"/>
      <c r="Q3523" s="6"/>
      <c r="R3523" s="6"/>
      <c r="S3523" s="6"/>
      <c r="T3523" s="6"/>
      <c r="U3523" s="6"/>
      <c r="V3523" s="6"/>
      <c r="W3523" s="6"/>
      <c r="X3523" s="6"/>
      <c r="Y3523" s="6"/>
      <c r="Z3523" s="6"/>
    </row>
    <row r="3524" customFormat="false" ht="15" hidden="false" customHeight="false" outlineLevel="0" collapsed="false">
      <c r="A3524" s="9" t="s">
        <v>9367</v>
      </c>
      <c r="B3524" s="9" t="s">
        <v>5870</v>
      </c>
      <c r="C3524" s="9" t="s">
        <v>3783</v>
      </c>
      <c r="D3524" s="9" t="s">
        <v>5871</v>
      </c>
      <c r="E3524" s="9" t="str">
        <f aca="false">IF(AND('Formation Ledger'!A3503&lt;&gt;"",'Formation Ledger'!V3503=0),"PASS","FAIL")</f>
        <v>PASS</v>
      </c>
      <c r="F3524" s="9" t="s">
        <v>76</v>
      </c>
      <c r="G3524" s="6"/>
      <c r="H3524" s="6"/>
      <c r="I3524" s="6"/>
      <c r="J3524" s="6"/>
      <c r="K3524" s="6"/>
      <c r="L3524" s="6"/>
      <c r="M3524" s="6"/>
      <c r="N3524" s="6"/>
      <c r="O3524" s="6"/>
      <c r="P3524" s="6"/>
      <c r="Q3524" s="6"/>
      <c r="R3524" s="6"/>
      <c r="S3524" s="6"/>
      <c r="T3524" s="6"/>
      <c r="U3524" s="6"/>
      <c r="V3524" s="6"/>
      <c r="W3524" s="6"/>
      <c r="X3524" s="6"/>
      <c r="Y3524" s="6"/>
      <c r="Z3524" s="6"/>
    </row>
    <row r="3525" customFormat="false" ht="15" hidden="false" customHeight="false" outlineLevel="0" collapsed="false">
      <c r="A3525" s="9" t="s">
        <v>9368</v>
      </c>
      <c r="B3525" s="9" t="s">
        <v>5870</v>
      </c>
      <c r="C3525" s="9" t="s">
        <v>3784</v>
      </c>
      <c r="D3525" s="9" t="s">
        <v>5871</v>
      </c>
      <c r="E3525" s="9" t="str">
        <f aca="false">IF(AND('Formation Ledger'!A3504&lt;&gt;"",'Formation Ledger'!V3504=0),"PASS","FAIL")</f>
        <v>PASS</v>
      </c>
      <c r="F3525" s="9" t="s">
        <v>76</v>
      </c>
      <c r="G3525" s="6"/>
      <c r="H3525" s="6"/>
      <c r="I3525" s="6"/>
      <c r="J3525" s="6"/>
      <c r="K3525" s="6"/>
      <c r="L3525" s="6"/>
      <c r="M3525" s="6"/>
      <c r="N3525" s="6"/>
      <c r="O3525" s="6"/>
      <c r="P3525" s="6"/>
      <c r="Q3525" s="6"/>
      <c r="R3525" s="6"/>
      <c r="S3525" s="6"/>
      <c r="T3525" s="6"/>
      <c r="U3525" s="6"/>
      <c r="V3525" s="6"/>
      <c r="W3525" s="6"/>
      <c r="X3525" s="6"/>
      <c r="Y3525" s="6"/>
      <c r="Z3525" s="6"/>
    </row>
    <row r="3526" customFormat="false" ht="15" hidden="false" customHeight="false" outlineLevel="0" collapsed="false">
      <c r="A3526" s="9" t="s">
        <v>9369</v>
      </c>
      <c r="B3526" s="9" t="s">
        <v>5870</v>
      </c>
      <c r="C3526" s="9" t="s">
        <v>3785</v>
      </c>
      <c r="D3526" s="9" t="s">
        <v>5871</v>
      </c>
      <c r="E3526" s="9" t="str">
        <f aca="false">IF(AND('Formation Ledger'!A3505&lt;&gt;"",'Formation Ledger'!V3505=0),"PASS","FAIL")</f>
        <v>PASS</v>
      </c>
      <c r="F3526" s="9" t="s">
        <v>76</v>
      </c>
      <c r="G3526" s="6"/>
      <c r="H3526" s="6"/>
      <c r="I3526" s="6"/>
      <c r="J3526" s="6"/>
      <c r="K3526" s="6"/>
      <c r="L3526" s="6"/>
      <c r="M3526" s="6"/>
      <c r="N3526" s="6"/>
      <c r="O3526" s="6"/>
      <c r="P3526" s="6"/>
      <c r="Q3526" s="6"/>
      <c r="R3526" s="6"/>
      <c r="S3526" s="6"/>
      <c r="T3526" s="6"/>
      <c r="U3526" s="6"/>
      <c r="V3526" s="6"/>
      <c r="W3526" s="6"/>
      <c r="X3526" s="6"/>
      <c r="Y3526" s="6"/>
      <c r="Z3526" s="6"/>
    </row>
    <row r="3527" customFormat="false" ht="15" hidden="false" customHeight="false" outlineLevel="0" collapsed="false">
      <c r="A3527" s="9" t="s">
        <v>9370</v>
      </c>
      <c r="B3527" s="9" t="s">
        <v>5870</v>
      </c>
      <c r="C3527" s="9" t="s">
        <v>3786</v>
      </c>
      <c r="D3527" s="9" t="s">
        <v>5871</v>
      </c>
      <c r="E3527" s="9" t="str">
        <f aca="false">IF(AND('Formation Ledger'!A3506&lt;&gt;"",'Formation Ledger'!V3506=0),"PASS","FAIL")</f>
        <v>PASS</v>
      </c>
      <c r="F3527" s="9" t="s">
        <v>76</v>
      </c>
      <c r="G3527" s="6"/>
      <c r="H3527" s="6"/>
      <c r="I3527" s="6"/>
      <c r="J3527" s="6"/>
      <c r="K3527" s="6"/>
      <c r="L3527" s="6"/>
      <c r="M3527" s="6"/>
      <c r="N3527" s="6"/>
      <c r="O3527" s="6"/>
      <c r="P3527" s="6"/>
      <c r="Q3527" s="6"/>
      <c r="R3527" s="6"/>
      <c r="S3527" s="6"/>
      <c r="T3527" s="6"/>
      <c r="U3527" s="6"/>
      <c r="V3527" s="6"/>
      <c r="W3527" s="6"/>
      <c r="X3527" s="6"/>
      <c r="Y3527" s="6"/>
      <c r="Z3527" s="6"/>
    </row>
    <row r="3528" customFormat="false" ht="15" hidden="false" customHeight="false" outlineLevel="0" collapsed="false">
      <c r="A3528" s="9" t="s">
        <v>9371</v>
      </c>
      <c r="B3528" s="9" t="s">
        <v>5870</v>
      </c>
      <c r="C3528" s="9" t="s">
        <v>3787</v>
      </c>
      <c r="D3528" s="9" t="s">
        <v>5871</v>
      </c>
      <c r="E3528" s="9" t="str">
        <f aca="false">IF(AND('Formation Ledger'!A3507&lt;&gt;"",'Formation Ledger'!V3507=0),"PASS","FAIL")</f>
        <v>PASS</v>
      </c>
      <c r="F3528" s="9" t="s">
        <v>76</v>
      </c>
      <c r="G3528" s="6"/>
      <c r="H3528" s="6"/>
      <c r="I3528" s="6"/>
      <c r="J3528" s="6"/>
      <c r="K3528" s="6"/>
      <c r="L3528" s="6"/>
      <c r="M3528" s="6"/>
      <c r="N3528" s="6"/>
      <c r="O3528" s="6"/>
      <c r="P3528" s="6"/>
      <c r="Q3528" s="6"/>
      <c r="R3528" s="6"/>
      <c r="S3528" s="6"/>
      <c r="T3528" s="6"/>
      <c r="U3528" s="6"/>
      <c r="V3528" s="6"/>
      <c r="W3528" s="6"/>
      <c r="X3528" s="6"/>
      <c r="Y3528" s="6"/>
      <c r="Z3528" s="6"/>
    </row>
    <row r="3529" customFormat="false" ht="15" hidden="false" customHeight="false" outlineLevel="0" collapsed="false">
      <c r="A3529" s="9" t="s">
        <v>9372</v>
      </c>
      <c r="B3529" s="9" t="s">
        <v>5870</v>
      </c>
      <c r="C3529" s="9" t="s">
        <v>3788</v>
      </c>
      <c r="D3529" s="9" t="s">
        <v>5871</v>
      </c>
      <c r="E3529" s="9" t="str">
        <f aca="false">IF(AND('Formation Ledger'!A3508&lt;&gt;"",'Formation Ledger'!V3508=0),"PASS","FAIL")</f>
        <v>PASS</v>
      </c>
      <c r="F3529" s="9" t="s">
        <v>76</v>
      </c>
      <c r="G3529" s="6"/>
      <c r="H3529" s="6"/>
      <c r="I3529" s="6"/>
      <c r="J3529" s="6"/>
      <c r="K3529" s="6"/>
      <c r="L3529" s="6"/>
      <c r="M3529" s="6"/>
      <c r="N3529" s="6"/>
      <c r="O3529" s="6"/>
      <c r="P3529" s="6"/>
      <c r="Q3529" s="6"/>
      <c r="R3529" s="6"/>
      <c r="S3529" s="6"/>
      <c r="T3529" s="6"/>
      <c r="U3529" s="6"/>
      <c r="V3529" s="6"/>
      <c r="W3529" s="6"/>
      <c r="X3529" s="6"/>
      <c r="Y3529" s="6"/>
      <c r="Z3529" s="6"/>
    </row>
    <row r="3530" customFormat="false" ht="15" hidden="false" customHeight="false" outlineLevel="0" collapsed="false">
      <c r="A3530" s="9" t="s">
        <v>9373</v>
      </c>
      <c r="B3530" s="9" t="s">
        <v>5870</v>
      </c>
      <c r="C3530" s="9" t="s">
        <v>3789</v>
      </c>
      <c r="D3530" s="9" t="s">
        <v>5871</v>
      </c>
      <c r="E3530" s="9" t="str">
        <f aca="false">IF(AND('Formation Ledger'!A3509&lt;&gt;"",'Formation Ledger'!V3509=0),"PASS","FAIL")</f>
        <v>PASS</v>
      </c>
      <c r="F3530" s="9" t="s">
        <v>76</v>
      </c>
      <c r="G3530" s="6"/>
      <c r="H3530" s="6"/>
      <c r="I3530" s="6"/>
      <c r="J3530" s="6"/>
      <c r="K3530" s="6"/>
      <c r="L3530" s="6"/>
      <c r="M3530" s="6"/>
      <c r="N3530" s="6"/>
      <c r="O3530" s="6"/>
      <c r="P3530" s="6"/>
      <c r="Q3530" s="6"/>
      <c r="R3530" s="6"/>
      <c r="S3530" s="6"/>
      <c r="T3530" s="6"/>
      <c r="U3530" s="6"/>
      <c r="V3530" s="6"/>
      <c r="W3530" s="6"/>
      <c r="X3530" s="6"/>
      <c r="Y3530" s="6"/>
      <c r="Z3530" s="6"/>
    </row>
    <row r="3531" customFormat="false" ht="15" hidden="false" customHeight="false" outlineLevel="0" collapsed="false">
      <c r="A3531" s="9" t="s">
        <v>9374</v>
      </c>
      <c r="B3531" s="9" t="s">
        <v>5870</v>
      </c>
      <c r="C3531" s="9" t="s">
        <v>3790</v>
      </c>
      <c r="D3531" s="9" t="s">
        <v>5871</v>
      </c>
      <c r="E3531" s="9" t="str">
        <f aca="false">IF(AND('Formation Ledger'!A3510&lt;&gt;"",'Formation Ledger'!V3510=0),"PASS","FAIL")</f>
        <v>PASS</v>
      </c>
      <c r="F3531" s="9" t="s">
        <v>76</v>
      </c>
      <c r="G3531" s="6"/>
      <c r="H3531" s="6"/>
      <c r="I3531" s="6"/>
      <c r="J3531" s="6"/>
      <c r="K3531" s="6"/>
      <c r="L3531" s="6"/>
      <c r="M3531" s="6"/>
      <c r="N3531" s="6"/>
      <c r="O3531" s="6"/>
      <c r="P3531" s="6"/>
      <c r="Q3531" s="6"/>
      <c r="R3531" s="6"/>
      <c r="S3531" s="6"/>
      <c r="T3531" s="6"/>
      <c r="U3531" s="6"/>
      <c r="V3531" s="6"/>
      <c r="W3531" s="6"/>
      <c r="X3531" s="6"/>
      <c r="Y3531" s="6"/>
      <c r="Z3531" s="6"/>
    </row>
    <row r="3532" customFormat="false" ht="15" hidden="false" customHeight="false" outlineLevel="0" collapsed="false">
      <c r="A3532" s="9" t="s">
        <v>9375</v>
      </c>
      <c r="B3532" s="9" t="s">
        <v>5870</v>
      </c>
      <c r="C3532" s="9" t="s">
        <v>3791</v>
      </c>
      <c r="D3532" s="9" t="s">
        <v>5871</v>
      </c>
      <c r="E3532" s="9" t="str">
        <f aca="false">IF(AND('Formation Ledger'!A3511&lt;&gt;"",'Formation Ledger'!V3511=0),"PASS","FAIL")</f>
        <v>PASS</v>
      </c>
      <c r="F3532" s="9" t="s">
        <v>76</v>
      </c>
      <c r="G3532" s="6"/>
      <c r="H3532" s="6"/>
      <c r="I3532" s="6"/>
      <c r="J3532" s="6"/>
      <c r="K3532" s="6"/>
      <c r="L3532" s="6"/>
      <c r="M3532" s="6"/>
      <c r="N3532" s="6"/>
      <c r="O3532" s="6"/>
      <c r="P3532" s="6"/>
      <c r="Q3532" s="6"/>
      <c r="R3532" s="6"/>
      <c r="S3532" s="6"/>
      <c r="T3532" s="6"/>
      <c r="U3532" s="6"/>
      <c r="V3532" s="6"/>
      <c r="W3532" s="6"/>
      <c r="X3532" s="6"/>
      <c r="Y3532" s="6"/>
      <c r="Z3532" s="6"/>
    </row>
    <row r="3533" customFormat="false" ht="15" hidden="false" customHeight="false" outlineLevel="0" collapsed="false">
      <c r="A3533" s="9" t="s">
        <v>9376</v>
      </c>
      <c r="B3533" s="9" t="s">
        <v>5870</v>
      </c>
      <c r="C3533" s="9" t="s">
        <v>3792</v>
      </c>
      <c r="D3533" s="9" t="s">
        <v>5871</v>
      </c>
      <c r="E3533" s="9" t="str">
        <f aca="false">IF(AND('Formation Ledger'!A3512&lt;&gt;"",'Formation Ledger'!V3512=0),"PASS","FAIL")</f>
        <v>PASS</v>
      </c>
      <c r="F3533" s="9" t="s">
        <v>76</v>
      </c>
      <c r="G3533" s="6"/>
      <c r="H3533" s="6"/>
      <c r="I3533" s="6"/>
      <c r="J3533" s="6"/>
      <c r="K3533" s="6"/>
      <c r="L3533" s="6"/>
      <c r="M3533" s="6"/>
      <c r="N3533" s="6"/>
      <c r="O3533" s="6"/>
      <c r="P3533" s="6"/>
      <c r="Q3533" s="6"/>
      <c r="R3533" s="6"/>
      <c r="S3533" s="6"/>
      <c r="T3533" s="6"/>
      <c r="U3533" s="6"/>
      <c r="V3533" s="6"/>
      <c r="W3533" s="6"/>
      <c r="X3533" s="6"/>
      <c r="Y3533" s="6"/>
      <c r="Z3533" s="6"/>
    </row>
    <row r="3534" customFormat="false" ht="15" hidden="false" customHeight="false" outlineLevel="0" collapsed="false">
      <c r="A3534" s="9" t="s">
        <v>9377</v>
      </c>
      <c r="B3534" s="9" t="s">
        <v>5870</v>
      </c>
      <c r="C3534" s="9" t="s">
        <v>3793</v>
      </c>
      <c r="D3534" s="9" t="s">
        <v>5871</v>
      </c>
      <c r="E3534" s="9" t="str">
        <f aca="false">IF(AND('Formation Ledger'!A3513&lt;&gt;"",'Formation Ledger'!V3513=0),"PASS","FAIL")</f>
        <v>PASS</v>
      </c>
      <c r="F3534" s="9" t="s">
        <v>76</v>
      </c>
      <c r="G3534" s="6"/>
      <c r="H3534" s="6"/>
      <c r="I3534" s="6"/>
      <c r="J3534" s="6"/>
      <c r="K3534" s="6"/>
      <c r="L3534" s="6"/>
      <c r="M3534" s="6"/>
      <c r="N3534" s="6"/>
      <c r="O3534" s="6"/>
      <c r="P3534" s="6"/>
      <c r="Q3534" s="6"/>
      <c r="R3534" s="6"/>
      <c r="S3534" s="6"/>
      <c r="T3534" s="6"/>
      <c r="U3534" s="6"/>
      <c r="V3534" s="6"/>
      <c r="W3534" s="6"/>
      <c r="X3534" s="6"/>
      <c r="Y3534" s="6"/>
      <c r="Z3534" s="6"/>
    </row>
    <row r="3535" customFormat="false" ht="15" hidden="false" customHeight="false" outlineLevel="0" collapsed="false">
      <c r="A3535" s="9" t="s">
        <v>9378</v>
      </c>
      <c r="B3535" s="9" t="s">
        <v>5870</v>
      </c>
      <c r="C3535" s="9" t="s">
        <v>3794</v>
      </c>
      <c r="D3535" s="9" t="s">
        <v>5871</v>
      </c>
      <c r="E3535" s="9" t="str">
        <f aca="false">IF(AND('Formation Ledger'!A3514&lt;&gt;"",'Formation Ledger'!V3514=0),"PASS","FAIL")</f>
        <v>PASS</v>
      </c>
      <c r="F3535" s="9" t="s">
        <v>76</v>
      </c>
      <c r="G3535" s="6"/>
      <c r="H3535" s="6"/>
      <c r="I3535" s="6"/>
      <c r="J3535" s="6"/>
      <c r="K3535" s="6"/>
      <c r="L3535" s="6"/>
      <c r="M3535" s="6"/>
      <c r="N3535" s="6"/>
      <c r="O3535" s="6"/>
      <c r="P3535" s="6"/>
      <c r="Q3535" s="6"/>
      <c r="R3535" s="6"/>
      <c r="S3535" s="6"/>
      <c r="T3535" s="6"/>
      <c r="U3535" s="6"/>
      <c r="V3535" s="6"/>
      <c r="W3535" s="6"/>
      <c r="X3535" s="6"/>
      <c r="Y3535" s="6"/>
      <c r="Z3535" s="6"/>
    </row>
    <row r="3536" customFormat="false" ht="15" hidden="false" customHeight="false" outlineLevel="0" collapsed="false">
      <c r="A3536" s="9" t="s">
        <v>9379</v>
      </c>
      <c r="B3536" s="9" t="s">
        <v>5870</v>
      </c>
      <c r="C3536" s="9" t="s">
        <v>3795</v>
      </c>
      <c r="D3536" s="9" t="s">
        <v>5871</v>
      </c>
      <c r="E3536" s="9" t="str">
        <f aca="false">IF(AND('Formation Ledger'!A3515&lt;&gt;"",'Formation Ledger'!V3515=0),"PASS","FAIL")</f>
        <v>PASS</v>
      </c>
      <c r="F3536" s="9" t="s">
        <v>76</v>
      </c>
      <c r="G3536" s="6"/>
      <c r="H3536" s="6"/>
      <c r="I3536" s="6"/>
      <c r="J3536" s="6"/>
      <c r="K3536" s="6"/>
      <c r="L3536" s="6"/>
      <c r="M3536" s="6"/>
      <c r="N3536" s="6"/>
      <c r="O3536" s="6"/>
      <c r="P3536" s="6"/>
      <c r="Q3536" s="6"/>
      <c r="R3536" s="6"/>
      <c r="S3536" s="6"/>
      <c r="T3536" s="6"/>
      <c r="U3536" s="6"/>
      <c r="V3536" s="6"/>
      <c r="W3536" s="6"/>
      <c r="X3536" s="6"/>
      <c r="Y3536" s="6"/>
      <c r="Z3536" s="6"/>
    </row>
    <row r="3537" customFormat="false" ht="15" hidden="false" customHeight="false" outlineLevel="0" collapsed="false">
      <c r="A3537" s="9" t="s">
        <v>9380</v>
      </c>
      <c r="B3537" s="9" t="s">
        <v>5870</v>
      </c>
      <c r="C3537" s="9" t="s">
        <v>3796</v>
      </c>
      <c r="D3537" s="9" t="s">
        <v>5871</v>
      </c>
      <c r="E3537" s="9" t="str">
        <f aca="false">IF(AND('Formation Ledger'!A3516&lt;&gt;"",'Formation Ledger'!V3516=0),"PASS","FAIL")</f>
        <v>PASS</v>
      </c>
      <c r="F3537" s="9" t="s">
        <v>76</v>
      </c>
      <c r="G3537" s="6"/>
      <c r="H3537" s="6"/>
      <c r="I3537" s="6"/>
      <c r="J3537" s="6"/>
      <c r="K3537" s="6"/>
      <c r="L3537" s="6"/>
      <c r="M3537" s="6"/>
      <c r="N3537" s="6"/>
      <c r="O3537" s="6"/>
      <c r="P3537" s="6"/>
      <c r="Q3537" s="6"/>
      <c r="R3537" s="6"/>
      <c r="S3537" s="6"/>
      <c r="T3537" s="6"/>
      <c r="U3537" s="6"/>
      <c r="V3537" s="6"/>
      <c r="W3537" s="6"/>
      <c r="X3537" s="6"/>
      <c r="Y3537" s="6"/>
      <c r="Z3537" s="6"/>
    </row>
    <row r="3538" customFormat="false" ht="15" hidden="false" customHeight="false" outlineLevel="0" collapsed="false">
      <c r="A3538" s="9" t="s">
        <v>9381</v>
      </c>
      <c r="B3538" s="9" t="s">
        <v>5870</v>
      </c>
      <c r="C3538" s="9" t="s">
        <v>3797</v>
      </c>
      <c r="D3538" s="9" t="s">
        <v>5871</v>
      </c>
      <c r="E3538" s="9" t="str">
        <f aca="false">IF(AND('Formation Ledger'!A3517&lt;&gt;"",'Formation Ledger'!V3517=0),"PASS","FAIL")</f>
        <v>PASS</v>
      </c>
      <c r="F3538" s="9" t="s">
        <v>76</v>
      </c>
      <c r="G3538" s="6"/>
      <c r="H3538" s="6"/>
      <c r="I3538" s="6"/>
      <c r="J3538" s="6"/>
      <c r="K3538" s="6"/>
      <c r="L3538" s="6"/>
      <c r="M3538" s="6"/>
      <c r="N3538" s="6"/>
      <c r="O3538" s="6"/>
      <c r="P3538" s="6"/>
      <c r="Q3538" s="6"/>
      <c r="R3538" s="6"/>
      <c r="S3538" s="6"/>
      <c r="T3538" s="6"/>
      <c r="U3538" s="6"/>
      <c r="V3538" s="6"/>
      <c r="W3538" s="6"/>
      <c r="X3538" s="6"/>
      <c r="Y3538" s="6"/>
      <c r="Z3538" s="6"/>
    </row>
    <row r="3539" customFormat="false" ht="15" hidden="false" customHeight="false" outlineLevel="0" collapsed="false">
      <c r="A3539" s="9" t="s">
        <v>9382</v>
      </c>
      <c r="B3539" s="9" t="s">
        <v>5870</v>
      </c>
      <c r="C3539" s="9" t="s">
        <v>3798</v>
      </c>
      <c r="D3539" s="9" t="s">
        <v>5871</v>
      </c>
      <c r="E3539" s="9" t="str">
        <f aca="false">IF(AND('Formation Ledger'!A3518&lt;&gt;"",'Formation Ledger'!V3518=0),"PASS","FAIL")</f>
        <v>PASS</v>
      </c>
      <c r="F3539" s="9" t="s">
        <v>76</v>
      </c>
      <c r="G3539" s="6"/>
      <c r="H3539" s="6"/>
      <c r="I3539" s="6"/>
      <c r="J3539" s="6"/>
      <c r="K3539" s="6"/>
      <c r="L3539" s="6"/>
      <c r="M3539" s="6"/>
      <c r="N3539" s="6"/>
      <c r="O3539" s="6"/>
      <c r="P3539" s="6"/>
      <c r="Q3539" s="6"/>
      <c r="R3539" s="6"/>
      <c r="S3539" s="6"/>
      <c r="T3539" s="6"/>
      <c r="U3539" s="6"/>
      <c r="V3539" s="6"/>
      <c r="W3539" s="6"/>
      <c r="X3539" s="6"/>
      <c r="Y3539" s="6"/>
      <c r="Z3539" s="6"/>
    </row>
    <row r="3540" customFormat="false" ht="15" hidden="false" customHeight="false" outlineLevel="0" collapsed="false">
      <c r="A3540" s="9" t="s">
        <v>9383</v>
      </c>
      <c r="B3540" s="9" t="s">
        <v>5870</v>
      </c>
      <c r="C3540" s="9" t="s">
        <v>3799</v>
      </c>
      <c r="D3540" s="9" t="s">
        <v>5871</v>
      </c>
      <c r="E3540" s="9" t="str">
        <f aca="false">IF(AND('Formation Ledger'!A3519&lt;&gt;"",'Formation Ledger'!V3519=0),"PASS","FAIL")</f>
        <v>PASS</v>
      </c>
      <c r="F3540" s="9" t="s">
        <v>76</v>
      </c>
      <c r="G3540" s="6"/>
      <c r="H3540" s="6"/>
      <c r="I3540" s="6"/>
      <c r="J3540" s="6"/>
      <c r="K3540" s="6"/>
      <c r="L3540" s="6"/>
      <c r="M3540" s="6"/>
      <c r="N3540" s="6"/>
      <c r="O3540" s="6"/>
      <c r="P3540" s="6"/>
      <c r="Q3540" s="6"/>
      <c r="R3540" s="6"/>
      <c r="S3540" s="6"/>
      <c r="T3540" s="6"/>
      <c r="U3540" s="6"/>
      <c r="V3540" s="6"/>
      <c r="W3540" s="6"/>
      <c r="X3540" s="6"/>
      <c r="Y3540" s="6"/>
      <c r="Z3540" s="6"/>
    </row>
    <row r="3541" customFormat="false" ht="15" hidden="false" customHeight="false" outlineLevel="0" collapsed="false">
      <c r="A3541" s="9" t="s">
        <v>9384</v>
      </c>
      <c r="B3541" s="9" t="s">
        <v>5870</v>
      </c>
      <c r="C3541" s="9" t="s">
        <v>3800</v>
      </c>
      <c r="D3541" s="9" t="s">
        <v>5871</v>
      </c>
      <c r="E3541" s="9" t="str">
        <f aca="false">IF(AND('Formation Ledger'!A3520&lt;&gt;"",'Formation Ledger'!V3520=0),"PASS","FAIL")</f>
        <v>PASS</v>
      </c>
      <c r="F3541" s="9" t="s">
        <v>76</v>
      </c>
      <c r="G3541" s="6"/>
      <c r="H3541" s="6"/>
      <c r="I3541" s="6"/>
      <c r="J3541" s="6"/>
      <c r="K3541" s="6"/>
      <c r="L3541" s="6"/>
      <c r="M3541" s="6"/>
      <c r="N3541" s="6"/>
      <c r="O3541" s="6"/>
      <c r="P3541" s="6"/>
      <c r="Q3541" s="6"/>
      <c r="R3541" s="6"/>
      <c r="S3541" s="6"/>
      <c r="T3541" s="6"/>
      <c r="U3541" s="6"/>
      <c r="V3541" s="6"/>
      <c r="W3541" s="6"/>
      <c r="X3541" s="6"/>
      <c r="Y3541" s="6"/>
      <c r="Z3541" s="6"/>
    </row>
    <row r="3542" customFormat="false" ht="15" hidden="false" customHeight="false" outlineLevel="0" collapsed="false">
      <c r="A3542" s="9" t="s">
        <v>9385</v>
      </c>
      <c r="B3542" s="9" t="s">
        <v>5870</v>
      </c>
      <c r="C3542" s="9" t="s">
        <v>3801</v>
      </c>
      <c r="D3542" s="9" t="s">
        <v>5871</v>
      </c>
      <c r="E3542" s="9" t="str">
        <f aca="false">IF(AND('Formation Ledger'!A3521&lt;&gt;"",'Formation Ledger'!V3521=0),"PASS","FAIL")</f>
        <v>PASS</v>
      </c>
      <c r="F3542" s="9" t="s">
        <v>76</v>
      </c>
      <c r="G3542" s="6"/>
      <c r="H3542" s="6"/>
      <c r="I3542" s="6"/>
      <c r="J3542" s="6"/>
      <c r="K3542" s="6"/>
      <c r="L3542" s="6"/>
      <c r="M3542" s="6"/>
      <c r="N3542" s="6"/>
      <c r="O3542" s="6"/>
      <c r="P3542" s="6"/>
      <c r="Q3542" s="6"/>
      <c r="R3542" s="6"/>
      <c r="S3542" s="6"/>
      <c r="T3542" s="6"/>
      <c r="U3542" s="6"/>
      <c r="V3542" s="6"/>
      <c r="W3542" s="6"/>
      <c r="X3542" s="6"/>
      <c r="Y3542" s="6"/>
      <c r="Z3542" s="6"/>
    </row>
    <row r="3543" customFormat="false" ht="15" hidden="false" customHeight="false" outlineLevel="0" collapsed="false">
      <c r="A3543" s="9" t="s">
        <v>9386</v>
      </c>
      <c r="B3543" s="9" t="s">
        <v>5870</v>
      </c>
      <c r="C3543" s="9" t="s">
        <v>3802</v>
      </c>
      <c r="D3543" s="9" t="s">
        <v>5871</v>
      </c>
      <c r="E3543" s="9" t="str">
        <f aca="false">IF(AND('Formation Ledger'!A3522&lt;&gt;"",'Formation Ledger'!V3522=0),"PASS","FAIL")</f>
        <v>PASS</v>
      </c>
      <c r="F3543" s="9" t="s">
        <v>76</v>
      </c>
      <c r="G3543" s="6"/>
      <c r="H3543" s="6"/>
      <c r="I3543" s="6"/>
      <c r="J3543" s="6"/>
      <c r="K3543" s="6"/>
      <c r="L3543" s="6"/>
      <c r="M3543" s="6"/>
      <c r="N3543" s="6"/>
      <c r="O3543" s="6"/>
      <c r="P3543" s="6"/>
      <c r="Q3543" s="6"/>
      <c r="R3543" s="6"/>
      <c r="S3543" s="6"/>
      <c r="T3543" s="6"/>
      <c r="U3543" s="6"/>
      <c r="V3543" s="6"/>
      <c r="W3543" s="6"/>
      <c r="X3543" s="6"/>
      <c r="Y3543" s="6"/>
      <c r="Z3543" s="6"/>
    </row>
    <row r="3544" customFormat="false" ht="15" hidden="false" customHeight="false" outlineLevel="0" collapsed="false">
      <c r="A3544" s="9" t="s">
        <v>9387</v>
      </c>
      <c r="B3544" s="9" t="s">
        <v>5870</v>
      </c>
      <c r="C3544" s="9" t="s">
        <v>3803</v>
      </c>
      <c r="D3544" s="9" t="s">
        <v>5871</v>
      </c>
      <c r="E3544" s="9" t="str">
        <f aca="false">IF(AND('Formation Ledger'!A3523&lt;&gt;"",'Formation Ledger'!V3523=0),"PASS","FAIL")</f>
        <v>PASS</v>
      </c>
      <c r="F3544" s="9" t="s">
        <v>76</v>
      </c>
      <c r="G3544" s="6"/>
      <c r="H3544" s="6"/>
      <c r="I3544" s="6"/>
      <c r="J3544" s="6"/>
      <c r="K3544" s="6"/>
      <c r="L3544" s="6"/>
      <c r="M3544" s="6"/>
      <c r="N3544" s="6"/>
      <c r="O3544" s="6"/>
      <c r="P3544" s="6"/>
      <c r="Q3544" s="6"/>
      <c r="R3544" s="6"/>
      <c r="S3544" s="6"/>
      <c r="T3544" s="6"/>
      <c r="U3544" s="6"/>
      <c r="V3544" s="6"/>
      <c r="W3544" s="6"/>
      <c r="X3544" s="6"/>
      <c r="Y3544" s="6"/>
      <c r="Z3544" s="6"/>
    </row>
    <row r="3545" customFormat="false" ht="15" hidden="false" customHeight="false" outlineLevel="0" collapsed="false">
      <c r="A3545" s="9" t="s">
        <v>9388</v>
      </c>
      <c r="B3545" s="9" t="s">
        <v>5870</v>
      </c>
      <c r="C3545" s="9" t="s">
        <v>3804</v>
      </c>
      <c r="D3545" s="9" t="s">
        <v>5871</v>
      </c>
      <c r="E3545" s="9" t="str">
        <f aca="false">IF(AND('Formation Ledger'!A3524&lt;&gt;"",'Formation Ledger'!V3524=0),"PASS","FAIL")</f>
        <v>PASS</v>
      </c>
      <c r="F3545" s="9" t="s">
        <v>76</v>
      </c>
      <c r="G3545" s="6"/>
      <c r="H3545" s="6"/>
      <c r="I3545" s="6"/>
      <c r="J3545" s="6"/>
      <c r="K3545" s="6"/>
      <c r="L3545" s="6"/>
      <c r="M3545" s="6"/>
      <c r="N3545" s="6"/>
      <c r="O3545" s="6"/>
      <c r="P3545" s="6"/>
      <c r="Q3545" s="6"/>
      <c r="R3545" s="6"/>
      <c r="S3545" s="6"/>
      <c r="T3545" s="6"/>
      <c r="U3545" s="6"/>
      <c r="V3545" s="6"/>
      <c r="W3545" s="6"/>
      <c r="X3545" s="6"/>
      <c r="Y3545" s="6"/>
      <c r="Z3545" s="6"/>
    </row>
    <row r="3546" customFormat="false" ht="15" hidden="false" customHeight="false" outlineLevel="0" collapsed="false">
      <c r="A3546" s="9" t="s">
        <v>9389</v>
      </c>
      <c r="B3546" s="9" t="s">
        <v>5870</v>
      </c>
      <c r="C3546" s="9" t="s">
        <v>3805</v>
      </c>
      <c r="D3546" s="9" t="s">
        <v>5871</v>
      </c>
      <c r="E3546" s="9" t="str">
        <f aca="false">IF(AND('Formation Ledger'!A3525&lt;&gt;"",'Formation Ledger'!V3525=0),"PASS","FAIL")</f>
        <v>PASS</v>
      </c>
      <c r="F3546" s="9" t="s">
        <v>76</v>
      </c>
      <c r="G3546" s="6"/>
      <c r="H3546" s="6"/>
      <c r="I3546" s="6"/>
      <c r="J3546" s="6"/>
      <c r="K3546" s="6"/>
      <c r="L3546" s="6"/>
      <c r="M3546" s="6"/>
      <c r="N3546" s="6"/>
      <c r="O3546" s="6"/>
      <c r="P3546" s="6"/>
      <c r="Q3546" s="6"/>
      <c r="R3546" s="6"/>
      <c r="S3546" s="6"/>
      <c r="T3546" s="6"/>
      <c r="U3546" s="6"/>
      <c r="V3546" s="6"/>
      <c r="W3546" s="6"/>
      <c r="X3546" s="6"/>
      <c r="Y3546" s="6"/>
      <c r="Z3546" s="6"/>
    </row>
    <row r="3547" customFormat="false" ht="15" hidden="false" customHeight="false" outlineLevel="0" collapsed="false">
      <c r="A3547" s="9" t="s">
        <v>9390</v>
      </c>
      <c r="B3547" s="9" t="s">
        <v>5870</v>
      </c>
      <c r="C3547" s="9" t="s">
        <v>3806</v>
      </c>
      <c r="D3547" s="9" t="s">
        <v>5871</v>
      </c>
      <c r="E3547" s="9" t="str">
        <f aca="false">IF(AND('Formation Ledger'!A3526&lt;&gt;"",'Formation Ledger'!V3526=0),"PASS","FAIL")</f>
        <v>PASS</v>
      </c>
      <c r="F3547" s="9" t="s">
        <v>76</v>
      </c>
      <c r="G3547" s="6"/>
      <c r="H3547" s="6"/>
      <c r="I3547" s="6"/>
      <c r="J3547" s="6"/>
      <c r="K3547" s="6"/>
      <c r="L3547" s="6"/>
      <c r="M3547" s="6"/>
      <c r="N3547" s="6"/>
      <c r="O3547" s="6"/>
      <c r="P3547" s="6"/>
      <c r="Q3547" s="6"/>
      <c r="R3547" s="6"/>
      <c r="S3547" s="6"/>
      <c r="T3547" s="6"/>
      <c r="U3547" s="6"/>
      <c r="V3547" s="6"/>
      <c r="W3547" s="6"/>
      <c r="X3547" s="6"/>
      <c r="Y3547" s="6"/>
      <c r="Z3547" s="6"/>
    </row>
    <row r="3548" customFormat="false" ht="15" hidden="false" customHeight="false" outlineLevel="0" collapsed="false">
      <c r="A3548" s="9" t="s">
        <v>9391</v>
      </c>
      <c r="B3548" s="9" t="s">
        <v>5870</v>
      </c>
      <c r="C3548" s="9" t="s">
        <v>3807</v>
      </c>
      <c r="D3548" s="9" t="s">
        <v>5871</v>
      </c>
      <c r="E3548" s="9" t="str">
        <f aca="false">IF(AND('Formation Ledger'!A3527&lt;&gt;"",'Formation Ledger'!V3527=0),"PASS","FAIL")</f>
        <v>PASS</v>
      </c>
      <c r="F3548" s="9" t="s">
        <v>76</v>
      </c>
      <c r="G3548" s="6"/>
      <c r="H3548" s="6"/>
      <c r="I3548" s="6"/>
      <c r="J3548" s="6"/>
      <c r="K3548" s="6"/>
      <c r="L3548" s="6"/>
      <c r="M3548" s="6"/>
      <c r="N3548" s="6"/>
      <c r="O3548" s="6"/>
      <c r="P3548" s="6"/>
      <c r="Q3548" s="6"/>
      <c r="R3548" s="6"/>
      <c r="S3548" s="6"/>
      <c r="T3548" s="6"/>
      <c r="U3548" s="6"/>
      <c r="V3548" s="6"/>
      <c r="W3548" s="6"/>
      <c r="X3548" s="6"/>
      <c r="Y3548" s="6"/>
      <c r="Z3548" s="6"/>
    </row>
    <row r="3549" customFormat="false" ht="15" hidden="false" customHeight="false" outlineLevel="0" collapsed="false">
      <c r="A3549" s="9" t="s">
        <v>9392</v>
      </c>
      <c r="B3549" s="9" t="s">
        <v>5870</v>
      </c>
      <c r="C3549" s="9" t="s">
        <v>3808</v>
      </c>
      <c r="D3549" s="9" t="s">
        <v>5871</v>
      </c>
      <c r="E3549" s="9" t="str">
        <f aca="false">IF(AND('Formation Ledger'!A3528&lt;&gt;"",'Formation Ledger'!V3528=0),"PASS","FAIL")</f>
        <v>PASS</v>
      </c>
      <c r="F3549" s="9" t="s">
        <v>76</v>
      </c>
      <c r="G3549" s="6"/>
      <c r="H3549" s="6"/>
      <c r="I3549" s="6"/>
      <c r="J3549" s="6"/>
      <c r="K3549" s="6"/>
      <c r="L3549" s="6"/>
      <c r="M3549" s="6"/>
      <c r="N3549" s="6"/>
      <c r="O3549" s="6"/>
      <c r="P3549" s="6"/>
      <c r="Q3549" s="6"/>
      <c r="R3549" s="6"/>
      <c r="S3549" s="6"/>
      <c r="T3549" s="6"/>
      <c r="U3549" s="6"/>
      <c r="V3549" s="6"/>
      <c r="W3549" s="6"/>
      <c r="X3549" s="6"/>
      <c r="Y3549" s="6"/>
      <c r="Z3549" s="6"/>
    </row>
    <row r="3550" customFormat="false" ht="15" hidden="false" customHeight="false" outlineLevel="0" collapsed="false">
      <c r="A3550" s="9" t="s">
        <v>9393</v>
      </c>
      <c r="B3550" s="9" t="s">
        <v>5870</v>
      </c>
      <c r="C3550" s="9" t="s">
        <v>3809</v>
      </c>
      <c r="D3550" s="9" t="s">
        <v>5871</v>
      </c>
      <c r="E3550" s="9" t="str">
        <f aca="false">IF(AND('Formation Ledger'!A3529&lt;&gt;"",'Formation Ledger'!V3529=0),"PASS","FAIL")</f>
        <v>PASS</v>
      </c>
      <c r="F3550" s="9" t="s">
        <v>76</v>
      </c>
      <c r="G3550" s="6"/>
      <c r="H3550" s="6"/>
      <c r="I3550" s="6"/>
      <c r="J3550" s="6"/>
      <c r="K3550" s="6"/>
      <c r="L3550" s="6"/>
      <c r="M3550" s="6"/>
      <c r="N3550" s="6"/>
      <c r="O3550" s="6"/>
      <c r="P3550" s="6"/>
      <c r="Q3550" s="6"/>
      <c r="R3550" s="6"/>
      <c r="S3550" s="6"/>
      <c r="T3550" s="6"/>
      <c r="U3550" s="6"/>
      <c r="V3550" s="6"/>
      <c r="W3550" s="6"/>
      <c r="X3550" s="6"/>
      <c r="Y3550" s="6"/>
      <c r="Z3550" s="6"/>
    </row>
    <row r="3551" customFormat="false" ht="15" hidden="false" customHeight="false" outlineLevel="0" collapsed="false">
      <c r="A3551" s="9" t="s">
        <v>9394</v>
      </c>
      <c r="B3551" s="9" t="s">
        <v>5870</v>
      </c>
      <c r="C3551" s="9" t="s">
        <v>3810</v>
      </c>
      <c r="D3551" s="9" t="s">
        <v>5871</v>
      </c>
      <c r="E3551" s="9" t="str">
        <f aca="false">IF(AND('Formation Ledger'!A3530&lt;&gt;"",'Formation Ledger'!V3530=0),"PASS","FAIL")</f>
        <v>PASS</v>
      </c>
      <c r="F3551" s="9" t="s">
        <v>76</v>
      </c>
      <c r="G3551" s="6"/>
      <c r="H3551" s="6"/>
      <c r="I3551" s="6"/>
      <c r="J3551" s="6"/>
      <c r="K3551" s="6"/>
      <c r="L3551" s="6"/>
      <c r="M3551" s="6"/>
      <c r="N3551" s="6"/>
      <c r="O3551" s="6"/>
      <c r="P3551" s="6"/>
      <c r="Q3551" s="6"/>
      <c r="R3551" s="6"/>
      <c r="S3551" s="6"/>
      <c r="T3551" s="6"/>
      <c r="U3551" s="6"/>
      <c r="V3551" s="6"/>
      <c r="W3551" s="6"/>
      <c r="X3551" s="6"/>
      <c r="Y3551" s="6"/>
      <c r="Z3551" s="6"/>
    </row>
    <row r="3552" customFormat="false" ht="15" hidden="false" customHeight="false" outlineLevel="0" collapsed="false">
      <c r="A3552" s="9" t="s">
        <v>9395</v>
      </c>
      <c r="B3552" s="9" t="s">
        <v>5870</v>
      </c>
      <c r="C3552" s="9" t="s">
        <v>3811</v>
      </c>
      <c r="D3552" s="9" t="s">
        <v>5871</v>
      </c>
      <c r="E3552" s="9" t="str">
        <f aca="false">IF(AND('Formation Ledger'!A3531&lt;&gt;"",'Formation Ledger'!V3531=0),"PASS","FAIL")</f>
        <v>PASS</v>
      </c>
      <c r="F3552" s="9" t="s">
        <v>76</v>
      </c>
      <c r="G3552" s="6"/>
      <c r="H3552" s="6"/>
      <c r="I3552" s="6"/>
      <c r="J3552" s="6"/>
      <c r="K3552" s="6"/>
      <c r="L3552" s="6"/>
      <c r="M3552" s="6"/>
      <c r="N3552" s="6"/>
      <c r="O3552" s="6"/>
      <c r="P3552" s="6"/>
      <c r="Q3552" s="6"/>
      <c r="R3552" s="6"/>
      <c r="S3552" s="6"/>
      <c r="T3552" s="6"/>
      <c r="U3552" s="6"/>
      <c r="V3552" s="6"/>
      <c r="W3552" s="6"/>
      <c r="X3552" s="6"/>
      <c r="Y3552" s="6"/>
      <c r="Z3552" s="6"/>
    </row>
    <row r="3553" customFormat="false" ht="15" hidden="false" customHeight="false" outlineLevel="0" collapsed="false">
      <c r="A3553" s="9" t="s">
        <v>9396</v>
      </c>
      <c r="B3553" s="9" t="s">
        <v>5870</v>
      </c>
      <c r="C3553" s="9" t="s">
        <v>3812</v>
      </c>
      <c r="D3553" s="9" t="s">
        <v>5871</v>
      </c>
      <c r="E3553" s="9" t="str">
        <f aca="false">IF(AND('Formation Ledger'!A3532&lt;&gt;"",'Formation Ledger'!V3532=0),"PASS","FAIL")</f>
        <v>PASS</v>
      </c>
      <c r="F3553" s="9" t="s">
        <v>76</v>
      </c>
      <c r="G3553" s="6"/>
      <c r="H3553" s="6"/>
      <c r="I3553" s="6"/>
      <c r="J3553" s="6"/>
      <c r="K3553" s="6"/>
      <c r="L3553" s="6"/>
      <c r="M3553" s="6"/>
      <c r="N3553" s="6"/>
      <c r="O3553" s="6"/>
      <c r="P3553" s="6"/>
      <c r="Q3553" s="6"/>
      <c r="R3553" s="6"/>
      <c r="S3553" s="6"/>
      <c r="T3553" s="6"/>
      <c r="U3553" s="6"/>
      <c r="V3553" s="6"/>
      <c r="W3553" s="6"/>
      <c r="X3553" s="6"/>
      <c r="Y3553" s="6"/>
      <c r="Z3553" s="6"/>
    </row>
    <row r="3554" customFormat="false" ht="15" hidden="false" customHeight="false" outlineLevel="0" collapsed="false">
      <c r="A3554" s="9" t="s">
        <v>9397</v>
      </c>
      <c r="B3554" s="9" t="s">
        <v>5870</v>
      </c>
      <c r="C3554" s="9" t="s">
        <v>3813</v>
      </c>
      <c r="D3554" s="9" t="s">
        <v>5871</v>
      </c>
      <c r="E3554" s="9" t="str">
        <f aca="false">IF(AND('Formation Ledger'!A3533&lt;&gt;"",'Formation Ledger'!V3533=0),"PASS","FAIL")</f>
        <v>PASS</v>
      </c>
      <c r="F3554" s="9" t="s">
        <v>76</v>
      </c>
      <c r="G3554" s="6"/>
      <c r="H3554" s="6"/>
      <c r="I3554" s="6"/>
      <c r="J3554" s="6"/>
      <c r="K3554" s="6"/>
      <c r="L3554" s="6"/>
      <c r="M3554" s="6"/>
      <c r="N3554" s="6"/>
      <c r="O3554" s="6"/>
      <c r="P3554" s="6"/>
      <c r="Q3554" s="6"/>
      <c r="R3554" s="6"/>
      <c r="S3554" s="6"/>
      <c r="T3554" s="6"/>
      <c r="U3554" s="6"/>
      <c r="V3554" s="6"/>
      <c r="W3554" s="6"/>
      <c r="X3554" s="6"/>
      <c r="Y3554" s="6"/>
      <c r="Z3554" s="6"/>
    </row>
    <row r="3555" customFormat="false" ht="15" hidden="false" customHeight="false" outlineLevel="0" collapsed="false">
      <c r="A3555" s="9" t="s">
        <v>9398</v>
      </c>
      <c r="B3555" s="9" t="s">
        <v>5870</v>
      </c>
      <c r="C3555" s="9" t="s">
        <v>3814</v>
      </c>
      <c r="D3555" s="9" t="s">
        <v>5871</v>
      </c>
      <c r="E3555" s="9" t="str">
        <f aca="false">IF(AND('Formation Ledger'!A3534&lt;&gt;"",'Formation Ledger'!V3534=0),"PASS","FAIL")</f>
        <v>PASS</v>
      </c>
      <c r="F3555" s="9" t="s">
        <v>76</v>
      </c>
      <c r="G3555" s="6"/>
      <c r="H3555" s="6"/>
      <c r="I3555" s="6"/>
      <c r="J3555" s="6"/>
      <c r="K3555" s="6"/>
      <c r="L3555" s="6"/>
      <c r="M3555" s="6"/>
      <c r="N3555" s="6"/>
      <c r="O3555" s="6"/>
      <c r="P3555" s="6"/>
      <c r="Q3555" s="6"/>
      <c r="R3555" s="6"/>
      <c r="S3555" s="6"/>
      <c r="T3555" s="6"/>
      <c r="U3555" s="6"/>
      <c r="V3555" s="6"/>
      <c r="W3555" s="6"/>
      <c r="X3555" s="6"/>
      <c r="Y3555" s="6"/>
      <c r="Z3555" s="6"/>
    </row>
    <row r="3556" customFormat="false" ht="15" hidden="false" customHeight="false" outlineLevel="0" collapsed="false">
      <c r="A3556" s="9" t="s">
        <v>9399</v>
      </c>
      <c r="B3556" s="9" t="s">
        <v>5870</v>
      </c>
      <c r="C3556" s="9" t="s">
        <v>3815</v>
      </c>
      <c r="D3556" s="9" t="s">
        <v>5871</v>
      </c>
      <c r="E3556" s="9" t="str">
        <f aca="false">IF(AND('Formation Ledger'!A3535&lt;&gt;"",'Formation Ledger'!V3535=0),"PASS","FAIL")</f>
        <v>PASS</v>
      </c>
      <c r="F3556" s="9" t="s">
        <v>76</v>
      </c>
      <c r="G3556" s="6"/>
      <c r="H3556" s="6"/>
      <c r="I3556" s="6"/>
      <c r="J3556" s="6"/>
      <c r="K3556" s="6"/>
      <c r="L3556" s="6"/>
      <c r="M3556" s="6"/>
      <c r="N3556" s="6"/>
      <c r="O3556" s="6"/>
      <c r="P3556" s="6"/>
      <c r="Q3556" s="6"/>
      <c r="R3556" s="6"/>
      <c r="S3556" s="6"/>
      <c r="T3556" s="6"/>
      <c r="U3556" s="6"/>
      <c r="V3556" s="6"/>
      <c r="W3556" s="6"/>
      <c r="X3556" s="6"/>
      <c r="Y3556" s="6"/>
      <c r="Z3556" s="6"/>
    </row>
    <row r="3557" customFormat="false" ht="15" hidden="false" customHeight="false" outlineLevel="0" collapsed="false">
      <c r="A3557" s="9" t="s">
        <v>9400</v>
      </c>
      <c r="B3557" s="9" t="s">
        <v>5870</v>
      </c>
      <c r="C3557" s="9" t="s">
        <v>3816</v>
      </c>
      <c r="D3557" s="9" t="s">
        <v>5871</v>
      </c>
      <c r="E3557" s="9" t="str">
        <f aca="false">IF(AND('Formation Ledger'!A3536&lt;&gt;"",'Formation Ledger'!V3536=0),"PASS","FAIL")</f>
        <v>PASS</v>
      </c>
      <c r="F3557" s="9" t="s">
        <v>76</v>
      </c>
      <c r="G3557" s="6"/>
      <c r="H3557" s="6"/>
      <c r="I3557" s="6"/>
      <c r="J3557" s="6"/>
      <c r="K3557" s="6"/>
      <c r="L3557" s="6"/>
      <c r="M3557" s="6"/>
      <c r="N3557" s="6"/>
      <c r="O3557" s="6"/>
      <c r="P3557" s="6"/>
      <c r="Q3557" s="6"/>
      <c r="R3557" s="6"/>
      <c r="S3557" s="6"/>
      <c r="T3557" s="6"/>
      <c r="U3557" s="6"/>
      <c r="V3557" s="6"/>
      <c r="W3557" s="6"/>
      <c r="X3557" s="6"/>
      <c r="Y3557" s="6"/>
      <c r="Z3557" s="6"/>
    </row>
    <row r="3558" customFormat="false" ht="15" hidden="false" customHeight="false" outlineLevel="0" collapsed="false">
      <c r="A3558" s="9" t="s">
        <v>9401</v>
      </c>
      <c r="B3558" s="9" t="s">
        <v>5870</v>
      </c>
      <c r="C3558" s="9" t="s">
        <v>3817</v>
      </c>
      <c r="D3558" s="9" t="s">
        <v>5871</v>
      </c>
      <c r="E3558" s="9" t="str">
        <f aca="false">IF(AND('Formation Ledger'!A3537&lt;&gt;"",'Formation Ledger'!V3537=0),"PASS","FAIL")</f>
        <v>PASS</v>
      </c>
      <c r="F3558" s="9" t="s">
        <v>76</v>
      </c>
      <c r="G3558" s="6"/>
      <c r="H3558" s="6"/>
      <c r="I3558" s="6"/>
      <c r="J3558" s="6"/>
      <c r="K3558" s="6"/>
      <c r="L3558" s="6"/>
      <c r="M3558" s="6"/>
      <c r="N3558" s="6"/>
      <c r="O3558" s="6"/>
      <c r="P3558" s="6"/>
      <c r="Q3558" s="6"/>
      <c r="R3558" s="6"/>
      <c r="S3558" s="6"/>
      <c r="T3558" s="6"/>
      <c r="U3558" s="6"/>
      <c r="V3558" s="6"/>
      <c r="W3558" s="6"/>
      <c r="X3558" s="6"/>
      <c r="Y3558" s="6"/>
      <c r="Z3558" s="6"/>
    </row>
    <row r="3559" customFormat="false" ht="15" hidden="false" customHeight="false" outlineLevel="0" collapsed="false">
      <c r="A3559" s="9" t="s">
        <v>9402</v>
      </c>
      <c r="B3559" s="9" t="s">
        <v>5870</v>
      </c>
      <c r="C3559" s="9" t="s">
        <v>3818</v>
      </c>
      <c r="D3559" s="9" t="s">
        <v>5871</v>
      </c>
      <c r="E3559" s="9" t="str">
        <f aca="false">IF(AND('Formation Ledger'!A3538&lt;&gt;"",'Formation Ledger'!V3538=0),"PASS","FAIL")</f>
        <v>PASS</v>
      </c>
      <c r="F3559" s="9" t="s">
        <v>76</v>
      </c>
      <c r="G3559" s="6"/>
      <c r="H3559" s="6"/>
      <c r="I3559" s="6"/>
      <c r="J3559" s="6"/>
      <c r="K3559" s="6"/>
      <c r="L3559" s="6"/>
      <c r="M3559" s="6"/>
      <c r="N3559" s="6"/>
      <c r="O3559" s="6"/>
      <c r="P3559" s="6"/>
      <c r="Q3559" s="6"/>
      <c r="R3559" s="6"/>
      <c r="S3559" s="6"/>
      <c r="T3559" s="6"/>
      <c r="U3559" s="6"/>
      <c r="V3559" s="6"/>
      <c r="W3559" s="6"/>
      <c r="X3559" s="6"/>
      <c r="Y3559" s="6"/>
      <c r="Z3559" s="6"/>
    </row>
    <row r="3560" customFormat="false" ht="15" hidden="false" customHeight="false" outlineLevel="0" collapsed="false">
      <c r="A3560" s="9" t="s">
        <v>9403</v>
      </c>
      <c r="B3560" s="9" t="s">
        <v>5870</v>
      </c>
      <c r="C3560" s="9" t="s">
        <v>3819</v>
      </c>
      <c r="D3560" s="9" t="s">
        <v>5871</v>
      </c>
      <c r="E3560" s="9" t="str">
        <f aca="false">IF(AND('Formation Ledger'!A3539&lt;&gt;"",'Formation Ledger'!V3539=0),"PASS","FAIL")</f>
        <v>PASS</v>
      </c>
      <c r="F3560" s="9" t="s">
        <v>76</v>
      </c>
      <c r="G3560" s="6"/>
      <c r="H3560" s="6"/>
      <c r="I3560" s="6"/>
      <c r="J3560" s="6"/>
      <c r="K3560" s="6"/>
      <c r="L3560" s="6"/>
      <c r="M3560" s="6"/>
      <c r="N3560" s="6"/>
      <c r="O3560" s="6"/>
      <c r="P3560" s="6"/>
      <c r="Q3560" s="6"/>
      <c r="R3560" s="6"/>
      <c r="S3560" s="6"/>
      <c r="T3560" s="6"/>
      <c r="U3560" s="6"/>
      <c r="V3560" s="6"/>
      <c r="W3560" s="6"/>
      <c r="X3560" s="6"/>
      <c r="Y3560" s="6"/>
      <c r="Z3560" s="6"/>
    </row>
    <row r="3561" customFormat="false" ht="15" hidden="false" customHeight="false" outlineLevel="0" collapsed="false">
      <c r="A3561" s="9" t="s">
        <v>9404</v>
      </c>
      <c r="B3561" s="9" t="s">
        <v>5870</v>
      </c>
      <c r="C3561" s="9" t="s">
        <v>3820</v>
      </c>
      <c r="D3561" s="9" t="s">
        <v>5871</v>
      </c>
      <c r="E3561" s="9" t="str">
        <f aca="false">IF(AND('Formation Ledger'!A3540&lt;&gt;"",'Formation Ledger'!V3540=0),"PASS","FAIL")</f>
        <v>PASS</v>
      </c>
      <c r="F3561" s="9" t="s">
        <v>76</v>
      </c>
      <c r="G3561" s="6"/>
      <c r="H3561" s="6"/>
      <c r="I3561" s="6"/>
      <c r="J3561" s="6"/>
      <c r="K3561" s="6"/>
      <c r="L3561" s="6"/>
      <c r="M3561" s="6"/>
      <c r="N3561" s="6"/>
      <c r="O3561" s="6"/>
      <c r="P3561" s="6"/>
      <c r="Q3561" s="6"/>
      <c r="R3561" s="6"/>
      <c r="S3561" s="6"/>
      <c r="T3561" s="6"/>
      <c r="U3561" s="6"/>
      <c r="V3561" s="6"/>
      <c r="W3561" s="6"/>
      <c r="X3561" s="6"/>
      <c r="Y3561" s="6"/>
      <c r="Z3561" s="6"/>
    </row>
    <row r="3562" customFormat="false" ht="15" hidden="false" customHeight="false" outlineLevel="0" collapsed="false">
      <c r="A3562" s="9" t="s">
        <v>9405</v>
      </c>
      <c r="B3562" s="9" t="s">
        <v>5870</v>
      </c>
      <c r="C3562" s="9" t="s">
        <v>3821</v>
      </c>
      <c r="D3562" s="9" t="s">
        <v>5871</v>
      </c>
      <c r="E3562" s="9" t="str">
        <f aca="false">IF(AND('Formation Ledger'!A3541&lt;&gt;"",'Formation Ledger'!V3541=0),"PASS","FAIL")</f>
        <v>PASS</v>
      </c>
      <c r="F3562" s="9" t="s">
        <v>76</v>
      </c>
      <c r="G3562" s="6"/>
      <c r="H3562" s="6"/>
      <c r="I3562" s="6"/>
      <c r="J3562" s="6"/>
      <c r="K3562" s="6"/>
      <c r="L3562" s="6"/>
      <c r="M3562" s="6"/>
      <c r="N3562" s="6"/>
      <c r="O3562" s="6"/>
      <c r="P3562" s="6"/>
      <c r="Q3562" s="6"/>
      <c r="R3562" s="6"/>
      <c r="S3562" s="6"/>
      <c r="T3562" s="6"/>
      <c r="U3562" s="6"/>
      <c r="V3562" s="6"/>
      <c r="W3562" s="6"/>
      <c r="X3562" s="6"/>
      <c r="Y3562" s="6"/>
      <c r="Z3562" s="6"/>
    </row>
    <row r="3563" customFormat="false" ht="15" hidden="false" customHeight="false" outlineLevel="0" collapsed="false">
      <c r="A3563" s="9" t="s">
        <v>9406</v>
      </c>
      <c r="B3563" s="9" t="s">
        <v>5870</v>
      </c>
      <c r="C3563" s="9" t="s">
        <v>3822</v>
      </c>
      <c r="D3563" s="9" t="s">
        <v>5871</v>
      </c>
      <c r="E3563" s="9" t="str">
        <f aca="false">IF(AND('Formation Ledger'!A3542&lt;&gt;"",'Formation Ledger'!V3542=0),"PASS","FAIL")</f>
        <v>PASS</v>
      </c>
      <c r="F3563" s="9" t="s">
        <v>76</v>
      </c>
      <c r="G3563" s="6"/>
      <c r="H3563" s="6"/>
      <c r="I3563" s="6"/>
      <c r="J3563" s="6"/>
      <c r="K3563" s="6"/>
      <c r="L3563" s="6"/>
      <c r="M3563" s="6"/>
      <c r="N3563" s="6"/>
      <c r="O3563" s="6"/>
      <c r="P3563" s="6"/>
      <c r="Q3563" s="6"/>
      <c r="R3563" s="6"/>
      <c r="S3563" s="6"/>
      <c r="T3563" s="6"/>
      <c r="U3563" s="6"/>
      <c r="V3563" s="6"/>
      <c r="W3563" s="6"/>
      <c r="X3563" s="6"/>
      <c r="Y3563" s="6"/>
      <c r="Z3563" s="6"/>
    </row>
    <row r="3564" customFormat="false" ht="15" hidden="false" customHeight="false" outlineLevel="0" collapsed="false">
      <c r="A3564" s="9" t="s">
        <v>9407</v>
      </c>
      <c r="B3564" s="9" t="s">
        <v>5870</v>
      </c>
      <c r="C3564" s="9" t="s">
        <v>3823</v>
      </c>
      <c r="D3564" s="9" t="s">
        <v>5871</v>
      </c>
      <c r="E3564" s="9" t="str">
        <f aca="false">IF(AND('Formation Ledger'!A3543&lt;&gt;"",'Formation Ledger'!V3543=0),"PASS","FAIL")</f>
        <v>PASS</v>
      </c>
      <c r="F3564" s="9" t="s">
        <v>76</v>
      </c>
      <c r="G3564" s="6"/>
      <c r="H3564" s="6"/>
      <c r="I3564" s="6"/>
      <c r="J3564" s="6"/>
      <c r="K3564" s="6"/>
      <c r="L3564" s="6"/>
      <c r="M3564" s="6"/>
      <c r="N3564" s="6"/>
      <c r="O3564" s="6"/>
      <c r="P3564" s="6"/>
      <c r="Q3564" s="6"/>
      <c r="R3564" s="6"/>
      <c r="S3564" s="6"/>
      <c r="T3564" s="6"/>
      <c r="U3564" s="6"/>
      <c r="V3564" s="6"/>
      <c r="W3564" s="6"/>
      <c r="X3564" s="6"/>
      <c r="Y3564" s="6"/>
      <c r="Z3564" s="6"/>
    </row>
    <row r="3565" customFormat="false" ht="15" hidden="false" customHeight="false" outlineLevel="0" collapsed="false">
      <c r="A3565" s="9" t="s">
        <v>9408</v>
      </c>
      <c r="B3565" s="9" t="s">
        <v>5870</v>
      </c>
      <c r="C3565" s="9" t="s">
        <v>3824</v>
      </c>
      <c r="D3565" s="9" t="s">
        <v>5871</v>
      </c>
      <c r="E3565" s="9" t="str">
        <f aca="false">IF(AND('Formation Ledger'!A3544&lt;&gt;"",'Formation Ledger'!V3544=0),"PASS","FAIL")</f>
        <v>PASS</v>
      </c>
      <c r="F3565" s="9" t="s">
        <v>76</v>
      </c>
      <c r="G3565" s="6"/>
      <c r="H3565" s="6"/>
      <c r="I3565" s="6"/>
      <c r="J3565" s="6"/>
      <c r="K3565" s="6"/>
      <c r="L3565" s="6"/>
      <c r="M3565" s="6"/>
      <c r="N3565" s="6"/>
      <c r="O3565" s="6"/>
      <c r="P3565" s="6"/>
      <c r="Q3565" s="6"/>
      <c r="R3565" s="6"/>
      <c r="S3565" s="6"/>
      <c r="T3565" s="6"/>
      <c r="U3565" s="6"/>
      <c r="V3565" s="6"/>
      <c r="W3565" s="6"/>
      <c r="X3565" s="6"/>
      <c r="Y3565" s="6"/>
      <c r="Z3565" s="6"/>
    </row>
    <row r="3566" customFormat="false" ht="15" hidden="false" customHeight="false" outlineLevel="0" collapsed="false">
      <c r="A3566" s="9" t="s">
        <v>9409</v>
      </c>
      <c r="B3566" s="9" t="s">
        <v>5870</v>
      </c>
      <c r="C3566" s="9" t="s">
        <v>3825</v>
      </c>
      <c r="D3566" s="9" t="s">
        <v>5871</v>
      </c>
      <c r="E3566" s="9" t="str">
        <f aca="false">IF(AND('Formation Ledger'!A3545&lt;&gt;"",'Formation Ledger'!V3545=0),"PASS","FAIL")</f>
        <v>PASS</v>
      </c>
      <c r="F3566" s="9" t="s">
        <v>76</v>
      </c>
      <c r="G3566" s="6"/>
      <c r="H3566" s="6"/>
      <c r="I3566" s="6"/>
      <c r="J3566" s="6"/>
      <c r="K3566" s="6"/>
      <c r="L3566" s="6"/>
      <c r="M3566" s="6"/>
      <c r="N3566" s="6"/>
      <c r="O3566" s="6"/>
      <c r="P3566" s="6"/>
      <c r="Q3566" s="6"/>
      <c r="R3566" s="6"/>
      <c r="S3566" s="6"/>
      <c r="T3566" s="6"/>
      <c r="U3566" s="6"/>
      <c r="V3566" s="6"/>
      <c r="W3566" s="6"/>
      <c r="X3566" s="6"/>
      <c r="Y3566" s="6"/>
      <c r="Z3566" s="6"/>
    </row>
    <row r="3567" customFormat="false" ht="15" hidden="false" customHeight="false" outlineLevel="0" collapsed="false">
      <c r="A3567" s="9" t="s">
        <v>9410</v>
      </c>
      <c r="B3567" s="9" t="s">
        <v>5870</v>
      </c>
      <c r="C3567" s="9" t="s">
        <v>3826</v>
      </c>
      <c r="D3567" s="9" t="s">
        <v>5871</v>
      </c>
      <c r="E3567" s="9" t="str">
        <f aca="false">IF(AND('Formation Ledger'!A3546&lt;&gt;"",'Formation Ledger'!V3546=0),"PASS","FAIL")</f>
        <v>PASS</v>
      </c>
      <c r="F3567" s="9" t="s">
        <v>76</v>
      </c>
      <c r="G3567" s="6"/>
      <c r="H3567" s="6"/>
      <c r="I3567" s="6"/>
      <c r="J3567" s="6"/>
      <c r="K3567" s="6"/>
      <c r="L3567" s="6"/>
      <c r="M3567" s="6"/>
      <c r="N3567" s="6"/>
      <c r="O3567" s="6"/>
      <c r="P3567" s="6"/>
      <c r="Q3567" s="6"/>
      <c r="R3567" s="6"/>
      <c r="S3567" s="6"/>
      <c r="T3567" s="6"/>
      <c r="U3567" s="6"/>
      <c r="V3567" s="6"/>
      <c r="W3567" s="6"/>
      <c r="X3567" s="6"/>
      <c r="Y3567" s="6"/>
      <c r="Z3567" s="6"/>
    </row>
    <row r="3568" customFormat="false" ht="15" hidden="false" customHeight="false" outlineLevel="0" collapsed="false">
      <c r="A3568" s="9" t="s">
        <v>9411</v>
      </c>
      <c r="B3568" s="9" t="s">
        <v>5870</v>
      </c>
      <c r="C3568" s="9" t="s">
        <v>3827</v>
      </c>
      <c r="D3568" s="9" t="s">
        <v>5871</v>
      </c>
      <c r="E3568" s="9" t="str">
        <f aca="false">IF(AND('Formation Ledger'!A3547&lt;&gt;"",'Formation Ledger'!V3547=0),"PASS","FAIL")</f>
        <v>PASS</v>
      </c>
      <c r="F3568" s="9" t="s">
        <v>76</v>
      </c>
      <c r="G3568" s="6"/>
      <c r="H3568" s="6"/>
      <c r="I3568" s="6"/>
      <c r="J3568" s="6"/>
      <c r="K3568" s="6"/>
      <c r="L3568" s="6"/>
      <c r="M3568" s="6"/>
      <c r="N3568" s="6"/>
      <c r="O3568" s="6"/>
      <c r="P3568" s="6"/>
      <c r="Q3568" s="6"/>
      <c r="R3568" s="6"/>
      <c r="S3568" s="6"/>
      <c r="T3568" s="6"/>
      <c r="U3568" s="6"/>
      <c r="V3568" s="6"/>
      <c r="W3568" s="6"/>
      <c r="X3568" s="6"/>
      <c r="Y3568" s="6"/>
      <c r="Z3568" s="6"/>
    </row>
    <row r="3569" customFormat="false" ht="15" hidden="false" customHeight="false" outlineLevel="0" collapsed="false">
      <c r="A3569" s="9" t="s">
        <v>9412</v>
      </c>
      <c r="B3569" s="9" t="s">
        <v>5870</v>
      </c>
      <c r="C3569" s="9" t="s">
        <v>3828</v>
      </c>
      <c r="D3569" s="9" t="s">
        <v>5871</v>
      </c>
      <c r="E3569" s="9" t="str">
        <f aca="false">IF(AND('Formation Ledger'!A3548&lt;&gt;"",'Formation Ledger'!V3548=0),"PASS","FAIL")</f>
        <v>PASS</v>
      </c>
      <c r="F3569" s="9" t="s">
        <v>76</v>
      </c>
      <c r="G3569" s="6"/>
      <c r="H3569" s="6"/>
      <c r="I3569" s="6"/>
      <c r="J3569" s="6"/>
      <c r="K3569" s="6"/>
      <c r="L3569" s="6"/>
      <c r="M3569" s="6"/>
      <c r="N3569" s="6"/>
      <c r="O3569" s="6"/>
      <c r="P3569" s="6"/>
      <c r="Q3569" s="6"/>
      <c r="R3569" s="6"/>
      <c r="S3569" s="6"/>
      <c r="T3569" s="6"/>
      <c r="U3569" s="6"/>
      <c r="V3569" s="6"/>
      <c r="W3569" s="6"/>
      <c r="X3569" s="6"/>
      <c r="Y3569" s="6"/>
      <c r="Z3569" s="6"/>
    </row>
    <row r="3570" customFormat="false" ht="15" hidden="false" customHeight="false" outlineLevel="0" collapsed="false">
      <c r="A3570" s="9" t="s">
        <v>9413</v>
      </c>
      <c r="B3570" s="9" t="s">
        <v>5870</v>
      </c>
      <c r="C3570" s="9" t="s">
        <v>3829</v>
      </c>
      <c r="D3570" s="9" t="s">
        <v>5871</v>
      </c>
      <c r="E3570" s="9" t="str">
        <f aca="false">IF(AND('Formation Ledger'!A3549&lt;&gt;"",'Formation Ledger'!V3549=0),"PASS","FAIL")</f>
        <v>PASS</v>
      </c>
      <c r="F3570" s="9" t="s">
        <v>76</v>
      </c>
      <c r="G3570" s="6"/>
      <c r="H3570" s="6"/>
      <c r="I3570" s="6"/>
      <c r="J3570" s="6"/>
      <c r="K3570" s="6"/>
      <c r="L3570" s="6"/>
      <c r="M3570" s="6"/>
      <c r="N3570" s="6"/>
      <c r="O3570" s="6"/>
      <c r="P3570" s="6"/>
      <c r="Q3570" s="6"/>
      <c r="R3570" s="6"/>
      <c r="S3570" s="6"/>
      <c r="T3570" s="6"/>
      <c r="U3570" s="6"/>
      <c r="V3570" s="6"/>
      <c r="W3570" s="6"/>
      <c r="X3570" s="6"/>
      <c r="Y3570" s="6"/>
      <c r="Z3570" s="6"/>
    </row>
    <row r="3571" customFormat="false" ht="15" hidden="false" customHeight="false" outlineLevel="0" collapsed="false">
      <c r="A3571" s="9" t="s">
        <v>9414</v>
      </c>
      <c r="B3571" s="9" t="s">
        <v>5870</v>
      </c>
      <c r="C3571" s="9" t="s">
        <v>3830</v>
      </c>
      <c r="D3571" s="9" t="s">
        <v>5871</v>
      </c>
      <c r="E3571" s="9" t="str">
        <f aca="false">IF(AND('Formation Ledger'!A3550&lt;&gt;"",'Formation Ledger'!V3550=0),"PASS","FAIL")</f>
        <v>PASS</v>
      </c>
      <c r="F3571" s="9" t="s">
        <v>76</v>
      </c>
      <c r="G3571" s="6"/>
      <c r="H3571" s="6"/>
      <c r="I3571" s="6"/>
      <c r="J3571" s="6"/>
      <c r="K3571" s="6"/>
      <c r="L3571" s="6"/>
      <c r="M3571" s="6"/>
      <c r="N3571" s="6"/>
      <c r="O3571" s="6"/>
      <c r="P3571" s="6"/>
      <c r="Q3571" s="6"/>
      <c r="R3571" s="6"/>
      <c r="S3571" s="6"/>
      <c r="T3571" s="6"/>
      <c r="U3571" s="6"/>
      <c r="V3571" s="6"/>
      <c r="W3571" s="6"/>
      <c r="X3571" s="6"/>
      <c r="Y3571" s="6"/>
      <c r="Z3571" s="6"/>
    </row>
    <row r="3572" customFormat="false" ht="15" hidden="false" customHeight="false" outlineLevel="0" collapsed="false">
      <c r="A3572" s="9" t="s">
        <v>9415</v>
      </c>
      <c r="B3572" s="9" t="s">
        <v>5870</v>
      </c>
      <c r="C3572" s="9" t="s">
        <v>3831</v>
      </c>
      <c r="D3572" s="9" t="s">
        <v>5871</v>
      </c>
      <c r="E3572" s="9" t="str">
        <f aca="false">IF(AND('Formation Ledger'!A3551&lt;&gt;"",'Formation Ledger'!V3551=0),"PASS","FAIL")</f>
        <v>PASS</v>
      </c>
      <c r="F3572" s="9" t="s">
        <v>76</v>
      </c>
      <c r="G3572" s="6"/>
      <c r="H3572" s="6"/>
      <c r="I3572" s="6"/>
      <c r="J3572" s="6"/>
      <c r="K3572" s="6"/>
      <c r="L3572" s="6"/>
      <c r="M3572" s="6"/>
      <c r="N3572" s="6"/>
      <c r="O3572" s="6"/>
      <c r="P3572" s="6"/>
      <c r="Q3572" s="6"/>
      <c r="R3572" s="6"/>
      <c r="S3572" s="6"/>
      <c r="T3572" s="6"/>
      <c r="U3572" s="6"/>
      <c r="V3572" s="6"/>
      <c r="W3572" s="6"/>
      <c r="X3572" s="6"/>
      <c r="Y3572" s="6"/>
      <c r="Z3572" s="6"/>
    </row>
    <row r="3573" customFormat="false" ht="15" hidden="false" customHeight="false" outlineLevel="0" collapsed="false">
      <c r="A3573" s="9" t="s">
        <v>9416</v>
      </c>
      <c r="B3573" s="9" t="s">
        <v>5870</v>
      </c>
      <c r="C3573" s="9" t="s">
        <v>3832</v>
      </c>
      <c r="D3573" s="9" t="s">
        <v>5871</v>
      </c>
      <c r="E3573" s="9" t="str">
        <f aca="false">IF(AND('Formation Ledger'!A3552&lt;&gt;"",'Formation Ledger'!V3552=0),"PASS","FAIL")</f>
        <v>PASS</v>
      </c>
      <c r="F3573" s="9" t="s">
        <v>76</v>
      </c>
      <c r="G3573" s="6"/>
      <c r="H3573" s="6"/>
      <c r="I3573" s="6"/>
      <c r="J3573" s="6"/>
      <c r="K3573" s="6"/>
      <c r="L3573" s="6"/>
      <c r="M3573" s="6"/>
      <c r="N3573" s="6"/>
      <c r="O3573" s="6"/>
      <c r="P3573" s="6"/>
      <c r="Q3573" s="6"/>
      <c r="R3573" s="6"/>
      <c r="S3573" s="6"/>
      <c r="T3573" s="6"/>
      <c r="U3573" s="6"/>
      <c r="V3573" s="6"/>
      <c r="W3573" s="6"/>
      <c r="X3573" s="6"/>
      <c r="Y3573" s="6"/>
      <c r="Z3573" s="6"/>
    </row>
    <row r="3574" customFormat="false" ht="15" hidden="false" customHeight="false" outlineLevel="0" collapsed="false">
      <c r="A3574" s="9" t="s">
        <v>9417</v>
      </c>
      <c r="B3574" s="9" t="s">
        <v>5870</v>
      </c>
      <c r="C3574" s="9" t="s">
        <v>3833</v>
      </c>
      <c r="D3574" s="9" t="s">
        <v>5871</v>
      </c>
      <c r="E3574" s="9" t="str">
        <f aca="false">IF(AND('Formation Ledger'!A3553&lt;&gt;"",'Formation Ledger'!V3553=0),"PASS","FAIL")</f>
        <v>PASS</v>
      </c>
      <c r="F3574" s="9" t="s">
        <v>76</v>
      </c>
      <c r="G3574" s="6"/>
      <c r="H3574" s="6"/>
      <c r="I3574" s="6"/>
      <c r="J3574" s="6"/>
      <c r="K3574" s="6"/>
      <c r="L3574" s="6"/>
      <c r="M3574" s="6"/>
      <c r="N3574" s="6"/>
      <c r="O3574" s="6"/>
      <c r="P3574" s="6"/>
      <c r="Q3574" s="6"/>
      <c r="R3574" s="6"/>
      <c r="S3574" s="6"/>
      <c r="T3574" s="6"/>
      <c r="U3574" s="6"/>
      <c r="V3574" s="6"/>
      <c r="W3574" s="6"/>
      <c r="X3574" s="6"/>
      <c r="Y3574" s="6"/>
      <c r="Z3574" s="6"/>
    </row>
    <row r="3575" customFormat="false" ht="15" hidden="false" customHeight="false" outlineLevel="0" collapsed="false">
      <c r="A3575" s="9" t="s">
        <v>9418</v>
      </c>
      <c r="B3575" s="9" t="s">
        <v>5870</v>
      </c>
      <c r="C3575" s="9" t="s">
        <v>3834</v>
      </c>
      <c r="D3575" s="9" t="s">
        <v>5871</v>
      </c>
      <c r="E3575" s="9" t="str">
        <f aca="false">IF(AND('Formation Ledger'!A3554&lt;&gt;"",'Formation Ledger'!V3554=0),"PASS","FAIL")</f>
        <v>PASS</v>
      </c>
      <c r="F3575" s="9" t="s">
        <v>76</v>
      </c>
      <c r="G3575" s="6"/>
      <c r="H3575" s="6"/>
      <c r="I3575" s="6"/>
      <c r="J3575" s="6"/>
      <c r="K3575" s="6"/>
      <c r="L3575" s="6"/>
      <c r="M3575" s="6"/>
      <c r="N3575" s="6"/>
      <c r="O3575" s="6"/>
      <c r="P3575" s="6"/>
      <c r="Q3575" s="6"/>
      <c r="R3575" s="6"/>
      <c r="S3575" s="6"/>
      <c r="T3575" s="6"/>
      <c r="U3575" s="6"/>
      <c r="V3575" s="6"/>
      <c r="W3575" s="6"/>
      <c r="X3575" s="6"/>
      <c r="Y3575" s="6"/>
      <c r="Z3575" s="6"/>
    </row>
    <row r="3576" customFormat="false" ht="15" hidden="false" customHeight="false" outlineLevel="0" collapsed="false">
      <c r="A3576" s="9" t="s">
        <v>9419</v>
      </c>
      <c r="B3576" s="9" t="s">
        <v>5870</v>
      </c>
      <c r="C3576" s="9" t="s">
        <v>3835</v>
      </c>
      <c r="D3576" s="9" t="s">
        <v>5871</v>
      </c>
      <c r="E3576" s="9" t="str">
        <f aca="false">IF(AND('Formation Ledger'!A3555&lt;&gt;"",'Formation Ledger'!V3555=0),"PASS","FAIL")</f>
        <v>PASS</v>
      </c>
      <c r="F3576" s="9" t="s">
        <v>76</v>
      </c>
      <c r="G3576" s="6"/>
      <c r="H3576" s="6"/>
      <c r="I3576" s="6"/>
      <c r="J3576" s="6"/>
      <c r="K3576" s="6"/>
      <c r="L3576" s="6"/>
      <c r="M3576" s="6"/>
      <c r="N3576" s="6"/>
      <c r="O3576" s="6"/>
      <c r="P3576" s="6"/>
      <c r="Q3576" s="6"/>
      <c r="R3576" s="6"/>
      <c r="S3576" s="6"/>
      <c r="T3576" s="6"/>
      <c r="U3576" s="6"/>
      <c r="V3576" s="6"/>
      <c r="W3576" s="6"/>
      <c r="X3576" s="6"/>
      <c r="Y3576" s="6"/>
      <c r="Z3576" s="6"/>
    </row>
    <row r="3577" customFormat="false" ht="15" hidden="false" customHeight="false" outlineLevel="0" collapsed="false">
      <c r="A3577" s="9" t="s">
        <v>9420</v>
      </c>
      <c r="B3577" s="9" t="s">
        <v>5870</v>
      </c>
      <c r="C3577" s="9" t="s">
        <v>3836</v>
      </c>
      <c r="D3577" s="9" t="s">
        <v>5871</v>
      </c>
      <c r="E3577" s="9" t="str">
        <f aca="false">IF(AND('Formation Ledger'!A3556&lt;&gt;"",'Formation Ledger'!V3556=0),"PASS","FAIL")</f>
        <v>PASS</v>
      </c>
      <c r="F3577" s="9" t="s">
        <v>76</v>
      </c>
      <c r="G3577" s="6"/>
      <c r="H3577" s="6"/>
      <c r="I3577" s="6"/>
      <c r="J3577" s="6"/>
      <c r="K3577" s="6"/>
      <c r="L3577" s="6"/>
      <c r="M3577" s="6"/>
      <c r="N3577" s="6"/>
      <c r="O3577" s="6"/>
      <c r="P3577" s="6"/>
      <c r="Q3577" s="6"/>
      <c r="R3577" s="6"/>
      <c r="S3577" s="6"/>
      <c r="T3577" s="6"/>
      <c r="U3577" s="6"/>
      <c r="V3577" s="6"/>
      <c r="W3577" s="6"/>
      <c r="X3577" s="6"/>
      <c r="Y3577" s="6"/>
      <c r="Z3577" s="6"/>
    </row>
    <row r="3578" customFormat="false" ht="15" hidden="false" customHeight="false" outlineLevel="0" collapsed="false">
      <c r="A3578" s="9" t="s">
        <v>9421</v>
      </c>
      <c r="B3578" s="9" t="s">
        <v>5870</v>
      </c>
      <c r="C3578" s="9" t="s">
        <v>3837</v>
      </c>
      <c r="D3578" s="9" t="s">
        <v>5871</v>
      </c>
      <c r="E3578" s="9" t="str">
        <f aca="false">IF(AND('Formation Ledger'!A3557&lt;&gt;"",'Formation Ledger'!V3557=0),"PASS","FAIL")</f>
        <v>PASS</v>
      </c>
      <c r="F3578" s="9" t="s">
        <v>76</v>
      </c>
      <c r="G3578" s="6"/>
      <c r="H3578" s="6"/>
      <c r="I3578" s="6"/>
      <c r="J3578" s="6"/>
      <c r="K3578" s="6"/>
      <c r="L3578" s="6"/>
      <c r="M3578" s="6"/>
      <c r="N3578" s="6"/>
      <c r="O3578" s="6"/>
      <c r="P3578" s="6"/>
      <c r="Q3578" s="6"/>
      <c r="R3578" s="6"/>
      <c r="S3578" s="6"/>
      <c r="T3578" s="6"/>
      <c r="U3578" s="6"/>
      <c r="V3578" s="6"/>
      <c r="W3578" s="6"/>
      <c r="X3578" s="6"/>
      <c r="Y3578" s="6"/>
      <c r="Z3578" s="6"/>
    </row>
    <row r="3579" customFormat="false" ht="15" hidden="false" customHeight="false" outlineLevel="0" collapsed="false">
      <c r="A3579" s="9" t="s">
        <v>9422</v>
      </c>
      <c r="B3579" s="9" t="s">
        <v>5870</v>
      </c>
      <c r="C3579" s="9" t="s">
        <v>3838</v>
      </c>
      <c r="D3579" s="9" t="s">
        <v>5871</v>
      </c>
      <c r="E3579" s="9" t="str">
        <f aca="false">IF(AND('Formation Ledger'!A3558&lt;&gt;"",'Formation Ledger'!V3558=0),"PASS","FAIL")</f>
        <v>PASS</v>
      </c>
      <c r="F3579" s="9" t="s">
        <v>76</v>
      </c>
      <c r="G3579" s="6"/>
      <c r="H3579" s="6"/>
      <c r="I3579" s="6"/>
      <c r="J3579" s="6"/>
      <c r="K3579" s="6"/>
      <c r="L3579" s="6"/>
      <c r="M3579" s="6"/>
      <c r="N3579" s="6"/>
      <c r="O3579" s="6"/>
      <c r="P3579" s="6"/>
      <c r="Q3579" s="6"/>
      <c r="R3579" s="6"/>
      <c r="S3579" s="6"/>
      <c r="T3579" s="6"/>
      <c r="U3579" s="6"/>
      <c r="V3579" s="6"/>
      <c r="W3579" s="6"/>
      <c r="X3579" s="6"/>
      <c r="Y3579" s="6"/>
      <c r="Z3579" s="6"/>
    </row>
    <row r="3580" customFormat="false" ht="15" hidden="false" customHeight="false" outlineLevel="0" collapsed="false">
      <c r="A3580" s="9" t="s">
        <v>9423</v>
      </c>
      <c r="B3580" s="9" t="s">
        <v>5870</v>
      </c>
      <c r="C3580" s="9" t="s">
        <v>3839</v>
      </c>
      <c r="D3580" s="9" t="s">
        <v>5871</v>
      </c>
      <c r="E3580" s="9" t="str">
        <f aca="false">IF(AND('Formation Ledger'!A3559&lt;&gt;"",'Formation Ledger'!V3559=0),"PASS","FAIL")</f>
        <v>PASS</v>
      </c>
      <c r="F3580" s="9" t="s">
        <v>76</v>
      </c>
      <c r="G3580" s="6"/>
      <c r="H3580" s="6"/>
      <c r="I3580" s="6"/>
      <c r="J3580" s="6"/>
      <c r="K3580" s="6"/>
      <c r="L3580" s="6"/>
      <c r="M3580" s="6"/>
      <c r="N3580" s="6"/>
      <c r="O3580" s="6"/>
      <c r="P3580" s="6"/>
      <c r="Q3580" s="6"/>
      <c r="R3580" s="6"/>
      <c r="S3580" s="6"/>
      <c r="T3580" s="6"/>
      <c r="U3580" s="6"/>
      <c r="V3580" s="6"/>
      <c r="W3580" s="6"/>
      <c r="X3580" s="6"/>
      <c r="Y3580" s="6"/>
      <c r="Z3580" s="6"/>
    </row>
    <row r="3581" customFormat="false" ht="15" hidden="false" customHeight="false" outlineLevel="0" collapsed="false">
      <c r="A3581" s="9" t="s">
        <v>9424</v>
      </c>
      <c r="B3581" s="9" t="s">
        <v>5870</v>
      </c>
      <c r="C3581" s="9" t="s">
        <v>3840</v>
      </c>
      <c r="D3581" s="9" t="s">
        <v>5871</v>
      </c>
      <c r="E3581" s="9" t="str">
        <f aca="false">IF(AND('Formation Ledger'!A3560&lt;&gt;"",'Formation Ledger'!V3560=0),"PASS","FAIL")</f>
        <v>PASS</v>
      </c>
      <c r="F3581" s="9" t="s">
        <v>76</v>
      </c>
      <c r="G3581" s="6"/>
      <c r="H3581" s="6"/>
      <c r="I3581" s="6"/>
      <c r="J3581" s="6"/>
      <c r="K3581" s="6"/>
      <c r="L3581" s="6"/>
      <c r="M3581" s="6"/>
      <c r="N3581" s="6"/>
      <c r="O3581" s="6"/>
      <c r="P3581" s="6"/>
      <c r="Q3581" s="6"/>
      <c r="R3581" s="6"/>
      <c r="S3581" s="6"/>
      <c r="T3581" s="6"/>
      <c r="U3581" s="6"/>
      <c r="V3581" s="6"/>
      <c r="W3581" s="6"/>
      <c r="X3581" s="6"/>
      <c r="Y3581" s="6"/>
      <c r="Z3581" s="6"/>
    </row>
    <row r="3582" customFormat="false" ht="15" hidden="false" customHeight="false" outlineLevel="0" collapsed="false">
      <c r="A3582" s="9" t="s">
        <v>9425</v>
      </c>
      <c r="B3582" s="9" t="s">
        <v>5870</v>
      </c>
      <c r="C3582" s="9" t="s">
        <v>3841</v>
      </c>
      <c r="D3582" s="9" t="s">
        <v>5871</v>
      </c>
      <c r="E3582" s="9" t="str">
        <f aca="false">IF(AND('Formation Ledger'!A3561&lt;&gt;"",'Formation Ledger'!V3561=0),"PASS","FAIL")</f>
        <v>PASS</v>
      </c>
      <c r="F3582" s="9" t="s">
        <v>76</v>
      </c>
      <c r="G3582" s="6"/>
      <c r="H3582" s="6"/>
      <c r="I3582" s="6"/>
      <c r="J3582" s="6"/>
      <c r="K3582" s="6"/>
      <c r="L3582" s="6"/>
      <c r="M3582" s="6"/>
      <c r="N3582" s="6"/>
      <c r="O3582" s="6"/>
      <c r="P3582" s="6"/>
      <c r="Q3582" s="6"/>
      <c r="R3582" s="6"/>
      <c r="S3582" s="6"/>
      <c r="T3582" s="6"/>
      <c r="U3582" s="6"/>
      <c r="V3582" s="6"/>
      <c r="W3582" s="6"/>
      <c r="X3582" s="6"/>
      <c r="Y3582" s="6"/>
      <c r="Z3582" s="6"/>
    </row>
    <row r="3583" customFormat="false" ht="15" hidden="false" customHeight="false" outlineLevel="0" collapsed="false">
      <c r="A3583" s="9" t="s">
        <v>9426</v>
      </c>
      <c r="B3583" s="9" t="s">
        <v>5870</v>
      </c>
      <c r="C3583" s="9" t="s">
        <v>3842</v>
      </c>
      <c r="D3583" s="9" t="s">
        <v>5871</v>
      </c>
      <c r="E3583" s="9" t="str">
        <f aca="false">IF(AND('Formation Ledger'!A3562&lt;&gt;"",'Formation Ledger'!V3562=0),"PASS","FAIL")</f>
        <v>PASS</v>
      </c>
      <c r="F3583" s="9" t="s">
        <v>76</v>
      </c>
      <c r="G3583" s="6"/>
      <c r="H3583" s="6"/>
      <c r="I3583" s="6"/>
      <c r="J3583" s="6"/>
      <c r="K3583" s="6"/>
      <c r="L3583" s="6"/>
      <c r="M3583" s="6"/>
      <c r="N3583" s="6"/>
      <c r="O3583" s="6"/>
      <c r="P3583" s="6"/>
      <c r="Q3583" s="6"/>
      <c r="R3583" s="6"/>
      <c r="S3583" s="6"/>
      <c r="T3583" s="6"/>
      <c r="U3583" s="6"/>
      <c r="V3583" s="6"/>
      <c r="W3583" s="6"/>
      <c r="X3583" s="6"/>
      <c r="Y3583" s="6"/>
      <c r="Z3583" s="6"/>
    </row>
    <row r="3584" customFormat="false" ht="15" hidden="false" customHeight="false" outlineLevel="0" collapsed="false">
      <c r="A3584" s="9" t="s">
        <v>9427</v>
      </c>
      <c r="B3584" s="9" t="s">
        <v>5870</v>
      </c>
      <c r="C3584" s="9" t="s">
        <v>3843</v>
      </c>
      <c r="D3584" s="9" t="s">
        <v>5871</v>
      </c>
      <c r="E3584" s="9" t="str">
        <f aca="false">IF(AND('Formation Ledger'!A3563&lt;&gt;"",'Formation Ledger'!V3563=0),"PASS","FAIL")</f>
        <v>PASS</v>
      </c>
      <c r="F3584" s="9" t="s">
        <v>76</v>
      </c>
      <c r="G3584" s="6"/>
      <c r="H3584" s="6"/>
      <c r="I3584" s="6"/>
      <c r="J3584" s="6"/>
      <c r="K3584" s="6"/>
      <c r="L3584" s="6"/>
      <c r="M3584" s="6"/>
      <c r="N3584" s="6"/>
      <c r="O3584" s="6"/>
      <c r="P3584" s="6"/>
      <c r="Q3584" s="6"/>
      <c r="R3584" s="6"/>
      <c r="S3584" s="6"/>
      <c r="T3584" s="6"/>
      <c r="U3584" s="6"/>
      <c r="V3584" s="6"/>
      <c r="W3584" s="6"/>
      <c r="X3584" s="6"/>
      <c r="Y3584" s="6"/>
      <c r="Z3584" s="6"/>
    </row>
    <row r="3585" customFormat="false" ht="15" hidden="false" customHeight="false" outlineLevel="0" collapsed="false">
      <c r="A3585" s="9" t="s">
        <v>9428</v>
      </c>
      <c r="B3585" s="9" t="s">
        <v>5870</v>
      </c>
      <c r="C3585" s="9" t="s">
        <v>3844</v>
      </c>
      <c r="D3585" s="9" t="s">
        <v>5871</v>
      </c>
      <c r="E3585" s="9" t="str">
        <f aca="false">IF(AND('Formation Ledger'!A3564&lt;&gt;"",'Formation Ledger'!V3564=0),"PASS","FAIL")</f>
        <v>PASS</v>
      </c>
      <c r="F3585" s="9" t="s">
        <v>76</v>
      </c>
      <c r="G3585" s="6"/>
      <c r="H3585" s="6"/>
      <c r="I3585" s="6"/>
      <c r="J3585" s="6"/>
      <c r="K3585" s="6"/>
      <c r="L3585" s="6"/>
      <c r="M3585" s="6"/>
      <c r="N3585" s="6"/>
      <c r="O3585" s="6"/>
      <c r="P3585" s="6"/>
      <c r="Q3585" s="6"/>
      <c r="R3585" s="6"/>
      <c r="S3585" s="6"/>
      <c r="T3585" s="6"/>
      <c r="U3585" s="6"/>
      <c r="V3585" s="6"/>
      <c r="W3585" s="6"/>
      <c r="X3585" s="6"/>
      <c r="Y3585" s="6"/>
      <c r="Z3585" s="6"/>
    </row>
    <row r="3586" customFormat="false" ht="15" hidden="false" customHeight="false" outlineLevel="0" collapsed="false">
      <c r="A3586" s="9" t="s">
        <v>9429</v>
      </c>
      <c r="B3586" s="9" t="s">
        <v>5870</v>
      </c>
      <c r="C3586" s="9" t="s">
        <v>3845</v>
      </c>
      <c r="D3586" s="9" t="s">
        <v>5871</v>
      </c>
      <c r="E3586" s="9" t="str">
        <f aca="false">IF(AND('Formation Ledger'!A3565&lt;&gt;"",'Formation Ledger'!V3565=0),"PASS","FAIL")</f>
        <v>PASS</v>
      </c>
      <c r="F3586" s="9" t="s">
        <v>76</v>
      </c>
      <c r="G3586" s="6"/>
      <c r="H3586" s="6"/>
      <c r="I3586" s="6"/>
      <c r="J3586" s="6"/>
      <c r="K3586" s="6"/>
      <c r="L3586" s="6"/>
      <c r="M3586" s="6"/>
      <c r="N3586" s="6"/>
      <c r="O3586" s="6"/>
      <c r="P3586" s="6"/>
      <c r="Q3586" s="6"/>
      <c r="R3586" s="6"/>
      <c r="S3586" s="6"/>
      <c r="T3586" s="6"/>
      <c r="U3586" s="6"/>
      <c r="V3586" s="6"/>
      <c r="W3586" s="6"/>
      <c r="X3586" s="6"/>
      <c r="Y3586" s="6"/>
      <c r="Z3586" s="6"/>
    </row>
    <row r="3587" customFormat="false" ht="15" hidden="false" customHeight="false" outlineLevel="0" collapsed="false">
      <c r="A3587" s="9" t="s">
        <v>9430</v>
      </c>
      <c r="B3587" s="9" t="s">
        <v>5870</v>
      </c>
      <c r="C3587" s="9" t="s">
        <v>3846</v>
      </c>
      <c r="D3587" s="9" t="s">
        <v>5871</v>
      </c>
      <c r="E3587" s="9" t="str">
        <f aca="false">IF(AND('Formation Ledger'!A3566&lt;&gt;"",'Formation Ledger'!V3566=0),"PASS","FAIL")</f>
        <v>PASS</v>
      </c>
      <c r="F3587" s="9" t="s">
        <v>76</v>
      </c>
      <c r="G3587" s="6"/>
      <c r="H3587" s="6"/>
      <c r="I3587" s="6"/>
      <c r="J3587" s="6"/>
      <c r="K3587" s="6"/>
      <c r="L3587" s="6"/>
      <c r="M3587" s="6"/>
      <c r="N3587" s="6"/>
      <c r="O3587" s="6"/>
      <c r="P3587" s="6"/>
      <c r="Q3587" s="6"/>
      <c r="R3587" s="6"/>
      <c r="S3587" s="6"/>
      <c r="T3587" s="6"/>
      <c r="U3587" s="6"/>
      <c r="V3587" s="6"/>
      <c r="W3587" s="6"/>
      <c r="X3587" s="6"/>
      <c r="Y3587" s="6"/>
      <c r="Z3587" s="6"/>
    </row>
    <row r="3588" customFormat="false" ht="15" hidden="false" customHeight="false" outlineLevel="0" collapsed="false">
      <c r="A3588" s="9" t="s">
        <v>9431</v>
      </c>
      <c r="B3588" s="9" t="s">
        <v>5870</v>
      </c>
      <c r="C3588" s="9" t="s">
        <v>3847</v>
      </c>
      <c r="D3588" s="9" t="s">
        <v>5871</v>
      </c>
      <c r="E3588" s="9" t="str">
        <f aca="false">IF(AND('Formation Ledger'!A3567&lt;&gt;"",'Formation Ledger'!V3567=0),"PASS","FAIL")</f>
        <v>PASS</v>
      </c>
      <c r="F3588" s="9" t="s">
        <v>76</v>
      </c>
      <c r="G3588" s="6"/>
      <c r="H3588" s="6"/>
      <c r="I3588" s="6"/>
      <c r="J3588" s="6"/>
      <c r="K3588" s="6"/>
      <c r="L3588" s="6"/>
      <c r="M3588" s="6"/>
      <c r="N3588" s="6"/>
      <c r="O3588" s="6"/>
      <c r="P3588" s="6"/>
      <c r="Q3588" s="6"/>
      <c r="R3588" s="6"/>
      <c r="S3588" s="6"/>
      <c r="T3588" s="6"/>
      <c r="U3588" s="6"/>
      <c r="V3588" s="6"/>
      <c r="W3588" s="6"/>
      <c r="X3588" s="6"/>
      <c r="Y3588" s="6"/>
      <c r="Z3588" s="6"/>
    </row>
    <row r="3589" customFormat="false" ht="15" hidden="false" customHeight="false" outlineLevel="0" collapsed="false">
      <c r="A3589" s="9" t="s">
        <v>9432</v>
      </c>
      <c r="B3589" s="9" t="s">
        <v>5870</v>
      </c>
      <c r="C3589" s="9" t="s">
        <v>3848</v>
      </c>
      <c r="D3589" s="9" t="s">
        <v>5871</v>
      </c>
      <c r="E3589" s="9" t="str">
        <f aca="false">IF(AND('Formation Ledger'!A3568&lt;&gt;"",'Formation Ledger'!V3568=0),"PASS","FAIL")</f>
        <v>PASS</v>
      </c>
      <c r="F3589" s="9" t="s">
        <v>76</v>
      </c>
      <c r="G3589" s="6"/>
      <c r="H3589" s="6"/>
      <c r="I3589" s="6"/>
      <c r="J3589" s="6"/>
      <c r="K3589" s="6"/>
      <c r="L3589" s="6"/>
      <c r="M3589" s="6"/>
      <c r="N3589" s="6"/>
      <c r="O3589" s="6"/>
      <c r="P3589" s="6"/>
      <c r="Q3589" s="6"/>
      <c r="R3589" s="6"/>
      <c r="S3589" s="6"/>
      <c r="T3589" s="6"/>
      <c r="U3589" s="6"/>
      <c r="V3589" s="6"/>
      <c r="W3589" s="6"/>
      <c r="X3589" s="6"/>
      <c r="Y3589" s="6"/>
      <c r="Z3589" s="6"/>
    </row>
    <row r="3590" customFormat="false" ht="15" hidden="false" customHeight="false" outlineLevel="0" collapsed="false">
      <c r="A3590" s="9" t="s">
        <v>9433</v>
      </c>
      <c r="B3590" s="9" t="s">
        <v>5870</v>
      </c>
      <c r="C3590" s="9" t="s">
        <v>3849</v>
      </c>
      <c r="D3590" s="9" t="s">
        <v>5871</v>
      </c>
      <c r="E3590" s="9" t="str">
        <f aca="false">IF(AND('Formation Ledger'!A3569&lt;&gt;"",'Formation Ledger'!V3569=0),"PASS","FAIL")</f>
        <v>PASS</v>
      </c>
      <c r="F3590" s="9" t="s">
        <v>76</v>
      </c>
      <c r="G3590" s="6"/>
      <c r="H3590" s="6"/>
      <c r="I3590" s="6"/>
      <c r="J3590" s="6"/>
      <c r="K3590" s="6"/>
      <c r="L3590" s="6"/>
      <c r="M3590" s="6"/>
      <c r="N3590" s="6"/>
      <c r="O3590" s="6"/>
      <c r="P3590" s="6"/>
      <c r="Q3590" s="6"/>
      <c r="R3590" s="6"/>
      <c r="S3590" s="6"/>
      <c r="T3590" s="6"/>
      <c r="U3590" s="6"/>
      <c r="V3590" s="6"/>
      <c r="W3590" s="6"/>
      <c r="X3590" s="6"/>
      <c r="Y3590" s="6"/>
      <c r="Z3590" s="6"/>
    </row>
    <row r="3591" customFormat="false" ht="15" hidden="false" customHeight="false" outlineLevel="0" collapsed="false">
      <c r="A3591" s="9" t="s">
        <v>9434</v>
      </c>
      <c r="B3591" s="9" t="s">
        <v>5870</v>
      </c>
      <c r="C3591" s="9" t="s">
        <v>3850</v>
      </c>
      <c r="D3591" s="9" t="s">
        <v>5871</v>
      </c>
      <c r="E3591" s="9" t="str">
        <f aca="false">IF(AND('Formation Ledger'!A3570&lt;&gt;"",'Formation Ledger'!V3570=0),"PASS","FAIL")</f>
        <v>PASS</v>
      </c>
      <c r="F3591" s="9" t="s">
        <v>76</v>
      </c>
      <c r="G3591" s="6"/>
      <c r="H3591" s="6"/>
      <c r="I3591" s="6"/>
      <c r="J3591" s="6"/>
      <c r="K3591" s="6"/>
      <c r="L3591" s="6"/>
      <c r="M3591" s="6"/>
      <c r="N3591" s="6"/>
      <c r="O3591" s="6"/>
      <c r="P3591" s="6"/>
      <c r="Q3591" s="6"/>
      <c r="R3591" s="6"/>
      <c r="S3591" s="6"/>
      <c r="T3591" s="6"/>
      <c r="U3591" s="6"/>
      <c r="V3591" s="6"/>
      <c r="W3591" s="6"/>
      <c r="X3591" s="6"/>
      <c r="Y3591" s="6"/>
      <c r="Z3591" s="6"/>
    </row>
    <row r="3592" customFormat="false" ht="15" hidden="false" customHeight="false" outlineLevel="0" collapsed="false">
      <c r="A3592" s="9" t="s">
        <v>9435</v>
      </c>
      <c r="B3592" s="9" t="s">
        <v>5870</v>
      </c>
      <c r="C3592" s="9" t="s">
        <v>3851</v>
      </c>
      <c r="D3592" s="9" t="s">
        <v>5871</v>
      </c>
      <c r="E3592" s="9" t="str">
        <f aca="false">IF(AND('Formation Ledger'!A3571&lt;&gt;"",'Formation Ledger'!V3571=0),"PASS","FAIL")</f>
        <v>PASS</v>
      </c>
      <c r="F3592" s="9" t="s">
        <v>76</v>
      </c>
      <c r="G3592" s="6"/>
      <c r="H3592" s="6"/>
      <c r="I3592" s="6"/>
      <c r="J3592" s="6"/>
      <c r="K3592" s="6"/>
      <c r="L3592" s="6"/>
      <c r="M3592" s="6"/>
      <c r="N3592" s="6"/>
      <c r="O3592" s="6"/>
      <c r="P3592" s="6"/>
      <c r="Q3592" s="6"/>
      <c r="R3592" s="6"/>
      <c r="S3592" s="6"/>
      <c r="T3592" s="6"/>
      <c r="U3592" s="6"/>
      <c r="V3592" s="6"/>
      <c r="W3592" s="6"/>
      <c r="X3592" s="6"/>
      <c r="Y3592" s="6"/>
      <c r="Z3592" s="6"/>
    </row>
    <row r="3593" customFormat="false" ht="15" hidden="false" customHeight="false" outlineLevel="0" collapsed="false">
      <c r="A3593" s="9" t="s">
        <v>9436</v>
      </c>
      <c r="B3593" s="9" t="s">
        <v>5870</v>
      </c>
      <c r="C3593" s="9" t="s">
        <v>3852</v>
      </c>
      <c r="D3593" s="9" t="s">
        <v>5871</v>
      </c>
      <c r="E3593" s="9" t="str">
        <f aca="false">IF(AND('Formation Ledger'!A3572&lt;&gt;"",'Formation Ledger'!V3572=0),"PASS","FAIL")</f>
        <v>PASS</v>
      </c>
      <c r="F3593" s="9" t="s">
        <v>76</v>
      </c>
      <c r="G3593" s="6"/>
      <c r="H3593" s="6"/>
      <c r="I3593" s="6"/>
      <c r="J3593" s="6"/>
      <c r="K3593" s="6"/>
      <c r="L3593" s="6"/>
      <c r="M3593" s="6"/>
      <c r="N3593" s="6"/>
      <c r="O3593" s="6"/>
      <c r="P3593" s="6"/>
      <c r="Q3593" s="6"/>
      <c r="R3593" s="6"/>
      <c r="S3593" s="6"/>
      <c r="T3593" s="6"/>
      <c r="U3593" s="6"/>
      <c r="V3593" s="6"/>
      <c r="W3593" s="6"/>
      <c r="X3593" s="6"/>
      <c r="Y3593" s="6"/>
      <c r="Z3593" s="6"/>
    </row>
    <row r="3594" customFormat="false" ht="15" hidden="false" customHeight="false" outlineLevel="0" collapsed="false">
      <c r="A3594" s="9" t="s">
        <v>9437</v>
      </c>
      <c r="B3594" s="9" t="s">
        <v>5870</v>
      </c>
      <c r="C3594" s="9" t="s">
        <v>3853</v>
      </c>
      <c r="D3594" s="9" t="s">
        <v>5871</v>
      </c>
      <c r="E3594" s="9" t="str">
        <f aca="false">IF(AND('Formation Ledger'!A3573&lt;&gt;"",'Formation Ledger'!V3573=0),"PASS","FAIL")</f>
        <v>PASS</v>
      </c>
      <c r="F3594" s="9" t="s">
        <v>76</v>
      </c>
      <c r="G3594" s="6"/>
      <c r="H3594" s="6"/>
      <c r="I3594" s="6"/>
      <c r="J3594" s="6"/>
      <c r="K3594" s="6"/>
      <c r="L3594" s="6"/>
      <c r="M3594" s="6"/>
      <c r="N3594" s="6"/>
      <c r="O3594" s="6"/>
      <c r="P3594" s="6"/>
      <c r="Q3594" s="6"/>
      <c r="R3594" s="6"/>
      <c r="S3594" s="6"/>
      <c r="T3594" s="6"/>
      <c r="U3594" s="6"/>
      <c r="V3594" s="6"/>
      <c r="W3594" s="6"/>
      <c r="X3594" s="6"/>
      <c r="Y3594" s="6"/>
      <c r="Z3594" s="6"/>
    </row>
    <row r="3595" customFormat="false" ht="15" hidden="false" customHeight="false" outlineLevel="0" collapsed="false">
      <c r="A3595" s="9" t="s">
        <v>9438</v>
      </c>
      <c r="B3595" s="9" t="s">
        <v>5870</v>
      </c>
      <c r="C3595" s="9" t="s">
        <v>3854</v>
      </c>
      <c r="D3595" s="9" t="s">
        <v>5871</v>
      </c>
      <c r="E3595" s="9" t="str">
        <f aca="false">IF(AND('Formation Ledger'!A3574&lt;&gt;"",'Formation Ledger'!V3574=0),"PASS","FAIL")</f>
        <v>PASS</v>
      </c>
      <c r="F3595" s="9" t="s">
        <v>76</v>
      </c>
      <c r="G3595" s="6"/>
      <c r="H3595" s="6"/>
      <c r="I3595" s="6"/>
      <c r="J3595" s="6"/>
      <c r="K3595" s="6"/>
      <c r="L3595" s="6"/>
      <c r="M3595" s="6"/>
      <c r="N3595" s="6"/>
      <c r="O3595" s="6"/>
      <c r="P3595" s="6"/>
      <c r="Q3595" s="6"/>
      <c r="R3595" s="6"/>
      <c r="S3595" s="6"/>
      <c r="T3595" s="6"/>
      <c r="U3595" s="6"/>
      <c r="V3595" s="6"/>
      <c r="W3595" s="6"/>
      <c r="X3595" s="6"/>
      <c r="Y3595" s="6"/>
      <c r="Z3595" s="6"/>
    </row>
    <row r="3596" customFormat="false" ht="15" hidden="false" customHeight="false" outlineLevel="0" collapsed="false">
      <c r="A3596" s="9" t="s">
        <v>9439</v>
      </c>
      <c r="B3596" s="9" t="s">
        <v>5870</v>
      </c>
      <c r="C3596" s="9" t="s">
        <v>3855</v>
      </c>
      <c r="D3596" s="9" t="s">
        <v>5871</v>
      </c>
      <c r="E3596" s="9" t="str">
        <f aca="false">IF(AND('Formation Ledger'!A3575&lt;&gt;"",'Formation Ledger'!V3575=0),"PASS","FAIL")</f>
        <v>PASS</v>
      </c>
      <c r="F3596" s="9" t="s">
        <v>76</v>
      </c>
      <c r="G3596" s="6"/>
      <c r="H3596" s="6"/>
      <c r="I3596" s="6"/>
      <c r="J3596" s="6"/>
      <c r="K3596" s="6"/>
      <c r="L3596" s="6"/>
      <c r="M3596" s="6"/>
      <c r="N3596" s="6"/>
      <c r="O3596" s="6"/>
      <c r="P3596" s="6"/>
      <c r="Q3596" s="6"/>
      <c r="R3596" s="6"/>
      <c r="S3596" s="6"/>
      <c r="T3596" s="6"/>
      <c r="U3596" s="6"/>
      <c r="V3596" s="6"/>
      <c r="W3596" s="6"/>
      <c r="X3596" s="6"/>
      <c r="Y3596" s="6"/>
      <c r="Z3596" s="6"/>
    </row>
    <row r="3597" customFormat="false" ht="15" hidden="false" customHeight="false" outlineLevel="0" collapsed="false">
      <c r="A3597" s="9" t="s">
        <v>9440</v>
      </c>
      <c r="B3597" s="9" t="s">
        <v>5870</v>
      </c>
      <c r="C3597" s="9" t="s">
        <v>3856</v>
      </c>
      <c r="D3597" s="9" t="s">
        <v>5871</v>
      </c>
      <c r="E3597" s="9" t="str">
        <f aca="false">IF(AND('Formation Ledger'!A3576&lt;&gt;"",'Formation Ledger'!V3576=0),"PASS","FAIL")</f>
        <v>PASS</v>
      </c>
      <c r="F3597" s="9" t="s">
        <v>76</v>
      </c>
      <c r="G3597" s="6"/>
      <c r="H3597" s="6"/>
      <c r="I3597" s="6"/>
      <c r="J3597" s="6"/>
      <c r="K3597" s="6"/>
      <c r="L3597" s="6"/>
      <c r="M3597" s="6"/>
      <c r="N3597" s="6"/>
      <c r="O3597" s="6"/>
      <c r="P3597" s="6"/>
      <c r="Q3597" s="6"/>
      <c r="R3597" s="6"/>
      <c r="S3597" s="6"/>
      <c r="T3597" s="6"/>
      <c r="U3597" s="6"/>
      <c r="V3597" s="6"/>
      <c r="W3597" s="6"/>
      <c r="X3597" s="6"/>
      <c r="Y3597" s="6"/>
      <c r="Z3597" s="6"/>
    </row>
    <row r="3598" customFormat="false" ht="15" hidden="false" customHeight="false" outlineLevel="0" collapsed="false">
      <c r="A3598" s="9" t="s">
        <v>9441</v>
      </c>
      <c r="B3598" s="9" t="s">
        <v>5870</v>
      </c>
      <c r="C3598" s="9" t="s">
        <v>3857</v>
      </c>
      <c r="D3598" s="9" t="s">
        <v>5871</v>
      </c>
      <c r="E3598" s="9" t="str">
        <f aca="false">IF(AND('Formation Ledger'!A3577&lt;&gt;"",'Formation Ledger'!V3577=0),"PASS","FAIL")</f>
        <v>PASS</v>
      </c>
      <c r="F3598" s="9" t="s">
        <v>76</v>
      </c>
      <c r="G3598" s="6"/>
      <c r="H3598" s="6"/>
      <c r="I3598" s="6"/>
      <c r="J3598" s="6"/>
      <c r="K3598" s="6"/>
      <c r="L3598" s="6"/>
      <c r="M3598" s="6"/>
      <c r="N3598" s="6"/>
      <c r="O3598" s="6"/>
      <c r="P3598" s="6"/>
      <c r="Q3598" s="6"/>
      <c r="R3598" s="6"/>
      <c r="S3598" s="6"/>
      <c r="T3598" s="6"/>
      <c r="U3598" s="6"/>
      <c r="V3598" s="6"/>
      <c r="W3598" s="6"/>
      <c r="X3598" s="6"/>
      <c r="Y3598" s="6"/>
      <c r="Z3598" s="6"/>
    </row>
    <row r="3599" customFormat="false" ht="15" hidden="false" customHeight="false" outlineLevel="0" collapsed="false">
      <c r="A3599" s="9" t="s">
        <v>9442</v>
      </c>
      <c r="B3599" s="9" t="s">
        <v>5870</v>
      </c>
      <c r="C3599" s="9" t="s">
        <v>3858</v>
      </c>
      <c r="D3599" s="9" t="s">
        <v>5871</v>
      </c>
      <c r="E3599" s="9" t="str">
        <f aca="false">IF(AND('Formation Ledger'!A3578&lt;&gt;"",'Formation Ledger'!V3578=0),"PASS","FAIL")</f>
        <v>PASS</v>
      </c>
      <c r="F3599" s="9" t="s">
        <v>76</v>
      </c>
      <c r="G3599" s="6"/>
      <c r="H3599" s="6"/>
      <c r="I3599" s="6"/>
      <c r="J3599" s="6"/>
      <c r="K3599" s="6"/>
      <c r="L3599" s="6"/>
      <c r="M3599" s="6"/>
      <c r="N3599" s="6"/>
      <c r="O3599" s="6"/>
      <c r="P3599" s="6"/>
      <c r="Q3599" s="6"/>
      <c r="R3599" s="6"/>
      <c r="S3599" s="6"/>
      <c r="T3599" s="6"/>
      <c r="U3599" s="6"/>
      <c r="V3599" s="6"/>
      <c r="W3599" s="6"/>
      <c r="X3599" s="6"/>
      <c r="Y3599" s="6"/>
      <c r="Z3599" s="6"/>
    </row>
    <row r="3600" customFormat="false" ht="15" hidden="false" customHeight="false" outlineLevel="0" collapsed="false">
      <c r="A3600" s="9" t="s">
        <v>9443</v>
      </c>
      <c r="B3600" s="9" t="s">
        <v>5870</v>
      </c>
      <c r="C3600" s="9" t="s">
        <v>3859</v>
      </c>
      <c r="D3600" s="9" t="s">
        <v>5871</v>
      </c>
      <c r="E3600" s="9" t="str">
        <f aca="false">IF(AND('Formation Ledger'!A3579&lt;&gt;"",'Formation Ledger'!V3579=0),"PASS","FAIL")</f>
        <v>PASS</v>
      </c>
      <c r="F3600" s="9" t="s">
        <v>76</v>
      </c>
      <c r="G3600" s="6"/>
      <c r="H3600" s="6"/>
      <c r="I3600" s="6"/>
      <c r="J3600" s="6"/>
      <c r="K3600" s="6"/>
      <c r="L3600" s="6"/>
      <c r="M3600" s="6"/>
      <c r="N3600" s="6"/>
      <c r="O3600" s="6"/>
      <c r="P3600" s="6"/>
      <c r="Q3600" s="6"/>
      <c r="R3600" s="6"/>
      <c r="S3600" s="6"/>
      <c r="T3600" s="6"/>
      <c r="U3600" s="6"/>
      <c r="V3600" s="6"/>
      <c r="W3600" s="6"/>
      <c r="X3600" s="6"/>
      <c r="Y3600" s="6"/>
      <c r="Z3600" s="6"/>
    </row>
    <row r="3601" customFormat="false" ht="15" hidden="false" customHeight="false" outlineLevel="0" collapsed="false">
      <c r="A3601" s="9" t="s">
        <v>9444</v>
      </c>
      <c r="B3601" s="9" t="s">
        <v>5870</v>
      </c>
      <c r="C3601" s="9" t="s">
        <v>3860</v>
      </c>
      <c r="D3601" s="9" t="s">
        <v>5871</v>
      </c>
      <c r="E3601" s="9" t="str">
        <f aca="false">IF(AND('Formation Ledger'!A3580&lt;&gt;"",'Formation Ledger'!V3580=0),"PASS","FAIL")</f>
        <v>PASS</v>
      </c>
      <c r="F3601" s="9" t="s">
        <v>76</v>
      </c>
      <c r="G3601" s="6"/>
      <c r="H3601" s="6"/>
      <c r="I3601" s="6"/>
      <c r="J3601" s="6"/>
      <c r="K3601" s="6"/>
      <c r="L3601" s="6"/>
      <c r="M3601" s="6"/>
      <c r="N3601" s="6"/>
      <c r="O3601" s="6"/>
      <c r="P3601" s="6"/>
      <c r="Q3601" s="6"/>
      <c r="R3601" s="6"/>
      <c r="S3601" s="6"/>
      <c r="T3601" s="6"/>
      <c r="U3601" s="6"/>
      <c r="V3601" s="6"/>
      <c r="W3601" s="6"/>
      <c r="X3601" s="6"/>
      <c r="Y3601" s="6"/>
      <c r="Z3601" s="6"/>
    </row>
    <row r="3602" customFormat="false" ht="15" hidden="false" customHeight="false" outlineLevel="0" collapsed="false">
      <c r="A3602" s="9" t="s">
        <v>9445</v>
      </c>
      <c r="B3602" s="9" t="s">
        <v>5870</v>
      </c>
      <c r="C3602" s="9" t="s">
        <v>3861</v>
      </c>
      <c r="D3602" s="9" t="s">
        <v>5871</v>
      </c>
      <c r="E3602" s="9" t="str">
        <f aca="false">IF(AND('Formation Ledger'!A3581&lt;&gt;"",'Formation Ledger'!V3581=0),"PASS","FAIL")</f>
        <v>PASS</v>
      </c>
      <c r="F3602" s="9" t="s">
        <v>76</v>
      </c>
      <c r="G3602" s="6"/>
      <c r="H3602" s="6"/>
      <c r="I3602" s="6"/>
      <c r="J3602" s="6"/>
      <c r="K3602" s="6"/>
      <c r="L3602" s="6"/>
      <c r="M3602" s="6"/>
      <c r="N3602" s="6"/>
      <c r="O3602" s="6"/>
      <c r="P3602" s="6"/>
      <c r="Q3602" s="6"/>
      <c r="R3602" s="6"/>
      <c r="S3602" s="6"/>
      <c r="T3602" s="6"/>
      <c r="U3602" s="6"/>
      <c r="V3602" s="6"/>
      <c r="W3602" s="6"/>
      <c r="X3602" s="6"/>
      <c r="Y3602" s="6"/>
      <c r="Z3602" s="6"/>
    </row>
    <row r="3603" customFormat="false" ht="15" hidden="false" customHeight="false" outlineLevel="0" collapsed="false">
      <c r="A3603" s="9" t="s">
        <v>9446</v>
      </c>
      <c r="B3603" s="9" t="s">
        <v>5870</v>
      </c>
      <c r="C3603" s="9" t="s">
        <v>3862</v>
      </c>
      <c r="D3603" s="9" t="s">
        <v>5871</v>
      </c>
      <c r="E3603" s="9" t="str">
        <f aca="false">IF(AND('Formation Ledger'!A3582&lt;&gt;"",'Formation Ledger'!V3582=0),"PASS","FAIL")</f>
        <v>PASS</v>
      </c>
      <c r="F3603" s="9" t="s">
        <v>76</v>
      </c>
      <c r="G3603" s="6"/>
      <c r="H3603" s="6"/>
      <c r="I3603" s="6"/>
      <c r="J3603" s="6"/>
      <c r="K3603" s="6"/>
      <c r="L3603" s="6"/>
      <c r="M3603" s="6"/>
      <c r="N3603" s="6"/>
      <c r="O3603" s="6"/>
      <c r="P3603" s="6"/>
      <c r="Q3603" s="6"/>
      <c r="R3603" s="6"/>
      <c r="S3603" s="6"/>
      <c r="T3603" s="6"/>
      <c r="U3603" s="6"/>
      <c r="V3603" s="6"/>
      <c r="W3603" s="6"/>
      <c r="X3603" s="6"/>
      <c r="Y3603" s="6"/>
      <c r="Z3603" s="6"/>
    </row>
    <row r="3604" customFormat="false" ht="15" hidden="false" customHeight="false" outlineLevel="0" collapsed="false">
      <c r="A3604" s="9" t="s">
        <v>9447</v>
      </c>
      <c r="B3604" s="9" t="s">
        <v>5870</v>
      </c>
      <c r="C3604" s="9" t="s">
        <v>3863</v>
      </c>
      <c r="D3604" s="9" t="s">
        <v>5871</v>
      </c>
      <c r="E3604" s="9" t="str">
        <f aca="false">IF(AND('Formation Ledger'!A3583&lt;&gt;"",'Formation Ledger'!V3583=0),"PASS","FAIL")</f>
        <v>PASS</v>
      </c>
      <c r="F3604" s="9" t="s">
        <v>76</v>
      </c>
      <c r="G3604" s="6"/>
      <c r="H3604" s="6"/>
      <c r="I3604" s="6"/>
      <c r="J3604" s="6"/>
      <c r="K3604" s="6"/>
      <c r="L3604" s="6"/>
      <c r="M3604" s="6"/>
      <c r="N3604" s="6"/>
      <c r="O3604" s="6"/>
      <c r="P3604" s="6"/>
      <c r="Q3604" s="6"/>
      <c r="R3604" s="6"/>
      <c r="S3604" s="6"/>
      <c r="T3604" s="6"/>
      <c r="U3604" s="6"/>
      <c r="V3604" s="6"/>
      <c r="W3604" s="6"/>
      <c r="X3604" s="6"/>
      <c r="Y3604" s="6"/>
      <c r="Z3604" s="6"/>
    </row>
    <row r="3605" customFormat="false" ht="15" hidden="false" customHeight="false" outlineLevel="0" collapsed="false">
      <c r="A3605" s="9" t="s">
        <v>9448</v>
      </c>
      <c r="B3605" s="9" t="s">
        <v>5870</v>
      </c>
      <c r="C3605" s="9" t="s">
        <v>3864</v>
      </c>
      <c r="D3605" s="9" t="s">
        <v>5871</v>
      </c>
      <c r="E3605" s="9" t="str">
        <f aca="false">IF(AND('Formation Ledger'!A3584&lt;&gt;"",'Formation Ledger'!V3584=0),"PASS","FAIL")</f>
        <v>PASS</v>
      </c>
      <c r="F3605" s="9" t="s">
        <v>76</v>
      </c>
      <c r="G3605" s="6"/>
      <c r="H3605" s="6"/>
      <c r="I3605" s="6"/>
      <c r="J3605" s="6"/>
      <c r="K3605" s="6"/>
      <c r="L3605" s="6"/>
      <c r="M3605" s="6"/>
      <c r="N3605" s="6"/>
      <c r="O3605" s="6"/>
      <c r="P3605" s="6"/>
      <c r="Q3605" s="6"/>
      <c r="R3605" s="6"/>
      <c r="S3605" s="6"/>
      <c r="T3605" s="6"/>
      <c r="U3605" s="6"/>
      <c r="V3605" s="6"/>
      <c r="W3605" s="6"/>
      <c r="X3605" s="6"/>
      <c r="Y3605" s="6"/>
      <c r="Z3605" s="6"/>
    </row>
    <row r="3606" customFormat="false" ht="15" hidden="false" customHeight="false" outlineLevel="0" collapsed="false">
      <c r="A3606" s="9" t="s">
        <v>9449</v>
      </c>
      <c r="B3606" s="9" t="s">
        <v>5870</v>
      </c>
      <c r="C3606" s="9" t="s">
        <v>3865</v>
      </c>
      <c r="D3606" s="9" t="s">
        <v>5871</v>
      </c>
      <c r="E3606" s="9" t="str">
        <f aca="false">IF(AND('Formation Ledger'!A3585&lt;&gt;"",'Formation Ledger'!V3585=0),"PASS","FAIL")</f>
        <v>PASS</v>
      </c>
      <c r="F3606" s="9" t="s">
        <v>76</v>
      </c>
      <c r="G3606" s="6"/>
      <c r="H3606" s="6"/>
      <c r="I3606" s="6"/>
      <c r="J3606" s="6"/>
      <c r="K3606" s="6"/>
      <c r="L3606" s="6"/>
      <c r="M3606" s="6"/>
      <c r="N3606" s="6"/>
      <c r="O3606" s="6"/>
      <c r="P3606" s="6"/>
      <c r="Q3606" s="6"/>
      <c r="R3606" s="6"/>
      <c r="S3606" s="6"/>
      <c r="T3606" s="6"/>
      <c r="U3606" s="6"/>
      <c r="V3606" s="6"/>
      <c r="W3606" s="6"/>
      <c r="X3606" s="6"/>
      <c r="Y3606" s="6"/>
      <c r="Z3606" s="6"/>
    </row>
    <row r="3607" customFormat="false" ht="15" hidden="false" customHeight="false" outlineLevel="0" collapsed="false">
      <c r="A3607" s="9" t="s">
        <v>9450</v>
      </c>
      <c r="B3607" s="9" t="s">
        <v>5870</v>
      </c>
      <c r="C3607" s="9" t="s">
        <v>3866</v>
      </c>
      <c r="D3607" s="9" t="s">
        <v>5871</v>
      </c>
      <c r="E3607" s="9" t="str">
        <f aca="false">IF(AND('Formation Ledger'!A3586&lt;&gt;"",'Formation Ledger'!V3586=0),"PASS","FAIL")</f>
        <v>PASS</v>
      </c>
      <c r="F3607" s="9" t="s">
        <v>76</v>
      </c>
      <c r="G3607" s="6"/>
      <c r="H3607" s="6"/>
      <c r="I3607" s="6"/>
      <c r="J3607" s="6"/>
      <c r="K3607" s="6"/>
      <c r="L3607" s="6"/>
      <c r="M3607" s="6"/>
      <c r="N3607" s="6"/>
      <c r="O3607" s="6"/>
      <c r="P3607" s="6"/>
      <c r="Q3607" s="6"/>
      <c r="R3607" s="6"/>
      <c r="S3607" s="6"/>
      <c r="T3607" s="6"/>
      <c r="U3607" s="6"/>
      <c r="V3607" s="6"/>
      <c r="W3607" s="6"/>
      <c r="X3607" s="6"/>
      <c r="Y3607" s="6"/>
      <c r="Z3607" s="6"/>
    </row>
    <row r="3608" customFormat="false" ht="15" hidden="false" customHeight="false" outlineLevel="0" collapsed="false">
      <c r="A3608" s="9" t="s">
        <v>9451</v>
      </c>
      <c r="B3608" s="9" t="s">
        <v>5870</v>
      </c>
      <c r="C3608" s="9" t="s">
        <v>3867</v>
      </c>
      <c r="D3608" s="9" t="s">
        <v>5871</v>
      </c>
      <c r="E3608" s="9" t="str">
        <f aca="false">IF(AND('Formation Ledger'!A3587&lt;&gt;"",'Formation Ledger'!V3587=0),"PASS","FAIL")</f>
        <v>PASS</v>
      </c>
      <c r="F3608" s="9" t="s">
        <v>76</v>
      </c>
      <c r="G3608" s="6"/>
      <c r="H3608" s="6"/>
      <c r="I3608" s="6"/>
      <c r="J3608" s="6"/>
      <c r="K3608" s="6"/>
      <c r="L3608" s="6"/>
      <c r="M3608" s="6"/>
      <c r="N3608" s="6"/>
      <c r="O3608" s="6"/>
      <c r="P3608" s="6"/>
      <c r="Q3608" s="6"/>
      <c r="R3608" s="6"/>
      <c r="S3608" s="6"/>
      <c r="T3608" s="6"/>
      <c r="U3608" s="6"/>
      <c r="V3608" s="6"/>
      <c r="W3608" s="6"/>
      <c r="X3608" s="6"/>
      <c r="Y3608" s="6"/>
      <c r="Z3608" s="6"/>
    </row>
    <row r="3609" customFormat="false" ht="15" hidden="false" customHeight="false" outlineLevel="0" collapsed="false">
      <c r="A3609" s="9" t="s">
        <v>9452</v>
      </c>
      <c r="B3609" s="9" t="s">
        <v>5870</v>
      </c>
      <c r="C3609" s="9" t="s">
        <v>3868</v>
      </c>
      <c r="D3609" s="9" t="s">
        <v>5871</v>
      </c>
      <c r="E3609" s="9" t="str">
        <f aca="false">IF(AND('Formation Ledger'!A3588&lt;&gt;"",'Formation Ledger'!V3588=0),"PASS","FAIL")</f>
        <v>PASS</v>
      </c>
      <c r="F3609" s="9" t="s">
        <v>76</v>
      </c>
      <c r="G3609" s="6"/>
      <c r="H3609" s="6"/>
      <c r="I3609" s="6"/>
      <c r="J3609" s="6"/>
      <c r="K3609" s="6"/>
      <c r="L3609" s="6"/>
      <c r="M3609" s="6"/>
      <c r="N3609" s="6"/>
      <c r="O3609" s="6"/>
      <c r="P3609" s="6"/>
      <c r="Q3609" s="6"/>
      <c r="R3609" s="6"/>
      <c r="S3609" s="6"/>
      <c r="T3609" s="6"/>
      <c r="U3609" s="6"/>
      <c r="V3609" s="6"/>
      <c r="W3609" s="6"/>
      <c r="X3609" s="6"/>
      <c r="Y3609" s="6"/>
      <c r="Z3609" s="6"/>
    </row>
    <row r="3610" customFormat="false" ht="15" hidden="false" customHeight="false" outlineLevel="0" collapsed="false">
      <c r="A3610" s="9" t="s">
        <v>9453</v>
      </c>
      <c r="B3610" s="9" t="s">
        <v>5870</v>
      </c>
      <c r="C3610" s="9" t="s">
        <v>3869</v>
      </c>
      <c r="D3610" s="9" t="s">
        <v>5871</v>
      </c>
      <c r="E3610" s="9" t="str">
        <f aca="false">IF(AND('Formation Ledger'!A3589&lt;&gt;"",'Formation Ledger'!V3589=0),"PASS","FAIL")</f>
        <v>PASS</v>
      </c>
      <c r="F3610" s="9" t="s">
        <v>76</v>
      </c>
      <c r="G3610" s="6"/>
      <c r="H3610" s="6"/>
      <c r="I3610" s="6"/>
      <c r="J3610" s="6"/>
      <c r="K3610" s="6"/>
      <c r="L3610" s="6"/>
      <c r="M3610" s="6"/>
      <c r="N3610" s="6"/>
      <c r="O3610" s="6"/>
      <c r="P3610" s="6"/>
      <c r="Q3610" s="6"/>
      <c r="R3610" s="6"/>
      <c r="S3610" s="6"/>
      <c r="T3610" s="6"/>
      <c r="U3610" s="6"/>
      <c r="V3610" s="6"/>
      <c r="W3610" s="6"/>
      <c r="X3610" s="6"/>
      <c r="Y3610" s="6"/>
      <c r="Z3610" s="6"/>
    </row>
    <row r="3611" customFormat="false" ht="15" hidden="false" customHeight="false" outlineLevel="0" collapsed="false">
      <c r="A3611" s="9" t="s">
        <v>9454</v>
      </c>
      <c r="B3611" s="9" t="s">
        <v>5870</v>
      </c>
      <c r="C3611" s="9" t="s">
        <v>3870</v>
      </c>
      <c r="D3611" s="9" t="s">
        <v>5871</v>
      </c>
      <c r="E3611" s="9" t="str">
        <f aca="false">IF(AND('Formation Ledger'!A3590&lt;&gt;"",'Formation Ledger'!V3590=0),"PASS","FAIL")</f>
        <v>PASS</v>
      </c>
      <c r="F3611" s="9" t="s">
        <v>76</v>
      </c>
      <c r="G3611" s="6"/>
      <c r="H3611" s="6"/>
      <c r="I3611" s="6"/>
      <c r="J3611" s="6"/>
      <c r="K3611" s="6"/>
      <c r="L3611" s="6"/>
      <c r="M3611" s="6"/>
      <c r="N3611" s="6"/>
      <c r="O3611" s="6"/>
      <c r="P3611" s="6"/>
      <c r="Q3611" s="6"/>
      <c r="R3611" s="6"/>
      <c r="S3611" s="6"/>
      <c r="T3611" s="6"/>
      <c r="U3611" s="6"/>
      <c r="V3611" s="6"/>
      <c r="W3611" s="6"/>
      <c r="X3611" s="6"/>
      <c r="Y3611" s="6"/>
      <c r="Z3611" s="6"/>
    </row>
    <row r="3612" customFormat="false" ht="15" hidden="false" customHeight="false" outlineLevel="0" collapsed="false">
      <c r="A3612" s="9" t="s">
        <v>9455</v>
      </c>
      <c r="B3612" s="9" t="s">
        <v>5870</v>
      </c>
      <c r="C3612" s="9" t="s">
        <v>3871</v>
      </c>
      <c r="D3612" s="9" t="s">
        <v>5871</v>
      </c>
      <c r="E3612" s="9" t="str">
        <f aca="false">IF(AND('Formation Ledger'!A3591&lt;&gt;"",'Formation Ledger'!V3591=0),"PASS","FAIL")</f>
        <v>PASS</v>
      </c>
      <c r="F3612" s="9" t="s">
        <v>76</v>
      </c>
      <c r="G3612" s="6"/>
      <c r="H3612" s="6"/>
      <c r="I3612" s="6"/>
      <c r="J3612" s="6"/>
      <c r="K3612" s="6"/>
      <c r="L3612" s="6"/>
      <c r="M3612" s="6"/>
      <c r="N3612" s="6"/>
      <c r="O3612" s="6"/>
      <c r="P3612" s="6"/>
      <c r="Q3612" s="6"/>
      <c r="R3612" s="6"/>
      <c r="S3612" s="6"/>
      <c r="T3612" s="6"/>
      <c r="U3612" s="6"/>
      <c r="V3612" s="6"/>
      <c r="W3612" s="6"/>
      <c r="X3612" s="6"/>
      <c r="Y3612" s="6"/>
      <c r="Z3612" s="6"/>
    </row>
    <row r="3613" customFormat="false" ht="15" hidden="false" customHeight="false" outlineLevel="0" collapsed="false">
      <c r="A3613" s="9" t="s">
        <v>9456</v>
      </c>
      <c r="B3613" s="9" t="s">
        <v>5870</v>
      </c>
      <c r="C3613" s="9" t="s">
        <v>3872</v>
      </c>
      <c r="D3613" s="9" t="s">
        <v>5871</v>
      </c>
      <c r="E3613" s="9" t="str">
        <f aca="false">IF(AND('Formation Ledger'!A3592&lt;&gt;"",'Formation Ledger'!V3592=0),"PASS","FAIL")</f>
        <v>PASS</v>
      </c>
      <c r="F3613" s="9" t="s">
        <v>76</v>
      </c>
      <c r="G3613" s="6"/>
      <c r="H3613" s="6"/>
      <c r="I3613" s="6"/>
      <c r="J3613" s="6"/>
      <c r="K3613" s="6"/>
      <c r="L3613" s="6"/>
      <c r="M3613" s="6"/>
      <c r="N3613" s="6"/>
      <c r="O3613" s="6"/>
      <c r="P3613" s="6"/>
      <c r="Q3613" s="6"/>
      <c r="R3613" s="6"/>
      <c r="S3613" s="6"/>
      <c r="T3613" s="6"/>
      <c r="U3613" s="6"/>
      <c r="V3613" s="6"/>
      <c r="W3613" s="6"/>
      <c r="X3613" s="6"/>
      <c r="Y3613" s="6"/>
      <c r="Z3613" s="6"/>
    </row>
    <row r="3614" customFormat="false" ht="15" hidden="false" customHeight="false" outlineLevel="0" collapsed="false">
      <c r="A3614" s="9" t="s">
        <v>9457</v>
      </c>
      <c r="B3614" s="9" t="s">
        <v>5870</v>
      </c>
      <c r="C3614" s="9" t="s">
        <v>3873</v>
      </c>
      <c r="D3614" s="9" t="s">
        <v>5871</v>
      </c>
      <c r="E3614" s="9" t="str">
        <f aca="false">IF(AND('Formation Ledger'!A3593&lt;&gt;"",'Formation Ledger'!V3593=0),"PASS","FAIL")</f>
        <v>PASS</v>
      </c>
      <c r="F3614" s="9" t="s">
        <v>76</v>
      </c>
      <c r="G3614" s="6"/>
      <c r="H3614" s="6"/>
      <c r="I3614" s="6"/>
      <c r="J3614" s="6"/>
      <c r="K3614" s="6"/>
      <c r="L3614" s="6"/>
      <c r="M3614" s="6"/>
      <c r="N3614" s="6"/>
      <c r="O3614" s="6"/>
      <c r="P3614" s="6"/>
      <c r="Q3614" s="6"/>
      <c r="R3614" s="6"/>
      <c r="S3614" s="6"/>
      <c r="T3614" s="6"/>
      <c r="U3614" s="6"/>
      <c r="V3614" s="6"/>
      <c r="W3614" s="6"/>
      <c r="X3614" s="6"/>
      <c r="Y3614" s="6"/>
      <c r="Z3614" s="6"/>
    </row>
    <row r="3615" customFormat="false" ht="15" hidden="false" customHeight="false" outlineLevel="0" collapsed="false">
      <c r="A3615" s="9" t="s">
        <v>9458</v>
      </c>
      <c r="B3615" s="9" t="s">
        <v>5870</v>
      </c>
      <c r="C3615" s="9" t="s">
        <v>3874</v>
      </c>
      <c r="D3615" s="9" t="s">
        <v>5871</v>
      </c>
      <c r="E3615" s="9" t="str">
        <f aca="false">IF(AND('Formation Ledger'!A3594&lt;&gt;"",'Formation Ledger'!V3594=0),"PASS","FAIL")</f>
        <v>PASS</v>
      </c>
      <c r="F3615" s="9" t="s">
        <v>76</v>
      </c>
      <c r="G3615" s="6"/>
      <c r="H3615" s="6"/>
      <c r="I3615" s="6"/>
      <c r="J3615" s="6"/>
      <c r="K3615" s="6"/>
      <c r="L3615" s="6"/>
      <c r="M3615" s="6"/>
      <c r="N3615" s="6"/>
      <c r="O3615" s="6"/>
      <c r="P3615" s="6"/>
      <c r="Q3615" s="6"/>
      <c r="R3615" s="6"/>
      <c r="S3615" s="6"/>
      <c r="T3615" s="6"/>
      <c r="U3615" s="6"/>
      <c r="V3615" s="6"/>
      <c r="W3615" s="6"/>
      <c r="X3615" s="6"/>
      <c r="Y3615" s="6"/>
      <c r="Z3615" s="6"/>
    </row>
    <row r="3616" customFormat="false" ht="15" hidden="false" customHeight="false" outlineLevel="0" collapsed="false">
      <c r="A3616" s="9" t="s">
        <v>9459</v>
      </c>
      <c r="B3616" s="9" t="s">
        <v>5870</v>
      </c>
      <c r="C3616" s="9" t="s">
        <v>3875</v>
      </c>
      <c r="D3616" s="9" t="s">
        <v>5871</v>
      </c>
      <c r="E3616" s="9" t="str">
        <f aca="false">IF(AND('Formation Ledger'!A3595&lt;&gt;"",'Formation Ledger'!V3595=0),"PASS","FAIL")</f>
        <v>PASS</v>
      </c>
      <c r="F3616" s="9" t="s">
        <v>76</v>
      </c>
      <c r="G3616" s="6"/>
      <c r="H3616" s="6"/>
      <c r="I3616" s="6"/>
      <c r="J3616" s="6"/>
      <c r="K3616" s="6"/>
      <c r="L3616" s="6"/>
      <c r="M3616" s="6"/>
      <c r="N3616" s="6"/>
      <c r="O3616" s="6"/>
      <c r="P3616" s="6"/>
      <c r="Q3616" s="6"/>
      <c r="R3616" s="6"/>
      <c r="S3616" s="6"/>
      <c r="T3616" s="6"/>
      <c r="U3616" s="6"/>
      <c r="V3616" s="6"/>
      <c r="W3616" s="6"/>
      <c r="X3616" s="6"/>
      <c r="Y3616" s="6"/>
      <c r="Z3616" s="6"/>
    </row>
    <row r="3617" customFormat="false" ht="15" hidden="false" customHeight="false" outlineLevel="0" collapsed="false">
      <c r="A3617" s="9" t="s">
        <v>9460</v>
      </c>
      <c r="B3617" s="9" t="s">
        <v>5870</v>
      </c>
      <c r="C3617" s="9" t="s">
        <v>3876</v>
      </c>
      <c r="D3617" s="9" t="s">
        <v>5871</v>
      </c>
      <c r="E3617" s="9" t="str">
        <f aca="false">IF(AND('Formation Ledger'!A3596&lt;&gt;"",'Formation Ledger'!V3596=0),"PASS","FAIL")</f>
        <v>PASS</v>
      </c>
      <c r="F3617" s="9" t="s">
        <v>76</v>
      </c>
      <c r="G3617" s="6"/>
      <c r="H3617" s="6"/>
      <c r="I3617" s="6"/>
      <c r="J3617" s="6"/>
      <c r="K3617" s="6"/>
      <c r="L3617" s="6"/>
      <c r="M3617" s="6"/>
      <c r="N3617" s="6"/>
      <c r="O3617" s="6"/>
      <c r="P3617" s="6"/>
      <c r="Q3617" s="6"/>
      <c r="R3617" s="6"/>
      <c r="S3617" s="6"/>
      <c r="T3617" s="6"/>
      <c r="U3617" s="6"/>
      <c r="V3617" s="6"/>
      <c r="W3617" s="6"/>
      <c r="X3617" s="6"/>
      <c r="Y3617" s="6"/>
      <c r="Z3617" s="6"/>
    </row>
    <row r="3618" customFormat="false" ht="15" hidden="false" customHeight="false" outlineLevel="0" collapsed="false">
      <c r="A3618" s="9" t="s">
        <v>9461</v>
      </c>
      <c r="B3618" s="9" t="s">
        <v>5870</v>
      </c>
      <c r="C3618" s="9" t="s">
        <v>3877</v>
      </c>
      <c r="D3618" s="9" t="s">
        <v>5871</v>
      </c>
      <c r="E3618" s="9" t="str">
        <f aca="false">IF(AND('Formation Ledger'!A3597&lt;&gt;"",'Formation Ledger'!V3597=0),"PASS","FAIL")</f>
        <v>PASS</v>
      </c>
      <c r="F3618" s="9" t="s">
        <v>76</v>
      </c>
      <c r="G3618" s="6"/>
      <c r="H3618" s="6"/>
      <c r="I3618" s="6"/>
      <c r="J3618" s="6"/>
      <c r="K3618" s="6"/>
      <c r="L3618" s="6"/>
      <c r="M3618" s="6"/>
      <c r="N3618" s="6"/>
      <c r="O3618" s="6"/>
      <c r="P3618" s="6"/>
      <c r="Q3618" s="6"/>
      <c r="R3618" s="6"/>
      <c r="S3618" s="6"/>
      <c r="T3618" s="6"/>
      <c r="U3618" s="6"/>
      <c r="V3618" s="6"/>
      <c r="W3618" s="6"/>
      <c r="X3618" s="6"/>
      <c r="Y3618" s="6"/>
      <c r="Z3618" s="6"/>
    </row>
    <row r="3619" customFormat="false" ht="15" hidden="false" customHeight="false" outlineLevel="0" collapsed="false">
      <c r="A3619" s="9" t="s">
        <v>9462</v>
      </c>
      <c r="B3619" s="9" t="s">
        <v>5870</v>
      </c>
      <c r="C3619" s="9" t="s">
        <v>3878</v>
      </c>
      <c r="D3619" s="9" t="s">
        <v>5871</v>
      </c>
      <c r="E3619" s="9" t="str">
        <f aca="false">IF(AND('Formation Ledger'!A3598&lt;&gt;"",'Formation Ledger'!V3598=0),"PASS","FAIL")</f>
        <v>PASS</v>
      </c>
      <c r="F3619" s="9" t="s">
        <v>76</v>
      </c>
      <c r="G3619" s="6"/>
      <c r="H3619" s="6"/>
      <c r="I3619" s="6"/>
      <c r="J3619" s="6"/>
      <c r="K3619" s="6"/>
      <c r="L3619" s="6"/>
      <c r="M3619" s="6"/>
      <c r="N3619" s="6"/>
      <c r="O3619" s="6"/>
      <c r="P3619" s="6"/>
      <c r="Q3619" s="6"/>
      <c r="R3619" s="6"/>
      <c r="S3619" s="6"/>
      <c r="T3619" s="6"/>
      <c r="U3619" s="6"/>
      <c r="V3619" s="6"/>
      <c r="W3619" s="6"/>
      <c r="X3619" s="6"/>
      <c r="Y3619" s="6"/>
      <c r="Z3619" s="6"/>
    </row>
    <row r="3620" customFormat="false" ht="15" hidden="false" customHeight="false" outlineLevel="0" collapsed="false">
      <c r="A3620" s="9" t="s">
        <v>9463</v>
      </c>
      <c r="B3620" s="9" t="s">
        <v>5870</v>
      </c>
      <c r="C3620" s="9" t="s">
        <v>3879</v>
      </c>
      <c r="D3620" s="9" t="s">
        <v>5871</v>
      </c>
      <c r="E3620" s="9" t="str">
        <f aca="false">IF(AND('Formation Ledger'!A3599&lt;&gt;"",'Formation Ledger'!V3599=0),"PASS","FAIL")</f>
        <v>PASS</v>
      </c>
      <c r="F3620" s="9" t="s">
        <v>76</v>
      </c>
      <c r="G3620" s="6"/>
      <c r="H3620" s="6"/>
      <c r="I3620" s="6"/>
      <c r="J3620" s="6"/>
      <c r="K3620" s="6"/>
      <c r="L3620" s="6"/>
      <c r="M3620" s="6"/>
      <c r="N3620" s="6"/>
      <c r="O3620" s="6"/>
      <c r="P3620" s="6"/>
      <c r="Q3620" s="6"/>
      <c r="R3620" s="6"/>
      <c r="S3620" s="6"/>
      <c r="T3620" s="6"/>
      <c r="U3620" s="6"/>
      <c r="V3620" s="6"/>
      <c r="W3620" s="6"/>
      <c r="X3620" s="6"/>
      <c r="Y3620" s="6"/>
      <c r="Z3620" s="6"/>
    </row>
    <row r="3621" customFormat="false" ht="15" hidden="false" customHeight="false" outlineLevel="0" collapsed="false">
      <c r="A3621" s="9" t="s">
        <v>9464</v>
      </c>
      <c r="B3621" s="9" t="s">
        <v>5870</v>
      </c>
      <c r="C3621" s="9" t="s">
        <v>3880</v>
      </c>
      <c r="D3621" s="9" t="s">
        <v>5871</v>
      </c>
      <c r="E3621" s="9" t="str">
        <f aca="false">IF(AND('Formation Ledger'!A3600&lt;&gt;"",'Formation Ledger'!V3600=0),"PASS","FAIL")</f>
        <v>PASS</v>
      </c>
      <c r="F3621" s="9" t="s">
        <v>76</v>
      </c>
      <c r="G3621" s="6"/>
      <c r="H3621" s="6"/>
      <c r="I3621" s="6"/>
      <c r="J3621" s="6"/>
      <c r="K3621" s="6"/>
      <c r="L3621" s="6"/>
      <c r="M3621" s="6"/>
      <c r="N3621" s="6"/>
      <c r="O3621" s="6"/>
      <c r="P3621" s="6"/>
      <c r="Q3621" s="6"/>
      <c r="R3621" s="6"/>
      <c r="S3621" s="6"/>
      <c r="T3621" s="6"/>
      <c r="U3621" s="6"/>
      <c r="V3621" s="6"/>
      <c r="W3621" s="6"/>
      <c r="X3621" s="6"/>
      <c r="Y3621" s="6"/>
      <c r="Z3621" s="6"/>
    </row>
    <row r="3622" customFormat="false" ht="15" hidden="false" customHeight="false" outlineLevel="0" collapsed="false">
      <c r="A3622" s="9" t="s">
        <v>9465</v>
      </c>
      <c r="B3622" s="9" t="s">
        <v>5870</v>
      </c>
      <c r="C3622" s="9" t="s">
        <v>3881</v>
      </c>
      <c r="D3622" s="9" t="s">
        <v>5871</v>
      </c>
      <c r="E3622" s="9" t="str">
        <f aca="false">IF(AND('Formation Ledger'!A3601&lt;&gt;"",'Formation Ledger'!V3601=0),"PASS","FAIL")</f>
        <v>PASS</v>
      </c>
      <c r="F3622" s="9" t="s">
        <v>76</v>
      </c>
      <c r="G3622" s="6"/>
      <c r="H3622" s="6"/>
      <c r="I3622" s="6"/>
      <c r="J3622" s="6"/>
      <c r="K3622" s="6"/>
      <c r="L3622" s="6"/>
      <c r="M3622" s="6"/>
      <c r="N3622" s="6"/>
      <c r="O3622" s="6"/>
      <c r="P3622" s="6"/>
      <c r="Q3622" s="6"/>
      <c r="R3622" s="6"/>
      <c r="S3622" s="6"/>
      <c r="T3622" s="6"/>
      <c r="U3622" s="6"/>
      <c r="V3622" s="6"/>
      <c r="W3622" s="6"/>
      <c r="X3622" s="6"/>
      <c r="Y3622" s="6"/>
      <c r="Z3622" s="6"/>
    </row>
    <row r="3623" customFormat="false" ht="15" hidden="false" customHeight="false" outlineLevel="0" collapsed="false">
      <c r="A3623" s="9" t="s">
        <v>9466</v>
      </c>
      <c r="B3623" s="9" t="s">
        <v>5870</v>
      </c>
      <c r="C3623" s="9" t="s">
        <v>3882</v>
      </c>
      <c r="D3623" s="9" t="s">
        <v>5871</v>
      </c>
      <c r="E3623" s="9" t="str">
        <f aca="false">IF(AND('Formation Ledger'!A3602&lt;&gt;"",'Formation Ledger'!V3602=0),"PASS","FAIL")</f>
        <v>PASS</v>
      </c>
      <c r="F3623" s="9" t="s">
        <v>76</v>
      </c>
      <c r="G3623" s="6"/>
      <c r="H3623" s="6"/>
      <c r="I3623" s="6"/>
      <c r="J3623" s="6"/>
      <c r="K3623" s="6"/>
      <c r="L3623" s="6"/>
      <c r="M3623" s="6"/>
      <c r="N3623" s="6"/>
      <c r="O3623" s="6"/>
      <c r="P3623" s="6"/>
      <c r="Q3623" s="6"/>
      <c r="R3623" s="6"/>
      <c r="S3623" s="6"/>
      <c r="T3623" s="6"/>
      <c r="U3623" s="6"/>
      <c r="V3623" s="6"/>
      <c r="W3623" s="6"/>
      <c r="X3623" s="6"/>
      <c r="Y3623" s="6"/>
      <c r="Z3623" s="6"/>
    </row>
    <row r="3624" customFormat="false" ht="15" hidden="false" customHeight="false" outlineLevel="0" collapsed="false">
      <c r="A3624" s="9" t="s">
        <v>9467</v>
      </c>
      <c r="B3624" s="9" t="s">
        <v>5870</v>
      </c>
      <c r="C3624" s="9" t="s">
        <v>3883</v>
      </c>
      <c r="D3624" s="9" t="s">
        <v>5871</v>
      </c>
      <c r="E3624" s="9" t="str">
        <f aca="false">IF(AND('Formation Ledger'!A3603&lt;&gt;"",'Formation Ledger'!V3603=0),"PASS","FAIL")</f>
        <v>PASS</v>
      </c>
      <c r="F3624" s="9" t="s">
        <v>76</v>
      </c>
      <c r="G3624" s="6"/>
      <c r="H3624" s="6"/>
      <c r="I3624" s="6"/>
      <c r="J3624" s="6"/>
      <c r="K3624" s="6"/>
      <c r="L3624" s="6"/>
      <c r="M3624" s="6"/>
      <c r="N3624" s="6"/>
      <c r="O3624" s="6"/>
      <c r="P3624" s="6"/>
      <c r="Q3624" s="6"/>
      <c r="R3624" s="6"/>
      <c r="S3624" s="6"/>
      <c r="T3624" s="6"/>
      <c r="U3624" s="6"/>
      <c r="V3624" s="6"/>
      <c r="W3624" s="6"/>
      <c r="X3624" s="6"/>
      <c r="Y3624" s="6"/>
      <c r="Z3624" s="6"/>
    </row>
    <row r="3625" customFormat="false" ht="15" hidden="false" customHeight="false" outlineLevel="0" collapsed="false">
      <c r="A3625" s="9" t="s">
        <v>9468</v>
      </c>
      <c r="B3625" s="9" t="s">
        <v>5870</v>
      </c>
      <c r="C3625" s="9" t="s">
        <v>3884</v>
      </c>
      <c r="D3625" s="9" t="s">
        <v>5871</v>
      </c>
      <c r="E3625" s="9" t="str">
        <f aca="false">IF(AND('Formation Ledger'!A3604&lt;&gt;"",'Formation Ledger'!V3604=0),"PASS","FAIL")</f>
        <v>PASS</v>
      </c>
      <c r="F3625" s="9" t="s">
        <v>76</v>
      </c>
      <c r="G3625" s="6"/>
      <c r="H3625" s="6"/>
      <c r="I3625" s="6"/>
      <c r="J3625" s="6"/>
      <c r="K3625" s="6"/>
      <c r="L3625" s="6"/>
      <c r="M3625" s="6"/>
      <c r="N3625" s="6"/>
      <c r="O3625" s="6"/>
      <c r="P3625" s="6"/>
      <c r="Q3625" s="6"/>
      <c r="R3625" s="6"/>
      <c r="S3625" s="6"/>
      <c r="T3625" s="6"/>
      <c r="U3625" s="6"/>
      <c r="V3625" s="6"/>
      <c r="W3625" s="6"/>
      <c r="X3625" s="6"/>
      <c r="Y3625" s="6"/>
      <c r="Z3625" s="6"/>
    </row>
    <row r="3626" customFormat="false" ht="15" hidden="false" customHeight="false" outlineLevel="0" collapsed="false">
      <c r="A3626" s="9" t="s">
        <v>9469</v>
      </c>
      <c r="B3626" s="9" t="s">
        <v>5870</v>
      </c>
      <c r="C3626" s="9" t="s">
        <v>3885</v>
      </c>
      <c r="D3626" s="9" t="s">
        <v>5871</v>
      </c>
      <c r="E3626" s="9" t="str">
        <f aca="false">IF(AND('Formation Ledger'!A3605&lt;&gt;"",'Formation Ledger'!V3605=0),"PASS","FAIL")</f>
        <v>PASS</v>
      </c>
      <c r="F3626" s="9" t="s">
        <v>76</v>
      </c>
      <c r="G3626" s="6"/>
      <c r="H3626" s="6"/>
      <c r="I3626" s="6"/>
      <c r="J3626" s="6"/>
      <c r="K3626" s="6"/>
      <c r="L3626" s="6"/>
      <c r="M3626" s="6"/>
      <c r="N3626" s="6"/>
      <c r="O3626" s="6"/>
      <c r="P3626" s="6"/>
      <c r="Q3626" s="6"/>
      <c r="R3626" s="6"/>
      <c r="S3626" s="6"/>
      <c r="T3626" s="6"/>
      <c r="U3626" s="6"/>
      <c r="V3626" s="6"/>
      <c r="W3626" s="6"/>
      <c r="X3626" s="6"/>
      <c r="Y3626" s="6"/>
      <c r="Z3626" s="6"/>
    </row>
    <row r="3627" customFormat="false" ht="15" hidden="false" customHeight="false" outlineLevel="0" collapsed="false">
      <c r="A3627" s="9" t="s">
        <v>9470</v>
      </c>
      <c r="B3627" s="9" t="s">
        <v>5870</v>
      </c>
      <c r="C3627" s="9" t="s">
        <v>3886</v>
      </c>
      <c r="D3627" s="9" t="s">
        <v>5871</v>
      </c>
      <c r="E3627" s="9" t="str">
        <f aca="false">IF(AND('Formation Ledger'!A3606&lt;&gt;"",'Formation Ledger'!V3606=0),"PASS","FAIL")</f>
        <v>PASS</v>
      </c>
      <c r="F3627" s="9" t="s">
        <v>76</v>
      </c>
      <c r="G3627" s="6"/>
      <c r="H3627" s="6"/>
      <c r="I3627" s="6"/>
      <c r="J3627" s="6"/>
      <c r="K3627" s="6"/>
      <c r="L3627" s="6"/>
      <c r="M3627" s="6"/>
      <c r="N3627" s="6"/>
      <c r="O3627" s="6"/>
      <c r="P3627" s="6"/>
      <c r="Q3627" s="6"/>
      <c r="R3627" s="6"/>
      <c r="S3627" s="6"/>
      <c r="T3627" s="6"/>
      <c r="U3627" s="6"/>
      <c r="V3627" s="6"/>
      <c r="W3627" s="6"/>
      <c r="X3627" s="6"/>
      <c r="Y3627" s="6"/>
      <c r="Z3627" s="6"/>
    </row>
    <row r="3628" customFormat="false" ht="15" hidden="false" customHeight="false" outlineLevel="0" collapsed="false">
      <c r="A3628" s="9" t="s">
        <v>9471</v>
      </c>
      <c r="B3628" s="9" t="s">
        <v>5870</v>
      </c>
      <c r="C3628" s="9" t="s">
        <v>3887</v>
      </c>
      <c r="D3628" s="9" t="s">
        <v>5871</v>
      </c>
      <c r="E3628" s="9" t="str">
        <f aca="false">IF(AND('Formation Ledger'!A3607&lt;&gt;"",'Formation Ledger'!V3607=0),"PASS","FAIL")</f>
        <v>PASS</v>
      </c>
      <c r="F3628" s="9" t="s">
        <v>76</v>
      </c>
      <c r="G3628" s="6"/>
      <c r="H3628" s="6"/>
      <c r="I3628" s="6"/>
      <c r="J3628" s="6"/>
      <c r="K3628" s="6"/>
      <c r="L3628" s="6"/>
      <c r="M3628" s="6"/>
      <c r="N3628" s="6"/>
      <c r="O3628" s="6"/>
      <c r="P3628" s="6"/>
      <c r="Q3628" s="6"/>
      <c r="R3628" s="6"/>
      <c r="S3628" s="6"/>
      <c r="T3628" s="6"/>
      <c r="U3628" s="6"/>
      <c r="V3628" s="6"/>
      <c r="W3628" s="6"/>
      <c r="X3628" s="6"/>
      <c r="Y3628" s="6"/>
      <c r="Z3628" s="6"/>
    </row>
    <row r="3629" customFormat="false" ht="15" hidden="false" customHeight="false" outlineLevel="0" collapsed="false">
      <c r="A3629" s="9" t="s">
        <v>9472</v>
      </c>
      <c r="B3629" s="9" t="s">
        <v>5870</v>
      </c>
      <c r="C3629" s="9" t="s">
        <v>3888</v>
      </c>
      <c r="D3629" s="9" t="s">
        <v>5871</v>
      </c>
      <c r="E3629" s="9" t="str">
        <f aca="false">IF(AND('Formation Ledger'!A3608&lt;&gt;"",'Formation Ledger'!V3608=0),"PASS","FAIL")</f>
        <v>PASS</v>
      </c>
      <c r="F3629" s="9" t="s">
        <v>76</v>
      </c>
      <c r="G3629" s="6"/>
      <c r="H3629" s="6"/>
      <c r="I3629" s="6"/>
      <c r="J3629" s="6"/>
      <c r="K3629" s="6"/>
      <c r="L3629" s="6"/>
      <c r="M3629" s="6"/>
      <c r="N3629" s="6"/>
      <c r="O3629" s="6"/>
      <c r="P3629" s="6"/>
      <c r="Q3629" s="6"/>
      <c r="R3629" s="6"/>
      <c r="S3629" s="6"/>
      <c r="T3629" s="6"/>
      <c r="U3629" s="6"/>
      <c r="V3629" s="6"/>
      <c r="W3629" s="6"/>
      <c r="X3629" s="6"/>
      <c r="Y3629" s="6"/>
      <c r="Z3629" s="6"/>
    </row>
    <row r="3630" customFormat="false" ht="15" hidden="false" customHeight="false" outlineLevel="0" collapsed="false">
      <c r="A3630" s="9" t="s">
        <v>9473</v>
      </c>
      <c r="B3630" s="9" t="s">
        <v>5870</v>
      </c>
      <c r="C3630" s="9" t="s">
        <v>3889</v>
      </c>
      <c r="D3630" s="9" t="s">
        <v>5871</v>
      </c>
      <c r="E3630" s="9" t="str">
        <f aca="false">IF(AND('Formation Ledger'!A3609&lt;&gt;"",'Formation Ledger'!V3609=0),"PASS","FAIL")</f>
        <v>PASS</v>
      </c>
      <c r="F3630" s="9" t="s">
        <v>76</v>
      </c>
      <c r="G3630" s="6"/>
      <c r="H3630" s="6"/>
      <c r="I3630" s="6"/>
      <c r="J3630" s="6"/>
      <c r="K3630" s="6"/>
      <c r="L3630" s="6"/>
      <c r="M3630" s="6"/>
      <c r="N3630" s="6"/>
      <c r="O3630" s="6"/>
      <c r="P3630" s="6"/>
      <c r="Q3630" s="6"/>
      <c r="R3630" s="6"/>
      <c r="S3630" s="6"/>
      <c r="T3630" s="6"/>
      <c r="U3630" s="6"/>
      <c r="V3630" s="6"/>
      <c r="W3630" s="6"/>
      <c r="X3630" s="6"/>
      <c r="Y3630" s="6"/>
      <c r="Z3630" s="6"/>
    </row>
    <row r="3631" customFormat="false" ht="15" hidden="false" customHeight="false" outlineLevel="0" collapsed="false">
      <c r="A3631" s="9" t="s">
        <v>9474</v>
      </c>
      <c r="B3631" s="9" t="s">
        <v>5870</v>
      </c>
      <c r="C3631" s="9" t="s">
        <v>3890</v>
      </c>
      <c r="D3631" s="9" t="s">
        <v>5871</v>
      </c>
      <c r="E3631" s="9" t="str">
        <f aca="false">IF(AND('Formation Ledger'!A3610&lt;&gt;"",'Formation Ledger'!V3610=0),"PASS","FAIL")</f>
        <v>PASS</v>
      </c>
      <c r="F3631" s="9" t="s">
        <v>76</v>
      </c>
      <c r="G3631" s="6"/>
      <c r="H3631" s="6"/>
      <c r="I3631" s="6"/>
      <c r="J3631" s="6"/>
      <c r="K3631" s="6"/>
      <c r="L3631" s="6"/>
      <c r="M3631" s="6"/>
      <c r="N3631" s="6"/>
      <c r="O3631" s="6"/>
      <c r="P3631" s="6"/>
      <c r="Q3631" s="6"/>
      <c r="R3631" s="6"/>
      <c r="S3631" s="6"/>
      <c r="T3631" s="6"/>
      <c r="U3631" s="6"/>
      <c r="V3631" s="6"/>
      <c r="W3631" s="6"/>
      <c r="X3631" s="6"/>
      <c r="Y3631" s="6"/>
      <c r="Z3631" s="6"/>
    </row>
    <row r="3632" customFormat="false" ht="15" hidden="false" customHeight="false" outlineLevel="0" collapsed="false">
      <c r="A3632" s="9" t="s">
        <v>9475</v>
      </c>
      <c r="B3632" s="9" t="s">
        <v>5870</v>
      </c>
      <c r="C3632" s="9" t="s">
        <v>3891</v>
      </c>
      <c r="D3632" s="9" t="s">
        <v>5871</v>
      </c>
      <c r="E3632" s="9" t="str">
        <f aca="false">IF(AND('Formation Ledger'!A3611&lt;&gt;"",'Formation Ledger'!V3611=0),"PASS","FAIL")</f>
        <v>PASS</v>
      </c>
      <c r="F3632" s="9" t="s">
        <v>76</v>
      </c>
      <c r="G3632" s="6"/>
      <c r="H3632" s="6"/>
      <c r="I3632" s="6"/>
      <c r="J3632" s="6"/>
      <c r="K3632" s="6"/>
      <c r="L3632" s="6"/>
      <c r="M3632" s="6"/>
      <c r="N3632" s="6"/>
      <c r="O3632" s="6"/>
      <c r="P3632" s="6"/>
      <c r="Q3632" s="6"/>
      <c r="R3632" s="6"/>
      <c r="S3632" s="6"/>
      <c r="T3632" s="6"/>
      <c r="U3632" s="6"/>
      <c r="V3632" s="6"/>
      <c r="W3632" s="6"/>
      <c r="X3632" s="6"/>
      <c r="Y3632" s="6"/>
      <c r="Z3632" s="6"/>
    </row>
    <row r="3633" customFormat="false" ht="15" hidden="false" customHeight="false" outlineLevel="0" collapsed="false">
      <c r="A3633" s="9" t="s">
        <v>9476</v>
      </c>
      <c r="B3633" s="9" t="s">
        <v>5870</v>
      </c>
      <c r="C3633" s="9" t="s">
        <v>3892</v>
      </c>
      <c r="D3633" s="9" t="s">
        <v>5871</v>
      </c>
      <c r="E3633" s="9" t="str">
        <f aca="false">IF(AND('Formation Ledger'!A3612&lt;&gt;"",'Formation Ledger'!V3612=0),"PASS","FAIL")</f>
        <v>PASS</v>
      </c>
      <c r="F3633" s="9" t="s">
        <v>76</v>
      </c>
      <c r="G3633" s="6"/>
      <c r="H3633" s="6"/>
      <c r="I3633" s="6"/>
      <c r="J3633" s="6"/>
      <c r="K3633" s="6"/>
      <c r="L3633" s="6"/>
      <c r="M3633" s="6"/>
      <c r="N3633" s="6"/>
      <c r="O3633" s="6"/>
      <c r="P3633" s="6"/>
      <c r="Q3633" s="6"/>
      <c r="R3633" s="6"/>
      <c r="S3633" s="6"/>
      <c r="T3633" s="6"/>
      <c r="U3633" s="6"/>
      <c r="V3633" s="6"/>
      <c r="W3633" s="6"/>
      <c r="X3633" s="6"/>
      <c r="Y3633" s="6"/>
      <c r="Z3633" s="6"/>
    </row>
    <row r="3634" customFormat="false" ht="15" hidden="false" customHeight="false" outlineLevel="0" collapsed="false">
      <c r="A3634" s="9" t="s">
        <v>9477</v>
      </c>
      <c r="B3634" s="9" t="s">
        <v>5870</v>
      </c>
      <c r="C3634" s="9" t="s">
        <v>3893</v>
      </c>
      <c r="D3634" s="9" t="s">
        <v>5871</v>
      </c>
      <c r="E3634" s="9" t="str">
        <f aca="false">IF(AND('Formation Ledger'!A3613&lt;&gt;"",'Formation Ledger'!V3613=0),"PASS","FAIL")</f>
        <v>PASS</v>
      </c>
      <c r="F3634" s="9" t="s">
        <v>76</v>
      </c>
      <c r="G3634" s="6"/>
      <c r="H3634" s="6"/>
      <c r="I3634" s="6"/>
      <c r="J3634" s="6"/>
      <c r="K3634" s="6"/>
      <c r="L3634" s="6"/>
      <c r="M3634" s="6"/>
      <c r="N3634" s="6"/>
      <c r="O3634" s="6"/>
      <c r="P3634" s="6"/>
      <c r="Q3634" s="6"/>
      <c r="R3634" s="6"/>
      <c r="S3634" s="6"/>
      <c r="T3634" s="6"/>
      <c r="U3634" s="6"/>
      <c r="V3634" s="6"/>
      <c r="W3634" s="6"/>
      <c r="X3634" s="6"/>
      <c r="Y3634" s="6"/>
      <c r="Z3634" s="6"/>
    </row>
    <row r="3635" customFormat="false" ht="15" hidden="false" customHeight="false" outlineLevel="0" collapsed="false">
      <c r="A3635" s="9" t="s">
        <v>9478</v>
      </c>
      <c r="B3635" s="9" t="s">
        <v>5870</v>
      </c>
      <c r="C3635" s="9" t="s">
        <v>3894</v>
      </c>
      <c r="D3635" s="9" t="s">
        <v>5871</v>
      </c>
      <c r="E3635" s="9" t="str">
        <f aca="false">IF(AND('Formation Ledger'!A3614&lt;&gt;"",'Formation Ledger'!V3614=0),"PASS","FAIL")</f>
        <v>PASS</v>
      </c>
      <c r="F3635" s="9" t="s">
        <v>76</v>
      </c>
      <c r="G3635" s="6"/>
      <c r="H3635" s="6"/>
      <c r="I3635" s="6"/>
      <c r="J3635" s="6"/>
      <c r="K3635" s="6"/>
      <c r="L3635" s="6"/>
      <c r="M3635" s="6"/>
      <c r="N3635" s="6"/>
      <c r="O3635" s="6"/>
      <c r="P3635" s="6"/>
      <c r="Q3635" s="6"/>
      <c r="R3635" s="6"/>
      <c r="S3635" s="6"/>
      <c r="T3635" s="6"/>
      <c r="U3635" s="6"/>
      <c r="V3635" s="6"/>
      <c r="W3635" s="6"/>
      <c r="X3635" s="6"/>
      <c r="Y3635" s="6"/>
      <c r="Z3635" s="6"/>
    </row>
    <row r="3636" customFormat="false" ht="15" hidden="false" customHeight="false" outlineLevel="0" collapsed="false">
      <c r="A3636" s="9" t="s">
        <v>9479</v>
      </c>
      <c r="B3636" s="9" t="s">
        <v>5870</v>
      </c>
      <c r="C3636" s="9" t="s">
        <v>3895</v>
      </c>
      <c r="D3636" s="9" t="s">
        <v>5871</v>
      </c>
      <c r="E3636" s="9" t="str">
        <f aca="false">IF(AND('Formation Ledger'!A3615&lt;&gt;"",'Formation Ledger'!V3615=0),"PASS","FAIL")</f>
        <v>PASS</v>
      </c>
      <c r="F3636" s="9" t="s">
        <v>76</v>
      </c>
      <c r="G3636" s="6"/>
      <c r="H3636" s="6"/>
      <c r="I3636" s="6"/>
      <c r="J3636" s="6"/>
      <c r="K3636" s="6"/>
      <c r="L3636" s="6"/>
      <c r="M3636" s="6"/>
      <c r="N3636" s="6"/>
      <c r="O3636" s="6"/>
      <c r="P3636" s="6"/>
      <c r="Q3636" s="6"/>
      <c r="R3636" s="6"/>
      <c r="S3636" s="6"/>
      <c r="T3636" s="6"/>
      <c r="U3636" s="6"/>
      <c r="V3636" s="6"/>
      <c r="W3636" s="6"/>
      <c r="X3636" s="6"/>
      <c r="Y3636" s="6"/>
      <c r="Z3636" s="6"/>
    </row>
    <row r="3637" customFormat="false" ht="15" hidden="false" customHeight="false" outlineLevel="0" collapsed="false">
      <c r="A3637" s="9" t="s">
        <v>9480</v>
      </c>
      <c r="B3637" s="9" t="s">
        <v>5870</v>
      </c>
      <c r="C3637" s="9" t="s">
        <v>3896</v>
      </c>
      <c r="D3637" s="9" t="s">
        <v>5871</v>
      </c>
      <c r="E3637" s="9" t="str">
        <f aca="false">IF(AND('Formation Ledger'!A3616&lt;&gt;"",'Formation Ledger'!V3616=0),"PASS","FAIL")</f>
        <v>PASS</v>
      </c>
      <c r="F3637" s="9" t="s">
        <v>76</v>
      </c>
      <c r="G3637" s="6"/>
      <c r="H3637" s="6"/>
      <c r="I3637" s="6"/>
      <c r="J3637" s="6"/>
      <c r="K3637" s="6"/>
      <c r="L3637" s="6"/>
      <c r="M3637" s="6"/>
      <c r="N3637" s="6"/>
      <c r="O3637" s="6"/>
      <c r="P3637" s="6"/>
      <c r="Q3637" s="6"/>
      <c r="R3637" s="6"/>
      <c r="S3637" s="6"/>
      <c r="T3637" s="6"/>
      <c r="U3637" s="6"/>
      <c r="V3637" s="6"/>
      <c r="W3637" s="6"/>
      <c r="X3637" s="6"/>
      <c r="Y3637" s="6"/>
      <c r="Z3637" s="6"/>
    </row>
    <row r="3638" customFormat="false" ht="15" hidden="false" customHeight="false" outlineLevel="0" collapsed="false">
      <c r="A3638" s="9" t="s">
        <v>9481</v>
      </c>
      <c r="B3638" s="9" t="s">
        <v>5870</v>
      </c>
      <c r="C3638" s="9" t="s">
        <v>3897</v>
      </c>
      <c r="D3638" s="9" t="s">
        <v>5871</v>
      </c>
      <c r="E3638" s="9" t="str">
        <f aca="false">IF(AND('Formation Ledger'!A3617&lt;&gt;"",'Formation Ledger'!V3617=0),"PASS","FAIL")</f>
        <v>PASS</v>
      </c>
      <c r="F3638" s="9" t="s">
        <v>76</v>
      </c>
      <c r="G3638" s="6"/>
      <c r="H3638" s="6"/>
      <c r="I3638" s="6"/>
      <c r="J3638" s="6"/>
      <c r="K3638" s="6"/>
      <c r="L3638" s="6"/>
      <c r="M3638" s="6"/>
      <c r="N3638" s="6"/>
      <c r="O3638" s="6"/>
      <c r="P3638" s="6"/>
      <c r="Q3638" s="6"/>
      <c r="R3638" s="6"/>
      <c r="S3638" s="6"/>
      <c r="T3638" s="6"/>
      <c r="U3638" s="6"/>
      <c r="V3638" s="6"/>
      <c r="W3638" s="6"/>
      <c r="X3638" s="6"/>
      <c r="Y3638" s="6"/>
      <c r="Z3638" s="6"/>
    </row>
    <row r="3639" customFormat="false" ht="15" hidden="false" customHeight="false" outlineLevel="0" collapsed="false">
      <c r="A3639" s="9" t="s">
        <v>9482</v>
      </c>
      <c r="B3639" s="9" t="s">
        <v>5870</v>
      </c>
      <c r="C3639" s="9" t="s">
        <v>3898</v>
      </c>
      <c r="D3639" s="9" t="s">
        <v>5871</v>
      </c>
      <c r="E3639" s="9" t="str">
        <f aca="false">IF(AND('Formation Ledger'!A3618&lt;&gt;"",'Formation Ledger'!V3618=0),"PASS","FAIL")</f>
        <v>PASS</v>
      </c>
      <c r="F3639" s="9" t="s">
        <v>76</v>
      </c>
      <c r="G3639" s="6"/>
      <c r="H3639" s="6"/>
      <c r="I3639" s="6"/>
      <c r="J3639" s="6"/>
      <c r="K3639" s="6"/>
      <c r="L3639" s="6"/>
      <c r="M3639" s="6"/>
      <c r="N3639" s="6"/>
      <c r="O3639" s="6"/>
      <c r="P3639" s="6"/>
      <c r="Q3639" s="6"/>
      <c r="R3639" s="6"/>
      <c r="S3639" s="6"/>
      <c r="T3639" s="6"/>
      <c r="U3639" s="6"/>
      <c r="V3639" s="6"/>
      <c r="W3639" s="6"/>
      <c r="X3639" s="6"/>
      <c r="Y3639" s="6"/>
      <c r="Z3639" s="6"/>
    </row>
    <row r="3640" customFormat="false" ht="15" hidden="false" customHeight="false" outlineLevel="0" collapsed="false">
      <c r="A3640" s="9" t="s">
        <v>9483</v>
      </c>
      <c r="B3640" s="9" t="s">
        <v>5870</v>
      </c>
      <c r="C3640" s="9" t="s">
        <v>3899</v>
      </c>
      <c r="D3640" s="9" t="s">
        <v>5871</v>
      </c>
      <c r="E3640" s="9" t="str">
        <f aca="false">IF(AND('Formation Ledger'!A3619&lt;&gt;"",'Formation Ledger'!V3619=0),"PASS","FAIL")</f>
        <v>PASS</v>
      </c>
      <c r="F3640" s="9" t="s">
        <v>76</v>
      </c>
      <c r="G3640" s="6"/>
      <c r="H3640" s="6"/>
      <c r="I3640" s="6"/>
      <c r="J3640" s="6"/>
      <c r="K3640" s="6"/>
      <c r="L3640" s="6"/>
      <c r="M3640" s="6"/>
      <c r="N3640" s="6"/>
      <c r="O3640" s="6"/>
      <c r="P3640" s="6"/>
      <c r="Q3640" s="6"/>
      <c r="R3640" s="6"/>
      <c r="S3640" s="6"/>
      <c r="T3640" s="6"/>
      <c r="U3640" s="6"/>
      <c r="V3640" s="6"/>
      <c r="W3640" s="6"/>
      <c r="X3640" s="6"/>
      <c r="Y3640" s="6"/>
      <c r="Z3640" s="6"/>
    </row>
    <row r="3641" customFormat="false" ht="15" hidden="false" customHeight="false" outlineLevel="0" collapsed="false">
      <c r="A3641" s="9" t="s">
        <v>9484</v>
      </c>
      <c r="B3641" s="9" t="s">
        <v>5870</v>
      </c>
      <c r="C3641" s="9" t="s">
        <v>3900</v>
      </c>
      <c r="D3641" s="9" t="s">
        <v>5871</v>
      </c>
      <c r="E3641" s="9" t="str">
        <f aca="false">IF(AND('Formation Ledger'!A3620&lt;&gt;"",'Formation Ledger'!V3620=0),"PASS","FAIL")</f>
        <v>PASS</v>
      </c>
      <c r="F3641" s="9" t="s">
        <v>76</v>
      </c>
      <c r="G3641" s="6"/>
      <c r="H3641" s="6"/>
      <c r="I3641" s="6"/>
      <c r="J3641" s="6"/>
      <c r="K3641" s="6"/>
      <c r="L3641" s="6"/>
      <c r="M3641" s="6"/>
      <c r="N3641" s="6"/>
      <c r="O3641" s="6"/>
      <c r="P3641" s="6"/>
      <c r="Q3641" s="6"/>
      <c r="R3641" s="6"/>
      <c r="S3641" s="6"/>
      <c r="T3641" s="6"/>
      <c r="U3641" s="6"/>
      <c r="V3641" s="6"/>
      <c r="W3641" s="6"/>
      <c r="X3641" s="6"/>
      <c r="Y3641" s="6"/>
      <c r="Z3641" s="6"/>
    </row>
    <row r="3642" customFormat="false" ht="15" hidden="false" customHeight="false" outlineLevel="0" collapsed="false">
      <c r="A3642" s="9" t="s">
        <v>9485</v>
      </c>
      <c r="B3642" s="9" t="s">
        <v>5870</v>
      </c>
      <c r="C3642" s="9" t="s">
        <v>3901</v>
      </c>
      <c r="D3642" s="9" t="s">
        <v>5871</v>
      </c>
      <c r="E3642" s="9" t="str">
        <f aca="false">IF(AND('Formation Ledger'!A3621&lt;&gt;"",'Formation Ledger'!V3621=0),"PASS","FAIL")</f>
        <v>PASS</v>
      </c>
      <c r="F3642" s="9" t="s">
        <v>76</v>
      </c>
      <c r="G3642" s="6"/>
      <c r="H3642" s="6"/>
      <c r="I3642" s="6"/>
      <c r="J3642" s="6"/>
      <c r="K3642" s="6"/>
      <c r="L3642" s="6"/>
      <c r="M3642" s="6"/>
      <c r="N3642" s="6"/>
      <c r="O3642" s="6"/>
      <c r="P3642" s="6"/>
      <c r="Q3642" s="6"/>
      <c r="R3642" s="6"/>
      <c r="S3642" s="6"/>
      <c r="T3642" s="6"/>
      <c r="U3642" s="6"/>
      <c r="V3642" s="6"/>
      <c r="W3642" s="6"/>
      <c r="X3642" s="6"/>
      <c r="Y3642" s="6"/>
      <c r="Z3642" s="6"/>
    </row>
    <row r="3643" customFormat="false" ht="15" hidden="false" customHeight="false" outlineLevel="0" collapsed="false">
      <c r="A3643" s="9" t="s">
        <v>9486</v>
      </c>
      <c r="B3643" s="9" t="s">
        <v>5870</v>
      </c>
      <c r="C3643" s="9" t="s">
        <v>3902</v>
      </c>
      <c r="D3643" s="9" t="s">
        <v>5871</v>
      </c>
      <c r="E3643" s="9" t="str">
        <f aca="false">IF(AND('Formation Ledger'!A3622&lt;&gt;"",'Formation Ledger'!V3622=0),"PASS","FAIL")</f>
        <v>PASS</v>
      </c>
      <c r="F3643" s="9" t="s">
        <v>76</v>
      </c>
      <c r="G3643" s="6"/>
      <c r="H3643" s="6"/>
      <c r="I3643" s="6"/>
      <c r="J3643" s="6"/>
      <c r="K3643" s="6"/>
      <c r="L3643" s="6"/>
      <c r="M3643" s="6"/>
      <c r="N3643" s="6"/>
      <c r="O3643" s="6"/>
      <c r="P3643" s="6"/>
      <c r="Q3643" s="6"/>
      <c r="R3643" s="6"/>
      <c r="S3643" s="6"/>
      <c r="T3643" s="6"/>
      <c r="U3643" s="6"/>
      <c r="V3643" s="6"/>
      <c r="W3643" s="6"/>
      <c r="X3643" s="6"/>
      <c r="Y3643" s="6"/>
      <c r="Z3643" s="6"/>
    </row>
    <row r="3644" customFormat="false" ht="15" hidden="false" customHeight="false" outlineLevel="0" collapsed="false">
      <c r="A3644" s="9" t="s">
        <v>9487</v>
      </c>
      <c r="B3644" s="9" t="s">
        <v>5870</v>
      </c>
      <c r="C3644" s="9" t="s">
        <v>3903</v>
      </c>
      <c r="D3644" s="9" t="s">
        <v>5871</v>
      </c>
      <c r="E3644" s="9" t="str">
        <f aca="false">IF(AND('Formation Ledger'!A3623&lt;&gt;"",'Formation Ledger'!V3623=0),"PASS","FAIL")</f>
        <v>PASS</v>
      </c>
      <c r="F3644" s="9" t="s">
        <v>76</v>
      </c>
      <c r="G3644" s="6"/>
      <c r="H3644" s="6"/>
      <c r="I3644" s="6"/>
      <c r="J3644" s="6"/>
      <c r="K3644" s="6"/>
      <c r="L3644" s="6"/>
      <c r="M3644" s="6"/>
      <c r="N3644" s="6"/>
      <c r="O3644" s="6"/>
      <c r="P3644" s="6"/>
      <c r="Q3644" s="6"/>
      <c r="R3644" s="6"/>
      <c r="S3644" s="6"/>
      <c r="T3644" s="6"/>
      <c r="U3644" s="6"/>
      <c r="V3644" s="6"/>
      <c r="W3644" s="6"/>
      <c r="X3644" s="6"/>
      <c r="Y3644" s="6"/>
      <c r="Z3644" s="6"/>
    </row>
    <row r="3645" customFormat="false" ht="15" hidden="false" customHeight="false" outlineLevel="0" collapsed="false">
      <c r="A3645" s="9" t="s">
        <v>9488</v>
      </c>
      <c r="B3645" s="9" t="s">
        <v>5870</v>
      </c>
      <c r="C3645" s="9" t="s">
        <v>3904</v>
      </c>
      <c r="D3645" s="9" t="s">
        <v>5871</v>
      </c>
      <c r="E3645" s="9" t="str">
        <f aca="false">IF(AND('Formation Ledger'!A3624&lt;&gt;"",'Formation Ledger'!V3624=0),"PASS","FAIL")</f>
        <v>PASS</v>
      </c>
      <c r="F3645" s="9" t="s">
        <v>76</v>
      </c>
      <c r="G3645" s="6"/>
      <c r="H3645" s="6"/>
      <c r="I3645" s="6"/>
      <c r="J3645" s="6"/>
      <c r="K3645" s="6"/>
      <c r="L3645" s="6"/>
      <c r="M3645" s="6"/>
      <c r="N3645" s="6"/>
      <c r="O3645" s="6"/>
      <c r="P3645" s="6"/>
      <c r="Q3645" s="6"/>
      <c r="R3645" s="6"/>
      <c r="S3645" s="6"/>
      <c r="T3645" s="6"/>
      <c r="U3645" s="6"/>
      <c r="V3645" s="6"/>
      <c r="W3645" s="6"/>
      <c r="X3645" s="6"/>
      <c r="Y3645" s="6"/>
      <c r="Z3645" s="6"/>
    </row>
    <row r="3646" customFormat="false" ht="15" hidden="false" customHeight="false" outlineLevel="0" collapsed="false">
      <c r="A3646" s="9" t="s">
        <v>9489</v>
      </c>
      <c r="B3646" s="9" t="s">
        <v>5870</v>
      </c>
      <c r="C3646" s="9" t="s">
        <v>3905</v>
      </c>
      <c r="D3646" s="9" t="s">
        <v>5871</v>
      </c>
      <c r="E3646" s="9" t="str">
        <f aca="false">IF(AND('Formation Ledger'!A3625&lt;&gt;"",'Formation Ledger'!V3625=0),"PASS","FAIL")</f>
        <v>PASS</v>
      </c>
      <c r="F3646" s="9" t="s">
        <v>76</v>
      </c>
      <c r="G3646" s="6"/>
      <c r="H3646" s="6"/>
      <c r="I3646" s="6"/>
      <c r="J3646" s="6"/>
      <c r="K3646" s="6"/>
      <c r="L3646" s="6"/>
      <c r="M3646" s="6"/>
      <c r="N3646" s="6"/>
      <c r="O3646" s="6"/>
      <c r="P3646" s="6"/>
      <c r="Q3646" s="6"/>
      <c r="R3646" s="6"/>
      <c r="S3646" s="6"/>
      <c r="T3646" s="6"/>
      <c r="U3646" s="6"/>
      <c r="V3646" s="6"/>
      <c r="W3646" s="6"/>
      <c r="X3646" s="6"/>
      <c r="Y3646" s="6"/>
      <c r="Z3646" s="6"/>
    </row>
    <row r="3647" customFormat="false" ht="15" hidden="false" customHeight="false" outlineLevel="0" collapsed="false">
      <c r="A3647" s="9" t="s">
        <v>9490</v>
      </c>
      <c r="B3647" s="9" t="s">
        <v>5870</v>
      </c>
      <c r="C3647" s="9" t="s">
        <v>3906</v>
      </c>
      <c r="D3647" s="9" t="s">
        <v>5871</v>
      </c>
      <c r="E3647" s="9" t="str">
        <f aca="false">IF(AND('Formation Ledger'!A3626&lt;&gt;"",'Formation Ledger'!V3626=0),"PASS","FAIL")</f>
        <v>PASS</v>
      </c>
      <c r="F3647" s="9" t="s">
        <v>76</v>
      </c>
      <c r="G3647" s="6"/>
      <c r="H3647" s="6"/>
      <c r="I3647" s="6"/>
      <c r="J3647" s="6"/>
      <c r="K3647" s="6"/>
      <c r="L3647" s="6"/>
      <c r="M3647" s="6"/>
      <c r="N3647" s="6"/>
      <c r="O3647" s="6"/>
      <c r="P3647" s="6"/>
      <c r="Q3647" s="6"/>
      <c r="R3647" s="6"/>
      <c r="S3647" s="6"/>
      <c r="T3647" s="6"/>
      <c r="U3647" s="6"/>
      <c r="V3647" s="6"/>
      <c r="W3647" s="6"/>
      <c r="X3647" s="6"/>
      <c r="Y3647" s="6"/>
      <c r="Z3647" s="6"/>
    </row>
    <row r="3648" customFormat="false" ht="15" hidden="false" customHeight="false" outlineLevel="0" collapsed="false">
      <c r="A3648" s="9" t="s">
        <v>9491</v>
      </c>
      <c r="B3648" s="9" t="s">
        <v>5870</v>
      </c>
      <c r="C3648" s="9" t="s">
        <v>3907</v>
      </c>
      <c r="D3648" s="9" t="s">
        <v>5871</v>
      </c>
      <c r="E3648" s="9" t="str">
        <f aca="false">IF(AND('Formation Ledger'!A3627&lt;&gt;"",'Formation Ledger'!V3627=0),"PASS","FAIL")</f>
        <v>PASS</v>
      </c>
      <c r="F3648" s="9" t="s">
        <v>76</v>
      </c>
      <c r="G3648" s="6"/>
      <c r="H3648" s="6"/>
      <c r="I3648" s="6"/>
      <c r="J3648" s="6"/>
      <c r="K3648" s="6"/>
      <c r="L3648" s="6"/>
      <c r="M3648" s="6"/>
      <c r="N3648" s="6"/>
      <c r="O3648" s="6"/>
      <c r="P3648" s="6"/>
      <c r="Q3648" s="6"/>
      <c r="R3648" s="6"/>
      <c r="S3648" s="6"/>
      <c r="T3648" s="6"/>
      <c r="U3648" s="6"/>
      <c r="V3648" s="6"/>
      <c r="W3648" s="6"/>
      <c r="X3648" s="6"/>
      <c r="Y3648" s="6"/>
      <c r="Z3648" s="6"/>
    </row>
    <row r="3649" customFormat="false" ht="15" hidden="false" customHeight="false" outlineLevel="0" collapsed="false">
      <c r="A3649" s="9" t="s">
        <v>9492</v>
      </c>
      <c r="B3649" s="9" t="s">
        <v>5870</v>
      </c>
      <c r="C3649" s="9" t="s">
        <v>3908</v>
      </c>
      <c r="D3649" s="9" t="s">
        <v>5871</v>
      </c>
      <c r="E3649" s="9" t="str">
        <f aca="false">IF(AND('Formation Ledger'!A3628&lt;&gt;"",'Formation Ledger'!V3628=0),"PASS","FAIL")</f>
        <v>PASS</v>
      </c>
      <c r="F3649" s="9" t="s">
        <v>76</v>
      </c>
      <c r="G3649" s="6"/>
      <c r="H3649" s="6"/>
      <c r="I3649" s="6"/>
      <c r="J3649" s="6"/>
      <c r="K3649" s="6"/>
      <c r="L3649" s="6"/>
      <c r="M3649" s="6"/>
      <c r="N3649" s="6"/>
      <c r="O3649" s="6"/>
      <c r="P3649" s="6"/>
      <c r="Q3649" s="6"/>
      <c r="R3649" s="6"/>
      <c r="S3649" s="6"/>
      <c r="T3649" s="6"/>
      <c r="U3649" s="6"/>
      <c r="V3649" s="6"/>
      <c r="W3649" s="6"/>
      <c r="X3649" s="6"/>
      <c r="Y3649" s="6"/>
      <c r="Z3649" s="6"/>
    </row>
    <row r="3650" customFormat="false" ht="15" hidden="false" customHeight="false" outlineLevel="0" collapsed="false">
      <c r="A3650" s="9" t="s">
        <v>9493</v>
      </c>
      <c r="B3650" s="9" t="s">
        <v>5870</v>
      </c>
      <c r="C3650" s="9" t="s">
        <v>3909</v>
      </c>
      <c r="D3650" s="9" t="s">
        <v>5871</v>
      </c>
      <c r="E3650" s="9" t="str">
        <f aca="false">IF(AND('Formation Ledger'!A3629&lt;&gt;"",'Formation Ledger'!V3629=0),"PASS","FAIL")</f>
        <v>PASS</v>
      </c>
      <c r="F3650" s="9" t="s">
        <v>76</v>
      </c>
      <c r="G3650" s="6"/>
      <c r="H3650" s="6"/>
      <c r="I3650" s="6"/>
      <c r="J3650" s="6"/>
      <c r="K3650" s="6"/>
      <c r="L3650" s="6"/>
      <c r="M3650" s="6"/>
      <c r="N3650" s="6"/>
      <c r="O3650" s="6"/>
      <c r="P3650" s="6"/>
      <c r="Q3650" s="6"/>
      <c r="R3650" s="6"/>
      <c r="S3650" s="6"/>
      <c r="T3650" s="6"/>
      <c r="U3650" s="6"/>
      <c r="V3650" s="6"/>
      <c r="W3650" s="6"/>
      <c r="X3650" s="6"/>
      <c r="Y3650" s="6"/>
      <c r="Z3650" s="6"/>
    </row>
    <row r="3651" customFormat="false" ht="15" hidden="false" customHeight="false" outlineLevel="0" collapsed="false">
      <c r="A3651" s="9" t="s">
        <v>9494</v>
      </c>
      <c r="B3651" s="9" t="s">
        <v>5870</v>
      </c>
      <c r="C3651" s="9" t="s">
        <v>3910</v>
      </c>
      <c r="D3651" s="9" t="s">
        <v>5871</v>
      </c>
      <c r="E3651" s="9" t="str">
        <f aca="false">IF(AND('Formation Ledger'!A3630&lt;&gt;"",'Formation Ledger'!V3630=0),"PASS","FAIL")</f>
        <v>PASS</v>
      </c>
      <c r="F3651" s="9" t="s">
        <v>76</v>
      </c>
      <c r="G3651" s="6"/>
      <c r="H3651" s="6"/>
      <c r="I3651" s="6"/>
      <c r="J3651" s="6"/>
      <c r="K3651" s="6"/>
      <c r="L3651" s="6"/>
      <c r="M3651" s="6"/>
      <c r="N3651" s="6"/>
      <c r="O3651" s="6"/>
      <c r="P3651" s="6"/>
      <c r="Q3651" s="6"/>
      <c r="R3651" s="6"/>
      <c r="S3651" s="6"/>
      <c r="T3651" s="6"/>
      <c r="U3651" s="6"/>
      <c r="V3651" s="6"/>
      <c r="W3651" s="6"/>
      <c r="X3651" s="6"/>
      <c r="Y3651" s="6"/>
      <c r="Z3651" s="6"/>
    </row>
    <row r="3652" customFormat="false" ht="15" hidden="false" customHeight="false" outlineLevel="0" collapsed="false">
      <c r="A3652" s="9" t="s">
        <v>9495</v>
      </c>
      <c r="B3652" s="9" t="s">
        <v>5870</v>
      </c>
      <c r="C3652" s="9" t="s">
        <v>3911</v>
      </c>
      <c r="D3652" s="9" t="s">
        <v>5871</v>
      </c>
      <c r="E3652" s="9" t="str">
        <f aca="false">IF(AND('Formation Ledger'!A3631&lt;&gt;"",'Formation Ledger'!V3631=0),"PASS","FAIL")</f>
        <v>PASS</v>
      </c>
      <c r="F3652" s="9" t="s">
        <v>76</v>
      </c>
      <c r="G3652" s="6"/>
      <c r="H3652" s="6"/>
      <c r="I3652" s="6"/>
      <c r="J3652" s="6"/>
      <c r="K3652" s="6"/>
      <c r="L3652" s="6"/>
      <c r="M3652" s="6"/>
      <c r="N3652" s="6"/>
      <c r="O3652" s="6"/>
      <c r="P3652" s="6"/>
      <c r="Q3652" s="6"/>
      <c r="R3652" s="6"/>
      <c r="S3652" s="6"/>
      <c r="T3652" s="6"/>
      <c r="U3652" s="6"/>
      <c r="V3652" s="6"/>
      <c r="W3652" s="6"/>
      <c r="X3652" s="6"/>
      <c r="Y3652" s="6"/>
      <c r="Z3652" s="6"/>
    </row>
    <row r="3653" customFormat="false" ht="15" hidden="false" customHeight="false" outlineLevel="0" collapsed="false">
      <c r="A3653" s="9" t="s">
        <v>9496</v>
      </c>
      <c r="B3653" s="9" t="s">
        <v>5870</v>
      </c>
      <c r="C3653" s="9" t="s">
        <v>3912</v>
      </c>
      <c r="D3653" s="9" t="s">
        <v>5871</v>
      </c>
      <c r="E3653" s="9" t="str">
        <f aca="false">IF(AND('Formation Ledger'!A3632&lt;&gt;"",'Formation Ledger'!V3632=0),"PASS","FAIL")</f>
        <v>PASS</v>
      </c>
      <c r="F3653" s="9" t="s">
        <v>76</v>
      </c>
      <c r="G3653" s="6"/>
      <c r="H3653" s="6"/>
      <c r="I3653" s="6"/>
      <c r="J3653" s="6"/>
      <c r="K3653" s="6"/>
      <c r="L3653" s="6"/>
      <c r="M3653" s="6"/>
      <c r="N3653" s="6"/>
      <c r="O3653" s="6"/>
      <c r="P3653" s="6"/>
      <c r="Q3653" s="6"/>
      <c r="R3653" s="6"/>
      <c r="S3653" s="6"/>
      <c r="T3653" s="6"/>
      <c r="U3653" s="6"/>
      <c r="V3653" s="6"/>
      <c r="W3653" s="6"/>
      <c r="X3653" s="6"/>
      <c r="Y3653" s="6"/>
      <c r="Z3653" s="6"/>
    </row>
    <row r="3654" customFormat="false" ht="15" hidden="false" customHeight="false" outlineLevel="0" collapsed="false">
      <c r="A3654" s="9" t="s">
        <v>9497</v>
      </c>
      <c r="B3654" s="9" t="s">
        <v>5870</v>
      </c>
      <c r="C3654" s="9" t="s">
        <v>3913</v>
      </c>
      <c r="D3654" s="9" t="s">
        <v>5871</v>
      </c>
      <c r="E3654" s="9" t="str">
        <f aca="false">IF(AND('Formation Ledger'!A3633&lt;&gt;"",'Formation Ledger'!V3633=0),"PASS","FAIL")</f>
        <v>PASS</v>
      </c>
      <c r="F3654" s="9" t="s">
        <v>76</v>
      </c>
      <c r="G3654" s="6"/>
      <c r="H3654" s="6"/>
      <c r="I3654" s="6"/>
      <c r="J3654" s="6"/>
      <c r="K3654" s="6"/>
      <c r="L3654" s="6"/>
      <c r="M3654" s="6"/>
      <c r="N3654" s="6"/>
      <c r="O3654" s="6"/>
      <c r="P3654" s="6"/>
      <c r="Q3654" s="6"/>
      <c r="R3654" s="6"/>
      <c r="S3654" s="6"/>
      <c r="T3654" s="6"/>
      <c r="U3654" s="6"/>
      <c r="V3654" s="6"/>
      <c r="W3654" s="6"/>
      <c r="X3654" s="6"/>
      <c r="Y3654" s="6"/>
      <c r="Z3654" s="6"/>
    </row>
    <row r="3655" customFormat="false" ht="15" hidden="false" customHeight="false" outlineLevel="0" collapsed="false">
      <c r="A3655" s="9" t="s">
        <v>9498</v>
      </c>
      <c r="B3655" s="9" t="s">
        <v>5870</v>
      </c>
      <c r="C3655" s="9" t="s">
        <v>3914</v>
      </c>
      <c r="D3655" s="9" t="s">
        <v>5871</v>
      </c>
      <c r="E3655" s="9" t="str">
        <f aca="false">IF(AND('Formation Ledger'!A3634&lt;&gt;"",'Formation Ledger'!V3634=0),"PASS","FAIL")</f>
        <v>PASS</v>
      </c>
      <c r="F3655" s="9" t="s">
        <v>76</v>
      </c>
      <c r="G3655" s="6"/>
      <c r="H3655" s="6"/>
      <c r="I3655" s="6"/>
      <c r="J3655" s="6"/>
      <c r="K3655" s="6"/>
      <c r="L3655" s="6"/>
      <c r="M3655" s="6"/>
      <c r="N3655" s="6"/>
      <c r="O3655" s="6"/>
      <c r="P3655" s="6"/>
      <c r="Q3655" s="6"/>
      <c r="R3655" s="6"/>
      <c r="S3655" s="6"/>
      <c r="T3655" s="6"/>
      <c r="U3655" s="6"/>
      <c r="V3655" s="6"/>
      <c r="W3655" s="6"/>
      <c r="X3655" s="6"/>
      <c r="Y3655" s="6"/>
      <c r="Z3655" s="6"/>
    </row>
    <row r="3656" customFormat="false" ht="15" hidden="false" customHeight="false" outlineLevel="0" collapsed="false">
      <c r="A3656" s="9" t="s">
        <v>9499</v>
      </c>
      <c r="B3656" s="9" t="s">
        <v>5870</v>
      </c>
      <c r="C3656" s="9" t="s">
        <v>3915</v>
      </c>
      <c r="D3656" s="9" t="s">
        <v>5871</v>
      </c>
      <c r="E3656" s="9" t="str">
        <f aca="false">IF(AND('Formation Ledger'!A3635&lt;&gt;"",'Formation Ledger'!V3635=0),"PASS","FAIL")</f>
        <v>PASS</v>
      </c>
      <c r="F3656" s="9" t="s">
        <v>76</v>
      </c>
      <c r="G3656" s="6"/>
      <c r="H3656" s="6"/>
      <c r="I3656" s="6"/>
      <c r="J3656" s="6"/>
      <c r="K3656" s="6"/>
      <c r="L3656" s="6"/>
      <c r="M3656" s="6"/>
      <c r="N3656" s="6"/>
      <c r="O3656" s="6"/>
      <c r="P3656" s="6"/>
      <c r="Q3656" s="6"/>
      <c r="R3656" s="6"/>
      <c r="S3656" s="6"/>
      <c r="T3656" s="6"/>
      <c r="U3656" s="6"/>
      <c r="V3656" s="6"/>
      <c r="W3656" s="6"/>
      <c r="X3656" s="6"/>
      <c r="Y3656" s="6"/>
      <c r="Z3656" s="6"/>
    </row>
    <row r="3657" customFormat="false" ht="15" hidden="false" customHeight="false" outlineLevel="0" collapsed="false">
      <c r="A3657" s="9" t="s">
        <v>9500</v>
      </c>
      <c r="B3657" s="9" t="s">
        <v>5870</v>
      </c>
      <c r="C3657" s="9" t="s">
        <v>3916</v>
      </c>
      <c r="D3657" s="9" t="s">
        <v>5871</v>
      </c>
      <c r="E3657" s="9" t="str">
        <f aca="false">IF(AND('Formation Ledger'!A3636&lt;&gt;"",'Formation Ledger'!V3636=0),"PASS","FAIL")</f>
        <v>PASS</v>
      </c>
      <c r="F3657" s="9" t="s">
        <v>76</v>
      </c>
      <c r="G3657" s="6"/>
      <c r="H3657" s="6"/>
      <c r="I3657" s="6"/>
      <c r="J3657" s="6"/>
      <c r="K3657" s="6"/>
      <c r="L3657" s="6"/>
      <c r="M3657" s="6"/>
      <c r="N3657" s="6"/>
      <c r="O3657" s="6"/>
      <c r="P3657" s="6"/>
      <c r="Q3657" s="6"/>
      <c r="R3657" s="6"/>
      <c r="S3657" s="6"/>
      <c r="T3657" s="6"/>
      <c r="U3657" s="6"/>
      <c r="V3657" s="6"/>
      <c r="W3657" s="6"/>
      <c r="X3657" s="6"/>
      <c r="Y3657" s="6"/>
      <c r="Z3657" s="6"/>
    </row>
    <row r="3658" customFormat="false" ht="15" hidden="false" customHeight="false" outlineLevel="0" collapsed="false">
      <c r="A3658" s="9" t="s">
        <v>9501</v>
      </c>
      <c r="B3658" s="9" t="s">
        <v>5870</v>
      </c>
      <c r="C3658" s="9" t="s">
        <v>3917</v>
      </c>
      <c r="D3658" s="9" t="s">
        <v>5871</v>
      </c>
      <c r="E3658" s="9" t="str">
        <f aca="false">IF(AND('Formation Ledger'!A3637&lt;&gt;"",'Formation Ledger'!V3637=0),"PASS","FAIL")</f>
        <v>PASS</v>
      </c>
      <c r="F3658" s="9" t="s">
        <v>76</v>
      </c>
      <c r="G3658" s="6"/>
      <c r="H3658" s="6"/>
      <c r="I3658" s="6"/>
      <c r="J3658" s="6"/>
      <c r="K3658" s="6"/>
      <c r="L3658" s="6"/>
      <c r="M3658" s="6"/>
      <c r="N3658" s="6"/>
      <c r="O3658" s="6"/>
      <c r="P3658" s="6"/>
      <c r="Q3658" s="6"/>
      <c r="R3658" s="6"/>
      <c r="S3658" s="6"/>
      <c r="T3658" s="6"/>
      <c r="U3658" s="6"/>
      <c r="V3658" s="6"/>
      <c r="W3658" s="6"/>
      <c r="X3658" s="6"/>
      <c r="Y3658" s="6"/>
      <c r="Z3658" s="6"/>
    </row>
    <row r="3659" customFormat="false" ht="15" hidden="false" customHeight="false" outlineLevel="0" collapsed="false">
      <c r="A3659" s="9" t="s">
        <v>9502</v>
      </c>
      <c r="B3659" s="9" t="s">
        <v>5870</v>
      </c>
      <c r="C3659" s="9" t="s">
        <v>3918</v>
      </c>
      <c r="D3659" s="9" t="s">
        <v>5871</v>
      </c>
      <c r="E3659" s="9" t="str">
        <f aca="false">IF(AND('Formation Ledger'!A3638&lt;&gt;"",'Formation Ledger'!V3638=0),"PASS","FAIL")</f>
        <v>PASS</v>
      </c>
      <c r="F3659" s="9" t="s">
        <v>76</v>
      </c>
      <c r="G3659" s="6"/>
      <c r="H3659" s="6"/>
      <c r="I3659" s="6"/>
      <c r="J3659" s="6"/>
      <c r="K3659" s="6"/>
      <c r="L3659" s="6"/>
      <c r="M3659" s="6"/>
      <c r="N3659" s="6"/>
      <c r="O3659" s="6"/>
      <c r="P3659" s="6"/>
      <c r="Q3659" s="6"/>
      <c r="R3659" s="6"/>
      <c r="S3659" s="6"/>
      <c r="T3659" s="6"/>
      <c r="U3659" s="6"/>
      <c r="V3659" s="6"/>
      <c r="W3659" s="6"/>
      <c r="X3659" s="6"/>
      <c r="Y3659" s="6"/>
      <c r="Z3659" s="6"/>
    </row>
    <row r="3660" customFormat="false" ht="15" hidden="false" customHeight="false" outlineLevel="0" collapsed="false">
      <c r="A3660" s="9" t="s">
        <v>9503</v>
      </c>
      <c r="B3660" s="9" t="s">
        <v>5870</v>
      </c>
      <c r="C3660" s="9" t="s">
        <v>3919</v>
      </c>
      <c r="D3660" s="9" t="s">
        <v>5871</v>
      </c>
      <c r="E3660" s="9" t="str">
        <f aca="false">IF(AND('Formation Ledger'!A3639&lt;&gt;"",'Formation Ledger'!V3639=0),"PASS","FAIL")</f>
        <v>PASS</v>
      </c>
      <c r="F3660" s="9" t="s">
        <v>76</v>
      </c>
      <c r="G3660" s="6"/>
      <c r="H3660" s="6"/>
      <c r="I3660" s="6"/>
      <c r="J3660" s="6"/>
      <c r="K3660" s="6"/>
      <c r="L3660" s="6"/>
      <c r="M3660" s="6"/>
      <c r="N3660" s="6"/>
      <c r="O3660" s="6"/>
      <c r="P3660" s="6"/>
      <c r="Q3660" s="6"/>
      <c r="R3660" s="6"/>
      <c r="S3660" s="6"/>
      <c r="T3660" s="6"/>
      <c r="U3660" s="6"/>
      <c r="V3660" s="6"/>
      <c r="W3660" s="6"/>
      <c r="X3660" s="6"/>
      <c r="Y3660" s="6"/>
      <c r="Z3660" s="6"/>
    </row>
    <row r="3661" customFormat="false" ht="15" hidden="false" customHeight="false" outlineLevel="0" collapsed="false">
      <c r="A3661" s="9" t="s">
        <v>9504</v>
      </c>
      <c r="B3661" s="9" t="s">
        <v>5870</v>
      </c>
      <c r="C3661" s="9" t="s">
        <v>3920</v>
      </c>
      <c r="D3661" s="9" t="s">
        <v>5871</v>
      </c>
      <c r="E3661" s="9" t="str">
        <f aca="false">IF(AND('Formation Ledger'!A3640&lt;&gt;"",'Formation Ledger'!V3640=0),"PASS","FAIL")</f>
        <v>PASS</v>
      </c>
      <c r="F3661" s="9" t="s">
        <v>76</v>
      </c>
      <c r="G3661" s="6"/>
      <c r="H3661" s="6"/>
      <c r="I3661" s="6"/>
      <c r="J3661" s="6"/>
      <c r="K3661" s="6"/>
      <c r="L3661" s="6"/>
      <c r="M3661" s="6"/>
      <c r="N3661" s="6"/>
      <c r="O3661" s="6"/>
      <c r="P3661" s="6"/>
      <c r="Q3661" s="6"/>
      <c r="R3661" s="6"/>
      <c r="S3661" s="6"/>
      <c r="T3661" s="6"/>
      <c r="U3661" s="6"/>
      <c r="V3661" s="6"/>
      <c r="W3661" s="6"/>
      <c r="X3661" s="6"/>
      <c r="Y3661" s="6"/>
      <c r="Z3661" s="6"/>
    </row>
    <row r="3662" customFormat="false" ht="15" hidden="false" customHeight="false" outlineLevel="0" collapsed="false">
      <c r="A3662" s="9" t="s">
        <v>9505</v>
      </c>
      <c r="B3662" s="9" t="s">
        <v>5870</v>
      </c>
      <c r="C3662" s="9" t="s">
        <v>3921</v>
      </c>
      <c r="D3662" s="9" t="s">
        <v>5871</v>
      </c>
      <c r="E3662" s="9" t="str">
        <f aca="false">IF(AND('Formation Ledger'!A3641&lt;&gt;"",'Formation Ledger'!V3641=0),"PASS","FAIL")</f>
        <v>PASS</v>
      </c>
      <c r="F3662" s="9" t="s">
        <v>76</v>
      </c>
      <c r="G3662" s="6"/>
      <c r="H3662" s="6"/>
      <c r="I3662" s="6"/>
      <c r="J3662" s="6"/>
      <c r="K3662" s="6"/>
      <c r="L3662" s="6"/>
      <c r="M3662" s="6"/>
      <c r="N3662" s="6"/>
      <c r="O3662" s="6"/>
      <c r="P3662" s="6"/>
      <c r="Q3662" s="6"/>
      <c r="R3662" s="6"/>
      <c r="S3662" s="6"/>
      <c r="T3662" s="6"/>
      <c r="U3662" s="6"/>
      <c r="V3662" s="6"/>
      <c r="W3662" s="6"/>
      <c r="X3662" s="6"/>
      <c r="Y3662" s="6"/>
      <c r="Z3662" s="6"/>
    </row>
    <row r="3663" customFormat="false" ht="15" hidden="false" customHeight="false" outlineLevel="0" collapsed="false">
      <c r="A3663" s="9" t="s">
        <v>9506</v>
      </c>
      <c r="B3663" s="9" t="s">
        <v>5870</v>
      </c>
      <c r="C3663" s="9" t="s">
        <v>3922</v>
      </c>
      <c r="D3663" s="9" t="s">
        <v>5871</v>
      </c>
      <c r="E3663" s="9" t="str">
        <f aca="false">IF(AND('Formation Ledger'!A3642&lt;&gt;"",'Formation Ledger'!V3642=0),"PASS","FAIL")</f>
        <v>PASS</v>
      </c>
      <c r="F3663" s="9" t="s">
        <v>76</v>
      </c>
      <c r="G3663" s="6"/>
      <c r="H3663" s="6"/>
      <c r="I3663" s="6"/>
      <c r="J3663" s="6"/>
      <c r="K3663" s="6"/>
      <c r="L3663" s="6"/>
      <c r="M3663" s="6"/>
      <c r="N3663" s="6"/>
      <c r="O3663" s="6"/>
      <c r="P3663" s="6"/>
      <c r="Q3663" s="6"/>
      <c r="R3663" s="6"/>
      <c r="S3663" s="6"/>
      <c r="T3663" s="6"/>
      <c r="U3663" s="6"/>
      <c r="V3663" s="6"/>
      <c r="W3663" s="6"/>
      <c r="X3663" s="6"/>
      <c r="Y3663" s="6"/>
      <c r="Z3663" s="6"/>
    </row>
    <row r="3664" customFormat="false" ht="15" hidden="false" customHeight="false" outlineLevel="0" collapsed="false">
      <c r="A3664" s="9" t="s">
        <v>9507</v>
      </c>
      <c r="B3664" s="9" t="s">
        <v>5870</v>
      </c>
      <c r="C3664" s="9" t="s">
        <v>3923</v>
      </c>
      <c r="D3664" s="9" t="s">
        <v>5871</v>
      </c>
      <c r="E3664" s="9" t="str">
        <f aca="false">IF(AND('Formation Ledger'!A3643&lt;&gt;"",'Formation Ledger'!V3643=0),"PASS","FAIL")</f>
        <v>PASS</v>
      </c>
      <c r="F3664" s="9" t="s">
        <v>76</v>
      </c>
      <c r="G3664" s="6"/>
      <c r="H3664" s="6"/>
      <c r="I3664" s="6"/>
      <c r="J3664" s="6"/>
      <c r="K3664" s="6"/>
      <c r="L3664" s="6"/>
      <c r="M3664" s="6"/>
      <c r="N3664" s="6"/>
      <c r="O3664" s="6"/>
      <c r="P3664" s="6"/>
      <c r="Q3664" s="6"/>
      <c r="R3664" s="6"/>
      <c r="S3664" s="6"/>
      <c r="T3664" s="6"/>
      <c r="U3664" s="6"/>
      <c r="V3664" s="6"/>
      <c r="W3664" s="6"/>
      <c r="X3664" s="6"/>
      <c r="Y3664" s="6"/>
      <c r="Z3664" s="6"/>
    </row>
    <row r="3665" customFormat="false" ht="15" hidden="false" customHeight="false" outlineLevel="0" collapsed="false">
      <c r="A3665" s="9" t="s">
        <v>9508</v>
      </c>
      <c r="B3665" s="9" t="s">
        <v>5870</v>
      </c>
      <c r="C3665" s="9" t="s">
        <v>3924</v>
      </c>
      <c r="D3665" s="9" t="s">
        <v>5871</v>
      </c>
      <c r="E3665" s="9" t="str">
        <f aca="false">IF(AND('Formation Ledger'!A3644&lt;&gt;"",'Formation Ledger'!V3644=0),"PASS","FAIL")</f>
        <v>PASS</v>
      </c>
      <c r="F3665" s="9" t="s">
        <v>76</v>
      </c>
      <c r="G3665" s="6"/>
      <c r="H3665" s="6"/>
      <c r="I3665" s="6"/>
      <c r="J3665" s="6"/>
      <c r="K3665" s="6"/>
      <c r="L3665" s="6"/>
      <c r="M3665" s="6"/>
      <c r="N3665" s="6"/>
      <c r="O3665" s="6"/>
      <c r="P3665" s="6"/>
      <c r="Q3665" s="6"/>
      <c r="R3665" s="6"/>
      <c r="S3665" s="6"/>
      <c r="T3665" s="6"/>
      <c r="U3665" s="6"/>
      <c r="V3665" s="6"/>
      <c r="W3665" s="6"/>
      <c r="X3665" s="6"/>
      <c r="Y3665" s="6"/>
      <c r="Z3665" s="6"/>
    </row>
    <row r="3666" customFormat="false" ht="15" hidden="false" customHeight="false" outlineLevel="0" collapsed="false">
      <c r="A3666" s="9" t="s">
        <v>9509</v>
      </c>
      <c r="B3666" s="9" t="s">
        <v>5870</v>
      </c>
      <c r="C3666" s="9" t="s">
        <v>3925</v>
      </c>
      <c r="D3666" s="9" t="s">
        <v>5871</v>
      </c>
      <c r="E3666" s="9" t="str">
        <f aca="false">IF(AND('Formation Ledger'!A3645&lt;&gt;"",'Formation Ledger'!V3645=0),"PASS","FAIL")</f>
        <v>PASS</v>
      </c>
      <c r="F3666" s="9" t="s">
        <v>76</v>
      </c>
      <c r="G3666" s="6"/>
      <c r="H3666" s="6"/>
      <c r="I3666" s="6"/>
      <c r="J3666" s="6"/>
      <c r="K3666" s="6"/>
      <c r="L3666" s="6"/>
      <c r="M3666" s="6"/>
      <c r="N3666" s="6"/>
      <c r="O3666" s="6"/>
      <c r="P3666" s="6"/>
      <c r="Q3666" s="6"/>
      <c r="R3666" s="6"/>
      <c r="S3666" s="6"/>
      <c r="T3666" s="6"/>
      <c r="U3666" s="6"/>
      <c r="V3666" s="6"/>
      <c r="W3666" s="6"/>
      <c r="X3666" s="6"/>
      <c r="Y3666" s="6"/>
      <c r="Z3666" s="6"/>
    </row>
    <row r="3667" customFormat="false" ht="15" hidden="false" customHeight="false" outlineLevel="0" collapsed="false">
      <c r="A3667" s="9" t="s">
        <v>9510</v>
      </c>
      <c r="B3667" s="9" t="s">
        <v>5870</v>
      </c>
      <c r="C3667" s="9" t="s">
        <v>3926</v>
      </c>
      <c r="D3667" s="9" t="s">
        <v>5871</v>
      </c>
      <c r="E3667" s="9" t="str">
        <f aca="false">IF(AND('Formation Ledger'!A3646&lt;&gt;"",'Formation Ledger'!V3646=0),"PASS","FAIL")</f>
        <v>PASS</v>
      </c>
      <c r="F3667" s="9" t="s">
        <v>76</v>
      </c>
      <c r="G3667" s="6"/>
      <c r="H3667" s="6"/>
      <c r="I3667" s="6"/>
      <c r="J3667" s="6"/>
      <c r="K3667" s="6"/>
      <c r="L3667" s="6"/>
      <c r="M3667" s="6"/>
      <c r="N3667" s="6"/>
      <c r="O3667" s="6"/>
      <c r="P3667" s="6"/>
      <c r="Q3667" s="6"/>
      <c r="R3667" s="6"/>
      <c r="S3667" s="6"/>
      <c r="T3667" s="6"/>
      <c r="U3667" s="6"/>
      <c r="V3667" s="6"/>
      <c r="W3667" s="6"/>
      <c r="X3667" s="6"/>
      <c r="Y3667" s="6"/>
      <c r="Z3667" s="6"/>
    </row>
    <row r="3668" customFormat="false" ht="15" hidden="false" customHeight="false" outlineLevel="0" collapsed="false">
      <c r="A3668" s="9" t="s">
        <v>9511</v>
      </c>
      <c r="B3668" s="9" t="s">
        <v>5870</v>
      </c>
      <c r="C3668" s="9" t="s">
        <v>3927</v>
      </c>
      <c r="D3668" s="9" t="s">
        <v>5871</v>
      </c>
      <c r="E3668" s="9" t="str">
        <f aca="false">IF(AND('Formation Ledger'!A3647&lt;&gt;"",'Formation Ledger'!V3647=0),"PASS","FAIL")</f>
        <v>PASS</v>
      </c>
      <c r="F3668" s="9" t="s">
        <v>76</v>
      </c>
      <c r="G3668" s="6"/>
      <c r="H3668" s="6"/>
      <c r="I3668" s="6"/>
      <c r="J3668" s="6"/>
      <c r="K3668" s="6"/>
      <c r="L3668" s="6"/>
      <c r="M3668" s="6"/>
      <c r="N3668" s="6"/>
      <c r="O3668" s="6"/>
      <c r="P3668" s="6"/>
      <c r="Q3668" s="6"/>
      <c r="R3668" s="6"/>
      <c r="S3668" s="6"/>
      <c r="T3668" s="6"/>
      <c r="U3668" s="6"/>
      <c r="V3668" s="6"/>
      <c r="W3668" s="6"/>
      <c r="X3668" s="6"/>
      <c r="Y3668" s="6"/>
      <c r="Z3668" s="6"/>
    </row>
    <row r="3669" customFormat="false" ht="15" hidden="false" customHeight="false" outlineLevel="0" collapsed="false">
      <c r="A3669" s="9" t="s">
        <v>9512</v>
      </c>
      <c r="B3669" s="9" t="s">
        <v>5870</v>
      </c>
      <c r="C3669" s="9" t="s">
        <v>3928</v>
      </c>
      <c r="D3669" s="9" t="s">
        <v>5871</v>
      </c>
      <c r="E3669" s="9" t="str">
        <f aca="false">IF(AND('Formation Ledger'!A3648&lt;&gt;"",'Formation Ledger'!V3648=0),"PASS","FAIL")</f>
        <v>PASS</v>
      </c>
      <c r="F3669" s="9" t="s">
        <v>76</v>
      </c>
      <c r="G3669" s="6"/>
      <c r="H3669" s="6"/>
      <c r="I3669" s="6"/>
      <c r="J3669" s="6"/>
      <c r="K3669" s="6"/>
      <c r="L3669" s="6"/>
      <c r="M3669" s="6"/>
      <c r="N3669" s="6"/>
      <c r="O3669" s="6"/>
      <c r="P3669" s="6"/>
      <c r="Q3669" s="6"/>
      <c r="R3669" s="6"/>
      <c r="S3669" s="6"/>
      <c r="T3669" s="6"/>
      <c r="U3669" s="6"/>
      <c r="V3669" s="6"/>
      <c r="W3669" s="6"/>
      <c r="X3669" s="6"/>
      <c r="Y3669" s="6"/>
      <c r="Z3669" s="6"/>
    </row>
    <row r="3670" customFormat="false" ht="15" hidden="false" customHeight="false" outlineLevel="0" collapsed="false">
      <c r="A3670" s="9" t="s">
        <v>9513</v>
      </c>
      <c r="B3670" s="9" t="s">
        <v>5870</v>
      </c>
      <c r="C3670" s="9" t="s">
        <v>3929</v>
      </c>
      <c r="D3670" s="9" t="s">
        <v>5871</v>
      </c>
      <c r="E3670" s="9" t="str">
        <f aca="false">IF(AND('Formation Ledger'!A3649&lt;&gt;"",'Formation Ledger'!V3649=0),"PASS","FAIL")</f>
        <v>PASS</v>
      </c>
      <c r="F3670" s="9" t="s">
        <v>76</v>
      </c>
      <c r="G3670" s="6"/>
      <c r="H3670" s="6"/>
      <c r="I3670" s="6"/>
      <c r="J3670" s="6"/>
      <c r="K3670" s="6"/>
      <c r="L3670" s="6"/>
      <c r="M3670" s="6"/>
      <c r="N3670" s="6"/>
      <c r="O3670" s="6"/>
      <c r="P3670" s="6"/>
      <c r="Q3670" s="6"/>
      <c r="R3670" s="6"/>
      <c r="S3670" s="6"/>
      <c r="T3670" s="6"/>
      <c r="U3670" s="6"/>
      <c r="V3670" s="6"/>
      <c r="W3670" s="6"/>
      <c r="X3670" s="6"/>
      <c r="Y3670" s="6"/>
      <c r="Z3670" s="6"/>
    </row>
    <row r="3671" customFormat="false" ht="15" hidden="false" customHeight="false" outlineLevel="0" collapsed="false">
      <c r="A3671" s="9" t="s">
        <v>9514</v>
      </c>
      <c r="B3671" s="9" t="s">
        <v>5870</v>
      </c>
      <c r="C3671" s="9" t="s">
        <v>3930</v>
      </c>
      <c r="D3671" s="9" t="s">
        <v>5871</v>
      </c>
      <c r="E3671" s="9" t="str">
        <f aca="false">IF(AND('Formation Ledger'!A3650&lt;&gt;"",'Formation Ledger'!V3650=0),"PASS","FAIL")</f>
        <v>PASS</v>
      </c>
      <c r="F3671" s="9" t="s">
        <v>76</v>
      </c>
      <c r="G3671" s="6"/>
      <c r="H3671" s="6"/>
      <c r="I3671" s="6"/>
      <c r="J3671" s="6"/>
      <c r="K3671" s="6"/>
      <c r="L3671" s="6"/>
      <c r="M3671" s="6"/>
      <c r="N3671" s="6"/>
      <c r="O3671" s="6"/>
      <c r="P3671" s="6"/>
      <c r="Q3671" s="6"/>
      <c r="R3671" s="6"/>
      <c r="S3671" s="6"/>
      <c r="T3671" s="6"/>
      <c r="U3671" s="6"/>
      <c r="V3671" s="6"/>
      <c r="W3671" s="6"/>
      <c r="X3671" s="6"/>
      <c r="Y3671" s="6"/>
      <c r="Z3671" s="6"/>
    </row>
    <row r="3672" customFormat="false" ht="15" hidden="false" customHeight="false" outlineLevel="0" collapsed="false">
      <c r="A3672" s="9" t="s">
        <v>9515</v>
      </c>
      <c r="B3672" s="9" t="s">
        <v>5870</v>
      </c>
      <c r="C3672" s="9" t="s">
        <v>3931</v>
      </c>
      <c r="D3672" s="9" t="s">
        <v>5871</v>
      </c>
      <c r="E3672" s="9" t="str">
        <f aca="false">IF(AND('Formation Ledger'!A3651&lt;&gt;"",'Formation Ledger'!V3651=0),"PASS","FAIL")</f>
        <v>PASS</v>
      </c>
      <c r="F3672" s="9" t="s">
        <v>76</v>
      </c>
      <c r="G3672" s="6"/>
      <c r="H3672" s="6"/>
      <c r="I3672" s="6"/>
      <c r="J3672" s="6"/>
      <c r="K3672" s="6"/>
      <c r="L3672" s="6"/>
      <c r="M3672" s="6"/>
      <c r="N3672" s="6"/>
      <c r="O3672" s="6"/>
      <c r="P3672" s="6"/>
      <c r="Q3672" s="6"/>
      <c r="R3672" s="6"/>
      <c r="S3672" s="6"/>
      <c r="T3672" s="6"/>
      <c r="U3672" s="6"/>
      <c r="V3672" s="6"/>
      <c r="W3672" s="6"/>
      <c r="X3672" s="6"/>
      <c r="Y3672" s="6"/>
      <c r="Z3672" s="6"/>
    </row>
    <row r="3673" customFormat="false" ht="15" hidden="false" customHeight="false" outlineLevel="0" collapsed="false">
      <c r="A3673" s="9" t="s">
        <v>9516</v>
      </c>
      <c r="B3673" s="9" t="s">
        <v>5870</v>
      </c>
      <c r="C3673" s="9" t="s">
        <v>3932</v>
      </c>
      <c r="D3673" s="9" t="s">
        <v>5871</v>
      </c>
      <c r="E3673" s="9" t="str">
        <f aca="false">IF(AND('Formation Ledger'!A3652&lt;&gt;"",'Formation Ledger'!V3652=0),"PASS","FAIL")</f>
        <v>PASS</v>
      </c>
      <c r="F3673" s="9" t="s">
        <v>76</v>
      </c>
      <c r="G3673" s="6"/>
      <c r="H3673" s="6"/>
      <c r="I3673" s="6"/>
      <c r="J3673" s="6"/>
      <c r="K3673" s="6"/>
      <c r="L3673" s="6"/>
      <c r="M3673" s="6"/>
      <c r="N3673" s="6"/>
      <c r="O3673" s="6"/>
      <c r="P3673" s="6"/>
      <c r="Q3673" s="6"/>
      <c r="R3673" s="6"/>
      <c r="S3673" s="6"/>
      <c r="T3673" s="6"/>
      <c r="U3673" s="6"/>
      <c r="V3673" s="6"/>
      <c r="W3673" s="6"/>
      <c r="X3673" s="6"/>
      <c r="Y3673" s="6"/>
      <c r="Z3673" s="6"/>
    </row>
    <row r="3674" customFormat="false" ht="15" hidden="false" customHeight="false" outlineLevel="0" collapsed="false">
      <c r="A3674" s="9" t="s">
        <v>9517</v>
      </c>
      <c r="B3674" s="9" t="s">
        <v>5870</v>
      </c>
      <c r="C3674" s="9" t="s">
        <v>3933</v>
      </c>
      <c r="D3674" s="9" t="s">
        <v>5871</v>
      </c>
      <c r="E3674" s="9" t="str">
        <f aca="false">IF(AND('Formation Ledger'!A3653&lt;&gt;"",'Formation Ledger'!V3653=0),"PASS","FAIL")</f>
        <v>PASS</v>
      </c>
      <c r="F3674" s="9" t="s">
        <v>76</v>
      </c>
      <c r="G3674" s="6"/>
      <c r="H3674" s="6"/>
      <c r="I3674" s="6"/>
      <c r="J3674" s="6"/>
      <c r="K3674" s="6"/>
      <c r="L3674" s="6"/>
      <c r="M3674" s="6"/>
      <c r="N3674" s="6"/>
      <c r="O3674" s="6"/>
      <c r="P3674" s="6"/>
      <c r="Q3674" s="6"/>
      <c r="R3674" s="6"/>
      <c r="S3674" s="6"/>
      <c r="T3674" s="6"/>
      <c r="U3674" s="6"/>
      <c r="V3674" s="6"/>
      <c r="W3674" s="6"/>
      <c r="X3674" s="6"/>
      <c r="Y3674" s="6"/>
      <c r="Z3674" s="6"/>
    </row>
    <row r="3675" customFormat="false" ht="15" hidden="false" customHeight="false" outlineLevel="0" collapsed="false">
      <c r="A3675" s="9" t="s">
        <v>9518</v>
      </c>
      <c r="B3675" s="9" t="s">
        <v>5870</v>
      </c>
      <c r="C3675" s="9" t="s">
        <v>3934</v>
      </c>
      <c r="D3675" s="9" t="s">
        <v>5871</v>
      </c>
      <c r="E3675" s="9" t="str">
        <f aca="false">IF(AND('Formation Ledger'!A3654&lt;&gt;"",'Formation Ledger'!V3654=0),"PASS","FAIL")</f>
        <v>PASS</v>
      </c>
      <c r="F3675" s="9" t="s">
        <v>76</v>
      </c>
      <c r="G3675" s="6"/>
      <c r="H3675" s="6"/>
      <c r="I3675" s="6"/>
      <c r="J3675" s="6"/>
      <c r="K3675" s="6"/>
      <c r="L3675" s="6"/>
      <c r="M3675" s="6"/>
      <c r="N3675" s="6"/>
      <c r="O3675" s="6"/>
      <c r="P3675" s="6"/>
      <c r="Q3675" s="6"/>
      <c r="R3675" s="6"/>
      <c r="S3675" s="6"/>
      <c r="T3675" s="6"/>
      <c r="U3675" s="6"/>
      <c r="V3675" s="6"/>
      <c r="W3675" s="6"/>
      <c r="X3675" s="6"/>
      <c r="Y3675" s="6"/>
      <c r="Z3675" s="6"/>
    </row>
    <row r="3676" customFormat="false" ht="15" hidden="false" customHeight="false" outlineLevel="0" collapsed="false">
      <c r="A3676" s="9" t="s">
        <v>9519</v>
      </c>
      <c r="B3676" s="9" t="s">
        <v>5870</v>
      </c>
      <c r="C3676" s="9" t="s">
        <v>3935</v>
      </c>
      <c r="D3676" s="9" t="s">
        <v>5871</v>
      </c>
      <c r="E3676" s="9" t="str">
        <f aca="false">IF(AND('Formation Ledger'!A3655&lt;&gt;"",'Formation Ledger'!V3655=0),"PASS","FAIL")</f>
        <v>PASS</v>
      </c>
      <c r="F3676" s="9" t="s">
        <v>76</v>
      </c>
      <c r="G3676" s="6"/>
      <c r="H3676" s="6"/>
      <c r="I3676" s="6"/>
      <c r="J3676" s="6"/>
      <c r="K3676" s="6"/>
      <c r="L3676" s="6"/>
      <c r="M3676" s="6"/>
      <c r="N3676" s="6"/>
      <c r="O3676" s="6"/>
      <c r="P3676" s="6"/>
      <c r="Q3676" s="6"/>
      <c r="R3676" s="6"/>
      <c r="S3676" s="6"/>
      <c r="T3676" s="6"/>
      <c r="U3676" s="6"/>
      <c r="V3676" s="6"/>
      <c r="W3676" s="6"/>
      <c r="X3676" s="6"/>
      <c r="Y3676" s="6"/>
      <c r="Z3676" s="6"/>
    </row>
    <row r="3677" customFormat="false" ht="15" hidden="false" customHeight="false" outlineLevel="0" collapsed="false">
      <c r="A3677" s="9" t="s">
        <v>9520</v>
      </c>
      <c r="B3677" s="9" t="s">
        <v>5870</v>
      </c>
      <c r="C3677" s="9" t="s">
        <v>3936</v>
      </c>
      <c r="D3677" s="9" t="s">
        <v>5871</v>
      </c>
      <c r="E3677" s="9" t="str">
        <f aca="false">IF(AND('Formation Ledger'!A3656&lt;&gt;"",'Formation Ledger'!V3656=0),"PASS","FAIL")</f>
        <v>PASS</v>
      </c>
      <c r="F3677" s="9" t="s">
        <v>76</v>
      </c>
      <c r="G3677" s="6"/>
      <c r="H3677" s="6"/>
      <c r="I3677" s="6"/>
      <c r="J3677" s="6"/>
      <c r="K3677" s="6"/>
      <c r="L3677" s="6"/>
      <c r="M3677" s="6"/>
      <c r="N3677" s="6"/>
      <c r="O3677" s="6"/>
      <c r="P3677" s="6"/>
      <c r="Q3677" s="6"/>
      <c r="R3677" s="6"/>
      <c r="S3677" s="6"/>
      <c r="T3677" s="6"/>
      <c r="U3677" s="6"/>
      <c r="V3677" s="6"/>
      <c r="W3677" s="6"/>
      <c r="X3677" s="6"/>
      <c r="Y3677" s="6"/>
      <c r="Z3677" s="6"/>
    </row>
    <row r="3678" customFormat="false" ht="15" hidden="false" customHeight="false" outlineLevel="0" collapsed="false">
      <c r="A3678" s="9" t="s">
        <v>9521</v>
      </c>
      <c r="B3678" s="9" t="s">
        <v>5870</v>
      </c>
      <c r="C3678" s="9" t="s">
        <v>3937</v>
      </c>
      <c r="D3678" s="9" t="s">
        <v>5871</v>
      </c>
      <c r="E3678" s="9" t="str">
        <f aca="false">IF(AND('Formation Ledger'!A3657&lt;&gt;"",'Formation Ledger'!V3657=0),"PASS","FAIL")</f>
        <v>PASS</v>
      </c>
      <c r="F3678" s="9" t="s">
        <v>76</v>
      </c>
      <c r="G3678" s="6"/>
      <c r="H3678" s="6"/>
      <c r="I3678" s="6"/>
      <c r="J3678" s="6"/>
      <c r="K3678" s="6"/>
      <c r="L3678" s="6"/>
      <c r="M3678" s="6"/>
      <c r="N3678" s="6"/>
      <c r="O3678" s="6"/>
      <c r="P3678" s="6"/>
      <c r="Q3678" s="6"/>
      <c r="R3678" s="6"/>
      <c r="S3678" s="6"/>
      <c r="T3678" s="6"/>
      <c r="U3678" s="6"/>
      <c r="V3678" s="6"/>
      <c r="W3678" s="6"/>
      <c r="X3678" s="6"/>
      <c r="Y3678" s="6"/>
      <c r="Z3678" s="6"/>
    </row>
    <row r="3679" customFormat="false" ht="15" hidden="false" customHeight="false" outlineLevel="0" collapsed="false">
      <c r="A3679" s="9" t="s">
        <v>9522</v>
      </c>
      <c r="B3679" s="9" t="s">
        <v>5870</v>
      </c>
      <c r="C3679" s="9" t="s">
        <v>3938</v>
      </c>
      <c r="D3679" s="9" t="s">
        <v>5871</v>
      </c>
      <c r="E3679" s="9" t="str">
        <f aca="false">IF(AND('Formation Ledger'!A3658&lt;&gt;"",'Formation Ledger'!V3658=0),"PASS","FAIL")</f>
        <v>PASS</v>
      </c>
      <c r="F3679" s="9" t="s">
        <v>76</v>
      </c>
      <c r="G3679" s="6"/>
      <c r="H3679" s="6"/>
      <c r="I3679" s="6"/>
      <c r="J3679" s="6"/>
      <c r="K3679" s="6"/>
      <c r="L3679" s="6"/>
      <c r="M3679" s="6"/>
      <c r="N3679" s="6"/>
      <c r="O3679" s="6"/>
      <c r="P3679" s="6"/>
      <c r="Q3679" s="6"/>
      <c r="R3679" s="6"/>
      <c r="S3679" s="6"/>
      <c r="T3679" s="6"/>
      <c r="U3679" s="6"/>
      <c r="V3679" s="6"/>
      <c r="W3679" s="6"/>
      <c r="X3679" s="6"/>
      <c r="Y3679" s="6"/>
      <c r="Z3679" s="6"/>
    </row>
    <row r="3680" customFormat="false" ht="15" hidden="false" customHeight="false" outlineLevel="0" collapsed="false">
      <c r="A3680" s="9" t="s">
        <v>9523</v>
      </c>
      <c r="B3680" s="9" t="s">
        <v>5870</v>
      </c>
      <c r="C3680" s="9" t="s">
        <v>3941</v>
      </c>
      <c r="D3680" s="9" t="s">
        <v>5871</v>
      </c>
      <c r="E3680" s="9" t="str">
        <f aca="false">IF(AND('Formation Ledger'!A3659&lt;&gt;"",'Formation Ledger'!V3659=0),"PASS","FAIL")</f>
        <v>PASS</v>
      </c>
      <c r="F3680" s="9" t="s">
        <v>76</v>
      </c>
      <c r="G3680" s="6"/>
      <c r="H3680" s="6"/>
      <c r="I3680" s="6"/>
      <c r="J3680" s="6"/>
      <c r="K3680" s="6"/>
      <c r="L3680" s="6"/>
      <c r="M3680" s="6"/>
      <c r="N3680" s="6"/>
      <c r="O3680" s="6"/>
      <c r="P3680" s="6"/>
      <c r="Q3680" s="6"/>
      <c r="R3680" s="6"/>
      <c r="S3680" s="6"/>
      <c r="T3680" s="6"/>
      <c r="U3680" s="6"/>
      <c r="V3680" s="6"/>
      <c r="W3680" s="6"/>
      <c r="X3680" s="6"/>
      <c r="Y3680" s="6"/>
      <c r="Z3680" s="6"/>
    </row>
    <row r="3681" customFormat="false" ht="15" hidden="false" customHeight="false" outlineLevel="0" collapsed="false">
      <c r="A3681" s="9" t="s">
        <v>9524</v>
      </c>
      <c r="B3681" s="9" t="s">
        <v>5870</v>
      </c>
      <c r="C3681" s="9" t="s">
        <v>3942</v>
      </c>
      <c r="D3681" s="9" t="s">
        <v>5871</v>
      </c>
      <c r="E3681" s="9" t="str">
        <f aca="false">IF(AND('Formation Ledger'!A3660&lt;&gt;"",'Formation Ledger'!V3660=0),"PASS","FAIL")</f>
        <v>PASS</v>
      </c>
      <c r="F3681" s="9" t="s">
        <v>76</v>
      </c>
      <c r="G3681" s="6"/>
      <c r="H3681" s="6"/>
      <c r="I3681" s="6"/>
      <c r="J3681" s="6"/>
      <c r="K3681" s="6"/>
      <c r="L3681" s="6"/>
      <c r="M3681" s="6"/>
      <c r="N3681" s="6"/>
      <c r="O3681" s="6"/>
      <c r="P3681" s="6"/>
      <c r="Q3681" s="6"/>
      <c r="R3681" s="6"/>
      <c r="S3681" s="6"/>
      <c r="T3681" s="6"/>
      <c r="U3681" s="6"/>
      <c r="V3681" s="6"/>
      <c r="W3681" s="6"/>
      <c r="X3681" s="6"/>
      <c r="Y3681" s="6"/>
      <c r="Z3681" s="6"/>
    </row>
    <row r="3682" customFormat="false" ht="15" hidden="false" customHeight="false" outlineLevel="0" collapsed="false">
      <c r="A3682" s="9" t="s">
        <v>9525</v>
      </c>
      <c r="B3682" s="9" t="s">
        <v>5870</v>
      </c>
      <c r="C3682" s="9" t="s">
        <v>3943</v>
      </c>
      <c r="D3682" s="9" t="s">
        <v>5871</v>
      </c>
      <c r="E3682" s="9" t="str">
        <f aca="false">IF(AND('Formation Ledger'!A3661&lt;&gt;"",'Formation Ledger'!V3661=0),"PASS","FAIL")</f>
        <v>PASS</v>
      </c>
      <c r="F3682" s="9" t="s">
        <v>76</v>
      </c>
      <c r="G3682" s="6"/>
      <c r="H3682" s="6"/>
      <c r="I3682" s="6"/>
      <c r="J3682" s="6"/>
      <c r="K3682" s="6"/>
      <c r="L3682" s="6"/>
      <c r="M3682" s="6"/>
      <c r="N3682" s="6"/>
      <c r="O3682" s="6"/>
      <c r="P3682" s="6"/>
      <c r="Q3682" s="6"/>
      <c r="R3682" s="6"/>
      <c r="S3682" s="6"/>
      <c r="T3682" s="6"/>
      <c r="U3682" s="6"/>
      <c r="V3682" s="6"/>
      <c r="W3682" s="6"/>
      <c r="X3682" s="6"/>
      <c r="Y3682" s="6"/>
      <c r="Z3682" s="6"/>
    </row>
    <row r="3683" customFormat="false" ht="15" hidden="false" customHeight="false" outlineLevel="0" collapsed="false">
      <c r="A3683" s="9" t="s">
        <v>9526</v>
      </c>
      <c r="B3683" s="9" t="s">
        <v>5870</v>
      </c>
      <c r="C3683" s="9" t="s">
        <v>3944</v>
      </c>
      <c r="D3683" s="9" t="s">
        <v>5871</v>
      </c>
      <c r="E3683" s="9" t="str">
        <f aca="false">IF(AND('Formation Ledger'!A3662&lt;&gt;"",'Formation Ledger'!V3662=0),"PASS","FAIL")</f>
        <v>PASS</v>
      </c>
      <c r="F3683" s="9" t="s">
        <v>76</v>
      </c>
      <c r="G3683" s="6"/>
      <c r="H3683" s="6"/>
      <c r="I3683" s="6"/>
      <c r="J3683" s="6"/>
      <c r="K3683" s="6"/>
      <c r="L3683" s="6"/>
      <c r="M3683" s="6"/>
      <c r="N3683" s="6"/>
      <c r="O3683" s="6"/>
      <c r="P3683" s="6"/>
      <c r="Q3683" s="6"/>
      <c r="R3683" s="6"/>
      <c r="S3683" s="6"/>
      <c r="T3683" s="6"/>
      <c r="U3683" s="6"/>
      <c r="V3683" s="6"/>
      <c r="W3683" s="6"/>
      <c r="X3683" s="6"/>
      <c r="Y3683" s="6"/>
      <c r="Z3683" s="6"/>
    </row>
    <row r="3684" customFormat="false" ht="15" hidden="false" customHeight="false" outlineLevel="0" collapsed="false">
      <c r="A3684" s="9" t="s">
        <v>9527</v>
      </c>
      <c r="B3684" s="9" t="s">
        <v>5870</v>
      </c>
      <c r="C3684" s="9" t="s">
        <v>3945</v>
      </c>
      <c r="D3684" s="9" t="s">
        <v>5871</v>
      </c>
      <c r="E3684" s="9" t="str">
        <f aca="false">IF(AND('Formation Ledger'!A3663&lt;&gt;"",'Formation Ledger'!V3663=0),"PASS","FAIL")</f>
        <v>PASS</v>
      </c>
      <c r="F3684" s="9" t="s">
        <v>76</v>
      </c>
      <c r="G3684" s="6"/>
      <c r="H3684" s="6"/>
      <c r="I3684" s="6"/>
      <c r="J3684" s="6"/>
      <c r="K3684" s="6"/>
      <c r="L3684" s="6"/>
      <c r="M3684" s="6"/>
      <c r="N3684" s="6"/>
      <c r="O3684" s="6"/>
      <c r="P3684" s="6"/>
      <c r="Q3684" s="6"/>
      <c r="R3684" s="6"/>
      <c r="S3684" s="6"/>
      <c r="T3684" s="6"/>
      <c r="U3684" s="6"/>
      <c r="V3684" s="6"/>
      <c r="W3684" s="6"/>
      <c r="X3684" s="6"/>
      <c r="Y3684" s="6"/>
      <c r="Z3684" s="6"/>
    </row>
    <row r="3685" customFormat="false" ht="15" hidden="false" customHeight="false" outlineLevel="0" collapsed="false">
      <c r="A3685" s="9" t="s">
        <v>9528</v>
      </c>
      <c r="B3685" s="9" t="s">
        <v>5870</v>
      </c>
      <c r="C3685" s="9" t="s">
        <v>3946</v>
      </c>
      <c r="D3685" s="9" t="s">
        <v>5871</v>
      </c>
      <c r="E3685" s="9" t="str">
        <f aca="false">IF(AND('Formation Ledger'!A3664&lt;&gt;"",'Formation Ledger'!V3664=0),"PASS","FAIL")</f>
        <v>PASS</v>
      </c>
      <c r="F3685" s="9" t="s">
        <v>76</v>
      </c>
      <c r="G3685" s="6"/>
      <c r="H3685" s="6"/>
      <c r="I3685" s="6"/>
      <c r="J3685" s="6"/>
      <c r="K3685" s="6"/>
      <c r="L3685" s="6"/>
      <c r="M3685" s="6"/>
      <c r="N3685" s="6"/>
      <c r="O3685" s="6"/>
      <c r="P3685" s="6"/>
      <c r="Q3685" s="6"/>
      <c r="R3685" s="6"/>
      <c r="S3685" s="6"/>
      <c r="T3685" s="6"/>
      <c r="U3685" s="6"/>
      <c r="V3685" s="6"/>
      <c r="W3685" s="6"/>
      <c r="X3685" s="6"/>
      <c r="Y3685" s="6"/>
      <c r="Z3685" s="6"/>
    </row>
    <row r="3686" customFormat="false" ht="15" hidden="false" customHeight="false" outlineLevel="0" collapsed="false">
      <c r="A3686" s="9" t="s">
        <v>9529</v>
      </c>
      <c r="B3686" s="9" t="s">
        <v>5870</v>
      </c>
      <c r="C3686" s="9" t="s">
        <v>3947</v>
      </c>
      <c r="D3686" s="9" t="s">
        <v>5871</v>
      </c>
      <c r="E3686" s="9" t="str">
        <f aca="false">IF(AND('Formation Ledger'!A3665&lt;&gt;"",'Formation Ledger'!V3665=0),"PASS","FAIL")</f>
        <v>PASS</v>
      </c>
      <c r="F3686" s="9" t="s">
        <v>76</v>
      </c>
      <c r="G3686" s="6"/>
      <c r="H3686" s="6"/>
      <c r="I3686" s="6"/>
      <c r="J3686" s="6"/>
      <c r="K3686" s="6"/>
      <c r="L3686" s="6"/>
      <c r="M3686" s="6"/>
      <c r="N3686" s="6"/>
      <c r="O3686" s="6"/>
      <c r="P3686" s="6"/>
      <c r="Q3686" s="6"/>
      <c r="R3686" s="6"/>
      <c r="S3686" s="6"/>
      <c r="T3686" s="6"/>
      <c r="U3686" s="6"/>
      <c r="V3686" s="6"/>
      <c r="W3686" s="6"/>
      <c r="X3686" s="6"/>
      <c r="Y3686" s="6"/>
      <c r="Z3686" s="6"/>
    </row>
    <row r="3687" customFormat="false" ht="15" hidden="false" customHeight="false" outlineLevel="0" collapsed="false">
      <c r="A3687" s="9" t="s">
        <v>9530</v>
      </c>
      <c r="B3687" s="9" t="s">
        <v>5870</v>
      </c>
      <c r="C3687" s="9" t="s">
        <v>3948</v>
      </c>
      <c r="D3687" s="9" t="s">
        <v>5871</v>
      </c>
      <c r="E3687" s="9" t="str">
        <f aca="false">IF(AND('Formation Ledger'!A3666&lt;&gt;"",'Formation Ledger'!V3666=0),"PASS","FAIL")</f>
        <v>PASS</v>
      </c>
      <c r="F3687" s="9" t="s">
        <v>76</v>
      </c>
      <c r="G3687" s="6"/>
      <c r="H3687" s="6"/>
      <c r="I3687" s="6"/>
      <c r="J3687" s="6"/>
      <c r="K3687" s="6"/>
      <c r="L3687" s="6"/>
      <c r="M3687" s="6"/>
      <c r="N3687" s="6"/>
      <c r="O3687" s="6"/>
      <c r="P3687" s="6"/>
      <c r="Q3687" s="6"/>
      <c r="R3687" s="6"/>
      <c r="S3687" s="6"/>
      <c r="T3687" s="6"/>
      <c r="U3687" s="6"/>
      <c r="V3687" s="6"/>
      <c r="W3687" s="6"/>
      <c r="X3687" s="6"/>
      <c r="Y3687" s="6"/>
      <c r="Z3687" s="6"/>
    </row>
    <row r="3688" customFormat="false" ht="15" hidden="false" customHeight="false" outlineLevel="0" collapsed="false">
      <c r="A3688" s="9" t="s">
        <v>9531</v>
      </c>
      <c r="B3688" s="9" t="s">
        <v>5870</v>
      </c>
      <c r="C3688" s="9" t="s">
        <v>3949</v>
      </c>
      <c r="D3688" s="9" t="s">
        <v>5871</v>
      </c>
      <c r="E3688" s="9" t="str">
        <f aca="false">IF(AND('Formation Ledger'!A3667&lt;&gt;"",'Formation Ledger'!V3667=0),"PASS","FAIL")</f>
        <v>PASS</v>
      </c>
      <c r="F3688" s="9" t="s">
        <v>76</v>
      </c>
      <c r="G3688" s="6"/>
      <c r="H3688" s="6"/>
      <c r="I3688" s="6"/>
      <c r="J3688" s="6"/>
      <c r="K3688" s="6"/>
      <c r="L3688" s="6"/>
      <c r="M3688" s="6"/>
      <c r="N3688" s="6"/>
      <c r="O3688" s="6"/>
      <c r="P3688" s="6"/>
      <c r="Q3688" s="6"/>
      <c r="R3688" s="6"/>
      <c r="S3688" s="6"/>
      <c r="T3688" s="6"/>
      <c r="U3688" s="6"/>
      <c r="V3688" s="6"/>
      <c r="W3688" s="6"/>
      <c r="X3688" s="6"/>
      <c r="Y3688" s="6"/>
      <c r="Z3688" s="6"/>
    </row>
    <row r="3689" customFormat="false" ht="15" hidden="false" customHeight="false" outlineLevel="0" collapsed="false">
      <c r="A3689" s="9" t="s">
        <v>9532</v>
      </c>
      <c r="B3689" s="9" t="s">
        <v>5870</v>
      </c>
      <c r="C3689" s="9" t="s">
        <v>3950</v>
      </c>
      <c r="D3689" s="9" t="s">
        <v>5871</v>
      </c>
      <c r="E3689" s="9" t="str">
        <f aca="false">IF(AND('Formation Ledger'!A3668&lt;&gt;"",'Formation Ledger'!V3668=0),"PASS","FAIL")</f>
        <v>PASS</v>
      </c>
      <c r="F3689" s="9" t="s">
        <v>76</v>
      </c>
      <c r="G3689" s="6"/>
      <c r="H3689" s="6"/>
      <c r="I3689" s="6"/>
      <c r="J3689" s="6"/>
      <c r="K3689" s="6"/>
      <c r="L3689" s="6"/>
      <c r="M3689" s="6"/>
      <c r="N3689" s="6"/>
      <c r="O3689" s="6"/>
      <c r="P3689" s="6"/>
      <c r="Q3689" s="6"/>
      <c r="R3689" s="6"/>
      <c r="S3689" s="6"/>
      <c r="T3689" s="6"/>
      <c r="U3689" s="6"/>
      <c r="V3689" s="6"/>
      <c r="W3689" s="6"/>
      <c r="X3689" s="6"/>
      <c r="Y3689" s="6"/>
      <c r="Z3689" s="6"/>
    </row>
    <row r="3690" customFormat="false" ht="15" hidden="false" customHeight="false" outlineLevel="0" collapsed="false">
      <c r="A3690" s="9" t="s">
        <v>9533</v>
      </c>
      <c r="B3690" s="9" t="s">
        <v>5870</v>
      </c>
      <c r="C3690" s="9" t="s">
        <v>3951</v>
      </c>
      <c r="D3690" s="9" t="s">
        <v>5871</v>
      </c>
      <c r="E3690" s="9" t="str">
        <f aca="false">IF(AND('Formation Ledger'!A3669&lt;&gt;"",'Formation Ledger'!V3669=0),"PASS","FAIL")</f>
        <v>PASS</v>
      </c>
      <c r="F3690" s="9" t="s">
        <v>76</v>
      </c>
      <c r="G3690" s="6"/>
      <c r="H3690" s="6"/>
      <c r="I3690" s="6"/>
      <c r="J3690" s="6"/>
      <c r="K3690" s="6"/>
      <c r="L3690" s="6"/>
      <c r="M3690" s="6"/>
      <c r="N3690" s="6"/>
      <c r="O3690" s="6"/>
      <c r="P3690" s="6"/>
      <c r="Q3690" s="6"/>
      <c r="R3690" s="6"/>
      <c r="S3690" s="6"/>
      <c r="T3690" s="6"/>
      <c r="U3690" s="6"/>
      <c r="V3690" s="6"/>
      <c r="W3690" s="6"/>
      <c r="X3690" s="6"/>
      <c r="Y3690" s="6"/>
      <c r="Z3690" s="6"/>
    </row>
    <row r="3691" customFormat="false" ht="15" hidden="false" customHeight="false" outlineLevel="0" collapsed="false">
      <c r="A3691" s="9" t="s">
        <v>9534</v>
      </c>
      <c r="B3691" s="9" t="s">
        <v>5870</v>
      </c>
      <c r="C3691" s="9" t="s">
        <v>3952</v>
      </c>
      <c r="D3691" s="9" t="s">
        <v>5871</v>
      </c>
      <c r="E3691" s="9" t="str">
        <f aca="false">IF(AND('Formation Ledger'!A3670&lt;&gt;"",'Formation Ledger'!V3670=0),"PASS","FAIL")</f>
        <v>PASS</v>
      </c>
      <c r="F3691" s="9" t="s">
        <v>76</v>
      </c>
      <c r="G3691" s="6"/>
      <c r="H3691" s="6"/>
      <c r="I3691" s="6"/>
      <c r="J3691" s="6"/>
      <c r="K3691" s="6"/>
      <c r="L3691" s="6"/>
      <c r="M3691" s="6"/>
      <c r="N3691" s="6"/>
      <c r="O3691" s="6"/>
      <c r="P3691" s="6"/>
      <c r="Q3691" s="6"/>
      <c r="R3691" s="6"/>
      <c r="S3691" s="6"/>
      <c r="T3691" s="6"/>
      <c r="U3691" s="6"/>
      <c r="V3691" s="6"/>
      <c r="W3691" s="6"/>
      <c r="X3691" s="6"/>
      <c r="Y3691" s="6"/>
      <c r="Z3691" s="6"/>
    </row>
    <row r="3692" customFormat="false" ht="15" hidden="false" customHeight="false" outlineLevel="0" collapsed="false">
      <c r="A3692" s="9" t="s">
        <v>9535</v>
      </c>
      <c r="B3692" s="9" t="s">
        <v>5870</v>
      </c>
      <c r="C3692" s="9" t="s">
        <v>3953</v>
      </c>
      <c r="D3692" s="9" t="s">
        <v>5871</v>
      </c>
      <c r="E3692" s="9" t="str">
        <f aca="false">IF(AND('Formation Ledger'!A3671&lt;&gt;"",'Formation Ledger'!V3671=0),"PASS","FAIL")</f>
        <v>PASS</v>
      </c>
      <c r="F3692" s="9" t="s">
        <v>76</v>
      </c>
      <c r="G3692" s="6"/>
      <c r="H3692" s="6"/>
      <c r="I3692" s="6"/>
      <c r="J3692" s="6"/>
      <c r="K3692" s="6"/>
      <c r="L3692" s="6"/>
      <c r="M3692" s="6"/>
      <c r="N3692" s="6"/>
      <c r="O3692" s="6"/>
      <c r="P3692" s="6"/>
      <c r="Q3692" s="6"/>
      <c r="R3692" s="6"/>
      <c r="S3692" s="6"/>
      <c r="T3692" s="6"/>
      <c r="U3692" s="6"/>
      <c r="V3692" s="6"/>
      <c r="W3692" s="6"/>
      <c r="X3692" s="6"/>
      <c r="Y3692" s="6"/>
      <c r="Z3692" s="6"/>
    </row>
    <row r="3693" customFormat="false" ht="15" hidden="false" customHeight="false" outlineLevel="0" collapsed="false">
      <c r="A3693" s="9" t="s">
        <v>9536</v>
      </c>
      <c r="B3693" s="9" t="s">
        <v>5870</v>
      </c>
      <c r="C3693" s="9" t="s">
        <v>3954</v>
      </c>
      <c r="D3693" s="9" t="s">
        <v>5871</v>
      </c>
      <c r="E3693" s="9" t="str">
        <f aca="false">IF(AND('Formation Ledger'!A3672&lt;&gt;"",'Formation Ledger'!V3672=0),"PASS","FAIL")</f>
        <v>PASS</v>
      </c>
      <c r="F3693" s="9" t="s">
        <v>76</v>
      </c>
      <c r="G3693" s="6"/>
      <c r="H3693" s="6"/>
      <c r="I3693" s="6"/>
      <c r="J3693" s="6"/>
      <c r="K3693" s="6"/>
      <c r="L3693" s="6"/>
      <c r="M3693" s="6"/>
      <c r="N3693" s="6"/>
      <c r="O3693" s="6"/>
      <c r="P3693" s="6"/>
      <c r="Q3693" s="6"/>
      <c r="R3693" s="6"/>
      <c r="S3693" s="6"/>
      <c r="T3693" s="6"/>
      <c r="U3693" s="6"/>
      <c r="V3693" s="6"/>
      <c r="W3693" s="6"/>
      <c r="X3693" s="6"/>
      <c r="Y3693" s="6"/>
      <c r="Z3693" s="6"/>
    </row>
    <row r="3694" customFormat="false" ht="15" hidden="false" customHeight="false" outlineLevel="0" collapsed="false">
      <c r="A3694" s="9" t="s">
        <v>9537</v>
      </c>
      <c r="B3694" s="9" t="s">
        <v>5870</v>
      </c>
      <c r="C3694" s="9" t="s">
        <v>3955</v>
      </c>
      <c r="D3694" s="9" t="s">
        <v>5871</v>
      </c>
      <c r="E3694" s="9" t="str">
        <f aca="false">IF(AND('Formation Ledger'!A3673&lt;&gt;"",'Formation Ledger'!V3673=0),"PASS","FAIL")</f>
        <v>PASS</v>
      </c>
      <c r="F3694" s="9" t="s">
        <v>76</v>
      </c>
      <c r="G3694" s="6"/>
      <c r="H3694" s="6"/>
      <c r="I3694" s="6"/>
      <c r="J3694" s="6"/>
      <c r="K3694" s="6"/>
      <c r="L3694" s="6"/>
      <c r="M3694" s="6"/>
      <c r="N3694" s="6"/>
      <c r="O3694" s="6"/>
      <c r="P3694" s="6"/>
      <c r="Q3694" s="6"/>
      <c r="R3694" s="6"/>
      <c r="S3694" s="6"/>
      <c r="T3694" s="6"/>
      <c r="U3694" s="6"/>
      <c r="V3694" s="6"/>
      <c r="W3694" s="6"/>
      <c r="X3694" s="6"/>
      <c r="Y3694" s="6"/>
      <c r="Z3694" s="6"/>
    </row>
    <row r="3695" customFormat="false" ht="15" hidden="false" customHeight="false" outlineLevel="0" collapsed="false">
      <c r="A3695" s="9" t="s">
        <v>9538</v>
      </c>
      <c r="B3695" s="9" t="s">
        <v>5870</v>
      </c>
      <c r="C3695" s="9" t="s">
        <v>3956</v>
      </c>
      <c r="D3695" s="9" t="s">
        <v>5871</v>
      </c>
      <c r="E3695" s="9" t="str">
        <f aca="false">IF(AND('Formation Ledger'!A3674&lt;&gt;"",'Formation Ledger'!V3674=0),"PASS","FAIL")</f>
        <v>PASS</v>
      </c>
      <c r="F3695" s="9" t="s">
        <v>76</v>
      </c>
      <c r="G3695" s="6"/>
      <c r="H3695" s="6"/>
      <c r="I3695" s="6"/>
      <c r="J3695" s="6"/>
      <c r="K3695" s="6"/>
      <c r="L3695" s="6"/>
      <c r="M3695" s="6"/>
      <c r="N3695" s="6"/>
      <c r="O3695" s="6"/>
      <c r="P3695" s="6"/>
      <c r="Q3695" s="6"/>
      <c r="R3695" s="6"/>
      <c r="S3695" s="6"/>
      <c r="T3695" s="6"/>
      <c r="U3695" s="6"/>
      <c r="V3695" s="6"/>
      <c r="W3695" s="6"/>
      <c r="X3695" s="6"/>
      <c r="Y3695" s="6"/>
      <c r="Z3695" s="6"/>
    </row>
    <row r="3696" customFormat="false" ht="15" hidden="false" customHeight="false" outlineLevel="0" collapsed="false">
      <c r="A3696" s="9" t="s">
        <v>9539</v>
      </c>
      <c r="B3696" s="9" t="s">
        <v>5870</v>
      </c>
      <c r="C3696" s="9" t="s">
        <v>3957</v>
      </c>
      <c r="D3696" s="9" t="s">
        <v>5871</v>
      </c>
      <c r="E3696" s="9" t="str">
        <f aca="false">IF(AND('Formation Ledger'!A3675&lt;&gt;"",'Formation Ledger'!V3675=0),"PASS","FAIL")</f>
        <v>PASS</v>
      </c>
      <c r="F3696" s="9" t="s">
        <v>76</v>
      </c>
      <c r="G3696" s="6"/>
      <c r="H3696" s="6"/>
      <c r="I3696" s="6"/>
      <c r="J3696" s="6"/>
      <c r="K3696" s="6"/>
      <c r="L3696" s="6"/>
      <c r="M3696" s="6"/>
      <c r="N3696" s="6"/>
      <c r="O3696" s="6"/>
      <c r="P3696" s="6"/>
      <c r="Q3696" s="6"/>
      <c r="R3696" s="6"/>
      <c r="S3696" s="6"/>
      <c r="T3696" s="6"/>
      <c r="U3696" s="6"/>
      <c r="V3696" s="6"/>
      <c r="W3696" s="6"/>
      <c r="X3696" s="6"/>
      <c r="Y3696" s="6"/>
      <c r="Z3696" s="6"/>
    </row>
    <row r="3697" customFormat="false" ht="15" hidden="false" customHeight="false" outlineLevel="0" collapsed="false">
      <c r="A3697" s="9" t="s">
        <v>9540</v>
      </c>
      <c r="B3697" s="9" t="s">
        <v>5870</v>
      </c>
      <c r="C3697" s="9" t="s">
        <v>3958</v>
      </c>
      <c r="D3697" s="9" t="s">
        <v>5871</v>
      </c>
      <c r="E3697" s="9" t="str">
        <f aca="false">IF(AND('Formation Ledger'!A3676&lt;&gt;"",'Formation Ledger'!V3676=0),"PASS","FAIL")</f>
        <v>PASS</v>
      </c>
      <c r="F3697" s="9" t="s">
        <v>76</v>
      </c>
      <c r="G3697" s="6"/>
      <c r="H3697" s="6"/>
      <c r="I3697" s="6"/>
      <c r="J3697" s="6"/>
      <c r="K3697" s="6"/>
      <c r="L3697" s="6"/>
      <c r="M3697" s="6"/>
      <c r="N3697" s="6"/>
      <c r="O3697" s="6"/>
      <c r="P3697" s="6"/>
      <c r="Q3697" s="6"/>
      <c r="R3697" s="6"/>
      <c r="S3697" s="6"/>
      <c r="T3697" s="6"/>
      <c r="U3697" s="6"/>
      <c r="V3697" s="6"/>
      <c r="W3697" s="6"/>
      <c r="X3697" s="6"/>
      <c r="Y3697" s="6"/>
      <c r="Z3697" s="6"/>
    </row>
    <row r="3698" customFormat="false" ht="15" hidden="false" customHeight="false" outlineLevel="0" collapsed="false">
      <c r="A3698" s="9" t="s">
        <v>9541</v>
      </c>
      <c r="B3698" s="9" t="s">
        <v>5870</v>
      </c>
      <c r="C3698" s="9" t="s">
        <v>3959</v>
      </c>
      <c r="D3698" s="9" t="s">
        <v>5871</v>
      </c>
      <c r="E3698" s="9" t="str">
        <f aca="false">IF(AND('Formation Ledger'!A3677&lt;&gt;"",'Formation Ledger'!V3677=0),"PASS","FAIL")</f>
        <v>PASS</v>
      </c>
      <c r="F3698" s="9" t="s">
        <v>76</v>
      </c>
      <c r="G3698" s="6"/>
      <c r="H3698" s="6"/>
      <c r="I3698" s="6"/>
      <c r="J3698" s="6"/>
      <c r="K3698" s="6"/>
      <c r="L3698" s="6"/>
      <c r="M3698" s="6"/>
      <c r="N3698" s="6"/>
      <c r="O3698" s="6"/>
      <c r="P3698" s="6"/>
      <c r="Q3698" s="6"/>
      <c r="R3698" s="6"/>
      <c r="S3698" s="6"/>
      <c r="T3698" s="6"/>
      <c r="U3698" s="6"/>
      <c r="V3698" s="6"/>
      <c r="W3698" s="6"/>
      <c r="X3698" s="6"/>
      <c r="Y3698" s="6"/>
      <c r="Z3698" s="6"/>
    </row>
    <row r="3699" customFormat="false" ht="15" hidden="false" customHeight="false" outlineLevel="0" collapsed="false">
      <c r="A3699" s="9" t="s">
        <v>9542</v>
      </c>
      <c r="B3699" s="9" t="s">
        <v>5870</v>
      </c>
      <c r="C3699" s="9" t="s">
        <v>3960</v>
      </c>
      <c r="D3699" s="9" t="s">
        <v>5871</v>
      </c>
      <c r="E3699" s="9" t="str">
        <f aca="false">IF(AND('Formation Ledger'!A3678&lt;&gt;"",'Formation Ledger'!V3678=0),"PASS","FAIL")</f>
        <v>PASS</v>
      </c>
      <c r="F3699" s="9" t="s">
        <v>76</v>
      </c>
      <c r="G3699" s="6"/>
      <c r="H3699" s="6"/>
      <c r="I3699" s="6"/>
      <c r="J3699" s="6"/>
      <c r="K3699" s="6"/>
      <c r="L3699" s="6"/>
      <c r="M3699" s="6"/>
      <c r="N3699" s="6"/>
      <c r="O3699" s="6"/>
      <c r="P3699" s="6"/>
      <c r="Q3699" s="6"/>
      <c r="R3699" s="6"/>
      <c r="S3699" s="6"/>
      <c r="T3699" s="6"/>
      <c r="U3699" s="6"/>
      <c r="V3699" s="6"/>
      <c r="W3699" s="6"/>
      <c r="X3699" s="6"/>
      <c r="Y3699" s="6"/>
      <c r="Z3699" s="6"/>
    </row>
    <row r="3700" customFormat="false" ht="15" hidden="false" customHeight="false" outlineLevel="0" collapsed="false">
      <c r="A3700" s="9" t="s">
        <v>9543</v>
      </c>
      <c r="B3700" s="9" t="s">
        <v>5870</v>
      </c>
      <c r="C3700" s="9" t="s">
        <v>3961</v>
      </c>
      <c r="D3700" s="9" t="s">
        <v>5871</v>
      </c>
      <c r="E3700" s="9" t="str">
        <f aca="false">IF(AND('Formation Ledger'!A3679&lt;&gt;"",'Formation Ledger'!V3679=0),"PASS","FAIL")</f>
        <v>PASS</v>
      </c>
      <c r="F3700" s="9" t="s">
        <v>76</v>
      </c>
      <c r="G3700" s="6"/>
      <c r="H3700" s="6"/>
      <c r="I3700" s="6"/>
      <c r="J3700" s="6"/>
      <c r="K3700" s="6"/>
      <c r="L3700" s="6"/>
      <c r="M3700" s="6"/>
      <c r="N3700" s="6"/>
      <c r="O3700" s="6"/>
      <c r="P3700" s="6"/>
      <c r="Q3700" s="6"/>
      <c r="R3700" s="6"/>
      <c r="S3700" s="6"/>
      <c r="T3700" s="6"/>
      <c r="U3700" s="6"/>
      <c r="V3700" s="6"/>
      <c r="W3700" s="6"/>
      <c r="X3700" s="6"/>
      <c r="Y3700" s="6"/>
      <c r="Z3700" s="6"/>
    </row>
    <row r="3701" customFormat="false" ht="15" hidden="false" customHeight="false" outlineLevel="0" collapsed="false">
      <c r="A3701" s="9" t="s">
        <v>9544</v>
      </c>
      <c r="B3701" s="9" t="s">
        <v>5870</v>
      </c>
      <c r="C3701" s="9" t="s">
        <v>3962</v>
      </c>
      <c r="D3701" s="9" t="s">
        <v>5871</v>
      </c>
      <c r="E3701" s="9" t="str">
        <f aca="false">IF(AND('Formation Ledger'!A3680&lt;&gt;"",'Formation Ledger'!V3680=0),"PASS","FAIL")</f>
        <v>PASS</v>
      </c>
      <c r="F3701" s="9" t="s">
        <v>76</v>
      </c>
      <c r="G3701" s="6"/>
      <c r="H3701" s="6"/>
      <c r="I3701" s="6"/>
      <c r="J3701" s="6"/>
      <c r="K3701" s="6"/>
      <c r="L3701" s="6"/>
      <c r="M3701" s="6"/>
      <c r="N3701" s="6"/>
      <c r="O3701" s="6"/>
      <c r="P3701" s="6"/>
      <c r="Q3701" s="6"/>
      <c r="R3701" s="6"/>
      <c r="S3701" s="6"/>
      <c r="T3701" s="6"/>
      <c r="U3701" s="6"/>
      <c r="V3701" s="6"/>
      <c r="W3701" s="6"/>
      <c r="X3701" s="6"/>
      <c r="Y3701" s="6"/>
      <c r="Z3701" s="6"/>
    </row>
    <row r="3702" customFormat="false" ht="15" hidden="false" customHeight="false" outlineLevel="0" collapsed="false">
      <c r="A3702" s="9" t="s">
        <v>9545</v>
      </c>
      <c r="B3702" s="9" t="s">
        <v>5870</v>
      </c>
      <c r="C3702" s="9" t="s">
        <v>3963</v>
      </c>
      <c r="D3702" s="9" t="s">
        <v>5871</v>
      </c>
      <c r="E3702" s="9" t="str">
        <f aca="false">IF(AND('Formation Ledger'!A3681&lt;&gt;"",'Formation Ledger'!V3681=0),"PASS","FAIL")</f>
        <v>PASS</v>
      </c>
      <c r="F3702" s="9" t="s">
        <v>76</v>
      </c>
      <c r="G3702" s="6"/>
      <c r="H3702" s="6"/>
      <c r="I3702" s="6"/>
      <c r="J3702" s="6"/>
      <c r="K3702" s="6"/>
      <c r="L3702" s="6"/>
      <c r="M3702" s="6"/>
      <c r="N3702" s="6"/>
      <c r="O3702" s="6"/>
      <c r="P3702" s="6"/>
      <c r="Q3702" s="6"/>
      <c r="R3702" s="6"/>
      <c r="S3702" s="6"/>
      <c r="T3702" s="6"/>
      <c r="U3702" s="6"/>
      <c r="V3702" s="6"/>
      <c r="W3702" s="6"/>
      <c r="X3702" s="6"/>
      <c r="Y3702" s="6"/>
      <c r="Z3702" s="6"/>
    </row>
    <row r="3703" customFormat="false" ht="15" hidden="false" customHeight="false" outlineLevel="0" collapsed="false">
      <c r="A3703" s="9" t="s">
        <v>9546</v>
      </c>
      <c r="B3703" s="9" t="s">
        <v>5870</v>
      </c>
      <c r="C3703" s="9" t="s">
        <v>3964</v>
      </c>
      <c r="D3703" s="9" t="s">
        <v>5871</v>
      </c>
      <c r="E3703" s="9" t="str">
        <f aca="false">IF(AND('Formation Ledger'!A3682&lt;&gt;"",'Formation Ledger'!V3682=0),"PASS","FAIL")</f>
        <v>PASS</v>
      </c>
      <c r="F3703" s="9" t="s">
        <v>76</v>
      </c>
      <c r="G3703" s="6"/>
      <c r="H3703" s="6"/>
      <c r="I3703" s="6"/>
      <c r="J3703" s="6"/>
      <c r="K3703" s="6"/>
      <c r="L3703" s="6"/>
      <c r="M3703" s="6"/>
      <c r="N3703" s="6"/>
      <c r="O3703" s="6"/>
      <c r="P3703" s="6"/>
      <c r="Q3703" s="6"/>
      <c r="R3703" s="6"/>
      <c r="S3703" s="6"/>
      <c r="T3703" s="6"/>
      <c r="U3703" s="6"/>
      <c r="V3703" s="6"/>
      <c r="W3703" s="6"/>
      <c r="X3703" s="6"/>
      <c r="Y3703" s="6"/>
      <c r="Z3703" s="6"/>
    </row>
    <row r="3704" customFormat="false" ht="15" hidden="false" customHeight="false" outlineLevel="0" collapsed="false">
      <c r="A3704" s="9" t="s">
        <v>9547</v>
      </c>
      <c r="B3704" s="9" t="s">
        <v>5870</v>
      </c>
      <c r="C3704" s="9" t="s">
        <v>3965</v>
      </c>
      <c r="D3704" s="9" t="s">
        <v>5871</v>
      </c>
      <c r="E3704" s="9" t="str">
        <f aca="false">IF(AND('Formation Ledger'!A3683&lt;&gt;"",'Formation Ledger'!V3683=0),"PASS","FAIL")</f>
        <v>PASS</v>
      </c>
      <c r="F3704" s="9" t="s">
        <v>76</v>
      </c>
      <c r="G3704" s="6"/>
      <c r="H3704" s="6"/>
      <c r="I3704" s="6"/>
      <c r="J3704" s="6"/>
      <c r="K3704" s="6"/>
      <c r="L3704" s="6"/>
      <c r="M3704" s="6"/>
      <c r="N3704" s="6"/>
      <c r="O3704" s="6"/>
      <c r="P3704" s="6"/>
      <c r="Q3704" s="6"/>
      <c r="R3704" s="6"/>
      <c r="S3704" s="6"/>
      <c r="T3704" s="6"/>
      <c r="U3704" s="6"/>
      <c r="V3704" s="6"/>
      <c r="W3704" s="6"/>
      <c r="X3704" s="6"/>
      <c r="Y3704" s="6"/>
      <c r="Z3704" s="6"/>
    </row>
    <row r="3705" customFormat="false" ht="15" hidden="false" customHeight="false" outlineLevel="0" collapsed="false">
      <c r="A3705" s="9" t="s">
        <v>9548</v>
      </c>
      <c r="B3705" s="9" t="s">
        <v>5870</v>
      </c>
      <c r="C3705" s="9" t="s">
        <v>3966</v>
      </c>
      <c r="D3705" s="9" t="s">
        <v>5871</v>
      </c>
      <c r="E3705" s="9" t="str">
        <f aca="false">IF(AND('Formation Ledger'!A3684&lt;&gt;"",'Formation Ledger'!V3684=0),"PASS","FAIL")</f>
        <v>PASS</v>
      </c>
      <c r="F3705" s="9" t="s">
        <v>76</v>
      </c>
      <c r="G3705" s="6"/>
      <c r="H3705" s="6"/>
      <c r="I3705" s="6"/>
      <c r="J3705" s="6"/>
      <c r="K3705" s="6"/>
      <c r="L3705" s="6"/>
      <c r="M3705" s="6"/>
      <c r="N3705" s="6"/>
      <c r="O3705" s="6"/>
      <c r="P3705" s="6"/>
      <c r="Q3705" s="6"/>
      <c r="R3705" s="6"/>
      <c r="S3705" s="6"/>
      <c r="T3705" s="6"/>
      <c r="U3705" s="6"/>
      <c r="V3705" s="6"/>
      <c r="W3705" s="6"/>
      <c r="X3705" s="6"/>
      <c r="Y3705" s="6"/>
      <c r="Z3705" s="6"/>
    </row>
    <row r="3706" customFormat="false" ht="15" hidden="false" customHeight="false" outlineLevel="0" collapsed="false">
      <c r="A3706" s="9" t="s">
        <v>9549</v>
      </c>
      <c r="B3706" s="9" t="s">
        <v>5870</v>
      </c>
      <c r="C3706" s="9" t="s">
        <v>3967</v>
      </c>
      <c r="D3706" s="9" t="s">
        <v>5871</v>
      </c>
      <c r="E3706" s="9" t="str">
        <f aca="false">IF(AND('Formation Ledger'!A3685&lt;&gt;"",'Formation Ledger'!V3685=0),"PASS","FAIL")</f>
        <v>PASS</v>
      </c>
      <c r="F3706" s="9" t="s">
        <v>76</v>
      </c>
      <c r="G3706" s="6"/>
      <c r="H3706" s="6"/>
      <c r="I3706" s="6"/>
      <c r="J3706" s="6"/>
      <c r="K3706" s="6"/>
      <c r="L3706" s="6"/>
      <c r="M3706" s="6"/>
      <c r="N3706" s="6"/>
      <c r="O3706" s="6"/>
      <c r="P3706" s="6"/>
      <c r="Q3706" s="6"/>
      <c r="R3706" s="6"/>
      <c r="S3706" s="6"/>
      <c r="T3706" s="6"/>
      <c r="U3706" s="6"/>
      <c r="V3706" s="6"/>
      <c r="W3706" s="6"/>
      <c r="X3706" s="6"/>
      <c r="Y3706" s="6"/>
      <c r="Z3706" s="6"/>
    </row>
    <row r="3707" customFormat="false" ht="15" hidden="false" customHeight="false" outlineLevel="0" collapsed="false">
      <c r="A3707" s="9" t="s">
        <v>9550</v>
      </c>
      <c r="B3707" s="9" t="s">
        <v>5870</v>
      </c>
      <c r="C3707" s="9" t="s">
        <v>3968</v>
      </c>
      <c r="D3707" s="9" t="s">
        <v>5871</v>
      </c>
      <c r="E3707" s="9" t="str">
        <f aca="false">IF(AND('Formation Ledger'!A3686&lt;&gt;"",'Formation Ledger'!V3686=0),"PASS","FAIL")</f>
        <v>PASS</v>
      </c>
      <c r="F3707" s="9" t="s">
        <v>76</v>
      </c>
      <c r="G3707" s="6"/>
      <c r="H3707" s="6"/>
      <c r="I3707" s="6"/>
      <c r="J3707" s="6"/>
      <c r="K3707" s="6"/>
      <c r="L3707" s="6"/>
      <c r="M3707" s="6"/>
      <c r="N3707" s="6"/>
      <c r="O3707" s="6"/>
      <c r="P3707" s="6"/>
      <c r="Q3707" s="6"/>
      <c r="R3707" s="6"/>
      <c r="S3707" s="6"/>
      <c r="T3707" s="6"/>
      <c r="U3707" s="6"/>
      <c r="V3707" s="6"/>
      <c r="W3707" s="6"/>
      <c r="X3707" s="6"/>
      <c r="Y3707" s="6"/>
      <c r="Z3707" s="6"/>
    </row>
    <row r="3708" customFormat="false" ht="15" hidden="false" customHeight="false" outlineLevel="0" collapsed="false">
      <c r="A3708" s="9" t="s">
        <v>9551</v>
      </c>
      <c r="B3708" s="9" t="s">
        <v>5870</v>
      </c>
      <c r="C3708" s="9" t="s">
        <v>3969</v>
      </c>
      <c r="D3708" s="9" t="s">
        <v>5871</v>
      </c>
      <c r="E3708" s="9" t="str">
        <f aca="false">IF(AND('Formation Ledger'!A3687&lt;&gt;"",'Formation Ledger'!V3687=0),"PASS","FAIL")</f>
        <v>PASS</v>
      </c>
      <c r="F3708" s="9" t="s">
        <v>76</v>
      </c>
      <c r="G3708" s="6"/>
      <c r="H3708" s="6"/>
      <c r="I3708" s="6"/>
      <c r="J3708" s="6"/>
      <c r="K3708" s="6"/>
      <c r="L3708" s="6"/>
      <c r="M3708" s="6"/>
      <c r="N3708" s="6"/>
      <c r="O3708" s="6"/>
      <c r="P3708" s="6"/>
      <c r="Q3708" s="6"/>
      <c r="R3708" s="6"/>
      <c r="S3708" s="6"/>
      <c r="T3708" s="6"/>
      <c r="U3708" s="6"/>
      <c r="V3708" s="6"/>
      <c r="W3708" s="6"/>
      <c r="X3708" s="6"/>
      <c r="Y3708" s="6"/>
      <c r="Z3708" s="6"/>
    </row>
    <row r="3709" customFormat="false" ht="15" hidden="false" customHeight="false" outlineLevel="0" collapsed="false">
      <c r="A3709" s="9" t="s">
        <v>9552</v>
      </c>
      <c r="B3709" s="9" t="s">
        <v>5870</v>
      </c>
      <c r="C3709" s="9" t="s">
        <v>3970</v>
      </c>
      <c r="D3709" s="9" t="s">
        <v>5871</v>
      </c>
      <c r="E3709" s="9" t="str">
        <f aca="false">IF(AND('Formation Ledger'!A3688&lt;&gt;"",'Formation Ledger'!V3688=0),"PASS","FAIL")</f>
        <v>PASS</v>
      </c>
      <c r="F3709" s="9" t="s">
        <v>76</v>
      </c>
      <c r="G3709" s="6"/>
      <c r="H3709" s="6"/>
      <c r="I3709" s="6"/>
      <c r="J3709" s="6"/>
      <c r="K3709" s="6"/>
      <c r="L3709" s="6"/>
      <c r="M3709" s="6"/>
      <c r="N3709" s="6"/>
      <c r="O3709" s="6"/>
      <c r="P3709" s="6"/>
      <c r="Q3709" s="6"/>
      <c r="R3709" s="6"/>
      <c r="S3709" s="6"/>
      <c r="T3709" s="6"/>
      <c r="U3709" s="6"/>
      <c r="V3709" s="6"/>
      <c r="W3709" s="6"/>
      <c r="X3709" s="6"/>
      <c r="Y3709" s="6"/>
      <c r="Z3709" s="6"/>
    </row>
    <row r="3710" customFormat="false" ht="15" hidden="false" customHeight="false" outlineLevel="0" collapsed="false">
      <c r="A3710" s="9" t="s">
        <v>9553</v>
      </c>
      <c r="B3710" s="9" t="s">
        <v>5870</v>
      </c>
      <c r="C3710" s="9" t="s">
        <v>3971</v>
      </c>
      <c r="D3710" s="9" t="s">
        <v>5871</v>
      </c>
      <c r="E3710" s="9" t="str">
        <f aca="false">IF(AND('Formation Ledger'!A3689&lt;&gt;"",'Formation Ledger'!V3689=0),"PASS","FAIL")</f>
        <v>PASS</v>
      </c>
      <c r="F3710" s="9" t="s">
        <v>76</v>
      </c>
      <c r="G3710" s="6"/>
      <c r="H3710" s="6"/>
      <c r="I3710" s="6"/>
      <c r="J3710" s="6"/>
      <c r="K3710" s="6"/>
      <c r="L3710" s="6"/>
      <c r="M3710" s="6"/>
      <c r="N3710" s="6"/>
      <c r="O3710" s="6"/>
      <c r="P3710" s="6"/>
      <c r="Q3710" s="6"/>
      <c r="R3710" s="6"/>
      <c r="S3710" s="6"/>
      <c r="T3710" s="6"/>
      <c r="U3710" s="6"/>
      <c r="V3710" s="6"/>
      <c r="W3710" s="6"/>
      <c r="X3710" s="6"/>
      <c r="Y3710" s="6"/>
      <c r="Z3710" s="6"/>
    </row>
    <row r="3711" customFormat="false" ht="15" hidden="false" customHeight="false" outlineLevel="0" collapsed="false">
      <c r="A3711" s="9" t="s">
        <v>9554</v>
      </c>
      <c r="B3711" s="9" t="s">
        <v>5870</v>
      </c>
      <c r="C3711" s="9" t="s">
        <v>3972</v>
      </c>
      <c r="D3711" s="9" t="s">
        <v>5871</v>
      </c>
      <c r="E3711" s="9" t="str">
        <f aca="false">IF(AND('Formation Ledger'!A3690&lt;&gt;"",'Formation Ledger'!V3690=0),"PASS","FAIL")</f>
        <v>PASS</v>
      </c>
      <c r="F3711" s="9" t="s">
        <v>76</v>
      </c>
      <c r="G3711" s="6"/>
      <c r="H3711" s="6"/>
      <c r="I3711" s="6"/>
      <c r="J3711" s="6"/>
      <c r="K3711" s="6"/>
      <c r="L3711" s="6"/>
      <c r="M3711" s="6"/>
      <c r="N3711" s="6"/>
      <c r="O3711" s="6"/>
      <c r="P3711" s="6"/>
      <c r="Q3711" s="6"/>
      <c r="R3711" s="6"/>
      <c r="S3711" s="6"/>
      <c r="T3711" s="6"/>
      <c r="U3711" s="6"/>
      <c r="V3711" s="6"/>
      <c r="W3711" s="6"/>
      <c r="X3711" s="6"/>
      <c r="Y3711" s="6"/>
      <c r="Z3711" s="6"/>
    </row>
    <row r="3712" customFormat="false" ht="15" hidden="false" customHeight="false" outlineLevel="0" collapsed="false">
      <c r="A3712" s="9" t="s">
        <v>9555</v>
      </c>
      <c r="B3712" s="9" t="s">
        <v>5870</v>
      </c>
      <c r="C3712" s="9" t="s">
        <v>3973</v>
      </c>
      <c r="D3712" s="9" t="s">
        <v>5871</v>
      </c>
      <c r="E3712" s="9" t="str">
        <f aca="false">IF(AND('Formation Ledger'!A3691&lt;&gt;"",'Formation Ledger'!V3691=0),"PASS","FAIL")</f>
        <v>PASS</v>
      </c>
      <c r="F3712" s="9" t="s">
        <v>76</v>
      </c>
      <c r="G3712" s="6"/>
      <c r="H3712" s="6"/>
      <c r="I3712" s="6"/>
      <c r="J3712" s="6"/>
      <c r="K3712" s="6"/>
      <c r="L3712" s="6"/>
      <c r="M3712" s="6"/>
      <c r="N3712" s="6"/>
      <c r="O3712" s="6"/>
      <c r="P3712" s="6"/>
      <c r="Q3712" s="6"/>
      <c r="R3712" s="6"/>
      <c r="S3712" s="6"/>
      <c r="T3712" s="6"/>
      <c r="U3712" s="6"/>
      <c r="V3712" s="6"/>
      <c r="W3712" s="6"/>
      <c r="X3712" s="6"/>
      <c r="Y3712" s="6"/>
      <c r="Z3712" s="6"/>
    </row>
    <row r="3713" customFormat="false" ht="15" hidden="false" customHeight="false" outlineLevel="0" collapsed="false">
      <c r="A3713" s="9" t="s">
        <v>9556</v>
      </c>
      <c r="B3713" s="9" t="s">
        <v>5870</v>
      </c>
      <c r="C3713" s="9" t="s">
        <v>3974</v>
      </c>
      <c r="D3713" s="9" t="s">
        <v>5871</v>
      </c>
      <c r="E3713" s="9" t="str">
        <f aca="false">IF(AND('Formation Ledger'!A3692&lt;&gt;"",'Formation Ledger'!V3692=0),"PASS","FAIL")</f>
        <v>PASS</v>
      </c>
      <c r="F3713" s="9" t="s">
        <v>76</v>
      </c>
      <c r="G3713" s="6"/>
      <c r="H3713" s="6"/>
      <c r="I3713" s="6"/>
      <c r="J3713" s="6"/>
      <c r="K3713" s="6"/>
      <c r="L3713" s="6"/>
      <c r="M3713" s="6"/>
      <c r="N3713" s="6"/>
      <c r="O3713" s="6"/>
      <c r="P3713" s="6"/>
      <c r="Q3713" s="6"/>
      <c r="R3713" s="6"/>
      <c r="S3713" s="6"/>
      <c r="T3713" s="6"/>
      <c r="U3713" s="6"/>
      <c r="V3713" s="6"/>
      <c r="W3713" s="6"/>
      <c r="X3713" s="6"/>
      <c r="Y3713" s="6"/>
      <c r="Z3713" s="6"/>
    </row>
    <row r="3714" customFormat="false" ht="15" hidden="false" customHeight="false" outlineLevel="0" collapsed="false">
      <c r="A3714" s="9" t="s">
        <v>9557</v>
      </c>
      <c r="B3714" s="9" t="s">
        <v>5870</v>
      </c>
      <c r="C3714" s="9" t="s">
        <v>3975</v>
      </c>
      <c r="D3714" s="9" t="s">
        <v>5871</v>
      </c>
      <c r="E3714" s="9" t="str">
        <f aca="false">IF(AND('Formation Ledger'!A3693&lt;&gt;"",'Formation Ledger'!V3693=0),"PASS","FAIL")</f>
        <v>PASS</v>
      </c>
      <c r="F3714" s="9" t="s">
        <v>76</v>
      </c>
      <c r="G3714" s="6"/>
      <c r="H3714" s="6"/>
      <c r="I3714" s="6"/>
      <c r="J3714" s="6"/>
      <c r="K3714" s="6"/>
      <c r="L3714" s="6"/>
      <c r="M3714" s="6"/>
      <c r="N3714" s="6"/>
      <c r="O3714" s="6"/>
      <c r="P3714" s="6"/>
      <c r="Q3714" s="6"/>
      <c r="R3714" s="6"/>
      <c r="S3714" s="6"/>
      <c r="T3714" s="6"/>
      <c r="U3714" s="6"/>
      <c r="V3714" s="6"/>
      <c r="W3714" s="6"/>
      <c r="X3714" s="6"/>
      <c r="Y3714" s="6"/>
      <c r="Z3714" s="6"/>
    </row>
    <row r="3715" customFormat="false" ht="15" hidden="false" customHeight="false" outlineLevel="0" collapsed="false">
      <c r="A3715" s="9" t="s">
        <v>9558</v>
      </c>
      <c r="B3715" s="9" t="s">
        <v>5870</v>
      </c>
      <c r="C3715" s="9" t="s">
        <v>3976</v>
      </c>
      <c r="D3715" s="9" t="s">
        <v>5871</v>
      </c>
      <c r="E3715" s="9" t="str">
        <f aca="false">IF(AND('Formation Ledger'!A3694&lt;&gt;"",'Formation Ledger'!V3694=0),"PASS","FAIL")</f>
        <v>PASS</v>
      </c>
      <c r="F3715" s="9" t="s">
        <v>76</v>
      </c>
      <c r="G3715" s="6"/>
      <c r="H3715" s="6"/>
      <c r="I3715" s="6"/>
      <c r="J3715" s="6"/>
      <c r="K3715" s="6"/>
      <c r="L3715" s="6"/>
      <c r="M3715" s="6"/>
      <c r="N3715" s="6"/>
      <c r="O3715" s="6"/>
      <c r="P3715" s="6"/>
      <c r="Q3715" s="6"/>
      <c r="R3715" s="6"/>
      <c r="S3715" s="6"/>
      <c r="T3715" s="6"/>
      <c r="U3715" s="6"/>
      <c r="V3715" s="6"/>
      <c r="W3715" s="6"/>
      <c r="X3715" s="6"/>
      <c r="Y3715" s="6"/>
      <c r="Z3715" s="6"/>
    </row>
    <row r="3716" customFormat="false" ht="15" hidden="false" customHeight="false" outlineLevel="0" collapsed="false">
      <c r="A3716" s="9" t="s">
        <v>9559</v>
      </c>
      <c r="B3716" s="9" t="s">
        <v>5870</v>
      </c>
      <c r="C3716" s="9" t="s">
        <v>3977</v>
      </c>
      <c r="D3716" s="9" t="s">
        <v>5871</v>
      </c>
      <c r="E3716" s="9" t="str">
        <f aca="false">IF(AND('Formation Ledger'!A3695&lt;&gt;"",'Formation Ledger'!V3695=0),"PASS","FAIL")</f>
        <v>PASS</v>
      </c>
      <c r="F3716" s="9" t="s">
        <v>76</v>
      </c>
      <c r="G3716" s="6"/>
      <c r="H3716" s="6"/>
      <c r="I3716" s="6"/>
      <c r="J3716" s="6"/>
      <c r="K3716" s="6"/>
      <c r="L3716" s="6"/>
      <c r="M3716" s="6"/>
      <c r="N3716" s="6"/>
      <c r="O3716" s="6"/>
      <c r="P3716" s="6"/>
      <c r="Q3716" s="6"/>
      <c r="R3716" s="6"/>
      <c r="S3716" s="6"/>
      <c r="T3716" s="6"/>
      <c r="U3716" s="6"/>
      <c r="V3716" s="6"/>
      <c r="W3716" s="6"/>
      <c r="X3716" s="6"/>
      <c r="Y3716" s="6"/>
      <c r="Z3716" s="6"/>
    </row>
    <row r="3717" customFormat="false" ht="15" hidden="false" customHeight="false" outlineLevel="0" collapsed="false">
      <c r="A3717" s="9" t="s">
        <v>9560</v>
      </c>
      <c r="B3717" s="9" t="s">
        <v>5870</v>
      </c>
      <c r="C3717" s="9" t="s">
        <v>3978</v>
      </c>
      <c r="D3717" s="9" t="s">
        <v>5871</v>
      </c>
      <c r="E3717" s="9" t="str">
        <f aca="false">IF(AND('Formation Ledger'!A3696&lt;&gt;"",'Formation Ledger'!V3696=0),"PASS","FAIL")</f>
        <v>PASS</v>
      </c>
      <c r="F3717" s="9" t="s">
        <v>76</v>
      </c>
      <c r="G3717" s="6"/>
      <c r="H3717" s="6"/>
      <c r="I3717" s="6"/>
      <c r="J3717" s="6"/>
      <c r="K3717" s="6"/>
      <c r="L3717" s="6"/>
      <c r="M3717" s="6"/>
      <c r="N3717" s="6"/>
      <c r="O3717" s="6"/>
      <c r="P3717" s="6"/>
      <c r="Q3717" s="6"/>
      <c r="R3717" s="6"/>
      <c r="S3717" s="6"/>
      <c r="T3717" s="6"/>
      <c r="U3717" s="6"/>
      <c r="V3717" s="6"/>
      <c r="W3717" s="6"/>
      <c r="X3717" s="6"/>
      <c r="Y3717" s="6"/>
      <c r="Z3717" s="6"/>
    </row>
    <row r="3718" customFormat="false" ht="15" hidden="false" customHeight="false" outlineLevel="0" collapsed="false">
      <c r="A3718" s="9" t="s">
        <v>9561</v>
      </c>
      <c r="B3718" s="9" t="s">
        <v>5870</v>
      </c>
      <c r="C3718" s="9" t="s">
        <v>3979</v>
      </c>
      <c r="D3718" s="9" t="s">
        <v>5871</v>
      </c>
      <c r="E3718" s="9" t="str">
        <f aca="false">IF(AND('Formation Ledger'!A3697&lt;&gt;"",'Formation Ledger'!V3697=0),"PASS","FAIL")</f>
        <v>PASS</v>
      </c>
      <c r="F3718" s="9" t="s">
        <v>76</v>
      </c>
      <c r="G3718" s="6"/>
      <c r="H3718" s="6"/>
      <c r="I3718" s="6"/>
      <c r="J3718" s="6"/>
      <c r="K3718" s="6"/>
      <c r="L3718" s="6"/>
      <c r="M3718" s="6"/>
      <c r="N3718" s="6"/>
      <c r="O3718" s="6"/>
      <c r="P3718" s="6"/>
      <c r="Q3718" s="6"/>
      <c r="R3718" s="6"/>
      <c r="S3718" s="6"/>
      <c r="T3718" s="6"/>
      <c r="U3718" s="6"/>
      <c r="V3718" s="6"/>
      <c r="W3718" s="6"/>
      <c r="X3718" s="6"/>
      <c r="Y3718" s="6"/>
      <c r="Z3718" s="6"/>
    </row>
    <row r="3719" customFormat="false" ht="15" hidden="false" customHeight="false" outlineLevel="0" collapsed="false">
      <c r="A3719" s="9" t="s">
        <v>9562</v>
      </c>
      <c r="B3719" s="9" t="s">
        <v>5870</v>
      </c>
      <c r="C3719" s="9" t="s">
        <v>3980</v>
      </c>
      <c r="D3719" s="9" t="s">
        <v>5871</v>
      </c>
      <c r="E3719" s="9" t="str">
        <f aca="false">IF(AND('Formation Ledger'!A3698&lt;&gt;"",'Formation Ledger'!V3698=0),"PASS","FAIL")</f>
        <v>PASS</v>
      </c>
      <c r="F3719" s="9" t="s">
        <v>76</v>
      </c>
      <c r="G3719" s="6"/>
      <c r="H3719" s="6"/>
      <c r="I3719" s="6"/>
      <c r="J3719" s="6"/>
      <c r="K3719" s="6"/>
      <c r="L3719" s="6"/>
      <c r="M3719" s="6"/>
      <c r="N3719" s="6"/>
      <c r="O3719" s="6"/>
      <c r="P3719" s="6"/>
      <c r="Q3719" s="6"/>
      <c r="R3719" s="6"/>
      <c r="S3719" s="6"/>
      <c r="T3719" s="6"/>
      <c r="U3719" s="6"/>
      <c r="V3719" s="6"/>
      <c r="W3719" s="6"/>
      <c r="X3719" s="6"/>
      <c r="Y3719" s="6"/>
      <c r="Z3719" s="6"/>
    </row>
    <row r="3720" customFormat="false" ht="15" hidden="false" customHeight="false" outlineLevel="0" collapsed="false">
      <c r="A3720" s="9" t="s">
        <v>9563</v>
      </c>
      <c r="B3720" s="9" t="s">
        <v>5870</v>
      </c>
      <c r="C3720" s="9" t="s">
        <v>3981</v>
      </c>
      <c r="D3720" s="9" t="s">
        <v>5871</v>
      </c>
      <c r="E3720" s="9" t="str">
        <f aca="false">IF(AND('Formation Ledger'!A3699&lt;&gt;"",'Formation Ledger'!V3699=0),"PASS","FAIL")</f>
        <v>PASS</v>
      </c>
      <c r="F3720" s="9" t="s">
        <v>76</v>
      </c>
      <c r="G3720" s="6"/>
      <c r="H3720" s="6"/>
      <c r="I3720" s="6"/>
      <c r="J3720" s="6"/>
      <c r="K3720" s="6"/>
      <c r="L3720" s="6"/>
      <c r="M3720" s="6"/>
      <c r="N3720" s="6"/>
      <c r="O3720" s="6"/>
      <c r="P3720" s="6"/>
      <c r="Q3720" s="6"/>
      <c r="R3720" s="6"/>
      <c r="S3720" s="6"/>
      <c r="T3720" s="6"/>
      <c r="U3720" s="6"/>
      <c r="V3720" s="6"/>
      <c r="W3720" s="6"/>
      <c r="X3720" s="6"/>
      <c r="Y3720" s="6"/>
      <c r="Z3720" s="6"/>
    </row>
    <row r="3721" customFormat="false" ht="15" hidden="false" customHeight="false" outlineLevel="0" collapsed="false">
      <c r="A3721" s="9" t="s">
        <v>9564</v>
      </c>
      <c r="B3721" s="9" t="s">
        <v>5870</v>
      </c>
      <c r="C3721" s="9" t="s">
        <v>3982</v>
      </c>
      <c r="D3721" s="9" t="s">
        <v>5871</v>
      </c>
      <c r="E3721" s="9" t="str">
        <f aca="false">IF(AND('Formation Ledger'!A3700&lt;&gt;"",'Formation Ledger'!V3700=0),"PASS","FAIL")</f>
        <v>PASS</v>
      </c>
      <c r="F3721" s="9" t="s">
        <v>76</v>
      </c>
      <c r="G3721" s="6"/>
      <c r="H3721" s="6"/>
      <c r="I3721" s="6"/>
      <c r="J3721" s="6"/>
      <c r="K3721" s="6"/>
      <c r="L3721" s="6"/>
      <c r="M3721" s="6"/>
      <c r="N3721" s="6"/>
      <c r="O3721" s="6"/>
      <c r="P3721" s="6"/>
      <c r="Q3721" s="6"/>
      <c r="R3721" s="6"/>
      <c r="S3721" s="6"/>
      <c r="T3721" s="6"/>
      <c r="U3721" s="6"/>
      <c r="V3721" s="6"/>
      <c r="W3721" s="6"/>
      <c r="X3721" s="6"/>
      <c r="Y3721" s="6"/>
      <c r="Z3721" s="6"/>
    </row>
    <row r="3722" customFormat="false" ht="15" hidden="false" customHeight="false" outlineLevel="0" collapsed="false">
      <c r="A3722" s="9" t="s">
        <v>9565</v>
      </c>
      <c r="B3722" s="9" t="s">
        <v>5870</v>
      </c>
      <c r="C3722" s="9" t="s">
        <v>3983</v>
      </c>
      <c r="D3722" s="9" t="s">
        <v>5871</v>
      </c>
      <c r="E3722" s="9" t="str">
        <f aca="false">IF(AND('Formation Ledger'!A3701&lt;&gt;"",'Formation Ledger'!V3701=0),"PASS","FAIL")</f>
        <v>PASS</v>
      </c>
      <c r="F3722" s="9" t="s">
        <v>76</v>
      </c>
      <c r="G3722" s="6"/>
      <c r="H3722" s="6"/>
      <c r="I3722" s="6"/>
      <c r="J3722" s="6"/>
      <c r="K3722" s="6"/>
      <c r="L3722" s="6"/>
      <c r="M3722" s="6"/>
      <c r="N3722" s="6"/>
      <c r="O3722" s="6"/>
      <c r="P3722" s="6"/>
      <c r="Q3722" s="6"/>
      <c r="R3722" s="6"/>
      <c r="S3722" s="6"/>
      <c r="T3722" s="6"/>
      <c r="U3722" s="6"/>
      <c r="V3722" s="6"/>
      <c r="W3722" s="6"/>
      <c r="X3722" s="6"/>
      <c r="Y3722" s="6"/>
      <c r="Z3722" s="6"/>
    </row>
    <row r="3723" customFormat="false" ht="15" hidden="false" customHeight="false" outlineLevel="0" collapsed="false">
      <c r="A3723" s="9" t="s">
        <v>9566</v>
      </c>
      <c r="B3723" s="9" t="s">
        <v>5870</v>
      </c>
      <c r="C3723" s="9" t="s">
        <v>3984</v>
      </c>
      <c r="D3723" s="9" t="s">
        <v>5871</v>
      </c>
      <c r="E3723" s="9" t="str">
        <f aca="false">IF(AND('Formation Ledger'!A3702&lt;&gt;"",'Formation Ledger'!V3702=0),"PASS","FAIL")</f>
        <v>PASS</v>
      </c>
      <c r="F3723" s="9" t="s">
        <v>76</v>
      </c>
      <c r="G3723" s="6"/>
      <c r="H3723" s="6"/>
      <c r="I3723" s="6"/>
      <c r="J3723" s="6"/>
      <c r="K3723" s="6"/>
      <c r="L3723" s="6"/>
      <c r="M3723" s="6"/>
      <c r="N3723" s="6"/>
      <c r="O3723" s="6"/>
      <c r="P3723" s="6"/>
      <c r="Q3723" s="6"/>
      <c r="R3723" s="6"/>
      <c r="S3723" s="6"/>
      <c r="T3723" s="6"/>
      <c r="U3723" s="6"/>
      <c r="V3723" s="6"/>
      <c r="W3723" s="6"/>
      <c r="X3723" s="6"/>
      <c r="Y3723" s="6"/>
      <c r="Z3723" s="6"/>
    </row>
    <row r="3724" customFormat="false" ht="15" hidden="false" customHeight="false" outlineLevel="0" collapsed="false">
      <c r="A3724" s="9" t="s">
        <v>9567</v>
      </c>
      <c r="B3724" s="9" t="s">
        <v>5870</v>
      </c>
      <c r="C3724" s="9" t="s">
        <v>3985</v>
      </c>
      <c r="D3724" s="9" t="s">
        <v>5871</v>
      </c>
      <c r="E3724" s="9" t="str">
        <f aca="false">IF(AND('Formation Ledger'!A3703&lt;&gt;"",'Formation Ledger'!V3703=0),"PASS","FAIL")</f>
        <v>PASS</v>
      </c>
      <c r="F3724" s="9" t="s">
        <v>76</v>
      </c>
      <c r="G3724" s="6"/>
      <c r="H3724" s="6"/>
      <c r="I3724" s="6"/>
      <c r="J3724" s="6"/>
      <c r="K3724" s="6"/>
      <c r="L3724" s="6"/>
      <c r="M3724" s="6"/>
      <c r="N3724" s="6"/>
      <c r="O3724" s="6"/>
      <c r="P3724" s="6"/>
      <c r="Q3724" s="6"/>
      <c r="R3724" s="6"/>
      <c r="S3724" s="6"/>
      <c r="T3724" s="6"/>
      <c r="U3724" s="6"/>
      <c r="V3724" s="6"/>
      <c r="W3724" s="6"/>
      <c r="X3724" s="6"/>
      <c r="Y3724" s="6"/>
      <c r="Z3724" s="6"/>
    </row>
    <row r="3725" customFormat="false" ht="15" hidden="false" customHeight="false" outlineLevel="0" collapsed="false">
      <c r="A3725" s="9" t="s">
        <v>9568</v>
      </c>
      <c r="B3725" s="9" t="s">
        <v>5870</v>
      </c>
      <c r="C3725" s="9" t="s">
        <v>3986</v>
      </c>
      <c r="D3725" s="9" t="s">
        <v>5871</v>
      </c>
      <c r="E3725" s="9" t="str">
        <f aca="false">IF(AND('Formation Ledger'!A3704&lt;&gt;"",'Formation Ledger'!V3704=0),"PASS","FAIL")</f>
        <v>PASS</v>
      </c>
      <c r="F3725" s="9" t="s">
        <v>76</v>
      </c>
      <c r="G3725" s="6"/>
      <c r="H3725" s="6"/>
      <c r="I3725" s="6"/>
      <c r="J3725" s="6"/>
      <c r="K3725" s="6"/>
      <c r="L3725" s="6"/>
      <c r="M3725" s="6"/>
      <c r="N3725" s="6"/>
      <c r="O3725" s="6"/>
      <c r="P3725" s="6"/>
      <c r="Q3725" s="6"/>
      <c r="R3725" s="6"/>
      <c r="S3725" s="6"/>
      <c r="T3725" s="6"/>
      <c r="U3725" s="6"/>
      <c r="V3725" s="6"/>
      <c r="W3725" s="6"/>
      <c r="X3725" s="6"/>
      <c r="Y3725" s="6"/>
      <c r="Z3725" s="6"/>
    </row>
    <row r="3726" customFormat="false" ht="15" hidden="false" customHeight="false" outlineLevel="0" collapsed="false">
      <c r="A3726" s="9" t="s">
        <v>9569</v>
      </c>
      <c r="B3726" s="9" t="s">
        <v>5870</v>
      </c>
      <c r="C3726" s="9" t="s">
        <v>3987</v>
      </c>
      <c r="D3726" s="9" t="s">
        <v>5871</v>
      </c>
      <c r="E3726" s="9" t="str">
        <f aca="false">IF(AND('Formation Ledger'!A3705&lt;&gt;"",'Formation Ledger'!V3705=0),"PASS","FAIL")</f>
        <v>PASS</v>
      </c>
      <c r="F3726" s="9" t="s">
        <v>76</v>
      </c>
      <c r="G3726" s="6"/>
      <c r="H3726" s="6"/>
      <c r="I3726" s="6"/>
      <c r="J3726" s="6"/>
      <c r="K3726" s="6"/>
      <c r="L3726" s="6"/>
      <c r="M3726" s="6"/>
      <c r="N3726" s="6"/>
      <c r="O3726" s="6"/>
      <c r="P3726" s="6"/>
      <c r="Q3726" s="6"/>
      <c r="R3726" s="6"/>
      <c r="S3726" s="6"/>
      <c r="T3726" s="6"/>
      <c r="U3726" s="6"/>
      <c r="V3726" s="6"/>
      <c r="W3726" s="6"/>
      <c r="X3726" s="6"/>
      <c r="Y3726" s="6"/>
      <c r="Z3726" s="6"/>
    </row>
    <row r="3727" customFormat="false" ht="15" hidden="false" customHeight="false" outlineLevel="0" collapsed="false">
      <c r="A3727" s="9" t="s">
        <v>9570</v>
      </c>
      <c r="B3727" s="9" t="s">
        <v>5870</v>
      </c>
      <c r="C3727" s="9" t="s">
        <v>3988</v>
      </c>
      <c r="D3727" s="9" t="s">
        <v>5871</v>
      </c>
      <c r="E3727" s="9" t="str">
        <f aca="false">IF(AND('Formation Ledger'!A3706&lt;&gt;"",'Formation Ledger'!V3706=0),"PASS","FAIL")</f>
        <v>PASS</v>
      </c>
      <c r="F3727" s="9" t="s">
        <v>76</v>
      </c>
      <c r="G3727" s="6"/>
      <c r="H3727" s="6"/>
      <c r="I3727" s="6"/>
      <c r="J3727" s="6"/>
      <c r="K3727" s="6"/>
      <c r="L3727" s="6"/>
      <c r="M3727" s="6"/>
      <c r="N3727" s="6"/>
      <c r="O3727" s="6"/>
      <c r="P3727" s="6"/>
      <c r="Q3727" s="6"/>
      <c r="R3727" s="6"/>
      <c r="S3727" s="6"/>
      <c r="T3727" s="6"/>
      <c r="U3727" s="6"/>
      <c r="V3727" s="6"/>
      <c r="W3727" s="6"/>
      <c r="X3727" s="6"/>
      <c r="Y3727" s="6"/>
      <c r="Z3727" s="6"/>
    </row>
    <row r="3728" customFormat="false" ht="15" hidden="false" customHeight="false" outlineLevel="0" collapsed="false">
      <c r="A3728" s="9" t="s">
        <v>9571</v>
      </c>
      <c r="B3728" s="9" t="s">
        <v>5870</v>
      </c>
      <c r="C3728" s="9" t="s">
        <v>3989</v>
      </c>
      <c r="D3728" s="9" t="s">
        <v>5871</v>
      </c>
      <c r="E3728" s="9" t="str">
        <f aca="false">IF(AND('Formation Ledger'!A3707&lt;&gt;"",'Formation Ledger'!V3707=0),"PASS","FAIL")</f>
        <v>PASS</v>
      </c>
      <c r="F3728" s="9" t="s">
        <v>76</v>
      </c>
      <c r="G3728" s="6"/>
      <c r="H3728" s="6"/>
      <c r="I3728" s="6"/>
      <c r="J3728" s="6"/>
      <c r="K3728" s="6"/>
      <c r="L3728" s="6"/>
      <c r="M3728" s="6"/>
      <c r="N3728" s="6"/>
      <c r="O3728" s="6"/>
      <c r="P3728" s="6"/>
      <c r="Q3728" s="6"/>
      <c r="R3728" s="6"/>
      <c r="S3728" s="6"/>
      <c r="T3728" s="6"/>
      <c r="U3728" s="6"/>
      <c r="V3728" s="6"/>
      <c r="W3728" s="6"/>
      <c r="X3728" s="6"/>
      <c r="Y3728" s="6"/>
      <c r="Z3728" s="6"/>
    </row>
    <row r="3729" customFormat="false" ht="15" hidden="false" customHeight="false" outlineLevel="0" collapsed="false">
      <c r="A3729" s="9" t="s">
        <v>9572</v>
      </c>
      <c r="B3729" s="9" t="s">
        <v>5870</v>
      </c>
      <c r="C3729" s="9" t="s">
        <v>3990</v>
      </c>
      <c r="D3729" s="9" t="s">
        <v>5871</v>
      </c>
      <c r="E3729" s="9" t="str">
        <f aca="false">IF(AND('Formation Ledger'!A3708&lt;&gt;"",'Formation Ledger'!V3708=0),"PASS","FAIL")</f>
        <v>PASS</v>
      </c>
      <c r="F3729" s="9" t="s">
        <v>76</v>
      </c>
      <c r="G3729" s="6"/>
      <c r="H3729" s="6"/>
      <c r="I3729" s="6"/>
      <c r="J3729" s="6"/>
      <c r="K3729" s="6"/>
      <c r="L3729" s="6"/>
      <c r="M3729" s="6"/>
      <c r="N3729" s="6"/>
      <c r="O3729" s="6"/>
      <c r="P3729" s="6"/>
      <c r="Q3729" s="6"/>
      <c r="R3729" s="6"/>
      <c r="S3729" s="6"/>
      <c r="T3729" s="6"/>
      <c r="U3729" s="6"/>
      <c r="V3729" s="6"/>
      <c r="W3729" s="6"/>
      <c r="X3729" s="6"/>
      <c r="Y3729" s="6"/>
      <c r="Z3729" s="6"/>
    </row>
    <row r="3730" customFormat="false" ht="15" hidden="false" customHeight="false" outlineLevel="0" collapsed="false">
      <c r="A3730" s="9" t="s">
        <v>9573</v>
      </c>
      <c r="B3730" s="9" t="s">
        <v>5870</v>
      </c>
      <c r="C3730" s="9" t="s">
        <v>3991</v>
      </c>
      <c r="D3730" s="9" t="s">
        <v>5871</v>
      </c>
      <c r="E3730" s="9" t="str">
        <f aca="false">IF(AND('Formation Ledger'!A3709&lt;&gt;"",'Formation Ledger'!V3709=0),"PASS","FAIL")</f>
        <v>PASS</v>
      </c>
      <c r="F3730" s="9" t="s">
        <v>76</v>
      </c>
      <c r="G3730" s="6"/>
      <c r="H3730" s="6"/>
      <c r="I3730" s="6"/>
      <c r="J3730" s="6"/>
      <c r="K3730" s="6"/>
      <c r="L3730" s="6"/>
      <c r="M3730" s="6"/>
      <c r="N3730" s="6"/>
      <c r="O3730" s="6"/>
      <c r="P3730" s="6"/>
      <c r="Q3730" s="6"/>
      <c r="R3730" s="6"/>
      <c r="S3730" s="6"/>
      <c r="T3730" s="6"/>
      <c r="U3730" s="6"/>
      <c r="V3730" s="6"/>
      <c r="W3730" s="6"/>
      <c r="X3730" s="6"/>
      <c r="Y3730" s="6"/>
      <c r="Z3730" s="6"/>
    </row>
    <row r="3731" customFormat="false" ht="15" hidden="false" customHeight="false" outlineLevel="0" collapsed="false">
      <c r="A3731" s="9" t="s">
        <v>9574</v>
      </c>
      <c r="B3731" s="9" t="s">
        <v>5870</v>
      </c>
      <c r="C3731" s="9" t="s">
        <v>3992</v>
      </c>
      <c r="D3731" s="9" t="s">
        <v>5871</v>
      </c>
      <c r="E3731" s="9" t="str">
        <f aca="false">IF(AND('Formation Ledger'!A3710&lt;&gt;"",'Formation Ledger'!V3710=0),"PASS","FAIL")</f>
        <v>PASS</v>
      </c>
      <c r="F3731" s="9" t="s">
        <v>76</v>
      </c>
      <c r="G3731" s="6"/>
      <c r="H3731" s="6"/>
      <c r="I3731" s="6"/>
      <c r="J3731" s="6"/>
      <c r="K3731" s="6"/>
      <c r="L3731" s="6"/>
      <c r="M3731" s="6"/>
      <c r="N3731" s="6"/>
      <c r="O3731" s="6"/>
      <c r="P3731" s="6"/>
      <c r="Q3731" s="6"/>
      <c r="R3731" s="6"/>
      <c r="S3731" s="6"/>
      <c r="T3731" s="6"/>
      <c r="U3731" s="6"/>
      <c r="V3731" s="6"/>
      <c r="W3731" s="6"/>
      <c r="X3731" s="6"/>
      <c r="Y3731" s="6"/>
      <c r="Z3731" s="6"/>
    </row>
    <row r="3732" customFormat="false" ht="15" hidden="false" customHeight="false" outlineLevel="0" collapsed="false">
      <c r="A3732" s="9" t="s">
        <v>9575</v>
      </c>
      <c r="B3732" s="9" t="s">
        <v>5870</v>
      </c>
      <c r="C3732" s="9" t="s">
        <v>3993</v>
      </c>
      <c r="D3732" s="9" t="s">
        <v>5871</v>
      </c>
      <c r="E3732" s="9" t="str">
        <f aca="false">IF(AND('Formation Ledger'!A3711&lt;&gt;"",'Formation Ledger'!V3711=0),"PASS","FAIL")</f>
        <v>PASS</v>
      </c>
      <c r="F3732" s="9" t="s">
        <v>76</v>
      </c>
      <c r="G3732" s="6"/>
      <c r="H3732" s="6"/>
      <c r="I3732" s="6"/>
      <c r="J3732" s="6"/>
      <c r="K3732" s="6"/>
      <c r="L3732" s="6"/>
      <c r="M3732" s="6"/>
      <c r="N3732" s="6"/>
      <c r="O3732" s="6"/>
      <c r="P3732" s="6"/>
      <c r="Q3732" s="6"/>
      <c r="R3732" s="6"/>
      <c r="S3732" s="6"/>
      <c r="T3732" s="6"/>
      <c r="U3732" s="6"/>
      <c r="V3732" s="6"/>
      <c r="W3732" s="6"/>
      <c r="X3732" s="6"/>
      <c r="Y3732" s="6"/>
      <c r="Z3732" s="6"/>
    </row>
    <row r="3733" customFormat="false" ht="15" hidden="false" customHeight="false" outlineLevel="0" collapsed="false">
      <c r="A3733" s="9" t="s">
        <v>9576</v>
      </c>
      <c r="B3733" s="9" t="s">
        <v>5870</v>
      </c>
      <c r="C3733" s="9" t="s">
        <v>3994</v>
      </c>
      <c r="D3733" s="9" t="s">
        <v>5871</v>
      </c>
      <c r="E3733" s="9" t="str">
        <f aca="false">IF(AND('Formation Ledger'!A3712&lt;&gt;"",'Formation Ledger'!V3712=0),"PASS","FAIL")</f>
        <v>PASS</v>
      </c>
      <c r="F3733" s="9" t="s">
        <v>76</v>
      </c>
      <c r="G3733" s="6"/>
      <c r="H3733" s="6"/>
      <c r="I3733" s="6"/>
      <c r="J3733" s="6"/>
      <c r="K3733" s="6"/>
      <c r="L3733" s="6"/>
      <c r="M3733" s="6"/>
      <c r="N3733" s="6"/>
      <c r="O3733" s="6"/>
      <c r="P3733" s="6"/>
      <c r="Q3733" s="6"/>
      <c r="R3733" s="6"/>
      <c r="S3733" s="6"/>
      <c r="T3733" s="6"/>
      <c r="U3733" s="6"/>
      <c r="V3733" s="6"/>
      <c r="W3733" s="6"/>
      <c r="X3733" s="6"/>
      <c r="Y3733" s="6"/>
      <c r="Z3733" s="6"/>
    </row>
    <row r="3734" customFormat="false" ht="15" hidden="false" customHeight="false" outlineLevel="0" collapsed="false">
      <c r="A3734" s="9" t="s">
        <v>9577</v>
      </c>
      <c r="B3734" s="9" t="s">
        <v>5870</v>
      </c>
      <c r="C3734" s="9" t="s">
        <v>3995</v>
      </c>
      <c r="D3734" s="9" t="s">
        <v>5871</v>
      </c>
      <c r="E3734" s="9" t="str">
        <f aca="false">IF(AND('Formation Ledger'!A3713&lt;&gt;"",'Formation Ledger'!V3713=0),"PASS","FAIL")</f>
        <v>PASS</v>
      </c>
      <c r="F3734" s="9" t="s">
        <v>76</v>
      </c>
      <c r="G3734" s="6"/>
      <c r="H3734" s="6"/>
      <c r="I3734" s="6"/>
      <c r="J3734" s="6"/>
      <c r="K3734" s="6"/>
      <c r="L3734" s="6"/>
      <c r="M3734" s="6"/>
      <c r="N3734" s="6"/>
      <c r="O3734" s="6"/>
      <c r="P3734" s="6"/>
      <c r="Q3734" s="6"/>
      <c r="R3734" s="6"/>
      <c r="S3734" s="6"/>
      <c r="T3734" s="6"/>
      <c r="U3734" s="6"/>
      <c r="V3734" s="6"/>
      <c r="W3734" s="6"/>
      <c r="X3734" s="6"/>
      <c r="Y3734" s="6"/>
      <c r="Z3734" s="6"/>
    </row>
    <row r="3735" customFormat="false" ht="15" hidden="false" customHeight="false" outlineLevel="0" collapsed="false">
      <c r="A3735" s="9" t="s">
        <v>9578</v>
      </c>
      <c r="B3735" s="9" t="s">
        <v>5870</v>
      </c>
      <c r="C3735" s="9" t="s">
        <v>3996</v>
      </c>
      <c r="D3735" s="9" t="s">
        <v>5871</v>
      </c>
      <c r="E3735" s="9" t="str">
        <f aca="false">IF(AND('Formation Ledger'!A3714&lt;&gt;"",'Formation Ledger'!V3714=0),"PASS","FAIL")</f>
        <v>PASS</v>
      </c>
      <c r="F3735" s="9" t="s">
        <v>76</v>
      </c>
      <c r="G3735" s="6"/>
      <c r="H3735" s="6"/>
      <c r="I3735" s="6"/>
      <c r="J3735" s="6"/>
      <c r="K3735" s="6"/>
      <c r="L3735" s="6"/>
      <c r="M3735" s="6"/>
      <c r="N3735" s="6"/>
      <c r="O3735" s="6"/>
      <c r="P3735" s="6"/>
      <c r="Q3735" s="6"/>
      <c r="R3735" s="6"/>
      <c r="S3735" s="6"/>
      <c r="T3735" s="6"/>
      <c r="U3735" s="6"/>
      <c r="V3735" s="6"/>
      <c r="W3735" s="6"/>
      <c r="X3735" s="6"/>
      <c r="Y3735" s="6"/>
      <c r="Z3735" s="6"/>
    </row>
    <row r="3736" customFormat="false" ht="15" hidden="false" customHeight="false" outlineLevel="0" collapsed="false">
      <c r="A3736" s="9" t="s">
        <v>9579</v>
      </c>
      <c r="B3736" s="9" t="s">
        <v>5870</v>
      </c>
      <c r="C3736" s="9" t="s">
        <v>3997</v>
      </c>
      <c r="D3736" s="9" t="s">
        <v>5871</v>
      </c>
      <c r="E3736" s="9" t="str">
        <f aca="false">IF(AND('Formation Ledger'!A3715&lt;&gt;"",'Formation Ledger'!V3715=0),"PASS","FAIL")</f>
        <v>PASS</v>
      </c>
      <c r="F3736" s="9" t="s">
        <v>76</v>
      </c>
      <c r="G3736" s="6"/>
      <c r="H3736" s="6"/>
      <c r="I3736" s="6"/>
      <c r="J3736" s="6"/>
      <c r="K3736" s="6"/>
      <c r="L3736" s="6"/>
      <c r="M3736" s="6"/>
      <c r="N3736" s="6"/>
      <c r="O3736" s="6"/>
      <c r="P3736" s="6"/>
      <c r="Q3736" s="6"/>
      <c r="R3736" s="6"/>
      <c r="S3736" s="6"/>
      <c r="T3736" s="6"/>
      <c r="U3736" s="6"/>
      <c r="V3736" s="6"/>
      <c r="W3736" s="6"/>
      <c r="X3736" s="6"/>
      <c r="Y3736" s="6"/>
      <c r="Z3736" s="6"/>
    </row>
    <row r="3737" customFormat="false" ht="15" hidden="false" customHeight="false" outlineLevel="0" collapsed="false">
      <c r="A3737" s="9" t="s">
        <v>9580</v>
      </c>
      <c r="B3737" s="9" t="s">
        <v>5870</v>
      </c>
      <c r="C3737" s="9" t="s">
        <v>3998</v>
      </c>
      <c r="D3737" s="9" t="s">
        <v>5871</v>
      </c>
      <c r="E3737" s="9" t="str">
        <f aca="false">IF(AND('Formation Ledger'!A3716&lt;&gt;"",'Formation Ledger'!V3716=0),"PASS","FAIL")</f>
        <v>PASS</v>
      </c>
      <c r="F3737" s="9" t="s">
        <v>76</v>
      </c>
      <c r="G3737" s="6"/>
      <c r="H3737" s="6"/>
      <c r="I3737" s="6"/>
      <c r="J3737" s="6"/>
      <c r="K3737" s="6"/>
      <c r="L3737" s="6"/>
      <c r="M3737" s="6"/>
      <c r="N3737" s="6"/>
      <c r="O3737" s="6"/>
      <c r="P3737" s="6"/>
      <c r="Q3737" s="6"/>
      <c r="R3737" s="6"/>
      <c r="S3737" s="6"/>
      <c r="T3737" s="6"/>
      <c r="U3737" s="6"/>
      <c r="V3737" s="6"/>
      <c r="W3737" s="6"/>
      <c r="X3737" s="6"/>
      <c r="Y3737" s="6"/>
      <c r="Z3737" s="6"/>
    </row>
    <row r="3738" customFormat="false" ht="15" hidden="false" customHeight="false" outlineLevel="0" collapsed="false">
      <c r="A3738" s="9" t="s">
        <v>9581</v>
      </c>
      <c r="B3738" s="9" t="s">
        <v>5870</v>
      </c>
      <c r="C3738" s="9" t="s">
        <v>3999</v>
      </c>
      <c r="D3738" s="9" t="s">
        <v>5871</v>
      </c>
      <c r="E3738" s="9" t="str">
        <f aca="false">IF(AND('Formation Ledger'!A3717&lt;&gt;"",'Formation Ledger'!V3717=0),"PASS","FAIL")</f>
        <v>PASS</v>
      </c>
      <c r="F3738" s="9" t="s">
        <v>76</v>
      </c>
      <c r="G3738" s="6"/>
      <c r="H3738" s="6"/>
      <c r="I3738" s="6"/>
      <c r="J3738" s="6"/>
      <c r="K3738" s="6"/>
      <c r="L3738" s="6"/>
      <c r="M3738" s="6"/>
      <c r="N3738" s="6"/>
      <c r="O3738" s="6"/>
      <c r="P3738" s="6"/>
      <c r="Q3738" s="6"/>
      <c r="R3738" s="6"/>
      <c r="S3738" s="6"/>
      <c r="T3738" s="6"/>
      <c r="U3738" s="6"/>
      <c r="V3738" s="6"/>
      <c r="W3738" s="6"/>
      <c r="X3738" s="6"/>
      <c r="Y3738" s="6"/>
      <c r="Z3738" s="6"/>
    </row>
    <row r="3739" customFormat="false" ht="15" hidden="false" customHeight="false" outlineLevel="0" collapsed="false">
      <c r="A3739" s="9" t="s">
        <v>9582</v>
      </c>
      <c r="B3739" s="9" t="s">
        <v>5870</v>
      </c>
      <c r="C3739" s="9" t="s">
        <v>4000</v>
      </c>
      <c r="D3739" s="9" t="s">
        <v>5871</v>
      </c>
      <c r="E3739" s="9" t="str">
        <f aca="false">IF(AND('Formation Ledger'!A3718&lt;&gt;"",'Formation Ledger'!V3718=0),"PASS","FAIL")</f>
        <v>PASS</v>
      </c>
      <c r="F3739" s="9" t="s">
        <v>76</v>
      </c>
      <c r="G3739" s="6"/>
      <c r="H3739" s="6"/>
      <c r="I3739" s="6"/>
      <c r="J3739" s="6"/>
      <c r="K3739" s="6"/>
      <c r="L3739" s="6"/>
      <c r="M3739" s="6"/>
      <c r="N3739" s="6"/>
      <c r="O3739" s="6"/>
      <c r="P3739" s="6"/>
      <c r="Q3739" s="6"/>
      <c r="R3739" s="6"/>
      <c r="S3739" s="6"/>
      <c r="T3739" s="6"/>
      <c r="U3739" s="6"/>
      <c r="V3739" s="6"/>
      <c r="W3739" s="6"/>
      <c r="X3739" s="6"/>
      <c r="Y3739" s="6"/>
      <c r="Z3739" s="6"/>
    </row>
    <row r="3740" customFormat="false" ht="15" hidden="false" customHeight="false" outlineLevel="0" collapsed="false">
      <c r="A3740" s="9" t="s">
        <v>9583</v>
      </c>
      <c r="B3740" s="9" t="s">
        <v>5870</v>
      </c>
      <c r="C3740" s="9" t="s">
        <v>4001</v>
      </c>
      <c r="D3740" s="9" t="s">
        <v>5871</v>
      </c>
      <c r="E3740" s="9" t="str">
        <f aca="false">IF(AND('Formation Ledger'!A3719&lt;&gt;"",'Formation Ledger'!V3719=0),"PASS","FAIL")</f>
        <v>PASS</v>
      </c>
      <c r="F3740" s="9" t="s">
        <v>76</v>
      </c>
      <c r="G3740" s="6"/>
      <c r="H3740" s="6"/>
      <c r="I3740" s="6"/>
      <c r="J3740" s="6"/>
      <c r="K3740" s="6"/>
      <c r="L3740" s="6"/>
      <c r="M3740" s="6"/>
      <c r="N3740" s="6"/>
      <c r="O3740" s="6"/>
      <c r="P3740" s="6"/>
      <c r="Q3740" s="6"/>
      <c r="R3740" s="6"/>
      <c r="S3740" s="6"/>
      <c r="T3740" s="6"/>
      <c r="U3740" s="6"/>
      <c r="V3740" s="6"/>
      <c r="W3740" s="6"/>
      <c r="X3740" s="6"/>
      <c r="Y3740" s="6"/>
      <c r="Z3740" s="6"/>
    </row>
    <row r="3741" customFormat="false" ht="15" hidden="false" customHeight="false" outlineLevel="0" collapsed="false">
      <c r="A3741" s="9" t="s">
        <v>9584</v>
      </c>
      <c r="B3741" s="9" t="s">
        <v>5870</v>
      </c>
      <c r="C3741" s="9" t="s">
        <v>4002</v>
      </c>
      <c r="D3741" s="9" t="s">
        <v>5871</v>
      </c>
      <c r="E3741" s="9" t="str">
        <f aca="false">IF(AND('Formation Ledger'!A3720&lt;&gt;"",'Formation Ledger'!V3720=0),"PASS","FAIL")</f>
        <v>PASS</v>
      </c>
      <c r="F3741" s="9" t="s">
        <v>76</v>
      </c>
      <c r="G3741" s="6"/>
      <c r="H3741" s="6"/>
      <c r="I3741" s="6"/>
      <c r="J3741" s="6"/>
      <c r="K3741" s="6"/>
      <c r="L3741" s="6"/>
      <c r="M3741" s="6"/>
      <c r="N3741" s="6"/>
      <c r="O3741" s="6"/>
      <c r="P3741" s="6"/>
      <c r="Q3741" s="6"/>
      <c r="R3741" s="6"/>
      <c r="S3741" s="6"/>
      <c r="T3741" s="6"/>
      <c r="U3741" s="6"/>
      <c r="V3741" s="6"/>
      <c r="W3741" s="6"/>
      <c r="X3741" s="6"/>
      <c r="Y3741" s="6"/>
      <c r="Z3741" s="6"/>
    </row>
    <row r="3742" customFormat="false" ht="15" hidden="false" customHeight="false" outlineLevel="0" collapsed="false">
      <c r="A3742" s="9" t="s">
        <v>9585</v>
      </c>
      <c r="B3742" s="9" t="s">
        <v>5870</v>
      </c>
      <c r="C3742" s="9" t="s">
        <v>4003</v>
      </c>
      <c r="D3742" s="9" t="s">
        <v>5871</v>
      </c>
      <c r="E3742" s="9" t="str">
        <f aca="false">IF(AND('Formation Ledger'!A3721&lt;&gt;"",'Formation Ledger'!V3721=0),"PASS","FAIL")</f>
        <v>PASS</v>
      </c>
      <c r="F3742" s="9" t="s">
        <v>76</v>
      </c>
      <c r="G3742" s="6"/>
      <c r="H3742" s="6"/>
      <c r="I3742" s="6"/>
      <c r="J3742" s="6"/>
      <c r="K3742" s="6"/>
      <c r="L3742" s="6"/>
      <c r="M3742" s="6"/>
      <c r="N3742" s="6"/>
      <c r="O3742" s="6"/>
      <c r="P3742" s="6"/>
      <c r="Q3742" s="6"/>
      <c r="R3742" s="6"/>
      <c r="S3742" s="6"/>
      <c r="T3742" s="6"/>
      <c r="U3742" s="6"/>
      <c r="V3742" s="6"/>
      <c r="W3742" s="6"/>
      <c r="X3742" s="6"/>
      <c r="Y3742" s="6"/>
      <c r="Z3742" s="6"/>
    </row>
    <row r="3743" customFormat="false" ht="15" hidden="false" customHeight="false" outlineLevel="0" collapsed="false">
      <c r="A3743" s="9" t="s">
        <v>9586</v>
      </c>
      <c r="B3743" s="9" t="s">
        <v>5870</v>
      </c>
      <c r="C3743" s="9" t="s">
        <v>4004</v>
      </c>
      <c r="D3743" s="9" t="s">
        <v>5871</v>
      </c>
      <c r="E3743" s="9" t="str">
        <f aca="false">IF(AND('Formation Ledger'!A3722&lt;&gt;"",'Formation Ledger'!V3722=0),"PASS","FAIL")</f>
        <v>PASS</v>
      </c>
      <c r="F3743" s="9" t="s">
        <v>76</v>
      </c>
      <c r="G3743" s="6"/>
      <c r="H3743" s="6"/>
      <c r="I3743" s="6"/>
      <c r="J3743" s="6"/>
      <c r="K3743" s="6"/>
      <c r="L3743" s="6"/>
      <c r="M3743" s="6"/>
      <c r="N3743" s="6"/>
      <c r="O3743" s="6"/>
      <c r="P3743" s="6"/>
      <c r="Q3743" s="6"/>
      <c r="R3743" s="6"/>
      <c r="S3743" s="6"/>
      <c r="T3743" s="6"/>
      <c r="U3743" s="6"/>
      <c r="V3743" s="6"/>
      <c r="W3743" s="6"/>
      <c r="X3743" s="6"/>
      <c r="Y3743" s="6"/>
      <c r="Z3743" s="6"/>
    </row>
    <row r="3744" customFormat="false" ht="15" hidden="false" customHeight="false" outlineLevel="0" collapsed="false">
      <c r="A3744" s="9" t="s">
        <v>9587</v>
      </c>
      <c r="B3744" s="9" t="s">
        <v>5870</v>
      </c>
      <c r="C3744" s="9" t="s">
        <v>4005</v>
      </c>
      <c r="D3744" s="9" t="s">
        <v>5871</v>
      </c>
      <c r="E3744" s="9" t="str">
        <f aca="false">IF(AND('Formation Ledger'!A3723&lt;&gt;"",'Formation Ledger'!V3723=0),"PASS","FAIL")</f>
        <v>PASS</v>
      </c>
      <c r="F3744" s="9" t="s">
        <v>76</v>
      </c>
      <c r="G3744" s="6"/>
      <c r="H3744" s="6"/>
      <c r="I3744" s="6"/>
      <c r="J3744" s="6"/>
      <c r="K3744" s="6"/>
      <c r="L3744" s="6"/>
      <c r="M3744" s="6"/>
      <c r="N3744" s="6"/>
      <c r="O3744" s="6"/>
      <c r="P3744" s="6"/>
      <c r="Q3744" s="6"/>
      <c r="R3744" s="6"/>
      <c r="S3744" s="6"/>
      <c r="T3744" s="6"/>
      <c r="U3744" s="6"/>
      <c r="V3744" s="6"/>
      <c r="W3744" s="6"/>
      <c r="X3744" s="6"/>
      <c r="Y3744" s="6"/>
      <c r="Z3744" s="6"/>
    </row>
    <row r="3745" customFormat="false" ht="15" hidden="false" customHeight="false" outlineLevel="0" collapsed="false">
      <c r="A3745" s="9" t="s">
        <v>9588</v>
      </c>
      <c r="B3745" s="9" t="s">
        <v>5870</v>
      </c>
      <c r="C3745" s="9" t="s">
        <v>4006</v>
      </c>
      <c r="D3745" s="9" t="s">
        <v>5871</v>
      </c>
      <c r="E3745" s="9" t="str">
        <f aca="false">IF(AND('Formation Ledger'!A3724&lt;&gt;"",'Formation Ledger'!V3724=0),"PASS","FAIL")</f>
        <v>PASS</v>
      </c>
      <c r="F3745" s="9" t="s">
        <v>76</v>
      </c>
      <c r="G3745" s="6"/>
      <c r="H3745" s="6"/>
      <c r="I3745" s="6"/>
      <c r="J3745" s="6"/>
      <c r="K3745" s="6"/>
      <c r="L3745" s="6"/>
      <c r="M3745" s="6"/>
      <c r="N3745" s="6"/>
      <c r="O3745" s="6"/>
      <c r="P3745" s="6"/>
      <c r="Q3745" s="6"/>
      <c r="R3745" s="6"/>
      <c r="S3745" s="6"/>
      <c r="T3745" s="6"/>
      <c r="U3745" s="6"/>
      <c r="V3745" s="6"/>
      <c r="W3745" s="6"/>
      <c r="X3745" s="6"/>
      <c r="Y3745" s="6"/>
      <c r="Z3745" s="6"/>
    </row>
    <row r="3746" customFormat="false" ht="15" hidden="false" customHeight="false" outlineLevel="0" collapsed="false">
      <c r="A3746" s="9" t="s">
        <v>9589</v>
      </c>
      <c r="B3746" s="9" t="s">
        <v>5870</v>
      </c>
      <c r="C3746" s="9" t="s">
        <v>4007</v>
      </c>
      <c r="D3746" s="9" t="s">
        <v>5871</v>
      </c>
      <c r="E3746" s="9" t="str">
        <f aca="false">IF(AND('Formation Ledger'!A3725&lt;&gt;"",'Formation Ledger'!V3725=0),"PASS","FAIL")</f>
        <v>PASS</v>
      </c>
      <c r="F3746" s="9" t="s">
        <v>76</v>
      </c>
      <c r="G3746" s="6"/>
      <c r="H3746" s="6"/>
      <c r="I3746" s="6"/>
      <c r="J3746" s="6"/>
      <c r="K3746" s="6"/>
      <c r="L3746" s="6"/>
      <c r="M3746" s="6"/>
      <c r="N3746" s="6"/>
      <c r="O3746" s="6"/>
      <c r="P3746" s="6"/>
      <c r="Q3746" s="6"/>
      <c r="R3746" s="6"/>
      <c r="S3746" s="6"/>
      <c r="T3746" s="6"/>
      <c r="U3746" s="6"/>
      <c r="V3746" s="6"/>
      <c r="W3746" s="6"/>
      <c r="X3746" s="6"/>
      <c r="Y3746" s="6"/>
      <c r="Z3746" s="6"/>
    </row>
    <row r="3747" customFormat="false" ht="15" hidden="false" customHeight="false" outlineLevel="0" collapsed="false">
      <c r="A3747" s="9" t="s">
        <v>9590</v>
      </c>
      <c r="B3747" s="9" t="s">
        <v>5870</v>
      </c>
      <c r="C3747" s="9" t="s">
        <v>4008</v>
      </c>
      <c r="D3747" s="9" t="s">
        <v>5871</v>
      </c>
      <c r="E3747" s="9" t="str">
        <f aca="false">IF(AND('Formation Ledger'!A3726&lt;&gt;"",'Formation Ledger'!V3726=0),"PASS","FAIL")</f>
        <v>PASS</v>
      </c>
      <c r="F3747" s="9" t="s">
        <v>76</v>
      </c>
      <c r="G3747" s="6"/>
      <c r="H3747" s="6"/>
      <c r="I3747" s="6"/>
      <c r="J3747" s="6"/>
      <c r="K3747" s="6"/>
      <c r="L3747" s="6"/>
      <c r="M3747" s="6"/>
      <c r="N3747" s="6"/>
      <c r="O3747" s="6"/>
      <c r="P3747" s="6"/>
      <c r="Q3747" s="6"/>
      <c r="R3747" s="6"/>
      <c r="S3747" s="6"/>
      <c r="T3747" s="6"/>
      <c r="U3747" s="6"/>
      <c r="V3747" s="6"/>
      <c r="W3747" s="6"/>
      <c r="X3747" s="6"/>
      <c r="Y3747" s="6"/>
      <c r="Z3747" s="6"/>
    </row>
    <row r="3748" customFormat="false" ht="15" hidden="false" customHeight="false" outlineLevel="0" collapsed="false">
      <c r="A3748" s="9" t="s">
        <v>9591</v>
      </c>
      <c r="B3748" s="9" t="s">
        <v>5870</v>
      </c>
      <c r="C3748" s="9" t="s">
        <v>4009</v>
      </c>
      <c r="D3748" s="9" t="s">
        <v>5871</v>
      </c>
      <c r="E3748" s="9" t="str">
        <f aca="false">IF(AND('Formation Ledger'!A3727&lt;&gt;"",'Formation Ledger'!V3727=0),"PASS","FAIL")</f>
        <v>PASS</v>
      </c>
      <c r="F3748" s="9" t="s">
        <v>76</v>
      </c>
      <c r="G3748" s="6"/>
      <c r="H3748" s="6"/>
      <c r="I3748" s="6"/>
      <c r="J3748" s="6"/>
      <c r="K3748" s="6"/>
      <c r="L3748" s="6"/>
      <c r="M3748" s="6"/>
      <c r="N3748" s="6"/>
      <c r="O3748" s="6"/>
      <c r="P3748" s="6"/>
      <c r="Q3748" s="6"/>
      <c r="R3748" s="6"/>
      <c r="S3748" s="6"/>
      <c r="T3748" s="6"/>
      <c r="U3748" s="6"/>
      <c r="V3748" s="6"/>
      <c r="W3748" s="6"/>
      <c r="X3748" s="6"/>
      <c r="Y3748" s="6"/>
      <c r="Z3748" s="6"/>
    </row>
    <row r="3749" customFormat="false" ht="15" hidden="false" customHeight="false" outlineLevel="0" collapsed="false">
      <c r="A3749" s="9" t="s">
        <v>9592</v>
      </c>
      <c r="B3749" s="9" t="s">
        <v>5870</v>
      </c>
      <c r="C3749" s="9" t="s">
        <v>4010</v>
      </c>
      <c r="D3749" s="9" t="s">
        <v>5871</v>
      </c>
      <c r="E3749" s="9" t="str">
        <f aca="false">IF(AND('Formation Ledger'!A3728&lt;&gt;"",'Formation Ledger'!V3728=0),"PASS","FAIL")</f>
        <v>PASS</v>
      </c>
      <c r="F3749" s="9" t="s">
        <v>76</v>
      </c>
      <c r="G3749" s="6"/>
      <c r="H3749" s="6"/>
      <c r="I3749" s="6"/>
      <c r="J3749" s="6"/>
      <c r="K3749" s="6"/>
      <c r="L3749" s="6"/>
      <c r="M3749" s="6"/>
      <c r="N3749" s="6"/>
      <c r="O3749" s="6"/>
      <c r="P3749" s="6"/>
      <c r="Q3749" s="6"/>
      <c r="R3749" s="6"/>
      <c r="S3749" s="6"/>
      <c r="T3749" s="6"/>
      <c r="U3749" s="6"/>
      <c r="V3749" s="6"/>
      <c r="W3749" s="6"/>
      <c r="X3749" s="6"/>
      <c r="Y3749" s="6"/>
      <c r="Z3749" s="6"/>
    </row>
    <row r="3750" customFormat="false" ht="15" hidden="false" customHeight="false" outlineLevel="0" collapsed="false">
      <c r="A3750" s="9" t="s">
        <v>9593</v>
      </c>
      <c r="B3750" s="9" t="s">
        <v>5870</v>
      </c>
      <c r="C3750" s="9" t="s">
        <v>4011</v>
      </c>
      <c r="D3750" s="9" t="s">
        <v>5871</v>
      </c>
      <c r="E3750" s="9" t="str">
        <f aca="false">IF(AND('Formation Ledger'!A3729&lt;&gt;"",'Formation Ledger'!V3729=0),"PASS","FAIL")</f>
        <v>PASS</v>
      </c>
      <c r="F3750" s="9" t="s">
        <v>76</v>
      </c>
      <c r="G3750" s="6"/>
      <c r="H3750" s="6"/>
      <c r="I3750" s="6"/>
      <c r="J3750" s="6"/>
      <c r="K3750" s="6"/>
      <c r="L3750" s="6"/>
      <c r="M3750" s="6"/>
      <c r="N3750" s="6"/>
      <c r="O3750" s="6"/>
      <c r="P3750" s="6"/>
      <c r="Q3750" s="6"/>
      <c r="R3750" s="6"/>
      <c r="S3750" s="6"/>
      <c r="T3750" s="6"/>
      <c r="U3750" s="6"/>
      <c r="V3750" s="6"/>
      <c r="W3750" s="6"/>
      <c r="X3750" s="6"/>
      <c r="Y3750" s="6"/>
      <c r="Z3750" s="6"/>
    </row>
    <row r="3751" customFormat="false" ht="15" hidden="false" customHeight="false" outlineLevel="0" collapsed="false">
      <c r="A3751" s="9" t="s">
        <v>9594</v>
      </c>
      <c r="B3751" s="9" t="s">
        <v>5870</v>
      </c>
      <c r="C3751" s="9" t="s">
        <v>4012</v>
      </c>
      <c r="D3751" s="9" t="s">
        <v>5871</v>
      </c>
      <c r="E3751" s="9" t="str">
        <f aca="false">IF(AND('Formation Ledger'!A3730&lt;&gt;"",'Formation Ledger'!V3730=0),"PASS","FAIL")</f>
        <v>PASS</v>
      </c>
      <c r="F3751" s="9" t="s">
        <v>76</v>
      </c>
      <c r="G3751" s="6"/>
      <c r="H3751" s="6"/>
      <c r="I3751" s="6"/>
      <c r="J3751" s="6"/>
      <c r="K3751" s="6"/>
      <c r="L3751" s="6"/>
      <c r="M3751" s="6"/>
      <c r="N3751" s="6"/>
      <c r="O3751" s="6"/>
      <c r="P3751" s="6"/>
      <c r="Q3751" s="6"/>
      <c r="R3751" s="6"/>
      <c r="S3751" s="6"/>
      <c r="T3751" s="6"/>
      <c r="U3751" s="6"/>
      <c r="V3751" s="6"/>
      <c r="W3751" s="6"/>
      <c r="X3751" s="6"/>
      <c r="Y3751" s="6"/>
      <c r="Z3751" s="6"/>
    </row>
    <row r="3752" customFormat="false" ht="15" hidden="false" customHeight="false" outlineLevel="0" collapsed="false">
      <c r="A3752" s="9" t="s">
        <v>9595</v>
      </c>
      <c r="B3752" s="9" t="s">
        <v>5870</v>
      </c>
      <c r="C3752" s="9" t="s">
        <v>4013</v>
      </c>
      <c r="D3752" s="9" t="s">
        <v>5871</v>
      </c>
      <c r="E3752" s="9" t="str">
        <f aca="false">IF(AND('Formation Ledger'!A3731&lt;&gt;"",'Formation Ledger'!V3731=0),"PASS","FAIL")</f>
        <v>PASS</v>
      </c>
      <c r="F3752" s="9" t="s">
        <v>76</v>
      </c>
      <c r="G3752" s="6"/>
      <c r="H3752" s="6"/>
      <c r="I3752" s="6"/>
      <c r="J3752" s="6"/>
      <c r="K3752" s="6"/>
      <c r="L3752" s="6"/>
      <c r="M3752" s="6"/>
      <c r="N3752" s="6"/>
      <c r="O3752" s="6"/>
      <c r="P3752" s="6"/>
      <c r="Q3752" s="6"/>
      <c r="R3752" s="6"/>
      <c r="S3752" s="6"/>
      <c r="T3752" s="6"/>
      <c r="U3752" s="6"/>
      <c r="V3752" s="6"/>
      <c r="W3752" s="6"/>
      <c r="X3752" s="6"/>
      <c r="Y3752" s="6"/>
      <c r="Z3752" s="6"/>
    </row>
    <row r="3753" customFormat="false" ht="15" hidden="false" customHeight="false" outlineLevel="0" collapsed="false">
      <c r="A3753" s="9" t="s">
        <v>9596</v>
      </c>
      <c r="B3753" s="9" t="s">
        <v>5870</v>
      </c>
      <c r="C3753" s="9" t="s">
        <v>4014</v>
      </c>
      <c r="D3753" s="9" t="s">
        <v>5871</v>
      </c>
      <c r="E3753" s="9" t="str">
        <f aca="false">IF(AND('Formation Ledger'!A3732&lt;&gt;"",'Formation Ledger'!V3732=0),"PASS","FAIL")</f>
        <v>PASS</v>
      </c>
      <c r="F3753" s="9" t="s">
        <v>76</v>
      </c>
      <c r="G3753" s="6"/>
      <c r="H3753" s="6"/>
      <c r="I3753" s="6"/>
      <c r="J3753" s="6"/>
      <c r="K3753" s="6"/>
      <c r="L3753" s="6"/>
      <c r="M3753" s="6"/>
      <c r="N3753" s="6"/>
      <c r="O3753" s="6"/>
      <c r="P3753" s="6"/>
      <c r="Q3753" s="6"/>
      <c r="R3753" s="6"/>
      <c r="S3753" s="6"/>
      <c r="T3753" s="6"/>
      <c r="U3753" s="6"/>
      <c r="V3753" s="6"/>
      <c r="W3753" s="6"/>
      <c r="X3753" s="6"/>
      <c r="Y3753" s="6"/>
      <c r="Z3753" s="6"/>
    </row>
    <row r="3754" customFormat="false" ht="15" hidden="false" customHeight="false" outlineLevel="0" collapsed="false">
      <c r="A3754" s="9" t="s">
        <v>9597</v>
      </c>
      <c r="B3754" s="9" t="s">
        <v>5870</v>
      </c>
      <c r="C3754" s="9" t="s">
        <v>4015</v>
      </c>
      <c r="D3754" s="9" t="s">
        <v>5871</v>
      </c>
      <c r="E3754" s="9" t="str">
        <f aca="false">IF(AND('Formation Ledger'!A3733&lt;&gt;"",'Formation Ledger'!V3733=0),"PASS","FAIL")</f>
        <v>PASS</v>
      </c>
      <c r="F3754" s="9" t="s">
        <v>76</v>
      </c>
      <c r="G3754" s="6"/>
      <c r="H3754" s="6"/>
      <c r="I3754" s="6"/>
      <c r="J3754" s="6"/>
      <c r="K3754" s="6"/>
      <c r="L3754" s="6"/>
      <c r="M3754" s="6"/>
      <c r="N3754" s="6"/>
      <c r="O3754" s="6"/>
      <c r="P3754" s="6"/>
      <c r="Q3754" s="6"/>
      <c r="R3754" s="6"/>
      <c r="S3754" s="6"/>
      <c r="T3754" s="6"/>
      <c r="U3754" s="6"/>
      <c r="V3754" s="6"/>
      <c r="W3754" s="6"/>
      <c r="X3754" s="6"/>
      <c r="Y3754" s="6"/>
      <c r="Z3754" s="6"/>
    </row>
    <row r="3755" customFormat="false" ht="15" hidden="false" customHeight="false" outlineLevel="0" collapsed="false">
      <c r="A3755" s="9" t="s">
        <v>9598</v>
      </c>
      <c r="B3755" s="9" t="s">
        <v>5870</v>
      </c>
      <c r="C3755" s="9" t="s">
        <v>4016</v>
      </c>
      <c r="D3755" s="9" t="s">
        <v>5871</v>
      </c>
      <c r="E3755" s="9" t="str">
        <f aca="false">IF(AND('Formation Ledger'!A3734&lt;&gt;"",'Formation Ledger'!V3734=0),"PASS","FAIL")</f>
        <v>PASS</v>
      </c>
      <c r="F3755" s="9" t="s">
        <v>76</v>
      </c>
      <c r="G3755" s="6"/>
      <c r="H3755" s="6"/>
      <c r="I3755" s="6"/>
      <c r="J3755" s="6"/>
      <c r="K3755" s="6"/>
      <c r="L3755" s="6"/>
      <c r="M3755" s="6"/>
      <c r="N3755" s="6"/>
      <c r="O3755" s="6"/>
      <c r="P3755" s="6"/>
      <c r="Q3755" s="6"/>
      <c r="R3755" s="6"/>
      <c r="S3755" s="6"/>
      <c r="T3755" s="6"/>
      <c r="U3755" s="6"/>
      <c r="V3755" s="6"/>
      <c r="W3755" s="6"/>
      <c r="X3755" s="6"/>
      <c r="Y3755" s="6"/>
      <c r="Z3755" s="6"/>
    </row>
    <row r="3756" customFormat="false" ht="15" hidden="false" customHeight="false" outlineLevel="0" collapsed="false">
      <c r="A3756" s="9" t="s">
        <v>9599</v>
      </c>
      <c r="B3756" s="9" t="s">
        <v>5870</v>
      </c>
      <c r="C3756" s="9" t="s">
        <v>4017</v>
      </c>
      <c r="D3756" s="9" t="s">
        <v>5871</v>
      </c>
      <c r="E3756" s="9" t="str">
        <f aca="false">IF(AND('Formation Ledger'!A3735&lt;&gt;"",'Formation Ledger'!V3735=0),"PASS","FAIL")</f>
        <v>PASS</v>
      </c>
      <c r="F3756" s="9" t="s">
        <v>76</v>
      </c>
      <c r="G3756" s="6"/>
      <c r="H3756" s="6"/>
      <c r="I3756" s="6"/>
      <c r="J3756" s="6"/>
      <c r="K3756" s="6"/>
      <c r="L3756" s="6"/>
      <c r="M3756" s="6"/>
      <c r="N3756" s="6"/>
      <c r="O3756" s="6"/>
      <c r="P3756" s="6"/>
      <c r="Q3756" s="6"/>
      <c r="R3756" s="6"/>
      <c r="S3756" s="6"/>
      <c r="T3756" s="6"/>
      <c r="U3756" s="6"/>
      <c r="V3756" s="6"/>
      <c r="W3756" s="6"/>
      <c r="X3756" s="6"/>
      <c r="Y3756" s="6"/>
      <c r="Z3756" s="6"/>
    </row>
    <row r="3757" customFormat="false" ht="15" hidden="false" customHeight="false" outlineLevel="0" collapsed="false">
      <c r="A3757" s="9" t="s">
        <v>9600</v>
      </c>
      <c r="B3757" s="9" t="s">
        <v>5870</v>
      </c>
      <c r="C3757" s="9" t="s">
        <v>4018</v>
      </c>
      <c r="D3757" s="9" t="s">
        <v>5871</v>
      </c>
      <c r="E3757" s="9" t="str">
        <f aca="false">IF(AND('Formation Ledger'!A3736&lt;&gt;"",'Formation Ledger'!V3736=0),"PASS","FAIL")</f>
        <v>PASS</v>
      </c>
      <c r="F3757" s="9" t="s">
        <v>76</v>
      </c>
      <c r="G3757" s="6"/>
      <c r="H3757" s="6"/>
      <c r="I3757" s="6"/>
      <c r="J3757" s="6"/>
      <c r="K3757" s="6"/>
      <c r="L3757" s="6"/>
      <c r="M3757" s="6"/>
      <c r="N3757" s="6"/>
      <c r="O3757" s="6"/>
      <c r="P3757" s="6"/>
      <c r="Q3757" s="6"/>
      <c r="R3757" s="6"/>
      <c r="S3757" s="6"/>
      <c r="T3757" s="6"/>
      <c r="U3757" s="6"/>
      <c r="V3757" s="6"/>
      <c r="W3757" s="6"/>
      <c r="X3757" s="6"/>
      <c r="Y3757" s="6"/>
      <c r="Z3757" s="6"/>
    </row>
    <row r="3758" customFormat="false" ht="15" hidden="false" customHeight="false" outlineLevel="0" collapsed="false">
      <c r="A3758" s="9" t="s">
        <v>9601</v>
      </c>
      <c r="B3758" s="9" t="s">
        <v>5870</v>
      </c>
      <c r="C3758" s="9" t="s">
        <v>4019</v>
      </c>
      <c r="D3758" s="9" t="s">
        <v>5871</v>
      </c>
      <c r="E3758" s="9" t="str">
        <f aca="false">IF(AND('Formation Ledger'!A3737&lt;&gt;"",'Formation Ledger'!V3737=0),"PASS","FAIL")</f>
        <v>PASS</v>
      </c>
      <c r="F3758" s="9" t="s">
        <v>76</v>
      </c>
      <c r="G3758" s="6"/>
      <c r="H3758" s="6"/>
      <c r="I3758" s="6"/>
      <c r="J3758" s="6"/>
      <c r="K3758" s="6"/>
      <c r="L3758" s="6"/>
      <c r="M3758" s="6"/>
      <c r="N3758" s="6"/>
      <c r="O3758" s="6"/>
      <c r="P3758" s="6"/>
      <c r="Q3758" s="6"/>
      <c r="R3758" s="6"/>
      <c r="S3758" s="6"/>
      <c r="T3758" s="6"/>
      <c r="U3758" s="6"/>
      <c r="V3758" s="6"/>
      <c r="W3758" s="6"/>
      <c r="X3758" s="6"/>
      <c r="Y3758" s="6"/>
      <c r="Z3758" s="6"/>
    </row>
    <row r="3759" customFormat="false" ht="15" hidden="false" customHeight="false" outlineLevel="0" collapsed="false">
      <c r="A3759" s="9" t="s">
        <v>9602</v>
      </c>
      <c r="B3759" s="9" t="s">
        <v>5870</v>
      </c>
      <c r="C3759" s="9" t="s">
        <v>4020</v>
      </c>
      <c r="D3759" s="9" t="s">
        <v>5871</v>
      </c>
      <c r="E3759" s="9" t="str">
        <f aca="false">IF(AND('Formation Ledger'!A3738&lt;&gt;"",'Formation Ledger'!V3738=0),"PASS","FAIL")</f>
        <v>PASS</v>
      </c>
      <c r="F3759" s="9" t="s">
        <v>76</v>
      </c>
      <c r="G3759" s="6"/>
      <c r="H3759" s="6"/>
      <c r="I3759" s="6"/>
      <c r="J3759" s="6"/>
      <c r="K3759" s="6"/>
      <c r="L3759" s="6"/>
      <c r="M3759" s="6"/>
      <c r="N3759" s="6"/>
      <c r="O3759" s="6"/>
      <c r="P3759" s="6"/>
      <c r="Q3759" s="6"/>
      <c r="R3759" s="6"/>
      <c r="S3759" s="6"/>
      <c r="T3759" s="6"/>
      <c r="U3759" s="6"/>
      <c r="V3759" s="6"/>
      <c r="W3759" s="6"/>
      <c r="X3759" s="6"/>
      <c r="Y3759" s="6"/>
      <c r="Z3759" s="6"/>
    </row>
    <row r="3760" customFormat="false" ht="15" hidden="false" customHeight="false" outlineLevel="0" collapsed="false">
      <c r="A3760" s="9" t="s">
        <v>9603</v>
      </c>
      <c r="B3760" s="9" t="s">
        <v>5870</v>
      </c>
      <c r="C3760" s="9" t="s">
        <v>4021</v>
      </c>
      <c r="D3760" s="9" t="s">
        <v>5871</v>
      </c>
      <c r="E3760" s="9" t="str">
        <f aca="false">IF(AND('Formation Ledger'!A3739&lt;&gt;"",'Formation Ledger'!V3739=0),"PASS","FAIL")</f>
        <v>PASS</v>
      </c>
      <c r="F3760" s="9" t="s">
        <v>76</v>
      </c>
      <c r="G3760" s="6"/>
      <c r="H3760" s="6"/>
      <c r="I3760" s="6"/>
      <c r="J3760" s="6"/>
      <c r="K3760" s="6"/>
      <c r="L3760" s="6"/>
      <c r="M3760" s="6"/>
      <c r="N3760" s="6"/>
      <c r="O3760" s="6"/>
      <c r="P3760" s="6"/>
      <c r="Q3760" s="6"/>
      <c r="R3760" s="6"/>
      <c r="S3760" s="6"/>
      <c r="T3760" s="6"/>
      <c r="U3760" s="6"/>
      <c r="V3760" s="6"/>
      <c r="W3760" s="6"/>
      <c r="X3760" s="6"/>
      <c r="Y3760" s="6"/>
      <c r="Z3760" s="6"/>
    </row>
    <row r="3761" customFormat="false" ht="15" hidden="false" customHeight="false" outlineLevel="0" collapsed="false">
      <c r="A3761" s="9" t="s">
        <v>9604</v>
      </c>
      <c r="B3761" s="9" t="s">
        <v>5870</v>
      </c>
      <c r="C3761" s="9" t="s">
        <v>4022</v>
      </c>
      <c r="D3761" s="9" t="s">
        <v>5871</v>
      </c>
      <c r="E3761" s="9" t="str">
        <f aca="false">IF(AND('Formation Ledger'!A3740&lt;&gt;"",'Formation Ledger'!V3740=0),"PASS","FAIL")</f>
        <v>PASS</v>
      </c>
      <c r="F3761" s="9" t="s">
        <v>76</v>
      </c>
      <c r="G3761" s="6"/>
      <c r="H3761" s="6"/>
      <c r="I3761" s="6"/>
      <c r="J3761" s="6"/>
      <c r="K3761" s="6"/>
      <c r="L3761" s="6"/>
      <c r="M3761" s="6"/>
      <c r="N3761" s="6"/>
      <c r="O3761" s="6"/>
      <c r="P3761" s="6"/>
      <c r="Q3761" s="6"/>
      <c r="R3761" s="6"/>
      <c r="S3761" s="6"/>
      <c r="T3761" s="6"/>
      <c r="U3761" s="6"/>
      <c r="V3761" s="6"/>
      <c r="W3761" s="6"/>
      <c r="X3761" s="6"/>
      <c r="Y3761" s="6"/>
      <c r="Z3761" s="6"/>
    </row>
    <row r="3762" customFormat="false" ht="15" hidden="false" customHeight="false" outlineLevel="0" collapsed="false">
      <c r="A3762" s="9" t="s">
        <v>9605</v>
      </c>
      <c r="B3762" s="9" t="s">
        <v>5870</v>
      </c>
      <c r="C3762" s="9" t="s">
        <v>4023</v>
      </c>
      <c r="D3762" s="9" t="s">
        <v>5871</v>
      </c>
      <c r="E3762" s="9" t="str">
        <f aca="false">IF(AND('Formation Ledger'!A3741&lt;&gt;"",'Formation Ledger'!V3741=0),"PASS","FAIL")</f>
        <v>PASS</v>
      </c>
      <c r="F3762" s="9" t="s">
        <v>76</v>
      </c>
      <c r="G3762" s="6"/>
      <c r="H3762" s="6"/>
      <c r="I3762" s="6"/>
      <c r="J3762" s="6"/>
      <c r="K3762" s="6"/>
      <c r="L3762" s="6"/>
      <c r="M3762" s="6"/>
      <c r="N3762" s="6"/>
      <c r="O3762" s="6"/>
      <c r="P3762" s="6"/>
      <c r="Q3762" s="6"/>
      <c r="R3762" s="6"/>
      <c r="S3762" s="6"/>
      <c r="T3762" s="6"/>
      <c r="U3762" s="6"/>
      <c r="V3762" s="6"/>
      <c r="W3762" s="6"/>
      <c r="X3762" s="6"/>
      <c r="Y3762" s="6"/>
      <c r="Z3762" s="6"/>
    </row>
    <row r="3763" customFormat="false" ht="15" hidden="false" customHeight="false" outlineLevel="0" collapsed="false">
      <c r="A3763" s="9" t="s">
        <v>9606</v>
      </c>
      <c r="B3763" s="9" t="s">
        <v>5870</v>
      </c>
      <c r="C3763" s="9" t="s">
        <v>4024</v>
      </c>
      <c r="D3763" s="9" t="s">
        <v>5871</v>
      </c>
      <c r="E3763" s="9" t="str">
        <f aca="false">IF(AND('Formation Ledger'!A3742&lt;&gt;"",'Formation Ledger'!V3742=0),"PASS","FAIL")</f>
        <v>PASS</v>
      </c>
      <c r="F3763" s="9" t="s">
        <v>76</v>
      </c>
      <c r="G3763" s="6"/>
      <c r="H3763" s="6"/>
      <c r="I3763" s="6"/>
      <c r="J3763" s="6"/>
      <c r="K3763" s="6"/>
      <c r="L3763" s="6"/>
      <c r="M3763" s="6"/>
      <c r="N3763" s="6"/>
      <c r="O3763" s="6"/>
      <c r="P3763" s="6"/>
      <c r="Q3763" s="6"/>
      <c r="R3763" s="6"/>
      <c r="S3763" s="6"/>
      <c r="T3763" s="6"/>
      <c r="U3763" s="6"/>
      <c r="V3763" s="6"/>
      <c r="W3763" s="6"/>
      <c r="X3763" s="6"/>
      <c r="Y3763" s="6"/>
      <c r="Z3763" s="6"/>
    </row>
    <row r="3764" customFormat="false" ht="15" hidden="false" customHeight="false" outlineLevel="0" collapsed="false">
      <c r="A3764" s="9" t="s">
        <v>9607</v>
      </c>
      <c r="B3764" s="9" t="s">
        <v>5870</v>
      </c>
      <c r="C3764" s="9" t="s">
        <v>4025</v>
      </c>
      <c r="D3764" s="9" t="s">
        <v>5871</v>
      </c>
      <c r="E3764" s="9" t="str">
        <f aca="false">IF(AND('Formation Ledger'!A3743&lt;&gt;"",'Formation Ledger'!V3743=0),"PASS","FAIL")</f>
        <v>PASS</v>
      </c>
      <c r="F3764" s="9" t="s">
        <v>76</v>
      </c>
      <c r="G3764" s="6"/>
      <c r="H3764" s="6"/>
      <c r="I3764" s="6"/>
      <c r="J3764" s="6"/>
      <c r="K3764" s="6"/>
      <c r="L3764" s="6"/>
      <c r="M3764" s="6"/>
      <c r="N3764" s="6"/>
      <c r="O3764" s="6"/>
      <c r="P3764" s="6"/>
      <c r="Q3764" s="6"/>
      <c r="R3764" s="6"/>
      <c r="S3764" s="6"/>
      <c r="T3764" s="6"/>
      <c r="U3764" s="6"/>
      <c r="V3764" s="6"/>
      <c r="W3764" s="6"/>
      <c r="X3764" s="6"/>
      <c r="Y3764" s="6"/>
      <c r="Z3764" s="6"/>
    </row>
    <row r="3765" customFormat="false" ht="15" hidden="false" customHeight="false" outlineLevel="0" collapsed="false">
      <c r="A3765" s="9" t="s">
        <v>9608</v>
      </c>
      <c r="B3765" s="9" t="s">
        <v>5870</v>
      </c>
      <c r="C3765" s="9" t="s">
        <v>4026</v>
      </c>
      <c r="D3765" s="9" t="s">
        <v>5871</v>
      </c>
      <c r="E3765" s="9" t="str">
        <f aca="false">IF(AND('Formation Ledger'!A3744&lt;&gt;"",'Formation Ledger'!V3744=0),"PASS","FAIL")</f>
        <v>PASS</v>
      </c>
      <c r="F3765" s="9" t="s">
        <v>76</v>
      </c>
      <c r="G3765" s="6"/>
      <c r="H3765" s="6"/>
      <c r="I3765" s="6"/>
      <c r="J3765" s="6"/>
      <c r="K3765" s="6"/>
      <c r="L3765" s="6"/>
      <c r="M3765" s="6"/>
      <c r="N3765" s="6"/>
      <c r="O3765" s="6"/>
      <c r="P3765" s="6"/>
      <c r="Q3765" s="6"/>
      <c r="R3765" s="6"/>
      <c r="S3765" s="6"/>
      <c r="T3765" s="6"/>
      <c r="U3765" s="6"/>
      <c r="V3765" s="6"/>
      <c r="W3765" s="6"/>
      <c r="X3765" s="6"/>
      <c r="Y3765" s="6"/>
      <c r="Z3765" s="6"/>
    </row>
    <row r="3766" customFormat="false" ht="15" hidden="false" customHeight="false" outlineLevel="0" collapsed="false">
      <c r="A3766" s="9" t="s">
        <v>9609</v>
      </c>
      <c r="B3766" s="9" t="s">
        <v>5870</v>
      </c>
      <c r="C3766" s="9" t="s">
        <v>4027</v>
      </c>
      <c r="D3766" s="9" t="s">
        <v>5871</v>
      </c>
      <c r="E3766" s="9" t="str">
        <f aca="false">IF(AND('Formation Ledger'!A3745&lt;&gt;"",'Formation Ledger'!V3745=0),"PASS","FAIL")</f>
        <v>PASS</v>
      </c>
      <c r="F3766" s="9" t="s">
        <v>76</v>
      </c>
      <c r="G3766" s="6"/>
      <c r="H3766" s="6"/>
      <c r="I3766" s="6"/>
      <c r="J3766" s="6"/>
      <c r="K3766" s="6"/>
      <c r="L3766" s="6"/>
      <c r="M3766" s="6"/>
      <c r="N3766" s="6"/>
      <c r="O3766" s="6"/>
      <c r="P3766" s="6"/>
      <c r="Q3766" s="6"/>
      <c r="R3766" s="6"/>
      <c r="S3766" s="6"/>
      <c r="T3766" s="6"/>
      <c r="U3766" s="6"/>
      <c r="V3766" s="6"/>
      <c r="W3766" s="6"/>
      <c r="X3766" s="6"/>
      <c r="Y3766" s="6"/>
      <c r="Z3766" s="6"/>
    </row>
    <row r="3767" customFormat="false" ht="15" hidden="false" customHeight="false" outlineLevel="0" collapsed="false">
      <c r="A3767" s="9" t="s">
        <v>9610</v>
      </c>
      <c r="B3767" s="9" t="s">
        <v>5870</v>
      </c>
      <c r="C3767" s="9" t="s">
        <v>4028</v>
      </c>
      <c r="D3767" s="9" t="s">
        <v>5871</v>
      </c>
      <c r="E3767" s="9" t="str">
        <f aca="false">IF(AND('Formation Ledger'!A3746&lt;&gt;"",'Formation Ledger'!V3746=0),"PASS","FAIL")</f>
        <v>PASS</v>
      </c>
      <c r="F3767" s="9" t="s">
        <v>76</v>
      </c>
      <c r="G3767" s="6"/>
      <c r="H3767" s="6"/>
      <c r="I3767" s="6"/>
      <c r="J3767" s="6"/>
      <c r="K3767" s="6"/>
      <c r="L3767" s="6"/>
      <c r="M3767" s="6"/>
      <c r="N3767" s="6"/>
      <c r="O3767" s="6"/>
      <c r="P3767" s="6"/>
      <c r="Q3767" s="6"/>
      <c r="R3767" s="6"/>
      <c r="S3767" s="6"/>
      <c r="T3767" s="6"/>
      <c r="U3767" s="6"/>
      <c r="V3767" s="6"/>
      <c r="W3767" s="6"/>
      <c r="X3767" s="6"/>
      <c r="Y3767" s="6"/>
      <c r="Z3767" s="6"/>
    </row>
    <row r="3768" customFormat="false" ht="15" hidden="false" customHeight="false" outlineLevel="0" collapsed="false">
      <c r="A3768" s="9" t="s">
        <v>9611</v>
      </c>
      <c r="B3768" s="9" t="s">
        <v>5870</v>
      </c>
      <c r="C3768" s="9" t="s">
        <v>4029</v>
      </c>
      <c r="D3768" s="9" t="s">
        <v>5871</v>
      </c>
      <c r="E3768" s="9" t="str">
        <f aca="false">IF(AND('Formation Ledger'!A3747&lt;&gt;"",'Formation Ledger'!V3747=0),"PASS","FAIL")</f>
        <v>PASS</v>
      </c>
      <c r="F3768" s="9" t="s">
        <v>76</v>
      </c>
      <c r="G3768" s="6"/>
      <c r="H3768" s="6"/>
      <c r="I3768" s="6"/>
      <c r="J3768" s="6"/>
      <c r="K3768" s="6"/>
      <c r="L3768" s="6"/>
      <c r="M3768" s="6"/>
      <c r="N3768" s="6"/>
      <c r="O3768" s="6"/>
      <c r="P3768" s="6"/>
      <c r="Q3768" s="6"/>
      <c r="R3768" s="6"/>
      <c r="S3768" s="6"/>
      <c r="T3768" s="6"/>
      <c r="U3768" s="6"/>
      <c r="V3768" s="6"/>
      <c r="W3768" s="6"/>
      <c r="X3768" s="6"/>
      <c r="Y3768" s="6"/>
      <c r="Z3768" s="6"/>
    </row>
    <row r="3769" customFormat="false" ht="15" hidden="false" customHeight="false" outlineLevel="0" collapsed="false">
      <c r="A3769" s="9" t="s">
        <v>9612</v>
      </c>
      <c r="B3769" s="9" t="s">
        <v>5870</v>
      </c>
      <c r="C3769" s="9" t="s">
        <v>4030</v>
      </c>
      <c r="D3769" s="9" t="s">
        <v>5871</v>
      </c>
      <c r="E3769" s="9" t="str">
        <f aca="false">IF(AND('Formation Ledger'!A3748&lt;&gt;"",'Formation Ledger'!V3748=0),"PASS","FAIL")</f>
        <v>PASS</v>
      </c>
      <c r="F3769" s="9" t="s">
        <v>76</v>
      </c>
      <c r="G3769" s="6"/>
      <c r="H3769" s="6"/>
      <c r="I3769" s="6"/>
      <c r="J3769" s="6"/>
      <c r="K3769" s="6"/>
      <c r="L3769" s="6"/>
      <c r="M3769" s="6"/>
      <c r="N3769" s="6"/>
      <c r="O3769" s="6"/>
      <c r="P3769" s="6"/>
      <c r="Q3769" s="6"/>
      <c r="R3769" s="6"/>
      <c r="S3769" s="6"/>
      <c r="T3769" s="6"/>
      <c r="U3769" s="6"/>
      <c r="V3769" s="6"/>
      <c r="W3769" s="6"/>
      <c r="X3769" s="6"/>
      <c r="Y3769" s="6"/>
      <c r="Z3769" s="6"/>
    </row>
    <row r="3770" customFormat="false" ht="15" hidden="false" customHeight="false" outlineLevel="0" collapsed="false">
      <c r="A3770" s="9" t="s">
        <v>9613</v>
      </c>
      <c r="B3770" s="9" t="s">
        <v>5870</v>
      </c>
      <c r="C3770" s="9" t="s">
        <v>4031</v>
      </c>
      <c r="D3770" s="9" t="s">
        <v>5871</v>
      </c>
      <c r="E3770" s="9" t="str">
        <f aca="false">IF(AND('Formation Ledger'!A3749&lt;&gt;"",'Formation Ledger'!V3749=0),"PASS","FAIL")</f>
        <v>PASS</v>
      </c>
      <c r="F3770" s="9" t="s">
        <v>76</v>
      </c>
      <c r="G3770" s="6"/>
      <c r="H3770" s="6"/>
      <c r="I3770" s="6"/>
      <c r="J3770" s="6"/>
      <c r="K3770" s="6"/>
      <c r="L3770" s="6"/>
      <c r="M3770" s="6"/>
      <c r="N3770" s="6"/>
      <c r="O3770" s="6"/>
      <c r="P3770" s="6"/>
      <c r="Q3770" s="6"/>
      <c r="R3770" s="6"/>
      <c r="S3770" s="6"/>
      <c r="T3770" s="6"/>
      <c r="U3770" s="6"/>
      <c r="V3770" s="6"/>
      <c r="W3770" s="6"/>
      <c r="X3770" s="6"/>
      <c r="Y3770" s="6"/>
      <c r="Z3770" s="6"/>
    </row>
    <row r="3771" customFormat="false" ht="15" hidden="false" customHeight="false" outlineLevel="0" collapsed="false">
      <c r="A3771" s="9" t="s">
        <v>9614</v>
      </c>
      <c r="B3771" s="9" t="s">
        <v>5870</v>
      </c>
      <c r="C3771" s="9" t="s">
        <v>4032</v>
      </c>
      <c r="D3771" s="9" t="s">
        <v>5871</v>
      </c>
      <c r="E3771" s="9" t="str">
        <f aca="false">IF(AND('Formation Ledger'!A3750&lt;&gt;"",'Formation Ledger'!V3750=0),"PASS","FAIL")</f>
        <v>PASS</v>
      </c>
      <c r="F3771" s="9" t="s">
        <v>76</v>
      </c>
      <c r="G3771" s="6"/>
      <c r="H3771" s="6"/>
      <c r="I3771" s="6"/>
      <c r="J3771" s="6"/>
      <c r="K3771" s="6"/>
      <c r="L3771" s="6"/>
      <c r="M3771" s="6"/>
      <c r="N3771" s="6"/>
      <c r="O3771" s="6"/>
      <c r="P3771" s="6"/>
      <c r="Q3771" s="6"/>
      <c r="R3771" s="6"/>
      <c r="S3771" s="6"/>
      <c r="T3771" s="6"/>
      <c r="U3771" s="6"/>
      <c r="V3771" s="6"/>
      <c r="W3771" s="6"/>
      <c r="X3771" s="6"/>
      <c r="Y3771" s="6"/>
      <c r="Z3771" s="6"/>
    </row>
    <row r="3772" customFormat="false" ht="15" hidden="false" customHeight="false" outlineLevel="0" collapsed="false">
      <c r="A3772" s="9" t="s">
        <v>9615</v>
      </c>
      <c r="B3772" s="9" t="s">
        <v>5870</v>
      </c>
      <c r="C3772" s="9" t="s">
        <v>4033</v>
      </c>
      <c r="D3772" s="9" t="s">
        <v>5871</v>
      </c>
      <c r="E3772" s="9" t="str">
        <f aca="false">IF(AND('Formation Ledger'!A3751&lt;&gt;"",'Formation Ledger'!V3751=0),"PASS","FAIL")</f>
        <v>PASS</v>
      </c>
      <c r="F3772" s="9" t="s">
        <v>76</v>
      </c>
      <c r="G3772" s="6"/>
      <c r="H3772" s="6"/>
      <c r="I3772" s="6"/>
      <c r="J3772" s="6"/>
      <c r="K3772" s="6"/>
      <c r="L3772" s="6"/>
      <c r="M3772" s="6"/>
      <c r="N3772" s="6"/>
      <c r="O3772" s="6"/>
      <c r="P3772" s="6"/>
      <c r="Q3772" s="6"/>
      <c r="R3772" s="6"/>
      <c r="S3772" s="6"/>
      <c r="T3772" s="6"/>
      <c r="U3772" s="6"/>
      <c r="V3772" s="6"/>
      <c r="W3772" s="6"/>
      <c r="X3772" s="6"/>
      <c r="Y3772" s="6"/>
      <c r="Z3772" s="6"/>
    </row>
    <row r="3773" customFormat="false" ht="15" hidden="false" customHeight="false" outlineLevel="0" collapsed="false">
      <c r="A3773" s="9" t="s">
        <v>9616</v>
      </c>
      <c r="B3773" s="9" t="s">
        <v>5870</v>
      </c>
      <c r="C3773" s="9" t="s">
        <v>4034</v>
      </c>
      <c r="D3773" s="9" t="s">
        <v>5871</v>
      </c>
      <c r="E3773" s="9" t="str">
        <f aca="false">IF(AND('Formation Ledger'!A3752&lt;&gt;"",'Formation Ledger'!V3752=0),"PASS","FAIL")</f>
        <v>PASS</v>
      </c>
      <c r="F3773" s="9" t="s">
        <v>76</v>
      </c>
      <c r="G3773" s="6"/>
      <c r="H3773" s="6"/>
      <c r="I3773" s="6"/>
      <c r="J3773" s="6"/>
      <c r="K3773" s="6"/>
      <c r="L3773" s="6"/>
      <c r="M3773" s="6"/>
      <c r="N3773" s="6"/>
      <c r="O3773" s="6"/>
      <c r="P3773" s="6"/>
      <c r="Q3773" s="6"/>
      <c r="R3773" s="6"/>
      <c r="S3773" s="6"/>
      <c r="T3773" s="6"/>
      <c r="U3773" s="6"/>
      <c r="V3773" s="6"/>
      <c r="W3773" s="6"/>
      <c r="X3773" s="6"/>
      <c r="Y3773" s="6"/>
      <c r="Z3773" s="6"/>
    </row>
    <row r="3774" customFormat="false" ht="15" hidden="false" customHeight="false" outlineLevel="0" collapsed="false">
      <c r="A3774" s="9" t="s">
        <v>9617</v>
      </c>
      <c r="B3774" s="9" t="s">
        <v>5870</v>
      </c>
      <c r="C3774" s="9" t="s">
        <v>4035</v>
      </c>
      <c r="D3774" s="9" t="s">
        <v>5871</v>
      </c>
      <c r="E3774" s="9" t="str">
        <f aca="false">IF(AND('Formation Ledger'!A3753&lt;&gt;"",'Formation Ledger'!V3753=0),"PASS","FAIL")</f>
        <v>PASS</v>
      </c>
      <c r="F3774" s="9" t="s">
        <v>76</v>
      </c>
      <c r="G3774" s="6"/>
      <c r="H3774" s="6"/>
      <c r="I3774" s="6"/>
      <c r="J3774" s="6"/>
      <c r="K3774" s="6"/>
      <c r="L3774" s="6"/>
      <c r="M3774" s="6"/>
      <c r="N3774" s="6"/>
      <c r="O3774" s="6"/>
      <c r="P3774" s="6"/>
      <c r="Q3774" s="6"/>
      <c r="R3774" s="6"/>
      <c r="S3774" s="6"/>
      <c r="T3774" s="6"/>
      <c r="U3774" s="6"/>
      <c r="V3774" s="6"/>
      <c r="W3774" s="6"/>
      <c r="X3774" s="6"/>
      <c r="Y3774" s="6"/>
      <c r="Z3774" s="6"/>
    </row>
    <row r="3775" customFormat="false" ht="15" hidden="false" customHeight="false" outlineLevel="0" collapsed="false">
      <c r="A3775" s="9" t="s">
        <v>9618</v>
      </c>
      <c r="B3775" s="9" t="s">
        <v>5870</v>
      </c>
      <c r="C3775" s="9" t="s">
        <v>4036</v>
      </c>
      <c r="D3775" s="9" t="s">
        <v>5871</v>
      </c>
      <c r="E3775" s="9" t="str">
        <f aca="false">IF(AND('Formation Ledger'!A3754&lt;&gt;"",'Formation Ledger'!V3754=0),"PASS","FAIL")</f>
        <v>PASS</v>
      </c>
      <c r="F3775" s="9" t="s">
        <v>76</v>
      </c>
      <c r="G3775" s="6"/>
      <c r="H3775" s="6"/>
      <c r="I3775" s="6"/>
      <c r="J3775" s="6"/>
      <c r="K3775" s="6"/>
      <c r="L3775" s="6"/>
      <c r="M3775" s="6"/>
      <c r="N3775" s="6"/>
      <c r="O3775" s="6"/>
      <c r="P3775" s="6"/>
      <c r="Q3775" s="6"/>
      <c r="R3775" s="6"/>
      <c r="S3775" s="6"/>
      <c r="T3775" s="6"/>
      <c r="U3775" s="6"/>
      <c r="V3775" s="6"/>
      <c r="W3775" s="6"/>
      <c r="X3775" s="6"/>
      <c r="Y3775" s="6"/>
      <c r="Z3775" s="6"/>
    </row>
    <row r="3776" customFormat="false" ht="15" hidden="false" customHeight="false" outlineLevel="0" collapsed="false">
      <c r="A3776" s="9" t="s">
        <v>9619</v>
      </c>
      <c r="B3776" s="9" t="s">
        <v>5870</v>
      </c>
      <c r="C3776" s="9" t="s">
        <v>4037</v>
      </c>
      <c r="D3776" s="9" t="s">
        <v>5871</v>
      </c>
      <c r="E3776" s="9" t="str">
        <f aca="false">IF(AND('Formation Ledger'!A3755&lt;&gt;"",'Formation Ledger'!V3755=0),"PASS","FAIL")</f>
        <v>PASS</v>
      </c>
      <c r="F3776" s="9" t="s">
        <v>76</v>
      </c>
      <c r="G3776" s="6"/>
      <c r="H3776" s="6"/>
      <c r="I3776" s="6"/>
      <c r="J3776" s="6"/>
      <c r="K3776" s="6"/>
      <c r="L3776" s="6"/>
      <c r="M3776" s="6"/>
      <c r="N3776" s="6"/>
      <c r="O3776" s="6"/>
      <c r="P3776" s="6"/>
      <c r="Q3776" s="6"/>
      <c r="R3776" s="6"/>
      <c r="S3776" s="6"/>
      <c r="T3776" s="6"/>
      <c r="U3776" s="6"/>
      <c r="V3776" s="6"/>
      <c r="W3776" s="6"/>
      <c r="X3776" s="6"/>
      <c r="Y3776" s="6"/>
      <c r="Z3776" s="6"/>
    </row>
    <row r="3777" customFormat="false" ht="15" hidden="false" customHeight="false" outlineLevel="0" collapsed="false">
      <c r="A3777" s="9" t="s">
        <v>9620</v>
      </c>
      <c r="B3777" s="9" t="s">
        <v>5870</v>
      </c>
      <c r="C3777" s="9" t="s">
        <v>4038</v>
      </c>
      <c r="D3777" s="9" t="s">
        <v>5871</v>
      </c>
      <c r="E3777" s="9" t="str">
        <f aca="false">IF(AND('Formation Ledger'!A3756&lt;&gt;"",'Formation Ledger'!V3756=0),"PASS","FAIL")</f>
        <v>PASS</v>
      </c>
      <c r="F3777" s="9" t="s">
        <v>76</v>
      </c>
      <c r="G3777" s="6"/>
      <c r="H3777" s="6"/>
      <c r="I3777" s="6"/>
      <c r="J3777" s="6"/>
      <c r="K3777" s="6"/>
      <c r="L3777" s="6"/>
      <c r="M3777" s="6"/>
      <c r="N3777" s="6"/>
      <c r="O3777" s="6"/>
      <c r="P3777" s="6"/>
      <c r="Q3777" s="6"/>
      <c r="R3777" s="6"/>
      <c r="S3777" s="6"/>
      <c r="T3777" s="6"/>
      <c r="U3777" s="6"/>
      <c r="V3777" s="6"/>
      <c r="W3777" s="6"/>
      <c r="X3777" s="6"/>
      <c r="Y3777" s="6"/>
      <c r="Z3777" s="6"/>
    </row>
    <row r="3778" customFormat="false" ht="15" hidden="false" customHeight="false" outlineLevel="0" collapsed="false">
      <c r="A3778" s="9" t="s">
        <v>9621</v>
      </c>
      <c r="B3778" s="9" t="s">
        <v>5870</v>
      </c>
      <c r="C3778" s="9" t="s">
        <v>4039</v>
      </c>
      <c r="D3778" s="9" t="s">
        <v>5871</v>
      </c>
      <c r="E3778" s="9" t="str">
        <f aca="false">IF(AND('Formation Ledger'!A3757&lt;&gt;"",'Formation Ledger'!V3757=0),"PASS","FAIL")</f>
        <v>PASS</v>
      </c>
      <c r="F3778" s="9" t="s">
        <v>76</v>
      </c>
      <c r="G3778" s="6"/>
      <c r="H3778" s="6"/>
      <c r="I3778" s="6"/>
      <c r="J3778" s="6"/>
      <c r="K3778" s="6"/>
      <c r="L3778" s="6"/>
      <c r="M3778" s="6"/>
      <c r="N3778" s="6"/>
      <c r="O3778" s="6"/>
      <c r="P3778" s="6"/>
      <c r="Q3778" s="6"/>
      <c r="R3778" s="6"/>
      <c r="S3778" s="6"/>
      <c r="T3778" s="6"/>
      <c r="U3778" s="6"/>
      <c r="V3778" s="6"/>
      <c r="W3778" s="6"/>
      <c r="X3778" s="6"/>
      <c r="Y3778" s="6"/>
      <c r="Z3778" s="6"/>
    </row>
    <row r="3779" customFormat="false" ht="15" hidden="false" customHeight="false" outlineLevel="0" collapsed="false">
      <c r="A3779" s="9" t="s">
        <v>9622</v>
      </c>
      <c r="B3779" s="9" t="s">
        <v>5870</v>
      </c>
      <c r="C3779" s="9" t="s">
        <v>4040</v>
      </c>
      <c r="D3779" s="9" t="s">
        <v>5871</v>
      </c>
      <c r="E3779" s="9" t="str">
        <f aca="false">IF(AND('Formation Ledger'!A3758&lt;&gt;"",'Formation Ledger'!V3758=0),"PASS","FAIL")</f>
        <v>PASS</v>
      </c>
      <c r="F3779" s="9" t="s">
        <v>76</v>
      </c>
      <c r="G3779" s="6"/>
      <c r="H3779" s="6"/>
      <c r="I3779" s="6"/>
      <c r="J3779" s="6"/>
      <c r="K3779" s="6"/>
      <c r="L3779" s="6"/>
      <c r="M3779" s="6"/>
      <c r="N3779" s="6"/>
      <c r="O3779" s="6"/>
      <c r="P3779" s="6"/>
      <c r="Q3779" s="6"/>
      <c r="R3779" s="6"/>
      <c r="S3779" s="6"/>
      <c r="T3779" s="6"/>
      <c r="U3779" s="6"/>
      <c r="V3779" s="6"/>
      <c r="W3779" s="6"/>
      <c r="X3779" s="6"/>
      <c r="Y3779" s="6"/>
      <c r="Z3779" s="6"/>
    </row>
    <row r="3780" customFormat="false" ht="15" hidden="false" customHeight="false" outlineLevel="0" collapsed="false">
      <c r="A3780" s="9" t="s">
        <v>9623</v>
      </c>
      <c r="B3780" s="9" t="s">
        <v>5870</v>
      </c>
      <c r="C3780" s="9" t="s">
        <v>4041</v>
      </c>
      <c r="D3780" s="9" t="s">
        <v>5871</v>
      </c>
      <c r="E3780" s="9" t="str">
        <f aca="false">IF(AND('Formation Ledger'!A3759&lt;&gt;"",'Formation Ledger'!V3759=0),"PASS","FAIL")</f>
        <v>PASS</v>
      </c>
      <c r="F3780" s="9" t="s">
        <v>76</v>
      </c>
      <c r="G3780" s="6"/>
      <c r="H3780" s="6"/>
      <c r="I3780" s="6"/>
      <c r="J3780" s="6"/>
      <c r="K3780" s="6"/>
      <c r="L3780" s="6"/>
      <c r="M3780" s="6"/>
      <c r="N3780" s="6"/>
      <c r="O3780" s="6"/>
      <c r="P3780" s="6"/>
      <c r="Q3780" s="6"/>
      <c r="R3780" s="6"/>
      <c r="S3780" s="6"/>
      <c r="T3780" s="6"/>
      <c r="U3780" s="6"/>
      <c r="V3780" s="6"/>
      <c r="W3780" s="6"/>
      <c r="X3780" s="6"/>
      <c r="Y3780" s="6"/>
      <c r="Z3780" s="6"/>
    </row>
    <row r="3781" customFormat="false" ht="15" hidden="false" customHeight="false" outlineLevel="0" collapsed="false">
      <c r="A3781" s="9" t="s">
        <v>9624</v>
      </c>
      <c r="B3781" s="9" t="s">
        <v>5870</v>
      </c>
      <c r="C3781" s="9" t="s">
        <v>4042</v>
      </c>
      <c r="D3781" s="9" t="s">
        <v>5871</v>
      </c>
      <c r="E3781" s="9" t="str">
        <f aca="false">IF(AND('Formation Ledger'!A3760&lt;&gt;"",'Formation Ledger'!V3760=0),"PASS","FAIL")</f>
        <v>PASS</v>
      </c>
      <c r="F3781" s="9" t="s">
        <v>76</v>
      </c>
      <c r="G3781" s="6"/>
      <c r="H3781" s="6"/>
      <c r="I3781" s="6"/>
      <c r="J3781" s="6"/>
      <c r="K3781" s="6"/>
      <c r="L3781" s="6"/>
      <c r="M3781" s="6"/>
      <c r="N3781" s="6"/>
      <c r="O3781" s="6"/>
      <c r="P3781" s="6"/>
      <c r="Q3781" s="6"/>
      <c r="R3781" s="6"/>
      <c r="S3781" s="6"/>
      <c r="T3781" s="6"/>
      <c r="U3781" s="6"/>
      <c r="V3781" s="6"/>
      <c r="W3781" s="6"/>
      <c r="X3781" s="6"/>
      <c r="Y3781" s="6"/>
      <c r="Z3781" s="6"/>
    </row>
    <row r="3782" customFormat="false" ht="15" hidden="false" customHeight="false" outlineLevel="0" collapsed="false">
      <c r="A3782" s="9" t="s">
        <v>9625</v>
      </c>
      <c r="B3782" s="9" t="s">
        <v>5870</v>
      </c>
      <c r="C3782" s="9" t="s">
        <v>4043</v>
      </c>
      <c r="D3782" s="9" t="s">
        <v>5871</v>
      </c>
      <c r="E3782" s="9" t="str">
        <f aca="false">IF(AND('Formation Ledger'!A3761&lt;&gt;"",'Formation Ledger'!V3761=0),"PASS","FAIL")</f>
        <v>PASS</v>
      </c>
      <c r="F3782" s="9" t="s">
        <v>76</v>
      </c>
      <c r="G3782" s="6"/>
      <c r="H3782" s="6"/>
      <c r="I3782" s="6"/>
      <c r="J3782" s="6"/>
      <c r="K3782" s="6"/>
      <c r="L3782" s="6"/>
      <c r="M3782" s="6"/>
      <c r="N3782" s="6"/>
      <c r="O3782" s="6"/>
      <c r="P3782" s="6"/>
      <c r="Q3782" s="6"/>
      <c r="R3782" s="6"/>
      <c r="S3782" s="6"/>
      <c r="T3782" s="6"/>
      <c r="U3782" s="6"/>
      <c r="V3782" s="6"/>
      <c r="W3782" s="6"/>
      <c r="X3782" s="6"/>
      <c r="Y3782" s="6"/>
      <c r="Z3782" s="6"/>
    </row>
    <row r="3783" customFormat="false" ht="15" hidden="false" customHeight="false" outlineLevel="0" collapsed="false">
      <c r="A3783" s="9" t="s">
        <v>9626</v>
      </c>
      <c r="B3783" s="9" t="s">
        <v>5870</v>
      </c>
      <c r="C3783" s="9" t="s">
        <v>4044</v>
      </c>
      <c r="D3783" s="9" t="s">
        <v>5871</v>
      </c>
      <c r="E3783" s="9" t="str">
        <f aca="false">IF(AND('Formation Ledger'!A3762&lt;&gt;"",'Formation Ledger'!V3762=0),"PASS","FAIL")</f>
        <v>PASS</v>
      </c>
      <c r="F3783" s="9" t="s">
        <v>76</v>
      </c>
      <c r="G3783" s="6"/>
      <c r="H3783" s="6"/>
      <c r="I3783" s="6"/>
      <c r="J3783" s="6"/>
      <c r="K3783" s="6"/>
      <c r="L3783" s="6"/>
      <c r="M3783" s="6"/>
      <c r="N3783" s="6"/>
      <c r="O3783" s="6"/>
      <c r="P3783" s="6"/>
      <c r="Q3783" s="6"/>
      <c r="R3783" s="6"/>
      <c r="S3783" s="6"/>
      <c r="T3783" s="6"/>
      <c r="U3783" s="6"/>
      <c r="V3783" s="6"/>
      <c r="W3783" s="6"/>
      <c r="X3783" s="6"/>
      <c r="Y3783" s="6"/>
      <c r="Z3783" s="6"/>
    </row>
    <row r="3784" customFormat="false" ht="15" hidden="false" customHeight="false" outlineLevel="0" collapsed="false">
      <c r="A3784" s="9" t="s">
        <v>9627</v>
      </c>
      <c r="B3784" s="9" t="s">
        <v>5870</v>
      </c>
      <c r="C3784" s="9" t="s">
        <v>4045</v>
      </c>
      <c r="D3784" s="9" t="s">
        <v>5871</v>
      </c>
      <c r="E3784" s="9" t="str">
        <f aca="false">IF(AND('Formation Ledger'!A3763&lt;&gt;"",'Formation Ledger'!V3763=0),"PASS","FAIL")</f>
        <v>PASS</v>
      </c>
      <c r="F3784" s="9" t="s">
        <v>76</v>
      </c>
      <c r="G3784" s="6"/>
      <c r="H3784" s="6"/>
      <c r="I3784" s="6"/>
      <c r="J3784" s="6"/>
      <c r="K3784" s="6"/>
      <c r="L3784" s="6"/>
      <c r="M3784" s="6"/>
      <c r="N3784" s="6"/>
      <c r="O3784" s="6"/>
      <c r="P3784" s="6"/>
      <c r="Q3784" s="6"/>
      <c r="R3784" s="6"/>
      <c r="S3784" s="6"/>
      <c r="T3784" s="6"/>
      <c r="U3784" s="6"/>
      <c r="V3784" s="6"/>
      <c r="W3784" s="6"/>
      <c r="X3784" s="6"/>
      <c r="Y3784" s="6"/>
      <c r="Z3784" s="6"/>
    </row>
    <row r="3785" customFormat="false" ht="15" hidden="false" customHeight="false" outlineLevel="0" collapsed="false">
      <c r="A3785" s="9" t="s">
        <v>9628</v>
      </c>
      <c r="B3785" s="9" t="s">
        <v>5870</v>
      </c>
      <c r="C3785" s="9" t="s">
        <v>4046</v>
      </c>
      <c r="D3785" s="9" t="s">
        <v>5871</v>
      </c>
      <c r="E3785" s="9" t="str">
        <f aca="false">IF(AND('Formation Ledger'!A3764&lt;&gt;"",'Formation Ledger'!V3764=0),"PASS","FAIL")</f>
        <v>PASS</v>
      </c>
      <c r="F3785" s="9" t="s">
        <v>76</v>
      </c>
      <c r="G3785" s="6"/>
      <c r="H3785" s="6"/>
      <c r="I3785" s="6"/>
      <c r="J3785" s="6"/>
      <c r="K3785" s="6"/>
      <c r="L3785" s="6"/>
      <c r="M3785" s="6"/>
      <c r="N3785" s="6"/>
      <c r="O3785" s="6"/>
      <c r="P3785" s="6"/>
      <c r="Q3785" s="6"/>
      <c r="R3785" s="6"/>
      <c r="S3785" s="6"/>
      <c r="T3785" s="6"/>
      <c r="U3785" s="6"/>
      <c r="V3785" s="6"/>
      <c r="W3785" s="6"/>
      <c r="X3785" s="6"/>
      <c r="Y3785" s="6"/>
      <c r="Z3785" s="6"/>
    </row>
    <row r="3786" customFormat="false" ht="15" hidden="false" customHeight="false" outlineLevel="0" collapsed="false">
      <c r="A3786" s="9" t="s">
        <v>9629</v>
      </c>
      <c r="B3786" s="9" t="s">
        <v>5870</v>
      </c>
      <c r="C3786" s="9" t="s">
        <v>4047</v>
      </c>
      <c r="D3786" s="9" t="s">
        <v>5871</v>
      </c>
      <c r="E3786" s="9" t="str">
        <f aca="false">IF(AND('Formation Ledger'!A3765&lt;&gt;"",'Formation Ledger'!V3765=0),"PASS","FAIL")</f>
        <v>PASS</v>
      </c>
      <c r="F3786" s="9" t="s">
        <v>76</v>
      </c>
      <c r="G3786" s="6"/>
      <c r="H3786" s="6"/>
      <c r="I3786" s="6"/>
      <c r="J3786" s="6"/>
      <c r="K3786" s="6"/>
      <c r="L3786" s="6"/>
      <c r="M3786" s="6"/>
      <c r="N3786" s="6"/>
      <c r="O3786" s="6"/>
      <c r="P3786" s="6"/>
      <c r="Q3786" s="6"/>
      <c r="R3786" s="6"/>
      <c r="S3786" s="6"/>
      <c r="T3786" s="6"/>
      <c r="U3786" s="6"/>
      <c r="V3786" s="6"/>
      <c r="W3786" s="6"/>
      <c r="X3786" s="6"/>
      <c r="Y3786" s="6"/>
      <c r="Z3786" s="6"/>
    </row>
    <row r="3787" customFormat="false" ht="15" hidden="false" customHeight="false" outlineLevel="0" collapsed="false">
      <c r="A3787" s="9" t="s">
        <v>9630</v>
      </c>
      <c r="B3787" s="9" t="s">
        <v>5870</v>
      </c>
      <c r="C3787" s="9" t="s">
        <v>4048</v>
      </c>
      <c r="D3787" s="9" t="s">
        <v>5871</v>
      </c>
      <c r="E3787" s="9" t="str">
        <f aca="false">IF(AND('Formation Ledger'!A3766&lt;&gt;"",'Formation Ledger'!V3766=0),"PASS","FAIL")</f>
        <v>PASS</v>
      </c>
      <c r="F3787" s="9" t="s">
        <v>76</v>
      </c>
      <c r="G3787" s="6"/>
      <c r="H3787" s="6"/>
      <c r="I3787" s="6"/>
      <c r="J3787" s="6"/>
      <c r="K3787" s="6"/>
      <c r="L3787" s="6"/>
      <c r="M3787" s="6"/>
      <c r="N3787" s="6"/>
      <c r="O3787" s="6"/>
      <c r="P3787" s="6"/>
      <c r="Q3787" s="6"/>
      <c r="R3787" s="6"/>
      <c r="S3787" s="6"/>
      <c r="T3787" s="6"/>
      <c r="U3787" s="6"/>
      <c r="V3787" s="6"/>
      <c r="W3787" s="6"/>
      <c r="X3787" s="6"/>
      <c r="Y3787" s="6"/>
      <c r="Z3787" s="6"/>
    </row>
    <row r="3788" customFormat="false" ht="15" hidden="false" customHeight="false" outlineLevel="0" collapsed="false">
      <c r="A3788" s="9" t="s">
        <v>9631</v>
      </c>
      <c r="B3788" s="9" t="s">
        <v>5870</v>
      </c>
      <c r="C3788" s="9" t="s">
        <v>4049</v>
      </c>
      <c r="D3788" s="9" t="s">
        <v>5871</v>
      </c>
      <c r="E3788" s="9" t="str">
        <f aca="false">IF(AND('Formation Ledger'!A3767&lt;&gt;"",'Formation Ledger'!V3767=0),"PASS","FAIL")</f>
        <v>PASS</v>
      </c>
      <c r="F3788" s="9" t="s">
        <v>76</v>
      </c>
      <c r="G3788" s="6"/>
      <c r="H3788" s="6"/>
      <c r="I3788" s="6"/>
      <c r="J3788" s="6"/>
      <c r="K3788" s="6"/>
      <c r="L3788" s="6"/>
      <c r="M3788" s="6"/>
      <c r="N3788" s="6"/>
      <c r="O3788" s="6"/>
      <c r="P3788" s="6"/>
      <c r="Q3788" s="6"/>
      <c r="R3788" s="6"/>
      <c r="S3788" s="6"/>
      <c r="T3788" s="6"/>
      <c r="U3788" s="6"/>
      <c r="V3788" s="6"/>
      <c r="W3788" s="6"/>
      <c r="X3788" s="6"/>
      <c r="Y3788" s="6"/>
      <c r="Z3788" s="6"/>
    </row>
    <row r="3789" customFormat="false" ht="15" hidden="false" customHeight="false" outlineLevel="0" collapsed="false">
      <c r="A3789" s="9" t="s">
        <v>9632</v>
      </c>
      <c r="B3789" s="9" t="s">
        <v>5870</v>
      </c>
      <c r="C3789" s="9" t="s">
        <v>4050</v>
      </c>
      <c r="D3789" s="9" t="s">
        <v>5871</v>
      </c>
      <c r="E3789" s="9" t="str">
        <f aca="false">IF(AND('Formation Ledger'!A3768&lt;&gt;"",'Formation Ledger'!V3768=0),"PASS","FAIL")</f>
        <v>PASS</v>
      </c>
      <c r="F3789" s="9" t="s">
        <v>76</v>
      </c>
      <c r="G3789" s="6"/>
      <c r="H3789" s="6"/>
      <c r="I3789" s="6"/>
      <c r="J3789" s="6"/>
      <c r="K3789" s="6"/>
      <c r="L3789" s="6"/>
      <c r="M3789" s="6"/>
      <c r="N3789" s="6"/>
      <c r="O3789" s="6"/>
      <c r="P3789" s="6"/>
      <c r="Q3789" s="6"/>
      <c r="R3789" s="6"/>
      <c r="S3789" s="6"/>
      <c r="T3789" s="6"/>
      <c r="U3789" s="6"/>
      <c r="V3789" s="6"/>
      <c r="W3789" s="6"/>
      <c r="X3789" s="6"/>
      <c r="Y3789" s="6"/>
      <c r="Z3789" s="6"/>
    </row>
    <row r="3790" customFormat="false" ht="15" hidden="false" customHeight="false" outlineLevel="0" collapsed="false">
      <c r="A3790" s="9" t="s">
        <v>9633</v>
      </c>
      <c r="B3790" s="9" t="s">
        <v>5870</v>
      </c>
      <c r="C3790" s="9" t="s">
        <v>4051</v>
      </c>
      <c r="D3790" s="9" t="s">
        <v>5871</v>
      </c>
      <c r="E3790" s="9" t="str">
        <f aca="false">IF(AND('Formation Ledger'!A3769&lt;&gt;"",'Formation Ledger'!V3769=0),"PASS","FAIL")</f>
        <v>PASS</v>
      </c>
      <c r="F3790" s="9" t="s">
        <v>76</v>
      </c>
      <c r="G3790" s="6"/>
      <c r="H3790" s="6"/>
      <c r="I3790" s="6"/>
      <c r="J3790" s="6"/>
      <c r="K3790" s="6"/>
      <c r="L3790" s="6"/>
      <c r="M3790" s="6"/>
      <c r="N3790" s="6"/>
      <c r="O3790" s="6"/>
      <c r="P3790" s="6"/>
      <c r="Q3790" s="6"/>
      <c r="R3790" s="6"/>
      <c r="S3790" s="6"/>
      <c r="T3790" s="6"/>
      <c r="U3790" s="6"/>
      <c r="V3790" s="6"/>
      <c r="W3790" s="6"/>
      <c r="X3790" s="6"/>
      <c r="Y3790" s="6"/>
      <c r="Z3790" s="6"/>
    </row>
    <row r="3791" customFormat="false" ht="15" hidden="false" customHeight="false" outlineLevel="0" collapsed="false">
      <c r="A3791" s="9" t="s">
        <v>9634</v>
      </c>
      <c r="B3791" s="9" t="s">
        <v>5870</v>
      </c>
      <c r="C3791" s="9" t="s">
        <v>4052</v>
      </c>
      <c r="D3791" s="9" t="s">
        <v>5871</v>
      </c>
      <c r="E3791" s="9" t="str">
        <f aca="false">IF(AND('Formation Ledger'!A3770&lt;&gt;"",'Formation Ledger'!V3770=0),"PASS","FAIL")</f>
        <v>PASS</v>
      </c>
      <c r="F3791" s="9" t="s">
        <v>76</v>
      </c>
      <c r="G3791" s="6"/>
      <c r="H3791" s="6"/>
      <c r="I3791" s="6"/>
      <c r="J3791" s="6"/>
      <c r="K3791" s="6"/>
      <c r="L3791" s="6"/>
      <c r="M3791" s="6"/>
      <c r="N3791" s="6"/>
      <c r="O3791" s="6"/>
      <c r="P3791" s="6"/>
      <c r="Q3791" s="6"/>
      <c r="R3791" s="6"/>
      <c r="S3791" s="6"/>
      <c r="T3791" s="6"/>
      <c r="U3791" s="6"/>
      <c r="V3791" s="6"/>
      <c r="W3791" s="6"/>
      <c r="X3791" s="6"/>
      <c r="Y3791" s="6"/>
      <c r="Z3791" s="6"/>
    </row>
    <row r="3792" customFormat="false" ht="15" hidden="false" customHeight="false" outlineLevel="0" collapsed="false">
      <c r="A3792" s="9" t="s">
        <v>9635</v>
      </c>
      <c r="B3792" s="9" t="s">
        <v>5870</v>
      </c>
      <c r="C3792" s="9" t="s">
        <v>4053</v>
      </c>
      <c r="D3792" s="9" t="s">
        <v>5871</v>
      </c>
      <c r="E3792" s="9" t="str">
        <f aca="false">IF(AND('Formation Ledger'!A3771&lt;&gt;"",'Formation Ledger'!V3771=0),"PASS","FAIL")</f>
        <v>PASS</v>
      </c>
      <c r="F3792" s="9" t="s">
        <v>76</v>
      </c>
      <c r="G3792" s="6"/>
      <c r="H3792" s="6"/>
      <c r="I3792" s="6"/>
      <c r="J3792" s="6"/>
      <c r="K3792" s="6"/>
      <c r="L3792" s="6"/>
      <c r="M3792" s="6"/>
      <c r="N3792" s="6"/>
      <c r="O3792" s="6"/>
      <c r="P3792" s="6"/>
      <c r="Q3792" s="6"/>
      <c r="R3792" s="6"/>
      <c r="S3792" s="6"/>
      <c r="T3792" s="6"/>
      <c r="U3792" s="6"/>
      <c r="V3792" s="6"/>
      <c r="W3792" s="6"/>
      <c r="X3792" s="6"/>
      <c r="Y3792" s="6"/>
      <c r="Z3792" s="6"/>
    </row>
    <row r="3793" customFormat="false" ht="15" hidden="false" customHeight="false" outlineLevel="0" collapsed="false">
      <c r="A3793" s="9" t="s">
        <v>9636</v>
      </c>
      <c r="B3793" s="9" t="s">
        <v>5870</v>
      </c>
      <c r="C3793" s="9" t="s">
        <v>4054</v>
      </c>
      <c r="D3793" s="9" t="s">
        <v>5871</v>
      </c>
      <c r="E3793" s="9" t="str">
        <f aca="false">IF(AND('Formation Ledger'!A3772&lt;&gt;"",'Formation Ledger'!V3772=0),"PASS","FAIL")</f>
        <v>PASS</v>
      </c>
      <c r="F3793" s="9" t="s">
        <v>76</v>
      </c>
      <c r="G3793" s="6"/>
      <c r="H3793" s="6"/>
      <c r="I3793" s="6"/>
      <c r="J3793" s="6"/>
      <c r="K3793" s="6"/>
      <c r="L3793" s="6"/>
      <c r="M3793" s="6"/>
      <c r="N3793" s="6"/>
      <c r="O3793" s="6"/>
      <c r="P3793" s="6"/>
      <c r="Q3793" s="6"/>
      <c r="R3793" s="6"/>
      <c r="S3793" s="6"/>
      <c r="T3793" s="6"/>
      <c r="U3793" s="6"/>
      <c r="V3793" s="6"/>
      <c r="W3793" s="6"/>
      <c r="X3793" s="6"/>
      <c r="Y3793" s="6"/>
      <c r="Z3793" s="6"/>
    </row>
    <row r="3794" customFormat="false" ht="15" hidden="false" customHeight="false" outlineLevel="0" collapsed="false">
      <c r="A3794" s="9" t="s">
        <v>9637</v>
      </c>
      <c r="B3794" s="9" t="s">
        <v>5870</v>
      </c>
      <c r="C3794" s="9" t="s">
        <v>4055</v>
      </c>
      <c r="D3794" s="9" t="s">
        <v>5871</v>
      </c>
      <c r="E3794" s="9" t="str">
        <f aca="false">IF(AND('Formation Ledger'!A3773&lt;&gt;"",'Formation Ledger'!V3773=0),"PASS","FAIL")</f>
        <v>PASS</v>
      </c>
      <c r="F3794" s="9" t="s">
        <v>76</v>
      </c>
      <c r="G3794" s="6"/>
      <c r="H3794" s="6"/>
      <c r="I3794" s="6"/>
      <c r="J3794" s="6"/>
      <c r="K3794" s="6"/>
      <c r="L3794" s="6"/>
      <c r="M3794" s="6"/>
      <c r="N3794" s="6"/>
      <c r="O3794" s="6"/>
      <c r="P3794" s="6"/>
      <c r="Q3794" s="6"/>
      <c r="R3794" s="6"/>
      <c r="S3794" s="6"/>
      <c r="T3794" s="6"/>
      <c r="U3794" s="6"/>
      <c r="V3794" s="6"/>
      <c r="W3794" s="6"/>
      <c r="X3794" s="6"/>
      <c r="Y3794" s="6"/>
      <c r="Z3794" s="6"/>
    </row>
    <row r="3795" customFormat="false" ht="15" hidden="false" customHeight="false" outlineLevel="0" collapsed="false">
      <c r="A3795" s="9" t="s">
        <v>9638</v>
      </c>
      <c r="B3795" s="9" t="s">
        <v>5870</v>
      </c>
      <c r="C3795" s="9" t="s">
        <v>4056</v>
      </c>
      <c r="D3795" s="9" t="s">
        <v>5871</v>
      </c>
      <c r="E3795" s="9" t="str">
        <f aca="false">IF(AND('Formation Ledger'!A3774&lt;&gt;"",'Formation Ledger'!V3774=0),"PASS","FAIL")</f>
        <v>PASS</v>
      </c>
      <c r="F3795" s="9" t="s">
        <v>76</v>
      </c>
      <c r="G3795" s="6"/>
      <c r="H3795" s="6"/>
      <c r="I3795" s="6"/>
      <c r="J3795" s="6"/>
      <c r="K3795" s="6"/>
      <c r="L3795" s="6"/>
      <c r="M3795" s="6"/>
      <c r="N3795" s="6"/>
      <c r="O3795" s="6"/>
      <c r="P3795" s="6"/>
      <c r="Q3795" s="6"/>
      <c r="R3795" s="6"/>
      <c r="S3795" s="6"/>
      <c r="T3795" s="6"/>
      <c r="U3795" s="6"/>
      <c r="V3795" s="6"/>
      <c r="W3795" s="6"/>
      <c r="X3795" s="6"/>
      <c r="Y3795" s="6"/>
      <c r="Z3795" s="6"/>
    </row>
    <row r="3796" customFormat="false" ht="15" hidden="false" customHeight="false" outlineLevel="0" collapsed="false">
      <c r="A3796" s="9" t="s">
        <v>9639</v>
      </c>
      <c r="B3796" s="9" t="s">
        <v>5870</v>
      </c>
      <c r="C3796" s="9" t="s">
        <v>4057</v>
      </c>
      <c r="D3796" s="9" t="s">
        <v>5871</v>
      </c>
      <c r="E3796" s="9" t="str">
        <f aca="false">IF(AND('Formation Ledger'!A3775&lt;&gt;"",'Formation Ledger'!V3775=0),"PASS","FAIL")</f>
        <v>PASS</v>
      </c>
      <c r="F3796" s="9" t="s">
        <v>76</v>
      </c>
      <c r="G3796" s="6"/>
      <c r="H3796" s="6"/>
      <c r="I3796" s="6"/>
      <c r="J3796" s="6"/>
      <c r="K3796" s="6"/>
      <c r="L3796" s="6"/>
      <c r="M3796" s="6"/>
      <c r="N3796" s="6"/>
      <c r="O3796" s="6"/>
      <c r="P3796" s="6"/>
      <c r="Q3796" s="6"/>
      <c r="R3796" s="6"/>
      <c r="S3796" s="6"/>
      <c r="T3796" s="6"/>
      <c r="U3796" s="6"/>
      <c r="V3796" s="6"/>
      <c r="W3796" s="6"/>
      <c r="X3796" s="6"/>
      <c r="Y3796" s="6"/>
      <c r="Z3796" s="6"/>
    </row>
    <row r="3797" customFormat="false" ht="15" hidden="false" customHeight="false" outlineLevel="0" collapsed="false">
      <c r="A3797" s="9" t="s">
        <v>9640</v>
      </c>
      <c r="B3797" s="9" t="s">
        <v>5870</v>
      </c>
      <c r="C3797" s="9" t="s">
        <v>4058</v>
      </c>
      <c r="D3797" s="9" t="s">
        <v>5871</v>
      </c>
      <c r="E3797" s="9" t="str">
        <f aca="false">IF(AND('Formation Ledger'!A3776&lt;&gt;"",'Formation Ledger'!V3776=0),"PASS","FAIL")</f>
        <v>PASS</v>
      </c>
      <c r="F3797" s="9" t="s">
        <v>76</v>
      </c>
      <c r="G3797" s="6"/>
      <c r="H3797" s="6"/>
      <c r="I3797" s="6"/>
      <c r="J3797" s="6"/>
      <c r="K3797" s="6"/>
      <c r="L3797" s="6"/>
      <c r="M3797" s="6"/>
      <c r="N3797" s="6"/>
      <c r="O3797" s="6"/>
      <c r="P3797" s="6"/>
      <c r="Q3797" s="6"/>
      <c r="R3797" s="6"/>
      <c r="S3797" s="6"/>
      <c r="T3797" s="6"/>
      <c r="U3797" s="6"/>
      <c r="V3797" s="6"/>
      <c r="W3797" s="6"/>
      <c r="X3797" s="6"/>
      <c r="Y3797" s="6"/>
      <c r="Z3797" s="6"/>
    </row>
    <row r="3798" customFormat="false" ht="15" hidden="false" customHeight="false" outlineLevel="0" collapsed="false">
      <c r="A3798" s="9" t="s">
        <v>9641</v>
      </c>
      <c r="B3798" s="9" t="s">
        <v>5870</v>
      </c>
      <c r="C3798" s="9" t="s">
        <v>4059</v>
      </c>
      <c r="D3798" s="9" t="s">
        <v>5871</v>
      </c>
      <c r="E3798" s="9" t="str">
        <f aca="false">IF(AND('Formation Ledger'!A3777&lt;&gt;"",'Formation Ledger'!V3777=0),"PASS","FAIL")</f>
        <v>PASS</v>
      </c>
      <c r="F3798" s="9" t="s">
        <v>76</v>
      </c>
      <c r="G3798" s="6"/>
      <c r="H3798" s="6"/>
      <c r="I3798" s="6"/>
      <c r="J3798" s="6"/>
      <c r="K3798" s="6"/>
      <c r="L3798" s="6"/>
      <c r="M3798" s="6"/>
      <c r="N3798" s="6"/>
      <c r="O3798" s="6"/>
      <c r="P3798" s="6"/>
      <c r="Q3798" s="6"/>
      <c r="R3798" s="6"/>
      <c r="S3798" s="6"/>
      <c r="T3798" s="6"/>
      <c r="U3798" s="6"/>
      <c r="V3798" s="6"/>
      <c r="W3798" s="6"/>
      <c r="X3798" s="6"/>
      <c r="Y3798" s="6"/>
      <c r="Z3798" s="6"/>
    </row>
    <row r="3799" customFormat="false" ht="15" hidden="false" customHeight="false" outlineLevel="0" collapsed="false">
      <c r="A3799" s="9" t="s">
        <v>9642</v>
      </c>
      <c r="B3799" s="9" t="s">
        <v>5870</v>
      </c>
      <c r="C3799" s="9" t="s">
        <v>4060</v>
      </c>
      <c r="D3799" s="9" t="s">
        <v>5871</v>
      </c>
      <c r="E3799" s="9" t="str">
        <f aca="false">IF(AND('Formation Ledger'!A3778&lt;&gt;"",'Formation Ledger'!V3778=0),"PASS","FAIL")</f>
        <v>PASS</v>
      </c>
      <c r="F3799" s="9" t="s">
        <v>76</v>
      </c>
      <c r="G3799" s="6"/>
      <c r="H3799" s="6"/>
      <c r="I3799" s="6"/>
      <c r="J3799" s="6"/>
      <c r="K3799" s="6"/>
      <c r="L3799" s="6"/>
      <c r="M3799" s="6"/>
      <c r="N3799" s="6"/>
      <c r="O3799" s="6"/>
      <c r="P3799" s="6"/>
      <c r="Q3799" s="6"/>
      <c r="R3799" s="6"/>
      <c r="S3799" s="6"/>
      <c r="T3799" s="6"/>
      <c r="U3799" s="6"/>
      <c r="V3799" s="6"/>
      <c r="W3799" s="6"/>
      <c r="X3799" s="6"/>
      <c r="Y3799" s="6"/>
      <c r="Z3799" s="6"/>
    </row>
    <row r="3800" customFormat="false" ht="15" hidden="false" customHeight="false" outlineLevel="0" collapsed="false">
      <c r="A3800" s="9" t="s">
        <v>9643</v>
      </c>
      <c r="B3800" s="9" t="s">
        <v>5870</v>
      </c>
      <c r="C3800" s="9" t="s">
        <v>4061</v>
      </c>
      <c r="D3800" s="9" t="s">
        <v>5871</v>
      </c>
      <c r="E3800" s="9" t="str">
        <f aca="false">IF(AND('Formation Ledger'!A3779&lt;&gt;"",'Formation Ledger'!V3779=0),"PASS","FAIL")</f>
        <v>PASS</v>
      </c>
      <c r="F3800" s="9" t="s">
        <v>76</v>
      </c>
      <c r="G3800" s="6"/>
      <c r="H3800" s="6"/>
      <c r="I3800" s="6"/>
      <c r="J3800" s="6"/>
      <c r="K3800" s="6"/>
      <c r="L3800" s="6"/>
      <c r="M3800" s="6"/>
      <c r="N3800" s="6"/>
      <c r="O3800" s="6"/>
      <c r="P3800" s="6"/>
      <c r="Q3800" s="6"/>
      <c r="R3800" s="6"/>
      <c r="S3800" s="6"/>
      <c r="T3800" s="6"/>
      <c r="U3800" s="6"/>
      <c r="V3800" s="6"/>
      <c r="W3800" s="6"/>
      <c r="X3800" s="6"/>
      <c r="Y3800" s="6"/>
      <c r="Z3800" s="6"/>
    </row>
    <row r="3801" customFormat="false" ht="15" hidden="false" customHeight="false" outlineLevel="0" collapsed="false">
      <c r="A3801" s="9" t="s">
        <v>9644</v>
      </c>
      <c r="B3801" s="9" t="s">
        <v>5870</v>
      </c>
      <c r="C3801" s="9" t="s">
        <v>4062</v>
      </c>
      <c r="D3801" s="9" t="s">
        <v>5871</v>
      </c>
      <c r="E3801" s="9" t="str">
        <f aca="false">IF(AND('Formation Ledger'!A3780&lt;&gt;"",'Formation Ledger'!V3780=0),"PASS","FAIL")</f>
        <v>PASS</v>
      </c>
      <c r="F3801" s="9" t="s">
        <v>76</v>
      </c>
      <c r="G3801" s="6"/>
      <c r="H3801" s="6"/>
      <c r="I3801" s="6"/>
      <c r="J3801" s="6"/>
      <c r="K3801" s="6"/>
      <c r="L3801" s="6"/>
      <c r="M3801" s="6"/>
      <c r="N3801" s="6"/>
      <c r="O3801" s="6"/>
      <c r="P3801" s="6"/>
      <c r="Q3801" s="6"/>
      <c r="R3801" s="6"/>
      <c r="S3801" s="6"/>
      <c r="T3801" s="6"/>
      <c r="U3801" s="6"/>
      <c r="V3801" s="6"/>
      <c r="W3801" s="6"/>
      <c r="X3801" s="6"/>
      <c r="Y3801" s="6"/>
      <c r="Z3801" s="6"/>
    </row>
    <row r="3802" customFormat="false" ht="15" hidden="false" customHeight="false" outlineLevel="0" collapsed="false">
      <c r="A3802" s="9" t="s">
        <v>9645</v>
      </c>
      <c r="B3802" s="9" t="s">
        <v>5870</v>
      </c>
      <c r="C3802" s="9" t="s">
        <v>4063</v>
      </c>
      <c r="D3802" s="9" t="s">
        <v>5871</v>
      </c>
      <c r="E3802" s="9" t="str">
        <f aca="false">IF(AND('Formation Ledger'!A3781&lt;&gt;"",'Formation Ledger'!V3781=0),"PASS","FAIL")</f>
        <v>PASS</v>
      </c>
      <c r="F3802" s="9" t="s">
        <v>76</v>
      </c>
      <c r="G3802" s="6"/>
      <c r="H3802" s="6"/>
      <c r="I3802" s="6"/>
      <c r="J3802" s="6"/>
      <c r="K3802" s="6"/>
      <c r="L3802" s="6"/>
      <c r="M3802" s="6"/>
      <c r="N3802" s="6"/>
      <c r="O3802" s="6"/>
      <c r="P3802" s="6"/>
      <c r="Q3802" s="6"/>
      <c r="R3802" s="6"/>
      <c r="S3802" s="6"/>
      <c r="T3802" s="6"/>
      <c r="U3802" s="6"/>
      <c r="V3802" s="6"/>
      <c r="W3802" s="6"/>
      <c r="X3802" s="6"/>
      <c r="Y3802" s="6"/>
      <c r="Z3802" s="6"/>
    </row>
    <row r="3803" customFormat="false" ht="15" hidden="false" customHeight="false" outlineLevel="0" collapsed="false">
      <c r="A3803" s="9" t="s">
        <v>9646</v>
      </c>
      <c r="B3803" s="9" t="s">
        <v>5870</v>
      </c>
      <c r="C3803" s="9" t="s">
        <v>4064</v>
      </c>
      <c r="D3803" s="9" t="s">
        <v>5871</v>
      </c>
      <c r="E3803" s="9" t="str">
        <f aca="false">IF(AND('Formation Ledger'!A3782&lt;&gt;"",'Formation Ledger'!V3782=0),"PASS","FAIL")</f>
        <v>PASS</v>
      </c>
      <c r="F3803" s="9" t="s">
        <v>76</v>
      </c>
      <c r="G3803" s="6"/>
      <c r="H3803" s="6"/>
      <c r="I3803" s="6"/>
      <c r="J3803" s="6"/>
      <c r="K3803" s="6"/>
      <c r="L3803" s="6"/>
      <c r="M3803" s="6"/>
      <c r="N3803" s="6"/>
      <c r="O3803" s="6"/>
      <c r="P3803" s="6"/>
      <c r="Q3803" s="6"/>
      <c r="R3803" s="6"/>
      <c r="S3803" s="6"/>
      <c r="T3803" s="6"/>
      <c r="U3803" s="6"/>
      <c r="V3803" s="6"/>
      <c r="W3803" s="6"/>
      <c r="X3803" s="6"/>
      <c r="Y3803" s="6"/>
      <c r="Z3803" s="6"/>
    </row>
    <row r="3804" customFormat="false" ht="15" hidden="false" customHeight="false" outlineLevel="0" collapsed="false">
      <c r="A3804" s="9" t="s">
        <v>9647</v>
      </c>
      <c r="B3804" s="9" t="s">
        <v>5870</v>
      </c>
      <c r="C3804" s="9" t="s">
        <v>4065</v>
      </c>
      <c r="D3804" s="9" t="s">
        <v>5871</v>
      </c>
      <c r="E3804" s="9" t="str">
        <f aca="false">IF(AND('Formation Ledger'!A3783&lt;&gt;"",'Formation Ledger'!V3783=0),"PASS","FAIL")</f>
        <v>PASS</v>
      </c>
      <c r="F3804" s="9" t="s">
        <v>76</v>
      </c>
      <c r="G3804" s="6"/>
      <c r="H3804" s="6"/>
      <c r="I3804" s="6"/>
      <c r="J3804" s="6"/>
      <c r="K3804" s="6"/>
      <c r="L3804" s="6"/>
      <c r="M3804" s="6"/>
      <c r="N3804" s="6"/>
      <c r="O3804" s="6"/>
      <c r="P3804" s="6"/>
      <c r="Q3804" s="6"/>
      <c r="R3804" s="6"/>
      <c r="S3804" s="6"/>
      <c r="T3804" s="6"/>
      <c r="U3804" s="6"/>
      <c r="V3804" s="6"/>
      <c r="W3804" s="6"/>
      <c r="X3804" s="6"/>
      <c r="Y3804" s="6"/>
      <c r="Z3804" s="6"/>
    </row>
    <row r="3805" customFormat="false" ht="15" hidden="false" customHeight="false" outlineLevel="0" collapsed="false">
      <c r="A3805" s="9" t="s">
        <v>9648</v>
      </c>
      <c r="B3805" s="9" t="s">
        <v>5870</v>
      </c>
      <c r="C3805" s="9" t="s">
        <v>4066</v>
      </c>
      <c r="D3805" s="9" t="s">
        <v>5871</v>
      </c>
      <c r="E3805" s="9" t="str">
        <f aca="false">IF(AND('Formation Ledger'!A3784&lt;&gt;"",'Formation Ledger'!V3784=0),"PASS","FAIL")</f>
        <v>PASS</v>
      </c>
      <c r="F3805" s="9" t="s">
        <v>76</v>
      </c>
      <c r="G3805" s="6"/>
      <c r="H3805" s="6"/>
      <c r="I3805" s="6"/>
      <c r="J3805" s="6"/>
      <c r="K3805" s="6"/>
      <c r="L3805" s="6"/>
      <c r="M3805" s="6"/>
      <c r="N3805" s="6"/>
      <c r="O3805" s="6"/>
      <c r="P3805" s="6"/>
      <c r="Q3805" s="6"/>
      <c r="R3805" s="6"/>
      <c r="S3805" s="6"/>
      <c r="T3805" s="6"/>
      <c r="U3805" s="6"/>
      <c r="V3805" s="6"/>
      <c r="W3805" s="6"/>
      <c r="X3805" s="6"/>
      <c r="Y3805" s="6"/>
      <c r="Z3805" s="6"/>
    </row>
    <row r="3806" customFormat="false" ht="15" hidden="false" customHeight="false" outlineLevel="0" collapsed="false">
      <c r="A3806" s="9" t="s">
        <v>9649</v>
      </c>
      <c r="B3806" s="9" t="s">
        <v>5870</v>
      </c>
      <c r="C3806" s="9" t="s">
        <v>4067</v>
      </c>
      <c r="D3806" s="9" t="s">
        <v>5871</v>
      </c>
      <c r="E3806" s="9" t="str">
        <f aca="false">IF(AND('Formation Ledger'!A3785&lt;&gt;"",'Formation Ledger'!V3785=0),"PASS","FAIL")</f>
        <v>PASS</v>
      </c>
      <c r="F3806" s="9" t="s">
        <v>76</v>
      </c>
      <c r="G3806" s="6"/>
      <c r="H3806" s="6"/>
      <c r="I3806" s="6"/>
      <c r="J3806" s="6"/>
      <c r="K3806" s="6"/>
      <c r="L3806" s="6"/>
      <c r="M3806" s="6"/>
      <c r="N3806" s="6"/>
      <c r="O3806" s="6"/>
      <c r="P3806" s="6"/>
      <c r="Q3806" s="6"/>
      <c r="R3806" s="6"/>
      <c r="S3806" s="6"/>
      <c r="T3806" s="6"/>
      <c r="U3806" s="6"/>
      <c r="V3806" s="6"/>
      <c r="W3806" s="6"/>
      <c r="X3806" s="6"/>
      <c r="Y3806" s="6"/>
      <c r="Z3806" s="6"/>
    </row>
    <row r="3807" customFormat="false" ht="15" hidden="false" customHeight="false" outlineLevel="0" collapsed="false">
      <c r="A3807" s="9" t="s">
        <v>9650</v>
      </c>
      <c r="B3807" s="9" t="s">
        <v>5870</v>
      </c>
      <c r="C3807" s="9" t="s">
        <v>4068</v>
      </c>
      <c r="D3807" s="9" t="s">
        <v>5871</v>
      </c>
      <c r="E3807" s="9" t="str">
        <f aca="false">IF(AND('Formation Ledger'!A3786&lt;&gt;"",'Formation Ledger'!V3786=0),"PASS","FAIL")</f>
        <v>PASS</v>
      </c>
      <c r="F3807" s="9" t="s">
        <v>76</v>
      </c>
      <c r="G3807" s="6"/>
      <c r="H3807" s="6"/>
      <c r="I3807" s="6"/>
      <c r="J3807" s="6"/>
      <c r="K3807" s="6"/>
      <c r="L3807" s="6"/>
      <c r="M3807" s="6"/>
      <c r="N3807" s="6"/>
      <c r="O3807" s="6"/>
      <c r="P3807" s="6"/>
      <c r="Q3807" s="6"/>
      <c r="R3807" s="6"/>
      <c r="S3807" s="6"/>
      <c r="T3807" s="6"/>
      <c r="U3807" s="6"/>
      <c r="V3807" s="6"/>
      <c r="W3807" s="6"/>
      <c r="X3807" s="6"/>
      <c r="Y3807" s="6"/>
      <c r="Z3807" s="6"/>
    </row>
    <row r="3808" customFormat="false" ht="15" hidden="false" customHeight="false" outlineLevel="0" collapsed="false">
      <c r="A3808" s="9" t="s">
        <v>9651</v>
      </c>
      <c r="B3808" s="9" t="s">
        <v>5870</v>
      </c>
      <c r="C3808" s="9" t="s">
        <v>4069</v>
      </c>
      <c r="D3808" s="9" t="s">
        <v>5871</v>
      </c>
      <c r="E3808" s="9" t="str">
        <f aca="false">IF(AND('Formation Ledger'!A3787&lt;&gt;"",'Formation Ledger'!V3787=0),"PASS","FAIL")</f>
        <v>PASS</v>
      </c>
      <c r="F3808" s="9" t="s">
        <v>76</v>
      </c>
      <c r="G3808" s="6"/>
      <c r="H3808" s="6"/>
      <c r="I3808" s="6"/>
      <c r="J3808" s="6"/>
      <c r="K3808" s="6"/>
      <c r="L3808" s="6"/>
      <c r="M3808" s="6"/>
      <c r="N3808" s="6"/>
      <c r="O3808" s="6"/>
      <c r="P3808" s="6"/>
      <c r="Q3808" s="6"/>
      <c r="R3808" s="6"/>
      <c r="S3808" s="6"/>
      <c r="T3808" s="6"/>
      <c r="U3808" s="6"/>
      <c r="V3808" s="6"/>
      <c r="W3808" s="6"/>
      <c r="X3808" s="6"/>
      <c r="Y3808" s="6"/>
      <c r="Z3808" s="6"/>
    </row>
    <row r="3809" customFormat="false" ht="15" hidden="false" customHeight="false" outlineLevel="0" collapsed="false">
      <c r="A3809" s="9" t="s">
        <v>9652</v>
      </c>
      <c r="B3809" s="9" t="s">
        <v>5870</v>
      </c>
      <c r="C3809" s="9" t="s">
        <v>4070</v>
      </c>
      <c r="D3809" s="9" t="s">
        <v>5871</v>
      </c>
      <c r="E3809" s="9" t="str">
        <f aca="false">IF(AND('Formation Ledger'!A3788&lt;&gt;"",'Formation Ledger'!V3788=0),"PASS","FAIL")</f>
        <v>PASS</v>
      </c>
      <c r="F3809" s="9" t="s">
        <v>76</v>
      </c>
      <c r="G3809" s="6"/>
      <c r="H3809" s="6"/>
      <c r="I3809" s="6"/>
      <c r="J3809" s="6"/>
      <c r="K3809" s="6"/>
      <c r="L3809" s="6"/>
      <c r="M3809" s="6"/>
      <c r="N3809" s="6"/>
      <c r="O3809" s="6"/>
      <c r="P3809" s="6"/>
      <c r="Q3809" s="6"/>
      <c r="R3809" s="6"/>
      <c r="S3809" s="6"/>
      <c r="T3809" s="6"/>
      <c r="U3809" s="6"/>
      <c r="V3809" s="6"/>
      <c r="W3809" s="6"/>
      <c r="X3809" s="6"/>
      <c r="Y3809" s="6"/>
      <c r="Z3809" s="6"/>
    </row>
    <row r="3810" customFormat="false" ht="15" hidden="false" customHeight="false" outlineLevel="0" collapsed="false">
      <c r="A3810" s="9" t="s">
        <v>9653</v>
      </c>
      <c r="B3810" s="9" t="s">
        <v>5870</v>
      </c>
      <c r="C3810" s="9" t="s">
        <v>4071</v>
      </c>
      <c r="D3810" s="9" t="s">
        <v>5871</v>
      </c>
      <c r="E3810" s="9" t="str">
        <f aca="false">IF(AND('Formation Ledger'!A3789&lt;&gt;"",'Formation Ledger'!V3789=0),"PASS","FAIL")</f>
        <v>PASS</v>
      </c>
      <c r="F3810" s="9" t="s">
        <v>76</v>
      </c>
      <c r="G3810" s="6"/>
      <c r="H3810" s="6"/>
      <c r="I3810" s="6"/>
      <c r="J3810" s="6"/>
      <c r="K3810" s="6"/>
      <c r="L3810" s="6"/>
      <c r="M3810" s="6"/>
      <c r="N3810" s="6"/>
      <c r="O3810" s="6"/>
      <c r="P3810" s="6"/>
      <c r="Q3810" s="6"/>
      <c r="R3810" s="6"/>
      <c r="S3810" s="6"/>
      <c r="T3810" s="6"/>
      <c r="U3810" s="6"/>
      <c r="V3810" s="6"/>
      <c r="W3810" s="6"/>
      <c r="X3810" s="6"/>
      <c r="Y3810" s="6"/>
      <c r="Z3810" s="6"/>
    </row>
    <row r="3811" customFormat="false" ht="15" hidden="false" customHeight="false" outlineLevel="0" collapsed="false">
      <c r="A3811" s="9" t="s">
        <v>9654</v>
      </c>
      <c r="B3811" s="9" t="s">
        <v>5870</v>
      </c>
      <c r="C3811" s="9" t="s">
        <v>4072</v>
      </c>
      <c r="D3811" s="9" t="s">
        <v>5871</v>
      </c>
      <c r="E3811" s="9" t="str">
        <f aca="false">IF(AND('Formation Ledger'!A3790&lt;&gt;"",'Formation Ledger'!V3790=0),"PASS","FAIL")</f>
        <v>PASS</v>
      </c>
      <c r="F3811" s="9" t="s">
        <v>76</v>
      </c>
      <c r="G3811" s="6"/>
      <c r="H3811" s="6"/>
      <c r="I3811" s="6"/>
      <c r="J3811" s="6"/>
      <c r="K3811" s="6"/>
      <c r="L3811" s="6"/>
      <c r="M3811" s="6"/>
      <c r="N3811" s="6"/>
      <c r="O3811" s="6"/>
      <c r="P3811" s="6"/>
      <c r="Q3811" s="6"/>
      <c r="R3811" s="6"/>
      <c r="S3811" s="6"/>
      <c r="T3811" s="6"/>
      <c r="U3811" s="6"/>
      <c r="V3811" s="6"/>
      <c r="W3811" s="6"/>
      <c r="X3811" s="6"/>
      <c r="Y3811" s="6"/>
      <c r="Z3811" s="6"/>
    </row>
    <row r="3812" customFormat="false" ht="15" hidden="false" customHeight="false" outlineLevel="0" collapsed="false">
      <c r="A3812" s="9" t="s">
        <v>9655</v>
      </c>
      <c r="B3812" s="9" t="s">
        <v>5870</v>
      </c>
      <c r="C3812" s="9" t="s">
        <v>4073</v>
      </c>
      <c r="D3812" s="9" t="s">
        <v>5871</v>
      </c>
      <c r="E3812" s="9" t="str">
        <f aca="false">IF(AND('Formation Ledger'!A3791&lt;&gt;"",'Formation Ledger'!V3791=0),"PASS","FAIL")</f>
        <v>PASS</v>
      </c>
      <c r="F3812" s="9" t="s">
        <v>76</v>
      </c>
      <c r="G3812" s="6"/>
      <c r="H3812" s="6"/>
      <c r="I3812" s="6"/>
      <c r="J3812" s="6"/>
      <c r="K3812" s="6"/>
      <c r="L3812" s="6"/>
      <c r="M3812" s="6"/>
      <c r="N3812" s="6"/>
      <c r="O3812" s="6"/>
      <c r="P3812" s="6"/>
      <c r="Q3812" s="6"/>
      <c r="R3812" s="6"/>
      <c r="S3812" s="6"/>
      <c r="T3812" s="6"/>
      <c r="U3812" s="6"/>
      <c r="V3812" s="6"/>
      <c r="W3812" s="6"/>
      <c r="X3812" s="6"/>
      <c r="Y3812" s="6"/>
      <c r="Z3812" s="6"/>
    </row>
    <row r="3813" customFormat="false" ht="15" hidden="false" customHeight="false" outlineLevel="0" collapsed="false">
      <c r="A3813" s="9" t="s">
        <v>9656</v>
      </c>
      <c r="B3813" s="9" t="s">
        <v>5870</v>
      </c>
      <c r="C3813" s="9" t="s">
        <v>4074</v>
      </c>
      <c r="D3813" s="9" t="s">
        <v>5871</v>
      </c>
      <c r="E3813" s="9" t="str">
        <f aca="false">IF(AND('Formation Ledger'!A3792&lt;&gt;"",'Formation Ledger'!V3792=0),"PASS","FAIL")</f>
        <v>PASS</v>
      </c>
      <c r="F3813" s="9" t="s">
        <v>76</v>
      </c>
      <c r="G3813" s="6"/>
      <c r="H3813" s="6"/>
      <c r="I3813" s="6"/>
      <c r="J3813" s="6"/>
      <c r="K3813" s="6"/>
      <c r="L3813" s="6"/>
      <c r="M3813" s="6"/>
      <c r="N3813" s="6"/>
      <c r="O3813" s="6"/>
      <c r="P3813" s="6"/>
      <c r="Q3813" s="6"/>
      <c r="R3813" s="6"/>
      <c r="S3813" s="6"/>
      <c r="T3813" s="6"/>
      <c r="U3813" s="6"/>
      <c r="V3813" s="6"/>
      <c r="W3813" s="6"/>
      <c r="X3813" s="6"/>
      <c r="Y3813" s="6"/>
      <c r="Z3813" s="6"/>
    </row>
    <row r="3814" customFormat="false" ht="15" hidden="false" customHeight="false" outlineLevel="0" collapsed="false">
      <c r="A3814" s="9" t="s">
        <v>9657</v>
      </c>
      <c r="B3814" s="9" t="s">
        <v>5870</v>
      </c>
      <c r="C3814" s="9" t="s">
        <v>4075</v>
      </c>
      <c r="D3814" s="9" t="s">
        <v>5871</v>
      </c>
      <c r="E3814" s="9" t="str">
        <f aca="false">IF(AND('Formation Ledger'!A3793&lt;&gt;"",'Formation Ledger'!V3793=0),"PASS","FAIL")</f>
        <v>PASS</v>
      </c>
      <c r="F3814" s="9" t="s">
        <v>76</v>
      </c>
      <c r="G3814" s="6"/>
      <c r="H3814" s="6"/>
      <c r="I3814" s="6"/>
      <c r="J3814" s="6"/>
      <c r="K3814" s="6"/>
      <c r="L3814" s="6"/>
      <c r="M3814" s="6"/>
      <c r="N3814" s="6"/>
      <c r="O3814" s="6"/>
      <c r="P3814" s="6"/>
      <c r="Q3814" s="6"/>
      <c r="R3814" s="6"/>
      <c r="S3814" s="6"/>
      <c r="T3814" s="6"/>
      <c r="U3814" s="6"/>
      <c r="V3814" s="6"/>
      <c r="W3814" s="6"/>
      <c r="X3814" s="6"/>
      <c r="Y3814" s="6"/>
      <c r="Z3814" s="6"/>
    </row>
    <row r="3815" customFormat="false" ht="15" hidden="false" customHeight="false" outlineLevel="0" collapsed="false">
      <c r="A3815" s="9" t="s">
        <v>9658</v>
      </c>
      <c r="B3815" s="9" t="s">
        <v>5870</v>
      </c>
      <c r="C3815" s="9" t="s">
        <v>4076</v>
      </c>
      <c r="D3815" s="9" t="s">
        <v>5871</v>
      </c>
      <c r="E3815" s="9" t="str">
        <f aca="false">IF(AND('Formation Ledger'!A3794&lt;&gt;"",'Formation Ledger'!V3794=0),"PASS","FAIL")</f>
        <v>PASS</v>
      </c>
      <c r="F3815" s="9" t="s">
        <v>76</v>
      </c>
      <c r="G3815" s="6"/>
      <c r="H3815" s="6"/>
      <c r="I3815" s="6"/>
      <c r="J3815" s="6"/>
      <c r="K3815" s="6"/>
      <c r="L3815" s="6"/>
      <c r="M3815" s="6"/>
      <c r="N3815" s="6"/>
      <c r="O3815" s="6"/>
      <c r="P3815" s="6"/>
      <c r="Q3815" s="6"/>
      <c r="R3815" s="6"/>
      <c r="S3815" s="6"/>
      <c r="T3815" s="6"/>
      <c r="U3815" s="6"/>
      <c r="V3815" s="6"/>
      <c r="W3815" s="6"/>
      <c r="X3815" s="6"/>
      <c r="Y3815" s="6"/>
      <c r="Z3815" s="6"/>
    </row>
    <row r="3816" customFormat="false" ht="15" hidden="false" customHeight="false" outlineLevel="0" collapsed="false">
      <c r="A3816" s="9" t="s">
        <v>9659</v>
      </c>
      <c r="B3816" s="9" t="s">
        <v>5870</v>
      </c>
      <c r="C3816" s="9" t="s">
        <v>4077</v>
      </c>
      <c r="D3816" s="9" t="s">
        <v>5871</v>
      </c>
      <c r="E3816" s="9" t="str">
        <f aca="false">IF(AND('Formation Ledger'!A3795&lt;&gt;"",'Formation Ledger'!V3795=0),"PASS","FAIL")</f>
        <v>PASS</v>
      </c>
      <c r="F3816" s="9" t="s">
        <v>76</v>
      </c>
      <c r="G3816" s="6"/>
      <c r="H3816" s="6"/>
      <c r="I3816" s="6"/>
      <c r="J3816" s="6"/>
      <c r="K3816" s="6"/>
      <c r="L3816" s="6"/>
      <c r="M3816" s="6"/>
      <c r="N3816" s="6"/>
      <c r="O3816" s="6"/>
      <c r="P3816" s="6"/>
      <c r="Q3816" s="6"/>
      <c r="R3816" s="6"/>
      <c r="S3816" s="6"/>
      <c r="T3816" s="6"/>
      <c r="U3816" s="6"/>
      <c r="V3816" s="6"/>
      <c r="W3816" s="6"/>
      <c r="X3816" s="6"/>
      <c r="Y3816" s="6"/>
      <c r="Z3816" s="6"/>
    </row>
    <row r="3817" customFormat="false" ht="15" hidden="false" customHeight="false" outlineLevel="0" collapsed="false">
      <c r="A3817" s="9" t="s">
        <v>9660</v>
      </c>
      <c r="B3817" s="9" t="s">
        <v>5870</v>
      </c>
      <c r="C3817" s="9" t="s">
        <v>4078</v>
      </c>
      <c r="D3817" s="9" t="s">
        <v>5871</v>
      </c>
      <c r="E3817" s="9" t="str">
        <f aca="false">IF(AND('Formation Ledger'!A3796&lt;&gt;"",'Formation Ledger'!V3796=0),"PASS","FAIL")</f>
        <v>PASS</v>
      </c>
      <c r="F3817" s="9" t="s">
        <v>76</v>
      </c>
      <c r="G3817" s="6"/>
      <c r="H3817" s="6"/>
      <c r="I3817" s="6"/>
      <c r="J3817" s="6"/>
      <c r="K3817" s="6"/>
      <c r="L3817" s="6"/>
      <c r="M3817" s="6"/>
      <c r="N3817" s="6"/>
      <c r="O3817" s="6"/>
      <c r="P3817" s="6"/>
      <c r="Q3817" s="6"/>
      <c r="R3817" s="6"/>
      <c r="S3817" s="6"/>
      <c r="T3817" s="6"/>
      <c r="U3817" s="6"/>
      <c r="V3817" s="6"/>
      <c r="W3817" s="6"/>
      <c r="X3817" s="6"/>
      <c r="Y3817" s="6"/>
      <c r="Z3817" s="6"/>
    </row>
    <row r="3818" customFormat="false" ht="15" hidden="false" customHeight="false" outlineLevel="0" collapsed="false">
      <c r="A3818" s="9" t="s">
        <v>9661</v>
      </c>
      <c r="B3818" s="9" t="s">
        <v>5870</v>
      </c>
      <c r="C3818" s="9" t="s">
        <v>4079</v>
      </c>
      <c r="D3818" s="9" t="s">
        <v>5871</v>
      </c>
      <c r="E3818" s="9" t="str">
        <f aca="false">IF(AND('Formation Ledger'!A3797&lt;&gt;"",'Formation Ledger'!V3797=0),"PASS","FAIL")</f>
        <v>PASS</v>
      </c>
      <c r="F3818" s="9" t="s">
        <v>76</v>
      </c>
      <c r="G3818" s="6"/>
      <c r="H3818" s="6"/>
      <c r="I3818" s="6"/>
      <c r="J3818" s="6"/>
      <c r="K3818" s="6"/>
      <c r="L3818" s="6"/>
      <c r="M3818" s="6"/>
      <c r="N3818" s="6"/>
      <c r="O3818" s="6"/>
      <c r="P3818" s="6"/>
      <c r="Q3818" s="6"/>
      <c r="R3818" s="6"/>
      <c r="S3818" s="6"/>
      <c r="T3818" s="6"/>
      <c r="U3818" s="6"/>
      <c r="V3818" s="6"/>
      <c r="W3818" s="6"/>
      <c r="X3818" s="6"/>
      <c r="Y3818" s="6"/>
      <c r="Z3818" s="6"/>
    </row>
    <row r="3819" customFormat="false" ht="15" hidden="false" customHeight="false" outlineLevel="0" collapsed="false">
      <c r="A3819" s="9" t="s">
        <v>9662</v>
      </c>
      <c r="B3819" s="9" t="s">
        <v>5870</v>
      </c>
      <c r="C3819" s="9" t="s">
        <v>4080</v>
      </c>
      <c r="D3819" s="9" t="s">
        <v>5871</v>
      </c>
      <c r="E3819" s="9" t="str">
        <f aca="false">IF(AND('Formation Ledger'!A3798&lt;&gt;"",'Formation Ledger'!V3798=0),"PASS","FAIL")</f>
        <v>PASS</v>
      </c>
      <c r="F3819" s="9" t="s">
        <v>76</v>
      </c>
      <c r="G3819" s="6"/>
      <c r="H3819" s="6"/>
      <c r="I3819" s="6"/>
      <c r="J3819" s="6"/>
      <c r="K3819" s="6"/>
      <c r="L3819" s="6"/>
      <c r="M3819" s="6"/>
      <c r="N3819" s="6"/>
      <c r="O3819" s="6"/>
      <c r="P3819" s="6"/>
      <c r="Q3819" s="6"/>
      <c r="R3819" s="6"/>
      <c r="S3819" s="6"/>
      <c r="T3819" s="6"/>
      <c r="U3819" s="6"/>
      <c r="V3819" s="6"/>
      <c r="W3819" s="6"/>
      <c r="X3819" s="6"/>
      <c r="Y3819" s="6"/>
      <c r="Z3819" s="6"/>
    </row>
    <row r="3820" customFormat="false" ht="15" hidden="false" customHeight="false" outlineLevel="0" collapsed="false">
      <c r="A3820" s="9" t="s">
        <v>9663</v>
      </c>
      <c r="B3820" s="9" t="s">
        <v>5870</v>
      </c>
      <c r="C3820" s="9" t="s">
        <v>4081</v>
      </c>
      <c r="D3820" s="9" t="s">
        <v>5871</v>
      </c>
      <c r="E3820" s="9" t="str">
        <f aca="false">IF(AND('Formation Ledger'!A3799&lt;&gt;"",'Formation Ledger'!V3799=0),"PASS","FAIL")</f>
        <v>PASS</v>
      </c>
      <c r="F3820" s="9" t="s">
        <v>76</v>
      </c>
      <c r="G3820" s="6"/>
      <c r="H3820" s="6"/>
      <c r="I3820" s="6"/>
      <c r="J3820" s="6"/>
      <c r="K3820" s="6"/>
      <c r="L3820" s="6"/>
      <c r="M3820" s="6"/>
      <c r="N3820" s="6"/>
      <c r="O3820" s="6"/>
      <c r="P3820" s="6"/>
      <c r="Q3820" s="6"/>
      <c r="R3820" s="6"/>
      <c r="S3820" s="6"/>
      <c r="T3820" s="6"/>
      <c r="U3820" s="6"/>
      <c r="V3820" s="6"/>
      <c r="W3820" s="6"/>
      <c r="X3820" s="6"/>
      <c r="Y3820" s="6"/>
      <c r="Z3820" s="6"/>
    </row>
    <row r="3821" customFormat="false" ht="15" hidden="false" customHeight="false" outlineLevel="0" collapsed="false">
      <c r="A3821" s="9" t="s">
        <v>9664</v>
      </c>
      <c r="B3821" s="9" t="s">
        <v>5870</v>
      </c>
      <c r="C3821" s="9" t="s">
        <v>4082</v>
      </c>
      <c r="D3821" s="9" t="s">
        <v>5871</v>
      </c>
      <c r="E3821" s="9" t="str">
        <f aca="false">IF(AND('Formation Ledger'!A3800&lt;&gt;"",'Formation Ledger'!V3800=0),"PASS","FAIL")</f>
        <v>PASS</v>
      </c>
      <c r="F3821" s="9" t="s">
        <v>76</v>
      </c>
      <c r="G3821" s="6"/>
      <c r="H3821" s="6"/>
      <c r="I3821" s="6"/>
      <c r="J3821" s="6"/>
      <c r="K3821" s="6"/>
      <c r="L3821" s="6"/>
      <c r="M3821" s="6"/>
      <c r="N3821" s="6"/>
      <c r="O3821" s="6"/>
      <c r="P3821" s="6"/>
      <c r="Q3821" s="6"/>
      <c r="R3821" s="6"/>
      <c r="S3821" s="6"/>
      <c r="T3821" s="6"/>
      <c r="U3821" s="6"/>
      <c r="V3821" s="6"/>
      <c r="W3821" s="6"/>
      <c r="X3821" s="6"/>
      <c r="Y3821" s="6"/>
      <c r="Z3821" s="6"/>
    </row>
    <row r="3822" customFormat="false" ht="15" hidden="false" customHeight="false" outlineLevel="0" collapsed="false">
      <c r="A3822" s="9" t="s">
        <v>9665</v>
      </c>
      <c r="B3822" s="9" t="s">
        <v>5870</v>
      </c>
      <c r="C3822" s="9" t="s">
        <v>4083</v>
      </c>
      <c r="D3822" s="9" t="s">
        <v>5871</v>
      </c>
      <c r="E3822" s="9" t="str">
        <f aca="false">IF(AND('Formation Ledger'!A3801&lt;&gt;"",'Formation Ledger'!V3801=0),"PASS","FAIL")</f>
        <v>PASS</v>
      </c>
      <c r="F3822" s="9" t="s">
        <v>76</v>
      </c>
      <c r="G3822" s="6"/>
      <c r="H3822" s="6"/>
      <c r="I3822" s="6"/>
      <c r="J3822" s="6"/>
      <c r="K3822" s="6"/>
      <c r="L3822" s="6"/>
      <c r="M3822" s="6"/>
      <c r="N3822" s="6"/>
      <c r="O3822" s="6"/>
      <c r="P3822" s="6"/>
      <c r="Q3822" s="6"/>
      <c r="R3822" s="6"/>
      <c r="S3822" s="6"/>
      <c r="T3822" s="6"/>
      <c r="U3822" s="6"/>
      <c r="V3822" s="6"/>
      <c r="W3822" s="6"/>
      <c r="X3822" s="6"/>
      <c r="Y3822" s="6"/>
      <c r="Z3822" s="6"/>
    </row>
    <row r="3823" customFormat="false" ht="15" hidden="false" customHeight="false" outlineLevel="0" collapsed="false">
      <c r="A3823" s="9" t="s">
        <v>9666</v>
      </c>
      <c r="B3823" s="9" t="s">
        <v>5870</v>
      </c>
      <c r="C3823" s="9" t="s">
        <v>4084</v>
      </c>
      <c r="D3823" s="9" t="s">
        <v>5871</v>
      </c>
      <c r="E3823" s="9" t="str">
        <f aca="false">IF(AND('Formation Ledger'!A3802&lt;&gt;"",'Formation Ledger'!V3802=0),"PASS","FAIL")</f>
        <v>PASS</v>
      </c>
      <c r="F3823" s="9" t="s">
        <v>76</v>
      </c>
      <c r="G3823" s="6"/>
      <c r="H3823" s="6"/>
      <c r="I3823" s="6"/>
      <c r="J3823" s="6"/>
      <c r="K3823" s="6"/>
      <c r="L3823" s="6"/>
      <c r="M3823" s="6"/>
      <c r="N3823" s="6"/>
      <c r="O3823" s="6"/>
      <c r="P3823" s="6"/>
      <c r="Q3823" s="6"/>
      <c r="R3823" s="6"/>
      <c r="S3823" s="6"/>
      <c r="T3823" s="6"/>
      <c r="U3823" s="6"/>
      <c r="V3823" s="6"/>
      <c r="W3823" s="6"/>
      <c r="X3823" s="6"/>
      <c r="Y3823" s="6"/>
      <c r="Z3823" s="6"/>
    </row>
    <row r="3824" customFormat="false" ht="15" hidden="false" customHeight="false" outlineLevel="0" collapsed="false">
      <c r="A3824" s="9" t="s">
        <v>9667</v>
      </c>
      <c r="B3824" s="9" t="s">
        <v>5870</v>
      </c>
      <c r="C3824" s="9" t="s">
        <v>4085</v>
      </c>
      <c r="D3824" s="9" t="s">
        <v>5871</v>
      </c>
      <c r="E3824" s="9" t="str">
        <f aca="false">IF(AND('Formation Ledger'!A3803&lt;&gt;"",'Formation Ledger'!V3803=0),"PASS","FAIL")</f>
        <v>PASS</v>
      </c>
      <c r="F3824" s="9" t="s">
        <v>76</v>
      </c>
      <c r="G3824" s="6"/>
      <c r="H3824" s="6"/>
      <c r="I3824" s="6"/>
      <c r="J3824" s="6"/>
      <c r="K3824" s="6"/>
      <c r="L3824" s="6"/>
      <c r="M3824" s="6"/>
      <c r="N3824" s="6"/>
      <c r="O3824" s="6"/>
      <c r="P3824" s="6"/>
      <c r="Q3824" s="6"/>
      <c r="R3824" s="6"/>
      <c r="S3824" s="6"/>
      <c r="T3824" s="6"/>
      <c r="U3824" s="6"/>
      <c r="V3824" s="6"/>
      <c r="W3824" s="6"/>
      <c r="X3824" s="6"/>
      <c r="Y3824" s="6"/>
      <c r="Z3824" s="6"/>
    </row>
    <row r="3825" customFormat="false" ht="15" hidden="false" customHeight="false" outlineLevel="0" collapsed="false">
      <c r="A3825" s="9" t="s">
        <v>9668</v>
      </c>
      <c r="B3825" s="9" t="s">
        <v>5870</v>
      </c>
      <c r="C3825" s="9" t="s">
        <v>4086</v>
      </c>
      <c r="D3825" s="9" t="s">
        <v>5871</v>
      </c>
      <c r="E3825" s="9" t="str">
        <f aca="false">IF(AND('Formation Ledger'!A3804&lt;&gt;"",'Formation Ledger'!V3804=0),"PASS","FAIL")</f>
        <v>PASS</v>
      </c>
      <c r="F3825" s="9" t="s">
        <v>76</v>
      </c>
      <c r="G3825" s="6"/>
      <c r="H3825" s="6"/>
      <c r="I3825" s="6"/>
      <c r="J3825" s="6"/>
      <c r="K3825" s="6"/>
      <c r="L3825" s="6"/>
      <c r="M3825" s="6"/>
      <c r="N3825" s="6"/>
      <c r="O3825" s="6"/>
      <c r="P3825" s="6"/>
      <c r="Q3825" s="6"/>
      <c r="R3825" s="6"/>
      <c r="S3825" s="6"/>
      <c r="T3825" s="6"/>
      <c r="U3825" s="6"/>
      <c r="V3825" s="6"/>
      <c r="W3825" s="6"/>
      <c r="X3825" s="6"/>
      <c r="Y3825" s="6"/>
      <c r="Z3825" s="6"/>
    </row>
    <row r="3826" customFormat="false" ht="15" hidden="false" customHeight="false" outlineLevel="0" collapsed="false">
      <c r="A3826" s="9" t="s">
        <v>9669</v>
      </c>
      <c r="B3826" s="9" t="s">
        <v>5870</v>
      </c>
      <c r="C3826" s="9" t="s">
        <v>4087</v>
      </c>
      <c r="D3826" s="9" t="s">
        <v>5871</v>
      </c>
      <c r="E3826" s="9" t="str">
        <f aca="false">IF(AND('Formation Ledger'!A3805&lt;&gt;"",'Formation Ledger'!V3805=0),"PASS","FAIL")</f>
        <v>PASS</v>
      </c>
      <c r="F3826" s="9" t="s">
        <v>76</v>
      </c>
      <c r="G3826" s="6"/>
      <c r="H3826" s="6"/>
      <c r="I3826" s="6"/>
      <c r="J3826" s="6"/>
      <c r="K3826" s="6"/>
      <c r="L3826" s="6"/>
      <c r="M3826" s="6"/>
      <c r="N3826" s="6"/>
      <c r="O3826" s="6"/>
      <c r="P3826" s="6"/>
      <c r="Q3826" s="6"/>
      <c r="R3826" s="6"/>
      <c r="S3826" s="6"/>
      <c r="T3826" s="6"/>
      <c r="U3826" s="6"/>
      <c r="V3826" s="6"/>
      <c r="W3826" s="6"/>
      <c r="X3826" s="6"/>
      <c r="Y3826" s="6"/>
      <c r="Z3826" s="6"/>
    </row>
    <row r="3827" customFormat="false" ht="15" hidden="false" customHeight="false" outlineLevel="0" collapsed="false">
      <c r="A3827" s="9" t="s">
        <v>9670</v>
      </c>
      <c r="B3827" s="9" t="s">
        <v>5870</v>
      </c>
      <c r="C3827" s="9" t="s">
        <v>4088</v>
      </c>
      <c r="D3827" s="9" t="s">
        <v>5871</v>
      </c>
      <c r="E3827" s="9" t="str">
        <f aca="false">IF(AND('Formation Ledger'!A3806&lt;&gt;"",'Formation Ledger'!V3806=0),"PASS","FAIL")</f>
        <v>PASS</v>
      </c>
      <c r="F3827" s="9" t="s">
        <v>76</v>
      </c>
      <c r="G3827" s="6"/>
      <c r="H3827" s="6"/>
      <c r="I3827" s="6"/>
      <c r="J3827" s="6"/>
      <c r="K3827" s="6"/>
      <c r="L3827" s="6"/>
      <c r="M3827" s="6"/>
      <c r="N3827" s="6"/>
      <c r="O3827" s="6"/>
      <c r="P3827" s="6"/>
      <c r="Q3827" s="6"/>
      <c r="R3827" s="6"/>
      <c r="S3827" s="6"/>
      <c r="T3827" s="6"/>
      <c r="U3827" s="6"/>
      <c r="V3827" s="6"/>
      <c r="W3827" s="6"/>
      <c r="X3827" s="6"/>
      <c r="Y3827" s="6"/>
      <c r="Z3827" s="6"/>
    </row>
    <row r="3828" customFormat="false" ht="15" hidden="false" customHeight="false" outlineLevel="0" collapsed="false">
      <c r="A3828" s="9" t="s">
        <v>9671</v>
      </c>
      <c r="B3828" s="9" t="s">
        <v>5870</v>
      </c>
      <c r="C3828" s="9" t="s">
        <v>4089</v>
      </c>
      <c r="D3828" s="9" t="s">
        <v>5871</v>
      </c>
      <c r="E3828" s="9" t="str">
        <f aca="false">IF(AND('Formation Ledger'!A3807&lt;&gt;"",'Formation Ledger'!V3807=0),"PASS","FAIL")</f>
        <v>PASS</v>
      </c>
      <c r="F3828" s="9" t="s">
        <v>76</v>
      </c>
      <c r="G3828" s="6"/>
      <c r="H3828" s="6"/>
      <c r="I3828" s="6"/>
      <c r="J3828" s="6"/>
      <c r="K3828" s="6"/>
      <c r="L3828" s="6"/>
      <c r="M3828" s="6"/>
      <c r="N3828" s="6"/>
      <c r="O3828" s="6"/>
      <c r="P3828" s="6"/>
      <c r="Q3828" s="6"/>
      <c r="R3828" s="6"/>
      <c r="S3828" s="6"/>
      <c r="T3828" s="6"/>
      <c r="U3828" s="6"/>
      <c r="V3828" s="6"/>
      <c r="W3828" s="6"/>
      <c r="X3828" s="6"/>
      <c r="Y3828" s="6"/>
      <c r="Z3828" s="6"/>
    </row>
    <row r="3829" customFormat="false" ht="15" hidden="false" customHeight="false" outlineLevel="0" collapsed="false">
      <c r="A3829" s="9" t="s">
        <v>9672</v>
      </c>
      <c r="B3829" s="9" t="s">
        <v>5870</v>
      </c>
      <c r="C3829" s="9" t="s">
        <v>4090</v>
      </c>
      <c r="D3829" s="9" t="s">
        <v>5871</v>
      </c>
      <c r="E3829" s="9" t="str">
        <f aca="false">IF(AND('Formation Ledger'!A3808&lt;&gt;"",'Formation Ledger'!V3808=0),"PASS","FAIL")</f>
        <v>PASS</v>
      </c>
      <c r="F3829" s="9" t="s">
        <v>76</v>
      </c>
      <c r="G3829" s="6"/>
      <c r="H3829" s="6"/>
      <c r="I3829" s="6"/>
      <c r="J3829" s="6"/>
      <c r="K3829" s="6"/>
      <c r="L3829" s="6"/>
      <c r="M3829" s="6"/>
      <c r="N3829" s="6"/>
      <c r="O3829" s="6"/>
      <c r="P3829" s="6"/>
      <c r="Q3829" s="6"/>
      <c r="R3829" s="6"/>
      <c r="S3829" s="6"/>
      <c r="T3829" s="6"/>
      <c r="U3829" s="6"/>
      <c r="V3829" s="6"/>
      <c r="W3829" s="6"/>
      <c r="X3829" s="6"/>
      <c r="Y3829" s="6"/>
      <c r="Z3829" s="6"/>
    </row>
    <row r="3830" customFormat="false" ht="15" hidden="false" customHeight="false" outlineLevel="0" collapsed="false">
      <c r="A3830" s="9" t="s">
        <v>9673</v>
      </c>
      <c r="B3830" s="9" t="s">
        <v>5870</v>
      </c>
      <c r="C3830" s="9" t="s">
        <v>4091</v>
      </c>
      <c r="D3830" s="9" t="s">
        <v>5871</v>
      </c>
      <c r="E3830" s="9" t="str">
        <f aca="false">IF(AND('Formation Ledger'!A3809&lt;&gt;"",'Formation Ledger'!V3809=0),"PASS","FAIL")</f>
        <v>PASS</v>
      </c>
      <c r="F3830" s="9" t="s">
        <v>76</v>
      </c>
      <c r="G3830" s="6"/>
      <c r="H3830" s="6"/>
      <c r="I3830" s="6"/>
      <c r="J3830" s="6"/>
      <c r="K3830" s="6"/>
      <c r="L3830" s="6"/>
      <c r="M3830" s="6"/>
      <c r="N3830" s="6"/>
      <c r="O3830" s="6"/>
      <c r="P3830" s="6"/>
      <c r="Q3830" s="6"/>
      <c r="R3830" s="6"/>
      <c r="S3830" s="6"/>
      <c r="T3830" s="6"/>
      <c r="U3830" s="6"/>
      <c r="V3830" s="6"/>
      <c r="W3830" s="6"/>
      <c r="X3830" s="6"/>
      <c r="Y3830" s="6"/>
      <c r="Z3830" s="6"/>
    </row>
    <row r="3831" customFormat="false" ht="15" hidden="false" customHeight="false" outlineLevel="0" collapsed="false">
      <c r="A3831" s="9" t="s">
        <v>9674</v>
      </c>
      <c r="B3831" s="9" t="s">
        <v>5870</v>
      </c>
      <c r="C3831" s="9" t="s">
        <v>4092</v>
      </c>
      <c r="D3831" s="9" t="s">
        <v>5871</v>
      </c>
      <c r="E3831" s="9" t="str">
        <f aca="false">IF(AND('Formation Ledger'!A3810&lt;&gt;"",'Formation Ledger'!V3810=0),"PASS","FAIL")</f>
        <v>PASS</v>
      </c>
      <c r="F3831" s="9" t="s">
        <v>76</v>
      </c>
      <c r="G3831" s="6"/>
      <c r="H3831" s="6"/>
      <c r="I3831" s="6"/>
      <c r="J3831" s="6"/>
      <c r="K3831" s="6"/>
      <c r="L3831" s="6"/>
      <c r="M3831" s="6"/>
      <c r="N3831" s="6"/>
      <c r="O3831" s="6"/>
      <c r="P3831" s="6"/>
      <c r="Q3831" s="6"/>
      <c r="R3831" s="6"/>
      <c r="S3831" s="6"/>
      <c r="T3831" s="6"/>
      <c r="U3831" s="6"/>
      <c r="V3831" s="6"/>
      <c r="W3831" s="6"/>
      <c r="X3831" s="6"/>
      <c r="Y3831" s="6"/>
      <c r="Z3831" s="6"/>
    </row>
    <row r="3832" customFormat="false" ht="15" hidden="false" customHeight="false" outlineLevel="0" collapsed="false">
      <c r="A3832" s="9" t="s">
        <v>9675</v>
      </c>
      <c r="B3832" s="9" t="s">
        <v>5870</v>
      </c>
      <c r="C3832" s="9" t="s">
        <v>4093</v>
      </c>
      <c r="D3832" s="9" t="s">
        <v>5871</v>
      </c>
      <c r="E3832" s="9" t="str">
        <f aca="false">IF(AND('Formation Ledger'!A3811&lt;&gt;"",'Formation Ledger'!V3811=0),"PASS","FAIL")</f>
        <v>PASS</v>
      </c>
      <c r="F3832" s="9" t="s">
        <v>76</v>
      </c>
      <c r="G3832" s="6"/>
      <c r="H3832" s="6"/>
      <c r="I3832" s="6"/>
      <c r="J3832" s="6"/>
      <c r="K3832" s="6"/>
      <c r="L3832" s="6"/>
      <c r="M3832" s="6"/>
      <c r="N3832" s="6"/>
      <c r="O3832" s="6"/>
      <c r="P3832" s="6"/>
      <c r="Q3832" s="6"/>
      <c r="R3832" s="6"/>
      <c r="S3832" s="6"/>
      <c r="T3832" s="6"/>
      <c r="U3832" s="6"/>
      <c r="V3832" s="6"/>
      <c r="W3832" s="6"/>
      <c r="X3832" s="6"/>
      <c r="Y3832" s="6"/>
      <c r="Z3832" s="6"/>
    </row>
    <row r="3833" customFormat="false" ht="15" hidden="false" customHeight="false" outlineLevel="0" collapsed="false">
      <c r="A3833" s="9" t="s">
        <v>9676</v>
      </c>
      <c r="B3833" s="9" t="s">
        <v>5870</v>
      </c>
      <c r="C3833" s="9" t="s">
        <v>4094</v>
      </c>
      <c r="D3833" s="9" t="s">
        <v>5871</v>
      </c>
      <c r="E3833" s="9" t="str">
        <f aca="false">IF(AND('Formation Ledger'!A3812&lt;&gt;"",'Formation Ledger'!V3812=0),"PASS","FAIL")</f>
        <v>PASS</v>
      </c>
      <c r="F3833" s="9" t="s">
        <v>76</v>
      </c>
      <c r="G3833" s="6"/>
      <c r="H3833" s="6"/>
      <c r="I3833" s="6"/>
      <c r="J3833" s="6"/>
      <c r="K3833" s="6"/>
      <c r="L3833" s="6"/>
      <c r="M3833" s="6"/>
      <c r="N3833" s="6"/>
      <c r="O3833" s="6"/>
      <c r="P3833" s="6"/>
      <c r="Q3833" s="6"/>
      <c r="R3833" s="6"/>
      <c r="S3833" s="6"/>
      <c r="T3833" s="6"/>
      <c r="U3833" s="6"/>
      <c r="V3833" s="6"/>
      <c r="W3833" s="6"/>
      <c r="X3833" s="6"/>
      <c r="Y3833" s="6"/>
      <c r="Z3833" s="6"/>
    </row>
    <row r="3834" customFormat="false" ht="15" hidden="false" customHeight="false" outlineLevel="0" collapsed="false">
      <c r="A3834" s="9" t="s">
        <v>9677</v>
      </c>
      <c r="B3834" s="9" t="s">
        <v>5870</v>
      </c>
      <c r="C3834" s="9" t="s">
        <v>4095</v>
      </c>
      <c r="D3834" s="9" t="s">
        <v>5871</v>
      </c>
      <c r="E3834" s="9" t="str">
        <f aca="false">IF(AND('Formation Ledger'!A3813&lt;&gt;"",'Formation Ledger'!V3813=0),"PASS","FAIL")</f>
        <v>PASS</v>
      </c>
      <c r="F3834" s="9" t="s">
        <v>76</v>
      </c>
      <c r="G3834" s="6"/>
      <c r="H3834" s="6"/>
      <c r="I3834" s="6"/>
      <c r="J3834" s="6"/>
      <c r="K3834" s="6"/>
      <c r="L3834" s="6"/>
      <c r="M3834" s="6"/>
      <c r="N3834" s="6"/>
      <c r="O3834" s="6"/>
      <c r="P3834" s="6"/>
      <c r="Q3834" s="6"/>
      <c r="R3834" s="6"/>
      <c r="S3834" s="6"/>
      <c r="T3834" s="6"/>
      <c r="U3834" s="6"/>
      <c r="V3834" s="6"/>
      <c r="W3834" s="6"/>
      <c r="X3834" s="6"/>
      <c r="Y3834" s="6"/>
      <c r="Z3834" s="6"/>
    </row>
    <row r="3835" customFormat="false" ht="15" hidden="false" customHeight="false" outlineLevel="0" collapsed="false">
      <c r="A3835" s="9" t="s">
        <v>9678</v>
      </c>
      <c r="B3835" s="9" t="s">
        <v>5870</v>
      </c>
      <c r="C3835" s="9" t="s">
        <v>4096</v>
      </c>
      <c r="D3835" s="9" t="s">
        <v>5871</v>
      </c>
      <c r="E3835" s="9" t="str">
        <f aca="false">IF(AND('Formation Ledger'!A3814&lt;&gt;"",'Formation Ledger'!V3814=0),"PASS","FAIL")</f>
        <v>PASS</v>
      </c>
      <c r="F3835" s="9" t="s">
        <v>76</v>
      </c>
      <c r="G3835" s="6"/>
      <c r="H3835" s="6"/>
      <c r="I3835" s="6"/>
      <c r="J3835" s="6"/>
      <c r="K3835" s="6"/>
      <c r="L3835" s="6"/>
      <c r="M3835" s="6"/>
      <c r="N3835" s="6"/>
      <c r="O3835" s="6"/>
      <c r="P3835" s="6"/>
      <c r="Q3835" s="6"/>
      <c r="R3835" s="6"/>
      <c r="S3835" s="6"/>
      <c r="T3835" s="6"/>
      <c r="U3835" s="6"/>
      <c r="V3835" s="6"/>
      <c r="W3835" s="6"/>
      <c r="X3835" s="6"/>
      <c r="Y3835" s="6"/>
      <c r="Z3835" s="6"/>
    </row>
    <row r="3836" customFormat="false" ht="15" hidden="false" customHeight="false" outlineLevel="0" collapsed="false">
      <c r="A3836" s="9" t="s">
        <v>9679</v>
      </c>
      <c r="B3836" s="9" t="s">
        <v>5870</v>
      </c>
      <c r="C3836" s="9" t="s">
        <v>4097</v>
      </c>
      <c r="D3836" s="9" t="s">
        <v>5871</v>
      </c>
      <c r="E3836" s="9" t="str">
        <f aca="false">IF(AND('Formation Ledger'!A3815&lt;&gt;"",'Formation Ledger'!V3815=0),"PASS","FAIL")</f>
        <v>PASS</v>
      </c>
      <c r="F3836" s="9" t="s">
        <v>76</v>
      </c>
      <c r="G3836" s="6"/>
      <c r="H3836" s="6"/>
      <c r="I3836" s="6"/>
      <c r="J3836" s="6"/>
      <c r="K3836" s="6"/>
      <c r="L3836" s="6"/>
      <c r="M3836" s="6"/>
      <c r="N3836" s="6"/>
      <c r="O3836" s="6"/>
      <c r="P3836" s="6"/>
      <c r="Q3836" s="6"/>
      <c r="R3836" s="6"/>
      <c r="S3836" s="6"/>
      <c r="T3836" s="6"/>
      <c r="U3836" s="6"/>
      <c r="V3836" s="6"/>
      <c r="W3836" s="6"/>
      <c r="X3836" s="6"/>
      <c r="Y3836" s="6"/>
      <c r="Z3836" s="6"/>
    </row>
    <row r="3837" customFormat="false" ht="15" hidden="false" customHeight="false" outlineLevel="0" collapsed="false">
      <c r="A3837" s="9" t="s">
        <v>9680</v>
      </c>
      <c r="B3837" s="9" t="s">
        <v>5870</v>
      </c>
      <c r="C3837" s="9" t="s">
        <v>4098</v>
      </c>
      <c r="D3837" s="9" t="s">
        <v>5871</v>
      </c>
      <c r="E3837" s="9" t="str">
        <f aca="false">IF(AND('Formation Ledger'!A3816&lt;&gt;"",'Formation Ledger'!V3816=0),"PASS","FAIL")</f>
        <v>PASS</v>
      </c>
      <c r="F3837" s="9" t="s">
        <v>76</v>
      </c>
      <c r="G3837" s="6"/>
      <c r="H3837" s="6"/>
      <c r="I3837" s="6"/>
      <c r="J3837" s="6"/>
      <c r="K3837" s="6"/>
      <c r="L3837" s="6"/>
      <c r="M3837" s="6"/>
      <c r="N3837" s="6"/>
      <c r="O3837" s="6"/>
      <c r="P3837" s="6"/>
      <c r="Q3837" s="6"/>
      <c r="R3837" s="6"/>
      <c r="S3837" s="6"/>
      <c r="T3837" s="6"/>
      <c r="U3837" s="6"/>
      <c r="V3837" s="6"/>
      <c r="W3837" s="6"/>
      <c r="X3837" s="6"/>
      <c r="Y3837" s="6"/>
      <c r="Z3837" s="6"/>
    </row>
    <row r="3838" customFormat="false" ht="15" hidden="false" customHeight="false" outlineLevel="0" collapsed="false">
      <c r="A3838" s="9" t="s">
        <v>9681</v>
      </c>
      <c r="B3838" s="9" t="s">
        <v>5870</v>
      </c>
      <c r="C3838" s="9" t="s">
        <v>4099</v>
      </c>
      <c r="D3838" s="9" t="s">
        <v>5871</v>
      </c>
      <c r="E3838" s="9" t="str">
        <f aca="false">IF(AND('Formation Ledger'!A3817&lt;&gt;"",'Formation Ledger'!V3817=0),"PASS","FAIL")</f>
        <v>PASS</v>
      </c>
      <c r="F3838" s="9" t="s">
        <v>76</v>
      </c>
      <c r="G3838" s="6"/>
      <c r="H3838" s="6"/>
      <c r="I3838" s="6"/>
      <c r="J3838" s="6"/>
      <c r="K3838" s="6"/>
      <c r="L3838" s="6"/>
      <c r="M3838" s="6"/>
      <c r="N3838" s="6"/>
      <c r="O3838" s="6"/>
      <c r="P3838" s="6"/>
      <c r="Q3838" s="6"/>
      <c r="R3838" s="6"/>
      <c r="S3838" s="6"/>
      <c r="T3838" s="6"/>
      <c r="U3838" s="6"/>
      <c r="V3838" s="6"/>
      <c r="W3838" s="6"/>
      <c r="X3838" s="6"/>
      <c r="Y3838" s="6"/>
      <c r="Z3838" s="6"/>
    </row>
    <row r="3839" customFormat="false" ht="15" hidden="false" customHeight="false" outlineLevel="0" collapsed="false">
      <c r="A3839" s="9" t="s">
        <v>9682</v>
      </c>
      <c r="B3839" s="9" t="s">
        <v>5870</v>
      </c>
      <c r="C3839" s="9" t="s">
        <v>4100</v>
      </c>
      <c r="D3839" s="9" t="s">
        <v>5871</v>
      </c>
      <c r="E3839" s="9" t="str">
        <f aca="false">IF(AND('Formation Ledger'!A3818&lt;&gt;"",'Formation Ledger'!V3818=0),"PASS","FAIL")</f>
        <v>PASS</v>
      </c>
      <c r="F3839" s="9" t="s">
        <v>76</v>
      </c>
      <c r="G3839" s="6"/>
      <c r="H3839" s="6"/>
      <c r="I3839" s="6"/>
      <c r="J3839" s="6"/>
      <c r="K3839" s="6"/>
      <c r="L3839" s="6"/>
      <c r="M3839" s="6"/>
      <c r="N3839" s="6"/>
      <c r="O3839" s="6"/>
      <c r="P3839" s="6"/>
      <c r="Q3839" s="6"/>
      <c r="R3839" s="6"/>
      <c r="S3839" s="6"/>
      <c r="T3839" s="6"/>
      <c r="U3839" s="6"/>
      <c r="V3839" s="6"/>
      <c r="W3839" s="6"/>
      <c r="X3839" s="6"/>
      <c r="Y3839" s="6"/>
      <c r="Z3839" s="6"/>
    </row>
    <row r="3840" customFormat="false" ht="15" hidden="false" customHeight="false" outlineLevel="0" collapsed="false">
      <c r="A3840" s="9" t="s">
        <v>9683</v>
      </c>
      <c r="B3840" s="9" t="s">
        <v>5870</v>
      </c>
      <c r="C3840" s="9" t="s">
        <v>4101</v>
      </c>
      <c r="D3840" s="9" t="s">
        <v>5871</v>
      </c>
      <c r="E3840" s="9" t="str">
        <f aca="false">IF(AND('Formation Ledger'!A3819&lt;&gt;"",'Formation Ledger'!V3819=0),"PASS","FAIL")</f>
        <v>PASS</v>
      </c>
      <c r="F3840" s="9" t="s">
        <v>76</v>
      </c>
      <c r="G3840" s="6"/>
      <c r="H3840" s="6"/>
      <c r="I3840" s="6"/>
      <c r="J3840" s="6"/>
      <c r="K3840" s="6"/>
      <c r="L3840" s="6"/>
      <c r="M3840" s="6"/>
      <c r="N3840" s="6"/>
      <c r="O3840" s="6"/>
      <c r="P3840" s="6"/>
      <c r="Q3840" s="6"/>
      <c r="R3840" s="6"/>
      <c r="S3840" s="6"/>
      <c r="T3840" s="6"/>
      <c r="U3840" s="6"/>
      <c r="V3840" s="6"/>
      <c r="W3840" s="6"/>
      <c r="X3840" s="6"/>
      <c r="Y3840" s="6"/>
      <c r="Z3840" s="6"/>
    </row>
    <row r="3841" customFormat="false" ht="15" hidden="false" customHeight="false" outlineLevel="0" collapsed="false">
      <c r="A3841" s="9" t="s">
        <v>9684</v>
      </c>
      <c r="B3841" s="9" t="s">
        <v>5870</v>
      </c>
      <c r="C3841" s="9" t="s">
        <v>4102</v>
      </c>
      <c r="D3841" s="9" t="s">
        <v>5871</v>
      </c>
      <c r="E3841" s="9" t="str">
        <f aca="false">IF(AND('Formation Ledger'!A3820&lt;&gt;"",'Formation Ledger'!V3820=0),"PASS","FAIL")</f>
        <v>PASS</v>
      </c>
      <c r="F3841" s="9" t="s">
        <v>76</v>
      </c>
      <c r="G3841" s="6"/>
      <c r="H3841" s="6"/>
      <c r="I3841" s="6"/>
      <c r="J3841" s="6"/>
      <c r="K3841" s="6"/>
      <c r="L3841" s="6"/>
      <c r="M3841" s="6"/>
      <c r="N3841" s="6"/>
      <c r="O3841" s="6"/>
      <c r="P3841" s="6"/>
      <c r="Q3841" s="6"/>
      <c r="R3841" s="6"/>
      <c r="S3841" s="6"/>
      <c r="T3841" s="6"/>
      <c r="U3841" s="6"/>
      <c r="V3841" s="6"/>
      <c r="W3841" s="6"/>
      <c r="X3841" s="6"/>
      <c r="Y3841" s="6"/>
      <c r="Z3841" s="6"/>
    </row>
    <row r="3842" customFormat="false" ht="15" hidden="false" customHeight="false" outlineLevel="0" collapsed="false">
      <c r="A3842" s="9" t="s">
        <v>9685</v>
      </c>
      <c r="B3842" s="9" t="s">
        <v>5870</v>
      </c>
      <c r="C3842" s="9" t="s">
        <v>4103</v>
      </c>
      <c r="D3842" s="9" t="s">
        <v>5871</v>
      </c>
      <c r="E3842" s="9" t="str">
        <f aca="false">IF(AND('Formation Ledger'!A3821&lt;&gt;"",'Formation Ledger'!V3821=0),"PASS","FAIL")</f>
        <v>PASS</v>
      </c>
      <c r="F3842" s="9" t="s">
        <v>76</v>
      </c>
      <c r="G3842" s="6"/>
      <c r="H3842" s="6"/>
      <c r="I3842" s="6"/>
      <c r="J3842" s="6"/>
      <c r="K3842" s="6"/>
      <c r="L3842" s="6"/>
      <c r="M3842" s="6"/>
      <c r="N3842" s="6"/>
      <c r="O3842" s="6"/>
      <c r="P3842" s="6"/>
      <c r="Q3842" s="6"/>
      <c r="R3842" s="6"/>
      <c r="S3842" s="6"/>
      <c r="T3842" s="6"/>
      <c r="U3842" s="6"/>
      <c r="V3842" s="6"/>
      <c r="W3842" s="6"/>
      <c r="X3842" s="6"/>
      <c r="Y3842" s="6"/>
      <c r="Z3842" s="6"/>
    </row>
    <row r="3843" customFormat="false" ht="15" hidden="false" customHeight="false" outlineLevel="0" collapsed="false">
      <c r="A3843" s="9" t="s">
        <v>9686</v>
      </c>
      <c r="B3843" s="9" t="s">
        <v>5870</v>
      </c>
      <c r="C3843" s="9" t="s">
        <v>4104</v>
      </c>
      <c r="D3843" s="9" t="s">
        <v>5871</v>
      </c>
      <c r="E3843" s="9" t="str">
        <f aca="false">IF(AND('Formation Ledger'!A3822&lt;&gt;"",'Formation Ledger'!V3822=0),"PASS","FAIL")</f>
        <v>PASS</v>
      </c>
      <c r="F3843" s="9" t="s">
        <v>76</v>
      </c>
      <c r="G3843" s="6"/>
      <c r="H3843" s="6"/>
      <c r="I3843" s="6"/>
      <c r="J3843" s="6"/>
      <c r="K3843" s="6"/>
      <c r="L3843" s="6"/>
      <c r="M3843" s="6"/>
      <c r="N3843" s="6"/>
      <c r="O3843" s="6"/>
      <c r="P3843" s="6"/>
      <c r="Q3843" s="6"/>
      <c r="R3843" s="6"/>
      <c r="S3843" s="6"/>
      <c r="T3843" s="6"/>
      <c r="U3843" s="6"/>
      <c r="V3843" s="6"/>
      <c r="W3843" s="6"/>
      <c r="X3843" s="6"/>
      <c r="Y3843" s="6"/>
      <c r="Z3843" s="6"/>
    </row>
    <row r="3844" customFormat="false" ht="15" hidden="false" customHeight="false" outlineLevel="0" collapsed="false">
      <c r="A3844" s="9" t="s">
        <v>9687</v>
      </c>
      <c r="B3844" s="9" t="s">
        <v>5870</v>
      </c>
      <c r="C3844" s="9" t="s">
        <v>4105</v>
      </c>
      <c r="D3844" s="9" t="s">
        <v>5871</v>
      </c>
      <c r="E3844" s="9" t="str">
        <f aca="false">IF(AND('Formation Ledger'!A3823&lt;&gt;"",'Formation Ledger'!V3823=0),"PASS","FAIL")</f>
        <v>PASS</v>
      </c>
      <c r="F3844" s="9" t="s">
        <v>76</v>
      </c>
      <c r="G3844" s="6"/>
      <c r="H3844" s="6"/>
      <c r="I3844" s="6"/>
      <c r="J3844" s="6"/>
      <c r="K3844" s="6"/>
      <c r="L3844" s="6"/>
      <c r="M3844" s="6"/>
      <c r="N3844" s="6"/>
      <c r="O3844" s="6"/>
      <c r="P3844" s="6"/>
      <c r="Q3844" s="6"/>
      <c r="R3844" s="6"/>
      <c r="S3844" s="6"/>
      <c r="T3844" s="6"/>
      <c r="U3844" s="6"/>
      <c r="V3844" s="6"/>
      <c r="W3844" s="6"/>
      <c r="X3844" s="6"/>
      <c r="Y3844" s="6"/>
      <c r="Z3844" s="6"/>
    </row>
    <row r="3845" customFormat="false" ht="15" hidden="false" customHeight="false" outlineLevel="0" collapsed="false">
      <c r="A3845" s="9" t="s">
        <v>9688</v>
      </c>
      <c r="B3845" s="9" t="s">
        <v>5870</v>
      </c>
      <c r="C3845" s="9" t="s">
        <v>4106</v>
      </c>
      <c r="D3845" s="9" t="s">
        <v>5871</v>
      </c>
      <c r="E3845" s="9" t="str">
        <f aca="false">IF(AND('Formation Ledger'!A3824&lt;&gt;"",'Formation Ledger'!V3824=0),"PASS","FAIL")</f>
        <v>PASS</v>
      </c>
      <c r="F3845" s="9" t="s">
        <v>76</v>
      </c>
      <c r="G3845" s="6"/>
      <c r="H3845" s="6"/>
      <c r="I3845" s="6"/>
      <c r="J3845" s="6"/>
      <c r="K3845" s="6"/>
      <c r="L3845" s="6"/>
      <c r="M3845" s="6"/>
      <c r="N3845" s="6"/>
      <c r="O3845" s="6"/>
      <c r="P3845" s="6"/>
      <c r="Q3845" s="6"/>
      <c r="R3845" s="6"/>
      <c r="S3845" s="6"/>
      <c r="T3845" s="6"/>
      <c r="U3845" s="6"/>
      <c r="V3845" s="6"/>
      <c r="W3845" s="6"/>
      <c r="X3845" s="6"/>
      <c r="Y3845" s="6"/>
      <c r="Z3845" s="6"/>
    </row>
    <row r="3846" customFormat="false" ht="15" hidden="false" customHeight="false" outlineLevel="0" collapsed="false">
      <c r="A3846" s="9" t="s">
        <v>9689</v>
      </c>
      <c r="B3846" s="9" t="s">
        <v>5870</v>
      </c>
      <c r="C3846" s="9" t="s">
        <v>4107</v>
      </c>
      <c r="D3846" s="9" t="s">
        <v>5871</v>
      </c>
      <c r="E3846" s="9" t="str">
        <f aca="false">IF(AND('Formation Ledger'!A3825&lt;&gt;"",'Formation Ledger'!V3825=0),"PASS","FAIL")</f>
        <v>PASS</v>
      </c>
      <c r="F3846" s="9" t="s">
        <v>76</v>
      </c>
      <c r="G3846" s="6"/>
      <c r="H3846" s="6"/>
      <c r="I3846" s="6"/>
      <c r="J3846" s="6"/>
      <c r="K3846" s="6"/>
      <c r="L3846" s="6"/>
      <c r="M3846" s="6"/>
      <c r="N3846" s="6"/>
      <c r="O3846" s="6"/>
      <c r="P3846" s="6"/>
      <c r="Q3846" s="6"/>
      <c r="R3846" s="6"/>
      <c r="S3846" s="6"/>
      <c r="T3846" s="6"/>
      <c r="U3846" s="6"/>
      <c r="V3846" s="6"/>
      <c r="W3846" s="6"/>
      <c r="X3846" s="6"/>
      <c r="Y3846" s="6"/>
      <c r="Z3846" s="6"/>
    </row>
    <row r="3847" customFormat="false" ht="15" hidden="false" customHeight="false" outlineLevel="0" collapsed="false">
      <c r="A3847" s="9" t="s">
        <v>9690</v>
      </c>
      <c r="B3847" s="9" t="s">
        <v>5870</v>
      </c>
      <c r="C3847" s="9" t="s">
        <v>4108</v>
      </c>
      <c r="D3847" s="9" t="s">
        <v>5871</v>
      </c>
      <c r="E3847" s="9" t="str">
        <f aca="false">IF(AND('Formation Ledger'!A3826&lt;&gt;"",'Formation Ledger'!V3826=0),"PASS","FAIL")</f>
        <v>PASS</v>
      </c>
      <c r="F3847" s="9" t="s">
        <v>76</v>
      </c>
      <c r="G3847" s="6"/>
      <c r="H3847" s="6"/>
      <c r="I3847" s="6"/>
      <c r="J3847" s="6"/>
      <c r="K3847" s="6"/>
      <c r="L3847" s="6"/>
      <c r="M3847" s="6"/>
      <c r="N3847" s="6"/>
      <c r="O3847" s="6"/>
      <c r="P3847" s="6"/>
      <c r="Q3847" s="6"/>
      <c r="R3847" s="6"/>
      <c r="S3847" s="6"/>
      <c r="T3847" s="6"/>
      <c r="U3847" s="6"/>
      <c r="V3847" s="6"/>
      <c r="W3847" s="6"/>
      <c r="X3847" s="6"/>
      <c r="Y3847" s="6"/>
      <c r="Z3847" s="6"/>
    </row>
    <row r="3848" customFormat="false" ht="15" hidden="false" customHeight="false" outlineLevel="0" collapsed="false">
      <c r="A3848" s="9" t="s">
        <v>9691</v>
      </c>
      <c r="B3848" s="9" t="s">
        <v>5870</v>
      </c>
      <c r="C3848" s="9" t="s">
        <v>4109</v>
      </c>
      <c r="D3848" s="9" t="s">
        <v>5871</v>
      </c>
      <c r="E3848" s="9" t="str">
        <f aca="false">IF(AND('Formation Ledger'!A3827&lt;&gt;"",'Formation Ledger'!V3827=0),"PASS","FAIL")</f>
        <v>PASS</v>
      </c>
      <c r="F3848" s="9" t="s">
        <v>76</v>
      </c>
      <c r="G3848" s="6"/>
      <c r="H3848" s="6"/>
      <c r="I3848" s="6"/>
      <c r="J3848" s="6"/>
      <c r="K3848" s="6"/>
      <c r="L3848" s="6"/>
      <c r="M3848" s="6"/>
      <c r="N3848" s="6"/>
      <c r="O3848" s="6"/>
      <c r="P3848" s="6"/>
      <c r="Q3848" s="6"/>
      <c r="R3848" s="6"/>
      <c r="S3848" s="6"/>
      <c r="T3848" s="6"/>
      <c r="U3848" s="6"/>
      <c r="V3848" s="6"/>
      <c r="W3848" s="6"/>
      <c r="X3848" s="6"/>
      <c r="Y3848" s="6"/>
      <c r="Z3848" s="6"/>
    </row>
    <row r="3849" customFormat="false" ht="15" hidden="false" customHeight="false" outlineLevel="0" collapsed="false">
      <c r="A3849" s="9" t="s">
        <v>9692</v>
      </c>
      <c r="B3849" s="9" t="s">
        <v>5870</v>
      </c>
      <c r="C3849" s="9" t="s">
        <v>4110</v>
      </c>
      <c r="D3849" s="9" t="s">
        <v>5871</v>
      </c>
      <c r="E3849" s="9" t="str">
        <f aca="false">IF(AND('Formation Ledger'!A3828&lt;&gt;"",'Formation Ledger'!V3828=0),"PASS","FAIL")</f>
        <v>PASS</v>
      </c>
      <c r="F3849" s="9" t="s">
        <v>76</v>
      </c>
      <c r="G3849" s="6"/>
      <c r="H3849" s="6"/>
      <c r="I3849" s="6"/>
      <c r="J3849" s="6"/>
      <c r="K3849" s="6"/>
      <c r="L3849" s="6"/>
      <c r="M3849" s="6"/>
      <c r="N3849" s="6"/>
      <c r="O3849" s="6"/>
      <c r="P3849" s="6"/>
      <c r="Q3849" s="6"/>
      <c r="R3849" s="6"/>
      <c r="S3849" s="6"/>
      <c r="T3849" s="6"/>
      <c r="U3849" s="6"/>
      <c r="V3849" s="6"/>
      <c r="W3849" s="6"/>
      <c r="X3849" s="6"/>
      <c r="Y3849" s="6"/>
      <c r="Z3849" s="6"/>
    </row>
    <row r="3850" customFormat="false" ht="15" hidden="false" customHeight="false" outlineLevel="0" collapsed="false">
      <c r="A3850" s="9" t="s">
        <v>9693</v>
      </c>
      <c r="B3850" s="9" t="s">
        <v>5870</v>
      </c>
      <c r="C3850" s="9" t="s">
        <v>4111</v>
      </c>
      <c r="D3850" s="9" t="s">
        <v>5871</v>
      </c>
      <c r="E3850" s="9" t="str">
        <f aca="false">IF(AND('Formation Ledger'!A3829&lt;&gt;"",'Formation Ledger'!V3829=0),"PASS","FAIL")</f>
        <v>PASS</v>
      </c>
      <c r="F3850" s="9" t="s">
        <v>76</v>
      </c>
      <c r="G3850" s="6"/>
      <c r="H3850" s="6"/>
      <c r="I3850" s="6"/>
      <c r="J3850" s="6"/>
      <c r="K3850" s="6"/>
      <c r="L3850" s="6"/>
      <c r="M3850" s="6"/>
      <c r="N3850" s="6"/>
      <c r="O3850" s="6"/>
      <c r="P3850" s="6"/>
      <c r="Q3850" s="6"/>
      <c r="R3850" s="6"/>
      <c r="S3850" s="6"/>
      <c r="T3850" s="6"/>
      <c r="U3850" s="6"/>
      <c r="V3850" s="6"/>
      <c r="W3850" s="6"/>
      <c r="X3850" s="6"/>
      <c r="Y3850" s="6"/>
      <c r="Z3850" s="6"/>
    </row>
    <row r="3851" customFormat="false" ht="15" hidden="false" customHeight="false" outlineLevel="0" collapsed="false">
      <c r="A3851" s="9" t="s">
        <v>9694</v>
      </c>
      <c r="B3851" s="9" t="s">
        <v>5870</v>
      </c>
      <c r="C3851" s="9" t="s">
        <v>4112</v>
      </c>
      <c r="D3851" s="9" t="s">
        <v>5871</v>
      </c>
      <c r="E3851" s="9" t="str">
        <f aca="false">IF(AND('Formation Ledger'!A3830&lt;&gt;"",'Formation Ledger'!V3830=0),"PASS","FAIL")</f>
        <v>PASS</v>
      </c>
      <c r="F3851" s="9" t="s">
        <v>76</v>
      </c>
      <c r="G3851" s="6"/>
      <c r="H3851" s="6"/>
      <c r="I3851" s="6"/>
      <c r="J3851" s="6"/>
      <c r="K3851" s="6"/>
      <c r="L3851" s="6"/>
      <c r="M3851" s="6"/>
      <c r="N3851" s="6"/>
      <c r="O3851" s="6"/>
      <c r="P3851" s="6"/>
      <c r="Q3851" s="6"/>
      <c r="R3851" s="6"/>
      <c r="S3851" s="6"/>
      <c r="T3851" s="6"/>
      <c r="U3851" s="6"/>
      <c r="V3851" s="6"/>
      <c r="W3851" s="6"/>
      <c r="X3851" s="6"/>
      <c r="Y3851" s="6"/>
      <c r="Z3851" s="6"/>
    </row>
    <row r="3852" customFormat="false" ht="15" hidden="false" customHeight="false" outlineLevel="0" collapsed="false">
      <c r="A3852" s="9" t="s">
        <v>9695</v>
      </c>
      <c r="B3852" s="9" t="s">
        <v>5870</v>
      </c>
      <c r="C3852" s="9" t="s">
        <v>4113</v>
      </c>
      <c r="D3852" s="9" t="s">
        <v>5871</v>
      </c>
      <c r="E3852" s="9" t="str">
        <f aca="false">IF(AND('Formation Ledger'!A3831&lt;&gt;"",'Formation Ledger'!V3831=0),"PASS","FAIL")</f>
        <v>PASS</v>
      </c>
      <c r="F3852" s="9" t="s">
        <v>76</v>
      </c>
      <c r="G3852" s="6"/>
      <c r="H3852" s="6"/>
      <c r="I3852" s="6"/>
      <c r="J3852" s="6"/>
      <c r="K3852" s="6"/>
      <c r="L3852" s="6"/>
      <c r="M3852" s="6"/>
      <c r="N3852" s="6"/>
      <c r="O3852" s="6"/>
      <c r="P3852" s="6"/>
      <c r="Q3852" s="6"/>
      <c r="R3852" s="6"/>
      <c r="S3852" s="6"/>
      <c r="T3852" s="6"/>
      <c r="U3852" s="6"/>
      <c r="V3852" s="6"/>
      <c r="W3852" s="6"/>
      <c r="X3852" s="6"/>
      <c r="Y3852" s="6"/>
      <c r="Z3852" s="6"/>
    </row>
    <row r="3853" customFormat="false" ht="15" hidden="false" customHeight="false" outlineLevel="0" collapsed="false">
      <c r="A3853" s="9" t="s">
        <v>9696</v>
      </c>
      <c r="B3853" s="9" t="s">
        <v>5870</v>
      </c>
      <c r="C3853" s="9" t="s">
        <v>4114</v>
      </c>
      <c r="D3853" s="9" t="s">
        <v>5871</v>
      </c>
      <c r="E3853" s="9" t="str">
        <f aca="false">IF(AND('Formation Ledger'!A3832&lt;&gt;"",'Formation Ledger'!V3832=0),"PASS","FAIL")</f>
        <v>PASS</v>
      </c>
      <c r="F3853" s="9" t="s">
        <v>76</v>
      </c>
      <c r="G3853" s="6"/>
      <c r="H3853" s="6"/>
      <c r="I3853" s="6"/>
      <c r="J3853" s="6"/>
      <c r="K3853" s="6"/>
      <c r="L3853" s="6"/>
      <c r="M3853" s="6"/>
      <c r="N3853" s="6"/>
      <c r="O3853" s="6"/>
      <c r="P3853" s="6"/>
      <c r="Q3853" s="6"/>
      <c r="R3853" s="6"/>
      <c r="S3853" s="6"/>
      <c r="T3853" s="6"/>
      <c r="U3853" s="6"/>
      <c r="V3853" s="6"/>
      <c r="W3853" s="6"/>
      <c r="X3853" s="6"/>
      <c r="Y3853" s="6"/>
      <c r="Z3853" s="6"/>
    </row>
    <row r="3854" customFormat="false" ht="15" hidden="false" customHeight="false" outlineLevel="0" collapsed="false">
      <c r="A3854" s="9" t="s">
        <v>9697</v>
      </c>
      <c r="B3854" s="9" t="s">
        <v>5870</v>
      </c>
      <c r="C3854" s="9" t="s">
        <v>4115</v>
      </c>
      <c r="D3854" s="9" t="s">
        <v>5871</v>
      </c>
      <c r="E3854" s="9" t="str">
        <f aca="false">IF(AND('Formation Ledger'!A3833&lt;&gt;"",'Formation Ledger'!V3833=0),"PASS","FAIL")</f>
        <v>PASS</v>
      </c>
      <c r="F3854" s="9" t="s">
        <v>76</v>
      </c>
      <c r="G3854" s="6"/>
      <c r="H3854" s="6"/>
      <c r="I3854" s="6"/>
      <c r="J3854" s="6"/>
      <c r="K3854" s="6"/>
      <c r="L3854" s="6"/>
      <c r="M3854" s="6"/>
      <c r="N3854" s="6"/>
      <c r="O3854" s="6"/>
      <c r="P3854" s="6"/>
      <c r="Q3854" s="6"/>
      <c r="R3854" s="6"/>
      <c r="S3854" s="6"/>
      <c r="T3854" s="6"/>
      <c r="U3854" s="6"/>
      <c r="V3854" s="6"/>
      <c r="W3854" s="6"/>
      <c r="X3854" s="6"/>
      <c r="Y3854" s="6"/>
      <c r="Z3854" s="6"/>
    </row>
    <row r="3855" customFormat="false" ht="15" hidden="false" customHeight="false" outlineLevel="0" collapsed="false">
      <c r="A3855" s="9" t="s">
        <v>9698</v>
      </c>
      <c r="B3855" s="9" t="s">
        <v>5870</v>
      </c>
      <c r="C3855" s="9" t="s">
        <v>4116</v>
      </c>
      <c r="D3855" s="9" t="s">
        <v>5871</v>
      </c>
      <c r="E3855" s="9" t="str">
        <f aca="false">IF(AND('Formation Ledger'!A3834&lt;&gt;"",'Formation Ledger'!V3834=0),"PASS","FAIL")</f>
        <v>PASS</v>
      </c>
      <c r="F3855" s="9" t="s">
        <v>76</v>
      </c>
      <c r="G3855" s="6"/>
      <c r="H3855" s="6"/>
      <c r="I3855" s="6"/>
      <c r="J3855" s="6"/>
      <c r="K3855" s="6"/>
      <c r="L3855" s="6"/>
      <c r="M3855" s="6"/>
      <c r="N3855" s="6"/>
      <c r="O3855" s="6"/>
      <c r="P3855" s="6"/>
      <c r="Q3855" s="6"/>
      <c r="R3855" s="6"/>
      <c r="S3855" s="6"/>
      <c r="T3855" s="6"/>
      <c r="U3855" s="6"/>
      <c r="V3855" s="6"/>
      <c r="W3855" s="6"/>
      <c r="X3855" s="6"/>
      <c r="Y3855" s="6"/>
      <c r="Z3855" s="6"/>
    </row>
    <row r="3856" customFormat="false" ht="15" hidden="false" customHeight="false" outlineLevel="0" collapsed="false">
      <c r="A3856" s="9" t="s">
        <v>9699</v>
      </c>
      <c r="B3856" s="9" t="s">
        <v>5870</v>
      </c>
      <c r="C3856" s="9" t="s">
        <v>4117</v>
      </c>
      <c r="D3856" s="9" t="s">
        <v>5871</v>
      </c>
      <c r="E3856" s="9" t="str">
        <f aca="false">IF(AND('Formation Ledger'!A3835&lt;&gt;"",'Formation Ledger'!V3835=0),"PASS","FAIL")</f>
        <v>PASS</v>
      </c>
      <c r="F3856" s="9" t="s">
        <v>76</v>
      </c>
      <c r="G3856" s="6"/>
      <c r="H3856" s="6"/>
      <c r="I3856" s="6"/>
      <c r="J3856" s="6"/>
      <c r="K3856" s="6"/>
      <c r="L3856" s="6"/>
      <c r="M3856" s="6"/>
      <c r="N3856" s="6"/>
      <c r="O3856" s="6"/>
      <c r="P3856" s="6"/>
      <c r="Q3856" s="6"/>
      <c r="R3856" s="6"/>
      <c r="S3856" s="6"/>
      <c r="T3856" s="6"/>
      <c r="U3856" s="6"/>
      <c r="V3856" s="6"/>
      <c r="W3856" s="6"/>
      <c r="X3856" s="6"/>
      <c r="Y3856" s="6"/>
      <c r="Z3856" s="6"/>
    </row>
    <row r="3857" customFormat="false" ht="15" hidden="false" customHeight="false" outlineLevel="0" collapsed="false">
      <c r="A3857" s="9" t="s">
        <v>9700</v>
      </c>
      <c r="B3857" s="9" t="s">
        <v>5870</v>
      </c>
      <c r="C3857" s="9" t="s">
        <v>4118</v>
      </c>
      <c r="D3857" s="9" t="s">
        <v>5871</v>
      </c>
      <c r="E3857" s="9" t="str">
        <f aca="false">IF(AND('Formation Ledger'!A3836&lt;&gt;"",'Formation Ledger'!V3836=0),"PASS","FAIL")</f>
        <v>PASS</v>
      </c>
      <c r="F3857" s="9" t="s">
        <v>76</v>
      </c>
      <c r="G3857" s="6"/>
      <c r="H3857" s="6"/>
      <c r="I3857" s="6"/>
      <c r="J3857" s="6"/>
      <c r="K3857" s="6"/>
      <c r="L3857" s="6"/>
      <c r="M3857" s="6"/>
      <c r="N3857" s="6"/>
      <c r="O3857" s="6"/>
      <c r="P3857" s="6"/>
      <c r="Q3857" s="6"/>
      <c r="R3857" s="6"/>
      <c r="S3857" s="6"/>
      <c r="T3857" s="6"/>
      <c r="U3857" s="6"/>
      <c r="V3857" s="6"/>
      <c r="W3857" s="6"/>
      <c r="X3857" s="6"/>
      <c r="Y3857" s="6"/>
      <c r="Z3857" s="6"/>
    </row>
    <row r="3858" customFormat="false" ht="15" hidden="false" customHeight="false" outlineLevel="0" collapsed="false">
      <c r="A3858" s="9" t="s">
        <v>9701</v>
      </c>
      <c r="B3858" s="9" t="s">
        <v>5870</v>
      </c>
      <c r="C3858" s="9" t="s">
        <v>4119</v>
      </c>
      <c r="D3858" s="9" t="s">
        <v>5871</v>
      </c>
      <c r="E3858" s="9" t="str">
        <f aca="false">IF(AND('Formation Ledger'!A3837&lt;&gt;"",'Formation Ledger'!V3837=0),"PASS","FAIL")</f>
        <v>PASS</v>
      </c>
      <c r="F3858" s="9" t="s">
        <v>76</v>
      </c>
      <c r="G3858" s="6"/>
      <c r="H3858" s="6"/>
      <c r="I3858" s="6"/>
      <c r="J3858" s="6"/>
      <c r="K3858" s="6"/>
      <c r="L3858" s="6"/>
      <c r="M3858" s="6"/>
      <c r="N3858" s="6"/>
      <c r="O3858" s="6"/>
      <c r="P3858" s="6"/>
      <c r="Q3858" s="6"/>
      <c r="R3858" s="6"/>
      <c r="S3858" s="6"/>
      <c r="T3858" s="6"/>
      <c r="U3858" s="6"/>
      <c r="V3858" s="6"/>
      <c r="W3858" s="6"/>
      <c r="X3858" s="6"/>
      <c r="Y3858" s="6"/>
      <c r="Z3858" s="6"/>
    </row>
    <row r="3859" customFormat="false" ht="15" hidden="false" customHeight="false" outlineLevel="0" collapsed="false">
      <c r="A3859" s="9" t="s">
        <v>9702</v>
      </c>
      <c r="B3859" s="9" t="s">
        <v>5870</v>
      </c>
      <c r="C3859" s="9" t="s">
        <v>4120</v>
      </c>
      <c r="D3859" s="9" t="s">
        <v>5871</v>
      </c>
      <c r="E3859" s="9" t="str">
        <f aca="false">IF(AND('Formation Ledger'!A3838&lt;&gt;"",'Formation Ledger'!V3838=0),"PASS","FAIL")</f>
        <v>PASS</v>
      </c>
      <c r="F3859" s="9" t="s">
        <v>76</v>
      </c>
      <c r="G3859" s="6"/>
      <c r="H3859" s="6"/>
      <c r="I3859" s="6"/>
      <c r="J3859" s="6"/>
      <c r="K3859" s="6"/>
      <c r="L3859" s="6"/>
      <c r="M3859" s="6"/>
      <c r="N3859" s="6"/>
      <c r="O3859" s="6"/>
      <c r="P3859" s="6"/>
      <c r="Q3859" s="6"/>
      <c r="R3859" s="6"/>
      <c r="S3859" s="6"/>
      <c r="T3859" s="6"/>
      <c r="U3859" s="6"/>
      <c r="V3859" s="6"/>
      <c r="W3859" s="6"/>
      <c r="X3859" s="6"/>
      <c r="Y3859" s="6"/>
      <c r="Z3859" s="6"/>
    </row>
    <row r="3860" customFormat="false" ht="15" hidden="false" customHeight="false" outlineLevel="0" collapsed="false">
      <c r="A3860" s="9" t="s">
        <v>9703</v>
      </c>
      <c r="B3860" s="9" t="s">
        <v>5870</v>
      </c>
      <c r="C3860" s="9" t="s">
        <v>4121</v>
      </c>
      <c r="D3860" s="9" t="s">
        <v>5871</v>
      </c>
      <c r="E3860" s="9" t="str">
        <f aca="false">IF(AND('Formation Ledger'!A3839&lt;&gt;"",'Formation Ledger'!V3839=0),"PASS","FAIL")</f>
        <v>PASS</v>
      </c>
      <c r="F3860" s="9" t="s">
        <v>76</v>
      </c>
      <c r="G3860" s="6"/>
      <c r="H3860" s="6"/>
      <c r="I3860" s="6"/>
      <c r="J3860" s="6"/>
      <c r="K3860" s="6"/>
      <c r="L3860" s="6"/>
      <c r="M3860" s="6"/>
      <c r="N3860" s="6"/>
      <c r="O3860" s="6"/>
      <c r="P3860" s="6"/>
      <c r="Q3860" s="6"/>
      <c r="R3860" s="6"/>
      <c r="S3860" s="6"/>
      <c r="T3860" s="6"/>
      <c r="U3860" s="6"/>
      <c r="V3860" s="6"/>
      <c r="W3860" s="6"/>
      <c r="X3860" s="6"/>
      <c r="Y3860" s="6"/>
      <c r="Z3860" s="6"/>
    </row>
    <row r="3861" customFormat="false" ht="15" hidden="false" customHeight="false" outlineLevel="0" collapsed="false">
      <c r="A3861" s="9" t="s">
        <v>9704</v>
      </c>
      <c r="B3861" s="9" t="s">
        <v>5870</v>
      </c>
      <c r="C3861" s="9" t="s">
        <v>4122</v>
      </c>
      <c r="D3861" s="9" t="s">
        <v>5871</v>
      </c>
      <c r="E3861" s="9" t="str">
        <f aca="false">IF(AND('Formation Ledger'!A3840&lt;&gt;"",'Formation Ledger'!V3840=0),"PASS","FAIL")</f>
        <v>PASS</v>
      </c>
      <c r="F3861" s="9" t="s">
        <v>76</v>
      </c>
      <c r="G3861" s="6"/>
      <c r="H3861" s="6"/>
      <c r="I3861" s="6"/>
      <c r="J3861" s="6"/>
      <c r="K3861" s="6"/>
      <c r="L3861" s="6"/>
      <c r="M3861" s="6"/>
      <c r="N3861" s="6"/>
      <c r="O3861" s="6"/>
      <c r="P3861" s="6"/>
      <c r="Q3861" s="6"/>
      <c r="R3861" s="6"/>
      <c r="S3861" s="6"/>
      <c r="T3861" s="6"/>
      <c r="U3861" s="6"/>
      <c r="V3861" s="6"/>
      <c r="W3861" s="6"/>
      <c r="X3861" s="6"/>
      <c r="Y3861" s="6"/>
      <c r="Z3861" s="6"/>
    </row>
    <row r="3862" customFormat="false" ht="15" hidden="false" customHeight="false" outlineLevel="0" collapsed="false">
      <c r="A3862" s="9" t="s">
        <v>9705</v>
      </c>
      <c r="B3862" s="9" t="s">
        <v>5870</v>
      </c>
      <c r="C3862" s="9" t="s">
        <v>4123</v>
      </c>
      <c r="D3862" s="9" t="s">
        <v>5871</v>
      </c>
      <c r="E3862" s="9" t="str">
        <f aca="false">IF(AND('Formation Ledger'!A3841&lt;&gt;"",'Formation Ledger'!V3841=0),"PASS","FAIL")</f>
        <v>PASS</v>
      </c>
      <c r="F3862" s="9" t="s">
        <v>76</v>
      </c>
      <c r="G3862" s="6"/>
      <c r="H3862" s="6"/>
      <c r="I3862" s="6"/>
      <c r="J3862" s="6"/>
      <c r="K3862" s="6"/>
      <c r="L3862" s="6"/>
      <c r="M3862" s="6"/>
      <c r="N3862" s="6"/>
      <c r="O3862" s="6"/>
      <c r="P3862" s="6"/>
      <c r="Q3862" s="6"/>
      <c r="R3862" s="6"/>
      <c r="S3862" s="6"/>
      <c r="T3862" s="6"/>
      <c r="U3862" s="6"/>
      <c r="V3862" s="6"/>
      <c r="W3862" s="6"/>
      <c r="X3862" s="6"/>
      <c r="Y3862" s="6"/>
      <c r="Z3862" s="6"/>
    </row>
    <row r="3863" customFormat="false" ht="15" hidden="false" customHeight="false" outlineLevel="0" collapsed="false">
      <c r="A3863" s="9" t="s">
        <v>9706</v>
      </c>
      <c r="B3863" s="9" t="s">
        <v>5870</v>
      </c>
      <c r="C3863" s="9" t="s">
        <v>4124</v>
      </c>
      <c r="D3863" s="9" t="s">
        <v>5871</v>
      </c>
      <c r="E3863" s="9" t="str">
        <f aca="false">IF(AND('Formation Ledger'!A3842&lt;&gt;"",'Formation Ledger'!V3842=0),"PASS","FAIL")</f>
        <v>PASS</v>
      </c>
      <c r="F3863" s="9" t="s">
        <v>76</v>
      </c>
      <c r="G3863" s="6"/>
      <c r="H3863" s="6"/>
      <c r="I3863" s="6"/>
      <c r="J3863" s="6"/>
      <c r="K3863" s="6"/>
      <c r="L3863" s="6"/>
      <c r="M3863" s="6"/>
      <c r="N3863" s="6"/>
      <c r="O3863" s="6"/>
      <c r="P3863" s="6"/>
      <c r="Q3863" s="6"/>
      <c r="R3863" s="6"/>
      <c r="S3863" s="6"/>
      <c r="T3863" s="6"/>
      <c r="U3863" s="6"/>
      <c r="V3863" s="6"/>
      <c r="W3863" s="6"/>
      <c r="X3863" s="6"/>
      <c r="Y3863" s="6"/>
      <c r="Z3863" s="6"/>
    </row>
    <row r="3864" customFormat="false" ht="15" hidden="false" customHeight="false" outlineLevel="0" collapsed="false">
      <c r="A3864" s="9" t="s">
        <v>9707</v>
      </c>
      <c r="B3864" s="9" t="s">
        <v>5870</v>
      </c>
      <c r="C3864" s="9" t="s">
        <v>4125</v>
      </c>
      <c r="D3864" s="9" t="s">
        <v>5871</v>
      </c>
      <c r="E3864" s="9" t="str">
        <f aca="false">IF(AND('Formation Ledger'!A3843&lt;&gt;"",'Formation Ledger'!V3843=0),"PASS","FAIL")</f>
        <v>PASS</v>
      </c>
      <c r="F3864" s="9" t="s">
        <v>76</v>
      </c>
      <c r="G3864" s="6"/>
      <c r="H3864" s="6"/>
      <c r="I3864" s="6"/>
      <c r="J3864" s="6"/>
      <c r="K3864" s="6"/>
      <c r="L3864" s="6"/>
      <c r="M3864" s="6"/>
      <c r="N3864" s="6"/>
      <c r="O3864" s="6"/>
      <c r="P3864" s="6"/>
      <c r="Q3864" s="6"/>
      <c r="R3864" s="6"/>
      <c r="S3864" s="6"/>
      <c r="T3864" s="6"/>
      <c r="U3864" s="6"/>
      <c r="V3864" s="6"/>
      <c r="W3864" s="6"/>
      <c r="X3864" s="6"/>
      <c r="Y3864" s="6"/>
      <c r="Z3864" s="6"/>
    </row>
    <row r="3865" customFormat="false" ht="15" hidden="false" customHeight="false" outlineLevel="0" collapsed="false">
      <c r="A3865" s="9" t="s">
        <v>9708</v>
      </c>
      <c r="B3865" s="9" t="s">
        <v>5870</v>
      </c>
      <c r="C3865" s="9" t="s">
        <v>4126</v>
      </c>
      <c r="D3865" s="9" t="s">
        <v>5871</v>
      </c>
      <c r="E3865" s="9" t="str">
        <f aca="false">IF(AND('Formation Ledger'!A3844&lt;&gt;"",'Formation Ledger'!V3844=0),"PASS","FAIL")</f>
        <v>PASS</v>
      </c>
      <c r="F3865" s="9" t="s">
        <v>76</v>
      </c>
      <c r="G3865" s="6"/>
      <c r="H3865" s="6"/>
      <c r="I3865" s="6"/>
      <c r="J3865" s="6"/>
      <c r="K3865" s="6"/>
      <c r="L3865" s="6"/>
      <c r="M3865" s="6"/>
      <c r="N3865" s="6"/>
      <c r="O3865" s="6"/>
      <c r="P3865" s="6"/>
      <c r="Q3865" s="6"/>
      <c r="R3865" s="6"/>
      <c r="S3865" s="6"/>
      <c r="T3865" s="6"/>
      <c r="U3865" s="6"/>
      <c r="V3865" s="6"/>
      <c r="W3865" s="6"/>
      <c r="X3865" s="6"/>
      <c r="Y3865" s="6"/>
      <c r="Z3865" s="6"/>
    </row>
    <row r="3866" customFormat="false" ht="15" hidden="false" customHeight="false" outlineLevel="0" collapsed="false">
      <c r="A3866" s="9" t="s">
        <v>9709</v>
      </c>
      <c r="B3866" s="9" t="s">
        <v>5870</v>
      </c>
      <c r="C3866" s="9" t="s">
        <v>4127</v>
      </c>
      <c r="D3866" s="9" t="s">
        <v>5871</v>
      </c>
      <c r="E3866" s="9" t="str">
        <f aca="false">IF(AND('Formation Ledger'!A3845&lt;&gt;"",'Formation Ledger'!V3845=0),"PASS","FAIL")</f>
        <v>PASS</v>
      </c>
      <c r="F3866" s="9" t="s">
        <v>76</v>
      </c>
      <c r="G3866" s="6"/>
      <c r="H3866" s="6"/>
      <c r="I3866" s="6"/>
      <c r="J3866" s="6"/>
      <c r="K3866" s="6"/>
      <c r="L3866" s="6"/>
      <c r="M3866" s="6"/>
      <c r="N3866" s="6"/>
      <c r="O3866" s="6"/>
      <c r="P3866" s="6"/>
      <c r="Q3866" s="6"/>
      <c r="R3866" s="6"/>
      <c r="S3866" s="6"/>
      <c r="T3866" s="6"/>
      <c r="U3866" s="6"/>
      <c r="V3866" s="6"/>
      <c r="W3866" s="6"/>
      <c r="X3866" s="6"/>
      <c r="Y3866" s="6"/>
      <c r="Z3866" s="6"/>
    </row>
    <row r="3867" customFormat="false" ht="15" hidden="false" customHeight="false" outlineLevel="0" collapsed="false">
      <c r="A3867" s="9" t="s">
        <v>9710</v>
      </c>
      <c r="B3867" s="9" t="s">
        <v>5870</v>
      </c>
      <c r="C3867" s="9" t="s">
        <v>4128</v>
      </c>
      <c r="D3867" s="9" t="s">
        <v>5871</v>
      </c>
      <c r="E3867" s="9" t="str">
        <f aca="false">IF(AND('Formation Ledger'!A3846&lt;&gt;"",'Formation Ledger'!V3846=0),"PASS","FAIL")</f>
        <v>PASS</v>
      </c>
      <c r="F3867" s="9" t="s">
        <v>76</v>
      </c>
      <c r="G3867" s="6"/>
      <c r="H3867" s="6"/>
      <c r="I3867" s="6"/>
      <c r="J3867" s="6"/>
      <c r="K3867" s="6"/>
      <c r="L3867" s="6"/>
      <c r="M3867" s="6"/>
      <c r="N3867" s="6"/>
      <c r="O3867" s="6"/>
      <c r="P3867" s="6"/>
      <c r="Q3867" s="6"/>
      <c r="R3867" s="6"/>
      <c r="S3867" s="6"/>
      <c r="T3867" s="6"/>
      <c r="U3867" s="6"/>
      <c r="V3867" s="6"/>
      <c r="W3867" s="6"/>
      <c r="X3867" s="6"/>
      <c r="Y3867" s="6"/>
      <c r="Z3867" s="6"/>
    </row>
    <row r="3868" customFormat="false" ht="15" hidden="false" customHeight="false" outlineLevel="0" collapsed="false">
      <c r="A3868" s="9" t="s">
        <v>9711</v>
      </c>
      <c r="B3868" s="9" t="s">
        <v>5870</v>
      </c>
      <c r="C3868" s="9" t="s">
        <v>4129</v>
      </c>
      <c r="D3868" s="9" t="s">
        <v>5871</v>
      </c>
      <c r="E3868" s="9" t="str">
        <f aca="false">IF(AND('Formation Ledger'!A3847&lt;&gt;"",'Formation Ledger'!V3847=0),"PASS","FAIL")</f>
        <v>PASS</v>
      </c>
      <c r="F3868" s="9" t="s">
        <v>76</v>
      </c>
      <c r="G3868" s="6"/>
      <c r="H3868" s="6"/>
      <c r="I3868" s="6"/>
      <c r="J3868" s="6"/>
      <c r="K3868" s="6"/>
      <c r="L3868" s="6"/>
      <c r="M3868" s="6"/>
      <c r="N3868" s="6"/>
      <c r="O3868" s="6"/>
      <c r="P3868" s="6"/>
      <c r="Q3868" s="6"/>
      <c r="R3868" s="6"/>
      <c r="S3868" s="6"/>
      <c r="T3868" s="6"/>
      <c r="U3868" s="6"/>
      <c r="V3868" s="6"/>
      <c r="W3868" s="6"/>
      <c r="X3868" s="6"/>
      <c r="Y3868" s="6"/>
      <c r="Z3868" s="6"/>
    </row>
    <row r="3869" customFormat="false" ht="15" hidden="false" customHeight="false" outlineLevel="0" collapsed="false">
      <c r="A3869" s="9" t="s">
        <v>9712</v>
      </c>
      <c r="B3869" s="9" t="s">
        <v>5870</v>
      </c>
      <c r="C3869" s="9" t="s">
        <v>4130</v>
      </c>
      <c r="D3869" s="9" t="s">
        <v>5871</v>
      </c>
      <c r="E3869" s="9" t="str">
        <f aca="false">IF(AND('Formation Ledger'!A3848&lt;&gt;"",'Formation Ledger'!V3848=0),"PASS","FAIL")</f>
        <v>PASS</v>
      </c>
      <c r="F3869" s="9" t="s">
        <v>76</v>
      </c>
      <c r="G3869" s="6"/>
      <c r="H3869" s="6"/>
      <c r="I3869" s="6"/>
      <c r="J3869" s="6"/>
      <c r="K3869" s="6"/>
      <c r="L3869" s="6"/>
      <c r="M3869" s="6"/>
      <c r="N3869" s="6"/>
      <c r="O3869" s="6"/>
      <c r="P3869" s="6"/>
      <c r="Q3869" s="6"/>
      <c r="R3869" s="6"/>
      <c r="S3869" s="6"/>
      <c r="T3869" s="6"/>
      <c r="U3869" s="6"/>
      <c r="V3869" s="6"/>
      <c r="W3869" s="6"/>
      <c r="X3869" s="6"/>
      <c r="Y3869" s="6"/>
      <c r="Z3869" s="6"/>
    </row>
    <row r="3870" customFormat="false" ht="15" hidden="false" customHeight="false" outlineLevel="0" collapsed="false">
      <c r="A3870" s="9" t="s">
        <v>9713</v>
      </c>
      <c r="B3870" s="9" t="s">
        <v>5870</v>
      </c>
      <c r="C3870" s="9" t="s">
        <v>4131</v>
      </c>
      <c r="D3870" s="9" t="s">
        <v>5871</v>
      </c>
      <c r="E3870" s="9" t="str">
        <f aca="false">IF(AND('Formation Ledger'!A3849&lt;&gt;"",'Formation Ledger'!V3849=0),"PASS","FAIL")</f>
        <v>PASS</v>
      </c>
      <c r="F3870" s="9" t="s">
        <v>76</v>
      </c>
      <c r="G3870" s="6"/>
      <c r="H3870" s="6"/>
      <c r="I3870" s="6"/>
      <c r="J3870" s="6"/>
      <c r="K3870" s="6"/>
      <c r="L3870" s="6"/>
      <c r="M3870" s="6"/>
      <c r="N3870" s="6"/>
      <c r="O3870" s="6"/>
      <c r="P3870" s="6"/>
      <c r="Q3870" s="6"/>
      <c r="R3870" s="6"/>
      <c r="S3870" s="6"/>
      <c r="T3870" s="6"/>
      <c r="U3870" s="6"/>
      <c r="V3870" s="6"/>
      <c r="W3870" s="6"/>
      <c r="X3870" s="6"/>
      <c r="Y3870" s="6"/>
      <c r="Z3870" s="6"/>
    </row>
    <row r="3871" customFormat="false" ht="15" hidden="false" customHeight="false" outlineLevel="0" collapsed="false">
      <c r="A3871" s="9" t="s">
        <v>9714</v>
      </c>
      <c r="B3871" s="9" t="s">
        <v>5870</v>
      </c>
      <c r="C3871" s="9" t="s">
        <v>4132</v>
      </c>
      <c r="D3871" s="9" t="s">
        <v>5871</v>
      </c>
      <c r="E3871" s="9" t="str">
        <f aca="false">IF(AND('Formation Ledger'!A3850&lt;&gt;"",'Formation Ledger'!V3850=0),"PASS","FAIL")</f>
        <v>PASS</v>
      </c>
      <c r="F3871" s="9" t="s">
        <v>76</v>
      </c>
      <c r="G3871" s="6"/>
      <c r="H3871" s="6"/>
      <c r="I3871" s="6"/>
      <c r="J3871" s="6"/>
      <c r="K3871" s="6"/>
      <c r="L3871" s="6"/>
      <c r="M3871" s="6"/>
      <c r="N3871" s="6"/>
      <c r="O3871" s="6"/>
      <c r="P3871" s="6"/>
      <c r="Q3871" s="6"/>
      <c r="R3871" s="6"/>
      <c r="S3871" s="6"/>
      <c r="T3871" s="6"/>
      <c r="U3871" s="6"/>
      <c r="V3871" s="6"/>
      <c r="W3871" s="6"/>
      <c r="X3871" s="6"/>
      <c r="Y3871" s="6"/>
      <c r="Z3871" s="6"/>
    </row>
    <row r="3872" customFormat="false" ht="15" hidden="false" customHeight="false" outlineLevel="0" collapsed="false">
      <c r="A3872" s="9" t="s">
        <v>9715</v>
      </c>
      <c r="B3872" s="9" t="s">
        <v>5870</v>
      </c>
      <c r="C3872" s="9" t="s">
        <v>4133</v>
      </c>
      <c r="D3872" s="9" t="s">
        <v>5871</v>
      </c>
      <c r="E3872" s="9" t="str">
        <f aca="false">IF(AND('Formation Ledger'!A3851&lt;&gt;"",'Formation Ledger'!V3851=0),"PASS","FAIL")</f>
        <v>PASS</v>
      </c>
      <c r="F3872" s="9" t="s">
        <v>76</v>
      </c>
      <c r="G3872" s="6"/>
      <c r="H3872" s="6"/>
      <c r="I3872" s="6"/>
      <c r="J3872" s="6"/>
      <c r="K3872" s="6"/>
      <c r="L3872" s="6"/>
      <c r="M3872" s="6"/>
      <c r="N3872" s="6"/>
      <c r="O3872" s="6"/>
      <c r="P3872" s="6"/>
      <c r="Q3872" s="6"/>
      <c r="R3872" s="6"/>
      <c r="S3872" s="6"/>
      <c r="T3872" s="6"/>
      <c r="U3872" s="6"/>
      <c r="V3872" s="6"/>
      <c r="W3872" s="6"/>
      <c r="X3872" s="6"/>
      <c r="Y3872" s="6"/>
      <c r="Z3872" s="6"/>
    </row>
    <row r="3873" customFormat="false" ht="15" hidden="false" customHeight="false" outlineLevel="0" collapsed="false">
      <c r="A3873" s="9" t="s">
        <v>9716</v>
      </c>
      <c r="B3873" s="9" t="s">
        <v>5870</v>
      </c>
      <c r="C3873" s="9" t="s">
        <v>4134</v>
      </c>
      <c r="D3873" s="9" t="s">
        <v>5871</v>
      </c>
      <c r="E3873" s="9" t="str">
        <f aca="false">IF(AND('Formation Ledger'!A3852&lt;&gt;"",'Formation Ledger'!V3852=0),"PASS","FAIL")</f>
        <v>PASS</v>
      </c>
      <c r="F3873" s="9" t="s">
        <v>76</v>
      </c>
      <c r="G3873" s="6"/>
      <c r="H3873" s="6"/>
      <c r="I3873" s="6"/>
      <c r="J3873" s="6"/>
      <c r="K3873" s="6"/>
      <c r="L3873" s="6"/>
      <c r="M3873" s="6"/>
      <c r="N3873" s="6"/>
      <c r="O3873" s="6"/>
      <c r="P3873" s="6"/>
      <c r="Q3873" s="6"/>
      <c r="R3873" s="6"/>
      <c r="S3873" s="6"/>
      <c r="T3873" s="6"/>
      <c r="U3873" s="6"/>
      <c r="V3873" s="6"/>
      <c r="W3873" s="6"/>
      <c r="X3873" s="6"/>
      <c r="Y3873" s="6"/>
      <c r="Z3873" s="6"/>
    </row>
    <row r="3874" customFormat="false" ht="15" hidden="false" customHeight="false" outlineLevel="0" collapsed="false">
      <c r="A3874" s="9" t="s">
        <v>9717</v>
      </c>
      <c r="B3874" s="9" t="s">
        <v>5870</v>
      </c>
      <c r="C3874" s="9" t="s">
        <v>4135</v>
      </c>
      <c r="D3874" s="9" t="s">
        <v>5871</v>
      </c>
      <c r="E3874" s="9" t="str">
        <f aca="false">IF(AND('Formation Ledger'!A3853&lt;&gt;"",'Formation Ledger'!V3853=0),"PASS","FAIL")</f>
        <v>PASS</v>
      </c>
      <c r="F3874" s="9" t="s">
        <v>76</v>
      </c>
      <c r="G3874" s="6"/>
      <c r="H3874" s="6"/>
      <c r="I3874" s="6"/>
      <c r="J3874" s="6"/>
      <c r="K3874" s="6"/>
      <c r="L3874" s="6"/>
      <c r="M3874" s="6"/>
      <c r="N3874" s="6"/>
      <c r="O3874" s="6"/>
      <c r="P3874" s="6"/>
      <c r="Q3874" s="6"/>
      <c r="R3874" s="6"/>
      <c r="S3874" s="6"/>
      <c r="T3874" s="6"/>
      <c r="U3874" s="6"/>
      <c r="V3874" s="6"/>
      <c r="W3874" s="6"/>
      <c r="X3874" s="6"/>
      <c r="Y3874" s="6"/>
      <c r="Z3874" s="6"/>
    </row>
    <row r="3875" customFormat="false" ht="15" hidden="false" customHeight="false" outlineLevel="0" collapsed="false">
      <c r="A3875" s="9" t="s">
        <v>9718</v>
      </c>
      <c r="B3875" s="9" t="s">
        <v>5870</v>
      </c>
      <c r="C3875" s="9" t="s">
        <v>4136</v>
      </c>
      <c r="D3875" s="9" t="s">
        <v>5871</v>
      </c>
      <c r="E3875" s="9" t="str">
        <f aca="false">IF(AND('Formation Ledger'!A3854&lt;&gt;"",'Formation Ledger'!V3854=0),"PASS","FAIL")</f>
        <v>PASS</v>
      </c>
      <c r="F3875" s="9" t="s">
        <v>76</v>
      </c>
      <c r="G3875" s="6"/>
      <c r="H3875" s="6"/>
      <c r="I3875" s="6"/>
      <c r="J3875" s="6"/>
      <c r="K3875" s="6"/>
      <c r="L3875" s="6"/>
      <c r="M3875" s="6"/>
      <c r="N3875" s="6"/>
      <c r="O3875" s="6"/>
      <c r="P3875" s="6"/>
      <c r="Q3875" s="6"/>
      <c r="R3875" s="6"/>
      <c r="S3875" s="6"/>
      <c r="T3875" s="6"/>
      <c r="U3875" s="6"/>
      <c r="V3875" s="6"/>
      <c r="W3875" s="6"/>
      <c r="X3875" s="6"/>
      <c r="Y3875" s="6"/>
      <c r="Z3875" s="6"/>
    </row>
    <row r="3876" customFormat="false" ht="15" hidden="false" customHeight="false" outlineLevel="0" collapsed="false">
      <c r="A3876" s="9" t="s">
        <v>9719</v>
      </c>
      <c r="B3876" s="9" t="s">
        <v>5870</v>
      </c>
      <c r="C3876" s="9" t="s">
        <v>4137</v>
      </c>
      <c r="D3876" s="9" t="s">
        <v>5871</v>
      </c>
      <c r="E3876" s="9" t="str">
        <f aca="false">IF(AND('Formation Ledger'!A3855&lt;&gt;"",'Formation Ledger'!V3855=0),"PASS","FAIL")</f>
        <v>PASS</v>
      </c>
      <c r="F3876" s="9" t="s">
        <v>76</v>
      </c>
      <c r="G3876" s="6"/>
      <c r="H3876" s="6"/>
      <c r="I3876" s="6"/>
      <c r="J3876" s="6"/>
      <c r="K3876" s="6"/>
      <c r="L3876" s="6"/>
      <c r="M3876" s="6"/>
      <c r="N3876" s="6"/>
      <c r="O3876" s="6"/>
      <c r="P3876" s="6"/>
      <c r="Q3876" s="6"/>
      <c r="R3876" s="6"/>
      <c r="S3876" s="6"/>
      <c r="T3876" s="6"/>
      <c r="U3876" s="6"/>
      <c r="V3876" s="6"/>
      <c r="W3876" s="6"/>
      <c r="X3876" s="6"/>
      <c r="Y3876" s="6"/>
      <c r="Z3876" s="6"/>
    </row>
    <row r="3877" customFormat="false" ht="15" hidden="false" customHeight="false" outlineLevel="0" collapsed="false">
      <c r="A3877" s="9" t="s">
        <v>9720</v>
      </c>
      <c r="B3877" s="9" t="s">
        <v>5870</v>
      </c>
      <c r="C3877" s="9" t="s">
        <v>4138</v>
      </c>
      <c r="D3877" s="9" t="s">
        <v>5871</v>
      </c>
      <c r="E3877" s="9" t="str">
        <f aca="false">IF(AND('Formation Ledger'!A3856&lt;&gt;"",'Formation Ledger'!V3856=0),"PASS","FAIL")</f>
        <v>PASS</v>
      </c>
      <c r="F3877" s="9" t="s">
        <v>76</v>
      </c>
      <c r="G3877" s="6"/>
      <c r="H3877" s="6"/>
      <c r="I3877" s="6"/>
      <c r="J3877" s="6"/>
      <c r="K3877" s="6"/>
      <c r="L3877" s="6"/>
      <c r="M3877" s="6"/>
      <c r="N3877" s="6"/>
      <c r="O3877" s="6"/>
      <c r="P3877" s="6"/>
      <c r="Q3877" s="6"/>
      <c r="R3877" s="6"/>
      <c r="S3877" s="6"/>
      <c r="T3877" s="6"/>
      <c r="U3877" s="6"/>
      <c r="V3877" s="6"/>
      <c r="W3877" s="6"/>
      <c r="X3877" s="6"/>
      <c r="Y3877" s="6"/>
      <c r="Z3877" s="6"/>
    </row>
    <row r="3878" customFormat="false" ht="15" hidden="false" customHeight="false" outlineLevel="0" collapsed="false">
      <c r="A3878" s="9" t="s">
        <v>9721</v>
      </c>
      <c r="B3878" s="9" t="s">
        <v>5870</v>
      </c>
      <c r="C3878" s="9" t="s">
        <v>4139</v>
      </c>
      <c r="D3878" s="9" t="s">
        <v>5871</v>
      </c>
      <c r="E3878" s="9" t="str">
        <f aca="false">IF(AND('Formation Ledger'!A3857&lt;&gt;"",'Formation Ledger'!V3857=0),"PASS","FAIL")</f>
        <v>PASS</v>
      </c>
      <c r="F3878" s="9" t="s">
        <v>76</v>
      </c>
      <c r="G3878" s="6"/>
      <c r="H3878" s="6"/>
      <c r="I3878" s="6"/>
      <c r="J3878" s="6"/>
      <c r="K3878" s="6"/>
      <c r="L3878" s="6"/>
      <c r="M3878" s="6"/>
      <c r="N3878" s="6"/>
      <c r="O3878" s="6"/>
      <c r="P3878" s="6"/>
      <c r="Q3878" s="6"/>
      <c r="R3878" s="6"/>
      <c r="S3878" s="6"/>
      <c r="T3878" s="6"/>
      <c r="U3878" s="6"/>
      <c r="V3878" s="6"/>
      <c r="W3878" s="6"/>
      <c r="X3878" s="6"/>
      <c r="Y3878" s="6"/>
      <c r="Z3878" s="6"/>
    </row>
    <row r="3879" customFormat="false" ht="15" hidden="false" customHeight="false" outlineLevel="0" collapsed="false">
      <c r="A3879" s="9" t="s">
        <v>9722</v>
      </c>
      <c r="B3879" s="9" t="s">
        <v>5870</v>
      </c>
      <c r="C3879" s="9" t="s">
        <v>4140</v>
      </c>
      <c r="D3879" s="9" t="s">
        <v>5871</v>
      </c>
      <c r="E3879" s="9" t="str">
        <f aca="false">IF(AND('Formation Ledger'!A3858&lt;&gt;"",'Formation Ledger'!V3858=0),"PASS","FAIL")</f>
        <v>PASS</v>
      </c>
      <c r="F3879" s="9" t="s">
        <v>76</v>
      </c>
      <c r="G3879" s="6"/>
      <c r="H3879" s="6"/>
      <c r="I3879" s="6"/>
      <c r="J3879" s="6"/>
      <c r="K3879" s="6"/>
      <c r="L3879" s="6"/>
      <c r="M3879" s="6"/>
      <c r="N3879" s="6"/>
      <c r="O3879" s="6"/>
      <c r="P3879" s="6"/>
      <c r="Q3879" s="6"/>
      <c r="R3879" s="6"/>
      <c r="S3879" s="6"/>
      <c r="T3879" s="6"/>
      <c r="U3879" s="6"/>
      <c r="V3879" s="6"/>
      <c r="W3879" s="6"/>
      <c r="X3879" s="6"/>
      <c r="Y3879" s="6"/>
      <c r="Z3879" s="6"/>
    </row>
    <row r="3880" customFormat="false" ht="15" hidden="false" customHeight="false" outlineLevel="0" collapsed="false">
      <c r="A3880" s="9" t="s">
        <v>9723</v>
      </c>
      <c r="B3880" s="9" t="s">
        <v>5870</v>
      </c>
      <c r="C3880" s="9" t="s">
        <v>4141</v>
      </c>
      <c r="D3880" s="9" t="s">
        <v>5871</v>
      </c>
      <c r="E3880" s="9" t="str">
        <f aca="false">IF(AND('Formation Ledger'!A3859&lt;&gt;"",'Formation Ledger'!V3859=0),"PASS","FAIL")</f>
        <v>PASS</v>
      </c>
      <c r="F3880" s="9" t="s">
        <v>76</v>
      </c>
      <c r="G3880" s="6"/>
      <c r="H3880" s="6"/>
      <c r="I3880" s="6"/>
      <c r="J3880" s="6"/>
      <c r="K3880" s="6"/>
      <c r="L3880" s="6"/>
      <c r="M3880" s="6"/>
      <c r="N3880" s="6"/>
      <c r="O3880" s="6"/>
      <c r="P3880" s="6"/>
      <c r="Q3880" s="6"/>
      <c r="R3880" s="6"/>
      <c r="S3880" s="6"/>
      <c r="T3880" s="6"/>
      <c r="U3880" s="6"/>
      <c r="V3880" s="6"/>
      <c r="W3880" s="6"/>
      <c r="X3880" s="6"/>
      <c r="Y3880" s="6"/>
      <c r="Z3880" s="6"/>
    </row>
    <row r="3881" customFormat="false" ht="15" hidden="false" customHeight="false" outlineLevel="0" collapsed="false">
      <c r="A3881" s="9" t="s">
        <v>9724</v>
      </c>
      <c r="B3881" s="9" t="s">
        <v>5870</v>
      </c>
      <c r="C3881" s="9" t="s">
        <v>4142</v>
      </c>
      <c r="D3881" s="9" t="s">
        <v>5871</v>
      </c>
      <c r="E3881" s="9" t="str">
        <f aca="false">IF(AND('Formation Ledger'!A3860&lt;&gt;"",'Formation Ledger'!V3860=0),"PASS","FAIL")</f>
        <v>PASS</v>
      </c>
      <c r="F3881" s="9" t="s">
        <v>76</v>
      </c>
      <c r="G3881" s="6"/>
      <c r="H3881" s="6"/>
      <c r="I3881" s="6"/>
      <c r="J3881" s="6"/>
      <c r="K3881" s="6"/>
      <c r="L3881" s="6"/>
      <c r="M3881" s="6"/>
      <c r="N3881" s="6"/>
      <c r="O3881" s="6"/>
      <c r="P3881" s="6"/>
      <c r="Q3881" s="6"/>
      <c r="R3881" s="6"/>
      <c r="S3881" s="6"/>
      <c r="T3881" s="6"/>
      <c r="U3881" s="6"/>
      <c r="V3881" s="6"/>
      <c r="W3881" s="6"/>
      <c r="X3881" s="6"/>
      <c r="Y3881" s="6"/>
      <c r="Z3881" s="6"/>
    </row>
    <row r="3882" customFormat="false" ht="15" hidden="false" customHeight="false" outlineLevel="0" collapsed="false">
      <c r="A3882" s="9" t="s">
        <v>9725</v>
      </c>
      <c r="B3882" s="9" t="s">
        <v>5870</v>
      </c>
      <c r="C3882" s="9" t="s">
        <v>4143</v>
      </c>
      <c r="D3882" s="9" t="s">
        <v>5871</v>
      </c>
      <c r="E3882" s="9" t="str">
        <f aca="false">IF(AND('Formation Ledger'!A3861&lt;&gt;"",'Formation Ledger'!V3861=0),"PASS","FAIL")</f>
        <v>PASS</v>
      </c>
      <c r="F3882" s="9" t="s">
        <v>76</v>
      </c>
      <c r="G3882" s="6"/>
      <c r="H3882" s="6"/>
      <c r="I3882" s="6"/>
      <c r="J3882" s="6"/>
      <c r="K3882" s="6"/>
      <c r="L3882" s="6"/>
      <c r="M3882" s="6"/>
      <c r="N3882" s="6"/>
      <c r="O3882" s="6"/>
      <c r="P3882" s="6"/>
      <c r="Q3882" s="6"/>
      <c r="R3882" s="6"/>
      <c r="S3882" s="6"/>
      <c r="T3882" s="6"/>
      <c r="U3882" s="6"/>
      <c r="V3882" s="6"/>
      <c r="W3882" s="6"/>
      <c r="X3882" s="6"/>
      <c r="Y3882" s="6"/>
      <c r="Z3882" s="6"/>
    </row>
    <row r="3883" customFormat="false" ht="15" hidden="false" customHeight="false" outlineLevel="0" collapsed="false">
      <c r="A3883" s="9" t="s">
        <v>9726</v>
      </c>
      <c r="B3883" s="9" t="s">
        <v>5870</v>
      </c>
      <c r="C3883" s="9" t="s">
        <v>4144</v>
      </c>
      <c r="D3883" s="9" t="s">
        <v>5871</v>
      </c>
      <c r="E3883" s="9" t="str">
        <f aca="false">IF(AND('Formation Ledger'!A3862&lt;&gt;"",'Formation Ledger'!V3862=0),"PASS","FAIL")</f>
        <v>PASS</v>
      </c>
      <c r="F3883" s="9" t="s">
        <v>76</v>
      </c>
      <c r="G3883" s="6"/>
      <c r="H3883" s="6"/>
      <c r="I3883" s="6"/>
      <c r="J3883" s="6"/>
      <c r="K3883" s="6"/>
      <c r="L3883" s="6"/>
      <c r="M3883" s="6"/>
      <c r="N3883" s="6"/>
      <c r="O3883" s="6"/>
      <c r="P3883" s="6"/>
      <c r="Q3883" s="6"/>
      <c r="R3883" s="6"/>
      <c r="S3883" s="6"/>
      <c r="T3883" s="6"/>
      <c r="U3883" s="6"/>
      <c r="V3883" s="6"/>
      <c r="W3883" s="6"/>
      <c r="X3883" s="6"/>
      <c r="Y3883" s="6"/>
      <c r="Z3883" s="6"/>
    </row>
    <row r="3884" customFormat="false" ht="15" hidden="false" customHeight="false" outlineLevel="0" collapsed="false">
      <c r="A3884" s="9" t="s">
        <v>9727</v>
      </c>
      <c r="B3884" s="9" t="s">
        <v>5870</v>
      </c>
      <c r="C3884" s="9" t="s">
        <v>4145</v>
      </c>
      <c r="D3884" s="9" t="s">
        <v>5871</v>
      </c>
      <c r="E3884" s="9" t="str">
        <f aca="false">IF(AND('Formation Ledger'!A3863&lt;&gt;"",'Formation Ledger'!V3863=0),"PASS","FAIL")</f>
        <v>PASS</v>
      </c>
      <c r="F3884" s="9" t="s">
        <v>76</v>
      </c>
      <c r="G3884" s="6"/>
      <c r="H3884" s="6"/>
      <c r="I3884" s="6"/>
      <c r="J3884" s="6"/>
      <c r="K3884" s="6"/>
      <c r="L3884" s="6"/>
      <c r="M3884" s="6"/>
      <c r="N3884" s="6"/>
      <c r="O3884" s="6"/>
      <c r="P3884" s="6"/>
      <c r="Q3884" s="6"/>
      <c r="R3884" s="6"/>
      <c r="S3884" s="6"/>
      <c r="T3884" s="6"/>
      <c r="U3884" s="6"/>
      <c r="V3884" s="6"/>
      <c r="W3884" s="6"/>
      <c r="X3884" s="6"/>
      <c r="Y3884" s="6"/>
      <c r="Z3884" s="6"/>
    </row>
    <row r="3885" customFormat="false" ht="15" hidden="false" customHeight="false" outlineLevel="0" collapsed="false">
      <c r="A3885" s="9" t="s">
        <v>9728</v>
      </c>
      <c r="B3885" s="9" t="s">
        <v>5870</v>
      </c>
      <c r="C3885" s="9" t="s">
        <v>4146</v>
      </c>
      <c r="D3885" s="9" t="s">
        <v>5871</v>
      </c>
      <c r="E3885" s="9" t="str">
        <f aca="false">IF(AND('Formation Ledger'!A3864&lt;&gt;"",'Formation Ledger'!V3864=0),"PASS","FAIL")</f>
        <v>PASS</v>
      </c>
      <c r="F3885" s="9" t="s">
        <v>76</v>
      </c>
      <c r="G3885" s="6"/>
      <c r="H3885" s="6"/>
      <c r="I3885" s="6"/>
      <c r="J3885" s="6"/>
      <c r="K3885" s="6"/>
      <c r="L3885" s="6"/>
      <c r="M3885" s="6"/>
      <c r="N3885" s="6"/>
      <c r="O3885" s="6"/>
      <c r="P3885" s="6"/>
      <c r="Q3885" s="6"/>
      <c r="R3885" s="6"/>
      <c r="S3885" s="6"/>
      <c r="T3885" s="6"/>
      <c r="U3885" s="6"/>
      <c r="V3885" s="6"/>
      <c r="W3885" s="6"/>
      <c r="X3885" s="6"/>
      <c r="Y3885" s="6"/>
      <c r="Z3885" s="6"/>
    </row>
    <row r="3886" customFormat="false" ht="15" hidden="false" customHeight="false" outlineLevel="0" collapsed="false">
      <c r="A3886" s="9" t="s">
        <v>9729</v>
      </c>
      <c r="B3886" s="9" t="s">
        <v>5870</v>
      </c>
      <c r="C3886" s="9" t="s">
        <v>4147</v>
      </c>
      <c r="D3886" s="9" t="s">
        <v>5871</v>
      </c>
      <c r="E3886" s="9" t="str">
        <f aca="false">IF(AND('Formation Ledger'!A3865&lt;&gt;"",'Formation Ledger'!V3865=0),"PASS","FAIL")</f>
        <v>PASS</v>
      </c>
      <c r="F3886" s="9" t="s">
        <v>76</v>
      </c>
      <c r="G3886" s="6"/>
      <c r="H3886" s="6"/>
      <c r="I3886" s="6"/>
      <c r="J3886" s="6"/>
      <c r="K3886" s="6"/>
      <c r="L3886" s="6"/>
      <c r="M3886" s="6"/>
      <c r="N3886" s="6"/>
      <c r="O3886" s="6"/>
      <c r="P3886" s="6"/>
      <c r="Q3886" s="6"/>
      <c r="R3886" s="6"/>
      <c r="S3886" s="6"/>
      <c r="T3886" s="6"/>
      <c r="U3886" s="6"/>
      <c r="V3886" s="6"/>
      <c r="W3886" s="6"/>
      <c r="X3886" s="6"/>
      <c r="Y3886" s="6"/>
      <c r="Z3886" s="6"/>
    </row>
    <row r="3887" customFormat="false" ht="15" hidden="false" customHeight="false" outlineLevel="0" collapsed="false">
      <c r="A3887" s="9" t="s">
        <v>9730</v>
      </c>
      <c r="B3887" s="9" t="s">
        <v>5870</v>
      </c>
      <c r="C3887" s="9" t="s">
        <v>4148</v>
      </c>
      <c r="D3887" s="9" t="s">
        <v>5871</v>
      </c>
      <c r="E3887" s="9" t="str">
        <f aca="false">IF(AND('Formation Ledger'!A3866&lt;&gt;"",'Formation Ledger'!V3866=0),"PASS","FAIL")</f>
        <v>PASS</v>
      </c>
      <c r="F3887" s="9" t="s">
        <v>76</v>
      </c>
      <c r="G3887" s="6"/>
      <c r="H3887" s="6"/>
      <c r="I3887" s="6"/>
      <c r="J3887" s="6"/>
      <c r="K3887" s="6"/>
      <c r="L3887" s="6"/>
      <c r="M3887" s="6"/>
      <c r="N3887" s="6"/>
      <c r="O3887" s="6"/>
      <c r="P3887" s="6"/>
      <c r="Q3887" s="6"/>
      <c r="R3887" s="6"/>
      <c r="S3887" s="6"/>
      <c r="T3887" s="6"/>
      <c r="U3887" s="6"/>
      <c r="V3887" s="6"/>
      <c r="W3887" s="6"/>
      <c r="X3887" s="6"/>
      <c r="Y3887" s="6"/>
      <c r="Z3887" s="6"/>
    </row>
    <row r="3888" customFormat="false" ht="15" hidden="false" customHeight="false" outlineLevel="0" collapsed="false">
      <c r="A3888" s="9" t="s">
        <v>9731</v>
      </c>
      <c r="B3888" s="9" t="s">
        <v>5870</v>
      </c>
      <c r="C3888" s="9" t="s">
        <v>4149</v>
      </c>
      <c r="D3888" s="9" t="s">
        <v>5871</v>
      </c>
      <c r="E3888" s="9" t="str">
        <f aca="false">IF(AND('Formation Ledger'!A3867&lt;&gt;"",'Formation Ledger'!V3867=0),"PASS","FAIL")</f>
        <v>PASS</v>
      </c>
      <c r="F3888" s="9" t="s">
        <v>76</v>
      </c>
      <c r="G3888" s="6"/>
      <c r="H3888" s="6"/>
      <c r="I3888" s="6"/>
      <c r="J3888" s="6"/>
      <c r="K3888" s="6"/>
      <c r="L3888" s="6"/>
      <c r="M3888" s="6"/>
      <c r="N3888" s="6"/>
      <c r="O3888" s="6"/>
      <c r="P3888" s="6"/>
      <c r="Q3888" s="6"/>
      <c r="R3888" s="6"/>
      <c r="S3888" s="6"/>
      <c r="T3888" s="6"/>
      <c r="U3888" s="6"/>
      <c r="V3888" s="6"/>
      <c r="W3888" s="6"/>
      <c r="X3888" s="6"/>
      <c r="Y3888" s="6"/>
      <c r="Z3888" s="6"/>
    </row>
    <row r="3889" customFormat="false" ht="15" hidden="false" customHeight="false" outlineLevel="0" collapsed="false">
      <c r="A3889" s="9" t="s">
        <v>9732</v>
      </c>
      <c r="B3889" s="9" t="s">
        <v>5870</v>
      </c>
      <c r="C3889" s="9" t="s">
        <v>4150</v>
      </c>
      <c r="D3889" s="9" t="s">
        <v>5871</v>
      </c>
      <c r="E3889" s="9" t="str">
        <f aca="false">IF(AND('Formation Ledger'!A3868&lt;&gt;"",'Formation Ledger'!V3868=0),"PASS","FAIL")</f>
        <v>PASS</v>
      </c>
      <c r="F3889" s="9" t="s">
        <v>76</v>
      </c>
      <c r="G3889" s="6"/>
      <c r="H3889" s="6"/>
      <c r="I3889" s="6"/>
      <c r="J3889" s="6"/>
      <c r="K3889" s="6"/>
      <c r="L3889" s="6"/>
      <c r="M3889" s="6"/>
      <c r="N3889" s="6"/>
      <c r="O3889" s="6"/>
      <c r="P3889" s="6"/>
      <c r="Q3889" s="6"/>
      <c r="R3889" s="6"/>
      <c r="S3889" s="6"/>
      <c r="T3889" s="6"/>
      <c r="U3889" s="6"/>
      <c r="V3889" s="6"/>
      <c r="W3889" s="6"/>
      <c r="X3889" s="6"/>
      <c r="Y3889" s="6"/>
      <c r="Z3889" s="6"/>
    </row>
    <row r="3890" customFormat="false" ht="15" hidden="false" customHeight="false" outlineLevel="0" collapsed="false">
      <c r="A3890" s="9" t="s">
        <v>9733</v>
      </c>
      <c r="B3890" s="9" t="s">
        <v>5870</v>
      </c>
      <c r="C3890" s="9" t="s">
        <v>4151</v>
      </c>
      <c r="D3890" s="9" t="s">
        <v>5871</v>
      </c>
      <c r="E3890" s="9" t="str">
        <f aca="false">IF(AND('Formation Ledger'!A3869&lt;&gt;"",'Formation Ledger'!V3869=0),"PASS","FAIL")</f>
        <v>PASS</v>
      </c>
      <c r="F3890" s="9" t="s">
        <v>76</v>
      </c>
      <c r="G3890" s="6"/>
      <c r="H3890" s="6"/>
      <c r="I3890" s="6"/>
      <c r="J3890" s="6"/>
      <c r="K3890" s="6"/>
      <c r="L3890" s="6"/>
      <c r="M3890" s="6"/>
      <c r="N3890" s="6"/>
      <c r="O3890" s="6"/>
      <c r="P3890" s="6"/>
      <c r="Q3890" s="6"/>
      <c r="R3890" s="6"/>
      <c r="S3890" s="6"/>
      <c r="T3890" s="6"/>
      <c r="U3890" s="6"/>
      <c r="V3890" s="6"/>
      <c r="W3890" s="6"/>
      <c r="X3890" s="6"/>
      <c r="Y3890" s="6"/>
      <c r="Z3890" s="6"/>
    </row>
    <row r="3891" customFormat="false" ht="15" hidden="false" customHeight="false" outlineLevel="0" collapsed="false">
      <c r="A3891" s="9" t="s">
        <v>9734</v>
      </c>
      <c r="B3891" s="9" t="s">
        <v>5870</v>
      </c>
      <c r="C3891" s="9" t="s">
        <v>4152</v>
      </c>
      <c r="D3891" s="9" t="s">
        <v>5871</v>
      </c>
      <c r="E3891" s="9" t="str">
        <f aca="false">IF(AND('Formation Ledger'!A3870&lt;&gt;"",'Formation Ledger'!V3870=0),"PASS","FAIL")</f>
        <v>PASS</v>
      </c>
      <c r="F3891" s="9" t="s">
        <v>76</v>
      </c>
      <c r="G3891" s="6"/>
      <c r="H3891" s="6"/>
      <c r="I3891" s="6"/>
      <c r="J3891" s="6"/>
      <c r="K3891" s="6"/>
      <c r="L3891" s="6"/>
      <c r="M3891" s="6"/>
      <c r="N3891" s="6"/>
      <c r="O3891" s="6"/>
      <c r="P3891" s="6"/>
      <c r="Q3891" s="6"/>
      <c r="R3891" s="6"/>
      <c r="S3891" s="6"/>
      <c r="T3891" s="6"/>
      <c r="U3891" s="6"/>
      <c r="V3891" s="6"/>
      <c r="W3891" s="6"/>
      <c r="X3891" s="6"/>
      <c r="Y3891" s="6"/>
      <c r="Z3891" s="6"/>
    </row>
    <row r="3892" customFormat="false" ht="15" hidden="false" customHeight="false" outlineLevel="0" collapsed="false">
      <c r="A3892" s="9" t="s">
        <v>9735</v>
      </c>
      <c r="B3892" s="9" t="s">
        <v>5870</v>
      </c>
      <c r="C3892" s="9" t="s">
        <v>4153</v>
      </c>
      <c r="D3892" s="9" t="s">
        <v>5871</v>
      </c>
      <c r="E3892" s="9" t="str">
        <f aca="false">IF(AND('Formation Ledger'!A3871&lt;&gt;"",'Formation Ledger'!V3871=0),"PASS","FAIL")</f>
        <v>PASS</v>
      </c>
      <c r="F3892" s="9" t="s">
        <v>76</v>
      </c>
      <c r="G3892" s="6"/>
      <c r="H3892" s="6"/>
      <c r="I3892" s="6"/>
      <c r="J3892" s="6"/>
      <c r="K3892" s="6"/>
      <c r="L3892" s="6"/>
      <c r="M3892" s="6"/>
      <c r="N3892" s="6"/>
      <c r="O3892" s="6"/>
      <c r="P3892" s="6"/>
      <c r="Q3892" s="6"/>
      <c r="R3892" s="6"/>
      <c r="S3892" s="6"/>
      <c r="T3892" s="6"/>
      <c r="U3892" s="6"/>
      <c r="V3892" s="6"/>
      <c r="W3892" s="6"/>
      <c r="X3892" s="6"/>
      <c r="Y3892" s="6"/>
      <c r="Z3892" s="6"/>
    </row>
    <row r="3893" customFormat="false" ht="15" hidden="false" customHeight="false" outlineLevel="0" collapsed="false">
      <c r="A3893" s="9" t="s">
        <v>9736</v>
      </c>
      <c r="B3893" s="9" t="s">
        <v>5870</v>
      </c>
      <c r="C3893" s="9" t="s">
        <v>4154</v>
      </c>
      <c r="D3893" s="9" t="s">
        <v>5871</v>
      </c>
      <c r="E3893" s="9" t="str">
        <f aca="false">IF(AND('Formation Ledger'!A3872&lt;&gt;"",'Formation Ledger'!V3872=0),"PASS","FAIL")</f>
        <v>PASS</v>
      </c>
      <c r="F3893" s="9" t="s">
        <v>76</v>
      </c>
      <c r="G3893" s="6"/>
      <c r="H3893" s="6"/>
      <c r="I3893" s="6"/>
      <c r="J3893" s="6"/>
      <c r="K3893" s="6"/>
      <c r="L3893" s="6"/>
      <c r="M3893" s="6"/>
      <c r="N3893" s="6"/>
      <c r="O3893" s="6"/>
      <c r="P3893" s="6"/>
      <c r="Q3893" s="6"/>
      <c r="R3893" s="6"/>
      <c r="S3893" s="6"/>
      <c r="T3893" s="6"/>
      <c r="U3893" s="6"/>
      <c r="V3893" s="6"/>
      <c r="W3893" s="6"/>
      <c r="X3893" s="6"/>
      <c r="Y3893" s="6"/>
      <c r="Z3893" s="6"/>
    </row>
    <row r="3894" customFormat="false" ht="15" hidden="false" customHeight="false" outlineLevel="0" collapsed="false">
      <c r="A3894" s="9" t="s">
        <v>9737</v>
      </c>
      <c r="B3894" s="9" t="s">
        <v>5870</v>
      </c>
      <c r="C3894" s="9" t="s">
        <v>4155</v>
      </c>
      <c r="D3894" s="9" t="s">
        <v>5871</v>
      </c>
      <c r="E3894" s="9" t="str">
        <f aca="false">IF(AND('Formation Ledger'!A3873&lt;&gt;"",'Formation Ledger'!V3873=0),"PASS","FAIL")</f>
        <v>PASS</v>
      </c>
      <c r="F3894" s="9" t="s">
        <v>76</v>
      </c>
      <c r="G3894" s="6"/>
      <c r="H3894" s="6"/>
      <c r="I3894" s="6"/>
      <c r="J3894" s="6"/>
      <c r="K3894" s="6"/>
      <c r="L3894" s="6"/>
      <c r="M3894" s="6"/>
      <c r="N3894" s="6"/>
      <c r="O3894" s="6"/>
      <c r="P3894" s="6"/>
      <c r="Q3894" s="6"/>
      <c r="R3894" s="6"/>
      <c r="S3894" s="6"/>
      <c r="T3894" s="6"/>
      <c r="U3894" s="6"/>
      <c r="V3894" s="6"/>
      <c r="W3894" s="6"/>
      <c r="X3894" s="6"/>
      <c r="Y3894" s="6"/>
      <c r="Z3894" s="6"/>
    </row>
    <row r="3895" customFormat="false" ht="15" hidden="false" customHeight="false" outlineLevel="0" collapsed="false">
      <c r="A3895" s="9" t="s">
        <v>9738</v>
      </c>
      <c r="B3895" s="9" t="s">
        <v>5870</v>
      </c>
      <c r="C3895" s="9" t="s">
        <v>4156</v>
      </c>
      <c r="D3895" s="9" t="s">
        <v>5871</v>
      </c>
      <c r="E3895" s="9" t="str">
        <f aca="false">IF(AND('Formation Ledger'!A3874&lt;&gt;"",'Formation Ledger'!V3874=0),"PASS","FAIL")</f>
        <v>PASS</v>
      </c>
      <c r="F3895" s="9" t="s">
        <v>76</v>
      </c>
      <c r="G3895" s="6"/>
      <c r="H3895" s="6"/>
      <c r="I3895" s="6"/>
      <c r="J3895" s="6"/>
      <c r="K3895" s="6"/>
      <c r="L3895" s="6"/>
      <c r="M3895" s="6"/>
      <c r="N3895" s="6"/>
      <c r="O3895" s="6"/>
      <c r="P3895" s="6"/>
      <c r="Q3895" s="6"/>
      <c r="R3895" s="6"/>
      <c r="S3895" s="6"/>
      <c r="T3895" s="6"/>
      <c r="U3895" s="6"/>
      <c r="V3895" s="6"/>
      <c r="W3895" s="6"/>
      <c r="X3895" s="6"/>
      <c r="Y3895" s="6"/>
      <c r="Z3895" s="6"/>
    </row>
    <row r="3896" customFormat="false" ht="15" hidden="false" customHeight="false" outlineLevel="0" collapsed="false">
      <c r="A3896" s="9" t="s">
        <v>9739</v>
      </c>
      <c r="B3896" s="9" t="s">
        <v>5870</v>
      </c>
      <c r="C3896" s="9" t="s">
        <v>4159</v>
      </c>
      <c r="D3896" s="9" t="s">
        <v>5871</v>
      </c>
      <c r="E3896" s="9" t="str">
        <f aca="false">IF(AND('Formation Ledger'!A3875&lt;&gt;"",'Formation Ledger'!V3875=0),"PASS","FAIL")</f>
        <v>PASS</v>
      </c>
      <c r="F3896" s="9" t="s">
        <v>76</v>
      </c>
      <c r="G3896" s="6"/>
      <c r="H3896" s="6"/>
      <c r="I3896" s="6"/>
      <c r="J3896" s="6"/>
      <c r="K3896" s="6"/>
      <c r="L3896" s="6"/>
      <c r="M3896" s="6"/>
      <c r="N3896" s="6"/>
      <c r="O3896" s="6"/>
      <c r="P3896" s="6"/>
      <c r="Q3896" s="6"/>
      <c r="R3896" s="6"/>
      <c r="S3896" s="6"/>
      <c r="T3896" s="6"/>
      <c r="U3896" s="6"/>
      <c r="V3896" s="6"/>
      <c r="W3896" s="6"/>
      <c r="X3896" s="6"/>
      <c r="Y3896" s="6"/>
      <c r="Z3896" s="6"/>
    </row>
    <row r="3897" customFormat="false" ht="15" hidden="false" customHeight="false" outlineLevel="0" collapsed="false">
      <c r="A3897" s="9" t="s">
        <v>9740</v>
      </c>
      <c r="B3897" s="9" t="s">
        <v>5870</v>
      </c>
      <c r="C3897" s="9" t="s">
        <v>4160</v>
      </c>
      <c r="D3897" s="9" t="s">
        <v>5871</v>
      </c>
      <c r="E3897" s="9" t="str">
        <f aca="false">IF(AND('Formation Ledger'!A3876&lt;&gt;"",'Formation Ledger'!V3876=0),"PASS","FAIL")</f>
        <v>PASS</v>
      </c>
      <c r="F3897" s="9" t="s">
        <v>76</v>
      </c>
      <c r="G3897" s="6"/>
      <c r="H3897" s="6"/>
      <c r="I3897" s="6"/>
      <c r="J3897" s="6"/>
      <c r="K3897" s="6"/>
      <c r="L3897" s="6"/>
      <c r="M3897" s="6"/>
      <c r="N3897" s="6"/>
      <c r="O3897" s="6"/>
      <c r="P3897" s="6"/>
      <c r="Q3897" s="6"/>
      <c r="R3897" s="6"/>
      <c r="S3897" s="6"/>
      <c r="T3897" s="6"/>
      <c r="U3897" s="6"/>
      <c r="V3897" s="6"/>
      <c r="W3897" s="6"/>
      <c r="X3897" s="6"/>
      <c r="Y3897" s="6"/>
      <c r="Z3897" s="6"/>
    </row>
    <row r="3898" customFormat="false" ht="15" hidden="false" customHeight="false" outlineLevel="0" collapsed="false">
      <c r="A3898" s="9" t="s">
        <v>9741</v>
      </c>
      <c r="B3898" s="9" t="s">
        <v>5870</v>
      </c>
      <c r="C3898" s="9" t="s">
        <v>4161</v>
      </c>
      <c r="D3898" s="9" t="s">
        <v>5871</v>
      </c>
      <c r="E3898" s="9" t="str">
        <f aca="false">IF(AND('Formation Ledger'!A3877&lt;&gt;"",'Formation Ledger'!V3877=0),"PASS","FAIL")</f>
        <v>PASS</v>
      </c>
      <c r="F3898" s="9" t="s">
        <v>76</v>
      </c>
      <c r="G3898" s="6"/>
      <c r="H3898" s="6"/>
      <c r="I3898" s="6"/>
      <c r="J3898" s="6"/>
      <c r="K3898" s="6"/>
      <c r="L3898" s="6"/>
      <c r="M3898" s="6"/>
      <c r="N3898" s="6"/>
      <c r="O3898" s="6"/>
      <c r="P3898" s="6"/>
      <c r="Q3898" s="6"/>
      <c r="R3898" s="6"/>
      <c r="S3898" s="6"/>
      <c r="T3898" s="6"/>
      <c r="U3898" s="6"/>
      <c r="V3898" s="6"/>
      <c r="W3898" s="6"/>
      <c r="X3898" s="6"/>
      <c r="Y3898" s="6"/>
      <c r="Z3898" s="6"/>
    </row>
    <row r="3899" customFormat="false" ht="15" hidden="false" customHeight="false" outlineLevel="0" collapsed="false">
      <c r="A3899" s="9" t="s">
        <v>9742</v>
      </c>
      <c r="B3899" s="9" t="s">
        <v>5870</v>
      </c>
      <c r="C3899" s="9" t="s">
        <v>4162</v>
      </c>
      <c r="D3899" s="9" t="s">
        <v>5871</v>
      </c>
      <c r="E3899" s="9" t="str">
        <f aca="false">IF(AND('Formation Ledger'!A3878&lt;&gt;"",'Formation Ledger'!V3878=0),"PASS","FAIL")</f>
        <v>PASS</v>
      </c>
      <c r="F3899" s="9" t="s">
        <v>76</v>
      </c>
      <c r="G3899" s="6"/>
      <c r="H3899" s="6"/>
      <c r="I3899" s="6"/>
      <c r="J3899" s="6"/>
      <c r="K3899" s="6"/>
      <c r="L3899" s="6"/>
      <c r="M3899" s="6"/>
      <c r="N3899" s="6"/>
      <c r="O3899" s="6"/>
      <c r="P3899" s="6"/>
      <c r="Q3899" s="6"/>
      <c r="R3899" s="6"/>
      <c r="S3899" s="6"/>
      <c r="T3899" s="6"/>
      <c r="U3899" s="6"/>
      <c r="V3899" s="6"/>
      <c r="W3899" s="6"/>
      <c r="X3899" s="6"/>
      <c r="Y3899" s="6"/>
      <c r="Z3899" s="6"/>
    </row>
    <row r="3900" customFormat="false" ht="15" hidden="false" customHeight="false" outlineLevel="0" collapsed="false">
      <c r="A3900" s="9" t="s">
        <v>9743</v>
      </c>
      <c r="B3900" s="9" t="s">
        <v>5870</v>
      </c>
      <c r="C3900" s="9" t="s">
        <v>4163</v>
      </c>
      <c r="D3900" s="9" t="s">
        <v>5871</v>
      </c>
      <c r="E3900" s="9" t="str">
        <f aca="false">IF(AND('Formation Ledger'!A3879&lt;&gt;"",'Formation Ledger'!V3879=0),"PASS","FAIL")</f>
        <v>PASS</v>
      </c>
      <c r="F3900" s="9" t="s">
        <v>76</v>
      </c>
      <c r="G3900" s="6"/>
      <c r="H3900" s="6"/>
      <c r="I3900" s="6"/>
      <c r="J3900" s="6"/>
      <c r="K3900" s="6"/>
      <c r="L3900" s="6"/>
      <c r="M3900" s="6"/>
      <c r="N3900" s="6"/>
      <c r="O3900" s="6"/>
      <c r="P3900" s="6"/>
      <c r="Q3900" s="6"/>
      <c r="R3900" s="6"/>
      <c r="S3900" s="6"/>
      <c r="T3900" s="6"/>
      <c r="U3900" s="6"/>
      <c r="V3900" s="6"/>
      <c r="W3900" s="6"/>
      <c r="X3900" s="6"/>
      <c r="Y3900" s="6"/>
      <c r="Z3900" s="6"/>
    </row>
    <row r="3901" customFormat="false" ht="15" hidden="false" customHeight="false" outlineLevel="0" collapsed="false">
      <c r="A3901" s="9" t="s">
        <v>9744</v>
      </c>
      <c r="B3901" s="9" t="s">
        <v>5870</v>
      </c>
      <c r="C3901" s="9" t="s">
        <v>4164</v>
      </c>
      <c r="D3901" s="9" t="s">
        <v>5871</v>
      </c>
      <c r="E3901" s="9" t="str">
        <f aca="false">IF(AND('Formation Ledger'!A3880&lt;&gt;"",'Formation Ledger'!V3880=0),"PASS","FAIL")</f>
        <v>PASS</v>
      </c>
      <c r="F3901" s="9" t="s">
        <v>76</v>
      </c>
      <c r="G3901" s="6"/>
      <c r="H3901" s="6"/>
      <c r="I3901" s="6"/>
      <c r="J3901" s="6"/>
      <c r="K3901" s="6"/>
      <c r="L3901" s="6"/>
      <c r="M3901" s="6"/>
      <c r="N3901" s="6"/>
      <c r="O3901" s="6"/>
      <c r="P3901" s="6"/>
      <c r="Q3901" s="6"/>
      <c r="R3901" s="6"/>
      <c r="S3901" s="6"/>
      <c r="T3901" s="6"/>
      <c r="U3901" s="6"/>
      <c r="V3901" s="6"/>
      <c r="W3901" s="6"/>
      <c r="X3901" s="6"/>
      <c r="Y3901" s="6"/>
      <c r="Z3901" s="6"/>
    </row>
    <row r="3902" customFormat="false" ht="15" hidden="false" customHeight="false" outlineLevel="0" collapsed="false">
      <c r="A3902" s="9" t="s">
        <v>9745</v>
      </c>
      <c r="B3902" s="9" t="s">
        <v>5870</v>
      </c>
      <c r="C3902" s="9" t="s">
        <v>4165</v>
      </c>
      <c r="D3902" s="9" t="s">
        <v>5871</v>
      </c>
      <c r="E3902" s="9" t="str">
        <f aca="false">IF(AND('Formation Ledger'!A3881&lt;&gt;"",'Formation Ledger'!V3881=0),"PASS","FAIL")</f>
        <v>PASS</v>
      </c>
      <c r="F3902" s="9" t="s">
        <v>76</v>
      </c>
      <c r="G3902" s="6"/>
      <c r="H3902" s="6"/>
      <c r="I3902" s="6"/>
      <c r="J3902" s="6"/>
      <c r="K3902" s="6"/>
      <c r="L3902" s="6"/>
      <c r="M3902" s="6"/>
      <c r="N3902" s="6"/>
      <c r="O3902" s="6"/>
      <c r="P3902" s="6"/>
      <c r="Q3902" s="6"/>
      <c r="R3902" s="6"/>
      <c r="S3902" s="6"/>
      <c r="T3902" s="6"/>
      <c r="U3902" s="6"/>
      <c r="V3902" s="6"/>
      <c r="W3902" s="6"/>
      <c r="X3902" s="6"/>
      <c r="Y3902" s="6"/>
      <c r="Z3902" s="6"/>
    </row>
    <row r="3903" customFormat="false" ht="15" hidden="false" customHeight="false" outlineLevel="0" collapsed="false">
      <c r="A3903" s="9" t="s">
        <v>9746</v>
      </c>
      <c r="B3903" s="9" t="s">
        <v>5870</v>
      </c>
      <c r="C3903" s="9" t="s">
        <v>4166</v>
      </c>
      <c r="D3903" s="9" t="s">
        <v>5871</v>
      </c>
      <c r="E3903" s="9" t="str">
        <f aca="false">IF(AND('Formation Ledger'!A3882&lt;&gt;"",'Formation Ledger'!V3882=0),"PASS","FAIL")</f>
        <v>PASS</v>
      </c>
      <c r="F3903" s="9" t="s">
        <v>76</v>
      </c>
      <c r="G3903" s="6"/>
      <c r="H3903" s="6"/>
      <c r="I3903" s="6"/>
      <c r="J3903" s="6"/>
      <c r="K3903" s="6"/>
      <c r="L3903" s="6"/>
      <c r="M3903" s="6"/>
      <c r="N3903" s="6"/>
      <c r="O3903" s="6"/>
      <c r="P3903" s="6"/>
      <c r="Q3903" s="6"/>
      <c r="R3903" s="6"/>
      <c r="S3903" s="6"/>
      <c r="T3903" s="6"/>
      <c r="U3903" s="6"/>
      <c r="V3903" s="6"/>
      <c r="W3903" s="6"/>
      <c r="X3903" s="6"/>
      <c r="Y3903" s="6"/>
      <c r="Z3903" s="6"/>
    </row>
    <row r="3904" customFormat="false" ht="15" hidden="false" customHeight="false" outlineLevel="0" collapsed="false">
      <c r="A3904" s="9" t="s">
        <v>9747</v>
      </c>
      <c r="B3904" s="9" t="s">
        <v>5870</v>
      </c>
      <c r="C3904" s="9" t="s">
        <v>4167</v>
      </c>
      <c r="D3904" s="9" t="s">
        <v>5871</v>
      </c>
      <c r="E3904" s="9" t="str">
        <f aca="false">IF(AND('Formation Ledger'!A3883&lt;&gt;"",'Formation Ledger'!V3883=0),"PASS","FAIL")</f>
        <v>PASS</v>
      </c>
      <c r="F3904" s="9" t="s">
        <v>76</v>
      </c>
      <c r="G3904" s="6"/>
      <c r="H3904" s="6"/>
      <c r="I3904" s="6"/>
      <c r="J3904" s="6"/>
      <c r="K3904" s="6"/>
      <c r="L3904" s="6"/>
      <c r="M3904" s="6"/>
      <c r="N3904" s="6"/>
      <c r="O3904" s="6"/>
      <c r="P3904" s="6"/>
      <c r="Q3904" s="6"/>
      <c r="R3904" s="6"/>
      <c r="S3904" s="6"/>
      <c r="T3904" s="6"/>
      <c r="U3904" s="6"/>
      <c r="V3904" s="6"/>
      <c r="W3904" s="6"/>
      <c r="X3904" s="6"/>
      <c r="Y3904" s="6"/>
      <c r="Z3904" s="6"/>
    </row>
    <row r="3905" customFormat="false" ht="15" hidden="false" customHeight="false" outlineLevel="0" collapsed="false">
      <c r="A3905" s="9" t="s">
        <v>9748</v>
      </c>
      <c r="B3905" s="9" t="s">
        <v>5870</v>
      </c>
      <c r="C3905" s="9" t="s">
        <v>4168</v>
      </c>
      <c r="D3905" s="9" t="s">
        <v>5871</v>
      </c>
      <c r="E3905" s="9" t="str">
        <f aca="false">IF(AND('Formation Ledger'!A3884&lt;&gt;"",'Formation Ledger'!V3884=0),"PASS","FAIL")</f>
        <v>PASS</v>
      </c>
      <c r="F3905" s="9" t="s">
        <v>76</v>
      </c>
      <c r="G3905" s="6"/>
      <c r="H3905" s="6"/>
      <c r="I3905" s="6"/>
      <c r="J3905" s="6"/>
      <c r="K3905" s="6"/>
      <c r="L3905" s="6"/>
      <c r="M3905" s="6"/>
      <c r="N3905" s="6"/>
      <c r="O3905" s="6"/>
      <c r="P3905" s="6"/>
      <c r="Q3905" s="6"/>
      <c r="R3905" s="6"/>
      <c r="S3905" s="6"/>
      <c r="T3905" s="6"/>
      <c r="U3905" s="6"/>
      <c r="V3905" s="6"/>
      <c r="W3905" s="6"/>
      <c r="X3905" s="6"/>
      <c r="Y3905" s="6"/>
      <c r="Z3905" s="6"/>
    </row>
    <row r="3906" customFormat="false" ht="15" hidden="false" customHeight="false" outlineLevel="0" collapsed="false">
      <c r="A3906" s="9" t="s">
        <v>9749</v>
      </c>
      <c r="B3906" s="9" t="s">
        <v>5870</v>
      </c>
      <c r="C3906" s="9" t="s">
        <v>4169</v>
      </c>
      <c r="D3906" s="9" t="s">
        <v>5871</v>
      </c>
      <c r="E3906" s="9" t="str">
        <f aca="false">IF(AND('Formation Ledger'!A3885&lt;&gt;"",'Formation Ledger'!V3885=0),"PASS","FAIL")</f>
        <v>PASS</v>
      </c>
      <c r="F3906" s="9" t="s">
        <v>76</v>
      </c>
      <c r="G3906" s="6"/>
      <c r="H3906" s="6"/>
      <c r="I3906" s="6"/>
      <c r="J3906" s="6"/>
      <c r="K3906" s="6"/>
      <c r="L3906" s="6"/>
      <c r="M3906" s="6"/>
      <c r="N3906" s="6"/>
      <c r="O3906" s="6"/>
      <c r="P3906" s="6"/>
      <c r="Q3906" s="6"/>
      <c r="R3906" s="6"/>
      <c r="S3906" s="6"/>
      <c r="T3906" s="6"/>
      <c r="U3906" s="6"/>
      <c r="V3906" s="6"/>
      <c r="W3906" s="6"/>
      <c r="X3906" s="6"/>
      <c r="Y3906" s="6"/>
      <c r="Z3906" s="6"/>
    </row>
    <row r="3907" customFormat="false" ht="15" hidden="false" customHeight="false" outlineLevel="0" collapsed="false">
      <c r="A3907" s="9" t="s">
        <v>9750</v>
      </c>
      <c r="B3907" s="9" t="s">
        <v>5870</v>
      </c>
      <c r="C3907" s="9" t="s">
        <v>4170</v>
      </c>
      <c r="D3907" s="9" t="s">
        <v>5871</v>
      </c>
      <c r="E3907" s="9" t="str">
        <f aca="false">IF(AND('Formation Ledger'!A3886&lt;&gt;"",'Formation Ledger'!V3886=0),"PASS","FAIL")</f>
        <v>PASS</v>
      </c>
      <c r="F3907" s="9" t="s">
        <v>76</v>
      </c>
      <c r="G3907" s="6"/>
      <c r="H3907" s="6"/>
      <c r="I3907" s="6"/>
      <c r="J3907" s="6"/>
      <c r="K3907" s="6"/>
      <c r="L3907" s="6"/>
      <c r="M3907" s="6"/>
      <c r="N3907" s="6"/>
      <c r="O3907" s="6"/>
      <c r="P3907" s="6"/>
      <c r="Q3907" s="6"/>
      <c r="R3907" s="6"/>
      <c r="S3907" s="6"/>
      <c r="T3907" s="6"/>
      <c r="U3907" s="6"/>
      <c r="V3907" s="6"/>
      <c r="W3907" s="6"/>
      <c r="X3907" s="6"/>
      <c r="Y3907" s="6"/>
      <c r="Z3907" s="6"/>
    </row>
    <row r="3908" customFormat="false" ht="15" hidden="false" customHeight="false" outlineLevel="0" collapsed="false">
      <c r="A3908" s="9" t="s">
        <v>9751</v>
      </c>
      <c r="B3908" s="9" t="s">
        <v>5870</v>
      </c>
      <c r="C3908" s="9" t="s">
        <v>4171</v>
      </c>
      <c r="D3908" s="9" t="s">
        <v>5871</v>
      </c>
      <c r="E3908" s="9" t="str">
        <f aca="false">IF(AND('Formation Ledger'!A3887&lt;&gt;"",'Formation Ledger'!V3887=0),"PASS","FAIL")</f>
        <v>PASS</v>
      </c>
      <c r="F3908" s="9" t="s">
        <v>76</v>
      </c>
      <c r="G3908" s="6"/>
      <c r="H3908" s="6"/>
      <c r="I3908" s="6"/>
      <c r="J3908" s="6"/>
      <c r="K3908" s="6"/>
      <c r="L3908" s="6"/>
      <c r="M3908" s="6"/>
      <c r="N3908" s="6"/>
      <c r="O3908" s="6"/>
      <c r="P3908" s="6"/>
      <c r="Q3908" s="6"/>
      <c r="R3908" s="6"/>
      <c r="S3908" s="6"/>
      <c r="T3908" s="6"/>
      <c r="U3908" s="6"/>
      <c r="V3908" s="6"/>
      <c r="W3908" s="6"/>
      <c r="X3908" s="6"/>
      <c r="Y3908" s="6"/>
      <c r="Z3908" s="6"/>
    </row>
    <row r="3909" customFormat="false" ht="15" hidden="false" customHeight="false" outlineLevel="0" collapsed="false">
      <c r="A3909" s="9" t="s">
        <v>9752</v>
      </c>
      <c r="B3909" s="9" t="s">
        <v>5870</v>
      </c>
      <c r="C3909" s="9" t="s">
        <v>4172</v>
      </c>
      <c r="D3909" s="9" t="s">
        <v>5871</v>
      </c>
      <c r="E3909" s="9" t="str">
        <f aca="false">IF(AND('Formation Ledger'!A3888&lt;&gt;"",'Formation Ledger'!V3888=0),"PASS","FAIL")</f>
        <v>PASS</v>
      </c>
      <c r="F3909" s="9" t="s">
        <v>76</v>
      </c>
      <c r="G3909" s="6"/>
      <c r="H3909" s="6"/>
      <c r="I3909" s="6"/>
      <c r="J3909" s="6"/>
      <c r="K3909" s="6"/>
      <c r="L3909" s="6"/>
      <c r="M3909" s="6"/>
      <c r="N3909" s="6"/>
      <c r="O3909" s="6"/>
      <c r="P3909" s="6"/>
      <c r="Q3909" s="6"/>
      <c r="R3909" s="6"/>
      <c r="S3909" s="6"/>
      <c r="T3909" s="6"/>
      <c r="U3909" s="6"/>
      <c r="V3909" s="6"/>
      <c r="W3909" s="6"/>
      <c r="X3909" s="6"/>
      <c r="Y3909" s="6"/>
      <c r="Z3909" s="6"/>
    </row>
    <row r="3910" customFormat="false" ht="15" hidden="false" customHeight="false" outlineLevel="0" collapsed="false">
      <c r="A3910" s="9" t="s">
        <v>9753</v>
      </c>
      <c r="B3910" s="9" t="s">
        <v>5870</v>
      </c>
      <c r="C3910" s="9" t="s">
        <v>4173</v>
      </c>
      <c r="D3910" s="9" t="s">
        <v>5871</v>
      </c>
      <c r="E3910" s="9" t="str">
        <f aca="false">IF(AND('Formation Ledger'!A3889&lt;&gt;"",'Formation Ledger'!V3889=0),"PASS","FAIL")</f>
        <v>PASS</v>
      </c>
      <c r="F3910" s="9" t="s">
        <v>76</v>
      </c>
      <c r="G3910" s="6"/>
      <c r="H3910" s="6"/>
      <c r="I3910" s="6"/>
      <c r="J3910" s="6"/>
      <c r="K3910" s="6"/>
      <c r="L3910" s="6"/>
      <c r="M3910" s="6"/>
      <c r="N3910" s="6"/>
      <c r="O3910" s="6"/>
      <c r="P3910" s="6"/>
      <c r="Q3910" s="6"/>
      <c r="R3910" s="6"/>
      <c r="S3910" s="6"/>
      <c r="T3910" s="6"/>
      <c r="U3910" s="6"/>
      <c r="V3910" s="6"/>
      <c r="W3910" s="6"/>
      <c r="X3910" s="6"/>
      <c r="Y3910" s="6"/>
      <c r="Z3910" s="6"/>
    </row>
    <row r="3911" customFormat="false" ht="15" hidden="false" customHeight="false" outlineLevel="0" collapsed="false">
      <c r="A3911" s="9" t="s">
        <v>9754</v>
      </c>
      <c r="B3911" s="9" t="s">
        <v>5870</v>
      </c>
      <c r="C3911" s="9" t="s">
        <v>4174</v>
      </c>
      <c r="D3911" s="9" t="s">
        <v>5871</v>
      </c>
      <c r="E3911" s="9" t="str">
        <f aca="false">IF(AND('Formation Ledger'!A3890&lt;&gt;"",'Formation Ledger'!V3890=0),"PASS","FAIL")</f>
        <v>PASS</v>
      </c>
      <c r="F3911" s="9" t="s">
        <v>76</v>
      </c>
      <c r="G3911" s="6"/>
      <c r="H3911" s="6"/>
      <c r="I3911" s="6"/>
      <c r="J3911" s="6"/>
      <c r="K3911" s="6"/>
      <c r="L3911" s="6"/>
      <c r="M3911" s="6"/>
      <c r="N3911" s="6"/>
      <c r="O3911" s="6"/>
      <c r="P3911" s="6"/>
      <c r="Q3911" s="6"/>
      <c r="R3911" s="6"/>
      <c r="S3911" s="6"/>
      <c r="T3911" s="6"/>
      <c r="U3911" s="6"/>
      <c r="V3911" s="6"/>
      <c r="W3911" s="6"/>
      <c r="X3911" s="6"/>
      <c r="Y3911" s="6"/>
      <c r="Z3911" s="6"/>
    </row>
    <row r="3912" customFormat="false" ht="15" hidden="false" customHeight="false" outlineLevel="0" collapsed="false">
      <c r="A3912" s="9" t="s">
        <v>9755</v>
      </c>
      <c r="B3912" s="9" t="s">
        <v>5870</v>
      </c>
      <c r="C3912" s="9" t="s">
        <v>4175</v>
      </c>
      <c r="D3912" s="9" t="s">
        <v>5871</v>
      </c>
      <c r="E3912" s="9" t="str">
        <f aca="false">IF(AND('Formation Ledger'!A3891&lt;&gt;"",'Formation Ledger'!V3891=0),"PASS","FAIL")</f>
        <v>PASS</v>
      </c>
      <c r="F3912" s="9" t="s">
        <v>76</v>
      </c>
      <c r="G3912" s="6"/>
      <c r="H3912" s="6"/>
      <c r="I3912" s="6"/>
      <c r="J3912" s="6"/>
      <c r="K3912" s="6"/>
      <c r="L3912" s="6"/>
      <c r="M3912" s="6"/>
      <c r="N3912" s="6"/>
      <c r="O3912" s="6"/>
      <c r="P3912" s="6"/>
      <c r="Q3912" s="6"/>
      <c r="R3912" s="6"/>
      <c r="S3912" s="6"/>
      <c r="T3912" s="6"/>
      <c r="U3912" s="6"/>
      <c r="V3912" s="6"/>
      <c r="W3912" s="6"/>
      <c r="X3912" s="6"/>
      <c r="Y3912" s="6"/>
      <c r="Z3912" s="6"/>
    </row>
    <row r="3913" customFormat="false" ht="15" hidden="false" customHeight="false" outlineLevel="0" collapsed="false">
      <c r="A3913" s="9" t="s">
        <v>9756</v>
      </c>
      <c r="B3913" s="9" t="s">
        <v>5870</v>
      </c>
      <c r="C3913" s="9" t="s">
        <v>4176</v>
      </c>
      <c r="D3913" s="9" t="s">
        <v>5871</v>
      </c>
      <c r="E3913" s="9" t="str">
        <f aca="false">IF(AND('Formation Ledger'!A3892&lt;&gt;"",'Formation Ledger'!V3892=0),"PASS","FAIL")</f>
        <v>PASS</v>
      </c>
      <c r="F3913" s="9" t="s">
        <v>76</v>
      </c>
      <c r="G3913" s="6"/>
      <c r="H3913" s="6"/>
      <c r="I3913" s="6"/>
      <c r="J3913" s="6"/>
      <c r="K3913" s="6"/>
      <c r="L3913" s="6"/>
      <c r="M3913" s="6"/>
      <c r="N3913" s="6"/>
      <c r="O3913" s="6"/>
      <c r="P3913" s="6"/>
      <c r="Q3913" s="6"/>
      <c r="R3913" s="6"/>
      <c r="S3913" s="6"/>
      <c r="T3913" s="6"/>
      <c r="U3913" s="6"/>
      <c r="V3913" s="6"/>
      <c r="W3913" s="6"/>
      <c r="X3913" s="6"/>
      <c r="Y3913" s="6"/>
      <c r="Z3913" s="6"/>
    </row>
    <row r="3914" customFormat="false" ht="15" hidden="false" customHeight="false" outlineLevel="0" collapsed="false">
      <c r="A3914" s="9" t="s">
        <v>9757</v>
      </c>
      <c r="B3914" s="9" t="s">
        <v>5870</v>
      </c>
      <c r="C3914" s="9" t="s">
        <v>4177</v>
      </c>
      <c r="D3914" s="9" t="s">
        <v>5871</v>
      </c>
      <c r="E3914" s="9" t="str">
        <f aca="false">IF(AND('Formation Ledger'!A3893&lt;&gt;"",'Formation Ledger'!V3893=0),"PASS","FAIL")</f>
        <v>PASS</v>
      </c>
      <c r="F3914" s="9" t="s">
        <v>76</v>
      </c>
      <c r="G3914" s="6"/>
      <c r="H3914" s="6"/>
      <c r="I3914" s="6"/>
      <c r="J3914" s="6"/>
      <c r="K3914" s="6"/>
      <c r="L3914" s="6"/>
      <c r="M3914" s="6"/>
      <c r="N3914" s="6"/>
      <c r="O3914" s="6"/>
      <c r="P3914" s="6"/>
      <c r="Q3914" s="6"/>
      <c r="R3914" s="6"/>
      <c r="S3914" s="6"/>
      <c r="T3914" s="6"/>
      <c r="U3914" s="6"/>
      <c r="V3914" s="6"/>
      <c r="W3914" s="6"/>
      <c r="X3914" s="6"/>
      <c r="Y3914" s="6"/>
      <c r="Z3914" s="6"/>
    </row>
    <row r="3915" customFormat="false" ht="15" hidden="false" customHeight="false" outlineLevel="0" collapsed="false">
      <c r="A3915" s="9" t="s">
        <v>9758</v>
      </c>
      <c r="B3915" s="9" t="s">
        <v>5870</v>
      </c>
      <c r="C3915" s="9" t="s">
        <v>4178</v>
      </c>
      <c r="D3915" s="9" t="s">
        <v>5871</v>
      </c>
      <c r="E3915" s="9" t="str">
        <f aca="false">IF(AND('Formation Ledger'!A3894&lt;&gt;"",'Formation Ledger'!V3894=0),"PASS","FAIL")</f>
        <v>PASS</v>
      </c>
      <c r="F3915" s="9" t="s">
        <v>76</v>
      </c>
      <c r="G3915" s="6"/>
      <c r="H3915" s="6"/>
      <c r="I3915" s="6"/>
      <c r="J3915" s="6"/>
      <c r="K3915" s="6"/>
      <c r="L3915" s="6"/>
      <c r="M3915" s="6"/>
      <c r="N3915" s="6"/>
      <c r="O3915" s="6"/>
      <c r="P3915" s="6"/>
      <c r="Q3915" s="6"/>
      <c r="R3915" s="6"/>
      <c r="S3915" s="6"/>
      <c r="T3915" s="6"/>
      <c r="U3915" s="6"/>
      <c r="V3915" s="6"/>
      <c r="W3915" s="6"/>
      <c r="X3915" s="6"/>
      <c r="Y3915" s="6"/>
      <c r="Z3915" s="6"/>
    </row>
    <row r="3916" customFormat="false" ht="15" hidden="false" customHeight="false" outlineLevel="0" collapsed="false">
      <c r="A3916" s="9" t="s">
        <v>9759</v>
      </c>
      <c r="B3916" s="9" t="s">
        <v>5870</v>
      </c>
      <c r="C3916" s="9" t="s">
        <v>4179</v>
      </c>
      <c r="D3916" s="9" t="s">
        <v>5871</v>
      </c>
      <c r="E3916" s="9" t="str">
        <f aca="false">IF(AND('Formation Ledger'!A3895&lt;&gt;"",'Formation Ledger'!V3895=0),"PASS","FAIL")</f>
        <v>PASS</v>
      </c>
      <c r="F3916" s="9" t="s">
        <v>76</v>
      </c>
      <c r="G3916" s="6"/>
      <c r="H3916" s="6"/>
      <c r="I3916" s="6"/>
      <c r="J3916" s="6"/>
      <c r="K3916" s="6"/>
      <c r="L3916" s="6"/>
      <c r="M3916" s="6"/>
      <c r="N3916" s="6"/>
      <c r="O3916" s="6"/>
      <c r="P3916" s="6"/>
      <c r="Q3916" s="6"/>
      <c r="R3916" s="6"/>
      <c r="S3916" s="6"/>
      <c r="T3916" s="6"/>
      <c r="U3916" s="6"/>
      <c r="V3916" s="6"/>
      <c r="W3916" s="6"/>
      <c r="X3916" s="6"/>
      <c r="Y3916" s="6"/>
      <c r="Z3916" s="6"/>
    </row>
    <row r="3917" customFormat="false" ht="15" hidden="false" customHeight="false" outlineLevel="0" collapsed="false">
      <c r="A3917" s="9" t="s">
        <v>9760</v>
      </c>
      <c r="B3917" s="9" t="s">
        <v>5870</v>
      </c>
      <c r="C3917" s="9" t="s">
        <v>4180</v>
      </c>
      <c r="D3917" s="9" t="s">
        <v>5871</v>
      </c>
      <c r="E3917" s="9" t="str">
        <f aca="false">IF(AND('Formation Ledger'!A3896&lt;&gt;"",'Formation Ledger'!V3896=0),"PASS","FAIL")</f>
        <v>PASS</v>
      </c>
      <c r="F3917" s="9" t="s">
        <v>76</v>
      </c>
      <c r="G3917" s="6"/>
      <c r="H3917" s="6"/>
      <c r="I3917" s="6"/>
      <c r="J3917" s="6"/>
      <c r="K3917" s="6"/>
      <c r="L3917" s="6"/>
      <c r="M3917" s="6"/>
      <c r="N3917" s="6"/>
      <c r="O3917" s="6"/>
      <c r="P3917" s="6"/>
      <c r="Q3917" s="6"/>
      <c r="R3917" s="6"/>
      <c r="S3917" s="6"/>
      <c r="T3917" s="6"/>
      <c r="U3917" s="6"/>
      <c r="V3917" s="6"/>
      <c r="W3917" s="6"/>
      <c r="X3917" s="6"/>
      <c r="Y3917" s="6"/>
      <c r="Z3917" s="6"/>
    </row>
    <row r="3918" customFormat="false" ht="15" hidden="false" customHeight="false" outlineLevel="0" collapsed="false">
      <c r="A3918" s="9" t="s">
        <v>9761</v>
      </c>
      <c r="B3918" s="9" t="s">
        <v>5870</v>
      </c>
      <c r="C3918" s="9" t="s">
        <v>4181</v>
      </c>
      <c r="D3918" s="9" t="s">
        <v>5871</v>
      </c>
      <c r="E3918" s="9" t="str">
        <f aca="false">IF(AND('Formation Ledger'!A3897&lt;&gt;"",'Formation Ledger'!V3897=0),"PASS","FAIL")</f>
        <v>PASS</v>
      </c>
      <c r="F3918" s="9" t="s">
        <v>76</v>
      </c>
      <c r="G3918" s="6"/>
      <c r="H3918" s="6"/>
      <c r="I3918" s="6"/>
      <c r="J3918" s="6"/>
      <c r="K3918" s="6"/>
      <c r="L3918" s="6"/>
      <c r="M3918" s="6"/>
      <c r="N3918" s="6"/>
      <c r="O3918" s="6"/>
      <c r="P3918" s="6"/>
      <c r="Q3918" s="6"/>
      <c r="R3918" s="6"/>
      <c r="S3918" s="6"/>
      <c r="T3918" s="6"/>
      <c r="U3918" s="6"/>
      <c r="V3918" s="6"/>
      <c r="W3918" s="6"/>
      <c r="X3918" s="6"/>
      <c r="Y3918" s="6"/>
      <c r="Z3918" s="6"/>
    </row>
    <row r="3919" customFormat="false" ht="15" hidden="false" customHeight="false" outlineLevel="0" collapsed="false">
      <c r="A3919" s="9" t="s">
        <v>9762</v>
      </c>
      <c r="B3919" s="9" t="s">
        <v>5870</v>
      </c>
      <c r="C3919" s="9" t="s">
        <v>4182</v>
      </c>
      <c r="D3919" s="9" t="s">
        <v>5871</v>
      </c>
      <c r="E3919" s="9" t="str">
        <f aca="false">IF(AND('Formation Ledger'!A3898&lt;&gt;"",'Formation Ledger'!V3898=0),"PASS","FAIL")</f>
        <v>PASS</v>
      </c>
      <c r="F3919" s="9" t="s">
        <v>76</v>
      </c>
      <c r="G3919" s="6"/>
      <c r="H3919" s="6"/>
      <c r="I3919" s="6"/>
      <c r="J3919" s="6"/>
      <c r="K3919" s="6"/>
      <c r="L3919" s="6"/>
      <c r="M3919" s="6"/>
      <c r="N3919" s="6"/>
      <c r="O3919" s="6"/>
      <c r="P3919" s="6"/>
      <c r="Q3919" s="6"/>
      <c r="R3919" s="6"/>
      <c r="S3919" s="6"/>
      <c r="T3919" s="6"/>
      <c r="U3919" s="6"/>
      <c r="V3919" s="6"/>
      <c r="W3919" s="6"/>
      <c r="X3919" s="6"/>
      <c r="Y3919" s="6"/>
      <c r="Z3919" s="6"/>
    </row>
    <row r="3920" customFormat="false" ht="15" hidden="false" customHeight="false" outlineLevel="0" collapsed="false">
      <c r="A3920" s="9" t="s">
        <v>9763</v>
      </c>
      <c r="B3920" s="9" t="s">
        <v>5870</v>
      </c>
      <c r="C3920" s="9" t="s">
        <v>4183</v>
      </c>
      <c r="D3920" s="9" t="s">
        <v>5871</v>
      </c>
      <c r="E3920" s="9" t="str">
        <f aca="false">IF(AND('Formation Ledger'!A3899&lt;&gt;"",'Formation Ledger'!V3899=0),"PASS","FAIL")</f>
        <v>PASS</v>
      </c>
      <c r="F3920" s="9" t="s">
        <v>76</v>
      </c>
      <c r="G3920" s="6"/>
      <c r="H3920" s="6"/>
      <c r="I3920" s="6"/>
      <c r="J3920" s="6"/>
      <c r="K3920" s="6"/>
      <c r="L3920" s="6"/>
      <c r="M3920" s="6"/>
      <c r="N3920" s="6"/>
      <c r="O3920" s="6"/>
      <c r="P3920" s="6"/>
      <c r="Q3920" s="6"/>
      <c r="R3920" s="6"/>
      <c r="S3920" s="6"/>
      <c r="T3920" s="6"/>
      <c r="U3920" s="6"/>
      <c r="V3920" s="6"/>
      <c r="W3920" s="6"/>
      <c r="X3920" s="6"/>
      <c r="Y3920" s="6"/>
      <c r="Z3920" s="6"/>
    </row>
    <row r="3921" customFormat="false" ht="15" hidden="false" customHeight="false" outlineLevel="0" collapsed="false">
      <c r="A3921" s="9" t="s">
        <v>9764</v>
      </c>
      <c r="B3921" s="9" t="s">
        <v>5870</v>
      </c>
      <c r="C3921" s="9" t="s">
        <v>4184</v>
      </c>
      <c r="D3921" s="9" t="s">
        <v>5871</v>
      </c>
      <c r="E3921" s="9" t="str">
        <f aca="false">IF(AND('Formation Ledger'!A3900&lt;&gt;"",'Formation Ledger'!V3900=0),"PASS","FAIL")</f>
        <v>PASS</v>
      </c>
      <c r="F3921" s="9" t="s">
        <v>76</v>
      </c>
      <c r="G3921" s="6"/>
      <c r="H3921" s="6"/>
      <c r="I3921" s="6"/>
      <c r="J3921" s="6"/>
      <c r="K3921" s="6"/>
      <c r="L3921" s="6"/>
      <c r="M3921" s="6"/>
      <c r="N3921" s="6"/>
      <c r="O3921" s="6"/>
      <c r="P3921" s="6"/>
      <c r="Q3921" s="6"/>
      <c r="R3921" s="6"/>
      <c r="S3921" s="6"/>
      <c r="T3921" s="6"/>
      <c r="U3921" s="6"/>
      <c r="V3921" s="6"/>
      <c r="W3921" s="6"/>
      <c r="X3921" s="6"/>
      <c r="Y3921" s="6"/>
      <c r="Z3921" s="6"/>
    </row>
    <row r="3922" customFormat="false" ht="15" hidden="false" customHeight="false" outlineLevel="0" collapsed="false">
      <c r="A3922" s="9" t="s">
        <v>9765</v>
      </c>
      <c r="B3922" s="9" t="s">
        <v>5870</v>
      </c>
      <c r="C3922" s="9" t="s">
        <v>4185</v>
      </c>
      <c r="D3922" s="9" t="s">
        <v>5871</v>
      </c>
      <c r="E3922" s="9" t="str">
        <f aca="false">IF(AND('Formation Ledger'!A3901&lt;&gt;"",'Formation Ledger'!V3901=0),"PASS","FAIL")</f>
        <v>PASS</v>
      </c>
      <c r="F3922" s="9" t="s">
        <v>76</v>
      </c>
      <c r="G3922" s="6"/>
      <c r="H3922" s="6"/>
      <c r="I3922" s="6"/>
      <c r="J3922" s="6"/>
      <c r="K3922" s="6"/>
      <c r="L3922" s="6"/>
      <c r="M3922" s="6"/>
      <c r="N3922" s="6"/>
      <c r="O3922" s="6"/>
      <c r="P3922" s="6"/>
      <c r="Q3922" s="6"/>
      <c r="R3922" s="6"/>
      <c r="S3922" s="6"/>
      <c r="T3922" s="6"/>
      <c r="U3922" s="6"/>
      <c r="V3922" s="6"/>
      <c r="W3922" s="6"/>
      <c r="X3922" s="6"/>
      <c r="Y3922" s="6"/>
      <c r="Z3922" s="6"/>
    </row>
    <row r="3923" customFormat="false" ht="15" hidden="false" customHeight="false" outlineLevel="0" collapsed="false">
      <c r="A3923" s="9" t="s">
        <v>9766</v>
      </c>
      <c r="B3923" s="9" t="s">
        <v>5870</v>
      </c>
      <c r="C3923" s="9" t="s">
        <v>4186</v>
      </c>
      <c r="D3923" s="9" t="s">
        <v>5871</v>
      </c>
      <c r="E3923" s="9" t="str">
        <f aca="false">IF(AND('Formation Ledger'!A3902&lt;&gt;"",'Formation Ledger'!V3902=0),"PASS","FAIL")</f>
        <v>PASS</v>
      </c>
      <c r="F3923" s="9" t="s">
        <v>76</v>
      </c>
      <c r="G3923" s="6"/>
      <c r="H3923" s="6"/>
      <c r="I3923" s="6"/>
      <c r="J3923" s="6"/>
      <c r="K3923" s="6"/>
      <c r="L3923" s="6"/>
      <c r="M3923" s="6"/>
      <c r="N3923" s="6"/>
      <c r="O3923" s="6"/>
      <c r="P3923" s="6"/>
      <c r="Q3923" s="6"/>
      <c r="R3923" s="6"/>
      <c r="S3923" s="6"/>
      <c r="T3923" s="6"/>
      <c r="U3923" s="6"/>
      <c r="V3923" s="6"/>
      <c r="W3923" s="6"/>
      <c r="X3923" s="6"/>
      <c r="Y3923" s="6"/>
      <c r="Z3923" s="6"/>
    </row>
    <row r="3924" customFormat="false" ht="15" hidden="false" customHeight="false" outlineLevel="0" collapsed="false">
      <c r="A3924" s="9" t="s">
        <v>9767</v>
      </c>
      <c r="B3924" s="9" t="s">
        <v>5870</v>
      </c>
      <c r="C3924" s="9" t="s">
        <v>4187</v>
      </c>
      <c r="D3924" s="9" t="s">
        <v>5871</v>
      </c>
      <c r="E3924" s="9" t="str">
        <f aca="false">IF(AND('Formation Ledger'!A3903&lt;&gt;"",'Formation Ledger'!V3903=0),"PASS","FAIL")</f>
        <v>PASS</v>
      </c>
      <c r="F3924" s="9" t="s">
        <v>76</v>
      </c>
      <c r="G3924" s="6"/>
      <c r="H3924" s="6"/>
      <c r="I3924" s="6"/>
      <c r="J3924" s="6"/>
      <c r="K3924" s="6"/>
      <c r="L3924" s="6"/>
      <c r="M3924" s="6"/>
      <c r="N3924" s="6"/>
      <c r="O3924" s="6"/>
      <c r="P3924" s="6"/>
      <c r="Q3924" s="6"/>
      <c r="R3924" s="6"/>
      <c r="S3924" s="6"/>
      <c r="T3924" s="6"/>
      <c r="U3924" s="6"/>
      <c r="V3924" s="6"/>
      <c r="W3924" s="6"/>
      <c r="X3924" s="6"/>
      <c r="Y3924" s="6"/>
      <c r="Z3924" s="6"/>
    </row>
    <row r="3925" customFormat="false" ht="15" hidden="false" customHeight="false" outlineLevel="0" collapsed="false">
      <c r="A3925" s="9" t="s">
        <v>9768</v>
      </c>
      <c r="B3925" s="9" t="s">
        <v>5870</v>
      </c>
      <c r="C3925" s="9" t="s">
        <v>4188</v>
      </c>
      <c r="D3925" s="9" t="s">
        <v>5871</v>
      </c>
      <c r="E3925" s="9" t="str">
        <f aca="false">IF(AND('Formation Ledger'!A3904&lt;&gt;"",'Formation Ledger'!V3904=0),"PASS","FAIL")</f>
        <v>PASS</v>
      </c>
      <c r="F3925" s="9" t="s">
        <v>76</v>
      </c>
      <c r="G3925" s="6"/>
      <c r="H3925" s="6"/>
      <c r="I3925" s="6"/>
      <c r="J3925" s="6"/>
      <c r="K3925" s="6"/>
      <c r="L3925" s="6"/>
      <c r="M3925" s="6"/>
      <c r="N3925" s="6"/>
      <c r="O3925" s="6"/>
      <c r="P3925" s="6"/>
      <c r="Q3925" s="6"/>
      <c r="R3925" s="6"/>
      <c r="S3925" s="6"/>
      <c r="T3925" s="6"/>
      <c r="U3925" s="6"/>
      <c r="V3925" s="6"/>
      <c r="W3925" s="6"/>
      <c r="X3925" s="6"/>
      <c r="Y3925" s="6"/>
      <c r="Z3925" s="6"/>
    </row>
    <row r="3926" customFormat="false" ht="15" hidden="false" customHeight="false" outlineLevel="0" collapsed="false">
      <c r="A3926" s="9" t="s">
        <v>9769</v>
      </c>
      <c r="B3926" s="9" t="s">
        <v>5870</v>
      </c>
      <c r="C3926" s="9" t="s">
        <v>4189</v>
      </c>
      <c r="D3926" s="9" t="s">
        <v>5871</v>
      </c>
      <c r="E3926" s="9" t="str">
        <f aca="false">IF(AND('Formation Ledger'!A3905&lt;&gt;"",'Formation Ledger'!V3905=0),"PASS","FAIL")</f>
        <v>PASS</v>
      </c>
      <c r="F3926" s="9" t="s">
        <v>76</v>
      </c>
      <c r="G3926" s="6"/>
      <c r="H3926" s="6"/>
      <c r="I3926" s="6"/>
      <c r="J3926" s="6"/>
      <c r="K3926" s="6"/>
      <c r="L3926" s="6"/>
      <c r="M3926" s="6"/>
      <c r="N3926" s="6"/>
      <c r="O3926" s="6"/>
      <c r="P3926" s="6"/>
      <c r="Q3926" s="6"/>
      <c r="R3926" s="6"/>
      <c r="S3926" s="6"/>
      <c r="T3926" s="6"/>
      <c r="U3926" s="6"/>
      <c r="V3926" s="6"/>
      <c r="W3926" s="6"/>
      <c r="X3926" s="6"/>
      <c r="Y3926" s="6"/>
      <c r="Z3926" s="6"/>
    </row>
    <row r="3927" customFormat="false" ht="15" hidden="false" customHeight="false" outlineLevel="0" collapsed="false">
      <c r="A3927" s="9" t="s">
        <v>9770</v>
      </c>
      <c r="B3927" s="9" t="s">
        <v>5870</v>
      </c>
      <c r="C3927" s="9" t="s">
        <v>4190</v>
      </c>
      <c r="D3927" s="9" t="s">
        <v>5871</v>
      </c>
      <c r="E3927" s="9" t="str">
        <f aca="false">IF(AND('Formation Ledger'!A3906&lt;&gt;"",'Formation Ledger'!V3906=0),"PASS","FAIL")</f>
        <v>PASS</v>
      </c>
      <c r="F3927" s="9" t="s">
        <v>76</v>
      </c>
      <c r="G3927" s="6"/>
      <c r="H3927" s="6"/>
      <c r="I3927" s="6"/>
      <c r="J3927" s="6"/>
      <c r="K3927" s="6"/>
      <c r="L3927" s="6"/>
      <c r="M3927" s="6"/>
      <c r="N3927" s="6"/>
      <c r="O3927" s="6"/>
      <c r="P3927" s="6"/>
      <c r="Q3927" s="6"/>
      <c r="R3927" s="6"/>
      <c r="S3927" s="6"/>
      <c r="T3927" s="6"/>
      <c r="U3927" s="6"/>
      <c r="V3927" s="6"/>
      <c r="W3927" s="6"/>
      <c r="X3927" s="6"/>
      <c r="Y3927" s="6"/>
      <c r="Z3927" s="6"/>
    </row>
    <row r="3928" customFormat="false" ht="15" hidden="false" customHeight="false" outlineLevel="0" collapsed="false">
      <c r="A3928" s="9" t="s">
        <v>9771</v>
      </c>
      <c r="B3928" s="9" t="s">
        <v>5870</v>
      </c>
      <c r="C3928" s="9" t="s">
        <v>4191</v>
      </c>
      <c r="D3928" s="9" t="s">
        <v>5871</v>
      </c>
      <c r="E3928" s="9" t="str">
        <f aca="false">IF(AND('Formation Ledger'!A3907&lt;&gt;"",'Formation Ledger'!V3907=0),"PASS","FAIL")</f>
        <v>PASS</v>
      </c>
      <c r="F3928" s="9" t="s">
        <v>76</v>
      </c>
      <c r="G3928" s="6"/>
      <c r="H3928" s="6"/>
      <c r="I3928" s="6"/>
      <c r="J3928" s="6"/>
      <c r="K3928" s="6"/>
      <c r="L3928" s="6"/>
      <c r="M3928" s="6"/>
      <c r="N3928" s="6"/>
      <c r="O3928" s="6"/>
      <c r="P3928" s="6"/>
      <c r="Q3928" s="6"/>
      <c r="R3928" s="6"/>
      <c r="S3928" s="6"/>
      <c r="T3928" s="6"/>
      <c r="U3928" s="6"/>
      <c r="V3928" s="6"/>
      <c r="W3928" s="6"/>
      <c r="X3928" s="6"/>
      <c r="Y3928" s="6"/>
      <c r="Z3928" s="6"/>
    </row>
    <row r="3929" customFormat="false" ht="15" hidden="false" customHeight="false" outlineLevel="0" collapsed="false">
      <c r="A3929" s="9" t="s">
        <v>9772</v>
      </c>
      <c r="B3929" s="9" t="s">
        <v>5870</v>
      </c>
      <c r="C3929" s="9" t="s">
        <v>4192</v>
      </c>
      <c r="D3929" s="9" t="s">
        <v>5871</v>
      </c>
      <c r="E3929" s="9" t="str">
        <f aca="false">IF(AND('Formation Ledger'!A3908&lt;&gt;"",'Formation Ledger'!V3908=0),"PASS","FAIL")</f>
        <v>PASS</v>
      </c>
      <c r="F3929" s="9" t="s">
        <v>76</v>
      </c>
      <c r="G3929" s="6"/>
      <c r="H3929" s="6"/>
      <c r="I3929" s="6"/>
      <c r="J3929" s="6"/>
      <c r="K3929" s="6"/>
      <c r="L3929" s="6"/>
      <c r="M3929" s="6"/>
      <c r="N3929" s="6"/>
      <c r="O3929" s="6"/>
      <c r="P3929" s="6"/>
      <c r="Q3929" s="6"/>
      <c r="R3929" s="6"/>
      <c r="S3929" s="6"/>
      <c r="T3929" s="6"/>
      <c r="U3929" s="6"/>
      <c r="V3929" s="6"/>
      <c r="W3929" s="6"/>
      <c r="X3929" s="6"/>
      <c r="Y3929" s="6"/>
      <c r="Z3929" s="6"/>
    </row>
    <row r="3930" customFormat="false" ht="15" hidden="false" customHeight="false" outlineLevel="0" collapsed="false">
      <c r="A3930" s="9" t="s">
        <v>9773</v>
      </c>
      <c r="B3930" s="9" t="s">
        <v>5870</v>
      </c>
      <c r="C3930" s="9" t="s">
        <v>4193</v>
      </c>
      <c r="D3930" s="9" t="s">
        <v>5871</v>
      </c>
      <c r="E3930" s="9" t="str">
        <f aca="false">IF(AND('Formation Ledger'!A3909&lt;&gt;"",'Formation Ledger'!V3909=0),"PASS","FAIL")</f>
        <v>PASS</v>
      </c>
      <c r="F3930" s="9" t="s">
        <v>76</v>
      </c>
      <c r="G3930" s="6"/>
      <c r="H3930" s="6"/>
      <c r="I3930" s="6"/>
      <c r="J3930" s="6"/>
      <c r="K3930" s="6"/>
      <c r="L3930" s="6"/>
      <c r="M3930" s="6"/>
      <c r="N3930" s="6"/>
      <c r="O3930" s="6"/>
      <c r="P3930" s="6"/>
      <c r="Q3930" s="6"/>
      <c r="R3930" s="6"/>
      <c r="S3930" s="6"/>
      <c r="T3930" s="6"/>
      <c r="U3930" s="6"/>
      <c r="V3930" s="6"/>
      <c r="W3930" s="6"/>
      <c r="X3930" s="6"/>
      <c r="Y3930" s="6"/>
      <c r="Z3930" s="6"/>
    </row>
    <row r="3931" customFormat="false" ht="15" hidden="false" customHeight="false" outlineLevel="0" collapsed="false">
      <c r="A3931" s="9" t="s">
        <v>9774</v>
      </c>
      <c r="B3931" s="9" t="s">
        <v>5870</v>
      </c>
      <c r="C3931" s="9" t="s">
        <v>4194</v>
      </c>
      <c r="D3931" s="9" t="s">
        <v>5871</v>
      </c>
      <c r="E3931" s="9" t="str">
        <f aca="false">IF(AND('Formation Ledger'!A3910&lt;&gt;"",'Formation Ledger'!V3910=0),"PASS","FAIL")</f>
        <v>PASS</v>
      </c>
      <c r="F3931" s="9" t="s">
        <v>76</v>
      </c>
      <c r="G3931" s="6"/>
      <c r="H3931" s="6"/>
      <c r="I3931" s="6"/>
      <c r="J3931" s="6"/>
      <c r="K3931" s="6"/>
      <c r="L3931" s="6"/>
      <c r="M3931" s="6"/>
      <c r="N3931" s="6"/>
      <c r="O3931" s="6"/>
      <c r="P3931" s="6"/>
      <c r="Q3931" s="6"/>
      <c r="R3931" s="6"/>
      <c r="S3931" s="6"/>
      <c r="T3931" s="6"/>
      <c r="U3931" s="6"/>
      <c r="V3931" s="6"/>
      <c r="W3931" s="6"/>
      <c r="X3931" s="6"/>
      <c r="Y3931" s="6"/>
      <c r="Z3931" s="6"/>
    </row>
    <row r="3932" customFormat="false" ht="15" hidden="false" customHeight="false" outlineLevel="0" collapsed="false">
      <c r="A3932" s="9" t="s">
        <v>9775</v>
      </c>
      <c r="B3932" s="9" t="s">
        <v>5870</v>
      </c>
      <c r="C3932" s="9" t="s">
        <v>4195</v>
      </c>
      <c r="D3932" s="9" t="s">
        <v>5871</v>
      </c>
      <c r="E3932" s="9" t="str">
        <f aca="false">IF(AND('Formation Ledger'!A3911&lt;&gt;"",'Formation Ledger'!V3911=0),"PASS","FAIL")</f>
        <v>PASS</v>
      </c>
      <c r="F3932" s="9" t="s">
        <v>76</v>
      </c>
      <c r="G3932" s="6"/>
      <c r="H3932" s="6"/>
      <c r="I3932" s="6"/>
      <c r="J3932" s="6"/>
      <c r="K3932" s="6"/>
      <c r="L3932" s="6"/>
      <c r="M3932" s="6"/>
      <c r="N3932" s="6"/>
      <c r="O3932" s="6"/>
      <c r="P3932" s="6"/>
      <c r="Q3932" s="6"/>
      <c r="R3932" s="6"/>
      <c r="S3932" s="6"/>
      <c r="T3932" s="6"/>
      <c r="U3932" s="6"/>
      <c r="V3932" s="6"/>
      <c r="W3932" s="6"/>
      <c r="X3932" s="6"/>
      <c r="Y3932" s="6"/>
      <c r="Z3932" s="6"/>
    </row>
    <row r="3933" customFormat="false" ht="15" hidden="false" customHeight="false" outlineLevel="0" collapsed="false">
      <c r="A3933" s="9" t="s">
        <v>9776</v>
      </c>
      <c r="B3933" s="9" t="s">
        <v>5870</v>
      </c>
      <c r="C3933" s="9" t="s">
        <v>4196</v>
      </c>
      <c r="D3933" s="9" t="s">
        <v>5871</v>
      </c>
      <c r="E3933" s="9" t="str">
        <f aca="false">IF(AND('Formation Ledger'!A3912&lt;&gt;"",'Formation Ledger'!V3912=0),"PASS","FAIL")</f>
        <v>PASS</v>
      </c>
      <c r="F3933" s="9" t="s">
        <v>76</v>
      </c>
      <c r="G3933" s="6"/>
      <c r="H3933" s="6"/>
      <c r="I3933" s="6"/>
      <c r="J3933" s="6"/>
      <c r="K3933" s="6"/>
      <c r="L3933" s="6"/>
      <c r="M3933" s="6"/>
      <c r="N3933" s="6"/>
      <c r="O3933" s="6"/>
      <c r="P3933" s="6"/>
      <c r="Q3933" s="6"/>
      <c r="R3933" s="6"/>
      <c r="S3933" s="6"/>
      <c r="T3933" s="6"/>
      <c r="U3933" s="6"/>
      <c r="V3933" s="6"/>
      <c r="W3933" s="6"/>
      <c r="X3933" s="6"/>
      <c r="Y3933" s="6"/>
      <c r="Z3933" s="6"/>
    </row>
    <row r="3934" customFormat="false" ht="15" hidden="false" customHeight="false" outlineLevel="0" collapsed="false">
      <c r="A3934" s="9" t="s">
        <v>9777</v>
      </c>
      <c r="B3934" s="9" t="s">
        <v>5870</v>
      </c>
      <c r="C3934" s="9" t="s">
        <v>4197</v>
      </c>
      <c r="D3934" s="9" t="s">
        <v>5871</v>
      </c>
      <c r="E3934" s="9" t="str">
        <f aca="false">IF(AND('Formation Ledger'!A3913&lt;&gt;"",'Formation Ledger'!V3913=0),"PASS","FAIL")</f>
        <v>PASS</v>
      </c>
      <c r="F3934" s="9" t="s">
        <v>76</v>
      </c>
      <c r="G3934" s="6"/>
      <c r="H3934" s="6"/>
      <c r="I3934" s="6"/>
      <c r="J3934" s="6"/>
      <c r="K3934" s="6"/>
      <c r="L3934" s="6"/>
      <c r="M3934" s="6"/>
      <c r="N3934" s="6"/>
      <c r="O3934" s="6"/>
      <c r="P3934" s="6"/>
      <c r="Q3934" s="6"/>
      <c r="R3934" s="6"/>
      <c r="S3934" s="6"/>
      <c r="T3934" s="6"/>
      <c r="U3934" s="6"/>
      <c r="V3934" s="6"/>
      <c r="W3934" s="6"/>
      <c r="X3934" s="6"/>
      <c r="Y3934" s="6"/>
      <c r="Z3934" s="6"/>
    </row>
    <row r="3935" customFormat="false" ht="15" hidden="false" customHeight="false" outlineLevel="0" collapsed="false">
      <c r="A3935" s="9" t="s">
        <v>9778</v>
      </c>
      <c r="B3935" s="9" t="s">
        <v>5870</v>
      </c>
      <c r="C3935" s="9" t="s">
        <v>4198</v>
      </c>
      <c r="D3935" s="9" t="s">
        <v>5871</v>
      </c>
      <c r="E3935" s="9" t="str">
        <f aca="false">IF(AND('Formation Ledger'!A3914&lt;&gt;"",'Formation Ledger'!V3914=0),"PASS","FAIL")</f>
        <v>PASS</v>
      </c>
      <c r="F3935" s="9" t="s">
        <v>76</v>
      </c>
      <c r="G3935" s="6"/>
      <c r="H3935" s="6"/>
      <c r="I3935" s="6"/>
      <c r="J3935" s="6"/>
      <c r="K3935" s="6"/>
      <c r="L3935" s="6"/>
      <c r="M3935" s="6"/>
      <c r="N3935" s="6"/>
      <c r="O3935" s="6"/>
      <c r="P3935" s="6"/>
      <c r="Q3935" s="6"/>
      <c r="R3935" s="6"/>
      <c r="S3935" s="6"/>
      <c r="T3935" s="6"/>
      <c r="U3935" s="6"/>
      <c r="V3935" s="6"/>
      <c r="W3935" s="6"/>
      <c r="X3935" s="6"/>
      <c r="Y3935" s="6"/>
      <c r="Z3935" s="6"/>
    </row>
    <row r="3936" customFormat="false" ht="15" hidden="false" customHeight="false" outlineLevel="0" collapsed="false">
      <c r="A3936" s="9" t="s">
        <v>9779</v>
      </c>
      <c r="B3936" s="9" t="s">
        <v>5870</v>
      </c>
      <c r="C3936" s="9" t="s">
        <v>4199</v>
      </c>
      <c r="D3936" s="9" t="s">
        <v>5871</v>
      </c>
      <c r="E3936" s="9" t="str">
        <f aca="false">IF(AND('Formation Ledger'!A3915&lt;&gt;"",'Formation Ledger'!V3915=0),"PASS","FAIL")</f>
        <v>PASS</v>
      </c>
      <c r="F3936" s="9" t="s">
        <v>76</v>
      </c>
      <c r="G3936" s="6"/>
      <c r="H3936" s="6"/>
      <c r="I3936" s="6"/>
      <c r="J3936" s="6"/>
      <c r="K3936" s="6"/>
      <c r="L3936" s="6"/>
      <c r="M3936" s="6"/>
      <c r="N3936" s="6"/>
      <c r="O3936" s="6"/>
      <c r="P3936" s="6"/>
      <c r="Q3936" s="6"/>
      <c r="R3936" s="6"/>
      <c r="S3936" s="6"/>
      <c r="T3936" s="6"/>
      <c r="U3936" s="6"/>
      <c r="V3936" s="6"/>
      <c r="W3936" s="6"/>
      <c r="X3936" s="6"/>
      <c r="Y3936" s="6"/>
      <c r="Z3936" s="6"/>
    </row>
    <row r="3937" customFormat="false" ht="15" hidden="false" customHeight="false" outlineLevel="0" collapsed="false">
      <c r="A3937" s="9" t="s">
        <v>9780</v>
      </c>
      <c r="B3937" s="9" t="s">
        <v>5870</v>
      </c>
      <c r="C3937" s="9" t="s">
        <v>4200</v>
      </c>
      <c r="D3937" s="9" t="s">
        <v>5871</v>
      </c>
      <c r="E3937" s="9" t="str">
        <f aca="false">IF(AND('Formation Ledger'!A3916&lt;&gt;"",'Formation Ledger'!V3916=0),"PASS","FAIL")</f>
        <v>PASS</v>
      </c>
      <c r="F3937" s="9" t="s">
        <v>76</v>
      </c>
      <c r="G3937" s="6"/>
      <c r="H3937" s="6"/>
      <c r="I3937" s="6"/>
      <c r="J3937" s="6"/>
      <c r="K3937" s="6"/>
      <c r="L3937" s="6"/>
      <c r="M3937" s="6"/>
      <c r="N3937" s="6"/>
      <c r="O3937" s="6"/>
      <c r="P3937" s="6"/>
      <c r="Q3937" s="6"/>
      <c r="R3937" s="6"/>
      <c r="S3937" s="6"/>
      <c r="T3937" s="6"/>
      <c r="U3937" s="6"/>
      <c r="V3937" s="6"/>
      <c r="W3937" s="6"/>
      <c r="X3937" s="6"/>
      <c r="Y3937" s="6"/>
      <c r="Z3937" s="6"/>
    </row>
    <row r="3938" customFormat="false" ht="15" hidden="false" customHeight="false" outlineLevel="0" collapsed="false">
      <c r="A3938" s="9" t="s">
        <v>9781</v>
      </c>
      <c r="B3938" s="9" t="s">
        <v>5870</v>
      </c>
      <c r="C3938" s="9" t="s">
        <v>4201</v>
      </c>
      <c r="D3938" s="9" t="s">
        <v>5871</v>
      </c>
      <c r="E3938" s="9" t="str">
        <f aca="false">IF(AND('Formation Ledger'!A3917&lt;&gt;"",'Formation Ledger'!V3917=0),"PASS","FAIL")</f>
        <v>PASS</v>
      </c>
      <c r="F3938" s="9" t="s">
        <v>76</v>
      </c>
      <c r="G3938" s="6"/>
      <c r="H3938" s="6"/>
      <c r="I3938" s="6"/>
      <c r="J3938" s="6"/>
      <c r="K3938" s="6"/>
      <c r="L3938" s="6"/>
      <c r="M3938" s="6"/>
      <c r="N3938" s="6"/>
      <c r="O3938" s="6"/>
      <c r="P3938" s="6"/>
      <c r="Q3938" s="6"/>
      <c r="R3938" s="6"/>
      <c r="S3938" s="6"/>
      <c r="T3938" s="6"/>
      <c r="U3938" s="6"/>
      <c r="V3938" s="6"/>
      <c r="W3938" s="6"/>
      <c r="X3938" s="6"/>
      <c r="Y3938" s="6"/>
      <c r="Z3938" s="6"/>
    </row>
    <row r="3939" customFormat="false" ht="15" hidden="false" customHeight="false" outlineLevel="0" collapsed="false">
      <c r="A3939" s="9" t="s">
        <v>9782</v>
      </c>
      <c r="B3939" s="9" t="s">
        <v>5870</v>
      </c>
      <c r="C3939" s="9" t="s">
        <v>4202</v>
      </c>
      <c r="D3939" s="9" t="s">
        <v>5871</v>
      </c>
      <c r="E3939" s="9" t="str">
        <f aca="false">IF(AND('Formation Ledger'!A3918&lt;&gt;"",'Formation Ledger'!V3918=0),"PASS","FAIL")</f>
        <v>PASS</v>
      </c>
      <c r="F3939" s="9" t="s">
        <v>76</v>
      </c>
      <c r="G3939" s="6"/>
      <c r="H3939" s="6"/>
      <c r="I3939" s="6"/>
      <c r="J3939" s="6"/>
      <c r="K3939" s="6"/>
      <c r="L3939" s="6"/>
      <c r="M3939" s="6"/>
      <c r="N3939" s="6"/>
      <c r="O3939" s="6"/>
      <c r="P3939" s="6"/>
      <c r="Q3939" s="6"/>
      <c r="R3939" s="6"/>
      <c r="S3939" s="6"/>
      <c r="T3939" s="6"/>
      <c r="U3939" s="6"/>
      <c r="V3939" s="6"/>
      <c r="W3939" s="6"/>
      <c r="X3939" s="6"/>
      <c r="Y3939" s="6"/>
      <c r="Z3939" s="6"/>
    </row>
    <row r="3940" customFormat="false" ht="15" hidden="false" customHeight="false" outlineLevel="0" collapsed="false">
      <c r="A3940" s="9" t="s">
        <v>9783</v>
      </c>
      <c r="B3940" s="9" t="s">
        <v>5870</v>
      </c>
      <c r="C3940" s="9" t="s">
        <v>4203</v>
      </c>
      <c r="D3940" s="9" t="s">
        <v>5871</v>
      </c>
      <c r="E3940" s="9" t="str">
        <f aca="false">IF(AND('Formation Ledger'!A3919&lt;&gt;"",'Formation Ledger'!V3919=0),"PASS","FAIL")</f>
        <v>PASS</v>
      </c>
      <c r="F3940" s="9" t="s">
        <v>76</v>
      </c>
      <c r="G3940" s="6"/>
      <c r="H3940" s="6"/>
      <c r="I3940" s="6"/>
      <c r="J3940" s="6"/>
      <c r="K3940" s="6"/>
      <c r="L3940" s="6"/>
      <c r="M3940" s="6"/>
      <c r="N3940" s="6"/>
      <c r="O3940" s="6"/>
      <c r="P3940" s="6"/>
      <c r="Q3940" s="6"/>
      <c r="R3940" s="6"/>
      <c r="S3940" s="6"/>
      <c r="T3940" s="6"/>
      <c r="U3940" s="6"/>
      <c r="V3940" s="6"/>
      <c r="W3940" s="6"/>
      <c r="X3940" s="6"/>
      <c r="Y3940" s="6"/>
      <c r="Z3940" s="6"/>
    </row>
    <row r="3941" customFormat="false" ht="15" hidden="false" customHeight="false" outlineLevel="0" collapsed="false">
      <c r="A3941" s="9" t="s">
        <v>9784</v>
      </c>
      <c r="B3941" s="9" t="s">
        <v>5870</v>
      </c>
      <c r="C3941" s="9" t="s">
        <v>4204</v>
      </c>
      <c r="D3941" s="9" t="s">
        <v>5871</v>
      </c>
      <c r="E3941" s="9" t="str">
        <f aca="false">IF(AND('Formation Ledger'!A3920&lt;&gt;"",'Formation Ledger'!V3920=0),"PASS","FAIL")</f>
        <v>PASS</v>
      </c>
      <c r="F3941" s="9" t="s">
        <v>76</v>
      </c>
      <c r="G3941" s="6"/>
      <c r="H3941" s="6"/>
      <c r="I3941" s="6"/>
      <c r="J3941" s="6"/>
      <c r="K3941" s="6"/>
      <c r="L3941" s="6"/>
      <c r="M3941" s="6"/>
      <c r="N3941" s="6"/>
      <c r="O3941" s="6"/>
      <c r="P3941" s="6"/>
      <c r="Q3941" s="6"/>
      <c r="R3941" s="6"/>
      <c r="S3941" s="6"/>
      <c r="T3941" s="6"/>
      <c r="U3941" s="6"/>
      <c r="V3941" s="6"/>
      <c r="W3941" s="6"/>
      <c r="X3941" s="6"/>
      <c r="Y3941" s="6"/>
      <c r="Z3941" s="6"/>
    </row>
    <row r="3942" customFormat="false" ht="15" hidden="false" customHeight="false" outlineLevel="0" collapsed="false">
      <c r="A3942" s="9" t="s">
        <v>9785</v>
      </c>
      <c r="B3942" s="9" t="s">
        <v>5870</v>
      </c>
      <c r="C3942" s="9" t="s">
        <v>4205</v>
      </c>
      <c r="D3942" s="9" t="s">
        <v>5871</v>
      </c>
      <c r="E3942" s="9" t="str">
        <f aca="false">IF(AND('Formation Ledger'!A3921&lt;&gt;"",'Formation Ledger'!V3921=0),"PASS","FAIL")</f>
        <v>PASS</v>
      </c>
      <c r="F3942" s="9" t="s">
        <v>76</v>
      </c>
      <c r="G3942" s="6"/>
      <c r="H3942" s="6"/>
      <c r="I3942" s="6"/>
      <c r="J3942" s="6"/>
      <c r="K3942" s="6"/>
      <c r="L3942" s="6"/>
      <c r="M3942" s="6"/>
      <c r="N3942" s="6"/>
      <c r="O3942" s="6"/>
      <c r="P3942" s="6"/>
      <c r="Q3942" s="6"/>
      <c r="R3942" s="6"/>
      <c r="S3942" s="6"/>
      <c r="T3942" s="6"/>
      <c r="U3942" s="6"/>
      <c r="V3942" s="6"/>
      <c r="W3942" s="6"/>
      <c r="X3942" s="6"/>
      <c r="Y3942" s="6"/>
      <c r="Z3942" s="6"/>
    </row>
    <row r="3943" customFormat="false" ht="15" hidden="false" customHeight="false" outlineLevel="0" collapsed="false">
      <c r="A3943" s="9" t="s">
        <v>9786</v>
      </c>
      <c r="B3943" s="9" t="s">
        <v>5870</v>
      </c>
      <c r="C3943" s="9" t="s">
        <v>4206</v>
      </c>
      <c r="D3943" s="9" t="s">
        <v>5871</v>
      </c>
      <c r="E3943" s="9" t="str">
        <f aca="false">IF(AND('Formation Ledger'!A3922&lt;&gt;"",'Formation Ledger'!V3922=0),"PASS","FAIL")</f>
        <v>PASS</v>
      </c>
      <c r="F3943" s="9" t="s">
        <v>76</v>
      </c>
      <c r="G3943" s="6"/>
      <c r="H3943" s="6"/>
      <c r="I3943" s="6"/>
      <c r="J3943" s="6"/>
      <c r="K3943" s="6"/>
      <c r="L3943" s="6"/>
      <c r="M3943" s="6"/>
      <c r="N3943" s="6"/>
      <c r="O3943" s="6"/>
      <c r="P3943" s="6"/>
      <c r="Q3943" s="6"/>
      <c r="R3943" s="6"/>
      <c r="S3943" s="6"/>
      <c r="T3943" s="6"/>
      <c r="U3943" s="6"/>
      <c r="V3943" s="6"/>
      <c r="W3943" s="6"/>
      <c r="X3943" s="6"/>
      <c r="Y3943" s="6"/>
      <c r="Z3943" s="6"/>
    </row>
    <row r="3944" customFormat="false" ht="15" hidden="false" customHeight="false" outlineLevel="0" collapsed="false">
      <c r="A3944" s="9" t="s">
        <v>9787</v>
      </c>
      <c r="B3944" s="9" t="s">
        <v>5870</v>
      </c>
      <c r="C3944" s="9" t="s">
        <v>4207</v>
      </c>
      <c r="D3944" s="9" t="s">
        <v>5871</v>
      </c>
      <c r="E3944" s="9" t="str">
        <f aca="false">IF(AND('Formation Ledger'!A3923&lt;&gt;"",'Formation Ledger'!V3923=0),"PASS","FAIL")</f>
        <v>PASS</v>
      </c>
      <c r="F3944" s="9" t="s">
        <v>76</v>
      </c>
      <c r="G3944" s="6"/>
      <c r="H3944" s="6"/>
      <c r="I3944" s="6"/>
      <c r="J3944" s="6"/>
      <c r="K3944" s="6"/>
      <c r="L3944" s="6"/>
      <c r="M3944" s="6"/>
      <c r="N3944" s="6"/>
      <c r="O3944" s="6"/>
      <c r="P3944" s="6"/>
      <c r="Q3944" s="6"/>
      <c r="R3944" s="6"/>
      <c r="S3944" s="6"/>
      <c r="T3944" s="6"/>
      <c r="U3944" s="6"/>
      <c r="V3944" s="6"/>
      <c r="W3944" s="6"/>
      <c r="X3944" s="6"/>
      <c r="Y3944" s="6"/>
      <c r="Z3944" s="6"/>
    </row>
    <row r="3945" customFormat="false" ht="15" hidden="false" customHeight="false" outlineLevel="0" collapsed="false">
      <c r="A3945" s="9" t="s">
        <v>9788</v>
      </c>
      <c r="B3945" s="9" t="s">
        <v>5870</v>
      </c>
      <c r="C3945" s="9" t="s">
        <v>4208</v>
      </c>
      <c r="D3945" s="9" t="s">
        <v>5871</v>
      </c>
      <c r="E3945" s="9" t="str">
        <f aca="false">IF(AND('Formation Ledger'!A3924&lt;&gt;"",'Formation Ledger'!V3924=0),"PASS","FAIL")</f>
        <v>PASS</v>
      </c>
      <c r="F3945" s="9" t="s">
        <v>76</v>
      </c>
      <c r="G3945" s="6"/>
      <c r="H3945" s="6"/>
      <c r="I3945" s="6"/>
      <c r="J3945" s="6"/>
      <c r="K3945" s="6"/>
      <c r="L3945" s="6"/>
      <c r="M3945" s="6"/>
      <c r="N3945" s="6"/>
      <c r="O3945" s="6"/>
      <c r="P3945" s="6"/>
      <c r="Q3945" s="6"/>
      <c r="R3945" s="6"/>
      <c r="S3945" s="6"/>
      <c r="T3945" s="6"/>
      <c r="U3945" s="6"/>
      <c r="V3945" s="6"/>
      <c r="W3945" s="6"/>
      <c r="X3945" s="6"/>
      <c r="Y3945" s="6"/>
      <c r="Z3945" s="6"/>
    </row>
    <row r="3946" customFormat="false" ht="15" hidden="false" customHeight="false" outlineLevel="0" collapsed="false">
      <c r="A3946" s="9" t="s">
        <v>9789</v>
      </c>
      <c r="B3946" s="9" t="s">
        <v>5870</v>
      </c>
      <c r="C3946" s="9" t="s">
        <v>4209</v>
      </c>
      <c r="D3946" s="9" t="s">
        <v>5871</v>
      </c>
      <c r="E3946" s="9" t="str">
        <f aca="false">IF(AND('Formation Ledger'!A3925&lt;&gt;"",'Formation Ledger'!V3925=0),"PASS","FAIL")</f>
        <v>PASS</v>
      </c>
      <c r="F3946" s="9" t="s">
        <v>76</v>
      </c>
      <c r="G3946" s="6"/>
      <c r="H3946" s="6"/>
      <c r="I3946" s="6"/>
      <c r="J3946" s="6"/>
      <c r="K3946" s="6"/>
      <c r="L3946" s="6"/>
      <c r="M3946" s="6"/>
      <c r="N3946" s="6"/>
      <c r="O3946" s="6"/>
      <c r="P3946" s="6"/>
      <c r="Q3946" s="6"/>
      <c r="R3946" s="6"/>
      <c r="S3946" s="6"/>
      <c r="T3946" s="6"/>
      <c r="U3946" s="6"/>
      <c r="V3946" s="6"/>
      <c r="W3946" s="6"/>
      <c r="X3946" s="6"/>
      <c r="Y3946" s="6"/>
      <c r="Z3946" s="6"/>
    </row>
    <row r="3947" customFormat="false" ht="15" hidden="false" customHeight="false" outlineLevel="0" collapsed="false">
      <c r="A3947" s="9" t="s">
        <v>9790</v>
      </c>
      <c r="B3947" s="9" t="s">
        <v>5870</v>
      </c>
      <c r="C3947" s="9" t="s">
        <v>4210</v>
      </c>
      <c r="D3947" s="9" t="s">
        <v>5871</v>
      </c>
      <c r="E3947" s="9" t="str">
        <f aca="false">IF(AND('Formation Ledger'!A3926&lt;&gt;"",'Formation Ledger'!V3926=0),"PASS","FAIL")</f>
        <v>PASS</v>
      </c>
      <c r="F3947" s="9" t="s">
        <v>76</v>
      </c>
      <c r="G3947" s="6"/>
      <c r="H3947" s="6"/>
      <c r="I3947" s="6"/>
      <c r="J3947" s="6"/>
      <c r="K3947" s="6"/>
      <c r="L3947" s="6"/>
      <c r="M3947" s="6"/>
      <c r="N3947" s="6"/>
      <c r="O3947" s="6"/>
      <c r="P3947" s="6"/>
      <c r="Q3947" s="6"/>
      <c r="R3947" s="6"/>
      <c r="S3947" s="6"/>
      <c r="T3947" s="6"/>
      <c r="U3947" s="6"/>
      <c r="V3947" s="6"/>
      <c r="W3947" s="6"/>
      <c r="X3947" s="6"/>
      <c r="Y3947" s="6"/>
      <c r="Z3947" s="6"/>
    </row>
    <row r="3948" customFormat="false" ht="15" hidden="false" customHeight="false" outlineLevel="0" collapsed="false">
      <c r="A3948" s="9" t="s">
        <v>9791</v>
      </c>
      <c r="B3948" s="9" t="s">
        <v>5870</v>
      </c>
      <c r="C3948" s="9" t="s">
        <v>4211</v>
      </c>
      <c r="D3948" s="9" t="s">
        <v>5871</v>
      </c>
      <c r="E3948" s="9" t="str">
        <f aca="false">IF(AND('Formation Ledger'!A3927&lt;&gt;"",'Formation Ledger'!V3927=0),"PASS","FAIL")</f>
        <v>PASS</v>
      </c>
      <c r="F3948" s="9" t="s">
        <v>76</v>
      </c>
      <c r="G3948" s="6"/>
      <c r="H3948" s="6"/>
      <c r="I3948" s="6"/>
      <c r="J3948" s="6"/>
      <c r="K3948" s="6"/>
      <c r="L3948" s="6"/>
      <c r="M3948" s="6"/>
      <c r="N3948" s="6"/>
      <c r="O3948" s="6"/>
      <c r="P3948" s="6"/>
      <c r="Q3948" s="6"/>
      <c r="R3948" s="6"/>
      <c r="S3948" s="6"/>
      <c r="T3948" s="6"/>
      <c r="U3948" s="6"/>
      <c r="V3948" s="6"/>
      <c r="W3948" s="6"/>
      <c r="X3948" s="6"/>
      <c r="Y3948" s="6"/>
      <c r="Z3948" s="6"/>
    </row>
    <row r="3949" customFormat="false" ht="15" hidden="false" customHeight="false" outlineLevel="0" collapsed="false">
      <c r="A3949" s="9" t="s">
        <v>9792</v>
      </c>
      <c r="B3949" s="9" t="s">
        <v>5870</v>
      </c>
      <c r="C3949" s="9" t="s">
        <v>4212</v>
      </c>
      <c r="D3949" s="9" t="s">
        <v>5871</v>
      </c>
      <c r="E3949" s="9" t="str">
        <f aca="false">IF(AND('Formation Ledger'!A3928&lt;&gt;"",'Formation Ledger'!V3928=0),"PASS","FAIL")</f>
        <v>PASS</v>
      </c>
      <c r="F3949" s="9" t="s">
        <v>76</v>
      </c>
      <c r="G3949" s="6"/>
      <c r="H3949" s="6"/>
      <c r="I3949" s="6"/>
      <c r="J3949" s="6"/>
      <c r="K3949" s="6"/>
      <c r="L3949" s="6"/>
      <c r="M3949" s="6"/>
      <c r="N3949" s="6"/>
      <c r="O3949" s="6"/>
      <c r="P3949" s="6"/>
      <c r="Q3949" s="6"/>
      <c r="R3949" s="6"/>
      <c r="S3949" s="6"/>
      <c r="T3949" s="6"/>
      <c r="U3949" s="6"/>
      <c r="V3949" s="6"/>
      <c r="W3949" s="6"/>
      <c r="X3949" s="6"/>
      <c r="Y3949" s="6"/>
      <c r="Z3949" s="6"/>
    </row>
    <row r="3950" customFormat="false" ht="15" hidden="false" customHeight="false" outlineLevel="0" collapsed="false">
      <c r="A3950" s="9" t="s">
        <v>9793</v>
      </c>
      <c r="B3950" s="9" t="s">
        <v>5870</v>
      </c>
      <c r="C3950" s="9" t="s">
        <v>4213</v>
      </c>
      <c r="D3950" s="9" t="s">
        <v>5871</v>
      </c>
      <c r="E3950" s="9" t="str">
        <f aca="false">IF(AND('Formation Ledger'!A3929&lt;&gt;"",'Formation Ledger'!V3929=0),"PASS","FAIL")</f>
        <v>PASS</v>
      </c>
      <c r="F3950" s="9" t="s">
        <v>76</v>
      </c>
      <c r="G3950" s="6"/>
      <c r="H3950" s="6"/>
      <c r="I3950" s="6"/>
      <c r="J3950" s="6"/>
      <c r="K3950" s="6"/>
      <c r="L3950" s="6"/>
      <c r="M3950" s="6"/>
      <c r="N3950" s="6"/>
      <c r="O3950" s="6"/>
      <c r="P3950" s="6"/>
      <c r="Q3950" s="6"/>
      <c r="R3950" s="6"/>
      <c r="S3950" s="6"/>
      <c r="T3950" s="6"/>
      <c r="U3950" s="6"/>
      <c r="V3950" s="6"/>
      <c r="W3950" s="6"/>
      <c r="X3950" s="6"/>
      <c r="Y3950" s="6"/>
      <c r="Z3950" s="6"/>
    </row>
    <row r="3951" customFormat="false" ht="15" hidden="false" customHeight="false" outlineLevel="0" collapsed="false">
      <c r="A3951" s="9" t="s">
        <v>9794</v>
      </c>
      <c r="B3951" s="9" t="s">
        <v>5870</v>
      </c>
      <c r="C3951" s="9" t="s">
        <v>4214</v>
      </c>
      <c r="D3951" s="9" t="s">
        <v>5871</v>
      </c>
      <c r="E3951" s="9" t="str">
        <f aca="false">IF(AND('Formation Ledger'!A3930&lt;&gt;"",'Formation Ledger'!V3930=0),"PASS","FAIL")</f>
        <v>PASS</v>
      </c>
      <c r="F3951" s="9" t="s">
        <v>76</v>
      </c>
      <c r="G3951" s="6"/>
      <c r="H3951" s="6"/>
      <c r="I3951" s="6"/>
      <c r="J3951" s="6"/>
      <c r="K3951" s="6"/>
      <c r="L3951" s="6"/>
      <c r="M3951" s="6"/>
      <c r="N3951" s="6"/>
      <c r="O3951" s="6"/>
      <c r="P3951" s="6"/>
      <c r="Q3951" s="6"/>
      <c r="R3951" s="6"/>
      <c r="S3951" s="6"/>
      <c r="T3951" s="6"/>
      <c r="U3951" s="6"/>
      <c r="V3951" s="6"/>
      <c r="W3951" s="6"/>
      <c r="X3951" s="6"/>
      <c r="Y3951" s="6"/>
      <c r="Z3951" s="6"/>
    </row>
    <row r="3952" customFormat="false" ht="15" hidden="false" customHeight="false" outlineLevel="0" collapsed="false">
      <c r="A3952" s="9" t="s">
        <v>9795</v>
      </c>
      <c r="B3952" s="9" t="s">
        <v>5870</v>
      </c>
      <c r="C3952" s="9" t="s">
        <v>4215</v>
      </c>
      <c r="D3952" s="9" t="s">
        <v>5871</v>
      </c>
      <c r="E3952" s="9" t="str">
        <f aca="false">IF(AND('Formation Ledger'!A3931&lt;&gt;"",'Formation Ledger'!V3931=0),"PASS","FAIL")</f>
        <v>PASS</v>
      </c>
      <c r="F3952" s="9" t="s">
        <v>76</v>
      </c>
      <c r="G3952" s="6"/>
      <c r="H3952" s="6"/>
      <c r="I3952" s="6"/>
      <c r="J3952" s="6"/>
      <c r="K3952" s="6"/>
      <c r="L3952" s="6"/>
      <c r="M3952" s="6"/>
      <c r="N3952" s="6"/>
      <c r="O3952" s="6"/>
      <c r="P3952" s="6"/>
      <c r="Q3952" s="6"/>
      <c r="R3952" s="6"/>
      <c r="S3952" s="6"/>
      <c r="T3952" s="6"/>
      <c r="U3952" s="6"/>
      <c r="V3952" s="6"/>
      <c r="W3952" s="6"/>
      <c r="X3952" s="6"/>
      <c r="Y3952" s="6"/>
      <c r="Z3952" s="6"/>
    </row>
    <row r="3953" customFormat="false" ht="15" hidden="false" customHeight="false" outlineLevel="0" collapsed="false">
      <c r="A3953" s="9" t="s">
        <v>9796</v>
      </c>
      <c r="B3953" s="9" t="s">
        <v>5870</v>
      </c>
      <c r="C3953" s="9" t="s">
        <v>4216</v>
      </c>
      <c r="D3953" s="9" t="s">
        <v>5871</v>
      </c>
      <c r="E3953" s="9" t="str">
        <f aca="false">IF(AND('Formation Ledger'!A3932&lt;&gt;"",'Formation Ledger'!V3932=0),"PASS","FAIL")</f>
        <v>PASS</v>
      </c>
      <c r="F3953" s="9" t="s">
        <v>76</v>
      </c>
      <c r="G3953" s="6"/>
      <c r="H3953" s="6"/>
      <c r="I3953" s="6"/>
      <c r="J3953" s="6"/>
      <c r="K3953" s="6"/>
      <c r="L3953" s="6"/>
      <c r="M3953" s="6"/>
      <c r="N3953" s="6"/>
      <c r="O3953" s="6"/>
      <c r="P3953" s="6"/>
      <c r="Q3953" s="6"/>
      <c r="R3953" s="6"/>
      <c r="S3953" s="6"/>
      <c r="T3953" s="6"/>
      <c r="U3953" s="6"/>
      <c r="V3953" s="6"/>
      <c r="W3953" s="6"/>
      <c r="X3953" s="6"/>
      <c r="Y3953" s="6"/>
      <c r="Z3953" s="6"/>
    </row>
    <row r="3954" customFormat="false" ht="15" hidden="false" customHeight="false" outlineLevel="0" collapsed="false">
      <c r="A3954" s="9" t="s">
        <v>9797</v>
      </c>
      <c r="B3954" s="9" t="s">
        <v>5870</v>
      </c>
      <c r="C3954" s="9" t="s">
        <v>4217</v>
      </c>
      <c r="D3954" s="9" t="s">
        <v>5871</v>
      </c>
      <c r="E3954" s="9" t="str">
        <f aca="false">IF(AND('Formation Ledger'!A3933&lt;&gt;"",'Formation Ledger'!V3933=0),"PASS","FAIL")</f>
        <v>PASS</v>
      </c>
      <c r="F3954" s="9" t="s">
        <v>76</v>
      </c>
      <c r="G3954" s="6"/>
      <c r="H3954" s="6"/>
      <c r="I3954" s="6"/>
      <c r="J3954" s="6"/>
      <c r="K3954" s="6"/>
      <c r="L3954" s="6"/>
      <c r="M3954" s="6"/>
      <c r="N3954" s="6"/>
      <c r="O3954" s="6"/>
      <c r="P3954" s="6"/>
      <c r="Q3954" s="6"/>
      <c r="R3954" s="6"/>
      <c r="S3954" s="6"/>
      <c r="T3954" s="6"/>
      <c r="U3954" s="6"/>
      <c r="V3954" s="6"/>
      <c r="W3954" s="6"/>
      <c r="X3954" s="6"/>
      <c r="Y3954" s="6"/>
      <c r="Z3954" s="6"/>
    </row>
    <row r="3955" customFormat="false" ht="15" hidden="false" customHeight="false" outlineLevel="0" collapsed="false">
      <c r="A3955" s="9" t="s">
        <v>9798</v>
      </c>
      <c r="B3955" s="9" t="s">
        <v>5870</v>
      </c>
      <c r="C3955" s="9" t="s">
        <v>4218</v>
      </c>
      <c r="D3955" s="9" t="s">
        <v>5871</v>
      </c>
      <c r="E3955" s="9" t="str">
        <f aca="false">IF(AND('Formation Ledger'!A3934&lt;&gt;"",'Formation Ledger'!V3934=0),"PASS","FAIL")</f>
        <v>PASS</v>
      </c>
      <c r="F3955" s="9" t="s">
        <v>76</v>
      </c>
      <c r="G3955" s="6"/>
      <c r="H3955" s="6"/>
      <c r="I3955" s="6"/>
      <c r="J3955" s="6"/>
      <c r="K3955" s="6"/>
      <c r="L3955" s="6"/>
      <c r="M3955" s="6"/>
      <c r="N3955" s="6"/>
      <c r="O3955" s="6"/>
      <c r="P3955" s="6"/>
      <c r="Q3955" s="6"/>
      <c r="R3955" s="6"/>
      <c r="S3955" s="6"/>
      <c r="T3955" s="6"/>
      <c r="U3955" s="6"/>
      <c r="V3955" s="6"/>
      <c r="W3955" s="6"/>
      <c r="X3955" s="6"/>
      <c r="Y3955" s="6"/>
      <c r="Z3955" s="6"/>
    </row>
    <row r="3956" customFormat="false" ht="15" hidden="false" customHeight="false" outlineLevel="0" collapsed="false">
      <c r="A3956" s="9" t="s">
        <v>9799</v>
      </c>
      <c r="B3956" s="9" t="s">
        <v>5870</v>
      </c>
      <c r="C3956" s="9" t="s">
        <v>4219</v>
      </c>
      <c r="D3956" s="9" t="s">
        <v>5871</v>
      </c>
      <c r="E3956" s="9" t="str">
        <f aca="false">IF(AND('Formation Ledger'!A3935&lt;&gt;"",'Formation Ledger'!V3935=0),"PASS","FAIL")</f>
        <v>PASS</v>
      </c>
      <c r="F3956" s="9" t="s">
        <v>76</v>
      </c>
      <c r="G3956" s="6"/>
      <c r="H3956" s="6"/>
      <c r="I3956" s="6"/>
      <c r="J3956" s="6"/>
      <c r="K3956" s="6"/>
      <c r="L3956" s="6"/>
      <c r="M3956" s="6"/>
      <c r="N3956" s="6"/>
      <c r="O3956" s="6"/>
      <c r="P3956" s="6"/>
      <c r="Q3956" s="6"/>
      <c r="R3956" s="6"/>
      <c r="S3956" s="6"/>
      <c r="T3956" s="6"/>
      <c r="U3956" s="6"/>
      <c r="V3956" s="6"/>
      <c r="W3956" s="6"/>
      <c r="X3956" s="6"/>
      <c r="Y3956" s="6"/>
      <c r="Z3956" s="6"/>
    </row>
    <row r="3957" customFormat="false" ht="15" hidden="false" customHeight="false" outlineLevel="0" collapsed="false">
      <c r="A3957" s="9" t="s">
        <v>9800</v>
      </c>
      <c r="B3957" s="9" t="s">
        <v>5870</v>
      </c>
      <c r="C3957" s="9" t="s">
        <v>4220</v>
      </c>
      <c r="D3957" s="9" t="s">
        <v>5871</v>
      </c>
      <c r="E3957" s="9" t="str">
        <f aca="false">IF(AND('Formation Ledger'!A3936&lt;&gt;"",'Formation Ledger'!V3936=0),"PASS","FAIL")</f>
        <v>PASS</v>
      </c>
      <c r="F3957" s="9" t="s">
        <v>76</v>
      </c>
      <c r="G3957" s="6"/>
      <c r="H3957" s="6"/>
      <c r="I3957" s="6"/>
      <c r="J3957" s="6"/>
      <c r="K3957" s="6"/>
      <c r="L3957" s="6"/>
      <c r="M3957" s="6"/>
      <c r="N3957" s="6"/>
      <c r="O3957" s="6"/>
      <c r="P3957" s="6"/>
      <c r="Q3957" s="6"/>
      <c r="R3957" s="6"/>
      <c r="S3957" s="6"/>
      <c r="T3957" s="6"/>
      <c r="U3957" s="6"/>
      <c r="V3957" s="6"/>
      <c r="W3957" s="6"/>
      <c r="X3957" s="6"/>
      <c r="Y3957" s="6"/>
      <c r="Z3957" s="6"/>
    </row>
    <row r="3958" customFormat="false" ht="15" hidden="false" customHeight="false" outlineLevel="0" collapsed="false">
      <c r="A3958" s="9" t="s">
        <v>9801</v>
      </c>
      <c r="B3958" s="9" t="s">
        <v>5870</v>
      </c>
      <c r="C3958" s="9" t="s">
        <v>4221</v>
      </c>
      <c r="D3958" s="9" t="s">
        <v>5871</v>
      </c>
      <c r="E3958" s="9" t="str">
        <f aca="false">IF(AND('Formation Ledger'!A3937&lt;&gt;"",'Formation Ledger'!V3937=0),"PASS","FAIL")</f>
        <v>PASS</v>
      </c>
      <c r="F3958" s="9" t="s">
        <v>76</v>
      </c>
      <c r="G3958" s="6"/>
      <c r="H3958" s="6"/>
      <c r="I3958" s="6"/>
      <c r="J3958" s="6"/>
      <c r="K3958" s="6"/>
      <c r="L3958" s="6"/>
      <c r="M3958" s="6"/>
      <c r="N3958" s="6"/>
      <c r="O3958" s="6"/>
      <c r="P3958" s="6"/>
      <c r="Q3958" s="6"/>
      <c r="R3958" s="6"/>
      <c r="S3958" s="6"/>
      <c r="T3958" s="6"/>
      <c r="U3958" s="6"/>
      <c r="V3958" s="6"/>
      <c r="W3958" s="6"/>
      <c r="X3958" s="6"/>
      <c r="Y3958" s="6"/>
      <c r="Z3958" s="6"/>
    </row>
    <row r="3959" customFormat="false" ht="15" hidden="false" customHeight="false" outlineLevel="0" collapsed="false">
      <c r="A3959" s="9" t="s">
        <v>9802</v>
      </c>
      <c r="B3959" s="9" t="s">
        <v>5870</v>
      </c>
      <c r="C3959" s="9" t="s">
        <v>4222</v>
      </c>
      <c r="D3959" s="9" t="s">
        <v>5871</v>
      </c>
      <c r="E3959" s="9" t="str">
        <f aca="false">IF(AND('Formation Ledger'!A3938&lt;&gt;"",'Formation Ledger'!V3938=0),"PASS","FAIL")</f>
        <v>PASS</v>
      </c>
      <c r="F3959" s="9" t="s">
        <v>76</v>
      </c>
      <c r="G3959" s="6"/>
      <c r="H3959" s="6"/>
      <c r="I3959" s="6"/>
      <c r="J3959" s="6"/>
      <c r="K3959" s="6"/>
      <c r="L3959" s="6"/>
      <c r="M3959" s="6"/>
      <c r="N3959" s="6"/>
      <c r="O3959" s="6"/>
      <c r="P3959" s="6"/>
      <c r="Q3959" s="6"/>
      <c r="R3959" s="6"/>
      <c r="S3959" s="6"/>
      <c r="T3959" s="6"/>
      <c r="U3959" s="6"/>
      <c r="V3959" s="6"/>
      <c r="W3959" s="6"/>
      <c r="X3959" s="6"/>
      <c r="Y3959" s="6"/>
      <c r="Z3959" s="6"/>
    </row>
    <row r="3960" customFormat="false" ht="15" hidden="false" customHeight="false" outlineLevel="0" collapsed="false">
      <c r="A3960" s="9" t="s">
        <v>9803</v>
      </c>
      <c r="B3960" s="9" t="s">
        <v>5870</v>
      </c>
      <c r="C3960" s="9" t="s">
        <v>4223</v>
      </c>
      <c r="D3960" s="9" t="s">
        <v>5871</v>
      </c>
      <c r="E3960" s="9" t="str">
        <f aca="false">IF(AND('Formation Ledger'!A3939&lt;&gt;"",'Formation Ledger'!V3939=0),"PASS","FAIL")</f>
        <v>PASS</v>
      </c>
      <c r="F3960" s="9" t="s">
        <v>76</v>
      </c>
      <c r="G3960" s="6"/>
      <c r="H3960" s="6"/>
      <c r="I3960" s="6"/>
      <c r="J3960" s="6"/>
      <c r="K3960" s="6"/>
      <c r="L3960" s="6"/>
      <c r="M3960" s="6"/>
      <c r="N3960" s="6"/>
      <c r="O3960" s="6"/>
      <c r="P3960" s="6"/>
      <c r="Q3960" s="6"/>
      <c r="R3960" s="6"/>
      <c r="S3960" s="6"/>
      <c r="T3960" s="6"/>
      <c r="U3960" s="6"/>
      <c r="V3960" s="6"/>
      <c r="W3960" s="6"/>
      <c r="X3960" s="6"/>
      <c r="Y3960" s="6"/>
      <c r="Z3960" s="6"/>
    </row>
    <row r="3961" customFormat="false" ht="15" hidden="false" customHeight="false" outlineLevel="0" collapsed="false">
      <c r="A3961" s="9" t="s">
        <v>9804</v>
      </c>
      <c r="B3961" s="9" t="s">
        <v>5870</v>
      </c>
      <c r="C3961" s="9" t="s">
        <v>4224</v>
      </c>
      <c r="D3961" s="9" t="s">
        <v>5871</v>
      </c>
      <c r="E3961" s="9" t="str">
        <f aca="false">IF(AND('Formation Ledger'!A3940&lt;&gt;"",'Formation Ledger'!V3940=0),"PASS","FAIL")</f>
        <v>PASS</v>
      </c>
      <c r="F3961" s="9" t="s">
        <v>76</v>
      </c>
      <c r="G3961" s="6"/>
      <c r="H3961" s="6"/>
      <c r="I3961" s="6"/>
      <c r="J3961" s="6"/>
      <c r="K3961" s="6"/>
      <c r="L3961" s="6"/>
      <c r="M3961" s="6"/>
      <c r="N3961" s="6"/>
      <c r="O3961" s="6"/>
      <c r="P3961" s="6"/>
      <c r="Q3961" s="6"/>
      <c r="R3961" s="6"/>
      <c r="S3961" s="6"/>
      <c r="T3961" s="6"/>
      <c r="U3961" s="6"/>
      <c r="V3961" s="6"/>
      <c r="W3961" s="6"/>
      <c r="X3961" s="6"/>
      <c r="Y3961" s="6"/>
      <c r="Z3961" s="6"/>
    </row>
    <row r="3962" customFormat="false" ht="15" hidden="false" customHeight="false" outlineLevel="0" collapsed="false">
      <c r="A3962" s="9" t="s">
        <v>9805</v>
      </c>
      <c r="B3962" s="9" t="s">
        <v>5870</v>
      </c>
      <c r="C3962" s="9" t="s">
        <v>4225</v>
      </c>
      <c r="D3962" s="9" t="s">
        <v>5871</v>
      </c>
      <c r="E3962" s="9" t="str">
        <f aca="false">IF(AND('Formation Ledger'!A3941&lt;&gt;"",'Formation Ledger'!V3941=0),"PASS","FAIL")</f>
        <v>PASS</v>
      </c>
      <c r="F3962" s="9" t="s">
        <v>76</v>
      </c>
      <c r="G3962" s="6"/>
      <c r="H3962" s="6"/>
      <c r="I3962" s="6"/>
      <c r="J3962" s="6"/>
      <c r="K3962" s="6"/>
      <c r="L3962" s="6"/>
      <c r="M3962" s="6"/>
      <c r="N3962" s="6"/>
      <c r="O3962" s="6"/>
      <c r="P3962" s="6"/>
      <c r="Q3962" s="6"/>
      <c r="R3962" s="6"/>
      <c r="S3962" s="6"/>
      <c r="T3962" s="6"/>
      <c r="U3962" s="6"/>
      <c r="V3962" s="6"/>
      <c r="W3962" s="6"/>
      <c r="X3962" s="6"/>
      <c r="Y3962" s="6"/>
      <c r="Z3962" s="6"/>
    </row>
    <row r="3963" customFormat="false" ht="15" hidden="false" customHeight="false" outlineLevel="0" collapsed="false">
      <c r="A3963" s="9" t="s">
        <v>9806</v>
      </c>
      <c r="B3963" s="9" t="s">
        <v>5870</v>
      </c>
      <c r="C3963" s="9" t="s">
        <v>4226</v>
      </c>
      <c r="D3963" s="9" t="s">
        <v>5871</v>
      </c>
      <c r="E3963" s="9" t="str">
        <f aca="false">IF(AND('Formation Ledger'!A3942&lt;&gt;"",'Formation Ledger'!V3942=0),"PASS","FAIL")</f>
        <v>PASS</v>
      </c>
      <c r="F3963" s="9" t="s">
        <v>76</v>
      </c>
      <c r="G3963" s="6"/>
      <c r="H3963" s="6"/>
      <c r="I3963" s="6"/>
      <c r="J3963" s="6"/>
      <c r="K3963" s="6"/>
      <c r="L3963" s="6"/>
      <c r="M3963" s="6"/>
      <c r="N3963" s="6"/>
      <c r="O3963" s="6"/>
      <c r="P3963" s="6"/>
      <c r="Q3963" s="6"/>
      <c r="R3963" s="6"/>
      <c r="S3963" s="6"/>
      <c r="T3963" s="6"/>
      <c r="U3963" s="6"/>
      <c r="V3963" s="6"/>
      <c r="W3963" s="6"/>
      <c r="X3963" s="6"/>
      <c r="Y3963" s="6"/>
      <c r="Z3963" s="6"/>
    </row>
    <row r="3964" customFormat="false" ht="15" hidden="false" customHeight="false" outlineLevel="0" collapsed="false">
      <c r="A3964" s="9" t="s">
        <v>9807</v>
      </c>
      <c r="B3964" s="9" t="s">
        <v>5870</v>
      </c>
      <c r="C3964" s="9" t="s">
        <v>4227</v>
      </c>
      <c r="D3964" s="9" t="s">
        <v>5871</v>
      </c>
      <c r="E3964" s="9" t="str">
        <f aca="false">IF(AND('Formation Ledger'!A3943&lt;&gt;"",'Formation Ledger'!V3943=0),"PASS","FAIL")</f>
        <v>PASS</v>
      </c>
      <c r="F3964" s="9" t="s">
        <v>76</v>
      </c>
      <c r="G3964" s="6"/>
      <c r="H3964" s="6"/>
      <c r="I3964" s="6"/>
      <c r="J3964" s="6"/>
      <c r="K3964" s="6"/>
      <c r="L3964" s="6"/>
      <c r="M3964" s="6"/>
      <c r="N3964" s="6"/>
      <c r="O3964" s="6"/>
      <c r="P3964" s="6"/>
      <c r="Q3964" s="6"/>
      <c r="R3964" s="6"/>
      <c r="S3964" s="6"/>
      <c r="T3964" s="6"/>
      <c r="U3964" s="6"/>
      <c r="V3964" s="6"/>
      <c r="W3964" s="6"/>
      <c r="X3964" s="6"/>
      <c r="Y3964" s="6"/>
      <c r="Z3964" s="6"/>
    </row>
    <row r="3965" customFormat="false" ht="15" hidden="false" customHeight="false" outlineLevel="0" collapsed="false">
      <c r="A3965" s="9" t="s">
        <v>9808</v>
      </c>
      <c r="B3965" s="9" t="s">
        <v>5870</v>
      </c>
      <c r="C3965" s="9" t="s">
        <v>4228</v>
      </c>
      <c r="D3965" s="9" t="s">
        <v>5871</v>
      </c>
      <c r="E3965" s="9" t="str">
        <f aca="false">IF(AND('Formation Ledger'!A3944&lt;&gt;"",'Formation Ledger'!V3944=0),"PASS","FAIL")</f>
        <v>PASS</v>
      </c>
      <c r="F3965" s="9" t="s">
        <v>76</v>
      </c>
      <c r="G3965" s="6"/>
      <c r="H3965" s="6"/>
      <c r="I3965" s="6"/>
      <c r="J3965" s="6"/>
      <c r="K3965" s="6"/>
      <c r="L3965" s="6"/>
      <c r="M3965" s="6"/>
      <c r="N3965" s="6"/>
      <c r="O3965" s="6"/>
      <c r="P3965" s="6"/>
      <c r="Q3965" s="6"/>
      <c r="R3965" s="6"/>
      <c r="S3965" s="6"/>
      <c r="T3965" s="6"/>
      <c r="U3965" s="6"/>
      <c r="V3965" s="6"/>
      <c r="W3965" s="6"/>
      <c r="X3965" s="6"/>
      <c r="Y3965" s="6"/>
      <c r="Z3965" s="6"/>
    </row>
    <row r="3966" customFormat="false" ht="15" hidden="false" customHeight="false" outlineLevel="0" collapsed="false">
      <c r="A3966" s="9" t="s">
        <v>9809</v>
      </c>
      <c r="B3966" s="9" t="s">
        <v>5870</v>
      </c>
      <c r="C3966" s="9" t="s">
        <v>4229</v>
      </c>
      <c r="D3966" s="9" t="s">
        <v>5871</v>
      </c>
      <c r="E3966" s="9" t="str">
        <f aca="false">IF(AND('Formation Ledger'!A3945&lt;&gt;"",'Formation Ledger'!V3945=0),"PASS","FAIL")</f>
        <v>PASS</v>
      </c>
      <c r="F3966" s="9" t="s">
        <v>76</v>
      </c>
      <c r="G3966" s="6"/>
      <c r="H3966" s="6"/>
      <c r="I3966" s="6"/>
      <c r="J3966" s="6"/>
      <c r="K3966" s="6"/>
      <c r="L3966" s="6"/>
      <c r="M3966" s="6"/>
      <c r="N3966" s="6"/>
      <c r="O3966" s="6"/>
      <c r="P3966" s="6"/>
      <c r="Q3966" s="6"/>
      <c r="R3966" s="6"/>
      <c r="S3966" s="6"/>
      <c r="T3966" s="6"/>
      <c r="U3966" s="6"/>
      <c r="V3966" s="6"/>
      <c r="W3966" s="6"/>
      <c r="X3966" s="6"/>
      <c r="Y3966" s="6"/>
      <c r="Z3966" s="6"/>
    </row>
    <row r="3967" customFormat="false" ht="15" hidden="false" customHeight="false" outlineLevel="0" collapsed="false">
      <c r="A3967" s="9" t="s">
        <v>9810</v>
      </c>
      <c r="B3967" s="9" t="s">
        <v>5870</v>
      </c>
      <c r="C3967" s="9" t="s">
        <v>4230</v>
      </c>
      <c r="D3967" s="9" t="s">
        <v>5871</v>
      </c>
      <c r="E3967" s="9" t="str">
        <f aca="false">IF(AND('Formation Ledger'!A3946&lt;&gt;"",'Formation Ledger'!V3946=0),"PASS","FAIL")</f>
        <v>PASS</v>
      </c>
      <c r="F3967" s="9" t="s">
        <v>76</v>
      </c>
      <c r="G3967" s="6"/>
      <c r="H3967" s="6"/>
      <c r="I3967" s="6"/>
      <c r="J3967" s="6"/>
      <c r="K3967" s="6"/>
      <c r="L3967" s="6"/>
      <c r="M3967" s="6"/>
      <c r="N3967" s="6"/>
      <c r="O3967" s="6"/>
      <c r="P3967" s="6"/>
      <c r="Q3967" s="6"/>
      <c r="R3967" s="6"/>
      <c r="S3967" s="6"/>
      <c r="T3967" s="6"/>
      <c r="U3967" s="6"/>
      <c r="V3967" s="6"/>
      <c r="W3967" s="6"/>
      <c r="X3967" s="6"/>
      <c r="Y3967" s="6"/>
      <c r="Z3967" s="6"/>
    </row>
    <row r="3968" customFormat="false" ht="15" hidden="false" customHeight="false" outlineLevel="0" collapsed="false">
      <c r="A3968" s="9" t="s">
        <v>9811</v>
      </c>
      <c r="B3968" s="9" t="s">
        <v>5870</v>
      </c>
      <c r="C3968" s="9" t="s">
        <v>4231</v>
      </c>
      <c r="D3968" s="9" t="s">
        <v>5871</v>
      </c>
      <c r="E3968" s="9" t="str">
        <f aca="false">IF(AND('Formation Ledger'!A3947&lt;&gt;"",'Formation Ledger'!V3947=0),"PASS","FAIL")</f>
        <v>PASS</v>
      </c>
      <c r="F3968" s="9" t="s">
        <v>76</v>
      </c>
      <c r="G3968" s="6"/>
      <c r="H3968" s="6"/>
      <c r="I3968" s="6"/>
      <c r="J3968" s="6"/>
      <c r="K3968" s="6"/>
      <c r="L3968" s="6"/>
      <c r="M3968" s="6"/>
      <c r="N3968" s="6"/>
      <c r="O3968" s="6"/>
      <c r="P3968" s="6"/>
      <c r="Q3968" s="6"/>
      <c r="R3968" s="6"/>
      <c r="S3968" s="6"/>
      <c r="T3968" s="6"/>
      <c r="U3968" s="6"/>
      <c r="V3968" s="6"/>
      <c r="W3968" s="6"/>
      <c r="X3968" s="6"/>
      <c r="Y3968" s="6"/>
      <c r="Z3968" s="6"/>
    </row>
    <row r="3969" customFormat="false" ht="15" hidden="false" customHeight="false" outlineLevel="0" collapsed="false">
      <c r="A3969" s="9" t="s">
        <v>9812</v>
      </c>
      <c r="B3969" s="9" t="s">
        <v>5870</v>
      </c>
      <c r="C3969" s="9" t="s">
        <v>4232</v>
      </c>
      <c r="D3969" s="9" t="s">
        <v>5871</v>
      </c>
      <c r="E3969" s="9" t="str">
        <f aca="false">IF(AND('Formation Ledger'!A3948&lt;&gt;"",'Formation Ledger'!V3948=0),"PASS","FAIL")</f>
        <v>PASS</v>
      </c>
      <c r="F3969" s="9" t="s">
        <v>76</v>
      </c>
      <c r="G3969" s="6"/>
      <c r="H3969" s="6"/>
      <c r="I3969" s="6"/>
      <c r="J3969" s="6"/>
      <c r="K3969" s="6"/>
      <c r="L3969" s="6"/>
      <c r="M3969" s="6"/>
      <c r="N3969" s="6"/>
      <c r="O3969" s="6"/>
      <c r="P3969" s="6"/>
      <c r="Q3969" s="6"/>
      <c r="R3969" s="6"/>
      <c r="S3969" s="6"/>
      <c r="T3969" s="6"/>
      <c r="U3969" s="6"/>
      <c r="V3969" s="6"/>
      <c r="W3969" s="6"/>
      <c r="X3969" s="6"/>
      <c r="Y3969" s="6"/>
      <c r="Z3969" s="6"/>
    </row>
    <row r="3970" customFormat="false" ht="15" hidden="false" customHeight="false" outlineLevel="0" collapsed="false">
      <c r="A3970" s="9" t="s">
        <v>9813</v>
      </c>
      <c r="B3970" s="9" t="s">
        <v>5870</v>
      </c>
      <c r="C3970" s="9" t="s">
        <v>4233</v>
      </c>
      <c r="D3970" s="9" t="s">
        <v>5871</v>
      </c>
      <c r="E3970" s="9" t="str">
        <f aca="false">IF(AND('Formation Ledger'!A3949&lt;&gt;"",'Formation Ledger'!V3949=0),"PASS","FAIL")</f>
        <v>PASS</v>
      </c>
      <c r="F3970" s="9" t="s">
        <v>76</v>
      </c>
      <c r="G3970" s="6"/>
      <c r="H3970" s="6"/>
      <c r="I3970" s="6"/>
      <c r="J3970" s="6"/>
      <c r="K3970" s="6"/>
      <c r="L3970" s="6"/>
      <c r="M3970" s="6"/>
      <c r="N3970" s="6"/>
      <c r="O3970" s="6"/>
      <c r="P3970" s="6"/>
      <c r="Q3970" s="6"/>
      <c r="R3970" s="6"/>
      <c r="S3970" s="6"/>
      <c r="T3970" s="6"/>
      <c r="U3970" s="6"/>
      <c r="V3970" s="6"/>
      <c r="W3970" s="6"/>
      <c r="X3970" s="6"/>
      <c r="Y3970" s="6"/>
      <c r="Z3970" s="6"/>
    </row>
    <row r="3971" customFormat="false" ht="15" hidden="false" customHeight="false" outlineLevel="0" collapsed="false">
      <c r="A3971" s="9" t="s">
        <v>9814</v>
      </c>
      <c r="B3971" s="9" t="s">
        <v>5870</v>
      </c>
      <c r="C3971" s="9" t="s">
        <v>4234</v>
      </c>
      <c r="D3971" s="9" t="s">
        <v>5871</v>
      </c>
      <c r="E3971" s="9" t="str">
        <f aca="false">IF(AND('Formation Ledger'!A3950&lt;&gt;"",'Formation Ledger'!V3950=0),"PASS","FAIL")</f>
        <v>PASS</v>
      </c>
      <c r="F3971" s="9" t="s">
        <v>76</v>
      </c>
      <c r="G3971" s="6"/>
      <c r="H3971" s="6"/>
      <c r="I3971" s="6"/>
      <c r="J3971" s="6"/>
      <c r="K3971" s="6"/>
      <c r="L3971" s="6"/>
      <c r="M3971" s="6"/>
      <c r="N3971" s="6"/>
      <c r="O3971" s="6"/>
      <c r="P3971" s="6"/>
      <c r="Q3971" s="6"/>
      <c r="R3971" s="6"/>
      <c r="S3971" s="6"/>
      <c r="T3971" s="6"/>
      <c r="U3971" s="6"/>
      <c r="V3971" s="6"/>
      <c r="W3971" s="6"/>
      <c r="X3971" s="6"/>
      <c r="Y3971" s="6"/>
      <c r="Z3971" s="6"/>
    </row>
    <row r="3972" customFormat="false" ht="15" hidden="false" customHeight="false" outlineLevel="0" collapsed="false">
      <c r="A3972" s="9" t="s">
        <v>9815</v>
      </c>
      <c r="B3972" s="9" t="s">
        <v>5870</v>
      </c>
      <c r="C3972" s="9" t="s">
        <v>4235</v>
      </c>
      <c r="D3972" s="9" t="s">
        <v>5871</v>
      </c>
      <c r="E3972" s="9" t="str">
        <f aca="false">IF(AND('Formation Ledger'!A3951&lt;&gt;"",'Formation Ledger'!V3951=0),"PASS","FAIL")</f>
        <v>PASS</v>
      </c>
      <c r="F3972" s="9" t="s">
        <v>76</v>
      </c>
      <c r="G3972" s="6"/>
      <c r="H3972" s="6"/>
      <c r="I3972" s="6"/>
      <c r="J3972" s="6"/>
      <c r="K3972" s="6"/>
      <c r="L3972" s="6"/>
      <c r="M3972" s="6"/>
      <c r="N3972" s="6"/>
      <c r="O3972" s="6"/>
      <c r="P3972" s="6"/>
      <c r="Q3972" s="6"/>
      <c r="R3972" s="6"/>
      <c r="S3972" s="6"/>
      <c r="T3972" s="6"/>
      <c r="U3972" s="6"/>
      <c r="V3972" s="6"/>
      <c r="W3972" s="6"/>
      <c r="X3972" s="6"/>
      <c r="Y3972" s="6"/>
      <c r="Z3972" s="6"/>
    </row>
    <row r="3973" customFormat="false" ht="15" hidden="false" customHeight="false" outlineLevel="0" collapsed="false">
      <c r="A3973" s="9" t="s">
        <v>9816</v>
      </c>
      <c r="B3973" s="9" t="s">
        <v>5870</v>
      </c>
      <c r="C3973" s="9" t="s">
        <v>4236</v>
      </c>
      <c r="D3973" s="9" t="s">
        <v>5871</v>
      </c>
      <c r="E3973" s="9" t="str">
        <f aca="false">IF(AND('Formation Ledger'!A3952&lt;&gt;"",'Formation Ledger'!V3952=0),"PASS","FAIL")</f>
        <v>PASS</v>
      </c>
      <c r="F3973" s="9" t="s">
        <v>76</v>
      </c>
      <c r="G3973" s="6"/>
      <c r="H3973" s="6"/>
      <c r="I3973" s="6"/>
      <c r="J3973" s="6"/>
      <c r="K3973" s="6"/>
      <c r="L3973" s="6"/>
      <c r="M3973" s="6"/>
      <c r="N3973" s="6"/>
      <c r="O3973" s="6"/>
      <c r="P3973" s="6"/>
      <c r="Q3973" s="6"/>
      <c r="R3973" s="6"/>
      <c r="S3973" s="6"/>
      <c r="T3973" s="6"/>
      <c r="U3973" s="6"/>
      <c r="V3973" s="6"/>
      <c r="W3973" s="6"/>
      <c r="X3973" s="6"/>
      <c r="Y3973" s="6"/>
      <c r="Z3973" s="6"/>
    </row>
    <row r="3974" customFormat="false" ht="15" hidden="false" customHeight="false" outlineLevel="0" collapsed="false">
      <c r="A3974" s="9" t="s">
        <v>9817</v>
      </c>
      <c r="B3974" s="9" t="s">
        <v>5870</v>
      </c>
      <c r="C3974" s="9" t="s">
        <v>4237</v>
      </c>
      <c r="D3974" s="9" t="s">
        <v>5871</v>
      </c>
      <c r="E3974" s="9" t="str">
        <f aca="false">IF(AND('Formation Ledger'!A3953&lt;&gt;"",'Formation Ledger'!V3953=0),"PASS","FAIL")</f>
        <v>PASS</v>
      </c>
      <c r="F3974" s="9" t="s">
        <v>76</v>
      </c>
      <c r="G3974" s="6"/>
      <c r="H3974" s="6"/>
      <c r="I3974" s="6"/>
      <c r="J3974" s="6"/>
      <c r="K3974" s="6"/>
      <c r="L3974" s="6"/>
      <c r="M3974" s="6"/>
      <c r="N3974" s="6"/>
      <c r="O3974" s="6"/>
      <c r="P3974" s="6"/>
      <c r="Q3974" s="6"/>
      <c r="R3974" s="6"/>
      <c r="S3974" s="6"/>
      <c r="T3974" s="6"/>
      <c r="U3974" s="6"/>
      <c r="V3974" s="6"/>
      <c r="W3974" s="6"/>
      <c r="X3974" s="6"/>
      <c r="Y3974" s="6"/>
      <c r="Z3974" s="6"/>
    </row>
    <row r="3975" customFormat="false" ht="15" hidden="false" customHeight="false" outlineLevel="0" collapsed="false">
      <c r="A3975" s="9" t="s">
        <v>9818</v>
      </c>
      <c r="B3975" s="9" t="s">
        <v>5870</v>
      </c>
      <c r="C3975" s="9" t="s">
        <v>4238</v>
      </c>
      <c r="D3975" s="9" t="s">
        <v>5871</v>
      </c>
      <c r="E3975" s="9" t="str">
        <f aca="false">IF(AND('Formation Ledger'!A3954&lt;&gt;"",'Formation Ledger'!V3954=0),"PASS","FAIL")</f>
        <v>PASS</v>
      </c>
      <c r="F3975" s="9" t="s">
        <v>76</v>
      </c>
      <c r="G3975" s="6"/>
      <c r="H3975" s="6"/>
      <c r="I3975" s="6"/>
      <c r="J3975" s="6"/>
      <c r="K3975" s="6"/>
      <c r="L3975" s="6"/>
      <c r="M3975" s="6"/>
      <c r="N3975" s="6"/>
      <c r="O3975" s="6"/>
      <c r="P3975" s="6"/>
      <c r="Q3975" s="6"/>
      <c r="R3975" s="6"/>
      <c r="S3975" s="6"/>
      <c r="T3975" s="6"/>
      <c r="U3975" s="6"/>
      <c r="V3975" s="6"/>
      <c r="W3975" s="6"/>
      <c r="X3975" s="6"/>
      <c r="Y3975" s="6"/>
      <c r="Z3975" s="6"/>
    </row>
    <row r="3976" customFormat="false" ht="15" hidden="false" customHeight="false" outlineLevel="0" collapsed="false">
      <c r="A3976" s="9" t="s">
        <v>9819</v>
      </c>
      <c r="B3976" s="9" t="s">
        <v>5870</v>
      </c>
      <c r="C3976" s="9" t="s">
        <v>4239</v>
      </c>
      <c r="D3976" s="9" t="s">
        <v>5871</v>
      </c>
      <c r="E3976" s="9" t="str">
        <f aca="false">IF(AND('Formation Ledger'!A3955&lt;&gt;"",'Formation Ledger'!V3955=0),"PASS","FAIL")</f>
        <v>PASS</v>
      </c>
      <c r="F3976" s="9" t="s">
        <v>76</v>
      </c>
      <c r="G3976" s="6"/>
      <c r="H3976" s="6"/>
      <c r="I3976" s="6"/>
      <c r="J3976" s="6"/>
      <c r="K3976" s="6"/>
      <c r="L3976" s="6"/>
      <c r="M3976" s="6"/>
      <c r="N3976" s="6"/>
      <c r="O3976" s="6"/>
      <c r="P3976" s="6"/>
      <c r="Q3976" s="6"/>
      <c r="R3976" s="6"/>
      <c r="S3976" s="6"/>
      <c r="T3976" s="6"/>
      <c r="U3976" s="6"/>
      <c r="V3976" s="6"/>
      <c r="W3976" s="6"/>
      <c r="X3976" s="6"/>
      <c r="Y3976" s="6"/>
      <c r="Z3976" s="6"/>
    </row>
    <row r="3977" customFormat="false" ht="15" hidden="false" customHeight="false" outlineLevel="0" collapsed="false">
      <c r="A3977" s="9" t="s">
        <v>9820</v>
      </c>
      <c r="B3977" s="9" t="s">
        <v>5870</v>
      </c>
      <c r="C3977" s="9" t="s">
        <v>4240</v>
      </c>
      <c r="D3977" s="9" t="s">
        <v>5871</v>
      </c>
      <c r="E3977" s="9" t="str">
        <f aca="false">IF(AND('Formation Ledger'!A3956&lt;&gt;"",'Formation Ledger'!V3956=0),"PASS","FAIL")</f>
        <v>PASS</v>
      </c>
      <c r="F3977" s="9" t="s">
        <v>76</v>
      </c>
      <c r="G3977" s="6"/>
      <c r="H3977" s="6"/>
      <c r="I3977" s="6"/>
      <c r="J3977" s="6"/>
      <c r="K3977" s="6"/>
      <c r="L3977" s="6"/>
      <c r="M3977" s="6"/>
      <c r="N3977" s="6"/>
      <c r="O3977" s="6"/>
      <c r="P3977" s="6"/>
      <c r="Q3977" s="6"/>
      <c r="R3977" s="6"/>
      <c r="S3977" s="6"/>
      <c r="T3977" s="6"/>
      <c r="U3977" s="6"/>
      <c r="V3977" s="6"/>
      <c r="W3977" s="6"/>
      <c r="X3977" s="6"/>
      <c r="Y3977" s="6"/>
      <c r="Z3977" s="6"/>
    </row>
    <row r="3978" customFormat="false" ht="15" hidden="false" customHeight="false" outlineLevel="0" collapsed="false">
      <c r="A3978" s="9" t="s">
        <v>9821</v>
      </c>
      <c r="B3978" s="9" t="s">
        <v>5870</v>
      </c>
      <c r="C3978" s="9" t="s">
        <v>4241</v>
      </c>
      <c r="D3978" s="9" t="s">
        <v>5871</v>
      </c>
      <c r="E3978" s="9" t="str">
        <f aca="false">IF(AND('Formation Ledger'!A3957&lt;&gt;"",'Formation Ledger'!V3957=0),"PASS","FAIL")</f>
        <v>PASS</v>
      </c>
      <c r="F3978" s="9" t="s">
        <v>76</v>
      </c>
      <c r="G3978" s="6"/>
      <c r="H3978" s="6"/>
      <c r="I3978" s="6"/>
      <c r="J3978" s="6"/>
      <c r="K3978" s="6"/>
      <c r="L3978" s="6"/>
      <c r="M3978" s="6"/>
      <c r="N3978" s="6"/>
      <c r="O3978" s="6"/>
      <c r="P3978" s="6"/>
      <c r="Q3978" s="6"/>
      <c r="R3978" s="6"/>
      <c r="S3978" s="6"/>
      <c r="T3978" s="6"/>
      <c r="U3978" s="6"/>
      <c r="V3978" s="6"/>
      <c r="W3978" s="6"/>
      <c r="X3978" s="6"/>
      <c r="Y3978" s="6"/>
      <c r="Z3978" s="6"/>
    </row>
    <row r="3979" customFormat="false" ht="15" hidden="false" customHeight="false" outlineLevel="0" collapsed="false">
      <c r="A3979" s="9" t="s">
        <v>9822</v>
      </c>
      <c r="B3979" s="9" t="s">
        <v>5870</v>
      </c>
      <c r="C3979" s="9" t="s">
        <v>4242</v>
      </c>
      <c r="D3979" s="9" t="s">
        <v>5871</v>
      </c>
      <c r="E3979" s="9" t="str">
        <f aca="false">IF(AND('Formation Ledger'!A3958&lt;&gt;"",'Formation Ledger'!V3958=0),"PASS","FAIL")</f>
        <v>PASS</v>
      </c>
      <c r="F3979" s="9" t="s">
        <v>76</v>
      </c>
      <c r="G3979" s="6"/>
      <c r="H3979" s="6"/>
      <c r="I3979" s="6"/>
      <c r="J3979" s="6"/>
      <c r="K3979" s="6"/>
      <c r="L3979" s="6"/>
      <c r="M3979" s="6"/>
      <c r="N3979" s="6"/>
      <c r="O3979" s="6"/>
      <c r="P3979" s="6"/>
      <c r="Q3979" s="6"/>
      <c r="R3979" s="6"/>
      <c r="S3979" s="6"/>
      <c r="T3979" s="6"/>
      <c r="U3979" s="6"/>
      <c r="V3979" s="6"/>
      <c r="W3979" s="6"/>
      <c r="X3979" s="6"/>
      <c r="Y3979" s="6"/>
      <c r="Z3979" s="6"/>
    </row>
    <row r="3980" customFormat="false" ht="15" hidden="false" customHeight="false" outlineLevel="0" collapsed="false">
      <c r="A3980" s="9" t="s">
        <v>9823</v>
      </c>
      <c r="B3980" s="9" t="s">
        <v>5870</v>
      </c>
      <c r="C3980" s="9" t="s">
        <v>4243</v>
      </c>
      <c r="D3980" s="9" t="s">
        <v>5871</v>
      </c>
      <c r="E3980" s="9" t="str">
        <f aca="false">IF(AND('Formation Ledger'!A3959&lt;&gt;"",'Formation Ledger'!V3959=0),"PASS","FAIL")</f>
        <v>PASS</v>
      </c>
      <c r="F3980" s="9" t="s">
        <v>76</v>
      </c>
      <c r="G3980" s="6"/>
      <c r="H3980" s="6"/>
      <c r="I3980" s="6"/>
      <c r="J3980" s="6"/>
      <c r="K3980" s="6"/>
      <c r="L3980" s="6"/>
      <c r="M3980" s="6"/>
      <c r="N3980" s="6"/>
      <c r="O3980" s="6"/>
      <c r="P3980" s="6"/>
      <c r="Q3980" s="6"/>
      <c r="R3980" s="6"/>
      <c r="S3980" s="6"/>
      <c r="T3980" s="6"/>
      <c r="U3980" s="6"/>
      <c r="V3980" s="6"/>
      <c r="W3980" s="6"/>
      <c r="X3980" s="6"/>
      <c r="Y3980" s="6"/>
      <c r="Z3980" s="6"/>
    </row>
    <row r="3981" customFormat="false" ht="15" hidden="false" customHeight="false" outlineLevel="0" collapsed="false">
      <c r="A3981" s="9" t="s">
        <v>9824</v>
      </c>
      <c r="B3981" s="9" t="s">
        <v>5870</v>
      </c>
      <c r="C3981" s="9" t="s">
        <v>4244</v>
      </c>
      <c r="D3981" s="9" t="s">
        <v>5871</v>
      </c>
      <c r="E3981" s="9" t="str">
        <f aca="false">IF(AND('Formation Ledger'!A3960&lt;&gt;"",'Formation Ledger'!V3960=0),"PASS","FAIL")</f>
        <v>PASS</v>
      </c>
      <c r="F3981" s="9" t="s">
        <v>76</v>
      </c>
      <c r="G3981" s="6"/>
      <c r="H3981" s="6"/>
      <c r="I3981" s="6"/>
      <c r="J3981" s="6"/>
      <c r="K3981" s="6"/>
      <c r="L3981" s="6"/>
      <c r="M3981" s="6"/>
      <c r="N3981" s="6"/>
      <c r="O3981" s="6"/>
      <c r="P3981" s="6"/>
      <c r="Q3981" s="6"/>
      <c r="R3981" s="6"/>
      <c r="S3981" s="6"/>
      <c r="T3981" s="6"/>
      <c r="U3981" s="6"/>
      <c r="V3981" s="6"/>
      <c r="W3981" s="6"/>
      <c r="X3981" s="6"/>
      <c r="Y3981" s="6"/>
      <c r="Z3981" s="6"/>
    </row>
    <row r="3982" customFormat="false" ht="15" hidden="false" customHeight="false" outlineLevel="0" collapsed="false">
      <c r="A3982" s="9" t="s">
        <v>9825</v>
      </c>
      <c r="B3982" s="9" t="s">
        <v>5870</v>
      </c>
      <c r="C3982" s="9" t="s">
        <v>4245</v>
      </c>
      <c r="D3982" s="9" t="s">
        <v>5871</v>
      </c>
      <c r="E3982" s="9" t="str">
        <f aca="false">IF(AND('Formation Ledger'!A3961&lt;&gt;"",'Formation Ledger'!V3961=0),"PASS","FAIL")</f>
        <v>PASS</v>
      </c>
      <c r="F3982" s="9" t="s">
        <v>76</v>
      </c>
      <c r="G3982" s="6"/>
      <c r="H3982" s="6"/>
      <c r="I3982" s="6"/>
      <c r="J3982" s="6"/>
      <c r="K3982" s="6"/>
      <c r="L3982" s="6"/>
      <c r="M3982" s="6"/>
      <c r="N3982" s="6"/>
      <c r="O3982" s="6"/>
      <c r="P3982" s="6"/>
      <c r="Q3982" s="6"/>
      <c r="R3982" s="6"/>
      <c r="S3982" s="6"/>
      <c r="T3982" s="6"/>
      <c r="U3982" s="6"/>
      <c r="V3982" s="6"/>
      <c r="W3982" s="6"/>
      <c r="X3982" s="6"/>
      <c r="Y3982" s="6"/>
      <c r="Z3982" s="6"/>
    </row>
    <row r="3983" customFormat="false" ht="15" hidden="false" customHeight="false" outlineLevel="0" collapsed="false">
      <c r="A3983" s="9" t="s">
        <v>9826</v>
      </c>
      <c r="B3983" s="9" t="s">
        <v>5870</v>
      </c>
      <c r="C3983" s="9" t="s">
        <v>4246</v>
      </c>
      <c r="D3983" s="9" t="s">
        <v>5871</v>
      </c>
      <c r="E3983" s="9" t="str">
        <f aca="false">IF(AND('Formation Ledger'!A3962&lt;&gt;"",'Formation Ledger'!V3962=0),"PASS","FAIL")</f>
        <v>PASS</v>
      </c>
      <c r="F3983" s="9" t="s">
        <v>76</v>
      </c>
      <c r="G3983" s="6"/>
      <c r="H3983" s="6"/>
      <c r="I3983" s="6"/>
      <c r="J3983" s="6"/>
      <c r="K3983" s="6"/>
      <c r="L3983" s="6"/>
      <c r="M3983" s="6"/>
      <c r="N3983" s="6"/>
      <c r="O3983" s="6"/>
      <c r="P3983" s="6"/>
      <c r="Q3983" s="6"/>
      <c r="R3983" s="6"/>
      <c r="S3983" s="6"/>
      <c r="T3983" s="6"/>
      <c r="U3983" s="6"/>
      <c r="V3983" s="6"/>
      <c r="W3983" s="6"/>
      <c r="X3983" s="6"/>
      <c r="Y3983" s="6"/>
      <c r="Z3983" s="6"/>
    </row>
    <row r="3984" customFormat="false" ht="15" hidden="false" customHeight="false" outlineLevel="0" collapsed="false">
      <c r="A3984" s="9" t="s">
        <v>9827</v>
      </c>
      <c r="B3984" s="9" t="s">
        <v>5870</v>
      </c>
      <c r="C3984" s="9" t="s">
        <v>4247</v>
      </c>
      <c r="D3984" s="9" t="s">
        <v>5871</v>
      </c>
      <c r="E3984" s="9" t="str">
        <f aca="false">IF(AND('Formation Ledger'!A3963&lt;&gt;"",'Formation Ledger'!V3963=0),"PASS","FAIL")</f>
        <v>PASS</v>
      </c>
      <c r="F3984" s="9" t="s">
        <v>76</v>
      </c>
      <c r="G3984" s="6"/>
      <c r="H3984" s="6"/>
      <c r="I3984" s="6"/>
      <c r="J3984" s="6"/>
      <c r="K3984" s="6"/>
      <c r="L3984" s="6"/>
      <c r="M3984" s="6"/>
      <c r="N3984" s="6"/>
      <c r="O3984" s="6"/>
      <c r="P3984" s="6"/>
      <c r="Q3984" s="6"/>
      <c r="R3984" s="6"/>
      <c r="S3984" s="6"/>
      <c r="T3984" s="6"/>
      <c r="U3984" s="6"/>
      <c r="V3984" s="6"/>
      <c r="W3984" s="6"/>
      <c r="X3984" s="6"/>
      <c r="Y3984" s="6"/>
      <c r="Z3984" s="6"/>
    </row>
    <row r="3985" customFormat="false" ht="15" hidden="false" customHeight="false" outlineLevel="0" collapsed="false">
      <c r="A3985" s="9" t="s">
        <v>9828</v>
      </c>
      <c r="B3985" s="9" t="s">
        <v>5870</v>
      </c>
      <c r="C3985" s="9" t="s">
        <v>4248</v>
      </c>
      <c r="D3985" s="9" t="s">
        <v>5871</v>
      </c>
      <c r="E3985" s="9" t="str">
        <f aca="false">IF(AND('Formation Ledger'!A3964&lt;&gt;"",'Formation Ledger'!V3964=0),"PASS","FAIL")</f>
        <v>PASS</v>
      </c>
      <c r="F3985" s="9" t="s">
        <v>76</v>
      </c>
      <c r="G3985" s="6"/>
      <c r="H3985" s="6"/>
      <c r="I3985" s="6"/>
      <c r="J3985" s="6"/>
      <c r="K3985" s="6"/>
      <c r="L3985" s="6"/>
      <c r="M3985" s="6"/>
      <c r="N3985" s="6"/>
      <c r="O3985" s="6"/>
      <c r="P3985" s="6"/>
      <c r="Q3985" s="6"/>
      <c r="R3985" s="6"/>
      <c r="S3985" s="6"/>
      <c r="T3985" s="6"/>
      <c r="U3985" s="6"/>
      <c r="V3985" s="6"/>
      <c r="W3985" s="6"/>
      <c r="X3985" s="6"/>
      <c r="Y3985" s="6"/>
      <c r="Z3985" s="6"/>
    </row>
    <row r="3986" customFormat="false" ht="15" hidden="false" customHeight="false" outlineLevel="0" collapsed="false">
      <c r="A3986" s="9" t="s">
        <v>9829</v>
      </c>
      <c r="B3986" s="9" t="s">
        <v>5870</v>
      </c>
      <c r="C3986" s="9" t="s">
        <v>4249</v>
      </c>
      <c r="D3986" s="9" t="s">
        <v>5871</v>
      </c>
      <c r="E3986" s="9" t="str">
        <f aca="false">IF(AND('Formation Ledger'!A3965&lt;&gt;"",'Formation Ledger'!V3965=0),"PASS","FAIL")</f>
        <v>PASS</v>
      </c>
      <c r="F3986" s="9" t="s">
        <v>76</v>
      </c>
      <c r="G3986" s="6"/>
      <c r="H3986" s="6"/>
      <c r="I3986" s="6"/>
      <c r="J3986" s="6"/>
      <c r="K3986" s="6"/>
      <c r="L3986" s="6"/>
      <c r="M3986" s="6"/>
      <c r="N3986" s="6"/>
      <c r="O3986" s="6"/>
      <c r="P3986" s="6"/>
      <c r="Q3986" s="6"/>
      <c r="R3986" s="6"/>
      <c r="S3986" s="6"/>
      <c r="T3986" s="6"/>
      <c r="U3986" s="6"/>
      <c r="V3986" s="6"/>
      <c r="W3986" s="6"/>
      <c r="X3986" s="6"/>
      <c r="Y3986" s="6"/>
      <c r="Z3986" s="6"/>
    </row>
    <row r="3987" customFormat="false" ht="15" hidden="false" customHeight="false" outlineLevel="0" collapsed="false">
      <c r="A3987" s="9" t="s">
        <v>9830</v>
      </c>
      <c r="B3987" s="9" t="s">
        <v>5870</v>
      </c>
      <c r="C3987" s="9" t="s">
        <v>4250</v>
      </c>
      <c r="D3987" s="9" t="s">
        <v>5871</v>
      </c>
      <c r="E3987" s="9" t="str">
        <f aca="false">IF(AND('Formation Ledger'!A3966&lt;&gt;"",'Formation Ledger'!V3966=0),"PASS","FAIL")</f>
        <v>PASS</v>
      </c>
      <c r="F3987" s="9" t="s">
        <v>76</v>
      </c>
      <c r="G3987" s="6"/>
      <c r="H3987" s="6"/>
      <c r="I3987" s="6"/>
      <c r="J3987" s="6"/>
      <c r="K3987" s="6"/>
      <c r="L3987" s="6"/>
      <c r="M3987" s="6"/>
      <c r="N3987" s="6"/>
      <c r="O3987" s="6"/>
      <c r="P3987" s="6"/>
      <c r="Q3987" s="6"/>
      <c r="R3987" s="6"/>
      <c r="S3987" s="6"/>
      <c r="T3987" s="6"/>
      <c r="U3987" s="6"/>
      <c r="V3987" s="6"/>
      <c r="W3987" s="6"/>
      <c r="X3987" s="6"/>
      <c r="Y3987" s="6"/>
      <c r="Z3987" s="6"/>
    </row>
    <row r="3988" customFormat="false" ht="15" hidden="false" customHeight="false" outlineLevel="0" collapsed="false">
      <c r="A3988" s="9" t="s">
        <v>9831</v>
      </c>
      <c r="B3988" s="9" t="s">
        <v>5870</v>
      </c>
      <c r="C3988" s="9" t="s">
        <v>4251</v>
      </c>
      <c r="D3988" s="9" t="s">
        <v>5871</v>
      </c>
      <c r="E3988" s="9" t="str">
        <f aca="false">IF(AND('Formation Ledger'!A3967&lt;&gt;"",'Formation Ledger'!V3967=0),"PASS","FAIL")</f>
        <v>PASS</v>
      </c>
      <c r="F3988" s="9" t="s">
        <v>76</v>
      </c>
      <c r="G3988" s="6"/>
      <c r="H3988" s="6"/>
      <c r="I3988" s="6"/>
      <c r="J3988" s="6"/>
      <c r="K3988" s="6"/>
      <c r="L3988" s="6"/>
      <c r="M3988" s="6"/>
      <c r="N3988" s="6"/>
      <c r="O3988" s="6"/>
      <c r="P3988" s="6"/>
      <c r="Q3988" s="6"/>
      <c r="R3988" s="6"/>
      <c r="S3988" s="6"/>
      <c r="T3988" s="6"/>
      <c r="U3988" s="6"/>
      <c r="V3988" s="6"/>
      <c r="W3988" s="6"/>
      <c r="X3988" s="6"/>
      <c r="Y3988" s="6"/>
      <c r="Z3988" s="6"/>
    </row>
    <row r="3989" customFormat="false" ht="15" hidden="false" customHeight="false" outlineLevel="0" collapsed="false">
      <c r="A3989" s="9" t="s">
        <v>9832</v>
      </c>
      <c r="B3989" s="9" t="s">
        <v>5870</v>
      </c>
      <c r="C3989" s="9" t="s">
        <v>4252</v>
      </c>
      <c r="D3989" s="9" t="s">
        <v>5871</v>
      </c>
      <c r="E3989" s="9" t="str">
        <f aca="false">IF(AND('Formation Ledger'!A3968&lt;&gt;"",'Formation Ledger'!V3968=0),"PASS","FAIL")</f>
        <v>PASS</v>
      </c>
      <c r="F3989" s="9" t="s">
        <v>76</v>
      </c>
      <c r="G3989" s="6"/>
      <c r="H3989" s="6"/>
      <c r="I3989" s="6"/>
      <c r="J3989" s="6"/>
      <c r="K3989" s="6"/>
      <c r="L3989" s="6"/>
      <c r="M3989" s="6"/>
      <c r="N3989" s="6"/>
      <c r="O3989" s="6"/>
      <c r="P3989" s="6"/>
      <c r="Q3989" s="6"/>
      <c r="R3989" s="6"/>
      <c r="S3989" s="6"/>
      <c r="T3989" s="6"/>
      <c r="U3989" s="6"/>
      <c r="V3989" s="6"/>
      <c r="W3989" s="6"/>
      <c r="X3989" s="6"/>
      <c r="Y3989" s="6"/>
      <c r="Z3989" s="6"/>
    </row>
    <row r="3990" customFormat="false" ht="15" hidden="false" customHeight="false" outlineLevel="0" collapsed="false">
      <c r="A3990" s="9" t="s">
        <v>9833</v>
      </c>
      <c r="B3990" s="9" t="s">
        <v>5870</v>
      </c>
      <c r="C3990" s="9" t="s">
        <v>4253</v>
      </c>
      <c r="D3990" s="9" t="s">
        <v>5871</v>
      </c>
      <c r="E3990" s="9" t="str">
        <f aca="false">IF(AND('Formation Ledger'!A3969&lt;&gt;"",'Formation Ledger'!V3969=0),"PASS","FAIL")</f>
        <v>PASS</v>
      </c>
      <c r="F3990" s="9" t="s">
        <v>76</v>
      </c>
      <c r="G3990" s="6"/>
      <c r="H3990" s="6"/>
      <c r="I3990" s="6"/>
      <c r="J3990" s="6"/>
      <c r="K3990" s="6"/>
      <c r="L3990" s="6"/>
      <c r="M3990" s="6"/>
      <c r="N3990" s="6"/>
      <c r="O3990" s="6"/>
      <c r="P3990" s="6"/>
      <c r="Q3990" s="6"/>
      <c r="R3990" s="6"/>
      <c r="S3990" s="6"/>
      <c r="T3990" s="6"/>
      <c r="U3990" s="6"/>
      <c r="V3990" s="6"/>
      <c r="W3990" s="6"/>
      <c r="X3990" s="6"/>
      <c r="Y3990" s="6"/>
      <c r="Z3990" s="6"/>
    </row>
    <row r="3991" customFormat="false" ht="15" hidden="false" customHeight="false" outlineLevel="0" collapsed="false">
      <c r="A3991" s="9" t="s">
        <v>9834</v>
      </c>
      <c r="B3991" s="9" t="s">
        <v>5870</v>
      </c>
      <c r="C3991" s="9" t="s">
        <v>4254</v>
      </c>
      <c r="D3991" s="9" t="s">
        <v>5871</v>
      </c>
      <c r="E3991" s="9" t="str">
        <f aca="false">IF(AND('Formation Ledger'!A3970&lt;&gt;"",'Formation Ledger'!V3970=0),"PASS","FAIL")</f>
        <v>PASS</v>
      </c>
      <c r="F3991" s="9" t="s">
        <v>76</v>
      </c>
      <c r="G3991" s="6"/>
      <c r="H3991" s="6"/>
      <c r="I3991" s="6"/>
      <c r="J3991" s="6"/>
      <c r="K3991" s="6"/>
      <c r="L3991" s="6"/>
      <c r="M3991" s="6"/>
      <c r="N3991" s="6"/>
      <c r="O3991" s="6"/>
      <c r="P3991" s="6"/>
      <c r="Q3991" s="6"/>
      <c r="R3991" s="6"/>
      <c r="S3991" s="6"/>
      <c r="T3991" s="6"/>
      <c r="U3991" s="6"/>
      <c r="V3991" s="6"/>
      <c r="W3991" s="6"/>
      <c r="X3991" s="6"/>
      <c r="Y3991" s="6"/>
      <c r="Z3991" s="6"/>
    </row>
    <row r="3992" customFormat="false" ht="15" hidden="false" customHeight="false" outlineLevel="0" collapsed="false">
      <c r="A3992" s="9" t="s">
        <v>9835</v>
      </c>
      <c r="B3992" s="9" t="s">
        <v>5870</v>
      </c>
      <c r="C3992" s="9" t="s">
        <v>4255</v>
      </c>
      <c r="D3992" s="9" t="s">
        <v>5871</v>
      </c>
      <c r="E3992" s="9" t="str">
        <f aca="false">IF(AND('Formation Ledger'!A3971&lt;&gt;"",'Formation Ledger'!V3971=0),"PASS","FAIL")</f>
        <v>PASS</v>
      </c>
      <c r="F3992" s="9" t="s">
        <v>76</v>
      </c>
      <c r="G3992" s="6"/>
      <c r="H3992" s="6"/>
      <c r="I3992" s="6"/>
      <c r="J3992" s="6"/>
      <c r="K3992" s="6"/>
      <c r="L3992" s="6"/>
      <c r="M3992" s="6"/>
      <c r="N3992" s="6"/>
      <c r="O3992" s="6"/>
      <c r="P3992" s="6"/>
      <c r="Q3992" s="6"/>
      <c r="R3992" s="6"/>
      <c r="S3992" s="6"/>
      <c r="T3992" s="6"/>
      <c r="U3992" s="6"/>
      <c r="V3992" s="6"/>
      <c r="W3992" s="6"/>
      <c r="X3992" s="6"/>
      <c r="Y3992" s="6"/>
      <c r="Z3992" s="6"/>
    </row>
    <row r="3993" customFormat="false" ht="15" hidden="false" customHeight="false" outlineLevel="0" collapsed="false">
      <c r="A3993" s="9" t="s">
        <v>9836</v>
      </c>
      <c r="B3993" s="9" t="s">
        <v>5870</v>
      </c>
      <c r="C3993" s="9" t="s">
        <v>4256</v>
      </c>
      <c r="D3993" s="9" t="s">
        <v>5871</v>
      </c>
      <c r="E3993" s="9" t="str">
        <f aca="false">IF(AND('Formation Ledger'!A3972&lt;&gt;"",'Formation Ledger'!V3972=0),"PASS","FAIL")</f>
        <v>PASS</v>
      </c>
      <c r="F3993" s="9" t="s">
        <v>76</v>
      </c>
      <c r="G3993" s="6"/>
      <c r="H3993" s="6"/>
      <c r="I3993" s="6"/>
      <c r="J3993" s="6"/>
      <c r="K3993" s="6"/>
      <c r="L3993" s="6"/>
      <c r="M3993" s="6"/>
      <c r="N3993" s="6"/>
      <c r="O3993" s="6"/>
      <c r="P3993" s="6"/>
      <c r="Q3993" s="6"/>
      <c r="R3993" s="6"/>
      <c r="S3993" s="6"/>
      <c r="T3993" s="6"/>
      <c r="U3993" s="6"/>
      <c r="V3993" s="6"/>
      <c r="W3993" s="6"/>
      <c r="X3993" s="6"/>
      <c r="Y3993" s="6"/>
      <c r="Z3993" s="6"/>
    </row>
    <row r="3994" customFormat="false" ht="15" hidden="false" customHeight="false" outlineLevel="0" collapsed="false">
      <c r="A3994" s="9" t="s">
        <v>9837</v>
      </c>
      <c r="B3994" s="9" t="s">
        <v>5870</v>
      </c>
      <c r="C3994" s="9" t="s">
        <v>4257</v>
      </c>
      <c r="D3994" s="9" t="s">
        <v>5871</v>
      </c>
      <c r="E3994" s="9" t="str">
        <f aca="false">IF(AND('Formation Ledger'!A3973&lt;&gt;"",'Formation Ledger'!V3973=0),"PASS","FAIL")</f>
        <v>PASS</v>
      </c>
      <c r="F3994" s="9" t="s">
        <v>76</v>
      </c>
      <c r="G3994" s="6"/>
      <c r="H3994" s="6"/>
      <c r="I3994" s="6"/>
      <c r="J3994" s="6"/>
      <c r="K3994" s="6"/>
      <c r="L3994" s="6"/>
      <c r="M3994" s="6"/>
      <c r="N3994" s="6"/>
      <c r="O3994" s="6"/>
      <c r="P3994" s="6"/>
      <c r="Q3994" s="6"/>
      <c r="R3994" s="6"/>
      <c r="S3994" s="6"/>
      <c r="T3994" s="6"/>
      <c r="U3994" s="6"/>
      <c r="V3994" s="6"/>
      <c r="W3994" s="6"/>
      <c r="X3994" s="6"/>
      <c r="Y3994" s="6"/>
      <c r="Z3994" s="6"/>
    </row>
    <row r="3995" customFormat="false" ht="15" hidden="false" customHeight="false" outlineLevel="0" collapsed="false">
      <c r="A3995" s="9" t="s">
        <v>9838</v>
      </c>
      <c r="B3995" s="9" t="s">
        <v>5870</v>
      </c>
      <c r="C3995" s="9" t="s">
        <v>4258</v>
      </c>
      <c r="D3995" s="9" t="s">
        <v>5871</v>
      </c>
      <c r="E3995" s="9" t="str">
        <f aca="false">IF(AND('Formation Ledger'!A3974&lt;&gt;"",'Formation Ledger'!V3974=0),"PASS","FAIL")</f>
        <v>PASS</v>
      </c>
      <c r="F3995" s="9" t="s">
        <v>76</v>
      </c>
      <c r="G3995" s="6"/>
      <c r="H3995" s="6"/>
      <c r="I3995" s="6"/>
      <c r="J3995" s="6"/>
      <c r="K3995" s="6"/>
      <c r="L3995" s="6"/>
      <c r="M3995" s="6"/>
      <c r="N3995" s="6"/>
      <c r="O3995" s="6"/>
      <c r="P3995" s="6"/>
      <c r="Q3995" s="6"/>
      <c r="R3995" s="6"/>
      <c r="S3995" s="6"/>
      <c r="T3995" s="6"/>
      <c r="U3995" s="6"/>
      <c r="V3995" s="6"/>
      <c r="W3995" s="6"/>
      <c r="X3995" s="6"/>
      <c r="Y3995" s="6"/>
      <c r="Z3995" s="6"/>
    </row>
    <row r="3996" customFormat="false" ht="15" hidden="false" customHeight="false" outlineLevel="0" collapsed="false">
      <c r="A3996" s="9" t="s">
        <v>9839</v>
      </c>
      <c r="B3996" s="9" t="s">
        <v>5870</v>
      </c>
      <c r="C3996" s="9" t="s">
        <v>4259</v>
      </c>
      <c r="D3996" s="9" t="s">
        <v>5871</v>
      </c>
      <c r="E3996" s="9" t="str">
        <f aca="false">IF(AND('Formation Ledger'!A3975&lt;&gt;"",'Formation Ledger'!V3975=0),"PASS","FAIL")</f>
        <v>PASS</v>
      </c>
      <c r="F3996" s="9" t="s">
        <v>76</v>
      </c>
      <c r="G3996" s="6"/>
      <c r="H3996" s="6"/>
      <c r="I3996" s="6"/>
      <c r="J3996" s="6"/>
      <c r="K3996" s="6"/>
      <c r="L3996" s="6"/>
      <c r="M3996" s="6"/>
      <c r="N3996" s="6"/>
      <c r="O3996" s="6"/>
      <c r="P3996" s="6"/>
      <c r="Q3996" s="6"/>
      <c r="R3996" s="6"/>
      <c r="S3996" s="6"/>
      <c r="T3996" s="6"/>
      <c r="U3996" s="6"/>
      <c r="V3996" s="6"/>
      <c r="W3996" s="6"/>
      <c r="X3996" s="6"/>
      <c r="Y3996" s="6"/>
      <c r="Z3996" s="6"/>
    </row>
    <row r="3997" customFormat="false" ht="15" hidden="false" customHeight="false" outlineLevel="0" collapsed="false">
      <c r="A3997" s="9" t="s">
        <v>9840</v>
      </c>
      <c r="B3997" s="9" t="s">
        <v>5870</v>
      </c>
      <c r="C3997" s="9" t="s">
        <v>4260</v>
      </c>
      <c r="D3997" s="9" t="s">
        <v>5871</v>
      </c>
      <c r="E3997" s="9" t="str">
        <f aca="false">IF(AND('Formation Ledger'!A3976&lt;&gt;"",'Formation Ledger'!V3976=0),"PASS","FAIL")</f>
        <v>PASS</v>
      </c>
      <c r="F3997" s="9" t="s">
        <v>76</v>
      </c>
      <c r="G3997" s="6"/>
      <c r="H3997" s="6"/>
      <c r="I3997" s="6"/>
      <c r="J3997" s="6"/>
      <c r="K3997" s="6"/>
      <c r="L3997" s="6"/>
      <c r="M3997" s="6"/>
      <c r="N3997" s="6"/>
      <c r="O3997" s="6"/>
      <c r="P3997" s="6"/>
      <c r="Q3997" s="6"/>
      <c r="R3997" s="6"/>
      <c r="S3997" s="6"/>
      <c r="T3997" s="6"/>
      <c r="U3997" s="6"/>
      <c r="V3997" s="6"/>
      <c r="W3997" s="6"/>
      <c r="X3997" s="6"/>
      <c r="Y3997" s="6"/>
      <c r="Z3997" s="6"/>
    </row>
    <row r="3998" customFormat="false" ht="15" hidden="false" customHeight="false" outlineLevel="0" collapsed="false">
      <c r="A3998" s="9" t="s">
        <v>9841</v>
      </c>
      <c r="B3998" s="9" t="s">
        <v>5870</v>
      </c>
      <c r="C3998" s="9" t="s">
        <v>4261</v>
      </c>
      <c r="D3998" s="9" t="s">
        <v>5871</v>
      </c>
      <c r="E3998" s="9" t="str">
        <f aca="false">IF(AND('Formation Ledger'!A3977&lt;&gt;"",'Formation Ledger'!V3977=0),"PASS","FAIL")</f>
        <v>PASS</v>
      </c>
      <c r="F3998" s="9" t="s">
        <v>76</v>
      </c>
      <c r="G3998" s="6"/>
      <c r="H3998" s="6"/>
      <c r="I3998" s="6"/>
      <c r="J3998" s="6"/>
      <c r="K3998" s="6"/>
      <c r="L3998" s="6"/>
      <c r="M3998" s="6"/>
      <c r="N3998" s="6"/>
      <c r="O3998" s="6"/>
      <c r="P3998" s="6"/>
      <c r="Q3998" s="6"/>
      <c r="R3998" s="6"/>
      <c r="S3998" s="6"/>
      <c r="T3998" s="6"/>
      <c r="U3998" s="6"/>
      <c r="V3998" s="6"/>
      <c r="W3998" s="6"/>
      <c r="X3998" s="6"/>
      <c r="Y3998" s="6"/>
      <c r="Z3998" s="6"/>
    </row>
    <row r="3999" customFormat="false" ht="15" hidden="false" customHeight="false" outlineLevel="0" collapsed="false">
      <c r="A3999" s="9" t="s">
        <v>9842</v>
      </c>
      <c r="B3999" s="9" t="s">
        <v>5870</v>
      </c>
      <c r="C3999" s="9" t="s">
        <v>4262</v>
      </c>
      <c r="D3999" s="9" t="s">
        <v>5871</v>
      </c>
      <c r="E3999" s="9" t="str">
        <f aca="false">IF(AND('Formation Ledger'!A3978&lt;&gt;"",'Formation Ledger'!V3978=0),"PASS","FAIL")</f>
        <v>PASS</v>
      </c>
      <c r="F3999" s="9" t="s">
        <v>76</v>
      </c>
      <c r="G3999" s="6"/>
      <c r="H3999" s="6"/>
      <c r="I3999" s="6"/>
      <c r="J3999" s="6"/>
      <c r="K3999" s="6"/>
      <c r="L3999" s="6"/>
      <c r="M3999" s="6"/>
      <c r="N3999" s="6"/>
      <c r="O3999" s="6"/>
      <c r="P3999" s="6"/>
      <c r="Q3999" s="6"/>
      <c r="R3999" s="6"/>
      <c r="S3999" s="6"/>
      <c r="T3999" s="6"/>
      <c r="U3999" s="6"/>
      <c r="V3999" s="6"/>
      <c r="W3999" s="6"/>
      <c r="X3999" s="6"/>
      <c r="Y3999" s="6"/>
      <c r="Z3999" s="6"/>
    </row>
    <row r="4000" customFormat="false" ht="15" hidden="false" customHeight="false" outlineLevel="0" collapsed="false">
      <c r="A4000" s="9" t="s">
        <v>9843</v>
      </c>
      <c r="B4000" s="9" t="s">
        <v>5870</v>
      </c>
      <c r="C4000" s="9" t="s">
        <v>4263</v>
      </c>
      <c r="D4000" s="9" t="s">
        <v>5871</v>
      </c>
      <c r="E4000" s="9" t="str">
        <f aca="false">IF(AND('Formation Ledger'!A3979&lt;&gt;"",'Formation Ledger'!V3979=0),"PASS","FAIL")</f>
        <v>PASS</v>
      </c>
      <c r="F4000" s="9" t="s">
        <v>76</v>
      </c>
      <c r="G4000" s="6"/>
      <c r="H4000" s="6"/>
      <c r="I4000" s="6"/>
      <c r="J4000" s="6"/>
      <c r="K4000" s="6"/>
      <c r="L4000" s="6"/>
      <c r="M4000" s="6"/>
      <c r="N4000" s="6"/>
      <c r="O4000" s="6"/>
      <c r="P4000" s="6"/>
      <c r="Q4000" s="6"/>
      <c r="R4000" s="6"/>
      <c r="S4000" s="6"/>
      <c r="T4000" s="6"/>
      <c r="U4000" s="6"/>
      <c r="V4000" s="6"/>
      <c r="W4000" s="6"/>
      <c r="X4000" s="6"/>
      <c r="Y4000" s="6"/>
      <c r="Z4000" s="6"/>
    </row>
    <row r="4001" customFormat="false" ht="15" hidden="false" customHeight="false" outlineLevel="0" collapsed="false">
      <c r="A4001" s="9" t="s">
        <v>9844</v>
      </c>
      <c r="B4001" s="9" t="s">
        <v>5870</v>
      </c>
      <c r="C4001" s="9" t="s">
        <v>4264</v>
      </c>
      <c r="D4001" s="9" t="s">
        <v>5871</v>
      </c>
      <c r="E4001" s="9" t="str">
        <f aca="false">IF(AND('Formation Ledger'!A3980&lt;&gt;"",'Formation Ledger'!V3980=0),"PASS","FAIL")</f>
        <v>PASS</v>
      </c>
      <c r="F4001" s="9" t="s">
        <v>76</v>
      </c>
      <c r="G4001" s="6"/>
      <c r="H4001" s="6"/>
      <c r="I4001" s="6"/>
      <c r="J4001" s="6"/>
      <c r="K4001" s="6"/>
      <c r="L4001" s="6"/>
      <c r="M4001" s="6"/>
      <c r="N4001" s="6"/>
      <c r="O4001" s="6"/>
      <c r="P4001" s="6"/>
      <c r="Q4001" s="6"/>
      <c r="R4001" s="6"/>
      <c r="S4001" s="6"/>
      <c r="T4001" s="6"/>
      <c r="U4001" s="6"/>
      <c r="V4001" s="6"/>
      <c r="W4001" s="6"/>
      <c r="X4001" s="6"/>
      <c r="Y4001" s="6"/>
      <c r="Z4001" s="6"/>
    </row>
    <row r="4002" customFormat="false" ht="15" hidden="false" customHeight="false" outlineLevel="0" collapsed="false">
      <c r="A4002" s="9" t="s">
        <v>9845</v>
      </c>
      <c r="B4002" s="9" t="s">
        <v>5870</v>
      </c>
      <c r="C4002" s="9" t="s">
        <v>4265</v>
      </c>
      <c r="D4002" s="9" t="s">
        <v>5871</v>
      </c>
      <c r="E4002" s="9" t="str">
        <f aca="false">IF(AND('Formation Ledger'!A3981&lt;&gt;"",'Formation Ledger'!V3981=0),"PASS","FAIL")</f>
        <v>PASS</v>
      </c>
      <c r="F4002" s="9" t="s">
        <v>76</v>
      </c>
      <c r="G4002" s="6"/>
      <c r="H4002" s="6"/>
      <c r="I4002" s="6"/>
      <c r="J4002" s="6"/>
      <c r="K4002" s="6"/>
      <c r="L4002" s="6"/>
      <c r="M4002" s="6"/>
      <c r="N4002" s="6"/>
      <c r="O4002" s="6"/>
      <c r="P4002" s="6"/>
      <c r="Q4002" s="6"/>
      <c r="R4002" s="6"/>
      <c r="S4002" s="6"/>
      <c r="T4002" s="6"/>
      <c r="U4002" s="6"/>
      <c r="V4002" s="6"/>
      <c r="W4002" s="6"/>
      <c r="X4002" s="6"/>
      <c r="Y4002" s="6"/>
      <c r="Z4002" s="6"/>
    </row>
    <row r="4003" customFormat="false" ht="15" hidden="false" customHeight="false" outlineLevel="0" collapsed="false">
      <c r="A4003" s="9" t="s">
        <v>9846</v>
      </c>
      <c r="B4003" s="9" t="s">
        <v>5870</v>
      </c>
      <c r="C4003" s="9" t="s">
        <v>4266</v>
      </c>
      <c r="D4003" s="9" t="s">
        <v>5871</v>
      </c>
      <c r="E4003" s="9" t="str">
        <f aca="false">IF(AND('Formation Ledger'!A3982&lt;&gt;"",'Formation Ledger'!V3982=0),"PASS","FAIL")</f>
        <v>PASS</v>
      </c>
      <c r="F4003" s="9" t="s">
        <v>76</v>
      </c>
      <c r="G4003" s="6"/>
      <c r="H4003" s="6"/>
      <c r="I4003" s="6"/>
      <c r="J4003" s="6"/>
      <c r="K4003" s="6"/>
      <c r="L4003" s="6"/>
      <c r="M4003" s="6"/>
      <c r="N4003" s="6"/>
      <c r="O4003" s="6"/>
      <c r="P4003" s="6"/>
      <c r="Q4003" s="6"/>
      <c r="R4003" s="6"/>
      <c r="S4003" s="6"/>
      <c r="T4003" s="6"/>
      <c r="U4003" s="6"/>
      <c r="V4003" s="6"/>
      <c r="W4003" s="6"/>
      <c r="X4003" s="6"/>
      <c r="Y4003" s="6"/>
      <c r="Z4003" s="6"/>
    </row>
    <row r="4004" customFormat="false" ht="15" hidden="false" customHeight="false" outlineLevel="0" collapsed="false">
      <c r="A4004" s="9" t="s">
        <v>9847</v>
      </c>
      <c r="B4004" s="9" t="s">
        <v>5870</v>
      </c>
      <c r="C4004" s="9" t="s">
        <v>4267</v>
      </c>
      <c r="D4004" s="9" t="s">
        <v>5871</v>
      </c>
      <c r="E4004" s="9" t="str">
        <f aca="false">IF(AND('Formation Ledger'!A3983&lt;&gt;"",'Formation Ledger'!V3983=0),"PASS","FAIL")</f>
        <v>PASS</v>
      </c>
      <c r="F4004" s="9" t="s">
        <v>76</v>
      </c>
      <c r="G4004" s="6"/>
      <c r="H4004" s="6"/>
      <c r="I4004" s="6"/>
      <c r="J4004" s="6"/>
      <c r="K4004" s="6"/>
      <c r="L4004" s="6"/>
      <c r="M4004" s="6"/>
      <c r="N4004" s="6"/>
      <c r="O4004" s="6"/>
      <c r="P4004" s="6"/>
      <c r="Q4004" s="6"/>
      <c r="R4004" s="6"/>
      <c r="S4004" s="6"/>
      <c r="T4004" s="6"/>
      <c r="U4004" s="6"/>
      <c r="V4004" s="6"/>
      <c r="W4004" s="6"/>
      <c r="X4004" s="6"/>
      <c r="Y4004" s="6"/>
      <c r="Z4004" s="6"/>
    </row>
    <row r="4005" customFormat="false" ht="15" hidden="false" customHeight="false" outlineLevel="0" collapsed="false">
      <c r="A4005" s="9" t="s">
        <v>9848</v>
      </c>
      <c r="B4005" s="9" t="s">
        <v>5870</v>
      </c>
      <c r="C4005" s="9" t="s">
        <v>4268</v>
      </c>
      <c r="D4005" s="9" t="s">
        <v>5871</v>
      </c>
      <c r="E4005" s="9" t="str">
        <f aca="false">IF(AND('Formation Ledger'!A3984&lt;&gt;"",'Formation Ledger'!V3984=0),"PASS","FAIL")</f>
        <v>PASS</v>
      </c>
      <c r="F4005" s="9" t="s">
        <v>76</v>
      </c>
      <c r="G4005" s="6"/>
      <c r="H4005" s="6"/>
      <c r="I4005" s="6"/>
      <c r="J4005" s="6"/>
      <c r="K4005" s="6"/>
      <c r="L4005" s="6"/>
      <c r="M4005" s="6"/>
      <c r="N4005" s="6"/>
      <c r="O4005" s="6"/>
      <c r="P4005" s="6"/>
      <c r="Q4005" s="6"/>
      <c r="R4005" s="6"/>
      <c r="S4005" s="6"/>
      <c r="T4005" s="6"/>
      <c r="U4005" s="6"/>
      <c r="V4005" s="6"/>
      <c r="W4005" s="6"/>
      <c r="X4005" s="6"/>
      <c r="Y4005" s="6"/>
      <c r="Z4005" s="6"/>
    </row>
    <row r="4006" customFormat="false" ht="15" hidden="false" customHeight="false" outlineLevel="0" collapsed="false">
      <c r="A4006" s="9" t="s">
        <v>9849</v>
      </c>
      <c r="B4006" s="9" t="s">
        <v>5870</v>
      </c>
      <c r="C4006" s="9" t="s">
        <v>4269</v>
      </c>
      <c r="D4006" s="9" t="s">
        <v>5871</v>
      </c>
      <c r="E4006" s="9" t="str">
        <f aca="false">IF(AND('Formation Ledger'!A3985&lt;&gt;"",'Formation Ledger'!V3985=0),"PASS","FAIL")</f>
        <v>PASS</v>
      </c>
      <c r="F4006" s="9" t="s">
        <v>76</v>
      </c>
      <c r="G4006" s="6"/>
      <c r="H4006" s="6"/>
      <c r="I4006" s="6"/>
      <c r="J4006" s="6"/>
      <c r="K4006" s="6"/>
      <c r="L4006" s="6"/>
      <c r="M4006" s="6"/>
      <c r="N4006" s="6"/>
      <c r="O4006" s="6"/>
      <c r="P4006" s="6"/>
      <c r="Q4006" s="6"/>
      <c r="R4006" s="6"/>
      <c r="S4006" s="6"/>
      <c r="T4006" s="6"/>
      <c r="U4006" s="6"/>
      <c r="V4006" s="6"/>
      <c r="W4006" s="6"/>
      <c r="X4006" s="6"/>
      <c r="Y4006" s="6"/>
      <c r="Z4006" s="6"/>
    </row>
    <row r="4007" customFormat="false" ht="15" hidden="false" customHeight="false" outlineLevel="0" collapsed="false">
      <c r="A4007" s="9" t="s">
        <v>9850</v>
      </c>
      <c r="B4007" s="9" t="s">
        <v>5870</v>
      </c>
      <c r="C4007" s="9" t="s">
        <v>4270</v>
      </c>
      <c r="D4007" s="9" t="s">
        <v>5871</v>
      </c>
      <c r="E4007" s="9" t="str">
        <f aca="false">IF(AND('Formation Ledger'!A3986&lt;&gt;"",'Formation Ledger'!V3986=0),"PASS","FAIL")</f>
        <v>PASS</v>
      </c>
      <c r="F4007" s="9" t="s">
        <v>76</v>
      </c>
      <c r="G4007" s="6"/>
      <c r="H4007" s="6"/>
      <c r="I4007" s="6"/>
      <c r="J4007" s="6"/>
      <c r="K4007" s="6"/>
      <c r="L4007" s="6"/>
      <c r="M4007" s="6"/>
      <c r="N4007" s="6"/>
      <c r="O4007" s="6"/>
      <c r="P4007" s="6"/>
      <c r="Q4007" s="6"/>
      <c r="R4007" s="6"/>
      <c r="S4007" s="6"/>
      <c r="T4007" s="6"/>
      <c r="U4007" s="6"/>
      <c r="V4007" s="6"/>
      <c r="W4007" s="6"/>
      <c r="X4007" s="6"/>
      <c r="Y4007" s="6"/>
      <c r="Z4007" s="6"/>
    </row>
    <row r="4008" customFormat="false" ht="15" hidden="false" customHeight="false" outlineLevel="0" collapsed="false">
      <c r="A4008" s="9" t="s">
        <v>9851</v>
      </c>
      <c r="B4008" s="9" t="s">
        <v>5870</v>
      </c>
      <c r="C4008" s="9" t="s">
        <v>4271</v>
      </c>
      <c r="D4008" s="9" t="s">
        <v>5871</v>
      </c>
      <c r="E4008" s="9" t="str">
        <f aca="false">IF(AND('Formation Ledger'!A3987&lt;&gt;"",'Formation Ledger'!V3987=0),"PASS","FAIL")</f>
        <v>PASS</v>
      </c>
      <c r="F4008" s="9" t="s">
        <v>76</v>
      </c>
      <c r="G4008" s="6"/>
      <c r="H4008" s="6"/>
      <c r="I4008" s="6"/>
      <c r="J4008" s="6"/>
      <c r="K4008" s="6"/>
      <c r="L4008" s="6"/>
      <c r="M4008" s="6"/>
      <c r="N4008" s="6"/>
      <c r="O4008" s="6"/>
      <c r="P4008" s="6"/>
      <c r="Q4008" s="6"/>
      <c r="R4008" s="6"/>
      <c r="S4008" s="6"/>
      <c r="T4008" s="6"/>
      <c r="U4008" s="6"/>
      <c r="V4008" s="6"/>
      <c r="W4008" s="6"/>
      <c r="X4008" s="6"/>
      <c r="Y4008" s="6"/>
      <c r="Z4008" s="6"/>
    </row>
    <row r="4009" customFormat="false" ht="15" hidden="false" customHeight="false" outlineLevel="0" collapsed="false">
      <c r="A4009" s="9" t="s">
        <v>9852</v>
      </c>
      <c r="B4009" s="9" t="s">
        <v>5870</v>
      </c>
      <c r="C4009" s="9" t="s">
        <v>4272</v>
      </c>
      <c r="D4009" s="9" t="s">
        <v>5871</v>
      </c>
      <c r="E4009" s="9" t="str">
        <f aca="false">IF(AND('Formation Ledger'!A3988&lt;&gt;"",'Formation Ledger'!V3988=0),"PASS","FAIL")</f>
        <v>PASS</v>
      </c>
      <c r="F4009" s="9" t="s">
        <v>76</v>
      </c>
      <c r="G4009" s="6"/>
      <c r="H4009" s="6"/>
      <c r="I4009" s="6"/>
      <c r="J4009" s="6"/>
      <c r="K4009" s="6"/>
      <c r="L4009" s="6"/>
      <c r="M4009" s="6"/>
      <c r="N4009" s="6"/>
      <c r="O4009" s="6"/>
      <c r="P4009" s="6"/>
      <c r="Q4009" s="6"/>
      <c r="R4009" s="6"/>
      <c r="S4009" s="6"/>
      <c r="T4009" s="6"/>
      <c r="U4009" s="6"/>
      <c r="V4009" s="6"/>
      <c r="W4009" s="6"/>
      <c r="X4009" s="6"/>
      <c r="Y4009" s="6"/>
      <c r="Z4009" s="6"/>
    </row>
    <row r="4010" customFormat="false" ht="15" hidden="false" customHeight="false" outlineLevel="0" collapsed="false">
      <c r="A4010" s="9" t="s">
        <v>9853</v>
      </c>
      <c r="B4010" s="9" t="s">
        <v>5870</v>
      </c>
      <c r="C4010" s="9" t="s">
        <v>4273</v>
      </c>
      <c r="D4010" s="9" t="s">
        <v>5871</v>
      </c>
      <c r="E4010" s="9" t="str">
        <f aca="false">IF(AND('Formation Ledger'!A3989&lt;&gt;"",'Formation Ledger'!V3989=0),"PASS","FAIL")</f>
        <v>PASS</v>
      </c>
      <c r="F4010" s="9" t="s">
        <v>76</v>
      </c>
      <c r="G4010" s="6"/>
      <c r="H4010" s="6"/>
      <c r="I4010" s="6"/>
      <c r="J4010" s="6"/>
      <c r="K4010" s="6"/>
      <c r="L4010" s="6"/>
      <c r="M4010" s="6"/>
      <c r="N4010" s="6"/>
      <c r="O4010" s="6"/>
      <c r="P4010" s="6"/>
      <c r="Q4010" s="6"/>
      <c r="R4010" s="6"/>
      <c r="S4010" s="6"/>
      <c r="T4010" s="6"/>
      <c r="U4010" s="6"/>
      <c r="V4010" s="6"/>
      <c r="W4010" s="6"/>
      <c r="X4010" s="6"/>
      <c r="Y4010" s="6"/>
      <c r="Z4010" s="6"/>
    </row>
    <row r="4011" customFormat="false" ht="15" hidden="false" customHeight="false" outlineLevel="0" collapsed="false">
      <c r="A4011" s="9" t="s">
        <v>9854</v>
      </c>
      <c r="B4011" s="9" t="s">
        <v>5870</v>
      </c>
      <c r="C4011" s="9" t="s">
        <v>4274</v>
      </c>
      <c r="D4011" s="9" t="s">
        <v>5871</v>
      </c>
      <c r="E4011" s="9" t="str">
        <f aca="false">IF(AND('Formation Ledger'!A3990&lt;&gt;"",'Formation Ledger'!V3990=0),"PASS","FAIL")</f>
        <v>PASS</v>
      </c>
      <c r="F4011" s="9" t="s">
        <v>76</v>
      </c>
      <c r="G4011" s="6"/>
      <c r="H4011" s="6"/>
      <c r="I4011" s="6"/>
      <c r="J4011" s="6"/>
      <c r="K4011" s="6"/>
      <c r="L4011" s="6"/>
      <c r="M4011" s="6"/>
      <c r="N4011" s="6"/>
      <c r="O4011" s="6"/>
      <c r="P4011" s="6"/>
      <c r="Q4011" s="6"/>
      <c r="R4011" s="6"/>
      <c r="S4011" s="6"/>
      <c r="T4011" s="6"/>
      <c r="U4011" s="6"/>
      <c r="V4011" s="6"/>
      <c r="W4011" s="6"/>
      <c r="X4011" s="6"/>
      <c r="Y4011" s="6"/>
      <c r="Z4011" s="6"/>
    </row>
    <row r="4012" customFormat="false" ht="15" hidden="false" customHeight="false" outlineLevel="0" collapsed="false">
      <c r="A4012" s="9" t="s">
        <v>9855</v>
      </c>
      <c r="B4012" s="9" t="s">
        <v>5870</v>
      </c>
      <c r="C4012" s="9" t="s">
        <v>4275</v>
      </c>
      <c r="D4012" s="9" t="s">
        <v>5871</v>
      </c>
      <c r="E4012" s="9" t="str">
        <f aca="false">IF(AND('Formation Ledger'!A3991&lt;&gt;"",'Formation Ledger'!V3991=0),"PASS","FAIL")</f>
        <v>PASS</v>
      </c>
      <c r="F4012" s="9" t="s">
        <v>76</v>
      </c>
      <c r="G4012" s="6"/>
      <c r="H4012" s="6"/>
      <c r="I4012" s="6"/>
      <c r="J4012" s="6"/>
      <c r="K4012" s="6"/>
      <c r="L4012" s="6"/>
      <c r="M4012" s="6"/>
      <c r="N4012" s="6"/>
      <c r="O4012" s="6"/>
      <c r="P4012" s="6"/>
      <c r="Q4012" s="6"/>
      <c r="R4012" s="6"/>
      <c r="S4012" s="6"/>
      <c r="T4012" s="6"/>
      <c r="U4012" s="6"/>
      <c r="V4012" s="6"/>
      <c r="W4012" s="6"/>
      <c r="X4012" s="6"/>
      <c r="Y4012" s="6"/>
      <c r="Z4012" s="6"/>
    </row>
    <row r="4013" customFormat="false" ht="15" hidden="false" customHeight="false" outlineLevel="0" collapsed="false">
      <c r="A4013" s="9" t="s">
        <v>9856</v>
      </c>
      <c r="B4013" s="9" t="s">
        <v>5870</v>
      </c>
      <c r="C4013" s="9" t="s">
        <v>4276</v>
      </c>
      <c r="D4013" s="9" t="s">
        <v>5871</v>
      </c>
      <c r="E4013" s="9" t="str">
        <f aca="false">IF(AND('Formation Ledger'!A3992&lt;&gt;"",'Formation Ledger'!V3992=0),"PASS","FAIL")</f>
        <v>PASS</v>
      </c>
      <c r="F4013" s="9" t="s">
        <v>76</v>
      </c>
      <c r="G4013" s="6"/>
      <c r="H4013" s="6"/>
      <c r="I4013" s="6"/>
      <c r="J4013" s="6"/>
      <c r="K4013" s="6"/>
      <c r="L4013" s="6"/>
      <c r="M4013" s="6"/>
      <c r="N4013" s="6"/>
      <c r="O4013" s="6"/>
      <c r="P4013" s="6"/>
      <c r="Q4013" s="6"/>
      <c r="R4013" s="6"/>
      <c r="S4013" s="6"/>
      <c r="T4013" s="6"/>
      <c r="U4013" s="6"/>
      <c r="V4013" s="6"/>
      <c r="W4013" s="6"/>
      <c r="X4013" s="6"/>
      <c r="Y4013" s="6"/>
      <c r="Z4013" s="6"/>
    </row>
    <row r="4014" customFormat="false" ht="15" hidden="false" customHeight="false" outlineLevel="0" collapsed="false">
      <c r="A4014" s="9" t="s">
        <v>9857</v>
      </c>
      <c r="B4014" s="9" t="s">
        <v>5870</v>
      </c>
      <c r="C4014" s="9" t="s">
        <v>4277</v>
      </c>
      <c r="D4014" s="9" t="s">
        <v>5871</v>
      </c>
      <c r="E4014" s="9" t="str">
        <f aca="false">IF(AND('Formation Ledger'!A3993&lt;&gt;"",'Formation Ledger'!V3993=0),"PASS","FAIL")</f>
        <v>PASS</v>
      </c>
      <c r="F4014" s="9" t="s">
        <v>76</v>
      </c>
      <c r="G4014" s="6"/>
      <c r="H4014" s="6"/>
      <c r="I4014" s="6"/>
      <c r="J4014" s="6"/>
      <c r="K4014" s="6"/>
      <c r="L4014" s="6"/>
      <c r="M4014" s="6"/>
      <c r="N4014" s="6"/>
      <c r="O4014" s="6"/>
      <c r="P4014" s="6"/>
      <c r="Q4014" s="6"/>
      <c r="R4014" s="6"/>
      <c r="S4014" s="6"/>
      <c r="T4014" s="6"/>
      <c r="U4014" s="6"/>
      <c r="V4014" s="6"/>
      <c r="W4014" s="6"/>
      <c r="X4014" s="6"/>
      <c r="Y4014" s="6"/>
      <c r="Z4014" s="6"/>
    </row>
    <row r="4015" customFormat="false" ht="15" hidden="false" customHeight="false" outlineLevel="0" collapsed="false">
      <c r="A4015" s="9" t="s">
        <v>9858</v>
      </c>
      <c r="B4015" s="9" t="s">
        <v>5870</v>
      </c>
      <c r="C4015" s="9" t="s">
        <v>4278</v>
      </c>
      <c r="D4015" s="9" t="s">
        <v>5871</v>
      </c>
      <c r="E4015" s="9" t="str">
        <f aca="false">IF(AND('Formation Ledger'!A3994&lt;&gt;"",'Formation Ledger'!V3994=0),"PASS","FAIL")</f>
        <v>PASS</v>
      </c>
      <c r="F4015" s="9" t="s">
        <v>76</v>
      </c>
      <c r="G4015" s="6"/>
      <c r="H4015" s="6"/>
      <c r="I4015" s="6"/>
      <c r="J4015" s="6"/>
      <c r="K4015" s="6"/>
      <c r="L4015" s="6"/>
      <c r="M4015" s="6"/>
      <c r="N4015" s="6"/>
      <c r="O4015" s="6"/>
      <c r="P4015" s="6"/>
      <c r="Q4015" s="6"/>
      <c r="R4015" s="6"/>
      <c r="S4015" s="6"/>
      <c r="T4015" s="6"/>
      <c r="U4015" s="6"/>
      <c r="V4015" s="6"/>
      <c r="W4015" s="6"/>
      <c r="X4015" s="6"/>
      <c r="Y4015" s="6"/>
      <c r="Z4015" s="6"/>
    </row>
    <row r="4016" customFormat="false" ht="15" hidden="false" customHeight="false" outlineLevel="0" collapsed="false">
      <c r="A4016" s="9" t="s">
        <v>9859</v>
      </c>
      <c r="B4016" s="9" t="s">
        <v>5870</v>
      </c>
      <c r="C4016" s="9" t="s">
        <v>4279</v>
      </c>
      <c r="D4016" s="9" t="s">
        <v>5871</v>
      </c>
      <c r="E4016" s="9" t="str">
        <f aca="false">IF(AND('Formation Ledger'!A3995&lt;&gt;"",'Formation Ledger'!V3995=0),"PASS","FAIL")</f>
        <v>PASS</v>
      </c>
      <c r="F4016" s="9" t="s">
        <v>76</v>
      </c>
      <c r="G4016" s="6"/>
      <c r="H4016" s="6"/>
      <c r="I4016" s="6"/>
      <c r="J4016" s="6"/>
      <c r="K4016" s="6"/>
      <c r="L4016" s="6"/>
      <c r="M4016" s="6"/>
      <c r="N4016" s="6"/>
      <c r="O4016" s="6"/>
      <c r="P4016" s="6"/>
      <c r="Q4016" s="6"/>
      <c r="R4016" s="6"/>
      <c r="S4016" s="6"/>
      <c r="T4016" s="6"/>
      <c r="U4016" s="6"/>
      <c r="V4016" s="6"/>
      <c r="W4016" s="6"/>
      <c r="X4016" s="6"/>
      <c r="Y4016" s="6"/>
      <c r="Z4016" s="6"/>
    </row>
    <row r="4017" customFormat="false" ht="15" hidden="false" customHeight="false" outlineLevel="0" collapsed="false">
      <c r="A4017" s="9" t="s">
        <v>9860</v>
      </c>
      <c r="B4017" s="9" t="s">
        <v>5870</v>
      </c>
      <c r="C4017" s="9" t="s">
        <v>4280</v>
      </c>
      <c r="D4017" s="9" t="s">
        <v>5871</v>
      </c>
      <c r="E4017" s="9" t="str">
        <f aca="false">IF(AND('Formation Ledger'!A3996&lt;&gt;"",'Formation Ledger'!V3996=0),"PASS","FAIL")</f>
        <v>PASS</v>
      </c>
      <c r="F4017" s="9" t="s">
        <v>76</v>
      </c>
      <c r="G4017" s="6"/>
      <c r="H4017" s="6"/>
      <c r="I4017" s="6"/>
      <c r="J4017" s="6"/>
      <c r="K4017" s="6"/>
      <c r="L4017" s="6"/>
      <c r="M4017" s="6"/>
      <c r="N4017" s="6"/>
      <c r="O4017" s="6"/>
      <c r="P4017" s="6"/>
      <c r="Q4017" s="6"/>
      <c r="R4017" s="6"/>
      <c r="S4017" s="6"/>
      <c r="T4017" s="6"/>
      <c r="U4017" s="6"/>
      <c r="V4017" s="6"/>
      <c r="W4017" s="6"/>
      <c r="X4017" s="6"/>
      <c r="Y4017" s="6"/>
      <c r="Z4017" s="6"/>
    </row>
    <row r="4018" customFormat="false" ht="15" hidden="false" customHeight="false" outlineLevel="0" collapsed="false">
      <c r="A4018" s="9" t="s">
        <v>9861</v>
      </c>
      <c r="B4018" s="9" t="s">
        <v>5870</v>
      </c>
      <c r="C4018" s="9" t="s">
        <v>4281</v>
      </c>
      <c r="D4018" s="9" t="s">
        <v>5871</v>
      </c>
      <c r="E4018" s="9" t="str">
        <f aca="false">IF(AND('Formation Ledger'!A3997&lt;&gt;"",'Formation Ledger'!V3997=0),"PASS","FAIL")</f>
        <v>PASS</v>
      </c>
      <c r="F4018" s="9" t="s">
        <v>76</v>
      </c>
      <c r="G4018" s="6"/>
      <c r="H4018" s="6"/>
      <c r="I4018" s="6"/>
      <c r="J4018" s="6"/>
      <c r="K4018" s="6"/>
      <c r="L4018" s="6"/>
      <c r="M4018" s="6"/>
      <c r="N4018" s="6"/>
      <c r="O4018" s="6"/>
      <c r="P4018" s="6"/>
      <c r="Q4018" s="6"/>
      <c r="R4018" s="6"/>
      <c r="S4018" s="6"/>
      <c r="T4018" s="6"/>
      <c r="U4018" s="6"/>
      <c r="V4018" s="6"/>
      <c r="W4018" s="6"/>
      <c r="X4018" s="6"/>
      <c r="Y4018" s="6"/>
      <c r="Z4018" s="6"/>
    </row>
    <row r="4019" customFormat="false" ht="15" hidden="false" customHeight="false" outlineLevel="0" collapsed="false">
      <c r="A4019" s="9" t="s">
        <v>9862</v>
      </c>
      <c r="B4019" s="9" t="s">
        <v>5870</v>
      </c>
      <c r="C4019" s="9" t="s">
        <v>4282</v>
      </c>
      <c r="D4019" s="9" t="s">
        <v>5871</v>
      </c>
      <c r="E4019" s="9" t="str">
        <f aca="false">IF(AND('Formation Ledger'!A3998&lt;&gt;"",'Formation Ledger'!V3998=0),"PASS","FAIL")</f>
        <v>PASS</v>
      </c>
      <c r="F4019" s="9" t="s">
        <v>76</v>
      </c>
      <c r="G4019" s="6"/>
      <c r="H4019" s="6"/>
      <c r="I4019" s="6"/>
      <c r="J4019" s="6"/>
      <c r="K4019" s="6"/>
      <c r="L4019" s="6"/>
      <c r="M4019" s="6"/>
      <c r="N4019" s="6"/>
      <c r="O4019" s="6"/>
      <c r="P4019" s="6"/>
      <c r="Q4019" s="6"/>
      <c r="R4019" s="6"/>
      <c r="S4019" s="6"/>
      <c r="T4019" s="6"/>
      <c r="U4019" s="6"/>
      <c r="V4019" s="6"/>
      <c r="W4019" s="6"/>
      <c r="X4019" s="6"/>
      <c r="Y4019" s="6"/>
      <c r="Z4019" s="6"/>
    </row>
    <row r="4020" customFormat="false" ht="15" hidden="false" customHeight="false" outlineLevel="0" collapsed="false">
      <c r="A4020" s="9" t="s">
        <v>9863</v>
      </c>
      <c r="B4020" s="9" t="s">
        <v>5870</v>
      </c>
      <c r="C4020" s="9" t="s">
        <v>4283</v>
      </c>
      <c r="D4020" s="9" t="s">
        <v>5871</v>
      </c>
      <c r="E4020" s="9" t="str">
        <f aca="false">IF(AND('Formation Ledger'!A3999&lt;&gt;"",'Formation Ledger'!V3999=0),"PASS","FAIL")</f>
        <v>PASS</v>
      </c>
      <c r="F4020" s="9" t="s">
        <v>76</v>
      </c>
      <c r="G4020" s="6"/>
      <c r="H4020" s="6"/>
      <c r="I4020" s="6"/>
      <c r="J4020" s="6"/>
      <c r="K4020" s="6"/>
      <c r="L4020" s="6"/>
      <c r="M4020" s="6"/>
      <c r="N4020" s="6"/>
      <c r="O4020" s="6"/>
      <c r="P4020" s="6"/>
      <c r="Q4020" s="6"/>
      <c r="R4020" s="6"/>
      <c r="S4020" s="6"/>
      <c r="T4020" s="6"/>
      <c r="U4020" s="6"/>
      <c r="V4020" s="6"/>
      <c r="W4020" s="6"/>
      <c r="X4020" s="6"/>
      <c r="Y4020" s="6"/>
      <c r="Z4020" s="6"/>
    </row>
    <row r="4021" customFormat="false" ht="15" hidden="false" customHeight="false" outlineLevel="0" collapsed="false">
      <c r="A4021" s="9" t="s">
        <v>9864</v>
      </c>
      <c r="B4021" s="9" t="s">
        <v>5870</v>
      </c>
      <c r="C4021" s="9" t="s">
        <v>4284</v>
      </c>
      <c r="D4021" s="9" t="s">
        <v>5871</v>
      </c>
      <c r="E4021" s="9" t="str">
        <f aca="false">IF(AND('Formation Ledger'!A4000&lt;&gt;"",'Formation Ledger'!V4000=0),"PASS","FAIL")</f>
        <v>PASS</v>
      </c>
      <c r="F4021" s="9" t="s">
        <v>76</v>
      </c>
      <c r="G4021" s="6"/>
      <c r="H4021" s="6"/>
      <c r="I4021" s="6"/>
      <c r="J4021" s="6"/>
      <c r="K4021" s="6"/>
      <c r="L4021" s="6"/>
      <c r="M4021" s="6"/>
      <c r="N4021" s="6"/>
      <c r="O4021" s="6"/>
      <c r="P4021" s="6"/>
      <c r="Q4021" s="6"/>
      <c r="R4021" s="6"/>
      <c r="S4021" s="6"/>
      <c r="T4021" s="6"/>
      <c r="U4021" s="6"/>
      <c r="V4021" s="6"/>
      <c r="W4021" s="6"/>
      <c r="X4021" s="6"/>
      <c r="Y4021" s="6"/>
      <c r="Z4021" s="6"/>
    </row>
    <row r="4022" customFormat="false" ht="15" hidden="false" customHeight="false" outlineLevel="0" collapsed="false">
      <c r="A4022" s="9" t="s">
        <v>9865</v>
      </c>
      <c r="B4022" s="9" t="s">
        <v>5870</v>
      </c>
      <c r="C4022" s="9" t="s">
        <v>4285</v>
      </c>
      <c r="D4022" s="9" t="s">
        <v>5871</v>
      </c>
      <c r="E4022" s="9" t="str">
        <f aca="false">IF(AND('Formation Ledger'!A4001&lt;&gt;"",'Formation Ledger'!V4001=0),"PASS","FAIL")</f>
        <v>PASS</v>
      </c>
      <c r="F4022" s="9" t="s">
        <v>76</v>
      </c>
      <c r="G4022" s="6"/>
      <c r="H4022" s="6"/>
      <c r="I4022" s="6"/>
      <c r="J4022" s="6"/>
      <c r="K4022" s="6"/>
      <c r="L4022" s="6"/>
      <c r="M4022" s="6"/>
      <c r="N4022" s="6"/>
      <c r="O4022" s="6"/>
      <c r="P4022" s="6"/>
      <c r="Q4022" s="6"/>
      <c r="R4022" s="6"/>
      <c r="S4022" s="6"/>
      <c r="T4022" s="6"/>
      <c r="U4022" s="6"/>
      <c r="V4022" s="6"/>
      <c r="W4022" s="6"/>
      <c r="X4022" s="6"/>
      <c r="Y4022" s="6"/>
      <c r="Z4022" s="6"/>
    </row>
    <row r="4023" customFormat="false" ht="15" hidden="false" customHeight="false" outlineLevel="0" collapsed="false">
      <c r="A4023" s="9" t="s">
        <v>9866</v>
      </c>
      <c r="B4023" s="9" t="s">
        <v>5870</v>
      </c>
      <c r="C4023" s="9" t="s">
        <v>4286</v>
      </c>
      <c r="D4023" s="9" t="s">
        <v>5871</v>
      </c>
      <c r="E4023" s="9" t="str">
        <f aca="false">IF(AND('Formation Ledger'!A4002&lt;&gt;"",'Formation Ledger'!V4002=0),"PASS","FAIL")</f>
        <v>PASS</v>
      </c>
      <c r="F4023" s="9" t="s">
        <v>76</v>
      </c>
      <c r="G4023" s="6"/>
      <c r="H4023" s="6"/>
      <c r="I4023" s="6"/>
      <c r="J4023" s="6"/>
      <c r="K4023" s="6"/>
      <c r="L4023" s="6"/>
      <c r="M4023" s="6"/>
      <c r="N4023" s="6"/>
      <c r="O4023" s="6"/>
      <c r="P4023" s="6"/>
      <c r="Q4023" s="6"/>
      <c r="R4023" s="6"/>
      <c r="S4023" s="6"/>
      <c r="T4023" s="6"/>
      <c r="U4023" s="6"/>
      <c r="V4023" s="6"/>
      <c r="W4023" s="6"/>
      <c r="X4023" s="6"/>
      <c r="Y4023" s="6"/>
      <c r="Z4023" s="6"/>
    </row>
    <row r="4024" customFormat="false" ht="15" hidden="false" customHeight="false" outlineLevel="0" collapsed="false">
      <c r="A4024" s="9" t="s">
        <v>9867</v>
      </c>
      <c r="B4024" s="9" t="s">
        <v>5870</v>
      </c>
      <c r="C4024" s="9" t="s">
        <v>4287</v>
      </c>
      <c r="D4024" s="9" t="s">
        <v>5871</v>
      </c>
      <c r="E4024" s="9" t="str">
        <f aca="false">IF(AND('Formation Ledger'!A4003&lt;&gt;"",'Formation Ledger'!V4003=0),"PASS","FAIL")</f>
        <v>PASS</v>
      </c>
      <c r="F4024" s="9" t="s">
        <v>76</v>
      </c>
      <c r="G4024" s="6"/>
      <c r="H4024" s="6"/>
      <c r="I4024" s="6"/>
      <c r="J4024" s="6"/>
      <c r="K4024" s="6"/>
      <c r="L4024" s="6"/>
      <c r="M4024" s="6"/>
      <c r="N4024" s="6"/>
      <c r="O4024" s="6"/>
      <c r="P4024" s="6"/>
      <c r="Q4024" s="6"/>
      <c r="R4024" s="6"/>
      <c r="S4024" s="6"/>
      <c r="T4024" s="6"/>
      <c r="U4024" s="6"/>
      <c r="V4024" s="6"/>
      <c r="W4024" s="6"/>
      <c r="X4024" s="6"/>
      <c r="Y4024" s="6"/>
      <c r="Z4024" s="6"/>
    </row>
    <row r="4025" customFormat="false" ht="15" hidden="false" customHeight="false" outlineLevel="0" collapsed="false">
      <c r="A4025" s="9" t="s">
        <v>9868</v>
      </c>
      <c r="B4025" s="9" t="s">
        <v>5870</v>
      </c>
      <c r="C4025" s="9" t="s">
        <v>4288</v>
      </c>
      <c r="D4025" s="9" t="s">
        <v>5871</v>
      </c>
      <c r="E4025" s="9" t="str">
        <f aca="false">IF(AND('Formation Ledger'!A4004&lt;&gt;"",'Formation Ledger'!V4004=0),"PASS","FAIL")</f>
        <v>PASS</v>
      </c>
      <c r="F4025" s="9" t="s">
        <v>76</v>
      </c>
      <c r="G4025" s="6"/>
      <c r="H4025" s="6"/>
      <c r="I4025" s="6"/>
      <c r="J4025" s="6"/>
      <c r="K4025" s="6"/>
      <c r="L4025" s="6"/>
      <c r="M4025" s="6"/>
      <c r="N4025" s="6"/>
      <c r="O4025" s="6"/>
      <c r="P4025" s="6"/>
      <c r="Q4025" s="6"/>
      <c r="R4025" s="6"/>
      <c r="S4025" s="6"/>
      <c r="T4025" s="6"/>
      <c r="U4025" s="6"/>
      <c r="V4025" s="6"/>
      <c r="W4025" s="6"/>
      <c r="X4025" s="6"/>
      <c r="Y4025" s="6"/>
      <c r="Z4025" s="6"/>
    </row>
    <row r="4026" customFormat="false" ht="15" hidden="false" customHeight="false" outlineLevel="0" collapsed="false">
      <c r="A4026" s="9" t="s">
        <v>9869</v>
      </c>
      <c r="B4026" s="9" t="s">
        <v>5870</v>
      </c>
      <c r="C4026" s="9" t="s">
        <v>4289</v>
      </c>
      <c r="D4026" s="9" t="s">
        <v>5871</v>
      </c>
      <c r="E4026" s="9" t="str">
        <f aca="false">IF(AND('Formation Ledger'!A4005&lt;&gt;"",'Formation Ledger'!V4005=0),"PASS","FAIL")</f>
        <v>PASS</v>
      </c>
      <c r="F4026" s="9" t="s">
        <v>76</v>
      </c>
      <c r="G4026" s="6"/>
      <c r="H4026" s="6"/>
      <c r="I4026" s="6"/>
      <c r="J4026" s="6"/>
      <c r="K4026" s="6"/>
      <c r="L4026" s="6"/>
      <c r="M4026" s="6"/>
      <c r="N4026" s="6"/>
      <c r="O4026" s="6"/>
      <c r="P4026" s="6"/>
      <c r="Q4026" s="6"/>
      <c r="R4026" s="6"/>
      <c r="S4026" s="6"/>
      <c r="T4026" s="6"/>
      <c r="U4026" s="6"/>
      <c r="V4026" s="6"/>
      <c r="W4026" s="6"/>
      <c r="X4026" s="6"/>
      <c r="Y4026" s="6"/>
      <c r="Z4026" s="6"/>
    </row>
    <row r="4027" customFormat="false" ht="15" hidden="false" customHeight="false" outlineLevel="0" collapsed="false">
      <c r="A4027" s="9" t="s">
        <v>9870</v>
      </c>
      <c r="B4027" s="9" t="s">
        <v>5870</v>
      </c>
      <c r="C4027" s="9" t="s">
        <v>4290</v>
      </c>
      <c r="D4027" s="9" t="s">
        <v>5871</v>
      </c>
      <c r="E4027" s="9" t="str">
        <f aca="false">IF(AND('Formation Ledger'!A4006&lt;&gt;"",'Formation Ledger'!V4006=0),"PASS","FAIL")</f>
        <v>PASS</v>
      </c>
      <c r="F4027" s="9" t="s">
        <v>76</v>
      </c>
      <c r="G4027" s="6"/>
      <c r="H4027" s="6"/>
      <c r="I4027" s="6"/>
      <c r="J4027" s="6"/>
      <c r="K4027" s="6"/>
      <c r="L4027" s="6"/>
      <c r="M4027" s="6"/>
      <c r="N4027" s="6"/>
      <c r="O4027" s="6"/>
      <c r="P4027" s="6"/>
      <c r="Q4027" s="6"/>
      <c r="R4027" s="6"/>
      <c r="S4027" s="6"/>
      <c r="T4027" s="6"/>
      <c r="U4027" s="6"/>
      <c r="V4027" s="6"/>
      <c r="W4027" s="6"/>
      <c r="X4027" s="6"/>
      <c r="Y4027" s="6"/>
      <c r="Z4027" s="6"/>
    </row>
    <row r="4028" customFormat="false" ht="15" hidden="false" customHeight="false" outlineLevel="0" collapsed="false">
      <c r="A4028" s="9" t="s">
        <v>9871</v>
      </c>
      <c r="B4028" s="9" t="s">
        <v>5870</v>
      </c>
      <c r="C4028" s="9" t="s">
        <v>4291</v>
      </c>
      <c r="D4028" s="9" t="s">
        <v>5871</v>
      </c>
      <c r="E4028" s="9" t="str">
        <f aca="false">IF(AND('Formation Ledger'!A4007&lt;&gt;"",'Formation Ledger'!V4007=0),"PASS","FAIL")</f>
        <v>PASS</v>
      </c>
      <c r="F4028" s="9" t="s">
        <v>76</v>
      </c>
      <c r="G4028" s="6"/>
      <c r="H4028" s="6"/>
      <c r="I4028" s="6"/>
      <c r="J4028" s="6"/>
      <c r="K4028" s="6"/>
      <c r="L4028" s="6"/>
      <c r="M4028" s="6"/>
      <c r="N4028" s="6"/>
      <c r="O4028" s="6"/>
      <c r="P4028" s="6"/>
      <c r="Q4028" s="6"/>
      <c r="R4028" s="6"/>
      <c r="S4028" s="6"/>
      <c r="T4028" s="6"/>
      <c r="U4028" s="6"/>
      <c r="V4028" s="6"/>
      <c r="W4028" s="6"/>
      <c r="X4028" s="6"/>
      <c r="Y4028" s="6"/>
      <c r="Z4028" s="6"/>
    </row>
    <row r="4029" customFormat="false" ht="15" hidden="false" customHeight="false" outlineLevel="0" collapsed="false">
      <c r="A4029" s="9" t="s">
        <v>9872</v>
      </c>
      <c r="B4029" s="9" t="s">
        <v>5870</v>
      </c>
      <c r="C4029" s="9" t="s">
        <v>4292</v>
      </c>
      <c r="D4029" s="9" t="s">
        <v>5871</v>
      </c>
      <c r="E4029" s="9" t="str">
        <f aca="false">IF(AND('Formation Ledger'!A4008&lt;&gt;"",'Formation Ledger'!V4008=0),"PASS","FAIL")</f>
        <v>PASS</v>
      </c>
      <c r="F4029" s="9" t="s">
        <v>76</v>
      </c>
      <c r="G4029" s="6"/>
      <c r="H4029" s="6"/>
      <c r="I4029" s="6"/>
      <c r="J4029" s="6"/>
      <c r="K4029" s="6"/>
      <c r="L4029" s="6"/>
      <c r="M4029" s="6"/>
      <c r="N4029" s="6"/>
      <c r="O4029" s="6"/>
      <c r="P4029" s="6"/>
      <c r="Q4029" s="6"/>
      <c r="R4029" s="6"/>
      <c r="S4029" s="6"/>
      <c r="T4029" s="6"/>
      <c r="U4029" s="6"/>
      <c r="V4029" s="6"/>
      <c r="W4029" s="6"/>
      <c r="X4029" s="6"/>
      <c r="Y4029" s="6"/>
      <c r="Z4029" s="6"/>
    </row>
    <row r="4030" customFormat="false" ht="15" hidden="false" customHeight="false" outlineLevel="0" collapsed="false">
      <c r="A4030" s="9" t="s">
        <v>9873</v>
      </c>
      <c r="B4030" s="9" t="s">
        <v>5870</v>
      </c>
      <c r="C4030" s="9" t="s">
        <v>4293</v>
      </c>
      <c r="D4030" s="9" t="s">
        <v>5871</v>
      </c>
      <c r="E4030" s="9" t="str">
        <f aca="false">IF(AND('Formation Ledger'!A4009&lt;&gt;"",'Formation Ledger'!V4009=0),"PASS","FAIL")</f>
        <v>PASS</v>
      </c>
      <c r="F4030" s="9" t="s">
        <v>76</v>
      </c>
      <c r="G4030" s="6"/>
      <c r="H4030" s="6"/>
      <c r="I4030" s="6"/>
      <c r="J4030" s="6"/>
      <c r="K4030" s="6"/>
      <c r="L4030" s="6"/>
      <c r="M4030" s="6"/>
      <c r="N4030" s="6"/>
      <c r="O4030" s="6"/>
      <c r="P4030" s="6"/>
      <c r="Q4030" s="6"/>
      <c r="R4030" s="6"/>
      <c r="S4030" s="6"/>
      <c r="T4030" s="6"/>
      <c r="U4030" s="6"/>
      <c r="V4030" s="6"/>
      <c r="W4030" s="6"/>
      <c r="X4030" s="6"/>
      <c r="Y4030" s="6"/>
      <c r="Z4030" s="6"/>
    </row>
    <row r="4031" customFormat="false" ht="15" hidden="false" customHeight="false" outlineLevel="0" collapsed="false">
      <c r="A4031" s="9" t="s">
        <v>9874</v>
      </c>
      <c r="B4031" s="9" t="s">
        <v>5870</v>
      </c>
      <c r="C4031" s="9" t="s">
        <v>4294</v>
      </c>
      <c r="D4031" s="9" t="s">
        <v>5871</v>
      </c>
      <c r="E4031" s="9" t="str">
        <f aca="false">IF(AND('Formation Ledger'!A4010&lt;&gt;"",'Formation Ledger'!V4010=0),"PASS","FAIL")</f>
        <v>PASS</v>
      </c>
      <c r="F4031" s="9" t="s">
        <v>76</v>
      </c>
      <c r="G4031" s="6"/>
      <c r="H4031" s="6"/>
      <c r="I4031" s="6"/>
      <c r="J4031" s="6"/>
      <c r="K4031" s="6"/>
      <c r="L4031" s="6"/>
      <c r="M4031" s="6"/>
      <c r="N4031" s="6"/>
      <c r="O4031" s="6"/>
      <c r="P4031" s="6"/>
      <c r="Q4031" s="6"/>
      <c r="R4031" s="6"/>
      <c r="S4031" s="6"/>
      <c r="T4031" s="6"/>
      <c r="U4031" s="6"/>
      <c r="V4031" s="6"/>
      <c r="W4031" s="6"/>
      <c r="X4031" s="6"/>
      <c r="Y4031" s="6"/>
      <c r="Z4031" s="6"/>
    </row>
    <row r="4032" customFormat="false" ht="15" hidden="false" customHeight="false" outlineLevel="0" collapsed="false">
      <c r="A4032" s="9" t="s">
        <v>9875</v>
      </c>
      <c r="B4032" s="9" t="s">
        <v>5870</v>
      </c>
      <c r="C4032" s="9" t="s">
        <v>4295</v>
      </c>
      <c r="D4032" s="9" t="s">
        <v>5871</v>
      </c>
      <c r="E4032" s="9" t="str">
        <f aca="false">IF(AND('Formation Ledger'!A4011&lt;&gt;"",'Formation Ledger'!V4011=0),"PASS","FAIL")</f>
        <v>PASS</v>
      </c>
      <c r="F4032" s="9" t="s">
        <v>76</v>
      </c>
      <c r="G4032" s="6"/>
      <c r="H4032" s="6"/>
      <c r="I4032" s="6"/>
      <c r="J4032" s="6"/>
      <c r="K4032" s="6"/>
      <c r="L4032" s="6"/>
      <c r="M4032" s="6"/>
      <c r="N4032" s="6"/>
      <c r="O4032" s="6"/>
      <c r="P4032" s="6"/>
      <c r="Q4032" s="6"/>
      <c r="R4032" s="6"/>
      <c r="S4032" s="6"/>
      <c r="T4032" s="6"/>
      <c r="U4032" s="6"/>
      <c r="V4032" s="6"/>
      <c r="W4032" s="6"/>
      <c r="X4032" s="6"/>
      <c r="Y4032" s="6"/>
      <c r="Z4032" s="6"/>
    </row>
    <row r="4033" customFormat="false" ht="15" hidden="false" customHeight="false" outlineLevel="0" collapsed="false">
      <c r="A4033" s="9" t="s">
        <v>9876</v>
      </c>
      <c r="B4033" s="9" t="s">
        <v>5870</v>
      </c>
      <c r="C4033" s="9" t="s">
        <v>4296</v>
      </c>
      <c r="D4033" s="9" t="s">
        <v>5871</v>
      </c>
      <c r="E4033" s="9" t="str">
        <f aca="false">IF(AND('Formation Ledger'!A4012&lt;&gt;"",'Formation Ledger'!V4012=0),"PASS","FAIL")</f>
        <v>PASS</v>
      </c>
      <c r="F4033" s="9" t="s">
        <v>76</v>
      </c>
      <c r="G4033" s="6"/>
      <c r="H4033" s="6"/>
      <c r="I4033" s="6"/>
      <c r="J4033" s="6"/>
      <c r="K4033" s="6"/>
      <c r="L4033" s="6"/>
      <c r="M4033" s="6"/>
      <c r="N4033" s="6"/>
      <c r="O4033" s="6"/>
      <c r="P4033" s="6"/>
      <c r="Q4033" s="6"/>
      <c r="R4033" s="6"/>
      <c r="S4033" s="6"/>
      <c r="T4033" s="6"/>
      <c r="U4033" s="6"/>
      <c r="V4033" s="6"/>
      <c r="W4033" s="6"/>
      <c r="X4033" s="6"/>
      <c r="Y4033" s="6"/>
      <c r="Z4033" s="6"/>
    </row>
    <row r="4034" customFormat="false" ht="15" hidden="false" customHeight="false" outlineLevel="0" collapsed="false">
      <c r="A4034" s="9" t="s">
        <v>9877</v>
      </c>
      <c r="B4034" s="9" t="s">
        <v>5870</v>
      </c>
      <c r="C4034" s="9" t="s">
        <v>4297</v>
      </c>
      <c r="D4034" s="9" t="s">
        <v>5871</v>
      </c>
      <c r="E4034" s="9" t="str">
        <f aca="false">IF(AND('Formation Ledger'!A4013&lt;&gt;"",'Formation Ledger'!V4013=0),"PASS","FAIL")</f>
        <v>PASS</v>
      </c>
      <c r="F4034" s="9" t="s">
        <v>76</v>
      </c>
      <c r="G4034" s="6"/>
      <c r="H4034" s="6"/>
      <c r="I4034" s="6"/>
      <c r="J4034" s="6"/>
      <c r="K4034" s="6"/>
      <c r="L4034" s="6"/>
      <c r="M4034" s="6"/>
      <c r="N4034" s="6"/>
      <c r="O4034" s="6"/>
      <c r="P4034" s="6"/>
      <c r="Q4034" s="6"/>
      <c r="R4034" s="6"/>
      <c r="S4034" s="6"/>
      <c r="T4034" s="6"/>
      <c r="U4034" s="6"/>
      <c r="V4034" s="6"/>
      <c r="W4034" s="6"/>
      <c r="X4034" s="6"/>
      <c r="Y4034" s="6"/>
      <c r="Z4034" s="6"/>
    </row>
    <row r="4035" customFormat="false" ht="15" hidden="false" customHeight="false" outlineLevel="0" collapsed="false">
      <c r="A4035" s="9" t="s">
        <v>9878</v>
      </c>
      <c r="B4035" s="9" t="s">
        <v>5870</v>
      </c>
      <c r="C4035" s="9" t="s">
        <v>4298</v>
      </c>
      <c r="D4035" s="9" t="s">
        <v>5871</v>
      </c>
      <c r="E4035" s="9" t="str">
        <f aca="false">IF(AND('Formation Ledger'!A4014&lt;&gt;"",'Formation Ledger'!V4014=0),"PASS","FAIL")</f>
        <v>PASS</v>
      </c>
      <c r="F4035" s="9" t="s">
        <v>76</v>
      </c>
      <c r="G4035" s="6"/>
      <c r="H4035" s="6"/>
      <c r="I4035" s="6"/>
      <c r="J4035" s="6"/>
      <c r="K4035" s="6"/>
      <c r="L4035" s="6"/>
      <c r="M4035" s="6"/>
      <c r="N4035" s="6"/>
      <c r="O4035" s="6"/>
      <c r="P4035" s="6"/>
      <c r="Q4035" s="6"/>
      <c r="R4035" s="6"/>
      <c r="S4035" s="6"/>
      <c r="T4035" s="6"/>
      <c r="U4035" s="6"/>
      <c r="V4035" s="6"/>
      <c r="W4035" s="6"/>
      <c r="X4035" s="6"/>
      <c r="Y4035" s="6"/>
      <c r="Z4035" s="6"/>
    </row>
    <row r="4036" customFormat="false" ht="15" hidden="false" customHeight="false" outlineLevel="0" collapsed="false">
      <c r="A4036" s="9" t="s">
        <v>9879</v>
      </c>
      <c r="B4036" s="9" t="s">
        <v>5870</v>
      </c>
      <c r="C4036" s="9" t="s">
        <v>4299</v>
      </c>
      <c r="D4036" s="9" t="s">
        <v>5871</v>
      </c>
      <c r="E4036" s="9" t="str">
        <f aca="false">IF(AND('Formation Ledger'!A4015&lt;&gt;"",'Formation Ledger'!V4015=0),"PASS","FAIL")</f>
        <v>PASS</v>
      </c>
      <c r="F4036" s="9" t="s">
        <v>76</v>
      </c>
      <c r="G4036" s="6"/>
      <c r="H4036" s="6"/>
      <c r="I4036" s="6"/>
      <c r="J4036" s="6"/>
      <c r="K4036" s="6"/>
      <c r="L4036" s="6"/>
      <c r="M4036" s="6"/>
      <c r="N4036" s="6"/>
      <c r="O4036" s="6"/>
      <c r="P4036" s="6"/>
      <c r="Q4036" s="6"/>
      <c r="R4036" s="6"/>
      <c r="S4036" s="6"/>
      <c r="T4036" s="6"/>
      <c r="U4036" s="6"/>
      <c r="V4036" s="6"/>
      <c r="W4036" s="6"/>
      <c r="X4036" s="6"/>
      <c r="Y4036" s="6"/>
      <c r="Z4036" s="6"/>
    </row>
    <row r="4037" customFormat="false" ht="15" hidden="false" customHeight="false" outlineLevel="0" collapsed="false">
      <c r="A4037" s="9" t="s">
        <v>9880</v>
      </c>
      <c r="B4037" s="9" t="s">
        <v>5870</v>
      </c>
      <c r="C4037" s="9" t="s">
        <v>4300</v>
      </c>
      <c r="D4037" s="9" t="s">
        <v>5871</v>
      </c>
      <c r="E4037" s="9" t="str">
        <f aca="false">IF(AND('Formation Ledger'!A4016&lt;&gt;"",'Formation Ledger'!V4016=0),"PASS","FAIL")</f>
        <v>PASS</v>
      </c>
      <c r="F4037" s="9" t="s">
        <v>76</v>
      </c>
      <c r="G4037" s="6"/>
      <c r="H4037" s="6"/>
      <c r="I4037" s="6"/>
      <c r="J4037" s="6"/>
      <c r="K4037" s="6"/>
      <c r="L4037" s="6"/>
      <c r="M4037" s="6"/>
      <c r="N4037" s="6"/>
      <c r="O4037" s="6"/>
      <c r="P4037" s="6"/>
      <c r="Q4037" s="6"/>
      <c r="R4037" s="6"/>
      <c r="S4037" s="6"/>
      <c r="T4037" s="6"/>
      <c r="U4037" s="6"/>
      <c r="V4037" s="6"/>
      <c r="W4037" s="6"/>
      <c r="X4037" s="6"/>
      <c r="Y4037" s="6"/>
      <c r="Z4037" s="6"/>
    </row>
    <row r="4038" customFormat="false" ht="15" hidden="false" customHeight="false" outlineLevel="0" collapsed="false">
      <c r="A4038" s="9" t="s">
        <v>9881</v>
      </c>
      <c r="B4038" s="9" t="s">
        <v>5870</v>
      </c>
      <c r="C4038" s="9" t="s">
        <v>4301</v>
      </c>
      <c r="D4038" s="9" t="s">
        <v>5871</v>
      </c>
      <c r="E4038" s="9" t="str">
        <f aca="false">IF(AND('Formation Ledger'!A4017&lt;&gt;"",'Formation Ledger'!V4017=0),"PASS","FAIL")</f>
        <v>PASS</v>
      </c>
      <c r="F4038" s="9" t="s">
        <v>76</v>
      </c>
      <c r="G4038" s="6"/>
      <c r="H4038" s="6"/>
      <c r="I4038" s="6"/>
      <c r="J4038" s="6"/>
      <c r="K4038" s="6"/>
      <c r="L4038" s="6"/>
      <c r="M4038" s="6"/>
      <c r="N4038" s="6"/>
      <c r="O4038" s="6"/>
      <c r="P4038" s="6"/>
      <c r="Q4038" s="6"/>
      <c r="R4038" s="6"/>
      <c r="S4038" s="6"/>
      <c r="T4038" s="6"/>
      <c r="U4038" s="6"/>
      <c r="V4038" s="6"/>
      <c r="W4038" s="6"/>
      <c r="X4038" s="6"/>
      <c r="Y4038" s="6"/>
      <c r="Z4038" s="6"/>
    </row>
    <row r="4039" customFormat="false" ht="15" hidden="false" customHeight="false" outlineLevel="0" collapsed="false">
      <c r="A4039" s="9" t="s">
        <v>9882</v>
      </c>
      <c r="B4039" s="9" t="s">
        <v>5870</v>
      </c>
      <c r="C4039" s="9" t="s">
        <v>4302</v>
      </c>
      <c r="D4039" s="9" t="s">
        <v>5871</v>
      </c>
      <c r="E4039" s="9" t="str">
        <f aca="false">IF(AND('Formation Ledger'!A4018&lt;&gt;"",'Formation Ledger'!V4018=0),"PASS","FAIL")</f>
        <v>PASS</v>
      </c>
      <c r="F4039" s="9" t="s">
        <v>76</v>
      </c>
      <c r="G4039" s="6"/>
      <c r="H4039" s="6"/>
      <c r="I4039" s="6"/>
      <c r="J4039" s="6"/>
      <c r="K4039" s="6"/>
      <c r="L4039" s="6"/>
      <c r="M4039" s="6"/>
      <c r="N4039" s="6"/>
      <c r="O4039" s="6"/>
      <c r="P4039" s="6"/>
      <c r="Q4039" s="6"/>
      <c r="R4039" s="6"/>
      <c r="S4039" s="6"/>
      <c r="T4039" s="6"/>
      <c r="U4039" s="6"/>
      <c r="V4039" s="6"/>
      <c r="W4039" s="6"/>
      <c r="X4039" s="6"/>
      <c r="Y4039" s="6"/>
      <c r="Z4039" s="6"/>
    </row>
    <row r="4040" customFormat="false" ht="15" hidden="false" customHeight="false" outlineLevel="0" collapsed="false">
      <c r="A4040" s="9" t="s">
        <v>9883</v>
      </c>
      <c r="B4040" s="9" t="s">
        <v>5870</v>
      </c>
      <c r="C4040" s="9" t="s">
        <v>4303</v>
      </c>
      <c r="D4040" s="9" t="s">
        <v>5871</v>
      </c>
      <c r="E4040" s="9" t="str">
        <f aca="false">IF(AND('Formation Ledger'!A4019&lt;&gt;"",'Formation Ledger'!V4019=0),"PASS","FAIL")</f>
        <v>PASS</v>
      </c>
      <c r="F4040" s="9" t="s">
        <v>76</v>
      </c>
      <c r="G4040" s="6"/>
      <c r="H4040" s="6"/>
      <c r="I4040" s="6"/>
      <c r="J4040" s="6"/>
      <c r="K4040" s="6"/>
      <c r="L4040" s="6"/>
      <c r="M4040" s="6"/>
      <c r="N4040" s="6"/>
      <c r="O4040" s="6"/>
      <c r="P4040" s="6"/>
      <c r="Q4040" s="6"/>
      <c r="R4040" s="6"/>
      <c r="S4040" s="6"/>
      <c r="T4040" s="6"/>
      <c r="U4040" s="6"/>
      <c r="V4040" s="6"/>
      <c r="W4040" s="6"/>
      <c r="X4040" s="6"/>
      <c r="Y4040" s="6"/>
      <c r="Z4040" s="6"/>
    </row>
    <row r="4041" customFormat="false" ht="15" hidden="false" customHeight="false" outlineLevel="0" collapsed="false">
      <c r="A4041" s="9" t="s">
        <v>9884</v>
      </c>
      <c r="B4041" s="9" t="s">
        <v>5870</v>
      </c>
      <c r="C4041" s="9" t="s">
        <v>4304</v>
      </c>
      <c r="D4041" s="9" t="s">
        <v>5871</v>
      </c>
      <c r="E4041" s="9" t="str">
        <f aca="false">IF(AND('Formation Ledger'!A4020&lt;&gt;"",'Formation Ledger'!V4020=0),"PASS","FAIL")</f>
        <v>PASS</v>
      </c>
      <c r="F4041" s="9" t="s">
        <v>76</v>
      </c>
      <c r="G4041" s="6"/>
      <c r="H4041" s="6"/>
      <c r="I4041" s="6"/>
      <c r="J4041" s="6"/>
      <c r="K4041" s="6"/>
      <c r="L4041" s="6"/>
      <c r="M4041" s="6"/>
      <c r="N4041" s="6"/>
      <c r="O4041" s="6"/>
      <c r="P4041" s="6"/>
      <c r="Q4041" s="6"/>
      <c r="R4041" s="6"/>
      <c r="S4041" s="6"/>
      <c r="T4041" s="6"/>
      <c r="U4041" s="6"/>
      <c r="V4041" s="6"/>
      <c r="W4041" s="6"/>
      <c r="X4041" s="6"/>
      <c r="Y4041" s="6"/>
      <c r="Z4041" s="6"/>
    </row>
    <row r="4042" customFormat="false" ht="15" hidden="false" customHeight="false" outlineLevel="0" collapsed="false">
      <c r="A4042" s="9" t="s">
        <v>9885</v>
      </c>
      <c r="B4042" s="9" t="s">
        <v>5870</v>
      </c>
      <c r="C4042" s="9" t="s">
        <v>4305</v>
      </c>
      <c r="D4042" s="9" t="s">
        <v>5871</v>
      </c>
      <c r="E4042" s="9" t="str">
        <f aca="false">IF(AND('Formation Ledger'!A4021&lt;&gt;"",'Formation Ledger'!V4021=0),"PASS","FAIL")</f>
        <v>PASS</v>
      </c>
      <c r="F4042" s="9" t="s">
        <v>76</v>
      </c>
      <c r="G4042" s="6"/>
      <c r="H4042" s="6"/>
      <c r="I4042" s="6"/>
      <c r="J4042" s="6"/>
      <c r="K4042" s="6"/>
      <c r="L4042" s="6"/>
      <c r="M4042" s="6"/>
      <c r="N4042" s="6"/>
      <c r="O4042" s="6"/>
      <c r="P4042" s="6"/>
      <c r="Q4042" s="6"/>
      <c r="R4042" s="6"/>
      <c r="S4042" s="6"/>
      <c r="T4042" s="6"/>
      <c r="U4042" s="6"/>
      <c r="V4042" s="6"/>
      <c r="W4042" s="6"/>
      <c r="X4042" s="6"/>
      <c r="Y4042" s="6"/>
      <c r="Z4042" s="6"/>
    </row>
    <row r="4043" customFormat="false" ht="15" hidden="false" customHeight="false" outlineLevel="0" collapsed="false">
      <c r="A4043" s="9" t="s">
        <v>9886</v>
      </c>
      <c r="B4043" s="9" t="s">
        <v>5870</v>
      </c>
      <c r="C4043" s="9" t="s">
        <v>4306</v>
      </c>
      <c r="D4043" s="9" t="s">
        <v>5871</v>
      </c>
      <c r="E4043" s="9" t="str">
        <f aca="false">IF(AND('Formation Ledger'!A4022&lt;&gt;"",'Formation Ledger'!V4022=0),"PASS","FAIL")</f>
        <v>PASS</v>
      </c>
      <c r="F4043" s="9" t="s">
        <v>76</v>
      </c>
      <c r="G4043" s="6"/>
      <c r="H4043" s="6"/>
      <c r="I4043" s="6"/>
      <c r="J4043" s="6"/>
      <c r="K4043" s="6"/>
      <c r="L4043" s="6"/>
      <c r="M4043" s="6"/>
      <c r="N4043" s="6"/>
      <c r="O4043" s="6"/>
      <c r="P4043" s="6"/>
      <c r="Q4043" s="6"/>
      <c r="R4043" s="6"/>
      <c r="S4043" s="6"/>
      <c r="T4043" s="6"/>
      <c r="U4043" s="6"/>
      <c r="V4043" s="6"/>
      <c r="W4043" s="6"/>
      <c r="X4043" s="6"/>
      <c r="Y4043" s="6"/>
      <c r="Z4043" s="6"/>
    </row>
    <row r="4044" customFormat="false" ht="15" hidden="false" customHeight="false" outlineLevel="0" collapsed="false">
      <c r="A4044" s="9" t="s">
        <v>9887</v>
      </c>
      <c r="B4044" s="9" t="s">
        <v>5870</v>
      </c>
      <c r="C4044" s="9" t="s">
        <v>4307</v>
      </c>
      <c r="D4044" s="9" t="s">
        <v>5871</v>
      </c>
      <c r="E4044" s="9" t="str">
        <f aca="false">IF(AND('Formation Ledger'!A4023&lt;&gt;"",'Formation Ledger'!V4023=0),"PASS","FAIL")</f>
        <v>PASS</v>
      </c>
      <c r="F4044" s="9" t="s">
        <v>76</v>
      </c>
      <c r="G4044" s="6"/>
      <c r="H4044" s="6"/>
      <c r="I4044" s="6"/>
      <c r="J4044" s="6"/>
      <c r="K4044" s="6"/>
      <c r="L4044" s="6"/>
      <c r="M4044" s="6"/>
      <c r="N4044" s="6"/>
      <c r="O4044" s="6"/>
      <c r="P4044" s="6"/>
      <c r="Q4044" s="6"/>
      <c r="R4044" s="6"/>
      <c r="S4044" s="6"/>
      <c r="T4044" s="6"/>
      <c r="U4044" s="6"/>
      <c r="V4044" s="6"/>
      <c r="W4044" s="6"/>
      <c r="X4044" s="6"/>
      <c r="Y4044" s="6"/>
      <c r="Z4044" s="6"/>
    </row>
    <row r="4045" customFormat="false" ht="15" hidden="false" customHeight="false" outlineLevel="0" collapsed="false">
      <c r="A4045" s="9" t="s">
        <v>9888</v>
      </c>
      <c r="B4045" s="9" t="s">
        <v>5870</v>
      </c>
      <c r="C4045" s="9" t="s">
        <v>4308</v>
      </c>
      <c r="D4045" s="9" t="s">
        <v>5871</v>
      </c>
      <c r="E4045" s="9" t="str">
        <f aca="false">IF(AND('Formation Ledger'!A4024&lt;&gt;"",'Formation Ledger'!V4024=0),"PASS","FAIL")</f>
        <v>PASS</v>
      </c>
      <c r="F4045" s="9" t="s">
        <v>76</v>
      </c>
      <c r="G4045" s="6"/>
      <c r="H4045" s="6"/>
      <c r="I4045" s="6"/>
      <c r="J4045" s="6"/>
      <c r="K4045" s="6"/>
      <c r="L4045" s="6"/>
      <c r="M4045" s="6"/>
      <c r="N4045" s="6"/>
      <c r="O4045" s="6"/>
      <c r="P4045" s="6"/>
      <c r="Q4045" s="6"/>
      <c r="R4045" s="6"/>
      <c r="S4045" s="6"/>
      <c r="T4045" s="6"/>
      <c r="U4045" s="6"/>
      <c r="V4045" s="6"/>
      <c r="W4045" s="6"/>
      <c r="X4045" s="6"/>
      <c r="Y4045" s="6"/>
      <c r="Z4045" s="6"/>
    </row>
    <row r="4046" customFormat="false" ht="15" hidden="false" customHeight="false" outlineLevel="0" collapsed="false">
      <c r="A4046" s="9" t="s">
        <v>9889</v>
      </c>
      <c r="B4046" s="9" t="s">
        <v>5870</v>
      </c>
      <c r="C4046" s="9" t="s">
        <v>4309</v>
      </c>
      <c r="D4046" s="9" t="s">
        <v>5871</v>
      </c>
      <c r="E4046" s="9" t="str">
        <f aca="false">IF(AND('Formation Ledger'!A4025&lt;&gt;"",'Formation Ledger'!V4025=0),"PASS","FAIL")</f>
        <v>PASS</v>
      </c>
      <c r="F4046" s="9" t="s">
        <v>76</v>
      </c>
      <c r="G4046" s="6"/>
      <c r="H4046" s="6"/>
      <c r="I4046" s="6"/>
      <c r="J4046" s="6"/>
      <c r="K4046" s="6"/>
      <c r="L4046" s="6"/>
      <c r="M4046" s="6"/>
      <c r="N4046" s="6"/>
      <c r="O4046" s="6"/>
      <c r="P4046" s="6"/>
      <c r="Q4046" s="6"/>
      <c r="R4046" s="6"/>
      <c r="S4046" s="6"/>
      <c r="T4046" s="6"/>
      <c r="U4046" s="6"/>
      <c r="V4046" s="6"/>
      <c r="W4046" s="6"/>
      <c r="X4046" s="6"/>
      <c r="Y4046" s="6"/>
      <c r="Z4046" s="6"/>
    </row>
    <row r="4047" customFormat="false" ht="15" hidden="false" customHeight="false" outlineLevel="0" collapsed="false">
      <c r="A4047" s="9" t="s">
        <v>9890</v>
      </c>
      <c r="B4047" s="9" t="s">
        <v>5870</v>
      </c>
      <c r="C4047" s="9" t="s">
        <v>4310</v>
      </c>
      <c r="D4047" s="9" t="s">
        <v>5871</v>
      </c>
      <c r="E4047" s="9" t="str">
        <f aca="false">IF(AND('Formation Ledger'!A4026&lt;&gt;"",'Formation Ledger'!V4026=0),"PASS","FAIL")</f>
        <v>PASS</v>
      </c>
      <c r="F4047" s="9" t="s">
        <v>76</v>
      </c>
      <c r="G4047" s="6"/>
      <c r="H4047" s="6"/>
      <c r="I4047" s="6"/>
      <c r="J4047" s="6"/>
      <c r="K4047" s="6"/>
      <c r="L4047" s="6"/>
      <c r="M4047" s="6"/>
      <c r="N4047" s="6"/>
      <c r="O4047" s="6"/>
      <c r="P4047" s="6"/>
      <c r="Q4047" s="6"/>
      <c r="R4047" s="6"/>
      <c r="S4047" s="6"/>
      <c r="T4047" s="6"/>
      <c r="U4047" s="6"/>
      <c r="V4047" s="6"/>
      <c r="W4047" s="6"/>
      <c r="X4047" s="6"/>
      <c r="Y4047" s="6"/>
      <c r="Z4047" s="6"/>
    </row>
    <row r="4048" customFormat="false" ht="15" hidden="false" customHeight="false" outlineLevel="0" collapsed="false">
      <c r="A4048" s="9" t="s">
        <v>9891</v>
      </c>
      <c r="B4048" s="9" t="s">
        <v>5870</v>
      </c>
      <c r="C4048" s="9" t="s">
        <v>4311</v>
      </c>
      <c r="D4048" s="9" t="s">
        <v>5871</v>
      </c>
      <c r="E4048" s="9" t="str">
        <f aca="false">IF(AND('Formation Ledger'!A4027&lt;&gt;"",'Formation Ledger'!V4027=0),"PASS","FAIL")</f>
        <v>PASS</v>
      </c>
      <c r="F4048" s="9" t="s">
        <v>76</v>
      </c>
      <c r="G4048" s="6"/>
      <c r="H4048" s="6"/>
      <c r="I4048" s="6"/>
      <c r="J4048" s="6"/>
      <c r="K4048" s="6"/>
      <c r="L4048" s="6"/>
      <c r="M4048" s="6"/>
      <c r="N4048" s="6"/>
      <c r="O4048" s="6"/>
      <c r="P4048" s="6"/>
      <c r="Q4048" s="6"/>
      <c r="R4048" s="6"/>
      <c r="S4048" s="6"/>
      <c r="T4048" s="6"/>
      <c r="U4048" s="6"/>
      <c r="V4048" s="6"/>
      <c r="W4048" s="6"/>
      <c r="X4048" s="6"/>
      <c r="Y4048" s="6"/>
      <c r="Z4048" s="6"/>
    </row>
    <row r="4049" customFormat="false" ht="15" hidden="false" customHeight="false" outlineLevel="0" collapsed="false">
      <c r="A4049" s="9" t="s">
        <v>9892</v>
      </c>
      <c r="B4049" s="9" t="s">
        <v>5870</v>
      </c>
      <c r="C4049" s="9" t="s">
        <v>4312</v>
      </c>
      <c r="D4049" s="9" t="s">
        <v>5871</v>
      </c>
      <c r="E4049" s="9" t="str">
        <f aca="false">IF(AND('Formation Ledger'!A4028&lt;&gt;"",'Formation Ledger'!V4028=0),"PASS","FAIL")</f>
        <v>PASS</v>
      </c>
      <c r="F4049" s="9" t="s">
        <v>76</v>
      </c>
      <c r="G4049" s="6"/>
      <c r="H4049" s="6"/>
      <c r="I4049" s="6"/>
      <c r="J4049" s="6"/>
      <c r="K4049" s="6"/>
      <c r="L4049" s="6"/>
      <c r="M4049" s="6"/>
      <c r="N4049" s="6"/>
      <c r="O4049" s="6"/>
      <c r="P4049" s="6"/>
      <c r="Q4049" s="6"/>
      <c r="R4049" s="6"/>
      <c r="S4049" s="6"/>
      <c r="T4049" s="6"/>
      <c r="U4049" s="6"/>
      <c r="V4049" s="6"/>
      <c r="W4049" s="6"/>
      <c r="X4049" s="6"/>
      <c r="Y4049" s="6"/>
      <c r="Z4049" s="6"/>
    </row>
    <row r="4050" customFormat="false" ht="15" hidden="false" customHeight="false" outlineLevel="0" collapsed="false">
      <c r="A4050" s="9" t="s">
        <v>9893</v>
      </c>
      <c r="B4050" s="9" t="s">
        <v>5870</v>
      </c>
      <c r="C4050" s="9" t="s">
        <v>4313</v>
      </c>
      <c r="D4050" s="9" t="s">
        <v>5871</v>
      </c>
      <c r="E4050" s="9" t="str">
        <f aca="false">IF(AND('Formation Ledger'!A4029&lt;&gt;"",'Formation Ledger'!V4029=0),"PASS","FAIL")</f>
        <v>PASS</v>
      </c>
      <c r="F4050" s="9" t="s">
        <v>76</v>
      </c>
      <c r="G4050" s="6"/>
      <c r="H4050" s="6"/>
      <c r="I4050" s="6"/>
      <c r="J4050" s="6"/>
      <c r="K4050" s="6"/>
      <c r="L4050" s="6"/>
      <c r="M4050" s="6"/>
      <c r="N4050" s="6"/>
      <c r="O4050" s="6"/>
      <c r="P4050" s="6"/>
      <c r="Q4050" s="6"/>
      <c r="R4050" s="6"/>
      <c r="S4050" s="6"/>
      <c r="T4050" s="6"/>
      <c r="U4050" s="6"/>
      <c r="V4050" s="6"/>
      <c r="W4050" s="6"/>
      <c r="X4050" s="6"/>
      <c r="Y4050" s="6"/>
      <c r="Z4050" s="6"/>
    </row>
    <row r="4051" customFormat="false" ht="15" hidden="false" customHeight="false" outlineLevel="0" collapsed="false">
      <c r="A4051" s="9" t="s">
        <v>9894</v>
      </c>
      <c r="B4051" s="9" t="s">
        <v>5870</v>
      </c>
      <c r="C4051" s="9" t="s">
        <v>4314</v>
      </c>
      <c r="D4051" s="9" t="s">
        <v>5871</v>
      </c>
      <c r="E4051" s="9" t="str">
        <f aca="false">IF(AND('Formation Ledger'!A4030&lt;&gt;"",'Formation Ledger'!V4030=0),"PASS","FAIL")</f>
        <v>PASS</v>
      </c>
      <c r="F4051" s="9" t="s">
        <v>76</v>
      </c>
      <c r="G4051" s="6"/>
      <c r="H4051" s="6"/>
      <c r="I4051" s="6"/>
      <c r="J4051" s="6"/>
      <c r="K4051" s="6"/>
      <c r="L4051" s="6"/>
      <c r="M4051" s="6"/>
      <c r="N4051" s="6"/>
      <c r="O4051" s="6"/>
      <c r="P4051" s="6"/>
      <c r="Q4051" s="6"/>
      <c r="R4051" s="6"/>
      <c r="S4051" s="6"/>
      <c r="T4051" s="6"/>
      <c r="U4051" s="6"/>
      <c r="V4051" s="6"/>
      <c r="W4051" s="6"/>
      <c r="X4051" s="6"/>
      <c r="Y4051" s="6"/>
      <c r="Z4051" s="6"/>
    </row>
    <row r="4052" customFormat="false" ht="15" hidden="false" customHeight="false" outlineLevel="0" collapsed="false">
      <c r="A4052" s="9" t="s">
        <v>9895</v>
      </c>
      <c r="B4052" s="9" t="s">
        <v>5870</v>
      </c>
      <c r="C4052" s="9" t="s">
        <v>4315</v>
      </c>
      <c r="D4052" s="9" t="s">
        <v>5871</v>
      </c>
      <c r="E4052" s="9" t="str">
        <f aca="false">IF(AND('Formation Ledger'!A4031&lt;&gt;"",'Formation Ledger'!V4031=0),"PASS","FAIL")</f>
        <v>PASS</v>
      </c>
      <c r="F4052" s="9" t="s">
        <v>76</v>
      </c>
      <c r="G4052" s="6"/>
      <c r="H4052" s="6"/>
      <c r="I4052" s="6"/>
      <c r="J4052" s="6"/>
      <c r="K4052" s="6"/>
      <c r="L4052" s="6"/>
      <c r="M4052" s="6"/>
      <c r="N4052" s="6"/>
      <c r="O4052" s="6"/>
      <c r="P4052" s="6"/>
      <c r="Q4052" s="6"/>
      <c r="R4052" s="6"/>
      <c r="S4052" s="6"/>
      <c r="T4052" s="6"/>
      <c r="U4052" s="6"/>
      <c r="V4052" s="6"/>
      <c r="W4052" s="6"/>
      <c r="X4052" s="6"/>
      <c r="Y4052" s="6"/>
      <c r="Z4052" s="6"/>
    </row>
    <row r="4053" customFormat="false" ht="15" hidden="false" customHeight="false" outlineLevel="0" collapsed="false">
      <c r="A4053" s="9" t="s">
        <v>9896</v>
      </c>
      <c r="B4053" s="9" t="s">
        <v>5870</v>
      </c>
      <c r="C4053" s="9" t="s">
        <v>4316</v>
      </c>
      <c r="D4053" s="9" t="s">
        <v>5871</v>
      </c>
      <c r="E4053" s="9" t="str">
        <f aca="false">IF(AND('Formation Ledger'!A4032&lt;&gt;"",'Formation Ledger'!V4032=0),"PASS","FAIL")</f>
        <v>PASS</v>
      </c>
      <c r="F4053" s="9" t="s">
        <v>76</v>
      </c>
      <c r="G4053" s="6"/>
      <c r="H4053" s="6"/>
      <c r="I4053" s="6"/>
      <c r="J4053" s="6"/>
      <c r="K4053" s="6"/>
      <c r="L4053" s="6"/>
      <c r="M4053" s="6"/>
      <c r="N4053" s="6"/>
      <c r="O4053" s="6"/>
      <c r="P4053" s="6"/>
      <c r="Q4053" s="6"/>
      <c r="R4053" s="6"/>
      <c r="S4053" s="6"/>
      <c r="T4053" s="6"/>
      <c r="U4053" s="6"/>
      <c r="V4053" s="6"/>
      <c r="W4053" s="6"/>
      <c r="X4053" s="6"/>
      <c r="Y4053" s="6"/>
      <c r="Z4053" s="6"/>
    </row>
    <row r="4054" customFormat="false" ht="15" hidden="false" customHeight="false" outlineLevel="0" collapsed="false">
      <c r="A4054" s="9" t="s">
        <v>9897</v>
      </c>
      <c r="B4054" s="9" t="s">
        <v>5870</v>
      </c>
      <c r="C4054" s="9" t="s">
        <v>4317</v>
      </c>
      <c r="D4054" s="9" t="s">
        <v>5871</v>
      </c>
      <c r="E4054" s="9" t="str">
        <f aca="false">IF(AND('Formation Ledger'!A4033&lt;&gt;"",'Formation Ledger'!V4033=0),"PASS","FAIL")</f>
        <v>PASS</v>
      </c>
      <c r="F4054" s="9" t="s">
        <v>76</v>
      </c>
      <c r="G4054" s="6"/>
      <c r="H4054" s="6"/>
      <c r="I4054" s="6"/>
      <c r="J4054" s="6"/>
      <c r="K4054" s="6"/>
      <c r="L4054" s="6"/>
      <c r="M4054" s="6"/>
      <c r="N4054" s="6"/>
      <c r="O4054" s="6"/>
      <c r="P4054" s="6"/>
      <c r="Q4054" s="6"/>
      <c r="R4054" s="6"/>
      <c r="S4054" s="6"/>
      <c r="T4054" s="6"/>
      <c r="U4054" s="6"/>
      <c r="V4054" s="6"/>
      <c r="W4054" s="6"/>
      <c r="X4054" s="6"/>
      <c r="Y4054" s="6"/>
      <c r="Z4054" s="6"/>
    </row>
    <row r="4055" customFormat="false" ht="15" hidden="false" customHeight="false" outlineLevel="0" collapsed="false">
      <c r="A4055" s="9" t="s">
        <v>9898</v>
      </c>
      <c r="B4055" s="9" t="s">
        <v>5870</v>
      </c>
      <c r="C4055" s="9" t="s">
        <v>4318</v>
      </c>
      <c r="D4055" s="9" t="s">
        <v>5871</v>
      </c>
      <c r="E4055" s="9" t="str">
        <f aca="false">IF(AND('Formation Ledger'!A4034&lt;&gt;"",'Formation Ledger'!V4034=0),"PASS","FAIL")</f>
        <v>PASS</v>
      </c>
      <c r="F4055" s="9" t="s">
        <v>76</v>
      </c>
      <c r="G4055" s="6"/>
      <c r="H4055" s="6"/>
      <c r="I4055" s="6"/>
      <c r="J4055" s="6"/>
      <c r="K4055" s="6"/>
      <c r="L4055" s="6"/>
      <c r="M4055" s="6"/>
      <c r="N4055" s="6"/>
      <c r="O4055" s="6"/>
      <c r="P4055" s="6"/>
      <c r="Q4055" s="6"/>
      <c r="R4055" s="6"/>
      <c r="S4055" s="6"/>
      <c r="T4055" s="6"/>
      <c r="U4055" s="6"/>
      <c r="V4055" s="6"/>
      <c r="W4055" s="6"/>
      <c r="X4055" s="6"/>
      <c r="Y4055" s="6"/>
      <c r="Z4055" s="6"/>
    </row>
    <row r="4056" customFormat="false" ht="15" hidden="false" customHeight="false" outlineLevel="0" collapsed="false">
      <c r="A4056" s="9" t="s">
        <v>9899</v>
      </c>
      <c r="B4056" s="9" t="s">
        <v>5870</v>
      </c>
      <c r="C4056" s="9" t="s">
        <v>4319</v>
      </c>
      <c r="D4056" s="9" t="s">
        <v>5871</v>
      </c>
      <c r="E4056" s="9" t="str">
        <f aca="false">IF(AND('Formation Ledger'!A4035&lt;&gt;"",'Formation Ledger'!V4035=0),"PASS","FAIL")</f>
        <v>PASS</v>
      </c>
      <c r="F4056" s="9" t="s">
        <v>76</v>
      </c>
      <c r="G4056" s="6"/>
      <c r="H4056" s="6"/>
      <c r="I4056" s="6"/>
      <c r="J4056" s="6"/>
      <c r="K4056" s="6"/>
      <c r="L4056" s="6"/>
      <c r="M4056" s="6"/>
      <c r="N4056" s="6"/>
      <c r="O4056" s="6"/>
      <c r="P4056" s="6"/>
      <c r="Q4056" s="6"/>
      <c r="R4056" s="6"/>
      <c r="S4056" s="6"/>
      <c r="T4056" s="6"/>
      <c r="U4056" s="6"/>
      <c r="V4056" s="6"/>
      <c r="W4056" s="6"/>
      <c r="X4056" s="6"/>
      <c r="Y4056" s="6"/>
      <c r="Z4056" s="6"/>
    </row>
    <row r="4057" customFormat="false" ht="15" hidden="false" customHeight="false" outlineLevel="0" collapsed="false">
      <c r="A4057" s="9" t="s">
        <v>9900</v>
      </c>
      <c r="B4057" s="9" t="s">
        <v>5870</v>
      </c>
      <c r="C4057" s="9" t="s">
        <v>4320</v>
      </c>
      <c r="D4057" s="9" t="s">
        <v>5871</v>
      </c>
      <c r="E4057" s="9" t="str">
        <f aca="false">IF(AND('Formation Ledger'!A4036&lt;&gt;"",'Formation Ledger'!V4036=0),"PASS","FAIL")</f>
        <v>PASS</v>
      </c>
      <c r="F4057" s="9" t="s">
        <v>76</v>
      </c>
      <c r="G4057" s="6"/>
      <c r="H4057" s="6"/>
      <c r="I4057" s="6"/>
      <c r="J4057" s="6"/>
      <c r="K4057" s="6"/>
      <c r="L4057" s="6"/>
      <c r="M4057" s="6"/>
      <c r="N4057" s="6"/>
      <c r="O4057" s="6"/>
      <c r="P4057" s="6"/>
      <c r="Q4057" s="6"/>
      <c r="R4057" s="6"/>
      <c r="S4057" s="6"/>
      <c r="T4057" s="6"/>
      <c r="U4057" s="6"/>
      <c r="V4057" s="6"/>
      <c r="W4057" s="6"/>
      <c r="X4057" s="6"/>
      <c r="Y4057" s="6"/>
      <c r="Z4057" s="6"/>
    </row>
    <row r="4058" customFormat="false" ht="15" hidden="false" customHeight="false" outlineLevel="0" collapsed="false">
      <c r="A4058" s="9" t="s">
        <v>9901</v>
      </c>
      <c r="B4058" s="9" t="s">
        <v>5870</v>
      </c>
      <c r="C4058" s="9" t="s">
        <v>4321</v>
      </c>
      <c r="D4058" s="9" t="s">
        <v>5871</v>
      </c>
      <c r="E4058" s="9" t="str">
        <f aca="false">IF(AND('Formation Ledger'!A4037&lt;&gt;"",'Formation Ledger'!V4037=0),"PASS","FAIL")</f>
        <v>PASS</v>
      </c>
      <c r="F4058" s="9" t="s">
        <v>76</v>
      </c>
      <c r="G4058" s="6"/>
      <c r="H4058" s="6"/>
      <c r="I4058" s="6"/>
      <c r="J4058" s="6"/>
      <c r="K4058" s="6"/>
      <c r="L4058" s="6"/>
      <c r="M4058" s="6"/>
      <c r="N4058" s="6"/>
      <c r="O4058" s="6"/>
      <c r="P4058" s="6"/>
      <c r="Q4058" s="6"/>
      <c r="R4058" s="6"/>
      <c r="S4058" s="6"/>
      <c r="T4058" s="6"/>
      <c r="U4058" s="6"/>
      <c r="V4058" s="6"/>
      <c r="W4058" s="6"/>
      <c r="X4058" s="6"/>
      <c r="Y4058" s="6"/>
      <c r="Z4058" s="6"/>
    </row>
    <row r="4059" customFormat="false" ht="15" hidden="false" customHeight="false" outlineLevel="0" collapsed="false">
      <c r="A4059" s="9" t="s">
        <v>9902</v>
      </c>
      <c r="B4059" s="9" t="s">
        <v>5870</v>
      </c>
      <c r="C4059" s="9" t="s">
        <v>4322</v>
      </c>
      <c r="D4059" s="9" t="s">
        <v>5871</v>
      </c>
      <c r="E4059" s="9" t="str">
        <f aca="false">IF(AND('Formation Ledger'!A4038&lt;&gt;"",'Formation Ledger'!V4038=0),"PASS","FAIL")</f>
        <v>PASS</v>
      </c>
      <c r="F4059" s="9" t="s">
        <v>76</v>
      </c>
      <c r="G4059" s="6"/>
      <c r="H4059" s="6"/>
      <c r="I4059" s="6"/>
      <c r="J4059" s="6"/>
      <c r="K4059" s="6"/>
      <c r="L4059" s="6"/>
      <c r="M4059" s="6"/>
      <c r="N4059" s="6"/>
      <c r="O4059" s="6"/>
      <c r="P4059" s="6"/>
      <c r="Q4059" s="6"/>
      <c r="R4059" s="6"/>
      <c r="S4059" s="6"/>
      <c r="T4059" s="6"/>
      <c r="U4059" s="6"/>
      <c r="V4059" s="6"/>
      <c r="W4059" s="6"/>
      <c r="X4059" s="6"/>
      <c r="Y4059" s="6"/>
      <c r="Z4059" s="6"/>
    </row>
    <row r="4060" customFormat="false" ht="15" hidden="false" customHeight="false" outlineLevel="0" collapsed="false">
      <c r="A4060" s="9" t="s">
        <v>9903</v>
      </c>
      <c r="B4060" s="9" t="s">
        <v>5870</v>
      </c>
      <c r="C4060" s="9" t="s">
        <v>4325</v>
      </c>
      <c r="D4060" s="9" t="s">
        <v>5871</v>
      </c>
      <c r="E4060" s="9" t="str">
        <f aca="false">IF(AND('Formation Ledger'!A4039&lt;&gt;"",'Formation Ledger'!V4039=0),"PASS","FAIL")</f>
        <v>PASS</v>
      </c>
      <c r="F4060" s="9" t="s">
        <v>76</v>
      </c>
      <c r="G4060" s="6"/>
      <c r="H4060" s="6"/>
      <c r="I4060" s="6"/>
      <c r="J4060" s="6"/>
      <c r="K4060" s="6"/>
      <c r="L4060" s="6"/>
      <c r="M4060" s="6"/>
      <c r="N4060" s="6"/>
      <c r="O4060" s="6"/>
      <c r="P4060" s="6"/>
      <c r="Q4060" s="6"/>
      <c r="R4060" s="6"/>
      <c r="S4060" s="6"/>
      <c r="T4060" s="6"/>
      <c r="U4060" s="6"/>
      <c r="V4060" s="6"/>
      <c r="W4060" s="6"/>
      <c r="X4060" s="6"/>
      <c r="Y4060" s="6"/>
      <c r="Z4060" s="6"/>
    </row>
    <row r="4061" customFormat="false" ht="15" hidden="false" customHeight="false" outlineLevel="0" collapsed="false">
      <c r="A4061" s="9" t="s">
        <v>9904</v>
      </c>
      <c r="B4061" s="9" t="s">
        <v>5870</v>
      </c>
      <c r="C4061" s="9" t="s">
        <v>4326</v>
      </c>
      <c r="D4061" s="9" t="s">
        <v>5871</v>
      </c>
      <c r="E4061" s="9" t="str">
        <f aca="false">IF(AND('Formation Ledger'!A4040&lt;&gt;"",'Formation Ledger'!V4040=0),"PASS","FAIL")</f>
        <v>PASS</v>
      </c>
      <c r="F4061" s="9" t="s">
        <v>76</v>
      </c>
      <c r="G4061" s="6"/>
      <c r="H4061" s="6"/>
      <c r="I4061" s="6"/>
      <c r="J4061" s="6"/>
      <c r="K4061" s="6"/>
      <c r="L4061" s="6"/>
      <c r="M4061" s="6"/>
      <c r="N4061" s="6"/>
      <c r="O4061" s="6"/>
      <c r="P4061" s="6"/>
      <c r="Q4061" s="6"/>
      <c r="R4061" s="6"/>
      <c r="S4061" s="6"/>
      <c r="T4061" s="6"/>
      <c r="U4061" s="6"/>
      <c r="V4061" s="6"/>
      <c r="W4061" s="6"/>
      <c r="X4061" s="6"/>
      <c r="Y4061" s="6"/>
      <c r="Z4061" s="6"/>
    </row>
    <row r="4062" customFormat="false" ht="15" hidden="false" customHeight="false" outlineLevel="0" collapsed="false">
      <c r="A4062" s="9" t="s">
        <v>9905</v>
      </c>
      <c r="B4062" s="9" t="s">
        <v>5870</v>
      </c>
      <c r="C4062" s="9" t="s">
        <v>4327</v>
      </c>
      <c r="D4062" s="9" t="s">
        <v>5871</v>
      </c>
      <c r="E4062" s="9" t="str">
        <f aca="false">IF(AND('Formation Ledger'!A4041&lt;&gt;"",'Formation Ledger'!V4041=0),"PASS","FAIL")</f>
        <v>PASS</v>
      </c>
      <c r="F4062" s="9" t="s">
        <v>76</v>
      </c>
      <c r="G4062" s="6"/>
      <c r="H4062" s="6"/>
      <c r="I4062" s="6"/>
      <c r="J4062" s="6"/>
      <c r="K4062" s="6"/>
      <c r="L4062" s="6"/>
      <c r="M4062" s="6"/>
      <c r="N4062" s="6"/>
      <c r="O4062" s="6"/>
      <c r="P4062" s="6"/>
      <c r="Q4062" s="6"/>
      <c r="R4062" s="6"/>
      <c r="S4062" s="6"/>
      <c r="T4062" s="6"/>
      <c r="U4062" s="6"/>
      <c r="V4062" s="6"/>
      <c r="W4062" s="6"/>
      <c r="X4062" s="6"/>
      <c r="Y4062" s="6"/>
      <c r="Z4062" s="6"/>
    </row>
    <row r="4063" customFormat="false" ht="15" hidden="false" customHeight="false" outlineLevel="0" collapsed="false">
      <c r="A4063" s="9" t="s">
        <v>9906</v>
      </c>
      <c r="B4063" s="9" t="s">
        <v>5870</v>
      </c>
      <c r="C4063" s="9" t="s">
        <v>4328</v>
      </c>
      <c r="D4063" s="9" t="s">
        <v>5871</v>
      </c>
      <c r="E4063" s="9" t="str">
        <f aca="false">IF(AND('Formation Ledger'!A4042&lt;&gt;"",'Formation Ledger'!V4042=0),"PASS","FAIL")</f>
        <v>PASS</v>
      </c>
      <c r="F4063" s="9" t="s">
        <v>76</v>
      </c>
      <c r="G4063" s="6"/>
      <c r="H4063" s="6"/>
      <c r="I4063" s="6"/>
      <c r="J4063" s="6"/>
      <c r="K4063" s="6"/>
      <c r="L4063" s="6"/>
      <c r="M4063" s="6"/>
      <c r="N4063" s="6"/>
      <c r="O4063" s="6"/>
      <c r="P4063" s="6"/>
      <c r="Q4063" s="6"/>
      <c r="R4063" s="6"/>
      <c r="S4063" s="6"/>
      <c r="T4063" s="6"/>
      <c r="U4063" s="6"/>
      <c r="V4063" s="6"/>
      <c r="W4063" s="6"/>
      <c r="X4063" s="6"/>
      <c r="Y4063" s="6"/>
      <c r="Z4063" s="6"/>
    </row>
    <row r="4064" customFormat="false" ht="15" hidden="false" customHeight="false" outlineLevel="0" collapsed="false">
      <c r="A4064" s="9" t="s">
        <v>9907</v>
      </c>
      <c r="B4064" s="9" t="s">
        <v>5870</v>
      </c>
      <c r="C4064" s="9" t="s">
        <v>4329</v>
      </c>
      <c r="D4064" s="9" t="s">
        <v>5871</v>
      </c>
      <c r="E4064" s="9" t="str">
        <f aca="false">IF(AND('Formation Ledger'!A4043&lt;&gt;"",'Formation Ledger'!V4043=0),"PASS","FAIL")</f>
        <v>PASS</v>
      </c>
      <c r="F4064" s="9" t="s">
        <v>76</v>
      </c>
      <c r="G4064" s="6"/>
      <c r="H4064" s="6"/>
      <c r="I4064" s="6"/>
      <c r="J4064" s="6"/>
      <c r="K4064" s="6"/>
      <c r="L4064" s="6"/>
      <c r="M4064" s="6"/>
      <c r="N4064" s="6"/>
      <c r="O4064" s="6"/>
      <c r="P4064" s="6"/>
      <c r="Q4064" s="6"/>
      <c r="R4064" s="6"/>
      <c r="S4064" s="6"/>
      <c r="T4064" s="6"/>
      <c r="U4064" s="6"/>
      <c r="V4064" s="6"/>
      <c r="W4064" s="6"/>
      <c r="X4064" s="6"/>
      <c r="Y4064" s="6"/>
      <c r="Z4064" s="6"/>
    </row>
    <row r="4065" customFormat="false" ht="15" hidden="false" customHeight="false" outlineLevel="0" collapsed="false">
      <c r="A4065" s="9" t="s">
        <v>9908</v>
      </c>
      <c r="B4065" s="9" t="s">
        <v>5870</v>
      </c>
      <c r="C4065" s="9" t="s">
        <v>4330</v>
      </c>
      <c r="D4065" s="9" t="s">
        <v>5871</v>
      </c>
      <c r="E4065" s="9" t="str">
        <f aca="false">IF(AND('Formation Ledger'!A4044&lt;&gt;"",'Formation Ledger'!V4044=0),"PASS","FAIL")</f>
        <v>PASS</v>
      </c>
      <c r="F4065" s="9" t="s">
        <v>76</v>
      </c>
      <c r="G4065" s="6"/>
      <c r="H4065" s="6"/>
      <c r="I4065" s="6"/>
      <c r="J4065" s="6"/>
      <c r="K4065" s="6"/>
      <c r="L4065" s="6"/>
      <c r="M4065" s="6"/>
      <c r="N4065" s="6"/>
      <c r="O4065" s="6"/>
      <c r="P4065" s="6"/>
      <c r="Q4065" s="6"/>
      <c r="R4065" s="6"/>
      <c r="S4065" s="6"/>
      <c r="T4065" s="6"/>
      <c r="U4065" s="6"/>
      <c r="V4065" s="6"/>
      <c r="W4065" s="6"/>
      <c r="X4065" s="6"/>
      <c r="Y4065" s="6"/>
      <c r="Z4065" s="6"/>
    </row>
    <row r="4066" customFormat="false" ht="15" hidden="false" customHeight="false" outlineLevel="0" collapsed="false">
      <c r="A4066" s="9" t="s">
        <v>9909</v>
      </c>
      <c r="B4066" s="9" t="s">
        <v>5870</v>
      </c>
      <c r="C4066" s="9" t="s">
        <v>4331</v>
      </c>
      <c r="D4066" s="9" t="s">
        <v>5871</v>
      </c>
      <c r="E4066" s="9" t="str">
        <f aca="false">IF(AND('Formation Ledger'!A4045&lt;&gt;"",'Formation Ledger'!V4045=0),"PASS","FAIL")</f>
        <v>PASS</v>
      </c>
      <c r="F4066" s="9" t="s">
        <v>76</v>
      </c>
      <c r="G4066" s="6"/>
      <c r="H4066" s="6"/>
      <c r="I4066" s="6"/>
      <c r="J4066" s="6"/>
      <c r="K4066" s="6"/>
      <c r="L4066" s="6"/>
      <c r="M4066" s="6"/>
      <c r="N4066" s="6"/>
      <c r="O4066" s="6"/>
      <c r="P4066" s="6"/>
      <c r="Q4066" s="6"/>
      <c r="R4066" s="6"/>
      <c r="S4066" s="6"/>
      <c r="T4066" s="6"/>
      <c r="U4066" s="6"/>
      <c r="V4066" s="6"/>
      <c r="W4066" s="6"/>
      <c r="X4066" s="6"/>
      <c r="Y4066" s="6"/>
      <c r="Z4066" s="6"/>
    </row>
    <row r="4067" customFormat="false" ht="15" hidden="false" customHeight="false" outlineLevel="0" collapsed="false">
      <c r="A4067" s="9" t="s">
        <v>9910</v>
      </c>
      <c r="B4067" s="9" t="s">
        <v>5870</v>
      </c>
      <c r="C4067" s="9" t="s">
        <v>4332</v>
      </c>
      <c r="D4067" s="9" t="s">
        <v>5871</v>
      </c>
      <c r="E4067" s="9" t="str">
        <f aca="false">IF(AND('Formation Ledger'!A4046&lt;&gt;"",'Formation Ledger'!V4046=0),"PASS","FAIL")</f>
        <v>PASS</v>
      </c>
      <c r="F4067" s="9" t="s">
        <v>76</v>
      </c>
      <c r="G4067" s="6"/>
      <c r="H4067" s="6"/>
      <c r="I4067" s="6"/>
      <c r="J4067" s="6"/>
      <c r="K4067" s="6"/>
      <c r="L4067" s="6"/>
      <c r="M4067" s="6"/>
      <c r="N4067" s="6"/>
      <c r="O4067" s="6"/>
      <c r="P4067" s="6"/>
      <c r="Q4067" s="6"/>
      <c r="R4067" s="6"/>
      <c r="S4067" s="6"/>
      <c r="T4067" s="6"/>
      <c r="U4067" s="6"/>
      <c r="V4067" s="6"/>
      <c r="W4067" s="6"/>
      <c r="X4067" s="6"/>
      <c r="Y4067" s="6"/>
      <c r="Z4067" s="6"/>
    </row>
    <row r="4068" customFormat="false" ht="15" hidden="false" customHeight="false" outlineLevel="0" collapsed="false">
      <c r="A4068" s="9" t="s">
        <v>9911</v>
      </c>
      <c r="B4068" s="9" t="s">
        <v>5870</v>
      </c>
      <c r="C4068" s="9" t="s">
        <v>4333</v>
      </c>
      <c r="D4068" s="9" t="s">
        <v>5871</v>
      </c>
      <c r="E4068" s="9" t="str">
        <f aca="false">IF(AND('Formation Ledger'!A4047&lt;&gt;"",'Formation Ledger'!V4047=0),"PASS","FAIL")</f>
        <v>PASS</v>
      </c>
      <c r="F4068" s="9" t="s">
        <v>76</v>
      </c>
      <c r="G4068" s="6"/>
      <c r="H4068" s="6"/>
      <c r="I4068" s="6"/>
      <c r="J4068" s="6"/>
      <c r="K4068" s="6"/>
      <c r="L4068" s="6"/>
      <c r="M4068" s="6"/>
      <c r="N4068" s="6"/>
      <c r="O4068" s="6"/>
      <c r="P4068" s="6"/>
      <c r="Q4068" s="6"/>
      <c r="R4068" s="6"/>
      <c r="S4068" s="6"/>
      <c r="T4068" s="6"/>
      <c r="U4068" s="6"/>
      <c r="V4068" s="6"/>
      <c r="W4068" s="6"/>
      <c r="X4068" s="6"/>
      <c r="Y4068" s="6"/>
      <c r="Z4068" s="6"/>
    </row>
    <row r="4069" customFormat="false" ht="15" hidden="false" customHeight="false" outlineLevel="0" collapsed="false">
      <c r="A4069" s="9" t="s">
        <v>9912</v>
      </c>
      <c r="B4069" s="9" t="s">
        <v>5870</v>
      </c>
      <c r="C4069" s="9" t="s">
        <v>4334</v>
      </c>
      <c r="D4069" s="9" t="s">
        <v>5871</v>
      </c>
      <c r="E4069" s="9" t="str">
        <f aca="false">IF(AND('Formation Ledger'!A4048&lt;&gt;"",'Formation Ledger'!V4048=0),"PASS","FAIL")</f>
        <v>PASS</v>
      </c>
      <c r="F4069" s="9" t="s">
        <v>76</v>
      </c>
      <c r="G4069" s="6"/>
      <c r="H4069" s="6"/>
      <c r="I4069" s="6"/>
      <c r="J4069" s="6"/>
      <c r="K4069" s="6"/>
      <c r="L4069" s="6"/>
      <c r="M4069" s="6"/>
      <c r="N4069" s="6"/>
      <c r="O4069" s="6"/>
      <c r="P4069" s="6"/>
      <c r="Q4069" s="6"/>
      <c r="R4069" s="6"/>
      <c r="S4069" s="6"/>
      <c r="T4069" s="6"/>
      <c r="U4069" s="6"/>
      <c r="V4069" s="6"/>
      <c r="W4069" s="6"/>
      <c r="X4069" s="6"/>
      <c r="Y4069" s="6"/>
      <c r="Z4069" s="6"/>
    </row>
    <row r="4070" customFormat="false" ht="15" hidden="false" customHeight="false" outlineLevel="0" collapsed="false">
      <c r="A4070" s="9" t="s">
        <v>9913</v>
      </c>
      <c r="B4070" s="9" t="s">
        <v>5870</v>
      </c>
      <c r="C4070" s="9" t="s">
        <v>4335</v>
      </c>
      <c r="D4070" s="9" t="s">
        <v>5871</v>
      </c>
      <c r="E4070" s="9" t="str">
        <f aca="false">IF(AND('Formation Ledger'!A4049&lt;&gt;"",'Formation Ledger'!V4049=0),"PASS","FAIL")</f>
        <v>PASS</v>
      </c>
      <c r="F4070" s="9" t="s">
        <v>76</v>
      </c>
      <c r="G4070" s="6"/>
      <c r="H4070" s="6"/>
      <c r="I4070" s="6"/>
      <c r="J4070" s="6"/>
      <c r="K4070" s="6"/>
      <c r="L4070" s="6"/>
      <c r="M4070" s="6"/>
      <c r="N4070" s="6"/>
      <c r="O4070" s="6"/>
      <c r="P4070" s="6"/>
      <c r="Q4070" s="6"/>
      <c r="R4070" s="6"/>
      <c r="S4070" s="6"/>
      <c r="T4070" s="6"/>
      <c r="U4070" s="6"/>
      <c r="V4070" s="6"/>
      <c r="W4070" s="6"/>
      <c r="X4070" s="6"/>
      <c r="Y4070" s="6"/>
      <c r="Z4070" s="6"/>
    </row>
    <row r="4071" customFormat="false" ht="15" hidden="false" customHeight="false" outlineLevel="0" collapsed="false">
      <c r="A4071" s="9" t="s">
        <v>9914</v>
      </c>
      <c r="B4071" s="9" t="s">
        <v>5870</v>
      </c>
      <c r="C4071" s="9" t="s">
        <v>4336</v>
      </c>
      <c r="D4071" s="9" t="s">
        <v>5871</v>
      </c>
      <c r="E4071" s="9" t="str">
        <f aca="false">IF(AND('Formation Ledger'!A4050&lt;&gt;"",'Formation Ledger'!V4050=0),"PASS","FAIL")</f>
        <v>PASS</v>
      </c>
      <c r="F4071" s="9" t="s">
        <v>76</v>
      </c>
      <c r="G4071" s="6"/>
      <c r="H4071" s="6"/>
      <c r="I4071" s="6"/>
      <c r="J4071" s="6"/>
      <c r="K4071" s="6"/>
      <c r="L4071" s="6"/>
      <c r="M4071" s="6"/>
      <c r="N4071" s="6"/>
      <c r="O4071" s="6"/>
      <c r="P4071" s="6"/>
      <c r="Q4071" s="6"/>
      <c r="R4071" s="6"/>
      <c r="S4071" s="6"/>
      <c r="T4071" s="6"/>
      <c r="U4071" s="6"/>
      <c r="V4071" s="6"/>
      <c r="W4071" s="6"/>
      <c r="X4071" s="6"/>
      <c r="Y4071" s="6"/>
      <c r="Z4071" s="6"/>
    </row>
    <row r="4072" customFormat="false" ht="15" hidden="false" customHeight="false" outlineLevel="0" collapsed="false">
      <c r="A4072" s="9" t="s">
        <v>9915</v>
      </c>
      <c r="B4072" s="9" t="s">
        <v>5870</v>
      </c>
      <c r="C4072" s="9" t="s">
        <v>4337</v>
      </c>
      <c r="D4072" s="9" t="s">
        <v>5871</v>
      </c>
      <c r="E4072" s="9" t="str">
        <f aca="false">IF(AND('Formation Ledger'!A4051&lt;&gt;"",'Formation Ledger'!V4051=0),"PASS","FAIL")</f>
        <v>PASS</v>
      </c>
      <c r="F4072" s="9" t="s">
        <v>76</v>
      </c>
      <c r="G4072" s="6"/>
      <c r="H4072" s="6"/>
      <c r="I4072" s="6"/>
      <c r="J4072" s="6"/>
      <c r="K4072" s="6"/>
      <c r="L4072" s="6"/>
      <c r="M4072" s="6"/>
      <c r="N4072" s="6"/>
      <c r="O4072" s="6"/>
      <c r="P4072" s="6"/>
      <c r="Q4072" s="6"/>
      <c r="R4072" s="6"/>
      <c r="S4072" s="6"/>
      <c r="T4072" s="6"/>
      <c r="U4072" s="6"/>
      <c r="V4072" s="6"/>
      <c r="W4072" s="6"/>
      <c r="X4072" s="6"/>
      <c r="Y4072" s="6"/>
      <c r="Z4072" s="6"/>
    </row>
    <row r="4073" customFormat="false" ht="15" hidden="false" customHeight="false" outlineLevel="0" collapsed="false">
      <c r="A4073" s="9" t="s">
        <v>9916</v>
      </c>
      <c r="B4073" s="9" t="s">
        <v>5870</v>
      </c>
      <c r="C4073" s="9" t="s">
        <v>4338</v>
      </c>
      <c r="D4073" s="9" t="s">
        <v>5871</v>
      </c>
      <c r="E4073" s="9" t="str">
        <f aca="false">IF(AND('Formation Ledger'!A4052&lt;&gt;"",'Formation Ledger'!V4052=0),"PASS","FAIL")</f>
        <v>PASS</v>
      </c>
      <c r="F4073" s="9" t="s">
        <v>76</v>
      </c>
      <c r="G4073" s="6"/>
      <c r="H4073" s="6"/>
      <c r="I4073" s="6"/>
      <c r="J4073" s="6"/>
      <c r="K4073" s="6"/>
      <c r="L4073" s="6"/>
      <c r="M4073" s="6"/>
      <c r="N4073" s="6"/>
      <c r="O4073" s="6"/>
      <c r="P4073" s="6"/>
      <c r="Q4073" s="6"/>
      <c r="R4073" s="6"/>
      <c r="S4073" s="6"/>
      <c r="T4073" s="6"/>
      <c r="U4073" s="6"/>
      <c r="V4073" s="6"/>
      <c r="W4073" s="6"/>
      <c r="X4073" s="6"/>
      <c r="Y4073" s="6"/>
      <c r="Z4073" s="6"/>
    </row>
    <row r="4074" customFormat="false" ht="15" hidden="false" customHeight="false" outlineLevel="0" collapsed="false">
      <c r="A4074" s="9" t="s">
        <v>9917</v>
      </c>
      <c r="B4074" s="9" t="s">
        <v>5870</v>
      </c>
      <c r="C4074" s="9" t="s">
        <v>4339</v>
      </c>
      <c r="D4074" s="9" t="s">
        <v>5871</v>
      </c>
      <c r="E4074" s="9" t="str">
        <f aca="false">IF(AND('Formation Ledger'!A4053&lt;&gt;"",'Formation Ledger'!V4053=0),"PASS","FAIL")</f>
        <v>PASS</v>
      </c>
      <c r="F4074" s="9" t="s">
        <v>76</v>
      </c>
      <c r="G4074" s="6"/>
      <c r="H4074" s="6"/>
      <c r="I4074" s="6"/>
      <c r="J4074" s="6"/>
      <c r="K4074" s="6"/>
      <c r="L4074" s="6"/>
      <c r="M4074" s="6"/>
      <c r="N4074" s="6"/>
      <c r="O4074" s="6"/>
      <c r="P4074" s="6"/>
      <c r="Q4074" s="6"/>
      <c r="R4074" s="6"/>
      <c r="S4074" s="6"/>
      <c r="T4074" s="6"/>
      <c r="U4074" s="6"/>
      <c r="V4074" s="6"/>
      <c r="W4074" s="6"/>
      <c r="X4074" s="6"/>
      <c r="Y4074" s="6"/>
      <c r="Z4074" s="6"/>
    </row>
    <row r="4075" customFormat="false" ht="15" hidden="false" customHeight="false" outlineLevel="0" collapsed="false">
      <c r="A4075" s="9" t="s">
        <v>9918</v>
      </c>
      <c r="B4075" s="9" t="s">
        <v>5870</v>
      </c>
      <c r="C4075" s="9" t="s">
        <v>4340</v>
      </c>
      <c r="D4075" s="9" t="s">
        <v>5871</v>
      </c>
      <c r="E4075" s="9" t="str">
        <f aca="false">IF(AND('Formation Ledger'!A4054&lt;&gt;"",'Formation Ledger'!V4054=0),"PASS","FAIL")</f>
        <v>PASS</v>
      </c>
      <c r="F4075" s="9" t="s">
        <v>76</v>
      </c>
      <c r="G4075" s="6"/>
      <c r="H4075" s="6"/>
      <c r="I4075" s="6"/>
      <c r="J4075" s="6"/>
      <c r="K4075" s="6"/>
      <c r="L4075" s="6"/>
      <c r="M4075" s="6"/>
      <c r="N4075" s="6"/>
      <c r="O4075" s="6"/>
      <c r="P4075" s="6"/>
      <c r="Q4075" s="6"/>
      <c r="R4075" s="6"/>
      <c r="S4075" s="6"/>
      <c r="T4075" s="6"/>
      <c r="U4075" s="6"/>
      <c r="V4075" s="6"/>
      <c r="W4075" s="6"/>
      <c r="X4075" s="6"/>
      <c r="Y4075" s="6"/>
      <c r="Z4075" s="6"/>
    </row>
    <row r="4076" customFormat="false" ht="15" hidden="false" customHeight="false" outlineLevel="0" collapsed="false">
      <c r="A4076" s="9" t="s">
        <v>9919</v>
      </c>
      <c r="B4076" s="9" t="s">
        <v>5870</v>
      </c>
      <c r="C4076" s="9" t="s">
        <v>4341</v>
      </c>
      <c r="D4076" s="9" t="s">
        <v>5871</v>
      </c>
      <c r="E4076" s="9" t="str">
        <f aca="false">IF(AND('Formation Ledger'!A4055&lt;&gt;"",'Formation Ledger'!V4055=0),"PASS","FAIL")</f>
        <v>PASS</v>
      </c>
      <c r="F4076" s="9" t="s">
        <v>76</v>
      </c>
      <c r="G4076" s="6"/>
      <c r="H4076" s="6"/>
      <c r="I4076" s="6"/>
      <c r="J4076" s="6"/>
      <c r="K4076" s="6"/>
      <c r="L4076" s="6"/>
      <c r="M4076" s="6"/>
      <c r="N4076" s="6"/>
      <c r="O4076" s="6"/>
      <c r="P4076" s="6"/>
      <c r="Q4076" s="6"/>
      <c r="R4076" s="6"/>
      <c r="S4076" s="6"/>
      <c r="T4076" s="6"/>
      <c r="U4076" s="6"/>
      <c r="V4076" s="6"/>
      <c r="W4076" s="6"/>
      <c r="X4076" s="6"/>
      <c r="Y4076" s="6"/>
      <c r="Z4076" s="6"/>
    </row>
    <row r="4077" customFormat="false" ht="15" hidden="false" customHeight="false" outlineLevel="0" collapsed="false">
      <c r="A4077" s="9" t="s">
        <v>9920</v>
      </c>
      <c r="B4077" s="9" t="s">
        <v>5870</v>
      </c>
      <c r="C4077" s="9" t="s">
        <v>4342</v>
      </c>
      <c r="D4077" s="9" t="s">
        <v>5871</v>
      </c>
      <c r="E4077" s="9" t="str">
        <f aca="false">IF(AND('Formation Ledger'!A4056&lt;&gt;"",'Formation Ledger'!V4056=0),"PASS","FAIL")</f>
        <v>PASS</v>
      </c>
      <c r="F4077" s="9" t="s">
        <v>76</v>
      </c>
      <c r="G4077" s="6"/>
      <c r="H4077" s="6"/>
      <c r="I4077" s="6"/>
      <c r="J4077" s="6"/>
      <c r="K4077" s="6"/>
      <c r="L4077" s="6"/>
      <c r="M4077" s="6"/>
      <c r="N4077" s="6"/>
      <c r="O4077" s="6"/>
      <c r="P4077" s="6"/>
      <c r="Q4077" s="6"/>
      <c r="R4077" s="6"/>
      <c r="S4077" s="6"/>
      <c r="T4077" s="6"/>
      <c r="U4077" s="6"/>
      <c r="V4077" s="6"/>
      <c r="W4077" s="6"/>
      <c r="X4077" s="6"/>
      <c r="Y4077" s="6"/>
      <c r="Z4077" s="6"/>
    </row>
    <row r="4078" customFormat="false" ht="15" hidden="false" customHeight="false" outlineLevel="0" collapsed="false">
      <c r="A4078" s="9" t="s">
        <v>9921</v>
      </c>
      <c r="B4078" s="9" t="s">
        <v>5870</v>
      </c>
      <c r="C4078" s="9" t="s">
        <v>4343</v>
      </c>
      <c r="D4078" s="9" t="s">
        <v>5871</v>
      </c>
      <c r="E4078" s="9" t="str">
        <f aca="false">IF(AND('Formation Ledger'!A4057&lt;&gt;"",'Formation Ledger'!V4057=0),"PASS","FAIL")</f>
        <v>PASS</v>
      </c>
      <c r="F4078" s="9" t="s">
        <v>76</v>
      </c>
      <c r="G4078" s="6"/>
      <c r="H4078" s="6"/>
      <c r="I4078" s="6"/>
      <c r="J4078" s="6"/>
      <c r="K4078" s="6"/>
      <c r="L4078" s="6"/>
      <c r="M4078" s="6"/>
      <c r="N4078" s="6"/>
      <c r="O4078" s="6"/>
      <c r="P4078" s="6"/>
      <c r="Q4078" s="6"/>
      <c r="R4078" s="6"/>
      <c r="S4078" s="6"/>
      <c r="T4078" s="6"/>
      <c r="U4078" s="6"/>
      <c r="V4078" s="6"/>
      <c r="W4078" s="6"/>
      <c r="X4078" s="6"/>
      <c r="Y4078" s="6"/>
      <c r="Z4078" s="6"/>
    </row>
    <row r="4079" customFormat="false" ht="15" hidden="false" customHeight="false" outlineLevel="0" collapsed="false">
      <c r="A4079" s="9" t="s">
        <v>9922</v>
      </c>
      <c r="B4079" s="9" t="s">
        <v>5870</v>
      </c>
      <c r="C4079" s="9" t="s">
        <v>4344</v>
      </c>
      <c r="D4079" s="9" t="s">
        <v>5871</v>
      </c>
      <c r="E4079" s="9" t="str">
        <f aca="false">IF(AND('Formation Ledger'!A4058&lt;&gt;"",'Formation Ledger'!V4058=0),"PASS","FAIL")</f>
        <v>PASS</v>
      </c>
      <c r="F4079" s="9" t="s">
        <v>76</v>
      </c>
      <c r="G4079" s="6"/>
      <c r="H4079" s="6"/>
      <c r="I4079" s="6"/>
      <c r="J4079" s="6"/>
      <c r="K4079" s="6"/>
      <c r="L4079" s="6"/>
      <c r="M4079" s="6"/>
      <c r="N4079" s="6"/>
      <c r="O4079" s="6"/>
      <c r="P4079" s="6"/>
      <c r="Q4079" s="6"/>
      <c r="R4079" s="6"/>
      <c r="S4079" s="6"/>
      <c r="T4079" s="6"/>
      <c r="U4079" s="6"/>
      <c r="V4079" s="6"/>
      <c r="W4079" s="6"/>
      <c r="X4079" s="6"/>
      <c r="Y4079" s="6"/>
      <c r="Z4079" s="6"/>
    </row>
    <row r="4080" customFormat="false" ht="15" hidden="false" customHeight="false" outlineLevel="0" collapsed="false">
      <c r="A4080" s="9" t="s">
        <v>9923</v>
      </c>
      <c r="B4080" s="9" t="s">
        <v>5870</v>
      </c>
      <c r="C4080" s="9" t="s">
        <v>4345</v>
      </c>
      <c r="D4080" s="9" t="s">
        <v>5871</v>
      </c>
      <c r="E4080" s="9" t="str">
        <f aca="false">IF(AND('Formation Ledger'!A4059&lt;&gt;"",'Formation Ledger'!V4059=0),"PASS","FAIL")</f>
        <v>PASS</v>
      </c>
      <c r="F4080" s="9" t="s">
        <v>76</v>
      </c>
      <c r="G4080" s="6"/>
      <c r="H4080" s="6"/>
      <c r="I4080" s="6"/>
      <c r="J4080" s="6"/>
      <c r="K4080" s="6"/>
      <c r="L4080" s="6"/>
      <c r="M4080" s="6"/>
      <c r="N4080" s="6"/>
      <c r="O4080" s="6"/>
      <c r="P4080" s="6"/>
      <c r="Q4080" s="6"/>
      <c r="R4080" s="6"/>
      <c r="S4080" s="6"/>
      <c r="T4080" s="6"/>
      <c r="U4080" s="6"/>
      <c r="V4080" s="6"/>
      <c r="W4080" s="6"/>
      <c r="X4080" s="6"/>
      <c r="Y4080" s="6"/>
      <c r="Z4080" s="6"/>
    </row>
    <row r="4081" customFormat="false" ht="15" hidden="false" customHeight="false" outlineLevel="0" collapsed="false">
      <c r="A4081" s="9" t="s">
        <v>9924</v>
      </c>
      <c r="B4081" s="9" t="s">
        <v>5870</v>
      </c>
      <c r="C4081" s="9" t="s">
        <v>4346</v>
      </c>
      <c r="D4081" s="9" t="s">
        <v>5871</v>
      </c>
      <c r="E4081" s="9" t="str">
        <f aca="false">IF(AND('Formation Ledger'!A4060&lt;&gt;"",'Formation Ledger'!V4060=0),"PASS","FAIL")</f>
        <v>PASS</v>
      </c>
      <c r="F4081" s="9" t="s">
        <v>76</v>
      </c>
      <c r="G4081" s="6"/>
      <c r="H4081" s="6"/>
      <c r="I4081" s="6"/>
      <c r="J4081" s="6"/>
      <c r="K4081" s="6"/>
      <c r="L4081" s="6"/>
      <c r="M4081" s="6"/>
      <c r="N4081" s="6"/>
      <c r="O4081" s="6"/>
      <c r="P4081" s="6"/>
      <c r="Q4081" s="6"/>
      <c r="R4081" s="6"/>
      <c r="S4081" s="6"/>
      <c r="T4081" s="6"/>
      <c r="U4081" s="6"/>
      <c r="V4081" s="6"/>
      <c r="W4081" s="6"/>
      <c r="X4081" s="6"/>
      <c r="Y4081" s="6"/>
      <c r="Z4081" s="6"/>
    </row>
    <row r="4082" customFormat="false" ht="15" hidden="false" customHeight="false" outlineLevel="0" collapsed="false">
      <c r="A4082" s="9" t="s">
        <v>9925</v>
      </c>
      <c r="B4082" s="9" t="s">
        <v>5870</v>
      </c>
      <c r="C4082" s="9" t="s">
        <v>4347</v>
      </c>
      <c r="D4082" s="9" t="s">
        <v>5871</v>
      </c>
      <c r="E4082" s="9" t="str">
        <f aca="false">IF(AND('Formation Ledger'!A4061&lt;&gt;"",'Formation Ledger'!V4061=0),"PASS","FAIL")</f>
        <v>PASS</v>
      </c>
      <c r="F4082" s="9" t="s">
        <v>76</v>
      </c>
      <c r="G4082" s="6"/>
      <c r="H4082" s="6"/>
      <c r="I4082" s="6"/>
      <c r="J4082" s="6"/>
      <c r="K4082" s="6"/>
      <c r="L4082" s="6"/>
      <c r="M4082" s="6"/>
      <c r="N4082" s="6"/>
      <c r="O4082" s="6"/>
      <c r="P4082" s="6"/>
      <c r="Q4082" s="6"/>
      <c r="R4082" s="6"/>
      <c r="S4082" s="6"/>
      <c r="T4082" s="6"/>
      <c r="U4082" s="6"/>
      <c r="V4082" s="6"/>
      <c r="W4082" s="6"/>
      <c r="X4082" s="6"/>
      <c r="Y4082" s="6"/>
      <c r="Z4082" s="6"/>
    </row>
    <row r="4083" customFormat="false" ht="15" hidden="false" customHeight="false" outlineLevel="0" collapsed="false">
      <c r="A4083" s="9" t="s">
        <v>9926</v>
      </c>
      <c r="B4083" s="9" t="s">
        <v>5870</v>
      </c>
      <c r="C4083" s="9" t="s">
        <v>4348</v>
      </c>
      <c r="D4083" s="9" t="s">
        <v>5871</v>
      </c>
      <c r="E4083" s="9" t="str">
        <f aca="false">IF(AND('Formation Ledger'!A4062&lt;&gt;"",'Formation Ledger'!V4062=0),"PASS","FAIL")</f>
        <v>PASS</v>
      </c>
      <c r="F4083" s="9" t="s">
        <v>76</v>
      </c>
      <c r="G4083" s="6"/>
      <c r="H4083" s="6"/>
      <c r="I4083" s="6"/>
      <c r="J4083" s="6"/>
      <c r="K4083" s="6"/>
      <c r="L4083" s="6"/>
      <c r="M4083" s="6"/>
      <c r="N4083" s="6"/>
      <c r="O4083" s="6"/>
      <c r="P4083" s="6"/>
      <c r="Q4083" s="6"/>
      <c r="R4083" s="6"/>
      <c r="S4083" s="6"/>
      <c r="T4083" s="6"/>
      <c r="U4083" s="6"/>
      <c r="V4083" s="6"/>
      <c r="W4083" s="6"/>
      <c r="X4083" s="6"/>
      <c r="Y4083" s="6"/>
      <c r="Z4083" s="6"/>
    </row>
    <row r="4084" customFormat="false" ht="15" hidden="false" customHeight="false" outlineLevel="0" collapsed="false">
      <c r="A4084" s="9" t="s">
        <v>9927</v>
      </c>
      <c r="B4084" s="9" t="s">
        <v>5870</v>
      </c>
      <c r="C4084" s="9" t="s">
        <v>4349</v>
      </c>
      <c r="D4084" s="9" t="s">
        <v>5871</v>
      </c>
      <c r="E4084" s="9" t="str">
        <f aca="false">IF(AND('Formation Ledger'!A4063&lt;&gt;"",'Formation Ledger'!V4063=0),"PASS","FAIL")</f>
        <v>PASS</v>
      </c>
      <c r="F4084" s="9" t="s">
        <v>76</v>
      </c>
      <c r="G4084" s="6"/>
      <c r="H4084" s="6"/>
      <c r="I4084" s="6"/>
      <c r="J4084" s="6"/>
      <c r="K4084" s="6"/>
      <c r="L4084" s="6"/>
      <c r="M4084" s="6"/>
      <c r="N4084" s="6"/>
      <c r="O4084" s="6"/>
      <c r="P4084" s="6"/>
      <c r="Q4084" s="6"/>
      <c r="R4084" s="6"/>
      <c r="S4084" s="6"/>
      <c r="T4084" s="6"/>
      <c r="U4084" s="6"/>
      <c r="V4084" s="6"/>
      <c r="W4084" s="6"/>
      <c r="X4084" s="6"/>
      <c r="Y4084" s="6"/>
      <c r="Z4084" s="6"/>
    </row>
    <row r="4085" customFormat="false" ht="15" hidden="false" customHeight="false" outlineLevel="0" collapsed="false">
      <c r="A4085" s="9" t="s">
        <v>9928</v>
      </c>
      <c r="B4085" s="9" t="s">
        <v>5870</v>
      </c>
      <c r="C4085" s="9" t="s">
        <v>4350</v>
      </c>
      <c r="D4085" s="9" t="s">
        <v>5871</v>
      </c>
      <c r="E4085" s="9" t="str">
        <f aca="false">IF(AND('Formation Ledger'!A4064&lt;&gt;"",'Formation Ledger'!V4064=0),"PASS","FAIL")</f>
        <v>PASS</v>
      </c>
      <c r="F4085" s="9" t="s">
        <v>76</v>
      </c>
      <c r="G4085" s="6"/>
      <c r="H4085" s="6"/>
      <c r="I4085" s="6"/>
      <c r="J4085" s="6"/>
      <c r="K4085" s="6"/>
      <c r="L4085" s="6"/>
      <c r="M4085" s="6"/>
      <c r="N4085" s="6"/>
      <c r="O4085" s="6"/>
      <c r="P4085" s="6"/>
      <c r="Q4085" s="6"/>
      <c r="R4085" s="6"/>
      <c r="S4085" s="6"/>
      <c r="T4085" s="6"/>
      <c r="U4085" s="6"/>
      <c r="V4085" s="6"/>
      <c r="W4085" s="6"/>
      <c r="X4085" s="6"/>
      <c r="Y4085" s="6"/>
      <c r="Z4085" s="6"/>
    </row>
    <row r="4086" customFormat="false" ht="15" hidden="false" customHeight="false" outlineLevel="0" collapsed="false">
      <c r="A4086" s="9" t="s">
        <v>9929</v>
      </c>
      <c r="B4086" s="9" t="s">
        <v>5870</v>
      </c>
      <c r="C4086" s="9" t="s">
        <v>4351</v>
      </c>
      <c r="D4086" s="9" t="s">
        <v>5871</v>
      </c>
      <c r="E4086" s="9" t="str">
        <f aca="false">IF(AND('Formation Ledger'!A4065&lt;&gt;"",'Formation Ledger'!V4065=0),"PASS","FAIL")</f>
        <v>PASS</v>
      </c>
      <c r="F4086" s="9" t="s">
        <v>76</v>
      </c>
      <c r="G4086" s="6"/>
      <c r="H4086" s="6"/>
      <c r="I4086" s="6"/>
      <c r="J4086" s="6"/>
      <c r="K4086" s="6"/>
      <c r="L4086" s="6"/>
      <c r="M4086" s="6"/>
      <c r="N4086" s="6"/>
      <c r="O4086" s="6"/>
      <c r="P4086" s="6"/>
      <c r="Q4086" s="6"/>
      <c r="R4086" s="6"/>
      <c r="S4086" s="6"/>
      <c r="T4086" s="6"/>
      <c r="U4086" s="6"/>
      <c r="V4086" s="6"/>
      <c r="W4086" s="6"/>
      <c r="X4086" s="6"/>
      <c r="Y4086" s="6"/>
      <c r="Z4086" s="6"/>
    </row>
    <row r="4087" customFormat="false" ht="15" hidden="false" customHeight="false" outlineLevel="0" collapsed="false">
      <c r="A4087" s="9" t="s">
        <v>9930</v>
      </c>
      <c r="B4087" s="9" t="s">
        <v>5870</v>
      </c>
      <c r="C4087" s="9" t="s">
        <v>4352</v>
      </c>
      <c r="D4087" s="9" t="s">
        <v>5871</v>
      </c>
      <c r="E4087" s="9" t="str">
        <f aca="false">IF(AND('Formation Ledger'!A4066&lt;&gt;"",'Formation Ledger'!V4066=0),"PASS","FAIL")</f>
        <v>PASS</v>
      </c>
      <c r="F4087" s="9" t="s">
        <v>76</v>
      </c>
      <c r="G4087" s="6"/>
      <c r="H4087" s="6"/>
      <c r="I4087" s="6"/>
      <c r="J4087" s="6"/>
      <c r="K4087" s="6"/>
      <c r="L4087" s="6"/>
      <c r="M4087" s="6"/>
      <c r="N4087" s="6"/>
      <c r="O4087" s="6"/>
      <c r="P4087" s="6"/>
      <c r="Q4087" s="6"/>
      <c r="R4087" s="6"/>
      <c r="S4087" s="6"/>
      <c r="T4087" s="6"/>
      <c r="U4087" s="6"/>
      <c r="V4087" s="6"/>
      <c r="W4087" s="6"/>
      <c r="X4087" s="6"/>
      <c r="Y4087" s="6"/>
      <c r="Z4087" s="6"/>
    </row>
    <row r="4088" customFormat="false" ht="15" hidden="false" customHeight="false" outlineLevel="0" collapsed="false">
      <c r="A4088" s="9" t="s">
        <v>9931</v>
      </c>
      <c r="B4088" s="9" t="s">
        <v>5870</v>
      </c>
      <c r="C4088" s="9" t="s">
        <v>4353</v>
      </c>
      <c r="D4088" s="9" t="s">
        <v>5871</v>
      </c>
      <c r="E4088" s="9" t="str">
        <f aca="false">IF(AND('Formation Ledger'!A4067&lt;&gt;"",'Formation Ledger'!V4067=0),"PASS","FAIL")</f>
        <v>PASS</v>
      </c>
      <c r="F4088" s="9" t="s">
        <v>76</v>
      </c>
      <c r="G4088" s="6"/>
      <c r="H4088" s="6"/>
      <c r="I4088" s="6"/>
      <c r="J4088" s="6"/>
      <c r="K4088" s="6"/>
      <c r="L4088" s="6"/>
      <c r="M4088" s="6"/>
      <c r="N4088" s="6"/>
      <c r="O4088" s="6"/>
      <c r="P4088" s="6"/>
      <c r="Q4088" s="6"/>
      <c r="R4088" s="6"/>
      <c r="S4088" s="6"/>
      <c r="T4088" s="6"/>
      <c r="U4088" s="6"/>
      <c r="V4088" s="6"/>
      <c r="W4088" s="6"/>
      <c r="X4088" s="6"/>
      <c r="Y4088" s="6"/>
      <c r="Z4088" s="6"/>
    </row>
    <row r="4089" customFormat="false" ht="15" hidden="false" customHeight="false" outlineLevel="0" collapsed="false">
      <c r="A4089" s="9" t="s">
        <v>9932</v>
      </c>
      <c r="B4089" s="9" t="s">
        <v>5870</v>
      </c>
      <c r="C4089" s="9" t="s">
        <v>4354</v>
      </c>
      <c r="D4089" s="9" t="s">
        <v>5871</v>
      </c>
      <c r="E4089" s="9" t="str">
        <f aca="false">IF(AND('Formation Ledger'!A4068&lt;&gt;"",'Formation Ledger'!V4068=0),"PASS","FAIL")</f>
        <v>PASS</v>
      </c>
      <c r="F4089" s="9" t="s">
        <v>76</v>
      </c>
      <c r="G4089" s="6"/>
      <c r="H4089" s="6"/>
      <c r="I4089" s="6"/>
      <c r="J4089" s="6"/>
      <c r="K4089" s="6"/>
      <c r="L4089" s="6"/>
      <c r="M4089" s="6"/>
      <c r="N4089" s="6"/>
      <c r="O4089" s="6"/>
      <c r="P4089" s="6"/>
      <c r="Q4089" s="6"/>
      <c r="R4089" s="6"/>
      <c r="S4089" s="6"/>
      <c r="T4089" s="6"/>
      <c r="U4089" s="6"/>
      <c r="V4089" s="6"/>
      <c r="W4089" s="6"/>
      <c r="X4089" s="6"/>
      <c r="Y4089" s="6"/>
      <c r="Z4089" s="6"/>
    </row>
    <row r="4090" customFormat="false" ht="15" hidden="false" customHeight="false" outlineLevel="0" collapsed="false">
      <c r="A4090" s="9" t="s">
        <v>9933</v>
      </c>
      <c r="B4090" s="9" t="s">
        <v>5870</v>
      </c>
      <c r="C4090" s="9" t="s">
        <v>4355</v>
      </c>
      <c r="D4090" s="9" t="s">
        <v>5871</v>
      </c>
      <c r="E4090" s="9" t="str">
        <f aca="false">IF(AND('Formation Ledger'!A4069&lt;&gt;"",'Formation Ledger'!V4069=0),"PASS","FAIL")</f>
        <v>PASS</v>
      </c>
      <c r="F4090" s="9" t="s">
        <v>76</v>
      </c>
      <c r="G4090" s="6"/>
      <c r="H4090" s="6"/>
      <c r="I4090" s="6"/>
      <c r="J4090" s="6"/>
      <c r="K4090" s="6"/>
      <c r="L4090" s="6"/>
      <c r="M4090" s="6"/>
      <c r="N4090" s="6"/>
      <c r="O4090" s="6"/>
      <c r="P4090" s="6"/>
      <c r="Q4090" s="6"/>
      <c r="R4090" s="6"/>
      <c r="S4090" s="6"/>
      <c r="T4090" s="6"/>
      <c r="U4090" s="6"/>
      <c r="V4090" s="6"/>
      <c r="W4090" s="6"/>
      <c r="X4090" s="6"/>
      <c r="Y4090" s="6"/>
      <c r="Z4090" s="6"/>
    </row>
    <row r="4091" customFormat="false" ht="15" hidden="false" customHeight="false" outlineLevel="0" collapsed="false">
      <c r="A4091" s="9" t="s">
        <v>9934</v>
      </c>
      <c r="B4091" s="9" t="s">
        <v>5870</v>
      </c>
      <c r="C4091" s="9" t="s">
        <v>4356</v>
      </c>
      <c r="D4091" s="9" t="s">
        <v>5871</v>
      </c>
      <c r="E4091" s="9" t="str">
        <f aca="false">IF(AND('Formation Ledger'!A4070&lt;&gt;"",'Formation Ledger'!V4070=0),"PASS","FAIL")</f>
        <v>PASS</v>
      </c>
      <c r="F4091" s="9" t="s">
        <v>76</v>
      </c>
      <c r="G4091" s="6"/>
      <c r="H4091" s="6"/>
      <c r="I4091" s="6"/>
      <c r="J4091" s="6"/>
      <c r="K4091" s="6"/>
      <c r="L4091" s="6"/>
      <c r="M4091" s="6"/>
      <c r="N4091" s="6"/>
      <c r="O4091" s="6"/>
      <c r="P4091" s="6"/>
      <c r="Q4091" s="6"/>
      <c r="R4091" s="6"/>
      <c r="S4091" s="6"/>
      <c r="T4091" s="6"/>
      <c r="U4091" s="6"/>
      <c r="V4091" s="6"/>
      <c r="W4091" s="6"/>
      <c r="X4091" s="6"/>
      <c r="Y4091" s="6"/>
      <c r="Z4091" s="6"/>
    </row>
    <row r="4092" customFormat="false" ht="15" hidden="false" customHeight="false" outlineLevel="0" collapsed="false">
      <c r="A4092" s="9" t="s">
        <v>9935</v>
      </c>
      <c r="B4092" s="9" t="s">
        <v>5870</v>
      </c>
      <c r="C4092" s="9" t="s">
        <v>4357</v>
      </c>
      <c r="D4092" s="9" t="s">
        <v>5871</v>
      </c>
      <c r="E4092" s="9" t="str">
        <f aca="false">IF(AND('Formation Ledger'!A4071&lt;&gt;"",'Formation Ledger'!V4071=0),"PASS","FAIL")</f>
        <v>PASS</v>
      </c>
      <c r="F4092" s="9" t="s">
        <v>76</v>
      </c>
      <c r="G4092" s="6"/>
      <c r="H4092" s="6"/>
      <c r="I4092" s="6"/>
      <c r="J4092" s="6"/>
      <c r="K4092" s="6"/>
      <c r="L4092" s="6"/>
      <c r="M4092" s="6"/>
      <c r="N4092" s="6"/>
      <c r="O4092" s="6"/>
      <c r="P4092" s="6"/>
      <c r="Q4092" s="6"/>
      <c r="R4092" s="6"/>
      <c r="S4092" s="6"/>
      <c r="T4092" s="6"/>
      <c r="U4092" s="6"/>
      <c r="V4092" s="6"/>
      <c r="W4092" s="6"/>
      <c r="X4092" s="6"/>
      <c r="Y4092" s="6"/>
      <c r="Z4092" s="6"/>
    </row>
    <row r="4093" customFormat="false" ht="15" hidden="false" customHeight="false" outlineLevel="0" collapsed="false">
      <c r="A4093" s="9" t="s">
        <v>9936</v>
      </c>
      <c r="B4093" s="9" t="s">
        <v>5870</v>
      </c>
      <c r="C4093" s="9" t="s">
        <v>4358</v>
      </c>
      <c r="D4093" s="9" t="s">
        <v>5871</v>
      </c>
      <c r="E4093" s="9" t="str">
        <f aca="false">IF(AND('Formation Ledger'!A4072&lt;&gt;"",'Formation Ledger'!V4072=0),"PASS","FAIL")</f>
        <v>PASS</v>
      </c>
      <c r="F4093" s="9" t="s">
        <v>76</v>
      </c>
      <c r="G4093" s="6"/>
      <c r="H4093" s="6"/>
      <c r="I4093" s="6"/>
      <c r="J4093" s="6"/>
      <c r="K4093" s="6"/>
      <c r="L4093" s="6"/>
      <c r="M4093" s="6"/>
      <c r="N4093" s="6"/>
      <c r="O4093" s="6"/>
      <c r="P4093" s="6"/>
      <c r="Q4093" s="6"/>
      <c r="R4093" s="6"/>
      <c r="S4093" s="6"/>
      <c r="T4093" s="6"/>
      <c r="U4093" s="6"/>
      <c r="V4093" s="6"/>
      <c r="W4093" s="6"/>
      <c r="X4093" s="6"/>
      <c r="Y4093" s="6"/>
      <c r="Z4093" s="6"/>
    </row>
    <row r="4094" customFormat="false" ht="15" hidden="false" customHeight="false" outlineLevel="0" collapsed="false">
      <c r="A4094" s="9" t="s">
        <v>9937</v>
      </c>
      <c r="B4094" s="9" t="s">
        <v>5870</v>
      </c>
      <c r="C4094" s="9" t="s">
        <v>4359</v>
      </c>
      <c r="D4094" s="9" t="s">
        <v>5871</v>
      </c>
      <c r="E4094" s="9" t="str">
        <f aca="false">IF(AND('Formation Ledger'!A4073&lt;&gt;"",'Formation Ledger'!V4073=0),"PASS","FAIL")</f>
        <v>PASS</v>
      </c>
      <c r="F4094" s="9" t="s">
        <v>76</v>
      </c>
      <c r="G4094" s="6"/>
      <c r="H4094" s="6"/>
      <c r="I4094" s="6"/>
      <c r="J4094" s="6"/>
      <c r="K4094" s="6"/>
      <c r="L4094" s="6"/>
      <c r="M4094" s="6"/>
      <c r="N4094" s="6"/>
      <c r="O4094" s="6"/>
      <c r="P4094" s="6"/>
      <c r="Q4094" s="6"/>
      <c r="R4094" s="6"/>
      <c r="S4094" s="6"/>
      <c r="T4094" s="6"/>
      <c r="U4094" s="6"/>
      <c r="V4094" s="6"/>
      <c r="W4094" s="6"/>
      <c r="X4094" s="6"/>
      <c r="Y4094" s="6"/>
      <c r="Z4094" s="6"/>
    </row>
    <row r="4095" customFormat="false" ht="15" hidden="false" customHeight="false" outlineLevel="0" collapsed="false">
      <c r="A4095" s="9" t="s">
        <v>9938</v>
      </c>
      <c r="B4095" s="9" t="s">
        <v>5870</v>
      </c>
      <c r="C4095" s="9" t="s">
        <v>4360</v>
      </c>
      <c r="D4095" s="9" t="s">
        <v>5871</v>
      </c>
      <c r="E4095" s="9" t="str">
        <f aca="false">IF(AND('Formation Ledger'!A4074&lt;&gt;"",'Formation Ledger'!V4074=0),"PASS","FAIL")</f>
        <v>PASS</v>
      </c>
      <c r="F4095" s="9" t="s">
        <v>76</v>
      </c>
      <c r="G4095" s="6"/>
      <c r="H4095" s="6"/>
      <c r="I4095" s="6"/>
      <c r="J4095" s="6"/>
      <c r="K4095" s="6"/>
      <c r="L4095" s="6"/>
      <c r="M4095" s="6"/>
      <c r="N4095" s="6"/>
      <c r="O4095" s="6"/>
      <c r="P4095" s="6"/>
      <c r="Q4095" s="6"/>
      <c r="R4095" s="6"/>
      <c r="S4095" s="6"/>
      <c r="T4095" s="6"/>
      <c r="U4095" s="6"/>
      <c r="V4095" s="6"/>
      <c r="W4095" s="6"/>
      <c r="X4095" s="6"/>
      <c r="Y4095" s="6"/>
      <c r="Z4095" s="6"/>
    </row>
    <row r="4096" customFormat="false" ht="15" hidden="false" customHeight="false" outlineLevel="0" collapsed="false">
      <c r="A4096" s="9" t="s">
        <v>9939</v>
      </c>
      <c r="B4096" s="9" t="s">
        <v>5870</v>
      </c>
      <c r="C4096" s="9" t="s">
        <v>4361</v>
      </c>
      <c r="D4096" s="9" t="s">
        <v>5871</v>
      </c>
      <c r="E4096" s="9" t="str">
        <f aca="false">IF(AND('Formation Ledger'!A4075&lt;&gt;"",'Formation Ledger'!V4075=0),"PASS","FAIL")</f>
        <v>PASS</v>
      </c>
      <c r="F4096" s="9" t="s">
        <v>76</v>
      </c>
      <c r="G4096" s="6"/>
      <c r="H4096" s="6"/>
      <c r="I4096" s="6"/>
      <c r="J4096" s="6"/>
      <c r="K4096" s="6"/>
      <c r="L4096" s="6"/>
      <c r="M4096" s="6"/>
      <c r="N4096" s="6"/>
      <c r="O4096" s="6"/>
      <c r="P4096" s="6"/>
      <c r="Q4096" s="6"/>
      <c r="R4096" s="6"/>
      <c r="S4096" s="6"/>
      <c r="T4096" s="6"/>
      <c r="U4096" s="6"/>
      <c r="V4096" s="6"/>
      <c r="W4096" s="6"/>
      <c r="X4096" s="6"/>
      <c r="Y4096" s="6"/>
      <c r="Z4096" s="6"/>
    </row>
    <row r="4097" customFormat="false" ht="15" hidden="false" customHeight="false" outlineLevel="0" collapsed="false">
      <c r="A4097" s="9" t="s">
        <v>9940</v>
      </c>
      <c r="B4097" s="9" t="s">
        <v>5870</v>
      </c>
      <c r="C4097" s="9" t="s">
        <v>4362</v>
      </c>
      <c r="D4097" s="9" t="s">
        <v>5871</v>
      </c>
      <c r="E4097" s="9" t="str">
        <f aca="false">IF(AND('Formation Ledger'!A4076&lt;&gt;"",'Formation Ledger'!V4076=0),"PASS","FAIL")</f>
        <v>PASS</v>
      </c>
      <c r="F4097" s="9" t="s">
        <v>76</v>
      </c>
      <c r="G4097" s="6"/>
      <c r="H4097" s="6"/>
      <c r="I4097" s="6"/>
      <c r="J4097" s="6"/>
      <c r="K4097" s="6"/>
      <c r="L4097" s="6"/>
      <c r="M4097" s="6"/>
      <c r="N4097" s="6"/>
      <c r="O4097" s="6"/>
      <c r="P4097" s="6"/>
      <c r="Q4097" s="6"/>
      <c r="R4097" s="6"/>
      <c r="S4097" s="6"/>
      <c r="T4097" s="6"/>
      <c r="U4097" s="6"/>
      <c r="V4097" s="6"/>
      <c r="W4097" s="6"/>
      <c r="X4097" s="6"/>
      <c r="Y4097" s="6"/>
      <c r="Z4097" s="6"/>
    </row>
    <row r="4098" customFormat="false" ht="15" hidden="false" customHeight="false" outlineLevel="0" collapsed="false">
      <c r="A4098" s="9" t="s">
        <v>9941</v>
      </c>
      <c r="B4098" s="9" t="s">
        <v>5870</v>
      </c>
      <c r="C4098" s="9" t="s">
        <v>4363</v>
      </c>
      <c r="D4098" s="9" t="s">
        <v>5871</v>
      </c>
      <c r="E4098" s="9" t="str">
        <f aca="false">IF(AND('Formation Ledger'!A4077&lt;&gt;"",'Formation Ledger'!V4077=0),"PASS","FAIL")</f>
        <v>PASS</v>
      </c>
      <c r="F4098" s="9" t="s">
        <v>76</v>
      </c>
      <c r="G4098" s="6"/>
      <c r="H4098" s="6"/>
      <c r="I4098" s="6"/>
      <c r="J4098" s="6"/>
      <c r="K4098" s="6"/>
      <c r="L4098" s="6"/>
      <c r="M4098" s="6"/>
      <c r="N4098" s="6"/>
      <c r="O4098" s="6"/>
      <c r="P4098" s="6"/>
      <c r="Q4098" s="6"/>
      <c r="R4098" s="6"/>
      <c r="S4098" s="6"/>
      <c r="T4098" s="6"/>
      <c r="U4098" s="6"/>
      <c r="V4098" s="6"/>
      <c r="W4098" s="6"/>
      <c r="X4098" s="6"/>
      <c r="Y4098" s="6"/>
      <c r="Z4098" s="6"/>
    </row>
    <row r="4099" customFormat="false" ht="15" hidden="false" customHeight="false" outlineLevel="0" collapsed="false">
      <c r="A4099" s="9" t="s">
        <v>9942</v>
      </c>
      <c r="B4099" s="9" t="s">
        <v>5870</v>
      </c>
      <c r="C4099" s="9" t="s">
        <v>4364</v>
      </c>
      <c r="D4099" s="9" t="s">
        <v>5871</v>
      </c>
      <c r="E4099" s="9" t="str">
        <f aca="false">IF(AND('Formation Ledger'!A4078&lt;&gt;"",'Formation Ledger'!V4078=0),"PASS","FAIL")</f>
        <v>PASS</v>
      </c>
      <c r="F4099" s="9" t="s">
        <v>76</v>
      </c>
      <c r="G4099" s="6"/>
      <c r="H4099" s="6"/>
      <c r="I4099" s="6"/>
      <c r="J4099" s="6"/>
      <c r="K4099" s="6"/>
      <c r="L4099" s="6"/>
      <c r="M4099" s="6"/>
      <c r="N4099" s="6"/>
      <c r="O4099" s="6"/>
      <c r="P4099" s="6"/>
      <c r="Q4099" s="6"/>
      <c r="R4099" s="6"/>
      <c r="S4099" s="6"/>
      <c r="T4099" s="6"/>
      <c r="U4099" s="6"/>
      <c r="V4099" s="6"/>
      <c r="W4099" s="6"/>
      <c r="X4099" s="6"/>
      <c r="Y4099" s="6"/>
      <c r="Z4099" s="6"/>
    </row>
    <row r="4100" customFormat="false" ht="15" hidden="false" customHeight="false" outlineLevel="0" collapsed="false">
      <c r="A4100" s="9" t="s">
        <v>9943</v>
      </c>
      <c r="B4100" s="9" t="s">
        <v>5870</v>
      </c>
      <c r="C4100" s="9" t="s">
        <v>4365</v>
      </c>
      <c r="D4100" s="9" t="s">
        <v>5871</v>
      </c>
      <c r="E4100" s="9" t="str">
        <f aca="false">IF(AND('Formation Ledger'!A4079&lt;&gt;"",'Formation Ledger'!V4079=0),"PASS","FAIL")</f>
        <v>PASS</v>
      </c>
      <c r="F4100" s="9" t="s">
        <v>76</v>
      </c>
      <c r="G4100" s="6"/>
      <c r="H4100" s="6"/>
      <c r="I4100" s="6"/>
      <c r="J4100" s="6"/>
      <c r="K4100" s="6"/>
      <c r="L4100" s="6"/>
      <c r="M4100" s="6"/>
      <c r="N4100" s="6"/>
      <c r="O4100" s="6"/>
      <c r="P4100" s="6"/>
      <c r="Q4100" s="6"/>
      <c r="R4100" s="6"/>
      <c r="S4100" s="6"/>
      <c r="T4100" s="6"/>
      <c r="U4100" s="6"/>
      <c r="V4100" s="6"/>
      <c r="W4100" s="6"/>
      <c r="X4100" s="6"/>
      <c r="Y4100" s="6"/>
      <c r="Z4100" s="6"/>
    </row>
    <row r="4101" customFormat="false" ht="15" hidden="false" customHeight="false" outlineLevel="0" collapsed="false">
      <c r="A4101" s="9" t="s">
        <v>9944</v>
      </c>
      <c r="B4101" s="9" t="s">
        <v>5870</v>
      </c>
      <c r="C4101" s="9" t="s">
        <v>4366</v>
      </c>
      <c r="D4101" s="9" t="s">
        <v>5871</v>
      </c>
      <c r="E4101" s="9" t="str">
        <f aca="false">IF(AND('Formation Ledger'!A4080&lt;&gt;"",'Formation Ledger'!V4080=0),"PASS","FAIL")</f>
        <v>PASS</v>
      </c>
      <c r="F4101" s="9" t="s">
        <v>76</v>
      </c>
      <c r="G4101" s="6"/>
      <c r="H4101" s="6"/>
      <c r="I4101" s="6"/>
      <c r="J4101" s="6"/>
      <c r="K4101" s="6"/>
      <c r="L4101" s="6"/>
      <c r="M4101" s="6"/>
      <c r="N4101" s="6"/>
      <c r="O4101" s="6"/>
      <c r="P4101" s="6"/>
      <c r="Q4101" s="6"/>
      <c r="R4101" s="6"/>
      <c r="S4101" s="6"/>
      <c r="T4101" s="6"/>
      <c r="U4101" s="6"/>
      <c r="V4101" s="6"/>
      <c r="W4101" s="6"/>
      <c r="X4101" s="6"/>
      <c r="Y4101" s="6"/>
      <c r="Z4101" s="6"/>
    </row>
    <row r="4102" customFormat="false" ht="15" hidden="false" customHeight="false" outlineLevel="0" collapsed="false">
      <c r="A4102" s="9" t="s">
        <v>9945</v>
      </c>
      <c r="B4102" s="9" t="s">
        <v>5870</v>
      </c>
      <c r="C4102" s="9" t="s">
        <v>4367</v>
      </c>
      <c r="D4102" s="9" t="s">
        <v>5871</v>
      </c>
      <c r="E4102" s="9" t="str">
        <f aca="false">IF(AND('Formation Ledger'!A4081&lt;&gt;"",'Formation Ledger'!V4081=0),"PASS","FAIL")</f>
        <v>PASS</v>
      </c>
      <c r="F4102" s="9" t="s">
        <v>76</v>
      </c>
      <c r="G4102" s="6"/>
      <c r="H4102" s="6"/>
      <c r="I4102" s="6"/>
      <c r="J4102" s="6"/>
      <c r="K4102" s="6"/>
      <c r="L4102" s="6"/>
      <c r="M4102" s="6"/>
      <c r="N4102" s="6"/>
      <c r="O4102" s="6"/>
      <c r="P4102" s="6"/>
      <c r="Q4102" s="6"/>
      <c r="R4102" s="6"/>
      <c r="S4102" s="6"/>
      <c r="T4102" s="6"/>
      <c r="U4102" s="6"/>
      <c r="V4102" s="6"/>
      <c r="W4102" s="6"/>
      <c r="X4102" s="6"/>
      <c r="Y4102" s="6"/>
      <c r="Z4102" s="6"/>
    </row>
    <row r="4103" customFormat="false" ht="15" hidden="false" customHeight="false" outlineLevel="0" collapsed="false">
      <c r="A4103" s="9" t="s">
        <v>9946</v>
      </c>
      <c r="B4103" s="9" t="s">
        <v>5870</v>
      </c>
      <c r="C4103" s="9" t="s">
        <v>4368</v>
      </c>
      <c r="D4103" s="9" t="s">
        <v>5871</v>
      </c>
      <c r="E4103" s="9" t="str">
        <f aca="false">IF(AND('Formation Ledger'!A4082&lt;&gt;"",'Formation Ledger'!V4082=0),"PASS","FAIL")</f>
        <v>PASS</v>
      </c>
      <c r="F4103" s="9" t="s">
        <v>76</v>
      </c>
      <c r="G4103" s="6"/>
      <c r="H4103" s="6"/>
      <c r="I4103" s="6"/>
      <c r="J4103" s="6"/>
      <c r="K4103" s="6"/>
      <c r="L4103" s="6"/>
      <c r="M4103" s="6"/>
      <c r="N4103" s="6"/>
      <c r="O4103" s="6"/>
      <c r="P4103" s="6"/>
      <c r="Q4103" s="6"/>
      <c r="R4103" s="6"/>
      <c r="S4103" s="6"/>
      <c r="T4103" s="6"/>
      <c r="U4103" s="6"/>
      <c r="V4103" s="6"/>
      <c r="W4103" s="6"/>
      <c r="X4103" s="6"/>
      <c r="Y4103" s="6"/>
      <c r="Z4103" s="6"/>
    </row>
    <row r="4104" customFormat="false" ht="15" hidden="false" customHeight="false" outlineLevel="0" collapsed="false">
      <c r="A4104" s="9" t="s">
        <v>9947</v>
      </c>
      <c r="B4104" s="9" t="s">
        <v>5870</v>
      </c>
      <c r="C4104" s="9" t="s">
        <v>4369</v>
      </c>
      <c r="D4104" s="9" t="s">
        <v>5871</v>
      </c>
      <c r="E4104" s="9" t="str">
        <f aca="false">IF(AND('Formation Ledger'!A4083&lt;&gt;"",'Formation Ledger'!V4083=0),"PASS","FAIL")</f>
        <v>PASS</v>
      </c>
      <c r="F4104" s="9" t="s">
        <v>76</v>
      </c>
      <c r="G4104" s="6"/>
      <c r="H4104" s="6"/>
      <c r="I4104" s="6"/>
      <c r="J4104" s="6"/>
      <c r="K4104" s="6"/>
      <c r="L4104" s="6"/>
      <c r="M4104" s="6"/>
      <c r="N4104" s="6"/>
      <c r="O4104" s="6"/>
      <c r="P4104" s="6"/>
      <c r="Q4104" s="6"/>
      <c r="R4104" s="6"/>
      <c r="S4104" s="6"/>
      <c r="T4104" s="6"/>
      <c r="U4104" s="6"/>
      <c r="V4104" s="6"/>
      <c r="W4104" s="6"/>
      <c r="X4104" s="6"/>
      <c r="Y4104" s="6"/>
      <c r="Z4104" s="6"/>
    </row>
    <row r="4105" customFormat="false" ht="15" hidden="false" customHeight="false" outlineLevel="0" collapsed="false">
      <c r="A4105" s="9" t="s">
        <v>9948</v>
      </c>
      <c r="B4105" s="9" t="s">
        <v>5870</v>
      </c>
      <c r="C4105" s="9" t="s">
        <v>4370</v>
      </c>
      <c r="D4105" s="9" t="s">
        <v>5871</v>
      </c>
      <c r="E4105" s="9" t="str">
        <f aca="false">IF(AND('Formation Ledger'!A4084&lt;&gt;"",'Formation Ledger'!V4084=0),"PASS","FAIL")</f>
        <v>PASS</v>
      </c>
      <c r="F4105" s="9" t="s">
        <v>76</v>
      </c>
      <c r="G4105" s="6"/>
      <c r="H4105" s="6"/>
      <c r="I4105" s="6"/>
      <c r="J4105" s="6"/>
      <c r="K4105" s="6"/>
      <c r="L4105" s="6"/>
      <c r="M4105" s="6"/>
      <c r="N4105" s="6"/>
      <c r="O4105" s="6"/>
      <c r="P4105" s="6"/>
      <c r="Q4105" s="6"/>
      <c r="R4105" s="6"/>
      <c r="S4105" s="6"/>
      <c r="T4105" s="6"/>
      <c r="U4105" s="6"/>
      <c r="V4105" s="6"/>
      <c r="W4105" s="6"/>
      <c r="X4105" s="6"/>
      <c r="Y4105" s="6"/>
      <c r="Z4105" s="6"/>
    </row>
    <row r="4106" customFormat="false" ht="15" hidden="false" customHeight="false" outlineLevel="0" collapsed="false">
      <c r="A4106" s="9" t="s">
        <v>9949</v>
      </c>
      <c r="B4106" s="9" t="s">
        <v>5870</v>
      </c>
      <c r="C4106" s="9" t="s">
        <v>4371</v>
      </c>
      <c r="D4106" s="9" t="s">
        <v>5871</v>
      </c>
      <c r="E4106" s="9" t="str">
        <f aca="false">IF(AND('Formation Ledger'!A4085&lt;&gt;"",'Formation Ledger'!V4085=0),"PASS","FAIL")</f>
        <v>PASS</v>
      </c>
      <c r="F4106" s="9" t="s">
        <v>76</v>
      </c>
      <c r="G4106" s="6"/>
      <c r="H4106" s="6"/>
      <c r="I4106" s="6"/>
      <c r="J4106" s="6"/>
      <c r="K4106" s="6"/>
      <c r="L4106" s="6"/>
      <c r="M4106" s="6"/>
      <c r="N4106" s="6"/>
      <c r="O4106" s="6"/>
      <c r="P4106" s="6"/>
      <c r="Q4106" s="6"/>
      <c r="R4106" s="6"/>
      <c r="S4106" s="6"/>
      <c r="T4106" s="6"/>
      <c r="U4106" s="6"/>
      <c r="V4106" s="6"/>
      <c r="W4106" s="6"/>
      <c r="X4106" s="6"/>
      <c r="Y4106" s="6"/>
      <c r="Z4106" s="6"/>
    </row>
    <row r="4107" customFormat="false" ht="15" hidden="false" customHeight="false" outlineLevel="0" collapsed="false">
      <c r="A4107" s="9" t="s">
        <v>9950</v>
      </c>
      <c r="B4107" s="9" t="s">
        <v>5870</v>
      </c>
      <c r="C4107" s="9" t="s">
        <v>4372</v>
      </c>
      <c r="D4107" s="9" t="s">
        <v>5871</v>
      </c>
      <c r="E4107" s="9" t="str">
        <f aca="false">IF(AND('Formation Ledger'!A4086&lt;&gt;"",'Formation Ledger'!V4086=0),"PASS","FAIL")</f>
        <v>PASS</v>
      </c>
      <c r="F4107" s="9" t="s">
        <v>76</v>
      </c>
      <c r="G4107" s="6"/>
      <c r="H4107" s="6"/>
      <c r="I4107" s="6"/>
      <c r="J4107" s="6"/>
      <c r="K4107" s="6"/>
      <c r="L4107" s="6"/>
      <c r="M4107" s="6"/>
      <c r="N4107" s="6"/>
      <c r="O4107" s="6"/>
      <c r="P4107" s="6"/>
      <c r="Q4107" s="6"/>
      <c r="R4107" s="6"/>
      <c r="S4107" s="6"/>
      <c r="T4107" s="6"/>
      <c r="U4107" s="6"/>
      <c r="V4107" s="6"/>
      <c r="W4107" s="6"/>
      <c r="X4107" s="6"/>
      <c r="Y4107" s="6"/>
      <c r="Z4107" s="6"/>
    </row>
    <row r="4108" customFormat="false" ht="15" hidden="false" customHeight="false" outlineLevel="0" collapsed="false">
      <c r="A4108" s="9" t="s">
        <v>9951</v>
      </c>
      <c r="B4108" s="9" t="s">
        <v>5870</v>
      </c>
      <c r="C4108" s="9" t="s">
        <v>4373</v>
      </c>
      <c r="D4108" s="9" t="s">
        <v>5871</v>
      </c>
      <c r="E4108" s="9" t="str">
        <f aca="false">IF(AND('Formation Ledger'!A4087&lt;&gt;"",'Formation Ledger'!V4087=0),"PASS","FAIL")</f>
        <v>PASS</v>
      </c>
      <c r="F4108" s="9" t="s">
        <v>76</v>
      </c>
      <c r="G4108" s="6"/>
      <c r="H4108" s="6"/>
      <c r="I4108" s="6"/>
      <c r="J4108" s="6"/>
      <c r="K4108" s="6"/>
      <c r="L4108" s="6"/>
      <c r="M4108" s="6"/>
      <c r="N4108" s="6"/>
      <c r="O4108" s="6"/>
      <c r="P4108" s="6"/>
      <c r="Q4108" s="6"/>
      <c r="R4108" s="6"/>
      <c r="S4108" s="6"/>
      <c r="T4108" s="6"/>
      <c r="U4108" s="6"/>
      <c r="V4108" s="6"/>
      <c r="W4108" s="6"/>
      <c r="X4108" s="6"/>
      <c r="Y4108" s="6"/>
      <c r="Z4108" s="6"/>
    </row>
    <row r="4109" customFormat="false" ht="15" hidden="false" customHeight="false" outlineLevel="0" collapsed="false">
      <c r="A4109" s="9" t="s">
        <v>9952</v>
      </c>
      <c r="B4109" s="9" t="s">
        <v>5870</v>
      </c>
      <c r="C4109" s="9" t="s">
        <v>4374</v>
      </c>
      <c r="D4109" s="9" t="s">
        <v>5871</v>
      </c>
      <c r="E4109" s="9" t="str">
        <f aca="false">IF(AND('Formation Ledger'!A4088&lt;&gt;"",'Formation Ledger'!V4088=0),"PASS","FAIL")</f>
        <v>PASS</v>
      </c>
      <c r="F4109" s="9" t="s">
        <v>76</v>
      </c>
      <c r="G4109" s="6"/>
      <c r="H4109" s="6"/>
      <c r="I4109" s="6"/>
      <c r="J4109" s="6"/>
      <c r="K4109" s="6"/>
      <c r="L4109" s="6"/>
      <c r="M4109" s="6"/>
      <c r="N4109" s="6"/>
      <c r="O4109" s="6"/>
      <c r="P4109" s="6"/>
      <c r="Q4109" s="6"/>
      <c r="R4109" s="6"/>
      <c r="S4109" s="6"/>
      <c r="T4109" s="6"/>
      <c r="U4109" s="6"/>
      <c r="V4109" s="6"/>
      <c r="W4109" s="6"/>
      <c r="X4109" s="6"/>
      <c r="Y4109" s="6"/>
      <c r="Z4109" s="6"/>
    </row>
    <row r="4110" customFormat="false" ht="15" hidden="false" customHeight="false" outlineLevel="0" collapsed="false">
      <c r="A4110" s="9" t="s">
        <v>9953</v>
      </c>
      <c r="B4110" s="9" t="s">
        <v>5870</v>
      </c>
      <c r="C4110" s="9" t="s">
        <v>4375</v>
      </c>
      <c r="D4110" s="9" t="s">
        <v>5871</v>
      </c>
      <c r="E4110" s="9" t="str">
        <f aca="false">IF(AND('Formation Ledger'!A4089&lt;&gt;"",'Formation Ledger'!V4089=0),"PASS","FAIL")</f>
        <v>PASS</v>
      </c>
      <c r="F4110" s="9" t="s">
        <v>76</v>
      </c>
      <c r="G4110" s="6"/>
      <c r="H4110" s="6"/>
      <c r="I4110" s="6"/>
      <c r="J4110" s="6"/>
      <c r="K4110" s="6"/>
      <c r="L4110" s="6"/>
      <c r="M4110" s="6"/>
      <c r="N4110" s="6"/>
      <c r="O4110" s="6"/>
      <c r="P4110" s="6"/>
      <c r="Q4110" s="6"/>
      <c r="R4110" s="6"/>
      <c r="S4110" s="6"/>
      <c r="T4110" s="6"/>
      <c r="U4110" s="6"/>
      <c r="V4110" s="6"/>
      <c r="W4110" s="6"/>
      <c r="X4110" s="6"/>
      <c r="Y4110" s="6"/>
      <c r="Z4110" s="6"/>
    </row>
    <row r="4111" customFormat="false" ht="15" hidden="false" customHeight="false" outlineLevel="0" collapsed="false">
      <c r="A4111" s="9" t="s">
        <v>9954</v>
      </c>
      <c r="B4111" s="9" t="s">
        <v>5870</v>
      </c>
      <c r="C4111" s="9" t="s">
        <v>4376</v>
      </c>
      <c r="D4111" s="9" t="s">
        <v>5871</v>
      </c>
      <c r="E4111" s="9" t="str">
        <f aca="false">IF(AND('Formation Ledger'!A4090&lt;&gt;"",'Formation Ledger'!V4090=0),"PASS","FAIL")</f>
        <v>PASS</v>
      </c>
      <c r="F4111" s="9" t="s">
        <v>76</v>
      </c>
      <c r="G4111" s="6"/>
      <c r="H4111" s="6"/>
      <c r="I4111" s="6"/>
      <c r="J4111" s="6"/>
      <c r="K4111" s="6"/>
      <c r="L4111" s="6"/>
      <c r="M4111" s="6"/>
      <c r="N4111" s="6"/>
      <c r="O4111" s="6"/>
      <c r="P4111" s="6"/>
      <c r="Q4111" s="6"/>
      <c r="R4111" s="6"/>
      <c r="S4111" s="6"/>
      <c r="T4111" s="6"/>
      <c r="U4111" s="6"/>
      <c r="V4111" s="6"/>
      <c r="W4111" s="6"/>
      <c r="X4111" s="6"/>
      <c r="Y4111" s="6"/>
      <c r="Z4111" s="6"/>
    </row>
    <row r="4112" customFormat="false" ht="15" hidden="false" customHeight="false" outlineLevel="0" collapsed="false">
      <c r="A4112" s="9" t="s">
        <v>9955</v>
      </c>
      <c r="B4112" s="9" t="s">
        <v>5870</v>
      </c>
      <c r="C4112" s="9" t="s">
        <v>4377</v>
      </c>
      <c r="D4112" s="9" t="s">
        <v>5871</v>
      </c>
      <c r="E4112" s="9" t="str">
        <f aca="false">IF(AND('Formation Ledger'!A4091&lt;&gt;"",'Formation Ledger'!V4091=0),"PASS","FAIL")</f>
        <v>PASS</v>
      </c>
      <c r="F4112" s="9" t="s">
        <v>76</v>
      </c>
      <c r="G4112" s="6"/>
      <c r="H4112" s="6"/>
      <c r="I4112" s="6"/>
      <c r="J4112" s="6"/>
      <c r="K4112" s="6"/>
      <c r="L4112" s="6"/>
      <c r="M4112" s="6"/>
      <c r="N4112" s="6"/>
      <c r="O4112" s="6"/>
      <c r="P4112" s="6"/>
      <c r="Q4112" s="6"/>
      <c r="R4112" s="6"/>
      <c r="S4112" s="6"/>
      <c r="T4112" s="6"/>
      <c r="U4112" s="6"/>
      <c r="V4112" s="6"/>
      <c r="W4112" s="6"/>
      <c r="X4112" s="6"/>
      <c r="Y4112" s="6"/>
      <c r="Z4112" s="6"/>
    </row>
    <row r="4113" customFormat="false" ht="15" hidden="false" customHeight="false" outlineLevel="0" collapsed="false">
      <c r="A4113" s="9" t="s">
        <v>9956</v>
      </c>
      <c r="B4113" s="9" t="s">
        <v>5870</v>
      </c>
      <c r="C4113" s="9" t="s">
        <v>4378</v>
      </c>
      <c r="D4113" s="9" t="s">
        <v>5871</v>
      </c>
      <c r="E4113" s="9" t="str">
        <f aca="false">IF(AND('Formation Ledger'!A4092&lt;&gt;"",'Formation Ledger'!V4092=0),"PASS","FAIL")</f>
        <v>PASS</v>
      </c>
      <c r="F4113" s="9" t="s">
        <v>76</v>
      </c>
      <c r="G4113" s="6"/>
      <c r="H4113" s="6"/>
      <c r="I4113" s="6"/>
      <c r="J4113" s="6"/>
      <c r="K4113" s="6"/>
      <c r="L4113" s="6"/>
      <c r="M4113" s="6"/>
      <c r="N4113" s="6"/>
      <c r="O4113" s="6"/>
      <c r="P4113" s="6"/>
      <c r="Q4113" s="6"/>
      <c r="R4113" s="6"/>
      <c r="S4113" s="6"/>
      <c r="T4113" s="6"/>
      <c r="U4113" s="6"/>
      <c r="V4113" s="6"/>
      <c r="W4113" s="6"/>
      <c r="X4113" s="6"/>
      <c r="Y4113" s="6"/>
      <c r="Z4113" s="6"/>
    </row>
    <row r="4114" customFormat="false" ht="15" hidden="false" customHeight="false" outlineLevel="0" collapsed="false">
      <c r="A4114" s="9" t="s">
        <v>9957</v>
      </c>
      <c r="B4114" s="9" t="s">
        <v>5870</v>
      </c>
      <c r="C4114" s="9" t="s">
        <v>4379</v>
      </c>
      <c r="D4114" s="9" t="s">
        <v>5871</v>
      </c>
      <c r="E4114" s="9" t="str">
        <f aca="false">IF(AND('Formation Ledger'!A4093&lt;&gt;"",'Formation Ledger'!V4093=0),"PASS","FAIL")</f>
        <v>PASS</v>
      </c>
      <c r="F4114" s="9" t="s">
        <v>76</v>
      </c>
      <c r="G4114" s="6"/>
      <c r="H4114" s="6"/>
      <c r="I4114" s="6"/>
      <c r="J4114" s="6"/>
      <c r="K4114" s="6"/>
      <c r="L4114" s="6"/>
      <c r="M4114" s="6"/>
      <c r="N4114" s="6"/>
      <c r="O4114" s="6"/>
      <c r="P4114" s="6"/>
      <c r="Q4114" s="6"/>
      <c r="R4114" s="6"/>
      <c r="S4114" s="6"/>
      <c r="T4114" s="6"/>
      <c r="U4114" s="6"/>
      <c r="V4114" s="6"/>
      <c r="W4114" s="6"/>
      <c r="X4114" s="6"/>
      <c r="Y4114" s="6"/>
      <c r="Z4114" s="6"/>
    </row>
    <row r="4115" customFormat="false" ht="15" hidden="false" customHeight="false" outlineLevel="0" collapsed="false">
      <c r="A4115" s="9" t="s">
        <v>9958</v>
      </c>
      <c r="B4115" s="9" t="s">
        <v>5870</v>
      </c>
      <c r="C4115" s="9" t="s">
        <v>4380</v>
      </c>
      <c r="D4115" s="9" t="s">
        <v>5871</v>
      </c>
      <c r="E4115" s="9" t="str">
        <f aca="false">IF(AND('Formation Ledger'!A4094&lt;&gt;"",'Formation Ledger'!V4094=0),"PASS","FAIL")</f>
        <v>PASS</v>
      </c>
      <c r="F4115" s="9" t="s">
        <v>76</v>
      </c>
      <c r="G4115" s="6"/>
      <c r="H4115" s="6"/>
      <c r="I4115" s="6"/>
      <c r="J4115" s="6"/>
      <c r="K4115" s="6"/>
      <c r="L4115" s="6"/>
      <c r="M4115" s="6"/>
      <c r="N4115" s="6"/>
      <c r="O4115" s="6"/>
      <c r="P4115" s="6"/>
      <c r="Q4115" s="6"/>
      <c r="R4115" s="6"/>
      <c r="S4115" s="6"/>
      <c r="T4115" s="6"/>
      <c r="U4115" s="6"/>
      <c r="V4115" s="6"/>
      <c r="W4115" s="6"/>
      <c r="X4115" s="6"/>
      <c r="Y4115" s="6"/>
      <c r="Z4115" s="6"/>
    </row>
    <row r="4116" customFormat="false" ht="15" hidden="false" customHeight="false" outlineLevel="0" collapsed="false">
      <c r="A4116" s="9" t="s">
        <v>9959</v>
      </c>
      <c r="B4116" s="9" t="s">
        <v>5870</v>
      </c>
      <c r="C4116" s="9" t="s">
        <v>4381</v>
      </c>
      <c r="D4116" s="9" t="s">
        <v>5871</v>
      </c>
      <c r="E4116" s="9" t="str">
        <f aca="false">IF(AND('Formation Ledger'!A4095&lt;&gt;"",'Formation Ledger'!V4095=0),"PASS","FAIL")</f>
        <v>PASS</v>
      </c>
      <c r="F4116" s="9" t="s">
        <v>76</v>
      </c>
      <c r="G4116" s="6"/>
      <c r="H4116" s="6"/>
      <c r="I4116" s="6"/>
      <c r="J4116" s="6"/>
      <c r="K4116" s="6"/>
      <c r="L4116" s="6"/>
      <c r="M4116" s="6"/>
      <c r="N4116" s="6"/>
      <c r="O4116" s="6"/>
      <c r="P4116" s="6"/>
      <c r="Q4116" s="6"/>
      <c r="R4116" s="6"/>
      <c r="S4116" s="6"/>
      <c r="T4116" s="6"/>
      <c r="U4116" s="6"/>
      <c r="V4116" s="6"/>
      <c r="W4116" s="6"/>
      <c r="X4116" s="6"/>
      <c r="Y4116" s="6"/>
      <c r="Z4116" s="6"/>
    </row>
    <row r="4117" customFormat="false" ht="15" hidden="false" customHeight="false" outlineLevel="0" collapsed="false">
      <c r="A4117" s="9" t="s">
        <v>9960</v>
      </c>
      <c r="B4117" s="9" t="s">
        <v>5870</v>
      </c>
      <c r="C4117" s="9" t="s">
        <v>4382</v>
      </c>
      <c r="D4117" s="9" t="s">
        <v>5871</v>
      </c>
      <c r="E4117" s="9" t="str">
        <f aca="false">IF(AND('Formation Ledger'!A4096&lt;&gt;"",'Formation Ledger'!V4096=0),"PASS","FAIL")</f>
        <v>PASS</v>
      </c>
      <c r="F4117" s="9" t="s">
        <v>76</v>
      </c>
      <c r="G4117" s="6"/>
      <c r="H4117" s="6"/>
      <c r="I4117" s="6"/>
      <c r="J4117" s="6"/>
      <c r="K4117" s="6"/>
      <c r="L4117" s="6"/>
      <c r="M4117" s="6"/>
      <c r="N4117" s="6"/>
      <c r="O4117" s="6"/>
      <c r="P4117" s="6"/>
      <c r="Q4117" s="6"/>
      <c r="R4117" s="6"/>
      <c r="S4117" s="6"/>
      <c r="T4117" s="6"/>
      <c r="U4117" s="6"/>
      <c r="V4117" s="6"/>
      <c r="W4117" s="6"/>
      <c r="X4117" s="6"/>
      <c r="Y4117" s="6"/>
      <c r="Z4117" s="6"/>
    </row>
    <row r="4118" customFormat="false" ht="15" hidden="false" customHeight="false" outlineLevel="0" collapsed="false">
      <c r="A4118" s="9" t="s">
        <v>9961</v>
      </c>
      <c r="B4118" s="9" t="s">
        <v>5870</v>
      </c>
      <c r="C4118" s="9" t="s">
        <v>4383</v>
      </c>
      <c r="D4118" s="9" t="s">
        <v>5871</v>
      </c>
      <c r="E4118" s="9" t="str">
        <f aca="false">IF(AND('Formation Ledger'!A4097&lt;&gt;"",'Formation Ledger'!V4097=0),"PASS","FAIL")</f>
        <v>PASS</v>
      </c>
      <c r="F4118" s="9" t="s">
        <v>76</v>
      </c>
      <c r="G4118" s="6"/>
      <c r="H4118" s="6"/>
      <c r="I4118" s="6"/>
      <c r="J4118" s="6"/>
      <c r="K4118" s="6"/>
      <c r="L4118" s="6"/>
      <c r="M4118" s="6"/>
      <c r="N4118" s="6"/>
      <c r="O4118" s="6"/>
      <c r="P4118" s="6"/>
      <c r="Q4118" s="6"/>
      <c r="R4118" s="6"/>
      <c r="S4118" s="6"/>
      <c r="T4118" s="6"/>
      <c r="U4118" s="6"/>
      <c r="V4118" s="6"/>
      <c r="W4118" s="6"/>
      <c r="X4118" s="6"/>
      <c r="Y4118" s="6"/>
      <c r="Z4118" s="6"/>
    </row>
    <row r="4119" customFormat="false" ht="15" hidden="false" customHeight="false" outlineLevel="0" collapsed="false">
      <c r="A4119" s="9" t="s">
        <v>9962</v>
      </c>
      <c r="B4119" s="9" t="s">
        <v>5870</v>
      </c>
      <c r="C4119" s="9" t="s">
        <v>4384</v>
      </c>
      <c r="D4119" s="9" t="s">
        <v>5871</v>
      </c>
      <c r="E4119" s="9" t="str">
        <f aca="false">IF(AND('Formation Ledger'!A4098&lt;&gt;"",'Formation Ledger'!V4098=0),"PASS","FAIL")</f>
        <v>PASS</v>
      </c>
      <c r="F4119" s="9" t="s">
        <v>76</v>
      </c>
      <c r="G4119" s="6"/>
      <c r="H4119" s="6"/>
      <c r="I4119" s="6"/>
      <c r="J4119" s="6"/>
      <c r="K4119" s="6"/>
      <c r="L4119" s="6"/>
      <c r="M4119" s="6"/>
      <c r="N4119" s="6"/>
      <c r="O4119" s="6"/>
      <c r="P4119" s="6"/>
      <c r="Q4119" s="6"/>
      <c r="R4119" s="6"/>
      <c r="S4119" s="6"/>
      <c r="T4119" s="6"/>
      <c r="U4119" s="6"/>
      <c r="V4119" s="6"/>
      <c r="W4119" s="6"/>
      <c r="X4119" s="6"/>
      <c r="Y4119" s="6"/>
      <c r="Z4119" s="6"/>
    </row>
    <row r="4120" customFormat="false" ht="15" hidden="false" customHeight="false" outlineLevel="0" collapsed="false">
      <c r="A4120" s="9" t="s">
        <v>9963</v>
      </c>
      <c r="B4120" s="9" t="s">
        <v>5870</v>
      </c>
      <c r="C4120" s="9" t="s">
        <v>4385</v>
      </c>
      <c r="D4120" s="9" t="s">
        <v>5871</v>
      </c>
      <c r="E4120" s="9" t="str">
        <f aca="false">IF(AND('Formation Ledger'!A4099&lt;&gt;"",'Formation Ledger'!V4099=0),"PASS","FAIL")</f>
        <v>PASS</v>
      </c>
      <c r="F4120" s="9" t="s">
        <v>76</v>
      </c>
      <c r="G4120" s="6"/>
      <c r="H4120" s="6"/>
      <c r="I4120" s="6"/>
      <c r="J4120" s="6"/>
      <c r="K4120" s="6"/>
      <c r="L4120" s="6"/>
      <c r="M4120" s="6"/>
      <c r="N4120" s="6"/>
      <c r="O4120" s="6"/>
      <c r="P4120" s="6"/>
      <c r="Q4120" s="6"/>
      <c r="R4120" s="6"/>
      <c r="S4120" s="6"/>
      <c r="T4120" s="6"/>
      <c r="U4120" s="6"/>
      <c r="V4120" s="6"/>
      <c r="W4120" s="6"/>
      <c r="X4120" s="6"/>
      <c r="Y4120" s="6"/>
      <c r="Z4120" s="6"/>
    </row>
    <row r="4121" customFormat="false" ht="15" hidden="false" customHeight="false" outlineLevel="0" collapsed="false">
      <c r="A4121" s="9" t="s">
        <v>9964</v>
      </c>
      <c r="B4121" s="9" t="s">
        <v>5870</v>
      </c>
      <c r="C4121" s="9" t="s">
        <v>4386</v>
      </c>
      <c r="D4121" s="9" t="s">
        <v>5871</v>
      </c>
      <c r="E4121" s="9" t="str">
        <f aca="false">IF(AND('Formation Ledger'!A4100&lt;&gt;"",'Formation Ledger'!V4100=0),"PASS","FAIL")</f>
        <v>PASS</v>
      </c>
      <c r="F4121" s="9" t="s">
        <v>76</v>
      </c>
      <c r="G4121" s="6"/>
      <c r="H4121" s="6"/>
      <c r="I4121" s="6"/>
      <c r="J4121" s="6"/>
      <c r="K4121" s="6"/>
      <c r="L4121" s="6"/>
      <c r="M4121" s="6"/>
      <c r="N4121" s="6"/>
      <c r="O4121" s="6"/>
      <c r="P4121" s="6"/>
      <c r="Q4121" s="6"/>
      <c r="R4121" s="6"/>
      <c r="S4121" s="6"/>
      <c r="T4121" s="6"/>
      <c r="U4121" s="6"/>
      <c r="V4121" s="6"/>
      <c r="W4121" s="6"/>
      <c r="X4121" s="6"/>
      <c r="Y4121" s="6"/>
      <c r="Z4121" s="6"/>
    </row>
    <row r="4122" customFormat="false" ht="15" hidden="false" customHeight="false" outlineLevel="0" collapsed="false">
      <c r="A4122" s="9" t="s">
        <v>9965</v>
      </c>
      <c r="B4122" s="9" t="s">
        <v>5870</v>
      </c>
      <c r="C4122" s="9" t="s">
        <v>4387</v>
      </c>
      <c r="D4122" s="9" t="s">
        <v>5871</v>
      </c>
      <c r="E4122" s="9" t="str">
        <f aca="false">IF(AND('Formation Ledger'!A4101&lt;&gt;"",'Formation Ledger'!V4101=0),"PASS","FAIL")</f>
        <v>PASS</v>
      </c>
      <c r="F4122" s="9" t="s">
        <v>76</v>
      </c>
      <c r="G4122" s="6"/>
      <c r="H4122" s="6"/>
      <c r="I4122" s="6"/>
      <c r="J4122" s="6"/>
      <c r="K4122" s="6"/>
      <c r="L4122" s="6"/>
      <c r="M4122" s="6"/>
      <c r="N4122" s="6"/>
      <c r="O4122" s="6"/>
      <c r="P4122" s="6"/>
      <c r="Q4122" s="6"/>
      <c r="R4122" s="6"/>
      <c r="S4122" s="6"/>
      <c r="T4122" s="6"/>
      <c r="U4122" s="6"/>
      <c r="V4122" s="6"/>
      <c r="W4122" s="6"/>
      <c r="X4122" s="6"/>
      <c r="Y4122" s="6"/>
      <c r="Z4122" s="6"/>
    </row>
    <row r="4123" customFormat="false" ht="15" hidden="false" customHeight="false" outlineLevel="0" collapsed="false">
      <c r="A4123" s="9" t="s">
        <v>9966</v>
      </c>
      <c r="B4123" s="9" t="s">
        <v>5870</v>
      </c>
      <c r="C4123" s="9" t="s">
        <v>4388</v>
      </c>
      <c r="D4123" s="9" t="s">
        <v>5871</v>
      </c>
      <c r="E4123" s="9" t="str">
        <f aca="false">IF(AND('Formation Ledger'!A4102&lt;&gt;"",'Formation Ledger'!V4102=0),"PASS","FAIL")</f>
        <v>PASS</v>
      </c>
      <c r="F4123" s="9" t="s">
        <v>76</v>
      </c>
      <c r="G4123" s="6"/>
      <c r="H4123" s="6"/>
      <c r="I4123" s="6"/>
      <c r="J4123" s="6"/>
      <c r="K4123" s="6"/>
      <c r="L4123" s="6"/>
      <c r="M4123" s="6"/>
      <c r="N4123" s="6"/>
      <c r="O4123" s="6"/>
      <c r="P4123" s="6"/>
      <c r="Q4123" s="6"/>
      <c r="R4123" s="6"/>
      <c r="S4123" s="6"/>
      <c r="T4123" s="6"/>
      <c r="U4123" s="6"/>
      <c r="V4123" s="6"/>
      <c r="W4123" s="6"/>
      <c r="X4123" s="6"/>
      <c r="Y4123" s="6"/>
      <c r="Z4123" s="6"/>
    </row>
    <row r="4124" customFormat="false" ht="15" hidden="false" customHeight="false" outlineLevel="0" collapsed="false">
      <c r="A4124" s="9" t="s">
        <v>9967</v>
      </c>
      <c r="B4124" s="9" t="s">
        <v>5870</v>
      </c>
      <c r="C4124" s="9" t="s">
        <v>4389</v>
      </c>
      <c r="D4124" s="9" t="s">
        <v>5871</v>
      </c>
      <c r="E4124" s="9" t="str">
        <f aca="false">IF(AND('Formation Ledger'!A4103&lt;&gt;"",'Formation Ledger'!V4103=0),"PASS","FAIL")</f>
        <v>PASS</v>
      </c>
      <c r="F4124" s="9" t="s">
        <v>76</v>
      </c>
      <c r="G4124" s="6"/>
      <c r="H4124" s="6"/>
      <c r="I4124" s="6"/>
      <c r="J4124" s="6"/>
      <c r="K4124" s="6"/>
      <c r="L4124" s="6"/>
      <c r="M4124" s="6"/>
      <c r="N4124" s="6"/>
      <c r="O4124" s="6"/>
      <c r="P4124" s="6"/>
      <c r="Q4124" s="6"/>
      <c r="R4124" s="6"/>
      <c r="S4124" s="6"/>
      <c r="T4124" s="6"/>
      <c r="U4124" s="6"/>
      <c r="V4124" s="6"/>
      <c r="W4124" s="6"/>
      <c r="X4124" s="6"/>
      <c r="Y4124" s="6"/>
      <c r="Z4124" s="6"/>
    </row>
    <row r="4125" customFormat="false" ht="15" hidden="false" customHeight="false" outlineLevel="0" collapsed="false">
      <c r="A4125" s="9" t="s">
        <v>9968</v>
      </c>
      <c r="B4125" s="9" t="s">
        <v>5870</v>
      </c>
      <c r="C4125" s="9" t="s">
        <v>4390</v>
      </c>
      <c r="D4125" s="9" t="s">
        <v>5871</v>
      </c>
      <c r="E4125" s="9" t="str">
        <f aca="false">IF(AND('Formation Ledger'!A4104&lt;&gt;"",'Formation Ledger'!V4104=0),"PASS","FAIL")</f>
        <v>PASS</v>
      </c>
      <c r="F4125" s="9" t="s">
        <v>76</v>
      </c>
      <c r="G4125" s="6"/>
      <c r="H4125" s="6"/>
      <c r="I4125" s="6"/>
      <c r="J4125" s="6"/>
      <c r="K4125" s="6"/>
      <c r="L4125" s="6"/>
      <c r="M4125" s="6"/>
      <c r="N4125" s="6"/>
      <c r="O4125" s="6"/>
      <c r="P4125" s="6"/>
      <c r="Q4125" s="6"/>
      <c r="R4125" s="6"/>
      <c r="S4125" s="6"/>
      <c r="T4125" s="6"/>
      <c r="U4125" s="6"/>
      <c r="V4125" s="6"/>
      <c r="W4125" s="6"/>
      <c r="X4125" s="6"/>
      <c r="Y4125" s="6"/>
      <c r="Z4125" s="6"/>
    </row>
    <row r="4126" customFormat="false" ht="15" hidden="false" customHeight="false" outlineLevel="0" collapsed="false">
      <c r="A4126" s="9" t="s">
        <v>9969</v>
      </c>
      <c r="B4126" s="9" t="s">
        <v>5870</v>
      </c>
      <c r="C4126" s="9" t="s">
        <v>4391</v>
      </c>
      <c r="D4126" s="9" t="s">
        <v>5871</v>
      </c>
      <c r="E4126" s="9" t="str">
        <f aca="false">IF(AND('Formation Ledger'!A4105&lt;&gt;"",'Formation Ledger'!V4105=0),"PASS","FAIL")</f>
        <v>PASS</v>
      </c>
      <c r="F4126" s="9" t="s">
        <v>76</v>
      </c>
      <c r="G4126" s="6"/>
      <c r="H4126" s="6"/>
      <c r="I4126" s="6"/>
      <c r="J4126" s="6"/>
      <c r="K4126" s="6"/>
      <c r="L4126" s="6"/>
      <c r="M4126" s="6"/>
      <c r="N4126" s="6"/>
      <c r="O4126" s="6"/>
      <c r="P4126" s="6"/>
      <c r="Q4126" s="6"/>
      <c r="R4126" s="6"/>
      <c r="S4126" s="6"/>
      <c r="T4126" s="6"/>
      <c r="U4126" s="6"/>
      <c r="V4126" s="6"/>
      <c r="W4126" s="6"/>
      <c r="X4126" s="6"/>
      <c r="Y4126" s="6"/>
      <c r="Z4126" s="6"/>
    </row>
    <row r="4127" customFormat="false" ht="15" hidden="false" customHeight="false" outlineLevel="0" collapsed="false">
      <c r="A4127" s="9" t="s">
        <v>9970</v>
      </c>
      <c r="B4127" s="9" t="s">
        <v>5870</v>
      </c>
      <c r="C4127" s="9" t="s">
        <v>4392</v>
      </c>
      <c r="D4127" s="9" t="s">
        <v>5871</v>
      </c>
      <c r="E4127" s="9" t="str">
        <f aca="false">IF(AND('Formation Ledger'!A4106&lt;&gt;"",'Formation Ledger'!V4106=0),"PASS","FAIL")</f>
        <v>PASS</v>
      </c>
      <c r="F4127" s="9" t="s">
        <v>76</v>
      </c>
      <c r="G4127" s="6"/>
      <c r="H4127" s="6"/>
      <c r="I4127" s="6"/>
      <c r="J4127" s="6"/>
      <c r="K4127" s="6"/>
      <c r="L4127" s="6"/>
      <c r="M4127" s="6"/>
      <c r="N4127" s="6"/>
      <c r="O4127" s="6"/>
      <c r="P4127" s="6"/>
      <c r="Q4127" s="6"/>
      <c r="R4127" s="6"/>
      <c r="S4127" s="6"/>
      <c r="T4127" s="6"/>
      <c r="U4127" s="6"/>
      <c r="V4127" s="6"/>
      <c r="W4127" s="6"/>
      <c r="X4127" s="6"/>
      <c r="Y4127" s="6"/>
      <c r="Z4127" s="6"/>
    </row>
    <row r="4128" customFormat="false" ht="15" hidden="false" customHeight="false" outlineLevel="0" collapsed="false">
      <c r="A4128" s="9" t="s">
        <v>9971</v>
      </c>
      <c r="B4128" s="9" t="s">
        <v>5870</v>
      </c>
      <c r="C4128" s="9" t="s">
        <v>4393</v>
      </c>
      <c r="D4128" s="9" t="s">
        <v>5871</v>
      </c>
      <c r="E4128" s="9" t="str">
        <f aca="false">IF(AND('Formation Ledger'!A4107&lt;&gt;"",'Formation Ledger'!V4107=0),"PASS","FAIL")</f>
        <v>PASS</v>
      </c>
      <c r="F4128" s="9" t="s">
        <v>76</v>
      </c>
      <c r="G4128" s="6"/>
      <c r="H4128" s="6"/>
      <c r="I4128" s="6"/>
      <c r="J4128" s="6"/>
      <c r="K4128" s="6"/>
      <c r="L4128" s="6"/>
      <c r="M4128" s="6"/>
      <c r="N4128" s="6"/>
      <c r="O4128" s="6"/>
      <c r="P4128" s="6"/>
      <c r="Q4128" s="6"/>
      <c r="R4128" s="6"/>
      <c r="S4128" s="6"/>
      <c r="T4128" s="6"/>
      <c r="U4128" s="6"/>
      <c r="V4128" s="6"/>
      <c r="W4128" s="6"/>
      <c r="X4128" s="6"/>
      <c r="Y4128" s="6"/>
      <c r="Z4128" s="6"/>
    </row>
    <row r="4129" customFormat="false" ht="15" hidden="false" customHeight="false" outlineLevel="0" collapsed="false">
      <c r="A4129" s="9" t="s">
        <v>9972</v>
      </c>
      <c r="B4129" s="9" t="s">
        <v>5870</v>
      </c>
      <c r="C4129" s="9" t="s">
        <v>4394</v>
      </c>
      <c r="D4129" s="9" t="s">
        <v>5871</v>
      </c>
      <c r="E4129" s="9" t="str">
        <f aca="false">IF(AND('Formation Ledger'!A4108&lt;&gt;"",'Formation Ledger'!V4108=0),"PASS","FAIL")</f>
        <v>PASS</v>
      </c>
      <c r="F4129" s="9" t="s">
        <v>76</v>
      </c>
      <c r="G4129" s="6"/>
      <c r="H4129" s="6"/>
      <c r="I4129" s="6"/>
      <c r="J4129" s="6"/>
      <c r="K4129" s="6"/>
      <c r="L4129" s="6"/>
      <c r="M4129" s="6"/>
      <c r="N4129" s="6"/>
      <c r="O4129" s="6"/>
      <c r="P4129" s="6"/>
      <c r="Q4129" s="6"/>
      <c r="R4129" s="6"/>
      <c r="S4129" s="6"/>
      <c r="T4129" s="6"/>
      <c r="U4129" s="6"/>
      <c r="V4129" s="6"/>
      <c r="W4129" s="6"/>
      <c r="X4129" s="6"/>
      <c r="Y4129" s="6"/>
      <c r="Z4129" s="6"/>
    </row>
    <row r="4130" customFormat="false" ht="15" hidden="false" customHeight="false" outlineLevel="0" collapsed="false">
      <c r="A4130" s="9" t="s">
        <v>9973</v>
      </c>
      <c r="B4130" s="9" t="s">
        <v>5870</v>
      </c>
      <c r="C4130" s="9" t="s">
        <v>4395</v>
      </c>
      <c r="D4130" s="9" t="s">
        <v>5871</v>
      </c>
      <c r="E4130" s="9" t="str">
        <f aca="false">IF(AND('Formation Ledger'!A4109&lt;&gt;"",'Formation Ledger'!V4109=0),"PASS","FAIL")</f>
        <v>PASS</v>
      </c>
      <c r="F4130" s="9" t="s">
        <v>76</v>
      </c>
      <c r="G4130" s="6"/>
      <c r="H4130" s="6"/>
      <c r="I4130" s="6"/>
      <c r="J4130" s="6"/>
      <c r="K4130" s="6"/>
      <c r="L4130" s="6"/>
      <c r="M4130" s="6"/>
      <c r="N4130" s="6"/>
      <c r="O4130" s="6"/>
      <c r="P4130" s="6"/>
      <c r="Q4130" s="6"/>
      <c r="R4130" s="6"/>
      <c r="S4130" s="6"/>
      <c r="T4130" s="6"/>
      <c r="U4130" s="6"/>
      <c r="V4130" s="6"/>
      <c r="W4130" s="6"/>
      <c r="X4130" s="6"/>
      <c r="Y4130" s="6"/>
      <c r="Z4130" s="6"/>
    </row>
    <row r="4131" customFormat="false" ht="15" hidden="false" customHeight="false" outlineLevel="0" collapsed="false">
      <c r="A4131" s="9" t="s">
        <v>9974</v>
      </c>
      <c r="B4131" s="9" t="s">
        <v>5870</v>
      </c>
      <c r="C4131" s="9" t="s">
        <v>4396</v>
      </c>
      <c r="D4131" s="9" t="s">
        <v>5871</v>
      </c>
      <c r="E4131" s="9" t="str">
        <f aca="false">IF(AND('Formation Ledger'!A4110&lt;&gt;"",'Formation Ledger'!V4110=0),"PASS","FAIL")</f>
        <v>PASS</v>
      </c>
      <c r="F4131" s="9" t="s">
        <v>76</v>
      </c>
      <c r="G4131" s="6"/>
      <c r="H4131" s="6"/>
      <c r="I4131" s="6"/>
      <c r="J4131" s="6"/>
      <c r="K4131" s="6"/>
      <c r="L4131" s="6"/>
      <c r="M4131" s="6"/>
      <c r="N4131" s="6"/>
      <c r="O4131" s="6"/>
      <c r="P4131" s="6"/>
      <c r="Q4131" s="6"/>
      <c r="R4131" s="6"/>
      <c r="S4131" s="6"/>
      <c r="T4131" s="6"/>
      <c r="U4131" s="6"/>
      <c r="V4131" s="6"/>
      <c r="W4131" s="6"/>
      <c r="X4131" s="6"/>
      <c r="Y4131" s="6"/>
      <c r="Z4131" s="6"/>
    </row>
    <row r="4132" customFormat="false" ht="15" hidden="false" customHeight="false" outlineLevel="0" collapsed="false">
      <c r="A4132" s="9" t="s">
        <v>9975</v>
      </c>
      <c r="B4132" s="9" t="s">
        <v>5870</v>
      </c>
      <c r="C4132" s="9" t="s">
        <v>4397</v>
      </c>
      <c r="D4132" s="9" t="s">
        <v>5871</v>
      </c>
      <c r="E4132" s="9" t="str">
        <f aca="false">IF(AND('Formation Ledger'!A4111&lt;&gt;"",'Formation Ledger'!V4111=0),"PASS","FAIL")</f>
        <v>PASS</v>
      </c>
      <c r="F4132" s="9" t="s">
        <v>76</v>
      </c>
      <c r="G4132" s="6"/>
      <c r="H4132" s="6"/>
      <c r="I4132" s="6"/>
      <c r="J4132" s="6"/>
      <c r="K4132" s="6"/>
      <c r="L4132" s="6"/>
      <c r="M4132" s="6"/>
      <c r="N4132" s="6"/>
      <c r="O4132" s="6"/>
      <c r="P4132" s="6"/>
      <c r="Q4132" s="6"/>
      <c r="R4132" s="6"/>
      <c r="S4132" s="6"/>
      <c r="T4132" s="6"/>
      <c r="U4132" s="6"/>
      <c r="V4132" s="6"/>
      <c r="W4132" s="6"/>
      <c r="X4132" s="6"/>
      <c r="Y4132" s="6"/>
      <c r="Z4132" s="6"/>
    </row>
    <row r="4133" customFormat="false" ht="15" hidden="false" customHeight="false" outlineLevel="0" collapsed="false">
      <c r="A4133" s="9" t="s">
        <v>9976</v>
      </c>
      <c r="B4133" s="9" t="s">
        <v>5870</v>
      </c>
      <c r="C4133" s="9" t="s">
        <v>4398</v>
      </c>
      <c r="D4133" s="9" t="s">
        <v>5871</v>
      </c>
      <c r="E4133" s="9" t="str">
        <f aca="false">IF(AND('Formation Ledger'!A4112&lt;&gt;"",'Formation Ledger'!V4112=0),"PASS","FAIL")</f>
        <v>PASS</v>
      </c>
      <c r="F4133" s="9" t="s">
        <v>76</v>
      </c>
      <c r="G4133" s="6"/>
      <c r="H4133" s="6"/>
      <c r="I4133" s="6"/>
      <c r="J4133" s="6"/>
      <c r="K4133" s="6"/>
      <c r="L4133" s="6"/>
      <c r="M4133" s="6"/>
      <c r="N4133" s="6"/>
      <c r="O4133" s="6"/>
      <c r="P4133" s="6"/>
      <c r="Q4133" s="6"/>
      <c r="R4133" s="6"/>
      <c r="S4133" s="6"/>
      <c r="T4133" s="6"/>
      <c r="U4133" s="6"/>
      <c r="V4133" s="6"/>
      <c r="W4133" s="6"/>
      <c r="X4133" s="6"/>
      <c r="Y4133" s="6"/>
      <c r="Z4133" s="6"/>
    </row>
    <row r="4134" customFormat="false" ht="15" hidden="false" customHeight="false" outlineLevel="0" collapsed="false">
      <c r="A4134" s="9" t="s">
        <v>9977</v>
      </c>
      <c r="B4134" s="9" t="s">
        <v>5870</v>
      </c>
      <c r="C4134" s="9" t="s">
        <v>4399</v>
      </c>
      <c r="D4134" s="9" t="s">
        <v>5871</v>
      </c>
      <c r="E4134" s="9" t="str">
        <f aca="false">IF(AND('Formation Ledger'!A4113&lt;&gt;"",'Formation Ledger'!V4113=0),"PASS","FAIL")</f>
        <v>PASS</v>
      </c>
      <c r="F4134" s="9" t="s">
        <v>76</v>
      </c>
      <c r="G4134" s="6"/>
      <c r="H4134" s="6"/>
      <c r="I4134" s="6"/>
      <c r="J4134" s="6"/>
      <c r="K4134" s="6"/>
      <c r="L4134" s="6"/>
      <c r="M4134" s="6"/>
      <c r="N4134" s="6"/>
      <c r="O4134" s="6"/>
      <c r="P4134" s="6"/>
      <c r="Q4134" s="6"/>
      <c r="R4134" s="6"/>
      <c r="S4134" s="6"/>
      <c r="T4134" s="6"/>
      <c r="U4134" s="6"/>
      <c r="V4134" s="6"/>
      <c r="W4134" s="6"/>
      <c r="X4134" s="6"/>
      <c r="Y4134" s="6"/>
      <c r="Z4134" s="6"/>
    </row>
    <row r="4135" customFormat="false" ht="15" hidden="false" customHeight="false" outlineLevel="0" collapsed="false">
      <c r="A4135" s="9" t="s">
        <v>9978</v>
      </c>
      <c r="B4135" s="9" t="s">
        <v>5870</v>
      </c>
      <c r="C4135" s="9" t="s">
        <v>4400</v>
      </c>
      <c r="D4135" s="9" t="s">
        <v>5871</v>
      </c>
      <c r="E4135" s="9" t="str">
        <f aca="false">IF(AND('Formation Ledger'!A4114&lt;&gt;"",'Formation Ledger'!V4114=0),"PASS","FAIL")</f>
        <v>PASS</v>
      </c>
      <c r="F4135" s="9" t="s">
        <v>76</v>
      </c>
      <c r="G4135" s="6"/>
      <c r="H4135" s="6"/>
      <c r="I4135" s="6"/>
      <c r="J4135" s="6"/>
      <c r="K4135" s="6"/>
      <c r="L4135" s="6"/>
      <c r="M4135" s="6"/>
      <c r="N4135" s="6"/>
      <c r="O4135" s="6"/>
      <c r="P4135" s="6"/>
      <c r="Q4135" s="6"/>
      <c r="R4135" s="6"/>
      <c r="S4135" s="6"/>
      <c r="T4135" s="6"/>
      <c r="U4135" s="6"/>
      <c r="V4135" s="6"/>
      <c r="W4135" s="6"/>
      <c r="X4135" s="6"/>
      <c r="Y4135" s="6"/>
      <c r="Z4135" s="6"/>
    </row>
    <row r="4136" customFormat="false" ht="15" hidden="false" customHeight="false" outlineLevel="0" collapsed="false">
      <c r="A4136" s="9" t="s">
        <v>9979</v>
      </c>
      <c r="B4136" s="9" t="s">
        <v>5870</v>
      </c>
      <c r="C4136" s="9" t="s">
        <v>4401</v>
      </c>
      <c r="D4136" s="9" t="s">
        <v>5871</v>
      </c>
      <c r="E4136" s="9" t="str">
        <f aca="false">IF(AND('Formation Ledger'!A4115&lt;&gt;"",'Formation Ledger'!V4115=0),"PASS","FAIL")</f>
        <v>PASS</v>
      </c>
      <c r="F4136" s="9" t="s">
        <v>76</v>
      </c>
      <c r="G4136" s="6"/>
      <c r="H4136" s="6"/>
      <c r="I4136" s="6"/>
      <c r="J4136" s="6"/>
      <c r="K4136" s="6"/>
      <c r="L4136" s="6"/>
      <c r="M4136" s="6"/>
      <c r="N4136" s="6"/>
      <c r="O4136" s="6"/>
      <c r="P4136" s="6"/>
      <c r="Q4136" s="6"/>
      <c r="R4136" s="6"/>
      <c r="S4136" s="6"/>
      <c r="T4136" s="6"/>
      <c r="U4136" s="6"/>
      <c r="V4136" s="6"/>
      <c r="W4136" s="6"/>
      <c r="X4136" s="6"/>
      <c r="Y4136" s="6"/>
      <c r="Z4136" s="6"/>
    </row>
    <row r="4137" customFormat="false" ht="15" hidden="false" customHeight="false" outlineLevel="0" collapsed="false">
      <c r="A4137" s="9" t="s">
        <v>9980</v>
      </c>
      <c r="B4137" s="9" t="s">
        <v>5870</v>
      </c>
      <c r="C4137" s="9" t="s">
        <v>4402</v>
      </c>
      <c r="D4137" s="9" t="s">
        <v>5871</v>
      </c>
      <c r="E4137" s="9" t="str">
        <f aca="false">IF(AND('Formation Ledger'!A4116&lt;&gt;"",'Formation Ledger'!V4116=0),"PASS","FAIL")</f>
        <v>PASS</v>
      </c>
      <c r="F4137" s="9" t="s">
        <v>76</v>
      </c>
      <c r="G4137" s="6"/>
      <c r="H4137" s="6"/>
      <c r="I4137" s="6"/>
      <c r="J4137" s="6"/>
      <c r="K4137" s="6"/>
      <c r="L4137" s="6"/>
      <c r="M4137" s="6"/>
      <c r="N4137" s="6"/>
      <c r="O4137" s="6"/>
      <c r="P4137" s="6"/>
      <c r="Q4137" s="6"/>
      <c r="R4137" s="6"/>
      <c r="S4137" s="6"/>
      <c r="T4137" s="6"/>
      <c r="U4137" s="6"/>
      <c r="V4137" s="6"/>
      <c r="W4137" s="6"/>
      <c r="X4137" s="6"/>
      <c r="Y4137" s="6"/>
      <c r="Z4137" s="6"/>
    </row>
    <row r="4138" customFormat="false" ht="15" hidden="false" customHeight="false" outlineLevel="0" collapsed="false">
      <c r="A4138" s="9" t="s">
        <v>9981</v>
      </c>
      <c r="B4138" s="9" t="s">
        <v>5870</v>
      </c>
      <c r="C4138" s="9" t="s">
        <v>4403</v>
      </c>
      <c r="D4138" s="9" t="s">
        <v>5871</v>
      </c>
      <c r="E4138" s="9" t="str">
        <f aca="false">IF(AND('Formation Ledger'!A4117&lt;&gt;"",'Formation Ledger'!V4117=0),"PASS","FAIL")</f>
        <v>PASS</v>
      </c>
      <c r="F4138" s="9" t="s">
        <v>76</v>
      </c>
      <c r="G4138" s="6"/>
      <c r="H4138" s="6"/>
      <c r="I4138" s="6"/>
      <c r="J4138" s="6"/>
      <c r="K4138" s="6"/>
      <c r="L4138" s="6"/>
      <c r="M4138" s="6"/>
      <c r="N4138" s="6"/>
      <c r="O4138" s="6"/>
      <c r="P4138" s="6"/>
      <c r="Q4138" s="6"/>
      <c r="R4138" s="6"/>
      <c r="S4138" s="6"/>
      <c r="T4138" s="6"/>
      <c r="U4138" s="6"/>
      <c r="V4138" s="6"/>
      <c r="W4138" s="6"/>
      <c r="X4138" s="6"/>
      <c r="Y4138" s="6"/>
      <c r="Z4138" s="6"/>
    </row>
    <row r="4139" customFormat="false" ht="15" hidden="false" customHeight="false" outlineLevel="0" collapsed="false">
      <c r="A4139" s="9" t="s">
        <v>9982</v>
      </c>
      <c r="B4139" s="9" t="s">
        <v>5870</v>
      </c>
      <c r="C4139" s="9" t="s">
        <v>4404</v>
      </c>
      <c r="D4139" s="9" t="s">
        <v>5871</v>
      </c>
      <c r="E4139" s="9" t="str">
        <f aca="false">IF(AND('Formation Ledger'!A4118&lt;&gt;"",'Formation Ledger'!V4118=0),"PASS","FAIL")</f>
        <v>PASS</v>
      </c>
      <c r="F4139" s="9" t="s">
        <v>76</v>
      </c>
      <c r="G4139" s="6"/>
      <c r="H4139" s="6"/>
      <c r="I4139" s="6"/>
      <c r="J4139" s="6"/>
      <c r="K4139" s="6"/>
      <c r="L4139" s="6"/>
      <c r="M4139" s="6"/>
      <c r="N4139" s="6"/>
      <c r="O4139" s="6"/>
      <c r="P4139" s="6"/>
      <c r="Q4139" s="6"/>
      <c r="R4139" s="6"/>
      <c r="S4139" s="6"/>
      <c r="T4139" s="6"/>
      <c r="U4139" s="6"/>
      <c r="V4139" s="6"/>
      <c r="W4139" s="6"/>
      <c r="X4139" s="6"/>
      <c r="Y4139" s="6"/>
      <c r="Z4139" s="6"/>
    </row>
    <row r="4140" customFormat="false" ht="15" hidden="false" customHeight="false" outlineLevel="0" collapsed="false">
      <c r="A4140" s="9" t="s">
        <v>9983</v>
      </c>
      <c r="B4140" s="9" t="s">
        <v>5870</v>
      </c>
      <c r="C4140" s="9" t="s">
        <v>4405</v>
      </c>
      <c r="D4140" s="9" t="s">
        <v>5871</v>
      </c>
      <c r="E4140" s="9" t="str">
        <f aca="false">IF(AND('Formation Ledger'!A4119&lt;&gt;"",'Formation Ledger'!V4119=0),"PASS","FAIL")</f>
        <v>PASS</v>
      </c>
      <c r="F4140" s="9" t="s">
        <v>76</v>
      </c>
      <c r="G4140" s="6"/>
      <c r="H4140" s="6"/>
      <c r="I4140" s="6"/>
      <c r="J4140" s="6"/>
      <c r="K4140" s="6"/>
      <c r="L4140" s="6"/>
      <c r="M4140" s="6"/>
      <c r="N4140" s="6"/>
      <c r="O4140" s="6"/>
      <c r="P4140" s="6"/>
      <c r="Q4140" s="6"/>
      <c r="R4140" s="6"/>
      <c r="S4140" s="6"/>
      <c r="T4140" s="6"/>
      <c r="U4140" s="6"/>
      <c r="V4140" s="6"/>
      <c r="W4140" s="6"/>
      <c r="X4140" s="6"/>
      <c r="Y4140" s="6"/>
      <c r="Z4140" s="6"/>
    </row>
    <row r="4141" customFormat="false" ht="15" hidden="false" customHeight="false" outlineLevel="0" collapsed="false">
      <c r="A4141" s="9" t="s">
        <v>9984</v>
      </c>
      <c r="B4141" s="9" t="s">
        <v>5870</v>
      </c>
      <c r="C4141" s="9" t="s">
        <v>4406</v>
      </c>
      <c r="D4141" s="9" t="s">
        <v>5871</v>
      </c>
      <c r="E4141" s="9" t="str">
        <f aca="false">IF(AND('Formation Ledger'!A4120&lt;&gt;"",'Formation Ledger'!V4120=0),"PASS","FAIL")</f>
        <v>PASS</v>
      </c>
      <c r="F4141" s="9" t="s">
        <v>76</v>
      </c>
      <c r="G4141" s="6"/>
      <c r="H4141" s="6"/>
      <c r="I4141" s="6"/>
      <c r="J4141" s="6"/>
      <c r="K4141" s="6"/>
      <c r="L4141" s="6"/>
      <c r="M4141" s="6"/>
      <c r="N4141" s="6"/>
      <c r="O4141" s="6"/>
      <c r="P4141" s="6"/>
      <c r="Q4141" s="6"/>
      <c r="R4141" s="6"/>
      <c r="S4141" s="6"/>
      <c r="T4141" s="6"/>
      <c r="U4141" s="6"/>
      <c r="V4141" s="6"/>
      <c r="W4141" s="6"/>
      <c r="X4141" s="6"/>
      <c r="Y4141" s="6"/>
      <c r="Z4141" s="6"/>
    </row>
    <row r="4142" customFormat="false" ht="15" hidden="false" customHeight="false" outlineLevel="0" collapsed="false">
      <c r="A4142" s="9" t="s">
        <v>9985</v>
      </c>
      <c r="B4142" s="9" t="s">
        <v>5870</v>
      </c>
      <c r="C4142" s="9" t="s">
        <v>4407</v>
      </c>
      <c r="D4142" s="9" t="s">
        <v>5871</v>
      </c>
      <c r="E4142" s="9" t="str">
        <f aca="false">IF(AND('Formation Ledger'!A4121&lt;&gt;"",'Formation Ledger'!V4121=0),"PASS","FAIL")</f>
        <v>PASS</v>
      </c>
      <c r="F4142" s="9" t="s">
        <v>76</v>
      </c>
      <c r="G4142" s="6"/>
      <c r="H4142" s="6"/>
      <c r="I4142" s="6"/>
      <c r="J4142" s="6"/>
      <c r="K4142" s="6"/>
      <c r="L4142" s="6"/>
      <c r="M4142" s="6"/>
      <c r="N4142" s="6"/>
      <c r="O4142" s="6"/>
      <c r="P4142" s="6"/>
      <c r="Q4142" s="6"/>
      <c r="R4142" s="6"/>
      <c r="S4142" s="6"/>
      <c r="T4142" s="6"/>
      <c r="U4142" s="6"/>
      <c r="V4142" s="6"/>
      <c r="W4142" s="6"/>
      <c r="X4142" s="6"/>
      <c r="Y4142" s="6"/>
      <c r="Z4142" s="6"/>
    </row>
    <row r="4143" customFormat="false" ht="15" hidden="false" customHeight="false" outlineLevel="0" collapsed="false">
      <c r="A4143" s="9" t="s">
        <v>9986</v>
      </c>
      <c r="B4143" s="9" t="s">
        <v>5870</v>
      </c>
      <c r="C4143" s="9" t="s">
        <v>4408</v>
      </c>
      <c r="D4143" s="9" t="s">
        <v>5871</v>
      </c>
      <c r="E4143" s="9" t="str">
        <f aca="false">IF(AND('Formation Ledger'!A4122&lt;&gt;"",'Formation Ledger'!V4122=0),"PASS","FAIL")</f>
        <v>PASS</v>
      </c>
      <c r="F4143" s="9" t="s">
        <v>76</v>
      </c>
      <c r="G4143" s="6"/>
      <c r="H4143" s="6"/>
      <c r="I4143" s="6"/>
      <c r="J4143" s="6"/>
      <c r="K4143" s="6"/>
      <c r="L4143" s="6"/>
      <c r="M4143" s="6"/>
      <c r="N4143" s="6"/>
      <c r="O4143" s="6"/>
      <c r="P4143" s="6"/>
      <c r="Q4143" s="6"/>
      <c r="R4143" s="6"/>
      <c r="S4143" s="6"/>
      <c r="T4143" s="6"/>
      <c r="U4143" s="6"/>
      <c r="V4143" s="6"/>
      <c r="W4143" s="6"/>
      <c r="X4143" s="6"/>
      <c r="Y4143" s="6"/>
      <c r="Z4143" s="6"/>
    </row>
    <row r="4144" customFormat="false" ht="15" hidden="false" customHeight="false" outlineLevel="0" collapsed="false">
      <c r="A4144" s="9" t="s">
        <v>9987</v>
      </c>
      <c r="B4144" s="9" t="s">
        <v>5870</v>
      </c>
      <c r="C4144" s="9" t="s">
        <v>4409</v>
      </c>
      <c r="D4144" s="9" t="s">
        <v>5871</v>
      </c>
      <c r="E4144" s="9" t="str">
        <f aca="false">IF(AND('Formation Ledger'!A4123&lt;&gt;"",'Formation Ledger'!V4123=0),"PASS","FAIL")</f>
        <v>PASS</v>
      </c>
      <c r="F4144" s="9" t="s">
        <v>76</v>
      </c>
      <c r="G4144" s="6"/>
      <c r="H4144" s="6"/>
      <c r="I4144" s="6"/>
      <c r="J4144" s="6"/>
      <c r="K4144" s="6"/>
      <c r="L4144" s="6"/>
      <c r="M4144" s="6"/>
      <c r="N4144" s="6"/>
      <c r="O4144" s="6"/>
      <c r="P4144" s="6"/>
      <c r="Q4144" s="6"/>
      <c r="R4144" s="6"/>
      <c r="S4144" s="6"/>
      <c r="T4144" s="6"/>
      <c r="U4144" s="6"/>
      <c r="V4144" s="6"/>
      <c r="W4144" s="6"/>
      <c r="X4144" s="6"/>
      <c r="Y4144" s="6"/>
      <c r="Z4144" s="6"/>
    </row>
    <row r="4145" customFormat="false" ht="15" hidden="false" customHeight="false" outlineLevel="0" collapsed="false">
      <c r="A4145" s="9" t="s">
        <v>9988</v>
      </c>
      <c r="B4145" s="9" t="s">
        <v>5870</v>
      </c>
      <c r="C4145" s="9" t="s">
        <v>4410</v>
      </c>
      <c r="D4145" s="9" t="s">
        <v>5871</v>
      </c>
      <c r="E4145" s="9" t="str">
        <f aca="false">IF(AND('Formation Ledger'!A4124&lt;&gt;"",'Formation Ledger'!V4124=0),"PASS","FAIL")</f>
        <v>PASS</v>
      </c>
      <c r="F4145" s="9" t="s">
        <v>76</v>
      </c>
      <c r="G4145" s="6"/>
      <c r="H4145" s="6"/>
      <c r="I4145" s="6"/>
      <c r="J4145" s="6"/>
      <c r="K4145" s="6"/>
      <c r="L4145" s="6"/>
      <c r="M4145" s="6"/>
      <c r="N4145" s="6"/>
      <c r="O4145" s="6"/>
      <c r="P4145" s="6"/>
      <c r="Q4145" s="6"/>
      <c r="R4145" s="6"/>
      <c r="S4145" s="6"/>
      <c r="T4145" s="6"/>
      <c r="U4145" s="6"/>
      <c r="V4145" s="6"/>
      <c r="W4145" s="6"/>
      <c r="X4145" s="6"/>
      <c r="Y4145" s="6"/>
      <c r="Z4145" s="6"/>
    </row>
    <row r="4146" customFormat="false" ht="15" hidden="false" customHeight="false" outlineLevel="0" collapsed="false">
      <c r="A4146" s="9" t="s">
        <v>9989</v>
      </c>
      <c r="B4146" s="9" t="s">
        <v>5870</v>
      </c>
      <c r="C4146" s="9" t="s">
        <v>4411</v>
      </c>
      <c r="D4146" s="9" t="s">
        <v>5871</v>
      </c>
      <c r="E4146" s="9" t="str">
        <f aca="false">IF(AND('Formation Ledger'!A4125&lt;&gt;"",'Formation Ledger'!V4125=0),"PASS","FAIL")</f>
        <v>PASS</v>
      </c>
      <c r="F4146" s="9" t="s">
        <v>76</v>
      </c>
      <c r="G4146" s="6"/>
      <c r="H4146" s="6"/>
      <c r="I4146" s="6"/>
      <c r="J4146" s="6"/>
      <c r="K4146" s="6"/>
      <c r="L4146" s="6"/>
      <c r="M4146" s="6"/>
      <c r="N4146" s="6"/>
      <c r="O4146" s="6"/>
      <c r="P4146" s="6"/>
      <c r="Q4146" s="6"/>
      <c r="R4146" s="6"/>
      <c r="S4146" s="6"/>
      <c r="T4146" s="6"/>
      <c r="U4146" s="6"/>
      <c r="V4146" s="6"/>
      <c r="W4146" s="6"/>
      <c r="X4146" s="6"/>
      <c r="Y4146" s="6"/>
      <c r="Z4146" s="6"/>
    </row>
    <row r="4147" customFormat="false" ht="15" hidden="false" customHeight="false" outlineLevel="0" collapsed="false">
      <c r="A4147" s="9" t="s">
        <v>9990</v>
      </c>
      <c r="B4147" s="9" t="s">
        <v>5870</v>
      </c>
      <c r="C4147" s="9" t="s">
        <v>4412</v>
      </c>
      <c r="D4147" s="9" t="s">
        <v>5871</v>
      </c>
      <c r="E4147" s="9" t="str">
        <f aca="false">IF(AND('Formation Ledger'!A4126&lt;&gt;"",'Formation Ledger'!V4126=0),"PASS","FAIL")</f>
        <v>PASS</v>
      </c>
      <c r="F4147" s="9" t="s">
        <v>76</v>
      </c>
      <c r="G4147" s="6"/>
      <c r="H4147" s="6"/>
      <c r="I4147" s="6"/>
      <c r="J4147" s="6"/>
      <c r="K4147" s="6"/>
      <c r="L4147" s="6"/>
      <c r="M4147" s="6"/>
      <c r="N4147" s="6"/>
      <c r="O4147" s="6"/>
      <c r="P4147" s="6"/>
      <c r="Q4147" s="6"/>
      <c r="R4147" s="6"/>
      <c r="S4147" s="6"/>
      <c r="T4147" s="6"/>
      <c r="U4147" s="6"/>
      <c r="V4147" s="6"/>
      <c r="W4147" s="6"/>
      <c r="X4147" s="6"/>
      <c r="Y4147" s="6"/>
      <c r="Z4147" s="6"/>
    </row>
    <row r="4148" customFormat="false" ht="15" hidden="false" customHeight="false" outlineLevel="0" collapsed="false">
      <c r="A4148" s="9" t="s">
        <v>9991</v>
      </c>
      <c r="B4148" s="9" t="s">
        <v>5870</v>
      </c>
      <c r="C4148" s="9" t="s">
        <v>4413</v>
      </c>
      <c r="D4148" s="9" t="s">
        <v>5871</v>
      </c>
      <c r="E4148" s="9" t="str">
        <f aca="false">IF(AND('Formation Ledger'!A4127&lt;&gt;"",'Formation Ledger'!V4127=0),"PASS","FAIL")</f>
        <v>PASS</v>
      </c>
      <c r="F4148" s="9" t="s">
        <v>76</v>
      </c>
      <c r="G4148" s="6"/>
      <c r="H4148" s="6"/>
      <c r="I4148" s="6"/>
      <c r="J4148" s="6"/>
      <c r="K4148" s="6"/>
      <c r="L4148" s="6"/>
      <c r="M4148" s="6"/>
      <c r="N4148" s="6"/>
      <c r="O4148" s="6"/>
      <c r="P4148" s="6"/>
      <c r="Q4148" s="6"/>
      <c r="R4148" s="6"/>
      <c r="S4148" s="6"/>
      <c r="T4148" s="6"/>
      <c r="U4148" s="6"/>
      <c r="V4148" s="6"/>
      <c r="W4148" s="6"/>
      <c r="X4148" s="6"/>
      <c r="Y4148" s="6"/>
      <c r="Z4148" s="6"/>
    </row>
    <row r="4149" customFormat="false" ht="15" hidden="false" customHeight="false" outlineLevel="0" collapsed="false">
      <c r="A4149" s="9" t="s">
        <v>9992</v>
      </c>
      <c r="B4149" s="9" t="s">
        <v>5870</v>
      </c>
      <c r="C4149" s="9" t="s">
        <v>4414</v>
      </c>
      <c r="D4149" s="9" t="s">
        <v>5871</v>
      </c>
      <c r="E4149" s="9" t="str">
        <f aca="false">IF(AND('Formation Ledger'!A4128&lt;&gt;"",'Formation Ledger'!V4128=0),"PASS","FAIL")</f>
        <v>PASS</v>
      </c>
      <c r="F4149" s="9" t="s">
        <v>76</v>
      </c>
      <c r="G4149" s="6"/>
      <c r="H4149" s="6"/>
      <c r="I4149" s="6"/>
      <c r="J4149" s="6"/>
      <c r="K4149" s="6"/>
      <c r="L4149" s="6"/>
      <c r="M4149" s="6"/>
      <c r="N4149" s="6"/>
      <c r="O4149" s="6"/>
      <c r="P4149" s="6"/>
      <c r="Q4149" s="6"/>
      <c r="R4149" s="6"/>
      <c r="S4149" s="6"/>
      <c r="T4149" s="6"/>
      <c r="U4149" s="6"/>
      <c r="V4149" s="6"/>
      <c r="W4149" s="6"/>
      <c r="X4149" s="6"/>
      <c r="Y4149" s="6"/>
      <c r="Z4149" s="6"/>
    </row>
    <row r="4150" customFormat="false" ht="15" hidden="false" customHeight="false" outlineLevel="0" collapsed="false">
      <c r="A4150" s="9" t="s">
        <v>9993</v>
      </c>
      <c r="B4150" s="9" t="s">
        <v>5870</v>
      </c>
      <c r="C4150" s="9" t="s">
        <v>4415</v>
      </c>
      <c r="D4150" s="9" t="s">
        <v>5871</v>
      </c>
      <c r="E4150" s="9" t="str">
        <f aca="false">IF(AND('Formation Ledger'!A4129&lt;&gt;"",'Formation Ledger'!V4129=0),"PASS","FAIL")</f>
        <v>PASS</v>
      </c>
      <c r="F4150" s="9" t="s">
        <v>76</v>
      </c>
      <c r="G4150" s="6"/>
      <c r="H4150" s="6"/>
      <c r="I4150" s="6"/>
      <c r="J4150" s="6"/>
      <c r="K4150" s="6"/>
      <c r="L4150" s="6"/>
      <c r="M4150" s="6"/>
      <c r="N4150" s="6"/>
      <c r="O4150" s="6"/>
      <c r="P4150" s="6"/>
      <c r="Q4150" s="6"/>
      <c r="R4150" s="6"/>
      <c r="S4150" s="6"/>
      <c r="T4150" s="6"/>
      <c r="U4150" s="6"/>
      <c r="V4150" s="6"/>
      <c r="W4150" s="6"/>
      <c r="X4150" s="6"/>
      <c r="Y4150" s="6"/>
      <c r="Z4150" s="6"/>
    </row>
    <row r="4151" customFormat="false" ht="15" hidden="false" customHeight="false" outlineLevel="0" collapsed="false">
      <c r="A4151" s="9" t="s">
        <v>9994</v>
      </c>
      <c r="B4151" s="9" t="s">
        <v>5870</v>
      </c>
      <c r="C4151" s="9" t="s">
        <v>4416</v>
      </c>
      <c r="D4151" s="9" t="s">
        <v>5871</v>
      </c>
      <c r="E4151" s="9" t="str">
        <f aca="false">IF(AND('Formation Ledger'!A4130&lt;&gt;"",'Formation Ledger'!V4130=0),"PASS","FAIL")</f>
        <v>PASS</v>
      </c>
      <c r="F4151" s="9" t="s">
        <v>76</v>
      </c>
      <c r="G4151" s="6"/>
      <c r="H4151" s="6"/>
      <c r="I4151" s="6"/>
      <c r="J4151" s="6"/>
      <c r="K4151" s="6"/>
      <c r="L4151" s="6"/>
      <c r="M4151" s="6"/>
      <c r="N4151" s="6"/>
      <c r="O4151" s="6"/>
      <c r="P4151" s="6"/>
      <c r="Q4151" s="6"/>
      <c r="R4151" s="6"/>
      <c r="S4151" s="6"/>
      <c r="T4151" s="6"/>
      <c r="U4151" s="6"/>
      <c r="V4151" s="6"/>
      <c r="W4151" s="6"/>
      <c r="X4151" s="6"/>
      <c r="Y4151" s="6"/>
      <c r="Z4151" s="6"/>
    </row>
    <row r="4152" customFormat="false" ht="15" hidden="false" customHeight="false" outlineLevel="0" collapsed="false">
      <c r="A4152" s="9" t="s">
        <v>9995</v>
      </c>
      <c r="B4152" s="9" t="s">
        <v>5870</v>
      </c>
      <c r="C4152" s="9" t="s">
        <v>4417</v>
      </c>
      <c r="D4152" s="9" t="s">
        <v>5871</v>
      </c>
      <c r="E4152" s="9" t="str">
        <f aca="false">IF(AND('Formation Ledger'!A4131&lt;&gt;"",'Formation Ledger'!V4131=0),"PASS","FAIL")</f>
        <v>PASS</v>
      </c>
      <c r="F4152" s="9" t="s">
        <v>76</v>
      </c>
      <c r="G4152" s="6"/>
      <c r="H4152" s="6"/>
      <c r="I4152" s="6"/>
      <c r="J4152" s="6"/>
      <c r="K4152" s="6"/>
      <c r="L4152" s="6"/>
      <c r="M4152" s="6"/>
      <c r="N4152" s="6"/>
      <c r="O4152" s="6"/>
      <c r="P4152" s="6"/>
      <c r="Q4152" s="6"/>
      <c r="R4152" s="6"/>
      <c r="S4152" s="6"/>
      <c r="T4152" s="6"/>
      <c r="U4152" s="6"/>
      <c r="V4152" s="6"/>
      <c r="W4152" s="6"/>
      <c r="X4152" s="6"/>
      <c r="Y4152" s="6"/>
      <c r="Z4152" s="6"/>
    </row>
    <row r="4153" customFormat="false" ht="15" hidden="false" customHeight="false" outlineLevel="0" collapsed="false">
      <c r="A4153" s="9" t="s">
        <v>9996</v>
      </c>
      <c r="B4153" s="9" t="s">
        <v>5870</v>
      </c>
      <c r="C4153" s="9" t="s">
        <v>4418</v>
      </c>
      <c r="D4153" s="9" t="s">
        <v>5871</v>
      </c>
      <c r="E4153" s="9" t="str">
        <f aca="false">IF(AND('Formation Ledger'!A4132&lt;&gt;"",'Formation Ledger'!V4132=0),"PASS","FAIL")</f>
        <v>PASS</v>
      </c>
      <c r="F4153" s="9" t="s">
        <v>76</v>
      </c>
      <c r="G4153" s="6"/>
      <c r="H4153" s="6"/>
      <c r="I4153" s="6"/>
      <c r="J4153" s="6"/>
      <c r="K4153" s="6"/>
      <c r="L4153" s="6"/>
      <c r="M4153" s="6"/>
      <c r="N4153" s="6"/>
      <c r="O4153" s="6"/>
      <c r="P4153" s="6"/>
      <c r="Q4153" s="6"/>
      <c r="R4153" s="6"/>
      <c r="S4153" s="6"/>
      <c r="T4153" s="6"/>
      <c r="U4153" s="6"/>
      <c r="V4153" s="6"/>
      <c r="W4153" s="6"/>
      <c r="X4153" s="6"/>
      <c r="Y4153" s="6"/>
      <c r="Z4153" s="6"/>
    </row>
    <row r="4154" customFormat="false" ht="15" hidden="false" customHeight="false" outlineLevel="0" collapsed="false">
      <c r="A4154" s="9" t="s">
        <v>9997</v>
      </c>
      <c r="B4154" s="9" t="s">
        <v>5870</v>
      </c>
      <c r="C4154" s="9" t="s">
        <v>4419</v>
      </c>
      <c r="D4154" s="9" t="s">
        <v>5871</v>
      </c>
      <c r="E4154" s="9" t="str">
        <f aca="false">IF(AND('Formation Ledger'!A4133&lt;&gt;"",'Formation Ledger'!V4133=0),"PASS","FAIL")</f>
        <v>PASS</v>
      </c>
      <c r="F4154" s="9" t="s">
        <v>76</v>
      </c>
      <c r="G4154" s="6"/>
      <c r="H4154" s="6"/>
      <c r="I4154" s="6"/>
      <c r="J4154" s="6"/>
      <c r="K4154" s="6"/>
      <c r="L4154" s="6"/>
      <c r="M4154" s="6"/>
      <c r="N4154" s="6"/>
      <c r="O4154" s="6"/>
      <c r="P4154" s="6"/>
      <c r="Q4154" s="6"/>
      <c r="R4154" s="6"/>
      <c r="S4154" s="6"/>
      <c r="T4154" s="6"/>
      <c r="U4154" s="6"/>
      <c r="V4154" s="6"/>
      <c r="W4154" s="6"/>
      <c r="X4154" s="6"/>
      <c r="Y4154" s="6"/>
      <c r="Z4154" s="6"/>
    </row>
    <row r="4155" customFormat="false" ht="15" hidden="false" customHeight="false" outlineLevel="0" collapsed="false">
      <c r="A4155" s="9" t="s">
        <v>9998</v>
      </c>
      <c r="B4155" s="9" t="s">
        <v>5870</v>
      </c>
      <c r="C4155" s="9" t="s">
        <v>4420</v>
      </c>
      <c r="D4155" s="9" t="s">
        <v>5871</v>
      </c>
      <c r="E4155" s="9" t="str">
        <f aca="false">IF(AND('Formation Ledger'!A4134&lt;&gt;"",'Formation Ledger'!V4134=0),"PASS","FAIL")</f>
        <v>PASS</v>
      </c>
      <c r="F4155" s="9" t="s">
        <v>76</v>
      </c>
      <c r="G4155" s="6"/>
      <c r="H4155" s="6"/>
      <c r="I4155" s="6"/>
      <c r="J4155" s="6"/>
      <c r="K4155" s="6"/>
      <c r="L4155" s="6"/>
      <c r="M4155" s="6"/>
      <c r="N4155" s="6"/>
      <c r="O4155" s="6"/>
      <c r="P4155" s="6"/>
      <c r="Q4155" s="6"/>
      <c r="R4155" s="6"/>
      <c r="S4155" s="6"/>
      <c r="T4155" s="6"/>
      <c r="U4155" s="6"/>
      <c r="V4155" s="6"/>
      <c r="W4155" s="6"/>
      <c r="X4155" s="6"/>
      <c r="Y4155" s="6"/>
      <c r="Z4155" s="6"/>
    </row>
    <row r="4156" customFormat="false" ht="15" hidden="false" customHeight="false" outlineLevel="0" collapsed="false">
      <c r="A4156" s="9" t="s">
        <v>9999</v>
      </c>
      <c r="B4156" s="9" t="s">
        <v>5870</v>
      </c>
      <c r="C4156" s="9" t="s">
        <v>4421</v>
      </c>
      <c r="D4156" s="9" t="s">
        <v>5871</v>
      </c>
      <c r="E4156" s="9" t="str">
        <f aca="false">IF(AND('Formation Ledger'!A4135&lt;&gt;"",'Formation Ledger'!V4135=0),"PASS","FAIL")</f>
        <v>PASS</v>
      </c>
      <c r="F4156" s="9" t="s">
        <v>76</v>
      </c>
      <c r="G4156" s="6"/>
      <c r="H4156" s="6"/>
      <c r="I4156" s="6"/>
      <c r="J4156" s="6"/>
      <c r="K4156" s="6"/>
      <c r="L4156" s="6"/>
      <c r="M4156" s="6"/>
      <c r="N4156" s="6"/>
      <c r="O4156" s="6"/>
      <c r="P4156" s="6"/>
      <c r="Q4156" s="6"/>
      <c r="R4156" s="6"/>
      <c r="S4156" s="6"/>
      <c r="T4156" s="6"/>
      <c r="U4156" s="6"/>
      <c r="V4156" s="6"/>
      <c r="W4156" s="6"/>
      <c r="X4156" s="6"/>
      <c r="Y4156" s="6"/>
      <c r="Z4156" s="6"/>
    </row>
    <row r="4157" customFormat="false" ht="15" hidden="false" customHeight="false" outlineLevel="0" collapsed="false">
      <c r="A4157" s="9" t="s">
        <v>10000</v>
      </c>
      <c r="B4157" s="9" t="s">
        <v>5870</v>
      </c>
      <c r="C4157" s="9" t="s">
        <v>4422</v>
      </c>
      <c r="D4157" s="9" t="s">
        <v>5871</v>
      </c>
      <c r="E4157" s="9" t="str">
        <f aca="false">IF(AND('Formation Ledger'!A4136&lt;&gt;"",'Formation Ledger'!V4136=0),"PASS","FAIL")</f>
        <v>PASS</v>
      </c>
      <c r="F4157" s="9" t="s">
        <v>76</v>
      </c>
      <c r="G4157" s="6"/>
      <c r="H4157" s="6"/>
      <c r="I4157" s="6"/>
      <c r="J4157" s="6"/>
      <c r="K4157" s="6"/>
      <c r="L4157" s="6"/>
      <c r="M4157" s="6"/>
      <c r="N4157" s="6"/>
      <c r="O4157" s="6"/>
      <c r="P4157" s="6"/>
      <c r="Q4157" s="6"/>
      <c r="R4157" s="6"/>
      <c r="S4157" s="6"/>
      <c r="T4157" s="6"/>
      <c r="U4157" s="6"/>
      <c r="V4157" s="6"/>
      <c r="W4157" s="6"/>
      <c r="X4157" s="6"/>
      <c r="Y4157" s="6"/>
      <c r="Z4157" s="6"/>
    </row>
    <row r="4158" customFormat="false" ht="15" hidden="false" customHeight="false" outlineLevel="0" collapsed="false">
      <c r="A4158" s="9" t="s">
        <v>10001</v>
      </c>
      <c r="B4158" s="9" t="s">
        <v>5870</v>
      </c>
      <c r="C4158" s="9" t="s">
        <v>4423</v>
      </c>
      <c r="D4158" s="9" t="s">
        <v>5871</v>
      </c>
      <c r="E4158" s="9" t="str">
        <f aca="false">IF(AND('Formation Ledger'!A4137&lt;&gt;"",'Formation Ledger'!V4137=0),"PASS","FAIL")</f>
        <v>PASS</v>
      </c>
      <c r="F4158" s="9" t="s">
        <v>76</v>
      </c>
      <c r="G4158" s="6"/>
      <c r="H4158" s="6"/>
      <c r="I4158" s="6"/>
      <c r="J4158" s="6"/>
      <c r="K4158" s="6"/>
      <c r="L4158" s="6"/>
      <c r="M4158" s="6"/>
      <c r="N4158" s="6"/>
      <c r="O4158" s="6"/>
      <c r="P4158" s="6"/>
      <c r="Q4158" s="6"/>
      <c r="R4158" s="6"/>
      <c r="S4158" s="6"/>
      <c r="T4158" s="6"/>
      <c r="U4158" s="6"/>
      <c r="V4158" s="6"/>
      <c r="W4158" s="6"/>
      <c r="X4158" s="6"/>
      <c r="Y4158" s="6"/>
      <c r="Z4158" s="6"/>
    </row>
    <row r="4159" customFormat="false" ht="15" hidden="false" customHeight="false" outlineLevel="0" collapsed="false">
      <c r="A4159" s="9" t="s">
        <v>10002</v>
      </c>
      <c r="B4159" s="9" t="s">
        <v>5870</v>
      </c>
      <c r="C4159" s="9" t="s">
        <v>4424</v>
      </c>
      <c r="D4159" s="9" t="s">
        <v>5871</v>
      </c>
      <c r="E4159" s="9" t="str">
        <f aca="false">IF(AND('Formation Ledger'!A4138&lt;&gt;"",'Formation Ledger'!V4138=0),"PASS","FAIL")</f>
        <v>PASS</v>
      </c>
      <c r="F4159" s="9" t="s">
        <v>76</v>
      </c>
      <c r="G4159" s="6"/>
      <c r="H4159" s="6"/>
      <c r="I4159" s="6"/>
      <c r="J4159" s="6"/>
      <c r="K4159" s="6"/>
      <c r="L4159" s="6"/>
      <c r="M4159" s="6"/>
      <c r="N4159" s="6"/>
      <c r="O4159" s="6"/>
      <c r="P4159" s="6"/>
      <c r="Q4159" s="6"/>
      <c r="R4159" s="6"/>
      <c r="S4159" s="6"/>
      <c r="T4159" s="6"/>
      <c r="U4159" s="6"/>
      <c r="V4159" s="6"/>
      <c r="W4159" s="6"/>
      <c r="X4159" s="6"/>
      <c r="Y4159" s="6"/>
      <c r="Z4159" s="6"/>
    </row>
    <row r="4160" customFormat="false" ht="15" hidden="false" customHeight="false" outlineLevel="0" collapsed="false">
      <c r="A4160" s="9" t="s">
        <v>10003</v>
      </c>
      <c r="B4160" s="9" t="s">
        <v>5870</v>
      </c>
      <c r="C4160" s="9" t="s">
        <v>4425</v>
      </c>
      <c r="D4160" s="9" t="s">
        <v>5871</v>
      </c>
      <c r="E4160" s="9" t="str">
        <f aca="false">IF(AND('Formation Ledger'!A4139&lt;&gt;"",'Formation Ledger'!V4139=0),"PASS","FAIL")</f>
        <v>PASS</v>
      </c>
      <c r="F4160" s="9" t="s">
        <v>76</v>
      </c>
      <c r="G4160" s="6"/>
      <c r="H4160" s="6"/>
      <c r="I4160" s="6"/>
      <c r="J4160" s="6"/>
      <c r="K4160" s="6"/>
      <c r="L4160" s="6"/>
      <c r="M4160" s="6"/>
      <c r="N4160" s="6"/>
      <c r="O4160" s="6"/>
      <c r="P4160" s="6"/>
      <c r="Q4160" s="6"/>
      <c r="R4160" s="6"/>
      <c r="S4160" s="6"/>
      <c r="T4160" s="6"/>
      <c r="U4160" s="6"/>
      <c r="V4160" s="6"/>
      <c r="W4160" s="6"/>
      <c r="X4160" s="6"/>
      <c r="Y4160" s="6"/>
      <c r="Z4160" s="6"/>
    </row>
    <row r="4161" customFormat="false" ht="15" hidden="false" customHeight="false" outlineLevel="0" collapsed="false">
      <c r="A4161" s="9" t="s">
        <v>10004</v>
      </c>
      <c r="B4161" s="9" t="s">
        <v>5870</v>
      </c>
      <c r="C4161" s="9" t="s">
        <v>4426</v>
      </c>
      <c r="D4161" s="9" t="s">
        <v>5871</v>
      </c>
      <c r="E4161" s="9" t="str">
        <f aca="false">IF(AND('Formation Ledger'!A4140&lt;&gt;"",'Formation Ledger'!V4140=0),"PASS","FAIL")</f>
        <v>PASS</v>
      </c>
      <c r="F4161" s="9" t="s">
        <v>76</v>
      </c>
      <c r="G4161" s="6"/>
      <c r="H4161" s="6"/>
      <c r="I4161" s="6"/>
      <c r="J4161" s="6"/>
      <c r="K4161" s="6"/>
      <c r="L4161" s="6"/>
      <c r="M4161" s="6"/>
      <c r="N4161" s="6"/>
      <c r="O4161" s="6"/>
      <c r="P4161" s="6"/>
      <c r="Q4161" s="6"/>
      <c r="R4161" s="6"/>
      <c r="S4161" s="6"/>
      <c r="T4161" s="6"/>
      <c r="U4161" s="6"/>
      <c r="V4161" s="6"/>
      <c r="W4161" s="6"/>
      <c r="X4161" s="6"/>
      <c r="Y4161" s="6"/>
      <c r="Z4161" s="6"/>
    </row>
    <row r="4162" customFormat="false" ht="15" hidden="false" customHeight="false" outlineLevel="0" collapsed="false">
      <c r="A4162" s="9" t="s">
        <v>10005</v>
      </c>
      <c r="B4162" s="9" t="s">
        <v>5870</v>
      </c>
      <c r="C4162" s="9" t="s">
        <v>4427</v>
      </c>
      <c r="D4162" s="9" t="s">
        <v>5871</v>
      </c>
      <c r="E4162" s="9" t="str">
        <f aca="false">IF(AND('Formation Ledger'!A4141&lt;&gt;"",'Formation Ledger'!V4141=0),"PASS","FAIL")</f>
        <v>PASS</v>
      </c>
      <c r="F4162" s="9" t="s">
        <v>76</v>
      </c>
      <c r="G4162" s="6"/>
      <c r="H4162" s="6"/>
      <c r="I4162" s="6"/>
      <c r="J4162" s="6"/>
      <c r="K4162" s="6"/>
      <c r="L4162" s="6"/>
      <c r="M4162" s="6"/>
      <c r="N4162" s="6"/>
      <c r="O4162" s="6"/>
      <c r="P4162" s="6"/>
      <c r="Q4162" s="6"/>
      <c r="R4162" s="6"/>
      <c r="S4162" s="6"/>
      <c r="T4162" s="6"/>
      <c r="U4162" s="6"/>
      <c r="V4162" s="6"/>
      <c r="W4162" s="6"/>
      <c r="X4162" s="6"/>
      <c r="Y4162" s="6"/>
      <c r="Z4162" s="6"/>
    </row>
    <row r="4163" customFormat="false" ht="15" hidden="false" customHeight="false" outlineLevel="0" collapsed="false">
      <c r="A4163" s="9" t="s">
        <v>10006</v>
      </c>
      <c r="B4163" s="9" t="s">
        <v>5870</v>
      </c>
      <c r="C4163" s="9" t="s">
        <v>4428</v>
      </c>
      <c r="D4163" s="9" t="s">
        <v>5871</v>
      </c>
      <c r="E4163" s="9" t="str">
        <f aca="false">IF(AND('Formation Ledger'!A4142&lt;&gt;"",'Formation Ledger'!V4142=0),"PASS","FAIL")</f>
        <v>PASS</v>
      </c>
      <c r="F4163" s="9" t="s">
        <v>76</v>
      </c>
      <c r="G4163" s="6"/>
      <c r="H4163" s="6"/>
      <c r="I4163" s="6"/>
      <c r="J4163" s="6"/>
      <c r="K4163" s="6"/>
      <c r="L4163" s="6"/>
      <c r="M4163" s="6"/>
      <c r="N4163" s="6"/>
      <c r="O4163" s="6"/>
      <c r="P4163" s="6"/>
      <c r="Q4163" s="6"/>
      <c r="R4163" s="6"/>
      <c r="S4163" s="6"/>
      <c r="T4163" s="6"/>
      <c r="U4163" s="6"/>
      <c r="V4163" s="6"/>
      <c r="W4163" s="6"/>
      <c r="X4163" s="6"/>
      <c r="Y4163" s="6"/>
      <c r="Z4163" s="6"/>
    </row>
    <row r="4164" customFormat="false" ht="15" hidden="false" customHeight="false" outlineLevel="0" collapsed="false">
      <c r="A4164" s="9" t="s">
        <v>10007</v>
      </c>
      <c r="B4164" s="9" t="s">
        <v>5870</v>
      </c>
      <c r="C4164" s="9" t="s">
        <v>4429</v>
      </c>
      <c r="D4164" s="9" t="s">
        <v>5871</v>
      </c>
      <c r="E4164" s="9" t="str">
        <f aca="false">IF(AND('Formation Ledger'!A4143&lt;&gt;"",'Formation Ledger'!V4143=0),"PASS","FAIL")</f>
        <v>PASS</v>
      </c>
      <c r="F4164" s="9" t="s">
        <v>76</v>
      </c>
      <c r="G4164" s="6"/>
      <c r="H4164" s="6"/>
      <c r="I4164" s="6"/>
      <c r="J4164" s="6"/>
      <c r="K4164" s="6"/>
      <c r="L4164" s="6"/>
      <c r="M4164" s="6"/>
      <c r="N4164" s="6"/>
      <c r="O4164" s="6"/>
      <c r="P4164" s="6"/>
      <c r="Q4164" s="6"/>
      <c r="R4164" s="6"/>
      <c r="S4164" s="6"/>
      <c r="T4164" s="6"/>
      <c r="U4164" s="6"/>
      <c r="V4164" s="6"/>
      <c r="W4164" s="6"/>
      <c r="X4164" s="6"/>
      <c r="Y4164" s="6"/>
      <c r="Z4164" s="6"/>
    </row>
    <row r="4165" customFormat="false" ht="15" hidden="false" customHeight="false" outlineLevel="0" collapsed="false">
      <c r="A4165" s="9" t="s">
        <v>10008</v>
      </c>
      <c r="B4165" s="9" t="s">
        <v>5870</v>
      </c>
      <c r="C4165" s="9" t="s">
        <v>4430</v>
      </c>
      <c r="D4165" s="9" t="s">
        <v>5871</v>
      </c>
      <c r="E4165" s="9" t="str">
        <f aca="false">IF(AND('Formation Ledger'!A4144&lt;&gt;"",'Formation Ledger'!V4144=0),"PASS","FAIL")</f>
        <v>PASS</v>
      </c>
      <c r="F4165" s="9" t="s">
        <v>76</v>
      </c>
      <c r="G4165" s="6"/>
      <c r="H4165" s="6"/>
      <c r="I4165" s="6"/>
      <c r="J4165" s="6"/>
      <c r="K4165" s="6"/>
      <c r="L4165" s="6"/>
      <c r="M4165" s="6"/>
      <c r="N4165" s="6"/>
      <c r="O4165" s="6"/>
      <c r="P4165" s="6"/>
      <c r="Q4165" s="6"/>
      <c r="R4165" s="6"/>
      <c r="S4165" s="6"/>
      <c r="T4165" s="6"/>
      <c r="U4165" s="6"/>
      <c r="V4165" s="6"/>
      <c r="W4165" s="6"/>
      <c r="X4165" s="6"/>
      <c r="Y4165" s="6"/>
      <c r="Z4165" s="6"/>
    </row>
    <row r="4166" customFormat="false" ht="15" hidden="false" customHeight="false" outlineLevel="0" collapsed="false">
      <c r="A4166" s="9" t="s">
        <v>10009</v>
      </c>
      <c r="B4166" s="9" t="s">
        <v>5870</v>
      </c>
      <c r="C4166" s="9" t="s">
        <v>4431</v>
      </c>
      <c r="D4166" s="9" t="s">
        <v>5871</v>
      </c>
      <c r="E4166" s="9" t="str">
        <f aca="false">IF(AND('Formation Ledger'!A4145&lt;&gt;"",'Formation Ledger'!V4145=0),"PASS","FAIL")</f>
        <v>PASS</v>
      </c>
      <c r="F4166" s="9" t="s">
        <v>76</v>
      </c>
      <c r="G4166" s="6"/>
      <c r="H4166" s="6"/>
      <c r="I4166" s="6"/>
      <c r="J4166" s="6"/>
      <c r="K4166" s="6"/>
      <c r="L4166" s="6"/>
      <c r="M4166" s="6"/>
      <c r="N4166" s="6"/>
      <c r="O4166" s="6"/>
      <c r="P4166" s="6"/>
      <c r="Q4166" s="6"/>
      <c r="R4166" s="6"/>
      <c r="S4166" s="6"/>
      <c r="T4166" s="6"/>
      <c r="U4166" s="6"/>
      <c r="V4166" s="6"/>
      <c r="W4166" s="6"/>
      <c r="X4166" s="6"/>
      <c r="Y4166" s="6"/>
      <c r="Z4166" s="6"/>
    </row>
    <row r="4167" customFormat="false" ht="15" hidden="false" customHeight="false" outlineLevel="0" collapsed="false">
      <c r="A4167" s="9" t="s">
        <v>10010</v>
      </c>
      <c r="B4167" s="9" t="s">
        <v>5870</v>
      </c>
      <c r="C4167" s="9" t="s">
        <v>4432</v>
      </c>
      <c r="D4167" s="9" t="s">
        <v>5871</v>
      </c>
      <c r="E4167" s="9" t="str">
        <f aca="false">IF(AND('Formation Ledger'!A4146&lt;&gt;"",'Formation Ledger'!V4146=0),"PASS","FAIL")</f>
        <v>PASS</v>
      </c>
      <c r="F4167" s="9" t="s">
        <v>76</v>
      </c>
      <c r="G4167" s="6"/>
      <c r="H4167" s="6"/>
      <c r="I4167" s="6"/>
      <c r="J4167" s="6"/>
      <c r="K4167" s="6"/>
      <c r="L4167" s="6"/>
      <c r="M4167" s="6"/>
      <c r="N4167" s="6"/>
      <c r="O4167" s="6"/>
      <c r="P4167" s="6"/>
      <c r="Q4167" s="6"/>
      <c r="R4167" s="6"/>
      <c r="S4167" s="6"/>
      <c r="T4167" s="6"/>
      <c r="U4167" s="6"/>
      <c r="V4167" s="6"/>
      <c r="W4167" s="6"/>
      <c r="X4167" s="6"/>
      <c r="Y4167" s="6"/>
      <c r="Z4167" s="6"/>
    </row>
    <row r="4168" customFormat="false" ht="15" hidden="false" customHeight="false" outlineLevel="0" collapsed="false">
      <c r="A4168" s="9" t="s">
        <v>10011</v>
      </c>
      <c r="B4168" s="9" t="s">
        <v>5870</v>
      </c>
      <c r="C4168" s="9" t="s">
        <v>4433</v>
      </c>
      <c r="D4168" s="9" t="s">
        <v>5871</v>
      </c>
      <c r="E4168" s="9" t="str">
        <f aca="false">IF(AND('Formation Ledger'!A4147&lt;&gt;"",'Formation Ledger'!V4147=0),"PASS","FAIL")</f>
        <v>PASS</v>
      </c>
      <c r="F4168" s="9" t="s">
        <v>76</v>
      </c>
      <c r="G4168" s="6"/>
      <c r="H4168" s="6"/>
      <c r="I4168" s="6"/>
      <c r="J4168" s="6"/>
      <c r="K4168" s="6"/>
      <c r="L4168" s="6"/>
      <c r="M4168" s="6"/>
      <c r="N4168" s="6"/>
      <c r="O4168" s="6"/>
      <c r="P4168" s="6"/>
      <c r="Q4168" s="6"/>
      <c r="R4168" s="6"/>
      <c r="S4168" s="6"/>
      <c r="T4168" s="6"/>
      <c r="U4168" s="6"/>
      <c r="V4168" s="6"/>
      <c r="W4168" s="6"/>
      <c r="X4168" s="6"/>
      <c r="Y4168" s="6"/>
      <c r="Z4168" s="6"/>
    </row>
    <row r="4169" customFormat="false" ht="15" hidden="false" customHeight="false" outlineLevel="0" collapsed="false">
      <c r="A4169" s="9" t="s">
        <v>10012</v>
      </c>
      <c r="B4169" s="9" t="s">
        <v>5870</v>
      </c>
      <c r="C4169" s="9" t="s">
        <v>4434</v>
      </c>
      <c r="D4169" s="9" t="s">
        <v>5871</v>
      </c>
      <c r="E4169" s="9" t="str">
        <f aca="false">IF(AND('Formation Ledger'!A4148&lt;&gt;"",'Formation Ledger'!V4148=0),"PASS","FAIL")</f>
        <v>PASS</v>
      </c>
      <c r="F4169" s="9" t="s">
        <v>76</v>
      </c>
      <c r="G4169" s="6"/>
      <c r="H4169" s="6"/>
      <c r="I4169" s="6"/>
      <c r="J4169" s="6"/>
      <c r="K4169" s="6"/>
      <c r="L4169" s="6"/>
      <c r="M4169" s="6"/>
      <c r="N4169" s="6"/>
      <c r="O4169" s="6"/>
      <c r="P4169" s="6"/>
      <c r="Q4169" s="6"/>
      <c r="R4169" s="6"/>
      <c r="S4169" s="6"/>
      <c r="T4169" s="6"/>
      <c r="U4169" s="6"/>
      <c r="V4169" s="6"/>
      <c r="W4169" s="6"/>
      <c r="X4169" s="6"/>
      <c r="Y4169" s="6"/>
      <c r="Z4169" s="6"/>
    </row>
    <row r="4170" customFormat="false" ht="15" hidden="false" customHeight="false" outlineLevel="0" collapsed="false">
      <c r="A4170" s="9" t="s">
        <v>10013</v>
      </c>
      <c r="B4170" s="9" t="s">
        <v>5870</v>
      </c>
      <c r="C4170" s="9" t="s">
        <v>4435</v>
      </c>
      <c r="D4170" s="9" t="s">
        <v>5871</v>
      </c>
      <c r="E4170" s="9" t="str">
        <f aca="false">IF(AND('Formation Ledger'!A4149&lt;&gt;"",'Formation Ledger'!V4149=0),"PASS","FAIL")</f>
        <v>PASS</v>
      </c>
      <c r="F4170" s="9" t="s">
        <v>76</v>
      </c>
      <c r="G4170" s="6"/>
      <c r="H4170" s="6"/>
      <c r="I4170" s="6"/>
      <c r="J4170" s="6"/>
      <c r="K4170" s="6"/>
      <c r="L4170" s="6"/>
      <c r="M4170" s="6"/>
      <c r="N4170" s="6"/>
      <c r="O4170" s="6"/>
      <c r="P4170" s="6"/>
      <c r="Q4170" s="6"/>
      <c r="R4170" s="6"/>
      <c r="S4170" s="6"/>
      <c r="T4170" s="6"/>
      <c r="U4170" s="6"/>
      <c r="V4170" s="6"/>
      <c r="W4170" s="6"/>
      <c r="X4170" s="6"/>
      <c r="Y4170" s="6"/>
      <c r="Z4170" s="6"/>
    </row>
    <row r="4171" customFormat="false" ht="15" hidden="false" customHeight="false" outlineLevel="0" collapsed="false">
      <c r="A4171" s="9" t="s">
        <v>10014</v>
      </c>
      <c r="B4171" s="9" t="s">
        <v>5870</v>
      </c>
      <c r="C4171" s="9" t="s">
        <v>4436</v>
      </c>
      <c r="D4171" s="9" t="s">
        <v>5871</v>
      </c>
      <c r="E4171" s="9" t="str">
        <f aca="false">IF(AND('Formation Ledger'!A4150&lt;&gt;"",'Formation Ledger'!V4150=0),"PASS","FAIL")</f>
        <v>PASS</v>
      </c>
      <c r="F4171" s="9" t="s">
        <v>76</v>
      </c>
      <c r="G4171" s="6"/>
      <c r="H4171" s="6"/>
      <c r="I4171" s="6"/>
      <c r="J4171" s="6"/>
      <c r="K4171" s="6"/>
      <c r="L4171" s="6"/>
      <c r="M4171" s="6"/>
      <c r="N4171" s="6"/>
      <c r="O4171" s="6"/>
      <c r="P4171" s="6"/>
      <c r="Q4171" s="6"/>
      <c r="R4171" s="6"/>
      <c r="S4171" s="6"/>
      <c r="T4171" s="6"/>
      <c r="U4171" s="6"/>
      <c r="V4171" s="6"/>
      <c r="W4171" s="6"/>
      <c r="X4171" s="6"/>
      <c r="Y4171" s="6"/>
      <c r="Z4171" s="6"/>
    </row>
    <row r="4172" customFormat="false" ht="15" hidden="false" customHeight="false" outlineLevel="0" collapsed="false">
      <c r="A4172" s="9" t="s">
        <v>10015</v>
      </c>
      <c r="B4172" s="9" t="s">
        <v>5870</v>
      </c>
      <c r="C4172" s="9" t="s">
        <v>4437</v>
      </c>
      <c r="D4172" s="9" t="s">
        <v>5871</v>
      </c>
      <c r="E4172" s="9" t="str">
        <f aca="false">IF(AND('Formation Ledger'!A4151&lt;&gt;"",'Formation Ledger'!V4151=0),"PASS","FAIL")</f>
        <v>PASS</v>
      </c>
      <c r="F4172" s="9" t="s">
        <v>76</v>
      </c>
      <c r="G4172" s="6"/>
      <c r="H4172" s="6"/>
      <c r="I4172" s="6"/>
      <c r="J4172" s="6"/>
      <c r="K4172" s="6"/>
      <c r="L4172" s="6"/>
      <c r="M4172" s="6"/>
      <c r="N4172" s="6"/>
      <c r="O4172" s="6"/>
      <c r="P4172" s="6"/>
      <c r="Q4172" s="6"/>
      <c r="R4172" s="6"/>
      <c r="S4172" s="6"/>
      <c r="T4172" s="6"/>
      <c r="U4172" s="6"/>
      <c r="V4172" s="6"/>
      <c r="W4172" s="6"/>
      <c r="X4172" s="6"/>
      <c r="Y4172" s="6"/>
      <c r="Z4172" s="6"/>
    </row>
    <row r="4173" customFormat="false" ht="15" hidden="false" customHeight="false" outlineLevel="0" collapsed="false">
      <c r="A4173" s="9" t="s">
        <v>10016</v>
      </c>
      <c r="B4173" s="9" t="s">
        <v>5870</v>
      </c>
      <c r="C4173" s="9" t="s">
        <v>4438</v>
      </c>
      <c r="D4173" s="9" t="s">
        <v>5871</v>
      </c>
      <c r="E4173" s="9" t="str">
        <f aca="false">IF(AND('Formation Ledger'!A4152&lt;&gt;"",'Formation Ledger'!V4152=0),"PASS","FAIL")</f>
        <v>PASS</v>
      </c>
      <c r="F4173" s="9" t="s">
        <v>76</v>
      </c>
      <c r="G4173" s="6"/>
      <c r="H4173" s="6"/>
      <c r="I4173" s="6"/>
      <c r="J4173" s="6"/>
      <c r="K4173" s="6"/>
      <c r="L4173" s="6"/>
      <c r="M4173" s="6"/>
      <c r="N4173" s="6"/>
      <c r="O4173" s="6"/>
      <c r="P4173" s="6"/>
      <c r="Q4173" s="6"/>
      <c r="R4173" s="6"/>
      <c r="S4173" s="6"/>
      <c r="T4173" s="6"/>
      <c r="U4173" s="6"/>
      <c r="V4173" s="6"/>
      <c r="W4173" s="6"/>
      <c r="X4173" s="6"/>
      <c r="Y4173" s="6"/>
      <c r="Z4173" s="6"/>
    </row>
    <row r="4174" customFormat="false" ht="15" hidden="false" customHeight="false" outlineLevel="0" collapsed="false">
      <c r="A4174" s="9" t="s">
        <v>10017</v>
      </c>
      <c r="B4174" s="9" t="s">
        <v>5870</v>
      </c>
      <c r="C4174" s="9" t="s">
        <v>4439</v>
      </c>
      <c r="D4174" s="9" t="s">
        <v>5871</v>
      </c>
      <c r="E4174" s="9" t="str">
        <f aca="false">IF(AND('Formation Ledger'!A4153&lt;&gt;"",'Formation Ledger'!V4153=0),"PASS","FAIL")</f>
        <v>PASS</v>
      </c>
      <c r="F4174" s="9" t="s">
        <v>76</v>
      </c>
      <c r="G4174" s="6"/>
      <c r="H4174" s="6"/>
      <c r="I4174" s="6"/>
      <c r="J4174" s="6"/>
      <c r="K4174" s="6"/>
      <c r="L4174" s="6"/>
      <c r="M4174" s="6"/>
      <c r="N4174" s="6"/>
      <c r="O4174" s="6"/>
      <c r="P4174" s="6"/>
      <c r="Q4174" s="6"/>
      <c r="R4174" s="6"/>
      <c r="S4174" s="6"/>
      <c r="T4174" s="6"/>
      <c r="U4174" s="6"/>
      <c r="V4174" s="6"/>
      <c r="W4174" s="6"/>
      <c r="X4174" s="6"/>
      <c r="Y4174" s="6"/>
      <c r="Z4174" s="6"/>
    </row>
    <row r="4175" customFormat="false" ht="15" hidden="false" customHeight="false" outlineLevel="0" collapsed="false">
      <c r="A4175" s="9" t="s">
        <v>10018</v>
      </c>
      <c r="B4175" s="9" t="s">
        <v>5870</v>
      </c>
      <c r="C4175" s="9" t="s">
        <v>4440</v>
      </c>
      <c r="D4175" s="9" t="s">
        <v>5871</v>
      </c>
      <c r="E4175" s="9" t="str">
        <f aca="false">IF(AND('Formation Ledger'!A4154&lt;&gt;"",'Formation Ledger'!V4154=0),"PASS","FAIL")</f>
        <v>PASS</v>
      </c>
      <c r="F4175" s="9" t="s">
        <v>76</v>
      </c>
      <c r="G4175" s="6"/>
      <c r="H4175" s="6"/>
      <c r="I4175" s="6"/>
      <c r="J4175" s="6"/>
      <c r="K4175" s="6"/>
      <c r="L4175" s="6"/>
      <c r="M4175" s="6"/>
      <c r="N4175" s="6"/>
      <c r="O4175" s="6"/>
      <c r="P4175" s="6"/>
      <c r="Q4175" s="6"/>
      <c r="R4175" s="6"/>
      <c r="S4175" s="6"/>
      <c r="T4175" s="6"/>
      <c r="U4175" s="6"/>
      <c r="V4175" s="6"/>
      <c r="W4175" s="6"/>
      <c r="X4175" s="6"/>
      <c r="Y4175" s="6"/>
      <c r="Z4175" s="6"/>
    </row>
    <row r="4176" customFormat="false" ht="15" hidden="false" customHeight="false" outlineLevel="0" collapsed="false">
      <c r="A4176" s="9" t="s">
        <v>10019</v>
      </c>
      <c r="B4176" s="9" t="s">
        <v>5870</v>
      </c>
      <c r="C4176" s="9" t="s">
        <v>4441</v>
      </c>
      <c r="D4176" s="9" t="s">
        <v>5871</v>
      </c>
      <c r="E4176" s="9" t="str">
        <f aca="false">IF(AND('Formation Ledger'!A4155&lt;&gt;"",'Formation Ledger'!V4155=0),"PASS","FAIL")</f>
        <v>PASS</v>
      </c>
      <c r="F4176" s="9" t="s">
        <v>76</v>
      </c>
      <c r="G4176" s="6"/>
      <c r="H4176" s="6"/>
      <c r="I4176" s="6"/>
      <c r="J4176" s="6"/>
      <c r="K4176" s="6"/>
      <c r="L4176" s="6"/>
      <c r="M4176" s="6"/>
      <c r="N4176" s="6"/>
      <c r="O4176" s="6"/>
      <c r="P4176" s="6"/>
      <c r="Q4176" s="6"/>
      <c r="R4176" s="6"/>
      <c r="S4176" s="6"/>
      <c r="T4176" s="6"/>
      <c r="U4176" s="6"/>
      <c r="V4176" s="6"/>
      <c r="W4176" s="6"/>
      <c r="X4176" s="6"/>
      <c r="Y4176" s="6"/>
      <c r="Z4176" s="6"/>
    </row>
    <row r="4177" customFormat="false" ht="15" hidden="false" customHeight="false" outlineLevel="0" collapsed="false">
      <c r="A4177" s="9" t="s">
        <v>10020</v>
      </c>
      <c r="B4177" s="9" t="s">
        <v>5870</v>
      </c>
      <c r="C4177" s="9" t="s">
        <v>4442</v>
      </c>
      <c r="D4177" s="9" t="s">
        <v>5871</v>
      </c>
      <c r="E4177" s="9" t="str">
        <f aca="false">IF(AND('Formation Ledger'!A4156&lt;&gt;"",'Formation Ledger'!V4156=0),"PASS","FAIL")</f>
        <v>PASS</v>
      </c>
      <c r="F4177" s="9" t="s">
        <v>76</v>
      </c>
      <c r="G4177" s="6"/>
      <c r="H4177" s="6"/>
      <c r="I4177" s="6"/>
      <c r="J4177" s="6"/>
      <c r="K4177" s="6"/>
      <c r="L4177" s="6"/>
      <c r="M4177" s="6"/>
      <c r="N4177" s="6"/>
      <c r="O4177" s="6"/>
      <c r="P4177" s="6"/>
      <c r="Q4177" s="6"/>
      <c r="R4177" s="6"/>
      <c r="S4177" s="6"/>
      <c r="T4177" s="6"/>
      <c r="U4177" s="6"/>
      <c r="V4177" s="6"/>
      <c r="W4177" s="6"/>
      <c r="X4177" s="6"/>
      <c r="Y4177" s="6"/>
      <c r="Z4177" s="6"/>
    </row>
    <row r="4178" customFormat="false" ht="15" hidden="false" customHeight="false" outlineLevel="0" collapsed="false">
      <c r="A4178" s="9" t="s">
        <v>10021</v>
      </c>
      <c r="B4178" s="9" t="s">
        <v>5870</v>
      </c>
      <c r="C4178" s="9" t="s">
        <v>4443</v>
      </c>
      <c r="D4178" s="9" t="s">
        <v>5871</v>
      </c>
      <c r="E4178" s="9" t="str">
        <f aca="false">IF(AND('Formation Ledger'!A4157&lt;&gt;"",'Formation Ledger'!V4157=0),"PASS","FAIL")</f>
        <v>PASS</v>
      </c>
      <c r="F4178" s="9" t="s">
        <v>76</v>
      </c>
      <c r="G4178" s="6"/>
      <c r="H4178" s="6"/>
      <c r="I4178" s="6"/>
      <c r="J4178" s="6"/>
      <c r="K4178" s="6"/>
      <c r="L4178" s="6"/>
      <c r="M4178" s="6"/>
      <c r="N4178" s="6"/>
      <c r="O4178" s="6"/>
      <c r="P4178" s="6"/>
      <c r="Q4178" s="6"/>
      <c r="R4178" s="6"/>
      <c r="S4178" s="6"/>
      <c r="T4178" s="6"/>
      <c r="U4178" s="6"/>
      <c r="V4178" s="6"/>
      <c r="W4178" s="6"/>
      <c r="X4178" s="6"/>
      <c r="Y4178" s="6"/>
      <c r="Z4178" s="6"/>
    </row>
    <row r="4179" customFormat="false" ht="15" hidden="false" customHeight="false" outlineLevel="0" collapsed="false">
      <c r="A4179" s="9" t="s">
        <v>10022</v>
      </c>
      <c r="B4179" s="9" t="s">
        <v>5870</v>
      </c>
      <c r="C4179" s="9" t="s">
        <v>4444</v>
      </c>
      <c r="D4179" s="9" t="s">
        <v>5871</v>
      </c>
      <c r="E4179" s="9" t="str">
        <f aca="false">IF(AND('Formation Ledger'!A4158&lt;&gt;"",'Formation Ledger'!V4158=0),"PASS","FAIL")</f>
        <v>PASS</v>
      </c>
      <c r="F4179" s="9" t="s">
        <v>76</v>
      </c>
      <c r="G4179" s="6"/>
      <c r="H4179" s="6"/>
      <c r="I4179" s="6"/>
      <c r="J4179" s="6"/>
      <c r="K4179" s="6"/>
      <c r="L4179" s="6"/>
      <c r="M4179" s="6"/>
      <c r="N4179" s="6"/>
      <c r="O4179" s="6"/>
      <c r="P4179" s="6"/>
      <c r="Q4179" s="6"/>
      <c r="R4179" s="6"/>
      <c r="S4179" s="6"/>
      <c r="T4179" s="6"/>
      <c r="U4179" s="6"/>
      <c r="V4179" s="6"/>
      <c r="W4179" s="6"/>
      <c r="X4179" s="6"/>
      <c r="Y4179" s="6"/>
      <c r="Z4179" s="6"/>
    </row>
    <row r="4180" customFormat="false" ht="15" hidden="false" customHeight="false" outlineLevel="0" collapsed="false">
      <c r="A4180" s="9" t="s">
        <v>10023</v>
      </c>
      <c r="B4180" s="9" t="s">
        <v>5870</v>
      </c>
      <c r="C4180" s="9" t="s">
        <v>4445</v>
      </c>
      <c r="D4180" s="9" t="s">
        <v>5871</v>
      </c>
      <c r="E4180" s="9" t="str">
        <f aca="false">IF(AND('Formation Ledger'!A4159&lt;&gt;"",'Formation Ledger'!V4159=0),"PASS","FAIL")</f>
        <v>PASS</v>
      </c>
      <c r="F4180" s="9" t="s">
        <v>76</v>
      </c>
      <c r="G4180" s="6"/>
      <c r="H4180" s="6"/>
      <c r="I4180" s="6"/>
      <c r="J4180" s="6"/>
      <c r="K4180" s="6"/>
      <c r="L4180" s="6"/>
      <c r="M4180" s="6"/>
      <c r="N4180" s="6"/>
      <c r="O4180" s="6"/>
      <c r="P4180" s="6"/>
      <c r="Q4180" s="6"/>
      <c r="R4180" s="6"/>
      <c r="S4180" s="6"/>
      <c r="T4180" s="6"/>
      <c r="U4180" s="6"/>
      <c r="V4180" s="6"/>
      <c r="W4180" s="6"/>
      <c r="X4180" s="6"/>
      <c r="Y4180" s="6"/>
      <c r="Z4180" s="6"/>
    </row>
    <row r="4181" customFormat="false" ht="15" hidden="false" customHeight="false" outlineLevel="0" collapsed="false">
      <c r="A4181" s="9" t="s">
        <v>10024</v>
      </c>
      <c r="B4181" s="9" t="s">
        <v>5870</v>
      </c>
      <c r="C4181" s="9" t="s">
        <v>4446</v>
      </c>
      <c r="D4181" s="9" t="s">
        <v>5871</v>
      </c>
      <c r="E4181" s="9" t="str">
        <f aca="false">IF(AND('Formation Ledger'!A4160&lt;&gt;"",'Formation Ledger'!V4160=0),"PASS","FAIL")</f>
        <v>PASS</v>
      </c>
      <c r="F4181" s="9" t="s">
        <v>76</v>
      </c>
      <c r="G4181" s="6"/>
      <c r="H4181" s="6"/>
      <c r="I4181" s="6"/>
      <c r="J4181" s="6"/>
      <c r="K4181" s="6"/>
      <c r="L4181" s="6"/>
      <c r="M4181" s="6"/>
      <c r="N4181" s="6"/>
      <c r="O4181" s="6"/>
      <c r="P4181" s="6"/>
      <c r="Q4181" s="6"/>
      <c r="R4181" s="6"/>
      <c r="S4181" s="6"/>
      <c r="T4181" s="6"/>
      <c r="U4181" s="6"/>
      <c r="V4181" s="6"/>
      <c r="W4181" s="6"/>
      <c r="X4181" s="6"/>
      <c r="Y4181" s="6"/>
      <c r="Z4181" s="6"/>
    </row>
    <row r="4182" customFormat="false" ht="15" hidden="false" customHeight="false" outlineLevel="0" collapsed="false">
      <c r="A4182" s="9" t="s">
        <v>10025</v>
      </c>
      <c r="B4182" s="9" t="s">
        <v>5870</v>
      </c>
      <c r="C4182" s="9" t="s">
        <v>4447</v>
      </c>
      <c r="D4182" s="9" t="s">
        <v>5871</v>
      </c>
      <c r="E4182" s="9" t="str">
        <f aca="false">IF(AND('Formation Ledger'!A4161&lt;&gt;"",'Formation Ledger'!V4161=0),"PASS","FAIL")</f>
        <v>PASS</v>
      </c>
      <c r="F4182" s="9" t="s">
        <v>76</v>
      </c>
      <c r="G4182" s="6"/>
      <c r="H4182" s="6"/>
      <c r="I4182" s="6"/>
      <c r="J4182" s="6"/>
      <c r="K4182" s="6"/>
      <c r="L4182" s="6"/>
      <c r="M4182" s="6"/>
      <c r="N4182" s="6"/>
      <c r="O4182" s="6"/>
      <c r="P4182" s="6"/>
      <c r="Q4182" s="6"/>
      <c r="R4182" s="6"/>
      <c r="S4182" s="6"/>
      <c r="T4182" s="6"/>
      <c r="U4182" s="6"/>
      <c r="V4182" s="6"/>
      <c r="W4182" s="6"/>
      <c r="X4182" s="6"/>
      <c r="Y4182" s="6"/>
      <c r="Z4182" s="6"/>
    </row>
    <row r="4183" customFormat="false" ht="15" hidden="false" customHeight="false" outlineLevel="0" collapsed="false">
      <c r="A4183" s="9" t="s">
        <v>10026</v>
      </c>
      <c r="B4183" s="9" t="s">
        <v>5870</v>
      </c>
      <c r="C4183" s="9" t="s">
        <v>4448</v>
      </c>
      <c r="D4183" s="9" t="s">
        <v>5871</v>
      </c>
      <c r="E4183" s="9" t="str">
        <f aca="false">IF(AND('Formation Ledger'!A4162&lt;&gt;"",'Formation Ledger'!V4162=0),"PASS","FAIL")</f>
        <v>PASS</v>
      </c>
      <c r="F4183" s="9" t="s">
        <v>76</v>
      </c>
      <c r="G4183" s="6"/>
      <c r="H4183" s="6"/>
      <c r="I4183" s="6"/>
      <c r="J4183" s="6"/>
      <c r="K4183" s="6"/>
      <c r="L4183" s="6"/>
      <c r="M4183" s="6"/>
      <c r="N4183" s="6"/>
      <c r="O4183" s="6"/>
      <c r="P4183" s="6"/>
      <c r="Q4183" s="6"/>
      <c r="R4183" s="6"/>
      <c r="S4183" s="6"/>
      <c r="T4183" s="6"/>
      <c r="U4183" s="6"/>
      <c r="V4183" s="6"/>
      <c r="W4183" s="6"/>
      <c r="X4183" s="6"/>
      <c r="Y4183" s="6"/>
      <c r="Z4183" s="6"/>
    </row>
    <row r="4184" customFormat="false" ht="15" hidden="false" customHeight="false" outlineLevel="0" collapsed="false">
      <c r="A4184" s="9" t="s">
        <v>10027</v>
      </c>
      <c r="B4184" s="9" t="s">
        <v>5870</v>
      </c>
      <c r="C4184" s="9" t="s">
        <v>4449</v>
      </c>
      <c r="D4184" s="9" t="s">
        <v>5871</v>
      </c>
      <c r="E4184" s="9" t="str">
        <f aca="false">IF(AND('Formation Ledger'!A4163&lt;&gt;"",'Formation Ledger'!V4163=0),"PASS","FAIL")</f>
        <v>PASS</v>
      </c>
      <c r="F4184" s="9" t="s">
        <v>76</v>
      </c>
      <c r="G4184" s="6"/>
      <c r="H4184" s="6"/>
      <c r="I4184" s="6"/>
      <c r="J4184" s="6"/>
      <c r="K4184" s="6"/>
      <c r="L4184" s="6"/>
      <c r="M4184" s="6"/>
      <c r="N4184" s="6"/>
      <c r="O4184" s="6"/>
      <c r="P4184" s="6"/>
      <c r="Q4184" s="6"/>
      <c r="R4184" s="6"/>
      <c r="S4184" s="6"/>
      <c r="T4184" s="6"/>
      <c r="U4184" s="6"/>
      <c r="V4184" s="6"/>
      <c r="W4184" s="6"/>
      <c r="X4184" s="6"/>
      <c r="Y4184" s="6"/>
      <c r="Z4184" s="6"/>
    </row>
    <row r="4185" customFormat="false" ht="15" hidden="false" customHeight="false" outlineLevel="0" collapsed="false">
      <c r="A4185" s="9" t="s">
        <v>10028</v>
      </c>
      <c r="B4185" s="9" t="s">
        <v>5870</v>
      </c>
      <c r="C4185" s="9" t="s">
        <v>4450</v>
      </c>
      <c r="D4185" s="9" t="s">
        <v>5871</v>
      </c>
      <c r="E4185" s="9" t="str">
        <f aca="false">IF(AND('Formation Ledger'!A4164&lt;&gt;"",'Formation Ledger'!V4164=0),"PASS","FAIL")</f>
        <v>PASS</v>
      </c>
      <c r="F4185" s="9" t="s">
        <v>76</v>
      </c>
      <c r="G4185" s="6"/>
      <c r="H4185" s="6"/>
      <c r="I4185" s="6"/>
      <c r="J4185" s="6"/>
      <c r="K4185" s="6"/>
      <c r="L4185" s="6"/>
      <c r="M4185" s="6"/>
      <c r="N4185" s="6"/>
      <c r="O4185" s="6"/>
      <c r="P4185" s="6"/>
      <c r="Q4185" s="6"/>
      <c r="R4185" s="6"/>
      <c r="S4185" s="6"/>
      <c r="T4185" s="6"/>
      <c r="U4185" s="6"/>
      <c r="V4185" s="6"/>
      <c r="W4185" s="6"/>
      <c r="X4185" s="6"/>
      <c r="Y4185" s="6"/>
      <c r="Z4185" s="6"/>
    </row>
    <row r="4186" customFormat="false" ht="15" hidden="false" customHeight="false" outlineLevel="0" collapsed="false">
      <c r="A4186" s="9" t="s">
        <v>10029</v>
      </c>
      <c r="B4186" s="9" t="s">
        <v>5870</v>
      </c>
      <c r="C4186" s="9" t="s">
        <v>4451</v>
      </c>
      <c r="D4186" s="9" t="s">
        <v>5871</v>
      </c>
      <c r="E4186" s="9" t="str">
        <f aca="false">IF(AND('Formation Ledger'!A4165&lt;&gt;"",'Formation Ledger'!V4165=0),"PASS","FAIL")</f>
        <v>PASS</v>
      </c>
      <c r="F4186" s="9" t="s">
        <v>76</v>
      </c>
      <c r="G4186" s="6"/>
      <c r="H4186" s="6"/>
      <c r="I4186" s="6"/>
      <c r="J4186" s="6"/>
      <c r="K4186" s="6"/>
      <c r="L4186" s="6"/>
      <c r="M4186" s="6"/>
      <c r="N4186" s="6"/>
      <c r="O4186" s="6"/>
      <c r="P4186" s="6"/>
      <c r="Q4186" s="6"/>
      <c r="R4186" s="6"/>
      <c r="S4186" s="6"/>
      <c r="T4186" s="6"/>
      <c r="U4186" s="6"/>
      <c r="V4186" s="6"/>
      <c r="W4186" s="6"/>
      <c r="X4186" s="6"/>
      <c r="Y4186" s="6"/>
      <c r="Z4186" s="6"/>
    </row>
    <row r="4187" customFormat="false" ht="15" hidden="false" customHeight="false" outlineLevel="0" collapsed="false">
      <c r="A4187" s="9" t="s">
        <v>10030</v>
      </c>
      <c r="B4187" s="9" t="s">
        <v>5870</v>
      </c>
      <c r="C4187" s="9" t="s">
        <v>4452</v>
      </c>
      <c r="D4187" s="9" t="s">
        <v>5871</v>
      </c>
      <c r="E4187" s="9" t="str">
        <f aca="false">IF(AND('Formation Ledger'!A4166&lt;&gt;"",'Formation Ledger'!V4166=0),"PASS","FAIL")</f>
        <v>PASS</v>
      </c>
      <c r="F4187" s="9" t="s">
        <v>76</v>
      </c>
      <c r="G4187" s="6"/>
      <c r="H4187" s="6"/>
      <c r="I4187" s="6"/>
      <c r="J4187" s="6"/>
      <c r="K4187" s="6"/>
      <c r="L4187" s="6"/>
      <c r="M4187" s="6"/>
      <c r="N4187" s="6"/>
      <c r="O4187" s="6"/>
      <c r="P4187" s="6"/>
      <c r="Q4187" s="6"/>
      <c r="R4187" s="6"/>
      <c r="S4187" s="6"/>
      <c r="T4187" s="6"/>
      <c r="U4187" s="6"/>
      <c r="V4187" s="6"/>
      <c r="W4187" s="6"/>
      <c r="X4187" s="6"/>
      <c r="Y4187" s="6"/>
      <c r="Z4187" s="6"/>
    </row>
    <row r="4188" customFormat="false" ht="15" hidden="false" customHeight="false" outlineLevel="0" collapsed="false">
      <c r="A4188" s="9" t="s">
        <v>10031</v>
      </c>
      <c r="B4188" s="9" t="s">
        <v>5870</v>
      </c>
      <c r="C4188" s="9" t="s">
        <v>4453</v>
      </c>
      <c r="D4188" s="9" t="s">
        <v>5871</v>
      </c>
      <c r="E4188" s="9" t="str">
        <f aca="false">IF(AND('Formation Ledger'!A4167&lt;&gt;"",'Formation Ledger'!V4167=0),"PASS","FAIL")</f>
        <v>PASS</v>
      </c>
      <c r="F4188" s="9" t="s">
        <v>76</v>
      </c>
      <c r="G4188" s="6"/>
      <c r="H4188" s="6"/>
      <c r="I4188" s="6"/>
      <c r="J4188" s="6"/>
      <c r="K4188" s="6"/>
      <c r="L4188" s="6"/>
      <c r="M4188" s="6"/>
      <c r="N4188" s="6"/>
      <c r="O4188" s="6"/>
      <c r="P4188" s="6"/>
      <c r="Q4188" s="6"/>
      <c r="R4188" s="6"/>
      <c r="S4188" s="6"/>
      <c r="T4188" s="6"/>
      <c r="U4188" s="6"/>
      <c r="V4188" s="6"/>
      <c r="W4188" s="6"/>
      <c r="X4188" s="6"/>
      <c r="Y4188" s="6"/>
      <c r="Z4188" s="6"/>
    </row>
    <row r="4189" customFormat="false" ht="15" hidden="false" customHeight="false" outlineLevel="0" collapsed="false">
      <c r="A4189" s="9" t="s">
        <v>10032</v>
      </c>
      <c r="B4189" s="9" t="s">
        <v>5870</v>
      </c>
      <c r="C4189" s="9" t="s">
        <v>4454</v>
      </c>
      <c r="D4189" s="9" t="s">
        <v>5871</v>
      </c>
      <c r="E4189" s="9" t="str">
        <f aca="false">IF(AND('Formation Ledger'!A4168&lt;&gt;"",'Formation Ledger'!V4168=0),"PASS","FAIL")</f>
        <v>PASS</v>
      </c>
      <c r="F4189" s="9" t="s">
        <v>76</v>
      </c>
      <c r="G4189" s="6"/>
      <c r="H4189" s="6"/>
      <c r="I4189" s="6"/>
      <c r="J4189" s="6"/>
      <c r="K4189" s="6"/>
      <c r="L4189" s="6"/>
      <c r="M4189" s="6"/>
      <c r="N4189" s="6"/>
      <c r="O4189" s="6"/>
      <c r="P4189" s="6"/>
      <c r="Q4189" s="6"/>
      <c r="R4189" s="6"/>
      <c r="S4189" s="6"/>
      <c r="T4189" s="6"/>
      <c r="U4189" s="6"/>
      <c r="V4189" s="6"/>
      <c r="W4189" s="6"/>
      <c r="X4189" s="6"/>
      <c r="Y4189" s="6"/>
      <c r="Z4189" s="6"/>
    </row>
    <row r="4190" customFormat="false" ht="15" hidden="false" customHeight="false" outlineLevel="0" collapsed="false">
      <c r="A4190" s="9" t="s">
        <v>10033</v>
      </c>
      <c r="B4190" s="9" t="s">
        <v>5870</v>
      </c>
      <c r="C4190" s="9" t="s">
        <v>4455</v>
      </c>
      <c r="D4190" s="9" t="s">
        <v>5871</v>
      </c>
      <c r="E4190" s="9" t="str">
        <f aca="false">IF(AND('Formation Ledger'!A4169&lt;&gt;"",'Formation Ledger'!V4169=0),"PASS","FAIL")</f>
        <v>PASS</v>
      </c>
      <c r="F4190" s="9" t="s">
        <v>76</v>
      </c>
      <c r="G4190" s="6"/>
      <c r="H4190" s="6"/>
      <c r="I4190" s="6"/>
      <c r="J4190" s="6"/>
      <c r="K4190" s="6"/>
      <c r="L4190" s="6"/>
      <c r="M4190" s="6"/>
      <c r="N4190" s="6"/>
      <c r="O4190" s="6"/>
      <c r="P4190" s="6"/>
      <c r="Q4190" s="6"/>
      <c r="R4190" s="6"/>
      <c r="S4190" s="6"/>
      <c r="T4190" s="6"/>
      <c r="U4190" s="6"/>
      <c r="V4190" s="6"/>
      <c r="W4190" s="6"/>
      <c r="X4190" s="6"/>
      <c r="Y4190" s="6"/>
      <c r="Z4190" s="6"/>
    </row>
    <row r="4191" customFormat="false" ht="15" hidden="false" customHeight="false" outlineLevel="0" collapsed="false">
      <c r="A4191" s="9" t="s">
        <v>10034</v>
      </c>
      <c r="B4191" s="9" t="s">
        <v>5870</v>
      </c>
      <c r="C4191" s="9" t="s">
        <v>4456</v>
      </c>
      <c r="D4191" s="9" t="s">
        <v>5871</v>
      </c>
      <c r="E4191" s="9" t="str">
        <f aca="false">IF(AND('Formation Ledger'!A4170&lt;&gt;"",'Formation Ledger'!V4170=0),"PASS","FAIL")</f>
        <v>PASS</v>
      </c>
      <c r="F4191" s="9" t="s">
        <v>76</v>
      </c>
      <c r="G4191" s="6"/>
      <c r="H4191" s="6"/>
      <c r="I4191" s="6"/>
      <c r="J4191" s="6"/>
      <c r="K4191" s="6"/>
      <c r="L4191" s="6"/>
      <c r="M4191" s="6"/>
      <c r="N4191" s="6"/>
      <c r="O4191" s="6"/>
      <c r="P4191" s="6"/>
      <c r="Q4191" s="6"/>
      <c r="R4191" s="6"/>
      <c r="S4191" s="6"/>
      <c r="T4191" s="6"/>
      <c r="U4191" s="6"/>
      <c r="V4191" s="6"/>
      <c r="W4191" s="6"/>
      <c r="X4191" s="6"/>
      <c r="Y4191" s="6"/>
      <c r="Z4191" s="6"/>
    </row>
    <row r="4192" customFormat="false" ht="15" hidden="false" customHeight="false" outlineLevel="0" collapsed="false">
      <c r="A4192" s="9" t="s">
        <v>10035</v>
      </c>
      <c r="B4192" s="9" t="s">
        <v>5870</v>
      </c>
      <c r="C4192" s="9" t="s">
        <v>4457</v>
      </c>
      <c r="D4192" s="9" t="s">
        <v>5871</v>
      </c>
      <c r="E4192" s="9" t="str">
        <f aca="false">IF(AND('Formation Ledger'!A4171&lt;&gt;"",'Formation Ledger'!V4171=0),"PASS","FAIL")</f>
        <v>PASS</v>
      </c>
      <c r="F4192" s="9" t="s">
        <v>76</v>
      </c>
      <c r="G4192" s="6"/>
      <c r="H4192" s="6"/>
      <c r="I4192" s="6"/>
      <c r="J4192" s="6"/>
      <c r="K4192" s="6"/>
      <c r="L4192" s="6"/>
      <c r="M4192" s="6"/>
      <c r="N4192" s="6"/>
      <c r="O4192" s="6"/>
      <c r="P4192" s="6"/>
      <c r="Q4192" s="6"/>
      <c r="R4192" s="6"/>
      <c r="S4192" s="6"/>
      <c r="T4192" s="6"/>
      <c r="U4192" s="6"/>
      <c r="V4192" s="6"/>
      <c r="W4192" s="6"/>
      <c r="X4192" s="6"/>
      <c r="Y4192" s="6"/>
      <c r="Z4192" s="6"/>
    </row>
    <row r="4193" customFormat="false" ht="15" hidden="false" customHeight="false" outlineLevel="0" collapsed="false">
      <c r="A4193" s="9" t="s">
        <v>10036</v>
      </c>
      <c r="B4193" s="9" t="s">
        <v>5870</v>
      </c>
      <c r="C4193" s="9" t="s">
        <v>4458</v>
      </c>
      <c r="D4193" s="9" t="s">
        <v>5871</v>
      </c>
      <c r="E4193" s="9" t="str">
        <f aca="false">IF(AND('Formation Ledger'!A4172&lt;&gt;"",'Formation Ledger'!V4172=0),"PASS","FAIL")</f>
        <v>PASS</v>
      </c>
      <c r="F4193" s="9" t="s">
        <v>76</v>
      </c>
      <c r="G4193" s="6"/>
      <c r="H4193" s="6"/>
      <c r="I4193" s="6"/>
      <c r="J4193" s="6"/>
      <c r="K4193" s="6"/>
      <c r="L4193" s="6"/>
      <c r="M4193" s="6"/>
      <c r="N4193" s="6"/>
      <c r="O4193" s="6"/>
      <c r="P4193" s="6"/>
      <c r="Q4193" s="6"/>
      <c r="R4193" s="6"/>
      <c r="S4193" s="6"/>
      <c r="T4193" s="6"/>
      <c r="U4193" s="6"/>
      <c r="V4193" s="6"/>
      <c r="W4193" s="6"/>
      <c r="X4193" s="6"/>
      <c r="Y4193" s="6"/>
      <c r="Z4193" s="6"/>
    </row>
    <row r="4194" customFormat="false" ht="15" hidden="false" customHeight="false" outlineLevel="0" collapsed="false">
      <c r="A4194" s="9" t="s">
        <v>10037</v>
      </c>
      <c r="B4194" s="9" t="s">
        <v>5870</v>
      </c>
      <c r="C4194" s="9" t="s">
        <v>4459</v>
      </c>
      <c r="D4194" s="9" t="s">
        <v>5871</v>
      </c>
      <c r="E4194" s="9" t="str">
        <f aca="false">IF(AND('Formation Ledger'!A4173&lt;&gt;"",'Formation Ledger'!V4173=0),"PASS","FAIL")</f>
        <v>PASS</v>
      </c>
      <c r="F4194" s="9" t="s">
        <v>76</v>
      </c>
      <c r="G4194" s="6"/>
      <c r="H4194" s="6"/>
      <c r="I4194" s="6"/>
      <c r="J4194" s="6"/>
      <c r="K4194" s="6"/>
      <c r="L4194" s="6"/>
      <c r="M4194" s="6"/>
      <c r="N4194" s="6"/>
      <c r="O4194" s="6"/>
      <c r="P4194" s="6"/>
      <c r="Q4194" s="6"/>
      <c r="R4194" s="6"/>
      <c r="S4194" s="6"/>
      <c r="T4194" s="6"/>
      <c r="U4194" s="6"/>
      <c r="V4194" s="6"/>
      <c r="W4194" s="6"/>
      <c r="X4194" s="6"/>
      <c r="Y4194" s="6"/>
      <c r="Z4194" s="6"/>
    </row>
    <row r="4195" customFormat="false" ht="15" hidden="false" customHeight="false" outlineLevel="0" collapsed="false">
      <c r="A4195" s="9" t="s">
        <v>10038</v>
      </c>
      <c r="B4195" s="9" t="s">
        <v>5870</v>
      </c>
      <c r="C4195" s="9" t="s">
        <v>4460</v>
      </c>
      <c r="D4195" s="9" t="s">
        <v>5871</v>
      </c>
      <c r="E4195" s="9" t="str">
        <f aca="false">IF(AND('Formation Ledger'!A4174&lt;&gt;"",'Formation Ledger'!V4174=0),"PASS","FAIL")</f>
        <v>PASS</v>
      </c>
      <c r="F4195" s="9" t="s">
        <v>76</v>
      </c>
      <c r="G4195" s="6"/>
      <c r="H4195" s="6"/>
      <c r="I4195" s="6"/>
      <c r="J4195" s="6"/>
      <c r="K4195" s="6"/>
      <c r="L4195" s="6"/>
      <c r="M4195" s="6"/>
      <c r="N4195" s="6"/>
      <c r="O4195" s="6"/>
      <c r="P4195" s="6"/>
      <c r="Q4195" s="6"/>
      <c r="R4195" s="6"/>
      <c r="S4195" s="6"/>
      <c r="T4195" s="6"/>
      <c r="U4195" s="6"/>
      <c r="V4195" s="6"/>
      <c r="W4195" s="6"/>
      <c r="X4195" s="6"/>
      <c r="Y4195" s="6"/>
      <c r="Z4195" s="6"/>
    </row>
    <row r="4196" customFormat="false" ht="15" hidden="false" customHeight="false" outlineLevel="0" collapsed="false">
      <c r="A4196" s="9" t="s">
        <v>10039</v>
      </c>
      <c r="B4196" s="9" t="s">
        <v>5870</v>
      </c>
      <c r="C4196" s="9" t="s">
        <v>4461</v>
      </c>
      <c r="D4196" s="9" t="s">
        <v>5871</v>
      </c>
      <c r="E4196" s="9" t="str">
        <f aca="false">IF(AND('Formation Ledger'!A4175&lt;&gt;"",'Formation Ledger'!V4175=0),"PASS","FAIL")</f>
        <v>PASS</v>
      </c>
      <c r="F4196" s="9" t="s">
        <v>76</v>
      </c>
      <c r="G4196" s="6"/>
      <c r="H4196" s="6"/>
      <c r="I4196" s="6"/>
      <c r="J4196" s="6"/>
      <c r="K4196" s="6"/>
      <c r="L4196" s="6"/>
      <c r="M4196" s="6"/>
      <c r="N4196" s="6"/>
      <c r="O4196" s="6"/>
      <c r="P4196" s="6"/>
      <c r="Q4196" s="6"/>
      <c r="R4196" s="6"/>
      <c r="S4196" s="6"/>
      <c r="T4196" s="6"/>
      <c r="U4196" s="6"/>
      <c r="V4196" s="6"/>
      <c r="W4196" s="6"/>
      <c r="X4196" s="6"/>
      <c r="Y4196" s="6"/>
      <c r="Z4196" s="6"/>
    </row>
    <row r="4197" customFormat="false" ht="15" hidden="false" customHeight="false" outlineLevel="0" collapsed="false">
      <c r="A4197" s="9" t="s">
        <v>10040</v>
      </c>
      <c r="B4197" s="9" t="s">
        <v>5870</v>
      </c>
      <c r="C4197" s="9" t="s">
        <v>4462</v>
      </c>
      <c r="D4197" s="9" t="s">
        <v>5871</v>
      </c>
      <c r="E4197" s="9" t="str">
        <f aca="false">IF(AND('Formation Ledger'!A4176&lt;&gt;"",'Formation Ledger'!V4176=0),"PASS","FAIL")</f>
        <v>PASS</v>
      </c>
      <c r="F4197" s="9" t="s">
        <v>76</v>
      </c>
      <c r="G4197" s="6"/>
      <c r="H4197" s="6"/>
      <c r="I4197" s="6"/>
      <c r="J4197" s="6"/>
      <c r="K4197" s="6"/>
      <c r="L4197" s="6"/>
      <c r="M4197" s="6"/>
      <c r="N4197" s="6"/>
      <c r="O4197" s="6"/>
      <c r="P4197" s="6"/>
      <c r="Q4197" s="6"/>
      <c r="R4197" s="6"/>
      <c r="S4197" s="6"/>
      <c r="T4197" s="6"/>
      <c r="U4197" s="6"/>
      <c r="V4197" s="6"/>
      <c r="W4197" s="6"/>
      <c r="X4197" s="6"/>
      <c r="Y4197" s="6"/>
      <c r="Z4197" s="6"/>
    </row>
    <row r="4198" customFormat="false" ht="15" hidden="false" customHeight="false" outlineLevel="0" collapsed="false">
      <c r="A4198" s="9" t="s">
        <v>10041</v>
      </c>
      <c r="B4198" s="9" t="s">
        <v>5870</v>
      </c>
      <c r="C4198" s="9" t="s">
        <v>4463</v>
      </c>
      <c r="D4198" s="9" t="s">
        <v>5871</v>
      </c>
      <c r="E4198" s="9" t="str">
        <f aca="false">IF(AND('Formation Ledger'!A4177&lt;&gt;"",'Formation Ledger'!V4177=0),"PASS","FAIL")</f>
        <v>PASS</v>
      </c>
      <c r="F4198" s="9" t="s">
        <v>76</v>
      </c>
      <c r="G4198" s="6"/>
      <c r="H4198" s="6"/>
      <c r="I4198" s="6"/>
      <c r="J4198" s="6"/>
      <c r="K4198" s="6"/>
      <c r="L4198" s="6"/>
      <c r="M4198" s="6"/>
      <c r="N4198" s="6"/>
      <c r="O4198" s="6"/>
      <c r="P4198" s="6"/>
      <c r="Q4198" s="6"/>
      <c r="R4198" s="6"/>
      <c r="S4198" s="6"/>
      <c r="T4198" s="6"/>
      <c r="U4198" s="6"/>
      <c r="V4198" s="6"/>
      <c r="W4198" s="6"/>
      <c r="X4198" s="6"/>
      <c r="Y4198" s="6"/>
      <c r="Z4198" s="6"/>
    </row>
    <row r="4199" customFormat="false" ht="15" hidden="false" customHeight="false" outlineLevel="0" collapsed="false">
      <c r="A4199" s="9" t="s">
        <v>10042</v>
      </c>
      <c r="B4199" s="9" t="s">
        <v>5870</v>
      </c>
      <c r="C4199" s="9" t="s">
        <v>4464</v>
      </c>
      <c r="D4199" s="9" t="s">
        <v>5871</v>
      </c>
      <c r="E4199" s="9" t="str">
        <f aca="false">IF(AND('Formation Ledger'!A4178&lt;&gt;"",'Formation Ledger'!V4178=0),"PASS","FAIL")</f>
        <v>PASS</v>
      </c>
      <c r="F4199" s="9" t="s">
        <v>76</v>
      </c>
      <c r="G4199" s="6"/>
      <c r="H4199" s="6"/>
      <c r="I4199" s="6"/>
      <c r="J4199" s="6"/>
      <c r="K4199" s="6"/>
      <c r="L4199" s="6"/>
      <c r="M4199" s="6"/>
      <c r="N4199" s="6"/>
      <c r="O4199" s="6"/>
      <c r="P4199" s="6"/>
      <c r="Q4199" s="6"/>
      <c r="R4199" s="6"/>
      <c r="S4199" s="6"/>
      <c r="T4199" s="6"/>
      <c r="U4199" s="6"/>
      <c r="V4199" s="6"/>
      <c r="W4199" s="6"/>
      <c r="X4199" s="6"/>
      <c r="Y4199" s="6"/>
      <c r="Z4199" s="6"/>
    </row>
    <row r="4200" customFormat="false" ht="15" hidden="false" customHeight="false" outlineLevel="0" collapsed="false">
      <c r="A4200" s="9" t="s">
        <v>10043</v>
      </c>
      <c r="B4200" s="9" t="s">
        <v>5870</v>
      </c>
      <c r="C4200" s="9" t="s">
        <v>4465</v>
      </c>
      <c r="D4200" s="9" t="s">
        <v>5871</v>
      </c>
      <c r="E4200" s="9" t="str">
        <f aca="false">IF(AND('Formation Ledger'!A4179&lt;&gt;"",'Formation Ledger'!V4179=0),"PASS","FAIL")</f>
        <v>PASS</v>
      </c>
      <c r="F4200" s="9" t="s">
        <v>76</v>
      </c>
      <c r="G4200" s="6"/>
      <c r="H4200" s="6"/>
      <c r="I4200" s="6"/>
      <c r="J4200" s="6"/>
      <c r="K4200" s="6"/>
      <c r="L4200" s="6"/>
      <c r="M4200" s="6"/>
      <c r="N4200" s="6"/>
      <c r="O4200" s="6"/>
      <c r="P4200" s="6"/>
      <c r="Q4200" s="6"/>
      <c r="R4200" s="6"/>
      <c r="S4200" s="6"/>
      <c r="T4200" s="6"/>
      <c r="U4200" s="6"/>
      <c r="V4200" s="6"/>
      <c r="W4200" s="6"/>
      <c r="X4200" s="6"/>
      <c r="Y4200" s="6"/>
      <c r="Z4200" s="6"/>
    </row>
    <row r="4201" customFormat="false" ht="15" hidden="false" customHeight="false" outlineLevel="0" collapsed="false">
      <c r="A4201" s="9" t="s">
        <v>10044</v>
      </c>
      <c r="B4201" s="9" t="s">
        <v>5870</v>
      </c>
      <c r="C4201" s="9" t="s">
        <v>4466</v>
      </c>
      <c r="D4201" s="9" t="s">
        <v>5871</v>
      </c>
      <c r="E4201" s="9" t="str">
        <f aca="false">IF(AND('Formation Ledger'!A4180&lt;&gt;"",'Formation Ledger'!V4180=0),"PASS","FAIL")</f>
        <v>PASS</v>
      </c>
      <c r="F4201" s="9" t="s">
        <v>76</v>
      </c>
      <c r="G4201" s="6"/>
      <c r="H4201" s="6"/>
      <c r="I4201" s="6"/>
      <c r="J4201" s="6"/>
      <c r="K4201" s="6"/>
      <c r="L4201" s="6"/>
      <c r="M4201" s="6"/>
      <c r="N4201" s="6"/>
      <c r="O4201" s="6"/>
      <c r="P4201" s="6"/>
      <c r="Q4201" s="6"/>
      <c r="R4201" s="6"/>
      <c r="S4201" s="6"/>
      <c r="T4201" s="6"/>
      <c r="U4201" s="6"/>
      <c r="V4201" s="6"/>
      <c r="W4201" s="6"/>
      <c r="X4201" s="6"/>
      <c r="Y4201" s="6"/>
      <c r="Z4201" s="6"/>
    </row>
    <row r="4202" customFormat="false" ht="15" hidden="false" customHeight="false" outlineLevel="0" collapsed="false">
      <c r="A4202" s="9" t="s">
        <v>10045</v>
      </c>
      <c r="B4202" s="9" t="s">
        <v>5870</v>
      </c>
      <c r="C4202" s="9" t="s">
        <v>4467</v>
      </c>
      <c r="D4202" s="9" t="s">
        <v>5871</v>
      </c>
      <c r="E4202" s="9" t="str">
        <f aca="false">IF(AND('Formation Ledger'!A4181&lt;&gt;"",'Formation Ledger'!V4181=0),"PASS","FAIL")</f>
        <v>PASS</v>
      </c>
      <c r="F4202" s="9" t="s">
        <v>76</v>
      </c>
      <c r="G4202" s="6"/>
      <c r="H4202" s="6"/>
      <c r="I4202" s="6"/>
      <c r="J4202" s="6"/>
      <c r="K4202" s="6"/>
      <c r="L4202" s="6"/>
      <c r="M4202" s="6"/>
      <c r="N4202" s="6"/>
      <c r="O4202" s="6"/>
      <c r="P4202" s="6"/>
      <c r="Q4202" s="6"/>
      <c r="R4202" s="6"/>
      <c r="S4202" s="6"/>
      <c r="T4202" s="6"/>
      <c r="U4202" s="6"/>
      <c r="V4202" s="6"/>
      <c r="W4202" s="6"/>
      <c r="X4202" s="6"/>
      <c r="Y4202" s="6"/>
      <c r="Z4202" s="6"/>
    </row>
    <row r="4203" customFormat="false" ht="15" hidden="false" customHeight="false" outlineLevel="0" collapsed="false">
      <c r="A4203" s="9" t="s">
        <v>10046</v>
      </c>
      <c r="B4203" s="9" t="s">
        <v>5870</v>
      </c>
      <c r="C4203" s="9" t="s">
        <v>4468</v>
      </c>
      <c r="D4203" s="9" t="s">
        <v>5871</v>
      </c>
      <c r="E4203" s="9" t="str">
        <f aca="false">IF(AND('Formation Ledger'!A4182&lt;&gt;"",'Formation Ledger'!V4182=0),"PASS","FAIL")</f>
        <v>PASS</v>
      </c>
      <c r="F4203" s="9" t="s">
        <v>76</v>
      </c>
      <c r="G4203" s="6"/>
      <c r="H4203" s="6"/>
      <c r="I4203" s="6"/>
      <c r="J4203" s="6"/>
      <c r="K4203" s="6"/>
      <c r="L4203" s="6"/>
      <c r="M4203" s="6"/>
      <c r="N4203" s="6"/>
      <c r="O4203" s="6"/>
      <c r="P4203" s="6"/>
      <c r="Q4203" s="6"/>
      <c r="R4203" s="6"/>
      <c r="S4203" s="6"/>
      <c r="T4203" s="6"/>
      <c r="U4203" s="6"/>
      <c r="V4203" s="6"/>
      <c r="W4203" s="6"/>
      <c r="X4203" s="6"/>
      <c r="Y4203" s="6"/>
      <c r="Z4203" s="6"/>
    </row>
    <row r="4204" customFormat="false" ht="15" hidden="false" customHeight="false" outlineLevel="0" collapsed="false">
      <c r="A4204" s="9" t="s">
        <v>10047</v>
      </c>
      <c r="B4204" s="9" t="s">
        <v>5870</v>
      </c>
      <c r="C4204" s="9" t="s">
        <v>4469</v>
      </c>
      <c r="D4204" s="9" t="s">
        <v>5871</v>
      </c>
      <c r="E4204" s="9" t="str">
        <f aca="false">IF(AND('Formation Ledger'!A4183&lt;&gt;"",'Formation Ledger'!V4183=0),"PASS","FAIL")</f>
        <v>PASS</v>
      </c>
      <c r="F4204" s="9" t="s">
        <v>76</v>
      </c>
      <c r="G4204" s="6"/>
      <c r="H4204" s="6"/>
      <c r="I4204" s="6"/>
      <c r="J4204" s="6"/>
      <c r="K4204" s="6"/>
      <c r="L4204" s="6"/>
      <c r="M4204" s="6"/>
      <c r="N4204" s="6"/>
      <c r="O4204" s="6"/>
      <c r="P4204" s="6"/>
      <c r="Q4204" s="6"/>
      <c r="R4204" s="6"/>
      <c r="S4204" s="6"/>
      <c r="T4204" s="6"/>
      <c r="U4204" s="6"/>
      <c r="V4204" s="6"/>
      <c r="W4204" s="6"/>
      <c r="X4204" s="6"/>
      <c r="Y4204" s="6"/>
      <c r="Z4204" s="6"/>
    </row>
    <row r="4205" customFormat="false" ht="15" hidden="false" customHeight="false" outlineLevel="0" collapsed="false">
      <c r="A4205" s="9" t="s">
        <v>10048</v>
      </c>
      <c r="B4205" s="9" t="s">
        <v>5870</v>
      </c>
      <c r="C4205" s="9" t="s">
        <v>4470</v>
      </c>
      <c r="D4205" s="9" t="s">
        <v>5871</v>
      </c>
      <c r="E4205" s="9" t="str">
        <f aca="false">IF(AND('Formation Ledger'!A4184&lt;&gt;"",'Formation Ledger'!V4184=0),"PASS","FAIL")</f>
        <v>PASS</v>
      </c>
      <c r="F4205" s="9" t="s">
        <v>76</v>
      </c>
      <c r="G4205" s="6"/>
      <c r="H4205" s="6"/>
      <c r="I4205" s="6"/>
      <c r="J4205" s="6"/>
      <c r="K4205" s="6"/>
      <c r="L4205" s="6"/>
      <c r="M4205" s="6"/>
      <c r="N4205" s="6"/>
      <c r="O4205" s="6"/>
      <c r="P4205" s="6"/>
      <c r="Q4205" s="6"/>
      <c r="R4205" s="6"/>
      <c r="S4205" s="6"/>
      <c r="T4205" s="6"/>
      <c r="U4205" s="6"/>
      <c r="V4205" s="6"/>
      <c r="W4205" s="6"/>
      <c r="X4205" s="6"/>
      <c r="Y4205" s="6"/>
      <c r="Z4205" s="6"/>
    </row>
    <row r="4206" customFormat="false" ht="15" hidden="false" customHeight="false" outlineLevel="0" collapsed="false">
      <c r="A4206" s="9" t="s">
        <v>10049</v>
      </c>
      <c r="B4206" s="9" t="s">
        <v>5870</v>
      </c>
      <c r="C4206" s="9" t="s">
        <v>4471</v>
      </c>
      <c r="D4206" s="9" t="s">
        <v>5871</v>
      </c>
      <c r="E4206" s="9" t="str">
        <f aca="false">IF(AND('Formation Ledger'!A4185&lt;&gt;"",'Formation Ledger'!V4185=0),"PASS","FAIL")</f>
        <v>PASS</v>
      </c>
      <c r="F4206" s="9" t="s">
        <v>76</v>
      </c>
      <c r="G4206" s="6"/>
      <c r="H4206" s="6"/>
      <c r="I4206" s="6"/>
      <c r="J4206" s="6"/>
      <c r="K4206" s="6"/>
      <c r="L4206" s="6"/>
      <c r="M4206" s="6"/>
      <c r="N4206" s="6"/>
      <c r="O4206" s="6"/>
      <c r="P4206" s="6"/>
      <c r="Q4206" s="6"/>
      <c r="R4206" s="6"/>
      <c r="S4206" s="6"/>
      <c r="T4206" s="6"/>
      <c r="U4206" s="6"/>
      <c r="V4206" s="6"/>
      <c r="W4206" s="6"/>
      <c r="X4206" s="6"/>
      <c r="Y4206" s="6"/>
      <c r="Z4206" s="6"/>
    </row>
    <row r="4207" customFormat="false" ht="15" hidden="false" customHeight="false" outlineLevel="0" collapsed="false">
      <c r="A4207" s="9" t="s">
        <v>10050</v>
      </c>
      <c r="B4207" s="9" t="s">
        <v>5870</v>
      </c>
      <c r="C4207" s="9" t="s">
        <v>4472</v>
      </c>
      <c r="D4207" s="9" t="s">
        <v>5871</v>
      </c>
      <c r="E4207" s="9" t="str">
        <f aca="false">IF(AND('Formation Ledger'!A4186&lt;&gt;"",'Formation Ledger'!V4186=0),"PASS","FAIL")</f>
        <v>PASS</v>
      </c>
      <c r="F4207" s="9" t="s">
        <v>76</v>
      </c>
      <c r="G4207" s="6"/>
      <c r="H4207" s="6"/>
      <c r="I4207" s="6"/>
      <c r="J4207" s="6"/>
      <c r="K4207" s="6"/>
      <c r="L4207" s="6"/>
      <c r="M4207" s="6"/>
      <c r="N4207" s="6"/>
      <c r="O4207" s="6"/>
      <c r="P4207" s="6"/>
      <c r="Q4207" s="6"/>
      <c r="R4207" s="6"/>
      <c r="S4207" s="6"/>
      <c r="T4207" s="6"/>
      <c r="U4207" s="6"/>
      <c r="V4207" s="6"/>
      <c r="W4207" s="6"/>
      <c r="X4207" s="6"/>
      <c r="Y4207" s="6"/>
      <c r="Z4207" s="6"/>
    </row>
    <row r="4208" customFormat="false" ht="15" hidden="false" customHeight="false" outlineLevel="0" collapsed="false">
      <c r="A4208" s="9" t="s">
        <v>10051</v>
      </c>
      <c r="B4208" s="9" t="s">
        <v>5870</v>
      </c>
      <c r="C4208" s="9" t="s">
        <v>4473</v>
      </c>
      <c r="D4208" s="9" t="s">
        <v>5871</v>
      </c>
      <c r="E4208" s="9" t="str">
        <f aca="false">IF(AND('Formation Ledger'!A4187&lt;&gt;"",'Formation Ledger'!V4187=0),"PASS","FAIL")</f>
        <v>PASS</v>
      </c>
      <c r="F4208" s="9" t="s">
        <v>76</v>
      </c>
      <c r="G4208" s="6"/>
      <c r="H4208" s="6"/>
      <c r="I4208" s="6"/>
      <c r="J4208" s="6"/>
      <c r="K4208" s="6"/>
      <c r="L4208" s="6"/>
      <c r="M4208" s="6"/>
      <c r="N4208" s="6"/>
      <c r="O4208" s="6"/>
      <c r="P4208" s="6"/>
      <c r="Q4208" s="6"/>
      <c r="R4208" s="6"/>
      <c r="S4208" s="6"/>
      <c r="T4208" s="6"/>
      <c r="U4208" s="6"/>
      <c r="V4208" s="6"/>
      <c r="W4208" s="6"/>
      <c r="X4208" s="6"/>
      <c r="Y4208" s="6"/>
      <c r="Z4208" s="6"/>
    </row>
    <row r="4209" customFormat="false" ht="15" hidden="false" customHeight="false" outlineLevel="0" collapsed="false">
      <c r="A4209" s="9" t="s">
        <v>10052</v>
      </c>
      <c r="B4209" s="9" t="s">
        <v>5870</v>
      </c>
      <c r="C4209" s="9" t="s">
        <v>4474</v>
      </c>
      <c r="D4209" s="9" t="s">
        <v>5871</v>
      </c>
      <c r="E4209" s="9" t="str">
        <f aca="false">IF(AND('Formation Ledger'!A4188&lt;&gt;"",'Formation Ledger'!V4188=0),"PASS","FAIL")</f>
        <v>PASS</v>
      </c>
      <c r="F4209" s="9" t="s">
        <v>76</v>
      </c>
      <c r="G4209" s="6"/>
      <c r="H4209" s="6"/>
      <c r="I4209" s="6"/>
      <c r="J4209" s="6"/>
      <c r="K4209" s="6"/>
      <c r="L4209" s="6"/>
      <c r="M4209" s="6"/>
      <c r="N4209" s="6"/>
      <c r="O4209" s="6"/>
      <c r="P4209" s="6"/>
      <c r="Q4209" s="6"/>
      <c r="R4209" s="6"/>
      <c r="S4209" s="6"/>
      <c r="T4209" s="6"/>
      <c r="U4209" s="6"/>
      <c r="V4209" s="6"/>
      <c r="W4209" s="6"/>
      <c r="X4209" s="6"/>
      <c r="Y4209" s="6"/>
      <c r="Z4209" s="6"/>
    </row>
    <row r="4210" customFormat="false" ht="15" hidden="false" customHeight="false" outlineLevel="0" collapsed="false">
      <c r="A4210" s="9" t="s">
        <v>10053</v>
      </c>
      <c r="B4210" s="9" t="s">
        <v>5870</v>
      </c>
      <c r="C4210" s="9" t="s">
        <v>4475</v>
      </c>
      <c r="D4210" s="9" t="s">
        <v>5871</v>
      </c>
      <c r="E4210" s="9" t="str">
        <f aca="false">IF(AND('Formation Ledger'!A4189&lt;&gt;"",'Formation Ledger'!V4189=0),"PASS","FAIL")</f>
        <v>PASS</v>
      </c>
      <c r="F4210" s="9" t="s">
        <v>76</v>
      </c>
      <c r="G4210" s="6"/>
      <c r="H4210" s="6"/>
      <c r="I4210" s="6"/>
      <c r="J4210" s="6"/>
      <c r="K4210" s="6"/>
      <c r="L4210" s="6"/>
      <c r="M4210" s="6"/>
      <c r="N4210" s="6"/>
      <c r="O4210" s="6"/>
      <c r="P4210" s="6"/>
      <c r="Q4210" s="6"/>
      <c r="R4210" s="6"/>
      <c r="S4210" s="6"/>
      <c r="T4210" s="6"/>
      <c r="U4210" s="6"/>
      <c r="V4210" s="6"/>
      <c r="W4210" s="6"/>
      <c r="X4210" s="6"/>
      <c r="Y4210" s="6"/>
      <c r="Z4210" s="6"/>
    </row>
    <row r="4211" customFormat="false" ht="15" hidden="false" customHeight="false" outlineLevel="0" collapsed="false">
      <c r="A4211" s="9" t="s">
        <v>10054</v>
      </c>
      <c r="B4211" s="9" t="s">
        <v>5870</v>
      </c>
      <c r="C4211" s="9" t="s">
        <v>4476</v>
      </c>
      <c r="D4211" s="9" t="s">
        <v>5871</v>
      </c>
      <c r="E4211" s="9" t="str">
        <f aca="false">IF(AND('Formation Ledger'!A4190&lt;&gt;"",'Formation Ledger'!V4190=0),"PASS","FAIL")</f>
        <v>PASS</v>
      </c>
      <c r="F4211" s="9" t="s">
        <v>76</v>
      </c>
      <c r="G4211" s="6"/>
      <c r="H4211" s="6"/>
      <c r="I4211" s="6"/>
      <c r="J4211" s="6"/>
      <c r="K4211" s="6"/>
      <c r="L4211" s="6"/>
      <c r="M4211" s="6"/>
      <c r="N4211" s="6"/>
      <c r="O4211" s="6"/>
      <c r="P4211" s="6"/>
      <c r="Q4211" s="6"/>
      <c r="R4211" s="6"/>
      <c r="S4211" s="6"/>
      <c r="T4211" s="6"/>
      <c r="U4211" s="6"/>
      <c r="V4211" s="6"/>
      <c r="W4211" s="6"/>
      <c r="X4211" s="6"/>
      <c r="Y4211" s="6"/>
      <c r="Z4211" s="6"/>
    </row>
    <row r="4212" customFormat="false" ht="15" hidden="false" customHeight="false" outlineLevel="0" collapsed="false">
      <c r="A4212" s="9" t="s">
        <v>10055</v>
      </c>
      <c r="B4212" s="9" t="s">
        <v>5870</v>
      </c>
      <c r="C4212" s="9" t="s">
        <v>4477</v>
      </c>
      <c r="D4212" s="9" t="s">
        <v>5871</v>
      </c>
      <c r="E4212" s="9" t="str">
        <f aca="false">IF(AND('Formation Ledger'!A4191&lt;&gt;"",'Formation Ledger'!V4191=0),"PASS","FAIL")</f>
        <v>PASS</v>
      </c>
      <c r="F4212" s="9" t="s">
        <v>76</v>
      </c>
      <c r="G4212" s="6"/>
      <c r="H4212" s="6"/>
      <c r="I4212" s="6"/>
      <c r="J4212" s="6"/>
      <c r="K4212" s="6"/>
      <c r="L4212" s="6"/>
      <c r="M4212" s="6"/>
      <c r="N4212" s="6"/>
      <c r="O4212" s="6"/>
      <c r="P4212" s="6"/>
      <c r="Q4212" s="6"/>
      <c r="R4212" s="6"/>
      <c r="S4212" s="6"/>
      <c r="T4212" s="6"/>
      <c r="U4212" s="6"/>
      <c r="V4212" s="6"/>
      <c r="W4212" s="6"/>
      <c r="X4212" s="6"/>
      <c r="Y4212" s="6"/>
      <c r="Z4212" s="6"/>
    </row>
    <row r="4213" customFormat="false" ht="15" hidden="false" customHeight="false" outlineLevel="0" collapsed="false">
      <c r="A4213" s="9" t="s">
        <v>10056</v>
      </c>
      <c r="B4213" s="9" t="s">
        <v>5870</v>
      </c>
      <c r="C4213" s="9" t="s">
        <v>4478</v>
      </c>
      <c r="D4213" s="9" t="s">
        <v>5871</v>
      </c>
      <c r="E4213" s="9" t="str">
        <f aca="false">IF(AND('Formation Ledger'!A4192&lt;&gt;"",'Formation Ledger'!V4192=0),"PASS","FAIL")</f>
        <v>PASS</v>
      </c>
      <c r="F4213" s="9" t="s">
        <v>76</v>
      </c>
      <c r="G4213" s="6"/>
      <c r="H4213" s="6"/>
      <c r="I4213" s="6"/>
      <c r="J4213" s="6"/>
      <c r="K4213" s="6"/>
      <c r="L4213" s="6"/>
      <c r="M4213" s="6"/>
      <c r="N4213" s="6"/>
      <c r="O4213" s="6"/>
      <c r="P4213" s="6"/>
      <c r="Q4213" s="6"/>
      <c r="R4213" s="6"/>
      <c r="S4213" s="6"/>
      <c r="T4213" s="6"/>
      <c r="U4213" s="6"/>
      <c r="V4213" s="6"/>
      <c r="W4213" s="6"/>
      <c r="X4213" s="6"/>
      <c r="Y4213" s="6"/>
      <c r="Z4213" s="6"/>
    </row>
    <row r="4214" customFormat="false" ht="15" hidden="false" customHeight="false" outlineLevel="0" collapsed="false">
      <c r="A4214" s="9" t="s">
        <v>10057</v>
      </c>
      <c r="B4214" s="9" t="s">
        <v>5870</v>
      </c>
      <c r="C4214" s="9" t="s">
        <v>4479</v>
      </c>
      <c r="D4214" s="9" t="s">
        <v>5871</v>
      </c>
      <c r="E4214" s="9" t="str">
        <f aca="false">IF(AND('Formation Ledger'!A4193&lt;&gt;"",'Formation Ledger'!V4193=0),"PASS","FAIL")</f>
        <v>PASS</v>
      </c>
      <c r="F4214" s="9" t="s">
        <v>76</v>
      </c>
      <c r="G4214" s="6"/>
      <c r="H4214" s="6"/>
      <c r="I4214" s="6"/>
      <c r="J4214" s="6"/>
      <c r="K4214" s="6"/>
      <c r="L4214" s="6"/>
      <c r="M4214" s="6"/>
      <c r="N4214" s="6"/>
      <c r="O4214" s="6"/>
      <c r="P4214" s="6"/>
      <c r="Q4214" s="6"/>
      <c r="R4214" s="6"/>
      <c r="S4214" s="6"/>
      <c r="T4214" s="6"/>
      <c r="U4214" s="6"/>
      <c r="V4214" s="6"/>
      <c r="W4214" s="6"/>
      <c r="X4214" s="6"/>
      <c r="Y4214" s="6"/>
      <c r="Z4214" s="6"/>
    </row>
    <row r="4215" customFormat="false" ht="15" hidden="false" customHeight="false" outlineLevel="0" collapsed="false">
      <c r="A4215" s="9" t="s">
        <v>10058</v>
      </c>
      <c r="B4215" s="9" t="s">
        <v>5870</v>
      </c>
      <c r="C4215" s="9" t="s">
        <v>4480</v>
      </c>
      <c r="D4215" s="9" t="s">
        <v>5871</v>
      </c>
      <c r="E4215" s="9" t="str">
        <f aca="false">IF(AND('Formation Ledger'!A4194&lt;&gt;"",'Formation Ledger'!V4194=0),"PASS","FAIL")</f>
        <v>PASS</v>
      </c>
      <c r="F4215" s="9" t="s">
        <v>76</v>
      </c>
      <c r="G4215" s="6"/>
      <c r="H4215" s="6"/>
      <c r="I4215" s="6"/>
      <c r="J4215" s="6"/>
      <c r="K4215" s="6"/>
      <c r="L4215" s="6"/>
      <c r="M4215" s="6"/>
      <c r="N4215" s="6"/>
      <c r="O4215" s="6"/>
      <c r="P4215" s="6"/>
      <c r="Q4215" s="6"/>
      <c r="R4215" s="6"/>
      <c r="S4215" s="6"/>
      <c r="T4215" s="6"/>
      <c r="U4215" s="6"/>
      <c r="V4215" s="6"/>
      <c r="W4215" s="6"/>
      <c r="X4215" s="6"/>
      <c r="Y4215" s="6"/>
      <c r="Z4215" s="6"/>
    </row>
    <row r="4216" customFormat="false" ht="15" hidden="false" customHeight="false" outlineLevel="0" collapsed="false">
      <c r="A4216" s="9" t="s">
        <v>10059</v>
      </c>
      <c r="B4216" s="9" t="s">
        <v>5870</v>
      </c>
      <c r="C4216" s="9" t="s">
        <v>4481</v>
      </c>
      <c r="D4216" s="9" t="s">
        <v>5871</v>
      </c>
      <c r="E4216" s="9" t="str">
        <f aca="false">IF(AND('Formation Ledger'!A4195&lt;&gt;"",'Formation Ledger'!V4195=0),"PASS","FAIL")</f>
        <v>PASS</v>
      </c>
      <c r="F4216" s="9" t="s">
        <v>76</v>
      </c>
      <c r="G4216" s="6"/>
      <c r="H4216" s="6"/>
      <c r="I4216" s="6"/>
      <c r="J4216" s="6"/>
      <c r="K4216" s="6"/>
      <c r="L4216" s="6"/>
      <c r="M4216" s="6"/>
      <c r="N4216" s="6"/>
      <c r="O4216" s="6"/>
      <c r="P4216" s="6"/>
      <c r="Q4216" s="6"/>
      <c r="R4216" s="6"/>
      <c r="S4216" s="6"/>
      <c r="T4216" s="6"/>
      <c r="U4216" s="6"/>
      <c r="V4216" s="6"/>
      <c r="W4216" s="6"/>
      <c r="X4216" s="6"/>
      <c r="Y4216" s="6"/>
      <c r="Z4216" s="6"/>
    </row>
    <row r="4217" customFormat="false" ht="15" hidden="false" customHeight="false" outlineLevel="0" collapsed="false">
      <c r="A4217" s="9" t="s">
        <v>10060</v>
      </c>
      <c r="B4217" s="9" t="s">
        <v>5870</v>
      </c>
      <c r="C4217" s="9" t="s">
        <v>4482</v>
      </c>
      <c r="D4217" s="9" t="s">
        <v>5871</v>
      </c>
      <c r="E4217" s="9" t="str">
        <f aca="false">IF(AND('Formation Ledger'!A4196&lt;&gt;"",'Formation Ledger'!V4196=0),"PASS","FAIL")</f>
        <v>PASS</v>
      </c>
      <c r="F4217" s="9" t="s">
        <v>76</v>
      </c>
      <c r="G4217" s="6"/>
      <c r="H4217" s="6"/>
      <c r="I4217" s="6"/>
      <c r="J4217" s="6"/>
      <c r="K4217" s="6"/>
      <c r="L4217" s="6"/>
      <c r="M4217" s="6"/>
      <c r="N4217" s="6"/>
      <c r="O4217" s="6"/>
      <c r="P4217" s="6"/>
      <c r="Q4217" s="6"/>
      <c r="R4217" s="6"/>
      <c r="S4217" s="6"/>
      <c r="T4217" s="6"/>
      <c r="U4217" s="6"/>
      <c r="V4217" s="6"/>
      <c r="W4217" s="6"/>
      <c r="X4217" s="6"/>
      <c r="Y4217" s="6"/>
      <c r="Z4217" s="6"/>
    </row>
    <row r="4218" customFormat="false" ht="15" hidden="false" customHeight="false" outlineLevel="0" collapsed="false">
      <c r="A4218" s="9" t="s">
        <v>10061</v>
      </c>
      <c r="B4218" s="9" t="s">
        <v>5870</v>
      </c>
      <c r="C4218" s="9" t="s">
        <v>4485</v>
      </c>
      <c r="D4218" s="9" t="s">
        <v>5871</v>
      </c>
      <c r="E4218" s="9" t="str">
        <f aca="false">IF(AND('Formation Ledger'!A4197&lt;&gt;"",'Formation Ledger'!V4197=0),"PASS","FAIL")</f>
        <v>PASS</v>
      </c>
      <c r="F4218" s="9" t="s">
        <v>76</v>
      </c>
      <c r="G4218" s="6"/>
      <c r="H4218" s="6"/>
      <c r="I4218" s="6"/>
      <c r="J4218" s="6"/>
      <c r="K4218" s="6"/>
      <c r="L4218" s="6"/>
      <c r="M4218" s="6"/>
      <c r="N4218" s="6"/>
      <c r="O4218" s="6"/>
      <c r="P4218" s="6"/>
      <c r="Q4218" s="6"/>
      <c r="R4218" s="6"/>
      <c r="S4218" s="6"/>
      <c r="T4218" s="6"/>
      <c r="U4218" s="6"/>
      <c r="V4218" s="6"/>
      <c r="W4218" s="6"/>
      <c r="X4218" s="6"/>
      <c r="Y4218" s="6"/>
      <c r="Z4218" s="6"/>
    </row>
    <row r="4219" customFormat="false" ht="15" hidden="false" customHeight="false" outlineLevel="0" collapsed="false">
      <c r="A4219" s="9" t="s">
        <v>10062</v>
      </c>
      <c r="B4219" s="9" t="s">
        <v>5870</v>
      </c>
      <c r="C4219" s="9" t="s">
        <v>4486</v>
      </c>
      <c r="D4219" s="9" t="s">
        <v>5871</v>
      </c>
      <c r="E4219" s="9" t="str">
        <f aca="false">IF(AND('Formation Ledger'!A4198&lt;&gt;"",'Formation Ledger'!V4198=0),"PASS","FAIL")</f>
        <v>PASS</v>
      </c>
      <c r="F4219" s="9" t="s">
        <v>76</v>
      </c>
      <c r="G4219" s="6"/>
      <c r="H4219" s="6"/>
      <c r="I4219" s="6"/>
      <c r="J4219" s="6"/>
      <c r="K4219" s="6"/>
      <c r="L4219" s="6"/>
      <c r="M4219" s="6"/>
      <c r="N4219" s="6"/>
      <c r="O4219" s="6"/>
      <c r="P4219" s="6"/>
      <c r="Q4219" s="6"/>
      <c r="R4219" s="6"/>
      <c r="S4219" s="6"/>
      <c r="T4219" s="6"/>
      <c r="U4219" s="6"/>
      <c r="V4219" s="6"/>
      <c r="W4219" s="6"/>
      <c r="X4219" s="6"/>
      <c r="Y4219" s="6"/>
      <c r="Z4219" s="6"/>
    </row>
    <row r="4220" customFormat="false" ht="15" hidden="false" customHeight="false" outlineLevel="0" collapsed="false">
      <c r="A4220" s="9" t="s">
        <v>10063</v>
      </c>
      <c r="B4220" s="9" t="s">
        <v>5870</v>
      </c>
      <c r="C4220" s="9" t="s">
        <v>4487</v>
      </c>
      <c r="D4220" s="9" t="s">
        <v>5871</v>
      </c>
      <c r="E4220" s="9" t="str">
        <f aca="false">IF(AND('Formation Ledger'!A4199&lt;&gt;"",'Formation Ledger'!V4199=0),"PASS","FAIL")</f>
        <v>PASS</v>
      </c>
      <c r="F4220" s="9" t="s">
        <v>76</v>
      </c>
      <c r="G4220" s="6"/>
      <c r="H4220" s="6"/>
      <c r="I4220" s="6"/>
      <c r="J4220" s="6"/>
      <c r="K4220" s="6"/>
      <c r="L4220" s="6"/>
      <c r="M4220" s="6"/>
      <c r="N4220" s="6"/>
      <c r="O4220" s="6"/>
      <c r="P4220" s="6"/>
      <c r="Q4220" s="6"/>
      <c r="R4220" s="6"/>
      <c r="S4220" s="6"/>
      <c r="T4220" s="6"/>
      <c r="U4220" s="6"/>
      <c r="V4220" s="6"/>
      <c r="W4220" s="6"/>
      <c r="X4220" s="6"/>
      <c r="Y4220" s="6"/>
      <c r="Z4220" s="6"/>
    </row>
    <row r="4221" customFormat="false" ht="15" hidden="false" customHeight="false" outlineLevel="0" collapsed="false">
      <c r="A4221" s="9" t="s">
        <v>10064</v>
      </c>
      <c r="B4221" s="9" t="s">
        <v>5870</v>
      </c>
      <c r="C4221" s="9" t="s">
        <v>4488</v>
      </c>
      <c r="D4221" s="9" t="s">
        <v>5871</v>
      </c>
      <c r="E4221" s="9" t="str">
        <f aca="false">IF(AND('Formation Ledger'!A4200&lt;&gt;"",'Formation Ledger'!V4200=0),"PASS","FAIL")</f>
        <v>PASS</v>
      </c>
      <c r="F4221" s="9" t="s">
        <v>76</v>
      </c>
      <c r="G4221" s="6"/>
      <c r="H4221" s="6"/>
      <c r="I4221" s="6"/>
      <c r="J4221" s="6"/>
      <c r="K4221" s="6"/>
      <c r="L4221" s="6"/>
      <c r="M4221" s="6"/>
      <c r="N4221" s="6"/>
      <c r="O4221" s="6"/>
      <c r="P4221" s="6"/>
      <c r="Q4221" s="6"/>
      <c r="R4221" s="6"/>
      <c r="S4221" s="6"/>
      <c r="T4221" s="6"/>
      <c r="U4221" s="6"/>
      <c r="V4221" s="6"/>
      <c r="W4221" s="6"/>
      <c r="X4221" s="6"/>
      <c r="Y4221" s="6"/>
      <c r="Z4221" s="6"/>
    </row>
    <row r="4222" customFormat="false" ht="15" hidden="false" customHeight="false" outlineLevel="0" collapsed="false">
      <c r="A4222" s="9" t="s">
        <v>10065</v>
      </c>
      <c r="B4222" s="9" t="s">
        <v>5870</v>
      </c>
      <c r="C4222" s="9" t="s">
        <v>4489</v>
      </c>
      <c r="D4222" s="9" t="s">
        <v>5871</v>
      </c>
      <c r="E4222" s="9" t="str">
        <f aca="false">IF(AND('Formation Ledger'!A4201&lt;&gt;"",'Formation Ledger'!V4201=0),"PASS","FAIL")</f>
        <v>PASS</v>
      </c>
      <c r="F4222" s="9" t="s">
        <v>76</v>
      </c>
      <c r="G4222" s="6"/>
      <c r="H4222" s="6"/>
      <c r="I4222" s="6"/>
      <c r="J4222" s="6"/>
      <c r="K4222" s="6"/>
      <c r="L4222" s="6"/>
      <c r="M4222" s="6"/>
      <c r="N4222" s="6"/>
      <c r="O4222" s="6"/>
      <c r="P4222" s="6"/>
      <c r="Q4222" s="6"/>
      <c r="R4222" s="6"/>
      <c r="S4222" s="6"/>
      <c r="T4222" s="6"/>
      <c r="U4222" s="6"/>
      <c r="V4222" s="6"/>
      <c r="W4222" s="6"/>
      <c r="X4222" s="6"/>
      <c r="Y4222" s="6"/>
      <c r="Z4222" s="6"/>
    </row>
    <row r="4223" customFormat="false" ht="15" hidden="false" customHeight="false" outlineLevel="0" collapsed="false">
      <c r="A4223" s="9" t="s">
        <v>10066</v>
      </c>
      <c r="B4223" s="9" t="s">
        <v>5870</v>
      </c>
      <c r="C4223" s="9" t="s">
        <v>4490</v>
      </c>
      <c r="D4223" s="9" t="s">
        <v>5871</v>
      </c>
      <c r="E4223" s="9" t="str">
        <f aca="false">IF(AND('Formation Ledger'!A4202&lt;&gt;"",'Formation Ledger'!V4202=0),"PASS","FAIL")</f>
        <v>PASS</v>
      </c>
      <c r="F4223" s="9" t="s">
        <v>76</v>
      </c>
      <c r="G4223" s="6"/>
      <c r="H4223" s="6"/>
      <c r="I4223" s="6"/>
      <c r="J4223" s="6"/>
      <c r="K4223" s="6"/>
      <c r="L4223" s="6"/>
      <c r="M4223" s="6"/>
      <c r="N4223" s="6"/>
      <c r="O4223" s="6"/>
      <c r="P4223" s="6"/>
      <c r="Q4223" s="6"/>
      <c r="R4223" s="6"/>
      <c r="S4223" s="6"/>
      <c r="T4223" s="6"/>
      <c r="U4223" s="6"/>
      <c r="V4223" s="6"/>
      <c r="W4223" s="6"/>
      <c r="X4223" s="6"/>
      <c r="Y4223" s="6"/>
      <c r="Z4223" s="6"/>
    </row>
    <row r="4224" customFormat="false" ht="15" hidden="false" customHeight="false" outlineLevel="0" collapsed="false">
      <c r="A4224" s="9" t="s">
        <v>10067</v>
      </c>
      <c r="B4224" s="9" t="s">
        <v>5870</v>
      </c>
      <c r="C4224" s="9" t="s">
        <v>4491</v>
      </c>
      <c r="D4224" s="9" t="s">
        <v>5871</v>
      </c>
      <c r="E4224" s="9" t="str">
        <f aca="false">IF(AND('Formation Ledger'!A4203&lt;&gt;"",'Formation Ledger'!V4203=0),"PASS","FAIL")</f>
        <v>PASS</v>
      </c>
      <c r="F4224" s="9" t="s">
        <v>76</v>
      </c>
      <c r="G4224" s="6"/>
      <c r="H4224" s="6"/>
      <c r="I4224" s="6"/>
      <c r="J4224" s="6"/>
      <c r="K4224" s="6"/>
      <c r="L4224" s="6"/>
      <c r="M4224" s="6"/>
      <c r="N4224" s="6"/>
      <c r="O4224" s="6"/>
      <c r="P4224" s="6"/>
      <c r="Q4224" s="6"/>
      <c r="R4224" s="6"/>
      <c r="S4224" s="6"/>
      <c r="T4224" s="6"/>
      <c r="U4224" s="6"/>
      <c r="V4224" s="6"/>
      <c r="W4224" s="6"/>
      <c r="X4224" s="6"/>
      <c r="Y4224" s="6"/>
      <c r="Z4224" s="6"/>
    </row>
    <row r="4225" customFormat="false" ht="15" hidden="false" customHeight="false" outlineLevel="0" collapsed="false">
      <c r="A4225" s="9" t="s">
        <v>10068</v>
      </c>
      <c r="B4225" s="9" t="s">
        <v>5870</v>
      </c>
      <c r="C4225" s="9" t="s">
        <v>4492</v>
      </c>
      <c r="D4225" s="9" t="s">
        <v>5871</v>
      </c>
      <c r="E4225" s="9" t="str">
        <f aca="false">IF(AND('Formation Ledger'!A4204&lt;&gt;"",'Formation Ledger'!V4204=0),"PASS","FAIL")</f>
        <v>PASS</v>
      </c>
      <c r="F4225" s="9" t="s">
        <v>76</v>
      </c>
      <c r="G4225" s="6"/>
      <c r="H4225" s="6"/>
      <c r="I4225" s="6"/>
      <c r="J4225" s="6"/>
      <c r="K4225" s="6"/>
      <c r="L4225" s="6"/>
      <c r="M4225" s="6"/>
      <c r="N4225" s="6"/>
      <c r="O4225" s="6"/>
      <c r="P4225" s="6"/>
      <c r="Q4225" s="6"/>
      <c r="R4225" s="6"/>
      <c r="S4225" s="6"/>
      <c r="T4225" s="6"/>
      <c r="U4225" s="6"/>
      <c r="V4225" s="6"/>
      <c r="W4225" s="6"/>
      <c r="X4225" s="6"/>
      <c r="Y4225" s="6"/>
      <c r="Z4225" s="6"/>
    </row>
    <row r="4226" customFormat="false" ht="15" hidden="false" customHeight="false" outlineLevel="0" collapsed="false">
      <c r="A4226" s="9" t="s">
        <v>10069</v>
      </c>
      <c r="B4226" s="9" t="s">
        <v>5870</v>
      </c>
      <c r="C4226" s="9" t="s">
        <v>4493</v>
      </c>
      <c r="D4226" s="9" t="s">
        <v>5871</v>
      </c>
      <c r="E4226" s="9" t="str">
        <f aca="false">IF(AND('Formation Ledger'!A4205&lt;&gt;"",'Formation Ledger'!V4205=0),"PASS","FAIL")</f>
        <v>PASS</v>
      </c>
      <c r="F4226" s="9" t="s">
        <v>76</v>
      </c>
      <c r="G4226" s="6"/>
      <c r="H4226" s="6"/>
      <c r="I4226" s="6"/>
      <c r="J4226" s="6"/>
      <c r="K4226" s="6"/>
      <c r="L4226" s="6"/>
      <c r="M4226" s="6"/>
      <c r="N4226" s="6"/>
      <c r="O4226" s="6"/>
      <c r="P4226" s="6"/>
      <c r="Q4226" s="6"/>
      <c r="R4226" s="6"/>
      <c r="S4226" s="6"/>
      <c r="T4226" s="6"/>
      <c r="U4226" s="6"/>
      <c r="V4226" s="6"/>
      <c r="W4226" s="6"/>
      <c r="X4226" s="6"/>
      <c r="Y4226" s="6"/>
      <c r="Z4226" s="6"/>
    </row>
    <row r="4227" customFormat="false" ht="15" hidden="false" customHeight="false" outlineLevel="0" collapsed="false">
      <c r="A4227" s="9" t="s">
        <v>10070</v>
      </c>
      <c r="B4227" s="9" t="s">
        <v>5870</v>
      </c>
      <c r="C4227" s="9" t="s">
        <v>4494</v>
      </c>
      <c r="D4227" s="9" t="s">
        <v>5871</v>
      </c>
      <c r="E4227" s="9" t="str">
        <f aca="false">IF(AND('Formation Ledger'!A4206&lt;&gt;"",'Formation Ledger'!V4206=0),"PASS","FAIL")</f>
        <v>PASS</v>
      </c>
      <c r="F4227" s="9" t="s">
        <v>76</v>
      </c>
      <c r="G4227" s="6"/>
      <c r="H4227" s="6"/>
      <c r="I4227" s="6"/>
      <c r="J4227" s="6"/>
      <c r="K4227" s="6"/>
      <c r="L4227" s="6"/>
      <c r="M4227" s="6"/>
      <c r="N4227" s="6"/>
      <c r="O4227" s="6"/>
      <c r="P4227" s="6"/>
      <c r="Q4227" s="6"/>
      <c r="R4227" s="6"/>
      <c r="S4227" s="6"/>
      <c r="T4227" s="6"/>
      <c r="U4227" s="6"/>
      <c r="V4227" s="6"/>
      <c r="W4227" s="6"/>
      <c r="X4227" s="6"/>
      <c r="Y4227" s="6"/>
      <c r="Z4227" s="6"/>
    </row>
    <row r="4228" customFormat="false" ht="15" hidden="false" customHeight="false" outlineLevel="0" collapsed="false">
      <c r="A4228" s="9" t="s">
        <v>10071</v>
      </c>
      <c r="B4228" s="9" t="s">
        <v>5870</v>
      </c>
      <c r="C4228" s="9" t="s">
        <v>4495</v>
      </c>
      <c r="D4228" s="9" t="s">
        <v>5871</v>
      </c>
      <c r="E4228" s="9" t="str">
        <f aca="false">IF(AND('Formation Ledger'!A4207&lt;&gt;"",'Formation Ledger'!V4207=0),"PASS","FAIL")</f>
        <v>PASS</v>
      </c>
      <c r="F4228" s="9" t="s">
        <v>76</v>
      </c>
      <c r="G4228" s="6"/>
      <c r="H4228" s="6"/>
      <c r="I4228" s="6"/>
      <c r="J4228" s="6"/>
      <c r="K4228" s="6"/>
      <c r="L4228" s="6"/>
      <c r="M4228" s="6"/>
      <c r="N4228" s="6"/>
      <c r="O4228" s="6"/>
      <c r="P4228" s="6"/>
      <c r="Q4228" s="6"/>
      <c r="R4228" s="6"/>
      <c r="S4228" s="6"/>
      <c r="T4228" s="6"/>
      <c r="U4228" s="6"/>
      <c r="V4228" s="6"/>
      <c r="W4228" s="6"/>
      <c r="X4228" s="6"/>
      <c r="Y4228" s="6"/>
      <c r="Z4228" s="6"/>
    </row>
    <row r="4229" customFormat="false" ht="15" hidden="false" customHeight="false" outlineLevel="0" collapsed="false">
      <c r="A4229" s="9" t="s">
        <v>10072</v>
      </c>
      <c r="B4229" s="9" t="s">
        <v>5870</v>
      </c>
      <c r="C4229" s="9" t="s">
        <v>4496</v>
      </c>
      <c r="D4229" s="9" t="s">
        <v>5871</v>
      </c>
      <c r="E4229" s="9" t="str">
        <f aca="false">IF(AND('Formation Ledger'!A4208&lt;&gt;"",'Formation Ledger'!V4208=0),"PASS","FAIL")</f>
        <v>PASS</v>
      </c>
      <c r="F4229" s="9" t="s">
        <v>76</v>
      </c>
      <c r="G4229" s="6"/>
      <c r="H4229" s="6"/>
      <c r="I4229" s="6"/>
      <c r="J4229" s="6"/>
      <c r="K4229" s="6"/>
      <c r="L4229" s="6"/>
      <c r="M4229" s="6"/>
      <c r="N4229" s="6"/>
      <c r="O4229" s="6"/>
      <c r="P4229" s="6"/>
      <c r="Q4229" s="6"/>
      <c r="R4229" s="6"/>
      <c r="S4229" s="6"/>
      <c r="T4229" s="6"/>
      <c r="U4229" s="6"/>
      <c r="V4229" s="6"/>
      <c r="W4229" s="6"/>
      <c r="X4229" s="6"/>
      <c r="Y4229" s="6"/>
      <c r="Z4229" s="6"/>
    </row>
    <row r="4230" customFormat="false" ht="15" hidden="false" customHeight="false" outlineLevel="0" collapsed="false">
      <c r="A4230" s="9" t="s">
        <v>10073</v>
      </c>
      <c r="B4230" s="9" t="s">
        <v>5870</v>
      </c>
      <c r="C4230" s="9" t="s">
        <v>4497</v>
      </c>
      <c r="D4230" s="9" t="s">
        <v>5871</v>
      </c>
      <c r="E4230" s="9" t="str">
        <f aca="false">IF(AND('Formation Ledger'!A4209&lt;&gt;"",'Formation Ledger'!V4209=0),"PASS","FAIL")</f>
        <v>PASS</v>
      </c>
      <c r="F4230" s="9" t="s">
        <v>76</v>
      </c>
      <c r="G4230" s="6"/>
      <c r="H4230" s="6"/>
      <c r="I4230" s="6"/>
      <c r="J4230" s="6"/>
      <c r="K4230" s="6"/>
      <c r="L4230" s="6"/>
      <c r="M4230" s="6"/>
      <c r="N4230" s="6"/>
      <c r="O4230" s="6"/>
      <c r="P4230" s="6"/>
      <c r="Q4230" s="6"/>
      <c r="R4230" s="6"/>
      <c r="S4230" s="6"/>
      <c r="T4230" s="6"/>
      <c r="U4230" s="6"/>
      <c r="V4230" s="6"/>
      <c r="W4230" s="6"/>
      <c r="X4230" s="6"/>
      <c r="Y4230" s="6"/>
      <c r="Z4230" s="6"/>
    </row>
    <row r="4231" customFormat="false" ht="15" hidden="false" customHeight="false" outlineLevel="0" collapsed="false">
      <c r="A4231" s="9" t="s">
        <v>10074</v>
      </c>
      <c r="B4231" s="9" t="s">
        <v>5870</v>
      </c>
      <c r="C4231" s="9" t="s">
        <v>4498</v>
      </c>
      <c r="D4231" s="9" t="s">
        <v>5871</v>
      </c>
      <c r="E4231" s="9" t="str">
        <f aca="false">IF(AND('Formation Ledger'!A4210&lt;&gt;"",'Formation Ledger'!V4210=0),"PASS","FAIL")</f>
        <v>PASS</v>
      </c>
      <c r="F4231" s="9" t="s">
        <v>76</v>
      </c>
      <c r="G4231" s="6"/>
      <c r="H4231" s="6"/>
      <c r="I4231" s="6"/>
      <c r="J4231" s="6"/>
      <c r="K4231" s="6"/>
      <c r="L4231" s="6"/>
      <c r="M4231" s="6"/>
      <c r="N4231" s="6"/>
      <c r="O4231" s="6"/>
      <c r="P4231" s="6"/>
      <c r="Q4231" s="6"/>
      <c r="R4231" s="6"/>
      <c r="S4231" s="6"/>
      <c r="T4231" s="6"/>
      <c r="U4231" s="6"/>
      <c r="V4231" s="6"/>
      <c r="W4231" s="6"/>
      <c r="X4231" s="6"/>
      <c r="Y4231" s="6"/>
      <c r="Z4231" s="6"/>
    </row>
    <row r="4232" customFormat="false" ht="15" hidden="false" customHeight="false" outlineLevel="0" collapsed="false">
      <c r="A4232" s="9" t="s">
        <v>10075</v>
      </c>
      <c r="B4232" s="9" t="s">
        <v>5870</v>
      </c>
      <c r="C4232" s="9" t="s">
        <v>4499</v>
      </c>
      <c r="D4232" s="9" t="s">
        <v>5871</v>
      </c>
      <c r="E4232" s="9" t="str">
        <f aca="false">IF(AND('Formation Ledger'!A4211&lt;&gt;"",'Formation Ledger'!V4211=0),"PASS","FAIL")</f>
        <v>PASS</v>
      </c>
      <c r="F4232" s="9" t="s">
        <v>76</v>
      </c>
      <c r="G4232" s="6"/>
      <c r="H4232" s="6"/>
      <c r="I4232" s="6"/>
      <c r="J4232" s="6"/>
      <c r="K4232" s="6"/>
      <c r="L4232" s="6"/>
      <c r="M4232" s="6"/>
      <c r="N4232" s="6"/>
      <c r="O4232" s="6"/>
      <c r="P4232" s="6"/>
      <c r="Q4232" s="6"/>
      <c r="R4232" s="6"/>
      <c r="S4232" s="6"/>
      <c r="T4232" s="6"/>
      <c r="U4232" s="6"/>
      <c r="V4232" s="6"/>
      <c r="W4232" s="6"/>
      <c r="X4232" s="6"/>
      <c r="Y4232" s="6"/>
      <c r="Z4232" s="6"/>
    </row>
    <row r="4233" customFormat="false" ht="15" hidden="false" customHeight="false" outlineLevel="0" collapsed="false">
      <c r="A4233" s="9" t="s">
        <v>10076</v>
      </c>
      <c r="B4233" s="9" t="s">
        <v>5870</v>
      </c>
      <c r="C4233" s="9" t="s">
        <v>4500</v>
      </c>
      <c r="D4233" s="9" t="s">
        <v>5871</v>
      </c>
      <c r="E4233" s="9" t="str">
        <f aca="false">IF(AND('Formation Ledger'!A4212&lt;&gt;"",'Formation Ledger'!V4212=0),"PASS","FAIL")</f>
        <v>PASS</v>
      </c>
      <c r="F4233" s="9" t="s">
        <v>76</v>
      </c>
      <c r="G4233" s="6"/>
      <c r="H4233" s="6"/>
      <c r="I4233" s="6"/>
      <c r="J4233" s="6"/>
      <c r="K4233" s="6"/>
      <c r="L4233" s="6"/>
      <c r="M4233" s="6"/>
      <c r="N4233" s="6"/>
      <c r="O4233" s="6"/>
      <c r="P4233" s="6"/>
      <c r="Q4233" s="6"/>
      <c r="R4233" s="6"/>
      <c r="S4233" s="6"/>
      <c r="T4233" s="6"/>
      <c r="U4233" s="6"/>
      <c r="V4233" s="6"/>
      <c r="W4233" s="6"/>
      <c r="X4233" s="6"/>
      <c r="Y4233" s="6"/>
      <c r="Z4233" s="6"/>
    </row>
    <row r="4234" customFormat="false" ht="15" hidden="false" customHeight="false" outlineLevel="0" collapsed="false">
      <c r="A4234" s="9" t="s">
        <v>10077</v>
      </c>
      <c r="B4234" s="9" t="s">
        <v>5870</v>
      </c>
      <c r="C4234" s="9" t="s">
        <v>4501</v>
      </c>
      <c r="D4234" s="9" t="s">
        <v>5871</v>
      </c>
      <c r="E4234" s="9" t="str">
        <f aca="false">IF(AND('Formation Ledger'!A4213&lt;&gt;"",'Formation Ledger'!V4213=0),"PASS","FAIL")</f>
        <v>PASS</v>
      </c>
      <c r="F4234" s="9" t="s">
        <v>76</v>
      </c>
      <c r="G4234" s="6"/>
      <c r="H4234" s="6"/>
      <c r="I4234" s="6"/>
      <c r="J4234" s="6"/>
      <c r="K4234" s="6"/>
      <c r="L4234" s="6"/>
      <c r="M4234" s="6"/>
      <c r="N4234" s="6"/>
      <c r="O4234" s="6"/>
      <c r="P4234" s="6"/>
      <c r="Q4234" s="6"/>
      <c r="R4234" s="6"/>
      <c r="S4234" s="6"/>
      <c r="T4234" s="6"/>
      <c r="U4234" s="6"/>
      <c r="V4234" s="6"/>
      <c r="W4234" s="6"/>
      <c r="X4234" s="6"/>
      <c r="Y4234" s="6"/>
      <c r="Z4234" s="6"/>
    </row>
    <row r="4235" customFormat="false" ht="15" hidden="false" customHeight="false" outlineLevel="0" collapsed="false">
      <c r="A4235" s="9" t="s">
        <v>10078</v>
      </c>
      <c r="B4235" s="9" t="s">
        <v>5870</v>
      </c>
      <c r="C4235" s="9" t="s">
        <v>4502</v>
      </c>
      <c r="D4235" s="9" t="s">
        <v>5871</v>
      </c>
      <c r="E4235" s="9" t="str">
        <f aca="false">IF(AND('Formation Ledger'!A4214&lt;&gt;"",'Formation Ledger'!V4214=0),"PASS","FAIL")</f>
        <v>PASS</v>
      </c>
      <c r="F4235" s="9" t="s">
        <v>76</v>
      </c>
      <c r="G4235" s="6"/>
      <c r="H4235" s="6"/>
      <c r="I4235" s="6"/>
      <c r="J4235" s="6"/>
      <c r="K4235" s="6"/>
      <c r="L4235" s="6"/>
      <c r="M4235" s="6"/>
      <c r="N4235" s="6"/>
      <c r="O4235" s="6"/>
      <c r="P4235" s="6"/>
      <c r="Q4235" s="6"/>
      <c r="R4235" s="6"/>
      <c r="S4235" s="6"/>
      <c r="T4235" s="6"/>
      <c r="U4235" s="6"/>
      <c r="V4235" s="6"/>
      <c r="W4235" s="6"/>
      <c r="X4235" s="6"/>
      <c r="Y4235" s="6"/>
      <c r="Z4235" s="6"/>
    </row>
    <row r="4236" customFormat="false" ht="15" hidden="false" customHeight="false" outlineLevel="0" collapsed="false">
      <c r="A4236" s="9" t="s">
        <v>10079</v>
      </c>
      <c r="B4236" s="9" t="s">
        <v>5870</v>
      </c>
      <c r="C4236" s="9" t="s">
        <v>4503</v>
      </c>
      <c r="D4236" s="9" t="s">
        <v>5871</v>
      </c>
      <c r="E4236" s="9" t="str">
        <f aca="false">IF(AND('Formation Ledger'!A4215&lt;&gt;"",'Formation Ledger'!V4215=0),"PASS","FAIL")</f>
        <v>PASS</v>
      </c>
      <c r="F4236" s="9" t="s">
        <v>76</v>
      </c>
      <c r="G4236" s="6"/>
      <c r="H4236" s="6"/>
      <c r="I4236" s="6"/>
      <c r="J4236" s="6"/>
      <c r="K4236" s="6"/>
      <c r="L4236" s="6"/>
      <c r="M4236" s="6"/>
      <c r="N4236" s="6"/>
      <c r="O4236" s="6"/>
      <c r="P4236" s="6"/>
      <c r="Q4236" s="6"/>
      <c r="R4236" s="6"/>
      <c r="S4236" s="6"/>
      <c r="T4236" s="6"/>
      <c r="U4236" s="6"/>
      <c r="V4236" s="6"/>
      <c r="W4236" s="6"/>
      <c r="X4236" s="6"/>
      <c r="Y4236" s="6"/>
      <c r="Z4236" s="6"/>
    </row>
    <row r="4237" customFormat="false" ht="15" hidden="false" customHeight="false" outlineLevel="0" collapsed="false">
      <c r="A4237" s="9" t="s">
        <v>10080</v>
      </c>
      <c r="B4237" s="9" t="s">
        <v>5870</v>
      </c>
      <c r="C4237" s="9" t="s">
        <v>4504</v>
      </c>
      <c r="D4237" s="9" t="s">
        <v>5871</v>
      </c>
      <c r="E4237" s="9" t="str">
        <f aca="false">IF(AND('Formation Ledger'!A4216&lt;&gt;"",'Formation Ledger'!V4216=0),"PASS","FAIL")</f>
        <v>PASS</v>
      </c>
      <c r="F4237" s="9" t="s">
        <v>76</v>
      </c>
      <c r="G4237" s="6"/>
      <c r="H4237" s="6"/>
      <c r="I4237" s="6"/>
      <c r="J4237" s="6"/>
      <c r="K4237" s="6"/>
      <c r="L4237" s="6"/>
      <c r="M4237" s="6"/>
      <c r="N4237" s="6"/>
      <c r="O4237" s="6"/>
      <c r="P4237" s="6"/>
      <c r="Q4237" s="6"/>
      <c r="R4237" s="6"/>
      <c r="S4237" s="6"/>
      <c r="T4237" s="6"/>
      <c r="U4237" s="6"/>
      <c r="V4237" s="6"/>
      <c r="W4237" s="6"/>
      <c r="X4237" s="6"/>
      <c r="Y4237" s="6"/>
      <c r="Z4237" s="6"/>
    </row>
    <row r="4238" customFormat="false" ht="15" hidden="false" customHeight="false" outlineLevel="0" collapsed="false">
      <c r="A4238" s="9" t="s">
        <v>10081</v>
      </c>
      <c r="B4238" s="9" t="s">
        <v>5870</v>
      </c>
      <c r="C4238" s="9" t="s">
        <v>4505</v>
      </c>
      <c r="D4238" s="9" t="s">
        <v>5871</v>
      </c>
      <c r="E4238" s="9" t="str">
        <f aca="false">IF(AND('Formation Ledger'!A4217&lt;&gt;"",'Formation Ledger'!V4217=0),"PASS","FAIL")</f>
        <v>PASS</v>
      </c>
      <c r="F4238" s="9" t="s">
        <v>76</v>
      </c>
      <c r="G4238" s="6"/>
      <c r="H4238" s="6"/>
      <c r="I4238" s="6"/>
      <c r="J4238" s="6"/>
      <c r="K4238" s="6"/>
      <c r="L4238" s="6"/>
      <c r="M4238" s="6"/>
      <c r="N4238" s="6"/>
      <c r="O4238" s="6"/>
      <c r="P4238" s="6"/>
      <c r="Q4238" s="6"/>
      <c r="R4238" s="6"/>
      <c r="S4238" s="6"/>
      <c r="T4238" s="6"/>
      <c r="U4238" s="6"/>
      <c r="V4238" s="6"/>
      <c r="W4238" s="6"/>
      <c r="X4238" s="6"/>
      <c r="Y4238" s="6"/>
      <c r="Z4238" s="6"/>
    </row>
    <row r="4239" customFormat="false" ht="15" hidden="false" customHeight="false" outlineLevel="0" collapsed="false">
      <c r="A4239" s="9" t="s">
        <v>10082</v>
      </c>
      <c r="B4239" s="9" t="s">
        <v>5870</v>
      </c>
      <c r="C4239" s="9" t="s">
        <v>4506</v>
      </c>
      <c r="D4239" s="9" t="s">
        <v>5871</v>
      </c>
      <c r="E4239" s="9" t="str">
        <f aca="false">IF(AND('Formation Ledger'!A4218&lt;&gt;"",'Formation Ledger'!V4218=0),"PASS","FAIL")</f>
        <v>PASS</v>
      </c>
      <c r="F4239" s="9" t="s">
        <v>76</v>
      </c>
      <c r="G4239" s="6"/>
      <c r="H4239" s="6"/>
      <c r="I4239" s="6"/>
      <c r="J4239" s="6"/>
      <c r="K4239" s="6"/>
      <c r="L4239" s="6"/>
      <c r="M4239" s="6"/>
      <c r="N4239" s="6"/>
      <c r="O4239" s="6"/>
      <c r="P4239" s="6"/>
      <c r="Q4239" s="6"/>
      <c r="R4239" s="6"/>
      <c r="S4239" s="6"/>
      <c r="T4239" s="6"/>
      <c r="U4239" s="6"/>
      <c r="V4239" s="6"/>
      <c r="W4239" s="6"/>
      <c r="X4239" s="6"/>
      <c r="Y4239" s="6"/>
      <c r="Z4239" s="6"/>
    </row>
    <row r="4240" customFormat="false" ht="15" hidden="false" customHeight="false" outlineLevel="0" collapsed="false">
      <c r="A4240" s="9" t="s">
        <v>10083</v>
      </c>
      <c r="B4240" s="9" t="s">
        <v>5870</v>
      </c>
      <c r="C4240" s="9" t="s">
        <v>4507</v>
      </c>
      <c r="D4240" s="9" t="s">
        <v>5871</v>
      </c>
      <c r="E4240" s="9" t="str">
        <f aca="false">IF(AND('Formation Ledger'!A4219&lt;&gt;"",'Formation Ledger'!V4219=0),"PASS","FAIL")</f>
        <v>PASS</v>
      </c>
      <c r="F4240" s="9" t="s">
        <v>76</v>
      </c>
      <c r="G4240" s="6"/>
      <c r="H4240" s="6"/>
      <c r="I4240" s="6"/>
      <c r="J4240" s="6"/>
      <c r="K4240" s="6"/>
      <c r="L4240" s="6"/>
      <c r="M4240" s="6"/>
      <c r="N4240" s="6"/>
      <c r="O4240" s="6"/>
      <c r="P4240" s="6"/>
      <c r="Q4240" s="6"/>
      <c r="R4240" s="6"/>
      <c r="S4240" s="6"/>
      <c r="T4240" s="6"/>
      <c r="U4240" s="6"/>
      <c r="V4240" s="6"/>
      <c r="W4240" s="6"/>
      <c r="X4240" s="6"/>
      <c r="Y4240" s="6"/>
      <c r="Z4240" s="6"/>
    </row>
    <row r="4241" customFormat="false" ht="15" hidden="false" customHeight="false" outlineLevel="0" collapsed="false">
      <c r="A4241" s="9" t="s">
        <v>10084</v>
      </c>
      <c r="B4241" s="9" t="s">
        <v>5870</v>
      </c>
      <c r="C4241" s="9" t="s">
        <v>4508</v>
      </c>
      <c r="D4241" s="9" t="s">
        <v>5871</v>
      </c>
      <c r="E4241" s="9" t="str">
        <f aca="false">IF(AND('Formation Ledger'!A4220&lt;&gt;"",'Formation Ledger'!V4220=0),"PASS","FAIL")</f>
        <v>PASS</v>
      </c>
      <c r="F4241" s="9" t="s">
        <v>76</v>
      </c>
      <c r="G4241" s="6"/>
      <c r="H4241" s="6"/>
      <c r="I4241" s="6"/>
      <c r="J4241" s="6"/>
      <c r="K4241" s="6"/>
      <c r="L4241" s="6"/>
      <c r="M4241" s="6"/>
      <c r="N4241" s="6"/>
      <c r="O4241" s="6"/>
      <c r="P4241" s="6"/>
      <c r="Q4241" s="6"/>
      <c r="R4241" s="6"/>
      <c r="S4241" s="6"/>
      <c r="T4241" s="6"/>
      <c r="U4241" s="6"/>
      <c r="V4241" s="6"/>
      <c r="W4241" s="6"/>
      <c r="X4241" s="6"/>
      <c r="Y4241" s="6"/>
      <c r="Z4241" s="6"/>
    </row>
    <row r="4242" customFormat="false" ht="15" hidden="false" customHeight="false" outlineLevel="0" collapsed="false">
      <c r="A4242" s="9" t="s">
        <v>10085</v>
      </c>
      <c r="B4242" s="9" t="s">
        <v>5870</v>
      </c>
      <c r="C4242" s="9" t="s">
        <v>4509</v>
      </c>
      <c r="D4242" s="9" t="s">
        <v>5871</v>
      </c>
      <c r="E4242" s="9" t="str">
        <f aca="false">IF(AND('Formation Ledger'!A4221&lt;&gt;"",'Formation Ledger'!V4221=0),"PASS","FAIL")</f>
        <v>PASS</v>
      </c>
      <c r="F4242" s="9" t="s">
        <v>76</v>
      </c>
      <c r="G4242" s="6"/>
      <c r="H4242" s="6"/>
      <c r="I4242" s="6"/>
      <c r="J4242" s="6"/>
      <c r="K4242" s="6"/>
      <c r="L4242" s="6"/>
      <c r="M4242" s="6"/>
      <c r="N4242" s="6"/>
      <c r="O4242" s="6"/>
      <c r="P4242" s="6"/>
      <c r="Q4242" s="6"/>
      <c r="R4242" s="6"/>
      <c r="S4242" s="6"/>
      <c r="T4242" s="6"/>
      <c r="U4242" s="6"/>
      <c r="V4242" s="6"/>
      <c r="W4242" s="6"/>
      <c r="X4242" s="6"/>
      <c r="Y4242" s="6"/>
      <c r="Z4242" s="6"/>
    </row>
    <row r="4243" customFormat="false" ht="15" hidden="false" customHeight="false" outlineLevel="0" collapsed="false">
      <c r="A4243" s="9" t="s">
        <v>10086</v>
      </c>
      <c r="B4243" s="9" t="s">
        <v>5870</v>
      </c>
      <c r="C4243" s="9" t="s">
        <v>4510</v>
      </c>
      <c r="D4243" s="9" t="s">
        <v>5871</v>
      </c>
      <c r="E4243" s="9" t="str">
        <f aca="false">IF(AND('Formation Ledger'!A4222&lt;&gt;"",'Formation Ledger'!V4222=0),"PASS","FAIL")</f>
        <v>PASS</v>
      </c>
      <c r="F4243" s="9" t="s">
        <v>76</v>
      </c>
      <c r="G4243" s="6"/>
      <c r="H4243" s="6"/>
      <c r="I4243" s="6"/>
      <c r="J4243" s="6"/>
      <c r="K4243" s="6"/>
      <c r="L4243" s="6"/>
      <c r="M4243" s="6"/>
      <c r="N4243" s="6"/>
      <c r="O4243" s="6"/>
      <c r="P4243" s="6"/>
      <c r="Q4243" s="6"/>
      <c r="R4243" s="6"/>
      <c r="S4243" s="6"/>
      <c r="T4243" s="6"/>
      <c r="U4243" s="6"/>
      <c r="V4243" s="6"/>
      <c r="W4243" s="6"/>
      <c r="X4243" s="6"/>
      <c r="Y4243" s="6"/>
      <c r="Z4243" s="6"/>
    </row>
    <row r="4244" customFormat="false" ht="15" hidden="false" customHeight="false" outlineLevel="0" collapsed="false">
      <c r="A4244" s="9" t="s">
        <v>10087</v>
      </c>
      <c r="B4244" s="9" t="s">
        <v>5870</v>
      </c>
      <c r="C4244" s="9" t="s">
        <v>4511</v>
      </c>
      <c r="D4244" s="9" t="s">
        <v>5871</v>
      </c>
      <c r="E4244" s="9" t="str">
        <f aca="false">IF(AND('Formation Ledger'!A4223&lt;&gt;"",'Formation Ledger'!V4223=0),"PASS","FAIL")</f>
        <v>PASS</v>
      </c>
      <c r="F4244" s="9" t="s">
        <v>76</v>
      </c>
      <c r="G4244" s="6"/>
      <c r="H4244" s="6"/>
      <c r="I4244" s="6"/>
      <c r="J4244" s="6"/>
      <c r="K4244" s="6"/>
      <c r="L4244" s="6"/>
      <c r="M4244" s="6"/>
      <c r="N4244" s="6"/>
      <c r="O4244" s="6"/>
      <c r="P4244" s="6"/>
      <c r="Q4244" s="6"/>
      <c r="R4244" s="6"/>
      <c r="S4244" s="6"/>
      <c r="T4244" s="6"/>
      <c r="U4244" s="6"/>
      <c r="V4244" s="6"/>
      <c r="W4244" s="6"/>
      <c r="X4244" s="6"/>
      <c r="Y4244" s="6"/>
      <c r="Z4244" s="6"/>
    </row>
    <row r="4245" customFormat="false" ht="15" hidden="false" customHeight="false" outlineLevel="0" collapsed="false">
      <c r="A4245" s="9" t="s">
        <v>10088</v>
      </c>
      <c r="B4245" s="9" t="s">
        <v>5870</v>
      </c>
      <c r="C4245" s="9" t="s">
        <v>4512</v>
      </c>
      <c r="D4245" s="9" t="s">
        <v>5871</v>
      </c>
      <c r="E4245" s="9" t="str">
        <f aca="false">IF(AND('Formation Ledger'!A4224&lt;&gt;"",'Formation Ledger'!V4224=0),"PASS","FAIL")</f>
        <v>PASS</v>
      </c>
      <c r="F4245" s="9" t="s">
        <v>76</v>
      </c>
      <c r="G4245" s="6"/>
      <c r="H4245" s="6"/>
      <c r="I4245" s="6"/>
      <c r="J4245" s="6"/>
      <c r="K4245" s="6"/>
      <c r="L4245" s="6"/>
      <c r="M4245" s="6"/>
      <c r="N4245" s="6"/>
      <c r="O4245" s="6"/>
      <c r="P4245" s="6"/>
      <c r="Q4245" s="6"/>
      <c r="R4245" s="6"/>
      <c r="S4245" s="6"/>
      <c r="T4245" s="6"/>
      <c r="U4245" s="6"/>
      <c r="V4245" s="6"/>
      <c r="W4245" s="6"/>
      <c r="X4245" s="6"/>
      <c r="Y4245" s="6"/>
      <c r="Z4245" s="6"/>
    </row>
    <row r="4246" customFormat="false" ht="15" hidden="false" customHeight="false" outlineLevel="0" collapsed="false">
      <c r="A4246" s="9" t="s">
        <v>10089</v>
      </c>
      <c r="B4246" s="9" t="s">
        <v>5870</v>
      </c>
      <c r="C4246" s="9" t="s">
        <v>4513</v>
      </c>
      <c r="D4246" s="9" t="s">
        <v>5871</v>
      </c>
      <c r="E4246" s="9" t="str">
        <f aca="false">IF(AND('Formation Ledger'!A4225&lt;&gt;"",'Formation Ledger'!V4225=0),"PASS","FAIL")</f>
        <v>PASS</v>
      </c>
      <c r="F4246" s="9" t="s">
        <v>76</v>
      </c>
      <c r="G4246" s="6"/>
      <c r="H4246" s="6"/>
      <c r="I4246" s="6"/>
      <c r="J4246" s="6"/>
      <c r="K4246" s="6"/>
      <c r="L4246" s="6"/>
      <c r="M4246" s="6"/>
      <c r="N4246" s="6"/>
      <c r="O4246" s="6"/>
      <c r="P4246" s="6"/>
      <c r="Q4246" s="6"/>
      <c r="R4246" s="6"/>
      <c r="S4246" s="6"/>
      <c r="T4246" s="6"/>
      <c r="U4246" s="6"/>
      <c r="V4246" s="6"/>
      <c r="W4246" s="6"/>
      <c r="X4246" s="6"/>
      <c r="Y4246" s="6"/>
      <c r="Z4246" s="6"/>
    </row>
    <row r="4247" customFormat="false" ht="15" hidden="false" customHeight="false" outlineLevel="0" collapsed="false">
      <c r="A4247" s="9" t="s">
        <v>10090</v>
      </c>
      <c r="B4247" s="9" t="s">
        <v>5870</v>
      </c>
      <c r="C4247" s="9" t="s">
        <v>4514</v>
      </c>
      <c r="D4247" s="9" t="s">
        <v>5871</v>
      </c>
      <c r="E4247" s="9" t="str">
        <f aca="false">IF(AND('Formation Ledger'!A4226&lt;&gt;"",'Formation Ledger'!V4226=0),"PASS","FAIL")</f>
        <v>PASS</v>
      </c>
      <c r="F4247" s="9" t="s">
        <v>76</v>
      </c>
      <c r="G4247" s="6"/>
      <c r="H4247" s="6"/>
      <c r="I4247" s="6"/>
      <c r="J4247" s="6"/>
      <c r="K4247" s="6"/>
      <c r="L4247" s="6"/>
      <c r="M4247" s="6"/>
      <c r="N4247" s="6"/>
      <c r="O4247" s="6"/>
      <c r="P4247" s="6"/>
      <c r="Q4247" s="6"/>
      <c r="R4247" s="6"/>
      <c r="S4247" s="6"/>
      <c r="T4247" s="6"/>
      <c r="U4247" s="6"/>
      <c r="V4247" s="6"/>
      <c r="W4247" s="6"/>
      <c r="X4247" s="6"/>
      <c r="Y4247" s="6"/>
      <c r="Z4247" s="6"/>
    </row>
    <row r="4248" customFormat="false" ht="15" hidden="false" customHeight="false" outlineLevel="0" collapsed="false">
      <c r="A4248" s="9" t="s">
        <v>10091</v>
      </c>
      <c r="B4248" s="9" t="s">
        <v>5870</v>
      </c>
      <c r="C4248" s="9" t="s">
        <v>4515</v>
      </c>
      <c r="D4248" s="9" t="s">
        <v>5871</v>
      </c>
      <c r="E4248" s="9" t="str">
        <f aca="false">IF(AND('Formation Ledger'!A4227&lt;&gt;"",'Formation Ledger'!V4227=0),"PASS","FAIL")</f>
        <v>PASS</v>
      </c>
      <c r="F4248" s="9" t="s">
        <v>76</v>
      </c>
      <c r="G4248" s="6"/>
      <c r="H4248" s="6"/>
      <c r="I4248" s="6"/>
      <c r="J4248" s="6"/>
      <c r="K4248" s="6"/>
      <c r="L4248" s="6"/>
      <c r="M4248" s="6"/>
      <c r="N4248" s="6"/>
      <c r="O4248" s="6"/>
      <c r="P4248" s="6"/>
      <c r="Q4248" s="6"/>
      <c r="R4248" s="6"/>
      <c r="S4248" s="6"/>
      <c r="T4248" s="6"/>
      <c r="U4248" s="6"/>
      <c r="V4248" s="6"/>
      <c r="W4248" s="6"/>
      <c r="X4248" s="6"/>
      <c r="Y4248" s="6"/>
      <c r="Z4248" s="6"/>
    </row>
    <row r="4249" customFormat="false" ht="15" hidden="false" customHeight="false" outlineLevel="0" collapsed="false">
      <c r="A4249" s="9" t="s">
        <v>10092</v>
      </c>
      <c r="B4249" s="9" t="s">
        <v>5870</v>
      </c>
      <c r="C4249" s="9" t="s">
        <v>4516</v>
      </c>
      <c r="D4249" s="9" t="s">
        <v>5871</v>
      </c>
      <c r="E4249" s="9" t="str">
        <f aca="false">IF(AND('Formation Ledger'!A4228&lt;&gt;"",'Formation Ledger'!V4228=0),"PASS","FAIL")</f>
        <v>PASS</v>
      </c>
      <c r="F4249" s="9" t="s">
        <v>76</v>
      </c>
      <c r="G4249" s="6"/>
      <c r="H4249" s="6"/>
      <c r="I4249" s="6"/>
      <c r="J4249" s="6"/>
      <c r="K4249" s="6"/>
      <c r="L4249" s="6"/>
      <c r="M4249" s="6"/>
      <c r="N4249" s="6"/>
      <c r="O4249" s="6"/>
      <c r="P4249" s="6"/>
      <c r="Q4249" s="6"/>
      <c r="R4249" s="6"/>
      <c r="S4249" s="6"/>
      <c r="T4249" s="6"/>
      <c r="U4249" s="6"/>
      <c r="V4249" s="6"/>
      <c r="W4249" s="6"/>
      <c r="X4249" s="6"/>
      <c r="Y4249" s="6"/>
      <c r="Z4249" s="6"/>
    </row>
    <row r="4250" customFormat="false" ht="15" hidden="false" customHeight="false" outlineLevel="0" collapsed="false">
      <c r="A4250" s="9" t="s">
        <v>10093</v>
      </c>
      <c r="B4250" s="9" t="s">
        <v>5870</v>
      </c>
      <c r="C4250" s="9" t="s">
        <v>4517</v>
      </c>
      <c r="D4250" s="9" t="s">
        <v>5871</v>
      </c>
      <c r="E4250" s="9" t="str">
        <f aca="false">IF(AND('Formation Ledger'!A4229&lt;&gt;"",'Formation Ledger'!V4229=0),"PASS","FAIL")</f>
        <v>PASS</v>
      </c>
      <c r="F4250" s="9" t="s">
        <v>76</v>
      </c>
      <c r="G4250" s="6"/>
      <c r="H4250" s="6"/>
      <c r="I4250" s="6"/>
      <c r="J4250" s="6"/>
      <c r="K4250" s="6"/>
      <c r="L4250" s="6"/>
      <c r="M4250" s="6"/>
      <c r="N4250" s="6"/>
      <c r="O4250" s="6"/>
      <c r="P4250" s="6"/>
      <c r="Q4250" s="6"/>
      <c r="R4250" s="6"/>
      <c r="S4250" s="6"/>
      <c r="T4250" s="6"/>
      <c r="U4250" s="6"/>
      <c r="V4250" s="6"/>
      <c r="W4250" s="6"/>
      <c r="X4250" s="6"/>
      <c r="Y4250" s="6"/>
      <c r="Z4250" s="6"/>
    </row>
    <row r="4251" customFormat="false" ht="15" hidden="false" customHeight="false" outlineLevel="0" collapsed="false">
      <c r="A4251" s="9" t="s">
        <v>10094</v>
      </c>
      <c r="B4251" s="9" t="s">
        <v>5870</v>
      </c>
      <c r="C4251" s="9" t="s">
        <v>4518</v>
      </c>
      <c r="D4251" s="9" t="s">
        <v>5871</v>
      </c>
      <c r="E4251" s="9" t="str">
        <f aca="false">IF(AND('Formation Ledger'!A4230&lt;&gt;"",'Formation Ledger'!V4230=0),"PASS","FAIL")</f>
        <v>PASS</v>
      </c>
      <c r="F4251" s="9" t="s">
        <v>76</v>
      </c>
      <c r="G4251" s="6"/>
      <c r="H4251" s="6"/>
      <c r="I4251" s="6"/>
      <c r="J4251" s="6"/>
      <c r="K4251" s="6"/>
      <c r="L4251" s="6"/>
      <c r="M4251" s="6"/>
      <c r="N4251" s="6"/>
      <c r="O4251" s="6"/>
      <c r="P4251" s="6"/>
      <c r="Q4251" s="6"/>
      <c r="R4251" s="6"/>
      <c r="S4251" s="6"/>
      <c r="T4251" s="6"/>
      <c r="U4251" s="6"/>
      <c r="V4251" s="6"/>
      <c r="W4251" s="6"/>
      <c r="X4251" s="6"/>
      <c r="Y4251" s="6"/>
      <c r="Z4251" s="6"/>
    </row>
    <row r="4252" customFormat="false" ht="15" hidden="false" customHeight="false" outlineLevel="0" collapsed="false">
      <c r="A4252" s="9" t="s">
        <v>10095</v>
      </c>
      <c r="B4252" s="9" t="s">
        <v>5870</v>
      </c>
      <c r="C4252" s="9" t="s">
        <v>4519</v>
      </c>
      <c r="D4252" s="9" t="s">
        <v>5871</v>
      </c>
      <c r="E4252" s="9" t="str">
        <f aca="false">IF(AND('Formation Ledger'!A4231&lt;&gt;"",'Formation Ledger'!V4231=0),"PASS","FAIL")</f>
        <v>PASS</v>
      </c>
      <c r="F4252" s="9" t="s">
        <v>76</v>
      </c>
      <c r="G4252" s="6"/>
      <c r="H4252" s="6"/>
      <c r="I4252" s="6"/>
      <c r="J4252" s="6"/>
      <c r="K4252" s="6"/>
      <c r="L4252" s="6"/>
      <c r="M4252" s="6"/>
      <c r="N4252" s="6"/>
      <c r="O4252" s="6"/>
      <c r="P4252" s="6"/>
      <c r="Q4252" s="6"/>
      <c r="R4252" s="6"/>
      <c r="S4252" s="6"/>
      <c r="T4252" s="6"/>
      <c r="U4252" s="6"/>
      <c r="V4252" s="6"/>
      <c r="W4252" s="6"/>
      <c r="X4252" s="6"/>
      <c r="Y4252" s="6"/>
      <c r="Z4252" s="6"/>
    </row>
    <row r="4253" customFormat="false" ht="15" hidden="false" customHeight="false" outlineLevel="0" collapsed="false">
      <c r="A4253" s="9" t="s">
        <v>10096</v>
      </c>
      <c r="B4253" s="9" t="s">
        <v>5870</v>
      </c>
      <c r="C4253" s="9" t="s">
        <v>4520</v>
      </c>
      <c r="D4253" s="9" t="s">
        <v>5871</v>
      </c>
      <c r="E4253" s="9" t="str">
        <f aca="false">IF(AND('Formation Ledger'!A4232&lt;&gt;"",'Formation Ledger'!V4232=0),"PASS","FAIL")</f>
        <v>PASS</v>
      </c>
      <c r="F4253" s="9" t="s">
        <v>76</v>
      </c>
      <c r="G4253" s="6"/>
      <c r="H4253" s="6"/>
      <c r="I4253" s="6"/>
      <c r="J4253" s="6"/>
      <c r="K4253" s="6"/>
      <c r="L4253" s="6"/>
      <c r="M4253" s="6"/>
      <c r="N4253" s="6"/>
      <c r="O4253" s="6"/>
      <c r="P4253" s="6"/>
      <c r="Q4253" s="6"/>
      <c r="R4253" s="6"/>
      <c r="S4253" s="6"/>
      <c r="T4253" s="6"/>
      <c r="U4253" s="6"/>
      <c r="V4253" s="6"/>
      <c r="W4253" s="6"/>
      <c r="X4253" s="6"/>
      <c r="Y4253" s="6"/>
      <c r="Z4253" s="6"/>
    </row>
    <row r="4254" customFormat="false" ht="15" hidden="false" customHeight="false" outlineLevel="0" collapsed="false">
      <c r="A4254" s="9" t="s">
        <v>10097</v>
      </c>
      <c r="B4254" s="9" t="s">
        <v>5870</v>
      </c>
      <c r="C4254" s="9" t="s">
        <v>4521</v>
      </c>
      <c r="D4254" s="9" t="s">
        <v>5871</v>
      </c>
      <c r="E4254" s="9" t="str">
        <f aca="false">IF(AND('Formation Ledger'!A4233&lt;&gt;"",'Formation Ledger'!V4233=0),"PASS","FAIL")</f>
        <v>PASS</v>
      </c>
      <c r="F4254" s="9" t="s">
        <v>76</v>
      </c>
      <c r="G4254" s="6"/>
      <c r="H4254" s="6"/>
      <c r="I4254" s="6"/>
      <c r="J4254" s="6"/>
      <c r="K4254" s="6"/>
      <c r="L4254" s="6"/>
      <c r="M4254" s="6"/>
      <c r="N4254" s="6"/>
      <c r="O4254" s="6"/>
      <c r="P4254" s="6"/>
      <c r="Q4254" s="6"/>
      <c r="R4254" s="6"/>
      <c r="S4254" s="6"/>
      <c r="T4254" s="6"/>
      <c r="U4254" s="6"/>
      <c r="V4254" s="6"/>
      <c r="W4254" s="6"/>
      <c r="X4254" s="6"/>
      <c r="Y4254" s="6"/>
      <c r="Z4254" s="6"/>
    </row>
    <row r="4255" customFormat="false" ht="15" hidden="false" customHeight="false" outlineLevel="0" collapsed="false">
      <c r="A4255" s="9" t="s">
        <v>10098</v>
      </c>
      <c r="B4255" s="9" t="s">
        <v>5870</v>
      </c>
      <c r="C4255" s="9" t="s">
        <v>4522</v>
      </c>
      <c r="D4255" s="9" t="s">
        <v>5871</v>
      </c>
      <c r="E4255" s="9" t="str">
        <f aca="false">IF(AND('Formation Ledger'!A4234&lt;&gt;"",'Formation Ledger'!V4234=0),"PASS","FAIL")</f>
        <v>PASS</v>
      </c>
      <c r="F4255" s="9" t="s">
        <v>76</v>
      </c>
      <c r="G4255" s="6"/>
      <c r="H4255" s="6"/>
      <c r="I4255" s="6"/>
      <c r="J4255" s="6"/>
      <c r="K4255" s="6"/>
      <c r="L4255" s="6"/>
      <c r="M4255" s="6"/>
      <c r="N4255" s="6"/>
      <c r="O4255" s="6"/>
      <c r="P4255" s="6"/>
      <c r="Q4255" s="6"/>
      <c r="R4255" s="6"/>
      <c r="S4255" s="6"/>
      <c r="T4255" s="6"/>
      <c r="U4255" s="6"/>
      <c r="V4255" s="6"/>
      <c r="W4255" s="6"/>
      <c r="X4255" s="6"/>
      <c r="Y4255" s="6"/>
      <c r="Z4255" s="6"/>
    </row>
    <row r="4256" customFormat="false" ht="15" hidden="false" customHeight="false" outlineLevel="0" collapsed="false">
      <c r="A4256" s="9" t="s">
        <v>10099</v>
      </c>
      <c r="B4256" s="9" t="s">
        <v>5870</v>
      </c>
      <c r="C4256" s="9" t="s">
        <v>4523</v>
      </c>
      <c r="D4256" s="9" t="s">
        <v>5871</v>
      </c>
      <c r="E4256" s="9" t="str">
        <f aca="false">IF(AND('Formation Ledger'!A4235&lt;&gt;"",'Formation Ledger'!V4235=0),"PASS","FAIL")</f>
        <v>PASS</v>
      </c>
      <c r="F4256" s="9" t="s">
        <v>76</v>
      </c>
      <c r="G4256" s="6"/>
      <c r="H4256" s="6"/>
      <c r="I4256" s="6"/>
      <c r="J4256" s="6"/>
      <c r="K4256" s="6"/>
      <c r="L4256" s="6"/>
      <c r="M4256" s="6"/>
      <c r="N4256" s="6"/>
      <c r="O4256" s="6"/>
      <c r="P4256" s="6"/>
      <c r="Q4256" s="6"/>
      <c r="R4256" s="6"/>
      <c r="S4256" s="6"/>
      <c r="T4256" s="6"/>
      <c r="U4256" s="6"/>
      <c r="V4256" s="6"/>
      <c r="W4256" s="6"/>
      <c r="X4256" s="6"/>
      <c r="Y4256" s="6"/>
      <c r="Z4256" s="6"/>
    </row>
    <row r="4257" customFormat="false" ht="15" hidden="false" customHeight="false" outlineLevel="0" collapsed="false">
      <c r="A4257" s="9" t="s">
        <v>10100</v>
      </c>
      <c r="B4257" s="9" t="s">
        <v>5870</v>
      </c>
      <c r="C4257" s="9" t="s">
        <v>4524</v>
      </c>
      <c r="D4257" s="9" t="s">
        <v>5871</v>
      </c>
      <c r="E4257" s="9" t="str">
        <f aca="false">IF(AND('Formation Ledger'!A4236&lt;&gt;"",'Formation Ledger'!V4236=0),"PASS","FAIL")</f>
        <v>PASS</v>
      </c>
      <c r="F4257" s="9" t="s">
        <v>76</v>
      </c>
      <c r="G4257" s="6"/>
      <c r="H4257" s="6"/>
      <c r="I4257" s="6"/>
      <c r="J4257" s="6"/>
      <c r="K4257" s="6"/>
      <c r="L4257" s="6"/>
      <c r="M4257" s="6"/>
      <c r="N4257" s="6"/>
      <c r="O4257" s="6"/>
      <c r="P4257" s="6"/>
      <c r="Q4257" s="6"/>
      <c r="R4257" s="6"/>
      <c r="S4257" s="6"/>
      <c r="T4257" s="6"/>
      <c r="U4257" s="6"/>
      <c r="V4257" s="6"/>
      <c r="W4257" s="6"/>
      <c r="X4257" s="6"/>
      <c r="Y4257" s="6"/>
      <c r="Z4257" s="6"/>
    </row>
    <row r="4258" customFormat="false" ht="15" hidden="false" customHeight="false" outlineLevel="0" collapsed="false">
      <c r="A4258" s="9" t="s">
        <v>10101</v>
      </c>
      <c r="B4258" s="9" t="s">
        <v>5870</v>
      </c>
      <c r="C4258" s="9" t="s">
        <v>4525</v>
      </c>
      <c r="D4258" s="9" t="s">
        <v>5871</v>
      </c>
      <c r="E4258" s="9" t="str">
        <f aca="false">IF(AND('Formation Ledger'!A4237&lt;&gt;"",'Formation Ledger'!V4237=0),"PASS","FAIL")</f>
        <v>PASS</v>
      </c>
      <c r="F4258" s="9" t="s">
        <v>76</v>
      </c>
      <c r="G4258" s="6"/>
      <c r="H4258" s="6"/>
      <c r="I4258" s="6"/>
      <c r="J4258" s="6"/>
      <c r="K4258" s="6"/>
      <c r="L4258" s="6"/>
      <c r="M4258" s="6"/>
      <c r="N4258" s="6"/>
      <c r="O4258" s="6"/>
      <c r="P4258" s="6"/>
      <c r="Q4258" s="6"/>
      <c r="R4258" s="6"/>
      <c r="S4258" s="6"/>
      <c r="T4258" s="6"/>
      <c r="U4258" s="6"/>
      <c r="V4258" s="6"/>
      <c r="W4258" s="6"/>
      <c r="X4258" s="6"/>
      <c r="Y4258" s="6"/>
      <c r="Z4258" s="6"/>
    </row>
    <row r="4259" customFormat="false" ht="15" hidden="false" customHeight="false" outlineLevel="0" collapsed="false">
      <c r="A4259" s="9" t="s">
        <v>10102</v>
      </c>
      <c r="B4259" s="9" t="s">
        <v>5870</v>
      </c>
      <c r="C4259" s="9" t="s">
        <v>4526</v>
      </c>
      <c r="D4259" s="9" t="s">
        <v>5871</v>
      </c>
      <c r="E4259" s="9" t="str">
        <f aca="false">IF(AND('Formation Ledger'!A4238&lt;&gt;"",'Formation Ledger'!V4238=0),"PASS","FAIL")</f>
        <v>PASS</v>
      </c>
      <c r="F4259" s="9" t="s">
        <v>76</v>
      </c>
      <c r="G4259" s="6"/>
      <c r="H4259" s="6"/>
      <c r="I4259" s="6"/>
      <c r="J4259" s="6"/>
      <c r="K4259" s="6"/>
      <c r="L4259" s="6"/>
      <c r="M4259" s="6"/>
      <c r="N4259" s="6"/>
      <c r="O4259" s="6"/>
      <c r="P4259" s="6"/>
      <c r="Q4259" s="6"/>
      <c r="R4259" s="6"/>
      <c r="S4259" s="6"/>
      <c r="T4259" s="6"/>
      <c r="U4259" s="6"/>
      <c r="V4259" s="6"/>
      <c r="W4259" s="6"/>
      <c r="X4259" s="6"/>
      <c r="Y4259" s="6"/>
      <c r="Z4259" s="6"/>
    </row>
    <row r="4260" customFormat="false" ht="15" hidden="false" customHeight="false" outlineLevel="0" collapsed="false">
      <c r="A4260" s="9" t="s">
        <v>10103</v>
      </c>
      <c r="B4260" s="9" t="s">
        <v>5870</v>
      </c>
      <c r="C4260" s="9" t="s">
        <v>4527</v>
      </c>
      <c r="D4260" s="9" t="s">
        <v>5871</v>
      </c>
      <c r="E4260" s="9" t="str">
        <f aca="false">IF(AND('Formation Ledger'!A4239&lt;&gt;"",'Formation Ledger'!V4239=0),"PASS","FAIL")</f>
        <v>PASS</v>
      </c>
      <c r="F4260" s="9" t="s">
        <v>76</v>
      </c>
      <c r="G4260" s="6"/>
      <c r="H4260" s="6"/>
      <c r="I4260" s="6"/>
      <c r="J4260" s="6"/>
      <c r="K4260" s="6"/>
      <c r="L4260" s="6"/>
      <c r="M4260" s="6"/>
      <c r="N4260" s="6"/>
      <c r="O4260" s="6"/>
      <c r="P4260" s="6"/>
      <c r="Q4260" s="6"/>
      <c r="R4260" s="6"/>
      <c r="S4260" s="6"/>
      <c r="T4260" s="6"/>
      <c r="U4260" s="6"/>
      <c r="V4260" s="6"/>
      <c r="W4260" s="6"/>
      <c r="X4260" s="6"/>
      <c r="Y4260" s="6"/>
      <c r="Z4260" s="6"/>
    </row>
    <row r="4261" customFormat="false" ht="15" hidden="false" customHeight="false" outlineLevel="0" collapsed="false">
      <c r="A4261" s="9" t="s">
        <v>10104</v>
      </c>
      <c r="B4261" s="9" t="s">
        <v>5870</v>
      </c>
      <c r="C4261" s="9" t="s">
        <v>4528</v>
      </c>
      <c r="D4261" s="9" t="s">
        <v>5871</v>
      </c>
      <c r="E4261" s="9" t="str">
        <f aca="false">IF(AND('Formation Ledger'!A4240&lt;&gt;"",'Formation Ledger'!V4240=0),"PASS","FAIL")</f>
        <v>PASS</v>
      </c>
      <c r="F4261" s="9" t="s">
        <v>76</v>
      </c>
      <c r="G4261" s="6"/>
      <c r="H4261" s="6"/>
      <c r="I4261" s="6"/>
      <c r="J4261" s="6"/>
      <c r="K4261" s="6"/>
      <c r="L4261" s="6"/>
      <c r="M4261" s="6"/>
      <c r="N4261" s="6"/>
      <c r="O4261" s="6"/>
      <c r="P4261" s="6"/>
      <c r="Q4261" s="6"/>
      <c r="R4261" s="6"/>
      <c r="S4261" s="6"/>
      <c r="T4261" s="6"/>
      <c r="U4261" s="6"/>
      <c r="V4261" s="6"/>
      <c r="W4261" s="6"/>
      <c r="X4261" s="6"/>
      <c r="Y4261" s="6"/>
      <c r="Z4261" s="6"/>
    </row>
    <row r="4262" customFormat="false" ht="15" hidden="false" customHeight="false" outlineLevel="0" collapsed="false">
      <c r="A4262" s="9" t="s">
        <v>10105</v>
      </c>
      <c r="B4262" s="9" t="s">
        <v>5870</v>
      </c>
      <c r="C4262" s="9" t="s">
        <v>4529</v>
      </c>
      <c r="D4262" s="9" t="s">
        <v>5871</v>
      </c>
      <c r="E4262" s="9" t="str">
        <f aca="false">IF(AND('Formation Ledger'!A4241&lt;&gt;"",'Formation Ledger'!V4241=0),"PASS","FAIL")</f>
        <v>PASS</v>
      </c>
      <c r="F4262" s="9" t="s">
        <v>76</v>
      </c>
      <c r="G4262" s="6"/>
      <c r="H4262" s="6"/>
      <c r="I4262" s="6"/>
      <c r="J4262" s="6"/>
      <c r="K4262" s="6"/>
      <c r="L4262" s="6"/>
      <c r="M4262" s="6"/>
      <c r="N4262" s="6"/>
      <c r="O4262" s="6"/>
      <c r="P4262" s="6"/>
      <c r="Q4262" s="6"/>
      <c r="R4262" s="6"/>
      <c r="S4262" s="6"/>
      <c r="T4262" s="6"/>
      <c r="U4262" s="6"/>
      <c r="V4262" s="6"/>
      <c r="W4262" s="6"/>
      <c r="X4262" s="6"/>
      <c r="Y4262" s="6"/>
      <c r="Z4262" s="6"/>
    </row>
    <row r="4263" customFormat="false" ht="15" hidden="false" customHeight="false" outlineLevel="0" collapsed="false">
      <c r="A4263" s="9" t="s">
        <v>10106</v>
      </c>
      <c r="B4263" s="9" t="s">
        <v>5870</v>
      </c>
      <c r="C4263" s="9" t="s">
        <v>4530</v>
      </c>
      <c r="D4263" s="9" t="s">
        <v>5871</v>
      </c>
      <c r="E4263" s="9" t="str">
        <f aca="false">IF(AND('Formation Ledger'!A4242&lt;&gt;"",'Formation Ledger'!V4242=0),"PASS","FAIL")</f>
        <v>PASS</v>
      </c>
      <c r="F4263" s="9" t="s">
        <v>76</v>
      </c>
      <c r="G4263" s="6"/>
      <c r="H4263" s="6"/>
      <c r="I4263" s="6"/>
      <c r="J4263" s="6"/>
      <c r="K4263" s="6"/>
      <c r="L4263" s="6"/>
      <c r="M4263" s="6"/>
      <c r="N4263" s="6"/>
      <c r="O4263" s="6"/>
      <c r="P4263" s="6"/>
      <c r="Q4263" s="6"/>
      <c r="R4263" s="6"/>
      <c r="S4263" s="6"/>
      <c r="T4263" s="6"/>
      <c r="U4263" s="6"/>
      <c r="V4263" s="6"/>
      <c r="W4263" s="6"/>
      <c r="X4263" s="6"/>
      <c r="Y4263" s="6"/>
      <c r="Z4263" s="6"/>
    </row>
    <row r="4264" customFormat="false" ht="15" hidden="false" customHeight="false" outlineLevel="0" collapsed="false">
      <c r="A4264" s="9" t="s">
        <v>10107</v>
      </c>
      <c r="B4264" s="9" t="s">
        <v>5870</v>
      </c>
      <c r="C4264" s="9" t="s">
        <v>4531</v>
      </c>
      <c r="D4264" s="9" t="s">
        <v>5871</v>
      </c>
      <c r="E4264" s="9" t="str">
        <f aca="false">IF(AND('Formation Ledger'!A4243&lt;&gt;"",'Formation Ledger'!V4243=0),"PASS","FAIL")</f>
        <v>PASS</v>
      </c>
      <c r="F4264" s="9" t="s">
        <v>76</v>
      </c>
      <c r="G4264" s="6"/>
      <c r="H4264" s="6"/>
      <c r="I4264" s="6"/>
      <c r="J4264" s="6"/>
      <c r="K4264" s="6"/>
      <c r="L4264" s="6"/>
      <c r="M4264" s="6"/>
      <c r="N4264" s="6"/>
      <c r="O4264" s="6"/>
      <c r="P4264" s="6"/>
      <c r="Q4264" s="6"/>
      <c r="R4264" s="6"/>
      <c r="S4264" s="6"/>
      <c r="T4264" s="6"/>
      <c r="U4264" s="6"/>
      <c r="V4264" s="6"/>
      <c r="W4264" s="6"/>
      <c r="X4264" s="6"/>
      <c r="Y4264" s="6"/>
      <c r="Z4264" s="6"/>
    </row>
    <row r="4265" customFormat="false" ht="15" hidden="false" customHeight="false" outlineLevel="0" collapsed="false">
      <c r="A4265" s="9" t="s">
        <v>10108</v>
      </c>
      <c r="B4265" s="9" t="s">
        <v>5870</v>
      </c>
      <c r="C4265" s="9" t="s">
        <v>4532</v>
      </c>
      <c r="D4265" s="9" t="s">
        <v>5871</v>
      </c>
      <c r="E4265" s="9" t="str">
        <f aca="false">IF(AND('Formation Ledger'!A4244&lt;&gt;"",'Formation Ledger'!V4244=0),"PASS","FAIL")</f>
        <v>PASS</v>
      </c>
      <c r="F4265" s="9" t="s">
        <v>76</v>
      </c>
      <c r="G4265" s="6"/>
      <c r="H4265" s="6"/>
      <c r="I4265" s="6"/>
      <c r="J4265" s="6"/>
      <c r="K4265" s="6"/>
      <c r="L4265" s="6"/>
      <c r="M4265" s="6"/>
      <c r="N4265" s="6"/>
      <c r="O4265" s="6"/>
      <c r="P4265" s="6"/>
      <c r="Q4265" s="6"/>
      <c r="R4265" s="6"/>
      <c r="S4265" s="6"/>
      <c r="T4265" s="6"/>
      <c r="U4265" s="6"/>
      <c r="V4265" s="6"/>
      <c r="W4265" s="6"/>
      <c r="X4265" s="6"/>
      <c r="Y4265" s="6"/>
      <c r="Z4265" s="6"/>
    </row>
    <row r="4266" customFormat="false" ht="15" hidden="false" customHeight="false" outlineLevel="0" collapsed="false">
      <c r="A4266" s="9" t="s">
        <v>10109</v>
      </c>
      <c r="B4266" s="9" t="s">
        <v>5870</v>
      </c>
      <c r="C4266" s="9" t="s">
        <v>4533</v>
      </c>
      <c r="D4266" s="9" t="s">
        <v>5871</v>
      </c>
      <c r="E4266" s="9" t="str">
        <f aca="false">IF(AND('Formation Ledger'!A4245&lt;&gt;"",'Formation Ledger'!V4245=0),"PASS","FAIL")</f>
        <v>PASS</v>
      </c>
      <c r="F4266" s="9" t="s">
        <v>76</v>
      </c>
      <c r="G4266" s="6"/>
      <c r="H4266" s="6"/>
      <c r="I4266" s="6"/>
      <c r="J4266" s="6"/>
      <c r="K4266" s="6"/>
      <c r="L4266" s="6"/>
      <c r="M4266" s="6"/>
      <c r="N4266" s="6"/>
      <c r="O4266" s="6"/>
      <c r="P4266" s="6"/>
      <c r="Q4266" s="6"/>
      <c r="R4266" s="6"/>
      <c r="S4266" s="6"/>
      <c r="T4266" s="6"/>
      <c r="U4266" s="6"/>
      <c r="V4266" s="6"/>
      <c r="W4266" s="6"/>
      <c r="X4266" s="6"/>
      <c r="Y4266" s="6"/>
      <c r="Z4266" s="6"/>
    </row>
    <row r="4267" customFormat="false" ht="15" hidden="false" customHeight="false" outlineLevel="0" collapsed="false">
      <c r="A4267" s="9" t="s">
        <v>10110</v>
      </c>
      <c r="B4267" s="9" t="s">
        <v>5870</v>
      </c>
      <c r="C4267" s="9" t="s">
        <v>4534</v>
      </c>
      <c r="D4267" s="9" t="s">
        <v>5871</v>
      </c>
      <c r="E4267" s="9" t="str">
        <f aca="false">IF(AND('Formation Ledger'!A4246&lt;&gt;"",'Formation Ledger'!V4246=0),"PASS","FAIL")</f>
        <v>PASS</v>
      </c>
      <c r="F4267" s="9" t="s">
        <v>76</v>
      </c>
      <c r="G4267" s="6"/>
      <c r="H4267" s="6"/>
      <c r="I4267" s="6"/>
      <c r="J4267" s="6"/>
      <c r="K4267" s="6"/>
      <c r="L4267" s="6"/>
      <c r="M4267" s="6"/>
      <c r="N4267" s="6"/>
      <c r="O4267" s="6"/>
      <c r="P4267" s="6"/>
      <c r="Q4267" s="6"/>
      <c r="R4267" s="6"/>
      <c r="S4267" s="6"/>
      <c r="T4267" s="6"/>
      <c r="U4267" s="6"/>
      <c r="V4267" s="6"/>
      <c r="W4267" s="6"/>
      <c r="X4267" s="6"/>
      <c r="Y4267" s="6"/>
      <c r="Z4267" s="6"/>
    </row>
    <row r="4268" customFormat="false" ht="15" hidden="false" customHeight="false" outlineLevel="0" collapsed="false">
      <c r="A4268" s="9" t="s">
        <v>10111</v>
      </c>
      <c r="B4268" s="9" t="s">
        <v>5870</v>
      </c>
      <c r="C4268" s="9" t="s">
        <v>4535</v>
      </c>
      <c r="D4268" s="9" t="s">
        <v>5871</v>
      </c>
      <c r="E4268" s="9" t="str">
        <f aca="false">IF(AND('Formation Ledger'!A4247&lt;&gt;"",'Formation Ledger'!V4247=0),"PASS","FAIL")</f>
        <v>PASS</v>
      </c>
      <c r="F4268" s="9" t="s">
        <v>76</v>
      </c>
      <c r="G4268" s="6"/>
      <c r="H4268" s="6"/>
      <c r="I4268" s="6"/>
      <c r="J4268" s="6"/>
      <c r="K4268" s="6"/>
      <c r="L4268" s="6"/>
      <c r="M4268" s="6"/>
      <c r="N4268" s="6"/>
      <c r="O4268" s="6"/>
      <c r="P4268" s="6"/>
      <c r="Q4268" s="6"/>
      <c r="R4268" s="6"/>
      <c r="S4268" s="6"/>
      <c r="T4268" s="6"/>
      <c r="U4268" s="6"/>
      <c r="V4268" s="6"/>
      <c r="W4268" s="6"/>
      <c r="X4268" s="6"/>
      <c r="Y4268" s="6"/>
      <c r="Z4268" s="6"/>
    </row>
    <row r="4269" customFormat="false" ht="15" hidden="false" customHeight="false" outlineLevel="0" collapsed="false">
      <c r="A4269" s="9" t="s">
        <v>10112</v>
      </c>
      <c r="B4269" s="9" t="s">
        <v>5870</v>
      </c>
      <c r="C4269" s="9" t="s">
        <v>4536</v>
      </c>
      <c r="D4269" s="9" t="s">
        <v>5871</v>
      </c>
      <c r="E4269" s="9" t="str">
        <f aca="false">IF(AND('Formation Ledger'!A4248&lt;&gt;"",'Formation Ledger'!V4248=0),"PASS","FAIL")</f>
        <v>PASS</v>
      </c>
      <c r="F4269" s="9" t="s">
        <v>76</v>
      </c>
      <c r="G4269" s="6"/>
      <c r="H4269" s="6"/>
      <c r="I4269" s="6"/>
      <c r="J4269" s="6"/>
      <c r="K4269" s="6"/>
      <c r="L4269" s="6"/>
      <c r="M4269" s="6"/>
      <c r="N4269" s="6"/>
      <c r="O4269" s="6"/>
      <c r="P4269" s="6"/>
      <c r="Q4269" s="6"/>
      <c r="R4269" s="6"/>
      <c r="S4269" s="6"/>
      <c r="T4269" s="6"/>
      <c r="U4269" s="6"/>
      <c r="V4269" s="6"/>
      <c r="W4269" s="6"/>
      <c r="X4269" s="6"/>
      <c r="Y4269" s="6"/>
      <c r="Z4269" s="6"/>
    </row>
    <row r="4270" customFormat="false" ht="15" hidden="false" customHeight="false" outlineLevel="0" collapsed="false">
      <c r="A4270" s="9" t="s">
        <v>10113</v>
      </c>
      <c r="B4270" s="9" t="s">
        <v>5870</v>
      </c>
      <c r="C4270" s="9" t="s">
        <v>4537</v>
      </c>
      <c r="D4270" s="9" t="s">
        <v>5871</v>
      </c>
      <c r="E4270" s="9" t="str">
        <f aca="false">IF(AND('Formation Ledger'!A4249&lt;&gt;"",'Formation Ledger'!V4249=0),"PASS","FAIL")</f>
        <v>PASS</v>
      </c>
      <c r="F4270" s="9" t="s">
        <v>76</v>
      </c>
      <c r="G4270" s="6"/>
      <c r="H4270" s="6"/>
      <c r="I4270" s="6"/>
      <c r="J4270" s="6"/>
      <c r="K4270" s="6"/>
      <c r="L4270" s="6"/>
      <c r="M4270" s="6"/>
      <c r="N4270" s="6"/>
      <c r="O4270" s="6"/>
      <c r="P4270" s="6"/>
      <c r="Q4270" s="6"/>
      <c r="R4270" s="6"/>
      <c r="S4270" s="6"/>
      <c r="T4270" s="6"/>
      <c r="U4270" s="6"/>
      <c r="V4270" s="6"/>
      <c r="W4270" s="6"/>
      <c r="X4270" s="6"/>
      <c r="Y4270" s="6"/>
      <c r="Z4270" s="6"/>
    </row>
    <row r="4271" customFormat="false" ht="15" hidden="false" customHeight="false" outlineLevel="0" collapsed="false">
      <c r="A4271" s="9" t="s">
        <v>10114</v>
      </c>
      <c r="B4271" s="9" t="s">
        <v>5870</v>
      </c>
      <c r="C4271" s="9" t="s">
        <v>4538</v>
      </c>
      <c r="D4271" s="9" t="s">
        <v>5871</v>
      </c>
      <c r="E4271" s="9" t="str">
        <f aca="false">IF(AND('Formation Ledger'!A4250&lt;&gt;"",'Formation Ledger'!V4250=0),"PASS","FAIL")</f>
        <v>PASS</v>
      </c>
      <c r="F4271" s="9" t="s">
        <v>76</v>
      </c>
      <c r="G4271" s="6"/>
      <c r="H4271" s="6"/>
      <c r="I4271" s="6"/>
      <c r="J4271" s="6"/>
      <c r="K4271" s="6"/>
      <c r="L4271" s="6"/>
      <c r="M4271" s="6"/>
      <c r="N4271" s="6"/>
      <c r="O4271" s="6"/>
      <c r="P4271" s="6"/>
      <c r="Q4271" s="6"/>
      <c r="R4271" s="6"/>
      <c r="S4271" s="6"/>
      <c r="T4271" s="6"/>
      <c r="U4271" s="6"/>
      <c r="V4271" s="6"/>
      <c r="W4271" s="6"/>
      <c r="X4271" s="6"/>
      <c r="Y4271" s="6"/>
      <c r="Z4271" s="6"/>
    </row>
    <row r="4272" customFormat="false" ht="15" hidden="false" customHeight="false" outlineLevel="0" collapsed="false">
      <c r="A4272" s="9" t="s">
        <v>10115</v>
      </c>
      <c r="B4272" s="9" t="s">
        <v>5870</v>
      </c>
      <c r="C4272" s="9" t="s">
        <v>4539</v>
      </c>
      <c r="D4272" s="9" t="s">
        <v>5871</v>
      </c>
      <c r="E4272" s="9" t="str">
        <f aca="false">IF(AND('Formation Ledger'!A4251&lt;&gt;"",'Formation Ledger'!V4251=0),"PASS","FAIL")</f>
        <v>PASS</v>
      </c>
      <c r="F4272" s="9" t="s">
        <v>76</v>
      </c>
      <c r="G4272" s="6"/>
      <c r="H4272" s="6"/>
      <c r="I4272" s="6"/>
      <c r="J4272" s="6"/>
      <c r="K4272" s="6"/>
      <c r="L4272" s="6"/>
      <c r="M4272" s="6"/>
      <c r="N4272" s="6"/>
      <c r="O4272" s="6"/>
      <c r="P4272" s="6"/>
      <c r="Q4272" s="6"/>
      <c r="R4272" s="6"/>
      <c r="S4272" s="6"/>
      <c r="T4272" s="6"/>
      <c r="U4272" s="6"/>
      <c r="V4272" s="6"/>
      <c r="W4272" s="6"/>
      <c r="X4272" s="6"/>
      <c r="Y4272" s="6"/>
      <c r="Z4272" s="6"/>
    </row>
    <row r="4273" customFormat="false" ht="15" hidden="false" customHeight="false" outlineLevel="0" collapsed="false">
      <c r="A4273" s="9" t="s">
        <v>10116</v>
      </c>
      <c r="B4273" s="9" t="s">
        <v>5870</v>
      </c>
      <c r="C4273" s="9" t="s">
        <v>4540</v>
      </c>
      <c r="D4273" s="9" t="s">
        <v>5871</v>
      </c>
      <c r="E4273" s="9" t="str">
        <f aca="false">IF(AND('Formation Ledger'!A4252&lt;&gt;"",'Formation Ledger'!V4252=0),"PASS","FAIL")</f>
        <v>PASS</v>
      </c>
      <c r="F4273" s="9" t="s">
        <v>76</v>
      </c>
      <c r="G4273" s="6"/>
      <c r="H4273" s="6"/>
      <c r="I4273" s="6"/>
      <c r="J4273" s="6"/>
      <c r="K4273" s="6"/>
      <c r="L4273" s="6"/>
      <c r="M4273" s="6"/>
      <c r="N4273" s="6"/>
      <c r="O4273" s="6"/>
      <c r="P4273" s="6"/>
      <c r="Q4273" s="6"/>
      <c r="R4273" s="6"/>
      <c r="S4273" s="6"/>
      <c r="T4273" s="6"/>
      <c r="U4273" s="6"/>
      <c r="V4273" s="6"/>
      <c r="W4273" s="6"/>
      <c r="X4273" s="6"/>
      <c r="Y4273" s="6"/>
      <c r="Z4273" s="6"/>
    </row>
    <row r="4274" customFormat="false" ht="15" hidden="false" customHeight="false" outlineLevel="0" collapsed="false">
      <c r="A4274" s="9" t="s">
        <v>10117</v>
      </c>
      <c r="B4274" s="9" t="s">
        <v>5870</v>
      </c>
      <c r="C4274" s="9" t="s">
        <v>4541</v>
      </c>
      <c r="D4274" s="9" t="s">
        <v>5871</v>
      </c>
      <c r="E4274" s="9" t="str">
        <f aca="false">IF(AND('Formation Ledger'!A4253&lt;&gt;"",'Formation Ledger'!V4253=0),"PASS","FAIL")</f>
        <v>PASS</v>
      </c>
      <c r="F4274" s="9" t="s">
        <v>76</v>
      </c>
      <c r="G4274" s="6"/>
      <c r="H4274" s="6"/>
      <c r="I4274" s="6"/>
      <c r="J4274" s="6"/>
      <c r="K4274" s="6"/>
      <c r="L4274" s="6"/>
      <c r="M4274" s="6"/>
      <c r="N4274" s="6"/>
      <c r="O4274" s="6"/>
      <c r="P4274" s="6"/>
      <c r="Q4274" s="6"/>
      <c r="R4274" s="6"/>
      <c r="S4274" s="6"/>
      <c r="T4274" s="6"/>
      <c r="U4274" s="6"/>
      <c r="V4274" s="6"/>
      <c r="W4274" s="6"/>
      <c r="X4274" s="6"/>
      <c r="Y4274" s="6"/>
      <c r="Z4274" s="6"/>
    </row>
    <row r="4275" customFormat="false" ht="15" hidden="false" customHeight="false" outlineLevel="0" collapsed="false">
      <c r="A4275" s="9" t="s">
        <v>10118</v>
      </c>
      <c r="B4275" s="9" t="s">
        <v>5870</v>
      </c>
      <c r="C4275" s="9" t="s">
        <v>4542</v>
      </c>
      <c r="D4275" s="9" t="s">
        <v>5871</v>
      </c>
      <c r="E4275" s="9" t="str">
        <f aca="false">IF(AND('Formation Ledger'!A4254&lt;&gt;"",'Formation Ledger'!V4254=0),"PASS","FAIL")</f>
        <v>PASS</v>
      </c>
      <c r="F4275" s="9" t="s">
        <v>76</v>
      </c>
      <c r="G4275" s="6"/>
      <c r="H4275" s="6"/>
      <c r="I4275" s="6"/>
      <c r="J4275" s="6"/>
      <c r="K4275" s="6"/>
      <c r="L4275" s="6"/>
      <c r="M4275" s="6"/>
      <c r="N4275" s="6"/>
      <c r="O4275" s="6"/>
      <c r="P4275" s="6"/>
      <c r="Q4275" s="6"/>
      <c r="R4275" s="6"/>
      <c r="S4275" s="6"/>
      <c r="T4275" s="6"/>
      <c r="U4275" s="6"/>
      <c r="V4275" s="6"/>
      <c r="W4275" s="6"/>
      <c r="X4275" s="6"/>
      <c r="Y4275" s="6"/>
      <c r="Z4275" s="6"/>
    </row>
    <row r="4276" customFormat="false" ht="15" hidden="false" customHeight="false" outlineLevel="0" collapsed="false">
      <c r="A4276" s="9" t="s">
        <v>10119</v>
      </c>
      <c r="B4276" s="9" t="s">
        <v>5870</v>
      </c>
      <c r="C4276" s="9" t="s">
        <v>4543</v>
      </c>
      <c r="D4276" s="9" t="s">
        <v>5871</v>
      </c>
      <c r="E4276" s="9" t="str">
        <f aca="false">IF(AND('Formation Ledger'!A4255&lt;&gt;"",'Formation Ledger'!V4255=0),"PASS","FAIL")</f>
        <v>PASS</v>
      </c>
      <c r="F4276" s="9" t="s">
        <v>76</v>
      </c>
      <c r="G4276" s="6"/>
      <c r="H4276" s="6"/>
      <c r="I4276" s="6"/>
      <c r="J4276" s="6"/>
      <c r="K4276" s="6"/>
      <c r="L4276" s="6"/>
      <c r="M4276" s="6"/>
      <c r="N4276" s="6"/>
      <c r="O4276" s="6"/>
      <c r="P4276" s="6"/>
      <c r="Q4276" s="6"/>
      <c r="R4276" s="6"/>
      <c r="S4276" s="6"/>
      <c r="T4276" s="6"/>
      <c r="U4276" s="6"/>
      <c r="V4276" s="6"/>
      <c r="W4276" s="6"/>
      <c r="X4276" s="6"/>
      <c r="Y4276" s="6"/>
      <c r="Z4276" s="6"/>
    </row>
    <row r="4277" customFormat="false" ht="15" hidden="false" customHeight="false" outlineLevel="0" collapsed="false">
      <c r="A4277" s="9" t="s">
        <v>10120</v>
      </c>
      <c r="B4277" s="9" t="s">
        <v>5870</v>
      </c>
      <c r="C4277" s="9" t="s">
        <v>4544</v>
      </c>
      <c r="D4277" s="9" t="s">
        <v>5871</v>
      </c>
      <c r="E4277" s="9" t="str">
        <f aca="false">IF(AND('Formation Ledger'!A4256&lt;&gt;"",'Formation Ledger'!V4256=0),"PASS","FAIL")</f>
        <v>PASS</v>
      </c>
      <c r="F4277" s="9" t="s">
        <v>76</v>
      </c>
      <c r="G4277" s="6"/>
      <c r="H4277" s="6"/>
      <c r="I4277" s="6"/>
      <c r="J4277" s="6"/>
      <c r="K4277" s="6"/>
      <c r="L4277" s="6"/>
      <c r="M4277" s="6"/>
      <c r="N4277" s="6"/>
      <c r="O4277" s="6"/>
      <c r="P4277" s="6"/>
      <c r="Q4277" s="6"/>
      <c r="R4277" s="6"/>
      <c r="S4277" s="6"/>
      <c r="T4277" s="6"/>
      <c r="U4277" s="6"/>
      <c r="V4277" s="6"/>
      <c r="W4277" s="6"/>
      <c r="X4277" s="6"/>
      <c r="Y4277" s="6"/>
      <c r="Z4277" s="6"/>
    </row>
    <row r="4278" customFormat="false" ht="15" hidden="false" customHeight="false" outlineLevel="0" collapsed="false">
      <c r="A4278" s="9" t="s">
        <v>10121</v>
      </c>
      <c r="B4278" s="9" t="s">
        <v>5870</v>
      </c>
      <c r="C4278" s="9" t="s">
        <v>4545</v>
      </c>
      <c r="D4278" s="9" t="s">
        <v>5871</v>
      </c>
      <c r="E4278" s="9" t="str">
        <f aca="false">IF(AND('Formation Ledger'!A4257&lt;&gt;"",'Formation Ledger'!V4257=0),"PASS","FAIL")</f>
        <v>PASS</v>
      </c>
      <c r="F4278" s="9" t="s">
        <v>76</v>
      </c>
      <c r="G4278" s="6"/>
      <c r="H4278" s="6"/>
      <c r="I4278" s="6"/>
      <c r="J4278" s="6"/>
      <c r="K4278" s="6"/>
      <c r="L4278" s="6"/>
      <c r="M4278" s="6"/>
      <c r="N4278" s="6"/>
      <c r="O4278" s="6"/>
      <c r="P4278" s="6"/>
      <c r="Q4278" s="6"/>
      <c r="R4278" s="6"/>
      <c r="S4278" s="6"/>
      <c r="T4278" s="6"/>
      <c r="U4278" s="6"/>
      <c r="V4278" s="6"/>
      <c r="W4278" s="6"/>
      <c r="X4278" s="6"/>
      <c r="Y4278" s="6"/>
      <c r="Z4278" s="6"/>
    </row>
    <row r="4279" customFormat="false" ht="15" hidden="false" customHeight="false" outlineLevel="0" collapsed="false">
      <c r="A4279" s="9" t="s">
        <v>10122</v>
      </c>
      <c r="B4279" s="9" t="s">
        <v>5870</v>
      </c>
      <c r="C4279" s="9" t="s">
        <v>4546</v>
      </c>
      <c r="D4279" s="9" t="s">
        <v>5871</v>
      </c>
      <c r="E4279" s="9" t="str">
        <f aca="false">IF(AND('Formation Ledger'!A4258&lt;&gt;"",'Formation Ledger'!V4258=0),"PASS","FAIL")</f>
        <v>PASS</v>
      </c>
      <c r="F4279" s="9" t="s">
        <v>76</v>
      </c>
      <c r="G4279" s="6"/>
      <c r="H4279" s="6"/>
      <c r="I4279" s="6"/>
      <c r="J4279" s="6"/>
      <c r="K4279" s="6"/>
      <c r="L4279" s="6"/>
      <c r="M4279" s="6"/>
      <c r="N4279" s="6"/>
      <c r="O4279" s="6"/>
      <c r="P4279" s="6"/>
      <c r="Q4279" s="6"/>
      <c r="R4279" s="6"/>
      <c r="S4279" s="6"/>
      <c r="T4279" s="6"/>
      <c r="U4279" s="6"/>
      <c r="V4279" s="6"/>
      <c r="W4279" s="6"/>
      <c r="X4279" s="6"/>
      <c r="Y4279" s="6"/>
      <c r="Z4279" s="6"/>
    </row>
    <row r="4280" customFormat="false" ht="15" hidden="false" customHeight="false" outlineLevel="0" collapsed="false">
      <c r="A4280" s="9" t="s">
        <v>10123</v>
      </c>
      <c r="B4280" s="9" t="s">
        <v>5870</v>
      </c>
      <c r="C4280" s="9" t="s">
        <v>4547</v>
      </c>
      <c r="D4280" s="9" t="s">
        <v>5871</v>
      </c>
      <c r="E4280" s="9" t="str">
        <f aca="false">IF(AND('Formation Ledger'!A4259&lt;&gt;"",'Formation Ledger'!V4259=0),"PASS","FAIL")</f>
        <v>PASS</v>
      </c>
      <c r="F4280" s="9" t="s">
        <v>76</v>
      </c>
      <c r="G4280" s="6"/>
      <c r="H4280" s="6"/>
      <c r="I4280" s="6"/>
      <c r="J4280" s="6"/>
      <c r="K4280" s="6"/>
      <c r="L4280" s="6"/>
      <c r="M4280" s="6"/>
      <c r="N4280" s="6"/>
      <c r="O4280" s="6"/>
      <c r="P4280" s="6"/>
      <c r="Q4280" s="6"/>
      <c r="R4280" s="6"/>
      <c r="S4280" s="6"/>
      <c r="T4280" s="6"/>
      <c r="U4280" s="6"/>
      <c r="V4280" s="6"/>
      <c r="W4280" s="6"/>
      <c r="X4280" s="6"/>
      <c r="Y4280" s="6"/>
      <c r="Z4280" s="6"/>
    </row>
    <row r="4281" customFormat="false" ht="15" hidden="false" customHeight="false" outlineLevel="0" collapsed="false">
      <c r="A4281" s="9" t="s">
        <v>10124</v>
      </c>
      <c r="B4281" s="9" t="s">
        <v>5870</v>
      </c>
      <c r="C4281" s="9" t="s">
        <v>4548</v>
      </c>
      <c r="D4281" s="9" t="s">
        <v>5871</v>
      </c>
      <c r="E4281" s="9" t="str">
        <f aca="false">IF(AND('Formation Ledger'!A4260&lt;&gt;"",'Formation Ledger'!V4260=0),"PASS","FAIL")</f>
        <v>PASS</v>
      </c>
      <c r="F4281" s="9" t="s">
        <v>76</v>
      </c>
      <c r="G4281" s="6"/>
      <c r="H4281" s="6"/>
      <c r="I4281" s="6"/>
      <c r="J4281" s="6"/>
      <c r="K4281" s="6"/>
      <c r="L4281" s="6"/>
      <c r="M4281" s="6"/>
      <c r="N4281" s="6"/>
      <c r="O4281" s="6"/>
      <c r="P4281" s="6"/>
      <c r="Q4281" s="6"/>
      <c r="R4281" s="6"/>
      <c r="S4281" s="6"/>
      <c r="T4281" s="6"/>
      <c r="U4281" s="6"/>
      <c r="V4281" s="6"/>
      <c r="W4281" s="6"/>
      <c r="X4281" s="6"/>
      <c r="Y4281" s="6"/>
      <c r="Z4281" s="6"/>
    </row>
    <row r="4282" customFormat="false" ht="15" hidden="false" customHeight="false" outlineLevel="0" collapsed="false">
      <c r="A4282" s="9" t="s">
        <v>10125</v>
      </c>
      <c r="B4282" s="9" t="s">
        <v>5870</v>
      </c>
      <c r="C4282" s="9" t="s">
        <v>4549</v>
      </c>
      <c r="D4282" s="9" t="s">
        <v>5871</v>
      </c>
      <c r="E4282" s="9" t="str">
        <f aca="false">IF(AND('Formation Ledger'!A4261&lt;&gt;"",'Formation Ledger'!V4261=0),"PASS","FAIL")</f>
        <v>PASS</v>
      </c>
      <c r="F4282" s="9" t="s">
        <v>76</v>
      </c>
      <c r="G4282" s="6"/>
      <c r="H4282" s="6"/>
      <c r="I4282" s="6"/>
      <c r="J4282" s="6"/>
      <c r="K4282" s="6"/>
      <c r="L4282" s="6"/>
      <c r="M4282" s="6"/>
      <c r="N4282" s="6"/>
      <c r="O4282" s="6"/>
      <c r="P4282" s="6"/>
      <c r="Q4282" s="6"/>
      <c r="R4282" s="6"/>
      <c r="S4282" s="6"/>
      <c r="T4282" s="6"/>
      <c r="U4282" s="6"/>
      <c r="V4282" s="6"/>
      <c r="W4282" s="6"/>
      <c r="X4282" s="6"/>
      <c r="Y4282" s="6"/>
      <c r="Z4282" s="6"/>
    </row>
    <row r="4283" customFormat="false" ht="15" hidden="false" customHeight="false" outlineLevel="0" collapsed="false">
      <c r="A4283" s="9" t="s">
        <v>10126</v>
      </c>
      <c r="B4283" s="9" t="s">
        <v>5870</v>
      </c>
      <c r="C4283" s="9" t="s">
        <v>4550</v>
      </c>
      <c r="D4283" s="9" t="s">
        <v>5871</v>
      </c>
      <c r="E4283" s="9" t="str">
        <f aca="false">IF(AND('Formation Ledger'!A4262&lt;&gt;"",'Formation Ledger'!V4262=0),"PASS","FAIL")</f>
        <v>PASS</v>
      </c>
      <c r="F4283" s="9" t="s">
        <v>76</v>
      </c>
      <c r="G4283" s="6"/>
      <c r="H4283" s="6"/>
      <c r="I4283" s="6"/>
      <c r="J4283" s="6"/>
      <c r="K4283" s="6"/>
      <c r="L4283" s="6"/>
      <c r="M4283" s="6"/>
      <c r="N4283" s="6"/>
      <c r="O4283" s="6"/>
      <c r="P4283" s="6"/>
      <c r="Q4283" s="6"/>
      <c r="R4283" s="6"/>
      <c r="S4283" s="6"/>
      <c r="T4283" s="6"/>
      <c r="U4283" s="6"/>
      <c r="V4283" s="6"/>
      <c r="W4283" s="6"/>
      <c r="X4283" s="6"/>
      <c r="Y4283" s="6"/>
      <c r="Z4283" s="6"/>
    </row>
    <row r="4284" customFormat="false" ht="15" hidden="false" customHeight="false" outlineLevel="0" collapsed="false">
      <c r="A4284" s="9" t="s">
        <v>10127</v>
      </c>
      <c r="B4284" s="9" t="s">
        <v>5870</v>
      </c>
      <c r="C4284" s="9" t="s">
        <v>4551</v>
      </c>
      <c r="D4284" s="9" t="s">
        <v>5871</v>
      </c>
      <c r="E4284" s="9" t="str">
        <f aca="false">IF(AND('Formation Ledger'!A4263&lt;&gt;"",'Formation Ledger'!V4263=0),"PASS","FAIL")</f>
        <v>PASS</v>
      </c>
      <c r="F4284" s="9" t="s">
        <v>76</v>
      </c>
      <c r="G4284" s="6"/>
      <c r="H4284" s="6"/>
      <c r="I4284" s="6"/>
      <c r="J4284" s="6"/>
      <c r="K4284" s="6"/>
      <c r="L4284" s="6"/>
      <c r="M4284" s="6"/>
      <c r="N4284" s="6"/>
      <c r="O4284" s="6"/>
      <c r="P4284" s="6"/>
      <c r="Q4284" s="6"/>
      <c r="R4284" s="6"/>
      <c r="S4284" s="6"/>
      <c r="T4284" s="6"/>
      <c r="U4284" s="6"/>
      <c r="V4284" s="6"/>
      <c r="W4284" s="6"/>
      <c r="X4284" s="6"/>
      <c r="Y4284" s="6"/>
      <c r="Z4284" s="6"/>
    </row>
    <row r="4285" customFormat="false" ht="15" hidden="false" customHeight="false" outlineLevel="0" collapsed="false">
      <c r="A4285" s="9" t="s">
        <v>10128</v>
      </c>
      <c r="B4285" s="9" t="s">
        <v>5870</v>
      </c>
      <c r="C4285" s="9" t="s">
        <v>4552</v>
      </c>
      <c r="D4285" s="9" t="s">
        <v>5871</v>
      </c>
      <c r="E4285" s="9" t="str">
        <f aca="false">IF(AND('Formation Ledger'!A4264&lt;&gt;"",'Formation Ledger'!V4264=0),"PASS","FAIL")</f>
        <v>PASS</v>
      </c>
      <c r="F4285" s="9" t="s">
        <v>76</v>
      </c>
      <c r="G4285" s="6"/>
      <c r="H4285" s="6"/>
      <c r="I4285" s="6"/>
      <c r="J4285" s="6"/>
      <c r="K4285" s="6"/>
      <c r="L4285" s="6"/>
      <c r="M4285" s="6"/>
      <c r="N4285" s="6"/>
      <c r="O4285" s="6"/>
      <c r="P4285" s="6"/>
      <c r="Q4285" s="6"/>
      <c r="R4285" s="6"/>
      <c r="S4285" s="6"/>
      <c r="T4285" s="6"/>
      <c r="U4285" s="6"/>
      <c r="V4285" s="6"/>
      <c r="W4285" s="6"/>
      <c r="X4285" s="6"/>
      <c r="Y4285" s="6"/>
      <c r="Z4285" s="6"/>
    </row>
    <row r="4286" customFormat="false" ht="15" hidden="false" customHeight="false" outlineLevel="0" collapsed="false">
      <c r="A4286" s="9" t="s">
        <v>10129</v>
      </c>
      <c r="B4286" s="9" t="s">
        <v>5870</v>
      </c>
      <c r="C4286" s="9" t="s">
        <v>4553</v>
      </c>
      <c r="D4286" s="9" t="s">
        <v>5871</v>
      </c>
      <c r="E4286" s="9" t="str">
        <f aca="false">IF(AND('Formation Ledger'!A4265&lt;&gt;"",'Formation Ledger'!V4265=0),"PASS","FAIL")</f>
        <v>PASS</v>
      </c>
      <c r="F4286" s="9" t="s">
        <v>76</v>
      </c>
      <c r="G4286" s="6"/>
      <c r="H4286" s="6"/>
      <c r="I4286" s="6"/>
      <c r="J4286" s="6"/>
      <c r="K4286" s="6"/>
      <c r="L4286" s="6"/>
      <c r="M4286" s="6"/>
      <c r="N4286" s="6"/>
      <c r="O4286" s="6"/>
      <c r="P4286" s="6"/>
      <c r="Q4286" s="6"/>
      <c r="R4286" s="6"/>
      <c r="S4286" s="6"/>
      <c r="T4286" s="6"/>
      <c r="U4286" s="6"/>
      <c r="V4286" s="6"/>
      <c r="W4286" s="6"/>
      <c r="X4286" s="6"/>
      <c r="Y4286" s="6"/>
      <c r="Z4286" s="6"/>
    </row>
    <row r="4287" customFormat="false" ht="15" hidden="false" customHeight="false" outlineLevel="0" collapsed="false">
      <c r="A4287" s="9" t="s">
        <v>10130</v>
      </c>
      <c r="B4287" s="9" t="s">
        <v>5870</v>
      </c>
      <c r="C4287" s="9" t="s">
        <v>4554</v>
      </c>
      <c r="D4287" s="9" t="s">
        <v>5871</v>
      </c>
      <c r="E4287" s="9" t="str">
        <f aca="false">IF(AND('Formation Ledger'!A4266&lt;&gt;"",'Formation Ledger'!V4266=0),"PASS","FAIL")</f>
        <v>PASS</v>
      </c>
      <c r="F4287" s="9" t="s">
        <v>76</v>
      </c>
      <c r="G4287" s="6"/>
      <c r="H4287" s="6"/>
      <c r="I4287" s="6"/>
      <c r="J4287" s="6"/>
      <c r="K4287" s="6"/>
      <c r="L4287" s="6"/>
      <c r="M4287" s="6"/>
      <c r="N4287" s="6"/>
      <c r="O4287" s="6"/>
      <c r="P4287" s="6"/>
      <c r="Q4287" s="6"/>
      <c r="R4287" s="6"/>
      <c r="S4287" s="6"/>
      <c r="T4287" s="6"/>
      <c r="U4287" s="6"/>
      <c r="V4287" s="6"/>
      <c r="W4287" s="6"/>
      <c r="X4287" s="6"/>
      <c r="Y4287" s="6"/>
      <c r="Z4287" s="6"/>
    </row>
    <row r="4288" customFormat="false" ht="15" hidden="false" customHeight="false" outlineLevel="0" collapsed="false">
      <c r="A4288" s="9" t="s">
        <v>10131</v>
      </c>
      <c r="B4288" s="9" t="s">
        <v>5870</v>
      </c>
      <c r="C4288" s="9" t="s">
        <v>4555</v>
      </c>
      <c r="D4288" s="9" t="s">
        <v>5871</v>
      </c>
      <c r="E4288" s="9" t="str">
        <f aca="false">IF(AND('Formation Ledger'!A4267&lt;&gt;"",'Formation Ledger'!V4267=0),"PASS","FAIL")</f>
        <v>PASS</v>
      </c>
      <c r="F4288" s="9" t="s">
        <v>76</v>
      </c>
      <c r="G4288" s="6"/>
      <c r="H4288" s="6"/>
      <c r="I4288" s="6"/>
      <c r="J4288" s="6"/>
      <c r="K4288" s="6"/>
      <c r="L4288" s="6"/>
      <c r="M4288" s="6"/>
      <c r="N4288" s="6"/>
      <c r="O4288" s="6"/>
      <c r="P4288" s="6"/>
      <c r="Q4288" s="6"/>
      <c r="R4288" s="6"/>
      <c r="S4288" s="6"/>
      <c r="T4288" s="6"/>
      <c r="U4288" s="6"/>
      <c r="V4288" s="6"/>
      <c r="W4288" s="6"/>
      <c r="X4288" s="6"/>
      <c r="Y4288" s="6"/>
      <c r="Z4288" s="6"/>
    </row>
    <row r="4289" customFormat="false" ht="15" hidden="false" customHeight="false" outlineLevel="0" collapsed="false">
      <c r="A4289" s="9" t="s">
        <v>10132</v>
      </c>
      <c r="B4289" s="9" t="s">
        <v>5870</v>
      </c>
      <c r="C4289" s="9" t="s">
        <v>4556</v>
      </c>
      <c r="D4289" s="9" t="s">
        <v>5871</v>
      </c>
      <c r="E4289" s="9" t="str">
        <f aca="false">IF(AND('Formation Ledger'!A4268&lt;&gt;"",'Formation Ledger'!V4268=0),"PASS","FAIL")</f>
        <v>PASS</v>
      </c>
      <c r="F4289" s="9" t="s">
        <v>76</v>
      </c>
      <c r="G4289" s="6"/>
      <c r="H4289" s="6"/>
      <c r="I4289" s="6"/>
      <c r="J4289" s="6"/>
      <c r="K4289" s="6"/>
      <c r="L4289" s="6"/>
      <c r="M4289" s="6"/>
      <c r="N4289" s="6"/>
      <c r="O4289" s="6"/>
      <c r="P4289" s="6"/>
      <c r="Q4289" s="6"/>
      <c r="R4289" s="6"/>
      <c r="S4289" s="6"/>
      <c r="T4289" s="6"/>
      <c r="U4289" s="6"/>
      <c r="V4289" s="6"/>
      <c r="W4289" s="6"/>
      <c r="X4289" s="6"/>
      <c r="Y4289" s="6"/>
      <c r="Z4289" s="6"/>
    </row>
    <row r="4290" customFormat="false" ht="15" hidden="false" customHeight="false" outlineLevel="0" collapsed="false">
      <c r="A4290" s="9" t="s">
        <v>10133</v>
      </c>
      <c r="B4290" s="9" t="s">
        <v>5870</v>
      </c>
      <c r="C4290" s="9" t="s">
        <v>4557</v>
      </c>
      <c r="D4290" s="9" t="s">
        <v>5871</v>
      </c>
      <c r="E4290" s="9" t="str">
        <f aca="false">IF(AND('Formation Ledger'!A4269&lt;&gt;"",'Formation Ledger'!V4269=0),"PASS","FAIL")</f>
        <v>PASS</v>
      </c>
      <c r="F4290" s="9" t="s">
        <v>76</v>
      </c>
      <c r="G4290" s="6"/>
      <c r="H4290" s="6"/>
      <c r="I4290" s="6"/>
      <c r="J4290" s="6"/>
      <c r="K4290" s="6"/>
      <c r="L4290" s="6"/>
      <c r="M4290" s="6"/>
      <c r="N4290" s="6"/>
      <c r="O4290" s="6"/>
      <c r="P4290" s="6"/>
      <c r="Q4290" s="6"/>
      <c r="R4290" s="6"/>
      <c r="S4290" s="6"/>
      <c r="T4290" s="6"/>
      <c r="U4290" s="6"/>
      <c r="V4290" s="6"/>
      <c r="W4290" s="6"/>
      <c r="X4290" s="6"/>
      <c r="Y4290" s="6"/>
      <c r="Z4290" s="6"/>
    </row>
    <row r="4291" customFormat="false" ht="15" hidden="false" customHeight="false" outlineLevel="0" collapsed="false">
      <c r="A4291" s="9" t="s">
        <v>10134</v>
      </c>
      <c r="B4291" s="9" t="s">
        <v>5870</v>
      </c>
      <c r="C4291" s="9" t="s">
        <v>4558</v>
      </c>
      <c r="D4291" s="9" t="s">
        <v>5871</v>
      </c>
      <c r="E4291" s="9" t="str">
        <f aca="false">IF(AND('Formation Ledger'!A4270&lt;&gt;"",'Formation Ledger'!V4270=0),"PASS","FAIL")</f>
        <v>PASS</v>
      </c>
      <c r="F4291" s="9" t="s">
        <v>76</v>
      </c>
      <c r="G4291" s="6"/>
      <c r="H4291" s="6"/>
      <c r="I4291" s="6"/>
      <c r="J4291" s="6"/>
      <c r="K4291" s="6"/>
      <c r="L4291" s="6"/>
      <c r="M4291" s="6"/>
      <c r="N4291" s="6"/>
      <c r="O4291" s="6"/>
      <c r="P4291" s="6"/>
      <c r="Q4291" s="6"/>
      <c r="R4291" s="6"/>
      <c r="S4291" s="6"/>
      <c r="T4291" s="6"/>
      <c r="U4291" s="6"/>
      <c r="V4291" s="6"/>
      <c r="W4291" s="6"/>
      <c r="X4291" s="6"/>
      <c r="Y4291" s="6"/>
      <c r="Z4291" s="6"/>
    </row>
    <row r="4292" customFormat="false" ht="15" hidden="false" customHeight="false" outlineLevel="0" collapsed="false">
      <c r="A4292" s="9" t="s">
        <v>10135</v>
      </c>
      <c r="B4292" s="9" t="s">
        <v>5870</v>
      </c>
      <c r="C4292" s="9" t="s">
        <v>4559</v>
      </c>
      <c r="D4292" s="9" t="s">
        <v>5871</v>
      </c>
      <c r="E4292" s="9" t="str">
        <f aca="false">IF(AND('Formation Ledger'!A4271&lt;&gt;"",'Formation Ledger'!V4271=0),"PASS","FAIL")</f>
        <v>PASS</v>
      </c>
      <c r="F4292" s="9" t="s">
        <v>76</v>
      </c>
      <c r="G4292" s="6"/>
      <c r="H4292" s="6"/>
      <c r="I4292" s="6"/>
      <c r="J4292" s="6"/>
      <c r="K4292" s="6"/>
      <c r="L4292" s="6"/>
      <c r="M4292" s="6"/>
      <c r="N4292" s="6"/>
      <c r="O4292" s="6"/>
      <c r="P4292" s="6"/>
      <c r="Q4292" s="6"/>
      <c r="R4292" s="6"/>
      <c r="S4292" s="6"/>
      <c r="T4292" s="6"/>
      <c r="U4292" s="6"/>
      <c r="V4292" s="6"/>
      <c r="W4292" s="6"/>
      <c r="X4292" s="6"/>
      <c r="Y4292" s="6"/>
      <c r="Z4292" s="6"/>
    </row>
    <row r="4293" customFormat="false" ht="15" hidden="false" customHeight="false" outlineLevel="0" collapsed="false">
      <c r="A4293" s="9" t="s">
        <v>10136</v>
      </c>
      <c r="B4293" s="9" t="s">
        <v>5870</v>
      </c>
      <c r="C4293" s="9" t="s">
        <v>4560</v>
      </c>
      <c r="D4293" s="9" t="s">
        <v>5871</v>
      </c>
      <c r="E4293" s="9" t="str">
        <f aca="false">IF(AND('Formation Ledger'!A4272&lt;&gt;"",'Formation Ledger'!V4272=0),"PASS","FAIL")</f>
        <v>PASS</v>
      </c>
      <c r="F4293" s="9" t="s">
        <v>76</v>
      </c>
      <c r="G4293" s="6"/>
      <c r="H4293" s="6"/>
      <c r="I4293" s="6"/>
      <c r="J4293" s="6"/>
      <c r="K4293" s="6"/>
      <c r="L4293" s="6"/>
      <c r="M4293" s="6"/>
      <c r="N4293" s="6"/>
      <c r="O4293" s="6"/>
      <c r="P4293" s="6"/>
      <c r="Q4293" s="6"/>
      <c r="R4293" s="6"/>
      <c r="S4293" s="6"/>
      <c r="T4293" s="6"/>
      <c r="U4293" s="6"/>
      <c r="V4293" s="6"/>
      <c r="W4293" s="6"/>
      <c r="X4293" s="6"/>
      <c r="Y4293" s="6"/>
      <c r="Z4293" s="6"/>
    </row>
    <row r="4294" customFormat="false" ht="15" hidden="false" customHeight="false" outlineLevel="0" collapsed="false">
      <c r="A4294" s="9" t="s">
        <v>10137</v>
      </c>
      <c r="B4294" s="9" t="s">
        <v>5870</v>
      </c>
      <c r="C4294" s="9" t="s">
        <v>4561</v>
      </c>
      <c r="D4294" s="9" t="s">
        <v>5871</v>
      </c>
      <c r="E4294" s="9" t="str">
        <f aca="false">IF(AND('Formation Ledger'!A4273&lt;&gt;"",'Formation Ledger'!V4273=0),"PASS","FAIL")</f>
        <v>PASS</v>
      </c>
      <c r="F4294" s="9" t="s">
        <v>76</v>
      </c>
      <c r="G4294" s="6"/>
      <c r="H4294" s="6"/>
      <c r="I4294" s="6"/>
      <c r="J4294" s="6"/>
      <c r="K4294" s="6"/>
      <c r="L4294" s="6"/>
      <c r="M4294" s="6"/>
      <c r="N4294" s="6"/>
      <c r="O4294" s="6"/>
      <c r="P4294" s="6"/>
      <c r="Q4294" s="6"/>
      <c r="R4294" s="6"/>
      <c r="S4294" s="6"/>
      <c r="T4294" s="6"/>
      <c r="U4294" s="6"/>
      <c r="V4294" s="6"/>
      <c r="W4294" s="6"/>
      <c r="X4294" s="6"/>
      <c r="Y4294" s="6"/>
      <c r="Z4294" s="6"/>
    </row>
    <row r="4295" customFormat="false" ht="15" hidden="false" customHeight="false" outlineLevel="0" collapsed="false">
      <c r="A4295" s="9" t="s">
        <v>10138</v>
      </c>
      <c r="B4295" s="9" t="s">
        <v>5870</v>
      </c>
      <c r="C4295" s="9" t="s">
        <v>4562</v>
      </c>
      <c r="D4295" s="9" t="s">
        <v>5871</v>
      </c>
      <c r="E4295" s="9" t="str">
        <f aca="false">IF(AND('Formation Ledger'!A4274&lt;&gt;"",'Formation Ledger'!V4274=0),"PASS","FAIL")</f>
        <v>PASS</v>
      </c>
      <c r="F4295" s="9" t="s">
        <v>76</v>
      </c>
      <c r="G4295" s="6"/>
      <c r="H4295" s="6"/>
      <c r="I4295" s="6"/>
      <c r="J4295" s="6"/>
      <c r="K4295" s="6"/>
      <c r="L4295" s="6"/>
      <c r="M4295" s="6"/>
      <c r="N4295" s="6"/>
      <c r="O4295" s="6"/>
      <c r="P4295" s="6"/>
      <c r="Q4295" s="6"/>
      <c r="R4295" s="6"/>
      <c r="S4295" s="6"/>
      <c r="T4295" s="6"/>
      <c r="U4295" s="6"/>
      <c r="V4295" s="6"/>
      <c r="W4295" s="6"/>
      <c r="X4295" s="6"/>
      <c r="Y4295" s="6"/>
      <c r="Z4295" s="6"/>
    </row>
    <row r="4296" customFormat="false" ht="15" hidden="false" customHeight="false" outlineLevel="0" collapsed="false">
      <c r="A4296" s="9" t="s">
        <v>10139</v>
      </c>
      <c r="B4296" s="9" t="s">
        <v>5870</v>
      </c>
      <c r="C4296" s="9" t="s">
        <v>4563</v>
      </c>
      <c r="D4296" s="9" t="s">
        <v>5871</v>
      </c>
      <c r="E4296" s="9" t="str">
        <f aca="false">IF(AND('Formation Ledger'!A4275&lt;&gt;"",'Formation Ledger'!V4275=0),"PASS","FAIL")</f>
        <v>PASS</v>
      </c>
      <c r="F4296" s="9" t="s">
        <v>76</v>
      </c>
      <c r="G4296" s="6"/>
      <c r="H4296" s="6"/>
      <c r="I4296" s="6"/>
      <c r="J4296" s="6"/>
      <c r="K4296" s="6"/>
      <c r="L4296" s="6"/>
      <c r="M4296" s="6"/>
      <c r="N4296" s="6"/>
      <c r="O4296" s="6"/>
      <c r="P4296" s="6"/>
      <c r="Q4296" s="6"/>
      <c r="R4296" s="6"/>
      <c r="S4296" s="6"/>
      <c r="T4296" s="6"/>
      <c r="U4296" s="6"/>
      <c r="V4296" s="6"/>
      <c r="W4296" s="6"/>
      <c r="X4296" s="6"/>
      <c r="Y4296" s="6"/>
      <c r="Z4296" s="6"/>
    </row>
    <row r="4297" customFormat="false" ht="15" hidden="false" customHeight="false" outlineLevel="0" collapsed="false">
      <c r="A4297" s="9" t="s">
        <v>10140</v>
      </c>
      <c r="B4297" s="9" t="s">
        <v>5870</v>
      </c>
      <c r="C4297" s="9" t="s">
        <v>4564</v>
      </c>
      <c r="D4297" s="9" t="s">
        <v>5871</v>
      </c>
      <c r="E4297" s="9" t="str">
        <f aca="false">IF(AND('Formation Ledger'!A4276&lt;&gt;"",'Formation Ledger'!V4276=0),"PASS","FAIL")</f>
        <v>PASS</v>
      </c>
      <c r="F4297" s="9" t="s">
        <v>76</v>
      </c>
      <c r="G4297" s="6"/>
      <c r="H4297" s="6"/>
      <c r="I4297" s="6"/>
      <c r="J4297" s="6"/>
      <c r="K4297" s="6"/>
      <c r="L4297" s="6"/>
      <c r="M4297" s="6"/>
      <c r="N4297" s="6"/>
      <c r="O4297" s="6"/>
      <c r="P4297" s="6"/>
      <c r="Q4297" s="6"/>
      <c r="R4297" s="6"/>
      <c r="S4297" s="6"/>
      <c r="T4297" s="6"/>
      <c r="U4297" s="6"/>
      <c r="V4297" s="6"/>
      <c r="W4297" s="6"/>
      <c r="X4297" s="6"/>
      <c r="Y4297" s="6"/>
      <c r="Z4297" s="6"/>
    </row>
    <row r="4298" customFormat="false" ht="15" hidden="false" customHeight="false" outlineLevel="0" collapsed="false">
      <c r="A4298" s="9" t="s">
        <v>10141</v>
      </c>
      <c r="B4298" s="9" t="s">
        <v>5870</v>
      </c>
      <c r="C4298" s="9" t="s">
        <v>4565</v>
      </c>
      <c r="D4298" s="9" t="s">
        <v>5871</v>
      </c>
      <c r="E4298" s="9" t="str">
        <f aca="false">IF(AND('Formation Ledger'!A4277&lt;&gt;"",'Formation Ledger'!V4277=0),"PASS","FAIL")</f>
        <v>PASS</v>
      </c>
      <c r="F4298" s="9" t="s">
        <v>76</v>
      </c>
      <c r="G4298" s="6"/>
      <c r="H4298" s="6"/>
      <c r="I4298" s="6"/>
      <c r="J4298" s="6"/>
      <c r="K4298" s="6"/>
      <c r="L4298" s="6"/>
      <c r="M4298" s="6"/>
      <c r="N4298" s="6"/>
      <c r="O4298" s="6"/>
      <c r="P4298" s="6"/>
      <c r="Q4298" s="6"/>
      <c r="R4298" s="6"/>
      <c r="S4298" s="6"/>
      <c r="T4298" s="6"/>
      <c r="U4298" s="6"/>
      <c r="V4298" s="6"/>
      <c r="W4298" s="6"/>
      <c r="X4298" s="6"/>
      <c r="Y4298" s="6"/>
      <c r="Z4298" s="6"/>
    </row>
    <row r="4299" customFormat="false" ht="15" hidden="false" customHeight="false" outlineLevel="0" collapsed="false">
      <c r="A4299" s="9" t="s">
        <v>10142</v>
      </c>
      <c r="B4299" s="9" t="s">
        <v>5870</v>
      </c>
      <c r="C4299" s="9" t="s">
        <v>4566</v>
      </c>
      <c r="D4299" s="9" t="s">
        <v>5871</v>
      </c>
      <c r="E4299" s="9" t="str">
        <f aca="false">IF(AND('Formation Ledger'!A4278&lt;&gt;"",'Formation Ledger'!V4278=0),"PASS","FAIL")</f>
        <v>PASS</v>
      </c>
      <c r="F4299" s="9" t="s">
        <v>76</v>
      </c>
      <c r="G4299" s="6"/>
      <c r="H4299" s="6"/>
      <c r="I4299" s="6"/>
      <c r="J4299" s="6"/>
      <c r="K4299" s="6"/>
      <c r="L4299" s="6"/>
      <c r="M4299" s="6"/>
      <c r="N4299" s="6"/>
      <c r="O4299" s="6"/>
      <c r="P4299" s="6"/>
      <c r="Q4299" s="6"/>
      <c r="R4299" s="6"/>
      <c r="S4299" s="6"/>
      <c r="T4299" s="6"/>
      <c r="U4299" s="6"/>
      <c r="V4299" s="6"/>
      <c r="W4299" s="6"/>
      <c r="X4299" s="6"/>
      <c r="Y4299" s="6"/>
      <c r="Z4299" s="6"/>
    </row>
    <row r="4300" customFormat="false" ht="15" hidden="false" customHeight="false" outlineLevel="0" collapsed="false">
      <c r="A4300" s="9" t="s">
        <v>10143</v>
      </c>
      <c r="B4300" s="9" t="s">
        <v>5870</v>
      </c>
      <c r="C4300" s="9" t="s">
        <v>4567</v>
      </c>
      <c r="D4300" s="9" t="s">
        <v>5871</v>
      </c>
      <c r="E4300" s="9" t="str">
        <f aca="false">IF(AND('Formation Ledger'!A4279&lt;&gt;"",'Formation Ledger'!V4279=0),"PASS","FAIL")</f>
        <v>PASS</v>
      </c>
      <c r="F4300" s="9" t="s">
        <v>76</v>
      </c>
      <c r="G4300" s="6"/>
      <c r="H4300" s="6"/>
      <c r="I4300" s="6"/>
      <c r="J4300" s="6"/>
      <c r="K4300" s="6"/>
      <c r="L4300" s="6"/>
      <c r="M4300" s="6"/>
      <c r="N4300" s="6"/>
      <c r="O4300" s="6"/>
      <c r="P4300" s="6"/>
      <c r="Q4300" s="6"/>
      <c r="R4300" s="6"/>
      <c r="S4300" s="6"/>
      <c r="T4300" s="6"/>
      <c r="U4300" s="6"/>
      <c r="V4300" s="6"/>
      <c r="W4300" s="6"/>
      <c r="X4300" s="6"/>
      <c r="Y4300" s="6"/>
      <c r="Z4300" s="6"/>
    </row>
    <row r="4301" customFormat="false" ht="15" hidden="false" customHeight="false" outlineLevel="0" collapsed="false">
      <c r="A4301" s="9" t="s">
        <v>10144</v>
      </c>
      <c r="B4301" s="9" t="s">
        <v>5870</v>
      </c>
      <c r="C4301" s="9" t="s">
        <v>4568</v>
      </c>
      <c r="D4301" s="9" t="s">
        <v>5871</v>
      </c>
      <c r="E4301" s="9" t="str">
        <f aca="false">IF(AND('Formation Ledger'!A4280&lt;&gt;"",'Formation Ledger'!V4280=0),"PASS","FAIL")</f>
        <v>PASS</v>
      </c>
      <c r="F4301" s="9" t="s">
        <v>76</v>
      </c>
      <c r="G4301" s="6"/>
      <c r="H4301" s="6"/>
      <c r="I4301" s="6"/>
      <c r="J4301" s="6"/>
      <c r="K4301" s="6"/>
      <c r="L4301" s="6"/>
      <c r="M4301" s="6"/>
      <c r="N4301" s="6"/>
      <c r="O4301" s="6"/>
      <c r="P4301" s="6"/>
      <c r="Q4301" s="6"/>
      <c r="R4301" s="6"/>
      <c r="S4301" s="6"/>
      <c r="T4301" s="6"/>
      <c r="U4301" s="6"/>
      <c r="V4301" s="6"/>
      <c r="W4301" s="6"/>
      <c r="X4301" s="6"/>
      <c r="Y4301" s="6"/>
      <c r="Z4301" s="6"/>
    </row>
    <row r="4302" customFormat="false" ht="15" hidden="false" customHeight="false" outlineLevel="0" collapsed="false">
      <c r="A4302" s="9" t="s">
        <v>10145</v>
      </c>
      <c r="B4302" s="9" t="s">
        <v>5870</v>
      </c>
      <c r="C4302" s="9" t="s">
        <v>4569</v>
      </c>
      <c r="D4302" s="9" t="s">
        <v>5871</v>
      </c>
      <c r="E4302" s="9" t="str">
        <f aca="false">IF(AND('Formation Ledger'!A4281&lt;&gt;"",'Formation Ledger'!V4281=0),"PASS","FAIL")</f>
        <v>PASS</v>
      </c>
      <c r="F4302" s="9" t="s">
        <v>76</v>
      </c>
      <c r="G4302" s="6"/>
      <c r="H4302" s="6"/>
      <c r="I4302" s="6"/>
      <c r="J4302" s="6"/>
      <c r="K4302" s="6"/>
      <c r="L4302" s="6"/>
      <c r="M4302" s="6"/>
      <c r="N4302" s="6"/>
      <c r="O4302" s="6"/>
      <c r="P4302" s="6"/>
      <c r="Q4302" s="6"/>
      <c r="R4302" s="6"/>
      <c r="S4302" s="6"/>
      <c r="T4302" s="6"/>
      <c r="U4302" s="6"/>
      <c r="V4302" s="6"/>
      <c r="W4302" s="6"/>
      <c r="X4302" s="6"/>
      <c r="Y4302" s="6"/>
      <c r="Z4302" s="6"/>
    </row>
    <row r="4303" customFormat="false" ht="15" hidden="false" customHeight="false" outlineLevel="0" collapsed="false">
      <c r="A4303" s="9" t="s">
        <v>10146</v>
      </c>
      <c r="B4303" s="9" t="s">
        <v>5870</v>
      </c>
      <c r="C4303" s="9" t="s">
        <v>4570</v>
      </c>
      <c r="D4303" s="9" t="s">
        <v>5871</v>
      </c>
      <c r="E4303" s="9" t="str">
        <f aca="false">IF(AND('Formation Ledger'!A4282&lt;&gt;"",'Formation Ledger'!V4282=0),"PASS","FAIL")</f>
        <v>PASS</v>
      </c>
      <c r="F4303" s="9" t="s">
        <v>76</v>
      </c>
      <c r="G4303" s="6"/>
      <c r="H4303" s="6"/>
      <c r="I4303" s="6"/>
      <c r="J4303" s="6"/>
      <c r="K4303" s="6"/>
      <c r="L4303" s="6"/>
      <c r="M4303" s="6"/>
      <c r="N4303" s="6"/>
      <c r="O4303" s="6"/>
      <c r="P4303" s="6"/>
      <c r="Q4303" s="6"/>
      <c r="R4303" s="6"/>
      <c r="S4303" s="6"/>
      <c r="T4303" s="6"/>
      <c r="U4303" s="6"/>
      <c r="V4303" s="6"/>
      <c r="W4303" s="6"/>
      <c r="X4303" s="6"/>
      <c r="Y4303" s="6"/>
      <c r="Z4303" s="6"/>
    </row>
    <row r="4304" customFormat="false" ht="15" hidden="false" customHeight="false" outlineLevel="0" collapsed="false">
      <c r="A4304" s="9" t="s">
        <v>10147</v>
      </c>
      <c r="B4304" s="9" t="s">
        <v>5870</v>
      </c>
      <c r="C4304" s="9" t="s">
        <v>4571</v>
      </c>
      <c r="D4304" s="9" t="s">
        <v>5871</v>
      </c>
      <c r="E4304" s="9" t="str">
        <f aca="false">IF(AND('Formation Ledger'!A4283&lt;&gt;"",'Formation Ledger'!V4283=0),"PASS","FAIL")</f>
        <v>PASS</v>
      </c>
      <c r="F4304" s="9" t="s">
        <v>76</v>
      </c>
      <c r="G4304" s="6"/>
      <c r="H4304" s="6"/>
      <c r="I4304" s="6"/>
      <c r="J4304" s="6"/>
      <c r="K4304" s="6"/>
      <c r="L4304" s="6"/>
      <c r="M4304" s="6"/>
      <c r="N4304" s="6"/>
      <c r="O4304" s="6"/>
      <c r="P4304" s="6"/>
      <c r="Q4304" s="6"/>
      <c r="R4304" s="6"/>
      <c r="S4304" s="6"/>
      <c r="T4304" s="6"/>
      <c r="U4304" s="6"/>
      <c r="V4304" s="6"/>
      <c r="W4304" s="6"/>
      <c r="X4304" s="6"/>
      <c r="Y4304" s="6"/>
      <c r="Z4304" s="6"/>
    </row>
    <row r="4305" customFormat="false" ht="15" hidden="false" customHeight="false" outlineLevel="0" collapsed="false">
      <c r="A4305" s="9" t="s">
        <v>10148</v>
      </c>
      <c r="B4305" s="9" t="s">
        <v>5870</v>
      </c>
      <c r="C4305" s="9" t="s">
        <v>4572</v>
      </c>
      <c r="D4305" s="9" t="s">
        <v>5871</v>
      </c>
      <c r="E4305" s="9" t="str">
        <f aca="false">IF(AND('Formation Ledger'!A4284&lt;&gt;"",'Formation Ledger'!V4284=0),"PASS","FAIL")</f>
        <v>PASS</v>
      </c>
      <c r="F4305" s="9" t="s">
        <v>76</v>
      </c>
      <c r="G4305" s="6"/>
      <c r="H4305" s="6"/>
      <c r="I4305" s="6"/>
      <c r="J4305" s="6"/>
      <c r="K4305" s="6"/>
      <c r="L4305" s="6"/>
      <c r="M4305" s="6"/>
      <c r="N4305" s="6"/>
      <c r="O4305" s="6"/>
      <c r="P4305" s="6"/>
      <c r="Q4305" s="6"/>
      <c r="R4305" s="6"/>
      <c r="S4305" s="6"/>
      <c r="T4305" s="6"/>
      <c r="U4305" s="6"/>
      <c r="V4305" s="6"/>
      <c r="W4305" s="6"/>
      <c r="X4305" s="6"/>
      <c r="Y4305" s="6"/>
      <c r="Z4305" s="6"/>
    </row>
    <row r="4306" customFormat="false" ht="15" hidden="false" customHeight="false" outlineLevel="0" collapsed="false">
      <c r="A4306" s="9" t="s">
        <v>10149</v>
      </c>
      <c r="B4306" s="9" t="s">
        <v>5870</v>
      </c>
      <c r="C4306" s="9" t="s">
        <v>4573</v>
      </c>
      <c r="D4306" s="9" t="s">
        <v>5871</v>
      </c>
      <c r="E4306" s="9" t="str">
        <f aca="false">IF(AND('Formation Ledger'!A4285&lt;&gt;"",'Formation Ledger'!V4285=0),"PASS","FAIL")</f>
        <v>PASS</v>
      </c>
      <c r="F4306" s="9" t="s">
        <v>76</v>
      </c>
      <c r="G4306" s="6"/>
      <c r="H4306" s="6"/>
      <c r="I4306" s="6"/>
      <c r="J4306" s="6"/>
      <c r="K4306" s="6"/>
      <c r="L4306" s="6"/>
      <c r="M4306" s="6"/>
      <c r="N4306" s="6"/>
      <c r="O4306" s="6"/>
      <c r="P4306" s="6"/>
      <c r="Q4306" s="6"/>
      <c r="R4306" s="6"/>
      <c r="S4306" s="6"/>
      <c r="T4306" s="6"/>
      <c r="U4306" s="6"/>
      <c r="V4306" s="6"/>
      <c r="W4306" s="6"/>
      <c r="X4306" s="6"/>
      <c r="Y4306" s="6"/>
      <c r="Z4306" s="6"/>
    </row>
    <row r="4307" customFormat="false" ht="15" hidden="false" customHeight="false" outlineLevel="0" collapsed="false">
      <c r="A4307" s="9" t="s">
        <v>10150</v>
      </c>
      <c r="B4307" s="9" t="s">
        <v>5870</v>
      </c>
      <c r="C4307" s="9" t="s">
        <v>4574</v>
      </c>
      <c r="D4307" s="9" t="s">
        <v>5871</v>
      </c>
      <c r="E4307" s="9" t="str">
        <f aca="false">IF(AND('Formation Ledger'!A4286&lt;&gt;"",'Formation Ledger'!V4286=0),"PASS","FAIL")</f>
        <v>PASS</v>
      </c>
      <c r="F4307" s="9" t="s">
        <v>76</v>
      </c>
      <c r="G4307" s="6"/>
      <c r="H4307" s="6"/>
      <c r="I4307" s="6"/>
      <c r="J4307" s="6"/>
      <c r="K4307" s="6"/>
      <c r="L4307" s="6"/>
      <c r="M4307" s="6"/>
      <c r="N4307" s="6"/>
      <c r="O4307" s="6"/>
      <c r="P4307" s="6"/>
      <c r="Q4307" s="6"/>
      <c r="R4307" s="6"/>
      <c r="S4307" s="6"/>
      <c r="T4307" s="6"/>
      <c r="U4307" s="6"/>
      <c r="V4307" s="6"/>
      <c r="W4307" s="6"/>
      <c r="X4307" s="6"/>
      <c r="Y4307" s="6"/>
      <c r="Z4307" s="6"/>
    </row>
    <row r="4308" customFormat="false" ht="15" hidden="false" customHeight="false" outlineLevel="0" collapsed="false">
      <c r="A4308" s="9" t="s">
        <v>10151</v>
      </c>
      <c r="B4308" s="9" t="s">
        <v>5870</v>
      </c>
      <c r="C4308" s="9" t="s">
        <v>4575</v>
      </c>
      <c r="D4308" s="9" t="s">
        <v>5871</v>
      </c>
      <c r="E4308" s="9" t="str">
        <f aca="false">IF(AND('Formation Ledger'!A4287&lt;&gt;"",'Formation Ledger'!V4287=0),"PASS","FAIL")</f>
        <v>PASS</v>
      </c>
      <c r="F4308" s="9" t="s">
        <v>76</v>
      </c>
      <c r="G4308" s="6"/>
      <c r="H4308" s="6"/>
      <c r="I4308" s="6"/>
      <c r="J4308" s="6"/>
      <c r="K4308" s="6"/>
      <c r="L4308" s="6"/>
      <c r="M4308" s="6"/>
      <c r="N4308" s="6"/>
      <c r="O4308" s="6"/>
      <c r="P4308" s="6"/>
      <c r="Q4308" s="6"/>
      <c r="R4308" s="6"/>
      <c r="S4308" s="6"/>
      <c r="T4308" s="6"/>
      <c r="U4308" s="6"/>
      <c r="V4308" s="6"/>
      <c r="W4308" s="6"/>
      <c r="X4308" s="6"/>
      <c r="Y4308" s="6"/>
      <c r="Z4308" s="6"/>
    </row>
    <row r="4309" customFormat="false" ht="15" hidden="false" customHeight="false" outlineLevel="0" collapsed="false">
      <c r="A4309" s="9" t="s">
        <v>10152</v>
      </c>
      <c r="B4309" s="9" t="s">
        <v>5870</v>
      </c>
      <c r="C4309" s="9" t="s">
        <v>4576</v>
      </c>
      <c r="D4309" s="9" t="s">
        <v>5871</v>
      </c>
      <c r="E4309" s="9" t="str">
        <f aca="false">IF(AND('Formation Ledger'!A4288&lt;&gt;"",'Formation Ledger'!V4288=0),"PASS","FAIL")</f>
        <v>PASS</v>
      </c>
      <c r="F4309" s="9" t="s">
        <v>76</v>
      </c>
      <c r="G4309" s="6"/>
      <c r="H4309" s="6"/>
      <c r="I4309" s="6"/>
      <c r="J4309" s="6"/>
      <c r="K4309" s="6"/>
      <c r="L4309" s="6"/>
      <c r="M4309" s="6"/>
      <c r="N4309" s="6"/>
      <c r="O4309" s="6"/>
      <c r="P4309" s="6"/>
      <c r="Q4309" s="6"/>
      <c r="R4309" s="6"/>
      <c r="S4309" s="6"/>
      <c r="T4309" s="6"/>
      <c r="U4309" s="6"/>
      <c r="V4309" s="6"/>
      <c r="W4309" s="6"/>
      <c r="X4309" s="6"/>
      <c r="Y4309" s="6"/>
      <c r="Z4309" s="6"/>
    </row>
    <row r="4310" customFormat="false" ht="15" hidden="false" customHeight="false" outlineLevel="0" collapsed="false">
      <c r="A4310" s="9" t="s">
        <v>10153</v>
      </c>
      <c r="B4310" s="9" t="s">
        <v>5870</v>
      </c>
      <c r="C4310" s="9" t="s">
        <v>4577</v>
      </c>
      <c r="D4310" s="9" t="s">
        <v>5871</v>
      </c>
      <c r="E4310" s="9" t="str">
        <f aca="false">IF(AND('Formation Ledger'!A4289&lt;&gt;"",'Formation Ledger'!V4289=0),"PASS","FAIL")</f>
        <v>PASS</v>
      </c>
      <c r="F4310" s="9" t="s">
        <v>76</v>
      </c>
      <c r="G4310" s="6"/>
      <c r="H4310" s="6"/>
      <c r="I4310" s="6"/>
      <c r="J4310" s="6"/>
      <c r="K4310" s="6"/>
      <c r="L4310" s="6"/>
      <c r="M4310" s="6"/>
      <c r="N4310" s="6"/>
      <c r="O4310" s="6"/>
      <c r="P4310" s="6"/>
      <c r="Q4310" s="6"/>
      <c r="R4310" s="6"/>
      <c r="S4310" s="6"/>
      <c r="T4310" s="6"/>
      <c r="U4310" s="6"/>
      <c r="V4310" s="6"/>
      <c r="W4310" s="6"/>
      <c r="X4310" s="6"/>
      <c r="Y4310" s="6"/>
      <c r="Z4310" s="6"/>
    </row>
    <row r="4311" customFormat="false" ht="15" hidden="false" customHeight="false" outlineLevel="0" collapsed="false">
      <c r="A4311" s="9" t="s">
        <v>10154</v>
      </c>
      <c r="B4311" s="9" t="s">
        <v>5870</v>
      </c>
      <c r="C4311" s="9" t="s">
        <v>4578</v>
      </c>
      <c r="D4311" s="9" t="s">
        <v>5871</v>
      </c>
      <c r="E4311" s="9" t="str">
        <f aca="false">IF(AND('Formation Ledger'!A4290&lt;&gt;"",'Formation Ledger'!V4290=0),"PASS","FAIL")</f>
        <v>PASS</v>
      </c>
      <c r="F4311" s="9" t="s">
        <v>76</v>
      </c>
      <c r="G4311" s="6"/>
      <c r="H4311" s="6"/>
      <c r="I4311" s="6"/>
      <c r="J4311" s="6"/>
      <c r="K4311" s="6"/>
      <c r="L4311" s="6"/>
      <c r="M4311" s="6"/>
      <c r="N4311" s="6"/>
      <c r="O4311" s="6"/>
      <c r="P4311" s="6"/>
      <c r="Q4311" s="6"/>
      <c r="R4311" s="6"/>
      <c r="S4311" s="6"/>
      <c r="T4311" s="6"/>
      <c r="U4311" s="6"/>
      <c r="V4311" s="6"/>
      <c r="W4311" s="6"/>
      <c r="X4311" s="6"/>
      <c r="Y4311" s="6"/>
      <c r="Z4311" s="6"/>
    </row>
    <row r="4312" customFormat="false" ht="15" hidden="false" customHeight="false" outlineLevel="0" collapsed="false">
      <c r="A4312" s="9" t="s">
        <v>10155</v>
      </c>
      <c r="B4312" s="9" t="s">
        <v>5870</v>
      </c>
      <c r="C4312" s="9" t="s">
        <v>4579</v>
      </c>
      <c r="D4312" s="9" t="s">
        <v>5871</v>
      </c>
      <c r="E4312" s="9" t="str">
        <f aca="false">IF(AND('Formation Ledger'!A4291&lt;&gt;"",'Formation Ledger'!V4291=0),"PASS","FAIL")</f>
        <v>PASS</v>
      </c>
      <c r="F4312" s="9" t="s">
        <v>76</v>
      </c>
      <c r="G4312" s="6"/>
      <c r="H4312" s="6"/>
      <c r="I4312" s="6"/>
      <c r="J4312" s="6"/>
      <c r="K4312" s="6"/>
      <c r="L4312" s="6"/>
      <c r="M4312" s="6"/>
      <c r="N4312" s="6"/>
      <c r="O4312" s="6"/>
      <c r="P4312" s="6"/>
      <c r="Q4312" s="6"/>
      <c r="R4312" s="6"/>
      <c r="S4312" s="6"/>
      <c r="T4312" s="6"/>
      <c r="U4312" s="6"/>
      <c r="V4312" s="6"/>
      <c r="W4312" s="6"/>
      <c r="X4312" s="6"/>
      <c r="Y4312" s="6"/>
      <c r="Z4312" s="6"/>
    </row>
    <row r="4313" customFormat="false" ht="15" hidden="false" customHeight="false" outlineLevel="0" collapsed="false">
      <c r="A4313" s="9" t="s">
        <v>10156</v>
      </c>
      <c r="B4313" s="9" t="s">
        <v>5870</v>
      </c>
      <c r="C4313" s="9" t="s">
        <v>4580</v>
      </c>
      <c r="D4313" s="9" t="s">
        <v>5871</v>
      </c>
      <c r="E4313" s="9" t="str">
        <f aca="false">IF(AND('Formation Ledger'!A4292&lt;&gt;"",'Formation Ledger'!V4292=0),"PASS","FAIL")</f>
        <v>PASS</v>
      </c>
      <c r="F4313" s="9" t="s">
        <v>76</v>
      </c>
      <c r="G4313" s="6"/>
      <c r="H4313" s="6"/>
      <c r="I4313" s="6"/>
      <c r="J4313" s="6"/>
      <c r="K4313" s="6"/>
      <c r="L4313" s="6"/>
      <c r="M4313" s="6"/>
      <c r="N4313" s="6"/>
      <c r="O4313" s="6"/>
      <c r="P4313" s="6"/>
      <c r="Q4313" s="6"/>
      <c r="R4313" s="6"/>
      <c r="S4313" s="6"/>
      <c r="T4313" s="6"/>
      <c r="U4313" s="6"/>
      <c r="V4313" s="6"/>
      <c r="W4313" s="6"/>
      <c r="X4313" s="6"/>
      <c r="Y4313" s="6"/>
      <c r="Z4313" s="6"/>
    </row>
    <row r="4314" customFormat="false" ht="15" hidden="false" customHeight="false" outlineLevel="0" collapsed="false">
      <c r="A4314" s="9" t="s">
        <v>10157</v>
      </c>
      <c r="B4314" s="9" t="s">
        <v>5870</v>
      </c>
      <c r="C4314" s="9" t="s">
        <v>4581</v>
      </c>
      <c r="D4314" s="9" t="s">
        <v>5871</v>
      </c>
      <c r="E4314" s="9" t="str">
        <f aca="false">IF(AND('Formation Ledger'!A4293&lt;&gt;"",'Formation Ledger'!V4293=0),"PASS","FAIL")</f>
        <v>PASS</v>
      </c>
      <c r="F4314" s="9" t="s">
        <v>76</v>
      </c>
      <c r="G4314" s="6"/>
      <c r="H4314" s="6"/>
      <c r="I4314" s="6"/>
      <c r="J4314" s="6"/>
      <c r="K4314" s="6"/>
      <c r="L4314" s="6"/>
      <c r="M4314" s="6"/>
      <c r="N4314" s="6"/>
      <c r="O4314" s="6"/>
      <c r="P4314" s="6"/>
      <c r="Q4314" s="6"/>
      <c r="R4314" s="6"/>
      <c r="S4314" s="6"/>
      <c r="T4314" s="6"/>
      <c r="U4314" s="6"/>
      <c r="V4314" s="6"/>
      <c r="W4314" s="6"/>
      <c r="X4314" s="6"/>
      <c r="Y4314" s="6"/>
      <c r="Z4314" s="6"/>
    </row>
    <row r="4315" customFormat="false" ht="15" hidden="false" customHeight="false" outlineLevel="0" collapsed="false">
      <c r="A4315" s="9" t="s">
        <v>10158</v>
      </c>
      <c r="B4315" s="9" t="s">
        <v>5870</v>
      </c>
      <c r="C4315" s="9" t="s">
        <v>4582</v>
      </c>
      <c r="D4315" s="9" t="s">
        <v>5871</v>
      </c>
      <c r="E4315" s="9" t="str">
        <f aca="false">IF(AND('Formation Ledger'!A4294&lt;&gt;"",'Formation Ledger'!V4294=0),"PASS","FAIL")</f>
        <v>PASS</v>
      </c>
      <c r="F4315" s="9" t="s">
        <v>76</v>
      </c>
      <c r="G4315" s="6"/>
      <c r="H4315" s="6"/>
      <c r="I4315" s="6"/>
      <c r="J4315" s="6"/>
      <c r="K4315" s="6"/>
      <c r="L4315" s="6"/>
      <c r="M4315" s="6"/>
      <c r="N4315" s="6"/>
      <c r="O4315" s="6"/>
      <c r="P4315" s="6"/>
      <c r="Q4315" s="6"/>
      <c r="R4315" s="6"/>
      <c r="S4315" s="6"/>
      <c r="T4315" s="6"/>
      <c r="U4315" s="6"/>
      <c r="V4315" s="6"/>
      <c r="W4315" s="6"/>
      <c r="X4315" s="6"/>
      <c r="Y4315" s="6"/>
      <c r="Z4315" s="6"/>
    </row>
    <row r="4316" customFormat="false" ht="15" hidden="false" customHeight="false" outlineLevel="0" collapsed="false">
      <c r="A4316" s="9" t="s">
        <v>10159</v>
      </c>
      <c r="B4316" s="9" t="s">
        <v>5870</v>
      </c>
      <c r="C4316" s="9" t="s">
        <v>4583</v>
      </c>
      <c r="D4316" s="9" t="s">
        <v>5871</v>
      </c>
      <c r="E4316" s="9" t="str">
        <f aca="false">IF(AND('Formation Ledger'!A4295&lt;&gt;"",'Formation Ledger'!V4295=0),"PASS","FAIL")</f>
        <v>PASS</v>
      </c>
      <c r="F4316" s="9" t="s">
        <v>76</v>
      </c>
      <c r="G4316" s="6"/>
      <c r="H4316" s="6"/>
      <c r="I4316" s="6"/>
      <c r="J4316" s="6"/>
      <c r="K4316" s="6"/>
      <c r="L4316" s="6"/>
      <c r="M4316" s="6"/>
      <c r="N4316" s="6"/>
      <c r="O4316" s="6"/>
      <c r="P4316" s="6"/>
      <c r="Q4316" s="6"/>
      <c r="R4316" s="6"/>
      <c r="S4316" s="6"/>
      <c r="T4316" s="6"/>
      <c r="U4316" s="6"/>
      <c r="V4316" s="6"/>
      <c r="W4316" s="6"/>
      <c r="X4316" s="6"/>
      <c r="Y4316" s="6"/>
      <c r="Z4316" s="6"/>
    </row>
    <row r="4317" customFormat="false" ht="15" hidden="false" customHeight="false" outlineLevel="0" collapsed="false">
      <c r="A4317" s="9" t="s">
        <v>10160</v>
      </c>
      <c r="B4317" s="9" t="s">
        <v>5870</v>
      </c>
      <c r="C4317" s="9" t="s">
        <v>4584</v>
      </c>
      <c r="D4317" s="9" t="s">
        <v>5871</v>
      </c>
      <c r="E4317" s="9" t="str">
        <f aca="false">IF(AND('Formation Ledger'!A4296&lt;&gt;"",'Formation Ledger'!V4296=0),"PASS","FAIL")</f>
        <v>PASS</v>
      </c>
      <c r="F4317" s="9" t="s">
        <v>76</v>
      </c>
      <c r="G4317" s="6"/>
      <c r="H4317" s="6"/>
      <c r="I4317" s="6"/>
      <c r="J4317" s="6"/>
      <c r="K4317" s="6"/>
      <c r="L4317" s="6"/>
      <c r="M4317" s="6"/>
      <c r="N4317" s="6"/>
      <c r="O4317" s="6"/>
      <c r="P4317" s="6"/>
      <c r="Q4317" s="6"/>
      <c r="R4317" s="6"/>
      <c r="S4317" s="6"/>
      <c r="T4317" s="6"/>
      <c r="U4317" s="6"/>
      <c r="V4317" s="6"/>
      <c r="W4317" s="6"/>
      <c r="X4317" s="6"/>
      <c r="Y4317" s="6"/>
      <c r="Z4317" s="6"/>
    </row>
    <row r="4318" customFormat="false" ht="15" hidden="false" customHeight="false" outlineLevel="0" collapsed="false">
      <c r="A4318" s="9" t="s">
        <v>10161</v>
      </c>
      <c r="B4318" s="9" t="s">
        <v>5870</v>
      </c>
      <c r="C4318" s="9" t="s">
        <v>4585</v>
      </c>
      <c r="D4318" s="9" t="s">
        <v>5871</v>
      </c>
      <c r="E4318" s="9" t="str">
        <f aca="false">IF(AND('Formation Ledger'!A4297&lt;&gt;"",'Formation Ledger'!V4297=0),"PASS","FAIL")</f>
        <v>PASS</v>
      </c>
      <c r="F4318" s="9" t="s">
        <v>76</v>
      </c>
      <c r="G4318" s="6"/>
      <c r="H4318" s="6"/>
      <c r="I4318" s="6"/>
      <c r="J4318" s="6"/>
      <c r="K4318" s="6"/>
      <c r="L4318" s="6"/>
      <c r="M4318" s="6"/>
      <c r="N4318" s="6"/>
      <c r="O4318" s="6"/>
      <c r="P4318" s="6"/>
      <c r="Q4318" s="6"/>
      <c r="R4318" s="6"/>
      <c r="S4318" s="6"/>
      <c r="T4318" s="6"/>
      <c r="U4318" s="6"/>
      <c r="V4318" s="6"/>
      <c r="W4318" s="6"/>
      <c r="X4318" s="6"/>
      <c r="Y4318" s="6"/>
      <c r="Z4318" s="6"/>
    </row>
    <row r="4319" customFormat="false" ht="15" hidden="false" customHeight="false" outlineLevel="0" collapsed="false">
      <c r="A4319" s="9" t="s">
        <v>10162</v>
      </c>
      <c r="B4319" s="9" t="s">
        <v>5870</v>
      </c>
      <c r="C4319" s="9" t="s">
        <v>4586</v>
      </c>
      <c r="D4319" s="9" t="s">
        <v>5871</v>
      </c>
      <c r="E4319" s="9" t="str">
        <f aca="false">IF(AND('Formation Ledger'!A4298&lt;&gt;"",'Formation Ledger'!V4298=0),"PASS","FAIL")</f>
        <v>PASS</v>
      </c>
      <c r="F4319" s="9" t="s">
        <v>76</v>
      </c>
      <c r="G4319" s="6"/>
      <c r="H4319" s="6"/>
      <c r="I4319" s="6"/>
      <c r="J4319" s="6"/>
      <c r="K4319" s="6"/>
      <c r="L4319" s="6"/>
      <c r="M4319" s="6"/>
      <c r="N4319" s="6"/>
      <c r="O4319" s="6"/>
      <c r="P4319" s="6"/>
      <c r="Q4319" s="6"/>
      <c r="R4319" s="6"/>
      <c r="S4319" s="6"/>
      <c r="T4319" s="6"/>
      <c r="U4319" s="6"/>
      <c r="V4319" s="6"/>
      <c r="W4319" s="6"/>
      <c r="X4319" s="6"/>
      <c r="Y4319" s="6"/>
      <c r="Z4319" s="6"/>
    </row>
    <row r="4320" customFormat="false" ht="15" hidden="false" customHeight="false" outlineLevel="0" collapsed="false">
      <c r="A4320" s="9" t="s">
        <v>10163</v>
      </c>
      <c r="B4320" s="9" t="s">
        <v>5870</v>
      </c>
      <c r="C4320" s="9" t="s">
        <v>4587</v>
      </c>
      <c r="D4320" s="9" t="s">
        <v>5871</v>
      </c>
      <c r="E4320" s="9" t="str">
        <f aca="false">IF(AND('Formation Ledger'!A4299&lt;&gt;"",'Formation Ledger'!V4299=0),"PASS","FAIL")</f>
        <v>PASS</v>
      </c>
      <c r="F4320" s="9" t="s">
        <v>76</v>
      </c>
      <c r="G4320" s="6"/>
      <c r="H4320" s="6"/>
      <c r="I4320" s="6"/>
      <c r="J4320" s="6"/>
      <c r="K4320" s="6"/>
      <c r="L4320" s="6"/>
      <c r="M4320" s="6"/>
      <c r="N4320" s="6"/>
      <c r="O4320" s="6"/>
      <c r="P4320" s="6"/>
      <c r="Q4320" s="6"/>
      <c r="R4320" s="6"/>
      <c r="S4320" s="6"/>
      <c r="T4320" s="6"/>
      <c r="U4320" s="6"/>
      <c r="V4320" s="6"/>
      <c r="W4320" s="6"/>
      <c r="X4320" s="6"/>
      <c r="Y4320" s="6"/>
      <c r="Z4320" s="6"/>
    </row>
    <row r="4321" customFormat="false" ht="15" hidden="false" customHeight="false" outlineLevel="0" collapsed="false">
      <c r="A4321" s="9" t="s">
        <v>10164</v>
      </c>
      <c r="B4321" s="9" t="s">
        <v>5870</v>
      </c>
      <c r="C4321" s="9" t="s">
        <v>4588</v>
      </c>
      <c r="D4321" s="9" t="s">
        <v>5871</v>
      </c>
      <c r="E4321" s="9" t="str">
        <f aca="false">IF(AND('Formation Ledger'!A4300&lt;&gt;"",'Formation Ledger'!V4300=0),"PASS","FAIL")</f>
        <v>PASS</v>
      </c>
      <c r="F4321" s="9" t="s">
        <v>76</v>
      </c>
      <c r="G4321" s="6"/>
      <c r="H4321" s="6"/>
      <c r="I4321" s="6"/>
      <c r="J4321" s="6"/>
      <c r="K4321" s="6"/>
      <c r="L4321" s="6"/>
      <c r="M4321" s="6"/>
      <c r="N4321" s="6"/>
      <c r="O4321" s="6"/>
      <c r="P4321" s="6"/>
      <c r="Q4321" s="6"/>
      <c r="R4321" s="6"/>
      <c r="S4321" s="6"/>
      <c r="T4321" s="6"/>
      <c r="U4321" s="6"/>
      <c r="V4321" s="6"/>
      <c r="W4321" s="6"/>
      <c r="X4321" s="6"/>
      <c r="Y4321" s="6"/>
      <c r="Z4321" s="6"/>
    </row>
    <row r="4322" customFormat="false" ht="15" hidden="false" customHeight="false" outlineLevel="0" collapsed="false">
      <c r="A4322" s="9" t="s">
        <v>10165</v>
      </c>
      <c r="B4322" s="9" t="s">
        <v>5870</v>
      </c>
      <c r="C4322" s="9" t="s">
        <v>4589</v>
      </c>
      <c r="D4322" s="9" t="s">
        <v>5871</v>
      </c>
      <c r="E4322" s="9" t="str">
        <f aca="false">IF(AND('Formation Ledger'!A4301&lt;&gt;"",'Formation Ledger'!V4301=0),"PASS","FAIL")</f>
        <v>PASS</v>
      </c>
      <c r="F4322" s="9" t="s">
        <v>76</v>
      </c>
      <c r="G4322" s="6"/>
      <c r="H4322" s="6"/>
      <c r="I4322" s="6"/>
      <c r="J4322" s="6"/>
      <c r="K4322" s="6"/>
      <c r="L4322" s="6"/>
      <c r="M4322" s="6"/>
      <c r="N4322" s="6"/>
      <c r="O4322" s="6"/>
      <c r="P4322" s="6"/>
      <c r="Q4322" s="6"/>
      <c r="R4322" s="6"/>
      <c r="S4322" s="6"/>
      <c r="T4322" s="6"/>
      <c r="U4322" s="6"/>
      <c r="V4322" s="6"/>
      <c r="W4322" s="6"/>
      <c r="X4322" s="6"/>
      <c r="Y4322" s="6"/>
      <c r="Z4322" s="6"/>
    </row>
    <row r="4323" customFormat="false" ht="15" hidden="false" customHeight="false" outlineLevel="0" collapsed="false">
      <c r="A4323" s="9" t="s">
        <v>10166</v>
      </c>
      <c r="B4323" s="9" t="s">
        <v>5870</v>
      </c>
      <c r="C4323" s="9" t="s">
        <v>4590</v>
      </c>
      <c r="D4323" s="9" t="s">
        <v>5871</v>
      </c>
      <c r="E4323" s="9" t="str">
        <f aca="false">IF(AND('Formation Ledger'!A4302&lt;&gt;"",'Formation Ledger'!V4302=0),"PASS","FAIL")</f>
        <v>PASS</v>
      </c>
      <c r="F4323" s="9" t="s">
        <v>76</v>
      </c>
      <c r="G4323" s="6"/>
      <c r="H4323" s="6"/>
      <c r="I4323" s="6"/>
      <c r="J4323" s="6"/>
      <c r="K4323" s="6"/>
      <c r="L4323" s="6"/>
      <c r="M4323" s="6"/>
      <c r="N4323" s="6"/>
      <c r="O4323" s="6"/>
      <c r="P4323" s="6"/>
      <c r="Q4323" s="6"/>
      <c r="R4323" s="6"/>
      <c r="S4323" s="6"/>
      <c r="T4323" s="6"/>
      <c r="U4323" s="6"/>
      <c r="V4323" s="6"/>
      <c r="W4323" s="6"/>
      <c r="X4323" s="6"/>
      <c r="Y4323" s="6"/>
      <c r="Z4323" s="6"/>
    </row>
    <row r="4324" customFormat="false" ht="15" hidden="false" customHeight="false" outlineLevel="0" collapsed="false">
      <c r="A4324" s="9" t="s">
        <v>10167</v>
      </c>
      <c r="B4324" s="9" t="s">
        <v>5870</v>
      </c>
      <c r="C4324" s="9" t="s">
        <v>4591</v>
      </c>
      <c r="D4324" s="9" t="s">
        <v>5871</v>
      </c>
      <c r="E4324" s="9" t="str">
        <f aca="false">IF(AND('Formation Ledger'!A4303&lt;&gt;"",'Formation Ledger'!V4303=0),"PASS","FAIL")</f>
        <v>PASS</v>
      </c>
      <c r="F4324" s="9" t="s">
        <v>76</v>
      </c>
      <c r="G4324" s="6"/>
      <c r="H4324" s="6"/>
      <c r="I4324" s="6"/>
      <c r="J4324" s="6"/>
      <c r="K4324" s="6"/>
      <c r="L4324" s="6"/>
      <c r="M4324" s="6"/>
      <c r="N4324" s="6"/>
      <c r="O4324" s="6"/>
      <c r="P4324" s="6"/>
      <c r="Q4324" s="6"/>
      <c r="R4324" s="6"/>
      <c r="S4324" s="6"/>
      <c r="T4324" s="6"/>
      <c r="U4324" s="6"/>
      <c r="V4324" s="6"/>
      <c r="W4324" s="6"/>
      <c r="X4324" s="6"/>
      <c r="Y4324" s="6"/>
      <c r="Z4324" s="6"/>
    </row>
    <row r="4325" customFormat="false" ht="15" hidden="false" customHeight="false" outlineLevel="0" collapsed="false">
      <c r="A4325" s="9" t="s">
        <v>10168</v>
      </c>
      <c r="B4325" s="9" t="s">
        <v>5870</v>
      </c>
      <c r="C4325" s="9" t="s">
        <v>4592</v>
      </c>
      <c r="D4325" s="9" t="s">
        <v>5871</v>
      </c>
      <c r="E4325" s="9" t="str">
        <f aca="false">IF(AND('Formation Ledger'!A4304&lt;&gt;"",'Formation Ledger'!V4304=0),"PASS","FAIL")</f>
        <v>PASS</v>
      </c>
      <c r="F4325" s="9" t="s">
        <v>76</v>
      </c>
      <c r="G4325" s="6"/>
      <c r="H4325" s="6"/>
      <c r="I4325" s="6"/>
      <c r="J4325" s="6"/>
      <c r="K4325" s="6"/>
      <c r="L4325" s="6"/>
      <c r="M4325" s="6"/>
      <c r="N4325" s="6"/>
      <c r="O4325" s="6"/>
      <c r="P4325" s="6"/>
      <c r="Q4325" s="6"/>
      <c r="R4325" s="6"/>
      <c r="S4325" s="6"/>
      <c r="T4325" s="6"/>
      <c r="U4325" s="6"/>
      <c r="V4325" s="6"/>
      <c r="W4325" s="6"/>
      <c r="X4325" s="6"/>
      <c r="Y4325" s="6"/>
      <c r="Z4325" s="6"/>
    </row>
    <row r="4326" customFormat="false" ht="15" hidden="false" customHeight="false" outlineLevel="0" collapsed="false">
      <c r="A4326" s="9" t="s">
        <v>10169</v>
      </c>
      <c r="B4326" s="9" t="s">
        <v>5870</v>
      </c>
      <c r="C4326" s="9" t="s">
        <v>4593</v>
      </c>
      <c r="D4326" s="9" t="s">
        <v>5871</v>
      </c>
      <c r="E4326" s="9" t="str">
        <f aca="false">IF(AND('Formation Ledger'!A4305&lt;&gt;"",'Formation Ledger'!V4305=0),"PASS","FAIL")</f>
        <v>PASS</v>
      </c>
      <c r="F4326" s="9" t="s">
        <v>76</v>
      </c>
      <c r="G4326" s="6"/>
      <c r="H4326" s="6"/>
      <c r="I4326" s="6"/>
      <c r="J4326" s="6"/>
      <c r="K4326" s="6"/>
      <c r="L4326" s="6"/>
      <c r="M4326" s="6"/>
      <c r="N4326" s="6"/>
      <c r="O4326" s="6"/>
      <c r="P4326" s="6"/>
      <c r="Q4326" s="6"/>
      <c r="R4326" s="6"/>
      <c r="S4326" s="6"/>
      <c r="T4326" s="6"/>
      <c r="U4326" s="6"/>
      <c r="V4326" s="6"/>
      <c r="W4326" s="6"/>
      <c r="X4326" s="6"/>
      <c r="Y4326" s="6"/>
      <c r="Z4326" s="6"/>
    </row>
    <row r="4327" customFormat="false" ht="15" hidden="false" customHeight="false" outlineLevel="0" collapsed="false">
      <c r="A4327" s="9" t="s">
        <v>10170</v>
      </c>
      <c r="B4327" s="9" t="s">
        <v>5870</v>
      </c>
      <c r="C4327" s="9" t="s">
        <v>4594</v>
      </c>
      <c r="D4327" s="9" t="s">
        <v>5871</v>
      </c>
      <c r="E4327" s="9" t="str">
        <f aca="false">IF(AND('Formation Ledger'!A4306&lt;&gt;"",'Formation Ledger'!V4306=0),"PASS","FAIL")</f>
        <v>PASS</v>
      </c>
      <c r="F4327" s="9" t="s">
        <v>76</v>
      </c>
      <c r="G4327" s="6"/>
      <c r="H4327" s="6"/>
      <c r="I4327" s="6"/>
      <c r="J4327" s="6"/>
      <c r="K4327" s="6"/>
      <c r="L4327" s="6"/>
      <c r="M4327" s="6"/>
      <c r="N4327" s="6"/>
      <c r="O4327" s="6"/>
      <c r="P4327" s="6"/>
      <c r="Q4327" s="6"/>
      <c r="R4327" s="6"/>
      <c r="S4327" s="6"/>
      <c r="T4327" s="6"/>
      <c r="U4327" s="6"/>
      <c r="V4327" s="6"/>
      <c r="W4327" s="6"/>
      <c r="X4327" s="6"/>
      <c r="Y4327" s="6"/>
      <c r="Z4327" s="6"/>
    </row>
    <row r="4328" customFormat="false" ht="15" hidden="false" customHeight="false" outlineLevel="0" collapsed="false">
      <c r="A4328" s="9" t="s">
        <v>10171</v>
      </c>
      <c r="B4328" s="9" t="s">
        <v>5870</v>
      </c>
      <c r="C4328" s="9" t="s">
        <v>4595</v>
      </c>
      <c r="D4328" s="9" t="s">
        <v>5871</v>
      </c>
      <c r="E4328" s="9" t="str">
        <f aca="false">IF(AND('Formation Ledger'!A4307&lt;&gt;"",'Formation Ledger'!V4307=0),"PASS","FAIL")</f>
        <v>PASS</v>
      </c>
      <c r="F4328" s="9" t="s">
        <v>76</v>
      </c>
      <c r="G4328" s="6"/>
      <c r="H4328" s="6"/>
      <c r="I4328" s="6"/>
      <c r="J4328" s="6"/>
      <c r="K4328" s="6"/>
      <c r="L4328" s="6"/>
      <c r="M4328" s="6"/>
      <c r="N4328" s="6"/>
      <c r="O4328" s="6"/>
      <c r="P4328" s="6"/>
      <c r="Q4328" s="6"/>
      <c r="R4328" s="6"/>
      <c r="S4328" s="6"/>
      <c r="T4328" s="6"/>
      <c r="U4328" s="6"/>
      <c r="V4328" s="6"/>
      <c r="W4328" s="6"/>
      <c r="X4328" s="6"/>
      <c r="Y4328" s="6"/>
      <c r="Z4328" s="6"/>
    </row>
    <row r="4329" customFormat="false" ht="15" hidden="false" customHeight="false" outlineLevel="0" collapsed="false">
      <c r="A4329" s="9" t="s">
        <v>10172</v>
      </c>
      <c r="B4329" s="9" t="s">
        <v>5870</v>
      </c>
      <c r="C4329" s="9" t="s">
        <v>4596</v>
      </c>
      <c r="D4329" s="9" t="s">
        <v>5871</v>
      </c>
      <c r="E4329" s="9" t="str">
        <f aca="false">IF(AND('Formation Ledger'!A4308&lt;&gt;"",'Formation Ledger'!V4308=0),"PASS","FAIL")</f>
        <v>PASS</v>
      </c>
      <c r="F4329" s="9" t="s">
        <v>76</v>
      </c>
      <c r="G4329" s="6"/>
      <c r="H4329" s="6"/>
      <c r="I4329" s="6"/>
      <c r="J4329" s="6"/>
      <c r="K4329" s="6"/>
      <c r="L4329" s="6"/>
      <c r="M4329" s="6"/>
      <c r="N4329" s="6"/>
      <c r="O4329" s="6"/>
      <c r="P4329" s="6"/>
      <c r="Q4329" s="6"/>
      <c r="R4329" s="6"/>
      <c r="S4329" s="6"/>
      <c r="T4329" s="6"/>
      <c r="U4329" s="6"/>
      <c r="V4329" s="6"/>
      <c r="W4329" s="6"/>
      <c r="X4329" s="6"/>
      <c r="Y4329" s="6"/>
      <c r="Z4329" s="6"/>
    </row>
    <row r="4330" customFormat="false" ht="15" hidden="false" customHeight="false" outlineLevel="0" collapsed="false">
      <c r="A4330" s="9" t="s">
        <v>10173</v>
      </c>
      <c r="B4330" s="9" t="s">
        <v>5870</v>
      </c>
      <c r="C4330" s="9" t="s">
        <v>4597</v>
      </c>
      <c r="D4330" s="9" t="s">
        <v>5871</v>
      </c>
      <c r="E4330" s="9" t="str">
        <f aca="false">IF(AND('Formation Ledger'!A4309&lt;&gt;"",'Formation Ledger'!V4309=0),"PASS","FAIL")</f>
        <v>PASS</v>
      </c>
      <c r="F4330" s="9" t="s">
        <v>76</v>
      </c>
      <c r="G4330" s="6"/>
      <c r="H4330" s="6"/>
      <c r="I4330" s="6"/>
      <c r="J4330" s="6"/>
      <c r="K4330" s="6"/>
      <c r="L4330" s="6"/>
      <c r="M4330" s="6"/>
      <c r="N4330" s="6"/>
      <c r="O4330" s="6"/>
      <c r="P4330" s="6"/>
      <c r="Q4330" s="6"/>
      <c r="R4330" s="6"/>
      <c r="S4330" s="6"/>
      <c r="T4330" s="6"/>
      <c r="U4330" s="6"/>
      <c r="V4330" s="6"/>
      <c r="W4330" s="6"/>
      <c r="X4330" s="6"/>
      <c r="Y4330" s="6"/>
      <c r="Z4330" s="6"/>
    </row>
    <row r="4331" customFormat="false" ht="15" hidden="false" customHeight="false" outlineLevel="0" collapsed="false">
      <c r="A4331" s="9" t="s">
        <v>10174</v>
      </c>
      <c r="B4331" s="9" t="s">
        <v>5870</v>
      </c>
      <c r="C4331" s="9" t="s">
        <v>4598</v>
      </c>
      <c r="D4331" s="9" t="s">
        <v>5871</v>
      </c>
      <c r="E4331" s="9" t="str">
        <f aca="false">IF(AND('Formation Ledger'!A4310&lt;&gt;"",'Formation Ledger'!V4310=0),"PASS","FAIL")</f>
        <v>PASS</v>
      </c>
      <c r="F4331" s="9" t="s">
        <v>76</v>
      </c>
      <c r="G4331" s="6"/>
      <c r="H4331" s="6"/>
      <c r="I4331" s="6"/>
      <c r="J4331" s="6"/>
      <c r="K4331" s="6"/>
      <c r="L4331" s="6"/>
      <c r="M4331" s="6"/>
      <c r="N4331" s="6"/>
      <c r="O4331" s="6"/>
      <c r="P4331" s="6"/>
      <c r="Q4331" s="6"/>
      <c r="R4331" s="6"/>
      <c r="S4331" s="6"/>
      <c r="T4331" s="6"/>
      <c r="U4331" s="6"/>
      <c r="V4331" s="6"/>
      <c r="W4331" s="6"/>
      <c r="X4331" s="6"/>
      <c r="Y4331" s="6"/>
      <c r="Z4331" s="6"/>
    </row>
    <row r="4332" customFormat="false" ht="15" hidden="false" customHeight="false" outlineLevel="0" collapsed="false">
      <c r="A4332" s="9" t="s">
        <v>10175</v>
      </c>
      <c r="B4332" s="9" t="s">
        <v>5870</v>
      </c>
      <c r="C4332" s="9" t="s">
        <v>4599</v>
      </c>
      <c r="D4332" s="9" t="s">
        <v>5871</v>
      </c>
      <c r="E4332" s="9" t="str">
        <f aca="false">IF(AND('Formation Ledger'!A4311&lt;&gt;"",'Formation Ledger'!V4311=0),"PASS","FAIL")</f>
        <v>PASS</v>
      </c>
      <c r="F4332" s="9" t="s">
        <v>76</v>
      </c>
      <c r="G4332" s="6"/>
      <c r="H4332" s="6"/>
      <c r="I4332" s="6"/>
      <c r="J4332" s="6"/>
      <c r="K4332" s="6"/>
      <c r="L4332" s="6"/>
      <c r="M4332" s="6"/>
      <c r="N4332" s="6"/>
      <c r="O4332" s="6"/>
      <c r="P4332" s="6"/>
      <c r="Q4332" s="6"/>
      <c r="R4332" s="6"/>
      <c r="S4332" s="6"/>
      <c r="T4332" s="6"/>
      <c r="U4332" s="6"/>
      <c r="V4332" s="6"/>
      <c r="W4332" s="6"/>
      <c r="X4332" s="6"/>
      <c r="Y4332" s="6"/>
      <c r="Z4332" s="6"/>
    </row>
    <row r="4333" customFormat="false" ht="15" hidden="false" customHeight="false" outlineLevel="0" collapsed="false">
      <c r="A4333" s="9" t="s">
        <v>10176</v>
      </c>
      <c r="B4333" s="9" t="s">
        <v>5870</v>
      </c>
      <c r="C4333" s="9" t="s">
        <v>4600</v>
      </c>
      <c r="D4333" s="9" t="s">
        <v>5871</v>
      </c>
      <c r="E4333" s="9" t="str">
        <f aca="false">IF(AND('Formation Ledger'!A4312&lt;&gt;"",'Formation Ledger'!V4312=0),"PASS","FAIL")</f>
        <v>PASS</v>
      </c>
      <c r="F4333" s="9" t="s">
        <v>76</v>
      </c>
      <c r="G4333" s="6"/>
      <c r="H4333" s="6"/>
      <c r="I4333" s="6"/>
      <c r="J4333" s="6"/>
      <c r="K4333" s="6"/>
      <c r="L4333" s="6"/>
      <c r="M4333" s="6"/>
      <c r="N4333" s="6"/>
      <c r="O4333" s="6"/>
      <c r="P4333" s="6"/>
      <c r="Q4333" s="6"/>
      <c r="R4333" s="6"/>
      <c r="S4333" s="6"/>
      <c r="T4333" s="6"/>
      <c r="U4333" s="6"/>
      <c r="V4333" s="6"/>
      <c r="W4333" s="6"/>
      <c r="X4333" s="6"/>
      <c r="Y4333" s="6"/>
      <c r="Z4333" s="6"/>
    </row>
    <row r="4334" customFormat="false" ht="15" hidden="false" customHeight="false" outlineLevel="0" collapsed="false">
      <c r="A4334" s="9" t="s">
        <v>10177</v>
      </c>
      <c r="B4334" s="9" t="s">
        <v>5870</v>
      </c>
      <c r="C4334" s="9" t="s">
        <v>4601</v>
      </c>
      <c r="D4334" s="9" t="s">
        <v>5871</v>
      </c>
      <c r="E4334" s="9" t="str">
        <f aca="false">IF(AND('Formation Ledger'!A4313&lt;&gt;"",'Formation Ledger'!V4313=0),"PASS","FAIL")</f>
        <v>PASS</v>
      </c>
      <c r="F4334" s="9" t="s">
        <v>76</v>
      </c>
      <c r="G4334" s="6"/>
      <c r="H4334" s="6"/>
      <c r="I4334" s="6"/>
      <c r="J4334" s="6"/>
      <c r="K4334" s="6"/>
      <c r="L4334" s="6"/>
      <c r="M4334" s="6"/>
      <c r="N4334" s="6"/>
      <c r="O4334" s="6"/>
      <c r="P4334" s="6"/>
      <c r="Q4334" s="6"/>
      <c r="R4334" s="6"/>
      <c r="S4334" s="6"/>
      <c r="T4334" s="6"/>
      <c r="U4334" s="6"/>
      <c r="V4334" s="6"/>
      <c r="W4334" s="6"/>
      <c r="X4334" s="6"/>
      <c r="Y4334" s="6"/>
      <c r="Z4334" s="6"/>
    </row>
    <row r="4335" customFormat="false" ht="15" hidden="false" customHeight="false" outlineLevel="0" collapsed="false">
      <c r="A4335" s="9" t="s">
        <v>10178</v>
      </c>
      <c r="B4335" s="9" t="s">
        <v>5870</v>
      </c>
      <c r="C4335" s="9" t="s">
        <v>4602</v>
      </c>
      <c r="D4335" s="9" t="s">
        <v>5871</v>
      </c>
      <c r="E4335" s="9" t="str">
        <f aca="false">IF(AND('Formation Ledger'!A4314&lt;&gt;"",'Formation Ledger'!V4314=0),"PASS","FAIL")</f>
        <v>PASS</v>
      </c>
      <c r="F4335" s="9" t="s">
        <v>76</v>
      </c>
      <c r="G4335" s="6"/>
      <c r="H4335" s="6"/>
      <c r="I4335" s="6"/>
      <c r="J4335" s="6"/>
      <c r="K4335" s="6"/>
      <c r="L4335" s="6"/>
      <c r="M4335" s="6"/>
      <c r="N4335" s="6"/>
      <c r="O4335" s="6"/>
      <c r="P4335" s="6"/>
      <c r="Q4335" s="6"/>
      <c r="R4335" s="6"/>
      <c r="S4335" s="6"/>
      <c r="T4335" s="6"/>
      <c r="U4335" s="6"/>
      <c r="V4335" s="6"/>
      <c r="W4335" s="6"/>
      <c r="X4335" s="6"/>
      <c r="Y4335" s="6"/>
      <c r="Z4335" s="6"/>
    </row>
    <row r="4336" customFormat="false" ht="15" hidden="false" customHeight="false" outlineLevel="0" collapsed="false">
      <c r="A4336" s="9" t="s">
        <v>10179</v>
      </c>
      <c r="B4336" s="9" t="s">
        <v>5870</v>
      </c>
      <c r="C4336" s="9" t="s">
        <v>4603</v>
      </c>
      <c r="D4336" s="9" t="s">
        <v>5871</v>
      </c>
      <c r="E4336" s="9" t="str">
        <f aca="false">IF(AND('Formation Ledger'!A4315&lt;&gt;"",'Formation Ledger'!V4315=0),"PASS","FAIL")</f>
        <v>PASS</v>
      </c>
      <c r="F4336" s="9" t="s">
        <v>76</v>
      </c>
      <c r="G4336" s="6"/>
      <c r="H4336" s="6"/>
      <c r="I4336" s="6"/>
      <c r="J4336" s="6"/>
      <c r="K4336" s="6"/>
      <c r="L4336" s="6"/>
      <c r="M4336" s="6"/>
      <c r="N4336" s="6"/>
      <c r="O4336" s="6"/>
      <c r="P4336" s="6"/>
      <c r="Q4336" s="6"/>
      <c r="R4336" s="6"/>
      <c r="S4336" s="6"/>
      <c r="T4336" s="6"/>
      <c r="U4336" s="6"/>
      <c r="V4336" s="6"/>
      <c r="W4336" s="6"/>
      <c r="X4336" s="6"/>
      <c r="Y4336" s="6"/>
      <c r="Z4336" s="6"/>
    </row>
    <row r="4337" customFormat="false" ht="15" hidden="false" customHeight="false" outlineLevel="0" collapsed="false">
      <c r="A4337" s="9" t="s">
        <v>10180</v>
      </c>
      <c r="B4337" s="9" t="s">
        <v>5870</v>
      </c>
      <c r="C4337" s="9" t="s">
        <v>4604</v>
      </c>
      <c r="D4337" s="9" t="s">
        <v>5871</v>
      </c>
      <c r="E4337" s="9" t="str">
        <f aca="false">IF(AND('Formation Ledger'!A4316&lt;&gt;"",'Formation Ledger'!V4316=0),"PASS","FAIL")</f>
        <v>PASS</v>
      </c>
      <c r="F4337" s="9" t="s">
        <v>76</v>
      </c>
      <c r="G4337" s="6"/>
      <c r="H4337" s="6"/>
      <c r="I4337" s="6"/>
      <c r="J4337" s="6"/>
      <c r="K4337" s="6"/>
      <c r="L4337" s="6"/>
      <c r="M4337" s="6"/>
      <c r="N4337" s="6"/>
      <c r="O4337" s="6"/>
      <c r="P4337" s="6"/>
      <c r="Q4337" s="6"/>
      <c r="R4337" s="6"/>
      <c r="S4337" s="6"/>
      <c r="T4337" s="6"/>
      <c r="U4337" s="6"/>
      <c r="V4337" s="6"/>
      <c r="W4337" s="6"/>
      <c r="X4337" s="6"/>
      <c r="Y4337" s="6"/>
      <c r="Z4337" s="6"/>
    </row>
    <row r="4338" customFormat="false" ht="15" hidden="false" customHeight="false" outlineLevel="0" collapsed="false">
      <c r="A4338" s="9" t="s">
        <v>10181</v>
      </c>
      <c r="B4338" s="9" t="s">
        <v>5870</v>
      </c>
      <c r="C4338" s="9" t="s">
        <v>4605</v>
      </c>
      <c r="D4338" s="9" t="s">
        <v>5871</v>
      </c>
      <c r="E4338" s="9" t="str">
        <f aca="false">IF(AND('Formation Ledger'!A4317&lt;&gt;"",'Formation Ledger'!V4317=0),"PASS","FAIL")</f>
        <v>PASS</v>
      </c>
      <c r="F4338" s="9" t="s">
        <v>76</v>
      </c>
      <c r="G4338" s="6"/>
      <c r="H4338" s="6"/>
      <c r="I4338" s="6"/>
      <c r="J4338" s="6"/>
      <c r="K4338" s="6"/>
      <c r="L4338" s="6"/>
      <c r="M4338" s="6"/>
      <c r="N4338" s="6"/>
      <c r="O4338" s="6"/>
      <c r="P4338" s="6"/>
      <c r="Q4338" s="6"/>
      <c r="R4338" s="6"/>
      <c r="S4338" s="6"/>
      <c r="T4338" s="6"/>
      <c r="U4338" s="6"/>
      <c r="V4338" s="6"/>
      <c r="W4338" s="6"/>
      <c r="X4338" s="6"/>
      <c r="Y4338" s="6"/>
      <c r="Z4338" s="6"/>
    </row>
    <row r="4339" customFormat="false" ht="15" hidden="false" customHeight="false" outlineLevel="0" collapsed="false">
      <c r="A4339" s="9" t="s">
        <v>10182</v>
      </c>
      <c r="B4339" s="9" t="s">
        <v>5870</v>
      </c>
      <c r="C4339" s="9" t="s">
        <v>4606</v>
      </c>
      <c r="D4339" s="9" t="s">
        <v>5871</v>
      </c>
      <c r="E4339" s="9" t="str">
        <f aca="false">IF(AND('Formation Ledger'!A4318&lt;&gt;"",'Formation Ledger'!V4318=0),"PASS","FAIL")</f>
        <v>PASS</v>
      </c>
      <c r="F4339" s="9" t="s">
        <v>76</v>
      </c>
      <c r="G4339" s="6"/>
      <c r="H4339" s="6"/>
      <c r="I4339" s="6"/>
      <c r="J4339" s="6"/>
      <c r="K4339" s="6"/>
      <c r="L4339" s="6"/>
      <c r="M4339" s="6"/>
      <c r="N4339" s="6"/>
      <c r="O4339" s="6"/>
      <c r="P4339" s="6"/>
      <c r="Q4339" s="6"/>
      <c r="R4339" s="6"/>
      <c r="S4339" s="6"/>
      <c r="T4339" s="6"/>
      <c r="U4339" s="6"/>
      <c r="V4339" s="6"/>
      <c r="W4339" s="6"/>
      <c r="X4339" s="6"/>
      <c r="Y4339" s="6"/>
      <c r="Z4339" s="6"/>
    </row>
    <row r="4340" customFormat="false" ht="15" hidden="false" customHeight="false" outlineLevel="0" collapsed="false">
      <c r="A4340" s="9" t="s">
        <v>10183</v>
      </c>
      <c r="B4340" s="9" t="s">
        <v>5870</v>
      </c>
      <c r="C4340" s="9" t="s">
        <v>4607</v>
      </c>
      <c r="D4340" s="9" t="s">
        <v>5871</v>
      </c>
      <c r="E4340" s="9" t="str">
        <f aca="false">IF(AND('Formation Ledger'!A4319&lt;&gt;"",'Formation Ledger'!V4319=0),"PASS","FAIL")</f>
        <v>PASS</v>
      </c>
      <c r="F4340" s="9" t="s">
        <v>76</v>
      </c>
      <c r="G4340" s="6"/>
      <c r="H4340" s="6"/>
      <c r="I4340" s="6"/>
      <c r="J4340" s="6"/>
      <c r="K4340" s="6"/>
      <c r="L4340" s="6"/>
      <c r="M4340" s="6"/>
      <c r="N4340" s="6"/>
      <c r="O4340" s="6"/>
      <c r="P4340" s="6"/>
      <c r="Q4340" s="6"/>
      <c r="R4340" s="6"/>
      <c r="S4340" s="6"/>
      <c r="T4340" s="6"/>
      <c r="U4340" s="6"/>
      <c r="V4340" s="6"/>
      <c r="W4340" s="6"/>
      <c r="X4340" s="6"/>
      <c r="Y4340" s="6"/>
      <c r="Z4340" s="6"/>
    </row>
    <row r="4341" customFormat="false" ht="15" hidden="false" customHeight="false" outlineLevel="0" collapsed="false">
      <c r="A4341" s="9" t="s">
        <v>10184</v>
      </c>
      <c r="B4341" s="9" t="s">
        <v>5870</v>
      </c>
      <c r="C4341" s="9" t="s">
        <v>4608</v>
      </c>
      <c r="D4341" s="9" t="s">
        <v>5871</v>
      </c>
      <c r="E4341" s="9" t="str">
        <f aca="false">IF(AND('Formation Ledger'!A4320&lt;&gt;"",'Formation Ledger'!V4320=0),"PASS","FAIL")</f>
        <v>PASS</v>
      </c>
      <c r="F4341" s="9" t="s">
        <v>76</v>
      </c>
      <c r="G4341" s="6"/>
      <c r="H4341" s="6"/>
      <c r="I4341" s="6"/>
      <c r="J4341" s="6"/>
      <c r="K4341" s="6"/>
      <c r="L4341" s="6"/>
      <c r="M4341" s="6"/>
      <c r="N4341" s="6"/>
      <c r="O4341" s="6"/>
      <c r="P4341" s="6"/>
      <c r="Q4341" s="6"/>
      <c r="R4341" s="6"/>
      <c r="S4341" s="6"/>
      <c r="T4341" s="6"/>
      <c r="U4341" s="6"/>
      <c r="V4341" s="6"/>
      <c r="W4341" s="6"/>
      <c r="X4341" s="6"/>
      <c r="Y4341" s="6"/>
      <c r="Z4341" s="6"/>
    </row>
    <row r="4342" customFormat="false" ht="15" hidden="false" customHeight="false" outlineLevel="0" collapsed="false">
      <c r="A4342" s="9" t="s">
        <v>10185</v>
      </c>
      <c r="B4342" s="9" t="s">
        <v>5870</v>
      </c>
      <c r="C4342" s="9" t="s">
        <v>4609</v>
      </c>
      <c r="D4342" s="9" t="s">
        <v>5871</v>
      </c>
      <c r="E4342" s="9" t="str">
        <f aca="false">IF(AND('Formation Ledger'!A4321&lt;&gt;"",'Formation Ledger'!V4321=0),"PASS","FAIL")</f>
        <v>PASS</v>
      </c>
      <c r="F4342" s="9" t="s">
        <v>76</v>
      </c>
      <c r="G4342" s="6"/>
      <c r="H4342" s="6"/>
      <c r="I4342" s="6"/>
      <c r="J4342" s="6"/>
      <c r="K4342" s="6"/>
      <c r="L4342" s="6"/>
      <c r="M4342" s="6"/>
      <c r="N4342" s="6"/>
      <c r="O4342" s="6"/>
      <c r="P4342" s="6"/>
      <c r="Q4342" s="6"/>
      <c r="R4342" s="6"/>
      <c r="S4342" s="6"/>
      <c r="T4342" s="6"/>
      <c r="U4342" s="6"/>
      <c r="V4342" s="6"/>
      <c r="W4342" s="6"/>
      <c r="X4342" s="6"/>
      <c r="Y4342" s="6"/>
      <c r="Z4342" s="6"/>
    </row>
    <row r="4343" customFormat="false" ht="15" hidden="false" customHeight="false" outlineLevel="0" collapsed="false">
      <c r="A4343" s="9" t="s">
        <v>10186</v>
      </c>
      <c r="B4343" s="9" t="s">
        <v>5870</v>
      </c>
      <c r="C4343" s="9" t="s">
        <v>4610</v>
      </c>
      <c r="D4343" s="9" t="s">
        <v>5871</v>
      </c>
      <c r="E4343" s="9" t="str">
        <f aca="false">IF(AND('Formation Ledger'!A4322&lt;&gt;"",'Formation Ledger'!V4322=0),"PASS","FAIL")</f>
        <v>PASS</v>
      </c>
      <c r="F4343" s="9" t="s">
        <v>76</v>
      </c>
      <c r="G4343" s="6"/>
      <c r="H4343" s="6"/>
      <c r="I4343" s="6"/>
      <c r="J4343" s="6"/>
      <c r="K4343" s="6"/>
      <c r="L4343" s="6"/>
      <c r="M4343" s="6"/>
      <c r="N4343" s="6"/>
      <c r="O4343" s="6"/>
      <c r="P4343" s="6"/>
      <c r="Q4343" s="6"/>
      <c r="R4343" s="6"/>
      <c r="S4343" s="6"/>
      <c r="T4343" s="6"/>
      <c r="U4343" s="6"/>
      <c r="V4343" s="6"/>
      <c r="W4343" s="6"/>
      <c r="X4343" s="6"/>
      <c r="Y4343" s="6"/>
      <c r="Z4343" s="6"/>
    </row>
    <row r="4344" customFormat="false" ht="15" hidden="false" customHeight="false" outlineLevel="0" collapsed="false">
      <c r="A4344" s="9" t="s">
        <v>10187</v>
      </c>
      <c r="B4344" s="9" t="s">
        <v>5870</v>
      </c>
      <c r="C4344" s="9" t="s">
        <v>4611</v>
      </c>
      <c r="D4344" s="9" t="s">
        <v>5871</v>
      </c>
      <c r="E4344" s="9" t="str">
        <f aca="false">IF(AND('Formation Ledger'!A4323&lt;&gt;"",'Formation Ledger'!V4323=0),"PASS","FAIL")</f>
        <v>PASS</v>
      </c>
      <c r="F4344" s="9" t="s">
        <v>76</v>
      </c>
      <c r="G4344" s="6"/>
      <c r="H4344" s="6"/>
      <c r="I4344" s="6"/>
      <c r="J4344" s="6"/>
      <c r="K4344" s="6"/>
      <c r="L4344" s="6"/>
      <c r="M4344" s="6"/>
      <c r="N4344" s="6"/>
      <c r="O4344" s="6"/>
      <c r="P4344" s="6"/>
      <c r="Q4344" s="6"/>
      <c r="R4344" s="6"/>
      <c r="S4344" s="6"/>
      <c r="T4344" s="6"/>
      <c r="U4344" s="6"/>
      <c r="V4344" s="6"/>
      <c r="W4344" s="6"/>
      <c r="X4344" s="6"/>
      <c r="Y4344" s="6"/>
      <c r="Z4344" s="6"/>
    </row>
    <row r="4345" customFormat="false" ht="15" hidden="false" customHeight="false" outlineLevel="0" collapsed="false">
      <c r="A4345" s="9" t="s">
        <v>10188</v>
      </c>
      <c r="B4345" s="9" t="s">
        <v>5870</v>
      </c>
      <c r="C4345" s="9" t="s">
        <v>4612</v>
      </c>
      <c r="D4345" s="9" t="s">
        <v>5871</v>
      </c>
      <c r="E4345" s="9" t="str">
        <f aca="false">IF(AND('Formation Ledger'!A4324&lt;&gt;"",'Formation Ledger'!V4324=0),"PASS","FAIL")</f>
        <v>PASS</v>
      </c>
      <c r="F4345" s="9" t="s">
        <v>76</v>
      </c>
      <c r="G4345" s="6"/>
      <c r="H4345" s="6"/>
      <c r="I4345" s="6"/>
      <c r="J4345" s="6"/>
      <c r="K4345" s="6"/>
      <c r="L4345" s="6"/>
      <c r="M4345" s="6"/>
      <c r="N4345" s="6"/>
      <c r="O4345" s="6"/>
      <c r="P4345" s="6"/>
      <c r="Q4345" s="6"/>
      <c r="R4345" s="6"/>
      <c r="S4345" s="6"/>
      <c r="T4345" s="6"/>
      <c r="U4345" s="6"/>
      <c r="V4345" s="6"/>
      <c r="W4345" s="6"/>
      <c r="X4345" s="6"/>
      <c r="Y4345" s="6"/>
      <c r="Z4345" s="6"/>
    </row>
    <row r="4346" customFormat="false" ht="15" hidden="false" customHeight="false" outlineLevel="0" collapsed="false">
      <c r="A4346" s="9" t="s">
        <v>10189</v>
      </c>
      <c r="B4346" s="9" t="s">
        <v>5870</v>
      </c>
      <c r="C4346" s="9" t="s">
        <v>4613</v>
      </c>
      <c r="D4346" s="9" t="s">
        <v>5871</v>
      </c>
      <c r="E4346" s="9" t="str">
        <f aca="false">IF(AND('Formation Ledger'!A4325&lt;&gt;"",'Formation Ledger'!V4325=0),"PASS","FAIL")</f>
        <v>PASS</v>
      </c>
      <c r="F4346" s="9" t="s">
        <v>76</v>
      </c>
      <c r="G4346" s="6"/>
      <c r="H4346" s="6"/>
      <c r="I4346" s="6"/>
      <c r="J4346" s="6"/>
      <c r="K4346" s="6"/>
      <c r="L4346" s="6"/>
      <c r="M4346" s="6"/>
      <c r="N4346" s="6"/>
      <c r="O4346" s="6"/>
      <c r="P4346" s="6"/>
      <c r="Q4346" s="6"/>
      <c r="R4346" s="6"/>
      <c r="S4346" s="6"/>
      <c r="T4346" s="6"/>
      <c r="U4346" s="6"/>
      <c r="V4346" s="6"/>
      <c r="W4346" s="6"/>
      <c r="X4346" s="6"/>
      <c r="Y4346" s="6"/>
      <c r="Z4346" s="6"/>
    </row>
    <row r="4347" customFormat="false" ht="15" hidden="false" customHeight="false" outlineLevel="0" collapsed="false">
      <c r="A4347" s="9" t="s">
        <v>10190</v>
      </c>
      <c r="B4347" s="9" t="s">
        <v>5870</v>
      </c>
      <c r="C4347" s="9" t="s">
        <v>4614</v>
      </c>
      <c r="D4347" s="9" t="s">
        <v>5871</v>
      </c>
      <c r="E4347" s="9" t="str">
        <f aca="false">IF(AND('Formation Ledger'!A4326&lt;&gt;"",'Formation Ledger'!V4326=0),"PASS","FAIL")</f>
        <v>PASS</v>
      </c>
      <c r="F4347" s="9" t="s">
        <v>76</v>
      </c>
      <c r="G4347" s="6"/>
      <c r="H4347" s="6"/>
      <c r="I4347" s="6"/>
      <c r="J4347" s="6"/>
      <c r="K4347" s="6"/>
      <c r="L4347" s="6"/>
      <c r="M4347" s="6"/>
      <c r="N4347" s="6"/>
      <c r="O4347" s="6"/>
      <c r="P4347" s="6"/>
      <c r="Q4347" s="6"/>
      <c r="R4347" s="6"/>
      <c r="S4347" s="6"/>
      <c r="T4347" s="6"/>
      <c r="U4347" s="6"/>
      <c r="V4347" s="6"/>
      <c r="W4347" s="6"/>
      <c r="X4347" s="6"/>
      <c r="Y4347" s="6"/>
      <c r="Z4347" s="6"/>
    </row>
    <row r="4348" customFormat="false" ht="15" hidden="false" customHeight="false" outlineLevel="0" collapsed="false">
      <c r="A4348" s="9" t="s">
        <v>10191</v>
      </c>
      <c r="B4348" s="9" t="s">
        <v>5870</v>
      </c>
      <c r="C4348" s="9" t="s">
        <v>4615</v>
      </c>
      <c r="D4348" s="9" t="s">
        <v>5871</v>
      </c>
      <c r="E4348" s="9" t="str">
        <f aca="false">IF(AND('Formation Ledger'!A4327&lt;&gt;"",'Formation Ledger'!V4327=0),"PASS","FAIL")</f>
        <v>PASS</v>
      </c>
      <c r="F4348" s="9" t="s">
        <v>76</v>
      </c>
      <c r="G4348" s="6"/>
      <c r="H4348" s="6"/>
      <c r="I4348" s="6"/>
      <c r="J4348" s="6"/>
      <c r="K4348" s="6"/>
      <c r="L4348" s="6"/>
      <c r="M4348" s="6"/>
      <c r="N4348" s="6"/>
      <c r="O4348" s="6"/>
      <c r="P4348" s="6"/>
      <c r="Q4348" s="6"/>
      <c r="R4348" s="6"/>
      <c r="S4348" s="6"/>
      <c r="T4348" s="6"/>
      <c r="U4348" s="6"/>
      <c r="V4348" s="6"/>
      <c r="W4348" s="6"/>
      <c r="X4348" s="6"/>
      <c r="Y4348" s="6"/>
      <c r="Z4348" s="6"/>
    </row>
    <row r="4349" customFormat="false" ht="15" hidden="false" customHeight="false" outlineLevel="0" collapsed="false">
      <c r="A4349" s="9" t="s">
        <v>10192</v>
      </c>
      <c r="B4349" s="9" t="s">
        <v>5870</v>
      </c>
      <c r="C4349" s="9" t="s">
        <v>4616</v>
      </c>
      <c r="D4349" s="9" t="s">
        <v>5871</v>
      </c>
      <c r="E4349" s="9" t="str">
        <f aca="false">IF(AND('Formation Ledger'!A4328&lt;&gt;"",'Formation Ledger'!V4328=0),"PASS","FAIL")</f>
        <v>PASS</v>
      </c>
      <c r="F4349" s="9" t="s">
        <v>76</v>
      </c>
      <c r="G4349" s="6"/>
      <c r="H4349" s="6"/>
      <c r="I4349" s="6"/>
      <c r="J4349" s="6"/>
      <c r="K4349" s="6"/>
      <c r="L4349" s="6"/>
      <c r="M4349" s="6"/>
      <c r="N4349" s="6"/>
      <c r="O4349" s="6"/>
      <c r="P4349" s="6"/>
      <c r="Q4349" s="6"/>
      <c r="R4349" s="6"/>
      <c r="S4349" s="6"/>
      <c r="T4349" s="6"/>
      <c r="U4349" s="6"/>
      <c r="V4349" s="6"/>
      <c r="W4349" s="6"/>
      <c r="X4349" s="6"/>
      <c r="Y4349" s="6"/>
      <c r="Z4349" s="6"/>
    </row>
    <row r="4350" customFormat="false" ht="15" hidden="false" customHeight="false" outlineLevel="0" collapsed="false">
      <c r="A4350" s="9" t="s">
        <v>10193</v>
      </c>
      <c r="B4350" s="9" t="s">
        <v>5870</v>
      </c>
      <c r="C4350" s="9" t="s">
        <v>4619</v>
      </c>
      <c r="D4350" s="9" t="s">
        <v>5871</v>
      </c>
      <c r="E4350" s="9" t="str">
        <f aca="false">IF(AND('Formation Ledger'!A4329&lt;&gt;"",'Formation Ledger'!V4329=0),"PASS","FAIL")</f>
        <v>PASS</v>
      </c>
      <c r="F4350" s="9" t="s">
        <v>76</v>
      </c>
      <c r="G4350" s="6"/>
      <c r="H4350" s="6"/>
      <c r="I4350" s="6"/>
      <c r="J4350" s="6"/>
      <c r="K4350" s="6"/>
      <c r="L4350" s="6"/>
      <c r="M4350" s="6"/>
      <c r="N4350" s="6"/>
      <c r="O4350" s="6"/>
      <c r="P4350" s="6"/>
      <c r="Q4350" s="6"/>
      <c r="R4350" s="6"/>
      <c r="S4350" s="6"/>
      <c r="T4350" s="6"/>
      <c r="U4350" s="6"/>
      <c r="V4350" s="6"/>
      <c r="W4350" s="6"/>
      <c r="X4350" s="6"/>
      <c r="Y4350" s="6"/>
      <c r="Z4350" s="6"/>
    </row>
    <row r="4351" customFormat="false" ht="15" hidden="false" customHeight="false" outlineLevel="0" collapsed="false">
      <c r="A4351" s="9" t="s">
        <v>10194</v>
      </c>
      <c r="B4351" s="9" t="s">
        <v>5870</v>
      </c>
      <c r="C4351" s="9" t="s">
        <v>4620</v>
      </c>
      <c r="D4351" s="9" t="s">
        <v>5871</v>
      </c>
      <c r="E4351" s="9" t="str">
        <f aca="false">IF(AND('Formation Ledger'!A4330&lt;&gt;"",'Formation Ledger'!V4330=0),"PASS","FAIL")</f>
        <v>PASS</v>
      </c>
      <c r="F4351" s="9" t="s">
        <v>76</v>
      </c>
      <c r="G4351" s="6"/>
      <c r="H4351" s="6"/>
      <c r="I4351" s="6"/>
      <c r="J4351" s="6"/>
      <c r="K4351" s="6"/>
      <c r="L4351" s="6"/>
      <c r="M4351" s="6"/>
      <c r="N4351" s="6"/>
      <c r="O4351" s="6"/>
      <c r="P4351" s="6"/>
      <c r="Q4351" s="6"/>
      <c r="R4351" s="6"/>
      <c r="S4351" s="6"/>
      <c r="T4351" s="6"/>
      <c r="U4351" s="6"/>
      <c r="V4351" s="6"/>
      <c r="W4351" s="6"/>
      <c r="X4351" s="6"/>
      <c r="Y4351" s="6"/>
      <c r="Z4351" s="6"/>
    </row>
    <row r="4352" customFormat="false" ht="15" hidden="false" customHeight="false" outlineLevel="0" collapsed="false">
      <c r="A4352" s="9" t="s">
        <v>10195</v>
      </c>
      <c r="B4352" s="9" t="s">
        <v>5870</v>
      </c>
      <c r="C4352" s="9" t="s">
        <v>4621</v>
      </c>
      <c r="D4352" s="9" t="s">
        <v>5871</v>
      </c>
      <c r="E4352" s="9" t="str">
        <f aca="false">IF(AND('Formation Ledger'!A4331&lt;&gt;"",'Formation Ledger'!V4331=0),"PASS","FAIL")</f>
        <v>PASS</v>
      </c>
      <c r="F4352" s="9" t="s">
        <v>76</v>
      </c>
      <c r="G4352" s="6"/>
      <c r="H4352" s="6"/>
      <c r="I4352" s="6"/>
      <c r="J4352" s="6"/>
      <c r="K4352" s="6"/>
      <c r="L4352" s="6"/>
      <c r="M4352" s="6"/>
      <c r="N4352" s="6"/>
      <c r="O4352" s="6"/>
      <c r="P4352" s="6"/>
      <c r="Q4352" s="6"/>
      <c r="R4352" s="6"/>
      <c r="S4352" s="6"/>
      <c r="T4352" s="6"/>
      <c r="U4352" s="6"/>
      <c r="V4352" s="6"/>
      <c r="W4352" s="6"/>
      <c r="X4352" s="6"/>
      <c r="Y4352" s="6"/>
      <c r="Z4352" s="6"/>
    </row>
    <row r="4353" customFormat="false" ht="15" hidden="false" customHeight="false" outlineLevel="0" collapsed="false">
      <c r="A4353" s="9" t="s">
        <v>10196</v>
      </c>
      <c r="B4353" s="9" t="s">
        <v>5870</v>
      </c>
      <c r="C4353" s="9" t="s">
        <v>4622</v>
      </c>
      <c r="D4353" s="9" t="s">
        <v>5871</v>
      </c>
      <c r="E4353" s="9" t="str">
        <f aca="false">IF(AND('Formation Ledger'!A4332&lt;&gt;"",'Formation Ledger'!V4332=0),"PASS","FAIL")</f>
        <v>PASS</v>
      </c>
      <c r="F4353" s="9" t="s">
        <v>76</v>
      </c>
      <c r="G4353" s="6"/>
      <c r="H4353" s="6"/>
      <c r="I4353" s="6"/>
      <c r="J4353" s="6"/>
      <c r="K4353" s="6"/>
      <c r="L4353" s="6"/>
      <c r="M4353" s="6"/>
      <c r="N4353" s="6"/>
      <c r="O4353" s="6"/>
      <c r="P4353" s="6"/>
      <c r="Q4353" s="6"/>
      <c r="R4353" s="6"/>
      <c r="S4353" s="6"/>
      <c r="T4353" s="6"/>
      <c r="U4353" s="6"/>
      <c r="V4353" s="6"/>
      <c r="W4353" s="6"/>
      <c r="X4353" s="6"/>
      <c r="Y4353" s="6"/>
      <c r="Z4353" s="6"/>
    </row>
    <row r="4354" customFormat="false" ht="15" hidden="false" customHeight="false" outlineLevel="0" collapsed="false">
      <c r="A4354" s="9" t="s">
        <v>10197</v>
      </c>
      <c r="B4354" s="9" t="s">
        <v>5870</v>
      </c>
      <c r="C4354" s="9" t="s">
        <v>4623</v>
      </c>
      <c r="D4354" s="9" t="s">
        <v>5871</v>
      </c>
      <c r="E4354" s="9" t="str">
        <f aca="false">IF(AND('Formation Ledger'!A4333&lt;&gt;"",'Formation Ledger'!V4333=0),"PASS","FAIL")</f>
        <v>PASS</v>
      </c>
      <c r="F4354" s="9" t="s">
        <v>76</v>
      </c>
      <c r="G4354" s="6"/>
      <c r="H4354" s="6"/>
      <c r="I4354" s="6"/>
      <c r="J4354" s="6"/>
      <c r="K4354" s="6"/>
      <c r="L4354" s="6"/>
      <c r="M4354" s="6"/>
      <c r="N4354" s="6"/>
      <c r="O4354" s="6"/>
      <c r="P4354" s="6"/>
      <c r="Q4354" s="6"/>
      <c r="R4354" s="6"/>
      <c r="S4354" s="6"/>
      <c r="T4354" s="6"/>
      <c r="U4354" s="6"/>
      <c r="V4354" s="6"/>
      <c r="W4354" s="6"/>
      <c r="X4354" s="6"/>
      <c r="Y4354" s="6"/>
      <c r="Z4354" s="6"/>
    </row>
    <row r="4355" customFormat="false" ht="15" hidden="false" customHeight="false" outlineLevel="0" collapsed="false">
      <c r="A4355" s="9" t="s">
        <v>10198</v>
      </c>
      <c r="B4355" s="9" t="s">
        <v>5870</v>
      </c>
      <c r="C4355" s="9" t="s">
        <v>4624</v>
      </c>
      <c r="D4355" s="9" t="s">
        <v>5871</v>
      </c>
      <c r="E4355" s="9" t="str">
        <f aca="false">IF(AND('Formation Ledger'!A4334&lt;&gt;"",'Formation Ledger'!V4334=0),"PASS","FAIL")</f>
        <v>PASS</v>
      </c>
      <c r="F4355" s="9" t="s">
        <v>76</v>
      </c>
      <c r="G4355" s="6"/>
      <c r="H4355" s="6"/>
      <c r="I4355" s="6"/>
      <c r="J4355" s="6"/>
      <c r="K4355" s="6"/>
      <c r="L4355" s="6"/>
      <c r="M4355" s="6"/>
      <c r="N4355" s="6"/>
      <c r="O4355" s="6"/>
      <c r="P4355" s="6"/>
      <c r="Q4355" s="6"/>
      <c r="R4355" s="6"/>
      <c r="S4355" s="6"/>
      <c r="T4355" s="6"/>
      <c r="U4355" s="6"/>
      <c r="V4355" s="6"/>
      <c r="W4355" s="6"/>
      <c r="X4355" s="6"/>
      <c r="Y4355" s="6"/>
      <c r="Z4355" s="6"/>
    </row>
    <row r="4356" customFormat="false" ht="15" hidden="false" customHeight="false" outlineLevel="0" collapsed="false">
      <c r="A4356" s="9" t="s">
        <v>10199</v>
      </c>
      <c r="B4356" s="9" t="s">
        <v>5870</v>
      </c>
      <c r="C4356" s="9" t="s">
        <v>4625</v>
      </c>
      <c r="D4356" s="9" t="s">
        <v>5871</v>
      </c>
      <c r="E4356" s="9" t="str">
        <f aca="false">IF(AND('Formation Ledger'!A4335&lt;&gt;"",'Formation Ledger'!V4335=0),"PASS","FAIL")</f>
        <v>PASS</v>
      </c>
      <c r="F4356" s="9" t="s">
        <v>76</v>
      </c>
      <c r="G4356" s="6"/>
      <c r="H4356" s="6"/>
      <c r="I4356" s="6"/>
      <c r="J4356" s="6"/>
      <c r="K4356" s="6"/>
      <c r="L4356" s="6"/>
      <c r="M4356" s="6"/>
      <c r="N4356" s="6"/>
      <c r="O4356" s="6"/>
      <c r="P4356" s="6"/>
      <c r="Q4356" s="6"/>
      <c r="R4356" s="6"/>
      <c r="S4356" s="6"/>
      <c r="T4356" s="6"/>
      <c r="U4356" s="6"/>
      <c r="V4356" s="6"/>
      <c r="W4356" s="6"/>
      <c r="X4356" s="6"/>
      <c r="Y4356" s="6"/>
      <c r="Z4356" s="6"/>
    </row>
    <row r="4357" customFormat="false" ht="15" hidden="false" customHeight="false" outlineLevel="0" collapsed="false">
      <c r="A4357" s="9" t="s">
        <v>10200</v>
      </c>
      <c r="B4357" s="9" t="s">
        <v>5870</v>
      </c>
      <c r="C4357" s="9" t="s">
        <v>4626</v>
      </c>
      <c r="D4357" s="9" t="s">
        <v>5871</v>
      </c>
      <c r="E4357" s="9" t="str">
        <f aca="false">IF(AND('Formation Ledger'!A4336&lt;&gt;"",'Formation Ledger'!V4336=0),"PASS","FAIL")</f>
        <v>PASS</v>
      </c>
      <c r="F4357" s="9" t="s">
        <v>76</v>
      </c>
      <c r="G4357" s="6"/>
      <c r="H4357" s="6"/>
      <c r="I4357" s="6"/>
      <c r="J4357" s="6"/>
      <c r="K4357" s="6"/>
      <c r="L4357" s="6"/>
      <c r="M4357" s="6"/>
      <c r="N4357" s="6"/>
      <c r="O4357" s="6"/>
      <c r="P4357" s="6"/>
      <c r="Q4357" s="6"/>
      <c r="R4357" s="6"/>
      <c r="S4357" s="6"/>
      <c r="T4357" s="6"/>
      <c r="U4357" s="6"/>
      <c r="V4357" s="6"/>
      <c r="W4357" s="6"/>
      <c r="X4357" s="6"/>
      <c r="Y4357" s="6"/>
      <c r="Z4357" s="6"/>
    </row>
    <row r="4358" customFormat="false" ht="15" hidden="false" customHeight="false" outlineLevel="0" collapsed="false">
      <c r="A4358" s="9" t="s">
        <v>10201</v>
      </c>
      <c r="B4358" s="9" t="s">
        <v>5870</v>
      </c>
      <c r="C4358" s="9" t="s">
        <v>4627</v>
      </c>
      <c r="D4358" s="9" t="s">
        <v>5871</v>
      </c>
      <c r="E4358" s="9" t="str">
        <f aca="false">IF(AND('Formation Ledger'!A4337&lt;&gt;"",'Formation Ledger'!V4337=0),"PASS","FAIL")</f>
        <v>PASS</v>
      </c>
      <c r="F4358" s="9" t="s">
        <v>76</v>
      </c>
      <c r="G4358" s="6"/>
      <c r="H4358" s="6"/>
      <c r="I4358" s="6"/>
      <c r="J4358" s="6"/>
      <c r="K4358" s="6"/>
      <c r="L4358" s="6"/>
      <c r="M4358" s="6"/>
      <c r="N4358" s="6"/>
      <c r="O4358" s="6"/>
      <c r="P4358" s="6"/>
      <c r="Q4358" s="6"/>
      <c r="R4358" s="6"/>
      <c r="S4358" s="6"/>
      <c r="T4358" s="6"/>
      <c r="U4358" s="6"/>
      <c r="V4358" s="6"/>
      <c r="W4358" s="6"/>
      <c r="X4358" s="6"/>
      <c r="Y4358" s="6"/>
      <c r="Z4358" s="6"/>
    </row>
    <row r="4359" customFormat="false" ht="15" hidden="false" customHeight="false" outlineLevel="0" collapsed="false">
      <c r="A4359" s="9" t="s">
        <v>10202</v>
      </c>
      <c r="B4359" s="9" t="s">
        <v>5870</v>
      </c>
      <c r="C4359" s="9" t="s">
        <v>4628</v>
      </c>
      <c r="D4359" s="9" t="s">
        <v>5871</v>
      </c>
      <c r="E4359" s="9" t="str">
        <f aca="false">IF(AND('Formation Ledger'!A4338&lt;&gt;"",'Formation Ledger'!V4338=0),"PASS","FAIL")</f>
        <v>PASS</v>
      </c>
      <c r="F4359" s="9" t="s">
        <v>76</v>
      </c>
      <c r="G4359" s="6"/>
      <c r="H4359" s="6"/>
      <c r="I4359" s="6"/>
      <c r="J4359" s="6"/>
      <c r="K4359" s="6"/>
      <c r="L4359" s="6"/>
      <c r="M4359" s="6"/>
      <c r="N4359" s="6"/>
      <c r="O4359" s="6"/>
      <c r="P4359" s="6"/>
      <c r="Q4359" s="6"/>
      <c r="R4359" s="6"/>
      <c r="S4359" s="6"/>
      <c r="T4359" s="6"/>
      <c r="U4359" s="6"/>
      <c r="V4359" s="6"/>
      <c r="W4359" s="6"/>
      <c r="X4359" s="6"/>
      <c r="Y4359" s="6"/>
      <c r="Z4359" s="6"/>
    </row>
    <row r="4360" customFormat="false" ht="15" hidden="false" customHeight="false" outlineLevel="0" collapsed="false">
      <c r="A4360" s="9" t="s">
        <v>10203</v>
      </c>
      <c r="B4360" s="9" t="s">
        <v>5870</v>
      </c>
      <c r="C4360" s="9" t="s">
        <v>4629</v>
      </c>
      <c r="D4360" s="9" t="s">
        <v>5871</v>
      </c>
      <c r="E4360" s="9" t="str">
        <f aca="false">IF(AND('Formation Ledger'!A4339&lt;&gt;"",'Formation Ledger'!V4339=0),"PASS","FAIL")</f>
        <v>PASS</v>
      </c>
      <c r="F4360" s="9" t="s">
        <v>76</v>
      </c>
      <c r="G4360" s="6"/>
      <c r="H4360" s="6"/>
      <c r="I4360" s="6"/>
      <c r="J4360" s="6"/>
      <c r="K4360" s="6"/>
      <c r="L4360" s="6"/>
      <c r="M4360" s="6"/>
      <c r="N4360" s="6"/>
      <c r="O4360" s="6"/>
      <c r="P4360" s="6"/>
      <c r="Q4360" s="6"/>
      <c r="R4360" s="6"/>
      <c r="S4360" s="6"/>
      <c r="T4360" s="6"/>
      <c r="U4360" s="6"/>
      <c r="V4360" s="6"/>
      <c r="W4360" s="6"/>
      <c r="X4360" s="6"/>
      <c r="Y4360" s="6"/>
      <c r="Z4360" s="6"/>
    </row>
    <row r="4361" customFormat="false" ht="15" hidden="false" customHeight="false" outlineLevel="0" collapsed="false">
      <c r="A4361" s="9" t="s">
        <v>10204</v>
      </c>
      <c r="B4361" s="9" t="s">
        <v>5870</v>
      </c>
      <c r="C4361" s="9" t="s">
        <v>4630</v>
      </c>
      <c r="D4361" s="9" t="s">
        <v>5871</v>
      </c>
      <c r="E4361" s="9" t="str">
        <f aca="false">IF(AND('Formation Ledger'!A4340&lt;&gt;"",'Formation Ledger'!V4340=0),"PASS","FAIL")</f>
        <v>PASS</v>
      </c>
      <c r="F4361" s="9" t="s">
        <v>76</v>
      </c>
      <c r="G4361" s="6"/>
      <c r="H4361" s="6"/>
      <c r="I4361" s="6"/>
      <c r="J4361" s="6"/>
      <c r="K4361" s="6"/>
      <c r="L4361" s="6"/>
      <c r="M4361" s="6"/>
      <c r="N4361" s="6"/>
      <c r="O4361" s="6"/>
      <c r="P4361" s="6"/>
      <c r="Q4361" s="6"/>
      <c r="R4361" s="6"/>
      <c r="S4361" s="6"/>
      <c r="T4361" s="6"/>
      <c r="U4361" s="6"/>
      <c r="V4361" s="6"/>
      <c r="W4361" s="6"/>
      <c r="X4361" s="6"/>
      <c r="Y4361" s="6"/>
      <c r="Z4361" s="6"/>
    </row>
    <row r="4362" customFormat="false" ht="15" hidden="false" customHeight="false" outlineLevel="0" collapsed="false">
      <c r="A4362" s="9" t="s">
        <v>10205</v>
      </c>
      <c r="B4362" s="9" t="s">
        <v>5870</v>
      </c>
      <c r="C4362" s="9" t="s">
        <v>4631</v>
      </c>
      <c r="D4362" s="9" t="s">
        <v>5871</v>
      </c>
      <c r="E4362" s="9" t="str">
        <f aca="false">IF(AND('Formation Ledger'!A4341&lt;&gt;"",'Formation Ledger'!V4341=0),"PASS","FAIL")</f>
        <v>PASS</v>
      </c>
      <c r="F4362" s="9" t="s">
        <v>76</v>
      </c>
      <c r="G4362" s="6"/>
      <c r="H4362" s="6"/>
      <c r="I4362" s="6"/>
      <c r="J4362" s="6"/>
      <c r="K4362" s="6"/>
      <c r="L4362" s="6"/>
      <c r="M4362" s="6"/>
      <c r="N4362" s="6"/>
      <c r="O4362" s="6"/>
      <c r="P4362" s="6"/>
      <c r="Q4362" s="6"/>
      <c r="R4362" s="6"/>
      <c r="S4362" s="6"/>
      <c r="T4362" s="6"/>
      <c r="U4362" s="6"/>
      <c r="V4362" s="6"/>
      <c r="W4362" s="6"/>
      <c r="X4362" s="6"/>
      <c r="Y4362" s="6"/>
      <c r="Z4362" s="6"/>
    </row>
    <row r="4363" customFormat="false" ht="15" hidden="false" customHeight="false" outlineLevel="0" collapsed="false">
      <c r="A4363" s="9" t="s">
        <v>10206</v>
      </c>
      <c r="B4363" s="9" t="s">
        <v>5870</v>
      </c>
      <c r="C4363" s="9" t="s">
        <v>4632</v>
      </c>
      <c r="D4363" s="9" t="s">
        <v>5871</v>
      </c>
      <c r="E4363" s="9" t="str">
        <f aca="false">IF(AND('Formation Ledger'!A4342&lt;&gt;"",'Formation Ledger'!V4342=0),"PASS","FAIL")</f>
        <v>PASS</v>
      </c>
      <c r="F4363" s="9" t="s">
        <v>76</v>
      </c>
      <c r="G4363" s="6"/>
      <c r="H4363" s="6"/>
      <c r="I4363" s="6"/>
      <c r="J4363" s="6"/>
      <c r="K4363" s="6"/>
      <c r="L4363" s="6"/>
      <c r="M4363" s="6"/>
      <c r="N4363" s="6"/>
      <c r="O4363" s="6"/>
      <c r="P4363" s="6"/>
      <c r="Q4363" s="6"/>
      <c r="R4363" s="6"/>
      <c r="S4363" s="6"/>
      <c r="T4363" s="6"/>
      <c r="U4363" s="6"/>
      <c r="V4363" s="6"/>
      <c r="W4363" s="6"/>
      <c r="X4363" s="6"/>
      <c r="Y4363" s="6"/>
      <c r="Z4363" s="6"/>
    </row>
    <row r="4364" customFormat="false" ht="15" hidden="false" customHeight="false" outlineLevel="0" collapsed="false">
      <c r="A4364" s="9" t="s">
        <v>10207</v>
      </c>
      <c r="B4364" s="9" t="s">
        <v>5870</v>
      </c>
      <c r="C4364" s="9" t="s">
        <v>4633</v>
      </c>
      <c r="D4364" s="9" t="s">
        <v>5871</v>
      </c>
      <c r="E4364" s="9" t="str">
        <f aca="false">IF(AND('Formation Ledger'!A4343&lt;&gt;"",'Formation Ledger'!V4343=0),"PASS","FAIL")</f>
        <v>PASS</v>
      </c>
      <c r="F4364" s="9" t="s">
        <v>76</v>
      </c>
      <c r="G4364" s="6"/>
      <c r="H4364" s="6"/>
      <c r="I4364" s="6"/>
      <c r="J4364" s="6"/>
      <c r="K4364" s="6"/>
      <c r="L4364" s="6"/>
      <c r="M4364" s="6"/>
      <c r="N4364" s="6"/>
      <c r="O4364" s="6"/>
      <c r="P4364" s="6"/>
      <c r="Q4364" s="6"/>
      <c r="R4364" s="6"/>
      <c r="S4364" s="6"/>
      <c r="T4364" s="6"/>
      <c r="U4364" s="6"/>
      <c r="V4364" s="6"/>
      <c r="W4364" s="6"/>
      <c r="X4364" s="6"/>
      <c r="Y4364" s="6"/>
      <c r="Z4364" s="6"/>
    </row>
    <row r="4365" customFormat="false" ht="15" hidden="false" customHeight="false" outlineLevel="0" collapsed="false">
      <c r="A4365" s="9" t="s">
        <v>10208</v>
      </c>
      <c r="B4365" s="9" t="s">
        <v>5870</v>
      </c>
      <c r="C4365" s="9" t="s">
        <v>4634</v>
      </c>
      <c r="D4365" s="9" t="s">
        <v>5871</v>
      </c>
      <c r="E4365" s="9" t="str">
        <f aca="false">IF(AND('Formation Ledger'!A4344&lt;&gt;"",'Formation Ledger'!V4344=0),"PASS","FAIL")</f>
        <v>PASS</v>
      </c>
      <c r="F4365" s="9" t="s">
        <v>76</v>
      </c>
      <c r="G4365" s="6"/>
      <c r="H4365" s="6"/>
      <c r="I4365" s="6"/>
      <c r="J4365" s="6"/>
      <c r="K4365" s="6"/>
      <c r="L4365" s="6"/>
      <c r="M4365" s="6"/>
      <c r="N4365" s="6"/>
      <c r="O4365" s="6"/>
      <c r="P4365" s="6"/>
      <c r="Q4365" s="6"/>
      <c r="R4365" s="6"/>
      <c r="S4365" s="6"/>
      <c r="T4365" s="6"/>
      <c r="U4365" s="6"/>
      <c r="V4365" s="6"/>
      <c r="W4365" s="6"/>
      <c r="X4365" s="6"/>
      <c r="Y4365" s="6"/>
      <c r="Z4365" s="6"/>
    </row>
    <row r="4366" customFormat="false" ht="15" hidden="false" customHeight="false" outlineLevel="0" collapsed="false">
      <c r="A4366" s="9" t="s">
        <v>10209</v>
      </c>
      <c r="B4366" s="9" t="s">
        <v>5870</v>
      </c>
      <c r="C4366" s="9" t="s">
        <v>4635</v>
      </c>
      <c r="D4366" s="9" t="s">
        <v>5871</v>
      </c>
      <c r="E4366" s="9" t="str">
        <f aca="false">IF(AND('Formation Ledger'!A4345&lt;&gt;"",'Formation Ledger'!V4345=0),"PASS","FAIL")</f>
        <v>PASS</v>
      </c>
      <c r="F4366" s="9" t="s">
        <v>76</v>
      </c>
      <c r="G4366" s="6"/>
      <c r="H4366" s="6"/>
      <c r="I4366" s="6"/>
      <c r="J4366" s="6"/>
      <c r="K4366" s="6"/>
      <c r="L4366" s="6"/>
      <c r="M4366" s="6"/>
      <c r="N4366" s="6"/>
      <c r="O4366" s="6"/>
      <c r="P4366" s="6"/>
      <c r="Q4366" s="6"/>
      <c r="R4366" s="6"/>
      <c r="S4366" s="6"/>
      <c r="T4366" s="6"/>
      <c r="U4366" s="6"/>
      <c r="V4366" s="6"/>
      <c r="W4366" s="6"/>
      <c r="X4366" s="6"/>
      <c r="Y4366" s="6"/>
      <c r="Z4366" s="6"/>
    </row>
    <row r="4367" customFormat="false" ht="15" hidden="false" customHeight="false" outlineLevel="0" collapsed="false">
      <c r="A4367" s="9" t="s">
        <v>10210</v>
      </c>
      <c r="B4367" s="9" t="s">
        <v>5870</v>
      </c>
      <c r="C4367" s="9" t="s">
        <v>4636</v>
      </c>
      <c r="D4367" s="9" t="s">
        <v>5871</v>
      </c>
      <c r="E4367" s="9" t="str">
        <f aca="false">IF(AND('Formation Ledger'!A4346&lt;&gt;"",'Formation Ledger'!V4346=0),"PASS","FAIL")</f>
        <v>PASS</v>
      </c>
      <c r="F4367" s="9" t="s">
        <v>76</v>
      </c>
      <c r="G4367" s="6"/>
      <c r="H4367" s="6"/>
      <c r="I4367" s="6"/>
      <c r="J4367" s="6"/>
      <c r="K4367" s="6"/>
      <c r="L4367" s="6"/>
      <c r="M4367" s="6"/>
      <c r="N4367" s="6"/>
      <c r="O4367" s="6"/>
      <c r="P4367" s="6"/>
      <c r="Q4367" s="6"/>
      <c r="R4367" s="6"/>
      <c r="S4367" s="6"/>
      <c r="T4367" s="6"/>
      <c r="U4367" s="6"/>
      <c r="V4367" s="6"/>
      <c r="W4367" s="6"/>
      <c r="X4367" s="6"/>
      <c r="Y4367" s="6"/>
      <c r="Z4367" s="6"/>
    </row>
    <row r="4368" customFormat="false" ht="15" hidden="false" customHeight="false" outlineLevel="0" collapsed="false">
      <c r="A4368" s="9" t="s">
        <v>10211</v>
      </c>
      <c r="B4368" s="9" t="s">
        <v>5870</v>
      </c>
      <c r="C4368" s="9" t="s">
        <v>4637</v>
      </c>
      <c r="D4368" s="9" t="s">
        <v>5871</v>
      </c>
      <c r="E4368" s="9" t="str">
        <f aca="false">IF(AND('Formation Ledger'!A4347&lt;&gt;"",'Formation Ledger'!V4347=0),"PASS","FAIL")</f>
        <v>PASS</v>
      </c>
      <c r="F4368" s="9" t="s">
        <v>76</v>
      </c>
      <c r="G4368" s="6"/>
      <c r="H4368" s="6"/>
      <c r="I4368" s="6"/>
      <c r="J4368" s="6"/>
      <c r="K4368" s="6"/>
      <c r="L4368" s="6"/>
      <c r="M4368" s="6"/>
      <c r="N4368" s="6"/>
      <c r="O4368" s="6"/>
      <c r="P4368" s="6"/>
      <c r="Q4368" s="6"/>
      <c r="R4368" s="6"/>
      <c r="S4368" s="6"/>
      <c r="T4368" s="6"/>
      <c r="U4368" s="6"/>
      <c r="V4368" s="6"/>
      <c r="W4368" s="6"/>
      <c r="X4368" s="6"/>
      <c r="Y4368" s="6"/>
      <c r="Z4368" s="6"/>
    </row>
    <row r="4369" customFormat="false" ht="15" hidden="false" customHeight="false" outlineLevel="0" collapsed="false">
      <c r="A4369" s="9" t="s">
        <v>10212</v>
      </c>
      <c r="B4369" s="9" t="s">
        <v>5870</v>
      </c>
      <c r="C4369" s="9" t="s">
        <v>4638</v>
      </c>
      <c r="D4369" s="9" t="s">
        <v>5871</v>
      </c>
      <c r="E4369" s="9" t="str">
        <f aca="false">IF(AND('Formation Ledger'!A4348&lt;&gt;"",'Formation Ledger'!V4348=0),"PASS","FAIL")</f>
        <v>PASS</v>
      </c>
      <c r="F4369" s="9" t="s">
        <v>76</v>
      </c>
      <c r="G4369" s="6"/>
      <c r="H4369" s="6"/>
      <c r="I4369" s="6"/>
      <c r="J4369" s="6"/>
      <c r="K4369" s="6"/>
      <c r="L4369" s="6"/>
      <c r="M4369" s="6"/>
      <c r="N4369" s="6"/>
      <c r="O4369" s="6"/>
      <c r="P4369" s="6"/>
      <c r="Q4369" s="6"/>
      <c r="R4369" s="6"/>
      <c r="S4369" s="6"/>
      <c r="T4369" s="6"/>
      <c r="U4369" s="6"/>
      <c r="V4369" s="6"/>
      <c r="W4369" s="6"/>
      <c r="X4369" s="6"/>
      <c r="Y4369" s="6"/>
      <c r="Z4369" s="6"/>
    </row>
    <row r="4370" customFormat="false" ht="15" hidden="false" customHeight="false" outlineLevel="0" collapsed="false">
      <c r="A4370" s="9" t="s">
        <v>10213</v>
      </c>
      <c r="B4370" s="9" t="s">
        <v>5870</v>
      </c>
      <c r="C4370" s="9" t="s">
        <v>4639</v>
      </c>
      <c r="D4370" s="9" t="s">
        <v>5871</v>
      </c>
      <c r="E4370" s="9" t="str">
        <f aca="false">IF(AND('Formation Ledger'!A4349&lt;&gt;"",'Formation Ledger'!V4349=0),"PASS","FAIL")</f>
        <v>PASS</v>
      </c>
      <c r="F4370" s="9" t="s">
        <v>76</v>
      </c>
      <c r="G4370" s="6"/>
      <c r="H4370" s="6"/>
      <c r="I4370" s="6"/>
      <c r="J4370" s="6"/>
      <c r="K4370" s="6"/>
      <c r="L4370" s="6"/>
      <c r="M4370" s="6"/>
      <c r="N4370" s="6"/>
      <c r="O4370" s="6"/>
      <c r="P4370" s="6"/>
      <c r="Q4370" s="6"/>
      <c r="R4370" s="6"/>
      <c r="S4370" s="6"/>
      <c r="T4370" s="6"/>
      <c r="U4370" s="6"/>
      <c r="V4370" s="6"/>
      <c r="W4370" s="6"/>
      <c r="X4370" s="6"/>
      <c r="Y4370" s="6"/>
      <c r="Z4370" s="6"/>
    </row>
    <row r="4371" customFormat="false" ht="15" hidden="false" customHeight="false" outlineLevel="0" collapsed="false">
      <c r="A4371" s="9" t="s">
        <v>10214</v>
      </c>
      <c r="B4371" s="9" t="s">
        <v>5870</v>
      </c>
      <c r="C4371" s="9" t="s">
        <v>4640</v>
      </c>
      <c r="D4371" s="9" t="s">
        <v>5871</v>
      </c>
      <c r="E4371" s="9" t="str">
        <f aca="false">IF(AND('Formation Ledger'!A4350&lt;&gt;"",'Formation Ledger'!V4350=0),"PASS","FAIL")</f>
        <v>PASS</v>
      </c>
      <c r="F4371" s="9" t="s">
        <v>76</v>
      </c>
      <c r="G4371" s="6"/>
      <c r="H4371" s="6"/>
      <c r="I4371" s="6"/>
      <c r="J4371" s="6"/>
      <c r="K4371" s="6"/>
      <c r="L4371" s="6"/>
      <c r="M4371" s="6"/>
      <c r="N4371" s="6"/>
      <c r="O4371" s="6"/>
      <c r="P4371" s="6"/>
      <c r="Q4371" s="6"/>
      <c r="R4371" s="6"/>
      <c r="S4371" s="6"/>
      <c r="T4371" s="6"/>
      <c r="U4371" s="6"/>
      <c r="V4371" s="6"/>
      <c r="W4371" s="6"/>
      <c r="X4371" s="6"/>
      <c r="Y4371" s="6"/>
      <c r="Z4371" s="6"/>
    </row>
    <row r="4372" customFormat="false" ht="15" hidden="false" customHeight="false" outlineLevel="0" collapsed="false">
      <c r="A4372" s="9" t="s">
        <v>10215</v>
      </c>
      <c r="B4372" s="9" t="s">
        <v>5870</v>
      </c>
      <c r="C4372" s="9" t="s">
        <v>4641</v>
      </c>
      <c r="D4372" s="9" t="s">
        <v>5871</v>
      </c>
      <c r="E4372" s="9" t="str">
        <f aca="false">IF(AND('Formation Ledger'!A4351&lt;&gt;"",'Formation Ledger'!V4351=0),"PASS","FAIL")</f>
        <v>PASS</v>
      </c>
      <c r="F4372" s="9" t="s">
        <v>76</v>
      </c>
      <c r="G4372" s="6"/>
      <c r="H4372" s="6"/>
      <c r="I4372" s="6"/>
      <c r="J4372" s="6"/>
      <c r="K4372" s="6"/>
      <c r="L4372" s="6"/>
      <c r="M4372" s="6"/>
      <c r="N4372" s="6"/>
      <c r="O4372" s="6"/>
      <c r="P4372" s="6"/>
      <c r="Q4372" s="6"/>
      <c r="R4372" s="6"/>
      <c r="S4372" s="6"/>
      <c r="T4372" s="6"/>
      <c r="U4372" s="6"/>
      <c r="V4372" s="6"/>
      <c r="W4372" s="6"/>
      <c r="X4372" s="6"/>
      <c r="Y4372" s="6"/>
      <c r="Z4372" s="6"/>
    </row>
    <row r="4373" customFormat="false" ht="15" hidden="false" customHeight="false" outlineLevel="0" collapsed="false">
      <c r="A4373" s="9" t="s">
        <v>10216</v>
      </c>
      <c r="B4373" s="9" t="s">
        <v>5870</v>
      </c>
      <c r="C4373" s="9" t="s">
        <v>4642</v>
      </c>
      <c r="D4373" s="9" t="s">
        <v>5871</v>
      </c>
      <c r="E4373" s="9" t="str">
        <f aca="false">IF(AND('Formation Ledger'!A4352&lt;&gt;"",'Formation Ledger'!V4352=0),"PASS","FAIL")</f>
        <v>PASS</v>
      </c>
      <c r="F4373" s="9" t="s">
        <v>76</v>
      </c>
      <c r="G4373" s="6"/>
      <c r="H4373" s="6"/>
      <c r="I4373" s="6"/>
      <c r="J4373" s="6"/>
      <c r="K4373" s="6"/>
      <c r="L4373" s="6"/>
      <c r="M4373" s="6"/>
      <c r="N4373" s="6"/>
      <c r="O4373" s="6"/>
      <c r="P4373" s="6"/>
      <c r="Q4373" s="6"/>
      <c r="R4373" s="6"/>
      <c r="S4373" s="6"/>
      <c r="T4373" s="6"/>
      <c r="U4373" s="6"/>
      <c r="V4373" s="6"/>
      <c r="W4373" s="6"/>
      <c r="X4373" s="6"/>
      <c r="Y4373" s="6"/>
      <c r="Z4373" s="6"/>
    </row>
    <row r="4374" customFormat="false" ht="15" hidden="false" customHeight="false" outlineLevel="0" collapsed="false">
      <c r="A4374" s="9" t="s">
        <v>10217</v>
      </c>
      <c r="B4374" s="9" t="s">
        <v>5870</v>
      </c>
      <c r="C4374" s="9" t="s">
        <v>4643</v>
      </c>
      <c r="D4374" s="9" t="s">
        <v>5871</v>
      </c>
      <c r="E4374" s="9" t="str">
        <f aca="false">IF(AND('Formation Ledger'!A4353&lt;&gt;"",'Formation Ledger'!V4353=0),"PASS","FAIL")</f>
        <v>PASS</v>
      </c>
      <c r="F4374" s="9" t="s">
        <v>76</v>
      </c>
      <c r="G4374" s="6"/>
      <c r="H4374" s="6"/>
      <c r="I4374" s="6"/>
      <c r="J4374" s="6"/>
      <c r="K4374" s="6"/>
      <c r="L4374" s="6"/>
      <c r="M4374" s="6"/>
      <c r="N4374" s="6"/>
      <c r="O4374" s="6"/>
      <c r="P4374" s="6"/>
      <c r="Q4374" s="6"/>
      <c r="R4374" s="6"/>
      <c r="S4374" s="6"/>
      <c r="T4374" s="6"/>
      <c r="U4374" s="6"/>
      <c r="V4374" s="6"/>
      <c r="W4374" s="6"/>
      <c r="X4374" s="6"/>
      <c r="Y4374" s="6"/>
      <c r="Z4374" s="6"/>
    </row>
    <row r="4375" customFormat="false" ht="15" hidden="false" customHeight="false" outlineLevel="0" collapsed="false">
      <c r="A4375" s="9" t="s">
        <v>10218</v>
      </c>
      <c r="B4375" s="9" t="s">
        <v>5870</v>
      </c>
      <c r="C4375" s="9" t="s">
        <v>4644</v>
      </c>
      <c r="D4375" s="9" t="s">
        <v>5871</v>
      </c>
      <c r="E4375" s="9" t="str">
        <f aca="false">IF(AND('Formation Ledger'!A4354&lt;&gt;"",'Formation Ledger'!V4354=0),"PASS","FAIL")</f>
        <v>PASS</v>
      </c>
      <c r="F4375" s="9" t="s">
        <v>76</v>
      </c>
      <c r="G4375" s="6"/>
      <c r="H4375" s="6"/>
      <c r="I4375" s="6"/>
      <c r="J4375" s="6"/>
      <c r="K4375" s="6"/>
      <c r="L4375" s="6"/>
      <c r="M4375" s="6"/>
      <c r="N4375" s="6"/>
      <c r="O4375" s="6"/>
      <c r="P4375" s="6"/>
      <c r="Q4375" s="6"/>
      <c r="R4375" s="6"/>
      <c r="S4375" s="6"/>
      <c r="T4375" s="6"/>
      <c r="U4375" s="6"/>
      <c r="V4375" s="6"/>
      <c r="W4375" s="6"/>
      <c r="X4375" s="6"/>
      <c r="Y4375" s="6"/>
      <c r="Z4375" s="6"/>
    </row>
    <row r="4376" customFormat="false" ht="15" hidden="false" customHeight="false" outlineLevel="0" collapsed="false">
      <c r="A4376" s="9" t="s">
        <v>10219</v>
      </c>
      <c r="B4376" s="9" t="s">
        <v>5870</v>
      </c>
      <c r="C4376" s="9" t="s">
        <v>4645</v>
      </c>
      <c r="D4376" s="9" t="s">
        <v>5871</v>
      </c>
      <c r="E4376" s="9" t="str">
        <f aca="false">IF(AND('Formation Ledger'!A4355&lt;&gt;"",'Formation Ledger'!V4355=0),"PASS","FAIL")</f>
        <v>PASS</v>
      </c>
      <c r="F4376" s="9" t="s">
        <v>76</v>
      </c>
      <c r="G4376" s="6"/>
      <c r="H4376" s="6"/>
      <c r="I4376" s="6"/>
      <c r="J4376" s="6"/>
      <c r="K4376" s="6"/>
      <c r="L4376" s="6"/>
      <c r="M4376" s="6"/>
      <c r="N4376" s="6"/>
      <c r="O4376" s="6"/>
      <c r="P4376" s="6"/>
      <c r="Q4376" s="6"/>
      <c r="R4376" s="6"/>
      <c r="S4376" s="6"/>
      <c r="T4376" s="6"/>
      <c r="U4376" s="6"/>
      <c r="V4376" s="6"/>
      <c r="W4376" s="6"/>
      <c r="X4376" s="6"/>
      <c r="Y4376" s="6"/>
      <c r="Z4376" s="6"/>
    </row>
    <row r="4377" customFormat="false" ht="15" hidden="false" customHeight="false" outlineLevel="0" collapsed="false">
      <c r="A4377" s="9" t="s">
        <v>10220</v>
      </c>
      <c r="B4377" s="9" t="s">
        <v>5870</v>
      </c>
      <c r="C4377" s="9" t="s">
        <v>4646</v>
      </c>
      <c r="D4377" s="9" t="s">
        <v>5871</v>
      </c>
      <c r="E4377" s="9" t="str">
        <f aca="false">IF(AND('Formation Ledger'!A4356&lt;&gt;"",'Formation Ledger'!V4356=0),"PASS","FAIL")</f>
        <v>PASS</v>
      </c>
      <c r="F4377" s="9" t="s">
        <v>76</v>
      </c>
      <c r="G4377" s="6"/>
      <c r="H4377" s="6"/>
      <c r="I4377" s="6"/>
      <c r="J4377" s="6"/>
      <c r="K4377" s="6"/>
      <c r="L4377" s="6"/>
      <c r="M4377" s="6"/>
      <c r="N4377" s="6"/>
      <c r="O4377" s="6"/>
      <c r="P4377" s="6"/>
      <c r="Q4377" s="6"/>
      <c r="R4377" s="6"/>
      <c r="S4377" s="6"/>
      <c r="T4377" s="6"/>
      <c r="U4377" s="6"/>
      <c r="V4377" s="6"/>
      <c r="W4377" s="6"/>
      <c r="X4377" s="6"/>
      <c r="Y4377" s="6"/>
      <c r="Z4377" s="6"/>
    </row>
    <row r="4378" customFormat="false" ht="15" hidden="false" customHeight="false" outlineLevel="0" collapsed="false">
      <c r="A4378" s="9" t="s">
        <v>10221</v>
      </c>
      <c r="B4378" s="9" t="s">
        <v>5870</v>
      </c>
      <c r="C4378" s="9" t="s">
        <v>4647</v>
      </c>
      <c r="D4378" s="9" t="s">
        <v>5871</v>
      </c>
      <c r="E4378" s="9" t="str">
        <f aca="false">IF(AND('Formation Ledger'!A4357&lt;&gt;"",'Formation Ledger'!V4357=0),"PASS","FAIL")</f>
        <v>PASS</v>
      </c>
      <c r="F4378" s="9" t="s">
        <v>76</v>
      </c>
      <c r="G4378" s="6"/>
      <c r="H4378" s="6"/>
      <c r="I4378" s="6"/>
      <c r="J4378" s="6"/>
      <c r="K4378" s="6"/>
      <c r="L4378" s="6"/>
      <c r="M4378" s="6"/>
      <c r="N4378" s="6"/>
      <c r="O4378" s="6"/>
      <c r="P4378" s="6"/>
      <c r="Q4378" s="6"/>
      <c r="R4378" s="6"/>
      <c r="S4378" s="6"/>
      <c r="T4378" s="6"/>
      <c r="U4378" s="6"/>
      <c r="V4378" s="6"/>
      <c r="W4378" s="6"/>
      <c r="X4378" s="6"/>
      <c r="Y4378" s="6"/>
      <c r="Z4378" s="6"/>
    </row>
    <row r="4379" customFormat="false" ht="15" hidden="false" customHeight="false" outlineLevel="0" collapsed="false">
      <c r="A4379" s="9" t="s">
        <v>10222</v>
      </c>
      <c r="B4379" s="9" t="s">
        <v>5870</v>
      </c>
      <c r="C4379" s="9" t="s">
        <v>4648</v>
      </c>
      <c r="D4379" s="9" t="s">
        <v>5871</v>
      </c>
      <c r="E4379" s="9" t="str">
        <f aca="false">IF(AND('Formation Ledger'!A4358&lt;&gt;"",'Formation Ledger'!V4358=0),"PASS","FAIL")</f>
        <v>PASS</v>
      </c>
      <c r="F4379" s="9" t="s">
        <v>76</v>
      </c>
      <c r="G4379" s="6"/>
      <c r="H4379" s="6"/>
      <c r="I4379" s="6"/>
      <c r="J4379" s="6"/>
      <c r="K4379" s="6"/>
      <c r="L4379" s="6"/>
      <c r="M4379" s="6"/>
      <c r="N4379" s="6"/>
      <c r="O4379" s="6"/>
      <c r="P4379" s="6"/>
      <c r="Q4379" s="6"/>
      <c r="R4379" s="6"/>
      <c r="S4379" s="6"/>
      <c r="T4379" s="6"/>
      <c r="U4379" s="6"/>
      <c r="V4379" s="6"/>
      <c r="W4379" s="6"/>
      <c r="X4379" s="6"/>
      <c r="Y4379" s="6"/>
      <c r="Z4379" s="6"/>
    </row>
    <row r="4380" customFormat="false" ht="15" hidden="false" customHeight="false" outlineLevel="0" collapsed="false">
      <c r="A4380" s="9" t="s">
        <v>10223</v>
      </c>
      <c r="B4380" s="9" t="s">
        <v>5870</v>
      </c>
      <c r="C4380" s="9" t="s">
        <v>4649</v>
      </c>
      <c r="D4380" s="9" t="s">
        <v>5871</v>
      </c>
      <c r="E4380" s="9" t="str">
        <f aca="false">IF(AND('Formation Ledger'!A4359&lt;&gt;"",'Formation Ledger'!V4359=0),"PASS","FAIL")</f>
        <v>PASS</v>
      </c>
      <c r="F4380" s="9" t="s">
        <v>76</v>
      </c>
      <c r="G4380" s="6"/>
      <c r="H4380" s="6"/>
      <c r="I4380" s="6"/>
      <c r="J4380" s="6"/>
      <c r="K4380" s="6"/>
      <c r="L4380" s="6"/>
      <c r="M4380" s="6"/>
      <c r="N4380" s="6"/>
      <c r="O4380" s="6"/>
      <c r="P4380" s="6"/>
      <c r="Q4380" s="6"/>
      <c r="R4380" s="6"/>
      <c r="S4380" s="6"/>
      <c r="T4380" s="6"/>
      <c r="U4380" s="6"/>
      <c r="V4380" s="6"/>
      <c r="W4380" s="6"/>
      <c r="X4380" s="6"/>
      <c r="Y4380" s="6"/>
      <c r="Z4380" s="6"/>
    </row>
    <row r="4381" customFormat="false" ht="15" hidden="false" customHeight="false" outlineLevel="0" collapsed="false">
      <c r="A4381" s="9" t="s">
        <v>10224</v>
      </c>
      <c r="B4381" s="9" t="s">
        <v>5870</v>
      </c>
      <c r="C4381" s="9" t="s">
        <v>4650</v>
      </c>
      <c r="D4381" s="9" t="s">
        <v>5871</v>
      </c>
      <c r="E4381" s="9" t="str">
        <f aca="false">IF(AND('Formation Ledger'!A4360&lt;&gt;"",'Formation Ledger'!V4360=0),"PASS","FAIL")</f>
        <v>PASS</v>
      </c>
      <c r="F4381" s="9" t="s">
        <v>76</v>
      </c>
      <c r="G4381" s="6"/>
      <c r="H4381" s="6"/>
      <c r="I4381" s="6"/>
      <c r="J4381" s="6"/>
      <c r="K4381" s="6"/>
      <c r="L4381" s="6"/>
      <c r="M4381" s="6"/>
      <c r="N4381" s="6"/>
      <c r="O4381" s="6"/>
      <c r="P4381" s="6"/>
      <c r="Q4381" s="6"/>
      <c r="R4381" s="6"/>
      <c r="S4381" s="6"/>
      <c r="T4381" s="6"/>
      <c r="U4381" s="6"/>
      <c r="V4381" s="6"/>
      <c r="W4381" s="6"/>
      <c r="X4381" s="6"/>
      <c r="Y4381" s="6"/>
      <c r="Z4381" s="6"/>
    </row>
    <row r="4382" customFormat="false" ht="15" hidden="false" customHeight="false" outlineLevel="0" collapsed="false">
      <c r="A4382" s="9" t="s">
        <v>10225</v>
      </c>
      <c r="B4382" s="9" t="s">
        <v>5870</v>
      </c>
      <c r="C4382" s="9" t="s">
        <v>4651</v>
      </c>
      <c r="D4382" s="9" t="s">
        <v>5871</v>
      </c>
      <c r="E4382" s="9" t="str">
        <f aca="false">IF(AND('Formation Ledger'!A4361&lt;&gt;"",'Formation Ledger'!V4361=0),"PASS","FAIL")</f>
        <v>PASS</v>
      </c>
      <c r="F4382" s="9" t="s">
        <v>76</v>
      </c>
      <c r="G4382" s="6"/>
      <c r="H4382" s="6"/>
      <c r="I4382" s="6"/>
      <c r="J4382" s="6"/>
      <c r="K4382" s="6"/>
      <c r="L4382" s="6"/>
      <c r="M4382" s="6"/>
      <c r="N4382" s="6"/>
      <c r="O4382" s="6"/>
      <c r="P4382" s="6"/>
      <c r="Q4382" s="6"/>
      <c r="R4382" s="6"/>
      <c r="S4382" s="6"/>
      <c r="T4382" s="6"/>
      <c r="U4382" s="6"/>
      <c r="V4382" s="6"/>
      <c r="W4382" s="6"/>
      <c r="X4382" s="6"/>
      <c r="Y4382" s="6"/>
      <c r="Z4382" s="6"/>
    </row>
    <row r="4383" customFormat="false" ht="15" hidden="false" customHeight="false" outlineLevel="0" collapsed="false">
      <c r="A4383" s="9" t="s">
        <v>10226</v>
      </c>
      <c r="B4383" s="9" t="s">
        <v>5870</v>
      </c>
      <c r="C4383" s="9" t="s">
        <v>4652</v>
      </c>
      <c r="D4383" s="9" t="s">
        <v>5871</v>
      </c>
      <c r="E4383" s="9" t="str">
        <f aca="false">IF(AND('Formation Ledger'!A4362&lt;&gt;"",'Formation Ledger'!V4362=0),"PASS","FAIL")</f>
        <v>PASS</v>
      </c>
      <c r="F4383" s="9" t="s">
        <v>76</v>
      </c>
      <c r="G4383" s="6"/>
      <c r="H4383" s="6"/>
      <c r="I4383" s="6"/>
      <c r="J4383" s="6"/>
      <c r="K4383" s="6"/>
      <c r="L4383" s="6"/>
      <c r="M4383" s="6"/>
      <c r="N4383" s="6"/>
      <c r="O4383" s="6"/>
      <c r="P4383" s="6"/>
      <c r="Q4383" s="6"/>
      <c r="R4383" s="6"/>
      <c r="S4383" s="6"/>
      <c r="T4383" s="6"/>
      <c r="U4383" s="6"/>
      <c r="V4383" s="6"/>
      <c r="W4383" s="6"/>
      <c r="X4383" s="6"/>
      <c r="Y4383" s="6"/>
      <c r="Z4383" s="6"/>
    </row>
    <row r="4384" customFormat="false" ht="15" hidden="false" customHeight="false" outlineLevel="0" collapsed="false">
      <c r="A4384" s="9" t="s">
        <v>10227</v>
      </c>
      <c r="B4384" s="9" t="s">
        <v>5870</v>
      </c>
      <c r="C4384" s="9" t="s">
        <v>4653</v>
      </c>
      <c r="D4384" s="9" t="s">
        <v>5871</v>
      </c>
      <c r="E4384" s="9" t="str">
        <f aca="false">IF(AND('Formation Ledger'!A4363&lt;&gt;"",'Formation Ledger'!V4363=0),"PASS","FAIL")</f>
        <v>PASS</v>
      </c>
      <c r="F4384" s="9" t="s">
        <v>76</v>
      </c>
      <c r="G4384" s="6"/>
      <c r="H4384" s="6"/>
      <c r="I4384" s="6"/>
      <c r="J4384" s="6"/>
      <c r="K4384" s="6"/>
      <c r="L4384" s="6"/>
      <c r="M4384" s="6"/>
      <c r="N4384" s="6"/>
      <c r="O4384" s="6"/>
      <c r="P4384" s="6"/>
      <c r="Q4384" s="6"/>
      <c r="R4384" s="6"/>
      <c r="S4384" s="6"/>
      <c r="T4384" s="6"/>
      <c r="U4384" s="6"/>
      <c r="V4384" s="6"/>
      <c r="W4384" s="6"/>
      <c r="X4384" s="6"/>
      <c r="Y4384" s="6"/>
      <c r="Z4384" s="6"/>
    </row>
    <row r="4385" customFormat="false" ht="15" hidden="false" customHeight="false" outlineLevel="0" collapsed="false">
      <c r="A4385" s="9" t="s">
        <v>10228</v>
      </c>
      <c r="B4385" s="9" t="s">
        <v>5870</v>
      </c>
      <c r="C4385" s="9" t="s">
        <v>4654</v>
      </c>
      <c r="D4385" s="9" t="s">
        <v>5871</v>
      </c>
      <c r="E4385" s="9" t="str">
        <f aca="false">IF(AND('Formation Ledger'!A4364&lt;&gt;"",'Formation Ledger'!V4364=0),"PASS","FAIL")</f>
        <v>PASS</v>
      </c>
      <c r="F4385" s="9" t="s">
        <v>76</v>
      </c>
      <c r="G4385" s="6"/>
      <c r="H4385" s="6"/>
      <c r="I4385" s="6"/>
      <c r="J4385" s="6"/>
      <c r="K4385" s="6"/>
      <c r="L4385" s="6"/>
      <c r="M4385" s="6"/>
      <c r="N4385" s="6"/>
      <c r="O4385" s="6"/>
      <c r="P4385" s="6"/>
      <c r="Q4385" s="6"/>
      <c r="R4385" s="6"/>
      <c r="S4385" s="6"/>
      <c r="T4385" s="6"/>
      <c r="U4385" s="6"/>
      <c r="V4385" s="6"/>
      <c r="W4385" s="6"/>
      <c r="X4385" s="6"/>
      <c r="Y4385" s="6"/>
      <c r="Z4385" s="6"/>
    </row>
    <row r="4386" customFormat="false" ht="15" hidden="false" customHeight="false" outlineLevel="0" collapsed="false">
      <c r="A4386" s="9" t="s">
        <v>10229</v>
      </c>
      <c r="B4386" s="9" t="s">
        <v>5870</v>
      </c>
      <c r="C4386" s="9" t="s">
        <v>4655</v>
      </c>
      <c r="D4386" s="9" t="s">
        <v>5871</v>
      </c>
      <c r="E4386" s="9" t="str">
        <f aca="false">IF(AND('Formation Ledger'!A4365&lt;&gt;"",'Formation Ledger'!V4365=0),"PASS","FAIL")</f>
        <v>PASS</v>
      </c>
      <c r="F4386" s="9" t="s">
        <v>76</v>
      </c>
      <c r="G4386" s="6"/>
      <c r="H4386" s="6"/>
      <c r="I4386" s="6"/>
      <c r="J4386" s="6"/>
      <c r="K4386" s="6"/>
      <c r="L4386" s="6"/>
      <c r="M4386" s="6"/>
      <c r="N4386" s="6"/>
      <c r="O4386" s="6"/>
      <c r="P4386" s="6"/>
      <c r="Q4386" s="6"/>
      <c r="R4386" s="6"/>
      <c r="S4386" s="6"/>
      <c r="T4386" s="6"/>
      <c r="U4386" s="6"/>
      <c r="V4386" s="6"/>
      <c r="W4386" s="6"/>
      <c r="X4386" s="6"/>
      <c r="Y4386" s="6"/>
      <c r="Z4386" s="6"/>
    </row>
    <row r="4387" customFormat="false" ht="15" hidden="false" customHeight="false" outlineLevel="0" collapsed="false">
      <c r="A4387" s="9" t="s">
        <v>10230</v>
      </c>
      <c r="B4387" s="9" t="s">
        <v>5870</v>
      </c>
      <c r="C4387" s="9" t="s">
        <v>4656</v>
      </c>
      <c r="D4387" s="9" t="s">
        <v>5871</v>
      </c>
      <c r="E4387" s="9" t="str">
        <f aca="false">IF(AND('Formation Ledger'!A4366&lt;&gt;"",'Formation Ledger'!V4366=0),"PASS","FAIL")</f>
        <v>PASS</v>
      </c>
      <c r="F4387" s="9" t="s">
        <v>76</v>
      </c>
      <c r="G4387" s="6"/>
      <c r="H4387" s="6"/>
      <c r="I4387" s="6"/>
      <c r="J4387" s="6"/>
      <c r="K4387" s="6"/>
      <c r="L4387" s="6"/>
      <c r="M4387" s="6"/>
      <c r="N4387" s="6"/>
      <c r="O4387" s="6"/>
      <c r="P4387" s="6"/>
      <c r="Q4387" s="6"/>
      <c r="R4387" s="6"/>
      <c r="S4387" s="6"/>
      <c r="T4387" s="6"/>
      <c r="U4387" s="6"/>
      <c r="V4387" s="6"/>
      <c r="W4387" s="6"/>
      <c r="X4387" s="6"/>
      <c r="Y4387" s="6"/>
      <c r="Z4387" s="6"/>
    </row>
    <row r="4388" customFormat="false" ht="15" hidden="false" customHeight="false" outlineLevel="0" collapsed="false">
      <c r="A4388" s="9" t="s">
        <v>10231</v>
      </c>
      <c r="B4388" s="9" t="s">
        <v>5870</v>
      </c>
      <c r="C4388" s="9" t="s">
        <v>4657</v>
      </c>
      <c r="D4388" s="9" t="s">
        <v>5871</v>
      </c>
      <c r="E4388" s="9" t="str">
        <f aca="false">IF(AND('Formation Ledger'!A4367&lt;&gt;"",'Formation Ledger'!V4367=0),"PASS","FAIL")</f>
        <v>PASS</v>
      </c>
      <c r="F4388" s="9" t="s">
        <v>76</v>
      </c>
      <c r="G4388" s="6"/>
      <c r="H4388" s="6"/>
      <c r="I4388" s="6"/>
      <c r="J4388" s="6"/>
      <c r="K4388" s="6"/>
      <c r="L4388" s="6"/>
      <c r="M4388" s="6"/>
      <c r="N4388" s="6"/>
      <c r="O4388" s="6"/>
      <c r="P4388" s="6"/>
      <c r="Q4388" s="6"/>
      <c r="R4388" s="6"/>
      <c r="S4388" s="6"/>
      <c r="T4388" s="6"/>
      <c r="U4388" s="6"/>
      <c r="V4388" s="6"/>
      <c r="W4388" s="6"/>
      <c r="X4388" s="6"/>
      <c r="Y4388" s="6"/>
      <c r="Z4388" s="6"/>
    </row>
    <row r="4389" customFormat="false" ht="15" hidden="false" customHeight="false" outlineLevel="0" collapsed="false">
      <c r="A4389" s="9" t="s">
        <v>10232</v>
      </c>
      <c r="B4389" s="9" t="s">
        <v>5870</v>
      </c>
      <c r="C4389" s="9" t="s">
        <v>4658</v>
      </c>
      <c r="D4389" s="9" t="s">
        <v>5871</v>
      </c>
      <c r="E4389" s="9" t="str">
        <f aca="false">IF(AND('Formation Ledger'!A4368&lt;&gt;"",'Formation Ledger'!V4368=0),"PASS","FAIL")</f>
        <v>PASS</v>
      </c>
      <c r="F4389" s="9" t="s">
        <v>76</v>
      </c>
      <c r="G4389" s="6"/>
      <c r="H4389" s="6"/>
      <c r="I4389" s="6"/>
      <c r="J4389" s="6"/>
      <c r="K4389" s="6"/>
      <c r="L4389" s="6"/>
      <c r="M4389" s="6"/>
      <c r="N4389" s="6"/>
      <c r="O4389" s="6"/>
      <c r="P4389" s="6"/>
      <c r="Q4389" s="6"/>
      <c r="R4389" s="6"/>
      <c r="S4389" s="6"/>
      <c r="T4389" s="6"/>
      <c r="U4389" s="6"/>
      <c r="V4389" s="6"/>
      <c r="W4389" s="6"/>
      <c r="X4389" s="6"/>
      <c r="Y4389" s="6"/>
      <c r="Z4389" s="6"/>
    </row>
    <row r="4390" customFormat="false" ht="15" hidden="false" customHeight="false" outlineLevel="0" collapsed="false">
      <c r="A4390" s="9" t="s">
        <v>10233</v>
      </c>
      <c r="B4390" s="9" t="s">
        <v>5870</v>
      </c>
      <c r="C4390" s="9" t="s">
        <v>4659</v>
      </c>
      <c r="D4390" s="9" t="s">
        <v>5871</v>
      </c>
      <c r="E4390" s="9" t="str">
        <f aca="false">IF(AND('Formation Ledger'!A4369&lt;&gt;"",'Formation Ledger'!V4369=0),"PASS","FAIL")</f>
        <v>PASS</v>
      </c>
      <c r="F4390" s="9" t="s">
        <v>76</v>
      </c>
      <c r="G4390" s="6"/>
      <c r="H4390" s="6"/>
      <c r="I4390" s="6"/>
      <c r="J4390" s="6"/>
      <c r="K4390" s="6"/>
      <c r="L4390" s="6"/>
      <c r="M4390" s="6"/>
      <c r="N4390" s="6"/>
      <c r="O4390" s="6"/>
      <c r="P4390" s="6"/>
      <c r="Q4390" s="6"/>
      <c r="R4390" s="6"/>
      <c r="S4390" s="6"/>
      <c r="T4390" s="6"/>
      <c r="U4390" s="6"/>
      <c r="V4390" s="6"/>
      <c r="W4390" s="6"/>
      <c r="X4390" s="6"/>
      <c r="Y4390" s="6"/>
      <c r="Z4390" s="6"/>
    </row>
    <row r="4391" customFormat="false" ht="15" hidden="false" customHeight="false" outlineLevel="0" collapsed="false">
      <c r="A4391" s="9" t="s">
        <v>10234</v>
      </c>
      <c r="B4391" s="9" t="s">
        <v>5870</v>
      </c>
      <c r="C4391" s="9" t="s">
        <v>4660</v>
      </c>
      <c r="D4391" s="9" t="s">
        <v>5871</v>
      </c>
      <c r="E4391" s="9" t="str">
        <f aca="false">IF(AND('Formation Ledger'!A4370&lt;&gt;"",'Formation Ledger'!V4370=0),"PASS","FAIL")</f>
        <v>PASS</v>
      </c>
      <c r="F4391" s="9" t="s">
        <v>76</v>
      </c>
      <c r="G4391" s="6"/>
      <c r="H4391" s="6"/>
      <c r="I4391" s="6"/>
      <c r="J4391" s="6"/>
      <c r="K4391" s="6"/>
      <c r="L4391" s="6"/>
      <c r="M4391" s="6"/>
      <c r="N4391" s="6"/>
      <c r="O4391" s="6"/>
      <c r="P4391" s="6"/>
      <c r="Q4391" s="6"/>
      <c r="R4391" s="6"/>
      <c r="S4391" s="6"/>
      <c r="T4391" s="6"/>
      <c r="U4391" s="6"/>
      <c r="V4391" s="6"/>
      <c r="W4391" s="6"/>
      <c r="X4391" s="6"/>
      <c r="Y4391" s="6"/>
      <c r="Z4391" s="6"/>
    </row>
    <row r="4392" customFormat="false" ht="15" hidden="false" customHeight="false" outlineLevel="0" collapsed="false">
      <c r="A4392" s="9" t="s">
        <v>10235</v>
      </c>
      <c r="B4392" s="9" t="s">
        <v>5870</v>
      </c>
      <c r="C4392" s="9" t="s">
        <v>4661</v>
      </c>
      <c r="D4392" s="9" t="s">
        <v>5871</v>
      </c>
      <c r="E4392" s="9" t="str">
        <f aca="false">IF(AND('Formation Ledger'!A4371&lt;&gt;"",'Formation Ledger'!V4371=0),"PASS","FAIL")</f>
        <v>PASS</v>
      </c>
      <c r="F4392" s="9" t="s">
        <v>76</v>
      </c>
      <c r="G4392" s="6"/>
      <c r="H4392" s="6"/>
      <c r="I4392" s="6"/>
      <c r="J4392" s="6"/>
      <c r="K4392" s="6"/>
      <c r="L4392" s="6"/>
      <c r="M4392" s="6"/>
      <c r="N4392" s="6"/>
      <c r="O4392" s="6"/>
      <c r="P4392" s="6"/>
      <c r="Q4392" s="6"/>
      <c r="R4392" s="6"/>
      <c r="S4392" s="6"/>
      <c r="T4392" s="6"/>
      <c r="U4392" s="6"/>
      <c r="V4392" s="6"/>
      <c r="W4392" s="6"/>
      <c r="X4392" s="6"/>
      <c r="Y4392" s="6"/>
      <c r="Z4392" s="6"/>
    </row>
    <row r="4393" customFormat="false" ht="15" hidden="false" customHeight="false" outlineLevel="0" collapsed="false">
      <c r="A4393" s="9" t="s">
        <v>10236</v>
      </c>
      <c r="B4393" s="9" t="s">
        <v>5870</v>
      </c>
      <c r="C4393" s="9" t="s">
        <v>4662</v>
      </c>
      <c r="D4393" s="9" t="s">
        <v>5871</v>
      </c>
      <c r="E4393" s="9" t="str">
        <f aca="false">IF(AND('Formation Ledger'!A4372&lt;&gt;"",'Formation Ledger'!V4372=0),"PASS","FAIL")</f>
        <v>PASS</v>
      </c>
      <c r="F4393" s="9" t="s">
        <v>76</v>
      </c>
      <c r="G4393" s="6"/>
      <c r="H4393" s="6"/>
      <c r="I4393" s="6"/>
      <c r="J4393" s="6"/>
      <c r="K4393" s="6"/>
      <c r="L4393" s="6"/>
      <c r="M4393" s="6"/>
      <c r="N4393" s="6"/>
      <c r="O4393" s="6"/>
      <c r="P4393" s="6"/>
      <c r="Q4393" s="6"/>
      <c r="R4393" s="6"/>
      <c r="S4393" s="6"/>
      <c r="T4393" s="6"/>
      <c r="U4393" s="6"/>
      <c r="V4393" s="6"/>
      <c r="W4393" s="6"/>
      <c r="X4393" s="6"/>
      <c r="Y4393" s="6"/>
      <c r="Z4393" s="6"/>
    </row>
    <row r="4394" customFormat="false" ht="15" hidden="false" customHeight="false" outlineLevel="0" collapsed="false">
      <c r="A4394" s="9" t="s">
        <v>10237</v>
      </c>
      <c r="B4394" s="9" t="s">
        <v>5870</v>
      </c>
      <c r="C4394" s="9" t="s">
        <v>4663</v>
      </c>
      <c r="D4394" s="9" t="s">
        <v>5871</v>
      </c>
      <c r="E4394" s="9" t="str">
        <f aca="false">IF(AND('Formation Ledger'!A4373&lt;&gt;"",'Formation Ledger'!V4373=0),"PASS","FAIL")</f>
        <v>PASS</v>
      </c>
      <c r="F4394" s="9" t="s">
        <v>76</v>
      </c>
      <c r="G4394" s="6"/>
      <c r="H4394" s="6"/>
      <c r="I4394" s="6"/>
      <c r="J4394" s="6"/>
      <c r="K4394" s="6"/>
      <c r="L4394" s="6"/>
      <c r="M4394" s="6"/>
      <c r="N4394" s="6"/>
      <c r="O4394" s="6"/>
      <c r="P4394" s="6"/>
      <c r="Q4394" s="6"/>
      <c r="R4394" s="6"/>
      <c r="S4394" s="6"/>
      <c r="T4394" s="6"/>
      <c r="U4394" s="6"/>
      <c r="V4394" s="6"/>
      <c r="W4394" s="6"/>
      <c r="X4394" s="6"/>
      <c r="Y4394" s="6"/>
      <c r="Z4394" s="6"/>
    </row>
    <row r="4395" customFormat="false" ht="15" hidden="false" customHeight="false" outlineLevel="0" collapsed="false">
      <c r="A4395" s="9" t="s">
        <v>10238</v>
      </c>
      <c r="B4395" s="9" t="s">
        <v>5870</v>
      </c>
      <c r="C4395" s="9" t="s">
        <v>4664</v>
      </c>
      <c r="D4395" s="9" t="s">
        <v>5871</v>
      </c>
      <c r="E4395" s="9" t="str">
        <f aca="false">IF(AND('Formation Ledger'!A4374&lt;&gt;"",'Formation Ledger'!V4374=0),"PASS","FAIL")</f>
        <v>PASS</v>
      </c>
      <c r="F4395" s="9" t="s">
        <v>76</v>
      </c>
      <c r="G4395" s="6"/>
      <c r="H4395" s="6"/>
      <c r="I4395" s="6"/>
      <c r="J4395" s="6"/>
      <c r="K4395" s="6"/>
      <c r="L4395" s="6"/>
      <c r="M4395" s="6"/>
      <c r="N4395" s="6"/>
      <c r="O4395" s="6"/>
      <c r="P4395" s="6"/>
      <c r="Q4395" s="6"/>
      <c r="R4395" s="6"/>
      <c r="S4395" s="6"/>
      <c r="T4395" s="6"/>
      <c r="U4395" s="6"/>
      <c r="V4395" s="6"/>
      <c r="W4395" s="6"/>
      <c r="X4395" s="6"/>
      <c r="Y4395" s="6"/>
      <c r="Z4395" s="6"/>
    </row>
    <row r="4396" customFormat="false" ht="15" hidden="false" customHeight="false" outlineLevel="0" collapsed="false">
      <c r="A4396" s="9" t="s">
        <v>10239</v>
      </c>
      <c r="B4396" s="9" t="s">
        <v>5870</v>
      </c>
      <c r="C4396" s="9" t="s">
        <v>4665</v>
      </c>
      <c r="D4396" s="9" t="s">
        <v>5871</v>
      </c>
      <c r="E4396" s="9" t="str">
        <f aca="false">IF(AND('Formation Ledger'!A4375&lt;&gt;"",'Formation Ledger'!V4375=0),"PASS","FAIL")</f>
        <v>PASS</v>
      </c>
      <c r="F4396" s="9" t="s">
        <v>76</v>
      </c>
      <c r="G4396" s="6"/>
      <c r="H4396" s="6"/>
      <c r="I4396" s="6"/>
      <c r="J4396" s="6"/>
      <c r="K4396" s="6"/>
      <c r="L4396" s="6"/>
      <c r="M4396" s="6"/>
      <c r="N4396" s="6"/>
      <c r="O4396" s="6"/>
      <c r="P4396" s="6"/>
      <c r="Q4396" s="6"/>
      <c r="R4396" s="6"/>
      <c r="S4396" s="6"/>
      <c r="T4396" s="6"/>
      <c r="U4396" s="6"/>
      <c r="V4396" s="6"/>
      <c r="W4396" s="6"/>
      <c r="X4396" s="6"/>
      <c r="Y4396" s="6"/>
      <c r="Z4396" s="6"/>
    </row>
    <row r="4397" customFormat="false" ht="15" hidden="false" customHeight="false" outlineLevel="0" collapsed="false">
      <c r="A4397" s="9" t="s">
        <v>10240</v>
      </c>
      <c r="B4397" s="9" t="s">
        <v>5870</v>
      </c>
      <c r="C4397" s="9" t="s">
        <v>4666</v>
      </c>
      <c r="D4397" s="9" t="s">
        <v>5871</v>
      </c>
      <c r="E4397" s="9" t="str">
        <f aca="false">IF(AND('Formation Ledger'!A4376&lt;&gt;"",'Formation Ledger'!V4376=0),"PASS","FAIL")</f>
        <v>PASS</v>
      </c>
      <c r="F4397" s="9" t="s">
        <v>76</v>
      </c>
      <c r="G4397" s="6"/>
      <c r="H4397" s="6"/>
      <c r="I4397" s="6"/>
      <c r="J4397" s="6"/>
      <c r="K4397" s="6"/>
      <c r="L4397" s="6"/>
      <c r="M4397" s="6"/>
      <c r="N4397" s="6"/>
      <c r="O4397" s="6"/>
      <c r="P4397" s="6"/>
      <c r="Q4397" s="6"/>
      <c r="R4397" s="6"/>
      <c r="S4397" s="6"/>
      <c r="T4397" s="6"/>
      <c r="U4397" s="6"/>
      <c r="V4397" s="6"/>
      <c r="W4397" s="6"/>
      <c r="X4397" s="6"/>
      <c r="Y4397" s="6"/>
      <c r="Z4397" s="6"/>
    </row>
    <row r="4398" customFormat="false" ht="15" hidden="false" customHeight="false" outlineLevel="0" collapsed="false">
      <c r="A4398" s="9" t="s">
        <v>10241</v>
      </c>
      <c r="B4398" s="9" t="s">
        <v>5870</v>
      </c>
      <c r="C4398" s="9" t="s">
        <v>4667</v>
      </c>
      <c r="D4398" s="9" t="s">
        <v>5871</v>
      </c>
      <c r="E4398" s="9" t="str">
        <f aca="false">IF(AND('Formation Ledger'!A4377&lt;&gt;"",'Formation Ledger'!V4377=0),"PASS","FAIL")</f>
        <v>PASS</v>
      </c>
      <c r="F4398" s="9" t="s">
        <v>76</v>
      </c>
      <c r="G4398" s="6"/>
      <c r="H4398" s="6"/>
      <c r="I4398" s="6"/>
      <c r="J4398" s="6"/>
      <c r="K4398" s="6"/>
      <c r="L4398" s="6"/>
      <c r="M4398" s="6"/>
      <c r="N4398" s="6"/>
      <c r="O4398" s="6"/>
      <c r="P4398" s="6"/>
      <c r="Q4398" s="6"/>
      <c r="R4398" s="6"/>
      <c r="S4398" s="6"/>
      <c r="T4398" s="6"/>
      <c r="U4398" s="6"/>
      <c r="V4398" s="6"/>
      <c r="W4398" s="6"/>
      <c r="X4398" s="6"/>
      <c r="Y4398" s="6"/>
      <c r="Z4398" s="6"/>
    </row>
    <row r="4399" customFormat="false" ht="15" hidden="false" customHeight="false" outlineLevel="0" collapsed="false">
      <c r="A4399" s="9" t="s">
        <v>10242</v>
      </c>
      <c r="B4399" s="9" t="s">
        <v>5870</v>
      </c>
      <c r="C4399" s="9" t="s">
        <v>4668</v>
      </c>
      <c r="D4399" s="9" t="s">
        <v>5871</v>
      </c>
      <c r="E4399" s="9" t="str">
        <f aca="false">IF(AND('Formation Ledger'!A4378&lt;&gt;"",'Formation Ledger'!V4378=0),"PASS","FAIL")</f>
        <v>PASS</v>
      </c>
      <c r="F4399" s="9" t="s">
        <v>76</v>
      </c>
      <c r="G4399" s="6"/>
      <c r="H4399" s="6"/>
      <c r="I4399" s="6"/>
      <c r="J4399" s="6"/>
      <c r="K4399" s="6"/>
      <c r="L4399" s="6"/>
      <c r="M4399" s="6"/>
      <c r="N4399" s="6"/>
      <c r="O4399" s="6"/>
      <c r="P4399" s="6"/>
      <c r="Q4399" s="6"/>
      <c r="R4399" s="6"/>
      <c r="S4399" s="6"/>
      <c r="T4399" s="6"/>
      <c r="U4399" s="6"/>
      <c r="V4399" s="6"/>
      <c r="W4399" s="6"/>
      <c r="X4399" s="6"/>
      <c r="Y4399" s="6"/>
      <c r="Z4399" s="6"/>
    </row>
    <row r="4400" customFormat="false" ht="15" hidden="false" customHeight="false" outlineLevel="0" collapsed="false">
      <c r="A4400" s="9" t="s">
        <v>10243</v>
      </c>
      <c r="B4400" s="9" t="s">
        <v>5870</v>
      </c>
      <c r="C4400" s="9" t="s">
        <v>4669</v>
      </c>
      <c r="D4400" s="9" t="s">
        <v>5871</v>
      </c>
      <c r="E4400" s="9" t="str">
        <f aca="false">IF(AND('Formation Ledger'!A4379&lt;&gt;"",'Formation Ledger'!V4379=0),"PASS","FAIL")</f>
        <v>PASS</v>
      </c>
      <c r="F4400" s="9" t="s">
        <v>76</v>
      </c>
      <c r="G4400" s="6"/>
      <c r="H4400" s="6"/>
      <c r="I4400" s="6"/>
      <c r="J4400" s="6"/>
      <c r="K4400" s="6"/>
      <c r="L4400" s="6"/>
      <c r="M4400" s="6"/>
      <c r="N4400" s="6"/>
      <c r="O4400" s="6"/>
      <c r="P4400" s="6"/>
      <c r="Q4400" s="6"/>
      <c r="R4400" s="6"/>
      <c r="S4400" s="6"/>
      <c r="T4400" s="6"/>
      <c r="U4400" s="6"/>
      <c r="V4400" s="6"/>
      <c r="W4400" s="6"/>
      <c r="X4400" s="6"/>
      <c r="Y4400" s="6"/>
      <c r="Z4400" s="6"/>
    </row>
    <row r="4401" customFormat="false" ht="15" hidden="false" customHeight="false" outlineLevel="0" collapsed="false">
      <c r="A4401" s="9" t="s">
        <v>10244</v>
      </c>
      <c r="B4401" s="9" t="s">
        <v>5870</v>
      </c>
      <c r="C4401" s="9" t="s">
        <v>4670</v>
      </c>
      <c r="D4401" s="9" t="s">
        <v>5871</v>
      </c>
      <c r="E4401" s="9" t="str">
        <f aca="false">IF(AND('Formation Ledger'!A4380&lt;&gt;"",'Formation Ledger'!V4380=0),"PASS","FAIL")</f>
        <v>PASS</v>
      </c>
      <c r="F4401" s="9" t="s">
        <v>76</v>
      </c>
      <c r="G4401" s="6"/>
      <c r="H4401" s="6"/>
      <c r="I4401" s="6"/>
      <c r="J4401" s="6"/>
      <c r="K4401" s="6"/>
      <c r="L4401" s="6"/>
      <c r="M4401" s="6"/>
      <c r="N4401" s="6"/>
      <c r="O4401" s="6"/>
      <c r="P4401" s="6"/>
      <c r="Q4401" s="6"/>
      <c r="R4401" s="6"/>
      <c r="S4401" s="6"/>
      <c r="T4401" s="6"/>
      <c r="U4401" s="6"/>
      <c r="V4401" s="6"/>
      <c r="W4401" s="6"/>
      <c r="X4401" s="6"/>
      <c r="Y4401" s="6"/>
      <c r="Z4401" s="6"/>
    </row>
    <row r="4402" customFormat="false" ht="15" hidden="false" customHeight="false" outlineLevel="0" collapsed="false">
      <c r="A4402" s="9" t="s">
        <v>10245</v>
      </c>
      <c r="B4402" s="9" t="s">
        <v>5870</v>
      </c>
      <c r="C4402" s="9" t="s">
        <v>4671</v>
      </c>
      <c r="D4402" s="9" t="s">
        <v>5871</v>
      </c>
      <c r="E4402" s="9" t="str">
        <f aca="false">IF(AND('Formation Ledger'!A4381&lt;&gt;"",'Formation Ledger'!V4381=0),"PASS","FAIL")</f>
        <v>PASS</v>
      </c>
      <c r="F4402" s="9" t="s">
        <v>76</v>
      </c>
      <c r="G4402" s="6"/>
      <c r="H4402" s="6"/>
      <c r="I4402" s="6"/>
      <c r="J4402" s="6"/>
      <c r="K4402" s="6"/>
      <c r="L4402" s="6"/>
      <c r="M4402" s="6"/>
      <c r="N4402" s="6"/>
      <c r="O4402" s="6"/>
      <c r="P4402" s="6"/>
      <c r="Q4402" s="6"/>
      <c r="R4402" s="6"/>
      <c r="S4402" s="6"/>
      <c r="T4402" s="6"/>
      <c r="U4402" s="6"/>
      <c r="V4402" s="6"/>
      <c r="W4402" s="6"/>
      <c r="X4402" s="6"/>
      <c r="Y4402" s="6"/>
      <c r="Z4402" s="6"/>
    </row>
    <row r="4403" customFormat="false" ht="15" hidden="false" customHeight="false" outlineLevel="0" collapsed="false">
      <c r="A4403" s="9" t="s">
        <v>10246</v>
      </c>
      <c r="B4403" s="9" t="s">
        <v>5870</v>
      </c>
      <c r="C4403" s="9" t="s">
        <v>4672</v>
      </c>
      <c r="D4403" s="9" t="s">
        <v>5871</v>
      </c>
      <c r="E4403" s="9" t="str">
        <f aca="false">IF(AND('Formation Ledger'!A4382&lt;&gt;"",'Formation Ledger'!V4382=0),"PASS","FAIL")</f>
        <v>PASS</v>
      </c>
      <c r="F4403" s="9" t="s">
        <v>76</v>
      </c>
      <c r="G4403" s="6"/>
      <c r="H4403" s="6"/>
      <c r="I4403" s="6"/>
      <c r="J4403" s="6"/>
      <c r="K4403" s="6"/>
      <c r="L4403" s="6"/>
      <c r="M4403" s="6"/>
      <c r="N4403" s="6"/>
      <c r="O4403" s="6"/>
      <c r="P4403" s="6"/>
      <c r="Q4403" s="6"/>
      <c r="R4403" s="6"/>
      <c r="S4403" s="6"/>
      <c r="T4403" s="6"/>
      <c r="U4403" s="6"/>
      <c r="V4403" s="6"/>
      <c r="W4403" s="6"/>
      <c r="X4403" s="6"/>
      <c r="Y4403" s="6"/>
      <c r="Z4403" s="6"/>
    </row>
    <row r="4404" customFormat="false" ht="15" hidden="false" customHeight="false" outlineLevel="0" collapsed="false">
      <c r="A4404" s="9" t="s">
        <v>10247</v>
      </c>
      <c r="B4404" s="9" t="s">
        <v>5870</v>
      </c>
      <c r="C4404" s="9" t="s">
        <v>4673</v>
      </c>
      <c r="D4404" s="9" t="s">
        <v>5871</v>
      </c>
      <c r="E4404" s="9" t="str">
        <f aca="false">IF(AND('Formation Ledger'!A4383&lt;&gt;"",'Formation Ledger'!V4383=0),"PASS","FAIL")</f>
        <v>PASS</v>
      </c>
      <c r="F4404" s="9" t="s">
        <v>76</v>
      </c>
      <c r="G4404" s="6"/>
      <c r="H4404" s="6"/>
      <c r="I4404" s="6"/>
      <c r="J4404" s="6"/>
      <c r="K4404" s="6"/>
      <c r="L4404" s="6"/>
      <c r="M4404" s="6"/>
      <c r="N4404" s="6"/>
      <c r="O4404" s="6"/>
      <c r="P4404" s="6"/>
      <c r="Q4404" s="6"/>
      <c r="R4404" s="6"/>
      <c r="S4404" s="6"/>
      <c r="T4404" s="6"/>
      <c r="U4404" s="6"/>
      <c r="V4404" s="6"/>
      <c r="W4404" s="6"/>
      <c r="X4404" s="6"/>
      <c r="Y4404" s="6"/>
      <c r="Z4404" s="6"/>
    </row>
    <row r="4405" customFormat="false" ht="15" hidden="false" customHeight="false" outlineLevel="0" collapsed="false">
      <c r="A4405" s="9" t="s">
        <v>10248</v>
      </c>
      <c r="B4405" s="9" t="s">
        <v>5870</v>
      </c>
      <c r="C4405" s="9" t="s">
        <v>4674</v>
      </c>
      <c r="D4405" s="9" t="s">
        <v>5871</v>
      </c>
      <c r="E4405" s="9" t="str">
        <f aca="false">IF(AND('Formation Ledger'!A4384&lt;&gt;"",'Formation Ledger'!V4384=0),"PASS","FAIL")</f>
        <v>PASS</v>
      </c>
      <c r="F4405" s="9" t="s">
        <v>76</v>
      </c>
      <c r="G4405" s="6"/>
      <c r="H4405" s="6"/>
      <c r="I4405" s="6"/>
      <c r="J4405" s="6"/>
      <c r="K4405" s="6"/>
      <c r="L4405" s="6"/>
      <c r="M4405" s="6"/>
      <c r="N4405" s="6"/>
      <c r="O4405" s="6"/>
      <c r="P4405" s="6"/>
      <c r="Q4405" s="6"/>
      <c r="R4405" s="6"/>
      <c r="S4405" s="6"/>
      <c r="T4405" s="6"/>
      <c r="U4405" s="6"/>
      <c r="V4405" s="6"/>
      <c r="W4405" s="6"/>
      <c r="X4405" s="6"/>
      <c r="Y4405" s="6"/>
      <c r="Z4405" s="6"/>
    </row>
    <row r="4406" customFormat="false" ht="15" hidden="false" customHeight="false" outlineLevel="0" collapsed="false">
      <c r="A4406" s="9" t="s">
        <v>10249</v>
      </c>
      <c r="B4406" s="9" t="s">
        <v>5870</v>
      </c>
      <c r="C4406" s="9" t="s">
        <v>4675</v>
      </c>
      <c r="D4406" s="9" t="s">
        <v>5871</v>
      </c>
      <c r="E4406" s="9" t="str">
        <f aca="false">IF(AND('Formation Ledger'!A4385&lt;&gt;"",'Formation Ledger'!V4385=0),"PASS","FAIL")</f>
        <v>PASS</v>
      </c>
      <c r="F4406" s="9" t="s">
        <v>76</v>
      </c>
      <c r="G4406" s="6"/>
      <c r="H4406" s="6"/>
      <c r="I4406" s="6"/>
      <c r="J4406" s="6"/>
      <c r="K4406" s="6"/>
      <c r="L4406" s="6"/>
      <c r="M4406" s="6"/>
      <c r="N4406" s="6"/>
      <c r="O4406" s="6"/>
      <c r="P4406" s="6"/>
      <c r="Q4406" s="6"/>
      <c r="R4406" s="6"/>
      <c r="S4406" s="6"/>
      <c r="T4406" s="6"/>
      <c r="U4406" s="6"/>
      <c r="V4406" s="6"/>
      <c r="W4406" s="6"/>
      <c r="X4406" s="6"/>
      <c r="Y4406" s="6"/>
      <c r="Z4406" s="6"/>
    </row>
    <row r="4407" customFormat="false" ht="15" hidden="false" customHeight="false" outlineLevel="0" collapsed="false">
      <c r="A4407" s="9" t="s">
        <v>10250</v>
      </c>
      <c r="B4407" s="9" t="s">
        <v>5870</v>
      </c>
      <c r="C4407" s="9" t="s">
        <v>4676</v>
      </c>
      <c r="D4407" s="9" t="s">
        <v>5871</v>
      </c>
      <c r="E4407" s="9" t="str">
        <f aca="false">IF(AND('Formation Ledger'!A4386&lt;&gt;"",'Formation Ledger'!V4386=0),"PASS","FAIL")</f>
        <v>PASS</v>
      </c>
      <c r="F4407" s="9" t="s">
        <v>76</v>
      </c>
      <c r="G4407" s="6"/>
      <c r="H4407" s="6"/>
      <c r="I4407" s="6"/>
      <c r="J4407" s="6"/>
      <c r="K4407" s="6"/>
      <c r="L4407" s="6"/>
      <c r="M4407" s="6"/>
      <c r="N4407" s="6"/>
      <c r="O4407" s="6"/>
      <c r="P4407" s="6"/>
      <c r="Q4407" s="6"/>
      <c r="R4407" s="6"/>
      <c r="S4407" s="6"/>
      <c r="T4407" s="6"/>
      <c r="U4407" s="6"/>
      <c r="V4407" s="6"/>
      <c r="W4407" s="6"/>
      <c r="X4407" s="6"/>
      <c r="Y4407" s="6"/>
      <c r="Z4407" s="6"/>
    </row>
    <row r="4408" customFormat="false" ht="15" hidden="false" customHeight="false" outlineLevel="0" collapsed="false">
      <c r="A4408" s="9" t="s">
        <v>10251</v>
      </c>
      <c r="B4408" s="9" t="s">
        <v>5870</v>
      </c>
      <c r="C4408" s="9" t="s">
        <v>4677</v>
      </c>
      <c r="D4408" s="9" t="s">
        <v>5871</v>
      </c>
      <c r="E4408" s="9" t="str">
        <f aca="false">IF(AND('Formation Ledger'!A4387&lt;&gt;"",'Formation Ledger'!V4387=0),"PASS","FAIL")</f>
        <v>PASS</v>
      </c>
      <c r="F4408" s="9" t="s">
        <v>76</v>
      </c>
      <c r="G4408" s="6"/>
      <c r="H4408" s="6"/>
      <c r="I4408" s="6"/>
      <c r="J4408" s="6"/>
      <c r="K4408" s="6"/>
      <c r="L4408" s="6"/>
      <c r="M4408" s="6"/>
      <c r="N4408" s="6"/>
      <c r="O4408" s="6"/>
      <c r="P4408" s="6"/>
      <c r="Q4408" s="6"/>
      <c r="R4408" s="6"/>
      <c r="S4408" s="6"/>
      <c r="T4408" s="6"/>
      <c r="U4408" s="6"/>
      <c r="V4408" s="6"/>
      <c r="W4408" s="6"/>
      <c r="X4408" s="6"/>
      <c r="Y4408" s="6"/>
      <c r="Z4408" s="6"/>
    </row>
    <row r="4409" customFormat="false" ht="15" hidden="false" customHeight="false" outlineLevel="0" collapsed="false">
      <c r="A4409" s="9" t="s">
        <v>10252</v>
      </c>
      <c r="B4409" s="9" t="s">
        <v>5870</v>
      </c>
      <c r="C4409" s="9" t="s">
        <v>4678</v>
      </c>
      <c r="D4409" s="9" t="s">
        <v>5871</v>
      </c>
      <c r="E4409" s="9" t="str">
        <f aca="false">IF(AND('Formation Ledger'!A4388&lt;&gt;"",'Formation Ledger'!V4388=0),"PASS","FAIL")</f>
        <v>PASS</v>
      </c>
      <c r="F4409" s="9" t="s">
        <v>76</v>
      </c>
      <c r="G4409" s="6"/>
      <c r="H4409" s="6"/>
      <c r="I4409" s="6"/>
      <c r="J4409" s="6"/>
      <c r="K4409" s="6"/>
      <c r="L4409" s="6"/>
      <c r="M4409" s="6"/>
      <c r="N4409" s="6"/>
      <c r="O4409" s="6"/>
      <c r="P4409" s="6"/>
      <c r="Q4409" s="6"/>
      <c r="R4409" s="6"/>
      <c r="S4409" s="6"/>
      <c r="T4409" s="6"/>
      <c r="U4409" s="6"/>
      <c r="V4409" s="6"/>
      <c r="W4409" s="6"/>
      <c r="X4409" s="6"/>
      <c r="Y4409" s="6"/>
      <c r="Z4409" s="6"/>
    </row>
    <row r="4410" customFormat="false" ht="15" hidden="false" customHeight="false" outlineLevel="0" collapsed="false">
      <c r="A4410" s="9" t="s">
        <v>10253</v>
      </c>
      <c r="B4410" s="9" t="s">
        <v>5870</v>
      </c>
      <c r="C4410" s="9" t="s">
        <v>4679</v>
      </c>
      <c r="D4410" s="9" t="s">
        <v>5871</v>
      </c>
      <c r="E4410" s="9" t="str">
        <f aca="false">IF(AND('Formation Ledger'!A4389&lt;&gt;"",'Formation Ledger'!V4389=0),"PASS","FAIL")</f>
        <v>PASS</v>
      </c>
      <c r="F4410" s="9" t="s">
        <v>76</v>
      </c>
      <c r="G4410" s="6"/>
      <c r="H4410" s="6"/>
      <c r="I4410" s="6"/>
      <c r="J4410" s="6"/>
      <c r="K4410" s="6"/>
      <c r="L4410" s="6"/>
      <c r="M4410" s="6"/>
      <c r="N4410" s="6"/>
      <c r="O4410" s="6"/>
      <c r="P4410" s="6"/>
      <c r="Q4410" s="6"/>
      <c r="R4410" s="6"/>
      <c r="S4410" s="6"/>
      <c r="T4410" s="6"/>
      <c r="U4410" s="6"/>
      <c r="V4410" s="6"/>
      <c r="W4410" s="6"/>
      <c r="X4410" s="6"/>
      <c r="Y4410" s="6"/>
      <c r="Z4410" s="6"/>
    </row>
    <row r="4411" customFormat="false" ht="15" hidden="false" customHeight="false" outlineLevel="0" collapsed="false">
      <c r="A4411" s="9" t="s">
        <v>10254</v>
      </c>
      <c r="B4411" s="9" t="s">
        <v>5870</v>
      </c>
      <c r="C4411" s="9" t="s">
        <v>4680</v>
      </c>
      <c r="D4411" s="9" t="s">
        <v>5871</v>
      </c>
      <c r="E4411" s="9" t="str">
        <f aca="false">IF(AND('Formation Ledger'!A4390&lt;&gt;"",'Formation Ledger'!V4390=0),"PASS","FAIL")</f>
        <v>PASS</v>
      </c>
      <c r="F4411" s="9" t="s">
        <v>76</v>
      </c>
      <c r="G4411" s="6"/>
      <c r="H4411" s="6"/>
      <c r="I4411" s="6"/>
      <c r="J4411" s="6"/>
      <c r="K4411" s="6"/>
      <c r="L4411" s="6"/>
      <c r="M4411" s="6"/>
      <c r="N4411" s="6"/>
      <c r="O4411" s="6"/>
      <c r="P4411" s="6"/>
      <c r="Q4411" s="6"/>
      <c r="R4411" s="6"/>
      <c r="S4411" s="6"/>
      <c r="T4411" s="6"/>
      <c r="U4411" s="6"/>
      <c r="V4411" s="6"/>
      <c r="W4411" s="6"/>
      <c r="X4411" s="6"/>
      <c r="Y4411" s="6"/>
      <c r="Z4411" s="6"/>
    </row>
    <row r="4412" customFormat="false" ht="15" hidden="false" customHeight="false" outlineLevel="0" collapsed="false">
      <c r="A4412" s="9" t="s">
        <v>10255</v>
      </c>
      <c r="B4412" s="9" t="s">
        <v>5870</v>
      </c>
      <c r="C4412" s="9" t="s">
        <v>4681</v>
      </c>
      <c r="D4412" s="9" t="s">
        <v>5871</v>
      </c>
      <c r="E4412" s="9" t="str">
        <f aca="false">IF(AND('Formation Ledger'!A4391&lt;&gt;"",'Formation Ledger'!V4391=0),"PASS","FAIL")</f>
        <v>PASS</v>
      </c>
      <c r="F4412" s="9" t="s">
        <v>76</v>
      </c>
      <c r="G4412" s="6"/>
      <c r="H4412" s="6"/>
      <c r="I4412" s="6"/>
      <c r="J4412" s="6"/>
      <c r="K4412" s="6"/>
      <c r="L4412" s="6"/>
      <c r="M4412" s="6"/>
      <c r="N4412" s="6"/>
      <c r="O4412" s="6"/>
      <c r="P4412" s="6"/>
      <c r="Q4412" s="6"/>
      <c r="R4412" s="6"/>
      <c r="S4412" s="6"/>
      <c r="T4412" s="6"/>
      <c r="U4412" s="6"/>
      <c r="V4412" s="6"/>
      <c r="W4412" s="6"/>
      <c r="X4412" s="6"/>
      <c r="Y4412" s="6"/>
      <c r="Z4412" s="6"/>
    </row>
    <row r="4413" customFormat="false" ht="15" hidden="false" customHeight="false" outlineLevel="0" collapsed="false">
      <c r="A4413" s="9" t="s">
        <v>10256</v>
      </c>
      <c r="B4413" s="9" t="s">
        <v>5870</v>
      </c>
      <c r="C4413" s="9" t="s">
        <v>4682</v>
      </c>
      <c r="D4413" s="9" t="s">
        <v>5871</v>
      </c>
      <c r="E4413" s="9" t="str">
        <f aca="false">IF(AND('Formation Ledger'!A4392&lt;&gt;"",'Formation Ledger'!V4392=0),"PASS","FAIL")</f>
        <v>PASS</v>
      </c>
      <c r="F4413" s="9" t="s">
        <v>76</v>
      </c>
      <c r="G4413" s="6"/>
      <c r="H4413" s="6"/>
      <c r="I4413" s="6"/>
      <c r="J4413" s="6"/>
      <c r="K4413" s="6"/>
      <c r="L4413" s="6"/>
      <c r="M4413" s="6"/>
      <c r="N4413" s="6"/>
      <c r="O4413" s="6"/>
      <c r="P4413" s="6"/>
      <c r="Q4413" s="6"/>
      <c r="R4413" s="6"/>
      <c r="S4413" s="6"/>
      <c r="T4413" s="6"/>
      <c r="U4413" s="6"/>
      <c r="V4413" s="6"/>
      <c r="W4413" s="6"/>
      <c r="X4413" s="6"/>
      <c r="Y4413" s="6"/>
      <c r="Z4413" s="6"/>
    </row>
    <row r="4414" customFormat="false" ht="15" hidden="false" customHeight="false" outlineLevel="0" collapsed="false">
      <c r="A4414" s="9" t="s">
        <v>10257</v>
      </c>
      <c r="B4414" s="9" t="s">
        <v>5870</v>
      </c>
      <c r="C4414" s="9" t="s">
        <v>4683</v>
      </c>
      <c r="D4414" s="9" t="s">
        <v>5871</v>
      </c>
      <c r="E4414" s="9" t="str">
        <f aca="false">IF(AND('Formation Ledger'!A4393&lt;&gt;"",'Formation Ledger'!V4393=0),"PASS","FAIL")</f>
        <v>PASS</v>
      </c>
      <c r="F4414" s="9" t="s">
        <v>76</v>
      </c>
      <c r="G4414" s="6"/>
      <c r="H4414" s="6"/>
      <c r="I4414" s="6"/>
      <c r="J4414" s="6"/>
      <c r="K4414" s="6"/>
      <c r="L4414" s="6"/>
      <c r="M4414" s="6"/>
      <c r="N4414" s="6"/>
      <c r="O4414" s="6"/>
      <c r="P4414" s="6"/>
      <c r="Q4414" s="6"/>
      <c r="R4414" s="6"/>
      <c r="S4414" s="6"/>
      <c r="T4414" s="6"/>
      <c r="U4414" s="6"/>
      <c r="V4414" s="6"/>
      <c r="W4414" s="6"/>
      <c r="X4414" s="6"/>
      <c r="Y4414" s="6"/>
      <c r="Z4414" s="6"/>
    </row>
    <row r="4415" customFormat="false" ht="15" hidden="false" customHeight="false" outlineLevel="0" collapsed="false">
      <c r="A4415" s="9" t="s">
        <v>10258</v>
      </c>
      <c r="B4415" s="9" t="s">
        <v>5870</v>
      </c>
      <c r="C4415" s="9" t="s">
        <v>4684</v>
      </c>
      <c r="D4415" s="9" t="s">
        <v>5871</v>
      </c>
      <c r="E4415" s="9" t="str">
        <f aca="false">IF(AND('Formation Ledger'!A4394&lt;&gt;"",'Formation Ledger'!V4394=0),"PASS","FAIL")</f>
        <v>PASS</v>
      </c>
      <c r="F4415" s="9" t="s">
        <v>76</v>
      </c>
      <c r="G4415" s="6"/>
      <c r="H4415" s="6"/>
      <c r="I4415" s="6"/>
      <c r="J4415" s="6"/>
      <c r="K4415" s="6"/>
      <c r="L4415" s="6"/>
      <c r="M4415" s="6"/>
      <c r="N4415" s="6"/>
      <c r="O4415" s="6"/>
      <c r="P4415" s="6"/>
      <c r="Q4415" s="6"/>
      <c r="R4415" s="6"/>
      <c r="S4415" s="6"/>
      <c r="T4415" s="6"/>
      <c r="U4415" s="6"/>
      <c r="V4415" s="6"/>
      <c r="W4415" s="6"/>
      <c r="X4415" s="6"/>
      <c r="Y4415" s="6"/>
      <c r="Z4415" s="6"/>
    </row>
    <row r="4416" customFormat="false" ht="15" hidden="false" customHeight="false" outlineLevel="0" collapsed="false">
      <c r="A4416" s="9" t="s">
        <v>10259</v>
      </c>
      <c r="B4416" s="9" t="s">
        <v>5870</v>
      </c>
      <c r="C4416" s="9" t="s">
        <v>4685</v>
      </c>
      <c r="D4416" s="9" t="s">
        <v>5871</v>
      </c>
      <c r="E4416" s="9" t="str">
        <f aca="false">IF(AND('Formation Ledger'!A4395&lt;&gt;"",'Formation Ledger'!V4395=0),"PASS","FAIL")</f>
        <v>PASS</v>
      </c>
      <c r="F4416" s="9" t="s">
        <v>76</v>
      </c>
      <c r="G4416" s="6"/>
      <c r="H4416" s="6"/>
      <c r="I4416" s="6"/>
      <c r="J4416" s="6"/>
      <c r="K4416" s="6"/>
      <c r="L4416" s="6"/>
      <c r="M4416" s="6"/>
      <c r="N4416" s="6"/>
      <c r="O4416" s="6"/>
      <c r="P4416" s="6"/>
      <c r="Q4416" s="6"/>
      <c r="R4416" s="6"/>
      <c r="S4416" s="6"/>
      <c r="T4416" s="6"/>
      <c r="U4416" s="6"/>
      <c r="V4416" s="6"/>
      <c r="W4416" s="6"/>
      <c r="X4416" s="6"/>
      <c r="Y4416" s="6"/>
      <c r="Z4416" s="6"/>
    </row>
    <row r="4417" customFormat="false" ht="15" hidden="false" customHeight="false" outlineLevel="0" collapsed="false">
      <c r="A4417" s="9" t="s">
        <v>10260</v>
      </c>
      <c r="B4417" s="9" t="s">
        <v>5870</v>
      </c>
      <c r="C4417" s="9" t="s">
        <v>4686</v>
      </c>
      <c r="D4417" s="9" t="s">
        <v>5871</v>
      </c>
      <c r="E4417" s="9" t="str">
        <f aca="false">IF(AND('Formation Ledger'!A4396&lt;&gt;"",'Formation Ledger'!V4396=0),"PASS","FAIL")</f>
        <v>PASS</v>
      </c>
      <c r="F4417" s="9" t="s">
        <v>76</v>
      </c>
      <c r="G4417" s="6"/>
      <c r="H4417" s="6"/>
      <c r="I4417" s="6"/>
      <c r="J4417" s="6"/>
      <c r="K4417" s="6"/>
      <c r="L4417" s="6"/>
      <c r="M4417" s="6"/>
      <c r="N4417" s="6"/>
      <c r="O4417" s="6"/>
      <c r="P4417" s="6"/>
      <c r="Q4417" s="6"/>
      <c r="R4417" s="6"/>
      <c r="S4417" s="6"/>
      <c r="T4417" s="6"/>
      <c r="U4417" s="6"/>
      <c r="V4417" s="6"/>
      <c r="W4417" s="6"/>
      <c r="X4417" s="6"/>
      <c r="Y4417" s="6"/>
      <c r="Z4417" s="6"/>
    </row>
    <row r="4418" customFormat="false" ht="15" hidden="false" customHeight="false" outlineLevel="0" collapsed="false">
      <c r="A4418" s="9" t="s">
        <v>10261</v>
      </c>
      <c r="B4418" s="9" t="s">
        <v>5870</v>
      </c>
      <c r="C4418" s="9" t="s">
        <v>4687</v>
      </c>
      <c r="D4418" s="9" t="s">
        <v>5871</v>
      </c>
      <c r="E4418" s="9" t="str">
        <f aca="false">IF(AND('Formation Ledger'!A4397&lt;&gt;"",'Formation Ledger'!V4397=0),"PASS","FAIL")</f>
        <v>PASS</v>
      </c>
      <c r="F4418" s="9" t="s">
        <v>76</v>
      </c>
      <c r="G4418" s="6"/>
      <c r="H4418" s="6"/>
      <c r="I4418" s="6"/>
      <c r="J4418" s="6"/>
      <c r="K4418" s="6"/>
      <c r="L4418" s="6"/>
      <c r="M4418" s="6"/>
      <c r="N4418" s="6"/>
      <c r="O4418" s="6"/>
      <c r="P4418" s="6"/>
      <c r="Q4418" s="6"/>
      <c r="R4418" s="6"/>
      <c r="S4418" s="6"/>
      <c r="T4418" s="6"/>
      <c r="U4418" s="6"/>
      <c r="V4418" s="6"/>
      <c r="W4418" s="6"/>
      <c r="X4418" s="6"/>
      <c r="Y4418" s="6"/>
      <c r="Z4418" s="6"/>
    </row>
    <row r="4419" customFormat="false" ht="15" hidden="false" customHeight="false" outlineLevel="0" collapsed="false">
      <c r="A4419" s="9" t="s">
        <v>10262</v>
      </c>
      <c r="B4419" s="9" t="s">
        <v>5870</v>
      </c>
      <c r="C4419" s="9" t="s">
        <v>4688</v>
      </c>
      <c r="D4419" s="9" t="s">
        <v>5871</v>
      </c>
      <c r="E4419" s="9" t="str">
        <f aca="false">IF(AND('Formation Ledger'!A4398&lt;&gt;"",'Formation Ledger'!V4398=0),"PASS","FAIL")</f>
        <v>PASS</v>
      </c>
      <c r="F4419" s="9" t="s">
        <v>76</v>
      </c>
      <c r="G4419" s="6"/>
      <c r="H4419" s="6"/>
      <c r="I4419" s="6"/>
      <c r="J4419" s="6"/>
      <c r="K4419" s="6"/>
      <c r="L4419" s="6"/>
      <c r="M4419" s="6"/>
      <c r="N4419" s="6"/>
      <c r="O4419" s="6"/>
      <c r="P4419" s="6"/>
      <c r="Q4419" s="6"/>
      <c r="R4419" s="6"/>
      <c r="S4419" s="6"/>
      <c r="T4419" s="6"/>
      <c r="U4419" s="6"/>
      <c r="V4419" s="6"/>
      <c r="W4419" s="6"/>
      <c r="X4419" s="6"/>
      <c r="Y4419" s="6"/>
      <c r="Z4419" s="6"/>
    </row>
    <row r="4420" customFormat="false" ht="15" hidden="false" customHeight="false" outlineLevel="0" collapsed="false">
      <c r="A4420" s="9" t="s">
        <v>10263</v>
      </c>
      <c r="B4420" s="9" t="s">
        <v>5870</v>
      </c>
      <c r="C4420" s="9" t="s">
        <v>4689</v>
      </c>
      <c r="D4420" s="9" t="s">
        <v>5871</v>
      </c>
      <c r="E4420" s="9" t="str">
        <f aca="false">IF(AND('Formation Ledger'!A4399&lt;&gt;"",'Formation Ledger'!V4399=0),"PASS","FAIL")</f>
        <v>PASS</v>
      </c>
      <c r="F4420" s="9" t="s">
        <v>76</v>
      </c>
      <c r="G4420" s="6"/>
      <c r="H4420" s="6"/>
      <c r="I4420" s="6"/>
      <c r="J4420" s="6"/>
      <c r="K4420" s="6"/>
      <c r="L4420" s="6"/>
      <c r="M4420" s="6"/>
      <c r="N4420" s="6"/>
      <c r="O4420" s="6"/>
      <c r="P4420" s="6"/>
      <c r="Q4420" s="6"/>
      <c r="R4420" s="6"/>
      <c r="S4420" s="6"/>
      <c r="T4420" s="6"/>
      <c r="U4420" s="6"/>
      <c r="V4420" s="6"/>
      <c r="W4420" s="6"/>
      <c r="X4420" s="6"/>
      <c r="Y4420" s="6"/>
      <c r="Z4420" s="6"/>
    </row>
    <row r="4421" customFormat="false" ht="15" hidden="false" customHeight="false" outlineLevel="0" collapsed="false">
      <c r="A4421" s="9" t="s">
        <v>10264</v>
      </c>
      <c r="B4421" s="9" t="s">
        <v>5870</v>
      </c>
      <c r="C4421" s="9" t="s">
        <v>4690</v>
      </c>
      <c r="D4421" s="9" t="s">
        <v>5871</v>
      </c>
      <c r="E4421" s="9" t="str">
        <f aca="false">IF(AND('Formation Ledger'!A4400&lt;&gt;"",'Formation Ledger'!V4400=0),"PASS","FAIL")</f>
        <v>PASS</v>
      </c>
      <c r="F4421" s="9" t="s">
        <v>76</v>
      </c>
      <c r="G4421" s="6"/>
      <c r="H4421" s="6"/>
      <c r="I4421" s="6"/>
      <c r="J4421" s="6"/>
      <c r="K4421" s="6"/>
      <c r="L4421" s="6"/>
      <c r="M4421" s="6"/>
      <c r="N4421" s="6"/>
      <c r="O4421" s="6"/>
      <c r="P4421" s="6"/>
      <c r="Q4421" s="6"/>
      <c r="R4421" s="6"/>
      <c r="S4421" s="6"/>
      <c r="T4421" s="6"/>
      <c r="U4421" s="6"/>
      <c r="V4421" s="6"/>
      <c r="W4421" s="6"/>
      <c r="X4421" s="6"/>
      <c r="Y4421" s="6"/>
      <c r="Z4421" s="6"/>
    </row>
    <row r="4422" customFormat="false" ht="15" hidden="false" customHeight="false" outlineLevel="0" collapsed="false">
      <c r="A4422" s="9" t="s">
        <v>10265</v>
      </c>
      <c r="B4422" s="9" t="s">
        <v>5870</v>
      </c>
      <c r="C4422" s="9" t="s">
        <v>4691</v>
      </c>
      <c r="D4422" s="9" t="s">
        <v>5871</v>
      </c>
      <c r="E4422" s="9" t="str">
        <f aca="false">IF(AND('Formation Ledger'!A4401&lt;&gt;"",'Formation Ledger'!V4401=0),"PASS","FAIL")</f>
        <v>PASS</v>
      </c>
      <c r="F4422" s="9" t="s">
        <v>76</v>
      </c>
      <c r="G4422" s="6"/>
      <c r="H4422" s="6"/>
      <c r="I4422" s="6"/>
      <c r="J4422" s="6"/>
      <c r="K4422" s="6"/>
      <c r="L4422" s="6"/>
      <c r="M4422" s="6"/>
      <c r="N4422" s="6"/>
      <c r="O4422" s="6"/>
      <c r="P4422" s="6"/>
      <c r="Q4422" s="6"/>
      <c r="R4422" s="6"/>
      <c r="S4422" s="6"/>
      <c r="T4422" s="6"/>
      <c r="U4422" s="6"/>
      <c r="V4422" s="6"/>
      <c r="W4422" s="6"/>
      <c r="X4422" s="6"/>
      <c r="Y4422" s="6"/>
      <c r="Z4422" s="6"/>
    </row>
    <row r="4423" customFormat="false" ht="15" hidden="false" customHeight="false" outlineLevel="0" collapsed="false">
      <c r="A4423" s="9" t="s">
        <v>10266</v>
      </c>
      <c r="B4423" s="9" t="s">
        <v>5870</v>
      </c>
      <c r="C4423" s="9" t="s">
        <v>4692</v>
      </c>
      <c r="D4423" s="9" t="s">
        <v>5871</v>
      </c>
      <c r="E4423" s="9" t="str">
        <f aca="false">IF(AND('Formation Ledger'!A4402&lt;&gt;"",'Formation Ledger'!V4402=0),"PASS","FAIL")</f>
        <v>PASS</v>
      </c>
      <c r="F4423" s="9" t="s">
        <v>76</v>
      </c>
      <c r="G4423" s="6"/>
      <c r="H4423" s="6"/>
      <c r="I4423" s="6"/>
      <c r="J4423" s="6"/>
      <c r="K4423" s="6"/>
      <c r="L4423" s="6"/>
      <c r="M4423" s="6"/>
      <c r="N4423" s="6"/>
      <c r="O4423" s="6"/>
      <c r="P4423" s="6"/>
      <c r="Q4423" s="6"/>
      <c r="R4423" s="6"/>
      <c r="S4423" s="6"/>
      <c r="T4423" s="6"/>
      <c r="U4423" s="6"/>
      <c r="V4423" s="6"/>
      <c r="W4423" s="6"/>
      <c r="X4423" s="6"/>
      <c r="Y4423" s="6"/>
      <c r="Z4423" s="6"/>
    </row>
    <row r="4424" customFormat="false" ht="15" hidden="false" customHeight="false" outlineLevel="0" collapsed="false">
      <c r="A4424" s="9" t="s">
        <v>10267</v>
      </c>
      <c r="B4424" s="9" t="s">
        <v>5870</v>
      </c>
      <c r="C4424" s="9" t="s">
        <v>4693</v>
      </c>
      <c r="D4424" s="9" t="s">
        <v>5871</v>
      </c>
      <c r="E4424" s="9" t="str">
        <f aca="false">IF(AND('Formation Ledger'!A4403&lt;&gt;"",'Formation Ledger'!V4403=0),"PASS","FAIL")</f>
        <v>PASS</v>
      </c>
      <c r="F4424" s="9" t="s">
        <v>76</v>
      </c>
      <c r="G4424" s="6"/>
      <c r="H4424" s="6"/>
      <c r="I4424" s="6"/>
      <c r="J4424" s="6"/>
      <c r="K4424" s="6"/>
      <c r="L4424" s="6"/>
      <c r="M4424" s="6"/>
      <c r="N4424" s="6"/>
      <c r="O4424" s="6"/>
      <c r="P4424" s="6"/>
      <c r="Q4424" s="6"/>
      <c r="R4424" s="6"/>
      <c r="S4424" s="6"/>
      <c r="T4424" s="6"/>
      <c r="U4424" s="6"/>
      <c r="V4424" s="6"/>
      <c r="W4424" s="6"/>
      <c r="X4424" s="6"/>
      <c r="Y4424" s="6"/>
      <c r="Z4424" s="6"/>
    </row>
    <row r="4425" customFormat="false" ht="15" hidden="false" customHeight="false" outlineLevel="0" collapsed="false">
      <c r="A4425" s="9" t="s">
        <v>10268</v>
      </c>
      <c r="B4425" s="9" t="s">
        <v>5870</v>
      </c>
      <c r="C4425" s="9" t="s">
        <v>4694</v>
      </c>
      <c r="D4425" s="9" t="s">
        <v>5871</v>
      </c>
      <c r="E4425" s="9" t="str">
        <f aca="false">IF(AND('Formation Ledger'!A4404&lt;&gt;"",'Formation Ledger'!V4404=0),"PASS","FAIL")</f>
        <v>PASS</v>
      </c>
      <c r="F4425" s="9" t="s">
        <v>76</v>
      </c>
      <c r="G4425" s="6"/>
      <c r="H4425" s="6"/>
      <c r="I4425" s="6"/>
      <c r="J4425" s="6"/>
      <c r="K4425" s="6"/>
      <c r="L4425" s="6"/>
      <c r="M4425" s="6"/>
      <c r="N4425" s="6"/>
      <c r="O4425" s="6"/>
      <c r="P4425" s="6"/>
      <c r="Q4425" s="6"/>
      <c r="R4425" s="6"/>
      <c r="S4425" s="6"/>
      <c r="T4425" s="6"/>
      <c r="U4425" s="6"/>
      <c r="V4425" s="6"/>
      <c r="W4425" s="6"/>
      <c r="X4425" s="6"/>
      <c r="Y4425" s="6"/>
      <c r="Z4425" s="6"/>
    </row>
    <row r="4426" customFormat="false" ht="15" hidden="false" customHeight="false" outlineLevel="0" collapsed="false">
      <c r="A4426" s="9" t="s">
        <v>10269</v>
      </c>
      <c r="B4426" s="9" t="s">
        <v>5870</v>
      </c>
      <c r="C4426" s="9" t="s">
        <v>4695</v>
      </c>
      <c r="D4426" s="9" t="s">
        <v>5871</v>
      </c>
      <c r="E4426" s="9" t="str">
        <f aca="false">IF(AND('Formation Ledger'!A4405&lt;&gt;"",'Formation Ledger'!V4405=0),"PASS","FAIL")</f>
        <v>PASS</v>
      </c>
      <c r="F4426" s="9" t="s">
        <v>76</v>
      </c>
      <c r="G4426" s="6"/>
      <c r="H4426" s="6"/>
      <c r="I4426" s="6"/>
      <c r="J4426" s="6"/>
      <c r="K4426" s="6"/>
      <c r="L4426" s="6"/>
      <c r="M4426" s="6"/>
      <c r="N4426" s="6"/>
      <c r="O4426" s="6"/>
      <c r="P4426" s="6"/>
      <c r="Q4426" s="6"/>
      <c r="R4426" s="6"/>
      <c r="S4426" s="6"/>
      <c r="T4426" s="6"/>
      <c r="U4426" s="6"/>
      <c r="V4426" s="6"/>
      <c r="W4426" s="6"/>
      <c r="X4426" s="6"/>
      <c r="Y4426" s="6"/>
      <c r="Z4426" s="6"/>
    </row>
    <row r="4427" customFormat="false" ht="15" hidden="false" customHeight="false" outlineLevel="0" collapsed="false">
      <c r="A4427" s="9" t="s">
        <v>10270</v>
      </c>
      <c r="B4427" s="9" t="s">
        <v>5870</v>
      </c>
      <c r="C4427" s="9" t="s">
        <v>4696</v>
      </c>
      <c r="D4427" s="9" t="s">
        <v>5871</v>
      </c>
      <c r="E4427" s="9" t="str">
        <f aca="false">IF(AND('Formation Ledger'!A4406&lt;&gt;"",'Formation Ledger'!V4406=0),"PASS","FAIL")</f>
        <v>PASS</v>
      </c>
      <c r="F4427" s="9" t="s">
        <v>76</v>
      </c>
      <c r="G4427" s="6"/>
      <c r="H4427" s="6"/>
      <c r="I4427" s="6"/>
      <c r="J4427" s="6"/>
      <c r="K4427" s="6"/>
      <c r="L4427" s="6"/>
      <c r="M4427" s="6"/>
      <c r="N4427" s="6"/>
      <c r="O4427" s="6"/>
      <c r="P4427" s="6"/>
      <c r="Q4427" s="6"/>
      <c r="R4427" s="6"/>
      <c r="S4427" s="6"/>
      <c r="T4427" s="6"/>
      <c r="U4427" s="6"/>
      <c r="V4427" s="6"/>
      <c r="W4427" s="6"/>
      <c r="X4427" s="6"/>
      <c r="Y4427" s="6"/>
      <c r="Z4427" s="6"/>
    </row>
    <row r="4428" customFormat="false" ht="15" hidden="false" customHeight="false" outlineLevel="0" collapsed="false">
      <c r="A4428" s="9" t="s">
        <v>10271</v>
      </c>
      <c r="B4428" s="9" t="s">
        <v>5870</v>
      </c>
      <c r="C4428" s="9" t="s">
        <v>4697</v>
      </c>
      <c r="D4428" s="9" t="s">
        <v>5871</v>
      </c>
      <c r="E4428" s="9" t="str">
        <f aca="false">IF(AND('Formation Ledger'!A4407&lt;&gt;"",'Formation Ledger'!V4407=0),"PASS","FAIL")</f>
        <v>PASS</v>
      </c>
      <c r="F4428" s="9" t="s">
        <v>76</v>
      </c>
      <c r="G4428" s="6"/>
      <c r="H4428" s="6"/>
      <c r="I4428" s="6"/>
      <c r="J4428" s="6"/>
      <c r="K4428" s="6"/>
      <c r="L4428" s="6"/>
      <c r="M4428" s="6"/>
      <c r="N4428" s="6"/>
      <c r="O4428" s="6"/>
      <c r="P4428" s="6"/>
      <c r="Q4428" s="6"/>
      <c r="R4428" s="6"/>
      <c r="S4428" s="6"/>
      <c r="T4428" s="6"/>
      <c r="U4428" s="6"/>
      <c r="V4428" s="6"/>
      <c r="W4428" s="6"/>
      <c r="X4428" s="6"/>
      <c r="Y4428" s="6"/>
      <c r="Z4428" s="6"/>
    </row>
    <row r="4429" customFormat="false" ht="15" hidden="false" customHeight="false" outlineLevel="0" collapsed="false">
      <c r="A4429" s="9" t="s">
        <v>10272</v>
      </c>
      <c r="B4429" s="9" t="s">
        <v>5870</v>
      </c>
      <c r="C4429" s="9" t="s">
        <v>4698</v>
      </c>
      <c r="D4429" s="9" t="s">
        <v>5871</v>
      </c>
      <c r="E4429" s="9" t="str">
        <f aca="false">IF(AND('Formation Ledger'!A4408&lt;&gt;"",'Formation Ledger'!V4408=0),"PASS","FAIL")</f>
        <v>PASS</v>
      </c>
      <c r="F4429" s="9" t="s">
        <v>76</v>
      </c>
      <c r="G4429" s="6"/>
      <c r="H4429" s="6"/>
      <c r="I4429" s="6"/>
      <c r="J4429" s="6"/>
      <c r="K4429" s="6"/>
      <c r="L4429" s="6"/>
      <c r="M4429" s="6"/>
      <c r="N4429" s="6"/>
      <c r="O4429" s="6"/>
      <c r="P4429" s="6"/>
      <c r="Q4429" s="6"/>
      <c r="R4429" s="6"/>
      <c r="S4429" s="6"/>
      <c r="T4429" s="6"/>
      <c r="U4429" s="6"/>
      <c r="V4429" s="6"/>
      <c r="W4429" s="6"/>
      <c r="X4429" s="6"/>
      <c r="Y4429" s="6"/>
      <c r="Z4429" s="6"/>
    </row>
    <row r="4430" customFormat="false" ht="15" hidden="false" customHeight="false" outlineLevel="0" collapsed="false">
      <c r="A4430" s="9" t="s">
        <v>10273</v>
      </c>
      <c r="B4430" s="9" t="s">
        <v>5870</v>
      </c>
      <c r="C4430" s="9" t="s">
        <v>4699</v>
      </c>
      <c r="D4430" s="9" t="s">
        <v>5871</v>
      </c>
      <c r="E4430" s="9" t="str">
        <f aca="false">IF(AND('Formation Ledger'!A4409&lt;&gt;"",'Formation Ledger'!V4409=0),"PASS","FAIL")</f>
        <v>PASS</v>
      </c>
      <c r="F4430" s="9" t="s">
        <v>76</v>
      </c>
      <c r="G4430" s="6"/>
      <c r="H4430" s="6"/>
      <c r="I4430" s="6"/>
      <c r="J4430" s="6"/>
      <c r="K4430" s="6"/>
      <c r="L4430" s="6"/>
      <c r="M4430" s="6"/>
      <c r="N4430" s="6"/>
      <c r="O4430" s="6"/>
      <c r="P4430" s="6"/>
      <c r="Q4430" s="6"/>
      <c r="R4430" s="6"/>
      <c r="S4430" s="6"/>
      <c r="T4430" s="6"/>
      <c r="U4430" s="6"/>
      <c r="V4430" s="6"/>
      <c r="W4430" s="6"/>
      <c r="X4430" s="6"/>
      <c r="Y4430" s="6"/>
      <c r="Z4430" s="6"/>
    </row>
    <row r="4431" customFormat="false" ht="15" hidden="false" customHeight="false" outlineLevel="0" collapsed="false">
      <c r="A4431" s="9" t="s">
        <v>10274</v>
      </c>
      <c r="B4431" s="9" t="s">
        <v>5870</v>
      </c>
      <c r="C4431" s="9" t="s">
        <v>4700</v>
      </c>
      <c r="D4431" s="9" t="s">
        <v>5871</v>
      </c>
      <c r="E4431" s="9" t="str">
        <f aca="false">IF(AND('Formation Ledger'!A4410&lt;&gt;"",'Formation Ledger'!V4410=0),"PASS","FAIL")</f>
        <v>PASS</v>
      </c>
      <c r="F4431" s="9" t="s">
        <v>76</v>
      </c>
      <c r="G4431" s="6"/>
      <c r="H4431" s="6"/>
      <c r="I4431" s="6"/>
      <c r="J4431" s="6"/>
      <c r="K4431" s="6"/>
      <c r="L4431" s="6"/>
      <c r="M4431" s="6"/>
      <c r="N4431" s="6"/>
      <c r="O4431" s="6"/>
      <c r="P4431" s="6"/>
      <c r="Q4431" s="6"/>
      <c r="R4431" s="6"/>
      <c r="S4431" s="6"/>
      <c r="T4431" s="6"/>
      <c r="U4431" s="6"/>
      <c r="V4431" s="6"/>
      <c r="W4431" s="6"/>
      <c r="X4431" s="6"/>
      <c r="Y4431" s="6"/>
      <c r="Z4431" s="6"/>
    </row>
    <row r="4432" customFormat="false" ht="15" hidden="false" customHeight="false" outlineLevel="0" collapsed="false">
      <c r="A4432" s="9" t="s">
        <v>10275</v>
      </c>
      <c r="B4432" s="9" t="s">
        <v>5870</v>
      </c>
      <c r="C4432" s="9" t="s">
        <v>4701</v>
      </c>
      <c r="D4432" s="9" t="s">
        <v>5871</v>
      </c>
      <c r="E4432" s="9" t="str">
        <f aca="false">IF(AND('Formation Ledger'!A4411&lt;&gt;"",'Formation Ledger'!V4411=0),"PASS","FAIL")</f>
        <v>PASS</v>
      </c>
      <c r="F4432" s="9" t="s">
        <v>76</v>
      </c>
      <c r="G4432" s="6"/>
      <c r="H4432" s="6"/>
      <c r="I4432" s="6"/>
      <c r="J4432" s="6"/>
      <c r="K4432" s="6"/>
      <c r="L4432" s="6"/>
      <c r="M4432" s="6"/>
      <c r="N4432" s="6"/>
      <c r="O4432" s="6"/>
      <c r="P4432" s="6"/>
      <c r="Q4432" s="6"/>
      <c r="R4432" s="6"/>
      <c r="S4432" s="6"/>
      <c r="T4432" s="6"/>
      <c r="U4432" s="6"/>
      <c r="V4432" s="6"/>
      <c r="W4432" s="6"/>
      <c r="X4432" s="6"/>
      <c r="Y4432" s="6"/>
      <c r="Z4432" s="6"/>
    </row>
    <row r="4433" customFormat="false" ht="15" hidden="false" customHeight="false" outlineLevel="0" collapsed="false">
      <c r="A4433" s="9" t="s">
        <v>10276</v>
      </c>
      <c r="B4433" s="9" t="s">
        <v>5870</v>
      </c>
      <c r="C4433" s="9" t="s">
        <v>4702</v>
      </c>
      <c r="D4433" s="9" t="s">
        <v>5871</v>
      </c>
      <c r="E4433" s="9" t="str">
        <f aca="false">IF(AND('Formation Ledger'!A4412&lt;&gt;"",'Formation Ledger'!V4412=0),"PASS","FAIL")</f>
        <v>PASS</v>
      </c>
      <c r="F4433" s="9" t="s">
        <v>76</v>
      </c>
      <c r="G4433" s="6"/>
      <c r="H4433" s="6"/>
      <c r="I4433" s="6"/>
      <c r="J4433" s="6"/>
      <c r="K4433" s="6"/>
      <c r="L4433" s="6"/>
      <c r="M4433" s="6"/>
      <c r="N4433" s="6"/>
      <c r="O4433" s="6"/>
      <c r="P4433" s="6"/>
      <c r="Q4433" s="6"/>
      <c r="R4433" s="6"/>
      <c r="S4433" s="6"/>
      <c r="T4433" s="6"/>
      <c r="U4433" s="6"/>
      <c r="V4433" s="6"/>
      <c r="W4433" s="6"/>
      <c r="X4433" s="6"/>
      <c r="Y4433" s="6"/>
      <c r="Z4433" s="6"/>
    </row>
    <row r="4434" customFormat="false" ht="15" hidden="false" customHeight="false" outlineLevel="0" collapsed="false">
      <c r="A4434" s="9" t="s">
        <v>10277</v>
      </c>
      <c r="B4434" s="9" t="s">
        <v>5870</v>
      </c>
      <c r="C4434" s="9" t="s">
        <v>4703</v>
      </c>
      <c r="D4434" s="9" t="s">
        <v>5871</v>
      </c>
      <c r="E4434" s="9" t="str">
        <f aca="false">IF(AND('Formation Ledger'!A4413&lt;&gt;"",'Formation Ledger'!V4413=0),"PASS","FAIL")</f>
        <v>PASS</v>
      </c>
      <c r="F4434" s="9" t="s">
        <v>76</v>
      </c>
      <c r="G4434" s="6"/>
      <c r="H4434" s="6"/>
      <c r="I4434" s="6"/>
      <c r="J4434" s="6"/>
      <c r="K4434" s="6"/>
      <c r="L4434" s="6"/>
      <c r="M4434" s="6"/>
      <c r="N4434" s="6"/>
      <c r="O4434" s="6"/>
      <c r="P4434" s="6"/>
      <c r="Q4434" s="6"/>
      <c r="R4434" s="6"/>
      <c r="S4434" s="6"/>
      <c r="T4434" s="6"/>
      <c r="U4434" s="6"/>
      <c r="V4434" s="6"/>
      <c r="W4434" s="6"/>
      <c r="X4434" s="6"/>
      <c r="Y4434" s="6"/>
      <c r="Z4434" s="6"/>
    </row>
    <row r="4435" customFormat="false" ht="15" hidden="false" customHeight="false" outlineLevel="0" collapsed="false">
      <c r="A4435" s="9" t="s">
        <v>10278</v>
      </c>
      <c r="B4435" s="9" t="s">
        <v>5870</v>
      </c>
      <c r="C4435" s="9" t="s">
        <v>4704</v>
      </c>
      <c r="D4435" s="9" t="s">
        <v>5871</v>
      </c>
      <c r="E4435" s="9" t="str">
        <f aca="false">IF(AND('Formation Ledger'!A4414&lt;&gt;"",'Formation Ledger'!V4414=0),"PASS","FAIL")</f>
        <v>PASS</v>
      </c>
      <c r="F4435" s="9" t="s">
        <v>76</v>
      </c>
      <c r="G4435" s="6"/>
      <c r="H4435" s="6"/>
      <c r="I4435" s="6"/>
      <c r="J4435" s="6"/>
      <c r="K4435" s="6"/>
      <c r="L4435" s="6"/>
      <c r="M4435" s="6"/>
      <c r="N4435" s="6"/>
      <c r="O4435" s="6"/>
      <c r="P4435" s="6"/>
      <c r="Q4435" s="6"/>
      <c r="R4435" s="6"/>
      <c r="S4435" s="6"/>
      <c r="T4435" s="6"/>
      <c r="U4435" s="6"/>
      <c r="V4435" s="6"/>
      <c r="W4435" s="6"/>
      <c r="X4435" s="6"/>
      <c r="Y4435" s="6"/>
      <c r="Z4435" s="6"/>
    </row>
    <row r="4436" customFormat="false" ht="15" hidden="false" customHeight="false" outlineLevel="0" collapsed="false">
      <c r="A4436" s="9" t="s">
        <v>10279</v>
      </c>
      <c r="B4436" s="9" t="s">
        <v>5870</v>
      </c>
      <c r="C4436" s="9" t="s">
        <v>4705</v>
      </c>
      <c r="D4436" s="9" t="s">
        <v>5871</v>
      </c>
      <c r="E4436" s="9" t="str">
        <f aca="false">IF(AND('Formation Ledger'!A4415&lt;&gt;"",'Formation Ledger'!V4415=0),"PASS","FAIL")</f>
        <v>PASS</v>
      </c>
      <c r="F4436" s="9" t="s">
        <v>76</v>
      </c>
      <c r="G4436" s="6"/>
      <c r="H4436" s="6"/>
      <c r="I4436" s="6"/>
      <c r="J4436" s="6"/>
      <c r="K4436" s="6"/>
      <c r="L4436" s="6"/>
      <c r="M4436" s="6"/>
      <c r="N4436" s="6"/>
      <c r="O4436" s="6"/>
      <c r="P4436" s="6"/>
      <c r="Q4436" s="6"/>
      <c r="R4436" s="6"/>
      <c r="S4436" s="6"/>
      <c r="T4436" s="6"/>
      <c r="U4436" s="6"/>
      <c r="V4436" s="6"/>
      <c r="W4436" s="6"/>
      <c r="X4436" s="6"/>
      <c r="Y4436" s="6"/>
      <c r="Z4436" s="6"/>
    </row>
    <row r="4437" customFormat="false" ht="15" hidden="false" customHeight="false" outlineLevel="0" collapsed="false">
      <c r="A4437" s="9" t="s">
        <v>10280</v>
      </c>
      <c r="B4437" s="9" t="s">
        <v>5870</v>
      </c>
      <c r="C4437" s="9" t="s">
        <v>4706</v>
      </c>
      <c r="D4437" s="9" t="s">
        <v>5871</v>
      </c>
      <c r="E4437" s="9" t="str">
        <f aca="false">IF(AND('Formation Ledger'!A4416&lt;&gt;"",'Formation Ledger'!V4416=0),"PASS","FAIL")</f>
        <v>PASS</v>
      </c>
      <c r="F4437" s="9" t="s">
        <v>76</v>
      </c>
      <c r="G4437" s="6"/>
      <c r="H4437" s="6"/>
      <c r="I4437" s="6"/>
      <c r="J4437" s="6"/>
      <c r="K4437" s="6"/>
      <c r="L4437" s="6"/>
      <c r="M4437" s="6"/>
      <c r="N4437" s="6"/>
      <c r="O4437" s="6"/>
      <c r="P4437" s="6"/>
      <c r="Q4437" s="6"/>
      <c r="R4437" s="6"/>
      <c r="S4437" s="6"/>
      <c r="T4437" s="6"/>
      <c r="U4437" s="6"/>
      <c r="V4437" s="6"/>
      <c r="W4437" s="6"/>
      <c r="X4437" s="6"/>
      <c r="Y4437" s="6"/>
      <c r="Z4437" s="6"/>
    </row>
    <row r="4438" customFormat="false" ht="15" hidden="false" customHeight="false" outlineLevel="0" collapsed="false">
      <c r="A4438" s="9" t="s">
        <v>10281</v>
      </c>
      <c r="B4438" s="9" t="s">
        <v>5870</v>
      </c>
      <c r="C4438" s="9" t="s">
        <v>4707</v>
      </c>
      <c r="D4438" s="9" t="s">
        <v>5871</v>
      </c>
      <c r="E4438" s="9" t="str">
        <f aca="false">IF(AND('Formation Ledger'!A4417&lt;&gt;"",'Formation Ledger'!V4417=0),"PASS","FAIL")</f>
        <v>PASS</v>
      </c>
      <c r="F4438" s="9" t="s">
        <v>76</v>
      </c>
      <c r="G4438" s="6"/>
      <c r="H4438" s="6"/>
      <c r="I4438" s="6"/>
      <c r="J4438" s="6"/>
      <c r="K4438" s="6"/>
      <c r="L4438" s="6"/>
      <c r="M4438" s="6"/>
      <c r="N4438" s="6"/>
      <c r="O4438" s="6"/>
      <c r="P4438" s="6"/>
      <c r="Q4438" s="6"/>
      <c r="R4438" s="6"/>
      <c r="S4438" s="6"/>
      <c r="T4438" s="6"/>
      <c r="U4438" s="6"/>
      <c r="V4438" s="6"/>
      <c r="W4438" s="6"/>
      <c r="X4438" s="6"/>
      <c r="Y4438" s="6"/>
      <c r="Z4438" s="6"/>
    </row>
    <row r="4439" customFormat="false" ht="15" hidden="false" customHeight="false" outlineLevel="0" collapsed="false">
      <c r="A4439" s="9" t="s">
        <v>10282</v>
      </c>
      <c r="B4439" s="9" t="s">
        <v>5870</v>
      </c>
      <c r="C4439" s="9" t="s">
        <v>4708</v>
      </c>
      <c r="D4439" s="9" t="s">
        <v>5871</v>
      </c>
      <c r="E4439" s="9" t="str">
        <f aca="false">IF(AND('Formation Ledger'!A4418&lt;&gt;"",'Formation Ledger'!V4418=0),"PASS","FAIL")</f>
        <v>PASS</v>
      </c>
      <c r="F4439" s="9" t="s">
        <v>76</v>
      </c>
      <c r="G4439" s="6"/>
      <c r="H4439" s="6"/>
      <c r="I4439" s="6"/>
      <c r="J4439" s="6"/>
      <c r="K4439" s="6"/>
      <c r="L4439" s="6"/>
      <c r="M4439" s="6"/>
      <c r="N4439" s="6"/>
      <c r="O4439" s="6"/>
      <c r="P4439" s="6"/>
      <c r="Q4439" s="6"/>
      <c r="R4439" s="6"/>
      <c r="S4439" s="6"/>
      <c r="T4439" s="6"/>
      <c r="U4439" s="6"/>
      <c r="V4439" s="6"/>
      <c r="W4439" s="6"/>
      <c r="X4439" s="6"/>
      <c r="Y4439" s="6"/>
      <c r="Z4439" s="6"/>
    </row>
    <row r="4440" customFormat="false" ht="15" hidden="false" customHeight="false" outlineLevel="0" collapsed="false">
      <c r="A4440" s="9" t="s">
        <v>10283</v>
      </c>
      <c r="B4440" s="9" t="s">
        <v>5870</v>
      </c>
      <c r="C4440" s="9" t="s">
        <v>4709</v>
      </c>
      <c r="D4440" s="9" t="s">
        <v>5871</v>
      </c>
      <c r="E4440" s="9" t="str">
        <f aca="false">IF(AND('Formation Ledger'!A4419&lt;&gt;"",'Formation Ledger'!V4419=0),"PASS","FAIL")</f>
        <v>PASS</v>
      </c>
      <c r="F4440" s="9" t="s">
        <v>76</v>
      </c>
      <c r="G4440" s="6"/>
      <c r="H4440" s="6"/>
      <c r="I4440" s="6"/>
      <c r="J4440" s="6"/>
      <c r="K4440" s="6"/>
      <c r="L4440" s="6"/>
      <c r="M4440" s="6"/>
      <c r="N4440" s="6"/>
      <c r="O4440" s="6"/>
      <c r="P4440" s="6"/>
      <c r="Q4440" s="6"/>
      <c r="R4440" s="6"/>
      <c r="S4440" s="6"/>
      <c r="T4440" s="6"/>
      <c r="U4440" s="6"/>
      <c r="V4440" s="6"/>
      <c r="W4440" s="6"/>
      <c r="X4440" s="6"/>
      <c r="Y4440" s="6"/>
      <c r="Z4440" s="6"/>
    </row>
    <row r="4441" customFormat="false" ht="15" hidden="false" customHeight="false" outlineLevel="0" collapsed="false">
      <c r="A4441" s="9" t="s">
        <v>10284</v>
      </c>
      <c r="B4441" s="9" t="s">
        <v>5870</v>
      </c>
      <c r="C4441" s="9" t="s">
        <v>4710</v>
      </c>
      <c r="D4441" s="9" t="s">
        <v>5871</v>
      </c>
      <c r="E4441" s="9" t="str">
        <f aca="false">IF(AND('Formation Ledger'!A4420&lt;&gt;"",'Formation Ledger'!V4420=0),"PASS","FAIL")</f>
        <v>PASS</v>
      </c>
      <c r="F4441" s="9" t="s">
        <v>76</v>
      </c>
      <c r="G4441" s="6"/>
      <c r="H4441" s="6"/>
      <c r="I4441" s="6"/>
      <c r="J4441" s="6"/>
      <c r="K4441" s="6"/>
      <c r="L4441" s="6"/>
      <c r="M4441" s="6"/>
      <c r="N4441" s="6"/>
      <c r="O4441" s="6"/>
      <c r="P4441" s="6"/>
      <c r="Q4441" s="6"/>
      <c r="R4441" s="6"/>
      <c r="S4441" s="6"/>
      <c r="T4441" s="6"/>
      <c r="U4441" s="6"/>
      <c r="V4441" s="6"/>
      <c r="W4441" s="6"/>
      <c r="X4441" s="6"/>
      <c r="Y4441" s="6"/>
      <c r="Z4441" s="6"/>
    </row>
    <row r="4442" customFormat="false" ht="15" hidden="false" customHeight="false" outlineLevel="0" collapsed="false">
      <c r="A4442" s="9" t="s">
        <v>10285</v>
      </c>
      <c r="B4442" s="9" t="s">
        <v>5870</v>
      </c>
      <c r="C4442" s="9" t="s">
        <v>4711</v>
      </c>
      <c r="D4442" s="9" t="s">
        <v>5871</v>
      </c>
      <c r="E4442" s="9" t="str">
        <f aca="false">IF(AND('Formation Ledger'!A4421&lt;&gt;"",'Formation Ledger'!V4421=0),"PASS","FAIL")</f>
        <v>PASS</v>
      </c>
      <c r="F4442" s="9" t="s">
        <v>76</v>
      </c>
      <c r="G4442" s="6"/>
      <c r="H4442" s="6"/>
      <c r="I4442" s="6"/>
      <c r="J4442" s="6"/>
      <c r="K4442" s="6"/>
      <c r="L4442" s="6"/>
      <c r="M4442" s="6"/>
      <c r="N4442" s="6"/>
      <c r="O4442" s="6"/>
      <c r="P4442" s="6"/>
      <c r="Q4442" s="6"/>
      <c r="R4442" s="6"/>
      <c r="S4442" s="6"/>
      <c r="T4442" s="6"/>
      <c r="U4442" s="6"/>
      <c r="V4442" s="6"/>
      <c r="W4442" s="6"/>
      <c r="X4442" s="6"/>
      <c r="Y4442" s="6"/>
      <c r="Z4442" s="6"/>
    </row>
    <row r="4443" customFormat="false" ht="15" hidden="false" customHeight="false" outlineLevel="0" collapsed="false">
      <c r="A4443" s="9" t="s">
        <v>10286</v>
      </c>
      <c r="B4443" s="9" t="s">
        <v>5870</v>
      </c>
      <c r="C4443" s="9" t="s">
        <v>4712</v>
      </c>
      <c r="D4443" s="9" t="s">
        <v>5871</v>
      </c>
      <c r="E4443" s="9" t="str">
        <f aca="false">IF(AND('Formation Ledger'!A4422&lt;&gt;"",'Formation Ledger'!V4422=0),"PASS","FAIL")</f>
        <v>PASS</v>
      </c>
      <c r="F4443" s="9" t="s">
        <v>76</v>
      </c>
      <c r="G4443" s="6"/>
      <c r="H4443" s="6"/>
      <c r="I4443" s="6"/>
      <c r="J4443" s="6"/>
      <c r="K4443" s="6"/>
      <c r="L4443" s="6"/>
      <c r="M4443" s="6"/>
      <c r="N4443" s="6"/>
      <c r="O4443" s="6"/>
      <c r="P4443" s="6"/>
      <c r="Q4443" s="6"/>
      <c r="R4443" s="6"/>
      <c r="S4443" s="6"/>
      <c r="T4443" s="6"/>
      <c r="U4443" s="6"/>
      <c r="V4443" s="6"/>
      <c r="W4443" s="6"/>
      <c r="X4443" s="6"/>
      <c r="Y4443" s="6"/>
      <c r="Z4443" s="6"/>
    </row>
    <row r="4444" customFormat="false" ht="15" hidden="false" customHeight="false" outlineLevel="0" collapsed="false">
      <c r="A4444" s="9" t="s">
        <v>10287</v>
      </c>
      <c r="B4444" s="9" t="s">
        <v>5870</v>
      </c>
      <c r="C4444" s="9" t="s">
        <v>4713</v>
      </c>
      <c r="D4444" s="9" t="s">
        <v>5871</v>
      </c>
      <c r="E4444" s="9" t="str">
        <f aca="false">IF(AND('Formation Ledger'!A4423&lt;&gt;"",'Formation Ledger'!V4423=0),"PASS","FAIL")</f>
        <v>PASS</v>
      </c>
      <c r="F4444" s="9" t="s">
        <v>76</v>
      </c>
      <c r="G4444" s="6"/>
      <c r="H4444" s="6"/>
      <c r="I4444" s="6"/>
      <c r="J4444" s="6"/>
      <c r="K4444" s="6"/>
      <c r="L4444" s="6"/>
      <c r="M4444" s="6"/>
      <c r="N4444" s="6"/>
      <c r="O4444" s="6"/>
      <c r="P4444" s="6"/>
      <c r="Q4444" s="6"/>
      <c r="R4444" s="6"/>
      <c r="S4444" s="6"/>
      <c r="T4444" s="6"/>
      <c r="U4444" s="6"/>
      <c r="V4444" s="6"/>
      <c r="W4444" s="6"/>
      <c r="X4444" s="6"/>
      <c r="Y4444" s="6"/>
      <c r="Z4444" s="6"/>
    </row>
    <row r="4445" customFormat="false" ht="15" hidden="false" customHeight="false" outlineLevel="0" collapsed="false">
      <c r="A4445" s="9" t="s">
        <v>10288</v>
      </c>
      <c r="B4445" s="9" t="s">
        <v>5870</v>
      </c>
      <c r="C4445" s="9" t="s">
        <v>4714</v>
      </c>
      <c r="D4445" s="9" t="s">
        <v>5871</v>
      </c>
      <c r="E4445" s="9" t="str">
        <f aca="false">IF(AND('Formation Ledger'!A4424&lt;&gt;"",'Formation Ledger'!V4424=0),"PASS","FAIL")</f>
        <v>PASS</v>
      </c>
      <c r="F4445" s="9" t="s">
        <v>76</v>
      </c>
      <c r="G4445" s="6"/>
      <c r="H4445" s="6"/>
      <c r="I4445" s="6"/>
      <c r="J4445" s="6"/>
      <c r="K4445" s="6"/>
      <c r="L4445" s="6"/>
      <c r="M4445" s="6"/>
      <c r="N4445" s="6"/>
      <c r="O4445" s="6"/>
      <c r="P4445" s="6"/>
      <c r="Q4445" s="6"/>
      <c r="R4445" s="6"/>
      <c r="S4445" s="6"/>
      <c r="T4445" s="6"/>
      <c r="U4445" s="6"/>
      <c r="V4445" s="6"/>
      <c r="W4445" s="6"/>
      <c r="X4445" s="6"/>
      <c r="Y4445" s="6"/>
      <c r="Z4445" s="6"/>
    </row>
    <row r="4446" customFormat="false" ht="15" hidden="false" customHeight="false" outlineLevel="0" collapsed="false">
      <c r="A4446" s="9" t="s">
        <v>10289</v>
      </c>
      <c r="B4446" s="9" t="s">
        <v>5870</v>
      </c>
      <c r="C4446" s="9" t="s">
        <v>4715</v>
      </c>
      <c r="D4446" s="9" t="s">
        <v>5871</v>
      </c>
      <c r="E4446" s="9" t="str">
        <f aca="false">IF(AND('Formation Ledger'!A4425&lt;&gt;"",'Formation Ledger'!V4425=0),"PASS","FAIL")</f>
        <v>PASS</v>
      </c>
      <c r="F4446" s="9" t="s">
        <v>76</v>
      </c>
      <c r="G4446" s="6"/>
      <c r="H4446" s="6"/>
      <c r="I4446" s="6"/>
      <c r="J4446" s="6"/>
      <c r="K4446" s="6"/>
      <c r="L4446" s="6"/>
      <c r="M4446" s="6"/>
      <c r="N4446" s="6"/>
      <c r="O4446" s="6"/>
      <c r="P4446" s="6"/>
      <c r="Q4446" s="6"/>
      <c r="R4446" s="6"/>
      <c r="S4446" s="6"/>
      <c r="T4446" s="6"/>
      <c r="U4446" s="6"/>
      <c r="V4446" s="6"/>
      <c r="W4446" s="6"/>
      <c r="X4446" s="6"/>
      <c r="Y4446" s="6"/>
      <c r="Z4446" s="6"/>
    </row>
    <row r="4447" customFormat="false" ht="15" hidden="false" customHeight="false" outlineLevel="0" collapsed="false">
      <c r="A4447" s="9" t="s">
        <v>10290</v>
      </c>
      <c r="B4447" s="9" t="s">
        <v>5870</v>
      </c>
      <c r="C4447" s="9" t="s">
        <v>4716</v>
      </c>
      <c r="D4447" s="9" t="s">
        <v>5871</v>
      </c>
      <c r="E4447" s="9" t="str">
        <f aca="false">IF(AND('Formation Ledger'!A4426&lt;&gt;"",'Formation Ledger'!V4426=0),"PASS","FAIL")</f>
        <v>PASS</v>
      </c>
      <c r="F4447" s="9" t="s">
        <v>76</v>
      </c>
      <c r="G4447" s="6"/>
      <c r="H4447" s="6"/>
      <c r="I4447" s="6"/>
      <c r="J4447" s="6"/>
      <c r="K4447" s="6"/>
      <c r="L4447" s="6"/>
      <c r="M4447" s="6"/>
      <c r="N4447" s="6"/>
      <c r="O4447" s="6"/>
      <c r="P4447" s="6"/>
      <c r="Q4447" s="6"/>
      <c r="R4447" s="6"/>
      <c r="S4447" s="6"/>
      <c r="T4447" s="6"/>
      <c r="U4447" s="6"/>
      <c r="V4447" s="6"/>
      <c r="W4447" s="6"/>
      <c r="X4447" s="6"/>
      <c r="Y4447" s="6"/>
      <c r="Z4447" s="6"/>
    </row>
    <row r="4448" customFormat="false" ht="15" hidden="false" customHeight="false" outlineLevel="0" collapsed="false">
      <c r="A4448" s="9" t="s">
        <v>10291</v>
      </c>
      <c r="B4448" s="9" t="s">
        <v>5870</v>
      </c>
      <c r="C4448" s="9" t="s">
        <v>4717</v>
      </c>
      <c r="D4448" s="9" t="s">
        <v>5871</v>
      </c>
      <c r="E4448" s="9" t="str">
        <f aca="false">IF(AND('Formation Ledger'!A4427&lt;&gt;"",'Formation Ledger'!V4427=0),"PASS","FAIL")</f>
        <v>PASS</v>
      </c>
      <c r="F4448" s="9" t="s">
        <v>76</v>
      </c>
      <c r="G4448" s="6"/>
      <c r="H4448" s="6"/>
      <c r="I4448" s="6"/>
      <c r="J4448" s="6"/>
      <c r="K4448" s="6"/>
      <c r="L4448" s="6"/>
      <c r="M4448" s="6"/>
      <c r="N4448" s="6"/>
      <c r="O4448" s="6"/>
      <c r="P4448" s="6"/>
      <c r="Q4448" s="6"/>
      <c r="R4448" s="6"/>
      <c r="S4448" s="6"/>
      <c r="T4448" s="6"/>
      <c r="U4448" s="6"/>
      <c r="V4448" s="6"/>
      <c r="W4448" s="6"/>
      <c r="X4448" s="6"/>
      <c r="Y4448" s="6"/>
      <c r="Z4448" s="6"/>
    </row>
    <row r="4449" customFormat="false" ht="15" hidden="false" customHeight="false" outlineLevel="0" collapsed="false">
      <c r="A4449" s="9" t="s">
        <v>10292</v>
      </c>
      <c r="B4449" s="9" t="s">
        <v>5870</v>
      </c>
      <c r="C4449" s="9" t="s">
        <v>4718</v>
      </c>
      <c r="D4449" s="9" t="s">
        <v>5871</v>
      </c>
      <c r="E4449" s="9" t="str">
        <f aca="false">IF(AND('Formation Ledger'!A4428&lt;&gt;"",'Formation Ledger'!V4428=0),"PASS","FAIL")</f>
        <v>PASS</v>
      </c>
      <c r="F4449" s="9" t="s">
        <v>76</v>
      </c>
      <c r="G4449" s="6"/>
      <c r="H4449" s="6"/>
      <c r="I4449" s="6"/>
      <c r="J4449" s="6"/>
      <c r="K4449" s="6"/>
      <c r="L4449" s="6"/>
      <c r="M4449" s="6"/>
      <c r="N4449" s="6"/>
      <c r="O4449" s="6"/>
      <c r="P4449" s="6"/>
      <c r="Q4449" s="6"/>
      <c r="R4449" s="6"/>
      <c r="S4449" s="6"/>
      <c r="T4449" s="6"/>
      <c r="U4449" s="6"/>
      <c r="V4449" s="6"/>
      <c r="W4449" s="6"/>
      <c r="X4449" s="6"/>
      <c r="Y4449" s="6"/>
      <c r="Z4449" s="6"/>
    </row>
    <row r="4450" customFormat="false" ht="15" hidden="false" customHeight="false" outlineLevel="0" collapsed="false">
      <c r="A4450" s="9" t="s">
        <v>10293</v>
      </c>
      <c r="B4450" s="9" t="s">
        <v>5870</v>
      </c>
      <c r="C4450" s="9" t="s">
        <v>4719</v>
      </c>
      <c r="D4450" s="9" t="s">
        <v>5871</v>
      </c>
      <c r="E4450" s="9" t="str">
        <f aca="false">IF(AND('Formation Ledger'!A4429&lt;&gt;"",'Formation Ledger'!V4429=0),"PASS","FAIL")</f>
        <v>PASS</v>
      </c>
      <c r="F4450" s="9" t="s">
        <v>76</v>
      </c>
      <c r="G4450" s="6"/>
      <c r="H4450" s="6"/>
      <c r="I4450" s="6"/>
      <c r="J4450" s="6"/>
      <c r="K4450" s="6"/>
      <c r="L4450" s="6"/>
      <c r="M4450" s="6"/>
      <c r="N4450" s="6"/>
      <c r="O4450" s="6"/>
      <c r="P4450" s="6"/>
      <c r="Q4450" s="6"/>
      <c r="R4450" s="6"/>
      <c r="S4450" s="6"/>
      <c r="T4450" s="6"/>
      <c r="U4450" s="6"/>
      <c r="V4450" s="6"/>
      <c r="W4450" s="6"/>
      <c r="X4450" s="6"/>
      <c r="Y4450" s="6"/>
      <c r="Z4450" s="6"/>
    </row>
    <row r="4451" customFormat="false" ht="15" hidden="false" customHeight="false" outlineLevel="0" collapsed="false">
      <c r="A4451" s="9" t="s">
        <v>10294</v>
      </c>
      <c r="B4451" s="9" t="s">
        <v>5870</v>
      </c>
      <c r="C4451" s="9" t="s">
        <v>4720</v>
      </c>
      <c r="D4451" s="9" t="s">
        <v>5871</v>
      </c>
      <c r="E4451" s="9" t="str">
        <f aca="false">IF(AND('Formation Ledger'!A4430&lt;&gt;"",'Formation Ledger'!V4430=0),"PASS","FAIL")</f>
        <v>PASS</v>
      </c>
      <c r="F4451" s="9" t="s">
        <v>76</v>
      </c>
      <c r="G4451" s="6"/>
      <c r="H4451" s="6"/>
      <c r="I4451" s="6"/>
      <c r="J4451" s="6"/>
      <c r="K4451" s="6"/>
      <c r="L4451" s="6"/>
      <c r="M4451" s="6"/>
      <c r="N4451" s="6"/>
      <c r="O4451" s="6"/>
      <c r="P4451" s="6"/>
      <c r="Q4451" s="6"/>
      <c r="R4451" s="6"/>
      <c r="S4451" s="6"/>
      <c r="T4451" s="6"/>
      <c r="U4451" s="6"/>
      <c r="V4451" s="6"/>
      <c r="W4451" s="6"/>
      <c r="X4451" s="6"/>
      <c r="Y4451" s="6"/>
      <c r="Z4451" s="6"/>
    </row>
    <row r="4452" customFormat="false" ht="15" hidden="false" customHeight="false" outlineLevel="0" collapsed="false">
      <c r="A4452" s="9" t="s">
        <v>10295</v>
      </c>
      <c r="B4452" s="9" t="s">
        <v>5870</v>
      </c>
      <c r="C4452" s="9" t="s">
        <v>4721</v>
      </c>
      <c r="D4452" s="9" t="s">
        <v>5871</v>
      </c>
      <c r="E4452" s="9" t="str">
        <f aca="false">IF(AND('Formation Ledger'!A4431&lt;&gt;"",'Formation Ledger'!V4431=0),"PASS","FAIL")</f>
        <v>PASS</v>
      </c>
      <c r="F4452" s="9" t="s">
        <v>76</v>
      </c>
      <c r="G4452" s="6"/>
      <c r="H4452" s="6"/>
      <c r="I4452" s="6"/>
      <c r="J4452" s="6"/>
      <c r="K4452" s="6"/>
      <c r="L4452" s="6"/>
      <c r="M4452" s="6"/>
      <c r="N4452" s="6"/>
      <c r="O4452" s="6"/>
      <c r="P4452" s="6"/>
      <c r="Q4452" s="6"/>
      <c r="R4452" s="6"/>
      <c r="S4452" s="6"/>
      <c r="T4452" s="6"/>
      <c r="U4452" s="6"/>
      <c r="V4452" s="6"/>
      <c r="W4452" s="6"/>
      <c r="X4452" s="6"/>
      <c r="Y4452" s="6"/>
      <c r="Z4452" s="6"/>
    </row>
    <row r="4453" customFormat="false" ht="15" hidden="false" customHeight="false" outlineLevel="0" collapsed="false">
      <c r="A4453" s="9" t="s">
        <v>10296</v>
      </c>
      <c r="B4453" s="9" t="s">
        <v>5870</v>
      </c>
      <c r="C4453" s="9" t="s">
        <v>4722</v>
      </c>
      <c r="D4453" s="9" t="s">
        <v>5871</v>
      </c>
      <c r="E4453" s="9" t="str">
        <f aca="false">IF(AND('Formation Ledger'!A4432&lt;&gt;"",'Formation Ledger'!V4432=0),"PASS","FAIL")</f>
        <v>PASS</v>
      </c>
      <c r="F4453" s="9" t="s">
        <v>76</v>
      </c>
      <c r="G4453" s="6"/>
      <c r="H4453" s="6"/>
      <c r="I4453" s="6"/>
      <c r="J4453" s="6"/>
      <c r="K4453" s="6"/>
      <c r="L4453" s="6"/>
      <c r="M4453" s="6"/>
      <c r="N4453" s="6"/>
      <c r="O4453" s="6"/>
      <c r="P4453" s="6"/>
      <c r="Q4453" s="6"/>
      <c r="R4453" s="6"/>
      <c r="S4453" s="6"/>
      <c r="T4453" s="6"/>
      <c r="U4453" s="6"/>
      <c r="V4453" s="6"/>
      <c r="W4453" s="6"/>
      <c r="X4453" s="6"/>
      <c r="Y4453" s="6"/>
      <c r="Z4453" s="6"/>
    </row>
    <row r="4454" customFormat="false" ht="15" hidden="false" customHeight="false" outlineLevel="0" collapsed="false">
      <c r="A4454" s="9" t="s">
        <v>10297</v>
      </c>
      <c r="B4454" s="9" t="s">
        <v>5870</v>
      </c>
      <c r="C4454" s="9" t="s">
        <v>4723</v>
      </c>
      <c r="D4454" s="9" t="s">
        <v>5871</v>
      </c>
      <c r="E4454" s="9" t="str">
        <f aca="false">IF(AND('Formation Ledger'!A4433&lt;&gt;"",'Formation Ledger'!V4433=0),"PASS","FAIL")</f>
        <v>PASS</v>
      </c>
      <c r="F4454" s="9" t="s">
        <v>76</v>
      </c>
      <c r="G4454" s="6"/>
      <c r="H4454" s="6"/>
      <c r="I4454" s="6"/>
      <c r="J4454" s="6"/>
      <c r="K4454" s="6"/>
      <c r="L4454" s="6"/>
      <c r="M4454" s="6"/>
      <c r="N4454" s="6"/>
      <c r="O4454" s="6"/>
      <c r="P4454" s="6"/>
      <c r="Q4454" s="6"/>
      <c r="R4454" s="6"/>
      <c r="S4454" s="6"/>
      <c r="T4454" s="6"/>
      <c r="U4454" s="6"/>
      <c r="V4454" s="6"/>
      <c r="W4454" s="6"/>
      <c r="X4454" s="6"/>
      <c r="Y4454" s="6"/>
      <c r="Z4454" s="6"/>
    </row>
    <row r="4455" customFormat="false" ht="15" hidden="false" customHeight="false" outlineLevel="0" collapsed="false">
      <c r="A4455" s="9" t="s">
        <v>10298</v>
      </c>
      <c r="B4455" s="9" t="s">
        <v>5870</v>
      </c>
      <c r="C4455" s="9" t="s">
        <v>4724</v>
      </c>
      <c r="D4455" s="9" t="s">
        <v>5871</v>
      </c>
      <c r="E4455" s="9" t="str">
        <f aca="false">IF(AND('Formation Ledger'!A4434&lt;&gt;"",'Formation Ledger'!V4434=0),"PASS","FAIL")</f>
        <v>PASS</v>
      </c>
      <c r="F4455" s="9" t="s">
        <v>76</v>
      </c>
      <c r="G4455" s="6"/>
      <c r="H4455" s="6"/>
      <c r="I4455" s="6"/>
      <c r="J4455" s="6"/>
      <c r="K4455" s="6"/>
      <c r="L4455" s="6"/>
      <c r="M4455" s="6"/>
      <c r="N4455" s="6"/>
      <c r="O4455" s="6"/>
      <c r="P4455" s="6"/>
      <c r="Q4455" s="6"/>
      <c r="R4455" s="6"/>
      <c r="S4455" s="6"/>
      <c r="T4455" s="6"/>
      <c r="U4455" s="6"/>
      <c r="V4455" s="6"/>
      <c r="W4455" s="6"/>
      <c r="X4455" s="6"/>
      <c r="Y4455" s="6"/>
      <c r="Z4455" s="6"/>
    </row>
    <row r="4456" customFormat="false" ht="15" hidden="false" customHeight="false" outlineLevel="0" collapsed="false">
      <c r="A4456" s="9" t="s">
        <v>10299</v>
      </c>
      <c r="B4456" s="9" t="s">
        <v>5870</v>
      </c>
      <c r="C4456" s="9" t="s">
        <v>4725</v>
      </c>
      <c r="D4456" s="9" t="s">
        <v>5871</v>
      </c>
      <c r="E4456" s="9" t="str">
        <f aca="false">IF(AND('Formation Ledger'!A4435&lt;&gt;"",'Formation Ledger'!V4435=0),"PASS","FAIL")</f>
        <v>PASS</v>
      </c>
      <c r="F4456" s="9" t="s">
        <v>76</v>
      </c>
      <c r="G4456" s="6"/>
      <c r="H4456" s="6"/>
      <c r="I4456" s="6"/>
      <c r="J4456" s="6"/>
      <c r="K4456" s="6"/>
      <c r="L4456" s="6"/>
      <c r="M4456" s="6"/>
      <c r="N4456" s="6"/>
      <c r="O4456" s="6"/>
      <c r="P4456" s="6"/>
      <c r="Q4456" s="6"/>
      <c r="R4456" s="6"/>
      <c r="S4456" s="6"/>
      <c r="T4456" s="6"/>
      <c r="U4456" s="6"/>
      <c r="V4456" s="6"/>
      <c r="W4456" s="6"/>
      <c r="X4456" s="6"/>
      <c r="Y4456" s="6"/>
      <c r="Z4456" s="6"/>
    </row>
    <row r="4457" customFormat="false" ht="15" hidden="false" customHeight="false" outlineLevel="0" collapsed="false">
      <c r="A4457" s="9" t="s">
        <v>10300</v>
      </c>
      <c r="B4457" s="9" t="s">
        <v>5870</v>
      </c>
      <c r="C4457" s="9" t="s">
        <v>4726</v>
      </c>
      <c r="D4457" s="9" t="s">
        <v>5871</v>
      </c>
      <c r="E4457" s="9" t="str">
        <f aca="false">IF(AND('Formation Ledger'!A4436&lt;&gt;"",'Formation Ledger'!V4436=0),"PASS","FAIL")</f>
        <v>PASS</v>
      </c>
      <c r="F4457" s="9" t="s">
        <v>76</v>
      </c>
      <c r="G4457" s="6"/>
      <c r="H4457" s="6"/>
      <c r="I4457" s="6"/>
      <c r="J4457" s="6"/>
      <c r="K4457" s="6"/>
      <c r="L4457" s="6"/>
      <c r="M4457" s="6"/>
      <c r="N4457" s="6"/>
      <c r="O4457" s="6"/>
      <c r="P4457" s="6"/>
      <c r="Q4457" s="6"/>
      <c r="R4457" s="6"/>
      <c r="S4457" s="6"/>
      <c r="T4457" s="6"/>
      <c r="U4457" s="6"/>
      <c r="V4457" s="6"/>
      <c r="W4457" s="6"/>
      <c r="X4457" s="6"/>
      <c r="Y4457" s="6"/>
      <c r="Z4457" s="6"/>
    </row>
    <row r="4458" customFormat="false" ht="15" hidden="false" customHeight="false" outlineLevel="0" collapsed="false">
      <c r="A4458" s="9" t="s">
        <v>10301</v>
      </c>
      <c r="B4458" s="9" t="s">
        <v>5870</v>
      </c>
      <c r="C4458" s="9" t="s">
        <v>4727</v>
      </c>
      <c r="D4458" s="9" t="s">
        <v>5871</v>
      </c>
      <c r="E4458" s="9" t="str">
        <f aca="false">IF(AND('Formation Ledger'!A4437&lt;&gt;"",'Formation Ledger'!V4437=0),"PASS","FAIL")</f>
        <v>PASS</v>
      </c>
      <c r="F4458" s="9" t="s">
        <v>76</v>
      </c>
      <c r="G4458" s="6"/>
      <c r="H4458" s="6"/>
      <c r="I4458" s="6"/>
      <c r="J4458" s="6"/>
      <c r="K4458" s="6"/>
      <c r="L4458" s="6"/>
      <c r="M4458" s="6"/>
      <c r="N4458" s="6"/>
      <c r="O4458" s="6"/>
      <c r="P4458" s="6"/>
      <c r="Q4458" s="6"/>
      <c r="R4458" s="6"/>
      <c r="S4458" s="6"/>
      <c r="T4458" s="6"/>
      <c r="U4458" s="6"/>
      <c r="V4458" s="6"/>
      <c r="W4458" s="6"/>
      <c r="X4458" s="6"/>
      <c r="Y4458" s="6"/>
      <c r="Z4458" s="6"/>
    </row>
    <row r="4459" customFormat="false" ht="15" hidden="false" customHeight="false" outlineLevel="0" collapsed="false">
      <c r="A4459" s="9" t="s">
        <v>10302</v>
      </c>
      <c r="B4459" s="9" t="s">
        <v>5870</v>
      </c>
      <c r="C4459" s="9" t="s">
        <v>4728</v>
      </c>
      <c r="D4459" s="9" t="s">
        <v>5871</v>
      </c>
      <c r="E4459" s="9" t="str">
        <f aca="false">IF(AND('Formation Ledger'!A4438&lt;&gt;"",'Formation Ledger'!V4438=0),"PASS","FAIL")</f>
        <v>PASS</v>
      </c>
      <c r="F4459" s="9" t="s">
        <v>76</v>
      </c>
      <c r="G4459" s="6"/>
      <c r="H4459" s="6"/>
      <c r="I4459" s="6"/>
      <c r="J4459" s="6"/>
      <c r="K4459" s="6"/>
      <c r="L4459" s="6"/>
      <c r="M4459" s="6"/>
      <c r="N4459" s="6"/>
      <c r="O4459" s="6"/>
      <c r="P4459" s="6"/>
      <c r="Q4459" s="6"/>
      <c r="R4459" s="6"/>
      <c r="S4459" s="6"/>
      <c r="T4459" s="6"/>
      <c r="U4459" s="6"/>
      <c r="V4459" s="6"/>
      <c r="W4459" s="6"/>
      <c r="X4459" s="6"/>
      <c r="Y4459" s="6"/>
      <c r="Z4459" s="6"/>
    </row>
    <row r="4460" customFormat="false" ht="15" hidden="false" customHeight="false" outlineLevel="0" collapsed="false">
      <c r="A4460" s="9" t="s">
        <v>10303</v>
      </c>
      <c r="B4460" s="9" t="s">
        <v>5870</v>
      </c>
      <c r="C4460" s="9" t="s">
        <v>4732</v>
      </c>
      <c r="D4460" s="9" t="s">
        <v>5871</v>
      </c>
      <c r="E4460" s="9" t="str">
        <f aca="false">IF(AND('Formation Ledger'!A4439&lt;&gt;"",'Formation Ledger'!V4439=0),"PASS","FAIL")</f>
        <v>PASS</v>
      </c>
      <c r="F4460" s="9" t="s">
        <v>76</v>
      </c>
      <c r="G4460" s="6"/>
      <c r="H4460" s="6"/>
      <c r="I4460" s="6"/>
      <c r="J4460" s="6"/>
      <c r="K4460" s="6"/>
      <c r="L4460" s="6"/>
      <c r="M4460" s="6"/>
      <c r="N4460" s="6"/>
      <c r="O4460" s="6"/>
      <c r="P4460" s="6"/>
      <c r="Q4460" s="6"/>
      <c r="R4460" s="6"/>
      <c r="S4460" s="6"/>
      <c r="T4460" s="6"/>
      <c r="U4460" s="6"/>
      <c r="V4460" s="6"/>
      <c r="W4460" s="6"/>
      <c r="X4460" s="6"/>
      <c r="Y4460" s="6"/>
      <c r="Z4460" s="6"/>
    </row>
    <row r="4461" customFormat="false" ht="15" hidden="false" customHeight="false" outlineLevel="0" collapsed="false">
      <c r="A4461" s="9" t="s">
        <v>10304</v>
      </c>
      <c r="B4461" s="9" t="s">
        <v>5870</v>
      </c>
      <c r="C4461" s="9" t="s">
        <v>4733</v>
      </c>
      <c r="D4461" s="9" t="s">
        <v>5871</v>
      </c>
      <c r="E4461" s="9" t="str">
        <f aca="false">IF(AND('Formation Ledger'!A4440&lt;&gt;"",'Formation Ledger'!V4440=0),"PASS","FAIL")</f>
        <v>PASS</v>
      </c>
      <c r="F4461" s="9" t="s">
        <v>76</v>
      </c>
      <c r="G4461" s="6"/>
      <c r="H4461" s="6"/>
      <c r="I4461" s="6"/>
      <c r="J4461" s="6"/>
      <c r="K4461" s="6"/>
      <c r="L4461" s="6"/>
      <c r="M4461" s="6"/>
      <c r="N4461" s="6"/>
      <c r="O4461" s="6"/>
      <c r="P4461" s="6"/>
      <c r="Q4461" s="6"/>
      <c r="R4461" s="6"/>
      <c r="S4461" s="6"/>
      <c r="T4461" s="6"/>
      <c r="U4461" s="6"/>
      <c r="V4461" s="6"/>
      <c r="W4461" s="6"/>
      <c r="X4461" s="6"/>
      <c r="Y4461" s="6"/>
      <c r="Z4461" s="6"/>
    </row>
    <row r="4462" customFormat="false" ht="15" hidden="false" customHeight="false" outlineLevel="0" collapsed="false">
      <c r="A4462" s="9" t="s">
        <v>10305</v>
      </c>
      <c r="B4462" s="9" t="s">
        <v>5870</v>
      </c>
      <c r="C4462" s="9" t="s">
        <v>4734</v>
      </c>
      <c r="D4462" s="9" t="s">
        <v>5871</v>
      </c>
      <c r="E4462" s="9" t="str">
        <f aca="false">IF(AND('Formation Ledger'!A4441&lt;&gt;"",'Formation Ledger'!V4441=0),"PASS","FAIL")</f>
        <v>PASS</v>
      </c>
      <c r="F4462" s="9" t="s">
        <v>76</v>
      </c>
      <c r="G4462" s="6"/>
      <c r="H4462" s="6"/>
      <c r="I4462" s="6"/>
      <c r="J4462" s="6"/>
      <c r="K4462" s="6"/>
      <c r="L4462" s="6"/>
      <c r="M4462" s="6"/>
      <c r="N4462" s="6"/>
      <c r="O4462" s="6"/>
      <c r="P4462" s="6"/>
      <c r="Q4462" s="6"/>
      <c r="R4462" s="6"/>
      <c r="S4462" s="6"/>
      <c r="T4462" s="6"/>
      <c r="U4462" s="6"/>
      <c r="V4462" s="6"/>
      <c r="W4462" s="6"/>
      <c r="X4462" s="6"/>
      <c r="Y4462" s="6"/>
      <c r="Z4462" s="6"/>
    </row>
    <row r="4463" customFormat="false" ht="15" hidden="false" customHeight="false" outlineLevel="0" collapsed="false">
      <c r="A4463" s="9" t="s">
        <v>10306</v>
      </c>
      <c r="B4463" s="9" t="s">
        <v>5870</v>
      </c>
      <c r="C4463" s="9" t="s">
        <v>4735</v>
      </c>
      <c r="D4463" s="9" t="s">
        <v>5871</v>
      </c>
      <c r="E4463" s="9" t="str">
        <f aca="false">IF(AND('Formation Ledger'!A4442&lt;&gt;"",'Formation Ledger'!V4442=0),"PASS","FAIL")</f>
        <v>PASS</v>
      </c>
      <c r="F4463" s="9" t="s">
        <v>76</v>
      </c>
      <c r="G4463" s="6"/>
      <c r="H4463" s="6"/>
      <c r="I4463" s="6"/>
      <c r="J4463" s="6"/>
      <c r="K4463" s="6"/>
      <c r="L4463" s="6"/>
      <c r="M4463" s="6"/>
      <c r="N4463" s="6"/>
      <c r="O4463" s="6"/>
      <c r="P4463" s="6"/>
      <c r="Q4463" s="6"/>
      <c r="R4463" s="6"/>
      <c r="S4463" s="6"/>
      <c r="T4463" s="6"/>
      <c r="U4463" s="6"/>
      <c r="V4463" s="6"/>
      <c r="W4463" s="6"/>
      <c r="X4463" s="6"/>
      <c r="Y4463" s="6"/>
      <c r="Z4463" s="6"/>
    </row>
    <row r="4464" customFormat="false" ht="15" hidden="false" customHeight="false" outlineLevel="0" collapsed="false">
      <c r="A4464" s="9" t="s">
        <v>10307</v>
      </c>
      <c r="B4464" s="9" t="s">
        <v>5870</v>
      </c>
      <c r="C4464" s="9" t="s">
        <v>4736</v>
      </c>
      <c r="D4464" s="9" t="s">
        <v>5871</v>
      </c>
      <c r="E4464" s="9" t="str">
        <f aca="false">IF(AND('Formation Ledger'!A4443&lt;&gt;"",'Formation Ledger'!V4443=0),"PASS","FAIL")</f>
        <v>PASS</v>
      </c>
      <c r="F4464" s="9" t="s">
        <v>76</v>
      </c>
      <c r="G4464" s="6"/>
      <c r="H4464" s="6"/>
      <c r="I4464" s="6"/>
      <c r="J4464" s="6"/>
      <c r="K4464" s="6"/>
      <c r="L4464" s="6"/>
      <c r="M4464" s="6"/>
      <c r="N4464" s="6"/>
      <c r="O4464" s="6"/>
      <c r="P4464" s="6"/>
      <c r="Q4464" s="6"/>
      <c r="R4464" s="6"/>
      <c r="S4464" s="6"/>
      <c r="T4464" s="6"/>
      <c r="U4464" s="6"/>
      <c r="V4464" s="6"/>
      <c r="W4464" s="6"/>
      <c r="X4464" s="6"/>
      <c r="Y4464" s="6"/>
      <c r="Z4464" s="6"/>
    </row>
    <row r="4465" customFormat="false" ht="15" hidden="false" customHeight="false" outlineLevel="0" collapsed="false">
      <c r="A4465" s="9" t="s">
        <v>10308</v>
      </c>
      <c r="B4465" s="9" t="s">
        <v>5870</v>
      </c>
      <c r="C4465" s="9" t="s">
        <v>4737</v>
      </c>
      <c r="D4465" s="9" t="s">
        <v>5871</v>
      </c>
      <c r="E4465" s="9" t="str">
        <f aca="false">IF(AND('Formation Ledger'!A4444&lt;&gt;"",'Formation Ledger'!V4444=0),"PASS","FAIL")</f>
        <v>PASS</v>
      </c>
      <c r="F4465" s="9" t="s">
        <v>76</v>
      </c>
      <c r="G4465" s="6"/>
      <c r="H4465" s="6"/>
      <c r="I4465" s="6"/>
      <c r="J4465" s="6"/>
      <c r="K4465" s="6"/>
      <c r="L4465" s="6"/>
      <c r="M4465" s="6"/>
      <c r="N4465" s="6"/>
      <c r="O4465" s="6"/>
      <c r="P4465" s="6"/>
      <c r="Q4465" s="6"/>
      <c r="R4465" s="6"/>
      <c r="S4465" s="6"/>
      <c r="T4465" s="6"/>
      <c r="U4465" s="6"/>
      <c r="V4465" s="6"/>
      <c r="W4465" s="6"/>
      <c r="X4465" s="6"/>
      <c r="Y4465" s="6"/>
      <c r="Z4465" s="6"/>
    </row>
    <row r="4466" customFormat="false" ht="15" hidden="false" customHeight="false" outlineLevel="0" collapsed="false">
      <c r="A4466" s="9" t="s">
        <v>10309</v>
      </c>
      <c r="B4466" s="9" t="s">
        <v>5870</v>
      </c>
      <c r="C4466" s="9" t="s">
        <v>4738</v>
      </c>
      <c r="D4466" s="9" t="s">
        <v>5871</v>
      </c>
      <c r="E4466" s="9" t="str">
        <f aca="false">IF(AND('Formation Ledger'!A4445&lt;&gt;"",'Formation Ledger'!V4445=0),"PASS","FAIL")</f>
        <v>PASS</v>
      </c>
      <c r="F4466" s="9" t="s">
        <v>76</v>
      </c>
      <c r="G4466" s="6"/>
      <c r="H4466" s="6"/>
      <c r="I4466" s="6"/>
      <c r="J4466" s="6"/>
      <c r="K4466" s="6"/>
      <c r="L4466" s="6"/>
      <c r="M4466" s="6"/>
      <c r="N4466" s="6"/>
      <c r="O4466" s="6"/>
      <c r="P4466" s="6"/>
      <c r="Q4466" s="6"/>
      <c r="R4466" s="6"/>
      <c r="S4466" s="6"/>
      <c r="T4466" s="6"/>
      <c r="U4466" s="6"/>
      <c r="V4466" s="6"/>
      <c r="W4466" s="6"/>
      <c r="X4466" s="6"/>
      <c r="Y4466" s="6"/>
      <c r="Z4466" s="6"/>
    </row>
    <row r="4467" customFormat="false" ht="15" hidden="false" customHeight="false" outlineLevel="0" collapsed="false">
      <c r="A4467" s="9" t="s">
        <v>10310</v>
      </c>
      <c r="B4467" s="9" t="s">
        <v>5870</v>
      </c>
      <c r="C4467" s="9" t="s">
        <v>4739</v>
      </c>
      <c r="D4467" s="9" t="s">
        <v>5871</v>
      </c>
      <c r="E4467" s="9" t="str">
        <f aca="false">IF(AND('Formation Ledger'!A4446&lt;&gt;"",'Formation Ledger'!V4446=0),"PASS","FAIL")</f>
        <v>PASS</v>
      </c>
      <c r="F4467" s="9" t="s">
        <v>76</v>
      </c>
      <c r="G4467" s="6"/>
      <c r="H4467" s="6"/>
      <c r="I4467" s="6"/>
      <c r="J4467" s="6"/>
      <c r="K4467" s="6"/>
      <c r="L4467" s="6"/>
      <c r="M4467" s="6"/>
      <c r="N4467" s="6"/>
      <c r="O4467" s="6"/>
      <c r="P4467" s="6"/>
      <c r="Q4467" s="6"/>
      <c r="R4467" s="6"/>
      <c r="S4467" s="6"/>
      <c r="T4467" s="6"/>
      <c r="U4467" s="6"/>
      <c r="V4467" s="6"/>
      <c r="W4467" s="6"/>
      <c r="X4467" s="6"/>
      <c r="Y4467" s="6"/>
      <c r="Z4467" s="6"/>
    </row>
    <row r="4468" customFormat="false" ht="15" hidden="false" customHeight="false" outlineLevel="0" collapsed="false">
      <c r="A4468" s="9" t="s">
        <v>10311</v>
      </c>
      <c r="B4468" s="9" t="s">
        <v>5870</v>
      </c>
      <c r="C4468" s="9" t="s">
        <v>4740</v>
      </c>
      <c r="D4468" s="9" t="s">
        <v>5871</v>
      </c>
      <c r="E4468" s="9" t="str">
        <f aca="false">IF(AND('Formation Ledger'!A4447&lt;&gt;"",'Formation Ledger'!V4447=0),"PASS","FAIL")</f>
        <v>PASS</v>
      </c>
      <c r="F4468" s="9" t="s">
        <v>76</v>
      </c>
      <c r="G4468" s="6"/>
      <c r="H4468" s="6"/>
      <c r="I4468" s="6"/>
      <c r="J4468" s="6"/>
      <c r="K4468" s="6"/>
      <c r="L4468" s="6"/>
      <c r="M4468" s="6"/>
      <c r="N4468" s="6"/>
      <c r="O4468" s="6"/>
      <c r="P4468" s="6"/>
      <c r="Q4468" s="6"/>
      <c r="R4468" s="6"/>
      <c r="S4468" s="6"/>
      <c r="T4468" s="6"/>
      <c r="U4468" s="6"/>
      <c r="V4468" s="6"/>
      <c r="W4468" s="6"/>
      <c r="X4468" s="6"/>
      <c r="Y4468" s="6"/>
      <c r="Z4468" s="6"/>
    </row>
    <row r="4469" customFormat="false" ht="15" hidden="false" customHeight="false" outlineLevel="0" collapsed="false">
      <c r="A4469" s="9" t="s">
        <v>10312</v>
      </c>
      <c r="B4469" s="9" t="s">
        <v>5870</v>
      </c>
      <c r="C4469" s="9" t="s">
        <v>4741</v>
      </c>
      <c r="D4469" s="9" t="s">
        <v>5871</v>
      </c>
      <c r="E4469" s="9" t="str">
        <f aca="false">IF(AND('Formation Ledger'!A4448&lt;&gt;"",'Formation Ledger'!V4448=0),"PASS","FAIL")</f>
        <v>PASS</v>
      </c>
      <c r="F4469" s="9" t="s">
        <v>76</v>
      </c>
      <c r="G4469" s="6"/>
      <c r="H4469" s="6"/>
      <c r="I4469" s="6"/>
      <c r="J4469" s="6"/>
      <c r="K4469" s="6"/>
      <c r="L4469" s="6"/>
      <c r="M4469" s="6"/>
      <c r="N4469" s="6"/>
      <c r="O4469" s="6"/>
      <c r="P4469" s="6"/>
      <c r="Q4469" s="6"/>
      <c r="R4469" s="6"/>
      <c r="S4469" s="6"/>
      <c r="T4469" s="6"/>
      <c r="U4469" s="6"/>
      <c r="V4469" s="6"/>
      <c r="W4469" s="6"/>
      <c r="X4469" s="6"/>
      <c r="Y4469" s="6"/>
      <c r="Z4469" s="6"/>
    </row>
    <row r="4470" customFormat="false" ht="15" hidden="false" customHeight="false" outlineLevel="0" collapsed="false">
      <c r="A4470" s="9" t="s">
        <v>10313</v>
      </c>
      <c r="B4470" s="9" t="s">
        <v>5870</v>
      </c>
      <c r="C4470" s="9" t="s">
        <v>4742</v>
      </c>
      <c r="D4470" s="9" t="s">
        <v>5871</v>
      </c>
      <c r="E4470" s="9" t="str">
        <f aca="false">IF(AND('Formation Ledger'!A4449&lt;&gt;"",'Formation Ledger'!V4449=0),"PASS","FAIL")</f>
        <v>PASS</v>
      </c>
      <c r="F4470" s="9" t="s">
        <v>76</v>
      </c>
      <c r="G4470" s="6"/>
      <c r="H4470" s="6"/>
      <c r="I4470" s="6"/>
      <c r="J4470" s="6"/>
      <c r="K4470" s="6"/>
      <c r="L4470" s="6"/>
      <c r="M4470" s="6"/>
      <c r="N4470" s="6"/>
      <c r="O4470" s="6"/>
      <c r="P4470" s="6"/>
      <c r="Q4470" s="6"/>
      <c r="R4470" s="6"/>
      <c r="S4470" s="6"/>
      <c r="T4470" s="6"/>
      <c r="U4470" s="6"/>
      <c r="V4470" s="6"/>
      <c r="W4470" s="6"/>
      <c r="X4470" s="6"/>
      <c r="Y4470" s="6"/>
      <c r="Z4470" s="6"/>
    </row>
    <row r="4471" customFormat="false" ht="15" hidden="false" customHeight="false" outlineLevel="0" collapsed="false">
      <c r="A4471" s="9" t="s">
        <v>10314</v>
      </c>
      <c r="B4471" s="9" t="s">
        <v>5870</v>
      </c>
      <c r="C4471" s="9" t="s">
        <v>4743</v>
      </c>
      <c r="D4471" s="9" t="s">
        <v>5871</v>
      </c>
      <c r="E4471" s="9" t="str">
        <f aca="false">IF(AND('Formation Ledger'!A4450&lt;&gt;"",'Formation Ledger'!V4450=0),"PASS","FAIL")</f>
        <v>PASS</v>
      </c>
      <c r="F4471" s="9" t="s">
        <v>76</v>
      </c>
      <c r="G4471" s="6"/>
      <c r="H4471" s="6"/>
      <c r="I4471" s="6"/>
      <c r="J4471" s="6"/>
      <c r="K4471" s="6"/>
      <c r="L4471" s="6"/>
      <c r="M4471" s="6"/>
      <c r="N4471" s="6"/>
      <c r="O4471" s="6"/>
      <c r="P4471" s="6"/>
      <c r="Q4471" s="6"/>
      <c r="R4471" s="6"/>
      <c r="S4471" s="6"/>
      <c r="T4471" s="6"/>
      <c r="U4471" s="6"/>
      <c r="V4471" s="6"/>
      <c r="W4471" s="6"/>
      <c r="X4471" s="6"/>
      <c r="Y4471" s="6"/>
      <c r="Z4471" s="6"/>
    </row>
    <row r="4472" customFormat="false" ht="15" hidden="false" customHeight="false" outlineLevel="0" collapsed="false">
      <c r="A4472" s="9" t="s">
        <v>10315</v>
      </c>
      <c r="B4472" s="9" t="s">
        <v>5870</v>
      </c>
      <c r="C4472" s="9" t="s">
        <v>4744</v>
      </c>
      <c r="D4472" s="9" t="s">
        <v>5871</v>
      </c>
      <c r="E4472" s="9" t="str">
        <f aca="false">IF(AND('Formation Ledger'!A4451&lt;&gt;"",'Formation Ledger'!V4451=0),"PASS","FAIL")</f>
        <v>PASS</v>
      </c>
      <c r="F4472" s="9" t="s">
        <v>76</v>
      </c>
      <c r="G4472" s="6"/>
      <c r="H4472" s="6"/>
      <c r="I4472" s="6"/>
      <c r="J4472" s="6"/>
      <c r="K4472" s="6"/>
      <c r="L4472" s="6"/>
      <c r="M4472" s="6"/>
      <c r="N4472" s="6"/>
      <c r="O4472" s="6"/>
      <c r="P4472" s="6"/>
      <c r="Q4472" s="6"/>
      <c r="R4472" s="6"/>
      <c r="S4472" s="6"/>
      <c r="T4472" s="6"/>
      <c r="U4472" s="6"/>
      <c r="V4472" s="6"/>
      <c r="W4472" s="6"/>
      <c r="X4472" s="6"/>
      <c r="Y4472" s="6"/>
      <c r="Z4472" s="6"/>
    </row>
    <row r="4473" customFormat="false" ht="15" hidden="false" customHeight="false" outlineLevel="0" collapsed="false">
      <c r="A4473" s="9" t="s">
        <v>10316</v>
      </c>
      <c r="B4473" s="9" t="s">
        <v>5870</v>
      </c>
      <c r="C4473" s="9" t="s">
        <v>4745</v>
      </c>
      <c r="D4473" s="9" t="s">
        <v>5871</v>
      </c>
      <c r="E4473" s="9" t="str">
        <f aca="false">IF(AND('Formation Ledger'!A4452&lt;&gt;"",'Formation Ledger'!V4452=0),"PASS","FAIL")</f>
        <v>PASS</v>
      </c>
      <c r="F4473" s="9" t="s">
        <v>76</v>
      </c>
      <c r="G4473" s="6"/>
      <c r="H4473" s="6"/>
      <c r="I4473" s="6"/>
      <c r="J4473" s="6"/>
      <c r="K4473" s="6"/>
      <c r="L4473" s="6"/>
      <c r="M4473" s="6"/>
      <c r="N4473" s="6"/>
      <c r="O4473" s="6"/>
      <c r="P4473" s="6"/>
      <c r="Q4473" s="6"/>
      <c r="R4473" s="6"/>
      <c r="S4473" s="6"/>
      <c r="T4473" s="6"/>
      <c r="U4473" s="6"/>
      <c r="V4473" s="6"/>
      <c r="W4473" s="6"/>
      <c r="X4473" s="6"/>
      <c r="Y4473" s="6"/>
      <c r="Z4473" s="6"/>
    </row>
    <row r="4474" customFormat="false" ht="15" hidden="false" customHeight="false" outlineLevel="0" collapsed="false">
      <c r="A4474" s="9" t="s">
        <v>10317</v>
      </c>
      <c r="B4474" s="9" t="s">
        <v>5870</v>
      </c>
      <c r="C4474" s="9" t="s">
        <v>4746</v>
      </c>
      <c r="D4474" s="9" t="s">
        <v>5871</v>
      </c>
      <c r="E4474" s="9" t="str">
        <f aca="false">IF(AND('Formation Ledger'!A4453&lt;&gt;"",'Formation Ledger'!V4453=0),"PASS","FAIL")</f>
        <v>PASS</v>
      </c>
      <c r="F4474" s="9" t="s">
        <v>76</v>
      </c>
      <c r="G4474" s="6"/>
      <c r="H4474" s="6"/>
      <c r="I4474" s="6"/>
      <c r="J4474" s="6"/>
      <c r="K4474" s="6"/>
      <c r="L4474" s="6"/>
      <c r="M4474" s="6"/>
      <c r="N4474" s="6"/>
      <c r="O4474" s="6"/>
      <c r="P4474" s="6"/>
      <c r="Q4474" s="6"/>
      <c r="R4474" s="6"/>
      <c r="S4474" s="6"/>
      <c r="T4474" s="6"/>
      <c r="U4474" s="6"/>
      <c r="V4474" s="6"/>
      <c r="W4474" s="6"/>
      <c r="X4474" s="6"/>
      <c r="Y4474" s="6"/>
      <c r="Z4474" s="6"/>
    </row>
    <row r="4475" customFormat="false" ht="15" hidden="false" customHeight="false" outlineLevel="0" collapsed="false">
      <c r="A4475" s="9" t="s">
        <v>10318</v>
      </c>
      <c r="B4475" s="9" t="s">
        <v>5870</v>
      </c>
      <c r="C4475" s="9" t="s">
        <v>4747</v>
      </c>
      <c r="D4475" s="9" t="s">
        <v>5871</v>
      </c>
      <c r="E4475" s="9" t="str">
        <f aca="false">IF(AND('Formation Ledger'!A4454&lt;&gt;"",'Formation Ledger'!V4454=0),"PASS","FAIL")</f>
        <v>PASS</v>
      </c>
      <c r="F4475" s="9" t="s">
        <v>76</v>
      </c>
      <c r="G4475" s="6"/>
      <c r="H4475" s="6"/>
      <c r="I4475" s="6"/>
      <c r="J4475" s="6"/>
      <c r="K4475" s="6"/>
      <c r="L4475" s="6"/>
      <c r="M4475" s="6"/>
      <c r="N4475" s="6"/>
      <c r="O4475" s="6"/>
      <c r="P4475" s="6"/>
      <c r="Q4475" s="6"/>
      <c r="R4475" s="6"/>
      <c r="S4475" s="6"/>
      <c r="T4475" s="6"/>
      <c r="U4475" s="6"/>
      <c r="V4475" s="6"/>
      <c r="W4475" s="6"/>
      <c r="X4475" s="6"/>
      <c r="Y4475" s="6"/>
      <c r="Z4475" s="6"/>
    </row>
    <row r="4476" customFormat="false" ht="15" hidden="false" customHeight="false" outlineLevel="0" collapsed="false">
      <c r="A4476" s="9" t="s">
        <v>10319</v>
      </c>
      <c r="B4476" s="9" t="s">
        <v>5870</v>
      </c>
      <c r="C4476" s="9" t="s">
        <v>4748</v>
      </c>
      <c r="D4476" s="9" t="s">
        <v>5871</v>
      </c>
      <c r="E4476" s="9" t="str">
        <f aca="false">IF(AND('Formation Ledger'!A4455&lt;&gt;"",'Formation Ledger'!V4455=0),"PASS","FAIL")</f>
        <v>PASS</v>
      </c>
      <c r="F4476" s="9" t="s">
        <v>76</v>
      </c>
      <c r="G4476" s="6"/>
      <c r="H4476" s="6"/>
      <c r="I4476" s="6"/>
      <c r="J4476" s="6"/>
      <c r="K4476" s="6"/>
      <c r="L4476" s="6"/>
      <c r="M4476" s="6"/>
      <c r="N4476" s="6"/>
      <c r="O4476" s="6"/>
      <c r="P4476" s="6"/>
      <c r="Q4476" s="6"/>
      <c r="R4476" s="6"/>
      <c r="S4476" s="6"/>
      <c r="T4476" s="6"/>
      <c r="U4476" s="6"/>
      <c r="V4476" s="6"/>
      <c r="W4476" s="6"/>
      <c r="X4476" s="6"/>
      <c r="Y4476" s="6"/>
      <c r="Z4476" s="6"/>
    </row>
    <row r="4477" customFormat="false" ht="15" hidden="false" customHeight="false" outlineLevel="0" collapsed="false">
      <c r="A4477" s="9" t="s">
        <v>10320</v>
      </c>
      <c r="B4477" s="9" t="s">
        <v>5870</v>
      </c>
      <c r="C4477" s="9" t="s">
        <v>4749</v>
      </c>
      <c r="D4477" s="9" t="s">
        <v>5871</v>
      </c>
      <c r="E4477" s="9" t="str">
        <f aca="false">IF(AND('Formation Ledger'!A4456&lt;&gt;"",'Formation Ledger'!V4456=0),"PASS","FAIL")</f>
        <v>PASS</v>
      </c>
      <c r="F4477" s="9" t="s">
        <v>76</v>
      </c>
      <c r="G4477" s="6"/>
      <c r="H4477" s="6"/>
      <c r="I4477" s="6"/>
      <c r="J4477" s="6"/>
      <c r="K4477" s="6"/>
      <c r="L4477" s="6"/>
      <c r="M4477" s="6"/>
      <c r="N4477" s="6"/>
      <c r="O4477" s="6"/>
      <c r="P4477" s="6"/>
      <c r="Q4477" s="6"/>
      <c r="R4477" s="6"/>
      <c r="S4477" s="6"/>
      <c r="T4477" s="6"/>
      <c r="U4477" s="6"/>
      <c r="V4477" s="6"/>
      <c r="W4477" s="6"/>
      <c r="X4477" s="6"/>
      <c r="Y4477" s="6"/>
      <c r="Z4477" s="6"/>
    </row>
    <row r="4478" customFormat="false" ht="15" hidden="false" customHeight="false" outlineLevel="0" collapsed="false">
      <c r="A4478" s="9" t="s">
        <v>10321</v>
      </c>
      <c r="B4478" s="9" t="s">
        <v>5870</v>
      </c>
      <c r="C4478" s="9" t="s">
        <v>4750</v>
      </c>
      <c r="D4478" s="9" t="s">
        <v>5871</v>
      </c>
      <c r="E4478" s="9" t="str">
        <f aca="false">IF(AND('Formation Ledger'!A4457&lt;&gt;"",'Formation Ledger'!V4457=0),"PASS","FAIL")</f>
        <v>PASS</v>
      </c>
      <c r="F4478" s="9" t="s">
        <v>76</v>
      </c>
      <c r="G4478" s="6"/>
      <c r="H4478" s="6"/>
      <c r="I4478" s="6"/>
      <c r="J4478" s="6"/>
      <c r="K4478" s="6"/>
      <c r="L4478" s="6"/>
      <c r="M4478" s="6"/>
      <c r="N4478" s="6"/>
      <c r="O4478" s="6"/>
      <c r="P4478" s="6"/>
      <c r="Q4478" s="6"/>
      <c r="R4478" s="6"/>
      <c r="S4478" s="6"/>
      <c r="T4478" s="6"/>
      <c r="U4478" s="6"/>
      <c r="V4478" s="6"/>
      <c r="W4478" s="6"/>
      <c r="X4478" s="6"/>
      <c r="Y4478" s="6"/>
      <c r="Z4478" s="6"/>
    </row>
    <row r="4479" customFormat="false" ht="15" hidden="false" customHeight="false" outlineLevel="0" collapsed="false">
      <c r="A4479" s="9" t="s">
        <v>10322</v>
      </c>
      <c r="B4479" s="9" t="s">
        <v>5870</v>
      </c>
      <c r="C4479" s="9" t="s">
        <v>4751</v>
      </c>
      <c r="D4479" s="9" t="s">
        <v>5871</v>
      </c>
      <c r="E4479" s="9" t="str">
        <f aca="false">IF(AND('Formation Ledger'!A4458&lt;&gt;"",'Formation Ledger'!V4458=0),"PASS","FAIL")</f>
        <v>PASS</v>
      </c>
      <c r="F4479" s="9" t="s">
        <v>76</v>
      </c>
      <c r="G4479" s="6"/>
      <c r="H4479" s="6"/>
      <c r="I4479" s="6"/>
      <c r="J4479" s="6"/>
      <c r="K4479" s="6"/>
      <c r="L4479" s="6"/>
      <c r="M4479" s="6"/>
      <c r="N4479" s="6"/>
      <c r="O4479" s="6"/>
      <c r="P4479" s="6"/>
      <c r="Q4479" s="6"/>
      <c r="R4479" s="6"/>
      <c r="S4479" s="6"/>
      <c r="T4479" s="6"/>
      <c r="U4479" s="6"/>
      <c r="V4479" s="6"/>
      <c r="W4479" s="6"/>
      <c r="X4479" s="6"/>
      <c r="Y4479" s="6"/>
      <c r="Z4479" s="6"/>
    </row>
    <row r="4480" customFormat="false" ht="15" hidden="false" customHeight="false" outlineLevel="0" collapsed="false">
      <c r="A4480" s="9" t="s">
        <v>10323</v>
      </c>
      <c r="B4480" s="9" t="s">
        <v>5870</v>
      </c>
      <c r="C4480" s="9" t="s">
        <v>4752</v>
      </c>
      <c r="D4480" s="9" t="s">
        <v>5871</v>
      </c>
      <c r="E4480" s="9" t="str">
        <f aca="false">IF(AND('Formation Ledger'!A4459&lt;&gt;"",'Formation Ledger'!V4459=0),"PASS","FAIL")</f>
        <v>PASS</v>
      </c>
      <c r="F4480" s="9" t="s">
        <v>76</v>
      </c>
      <c r="G4480" s="6"/>
      <c r="H4480" s="6"/>
      <c r="I4480" s="6"/>
      <c r="J4480" s="6"/>
      <c r="K4480" s="6"/>
      <c r="L4480" s="6"/>
      <c r="M4480" s="6"/>
      <c r="N4480" s="6"/>
      <c r="O4480" s="6"/>
      <c r="P4480" s="6"/>
      <c r="Q4480" s="6"/>
      <c r="R4480" s="6"/>
      <c r="S4480" s="6"/>
      <c r="T4480" s="6"/>
      <c r="U4480" s="6"/>
      <c r="V4480" s="6"/>
      <c r="W4480" s="6"/>
      <c r="X4480" s="6"/>
      <c r="Y4480" s="6"/>
      <c r="Z4480" s="6"/>
    </row>
    <row r="4481" customFormat="false" ht="15" hidden="false" customHeight="false" outlineLevel="0" collapsed="false">
      <c r="A4481" s="9" t="s">
        <v>10324</v>
      </c>
      <c r="B4481" s="9" t="s">
        <v>5870</v>
      </c>
      <c r="C4481" s="9" t="s">
        <v>4753</v>
      </c>
      <c r="D4481" s="9" t="s">
        <v>5871</v>
      </c>
      <c r="E4481" s="9" t="str">
        <f aca="false">IF(AND('Formation Ledger'!A4460&lt;&gt;"",'Formation Ledger'!V4460=0),"PASS","FAIL")</f>
        <v>PASS</v>
      </c>
      <c r="F4481" s="9" t="s">
        <v>76</v>
      </c>
      <c r="G4481" s="6"/>
      <c r="H4481" s="6"/>
      <c r="I4481" s="6"/>
      <c r="J4481" s="6"/>
      <c r="K4481" s="6"/>
      <c r="L4481" s="6"/>
      <c r="M4481" s="6"/>
      <c r="N4481" s="6"/>
      <c r="O4481" s="6"/>
      <c r="P4481" s="6"/>
      <c r="Q4481" s="6"/>
      <c r="R4481" s="6"/>
      <c r="S4481" s="6"/>
      <c r="T4481" s="6"/>
      <c r="U4481" s="6"/>
      <c r="V4481" s="6"/>
      <c r="W4481" s="6"/>
      <c r="X4481" s="6"/>
      <c r="Y4481" s="6"/>
      <c r="Z4481" s="6"/>
    </row>
    <row r="4482" customFormat="false" ht="15" hidden="false" customHeight="false" outlineLevel="0" collapsed="false">
      <c r="A4482" s="9" t="s">
        <v>10325</v>
      </c>
      <c r="B4482" s="9" t="s">
        <v>5870</v>
      </c>
      <c r="C4482" s="9" t="s">
        <v>4754</v>
      </c>
      <c r="D4482" s="9" t="s">
        <v>5871</v>
      </c>
      <c r="E4482" s="9" t="str">
        <f aca="false">IF(AND('Formation Ledger'!A4461&lt;&gt;"",'Formation Ledger'!V4461=0),"PASS","FAIL")</f>
        <v>PASS</v>
      </c>
      <c r="F4482" s="9" t="s">
        <v>76</v>
      </c>
      <c r="G4482" s="6"/>
      <c r="H4482" s="6"/>
      <c r="I4482" s="6"/>
      <c r="J4482" s="6"/>
      <c r="K4482" s="6"/>
      <c r="L4482" s="6"/>
      <c r="M4482" s="6"/>
      <c r="N4482" s="6"/>
      <c r="O4482" s="6"/>
      <c r="P4482" s="6"/>
      <c r="Q4482" s="6"/>
      <c r="R4482" s="6"/>
      <c r="S4482" s="6"/>
      <c r="T4482" s="6"/>
      <c r="U4482" s="6"/>
      <c r="V4482" s="6"/>
      <c r="W4482" s="6"/>
      <c r="X4482" s="6"/>
      <c r="Y4482" s="6"/>
      <c r="Z4482" s="6"/>
    </row>
    <row r="4483" customFormat="false" ht="15" hidden="false" customHeight="false" outlineLevel="0" collapsed="false">
      <c r="A4483" s="9" t="s">
        <v>10326</v>
      </c>
      <c r="B4483" s="9" t="s">
        <v>5870</v>
      </c>
      <c r="C4483" s="9" t="s">
        <v>4755</v>
      </c>
      <c r="D4483" s="9" t="s">
        <v>5871</v>
      </c>
      <c r="E4483" s="9" t="str">
        <f aca="false">IF(AND('Formation Ledger'!A4462&lt;&gt;"",'Formation Ledger'!V4462=0),"PASS","FAIL")</f>
        <v>PASS</v>
      </c>
      <c r="F4483" s="9" t="s">
        <v>76</v>
      </c>
      <c r="G4483" s="6"/>
      <c r="H4483" s="6"/>
      <c r="I4483" s="6"/>
      <c r="J4483" s="6"/>
      <c r="K4483" s="6"/>
      <c r="L4483" s="6"/>
      <c r="M4483" s="6"/>
      <c r="N4483" s="6"/>
      <c r="O4483" s="6"/>
      <c r="P4483" s="6"/>
      <c r="Q4483" s="6"/>
      <c r="R4483" s="6"/>
      <c r="S4483" s="6"/>
      <c r="T4483" s="6"/>
      <c r="U4483" s="6"/>
      <c r="V4483" s="6"/>
      <c r="W4483" s="6"/>
      <c r="X4483" s="6"/>
      <c r="Y4483" s="6"/>
      <c r="Z4483" s="6"/>
    </row>
    <row r="4484" customFormat="false" ht="15" hidden="false" customHeight="false" outlineLevel="0" collapsed="false">
      <c r="A4484" s="9" t="s">
        <v>10327</v>
      </c>
      <c r="B4484" s="9" t="s">
        <v>5870</v>
      </c>
      <c r="C4484" s="9" t="s">
        <v>4756</v>
      </c>
      <c r="D4484" s="9" t="s">
        <v>5871</v>
      </c>
      <c r="E4484" s="9" t="str">
        <f aca="false">IF(AND('Formation Ledger'!A4463&lt;&gt;"",'Formation Ledger'!V4463=0),"PASS","FAIL")</f>
        <v>PASS</v>
      </c>
      <c r="F4484" s="9" t="s">
        <v>76</v>
      </c>
      <c r="G4484" s="6"/>
      <c r="H4484" s="6"/>
      <c r="I4484" s="6"/>
      <c r="J4484" s="6"/>
      <c r="K4484" s="6"/>
      <c r="L4484" s="6"/>
      <c r="M4484" s="6"/>
      <c r="N4484" s="6"/>
      <c r="O4484" s="6"/>
      <c r="P4484" s="6"/>
      <c r="Q4484" s="6"/>
      <c r="R4484" s="6"/>
      <c r="S4484" s="6"/>
      <c r="T4484" s="6"/>
      <c r="U4484" s="6"/>
      <c r="V4484" s="6"/>
      <c r="W4484" s="6"/>
      <c r="X4484" s="6"/>
      <c r="Y4484" s="6"/>
      <c r="Z4484" s="6"/>
    </row>
    <row r="4485" customFormat="false" ht="15" hidden="false" customHeight="false" outlineLevel="0" collapsed="false">
      <c r="A4485" s="9" t="s">
        <v>10328</v>
      </c>
      <c r="B4485" s="9" t="s">
        <v>5870</v>
      </c>
      <c r="C4485" s="9" t="s">
        <v>4757</v>
      </c>
      <c r="D4485" s="9" t="s">
        <v>5871</v>
      </c>
      <c r="E4485" s="9" t="str">
        <f aca="false">IF(AND('Formation Ledger'!A4464&lt;&gt;"",'Formation Ledger'!V4464=0),"PASS","FAIL")</f>
        <v>PASS</v>
      </c>
      <c r="F4485" s="9" t="s">
        <v>76</v>
      </c>
      <c r="G4485" s="6"/>
      <c r="H4485" s="6"/>
      <c r="I4485" s="6"/>
      <c r="J4485" s="6"/>
      <c r="K4485" s="6"/>
      <c r="L4485" s="6"/>
      <c r="M4485" s="6"/>
      <c r="N4485" s="6"/>
      <c r="O4485" s="6"/>
      <c r="P4485" s="6"/>
      <c r="Q4485" s="6"/>
      <c r="R4485" s="6"/>
      <c r="S4485" s="6"/>
      <c r="T4485" s="6"/>
      <c r="U4485" s="6"/>
      <c r="V4485" s="6"/>
      <c r="W4485" s="6"/>
      <c r="X4485" s="6"/>
      <c r="Y4485" s="6"/>
      <c r="Z4485" s="6"/>
    </row>
    <row r="4486" customFormat="false" ht="15" hidden="false" customHeight="false" outlineLevel="0" collapsed="false">
      <c r="A4486" s="9" t="s">
        <v>10329</v>
      </c>
      <c r="B4486" s="9" t="s">
        <v>5870</v>
      </c>
      <c r="C4486" s="9" t="s">
        <v>4758</v>
      </c>
      <c r="D4486" s="9" t="s">
        <v>5871</v>
      </c>
      <c r="E4486" s="9" t="str">
        <f aca="false">IF(AND('Formation Ledger'!A4465&lt;&gt;"",'Formation Ledger'!V4465=0),"PASS","FAIL")</f>
        <v>PASS</v>
      </c>
      <c r="F4486" s="9" t="s">
        <v>76</v>
      </c>
      <c r="G4486" s="6"/>
      <c r="H4486" s="6"/>
      <c r="I4486" s="6"/>
      <c r="J4486" s="6"/>
      <c r="K4486" s="6"/>
      <c r="L4486" s="6"/>
      <c r="M4486" s="6"/>
      <c r="N4486" s="6"/>
      <c r="O4486" s="6"/>
      <c r="P4486" s="6"/>
      <c r="Q4486" s="6"/>
      <c r="R4486" s="6"/>
      <c r="S4486" s="6"/>
      <c r="T4486" s="6"/>
      <c r="U4486" s="6"/>
      <c r="V4486" s="6"/>
      <c r="W4486" s="6"/>
      <c r="X4486" s="6"/>
      <c r="Y4486" s="6"/>
      <c r="Z4486" s="6"/>
    </row>
    <row r="4487" customFormat="false" ht="15" hidden="false" customHeight="false" outlineLevel="0" collapsed="false">
      <c r="A4487" s="9" t="s">
        <v>10330</v>
      </c>
      <c r="B4487" s="9" t="s">
        <v>5870</v>
      </c>
      <c r="C4487" s="9" t="s">
        <v>4759</v>
      </c>
      <c r="D4487" s="9" t="s">
        <v>5871</v>
      </c>
      <c r="E4487" s="9" t="str">
        <f aca="false">IF(AND('Formation Ledger'!A4466&lt;&gt;"",'Formation Ledger'!V4466=0),"PASS","FAIL")</f>
        <v>PASS</v>
      </c>
      <c r="F4487" s="9" t="s">
        <v>76</v>
      </c>
      <c r="G4487" s="6"/>
      <c r="H4487" s="6"/>
      <c r="I4487" s="6"/>
      <c r="J4487" s="6"/>
      <c r="K4487" s="6"/>
      <c r="L4487" s="6"/>
      <c r="M4487" s="6"/>
      <c r="N4487" s="6"/>
      <c r="O4487" s="6"/>
      <c r="P4487" s="6"/>
      <c r="Q4487" s="6"/>
      <c r="R4487" s="6"/>
      <c r="S4487" s="6"/>
      <c r="T4487" s="6"/>
      <c r="U4487" s="6"/>
      <c r="V4487" s="6"/>
      <c r="W4487" s="6"/>
      <c r="X4487" s="6"/>
      <c r="Y4487" s="6"/>
      <c r="Z4487" s="6"/>
    </row>
    <row r="4488" customFormat="false" ht="15" hidden="false" customHeight="false" outlineLevel="0" collapsed="false">
      <c r="A4488" s="9" t="s">
        <v>10331</v>
      </c>
      <c r="B4488" s="9" t="s">
        <v>5870</v>
      </c>
      <c r="C4488" s="9" t="s">
        <v>4760</v>
      </c>
      <c r="D4488" s="9" t="s">
        <v>5871</v>
      </c>
      <c r="E4488" s="9" t="str">
        <f aca="false">IF(AND('Formation Ledger'!A4467&lt;&gt;"",'Formation Ledger'!V4467=0),"PASS","FAIL")</f>
        <v>PASS</v>
      </c>
      <c r="F4488" s="9" t="s">
        <v>76</v>
      </c>
      <c r="G4488" s="6"/>
      <c r="H4488" s="6"/>
      <c r="I4488" s="6"/>
      <c r="J4488" s="6"/>
      <c r="K4488" s="6"/>
      <c r="L4488" s="6"/>
      <c r="M4488" s="6"/>
      <c r="N4488" s="6"/>
      <c r="O4488" s="6"/>
      <c r="P4488" s="6"/>
      <c r="Q4488" s="6"/>
      <c r="R4488" s="6"/>
      <c r="S4488" s="6"/>
      <c r="T4488" s="6"/>
      <c r="U4488" s="6"/>
      <c r="V4488" s="6"/>
      <c r="W4488" s="6"/>
      <c r="X4488" s="6"/>
      <c r="Y4488" s="6"/>
      <c r="Z4488" s="6"/>
    </row>
    <row r="4489" customFormat="false" ht="15" hidden="false" customHeight="false" outlineLevel="0" collapsed="false">
      <c r="A4489" s="9" t="s">
        <v>10332</v>
      </c>
      <c r="B4489" s="9" t="s">
        <v>5870</v>
      </c>
      <c r="C4489" s="9" t="s">
        <v>4761</v>
      </c>
      <c r="D4489" s="9" t="s">
        <v>5871</v>
      </c>
      <c r="E4489" s="9" t="str">
        <f aca="false">IF(AND('Formation Ledger'!A4468&lt;&gt;"",'Formation Ledger'!V4468=0),"PASS","FAIL")</f>
        <v>PASS</v>
      </c>
      <c r="F4489" s="9" t="s">
        <v>76</v>
      </c>
      <c r="G4489" s="6"/>
      <c r="H4489" s="6"/>
      <c r="I4489" s="6"/>
      <c r="J4489" s="6"/>
      <c r="K4489" s="6"/>
      <c r="L4489" s="6"/>
      <c r="M4489" s="6"/>
      <c r="N4489" s="6"/>
      <c r="O4489" s="6"/>
      <c r="P4489" s="6"/>
      <c r="Q4489" s="6"/>
      <c r="R4489" s="6"/>
      <c r="S4489" s="6"/>
      <c r="T4489" s="6"/>
      <c r="U4489" s="6"/>
      <c r="V4489" s="6"/>
      <c r="W4489" s="6"/>
      <c r="X4489" s="6"/>
      <c r="Y4489" s="6"/>
      <c r="Z4489" s="6"/>
    </row>
    <row r="4490" customFormat="false" ht="15" hidden="false" customHeight="false" outlineLevel="0" collapsed="false">
      <c r="A4490" s="9" t="s">
        <v>10333</v>
      </c>
      <c r="B4490" s="9" t="s">
        <v>5870</v>
      </c>
      <c r="C4490" s="9" t="s">
        <v>4762</v>
      </c>
      <c r="D4490" s="9" t="s">
        <v>5871</v>
      </c>
      <c r="E4490" s="9" t="str">
        <f aca="false">IF(AND('Formation Ledger'!A4469&lt;&gt;"",'Formation Ledger'!V4469=0),"PASS","FAIL")</f>
        <v>PASS</v>
      </c>
      <c r="F4490" s="9" t="s">
        <v>76</v>
      </c>
      <c r="G4490" s="6"/>
      <c r="H4490" s="6"/>
      <c r="I4490" s="6"/>
      <c r="J4490" s="6"/>
      <c r="K4490" s="6"/>
      <c r="L4490" s="6"/>
      <c r="M4490" s="6"/>
      <c r="N4490" s="6"/>
      <c r="O4490" s="6"/>
      <c r="P4490" s="6"/>
      <c r="Q4490" s="6"/>
      <c r="R4490" s="6"/>
      <c r="S4490" s="6"/>
      <c r="T4490" s="6"/>
      <c r="U4490" s="6"/>
      <c r="V4490" s="6"/>
      <c r="W4490" s="6"/>
      <c r="X4490" s="6"/>
      <c r="Y4490" s="6"/>
      <c r="Z4490" s="6"/>
    </row>
    <row r="4491" customFormat="false" ht="15" hidden="false" customHeight="false" outlineLevel="0" collapsed="false">
      <c r="A4491" s="9" t="s">
        <v>10334</v>
      </c>
      <c r="B4491" s="9" t="s">
        <v>5870</v>
      </c>
      <c r="C4491" s="9" t="s">
        <v>4763</v>
      </c>
      <c r="D4491" s="9" t="s">
        <v>5871</v>
      </c>
      <c r="E4491" s="9" t="str">
        <f aca="false">IF(AND('Formation Ledger'!A4470&lt;&gt;"",'Formation Ledger'!V4470=0),"PASS","FAIL")</f>
        <v>PASS</v>
      </c>
      <c r="F4491" s="9" t="s">
        <v>76</v>
      </c>
      <c r="G4491" s="6"/>
      <c r="H4491" s="6"/>
      <c r="I4491" s="6"/>
      <c r="J4491" s="6"/>
      <c r="K4491" s="6"/>
      <c r="L4491" s="6"/>
      <c r="M4491" s="6"/>
      <c r="N4491" s="6"/>
      <c r="O4491" s="6"/>
      <c r="P4491" s="6"/>
      <c r="Q4491" s="6"/>
      <c r="R4491" s="6"/>
      <c r="S4491" s="6"/>
      <c r="T4491" s="6"/>
      <c r="U4491" s="6"/>
      <c r="V4491" s="6"/>
      <c r="W4491" s="6"/>
      <c r="X4491" s="6"/>
      <c r="Y4491" s="6"/>
      <c r="Z4491" s="6"/>
    </row>
    <row r="4492" customFormat="false" ht="15" hidden="false" customHeight="false" outlineLevel="0" collapsed="false">
      <c r="A4492" s="9" t="s">
        <v>10335</v>
      </c>
      <c r="B4492" s="9" t="s">
        <v>5870</v>
      </c>
      <c r="C4492" s="9" t="s">
        <v>4764</v>
      </c>
      <c r="D4492" s="9" t="s">
        <v>5871</v>
      </c>
      <c r="E4492" s="9" t="str">
        <f aca="false">IF(AND('Formation Ledger'!A4471&lt;&gt;"",'Formation Ledger'!V4471=0),"PASS","FAIL")</f>
        <v>PASS</v>
      </c>
      <c r="F4492" s="9" t="s">
        <v>76</v>
      </c>
      <c r="G4492" s="6"/>
      <c r="H4492" s="6"/>
      <c r="I4492" s="6"/>
      <c r="J4492" s="6"/>
      <c r="K4492" s="6"/>
      <c r="L4492" s="6"/>
      <c r="M4492" s="6"/>
      <c r="N4492" s="6"/>
      <c r="O4492" s="6"/>
      <c r="P4492" s="6"/>
      <c r="Q4492" s="6"/>
      <c r="R4492" s="6"/>
      <c r="S4492" s="6"/>
      <c r="T4492" s="6"/>
      <c r="U4492" s="6"/>
      <c r="V4492" s="6"/>
      <c r="W4492" s="6"/>
      <c r="X4492" s="6"/>
      <c r="Y4492" s="6"/>
      <c r="Z4492" s="6"/>
    </row>
    <row r="4493" customFormat="false" ht="15" hidden="false" customHeight="false" outlineLevel="0" collapsed="false">
      <c r="A4493" s="9" t="s">
        <v>10336</v>
      </c>
      <c r="B4493" s="9" t="s">
        <v>5870</v>
      </c>
      <c r="C4493" s="9" t="s">
        <v>4765</v>
      </c>
      <c r="D4493" s="9" t="s">
        <v>5871</v>
      </c>
      <c r="E4493" s="9" t="str">
        <f aca="false">IF(AND('Formation Ledger'!A4472&lt;&gt;"",'Formation Ledger'!V4472=0),"PASS","FAIL")</f>
        <v>PASS</v>
      </c>
      <c r="F4493" s="9" t="s">
        <v>76</v>
      </c>
      <c r="G4493" s="6"/>
      <c r="H4493" s="6"/>
      <c r="I4493" s="6"/>
      <c r="J4493" s="6"/>
      <c r="K4493" s="6"/>
      <c r="L4493" s="6"/>
      <c r="M4493" s="6"/>
      <c r="N4493" s="6"/>
      <c r="O4493" s="6"/>
      <c r="P4493" s="6"/>
      <c r="Q4493" s="6"/>
      <c r="R4493" s="6"/>
      <c r="S4493" s="6"/>
      <c r="T4493" s="6"/>
      <c r="U4493" s="6"/>
      <c r="V4493" s="6"/>
      <c r="W4493" s="6"/>
      <c r="X4493" s="6"/>
      <c r="Y4493" s="6"/>
      <c r="Z4493" s="6"/>
    </row>
    <row r="4494" customFormat="false" ht="15" hidden="false" customHeight="false" outlineLevel="0" collapsed="false">
      <c r="A4494" s="9" t="s">
        <v>10337</v>
      </c>
      <c r="B4494" s="9" t="s">
        <v>5870</v>
      </c>
      <c r="C4494" s="9" t="s">
        <v>4766</v>
      </c>
      <c r="D4494" s="9" t="s">
        <v>5871</v>
      </c>
      <c r="E4494" s="9" t="str">
        <f aca="false">IF(AND('Formation Ledger'!A4473&lt;&gt;"",'Formation Ledger'!V4473=0),"PASS","FAIL")</f>
        <v>PASS</v>
      </c>
      <c r="F4494" s="9" t="s">
        <v>76</v>
      </c>
      <c r="G4494" s="6"/>
      <c r="H4494" s="6"/>
      <c r="I4494" s="6"/>
      <c r="J4494" s="6"/>
      <c r="K4494" s="6"/>
      <c r="L4494" s="6"/>
      <c r="M4494" s="6"/>
      <c r="N4494" s="6"/>
      <c r="O4494" s="6"/>
      <c r="P4494" s="6"/>
      <c r="Q4494" s="6"/>
      <c r="R4494" s="6"/>
      <c r="S4494" s="6"/>
      <c r="T4494" s="6"/>
      <c r="U4494" s="6"/>
      <c r="V4494" s="6"/>
      <c r="W4494" s="6"/>
      <c r="X4494" s="6"/>
      <c r="Y4494" s="6"/>
      <c r="Z4494" s="6"/>
    </row>
    <row r="4495" customFormat="false" ht="15" hidden="false" customHeight="false" outlineLevel="0" collapsed="false">
      <c r="A4495" s="9" t="s">
        <v>10338</v>
      </c>
      <c r="B4495" s="9" t="s">
        <v>5870</v>
      </c>
      <c r="C4495" s="9" t="s">
        <v>4767</v>
      </c>
      <c r="D4495" s="9" t="s">
        <v>5871</v>
      </c>
      <c r="E4495" s="9" t="str">
        <f aca="false">IF(AND('Formation Ledger'!A4474&lt;&gt;"",'Formation Ledger'!V4474=0),"PASS","FAIL")</f>
        <v>PASS</v>
      </c>
      <c r="F4495" s="9" t="s">
        <v>76</v>
      </c>
      <c r="G4495" s="6"/>
      <c r="H4495" s="6"/>
      <c r="I4495" s="6"/>
      <c r="J4495" s="6"/>
      <c r="K4495" s="6"/>
      <c r="L4495" s="6"/>
      <c r="M4495" s="6"/>
      <c r="N4495" s="6"/>
      <c r="O4495" s="6"/>
      <c r="P4495" s="6"/>
      <c r="Q4495" s="6"/>
      <c r="R4495" s="6"/>
      <c r="S4495" s="6"/>
      <c r="T4495" s="6"/>
      <c r="U4495" s="6"/>
      <c r="V4495" s="6"/>
      <c r="W4495" s="6"/>
      <c r="X4495" s="6"/>
      <c r="Y4495" s="6"/>
      <c r="Z4495" s="6"/>
    </row>
    <row r="4496" customFormat="false" ht="15" hidden="false" customHeight="false" outlineLevel="0" collapsed="false">
      <c r="A4496" s="9" t="s">
        <v>10339</v>
      </c>
      <c r="B4496" s="9" t="s">
        <v>5870</v>
      </c>
      <c r="C4496" s="9" t="s">
        <v>4768</v>
      </c>
      <c r="D4496" s="9" t="s">
        <v>5871</v>
      </c>
      <c r="E4496" s="9" t="str">
        <f aca="false">IF(AND('Formation Ledger'!A4475&lt;&gt;"",'Formation Ledger'!V4475=0),"PASS","FAIL")</f>
        <v>PASS</v>
      </c>
      <c r="F4496" s="9" t="s">
        <v>76</v>
      </c>
      <c r="G4496" s="6"/>
      <c r="H4496" s="6"/>
      <c r="I4496" s="6"/>
      <c r="J4496" s="6"/>
      <c r="K4496" s="6"/>
      <c r="L4496" s="6"/>
      <c r="M4496" s="6"/>
      <c r="N4496" s="6"/>
      <c r="O4496" s="6"/>
      <c r="P4496" s="6"/>
      <c r="Q4496" s="6"/>
      <c r="R4496" s="6"/>
      <c r="S4496" s="6"/>
      <c r="T4496" s="6"/>
      <c r="U4496" s="6"/>
      <c r="V4496" s="6"/>
      <c r="W4496" s="6"/>
      <c r="X4496" s="6"/>
      <c r="Y4496" s="6"/>
      <c r="Z4496" s="6"/>
    </row>
    <row r="4497" customFormat="false" ht="15" hidden="false" customHeight="false" outlineLevel="0" collapsed="false">
      <c r="A4497" s="9" t="s">
        <v>10340</v>
      </c>
      <c r="B4497" s="9" t="s">
        <v>5870</v>
      </c>
      <c r="C4497" s="9" t="s">
        <v>4769</v>
      </c>
      <c r="D4497" s="9" t="s">
        <v>5871</v>
      </c>
      <c r="E4497" s="9" t="str">
        <f aca="false">IF(AND('Formation Ledger'!A4476&lt;&gt;"",'Formation Ledger'!V4476=0),"PASS","FAIL")</f>
        <v>PASS</v>
      </c>
      <c r="F4497" s="9" t="s">
        <v>76</v>
      </c>
      <c r="G4497" s="6"/>
      <c r="H4497" s="6"/>
      <c r="I4497" s="6"/>
      <c r="J4497" s="6"/>
      <c r="K4497" s="6"/>
      <c r="L4497" s="6"/>
      <c r="M4497" s="6"/>
      <c r="N4497" s="6"/>
      <c r="O4497" s="6"/>
      <c r="P4497" s="6"/>
      <c r="Q4497" s="6"/>
      <c r="R4497" s="6"/>
      <c r="S4497" s="6"/>
      <c r="T4497" s="6"/>
      <c r="U4497" s="6"/>
      <c r="V4497" s="6"/>
      <c r="W4497" s="6"/>
      <c r="X4497" s="6"/>
      <c r="Y4497" s="6"/>
      <c r="Z4497" s="6"/>
    </row>
    <row r="4498" customFormat="false" ht="15" hidden="false" customHeight="false" outlineLevel="0" collapsed="false">
      <c r="A4498" s="9" t="s">
        <v>10341</v>
      </c>
      <c r="B4498" s="9" t="s">
        <v>5870</v>
      </c>
      <c r="C4498" s="9" t="s">
        <v>4770</v>
      </c>
      <c r="D4498" s="9" t="s">
        <v>5871</v>
      </c>
      <c r="E4498" s="9" t="str">
        <f aca="false">IF(AND('Formation Ledger'!A4477&lt;&gt;"",'Formation Ledger'!V4477=0),"PASS","FAIL")</f>
        <v>PASS</v>
      </c>
      <c r="F4498" s="9" t="s">
        <v>76</v>
      </c>
      <c r="G4498" s="6"/>
      <c r="H4498" s="6"/>
      <c r="I4498" s="6"/>
      <c r="J4498" s="6"/>
      <c r="K4498" s="6"/>
      <c r="L4498" s="6"/>
      <c r="M4498" s="6"/>
      <c r="N4498" s="6"/>
      <c r="O4498" s="6"/>
      <c r="P4498" s="6"/>
      <c r="Q4498" s="6"/>
      <c r="R4498" s="6"/>
      <c r="S4498" s="6"/>
      <c r="T4498" s="6"/>
      <c r="U4498" s="6"/>
      <c r="V4498" s="6"/>
      <c r="W4498" s="6"/>
      <c r="X4498" s="6"/>
      <c r="Y4498" s="6"/>
      <c r="Z4498" s="6"/>
    </row>
    <row r="4499" customFormat="false" ht="15" hidden="false" customHeight="false" outlineLevel="0" collapsed="false">
      <c r="A4499" s="9" t="s">
        <v>10342</v>
      </c>
      <c r="B4499" s="9" t="s">
        <v>5870</v>
      </c>
      <c r="C4499" s="9" t="s">
        <v>4771</v>
      </c>
      <c r="D4499" s="9" t="s">
        <v>5871</v>
      </c>
      <c r="E4499" s="9" t="str">
        <f aca="false">IF(AND('Formation Ledger'!A4478&lt;&gt;"",'Formation Ledger'!V4478=0),"PASS","FAIL")</f>
        <v>PASS</v>
      </c>
      <c r="F4499" s="9" t="s">
        <v>76</v>
      </c>
      <c r="G4499" s="6"/>
      <c r="H4499" s="6"/>
      <c r="I4499" s="6"/>
      <c r="J4499" s="6"/>
      <c r="K4499" s="6"/>
      <c r="L4499" s="6"/>
      <c r="M4499" s="6"/>
      <c r="N4499" s="6"/>
      <c r="O4499" s="6"/>
      <c r="P4499" s="6"/>
      <c r="Q4499" s="6"/>
      <c r="R4499" s="6"/>
      <c r="S4499" s="6"/>
      <c r="T4499" s="6"/>
      <c r="U4499" s="6"/>
      <c r="V4499" s="6"/>
      <c r="W4499" s="6"/>
      <c r="X4499" s="6"/>
      <c r="Y4499" s="6"/>
      <c r="Z4499" s="6"/>
    </row>
    <row r="4500" customFormat="false" ht="15" hidden="false" customHeight="false" outlineLevel="0" collapsed="false">
      <c r="A4500" s="9" t="s">
        <v>10343</v>
      </c>
      <c r="B4500" s="9" t="s">
        <v>5870</v>
      </c>
      <c r="C4500" s="9" t="s">
        <v>4772</v>
      </c>
      <c r="D4500" s="9" t="s">
        <v>5871</v>
      </c>
      <c r="E4500" s="9" t="str">
        <f aca="false">IF(AND('Formation Ledger'!A4479&lt;&gt;"",'Formation Ledger'!V4479=0),"PASS","FAIL")</f>
        <v>PASS</v>
      </c>
      <c r="F4500" s="9" t="s">
        <v>76</v>
      </c>
      <c r="G4500" s="6"/>
      <c r="H4500" s="6"/>
      <c r="I4500" s="6"/>
      <c r="J4500" s="6"/>
      <c r="K4500" s="6"/>
      <c r="L4500" s="6"/>
      <c r="M4500" s="6"/>
      <c r="N4500" s="6"/>
      <c r="O4500" s="6"/>
      <c r="P4500" s="6"/>
      <c r="Q4500" s="6"/>
      <c r="R4500" s="6"/>
      <c r="S4500" s="6"/>
      <c r="T4500" s="6"/>
      <c r="U4500" s="6"/>
      <c r="V4500" s="6"/>
      <c r="W4500" s="6"/>
      <c r="X4500" s="6"/>
      <c r="Y4500" s="6"/>
      <c r="Z4500" s="6"/>
    </row>
    <row r="4501" customFormat="false" ht="15" hidden="false" customHeight="false" outlineLevel="0" collapsed="false">
      <c r="A4501" s="9" t="s">
        <v>10344</v>
      </c>
      <c r="B4501" s="9" t="s">
        <v>5870</v>
      </c>
      <c r="C4501" s="9" t="s">
        <v>4773</v>
      </c>
      <c r="D4501" s="9" t="s">
        <v>5871</v>
      </c>
      <c r="E4501" s="9" t="str">
        <f aca="false">IF(AND('Formation Ledger'!A4480&lt;&gt;"",'Formation Ledger'!V4480=0),"PASS","FAIL")</f>
        <v>PASS</v>
      </c>
      <c r="F4501" s="9" t="s">
        <v>76</v>
      </c>
      <c r="G4501" s="6"/>
      <c r="H4501" s="6"/>
      <c r="I4501" s="6"/>
      <c r="J4501" s="6"/>
      <c r="K4501" s="6"/>
      <c r="L4501" s="6"/>
      <c r="M4501" s="6"/>
      <c r="N4501" s="6"/>
      <c r="O4501" s="6"/>
      <c r="P4501" s="6"/>
      <c r="Q4501" s="6"/>
      <c r="R4501" s="6"/>
      <c r="S4501" s="6"/>
      <c r="T4501" s="6"/>
      <c r="U4501" s="6"/>
      <c r="V4501" s="6"/>
      <c r="W4501" s="6"/>
      <c r="X4501" s="6"/>
      <c r="Y4501" s="6"/>
      <c r="Z4501" s="6"/>
    </row>
    <row r="4502" customFormat="false" ht="15" hidden="false" customHeight="false" outlineLevel="0" collapsed="false">
      <c r="A4502" s="9" t="s">
        <v>10345</v>
      </c>
      <c r="B4502" s="9" t="s">
        <v>5870</v>
      </c>
      <c r="C4502" s="9" t="s">
        <v>4774</v>
      </c>
      <c r="D4502" s="9" t="s">
        <v>5871</v>
      </c>
      <c r="E4502" s="9" t="str">
        <f aca="false">IF(AND('Formation Ledger'!A4481&lt;&gt;"",'Formation Ledger'!V4481=0),"PASS","FAIL")</f>
        <v>PASS</v>
      </c>
      <c r="F4502" s="9" t="s">
        <v>76</v>
      </c>
      <c r="G4502" s="6"/>
      <c r="H4502" s="6"/>
      <c r="I4502" s="6"/>
      <c r="J4502" s="6"/>
      <c r="K4502" s="6"/>
      <c r="L4502" s="6"/>
      <c r="M4502" s="6"/>
      <c r="N4502" s="6"/>
      <c r="O4502" s="6"/>
      <c r="P4502" s="6"/>
      <c r="Q4502" s="6"/>
      <c r="R4502" s="6"/>
      <c r="S4502" s="6"/>
      <c r="T4502" s="6"/>
      <c r="U4502" s="6"/>
      <c r="V4502" s="6"/>
      <c r="W4502" s="6"/>
      <c r="X4502" s="6"/>
      <c r="Y4502" s="6"/>
      <c r="Z4502" s="6"/>
    </row>
    <row r="4503" customFormat="false" ht="15" hidden="false" customHeight="false" outlineLevel="0" collapsed="false">
      <c r="A4503" s="9" t="s">
        <v>10346</v>
      </c>
      <c r="B4503" s="9" t="s">
        <v>5870</v>
      </c>
      <c r="C4503" s="9" t="s">
        <v>4775</v>
      </c>
      <c r="D4503" s="9" t="s">
        <v>5871</v>
      </c>
      <c r="E4503" s="9" t="str">
        <f aca="false">IF(AND('Formation Ledger'!A4482&lt;&gt;"",'Formation Ledger'!V4482=0),"PASS","FAIL")</f>
        <v>PASS</v>
      </c>
      <c r="F4503" s="9" t="s">
        <v>76</v>
      </c>
      <c r="G4503" s="6"/>
      <c r="H4503" s="6"/>
      <c r="I4503" s="6"/>
      <c r="J4503" s="6"/>
      <c r="K4503" s="6"/>
      <c r="L4503" s="6"/>
      <c r="M4503" s="6"/>
      <c r="N4503" s="6"/>
      <c r="O4503" s="6"/>
      <c r="P4503" s="6"/>
      <c r="Q4503" s="6"/>
      <c r="R4503" s="6"/>
      <c r="S4503" s="6"/>
      <c r="T4503" s="6"/>
      <c r="U4503" s="6"/>
      <c r="V4503" s="6"/>
      <c r="W4503" s="6"/>
      <c r="X4503" s="6"/>
      <c r="Y4503" s="6"/>
      <c r="Z4503" s="6"/>
    </row>
    <row r="4504" customFormat="false" ht="15" hidden="false" customHeight="false" outlineLevel="0" collapsed="false">
      <c r="A4504" s="9" t="s">
        <v>10347</v>
      </c>
      <c r="B4504" s="9" t="s">
        <v>5870</v>
      </c>
      <c r="C4504" s="9" t="s">
        <v>4776</v>
      </c>
      <c r="D4504" s="9" t="s">
        <v>5871</v>
      </c>
      <c r="E4504" s="9" t="str">
        <f aca="false">IF(AND('Formation Ledger'!A4483&lt;&gt;"",'Formation Ledger'!V4483=0),"PASS","FAIL")</f>
        <v>PASS</v>
      </c>
      <c r="F4504" s="9" t="s">
        <v>76</v>
      </c>
      <c r="G4504" s="6"/>
      <c r="H4504" s="6"/>
      <c r="I4504" s="6"/>
      <c r="J4504" s="6"/>
      <c r="K4504" s="6"/>
      <c r="L4504" s="6"/>
      <c r="M4504" s="6"/>
      <c r="N4504" s="6"/>
      <c r="O4504" s="6"/>
      <c r="P4504" s="6"/>
      <c r="Q4504" s="6"/>
      <c r="R4504" s="6"/>
      <c r="S4504" s="6"/>
      <c r="T4504" s="6"/>
      <c r="U4504" s="6"/>
      <c r="V4504" s="6"/>
      <c r="W4504" s="6"/>
      <c r="X4504" s="6"/>
      <c r="Y4504" s="6"/>
      <c r="Z4504" s="6"/>
    </row>
    <row r="4505" customFormat="false" ht="15" hidden="false" customHeight="false" outlineLevel="0" collapsed="false">
      <c r="A4505" s="9" t="s">
        <v>10348</v>
      </c>
      <c r="B4505" s="9" t="s">
        <v>5870</v>
      </c>
      <c r="C4505" s="9" t="s">
        <v>4777</v>
      </c>
      <c r="D4505" s="9" t="s">
        <v>5871</v>
      </c>
      <c r="E4505" s="9" t="str">
        <f aca="false">IF(AND('Formation Ledger'!A4484&lt;&gt;"",'Formation Ledger'!V4484=0),"PASS","FAIL")</f>
        <v>PASS</v>
      </c>
      <c r="F4505" s="9" t="s">
        <v>76</v>
      </c>
      <c r="G4505" s="6"/>
      <c r="H4505" s="6"/>
      <c r="I4505" s="6"/>
      <c r="J4505" s="6"/>
      <c r="K4505" s="6"/>
      <c r="L4505" s="6"/>
      <c r="M4505" s="6"/>
      <c r="N4505" s="6"/>
      <c r="O4505" s="6"/>
      <c r="P4505" s="6"/>
      <c r="Q4505" s="6"/>
      <c r="R4505" s="6"/>
      <c r="S4505" s="6"/>
      <c r="T4505" s="6"/>
      <c r="U4505" s="6"/>
      <c r="V4505" s="6"/>
      <c r="W4505" s="6"/>
      <c r="X4505" s="6"/>
      <c r="Y4505" s="6"/>
      <c r="Z4505" s="6"/>
    </row>
    <row r="4506" customFormat="false" ht="15" hidden="false" customHeight="false" outlineLevel="0" collapsed="false">
      <c r="A4506" s="9" t="s">
        <v>10349</v>
      </c>
      <c r="B4506" s="9" t="s">
        <v>5870</v>
      </c>
      <c r="C4506" s="9" t="s">
        <v>4778</v>
      </c>
      <c r="D4506" s="9" t="s">
        <v>5871</v>
      </c>
      <c r="E4506" s="9" t="str">
        <f aca="false">IF(AND('Formation Ledger'!A4485&lt;&gt;"",'Formation Ledger'!V4485=0),"PASS","FAIL")</f>
        <v>PASS</v>
      </c>
      <c r="F4506" s="9" t="s">
        <v>76</v>
      </c>
      <c r="G4506" s="6"/>
      <c r="H4506" s="6"/>
      <c r="I4506" s="6"/>
      <c r="J4506" s="6"/>
      <c r="K4506" s="6"/>
      <c r="L4506" s="6"/>
      <c r="M4506" s="6"/>
      <c r="N4506" s="6"/>
      <c r="O4506" s="6"/>
      <c r="P4506" s="6"/>
      <c r="Q4506" s="6"/>
      <c r="R4506" s="6"/>
      <c r="S4506" s="6"/>
      <c r="T4506" s="6"/>
      <c r="U4506" s="6"/>
      <c r="V4506" s="6"/>
      <c r="W4506" s="6"/>
      <c r="X4506" s="6"/>
      <c r="Y4506" s="6"/>
      <c r="Z4506" s="6"/>
    </row>
    <row r="4507" customFormat="false" ht="15" hidden="false" customHeight="false" outlineLevel="0" collapsed="false">
      <c r="A4507" s="9" t="s">
        <v>10350</v>
      </c>
      <c r="B4507" s="9" t="s">
        <v>5870</v>
      </c>
      <c r="C4507" s="9" t="s">
        <v>4779</v>
      </c>
      <c r="D4507" s="9" t="s">
        <v>5871</v>
      </c>
      <c r="E4507" s="9" t="str">
        <f aca="false">IF(AND('Formation Ledger'!A4486&lt;&gt;"",'Formation Ledger'!V4486=0),"PASS","FAIL")</f>
        <v>PASS</v>
      </c>
      <c r="F4507" s="9" t="s">
        <v>76</v>
      </c>
      <c r="G4507" s="6"/>
      <c r="H4507" s="6"/>
      <c r="I4507" s="6"/>
      <c r="J4507" s="6"/>
      <c r="K4507" s="6"/>
      <c r="L4507" s="6"/>
      <c r="M4507" s="6"/>
      <c r="N4507" s="6"/>
      <c r="O4507" s="6"/>
      <c r="P4507" s="6"/>
      <c r="Q4507" s="6"/>
      <c r="R4507" s="6"/>
      <c r="S4507" s="6"/>
      <c r="T4507" s="6"/>
      <c r="U4507" s="6"/>
      <c r="V4507" s="6"/>
      <c r="W4507" s="6"/>
      <c r="X4507" s="6"/>
      <c r="Y4507" s="6"/>
      <c r="Z4507" s="6"/>
    </row>
    <row r="4508" customFormat="false" ht="15" hidden="false" customHeight="false" outlineLevel="0" collapsed="false">
      <c r="A4508" s="9" t="s">
        <v>10351</v>
      </c>
      <c r="B4508" s="9" t="s">
        <v>5870</v>
      </c>
      <c r="C4508" s="9" t="s">
        <v>4780</v>
      </c>
      <c r="D4508" s="9" t="s">
        <v>5871</v>
      </c>
      <c r="E4508" s="9" t="str">
        <f aca="false">IF(AND('Formation Ledger'!A4487&lt;&gt;"",'Formation Ledger'!V4487=0),"PASS","FAIL")</f>
        <v>PASS</v>
      </c>
      <c r="F4508" s="9" t="s">
        <v>76</v>
      </c>
      <c r="G4508" s="6"/>
      <c r="H4508" s="6"/>
      <c r="I4508" s="6"/>
      <c r="J4508" s="6"/>
      <c r="K4508" s="6"/>
      <c r="L4508" s="6"/>
      <c r="M4508" s="6"/>
      <c r="N4508" s="6"/>
      <c r="O4508" s="6"/>
      <c r="P4508" s="6"/>
      <c r="Q4508" s="6"/>
      <c r="R4508" s="6"/>
      <c r="S4508" s="6"/>
      <c r="T4508" s="6"/>
      <c r="U4508" s="6"/>
      <c r="V4508" s="6"/>
      <c r="W4508" s="6"/>
      <c r="X4508" s="6"/>
      <c r="Y4508" s="6"/>
      <c r="Z4508" s="6"/>
    </row>
    <row r="4509" customFormat="false" ht="15" hidden="false" customHeight="false" outlineLevel="0" collapsed="false">
      <c r="A4509" s="9" t="s">
        <v>10352</v>
      </c>
      <c r="B4509" s="9" t="s">
        <v>5870</v>
      </c>
      <c r="C4509" s="9" t="s">
        <v>4781</v>
      </c>
      <c r="D4509" s="9" t="s">
        <v>5871</v>
      </c>
      <c r="E4509" s="9" t="str">
        <f aca="false">IF(AND('Formation Ledger'!A4488&lt;&gt;"",'Formation Ledger'!V4488=0),"PASS","FAIL")</f>
        <v>PASS</v>
      </c>
      <c r="F4509" s="9" t="s">
        <v>76</v>
      </c>
      <c r="G4509" s="6"/>
      <c r="H4509" s="6"/>
      <c r="I4509" s="6"/>
      <c r="J4509" s="6"/>
      <c r="K4509" s="6"/>
      <c r="L4509" s="6"/>
      <c r="M4509" s="6"/>
      <c r="N4509" s="6"/>
      <c r="O4509" s="6"/>
      <c r="P4509" s="6"/>
      <c r="Q4509" s="6"/>
      <c r="R4509" s="6"/>
      <c r="S4509" s="6"/>
      <c r="T4509" s="6"/>
      <c r="U4509" s="6"/>
      <c r="V4509" s="6"/>
      <c r="W4509" s="6"/>
      <c r="X4509" s="6"/>
      <c r="Y4509" s="6"/>
      <c r="Z4509" s="6"/>
    </row>
    <row r="4510" customFormat="false" ht="15" hidden="false" customHeight="false" outlineLevel="0" collapsed="false">
      <c r="A4510" s="9" t="s">
        <v>10353</v>
      </c>
      <c r="B4510" s="9" t="s">
        <v>5870</v>
      </c>
      <c r="C4510" s="9" t="s">
        <v>4782</v>
      </c>
      <c r="D4510" s="9" t="s">
        <v>5871</v>
      </c>
      <c r="E4510" s="9" t="str">
        <f aca="false">IF(AND('Formation Ledger'!A4489&lt;&gt;"",'Formation Ledger'!V4489=0),"PASS","FAIL")</f>
        <v>PASS</v>
      </c>
      <c r="F4510" s="9" t="s">
        <v>76</v>
      </c>
      <c r="G4510" s="6"/>
      <c r="H4510" s="6"/>
      <c r="I4510" s="6"/>
      <c r="J4510" s="6"/>
      <c r="K4510" s="6"/>
      <c r="L4510" s="6"/>
      <c r="M4510" s="6"/>
      <c r="N4510" s="6"/>
      <c r="O4510" s="6"/>
      <c r="P4510" s="6"/>
      <c r="Q4510" s="6"/>
      <c r="R4510" s="6"/>
      <c r="S4510" s="6"/>
      <c r="T4510" s="6"/>
      <c r="U4510" s="6"/>
      <c r="V4510" s="6"/>
      <c r="W4510" s="6"/>
      <c r="X4510" s="6"/>
      <c r="Y4510" s="6"/>
      <c r="Z4510" s="6"/>
    </row>
    <row r="4511" customFormat="false" ht="15" hidden="false" customHeight="false" outlineLevel="0" collapsed="false">
      <c r="A4511" s="9" t="s">
        <v>10354</v>
      </c>
      <c r="B4511" s="9" t="s">
        <v>5870</v>
      </c>
      <c r="C4511" s="9" t="s">
        <v>4783</v>
      </c>
      <c r="D4511" s="9" t="s">
        <v>5871</v>
      </c>
      <c r="E4511" s="9" t="str">
        <f aca="false">IF(AND('Formation Ledger'!A4490&lt;&gt;"",'Formation Ledger'!V4490=0),"PASS","FAIL")</f>
        <v>PASS</v>
      </c>
      <c r="F4511" s="9" t="s">
        <v>76</v>
      </c>
      <c r="G4511" s="6"/>
      <c r="H4511" s="6"/>
      <c r="I4511" s="6"/>
      <c r="J4511" s="6"/>
      <c r="K4511" s="6"/>
      <c r="L4511" s="6"/>
      <c r="M4511" s="6"/>
      <c r="N4511" s="6"/>
      <c r="O4511" s="6"/>
      <c r="P4511" s="6"/>
      <c r="Q4511" s="6"/>
      <c r="R4511" s="6"/>
      <c r="S4511" s="6"/>
      <c r="T4511" s="6"/>
      <c r="U4511" s="6"/>
      <c r="V4511" s="6"/>
      <c r="W4511" s="6"/>
      <c r="X4511" s="6"/>
      <c r="Y4511" s="6"/>
      <c r="Z4511" s="6"/>
    </row>
    <row r="4512" customFormat="false" ht="15" hidden="false" customHeight="false" outlineLevel="0" collapsed="false">
      <c r="A4512" s="9" t="s">
        <v>10355</v>
      </c>
      <c r="B4512" s="9" t="s">
        <v>5870</v>
      </c>
      <c r="C4512" s="9" t="s">
        <v>4784</v>
      </c>
      <c r="D4512" s="9" t="s">
        <v>5871</v>
      </c>
      <c r="E4512" s="9" t="str">
        <f aca="false">IF(AND('Formation Ledger'!A4491&lt;&gt;"",'Formation Ledger'!V4491=0),"PASS","FAIL")</f>
        <v>PASS</v>
      </c>
      <c r="F4512" s="9" t="s">
        <v>76</v>
      </c>
      <c r="G4512" s="6"/>
      <c r="H4512" s="6"/>
      <c r="I4512" s="6"/>
      <c r="J4512" s="6"/>
      <c r="K4512" s="6"/>
      <c r="L4512" s="6"/>
      <c r="M4512" s="6"/>
      <c r="N4512" s="6"/>
      <c r="O4512" s="6"/>
      <c r="P4512" s="6"/>
      <c r="Q4512" s="6"/>
      <c r="R4512" s="6"/>
      <c r="S4512" s="6"/>
      <c r="T4512" s="6"/>
      <c r="U4512" s="6"/>
      <c r="V4512" s="6"/>
      <c r="W4512" s="6"/>
      <c r="X4512" s="6"/>
      <c r="Y4512" s="6"/>
      <c r="Z4512" s="6"/>
    </row>
    <row r="4513" customFormat="false" ht="15" hidden="false" customHeight="false" outlineLevel="0" collapsed="false">
      <c r="A4513" s="9" t="s">
        <v>10356</v>
      </c>
      <c r="B4513" s="9" t="s">
        <v>5870</v>
      </c>
      <c r="C4513" s="9" t="s">
        <v>4785</v>
      </c>
      <c r="D4513" s="9" t="s">
        <v>5871</v>
      </c>
      <c r="E4513" s="9" t="str">
        <f aca="false">IF(AND('Formation Ledger'!A4492&lt;&gt;"",'Formation Ledger'!V4492=0),"PASS","FAIL")</f>
        <v>PASS</v>
      </c>
      <c r="F4513" s="9" t="s">
        <v>76</v>
      </c>
      <c r="G4513" s="6"/>
      <c r="H4513" s="6"/>
      <c r="I4513" s="6"/>
      <c r="J4513" s="6"/>
      <c r="K4513" s="6"/>
      <c r="L4513" s="6"/>
      <c r="M4513" s="6"/>
      <c r="N4513" s="6"/>
      <c r="O4513" s="6"/>
      <c r="P4513" s="6"/>
      <c r="Q4513" s="6"/>
      <c r="R4513" s="6"/>
      <c r="S4513" s="6"/>
      <c r="T4513" s="6"/>
      <c r="U4513" s="6"/>
      <c r="V4513" s="6"/>
      <c r="W4513" s="6"/>
      <c r="X4513" s="6"/>
      <c r="Y4513" s="6"/>
      <c r="Z4513" s="6"/>
    </row>
    <row r="4514" customFormat="false" ht="15" hidden="false" customHeight="false" outlineLevel="0" collapsed="false">
      <c r="A4514" s="9" t="s">
        <v>10357</v>
      </c>
      <c r="B4514" s="9" t="s">
        <v>5870</v>
      </c>
      <c r="C4514" s="9" t="s">
        <v>4786</v>
      </c>
      <c r="D4514" s="9" t="s">
        <v>5871</v>
      </c>
      <c r="E4514" s="9" t="str">
        <f aca="false">IF(AND('Formation Ledger'!A4493&lt;&gt;"",'Formation Ledger'!V4493=0),"PASS","FAIL")</f>
        <v>PASS</v>
      </c>
      <c r="F4514" s="9" t="s">
        <v>76</v>
      </c>
      <c r="G4514" s="6"/>
      <c r="H4514" s="6"/>
      <c r="I4514" s="6"/>
      <c r="J4514" s="6"/>
      <c r="K4514" s="6"/>
      <c r="L4514" s="6"/>
      <c r="M4514" s="6"/>
      <c r="N4514" s="6"/>
      <c r="O4514" s="6"/>
      <c r="P4514" s="6"/>
      <c r="Q4514" s="6"/>
      <c r="R4514" s="6"/>
      <c r="S4514" s="6"/>
      <c r="T4514" s="6"/>
      <c r="U4514" s="6"/>
      <c r="V4514" s="6"/>
      <c r="W4514" s="6"/>
      <c r="X4514" s="6"/>
      <c r="Y4514" s="6"/>
      <c r="Z4514" s="6"/>
    </row>
    <row r="4515" customFormat="false" ht="15" hidden="false" customHeight="false" outlineLevel="0" collapsed="false">
      <c r="A4515" s="9" t="s">
        <v>10358</v>
      </c>
      <c r="B4515" s="9" t="s">
        <v>5870</v>
      </c>
      <c r="C4515" s="9" t="s">
        <v>4787</v>
      </c>
      <c r="D4515" s="9" t="s">
        <v>5871</v>
      </c>
      <c r="E4515" s="9" t="str">
        <f aca="false">IF(AND('Formation Ledger'!A4494&lt;&gt;"",'Formation Ledger'!V4494=0),"PASS","FAIL")</f>
        <v>PASS</v>
      </c>
      <c r="F4515" s="9" t="s">
        <v>76</v>
      </c>
      <c r="G4515" s="6"/>
      <c r="H4515" s="6"/>
      <c r="I4515" s="6"/>
      <c r="J4515" s="6"/>
      <c r="K4515" s="6"/>
      <c r="L4515" s="6"/>
      <c r="M4515" s="6"/>
      <c r="N4515" s="6"/>
      <c r="O4515" s="6"/>
      <c r="P4515" s="6"/>
      <c r="Q4515" s="6"/>
      <c r="R4515" s="6"/>
      <c r="S4515" s="6"/>
      <c r="T4515" s="6"/>
      <c r="U4515" s="6"/>
      <c r="V4515" s="6"/>
      <c r="W4515" s="6"/>
      <c r="X4515" s="6"/>
      <c r="Y4515" s="6"/>
      <c r="Z4515" s="6"/>
    </row>
    <row r="4516" customFormat="false" ht="15" hidden="false" customHeight="false" outlineLevel="0" collapsed="false">
      <c r="A4516" s="9" t="s">
        <v>10359</v>
      </c>
      <c r="B4516" s="9" t="s">
        <v>5870</v>
      </c>
      <c r="C4516" s="9" t="s">
        <v>4788</v>
      </c>
      <c r="D4516" s="9" t="s">
        <v>5871</v>
      </c>
      <c r="E4516" s="9" t="str">
        <f aca="false">IF(AND('Formation Ledger'!A4495&lt;&gt;"",'Formation Ledger'!V4495=0),"PASS","FAIL")</f>
        <v>PASS</v>
      </c>
      <c r="F4516" s="9" t="s">
        <v>76</v>
      </c>
      <c r="G4516" s="6"/>
      <c r="H4516" s="6"/>
      <c r="I4516" s="6"/>
      <c r="J4516" s="6"/>
      <c r="K4516" s="6"/>
      <c r="L4516" s="6"/>
      <c r="M4516" s="6"/>
      <c r="N4516" s="6"/>
      <c r="O4516" s="6"/>
      <c r="P4516" s="6"/>
      <c r="Q4516" s="6"/>
      <c r="R4516" s="6"/>
      <c r="S4516" s="6"/>
      <c r="T4516" s="6"/>
      <c r="U4516" s="6"/>
      <c r="V4516" s="6"/>
      <c r="W4516" s="6"/>
      <c r="X4516" s="6"/>
      <c r="Y4516" s="6"/>
      <c r="Z4516" s="6"/>
    </row>
    <row r="4517" customFormat="false" ht="15" hidden="false" customHeight="false" outlineLevel="0" collapsed="false">
      <c r="A4517" s="9" t="s">
        <v>10360</v>
      </c>
      <c r="B4517" s="9" t="s">
        <v>5870</v>
      </c>
      <c r="C4517" s="9" t="s">
        <v>4789</v>
      </c>
      <c r="D4517" s="9" t="s">
        <v>5871</v>
      </c>
      <c r="E4517" s="9" t="str">
        <f aca="false">IF(AND('Formation Ledger'!A4496&lt;&gt;"",'Formation Ledger'!V4496=0),"PASS","FAIL")</f>
        <v>PASS</v>
      </c>
      <c r="F4517" s="9" t="s">
        <v>76</v>
      </c>
      <c r="G4517" s="6"/>
      <c r="H4517" s="6"/>
      <c r="I4517" s="6"/>
      <c r="J4517" s="6"/>
      <c r="K4517" s="6"/>
      <c r="L4517" s="6"/>
      <c r="M4517" s="6"/>
      <c r="N4517" s="6"/>
      <c r="O4517" s="6"/>
      <c r="P4517" s="6"/>
      <c r="Q4517" s="6"/>
      <c r="R4517" s="6"/>
      <c r="S4517" s="6"/>
      <c r="T4517" s="6"/>
      <c r="U4517" s="6"/>
      <c r="V4517" s="6"/>
      <c r="W4517" s="6"/>
      <c r="X4517" s="6"/>
      <c r="Y4517" s="6"/>
      <c r="Z4517" s="6"/>
    </row>
    <row r="4518" customFormat="false" ht="15" hidden="false" customHeight="false" outlineLevel="0" collapsed="false">
      <c r="A4518" s="9" t="s">
        <v>10361</v>
      </c>
      <c r="B4518" s="9" t="s">
        <v>5870</v>
      </c>
      <c r="C4518" s="9" t="s">
        <v>4790</v>
      </c>
      <c r="D4518" s="9" t="s">
        <v>5871</v>
      </c>
      <c r="E4518" s="9" t="str">
        <f aca="false">IF(AND('Formation Ledger'!A4497&lt;&gt;"",'Formation Ledger'!V4497=0),"PASS","FAIL")</f>
        <v>PASS</v>
      </c>
      <c r="F4518" s="9" t="s">
        <v>76</v>
      </c>
      <c r="G4518" s="6"/>
      <c r="H4518" s="6"/>
      <c r="I4518" s="6"/>
      <c r="J4518" s="6"/>
      <c r="K4518" s="6"/>
      <c r="L4518" s="6"/>
      <c r="M4518" s="6"/>
      <c r="N4518" s="6"/>
      <c r="O4518" s="6"/>
      <c r="P4518" s="6"/>
      <c r="Q4518" s="6"/>
      <c r="R4518" s="6"/>
      <c r="S4518" s="6"/>
      <c r="T4518" s="6"/>
      <c r="U4518" s="6"/>
      <c r="V4518" s="6"/>
      <c r="W4518" s="6"/>
      <c r="X4518" s="6"/>
      <c r="Y4518" s="6"/>
      <c r="Z4518" s="6"/>
    </row>
    <row r="4519" customFormat="false" ht="15" hidden="false" customHeight="false" outlineLevel="0" collapsed="false">
      <c r="A4519" s="9" t="s">
        <v>10362</v>
      </c>
      <c r="B4519" s="9" t="s">
        <v>5870</v>
      </c>
      <c r="C4519" s="9" t="s">
        <v>4791</v>
      </c>
      <c r="D4519" s="9" t="s">
        <v>5871</v>
      </c>
      <c r="E4519" s="9" t="str">
        <f aca="false">IF(AND('Formation Ledger'!A4498&lt;&gt;"",'Formation Ledger'!V4498=0),"PASS","FAIL")</f>
        <v>PASS</v>
      </c>
      <c r="F4519" s="9" t="s">
        <v>76</v>
      </c>
      <c r="G4519" s="6"/>
      <c r="H4519" s="6"/>
      <c r="I4519" s="6"/>
      <c r="J4519" s="6"/>
      <c r="K4519" s="6"/>
      <c r="L4519" s="6"/>
      <c r="M4519" s="6"/>
      <c r="N4519" s="6"/>
      <c r="O4519" s="6"/>
      <c r="P4519" s="6"/>
      <c r="Q4519" s="6"/>
      <c r="R4519" s="6"/>
      <c r="S4519" s="6"/>
      <c r="T4519" s="6"/>
      <c r="U4519" s="6"/>
      <c r="V4519" s="6"/>
      <c r="W4519" s="6"/>
      <c r="X4519" s="6"/>
      <c r="Y4519" s="6"/>
      <c r="Z4519" s="6"/>
    </row>
    <row r="4520" customFormat="false" ht="15" hidden="false" customHeight="false" outlineLevel="0" collapsed="false">
      <c r="A4520" s="9" t="s">
        <v>10363</v>
      </c>
      <c r="B4520" s="9" t="s">
        <v>5870</v>
      </c>
      <c r="C4520" s="9" t="s">
        <v>4792</v>
      </c>
      <c r="D4520" s="9" t="s">
        <v>5871</v>
      </c>
      <c r="E4520" s="9" t="str">
        <f aca="false">IF(AND('Formation Ledger'!A4499&lt;&gt;"",'Formation Ledger'!V4499=0),"PASS","FAIL")</f>
        <v>PASS</v>
      </c>
      <c r="F4520" s="9" t="s">
        <v>76</v>
      </c>
      <c r="G4520" s="6"/>
      <c r="H4520" s="6"/>
      <c r="I4520" s="6"/>
      <c r="J4520" s="6"/>
      <c r="K4520" s="6"/>
      <c r="L4520" s="6"/>
      <c r="M4520" s="6"/>
      <c r="N4520" s="6"/>
      <c r="O4520" s="6"/>
      <c r="P4520" s="6"/>
      <c r="Q4520" s="6"/>
      <c r="R4520" s="6"/>
      <c r="S4520" s="6"/>
      <c r="T4520" s="6"/>
      <c r="U4520" s="6"/>
      <c r="V4520" s="6"/>
      <c r="W4520" s="6"/>
      <c r="X4520" s="6"/>
      <c r="Y4520" s="6"/>
      <c r="Z4520" s="6"/>
    </row>
    <row r="4521" customFormat="false" ht="15" hidden="false" customHeight="false" outlineLevel="0" collapsed="false">
      <c r="A4521" s="9" t="s">
        <v>10364</v>
      </c>
      <c r="B4521" s="9" t="s">
        <v>5870</v>
      </c>
      <c r="C4521" s="9" t="s">
        <v>4793</v>
      </c>
      <c r="D4521" s="9" t="s">
        <v>5871</v>
      </c>
      <c r="E4521" s="9" t="str">
        <f aca="false">IF(AND('Formation Ledger'!A4500&lt;&gt;"",'Formation Ledger'!V4500=0),"PASS","FAIL")</f>
        <v>PASS</v>
      </c>
      <c r="F4521" s="9" t="s">
        <v>76</v>
      </c>
      <c r="G4521" s="6"/>
      <c r="H4521" s="6"/>
      <c r="I4521" s="6"/>
      <c r="J4521" s="6"/>
      <c r="K4521" s="6"/>
      <c r="L4521" s="6"/>
      <c r="M4521" s="6"/>
      <c r="N4521" s="6"/>
      <c r="O4521" s="6"/>
      <c r="P4521" s="6"/>
      <c r="Q4521" s="6"/>
      <c r="R4521" s="6"/>
      <c r="S4521" s="6"/>
      <c r="T4521" s="6"/>
      <c r="U4521" s="6"/>
      <c r="V4521" s="6"/>
      <c r="W4521" s="6"/>
      <c r="X4521" s="6"/>
      <c r="Y4521" s="6"/>
      <c r="Z4521" s="6"/>
    </row>
    <row r="4522" customFormat="false" ht="15" hidden="false" customHeight="false" outlineLevel="0" collapsed="false">
      <c r="A4522" s="9" t="s">
        <v>10365</v>
      </c>
      <c r="B4522" s="9" t="s">
        <v>5870</v>
      </c>
      <c r="C4522" s="9" t="s">
        <v>4794</v>
      </c>
      <c r="D4522" s="9" t="s">
        <v>5871</v>
      </c>
      <c r="E4522" s="9" t="str">
        <f aca="false">IF(AND('Formation Ledger'!A4501&lt;&gt;"",'Formation Ledger'!V4501=0),"PASS","FAIL")</f>
        <v>PASS</v>
      </c>
      <c r="F4522" s="9" t="s">
        <v>76</v>
      </c>
      <c r="G4522" s="6"/>
      <c r="H4522" s="6"/>
      <c r="I4522" s="6"/>
      <c r="J4522" s="6"/>
      <c r="K4522" s="6"/>
      <c r="L4522" s="6"/>
      <c r="M4522" s="6"/>
      <c r="N4522" s="6"/>
      <c r="O4522" s="6"/>
      <c r="P4522" s="6"/>
      <c r="Q4522" s="6"/>
      <c r="R4522" s="6"/>
      <c r="S4522" s="6"/>
      <c r="T4522" s="6"/>
      <c r="U4522" s="6"/>
      <c r="V4522" s="6"/>
      <c r="W4522" s="6"/>
      <c r="X4522" s="6"/>
      <c r="Y4522" s="6"/>
      <c r="Z4522" s="6"/>
    </row>
    <row r="4523" customFormat="false" ht="15" hidden="false" customHeight="false" outlineLevel="0" collapsed="false">
      <c r="A4523" s="9" t="s">
        <v>10366</v>
      </c>
      <c r="B4523" s="9" t="s">
        <v>5870</v>
      </c>
      <c r="C4523" s="9" t="s">
        <v>4795</v>
      </c>
      <c r="D4523" s="9" t="s">
        <v>5871</v>
      </c>
      <c r="E4523" s="9" t="str">
        <f aca="false">IF(AND('Formation Ledger'!A4502&lt;&gt;"",'Formation Ledger'!V4502=0),"PASS","FAIL")</f>
        <v>PASS</v>
      </c>
      <c r="F4523" s="9" t="s">
        <v>76</v>
      </c>
      <c r="G4523" s="6"/>
      <c r="H4523" s="6"/>
      <c r="I4523" s="6"/>
      <c r="J4523" s="6"/>
      <c r="K4523" s="6"/>
      <c r="L4523" s="6"/>
      <c r="M4523" s="6"/>
      <c r="N4523" s="6"/>
      <c r="O4523" s="6"/>
      <c r="P4523" s="6"/>
      <c r="Q4523" s="6"/>
      <c r="R4523" s="6"/>
      <c r="S4523" s="6"/>
      <c r="T4523" s="6"/>
      <c r="U4523" s="6"/>
      <c r="V4523" s="6"/>
      <c r="W4523" s="6"/>
      <c r="X4523" s="6"/>
      <c r="Y4523" s="6"/>
      <c r="Z4523" s="6"/>
    </row>
    <row r="4524" customFormat="false" ht="15" hidden="false" customHeight="false" outlineLevel="0" collapsed="false">
      <c r="A4524" s="9" t="s">
        <v>10367</v>
      </c>
      <c r="B4524" s="9" t="s">
        <v>5870</v>
      </c>
      <c r="C4524" s="9" t="s">
        <v>4796</v>
      </c>
      <c r="D4524" s="9" t="s">
        <v>5871</v>
      </c>
      <c r="E4524" s="9" t="str">
        <f aca="false">IF(AND('Formation Ledger'!A4503&lt;&gt;"",'Formation Ledger'!V4503=0),"PASS","FAIL")</f>
        <v>PASS</v>
      </c>
      <c r="F4524" s="9" t="s">
        <v>76</v>
      </c>
      <c r="G4524" s="6"/>
      <c r="H4524" s="6"/>
      <c r="I4524" s="6"/>
      <c r="J4524" s="6"/>
      <c r="K4524" s="6"/>
      <c r="L4524" s="6"/>
      <c r="M4524" s="6"/>
      <c r="N4524" s="6"/>
      <c r="O4524" s="6"/>
      <c r="P4524" s="6"/>
      <c r="Q4524" s="6"/>
      <c r="R4524" s="6"/>
      <c r="S4524" s="6"/>
      <c r="T4524" s="6"/>
      <c r="U4524" s="6"/>
      <c r="V4524" s="6"/>
      <c r="W4524" s="6"/>
      <c r="X4524" s="6"/>
      <c r="Y4524" s="6"/>
      <c r="Z4524" s="6"/>
    </row>
    <row r="4525" customFormat="false" ht="15" hidden="false" customHeight="false" outlineLevel="0" collapsed="false">
      <c r="A4525" s="9" t="s">
        <v>10368</v>
      </c>
      <c r="B4525" s="9" t="s">
        <v>5870</v>
      </c>
      <c r="C4525" s="9" t="s">
        <v>4797</v>
      </c>
      <c r="D4525" s="9" t="s">
        <v>5871</v>
      </c>
      <c r="E4525" s="9" t="str">
        <f aca="false">IF(AND('Formation Ledger'!A4504&lt;&gt;"",'Formation Ledger'!V4504=0),"PASS","FAIL")</f>
        <v>PASS</v>
      </c>
      <c r="F4525" s="9" t="s">
        <v>76</v>
      </c>
      <c r="G4525" s="6"/>
      <c r="H4525" s="6"/>
      <c r="I4525" s="6"/>
      <c r="J4525" s="6"/>
      <c r="K4525" s="6"/>
      <c r="L4525" s="6"/>
      <c r="M4525" s="6"/>
      <c r="N4525" s="6"/>
      <c r="O4525" s="6"/>
      <c r="P4525" s="6"/>
      <c r="Q4525" s="6"/>
      <c r="R4525" s="6"/>
      <c r="S4525" s="6"/>
      <c r="T4525" s="6"/>
      <c r="U4525" s="6"/>
      <c r="V4525" s="6"/>
      <c r="W4525" s="6"/>
      <c r="X4525" s="6"/>
      <c r="Y4525" s="6"/>
      <c r="Z4525" s="6"/>
    </row>
    <row r="4526" customFormat="false" ht="15" hidden="false" customHeight="false" outlineLevel="0" collapsed="false">
      <c r="A4526" s="9" t="s">
        <v>10369</v>
      </c>
      <c r="B4526" s="9" t="s">
        <v>5870</v>
      </c>
      <c r="C4526" s="9" t="s">
        <v>4798</v>
      </c>
      <c r="D4526" s="9" t="s">
        <v>5871</v>
      </c>
      <c r="E4526" s="9" t="str">
        <f aca="false">IF(AND('Formation Ledger'!A4505&lt;&gt;"",'Formation Ledger'!V4505=0),"PASS","FAIL")</f>
        <v>PASS</v>
      </c>
      <c r="F4526" s="9" t="s">
        <v>76</v>
      </c>
      <c r="G4526" s="6"/>
      <c r="H4526" s="6"/>
      <c r="I4526" s="6"/>
      <c r="J4526" s="6"/>
      <c r="K4526" s="6"/>
      <c r="L4526" s="6"/>
      <c r="M4526" s="6"/>
      <c r="N4526" s="6"/>
      <c r="O4526" s="6"/>
      <c r="P4526" s="6"/>
      <c r="Q4526" s="6"/>
      <c r="R4526" s="6"/>
      <c r="S4526" s="6"/>
      <c r="T4526" s="6"/>
      <c r="U4526" s="6"/>
      <c r="V4526" s="6"/>
      <c r="W4526" s="6"/>
      <c r="X4526" s="6"/>
      <c r="Y4526" s="6"/>
      <c r="Z4526" s="6"/>
    </row>
    <row r="4527" customFormat="false" ht="15" hidden="false" customHeight="false" outlineLevel="0" collapsed="false">
      <c r="A4527" s="9" t="s">
        <v>10370</v>
      </c>
      <c r="B4527" s="9" t="s">
        <v>5870</v>
      </c>
      <c r="C4527" s="9" t="s">
        <v>4799</v>
      </c>
      <c r="D4527" s="9" t="s">
        <v>5871</v>
      </c>
      <c r="E4527" s="9" t="str">
        <f aca="false">IF(AND('Formation Ledger'!A4506&lt;&gt;"",'Formation Ledger'!V4506=0),"PASS","FAIL")</f>
        <v>PASS</v>
      </c>
      <c r="F4527" s="9" t="s">
        <v>76</v>
      </c>
      <c r="G4527" s="6"/>
      <c r="H4527" s="6"/>
      <c r="I4527" s="6"/>
      <c r="J4527" s="6"/>
      <c r="K4527" s="6"/>
      <c r="L4527" s="6"/>
      <c r="M4527" s="6"/>
      <c r="N4527" s="6"/>
      <c r="O4527" s="6"/>
      <c r="P4527" s="6"/>
      <c r="Q4527" s="6"/>
      <c r="R4527" s="6"/>
      <c r="S4527" s="6"/>
      <c r="T4527" s="6"/>
      <c r="U4527" s="6"/>
      <c r="V4527" s="6"/>
      <c r="W4527" s="6"/>
      <c r="X4527" s="6"/>
      <c r="Y4527" s="6"/>
      <c r="Z4527" s="6"/>
    </row>
    <row r="4528" customFormat="false" ht="15" hidden="false" customHeight="false" outlineLevel="0" collapsed="false">
      <c r="A4528" s="9" t="s">
        <v>10371</v>
      </c>
      <c r="B4528" s="9" t="s">
        <v>5870</v>
      </c>
      <c r="C4528" s="9" t="s">
        <v>4800</v>
      </c>
      <c r="D4528" s="9" t="s">
        <v>5871</v>
      </c>
      <c r="E4528" s="9" t="str">
        <f aca="false">IF(AND('Formation Ledger'!A4507&lt;&gt;"",'Formation Ledger'!V4507=0),"PASS","FAIL")</f>
        <v>PASS</v>
      </c>
      <c r="F4528" s="9" t="s">
        <v>76</v>
      </c>
      <c r="G4528" s="6"/>
      <c r="H4528" s="6"/>
      <c r="I4528" s="6"/>
      <c r="J4528" s="6"/>
      <c r="K4528" s="6"/>
      <c r="L4528" s="6"/>
      <c r="M4528" s="6"/>
      <c r="N4528" s="6"/>
      <c r="O4528" s="6"/>
      <c r="P4528" s="6"/>
      <c r="Q4528" s="6"/>
      <c r="R4528" s="6"/>
      <c r="S4528" s="6"/>
      <c r="T4528" s="6"/>
      <c r="U4528" s="6"/>
      <c r="V4528" s="6"/>
      <c r="W4528" s="6"/>
      <c r="X4528" s="6"/>
      <c r="Y4528" s="6"/>
      <c r="Z4528" s="6"/>
    </row>
    <row r="4529" customFormat="false" ht="15" hidden="false" customHeight="false" outlineLevel="0" collapsed="false">
      <c r="A4529" s="9" t="s">
        <v>10372</v>
      </c>
      <c r="B4529" s="9" t="s">
        <v>5870</v>
      </c>
      <c r="C4529" s="9" t="s">
        <v>4801</v>
      </c>
      <c r="D4529" s="9" t="s">
        <v>5871</v>
      </c>
      <c r="E4529" s="9" t="str">
        <f aca="false">IF(AND('Formation Ledger'!A4508&lt;&gt;"",'Formation Ledger'!V4508=0),"PASS","FAIL")</f>
        <v>PASS</v>
      </c>
      <c r="F4529" s="9" t="s">
        <v>76</v>
      </c>
      <c r="G4529" s="6"/>
      <c r="H4529" s="6"/>
      <c r="I4529" s="6"/>
      <c r="J4529" s="6"/>
      <c r="K4529" s="6"/>
      <c r="L4529" s="6"/>
      <c r="M4529" s="6"/>
      <c r="N4529" s="6"/>
      <c r="O4529" s="6"/>
      <c r="P4529" s="6"/>
      <c r="Q4529" s="6"/>
      <c r="R4529" s="6"/>
      <c r="S4529" s="6"/>
      <c r="T4529" s="6"/>
      <c r="U4529" s="6"/>
      <c r="V4529" s="6"/>
      <c r="W4529" s="6"/>
      <c r="X4529" s="6"/>
      <c r="Y4529" s="6"/>
      <c r="Z4529" s="6"/>
    </row>
    <row r="4530" customFormat="false" ht="15" hidden="false" customHeight="false" outlineLevel="0" collapsed="false">
      <c r="A4530" s="9" t="s">
        <v>10373</v>
      </c>
      <c r="B4530" s="9" t="s">
        <v>5870</v>
      </c>
      <c r="C4530" s="9" t="s">
        <v>4802</v>
      </c>
      <c r="D4530" s="9" t="s">
        <v>5871</v>
      </c>
      <c r="E4530" s="9" t="str">
        <f aca="false">IF(AND('Formation Ledger'!A4509&lt;&gt;"",'Formation Ledger'!V4509=0),"PASS","FAIL")</f>
        <v>PASS</v>
      </c>
      <c r="F4530" s="9" t="s">
        <v>76</v>
      </c>
      <c r="G4530" s="6"/>
      <c r="H4530" s="6"/>
      <c r="I4530" s="6"/>
      <c r="J4530" s="6"/>
      <c r="K4530" s="6"/>
      <c r="L4530" s="6"/>
      <c r="M4530" s="6"/>
      <c r="N4530" s="6"/>
      <c r="O4530" s="6"/>
      <c r="P4530" s="6"/>
      <c r="Q4530" s="6"/>
      <c r="R4530" s="6"/>
      <c r="S4530" s="6"/>
      <c r="T4530" s="6"/>
      <c r="U4530" s="6"/>
      <c r="V4530" s="6"/>
      <c r="W4530" s="6"/>
      <c r="X4530" s="6"/>
      <c r="Y4530" s="6"/>
      <c r="Z4530" s="6"/>
    </row>
    <row r="4531" customFormat="false" ht="15" hidden="false" customHeight="false" outlineLevel="0" collapsed="false">
      <c r="A4531" s="9" t="s">
        <v>10374</v>
      </c>
      <c r="B4531" s="9" t="s">
        <v>5870</v>
      </c>
      <c r="C4531" s="9" t="s">
        <v>4803</v>
      </c>
      <c r="D4531" s="9" t="s">
        <v>5871</v>
      </c>
      <c r="E4531" s="9" t="str">
        <f aca="false">IF(AND('Formation Ledger'!A4510&lt;&gt;"",'Formation Ledger'!V4510=0),"PASS","FAIL")</f>
        <v>PASS</v>
      </c>
      <c r="F4531" s="9" t="s">
        <v>76</v>
      </c>
      <c r="G4531" s="6"/>
      <c r="H4531" s="6"/>
      <c r="I4531" s="6"/>
      <c r="J4531" s="6"/>
      <c r="K4531" s="6"/>
      <c r="L4531" s="6"/>
      <c r="M4531" s="6"/>
      <c r="N4531" s="6"/>
      <c r="O4531" s="6"/>
      <c r="P4531" s="6"/>
      <c r="Q4531" s="6"/>
      <c r="R4531" s="6"/>
      <c r="S4531" s="6"/>
      <c r="T4531" s="6"/>
      <c r="U4531" s="6"/>
      <c r="V4531" s="6"/>
      <c r="W4531" s="6"/>
      <c r="X4531" s="6"/>
      <c r="Y4531" s="6"/>
      <c r="Z4531" s="6"/>
    </row>
    <row r="4532" customFormat="false" ht="15" hidden="false" customHeight="false" outlineLevel="0" collapsed="false">
      <c r="A4532" s="9" t="s">
        <v>10375</v>
      </c>
      <c r="B4532" s="9" t="s">
        <v>5870</v>
      </c>
      <c r="C4532" s="9" t="s">
        <v>4804</v>
      </c>
      <c r="D4532" s="9" t="s">
        <v>5871</v>
      </c>
      <c r="E4532" s="9" t="str">
        <f aca="false">IF(AND('Formation Ledger'!A4511&lt;&gt;"",'Formation Ledger'!V4511=0),"PASS","FAIL")</f>
        <v>PASS</v>
      </c>
      <c r="F4532" s="9" t="s">
        <v>76</v>
      </c>
      <c r="G4532" s="6"/>
      <c r="H4532" s="6"/>
      <c r="I4532" s="6"/>
      <c r="J4532" s="6"/>
      <c r="K4532" s="6"/>
      <c r="L4532" s="6"/>
      <c r="M4532" s="6"/>
      <c r="N4532" s="6"/>
      <c r="O4532" s="6"/>
      <c r="P4532" s="6"/>
      <c r="Q4532" s="6"/>
      <c r="R4532" s="6"/>
      <c r="S4532" s="6"/>
      <c r="T4532" s="6"/>
      <c r="U4532" s="6"/>
      <c r="V4532" s="6"/>
      <c r="W4532" s="6"/>
      <c r="X4532" s="6"/>
      <c r="Y4532" s="6"/>
      <c r="Z4532" s="6"/>
    </row>
    <row r="4533" customFormat="false" ht="15" hidden="false" customHeight="false" outlineLevel="0" collapsed="false">
      <c r="A4533" s="9" t="s">
        <v>10376</v>
      </c>
      <c r="B4533" s="9" t="s">
        <v>5870</v>
      </c>
      <c r="C4533" s="9" t="s">
        <v>4805</v>
      </c>
      <c r="D4533" s="9" t="s">
        <v>5871</v>
      </c>
      <c r="E4533" s="9" t="str">
        <f aca="false">IF(AND('Formation Ledger'!A4512&lt;&gt;"",'Formation Ledger'!V4512=0),"PASS","FAIL")</f>
        <v>PASS</v>
      </c>
      <c r="F4533" s="9" t="s">
        <v>76</v>
      </c>
      <c r="G4533" s="6"/>
      <c r="H4533" s="6"/>
      <c r="I4533" s="6"/>
      <c r="J4533" s="6"/>
      <c r="K4533" s="6"/>
      <c r="L4533" s="6"/>
      <c r="M4533" s="6"/>
      <c r="N4533" s="6"/>
      <c r="O4533" s="6"/>
      <c r="P4533" s="6"/>
      <c r="Q4533" s="6"/>
      <c r="R4533" s="6"/>
      <c r="S4533" s="6"/>
      <c r="T4533" s="6"/>
      <c r="U4533" s="6"/>
      <c r="V4533" s="6"/>
      <c r="W4533" s="6"/>
      <c r="X4533" s="6"/>
      <c r="Y4533" s="6"/>
      <c r="Z4533" s="6"/>
    </row>
    <row r="4534" customFormat="false" ht="15" hidden="false" customHeight="false" outlineLevel="0" collapsed="false">
      <c r="A4534" s="9" t="s">
        <v>10377</v>
      </c>
      <c r="B4534" s="9" t="s">
        <v>5870</v>
      </c>
      <c r="C4534" s="9" t="s">
        <v>4806</v>
      </c>
      <c r="D4534" s="9" t="s">
        <v>5871</v>
      </c>
      <c r="E4534" s="9" t="str">
        <f aca="false">IF(AND('Formation Ledger'!A4513&lt;&gt;"",'Formation Ledger'!V4513=0),"PASS","FAIL")</f>
        <v>PASS</v>
      </c>
      <c r="F4534" s="9" t="s">
        <v>76</v>
      </c>
      <c r="G4534" s="6"/>
      <c r="H4534" s="6"/>
      <c r="I4534" s="6"/>
      <c r="J4534" s="6"/>
      <c r="K4534" s="6"/>
      <c r="L4534" s="6"/>
      <c r="M4534" s="6"/>
      <c r="N4534" s="6"/>
      <c r="O4534" s="6"/>
      <c r="P4534" s="6"/>
      <c r="Q4534" s="6"/>
      <c r="R4534" s="6"/>
      <c r="S4534" s="6"/>
      <c r="T4534" s="6"/>
      <c r="U4534" s="6"/>
      <c r="V4534" s="6"/>
      <c r="W4534" s="6"/>
      <c r="X4534" s="6"/>
      <c r="Y4534" s="6"/>
      <c r="Z4534" s="6"/>
    </row>
    <row r="4535" customFormat="false" ht="15" hidden="false" customHeight="false" outlineLevel="0" collapsed="false">
      <c r="A4535" s="9" t="s">
        <v>10378</v>
      </c>
      <c r="B4535" s="9" t="s">
        <v>5870</v>
      </c>
      <c r="C4535" s="9" t="s">
        <v>4807</v>
      </c>
      <c r="D4535" s="9" t="s">
        <v>5871</v>
      </c>
      <c r="E4535" s="9" t="str">
        <f aca="false">IF(AND('Formation Ledger'!A4514&lt;&gt;"",'Formation Ledger'!V4514=0),"PASS","FAIL")</f>
        <v>PASS</v>
      </c>
      <c r="F4535" s="9" t="s">
        <v>76</v>
      </c>
      <c r="G4535" s="6"/>
      <c r="H4535" s="6"/>
      <c r="I4535" s="6"/>
      <c r="J4535" s="6"/>
      <c r="K4535" s="6"/>
      <c r="L4535" s="6"/>
      <c r="M4535" s="6"/>
      <c r="N4535" s="6"/>
      <c r="O4535" s="6"/>
      <c r="P4535" s="6"/>
      <c r="Q4535" s="6"/>
      <c r="R4535" s="6"/>
      <c r="S4535" s="6"/>
      <c r="T4535" s="6"/>
      <c r="U4535" s="6"/>
      <c r="V4535" s="6"/>
      <c r="W4535" s="6"/>
      <c r="X4535" s="6"/>
      <c r="Y4535" s="6"/>
      <c r="Z4535" s="6"/>
    </row>
    <row r="4536" customFormat="false" ht="15" hidden="false" customHeight="false" outlineLevel="0" collapsed="false">
      <c r="A4536" s="9" t="s">
        <v>10379</v>
      </c>
      <c r="B4536" s="9" t="s">
        <v>5870</v>
      </c>
      <c r="C4536" s="9" t="s">
        <v>4808</v>
      </c>
      <c r="D4536" s="9" t="s">
        <v>5871</v>
      </c>
      <c r="E4536" s="9" t="str">
        <f aca="false">IF(AND('Formation Ledger'!A4515&lt;&gt;"",'Formation Ledger'!V4515=0),"PASS","FAIL")</f>
        <v>PASS</v>
      </c>
      <c r="F4536" s="9" t="s">
        <v>76</v>
      </c>
      <c r="G4536" s="6"/>
      <c r="H4536" s="6"/>
      <c r="I4536" s="6"/>
      <c r="J4536" s="6"/>
      <c r="K4536" s="6"/>
      <c r="L4536" s="6"/>
      <c r="M4536" s="6"/>
      <c r="N4536" s="6"/>
      <c r="O4536" s="6"/>
      <c r="P4536" s="6"/>
      <c r="Q4536" s="6"/>
      <c r="R4536" s="6"/>
      <c r="S4536" s="6"/>
      <c r="T4536" s="6"/>
      <c r="U4536" s="6"/>
      <c r="V4536" s="6"/>
      <c r="W4536" s="6"/>
      <c r="X4536" s="6"/>
      <c r="Y4536" s="6"/>
      <c r="Z4536" s="6"/>
    </row>
    <row r="4537" customFormat="false" ht="15" hidden="false" customHeight="false" outlineLevel="0" collapsed="false">
      <c r="A4537" s="9" t="s">
        <v>10380</v>
      </c>
      <c r="B4537" s="9" t="s">
        <v>5870</v>
      </c>
      <c r="C4537" s="9" t="s">
        <v>4809</v>
      </c>
      <c r="D4537" s="9" t="s">
        <v>5871</v>
      </c>
      <c r="E4537" s="9" t="str">
        <f aca="false">IF(AND('Formation Ledger'!A4516&lt;&gt;"",'Formation Ledger'!V4516=0),"PASS","FAIL")</f>
        <v>PASS</v>
      </c>
      <c r="F4537" s="9" t="s">
        <v>76</v>
      </c>
      <c r="G4537" s="6"/>
      <c r="H4537" s="6"/>
      <c r="I4537" s="6"/>
      <c r="J4537" s="6"/>
      <c r="K4537" s="6"/>
      <c r="L4537" s="6"/>
      <c r="M4537" s="6"/>
      <c r="N4537" s="6"/>
      <c r="O4537" s="6"/>
      <c r="P4537" s="6"/>
      <c r="Q4537" s="6"/>
      <c r="R4537" s="6"/>
      <c r="S4537" s="6"/>
      <c r="T4537" s="6"/>
      <c r="U4537" s="6"/>
      <c r="V4537" s="6"/>
      <c r="W4537" s="6"/>
      <c r="X4537" s="6"/>
      <c r="Y4537" s="6"/>
      <c r="Z4537" s="6"/>
    </row>
    <row r="4538" customFormat="false" ht="15" hidden="false" customHeight="false" outlineLevel="0" collapsed="false">
      <c r="A4538" s="9" t="s">
        <v>10381</v>
      </c>
      <c r="B4538" s="9" t="s">
        <v>5870</v>
      </c>
      <c r="C4538" s="9" t="s">
        <v>4810</v>
      </c>
      <c r="D4538" s="9" t="s">
        <v>5871</v>
      </c>
      <c r="E4538" s="9" t="str">
        <f aca="false">IF(AND('Formation Ledger'!A4517&lt;&gt;"",'Formation Ledger'!V4517=0),"PASS","FAIL")</f>
        <v>PASS</v>
      </c>
      <c r="F4538" s="9" t="s">
        <v>76</v>
      </c>
      <c r="G4538" s="6"/>
      <c r="H4538" s="6"/>
      <c r="I4538" s="6"/>
      <c r="J4538" s="6"/>
      <c r="K4538" s="6"/>
      <c r="L4538" s="6"/>
      <c r="M4538" s="6"/>
      <c r="N4538" s="6"/>
      <c r="O4538" s="6"/>
      <c r="P4538" s="6"/>
      <c r="Q4538" s="6"/>
      <c r="R4538" s="6"/>
      <c r="S4538" s="6"/>
      <c r="T4538" s="6"/>
      <c r="U4538" s="6"/>
      <c r="V4538" s="6"/>
      <c r="W4538" s="6"/>
      <c r="X4538" s="6"/>
      <c r="Y4538" s="6"/>
      <c r="Z4538" s="6"/>
    </row>
    <row r="4539" customFormat="false" ht="15" hidden="false" customHeight="false" outlineLevel="0" collapsed="false">
      <c r="A4539" s="9" t="s">
        <v>10382</v>
      </c>
      <c r="B4539" s="9" t="s">
        <v>5870</v>
      </c>
      <c r="C4539" s="9" t="s">
        <v>4811</v>
      </c>
      <c r="D4539" s="9" t="s">
        <v>5871</v>
      </c>
      <c r="E4539" s="9" t="str">
        <f aca="false">IF(AND('Formation Ledger'!A4518&lt;&gt;"",'Formation Ledger'!V4518=0),"PASS","FAIL")</f>
        <v>PASS</v>
      </c>
      <c r="F4539" s="9" t="s">
        <v>76</v>
      </c>
      <c r="G4539" s="6"/>
      <c r="H4539" s="6"/>
      <c r="I4539" s="6"/>
      <c r="J4539" s="6"/>
      <c r="K4539" s="6"/>
      <c r="L4539" s="6"/>
      <c r="M4539" s="6"/>
      <c r="N4539" s="6"/>
      <c r="O4539" s="6"/>
      <c r="P4539" s="6"/>
      <c r="Q4539" s="6"/>
      <c r="R4539" s="6"/>
      <c r="S4539" s="6"/>
      <c r="T4539" s="6"/>
      <c r="U4539" s="6"/>
      <c r="V4539" s="6"/>
      <c r="W4539" s="6"/>
      <c r="X4539" s="6"/>
      <c r="Y4539" s="6"/>
      <c r="Z4539" s="6"/>
    </row>
    <row r="4540" customFormat="false" ht="15" hidden="false" customHeight="false" outlineLevel="0" collapsed="false">
      <c r="A4540" s="9" t="s">
        <v>10383</v>
      </c>
      <c r="B4540" s="9" t="s">
        <v>5870</v>
      </c>
      <c r="C4540" s="9" t="s">
        <v>4812</v>
      </c>
      <c r="D4540" s="9" t="s">
        <v>5871</v>
      </c>
      <c r="E4540" s="9" t="str">
        <f aca="false">IF(AND('Formation Ledger'!A4519&lt;&gt;"",'Formation Ledger'!V4519=0),"PASS","FAIL")</f>
        <v>PASS</v>
      </c>
      <c r="F4540" s="9" t="s">
        <v>76</v>
      </c>
      <c r="G4540" s="6"/>
      <c r="H4540" s="6"/>
      <c r="I4540" s="6"/>
      <c r="J4540" s="6"/>
      <c r="K4540" s="6"/>
      <c r="L4540" s="6"/>
      <c r="M4540" s="6"/>
      <c r="N4540" s="6"/>
      <c r="O4540" s="6"/>
      <c r="P4540" s="6"/>
      <c r="Q4540" s="6"/>
      <c r="R4540" s="6"/>
      <c r="S4540" s="6"/>
      <c r="T4540" s="6"/>
      <c r="U4540" s="6"/>
      <c r="V4540" s="6"/>
      <c r="W4540" s="6"/>
      <c r="X4540" s="6"/>
      <c r="Y4540" s="6"/>
      <c r="Z4540" s="6"/>
    </row>
    <row r="4541" customFormat="false" ht="15" hidden="false" customHeight="false" outlineLevel="0" collapsed="false">
      <c r="A4541" s="9" t="s">
        <v>10384</v>
      </c>
      <c r="B4541" s="9" t="s">
        <v>5870</v>
      </c>
      <c r="C4541" s="9" t="s">
        <v>4813</v>
      </c>
      <c r="D4541" s="9" t="s">
        <v>5871</v>
      </c>
      <c r="E4541" s="9" t="str">
        <f aca="false">IF(AND('Formation Ledger'!A4520&lt;&gt;"",'Formation Ledger'!V4520=0),"PASS","FAIL")</f>
        <v>PASS</v>
      </c>
      <c r="F4541" s="9" t="s">
        <v>76</v>
      </c>
      <c r="G4541" s="6"/>
      <c r="H4541" s="6"/>
      <c r="I4541" s="6"/>
      <c r="J4541" s="6"/>
      <c r="K4541" s="6"/>
      <c r="L4541" s="6"/>
      <c r="M4541" s="6"/>
      <c r="N4541" s="6"/>
      <c r="O4541" s="6"/>
      <c r="P4541" s="6"/>
      <c r="Q4541" s="6"/>
      <c r="R4541" s="6"/>
      <c r="S4541" s="6"/>
      <c r="T4541" s="6"/>
      <c r="U4541" s="6"/>
      <c r="V4541" s="6"/>
      <c r="W4541" s="6"/>
      <c r="X4541" s="6"/>
      <c r="Y4541" s="6"/>
      <c r="Z4541" s="6"/>
    </row>
    <row r="4542" customFormat="false" ht="15" hidden="false" customHeight="false" outlineLevel="0" collapsed="false">
      <c r="A4542" s="9" t="s">
        <v>10385</v>
      </c>
      <c r="B4542" s="9" t="s">
        <v>5870</v>
      </c>
      <c r="C4542" s="9" t="s">
        <v>4814</v>
      </c>
      <c r="D4542" s="9" t="s">
        <v>5871</v>
      </c>
      <c r="E4542" s="9" t="str">
        <f aca="false">IF(AND('Formation Ledger'!A4521&lt;&gt;"",'Formation Ledger'!V4521=0),"PASS","FAIL")</f>
        <v>PASS</v>
      </c>
      <c r="F4542" s="9" t="s">
        <v>76</v>
      </c>
      <c r="G4542" s="6"/>
      <c r="H4542" s="6"/>
      <c r="I4542" s="6"/>
      <c r="J4542" s="6"/>
      <c r="K4542" s="6"/>
      <c r="L4542" s="6"/>
      <c r="M4542" s="6"/>
      <c r="N4542" s="6"/>
      <c r="O4542" s="6"/>
      <c r="P4542" s="6"/>
      <c r="Q4542" s="6"/>
      <c r="R4542" s="6"/>
      <c r="S4542" s="6"/>
      <c r="T4542" s="6"/>
      <c r="U4542" s="6"/>
      <c r="V4542" s="6"/>
      <c r="W4542" s="6"/>
      <c r="X4542" s="6"/>
      <c r="Y4542" s="6"/>
      <c r="Z4542" s="6"/>
    </row>
    <row r="4543" customFormat="false" ht="15" hidden="false" customHeight="false" outlineLevel="0" collapsed="false">
      <c r="A4543" s="9" t="s">
        <v>10386</v>
      </c>
      <c r="B4543" s="9" t="s">
        <v>5870</v>
      </c>
      <c r="C4543" s="9" t="s">
        <v>4815</v>
      </c>
      <c r="D4543" s="9" t="s">
        <v>5871</v>
      </c>
      <c r="E4543" s="9" t="str">
        <f aca="false">IF(AND('Formation Ledger'!A4522&lt;&gt;"",'Formation Ledger'!V4522=0),"PASS","FAIL")</f>
        <v>PASS</v>
      </c>
      <c r="F4543" s="9" t="s">
        <v>76</v>
      </c>
      <c r="G4543" s="6"/>
      <c r="H4543" s="6"/>
      <c r="I4543" s="6"/>
      <c r="J4543" s="6"/>
      <c r="K4543" s="6"/>
      <c r="L4543" s="6"/>
      <c r="M4543" s="6"/>
      <c r="N4543" s="6"/>
      <c r="O4543" s="6"/>
      <c r="P4543" s="6"/>
      <c r="Q4543" s="6"/>
      <c r="R4543" s="6"/>
      <c r="S4543" s="6"/>
      <c r="T4543" s="6"/>
      <c r="U4543" s="6"/>
      <c r="V4543" s="6"/>
      <c r="W4543" s="6"/>
      <c r="X4543" s="6"/>
      <c r="Y4543" s="6"/>
      <c r="Z4543" s="6"/>
    </row>
    <row r="4544" customFormat="false" ht="15" hidden="false" customHeight="false" outlineLevel="0" collapsed="false">
      <c r="A4544" s="9" t="s">
        <v>10387</v>
      </c>
      <c r="B4544" s="9" t="s">
        <v>5870</v>
      </c>
      <c r="C4544" s="9" t="s">
        <v>4816</v>
      </c>
      <c r="D4544" s="9" t="s">
        <v>5871</v>
      </c>
      <c r="E4544" s="9" t="str">
        <f aca="false">IF(AND('Formation Ledger'!A4523&lt;&gt;"",'Formation Ledger'!V4523=0),"PASS","FAIL")</f>
        <v>PASS</v>
      </c>
      <c r="F4544" s="9" t="s">
        <v>76</v>
      </c>
      <c r="G4544" s="6"/>
      <c r="H4544" s="6"/>
      <c r="I4544" s="6"/>
      <c r="J4544" s="6"/>
      <c r="K4544" s="6"/>
      <c r="L4544" s="6"/>
      <c r="M4544" s="6"/>
      <c r="N4544" s="6"/>
      <c r="O4544" s="6"/>
      <c r="P4544" s="6"/>
      <c r="Q4544" s="6"/>
      <c r="R4544" s="6"/>
      <c r="S4544" s="6"/>
      <c r="T4544" s="6"/>
      <c r="U4544" s="6"/>
      <c r="V4544" s="6"/>
      <c r="W4544" s="6"/>
      <c r="X4544" s="6"/>
      <c r="Y4544" s="6"/>
      <c r="Z4544" s="6"/>
    </row>
    <row r="4545" customFormat="false" ht="15" hidden="false" customHeight="false" outlineLevel="0" collapsed="false">
      <c r="A4545" s="9" t="s">
        <v>10388</v>
      </c>
      <c r="B4545" s="9" t="s">
        <v>5870</v>
      </c>
      <c r="C4545" s="9" t="s">
        <v>4817</v>
      </c>
      <c r="D4545" s="9" t="s">
        <v>5871</v>
      </c>
      <c r="E4545" s="9" t="str">
        <f aca="false">IF(AND('Formation Ledger'!A4524&lt;&gt;"",'Formation Ledger'!V4524=0),"PASS","FAIL")</f>
        <v>PASS</v>
      </c>
      <c r="F4545" s="9" t="s">
        <v>76</v>
      </c>
      <c r="G4545" s="6"/>
      <c r="H4545" s="6"/>
      <c r="I4545" s="6"/>
      <c r="J4545" s="6"/>
      <c r="K4545" s="6"/>
      <c r="L4545" s="6"/>
      <c r="M4545" s="6"/>
      <c r="N4545" s="6"/>
      <c r="O4545" s="6"/>
      <c r="P4545" s="6"/>
      <c r="Q4545" s="6"/>
      <c r="R4545" s="6"/>
      <c r="S4545" s="6"/>
      <c r="T4545" s="6"/>
      <c r="U4545" s="6"/>
      <c r="V4545" s="6"/>
      <c r="W4545" s="6"/>
      <c r="X4545" s="6"/>
      <c r="Y4545" s="6"/>
      <c r="Z4545" s="6"/>
    </row>
    <row r="4546" customFormat="false" ht="15" hidden="false" customHeight="false" outlineLevel="0" collapsed="false">
      <c r="A4546" s="9" t="s">
        <v>10389</v>
      </c>
      <c r="B4546" s="9" t="s">
        <v>5870</v>
      </c>
      <c r="C4546" s="9" t="s">
        <v>4818</v>
      </c>
      <c r="D4546" s="9" t="s">
        <v>5871</v>
      </c>
      <c r="E4546" s="9" t="str">
        <f aca="false">IF(AND('Formation Ledger'!A4525&lt;&gt;"",'Formation Ledger'!V4525=0),"PASS","FAIL")</f>
        <v>PASS</v>
      </c>
      <c r="F4546" s="9" t="s">
        <v>76</v>
      </c>
      <c r="G4546" s="6"/>
      <c r="H4546" s="6"/>
      <c r="I4546" s="6"/>
      <c r="J4546" s="6"/>
      <c r="K4546" s="6"/>
      <c r="L4546" s="6"/>
      <c r="M4546" s="6"/>
      <c r="N4546" s="6"/>
      <c r="O4546" s="6"/>
      <c r="P4546" s="6"/>
      <c r="Q4546" s="6"/>
      <c r="R4546" s="6"/>
      <c r="S4546" s="6"/>
      <c r="T4546" s="6"/>
      <c r="U4546" s="6"/>
      <c r="V4546" s="6"/>
      <c r="W4546" s="6"/>
      <c r="X4546" s="6"/>
      <c r="Y4546" s="6"/>
      <c r="Z4546" s="6"/>
    </row>
    <row r="4547" customFormat="false" ht="15" hidden="false" customHeight="false" outlineLevel="0" collapsed="false">
      <c r="A4547" s="9" t="s">
        <v>10390</v>
      </c>
      <c r="B4547" s="9" t="s">
        <v>5870</v>
      </c>
      <c r="C4547" s="9" t="s">
        <v>4819</v>
      </c>
      <c r="D4547" s="9" t="s">
        <v>5871</v>
      </c>
      <c r="E4547" s="9" t="str">
        <f aca="false">IF(AND('Formation Ledger'!A4526&lt;&gt;"",'Formation Ledger'!V4526=0),"PASS","FAIL")</f>
        <v>PASS</v>
      </c>
      <c r="F4547" s="9" t="s">
        <v>76</v>
      </c>
      <c r="G4547" s="6"/>
      <c r="H4547" s="6"/>
      <c r="I4547" s="6"/>
      <c r="J4547" s="6"/>
      <c r="K4547" s="6"/>
      <c r="L4547" s="6"/>
      <c r="M4547" s="6"/>
      <c r="N4547" s="6"/>
      <c r="O4547" s="6"/>
      <c r="P4547" s="6"/>
      <c r="Q4547" s="6"/>
      <c r="R4547" s="6"/>
      <c r="S4547" s="6"/>
      <c r="T4547" s="6"/>
      <c r="U4547" s="6"/>
      <c r="V4547" s="6"/>
      <c r="W4547" s="6"/>
      <c r="X4547" s="6"/>
      <c r="Y4547" s="6"/>
      <c r="Z4547" s="6"/>
    </row>
    <row r="4548" customFormat="false" ht="15" hidden="false" customHeight="false" outlineLevel="0" collapsed="false">
      <c r="A4548" s="9" t="s">
        <v>10391</v>
      </c>
      <c r="B4548" s="9" t="s">
        <v>5870</v>
      </c>
      <c r="C4548" s="9" t="s">
        <v>4820</v>
      </c>
      <c r="D4548" s="9" t="s">
        <v>5871</v>
      </c>
      <c r="E4548" s="9" t="str">
        <f aca="false">IF(AND('Formation Ledger'!A4527&lt;&gt;"",'Formation Ledger'!V4527=0),"PASS","FAIL")</f>
        <v>PASS</v>
      </c>
      <c r="F4548" s="9" t="s">
        <v>76</v>
      </c>
      <c r="G4548" s="6"/>
      <c r="H4548" s="6"/>
      <c r="I4548" s="6"/>
      <c r="J4548" s="6"/>
      <c r="K4548" s="6"/>
      <c r="L4548" s="6"/>
      <c r="M4548" s="6"/>
      <c r="N4548" s="6"/>
      <c r="O4548" s="6"/>
      <c r="P4548" s="6"/>
      <c r="Q4548" s="6"/>
      <c r="R4548" s="6"/>
      <c r="S4548" s="6"/>
      <c r="T4548" s="6"/>
      <c r="U4548" s="6"/>
      <c r="V4548" s="6"/>
      <c r="W4548" s="6"/>
      <c r="X4548" s="6"/>
      <c r="Y4548" s="6"/>
      <c r="Z4548" s="6"/>
    </row>
    <row r="4549" customFormat="false" ht="15" hidden="false" customHeight="false" outlineLevel="0" collapsed="false">
      <c r="A4549" s="9" t="s">
        <v>10392</v>
      </c>
      <c r="B4549" s="9" t="s">
        <v>5870</v>
      </c>
      <c r="C4549" s="9" t="s">
        <v>4821</v>
      </c>
      <c r="D4549" s="9" t="s">
        <v>5871</v>
      </c>
      <c r="E4549" s="9" t="str">
        <f aca="false">IF(AND('Formation Ledger'!A4528&lt;&gt;"",'Formation Ledger'!V4528=0),"PASS","FAIL")</f>
        <v>PASS</v>
      </c>
      <c r="F4549" s="9" t="s">
        <v>76</v>
      </c>
      <c r="G4549" s="6"/>
      <c r="H4549" s="6"/>
      <c r="I4549" s="6"/>
      <c r="J4549" s="6"/>
      <c r="K4549" s="6"/>
      <c r="L4549" s="6"/>
      <c r="M4549" s="6"/>
      <c r="N4549" s="6"/>
      <c r="O4549" s="6"/>
      <c r="P4549" s="6"/>
      <c r="Q4549" s="6"/>
      <c r="R4549" s="6"/>
      <c r="S4549" s="6"/>
      <c r="T4549" s="6"/>
      <c r="U4549" s="6"/>
      <c r="V4549" s="6"/>
      <c r="W4549" s="6"/>
      <c r="X4549" s="6"/>
      <c r="Y4549" s="6"/>
      <c r="Z4549" s="6"/>
    </row>
    <row r="4550" customFormat="false" ht="15" hidden="false" customHeight="false" outlineLevel="0" collapsed="false">
      <c r="A4550" s="9" t="s">
        <v>10393</v>
      </c>
      <c r="B4550" s="9" t="s">
        <v>5870</v>
      </c>
      <c r="C4550" s="9" t="s">
        <v>4822</v>
      </c>
      <c r="D4550" s="9" t="s">
        <v>5871</v>
      </c>
      <c r="E4550" s="9" t="str">
        <f aca="false">IF(AND('Formation Ledger'!A4529&lt;&gt;"",'Formation Ledger'!V4529=0),"PASS","FAIL")</f>
        <v>PASS</v>
      </c>
      <c r="F4550" s="9" t="s">
        <v>76</v>
      </c>
      <c r="G4550" s="6"/>
      <c r="H4550" s="6"/>
      <c r="I4550" s="6"/>
      <c r="J4550" s="6"/>
      <c r="K4550" s="6"/>
      <c r="L4550" s="6"/>
      <c r="M4550" s="6"/>
      <c r="N4550" s="6"/>
      <c r="O4550" s="6"/>
      <c r="P4550" s="6"/>
      <c r="Q4550" s="6"/>
      <c r="R4550" s="6"/>
      <c r="S4550" s="6"/>
      <c r="T4550" s="6"/>
      <c r="U4550" s="6"/>
      <c r="V4550" s="6"/>
      <c r="W4550" s="6"/>
      <c r="X4550" s="6"/>
      <c r="Y4550" s="6"/>
      <c r="Z4550" s="6"/>
    </row>
    <row r="4551" customFormat="false" ht="15" hidden="false" customHeight="false" outlineLevel="0" collapsed="false">
      <c r="A4551" s="9" t="s">
        <v>10394</v>
      </c>
      <c r="B4551" s="9" t="s">
        <v>5870</v>
      </c>
      <c r="C4551" s="9" t="s">
        <v>4823</v>
      </c>
      <c r="D4551" s="9" t="s">
        <v>5871</v>
      </c>
      <c r="E4551" s="9" t="str">
        <f aca="false">IF(AND('Formation Ledger'!A4530&lt;&gt;"",'Formation Ledger'!V4530=0),"PASS","FAIL")</f>
        <v>PASS</v>
      </c>
      <c r="F4551" s="9" t="s">
        <v>76</v>
      </c>
      <c r="G4551" s="6"/>
      <c r="H4551" s="6"/>
      <c r="I4551" s="6"/>
      <c r="J4551" s="6"/>
      <c r="K4551" s="6"/>
      <c r="L4551" s="6"/>
      <c r="M4551" s="6"/>
      <c r="N4551" s="6"/>
      <c r="O4551" s="6"/>
      <c r="P4551" s="6"/>
      <c r="Q4551" s="6"/>
      <c r="R4551" s="6"/>
      <c r="S4551" s="6"/>
      <c r="T4551" s="6"/>
      <c r="U4551" s="6"/>
      <c r="V4551" s="6"/>
      <c r="W4551" s="6"/>
      <c r="X4551" s="6"/>
      <c r="Y4551" s="6"/>
      <c r="Z4551" s="6"/>
    </row>
    <row r="4552" customFormat="false" ht="15" hidden="false" customHeight="false" outlineLevel="0" collapsed="false">
      <c r="A4552" s="9" t="s">
        <v>10395</v>
      </c>
      <c r="B4552" s="9" t="s">
        <v>5870</v>
      </c>
      <c r="C4552" s="9" t="s">
        <v>4824</v>
      </c>
      <c r="D4552" s="9" t="s">
        <v>5871</v>
      </c>
      <c r="E4552" s="9" t="str">
        <f aca="false">IF(AND('Formation Ledger'!A4531&lt;&gt;"",'Formation Ledger'!V4531=0),"PASS","FAIL")</f>
        <v>PASS</v>
      </c>
      <c r="F4552" s="9" t="s">
        <v>76</v>
      </c>
      <c r="G4552" s="6"/>
      <c r="H4552" s="6"/>
      <c r="I4552" s="6"/>
      <c r="J4552" s="6"/>
      <c r="K4552" s="6"/>
      <c r="L4552" s="6"/>
      <c r="M4552" s="6"/>
      <c r="N4552" s="6"/>
      <c r="O4552" s="6"/>
      <c r="P4552" s="6"/>
      <c r="Q4552" s="6"/>
      <c r="R4552" s="6"/>
      <c r="S4552" s="6"/>
      <c r="T4552" s="6"/>
      <c r="U4552" s="6"/>
      <c r="V4552" s="6"/>
      <c r="W4552" s="6"/>
      <c r="X4552" s="6"/>
      <c r="Y4552" s="6"/>
      <c r="Z4552" s="6"/>
    </row>
    <row r="4553" customFormat="false" ht="15" hidden="false" customHeight="false" outlineLevel="0" collapsed="false">
      <c r="A4553" s="9" t="s">
        <v>10396</v>
      </c>
      <c r="B4553" s="9" t="s">
        <v>5870</v>
      </c>
      <c r="C4553" s="9" t="s">
        <v>4825</v>
      </c>
      <c r="D4553" s="9" t="s">
        <v>5871</v>
      </c>
      <c r="E4553" s="9" t="str">
        <f aca="false">IF(AND('Formation Ledger'!A4532&lt;&gt;"",'Formation Ledger'!V4532=0),"PASS","FAIL")</f>
        <v>PASS</v>
      </c>
      <c r="F4553" s="9" t="s">
        <v>76</v>
      </c>
      <c r="G4553" s="6"/>
      <c r="H4553" s="6"/>
      <c r="I4553" s="6"/>
      <c r="J4553" s="6"/>
      <c r="K4553" s="6"/>
      <c r="L4553" s="6"/>
      <c r="M4553" s="6"/>
      <c r="N4553" s="6"/>
      <c r="O4553" s="6"/>
      <c r="P4553" s="6"/>
      <c r="Q4553" s="6"/>
      <c r="R4553" s="6"/>
      <c r="S4553" s="6"/>
      <c r="T4553" s="6"/>
      <c r="U4553" s="6"/>
      <c r="V4553" s="6"/>
      <c r="W4553" s="6"/>
      <c r="X4553" s="6"/>
      <c r="Y4553" s="6"/>
      <c r="Z4553" s="6"/>
    </row>
    <row r="4554" customFormat="false" ht="15" hidden="false" customHeight="false" outlineLevel="0" collapsed="false">
      <c r="A4554" s="9" t="s">
        <v>10397</v>
      </c>
      <c r="B4554" s="9" t="s">
        <v>5870</v>
      </c>
      <c r="C4554" s="9" t="s">
        <v>4826</v>
      </c>
      <c r="D4554" s="9" t="s">
        <v>5871</v>
      </c>
      <c r="E4554" s="9" t="str">
        <f aca="false">IF(AND('Formation Ledger'!A4533&lt;&gt;"",'Formation Ledger'!V4533=0),"PASS","FAIL")</f>
        <v>PASS</v>
      </c>
      <c r="F4554" s="9" t="s">
        <v>76</v>
      </c>
      <c r="G4554" s="6"/>
      <c r="H4554" s="6"/>
      <c r="I4554" s="6"/>
      <c r="J4554" s="6"/>
      <c r="K4554" s="6"/>
      <c r="L4554" s="6"/>
      <c r="M4554" s="6"/>
      <c r="N4554" s="6"/>
      <c r="O4554" s="6"/>
      <c r="P4554" s="6"/>
      <c r="Q4554" s="6"/>
      <c r="R4554" s="6"/>
      <c r="S4554" s="6"/>
      <c r="T4554" s="6"/>
      <c r="U4554" s="6"/>
      <c r="V4554" s="6"/>
      <c r="W4554" s="6"/>
      <c r="X4554" s="6"/>
      <c r="Y4554" s="6"/>
      <c r="Z4554" s="6"/>
    </row>
    <row r="4555" customFormat="false" ht="15" hidden="false" customHeight="false" outlineLevel="0" collapsed="false">
      <c r="A4555" s="9" t="s">
        <v>10398</v>
      </c>
      <c r="B4555" s="9" t="s">
        <v>5870</v>
      </c>
      <c r="C4555" s="9" t="s">
        <v>4827</v>
      </c>
      <c r="D4555" s="9" t="s">
        <v>5871</v>
      </c>
      <c r="E4555" s="9" t="str">
        <f aca="false">IF(AND('Formation Ledger'!A4534&lt;&gt;"",'Formation Ledger'!V4534=0),"PASS","FAIL")</f>
        <v>PASS</v>
      </c>
      <c r="F4555" s="9" t="s">
        <v>76</v>
      </c>
      <c r="G4555" s="6"/>
      <c r="H4555" s="6"/>
      <c r="I4555" s="6"/>
      <c r="J4555" s="6"/>
      <c r="K4555" s="6"/>
      <c r="L4555" s="6"/>
      <c r="M4555" s="6"/>
      <c r="N4555" s="6"/>
      <c r="O4555" s="6"/>
      <c r="P4555" s="6"/>
      <c r="Q4555" s="6"/>
      <c r="R4555" s="6"/>
      <c r="S4555" s="6"/>
      <c r="T4555" s="6"/>
      <c r="U4555" s="6"/>
      <c r="V4555" s="6"/>
      <c r="W4555" s="6"/>
      <c r="X4555" s="6"/>
      <c r="Y4555" s="6"/>
      <c r="Z4555" s="6"/>
    </row>
    <row r="4556" customFormat="false" ht="15" hidden="false" customHeight="false" outlineLevel="0" collapsed="false">
      <c r="A4556" s="9" t="s">
        <v>10399</v>
      </c>
      <c r="B4556" s="9" t="s">
        <v>5870</v>
      </c>
      <c r="C4556" s="9" t="s">
        <v>4828</v>
      </c>
      <c r="D4556" s="9" t="s">
        <v>5871</v>
      </c>
      <c r="E4556" s="9" t="str">
        <f aca="false">IF(AND('Formation Ledger'!A4535&lt;&gt;"",'Formation Ledger'!V4535=0),"PASS","FAIL")</f>
        <v>PASS</v>
      </c>
      <c r="F4556" s="9" t="s">
        <v>76</v>
      </c>
      <c r="G4556" s="6"/>
      <c r="H4556" s="6"/>
      <c r="I4556" s="6"/>
      <c r="J4556" s="6"/>
      <c r="K4556" s="6"/>
      <c r="L4556" s="6"/>
      <c r="M4556" s="6"/>
      <c r="N4556" s="6"/>
      <c r="O4556" s="6"/>
      <c r="P4556" s="6"/>
      <c r="Q4556" s="6"/>
      <c r="R4556" s="6"/>
      <c r="S4556" s="6"/>
      <c r="T4556" s="6"/>
      <c r="U4556" s="6"/>
      <c r="V4556" s="6"/>
      <c r="W4556" s="6"/>
      <c r="X4556" s="6"/>
      <c r="Y4556" s="6"/>
      <c r="Z4556" s="6"/>
    </row>
    <row r="4557" customFormat="false" ht="15" hidden="false" customHeight="false" outlineLevel="0" collapsed="false">
      <c r="A4557" s="9" t="s">
        <v>10400</v>
      </c>
      <c r="B4557" s="9" t="s">
        <v>5870</v>
      </c>
      <c r="C4557" s="9" t="s">
        <v>4829</v>
      </c>
      <c r="D4557" s="9" t="s">
        <v>5871</v>
      </c>
      <c r="E4557" s="9" t="str">
        <f aca="false">IF(AND('Formation Ledger'!A4536&lt;&gt;"",'Formation Ledger'!V4536=0),"PASS","FAIL")</f>
        <v>PASS</v>
      </c>
      <c r="F4557" s="9" t="s">
        <v>76</v>
      </c>
      <c r="G4557" s="6"/>
      <c r="H4557" s="6"/>
      <c r="I4557" s="6"/>
      <c r="J4557" s="6"/>
      <c r="K4557" s="6"/>
      <c r="L4557" s="6"/>
      <c r="M4557" s="6"/>
      <c r="N4557" s="6"/>
      <c r="O4557" s="6"/>
      <c r="P4557" s="6"/>
      <c r="Q4557" s="6"/>
      <c r="R4557" s="6"/>
      <c r="S4557" s="6"/>
      <c r="T4557" s="6"/>
      <c r="U4557" s="6"/>
      <c r="V4557" s="6"/>
      <c r="W4557" s="6"/>
      <c r="X4557" s="6"/>
      <c r="Y4557" s="6"/>
      <c r="Z4557" s="6"/>
    </row>
    <row r="4558" customFormat="false" ht="15" hidden="false" customHeight="false" outlineLevel="0" collapsed="false">
      <c r="A4558" s="9" t="s">
        <v>10401</v>
      </c>
      <c r="B4558" s="9" t="s">
        <v>5870</v>
      </c>
      <c r="C4558" s="9" t="s">
        <v>4830</v>
      </c>
      <c r="D4558" s="9" t="s">
        <v>5871</v>
      </c>
      <c r="E4558" s="9" t="str">
        <f aca="false">IF(AND('Formation Ledger'!A4537&lt;&gt;"",'Formation Ledger'!V4537=0),"PASS","FAIL")</f>
        <v>PASS</v>
      </c>
      <c r="F4558" s="9" t="s">
        <v>76</v>
      </c>
      <c r="G4558" s="6"/>
      <c r="H4558" s="6"/>
      <c r="I4558" s="6"/>
      <c r="J4558" s="6"/>
      <c r="K4558" s="6"/>
      <c r="L4558" s="6"/>
      <c r="M4558" s="6"/>
      <c r="N4558" s="6"/>
      <c r="O4558" s="6"/>
      <c r="P4558" s="6"/>
      <c r="Q4558" s="6"/>
      <c r="R4558" s="6"/>
      <c r="S4558" s="6"/>
      <c r="T4558" s="6"/>
      <c r="U4558" s="6"/>
      <c r="V4558" s="6"/>
      <c r="W4558" s="6"/>
      <c r="X4558" s="6"/>
      <c r="Y4558" s="6"/>
      <c r="Z4558" s="6"/>
    </row>
    <row r="4559" customFormat="false" ht="15" hidden="false" customHeight="false" outlineLevel="0" collapsed="false">
      <c r="A4559" s="9" t="s">
        <v>10402</v>
      </c>
      <c r="B4559" s="9" t="s">
        <v>5870</v>
      </c>
      <c r="C4559" s="9" t="s">
        <v>4831</v>
      </c>
      <c r="D4559" s="9" t="s">
        <v>5871</v>
      </c>
      <c r="E4559" s="9" t="str">
        <f aca="false">IF(AND('Formation Ledger'!A4538&lt;&gt;"",'Formation Ledger'!V4538=0),"PASS","FAIL")</f>
        <v>PASS</v>
      </c>
      <c r="F4559" s="9" t="s">
        <v>76</v>
      </c>
      <c r="G4559" s="6"/>
      <c r="H4559" s="6"/>
      <c r="I4559" s="6"/>
      <c r="J4559" s="6"/>
      <c r="K4559" s="6"/>
      <c r="L4559" s="6"/>
      <c r="M4559" s="6"/>
      <c r="N4559" s="6"/>
      <c r="O4559" s="6"/>
      <c r="P4559" s="6"/>
      <c r="Q4559" s="6"/>
      <c r="R4559" s="6"/>
      <c r="S4559" s="6"/>
      <c r="T4559" s="6"/>
      <c r="U4559" s="6"/>
      <c r="V4559" s="6"/>
      <c r="W4559" s="6"/>
      <c r="X4559" s="6"/>
      <c r="Y4559" s="6"/>
      <c r="Z4559" s="6"/>
    </row>
    <row r="4560" customFormat="false" ht="15" hidden="false" customHeight="false" outlineLevel="0" collapsed="false">
      <c r="A4560" s="9" t="s">
        <v>10403</v>
      </c>
      <c r="B4560" s="9" t="s">
        <v>5870</v>
      </c>
      <c r="C4560" s="9" t="s">
        <v>4832</v>
      </c>
      <c r="D4560" s="9" t="s">
        <v>5871</v>
      </c>
      <c r="E4560" s="9" t="str">
        <f aca="false">IF(AND('Formation Ledger'!A4539&lt;&gt;"",'Formation Ledger'!V4539=0),"PASS","FAIL")</f>
        <v>PASS</v>
      </c>
      <c r="F4560" s="9" t="s">
        <v>76</v>
      </c>
      <c r="G4560" s="6"/>
      <c r="H4560" s="6"/>
      <c r="I4560" s="6"/>
      <c r="J4560" s="6"/>
      <c r="K4560" s="6"/>
      <c r="L4560" s="6"/>
      <c r="M4560" s="6"/>
      <c r="N4560" s="6"/>
      <c r="O4560" s="6"/>
      <c r="P4560" s="6"/>
      <c r="Q4560" s="6"/>
      <c r="R4560" s="6"/>
      <c r="S4560" s="6"/>
      <c r="T4560" s="6"/>
      <c r="U4560" s="6"/>
      <c r="V4560" s="6"/>
      <c r="W4560" s="6"/>
      <c r="X4560" s="6"/>
      <c r="Y4560" s="6"/>
      <c r="Z4560" s="6"/>
    </row>
    <row r="4561" customFormat="false" ht="15" hidden="false" customHeight="false" outlineLevel="0" collapsed="false">
      <c r="A4561" s="9" t="s">
        <v>10404</v>
      </c>
      <c r="B4561" s="9" t="s">
        <v>5870</v>
      </c>
      <c r="C4561" s="9" t="s">
        <v>4833</v>
      </c>
      <c r="D4561" s="9" t="s">
        <v>5871</v>
      </c>
      <c r="E4561" s="9" t="str">
        <f aca="false">IF(AND('Formation Ledger'!A4540&lt;&gt;"",'Formation Ledger'!V4540=0),"PASS","FAIL")</f>
        <v>PASS</v>
      </c>
      <c r="F4561" s="9" t="s">
        <v>76</v>
      </c>
      <c r="G4561" s="6"/>
      <c r="H4561" s="6"/>
      <c r="I4561" s="6"/>
      <c r="J4561" s="6"/>
      <c r="K4561" s="6"/>
      <c r="L4561" s="6"/>
      <c r="M4561" s="6"/>
      <c r="N4561" s="6"/>
      <c r="O4561" s="6"/>
      <c r="P4561" s="6"/>
      <c r="Q4561" s="6"/>
      <c r="R4561" s="6"/>
      <c r="S4561" s="6"/>
      <c r="T4561" s="6"/>
      <c r="U4561" s="6"/>
      <c r="V4561" s="6"/>
      <c r="W4561" s="6"/>
      <c r="X4561" s="6"/>
      <c r="Y4561" s="6"/>
      <c r="Z4561" s="6"/>
    </row>
    <row r="4562" customFormat="false" ht="15" hidden="false" customHeight="false" outlineLevel="0" collapsed="false">
      <c r="A4562" s="9" t="s">
        <v>10405</v>
      </c>
      <c r="B4562" s="9" t="s">
        <v>5870</v>
      </c>
      <c r="C4562" s="9" t="s">
        <v>4834</v>
      </c>
      <c r="D4562" s="9" t="s">
        <v>5871</v>
      </c>
      <c r="E4562" s="9" t="str">
        <f aca="false">IF(AND('Formation Ledger'!A4541&lt;&gt;"",'Formation Ledger'!V4541=0),"PASS","FAIL")</f>
        <v>PASS</v>
      </c>
      <c r="F4562" s="9" t="s">
        <v>76</v>
      </c>
      <c r="G4562" s="6"/>
      <c r="H4562" s="6"/>
      <c r="I4562" s="6"/>
      <c r="J4562" s="6"/>
      <c r="K4562" s="6"/>
      <c r="L4562" s="6"/>
      <c r="M4562" s="6"/>
      <c r="N4562" s="6"/>
      <c r="O4562" s="6"/>
      <c r="P4562" s="6"/>
      <c r="Q4562" s="6"/>
      <c r="R4562" s="6"/>
      <c r="S4562" s="6"/>
      <c r="T4562" s="6"/>
      <c r="U4562" s="6"/>
      <c r="V4562" s="6"/>
      <c r="W4562" s="6"/>
      <c r="X4562" s="6"/>
      <c r="Y4562" s="6"/>
      <c r="Z4562" s="6"/>
    </row>
    <row r="4563" customFormat="false" ht="15" hidden="false" customHeight="false" outlineLevel="0" collapsed="false">
      <c r="A4563" s="9" t="s">
        <v>10406</v>
      </c>
      <c r="B4563" s="9" t="s">
        <v>5870</v>
      </c>
      <c r="C4563" s="9" t="s">
        <v>4835</v>
      </c>
      <c r="D4563" s="9" t="s">
        <v>5871</v>
      </c>
      <c r="E4563" s="9" t="str">
        <f aca="false">IF(AND('Formation Ledger'!A4542&lt;&gt;"",'Formation Ledger'!V4542=0),"PASS","FAIL")</f>
        <v>PASS</v>
      </c>
      <c r="F4563" s="9" t="s">
        <v>76</v>
      </c>
      <c r="G4563" s="6"/>
      <c r="H4563" s="6"/>
      <c r="I4563" s="6"/>
      <c r="J4563" s="6"/>
      <c r="K4563" s="6"/>
      <c r="L4563" s="6"/>
      <c r="M4563" s="6"/>
      <c r="N4563" s="6"/>
      <c r="O4563" s="6"/>
      <c r="P4563" s="6"/>
      <c r="Q4563" s="6"/>
      <c r="R4563" s="6"/>
      <c r="S4563" s="6"/>
      <c r="T4563" s="6"/>
      <c r="U4563" s="6"/>
      <c r="V4563" s="6"/>
      <c r="W4563" s="6"/>
      <c r="X4563" s="6"/>
      <c r="Y4563" s="6"/>
      <c r="Z4563" s="6"/>
    </row>
    <row r="4564" customFormat="false" ht="15" hidden="false" customHeight="false" outlineLevel="0" collapsed="false">
      <c r="A4564" s="9" t="s">
        <v>10407</v>
      </c>
      <c r="B4564" s="9" t="s">
        <v>5870</v>
      </c>
      <c r="C4564" s="9" t="s">
        <v>4836</v>
      </c>
      <c r="D4564" s="9" t="s">
        <v>5871</v>
      </c>
      <c r="E4564" s="9" t="str">
        <f aca="false">IF(AND('Formation Ledger'!A4543&lt;&gt;"",'Formation Ledger'!V4543=0),"PASS","FAIL")</f>
        <v>PASS</v>
      </c>
      <c r="F4564" s="9" t="s">
        <v>76</v>
      </c>
      <c r="G4564" s="6"/>
      <c r="H4564" s="6"/>
      <c r="I4564" s="6"/>
      <c r="J4564" s="6"/>
      <c r="K4564" s="6"/>
      <c r="L4564" s="6"/>
      <c r="M4564" s="6"/>
      <c r="N4564" s="6"/>
      <c r="O4564" s="6"/>
      <c r="P4564" s="6"/>
      <c r="Q4564" s="6"/>
      <c r="R4564" s="6"/>
      <c r="S4564" s="6"/>
      <c r="T4564" s="6"/>
      <c r="U4564" s="6"/>
      <c r="V4564" s="6"/>
      <c r="W4564" s="6"/>
      <c r="X4564" s="6"/>
      <c r="Y4564" s="6"/>
      <c r="Z4564" s="6"/>
    </row>
    <row r="4565" customFormat="false" ht="15" hidden="false" customHeight="false" outlineLevel="0" collapsed="false">
      <c r="A4565" s="9" t="s">
        <v>10408</v>
      </c>
      <c r="B4565" s="9" t="s">
        <v>5870</v>
      </c>
      <c r="C4565" s="9" t="s">
        <v>4837</v>
      </c>
      <c r="D4565" s="9" t="s">
        <v>5871</v>
      </c>
      <c r="E4565" s="9" t="str">
        <f aca="false">IF(AND('Formation Ledger'!A4544&lt;&gt;"",'Formation Ledger'!V4544=0),"PASS","FAIL")</f>
        <v>PASS</v>
      </c>
      <c r="F4565" s="9" t="s">
        <v>76</v>
      </c>
      <c r="G4565" s="6"/>
      <c r="H4565" s="6"/>
      <c r="I4565" s="6"/>
      <c r="J4565" s="6"/>
      <c r="K4565" s="6"/>
      <c r="L4565" s="6"/>
      <c r="M4565" s="6"/>
      <c r="N4565" s="6"/>
      <c r="O4565" s="6"/>
      <c r="P4565" s="6"/>
      <c r="Q4565" s="6"/>
      <c r="R4565" s="6"/>
      <c r="S4565" s="6"/>
      <c r="T4565" s="6"/>
      <c r="U4565" s="6"/>
      <c r="V4565" s="6"/>
      <c r="W4565" s="6"/>
      <c r="X4565" s="6"/>
      <c r="Y4565" s="6"/>
      <c r="Z4565" s="6"/>
    </row>
    <row r="4566" customFormat="false" ht="15" hidden="false" customHeight="false" outlineLevel="0" collapsed="false">
      <c r="A4566" s="9" t="s">
        <v>10409</v>
      </c>
      <c r="B4566" s="9" t="s">
        <v>5870</v>
      </c>
      <c r="C4566" s="9" t="s">
        <v>4838</v>
      </c>
      <c r="D4566" s="9" t="s">
        <v>5871</v>
      </c>
      <c r="E4566" s="9" t="str">
        <f aca="false">IF(AND('Formation Ledger'!A4545&lt;&gt;"",'Formation Ledger'!V4545=0),"PASS","FAIL")</f>
        <v>PASS</v>
      </c>
      <c r="F4566" s="9" t="s">
        <v>76</v>
      </c>
      <c r="G4566" s="6"/>
      <c r="H4566" s="6"/>
      <c r="I4566" s="6"/>
      <c r="J4566" s="6"/>
      <c r="K4566" s="6"/>
      <c r="L4566" s="6"/>
      <c r="M4566" s="6"/>
      <c r="N4566" s="6"/>
      <c r="O4566" s="6"/>
      <c r="P4566" s="6"/>
      <c r="Q4566" s="6"/>
      <c r="R4566" s="6"/>
      <c r="S4566" s="6"/>
      <c r="T4566" s="6"/>
      <c r="U4566" s="6"/>
      <c r="V4566" s="6"/>
      <c r="W4566" s="6"/>
      <c r="X4566" s="6"/>
      <c r="Y4566" s="6"/>
      <c r="Z4566" s="6"/>
    </row>
    <row r="4567" customFormat="false" ht="15" hidden="false" customHeight="false" outlineLevel="0" collapsed="false">
      <c r="A4567" s="9" t="s">
        <v>10410</v>
      </c>
      <c r="B4567" s="9" t="s">
        <v>5870</v>
      </c>
      <c r="C4567" s="9" t="s">
        <v>4839</v>
      </c>
      <c r="D4567" s="9" t="s">
        <v>5871</v>
      </c>
      <c r="E4567" s="9" t="str">
        <f aca="false">IF(AND('Formation Ledger'!A4546&lt;&gt;"",'Formation Ledger'!V4546=0),"PASS","FAIL")</f>
        <v>PASS</v>
      </c>
      <c r="F4567" s="9" t="s">
        <v>76</v>
      </c>
      <c r="G4567" s="6"/>
      <c r="H4567" s="6"/>
      <c r="I4567" s="6"/>
      <c r="J4567" s="6"/>
      <c r="K4567" s="6"/>
      <c r="L4567" s="6"/>
      <c r="M4567" s="6"/>
      <c r="N4567" s="6"/>
      <c r="O4567" s="6"/>
      <c r="P4567" s="6"/>
      <c r="Q4567" s="6"/>
      <c r="R4567" s="6"/>
      <c r="S4567" s="6"/>
      <c r="T4567" s="6"/>
      <c r="U4567" s="6"/>
      <c r="V4567" s="6"/>
      <c r="W4567" s="6"/>
      <c r="X4567" s="6"/>
      <c r="Y4567" s="6"/>
      <c r="Z4567" s="6"/>
    </row>
    <row r="4568" customFormat="false" ht="15" hidden="false" customHeight="false" outlineLevel="0" collapsed="false">
      <c r="A4568" s="9" t="s">
        <v>10411</v>
      </c>
      <c r="B4568" s="9" t="s">
        <v>5870</v>
      </c>
      <c r="C4568" s="9" t="s">
        <v>4840</v>
      </c>
      <c r="D4568" s="9" t="s">
        <v>5871</v>
      </c>
      <c r="E4568" s="9" t="str">
        <f aca="false">IF(AND('Formation Ledger'!A4547&lt;&gt;"",'Formation Ledger'!V4547=0),"PASS","FAIL")</f>
        <v>PASS</v>
      </c>
      <c r="F4568" s="9" t="s">
        <v>76</v>
      </c>
      <c r="G4568" s="6"/>
      <c r="H4568" s="6"/>
      <c r="I4568" s="6"/>
      <c r="J4568" s="6"/>
      <c r="K4568" s="6"/>
      <c r="L4568" s="6"/>
      <c r="M4568" s="6"/>
      <c r="N4568" s="6"/>
      <c r="O4568" s="6"/>
      <c r="P4568" s="6"/>
      <c r="Q4568" s="6"/>
      <c r="R4568" s="6"/>
      <c r="S4568" s="6"/>
      <c r="T4568" s="6"/>
      <c r="U4568" s="6"/>
      <c r="V4568" s="6"/>
      <c r="W4568" s="6"/>
      <c r="X4568" s="6"/>
      <c r="Y4568" s="6"/>
      <c r="Z4568" s="6"/>
    </row>
    <row r="4569" customFormat="false" ht="15" hidden="false" customHeight="false" outlineLevel="0" collapsed="false">
      <c r="A4569" s="9" t="s">
        <v>10412</v>
      </c>
      <c r="B4569" s="9" t="s">
        <v>5870</v>
      </c>
      <c r="C4569" s="9" t="s">
        <v>4841</v>
      </c>
      <c r="D4569" s="9" t="s">
        <v>5871</v>
      </c>
      <c r="E4569" s="9" t="str">
        <f aca="false">IF(AND('Formation Ledger'!A4548&lt;&gt;"",'Formation Ledger'!V4548=0),"PASS","FAIL")</f>
        <v>PASS</v>
      </c>
      <c r="F4569" s="9" t="s">
        <v>76</v>
      </c>
      <c r="G4569" s="6"/>
      <c r="H4569" s="6"/>
      <c r="I4569" s="6"/>
      <c r="J4569" s="6"/>
      <c r="K4569" s="6"/>
      <c r="L4569" s="6"/>
      <c r="M4569" s="6"/>
      <c r="N4569" s="6"/>
      <c r="O4569" s="6"/>
      <c r="P4569" s="6"/>
      <c r="Q4569" s="6"/>
      <c r="R4569" s="6"/>
      <c r="S4569" s="6"/>
      <c r="T4569" s="6"/>
      <c r="U4569" s="6"/>
      <c r="V4569" s="6"/>
      <c r="W4569" s="6"/>
      <c r="X4569" s="6"/>
      <c r="Y4569" s="6"/>
      <c r="Z4569" s="6"/>
    </row>
    <row r="4570" customFormat="false" ht="15" hidden="false" customHeight="false" outlineLevel="0" collapsed="false">
      <c r="A4570" s="9" t="s">
        <v>10413</v>
      </c>
      <c r="B4570" s="9" t="s">
        <v>5870</v>
      </c>
      <c r="C4570" s="9" t="s">
        <v>4842</v>
      </c>
      <c r="D4570" s="9" t="s">
        <v>5871</v>
      </c>
      <c r="E4570" s="9" t="str">
        <f aca="false">IF(AND('Formation Ledger'!A4549&lt;&gt;"",'Formation Ledger'!V4549=0),"PASS","FAIL")</f>
        <v>PASS</v>
      </c>
      <c r="F4570" s="9" t="s">
        <v>76</v>
      </c>
      <c r="G4570" s="6"/>
      <c r="H4570" s="6"/>
      <c r="I4570" s="6"/>
      <c r="J4570" s="6"/>
      <c r="K4570" s="6"/>
      <c r="L4570" s="6"/>
      <c r="M4570" s="6"/>
      <c r="N4570" s="6"/>
      <c r="O4570" s="6"/>
      <c r="P4570" s="6"/>
      <c r="Q4570" s="6"/>
      <c r="R4570" s="6"/>
      <c r="S4570" s="6"/>
      <c r="T4570" s="6"/>
      <c r="U4570" s="6"/>
      <c r="V4570" s="6"/>
      <c r="W4570" s="6"/>
      <c r="X4570" s="6"/>
      <c r="Y4570" s="6"/>
      <c r="Z4570" s="6"/>
    </row>
    <row r="4571" customFormat="false" ht="15" hidden="false" customHeight="false" outlineLevel="0" collapsed="false">
      <c r="A4571" s="9" t="s">
        <v>10414</v>
      </c>
      <c r="B4571" s="9" t="s">
        <v>5870</v>
      </c>
      <c r="C4571" s="9" t="s">
        <v>4843</v>
      </c>
      <c r="D4571" s="9" t="s">
        <v>5871</v>
      </c>
      <c r="E4571" s="9" t="str">
        <f aca="false">IF(AND('Formation Ledger'!A4550&lt;&gt;"",'Formation Ledger'!V4550=0),"PASS","FAIL")</f>
        <v>PASS</v>
      </c>
      <c r="F4571" s="9" t="s">
        <v>76</v>
      </c>
      <c r="G4571" s="6"/>
      <c r="H4571" s="6"/>
      <c r="I4571" s="6"/>
      <c r="J4571" s="6"/>
      <c r="K4571" s="6"/>
      <c r="L4571" s="6"/>
      <c r="M4571" s="6"/>
      <c r="N4571" s="6"/>
      <c r="O4571" s="6"/>
      <c r="P4571" s="6"/>
      <c r="Q4571" s="6"/>
      <c r="R4571" s="6"/>
      <c r="S4571" s="6"/>
      <c r="T4571" s="6"/>
      <c r="U4571" s="6"/>
      <c r="V4571" s="6"/>
      <c r="W4571" s="6"/>
      <c r="X4571" s="6"/>
      <c r="Y4571" s="6"/>
      <c r="Z4571" s="6"/>
    </row>
    <row r="4572" customFormat="false" ht="15" hidden="false" customHeight="false" outlineLevel="0" collapsed="false">
      <c r="A4572" s="9" t="s">
        <v>10415</v>
      </c>
      <c r="B4572" s="9" t="s">
        <v>5870</v>
      </c>
      <c r="C4572" s="9" t="s">
        <v>4844</v>
      </c>
      <c r="D4572" s="9" t="s">
        <v>5871</v>
      </c>
      <c r="E4572" s="9" t="str">
        <f aca="false">IF(AND('Formation Ledger'!A4551&lt;&gt;"",'Formation Ledger'!V4551=0),"PASS","FAIL")</f>
        <v>PASS</v>
      </c>
      <c r="F4572" s="9" t="s">
        <v>76</v>
      </c>
      <c r="G4572" s="6"/>
      <c r="H4572" s="6"/>
      <c r="I4572" s="6"/>
      <c r="J4572" s="6"/>
      <c r="K4572" s="6"/>
      <c r="L4572" s="6"/>
      <c r="M4572" s="6"/>
      <c r="N4572" s="6"/>
      <c r="O4572" s="6"/>
      <c r="P4572" s="6"/>
      <c r="Q4572" s="6"/>
      <c r="R4572" s="6"/>
      <c r="S4572" s="6"/>
      <c r="T4572" s="6"/>
      <c r="U4572" s="6"/>
      <c r="V4572" s="6"/>
      <c r="W4572" s="6"/>
      <c r="X4572" s="6"/>
      <c r="Y4572" s="6"/>
      <c r="Z4572" s="6"/>
    </row>
    <row r="4573" customFormat="false" ht="15" hidden="false" customHeight="false" outlineLevel="0" collapsed="false">
      <c r="A4573" s="9" t="s">
        <v>10416</v>
      </c>
      <c r="B4573" s="9" t="s">
        <v>5870</v>
      </c>
      <c r="C4573" s="9" t="s">
        <v>4845</v>
      </c>
      <c r="D4573" s="9" t="s">
        <v>5871</v>
      </c>
      <c r="E4573" s="9" t="str">
        <f aca="false">IF(AND('Formation Ledger'!A4552&lt;&gt;"",'Formation Ledger'!V4552=0),"PASS","FAIL")</f>
        <v>PASS</v>
      </c>
      <c r="F4573" s="9" t="s">
        <v>76</v>
      </c>
      <c r="G4573" s="6"/>
      <c r="H4573" s="6"/>
      <c r="I4573" s="6"/>
      <c r="J4573" s="6"/>
      <c r="K4573" s="6"/>
      <c r="L4573" s="6"/>
      <c r="M4573" s="6"/>
      <c r="N4573" s="6"/>
      <c r="O4573" s="6"/>
      <c r="P4573" s="6"/>
      <c r="Q4573" s="6"/>
      <c r="R4573" s="6"/>
      <c r="S4573" s="6"/>
      <c r="T4573" s="6"/>
      <c r="U4573" s="6"/>
      <c r="V4573" s="6"/>
      <c r="W4573" s="6"/>
      <c r="X4573" s="6"/>
      <c r="Y4573" s="6"/>
      <c r="Z4573" s="6"/>
    </row>
    <row r="4574" customFormat="false" ht="15" hidden="false" customHeight="false" outlineLevel="0" collapsed="false">
      <c r="A4574" s="9" t="s">
        <v>10417</v>
      </c>
      <c r="B4574" s="9" t="s">
        <v>5870</v>
      </c>
      <c r="C4574" s="9" t="s">
        <v>4846</v>
      </c>
      <c r="D4574" s="9" t="s">
        <v>5871</v>
      </c>
      <c r="E4574" s="9" t="str">
        <f aca="false">IF(AND('Formation Ledger'!A4553&lt;&gt;"",'Formation Ledger'!V4553=0),"PASS","FAIL")</f>
        <v>PASS</v>
      </c>
      <c r="F4574" s="9" t="s">
        <v>76</v>
      </c>
      <c r="G4574" s="6"/>
      <c r="H4574" s="6"/>
      <c r="I4574" s="6"/>
      <c r="J4574" s="6"/>
      <c r="K4574" s="6"/>
      <c r="L4574" s="6"/>
      <c r="M4574" s="6"/>
      <c r="N4574" s="6"/>
      <c r="O4574" s="6"/>
      <c r="P4574" s="6"/>
      <c r="Q4574" s="6"/>
      <c r="R4574" s="6"/>
      <c r="S4574" s="6"/>
      <c r="T4574" s="6"/>
      <c r="U4574" s="6"/>
      <c r="V4574" s="6"/>
      <c r="W4574" s="6"/>
      <c r="X4574" s="6"/>
      <c r="Y4574" s="6"/>
      <c r="Z4574" s="6"/>
    </row>
    <row r="4575" customFormat="false" ht="15" hidden="false" customHeight="false" outlineLevel="0" collapsed="false">
      <c r="A4575" s="9" t="s">
        <v>10418</v>
      </c>
      <c r="B4575" s="9" t="s">
        <v>5870</v>
      </c>
      <c r="C4575" s="9" t="s">
        <v>4847</v>
      </c>
      <c r="D4575" s="9" t="s">
        <v>5871</v>
      </c>
      <c r="E4575" s="9" t="str">
        <f aca="false">IF(AND('Formation Ledger'!A4554&lt;&gt;"",'Formation Ledger'!V4554=0),"PASS","FAIL")</f>
        <v>PASS</v>
      </c>
      <c r="F4575" s="9" t="s">
        <v>76</v>
      </c>
      <c r="G4575" s="6"/>
      <c r="H4575" s="6"/>
      <c r="I4575" s="6"/>
      <c r="J4575" s="6"/>
      <c r="K4575" s="6"/>
      <c r="L4575" s="6"/>
      <c r="M4575" s="6"/>
      <c r="N4575" s="6"/>
      <c r="O4575" s="6"/>
      <c r="P4575" s="6"/>
      <c r="Q4575" s="6"/>
      <c r="R4575" s="6"/>
      <c r="S4575" s="6"/>
      <c r="T4575" s="6"/>
      <c r="U4575" s="6"/>
      <c r="V4575" s="6"/>
      <c r="W4575" s="6"/>
      <c r="X4575" s="6"/>
      <c r="Y4575" s="6"/>
      <c r="Z4575" s="6"/>
    </row>
    <row r="4576" customFormat="false" ht="15" hidden="false" customHeight="false" outlineLevel="0" collapsed="false">
      <c r="A4576" s="9" t="s">
        <v>10419</v>
      </c>
      <c r="B4576" s="9" t="s">
        <v>5870</v>
      </c>
      <c r="C4576" s="9" t="s">
        <v>4848</v>
      </c>
      <c r="D4576" s="9" t="s">
        <v>5871</v>
      </c>
      <c r="E4576" s="9" t="str">
        <f aca="false">IF(AND('Formation Ledger'!A4555&lt;&gt;"",'Formation Ledger'!V4555=0),"PASS","FAIL")</f>
        <v>PASS</v>
      </c>
      <c r="F4576" s="9" t="s">
        <v>76</v>
      </c>
      <c r="G4576" s="6"/>
      <c r="H4576" s="6"/>
      <c r="I4576" s="6"/>
      <c r="J4576" s="6"/>
      <c r="K4576" s="6"/>
      <c r="L4576" s="6"/>
      <c r="M4576" s="6"/>
      <c r="N4576" s="6"/>
      <c r="O4576" s="6"/>
      <c r="P4576" s="6"/>
      <c r="Q4576" s="6"/>
      <c r="R4576" s="6"/>
      <c r="S4576" s="6"/>
      <c r="T4576" s="6"/>
      <c r="U4576" s="6"/>
      <c r="V4576" s="6"/>
      <c r="W4576" s="6"/>
      <c r="X4576" s="6"/>
      <c r="Y4576" s="6"/>
      <c r="Z4576" s="6"/>
    </row>
    <row r="4577" customFormat="false" ht="15" hidden="false" customHeight="false" outlineLevel="0" collapsed="false">
      <c r="A4577" s="9" t="s">
        <v>10420</v>
      </c>
      <c r="B4577" s="9" t="s">
        <v>5870</v>
      </c>
      <c r="C4577" s="9" t="s">
        <v>4849</v>
      </c>
      <c r="D4577" s="9" t="s">
        <v>5871</v>
      </c>
      <c r="E4577" s="9" t="str">
        <f aca="false">IF(AND('Formation Ledger'!A4556&lt;&gt;"",'Formation Ledger'!V4556=0),"PASS","FAIL")</f>
        <v>PASS</v>
      </c>
      <c r="F4577" s="9" t="s">
        <v>76</v>
      </c>
      <c r="G4577" s="6"/>
      <c r="H4577" s="6"/>
      <c r="I4577" s="6"/>
      <c r="J4577" s="6"/>
      <c r="K4577" s="6"/>
      <c r="L4577" s="6"/>
      <c r="M4577" s="6"/>
      <c r="N4577" s="6"/>
      <c r="O4577" s="6"/>
      <c r="P4577" s="6"/>
      <c r="Q4577" s="6"/>
      <c r="R4577" s="6"/>
      <c r="S4577" s="6"/>
      <c r="T4577" s="6"/>
      <c r="U4577" s="6"/>
      <c r="V4577" s="6"/>
      <c r="W4577" s="6"/>
      <c r="X4577" s="6"/>
      <c r="Y4577" s="6"/>
      <c r="Z4577" s="6"/>
    </row>
    <row r="4578" customFormat="false" ht="15" hidden="false" customHeight="false" outlineLevel="0" collapsed="false">
      <c r="A4578" s="9" t="s">
        <v>10421</v>
      </c>
      <c r="B4578" s="9" t="s">
        <v>5870</v>
      </c>
      <c r="C4578" s="9" t="s">
        <v>4850</v>
      </c>
      <c r="D4578" s="9" t="s">
        <v>5871</v>
      </c>
      <c r="E4578" s="9" t="str">
        <f aca="false">IF(AND('Formation Ledger'!A4557&lt;&gt;"",'Formation Ledger'!V4557=0),"PASS","FAIL")</f>
        <v>PASS</v>
      </c>
      <c r="F4578" s="9" t="s">
        <v>76</v>
      </c>
      <c r="G4578" s="6"/>
      <c r="H4578" s="6"/>
      <c r="I4578" s="6"/>
      <c r="J4578" s="6"/>
      <c r="K4578" s="6"/>
      <c r="L4578" s="6"/>
      <c r="M4578" s="6"/>
      <c r="N4578" s="6"/>
      <c r="O4578" s="6"/>
      <c r="P4578" s="6"/>
      <c r="Q4578" s="6"/>
      <c r="R4578" s="6"/>
      <c r="S4578" s="6"/>
      <c r="T4578" s="6"/>
      <c r="U4578" s="6"/>
      <c r="V4578" s="6"/>
      <c r="W4578" s="6"/>
      <c r="X4578" s="6"/>
      <c r="Y4578" s="6"/>
      <c r="Z4578" s="6"/>
    </row>
    <row r="4579" customFormat="false" ht="15" hidden="false" customHeight="false" outlineLevel="0" collapsed="false">
      <c r="A4579" s="9" t="s">
        <v>10422</v>
      </c>
      <c r="B4579" s="9" t="s">
        <v>5870</v>
      </c>
      <c r="C4579" s="9" t="s">
        <v>4851</v>
      </c>
      <c r="D4579" s="9" t="s">
        <v>5871</v>
      </c>
      <c r="E4579" s="9" t="str">
        <f aca="false">IF(AND('Formation Ledger'!A4558&lt;&gt;"",'Formation Ledger'!V4558=0),"PASS","FAIL")</f>
        <v>PASS</v>
      </c>
      <c r="F4579" s="9" t="s">
        <v>76</v>
      </c>
      <c r="G4579" s="6"/>
      <c r="H4579" s="6"/>
      <c r="I4579" s="6"/>
      <c r="J4579" s="6"/>
      <c r="K4579" s="6"/>
      <c r="L4579" s="6"/>
      <c r="M4579" s="6"/>
      <c r="N4579" s="6"/>
      <c r="O4579" s="6"/>
      <c r="P4579" s="6"/>
      <c r="Q4579" s="6"/>
      <c r="R4579" s="6"/>
      <c r="S4579" s="6"/>
      <c r="T4579" s="6"/>
      <c r="U4579" s="6"/>
      <c r="V4579" s="6"/>
      <c r="W4579" s="6"/>
      <c r="X4579" s="6"/>
      <c r="Y4579" s="6"/>
      <c r="Z4579" s="6"/>
    </row>
    <row r="4580" customFormat="false" ht="15" hidden="false" customHeight="false" outlineLevel="0" collapsed="false">
      <c r="A4580" s="9" t="s">
        <v>10423</v>
      </c>
      <c r="B4580" s="9" t="s">
        <v>5870</v>
      </c>
      <c r="C4580" s="9" t="s">
        <v>4852</v>
      </c>
      <c r="D4580" s="9" t="s">
        <v>5871</v>
      </c>
      <c r="E4580" s="9" t="str">
        <f aca="false">IF(AND('Formation Ledger'!A4559&lt;&gt;"",'Formation Ledger'!V4559=0),"PASS","FAIL")</f>
        <v>PASS</v>
      </c>
      <c r="F4580" s="9" t="s">
        <v>76</v>
      </c>
      <c r="G4580" s="6"/>
      <c r="H4580" s="6"/>
      <c r="I4580" s="6"/>
      <c r="J4580" s="6"/>
      <c r="K4580" s="6"/>
      <c r="L4580" s="6"/>
      <c r="M4580" s="6"/>
      <c r="N4580" s="6"/>
      <c r="O4580" s="6"/>
      <c r="P4580" s="6"/>
      <c r="Q4580" s="6"/>
      <c r="R4580" s="6"/>
      <c r="S4580" s="6"/>
      <c r="T4580" s="6"/>
      <c r="U4580" s="6"/>
      <c r="V4580" s="6"/>
      <c r="W4580" s="6"/>
      <c r="X4580" s="6"/>
      <c r="Y4580" s="6"/>
      <c r="Z4580" s="6"/>
    </row>
    <row r="4581" customFormat="false" ht="15" hidden="false" customHeight="false" outlineLevel="0" collapsed="false">
      <c r="A4581" s="9" t="s">
        <v>10424</v>
      </c>
      <c r="B4581" s="9" t="s">
        <v>5870</v>
      </c>
      <c r="C4581" s="9" t="s">
        <v>4853</v>
      </c>
      <c r="D4581" s="9" t="s">
        <v>5871</v>
      </c>
      <c r="E4581" s="9" t="str">
        <f aca="false">IF(AND('Formation Ledger'!A4560&lt;&gt;"",'Formation Ledger'!V4560=0),"PASS","FAIL")</f>
        <v>PASS</v>
      </c>
      <c r="F4581" s="9" t="s">
        <v>76</v>
      </c>
      <c r="G4581" s="6"/>
      <c r="H4581" s="6"/>
      <c r="I4581" s="6"/>
      <c r="J4581" s="6"/>
      <c r="K4581" s="6"/>
      <c r="L4581" s="6"/>
      <c r="M4581" s="6"/>
      <c r="N4581" s="6"/>
      <c r="O4581" s="6"/>
      <c r="P4581" s="6"/>
      <c r="Q4581" s="6"/>
      <c r="R4581" s="6"/>
      <c r="S4581" s="6"/>
      <c r="T4581" s="6"/>
      <c r="U4581" s="6"/>
      <c r="V4581" s="6"/>
      <c r="W4581" s="6"/>
      <c r="X4581" s="6"/>
      <c r="Y4581" s="6"/>
      <c r="Z4581" s="6"/>
    </row>
    <row r="4582" customFormat="false" ht="15" hidden="false" customHeight="false" outlineLevel="0" collapsed="false">
      <c r="A4582" s="9" t="s">
        <v>10425</v>
      </c>
      <c r="B4582" s="9" t="s">
        <v>5870</v>
      </c>
      <c r="C4582" s="9" t="s">
        <v>4854</v>
      </c>
      <c r="D4582" s="9" t="s">
        <v>5871</v>
      </c>
      <c r="E4582" s="9" t="str">
        <f aca="false">IF(AND('Formation Ledger'!A4561&lt;&gt;"",'Formation Ledger'!V4561=0),"PASS","FAIL")</f>
        <v>PASS</v>
      </c>
      <c r="F4582" s="9" t="s">
        <v>76</v>
      </c>
      <c r="G4582" s="6"/>
      <c r="H4582" s="6"/>
      <c r="I4582" s="6"/>
      <c r="J4582" s="6"/>
      <c r="K4582" s="6"/>
      <c r="L4582" s="6"/>
      <c r="M4582" s="6"/>
      <c r="N4582" s="6"/>
      <c r="O4582" s="6"/>
      <c r="P4582" s="6"/>
      <c r="Q4582" s="6"/>
      <c r="R4582" s="6"/>
      <c r="S4582" s="6"/>
      <c r="T4582" s="6"/>
      <c r="U4582" s="6"/>
      <c r="V4582" s="6"/>
      <c r="W4582" s="6"/>
      <c r="X4582" s="6"/>
      <c r="Y4582" s="6"/>
      <c r="Z4582" s="6"/>
    </row>
    <row r="4583" customFormat="false" ht="15" hidden="false" customHeight="false" outlineLevel="0" collapsed="false">
      <c r="A4583" s="9" t="s">
        <v>10426</v>
      </c>
      <c r="B4583" s="9" t="s">
        <v>5870</v>
      </c>
      <c r="C4583" s="9" t="s">
        <v>4855</v>
      </c>
      <c r="D4583" s="9" t="s">
        <v>5871</v>
      </c>
      <c r="E4583" s="9" t="str">
        <f aca="false">IF(AND('Formation Ledger'!A4562&lt;&gt;"",'Formation Ledger'!V4562=0),"PASS","FAIL")</f>
        <v>PASS</v>
      </c>
      <c r="F4583" s="9" t="s">
        <v>76</v>
      </c>
      <c r="G4583" s="6"/>
      <c r="H4583" s="6"/>
      <c r="I4583" s="6"/>
      <c r="J4583" s="6"/>
      <c r="K4583" s="6"/>
      <c r="L4583" s="6"/>
      <c r="M4583" s="6"/>
      <c r="N4583" s="6"/>
      <c r="O4583" s="6"/>
      <c r="P4583" s="6"/>
      <c r="Q4583" s="6"/>
      <c r="R4583" s="6"/>
      <c r="S4583" s="6"/>
      <c r="T4583" s="6"/>
      <c r="U4583" s="6"/>
      <c r="V4583" s="6"/>
      <c r="W4583" s="6"/>
      <c r="X4583" s="6"/>
      <c r="Y4583" s="6"/>
      <c r="Z4583" s="6"/>
    </row>
    <row r="4584" customFormat="false" ht="15" hidden="false" customHeight="false" outlineLevel="0" collapsed="false">
      <c r="A4584" s="9" t="s">
        <v>10427</v>
      </c>
      <c r="B4584" s="9" t="s">
        <v>5870</v>
      </c>
      <c r="C4584" s="9" t="s">
        <v>4856</v>
      </c>
      <c r="D4584" s="9" t="s">
        <v>5871</v>
      </c>
      <c r="E4584" s="9" t="str">
        <f aca="false">IF(AND('Formation Ledger'!A4563&lt;&gt;"",'Formation Ledger'!V4563=0),"PASS","FAIL")</f>
        <v>PASS</v>
      </c>
      <c r="F4584" s="9" t="s">
        <v>76</v>
      </c>
      <c r="G4584" s="6"/>
      <c r="H4584" s="6"/>
      <c r="I4584" s="6"/>
      <c r="J4584" s="6"/>
      <c r="K4584" s="6"/>
      <c r="L4584" s="6"/>
      <c r="M4584" s="6"/>
      <c r="N4584" s="6"/>
      <c r="O4584" s="6"/>
      <c r="P4584" s="6"/>
      <c r="Q4584" s="6"/>
      <c r="R4584" s="6"/>
      <c r="S4584" s="6"/>
      <c r="T4584" s="6"/>
      <c r="U4584" s="6"/>
      <c r="V4584" s="6"/>
      <c r="W4584" s="6"/>
      <c r="X4584" s="6"/>
      <c r="Y4584" s="6"/>
      <c r="Z4584" s="6"/>
    </row>
    <row r="4585" customFormat="false" ht="15" hidden="false" customHeight="false" outlineLevel="0" collapsed="false">
      <c r="A4585" s="9" t="s">
        <v>10428</v>
      </c>
      <c r="B4585" s="9" t="s">
        <v>5870</v>
      </c>
      <c r="C4585" s="9" t="s">
        <v>4857</v>
      </c>
      <c r="D4585" s="9" t="s">
        <v>5871</v>
      </c>
      <c r="E4585" s="9" t="str">
        <f aca="false">IF(AND('Formation Ledger'!A4564&lt;&gt;"",'Formation Ledger'!V4564=0),"PASS","FAIL")</f>
        <v>PASS</v>
      </c>
      <c r="F4585" s="9" t="s">
        <v>76</v>
      </c>
      <c r="G4585" s="6"/>
      <c r="H4585" s="6"/>
      <c r="I4585" s="6"/>
      <c r="J4585" s="6"/>
      <c r="K4585" s="6"/>
      <c r="L4585" s="6"/>
      <c r="M4585" s="6"/>
      <c r="N4585" s="6"/>
      <c r="O4585" s="6"/>
      <c r="P4585" s="6"/>
      <c r="Q4585" s="6"/>
      <c r="R4585" s="6"/>
      <c r="S4585" s="6"/>
      <c r="T4585" s="6"/>
      <c r="U4585" s="6"/>
      <c r="V4585" s="6"/>
      <c r="W4585" s="6"/>
      <c r="X4585" s="6"/>
      <c r="Y4585" s="6"/>
      <c r="Z4585" s="6"/>
    </row>
    <row r="4586" customFormat="false" ht="15" hidden="false" customHeight="false" outlineLevel="0" collapsed="false">
      <c r="A4586" s="9" t="s">
        <v>10429</v>
      </c>
      <c r="B4586" s="9" t="s">
        <v>5870</v>
      </c>
      <c r="C4586" s="9" t="s">
        <v>4858</v>
      </c>
      <c r="D4586" s="9" t="s">
        <v>5871</v>
      </c>
      <c r="E4586" s="9" t="str">
        <f aca="false">IF(AND('Formation Ledger'!A4565&lt;&gt;"",'Formation Ledger'!V4565=0),"PASS","FAIL")</f>
        <v>PASS</v>
      </c>
      <c r="F4586" s="9" t="s">
        <v>76</v>
      </c>
      <c r="G4586" s="6"/>
      <c r="H4586" s="6"/>
      <c r="I4586" s="6"/>
      <c r="J4586" s="6"/>
      <c r="K4586" s="6"/>
      <c r="L4586" s="6"/>
      <c r="M4586" s="6"/>
      <c r="N4586" s="6"/>
      <c r="O4586" s="6"/>
      <c r="P4586" s="6"/>
      <c r="Q4586" s="6"/>
      <c r="R4586" s="6"/>
      <c r="S4586" s="6"/>
      <c r="T4586" s="6"/>
      <c r="U4586" s="6"/>
      <c r="V4586" s="6"/>
      <c r="W4586" s="6"/>
      <c r="X4586" s="6"/>
      <c r="Y4586" s="6"/>
      <c r="Z4586" s="6"/>
    </row>
    <row r="4587" customFormat="false" ht="15" hidden="false" customHeight="false" outlineLevel="0" collapsed="false">
      <c r="A4587" s="9" t="s">
        <v>10430</v>
      </c>
      <c r="B4587" s="9" t="s">
        <v>5870</v>
      </c>
      <c r="C4587" s="9" t="s">
        <v>4859</v>
      </c>
      <c r="D4587" s="9" t="s">
        <v>5871</v>
      </c>
      <c r="E4587" s="9" t="str">
        <f aca="false">IF(AND('Formation Ledger'!A4566&lt;&gt;"",'Formation Ledger'!V4566=0),"PASS","FAIL")</f>
        <v>PASS</v>
      </c>
      <c r="F4587" s="9" t="s">
        <v>76</v>
      </c>
      <c r="G4587" s="6"/>
      <c r="H4587" s="6"/>
      <c r="I4587" s="6"/>
      <c r="J4587" s="6"/>
      <c r="K4587" s="6"/>
      <c r="L4587" s="6"/>
      <c r="M4587" s="6"/>
      <c r="N4587" s="6"/>
      <c r="O4587" s="6"/>
      <c r="P4587" s="6"/>
      <c r="Q4587" s="6"/>
      <c r="R4587" s="6"/>
      <c r="S4587" s="6"/>
      <c r="T4587" s="6"/>
      <c r="U4587" s="6"/>
      <c r="V4587" s="6"/>
      <c r="W4587" s="6"/>
      <c r="X4587" s="6"/>
      <c r="Y4587" s="6"/>
      <c r="Z4587" s="6"/>
    </row>
    <row r="4588" customFormat="false" ht="15" hidden="false" customHeight="false" outlineLevel="0" collapsed="false">
      <c r="A4588" s="9" t="s">
        <v>10431</v>
      </c>
      <c r="B4588" s="9" t="s">
        <v>5870</v>
      </c>
      <c r="C4588" s="9" t="s">
        <v>4860</v>
      </c>
      <c r="D4588" s="9" t="s">
        <v>5871</v>
      </c>
      <c r="E4588" s="9" t="str">
        <f aca="false">IF(AND('Formation Ledger'!A4567&lt;&gt;"",'Formation Ledger'!V4567=0),"PASS","FAIL")</f>
        <v>PASS</v>
      </c>
      <c r="F4588" s="9" t="s">
        <v>76</v>
      </c>
      <c r="G4588" s="6"/>
      <c r="H4588" s="6"/>
      <c r="I4588" s="6"/>
      <c r="J4588" s="6"/>
      <c r="K4588" s="6"/>
      <c r="L4588" s="6"/>
      <c r="M4588" s="6"/>
      <c r="N4588" s="6"/>
      <c r="O4588" s="6"/>
      <c r="P4588" s="6"/>
      <c r="Q4588" s="6"/>
      <c r="R4588" s="6"/>
      <c r="S4588" s="6"/>
      <c r="T4588" s="6"/>
      <c r="U4588" s="6"/>
      <c r="V4588" s="6"/>
      <c r="W4588" s="6"/>
      <c r="X4588" s="6"/>
      <c r="Y4588" s="6"/>
      <c r="Z4588" s="6"/>
    </row>
    <row r="4589" customFormat="false" ht="15" hidden="false" customHeight="false" outlineLevel="0" collapsed="false">
      <c r="A4589" s="9" t="s">
        <v>10432</v>
      </c>
      <c r="B4589" s="9" t="s">
        <v>5870</v>
      </c>
      <c r="C4589" s="9" t="s">
        <v>4861</v>
      </c>
      <c r="D4589" s="9" t="s">
        <v>5871</v>
      </c>
      <c r="E4589" s="9" t="str">
        <f aca="false">IF(AND('Formation Ledger'!A4568&lt;&gt;"",'Formation Ledger'!V4568=0),"PASS","FAIL")</f>
        <v>PASS</v>
      </c>
      <c r="F4589" s="9" t="s">
        <v>76</v>
      </c>
      <c r="G4589" s="6"/>
      <c r="H4589" s="6"/>
      <c r="I4589" s="6"/>
      <c r="J4589" s="6"/>
      <c r="K4589" s="6"/>
      <c r="L4589" s="6"/>
      <c r="M4589" s="6"/>
      <c r="N4589" s="6"/>
      <c r="O4589" s="6"/>
      <c r="P4589" s="6"/>
      <c r="Q4589" s="6"/>
      <c r="R4589" s="6"/>
      <c r="S4589" s="6"/>
      <c r="T4589" s="6"/>
      <c r="U4589" s="6"/>
      <c r="V4589" s="6"/>
      <c r="W4589" s="6"/>
      <c r="X4589" s="6"/>
      <c r="Y4589" s="6"/>
      <c r="Z4589" s="6"/>
    </row>
    <row r="4590" customFormat="false" ht="15" hidden="false" customHeight="false" outlineLevel="0" collapsed="false">
      <c r="A4590" s="9" t="s">
        <v>10433</v>
      </c>
      <c r="B4590" s="9" t="s">
        <v>5870</v>
      </c>
      <c r="C4590" s="9" t="s">
        <v>4862</v>
      </c>
      <c r="D4590" s="9" t="s">
        <v>5871</v>
      </c>
      <c r="E4590" s="9" t="str">
        <f aca="false">IF(AND('Formation Ledger'!A4569&lt;&gt;"",'Formation Ledger'!V4569=0),"PASS","FAIL")</f>
        <v>PASS</v>
      </c>
      <c r="F4590" s="9" t="s">
        <v>76</v>
      </c>
      <c r="G4590" s="6"/>
      <c r="H4590" s="6"/>
      <c r="I4590" s="6"/>
      <c r="J4590" s="6"/>
      <c r="K4590" s="6"/>
      <c r="L4590" s="6"/>
      <c r="M4590" s="6"/>
      <c r="N4590" s="6"/>
      <c r="O4590" s="6"/>
      <c r="P4590" s="6"/>
      <c r="Q4590" s="6"/>
      <c r="R4590" s="6"/>
      <c r="S4590" s="6"/>
      <c r="T4590" s="6"/>
      <c r="U4590" s="6"/>
      <c r="V4590" s="6"/>
      <c r="W4590" s="6"/>
      <c r="X4590" s="6"/>
      <c r="Y4590" s="6"/>
      <c r="Z4590" s="6"/>
    </row>
    <row r="4591" customFormat="false" ht="15" hidden="false" customHeight="false" outlineLevel="0" collapsed="false">
      <c r="A4591" s="9" t="s">
        <v>10434</v>
      </c>
      <c r="B4591" s="9" t="s">
        <v>5870</v>
      </c>
      <c r="C4591" s="9" t="s">
        <v>4863</v>
      </c>
      <c r="D4591" s="9" t="s">
        <v>5871</v>
      </c>
      <c r="E4591" s="9" t="str">
        <f aca="false">IF(AND('Formation Ledger'!A4570&lt;&gt;"",'Formation Ledger'!V4570=0),"PASS","FAIL")</f>
        <v>PASS</v>
      </c>
      <c r="F4591" s="9" t="s">
        <v>76</v>
      </c>
      <c r="G4591" s="6"/>
      <c r="H4591" s="6"/>
      <c r="I4591" s="6"/>
      <c r="J4591" s="6"/>
      <c r="K4591" s="6"/>
      <c r="L4591" s="6"/>
      <c r="M4591" s="6"/>
      <c r="N4591" s="6"/>
      <c r="O4591" s="6"/>
      <c r="P4591" s="6"/>
      <c r="Q4591" s="6"/>
      <c r="R4591" s="6"/>
      <c r="S4591" s="6"/>
      <c r="T4591" s="6"/>
      <c r="U4591" s="6"/>
      <c r="V4591" s="6"/>
      <c r="W4591" s="6"/>
      <c r="X4591" s="6"/>
      <c r="Y4591" s="6"/>
      <c r="Z4591" s="6"/>
    </row>
    <row r="4592" customFormat="false" ht="15" hidden="false" customHeight="false" outlineLevel="0" collapsed="false">
      <c r="A4592" s="9" t="s">
        <v>10435</v>
      </c>
      <c r="B4592" s="9" t="s">
        <v>5870</v>
      </c>
      <c r="C4592" s="9" t="s">
        <v>4864</v>
      </c>
      <c r="D4592" s="9" t="s">
        <v>5871</v>
      </c>
      <c r="E4592" s="9" t="str">
        <f aca="false">IF(AND('Formation Ledger'!A4571&lt;&gt;"",'Formation Ledger'!V4571=0),"PASS","FAIL")</f>
        <v>PASS</v>
      </c>
      <c r="F4592" s="9" t="s">
        <v>76</v>
      </c>
      <c r="G4592" s="6"/>
      <c r="H4592" s="6"/>
      <c r="I4592" s="6"/>
      <c r="J4592" s="6"/>
      <c r="K4592" s="6"/>
      <c r="L4592" s="6"/>
      <c r="M4592" s="6"/>
      <c r="N4592" s="6"/>
      <c r="O4592" s="6"/>
      <c r="P4592" s="6"/>
      <c r="Q4592" s="6"/>
      <c r="R4592" s="6"/>
      <c r="S4592" s="6"/>
      <c r="T4592" s="6"/>
      <c r="U4592" s="6"/>
      <c r="V4592" s="6"/>
      <c r="W4592" s="6"/>
      <c r="X4592" s="6"/>
      <c r="Y4592" s="6"/>
      <c r="Z4592" s="6"/>
    </row>
    <row r="4593" customFormat="false" ht="15" hidden="false" customHeight="false" outlineLevel="0" collapsed="false">
      <c r="A4593" s="9" t="s">
        <v>10436</v>
      </c>
      <c r="B4593" s="9" t="s">
        <v>5870</v>
      </c>
      <c r="C4593" s="9" t="s">
        <v>4865</v>
      </c>
      <c r="D4593" s="9" t="s">
        <v>5871</v>
      </c>
      <c r="E4593" s="9" t="str">
        <f aca="false">IF(AND('Formation Ledger'!A4572&lt;&gt;"",'Formation Ledger'!V4572=0),"PASS","FAIL")</f>
        <v>PASS</v>
      </c>
      <c r="F4593" s="9" t="s">
        <v>76</v>
      </c>
      <c r="G4593" s="6"/>
      <c r="H4593" s="6"/>
      <c r="I4593" s="6"/>
      <c r="J4593" s="6"/>
      <c r="K4593" s="6"/>
      <c r="L4593" s="6"/>
      <c r="M4593" s="6"/>
      <c r="N4593" s="6"/>
      <c r="O4593" s="6"/>
      <c r="P4593" s="6"/>
      <c r="Q4593" s="6"/>
      <c r="R4593" s="6"/>
      <c r="S4593" s="6"/>
      <c r="T4593" s="6"/>
      <c r="U4593" s="6"/>
      <c r="V4593" s="6"/>
      <c r="W4593" s="6"/>
      <c r="X4593" s="6"/>
      <c r="Y4593" s="6"/>
      <c r="Z4593" s="6"/>
    </row>
    <row r="4594" customFormat="false" ht="15" hidden="false" customHeight="false" outlineLevel="0" collapsed="false">
      <c r="A4594" s="9" t="s">
        <v>10437</v>
      </c>
      <c r="B4594" s="9" t="s">
        <v>5870</v>
      </c>
      <c r="C4594" s="9" t="s">
        <v>4866</v>
      </c>
      <c r="D4594" s="9" t="s">
        <v>5871</v>
      </c>
      <c r="E4594" s="9" t="str">
        <f aca="false">IF(AND('Formation Ledger'!A4573&lt;&gt;"",'Formation Ledger'!V4573=0),"PASS","FAIL")</f>
        <v>PASS</v>
      </c>
      <c r="F4594" s="9" t="s">
        <v>76</v>
      </c>
      <c r="G4594" s="6"/>
      <c r="H4594" s="6"/>
      <c r="I4594" s="6"/>
      <c r="J4594" s="6"/>
      <c r="K4594" s="6"/>
      <c r="L4594" s="6"/>
      <c r="M4594" s="6"/>
      <c r="N4594" s="6"/>
      <c r="O4594" s="6"/>
      <c r="P4594" s="6"/>
      <c r="Q4594" s="6"/>
      <c r="R4594" s="6"/>
      <c r="S4594" s="6"/>
      <c r="T4594" s="6"/>
      <c r="U4594" s="6"/>
      <c r="V4594" s="6"/>
      <c r="W4594" s="6"/>
      <c r="X4594" s="6"/>
      <c r="Y4594" s="6"/>
      <c r="Z4594" s="6"/>
    </row>
    <row r="4595" customFormat="false" ht="15" hidden="false" customHeight="false" outlineLevel="0" collapsed="false">
      <c r="A4595" s="9" t="s">
        <v>10438</v>
      </c>
      <c r="B4595" s="9" t="s">
        <v>5870</v>
      </c>
      <c r="C4595" s="9" t="s">
        <v>4867</v>
      </c>
      <c r="D4595" s="9" t="s">
        <v>5871</v>
      </c>
      <c r="E4595" s="9" t="str">
        <f aca="false">IF(AND('Formation Ledger'!A4574&lt;&gt;"",'Formation Ledger'!V4574=0),"PASS","FAIL")</f>
        <v>PASS</v>
      </c>
      <c r="F4595" s="9" t="s">
        <v>76</v>
      </c>
      <c r="G4595" s="6"/>
      <c r="H4595" s="6"/>
      <c r="I4595" s="6"/>
      <c r="J4595" s="6"/>
      <c r="K4595" s="6"/>
      <c r="L4595" s="6"/>
      <c r="M4595" s="6"/>
      <c r="N4595" s="6"/>
      <c r="O4595" s="6"/>
      <c r="P4595" s="6"/>
      <c r="Q4595" s="6"/>
      <c r="R4595" s="6"/>
      <c r="S4595" s="6"/>
      <c r="T4595" s="6"/>
      <c r="U4595" s="6"/>
      <c r="V4595" s="6"/>
      <c r="W4595" s="6"/>
      <c r="X4595" s="6"/>
      <c r="Y4595" s="6"/>
      <c r="Z4595" s="6"/>
    </row>
    <row r="4596" customFormat="false" ht="15" hidden="false" customHeight="false" outlineLevel="0" collapsed="false">
      <c r="A4596" s="9" t="s">
        <v>10439</v>
      </c>
      <c r="B4596" s="9" t="s">
        <v>5870</v>
      </c>
      <c r="C4596" s="9" t="s">
        <v>4868</v>
      </c>
      <c r="D4596" s="9" t="s">
        <v>5871</v>
      </c>
      <c r="E4596" s="9" t="str">
        <f aca="false">IF(AND('Formation Ledger'!A4575&lt;&gt;"",'Formation Ledger'!V4575=0),"PASS","FAIL")</f>
        <v>PASS</v>
      </c>
      <c r="F4596" s="9" t="s">
        <v>76</v>
      </c>
      <c r="G4596" s="6"/>
      <c r="H4596" s="6"/>
      <c r="I4596" s="6"/>
      <c r="J4596" s="6"/>
      <c r="K4596" s="6"/>
      <c r="L4596" s="6"/>
      <c r="M4596" s="6"/>
      <c r="N4596" s="6"/>
      <c r="O4596" s="6"/>
      <c r="P4596" s="6"/>
      <c r="Q4596" s="6"/>
      <c r="R4596" s="6"/>
      <c r="S4596" s="6"/>
      <c r="T4596" s="6"/>
      <c r="U4596" s="6"/>
      <c r="V4596" s="6"/>
      <c r="W4596" s="6"/>
      <c r="X4596" s="6"/>
      <c r="Y4596" s="6"/>
      <c r="Z4596" s="6"/>
    </row>
    <row r="4597" customFormat="false" ht="15" hidden="false" customHeight="false" outlineLevel="0" collapsed="false">
      <c r="A4597" s="9" t="s">
        <v>10440</v>
      </c>
      <c r="B4597" s="9" t="s">
        <v>5870</v>
      </c>
      <c r="C4597" s="9" t="s">
        <v>4869</v>
      </c>
      <c r="D4597" s="9" t="s">
        <v>5871</v>
      </c>
      <c r="E4597" s="9" t="str">
        <f aca="false">IF(AND('Formation Ledger'!A4576&lt;&gt;"",'Formation Ledger'!V4576=0),"PASS","FAIL")</f>
        <v>PASS</v>
      </c>
      <c r="F4597" s="9" t="s">
        <v>76</v>
      </c>
      <c r="G4597" s="6"/>
      <c r="H4597" s="6"/>
      <c r="I4597" s="6"/>
      <c r="J4597" s="6"/>
      <c r="K4597" s="6"/>
      <c r="L4597" s="6"/>
      <c r="M4597" s="6"/>
      <c r="N4597" s="6"/>
      <c r="O4597" s="6"/>
      <c r="P4597" s="6"/>
      <c r="Q4597" s="6"/>
      <c r="R4597" s="6"/>
      <c r="S4597" s="6"/>
      <c r="T4597" s="6"/>
      <c r="U4597" s="6"/>
      <c r="V4597" s="6"/>
      <c r="W4597" s="6"/>
      <c r="X4597" s="6"/>
      <c r="Y4597" s="6"/>
      <c r="Z4597" s="6"/>
    </row>
    <row r="4598" customFormat="false" ht="15" hidden="false" customHeight="false" outlineLevel="0" collapsed="false">
      <c r="A4598" s="9" t="s">
        <v>10441</v>
      </c>
      <c r="B4598" s="9" t="s">
        <v>5870</v>
      </c>
      <c r="C4598" s="9" t="s">
        <v>4870</v>
      </c>
      <c r="D4598" s="9" t="s">
        <v>5871</v>
      </c>
      <c r="E4598" s="9" t="str">
        <f aca="false">IF(AND('Formation Ledger'!A4577&lt;&gt;"",'Formation Ledger'!V4577=0),"PASS","FAIL")</f>
        <v>PASS</v>
      </c>
      <c r="F4598" s="9" t="s">
        <v>76</v>
      </c>
      <c r="G4598" s="6"/>
      <c r="H4598" s="6"/>
      <c r="I4598" s="6"/>
      <c r="J4598" s="6"/>
      <c r="K4598" s="6"/>
      <c r="L4598" s="6"/>
      <c r="M4598" s="6"/>
      <c r="N4598" s="6"/>
      <c r="O4598" s="6"/>
      <c r="P4598" s="6"/>
      <c r="Q4598" s="6"/>
      <c r="R4598" s="6"/>
      <c r="S4598" s="6"/>
      <c r="T4598" s="6"/>
      <c r="U4598" s="6"/>
      <c r="V4598" s="6"/>
      <c r="W4598" s="6"/>
      <c r="X4598" s="6"/>
      <c r="Y4598" s="6"/>
      <c r="Z4598" s="6"/>
    </row>
    <row r="4599" customFormat="false" ht="15" hidden="false" customHeight="false" outlineLevel="0" collapsed="false">
      <c r="A4599" s="9" t="s">
        <v>10442</v>
      </c>
      <c r="B4599" s="9" t="s">
        <v>5870</v>
      </c>
      <c r="C4599" s="9" t="s">
        <v>4871</v>
      </c>
      <c r="D4599" s="9" t="s">
        <v>5871</v>
      </c>
      <c r="E4599" s="9" t="str">
        <f aca="false">IF(AND('Formation Ledger'!A4578&lt;&gt;"",'Formation Ledger'!V4578=0),"PASS","FAIL")</f>
        <v>PASS</v>
      </c>
      <c r="F4599" s="9" t="s">
        <v>76</v>
      </c>
      <c r="G4599" s="6"/>
      <c r="H4599" s="6"/>
      <c r="I4599" s="6"/>
      <c r="J4599" s="6"/>
      <c r="K4599" s="6"/>
      <c r="L4599" s="6"/>
      <c r="M4599" s="6"/>
      <c r="N4599" s="6"/>
      <c r="O4599" s="6"/>
      <c r="P4599" s="6"/>
      <c r="Q4599" s="6"/>
      <c r="R4599" s="6"/>
      <c r="S4599" s="6"/>
      <c r="T4599" s="6"/>
      <c r="U4599" s="6"/>
      <c r="V4599" s="6"/>
      <c r="W4599" s="6"/>
      <c r="X4599" s="6"/>
      <c r="Y4599" s="6"/>
      <c r="Z4599" s="6"/>
    </row>
    <row r="4600" customFormat="false" ht="15" hidden="false" customHeight="false" outlineLevel="0" collapsed="false">
      <c r="A4600" s="9" t="s">
        <v>10443</v>
      </c>
      <c r="B4600" s="9" t="s">
        <v>5870</v>
      </c>
      <c r="C4600" s="9" t="s">
        <v>4872</v>
      </c>
      <c r="D4600" s="9" t="s">
        <v>5871</v>
      </c>
      <c r="E4600" s="9" t="str">
        <f aca="false">IF(AND('Formation Ledger'!A4579&lt;&gt;"",'Formation Ledger'!V4579=0),"PASS","FAIL")</f>
        <v>PASS</v>
      </c>
      <c r="F4600" s="9" t="s">
        <v>76</v>
      </c>
      <c r="G4600" s="6"/>
      <c r="H4600" s="6"/>
      <c r="I4600" s="6"/>
      <c r="J4600" s="6"/>
      <c r="K4600" s="6"/>
      <c r="L4600" s="6"/>
      <c r="M4600" s="6"/>
      <c r="N4600" s="6"/>
      <c r="O4600" s="6"/>
      <c r="P4600" s="6"/>
      <c r="Q4600" s="6"/>
      <c r="R4600" s="6"/>
      <c r="S4600" s="6"/>
      <c r="T4600" s="6"/>
      <c r="U4600" s="6"/>
      <c r="V4600" s="6"/>
      <c r="W4600" s="6"/>
      <c r="X4600" s="6"/>
      <c r="Y4600" s="6"/>
      <c r="Z4600" s="6"/>
    </row>
    <row r="4601" customFormat="false" ht="15" hidden="false" customHeight="false" outlineLevel="0" collapsed="false">
      <c r="A4601" s="9" t="s">
        <v>10444</v>
      </c>
      <c r="B4601" s="9" t="s">
        <v>5870</v>
      </c>
      <c r="C4601" s="9" t="s">
        <v>4873</v>
      </c>
      <c r="D4601" s="9" t="s">
        <v>5871</v>
      </c>
      <c r="E4601" s="9" t="str">
        <f aca="false">IF(AND('Formation Ledger'!A4580&lt;&gt;"",'Formation Ledger'!V4580=0),"PASS","FAIL")</f>
        <v>PASS</v>
      </c>
      <c r="F4601" s="9" t="s">
        <v>76</v>
      </c>
      <c r="G4601" s="6"/>
      <c r="H4601" s="6"/>
      <c r="I4601" s="6"/>
      <c r="J4601" s="6"/>
      <c r="K4601" s="6"/>
      <c r="L4601" s="6"/>
      <c r="M4601" s="6"/>
      <c r="N4601" s="6"/>
      <c r="O4601" s="6"/>
      <c r="P4601" s="6"/>
      <c r="Q4601" s="6"/>
      <c r="R4601" s="6"/>
      <c r="S4601" s="6"/>
      <c r="T4601" s="6"/>
      <c r="U4601" s="6"/>
      <c r="V4601" s="6"/>
      <c r="W4601" s="6"/>
      <c r="X4601" s="6"/>
      <c r="Y4601" s="6"/>
      <c r="Z4601" s="6"/>
    </row>
    <row r="4602" customFormat="false" ht="15" hidden="false" customHeight="false" outlineLevel="0" collapsed="false">
      <c r="A4602" s="9" t="s">
        <v>10445</v>
      </c>
      <c r="B4602" s="9" t="s">
        <v>5870</v>
      </c>
      <c r="C4602" s="9" t="s">
        <v>4874</v>
      </c>
      <c r="D4602" s="9" t="s">
        <v>5871</v>
      </c>
      <c r="E4602" s="9" t="str">
        <f aca="false">IF(AND('Formation Ledger'!A4581&lt;&gt;"",'Formation Ledger'!V4581=0),"PASS","FAIL")</f>
        <v>PASS</v>
      </c>
      <c r="F4602" s="9" t="s">
        <v>76</v>
      </c>
      <c r="G4602" s="6"/>
      <c r="H4602" s="6"/>
      <c r="I4602" s="6"/>
      <c r="J4602" s="6"/>
      <c r="K4602" s="6"/>
      <c r="L4602" s="6"/>
      <c r="M4602" s="6"/>
      <c r="N4602" s="6"/>
      <c r="O4602" s="6"/>
      <c r="P4602" s="6"/>
      <c r="Q4602" s="6"/>
      <c r="R4602" s="6"/>
      <c r="S4602" s="6"/>
      <c r="T4602" s="6"/>
      <c r="U4602" s="6"/>
      <c r="V4602" s="6"/>
      <c r="W4602" s="6"/>
      <c r="X4602" s="6"/>
      <c r="Y4602" s="6"/>
      <c r="Z4602" s="6"/>
    </row>
    <row r="4603" customFormat="false" ht="15" hidden="false" customHeight="false" outlineLevel="0" collapsed="false">
      <c r="A4603" s="9" t="s">
        <v>10446</v>
      </c>
      <c r="B4603" s="9" t="s">
        <v>5870</v>
      </c>
      <c r="C4603" s="9" t="s">
        <v>4875</v>
      </c>
      <c r="D4603" s="9" t="s">
        <v>5871</v>
      </c>
      <c r="E4603" s="9" t="str">
        <f aca="false">IF(AND('Formation Ledger'!A4582&lt;&gt;"",'Formation Ledger'!V4582=0),"PASS","FAIL")</f>
        <v>PASS</v>
      </c>
      <c r="F4603" s="9" t="s">
        <v>76</v>
      </c>
      <c r="G4603" s="6"/>
      <c r="H4603" s="6"/>
      <c r="I4603" s="6"/>
      <c r="J4603" s="6"/>
      <c r="K4603" s="6"/>
      <c r="L4603" s="6"/>
      <c r="M4603" s="6"/>
      <c r="N4603" s="6"/>
      <c r="O4603" s="6"/>
      <c r="P4603" s="6"/>
      <c r="Q4603" s="6"/>
      <c r="R4603" s="6"/>
      <c r="S4603" s="6"/>
      <c r="T4603" s="6"/>
      <c r="U4603" s="6"/>
      <c r="V4603" s="6"/>
      <c r="W4603" s="6"/>
      <c r="X4603" s="6"/>
      <c r="Y4603" s="6"/>
      <c r="Z4603" s="6"/>
    </row>
    <row r="4604" customFormat="false" ht="15" hidden="false" customHeight="false" outlineLevel="0" collapsed="false">
      <c r="A4604" s="9" t="s">
        <v>10447</v>
      </c>
      <c r="B4604" s="9" t="s">
        <v>5870</v>
      </c>
      <c r="C4604" s="9" t="s">
        <v>4876</v>
      </c>
      <c r="D4604" s="9" t="s">
        <v>5871</v>
      </c>
      <c r="E4604" s="9" t="str">
        <f aca="false">IF(AND('Formation Ledger'!A4583&lt;&gt;"",'Formation Ledger'!V4583=0),"PASS","FAIL")</f>
        <v>PASS</v>
      </c>
      <c r="F4604" s="9" t="s">
        <v>76</v>
      </c>
      <c r="G4604" s="6"/>
      <c r="H4604" s="6"/>
      <c r="I4604" s="6"/>
      <c r="J4604" s="6"/>
      <c r="K4604" s="6"/>
      <c r="L4604" s="6"/>
      <c r="M4604" s="6"/>
      <c r="N4604" s="6"/>
      <c r="O4604" s="6"/>
      <c r="P4604" s="6"/>
      <c r="Q4604" s="6"/>
      <c r="R4604" s="6"/>
      <c r="S4604" s="6"/>
      <c r="T4604" s="6"/>
      <c r="U4604" s="6"/>
      <c r="V4604" s="6"/>
      <c r="W4604" s="6"/>
      <c r="X4604" s="6"/>
      <c r="Y4604" s="6"/>
      <c r="Z4604" s="6"/>
    </row>
    <row r="4605" customFormat="false" ht="15" hidden="false" customHeight="false" outlineLevel="0" collapsed="false">
      <c r="A4605" s="9" t="s">
        <v>10448</v>
      </c>
      <c r="B4605" s="9" t="s">
        <v>5870</v>
      </c>
      <c r="C4605" s="9" t="s">
        <v>4877</v>
      </c>
      <c r="D4605" s="9" t="s">
        <v>5871</v>
      </c>
      <c r="E4605" s="9" t="str">
        <f aca="false">IF(AND('Formation Ledger'!A4584&lt;&gt;"",'Formation Ledger'!V4584=0),"PASS","FAIL")</f>
        <v>PASS</v>
      </c>
      <c r="F4605" s="9" t="s">
        <v>76</v>
      </c>
      <c r="G4605" s="6"/>
      <c r="H4605" s="6"/>
      <c r="I4605" s="6"/>
      <c r="J4605" s="6"/>
      <c r="K4605" s="6"/>
      <c r="L4605" s="6"/>
      <c r="M4605" s="6"/>
      <c r="N4605" s="6"/>
      <c r="O4605" s="6"/>
      <c r="P4605" s="6"/>
      <c r="Q4605" s="6"/>
      <c r="R4605" s="6"/>
      <c r="S4605" s="6"/>
      <c r="T4605" s="6"/>
      <c r="U4605" s="6"/>
      <c r="V4605" s="6"/>
      <c r="W4605" s="6"/>
      <c r="X4605" s="6"/>
      <c r="Y4605" s="6"/>
      <c r="Z4605" s="6"/>
    </row>
    <row r="4606" customFormat="false" ht="15" hidden="false" customHeight="false" outlineLevel="0" collapsed="false">
      <c r="A4606" s="9" t="s">
        <v>10449</v>
      </c>
      <c r="B4606" s="9" t="s">
        <v>5870</v>
      </c>
      <c r="C4606" s="9" t="s">
        <v>4878</v>
      </c>
      <c r="D4606" s="9" t="s">
        <v>5871</v>
      </c>
      <c r="E4606" s="9" t="str">
        <f aca="false">IF(AND('Formation Ledger'!A4585&lt;&gt;"",'Formation Ledger'!V4585=0),"PASS","FAIL")</f>
        <v>PASS</v>
      </c>
      <c r="F4606" s="9" t="s">
        <v>76</v>
      </c>
      <c r="G4606" s="6"/>
      <c r="H4606" s="6"/>
      <c r="I4606" s="6"/>
      <c r="J4606" s="6"/>
      <c r="K4606" s="6"/>
      <c r="L4606" s="6"/>
      <c r="M4606" s="6"/>
      <c r="N4606" s="6"/>
      <c r="O4606" s="6"/>
      <c r="P4606" s="6"/>
      <c r="Q4606" s="6"/>
      <c r="R4606" s="6"/>
      <c r="S4606" s="6"/>
      <c r="T4606" s="6"/>
      <c r="U4606" s="6"/>
      <c r="V4606" s="6"/>
      <c r="W4606" s="6"/>
      <c r="X4606" s="6"/>
      <c r="Y4606" s="6"/>
      <c r="Z4606" s="6"/>
    </row>
    <row r="4607" customFormat="false" ht="15" hidden="false" customHeight="false" outlineLevel="0" collapsed="false">
      <c r="A4607" s="9" t="s">
        <v>10450</v>
      </c>
      <c r="B4607" s="9" t="s">
        <v>5870</v>
      </c>
      <c r="C4607" s="9" t="s">
        <v>4879</v>
      </c>
      <c r="D4607" s="9" t="s">
        <v>5871</v>
      </c>
      <c r="E4607" s="9" t="str">
        <f aca="false">IF(AND('Formation Ledger'!A4586&lt;&gt;"",'Formation Ledger'!V4586=0),"PASS","FAIL")</f>
        <v>PASS</v>
      </c>
      <c r="F4607" s="9" t="s">
        <v>76</v>
      </c>
      <c r="G4607" s="6"/>
      <c r="H4607" s="6"/>
      <c r="I4607" s="6"/>
      <c r="J4607" s="6"/>
      <c r="K4607" s="6"/>
      <c r="L4607" s="6"/>
      <c r="M4607" s="6"/>
      <c r="N4607" s="6"/>
      <c r="O4607" s="6"/>
      <c r="P4607" s="6"/>
      <c r="Q4607" s="6"/>
      <c r="R4607" s="6"/>
      <c r="S4607" s="6"/>
      <c r="T4607" s="6"/>
      <c r="U4607" s="6"/>
      <c r="V4607" s="6"/>
      <c r="W4607" s="6"/>
      <c r="X4607" s="6"/>
      <c r="Y4607" s="6"/>
      <c r="Z4607" s="6"/>
    </row>
    <row r="4608" customFormat="false" ht="15" hidden="false" customHeight="false" outlineLevel="0" collapsed="false">
      <c r="A4608" s="9" t="s">
        <v>10451</v>
      </c>
      <c r="B4608" s="9" t="s">
        <v>5870</v>
      </c>
      <c r="C4608" s="9" t="s">
        <v>4880</v>
      </c>
      <c r="D4608" s="9" t="s">
        <v>5871</v>
      </c>
      <c r="E4608" s="9" t="str">
        <f aca="false">IF(AND('Formation Ledger'!A4587&lt;&gt;"",'Formation Ledger'!V4587=0),"PASS","FAIL")</f>
        <v>PASS</v>
      </c>
      <c r="F4608" s="9" t="s">
        <v>76</v>
      </c>
      <c r="G4608" s="6"/>
      <c r="H4608" s="6"/>
      <c r="I4608" s="6"/>
      <c r="J4608" s="6"/>
      <c r="K4608" s="6"/>
      <c r="L4608" s="6"/>
      <c r="M4608" s="6"/>
      <c r="N4608" s="6"/>
      <c r="O4608" s="6"/>
      <c r="P4608" s="6"/>
      <c r="Q4608" s="6"/>
      <c r="R4608" s="6"/>
      <c r="S4608" s="6"/>
      <c r="T4608" s="6"/>
      <c r="U4608" s="6"/>
      <c r="V4608" s="6"/>
      <c r="W4608" s="6"/>
      <c r="X4608" s="6"/>
      <c r="Y4608" s="6"/>
      <c r="Z4608" s="6"/>
    </row>
    <row r="4609" customFormat="false" ht="15" hidden="false" customHeight="false" outlineLevel="0" collapsed="false">
      <c r="A4609" s="9" t="s">
        <v>10452</v>
      </c>
      <c r="B4609" s="9" t="s">
        <v>5870</v>
      </c>
      <c r="C4609" s="9" t="s">
        <v>4881</v>
      </c>
      <c r="D4609" s="9" t="s">
        <v>5871</v>
      </c>
      <c r="E4609" s="9" t="str">
        <f aca="false">IF(AND('Formation Ledger'!A4588&lt;&gt;"",'Formation Ledger'!V4588=0),"PASS","FAIL")</f>
        <v>PASS</v>
      </c>
      <c r="F4609" s="9" t="s">
        <v>76</v>
      </c>
      <c r="G4609" s="6"/>
      <c r="H4609" s="6"/>
      <c r="I4609" s="6"/>
      <c r="J4609" s="6"/>
      <c r="K4609" s="6"/>
      <c r="L4609" s="6"/>
      <c r="M4609" s="6"/>
      <c r="N4609" s="6"/>
      <c r="O4609" s="6"/>
      <c r="P4609" s="6"/>
      <c r="Q4609" s="6"/>
      <c r="R4609" s="6"/>
      <c r="S4609" s="6"/>
      <c r="T4609" s="6"/>
      <c r="U4609" s="6"/>
      <c r="V4609" s="6"/>
      <c r="W4609" s="6"/>
      <c r="X4609" s="6"/>
      <c r="Y4609" s="6"/>
      <c r="Z4609" s="6"/>
    </row>
    <row r="4610" customFormat="false" ht="15" hidden="false" customHeight="false" outlineLevel="0" collapsed="false">
      <c r="A4610" s="9" t="s">
        <v>10453</v>
      </c>
      <c r="B4610" s="9" t="s">
        <v>5870</v>
      </c>
      <c r="C4610" s="9" t="s">
        <v>4882</v>
      </c>
      <c r="D4610" s="9" t="s">
        <v>5871</v>
      </c>
      <c r="E4610" s="9" t="str">
        <f aca="false">IF(AND('Formation Ledger'!A4589&lt;&gt;"",'Formation Ledger'!V4589=0),"PASS","FAIL")</f>
        <v>PASS</v>
      </c>
      <c r="F4610" s="9" t="s">
        <v>76</v>
      </c>
      <c r="G4610" s="6"/>
      <c r="H4610" s="6"/>
      <c r="I4610" s="6"/>
      <c r="J4610" s="6"/>
      <c r="K4610" s="6"/>
      <c r="L4610" s="6"/>
      <c r="M4610" s="6"/>
      <c r="N4610" s="6"/>
      <c r="O4610" s="6"/>
      <c r="P4610" s="6"/>
      <c r="Q4610" s="6"/>
      <c r="R4610" s="6"/>
      <c r="S4610" s="6"/>
      <c r="T4610" s="6"/>
      <c r="U4610" s="6"/>
      <c r="V4610" s="6"/>
      <c r="W4610" s="6"/>
      <c r="X4610" s="6"/>
      <c r="Y4610" s="6"/>
      <c r="Z4610" s="6"/>
    </row>
    <row r="4611" customFormat="false" ht="15" hidden="false" customHeight="false" outlineLevel="0" collapsed="false">
      <c r="A4611" s="9" t="s">
        <v>10454</v>
      </c>
      <c r="B4611" s="9" t="s">
        <v>5870</v>
      </c>
      <c r="C4611" s="9" t="s">
        <v>4883</v>
      </c>
      <c r="D4611" s="9" t="s">
        <v>5871</v>
      </c>
      <c r="E4611" s="9" t="str">
        <f aca="false">IF(AND('Formation Ledger'!A4590&lt;&gt;"",'Formation Ledger'!V4590=0),"PASS","FAIL")</f>
        <v>PASS</v>
      </c>
      <c r="F4611" s="9" t="s">
        <v>76</v>
      </c>
      <c r="G4611" s="6"/>
      <c r="H4611" s="6"/>
      <c r="I4611" s="6"/>
      <c r="J4611" s="6"/>
      <c r="K4611" s="6"/>
      <c r="L4611" s="6"/>
      <c r="M4611" s="6"/>
      <c r="N4611" s="6"/>
      <c r="O4611" s="6"/>
      <c r="P4611" s="6"/>
      <c r="Q4611" s="6"/>
      <c r="R4611" s="6"/>
      <c r="S4611" s="6"/>
      <c r="T4611" s="6"/>
      <c r="U4611" s="6"/>
      <c r="V4611" s="6"/>
      <c r="W4611" s="6"/>
      <c r="X4611" s="6"/>
      <c r="Y4611" s="6"/>
      <c r="Z4611" s="6"/>
    </row>
    <row r="4612" customFormat="false" ht="15" hidden="false" customHeight="false" outlineLevel="0" collapsed="false">
      <c r="A4612" s="9" t="s">
        <v>10455</v>
      </c>
      <c r="B4612" s="9" t="s">
        <v>5870</v>
      </c>
      <c r="C4612" s="9" t="s">
        <v>4884</v>
      </c>
      <c r="D4612" s="9" t="s">
        <v>5871</v>
      </c>
      <c r="E4612" s="9" t="str">
        <f aca="false">IF(AND('Formation Ledger'!A4591&lt;&gt;"",'Formation Ledger'!V4591=0),"PASS","FAIL")</f>
        <v>PASS</v>
      </c>
      <c r="F4612" s="9" t="s">
        <v>76</v>
      </c>
      <c r="G4612" s="6"/>
      <c r="H4612" s="6"/>
      <c r="I4612" s="6"/>
      <c r="J4612" s="6"/>
      <c r="K4612" s="6"/>
      <c r="L4612" s="6"/>
      <c r="M4612" s="6"/>
      <c r="N4612" s="6"/>
      <c r="O4612" s="6"/>
      <c r="P4612" s="6"/>
      <c r="Q4612" s="6"/>
      <c r="R4612" s="6"/>
      <c r="S4612" s="6"/>
      <c r="T4612" s="6"/>
      <c r="U4612" s="6"/>
      <c r="V4612" s="6"/>
      <c r="W4612" s="6"/>
      <c r="X4612" s="6"/>
      <c r="Y4612" s="6"/>
      <c r="Z4612" s="6"/>
    </row>
    <row r="4613" customFormat="false" ht="15" hidden="false" customHeight="false" outlineLevel="0" collapsed="false">
      <c r="A4613" s="9" t="s">
        <v>10456</v>
      </c>
      <c r="B4613" s="9" t="s">
        <v>5870</v>
      </c>
      <c r="C4613" s="9" t="s">
        <v>4885</v>
      </c>
      <c r="D4613" s="9" t="s">
        <v>5871</v>
      </c>
      <c r="E4613" s="9" t="str">
        <f aca="false">IF(AND('Formation Ledger'!A4592&lt;&gt;"",'Formation Ledger'!V4592=0),"PASS","FAIL")</f>
        <v>PASS</v>
      </c>
      <c r="F4613" s="9" t="s">
        <v>76</v>
      </c>
      <c r="G4613" s="6"/>
      <c r="H4613" s="6"/>
      <c r="I4613" s="6"/>
      <c r="J4613" s="6"/>
      <c r="K4613" s="6"/>
      <c r="L4613" s="6"/>
      <c r="M4613" s="6"/>
      <c r="N4613" s="6"/>
      <c r="O4613" s="6"/>
      <c r="P4613" s="6"/>
      <c r="Q4613" s="6"/>
      <c r="R4613" s="6"/>
      <c r="S4613" s="6"/>
      <c r="T4613" s="6"/>
      <c r="U4613" s="6"/>
      <c r="V4613" s="6"/>
      <c r="W4613" s="6"/>
      <c r="X4613" s="6"/>
      <c r="Y4613" s="6"/>
      <c r="Z4613" s="6"/>
    </row>
    <row r="4614" customFormat="false" ht="15" hidden="false" customHeight="false" outlineLevel="0" collapsed="false">
      <c r="A4614" s="9" t="s">
        <v>10457</v>
      </c>
      <c r="B4614" s="9" t="s">
        <v>5870</v>
      </c>
      <c r="C4614" s="9" t="s">
        <v>4886</v>
      </c>
      <c r="D4614" s="9" t="s">
        <v>5871</v>
      </c>
      <c r="E4614" s="9" t="str">
        <f aca="false">IF(AND('Formation Ledger'!A4593&lt;&gt;"",'Formation Ledger'!V4593=0),"PASS","FAIL")</f>
        <v>PASS</v>
      </c>
      <c r="F4614" s="9" t="s">
        <v>76</v>
      </c>
      <c r="G4614" s="6"/>
      <c r="H4614" s="6"/>
      <c r="I4614" s="6"/>
      <c r="J4614" s="6"/>
      <c r="K4614" s="6"/>
      <c r="L4614" s="6"/>
      <c r="M4614" s="6"/>
      <c r="N4614" s="6"/>
      <c r="O4614" s="6"/>
      <c r="P4614" s="6"/>
      <c r="Q4614" s="6"/>
      <c r="R4614" s="6"/>
      <c r="S4614" s="6"/>
      <c r="T4614" s="6"/>
      <c r="U4614" s="6"/>
      <c r="V4614" s="6"/>
      <c r="W4614" s="6"/>
      <c r="X4614" s="6"/>
      <c r="Y4614" s="6"/>
      <c r="Z4614" s="6"/>
    </row>
    <row r="4615" customFormat="false" ht="15" hidden="false" customHeight="false" outlineLevel="0" collapsed="false">
      <c r="A4615" s="9" t="s">
        <v>10458</v>
      </c>
      <c r="B4615" s="9" t="s">
        <v>5870</v>
      </c>
      <c r="C4615" s="9" t="s">
        <v>4887</v>
      </c>
      <c r="D4615" s="9" t="s">
        <v>5871</v>
      </c>
      <c r="E4615" s="9" t="str">
        <f aca="false">IF(AND('Formation Ledger'!A4594&lt;&gt;"",'Formation Ledger'!V4594=0),"PASS","FAIL")</f>
        <v>PASS</v>
      </c>
      <c r="F4615" s="9" t="s">
        <v>76</v>
      </c>
      <c r="G4615" s="6"/>
      <c r="H4615" s="6"/>
      <c r="I4615" s="6"/>
      <c r="J4615" s="6"/>
      <c r="K4615" s="6"/>
      <c r="L4615" s="6"/>
      <c r="M4615" s="6"/>
      <c r="N4615" s="6"/>
      <c r="O4615" s="6"/>
      <c r="P4615" s="6"/>
      <c r="Q4615" s="6"/>
      <c r="R4615" s="6"/>
      <c r="S4615" s="6"/>
      <c r="T4615" s="6"/>
      <c r="U4615" s="6"/>
      <c r="V4615" s="6"/>
      <c r="W4615" s="6"/>
      <c r="X4615" s="6"/>
      <c r="Y4615" s="6"/>
      <c r="Z4615" s="6"/>
    </row>
    <row r="4616" customFormat="false" ht="15" hidden="false" customHeight="false" outlineLevel="0" collapsed="false">
      <c r="A4616" s="9" t="s">
        <v>10459</v>
      </c>
      <c r="B4616" s="9" t="s">
        <v>5870</v>
      </c>
      <c r="C4616" s="9" t="s">
        <v>4888</v>
      </c>
      <c r="D4616" s="9" t="s">
        <v>5871</v>
      </c>
      <c r="E4616" s="9" t="str">
        <f aca="false">IF(AND('Formation Ledger'!A4595&lt;&gt;"",'Formation Ledger'!V4595=0),"PASS","FAIL")</f>
        <v>PASS</v>
      </c>
      <c r="F4616" s="9" t="s">
        <v>76</v>
      </c>
      <c r="G4616" s="6"/>
      <c r="H4616" s="6"/>
      <c r="I4616" s="6"/>
      <c r="J4616" s="6"/>
      <c r="K4616" s="6"/>
      <c r="L4616" s="6"/>
      <c r="M4616" s="6"/>
      <c r="N4616" s="6"/>
      <c r="O4616" s="6"/>
      <c r="P4616" s="6"/>
      <c r="Q4616" s="6"/>
      <c r="R4616" s="6"/>
      <c r="S4616" s="6"/>
      <c r="T4616" s="6"/>
      <c r="U4616" s="6"/>
      <c r="V4616" s="6"/>
      <c r="W4616" s="6"/>
      <c r="X4616" s="6"/>
      <c r="Y4616" s="6"/>
      <c r="Z4616" s="6"/>
    </row>
    <row r="4617" customFormat="false" ht="15" hidden="false" customHeight="false" outlineLevel="0" collapsed="false">
      <c r="A4617" s="9" t="s">
        <v>10460</v>
      </c>
      <c r="B4617" s="9" t="s">
        <v>5870</v>
      </c>
      <c r="C4617" s="9" t="s">
        <v>4889</v>
      </c>
      <c r="D4617" s="9" t="s">
        <v>5871</v>
      </c>
      <c r="E4617" s="9" t="str">
        <f aca="false">IF(AND('Formation Ledger'!A4596&lt;&gt;"",'Formation Ledger'!V4596=0),"PASS","FAIL")</f>
        <v>PASS</v>
      </c>
      <c r="F4617" s="9" t="s">
        <v>76</v>
      </c>
      <c r="G4617" s="6"/>
      <c r="H4617" s="6"/>
      <c r="I4617" s="6"/>
      <c r="J4617" s="6"/>
      <c r="K4617" s="6"/>
      <c r="L4617" s="6"/>
      <c r="M4617" s="6"/>
      <c r="N4617" s="6"/>
      <c r="O4617" s="6"/>
      <c r="P4617" s="6"/>
      <c r="Q4617" s="6"/>
      <c r="R4617" s="6"/>
      <c r="S4617" s="6"/>
      <c r="T4617" s="6"/>
      <c r="U4617" s="6"/>
      <c r="V4617" s="6"/>
      <c r="W4617" s="6"/>
      <c r="X4617" s="6"/>
      <c r="Y4617" s="6"/>
      <c r="Z4617" s="6"/>
    </row>
    <row r="4618" customFormat="false" ht="15" hidden="false" customHeight="false" outlineLevel="0" collapsed="false">
      <c r="A4618" s="9" t="s">
        <v>10461</v>
      </c>
      <c r="B4618" s="9" t="s">
        <v>5870</v>
      </c>
      <c r="C4618" s="9" t="s">
        <v>4890</v>
      </c>
      <c r="D4618" s="9" t="s">
        <v>5871</v>
      </c>
      <c r="E4618" s="9" t="str">
        <f aca="false">IF(AND('Formation Ledger'!A4597&lt;&gt;"",'Formation Ledger'!V4597=0),"PASS","FAIL")</f>
        <v>PASS</v>
      </c>
      <c r="F4618" s="9" t="s">
        <v>76</v>
      </c>
      <c r="G4618" s="6"/>
      <c r="H4618" s="6"/>
      <c r="I4618" s="6"/>
      <c r="J4618" s="6"/>
      <c r="K4618" s="6"/>
      <c r="L4618" s="6"/>
      <c r="M4618" s="6"/>
      <c r="N4618" s="6"/>
      <c r="O4618" s="6"/>
      <c r="P4618" s="6"/>
      <c r="Q4618" s="6"/>
      <c r="R4618" s="6"/>
      <c r="S4618" s="6"/>
      <c r="T4618" s="6"/>
      <c r="U4618" s="6"/>
      <c r="V4618" s="6"/>
      <c r="W4618" s="6"/>
      <c r="X4618" s="6"/>
      <c r="Y4618" s="6"/>
      <c r="Z4618" s="6"/>
    </row>
    <row r="4619" customFormat="false" ht="15" hidden="false" customHeight="false" outlineLevel="0" collapsed="false">
      <c r="A4619" s="9" t="s">
        <v>10462</v>
      </c>
      <c r="B4619" s="9" t="s">
        <v>5870</v>
      </c>
      <c r="C4619" s="9" t="s">
        <v>4891</v>
      </c>
      <c r="D4619" s="9" t="s">
        <v>5871</v>
      </c>
      <c r="E4619" s="9" t="str">
        <f aca="false">IF(AND('Formation Ledger'!A4598&lt;&gt;"",'Formation Ledger'!V4598=0),"PASS","FAIL")</f>
        <v>PASS</v>
      </c>
      <c r="F4619" s="9" t="s">
        <v>76</v>
      </c>
      <c r="G4619" s="6"/>
      <c r="H4619" s="6"/>
      <c r="I4619" s="6"/>
      <c r="J4619" s="6"/>
      <c r="K4619" s="6"/>
      <c r="L4619" s="6"/>
      <c r="M4619" s="6"/>
      <c r="N4619" s="6"/>
      <c r="O4619" s="6"/>
      <c r="P4619" s="6"/>
      <c r="Q4619" s="6"/>
      <c r="R4619" s="6"/>
      <c r="S4619" s="6"/>
      <c r="T4619" s="6"/>
      <c r="U4619" s="6"/>
      <c r="V4619" s="6"/>
      <c r="W4619" s="6"/>
      <c r="X4619" s="6"/>
      <c r="Y4619" s="6"/>
      <c r="Z4619" s="6"/>
    </row>
    <row r="4620" customFormat="false" ht="15" hidden="false" customHeight="false" outlineLevel="0" collapsed="false">
      <c r="A4620" s="9" t="s">
        <v>10463</v>
      </c>
      <c r="B4620" s="9" t="s">
        <v>5870</v>
      </c>
      <c r="C4620" s="9" t="s">
        <v>4894</v>
      </c>
      <c r="D4620" s="9" t="s">
        <v>5871</v>
      </c>
      <c r="E4620" s="9" t="str">
        <f aca="false">IF(AND('Formation Ledger'!A4599&lt;&gt;"",'Formation Ledger'!V4599=0),"PASS","FAIL")</f>
        <v>PASS</v>
      </c>
      <c r="F4620" s="9" t="s">
        <v>76</v>
      </c>
      <c r="G4620" s="6"/>
      <c r="H4620" s="6"/>
      <c r="I4620" s="6"/>
      <c r="J4620" s="6"/>
      <c r="K4620" s="6"/>
      <c r="L4620" s="6"/>
      <c r="M4620" s="6"/>
      <c r="N4620" s="6"/>
      <c r="O4620" s="6"/>
      <c r="P4620" s="6"/>
      <c r="Q4620" s="6"/>
      <c r="R4620" s="6"/>
      <c r="S4620" s="6"/>
      <c r="T4620" s="6"/>
      <c r="U4620" s="6"/>
      <c r="V4620" s="6"/>
      <c r="W4620" s="6"/>
      <c r="X4620" s="6"/>
      <c r="Y4620" s="6"/>
      <c r="Z4620" s="6"/>
    </row>
    <row r="4621" customFormat="false" ht="15" hidden="false" customHeight="false" outlineLevel="0" collapsed="false">
      <c r="A4621" s="9" t="s">
        <v>10464</v>
      </c>
      <c r="B4621" s="9" t="s">
        <v>5870</v>
      </c>
      <c r="C4621" s="9" t="s">
        <v>4895</v>
      </c>
      <c r="D4621" s="9" t="s">
        <v>5871</v>
      </c>
      <c r="E4621" s="9" t="str">
        <f aca="false">IF(AND('Formation Ledger'!A4600&lt;&gt;"",'Formation Ledger'!V4600=0),"PASS","FAIL")</f>
        <v>PASS</v>
      </c>
      <c r="F4621" s="9" t="s">
        <v>76</v>
      </c>
      <c r="G4621" s="6"/>
      <c r="H4621" s="6"/>
      <c r="I4621" s="6"/>
      <c r="J4621" s="6"/>
      <c r="K4621" s="6"/>
      <c r="L4621" s="6"/>
      <c r="M4621" s="6"/>
      <c r="N4621" s="6"/>
      <c r="O4621" s="6"/>
      <c r="P4621" s="6"/>
      <c r="Q4621" s="6"/>
      <c r="R4621" s="6"/>
      <c r="S4621" s="6"/>
      <c r="T4621" s="6"/>
      <c r="U4621" s="6"/>
      <c r="V4621" s="6"/>
      <c r="W4621" s="6"/>
      <c r="X4621" s="6"/>
      <c r="Y4621" s="6"/>
      <c r="Z4621" s="6"/>
    </row>
    <row r="4622" customFormat="false" ht="15" hidden="false" customHeight="false" outlineLevel="0" collapsed="false">
      <c r="A4622" s="9" t="s">
        <v>10465</v>
      </c>
      <c r="B4622" s="9" t="s">
        <v>5870</v>
      </c>
      <c r="C4622" s="9" t="s">
        <v>4896</v>
      </c>
      <c r="D4622" s="9" t="s">
        <v>5871</v>
      </c>
      <c r="E4622" s="9" t="str">
        <f aca="false">IF(AND('Formation Ledger'!A4601&lt;&gt;"",'Formation Ledger'!V4601=0),"PASS","FAIL")</f>
        <v>PASS</v>
      </c>
      <c r="F4622" s="9" t="s">
        <v>76</v>
      </c>
      <c r="G4622" s="6"/>
      <c r="H4622" s="6"/>
      <c r="I4622" s="6"/>
      <c r="J4622" s="6"/>
      <c r="K4622" s="6"/>
      <c r="L4622" s="6"/>
      <c r="M4622" s="6"/>
      <c r="N4622" s="6"/>
      <c r="O4622" s="6"/>
      <c r="P4622" s="6"/>
      <c r="Q4622" s="6"/>
      <c r="R4622" s="6"/>
      <c r="S4622" s="6"/>
      <c r="T4622" s="6"/>
      <c r="U4622" s="6"/>
      <c r="V4622" s="6"/>
      <c r="W4622" s="6"/>
      <c r="X4622" s="6"/>
      <c r="Y4622" s="6"/>
      <c r="Z4622" s="6"/>
    </row>
    <row r="4623" customFormat="false" ht="15" hidden="false" customHeight="false" outlineLevel="0" collapsed="false">
      <c r="A4623" s="9" t="s">
        <v>10466</v>
      </c>
      <c r="B4623" s="9" t="s">
        <v>5870</v>
      </c>
      <c r="C4623" s="9" t="s">
        <v>4897</v>
      </c>
      <c r="D4623" s="9" t="s">
        <v>5871</v>
      </c>
      <c r="E4623" s="9" t="str">
        <f aca="false">IF(AND('Formation Ledger'!A4602&lt;&gt;"",'Formation Ledger'!V4602=0),"PASS","FAIL")</f>
        <v>PASS</v>
      </c>
      <c r="F4623" s="9" t="s">
        <v>76</v>
      </c>
      <c r="G4623" s="6"/>
      <c r="H4623" s="6"/>
      <c r="I4623" s="6"/>
      <c r="J4623" s="6"/>
      <c r="K4623" s="6"/>
      <c r="L4623" s="6"/>
      <c r="M4623" s="6"/>
      <c r="N4623" s="6"/>
      <c r="O4623" s="6"/>
      <c r="P4623" s="6"/>
      <c r="Q4623" s="6"/>
      <c r="R4623" s="6"/>
      <c r="S4623" s="6"/>
      <c r="T4623" s="6"/>
      <c r="U4623" s="6"/>
      <c r="V4623" s="6"/>
      <c r="W4623" s="6"/>
      <c r="X4623" s="6"/>
      <c r="Y4623" s="6"/>
      <c r="Z4623" s="6"/>
    </row>
    <row r="4624" customFormat="false" ht="15" hidden="false" customHeight="false" outlineLevel="0" collapsed="false">
      <c r="A4624" s="9" t="s">
        <v>10467</v>
      </c>
      <c r="B4624" s="9" t="s">
        <v>5870</v>
      </c>
      <c r="C4624" s="9" t="s">
        <v>4898</v>
      </c>
      <c r="D4624" s="9" t="s">
        <v>5871</v>
      </c>
      <c r="E4624" s="9" t="str">
        <f aca="false">IF(AND('Formation Ledger'!A4603&lt;&gt;"",'Formation Ledger'!V4603=0),"PASS","FAIL")</f>
        <v>PASS</v>
      </c>
      <c r="F4624" s="9" t="s">
        <v>76</v>
      </c>
      <c r="G4624" s="6"/>
      <c r="H4624" s="6"/>
      <c r="I4624" s="6"/>
      <c r="J4624" s="6"/>
      <c r="K4624" s="6"/>
      <c r="L4624" s="6"/>
      <c r="M4624" s="6"/>
      <c r="N4624" s="6"/>
      <c r="O4624" s="6"/>
      <c r="P4624" s="6"/>
      <c r="Q4624" s="6"/>
      <c r="R4624" s="6"/>
      <c r="S4624" s="6"/>
      <c r="T4624" s="6"/>
      <c r="U4624" s="6"/>
      <c r="V4624" s="6"/>
      <c r="W4624" s="6"/>
      <c r="X4624" s="6"/>
      <c r="Y4624" s="6"/>
      <c r="Z4624" s="6"/>
    </row>
    <row r="4625" customFormat="false" ht="15" hidden="false" customHeight="false" outlineLevel="0" collapsed="false">
      <c r="A4625" s="9" t="s">
        <v>10468</v>
      </c>
      <c r="B4625" s="9" t="s">
        <v>5870</v>
      </c>
      <c r="C4625" s="9" t="s">
        <v>4899</v>
      </c>
      <c r="D4625" s="9" t="s">
        <v>5871</v>
      </c>
      <c r="E4625" s="9" t="str">
        <f aca="false">IF(AND('Formation Ledger'!A4604&lt;&gt;"",'Formation Ledger'!V4604=0),"PASS","FAIL")</f>
        <v>PASS</v>
      </c>
      <c r="F4625" s="9" t="s">
        <v>76</v>
      </c>
      <c r="G4625" s="6"/>
      <c r="H4625" s="6"/>
      <c r="I4625" s="6"/>
      <c r="J4625" s="6"/>
      <c r="K4625" s="6"/>
      <c r="L4625" s="6"/>
      <c r="M4625" s="6"/>
      <c r="N4625" s="6"/>
      <c r="O4625" s="6"/>
      <c r="P4625" s="6"/>
      <c r="Q4625" s="6"/>
      <c r="R4625" s="6"/>
      <c r="S4625" s="6"/>
      <c r="T4625" s="6"/>
      <c r="U4625" s="6"/>
      <c r="V4625" s="6"/>
      <c r="W4625" s="6"/>
      <c r="X4625" s="6"/>
      <c r="Y4625" s="6"/>
      <c r="Z4625" s="6"/>
    </row>
    <row r="4626" customFormat="false" ht="15" hidden="false" customHeight="false" outlineLevel="0" collapsed="false">
      <c r="A4626" s="9" t="s">
        <v>10469</v>
      </c>
      <c r="B4626" s="9" t="s">
        <v>5870</v>
      </c>
      <c r="C4626" s="9" t="s">
        <v>4900</v>
      </c>
      <c r="D4626" s="9" t="s">
        <v>5871</v>
      </c>
      <c r="E4626" s="9" t="str">
        <f aca="false">IF(AND('Formation Ledger'!A4605&lt;&gt;"",'Formation Ledger'!V4605=0),"PASS","FAIL")</f>
        <v>PASS</v>
      </c>
      <c r="F4626" s="9" t="s">
        <v>76</v>
      </c>
      <c r="G4626" s="6"/>
      <c r="H4626" s="6"/>
      <c r="I4626" s="6"/>
      <c r="J4626" s="6"/>
      <c r="K4626" s="6"/>
      <c r="L4626" s="6"/>
      <c r="M4626" s="6"/>
      <c r="N4626" s="6"/>
      <c r="O4626" s="6"/>
      <c r="P4626" s="6"/>
      <c r="Q4626" s="6"/>
      <c r="R4626" s="6"/>
      <c r="S4626" s="6"/>
      <c r="T4626" s="6"/>
      <c r="U4626" s="6"/>
      <c r="V4626" s="6"/>
      <c r="W4626" s="6"/>
      <c r="X4626" s="6"/>
      <c r="Y4626" s="6"/>
      <c r="Z4626" s="6"/>
    </row>
    <row r="4627" customFormat="false" ht="15" hidden="false" customHeight="false" outlineLevel="0" collapsed="false">
      <c r="A4627" s="9" t="s">
        <v>10470</v>
      </c>
      <c r="B4627" s="9" t="s">
        <v>5870</v>
      </c>
      <c r="C4627" s="9" t="s">
        <v>4901</v>
      </c>
      <c r="D4627" s="9" t="s">
        <v>5871</v>
      </c>
      <c r="E4627" s="9" t="str">
        <f aca="false">IF(AND('Formation Ledger'!A4606&lt;&gt;"",'Formation Ledger'!V4606=0),"PASS","FAIL")</f>
        <v>PASS</v>
      </c>
      <c r="F4627" s="9" t="s">
        <v>76</v>
      </c>
      <c r="G4627" s="6"/>
      <c r="H4627" s="6"/>
      <c r="I4627" s="6"/>
      <c r="J4627" s="6"/>
      <c r="K4627" s="6"/>
      <c r="L4627" s="6"/>
      <c r="M4627" s="6"/>
      <c r="N4627" s="6"/>
      <c r="O4627" s="6"/>
      <c r="P4627" s="6"/>
      <c r="Q4627" s="6"/>
      <c r="R4627" s="6"/>
      <c r="S4627" s="6"/>
      <c r="T4627" s="6"/>
      <c r="U4627" s="6"/>
      <c r="V4627" s="6"/>
      <c r="W4627" s="6"/>
      <c r="X4627" s="6"/>
      <c r="Y4627" s="6"/>
      <c r="Z4627" s="6"/>
    </row>
    <row r="4628" customFormat="false" ht="15" hidden="false" customHeight="false" outlineLevel="0" collapsed="false">
      <c r="A4628" s="9" t="s">
        <v>10471</v>
      </c>
      <c r="B4628" s="9" t="s">
        <v>5870</v>
      </c>
      <c r="C4628" s="9" t="s">
        <v>4902</v>
      </c>
      <c r="D4628" s="9" t="s">
        <v>5871</v>
      </c>
      <c r="E4628" s="9" t="str">
        <f aca="false">IF(AND('Formation Ledger'!A4607&lt;&gt;"",'Formation Ledger'!V4607=0),"PASS","FAIL")</f>
        <v>PASS</v>
      </c>
      <c r="F4628" s="9" t="s">
        <v>76</v>
      </c>
      <c r="G4628" s="6"/>
      <c r="H4628" s="6"/>
      <c r="I4628" s="6"/>
      <c r="J4628" s="6"/>
      <c r="K4628" s="6"/>
      <c r="L4628" s="6"/>
      <c r="M4628" s="6"/>
      <c r="N4628" s="6"/>
      <c r="O4628" s="6"/>
      <c r="P4628" s="6"/>
      <c r="Q4628" s="6"/>
      <c r="R4628" s="6"/>
      <c r="S4628" s="6"/>
      <c r="T4628" s="6"/>
      <c r="U4628" s="6"/>
      <c r="V4628" s="6"/>
      <c r="W4628" s="6"/>
      <c r="X4628" s="6"/>
      <c r="Y4628" s="6"/>
      <c r="Z4628" s="6"/>
    </row>
    <row r="4629" customFormat="false" ht="15" hidden="false" customHeight="false" outlineLevel="0" collapsed="false">
      <c r="A4629" s="9" t="s">
        <v>10472</v>
      </c>
      <c r="B4629" s="9" t="s">
        <v>5870</v>
      </c>
      <c r="C4629" s="9" t="s">
        <v>4903</v>
      </c>
      <c r="D4629" s="9" t="s">
        <v>5871</v>
      </c>
      <c r="E4629" s="9" t="str">
        <f aca="false">IF(AND('Formation Ledger'!A4608&lt;&gt;"",'Formation Ledger'!V4608=0),"PASS","FAIL")</f>
        <v>PASS</v>
      </c>
      <c r="F4629" s="9" t="s">
        <v>76</v>
      </c>
      <c r="G4629" s="6"/>
      <c r="H4629" s="6"/>
      <c r="I4629" s="6"/>
      <c r="J4629" s="6"/>
      <c r="K4629" s="6"/>
      <c r="L4629" s="6"/>
      <c r="M4629" s="6"/>
      <c r="N4629" s="6"/>
      <c r="O4629" s="6"/>
      <c r="P4629" s="6"/>
      <c r="Q4629" s="6"/>
      <c r="R4629" s="6"/>
      <c r="S4629" s="6"/>
      <c r="T4629" s="6"/>
      <c r="U4629" s="6"/>
      <c r="V4629" s="6"/>
      <c r="W4629" s="6"/>
      <c r="X4629" s="6"/>
      <c r="Y4629" s="6"/>
      <c r="Z4629" s="6"/>
    </row>
    <row r="4630" customFormat="false" ht="15" hidden="false" customHeight="false" outlineLevel="0" collapsed="false">
      <c r="A4630" s="9" t="s">
        <v>10473</v>
      </c>
      <c r="B4630" s="9" t="s">
        <v>5870</v>
      </c>
      <c r="C4630" s="9" t="s">
        <v>4904</v>
      </c>
      <c r="D4630" s="9" t="s">
        <v>5871</v>
      </c>
      <c r="E4630" s="9" t="str">
        <f aca="false">IF(AND('Formation Ledger'!A4609&lt;&gt;"",'Formation Ledger'!V4609=0),"PASS","FAIL")</f>
        <v>PASS</v>
      </c>
      <c r="F4630" s="9" t="s">
        <v>76</v>
      </c>
      <c r="G4630" s="6"/>
      <c r="H4630" s="6"/>
      <c r="I4630" s="6"/>
      <c r="J4630" s="6"/>
      <c r="K4630" s="6"/>
      <c r="L4630" s="6"/>
      <c r="M4630" s="6"/>
      <c r="N4630" s="6"/>
      <c r="O4630" s="6"/>
      <c r="P4630" s="6"/>
      <c r="Q4630" s="6"/>
      <c r="R4630" s="6"/>
      <c r="S4630" s="6"/>
      <c r="T4630" s="6"/>
      <c r="U4630" s="6"/>
      <c r="V4630" s="6"/>
      <c r="W4630" s="6"/>
      <c r="X4630" s="6"/>
      <c r="Y4630" s="6"/>
      <c r="Z4630" s="6"/>
    </row>
    <row r="4631" customFormat="false" ht="15" hidden="false" customHeight="false" outlineLevel="0" collapsed="false">
      <c r="A4631" s="9" t="s">
        <v>10474</v>
      </c>
      <c r="B4631" s="9" t="s">
        <v>5870</v>
      </c>
      <c r="C4631" s="9" t="s">
        <v>4905</v>
      </c>
      <c r="D4631" s="9" t="s">
        <v>5871</v>
      </c>
      <c r="E4631" s="9" t="str">
        <f aca="false">IF(AND('Formation Ledger'!A4610&lt;&gt;"",'Formation Ledger'!V4610=0),"PASS","FAIL")</f>
        <v>PASS</v>
      </c>
      <c r="F4631" s="9" t="s">
        <v>76</v>
      </c>
      <c r="G4631" s="6"/>
      <c r="H4631" s="6"/>
      <c r="I4631" s="6"/>
      <c r="J4631" s="6"/>
      <c r="K4631" s="6"/>
      <c r="L4631" s="6"/>
      <c r="M4631" s="6"/>
      <c r="N4631" s="6"/>
      <c r="O4631" s="6"/>
      <c r="P4631" s="6"/>
      <c r="Q4631" s="6"/>
      <c r="R4631" s="6"/>
      <c r="S4631" s="6"/>
      <c r="T4631" s="6"/>
      <c r="U4631" s="6"/>
      <c r="V4631" s="6"/>
      <c r="W4631" s="6"/>
      <c r="X4631" s="6"/>
      <c r="Y4631" s="6"/>
      <c r="Z4631" s="6"/>
    </row>
    <row r="4632" customFormat="false" ht="15" hidden="false" customHeight="false" outlineLevel="0" collapsed="false">
      <c r="A4632" s="9" t="s">
        <v>10475</v>
      </c>
      <c r="B4632" s="9" t="s">
        <v>5870</v>
      </c>
      <c r="C4632" s="9" t="s">
        <v>4906</v>
      </c>
      <c r="D4632" s="9" t="s">
        <v>5871</v>
      </c>
      <c r="E4632" s="9" t="str">
        <f aca="false">IF(AND('Formation Ledger'!A4611&lt;&gt;"",'Formation Ledger'!V4611=0),"PASS","FAIL")</f>
        <v>PASS</v>
      </c>
      <c r="F4632" s="9" t="s">
        <v>76</v>
      </c>
      <c r="G4632" s="6"/>
      <c r="H4632" s="6"/>
      <c r="I4632" s="6"/>
      <c r="J4632" s="6"/>
      <c r="K4632" s="6"/>
      <c r="L4632" s="6"/>
      <c r="M4632" s="6"/>
      <c r="N4632" s="6"/>
      <c r="O4632" s="6"/>
      <c r="P4632" s="6"/>
      <c r="Q4632" s="6"/>
      <c r="R4632" s="6"/>
      <c r="S4632" s="6"/>
      <c r="T4632" s="6"/>
      <c r="U4632" s="6"/>
      <c r="V4632" s="6"/>
      <c r="W4632" s="6"/>
      <c r="X4632" s="6"/>
      <c r="Y4632" s="6"/>
      <c r="Z4632" s="6"/>
    </row>
    <row r="4633" customFormat="false" ht="15" hidden="false" customHeight="false" outlineLevel="0" collapsed="false">
      <c r="A4633" s="9" t="s">
        <v>10476</v>
      </c>
      <c r="B4633" s="9" t="s">
        <v>5870</v>
      </c>
      <c r="C4633" s="9" t="s">
        <v>4907</v>
      </c>
      <c r="D4633" s="9" t="s">
        <v>5871</v>
      </c>
      <c r="E4633" s="9" t="str">
        <f aca="false">IF(AND('Formation Ledger'!A4612&lt;&gt;"",'Formation Ledger'!V4612=0),"PASS","FAIL")</f>
        <v>PASS</v>
      </c>
      <c r="F4633" s="9" t="s">
        <v>76</v>
      </c>
      <c r="G4633" s="6"/>
      <c r="H4633" s="6"/>
      <c r="I4633" s="6"/>
      <c r="J4633" s="6"/>
      <c r="K4633" s="6"/>
      <c r="L4633" s="6"/>
      <c r="M4633" s="6"/>
      <c r="N4633" s="6"/>
      <c r="O4633" s="6"/>
      <c r="P4633" s="6"/>
      <c r="Q4633" s="6"/>
      <c r="R4633" s="6"/>
      <c r="S4633" s="6"/>
      <c r="T4633" s="6"/>
      <c r="U4633" s="6"/>
      <c r="V4633" s="6"/>
      <c r="W4633" s="6"/>
      <c r="X4633" s="6"/>
      <c r="Y4633" s="6"/>
      <c r="Z4633" s="6"/>
    </row>
    <row r="4634" customFormat="false" ht="15" hidden="false" customHeight="false" outlineLevel="0" collapsed="false">
      <c r="A4634" s="9" t="s">
        <v>10477</v>
      </c>
      <c r="B4634" s="9" t="s">
        <v>5870</v>
      </c>
      <c r="C4634" s="9" t="s">
        <v>4908</v>
      </c>
      <c r="D4634" s="9" t="s">
        <v>5871</v>
      </c>
      <c r="E4634" s="9" t="str">
        <f aca="false">IF(AND('Formation Ledger'!A4613&lt;&gt;"",'Formation Ledger'!V4613=0),"PASS","FAIL")</f>
        <v>PASS</v>
      </c>
      <c r="F4634" s="9" t="s">
        <v>76</v>
      </c>
      <c r="G4634" s="6"/>
      <c r="H4634" s="6"/>
      <c r="I4634" s="6"/>
      <c r="J4634" s="6"/>
      <c r="K4634" s="6"/>
      <c r="L4634" s="6"/>
      <c r="M4634" s="6"/>
      <c r="N4634" s="6"/>
      <c r="O4634" s="6"/>
      <c r="P4634" s="6"/>
      <c r="Q4634" s="6"/>
      <c r="R4634" s="6"/>
      <c r="S4634" s="6"/>
      <c r="T4634" s="6"/>
      <c r="U4634" s="6"/>
      <c r="V4634" s="6"/>
      <c r="W4634" s="6"/>
      <c r="X4634" s="6"/>
      <c r="Y4634" s="6"/>
      <c r="Z4634" s="6"/>
    </row>
    <row r="4635" customFormat="false" ht="15" hidden="false" customHeight="false" outlineLevel="0" collapsed="false">
      <c r="A4635" s="9" t="s">
        <v>10478</v>
      </c>
      <c r="B4635" s="9" t="s">
        <v>5870</v>
      </c>
      <c r="C4635" s="9" t="s">
        <v>4909</v>
      </c>
      <c r="D4635" s="9" t="s">
        <v>5871</v>
      </c>
      <c r="E4635" s="9" t="str">
        <f aca="false">IF(AND('Formation Ledger'!A4614&lt;&gt;"",'Formation Ledger'!V4614=0),"PASS","FAIL")</f>
        <v>PASS</v>
      </c>
      <c r="F4635" s="9" t="s">
        <v>76</v>
      </c>
      <c r="G4635" s="6"/>
      <c r="H4635" s="6"/>
      <c r="I4635" s="6"/>
      <c r="J4635" s="6"/>
      <c r="K4635" s="6"/>
      <c r="L4635" s="6"/>
      <c r="M4635" s="6"/>
      <c r="N4635" s="6"/>
      <c r="O4635" s="6"/>
      <c r="P4635" s="6"/>
      <c r="Q4635" s="6"/>
      <c r="R4635" s="6"/>
      <c r="S4635" s="6"/>
      <c r="T4635" s="6"/>
      <c r="U4635" s="6"/>
      <c r="V4635" s="6"/>
      <c r="W4635" s="6"/>
      <c r="X4635" s="6"/>
      <c r="Y4635" s="6"/>
      <c r="Z4635" s="6"/>
    </row>
    <row r="4636" customFormat="false" ht="15" hidden="false" customHeight="false" outlineLevel="0" collapsed="false">
      <c r="A4636" s="9" t="s">
        <v>10479</v>
      </c>
      <c r="B4636" s="9" t="s">
        <v>5870</v>
      </c>
      <c r="C4636" s="9" t="s">
        <v>4910</v>
      </c>
      <c r="D4636" s="9" t="s">
        <v>5871</v>
      </c>
      <c r="E4636" s="9" t="str">
        <f aca="false">IF(AND('Formation Ledger'!A4615&lt;&gt;"",'Formation Ledger'!V4615=0),"PASS","FAIL")</f>
        <v>PASS</v>
      </c>
      <c r="F4636" s="9" t="s">
        <v>76</v>
      </c>
      <c r="G4636" s="6"/>
      <c r="H4636" s="6"/>
      <c r="I4636" s="6"/>
      <c r="J4636" s="6"/>
      <c r="K4636" s="6"/>
      <c r="L4636" s="6"/>
      <c r="M4636" s="6"/>
      <c r="N4636" s="6"/>
      <c r="O4636" s="6"/>
      <c r="P4636" s="6"/>
      <c r="Q4636" s="6"/>
      <c r="R4636" s="6"/>
      <c r="S4636" s="6"/>
      <c r="T4636" s="6"/>
      <c r="U4636" s="6"/>
      <c r="V4636" s="6"/>
      <c r="W4636" s="6"/>
      <c r="X4636" s="6"/>
      <c r="Y4636" s="6"/>
      <c r="Z4636" s="6"/>
    </row>
    <row r="4637" customFormat="false" ht="15" hidden="false" customHeight="false" outlineLevel="0" collapsed="false">
      <c r="A4637" s="9" t="s">
        <v>10480</v>
      </c>
      <c r="B4637" s="9" t="s">
        <v>5870</v>
      </c>
      <c r="C4637" s="9" t="s">
        <v>4911</v>
      </c>
      <c r="D4637" s="9" t="s">
        <v>5871</v>
      </c>
      <c r="E4637" s="9" t="str">
        <f aca="false">IF(AND('Formation Ledger'!A4616&lt;&gt;"",'Formation Ledger'!V4616=0),"PASS","FAIL")</f>
        <v>PASS</v>
      </c>
      <c r="F4637" s="9" t="s">
        <v>76</v>
      </c>
      <c r="G4637" s="6"/>
      <c r="H4637" s="6"/>
      <c r="I4637" s="6"/>
      <c r="J4637" s="6"/>
      <c r="K4637" s="6"/>
      <c r="L4637" s="6"/>
      <c r="M4637" s="6"/>
      <c r="N4637" s="6"/>
      <c r="O4637" s="6"/>
      <c r="P4637" s="6"/>
      <c r="Q4637" s="6"/>
      <c r="R4637" s="6"/>
      <c r="S4637" s="6"/>
      <c r="T4637" s="6"/>
      <c r="U4637" s="6"/>
      <c r="V4637" s="6"/>
      <c r="W4637" s="6"/>
      <c r="X4637" s="6"/>
      <c r="Y4637" s="6"/>
      <c r="Z4637" s="6"/>
    </row>
    <row r="4638" customFormat="false" ht="15" hidden="false" customHeight="false" outlineLevel="0" collapsed="false">
      <c r="A4638" s="9" t="s">
        <v>10481</v>
      </c>
      <c r="B4638" s="9" t="s">
        <v>5870</v>
      </c>
      <c r="C4638" s="9" t="s">
        <v>4912</v>
      </c>
      <c r="D4638" s="9" t="s">
        <v>5871</v>
      </c>
      <c r="E4638" s="9" t="str">
        <f aca="false">IF(AND('Formation Ledger'!A4617&lt;&gt;"",'Formation Ledger'!V4617=0),"PASS","FAIL")</f>
        <v>PASS</v>
      </c>
      <c r="F4638" s="9" t="s">
        <v>76</v>
      </c>
      <c r="G4638" s="6"/>
      <c r="H4638" s="6"/>
      <c r="I4638" s="6"/>
      <c r="J4638" s="6"/>
      <c r="K4638" s="6"/>
      <c r="L4638" s="6"/>
      <c r="M4638" s="6"/>
      <c r="N4638" s="6"/>
      <c r="O4638" s="6"/>
      <c r="P4638" s="6"/>
      <c r="Q4638" s="6"/>
      <c r="R4638" s="6"/>
      <c r="S4638" s="6"/>
      <c r="T4638" s="6"/>
      <c r="U4638" s="6"/>
      <c r="V4638" s="6"/>
      <c r="W4638" s="6"/>
      <c r="X4638" s="6"/>
      <c r="Y4638" s="6"/>
      <c r="Z4638" s="6"/>
    </row>
    <row r="4639" customFormat="false" ht="15" hidden="false" customHeight="false" outlineLevel="0" collapsed="false">
      <c r="A4639" s="9" t="s">
        <v>10482</v>
      </c>
      <c r="B4639" s="9" t="s">
        <v>5870</v>
      </c>
      <c r="C4639" s="9" t="s">
        <v>4913</v>
      </c>
      <c r="D4639" s="9" t="s">
        <v>5871</v>
      </c>
      <c r="E4639" s="9" t="str">
        <f aca="false">IF(AND('Formation Ledger'!A4618&lt;&gt;"",'Formation Ledger'!V4618=0),"PASS","FAIL")</f>
        <v>PASS</v>
      </c>
      <c r="F4639" s="9" t="s">
        <v>76</v>
      </c>
      <c r="G4639" s="6"/>
      <c r="H4639" s="6"/>
      <c r="I4639" s="6"/>
      <c r="J4639" s="6"/>
      <c r="K4639" s="6"/>
      <c r="L4639" s="6"/>
      <c r="M4639" s="6"/>
      <c r="N4639" s="6"/>
      <c r="O4639" s="6"/>
      <c r="P4639" s="6"/>
      <c r="Q4639" s="6"/>
      <c r="R4639" s="6"/>
      <c r="S4639" s="6"/>
      <c r="T4639" s="6"/>
      <c r="U4639" s="6"/>
      <c r="V4639" s="6"/>
      <c r="W4639" s="6"/>
      <c r="X4639" s="6"/>
      <c r="Y4639" s="6"/>
      <c r="Z4639" s="6"/>
    </row>
    <row r="4640" customFormat="false" ht="15" hidden="false" customHeight="false" outlineLevel="0" collapsed="false">
      <c r="A4640" s="9" t="s">
        <v>10483</v>
      </c>
      <c r="B4640" s="9" t="s">
        <v>5870</v>
      </c>
      <c r="C4640" s="9" t="s">
        <v>4914</v>
      </c>
      <c r="D4640" s="9" t="s">
        <v>5871</v>
      </c>
      <c r="E4640" s="9" t="str">
        <f aca="false">IF(AND('Formation Ledger'!A4619&lt;&gt;"",'Formation Ledger'!V4619=0),"PASS","FAIL")</f>
        <v>PASS</v>
      </c>
      <c r="F4640" s="9" t="s">
        <v>76</v>
      </c>
      <c r="G4640" s="6"/>
      <c r="H4640" s="6"/>
      <c r="I4640" s="6"/>
      <c r="J4640" s="6"/>
      <c r="K4640" s="6"/>
      <c r="L4640" s="6"/>
      <c r="M4640" s="6"/>
      <c r="N4640" s="6"/>
      <c r="O4640" s="6"/>
      <c r="P4640" s="6"/>
      <c r="Q4640" s="6"/>
      <c r="R4640" s="6"/>
      <c r="S4640" s="6"/>
      <c r="T4640" s="6"/>
      <c r="U4640" s="6"/>
      <c r="V4640" s="6"/>
      <c r="W4640" s="6"/>
      <c r="X4640" s="6"/>
      <c r="Y4640" s="6"/>
      <c r="Z4640" s="6"/>
    </row>
    <row r="4641" customFormat="false" ht="15" hidden="false" customHeight="false" outlineLevel="0" collapsed="false">
      <c r="A4641" s="9" t="s">
        <v>10484</v>
      </c>
      <c r="B4641" s="9" t="s">
        <v>5870</v>
      </c>
      <c r="C4641" s="9" t="s">
        <v>4915</v>
      </c>
      <c r="D4641" s="9" t="s">
        <v>5871</v>
      </c>
      <c r="E4641" s="9" t="str">
        <f aca="false">IF(AND('Formation Ledger'!A4620&lt;&gt;"",'Formation Ledger'!V4620=0),"PASS","FAIL")</f>
        <v>PASS</v>
      </c>
      <c r="F4641" s="9" t="s">
        <v>76</v>
      </c>
      <c r="G4641" s="6"/>
      <c r="H4641" s="6"/>
      <c r="I4641" s="6"/>
      <c r="J4641" s="6"/>
      <c r="K4641" s="6"/>
      <c r="L4641" s="6"/>
      <c r="M4641" s="6"/>
      <c r="N4641" s="6"/>
      <c r="O4641" s="6"/>
      <c r="P4641" s="6"/>
      <c r="Q4641" s="6"/>
      <c r="R4641" s="6"/>
      <c r="S4641" s="6"/>
      <c r="T4641" s="6"/>
      <c r="U4641" s="6"/>
      <c r="V4641" s="6"/>
      <c r="W4641" s="6"/>
      <c r="X4641" s="6"/>
      <c r="Y4641" s="6"/>
      <c r="Z4641" s="6"/>
    </row>
    <row r="4642" customFormat="false" ht="15" hidden="false" customHeight="false" outlineLevel="0" collapsed="false">
      <c r="A4642" s="9" t="s">
        <v>10485</v>
      </c>
      <c r="B4642" s="9" t="s">
        <v>5870</v>
      </c>
      <c r="C4642" s="9" t="s">
        <v>4916</v>
      </c>
      <c r="D4642" s="9" t="s">
        <v>5871</v>
      </c>
      <c r="E4642" s="9" t="str">
        <f aca="false">IF(AND('Formation Ledger'!A4621&lt;&gt;"",'Formation Ledger'!V4621=0),"PASS","FAIL")</f>
        <v>PASS</v>
      </c>
      <c r="F4642" s="9" t="s">
        <v>76</v>
      </c>
      <c r="G4642" s="6"/>
      <c r="H4642" s="6"/>
      <c r="I4642" s="6"/>
      <c r="J4642" s="6"/>
      <c r="K4642" s="6"/>
      <c r="L4642" s="6"/>
      <c r="M4642" s="6"/>
      <c r="N4642" s="6"/>
      <c r="O4642" s="6"/>
      <c r="P4642" s="6"/>
      <c r="Q4642" s="6"/>
      <c r="R4642" s="6"/>
      <c r="S4642" s="6"/>
      <c r="T4642" s="6"/>
      <c r="U4642" s="6"/>
      <c r="V4642" s="6"/>
      <c r="W4642" s="6"/>
      <c r="X4642" s="6"/>
      <c r="Y4642" s="6"/>
      <c r="Z4642" s="6"/>
    </row>
    <row r="4643" customFormat="false" ht="15" hidden="false" customHeight="false" outlineLevel="0" collapsed="false">
      <c r="A4643" s="9" t="s">
        <v>10486</v>
      </c>
      <c r="B4643" s="9" t="s">
        <v>5870</v>
      </c>
      <c r="C4643" s="9" t="s">
        <v>4917</v>
      </c>
      <c r="D4643" s="9" t="s">
        <v>5871</v>
      </c>
      <c r="E4643" s="9" t="str">
        <f aca="false">IF(AND('Formation Ledger'!A4622&lt;&gt;"",'Formation Ledger'!V4622=0),"PASS","FAIL")</f>
        <v>PASS</v>
      </c>
      <c r="F4643" s="9" t="s">
        <v>76</v>
      </c>
      <c r="G4643" s="6"/>
      <c r="H4643" s="6"/>
      <c r="I4643" s="6"/>
      <c r="J4643" s="6"/>
      <c r="K4643" s="6"/>
      <c r="L4643" s="6"/>
      <c r="M4643" s="6"/>
      <c r="N4643" s="6"/>
      <c r="O4643" s="6"/>
      <c r="P4643" s="6"/>
      <c r="Q4643" s="6"/>
      <c r="R4643" s="6"/>
      <c r="S4643" s="6"/>
      <c r="T4643" s="6"/>
      <c r="U4643" s="6"/>
      <c r="V4643" s="6"/>
      <c r="W4643" s="6"/>
      <c r="X4643" s="6"/>
      <c r="Y4643" s="6"/>
      <c r="Z4643" s="6"/>
    </row>
    <row r="4644" customFormat="false" ht="15" hidden="false" customHeight="false" outlineLevel="0" collapsed="false">
      <c r="A4644" s="9" t="s">
        <v>10487</v>
      </c>
      <c r="B4644" s="9" t="s">
        <v>5870</v>
      </c>
      <c r="C4644" s="9" t="s">
        <v>4918</v>
      </c>
      <c r="D4644" s="9" t="s">
        <v>5871</v>
      </c>
      <c r="E4644" s="9" t="str">
        <f aca="false">IF(AND('Formation Ledger'!A4623&lt;&gt;"",'Formation Ledger'!V4623=0),"PASS","FAIL")</f>
        <v>PASS</v>
      </c>
      <c r="F4644" s="9" t="s">
        <v>76</v>
      </c>
      <c r="G4644" s="6"/>
      <c r="H4644" s="6"/>
      <c r="I4644" s="6"/>
      <c r="J4644" s="6"/>
      <c r="K4644" s="6"/>
      <c r="L4644" s="6"/>
      <c r="M4644" s="6"/>
      <c r="N4644" s="6"/>
      <c r="O4644" s="6"/>
      <c r="P4644" s="6"/>
      <c r="Q4644" s="6"/>
      <c r="R4644" s="6"/>
      <c r="S4644" s="6"/>
      <c r="T4644" s="6"/>
      <c r="U4644" s="6"/>
      <c r="V4644" s="6"/>
      <c r="W4644" s="6"/>
      <c r="X4644" s="6"/>
      <c r="Y4644" s="6"/>
      <c r="Z4644" s="6"/>
    </row>
    <row r="4645" customFormat="false" ht="15" hidden="false" customHeight="false" outlineLevel="0" collapsed="false">
      <c r="A4645" s="9" t="s">
        <v>10488</v>
      </c>
      <c r="B4645" s="9" t="s">
        <v>5870</v>
      </c>
      <c r="C4645" s="9" t="s">
        <v>4919</v>
      </c>
      <c r="D4645" s="9" t="s">
        <v>5871</v>
      </c>
      <c r="E4645" s="9" t="str">
        <f aca="false">IF(AND('Formation Ledger'!A4624&lt;&gt;"",'Formation Ledger'!V4624=0),"PASS","FAIL")</f>
        <v>PASS</v>
      </c>
      <c r="F4645" s="9" t="s">
        <v>76</v>
      </c>
      <c r="G4645" s="6"/>
      <c r="H4645" s="6"/>
      <c r="I4645" s="6"/>
      <c r="J4645" s="6"/>
      <c r="K4645" s="6"/>
      <c r="L4645" s="6"/>
      <c r="M4645" s="6"/>
      <c r="N4645" s="6"/>
      <c r="O4645" s="6"/>
      <c r="P4645" s="6"/>
      <c r="Q4645" s="6"/>
      <c r="R4645" s="6"/>
      <c r="S4645" s="6"/>
      <c r="T4645" s="6"/>
      <c r="U4645" s="6"/>
      <c r="V4645" s="6"/>
      <c r="W4645" s="6"/>
      <c r="X4645" s="6"/>
      <c r="Y4645" s="6"/>
      <c r="Z4645" s="6"/>
    </row>
    <row r="4646" customFormat="false" ht="15" hidden="false" customHeight="false" outlineLevel="0" collapsed="false">
      <c r="A4646" s="9" t="s">
        <v>10489</v>
      </c>
      <c r="B4646" s="9" t="s">
        <v>5870</v>
      </c>
      <c r="C4646" s="9" t="s">
        <v>4920</v>
      </c>
      <c r="D4646" s="9" t="s">
        <v>5871</v>
      </c>
      <c r="E4646" s="9" t="str">
        <f aca="false">IF(AND('Formation Ledger'!A4625&lt;&gt;"",'Formation Ledger'!V4625=0),"PASS","FAIL")</f>
        <v>PASS</v>
      </c>
      <c r="F4646" s="9" t="s">
        <v>76</v>
      </c>
      <c r="G4646" s="6"/>
      <c r="H4646" s="6"/>
      <c r="I4646" s="6"/>
      <c r="J4646" s="6"/>
      <c r="K4646" s="6"/>
      <c r="L4646" s="6"/>
      <c r="M4646" s="6"/>
      <c r="N4646" s="6"/>
      <c r="O4646" s="6"/>
      <c r="P4646" s="6"/>
      <c r="Q4646" s="6"/>
      <c r="R4646" s="6"/>
      <c r="S4646" s="6"/>
      <c r="T4646" s="6"/>
      <c r="U4646" s="6"/>
      <c r="V4646" s="6"/>
      <c r="W4646" s="6"/>
      <c r="X4646" s="6"/>
      <c r="Y4646" s="6"/>
      <c r="Z4646" s="6"/>
    </row>
    <row r="4647" customFormat="false" ht="15" hidden="false" customHeight="false" outlineLevel="0" collapsed="false">
      <c r="A4647" s="9" t="s">
        <v>10490</v>
      </c>
      <c r="B4647" s="9" t="s">
        <v>5870</v>
      </c>
      <c r="C4647" s="9" t="s">
        <v>4921</v>
      </c>
      <c r="D4647" s="9" t="s">
        <v>5871</v>
      </c>
      <c r="E4647" s="9" t="str">
        <f aca="false">IF(AND('Formation Ledger'!A4626&lt;&gt;"",'Formation Ledger'!V4626=0),"PASS","FAIL")</f>
        <v>PASS</v>
      </c>
      <c r="F4647" s="9" t="s">
        <v>76</v>
      </c>
      <c r="G4647" s="6"/>
      <c r="H4647" s="6"/>
      <c r="I4647" s="6"/>
      <c r="J4647" s="6"/>
      <c r="K4647" s="6"/>
      <c r="L4647" s="6"/>
      <c r="M4647" s="6"/>
      <c r="N4647" s="6"/>
      <c r="O4647" s="6"/>
      <c r="P4647" s="6"/>
      <c r="Q4647" s="6"/>
      <c r="R4647" s="6"/>
      <c r="S4647" s="6"/>
      <c r="T4647" s="6"/>
      <c r="U4647" s="6"/>
      <c r="V4647" s="6"/>
      <c r="W4647" s="6"/>
      <c r="X4647" s="6"/>
      <c r="Y4647" s="6"/>
      <c r="Z4647" s="6"/>
    </row>
    <row r="4648" customFormat="false" ht="15" hidden="false" customHeight="false" outlineLevel="0" collapsed="false">
      <c r="A4648" s="9" t="s">
        <v>10491</v>
      </c>
      <c r="B4648" s="9" t="s">
        <v>5870</v>
      </c>
      <c r="C4648" s="9" t="s">
        <v>4922</v>
      </c>
      <c r="D4648" s="9" t="s">
        <v>5871</v>
      </c>
      <c r="E4648" s="9" t="str">
        <f aca="false">IF(AND('Formation Ledger'!A4627&lt;&gt;"",'Formation Ledger'!V4627=0),"PASS","FAIL")</f>
        <v>PASS</v>
      </c>
      <c r="F4648" s="9" t="s">
        <v>76</v>
      </c>
      <c r="G4648" s="6"/>
      <c r="H4648" s="6"/>
      <c r="I4648" s="6"/>
      <c r="J4648" s="6"/>
      <c r="K4648" s="6"/>
      <c r="L4648" s="6"/>
      <c r="M4648" s="6"/>
      <c r="N4648" s="6"/>
      <c r="O4648" s="6"/>
      <c r="P4648" s="6"/>
      <c r="Q4648" s="6"/>
      <c r="R4648" s="6"/>
      <c r="S4648" s="6"/>
      <c r="T4648" s="6"/>
      <c r="U4648" s="6"/>
      <c r="V4648" s="6"/>
      <c r="W4648" s="6"/>
      <c r="X4648" s="6"/>
      <c r="Y4648" s="6"/>
      <c r="Z4648" s="6"/>
    </row>
    <row r="4649" customFormat="false" ht="15" hidden="false" customHeight="false" outlineLevel="0" collapsed="false">
      <c r="A4649" s="9" t="s">
        <v>10492</v>
      </c>
      <c r="B4649" s="9" t="s">
        <v>5870</v>
      </c>
      <c r="C4649" s="9" t="s">
        <v>4923</v>
      </c>
      <c r="D4649" s="9" t="s">
        <v>5871</v>
      </c>
      <c r="E4649" s="9" t="str">
        <f aca="false">IF(AND('Formation Ledger'!A4628&lt;&gt;"",'Formation Ledger'!V4628=0),"PASS","FAIL")</f>
        <v>PASS</v>
      </c>
      <c r="F4649" s="9" t="s">
        <v>76</v>
      </c>
      <c r="G4649" s="6"/>
      <c r="H4649" s="6"/>
      <c r="I4649" s="6"/>
      <c r="J4649" s="6"/>
      <c r="K4649" s="6"/>
      <c r="L4649" s="6"/>
      <c r="M4649" s="6"/>
      <c r="N4649" s="6"/>
      <c r="O4649" s="6"/>
      <c r="P4649" s="6"/>
      <c r="Q4649" s="6"/>
      <c r="R4649" s="6"/>
      <c r="S4649" s="6"/>
      <c r="T4649" s="6"/>
      <c r="U4649" s="6"/>
      <c r="V4649" s="6"/>
      <c r="W4649" s="6"/>
      <c r="X4649" s="6"/>
      <c r="Y4649" s="6"/>
      <c r="Z4649" s="6"/>
    </row>
    <row r="4650" customFormat="false" ht="15" hidden="false" customHeight="false" outlineLevel="0" collapsed="false">
      <c r="A4650" s="9" t="s">
        <v>10493</v>
      </c>
      <c r="B4650" s="9" t="s">
        <v>5870</v>
      </c>
      <c r="C4650" s="9" t="s">
        <v>4924</v>
      </c>
      <c r="D4650" s="9" t="s">
        <v>5871</v>
      </c>
      <c r="E4650" s="9" t="str">
        <f aca="false">IF(AND('Formation Ledger'!A4629&lt;&gt;"",'Formation Ledger'!V4629=0),"PASS","FAIL")</f>
        <v>PASS</v>
      </c>
      <c r="F4650" s="9" t="s">
        <v>76</v>
      </c>
      <c r="G4650" s="6"/>
      <c r="H4650" s="6"/>
      <c r="I4650" s="6"/>
      <c r="J4650" s="6"/>
      <c r="K4650" s="6"/>
      <c r="L4650" s="6"/>
      <c r="M4650" s="6"/>
      <c r="N4650" s="6"/>
      <c r="O4650" s="6"/>
      <c r="P4650" s="6"/>
      <c r="Q4650" s="6"/>
      <c r="R4650" s="6"/>
      <c r="S4650" s="6"/>
      <c r="T4650" s="6"/>
      <c r="U4650" s="6"/>
      <c r="V4650" s="6"/>
      <c r="W4650" s="6"/>
      <c r="X4650" s="6"/>
      <c r="Y4650" s="6"/>
      <c r="Z4650" s="6"/>
    </row>
    <row r="4651" customFormat="false" ht="15" hidden="false" customHeight="false" outlineLevel="0" collapsed="false">
      <c r="A4651" s="9" t="s">
        <v>10494</v>
      </c>
      <c r="B4651" s="9" t="s">
        <v>5870</v>
      </c>
      <c r="C4651" s="9" t="s">
        <v>4925</v>
      </c>
      <c r="D4651" s="9" t="s">
        <v>5871</v>
      </c>
      <c r="E4651" s="9" t="str">
        <f aca="false">IF(AND('Formation Ledger'!A4630&lt;&gt;"",'Formation Ledger'!V4630=0),"PASS","FAIL")</f>
        <v>PASS</v>
      </c>
      <c r="F4651" s="9" t="s">
        <v>76</v>
      </c>
      <c r="G4651" s="6"/>
      <c r="H4651" s="6"/>
      <c r="I4651" s="6"/>
      <c r="J4651" s="6"/>
      <c r="K4651" s="6"/>
      <c r="L4651" s="6"/>
      <c r="M4651" s="6"/>
      <c r="N4651" s="6"/>
      <c r="O4651" s="6"/>
      <c r="P4651" s="6"/>
      <c r="Q4651" s="6"/>
      <c r="R4651" s="6"/>
      <c r="S4651" s="6"/>
      <c r="T4651" s="6"/>
      <c r="U4651" s="6"/>
      <c r="V4651" s="6"/>
      <c r="W4651" s="6"/>
      <c r="X4651" s="6"/>
      <c r="Y4651" s="6"/>
      <c r="Z4651" s="6"/>
    </row>
    <row r="4652" customFormat="false" ht="15" hidden="false" customHeight="false" outlineLevel="0" collapsed="false">
      <c r="A4652" s="9" t="s">
        <v>10495</v>
      </c>
      <c r="B4652" s="9" t="s">
        <v>5870</v>
      </c>
      <c r="C4652" s="9" t="s">
        <v>4926</v>
      </c>
      <c r="D4652" s="9" t="s">
        <v>5871</v>
      </c>
      <c r="E4652" s="9" t="str">
        <f aca="false">IF(AND('Formation Ledger'!A4631&lt;&gt;"",'Formation Ledger'!V4631=0),"PASS","FAIL")</f>
        <v>PASS</v>
      </c>
      <c r="F4652" s="9" t="s">
        <v>76</v>
      </c>
      <c r="G4652" s="6"/>
      <c r="H4652" s="6"/>
      <c r="I4652" s="6"/>
      <c r="J4652" s="6"/>
      <c r="K4652" s="6"/>
      <c r="L4652" s="6"/>
      <c r="M4652" s="6"/>
      <c r="N4652" s="6"/>
      <c r="O4652" s="6"/>
      <c r="P4652" s="6"/>
      <c r="Q4652" s="6"/>
      <c r="R4652" s="6"/>
      <c r="S4652" s="6"/>
      <c r="T4652" s="6"/>
      <c r="U4652" s="6"/>
      <c r="V4652" s="6"/>
      <c r="W4652" s="6"/>
      <c r="X4652" s="6"/>
      <c r="Y4652" s="6"/>
      <c r="Z4652" s="6"/>
    </row>
    <row r="4653" customFormat="false" ht="15" hidden="false" customHeight="false" outlineLevel="0" collapsed="false">
      <c r="A4653" s="9" t="s">
        <v>10496</v>
      </c>
      <c r="B4653" s="9" t="s">
        <v>5870</v>
      </c>
      <c r="C4653" s="9" t="s">
        <v>4927</v>
      </c>
      <c r="D4653" s="9" t="s">
        <v>5871</v>
      </c>
      <c r="E4653" s="9" t="str">
        <f aca="false">IF(AND('Formation Ledger'!A4632&lt;&gt;"",'Formation Ledger'!V4632=0),"PASS","FAIL")</f>
        <v>PASS</v>
      </c>
      <c r="F4653" s="9" t="s">
        <v>76</v>
      </c>
      <c r="G4653" s="6"/>
      <c r="H4653" s="6"/>
      <c r="I4653" s="6"/>
      <c r="J4653" s="6"/>
      <c r="K4653" s="6"/>
      <c r="L4653" s="6"/>
      <c r="M4653" s="6"/>
      <c r="N4653" s="6"/>
      <c r="O4653" s="6"/>
      <c r="P4653" s="6"/>
      <c r="Q4653" s="6"/>
      <c r="R4653" s="6"/>
      <c r="S4653" s="6"/>
      <c r="T4653" s="6"/>
      <c r="U4653" s="6"/>
      <c r="V4653" s="6"/>
      <c r="W4653" s="6"/>
      <c r="X4653" s="6"/>
      <c r="Y4653" s="6"/>
      <c r="Z4653" s="6"/>
    </row>
    <row r="4654" customFormat="false" ht="15" hidden="false" customHeight="false" outlineLevel="0" collapsed="false">
      <c r="A4654" s="9" t="s">
        <v>10497</v>
      </c>
      <c r="B4654" s="9" t="s">
        <v>5870</v>
      </c>
      <c r="C4654" s="9" t="s">
        <v>4928</v>
      </c>
      <c r="D4654" s="9" t="s">
        <v>5871</v>
      </c>
      <c r="E4654" s="9" t="str">
        <f aca="false">IF(AND('Formation Ledger'!A4633&lt;&gt;"",'Formation Ledger'!V4633=0),"PASS","FAIL")</f>
        <v>PASS</v>
      </c>
      <c r="F4654" s="9" t="s">
        <v>76</v>
      </c>
      <c r="G4654" s="6"/>
      <c r="H4654" s="6"/>
      <c r="I4654" s="6"/>
      <c r="J4654" s="6"/>
      <c r="K4654" s="6"/>
      <c r="L4654" s="6"/>
      <c r="M4654" s="6"/>
      <c r="N4654" s="6"/>
      <c r="O4654" s="6"/>
      <c r="P4654" s="6"/>
      <c r="Q4654" s="6"/>
      <c r="R4654" s="6"/>
      <c r="S4654" s="6"/>
      <c r="T4654" s="6"/>
      <c r="U4654" s="6"/>
      <c r="V4654" s="6"/>
      <c r="W4654" s="6"/>
      <c r="X4654" s="6"/>
      <c r="Y4654" s="6"/>
      <c r="Z4654" s="6"/>
    </row>
    <row r="4655" customFormat="false" ht="15" hidden="false" customHeight="false" outlineLevel="0" collapsed="false">
      <c r="A4655" s="9" t="s">
        <v>10498</v>
      </c>
      <c r="B4655" s="9" t="s">
        <v>5870</v>
      </c>
      <c r="C4655" s="9" t="s">
        <v>4929</v>
      </c>
      <c r="D4655" s="9" t="s">
        <v>5871</v>
      </c>
      <c r="E4655" s="9" t="str">
        <f aca="false">IF(AND('Formation Ledger'!A4634&lt;&gt;"",'Formation Ledger'!V4634=0),"PASS","FAIL")</f>
        <v>PASS</v>
      </c>
      <c r="F4655" s="9" t="s">
        <v>76</v>
      </c>
      <c r="G4655" s="6"/>
      <c r="H4655" s="6"/>
      <c r="I4655" s="6"/>
      <c r="J4655" s="6"/>
      <c r="K4655" s="6"/>
      <c r="L4655" s="6"/>
      <c r="M4655" s="6"/>
      <c r="N4655" s="6"/>
      <c r="O4655" s="6"/>
      <c r="P4655" s="6"/>
      <c r="Q4655" s="6"/>
      <c r="R4655" s="6"/>
      <c r="S4655" s="6"/>
      <c r="T4655" s="6"/>
      <c r="U4655" s="6"/>
      <c r="V4655" s="6"/>
      <c r="W4655" s="6"/>
      <c r="X4655" s="6"/>
      <c r="Y4655" s="6"/>
      <c r="Z4655" s="6"/>
    </row>
    <row r="4656" customFormat="false" ht="15" hidden="false" customHeight="false" outlineLevel="0" collapsed="false">
      <c r="A4656" s="9" t="s">
        <v>10499</v>
      </c>
      <c r="B4656" s="9" t="s">
        <v>5870</v>
      </c>
      <c r="C4656" s="9" t="s">
        <v>4930</v>
      </c>
      <c r="D4656" s="9" t="s">
        <v>5871</v>
      </c>
      <c r="E4656" s="9" t="str">
        <f aca="false">IF(AND('Formation Ledger'!A4635&lt;&gt;"",'Formation Ledger'!V4635=0),"PASS","FAIL")</f>
        <v>PASS</v>
      </c>
      <c r="F4656" s="9" t="s">
        <v>76</v>
      </c>
      <c r="G4656" s="6"/>
      <c r="H4656" s="6"/>
      <c r="I4656" s="6"/>
      <c r="J4656" s="6"/>
      <c r="K4656" s="6"/>
      <c r="L4656" s="6"/>
      <c r="M4656" s="6"/>
      <c r="N4656" s="6"/>
      <c r="O4656" s="6"/>
      <c r="P4656" s="6"/>
      <c r="Q4656" s="6"/>
      <c r="R4656" s="6"/>
      <c r="S4656" s="6"/>
      <c r="T4656" s="6"/>
      <c r="U4656" s="6"/>
      <c r="V4656" s="6"/>
      <c r="W4656" s="6"/>
      <c r="X4656" s="6"/>
      <c r="Y4656" s="6"/>
      <c r="Z4656" s="6"/>
    </row>
    <row r="4657" customFormat="false" ht="15" hidden="false" customHeight="false" outlineLevel="0" collapsed="false">
      <c r="A4657" s="9" t="s">
        <v>10500</v>
      </c>
      <c r="B4657" s="9" t="s">
        <v>5870</v>
      </c>
      <c r="C4657" s="9" t="s">
        <v>4931</v>
      </c>
      <c r="D4657" s="9" t="s">
        <v>5871</v>
      </c>
      <c r="E4657" s="9" t="str">
        <f aca="false">IF(AND('Formation Ledger'!A4636&lt;&gt;"",'Formation Ledger'!V4636=0),"PASS","FAIL")</f>
        <v>PASS</v>
      </c>
      <c r="F4657" s="9" t="s">
        <v>76</v>
      </c>
      <c r="G4657" s="6"/>
      <c r="H4657" s="6"/>
      <c r="I4657" s="6"/>
      <c r="J4657" s="6"/>
      <c r="K4657" s="6"/>
      <c r="L4657" s="6"/>
      <c r="M4657" s="6"/>
      <c r="N4657" s="6"/>
      <c r="O4657" s="6"/>
      <c r="P4657" s="6"/>
      <c r="Q4657" s="6"/>
      <c r="R4657" s="6"/>
      <c r="S4657" s="6"/>
      <c r="T4657" s="6"/>
      <c r="U4657" s="6"/>
      <c r="V4657" s="6"/>
      <c r="W4657" s="6"/>
      <c r="X4657" s="6"/>
      <c r="Y4657" s="6"/>
      <c r="Z4657" s="6"/>
    </row>
    <row r="4658" customFormat="false" ht="15" hidden="false" customHeight="false" outlineLevel="0" collapsed="false">
      <c r="A4658" s="9" t="s">
        <v>10501</v>
      </c>
      <c r="B4658" s="9" t="s">
        <v>5870</v>
      </c>
      <c r="C4658" s="9" t="s">
        <v>4932</v>
      </c>
      <c r="D4658" s="9" t="s">
        <v>5871</v>
      </c>
      <c r="E4658" s="9" t="str">
        <f aca="false">IF(AND('Formation Ledger'!A4637&lt;&gt;"",'Formation Ledger'!V4637=0),"PASS","FAIL")</f>
        <v>PASS</v>
      </c>
      <c r="F4658" s="9" t="s">
        <v>76</v>
      </c>
      <c r="G4658" s="6"/>
      <c r="H4658" s="6"/>
      <c r="I4658" s="6"/>
      <c r="J4658" s="6"/>
      <c r="K4658" s="6"/>
      <c r="L4658" s="6"/>
      <c r="M4658" s="6"/>
      <c r="N4658" s="6"/>
      <c r="O4658" s="6"/>
      <c r="P4658" s="6"/>
      <c r="Q4658" s="6"/>
      <c r="R4658" s="6"/>
      <c r="S4658" s="6"/>
      <c r="T4658" s="6"/>
      <c r="U4658" s="6"/>
      <c r="V4658" s="6"/>
      <c r="W4658" s="6"/>
      <c r="X4658" s="6"/>
      <c r="Y4658" s="6"/>
      <c r="Z4658" s="6"/>
    </row>
    <row r="4659" customFormat="false" ht="15" hidden="false" customHeight="false" outlineLevel="0" collapsed="false">
      <c r="A4659" s="9" t="s">
        <v>10502</v>
      </c>
      <c r="B4659" s="9" t="s">
        <v>5870</v>
      </c>
      <c r="C4659" s="9" t="s">
        <v>4933</v>
      </c>
      <c r="D4659" s="9" t="s">
        <v>5871</v>
      </c>
      <c r="E4659" s="9" t="str">
        <f aca="false">IF(AND('Formation Ledger'!A4638&lt;&gt;"",'Formation Ledger'!V4638=0),"PASS","FAIL")</f>
        <v>PASS</v>
      </c>
      <c r="F4659" s="9" t="s">
        <v>76</v>
      </c>
      <c r="G4659" s="6"/>
      <c r="H4659" s="6"/>
      <c r="I4659" s="6"/>
      <c r="J4659" s="6"/>
      <c r="K4659" s="6"/>
      <c r="L4659" s="6"/>
      <c r="M4659" s="6"/>
      <c r="N4659" s="6"/>
      <c r="O4659" s="6"/>
      <c r="P4659" s="6"/>
      <c r="Q4659" s="6"/>
      <c r="R4659" s="6"/>
      <c r="S4659" s="6"/>
      <c r="T4659" s="6"/>
      <c r="U4659" s="6"/>
      <c r="V4659" s="6"/>
      <c r="W4659" s="6"/>
      <c r="X4659" s="6"/>
      <c r="Y4659" s="6"/>
      <c r="Z4659" s="6"/>
    </row>
    <row r="4660" customFormat="false" ht="15" hidden="false" customHeight="false" outlineLevel="0" collapsed="false">
      <c r="A4660" s="9" t="s">
        <v>10503</v>
      </c>
      <c r="B4660" s="9" t="s">
        <v>5870</v>
      </c>
      <c r="C4660" s="9" t="s">
        <v>4934</v>
      </c>
      <c r="D4660" s="9" t="s">
        <v>5871</v>
      </c>
      <c r="E4660" s="9" t="str">
        <f aca="false">IF(AND('Formation Ledger'!A4639&lt;&gt;"",'Formation Ledger'!V4639=0),"PASS","FAIL")</f>
        <v>PASS</v>
      </c>
      <c r="F4660" s="9" t="s">
        <v>76</v>
      </c>
      <c r="G4660" s="6"/>
      <c r="H4660" s="6"/>
      <c r="I4660" s="6"/>
      <c r="J4660" s="6"/>
      <c r="K4660" s="6"/>
      <c r="L4660" s="6"/>
      <c r="M4660" s="6"/>
      <c r="N4660" s="6"/>
      <c r="O4660" s="6"/>
      <c r="P4660" s="6"/>
      <c r="Q4660" s="6"/>
      <c r="R4660" s="6"/>
      <c r="S4660" s="6"/>
      <c r="T4660" s="6"/>
      <c r="U4660" s="6"/>
      <c r="V4660" s="6"/>
      <c r="W4660" s="6"/>
      <c r="X4660" s="6"/>
      <c r="Y4660" s="6"/>
      <c r="Z4660" s="6"/>
    </row>
    <row r="4661" customFormat="false" ht="15" hidden="false" customHeight="false" outlineLevel="0" collapsed="false">
      <c r="A4661" s="9" t="s">
        <v>10504</v>
      </c>
      <c r="B4661" s="9" t="s">
        <v>5870</v>
      </c>
      <c r="C4661" s="9" t="s">
        <v>4935</v>
      </c>
      <c r="D4661" s="9" t="s">
        <v>5871</v>
      </c>
      <c r="E4661" s="9" t="str">
        <f aca="false">IF(AND('Formation Ledger'!A4640&lt;&gt;"",'Formation Ledger'!V4640=0),"PASS","FAIL")</f>
        <v>PASS</v>
      </c>
      <c r="F4661" s="9" t="s">
        <v>76</v>
      </c>
      <c r="G4661" s="6"/>
      <c r="H4661" s="6"/>
      <c r="I4661" s="6"/>
      <c r="J4661" s="6"/>
      <c r="K4661" s="6"/>
      <c r="L4661" s="6"/>
      <c r="M4661" s="6"/>
      <c r="N4661" s="6"/>
      <c r="O4661" s="6"/>
      <c r="P4661" s="6"/>
      <c r="Q4661" s="6"/>
      <c r="R4661" s="6"/>
      <c r="S4661" s="6"/>
      <c r="T4661" s="6"/>
      <c r="U4661" s="6"/>
      <c r="V4661" s="6"/>
      <c r="W4661" s="6"/>
      <c r="X4661" s="6"/>
      <c r="Y4661" s="6"/>
      <c r="Z4661" s="6"/>
    </row>
    <row r="4662" customFormat="false" ht="15" hidden="false" customHeight="false" outlineLevel="0" collapsed="false">
      <c r="A4662" s="9" t="s">
        <v>10505</v>
      </c>
      <c r="B4662" s="9" t="s">
        <v>5870</v>
      </c>
      <c r="C4662" s="9" t="s">
        <v>4936</v>
      </c>
      <c r="D4662" s="9" t="s">
        <v>5871</v>
      </c>
      <c r="E4662" s="9" t="str">
        <f aca="false">IF(AND('Formation Ledger'!A4641&lt;&gt;"",'Formation Ledger'!V4641=0),"PASS","FAIL")</f>
        <v>PASS</v>
      </c>
      <c r="F4662" s="9" t="s">
        <v>76</v>
      </c>
      <c r="G4662" s="6"/>
      <c r="H4662" s="6"/>
      <c r="I4662" s="6"/>
      <c r="J4662" s="6"/>
      <c r="K4662" s="6"/>
      <c r="L4662" s="6"/>
      <c r="M4662" s="6"/>
      <c r="N4662" s="6"/>
      <c r="O4662" s="6"/>
      <c r="P4662" s="6"/>
      <c r="Q4662" s="6"/>
      <c r="R4662" s="6"/>
      <c r="S4662" s="6"/>
      <c r="T4662" s="6"/>
      <c r="U4662" s="6"/>
      <c r="V4662" s="6"/>
      <c r="W4662" s="6"/>
      <c r="X4662" s="6"/>
      <c r="Y4662" s="6"/>
      <c r="Z4662" s="6"/>
    </row>
    <row r="4663" customFormat="false" ht="15" hidden="false" customHeight="false" outlineLevel="0" collapsed="false">
      <c r="A4663" s="9" t="s">
        <v>10506</v>
      </c>
      <c r="B4663" s="9" t="s">
        <v>5870</v>
      </c>
      <c r="C4663" s="9" t="s">
        <v>4937</v>
      </c>
      <c r="D4663" s="9" t="s">
        <v>5871</v>
      </c>
      <c r="E4663" s="9" t="str">
        <f aca="false">IF(AND('Formation Ledger'!A4642&lt;&gt;"",'Formation Ledger'!V4642=0),"PASS","FAIL")</f>
        <v>PASS</v>
      </c>
      <c r="F4663" s="9" t="s">
        <v>76</v>
      </c>
      <c r="G4663" s="6"/>
      <c r="H4663" s="6"/>
      <c r="I4663" s="6"/>
      <c r="J4663" s="6"/>
      <c r="K4663" s="6"/>
      <c r="L4663" s="6"/>
      <c r="M4663" s="6"/>
      <c r="N4663" s="6"/>
      <c r="O4663" s="6"/>
      <c r="P4663" s="6"/>
      <c r="Q4663" s="6"/>
      <c r="R4663" s="6"/>
      <c r="S4663" s="6"/>
      <c r="T4663" s="6"/>
      <c r="U4663" s="6"/>
      <c r="V4663" s="6"/>
      <c r="W4663" s="6"/>
      <c r="X4663" s="6"/>
      <c r="Y4663" s="6"/>
      <c r="Z4663" s="6"/>
    </row>
    <row r="4664" customFormat="false" ht="15" hidden="false" customHeight="false" outlineLevel="0" collapsed="false">
      <c r="A4664" s="9" t="s">
        <v>10507</v>
      </c>
      <c r="B4664" s="9" t="s">
        <v>5870</v>
      </c>
      <c r="C4664" s="9" t="s">
        <v>4938</v>
      </c>
      <c r="D4664" s="9" t="s">
        <v>5871</v>
      </c>
      <c r="E4664" s="9" t="str">
        <f aca="false">IF(AND('Formation Ledger'!A4643&lt;&gt;"",'Formation Ledger'!V4643=0),"PASS","FAIL")</f>
        <v>PASS</v>
      </c>
      <c r="F4664" s="9" t="s">
        <v>76</v>
      </c>
      <c r="G4664" s="6"/>
      <c r="H4664" s="6"/>
      <c r="I4664" s="6"/>
      <c r="J4664" s="6"/>
      <c r="K4664" s="6"/>
      <c r="L4664" s="6"/>
      <c r="M4664" s="6"/>
      <c r="N4664" s="6"/>
      <c r="O4664" s="6"/>
      <c r="P4664" s="6"/>
      <c r="Q4664" s="6"/>
      <c r="R4664" s="6"/>
      <c r="S4664" s="6"/>
      <c r="T4664" s="6"/>
      <c r="U4664" s="6"/>
      <c r="V4664" s="6"/>
      <c r="W4664" s="6"/>
      <c r="X4664" s="6"/>
      <c r="Y4664" s="6"/>
      <c r="Z4664" s="6"/>
    </row>
    <row r="4665" customFormat="false" ht="15" hidden="false" customHeight="false" outlineLevel="0" collapsed="false">
      <c r="A4665" s="9" t="s">
        <v>10508</v>
      </c>
      <c r="B4665" s="9" t="s">
        <v>5870</v>
      </c>
      <c r="C4665" s="9" t="s">
        <v>4939</v>
      </c>
      <c r="D4665" s="9" t="s">
        <v>5871</v>
      </c>
      <c r="E4665" s="9" t="str">
        <f aca="false">IF(AND('Formation Ledger'!A4644&lt;&gt;"",'Formation Ledger'!V4644=0),"PASS","FAIL")</f>
        <v>PASS</v>
      </c>
      <c r="F4665" s="9" t="s">
        <v>76</v>
      </c>
      <c r="G4665" s="6"/>
      <c r="H4665" s="6"/>
      <c r="I4665" s="6"/>
      <c r="J4665" s="6"/>
      <c r="K4665" s="6"/>
      <c r="L4665" s="6"/>
      <c r="M4665" s="6"/>
      <c r="N4665" s="6"/>
      <c r="O4665" s="6"/>
      <c r="P4665" s="6"/>
      <c r="Q4665" s="6"/>
      <c r="R4665" s="6"/>
      <c r="S4665" s="6"/>
      <c r="T4665" s="6"/>
      <c r="U4665" s="6"/>
      <c r="V4665" s="6"/>
      <c r="W4665" s="6"/>
      <c r="X4665" s="6"/>
      <c r="Y4665" s="6"/>
      <c r="Z4665" s="6"/>
    </row>
    <row r="4666" customFormat="false" ht="15" hidden="false" customHeight="false" outlineLevel="0" collapsed="false">
      <c r="A4666" s="9" t="s">
        <v>10509</v>
      </c>
      <c r="B4666" s="9" t="s">
        <v>5870</v>
      </c>
      <c r="C4666" s="9" t="s">
        <v>4940</v>
      </c>
      <c r="D4666" s="9" t="s">
        <v>5871</v>
      </c>
      <c r="E4666" s="9" t="str">
        <f aca="false">IF(AND('Formation Ledger'!A4645&lt;&gt;"",'Formation Ledger'!V4645=0),"PASS","FAIL")</f>
        <v>PASS</v>
      </c>
      <c r="F4666" s="9" t="s">
        <v>76</v>
      </c>
      <c r="G4666" s="6"/>
      <c r="H4666" s="6"/>
      <c r="I4666" s="6"/>
      <c r="J4666" s="6"/>
      <c r="K4666" s="6"/>
      <c r="L4666" s="6"/>
      <c r="M4666" s="6"/>
      <c r="N4666" s="6"/>
      <c r="O4666" s="6"/>
      <c r="P4666" s="6"/>
      <c r="Q4666" s="6"/>
      <c r="R4666" s="6"/>
      <c r="S4666" s="6"/>
      <c r="T4666" s="6"/>
      <c r="U4666" s="6"/>
      <c r="V4666" s="6"/>
      <c r="W4666" s="6"/>
      <c r="X4666" s="6"/>
      <c r="Y4666" s="6"/>
      <c r="Z4666" s="6"/>
    </row>
    <row r="4667" customFormat="false" ht="15" hidden="false" customHeight="false" outlineLevel="0" collapsed="false">
      <c r="A4667" s="9" t="s">
        <v>10510</v>
      </c>
      <c r="B4667" s="9" t="s">
        <v>5870</v>
      </c>
      <c r="C4667" s="9" t="s">
        <v>4941</v>
      </c>
      <c r="D4667" s="9" t="s">
        <v>5871</v>
      </c>
      <c r="E4667" s="9" t="str">
        <f aca="false">IF(AND('Formation Ledger'!A4646&lt;&gt;"",'Formation Ledger'!V4646=0),"PASS","FAIL")</f>
        <v>PASS</v>
      </c>
      <c r="F4667" s="9" t="s">
        <v>76</v>
      </c>
      <c r="G4667" s="6"/>
      <c r="H4667" s="6"/>
      <c r="I4667" s="6"/>
      <c r="J4667" s="6"/>
      <c r="K4667" s="6"/>
      <c r="L4667" s="6"/>
      <c r="M4667" s="6"/>
      <c r="N4667" s="6"/>
      <c r="O4667" s="6"/>
      <c r="P4667" s="6"/>
      <c r="Q4667" s="6"/>
      <c r="R4667" s="6"/>
      <c r="S4667" s="6"/>
      <c r="T4667" s="6"/>
      <c r="U4667" s="6"/>
      <c r="V4667" s="6"/>
      <c r="W4667" s="6"/>
      <c r="X4667" s="6"/>
      <c r="Y4667" s="6"/>
      <c r="Z4667" s="6"/>
    </row>
    <row r="4668" customFormat="false" ht="15" hidden="false" customHeight="false" outlineLevel="0" collapsed="false">
      <c r="A4668" s="9" t="s">
        <v>10511</v>
      </c>
      <c r="B4668" s="9" t="s">
        <v>5870</v>
      </c>
      <c r="C4668" s="9" t="s">
        <v>4942</v>
      </c>
      <c r="D4668" s="9" t="s">
        <v>5871</v>
      </c>
      <c r="E4668" s="9" t="str">
        <f aca="false">IF(AND('Formation Ledger'!A4647&lt;&gt;"",'Formation Ledger'!V4647=0),"PASS","FAIL")</f>
        <v>PASS</v>
      </c>
      <c r="F4668" s="9" t="s">
        <v>76</v>
      </c>
      <c r="G4668" s="6"/>
      <c r="H4668" s="6"/>
      <c r="I4668" s="6"/>
      <c r="J4668" s="6"/>
      <c r="K4668" s="6"/>
      <c r="L4668" s="6"/>
      <c r="M4668" s="6"/>
      <c r="N4668" s="6"/>
      <c r="O4668" s="6"/>
      <c r="P4668" s="6"/>
      <c r="Q4668" s="6"/>
      <c r="R4668" s="6"/>
      <c r="S4668" s="6"/>
      <c r="T4668" s="6"/>
      <c r="U4668" s="6"/>
      <c r="V4668" s="6"/>
      <c r="W4668" s="6"/>
      <c r="X4668" s="6"/>
      <c r="Y4668" s="6"/>
      <c r="Z4668" s="6"/>
    </row>
    <row r="4669" customFormat="false" ht="15" hidden="false" customHeight="false" outlineLevel="0" collapsed="false">
      <c r="A4669" s="9" t="s">
        <v>10512</v>
      </c>
      <c r="B4669" s="9" t="s">
        <v>5870</v>
      </c>
      <c r="C4669" s="9" t="s">
        <v>4943</v>
      </c>
      <c r="D4669" s="9" t="s">
        <v>5871</v>
      </c>
      <c r="E4669" s="9" t="str">
        <f aca="false">IF(AND('Formation Ledger'!A4648&lt;&gt;"",'Formation Ledger'!V4648=0),"PASS","FAIL")</f>
        <v>PASS</v>
      </c>
      <c r="F4669" s="9" t="s">
        <v>76</v>
      </c>
      <c r="G4669" s="6"/>
      <c r="H4669" s="6"/>
      <c r="I4669" s="6"/>
      <c r="J4669" s="6"/>
      <c r="K4669" s="6"/>
      <c r="L4669" s="6"/>
      <c r="M4669" s="6"/>
      <c r="N4669" s="6"/>
      <c r="O4669" s="6"/>
      <c r="P4669" s="6"/>
      <c r="Q4669" s="6"/>
      <c r="R4669" s="6"/>
      <c r="S4669" s="6"/>
      <c r="T4669" s="6"/>
      <c r="U4669" s="6"/>
      <c r="V4669" s="6"/>
      <c r="W4669" s="6"/>
      <c r="X4669" s="6"/>
      <c r="Y4669" s="6"/>
      <c r="Z4669" s="6"/>
    </row>
    <row r="4670" customFormat="false" ht="15" hidden="false" customHeight="false" outlineLevel="0" collapsed="false">
      <c r="A4670" s="9" t="s">
        <v>10513</v>
      </c>
      <c r="B4670" s="9" t="s">
        <v>5870</v>
      </c>
      <c r="C4670" s="9" t="s">
        <v>4944</v>
      </c>
      <c r="D4670" s="9" t="s">
        <v>5871</v>
      </c>
      <c r="E4670" s="9" t="str">
        <f aca="false">IF(AND('Formation Ledger'!A4649&lt;&gt;"",'Formation Ledger'!V4649=0),"PASS","FAIL")</f>
        <v>PASS</v>
      </c>
      <c r="F4670" s="9" t="s">
        <v>76</v>
      </c>
      <c r="G4670" s="6"/>
      <c r="H4670" s="6"/>
      <c r="I4670" s="6"/>
      <c r="J4670" s="6"/>
      <c r="K4670" s="6"/>
      <c r="L4670" s="6"/>
      <c r="M4670" s="6"/>
      <c r="N4670" s="6"/>
      <c r="O4670" s="6"/>
      <c r="P4670" s="6"/>
      <c r="Q4670" s="6"/>
      <c r="R4670" s="6"/>
      <c r="S4670" s="6"/>
      <c r="T4670" s="6"/>
      <c r="U4670" s="6"/>
      <c r="V4670" s="6"/>
      <c r="W4670" s="6"/>
      <c r="X4670" s="6"/>
      <c r="Y4670" s="6"/>
      <c r="Z4670" s="6"/>
    </row>
    <row r="4671" customFormat="false" ht="15" hidden="false" customHeight="false" outlineLevel="0" collapsed="false">
      <c r="A4671" s="9" t="s">
        <v>10514</v>
      </c>
      <c r="B4671" s="9" t="s">
        <v>5870</v>
      </c>
      <c r="C4671" s="9" t="s">
        <v>4945</v>
      </c>
      <c r="D4671" s="9" t="s">
        <v>5871</v>
      </c>
      <c r="E4671" s="9" t="str">
        <f aca="false">IF(AND('Formation Ledger'!A4650&lt;&gt;"",'Formation Ledger'!V4650=0),"PASS","FAIL")</f>
        <v>PASS</v>
      </c>
      <c r="F4671" s="9" t="s">
        <v>76</v>
      </c>
      <c r="G4671" s="6"/>
      <c r="H4671" s="6"/>
      <c r="I4671" s="6"/>
      <c r="J4671" s="6"/>
      <c r="K4671" s="6"/>
      <c r="L4671" s="6"/>
      <c r="M4671" s="6"/>
      <c r="N4671" s="6"/>
      <c r="O4671" s="6"/>
      <c r="P4671" s="6"/>
      <c r="Q4671" s="6"/>
      <c r="R4671" s="6"/>
      <c r="S4671" s="6"/>
      <c r="T4671" s="6"/>
      <c r="U4671" s="6"/>
      <c r="V4671" s="6"/>
      <c r="W4671" s="6"/>
      <c r="X4671" s="6"/>
      <c r="Y4671" s="6"/>
      <c r="Z4671" s="6"/>
    </row>
    <row r="4672" customFormat="false" ht="15" hidden="false" customHeight="false" outlineLevel="0" collapsed="false">
      <c r="A4672" s="9" t="s">
        <v>10515</v>
      </c>
      <c r="B4672" s="9" t="s">
        <v>5870</v>
      </c>
      <c r="C4672" s="9" t="s">
        <v>4946</v>
      </c>
      <c r="D4672" s="9" t="s">
        <v>5871</v>
      </c>
      <c r="E4672" s="9" t="str">
        <f aca="false">IF(AND('Formation Ledger'!A4651&lt;&gt;"",'Formation Ledger'!V4651=0),"PASS","FAIL")</f>
        <v>PASS</v>
      </c>
      <c r="F4672" s="9" t="s">
        <v>76</v>
      </c>
      <c r="G4672" s="6"/>
      <c r="H4672" s="6"/>
      <c r="I4672" s="6"/>
      <c r="J4672" s="6"/>
      <c r="K4672" s="6"/>
      <c r="L4672" s="6"/>
      <c r="M4672" s="6"/>
      <c r="N4672" s="6"/>
      <c r="O4672" s="6"/>
      <c r="P4672" s="6"/>
      <c r="Q4672" s="6"/>
      <c r="R4672" s="6"/>
      <c r="S4672" s="6"/>
      <c r="T4672" s="6"/>
      <c r="U4672" s="6"/>
      <c r="V4672" s="6"/>
      <c r="W4672" s="6"/>
      <c r="X4672" s="6"/>
      <c r="Y4672" s="6"/>
      <c r="Z4672" s="6"/>
    </row>
    <row r="4673" customFormat="false" ht="15" hidden="false" customHeight="false" outlineLevel="0" collapsed="false">
      <c r="A4673" s="9" t="s">
        <v>10516</v>
      </c>
      <c r="B4673" s="9" t="s">
        <v>5870</v>
      </c>
      <c r="C4673" s="9" t="s">
        <v>4947</v>
      </c>
      <c r="D4673" s="9" t="s">
        <v>5871</v>
      </c>
      <c r="E4673" s="9" t="str">
        <f aca="false">IF(AND('Formation Ledger'!A4652&lt;&gt;"",'Formation Ledger'!V4652=0),"PASS","FAIL")</f>
        <v>PASS</v>
      </c>
      <c r="F4673" s="9" t="s">
        <v>76</v>
      </c>
      <c r="G4673" s="6"/>
      <c r="H4673" s="6"/>
      <c r="I4673" s="6"/>
      <c r="J4673" s="6"/>
      <c r="K4673" s="6"/>
      <c r="L4673" s="6"/>
      <c r="M4673" s="6"/>
      <c r="N4673" s="6"/>
      <c r="O4673" s="6"/>
      <c r="P4673" s="6"/>
      <c r="Q4673" s="6"/>
      <c r="R4673" s="6"/>
      <c r="S4673" s="6"/>
      <c r="T4673" s="6"/>
      <c r="U4673" s="6"/>
      <c r="V4673" s="6"/>
      <c r="W4673" s="6"/>
      <c r="X4673" s="6"/>
      <c r="Y4673" s="6"/>
      <c r="Z4673" s="6"/>
    </row>
    <row r="4674" customFormat="false" ht="15" hidden="false" customHeight="false" outlineLevel="0" collapsed="false">
      <c r="A4674" s="9" t="s">
        <v>10517</v>
      </c>
      <c r="B4674" s="9" t="s">
        <v>5870</v>
      </c>
      <c r="C4674" s="9" t="s">
        <v>4948</v>
      </c>
      <c r="D4674" s="9" t="s">
        <v>5871</v>
      </c>
      <c r="E4674" s="9" t="str">
        <f aca="false">IF(AND('Formation Ledger'!A4653&lt;&gt;"",'Formation Ledger'!V4653=0),"PASS","FAIL")</f>
        <v>PASS</v>
      </c>
      <c r="F4674" s="9" t="s">
        <v>76</v>
      </c>
      <c r="G4674" s="6"/>
      <c r="H4674" s="6"/>
      <c r="I4674" s="6"/>
      <c r="J4674" s="6"/>
      <c r="K4674" s="6"/>
      <c r="L4674" s="6"/>
      <c r="M4674" s="6"/>
      <c r="N4674" s="6"/>
      <c r="O4674" s="6"/>
      <c r="P4674" s="6"/>
      <c r="Q4674" s="6"/>
      <c r="R4674" s="6"/>
      <c r="S4674" s="6"/>
      <c r="T4674" s="6"/>
      <c r="U4674" s="6"/>
      <c r="V4674" s="6"/>
      <c r="W4674" s="6"/>
      <c r="X4674" s="6"/>
      <c r="Y4674" s="6"/>
      <c r="Z4674" s="6"/>
    </row>
    <row r="4675" customFormat="false" ht="15" hidden="false" customHeight="false" outlineLevel="0" collapsed="false">
      <c r="A4675" s="9" t="s">
        <v>10518</v>
      </c>
      <c r="B4675" s="9" t="s">
        <v>5870</v>
      </c>
      <c r="C4675" s="9" t="s">
        <v>4949</v>
      </c>
      <c r="D4675" s="9" t="s">
        <v>5871</v>
      </c>
      <c r="E4675" s="9" t="str">
        <f aca="false">IF(AND('Formation Ledger'!A4654&lt;&gt;"",'Formation Ledger'!V4654=0),"PASS","FAIL")</f>
        <v>PASS</v>
      </c>
      <c r="F4675" s="9" t="s">
        <v>76</v>
      </c>
      <c r="G4675" s="6"/>
      <c r="H4675" s="6"/>
      <c r="I4675" s="6"/>
      <c r="J4675" s="6"/>
      <c r="K4675" s="6"/>
      <c r="L4675" s="6"/>
      <c r="M4675" s="6"/>
      <c r="N4675" s="6"/>
      <c r="O4675" s="6"/>
      <c r="P4675" s="6"/>
      <c r="Q4675" s="6"/>
      <c r="R4675" s="6"/>
      <c r="S4675" s="6"/>
      <c r="T4675" s="6"/>
      <c r="U4675" s="6"/>
      <c r="V4675" s="6"/>
      <c r="W4675" s="6"/>
      <c r="X4675" s="6"/>
      <c r="Y4675" s="6"/>
      <c r="Z4675" s="6"/>
    </row>
    <row r="4676" customFormat="false" ht="15" hidden="false" customHeight="false" outlineLevel="0" collapsed="false">
      <c r="A4676" s="9" t="s">
        <v>10519</v>
      </c>
      <c r="B4676" s="9" t="s">
        <v>5870</v>
      </c>
      <c r="C4676" s="9" t="s">
        <v>4950</v>
      </c>
      <c r="D4676" s="9" t="s">
        <v>5871</v>
      </c>
      <c r="E4676" s="9" t="str">
        <f aca="false">IF(AND('Formation Ledger'!A4655&lt;&gt;"",'Formation Ledger'!V4655=0),"PASS","FAIL")</f>
        <v>PASS</v>
      </c>
      <c r="F4676" s="9" t="s">
        <v>76</v>
      </c>
      <c r="G4676" s="6"/>
      <c r="H4676" s="6"/>
      <c r="I4676" s="6"/>
      <c r="J4676" s="6"/>
      <c r="K4676" s="6"/>
      <c r="L4676" s="6"/>
      <c r="M4676" s="6"/>
      <c r="N4676" s="6"/>
      <c r="O4676" s="6"/>
      <c r="P4676" s="6"/>
      <c r="Q4676" s="6"/>
      <c r="R4676" s="6"/>
      <c r="S4676" s="6"/>
      <c r="T4676" s="6"/>
      <c r="U4676" s="6"/>
      <c r="V4676" s="6"/>
      <c r="W4676" s="6"/>
      <c r="X4676" s="6"/>
      <c r="Y4676" s="6"/>
      <c r="Z4676" s="6"/>
    </row>
    <row r="4677" customFormat="false" ht="15" hidden="false" customHeight="false" outlineLevel="0" collapsed="false">
      <c r="A4677" s="9" t="s">
        <v>10520</v>
      </c>
      <c r="B4677" s="9" t="s">
        <v>5870</v>
      </c>
      <c r="C4677" s="9" t="s">
        <v>4951</v>
      </c>
      <c r="D4677" s="9" t="s">
        <v>5871</v>
      </c>
      <c r="E4677" s="9" t="str">
        <f aca="false">IF(AND('Formation Ledger'!A4656&lt;&gt;"",'Formation Ledger'!V4656=0),"PASS","FAIL")</f>
        <v>PASS</v>
      </c>
      <c r="F4677" s="9" t="s">
        <v>76</v>
      </c>
      <c r="G4677" s="6"/>
      <c r="H4677" s="6"/>
      <c r="I4677" s="6"/>
      <c r="J4677" s="6"/>
      <c r="K4677" s="6"/>
      <c r="L4677" s="6"/>
      <c r="M4677" s="6"/>
      <c r="N4677" s="6"/>
      <c r="O4677" s="6"/>
      <c r="P4677" s="6"/>
      <c r="Q4677" s="6"/>
      <c r="R4677" s="6"/>
      <c r="S4677" s="6"/>
      <c r="T4677" s="6"/>
      <c r="U4677" s="6"/>
      <c r="V4677" s="6"/>
      <c r="W4677" s="6"/>
      <c r="X4677" s="6"/>
      <c r="Y4677" s="6"/>
      <c r="Z4677" s="6"/>
    </row>
    <row r="4678" customFormat="false" ht="15" hidden="false" customHeight="false" outlineLevel="0" collapsed="false">
      <c r="A4678" s="9" t="s">
        <v>10521</v>
      </c>
      <c r="B4678" s="9" t="s">
        <v>5870</v>
      </c>
      <c r="C4678" s="9" t="s">
        <v>4952</v>
      </c>
      <c r="D4678" s="9" t="s">
        <v>5871</v>
      </c>
      <c r="E4678" s="9" t="str">
        <f aca="false">IF(AND('Formation Ledger'!A4657&lt;&gt;"",'Formation Ledger'!V4657=0),"PASS","FAIL")</f>
        <v>PASS</v>
      </c>
      <c r="F4678" s="9" t="s">
        <v>76</v>
      </c>
      <c r="G4678" s="6"/>
      <c r="H4678" s="6"/>
      <c r="I4678" s="6"/>
      <c r="J4678" s="6"/>
      <c r="K4678" s="6"/>
      <c r="L4678" s="6"/>
      <c r="M4678" s="6"/>
      <c r="N4678" s="6"/>
      <c r="O4678" s="6"/>
      <c r="P4678" s="6"/>
      <c r="Q4678" s="6"/>
      <c r="R4678" s="6"/>
      <c r="S4678" s="6"/>
      <c r="T4678" s="6"/>
      <c r="U4678" s="6"/>
      <c r="V4678" s="6"/>
      <c r="W4678" s="6"/>
      <c r="X4678" s="6"/>
      <c r="Y4678" s="6"/>
      <c r="Z4678" s="6"/>
    </row>
    <row r="4679" customFormat="false" ht="15" hidden="false" customHeight="false" outlineLevel="0" collapsed="false">
      <c r="A4679" s="9" t="s">
        <v>10522</v>
      </c>
      <c r="B4679" s="9" t="s">
        <v>5870</v>
      </c>
      <c r="C4679" s="9" t="s">
        <v>4953</v>
      </c>
      <c r="D4679" s="9" t="s">
        <v>5871</v>
      </c>
      <c r="E4679" s="9" t="str">
        <f aca="false">IF(AND('Formation Ledger'!A4658&lt;&gt;"",'Formation Ledger'!V4658=0),"PASS","FAIL")</f>
        <v>PASS</v>
      </c>
      <c r="F4679" s="9" t="s">
        <v>76</v>
      </c>
      <c r="G4679" s="6"/>
      <c r="H4679" s="6"/>
      <c r="I4679" s="6"/>
      <c r="J4679" s="6"/>
      <c r="K4679" s="6"/>
      <c r="L4679" s="6"/>
      <c r="M4679" s="6"/>
      <c r="N4679" s="6"/>
      <c r="O4679" s="6"/>
      <c r="P4679" s="6"/>
      <c r="Q4679" s="6"/>
      <c r="R4679" s="6"/>
      <c r="S4679" s="6"/>
      <c r="T4679" s="6"/>
      <c r="U4679" s="6"/>
      <c r="V4679" s="6"/>
      <c r="W4679" s="6"/>
      <c r="X4679" s="6"/>
      <c r="Y4679" s="6"/>
      <c r="Z4679" s="6"/>
    </row>
    <row r="4680" customFormat="false" ht="15" hidden="false" customHeight="false" outlineLevel="0" collapsed="false">
      <c r="A4680" s="9" t="s">
        <v>10523</v>
      </c>
      <c r="B4680" s="9" t="s">
        <v>5870</v>
      </c>
      <c r="C4680" s="9" t="s">
        <v>4954</v>
      </c>
      <c r="D4680" s="9" t="s">
        <v>5871</v>
      </c>
      <c r="E4680" s="9" t="str">
        <f aca="false">IF(AND('Formation Ledger'!A4659&lt;&gt;"",'Formation Ledger'!V4659=0),"PASS","FAIL")</f>
        <v>PASS</v>
      </c>
      <c r="F4680" s="9" t="s">
        <v>76</v>
      </c>
      <c r="G4680" s="6"/>
      <c r="H4680" s="6"/>
      <c r="I4680" s="6"/>
      <c r="J4680" s="6"/>
      <c r="K4680" s="6"/>
      <c r="L4680" s="6"/>
      <c r="M4680" s="6"/>
      <c r="N4680" s="6"/>
      <c r="O4680" s="6"/>
      <c r="P4680" s="6"/>
      <c r="Q4680" s="6"/>
      <c r="R4680" s="6"/>
      <c r="S4680" s="6"/>
      <c r="T4680" s="6"/>
      <c r="U4680" s="6"/>
      <c r="V4680" s="6"/>
      <c r="W4680" s="6"/>
      <c r="X4680" s="6"/>
      <c r="Y4680" s="6"/>
      <c r="Z4680" s="6"/>
    </row>
    <row r="4681" customFormat="false" ht="15" hidden="false" customHeight="false" outlineLevel="0" collapsed="false">
      <c r="A4681" s="9" t="s">
        <v>10524</v>
      </c>
      <c r="B4681" s="9" t="s">
        <v>5870</v>
      </c>
      <c r="C4681" s="9" t="s">
        <v>4955</v>
      </c>
      <c r="D4681" s="9" t="s">
        <v>5871</v>
      </c>
      <c r="E4681" s="9" t="str">
        <f aca="false">IF(AND('Formation Ledger'!A4660&lt;&gt;"",'Formation Ledger'!V4660=0),"PASS","FAIL")</f>
        <v>PASS</v>
      </c>
      <c r="F4681" s="9" t="s">
        <v>76</v>
      </c>
      <c r="G4681" s="6"/>
      <c r="H4681" s="6"/>
      <c r="I4681" s="6"/>
      <c r="J4681" s="6"/>
      <c r="K4681" s="6"/>
      <c r="L4681" s="6"/>
      <c r="M4681" s="6"/>
      <c r="N4681" s="6"/>
      <c r="O4681" s="6"/>
      <c r="P4681" s="6"/>
      <c r="Q4681" s="6"/>
      <c r="R4681" s="6"/>
      <c r="S4681" s="6"/>
      <c r="T4681" s="6"/>
      <c r="U4681" s="6"/>
      <c r="V4681" s="6"/>
      <c r="W4681" s="6"/>
      <c r="X4681" s="6"/>
      <c r="Y4681" s="6"/>
      <c r="Z4681" s="6"/>
    </row>
    <row r="4682" customFormat="false" ht="15" hidden="false" customHeight="false" outlineLevel="0" collapsed="false">
      <c r="A4682" s="9" t="s">
        <v>10525</v>
      </c>
      <c r="B4682" s="9" t="s">
        <v>5870</v>
      </c>
      <c r="C4682" s="9" t="s">
        <v>4956</v>
      </c>
      <c r="D4682" s="9" t="s">
        <v>5871</v>
      </c>
      <c r="E4682" s="9" t="str">
        <f aca="false">IF(AND('Formation Ledger'!A4661&lt;&gt;"",'Formation Ledger'!V4661=0),"PASS","FAIL")</f>
        <v>PASS</v>
      </c>
      <c r="F4682" s="9" t="s">
        <v>76</v>
      </c>
      <c r="G4682" s="6"/>
      <c r="H4682" s="6"/>
      <c r="I4682" s="6"/>
      <c r="J4682" s="6"/>
      <c r="K4682" s="6"/>
      <c r="L4682" s="6"/>
      <c r="M4682" s="6"/>
      <c r="N4682" s="6"/>
      <c r="O4682" s="6"/>
      <c r="P4682" s="6"/>
      <c r="Q4682" s="6"/>
      <c r="R4682" s="6"/>
      <c r="S4682" s="6"/>
      <c r="T4682" s="6"/>
      <c r="U4682" s="6"/>
      <c r="V4682" s="6"/>
      <c r="W4682" s="6"/>
      <c r="X4682" s="6"/>
      <c r="Y4682" s="6"/>
      <c r="Z4682" s="6"/>
    </row>
    <row r="4683" customFormat="false" ht="15" hidden="false" customHeight="false" outlineLevel="0" collapsed="false">
      <c r="A4683" s="9" t="s">
        <v>10526</v>
      </c>
      <c r="B4683" s="9" t="s">
        <v>5870</v>
      </c>
      <c r="C4683" s="9" t="s">
        <v>4957</v>
      </c>
      <c r="D4683" s="9" t="s">
        <v>5871</v>
      </c>
      <c r="E4683" s="9" t="str">
        <f aca="false">IF(AND('Formation Ledger'!A4662&lt;&gt;"",'Formation Ledger'!V4662=0),"PASS","FAIL")</f>
        <v>PASS</v>
      </c>
      <c r="F4683" s="9" t="s">
        <v>76</v>
      </c>
      <c r="G4683" s="6"/>
      <c r="H4683" s="6"/>
      <c r="I4683" s="6"/>
      <c r="J4683" s="6"/>
      <c r="K4683" s="6"/>
      <c r="L4683" s="6"/>
      <c r="M4683" s="6"/>
      <c r="N4683" s="6"/>
      <c r="O4683" s="6"/>
      <c r="P4683" s="6"/>
      <c r="Q4683" s="6"/>
      <c r="R4683" s="6"/>
      <c r="S4683" s="6"/>
      <c r="T4683" s="6"/>
      <c r="U4683" s="6"/>
      <c r="V4683" s="6"/>
      <c r="W4683" s="6"/>
      <c r="X4683" s="6"/>
      <c r="Y4683" s="6"/>
      <c r="Z4683" s="6"/>
    </row>
    <row r="4684" customFormat="false" ht="15" hidden="false" customHeight="false" outlineLevel="0" collapsed="false">
      <c r="A4684" s="9" t="s">
        <v>10527</v>
      </c>
      <c r="B4684" s="9" t="s">
        <v>5870</v>
      </c>
      <c r="C4684" s="9" t="s">
        <v>4958</v>
      </c>
      <c r="D4684" s="9" t="s">
        <v>5871</v>
      </c>
      <c r="E4684" s="9" t="str">
        <f aca="false">IF(AND('Formation Ledger'!A4663&lt;&gt;"",'Formation Ledger'!V4663=0),"PASS","FAIL")</f>
        <v>PASS</v>
      </c>
      <c r="F4684" s="9" t="s">
        <v>76</v>
      </c>
      <c r="G4684" s="6"/>
      <c r="H4684" s="6"/>
      <c r="I4684" s="6"/>
      <c r="J4684" s="6"/>
      <c r="K4684" s="6"/>
      <c r="L4684" s="6"/>
      <c r="M4684" s="6"/>
      <c r="N4684" s="6"/>
      <c r="O4684" s="6"/>
      <c r="P4684" s="6"/>
      <c r="Q4684" s="6"/>
      <c r="R4684" s="6"/>
      <c r="S4684" s="6"/>
      <c r="T4684" s="6"/>
      <c r="U4684" s="6"/>
      <c r="V4684" s="6"/>
      <c r="W4684" s="6"/>
      <c r="X4684" s="6"/>
      <c r="Y4684" s="6"/>
      <c r="Z4684" s="6"/>
    </row>
    <row r="4685" customFormat="false" ht="15" hidden="false" customHeight="false" outlineLevel="0" collapsed="false">
      <c r="A4685" s="9" t="s">
        <v>10528</v>
      </c>
      <c r="B4685" s="9" t="s">
        <v>5870</v>
      </c>
      <c r="C4685" s="9" t="s">
        <v>4959</v>
      </c>
      <c r="D4685" s="9" t="s">
        <v>5871</v>
      </c>
      <c r="E4685" s="9" t="str">
        <f aca="false">IF(AND('Formation Ledger'!A4664&lt;&gt;"",'Formation Ledger'!V4664=0),"PASS","FAIL")</f>
        <v>PASS</v>
      </c>
      <c r="F4685" s="9" t="s">
        <v>76</v>
      </c>
      <c r="G4685" s="6"/>
      <c r="H4685" s="6"/>
      <c r="I4685" s="6"/>
      <c r="J4685" s="6"/>
      <c r="K4685" s="6"/>
      <c r="L4685" s="6"/>
      <c r="M4685" s="6"/>
      <c r="N4685" s="6"/>
      <c r="O4685" s="6"/>
      <c r="P4685" s="6"/>
      <c r="Q4685" s="6"/>
      <c r="R4685" s="6"/>
      <c r="S4685" s="6"/>
      <c r="T4685" s="6"/>
      <c r="U4685" s="6"/>
      <c r="V4685" s="6"/>
      <c r="W4685" s="6"/>
      <c r="X4685" s="6"/>
      <c r="Y4685" s="6"/>
      <c r="Z4685" s="6"/>
    </row>
    <row r="4686" customFormat="false" ht="15" hidden="false" customHeight="false" outlineLevel="0" collapsed="false">
      <c r="A4686" s="9" t="s">
        <v>10529</v>
      </c>
      <c r="B4686" s="9" t="s">
        <v>5870</v>
      </c>
      <c r="C4686" s="9" t="s">
        <v>4960</v>
      </c>
      <c r="D4686" s="9" t="s">
        <v>5871</v>
      </c>
      <c r="E4686" s="9" t="str">
        <f aca="false">IF(AND('Formation Ledger'!A4665&lt;&gt;"",'Formation Ledger'!V4665=0),"PASS","FAIL")</f>
        <v>PASS</v>
      </c>
      <c r="F4686" s="9" t="s">
        <v>76</v>
      </c>
      <c r="G4686" s="6"/>
      <c r="H4686" s="6"/>
      <c r="I4686" s="6"/>
      <c r="J4686" s="6"/>
      <c r="K4686" s="6"/>
      <c r="L4686" s="6"/>
      <c r="M4686" s="6"/>
      <c r="N4686" s="6"/>
      <c r="O4686" s="6"/>
      <c r="P4686" s="6"/>
      <c r="Q4686" s="6"/>
      <c r="R4686" s="6"/>
      <c r="S4686" s="6"/>
      <c r="T4686" s="6"/>
      <c r="U4686" s="6"/>
      <c r="V4686" s="6"/>
      <c r="W4686" s="6"/>
      <c r="X4686" s="6"/>
      <c r="Y4686" s="6"/>
      <c r="Z4686" s="6"/>
    </row>
    <row r="4687" customFormat="false" ht="15" hidden="false" customHeight="false" outlineLevel="0" collapsed="false">
      <c r="A4687" s="9" t="s">
        <v>10530</v>
      </c>
      <c r="B4687" s="9" t="s">
        <v>5870</v>
      </c>
      <c r="C4687" s="9" t="s">
        <v>4961</v>
      </c>
      <c r="D4687" s="9" t="s">
        <v>5871</v>
      </c>
      <c r="E4687" s="9" t="str">
        <f aca="false">IF(AND('Formation Ledger'!A4666&lt;&gt;"",'Formation Ledger'!V4666=0),"PASS","FAIL")</f>
        <v>PASS</v>
      </c>
      <c r="F4687" s="9" t="s">
        <v>76</v>
      </c>
      <c r="G4687" s="6"/>
      <c r="H4687" s="6"/>
      <c r="I4687" s="6"/>
      <c r="J4687" s="6"/>
      <c r="K4687" s="6"/>
      <c r="L4687" s="6"/>
      <c r="M4687" s="6"/>
      <c r="N4687" s="6"/>
      <c r="O4687" s="6"/>
      <c r="P4687" s="6"/>
      <c r="Q4687" s="6"/>
      <c r="R4687" s="6"/>
      <c r="S4687" s="6"/>
      <c r="T4687" s="6"/>
      <c r="U4687" s="6"/>
      <c r="V4687" s="6"/>
      <c r="W4687" s="6"/>
      <c r="X4687" s="6"/>
      <c r="Y4687" s="6"/>
      <c r="Z4687" s="6"/>
    </row>
    <row r="4688" customFormat="false" ht="15" hidden="false" customHeight="false" outlineLevel="0" collapsed="false">
      <c r="A4688" s="9" t="s">
        <v>10531</v>
      </c>
      <c r="B4688" s="9" t="s">
        <v>5870</v>
      </c>
      <c r="C4688" s="9" t="s">
        <v>4962</v>
      </c>
      <c r="D4688" s="9" t="s">
        <v>5871</v>
      </c>
      <c r="E4688" s="9" t="str">
        <f aca="false">IF(AND('Formation Ledger'!A4667&lt;&gt;"",'Formation Ledger'!V4667=0),"PASS","FAIL")</f>
        <v>PASS</v>
      </c>
      <c r="F4688" s="9" t="s">
        <v>76</v>
      </c>
      <c r="G4688" s="6"/>
      <c r="H4688" s="6"/>
      <c r="I4688" s="6"/>
      <c r="J4688" s="6"/>
      <c r="K4688" s="6"/>
      <c r="L4688" s="6"/>
      <c r="M4688" s="6"/>
      <c r="N4688" s="6"/>
      <c r="O4688" s="6"/>
      <c r="P4688" s="6"/>
      <c r="Q4688" s="6"/>
      <c r="R4688" s="6"/>
      <c r="S4688" s="6"/>
      <c r="T4688" s="6"/>
      <c r="U4688" s="6"/>
      <c r="V4688" s="6"/>
      <c r="W4688" s="6"/>
      <c r="X4688" s="6"/>
      <c r="Y4688" s="6"/>
      <c r="Z4688" s="6"/>
    </row>
    <row r="4689" customFormat="false" ht="15" hidden="false" customHeight="false" outlineLevel="0" collapsed="false">
      <c r="A4689" s="9" t="s">
        <v>10532</v>
      </c>
      <c r="B4689" s="9" t="s">
        <v>5870</v>
      </c>
      <c r="C4689" s="9" t="s">
        <v>4963</v>
      </c>
      <c r="D4689" s="9" t="s">
        <v>5871</v>
      </c>
      <c r="E4689" s="9" t="str">
        <f aca="false">IF(AND('Formation Ledger'!A4668&lt;&gt;"",'Formation Ledger'!V4668=0),"PASS","FAIL")</f>
        <v>PASS</v>
      </c>
      <c r="F4689" s="9" t="s">
        <v>76</v>
      </c>
      <c r="G4689" s="6"/>
      <c r="H4689" s="6"/>
      <c r="I4689" s="6"/>
      <c r="J4689" s="6"/>
      <c r="K4689" s="6"/>
      <c r="L4689" s="6"/>
      <c r="M4689" s="6"/>
      <c r="N4689" s="6"/>
      <c r="O4689" s="6"/>
      <c r="P4689" s="6"/>
      <c r="Q4689" s="6"/>
      <c r="R4689" s="6"/>
      <c r="S4689" s="6"/>
      <c r="T4689" s="6"/>
      <c r="U4689" s="6"/>
      <c r="V4689" s="6"/>
      <c r="W4689" s="6"/>
      <c r="X4689" s="6"/>
      <c r="Y4689" s="6"/>
      <c r="Z4689" s="6"/>
    </row>
    <row r="4690" customFormat="false" ht="15" hidden="false" customHeight="false" outlineLevel="0" collapsed="false">
      <c r="A4690" s="9" t="s">
        <v>10533</v>
      </c>
      <c r="B4690" s="9" t="s">
        <v>5870</v>
      </c>
      <c r="C4690" s="9" t="s">
        <v>4964</v>
      </c>
      <c r="D4690" s="9" t="s">
        <v>5871</v>
      </c>
      <c r="E4690" s="9" t="str">
        <f aca="false">IF(AND('Formation Ledger'!A4669&lt;&gt;"",'Formation Ledger'!V4669=0),"PASS","FAIL")</f>
        <v>PASS</v>
      </c>
      <c r="F4690" s="9" t="s">
        <v>76</v>
      </c>
      <c r="G4690" s="6"/>
      <c r="H4690" s="6"/>
      <c r="I4690" s="6"/>
      <c r="J4690" s="6"/>
      <c r="K4690" s="6"/>
      <c r="L4690" s="6"/>
      <c r="M4690" s="6"/>
      <c r="N4690" s="6"/>
      <c r="O4690" s="6"/>
      <c r="P4690" s="6"/>
      <c r="Q4690" s="6"/>
      <c r="R4690" s="6"/>
      <c r="S4690" s="6"/>
      <c r="T4690" s="6"/>
      <c r="U4690" s="6"/>
      <c r="V4690" s="6"/>
      <c r="W4690" s="6"/>
      <c r="X4690" s="6"/>
      <c r="Y4690" s="6"/>
      <c r="Z4690" s="6"/>
    </row>
    <row r="4691" customFormat="false" ht="15" hidden="false" customHeight="false" outlineLevel="0" collapsed="false">
      <c r="A4691" s="9" t="s">
        <v>10534</v>
      </c>
      <c r="B4691" s="9" t="s">
        <v>5870</v>
      </c>
      <c r="C4691" s="9" t="s">
        <v>4965</v>
      </c>
      <c r="D4691" s="9" t="s">
        <v>5871</v>
      </c>
      <c r="E4691" s="9" t="str">
        <f aca="false">IF(AND('Formation Ledger'!A4670&lt;&gt;"",'Formation Ledger'!V4670=0),"PASS","FAIL")</f>
        <v>PASS</v>
      </c>
      <c r="F4691" s="9" t="s">
        <v>76</v>
      </c>
      <c r="G4691" s="6"/>
      <c r="H4691" s="6"/>
      <c r="I4691" s="6"/>
      <c r="J4691" s="6"/>
      <c r="K4691" s="6"/>
      <c r="L4691" s="6"/>
      <c r="M4691" s="6"/>
      <c r="N4691" s="6"/>
      <c r="O4691" s="6"/>
      <c r="P4691" s="6"/>
      <c r="Q4691" s="6"/>
      <c r="R4691" s="6"/>
      <c r="S4691" s="6"/>
      <c r="T4691" s="6"/>
      <c r="U4691" s="6"/>
      <c r="V4691" s="6"/>
      <c r="W4691" s="6"/>
      <c r="X4691" s="6"/>
      <c r="Y4691" s="6"/>
      <c r="Z4691" s="6"/>
    </row>
    <row r="4692" customFormat="false" ht="15" hidden="false" customHeight="false" outlineLevel="0" collapsed="false">
      <c r="A4692" s="9" t="s">
        <v>10535</v>
      </c>
      <c r="B4692" s="9" t="s">
        <v>5870</v>
      </c>
      <c r="C4692" s="9" t="s">
        <v>4966</v>
      </c>
      <c r="D4692" s="9" t="s">
        <v>5871</v>
      </c>
      <c r="E4692" s="9" t="str">
        <f aca="false">IF(AND('Formation Ledger'!A4671&lt;&gt;"",'Formation Ledger'!V4671=0),"PASS","FAIL")</f>
        <v>PASS</v>
      </c>
      <c r="F4692" s="9" t="s">
        <v>76</v>
      </c>
      <c r="G4692" s="6"/>
      <c r="H4692" s="6"/>
      <c r="I4692" s="6"/>
      <c r="J4692" s="6"/>
      <c r="K4692" s="6"/>
      <c r="L4692" s="6"/>
      <c r="M4692" s="6"/>
      <c r="N4692" s="6"/>
      <c r="O4692" s="6"/>
      <c r="P4692" s="6"/>
      <c r="Q4692" s="6"/>
      <c r="R4692" s="6"/>
      <c r="S4692" s="6"/>
      <c r="T4692" s="6"/>
      <c r="U4692" s="6"/>
      <c r="V4692" s="6"/>
      <c r="W4692" s="6"/>
      <c r="X4692" s="6"/>
      <c r="Y4692" s="6"/>
      <c r="Z4692" s="6"/>
    </row>
    <row r="4693" customFormat="false" ht="15" hidden="false" customHeight="false" outlineLevel="0" collapsed="false">
      <c r="A4693" s="9" t="s">
        <v>10536</v>
      </c>
      <c r="B4693" s="9" t="s">
        <v>5870</v>
      </c>
      <c r="C4693" s="9" t="s">
        <v>4967</v>
      </c>
      <c r="D4693" s="9" t="s">
        <v>5871</v>
      </c>
      <c r="E4693" s="9" t="str">
        <f aca="false">IF(AND('Formation Ledger'!A4672&lt;&gt;"",'Formation Ledger'!V4672=0),"PASS","FAIL")</f>
        <v>PASS</v>
      </c>
      <c r="F4693" s="9" t="s">
        <v>76</v>
      </c>
      <c r="G4693" s="6"/>
      <c r="H4693" s="6"/>
      <c r="I4693" s="6"/>
      <c r="J4693" s="6"/>
      <c r="K4693" s="6"/>
      <c r="L4693" s="6"/>
      <c r="M4693" s="6"/>
      <c r="N4693" s="6"/>
      <c r="O4693" s="6"/>
      <c r="P4693" s="6"/>
      <c r="Q4693" s="6"/>
      <c r="R4693" s="6"/>
      <c r="S4693" s="6"/>
      <c r="T4693" s="6"/>
      <c r="U4693" s="6"/>
      <c r="V4693" s="6"/>
      <c r="W4693" s="6"/>
      <c r="X4693" s="6"/>
      <c r="Y4693" s="6"/>
      <c r="Z4693" s="6"/>
    </row>
    <row r="4694" customFormat="false" ht="15" hidden="false" customHeight="false" outlineLevel="0" collapsed="false">
      <c r="A4694" s="9" t="s">
        <v>10537</v>
      </c>
      <c r="B4694" s="9" t="s">
        <v>5870</v>
      </c>
      <c r="C4694" s="9" t="s">
        <v>4968</v>
      </c>
      <c r="D4694" s="9" t="s">
        <v>5871</v>
      </c>
      <c r="E4694" s="9" t="str">
        <f aca="false">IF(AND('Formation Ledger'!A4673&lt;&gt;"",'Formation Ledger'!V4673=0),"PASS","FAIL")</f>
        <v>PASS</v>
      </c>
      <c r="F4694" s="9" t="s">
        <v>76</v>
      </c>
      <c r="G4694" s="6"/>
      <c r="H4694" s="6"/>
      <c r="I4694" s="6"/>
      <c r="J4694" s="6"/>
      <c r="K4694" s="6"/>
      <c r="L4694" s="6"/>
      <c r="M4694" s="6"/>
      <c r="N4694" s="6"/>
      <c r="O4694" s="6"/>
      <c r="P4694" s="6"/>
      <c r="Q4694" s="6"/>
      <c r="R4694" s="6"/>
      <c r="S4694" s="6"/>
      <c r="T4694" s="6"/>
      <c r="U4694" s="6"/>
      <c r="V4694" s="6"/>
      <c r="W4694" s="6"/>
      <c r="X4694" s="6"/>
      <c r="Y4694" s="6"/>
      <c r="Z4694" s="6"/>
    </row>
    <row r="4695" customFormat="false" ht="15" hidden="false" customHeight="false" outlineLevel="0" collapsed="false">
      <c r="A4695" s="9" t="s">
        <v>10538</v>
      </c>
      <c r="B4695" s="9" t="s">
        <v>5870</v>
      </c>
      <c r="C4695" s="9" t="s">
        <v>4969</v>
      </c>
      <c r="D4695" s="9" t="s">
        <v>5871</v>
      </c>
      <c r="E4695" s="9" t="str">
        <f aca="false">IF(AND('Formation Ledger'!A4674&lt;&gt;"",'Formation Ledger'!V4674=0),"PASS","FAIL")</f>
        <v>PASS</v>
      </c>
      <c r="F4695" s="9" t="s">
        <v>76</v>
      </c>
      <c r="G4695" s="6"/>
      <c r="H4695" s="6"/>
      <c r="I4695" s="6"/>
      <c r="J4695" s="6"/>
      <c r="K4695" s="6"/>
      <c r="L4695" s="6"/>
      <c r="M4695" s="6"/>
      <c r="N4695" s="6"/>
      <c r="O4695" s="6"/>
      <c r="P4695" s="6"/>
      <c r="Q4695" s="6"/>
      <c r="R4695" s="6"/>
      <c r="S4695" s="6"/>
      <c r="T4695" s="6"/>
      <c r="U4695" s="6"/>
      <c r="V4695" s="6"/>
      <c r="W4695" s="6"/>
      <c r="X4695" s="6"/>
      <c r="Y4695" s="6"/>
      <c r="Z4695" s="6"/>
    </row>
    <row r="4696" customFormat="false" ht="15" hidden="false" customHeight="false" outlineLevel="0" collapsed="false">
      <c r="A4696" s="9" t="s">
        <v>10539</v>
      </c>
      <c r="B4696" s="9" t="s">
        <v>5870</v>
      </c>
      <c r="C4696" s="9" t="s">
        <v>4970</v>
      </c>
      <c r="D4696" s="9" t="s">
        <v>5871</v>
      </c>
      <c r="E4696" s="9" t="str">
        <f aca="false">IF(AND('Formation Ledger'!A4675&lt;&gt;"",'Formation Ledger'!V4675=0),"PASS","FAIL")</f>
        <v>PASS</v>
      </c>
      <c r="F4696" s="9" t="s">
        <v>76</v>
      </c>
      <c r="G4696" s="6"/>
      <c r="H4696" s="6"/>
      <c r="I4696" s="6"/>
      <c r="J4696" s="6"/>
      <c r="K4696" s="6"/>
      <c r="L4696" s="6"/>
      <c r="M4696" s="6"/>
      <c r="N4696" s="6"/>
      <c r="O4696" s="6"/>
      <c r="P4696" s="6"/>
      <c r="Q4696" s="6"/>
      <c r="R4696" s="6"/>
      <c r="S4696" s="6"/>
      <c r="T4696" s="6"/>
      <c r="U4696" s="6"/>
      <c r="V4696" s="6"/>
      <c r="W4696" s="6"/>
      <c r="X4696" s="6"/>
      <c r="Y4696" s="6"/>
      <c r="Z4696" s="6"/>
    </row>
    <row r="4697" customFormat="false" ht="15" hidden="false" customHeight="false" outlineLevel="0" collapsed="false">
      <c r="A4697" s="9" t="s">
        <v>10540</v>
      </c>
      <c r="B4697" s="9" t="s">
        <v>5870</v>
      </c>
      <c r="C4697" s="9" t="s">
        <v>4971</v>
      </c>
      <c r="D4697" s="9" t="s">
        <v>5871</v>
      </c>
      <c r="E4697" s="9" t="str">
        <f aca="false">IF(AND('Formation Ledger'!A4676&lt;&gt;"",'Formation Ledger'!V4676=0),"PASS","FAIL")</f>
        <v>PASS</v>
      </c>
      <c r="F4697" s="9" t="s">
        <v>76</v>
      </c>
      <c r="G4697" s="6"/>
      <c r="H4697" s="6"/>
      <c r="I4697" s="6"/>
      <c r="J4697" s="6"/>
      <c r="K4697" s="6"/>
      <c r="L4697" s="6"/>
      <c r="M4697" s="6"/>
      <c r="N4697" s="6"/>
      <c r="O4697" s="6"/>
      <c r="P4697" s="6"/>
      <c r="Q4697" s="6"/>
      <c r="R4697" s="6"/>
      <c r="S4697" s="6"/>
      <c r="T4697" s="6"/>
      <c r="U4697" s="6"/>
      <c r="V4697" s="6"/>
      <c r="W4697" s="6"/>
      <c r="X4697" s="6"/>
      <c r="Y4697" s="6"/>
      <c r="Z4697" s="6"/>
    </row>
    <row r="4698" customFormat="false" ht="15" hidden="false" customHeight="false" outlineLevel="0" collapsed="false">
      <c r="A4698" s="9" t="s">
        <v>10541</v>
      </c>
      <c r="B4698" s="9" t="s">
        <v>5870</v>
      </c>
      <c r="C4698" s="9" t="s">
        <v>4972</v>
      </c>
      <c r="D4698" s="9" t="s">
        <v>5871</v>
      </c>
      <c r="E4698" s="9" t="str">
        <f aca="false">IF(AND('Formation Ledger'!A4677&lt;&gt;"",'Formation Ledger'!V4677=0),"PASS","FAIL")</f>
        <v>PASS</v>
      </c>
      <c r="F4698" s="9" t="s">
        <v>76</v>
      </c>
      <c r="G4698" s="6"/>
      <c r="H4698" s="6"/>
      <c r="I4698" s="6"/>
      <c r="J4698" s="6"/>
      <c r="K4698" s="6"/>
      <c r="L4698" s="6"/>
      <c r="M4698" s="6"/>
      <c r="N4698" s="6"/>
      <c r="O4698" s="6"/>
      <c r="P4698" s="6"/>
      <c r="Q4698" s="6"/>
      <c r="R4698" s="6"/>
      <c r="S4698" s="6"/>
      <c r="T4698" s="6"/>
      <c r="U4698" s="6"/>
      <c r="V4698" s="6"/>
      <c r="W4698" s="6"/>
      <c r="X4698" s="6"/>
      <c r="Y4698" s="6"/>
      <c r="Z4698" s="6"/>
    </row>
    <row r="4699" customFormat="false" ht="15" hidden="false" customHeight="false" outlineLevel="0" collapsed="false">
      <c r="A4699" s="9" t="s">
        <v>10542</v>
      </c>
      <c r="B4699" s="9" t="s">
        <v>5870</v>
      </c>
      <c r="C4699" s="9" t="s">
        <v>4973</v>
      </c>
      <c r="D4699" s="9" t="s">
        <v>5871</v>
      </c>
      <c r="E4699" s="9" t="str">
        <f aca="false">IF(AND('Formation Ledger'!A4678&lt;&gt;"",'Formation Ledger'!V4678=0),"PASS","FAIL")</f>
        <v>PASS</v>
      </c>
      <c r="F4699" s="9" t="s">
        <v>76</v>
      </c>
      <c r="G4699" s="6"/>
      <c r="H4699" s="6"/>
      <c r="I4699" s="6"/>
      <c r="J4699" s="6"/>
      <c r="K4699" s="6"/>
      <c r="L4699" s="6"/>
      <c r="M4699" s="6"/>
      <c r="N4699" s="6"/>
      <c r="O4699" s="6"/>
      <c r="P4699" s="6"/>
      <c r="Q4699" s="6"/>
      <c r="R4699" s="6"/>
      <c r="S4699" s="6"/>
      <c r="T4699" s="6"/>
      <c r="U4699" s="6"/>
      <c r="V4699" s="6"/>
      <c r="W4699" s="6"/>
      <c r="X4699" s="6"/>
      <c r="Y4699" s="6"/>
      <c r="Z4699" s="6"/>
    </row>
    <row r="4700" customFormat="false" ht="15" hidden="false" customHeight="false" outlineLevel="0" collapsed="false">
      <c r="A4700" s="9" t="s">
        <v>10543</v>
      </c>
      <c r="B4700" s="9" t="s">
        <v>5870</v>
      </c>
      <c r="C4700" s="9" t="s">
        <v>4974</v>
      </c>
      <c r="D4700" s="9" t="s">
        <v>5871</v>
      </c>
      <c r="E4700" s="9" t="str">
        <f aca="false">IF(AND('Formation Ledger'!A4679&lt;&gt;"",'Formation Ledger'!V4679=0),"PASS","FAIL")</f>
        <v>PASS</v>
      </c>
      <c r="F4700" s="9" t="s">
        <v>76</v>
      </c>
      <c r="G4700" s="6"/>
      <c r="H4700" s="6"/>
      <c r="I4700" s="6"/>
      <c r="J4700" s="6"/>
      <c r="K4700" s="6"/>
      <c r="L4700" s="6"/>
      <c r="M4700" s="6"/>
      <c r="N4700" s="6"/>
      <c r="O4700" s="6"/>
      <c r="P4700" s="6"/>
      <c r="Q4700" s="6"/>
      <c r="R4700" s="6"/>
      <c r="S4700" s="6"/>
      <c r="T4700" s="6"/>
      <c r="U4700" s="6"/>
      <c r="V4700" s="6"/>
      <c r="W4700" s="6"/>
      <c r="X4700" s="6"/>
      <c r="Y4700" s="6"/>
      <c r="Z4700" s="6"/>
    </row>
    <row r="4701" customFormat="false" ht="15" hidden="false" customHeight="false" outlineLevel="0" collapsed="false">
      <c r="A4701" s="9" t="s">
        <v>10544</v>
      </c>
      <c r="B4701" s="9" t="s">
        <v>5870</v>
      </c>
      <c r="C4701" s="9" t="s">
        <v>4975</v>
      </c>
      <c r="D4701" s="9" t="s">
        <v>5871</v>
      </c>
      <c r="E4701" s="9" t="str">
        <f aca="false">IF(AND('Formation Ledger'!A4680&lt;&gt;"",'Formation Ledger'!V4680=0),"PASS","FAIL")</f>
        <v>PASS</v>
      </c>
      <c r="F4701" s="9" t="s">
        <v>76</v>
      </c>
      <c r="G4701" s="6"/>
      <c r="H4701" s="6"/>
      <c r="I4701" s="6"/>
      <c r="J4701" s="6"/>
      <c r="K4701" s="6"/>
      <c r="L4701" s="6"/>
      <c r="M4701" s="6"/>
      <c r="N4701" s="6"/>
      <c r="O4701" s="6"/>
      <c r="P4701" s="6"/>
      <c r="Q4701" s="6"/>
      <c r="R4701" s="6"/>
      <c r="S4701" s="6"/>
      <c r="T4701" s="6"/>
      <c r="U4701" s="6"/>
      <c r="V4701" s="6"/>
      <c r="W4701" s="6"/>
      <c r="X4701" s="6"/>
      <c r="Y4701" s="6"/>
      <c r="Z4701" s="6"/>
    </row>
    <row r="4702" customFormat="false" ht="15" hidden="false" customHeight="false" outlineLevel="0" collapsed="false">
      <c r="A4702" s="9" t="s">
        <v>10545</v>
      </c>
      <c r="B4702" s="9" t="s">
        <v>5870</v>
      </c>
      <c r="C4702" s="9" t="s">
        <v>4976</v>
      </c>
      <c r="D4702" s="9" t="s">
        <v>5871</v>
      </c>
      <c r="E4702" s="9" t="str">
        <f aca="false">IF(AND('Formation Ledger'!A4681&lt;&gt;"",'Formation Ledger'!V4681=0),"PASS","FAIL")</f>
        <v>PASS</v>
      </c>
      <c r="F4702" s="9" t="s">
        <v>76</v>
      </c>
      <c r="G4702" s="6"/>
      <c r="H4702" s="6"/>
      <c r="I4702" s="6"/>
      <c r="J4702" s="6"/>
      <c r="K4702" s="6"/>
      <c r="L4702" s="6"/>
      <c r="M4702" s="6"/>
      <c r="N4702" s="6"/>
      <c r="O4702" s="6"/>
      <c r="P4702" s="6"/>
      <c r="Q4702" s="6"/>
      <c r="R4702" s="6"/>
      <c r="S4702" s="6"/>
      <c r="T4702" s="6"/>
      <c r="U4702" s="6"/>
      <c r="V4702" s="6"/>
      <c r="W4702" s="6"/>
      <c r="X4702" s="6"/>
      <c r="Y4702" s="6"/>
      <c r="Z4702" s="6"/>
    </row>
    <row r="4703" customFormat="false" ht="15" hidden="false" customHeight="false" outlineLevel="0" collapsed="false">
      <c r="A4703" s="9" t="s">
        <v>10546</v>
      </c>
      <c r="B4703" s="9" t="s">
        <v>5870</v>
      </c>
      <c r="C4703" s="9" t="s">
        <v>4977</v>
      </c>
      <c r="D4703" s="9" t="s">
        <v>5871</v>
      </c>
      <c r="E4703" s="9" t="str">
        <f aca="false">IF(AND('Formation Ledger'!A4682&lt;&gt;"",'Formation Ledger'!V4682=0),"PASS","FAIL")</f>
        <v>PASS</v>
      </c>
      <c r="F4703" s="9" t="s">
        <v>76</v>
      </c>
      <c r="G4703" s="6"/>
      <c r="H4703" s="6"/>
      <c r="I4703" s="6"/>
      <c r="J4703" s="6"/>
      <c r="K4703" s="6"/>
      <c r="L4703" s="6"/>
      <c r="M4703" s="6"/>
      <c r="N4703" s="6"/>
      <c r="O4703" s="6"/>
      <c r="P4703" s="6"/>
      <c r="Q4703" s="6"/>
      <c r="R4703" s="6"/>
      <c r="S4703" s="6"/>
      <c r="T4703" s="6"/>
      <c r="U4703" s="6"/>
      <c r="V4703" s="6"/>
      <c r="W4703" s="6"/>
      <c r="X4703" s="6"/>
      <c r="Y4703" s="6"/>
      <c r="Z4703" s="6"/>
    </row>
    <row r="4704" customFormat="false" ht="15" hidden="false" customHeight="false" outlineLevel="0" collapsed="false">
      <c r="A4704" s="9" t="s">
        <v>10547</v>
      </c>
      <c r="B4704" s="9" t="s">
        <v>5870</v>
      </c>
      <c r="C4704" s="9" t="s">
        <v>4978</v>
      </c>
      <c r="D4704" s="9" t="s">
        <v>5871</v>
      </c>
      <c r="E4704" s="9" t="str">
        <f aca="false">IF(AND('Formation Ledger'!A4683&lt;&gt;"",'Formation Ledger'!V4683=0),"PASS","FAIL")</f>
        <v>PASS</v>
      </c>
      <c r="F4704" s="9" t="s">
        <v>76</v>
      </c>
      <c r="G4704" s="6"/>
      <c r="H4704" s="6"/>
      <c r="I4704" s="6"/>
      <c r="J4704" s="6"/>
      <c r="K4704" s="6"/>
      <c r="L4704" s="6"/>
      <c r="M4704" s="6"/>
      <c r="N4704" s="6"/>
      <c r="O4704" s="6"/>
      <c r="P4704" s="6"/>
      <c r="Q4704" s="6"/>
      <c r="R4704" s="6"/>
      <c r="S4704" s="6"/>
      <c r="T4704" s="6"/>
      <c r="U4704" s="6"/>
      <c r="V4704" s="6"/>
      <c r="W4704" s="6"/>
      <c r="X4704" s="6"/>
      <c r="Y4704" s="6"/>
      <c r="Z4704" s="6"/>
    </row>
    <row r="4705" customFormat="false" ht="15" hidden="false" customHeight="false" outlineLevel="0" collapsed="false">
      <c r="A4705" s="9" t="s">
        <v>10548</v>
      </c>
      <c r="B4705" s="9" t="s">
        <v>5870</v>
      </c>
      <c r="C4705" s="9" t="s">
        <v>4979</v>
      </c>
      <c r="D4705" s="9" t="s">
        <v>5871</v>
      </c>
      <c r="E4705" s="9" t="str">
        <f aca="false">IF(AND('Formation Ledger'!A4684&lt;&gt;"",'Formation Ledger'!V4684=0),"PASS","FAIL")</f>
        <v>PASS</v>
      </c>
      <c r="F4705" s="9" t="s">
        <v>76</v>
      </c>
      <c r="G4705" s="6"/>
      <c r="H4705" s="6"/>
      <c r="I4705" s="6"/>
      <c r="J4705" s="6"/>
      <c r="K4705" s="6"/>
      <c r="L4705" s="6"/>
      <c r="M4705" s="6"/>
      <c r="N4705" s="6"/>
      <c r="O4705" s="6"/>
      <c r="P4705" s="6"/>
      <c r="Q4705" s="6"/>
      <c r="R4705" s="6"/>
      <c r="S4705" s="6"/>
      <c r="T4705" s="6"/>
      <c r="U4705" s="6"/>
      <c r="V4705" s="6"/>
      <c r="W4705" s="6"/>
      <c r="X4705" s="6"/>
      <c r="Y4705" s="6"/>
      <c r="Z4705" s="6"/>
    </row>
    <row r="4706" customFormat="false" ht="15" hidden="false" customHeight="false" outlineLevel="0" collapsed="false">
      <c r="A4706" s="9" t="s">
        <v>10549</v>
      </c>
      <c r="B4706" s="9" t="s">
        <v>5870</v>
      </c>
      <c r="C4706" s="9" t="s">
        <v>4980</v>
      </c>
      <c r="D4706" s="9" t="s">
        <v>5871</v>
      </c>
      <c r="E4706" s="9" t="str">
        <f aca="false">IF(AND('Formation Ledger'!A4685&lt;&gt;"",'Formation Ledger'!V4685=0),"PASS","FAIL")</f>
        <v>PASS</v>
      </c>
      <c r="F4706" s="9" t="s">
        <v>76</v>
      </c>
      <c r="G4706" s="6"/>
      <c r="H4706" s="6"/>
      <c r="I4706" s="6"/>
      <c r="J4706" s="6"/>
      <c r="K4706" s="6"/>
      <c r="L4706" s="6"/>
      <c r="M4706" s="6"/>
      <c r="N4706" s="6"/>
      <c r="O4706" s="6"/>
      <c r="P4706" s="6"/>
      <c r="Q4706" s="6"/>
      <c r="R4706" s="6"/>
      <c r="S4706" s="6"/>
      <c r="T4706" s="6"/>
      <c r="U4706" s="6"/>
      <c r="V4706" s="6"/>
      <c r="W4706" s="6"/>
      <c r="X4706" s="6"/>
      <c r="Y4706" s="6"/>
      <c r="Z4706" s="6"/>
    </row>
    <row r="4707" customFormat="false" ht="15" hidden="false" customHeight="false" outlineLevel="0" collapsed="false">
      <c r="A4707" s="9" t="s">
        <v>10550</v>
      </c>
      <c r="B4707" s="9" t="s">
        <v>5870</v>
      </c>
      <c r="C4707" s="9" t="s">
        <v>4981</v>
      </c>
      <c r="D4707" s="9" t="s">
        <v>5871</v>
      </c>
      <c r="E4707" s="9" t="str">
        <f aca="false">IF(AND('Formation Ledger'!A4686&lt;&gt;"",'Formation Ledger'!V4686=0),"PASS","FAIL")</f>
        <v>PASS</v>
      </c>
      <c r="F4707" s="9" t="s">
        <v>76</v>
      </c>
      <c r="G4707" s="6"/>
      <c r="H4707" s="6"/>
      <c r="I4707" s="6"/>
      <c r="J4707" s="6"/>
      <c r="K4707" s="6"/>
      <c r="L4707" s="6"/>
      <c r="M4707" s="6"/>
      <c r="N4707" s="6"/>
      <c r="O4707" s="6"/>
      <c r="P4707" s="6"/>
      <c r="Q4707" s="6"/>
      <c r="R4707" s="6"/>
      <c r="S4707" s="6"/>
      <c r="T4707" s="6"/>
      <c r="U4707" s="6"/>
      <c r="V4707" s="6"/>
      <c r="W4707" s="6"/>
      <c r="X4707" s="6"/>
      <c r="Y4707" s="6"/>
      <c r="Z4707" s="6"/>
    </row>
    <row r="4708" customFormat="false" ht="15" hidden="false" customHeight="false" outlineLevel="0" collapsed="false">
      <c r="A4708" s="9" t="s">
        <v>10551</v>
      </c>
      <c r="B4708" s="9" t="s">
        <v>5870</v>
      </c>
      <c r="C4708" s="9" t="s">
        <v>4982</v>
      </c>
      <c r="D4708" s="9" t="s">
        <v>5871</v>
      </c>
      <c r="E4708" s="9" t="str">
        <f aca="false">IF(AND('Formation Ledger'!A4687&lt;&gt;"",'Formation Ledger'!V4687=0),"PASS","FAIL")</f>
        <v>PASS</v>
      </c>
      <c r="F4708" s="9" t="s">
        <v>76</v>
      </c>
      <c r="G4708" s="6"/>
      <c r="H4708" s="6"/>
      <c r="I4708" s="6"/>
      <c r="J4708" s="6"/>
      <c r="K4708" s="6"/>
      <c r="L4708" s="6"/>
      <c r="M4708" s="6"/>
      <c r="N4708" s="6"/>
      <c r="O4708" s="6"/>
      <c r="P4708" s="6"/>
      <c r="Q4708" s="6"/>
      <c r="R4708" s="6"/>
      <c r="S4708" s="6"/>
      <c r="T4708" s="6"/>
      <c r="U4708" s="6"/>
      <c r="V4708" s="6"/>
      <c r="W4708" s="6"/>
      <c r="X4708" s="6"/>
      <c r="Y4708" s="6"/>
      <c r="Z4708" s="6"/>
    </row>
    <row r="4709" customFormat="false" ht="15" hidden="false" customHeight="false" outlineLevel="0" collapsed="false">
      <c r="A4709" s="9" t="s">
        <v>10552</v>
      </c>
      <c r="B4709" s="9" t="s">
        <v>5870</v>
      </c>
      <c r="C4709" s="9" t="s">
        <v>4983</v>
      </c>
      <c r="D4709" s="9" t="s">
        <v>5871</v>
      </c>
      <c r="E4709" s="9" t="str">
        <f aca="false">IF(AND('Formation Ledger'!A4688&lt;&gt;"",'Formation Ledger'!V4688=0),"PASS","FAIL")</f>
        <v>PASS</v>
      </c>
      <c r="F4709" s="9" t="s">
        <v>76</v>
      </c>
      <c r="G4709" s="6"/>
      <c r="H4709" s="6"/>
      <c r="I4709" s="6"/>
      <c r="J4709" s="6"/>
      <c r="K4709" s="6"/>
      <c r="L4709" s="6"/>
      <c r="M4709" s="6"/>
      <c r="N4709" s="6"/>
      <c r="O4709" s="6"/>
      <c r="P4709" s="6"/>
      <c r="Q4709" s="6"/>
      <c r="R4709" s="6"/>
      <c r="S4709" s="6"/>
      <c r="T4709" s="6"/>
      <c r="U4709" s="6"/>
      <c r="V4709" s="6"/>
      <c r="W4709" s="6"/>
      <c r="X4709" s="6"/>
      <c r="Y4709" s="6"/>
      <c r="Z4709" s="6"/>
    </row>
    <row r="4710" customFormat="false" ht="15" hidden="false" customHeight="false" outlineLevel="0" collapsed="false">
      <c r="A4710" s="9" t="s">
        <v>10553</v>
      </c>
      <c r="B4710" s="9" t="s">
        <v>5870</v>
      </c>
      <c r="C4710" s="9" t="s">
        <v>4984</v>
      </c>
      <c r="D4710" s="9" t="s">
        <v>5871</v>
      </c>
      <c r="E4710" s="9" t="str">
        <f aca="false">IF(AND('Formation Ledger'!A4689&lt;&gt;"",'Formation Ledger'!V4689=0),"PASS","FAIL")</f>
        <v>PASS</v>
      </c>
      <c r="F4710" s="9" t="s">
        <v>76</v>
      </c>
      <c r="G4710" s="6"/>
      <c r="H4710" s="6"/>
      <c r="I4710" s="6"/>
      <c r="J4710" s="6"/>
      <c r="K4710" s="6"/>
      <c r="L4710" s="6"/>
      <c r="M4710" s="6"/>
      <c r="N4710" s="6"/>
      <c r="O4710" s="6"/>
      <c r="P4710" s="6"/>
      <c r="Q4710" s="6"/>
      <c r="R4710" s="6"/>
      <c r="S4710" s="6"/>
      <c r="T4710" s="6"/>
      <c r="U4710" s="6"/>
      <c r="V4710" s="6"/>
      <c r="W4710" s="6"/>
      <c r="X4710" s="6"/>
      <c r="Y4710" s="6"/>
      <c r="Z4710" s="6"/>
    </row>
    <row r="4711" customFormat="false" ht="15" hidden="false" customHeight="false" outlineLevel="0" collapsed="false">
      <c r="A4711" s="9" t="s">
        <v>10554</v>
      </c>
      <c r="B4711" s="9" t="s">
        <v>5870</v>
      </c>
      <c r="C4711" s="9" t="s">
        <v>4985</v>
      </c>
      <c r="D4711" s="9" t="s">
        <v>5871</v>
      </c>
      <c r="E4711" s="9" t="str">
        <f aca="false">IF(AND('Formation Ledger'!A4690&lt;&gt;"",'Formation Ledger'!V4690=0),"PASS","FAIL")</f>
        <v>PASS</v>
      </c>
      <c r="F4711" s="9" t="s">
        <v>76</v>
      </c>
      <c r="G4711" s="6"/>
      <c r="H4711" s="6"/>
      <c r="I4711" s="6"/>
      <c r="J4711" s="6"/>
      <c r="K4711" s="6"/>
      <c r="L4711" s="6"/>
      <c r="M4711" s="6"/>
      <c r="N4711" s="6"/>
      <c r="O4711" s="6"/>
      <c r="P4711" s="6"/>
      <c r="Q4711" s="6"/>
      <c r="R4711" s="6"/>
      <c r="S4711" s="6"/>
      <c r="T4711" s="6"/>
      <c r="U4711" s="6"/>
      <c r="V4711" s="6"/>
      <c r="W4711" s="6"/>
      <c r="X4711" s="6"/>
      <c r="Y4711" s="6"/>
      <c r="Z4711" s="6"/>
    </row>
    <row r="4712" customFormat="false" ht="15" hidden="false" customHeight="false" outlineLevel="0" collapsed="false">
      <c r="A4712" s="9" t="s">
        <v>10555</v>
      </c>
      <c r="B4712" s="9" t="s">
        <v>5870</v>
      </c>
      <c r="C4712" s="9" t="s">
        <v>4986</v>
      </c>
      <c r="D4712" s="9" t="s">
        <v>5871</v>
      </c>
      <c r="E4712" s="9" t="str">
        <f aca="false">IF(AND('Formation Ledger'!A4691&lt;&gt;"",'Formation Ledger'!V4691=0),"PASS","FAIL")</f>
        <v>PASS</v>
      </c>
      <c r="F4712" s="9" t="s">
        <v>76</v>
      </c>
      <c r="G4712" s="6"/>
      <c r="H4712" s="6"/>
      <c r="I4712" s="6"/>
      <c r="J4712" s="6"/>
      <c r="K4712" s="6"/>
      <c r="L4712" s="6"/>
      <c r="M4712" s="6"/>
      <c r="N4712" s="6"/>
      <c r="O4712" s="6"/>
      <c r="P4712" s="6"/>
      <c r="Q4712" s="6"/>
      <c r="R4712" s="6"/>
      <c r="S4712" s="6"/>
      <c r="T4712" s="6"/>
      <c r="U4712" s="6"/>
      <c r="V4712" s="6"/>
      <c r="W4712" s="6"/>
      <c r="X4712" s="6"/>
      <c r="Y4712" s="6"/>
      <c r="Z4712" s="6"/>
    </row>
    <row r="4713" customFormat="false" ht="15" hidden="false" customHeight="false" outlineLevel="0" collapsed="false">
      <c r="A4713" s="9" t="s">
        <v>10556</v>
      </c>
      <c r="B4713" s="9" t="s">
        <v>5870</v>
      </c>
      <c r="C4713" s="9" t="s">
        <v>4987</v>
      </c>
      <c r="D4713" s="9" t="s">
        <v>5871</v>
      </c>
      <c r="E4713" s="9" t="str">
        <f aca="false">IF(AND('Formation Ledger'!A4692&lt;&gt;"",'Formation Ledger'!V4692=0),"PASS","FAIL")</f>
        <v>PASS</v>
      </c>
      <c r="F4713" s="9" t="s">
        <v>76</v>
      </c>
      <c r="G4713" s="6"/>
      <c r="H4713" s="6"/>
      <c r="I4713" s="6"/>
      <c r="J4713" s="6"/>
      <c r="K4713" s="6"/>
      <c r="L4713" s="6"/>
      <c r="M4713" s="6"/>
      <c r="N4713" s="6"/>
      <c r="O4713" s="6"/>
      <c r="P4713" s="6"/>
      <c r="Q4713" s="6"/>
      <c r="R4713" s="6"/>
      <c r="S4713" s="6"/>
      <c r="T4713" s="6"/>
      <c r="U4713" s="6"/>
      <c r="V4713" s="6"/>
      <c r="W4713" s="6"/>
      <c r="X4713" s="6"/>
      <c r="Y4713" s="6"/>
      <c r="Z4713" s="6"/>
    </row>
    <row r="4714" customFormat="false" ht="15" hidden="false" customHeight="false" outlineLevel="0" collapsed="false">
      <c r="A4714" s="9" t="s">
        <v>10557</v>
      </c>
      <c r="B4714" s="9" t="s">
        <v>5870</v>
      </c>
      <c r="C4714" s="9" t="s">
        <v>4988</v>
      </c>
      <c r="D4714" s="9" t="s">
        <v>5871</v>
      </c>
      <c r="E4714" s="9" t="str">
        <f aca="false">IF(AND('Formation Ledger'!A4693&lt;&gt;"",'Formation Ledger'!V4693=0),"PASS","FAIL")</f>
        <v>PASS</v>
      </c>
      <c r="F4714" s="9" t="s">
        <v>76</v>
      </c>
      <c r="G4714" s="6"/>
      <c r="H4714" s="6"/>
      <c r="I4714" s="6"/>
      <c r="J4714" s="6"/>
      <c r="K4714" s="6"/>
      <c r="L4714" s="6"/>
      <c r="M4714" s="6"/>
      <c r="N4714" s="6"/>
      <c r="O4714" s="6"/>
      <c r="P4714" s="6"/>
      <c r="Q4714" s="6"/>
      <c r="R4714" s="6"/>
      <c r="S4714" s="6"/>
      <c r="T4714" s="6"/>
      <c r="U4714" s="6"/>
      <c r="V4714" s="6"/>
      <c r="W4714" s="6"/>
      <c r="X4714" s="6"/>
      <c r="Y4714" s="6"/>
      <c r="Z4714" s="6"/>
    </row>
    <row r="4715" customFormat="false" ht="15" hidden="false" customHeight="false" outlineLevel="0" collapsed="false">
      <c r="A4715" s="9" t="s">
        <v>10558</v>
      </c>
      <c r="B4715" s="9" t="s">
        <v>5870</v>
      </c>
      <c r="C4715" s="9" t="s">
        <v>4989</v>
      </c>
      <c r="D4715" s="9" t="s">
        <v>5871</v>
      </c>
      <c r="E4715" s="9" t="str">
        <f aca="false">IF(AND('Formation Ledger'!A4694&lt;&gt;"",'Formation Ledger'!V4694=0),"PASS","FAIL")</f>
        <v>PASS</v>
      </c>
      <c r="F4715" s="9" t="s">
        <v>76</v>
      </c>
      <c r="G4715" s="6"/>
      <c r="H4715" s="6"/>
      <c r="I4715" s="6"/>
      <c r="J4715" s="6"/>
      <c r="K4715" s="6"/>
      <c r="L4715" s="6"/>
      <c r="M4715" s="6"/>
      <c r="N4715" s="6"/>
      <c r="O4715" s="6"/>
      <c r="P4715" s="6"/>
      <c r="Q4715" s="6"/>
      <c r="R4715" s="6"/>
      <c r="S4715" s="6"/>
      <c r="T4715" s="6"/>
      <c r="U4715" s="6"/>
      <c r="V4715" s="6"/>
      <c r="W4715" s="6"/>
      <c r="X4715" s="6"/>
      <c r="Y4715" s="6"/>
      <c r="Z4715" s="6"/>
    </row>
    <row r="4716" customFormat="false" ht="15" hidden="false" customHeight="false" outlineLevel="0" collapsed="false">
      <c r="A4716" s="9" t="s">
        <v>10559</v>
      </c>
      <c r="B4716" s="9" t="s">
        <v>5870</v>
      </c>
      <c r="C4716" s="9" t="s">
        <v>4990</v>
      </c>
      <c r="D4716" s="9" t="s">
        <v>5871</v>
      </c>
      <c r="E4716" s="9" t="str">
        <f aca="false">IF(AND('Formation Ledger'!A4695&lt;&gt;"",'Formation Ledger'!V4695=0),"PASS","FAIL")</f>
        <v>PASS</v>
      </c>
      <c r="F4716" s="9" t="s">
        <v>76</v>
      </c>
      <c r="G4716" s="6"/>
      <c r="H4716" s="6"/>
      <c r="I4716" s="6"/>
      <c r="J4716" s="6"/>
      <c r="K4716" s="6"/>
      <c r="L4716" s="6"/>
      <c r="M4716" s="6"/>
      <c r="N4716" s="6"/>
      <c r="O4716" s="6"/>
      <c r="P4716" s="6"/>
      <c r="Q4716" s="6"/>
      <c r="R4716" s="6"/>
      <c r="S4716" s="6"/>
      <c r="T4716" s="6"/>
      <c r="U4716" s="6"/>
      <c r="V4716" s="6"/>
      <c r="W4716" s="6"/>
      <c r="X4716" s="6"/>
      <c r="Y4716" s="6"/>
      <c r="Z4716" s="6"/>
    </row>
    <row r="4717" customFormat="false" ht="15" hidden="false" customHeight="false" outlineLevel="0" collapsed="false">
      <c r="A4717" s="9" t="s">
        <v>10560</v>
      </c>
      <c r="B4717" s="9" t="s">
        <v>5870</v>
      </c>
      <c r="C4717" s="9" t="s">
        <v>4991</v>
      </c>
      <c r="D4717" s="9" t="s">
        <v>5871</v>
      </c>
      <c r="E4717" s="9" t="str">
        <f aca="false">IF(AND('Formation Ledger'!A4696&lt;&gt;"",'Formation Ledger'!V4696=0),"PASS","FAIL")</f>
        <v>PASS</v>
      </c>
      <c r="F4717" s="9" t="s">
        <v>76</v>
      </c>
      <c r="G4717" s="6"/>
      <c r="H4717" s="6"/>
      <c r="I4717" s="6"/>
      <c r="J4717" s="6"/>
      <c r="K4717" s="6"/>
      <c r="L4717" s="6"/>
      <c r="M4717" s="6"/>
      <c r="N4717" s="6"/>
      <c r="O4717" s="6"/>
      <c r="P4717" s="6"/>
      <c r="Q4717" s="6"/>
      <c r="R4717" s="6"/>
      <c r="S4717" s="6"/>
      <c r="T4717" s="6"/>
      <c r="U4717" s="6"/>
      <c r="V4717" s="6"/>
      <c r="W4717" s="6"/>
      <c r="X4717" s="6"/>
      <c r="Y4717" s="6"/>
      <c r="Z4717" s="6"/>
    </row>
    <row r="4718" customFormat="false" ht="15" hidden="false" customHeight="false" outlineLevel="0" collapsed="false">
      <c r="A4718" s="9" t="s">
        <v>10561</v>
      </c>
      <c r="B4718" s="9" t="s">
        <v>5870</v>
      </c>
      <c r="C4718" s="9" t="s">
        <v>4992</v>
      </c>
      <c r="D4718" s="9" t="s">
        <v>5871</v>
      </c>
      <c r="E4718" s="9" t="str">
        <f aca="false">IF(AND('Formation Ledger'!A4697&lt;&gt;"",'Formation Ledger'!V4697=0),"PASS","FAIL")</f>
        <v>PASS</v>
      </c>
      <c r="F4718" s="9" t="s">
        <v>76</v>
      </c>
      <c r="G4718" s="6"/>
      <c r="H4718" s="6"/>
      <c r="I4718" s="6"/>
      <c r="J4718" s="6"/>
      <c r="K4718" s="6"/>
      <c r="L4718" s="6"/>
      <c r="M4718" s="6"/>
      <c r="N4718" s="6"/>
      <c r="O4718" s="6"/>
      <c r="P4718" s="6"/>
      <c r="Q4718" s="6"/>
      <c r="R4718" s="6"/>
      <c r="S4718" s="6"/>
      <c r="T4718" s="6"/>
      <c r="U4718" s="6"/>
      <c r="V4718" s="6"/>
      <c r="W4718" s="6"/>
      <c r="X4718" s="6"/>
      <c r="Y4718" s="6"/>
      <c r="Z4718" s="6"/>
    </row>
    <row r="4719" customFormat="false" ht="15" hidden="false" customHeight="false" outlineLevel="0" collapsed="false">
      <c r="A4719" s="9" t="s">
        <v>10562</v>
      </c>
      <c r="B4719" s="9" t="s">
        <v>5870</v>
      </c>
      <c r="C4719" s="9" t="s">
        <v>4993</v>
      </c>
      <c r="D4719" s="9" t="s">
        <v>5871</v>
      </c>
      <c r="E4719" s="9" t="str">
        <f aca="false">IF(AND('Formation Ledger'!A4698&lt;&gt;"",'Formation Ledger'!V4698=0),"PASS","FAIL")</f>
        <v>PASS</v>
      </c>
      <c r="F4719" s="9" t="s">
        <v>76</v>
      </c>
      <c r="G4719" s="6"/>
      <c r="H4719" s="6"/>
      <c r="I4719" s="6"/>
      <c r="J4719" s="6"/>
      <c r="K4719" s="6"/>
      <c r="L4719" s="6"/>
      <c r="M4719" s="6"/>
      <c r="N4719" s="6"/>
      <c r="O4719" s="6"/>
      <c r="P4719" s="6"/>
      <c r="Q4719" s="6"/>
      <c r="R4719" s="6"/>
      <c r="S4719" s="6"/>
      <c r="T4719" s="6"/>
      <c r="U4719" s="6"/>
      <c r="V4719" s="6"/>
      <c r="W4719" s="6"/>
      <c r="X4719" s="6"/>
      <c r="Y4719" s="6"/>
      <c r="Z4719" s="6"/>
    </row>
    <row r="4720" customFormat="false" ht="15" hidden="false" customHeight="false" outlineLevel="0" collapsed="false">
      <c r="A4720" s="9" t="s">
        <v>10563</v>
      </c>
      <c r="B4720" s="9" t="s">
        <v>5870</v>
      </c>
      <c r="C4720" s="9" t="s">
        <v>4994</v>
      </c>
      <c r="D4720" s="9" t="s">
        <v>5871</v>
      </c>
      <c r="E4720" s="9" t="str">
        <f aca="false">IF(AND('Formation Ledger'!A4699&lt;&gt;"",'Formation Ledger'!V4699=0),"PASS","FAIL")</f>
        <v>PASS</v>
      </c>
      <c r="F4720" s="9" t="s">
        <v>76</v>
      </c>
      <c r="G4720" s="6"/>
      <c r="H4720" s="6"/>
      <c r="I4720" s="6"/>
      <c r="J4720" s="6"/>
      <c r="K4720" s="6"/>
      <c r="L4720" s="6"/>
      <c r="M4720" s="6"/>
      <c r="N4720" s="6"/>
      <c r="O4720" s="6"/>
      <c r="P4720" s="6"/>
      <c r="Q4720" s="6"/>
      <c r="R4720" s="6"/>
      <c r="S4720" s="6"/>
      <c r="T4720" s="6"/>
      <c r="U4720" s="6"/>
      <c r="V4720" s="6"/>
      <c r="W4720" s="6"/>
      <c r="X4720" s="6"/>
      <c r="Y4720" s="6"/>
      <c r="Z4720" s="6"/>
    </row>
    <row r="4721" customFormat="false" ht="15" hidden="false" customHeight="false" outlineLevel="0" collapsed="false">
      <c r="A4721" s="9" t="s">
        <v>10564</v>
      </c>
      <c r="B4721" s="9" t="s">
        <v>5870</v>
      </c>
      <c r="C4721" s="9" t="s">
        <v>4995</v>
      </c>
      <c r="D4721" s="9" t="s">
        <v>5871</v>
      </c>
      <c r="E4721" s="9" t="str">
        <f aca="false">IF(AND('Formation Ledger'!A4700&lt;&gt;"",'Formation Ledger'!V4700=0),"PASS","FAIL")</f>
        <v>PASS</v>
      </c>
      <c r="F4721" s="9" t="s">
        <v>76</v>
      </c>
      <c r="G4721" s="6"/>
      <c r="H4721" s="6"/>
      <c r="I4721" s="6"/>
      <c r="J4721" s="6"/>
      <c r="K4721" s="6"/>
      <c r="L4721" s="6"/>
      <c r="M4721" s="6"/>
      <c r="N4721" s="6"/>
      <c r="O4721" s="6"/>
      <c r="P4721" s="6"/>
      <c r="Q4721" s="6"/>
      <c r="R4721" s="6"/>
      <c r="S4721" s="6"/>
      <c r="T4721" s="6"/>
      <c r="U4721" s="6"/>
      <c r="V4721" s="6"/>
      <c r="W4721" s="6"/>
      <c r="X4721" s="6"/>
      <c r="Y4721" s="6"/>
      <c r="Z4721" s="6"/>
    </row>
    <row r="4722" customFormat="false" ht="15" hidden="false" customHeight="false" outlineLevel="0" collapsed="false">
      <c r="A4722" s="9" t="s">
        <v>10565</v>
      </c>
      <c r="B4722" s="9" t="s">
        <v>5870</v>
      </c>
      <c r="C4722" s="9" t="s">
        <v>4996</v>
      </c>
      <c r="D4722" s="9" t="s">
        <v>5871</v>
      </c>
      <c r="E4722" s="9" t="str">
        <f aca="false">IF(AND('Formation Ledger'!A4701&lt;&gt;"",'Formation Ledger'!V4701=0),"PASS","FAIL")</f>
        <v>PASS</v>
      </c>
      <c r="F4722" s="9" t="s">
        <v>76</v>
      </c>
      <c r="G4722" s="6"/>
      <c r="H4722" s="6"/>
      <c r="I4722" s="6"/>
      <c r="J4722" s="6"/>
      <c r="K4722" s="6"/>
      <c r="L4722" s="6"/>
      <c r="M4722" s="6"/>
      <c r="N4722" s="6"/>
      <c r="O4722" s="6"/>
      <c r="P4722" s="6"/>
      <c r="Q4722" s="6"/>
      <c r="R4722" s="6"/>
      <c r="S4722" s="6"/>
      <c r="T4722" s="6"/>
      <c r="U4722" s="6"/>
      <c r="V4722" s="6"/>
      <c r="W4722" s="6"/>
      <c r="X4722" s="6"/>
      <c r="Y4722" s="6"/>
      <c r="Z4722" s="6"/>
    </row>
    <row r="4723" customFormat="false" ht="15" hidden="false" customHeight="false" outlineLevel="0" collapsed="false">
      <c r="A4723" s="9" t="s">
        <v>10566</v>
      </c>
      <c r="B4723" s="9" t="s">
        <v>5870</v>
      </c>
      <c r="C4723" s="9" t="s">
        <v>4997</v>
      </c>
      <c r="D4723" s="9" t="s">
        <v>5871</v>
      </c>
      <c r="E4723" s="9" t="str">
        <f aca="false">IF(AND('Formation Ledger'!A4702&lt;&gt;"",'Formation Ledger'!V4702=0),"PASS","FAIL")</f>
        <v>PASS</v>
      </c>
      <c r="F4723" s="9" t="s">
        <v>76</v>
      </c>
      <c r="G4723" s="6"/>
      <c r="H4723" s="6"/>
      <c r="I4723" s="6"/>
      <c r="J4723" s="6"/>
      <c r="K4723" s="6"/>
      <c r="L4723" s="6"/>
      <c r="M4723" s="6"/>
      <c r="N4723" s="6"/>
      <c r="O4723" s="6"/>
      <c r="P4723" s="6"/>
      <c r="Q4723" s="6"/>
      <c r="R4723" s="6"/>
      <c r="S4723" s="6"/>
      <c r="T4723" s="6"/>
      <c r="U4723" s="6"/>
      <c r="V4723" s="6"/>
      <c r="W4723" s="6"/>
      <c r="X4723" s="6"/>
      <c r="Y4723" s="6"/>
      <c r="Z4723" s="6"/>
    </row>
    <row r="4724" customFormat="false" ht="15" hidden="false" customHeight="false" outlineLevel="0" collapsed="false">
      <c r="A4724" s="9" t="s">
        <v>10567</v>
      </c>
      <c r="B4724" s="9" t="s">
        <v>5870</v>
      </c>
      <c r="C4724" s="9" t="s">
        <v>4998</v>
      </c>
      <c r="D4724" s="9" t="s">
        <v>5871</v>
      </c>
      <c r="E4724" s="9" t="str">
        <f aca="false">IF(AND('Formation Ledger'!A4703&lt;&gt;"",'Formation Ledger'!V4703=0),"PASS","FAIL")</f>
        <v>PASS</v>
      </c>
      <c r="F4724" s="9" t="s">
        <v>76</v>
      </c>
      <c r="G4724" s="6"/>
      <c r="H4724" s="6"/>
      <c r="I4724" s="6"/>
      <c r="J4724" s="6"/>
      <c r="K4724" s="6"/>
      <c r="L4724" s="6"/>
      <c r="M4724" s="6"/>
      <c r="N4724" s="6"/>
      <c r="O4724" s="6"/>
      <c r="P4724" s="6"/>
      <c r="Q4724" s="6"/>
      <c r="R4724" s="6"/>
      <c r="S4724" s="6"/>
      <c r="T4724" s="6"/>
      <c r="U4724" s="6"/>
      <c r="V4724" s="6"/>
      <c r="W4724" s="6"/>
      <c r="X4724" s="6"/>
      <c r="Y4724" s="6"/>
      <c r="Z4724" s="6"/>
    </row>
    <row r="4725" customFormat="false" ht="15" hidden="false" customHeight="false" outlineLevel="0" collapsed="false">
      <c r="A4725" s="9" t="s">
        <v>10568</v>
      </c>
      <c r="B4725" s="9" t="s">
        <v>5870</v>
      </c>
      <c r="C4725" s="9" t="s">
        <v>4999</v>
      </c>
      <c r="D4725" s="9" t="s">
        <v>5871</v>
      </c>
      <c r="E4725" s="9" t="str">
        <f aca="false">IF(AND('Formation Ledger'!A4704&lt;&gt;"",'Formation Ledger'!V4704=0),"PASS","FAIL")</f>
        <v>PASS</v>
      </c>
      <c r="F4725" s="9" t="s">
        <v>76</v>
      </c>
      <c r="G4725" s="6"/>
      <c r="H4725" s="6"/>
      <c r="I4725" s="6"/>
      <c r="J4725" s="6"/>
      <c r="K4725" s="6"/>
      <c r="L4725" s="6"/>
      <c r="M4725" s="6"/>
      <c r="N4725" s="6"/>
      <c r="O4725" s="6"/>
      <c r="P4725" s="6"/>
      <c r="Q4725" s="6"/>
      <c r="R4725" s="6"/>
      <c r="S4725" s="6"/>
      <c r="T4725" s="6"/>
      <c r="U4725" s="6"/>
      <c r="V4725" s="6"/>
      <c r="W4725" s="6"/>
      <c r="X4725" s="6"/>
      <c r="Y4725" s="6"/>
      <c r="Z4725" s="6"/>
    </row>
    <row r="4726" customFormat="false" ht="15" hidden="false" customHeight="false" outlineLevel="0" collapsed="false">
      <c r="A4726" s="9" t="s">
        <v>10569</v>
      </c>
      <c r="B4726" s="9" t="s">
        <v>5870</v>
      </c>
      <c r="C4726" s="9" t="s">
        <v>5000</v>
      </c>
      <c r="D4726" s="9" t="s">
        <v>5871</v>
      </c>
      <c r="E4726" s="9" t="str">
        <f aca="false">IF(AND('Formation Ledger'!A4705&lt;&gt;"",'Formation Ledger'!V4705=0),"PASS","FAIL")</f>
        <v>PASS</v>
      </c>
      <c r="F4726" s="9" t="s">
        <v>76</v>
      </c>
      <c r="G4726" s="6"/>
      <c r="H4726" s="6"/>
      <c r="I4726" s="6"/>
      <c r="J4726" s="6"/>
      <c r="K4726" s="6"/>
      <c r="L4726" s="6"/>
      <c r="M4726" s="6"/>
      <c r="N4726" s="6"/>
      <c r="O4726" s="6"/>
      <c r="P4726" s="6"/>
      <c r="Q4726" s="6"/>
      <c r="R4726" s="6"/>
      <c r="S4726" s="6"/>
      <c r="T4726" s="6"/>
      <c r="U4726" s="6"/>
      <c r="V4726" s="6"/>
      <c r="W4726" s="6"/>
      <c r="X4726" s="6"/>
      <c r="Y4726" s="6"/>
      <c r="Z4726" s="6"/>
    </row>
    <row r="4727" customFormat="false" ht="15" hidden="false" customHeight="false" outlineLevel="0" collapsed="false">
      <c r="A4727" s="9" t="s">
        <v>10570</v>
      </c>
      <c r="B4727" s="9" t="s">
        <v>5870</v>
      </c>
      <c r="C4727" s="9" t="s">
        <v>5001</v>
      </c>
      <c r="D4727" s="9" t="s">
        <v>5871</v>
      </c>
      <c r="E4727" s="9" t="str">
        <f aca="false">IF(AND('Formation Ledger'!A4706&lt;&gt;"",'Formation Ledger'!V4706=0),"PASS","FAIL")</f>
        <v>PASS</v>
      </c>
      <c r="F4727" s="9" t="s">
        <v>76</v>
      </c>
      <c r="G4727" s="6"/>
      <c r="H4727" s="6"/>
      <c r="I4727" s="6"/>
      <c r="J4727" s="6"/>
      <c r="K4727" s="6"/>
      <c r="L4727" s="6"/>
      <c r="M4727" s="6"/>
      <c r="N4727" s="6"/>
      <c r="O4727" s="6"/>
      <c r="P4727" s="6"/>
      <c r="Q4727" s="6"/>
      <c r="R4727" s="6"/>
      <c r="S4727" s="6"/>
      <c r="T4727" s="6"/>
      <c r="U4727" s="6"/>
      <c r="V4727" s="6"/>
      <c r="W4727" s="6"/>
      <c r="X4727" s="6"/>
      <c r="Y4727" s="6"/>
      <c r="Z4727" s="6"/>
    </row>
    <row r="4728" customFormat="false" ht="15" hidden="false" customHeight="false" outlineLevel="0" collapsed="false">
      <c r="A4728" s="9" t="s">
        <v>10571</v>
      </c>
      <c r="B4728" s="9" t="s">
        <v>5870</v>
      </c>
      <c r="C4728" s="9" t="s">
        <v>5002</v>
      </c>
      <c r="D4728" s="9" t="s">
        <v>5871</v>
      </c>
      <c r="E4728" s="9" t="str">
        <f aca="false">IF(AND('Formation Ledger'!A4707&lt;&gt;"",'Formation Ledger'!V4707=0),"PASS","FAIL")</f>
        <v>PASS</v>
      </c>
      <c r="F4728" s="9" t="s">
        <v>76</v>
      </c>
      <c r="G4728" s="6"/>
      <c r="H4728" s="6"/>
      <c r="I4728" s="6"/>
      <c r="J4728" s="6"/>
      <c r="K4728" s="6"/>
      <c r="L4728" s="6"/>
      <c r="M4728" s="6"/>
      <c r="N4728" s="6"/>
      <c r="O4728" s="6"/>
      <c r="P4728" s="6"/>
      <c r="Q4728" s="6"/>
      <c r="R4728" s="6"/>
      <c r="S4728" s="6"/>
      <c r="T4728" s="6"/>
      <c r="U4728" s="6"/>
      <c r="V4728" s="6"/>
      <c r="W4728" s="6"/>
      <c r="X4728" s="6"/>
      <c r="Y4728" s="6"/>
      <c r="Z4728" s="6"/>
    </row>
    <row r="4729" customFormat="false" ht="15" hidden="false" customHeight="false" outlineLevel="0" collapsed="false">
      <c r="A4729" s="9" t="s">
        <v>10572</v>
      </c>
      <c r="B4729" s="9" t="s">
        <v>5870</v>
      </c>
      <c r="C4729" s="9" t="s">
        <v>5003</v>
      </c>
      <c r="D4729" s="9" t="s">
        <v>5871</v>
      </c>
      <c r="E4729" s="9" t="str">
        <f aca="false">IF(AND('Formation Ledger'!A4708&lt;&gt;"",'Formation Ledger'!V4708=0),"PASS","FAIL")</f>
        <v>PASS</v>
      </c>
      <c r="F4729" s="9" t="s">
        <v>76</v>
      </c>
      <c r="G4729" s="6"/>
      <c r="H4729" s="6"/>
      <c r="I4729" s="6"/>
      <c r="J4729" s="6"/>
      <c r="K4729" s="6"/>
      <c r="L4729" s="6"/>
      <c r="M4729" s="6"/>
      <c r="N4729" s="6"/>
      <c r="O4729" s="6"/>
      <c r="P4729" s="6"/>
      <c r="Q4729" s="6"/>
      <c r="R4729" s="6"/>
      <c r="S4729" s="6"/>
      <c r="T4729" s="6"/>
      <c r="U4729" s="6"/>
      <c r="V4729" s="6"/>
      <c r="W4729" s="6"/>
      <c r="X4729" s="6"/>
      <c r="Y4729" s="6"/>
      <c r="Z4729" s="6"/>
    </row>
    <row r="4730" customFormat="false" ht="15" hidden="false" customHeight="false" outlineLevel="0" collapsed="false">
      <c r="A4730" s="9" t="s">
        <v>10573</v>
      </c>
      <c r="B4730" s="9" t="s">
        <v>5870</v>
      </c>
      <c r="C4730" s="9" t="s">
        <v>5004</v>
      </c>
      <c r="D4730" s="9" t="s">
        <v>5871</v>
      </c>
      <c r="E4730" s="9" t="str">
        <f aca="false">IF(AND('Formation Ledger'!A4709&lt;&gt;"",'Formation Ledger'!V4709=0),"PASS","FAIL")</f>
        <v>PASS</v>
      </c>
      <c r="F4730" s="9" t="s">
        <v>76</v>
      </c>
      <c r="G4730" s="6"/>
      <c r="H4730" s="6"/>
      <c r="I4730" s="6"/>
      <c r="J4730" s="6"/>
      <c r="K4730" s="6"/>
      <c r="L4730" s="6"/>
      <c r="M4730" s="6"/>
      <c r="N4730" s="6"/>
      <c r="O4730" s="6"/>
      <c r="P4730" s="6"/>
      <c r="Q4730" s="6"/>
      <c r="R4730" s="6"/>
      <c r="S4730" s="6"/>
      <c r="T4730" s="6"/>
      <c r="U4730" s="6"/>
      <c r="V4730" s="6"/>
      <c r="W4730" s="6"/>
      <c r="X4730" s="6"/>
      <c r="Y4730" s="6"/>
      <c r="Z4730" s="6"/>
    </row>
    <row r="4731" customFormat="false" ht="15" hidden="false" customHeight="false" outlineLevel="0" collapsed="false">
      <c r="A4731" s="9" t="s">
        <v>10574</v>
      </c>
      <c r="B4731" s="9" t="s">
        <v>5870</v>
      </c>
      <c r="C4731" s="9" t="s">
        <v>5005</v>
      </c>
      <c r="D4731" s="9" t="s">
        <v>5871</v>
      </c>
      <c r="E4731" s="9" t="str">
        <f aca="false">IF(AND('Formation Ledger'!A4710&lt;&gt;"",'Formation Ledger'!V4710=0),"PASS","FAIL")</f>
        <v>PASS</v>
      </c>
      <c r="F4731" s="9" t="s">
        <v>76</v>
      </c>
      <c r="G4731" s="6"/>
      <c r="H4731" s="6"/>
      <c r="I4731" s="6"/>
      <c r="J4731" s="6"/>
      <c r="K4731" s="6"/>
      <c r="L4731" s="6"/>
      <c r="M4731" s="6"/>
      <c r="N4731" s="6"/>
      <c r="O4731" s="6"/>
      <c r="P4731" s="6"/>
      <c r="Q4731" s="6"/>
      <c r="R4731" s="6"/>
      <c r="S4731" s="6"/>
      <c r="T4731" s="6"/>
      <c r="U4731" s="6"/>
      <c r="V4731" s="6"/>
      <c r="W4731" s="6"/>
      <c r="X4731" s="6"/>
      <c r="Y4731" s="6"/>
      <c r="Z4731" s="6"/>
    </row>
    <row r="4732" customFormat="false" ht="15" hidden="false" customHeight="false" outlineLevel="0" collapsed="false">
      <c r="A4732" s="9" t="s">
        <v>10575</v>
      </c>
      <c r="B4732" s="9" t="s">
        <v>5870</v>
      </c>
      <c r="C4732" s="9" t="s">
        <v>5006</v>
      </c>
      <c r="D4732" s="9" t="s">
        <v>5871</v>
      </c>
      <c r="E4732" s="9" t="str">
        <f aca="false">IF(AND('Formation Ledger'!A4711&lt;&gt;"",'Formation Ledger'!V4711=0),"PASS","FAIL")</f>
        <v>PASS</v>
      </c>
      <c r="F4732" s="9" t="s">
        <v>76</v>
      </c>
      <c r="G4732" s="6"/>
      <c r="H4732" s="6"/>
      <c r="I4732" s="6"/>
      <c r="J4732" s="6"/>
      <c r="K4732" s="6"/>
      <c r="L4732" s="6"/>
      <c r="M4732" s="6"/>
      <c r="N4732" s="6"/>
      <c r="O4732" s="6"/>
      <c r="P4732" s="6"/>
      <c r="Q4732" s="6"/>
      <c r="R4732" s="6"/>
      <c r="S4732" s="6"/>
      <c r="T4732" s="6"/>
      <c r="U4732" s="6"/>
      <c r="V4732" s="6"/>
      <c r="W4732" s="6"/>
      <c r="X4732" s="6"/>
      <c r="Y4732" s="6"/>
      <c r="Z4732" s="6"/>
    </row>
    <row r="4733" customFormat="false" ht="15" hidden="false" customHeight="false" outlineLevel="0" collapsed="false">
      <c r="A4733" s="9" t="s">
        <v>10576</v>
      </c>
      <c r="B4733" s="9" t="s">
        <v>5870</v>
      </c>
      <c r="C4733" s="9" t="s">
        <v>5007</v>
      </c>
      <c r="D4733" s="9" t="s">
        <v>5871</v>
      </c>
      <c r="E4733" s="9" t="str">
        <f aca="false">IF(AND('Formation Ledger'!A4712&lt;&gt;"",'Formation Ledger'!V4712=0),"PASS","FAIL")</f>
        <v>PASS</v>
      </c>
      <c r="F4733" s="9" t="s">
        <v>76</v>
      </c>
      <c r="G4733" s="6"/>
      <c r="H4733" s="6"/>
      <c r="I4733" s="6"/>
      <c r="J4733" s="6"/>
      <c r="K4733" s="6"/>
      <c r="L4733" s="6"/>
      <c r="M4733" s="6"/>
      <c r="N4733" s="6"/>
      <c r="O4733" s="6"/>
      <c r="P4733" s="6"/>
      <c r="Q4733" s="6"/>
      <c r="R4733" s="6"/>
      <c r="S4733" s="6"/>
      <c r="T4733" s="6"/>
      <c r="U4733" s="6"/>
      <c r="V4733" s="6"/>
      <c r="W4733" s="6"/>
      <c r="X4733" s="6"/>
      <c r="Y4733" s="6"/>
      <c r="Z4733" s="6"/>
    </row>
    <row r="4734" customFormat="false" ht="15" hidden="false" customHeight="false" outlineLevel="0" collapsed="false">
      <c r="A4734" s="9" t="s">
        <v>10577</v>
      </c>
      <c r="B4734" s="9" t="s">
        <v>5870</v>
      </c>
      <c r="C4734" s="9" t="s">
        <v>5008</v>
      </c>
      <c r="D4734" s="9" t="s">
        <v>5871</v>
      </c>
      <c r="E4734" s="9" t="str">
        <f aca="false">IF(AND('Formation Ledger'!A4713&lt;&gt;"",'Formation Ledger'!V4713=0),"PASS","FAIL")</f>
        <v>PASS</v>
      </c>
      <c r="F4734" s="9" t="s">
        <v>76</v>
      </c>
      <c r="G4734" s="6"/>
      <c r="H4734" s="6"/>
      <c r="I4734" s="6"/>
      <c r="J4734" s="6"/>
      <c r="K4734" s="6"/>
      <c r="L4734" s="6"/>
      <c r="M4734" s="6"/>
      <c r="N4734" s="6"/>
      <c r="O4734" s="6"/>
      <c r="P4734" s="6"/>
      <c r="Q4734" s="6"/>
      <c r="R4734" s="6"/>
      <c r="S4734" s="6"/>
      <c r="T4734" s="6"/>
      <c r="U4734" s="6"/>
      <c r="V4734" s="6"/>
      <c r="W4734" s="6"/>
      <c r="X4734" s="6"/>
      <c r="Y4734" s="6"/>
      <c r="Z4734" s="6"/>
    </row>
    <row r="4735" customFormat="false" ht="15" hidden="false" customHeight="false" outlineLevel="0" collapsed="false">
      <c r="A4735" s="9" t="s">
        <v>10578</v>
      </c>
      <c r="B4735" s="9" t="s">
        <v>5870</v>
      </c>
      <c r="C4735" s="9" t="s">
        <v>5009</v>
      </c>
      <c r="D4735" s="9" t="s">
        <v>5871</v>
      </c>
      <c r="E4735" s="9" t="str">
        <f aca="false">IF(AND('Formation Ledger'!A4714&lt;&gt;"",'Formation Ledger'!V4714=0),"PASS","FAIL")</f>
        <v>PASS</v>
      </c>
      <c r="F4735" s="9" t="s">
        <v>76</v>
      </c>
      <c r="G4735" s="6"/>
      <c r="H4735" s="6"/>
      <c r="I4735" s="6"/>
      <c r="J4735" s="6"/>
      <c r="K4735" s="6"/>
      <c r="L4735" s="6"/>
      <c r="M4735" s="6"/>
      <c r="N4735" s="6"/>
      <c r="O4735" s="6"/>
      <c r="P4735" s="6"/>
      <c r="Q4735" s="6"/>
      <c r="R4735" s="6"/>
      <c r="S4735" s="6"/>
      <c r="T4735" s="6"/>
      <c r="U4735" s="6"/>
      <c r="V4735" s="6"/>
      <c r="W4735" s="6"/>
      <c r="X4735" s="6"/>
      <c r="Y4735" s="6"/>
      <c r="Z4735" s="6"/>
    </row>
    <row r="4736" customFormat="false" ht="15" hidden="false" customHeight="false" outlineLevel="0" collapsed="false">
      <c r="A4736" s="9" t="s">
        <v>10579</v>
      </c>
      <c r="B4736" s="9" t="s">
        <v>5870</v>
      </c>
      <c r="C4736" s="9" t="s">
        <v>5010</v>
      </c>
      <c r="D4736" s="9" t="s">
        <v>5871</v>
      </c>
      <c r="E4736" s="9" t="str">
        <f aca="false">IF(AND('Formation Ledger'!A4715&lt;&gt;"",'Formation Ledger'!V4715=0),"PASS","FAIL")</f>
        <v>PASS</v>
      </c>
      <c r="F4736" s="9" t="s">
        <v>76</v>
      </c>
      <c r="G4736" s="6"/>
      <c r="H4736" s="6"/>
      <c r="I4736" s="6"/>
      <c r="J4736" s="6"/>
      <c r="K4736" s="6"/>
      <c r="L4736" s="6"/>
      <c r="M4736" s="6"/>
      <c r="N4736" s="6"/>
      <c r="O4736" s="6"/>
      <c r="P4736" s="6"/>
      <c r="Q4736" s="6"/>
      <c r="R4736" s="6"/>
      <c r="S4736" s="6"/>
      <c r="T4736" s="6"/>
      <c r="U4736" s="6"/>
      <c r="V4736" s="6"/>
      <c r="W4736" s="6"/>
      <c r="X4736" s="6"/>
      <c r="Y4736" s="6"/>
      <c r="Z4736" s="6"/>
    </row>
    <row r="4737" customFormat="false" ht="15" hidden="false" customHeight="false" outlineLevel="0" collapsed="false">
      <c r="A4737" s="9" t="s">
        <v>10580</v>
      </c>
      <c r="B4737" s="9" t="s">
        <v>5870</v>
      </c>
      <c r="C4737" s="9" t="s">
        <v>5011</v>
      </c>
      <c r="D4737" s="9" t="s">
        <v>5871</v>
      </c>
      <c r="E4737" s="9" t="str">
        <f aca="false">IF(AND('Formation Ledger'!A4716&lt;&gt;"",'Formation Ledger'!V4716=0),"PASS","FAIL")</f>
        <v>PASS</v>
      </c>
      <c r="F4737" s="9" t="s">
        <v>76</v>
      </c>
      <c r="G4737" s="6"/>
      <c r="H4737" s="6"/>
      <c r="I4737" s="6"/>
      <c r="J4737" s="6"/>
      <c r="K4737" s="6"/>
      <c r="L4737" s="6"/>
      <c r="M4737" s="6"/>
      <c r="N4737" s="6"/>
      <c r="O4737" s="6"/>
      <c r="P4737" s="6"/>
      <c r="Q4737" s="6"/>
      <c r="R4737" s="6"/>
      <c r="S4737" s="6"/>
      <c r="T4737" s="6"/>
      <c r="U4737" s="6"/>
      <c r="V4737" s="6"/>
      <c r="W4737" s="6"/>
      <c r="X4737" s="6"/>
      <c r="Y4737" s="6"/>
      <c r="Z4737" s="6"/>
    </row>
    <row r="4738" customFormat="false" ht="15" hidden="false" customHeight="false" outlineLevel="0" collapsed="false">
      <c r="A4738" s="9" t="s">
        <v>10581</v>
      </c>
      <c r="B4738" s="9" t="s">
        <v>5870</v>
      </c>
      <c r="C4738" s="9" t="s">
        <v>5012</v>
      </c>
      <c r="D4738" s="9" t="s">
        <v>5871</v>
      </c>
      <c r="E4738" s="9" t="str">
        <f aca="false">IF(AND('Formation Ledger'!A4717&lt;&gt;"",'Formation Ledger'!V4717=0),"PASS","FAIL")</f>
        <v>PASS</v>
      </c>
      <c r="F4738" s="9" t="s">
        <v>76</v>
      </c>
      <c r="G4738" s="6"/>
      <c r="H4738" s="6"/>
      <c r="I4738" s="6"/>
      <c r="J4738" s="6"/>
      <c r="K4738" s="6"/>
      <c r="L4738" s="6"/>
      <c r="M4738" s="6"/>
      <c r="N4738" s="6"/>
      <c r="O4738" s="6"/>
      <c r="P4738" s="6"/>
      <c r="Q4738" s="6"/>
      <c r="R4738" s="6"/>
      <c r="S4738" s="6"/>
      <c r="T4738" s="6"/>
      <c r="U4738" s="6"/>
      <c r="V4738" s="6"/>
      <c r="W4738" s="6"/>
      <c r="X4738" s="6"/>
      <c r="Y4738" s="6"/>
      <c r="Z4738" s="6"/>
    </row>
    <row r="4739" customFormat="false" ht="15" hidden="false" customHeight="false" outlineLevel="0" collapsed="false">
      <c r="A4739" s="9" t="s">
        <v>10582</v>
      </c>
      <c r="B4739" s="9" t="s">
        <v>5870</v>
      </c>
      <c r="C4739" s="9" t="s">
        <v>5013</v>
      </c>
      <c r="D4739" s="9" t="s">
        <v>5871</v>
      </c>
      <c r="E4739" s="9" t="str">
        <f aca="false">IF(AND('Formation Ledger'!A4718&lt;&gt;"",'Formation Ledger'!V4718=0),"PASS","FAIL")</f>
        <v>PASS</v>
      </c>
      <c r="F4739" s="9" t="s">
        <v>76</v>
      </c>
      <c r="G4739" s="6"/>
      <c r="H4739" s="6"/>
      <c r="I4739" s="6"/>
      <c r="J4739" s="6"/>
      <c r="K4739" s="6"/>
      <c r="L4739" s="6"/>
      <c r="M4739" s="6"/>
      <c r="N4739" s="6"/>
      <c r="O4739" s="6"/>
      <c r="P4739" s="6"/>
      <c r="Q4739" s="6"/>
      <c r="R4739" s="6"/>
      <c r="S4739" s="6"/>
      <c r="T4739" s="6"/>
      <c r="U4739" s="6"/>
      <c r="V4739" s="6"/>
      <c r="W4739" s="6"/>
      <c r="X4739" s="6"/>
      <c r="Y4739" s="6"/>
      <c r="Z4739" s="6"/>
    </row>
    <row r="4740" customFormat="false" ht="15" hidden="false" customHeight="false" outlineLevel="0" collapsed="false">
      <c r="A4740" s="9" t="s">
        <v>10583</v>
      </c>
      <c r="B4740" s="9" t="s">
        <v>5870</v>
      </c>
      <c r="C4740" s="9" t="s">
        <v>5014</v>
      </c>
      <c r="D4740" s="9" t="s">
        <v>5871</v>
      </c>
      <c r="E4740" s="9" t="str">
        <f aca="false">IF(AND('Formation Ledger'!A4719&lt;&gt;"",'Formation Ledger'!V4719=0),"PASS","FAIL")</f>
        <v>PASS</v>
      </c>
      <c r="F4740" s="9" t="s">
        <v>76</v>
      </c>
      <c r="G4740" s="6"/>
      <c r="H4740" s="6"/>
      <c r="I4740" s="6"/>
      <c r="J4740" s="6"/>
      <c r="K4740" s="6"/>
      <c r="L4740" s="6"/>
      <c r="M4740" s="6"/>
      <c r="N4740" s="6"/>
      <c r="O4740" s="6"/>
      <c r="P4740" s="6"/>
      <c r="Q4740" s="6"/>
      <c r="R4740" s="6"/>
      <c r="S4740" s="6"/>
      <c r="T4740" s="6"/>
      <c r="U4740" s="6"/>
      <c r="V4740" s="6"/>
      <c r="W4740" s="6"/>
      <c r="X4740" s="6"/>
      <c r="Y4740" s="6"/>
      <c r="Z4740" s="6"/>
    </row>
    <row r="4741" customFormat="false" ht="15" hidden="false" customHeight="false" outlineLevel="0" collapsed="false">
      <c r="A4741" s="9" t="s">
        <v>10584</v>
      </c>
      <c r="B4741" s="9" t="s">
        <v>5870</v>
      </c>
      <c r="C4741" s="9" t="s">
        <v>5015</v>
      </c>
      <c r="D4741" s="9" t="s">
        <v>5871</v>
      </c>
      <c r="E4741" s="9" t="str">
        <f aca="false">IF(AND('Formation Ledger'!A4720&lt;&gt;"",'Formation Ledger'!V4720=0),"PASS","FAIL")</f>
        <v>PASS</v>
      </c>
      <c r="F4741" s="9" t="s">
        <v>76</v>
      </c>
      <c r="G4741" s="6"/>
      <c r="H4741" s="6"/>
      <c r="I4741" s="6"/>
      <c r="J4741" s="6"/>
      <c r="K4741" s="6"/>
      <c r="L4741" s="6"/>
      <c r="M4741" s="6"/>
      <c r="N4741" s="6"/>
      <c r="O4741" s="6"/>
      <c r="P4741" s="6"/>
      <c r="Q4741" s="6"/>
      <c r="R4741" s="6"/>
      <c r="S4741" s="6"/>
      <c r="T4741" s="6"/>
      <c r="U4741" s="6"/>
      <c r="V4741" s="6"/>
      <c r="W4741" s="6"/>
      <c r="X4741" s="6"/>
      <c r="Y4741" s="6"/>
      <c r="Z4741" s="6"/>
    </row>
    <row r="4742" customFormat="false" ht="15" hidden="false" customHeight="false" outlineLevel="0" collapsed="false">
      <c r="A4742" s="9" t="s">
        <v>10585</v>
      </c>
      <c r="B4742" s="9" t="s">
        <v>5870</v>
      </c>
      <c r="C4742" s="9" t="s">
        <v>5016</v>
      </c>
      <c r="D4742" s="9" t="s">
        <v>5871</v>
      </c>
      <c r="E4742" s="9" t="str">
        <f aca="false">IF(AND('Formation Ledger'!A4721&lt;&gt;"",'Formation Ledger'!V4721=0),"PASS","FAIL")</f>
        <v>PASS</v>
      </c>
      <c r="F4742" s="9" t="s">
        <v>76</v>
      </c>
      <c r="G4742" s="6"/>
      <c r="H4742" s="6"/>
      <c r="I4742" s="6"/>
      <c r="J4742" s="6"/>
      <c r="K4742" s="6"/>
      <c r="L4742" s="6"/>
      <c r="M4742" s="6"/>
      <c r="N4742" s="6"/>
      <c r="O4742" s="6"/>
      <c r="P4742" s="6"/>
      <c r="Q4742" s="6"/>
      <c r="R4742" s="6"/>
      <c r="S4742" s="6"/>
      <c r="T4742" s="6"/>
      <c r="U4742" s="6"/>
      <c r="V4742" s="6"/>
      <c r="W4742" s="6"/>
      <c r="X4742" s="6"/>
      <c r="Y4742" s="6"/>
      <c r="Z4742" s="6"/>
    </row>
    <row r="4743" customFormat="false" ht="15" hidden="false" customHeight="false" outlineLevel="0" collapsed="false">
      <c r="A4743" s="9" t="s">
        <v>10586</v>
      </c>
      <c r="B4743" s="9" t="s">
        <v>5870</v>
      </c>
      <c r="C4743" s="9" t="s">
        <v>5017</v>
      </c>
      <c r="D4743" s="9" t="s">
        <v>5871</v>
      </c>
      <c r="E4743" s="9" t="str">
        <f aca="false">IF(AND('Formation Ledger'!A4722&lt;&gt;"",'Formation Ledger'!V4722=0),"PASS","FAIL")</f>
        <v>PASS</v>
      </c>
      <c r="F4743" s="9" t="s">
        <v>76</v>
      </c>
      <c r="G4743" s="6"/>
      <c r="H4743" s="6"/>
      <c r="I4743" s="6"/>
      <c r="J4743" s="6"/>
      <c r="K4743" s="6"/>
      <c r="L4743" s="6"/>
      <c r="M4743" s="6"/>
      <c r="N4743" s="6"/>
      <c r="O4743" s="6"/>
      <c r="P4743" s="6"/>
      <c r="Q4743" s="6"/>
      <c r="R4743" s="6"/>
      <c r="S4743" s="6"/>
      <c r="T4743" s="6"/>
      <c r="U4743" s="6"/>
      <c r="V4743" s="6"/>
      <c r="W4743" s="6"/>
      <c r="X4743" s="6"/>
      <c r="Y4743" s="6"/>
      <c r="Z4743" s="6"/>
    </row>
    <row r="4744" customFormat="false" ht="15" hidden="false" customHeight="false" outlineLevel="0" collapsed="false">
      <c r="A4744" s="9" t="s">
        <v>10587</v>
      </c>
      <c r="B4744" s="9" t="s">
        <v>5870</v>
      </c>
      <c r="C4744" s="9" t="s">
        <v>5018</v>
      </c>
      <c r="D4744" s="9" t="s">
        <v>5871</v>
      </c>
      <c r="E4744" s="9" t="str">
        <f aca="false">IF(AND('Formation Ledger'!A4723&lt;&gt;"",'Formation Ledger'!V4723=0),"PASS","FAIL")</f>
        <v>PASS</v>
      </c>
      <c r="F4744" s="9" t="s">
        <v>76</v>
      </c>
      <c r="G4744" s="6"/>
      <c r="H4744" s="6"/>
      <c r="I4744" s="6"/>
      <c r="J4744" s="6"/>
      <c r="K4744" s="6"/>
      <c r="L4744" s="6"/>
      <c r="M4744" s="6"/>
      <c r="N4744" s="6"/>
      <c r="O4744" s="6"/>
      <c r="P4744" s="6"/>
      <c r="Q4744" s="6"/>
      <c r="R4744" s="6"/>
      <c r="S4744" s="6"/>
      <c r="T4744" s="6"/>
      <c r="U4744" s="6"/>
      <c r="V4744" s="6"/>
      <c r="W4744" s="6"/>
      <c r="X4744" s="6"/>
      <c r="Y4744" s="6"/>
      <c r="Z4744" s="6"/>
    </row>
    <row r="4745" customFormat="false" ht="15" hidden="false" customHeight="false" outlineLevel="0" collapsed="false">
      <c r="A4745" s="9" t="s">
        <v>10588</v>
      </c>
      <c r="B4745" s="9" t="s">
        <v>5870</v>
      </c>
      <c r="C4745" s="9" t="s">
        <v>5021</v>
      </c>
      <c r="D4745" s="9" t="s">
        <v>5871</v>
      </c>
      <c r="E4745" s="9" t="str">
        <f aca="false">IF(AND('Formation Ledger'!A4724&lt;&gt;"",'Formation Ledger'!V4724=0),"PASS","FAIL")</f>
        <v>PASS</v>
      </c>
      <c r="F4745" s="9" t="s">
        <v>76</v>
      </c>
      <c r="G4745" s="6"/>
      <c r="H4745" s="6"/>
      <c r="I4745" s="6"/>
      <c r="J4745" s="6"/>
      <c r="K4745" s="6"/>
      <c r="L4745" s="6"/>
      <c r="M4745" s="6"/>
      <c r="N4745" s="6"/>
      <c r="O4745" s="6"/>
      <c r="P4745" s="6"/>
      <c r="Q4745" s="6"/>
      <c r="R4745" s="6"/>
      <c r="S4745" s="6"/>
      <c r="T4745" s="6"/>
      <c r="U4745" s="6"/>
      <c r="V4745" s="6"/>
      <c r="W4745" s="6"/>
      <c r="X4745" s="6"/>
      <c r="Y4745" s="6"/>
      <c r="Z4745" s="6"/>
    </row>
    <row r="4746" customFormat="false" ht="15" hidden="false" customHeight="false" outlineLevel="0" collapsed="false">
      <c r="A4746" s="9" t="s">
        <v>10589</v>
      </c>
      <c r="B4746" s="9" t="s">
        <v>5870</v>
      </c>
      <c r="C4746" s="9" t="s">
        <v>5022</v>
      </c>
      <c r="D4746" s="9" t="s">
        <v>5871</v>
      </c>
      <c r="E4746" s="9" t="str">
        <f aca="false">IF(AND('Formation Ledger'!A4725&lt;&gt;"",'Formation Ledger'!V4725=0),"PASS","FAIL")</f>
        <v>PASS</v>
      </c>
      <c r="F4746" s="9" t="s">
        <v>76</v>
      </c>
      <c r="G4746" s="6"/>
      <c r="H4746" s="6"/>
      <c r="I4746" s="6"/>
      <c r="J4746" s="6"/>
      <c r="K4746" s="6"/>
      <c r="L4746" s="6"/>
      <c r="M4746" s="6"/>
      <c r="N4746" s="6"/>
      <c r="O4746" s="6"/>
      <c r="P4746" s="6"/>
      <c r="Q4746" s="6"/>
      <c r="R4746" s="6"/>
      <c r="S4746" s="6"/>
      <c r="T4746" s="6"/>
      <c r="U4746" s="6"/>
      <c r="V4746" s="6"/>
      <c r="W4746" s="6"/>
      <c r="X4746" s="6"/>
      <c r="Y4746" s="6"/>
      <c r="Z4746" s="6"/>
    </row>
    <row r="4747" customFormat="false" ht="15" hidden="false" customHeight="false" outlineLevel="0" collapsed="false">
      <c r="A4747" s="9" t="s">
        <v>10590</v>
      </c>
      <c r="B4747" s="9" t="s">
        <v>5870</v>
      </c>
      <c r="C4747" s="9" t="s">
        <v>5023</v>
      </c>
      <c r="D4747" s="9" t="s">
        <v>5871</v>
      </c>
      <c r="E4747" s="9" t="str">
        <f aca="false">IF(AND('Formation Ledger'!A4726&lt;&gt;"",'Formation Ledger'!V4726=0),"PASS","FAIL")</f>
        <v>PASS</v>
      </c>
      <c r="F4747" s="9" t="s">
        <v>76</v>
      </c>
      <c r="G4747" s="6"/>
      <c r="H4747" s="6"/>
      <c r="I4747" s="6"/>
      <c r="J4747" s="6"/>
      <c r="K4747" s="6"/>
      <c r="L4747" s="6"/>
      <c r="M4747" s="6"/>
      <c r="N4747" s="6"/>
      <c r="O4747" s="6"/>
      <c r="P4747" s="6"/>
      <c r="Q4747" s="6"/>
      <c r="R4747" s="6"/>
      <c r="S4747" s="6"/>
      <c r="T4747" s="6"/>
      <c r="U4747" s="6"/>
      <c r="V4747" s="6"/>
      <c r="W4747" s="6"/>
      <c r="X4747" s="6"/>
      <c r="Y4747" s="6"/>
      <c r="Z4747" s="6"/>
    </row>
    <row r="4748" customFormat="false" ht="15" hidden="false" customHeight="false" outlineLevel="0" collapsed="false">
      <c r="A4748" s="9" t="s">
        <v>10591</v>
      </c>
      <c r="B4748" s="9" t="s">
        <v>5870</v>
      </c>
      <c r="C4748" s="9" t="s">
        <v>5024</v>
      </c>
      <c r="D4748" s="9" t="s">
        <v>5871</v>
      </c>
      <c r="E4748" s="9" t="str">
        <f aca="false">IF(AND('Formation Ledger'!A4727&lt;&gt;"",'Formation Ledger'!V4727=0),"PASS","FAIL")</f>
        <v>PASS</v>
      </c>
      <c r="F4748" s="9" t="s">
        <v>76</v>
      </c>
      <c r="G4748" s="6"/>
      <c r="H4748" s="6"/>
      <c r="I4748" s="6"/>
      <c r="J4748" s="6"/>
      <c r="K4748" s="6"/>
      <c r="L4748" s="6"/>
      <c r="M4748" s="6"/>
      <c r="N4748" s="6"/>
      <c r="O4748" s="6"/>
      <c r="P4748" s="6"/>
      <c r="Q4748" s="6"/>
      <c r="R4748" s="6"/>
      <c r="S4748" s="6"/>
      <c r="T4748" s="6"/>
      <c r="U4748" s="6"/>
      <c r="V4748" s="6"/>
      <c r="W4748" s="6"/>
      <c r="X4748" s="6"/>
      <c r="Y4748" s="6"/>
      <c r="Z4748" s="6"/>
    </row>
    <row r="4749" customFormat="false" ht="15" hidden="false" customHeight="false" outlineLevel="0" collapsed="false">
      <c r="A4749" s="9" t="s">
        <v>10592</v>
      </c>
      <c r="B4749" s="9" t="s">
        <v>5870</v>
      </c>
      <c r="C4749" s="9" t="s">
        <v>5025</v>
      </c>
      <c r="D4749" s="9" t="s">
        <v>5871</v>
      </c>
      <c r="E4749" s="9" t="str">
        <f aca="false">IF(AND('Formation Ledger'!A4728&lt;&gt;"",'Formation Ledger'!V4728=0),"PASS","FAIL")</f>
        <v>PASS</v>
      </c>
      <c r="F4749" s="9" t="s">
        <v>76</v>
      </c>
      <c r="G4749" s="6"/>
      <c r="H4749" s="6"/>
      <c r="I4749" s="6"/>
      <c r="J4749" s="6"/>
      <c r="K4749" s="6"/>
      <c r="L4749" s="6"/>
      <c r="M4749" s="6"/>
      <c r="N4749" s="6"/>
      <c r="O4749" s="6"/>
      <c r="P4749" s="6"/>
      <c r="Q4749" s="6"/>
      <c r="R4749" s="6"/>
      <c r="S4749" s="6"/>
      <c r="T4749" s="6"/>
      <c r="U4749" s="6"/>
      <c r="V4749" s="6"/>
      <c r="W4749" s="6"/>
      <c r="X4749" s="6"/>
      <c r="Y4749" s="6"/>
      <c r="Z4749" s="6"/>
    </row>
    <row r="4750" customFormat="false" ht="15" hidden="false" customHeight="false" outlineLevel="0" collapsed="false">
      <c r="A4750" s="9" t="s">
        <v>10593</v>
      </c>
      <c r="B4750" s="9" t="s">
        <v>5870</v>
      </c>
      <c r="C4750" s="9" t="s">
        <v>5026</v>
      </c>
      <c r="D4750" s="9" t="s">
        <v>5871</v>
      </c>
      <c r="E4750" s="9" t="str">
        <f aca="false">IF(AND('Formation Ledger'!A4729&lt;&gt;"",'Formation Ledger'!V4729=0),"PASS","FAIL")</f>
        <v>PASS</v>
      </c>
      <c r="F4750" s="9" t="s">
        <v>76</v>
      </c>
      <c r="G4750" s="6"/>
      <c r="H4750" s="6"/>
      <c r="I4750" s="6"/>
      <c r="J4750" s="6"/>
      <c r="K4750" s="6"/>
      <c r="L4750" s="6"/>
      <c r="M4750" s="6"/>
      <c r="N4750" s="6"/>
      <c r="O4750" s="6"/>
      <c r="P4750" s="6"/>
      <c r="Q4750" s="6"/>
      <c r="R4750" s="6"/>
      <c r="S4750" s="6"/>
      <c r="T4750" s="6"/>
      <c r="U4750" s="6"/>
      <c r="V4750" s="6"/>
      <c r="W4750" s="6"/>
      <c r="X4750" s="6"/>
      <c r="Y4750" s="6"/>
      <c r="Z4750" s="6"/>
    </row>
    <row r="4751" customFormat="false" ht="15" hidden="false" customHeight="false" outlineLevel="0" collapsed="false">
      <c r="A4751" s="9" t="s">
        <v>10594</v>
      </c>
      <c r="B4751" s="9" t="s">
        <v>5870</v>
      </c>
      <c r="C4751" s="9" t="s">
        <v>5027</v>
      </c>
      <c r="D4751" s="9" t="s">
        <v>5871</v>
      </c>
      <c r="E4751" s="9" t="str">
        <f aca="false">IF(AND('Formation Ledger'!A4730&lt;&gt;"",'Formation Ledger'!V4730=0),"PASS","FAIL")</f>
        <v>PASS</v>
      </c>
      <c r="F4751" s="9" t="s">
        <v>76</v>
      </c>
      <c r="G4751" s="6"/>
      <c r="H4751" s="6"/>
      <c r="I4751" s="6"/>
      <c r="J4751" s="6"/>
      <c r="K4751" s="6"/>
      <c r="L4751" s="6"/>
      <c r="M4751" s="6"/>
      <c r="N4751" s="6"/>
      <c r="O4751" s="6"/>
      <c r="P4751" s="6"/>
      <c r="Q4751" s="6"/>
      <c r="R4751" s="6"/>
      <c r="S4751" s="6"/>
      <c r="T4751" s="6"/>
      <c r="U4751" s="6"/>
      <c r="V4751" s="6"/>
      <c r="W4751" s="6"/>
      <c r="X4751" s="6"/>
      <c r="Y4751" s="6"/>
      <c r="Z4751" s="6"/>
    </row>
    <row r="4752" customFormat="false" ht="15" hidden="false" customHeight="false" outlineLevel="0" collapsed="false">
      <c r="A4752" s="9" t="s">
        <v>10595</v>
      </c>
      <c r="B4752" s="9" t="s">
        <v>5870</v>
      </c>
      <c r="C4752" s="9" t="s">
        <v>5028</v>
      </c>
      <c r="D4752" s="9" t="s">
        <v>5871</v>
      </c>
      <c r="E4752" s="9" t="str">
        <f aca="false">IF(AND('Formation Ledger'!A4731&lt;&gt;"",'Formation Ledger'!V4731=0),"PASS","FAIL")</f>
        <v>PASS</v>
      </c>
      <c r="F4752" s="9" t="s">
        <v>76</v>
      </c>
      <c r="G4752" s="6"/>
      <c r="H4752" s="6"/>
      <c r="I4752" s="6"/>
      <c r="J4752" s="6"/>
      <c r="K4752" s="6"/>
      <c r="L4752" s="6"/>
      <c r="M4752" s="6"/>
      <c r="N4752" s="6"/>
      <c r="O4752" s="6"/>
      <c r="P4752" s="6"/>
      <c r="Q4752" s="6"/>
      <c r="R4752" s="6"/>
      <c r="S4752" s="6"/>
      <c r="T4752" s="6"/>
      <c r="U4752" s="6"/>
      <c r="V4752" s="6"/>
      <c r="W4752" s="6"/>
      <c r="X4752" s="6"/>
      <c r="Y4752" s="6"/>
      <c r="Z4752" s="6"/>
    </row>
    <row r="4753" customFormat="false" ht="15" hidden="false" customHeight="false" outlineLevel="0" collapsed="false">
      <c r="A4753" s="9" t="s">
        <v>10596</v>
      </c>
      <c r="B4753" s="9" t="s">
        <v>5870</v>
      </c>
      <c r="C4753" s="9" t="s">
        <v>5029</v>
      </c>
      <c r="D4753" s="9" t="s">
        <v>5871</v>
      </c>
      <c r="E4753" s="9" t="str">
        <f aca="false">IF(AND('Formation Ledger'!A4732&lt;&gt;"",'Formation Ledger'!V4732=0),"PASS","FAIL")</f>
        <v>PASS</v>
      </c>
      <c r="F4753" s="9" t="s">
        <v>76</v>
      </c>
      <c r="G4753" s="6"/>
      <c r="H4753" s="6"/>
      <c r="I4753" s="6"/>
      <c r="J4753" s="6"/>
      <c r="K4753" s="6"/>
      <c r="L4753" s="6"/>
      <c r="M4753" s="6"/>
      <c r="N4753" s="6"/>
      <c r="O4753" s="6"/>
      <c r="P4753" s="6"/>
      <c r="Q4753" s="6"/>
      <c r="R4753" s="6"/>
      <c r="S4753" s="6"/>
      <c r="T4753" s="6"/>
      <c r="U4753" s="6"/>
      <c r="V4753" s="6"/>
      <c r="W4753" s="6"/>
      <c r="X4753" s="6"/>
      <c r="Y4753" s="6"/>
      <c r="Z4753" s="6"/>
    </row>
    <row r="4754" customFormat="false" ht="15" hidden="false" customHeight="false" outlineLevel="0" collapsed="false">
      <c r="A4754" s="9" t="s">
        <v>10597</v>
      </c>
      <c r="B4754" s="9" t="s">
        <v>5870</v>
      </c>
      <c r="C4754" s="9" t="s">
        <v>5030</v>
      </c>
      <c r="D4754" s="9" t="s">
        <v>5871</v>
      </c>
      <c r="E4754" s="9" t="str">
        <f aca="false">IF(AND('Formation Ledger'!A4733&lt;&gt;"",'Formation Ledger'!V4733=0),"PASS","FAIL")</f>
        <v>PASS</v>
      </c>
      <c r="F4754" s="9" t="s">
        <v>76</v>
      </c>
      <c r="G4754" s="6"/>
      <c r="H4754" s="6"/>
      <c r="I4754" s="6"/>
      <c r="J4754" s="6"/>
      <c r="K4754" s="6"/>
      <c r="L4754" s="6"/>
      <c r="M4754" s="6"/>
      <c r="N4754" s="6"/>
      <c r="O4754" s="6"/>
      <c r="P4754" s="6"/>
      <c r="Q4754" s="6"/>
      <c r="R4754" s="6"/>
      <c r="S4754" s="6"/>
      <c r="T4754" s="6"/>
      <c r="U4754" s="6"/>
      <c r="V4754" s="6"/>
      <c r="W4754" s="6"/>
      <c r="X4754" s="6"/>
      <c r="Y4754" s="6"/>
      <c r="Z4754" s="6"/>
    </row>
    <row r="4755" customFormat="false" ht="15" hidden="false" customHeight="false" outlineLevel="0" collapsed="false">
      <c r="A4755" s="9" t="s">
        <v>10598</v>
      </c>
      <c r="B4755" s="9" t="s">
        <v>5870</v>
      </c>
      <c r="C4755" s="9" t="s">
        <v>5031</v>
      </c>
      <c r="D4755" s="9" t="s">
        <v>5871</v>
      </c>
      <c r="E4755" s="9" t="str">
        <f aca="false">IF(AND('Formation Ledger'!A4734&lt;&gt;"",'Formation Ledger'!V4734=0),"PASS","FAIL")</f>
        <v>PASS</v>
      </c>
      <c r="F4755" s="9" t="s">
        <v>76</v>
      </c>
      <c r="G4755" s="6"/>
      <c r="H4755" s="6"/>
      <c r="I4755" s="6"/>
      <c r="J4755" s="6"/>
      <c r="K4755" s="6"/>
      <c r="L4755" s="6"/>
      <c r="M4755" s="6"/>
      <c r="N4755" s="6"/>
      <c r="O4755" s="6"/>
      <c r="P4755" s="6"/>
      <c r="Q4755" s="6"/>
      <c r="R4755" s="6"/>
      <c r="S4755" s="6"/>
      <c r="T4755" s="6"/>
      <c r="U4755" s="6"/>
      <c r="V4755" s="6"/>
      <c r="W4755" s="6"/>
      <c r="X4755" s="6"/>
      <c r="Y4755" s="6"/>
      <c r="Z4755" s="6"/>
    </row>
    <row r="4756" customFormat="false" ht="15" hidden="false" customHeight="false" outlineLevel="0" collapsed="false">
      <c r="A4756" s="9" t="s">
        <v>10599</v>
      </c>
      <c r="B4756" s="9" t="s">
        <v>5870</v>
      </c>
      <c r="C4756" s="9" t="s">
        <v>5032</v>
      </c>
      <c r="D4756" s="9" t="s">
        <v>5871</v>
      </c>
      <c r="E4756" s="9" t="str">
        <f aca="false">IF(AND('Formation Ledger'!A4735&lt;&gt;"",'Formation Ledger'!V4735=0),"PASS","FAIL")</f>
        <v>PASS</v>
      </c>
      <c r="F4756" s="9" t="s">
        <v>76</v>
      </c>
      <c r="G4756" s="6"/>
      <c r="H4756" s="6"/>
      <c r="I4756" s="6"/>
      <c r="J4756" s="6"/>
      <c r="K4756" s="6"/>
      <c r="L4756" s="6"/>
      <c r="M4756" s="6"/>
      <c r="N4756" s="6"/>
      <c r="O4756" s="6"/>
      <c r="P4756" s="6"/>
      <c r="Q4756" s="6"/>
      <c r="R4756" s="6"/>
      <c r="S4756" s="6"/>
      <c r="T4756" s="6"/>
      <c r="U4756" s="6"/>
      <c r="V4756" s="6"/>
      <c r="W4756" s="6"/>
      <c r="X4756" s="6"/>
      <c r="Y4756" s="6"/>
      <c r="Z4756" s="6"/>
    </row>
    <row r="4757" customFormat="false" ht="15" hidden="false" customHeight="false" outlineLevel="0" collapsed="false">
      <c r="A4757" s="9" t="s">
        <v>10600</v>
      </c>
      <c r="B4757" s="9" t="s">
        <v>5870</v>
      </c>
      <c r="C4757" s="9" t="s">
        <v>5033</v>
      </c>
      <c r="D4757" s="9" t="s">
        <v>5871</v>
      </c>
      <c r="E4757" s="9" t="str">
        <f aca="false">IF(AND('Formation Ledger'!A4736&lt;&gt;"",'Formation Ledger'!V4736=0),"PASS","FAIL")</f>
        <v>PASS</v>
      </c>
      <c r="F4757" s="9" t="s">
        <v>76</v>
      </c>
      <c r="G4757" s="6"/>
      <c r="H4757" s="6"/>
      <c r="I4757" s="6"/>
      <c r="J4757" s="6"/>
      <c r="K4757" s="6"/>
      <c r="L4757" s="6"/>
      <c r="M4757" s="6"/>
      <c r="N4757" s="6"/>
      <c r="O4757" s="6"/>
      <c r="P4757" s="6"/>
      <c r="Q4757" s="6"/>
      <c r="R4757" s="6"/>
      <c r="S4757" s="6"/>
      <c r="T4757" s="6"/>
      <c r="U4757" s="6"/>
      <c r="V4757" s="6"/>
      <c r="W4757" s="6"/>
      <c r="X4757" s="6"/>
      <c r="Y4757" s="6"/>
      <c r="Z4757" s="6"/>
    </row>
    <row r="4758" customFormat="false" ht="15" hidden="false" customHeight="false" outlineLevel="0" collapsed="false">
      <c r="A4758" s="9" t="s">
        <v>10601</v>
      </c>
      <c r="B4758" s="9" t="s">
        <v>5870</v>
      </c>
      <c r="C4758" s="9" t="s">
        <v>5034</v>
      </c>
      <c r="D4758" s="9" t="s">
        <v>5871</v>
      </c>
      <c r="E4758" s="9" t="str">
        <f aca="false">IF(AND('Formation Ledger'!A4737&lt;&gt;"",'Formation Ledger'!V4737=0),"PASS","FAIL")</f>
        <v>PASS</v>
      </c>
      <c r="F4758" s="9" t="s">
        <v>76</v>
      </c>
      <c r="G4758" s="6"/>
      <c r="H4758" s="6"/>
      <c r="I4758" s="6"/>
      <c r="J4758" s="6"/>
      <c r="K4758" s="6"/>
      <c r="L4758" s="6"/>
      <c r="M4758" s="6"/>
      <c r="N4758" s="6"/>
      <c r="O4758" s="6"/>
      <c r="P4758" s="6"/>
      <c r="Q4758" s="6"/>
      <c r="R4758" s="6"/>
      <c r="S4758" s="6"/>
      <c r="T4758" s="6"/>
      <c r="U4758" s="6"/>
      <c r="V4758" s="6"/>
      <c r="W4758" s="6"/>
      <c r="X4758" s="6"/>
      <c r="Y4758" s="6"/>
      <c r="Z4758" s="6"/>
    </row>
    <row r="4759" customFormat="false" ht="15" hidden="false" customHeight="false" outlineLevel="0" collapsed="false">
      <c r="A4759" s="9" t="s">
        <v>10602</v>
      </c>
      <c r="B4759" s="9" t="s">
        <v>5870</v>
      </c>
      <c r="C4759" s="9" t="s">
        <v>5035</v>
      </c>
      <c r="D4759" s="9" t="s">
        <v>5871</v>
      </c>
      <c r="E4759" s="9" t="str">
        <f aca="false">IF(AND('Formation Ledger'!A4738&lt;&gt;"",'Formation Ledger'!V4738=0),"PASS","FAIL")</f>
        <v>PASS</v>
      </c>
      <c r="F4759" s="9" t="s">
        <v>76</v>
      </c>
      <c r="G4759" s="6"/>
      <c r="H4759" s="6"/>
      <c r="I4759" s="6"/>
      <c r="J4759" s="6"/>
      <c r="K4759" s="6"/>
      <c r="L4759" s="6"/>
      <c r="M4759" s="6"/>
      <c r="N4759" s="6"/>
      <c r="O4759" s="6"/>
      <c r="P4759" s="6"/>
      <c r="Q4759" s="6"/>
      <c r="R4759" s="6"/>
      <c r="S4759" s="6"/>
      <c r="T4759" s="6"/>
      <c r="U4759" s="6"/>
      <c r="V4759" s="6"/>
      <c r="W4759" s="6"/>
      <c r="X4759" s="6"/>
      <c r="Y4759" s="6"/>
      <c r="Z4759" s="6"/>
    </row>
    <row r="4760" customFormat="false" ht="15" hidden="false" customHeight="false" outlineLevel="0" collapsed="false">
      <c r="A4760" s="9" t="s">
        <v>10603</v>
      </c>
      <c r="B4760" s="9" t="s">
        <v>5870</v>
      </c>
      <c r="C4760" s="9" t="s">
        <v>5036</v>
      </c>
      <c r="D4760" s="9" t="s">
        <v>5871</v>
      </c>
      <c r="E4760" s="9" t="str">
        <f aca="false">IF(AND('Formation Ledger'!A4739&lt;&gt;"",'Formation Ledger'!V4739=0),"PASS","FAIL")</f>
        <v>PASS</v>
      </c>
      <c r="F4760" s="9" t="s">
        <v>76</v>
      </c>
      <c r="G4760" s="6"/>
      <c r="H4760" s="6"/>
      <c r="I4760" s="6"/>
      <c r="J4760" s="6"/>
      <c r="K4760" s="6"/>
      <c r="L4760" s="6"/>
      <c r="M4760" s="6"/>
      <c r="N4760" s="6"/>
      <c r="O4760" s="6"/>
      <c r="P4760" s="6"/>
      <c r="Q4760" s="6"/>
      <c r="R4760" s="6"/>
      <c r="S4760" s="6"/>
      <c r="T4760" s="6"/>
      <c r="U4760" s="6"/>
      <c r="V4760" s="6"/>
      <c r="W4760" s="6"/>
      <c r="X4760" s="6"/>
      <c r="Y4760" s="6"/>
      <c r="Z4760" s="6"/>
    </row>
    <row r="4761" customFormat="false" ht="15" hidden="false" customHeight="false" outlineLevel="0" collapsed="false">
      <c r="A4761" s="9" t="s">
        <v>10604</v>
      </c>
      <c r="B4761" s="9" t="s">
        <v>5870</v>
      </c>
      <c r="C4761" s="9" t="s">
        <v>5037</v>
      </c>
      <c r="D4761" s="9" t="s">
        <v>5871</v>
      </c>
      <c r="E4761" s="9" t="str">
        <f aca="false">IF(AND('Formation Ledger'!A4740&lt;&gt;"",'Formation Ledger'!V4740=0),"PASS","FAIL")</f>
        <v>PASS</v>
      </c>
      <c r="F4761" s="9" t="s">
        <v>76</v>
      </c>
      <c r="G4761" s="6"/>
      <c r="H4761" s="6"/>
      <c r="I4761" s="6"/>
      <c r="J4761" s="6"/>
      <c r="K4761" s="6"/>
      <c r="L4761" s="6"/>
      <c r="M4761" s="6"/>
      <c r="N4761" s="6"/>
      <c r="O4761" s="6"/>
      <c r="P4761" s="6"/>
      <c r="Q4761" s="6"/>
      <c r="R4761" s="6"/>
      <c r="S4761" s="6"/>
      <c r="T4761" s="6"/>
      <c r="U4761" s="6"/>
      <c r="V4761" s="6"/>
      <c r="W4761" s="6"/>
      <c r="X4761" s="6"/>
      <c r="Y4761" s="6"/>
      <c r="Z4761" s="6"/>
    </row>
    <row r="4762" customFormat="false" ht="15" hidden="false" customHeight="false" outlineLevel="0" collapsed="false">
      <c r="A4762" s="9" t="s">
        <v>10605</v>
      </c>
      <c r="B4762" s="9" t="s">
        <v>5870</v>
      </c>
      <c r="C4762" s="9" t="s">
        <v>5038</v>
      </c>
      <c r="D4762" s="9" t="s">
        <v>5871</v>
      </c>
      <c r="E4762" s="9" t="str">
        <f aca="false">IF(AND('Formation Ledger'!A4741&lt;&gt;"",'Formation Ledger'!V4741=0),"PASS","FAIL")</f>
        <v>PASS</v>
      </c>
      <c r="F4762" s="9" t="s">
        <v>76</v>
      </c>
      <c r="G4762" s="6"/>
      <c r="H4762" s="6"/>
      <c r="I4762" s="6"/>
      <c r="J4762" s="6"/>
      <c r="K4762" s="6"/>
      <c r="L4762" s="6"/>
      <c r="M4762" s="6"/>
      <c r="N4762" s="6"/>
      <c r="O4762" s="6"/>
      <c r="P4762" s="6"/>
      <c r="Q4762" s="6"/>
      <c r="R4762" s="6"/>
      <c r="S4762" s="6"/>
      <c r="T4762" s="6"/>
      <c r="U4762" s="6"/>
      <c r="V4762" s="6"/>
      <c r="W4762" s="6"/>
      <c r="X4762" s="6"/>
      <c r="Y4762" s="6"/>
      <c r="Z4762" s="6"/>
    </row>
    <row r="4763" customFormat="false" ht="15" hidden="false" customHeight="false" outlineLevel="0" collapsed="false">
      <c r="A4763" s="9" t="s">
        <v>10606</v>
      </c>
      <c r="B4763" s="9" t="s">
        <v>5870</v>
      </c>
      <c r="C4763" s="9" t="s">
        <v>5039</v>
      </c>
      <c r="D4763" s="9" t="s">
        <v>5871</v>
      </c>
      <c r="E4763" s="9" t="str">
        <f aca="false">IF(AND('Formation Ledger'!A4742&lt;&gt;"",'Formation Ledger'!V4742=0),"PASS","FAIL")</f>
        <v>PASS</v>
      </c>
      <c r="F4763" s="9" t="s">
        <v>76</v>
      </c>
      <c r="G4763" s="6"/>
      <c r="H4763" s="6"/>
      <c r="I4763" s="6"/>
      <c r="J4763" s="6"/>
      <c r="K4763" s="6"/>
      <c r="L4763" s="6"/>
      <c r="M4763" s="6"/>
      <c r="N4763" s="6"/>
      <c r="O4763" s="6"/>
      <c r="P4763" s="6"/>
      <c r="Q4763" s="6"/>
      <c r="R4763" s="6"/>
      <c r="S4763" s="6"/>
      <c r="T4763" s="6"/>
      <c r="U4763" s="6"/>
      <c r="V4763" s="6"/>
      <c r="W4763" s="6"/>
      <c r="X4763" s="6"/>
      <c r="Y4763" s="6"/>
      <c r="Z4763" s="6"/>
    </row>
    <row r="4764" customFormat="false" ht="15" hidden="false" customHeight="false" outlineLevel="0" collapsed="false">
      <c r="A4764" s="9" t="s">
        <v>10607</v>
      </c>
      <c r="B4764" s="9" t="s">
        <v>5870</v>
      </c>
      <c r="C4764" s="9" t="s">
        <v>5040</v>
      </c>
      <c r="D4764" s="9" t="s">
        <v>5871</v>
      </c>
      <c r="E4764" s="9" t="str">
        <f aca="false">IF(AND('Formation Ledger'!A4743&lt;&gt;"",'Formation Ledger'!V4743=0),"PASS","FAIL")</f>
        <v>PASS</v>
      </c>
      <c r="F4764" s="9" t="s">
        <v>76</v>
      </c>
      <c r="G4764" s="6"/>
      <c r="H4764" s="6"/>
      <c r="I4764" s="6"/>
      <c r="J4764" s="6"/>
      <c r="K4764" s="6"/>
      <c r="L4764" s="6"/>
      <c r="M4764" s="6"/>
      <c r="N4764" s="6"/>
      <c r="O4764" s="6"/>
      <c r="P4764" s="6"/>
      <c r="Q4764" s="6"/>
      <c r="R4764" s="6"/>
      <c r="S4764" s="6"/>
      <c r="T4764" s="6"/>
      <c r="U4764" s="6"/>
      <c r="V4764" s="6"/>
      <c r="W4764" s="6"/>
      <c r="X4764" s="6"/>
      <c r="Y4764" s="6"/>
      <c r="Z4764" s="6"/>
    </row>
    <row r="4765" customFormat="false" ht="15" hidden="false" customHeight="false" outlineLevel="0" collapsed="false">
      <c r="A4765" s="9" t="s">
        <v>10608</v>
      </c>
      <c r="B4765" s="9" t="s">
        <v>5870</v>
      </c>
      <c r="C4765" s="9" t="s">
        <v>5041</v>
      </c>
      <c r="D4765" s="9" t="s">
        <v>5871</v>
      </c>
      <c r="E4765" s="9" t="str">
        <f aca="false">IF(AND('Formation Ledger'!A4744&lt;&gt;"",'Formation Ledger'!V4744=0),"PASS","FAIL")</f>
        <v>PASS</v>
      </c>
      <c r="F4765" s="9" t="s">
        <v>76</v>
      </c>
      <c r="G4765" s="6"/>
      <c r="H4765" s="6"/>
      <c r="I4765" s="6"/>
      <c r="J4765" s="6"/>
      <c r="K4765" s="6"/>
      <c r="L4765" s="6"/>
      <c r="M4765" s="6"/>
      <c r="N4765" s="6"/>
      <c r="O4765" s="6"/>
      <c r="P4765" s="6"/>
      <c r="Q4765" s="6"/>
      <c r="R4765" s="6"/>
      <c r="S4765" s="6"/>
      <c r="T4765" s="6"/>
      <c r="U4765" s="6"/>
      <c r="V4765" s="6"/>
      <c r="W4765" s="6"/>
      <c r="X4765" s="6"/>
      <c r="Y4765" s="6"/>
      <c r="Z4765" s="6"/>
    </row>
    <row r="4766" customFormat="false" ht="15" hidden="false" customHeight="false" outlineLevel="0" collapsed="false">
      <c r="A4766" s="9" t="s">
        <v>10609</v>
      </c>
      <c r="B4766" s="9" t="s">
        <v>5870</v>
      </c>
      <c r="C4766" s="9" t="s">
        <v>5042</v>
      </c>
      <c r="D4766" s="9" t="s">
        <v>5871</v>
      </c>
      <c r="E4766" s="9" t="str">
        <f aca="false">IF(AND('Formation Ledger'!A4745&lt;&gt;"",'Formation Ledger'!V4745=0),"PASS","FAIL")</f>
        <v>PASS</v>
      </c>
      <c r="F4766" s="9" t="s">
        <v>76</v>
      </c>
      <c r="G4766" s="6"/>
      <c r="H4766" s="6"/>
      <c r="I4766" s="6"/>
      <c r="J4766" s="6"/>
      <c r="K4766" s="6"/>
      <c r="L4766" s="6"/>
      <c r="M4766" s="6"/>
      <c r="N4766" s="6"/>
      <c r="O4766" s="6"/>
      <c r="P4766" s="6"/>
      <c r="Q4766" s="6"/>
      <c r="R4766" s="6"/>
      <c r="S4766" s="6"/>
      <c r="T4766" s="6"/>
      <c r="U4766" s="6"/>
      <c r="V4766" s="6"/>
      <c r="W4766" s="6"/>
      <c r="X4766" s="6"/>
      <c r="Y4766" s="6"/>
      <c r="Z4766" s="6"/>
    </row>
    <row r="4767" customFormat="false" ht="15" hidden="false" customHeight="false" outlineLevel="0" collapsed="false">
      <c r="A4767" s="9" t="s">
        <v>10610</v>
      </c>
      <c r="B4767" s="9" t="s">
        <v>5870</v>
      </c>
      <c r="C4767" s="9" t="s">
        <v>5043</v>
      </c>
      <c r="D4767" s="9" t="s">
        <v>5871</v>
      </c>
      <c r="E4767" s="9" t="str">
        <f aca="false">IF(AND('Formation Ledger'!A4746&lt;&gt;"",'Formation Ledger'!V4746=0),"PASS","FAIL")</f>
        <v>PASS</v>
      </c>
      <c r="F4767" s="9" t="s">
        <v>76</v>
      </c>
      <c r="G4767" s="6"/>
      <c r="H4767" s="6"/>
      <c r="I4767" s="6"/>
      <c r="J4767" s="6"/>
      <c r="K4767" s="6"/>
      <c r="L4767" s="6"/>
      <c r="M4767" s="6"/>
      <c r="N4767" s="6"/>
      <c r="O4767" s="6"/>
      <c r="P4767" s="6"/>
      <c r="Q4767" s="6"/>
      <c r="R4767" s="6"/>
      <c r="S4767" s="6"/>
      <c r="T4767" s="6"/>
      <c r="U4767" s="6"/>
      <c r="V4767" s="6"/>
      <c r="W4767" s="6"/>
      <c r="X4767" s="6"/>
      <c r="Y4767" s="6"/>
      <c r="Z4767" s="6"/>
    </row>
    <row r="4768" customFormat="false" ht="15" hidden="false" customHeight="false" outlineLevel="0" collapsed="false">
      <c r="A4768" s="9" t="s">
        <v>10611</v>
      </c>
      <c r="B4768" s="9" t="s">
        <v>5870</v>
      </c>
      <c r="C4768" s="9" t="s">
        <v>5044</v>
      </c>
      <c r="D4768" s="9" t="s">
        <v>5871</v>
      </c>
      <c r="E4768" s="9" t="str">
        <f aca="false">IF(AND('Formation Ledger'!A4747&lt;&gt;"",'Formation Ledger'!V4747=0),"PASS","FAIL")</f>
        <v>PASS</v>
      </c>
      <c r="F4768" s="9" t="s">
        <v>76</v>
      </c>
      <c r="G4768" s="6"/>
      <c r="H4768" s="6"/>
      <c r="I4768" s="6"/>
      <c r="J4768" s="6"/>
      <c r="K4768" s="6"/>
      <c r="L4768" s="6"/>
      <c r="M4768" s="6"/>
      <c r="N4768" s="6"/>
      <c r="O4768" s="6"/>
      <c r="P4768" s="6"/>
      <c r="Q4768" s="6"/>
      <c r="R4768" s="6"/>
      <c r="S4768" s="6"/>
      <c r="T4768" s="6"/>
      <c r="U4768" s="6"/>
      <c r="V4768" s="6"/>
      <c r="W4768" s="6"/>
      <c r="X4768" s="6"/>
      <c r="Y4768" s="6"/>
      <c r="Z4768" s="6"/>
    </row>
    <row r="4769" customFormat="false" ht="15" hidden="false" customHeight="false" outlineLevel="0" collapsed="false">
      <c r="A4769" s="9" t="s">
        <v>10612</v>
      </c>
      <c r="B4769" s="9" t="s">
        <v>5870</v>
      </c>
      <c r="C4769" s="9" t="s">
        <v>5045</v>
      </c>
      <c r="D4769" s="9" t="s">
        <v>5871</v>
      </c>
      <c r="E4769" s="9" t="str">
        <f aca="false">IF(AND('Formation Ledger'!A4748&lt;&gt;"",'Formation Ledger'!V4748=0),"PASS","FAIL")</f>
        <v>PASS</v>
      </c>
      <c r="F4769" s="9" t="s">
        <v>76</v>
      </c>
      <c r="G4769" s="6"/>
      <c r="H4769" s="6"/>
      <c r="I4769" s="6"/>
      <c r="J4769" s="6"/>
      <c r="K4769" s="6"/>
      <c r="L4769" s="6"/>
      <c r="M4769" s="6"/>
      <c r="N4769" s="6"/>
      <c r="O4769" s="6"/>
      <c r="P4769" s="6"/>
      <c r="Q4769" s="6"/>
      <c r="R4769" s="6"/>
      <c r="S4769" s="6"/>
      <c r="T4769" s="6"/>
      <c r="U4769" s="6"/>
      <c r="V4769" s="6"/>
      <c r="W4769" s="6"/>
      <c r="X4769" s="6"/>
      <c r="Y4769" s="6"/>
      <c r="Z4769" s="6"/>
    </row>
    <row r="4770" customFormat="false" ht="15" hidden="false" customHeight="false" outlineLevel="0" collapsed="false">
      <c r="A4770" s="9" t="s">
        <v>10613</v>
      </c>
      <c r="B4770" s="9" t="s">
        <v>5870</v>
      </c>
      <c r="C4770" s="9" t="s">
        <v>5046</v>
      </c>
      <c r="D4770" s="9" t="s">
        <v>5871</v>
      </c>
      <c r="E4770" s="9" t="str">
        <f aca="false">IF(AND('Formation Ledger'!A4749&lt;&gt;"",'Formation Ledger'!V4749=0),"PASS","FAIL")</f>
        <v>PASS</v>
      </c>
      <c r="F4770" s="9" t="s">
        <v>76</v>
      </c>
      <c r="G4770" s="6"/>
      <c r="H4770" s="6"/>
      <c r="I4770" s="6"/>
      <c r="J4770" s="6"/>
      <c r="K4770" s="6"/>
      <c r="L4770" s="6"/>
      <c r="M4770" s="6"/>
      <c r="N4770" s="6"/>
      <c r="O4770" s="6"/>
      <c r="P4770" s="6"/>
      <c r="Q4770" s="6"/>
      <c r="R4770" s="6"/>
      <c r="S4770" s="6"/>
      <c r="T4770" s="6"/>
      <c r="U4770" s="6"/>
      <c r="V4770" s="6"/>
      <c r="W4770" s="6"/>
      <c r="X4770" s="6"/>
      <c r="Y4770" s="6"/>
      <c r="Z4770" s="6"/>
    </row>
    <row r="4771" customFormat="false" ht="15" hidden="false" customHeight="false" outlineLevel="0" collapsed="false">
      <c r="A4771" s="9" t="s">
        <v>10614</v>
      </c>
      <c r="B4771" s="9" t="s">
        <v>5870</v>
      </c>
      <c r="C4771" s="9" t="s">
        <v>5047</v>
      </c>
      <c r="D4771" s="9" t="s">
        <v>5871</v>
      </c>
      <c r="E4771" s="9" t="str">
        <f aca="false">IF(AND('Formation Ledger'!A4750&lt;&gt;"",'Formation Ledger'!V4750=0),"PASS","FAIL")</f>
        <v>PASS</v>
      </c>
      <c r="F4771" s="9" t="s">
        <v>76</v>
      </c>
      <c r="G4771" s="6"/>
      <c r="H4771" s="6"/>
      <c r="I4771" s="6"/>
      <c r="J4771" s="6"/>
      <c r="K4771" s="6"/>
      <c r="L4771" s="6"/>
      <c r="M4771" s="6"/>
      <c r="N4771" s="6"/>
      <c r="O4771" s="6"/>
      <c r="P4771" s="6"/>
      <c r="Q4771" s="6"/>
      <c r="R4771" s="6"/>
      <c r="S4771" s="6"/>
      <c r="T4771" s="6"/>
      <c r="U4771" s="6"/>
      <c r="V4771" s="6"/>
      <c r="W4771" s="6"/>
      <c r="X4771" s="6"/>
      <c r="Y4771" s="6"/>
      <c r="Z4771" s="6"/>
    </row>
    <row r="4772" customFormat="false" ht="15" hidden="false" customHeight="false" outlineLevel="0" collapsed="false">
      <c r="A4772" s="9" t="s">
        <v>10615</v>
      </c>
      <c r="B4772" s="9" t="s">
        <v>5870</v>
      </c>
      <c r="C4772" s="9" t="s">
        <v>5048</v>
      </c>
      <c r="D4772" s="9" t="s">
        <v>5871</v>
      </c>
      <c r="E4772" s="9" t="str">
        <f aca="false">IF(AND('Formation Ledger'!A4751&lt;&gt;"",'Formation Ledger'!V4751=0),"PASS","FAIL")</f>
        <v>PASS</v>
      </c>
      <c r="F4772" s="9" t="s">
        <v>76</v>
      </c>
      <c r="G4772" s="6"/>
      <c r="H4772" s="6"/>
      <c r="I4772" s="6"/>
      <c r="J4772" s="6"/>
      <c r="K4772" s="6"/>
      <c r="L4772" s="6"/>
      <c r="M4772" s="6"/>
      <c r="N4772" s="6"/>
      <c r="O4772" s="6"/>
      <c r="P4772" s="6"/>
      <c r="Q4772" s="6"/>
      <c r="R4772" s="6"/>
      <c r="S4772" s="6"/>
      <c r="T4772" s="6"/>
      <c r="U4772" s="6"/>
      <c r="V4772" s="6"/>
      <c r="W4772" s="6"/>
      <c r="X4772" s="6"/>
      <c r="Y4772" s="6"/>
      <c r="Z4772" s="6"/>
    </row>
    <row r="4773" customFormat="false" ht="15" hidden="false" customHeight="false" outlineLevel="0" collapsed="false">
      <c r="A4773" s="9" t="s">
        <v>10616</v>
      </c>
      <c r="B4773" s="9" t="s">
        <v>5870</v>
      </c>
      <c r="C4773" s="9" t="s">
        <v>5049</v>
      </c>
      <c r="D4773" s="9" t="s">
        <v>5871</v>
      </c>
      <c r="E4773" s="9" t="str">
        <f aca="false">IF(AND('Formation Ledger'!A4752&lt;&gt;"",'Formation Ledger'!V4752=0),"PASS","FAIL")</f>
        <v>PASS</v>
      </c>
      <c r="F4773" s="9" t="s">
        <v>76</v>
      </c>
      <c r="G4773" s="6"/>
      <c r="H4773" s="6"/>
      <c r="I4773" s="6"/>
      <c r="J4773" s="6"/>
      <c r="K4773" s="6"/>
      <c r="L4773" s="6"/>
      <c r="M4773" s="6"/>
      <c r="N4773" s="6"/>
      <c r="O4773" s="6"/>
      <c r="P4773" s="6"/>
      <c r="Q4773" s="6"/>
      <c r="R4773" s="6"/>
      <c r="S4773" s="6"/>
      <c r="T4773" s="6"/>
      <c r="U4773" s="6"/>
      <c r="V4773" s="6"/>
      <c r="W4773" s="6"/>
      <c r="X4773" s="6"/>
      <c r="Y4773" s="6"/>
      <c r="Z4773" s="6"/>
    </row>
    <row r="4774" customFormat="false" ht="15" hidden="false" customHeight="false" outlineLevel="0" collapsed="false">
      <c r="A4774" s="9" t="s">
        <v>10617</v>
      </c>
      <c r="B4774" s="9" t="s">
        <v>5870</v>
      </c>
      <c r="C4774" s="9" t="s">
        <v>5050</v>
      </c>
      <c r="D4774" s="9" t="s">
        <v>5871</v>
      </c>
      <c r="E4774" s="9" t="str">
        <f aca="false">IF(AND('Formation Ledger'!A4753&lt;&gt;"",'Formation Ledger'!V4753=0),"PASS","FAIL")</f>
        <v>PASS</v>
      </c>
      <c r="F4774" s="9" t="s">
        <v>76</v>
      </c>
      <c r="G4774" s="6"/>
      <c r="H4774" s="6"/>
      <c r="I4774" s="6"/>
      <c r="J4774" s="6"/>
      <c r="K4774" s="6"/>
      <c r="L4774" s="6"/>
      <c r="M4774" s="6"/>
      <c r="N4774" s="6"/>
      <c r="O4774" s="6"/>
      <c r="P4774" s="6"/>
      <c r="Q4774" s="6"/>
      <c r="R4774" s="6"/>
      <c r="S4774" s="6"/>
      <c r="T4774" s="6"/>
      <c r="U4774" s="6"/>
      <c r="V4774" s="6"/>
      <c r="W4774" s="6"/>
      <c r="X4774" s="6"/>
      <c r="Y4774" s="6"/>
      <c r="Z4774" s="6"/>
    </row>
    <row r="4775" customFormat="false" ht="15" hidden="false" customHeight="false" outlineLevel="0" collapsed="false">
      <c r="A4775" s="9" t="s">
        <v>10618</v>
      </c>
      <c r="B4775" s="9" t="s">
        <v>5870</v>
      </c>
      <c r="C4775" s="9" t="s">
        <v>5051</v>
      </c>
      <c r="D4775" s="9" t="s">
        <v>5871</v>
      </c>
      <c r="E4775" s="9" t="str">
        <f aca="false">IF(AND('Formation Ledger'!A4754&lt;&gt;"",'Formation Ledger'!V4754=0),"PASS","FAIL")</f>
        <v>PASS</v>
      </c>
      <c r="F4775" s="9" t="s">
        <v>76</v>
      </c>
      <c r="G4775" s="6"/>
      <c r="H4775" s="6"/>
      <c r="I4775" s="6"/>
      <c r="J4775" s="6"/>
      <c r="K4775" s="6"/>
      <c r="L4775" s="6"/>
      <c r="M4775" s="6"/>
      <c r="N4775" s="6"/>
      <c r="O4775" s="6"/>
      <c r="P4775" s="6"/>
      <c r="Q4775" s="6"/>
      <c r="R4775" s="6"/>
      <c r="S4775" s="6"/>
      <c r="T4775" s="6"/>
      <c r="U4775" s="6"/>
      <c r="V4775" s="6"/>
      <c r="W4775" s="6"/>
      <c r="X4775" s="6"/>
      <c r="Y4775" s="6"/>
      <c r="Z4775" s="6"/>
    </row>
    <row r="4776" customFormat="false" ht="15" hidden="false" customHeight="false" outlineLevel="0" collapsed="false">
      <c r="A4776" s="9" t="s">
        <v>10619</v>
      </c>
      <c r="B4776" s="9" t="s">
        <v>5870</v>
      </c>
      <c r="C4776" s="9" t="s">
        <v>5052</v>
      </c>
      <c r="D4776" s="9" t="s">
        <v>5871</v>
      </c>
      <c r="E4776" s="9" t="str">
        <f aca="false">IF(AND('Formation Ledger'!A4755&lt;&gt;"",'Formation Ledger'!V4755=0),"PASS","FAIL")</f>
        <v>PASS</v>
      </c>
      <c r="F4776" s="9" t="s">
        <v>76</v>
      </c>
      <c r="G4776" s="6"/>
      <c r="H4776" s="6"/>
      <c r="I4776" s="6"/>
      <c r="J4776" s="6"/>
      <c r="K4776" s="6"/>
      <c r="L4776" s="6"/>
      <c r="M4776" s="6"/>
      <c r="N4776" s="6"/>
      <c r="O4776" s="6"/>
      <c r="P4776" s="6"/>
      <c r="Q4776" s="6"/>
      <c r="R4776" s="6"/>
      <c r="S4776" s="6"/>
      <c r="T4776" s="6"/>
      <c r="U4776" s="6"/>
      <c r="V4776" s="6"/>
      <c r="W4776" s="6"/>
      <c r="X4776" s="6"/>
      <c r="Y4776" s="6"/>
      <c r="Z4776" s="6"/>
    </row>
    <row r="4777" customFormat="false" ht="15" hidden="false" customHeight="false" outlineLevel="0" collapsed="false">
      <c r="A4777" s="9" t="s">
        <v>10620</v>
      </c>
      <c r="B4777" s="9" t="s">
        <v>5870</v>
      </c>
      <c r="C4777" s="9" t="s">
        <v>5053</v>
      </c>
      <c r="D4777" s="9" t="s">
        <v>5871</v>
      </c>
      <c r="E4777" s="9" t="str">
        <f aca="false">IF(AND('Formation Ledger'!A4756&lt;&gt;"",'Formation Ledger'!V4756=0),"PASS","FAIL")</f>
        <v>PASS</v>
      </c>
      <c r="F4777" s="9" t="s">
        <v>76</v>
      </c>
      <c r="G4777" s="6"/>
      <c r="H4777" s="6"/>
      <c r="I4777" s="6"/>
      <c r="J4777" s="6"/>
      <c r="K4777" s="6"/>
      <c r="L4777" s="6"/>
      <c r="M4777" s="6"/>
      <c r="N4777" s="6"/>
      <c r="O4777" s="6"/>
      <c r="P4777" s="6"/>
      <c r="Q4777" s="6"/>
      <c r="R4777" s="6"/>
      <c r="S4777" s="6"/>
      <c r="T4777" s="6"/>
      <c r="U4777" s="6"/>
      <c r="V4777" s="6"/>
      <c r="W4777" s="6"/>
      <c r="X4777" s="6"/>
      <c r="Y4777" s="6"/>
      <c r="Z4777" s="6"/>
    </row>
    <row r="4778" customFormat="false" ht="15" hidden="false" customHeight="false" outlineLevel="0" collapsed="false">
      <c r="A4778" s="9" t="s">
        <v>10621</v>
      </c>
      <c r="B4778" s="9" t="s">
        <v>5870</v>
      </c>
      <c r="C4778" s="9" t="s">
        <v>5054</v>
      </c>
      <c r="D4778" s="9" t="s">
        <v>5871</v>
      </c>
      <c r="E4778" s="9" t="str">
        <f aca="false">IF(AND('Formation Ledger'!A4757&lt;&gt;"",'Formation Ledger'!V4757=0),"PASS","FAIL")</f>
        <v>PASS</v>
      </c>
      <c r="F4778" s="9" t="s">
        <v>76</v>
      </c>
      <c r="G4778" s="6"/>
      <c r="H4778" s="6"/>
      <c r="I4778" s="6"/>
      <c r="J4778" s="6"/>
      <c r="K4778" s="6"/>
      <c r="L4778" s="6"/>
      <c r="M4778" s="6"/>
      <c r="N4778" s="6"/>
      <c r="O4778" s="6"/>
      <c r="P4778" s="6"/>
      <c r="Q4778" s="6"/>
      <c r="R4778" s="6"/>
      <c r="S4778" s="6"/>
      <c r="T4778" s="6"/>
      <c r="U4778" s="6"/>
      <c r="V4778" s="6"/>
      <c r="W4778" s="6"/>
      <c r="X4778" s="6"/>
      <c r="Y4778" s="6"/>
      <c r="Z4778" s="6"/>
    </row>
    <row r="4779" customFormat="false" ht="15" hidden="false" customHeight="false" outlineLevel="0" collapsed="false">
      <c r="A4779" s="9" t="s">
        <v>10622</v>
      </c>
      <c r="B4779" s="9" t="s">
        <v>5870</v>
      </c>
      <c r="C4779" s="9" t="s">
        <v>5055</v>
      </c>
      <c r="D4779" s="9" t="s">
        <v>5871</v>
      </c>
      <c r="E4779" s="9" t="str">
        <f aca="false">IF(AND('Formation Ledger'!A4758&lt;&gt;"",'Formation Ledger'!V4758=0),"PASS","FAIL")</f>
        <v>PASS</v>
      </c>
      <c r="F4779" s="9" t="s">
        <v>76</v>
      </c>
      <c r="G4779" s="6"/>
      <c r="H4779" s="6"/>
      <c r="I4779" s="6"/>
      <c r="J4779" s="6"/>
      <c r="K4779" s="6"/>
      <c r="L4779" s="6"/>
      <c r="M4779" s="6"/>
      <c r="N4779" s="6"/>
      <c r="O4779" s="6"/>
      <c r="P4779" s="6"/>
      <c r="Q4779" s="6"/>
      <c r="R4779" s="6"/>
      <c r="S4779" s="6"/>
      <c r="T4779" s="6"/>
      <c r="U4779" s="6"/>
      <c r="V4779" s="6"/>
      <c r="W4779" s="6"/>
      <c r="X4779" s="6"/>
      <c r="Y4779" s="6"/>
      <c r="Z4779" s="6"/>
    </row>
    <row r="4780" customFormat="false" ht="15" hidden="false" customHeight="false" outlineLevel="0" collapsed="false">
      <c r="A4780" s="9" t="s">
        <v>10623</v>
      </c>
      <c r="B4780" s="9" t="s">
        <v>5870</v>
      </c>
      <c r="C4780" s="9" t="s">
        <v>5056</v>
      </c>
      <c r="D4780" s="9" t="s">
        <v>5871</v>
      </c>
      <c r="E4780" s="9" t="str">
        <f aca="false">IF(AND('Formation Ledger'!A4759&lt;&gt;"",'Formation Ledger'!V4759=0),"PASS","FAIL")</f>
        <v>PASS</v>
      </c>
      <c r="F4780" s="9" t="s">
        <v>76</v>
      </c>
      <c r="G4780" s="6"/>
      <c r="H4780" s="6"/>
      <c r="I4780" s="6"/>
      <c r="J4780" s="6"/>
      <c r="K4780" s="6"/>
      <c r="L4780" s="6"/>
      <c r="M4780" s="6"/>
      <c r="N4780" s="6"/>
      <c r="O4780" s="6"/>
      <c r="P4780" s="6"/>
      <c r="Q4780" s="6"/>
      <c r="R4780" s="6"/>
      <c r="S4780" s="6"/>
      <c r="T4780" s="6"/>
      <c r="U4780" s="6"/>
      <c r="V4780" s="6"/>
      <c r="W4780" s="6"/>
      <c r="X4780" s="6"/>
      <c r="Y4780" s="6"/>
      <c r="Z4780" s="6"/>
    </row>
    <row r="4781" customFormat="false" ht="15" hidden="false" customHeight="false" outlineLevel="0" collapsed="false">
      <c r="A4781" s="9" t="s">
        <v>10624</v>
      </c>
      <c r="B4781" s="9" t="s">
        <v>5870</v>
      </c>
      <c r="C4781" s="9" t="s">
        <v>5057</v>
      </c>
      <c r="D4781" s="9" t="s">
        <v>5871</v>
      </c>
      <c r="E4781" s="9" t="str">
        <f aca="false">IF(AND('Formation Ledger'!A4760&lt;&gt;"",'Formation Ledger'!V4760=0),"PASS","FAIL")</f>
        <v>PASS</v>
      </c>
      <c r="F4781" s="9" t="s">
        <v>76</v>
      </c>
      <c r="G4781" s="6"/>
      <c r="H4781" s="6"/>
      <c r="I4781" s="6"/>
      <c r="J4781" s="6"/>
      <c r="K4781" s="6"/>
      <c r="L4781" s="6"/>
      <c r="M4781" s="6"/>
      <c r="N4781" s="6"/>
      <c r="O4781" s="6"/>
      <c r="P4781" s="6"/>
      <c r="Q4781" s="6"/>
      <c r="R4781" s="6"/>
      <c r="S4781" s="6"/>
      <c r="T4781" s="6"/>
      <c r="U4781" s="6"/>
      <c r="V4781" s="6"/>
      <c r="W4781" s="6"/>
      <c r="X4781" s="6"/>
      <c r="Y4781" s="6"/>
      <c r="Z4781" s="6"/>
    </row>
    <row r="4782" customFormat="false" ht="15" hidden="false" customHeight="false" outlineLevel="0" collapsed="false">
      <c r="A4782" s="9" t="s">
        <v>10625</v>
      </c>
      <c r="B4782" s="9" t="s">
        <v>5870</v>
      </c>
      <c r="C4782" s="9" t="s">
        <v>5058</v>
      </c>
      <c r="D4782" s="9" t="s">
        <v>5871</v>
      </c>
      <c r="E4782" s="9" t="str">
        <f aca="false">IF(AND('Formation Ledger'!A4761&lt;&gt;"",'Formation Ledger'!V4761=0),"PASS","FAIL")</f>
        <v>PASS</v>
      </c>
      <c r="F4782" s="9" t="s">
        <v>76</v>
      </c>
      <c r="G4782" s="6"/>
      <c r="H4782" s="6"/>
      <c r="I4782" s="6"/>
      <c r="J4782" s="6"/>
      <c r="K4782" s="6"/>
      <c r="L4782" s="6"/>
      <c r="M4782" s="6"/>
      <c r="N4782" s="6"/>
      <c r="O4782" s="6"/>
      <c r="P4782" s="6"/>
      <c r="Q4782" s="6"/>
      <c r="R4782" s="6"/>
      <c r="S4782" s="6"/>
      <c r="T4782" s="6"/>
      <c r="U4782" s="6"/>
      <c r="V4782" s="6"/>
      <c r="W4782" s="6"/>
      <c r="X4782" s="6"/>
      <c r="Y4782" s="6"/>
      <c r="Z4782" s="6"/>
    </row>
    <row r="4783" customFormat="false" ht="15" hidden="false" customHeight="false" outlineLevel="0" collapsed="false">
      <c r="A4783" s="9" t="s">
        <v>10626</v>
      </c>
      <c r="B4783" s="9" t="s">
        <v>5870</v>
      </c>
      <c r="C4783" s="9" t="s">
        <v>5059</v>
      </c>
      <c r="D4783" s="9" t="s">
        <v>5871</v>
      </c>
      <c r="E4783" s="9" t="str">
        <f aca="false">IF(AND('Formation Ledger'!A4762&lt;&gt;"",'Formation Ledger'!V4762=0),"PASS","FAIL")</f>
        <v>PASS</v>
      </c>
      <c r="F4783" s="9" t="s">
        <v>76</v>
      </c>
      <c r="G4783" s="6"/>
      <c r="H4783" s="6"/>
      <c r="I4783" s="6"/>
      <c r="J4783" s="6"/>
      <c r="K4783" s="6"/>
      <c r="L4783" s="6"/>
      <c r="M4783" s="6"/>
      <c r="N4783" s="6"/>
      <c r="O4783" s="6"/>
      <c r="P4783" s="6"/>
      <c r="Q4783" s="6"/>
      <c r="R4783" s="6"/>
      <c r="S4783" s="6"/>
      <c r="T4783" s="6"/>
      <c r="U4783" s="6"/>
      <c r="V4783" s="6"/>
      <c r="W4783" s="6"/>
      <c r="X4783" s="6"/>
      <c r="Y4783" s="6"/>
      <c r="Z4783" s="6"/>
    </row>
    <row r="4784" customFormat="false" ht="15" hidden="false" customHeight="false" outlineLevel="0" collapsed="false">
      <c r="A4784" s="9" t="s">
        <v>10627</v>
      </c>
      <c r="B4784" s="9" t="s">
        <v>5870</v>
      </c>
      <c r="C4784" s="9" t="s">
        <v>5060</v>
      </c>
      <c r="D4784" s="9" t="s">
        <v>5871</v>
      </c>
      <c r="E4784" s="9" t="str">
        <f aca="false">IF(AND('Formation Ledger'!A4763&lt;&gt;"",'Formation Ledger'!V4763=0),"PASS","FAIL")</f>
        <v>PASS</v>
      </c>
      <c r="F4784" s="9" t="s">
        <v>76</v>
      </c>
      <c r="G4784" s="6"/>
      <c r="H4784" s="6"/>
      <c r="I4784" s="6"/>
      <c r="J4784" s="6"/>
      <c r="K4784" s="6"/>
      <c r="L4784" s="6"/>
      <c r="M4784" s="6"/>
      <c r="N4784" s="6"/>
      <c r="O4784" s="6"/>
      <c r="P4784" s="6"/>
      <c r="Q4784" s="6"/>
      <c r="R4784" s="6"/>
      <c r="S4784" s="6"/>
      <c r="T4784" s="6"/>
      <c r="U4784" s="6"/>
      <c r="V4784" s="6"/>
      <c r="W4784" s="6"/>
      <c r="X4784" s="6"/>
      <c r="Y4784" s="6"/>
      <c r="Z4784" s="6"/>
    </row>
    <row r="4785" customFormat="false" ht="15" hidden="false" customHeight="false" outlineLevel="0" collapsed="false">
      <c r="A4785" s="9" t="s">
        <v>10628</v>
      </c>
      <c r="B4785" s="9" t="s">
        <v>5870</v>
      </c>
      <c r="C4785" s="9" t="s">
        <v>5061</v>
      </c>
      <c r="D4785" s="9" t="s">
        <v>5871</v>
      </c>
      <c r="E4785" s="9" t="str">
        <f aca="false">IF(AND('Formation Ledger'!A4764&lt;&gt;"",'Formation Ledger'!V4764=0),"PASS","FAIL")</f>
        <v>PASS</v>
      </c>
      <c r="F4785" s="9" t="s">
        <v>76</v>
      </c>
      <c r="G4785" s="6"/>
      <c r="H4785" s="6"/>
      <c r="I4785" s="6"/>
      <c r="J4785" s="6"/>
      <c r="K4785" s="6"/>
      <c r="L4785" s="6"/>
      <c r="M4785" s="6"/>
      <c r="N4785" s="6"/>
      <c r="O4785" s="6"/>
      <c r="P4785" s="6"/>
      <c r="Q4785" s="6"/>
      <c r="R4785" s="6"/>
      <c r="S4785" s="6"/>
      <c r="T4785" s="6"/>
      <c r="U4785" s="6"/>
      <c r="V4785" s="6"/>
      <c r="W4785" s="6"/>
      <c r="X4785" s="6"/>
      <c r="Y4785" s="6"/>
      <c r="Z4785" s="6"/>
    </row>
    <row r="4786" customFormat="false" ht="15" hidden="false" customHeight="false" outlineLevel="0" collapsed="false">
      <c r="A4786" s="9" t="s">
        <v>10629</v>
      </c>
      <c r="B4786" s="9" t="s">
        <v>5870</v>
      </c>
      <c r="C4786" s="9" t="s">
        <v>5062</v>
      </c>
      <c r="D4786" s="9" t="s">
        <v>5871</v>
      </c>
      <c r="E4786" s="9" t="str">
        <f aca="false">IF(AND('Formation Ledger'!A4765&lt;&gt;"",'Formation Ledger'!V4765=0),"PASS","FAIL")</f>
        <v>PASS</v>
      </c>
      <c r="F4786" s="9" t="s">
        <v>76</v>
      </c>
      <c r="G4786" s="6"/>
      <c r="H4786" s="6"/>
      <c r="I4786" s="6"/>
      <c r="J4786" s="6"/>
      <c r="K4786" s="6"/>
      <c r="L4786" s="6"/>
      <c r="M4786" s="6"/>
      <c r="N4786" s="6"/>
      <c r="O4786" s="6"/>
      <c r="P4786" s="6"/>
      <c r="Q4786" s="6"/>
      <c r="R4786" s="6"/>
      <c r="S4786" s="6"/>
      <c r="T4786" s="6"/>
      <c r="U4786" s="6"/>
      <c r="V4786" s="6"/>
      <c r="W4786" s="6"/>
      <c r="X4786" s="6"/>
      <c r="Y4786" s="6"/>
      <c r="Z4786" s="6"/>
    </row>
    <row r="4787" customFormat="false" ht="15" hidden="false" customHeight="false" outlineLevel="0" collapsed="false">
      <c r="A4787" s="9" t="s">
        <v>10630</v>
      </c>
      <c r="B4787" s="9" t="s">
        <v>5870</v>
      </c>
      <c r="C4787" s="9" t="s">
        <v>5063</v>
      </c>
      <c r="D4787" s="9" t="s">
        <v>5871</v>
      </c>
      <c r="E4787" s="9" t="str">
        <f aca="false">IF(AND('Formation Ledger'!A4766&lt;&gt;"",'Formation Ledger'!V4766=0),"PASS","FAIL")</f>
        <v>PASS</v>
      </c>
      <c r="F4787" s="9" t="s">
        <v>76</v>
      </c>
      <c r="G4787" s="6"/>
      <c r="H4787" s="6"/>
      <c r="I4787" s="6"/>
      <c r="J4787" s="6"/>
      <c r="K4787" s="6"/>
      <c r="L4787" s="6"/>
      <c r="M4787" s="6"/>
      <c r="N4787" s="6"/>
      <c r="O4787" s="6"/>
      <c r="P4787" s="6"/>
      <c r="Q4787" s="6"/>
      <c r="R4787" s="6"/>
      <c r="S4787" s="6"/>
      <c r="T4787" s="6"/>
      <c r="U4787" s="6"/>
      <c r="V4787" s="6"/>
      <c r="W4787" s="6"/>
      <c r="X4787" s="6"/>
      <c r="Y4787" s="6"/>
      <c r="Z4787" s="6"/>
    </row>
    <row r="4788" customFormat="false" ht="15" hidden="false" customHeight="false" outlineLevel="0" collapsed="false">
      <c r="A4788" s="9" t="s">
        <v>10631</v>
      </c>
      <c r="B4788" s="9" t="s">
        <v>5870</v>
      </c>
      <c r="C4788" s="9" t="s">
        <v>5064</v>
      </c>
      <c r="D4788" s="9" t="s">
        <v>5871</v>
      </c>
      <c r="E4788" s="9" t="str">
        <f aca="false">IF(AND('Formation Ledger'!A4767&lt;&gt;"",'Formation Ledger'!V4767=0),"PASS","FAIL")</f>
        <v>PASS</v>
      </c>
      <c r="F4788" s="9" t="s">
        <v>76</v>
      </c>
      <c r="G4788" s="6"/>
      <c r="H4788" s="6"/>
      <c r="I4788" s="6"/>
      <c r="J4788" s="6"/>
      <c r="K4788" s="6"/>
      <c r="L4788" s="6"/>
      <c r="M4788" s="6"/>
      <c r="N4788" s="6"/>
      <c r="O4788" s="6"/>
      <c r="P4788" s="6"/>
      <c r="Q4788" s="6"/>
      <c r="R4788" s="6"/>
      <c r="S4788" s="6"/>
      <c r="T4788" s="6"/>
      <c r="U4788" s="6"/>
      <c r="V4788" s="6"/>
      <c r="W4788" s="6"/>
      <c r="X4788" s="6"/>
      <c r="Y4788" s="6"/>
      <c r="Z4788" s="6"/>
    </row>
    <row r="4789" customFormat="false" ht="15" hidden="false" customHeight="false" outlineLevel="0" collapsed="false">
      <c r="A4789" s="9" t="s">
        <v>10632</v>
      </c>
      <c r="B4789" s="9" t="s">
        <v>5870</v>
      </c>
      <c r="C4789" s="9" t="s">
        <v>5065</v>
      </c>
      <c r="D4789" s="9" t="s">
        <v>5871</v>
      </c>
      <c r="E4789" s="9" t="str">
        <f aca="false">IF(AND('Formation Ledger'!A4768&lt;&gt;"",'Formation Ledger'!V4768=0),"PASS","FAIL")</f>
        <v>PASS</v>
      </c>
      <c r="F4789" s="9" t="s">
        <v>76</v>
      </c>
      <c r="G4789" s="6"/>
      <c r="H4789" s="6"/>
      <c r="I4789" s="6"/>
      <c r="J4789" s="6"/>
      <c r="K4789" s="6"/>
      <c r="L4789" s="6"/>
      <c r="M4789" s="6"/>
      <c r="N4789" s="6"/>
      <c r="O4789" s="6"/>
      <c r="P4789" s="6"/>
      <c r="Q4789" s="6"/>
      <c r="R4789" s="6"/>
      <c r="S4789" s="6"/>
      <c r="T4789" s="6"/>
      <c r="U4789" s="6"/>
      <c r="V4789" s="6"/>
      <c r="W4789" s="6"/>
      <c r="X4789" s="6"/>
      <c r="Y4789" s="6"/>
      <c r="Z4789" s="6"/>
    </row>
    <row r="4790" customFormat="false" ht="15" hidden="false" customHeight="false" outlineLevel="0" collapsed="false">
      <c r="A4790" s="9" t="s">
        <v>10633</v>
      </c>
      <c r="B4790" s="9" t="s">
        <v>5870</v>
      </c>
      <c r="C4790" s="9" t="s">
        <v>5066</v>
      </c>
      <c r="D4790" s="9" t="s">
        <v>5871</v>
      </c>
      <c r="E4790" s="9" t="str">
        <f aca="false">IF(AND('Formation Ledger'!A4769&lt;&gt;"",'Formation Ledger'!V4769=0),"PASS","FAIL")</f>
        <v>PASS</v>
      </c>
      <c r="F4790" s="9" t="s">
        <v>76</v>
      </c>
      <c r="G4790" s="6"/>
      <c r="H4790" s="6"/>
      <c r="I4790" s="6"/>
      <c r="J4790" s="6"/>
      <c r="K4790" s="6"/>
      <c r="L4790" s="6"/>
      <c r="M4790" s="6"/>
      <c r="N4790" s="6"/>
      <c r="O4790" s="6"/>
      <c r="P4790" s="6"/>
      <c r="Q4790" s="6"/>
      <c r="R4790" s="6"/>
      <c r="S4790" s="6"/>
      <c r="T4790" s="6"/>
      <c r="U4790" s="6"/>
      <c r="V4790" s="6"/>
      <c r="W4790" s="6"/>
      <c r="X4790" s="6"/>
      <c r="Y4790" s="6"/>
      <c r="Z4790" s="6"/>
    </row>
    <row r="4791" customFormat="false" ht="15" hidden="false" customHeight="false" outlineLevel="0" collapsed="false">
      <c r="A4791" s="9" t="s">
        <v>10634</v>
      </c>
      <c r="B4791" s="9" t="s">
        <v>5870</v>
      </c>
      <c r="C4791" s="9" t="s">
        <v>5067</v>
      </c>
      <c r="D4791" s="9" t="s">
        <v>5871</v>
      </c>
      <c r="E4791" s="9" t="str">
        <f aca="false">IF(AND('Formation Ledger'!A4770&lt;&gt;"",'Formation Ledger'!V4770=0),"PASS","FAIL")</f>
        <v>PASS</v>
      </c>
      <c r="F4791" s="9" t="s">
        <v>76</v>
      </c>
      <c r="G4791" s="6"/>
      <c r="H4791" s="6"/>
      <c r="I4791" s="6"/>
      <c r="J4791" s="6"/>
      <c r="K4791" s="6"/>
      <c r="L4791" s="6"/>
      <c r="M4791" s="6"/>
      <c r="N4791" s="6"/>
      <c r="O4791" s="6"/>
      <c r="P4791" s="6"/>
      <c r="Q4791" s="6"/>
      <c r="R4791" s="6"/>
      <c r="S4791" s="6"/>
      <c r="T4791" s="6"/>
      <c r="U4791" s="6"/>
      <c r="V4791" s="6"/>
      <c r="W4791" s="6"/>
      <c r="X4791" s="6"/>
      <c r="Y4791" s="6"/>
      <c r="Z4791" s="6"/>
    </row>
    <row r="4792" customFormat="false" ht="15" hidden="false" customHeight="false" outlineLevel="0" collapsed="false">
      <c r="A4792" s="9" t="s">
        <v>10635</v>
      </c>
      <c r="B4792" s="9" t="s">
        <v>5870</v>
      </c>
      <c r="C4792" s="9" t="s">
        <v>5068</v>
      </c>
      <c r="D4792" s="9" t="s">
        <v>5871</v>
      </c>
      <c r="E4792" s="9" t="str">
        <f aca="false">IF(AND('Formation Ledger'!A4771&lt;&gt;"",'Formation Ledger'!V4771=0),"PASS","FAIL")</f>
        <v>PASS</v>
      </c>
      <c r="F4792" s="9" t="s">
        <v>76</v>
      </c>
      <c r="G4792" s="6"/>
      <c r="H4792" s="6"/>
      <c r="I4792" s="6"/>
      <c r="J4792" s="6"/>
      <c r="K4792" s="6"/>
      <c r="L4792" s="6"/>
      <c r="M4792" s="6"/>
      <c r="N4792" s="6"/>
      <c r="O4792" s="6"/>
      <c r="P4792" s="6"/>
      <c r="Q4792" s="6"/>
      <c r="R4792" s="6"/>
      <c r="S4792" s="6"/>
      <c r="T4792" s="6"/>
      <c r="U4792" s="6"/>
      <c r="V4792" s="6"/>
      <c r="W4792" s="6"/>
      <c r="X4792" s="6"/>
      <c r="Y4792" s="6"/>
      <c r="Z4792" s="6"/>
    </row>
    <row r="4793" customFormat="false" ht="15" hidden="false" customHeight="false" outlineLevel="0" collapsed="false">
      <c r="A4793" s="9" t="s">
        <v>10636</v>
      </c>
      <c r="B4793" s="9" t="s">
        <v>5870</v>
      </c>
      <c r="C4793" s="9" t="s">
        <v>5069</v>
      </c>
      <c r="D4793" s="9" t="s">
        <v>5871</v>
      </c>
      <c r="E4793" s="9" t="str">
        <f aca="false">IF(AND('Formation Ledger'!A4772&lt;&gt;"",'Formation Ledger'!V4772=0),"PASS","FAIL")</f>
        <v>PASS</v>
      </c>
      <c r="F4793" s="9" t="s">
        <v>76</v>
      </c>
      <c r="G4793" s="6"/>
      <c r="H4793" s="6"/>
      <c r="I4793" s="6"/>
      <c r="J4793" s="6"/>
      <c r="K4793" s="6"/>
      <c r="L4793" s="6"/>
      <c r="M4793" s="6"/>
      <c r="N4793" s="6"/>
      <c r="O4793" s="6"/>
      <c r="P4793" s="6"/>
      <c r="Q4793" s="6"/>
      <c r="R4793" s="6"/>
      <c r="S4793" s="6"/>
      <c r="T4793" s="6"/>
      <c r="U4793" s="6"/>
      <c r="V4793" s="6"/>
      <c r="W4793" s="6"/>
      <c r="X4793" s="6"/>
      <c r="Y4793" s="6"/>
      <c r="Z4793" s="6"/>
    </row>
    <row r="4794" customFormat="false" ht="15" hidden="false" customHeight="false" outlineLevel="0" collapsed="false">
      <c r="A4794" s="9" t="s">
        <v>10637</v>
      </c>
      <c r="B4794" s="9" t="s">
        <v>5870</v>
      </c>
      <c r="C4794" s="9" t="s">
        <v>5070</v>
      </c>
      <c r="D4794" s="9" t="s">
        <v>5871</v>
      </c>
      <c r="E4794" s="9" t="str">
        <f aca="false">IF(AND('Formation Ledger'!A4773&lt;&gt;"",'Formation Ledger'!V4773=0),"PASS","FAIL")</f>
        <v>PASS</v>
      </c>
      <c r="F4794" s="9" t="s">
        <v>76</v>
      </c>
      <c r="G4794" s="6"/>
      <c r="H4794" s="6"/>
      <c r="I4794" s="6"/>
      <c r="J4794" s="6"/>
      <c r="K4794" s="6"/>
      <c r="L4794" s="6"/>
      <c r="M4794" s="6"/>
      <c r="N4794" s="6"/>
      <c r="O4794" s="6"/>
      <c r="P4794" s="6"/>
      <c r="Q4794" s="6"/>
      <c r="R4794" s="6"/>
      <c r="S4794" s="6"/>
      <c r="T4794" s="6"/>
      <c r="U4794" s="6"/>
      <c r="V4794" s="6"/>
      <c r="W4794" s="6"/>
      <c r="X4794" s="6"/>
      <c r="Y4794" s="6"/>
      <c r="Z4794" s="6"/>
    </row>
    <row r="4795" customFormat="false" ht="15" hidden="false" customHeight="false" outlineLevel="0" collapsed="false">
      <c r="A4795" s="9" t="s">
        <v>10638</v>
      </c>
      <c r="B4795" s="9" t="s">
        <v>5870</v>
      </c>
      <c r="C4795" s="9" t="s">
        <v>5071</v>
      </c>
      <c r="D4795" s="9" t="s">
        <v>5871</v>
      </c>
      <c r="E4795" s="9" t="str">
        <f aca="false">IF(AND('Formation Ledger'!A4774&lt;&gt;"",'Formation Ledger'!V4774=0),"PASS","FAIL")</f>
        <v>PASS</v>
      </c>
      <c r="F4795" s="9" t="s">
        <v>76</v>
      </c>
      <c r="G4795" s="6"/>
      <c r="H4795" s="6"/>
      <c r="I4795" s="6"/>
      <c r="J4795" s="6"/>
      <c r="K4795" s="6"/>
      <c r="L4795" s="6"/>
      <c r="M4795" s="6"/>
      <c r="N4795" s="6"/>
      <c r="O4795" s="6"/>
      <c r="P4795" s="6"/>
      <c r="Q4795" s="6"/>
      <c r="R4795" s="6"/>
      <c r="S4795" s="6"/>
      <c r="T4795" s="6"/>
      <c r="U4795" s="6"/>
      <c r="V4795" s="6"/>
      <c r="W4795" s="6"/>
      <c r="X4795" s="6"/>
      <c r="Y4795" s="6"/>
      <c r="Z4795" s="6"/>
    </row>
    <row r="4796" customFormat="false" ht="15" hidden="false" customHeight="false" outlineLevel="0" collapsed="false">
      <c r="A4796" s="9" t="s">
        <v>10639</v>
      </c>
      <c r="B4796" s="9" t="s">
        <v>5870</v>
      </c>
      <c r="C4796" s="9" t="s">
        <v>5072</v>
      </c>
      <c r="D4796" s="9" t="s">
        <v>5871</v>
      </c>
      <c r="E4796" s="9" t="str">
        <f aca="false">IF(AND('Formation Ledger'!A4775&lt;&gt;"",'Formation Ledger'!V4775=0),"PASS","FAIL")</f>
        <v>PASS</v>
      </c>
      <c r="F4796" s="9" t="s">
        <v>76</v>
      </c>
      <c r="G4796" s="6"/>
      <c r="H4796" s="6"/>
      <c r="I4796" s="6"/>
      <c r="J4796" s="6"/>
      <c r="K4796" s="6"/>
      <c r="L4796" s="6"/>
      <c r="M4796" s="6"/>
      <c r="N4796" s="6"/>
      <c r="O4796" s="6"/>
      <c r="P4796" s="6"/>
      <c r="Q4796" s="6"/>
      <c r="R4796" s="6"/>
      <c r="S4796" s="6"/>
      <c r="T4796" s="6"/>
      <c r="U4796" s="6"/>
      <c r="V4796" s="6"/>
      <c r="W4796" s="6"/>
      <c r="X4796" s="6"/>
      <c r="Y4796" s="6"/>
      <c r="Z4796" s="6"/>
    </row>
    <row r="4797" customFormat="false" ht="15" hidden="false" customHeight="false" outlineLevel="0" collapsed="false">
      <c r="A4797" s="9" t="s">
        <v>10640</v>
      </c>
      <c r="B4797" s="9" t="s">
        <v>5870</v>
      </c>
      <c r="C4797" s="9" t="s">
        <v>5073</v>
      </c>
      <c r="D4797" s="9" t="s">
        <v>5871</v>
      </c>
      <c r="E4797" s="9" t="str">
        <f aca="false">IF(AND('Formation Ledger'!A4776&lt;&gt;"",'Formation Ledger'!V4776=0),"PASS","FAIL")</f>
        <v>PASS</v>
      </c>
      <c r="F4797" s="9" t="s">
        <v>76</v>
      </c>
      <c r="G4797" s="6"/>
      <c r="H4797" s="6"/>
      <c r="I4797" s="6"/>
      <c r="J4797" s="6"/>
      <c r="K4797" s="6"/>
      <c r="L4797" s="6"/>
      <c r="M4797" s="6"/>
      <c r="N4797" s="6"/>
      <c r="O4797" s="6"/>
      <c r="P4797" s="6"/>
      <c r="Q4797" s="6"/>
      <c r="R4797" s="6"/>
      <c r="S4797" s="6"/>
      <c r="T4797" s="6"/>
      <c r="U4797" s="6"/>
      <c r="V4797" s="6"/>
      <c r="W4797" s="6"/>
      <c r="X4797" s="6"/>
      <c r="Y4797" s="6"/>
      <c r="Z4797" s="6"/>
    </row>
    <row r="4798" customFormat="false" ht="15" hidden="false" customHeight="false" outlineLevel="0" collapsed="false">
      <c r="A4798" s="9" t="s">
        <v>10641</v>
      </c>
      <c r="B4798" s="9" t="s">
        <v>5870</v>
      </c>
      <c r="C4798" s="9" t="s">
        <v>5074</v>
      </c>
      <c r="D4798" s="9" t="s">
        <v>5871</v>
      </c>
      <c r="E4798" s="9" t="str">
        <f aca="false">IF(AND('Formation Ledger'!A4777&lt;&gt;"",'Formation Ledger'!V4777=0),"PASS","FAIL")</f>
        <v>PASS</v>
      </c>
      <c r="F4798" s="9" t="s">
        <v>76</v>
      </c>
      <c r="G4798" s="6"/>
      <c r="H4798" s="6"/>
      <c r="I4798" s="6"/>
      <c r="J4798" s="6"/>
      <c r="K4798" s="6"/>
      <c r="L4798" s="6"/>
      <c r="M4798" s="6"/>
      <c r="N4798" s="6"/>
      <c r="O4798" s="6"/>
      <c r="P4798" s="6"/>
      <c r="Q4798" s="6"/>
      <c r="R4798" s="6"/>
      <c r="S4798" s="6"/>
      <c r="T4798" s="6"/>
      <c r="U4798" s="6"/>
      <c r="V4798" s="6"/>
      <c r="W4798" s="6"/>
      <c r="X4798" s="6"/>
      <c r="Y4798" s="6"/>
      <c r="Z4798" s="6"/>
    </row>
    <row r="4799" customFormat="false" ht="15" hidden="false" customHeight="false" outlineLevel="0" collapsed="false">
      <c r="A4799" s="9" t="s">
        <v>10642</v>
      </c>
      <c r="B4799" s="9" t="s">
        <v>5870</v>
      </c>
      <c r="C4799" s="9" t="s">
        <v>5075</v>
      </c>
      <c r="D4799" s="9" t="s">
        <v>5871</v>
      </c>
      <c r="E4799" s="9" t="str">
        <f aca="false">IF(AND('Formation Ledger'!A4778&lt;&gt;"",'Formation Ledger'!V4778=0),"PASS","FAIL")</f>
        <v>PASS</v>
      </c>
      <c r="F4799" s="9" t="s">
        <v>76</v>
      </c>
      <c r="G4799" s="6"/>
      <c r="H4799" s="6"/>
      <c r="I4799" s="6"/>
      <c r="J4799" s="6"/>
      <c r="K4799" s="6"/>
      <c r="L4799" s="6"/>
      <c r="M4799" s="6"/>
      <c r="N4799" s="6"/>
      <c r="O4799" s="6"/>
      <c r="P4799" s="6"/>
      <c r="Q4799" s="6"/>
      <c r="R4799" s="6"/>
      <c r="S4799" s="6"/>
      <c r="T4799" s="6"/>
      <c r="U4799" s="6"/>
      <c r="V4799" s="6"/>
      <c r="W4799" s="6"/>
      <c r="X4799" s="6"/>
      <c r="Y4799" s="6"/>
      <c r="Z4799" s="6"/>
    </row>
    <row r="4800" customFormat="false" ht="15" hidden="false" customHeight="false" outlineLevel="0" collapsed="false">
      <c r="A4800" s="9" t="s">
        <v>10643</v>
      </c>
      <c r="B4800" s="9" t="s">
        <v>5870</v>
      </c>
      <c r="C4800" s="9" t="s">
        <v>5076</v>
      </c>
      <c r="D4800" s="9" t="s">
        <v>5871</v>
      </c>
      <c r="E4800" s="9" t="str">
        <f aca="false">IF(AND('Formation Ledger'!A4779&lt;&gt;"",'Formation Ledger'!V4779=0),"PASS","FAIL")</f>
        <v>PASS</v>
      </c>
      <c r="F4800" s="9" t="s">
        <v>76</v>
      </c>
      <c r="G4800" s="6"/>
      <c r="H4800" s="6"/>
      <c r="I4800" s="6"/>
      <c r="J4800" s="6"/>
      <c r="K4800" s="6"/>
      <c r="L4800" s="6"/>
      <c r="M4800" s="6"/>
      <c r="N4800" s="6"/>
      <c r="O4800" s="6"/>
      <c r="P4800" s="6"/>
      <c r="Q4800" s="6"/>
      <c r="R4800" s="6"/>
      <c r="S4800" s="6"/>
      <c r="T4800" s="6"/>
      <c r="U4800" s="6"/>
      <c r="V4800" s="6"/>
      <c r="W4800" s="6"/>
      <c r="X4800" s="6"/>
      <c r="Y4800" s="6"/>
      <c r="Z4800" s="6"/>
    </row>
    <row r="4801" customFormat="false" ht="15" hidden="false" customHeight="false" outlineLevel="0" collapsed="false">
      <c r="A4801" s="9" t="s">
        <v>10644</v>
      </c>
      <c r="B4801" s="9" t="s">
        <v>5870</v>
      </c>
      <c r="C4801" s="9" t="s">
        <v>5077</v>
      </c>
      <c r="D4801" s="9" t="s">
        <v>5871</v>
      </c>
      <c r="E4801" s="9" t="str">
        <f aca="false">IF(AND('Formation Ledger'!A4780&lt;&gt;"",'Formation Ledger'!V4780=0),"PASS","FAIL")</f>
        <v>PASS</v>
      </c>
      <c r="F4801" s="9" t="s">
        <v>76</v>
      </c>
      <c r="G4801" s="6"/>
      <c r="H4801" s="6"/>
      <c r="I4801" s="6"/>
      <c r="J4801" s="6"/>
      <c r="K4801" s="6"/>
      <c r="L4801" s="6"/>
      <c r="M4801" s="6"/>
      <c r="N4801" s="6"/>
      <c r="O4801" s="6"/>
      <c r="P4801" s="6"/>
      <c r="Q4801" s="6"/>
      <c r="R4801" s="6"/>
      <c r="S4801" s="6"/>
      <c r="T4801" s="6"/>
      <c r="U4801" s="6"/>
      <c r="V4801" s="6"/>
      <c r="W4801" s="6"/>
      <c r="X4801" s="6"/>
      <c r="Y4801" s="6"/>
      <c r="Z4801" s="6"/>
    </row>
    <row r="4802" customFormat="false" ht="15" hidden="false" customHeight="false" outlineLevel="0" collapsed="false">
      <c r="A4802" s="9" t="s">
        <v>10645</v>
      </c>
      <c r="B4802" s="9" t="s">
        <v>5870</v>
      </c>
      <c r="C4802" s="9" t="s">
        <v>5078</v>
      </c>
      <c r="D4802" s="9" t="s">
        <v>5871</v>
      </c>
      <c r="E4802" s="9" t="str">
        <f aca="false">IF(AND('Formation Ledger'!A4781&lt;&gt;"",'Formation Ledger'!V4781=0),"PASS","FAIL")</f>
        <v>PASS</v>
      </c>
      <c r="F4802" s="9" t="s">
        <v>76</v>
      </c>
      <c r="G4802" s="6"/>
      <c r="H4802" s="6"/>
      <c r="I4802" s="6"/>
      <c r="J4802" s="6"/>
      <c r="K4802" s="6"/>
      <c r="L4802" s="6"/>
      <c r="M4802" s="6"/>
      <c r="N4802" s="6"/>
      <c r="O4802" s="6"/>
      <c r="P4802" s="6"/>
      <c r="Q4802" s="6"/>
      <c r="R4802" s="6"/>
      <c r="S4802" s="6"/>
      <c r="T4802" s="6"/>
      <c r="U4802" s="6"/>
      <c r="V4802" s="6"/>
      <c r="W4802" s="6"/>
      <c r="X4802" s="6"/>
      <c r="Y4802" s="6"/>
      <c r="Z4802" s="6"/>
    </row>
    <row r="4803" customFormat="false" ht="15" hidden="false" customHeight="false" outlineLevel="0" collapsed="false">
      <c r="A4803" s="9" t="s">
        <v>10646</v>
      </c>
      <c r="B4803" s="9" t="s">
        <v>5870</v>
      </c>
      <c r="C4803" s="9" t="s">
        <v>5079</v>
      </c>
      <c r="D4803" s="9" t="s">
        <v>5871</v>
      </c>
      <c r="E4803" s="9" t="str">
        <f aca="false">IF(AND('Formation Ledger'!A4782&lt;&gt;"",'Formation Ledger'!V4782=0),"PASS","FAIL")</f>
        <v>PASS</v>
      </c>
      <c r="F4803" s="9" t="s">
        <v>76</v>
      </c>
      <c r="G4803" s="6"/>
      <c r="H4803" s="6"/>
      <c r="I4803" s="6"/>
      <c r="J4803" s="6"/>
      <c r="K4803" s="6"/>
      <c r="L4803" s="6"/>
      <c r="M4803" s="6"/>
      <c r="N4803" s="6"/>
      <c r="O4803" s="6"/>
      <c r="P4803" s="6"/>
      <c r="Q4803" s="6"/>
      <c r="R4803" s="6"/>
      <c r="S4803" s="6"/>
      <c r="T4803" s="6"/>
      <c r="U4803" s="6"/>
      <c r="V4803" s="6"/>
      <c r="W4803" s="6"/>
      <c r="X4803" s="6"/>
      <c r="Y4803" s="6"/>
      <c r="Z4803" s="6"/>
    </row>
    <row r="4804" customFormat="false" ht="15" hidden="false" customHeight="false" outlineLevel="0" collapsed="false">
      <c r="A4804" s="9" t="s">
        <v>10647</v>
      </c>
      <c r="B4804" s="9" t="s">
        <v>5870</v>
      </c>
      <c r="C4804" s="9" t="s">
        <v>5080</v>
      </c>
      <c r="D4804" s="9" t="s">
        <v>5871</v>
      </c>
      <c r="E4804" s="9" t="str">
        <f aca="false">IF(AND('Formation Ledger'!A4783&lt;&gt;"",'Formation Ledger'!V4783=0),"PASS","FAIL")</f>
        <v>PASS</v>
      </c>
      <c r="F4804" s="9" t="s">
        <v>76</v>
      </c>
      <c r="G4804" s="6"/>
      <c r="H4804" s="6"/>
      <c r="I4804" s="6"/>
      <c r="J4804" s="6"/>
      <c r="K4804" s="6"/>
      <c r="L4804" s="6"/>
      <c r="M4804" s="6"/>
      <c r="N4804" s="6"/>
      <c r="O4804" s="6"/>
      <c r="P4804" s="6"/>
      <c r="Q4804" s="6"/>
      <c r="R4804" s="6"/>
      <c r="S4804" s="6"/>
      <c r="T4804" s="6"/>
      <c r="U4804" s="6"/>
      <c r="V4804" s="6"/>
      <c r="W4804" s="6"/>
      <c r="X4804" s="6"/>
      <c r="Y4804" s="6"/>
      <c r="Z4804" s="6"/>
    </row>
    <row r="4805" customFormat="false" ht="15" hidden="false" customHeight="false" outlineLevel="0" collapsed="false">
      <c r="A4805" s="9" t="s">
        <v>10648</v>
      </c>
      <c r="B4805" s="9" t="s">
        <v>5870</v>
      </c>
      <c r="C4805" s="9" t="s">
        <v>5081</v>
      </c>
      <c r="D4805" s="9" t="s">
        <v>5871</v>
      </c>
      <c r="E4805" s="9" t="str">
        <f aca="false">IF(AND('Formation Ledger'!A4784&lt;&gt;"",'Formation Ledger'!V4784=0),"PASS","FAIL")</f>
        <v>PASS</v>
      </c>
      <c r="F4805" s="9" t="s">
        <v>76</v>
      </c>
      <c r="G4805" s="6"/>
      <c r="H4805" s="6"/>
      <c r="I4805" s="6"/>
      <c r="J4805" s="6"/>
      <c r="K4805" s="6"/>
      <c r="L4805" s="6"/>
      <c r="M4805" s="6"/>
      <c r="N4805" s="6"/>
      <c r="O4805" s="6"/>
      <c r="P4805" s="6"/>
      <c r="Q4805" s="6"/>
      <c r="R4805" s="6"/>
      <c r="S4805" s="6"/>
      <c r="T4805" s="6"/>
      <c r="U4805" s="6"/>
      <c r="V4805" s="6"/>
      <c r="W4805" s="6"/>
      <c r="X4805" s="6"/>
      <c r="Y4805" s="6"/>
      <c r="Z4805" s="6"/>
    </row>
    <row r="4806" customFormat="false" ht="15" hidden="false" customHeight="false" outlineLevel="0" collapsed="false">
      <c r="A4806" s="9" t="s">
        <v>10649</v>
      </c>
      <c r="B4806" s="9" t="s">
        <v>5870</v>
      </c>
      <c r="C4806" s="9" t="s">
        <v>5082</v>
      </c>
      <c r="D4806" s="9" t="s">
        <v>5871</v>
      </c>
      <c r="E4806" s="9" t="str">
        <f aca="false">IF(AND('Formation Ledger'!A4785&lt;&gt;"",'Formation Ledger'!V4785=0),"PASS","FAIL")</f>
        <v>PASS</v>
      </c>
      <c r="F4806" s="9" t="s">
        <v>76</v>
      </c>
      <c r="G4806" s="6"/>
      <c r="H4806" s="6"/>
      <c r="I4806" s="6"/>
      <c r="J4806" s="6"/>
      <c r="K4806" s="6"/>
      <c r="L4806" s="6"/>
      <c r="M4806" s="6"/>
      <c r="N4806" s="6"/>
      <c r="O4806" s="6"/>
      <c r="P4806" s="6"/>
      <c r="Q4806" s="6"/>
      <c r="R4806" s="6"/>
      <c r="S4806" s="6"/>
      <c r="T4806" s="6"/>
      <c r="U4806" s="6"/>
      <c r="V4806" s="6"/>
      <c r="W4806" s="6"/>
      <c r="X4806" s="6"/>
      <c r="Y4806" s="6"/>
      <c r="Z4806" s="6"/>
    </row>
    <row r="4807" customFormat="false" ht="15" hidden="false" customHeight="false" outlineLevel="0" collapsed="false">
      <c r="A4807" s="9" t="s">
        <v>10650</v>
      </c>
      <c r="B4807" s="9" t="s">
        <v>5870</v>
      </c>
      <c r="C4807" s="9" t="s">
        <v>5083</v>
      </c>
      <c r="D4807" s="9" t="s">
        <v>5871</v>
      </c>
      <c r="E4807" s="9" t="str">
        <f aca="false">IF(AND('Formation Ledger'!A4786&lt;&gt;"",'Formation Ledger'!V4786=0),"PASS","FAIL")</f>
        <v>PASS</v>
      </c>
      <c r="F4807" s="9" t="s">
        <v>76</v>
      </c>
      <c r="G4807" s="6"/>
      <c r="H4807" s="6"/>
      <c r="I4807" s="6"/>
      <c r="J4807" s="6"/>
      <c r="K4807" s="6"/>
      <c r="L4807" s="6"/>
      <c r="M4807" s="6"/>
      <c r="N4807" s="6"/>
      <c r="O4807" s="6"/>
      <c r="P4807" s="6"/>
      <c r="Q4807" s="6"/>
      <c r="R4807" s="6"/>
      <c r="S4807" s="6"/>
      <c r="T4807" s="6"/>
      <c r="U4807" s="6"/>
      <c r="V4807" s="6"/>
      <c r="W4807" s="6"/>
      <c r="X4807" s="6"/>
      <c r="Y4807" s="6"/>
      <c r="Z4807" s="6"/>
    </row>
    <row r="4808" customFormat="false" ht="15" hidden="false" customHeight="false" outlineLevel="0" collapsed="false">
      <c r="A4808" s="9" t="s">
        <v>10651</v>
      </c>
      <c r="B4808" s="9" t="s">
        <v>5870</v>
      </c>
      <c r="C4808" s="9" t="s">
        <v>5084</v>
      </c>
      <c r="D4808" s="9" t="s">
        <v>5871</v>
      </c>
      <c r="E4808" s="9" t="str">
        <f aca="false">IF(AND('Formation Ledger'!A4787&lt;&gt;"",'Formation Ledger'!V4787=0),"PASS","FAIL")</f>
        <v>PASS</v>
      </c>
      <c r="F4808" s="9" t="s">
        <v>76</v>
      </c>
      <c r="G4808" s="6"/>
      <c r="H4808" s="6"/>
      <c r="I4808" s="6"/>
      <c r="J4808" s="6"/>
      <c r="K4808" s="6"/>
      <c r="L4808" s="6"/>
      <c r="M4808" s="6"/>
      <c r="N4808" s="6"/>
      <c r="O4808" s="6"/>
      <c r="P4808" s="6"/>
      <c r="Q4808" s="6"/>
      <c r="R4808" s="6"/>
      <c r="S4808" s="6"/>
      <c r="T4808" s="6"/>
      <c r="U4808" s="6"/>
      <c r="V4808" s="6"/>
      <c r="W4808" s="6"/>
      <c r="X4808" s="6"/>
      <c r="Y4808" s="6"/>
      <c r="Z4808" s="6"/>
    </row>
    <row r="4809" customFormat="false" ht="15" hidden="false" customHeight="false" outlineLevel="0" collapsed="false">
      <c r="A4809" s="9" t="s">
        <v>10652</v>
      </c>
      <c r="B4809" s="9" t="s">
        <v>5870</v>
      </c>
      <c r="C4809" s="9" t="s">
        <v>5085</v>
      </c>
      <c r="D4809" s="9" t="s">
        <v>5871</v>
      </c>
      <c r="E4809" s="9" t="str">
        <f aca="false">IF(AND('Formation Ledger'!A4788&lt;&gt;"",'Formation Ledger'!V4788=0),"PASS","FAIL")</f>
        <v>PASS</v>
      </c>
      <c r="F4809" s="9" t="s">
        <v>76</v>
      </c>
      <c r="G4809" s="6"/>
      <c r="H4809" s="6"/>
      <c r="I4809" s="6"/>
      <c r="J4809" s="6"/>
      <c r="K4809" s="6"/>
      <c r="L4809" s="6"/>
      <c r="M4809" s="6"/>
      <c r="N4809" s="6"/>
      <c r="O4809" s="6"/>
      <c r="P4809" s="6"/>
      <c r="Q4809" s="6"/>
      <c r="R4809" s="6"/>
      <c r="S4809" s="6"/>
      <c r="T4809" s="6"/>
      <c r="U4809" s="6"/>
      <c r="V4809" s="6"/>
      <c r="W4809" s="6"/>
      <c r="X4809" s="6"/>
      <c r="Y4809" s="6"/>
      <c r="Z4809" s="6"/>
    </row>
    <row r="4810" customFormat="false" ht="15" hidden="false" customHeight="false" outlineLevel="0" collapsed="false">
      <c r="A4810" s="9" t="s">
        <v>10653</v>
      </c>
      <c r="B4810" s="9" t="s">
        <v>5870</v>
      </c>
      <c r="C4810" s="9" t="s">
        <v>5086</v>
      </c>
      <c r="D4810" s="9" t="s">
        <v>5871</v>
      </c>
      <c r="E4810" s="9" t="str">
        <f aca="false">IF(AND('Formation Ledger'!A4789&lt;&gt;"",'Formation Ledger'!V4789=0),"PASS","FAIL")</f>
        <v>PASS</v>
      </c>
      <c r="F4810" s="9" t="s">
        <v>76</v>
      </c>
      <c r="G4810" s="6"/>
      <c r="H4810" s="6"/>
      <c r="I4810" s="6"/>
      <c r="J4810" s="6"/>
      <c r="K4810" s="6"/>
      <c r="L4810" s="6"/>
      <c r="M4810" s="6"/>
      <c r="N4810" s="6"/>
      <c r="O4810" s="6"/>
      <c r="P4810" s="6"/>
      <c r="Q4810" s="6"/>
      <c r="R4810" s="6"/>
      <c r="S4810" s="6"/>
      <c r="T4810" s="6"/>
      <c r="U4810" s="6"/>
      <c r="V4810" s="6"/>
      <c r="W4810" s="6"/>
      <c r="X4810" s="6"/>
      <c r="Y4810" s="6"/>
      <c r="Z4810" s="6"/>
    </row>
    <row r="4811" customFormat="false" ht="15" hidden="false" customHeight="false" outlineLevel="0" collapsed="false">
      <c r="A4811" s="9" t="s">
        <v>10654</v>
      </c>
      <c r="B4811" s="9" t="s">
        <v>5870</v>
      </c>
      <c r="C4811" s="9" t="s">
        <v>5087</v>
      </c>
      <c r="D4811" s="9" t="s">
        <v>5871</v>
      </c>
      <c r="E4811" s="9" t="str">
        <f aca="false">IF(AND('Formation Ledger'!A4790&lt;&gt;"",'Formation Ledger'!V4790=0),"PASS","FAIL")</f>
        <v>PASS</v>
      </c>
      <c r="F4811" s="9" t="s">
        <v>76</v>
      </c>
      <c r="G4811" s="6"/>
      <c r="H4811" s="6"/>
      <c r="I4811" s="6"/>
      <c r="J4811" s="6"/>
      <c r="K4811" s="6"/>
      <c r="L4811" s="6"/>
      <c r="M4811" s="6"/>
      <c r="N4811" s="6"/>
      <c r="O4811" s="6"/>
      <c r="P4811" s="6"/>
      <c r="Q4811" s="6"/>
      <c r="R4811" s="6"/>
      <c r="S4811" s="6"/>
      <c r="T4811" s="6"/>
      <c r="U4811" s="6"/>
      <c r="V4811" s="6"/>
      <c r="W4811" s="6"/>
      <c r="X4811" s="6"/>
      <c r="Y4811" s="6"/>
      <c r="Z4811" s="6"/>
    </row>
    <row r="4812" customFormat="false" ht="15" hidden="false" customHeight="false" outlineLevel="0" collapsed="false">
      <c r="A4812" s="9" t="s">
        <v>10655</v>
      </c>
      <c r="B4812" s="9" t="s">
        <v>5870</v>
      </c>
      <c r="C4812" s="9" t="s">
        <v>5088</v>
      </c>
      <c r="D4812" s="9" t="s">
        <v>5871</v>
      </c>
      <c r="E4812" s="9" t="str">
        <f aca="false">IF(AND('Formation Ledger'!A4791&lt;&gt;"",'Formation Ledger'!V4791=0),"PASS","FAIL")</f>
        <v>PASS</v>
      </c>
      <c r="F4812" s="9" t="s">
        <v>76</v>
      </c>
      <c r="G4812" s="6"/>
      <c r="H4812" s="6"/>
      <c r="I4812" s="6"/>
      <c r="J4812" s="6"/>
      <c r="K4812" s="6"/>
      <c r="L4812" s="6"/>
      <c r="M4812" s="6"/>
      <c r="N4812" s="6"/>
      <c r="O4812" s="6"/>
      <c r="P4812" s="6"/>
      <c r="Q4812" s="6"/>
      <c r="R4812" s="6"/>
      <c r="S4812" s="6"/>
      <c r="T4812" s="6"/>
      <c r="U4812" s="6"/>
      <c r="V4812" s="6"/>
      <c r="W4812" s="6"/>
      <c r="X4812" s="6"/>
      <c r="Y4812" s="6"/>
      <c r="Z4812" s="6"/>
    </row>
    <row r="4813" customFormat="false" ht="15" hidden="false" customHeight="false" outlineLevel="0" collapsed="false">
      <c r="A4813" s="9" t="s">
        <v>10656</v>
      </c>
      <c r="B4813" s="9" t="s">
        <v>5870</v>
      </c>
      <c r="C4813" s="9" t="s">
        <v>5089</v>
      </c>
      <c r="D4813" s="9" t="s">
        <v>5871</v>
      </c>
      <c r="E4813" s="9" t="str">
        <f aca="false">IF(AND('Formation Ledger'!A4792&lt;&gt;"",'Formation Ledger'!V4792=0),"PASS","FAIL")</f>
        <v>PASS</v>
      </c>
      <c r="F4813" s="9" t="s">
        <v>76</v>
      </c>
      <c r="G4813" s="6"/>
      <c r="H4813" s="6"/>
      <c r="I4813" s="6"/>
      <c r="J4813" s="6"/>
      <c r="K4813" s="6"/>
      <c r="L4813" s="6"/>
      <c r="M4813" s="6"/>
      <c r="N4813" s="6"/>
      <c r="O4813" s="6"/>
      <c r="P4813" s="6"/>
      <c r="Q4813" s="6"/>
      <c r="R4813" s="6"/>
      <c r="S4813" s="6"/>
      <c r="T4813" s="6"/>
      <c r="U4813" s="6"/>
      <c r="V4813" s="6"/>
      <c r="W4813" s="6"/>
      <c r="X4813" s="6"/>
      <c r="Y4813" s="6"/>
      <c r="Z4813" s="6"/>
    </row>
    <row r="4814" customFormat="false" ht="15" hidden="false" customHeight="false" outlineLevel="0" collapsed="false">
      <c r="A4814" s="9" t="s">
        <v>10657</v>
      </c>
      <c r="B4814" s="9" t="s">
        <v>5870</v>
      </c>
      <c r="C4814" s="9" t="s">
        <v>5090</v>
      </c>
      <c r="D4814" s="9" t="s">
        <v>5871</v>
      </c>
      <c r="E4814" s="9" t="str">
        <f aca="false">IF(AND('Formation Ledger'!A4793&lt;&gt;"",'Formation Ledger'!V4793=0),"PASS","FAIL")</f>
        <v>PASS</v>
      </c>
      <c r="F4814" s="9" t="s">
        <v>76</v>
      </c>
      <c r="G4814" s="6"/>
      <c r="H4814" s="6"/>
      <c r="I4814" s="6"/>
      <c r="J4814" s="6"/>
      <c r="K4814" s="6"/>
      <c r="L4814" s="6"/>
      <c r="M4814" s="6"/>
      <c r="N4814" s="6"/>
      <c r="O4814" s="6"/>
      <c r="P4814" s="6"/>
      <c r="Q4814" s="6"/>
      <c r="R4814" s="6"/>
      <c r="S4814" s="6"/>
      <c r="T4814" s="6"/>
      <c r="U4814" s="6"/>
      <c r="V4814" s="6"/>
      <c r="W4814" s="6"/>
      <c r="X4814" s="6"/>
      <c r="Y4814" s="6"/>
      <c r="Z4814" s="6"/>
    </row>
    <row r="4815" customFormat="false" ht="15" hidden="false" customHeight="false" outlineLevel="0" collapsed="false">
      <c r="A4815" s="9" t="s">
        <v>10658</v>
      </c>
      <c r="B4815" s="9" t="s">
        <v>5870</v>
      </c>
      <c r="C4815" s="9" t="s">
        <v>5091</v>
      </c>
      <c r="D4815" s="9" t="s">
        <v>5871</v>
      </c>
      <c r="E4815" s="9" t="str">
        <f aca="false">IF(AND('Formation Ledger'!A4794&lt;&gt;"",'Formation Ledger'!V4794=0),"PASS","FAIL")</f>
        <v>PASS</v>
      </c>
      <c r="F4815" s="9" t="s">
        <v>76</v>
      </c>
      <c r="G4815" s="6"/>
      <c r="H4815" s="6"/>
      <c r="I4815" s="6"/>
      <c r="J4815" s="6"/>
      <c r="K4815" s="6"/>
      <c r="L4815" s="6"/>
      <c r="M4815" s="6"/>
      <c r="N4815" s="6"/>
      <c r="O4815" s="6"/>
      <c r="P4815" s="6"/>
      <c r="Q4815" s="6"/>
      <c r="R4815" s="6"/>
      <c r="S4815" s="6"/>
      <c r="T4815" s="6"/>
      <c r="U4815" s="6"/>
      <c r="V4815" s="6"/>
      <c r="W4815" s="6"/>
      <c r="X4815" s="6"/>
      <c r="Y4815" s="6"/>
      <c r="Z4815" s="6"/>
    </row>
    <row r="4816" customFormat="false" ht="15" hidden="false" customHeight="false" outlineLevel="0" collapsed="false">
      <c r="A4816" s="9" t="s">
        <v>10659</v>
      </c>
      <c r="B4816" s="9" t="s">
        <v>5870</v>
      </c>
      <c r="C4816" s="9" t="s">
        <v>5092</v>
      </c>
      <c r="D4816" s="9" t="s">
        <v>5871</v>
      </c>
      <c r="E4816" s="9" t="str">
        <f aca="false">IF(AND('Formation Ledger'!A4795&lt;&gt;"",'Formation Ledger'!V4795=0),"PASS","FAIL")</f>
        <v>PASS</v>
      </c>
      <c r="F4816" s="9" t="s">
        <v>76</v>
      </c>
      <c r="G4816" s="6"/>
      <c r="H4816" s="6"/>
      <c r="I4816" s="6"/>
      <c r="J4816" s="6"/>
      <c r="K4816" s="6"/>
      <c r="L4816" s="6"/>
      <c r="M4816" s="6"/>
      <c r="N4816" s="6"/>
      <c r="O4816" s="6"/>
      <c r="P4816" s="6"/>
      <c r="Q4816" s="6"/>
      <c r="R4816" s="6"/>
      <c r="S4816" s="6"/>
      <c r="T4816" s="6"/>
      <c r="U4816" s="6"/>
      <c r="V4816" s="6"/>
      <c r="W4816" s="6"/>
      <c r="X4816" s="6"/>
      <c r="Y4816" s="6"/>
      <c r="Z4816" s="6"/>
    </row>
    <row r="4817" customFormat="false" ht="15" hidden="false" customHeight="false" outlineLevel="0" collapsed="false">
      <c r="A4817" s="9" t="s">
        <v>10660</v>
      </c>
      <c r="B4817" s="9" t="s">
        <v>5870</v>
      </c>
      <c r="C4817" s="9" t="s">
        <v>5093</v>
      </c>
      <c r="D4817" s="9" t="s">
        <v>5871</v>
      </c>
      <c r="E4817" s="9" t="str">
        <f aca="false">IF(AND('Formation Ledger'!A4796&lt;&gt;"",'Formation Ledger'!V4796=0),"PASS","FAIL")</f>
        <v>PASS</v>
      </c>
      <c r="F4817" s="9" t="s">
        <v>76</v>
      </c>
      <c r="G4817" s="6"/>
      <c r="H4817" s="6"/>
      <c r="I4817" s="6"/>
      <c r="J4817" s="6"/>
      <c r="K4817" s="6"/>
      <c r="L4817" s="6"/>
      <c r="M4817" s="6"/>
      <c r="N4817" s="6"/>
      <c r="O4817" s="6"/>
      <c r="P4817" s="6"/>
      <c r="Q4817" s="6"/>
      <c r="R4817" s="6"/>
      <c r="S4817" s="6"/>
      <c r="T4817" s="6"/>
      <c r="U4817" s="6"/>
      <c r="V4817" s="6"/>
      <c r="W4817" s="6"/>
      <c r="X4817" s="6"/>
      <c r="Y4817" s="6"/>
      <c r="Z4817" s="6"/>
    </row>
    <row r="4818" customFormat="false" ht="15" hidden="false" customHeight="false" outlineLevel="0" collapsed="false">
      <c r="A4818" s="9" t="s">
        <v>10661</v>
      </c>
      <c r="B4818" s="9" t="s">
        <v>5870</v>
      </c>
      <c r="C4818" s="9" t="s">
        <v>5094</v>
      </c>
      <c r="D4818" s="9" t="s">
        <v>5871</v>
      </c>
      <c r="E4818" s="9" t="str">
        <f aca="false">IF(AND('Formation Ledger'!A4797&lt;&gt;"",'Formation Ledger'!V4797=0),"PASS","FAIL")</f>
        <v>PASS</v>
      </c>
      <c r="F4818" s="9" t="s">
        <v>76</v>
      </c>
      <c r="G4818" s="6"/>
      <c r="H4818" s="6"/>
      <c r="I4818" s="6"/>
      <c r="J4818" s="6"/>
      <c r="K4818" s="6"/>
      <c r="L4818" s="6"/>
      <c r="M4818" s="6"/>
      <c r="N4818" s="6"/>
      <c r="O4818" s="6"/>
      <c r="P4818" s="6"/>
      <c r="Q4818" s="6"/>
      <c r="R4818" s="6"/>
      <c r="S4818" s="6"/>
      <c r="T4818" s="6"/>
      <c r="U4818" s="6"/>
      <c r="V4818" s="6"/>
      <c r="W4818" s="6"/>
      <c r="X4818" s="6"/>
      <c r="Y4818" s="6"/>
      <c r="Z4818" s="6"/>
    </row>
    <row r="4819" customFormat="false" ht="15" hidden="false" customHeight="false" outlineLevel="0" collapsed="false">
      <c r="A4819" s="9" t="s">
        <v>10662</v>
      </c>
      <c r="B4819" s="9" t="s">
        <v>5870</v>
      </c>
      <c r="C4819" s="9" t="s">
        <v>5095</v>
      </c>
      <c r="D4819" s="9" t="s">
        <v>5871</v>
      </c>
      <c r="E4819" s="9" t="str">
        <f aca="false">IF(AND('Formation Ledger'!A4798&lt;&gt;"",'Formation Ledger'!V4798=0),"PASS","FAIL")</f>
        <v>PASS</v>
      </c>
      <c r="F4819" s="9" t="s">
        <v>76</v>
      </c>
      <c r="G4819" s="6"/>
      <c r="H4819" s="6"/>
      <c r="I4819" s="6"/>
      <c r="J4819" s="6"/>
      <c r="K4819" s="6"/>
      <c r="L4819" s="6"/>
      <c r="M4819" s="6"/>
      <c r="N4819" s="6"/>
      <c r="O4819" s="6"/>
      <c r="P4819" s="6"/>
      <c r="Q4819" s="6"/>
      <c r="R4819" s="6"/>
      <c r="S4819" s="6"/>
      <c r="T4819" s="6"/>
      <c r="U4819" s="6"/>
      <c r="V4819" s="6"/>
      <c r="W4819" s="6"/>
      <c r="X4819" s="6"/>
      <c r="Y4819" s="6"/>
      <c r="Z4819" s="6"/>
    </row>
    <row r="4820" customFormat="false" ht="15" hidden="false" customHeight="false" outlineLevel="0" collapsed="false">
      <c r="A4820" s="9" t="s">
        <v>10663</v>
      </c>
      <c r="B4820" s="9" t="s">
        <v>5870</v>
      </c>
      <c r="C4820" s="9" t="s">
        <v>5096</v>
      </c>
      <c r="D4820" s="9" t="s">
        <v>5871</v>
      </c>
      <c r="E4820" s="9" t="str">
        <f aca="false">IF(AND('Formation Ledger'!A4799&lt;&gt;"",'Formation Ledger'!V4799=0),"PASS","FAIL")</f>
        <v>PASS</v>
      </c>
      <c r="F4820" s="9" t="s">
        <v>76</v>
      </c>
      <c r="G4820" s="6"/>
      <c r="H4820" s="6"/>
      <c r="I4820" s="6"/>
      <c r="J4820" s="6"/>
      <c r="K4820" s="6"/>
      <c r="L4820" s="6"/>
      <c r="M4820" s="6"/>
      <c r="N4820" s="6"/>
      <c r="O4820" s="6"/>
      <c r="P4820" s="6"/>
      <c r="Q4820" s="6"/>
      <c r="R4820" s="6"/>
      <c r="S4820" s="6"/>
      <c r="T4820" s="6"/>
      <c r="U4820" s="6"/>
      <c r="V4820" s="6"/>
      <c r="W4820" s="6"/>
      <c r="X4820" s="6"/>
      <c r="Y4820" s="6"/>
      <c r="Z4820" s="6"/>
    </row>
    <row r="4821" customFormat="false" ht="15" hidden="false" customHeight="false" outlineLevel="0" collapsed="false">
      <c r="A4821" s="9" t="s">
        <v>10664</v>
      </c>
      <c r="B4821" s="9" t="s">
        <v>5870</v>
      </c>
      <c r="C4821" s="9" t="s">
        <v>5097</v>
      </c>
      <c r="D4821" s="9" t="s">
        <v>5871</v>
      </c>
      <c r="E4821" s="9" t="str">
        <f aca="false">IF(AND('Formation Ledger'!A4800&lt;&gt;"",'Formation Ledger'!V4800=0),"PASS","FAIL")</f>
        <v>PASS</v>
      </c>
      <c r="F4821" s="9" t="s">
        <v>76</v>
      </c>
      <c r="G4821" s="6"/>
      <c r="H4821" s="6"/>
      <c r="I4821" s="6"/>
      <c r="J4821" s="6"/>
      <c r="K4821" s="6"/>
      <c r="L4821" s="6"/>
      <c r="M4821" s="6"/>
      <c r="N4821" s="6"/>
      <c r="O4821" s="6"/>
      <c r="P4821" s="6"/>
      <c r="Q4821" s="6"/>
      <c r="R4821" s="6"/>
      <c r="S4821" s="6"/>
      <c r="T4821" s="6"/>
      <c r="U4821" s="6"/>
      <c r="V4821" s="6"/>
      <c r="W4821" s="6"/>
      <c r="X4821" s="6"/>
      <c r="Y4821" s="6"/>
      <c r="Z4821" s="6"/>
    </row>
    <row r="4822" customFormat="false" ht="15" hidden="false" customHeight="false" outlineLevel="0" collapsed="false">
      <c r="A4822" s="9" t="s">
        <v>10665</v>
      </c>
      <c r="B4822" s="9" t="s">
        <v>5870</v>
      </c>
      <c r="C4822" s="9" t="s">
        <v>5098</v>
      </c>
      <c r="D4822" s="9" t="s">
        <v>5871</v>
      </c>
      <c r="E4822" s="9" t="str">
        <f aca="false">IF(AND('Formation Ledger'!A4801&lt;&gt;"",'Formation Ledger'!V4801=0),"PASS","FAIL")</f>
        <v>PASS</v>
      </c>
      <c r="F4822" s="9" t="s">
        <v>76</v>
      </c>
      <c r="G4822" s="6"/>
      <c r="H4822" s="6"/>
      <c r="I4822" s="6"/>
      <c r="J4822" s="6"/>
      <c r="K4822" s="6"/>
      <c r="L4822" s="6"/>
      <c r="M4822" s="6"/>
      <c r="N4822" s="6"/>
      <c r="O4822" s="6"/>
      <c r="P4822" s="6"/>
      <c r="Q4822" s="6"/>
      <c r="R4822" s="6"/>
      <c r="S4822" s="6"/>
      <c r="T4822" s="6"/>
      <c r="U4822" s="6"/>
      <c r="V4822" s="6"/>
      <c r="W4822" s="6"/>
      <c r="X4822" s="6"/>
      <c r="Y4822" s="6"/>
      <c r="Z4822" s="6"/>
    </row>
    <row r="4823" customFormat="false" ht="15" hidden="false" customHeight="false" outlineLevel="0" collapsed="false">
      <c r="A4823" s="9" t="s">
        <v>10666</v>
      </c>
      <c r="B4823" s="9" t="s">
        <v>5870</v>
      </c>
      <c r="C4823" s="9" t="s">
        <v>5099</v>
      </c>
      <c r="D4823" s="9" t="s">
        <v>5871</v>
      </c>
      <c r="E4823" s="9" t="str">
        <f aca="false">IF(AND('Formation Ledger'!A4802&lt;&gt;"",'Formation Ledger'!V4802=0),"PASS","FAIL")</f>
        <v>PASS</v>
      </c>
      <c r="F4823" s="9" t="s">
        <v>76</v>
      </c>
      <c r="G4823" s="6"/>
      <c r="H4823" s="6"/>
      <c r="I4823" s="6"/>
      <c r="J4823" s="6"/>
      <c r="K4823" s="6"/>
      <c r="L4823" s="6"/>
      <c r="M4823" s="6"/>
      <c r="N4823" s="6"/>
      <c r="O4823" s="6"/>
      <c r="P4823" s="6"/>
      <c r="Q4823" s="6"/>
      <c r="R4823" s="6"/>
      <c r="S4823" s="6"/>
      <c r="T4823" s="6"/>
      <c r="U4823" s="6"/>
      <c r="V4823" s="6"/>
      <c r="W4823" s="6"/>
      <c r="X4823" s="6"/>
      <c r="Y4823" s="6"/>
      <c r="Z4823" s="6"/>
    </row>
    <row r="4824" customFormat="false" ht="15" hidden="false" customHeight="false" outlineLevel="0" collapsed="false">
      <c r="A4824" s="9" t="s">
        <v>10667</v>
      </c>
      <c r="B4824" s="9" t="s">
        <v>5870</v>
      </c>
      <c r="C4824" s="9" t="s">
        <v>5100</v>
      </c>
      <c r="D4824" s="9" t="s">
        <v>5871</v>
      </c>
      <c r="E4824" s="9" t="str">
        <f aca="false">IF(AND('Formation Ledger'!A4803&lt;&gt;"",'Formation Ledger'!V4803=0),"PASS","FAIL")</f>
        <v>PASS</v>
      </c>
      <c r="F4824" s="9" t="s">
        <v>76</v>
      </c>
      <c r="G4824" s="6"/>
      <c r="H4824" s="6"/>
      <c r="I4824" s="6"/>
      <c r="J4824" s="6"/>
      <c r="K4824" s="6"/>
      <c r="L4824" s="6"/>
      <c r="M4824" s="6"/>
      <c r="N4824" s="6"/>
      <c r="O4824" s="6"/>
      <c r="P4824" s="6"/>
      <c r="Q4824" s="6"/>
      <c r="R4824" s="6"/>
      <c r="S4824" s="6"/>
      <c r="T4824" s="6"/>
      <c r="U4824" s="6"/>
      <c r="V4824" s="6"/>
      <c r="W4824" s="6"/>
      <c r="X4824" s="6"/>
      <c r="Y4824" s="6"/>
      <c r="Z4824" s="6"/>
    </row>
    <row r="4825" customFormat="false" ht="15" hidden="false" customHeight="false" outlineLevel="0" collapsed="false">
      <c r="A4825" s="9" t="s">
        <v>10668</v>
      </c>
      <c r="B4825" s="9" t="s">
        <v>5870</v>
      </c>
      <c r="C4825" s="9" t="s">
        <v>5101</v>
      </c>
      <c r="D4825" s="9" t="s">
        <v>5871</v>
      </c>
      <c r="E4825" s="9" t="str">
        <f aca="false">IF(AND('Formation Ledger'!A4804&lt;&gt;"",'Formation Ledger'!V4804=0),"PASS","FAIL")</f>
        <v>PASS</v>
      </c>
      <c r="F4825" s="9" t="s">
        <v>76</v>
      </c>
      <c r="G4825" s="6"/>
      <c r="H4825" s="6"/>
      <c r="I4825" s="6"/>
      <c r="J4825" s="6"/>
      <c r="K4825" s="6"/>
      <c r="L4825" s="6"/>
      <c r="M4825" s="6"/>
      <c r="N4825" s="6"/>
      <c r="O4825" s="6"/>
      <c r="P4825" s="6"/>
      <c r="Q4825" s="6"/>
      <c r="R4825" s="6"/>
      <c r="S4825" s="6"/>
      <c r="T4825" s="6"/>
      <c r="U4825" s="6"/>
      <c r="V4825" s="6"/>
      <c r="W4825" s="6"/>
      <c r="X4825" s="6"/>
      <c r="Y4825" s="6"/>
      <c r="Z4825" s="6"/>
    </row>
    <row r="4826" customFormat="false" ht="15" hidden="false" customHeight="false" outlineLevel="0" collapsed="false">
      <c r="A4826" s="9" t="s">
        <v>10669</v>
      </c>
      <c r="B4826" s="9" t="s">
        <v>5870</v>
      </c>
      <c r="C4826" s="9" t="s">
        <v>5102</v>
      </c>
      <c r="D4826" s="9" t="s">
        <v>5871</v>
      </c>
      <c r="E4826" s="9" t="str">
        <f aca="false">IF(AND('Formation Ledger'!A4805&lt;&gt;"",'Formation Ledger'!V4805=0),"PASS","FAIL")</f>
        <v>PASS</v>
      </c>
      <c r="F4826" s="9" t="s">
        <v>76</v>
      </c>
      <c r="G4826" s="6"/>
      <c r="H4826" s="6"/>
      <c r="I4826" s="6"/>
      <c r="J4826" s="6"/>
      <c r="K4826" s="6"/>
      <c r="L4826" s="6"/>
      <c r="M4826" s="6"/>
      <c r="N4826" s="6"/>
      <c r="O4826" s="6"/>
      <c r="P4826" s="6"/>
      <c r="Q4826" s="6"/>
      <c r="R4826" s="6"/>
      <c r="S4826" s="6"/>
      <c r="T4826" s="6"/>
      <c r="U4826" s="6"/>
      <c r="V4826" s="6"/>
      <c r="W4826" s="6"/>
      <c r="X4826" s="6"/>
      <c r="Y4826" s="6"/>
      <c r="Z4826" s="6"/>
    </row>
    <row r="4827" customFormat="false" ht="15" hidden="false" customHeight="false" outlineLevel="0" collapsed="false">
      <c r="A4827" s="9" t="s">
        <v>10670</v>
      </c>
      <c r="B4827" s="9" t="s">
        <v>5870</v>
      </c>
      <c r="C4827" s="9" t="s">
        <v>5103</v>
      </c>
      <c r="D4827" s="9" t="s">
        <v>5871</v>
      </c>
      <c r="E4827" s="9" t="str">
        <f aca="false">IF(AND('Formation Ledger'!A4806&lt;&gt;"",'Formation Ledger'!V4806=0),"PASS","FAIL")</f>
        <v>PASS</v>
      </c>
      <c r="F4827" s="9" t="s">
        <v>76</v>
      </c>
      <c r="G4827" s="6"/>
      <c r="H4827" s="6"/>
      <c r="I4827" s="6"/>
      <c r="J4827" s="6"/>
      <c r="K4827" s="6"/>
      <c r="L4827" s="6"/>
      <c r="M4827" s="6"/>
      <c r="N4827" s="6"/>
      <c r="O4827" s="6"/>
      <c r="P4827" s="6"/>
      <c r="Q4827" s="6"/>
      <c r="R4827" s="6"/>
      <c r="S4827" s="6"/>
      <c r="T4827" s="6"/>
      <c r="U4827" s="6"/>
      <c r="V4827" s="6"/>
      <c r="W4827" s="6"/>
      <c r="X4827" s="6"/>
      <c r="Y4827" s="6"/>
      <c r="Z4827" s="6"/>
    </row>
    <row r="4828" customFormat="false" ht="15" hidden="false" customHeight="false" outlineLevel="0" collapsed="false">
      <c r="A4828" s="9" t="s">
        <v>10671</v>
      </c>
      <c r="B4828" s="9" t="s">
        <v>5870</v>
      </c>
      <c r="C4828" s="9" t="s">
        <v>5104</v>
      </c>
      <c r="D4828" s="9" t="s">
        <v>5871</v>
      </c>
      <c r="E4828" s="9" t="str">
        <f aca="false">IF(AND('Formation Ledger'!A4807&lt;&gt;"",'Formation Ledger'!V4807=0),"PASS","FAIL")</f>
        <v>PASS</v>
      </c>
      <c r="F4828" s="9" t="s">
        <v>76</v>
      </c>
      <c r="G4828" s="6"/>
      <c r="H4828" s="6"/>
      <c r="I4828" s="6"/>
      <c r="J4828" s="6"/>
      <c r="K4828" s="6"/>
      <c r="L4828" s="6"/>
      <c r="M4828" s="6"/>
      <c r="N4828" s="6"/>
      <c r="O4828" s="6"/>
      <c r="P4828" s="6"/>
      <c r="Q4828" s="6"/>
      <c r="R4828" s="6"/>
      <c r="S4828" s="6"/>
      <c r="T4828" s="6"/>
      <c r="U4828" s="6"/>
      <c r="V4828" s="6"/>
      <c r="W4828" s="6"/>
      <c r="X4828" s="6"/>
      <c r="Y4828" s="6"/>
      <c r="Z4828" s="6"/>
    </row>
    <row r="4829" customFormat="false" ht="15" hidden="false" customHeight="false" outlineLevel="0" collapsed="false">
      <c r="A4829" s="9" t="s">
        <v>10672</v>
      </c>
      <c r="B4829" s="9" t="s">
        <v>5870</v>
      </c>
      <c r="C4829" s="9" t="s">
        <v>5105</v>
      </c>
      <c r="D4829" s="9" t="s">
        <v>5871</v>
      </c>
      <c r="E4829" s="9" t="str">
        <f aca="false">IF(AND('Formation Ledger'!A4808&lt;&gt;"",'Formation Ledger'!V4808=0),"PASS","FAIL")</f>
        <v>PASS</v>
      </c>
      <c r="F4829" s="9" t="s">
        <v>76</v>
      </c>
      <c r="G4829" s="6"/>
      <c r="H4829" s="6"/>
      <c r="I4829" s="6"/>
      <c r="J4829" s="6"/>
      <c r="K4829" s="6"/>
      <c r="L4829" s="6"/>
      <c r="M4829" s="6"/>
      <c r="N4829" s="6"/>
      <c r="O4829" s="6"/>
      <c r="P4829" s="6"/>
      <c r="Q4829" s="6"/>
      <c r="R4829" s="6"/>
      <c r="S4829" s="6"/>
      <c r="T4829" s="6"/>
      <c r="U4829" s="6"/>
      <c r="V4829" s="6"/>
      <c r="W4829" s="6"/>
      <c r="X4829" s="6"/>
      <c r="Y4829" s="6"/>
      <c r="Z4829" s="6"/>
    </row>
    <row r="4830" customFormat="false" ht="15" hidden="false" customHeight="false" outlineLevel="0" collapsed="false">
      <c r="A4830" s="9" t="s">
        <v>10673</v>
      </c>
      <c r="B4830" s="9" t="s">
        <v>5870</v>
      </c>
      <c r="C4830" s="9" t="s">
        <v>5106</v>
      </c>
      <c r="D4830" s="9" t="s">
        <v>5871</v>
      </c>
      <c r="E4830" s="9" t="str">
        <f aca="false">IF(AND('Formation Ledger'!A4809&lt;&gt;"",'Formation Ledger'!V4809=0),"PASS","FAIL")</f>
        <v>PASS</v>
      </c>
      <c r="F4830" s="9" t="s">
        <v>76</v>
      </c>
      <c r="G4830" s="6"/>
      <c r="H4830" s="6"/>
      <c r="I4830" s="6"/>
      <c r="J4830" s="6"/>
      <c r="K4830" s="6"/>
      <c r="L4830" s="6"/>
      <c r="M4830" s="6"/>
      <c r="N4830" s="6"/>
      <c r="O4830" s="6"/>
      <c r="P4830" s="6"/>
      <c r="Q4830" s="6"/>
      <c r="R4830" s="6"/>
      <c r="S4830" s="6"/>
      <c r="T4830" s="6"/>
      <c r="U4830" s="6"/>
      <c r="V4830" s="6"/>
      <c r="W4830" s="6"/>
      <c r="X4830" s="6"/>
      <c r="Y4830" s="6"/>
      <c r="Z4830" s="6"/>
    </row>
    <row r="4831" customFormat="false" ht="15" hidden="false" customHeight="false" outlineLevel="0" collapsed="false">
      <c r="A4831" s="9" t="s">
        <v>10674</v>
      </c>
      <c r="B4831" s="9" t="s">
        <v>5870</v>
      </c>
      <c r="C4831" s="9" t="s">
        <v>5107</v>
      </c>
      <c r="D4831" s="9" t="s">
        <v>5871</v>
      </c>
      <c r="E4831" s="9" t="str">
        <f aca="false">IF(AND('Formation Ledger'!A4810&lt;&gt;"",'Formation Ledger'!V4810=0),"PASS","FAIL")</f>
        <v>PASS</v>
      </c>
      <c r="F4831" s="9" t="s">
        <v>76</v>
      </c>
      <c r="G4831" s="6"/>
      <c r="H4831" s="6"/>
      <c r="I4831" s="6"/>
      <c r="J4831" s="6"/>
      <c r="K4831" s="6"/>
      <c r="L4831" s="6"/>
      <c r="M4831" s="6"/>
      <c r="N4831" s="6"/>
      <c r="O4831" s="6"/>
      <c r="P4831" s="6"/>
      <c r="Q4831" s="6"/>
      <c r="R4831" s="6"/>
      <c r="S4831" s="6"/>
      <c r="T4831" s="6"/>
      <c r="U4831" s="6"/>
      <c r="V4831" s="6"/>
      <c r="W4831" s="6"/>
      <c r="X4831" s="6"/>
      <c r="Y4831" s="6"/>
      <c r="Z4831" s="6"/>
    </row>
    <row r="4832" customFormat="false" ht="15" hidden="false" customHeight="false" outlineLevel="0" collapsed="false">
      <c r="A4832" s="9" t="s">
        <v>10675</v>
      </c>
      <c r="B4832" s="9" t="s">
        <v>5870</v>
      </c>
      <c r="C4832" s="9" t="s">
        <v>5108</v>
      </c>
      <c r="D4832" s="9" t="s">
        <v>5871</v>
      </c>
      <c r="E4832" s="9" t="str">
        <f aca="false">IF(AND('Formation Ledger'!A4811&lt;&gt;"",'Formation Ledger'!V4811=0),"PASS","FAIL")</f>
        <v>PASS</v>
      </c>
      <c r="F4832" s="9" t="s">
        <v>76</v>
      </c>
      <c r="G4832" s="6"/>
      <c r="H4832" s="6"/>
      <c r="I4832" s="6"/>
      <c r="J4832" s="6"/>
      <c r="K4832" s="6"/>
      <c r="L4832" s="6"/>
      <c r="M4832" s="6"/>
      <c r="N4832" s="6"/>
      <c r="O4832" s="6"/>
      <c r="P4832" s="6"/>
      <c r="Q4832" s="6"/>
      <c r="R4832" s="6"/>
      <c r="S4832" s="6"/>
      <c r="T4832" s="6"/>
      <c r="U4832" s="6"/>
      <c r="V4832" s="6"/>
      <c r="W4832" s="6"/>
      <c r="X4832" s="6"/>
      <c r="Y4832" s="6"/>
      <c r="Z4832" s="6"/>
    </row>
    <row r="4833" customFormat="false" ht="15" hidden="false" customHeight="false" outlineLevel="0" collapsed="false">
      <c r="A4833" s="9" t="s">
        <v>10676</v>
      </c>
      <c r="B4833" s="9" t="s">
        <v>5870</v>
      </c>
      <c r="C4833" s="9" t="s">
        <v>5109</v>
      </c>
      <c r="D4833" s="9" t="s">
        <v>5871</v>
      </c>
      <c r="E4833" s="9" t="str">
        <f aca="false">IF(AND('Formation Ledger'!A4812&lt;&gt;"",'Formation Ledger'!V4812=0),"PASS","FAIL")</f>
        <v>PASS</v>
      </c>
      <c r="F4833" s="9" t="s">
        <v>76</v>
      </c>
      <c r="G4833" s="6"/>
      <c r="H4833" s="6"/>
      <c r="I4833" s="6"/>
      <c r="J4833" s="6"/>
      <c r="K4833" s="6"/>
      <c r="L4833" s="6"/>
      <c r="M4833" s="6"/>
      <c r="N4833" s="6"/>
      <c r="O4833" s="6"/>
      <c r="P4833" s="6"/>
      <c r="Q4833" s="6"/>
      <c r="R4833" s="6"/>
      <c r="S4833" s="6"/>
      <c r="T4833" s="6"/>
      <c r="U4833" s="6"/>
      <c r="V4833" s="6"/>
      <c r="W4833" s="6"/>
      <c r="X4833" s="6"/>
      <c r="Y4833" s="6"/>
      <c r="Z4833" s="6"/>
    </row>
    <row r="4834" customFormat="false" ht="15" hidden="false" customHeight="false" outlineLevel="0" collapsed="false">
      <c r="A4834" s="9" t="s">
        <v>10677</v>
      </c>
      <c r="B4834" s="9" t="s">
        <v>5870</v>
      </c>
      <c r="C4834" s="9" t="s">
        <v>5110</v>
      </c>
      <c r="D4834" s="9" t="s">
        <v>5871</v>
      </c>
      <c r="E4834" s="9" t="str">
        <f aca="false">IF(AND('Formation Ledger'!A4813&lt;&gt;"",'Formation Ledger'!V4813=0),"PASS","FAIL")</f>
        <v>PASS</v>
      </c>
      <c r="F4834" s="9" t="s">
        <v>76</v>
      </c>
      <c r="G4834" s="6"/>
      <c r="H4834" s="6"/>
      <c r="I4834" s="6"/>
      <c r="J4834" s="6"/>
      <c r="K4834" s="6"/>
      <c r="L4834" s="6"/>
      <c r="M4834" s="6"/>
      <c r="N4834" s="6"/>
      <c r="O4834" s="6"/>
      <c r="P4834" s="6"/>
      <c r="Q4834" s="6"/>
      <c r="R4834" s="6"/>
      <c r="S4834" s="6"/>
      <c r="T4834" s="6"/>
      <c r="U4834" s="6"/>
      <c r="V4834" s="6"/>
      <c r="W4834" s="6"/>
      <c r="X4834" s="6"/>
      <c r="Y4834" s="6"/>
      <c r="Z4834" s="6"/>
    </row>
    <row r="4835" customFormat="false" ht="15" hidden="false" customHeight="false" outlineLevel="0" collapsed="false">
      <c r="A4835" s="9" t="s">
        <v>10678</v>
      </c>
      <c r="B4835" s="9" t="s">
        <v>5870</v>
      </c>
      <c r="C4835" s="9" t="s">
        <v>5111</v>
      </c>
      <c r="D4835" s="9" t="s">
        <v>5871</v>
      </c>
      <c r="E4835" s="9" t="str">
        <f aca="false">IF(AND('Formation Ledger'!A4814&lt;&gt;"",'Formation Ledger'!V4814=0),"PASS","FAIL")</f>
        <v>PASS</v>
      </c>
      <c r="F4835" s="9" t="s">
        <v>76</v>
      </c>
      <c r="G4835" s="6"/>
      <c r="H4835" s="6"/>
      <c r="I4835" s="6"/>
      <c r="J4835" s="6"/>
      <c r="K4835" s="6"/>
      <c r="L4835" s="6"/>
      <c r="M4835" s="6"/>
      <c r="N4835" s="6"/>
      <c r="O4835" s="6"/>
      <c r="P4835" s="6"/>
      <c r="Q4835" s="6"/>
      <c r="R4835" s="6"/>
      <c r="S4835" s="6"/>
      <c r="T4835" s="6"/>
      <c r="U4835" s="6"/>
      <c r="V4835" s="6"/>
      <c r="W4835" s="6"/>
      <c r="X4835" s="6"/>
      <c r="Y4835" s="6"/>
      <c r="Z4835" s="6"/>
    </row>
    <row r="4836" customFormat="false" ht="15" hidden="false" customHeight="false" outlineLevel="0" collapsed="false">
      <c r="A4836" s="9" t="s">
        <v>10679</v>
      </c>
      <c r="B4836" s="9" t="s">
        <v>5870</v>
      </c>
      <c r="C4836" s="9" t="s">
        <v>5112</v>
      </c>
      <c r="D4836" s="9" t="s">
        <v>5871</v>
      </c>
      <c r="E4836" s="9" t="str">
        <f aca="false">IF(AND('Formation Ledger'!A4815&lt;&gt;"",'Formation Ledger'!V4815=0),"PASS","FAIL")</f>
        <v>PASS</v>
      </c>
      <c r="F4836" s="9" t="s">
        <v>76</v>
      </c>
      <c r="G4836" s="6"/>
      <c r="H4836" s="6"/>
      <c r="I4836" s="6"/>
      <c r="J4836" s="6"/>
      <c r="K4836" s="6"/>
      <c r="L4836" s="6"/>
      <c r="M4836" s="6"/>
      <c r="N4836" s="6"/>
      <c r="O4836" s="6"/>
      <c r="P4836" s="6"/>
      <c r="Q4836" s="6"/>
      <c r="R4836" s="6"/>
      <c r="S4836" s="6"/>
      <c r="T4836" s="6"/>
      <c r="U4836" s="6"/>
      <c r="V4836" s="6"/>
      <c r="W4836" s="6"/>
      <c r="X4836" s="6"/>
      <c r="Y4836" s="6"/>
      <c r="Z4836" s="6"/>
    </row>
    <row r="4837" customFormat="false" ht="15" hidden="false" customHeight="false" outlineLevel="0" collapsed="false">
      <c r="A4837" s="9" t="s">
        <v>10680</v>
      </c>
      <c r="B4837" s="9" t="s">
        <v>5870</v>
      </c>
      <c r="C4837" s="9" t="s">
        <v>5113</v>
      </c>
      <c r="D4837" s="9" t="s">
        <v>5871</v>
      </c>
      <c r="E4837" s="9" t="str">
        <f aca="false">IF(AND('Formation Ledger'!A4816&lt;&gt;"",'Formation Ledger'!V4816=0),"PASS","FAIL")</f>
        <v>PASS</v>
      </c>
      <c r="F4837" s="9" t="s">
        <v>76</v>
      </c>
      <c r="G4837" s="6"/>
      <c r="H4837" s="6"/>
      <c r="I4837" s="6"/>
      <c r="J4837" s="6"/>
      <c r="K4837" s="6"/>
      <c r="L4837" s="6"/>
      <c r="M4837" s="6"/>
      <c r="N4837" s="6"/>
      <c r="O4837" s="6"/>
      <c r="P4837" s="6"/>
      <c r="Q4837" s="6"/>
      <c r="R4837" s="6"/>
      <c r="S4837" s="6"/>
      <c r="T4837" s="6"/>
      <c r="U4837" s="6"/>
      <c r="V4837" s="6"/>
      <c r="W4837" s="6"/>
      <c r="X4837" s="6"/>
      <c r="Y4837" s="6"/>
      <c r="Z4837" s="6"/>
    </row>
    <row r="4838" customFormat="false" ht="15" hidden="false" customHeight="false" outlineLevel="0" collapsed="false">
      <c r="A4838" s="9" t="s">
        <v>10681</v>
      </c>
      <c r="B4838" s="9" t="s">
        <v>5870</v>
      </c>
      <c r="C4838" s="9" t="s">
        <v>5114</v>
      </c>
      <c r="D4838" s="9" t="s">
        <v>5871</v>
      </c>
      <c r="E4838" s="9" t="str">
        <f aca="false">IF(AND('Formation Ledger'!A4817&lt;&gt;"",'Formation Ledger'!V4817=0),"PASS","FAIL")</f>
        <v>PASS</v>
      </c>
      <c r="F4838" s="9" t="s">
        <v>76</v>
      </c>
      <c r="G4838" s="6"/>
      <c r="H4838" s="6"/>
      <c r="I4838" s="6"/>
      <c r="J4838" s="6"/>
      <c r="K4838" s="6"/>
      <c r="L4838" s="6"/>
      <c r="M4838" s="6"/>
      <c r="N4838" s="6"/>
      <c r="O4838" s="6"/>
      <c r="P4838" s="6"/>
      <c r="Q4838" s="6"/>
      <c r="R4838" s="6"/>
      <c r="S4838" s="6"/>
      <c r="T4838" s="6"/>
      <c r="U4838" s="6"/>
      <c r="V4838" s="6"/>
      <c r="W4838" s="6"/>
      <c r="X4838" s="6"/>
      <c r="Y4838" s="6"/>
      <c r="Z4838" s="6"/>
    </row>
    <row r="4839" customFormat="false" ht="15" hidden="false" customHeight="false" outlineLevel="0" collapsed="false">
      <c r="A4839" s="9" t="s">
        <v>10682</v>
      </c>
      <c r="B4839" s="9" t="s">
        <v>5870</v>
      </c>
      <c r="C4839" s="9" t="s">
        <v>5115</v>
      </c>
      <c r="D4839" s="9" t="s">
        <v>5871</v>
      </c>
      <c r="E4839" s="9" t="str">
        <f aca="false">IF(AND('Formation Ledger'!A4818&lt;&gt;"",'Formation Ledger'!V4818=0),"PASS","FAIL")</f>
        <v>PASS</v>
      </c>
      <c r="F4839" s="9" t="s">
        <v>76</v>
      </c>
      <c r="G4839" s="6"/>
      <c r="H4839" s="6"/>
      <c r="I4839" s="6"/>
      <c r="J4839" s="6"/>
      <c r="K4839" s="6"/>
      <c r="L4839" s="6"/>
      <c r="M4839" s="6"/>
      <c r="N4839" s="6"/>
      <c r="O4839" s="6"/>
      <c r="P4839" s="6"/>
      <c r="Q4839" s="6"/>
      <c r="R4839" s="6"/>
      <c r="S4839" s="6"/>
      <c r="T4839" s="6"/>
      <c r="U4839" s="6"/>
      <c r="V4839" s="6"/>
      <c r="W4839" s="6"/>
      <c r="X4839" s="6"/>
      <c r="Y4839" s="6"/>
      <c r="Z4839" s="6"/>
    </row>
    <row r="4840" customFormat="false" ht="15" hidden="false" customHeight="false" outlineLevel="0" collapsed="false">
      <c r="A4840" s="9" t="s">
        <v>10683</v>
      </c>
      <c r="B4840" s="9" t="s">
        <v>5870</v>
      </c>
      <c r="C4840" s="9" t="s">
        <v>5116</v>
      </c>
      <c r="D4840" s="9" t="s">
        <v>5871</v>
      </c>
      <c r="E4840" s="9" t="str">
        <f aca="false">IF(AND('Formation Ledger'!A4819&lt;&gt;"",'Formation Ledger'!V4819=0),"PASS","FAIL")</f>
        <v>PASS</v>
      </c>
      <c r="F4840" s="9" t="s">
        <v>76</v>
      </c>
      <c r="G4840" s="6"/>
      <c r="H4840" s="6"/>
      <c r="I4840" s="6"/>
      <c r="J4840" s="6"/>
      <c r="K4840" s="6"/>
      <c r="L4840" s="6"/>
      <c r="M4840" s="6"/>
      <c r="N4840" s="6"/>
      <c r="O4840" s="6"/>
      <c r="P4840" s="6"/>
      <c r="Q4840" s="6"/>
      <c r="R4840" s="6"/>
      <c r="S4840" s="6"/>
      <c r="T4840" s="6"/>
      <c r="U4840" s="6"/>
      <c r="V4840" s="6"/>
      <c r="W4840" s="6"/>
      <c r="X4840" s="6"/>
      <c r="Y4840" s="6"/>
      <c r="Z4840" s="6"/>
    </row>
    <row r="4841" customFormat="false" ht="15" hidden="false" customHeight="false" outlineLevel="0" collapsed="false">
      <c r="A4841" s="9" t="s">
        <v>10684</v>
      </c>
      <c r="B4841" s="9" t="s">
        <v>5870</v>
      </c>
      <c r="C4841" s="9" t="s">
        <v>5117</v>
      </c>
      <c r="D4841" s="9" t="s">
        <v>5871</v>
      </c>
      <c r="E4841" s="9" t="str">
        <f aca="false">IF(AND('Formation Ledger'!A4820&lt;&gt;"",'Formation Ledger'!V4820=0),"PASS","FAIL")</f>
        <v>PASS</v>
      </c>
      <c r="F4841" s="9" t="s">
        <v>76</v>
      </c>
      <c r="G4841" s="6"/>
      <c r="H4841" s="6"/>
      <c r="I4841" s="6"/>
      <c r="J4841" s="6"/>
      <c r="K4841" s="6"/>
      <c r="L4841" s="6"/>
      <c r="M4841" s="6"/>
      <c r="N4841" s="6"/>
      <c r="O4841" s="6"/>
      <c r="P4841" s="6"/>
      <c r="Q4841" s="6"/>
      <c r="R4841" s="6"/>
      <c r="S4841" s="6"/>
      <c r="T4841" s="6"/>
      <c r="U4841" s="6"/>
      <c r="V4841" s="6"/>
      <c r="W4841" s="6"/>
      <c r="X4841" s="6"/>
      <c r="Y4841" s="6"/>
      <c r="Z4841" s="6"/>
    </row>
    <row r="4842" customFormat="false" ht="15" hidden="false" customHeight="false" outlineLevel="0" collapsed="false">
      <c r="A4842" s="9" t="s">
        <v>10685</v>
      </c>
      <c r="B4842" s="9" t="s">
        <v>5870</v>
      </c>
      <c r="C4842" s="9" t="s">
        <v>5118</v>
      </c>
      <c r="D4842" s="9" t="s">
        <v>5871</v>
      </c>
      <c r="E4842" s="9" t="str">
        <f aca="false">IF(AND('Formation Ledger'!A4821&lt;&gt;"",'Formation Ledger'!V4821=0),"PASS","FAIL")</f>
        <v>PASS</v>
      </c>
      <c r="F4842" s="9" t="s">
        <v>76</v>
      </c>
      <c r="G4842" s="6"/>
      <c r="H4842" s="6"/>
      <c r="I4842" s="6"/>
      <c r="J4842" s="6"/>
      <c r="K4842" s="6"/>
      <c r="L4842" s="6"/>
      <c r="M4842" s="6"/>
      <c r="N4842" s="6"/>
      <c r="O4842" s="6"/>
      <c r="P4842" s="6"/>
      <c r="Q4842" s="6"/>
      <c r="R4842" s="6"/>
      <c r="S4842" s="6"/>
      <c r="T4842" s="6"/>
      <c r="U4842" s="6"/>
      <c r="V4842" s="6"/>
      <c r="W4842" s="6"/>
      <c r="X4842" s="6"/>
      <c r="Y4842" s="6"/>
      <c r="Z4842" s="6"/>
    </row>
    <row r="4843" customFormat="false" ht="15" hidden="false" customHeight="false" outlineLevel="0" collapsed="false">
      <c r="A4843" s="9" t="s">
        <v>10686</v>
      </c>
      <c r="B4843" s="9" t="s">
        <v>5870</v>
      </c>
      <c r="C4843" s="9" t="s">
        <v>5119</v>
      </c>
      <c r="D4843" s="9" t="s">
        <v>5871</v>
      </c>
      <c r="E4843" s="9" t="str">
        <f aca="false">IF(AND('Formation Ledger'!A4822&lt;&gt;"",'Formation Ledger'!V4822=0),"PASS","FAIL")</f>
        <v>PASS</v>
      </c>
      <c r="F4843" s="9" t="s">
        <v>76</v>
      </c>
      <c r="G4843" s="6"/>
      <c r="H4843" s="6"/>
      <c r="I4843" s="6"/>
      <c r="J4843" s="6"/>
      <c r="K4843" s="6"/>
      <c r="L4843" s="6"/>
      <c r="M4843" s="6"/>
      <c r="N4843" s="6"/>
      <c r="O4843" s="6"/>
      <c r="P4843" s="6"/>
      <c r="Q4843" s="6"/>
      <c r="R4843" s="6"/>
      <c r="S4843" s="6"/>
      <c r="T4843" s="6"/>
      <c r="U4843" s="6"/>
      <c r="V4843" s="6"/>
      <c r="W4843" s="6"/>
      <c r="X4843" s="6"/>
      <c r="Y4843" s="6"/>
      <c r="Z4843" s="6"/>
    </row>
    <row r="4844" customFormat="false" ht="15" hidden="false" customHeight="false" outlineLevel="0" collapsed="false">
      <c r="A4844" s="9" t="s">
        <v>10687</v>
      </c>
      <c r="B4844" s="9" t="s">
        <v>5870</v>
      </c>
      <c r="C4844" s="9" t="s">
        <v>5120</v>
      </c>
      <c r="D4844" s="9" t="s">
        <v>5871</v>
      </c>
      <c r="E4844" s="9" t="str">
        <f aca="false">IF(AND('Formation Ledger'!A4823&lt;&gt;"",'Formation Ledger'!V4823=0),"PASS","FAIL")</f>
        <v>PASS</v>
      </c>
      <c r="F4844" s="9" t="s">
        <v>76</v>
      </c>
      <c r="G4844" s="6"/>
      <c r="H4844" s="6"/>
      <c r="I4844" s="6"/>
      <c r="J4844" s="6"/>
      <c r="K4844" s="6"/>
      <c r="L4844" s="6"/>
      <c r="M4844" s="6"/>
      <c r="N4844" s="6"/>
      <c r="O4844" s="6"/>
      <c r="P4844" s="6"/>
      <c r="Q4844" s="6"/>
      <c r="R4844" s="6"/>
      <c r="S4844" s="6"/>
      <c r="T4844" s="6"/>
      <c r="U4844" s="6"/>
      <c r="V4844" s="6"/>
      <c r="W4844" s="6"/>
      <c r="X4844" s="6"/>
      <c r="Y4844" s="6"/>
      <c r="Z4844" s="6"/>
    </row>
    <row r="4845" customFormat="false" ht="15" hidden="false" customHeight="false" outlineLevel="0" collapsed="false">
      <c r="A4845" s="9" t="s">
        <v>10688</v>
      </c>
      <c r="B4845" s="9" t="s">
        <v>5870</v>
      </c>
      <c r="C4845" s="9" t="s">
        <v>5121</v>
      </c>
      <c r="D4845" s="9" t="s">
        <v>5871</v>
      </c>
      <c r="E4845" s="9" t="str">
        <f aca="false">IF(AND('Formation Ledger'!A4824&lt;&gt;"",'Formation Ledger'!V4824=0),"PASS","FAIL")</f>
        <v>PASS</v>
      </c>
      <c r="F4845" s="9" t="s">
        <v>76</v>
      </c>
      <c r="G4845" s="6"/>
      <c r="H4845" s="6"/>
      <c r="I4845" s="6"/>
      <c r="J4845" s="6"/>
      <c r="K4845" s="6"/>
      <c r="L4845" s="6"/>
      <c r="M4845" s="6"/>
      <c r="N4845" s="6"/>
      <c r="O4845" s="6"/>
      <c r="P4845" s="6"/>
      <c r="Q4845" s="6"/>
      <c r="R4845" s="6"/>
      <c r="S4845" s="6"/>
      <c r="T4845" s="6"/>
      <c r="U4845" s="6"/>
      <c r="V4845" s="6"/>
      <c r="W4845" s="6"/>
      <c r="X4845" s="6"/>
      <c r="Y4845" s="6"/>
      <c r="Z4845" s="6"/>
    </row>
    <row r="4846" customFormat="false" ht="15" hidden="false" customHeight="false" outlineLevel="0" collapsed="false">
      <c r="A4846" s="9" t="s">
        <v>10689</v>
      </c>
      <c r="B4846" s="9" t="s">
        <v>5870</v>
      </c>
      <c r="C4846" s="9" t="s">
        <v>5122</v>
      </c>
      <c r="D4846" s="9" t="s">
        <v>5871</v>
      </c>
      <c r="E4846" s="9" t="str">
        <f aca="false">IF(AND('Formation Ledger'!A4825&lt;&gt;"",'Formation Ledger'!V4825=0),"PASS","FAIL")</f>
        <v>PASS</v>
      </c>
      <c r="F4846" s="9" t="s">
        <v>76</v>
      </c>
      <c r="G4846" s="6"/>
      <c r="H4846" s="6"/>
      <c r="I4846" s="6"/>
      <c r="J4846" s="6"/>
      <c r="K4846" s="6"/>
      <c r="L4846" s="6"/>
      <c r="M4846" s="6"/>
      <c r="N4846" s="6"/>
      <c r="O4846" s="6"/>
      <c r="P4846" s="6"/>
      <c r="Q4846" s="6"/>
      <c r="R4846" s="6"/>
      <c r="S4846" s="6"/>
      <c r="T4846" s="6"/>
      <c r="U4846" s="6"/>
      <c r="V4846" s="6"/>
      <c r="W4846" s="6"/>
      <c r="X4846" s="6"/>
      <c r="Y4846" s="6"/>
      <c r="Z4846" s="6"/>
    </row>
    <row r="4847" customFormat="false" ht="15" hidden="false" customHeight="false" outlineLevel="0" collapsed="false">
      <c r="A4847" s="9" t="s">
        <v>10690</v>
      </c>
      <c r="B4847" s="9" t="s">
        <v>5870</v>
      </c>
      <c r="C4847" s="9" t="s">
        <v>5123</v>
      </c>
      <c r="D4847" s="9" t="s">
        <v>5871</v>
      </c>
      <c r="E4847" s="9" t="str">
        <f aca="false">IF(AND('Formation Ledger'!A4826&lt;&gt;"",'Formation Ledger'!V4826=0),"PASS","FAIL")</f>
        <v>PASS</v>
      </c>
      <c r="F4847" s="9" t="s">
        <v>76</v>
      </c>
      <c r="G4847" s="6"/>
      <c r="H4847" s="6"/>
      <c r="I4847" s="6"/>
      <c r="J4847" s="6"/>
      <c r="K4847" s="6"/>
      <c r="L4847" s="6"/>
      <c r="M4847" s="6"/>
      <c r="N4847" s="6"/>
      <c r="O4847" s="6"/>
      <c r="P4847" s="6"/>
      <c r="Q4847" s="6"/>
      <c r="R4847" s="6"/>
      <c r="S4847" s="6"/>
      <c r="T4847" s="6"/>
      <c r="U4847" s="6"/>
      <c r="V4847" s="6"/>
      <c r="W4847" s="6"/>
      <c r="X4847" s="6"/>
      <c r="Y4847" s="6"/>
      <c r="Z4847" s="6"/>
    </row>
    <row r="4848" customFormat="false" ht="15" hidden="false" customHeight="false" outlineLevel="0" collapsed="false">
      <c r="A4848" s="9" t="s">
        <v>10691</v>
      </c>
      <c r="B4848" s="9" t="s">
        <v>5870</v>
      </c>
      <c r="C4848" s="9" t="s">
        <v>5124</v>
      </c>
      <c r="D4848" s="9" t="s">
        <v>5871</v>
      </c>
      <c r="E4848" s="9" t="str">
        <f aca="false">IF(AND('Formation Ledger'!A4827&lt;&gt;"",'Formation Ledger'!V4827=0),"PASS","FAIL")</f>
        <v>PASS</v>
      </c>
      <c r="F4848" s="9" t="s">
        <v>76</v>
      </c>
      <c r="G4848" s="6"/>
      <c r="H4848" s="6"/>
      <c r="I4848" s="6"/>
      <c r="J4848" s="6"/>
      <c r="K4848" s="6"/>
      <c r="L4848" s="6"/>
      <c r="M4848" s="6"/>
      <c r="N4848" s="6"/>
      <c r="O4848" s="6"/>
      <c r="P4848" s="6"/>
      <c r="Q4848" s="6"/>
      <c r="R4848" s="6"/>
      <c r="S4848" s="6"/>
      <c r="T4848" s="6"/>
      <c r="U4848" s="6"/>
      <c r="V4848" s="6"/>
      <c r="W4848" s="6"/>
      <c r="X4848" s="6"/>
      <c r="Y4848" s="6"/>
      <c r="Z4848" s="6"/>
    </row>
    <row r="4849" customFormat="false" ht="15" hidden="false" customHeight="false" outlineLevel="0" collapsed="false">
      <c r="A4849" s="9" t="s">
        <v>10692</v>
      </c>
      <c r="B4849" s="9" t="s">
        <v>5870</v>
      </c>
      <c r="C4849" s="9" t="s">
        <v>5125</v>
      </c>
      <c r="D4849" s="9" t="s">
        <v>5871</v>
      </c>
      <c r="E4849" s="9" t="str">
        <f aca="false">IF(AND('Formation Ledger'!A4828&lt;&gt;"",'Formation Ledger'!V4828=0),"PASS","FAIL")</f>
        <v>PASS</v>
      </c>
      <c r="F4849" s="9" t="s">
        <v>76</v>
      </c>
      <c r="G4849" s="6"/>
      <c r="H4849" s="6"/>
      <c r="I4849" s="6"/>
      <c r="J4849" s="6"/>
      <c r="K4849" s="6"/>
      <c r="L4849" s="6"/>
      <c r="M4849" s="6"/>
      <c r="N4849" s="6"/>
      <c r="O4849" s="6"/>
      <c r="P4849" s="6"/>
      <c r="Q4849" s="6"/>
      <c r="R4849" s="6"/>
      <c r="S4849" s="6"/>
      <c r="T4849" s="6"/>
      <c r="U4849" s="6"/>
      <c r="V4849" s="6"/>
      <c r="W4849" s="6"/>
      <c r="X4849" s="6"/>
      <c r="Y4849" s="6"/>
      <c r="Z4849" s="6"/>
    </row>
    <row r="4850" customFormat="false" ht="15" hidden="false" customHeight="false" outlineLevel="0" collapsed="false">
      <c r="A4850" s="9" t="s">
        <v>10693</v>
      </c>
      <c r="B4850" s="9" t="s">
        <v>5870</v>
      </c>
      <c r="C4850" s="9" t="s">
        <v>5126</v>
      </c>
      <c r="D4850" s="9" t="s">
        <v>5871</v>
      </c>
      <c r="E4850" s="9" t="str">
        <f aca="false">IF(AND('Formation Ledger'!A4829&lt;&gt;"",'Formation Ledger'!V4829=0),"PASS","FAIL")</f>
        <v>PASS</v>
      </c>
      <c r="F4850" s="9" t="s">
        <v>76</v>
      </c>
      <c r="G4850" s="6"/>
      <c r="H4850" s="6"/>
      <c r="I4850" s="6"/>
      <c r="J4850" s="6"/>
      <c r="K4850" s="6"/>
      <c r="L4850" s="6"/>
      <c r="M4850" s="6"/>
      <c r="N4850" s="6"/>
      <c r="O4850" s="6"/>
      <c r="P4850" s="6"/>
      <c r="Q4850" s="6"/>
      <c r="R4850" s="6"/>
      <c r="S4850" s="6"/>
      <c r="T4850" s="6"/>
      <c r="U4850" s="6"/>
      <c r="V4850" s="6"/>
      <c r="W4850" s="6"/>
      <c r="X4850" s="6"/>
      <c r="Y4850" s="6"/>
      <c r="Z4850" s="6"/>
    </row>
    <row r="4851" customFormat="false" ht="15" hidden="false" customHeight="false" outlineLevel="0" collapsed="false">
      <c r="A4851" s="9" t="s">
        <v>10694</v>
      </c>
      <c r="B4851" s="9" t="s">
        <v>5870</v>
      </c>
      <c r="C4851" s="9" t="s">
        <v>5127</v>
      </c>
      <c r="D4851" s="9" t="s">
        <v>5871</v>
      </c>
      <c r="E4851" s="9" t="str">
        <f aca="false">IF(AND('Formation Ledger'!A4830&lt;&gt;"",'Formation Ledger'!V4830=0),"PASS","FAIL")</f>
        <v>PASS</v>
      </c>
      <c r="F4851" s="9" t="s">
        <v>76</v>
      </c>
      <c r="G4851" s="6"/>
      <c r="H4851" s="6"/>
      <c r="I4851" s="6"/>
      <c r="J4851" s="6"/>
      <c r="K4851" s="6"/>
      <c r="L4851" s="6"/>
      <c r="M4851" s="6"/>
      <c r="N4851" s="6"/>
      <c r="O4851" s="6"/>
      <c r="P4851" s="6"/>
      <c r="Q4851" s="6"/>
      <c r="R4851" s="6"/>
      <c r="S4851" s="6"/>
      <c r="T4851" s="6"/>
      <c r="U4851" s="6"/>
      <c r="V4851" s="6"/>
      <c r="W4851" s="6"/>
      <c r="X4851" s="6"/>
      <c r="Y4851" s="6"/>
      <c r="Z4851" s="6"/>
    </row>
    <row r="4852" customFormat="false" ht="15" hidden="false" customHeight="false" outlineLevel="0" collapsed="false">
      <c r="A4852" s="9" t="s">
        <v>10695</v>
      </c>
      <c r="B4852" s="9" t="s">
        <v>5870</v>
      </c>
      <c r="C4852" s="9" t="s">
        <v>5128</v>
      </c>
      <c r="D4852" s="9" t="s">
        <v>5871</v>
      </c>
      <c r="E4852" s="9" t="str">
        <f aca="false">IF(AND('Formation Ledger'!A4831&lt;&gt;"",'Formation Ledger'!V4831=0),"PASS","FAIL")</f>
        <v>PASS</v>
      </c>
      <c r="F4852" s="9" t="s">
        <v>76</v>
      </c>
      <c r="G4852" s="6"/>
      <c r="H4852" s="6"/>
      <c r="I4852" s="6"/>
      <c r="J4852" s="6"/>
      <c r="K4852" s="6"/>
      <c r="L4852" s="6"/>
      <c r="M4852" s="6"/>
      <c r="N4852" s="6"/>
      <c r="O4852" s="6"/>
      <c r="P4852" s="6"/>
      <c r="Q4852" s="6"/>
      <c r="R4852" s="6"/>
      <c r="S4852" s="6"/>
      <c r="T4852" s="6"/>
      <c r="U4852" s="6"/>
      <c r="V4852" s="6"/>
      <c r="W4852" s="6"/>
      <c r="X4852" s="6"/>
      <c r="Y4852" s="6"/>
      <c r="Z4852" s="6"/>
    </row>
    <row r="4853" customFormat="false" ht="15" hidden="false" customHeight="false" outlineLevel="0" collapsed="false">
      <c r="A4853" s="9" t="s">
        <v>10696</v>
      </c>
      <c r="B4853" s="9" t="s">
        <v>5870</v>
      </c>
      <c r="C4853" s="9" t="s">
        <v>5129</v>
      </c>
      <c r="D4853" s="9" t="s">
        <v>5871</v>
      </c>
      <c r="E4853" s="9" t="str">
        <f aca="false">IF(AND('Formation Ledger'!A4832&lt;&gt;"",'Formation Ledger'!V4832=0),"PASS","FAIL")</f>
        <v>PASS</v>
      </c>
      <c r="F4853" s="9" t="s">
        <v>76</v>
      </c>
      <c r="G4853" s="6"/>
      <c r="H4853" s="6"/>
      <c r="I4853" s="6"/>
      <c r="J4853" s="6"/>
      <c r="K4853" s="6"/>
      <c r="L4853" s="6"/>
      <c r="M4853" s="6"/>
      <c r="N4853" s="6"/>
      <c r="O4853" s="6"/>
      <c r="P4853" s="6"/>
      <c r="Q4853" s="6"/>
      <c r="R4853" s="6"/>
      <c r="S4853" s="6"/>
      <c r="T4853" s="6"/>
      <c r="U4853" s="6"/>
      <c r="V4853" s="6"/>
      <c r="W4853" s="6"/>
      <c r="X4853" s="6"/>
      <c r="Y4853" s="6"/>
      <c r="Z4853" s="6"/>
    </row>
    <row r="4854" customFormat="false" ht="15" hidden="false" customHeight="false" outlineLevel="0" collapsed="false">
      <c r="A4854" s="9" t="s">
        <v>10697</v>
      </c>
      <c r="B4854" s="9" t="s">
        <v>5870</v>
      </c>
      <c r="C4854" s="9" t="s">
        <v>5130</v>
      </c>
      <c r="D4854" s="9" t="s">
        <v>5871</v>
      </c>
      <c r="E4854" s="9" t="str">
        <f aca="false">IF(AND('Formation Ledger'!A4833&lt;&gt;"",'Formation Ledger'!V4833=0),"PASS","FAIL")</f>
        <v>PASS</v>
      </c>
      <c r="F4854" s="9" t="s">
        <v>76</v>
      </c>
      <c r="G4854" s="6"/>
      <c r="H4854" s="6"/>
      <c r="I4854" s="6"/>
      <c r="J4854" s="6"/>
      <c r="K4854" s="6"/>
      <c r="L4854" s="6"/>
      <c r="M4854" s="6"/>
      <c r="N4854" s="6"/>
      <c r="O4854" s="6"/>
      <c r="P4854" s="6"/>
      <c r="Q4854" s="6"/>
      <c r="R4854" s="6"/>
      <c r="S4854" s="6"/>
      <c r="T4854" s="6"/>
      <c r="U4854" s="6"/>
      <c r="V4854" s="6"/>
      <c r="W4854" s="6"/>
      <c r="X4854" s="6"/>
      <c r="Y4854" s="6"/>
      <c r="Z4854" s="6"/>
    </row>
    <row r="4855" customFormat="false" ht="15" hidden="false" customHeight="false" outlineLevel="0" collapsed="false">
      <c r="A4855" s="9" t="s">
        <v>10698</v>
      </c>
      <c r="B4855" s="9" t="s">
        <v>5870</v>
      </c>
      <c r="C4855" s="9" t="s">
        <v>5131</v>
      </c>
      <c r="D4855" s="9" t="s">
        <v>5871</v>
      </c>
      <c r="E4855" s="9" t="str">
        <f aca="false">IF(AND('Formation Ledger'!A4834&lt;&gt;"",'Formation Ledger'!V4834=0),"PASS","FAIL")</f>
        <v>PASS</v>
      </c>
      <c r="F4855" s="9" t="s">
        <v>76</v>
      </c>
      <c r="G4855" s="6"/>
      <c r="H4855" s="6"/>
      <c r="I4855" s="6"/>
      <c r="J4855" s="6"/>
      <c r="K4855" s="6"/>
      <c r="L4855" s="6"/>
      <c r="M4855" s="6"/>
      <c r="N4855" s="6"/>
      <c r="O4855" s="6"/>
      <c r="P4855" s="6"/>
      <c r="Q4855" s="6"/>
      <c r="R4855" s="6"/>
      <c r="S4855" s="6"/>
      <c r="T4855" s="6"/>
      <c r="U4855" s="6"/>
      <c r="V4855" s="6"/>
      <c r="W4855" s="6"/>
      <c r="X4855" s="6"/>
      <c r="Y4855" s="6"/>
      <c r="Z4855" s="6"/>
    </row>
    <row r="4856" customFormat="false" ht="15" hidden="false" customHeight="false" outlineLevel="0" collapsed="false">
      <c r="A4856" s="9" t="s">
        <v>10699</v>
      </c>
      <c r="B4856" s="9" t="s">
        <v>5870</v>
      </c>
      <c r="C4856" s="9" t="s">
        <v>5132</v>
      </c>
      <c r="D4856" s="9" t="s">
        <v>5871</v>
      </c>
      <c r="E4856" s="9" t="str">
        <f aca="false">IF(AND('Formation Ledger'!A4835&lt;&gt;"",'Formation Ledger'!V4835=0),"PASS","FAIL")</f>
        <v>PASS</v>
      </c>
      <c r="F4856" s="9" t="s">
        <v>76</v>
      </c>
      <c r="G4856" s="6"/>
      <c r="H4856" s="6"/>
      <c r="I4856" s="6"/>
      <c r="J4856" s="6"/>
      <c r="K4856" s="6"/>
      <c r="L4856" s="6"/>
      <c r="M4856" s="6"/>
      <c r="N4856" s="6"/>
      <c r="O4856" s="6"/>
      <c r="P4856" s="6"/>
      <c r="Q4856" s="6"/>
      <c r="R4856" s="6"/>
      <c r="S4856" s="6"/>
      <c r="T4856" s="6"/>
      <c r="U4856" s="6"/>
      <c r="V4856" s="6"/>
      <c r="W4856" s="6"/>
      <c r="X4856" s="6"/>
      <c r="Y4856" s="6"/>
      <c r="Z4856" s="6"/>
    </row>
    <row r="4857" customFormat="false" ht="15" hidden="false" customHeight="false" outlineLevel="0" collapsed="false">
      <c r="A4857" s="9" t="s">
        <v>10700</v>
      </c>
      <c r="B4857" s="9" t="s">
        <v>5870</v>
      </c>
      <c r="C4857" s="9" t="s">
        <v>5133</v>
      </c>
      <c r="D4857" s="9" t="s">
        <v>5871</v>
      </c>
      <c r="E4857" s="9" t="str">
        <f aca="false">IF(AND('Formation Ledger'!A4836&lt;&gt;"",'Formation Ledger'!V4836=0),"PASS","FAIL")</f>
        <v>PASS</v>
      </c>
      <c r="F4857" s="9" t="s">
        <v>76</v>
      </c>
      <c r="G4857" s="6"/>
      <c r="H4857" s="6"/>
      <c r="I4857" s="6"/>
      <c r="J4857" s="6"/>
      <c r="K4857" s="6"/>
      <c r="L4857" s="6"/>
      <c r="M4857" s="6"/>
      <c r="N4857" s="6"/>
      <c r="O4857" s="6"/>
      <c r="P4857" s="6"/>
      <c r="Q4857" s="6"/>
      <c r="R4857" s="6"/>
      <c r="S4857" s="6"/>
      <c r="T4857" s="6"/>
      <c r="U4857" s="6"/>
      <c r="V4857" s="6"/>
      <c r="W4857" s="6"/>
      <c r="X4857" s="6"/>
      <c r="Y4857" s="6"/>
      <c r="Z4857" s="6"/>
    </row>
    <row r="4858" customFormat="false" ht="15" hidden="false" customHeight="false" outlineLevel="0" collapsed="false">
      <c r="A4858" s="9" t="s">
        <v>10701</v>
      </c>
      <c r="B4858" s="9" t="s">
        <v>5870</v>
      </c>
      <c r="C4858" s="9" t="s">
        <v>5134</v>
      </c>
      <c r="D4858" s="9" t="s">
        <v>5871</v>
      </c>
      <c r="E4858" s="9" t="str">
        <f aca="false">IF(AND('Formation Ledger'!A4837&lt;&gt;"",'Formation Ledger'!V4837=0),"PASS","FAIL")</f>
        <v>PASS</v>
      </c>
      <c r="F4858" s="9" t="s">
        <v>76</v>
      </c>
      <c r="G4858" s="6"/>
      <c r="H4858" s="6"/>
      <c r="I4858" s="6"/>
      <c r="J4858" s="6"/>
      <c r="K4858" s="6"/>
      <c r="L4858" s="6"/>
      <c r="M4858" s="6"/>
      <c r="N4858" s="6"/>
      <c r="O4858" s="6"/>
      <c r="P4858" s="6"/>
      <c r="Q4858" s="6"/>
      <c r="R4858" s="6"/>
      <c r="S4858" s="6"/>
      <c r="T4858" s="6"/>
      <c r="U4858" s="6"/>
      <c r="V4858" s="6"/>
      <c r="W4858" s="6"/>
      <c r="X4858" s="6"/>
      <c r="Y4858" s="6"/>
      <c r="Z4858" s="6"/>
    </row>
    <row r="4859" customFormat="false" ht="15" hidden="false" customHeight="false" outlineLevel="0" collapsed="false">
      <c r="A4859" s="9" t="s">
        <v>10702</v>
      </c>
      <c r="B4859" s="9" t="s">
        <v>5870</v>
      </c>
      <c r="C4859" s="9" t="s">
        <v>5135</v>
      </c>
      <c r="D4859" s="9" t="s">
        <v>5871</v>
      </c>
      <c r="E4859" s="9" t="str">
        <f aca="false">IF(AND('Formation Ledger'!A4838&lt;&gt;"",'Formation Ledger'!V4838=0),"PASS","FAIL")</f>
        <v>PASS</v>
      </c>
      <c r="F4859" s="9" t="s">
        <v>76</v>
      </c>
      <c r="G4859" s="6"/>
      <c r="H4859" s="6"/>
      <c r="I4859" s="6"/>
      <c r="J4859" s="6"/>
      <c r="K4859" s="6"/>
      <c r="L4859" s="6"/>
      <c r="M4859" s="6"/>
      <c r="N4859" s="6"/>
      <c r="O4859" s="6"/>
      <c r="P4859" s="6"/>
      <c r="Q4859" s="6"/>
      <c r="R4859" s="6"/>
      <c r="S4859" s="6"/>
      <c r="T4859" s="6"/>
      <c r="U4859" s="6"/>
      <c r="V4859" s="6"/>
      <c r="W4859" s="6"/>
      <c r="X4859" s="6"/>
      <c r="Y4859" s="6"/>
      <c r="Z4859" s="6"/>
    </row>
    <row r="4860" customFormat="false" ht="15" hidden="false" customHeight="false" outlineLevel="0" collapsed="false">
      <c r="A4860" s="9" t="s">
        <v>10703</v>
      </c>
      <c r="B4860" s="9" t="s">
        <v>5870</v>
      </c>
      <c r="C4860" s="9" t="s">
        <v>5136</v>
      </c>
      <c r="D4860" s="9" t="s">
        <v>5871</v>
      </c>
      <c r="E4860" s="9" t="str">
        <f aca="false">IF(AND('Formation Ledger'!A4839&lt;&gt;"",'Formation Ledger'!V4839=0),"PASS","FAIL")</f>
        <v>PASS</v>
      </c>
      <c r="F4860" s="9" t="s">
        <v>76</v>
      </c>
      <c r="G4860" s="6"/>
      <c r="H4860" s="6"/>
      <c r="I4860" s="6"/>
      <c r="J4860" s="6"/>
      <c r="K4860" s="6"/>
      <c r="L4860" s="6"/>
      <c r="M4860" s="6"/>
      <c r="N4860" s="6"/>
      <c r="O4860" s="6"/>
      <c r="P4860" s="6"/>
      <c r="Q4860" s="6"/>
      <c r="R4860" s="6"/>
      <c r="S4860" s="6"/>
      <c r="T4860" s="6"/>
      <c r="U4860" s="6"/>
      <c r="V4860" s="6"/>
      <c r="W4860" s="6"/>
      <c r="X4860" s="6"/>
      <c r="Y4860" s="6"/>
      <c r="Z4860" s="6"/>
    </row>
    <row r="4861" customFormat="false" ht="15" hidden="false" customHeight="false" outlineLevel="0" collapsed="false">
      <c r="A4861" s="9" t="s">
        <v>10704</v>
      </c>
      <c r="B4861" s="9" t="s">
        <v>5870</v>
      </c>
      <c r="C4861" s="9" t="s">
        <v>5137</v>
      </c>
      <c r="D4861" s="9" t="s">
        <v>5871</v>
      </c>
      <c r="E4861" s="9" t="str">
        <f aca="false">IF(AND('Formation Ledger'!A4840&lt;&gt;"",'Formation Ledger'!V4840=0),"PASS","FAIL")</f>
        <v>PASS</v>
      </c>
      <c r="F4861" s="9" t="s">
        <v>76</v>
      </c>
      <c r="G4861" s="6"/>
      <c r="H4861" s="6"/>
      <c r="I4861" s="6"/>
      <c r="J4861" s="6"/>
      <c r="K4861" s="6"/>
      <c r="L4861" s="6"/>
      <c r="M4861" s="6"/>
      <c r="N4861" s="6"/>
      <c r="O4861" s="6"/>
      <c r="P4861" s="6"/>
      <c r="Q4861" s="6"/>
      <c r="R4861" s="6"/>
      <c r="S4861" s="6"/>
      <c r="T4861" s="6"/>
      <c r="U4861" s="6"/>
      <c r="V4861" s="6"/>
      <c r="W4861" s="6"/>
      <c r="X4861" s="6"/>
      <c r="Y4861" s="6"/>
      <c r="Z4861" s="6"/>
    </row>
    <row r="4862" customFormat="false" ht="15" hidden="false" customHeight="false" outlineLevel="0" collapsed="false">
      <c r="A4862" s="9" t="s">
        <v>10705</v>
      </c>
      <c r="B4862" s="9" t="s">
        <v>5870</v>
      </c>
      <c r="C4862" s="9" t="s">
        <v>5138</v>
      </c>
      <c r="D4862" s="9" t="s">
        <v>5871</v>
      </c>
      <c r="E4862" s="9" t="str">
        <f aca="false">IF(AND('Formation Ledger'!A4841&lt;&gt;"",'Formation Ledger'!V4841=0),"PASS","FAIL")</f>
        <v>PASS</v>
      </c>
      <c r="F4862" s="9" t="s">
        <v>76</v>
      </c>
      <c r="G4862" s="6"/>
      <c r="H4862" s="6"/>
      <c r="I4862" s="6"/>
      <c r="J4862" s="6"/>
      <c r="K4862" s="6"/>
      <c r="L4862" s="6"/>
      <c r="M4862" s="6"/>
      <c r="N4862" s="6"/>
      <c r="O4862" s="6"/>
      <c r="P4862" s="6"/>
      <c r="Q4862" s="6"/>
      <c r="R4862" s="6"/>
      <c r="S4862" s="6"/>
      <c r="T4862" s="6"/>
      <c r="U4862" s="6"/>
      <c r="V4862" s="6"/>
      <c r="W4862" s="6"/>
      <c r="X4862" s="6"/>
      <c r="Y4862" s="6"/>
      <c r="Z4862" s="6"/>
    </row>
    <row r="4863" customFormat="false" ht="15" hidden="false" customHeight="false" outlineLevel="0" collapsed="false">
      <c r="A4863" s="9" t="s">
        <v>10706</v>
      </c>
      <c r="B4863" s="9" t="s">
        <v>5870</v>
      </c>
      <c r="C4863" s="9" t="s">
        <v>5139</v>
      </c>
      <c r="D4863" s="9" t="s">
        <v>5871</v>
      </c>
      <c r="E4863" s="9" t="str">
        <f aca="false">IF(AND('Formation Ledger'!A4842&lt;&gt;"",'Formation Ledger'!V4842=0),"PASS","FAIL")</f>
        <v>PASS</v>
      </c>
      <c r="F4863" s="9" t="s">
        <v>76</v>
      </c>
      <c r="G4863" s="6"/>
      <c r="H4863" s="6"/>
      <c r="I4863" s="6"/>
      <c r="J4863" s="6"/>
      <c r="K4863" s="6"/>
      <c r="L4863" s="6"/>
      <c r="M4863" s="6"/>
      <c r="N4863" s="6"/>
      <c r="O4863" s="6"/>
      <c r="P4863" s="6"/>
      <c r="Q4863" s="6"/>
      <c r="R4863" s="6"/>
      <c r="S4863" s="6"/>
      <c r="T4863" s="6"/>
      <c r="U4863" s="6"/>
      <c r="V4863" s="6"/>
      <c r="W4863" s="6"/>
      <c r="X4863" s="6"/>
      <c r="Y4863" s="6"/>
      <c r="Z4863" s="6"/>
    </row>
    <row r="4864" customFormat="false" ht="15" hidden="false" customHeight="false" outlineLevel="0" collapsed="false">
      <c r="A4864" s="9" t="s">
        <v>10707</v>
      </c>
      <c r="B4864" s="9" t="s">
        <v>5870</v>
      </c>
      <c r="C4864" s="9" t="s">
        <v>5140</v>
      </c>
      <c r="D4864" s="9" t="s">
        <v>5871</v>
      </c>
      <c r="E4864" s="9" t="str">
        <f aca="false">IF(AND('Formation Ledger'!A4843&lt;&gt;"",'Formation Ledger'!V4843=0),"PASS","FAIL")</f>
        <v>PASS</v>
      </c>
      <c r="F4864" s="9" t="s">
        <v>76</v>
      </c>
      <c r="G4864" s="6"/>
      <c r="H4864" s="6"/>
      <c r="I4864" s="6"/>
      <c r="J4864" s="6"/>
      <c r="K4864" s="6"/>
      <c r="L4864" s="6"/>
      <c r="M4864" s="6"/>
      <c r="N4864" s="6"/>
      <c r="O4864" s="6"/>
      <c r="P4864" s="6"/>
      <c r="Q4864" s="6"/>
      <c r="R4864" s="6"/>
      <c r="S4864" s="6"/>
      <c r="T4864" s="6"/>
      <c r="U4864" s="6"/>
      <c r="V4864" s="6"/>
      <c r="W4864" s="6"/>
      <c r="X4864" s="6"/>
      <c r="Y4864" s="6"/>
      <c r="Z4864" s="6"/>
    </row>
    <row r="4865" customFormat="false" ht="15" hidden="false" customHeight="false" outlineLevel="0" collapsed="false">
      <c r="A4865" s="9" t="s">
        <v>10708</v>
      </c>
      <c r="B4865" s="9" t="s">
        <v>5870</v>
      </c>
      <c r="C4865" s="9" t="s">
        <v>5141</v>
      </c>
      <c r="D4865" s="9" t="s">
        <v>5871</v>
      </c>
      <c r="E4865" s="9" t="str">
        <f aca="false">IF(AND('Formation Ledger'!A4844&lt;&gt;"",'Formation Ledger'!V4844=0),"PASS","FAIL")</f>
        <v>PASS</v>
      </c>
      <c r="F4865" s="9" t="s">
        <v>76</v>
      </c>
      <c r="G4865" s="6"/>
      <c r="H4865" s="6"/>
      <c r="I4865" s="6"/>
      <c r="J4865" s="6"/>
      <c r="K4865" s="6"/>
      <c r="L4865" s="6"/>
      <c r="M4865" s="6"/>
      <c r="N4865" s="6"/>
      <c r="O4865" s="6"/>
      <c r="P4865" s="6"/>
      <c r="Q4865" s="6"/>
      <c r="R4865" s="6"/>
      <c r="S4865" s="6"/>
      <c r="T4865" s="6"/>
      <c r="U4865" s="6"/>
      <c r="V4865" s="6"/>
      <c r="W4865" s="6"/>
      <c r="X4865" s="6"/>
      <c r="Y4865" s="6"/>
      <c r="Z4865" s="6"/>
    </row>
    <row r="4866" customFormat="false" ht="15" hidden="false" customHeight="false" outlineLevel="0" collapsed="false">
      <c r="A4866" s="9" t="s">
        <v>10709</v>
      </c>
      <c r="B4866" s="9" t="s">
        <v>5870</v>
      </c>
      <c r="C4866" s="9" t="s">
        <v>5142</v>
      </c>
      <c r="D4866" s="9" t="s">
        <v>5871</v>
      </c>
      <c r="E4866" s="9" t="str">
        <f aca="false">IF(AND('Formation Ledger'!A4845&lt;&gt;"",'Formation Ledger'!V4845=0),"PASS","FAIL")</f>
        <v>PASS</v>
      </c>
      <c r="F4866" s="9" t="s">
        <v>76</v>
      </c>
      <c r="G4866" s="6"/>
      <c r="H4866" s="6"/>
      <c r="I4866" s="6"/>
      <c r="J4866" s="6"/>
      <c r="K4866" s="6"/>
      <c r="L4866" s="6"/>
      <c r="M4866" s="6"/>
      <c r="N4866" s="6"/>
      <c r="O4866" s="6"/>
      <c r="P4866" s="6"/>
      <c r="Q4866" s="6"/>
      <c r="R4866" s="6"/>
      <c r="S4866" s="6"/>
      <c r="T4866" s="6"/>
      <c r="U4866" s="6"/>
      <c r="V4866" s="6"/>
      <c r="W4866" s="6"/>
      <c r="X4866" s="6"/>
      <c r="Y4866" s="6"/>
      <c r="Z4866" s="6"/>
    </row>
    <row r="4867" customFormat="false" ht="15" hidden="false" customHeight="false" outlineLevel="0" collapsed="false">
      <c r="A4867" s="9" t="s">
        <v>10710</v>
      </c>
      <c r="B4867" s="9" t="s">
        <v>5870</v>
      </c>
      <c r="C4867" s="9" t="s">
        <v>5143</v>
      </c>
      <c r="D4867" s="9" t="s">
        <v>5871</v>
      </c>
      <c r="E4867" s="9" t="str">
        <f aca="false">IF(AND('Formation Ledger'!A4846&lt;&gt;"",'Formation Ledger'!V4846=0),"PASS","FAIL")</f>
        <v>PASS</v>
      </c>
      <c r="F4867" s="9" t="s">
        <v>76</v>
      </c>
      <c r="G4867" s="6"/>
      <c r="H4867" s="6"/>
      <c r="I4867" s="6"/>
      <c r="J4867" s="6"/>
      <c r="K4867" s="6"/>
      <c r="L4867" s="6"/>
      <c r="M4867" s="6"/>
      <c r="N4867" s="6"/>
      <c r="O4867" s="6"/>
      <c r="P4867" s="6"/>
      <c r="Q4867" s="6"/>
      <c r="R4867" s="6"/>
      <c r="S4867" s="6"/>
      <c r="T4867" s="6"/>
      <c r="U4867" s="6"/>
      <c r="V4867" s="6"/>
      <c r="W4867" s="6"/>
      <c r="X4867" s="6"/>
      <c r="Y4867" s="6"/>
      <c r="Z4867" s="6"/>
    </row>
    <row r="4868" customFormat="false" ht="15" hidden="false" customHeight="false" outlineLevel="0" collapsed="false">
      <c r="A4868" s="9" t="s">
        <v>10711</v>
      </c>
      <c r="B4868" s="9" t="s">
        <v>5870</v>
      </c>
      <c r="C4868" s="9" t="s">
        <v>5144</v>
      </c>
      <c r="D4868" s="9" t="s">
        <v>5871</v>
      </c>
      <c r="E4868" s="9" t="str">
        <f aca="false">IF(AND('Formation Ledger'!A4847&lt;&gt;"",'Formation Ledger'!V4847=0),"PASS","FAIL")</f>
        <v>PASS</v>
      </c>
      <c r="F4868" s="9" t="s">
        <v>76</v>
      </c>
      <c r="G4868" s="6"/>
      <c r="H4868" s="6"/>
      <c r="I4868" s="6"/>
      <c r="J4868" s="6"/>
      <c r="K4868" s="6"/>
      <c r="L4868" s="6"/>
      <c r="M4868" s="6"/>
      <c r="N4868" s="6"/>
      <c r="O4868" s="6"/>
      <c r="P4868" s="6"/>
      <c r="Q4868" s="6"/>
      <c r="R4868" s="6"/>
      <c r="S4868" s="6"/>
      <c r="T4868" s="6"/>
      <c r="U4868" s="6"/>
      <c r="V4868" s="6"/>
      <c r="W4868" s="6"/>
      <c r="X4868" s="6"/>
      <c r="Y4868" s="6"/>
      <c r="Z4868" s="6"/>
    </row>
    <row r="4869" customFormat="false" ht="15" hidden="false" customHeight="false" outlineLevel="0" collapsed="false">
      <c r="A4869" s="9" t="s">
        <v>10712</v>
      </c>
      <c r="B4869" s="9" t="s">
        <v>5870</v>
      </c>
      <c r="C4869" s="9" t="s">
        <v>5145</v>
      </c>
      <c r="D4869" s="9" t="s">
        <v>5871</v>
      </c>
      <c r="E4869" s="9" t="str">
        <f aca="false">IF(AND('Formation Ledger'!A4848&lt;&gt;"",'Formation Ledger'!V4848=0),"PASS","FAIL")</f>
        <v>PASS</v>
      </c>
      <c r="F4869" s="9" t="s">
        <v>76</v>
      </c>
      <c r="G4869" s="6"/>
      <c r="H4869" s="6"/>
      <c r="I4869" s="6"/>
      <c r="J4869" s="6"/>
      <c r="K4869" s="6"/>
      <c r="L4869" s="6"/>
      <c r="M4869" s="6"/>
      <c r="N4869" s="6"/>
      <c r="O4869" s="6"/>
      <c r="P4869" s="6"/>
      <c r="Q4869" s="6"/>
      <c r="R4869" s="6"/>
      <c r="S4869" s="6"/>
      <c r="T4869" s="6"/>
      <c r="U4869" s="6"/>
      <c r="V4869" s="6"/>
      <c r="W4869" s="6"/>
      <c r="X4869" s="6"/>
      <c r="Y4869" s="6"/>
      <c r="Z4869" s="6"/>
    </row>
    <row r="4870" customFormat="false" ht="15" hidden="false" customHeight="false" outlineLevel="0" collapsed="false">
      <c r="A4870" s="9" t="s">
        <v>10713</v>
      </c>
      <c r="B4870" s="9" t="s">
        <v>5870</v>
      </c>
      <c r="C4870" s="9" t="s">
        <v>5146</v>
      </c>
      <c r="D4870" s="9" t="s">
        <v>5871</v>
      </c>
      <c r="E4870" s="9" t="str">
        <f aca="false">IF(AND('Formation Ledger'!A4849&lt;&gt;"",'Formation Ledger'!V4849=0),"PASS","FAIL")</f>
        <v>PASS</v>
      </c>
      <c r="F4870" s="9" t="s">
        <v>76</v>
      </c>
      <c r="G4870" s="6"/>
      <c r="H4870" s="6"/>
      <c r="I4870" s="6"/>
      <c r="J4870" s="6"/>
      <c r="K4870" s="6"/>
      <c r="L4870" s="6"/>
      <c r="M4870" s="6"/>
      <c r="N4870" s="6"/>
      <c r="O4870" s="6"/>
      <c r="P4870" s="6"/>
      <c r="Q4870" s="6"/>
      <c r="R4870" s="6"/>
      <c r="S4870" s="6"/>
      <c r="T4870" s="6"/>
      <c r="U4870" s="6"/>
      <c r="V4870" s="6"/>
      <c r="W4870" s="6"/>
      <c r="X4870" s="6"/>
      <c r="Y4870" s="6"/>
      <c r="Z4870" s="6"/>
    </row>
    <row r="4871" customFormat="false" ht="15" hidden="false" customHeight="false" outlineLevel="0" collapsed="false">
      <c r="A4871" s="9" t="s">
        <v>10714</v>
      </c>
      <c r="B4871" s="9" t="s">
        <v>5870</v>
      </c>
      <c r="C4871" s="9" t="s">
        <v>5147</v>
      </c>
      <c r="D4871" s="9" t="s">
        <v>5871</v>
      </c>
      <c r="E4871" s="9" t="str">
        <f aca="false">IF(AND('Formation Ledger'!A4850&lt;&gt;"",'Formation Ledger'!V4850=0),"PASS","FAIL")</f>
        <v>PASS</v>
      </c>
      <c r="F4871" s="9" t="s">
        <v>76</v>
      </c>
      <c r="G4871" s="6"/>
      <c r="H4871" s="6"/>
      <c r="I4871" s="6"/>
      <c r="J4871" s="6"/>
      <c r="K4871" s="6"/>
      <c r="L4871" s="6"/>
      <c r="M4871" s="6"/>
      <c r="N4871" s="6"/>
      <c r="O4871" s="6"/>
      <c r="P4871" s="6"/>
      <c r="Q4871" s="6"/>
      <c r="R4871" s="6"/>
      <c r="S4871" s="6"/>
      <c r="T4871" s="6"/>
      <c r="U4871" s="6"/>
      <c r="V4871" s="6"/>
      <c r="W4871" s="6"/>
      <c r="X4871" s="6"/>
      <c r="Y4871" s="6"/>
      <c r="Z4871" s="6"/>
    </row>
    <row r="4872" customFormat="false" ht="15" hidden="false" customHeight="false" outlineLevel="0" collapsed="false">
      <c r="A4872" s="9" t="s">
        <v>10715</v>
      </c>
      <c r="B4872" s="9" t="s">
        <v>5870</v>
      </c>
      <c r="C4872" s="9" t="s">
        <v>5148</v>
      </c>
      <c r="D4872" s="9" t="s">
        <v>5871</v>
      </c>
      <c r="E4872" s="9" t="str">
        <f aca="false">IF(AND('Formation Ledger'!A4851&lt;&gt;"",'Formation Ledger'!V4851=0),"PASS","FAIL")</f>
        <v>PASS</v>
      </c>
      <c r="F4872" s="9" t="s">
        <v>76</v>
      </c>
      <c r="G4872" s="6"/>
      <c r="H4872" s="6"/>
      <c r="I4872" s="6"/>
      <c r="J4872" s="6"/>
      <c r="K4872" s="6"/>
      <c r="L4872" s="6"/>
      <c r="M4872" s="6"/>
      <c r="N4872" s="6"/>
      <c r="O4872" s="6"/>
      <c r="P4872" s="6"/>
      <c r="Q4872" s="6"/>
      <c r="R4872" s="6"/>
      <c r="S4872" s="6"/>
      <c r="T4872" s="6"/>
      <c r="U4872" s="6"/>
      <c r="V4872" s="6"/>
      <c r="W4872" s="6"/>
      <c r="X4872" s="6"/>
      <c r="Y4872" s="6"/>
      <c r="Z4872" s="6"/>
    </row>
    <row r="4873" customFormat="false" ht="15" hidden="false" customHeight="false" outlineLevel="0" collapsed="false">
      <c r="A4873" s="9" t="s">
        <v>10716</v>
      </c>
      <c r="B4873" s="9" t="s">
        <v>5870</v>
      </c>
      <c r="C4873" s="9" t="s">
        <v>5149</v>
      </c>
      <c r="D4873" s="9" t="s">
        <v>5871</v>
      </c>
      <c r="E4873" s="9" t="str">
        <f aca="false">IF(AND('Formation Ledger'!A4852&lt;&gt;"",'Formation Ledger'!V4852=0),"PASS","FAIL")</f>
        <v>PASS</v>
      </c>
      <c r="F4873" s="9" t="s">
        <v>76</v>
      </c>
      <c r="G4873" s="6"/>
      <c r="H4873" s="6"/>
      <c r="I4873" s="6"/>
      <c r="J4873" s="6"/>
      <c r="K4873" s="6"/>
      <c r="L4873" s="6"/>
      <c r="M4873" s="6"/>
      <c r="N4873" s="6"/>
      <c r="O4873" s="6"/>
      <c r="P4873" s="6"/>
      <c r="Q4873" s="6"/>
      <c r="R4873" s="6"/>
      <c r="S4873" s="6"/>
      <c r="T4873" s="6"/>
      <c r="U4873" s="6"/>
      <c r="V4873" s="6"/>
      <c r="W4873" s="6"/>
      <c r="X4873" s="6"/>
      <c r="Y4873" s="6"/>
      <c r="Z4873" s="6"/>
    </row>
    <row r="4874" customFormat="false" ht="15" hidden="false" customHeight="false" outlineLevel="0" collapsed="false">
      <c r="A4874" s="9" t="s">
        <v>10717</v>
      </c>
      <c r="B4874" s="9" t="s">
        <v>5870</v>
      </c>
      <c r="C4874" s="9" t="s">
        <v>5150</v>
      </c>
      <c r="D4874" s="9" t="s">
        <v>5871</v>
      </c>
      <c r="E4874" s="9" t="str">
        <f aca="false">IF(AND('Formation Ledger'!A4853&lt;&gt;"",'Formation Ledger'!V4853=0),"PASS","FAIL")</f>
        <v>PASS</v>
      </c>
      <c r="F4874" s="9" t="s">
        <v>76</v>
      </c>
      <c r="G4874" s="6"/>
      <c r="H4874" s="6"/>
      <c r="I4874" s="6"/>
      <c r="J4874" s="6"/>
      <c r="K4874" s="6"/>
      <c r="L4874" s="6"/>
      <c r="M4874" s="6"/>
      <c r="N4874" s="6"/>
      <c r="O4874" s="6"/>
      <c r="P4874" s="6"/>
      <c r="Q4874" s="6"/>
      <c r="R4874" s="6"/>
      <c r="S4874" s="6"/>
      <c r="T4874" s="6"/>
      <c r="U4874" s="6"/>
      <c r="V4874" s="6"/>
      <c r="W4874" s="6"/>
      <c r="X4874" s="6"/>
      <c r="Y4874" s="6"/>
      <c r="Z4874" s="6"/>
    </row>
    <row r="4875" customFormat="false" ht="15" hidden="false" customHeight="false" outlineLevel="0" collapsed="false">
      <c r="A4875" s="9" t="s">
        <v>10718</v>
      </c>
      <c r="B4875" s="9" t="s">
        <v>5870</v>
      </c>
      <c r="C4875" s="9" t="s">
        <v>5151</v>
      </c>
      <c r="D4875" s="9" t="s">
        <v>5871</v>
      </c>
      <c r="E4875" s="9" t="str">
        <f aca="false">IF(AND('Formation Ledger'!A4854&lt;&gt;"",'Formation Ledger'!V4854=0),"PASS","FAIL")</f>
        <v>PASS</v>
      </c>
      <c r="F4875" s="9" t="s">
        <v>76</v>
      </c>
      <c r="G4875" s="6"/>
      <c r="H4875" s="6"/>
      <c r="I4875" s="6"/>
      <c r="J4875" s="6"/>
      <c r="K4875" s="6"/>
      <c r="L4875" s="6"/>
      <c r="M4875" s="6"/>
      <c r="N4875" s="6"/>
      <c r="O4875" s="6"/>
      <c r="P4875" s="6"/>
      <c r="Q4875" s="6"/>
      <c r="R4875" s="6"/>
      <c r="S4875" s="6"/>
      <c r="T4875" s="6"/>
      <c r="U4875" s="6"/>
      <c r="V4875" s="6"/>
      <c r="W4875" s="6"/>
      <c r="X4875" s="6"/>
      <c r="Y4875" s="6"/>
      <c r="Z4875" s="6"/>
    </row>
    <row r="4876" customFormat="false" ht="15" hidden="false" customHeight="false" outlineLevel="0" collapsed="false">
      <c r="A4876" s="9" t="s">
        <v>10719</v>
      </c>
      <c r="B4876" s="9" t="s">
        <v>5870</v>
      </c>
      <c r="C4876" s="9" t="s">
        <v>5152</v>
      </c>
      <c r="D4876" s="9" t="s">
        <v>5871</v>
      </c>
      <c r="E4876" s="9" t="str">
        <f aca="false">IF(AND('Formation Ledger'!A4855&lt;&gt;"",'Formation Ledger'!V4855=0),"PASS","FAIL")</f>
        <v>PASS</v>
      </c>
      <c r="F4876" s="9" t="s">
        <v>76</v>
      </c>
      <c r="G4876" s="6"/>
      <c r="H4876" s="6"/>
      <c r="I4876" s="6"/>
      <c r="J4876" s="6"/>
      <c r="K4876" s="6"/>
      <c r="L4876" s="6"/>
      <c r="M4876" s="6"/>
      <c r="N4876" s="6"/>
      <c r="O4876" s="6"/>
      <c r="P4876" s="6"/>
      <c r="Q4876" s="6"/>
      <c r="R4876" s="6"/>
      <c r="S4876" s="6"/>
      <c r="T4876" s="6"/>
      <c r="U4876" s="6"/>
      <c r="V4876" s="6"/>
      <c r="W4876" s="6"/>
      <c r="X4876" s="6"/>
      <c r="Y4876" s="6"/>
      <c r="Z4876" s="6"/>
    </row>
    <row r="4877" customFormat="false" ht="15" hidden="false" customHeight="false" outlineLevel="0" collapsed="false">
      <c r="A4877" s="9" t="s">
        <v>10720</v>
      </c>
      <c r="B4877" s="9" t="s">
        <v>5870</v>
      </c>
      <c r="C4877" s="9" t="s">
        <v>5153</v>
      </c>
      <c r="D4877" s="9" t="s">
        <v>5871</v>
      </c>
      <c r="E4877" s="9" t="str">
        <f aca="false">IF(AND('Formation Ledger'!A4856&lt;&gt;"",'Formation Ledger'!V4856=0),"PASS","FAIL")</f>
        <v>PASS</v>
      </c>
      <c r="F4877" s="9" t="s">
        <v>76</v>
      </c>
      <c r="G4877" s="6"/>
      <c r="H4877" s="6"/>
      <c r="I4877" s="6"/>
      <c r="J4877" s="6"/>
      <c r="K4877" s="6"/>
      <c r="L4877" s="6"/>
      <c r="M4877" s="6"/>
      <c r="N4877" s="6"/>
      <c r="O4877" s="6"/>
      <c r="P4877" s="6"/>
      <c r="Q4877" s="6"/>
      <c r="R4877" s="6"/>
      <c r="S4877" s="6"/>
      <c r="T4877" s="6"/>
      <c r="U4877" s="6"/>
      <c r="V4877" s="6"/>
      <c r="W4877" s="6"/>
      <c r="X4877" s="6"/>
      <c r="Y4877" s="6"/>
      <c r="Z4877" s="6"/>
    </row>
    <row r="4878" customFormat="false" ht="15" hidden="false" customHeight="false" outlineLevel="0" collapsed="false">
      <c r="A4878" s="9" t="s">
        <v>10721</v>
      </c>
      <c r="B4878" s="9" t="s">
        <v>5870</v>
      </c>
      <c r="C4878" s="9" t="s">
        <v>5154</v>
      </c>
      <c r="D4878" s="9" t="s">
        <v>5871</v>
      </c>
      <c r="E4878" s="9" t="str">
        <f aca="false">IF(AND('Formation Ledger'!A4857&lt;&gt;"",'Formation Ledger'!V4857=0),"PASS","FAIL")</f>
        <v>PASS</v>
      </c>
      <c r="F4878" s="9" t="s">
        <v>76</v>
      </c>
      <c r="G4878" s="6"/>
      <c r="H4878" s="6"/>
      <c r="I4878" s="6"/>
      <c r="J4878" s="6"/>
      <c r="K4878" s="6"/>
      <c r="L4878" s="6"/>
      <c r="M4878" s="6"/>
      <c r="N4878" s="6"/>
      <c r="O4878" s="6"/>
      <c r="P4878" s="6"/>
      <c r="Q4878" s="6"/>
      <c r="R4878" s="6"/>
      <c r="S4878" s="6"/>
      <c r="T4878" s="6"/>
      <c r="U4878" s="6"/>
      <c r="V4878" s="6"/>
      <c r="W4878" s="6"/>
      <c r="X4878" s="6"/>
      <c r="Y4878" s="6"/>
      <c r="Z4878" s="6"/>
    </row>
    <row r="4879" customFormat="false" ht="15" hidden="false" customHeight="false" outlineLevel="0" collapsed="false">
      <c r="A4879" s="9" t="s">
        <v>10722</v>
      </c>
      <c r="B4879" s="9" t="s">
        <v>5870</v>
      </c>
      <c r="C4879" s="9" t="s">
        <v>5155</v>
      </c>
      <c r="D4879" s="9" t="s">
        <v>5871</v>
      </c>
      <c r="E4879" s="9" t="str">
        <f aca="false">IF(AND('Formation Ledger'!A4858&lt;&gt;"",'Formation Ledger'!V4858=0),"PASS","FAIL")</f>
        <v>PASS</v>
      </c>
      <c r="F4879" s="9" t="s">
        <v>76</v>
      </c>
      <c r="G4879" s="6"/>
      <c r="H4879" s="6"/>
      <c r="I4879" s="6"/>
      <c r="J4879" s="6"/>
      <c r="K4879" s="6"/>
      <c r="L4879" s="6"/>
      <c r="M4879" s="6"/>
      <c r="N4879" s="6"/>
      <c r="O4879" s="6"/>
      <c r="P4879" s="6"/>
      <c r="Q4879" s="6"/>
      <c r="R4879" s="6"/>
      <c r="S4879" s="6"/>
      <c r="T4879" s="6"/>
      <c r="U4879" s="6"/>
      <c r="V4879" s="6"/>
      <c r="W4879" s="6"/>
      <c r="X4879" s="6"/>
      <c r="Y4879" s="6"/>
      <c r="Z4879" s="6"/>
    </row>
    <row r="4880" customFormat="false" ht="15" hidden="false" customHeight="false" outlineLevel="0" collapsed="false">
      <c r="A4880" s="9" t="s">
        <v>10723</v>
      </c>
      <c r="B4880" s="9" t="s">
        <v>5870</v>
      </c>
      <c r="C4880" s="9" t="s">
        <v>5156</v>
      </c>
      <c r="D4880" s="9" t="s">
        <v>5871</v>
      </c>
      <c r="E4880" s="9" t="str">
        <f aca="false">IF(AND('Formation Ledger'!A4859&lt;&gt;"",'Formation Ledger'!V4859=0),"PASS","FAIL")</f>
        <v>PASS</v>
      </c>
      <c r="F4880" s="9" t="s">
        <v>76</v>
      </c>
      <c r="G4880" s="6"/>
      <c r="H4880" s="6"/>
      <c r="I4880" s="6"/>
      <c r="J4880" s="6"/>
      <c r="K4880" s="6"/>
      <c r="L4880" s="6"/>
      <c r="M4880" s="6"/>
      <c r="N4880" s="6"/>
      <c r="O4880" s="6"/>
      <c r="P4880" s="6"/>
      <c r="Q4880" s="6"/>
      <c r="R4880" s="6"/>
      <c r="S4880" s="6"/>
      <c r="T4880" s="6"/>
      <c r="U4880" s="6"/>
      <c r="V4880" s="6"/>
      <c r="W4880" s="6"/>
      <c r="X4880" s="6"/>
      <c r="Y4880" s="6"/>
      <c r="Z4880" s="6"/>
    </row>
    <row r="4881" customFormat="false" ht="15" hidden="false" customHeight="false" outlineLevel="0" collapsed="false">
      <c r="A4881" s="9" t="s">
        <v>10724</v>
      </c>
      <c r="B4881" s="9" t="s">
        <v>5870</v>
      </c>
      <c r="C4881" s="9" t="s">
        <v>5157</v>
      </c>
      <c r="D4881" s="9" t="s">
        <v>5871</v>
      </c>
      <c r="E4881" s="9" t="str">
        <f aca="false">IF(AND('Formation Ledger'!A4860&lt;&gt;"",'Formation Ledger'!V4860=0),"PASS","FAIL")</f>
        <v>PASS</v>
      </c>
      <c r="F4881" s="9" t="s">
        <v>76</v>
      </c>
      <c r="G4881" s="6"/>
      <c r="H4881" s="6"/>
      <c r="I4881" s="6"/>
      <c r="J4881" s="6"/>
      <c r="K4881" s="6"/>
      <c r="L4881" s="6"/>
      <c r="M4881" s="6"/>
      <c r="N4881" s="6"/>
      <c r="O4881" s="6"/>
      <c r="P4881" s="6"/>
      <c r="Q4881" s="6"/>
      <c r="R4881" s="6"/>
      <c r="S4881" s="6"/>
      <c r="T4881" s="6"/>
      <c r="U4881" s="6"/>
      <c r="V4881" s="6"/>
      <c r="W4881" s="6"/>
      <c r="X4881" s="6"/>
      <c r="Y4881" s="6"/>
      <c r="Z4881" s="6"/>
    </row>
    <row r="4882" customFormat="false" ht="15" hidden="false" customHeight="false" outlineLevel="0" collapsed="false">
      <c r="A4882" s="9" t="s">
        <v>10725</v>
      </c>
      <c r="B4882" s="9" t="s">
        <v>5870</v>
      </c>
      <c r="C4882" s="9" t="s">
        <v>5158</v>
      </c>
      <c r="D4882" s="9" t="s">
        <v>5871</v>
      </c>
      <c r="E4882" s="9" t="str">
        <f aca="false">IF(AND('Formation Ledger'!A4861&lt;&gt;"",'Formation Ledger'!V4861=0),"PASS","FAIL")</f>
        <v>PASS</v>
      </c>
      <c r="F4882" s="9" t="s">
        <v>76</v>
      </c>
      <c r="G4882" s="6"/>
      <c r="H4882" s="6"/>
      <c r="I4882" s="6"/>
      <c r="J4882" s="6"/>
      <c r="K4882" s="6"/>
      <c r="L4882" s="6"/>
      <c r="M4882" s="6"/>
      <c r="N4882" s="6"/>
      <c r="O4882" s="6"/>
      <c r="P4882" s="6"/>
      <c r="Q4882" s="6"/>
      <c r="R4882" s="6"/>
      <c r="S4882" s="6"/>
      <c r="T4882" s="6"/>
      <c r="U4882" s="6"/>
      <c r="V4882" s="6"/>
      <c r="W4882" s="6"/>
      <c r="X4882" s="6"/>
      <c r="Y4882" s="6"/>
      <c r="Z4882" s="6"/>
    </row>
    <row r="4883" customFormat="false" ht="15" hidden="false" customHeight="false" outlineLevel="0" collapsed="false">
      <c r="A4883" s="9" t="s">
        <v>10726</v>
      </c>
      <c r="B4883" s="9" t="s">
        <v>5870</v>
      </c>
      <c r="C4883" s="9" t="s">
        <v>5159</v>
      </c>
      <c r="D4883" s="9" t="s">
        <v>5871</v>
      </c>
      <c r="E4883" s="9" t="str">
        <f aca="false">IF(AND('Formation Ledger'!A4862&lt;&gt;"",'Formation Ledger'!V4862=0),"PASS","FAIL")</f>
        <v>PASS</v>
      </c>
      <c r="F4883" s="9" t="s">
        <v>76</v>
      </c>
      <c r="G4883" s="6"/>
      <c r="H4883" s="6"/>
      <c r="I4883" s="6"/>
      <c r="J4883" s="6"/>
      <c r="K4883" s="6"/>
      <c r="L4883" s="6"/>
      <c r="M4883" s="6"/>
      <c r="N4883" s="6"/>
      <c r="O4883" s="6"/>
      <c r="P4883" s="6"/>
      <c r="Q4883" s="6"/>
      <c r="R4883" s="6"/>
      <c r="S4883" s="6"/>
      <c r="T4883" s="6"/>
      <c r="U4883" s="6"/>
      <c r="V4883" s="6"/>
      <c r="W4883" s="6"/>
      <c r="X4883" s="6"/>
      <c r="Y4883" s="6"/>
      <c r="Z4883" s="6"/>
    </row>
    <row r="4884" customFormat="false" ht="15" hidden="false" customHeight="false" outlineLevel="0" collapsed="false">
      <c r="A4884" s="9" t="s">
        <v>10727</v>
      </c>
      <c r="B4884" s="9" t="s">
        <v>5870</v>
      </c>
      <c r="C4884" s="9" t="s">
        <v>5160</v>
      </c>
      <c r="D4884" s="9" t="s">
        <v>5871</v>
      </c>
      <c r="E4884" s="9" t="str">
        <f aca="false">IF(AND('Formation Ledger'!A4863&lt;&gt;"",'Formation Ledger'!V4863=0),"PASS","FAIL")</f>
        <v>PASS</v>
      </c>
      <c r="F4884" s="9" t="s">
        <v>76</v>
      </c>
      <c r="G4884" s="6"/>
      <c r="H4884" s="6"/>
      <c r="I4884" s="6"/>
      <c r="J4884" s="6"/>
      <c r="K4884" s="6"/>
      <c r="L4884" s="6"/>
      <c r="M4884" s="6"/>
      <c r="N4884" s="6"/>
      <c r="O4884" s="6"/>
      <c r="P4884" s="6"/>
      <c r="Q4884" s="6"/>
      <c r="R4884" s="6"/>
      <c r="S4884" s="6"/>
      <c r="T4884" s="6"/>
      <c r="U4884" s="6"/>
      <c r="V4884" s="6"/>
      <c r="W4884" s="6"/>
      <c r="X4884" s="6"/>
      <c r="Y4884" s="6"/>
      <c r="Z4884" s="6"/>
    </row>
    <row r="4885" customFormat="false" ht="15" hidden="false" customHeight="false" outlineLevel="0" collapsed="false">
      <c r="A4885" s="9" t="s">
        <v>10728</v>
      </c>
      <c r="B4885" s="9" t="s">
        <v>5870</v>
      </c>
      <c r="C4885" s="9" t="s">
        <v>5161</v>
      </c>
      <c r="D4885" s="9" t="s">
        <v>5871</v>
      </c>
      <c r="E4885" s="9" t="str">
        <f aca="false">IF(AND('Formation Ledger'!A4864&lt;&gt;"",'Formation Ledger'!V4864=0),"PASS","FAIL")</f>
        <v>PASS</v>
      </c>
      <c r="F4885" s="9" t="s">
        <v>76</v>
      </c>
      <c r="G4885" s="6"/>
      <c r="H4885" s="6"/>
      <c r="I4885" s="6"/>
      <c r="J4885" s="6"/>
      <c r="K4885" s="6"/>
      <c r="L4885" s="6"/>
      <c r="M4885" s="6"/>
      <c r="N4885" s="6"/>
      <c r="O4885" s="6"/>
      <c r="P4885" s="6"/>
      <c r="Q4885" s="6"/>
      <c r="R4885" s="6"/>
      <c r="S4885" s="6"/>
      <c r="T4885" s="6"/>
      <c r="U4885" s="6"/>
      <c r="V4885" s="6"/>
      <c r="W4885" s="6"/>
      <c r="X4885" s="6"/>
      <c r="Y4885" s="6"/>
      <c r="Z4885" s="6"/>
    </row>
    <row r="4886" customFormat="false" ht="15" hidden="false" customHeight="false" outlineLevel="0" collapsed="false">
      <c r="A4886" s="9" t="s">
        <v>10729</v>
      </c>
      <c r="B4886" s="9" t="s">
        <v>5870</v>
      </c>
      <c r="C4886" s="9" t="s">
        <v>5162</v>
      </c>
      <c r="D4886" s="9" t="s">
        <v>5871</v>
      </c>
      <c r="E4886" s="9" t="str">
        <f aca="false">IF(AND('Formation Ledger'!A4865&lt;&gt;"",'Formation Ledger'!V4865=0),"PASS","FAIL")</f>
        <v>PASS</v>
      </c>
      <c r="F4886" s="9" t="s">
        <v>76</v>
      </c>
      <c r="G4886" s="6"/>
      <c r="H4886" s="6"/>
      <c r="I4886" s="6"/>
      <c r="J4886" s="6"/>
      <c r="K4886" s="6"/>
      <c r="L4886" s="6"/>
      <c r="M4886" s="6"/>
      <c r="N4886" s="6"/>
      <c r="O4886" s="6"/>
      <c r="P4886" s="6"/>
      <c r="Q4886" s="6"/>
      <c r="R4886" s="6"/>
      <c r="S4886" s="6"/>
      <c r="T4886" s="6"/>
      <c r="U4886" s="6"/>
      <c r="V4886" s="6"/>
      <c r="W4886" s="6"/>
      <c r="X4886" s="6"/>
      <c r="Y4886" s="6"/>
      <c r="Z4886" s="6"/>
    </row>
    <row r="4887" customFormat="false" ht="15" hidden="false" customHeight="false" outlineLevel="0" collapsed="false">
      <c r="A4887" s="9" t="s">
        <v>10730</v>
      </c>
      <c r="B4887" s="9" t="s">
        <v>5870</v>
      </c>
      <c r="C4887" s="9" t="s">
        <v>5163</v>
      </c>
      <c r="D4887" s="9" t="s">
        <v>5871</v>
      </c>
      <c r="E4887" s="9" t="str">
        <f aca="false">IF(AND('Formation Ledger'!A4866&lt;&gt;"",'Formation Ledger'!V4866=0),"PASS","FAIL")</f>
        <v>PASS</v>
      </c>
      <c r="F4887" s="9" t="s">
        <v>76</v>
      </c>
      <c r="G4887" s="6"/>
      <c r="H4887" s="6"/>
      <c r="I4887" s="6"/>
      <c r="J4887" s="6"/>
      <c r="K4887" s="6"/>
      <c r="L4887" s="6"/>
      <c r="M4887" s="6"/>
      <c r="N4887" s="6"/>
      <c r="O4887" s="6"/>
      <c r="P4887" s="6"/>
      <c r="Q4887" s="6"/>
      <c r="R4887" s="6"/>
      <c r="S4887" s="6"/>
      <c r="T4887" s="6"/>
      <c r="U4887" s="6"/>
      <c r="V4887" s="6"/>
      <c r="W4887" s="6"/>
      <c r="X4887" s="6"/>
      <c r="Y4887" s="6"/>
      <c r="Z4887" s="6"/>
    </row>
    <row r="4888" customFormat="false" ht="15" hidden="false" customHeight="false" outlineLevel="0" collapsed="false">
      <c r="A4888" s="9" t="s">
        <v>10731</v>
      </c>
      <c r="B4888" s="9" t="s">
        <v>5870</v>
      </c>
      <c r="C4888" s="9" t="s">
        <v>5164</v>
      </c>
      <c r="D4888" s="9" t="s">
        <v>5871</v>
      </c>
      <c r="E4888" s="9" t="str">
        <f aca="false">IF(AND('Formation Ledger'!A4867&lt;&gt;"",'Formation Ledger'!V4867=0),"PASS","FAIL")</f>
        <v>PASS</v>
      </c>
      <c r="F4888" s="9" t="s">
        <v>76</v>
      </c>
      <c r="G4888" s="6"/>
      <c r="H4888" s="6"/>
      <c r="I4888" s="6"/>
      <c r="J4888" s="6"/>
      <c r="K4888" s="6"/>
      <c r="L4888" s="6"/>
      <c r="M4888" s="6"/>
      <c r="N4888" s="6"/>
      <c r="O4888" s="6"/>
      <c r="P4888" s="6"/>
      <c r="Q4888" s="6"/>
      <c r="R4888" s="6"/>
      <c r="S4888" s="6"/>
      <c r="T4888" s="6"/>
      <c r="U4888" s="6"/>
      <c r="V4888" s="6"/>
      <c r="W4888" s="6"/>
      <c r="X4888" s="6"/>
      <c r="Y4888" s="6"/>
      <c r="Z4888" s="6"/>
    </row>
    <row r="4889" customFormat="false" ht="15" hidden="false" customHeight="false" outlineLevel="0" collapsed="false">
      <c r="A4889" s="9" t="s">
        <v>10732</v>
      </c>
      <c r="B4889" s="9" t="s">
        <v>5870</v>
      </c>
      <c r="C4889" s="9" t="s">
        <v>5165</v>
      </c>
      <c r="D4889" s="9" t="s">
        <v>5871</v>
      </c>
      <c r="E4889" s="9" t="str">
        <f aca="false">IF(AND('Formation Ledger'!A4868&lt;&gt;"",'Formation Ledger'!V4868=0),"PASS","FAIL")</f>
        <v>PASS</v>
      </c>
      <c r="F4889" s="9" t="s">
        <v>76</v>
      </c>
      <c r="G4889" s="6"/>
      <c r="H4889" s="6"/>
      <c r="I4889" s="6"/>
      <c r="J4889" s="6"/>
      <c r="K4889" s="6"/>
      <c r="L4889" s="6"/>
      <c r="M4889" s="6"/>
      <c r="N4889" s="6"/>
      <c r="O4889" s="6"/>
      <c r="P4889" s="6"/>
      <c r="Q4889" s="6"/>
      <c r="R4889" s="6"/>
      <c r="S4889" s="6"/>
      <c r="T4889" s="6"/>
      <c r="U4889" s="6"/>
      <c r="V4889" s="6"/>
      <c r="W4889" s="6"/>
      <c r="X4889" s="6"/>
      <c r="Y4889" s="6"/>
      <c r="Z4889" s="6"/>
    </row>
    <row r="4890" customFormat="false" ht="15" hidden="false" customHeight="false" outlineLevel="0" collapsed="false">
      <c r="A4890" s="9" t="s">
        <v>10733</v>
      </c>
      <c r="B4890" s="9" t="s">
        <v>5870</v>
      </c>
      <c r="C4890" s="9" t="s">
        <v>5166</v>
      </c>
      <c r="D4890" s="9" t="s">
        <v>5871</v>
      </c>
      <c r="E4890" s="9" t="str">
        <f aca="false">IF(AND('Formation Ledger'!A4869&lt;&gt;"",'Formation Ledger'!V4869=0),"PASS","FAIL")</f>
        <v>PASS</v>
      </c>
      <c r="F4890" s="9" t="s">
        <v>76</v>
      </c>
      <c r="G4890" s="6"/>
      <c r="H4890" s="6"/>
      <c r="I4890" s="6"/>
      <c r="J4890" s="6"/>
      <c r="K4890" s="6"/>
      <c r="L4890" s="6"/>
      <c r="M4890" s="6"/>
      <c r="N4890" s="6"/>
      <c r="O4890" s="6"/>
      <c r="P4890" s="6"/>
      <c r="Q4890" s="6"/>
      <c r="R4890" s="6"/>
      <c r="S4890" s="6"/>
      <c r="T4890" s="6"/>
      <c r="U4890" s="6"/>
      <c r="V4890" s="6"/>
      <c r="W4890" s="6"/>
      <c r="X4890" s="6"/>
      <c r="Y4890" s="6"/>
      <c r="Z4890" s="6"/>
    </row>
    <row r="4891" customFormat="false" ht="15" hidden="false" customHeight="false" outlineLevel="0" collapsed="false">
      <c r="A4891" s="9" t="s">
        <v>10734</v>
      </c>
      <c r="B4891" s="9" t="s">
        <v>5870</v>
      </c>
      <c r="C4891" s="9" t="s">
        <v>5167</v>
      </c>
      <c r="D4891" s="9" t="s">
        <v>5871</v>
      </c>
      <c r="E4891" s="9" t="str">
        <f aca="false">IF(AND('Formation Ledger'!A4870&lt;&gt;"",'Formation Ledger'!V4870=0),"PASS","FAIL")</f>
        <v>PASS</v>
      </c>
      <c r="F4891" s="9" t="s">
        <v>76</v>
      </c>
      <c r="G4891" s="6"/>
      <c r="H4891" s="6"/>
      <c r="I4891" s="6"/>
      <c r="J4891" s="6"/>
      <c r="K4891" s="6"/>
      <c r="L4891" s="6"/>
      <c r="M4891" s="6"/>
      <c r="N4891" s="6"/>
      <c r="O4891" s="6"/>
      <c r="P4891" s="6"/>
      <c r="Q4891" s="6"/>
      <c r="R4891" s="6"/>
      <c r="S4891" s="6"/>
      <c r="T4891" s="6"/>
      <c r="U4891" s="6"/>
      <c r="V4891" s="6"/>
      <c r="W4891" s="6"/>
      <c r="X4891" s="6"/>
      <c r="Y4891" s="6"/>
      <c r="Z4891" s="6"/>
    </row>
    <row r="4892" customFormat="false" ht="15" hidden="false" customHeight="false" outlineLevel="0" collapsed="false">
      <c r="A4892" s="9" t="s">
        <v>10735</v>
      </c>
      <c r="B4892" s="9" t="s">
        <v>5870</v>
      </c>
      <c r="C4892" s="9" t="s">
        <v>5168</v>
      </c>
      <c r="D4892" s="9" t="s">
        <v>5871</v>
      </c>
      <c r="E4892" s="9" t="str">
        <f aca="false">IF(AND('Formation Ledger'!A4871&lt;&gt;"",'Formation Ledger'!V4871=0),"PASS","FAIL")</f>
        <v>PASS</v>
      </c>
      <c r="F4892" s="9" t="s">
        <v>76</v>
      </c>
      <c r="G4892" s="6"/>
      <c r="H4892" s="6"/>
      <c r="I4892" s="6"/>
      <c r="J4892" s="6"/>
      <c r="K4892" s="6"/>
      <c r="L4892" s="6"/>
      <c r="M4892" s="6"/>
      <c r="N4892" s="6"/>
      <c r="O4892" s="6"/>
      <c r="P4892" s="6"/>
      <c r="Q4892" s="6"/>
      <c r="R4892" s="6"/>
      <c r="S4892" s="6"/>
      <c r="T4892" s="6"/>
      <c r="U4892" s="6"/>
      <c r="V4892" s="6"/>
      <c r="W4892" s="6"/>
      <c r="X4892" s="6"/>
      <c r="Y4892" s="6"/>
      <c r="Z4892" s="6"/>
    </row>
    <row r="4893" customFormat="false" ht="15" hidden="false" customHeight="false" outlineLevel="0" collapsed="false">
      <c r="A4893" s="9" t="s">
        <v>10736</v>
      </c>
      <c r="B4893" s="9" t="s">
        <v>5870</v>
      </c>
      <c r="C4893" s="9" t="s">
        <v>5169</v>
      </c>
      <c r="D4893" s="9" t="s">
        <v>5871</v>
      </c>
      <c r="E4893" s="9" t="str">
        <f aca="false">IF(AND('Formation Ledger'!A4872&lt;&gt;"",'Formation Ledger'!V4872=0),"PASS","FAIL")</f>
        <v>PASS</v>
      </c>
      <c r="F4893" s="9" t="s">
        <v>76</v>
      </c>
      <c r="G4893" s="6"/>
      <c r="H4893" s="6"/>
      <c r="I4893" s="6"/>
      <c r="J4893" s="6"/>
      <c r="K4893" s="6"/>
      <c r="L4893" s="6"/>
      <c r="M4893" s="6"/>
      <c r="N4893" s="6"/>
      <c r="O4893" s="6"/>
      <c r="P4893" s="6"/>
      <c r="Q4893" s="6"/>
      <c r="R4893" s="6"/>
      <c r="S4893" s="6"/>
      <c r="T4893" s="6"/>
      <c r="U4893" s="6"/>
      <c r="V4893" s="6"/>
      <c r="W4893" s="6"/>
      <c r="X4893" s="6"/>
      <c r="Y4893" s="6"/>
      <c r="Z4893" s="6"/>
    </row>
    <row r="4894" customFormat="false" ht="15" hidden="false" customHeight="false" outlineLevel="0" collapsed="false">
      <c r="A4894" s="9" t="s">
        <v>10737</v>
      </c>
      <c r="B4894" s="9" t="s">
        <v>5870</v>
      </c>
      <c r="C4894" s="9" t="s">
        <v>5170</v>
      </c>
      <c r="D4894" s="9" t="s">
        <v>5871</v>
      </c>
      <c r="E4894" s="9" t="str">
        <f aca="false">IF(AND('Formation Ledger'!A4873&lt;&gt;"",'Formation Ledger'!V4873=0),"PASS","FAIL")</f>
        <v>PASS</v>
      </c>
      <c r="F4894" s="9" t="s">
        <v>76</v>
      </c>
      <c r="G4894" s="6"/>
      <c r="H4894" s="6"/>
      <c r="I4894" s="6"/>
      <c r="J4894" s="6"/>
      <c r="K4894" s="6"/>
      <c r="L4894" s="6"/>
      <c r="M4894" s="6"/>
      <c r="N4894" s="6"/>
      <c r="O4894" s="6"/>
      <c r="P4894" s="6"/>
      <c r="Q4894" s="6"/>
      <c r="R4894" s="6"/>
      <c r="S4894" s="6"/>
      <c r="T4894" s="6"/>
      <c r="U4894" s="6"/>
      <c r="V4894" s="6"/>
      <c r="W4894" s="6"/>
      <c r="X4894" s="6"/>
      <c r="Y4894" s="6"/>
      <c r="Z4894" s="6"/>
    </row>
    <row r="4895" customFormat="false" ht="15" hidden="false" customHeight="false" outlineLevel="0" collapsed="false">
      <c r="A4895" s="9" t="s">
        <v>10738</v>
      </c>
      <c r="B4895" s="9" t="s">
        <v>5870</v>
      </c>
      <c r="C4895" s="9" t="s">
        <v>5171</v>
      </c>
      <c r="D4895" s="9" t="s">
        <v>5871</v>
      </c>
      <c r="E4895" s="9" t="str">
        <f aca="false">IF(AND('Formation Ledger'!A4874&lt;&gt;"",'Formation Ledger'!V4874=0),"PASS","FAIL")</f>
        <v>PASS</v>
      </c>
      <c r="F4895" s="9" t="s">
        <v>76</v>
      </c>
      <c r="G4895" s="6"/>
      <c r="H4895" s="6"/>
      <c r="I4895" s="6"/>
      <c r="J4895" s="6"/>
      <c r="K4895" s="6"/>
      <c r="L4895" s="6"/>
      <c r="M4895" s="6"/>
      <c r="N4895" s="6"/>
      <c r="O4895" s="6"/>
      <c r="P4895" s="6"/>
      <c r="Q4895" s="6"/>
      <c r="R4895" s="6"/>
      <c r="S4895" s="6"/>
      <c r="T4895" s="6"/>
      <c r="U4895" s="6"/>
      <c r="V4895" s="6"/>
      <c r="W4895" s="6"/>
      <c r="X4895" s="6"/>
      <c r="Y4895" s="6"/>
      <c r="Z4895" s="6"/>
    </row>
    <row r="4896" customFormat="false" ht="15" hidden="false" customHeight="false" outlineLevel="0" collapsed="false">
      <c r="A4896" s="9" t="s">
        <v>10739</v>
      </c>
      <c r="B4896" s="9" t="s">
        <v>5870</v>
      </c>
      <c r="C4896" s="9" t="s">
        <v>5172</v>
      </c>
      <c r="D4896" s="9" t="s">
        <v>5871</v>
      </c>
      <c r="E4896" s="9" t="str">
        <f aca="false">IF(AND('Formation Ledger'!A4875&lt;&gt;"",'Formation Ledger'!V4875=0),"PASS","FAIL")</f>
        <v>PASS</v>
      </c>
      <c r="F4896" s="9" t="s">
        <v>76</v>
      </c>
      <c r="G4896" s="6"/>
      <c r="H4896" s="6"/>
      <c r="I4896" s="6"/>
      <c r="J4896" s="6"/>
      <c r="K4896" s="6"/>
      <c r="L4896" s="6"/>
      <c r="M4896" s="6"/>
      <c r="N4896" s="6"/>
      <c r="O4896" s="6"/>
      <c r="P4896" s="6"/>
      <c r="Q4896" s="6"/>
      <c r="R4896" s="6"/>
      <c r="S4896" s="6"/>
      <c r="T4896" s="6"/>
      <c r="U4896" s="6"/>
      <c r="V4896" s="6"/>
      <c r="W4896" s="6"/>
      <c r="X4896" s="6"/>
      <c r="Y4896" s="6"/>
      <c r="Z4896" s="6"/>
    </row>
    <row r="4897" customFormat="false" ht="15" hidden="false" customHeight="false" outlineLevel="0" collapsed="false">
      <c r="A4897" s="9" t="s">
        <v>10740</v>
      </c>
      <c r="B4897" s="9" t="s">
        <v>5870</v>
      </c>
      <c r="C4897" s="9" t="s">
        <v>5173</v>
      </c>
      <c r="D4897" s="9" t="s">
        <v>5871</v>
      </c>
      <c r="E4897" s="9" t="str">
        <f aca="false">IF(AND('Formation Ledger'!A4876&lt;&gt;"",'Formation Ledger'!V4876=0),"PASS","FAIL")</f>
        <v>PASS</v>
      </c>
      <c r="F4897" s="9" t="s">
        <v>76</v>
      </c>
      <c r="G4897" s="6"/>
      <c r="H4897" s="6"/>
      <c r="I4897" s="6"/>
      <c r="J4897" s="6"/>
      <c r="K4897" s="6"/>
      <c r="L4897" s="6"/>
      <c r="M4897" s="6"/>
      <c r="N4897" s="6"/>
      <c r="O4897" s="6"/>
      <c r="P4897" s="6"/>
      <c r="Q4897" s="6"/>
      <c r="R4897" s="6"/>
      <c r="S4897" s="6"/>
      <c r="T4897" s="6"/>
      <c r="U4897" s="6"/>
      <c r="V4897" s="6"/>
      <c r="W4897" s="6"/>
      <c r="X4897" s="6"/>
      <c r="Y4897" s="6"/>
      <c r="Z4897" s="6"/>
    </row>
    <row r="4898" customFormat="false" ht="15" hidden="false" customHeight="false" outlineLevel="0" collapsed="false">
      <c r="A4898" s="9" t="s">
        <v>10741</v>
      </c>
      <c r="B4898" s="9" t="s">
        <v>5870</v>
      </c>
      <c r="C4898" s="9" t="s">
        <v>5174</v>
      </c>
      <c r="D4898" s="9" t="s">
        <v>5871</v>
      </c>
      <c r="E4898" s="9" t="str">
        <f aca="false">IF(AND('Formation Ledger'!A4877&lt;&gt;"",'Formation Ledger'!V4877=0),"PASS","FAIL")</f>
        <v>PASS</v>
      </c>
      <c r="F4898" s="9" t="s">
        <v>76</v>
      </c>
      <c r="G4898" s="6"/>
      <c r="H4898" s="6"/>
      <c r="I4898" s="6"/>
      <c r="J4898" s="6"/>
      <c r="K4898" s="6"/>
      <c r="L4898" s="6"/>
      <c r="M4898" s="6"/>
      <c r="N4898" s="6"/>
      <c r="O4898" s="6"/>
      <c r="P4898" s="6"/>
      <c r="Q4898" s="6"/>
      <c r="R4898" s="6"/>
      <c r="S4898" s="6"/>
      <c r="T4898" s="6"/>
      <c r="U4898" s="6"/>
      <c r="V4898" s="6"/>
      <c r="W4898" s="6"/>
      <c r="X4898" s="6"/>
      <c r="Y4898" s="6"/>
      <c r="Z4898" s="6"/>
    </row>
    <row r="4899" customFormat="false" ht="15" hidden="false" customHeight="false" outlineLevel="0" collapsed="false">
      <c r="A4899" s="9" t="s">
        <v>10742</v>
      </c>
      <c r="B4899" s="9" t="s">
        <v>5870</v>
      </c>
      <c r="C4899" s="9" t="s">
        <v>5175</v>
      </c>
      <c r="D4899" s="9" t="s">
        <v>5871</v>
      </c>
      <c r="E4899" s="9" t="str">
        <f aca="false">IF(AND('Formation Ledger'!A4878&lt;&gt;"",'Formation Ledger'!V4878=0),"PASS","FAIL")</f>
        <v>PASS</v>
      </c>
      <c r="F4899" s="9" t="s">
        <v>76</v>
      </c>
      <c r="G4899" s="6"/>
      <c r="H4899" s="6"/>
      <c r="I4899" s="6"/>
      <c r="J4899" s="6"/>
      <c r="K4899" s="6"/>
      <c r="L4899" s="6"/>
      <c r="M4899" s="6"/>
      <c r="N4899" s="6"/>
      <c r="O4899" s="6"/>
      <c r="P4899" s="6"/>
      <c r="Q4899" s="6"/>
      <c r="R4899" s="6"/>
      <c r="S4899" s="6"/>
      <c r="T4899" s="6"/>
      <c r="U4899" s="6"/>
      <c r="V4899" s="6"/>
      <c r="W4899" s="6"/>
      <c r="X4899" s="6"/>
      <c r="Y4899" s="6"/>
      <c r="Z4899" s="6"/>
    </row>
    <row r="4900" customFormat="false" ht="15" hidden="false" customHeight="false" outlineLevel="0" collapsed="false">
      <c r="A4900" s="9" t="s">
        <v>10743</v>
      </c>
      <c r="B4900" s="9" t="s">
        <v>5870</v>
      </c>
      <c r="C4900" s="9" t="s">
        <v>5176</v>
      </c>
      <c r="D4900" s="9" t="s">
        <v>5871</v>
      </c>
      <c r="E4900" s="9" t="str">
        <f aca="false">IF(AND('Formation Ledger'!A4879&lt;&gt;"",'Formation Ledger'!V4879=0),"PASS","FAIL")</f>
        <v>PASS</v>
      </c>
      <c r="F4900" s="9" t="s">
        <v>76</v>
      </c>
      <c r="G4900" s="6"/>
      <c r="H4900" s="6"/>
      <c r="I4900" s="6"/>
      <c r="J4900" s="6"/>
      <c r="K4900" s="6"/>
      <c r="L4900" s="6"/>
      <c r="M4900" s="6"/>
      <c r="N4900" s="6"/>
      <c r="O4900" s="6"/>
      <c r="P4900" s="6"/>
      <c r="Q4900" s="6"/>
      <c r="R4900" s="6"/>
      <c r="S4900" s="6"/>
      <c r="T4900" s="6"/>
      <c r="U4900" s="6"/>
      <c r="V4900" s="6"/>
      <c r="W4900" s="6"/>
      <c r="X4900" s="6"/>
      <c r="Y4900" s="6"/>
      <c r="Z4900" s="6"/>
    </row>
    <row r="4901" customFormat="false" ht="15" hidden="false" customHeight="false" outlineLevel="0" collapsed="false">
      <c r="A4901" s="9" t="s">
        <v>10744</v>
      </c>
      <c r="B4901" s="9" t="s">
        <v>5870</v>
      </c>
      <c r="C4901" s="9" t="s">
        <v>5177</v>
      </c>
      <c r="D4901" s="9" t="s">
        <v>5871</v>
      </c>
      <c r="E4901" s="9" t="str">
        <f aca="false">IF(AND('Formation Ledger'!A4880&lt;&gt;"",'Formation Ledger'!V4880=0),"PASS","FAIL")</f>
        <v>PASS</v>
      </c>
      <c r="F4901" s="9" t="s">
        <v>76</v>
      </c>
      <c r="G4901" s="6"/>
      <c r="H4901" s="6"/>
      <c r="I4901" s="6"/>
      <c r="J4901" s="6"/>
      <c r="K4901" s="6"/>
      <c r="L4901" s="6"/>
      <c r="M4901" s="6"/>
      <c r="N4901" s="6"/>
      <c r="O4901" s="6"/>
      <c r="P4901" s="6"/>
      <c r="Q4901" s="6"/>
      <c r="R4901" s="6"/>
      <c r="S4901" s="6"/>
      <c r="T4901" s="6"/>
      <c r="U4901" s="6"/>
      <c r="V4901" s="6"/>
      <c r="W4901" s="6"/>
      <c r="X4901" s="6"/>
      <c r="Y4901" s="6"/>
      <c r="Z4901" s="6"/>
    </row>
    <row r="4902" customFormat="false" ht="15" hidden="false" customHeight="false" outlineLevel="0" collapsed="false">
      <c r="A4902" s="9" t="s">
        <v>10745</v>
      </c>
      <c r="B4902" s="9" t="s">
        <v>5870</v>
      </c>
      <c r="C4902" s="9" t="s">
        <v>5178</v>
      </c>
      <c r="D4902" s="9" t="s">
        <v>5871</v>
      </c>
      <c r="E4902" s="9" t="str">
        <f aca="false">IF(AND('Formation Ledger'!A4881&lt;&gt;"",'Formation Ledger'!V4881=0),"PASS","FAIL")</f>
        <v>PASS</v>
      </c>
      <c r="F4902" s="9" t="s">
        <v>76</v>
      </c>
      <c r="G4902" s="6"/>
      <c r="H4902" s="6"/>
      <c r="I4902" s="6"/>
      <c r="J4902" s="6"/>
      <c r="K4902" s="6"/>
      <c r="L4902" s="6"/>
      <c r="M4902" s="6"/>
      <c r="N4902" s="6"/>
      <c r="O4902" s="6"/>
      <c r="P4902" s="6"/>
      <c r="Q4902" s="6"/>
      <c r="R4902" s="6"/>
      <c r="S4902" s="6"/>
      <c r="T4902" s="6"/>
      <c r="U4902" s="6"/>
      <c r="V4902" s="6"/>
      <c r="W4902" s="6"/>
      <c r="X4902" s="6"/>
      <c r="Y4902" s="6"/>
      <c r="Z4902" s="6"/>
    </row>
    <row r="4903" customFormat="false" ht="15" hidden="false" customHeight="false" outlineLevel="0" collapsed="false">
      <c r="A4903" s="9" t="s">
        <v>10746</v>
      </c>
      <c r="B4903" s="9" t="s">
        <v>5870</v>
      </c>
      <c r="C4903" s="9" t="s">
        <v>5179</v>
      </c>
      <c r="D4903" s="9" t="s">
        <v>5871</v>
      </c>
      <c r="E4903" s="9" t="str">
        <f aca="false">IF(AND('Formation Ledger'!A4882&lt;&gt;"",'Formation Ledger'!V4882=0),"PASS","FAIL")</f>
        <v>PASS</v>
      </c>
      <c r="F4903" s="9" t="s">
        <v>76</v>
      </c>
      <c r="G4903" s="6"/>
      <c r="H4903" s="6"/>
      <c r="I4903" s="6"/>
      <c r="J4903" s="6"/>
      <c r="K4903" s="6"/>
      <c r="L4903" s="6"/>
      <c r="M4903" s="6"/>
      <c r="N4903" s="6"/>
      <c r="O4903" s="6"/>
      <c r="P4903" s="6"/>
      <c r="Q4903" s="6"/>
      <c r="R4903" s="6"/>
      <c r="S4903" s="6"/>
      <c r="T4903" s="6"/>
      <c r="U4903" s="6"/>
      <c r="V4903" s="6"/>
      <c r="W4903" s="6"/>
      <c r="X4903" s="6"/>
      <c r="Y4903" s="6"/>
      <c r="Z4903" s="6"/>
    </row>
    <row r="4904" customFormat="false" ht="15" hidden="false" customHeight="false" outlineLevel="0" collapsed="false">
      <c r="A4904" s="9" t="s">
        <v>10747</v>
      </c>
      <c r="B4904" s="9" t="s">
        <v>5870</v>
      </c>
      <c r="C4904" s="9" t="s">
        <v>5180</v>
      </c>
      <c r="D4904" s="9" t="s">
        <v>5871</v>
      </c>
      <c r="E4904" s="9" t="str">
        <f aca="false">IF(AND('Formation Ledger'!A4883&lt;&gt;"",'Formation Ledger'!V4883=0),"PASS","FAIL")</f>
        <v>PASS</v>
      </c>
      <c r="F4904" s="9" t="s">
        <v>76</v>
      </c>
      <c r="G4904" s="6"/>
      <c r="H4904" s="6"/>
      <c r="I4904" s="6"/>
      <c r="J4904" s="6"/>
      <c r="K4904" s="6"/>
      <c r="L4904" s="6"/>
      <c r="M4904" s="6"/>
      <c r="N4904" s="6"/>
      <c r="O4904" s="6"/>
      <c r="P4904" s="6"/>
      <c r="Q4904" s="6"/>
      <c r="R4904" s="6"/>
      <c r="S4904" s="6"/>
      <c r="T4904" s="6"/>
      <c r="U4904" s="6"/>
      <c r="V4904" s="6"/>
      <c r="W4904" s="6"/>
      <c r="X4904" s="6"/>
      <c r="Y4904" s="6"/>
      <c r="Z4904" s="6"/>
    </row>
    <row r="4905" customFormat="false" ht="15" hidden="false" customHeight="false" outlineLevel="0" collapsed="false">
      <c r="A4905" s="9" t="s">
        <v>10748</v>
      </c>
      <c r="B4905" s="9" t="s">
        <v>5870</v>
      </c>
      <c r="C4905" s="9" t="s">
        <v>5181</v>
      </c>
      <c r="D4905" s="9" t="s">
        <v>5871</v>
      </c>
      <c r="E4905" s="9" t="str">
        <f aca="false">IF(AND('Formation Ledger'!A4884&lt;&gt;"",'Formation Ledger'!V4884=0),"PASS","FAIL")</f>
        <v>PASS</v>
      </c>
      <c r="F4905" s="9" t="s">
        <v>76</v>
      </c>
      <c r="G4905" s="6"/>
      <c r="H4905" s="6"/>
      <c r="I4905" s="6"/>
      <c r="J4905" s="6"/>
      <c r="K4905" s="6"/>
      <c r="L4905" s="6"/>
      <c r="M4905" s="6"/>
      <c r="N4905" s="6"/>
      <c r="O4905" s="6"/>
      <c r="P4905" s="6"/>
      <c r="Q4905" s="6"/>
      <c r="R4905" s="6"/>
      <c r="S4905" s="6"/>
      <c r="T4905" s="6"/>
      <c r="U4905" s="6"/>
      <c r="V4905" s="6"/>
      <c r="W4905" s="6"/>
      <c r="X4905" s="6"/>
      <c r="Y4905" s="6"/>
      <c r="Z4905" s="6"/>
    </row>
    <row r="4906" customFormat="false" ht="15" hidden="false" customHeight="false" outlineLevel="0" collapsed="false">
      <c r="A4906" s="9" t="s">
        <v>10749</v>
      </c>
      <c r="B4906" s="9" t="s">
        <v>5870</v>
      </c>
      <c r="C4906" s="9" t="s">
        <v>5182</v>
      </c>
      <c r="D4906" s="9" t="s">
        <v>5871</v>
      </c>
      <c r="E4906" s="9" t="str">
        <f aca="false">IF(AND('Formation Ledger'!A4885&lt;&gt;"",'Formation Ledger'!V4885=0),"PASS","FAIL")</f>
        <v>PASS</v>
      </c>
      <c r="F4906" s="9" t="s">
        <v>76</v>
      </c>
      <c r="G4906" s="6"/>
      <c r="H4906" s="6"/>
      <c r="I4906" s="6"/>
      <c r="J4906" s="6"/>
      <c r="K4906" s="6"/>
      <c r="L4906" s="6"/>
      <c r="M4906" s="6"/>
      <c r="N4906" s="6"/>
      <c r="O4906" s="6"/>
      <c r="P4906" s="6"/>
      <c r="Q4906" s="6"/>
      <c r="R4906" s="6"/>
      <c r="S4906" s="6"/>
      <c r="T4906" s="6"/>
      <c r="U4906" s="6"/>
      <c r="V4906" s="6"/>
      <c r="W4906" s="6"/>
      <c r="X4906" s="6"/>
      <c r="Y4906" s="6"/>
      <c r="Z4906" s="6"/>
    </row>
    <row r="4907" customFormat="false" ht="15" hidden="false" customHeight="false" outlineLevel="0" collapsed="false">
      <c r="A4907" s="9" t="s">
        <v>10750</v>
      </c>
      <c r="B4907" s="9" t="s">
        <v>5870</v>
      </c>
      <c r="C4907" s="9" t="s">
        <v>5183</v>
      </c>
      <c r="D4907" s="9" t="s">
        <v>5871</v>
      </c>
      <c r="E4907" s="9" t="str">
        <f aca="false">IF(AND('Formation Ledger'!A4886&lt;&gt;"",'Formation Ledger'!V4886=0),"PASS","FAIL")</f>
        <v>PASS</v>
      </c>
      <c r="F4907" s="9" t="s">
        <v>76</v>
      </c>
      <c r="G4907" s="6"/>
      <c r="H4907" s="6"/>
      <c r="I4907" s="6"/>
      <c r="J4907" s="6"/>
      <c r="K4907" s="6"/>
      <c r="L4907" s="6"/>
      <c r="M4907" s="6"/>
      <c r="N4907" s="6"/>
      <c r="O4907" s="6"/>
      <c r="P4907" s="6"/>
      <c r="Q4907" s="6"/>
      <c r="R4907" s="6"/>
      <c r="S4907" s="6"/>
      <c r="T4907" s="6"/>
      <c r="U4907" s="6"/>
      <c r="V4907" s="6"/>
      <c r="W4907" s="6"/>
      <c r="X4907" s="6"/>
      <c r="Y4907" s="6"/>
      <c r="Z4907" s="6"/>
    </row>
    <row r="4908" customFormat="false" ht="15" hidden="false" customHeight="false" outlineLevel="0" collapsed="false">
      <c r="A4908" s="9" t="s">
        <v>10751</v>
      </c>
      <c r="B4908" s="9" t="s">
        <v>5870</v>
      </c>
      <c r="C4908" s="9" t="s">
        <v>5184</v>
      </c>
      <c r="D4908" s="9" t="s">
        <v>5871</v>
      </c>
      <c r="E4908" s="9" t="str">
        <f aca="false">IF(AND('Formation Ledger'!A4887&lt;&gt;"",'Formation Ledger'!V4887=0),"PASS","FAIL")</f>
        <v>PASS</v>
      </c>
      <c r="F4908" s="9" t="s">
        <v>76</v>
      </c>
      <c r="G4908" s="6"/>
      <c r="H4908" s="6"/>
      <c r="I4908" s="6"/>
      <c r="J4908" s="6"/>
      <c r="K4908" s="6"/>
      <c r="L4908" s="6"/>
      <c r="M4908" s="6"/>
      <c r="N4908" s="6"/>
      <c r="O4908" s="6"/>
      <c r="P4908" s="6"/>
      <c r="Q4908" s="6"/>
      <c r="R4908" s="6"/>
      <c r="S4908" s="6"/>
      <c r="T4908" s="6"/>
      <c r="U4908" s="6"/>
      <c r="V4908" s="6"/>
      <c r="W4908" s="6"/>
      <c r="X4908" s="6"/>
      <c r="Y4908" s="6"/>
      <c r="Z4908" s="6"/>
    </row>
    <row r="4909" customFormat="false" ht="15" hidden="false" customHeight="false" outlineLevel="0" collapsed="false">
      <c r="A4909" s="9" t="s">
        <v>10752</v>
      </c>
      <c r="B4909" s="9" t="s">
        <v>5870</v>
      </c>
      <c r="C4909" s="9" t="s">
        <v>5185</v>
      </c>
      <c r="D4909" s="9" t="s">
        <v>5871</v>
      </c>
      <c r="E4909" s="9" t="str">
        <f aca="false">IF(AND('Formation Ledger'!A4888&lt;&gt;"",'Formation Ledger'!V4888=0),"PASS","FAIL")</f>
        <v>PASS</v>
      </c>
      <c r="F4909" s="9" t="s">
        <v>76</v>
      </c>
      <c r="G4909" s="6"/>
      <c r="H4909" s="6"/>
      <c r="I4909" s="6"/>
      <c r="J4909" s="6"/>
      <c r="K4909" s="6"/>
      <c r="L4909" s="6"/>
      <c r="M4909" s="6"/>
      <c r="N4909" s="6"/>
      <c r="O4909" s="6"/>
      <c r="P4909" s="6"/>
      <c r="Q4909" s="6"/>
      <c r="R4909" s="6"/>
      <c r="S4909" s="6"/>
      <c r="T4909" s="6"/>
      <c r="U4909" s="6"/>
      <c r="V4909" s="6"/>
      <c r="W4909" s="6"/>
      <c r="X4909" s="6"/>
      <c r="Y4909" s="6"/>
      <c r="Z4909" s="6"/>
    </row>
    <row r="4910" customFormat="false" ht="15" hidden="false" customHeight="false" outlineLevel="0" collapsed="false">
      <c r="A4910" s="9" t="s">
        <v>10753</v>
      </c>
      <c r="B4910" s="9" t="s">
        <v>5870</v>
      </c>
      <c r="C4910" s="9" t="s">
        <v>5186</v>
      </c>
      <c r="D4910" s="9" t="s">
        <v>5871</v>
      </c>
      <c r="E4910" s="9" t="str">
        <f aca="false">IF(AND('Formation Ledger'!A4889&lt;&gt;"",'Formation Ledger'!V4889=0),"PASS","FAIL")</f>
        <v>PASS</v>
      </c>
      <c r="F4910" s="9" t="s">
        <v>76</v>
      </c>
      <c r="G4910" s="6"/>
      <c r="H4910" s="6"/>
      <c r="I4910" s="6"/>
      <c r="J4910" s="6"/>
      <c r="K4910" s="6"/>
      <c r="L4910" s="6"/>
      <c r="M4910" s="6"/>
      <c r="N4910" s="6"/>
      <c r="O4910" s="6"/>
      <c r="P4910" s="6"/>
      <c r="Q4910" s="6"/>
      <c r="R4910" s="6"/>
      <c r="S4910" s="6"/>
      <c r="T4910" s="6"/>
      <c r="U4910" s="6"/>
      <c r="V4910" s="6"/>
      <c r="W4910" s="6"/>
      <c r="X4910" s="6"/>
      <c r="Y4910" s="6"/>
      <c r="Z4910" s="6"/>
    </row>
    <row r="4911" customFormat="false" ht="15" hidden="false" customHeight="false" outlineLevel="0" collapsed="false">
      <c r="A4911" s="9" t="s">
        <v>10754</v>
      </c>
      <c r="B4911" s="9" t="s">
        <v>5870</v>
      </c>
      <c r="C4911" s="9" t="s">
        <v>5187</v>
      </c>
      <c r="D4911" s="9" t="s">
        <v>5871</v>
      </c>
      <c r="E4911" s="9" t="str">
        <f aca="false">IF(AND('Formation Ledger'!A4890&lt;&gt;"",'Formation Ledger'!V4890=0),"PASS","FAIL")</f>
        <v>PASS</v>
      </c>
      <c r="F4911" s="9" t="s">
        <v>76</v>
      </c>
      <c r="G4911" s="6"/>
      <c r="H4911" s="6"/>
      <c r="I4911" s="6"/>
      <c r="J4911" s="6"/>
      <c r="K4911" s="6"/>
      <c r="L4911" s="6"/>
      <c r="M4911" s="6"/>
      <c r="N4911" s="6"/>
      <c r="O4911" s="6"/>
      <c r="P4911" s="6"/>
      <c r="Q4911" s="6"/>
      <c r="R4911" s="6"/>
      <c r="S4911" s="6"/>
      <c r="T4911" s="6"/>
      <c r="U4911" s="6"/>
      <c r="V4911" s="6"/>
      <c r="W4911" s="6"/>
      <c r="X4911" s="6"/>
      <c r="Y4911" s="6"/>
      <c r="Z4911" s="6"/>
    </row>
    <row r="4912" customFormat="false" ht="15" hidden="false" customHeight="false" outlineLevel="0" collapsed="false">
      <c r="A4912" s="9" t="s">
        <v>10755</v>
      </c>
      <c r="B4912" s="9" t="s">
        <v>5870</v>
      </c>
      <c r="C4912" s="9" t="s">
        <v>5188</v>
      </c>
      <c r="D4912" s="9" t="s">
        <v>5871</v>
      </c>
      <c r="E4912" s="9" t="str">
        <f aca="false">IF(AND('Formation Ledger'!A4891&lt;&gt;"",'Formation Ledger'!V4891=0),"PASS","FAIL")</f>
        <v>PASS</v>
      </c>
      <c r="F4912" s="9" t="s">
        <v>76</v>
      </c>
      <c r="G4912" s="6"/>
      <c r="H4912" s="6"/>
      <c r="I4912" s="6"/>
      <c r="J4912" s="6"/>
      <c r="K4912" s="6"/>
      <c r="L4912" s="6"/>
      <c r="M4912" s="6"/>
      <c r="N4912" s="6"/>
      <c r="O4912" s="6"/>
      <c r="P4912" s="6"/>
      <c r="Q4912" s="6"/>
      <c r="R4912" s="6"/>
      <c r="S4912" s="6"/>
      <c r="T4912" s="6"/>
      <c r="U4912" s="6"/>
      <c r="V4912" s="6"/>
      <c r="W4912" s="6"/>
      <c r="X4912" s="6"/>
      <c r="Y4912" s="6"/>
      <c r="Z4912" s="6"/>
    </row>
    <row r="4913" customFormat="false" ht="15" hidden="false" customHeight="false" outlineLevel="0" collapsed="false">
      <c r="A4913" s="9" t="s">
        <v>10756</v>
      </c>
      <c r="B4913" s="9" t="s">
        <v>5870</v>
      </c>
      <c r="C4913" s="9" t="s">
        <v>5189</v>
      </c>
      <c r="D4913" s="9" t="s">
        <v>5871</v>
      </c>
      <c r="E4913" s="9" t="str">
        <f aca="false">IF(AND('Formation Ledger'!A4892&lt;&gt;"",'Formation Ledger'!V4892=0),"PASS","FAIL")</f>
        <v>PASS</v>
      </c>
      <c r="F4913" s="9" t="s">
        <v>76</v>
      </c>
      <c r="G4913" s="6"/>
      <c r="H4913" s="6"/>
      <c r="I4913" s="6"/>
      <c r="J4913" s="6"/>
      <c r="K4913" s="6"/>
      <c r="L4913" s="6"/>
      <c r="M4913" s="6"/>
      <c r="N4913" s="6"/>
      <c r="O4913" s="6"/>
      <c r="P4913" s="6"/>
      <c r="Q4913" s="6"/>
      <c r="R4913" s="6"/>
      <c r="S4913" s="6"/>
      <c r="T4913" s="6"/>
      <c r="U4913" s="6"/>
      <c r="V4913" s="6"/>
      <c r="W4913" s="6"/>
      <c r="X4913" s="6"/>
      <c r="Y4913" s="6"/>
      <c r="Z4913" s="6"/>
    </row>
    <row r="4914" customFormat="false" ht="15" hidden="false" customHeight="false" outlineLevel="0" collapsed="false">
      <c r="A4914" s="9" t="s">
        <v>10757</v>
      </c>
      <c r="B4914" s="9" t="s">
        <v>5870</v>
      </c>
      <c r="C4914" s="9" t="s">
        <v>5190</v>
      </c>
      <c r="D4914" s="9" t="s">
        <v>5871</v>
      </c>
      <c r="E4914" s="9" t="str">
        <f aca="false">IF(AND('Formation Ledger'!A4893&lt;&gt;"",'Formation Ledger'!V4893=0),"PASS","FAIL")</f>
        <v>PASS</v>
      </c>
      <c r="F4914" s="9" t="s">
        <v>76</v>
      </c>
      <c r="G4914" s="6"/>
      <c r="H4914" s="6"/>
      <c r="I4914" s="6"/>
      <c r="J4914" s="6"/>
      <c r="K4914" s="6"/>
      <c r="L4914" s="6"/>
      <c r="M4914" s="6"/>
      <c r="N4914" s="6"/>
      <c r="O4914" s="6"/>
      <c r="P4914" s="6"/>
      <c r="Q4914" s="6"/>
      <c r="R4914" s="6"/>
      <c r="S4914" s="6"/>
      <c r="T4914" s="6"/>
      <c r="U4914" s="6"/>
      <c r="V4914" s="6"/>
      <c r="W4914" s="6"/>
      <c r="X4914" s="6"/>
      <c r="Y4914" s="6"/>
      <c r="Z4914" s="6"/>
    </row>
    <row r="4915" customFormat="false" ht="15" hidden="false" customHeight="false" outlineLevel="0" collapsed="false">
      <c r="A4915" s="9" t="s">
        <v>10758</v>
      </c>
      <c r="B4915" s="9" t="s">
        <v>5870</v>
      </c>
      <c r="C4915" s="9" t="s">
        <v>5191</v>
      </c>
      <c r="D4915" s="9" t="s">
        <v>5871</v>
      </c>
      <c r="E4915" s="9" t="str">
        <f aca="false">IF(AND('Formation Ledger'!A4894&lt;&gt;"",'Formation Ledger'!V4894=0),"PASS","FAIL")</f>
        <v>PASS</v>
      </c>
      <c r="F4915" s="9" t="s">
        <v>76</v>
      </c>
      <c r="G4915" s="6"/>
      <c r="H4915" s="6"/>
      <c r="I4915" s="6"/>
      <c r="J4915" s="6"/>
      <c r="K4915" s="6"/>
      <c r="L4915" s="6"/>
      <c r="M4915" s="6"/>
      <c r="N4915" s="6"/>
      <c r="O4915" s="6"/>
      <c r="P4915" s="6"/>
      <c r="Q4915" s="6"/>
      <c r="R4915" s="6"/>
      <c r="S4915" s="6"/>
      <c r="T4915" s="6"/>
      <c r="U4915" s="6"/>
      <c r="V4915" s="6"/>
      <c r="W4915" s="6"/>
      <c r="X4915" s="6"/>
      <c r="Y4915" s="6"/>
      <c r="Z4915" s="6"/>
    </row>
    <row r="4916" customFormat="false" ht="15" hidden="false" customHeight="false" outlineLevel="0" collapsed="false">
      <c r="A4916" s="9" t="s">
        <v>10759</v>
      </c>
      <c r="B4916" s="9" t="s">
        <v>5870</v>
      </c>
      <c r="C4916" s="9" t="s">
        <v>5192</v>
      </c>
      <c r="D4916" s="9" t="s">
        <v>5871</v>
      </c>
      <c r="E4916" s="9" t="str">
        <f aca="false">IF(AND('Formation Ledger'!A4895&lt;&gt;"",'Formation Ledger'!V4895=0),"PASS","FAIL")</f>
        <v>PASS</v>
      </c>
      <c r="F4916" s="9" t="s">
        <v>76</v>
      </c>
      <c r="G4916" s="6"/>
      <c r="H4916" s="6"/>
      <c r="I4916" s="6"/>
      <c r="J4916" s="6"/>
      <c r="K4916" s="6"/>
      <c r="L4916" s="6"/>
      <c r="M4916" s="6"/>
      <c r="N4916" s="6"/>
      <c r="O4916" s="6"/>
      <c r="P4916" s="6"/>
      <c r="Q4916" s="6"/>
      <c r="R4916" s="6"/>
      <c r="S4916" s="6"/>
      <c r="T4916" s="6"/>
      <c r="U4916" s="6"/>
      <c r="V4916" s="6"/>
      <c r="W4916" s="6"/>
      <c r="X4916" s="6"/>
      <c r="Y4916" s="6"/>
      <c r="Z4916" s="6"/>
    </row>
    <row r="4917" customFormat="false" ht="15" hidden="false" customHeight="false" outlineLevel="0" collapsed="false">
      <c r="A4917" s="9" t="s">
        <v>10760</v>
      </c>
      <c r="B4917" s="9" t="s">
        <v>5870</v>
      </c>
      <c r="C4917" s="9" t="s">
        <v>5193</v>
      </c>
      <c r="D4917" s="9" t="s">
        <v>5871</v>
      </c>
      <c r="E4917" s="9" t="str">
        <f aca="false">IF(AND('Formation Ledger'!A4896&lt;&gt;"",'Formation Ledger'!V4896=0),"PASS","FAIL")</f>
        <v>PASS</v>
      </c>
      <c r="F4917" s="9" t="s">
        <v>76</v>
      </c>
      <c r="G4917" s="6"/>
      <c r="H4917" s="6"/>
      <c r="I4917" s="6"/>
      <c r="J4917" s="6"/>
      <c r="K4917" s="6"/>
      <c r="L4917" s="6"/>
      <c r="M4917" s="6"/>
      <c r="N4917" s="6"/>
      <c r="O4917" s="6"/>
      <c r="P4917" s="6"/>
      <c r="Q4917" s="6"/>
      <c r="R4917" s="6"/>
      <c r="S4917" s="6"/>
      <c r="T4917" s="6"/>
      <c r="U4917" s="6"/>
      <c r="V4917" s="6"/>
      <c r="W4917" s="6"/>
      <c r="X4917" s="6"/>
      <c r="Y4917" s="6"/>
      <c r="Z4917" s="6"/>
    </row>
    <row r="4918" customFormat="false" ht="15" hidden="false" customHeight="false" outlineLevel="0" collapsed="false">
      <c r="A4918" s="9" t="s">
        <v>10761</v>
      </c>
      <c r="B4918" s="9" t="s">
        <v>5870</v>
      </c>
      <c r="C4918" s="9" t="s">
        <v>5194</v>
      </c>
      <c r="D4918" s="9" t="s">
        <v>5871</v>
      </c>
      <c r="E4918" s="9" t="str">
        <f aca="false">IF(AND('Formation Ledger'!A4897&lt;&gt;"",'Formation Ledger'!V4897=0),"PASS","FAIL")</f>
        <v>PASS</v>
      </c>
      <c r="F4918" s="9" t="s">
        <v>76</v>
      </c>
      <c r="G4918" s="6"/>
      <c r="H4918" s="6"/>
      <c r="I4918" s="6"/>
      <c r="J4918" s="6"/>
      <c r="K4918" s="6"/>
      <c r="L4918" s="6"/>
      <c r="M4918" s="6"/>
      <c r="N4918" s="6"/>
      <c r="O4918" s="6"/>
      <c r="P4918" s="6"/>
      <c r="Q4918" s="6"/>
      <c r="R4918" s="6"/>
      <c r="S4918" s="6"/>
      <c r="T4918" s="6"/>
      <c r="U4918" s="6"/>
      <c r="V4918" s="6"/>
      <c r="W4918" s="6"/>
      <c r="X4918" s="6"/>
      <c r="Y4918" s="6"/>
      <c r="Z4918" s="6"/>
    </row>
    <row r="4919" customFormat="false" ht="15" hidden="false" customHeight="false" outlineLevel="0" collapsed="false">
      <c r="A4919" s="9" t="s">
        <v>10762</v>
      </c>
      <c r="B4919" s="9" t="s">
        <v>5870</v>
      </c>
      <c r="C4919" s="9" t="s">
        <v>5195</v>
      </c>
      <c r="D4919" s="9" t="s">
        <v>5871</v>
      </c>
      <c r="E4919" s="9" t="str">
        <f aca="false">IF(AND('Formation Ledger'!A4898&lt;&gt;"",'Formation Ledger'!V4898=0),"PASS","FAIL")</f>
        <v>PASS</v>
      </c>
      <c r="F4919" s="9" t="s">
        <v>76</v>
      </c>
      <c r="G4919" s="6"/>
      <c r="H4919" s="6"/>
      <c r="I4919" s="6"/>
      <c r="J4919" s="6"/>
      <c r="K4919" s="6"/>
      <c r="L4919" s="6"/>
      <c r="M4919" s="6"/>
      <c r="N4919" s="6"/>
      <c r="O4919" s="6"/>
      <c r="P4919" s="6"/>
      <c r="Q4919" s="6"/>
      <c r="R4919" s="6"/>
      <c r="S4919" s="6"/>
      <c r="T4919" s="6"/>
      <c r="U4919" s="6"/>
      <c r="V4919" s="6"/>
      <c r="W4919" s="6"/>
      <c r="X4919" s="6"/>
      <c r="Y4919" s="6"/>
      <c r="Z4919" s="6"/>
    </row>
    <row r="4920" customFormat="false" ht="15" hidden="false" customHeight="false" outlineLevel="0" collapsed="false">
      <c r="A4920" s="9" t="s">
        <v>10763</v>
      </c>
      <c r="B4920" s="9" t="s">
        <v>5870</v>
      </c>
      <c r="C4920" s="9" t="s">
        <v>5196</v>
      </c>
      <c r="D4920" s="9" t="s">
        <v>5871</v>
      </c>
      <c r="E4920" s="9" t="str">
        <f aca="false">IF(AND('Formation Ledger'!A4899&lt;&gt;"",'Formation Ledger'!V4899=0),"PASS","FAIL")</f>
        <v>PASS</v>
      </c>
      <c r="F4920" s="9" t="s">
        <v>76</v>
      </c>
      <c r="G4920" s="6"/>
      <c r="H4920" s="6"/>
      <c r="I4920" s="6"/>
      <c r="J4920" s="6"/>
      <c r="K4920" s="6"/>
      <c r="L4920" s="6"/>
      <c r="M4920" s="6"/>
      <c r="N4920" s="6"/>
      <c r="O4920" s="6"/>
      <c r="P4920" s="6"/>
      <c r="Q4920" s="6"/>
      <c r="R4920" s="6"/>
      <c r="S4920" s="6"/>
      <c r="T4920" s="6"/>
      <c r="U4920" s="6"/>
      <c r="V4920" s="6"/>
      <c r="W4920" s="6"/>
      <c r="X4920" s="6"/>
      <c r="Y4920" s="6"/>
      <c r="Z4920" s="6"/>
    </row>
    <row r="4921" customFormat="false" ht="15" hidden="false" customHeight="false" outlineLevel="0" collapsed="false">
      <c r="A4921" s="9" t="s">
        <v>10764</v>
      </c>
      <c r="B4921" s="9" t="s">
        <v>5870</v>
      </c>
      <c r="C4921" s="9" t="s">
        <v>5197</v>
      </c>
      <c r="D4921" s="9" t="s">
        <v>5871</v>
      </c>
      <c r="E4921" s="9" t="str">
        <f aca="false">IF(AND('Formation Ledger'!A4900&lt;&gt;"",'Formation Ledger'!V4900=0),"PASS","FAIL")</f>
        <v>PASS</v>
      </c>
      <c r="F4921" s="9" t="s">
        <v>76</v>
      </c>
      <c r="G4921" s="6"/>
      <c r="H4921" s="6"/>
      <c r="I4921" s="6"/>
      <c r="J4921" s="6"/>
      <c r="K4921" s="6"/>
      <c r="L4921" s="6"/>
      <c r="M4921" s="6"/>
      <c r="N4921" s="6"/>
      <c r="O4921" s="6"/>
      <c r="P4921" s="6"/>
      <c r="Q4921" s="6"/>
      <c r="R4921" s="6"/>
      <c r="S4921" s="6"/>
      <c r="T4921" s="6"/>
      <c r="U4921" s="6"/>
      <c r="V4921" s="6"/>
      <c r="W4921" s="6"/>
      <c r="X4921" s="6"/>
      <c r="Y4921" s="6"/>
      <c r="Z4921" s="6"/>
    </row>
    <row r="4922" customFormat="false" ht="15" hidden="false" customHeight="false" outlineLevel="0" collapsed="false">
      <c r="A4922" s="9" t="s">
        <v>10765</v>
      </c>
      <c r="B4922" s="9" t="s">
        <v>5870</v>
      </c>
      <c r="C4922" s="9" t="s">
        <v>5198</v>
      </c>
      <c r="D4922" s="9" t="s">
        <v>5871</v>
      </c>
      <c r="E4922" s="9" t="str">
        <f aca="false">IF(AND('Formation Ledger'!A4901&lt;&gt;"",'Formation Ledger'!V4901=0),"PASS","FAIL")</f>
        <v>PASS</v>
      </c>
      <c r="F4922" s="9" t="s">
        <v>76</v>
      </c>
      <c r="G4922" s="6"/>
      <c r="H4922" s="6"/>
      <c r="I4922" s="6"/>
      <c r="J4922" s="6"/>
      <c r="K4922" s="6"/>
      <c r="L4922" s="6"/>
      <c r="M4922" s="6"/>
      <c r="N4922" s="6"/>
      <c r="O4922" s="6"/>
      <c r="P4922" s="6"/>
      <c r="Q4922" s="6"/>
      <c r="R4922" s="6"/>
      <c r="S4922" s="6"/>
      <c r="T4922" s="6"/>
      <c r="U4922" s="6"/>
      <c r="V4922" s="6"/>
      <c r="W4922" s="6"/>
      <c r="X4922" s="6"/>
      <c r="Y4922" s="6"/>
      <c r="Z4922" s="6"/>
    </row>
    <row r="4923" customFormat="false" ht="15" hidden="false" customHeight="false" outlineLevel="0" collapsed="false">
      <c r="A4923" s="9" t="s">
        <v>10766</v>
      </c>
      <c r="B4923" s="9" t="s">
        <v>5870</v>
      </c>
      <c r="C4923" s="9" t="s">
        <v>5199</v>
      </c>
      <c r="D4923" s="9" t="s">
        <v>5871</v>
      </c>
      <c r="E4923" s="9" t="str">
        <f aca="false">IF(AND('Formation Ledger'!A4902&lt;&gt;"",'Formation Ledger'!V4902=0),"PASS","FAIL")</f>
        <v>PASS</v>
      </c>
      <c r="F4923" s="9" t="s">
        <v>76</v>
      </c>
      <c r="G4923" s="6"/>
      <c r="H4923" s="6"/>
      <c r="I4923" s="6"/>
      <c r="J4923" s="6"/>
      <c r="K4923" s="6"/>
      <c r="L4923" s="6"/>
      <c r="M4923" s="6"/>
      <c r="N4923" s="6"/>
      <c r="O4923" s="6"/>
      <c r="P4923" s="6"/>
      <c r="Q4923" s="6"/>
      <c r="R4923" s="6"/>
      <c r="S4923" s="6"/>
      <c r="T4923" s="6"/>
      <c r="U4923" s="6"/>
      <c r="V4923" s="6"/>
      <c r="W4923" s="6"/>
      <c r="X4923" s="6"/>
      <c r="Y4923" s="6"/>
      <c r="Z4923" s="6"/>
    </row>
    <row r="4924" customFormat="false" ht="15" hidden="false" customHeight="false" outlineLevel="0" collapsed="false">
      <c r="A4924" s="9" t="s">
        <v>10767</v>
      </c>
      <c r="B4924" s="9" t="s">
        <v>5870</v>
      </c>
      <c r="C4924" s="9" t="s">
        <v>5200</v>
      </c>
      <c r="D4924" s="9" t="s">
        <v>5871</v>
      </c>
      <c r="E4924" s="9" t="str">
        <f aca="false">IF(AND('Formation Ledger'!A4903&lt;&gt;"",'Formation Ledger'!V4903=0),"PASS","FAIL")</f>
        <v>PASS</v>
      </c>
      <c r="F4924" s="9" t="s">
        <v>76</v>
      </c>
      <c r="G4924" s="6"/>
      <c r="H4924" s="6"/>
      <c r="I4924" s="6"/>
      <c r="J4924" s="6"/>
      <c r="K4924" s="6"/>
      <c r="L4924" s="6"/>
      <c r="M4924" s="6"/>
      <c r="N4924" s="6"/>
      <c r="O4924" s="6"/>
      <c r="P4924" s="6"/>
      <c r="Q4924" s="6"/>
      <c r="R4924" s="6"/>
      <c r="S4924" s="6"/>
      <c r="T4924" s="6"/>
      <c r="U4924" s="6"/>
      <c r="V4924" s="6"/>
      <c r="W4924" s="6"/>
      <c r="X4924" s="6"/>
      <c r="Y4924" s="6"/>
      <c r="Z4924" s="6"/>
    </row>
    <row r="4925" customFormat="false" ht="15" hidden="false" customHeight="false" outlineLevel="0" collapsed="false">
      <c r="A4925" s="9" t="s">
        <v>10768</v>
      </c>
      <c r="B4925" s="9" t="s">
        <v>5870</v>
      </c>
      <c r="C4925" s="9" t="s">
        <v>5201</v>
      </c>
      <c r="D4925" s="9" t="s">
        <v>5871</v>
      </c>
      <c r="E4925" s="9" t="str">
        <f aca="false">IF(AND('Formation Ledger'!A4904&lt;&gt;"",'Formation Ledger'!V4904=0),"PASS","FAIL")</f>
        <v>PASS</v>
      </c>
      <c r="F4925" s="9" t="s">
        <v>76</v>
      </c>
      <c r="G4925" s="6"/>
      <c r="H4925" s="6"/>
      <c r="I4925" s="6"/>
      <c r="J4925" s="6"/>
      <c r="K4925" s="6"/>
      <c r="L4925" s="6"/>
      <c r="M4925" s="6"/>
      <c r="N4925" s="6"/>
      <c r="O4925" s="6"/>
      <c r="P4925" s="6"/>
      <c r="Q4925" s="6"/>
      <c r="R4925" s="6"/>
      <c r="S4925" s="6"/>
      <c r="T4925" s="6"/>
      <c r="U4925" s="6"/>
      <c r="V4925" s="6"/>
      <c r="W4925" s="6"/>
      <c r="X4925" s="6"/>
      <c r="Y4925" s="6"/>
      <c r="Z4925" s="6"/>
    </row>
    <row r="4926" customFormat="false" ht="15" hidden="false" customHeight="false" outlineLevel="0" collapsed="false">
      <c r="A4926" s="9" t="s">
        <v>10769</v>
      </c>
      <c r="B4926" s="9" t="s">
        <v>5870</v>
      </c>
      <c r="C4926" s="9" t="s">
        <v>5202</v>
      </c>
      <c r="D4926" s="9" t="s">
        <v>5871</v>
      </c>
      <c r="E4926" s="9" t="str">
        <f aca="false">IF(AND('Formation Ledger'!A4905&lt;&gt;"",'Formation Ledger'!V4905=0),"PASS","FAIL")</f>
        <v>PASS</v>
      </c>
      <c r="F4926" s="9" t="s">
        <v>76</v>
      </c>
      <c r="G4926" s="6"/>
      <c r="H4926" s="6"/>
      <c r="I4926" s="6"/>
      <c r="J4926" s="6"/>
      <c r="K4926" s="6"/>
      <c r="L4926" s="6"/>
      <c r="M4926" s="6"/>
      <c r="N4926" s="6"/>
      <c r="O4926" s="6"/>
      <c r="P4926" s="6"/>
      <c r="Q4926" s="6"/>
      <c r="R4926" s="6"/>
      <c r="S4926" s="6"/>
      <c r="T4926" s="6"/>
      <c r="U4926" s="6"/>
      <c r="V4926" s="6"/>
      <c r="W4926" s="6"/>
      <c r="X4926" s="6"/>
      <c r="Y4926" s="6"/>
      <c r="Z4926" s="6"/>
    </row>
    <row r="4927" customFormat="false" ht="15" hidden="false" customHeight="false" outlineLevel="0" collapsed="false">
      <c r="A4927" s="9" t="s">
        <v>10770</v>
      </c>
      <c r="B4927" s="9" t="s">
        <v>5870</v>
      </c>
      <c r="C4927" s="9" t="s">
        <v>5203</v>
      </c>
      <c r="D4927" s="9" t="s">
        <v>5871</v>
      </c>
      <c r="E4927" s="9" t="str">
        <f aca="false">IF(AND('Formation Ledger'!A4906&lt;&gt;"",'Formation Ledger'!V4906=0),"PASS","FAIL")</f>
        <v>PASS</v>
      </c>
      <c r="F4927" s="9" t="s">
        <v>76</v>
      </c>
      <c r="G4927" s="6"/>
      <c r="H4927" s="6"/>
      <c r="I4927" s="6"/>
      <c r="J4927" s="6"/>
      <c r="K4927" s="6"/>
      <c r="L4927" s="6"/>
      <c r="M4927" s="6"/>
      <c r="N4927" s="6"/>
      <c r="O4927" s="6"/>
      <c r="P4927" s="6"/>
      <c r="Q4927" s="6"/>
      <c r="R4927" s="6"/>
      <c r="S4927" s="6"/>
      <c r="T4927" s="6"/>
      <c r="U4927" s="6"/>
      <c r="V4927" s="6"/>
      <c r="W4927" s="6"/>
      <c r="X4927" s="6"/>
      <c r="Y4927" s="6"/>
      <c r="Z4927" s="6"/>
    </row>
    <row r="4928" customFormat="false" ht="15" hidden="false" customHeight="false" outlineLevel="0" collapsed="false">
      <c r="A4928" s="9" t="s">
        <v>10771</v>
      </c>
      <c r="B4928" s="9" t="s">
        <v>5870</v>
      </c>
      <c r="C4928" s="9" t="s">
        <v>5204</v>
      </c>
      <c r="D4928" s="9" t="s">
        <v>5871</v>
      </c>
      <c r="E4928" s="9" t="str">
        <f aca="false">IF(AND('Formation Ledger'!A4907&lt;&gt;"",'Formation Ledger'!V4907=0),"PASS","FAIL")</f>
        <v>PASS</v>
      </c>
      <c r="F4928" s="9" t="s">
        <v>76</v>
      </c>
      <c r="G4928" s="6"/>
      <c r="H4928" s="6"/>
      <c r="I4928" s="6"/>
      <c r="J4928" s="6"/>
      <c r="K4928" s="6"/>
      <c r="L4928" s="6"/>
      <c r="M4928" s="6"/>
      <c r="N4928" s="6"/>
      <c r="O4928" s="6"/>
      <c r="P4928" s="6"/>
      <c r="Q4928" s="6"/>
      <c r="R4928" s="6"/>
      <c r="S4928" s="6"/>
      <c r="T4928" s="6"/>
      <c r="U4928" s="6"/>
      <c r="V4928" s="6"/>
      <c r="W4928" s="6"/>
      <c r="X4928" s="6"/>
      <c r="Y4928" s="6"/>
      <c r="Z4928" s="6"/>
    </row>
    <row r="4929" customFormat="false" ht="15" hidden="false" customHeight="false" outlineLevel="0" collapsed="false">
      <c r="A4929" s="9" t="s">
        <v>10772</v>
      </c>
      <c r="B4929" s="9" t="s">
        <v>5870</v>
      </c>
      <c r="C4929" s="9" t="s">
        <v>5205</v>
      </c>
      <c r="D4929" s="9" t="s">
        <v>5871</v>
      </c>
      <c r="E4929" s="9" t="str">
        <f aca="false">IF(AND('Formation Ledger'!A4908&lt;&gt;"",'Formation Ledger'!V4908=0),"PASS","FAIL")</f>
        <v>PASS</v>
      </c>
      <c r="F4929" s="9" t="s">
        <v>76</v>
      </c>
      <c r="G4929" s="6"/>
      <c r="H4929" s="6"/>
      <c r="I4929" s="6"/>
      <c r="J4929" s="6"/>
      <c r="K4929" s="6"/>
      <c r="L4929" s="6"/>
      <c r="M4929" s="6"/>
      <c r="N4929" s="6"/>
      <c r="O4929" s="6"/>
      <c r="P4929" s="6"/>
      <c r="Q4929" s="6"/>
      <c r="R4929" s="6"/>
      <c r="S4929" s="6"/>
      <c r="T4929" s="6"/>
      <c r="U4929" s="6"/>
      <c r="V4929" s="6"/>
      <c r="W4929" s="6"/>
      <c r="X4929" s="6"/>
      <c r="Y4929" s="6"/>
      <c r="Z4929" s="6"/>
    </row>
    <row r="4930" customFormat="false" ht="15" hidden="false" customHeight="false" outlineLevel="0" collapsed="false">
      <c r="A4930" s="9" t="s">
        <v>10773</v>
      </c>
      <c r="B4930" s="9" t="s">
        <v>5870</v>
      </c>
      <c r="C4930" s="9" t="s">
        <v>5206</v>
      </c>
      <c r="D4930" s="9" t="s">
        <v>5871</v>
      </c>
      <c r="E4930" s="9" t="str">
        <f aca="false">IF(AND('Formation Ledger'!A4909&lt;&gt;"",'Formation Ledger'!V4909=0),"PASS","FAIL")</f>
        <v>PASS</v>
      </c>
      <c r="F4930" s="9" t="s">
        <v>76</v>
      </c>
      <c r="G4930" s="6"/>
      <c r="H4930" s="6"/>
      <c r="I4930" s="6"/>
      <c r="J4930" s="6"/>
      <c r="K4930" s="6"/>
      <c r="L4930" s="6"/>
      <c r="M4930" s="6"/>
      <c r="N4930" s="6"/>
      <c r="O4930" s="6"/>
      <c r="P4930" s="6"/>
      <c r="Q4930" s="6"/>
      <c r="R4930" s="6"/>
      <c r="S4930" s="6"/>
      <c r="T4930" s="6"/>
      <c r="U4930" s="6"/>
      <c r="V4930" s="6"/>
      <c r="W4930" s="6"/>
      <c r="X4930" s="6"/>
      <c r="Y4930" s="6"/>
      <c r="Z4930" s="6"/>
    </row>
    <row r="4931" customFormat="false" ht="15" hidden="false" customHeight="false" outlineLevel="0" collapsed="false">
      <c r="A4931" s="9" t="s">
        <v>10774</v>
      </c>
      <c r="B4931" s="9" t="s">
        <v>5870</v>
      </c>
      <c r="C4931" s="9" t="s">
        <v>5207</v>
      </c>
      <c r="D4931" s="9" t="s">
        <v>5871</v>
      </c>
      <c r="E4931" s="9" t="str">
        <f aca="false">IF(AND('Formation Ledger'!A4910&lt;&gt;"",'Formation Ledger'!V4910=0),"PASS","FAIL")</f>
        <v>PASS</v>
      </c>
      <c r="F4931" s="9" t="s">
        <v>76</v>
      </c>
      <c r="G4931" s="6"/>
      <c r="H4931" s="6"/>
      <c r="I4931" s="6"/>
      <c r="J4931" s="6"/>
      <c r="K4931" s="6"/>
      <c r="L4931" s="6"/>
      <c r="M4931" s="6"/>
      <c r="N4931" s="6"/>
      <c r="O4931" s="6"/>
      <c r="P4931" s="6"/>
      <c r="Q4931" s="6"/>
      <c r="R4931" s="6"/>
      <c r="S4931" s="6"/>
      <c r="T4931" s="6"/>
      <c r="U4931" s="6"/>
      <c r="V4931" s="6"/>
      <c r="W4931" s="6"/>
      <c r="X4931" s="6"/>
      <c r="Y4931" s="6"/>
      <c r="Z4931" s="6"/>
    </row>
    <row r="4932" customFormat="false" ht="15" hidden="false" customHeight="false" outlineLevel="0" collapsed="false">
      <c r="A4932" s="9" t="s">
        <v>10775</v>
      </c>
      <c r="B4932" s="9" t="s">
        <v>5870</v>
      </c>
      <c r="C4932" s="9" t="s">
        <v>5208</v>
      </c>
      <c r="D4932" s="9" t="s">
        <v>5871</v>
      </c>
      <c r="E4932" s="9" t="str">
        <f aca="false">IF(AND('Formation Ledger'!A4911&lt;&gt;"",'Formation Ledger'!V4911=0),"PASS","FAIL")</f>
        <v>PASS</v>
      </c>
      <c r="F4932" s="9" t="s">
        <v>76</v>
      </c>
      <c r="G4932" s="6"/>
      <c r="H4932" s="6"/>
      <c r="I4932" s="6"/>
      <c r="J4932" s="6"/>
      <c r="K4932" s="6"/>
      <c r="L4932" s="6"/>
      <c r="M4932" s="6"/>
      <c r="N4932" s="6"/>
      <c r="O4932" s="6"/>
      <c r="P4932" s="6"/>
      <c r="Q4932" s="6"/>
      <c r="R4932" s="6"/>
      <c r="S4932" s="6"/>
      <c r="T4932" s="6"/>
      <c r="U4932" s="6"/>
      <c r="V4932" s="6"/>
      <c r="W4932" s="6"/>
      <c r="X4932" s="6"/>
      <c r="Y4932" s="6"/>
      <c r="Z4932" s="6"/>
    </row>
    <row r="4933" customFormat="false" ht="15" hidden="false" customHeight="false" outlineLevel="0" collapsed="false">
      <c r="A4933" s="9" t="s">
        <v>10776</v>
      </c>
      <c r="B4933" s="9" t="s">
        <v>5870</v>
      </c>
      <c r="C4933" s="9" t="s">
        <v>5209</v>
      </c>
      <c r="D4933" s="9" t="s">
        <v>5871</v>
      </c>
      <c r="E4933" s="9" t="str">
        <f aca="false">IF(AND('Formation Ledger'!A4912&lt;&gt;"",'Formation Ledger'!V4912=0),"PASS","FAIL")</f>
        <v>PASS</v>
      </c>
      <c r="F4933" s="9" t="s">
        <v>76</v>
      </c>
      <c r="G4933" s="6"/>
      <c r="H4933" s="6"/>
      <c r="I4933" s="6"/>
      <c r="J4933" s="6"/>
      <c r="K4933" s="6"/>
      <c r="L4933" s="6"/>
      <c r="M4933" s="6"/>
      <c r="N4933" s="6"/>
      <c r="O4933" s="6"/>
      <c r="P4933" s="6"/>
      <c r="Q4933" s="6"/>
      <c r="R4933" s="6"/>
      <c r="S4933" s="6"/>
      <c r="T4933" s="6"/>
      <c r="U4933" s="6"/>
      <c r="V4933" s="6"/>
      <c r="W4933" s="6"/>
      <c r="X4933" s="6"/>
      <c r="Y4933" s="6"/>
      <c r="Z4933" s="6"/>
    </row>
    <row r="4934" customFormat="false" ht="15" hidden="false" customHeight="false" outlineLevel="0" collapsed="false">
      <c r="A4934" s="9" t="s">
        <v>10777</v>
      </c>
      <c r="B4934" s="9" t="s">
        <v>5870</v>
      </c>
      <c r="C4934" s="9" t="s">
        <v>5210</v>
      </c>
      <c r="D4934" s="9" t="s">
        <v>5871</v>
      </c>
      <c r="E4934" s="9" t="str">
        <f aca="false">IF(AND('Formation Ledger'!A4913&lt;&gt;"",'Formation Ledger'!V4913=0),"PASS","FAIL")</f>
        <v>PASS</v>
      </c>
      <c r="F4934" s="9" t="s">
        <v>76</v>
      </c>
      <c r="G4934" s="6"/>
      <c r="H4934" s="6"/>
      <c r="I4934" s="6"/>
      <c r="J4934" s="6"/>
      <c r="K4934" s="6"/>
      <c r="L4934" s="6"/>
      <c r="M4934" s="6"/>
      <c r="N4934" s="6"/>
      <c r="O4934" s="6"/>
      <c r="P4934" s="6"/>
      <c r="Q4934" s="6"/>
      <c r="R4934" s="6"/>
      <c r="S4934" s="6"/>
      <c r="T4934" s="6"/>
      <c r="U4934" s="6"/>
      <c r="V4934" s="6"/>
      <c r="W4934" s="6"/>
      <c r="X4934" s="6"/>
      <c r="Y4934" s="6"/>
      <c r="Z4934" s="6"/>
    </row>
    <row r="4935" customFormat="false" ht="15" hidden="false" customHeight="false" outlineLevel="0" collapsed="false">
      <c r="A4935" s="9" t="s">
        <v>10778</v>
      </c>
      <c r="B4935" s="9" t="s">
        <v>5870</v>
      </c>
      <c r="C4935" s="9" t="s">
        <v>5211</v>
      </c>
      <c r="D4935" s="9" t="s">
        <v>5871</v>
      </c>
      <c r="E4935" s="9" t="str">
        <f aca="false">IF(AND('Formation Ledger'!A4914&lt;&gt;"",'Formation Ledger'!V4914=0),"PASS","FAIL")</f>
        <v>PASS</v>
      </c>
      <c r="F4935" s="9" t="s">
        <v>76</v>
      </c>
      <c r="G4935" s="6"/>
      <c r="H4935" s="6"/>
      <c r="I4935" s="6"/>
      <c r="J4935" s="6"/>
      <c r="K4935" s="6"/>
      <c r="L4935" s="6"/>
      <c r="M4935" s="6"/>
      <c r="N4935" s="6"/>
      <c r="O4935" s="6"/>
      <c r="P4935" s="6"/>
      <c r="Q4935" s="6"/>
      <c r="R4935" s="6"/>
      <c r="S4935" s="6"/>
      <c r="T4935" s="6"/>
      <c r="U4935" s="6"/>
      <c r="V4935" s="6"/>
      <c r="W4935" s="6"/>
      <c r="X4935" s="6"/>
      <c r="Y4935" s="6"/>
      <c r="Z4935" s="6"/>
    </row>
    <row r="4936" customFormat="false" ht="15" hidden="false" customHeight="false" outlineLevel="0" collapsed="false">
      <c r="A4936" s="9" t="s">
        <v>10779</v>
      </c>
      <c r="B4936" s="9" t="s">
        <v>5870</v>
      </c>
      <c r="C4936" s="9" t="s">
        <v>5212</v>
      </c>
      <c r="D4936" s="9" t="s">
        <v>5871</v>
      </c>
      <c r="E4936" s="9" t="str">
        <f aca="false">IF(AND('Formation Ledger'!A4915&lt;&gt;"",'Formation Ledger'!V4915=0),"PASS","FAIL")</f>
        <v>PASS</v>
      </c>
      <c r="F4936" s="9" t="s">
        <v>76</v>
      </c>
      <c r="G4936" s="6"/>
      <c r="H4936" s="6"/>
      <c r="I4936" s="6"/>
      <c r="J4936" s="6"/>
      <c r="K4936" s="6"/>
      <c r="L4936" s="6"/>
      <c r="M4936" s="6"/>
      <c r="N4936" s="6"/>
      <c r="O4936" s="6"/>
      <c r="P4936" s="6"/>
      <c r="Q4936" s="6"/>
      <c r="R4936" s="6"/>
      <c r="S4936" s="6"/>
      <c r="T4936" s="6"/>
      <c r="U4936" s="6"/>
      <c r="V4936" s="6"/>
      <c r="W4936" s="6"/>
      <c r="X4936" s="6"/>
      <c r="Y4936" s="6"/>
      <c r="Z4936" s="6"/>
    </row>
    <row r="4937" customFormat="false" ht="15" hidden="false" customHeight="false" outlineLevel="0" collapsed="false">
      <c r="A4937" s="9" t="s">
        <v>10780</v>
      </c>
      <c r="B4937" s="9" t="s">
        <v>5870</v>
      </c>
      <c r="C4937" s="9" t="s">
        <v>5213</v>
      </c>
      <c r="D4937" s="9" t="s">
        <v>5871</v>
      </c>
      <c r="E4937" s="9" t="str">
        <f aca="false">IF(AND('Formation Ledger'!A4916&lt;&gt;"",'Formation Ledger'!V4916=0),"PASS","FAIL")</f>
        <v>PASS</v>
      </c>
      <c r="F4937" s="9" t="s">
        <v>76</v>
      </c>
      <c r="G4937" s="6"/>
      <c r="H4937" s="6"/>
      <c r="I4937" s="6"/>
      <c r="J4937" s="6"/>
      <c r="K4937" s="6"/>
      <c r="L4937" s="6"/>
      <c r="M4937" s="6"/>
      <c r="N4937" s="6"/>
      <c r="O4937" s="6"/>
      <c r="P4937" s="6"/>
      <c r="Q4937" s="6"/>
      <c r="R4937" s="6"/>
      <c r="S4937" s="6"/>
      <c r="T4937" s="6"/>
      <c r="U4937" s="6"/>
      <c r="V4937" s="6"/>
      <c r="W4937" s="6"/>
      <c r="X4937" s="6"/>
      <c r="Y4937" s="6"/>
      <c r="Z4937" s="6"/>
    </row>
    <row r="4938" customFormat="false" ht="15" hidden="false" customHeight="false" outlineLevel="0" collapsed="false">
      <c r="A4938" s="9" t="s">
        <v>10781</v>
      </c>
      <c r="B4938" s="9" t="s">
        <v>5870</v>
      </c>
      <c r="C4938" s="9" t="s">
        <v>5214</v>
      </c>
      <c r="D4938" s="9" t="s">
        <v>5871</v>
      </c>
      <c r="E4938" s="9" t="str">
        <f aca="false">IF(AND('Formation Ledger'!A4917&lt;&gt;"",'Formation Ledger'!V4917=0),"PASS","FAIL")</f>
        <v>PASS</v>
      </c>
      <c r="F4938" s="9" t="s">
        <v>76</v>
      </c>
      <c r="G4938" s="6"/>
      <c r="H4938" s="6"/>
      <c r="I4938" s="6"/>
      <c r="J4938" s="6"/>
      <c r="K4938" s="6"/>
      <c r="L4938" s="6"/>
      <c r="M4938" s="6"/>
      <c r="N4938" s="6"/>
      <c r="O4938" s="6"/>
      <c r="P4938" s="6"/>
      <c r="Q4938" s="6"/>
      <c r="R4938" s="6"/>
      <c r="S4938" s="6"/>
      <c r="T4938" s="6"/>
      <c r="U4938" s="6"/>
      <c r="V4938" s="6"/>
      <c r="W4938" s="6"/>
      <c r="X4938" s="6"/>
      <c r="Y4938" s="6"/>
      <c r="Z4938" s="6"/>
    </row>
    <row r="4939" customFormat="false" ht="15" hidden="false" customHeight="false" outlineLevel="0" collapsed="false">
      <c r="A4939" s="9" t="s">
        <v>10782</v>
      </c>
      <c r="B4939" s="9" t="s">
        <v>5870</v>
      </c>
      <c r="C4939" s="9" t="s">
        <v>5215</v>
      </c>
      <c r="D4939" s="9" t="s">
        <v>5871</v>
      </c>
      <c r="E4939" s="9" t="str">
        <f aca="false">IF(AND('Formation Ledger'!A4918&lt;&gt;"",'Formation Ledger'!V4918=0),"PASS","FAIL")</f>
        <v>PASS</v>
      </c>
      <c r="F4939" s="9" t="s">
        <v>76</v>
      </c>
      <c r="G4939" s="6"/>
      <c r="H4939" s="6"/>
      <c r="I4939" s="6"/>
      <c r="J4939" s="6"/>
      <c r="K4939" s="6"/>
      <c r="L4939" s="6"/>
      <c r="M4939" s="6"/>
      <c r="N4939" s="6"/>
      <c r="O4939" s="6"/>
      <c r="P4939" s="6"/>
      <c r="Q4939" s="6"/>
      <c r="R4939" s="6"/>
      <c r="S4939" s="6"/>
      <c r="T4939" s="6"/>
      <c r="U4939" s="6"/>
      <c r="V4939" s="6"/>
      <c r="W4939" s="6"/>
      <c r="X4939" s="6"/>
      <c r="Y4939" s="6"/>
      <c r="Z4939" s="6"/>
    </row>
    <row r="4940" customFormat="false" ht="15" hidden="false" customHeight="false" outlineLevel="0" collapsed="false">
      <c r="A4940" s="9" t="s">
        <v>10783</v>
      </c>
      <c r="B4940" s="9" t="s">
        <v>5870</v>
      </c>
      <c r="C4940" s="9" t="s">
        <v>5216</v>
      </c>
      <c r="D4940" s="9" t="s">
        <v>5871</v>
      </c>
      <c r="E4940" s="9" t="str">
        <f aca="false">IF(AND('Formation Ledger'!A4919&lt;&gt;"",'Formation Ledger'!V4919=0),"PASS","FAIL")</f>
        <v>PASS</v>
      </c>
      <c r="F4940" s="9" t="s">
        <v>76</v>
      </c>
      <c r="G4940" s="6"/>
      <c r="H4940" s="6"/>
      <c r="I4940" s="6"/>
      <c r="J4940" s="6"/>
      <c r="K4940" s="6"/>
      <c r="L4940" s="6"/>
      <c r="M4940" s="6"/>
      <c r="N4940" s="6"/>
      <c r="O4940" s="6"/>
      <c r="P4940" s="6"/>
      <c r="Q4940" s="6"/>
      <c r="R4940" s="6"/>
      <c r="S4940" s="6"/>
      <c r="T4940" s="6"/>
      <c r="U4940" s="6"/>
      <c r="V4940" s="6"/>
      <c r="W4940" s="6"/>
      <c r="X4940" s="6"/>
      <c r="Y4940" s="6"/>
      <c r="Z4940" s="6"/>
    </row>
    <row r="4941" customFormat="false" ht="15" hidden="false" customHeight="false" outlineLevel="0" collapsed="false">
      <c r="A4941" s="9" t="s">
        <v>10784</v>
      </c>
      <c r="B4941" s="9" t="s">
        <v>5870</v>
      </c>
      <c r="C4941" s="9" t="s">
        <v>5217</v>
      </c>
      <c r="D4941" s="9" t="s">
        <v>5871</v>
      </c>
      <c r="E4941" s="9" t="str">
        <f aca="false">IF(AND('Formation Ledger'!A4920&lt;&gt;"",'Formation Ledger'!V4920=0),"PASS","FAIL")</f>
        <v>PASS</v>
      </c>
      <c r="F4941" s="9" t="s">
        <v>76</v>
      </c>
      <c r="G4941" s="6"/>
      <c r="H4941" s="6"/>
      <c r="I4941" s="6"/>
      <c r="J4941" s="6"/>
      <c r="K4941" s="6"/>
      <c r="L4941" s="6"/>
      <c r="M4941" s="6"/>
      <c r="N4941" s="6"/>
      <c r="O4941" s="6"/>
      <c r="P4941" s="6"/>
      <c r="Q4941" s="6"/>
      <c r="R4941" s="6"/>
      <c r="S4941" s="6"/>
      <c r="T4941" s="6"/>
      <c r="U4941" s="6"/>
      <c r="V4941" s="6"/>
      <c r="W4941" s="6"/>
      <c r="X4941" s="6"/>
      <c r="Y4941" s="6"/>
      <c r="Z4941" s="6"/>
    </row>
    <row r="4942" customFormat="false" ht="15" hidden="false" customHeight="false" outlineLevel="0" collapsed="false">
      <c r="A4942" s="9" t="s">
        <v>10785</v>
      </c>
      <c r="B4942" s="9" t="s">
        <v>5870</v>
      </c>
      <c r="C4942" s="9" t="s">
        <v>5218</v>
      </c>
      <c r="D4942" s="9" t="s">
        <v>5871</v>
      </c>
      <c r="E4942" s="9" t="str">
        <f aca="false">IF(AND('Formation Ledger'!A4921&lt;&gt;"",'Formation Ledger'!V4921=0),"PASS","FAIL")</f>
        <v>PASS</v>
      </c>
      <c r="F4942" s="9" t="s">
        <v>76</v>
      </c>
      <c r="G4942" s="6"/>
      <c r="H4942" s="6"/>
      <c r="I4942" s="6"/>
      <c r="J4942" s="6"/>
      <c r="K4942" s="6"/>
      <c r="L4942" s="6"/>
      <c r="M4942" s="6"/>
      <c r="N4942" s="6"/>
      <c r="O4942" s="6"/>
      <c r="P4942" s="6"/>
      <c r="Q4942" s="6"/>
      <c r="R4942" s="6"/>
      <c r="S4942" s="6"/>
      <c r="T4942" s="6"/>
      <c r="U4942" s="6"/>
      <c r="V4942" s="6"/>
      <c r="W4942" s="6"/>
      <c r="X4942" s="6"/>
      <c r="Y4942" s="6"/>
      <c r="Z4942" s="6"/>
    </row>
    <row r="4943" customFormat="false" ht="15" hidden="false" customHeight="false" outlineLevel="0" collapsed="false">
      <c r="A4943" s="9" t="s">
        <v>10786</v>
      </c>
      <c r="B4943" s="9" t="s">
        <v>5870</v>
      </c>
      <c r="C4943" s="9" t="s">
        <v>5219</v>
      </c>
      <c r="D4943" s="9" t="s">
        <v>5871</v>
      </c>
      <c r="E4943" s="9" t="str">
        <f aca="false">IF(AND('Formation Ledger'!A4922&lt;&gt;"",'Formation Ledger'!V4922=0),"PASS","FAIL")</f>
        <v>PASS</v>
      </c>
      <c r="F4943" s="9" t="s">
        <v>76</v>
      </c>
      <c r="G4943" s="6"/>
      <c r="H4943" s="6"/>
      <c r="I4943" s="6"/>
      <c r="J4943" s="6"/>
      <c r="K4943" s="6"/>
      <c r="L4943" s="6"/>
      <c r="M4943" s="6"/>
      <c r="N4943" s="6"/>
      <c r="O4943" s="6"/>
      <c r="P4943" s="6"/>
      <c r="Q4943" s="6"/>
      <c r="R4943" s="6"/>
      <c r="S4943" s="6"/>
      <c r="T4943" s="6"/>
      <c r="U4943" s="6"/>
      <c r="V4943" s="6"/>
      <c r="W4943" s="6"/>
      <c r="X4943" s="6"/>
      <c r="Y4943" s="6"/>
      <c r="Z4943" s="6"/>
    </row>
    <row r="4944" customFormat="false" ht="15" hidden="false" customHeight="false" outlineLevel="0" collapsed="false">
      <c r="A4944" s="9" t="s">
        <v>10787</v>
      </c>
      <c r="B4944" s="9" t="s">
        <v>5870</v>
      </c>
      <c r="C4944" s="9" t="s">
        <v>5222</v>
      </c>
      <c r="D4944" s="9" t="s">
        <v>5871</v>
      </c>
      <c r="E4944" s="9" t="str">
        <f aca="false">IF(AND('Formation Ledger'!A4923&lt;&gt;"",'Formation Ledger'!V4923=0),"PASS","FAIL")</f>
        <v>PASS</v>
      </c>
      <c r="F4944" s="9" t="s">
        <v>76</v>
      </c>
      <c r="G4944" s="6"/>
      <c r="H4944" s="6"/>
      <c r="I4944" s="6"/>
      <c r="J4944" s="6"/>
      <c r="K4944" s="6"/>
      <c r="L4944" s="6"/>
      <c r="M4944" s="6"/>
      <c r="N4944" s="6"/>
      <c r="O4944" s="6"/>
      <c r="P4944" s="6"/>
      <c r="Q4944" s="6"/>
      <c r="R4944" s="6"/>
      <c r="S4944" s="6"/>
      <c r="T4944" s="6"/>
      <c r="U4944" s="6"/>
      <c r="V4944" s="6"/>
      <c r="W4944" s="6"/>
      <c r="X4944" s="6"/>
      <c r="Y4944" s="6"/>
      <c r="Z4944" s="6"/>
    </row>
    <row r="4945" customFormat="false" ht="15" hidden="false" customHeight="false" outlineLevel="0" collapsed="false">
      <c r="A4945" s="9" t="s">
        <v>10788</v>
      </c>
      <c r="B4945" s="9" t="s">
        <v>5870</v>
      </c>
      <c r="C4945" s="9" t="s">
        <v>5223</v>
      </c>
      <c r="D4945" s="9" t="s">
        <v>5871</v>
      </c>
      <c r="E4945" s="9" t="str">
        <f aca="false">IF(AND('Formation Ledger'!A4924&lt;&gt;"",'Formation Ledger'!V4924=0),"PASS","FAIL")</f>
        <v>PASS</v>
      </c>
      <c r="F4945" s="9" t="s">
        <v>76</v>
      </c>
      <c r="G4945" s="6"/>
      <c r="H4945" s="6"/>
      <c r="I4945" s="6"/>
      <c r="J4945" s="6"/>
      <c r="K4945" s="6"/>
      <c r="L4945" s="6"/>
      <c r="M4945" s="6"/>
      <c r="N4945" s="6"/>
      <c r="O4945" s="6"/>
      <c r="P4945" s="6"/>
      <c r="Q4945" s="6"/>
      <c r="R4945" s="6"/>
      <c r="S4945" s="6"/>
      <c r="T4945" s="6"/>
      <c r="U4945" s="6"/>
      <c r="V4945" s="6"/>
      <c r="W4945" s="6"/>
      <c r="X4945" s="6"/>
      <c r="Y4945" s="6"/>
      <c r="Z4945" s="6"/>
    </row>
    <row r="4946" customFormat="false" ht="15" hidden="false" customHeight="false" outlineLevel="0" collapsed="false">
      <c r="A4946" s="9" t="s">
        <v>10789</v>
      </c>
      <c r="B4946" s="9" t="s">
        <v>5870</v>
      </c>
      <c r="C4946" s="9" t="s">
        <v>5224</v>
      </c>
      <c r="D4946" s="9" t="s">
        <v>5871</v>
      </c>
      <c r="E4946" s="9" t="str">
        <f aca="false">IF(AND('Formation Ledger'!A4925&lt;&gt;"",'Formation Ledger'!V4925=0),"PASS","FAIL")</f>
        <v>PASS</v>
      </c>
      <c r="F4946" s="9" t="s">
        <v>76</v>
      </c>
      <c r="G4946" s="6"/>
      <c r="H4946" s="6"/>
      <c r="I4946" s="6"/>
      <c r="J4946" s="6"/>
      <c r="K4946" s="6"/>
      <c r="L4946" s="6"/>
      <c r="M4946" s="6"/>
      <c r="N4946" s="6"/>
      <c r="O4946" s="6"/>
      <c r="P4946" s="6"/>
      <c r="Q4946" s="6"/>
      <c r="R4946" s="6"/>
      <c r="S4946" s="6"/>
      <c r="T4946" s="6"/>
      <c r="U4946" s="6"/>
      <c r="V4946" s="6"/>
      <c r="W4946" s="6"/>
      <c r="X4946" s="6"/>
      <c r="Y4946" s="6"/>
      <c r="Z4946" s="6"/>
    </row>
    <row r="4947" customFormat="false" ht="15" hidden="false" customHeight="false" outlineLevel="0" collapsed="false">
      <c r="A4947" s="9" t="s">
        <v>10790</v>
      </c>
      <c r="B4947" s="9" t="s">
        <v>5870</v>
      </c>
      <c r="C4947" s="9" t="s">
        <v>5225</v>
      </c>
      <c r="D4947" s="9" t="s">
        <v>5871</v>
      </c>
      <c r="E4947" s="9" t="str">
        <f aca="false">IF(AND('Formation Ledger'!A4926&lt;&gt;"",'Formation Ledger'!V4926=0),"PASS","FAIL")</f>
        <v>PASS</v>
      </c>
      <c r="F4947" s="9" t="s">
        <v>76</v>
      </c>
      <c r="G4947" s="6"/>
      <c r="H4947" s="6"/>
      <c r="I4947" s="6"/>
      <c r="J4947" s="6"/>
      <c r="K4947" s="6"/>
      <c r="L4947" s="6"/>
      <c r="M4947" s="6"/>
      <c r="N4947" s="6"/>
      <c r="O4947" s="6"/>
      <c r="P4947" s="6"/>
      <c r="Q4947" s="6"/>
      <c r="R4947" s="6"/>
      <c r="S4947" s="6"/>
      <c r="T4947" s="6"/>
      <c r="U4947" s="6"/>
      <c r="V4947" s="6"/>
      <c r="W4947" s="6"/>
      <c r="X4947" s="6"/>
      <c r="Y4947" s="6"/>
      <c r="Z4947" s="6"/>
    </row>
    <row r="4948" customFormat="false" ht="15" hidden="false" customHeight="false" outlineLevel="0" collapsed="false">
      <c r="A4948" s="9" t="s">
        <v>10791</v>
      </c>
      <c r="B4948" s="9" t="s">
        <v>5870</v>
      </c>
      <c r="C4948" s="9" t="s">
        <v>5226</v>
      </c>
      <c r="D4948" s="9" t="s">
        <v>5871</v>
      </c>
      <c r="E4948" s="9" t="str">
        <f aca="false">IF(AND('Formation Ledger'!A4927&lt;&gt;"",'Formation Ledger'!V4927=0),"PASS","FAIL")</f>
        <v>PASS</v>
      </c>
      <c r="F4948" s="9" t="s">
        <v>76</v>
      </c>
      <c r="G4948" s="6"/>
      <c r="H4948" s="6"/>
      <c r="I4948" s="6"/>
      <c r="J4948" s="6"/>
      <c r="K4948" s="6"/>
      <c r="L4948" s="6"/>
      <c r="M4948" s="6"/>
      <c r="N4948" s="6"/>
      <c r="O4948" s="6"/>
      <c r="P4948" s="6"/>
      <c r="Q4948" s="6"/>
      <c r="R4948" s="6"/>
      <c r="S4948" s="6"/>
      <c r="T4948" s="6"/>
      <c r="U4948" s="6"/>
      <c r="V4948" s="6"/>
      <c r="W4948" s="6"/>
      <c r="X4948" s="6"/>
      <c r="Y4948" s="6"/>
      <c r="Z4948" s="6"/>
    </row>
    <row r="4949" customFormat="false" ht="15" hidden="false" customHeight="false" outlineLevel="0" collapsed="false">
      <c r="A4949" s="9" t="s">
        <v>10792</v>
      </c>
      <c r="B4949" s="9" t="s">
        <v>5870</v>
      </c>
      <c r="C4949" s="9" t="s">
        <v>5227</v>
      </c>
      <c r="D4949" s="9" t="s">
        <v>5871</v>
      </c>
      <c r="E4949" s="9" t="str">
        <f aca="false">IF(AND('Formation Ledger'!A4928&lt;&gt;"",'Formation Ledger'!V4928=0),"PASS","FAIL")</f>
        <v>PASS</v>
      </c>
      <c r="F4949" s="9" t="s">
        <v>76</v>
      </c>
      <c r="G4949" s="6"/>
      <c r="H4949" s="6"/>
      <c r="I4949" s="6"/>
      <c r="J4949" s="6"/>
      <c r="K4949" s="6"/>
      <c r="L4949" s="6"/>
      <c r="M4949" s="6"/>
      <c r="N4949" s="6"/>
      <c r="O4949" s="6"/>
      <c r="P4949" s="6"/>
      <c r="Q4949" s="6"/>
      <c r="R4949" s="6"/>
      <c r="S4949" s="6"/>
      <c r="T4949" s="6"/>
      <c r="U4949" s="6"/>
      <c r="V4949" s="6"/>
      <c r="W4949" s="6"/>
      <c r="X4949" s="6"/>
      <c r="Y4949" s="6"/>
      <c r="Z4949" s="6"/>
    </row>
    <row r="4950" customFormat="false" ht="15" hidden="false" customHeight="false" outlineLevel="0" collapsed="false">
      <c r="A4950" s="9" t="s">
        <v>10793</v>
      </c>
      <c r="B4950" s="9" t="s">
        <v>5870</v>
      </c>
      <c r="C4950" s="9" t="s">
        <v>5228</v>
      </c>
      <c r="D4950" s="9" t="s">
        <v>5871</v>
      </c>
      <c r="E4950" s="9" t="str">
        <f aca="false">IF(AND('Formation Ledger'!A4929&lt;&gt;"",'Formation Ledger'!V4929=0),"PASS","FAIL")</f>
        <v>PASS</v>
      </c>
      <c r="F4950" s="9" t="s">
        <v>76</v>
      </c>
      <c r="G4950" s="6"/>
      <c r="H4950" s="6"/>
      <c r="I4950" s="6"/>
      <c r="J4950" s="6"/>
      <c r="K4950" s="6"/>
      <c r="L4950" s="6"/>
      <c r="M4950" s="6"/>
      <c r="N4950" s="6"/>
      <c r="O4950" s="6"/>
      <c r="P4950" s="6"/>
      <c r="Q4950" s="6"/>
      <c r="R4950" s="6"/>
      <c r="S4950" s="6"/>
      <c r="T4950" s="6"/>
      <c r="U4950" s="6"/>
      <c r="V4950" s="6"/>
      <c r="W4950" s="6"/>
      <c r="X4950" s="6"/>
      <c r="Y4950" s="6"/>
      <c r="Z4950" s="6"/>
    </row>
    <row r="4951" customFormat="false" ht="15" hidden="false" customHeight="false" outlineLevel="0" collapsed="false">
      <c r="A4951" s="9" t="s">
        <v>10794</v>
      </c>
      <c r="B4951" s="9" t="s">
        <v>5870</v>
      </c>
      <c r="C4951" s="9" t="s">
        <v>5229</v>
      </c>
      <c r="D4951" s="9" t="s">
        <v>5871</v>
      </c>
      <c r="E4951" s="9" t="str">
        <f aca="false">IF(AND('Formation Ledger'!A4930&lt;&gt;"",'Formation Ledger'!V4930=0),"PASS","FAIL")</f>
        <v>PASS</v>
      </c>
      <c r="F4951" s="9" t="s">
        <v>76</v>
      </c>
      <c r="G4951" s="6"/>
      <c r="H4951" s="6"/>
      <c r="I4951" s="6"/>
      <c r="J4951" s="6"/>
      <c r="K4951" s="6"/>
      <c r="L4951" s="6"/>
      <c r="M4951" s="6"/>
      <c r="N4951" s="6"/>
      <c r="O4951" s="6"/>
      <c r="P4951" s="6"/>
      <c r="Q4951" s="6"/>
      <c r="R4951" s="6"/>
      <c r="S4951" s="6"/>
      <c r="T4951" s="6"/>
      <c r="U4951" s="6"/>
      <c r="V4951" s="6"/>
      <c r="W4951" s="6"/>
      <c r="X4951" s="6"/>
      <c r="Y4951" s="6"/>
      <c r="Z4951" s="6"/>
    </row>
    <row r="4952" customFormat="false" ht="15" hidden="false" customHeight="false" outlineLevel="0" collapsed="false">
      <c r="A4952" s="9" t="s">
        <v>10795</v>
      </c>
      <c r="B4952" s="9" t="s">
        <v>5870</v>
      </c>
      <c r="C4952" s="9" t="s">
        <v>5230</v>
      </c>
      <c r="D4952" s="9" t="s">
        <v>5871</v>
      </c>
      <c r="E4952" s="9" t="str">
        <f aca="false">IF(AND('Formation Ledger'!A4931&lt;&gt;"",'Formation Ledger'!V4931=0),"PASS","FAIL")</f>
        <v>PASS</v>
      </c>
      <c r="F4952" s="9" t="s">
        <v>76</v>
      </c>
      <c r="G4952" s="6"/>
      <c r="H4952" s="6"/>
      <c r="I4952" s="6"/>
      <c r="J4952" s="6"/>
      <c r="K4952" s="6"/>
      <c r="L4952" s="6"/>
      <c r="M4952" s="6"/>
      <c r="N4952" s="6"/>
      <c r="O4952" s="6"/>
      <c r="P4952" s="6"/>
      <c r="Q4952" s="6"/>
      <c r="R4952" s="6"/>
      <c r="S4952" s="6"/>
      <c r="T4952" s="6"/>
      <c r="U4952" s="6"/>
      <c r="V4952" s="6"/>
      <c r="W4952" s="6"/>
      <c r="X4952" s="6"/>
      <c r="Y4952" s="6"/>
      <c r="Z4952" s="6"/>
    </row>
    <row r="4953" customFormat="false" ht="15" hidden="false" customHeight="false" outlineLevel="0" collapsed="false">
      <c r="A4953" s="9" t="s">
        <v>10796</v>
      </c>
      <c r="B4953" s="9" t="s">
        <v>5870</v>
      </c>
      <c r="C4953" s="9" t="s">
        <v>5231</v>
      </c>
      <c r="D4953" s="9" t="s">
        <v>5871</v>
      </c>
      <c r="E4953" s="9" t="str">
        <f aca="false">IF(AND('Formation Ledger'!A4932&lt;&gt;"",'Formation Ledger'!V4932=0),"PASS","FAIL")</f>
        <v>PASS</v>
      </c>
      <c r="F4953" s="9" t="s">
        <v>76</v>
      </c>
      <c r="G4953" s="6"/>
      <c r="H4953" s="6"/>
      <c r="I4953" s="6"/>
      <c r="J4953" s="6"/>
      <c r="K4953" s="6"/>
      <c r="L4953" s="6"/>
      <c r="M4953" s="6"/>
      <c r="N4953" s="6"/>
      <c r="O4953" s="6"/>
      <c r="P4953" s="6"/>
      <c r="Q4953" s="6"/>
      <c r="R4953" s="6"/>
      <c r="S4953" s="6"/>
      <c r="T4953" s="6"/>
      <c r="U4953" s="6"/>
      <c r="V4953" s="6"/>
      <c r="W4953" s="6"/>
      <c r="X4953" s="6"/>
      <c r="Y4953" s="6"/>
      <c r="Z4953" s="6"/>
    </row>
    <row r="4954" customFormat="false" ht="15" hidden="false" customHeight="false" outlineLevel="0" collapsed="false">
      <c r="A4954" s="9" t="s">
        <v>10797</v>
      </c>
      <c r="B4954" s="9" t="s">
        <v>5870</v>
      </c>
      <c r="C4954" s="9" t="s">
        <v>5232</v>
      </c>
      <c r="D4954" s="9" t="s">
        <v>5871</v>
      </c>
      <c r="E4954" s="9" t="str">
        <f aca="false">IF(AND('Formation Ledger'!A4933&lt;&gt;"",'Formation Ledger'!V4933=0),"PASS","FAIL")</f>
        <v>PASS</v>
      </c>
      <c r="F4954" s="9" t="s">
        <v>76</v>
      </c>
      <c r="G4954" s="6"/>
      <c r="H4954" s="6"/>
      <c r="I4954" s="6"/>
      <c r="J4954" s="6"/>
      <c r="K4954" s="6"/>
      <c r="L4954" s="6"/>
      <c r="M4954" s="6"/>
      <c r="N4954" s="6"/>
      <c r="O4954" s="6"/>
      <c r="P4954" s="6"/>
      <c r="Q4954" s="6"/>
      <c r="R4954" s="6"/>
      <c r="S4954" s="6"/>
      <c r="T4954" s="6"/>
      <c r="U4954" s="6"/>
      <c r="V4954" s="6"/>
      <c r="W4954" s="6"/>
      <c r="X4954" s="6"/>
      <c r="Y4954" s="6"/>
      <c r="Z4954" s="6"/>
    </row>
    <row r="4955" customFormat="false" ht="15" hidden="false" customHeight="false" outlineLevel="0" collapsed="false">
      <c r="A4955" s="9" t="s">
        <v>10798</v>
      </c>
      <c r="B4955" s="9" t="s">
        <v>5870</v>
      </c>
      <c r="C4955" s="9" t="s">
        <v>5233</v>
      </c>
      <c r="D4955" s="9" t="s">
        <v>5871</v>
      </c>
      <c r="E4955" s="9" t="str">
        <f aca="false">IF(AND('Formation Ledger'!A4934&lt;&gt;"",'Formation Ledger'!V4934=0),"PASS","FAIL")</f>
        <v>PASS</v>
      </c>
      <c r="F4955" s="9" t="s">
        <v>76</v>
      </c>
      <c r="G4955" s="6"/>
      <c r="H4955" s="6"/>
      <c r="I4955" s="6"/>
      <c r="J4955" s="6"/>
      <c r="K4955" s="6"/>
      <c r="L4955" s="6"/>
      <c r="M4955" s="6"/>
      <c r="N4955" s="6"/>
      <c r="O4955" s="6"/>
      <c r="P4955" s="6"/>
      <c r="Q4955" s="6"/>
      <c r="R4955" s="6"/>
      <c r="S4955" s="6"/>
      <c r="T4955" s="6"/>
      <c r="U4955" s="6"/>
      <c r="V4955" s="6"/>
      <c r="W4955" s="6"/>
      <c r="X4955" s="6"/>
      <c r="Y4955" s="6"/>
      <c r="Z4955" s="6"/>
    </row>
    <row r="4956" customFormat="false" ht="15" hidden="false" customHeight="false" outlineLevel="0" collapsed="false">
      <c r="A4956" s="9" t="s">
        <v>10799</v>
      </c>
      <c r="B4956" s="9" t="s">
        <v>5870</v>
      </c>
      <c r="C4956" s="9" t="s">
        <v>5234</v>
      </c>
      <c r="D4956" s="9" t="s">
        <v>5871</v>
      </c>
      <c r="E4956" s="9" t="str">
        <f aca="false">IF(AND('Formation Ledger'!A4935&lt;&gt;"",'Formation Ledger'!V4935=0),"PASS","FAIL")</f>
        <v>PASS</v>
      </c>
      <c r="F4956" s="9" t="s">
        <v>76</v>
      </c>
      <c r="G4956" s="6"/>
      <c r="H4956" s="6"/>
      <c r="I4956" s="6"/>
      <c r="J4956" s="6"/>
      <c r="K4956" s="6"/>
      <c r="L4956" s="6"/>
      <c r="M4956" s="6"/>
      <c r="N4956" s="6"/>
      <c r="O4956" s="6"/>
      <c r="P4956" s="6"/>
      <c r="Q4956" s="6"/>
      <c r="R4956" s="6"/>
      <c r="S4956" s="6"/>
      <c r="T4956" s="6"/>
      <c r="U4956" s="6"/>
      <c r="V4956" s="6"/>
      <c r="W4956" s="6"/>
      <c r="X4956" s="6"/>
      <c r="Y4956" s="6"/>
      <c r="Z4956" s="6"/>
    </row>
    <row r="4957" customFormat="false" ht="15" hidden="false" customHeight="false" outlineLevel="0" collapsed="false">
      <c r="A4957" s="9" t="s">
        <v>10800</v>
      </c>
      <c r="B4957" s="9" t="s">
        <v>5870</v>
      </c>
      <c r="C4957" s="9" t="s">
        <v>5235</v>
      </c>
      <c r="D4957" s="9" t="s">
        <v>5871</v>
      </c>
      <c r="E4957" s="9" t="str">
        <f aca="false">IF(AND('Formation Ledger'!A4936&lt;&gt;"",'Formation Ledger'!V4936=0),"PASS","FAIL")</f>
        <v>PASS</v>
      </c>
      <c r="F4957" s="9" t="s">
        <v>76</v>
      </c>
      <c r="G4957" s="6"/>
      <c r="H4957" s="6"/>
      <c r="I4957" s="6"/>
      <c r="J4957" s="6"/>
      <c r="K4957" s="6"/>
      <c r="L4957" s="6"/>
      <c r="M4957" s="6"/>
      <c r="N4957" s="6"/>
      <c r="O4957" s="6"/>
      <c r="P4957" s="6"/>
      <c r="Q4957" s="6"/>
      <c r="R4957" s="6"/>
      <c r="S4957" s="6"/>
      <c r="T4957" s="6"/>
      <c r="U4957" s="6"/>
      <c r="V4957" s="6"/>
      <c r="W4957" s="6"/>
      <c r="X4957" s="6"/>
      <c r="Y4957" s="6"/>
      <c r="Z4957" s="6"/>
    </row>
    <row r="4958" customFormat="false" ht="15" hidden="false" customHeight="false" outlineLevel="0" collapsed="false">
      <c r="A4958" s="9" t="s">
        <v>10801</v>
      </c>
      <c r="B4958" s="9" t="s">
        <v>5870</v>
      </c>
      <c r="C4958" s="9" t="s">
        <v>5236</v>
      </c>
      <c r="D4958" s="9" t="s">
        <v>5871</v>
      </c>
      <c r="E4958" s="9" t="str">
        <f aca="false">IF(AND('Formation Ledger'!A4937&lt;&gt;"",'Formation Ledger'!V4937=0),"PASS","FAIL")</f>
        <v>PASS</v>
      </c>
      <c r="F4958" s="9" t="s">
        <v>76</v>
      </c>
      <c r="G4958" s="6"/>
      <c r="H4958" s="6"/>
      <c r="I4958" s="6"/>
      <c r="J4958" s="6"/>
      <c r="K4958" s="6"/>
      <c r="L4958" s="6"/>
      <c r="M4958" s="6"/>
      <c r="N4958" s="6"/>
      <c r="O4958" s="6"/>
      <c r="P4958" s="6"/>
      <c r="Q4958" s="6"/>
      <c r="R4958" s="6"/>
      <c r="S4958" s="6"/>
      <c r="T4958" s="6"/>
      <c r="U4958" s="6"/>
      <c r="V4958" s="6"/>
      <c r="W4958" s="6"/>
      <c r="X4958" s="6"/>
      <c r="Y4958" s="6"/>
      <c r="Z4958" s="6"/>
    </row>
    <row r="4959" customFormat="false" ht="15" hidden="false" customHeight="false" outlineLevel="0" collapsed="false">
      <c r="A4959" s="9" t="s">
        <v>10802</v>
      </c>
      <c r="B4959" s="9" t="s">
        <v>5870</v>
      </c>
      <c r="C4959" s="9" t="s">
        <v>5237</v>
      </c>
      <c r="D4959" s="9" t="s">
        <v>5871</v>
      </c>
      <c r="E4959" s="9" t="str">
        <f aca="false">IF(AND('Formation Ledger'!A4938&lt;&gt;"",'Formation Ledger'!V4938=0),"PASS","FAIL")</f>
        <v>PASS</v>
      </c>
      <c r="F4959" s="9" t="s">
        <v>76</v>
      </c>
      <c r="G4959" s="6"/>
      <c r="H4959" s="6"/>
      <c r="I4959" s="6"/>
      <c r="J4959" s="6"/>
      <c r="K4959" s="6"/>
      <c r="L4959" s="6"/>
      <c r="M4959" s="6"/>
      <c r="N4959" s="6"/>
      <c r="O4959" s="6"/>
      <c r="P4959" s="6"/>
      <c r="Q4959" s="6"/>
      <c r="R4959" s="6"/>
      <c r="S4959" s="6"/>
      <c r="T4959" s="6"/>
      <c r="U4959" s="6"/>
      <c r="V4959" s="6"/>
      <c r="W4959" s="6"/>
      <c r="X4959" s="6"/>
      <c r="Y4959" s="6"/>
      <c r="Z4959" s="6"/>
    </row>
    <row r="4960" customFormat="false" ht="15" hidden="false" customHeight="false" outlineLevel="0" collapsed="false">
      <c r="A4960" s="9" t="s">
        <v>10803</v>
      </c>
      <c r="B4960" s="9" t="s">
        <v>5870</v>
      </c>
      <c r="C4960" s="9" t="s">
        <v>5238</v>
      </c>
      <c r="D4960" s="9" t="s">
        <v>5871</v>
      </c>
      <c r="E4960" s="9" t="str">
        <f aca="false">IF(AND('Formation Ledger'!A4939&lt;&gt;"",'Formation Ledger'!V4939=0),"PASS","FAIL")</f>
        <v>PASS</v>
      </c>
      <c r="F4960" s="9" t="s">
        <v>76</v>
      </c>
      <c r="G4960" s="6"/>
      <c r="H4960" s="6"/>
      <c r="I4960" s="6"/>
      <c r="J4960" s="6"/>
      <c r="K4960" s="6"/>
      <c r="L4960" s="6"/>
      <c r="M4960" s="6"/>
      <c r="N4960" s="6"/>
      <c r="O4960" s="6"/>
      <c r="P4960" s="6"/>
      <c r="Q4960" s="6"/>
      <c r="R4960" s="6"/>
      <c r="S4960" s="6"/>
      <c r="T4960" s="6"/>
      <c r="U4960" s="6"/>
      <c r="V4960" s="6"/>
      <c r="W4960" s="6"/>
      <c r="X4960" s="6"/>
      <c r="Y4960" s="6"/>
      <c r="Z4960" s="6"/>
    </row>
    <row r="4961" customFormat="false" ht="15" hidden="false" customHeight="false" outlineLevel="0" collapsed="false">
      <c r="A4961" s="9" t="s">
        <v>10804</v>
      </c>
      <c r="B4961" s="9" t="s">
        <v>5870</v>
      </c>
      <c r="C4961" s="9" t="s">
        <v>5239</v>
      </c>
      <c r="D4961" s="9" t="s">
        <v>5871</v>
      </c>
      <c r="E4961" s="9" t="str">
        <f aca="false">IF(AND('Formation Ledger'!A4940&lt;&gt;"",'Formation Ledger'!V4940=0),"PASS","FAIL")</f>
        <v>PASS</v>
      </c>
      <c r="F4961" s="9" t="s">
        <v>76</v>
      </c>
      <c r="G4961" s="6"/>
      <c r="H4961" s="6"/>
      <c r="I4961" s="6"/>
      <c r="J4961" s="6"/>
      <c r="K4961" s="6"/>
      <c r="L4961" s="6"/>
      <c r="M4961" s="6"/>
      <c r="N4961" s="6"/>
      <c r="O4961" s="6"/>
      <c r="P4961" s="6"/>
      <c r="Q4961" s="6"/>
      <c r="R4961" s="6"/>
      <c r="S4961" s="6"/>
      <c r="T4961" s="6"/>
      <c r="U4961" s="6"/>
      <c r="V4961" s="6"/>
      <c r="W4961" s="6"/>
      <c r="X4961" s="6"/>
      <c r="Y4961" s="6"/>
      <c r="Z4961" s="6"/>
    </row>
    <row r="4962" customFormat="false" ht="15" hidden="false" customHeight="false" outlineLevel="0" collapsed="false">
      <c r="A4962" s="9" t="s">
        <v>10805</v>
      </c>
      <c r="B4962" s="9" t="s">
        <v>5870</v>
      </c>
      <c r="C4962" s="9" t="s">
        <v>5240</v>
      </c>
      <c r="D4962" s="9" t="s">
        <v>5871</v>
      </c>
      <c r="E4962" s="9" t="str">
        <f aca="false">IF(AND('Formation Ledger'!A4941&lt;&gt;"",'Formation Ledger'!V4941=0),"PASS","FAIL")</f>
        <v>PASS</v>
      </c>
      <c r="F4962" s="9" t="s">
        <v>76</v>
      </c>
      <c r="G4962" s="6"/>
      <c r="H4962" s="6"/>
      <c r="I4962" s="6"/>
      <c r="J4962" s="6"/>
      <c r="K4962" s="6"/>
      <c r="L4962" s="6"/>
      <c r="M4962" s="6"/>
      <c r="N4962" s="6"/>
      <c r="O4962" s="6"/>
      <c r="P4962" s="6"/>
      <c r="Q4962" s="6"/>
      <c r="R4962" s="6"/>
      <c r="S4962" s="6"/>
      <c r="T4962" s="6"/>
      <c r="U4962" s="6"/>
      <c r="V4962" s="6"/>
      <c r="W4962" s="6"/>
      <c r="X4962" s="6"/>
      <c r="Y4962" s="6"/>
      <c r="Z4962" s="6"/>
    </row>
    <row r="4963" customFormat="false" ht="15" hidden="false" customHeight="false" outlineLevel="0" collapsed="false">
      <c r="A4963" s="9" t="s">
        <v>10806</v>
      </c>
      <c r="B4963" s="9" t="s">
        <v>5870</v>
      </c>
      <c r="C4963" s="9" t="s">
        <v>5241</v>
      </c>
      <c r="D4963" s="9" t="s">
        <v>5871</v>
      </c>
      <c r="E4963" s="9" t="str">
        <f aca="false">IF(AND('Formation Ledger'!A4942&lt;&gt;"",'Formation Ledger'!V4942=0),"PASS","FAIL")</f>
        <v>PASS</v>
      </c>
      <c r="F4963" s="9" t="s">
        <v>76</v>
      </c>
      <c r="G4963" s="6"/>
      <c r="H4963" s="6"/>
      <c r="I4963" s="6"/>
      <c r="J4963" s="6"/>
      <c r="K4963" s="6"/>
      <c r="L4963" s="6"/>
      <c r="M4963" s="6"/>
      <c r="N4963" s="6"/>
      <c r="O4963" s="6"/>
      <c r="P4963" s="6"/>
      <c r="Q4963" s="6"/>
      <c r="R4963" s="6"/>
      <c r="S4963" s="6"/>
      <c r="T4963" s="6"/>
      <c r="U4963" s="6"/>
      <c r="V4963" s="6"/>
      <c r="W4963" s="6"/>
      <c r="X4963" s="6"/>
      <c r="Y4963" s="6"/>
      <c r="Z4963" s="6"/>
    </row>
    <row r="4964" customFormat="false" ht="15" hidden="false" customHeight="false" outlineLevel="0" collapsed="false">
      <c r="A4964" s="9" t="s">
        <v>10807</v>
      </c>
      <c r="B4964" s="9" t="s">
        <v>5870</v>
      </c>
      <c r="C4964" s="9" t="s">
        <v>5242</v>
      </c>
      <c r="D4964" s="9" t="s">
        <v>5871</v>
      </c>
      <c r="E4964" s="9" t="str">
        <f aca="false">IF(AND('Formation Ledger'!A4943&lt;&gt;"",'Formation Ledger'!V4943=0),"PASS","FAIL")</f>
        <v>PASS</v>
      </c>
      <c r="F4964" s="9" t="s">
        <v>76</v>
      </c>
      <c r="G4964" s="6"/>
      <c r="H4964" s="6"/>
      <c r="I4964" s="6"/>
      <c r="J4964" s="6"/>
      <c r="K4964" s="6"/>
      <c r="L4964" s="6"/>
      <c r="M4964" s="6"/>
      <c r="N4964" s="6"/>
      <c r="O4964" s="6"/>
      <c r="P4964" s="6"/>
      <c r="Q4964" s="6"/>
      <c r="R4964" s="6"/>
      <c r="S4964" s="6"/>
      <c r="T4964" s="6"/>
      <c r="U4964" s="6"/>
      <c r="V4964" s="6"/>
      <c r="W4964" s="6"/>
      <c r="X4964" s="6"/>
      <c r="Y4964" s="6"/>
      <c r="Z4964" s="6"/>
    </row>
    <row r="4965" customFormat="false" ht="15" hidden="false" customHeight="false" outlineLevel="0" collapsed="false">
      <c r="A4965" s="9" t="s">
        <v>10808</v>
      </c>
      <c r="B4965" s="9" t="s">
        <v>5870</v>
      </c>
      <c r="C4965" s="9" t="s">
        <v>5243</v>
      </c>
      <c r="D4965" s="9" t="s">
        <v>5871</v>
      </c>
      <c r="E4965" s="9" t="str">
        <f aca="false">IF(AND('Formation Ledger'!A4944&lt;&gt;"",'Formation Ledger'!V4944=0),"PASS","FAIL")</f>
        <v>PASS</v>
      </c>
      <c r="F4965" s="9" t="s">
        <v>76</v>
      </c>
      <c r="G4965" s="6"/>
      <c r="H4965" s="6"/>
      <c r="I4965" s="6"/>
      <c r="J4965" s="6"/>
      <c r="K4965" s="6"/>
      <c r="L4965" s="6"/>
      <c r="M4965" s="6"/>
      <c r="N4965" s="6"/>
      <c r="O4965" s="6"/>
      <c r="P4965" s="6"/>
      <c r="Q4965" s="6"/>
      <c r="R4965" s="6"/>
      <c r="S4965" s="6"/>
      <c r="T4965" s="6"/>
      <c r="U4965" s="6"/>
      <c r="V4965" s="6"/>
      <c r="W4965" s="6"/>
      <c r="X4965" s="6"/>
      <c r="Y4965" s="6"/>
      <c r="Z4965" s="6"/>
    </row>
    <row r="4966" customFormat="false" ht="15" hidden="false" customHeight="false" outlineLevel="0" collapsed="false">
      <c r="A4966" s="9" t="s">
        <v>10809</v>
      </c>
      <c r="B4966" s="9" t="s">
        <v>5870</v>
      </c>
      <c r="C4966" s="9" t="s">
        <v>5244</v>
      </c>
      <c r="D4966" s="9" t="s">
        <v>5871</v>
      </c>
      <c r="E4966" s="9" t="str">
        <f aca="false">IF(AND('Formation Ledger'!A4945&lt;&gt;"",'Formation Ledger'!V4945=0),"PASS","FAIL")</f>
        <v>PASS</v>
      </c>
      <c r="F4966" s="9" t="s">
        <v>76</v>
      </c>
      <c r="G4966" s="6"/>
      <c r="H4966" s="6"/>
      <c r="I4966" s="6"/>
      <c r="J4966" s="6"/>
      <c r="K4966" s="6"/>
      <c r="L4966" s="6"/>
      <c r="M4966" s="6"/>
      <c r="N4966" s="6"/>
      <c r="O4966" s="6"/>
      <c r="P4966" s="6"/>
      <c r="Q4966" s="6"/>
      <c r="R4966" s="6"/>
      <c r="S4966" s="6"/>
      <c r="T4966" s="6"/>
      <c r="U4966" s="6"/>
      <c r="V4966" s="6"/>
      <c r="W4966" s="6"/>
      <c r="X4966" s="6"/>
      <c r="Y4966" s="6"/>
      <c r="Z4966" s="6"/>
    </row>
    <row r="4967" customFormat="false" ht="15" hidden="false" customHeight="false" outlineLevel="0" collapsed="false">
      <c r="A4967" s="9" t="s">
        <v>10810</v>
      </c>
      <c r="B4967" s="9" t="s">
        <v>5870</v>
      </c>
      <c r="C4967" s="9" t="s">
        <v>5245</v>
      </c>
      <c r="D4967" s="9" t="s">
        <v>5871</v>
      </c>
      <c r="E4967" s="9" t="str">
        <f aca="false">IF(AND('Formation Ledger'!A4946&lt;&gt;"",'Formation Ledger'!V4946=0),"PASS","FAIL")</f>
        <v>PASS</v>
      </c>
      <c r="F4967" s="9" t="s">
        <v>76</v>
      </c>
      <c r="G4967" s="6"/>
      <c r="H4967" s="6"/>
      <c r="I4967" s="6"/>
      <c r="J4967" s="6"/>
      <c r="K4967" s="6"/>
      <c r="L4967" s="6"/>
      <c r="M4967" s="6"/>
      <c r="N4967" s="6"/>
      <c r="O4967" s="6"/>
      <c r="P4967" s="6"/>
      <c r="Q4967" s="6"/>
      <c r="R4967" s="6"/>
      <c r="S4967" s="6"/>
      <c r="T4967" s="6"/>
      <c r="U4967" s="6"/>
      <c r="V4967" s="6"/>
      <c r="W4967" s="6"/>
      <c r="X4967" s="6"/>
      <c r="Y4967" s="6"/>
      <c r="Z4967" s="6"/>
    </row>
    <row r="4968" customFormat="false" ht="15" hidden="false" customHeight="false" outlineLevel="0" collapsed="false">
      <c r="A4968" s="9" t="s">
        <v>10811</v>
      </c>
      <c r="B4968" s="9" t="s">
        <v>5870</v>
      </c>
      <c r="C4968" s="9" t="s">
        <v>5246</v>
      </c>
      <c r="D4968" s="9" t="s">
        <v>5871</v>
      </c>
      <c r="E4968" s="9" t="str">
        <f aca="false">IF(AND('Formation Ledger'!A4947&lt;&gt;"",'Formation Ledger'!V4947=0),"PASS","FAIL")</f>
        <v>PASS</v>
      </c>
      <c r="F4968" s="9" t="s">
        <v>76</v>
      </c>
      <c r="G4968" s="6"/>
      <c r="H4968" s="6"/>
      <c r="I4968" s="6"/>
      <c r="J4968" s="6"/>
      <c r="K4968" s="6"/>
      <c r="L4968" s="6"/>
      <c r="M4968" s="6"/>
      <c r="N4968" s="6"/>
      <c r="O4968" s="6"/>
      <c r="P4968" s="6"/>
      <c r="Q4968" s="6"/>
      <c r="R4968" s="6"/>
      <c r="S4968" s="6"/>
      <c r="T4968" s="6"/>
      <c r="U4968" s="6"/>
      <c r="V4968" s="6"/>
      <c r="W4968" s="6"/>
      <c r="X4968" s="6"/>
      <c r="Y4968" s="6"/>
      <c r="Z4968" s="6"/>
    </row>
    <row r="4969" customFormat="false" ht="15" hidden="false" customHeight="false" outlineLevel="0" collapsed="false">
      <c r="A4969" s="9" t="s">
        <v>10812</v>
      </c>
      <c r="B4969" s="9" t="s">
        <v>5870</v>
      </c>
      <c r="C4969" s="9" t="s">
        <v>5247</v>
      </c>
      <c r="D4969" s="9" t="s">
        <v>5871</v>
      </c>
      <c r="E4969" s="9" t="str">
        <f aca="false">IF(AND('Formation Ledger'!A4948&lt;&gt;"",'Formation Ledger'!V4948=0),"PASS","FAIL")</f>
        <v>PASS</v>
      </c>
      <c r="F4969" s="9" t="s">
        <v>76</v>
      </c>
      <c r="G4969" s="6"/>
      <c r="H4969" s="6"/>
      <c r="I4969" s="6"/>
      <c r="J4969" s="6"/>
      <c r="K4969" s="6"/>
      <c r="L4969" s="6"/>
      <c r="M4969" s="6"/>
      <c r="N4969" s="6"/>
      <c r="O4969" s="6"/>
      <c r="P4969" s="6"/>
      <c r="Q4969" s="6"/>
      <c r="R4969" s="6"/>
      <c r="S4969" s="6"/>
      <c r="T4969" s="6"/>
      <c r="U4969" s="6"/>
      <c r="V4969" s="6"/>
      <c r="W4969" s="6"/>
      <c r="X4969" s="6"/>
      <c r="Y4969" s="6"/>
      <c r="Z4969" s="6"/>
    </row>
    <row r="4970" customFormat="false" ht="15" hidden="false" customHeight="false" outlineLevel="0" collapsed="false">
      <c r="A4970" s="9" t="s">
        <v>10813</v>
      </c>
      <c r="B4970" s="9" t="s">
        <v>5870</v>
      </c>
      <c r="C4970" s="9" t="s">
        <v>5248</v>
      </c>
      <c r="D4970" s="9" t="s">
        <v>5871</v>
      </c>
      <c r="E4970" s="9" t="str">
        <f aca="false">IF(AND('Formation Ledger'!A4949&lt;&gt;"",'Formation Ledger'!V4949=0),"PASS","FAIL")</f>
        <v>PASS</v>
      </c>
      <c r="F4970" s="9" t="s">
        <v>76</v>
      </c>
      <c r="G4970" s="6"/>
      <c r="H4970" s="6"/>
      <c r="I4970" s="6"/>
      <c r="J4970" s="6"/>
      <c r="K4970" s="6"/>
      <c r="L4970" s="6"/>
      <c r="M4970" s="6"/>
      <c r="N4970" s="6"/>
      <c r="O4970" s="6"/>
      <c r="P4970" s="6"/>
      <c r="Q4970" s="6"/>
      <c r="R4970" s="6"/>
      <c r="S4970" s="6"/>
      <c r="T4970" s="6"/>
      <c r="U4970" s="6"/>
      <c r="V4970" s="6"/>
      <c r="W4970" s="6"/>
      <c r="X4970" s="6"/>
      <c r="Y4970" s="6"/>
      <c r="Z4970" s="6"/>
    </row>
    <row r="4971" customFormat="false" ht="15" hidden="false" customHeight="false" outlineLevel="0" collapsed="false">
      <c r="A4971" s="9" t="s">
        <v>10814</v>
      </c>
      <c r="B4971" s="9" t="s">
        <v>5870</v>
      </c>
      <c r="C4971" s="9" t="s">
        <v>5249</v>
      </c>
      <c r="D4971" s="9" t="s">
        <v>5871</v>
      </c>
      <c r="E4971" s="9" t="str">
        <f aca="false">IF(AND('Formation Ledger'!A4950&lt;&gt;"",'Formation Ledger'!V4950=0),"PASS","FAIL")</f>
        <v>PASS</v>
      </c>
      <c r="F4971" s="9" t="s">
        <v>76</v>
      </c>
      <c r="G4971" s="6"/>
      <c r="H4971" s="6"/>
      <c r="I4971" s="6"/>
      <c r="J4971" s="6"/>
      <c r="K4971" s="6"/>
      <c r="L4971" s="6"/>
      <c r="M4971" s="6"/>
      <c r="N4971" s="6"/>
      <c r="O4971" s="6"/>
      <c r="P4971" s="6"/>
      <c r="Q4971" s="6"/>
      <c r="R4971" s="6"/>
      <c r="S4971" s="6"/>
      <c r="T4971" s="6"/>
      <c r="U4971" s="6"/>
      <c r="V4971" s="6"/>
      <c r="W4971" s="6"/>
      <c r="X4971" s="6"/>
      <c r="Y4971" s="6"/>
      <c r="Z4971" s="6"/>
    </row>
    <row r="4972" customFormat="false" ht="15" hidden="false" customHeight="false" outlineLevel="0" collapsed="false">
      <c r="A4972" s="9" t="s">
        <v>10815</v>
      </c>
      <c r="B4972" s="9" t="s">
        <v>5870</v>
      </c>
      <c r="C4972" s="9" t="s">
        <v>5250</v>
      </c>
      <c r="D4972" s="9" t="s">
        <v>5871</v>
      </c>
      <c r="E4972" s="9" t="str">
        <f aca="false">IF(AND('Formation Ledger'!A4951&lt;&gt;"",'Formation Ledger'!V4951=0),"PASS","FAIL")</f>
        <v>PASS</v>
      </c>
      <c r="F4972" s="9" t="s">
        <v>76</v>
      </c>
      <c r="G4972" s="6"/>
      <c r="H4972" s="6"/>
      <c r="I4972" s="6"/>
      <c r="J4972" s="6"/>
      <c r="K4972" s="6"/>
      <c r="L4972" s="6"/>
      <c r="M4972" s="6"/>
      <c r="N4972" s="6"/>
      <c r="O4972" s="6"/>
      <c r="P4972" s="6"/>
      <c r="Q4972" s="6"/>
      <c r="R4972" s="6"/>
      <c r="S4972" s="6"/>
      <c r="T4972" s="6"/>
      <c r="U4972" s="6"/>
      <c r="V4972" s="6"/>
      <c r="W4972" s="6"/>
      <c r="X4972" s="6"/>
      <c r="Y4972" s="6"/>
      <c r="Z4972" s="6"/>
    </row>
    <row r="4973" customFormat="false" ht="15" hidden="false" customHeight="false" outlineLevel="0" collapsed="false">
      <c r="A4973" s="9" t="s">
        <v>10816</v>
      </c>
      <c r="B4973" s="9" t="s">
        <v>5870</v>
      </c>
      <c r="C4973" s="9" t="s">
        <v>5251</v>
      </c>
      <c r="D4973" s="9" t="s">
        <v>5871</v>
      </c>
      <c r="E4973" s="9" t="str">
        <f aca="false">IF(AND('Formation Ledger'!A4952&lt;&gt;"",'Formation Ledger'!V4952=0),"PASS","FAIL")</f>
        <v>PASS</v>
      </c>
      <c r="F4973" s="9" t="s">
        <v>76</v>
      </c>
      <c r="G4973" s="6"/>
      <c r="H4973" s="6"/>
      <c r="I4973" s="6"/>
      <c r="J4973" s="6"/>
      <c r="K4973" s="6"/>
      <c r="L4973" s="6"/>
      <c r="M4973" s="6"/>
      <c r="N4973" s="6"/>
      <c r="O4973" s="6"/>
      <c r="P4973" s="6"/>
      <c r="Q4973" s="6"/>
      <c r="R4973" s="6"/>
      <c r="S4973" s="6"/>
      <c r="T4973" s="6"/>
      <c r="U4973" s="6"/>
      <c r="V4973" s="6"/>
      <c r="W4973" s="6"/>
      <c r="X4973" s="6"/>
      <c r="Y4973" s="6"/>
      <c r="Z4973" s="6"/>
    </row>
    <row r="4974" customFormat="false" ht="15" hidden="false" customHeight="false" outlineLevel="0" collapsed="false">
      <c r="A4974" s="9" t="s">
        <v>10817</v>
      </c>
      <c r="B4974" s="9" t="s">
        <v>5870</v>
      </c>
      <c r="C4974" s="9" t="s">
        <v>5252</v>
      </c>
      <c r="D4974" s="9" t="s">
        <v>5871</v>
      </c>
      <c r="E4974" s="9" t="str">
        <f aca="false">IF(AND('Formation Ledger'!A4953&lt;&gt;"",'Formation Ledger'!V4953=0),"PASS","FAIL")</f>
        <v>PASS</v>
      </c>
      <c r="F4974" s="9" t="s">
        <v>76</v>
      </c>
      <c r="G4974" s="6"/>
      <c r="H4974" s="6"/>
      <c r="I4974" s="6"/>
      <c r="J4974" s="6"/>
      <c r="K4974" s="6"/>
      <c r="L4974" s="6"/>
      <c r="M4974" s="6"/>
      <c r="N4974" s="6"/>
      <c r="O4974" s="6"/>
      <c r="P4974" s="6"/>
      <c r="Q4974" s="6"/>
      <c r="R4974" s="6"/>
      <c r="S4974" s="6"/>
      <c r="T4974" s="6"/>
      <c r="U4974" s="6"/>
      <c r="V4974" s="6"/>
      <c r="W4974" s="6"/>
      <c r="X4974" s="6"/>
      <c r="Y4974" s="6"/>
      <c r="Z4974" s="6"/>
    </row>
    <row r="4975" customFormat="false" ht="15" hidden="false" customHeight="false" outlineLevel="0" collapsed="false">
      <c r="A4975" s="9" t="s">
        <v>10818</v>
      </c>
      <c r="B4975" s="9" t="s">
        <v>5870</v>
      </c>
      <c r="C4975" s="9" t="s">
        <v>5253</v>
      </c>
      <c r="D4975" s="9" t="s">
        <v>5871</v>
      </c>
      <c r="E4975" s="9" t="str">
        <f aca="false">IF(AND('Formation Ledger'!A4954&lt;&gt;"",'Formation Ledger'!V4954=0),"PASS","FAIL")</f>
        <v>PASS</v>
      </c>
      <c r="F4975" s="9" t="s">
        <v>76</v>
      </c>
      <c r="G4975" s="6"/>
      <c r="H4975" s="6"/>
      <c r="I4975" s="6"/>
      <c r="J4975" s="6"/>
      <c r="K4975" s="6"/>
      <c r="L4975" s="6"/>
      <c r="M4975" s="6"/>
      <c r="N4975" s="6"/>
      <c r="O4975" s="6"/>
      <c r="P4975" s="6"/>
      <c r="Q4975" s="6"/>
      <c r="R4975" s="6"/>
      <c r="S4975" s="6"/>
      <c r="T4975" s="6"/>
      <c r="U4975" s="6"/>
      <c r="V4975" s="6"/>
      <c r="W4975" s="6"/>
      <c r="X4975" s="6"/>
      <c r="Y4975" s="6"/>
      <c r="Z4975" s="6"/>
    </row>
    <row r="4976" customFormat="false" ht="15" hidden="false" customHeight="false" outlineLevel="0" collapsed="false">
      <c r="A4976" s="9" t="s">
        <v>10819</v>
      </c>
      <c r="B4976" s="9" t="s">
        <v>5870</v>
      </c>
      <c r="C4976" s="9" t="s">
        <v>5254</v>
      </c>
      <c r="D4976" s="9" t="s">
        <v>5871</v>
      </c>
      <c r="E4976" s="9" t="str">
        <f aca="false">IF(AND('Formation Ledger'!A4955&lt;&gt;"",'Formation Ledger'!V4955=0),"PASS","FAIL")</f>
        <v>PASS</v>
      </c>
      <c r="F4976" s="9" t="s">
        <v>76</v>
      </c>
      <c r="G4976" s="6"/>
      <c r="H4976" s="6"/>
      <c r="I4976" s="6"/>
      <c r="J4976" s="6"/>
      <c r="K4976" s="6"/>
      <c r="L4976" s="6"/>
      <c r="M4976" s="6"/>
      <c r="N4976" s="6"/>
      <c r="O4976" s="6"/>
      <c r="P4976" s="6"/>
      <c r="Q4976" s="6"/>
      <c r="R4976" s="6"/>
      <c r="S4976" s="6"/>
      <c r="T4976" s="6"/>
      <c r="U4976" s="6"/>
      <c r="V4976" s="6"/>
      <c r="W4976" s="6"/>
      <c r="X4976" s="6"/>
      <c r="Y4976" s="6"/>
      <c r="Z4976" s="6"/>
    </row>
    <row r="4977" customFormat="false" ht="15" hidden="false" customHeight="false" outlineLevel="0" collapsed="false">
      <c r="A4977" s="9" t="s">
        <v>10820</v>
      </c>
      <c r="B4977" s="9" t="s">
        <v>5870</v>
      </c>
      <c r="C4977" s="9" t="s">
        <v>5255</v>
      </c>
      <c r="D4977" s="9" t="s">
        <v>5871</v>
      </c>
      <c r="E4977" s="9" t="str">
        <f aca="false">IF(AND('Formation Ledger'!A4956&lt;&gt;"",'Formation Ledger'!V4956=0),"PASS","FAIL")</f>
        <v>PASS</v>
      </c>
      <c r="F4977" s="9" t="s">
        <v>76</v>
      </c>
      <c r="G4977" s="6"/>
      <c r="H4977" s="6"/>
      <c r="I4977" s="6"/>
      <c r="J4977" s="6"/>
      <c r="K4977" s="6"/>
      <c r="L4977" s="6"/>
      <c r="M4977" s="6"/>
      <c r="N4977" s="6"/>
      <c r="O4977" s="6"/>
      <c r="P4977" s="6"/>
      <c r="Q4977" s="6"/>
      <c r="R4977" s="6"/>
      <c r="S4977" s="6"/>
      <c r="T4977" s="6"/>
      <c r="U4977" s="6"/>
      <c r="V4977" s="6"/>
      <c r="W4977" s="6"/>
      <c r="X4977" s="6"/>
      <c r="Y4977" s="6"/>
      <c r="Z4977" s="6"/>
    </row>
    <row r="4978" customFormat="false" ht="15" hidden="false" customHeight="false" outlineLevel="0" collapsed="false">
      <c r="A4978" s="9" t="s">
        <v>10821</v>
      </c>
      <c r="B4978" s="9" t="s">
        <v>5870</v>
      </c>
      <c r="C4978" s="9" t="s">
        <v>5256</v>
      </c>
      <c r="D4978" s="9" t="s">
        <v>5871</v>
      </c>
      <c r="E4978" s="9" t="str">
        <f aca="false">IF(AND('Formation Ledger'!A4957&lt;&gt;"",'Formation Ledger'!V4957=0),"PASS","FAIL")</f>
        <v>PASS</v>
      </c>
      <c r="F4978" s="9" t="s">
        <v>76</v>
      </c>
      <c r="G4978" s="6"/>
      <c r="H4978" s="6"/>
      <c r="I4978" s="6"/>
      <c r="J4978" s="6"/>
      <c r="K4978" s="6"/>
      <c r="L4978" s="6"/>
      <c r="M4978" s="6"/>
      <c r="N4978" s="6"/>
      <c r="O4978" s="6"/>
      <c r="P4978" s="6"/>
      <c r="Q4978" s="6"/>
      <c r="R4978" s="6"/>
      <c r="S4978" s="6"/>
      <c r="T4978" s="6"/>
      <c r="U4978" s="6"/>
      <c r="V4978" s="6"/>
      <c r="W4978" s="6"/>
      <c r="X4978" s="6"/>
      <c r="Y4978" s="6"/>
      <c r="Z4978" s="6"/>
    </row>
    <row r="4979" customFormat="false" ht="15" hidden="false" customHeight="false" outlineLevel="0" collapsed="false">
      <c r="A4979" s="9" t="s">
        <v>10822</v>
      </c>
      <c r="B4979" s="9" t="s">
        <v>5870</v>
      </c>
      <c r="C4979" s="9" t="s">
        <v>5257</v>
      </c>
      <c r="D4979" s="9" t="s">
        <v>5871</v>
      </c>
      <c r="E4979" s="9" t="str">
        <f aca="false">IF(AND('Formation Ledger'!A4958&lt;&gt;"",'Formation Ledger'!V4958=0),"PASS","FAIL")</f>
        <v>PASS</v>
      </c>
      <c r="F4979" s="9" t="s">
        <v>76</v>
      </c>
      <c r="G4979" s="6"/>
      <c r="H4979" s="6"/>
      <c r="I4979" s="6"/>
      <c r="J4979" s="6"/>
      <c r="K4979" s="6"/>
      <c r="L4979" s="6"/>
      <c r="M4979" s="6"/>
      <c r="N4979" s="6"/>
      <c r="O4979" s="6"/>
      <c r="P4979" s="6"/>
      <c r="Q4979" s="6"/>
      <c r="R4979" s="6"/>
      <c r="S4979" s="6"/>
      <c r="T4979" s="6"/>
      <c r="U4979" s="6"/>
      <c r="V4979" s="6"/>
      <c r="W4979" s="6"/>
      <c r="X4979" s="6"/>
      <c r="Y4979" s="6"/>
      <c r="Z4979" s="6"/>
    </row>
    <row r="4980" customFormat="false" ht="15" hidden="false" customHeight="false" outlineLevel="0" collapsed="false">
      <c r="A4980" s="9" t="s">
        <v>10823</v>
      </c>
      <c r="B4980" s="9" t="s">
        <v>5870</v>
      </c>
      <c r="C4980" s="9" t="s">
        <v>5258</v>
      </c>
      <c r="D4980" s="9" t="s">
        <v>5871</v>
      </c>
      <c r="E4980" s="9" t="str">
        <f aca="false">IF(AND('Formation Ledger'!A4959&lt;&gt;"",'Formation Ledger'!V4959=0),"PASS","FAIL")</f>
        <v>PASS</v>
      </c>
      <c r="F4980" s="9" t="s">
        <v>76</v>
      </c>
      <c r="G4980" s="6"/>
      <c r="H4980" s="6"/>
      <c r="I4980" s="6"/>
      <c r="J4980" s="6"/>
      <c r="K4980" s="6"/>
      <c r="L4980" s="6"/>
      <c r="M4980" s="6"/>
      <c r="N4980" s="6"/>
      <c r="O4980" s="6"/>
      <c r="P4980" s="6"/>
      <c r="Q4980" s="6"/>
      <c r="R4980" s="6"/>
      <c r="S4980" s="6"/>
      <c r="T4980" s="6"/>
      <c r="U4980" s="6"/>
      <c r="V4980" s="6"/>
      <c r="W4980" s="6"/>
      <c r="X4980" s="6"/>
      <c r="Y4980" s="6"/>
      <c r="Z4980" s="6"/>
    </row>
    <row r="4981" customFormat="false" ht="15" hidden="false" customHeight="false" outlineLevel="0" collapsed="false">
      <c r="A4981" s="9" t="s">
        <v>10824</v>
      </c>
      <c r="B4981" s="9" t="s">
        <v>5870</v>
      </c>
      <c r="C4981" s="9" t="s">
        <v>5259</v>
      </c>
      <c r="D4981" s="9" t="s">
        <v>5871</v>
      </c>
      <c r="E4981" s="9" t="str">
        <f aca="false">IF(AND('Formation Ledger'!A4960&lt;&gt;"",'Formation Ledger'!V4960=0),"PASS","FAIL")</f>
        <v>PASS</v>
      </c>
      <c r="F4981" s="9" t="s">
        <v>76</v>
      </c>
      <c r="G4981" s="6"/>
      <c r="H4981" s="6"/>
      <c r="I4981" s="6"/>
      <c r="J4981" s="6"/>
      <c r="K4981" s="6"/>
      <c r="L4981" s="6"/>
      <c r="M4981" s="6"/>
      <c r="N4981" s="6"/>
      <c r="O4981" s="6"/>
      <c r="P4981" s="6"/>
      <c r="Q4981" s="6"/>
      <c r="R4981" s="6"/>
      <c r="S4981" s="6"/>
      <c r="T4981" s="6"/>
      <c r="U4981" s="6"/>
      <c r="V4981" s="6"/>
      <c r="W4981" s="6"/>
      <c r="X4981" s="6"/>
      <c r="Y4981" s="6"/>
      <c r="Z4981" s="6"/>
    </row>
    <row r="4982" customFormat="false" ht="15" hidden="false" customHeight="false" outlineLevel="0" collapsed="false">
      <c r="A4982" s="9" t="s">
        <v>10825</v>
      </c>
      <c r="B4982" s="9" t="s">
        <v>5870</v>
      </c>
      <c r="C4982" s="9" t="s">
        <v>5260</v>
      </c>
      <c r="D4982" s="9" t="s">
        <v>5871</v>
      </c>
      <c r="E4982" s="9" t="str">
        <f aca="false">IF(AND('Formation Ledger'!A4961&lt;&gt;"",'Formation Ledger'!V4961=0),"PASS","FAIL")</f>
        <v>PASS</v>
      </c>
      <c r="F4982" s="9" t="s">
        <v>76</v>
      </c>
      <c r="G4982" s="6"/>
      <c r="H4982" s="6"/>
      <c r="I4982" s="6"/>
      <c r="J4982" s="6"/>
      <c r="K4982" s="6"/>
      <c r="L4982" s="6"/>
      <c r="M4982" s="6"/>
      <c r="N4982" s="6"/>
      <c r="O4982" s="6"/>
      <c r="P4982" s="6"/>
      <c r="Q4982" s="6"/>
      <c r="R4982" s="6"/>
      <c r="S4982" s="6"/>
      <c r="T4982" s="6"/>
      <c r="U4982" s="6"/>
      <c r="V4982" s="6"/>
      <c r="W4982" s="6"/>
      <c r="X4982" s="6"/>
      <c r="Y4982" s="6"/>
      <c r="Z4982" s="6"/>
    </row>
    <row r="4983" customFormat="false" ht="15" hidden="false" customHeight="false" outlineLevel="0" collapsed="false">
      <c r="A4983" s="9" t="s">
        <v>10826</v>
      </c>
      <c r="B4983" s="9" t="s">
        <v>5870</v>
      </c>
      <c r="C4983" s="9" t="s">
        <v>5261</v>
      </c>
      <c r="D4983" s="9" t="s">
        <v>5871</v>
      </c>
      <c r="E4983" s="9" t="str">
        <f aca="false">IF(AND('Formation Ledger'!A4962&lt;&gt;"",'Formation Ledger'!V4962=0),"PASS","FAIL")</f>
        <v>PASS</v>
      </c>
      <c r="F4983" s="9" t="s">
        <v>76</v>
      </c>
      <c r="G4983" s="6"/>
      <c r="H4983" s="6"/>
      <c r="I4983" s="6"/>
      <c r="J4983" s="6"/>
      <c r="K4983" s="6"/>
      <c r="L4983" s="6"/>
      <c r="M4983" s="6"/>
      <c r="N4983" s="6"/>
      <c r="O4983" s="6"/>
      <c r="P4983" s="6"/>
      <c r="Q4983" s="6"/>
      <c r="R4983" s="6"/>
      <c r="S4983" s="6"/>
      <c r="T4983" s="6"/>
      <c r="U4983" s="6"/>
      <c r="V4983" s="6"/>
      <c r="W4983" s="6"/>
      <c r="X4983" s="6"/>
      <c r="Y4983" s="6"/>
      <c r="Z4983" s="6"/>
    </row>
    <row r="4984" customFormat="false" ht="15" hidden="false" customHeight="false" outlineLevel="0" collapsed="false">
      <c r="A4984" s="9" t="s">
        <v>10827</v>
      </c>
      <c r="B4984" s="9" t="s">
        <v>5870</v>
      </c>
      <c r="C4984" s="9" t="s">
        <v>5262</v>
      </c>
      <c r="D4984" s="9" t="s">
        <v>5871</v>
      </c>
      <c r="E4984" s="9" t="str">
        <f aca="false">IF(AND('Formation Ledger'!A4963&lt;&gt;"",'Formation Ledger'!V4963=0),"PASS","FAIL")</f>
        <v>PASS</v>
      </c>
      <c r="F4984" s="9" t="s">
        <v>76</v>
      </c>
      <c r="G4984" s="6"/>
      <c r="H4984" s="6"/>
      <c r="I4984" s="6"/>
      <c r="J4984" s="6"/>
      <c r="K4984" s="6"/>
      <c r="L4984" s="6"/>
      <c r="M4984" s="6"/>
      <c r="N4984" s="6"/>
      <c r="O4984" s="6"/>
      <c r="P4984" s="6"/>
      <c r="Q4984" s="6"/>
      <c r="R4984" s="6"/>
      <c r="S4984" s="6"/>
      <c r="T4984" s="6"/>
      <c r="U4984" s="6"/>
      <c r="V4984" s="6"/>
      <c r="W4984" s="6"/>
      <c r="X4984" s="6"/>
      <c r="Y4984" s="6"/>
      <c r="Z4984" s="6"/>
    </row>
    <row r="4985" customFormat="false" ht="15" hidden="false" customHeight="false" outlineLevel="0" collapsed="false">
      <c r="A4985" s="9" t="s">
        <v>10828</v>
      </c>
      <c r="B4985" s="9" t="s">
        <v>5870</v>
      </c>
      <c r="C4985" s="9" t="s">
        <v>5263</v>
      </c>
      <c r="D4985" s="9" t="s">
        <v>5871</v>
      </c>
      <c r="E4985" s="9" t="str">
        <f aca="false">IF(AND('Formation Ledger'!A4964&lt;&gt;"",'Formation Ledger'!V4964=0),"PASS","FAIL")</f>
        <v>PASS</v>
      </c>
      <c r="F4985" s="9" t="s">
        <v>76</v>
      </c>
      <c r="G4985" s="6"/>
      <c r="H4985" s="6"/>
      <c r="I4985" s="6"/>
      <c r="J4985" s="6"/>
      <c r="K4985" s="6"/>
      <c r="L4985" s="6"/>
      <c r="M4985" s="6"/>
      <c r="N4985" s="6"/>
      <c r="O4985" s="6"/>
      <c r="P4985" s="6"/>
      <c r="Q4985" s="6"/>
      <c r="R4985" s="6"/>
      <c r="S4985" s="6"/>
      <c r="T4985" s="6"/>
      <c r="U4985" s="6"/>
      <c r="V4985" s="6"/>
      <c r="W4985" s="6"/>
      <c r="X4985" s="6"/>
      <c r="Y4985" s="6"/>
      <c r="Z4985" s="6"/>
    </row>
    <row r="4986" customFormat="false" ht="15" hidden="false" customHeight="false" outlineLevel="0" collapsed="false">
      <c r="A4986" s="9" t="s">
        <v>10829</v>
      </c>
      <c r="B4986" s="9" t="s">
        <v>5870</v>
      </c>
      <c r="C4986" s="9" t="s">
        <v>5264</v>
      </c>
      <c r="D4986" s="9" t="s">
        <v>5871</v>
      </c>
      <c r="E4986" s="9" t="str">
        <f aca="false">IF(AND('Formation Ledger'!A4965&lt;&gt;"",'Formation Ledger'!V4965=0),"PASS","FAIL")</f>
        <v>PASS</v>
      </c>
      <c r="F4986" s="9" t="s">
        <v>76</v>
      </c>
      <c r="G4986" s="6"/>
      <c r="H4986" s="6"/>
      <c r="I4986" s="6"/>
      <c r="J4986" s="6"/>
      <c r="K4986" s="6"/>
      <c r="L4986" s="6"/>
      <c r="M4986" s="6"/>
      <c r="N4986" s="6"/>
      <c r="O4986" s="6"/>
      <c r="P4986" s="6"/>
      <c r="Q4986" s="6"/>
      <c r="R4986" s="6"/>
      <c r="S4986" s="6"/>
      <c r="T4986" s="6"/>
      <c r="U4986" s="6"/>
      <c r="V4986" s="6"/>
      <c r="W4986" s="6"/>
      <c r="X4986" s="6"/>
      <c r="Y4986" s="6"/>
      <c r="Z4986" s="6"/>
    </row>
    <row r="4987" customFormat="false" ht="15" hidden="false" customHeight="false" outlineLevel="0" collapsed="false">
      <c r="A4987" s="9" t="s">
        <v>10830</v>
      </c>
      <c r="B4987" s="9" t="s">
        <v>5870</v>
      </c>
      <c r="C4987" s="9" t="s">
        <v>5265</v>
      </c>
      <c r="D4987" s="9" t="s">
        <v>5871</v>
      </c>
      <c r="E4987" s="9" t="str">
        <f aca="false">IF(AND('Formation Ledger'!A4966&lt;&gt;"",'Formation Ledger'!V4966=0),"PASS","FAIL")</f>
        <v>PASS</v>
      </c>
      <c r="F4987" s="9" t="s">
        <v>76</v>
      </c>
      <c r="G4987" s="6"/>
      <c r="H4987" s="6"/>
      <c r="I4987" s="6"/>
      <c r="J4987" s="6"/>
      <c r="K4987" s="6"/>
      <c r="L4987" s="6"/>
      <c r="M4987" s="6"/>
      <c r="N4987" s="6"/>
      <c r="O4987" s="6"/>
      <c r="P4987" s="6"/>
      <c r="Q4987" s="6"/>
      <c r="R4987" s="6"/>
      <c r="S4987" s="6"/>
      <c r="T4987" s="6"/>
      <c r="U4987" s="6"/>
      <c r="V4987" s="6"/>
      <c r="W4987" s="6"/>
      <c r="X4987" s="6"/>
      <c r="Y4987" s="6"/>
      <c r="Z4987" s="6"/>
    </row>
    <row r="4988" customFormat="false" ht="15" hidden="false" customHeight="false" outlineLevel="0" collapsed="false">
      <c r="A4988" s="9" t="s">
        <v>10831</v>
      </c>
      <c r="B4988" s="9" t="s">
        <v>5870</v>
      </c>
      <c r="C4988" s="9" t="s">
        <v>5266</v>
      </c>
      <c r="D4988" s="9" t="s">
        <v>5871</v>
      </c>
      <c r="E4988" s="9" t="str">
        <f aca="false">IF(AND('Formation Ledger'!A4967&lt;&gt;"",'Formation Ledger'!V4967=0),"PASS","FAIL")</f>
        <v>PASS</v>
      </c>
      <c r="F4988" s="9" t="s">
        <v>76</v>
      </c>
      <c r="G4988" s="6"/>
      <c r="H4988" s="6"/>
      <c r="I4988" s="6"/>
      <c r="J4988" s="6"/>
      <c r="K4988" s="6"/>
      <c r="L4988" s="6"/>
      <c r="M4988" s="6"/>
      <c r="N4988" s="6"/>
      <c r="O4988" s="6"/>
      <c r="P4988" s="6"/>
      <c r="Q4988" s="6"/>
      <c r="R4988" s="6"/>
      <c r="S4988" s="6"/>
      <c r="T4988" s="6"/>
      <c r="U4988" s="6"/>
      <c r="V4988" s="6"/>
      <c r="W4988" s="6"/>
      <c r="X4988" s="6"/>
      <c r="Y4988" s="6"/>
      <c r="Z4988" s="6"/>
    </row>
    <row r="4989" customFormat="false" ht="15" hidden="false" customHeight="false" outlineLevel="0" collapsed="false">
      <c r="A4989" s="9" t="s">
        <v>10832</v>
      </c>
      <c r="B4989" s="9" t="s">
        <v>5870</v>
      </c>
      <c r="C4989" s="9" t="s">
        <v>5267</v>
      </c>
      <c r="D4989" s="9" t="s">
        <v>5871</v>
      </c>
      <c r="E4989" s="9" t="str">
        <f aca="false">IF(AND('Formation Ledger'!A4968&lt;&gt;"",'Formation Ledger'!V4968=0),"PASS","FAIL")</f>
        <v>PASS</v>
      </c>
      <c r="F4989" s="9" t="s">
        <v>76</v>
      </c>
      <c r="G4989" s="6"/>
      <c r="H4989" s="6"/>
      <c r="I4989" s="6"/>
      <c r="J4989" s="6"/>
      <c r="K4989" s="6"/>
      <c r="L4989" s="6"/>
      <c r="M4989" s="6"/>
      <c r="N4989" s="6"/>
      <c r="O4989" s="6"/>
      <c r="P4989" s="6"/>
      <c r="Q4989" s="6"/>
      <c r="R4989" s="6"/>
      <c r="S4989" s="6"/>
      <c r="T4989" s="6"/>
      <c r="U4989" s="6"/>
      <c r="V4989" s="6"/>
      <c r="W4989" s="6"/>
      <c r="X4989" s="6"/>
      <c r="Y4989" s="6"/>
      <c r="Z4989" s="6"/>
    </row>
    <row r="4990" customFormat="false" ht="15" hidden="false" customHeight="false" outlineLevel="0" collapsed="false">
      <c r="A4990" s="9" t="s">
        <v>10833</v>
      </c>
      <c r="B4990" s="9" t="s">
        <v>5870</v>
      </c>
      <c r="C4990" s="9" t="s">
        <v>5268</v>
      </c>
      <c r="D4990" s="9" t="s">
        <v>5871</v>
      </c>
      <c r="E4990" s="9" t="str">
        <f aca="false">IF(AND('Formation Ledger'!A4969&lt;&gt;"",'Formation Ledger'!V4969=0),"PASS","FAIL")</f>
        <v>PASS</v>
      </c>
      <c r="F4990" s="9" t="s">
        <v>76</v>
      </c>
      <c r="G4990" s="6"/>
      <c r="H4990" s="6"/>
      <c r="I4990" s="6"/>
      <c r="J4990" s="6"/>
      <c r="K4990" s="6"/>
      <c r="L4990" s="6"/>
      <c r="M4990" s="6"/>
      <c r="N4990" s="6"/>
      <c r="O4990" s="6"/>
      <c r="P4990" s="6"/>
      <c r="Q4990" s="6"/>
      <c r="R4990" s="6"/>
      <c r="S4990" s="6"/>
      <c r="T4990" s="6"/>
      <c r="U4990" s="6"/>
      <c r="V4990" s="6"/>
      <c r="W4990" s="6"/>
      <c r="X4990" s="6"/>
      <c r="Y4990" s="6"/>
      <c r="Z4990" s="6"/>
    </row>
    <row r="4991" customFormat="false" ht="15" hidden="false" customHeight="false" outlineLevel="0" collapsed="false">
      <c r="A4991" s="9" t="s">
        <v>10834</v>
      </c>
      <c r="B4991" s="9" t="s">
        <v>5870</v>
      </c>
      <c r="C4991" s="9" t="s">
        <v>5269</v>
      </c>
      <c r="D4991" s="9" t="s">
        <v>5871</v>
      </c>
      <c r="E4991" s="9" t="str">
        <f aca="false">IF(AND('Formation Ledger'!A4970&lt;&gt;"",'Formation Ledger'!V4970=0),"PASS","FAIL")</f>
        <v>PASS</v>
      </c>
      <c r="F4991" s="9" t="s">
        <v>76</v>
      </c>
      <c r="G4991" s="6"/>
      <c r="H4991" s="6"/>
      <c r="I4991" s="6"/>
      <c r="J4991" s="6"/>
      <c r="K4991" s="6"/>
      <c r="L4991" s="6"/>
      <c r="M4991" s="6"/>
      <c r="N4991" s="6"/>
      <c r="O4991" s="6"/>
      <c r="P4991" s="6"/>
      <c r="Q4991" s="6"/>
      <c r="R4991" s="6"/>
      <c r="S4991" s="6"/>
      <c r="T4991" s="6"/>
      <c r="U4991" s="6"/>
      <c r="V4991" s="6"/>
      <c r="W4991" s="6"/>
      <c r="X4991" s="6"/>
      <c r="Y4991" s="6"/>
      <c r="Z4991" s="6"/>
    </row>
    <row r="4992" customFormat="false" ht="15" hidden="false" customHeight="false" outlineLevel="0" collapsed="false">
      <c r="A4992" s="9" t="s">
        <v>10835</v>
      </c>
      <c r="B4992" s="9" t="s">
        <v>5870</v>
      </c>
      <c r="C4992" s="9" t="s">
        <v>5270</v>
      </c>
      <c r="D4992" s="9" t="s">
        <v>5871</v>
      </c>
      <c r="E4992" s="9" t="str">
        <f aca="false">IF(AND('Formation Ledger'!A4971&lt;&gt;"",'Formation Ledger'!V4971=0),"PASS","FAIL")</f>
        <v>PASS</v>
      </c>
      <c r="F4992" s="9" t="s">
        <v>76</v>
      </c>
      <c r="G4992" s="6"/>
      <c r="H4992" s="6"/>
      <c r="I4992" s="6"/>
      <c r="J4992" s="6"/>
      <c r="K4992" s="6"/>
      <c r="L4992" s="6"/>
      <c r="M4992" s="6"/>
      <c r="N4992" s="6"/>
      <c r="O4992" s="6"/>
      <c r="P4992" s="6"/>
      <c r="Q4992" s="6"/>
      <c r="R4992" s="6"/>
      <c r="S4992" s="6"/>
      <c r="T4992" s="6"/>
      <c r="U4992" s="6"/>
      <c r="V4992" s="6"/>
      <c r="W4992" s="6"/>
      <c r="X4992" s="6"/>
      <c r="Y4992" s="6"/>
      <c r="Z4992" s="6"/>
    </row>
    <row r="4993" customFormat="false" ht="15" hidden="false" customHeight="false" outlineLevel="0" collapsed="false">
      <c r="A4993" s="9" t="s">
        <v>10836</v>
      </c>
      <c r="B4993" s="9" t="s">
        <v>5870</v>
      </c>
      <c r="C4993" s="9" t="s">
        <v>5271</v>
      </c>
      <c r="D4993" s="9" t="s">
        <v>5871</v>
      </c>
      <c r="E4993" s="9" t="str">
        <f aca="false">IF(AND('Formation Ledger'!A4972&lt;&gt;"",'Formation Ledger'!V4972=0),"PASS","FAIL")</f>
        <v>PASS</v>
      </c>
      <c r="F4993" s="9" t="s">
        <v>76</v>
      </c>
      <c r="G4993" s="6"/>
      <c r="H4993" s="6"/>
      <c r="I4993" s="6"/>
      <c r="J4993" s="6"/>
      <c r="K4993" s="6"/>
      <c r="L4993" s="6"/>
      <c r="M4993" s="6"/>
      <c r="N4993" s="6"/>
      <c r="O4993" s="6"/>
      <c r="P4993" s="6"/>
      <c r="Q4993" s="6"/>
      <c r="R4993" s="6"/>
      <c r="S4993" s="6"/>
      <c r="T4993" s="6"/>
      <c r="U4993" s="6"/>
      <c r="V4993" s="6"/>
      <c r="W4993" s="6"/>
      <c r="X4993" s="6"/>
      <c r="Y4993" s="6"/>
      <c r="Z4993" s="6"/>
    </row>
    <row r="4994" customFormat="false" ht="15" hidden="false" customHeight="false" outlineLevel="0" collapsed="false">
      <c r="A4994" s="9" t="s">
        <v>10837</v>
      </c>
      <c r="B4994" s="9" t="s">
        <v>5870</v>
      </c>
      <c r="C4994" s="9" t="s">
        <v>5272</v>
      </c>
      <c r="D4994" s="9" t="s">
        <v>5871</v>
      </c>
      <c r="E4994" s="9" t="str">
        <f aca="false">IF(AND('Formation Ledger'!A4973&lt;&gt;"",'Formation Ledger'!V4973=0),"PASS","FAIL")</f>
        <v>PASS</v>
      </c>
      <c r="F4994" s="9" t="s">
        <v>76</v>
      </c>
      <c r="G4994" s="6"/>
      <c r="H4994" s="6"/>
      <c r="I4994" s="6"/>
      <c r="J4994" s="6"/>
      <c r="K4994" s="6"/>
      <c r="L4994" s="6"/>
      <c r="M4994" s="6"/>
      <c r="N4994" s="6"/>
      <c r="O4994" s="6"/>
      <c r="P4994" s="6"/>
      <c r="Q4994" s="6"/>
      <c r="R4994" s="6"/>
      <c r="S4994" s="6"/>
      <c r="T4994" s="6"/>
      <c r="U4994" s="6"/>
      <c r="V4994" s="6"/>
      <c r="W4994" s="6"/>
      <c r="X4994" s="6"/>
      <c r="Y4994" s="6"/>
      <c r="Z4994" s="6"/>
    </row>
    <row r="4995" customFormat="false" ht="15" hidden="false" customHeight="false" outlineLevel="0" collapsed="false">
      <c r="A4995" s="9" t="s">
        <v>10838</v>
      </c>
      <c r="B4995" s="9" t="s">
        <v>5870</v>
      </c>
      <c r="C4995" s="9" t="s">
        <v>5273</v>
      </c>
      <c r="D4995" s="9" t="s">
        <v>5871</v>
      </c>
      <c r="E4995" s="9" t="str">
        <f aca="false">IF(AND('Formation Ledger'!A4974&lt;&gt;"",'Formation Ledger'!V4974=0),"PASS","FAIL")</f>
        <v>PASS</v>
      </c>
      <c r="F4995" s="9" t="s">
        <v>76</v>
      </c>
      <c r="G4995" s="6"/>
      <c r="H4995" s="6"/>
      <c r="I4995" s="6"/>
      <c r="J4995" s="6"/>
      <c r="K4995" s="6"/>
      <c r="L4995" s="6"/>
      <c r="M4995" s="6"/>
      <c r="N4995" s="6"/>
      <c r="O4995" s="6"/>
      <c r="P4995" s="6"/>
      <c r="Q4995" s="6"/>
      <c r="R4995" s="6"/>
      <c r="S4995" s="6"/>
      <c r="T4995" s="6"/>
      <c r="U4995" s="6"/>
      <c r="V4995" s="6"/>
      <c r="W4995" s="6"/>
      <c r="X4995" s="6"/>
      <c r="Y4995" s="6"/>
      <c r="Z4995" s="6"/>
    </row>
    <row r="4996" customFormat="false" ht="15" hidden="false" customHeight="false" outlineLevel="0" collapsed="false">
      <c r="A4996" s="9" t="s">
        <v>10839</v>
      </c>
      <c r="B4996" s="9" t="s">
        <v>5870</v>
      </c>
      <c r="C4996" s="9" t="s">
        <v>5274</v>
      </c>
      <c r="D4996" s="9" t="s">
        <v>5871</v>
      </c>
      <c r="E4996" s="9" t="str">
        <f aca="false">IF(AND('Formation Ledger'!A4975&lt;&gt;"",'Formation Ledger'!V4975=0),"PASS","FAIL")</f>
        <v>PASS</v>
      </c>
      <c r="F4996" s="9" t="s">
        <v>76</v>
      </c>
      <c r="G4996" s="6"/>
      <c r="H4996" s="6"/>
      <c r="I4996" s="6"/>
      <c r="J4996" s="6"/>
      <c r="K4996" s="6"/>
      <c r="L4996" s="6"/>
      <c r="M4996" s="6"/>
      <c r="N4996" s="6"/>
      <c r="O4996" s="6"/>
      <c r="P4996" s="6"/>
      <c r="Q4996" s="6"/>
      <c r="R4996" s="6"/>
      <c r="S4996" s="6"/>
      <c r="T4996" s="6"/>
      <c r="U4996" s="6"/>
      <c r="V4996" s="6"/>
      <c r="W4996" s="6"/>
      <c r="X4996" s="6"/>
      <c r="Y4996" s="6"/>
      <c r="Z4996" s="6"/>
    </row>
    <row r="4997" customFormat="false" ht="15" hidden="false" customHeight="false" outlineLevel="0" collapsed="false">
      <c r="A4997" s="9" t="s">
        <v>10840</v>
      </c>
      <c r="B4997" s="9" t="s">
        <v>5870</v>
      </c>
      <c r="C4997" s="9" t="s">
        <v>5275</v>
      </c>
      <c r="D4997" s="9" t="s">
        <v>5871</v>
      </c>
      <c r="E4997" s="9" t="str">
        <f aca="false">IF(AND('Formation Ledger'!A4976&lt;&gt;"",'Formation Ledger'!V4976=0),"PASS","FAIL")</f>
        <v>PASS</v>
      </c>
      <c r="F4997" s="9" t="s">
        <v>76</v>
      </c>
      <c r="G4997" s="6"/>
      <c r="H4997" s="6"/>
      <c r="I4997" s="6"/>
      <c r="J4997" s="6"/>
      <c r="K4997" s="6"/>
      <c r="L4997" s="6"/>
      <c r="M4997" s="6"/>
      <c r="N4997" s="6"/>
      <c r="O4997" s="6"/>
      <c r="P4997" s="6"/>
      <c r="Q4997" s="6"/>
      <c r="R4997" s="6"/>
      <c r="S4997" s="6"/>
      <c r="T4997" s="6"/>
      <c r="U4997" s="6"/>
      <c r="V4997" s="6"/>
      <c r="W4997" s="6"/>
      <c r="X4997" s="6"/>
      <c r="Y4997" s="6"/>
      <c r="Z4997" s="6"/>
    </row>
    <row r="4998" customFormat="false" ht="15" hidden="false" customHeight="false" outlineLevel="0" collapsed="false">
      <c r="A4998" s="9" t="s">
        <v>10841</v>
      </c>
      <c r="B4998" s="9" t="s">
        <v>5870</v>
      </c>
      <c r="C4998" s="9" t="s">
        <v>5276</v>
      </c>
      <c r="D4998" s="9" t="s">
        <v>5871</v>
      </c>
      <c r="E4998" s="9" t="str">
        <f aca="false">IF(AND('Formation Ledger'!A4977&lt;&gt;"",'Formation Ledger'!V4977=0),"PASS","FAIL")</f>
        <v>PASS</v>
      </c>
      <c r="F4998" s="9" t="s">
        <v>76</v>
      </c>
      <c r="G4998" s="6"/>
      <c r="H4998" s="6"/>
      <c r="I4998" s="6"/>
      <c r="J4998" s="6"/>
      <c r="K4998" s="6"/>
      <c r="L4998" s="6"/>
      <c r="M4998" s="6"/>
      <c r="N4998" s="6"/>
      <c r="O4998" s="6"/>
      <c r="P4998" s="6"/>
      <c r="Q4998" s="6"/>
      <c r="R4998" s="6"/>
      <c r="S4998" s="6"/>
      <c r="T4998" s="6"/>
      <c r="U4998" s="6"/>
      <c r="V4998" s="6"/>
      <c r="W4998" s="6"/>
      <c r="X4998" s="6"/>
      <c r="Y4998" s="6"/>
      <c r="Z4998" s="6"/>
    </row>
    <row r="4999" customFormat="false" ht="15" hidden="false" customHeight="false" outlineLevel="0" collapsed="false">
      <c r="A4999" s="9" t="s">
        <v>10842</v>
      </c>
      <c r="B4999" s="9" t="s">
        <v>5870</v>
      </c>
      <c r="C4999" s="9" t="s">
        <v>5277</v>
      </c>
      <c r="D4999" s="9" t="s">
        <v>5871</v>
      </c>
      <c r="E4999" s="9" t="str">
        <f aca="false">IF(AND('Formation Ledger'!A4978&lt;&gt;"",'Formation Ledger'!V4978=0),"PASS","FAIL")</f>
        <v>PASS</v>
      </c>
      <c r="F4999" s="9" t="s">
        <v>76</v>
      </c>
      <c r="G4999" s="6"/>
      <c r="H4999" s="6"/>
      <c r="I4999" s="6"/>
      <c r="J4999" s="6"/>
      <c r="K4999" s="6"/>
      <c r="L4999" s="6"/>
      <c r="M4999" s="6"/>
      <c r="N4999" s="6"/>
      <c r="O4999" s="6"/>
      <c r="P4999" s="6"/>
      <c r="Q4999" s="6"/>
      <c r="R4999" s="6"/>
      <c r="S4999" s="6"/>
      <c r="T4999" s="6"/>
      <c r="U4999" s="6"/>
      <c r="V4999" s="6"/>
      <c r="W4999" s="6"/>
      <c r="X4999" s="6"/>
      <c r="Y4999" s="6"/>
      <c r="Z4999" s="6"/>
    </row>
    <row r="5000" customFormat="false" ht="15" hidden="false" customHeight="false" outlineLevel="0" collapsed="false">
      <c r="A5000" s="9" t="s">
        <v>10843</v>
      </c>
      <c r="B5000" s="9" t="s">
        <v>5870</v>
      </c>
      <c r="C5000" s="9" t="s">
        <v>5278</v>
      </c>
      <c r="D5000" s="9" t="s">
        <v>5871</v>
      </c>
      <c r="E5000" s="9" t="str">
        <f aca="false">IF(AND('Formation Ledger'!A4979&lt;&gt;"",'Formation Ledger'!V4979=0),"PASS","FAIL")</f>
        <v>PASS</v>
      </c>
      <c r="F5000" s="9" t="s">
        <v>76</v>
      </c>
      <c r="G5000" s="6"/>
      <c r="H5000" s="6"/>
      <c r="I5000" s="6"/>
      <c r="J5000" s="6"/>
      <c r="K5000" s="6"/>
      <c r="L5000" s="6"/>
      <c r="M5000" s="6"/>
      <c r="N5000" s="6"/>
      <c r="O5000" s="6"/>
      <c r="P5000" s="6"/>
      <c r="Q5000" s="6"/>
      <c r="R5000" s="6"/>
      <c r="S5000" s="6"/>
      <c r="T5000" s="6"/>
      <c r="U5000" s="6"/>
      <c r="V5000" s="6"/>
      <c r="W5000" s="6"/>
      <c r="X5000" s="6"/>
      <c r="Y5000" s="6"/>
      <c r="Z5000" s="6"/>
    </row>
    <row r="5001" customFormat="false" ht="15" hidden="false" customHeight="false" outlineLevel="0" collapsed="false">
      <c r="A5001" s="9" t="s">
        <v>10844</v>
      </c>
      <c r="B5001" s="9" t="s">
        <v>5870</v>
      </c>
      <c r="C5001" s="9" t="s">
        <v>5279</v>
      </c>
      <c r="D5001" s="9" t="s">
        <v>5871</v>
      </c>
      <c r="E5001" s="9" t="str">
        <f aca="false">IF(AND('Formation Ledger'!A4980&lt;&gt;"",'Formation Ledger'!V4980=0),"PASS","FAIL")</f>
        <v>PASS</v>
      </c>
      <c r="F5001" s="9" t="s">
        <v>76</v>
      </c>
      <c r="G5001" s="6"/>
      <c r="H5001" s="6"/>
      <c r="I5001" s="6"/>
      <c r="J5001" s="6"/>
      <c r="K5001" s="6"/>
      <c r="L5001" s="6"/>
      <c r="M5001" s="6"/>
      <c r="N5001" s="6"/>
      <c r="O5001" s="6"/>
      <c r="P5001" s="6"/>
      <c r="Q5001" s="6"/>
      <c r="R5001" s="6"/>
      <c r="S5001" s="6"/>
      <c r="T5001" s="6"/>
      <c r="U5001" s="6"/>
      <c r="V5001" s="6"/>
      <c r="W5001" s="6"/>
      <c r="X5001" s="6"/>
      <c r="Y5001" s="6"/>
      <c r="Z5001" s="6"/>
    </row>
    <row r="5002" customFormat="false" ht="15" hidden="false" customHeight="false" outlineLevel="0" collapsed="false">
      <c r="A5002" s="9" t="s">
        <v>10845</v>
      </c>
      <c r="B5002" s="9" t="s">
        <v>5870</v>
      </c>
      <c r="C5002" s="9" t="s">
        <v>5280</v>
      </c>
      <c r="D5002" s="9" t="s">
        <v>5871</v>
      </c>
      <c r="E5002" s="9" t="str">
        <f aca="false">IF(AND('Formation Ledger'!A4981&lt;&gt;"",'Formation Ledger'!V4981=0),"PASS","FAIL")</f>
        <v>PASS</v>
      </c>
      <c r="F5002" s="9" t="s">
        <v>76</v>
      </c>
      <c r="G5002" s="6"/>
      <c r="H5002" s="6"/>
      <c r="I5002" s="6"/>
      <c r="J5002" s="6"/>
      <c r="K5002" s="6"/>
      <c r="L5002" s="6"/>
      <c r="M5002" s="6"/>
      <c r="N5002" s="6"/>
      <c r="O5002" s="6"/>
      <c r="P5002" s="6"/>
      <c r="Q5002" s="6"/>
      <c r="R5002" s="6"/>
      <c r="S5002" s="6"/>
      <c r="T5002" s="6"/>
      <c r="U5002" s="6"/>
      <c r="V5002" s="6"/>
      <c r="W5002" s="6"/>
      <c r="X5002" s="6"/>
      <c r="Y5002" s="6"/>
      <c r="Z5002" s="6"/>
    </row>
    <row r="5003" customFormat="false" ht="15" hidden="false" customHeight="false" outlineLevel="0" collapsed="false">
      <c r="A5003" s="9" t="s">
        <v>10846</v>
      </c>
      <c r="B5003" s="9" t="s">
        <v>5870</v>
      </c>
      <c r="C5003" s="9" t="s">
        <v>5281</v>
      </c>
      <c r="D5003" s="9" t="s">
        <v>5871</v>
      </c>
      <c r="E5003" s="9" t="str">
        <f aca="false">IF(AND('Formation Ledger'!A4982&lt;&gt;"",'Formation Ledger'!V4982=0),"PASS","FAIL")</f>
        <v>PASS</v>
      </c>
      <c r="F5003" s="9" t="s">
        <v>76</v>
      </c>
      <c r="G5003" s="6"/>
      <c r="H5003" s="6"/>
      <c r="I5003" s="6"/>
      <c r="J5003" s="6"/>
      <c r="K5003" s="6"/>
      <c r="L5003" s="6"/>
      <c r="M5003" s="6"/>
      <c r="N5003" s="6"/>
      <c r="O5003" s="6"/>
      <c r="P5003" s="6"/>
      <c r="Q5003" s="6"/>
      <c r="R5003" s="6"/>
      <c r="S5003" s="6"/>
      <c r="T5003" s="6"/>
      <c r="U5003" s="6"/>
      <c r="V5003" s="6"/>
      <c r="W5003" s="6"/>
      <c r="X5003" s="6"/>
      <c r="Y5003" s="6"/>
      <c r="Z5003" s="6"/>
    </row>
    <row r="5004" customFormat="false" ht="15" hidden="false" customHeight="false" outlineLevel="0" collapsed="false">
      <c r="A5004" s="9" t="s">
        <v>10847</v>
      </c>
      <c r="B5004" s="9" t="s">
        <v>5870</v>
      </c>
      <c r="C5004" s="9" t="s">
        <v>5282</v>
      </c>
      <c r="D5004" s="9" t="s">
        <v>5871</v>
      </c>
      <c r="E5004" s="9" t="str">
        <f aca="false">IF(AND('Formation Ledger'!A4983&lt;&gt;"",'Formation Ledger'!V4983=0),"PASS","FAIL")</f>
        <v>PASS</v>
      </c>
      <c r="F5004" s="9" t="s">
        <v>76</v>
      </c>
      <c r="G5004" s="6"/>
      <c r="H5004" s="6"/>
      <c r="I5004" s="6"/>
      <c r="J5004" s="6"/>
      <c r="K5004" s="6"/>
      <c r="L5004" s="6"/>
      <c r="M5004" s="6"/>
      <c r="N5004" s="6"/>
      <c r="O5004" s="6"/>
      <c r="P5004" s="6"/>
      <c r="Q5004" s="6"/>
      <c r="R5004" s="6"/>
      <c r="S5004" s="6"/>
      <c r="T5004" s="6"/>
      <c r="U5004" s="6"/>
      <c r="V5004" s="6"/>
      <c r="W5004" s="6"/>
      <c r="X5004" s="6"/>
      <c r="Y5004" s="6"/>
      <c r="Z5004" s="6"/>
    </row>
    <row r="5005" customFormat="false" ht="15" hidden="false" customHeight="false" outlineLevel="0" collapsed="false">
      <c r="A5005" s="9" t="s">
        <v>10848</v>
      </c>
      <c r="B5005" s="9" t="s">
        <v>5870</v>
      </c>
      <c r="C5005" s="9" t="s">
        <v>5283</v>
      </c>
      <c r="D5005" s="9" t="s">
        <v>5871</v>
      </c>
      <c r="E5005" s="9" t="str">
        <f aca="false">IF(AND('Formation Ledger'!A4984&lt;&gt;"",'Formation Ledger'!V4984=0),"PASS","FAIL")</f>
        <v>PASS</v>
      </c>
      <c r="F5005" s="9" t="s">
        <v>76</v>
      </c>
      <c r="G5005" s="6"/>
      <c r="H5005" s="6"/>
      <c r="I5005" s="6"/>
      <c r="J5005" s="6"/>
      <c r="K5005" s="6"/>
      <c r="L5005" s="6"/>
      <c r="M5005" s="6"/>
      <c r="N5005" s="6"/>
      <c r="O5005" s="6"/>
      <c r="P5005" s="6"/>
      <c r="Q5005" s="6"/>
      <c r="R5005" s="6"/>
      <c r="S5005" s="6"/>
      <c r="T5005" s="6"/>
      <c r="U5005" s="6"/>
      <c r="V5005" s="6"/>
      <c r="W5005" s="6"/>
      <c r="X5005" s="6"/>
      <c r="Y5005" s="6"/>
      <c r="Z5005" s="6"/>
    </row>
    <row r="5006" customFormat="false" ht="15" hidden="false" customHeight="false" outlineLevel="0" collapsed="false">
      <c r="A5006" s="9" t="s">
        <v>10849</v>
      </c>
      <c r="B5006" s="9" t="s">
        <v>5870</v>
      </c>
      <c r="C5006" s="9" t="s">
        <v>5284</v>
      </c>
      <c r="D5006" s="9" t="s">
        <v>5871</v>
      </c>
      <c r="E5006" s="9" t="str">
        <f aca="false">IF(AND('Formation Ledger'!A4985&lt;&gt;"",'Formation Ledger'!V4985=0),"PASS","FAIL")</f>
        <v>PASS</v>
      </c>
      <c r="F5006" s="9" t="s">
        <v>76</v>
      </c>
      <c r="G5006" s="6"/>
      <c r="H5006" s="6"/>
      <c r="I5006" s="6"/>
      <c r="J5006" s="6"/>
      <c r="K5006" s="6"/>
      <c r="L5006" s="6"/>
      <c r="M5006" s="6"/>
      <c r="N5006" s="6"/>
      <c r="O5006" s="6"/>
      <c r="P5006" s="6"/>
      <c r="Q5006" s="6"/>
      <c r="R5006" s="6"/>
      <c r="S5006" s="6"/>
      <c r="T5006" s="6"/>
      <c r="U5006" s="6"/>
      <c r="V5006" s="6"/>
      <c r="W5006" s="6"/>
      <c r="X5006" s="6"/>
      <c r="Y5006" s="6"/>
      <c r="Z5006" s="6"/>
    </row>
    <row r="5007" customFormat="false" ht="15" hidden="false" customHeight="false" outlineLevel="0" collapsed="false">
      <c r="A5007" s="9" t="s">
        <v>10850</v>
      </c>
      <c r="B5007" s="9" t="s">
        <v>5870</v>
      </c>
      <c r="C5007" s="9" t="s">
        <v>5285</v>
      </c>
      <c r="D5007" s="9" t="s">
        <v>5871</v>
      </c>
      <c r="E5007" s="9" t="str">
        <f aca="false">IF(AND('Formation Ledger'!A4986&lt;&gt;"",'Formation Ledger'!V4986=0),"PASS","FAIL")</f>
        <v>PASS</v>
      </c>
      <c r="F5007" s="9" t="s">
        <v>76</v>
      </c>
      <c r="G5007" s="6"/>
      <c r="H5007" s="6"/>
      <c r="I5007" s="6"/>
      <c r="J5007" s="6"/>
      <c r="K5007" s="6"/>
      <c r="L5007" s="6"/>
      <c r="M5007" s="6"/>
      <c r="N5007" s="6"/>
      <c r="O5007" s="6"/>
      <c r="P5007" s="6"/>
      <c r="Q5007" s="6"/>
      <c r="R5007" s="6"/>
      <c r="S5007" s="6"/>
      <c r="T5007" s="6"/>
      <c r="U5007" s="6"/>
      <c r="V5007" s="6"/>
      <c r="W5007" s="6"/>
      <c r="X5007" s="6"/>
      <c r="Y5007" s="6"/>
      <c r="Z5007" s="6"/>
    </row>
    <row r="5008" customFormat="false" ht="15" hidden="false" customHeight="false" outlineLevel="0" collapsed="false">
      <c r="A5008" s="9" t="s">
        <v>10851</v>
      </c>
      <c r="B5008" s="9" t="s">
        <v>5870</v>
      </c>
      <c r="C5008" s="9" t="s">
        <v>5286</v>
      </c>
      <c r="D5008" s="9" t="s">
        <v>5871</v>
      </c>
      <c r="E5008" s="9" t="str">
        <f aca="false">IF(AND('Formation Ledger'!A4987&lt;&gt;"",'Formation Ledger'!V4987=0),"PASS","FAIL")</f>
        <v>PASS</v>
      </c>
      <c r="F5008" s="9" t="s">
        <v>76</v>
      </c>
      <c r="G5008" s="6"/>
      <c r="H5008" s="6"/>
      <c r="I5008" s="6"/>
      <c r="J5008" s="6"/>
      <c r="K5008" s="6"/>
      <c r="L5008" s="6"/>
      <c r="M5008" s="6"/>
      <c r="N5008" s="6"/>
      <c r="O5008" s="6"/>
      <c r="P5008" s="6"/>
      <c r="Q5008" s="6"/>
      <c r="R5008" s="6"/>
      <c r="S5008" s="6"/>
      <c r="T5008" s="6"/>
      <c r="U5008" s="6"/>
      <c r="V5008" s="6"/>
      <c r="W5008" s="6"/>
      <c r="X5008" s="6"/>
      <c r="Y5008" s="6"/>
      <c r="Z5008" s="6"/>
    </row>
    <row r="5009" customFormat="false" ht="15" hidden="false" customHeight="false" outlineLevel="0" collapsed="false">
      <c r="A5009" s="9" t="s">
        <v>10852</v>
      </c>
      <c r="B5009" s="9" t="s">
        <v>5870</v>
      </c>
      <c r="C5009" s="9" t="s">
        <v>5287</v>
      </c>
      <c r="D5009" s="9" t="s">
        <v>5871</v>
      </c>
      <c r="E5009" s="9" t="str">
        <f aca="false">IF(AND('Formation Ledger'!A4988&lt;&gt;"",'Formation Ledger'!V4988=0),"PASS","FAIL")</f>
        <v>PASS</v>
      </c>
      <c r="F5009" s="9" t="s">
        <v>76</v>
      </c>
      <c r="G5009" s="6"/>
      <c r="H5009" s="6"/>
      <c r="I5009" s="6"/>
      <c r="J5009" s="6"/>
      <c r="K5009" s="6"/>
      <c r="L5009" s="6"/>
      <c r="M5009" s="6"/>
      <c r="N5009" s="6"/>
      <c r="O5009" s="6"/>
      <c r="P5009" s="6"/>
      <c r="Q5009" s="6"/>
      <c r="R5009" s="6"/>
      <c r="S5009" s="6"/>
      <c r="T5009" s="6"/>
      <c r="U5009" s="6"/>
      <c r="V5009" s="6"/>
      <c r="W5009" s="6"/>
      <c r="X5009" s="6"/>
      <c r="Y5009" s="6"/>
      <c r="Z5009" s="6"/>
    </row>
    <row r="5010" customFormat="false" ht="15" hidden="false" customHeight="false" outlineLevel="0" collapsed="false">
      <c r="A5010" s="9" t="s">
        <v>10853</v>
      </c>
      <c r="B5010" s="9" t="s">
        <v>5870</v>
      </c>
      <c r="C5010" s="9" t="s">
        <v>5288</v>
      </c>
      <c r="D5010" s="9" t="s">
        <v>5871</v>
      </c>
      <c r="E5010" s="9" t="str">
        <f aca="false">IF(AND('Formation Ledger'!A4989&lt;&gt;"",'Formation Ledger'!V4989=0),"PASS","FAIL")</f>
        <v>PASS</v>
      </c>
      <c r="F5010" s="9" t="s">
        <v>76</v>
      </c>
      <c r="G5010" s="6"/>
      <c r="H5010" s="6"/>
      <c r="I5010" s="6"/>
      <c r="J5010" s="6"/>
      <c r="K5010" s="6"/>
      <c r="L5010" s="6"/>
      <c r="M5010" s="6"/>
      <c r="N5010" s="6"/>
      <c r="O5010" s="6"/>
      <c r="P5010" s="6"/>
      <c r="Q5010" s="6"/>
      <c r="R5010" s="6"/>
      <c r="S5010" s="6"/>
      <c r="T5010" s="6"/>
      <c r="U5010" s="6"/>
      <c r="V5010" s="6"/>
      <c r="W5010" s="6"/>
      <c r="X5010" s="6"/>
      <c r="Y5010" s="6"/>
      <c r="Z5010" s="6"/>
    </row>
    <row r="5011" customFormat="false" ht="15" hidden="false" customHeight="false" outlineLevel="0" collapsed="false">
      <c r="A5011" s="9" t="s">
        <v>10854</v>
      </c>
      <c r="B5011" s="9" t="s">
        <v>5870</v>
      </c>
      <c r="C5011" s="9" t="s">
        <v>5289</v>
      </c>
      <c r="D5011" s="9" t="s">
        <v>5871</v>
      </c>
      <c r="E5011" s="9" t="str">
        <f aca="false">IF(AND('Formation Ledger'!A4990&lt;&gt;"",'Formation Ledger'!V4990=0),"PASS","FAIL")</f>
        <v>PASS</v>
      </c>
      <c r="F5011" s="9" t="s">
        <v>76</v>
      </c>
      <c r="G5011" s="6"/>
      <c r="H5011" s="6"/>
      <c r="I5011" s="6"/>
      <c r="J5011" s="6"/>
      <c r="K5011" s="6"/>
      <c r="L5011" s="6"/>
      <c r="M5011" s="6"/>
      <c r="N5011" s="6"/>
      <c r="O5011" s="6"/>
      <c r="P5011" s="6"/>
      <c r="Q5011" s="6"/>
      <c r="R5011" s="6"/>
      <c r="S5011" s="6"/>
      <c r="T5011" s="6"/>
      <c r="U5011" s="6"/>
      <c r="V5011" s="6"/>
      <c r="W5011" s="6"/>
      <c r="X5011" s="6"/>
      <c r="Y5011" s="6"/>
      <c r="Z5011" s="6"/>
    </row>
    <row r="5012" customFormat="false" ht="15" hidden="false" customHeight="false" outlineLevel="0" collapsed="false">
      <c r="A5012" s="9" t="s">
        <v>10855</v>
      </c>
      <c r="B5012" s="9" t="s">
        <v>5870</v>
      </c>
      <c r="C5012" s="9" t="s">
        <v>5290</v>
      </c>
      <c r="D5012" s="9" t="s">
        <v>5871</v>
      </c>
      <c r="E5012" s="9" t="str">
        <f aca="false">IF(AND('Formation Ledger'!A4991&lt;&gt;"",'Formation Ledger'!V4991=0),"PASS","FAIL")</f>
        <v>PASS</v>
      </c>
      <c r="F5012" s="9" t="s">
        <v>76</v>
      </c>
      <c r="G5012" s="6"/>
      <c r="H5012" s="6"/>
      <c r="I5012" s="6"/>
      <c r="J5012" s="6"/>
      <c r="K5012" s="6"/>
      <c r="L5012" s="6"/>
      <c r="M5012" s="6"/>
      <c r="N5012" s="6"/>
      <c r="O5012" s="6"/>
      <c r="P5012" s="6"/>
      <c r="Q5012" s="6"/>
      <c r="R5012" s="6"/>
      <c r="S5012" s="6"/>
      <c r="T5012" s="6"/>
      <c r="U5012" s="6"/>
      <c r="V5012" s="6"/>
      <c r="W5012" s="6"/>
      <c r="X5012" s="6"/>
      <c r="Y5012" s="6"/>
      <c r="Z5012" s="6"/>
    </row>
    <row r="5013" customFormat="false" ht="15" hidden="false" customHeight="false" outlineLevel="0" collapsed="false">
      <c r="A5013" s="9" t="s">
        <v>10856</v>
      </c>
      <c r="B5013" s="9" t="s">
        <v>5870</v>
      </c>
      <c r="C5013" s="9" t="s">
        <v>5291</v>
      </c>
      <c r="D5013" s="9" t="s">
        <v>5871</v>
      </c>
      <c r="E5013" s="9" t="str">
        <f aca="false">IF(AND('Formation Ledger'!A4992&lt;&gt;"",'Formation Ledger'!V4992=0),"PASS","FAIL")</f>
        <v>PASS</v>
      </c>
      <c r="F5013" s="9" t="s">
        <v>76</v>
      </c>
      <c r="G5013" s="6"/>
      <c r="H5013" s="6"/>
      <c r="I5013" s="6"/>
      <c r="J5013" s="6"/>
      <c r="K5013" s="6"/>
      <c r="L5013" s="6"/>
      <c r="M5013" s="6"/>
      <c r="N5013" s="6"/>
      <c r="O5013" s="6"/>
      <c r="P5013" s="6"/>
      <c r="Q5013" s="6"/>
      <c r="R5013" s="6"/>
      <c r="S5013" s="6"/>
      <c r="T5013" s="6"/>
      <c r="U5013" s="6"/>
      <c r="V5013" s="6"/>
      <c r="W5013" s="6"/>
      <c r="X5013" s="6"/>
      <c r="Y5013" s="6"/>
      <c r="Z5013" s="6"/>
    </row>
    <row r="5014" customFormat="false" ht="15" hidden="false" customHeight="false" outlineLevel="0" collapsed="false">
      <c r="A5014" s="9" t="s">
        <v>10857</v>
      </c>
      <c r="B5014" s="9" t="s">
        <v>5870</v>
      </c>
      <c r="C5014" s="9" t="s">
        <v>5292</v>
      </c>
      <c r="D5014" s="9" t="s">
        <v>5871</v>
      </c>
      <c r="E5014" s="9" t="str">
        <f aca="false">IF(AND('Formation Ledger'!A4993&lt;&gt;"",'Formation Ledger'!V4993=0),"PASS","FAIL")</f>
        <v>PASS</v>
      </c>
      <c r="F5014" s="9" t="s">
        <v>76</v>
      </c>
      <c r="G5014" s="6"/>
      <c r="H5014" s="6"/>
      <c r="I5014" s="6"/>
      <c r="J5014" s="6"/>
      <c r="K5014" s="6"/>
      <c r="L5014" s="6"/>
      <c r="M5014" s="6"/>
      <c r="N5014" s="6"/>
      <c r="O5014" s="6"/>
      <c r="P5014" s="6"/>
      <c r="Q5014" s="6"/>
      <c r="R5014" s="6"/>
      <c r="S5014" s="6"/>
      <c r="T5014" s="6"/>
      <c r="U5014" s="6"/>
      <c r="V5014" s="6"/>
      <c r="W5014" s="6"/>
      <c r="X5014" s="6"/>
      <c r="Y5014" s="6"/>
      <c r="Z5014" s="6"/>
    </row>
    <row r="5015" customFormat="false" ht="15" hidden="false" customHeight="false" outlineLevel="0" collapsed="false">
      <c r="A5015" s="9" t="s">
        <v>10858</v>
      </c>
      <c r="B5015" s="9" t="s">
        <v>5870</v>
      </c>
      <c r="C5015" s="9" t="s">
        <v>5293</v>
      </c>
      <c r="D5015" s="9" t="s">
        <v>5871</v>
      </c>
      <c r="E5015" s="9" t="str">
        <f aca="false">IF(AND('Formation Ledger'!A4994&lt;&gt;"",'Formation Ledger'!V4994=0),"PASS","FAIL")</f>
        <v>PASS</v>
      </c>
      <c r="F5015" s="9" t="s">
        <v>76</v>
      </c>
      <c r="G5015" s="6"/>
      <c r="H5015" s="6"/>
      <c r="I5015" s="6"/>
      <c r="J5015" s="6"/>
      <c r="K5015" s="6"/>
      <c r="L5015" s="6"/>
      <c r="M5015" s="6"/>
      <c r="N5015" s="6"/>
      <c r="O5015" s="6"/>
      <c r="P5015" s="6"/>
      <c r="Q5015" s="6"/>
      <c r="R5015" s="6"/>
      <c r="S5015" s="6"/>
      <c r="T5015" s="6"/>
      <c r="U5015" s="6"/>
      <c r="V5015" s="6"/>
      <c r="W5015" s="6"/>
      <c r="X5015" s="6"/>
      <c r="Y5015" s="6"/>
      <c r="Z5015" s="6"/>
    </row>
    <row r="5016" customFormat="false" ht="15" hidden="false" customHeight="false" outlineLevel="0" collapsed="false">
      <c r="A5016" s="9" t="s">
        <v>10859</v>
      </c>
      <c r="B5016" s="9" t="s">
        <v>5870</v>
      </c>
      <c r="C5016" s="9" t="s">
        <v>5294</v>
      </c>
      <c r="D5016" s="9" t="s">
        <v>5871</v>
      </c>
      <c r="E5016" s="9" t="str">
        <f aca="false">IF(AND('Formation Ledger'!A4995&lt;&gt;"",'Formation Ledger'!V4995=0),"PASS","FAIL")</f>
        <v>PASS</v>
      </c>
      <c r="F5016" s="9" t="s">
        <v>76</v>
      </c>
      <c r="G5016" s="6"/>
      <c r="H5016" s="6"/>
      <c r="I5016" s="6"/>
      <c r="J5016" s="6"/>
      <c r="K5016" s="6"/>
      <c r="L5016" s="6"/>
      <c r="M5016" s="6"/>
      <c r="N5016" s="6"/>
      <c r="O5016" s="6"/>
      <c r="P5016" s="6"/>
      <c r="Q5016" s="6"/>
      <c r="R5016" s="6"/>
      <c r="S5016" s="6"/>
      <c r="T5016" s="6"/>
      <c r="U5016" s="6"/>
      <c r="V5016" s="6"/>
      <c r="W5016" s="6"/>
      <c r="X5016" s="6"/>
      <c r="Y5016" s="6"/>
      <c r="Z5016" s="6"/>
    </row>
    <row r="5017" customFormat="false" ht="15" hidden="false" customHeight="false" outlineLevel="0" collapsed="false">
      <c r="A5017" s="9" t="s">
        <v>10860</v>
      </c>
      <c r="B5017" s="9" t="s">
        <v>5870</v>
      </c>
      <c r="C5017" s="9" t="s">
        <v>5295</v>
      </c>
      <c r="D5017" s="9" t="s">
        <v>5871</v>
      </c>
      <c r="E5017" s="9" t="str">
        <f aca="false">IF(AND('Formation Ledger'!A4996&lt;&gt;"",'Formation Ledger'!V4996=0),"PASS","FAIL")</f>
        <v>PASS</v>
      </c>
      <c r="F5017" s="9" t="s">
        <v>76</v>
      </c>
      <c r="G5017" s="6"/>
      <c r="H5017" s="6"/>
      <c r="I5017" s="6"/>
      <c r="J5017" s="6"/>
      <c r="K5017" s="6"/>
      <c r="L5017" s="6"/>
      <c r="M5017" s="6"/>
      <c r="N5017" s="6"/>
      <c r="O5017" s="6"/>
      <c r="P5017" s="6"/>
      <c r="Q5017" s="6"/>
      <c r="R5017" s="6"/>
      <c r="S5017" s="6"/>
      <c r="T5017" s="6"/>
      <c r="U5017" s="6"/>
      <c r="V5017" s="6"/>
      <c r="W5017" s="6"/>
      <c r="X5017" s="6"/>
      <c r="Y5017" s="6"/>
      <c r="Z5017" s="6"/>
    </row>
    <row r="5018" customFormat="false" ht="15" hidden="false" customHeight="false" outlineLevel="0" collapsed="false">
      <c r="A5018" s="9" t="s">
        <v>10861</v>
      </c>
      <c r="B5018" s="9" t="s">
        <v>5870</v>
      </c>
      <c r="C5018" s="9" t="s">
        <v>5298</v>
      </c>
      <c r="D5018" s="9" t="s">
        <v>5871</v>
      </c>
      <c r="E5018" s="9" t="str">
        <f aca="false">IF(AND('Formation Ledger'!A4997&lt;&gt;"",'Formation Ledger'!V4997=0),"PASS","FAIL")</f>
        <v>PASS</v>
      </c>
      <c r="F5018" s="9" t="s">
        <v>76</v>
      </c>
      <c r="G5018" s="6"/>
      <c r="H5018" s="6"/>
      <c r="I5018" s="6"/>
      <c r="J5018" s="6"/>
      <c r="K5018" s="6"/>
      <c r="L5018" s="6"/>
      <c r="M5018" s="6"/>
      <c r="N5018" s="6"/>
      <c r="O5018" s="6"/>
      <c r="P5018" s="6"/>
      <c r="Q5018" s="6"/>
      <c r="R5018" s="6"/>
      <c r="S5018" s="6"/>
      <c r="T5018" s="6"/>
      <c r="U5018" s="6"/>
      <c r="V5018" s="6"/>
      <c r="W5018" s="6"/>
      <c r="X5018" s="6"/>
      <c r="Y5018" s="6"/>
      <c r="Z5018" s="6"/>
    </row>
    <row r="5019" customFormat="false" ht="15" hidden="false" customHeight="false" outlineLevel="0" collapsed="false">
      <c r="A5019" s="9" t="s">
        <v>10862</v>
      </c>
      <c r="B5019" s="9" t="s">
        <v>5870</v>
      </c>
      <c r="C5019" s="9" t="s">
        <v>5299</v>
      </c>
      <c r="D5019" s="9" t="s">
        <v>5871</v>
      </c>
      <c r="E5019" s="9" t="str">
        <f aca="false">IF(AND('Formation Ledger'!A4998&lt;&gt;"",'Formation Ledger'!V4998=0),"PASS","FAIL")</f>
        <v>PASS</v>
      </c>
      <c r="F5019" s="9" t="s">
        <v>76</v>
      </c>
      <c r="G5019" s="6"/>
      <c r="H5019" s="6"/>
      <c r="I5019" s="6"/>
      <c r="J5019" s="6"/>
      <c r="K5019" s="6"/>
      <c r="L5019" s="6"/>
      <c r="M5019" s="6"/>
      <c r="N5019" s="6"/>
      <c r="O5019" s="6"/>
      <c r="P5019" s="6"/>
      <c r="Q5019" s="6"/>
      <c r="R5019" s="6"/>
      <c r="S5019" s="6"/>
      <c r="T5019" s="6"/>
      <c r="U5019" s="6"/>
      <c r="V5019" s="6"/>
      <c r="W5019" s="6"/>
      <c r="X5019" s="6"/>
      <c r="Y5019" s="6"/>
      <c r="Z5019" s="6"/>
    </row>
    <row r="5020" customFormat="false" ht="15" hidden="false" customHeight="false" outlineLevel="0" collapsed="false">
      <c r="A5020" s="9" t="s">
        <v>10863</v>
      </c>
      <c r="B5020" s="9" t="s">
        <v>5870</v>
      </c>
      <c r="C5020" s="9" t="s">
        <v>5300</v>
      </c>
      <c r="D5020" s="9" t="s">
        <v>5871</v>
      </c>
      <c r="E5020" s="9" t="str">
        <f aca="false">IF(AND('Formation Ledger'!A4999&lt;&gt;"",'Formation Ledger'!V4999=0),"PASS","FAIL")</f>
        <v>PASS</v>
      </c>
      <c r="F5020" s="9" t="s">
        <v>76</v>
      </c>
      <c r="G5020" s="6"/>
      <c r="H5020" s="6"/>
      <c r="I5020" s="6"/>
      <c r="J5020" s="6"/>
      <c r="K5020" s="6"/>
      <c r="L5020" s="6"/>
      <c r="M5020" s="6"/>
      <c r="N5020" s="6"/>
      <c r="O5020" s="6"/>
      <c r="P5020" s="6"/>
      <c r="Q5020" s="6"/>
      <c r="R5020" s="6"/>
      <c r="S5020" s="6"/>
      <c r="T5020" s="6"/>
      <c r="U5020" s="6"/>
      <c r="V5020" s="6"/>
      <c r="W5020" s="6"/>
      <c r="X5020" s="6"/>
      <c r="Y5020" s="6"/>
      <c r="Z5020" s="6"/>
    </row>
    <row r="5021" customFormat="false" ht="15" hidden="false" customHeight="false" outlineLevel="0" collapsed="false">
      <c r="A5021" s="9" t="s">
        <v>10864</v>
      </c>
      <c r="B5021" s="9" t="s">
        <v>5870</v>
      </c>
      <c r="C5021" s="9" t="s">
        <v>5301</v>
      </c>
      <c r="D5021" s="9" t="s">
        <v>5871</v>
      </c>
      <c r="E5021" s="9" t="str">
        <f aca="false">IF(AND('Formation Ledger'!A5000&lt;&gt;"",'Formation Ledger'!V5000=0),"PASS","FAIL")</f>
        <v>PASS</v>
      </c>
      <c r="F5021" s="9" t="s">
        <v>76</v>
      </c>
      <c r="G5021" s="6"/>
      <c r="H5021" s="6"/>
      <c r="I5021" s="6"/>
      <c r="J5021" s="6"/>
      <c r="K5021" s="6"/>
      <c r="L5021" s="6"/>
      <c r="M5021" s="6"/>
      <c r="N5021" s="6"/>
      <c r="O5021" s="6"/>
      <c r="P5021" s="6"/>
      <c r="Q5021" s="6"/>
      <c r="R5021" s="6"/>
      <c r="S5021" s="6"/>
      <c r="T5021" s="6"/>
      <c r="U5021" s="6"/>
      <c r="V5021" s="6"/>
      <c r="W5021" s="6"/>
      <c r="X5021" s="6"/>
      <c r="Y5021" s="6"/>
      <c r="Z5021" s="6"/>
    </row>
    <row r="5022" customFormat="false" ht="15" hidden="false" customHeight="false" outlineLevel="0" collapsed="false">
      <c r="A5022" s="9" t="s">
        <v>10865</v>
      </c>
      <c r="B5022" s="9" t="s">
        <v>5870</v>
      </c>
      <c r="C5022" s="9" t="s">
        <v>5302</v>
      </c>
      <c r="D5022" s="9" t="s">
        <v>5871</v>
      </c>
      <c r="E5022" s="9" t="str">
        <f aca="false">IF(AND('Formation Ledger'!A5001&lt;&gt;"",'Formation Ledger'!V5001=0),"PASS","FAIL")</f>
        <v>PASS</v>
      </c>
      <c r="F5022" s="9" t="s">
        <v>76</v>
      </c>
      <c r="G5022" s="6"/>
      <c r="H5022" s="6"/>
      <c r="I5022" s="6"/>
      <c r="J5022" s="6"/>
      <c r="K5022" s="6"/>
      <c r="L5022" s="6"/>
      <c r="M5022" s="6"/>
      <c r="N5022" s="6"/>
      <c r="O5022" s="6"/>
      <c r="P5022" s="6"/>
      <c r="Q5022" s="6"/>
      <c r="R5022" s="6"/>
      <c r="S5022" s="6"/>
      <c r="T5022" s="6"/>
      <c r="U5022" s="6"/>
      <c r="V5022" s="6"/>
      <c r="W5022" s="6"/>
      <c r="X5022" s="6"/>
      <c r="Y5022" s="6"/>
      <c r="Z5022" s="6"/>
    </row>
    <row r="5023" customFormat="false" ht="15" hidden="false" customHeight="false" outlineLevel="0" collapsed="false">
      <c r="A5023" s="9" t="s">
        <v>10866</v>
      </c>
      <c r="B5023" s="9" t="s">
        <v>5870</v>
      </c>
      <c r="C5023" s="9" t="s">
        <v>5303</v>
      </c>
      <c r="D5023" s="9" t="s">
        <v>5871</v>
      </c>
      <c r="E5023" s="9" t="str">
        <f aca="false">IF(AND('Formation Ledger'!A5002&lt;&gt;"",'Formation Ledger'!V5002=0),"PASS","FAIL")</f>
        <v>PASS</v>
      </c>
      <c r="F5023" s="9" t="s">
        <v>76</v>
      </c>
      <c r="G5023" s="6"/>
      <c r="H5023" s="6"/>
      <c r="I5023" s="6"/>
      <c r="J5023" s="6"/>
      <c r="K5023" s="6"/>
      <c r="L5023" s="6"/>
      <c r="M5023" s="6"/>
      <c r="N5023" s="6"/>
      <c r="O5023" s="6"/>
      <c r="P5023" s="6"/>
      <c r="Q5023" s="6"/>
      <c r="R5023" s="6"/>
      <c r="S5023" s="6"/>
      <c r="T5023" s="6"/>
      <c r="U5023" s="6"/>
      <c r="V5023" s="6"/>
      <c r="W5023" s="6"/>
      <c r="X5023" s="6"/>
      <c r="Y5023" s="6"/>
      <c r="Z5023" s="6"/>
    </row>
    <row r="5024" customFormat="false" ht="15" hidden="false" customHeight="false" outlineLevel="0" collapsed="false">
      <c r="A5024" s="9" t="s">
        <v>10867</v>
      </c>
      <c r="B5024" s="9" t="s">
        <v>5870</v>
      </c>
      <c r="C5024" s="9" t="s">
        <v>5304</v>
      </c>
      <c r="D5024" s="9" t="s">
        <v>5871</v>
      </c>
      <c r="E5024" s="9" t="str">
        <f aca="false">IF(AND('Formation Ledger'!A5003&lt;&gt;"",'Formation Ledger'!V5003=0),"PASS","FAIL")</f>
        <v>PASS</v>
      </c>
      <c r="F5024" s="9" t="s">
        <v>76</v>
      </c>
      <c r="G5024" s="6"/>
      <c r="H5024" s="6"/>
      <c r="I5024" s="6"/>
      <c r="J5024" s="6"/>
      <c r="K5024" s="6"/>
      <c r="L5024" s="6"/>
      <c r="M5024" s="6"/>
      <c r="N5024" s="6"/>
      <c r="O5024" s="6"/>
      <c r="P5024" s="6"/>
      <c r="Q5024" s="6"/>
      <c r="R5024" s="6"/>
      <c r="S5024" s="6"/>
      <c r="T5024" s="6"/>
      <c r="U5024" s="6"/>
      <c r="V5024" s="6"/>
      <c r="W5024" s="6"/>
      <c r="X5024" s="6"/>
      <c r="Y5024" s="6"/>
      <c r="Z5024" s="6"/>
    </row>
    <row r="5025" customFormat="false" ht="15" hidden="false" customHeight="false" outlineLevel="0" collapsed="false">
      <c r="A5025" s="9" t="s">
        <v>10868</v>
      </c>
      <c r="B5025" s="9" t="s">
        <v>5870</v>
      </c>
      <c r="C5025" s="9" t="s">
        <v>5305</v>
      </c>
      <c r="D5025" s="9" t="s">
        <v>5871</v>
      </c>
      <c r="E5025" s="9" t="str">
        <f aca="false">IF(AND('Formation Ledger'!A5004&lt;&gt;"",'Formation Ledger'!V5004=0),"PASS","FAIL")</f>
        <v>PASS</v>
      </c>
      <c r="F5025" s="9" t="s">
        <v>76</v>
      </c>
      <c r="G5025" s="6"/>
      <c r="H5025" s="6"/>
      <c r="I5025" s="6"/>
      <c r="J5025" s="6"/>
      <c r="K5025" s="6"/>
      <c r="L5025" s="6"/>
      <c r="M5025" s="6"/>
      <c r="N5025" s="6"/>
      <c r="O5025" s="6"/>
      <c r="P5025" s="6"/>
      <c r="Q5025" s="6"/>
      <c r="R5025" s="6"/>
      <c r="S5025" s="6"/>
      <c r="T5025" s="6"/>
      <c r="U5025" s="6"/>
      <c r="V5025" s="6"/>
      <c r="W5025" s="6"/>
      <c r="X5025" s="6"/>
      <c r="Y5025" s="6"/>
      <c r="Z5025" s="6"/>
    </row>
    <row r="5026" customFormat="false" ht="15" hidden="false" customHeight="false" outlineLevel="0" collapsed="false">
      <c r="A5026" s="9" t="s">
        <v>10869</v>
      </c>
      <c r="B5026" s="9" t="s">
        <v>5870</v>
      </c>
      <c r="C5026" s="9" t="s">
        <v>5306</v>
      </c>
      <c r="D5026" s="9" t="s">
        <v>5871</v>
      </c>
      <c r="E5026" s="9" t="str">
        <f aca="false">IF(AND('Formation Ledger'!A5005&lt;&gt;"",'Formation Ledger'!V5005=0),"PASS","FAIL")</f>
        <v>PASS</v>
      </c>
      <c r="F5026" s="9" t="s">
        <v>76</v>
      </c>
      <c r="G5026" s="6"/>
      <c r="H5026" s="6"/>
      <c r="I5026" s="6"/>
      <c r="J5026" s="6"/>
      <c r="K5026" s="6"/>
      <c r="L5026" s="6"/>
      <c r="M5026" s="6"/>
      <c r="N5026" s="6"/>
      <c r="O5026" s="6"/>
      <c r="P5026" s="6"/>
      <c r="Q5026" s="6"/>
      <c r="R5026" s="6"/>
      <c r="S5026" s="6"/>
      <c r="T5026" s="6"/>
      <c r="U5026" s="6"/>
      <c r="V5026" s="6"/>
      <c r="W5026" s="6"/>
      <c r="X5026" s="6"/>
      <c r="Y5026" s="6"/>
      <c r="Z5026" s="6"/>
    </row>
    <row r="5027" customFormat="false" ht="15" hidden="false" customHeight="false" outlineLevel="0" collapsed="false">
      <c r="A5027" s="9" t="s">
        <v>10870</v>
      </c>
      <c r="B5027" s="9" t="s">
        <v>5870</v>
      </c>
      <c r="C5027" s="9" t="s">
        <v>5307</v>
      </c>
      <c r="D5027" s="9" t="s">
        <v>5871</v>
      </c>
      <c r="E5027" s="9" t="str">
        <f aca="false">IF(AND('Formation Ledger'!A5006&lt;&gt;"",'Formation Ledger'!V5006=0),"PASS","FAIL")</f>
        <v>PASS</v>
      </c>
      <c r="F5027" s="9" t="s">
        <v>76</v>
      </c>
      <c r="G5027" s="6"/>
      <c r="H5027" s="6"/>
      <c r="I5027" s="6"/>
      <c r="J5027" s="6"/>
      <c r="K5027" s="6"/>
      <c r="L5027" s="6"/>
      <c r="M5027" s="6"/>
      <c r="N5027" s="6"/>
      <c r="O5027" s="6"/>
      <c r="P5027" s="6"/>
      <c r="Q5027" s="6"/>
      <c r="R5027" s="6"/>
      <c r="S5027" s="6"/>
      <c r="T5027" s="6"/>
      <c r="U5027" s="6"/>
      <c r="V5027" s="6"/>
      <c r="W5027" s="6"/>
      <c r="X5027" s="6"/>
      <c r="Y5027" s="6"/>
      <c r="Z5027" s="6"/>
    </row>
    <row r="5028" customFormat="false" ht="15" hidden="false" customHeight="false" outlineLevel="0" collapsed="false">
      <c r="A5028" s="9" t="s">
        <v>10871</v>
      </c>
      <c r="B5028" s="9" t="s">
        <v>5870</v>
      </c>
      <c r="C5028" s="9" t="s">
        <v>5308</v>
      </c>
      <c r="D5028" s="9" t="s">
        <v>5871</v>
      </c>
      <c r="E5028" s="9" t="str">
        <f aca="false">IF(AND('Formation Ledger'!A5007&lt;&gt;"",'Formation Ledger'!V5007=0),"PASS","FAIL")</f>
        <v>PASS</v>
      </c>
      <c r="F5028" s="9" t="s">
        <v>76</v>
      </c>
      <c r="G5028" s="6"/>
      <c r="H5028" s="6"/>
      <c r="I5028" s="6"/>
      <c r="J5028" s="6"/>
      <c r="K5028" s="6"/>
      <c r="L5028" s="6"/>
      <c r="M5028" s="6"/>
      <c r="N5028" s="6"/>
      <c r="O5028" s="6"/>
      <c r="P5028" s="6"/>
      <c r="Q5028" s="6"/>
      <c r="R5028" s="6"/>
      <c r="S5028" s="6"/>
      <c r="T5028" s="6"/>
      <c r="U5028" s="6"/>
      <c r="V5028" s="6"/>
      <c r="W5028" s="6"/>
      <c r="X5028" s="6"/>
      <c r="Y5028" s="6"/>
      <c r="Z5028" s="6"/>
    </row>
    <row r="5029" customFormat="false" ht="15" hidden="false" customHeight="false" outlineLevel="0" collapsed="false">
      <c r="A5029" s="9" t="s">
        <v>10872</v>
      </c>
      <c r="B5029" s="9" t="s">
        <v>5870</v>
      </c>
      <c r="C5029" s="9" t="s">
        <v>5309</v>
      </c>
      <c r="D5029" s="9" t="s">
        <v>5871</v>
      </c>
      <c r="E5029" s="9" t="str">
        <f aca="false">IF(AND('Formation Ledger'!A5008&lt;&gt;"",'Formation Ledger'!V5008=0),"PASS","FAIL")</f>
        <v>PASS</v>
      </c>
      <c r="F5029" s="9" t="s">
        <v>76</v>
      </c>
      <c r="G5029" s="6"/>
      <c r="H5029" s="6"/>
      <c r="I5029" s="6"/>
      <c r="J5029" s="6"/>
      <c r="K5029" s="6"/>
      <c r="L5029" s="6"/>
      <c r="M5029" s="6"/>
      <c r="N5029" s="6"/>
      <c r="O5029" s="6"/>
      <c r="P5029" s="6"/>
      <c r="Q5029" s="6"/>
      <c r="R5029" s="6"/>
      <c r="S5029" s="6"/>
      <c r="T5029" s="6"/>
      <c r="U5029" s="6"/>
      <c r="V5029" s="6"/>
      <c r="W5029" s="6"/>
      <c r="X5029" s="6"/>
      <c r="Y5029" s="6"/>
      <c r="Z5029" s="6"/>
    </row>
    <row r="5030" customFormat="false" ht="15" hidden="false" customHeight="false" outlineLevel="0" collapsed="false">
      <c r="A5030" s="9" t="s">
        <v>10873</v>
      </c>
      <c r="B5030" s="9" t="s">
        <v>5870</v>
      </c>
      <c r="C5030" s="9" t="s">
        <v>5310</v>
      </c>
      <c r="D5030" s="9" t="s">
        <v>5871</v>
      </c>
      <c r="E5030" s="9" t="str">
        <f aca="false">IF(AND('Formation Ledger'!A5009&lt;&gt;"",'Formation Ledger'!V5009=0),"PASS","FAIL")</f>
        <v>PASS</v>
      </c>
      <c r="F5030" s="9" t="s">
        <v>76</v>
      </c>
      <c r="G5030" s="6"/>
      <c r="H5030" s="6"/>
      <c r="I5030" s="6"/>
      <c r="J5030" s="6"/>
      <c r="K5030" s="6"/>
      <c r="L5030" s="6"/>
      <c r="M5030" s="6"/>
      <c r="N5030" s="6"/>
      <c r="O5030" s="6"/>
      <c r="P5030" s="6"/>
      <c r="Q5030" s="6"/>
      <c r="R5030" s="6"/>
      <c r="S5030" s="6"/>
      <c r="T5030" s="6"/>
      <c r="U5030" s="6"/>
      <c r="V5030" s="6"/>
      <c r="W5030" s="6"/>
      <c r="X5030" s="6"/>
      <c r="Y5030" s="6"/>
      <c r="Z5030" s="6"/>
    </row>
    <row r="5031" customFormat="false" ht="15" hidden="false" customHeight="false" outlineLevel="0" collapsed="false">
      <c r="A5031" s="9" t="s">
        <v>10874</v>
      </c>
      <c r="B5031" s="9" t="s">
        <v>5870</v>
      </c>
      <c r="C5031" s="9" t="s">
        <v>5311</v>
      </c>
      <c r="D5031" s="9" t="s">
        <v>5871</v>
      </c>
      <c r="E5031" s="9" t="str">
        <f aca="false">IF(AND('Formation Ledger'!A5010&lt;&gt;"",'Formation Ledger'!V5010=0),"PASS","FAIL")</f>
        <v>PASS</v>
      </c>
      <c r="F5031" s="9" t="s">
        <v>76</v>
      </c>
      <c r="G5031" s="6"/>
      <c r="H5031" s="6"/>
      <c r="I5031" s="6"/>
      <c r="J5031" s="6"/>
      <c r="K5031" s="6"/>
      <c r="L5031" s="6"/>
      <c r="M5031" s="6"/>
      <c r="N5031" s="6"/>
      <c r="O5031" s="6"/>
      <c r="P5031" s="6"/>
      <c r="Q5031" s="6"/>
      <c r="R5031" s="6"/>
      <c r="S5031" s="6"/>
      <c r="T5031" s="6"/>
      <c r="U5031" s="6"/>
      <c r="V5031" s="6"/>
      <c r="W5031" s="6"/>
      <c r="X5031" s="6"/>
      <c r="Y5031" s="6"/>
      <c r="Z5031" s="6"/>
    </row>
    <row r="5032" customFormat="false" ht="15" hidden="false" customHeight="false" outlineLevel="0" collapsed="false">
      <c r="A5032" s="9" t="s">
        <v>10875</v>
      </c>
      <c r="B5032" s="9" t="s">
        <v>5870</v>
      </c>
      <c r="C5032" s="9" t="s">
        <v>5312</v>
      </c>
      <c r="D5032" s="9" t="s">
        <v>5871</v>
      </c>
      <c r="E5032" s="9" t="str">
        <f aca="false">IF(AND('Formation Ledger'!A5011&lt;&gt;"",'Formation Ledger'!V5011=0),"PASS","FAIL")</f>
        <v>PASS</v>
      </c>
      <c r="F5032" s="9" t="s">
        <v>76</v>
      </c>
      <c r="G5032" s="6"/>
      <c r="H5032" s="6"/>
      <c r="I5032" s="6"/>
      <c r="J5032" s="6"/>
      <c r="K5032" s="6"/>
      <c r="L5032" s="6"/>
      <c r="M5032" s="6"/>
      <c r="N5032" s="6"/>
      <c r="O5032" s="6"/>
      <c r="P5032" s="6"/>
      <c r="Q5032" s="6"/>
      <c r="R5032" s="6"/>
      <c r="S5032" s="6"/>
      <c r="T5032" s="6"/>
      <c r="U5032" s="6"/>
      <c r="V5032" s="6"/>
      <c r="W5032" s="6"/>
      <c r="X5032" s="6"/>
      <c r="Y5032" s="6"/>
      <c r="Z5032" s="6"/>
    </row>
    <row r="5033" customFormat="false" ht="15" hidden="false" customHeight="false" outlineLevel="0" collapsed="false">
      <c r="A5033" s="9" t="s">
        <v>10876</v>
      </c>
      <c r="B5033" s="9" t="s">
        <v>5870</v>
      </c>
      <c r="C5033" s="9" t="s">
        <v>5313</v>
      </c>
      <c r="D5033" s="9" t="s">
        <v>5871</v>
      </c>
      <c r="E5033" s="9" t="str">
        <f aca="false">IF(AND('Formation Ledger'!A5012&lt;&gt;"",'Formation Ledger'!V5012=0),"PASS","FAIL")</f>
        <v>PASS</v>
      </c>
      <c r="F5033" s="9" t="s">
        <v>76</v>
      </c>
      <c r="G5033" s="6"/>
      <c r="H5033" s="6"/>
      <c r="I5033" s="6"/>
      <c r="J5033" s="6"/>
      <c r="K5033" s="6"/>
      <c r="L5033" s="6"/>
      <c r="M5033" s="6"/>
      <c r="N5033" s="6"/>
      <c r="O5033" s="6"/>
      <c r="P5033" s="6"/>
      <c r="Q5033" s="6"/>
      <c r="R5033" s="6"/>
      <c r="S5033" s="6"/>
      <c r="T5033" s="6"/>
      <c r="U5033" s="6"/>
      <c r="V5033" s="6"/>
      <c r="W5033" s="6"/>
      <c r="X5033" s="6"/>
      <c r="Y5033" s="6"/>
      <c r="Z5033" s="6"/>
    </row>
    <row r="5034" customFormat="false" ht="15" hidden="false" customHeight="false" outlineLevel="0" collapsed="false">
      <c r="A5034" s="9" t="s">
        <v>10877</v>
      </c>
      <c r="B5034" s="9" t="s">
        <v>5870</v>
      </c>
      <c r="C5034" s="9" t="s">
        <v>5314</v>
      </c>
      <c r="D5034" s="9" t="s">
        <v>5871</v>
      </c>
      <c r="E5034" s="9" t="str">
        <f aca="false">IF(AND('Formation Ledger'!A5013&lt;&gt;"",'Formation Ledger'!V5013=0),"PASS","FAIL")</f>
        <v>PASS</v>
      </c>
      <c r="F5034" s="9" t="s">
        <v>76</v>
      </c>
      <c r="G5034" s="6"/>
      <c r="H5034" s="6"/>
      <c r="I5034" s="6"/>
      <c r="J5034" s="6"/>
      <c r="K5034" s="6"/>
      <c r="L5034" s="6"/>
      <c r="M5034" s="6"/>
      <c r="N5034" s="6"/>
      <c r="O5034" s="6"/>
      <c r="P5034" s="6"/>
      <c r="Q5034" s="6"/>
      <c r="R5034" s="6"/>
      <c r="S5034" s="6"/>
      <c r="T5034" s="6"/>
      <c r="U5034" s="6"/>
      <c r="V5034" s="6"/>
      <c r="W5034" s="6"/>
      <c r="X5034" s="6"/>
      <c r="Y5034" s="6"/>
      <c r="Z5034" s="6"/>
    </row>
    <row r="5035" customFormat="false" ht="15" hidden="false" customHeight="false" outlineLevel="0" collapsed="false">
      <c r="A5035" s="9" t="s">
        <v>10878</v>
      </c>
      <c r="B5035" s="9" t="s">
        <v>5870</v>
      </c>
      <c r="C5035" s="9" t="s">
        <v>5315</v>
      </c>
      <c r="D5035" s="9" t="s">
        <v>5871</v>
      </c>
      <c r="E5035" s="9" t="str">
        <f aca="false">IF(AND('Formation Ledger'!A5014&lt;&gt;"",'Formation Ledger'!V5014=0),"PASS","FAIL")</f>
        <v>PASS</v>
      </c>
      <c r="F5035" s="9" t="s">
        <v>76</v>
      </c>
      <c r="G5035" s="6"/>
      <c r="H5035" s="6"/>
      <c r="I5035" s="6"/>
      <c r="J5035" s="6"/>
      <c r="K5035" s="6"/>
      <c r="L5035" s="6"/>
      <c r="M5035" s="6"/>
      <c r="N5035" s="6"/>
      <c r="O5035" s="6"/>
      <c r="P5035" s="6"/>
      <c r="Q5035" s="6"/>
      <c r="R5035" s="6"/>
      <c r="S5035" s="6"/>
      <c r="T5035" s="6"/>
      <c r="U5035" s="6"/>
      <c r="V5035" s="6"/>
      <c r="W5035" s="6"/>
      <c r="X5035" s="6"/>
      <c r="Y5035" s="6"/>
      <c r="Z5035" s="6"/>
    </row>
    <row r="5036" customFormat="false" ht="15" hidden="false" customHeight="false" outlineLevel="0" collapsed="false">
      <c r="A5036" s="9" t="s">
        <v>10879</v>
      </c>
      <c r="B5036" s="9" t="s">
        <v>5870</v>
      </c>
      <c r="C5036" s="9" t="s">
        <v>5316</v>
      </c>
      <c r="D5036" s="9" t="s">
        <v>5871</v>
      </c>
      <c r="E5036" s="9" t="str">
        <f aca="false">IF(AND('Formation Ledger'!A5015&lt;&gt;"",'Formation Ledger'!V5015=0),"PASS","FAIL")</f>
        <v>PASS</v>
      </c>
      <c r="F5036" s="9" t="s">
        <v>76</v>
      </c>
      <c r="G5036" s="6"/>
      <c r="H5036" s="6"/>
      <c r="I5036" s="6"/>
      <c r="J5036" s="6"/>
      <c r="K5036" s="6"/>
      <c r="L5036" s="6"/>
      <c r="M5036" s="6"/>
      <c r="N5036" s="6"/>
      <c r="O5036" s="6"/>
      <c r="P5036" s="6"/>
      <c r="Q5036" s="6"/>
      <c r="R5036" s="6"/>
      <c r="S5036" s="6"/>
      <c r="T5036" s="6"/>
      <c r="U5036" s="6"/>
      <c r="V5036" s="6"/>
      <c r="W5036" s="6"/>
      <c r="X5036" s="6"/>
      <c r="Y5036" s="6"/>
      <c r="Z5036" s="6"/>
    </row>
    <row r="5037" customFormat="false" ht="15" hidden="false" customHeight="false" outlineLevel="0" collapsed="false">
      <c r="A5037" s="9" t="s">
        <v>10880</v>
      </c>
      <c r="B5037" s="9" t="s">
        <v>5870</v>
      </c>
      <c r="C5037" s="9" t="s">
        <v>5317</v>
      </c>
      <c r="D5037" s="9" t="s">
        <v>5871</v>
      </c>
      <c r="E5037" s="9" t="str">
        <f aca="false">IF(AND('Formation Ledger'!A5016&lt;&gt;"",'Formation Ledger'!V5016=0),"PASS","FAIL")</f>
        <v>PASS</v>
      </c>
      <c r="F5037" s="9" t="s">
        <v>76</v>
      </c>
      <c r="G5037" s="6"/>
      <c r="H5037" s="6"/>
      <c r="I5037" s="6"/>
      <c r="J5037" s="6"/>
      <c r="K5037" s="6"/>
      <c r="L5037" s="6"/>
      <c r="M5037" s="6"/>
      <c r="N5037" s="6"/>
      <c r="O5037" s="6"/>
      <c r="P5037" s="6"/>
      <c r="Q5037" s="6"/>
      <c r="R5037" s="6"/>
      <c r="S5037" s="6"/>
      <c r="T5037" s="6"/>
      <c r="U5037" s="6"/>
      <c r="V5037" s="6"/>
      <c r="W5037" s="6"/>
      <c r="X5037" s="6"/>
      <c r="Y5037" s="6"/>
      <c r="Z5037" s="6"/>
    </row>
    <row r="5038" customFormat="false" ht="15" hidden="false" customHeight="false" outlineLevel="0" collapsed="false">
      <c r="A5038" s="9" t="s">
        <v>10881</v>
      </c>
      <c r="B5038" s="9" t="s">
        <v>5870</v>
      </c>
      <c r="C5038" s="9" t="s">
        <v>5318</v>
      </c>
      <c r="D5038" s="9" t="s">
        <v>5871</v>
      </c>
      <c r="E5038" s="9" t="str">
        <f aca="false">IF(AND('Formation Ledger'!A5017&lt;&gt;"",'Formation Ledger'!V5017=0),"PASS","FAIL")</f>
        <v>PASS</v>
      </c>
      <c r="F5038" s="9" t="s">
        <v>76</v>
      </c>
      <c r="G5038" s="6"/>
      <c r="H5038" s="6"/>
      <c r="I5038" s="6"/>
      <c r="J5038" s="6"/>
      <c r="K5038" s="6"/>
      <c r="L5038" s="6"/>
      <c r="M5038" s="6"/>
      <c r="N5038" s="6"/>
      <c r="O5038" s="6"/>
      <c r="P5038" s="6"/>
      <c r="Q5038" s="6"/>
      <c r="R5038" s="6"/>
      <c r="S5038" s="6"/>
      <c r="T5038" s="6"/>
      <c r="U5038" s="6"/>
      <c r="V5038" s="6"/>
      <c r="W5038" s="6"/>
      <c r="X5038" s="6"/>
      <c r="Y5038" s="6"/>
      <c r="Z5038" s="6"/>
    </row>
    <row r="5039" customFormat="false" ht="15" hidden="false" customHeight="false" outlineLevel="0" collapsed="false">
      <c r="A5039" s="9" t="s">
        <v>10882</v>
      </c>
      <c r="B5039" s="9" t="s">
        <v>5870</v>
      </c>
      <c r="C5039" s="9" t="s">
        <v>5319</v>
      </c>
      <c r="D5039" s="9" t="s">
        <v>5871</v>
      </c>
      <c r="E5039" s="9" t="str">
        <f aca="false">IF(AND('Formation Ledger'!A5018&lt;&gt;"",'Formation Ledger'!V5018=0),"PASS","FAIL")</f>
        <v>PASS</v>
      </c>
      <c r="F5039" s="9" t="s">
        <v>76</v>
      </c>
      <c r="G5039" s="6"/>
      <c r="H5039" s="6"/>
      <c r="I5039" s="6"/>
      <c r="J5039" s="6"/>
      <c r="K5039" s="6"/>
      <c r="L5039" s="6"/>
      <c r="M5039" s="6"/>
      <c r="N5039" s="6"/>
      <c r="O5039" s="6"/>
      <c r="P5039" s="6"/>
      <c r="Q5039" s="6"/>
      <c r="R5039" s="6"/>
      <c r="S5039" s="6"/>
      <c r="T5039" s="6"/>
      <c r="U5039" s="6"/>
      <c r="V5039" s="6"/>
      <c r="W5039" s="6"/>
      <c r="X5039" s="6"/>
      <c r="Y5039" s="6"/>
      <c r="Z5039" s="6"/>
    </row>
    <row r="5040" customFormat="false" ht="15" hidden="false" customHeight="false" outlineLevel="0" collapsed="false">
      <c r="A5040" s="9" t="s">
        <v>10883</v>
      </c>
      <c r="B5040" s="9" t="s">
        <v>5870</v>
      </c>
      <c r="C5040" s="9" t="s">
        <v>5320</v>
      </c>
      <c r="D5040" s="9" t="s">
        <v>5871</v>
      </c>
      <c r="E5040" s="9" t="str">
        <f aca="false">IF(AND('Formation Ledger'!A5019&lt;&gt;"",'Formation Ledger'!V5019=0),"PASS","FAIL")</f>
        <v>PASS</v>
      </c>
      <c r="F5040" s="9" t="s">
        <v>76</v>
      </c>
      <c r="G5040" s="6"/>
      <c r="H5040" s="6"/>
      <c r="I5040" s="6"/>
      <c r="J5040" s="6"/>
      <c r="K5040" s="6"/>
      <c r="L5040" s="6"/>
      <c r="M5040" s="6"/>
      <c r="N5040" s="6"/>
      <c r="O5040" s="6"/>
      <c r="P5040" s="6"/>
      <c r="Q5040" s="6"/>
      <c r="R5040" s="6"/>
      <c r="S5040" s="6"/>
      <c r="T5040" s="6"/>
      <c r="U5040" s="6"/>
      <c r="V5040" s="6"/>
      <c r="W5040" s="6"/>
      <c r="X5040" s="6"/>
      <c r="Y5040" s="6"/>
      <c r="Z5040" s="6"/>
    </row>
    <row r="5041" customFormat="false" ht="15" hidden="false" customHeight="false" outlineLevel="0" collapsed="false">
      <c r="A5041" s="9" t="s">
        <v>10884</v>
      </c>
      <c r="B5041" s="9" t="s">
        <v>5870</v>
      </c>
      <c r="C5041" s="9" t="s">
        <v>5321</v>
      </c>
      <c r="D5041" s="9" t="s">
        <v>5871</v>
      </c>
      <c r="E5041" s="9" t="str">
        <f aca="false">IF(AND('Formation Ledger'!A5020&lt;&gt;"",'Formation Ledger'!V5020=0),"PASS","FAIL")</f>
        <v>PASS</v>
      </c>
      <c r="F5041" s="9" t="s">
        <v>76</v>
      </c>
      <c r="G5041" s="6"/>
      <c r="H5041" s="6"/>
      <c r="I5041" s="6"/>
      <c r="J5041" s="6"/>
      <c r="K5041" s="6"/>
      <c r="L5041" s="6"/>
      <c r="M5041" s="6"/>
      <c r="N5041" s="6"/>
      <c r="O5041" s="6"/>
      <c r="P5041" s="6"/>
      <c r="Q5041" s="6"/>
      <c r="R5041" s="6"/>
      <c r="S5041" s="6"/>
      <c r="T5041" s="6"/>
      <c r="U5041" s="6"/>
      <c r="V5041" s="6"/>
      <c r="W5041" s="6"/>
      <c r="X5041" s="6"/>
      <c r="Y5041" s="6"/>
      <c r="Z5041" s="6"/>
    </row>
    <row r="5042" customFormat="false" ht="15" hidden="false" customHeight="false" outlineLevel="0" collapsed="false">
      <c r="A5042" s="9" t="s">
        <v>10885</v>
      </c>
      <c r="B5042" s="9" t="s">
        <v>5870</v>
      </c>
      <c r="C5042" s="9" t="s">
        <v>5322</v>
      </c>
      <c r="D5042" s="9" t="s">
        <v>5871</v>
      </c>
      <c r="E5042" s="9" t="str">
        <f aca="false">IF(AND('Formation Ledger'!A5021&lt;&gt;"",'Formation Ledger'!V5021=0),"PASS","FAIL")</f>
        <v>PASS</v>
      </c>
      <c r="F5042" s="9" t="s">
        <v>76</v>
      </c>
      <c r="G5042" s="6"/>
      <c r="H5042" s="6"/>
      <c r="I5042" s="6"/>
      <c r="J5042" s="6"/>
      <c r="K5042" s="6"/>
      <c r="L5042" s="6"/>
      <c r="M5042" s="6"/>
      <c r="N5042" s="6"/>
      <c r="O5042" s="6"/>
      <c r="P5042" s="6"/>
      <c r="Q5042" s="6"/>
      <c r="R5042" s="6"/>
      <c r="S5042" s="6"/>
      <c r="T5042" s="6"/>
      <c r="U5042" s="6"/>
      <c r="V5042" s="6"/>
      <c r="W5042" s="6"/>
      <c r="X5042" s="6"/>
      <c r="Y5042" s="6"/>
      <c r="Z5042" s="6"/>
    </row>
    <row r="5043" customFormat="false" ht="15" hidden="false" customHeight="false" outlineLevel="0" collapsed="false">
      <c r="A5043" s="9" t="s">
        <v>10886</v>
      </c>
      <c r="B5043" s="9" t="s">
        <v>5870</v>
      </c>
      <c r="C5043" s="9" t="s">
        <v>5323</v>
      </c>
      <c r="D5043" s="9" t="s">
        <v>5871</v>
      </c>
      <c r="E5043" s="9" t="str">
        <f aca="false">IF(AND('Formation Ledger'!A5022&lt;&gt;"",'Formation Ledger'!V5022=0),"PASS","FAIL")</f>
        <v>PASS</v>
      </c>
      <c r="F5043" s="9" t="s">
        <v>76</v>
      </c>
      <c r="G5043" s="6"/>
      <c r="H5043" s="6"/>
      <c r="I5043" s="6"/>
      <c r="J5043" s="6"/>
      <c r="K5043" s="6"/>
      <c r="L5043" s="6"/>
      <c r="M5043" s="6"/>
      <c r="N5043" s="6"/>
      <c r="O5043" s="6"/>
      <c r="P5043" s="6"/>
      <c r="Q5043" s="6"/>
      <c r="R5043" s="6"/>
      <c r="S5043" s="6"/>
      <c r="T5043" s="6"/>
      <c r="U5043" s="6"/>
      <c r="V5043" s="6"/>
      <c r="W5043" s="6"/>
      <c r="X5043" s="6"/>
      <c r="Y5043" s="6"/>
      <c r="Z5043" s="6"/>
    </row>
    <row r="5044" customFormat="false" ht="15" hidden="false" customHeight="false" outlineLevel="0" collapsed="false">
      <c r="A5044" s="9" t="s">
        <v>10887</v>
      </c>
      <c r="B5044" s="9" t="s">
        <v>5870</v>
      </c>
      <c r="C5044" s="9" t="s">
        <v>5324</v>
      </c>
      <c r="D5044" s="9" t="s">
        <v>5871</v>
      </c>
      <c r="E5044" s="9" t="str">
        <f aca="false">IF(AND('Formation Ledger'!A5023&lt;&gt;"",'Formation Ledger'!V5023=0),"PASS","FAIL")</f>
        <v>PASS</v>
      </c>
      <c r="F5044" s="9" t="s">
        <v>76</v>
      </c>
      <c r="G5044" s="6"/>
      <c r="H5044" s="6"/>
      <c r="I5044" s="6"/>
      <c r="J5044" s="6"/>
      <c r="K5044" s="6"/>
      <c r="L5044" s="6"/>
      <c r="M5044" s="6"/>
      <c r="N5044" s="6"/>
      <c r="O5044" s="6"/>
      <c r="P5044" s="6"/>
      <c r="Q5044" s="6"/>
      <c r="R5044" s="6"/>
      <c r="S5044" s="6"/>
      <c r="T5044" s="6"/>
      <c r="U5044" s="6"/>
      <c r="V5044" s="6"/>
      <c r="W5044" s="6"/>
      <c r="X5044" s="6"/>
      <c r="Y5044" s="6"/>
      <c r="Z5044" s="6"/>
    </row>
    <row r="5045" customFormat="false" ht="15" hidden="false" customHeight="false" outlineLevel="0" collapsed="false">
      <c r="A5045" s="9" t="s">
        <v>10888</v>
      </c>
      <c r="B5045" s="9" t="s">
        <v>5870</v>
      </c>
      <c r="C5045" s="9" t="s">
        <v>5325</v>
      </c>
      <c r="D5045" s="9" t="s">
        <v>5871</v>
      </c>
      <c r="E5045" s="9" t="str">
        <f aca="false">IF(AND('Formation Ledger'!A5024&lt;&gt;"",'Formation Ledger'!V5024=0),"PASS","FAIL")</f>
        <v>PASS</v>
      </c>
      <c r="F5045" s="9" t="s">
        <v>76</v>
      </c>
      <c r="G5045" s="6"/>
      <c r="H5045" s="6"/>
      <c r="I5045" s="6"/>
      <c r="J5045" s="6"/>
      <c r="K5045" s="6"/>
      <c r="L5045" s="6"/>
      <c r="M5045" s="6"/>
      <c r="N5045" s="6"/>
      <c r="O5045" s="6"/>
      <c r="P5045" s="6"/>
      <c r="Q5045" s="6"/>
      <c r="R5045" s="6"/>
      <c r="S5045" s="6"/>
      <c r="T5045" s="6"/>
      <c r="U5045" s="6"/>
      <c r="V5045" s="6"/>
      <c r="W5045" s="6"/>
      <c r="X5045" s="6"/>
      <c r="Y5045" s="6"/>
      <c r="Z5045" s="6"/>
    </row>
    <row r="5046" customFormat="false" ht="15" hidden="false" customHeight="false" outlineLevel="0" collapsed="false">
      <c r="A5046" s="9" t="s">
        <v>10889</v>
      </c>
      <c r="B5046" s="9" t="s">
        <v>5870</v>
      </c>
      <c r="C5046" s="9" t="s">
        <v>5326</v>
      </c>
      <c r="D5046" s="9" t="s">
        <v>5871</v>
      </c>
      <c r="E5046" s="9" t="str">
        <f aca="false">IF(AND('Formation Ledger'!A5025&lt;&gt;"",'Formation Ledger'!V5025=0),"PASS","FAIL")</f>
        <v>PASS</v>
      </c>
      <c r="F5046" s="9" t="s">
        <v>76</v>
      </c>
      <c r="G5046" s="6"/>
      <c r="H5046" s="6"/>
      <c r="I5046" s="6"/>
      <c r="J5046" s="6"/>
      <c r="K5046" s="6"/>
      <c r="L5046" s="6"/>
      <c r="M5046" s="6"/>
      <c r="N5046" s="6"/>
      <c r="O5046" s="6"/>
      <c r="P5046" s="6"/>
      <c r="Q5046" s="6"/>
      <c r="R5046" s="6"/>
      <c r="S5046" s="6"/>
      <c r="T5046" s="6"/>
      <c r="U5046" s="6"/>
      <c r="V5046" s="6"/>
      <c r="W5046" s="6"/>
      <c r="X5046" s="6"/>
      <c r="Y5046" s="6"/>
      <c r="Z5046" s="6"/>
    </row>
    <row r="5047" customFormat="false" ht="15" hidden="false" customHeight="false" outlineLevel="0" collapsed="false">
      <c r="A5047" s="9" t="s">
        <v>10890</v>
      </c>
      <c r="B5047" s="9" t="s">
        <v>5870</v>
      </c>
      <c r="C5047" s="9" t="s">
        <v>5327</v>
      </c>
      <c r="D5047" s="9" t="s">
        <v>5871</v>
      </c>
      <c r="E5047" s="9" t="str">
        <f aca="false">IF(AND('Formation Ledger'!A5026&lt;&gt;"",'Formation Ledger'!V5026=0),"PASS","FAIL")</f>
        <v>PASS</v>
      </c>
      <c r="F5047" s="9" t="s">
        <v>76</v>
      </c>
      <c r="G5047" s="6"/>
      <c r="H5047" s="6"/>
      <c r="I5047" s="6"/>
      <c r="J5047" s="6"/>
      <c r="K5047" s="6"/>
      <c r="L5047" s="6"/>
      <c r="M5047" s="6"/>
      <c r="N5047" s="6"/>
      <c r="O5047" s="6"/>
      <c r="P5047" s="6"/>
      <c r="Q5047" s="6"/>
      <c r="R5047" s="6"/>
      <c r="S5047" s="6"/>
      <c r="T5047" s="6"/>
      <c r="U5047" s="6"/>
      <c r="V5047" s="6"/>
      <c r="W5047" s="6"/>
      <c r="X5047" s="6"/>
      <c r="Y5047" s="6"/>
      <c r="Z5047" s="6"/>
    </row>
    <row r="5048" customFormat="false" ht="15" hidden="false" customHeight="false" outlineLevel="0" collapsed="false">
      <c r="A5048" s="9" t="s">
        <v>10891</v>
      </c>
      <c r="B5048" s="9" t="s">
        <v>5870</v>
      </c>
      <c r="C5048" s="9" t="s">
        <v>5328</v>
      </c>
      <c r="D5048" s="9" t="s">
        <v>5871</v>
      </c>
      <c r="E5048" s="9" t="str">
        <f aca="false">IF(AND('Formation Ledger'!A5027&lt;&gt;"",'Formation Ledger'!V5027=0),"PASS","FAIL")</f>
        <v>PASS</v>
      </c>
      <c r="F5048" s="9" t="s">
        <v>76</v>
      </c>
      <c r="G5048" s="6"/>
      <c r="H5048" s="6"/>
      <c r="I5048" s="6"/>
      <c r="J5048" s="6"/>
      <c r="K5048" s="6"/>
      <c r="L5048" s="6"/>
      <c r="M5048" s="6"/>
      <c r="N5048" s="6"/>
      <c r="O5048" s="6"/>
      <c r="P5048" s="6"/>
      <c r="Q5048" s="6"/>
      <c r="R5048" s="6"/>
      <c r="S5048" s="6"/>
      <c r="T5048" s="6"/>
      <c r="U5048" s="6"/>
      <c r="V5048" s="6"/>
      <c r="W5048" s="6"/>
      <c r="X5048" s="6"/>
      <c r="Y5048" s="6"/>
      <c r="Z5048" s="6"/>
    </row>
    <row r="5049" customFormat="false" ht="15" hidden="false" customHeight="false" outlineLevel="0" collapsed="false">
      <c r="A5049" s="9" t="s">
        <v>10892</v>
      </c>
      <c r="B5049" s="9" t="s">
        <v>5870</v>
      </c>
      <c r="C5049" s="9" t="s">
        <v>5329</v>
      </c>
      <c r="D5049" s="9" t="s">
        <v>5871</v>
      </c>
      <c r="E5049" s="9" t="str">
        <f aca="false">IF(AND('Formation Ledger'!A5028&lt;&gt;"",'Formation Ledger'!V5028=0),"PASS","FAIL")</f>
        <v>PASS</v>
      </c>
      <c r="F5049" s="9" t="s">
        <v>76</v>
      </c>
      <c r="G5049" s="6"/>
      <c r="H5049" s="6"/>
      <c r="I5049" s="6"/>
      <c r="J5049" s="6"/>
      <c r="K5049" s="6"/>
      <c r="L5049" s="6"/>
      <c r="M5049" s="6"/>
      <c r="N5049" s="6"/>
      <c r="O5049" s="6"/>
      <c r="P5049" s="6"/>
      <c r="Q5049" s="6"/>
      <c r="R5049" s="6"/>
      <c r="S5049" s="6"/>
      <c r="T5049" s="6"/>
      <c r="U5049" s="6"/>
      <c r="V5049" s="6"/>
      <c r="W5049" s="6"/>
      <c r="X5049" s="6"/>
      <c r="Y5049" s="6"/>
      <c r="Z5049" s="6"/>
    </row>
    <row r="5050" customFormat="false" ht="15" hidden="false" customHeight="false" outlineLevel="0" collapsed="false">
      <c r="A5050" s="9" t="s">
        <v>10893</v>
      </c>
      <c r="B5050" s="9" t="s">
        <v>5870</v>
      </c>
      <c r="C5050" s="9" t="s">
        <v>5330</v>
      </c>
      <c r="D5050" s="9" t="s">
        <v>5871</v>
      </c>
      <c r="E5050" s="9" t="str">
        <f aca="false">IF(AND('Formation Ledger'!A5029&lt;&gt;"",'Formation Ledger'!V5029=0),"PASS","FAIL")</f>
        <v>PASS</v>
      </c>
      <c r="F5050" s="9" t="s">
        <v>76</v>
      </c>
      <c r="G5050" s="6"/>
      <c r="H5050" s="6"/>
      <c r="I5050" s="6"/>
      <c r="J5050" s="6"/>
      <c r="K5050" s="6"/>
      <c r="L5050" s="6"/>
      <c r="M5050" s="6"/>
      <c r="N5050" s="6"/>
      <c r="O5050" s="6"/>
      <c r="P5050" s="6"/>
      <c r="Q5050" s="6"/>
      <c r="R5050" s="6"/>
      <c r="S5050" s="6"/>
      <c r="T5050" s="6"/>
      <c r="U5050" s="6"/>
      <c r="V5050" s="6"/>
      <c r="W5050" s="6"/>
      <c r="X5050" s="6"/>
      <c r="Y5050" s="6"/>
      <c r="Z5050" s="6"/>
    </row>
    <row r="5051" customFormat="false" ht="15" hidden="false" customHeight="false" outlineLevel="0" collapsed="false">
      <c r="A5051" s="9" t="s">
        <v>10894</v>
      </c>
      <c r="B5051" s="9" t="s">
        <v>5870</v>
      </c>
      <c r="C5051" s="9" t="s">
        <v>5331</v>
      </c>
      <c r="D5051" s="9" t="s">
        <v>5871</v>
      </c>
      <c r="E5051" s="9" t="str">
        <f aca="false">IF(AND('Formation Ledger'!A5030&lt;&gt;"",'Formation Ledger'!V5030=0),"PASS","FAIL")</f>
        <v>PASS</v>
      </c>
      <c r="F5051" s="9" t="s">
        <v>76</v>
      </c>
      <c r="G5051" s="6"/>
      <c r="H5051" s="6"/>
      <c r="I5051" s="6"/>
      <c r="J5051" s="6"/>
      <c r="K5051" s="6"/>
      <c r="L5051" s="6"/>
      <c r="M5051" s="6"/>
      <c r="N5051" s="6"/>
      <c r="O5051" s="6"/>
      <c r="P5051" s="6"/>
      <c r="Q5051" s="6"/>
      <c r="R5051" s="6"/>
      <c r="S5051" s="6"/>
      <c r="T5051" s="6"/>
      <c r="U5051" s="6"/>
      <c r="V5051" s="6"/>
      <c r="W5051" s="6"/>
      <c r="X5051" s="6"/>
      <c r="Y5051" s="6"/>
      <c r="Z5051" s="6"/>
    </row>
    <row r="5052" customFormat="false" ht="15" hidden="false" customHeight="false" outlineLevel="0" collapsed="false">
      <c r="A5052" s="9" t="s">
        <v>10895</v>
      </c>
      <c r="B5052" s="9" t="s">
        <v>5870</v>
      </c>
      <c r="C5052" s="9" t="s">
        <v>5332</v>
      </c>
      <c r="D5052" s="9" t="s">
        <v>5871</v>
      </c>
      <c r="E5052" s="9" t="str">
        <f aca="false">IF(AND('Formation Ledger'!A5031&lt;&gt;"",'Formation Ledger'!V5031=0),"PASS","FAIL")</f>
        <v>PASS</v>
      </c>
      <c r="F5052" s="9" t="s">
        <v>76</v>
      </c>
      <c r="G5052" s="6"/>
      <c r="H5052" s="6"/>
      <c r="I5052" s="6"/>
      <c r="J5052" s="6"/>
      <c r="K5052" s="6"/>
      <c r="L5052" s="6"/>
      <c r="M5052" s="6"/>
      <c r="N5052" s="6"/>
      <c r="O5052" s="6"/>
      <c r="P5052" s="6"/>
      <c r="Q5052" s="6"/>
      <c r="R5052" s="6"/>
      <c r="S5052" s="6"/>
      <c r="T5052" s="6"/>
      <c r="U5052" s="6"/>
      <c r="V5052" s="6"/>
      <c r="W5052" s="6"/>
      <c r="X5052" s="6"/>
      <c r="Y5052" s="6"/>
      <c r="Z5052" s="6"/>
    </row>
    <row r="5053" customFormat="false" ht="15" hidden="false" customHeight="false" outlineLevel="0" collapsed="false">
      <c r="A5053" s="9" t="s">
        <v>10896</v>
      </c>
      <c r="B5053" s="9" t="s">
        <v>5870</v>
      </c>
      <c r="C5053" s="9" t="s">
        <v>5333</v>
      </c>
      <c r="D5053" s="9" t="s">
        <v>5871</v>
      </c>
      <c r="E5053" s="9" t="str">
        <f aca="false">IF(AND('Formation Ledger'!A5032&lt;&gt;"",'Formation Ledger'!V5032=0),"PASS","FAIL")</f>
        <v>PASS</v>
      </c>
      <c r="F5053" s="9" t="s">
        <v>76</v>
      </c>
      <c r="G5053" s="6"/>
      <c r="H5053" s="6"/>
      <c r="I5053" s="6"/>
      <c r="J5053" s="6"/>
      <c r="K5053" s="6"/>
      <c r="L5053" s="6"/>
      <c r="M5053" s="6"/>
      <c r="N5053" s="6"/>
      <c r="O5053" s="6"/>
      <c r="P5053" s="6"/>
      <c r="Q5053" s="6"/>
      <c r="R5053" s="6"/>
      <c r="S5053" s="6"/>
      <c r="T5053" s="6"/>
      <c r="U5053" s="6"/>
      <c r="V5053" s="6"/>
      <c r="W5053" s="6"/>
      <c r="X5053" s="6"/>
      <c r="Y5053" s="6"/>
      <c r="Z5053" s="6"/>
    </row>
    <row r="5054" customFormat="false" ht="15" hidden="false" customHeight="false" outlineLevel="0" collapsed="false">
      <c r="A5054" s="9" t="s">
        <v>10897</v>
      </c>
      <c r="B5054" s="9" t="s">
        <v>5870</v>
      </c>
      <c r="C5054" s="9" t="s">
        <v>5334</v>
      </c>
      <c r="D5054" s="9" t="s">
        <v>5871</v>
      </c>
      <c r="E5054" s="9" t="str">
        <f aca="false">IF(AND('Formation Ledger'!A5033&lt;&gt;"",'Formation Ledger'!V5033=0),"PASS","FAIL")</f>
        <v>PASS</v>
      </c>
      <c r="F5054" s="9" t="s">
        <v>76</v>
      </c>
      <c r="G5054" s="6"/>
      <c r="H5054" s="6"/>
      <c r="I5054" s="6"/>
      <c r="J5054" s="6"/>
      <c r="K5054" s="6"/>
      <c r="L5054" s="6"/>
      <c r="M5054" s="6"/>
      <c r="N5054" s="6"/>
      <c r="O5054" s="6"/>
      <c r="P5054" s="6"/>
      <c r="Q5054" s="6"/>
      <c r="R5054" s="6"/>
      <c r="S5054" s="6"/>
      <c r="T5054" s="6"/>
      <c r="U5054" s="6"/>
      <c r="V5054" s="6"/>
      <c r="W5054" s="6"/>
      <c r="X5054" s="6"/>
      <c r="Y5054" s="6"/>
      <c r="Z5054" s="6"/>
    </row>
    <row r="5055" customFormat="false" ht="15" hidden="false" customHeight="false" outlineLevel="0" collapsed="false">
      <c r="A5055" s="9" t="s">
        <v>10898</v>
      </c>
      <c r="B5055" s="9" t="s">
        <v>5870</v>
      </c>
      <c r="C5055" s="9" t="s">
        <v>5335</v>
      </c>
      <c r="D5055" s="9" t="s">
        <v>5871</v>
      </c>
      <c r="E5055" s="9" t="str">
        <f aca="false">IF(AND('Formation Ledger'!A5034&lt;&gt;"",'Formation Ledger'!V5034=0),"PASS","FAIL")</f>
        <v>PASS</v>
      </c>
      <c r="F5055" s="9" t="s">
        <v>76</v>
      </c>
      <c r="G5055" s="6"/>
      <c r="H5055" s="6"/>
      <c r="I5055" s="6"/>
      <c r="J5055" s="6"/>
      <c r="K5055" s="6"/>
      <c r="L5055" s="6"/>
      <c r="M5055" s="6"/>
      <c r="N5055" s="6"/>
      <c r="O5055" s="6"/>
      <c r="P5055" s="6"/>
      <c r="Q5055" s="6"/>
      <c r="R5055" s="6"/>
      <c r="S5055" s="6"/>
      <c r="T5055" s="6"/>
      <c r="U5055" s="6"/>
      <c r="V5055" s="6"/>
      <c r="W5055" s="6"/>
      <c r="X5055" s="6"/>
      <c r="Y5055" s="6"/>
      <c r="Z5055" s="6"/>
    </row>
    <row r="5056" customFormat="false" ht="15" hidden="false" customHeight="false" outlineLevel="0" collapsed="false">
      <c r="A5056" s="9" t="s">
        <v>10899</v>
      </c>
      <c r="B5056" s="9" t="s">
        <v>5870</v>
      </c>
      <c r="C5056" s="9" t="s">
        <v>5336</v>
      </c>
      <c r="D5056" s="9" t="s">
        <v>5871</v>
      </c>
      <c r="E5056" s="9" t="str">
        <f aca="false">IF(AND('Formation Ledger'!A5035&lt;&gt;"",'Formation Ledger'!V5035=0),"PASS","FAIL")</f>
        <v>PASS</v>
      </c>
      <c r="F5056" s="9" t="s">
        <v>76</v>
      </c>
      <c r="G5056" s="6"/>
      <c r="H5056" s="6"/>
      <c r="I5056" s="6"/>
      <c r="J5056" s="6"/>
      <c r="K5056" s="6"/>
      <c r="L5056" s="6"/>
      <c r="M5056" s="6"/>
      <c r="N5056" s="6"/>
      <c r="O5056" s="6"/>
      <c r="P5056" s="6"/>
      <c r="Q5056" s="6"/>
      <c r="R5056" s="6"/>
      <c r="S5056" s="6"/>
      <c r="T5056" s="6"/>
      <c r="U5056" s="6"/>
      <c r="V5056" s="6"/>
      <c r="W5056" s="6"/>
      <c r="X5056" s="6"/>
      <c r="Y5056" s="6"/>
      <c r="Z5056" s="6"/>
    </row>
    <row r="5057" customFormat="false" ht="15" hidden="false" customHeight="false" outlineLevel="0" collapsed="false">
      <c r="A5057" s="9" t="s">
        <v>10900</v>
      </c>
      <c r="B5057" s="9" t="s">
        <v>5870</v>
      </c>
      <c r="C5057" s="9" t="s">
        <v>5337</v>
      </c>
      <c r="D5057" s="9" t="s">
        <v>5871</v>
      </c>
      <c r="E5057" s="9" t="str">
        <f aca="false">IF(AND('Formation Ledger'!A5036&lt;&gt;"",'Formation Ledger'!V5036=0),"PASS","FAIL")</f>
        <v>PASS</v>
      </c>
      <c r="F5057" s="9" t="s">
        <v>76</v>
      </c>
      <c r="G5057" s="6"/>
      <c r="H5057" s="6"/>
      <c r="I5057" s="6"/>
      <c r="J5057" s="6"/>
      <c r="K5057" s="6"/>
      <c r="L5057" s="6"/>
      <c r="M5057" s="6"/>
      <c r="N5057" s="6"/>
      <c r="O5057" s="6"/>
      <c r="P5057" s="6"/>
      <c r="Q5057" s="6"/>
      <c r="R5057" s="6"/>
      <c r="S5057" s="6"/>
      <c r="T5057" s="6"/>
      <c r="U5057" s="6"/>
      <c r="V5057" s="6"/>
      <c r="W5057" s="6"/>
      <c r="X5057" s="6"/>
      <c r="Y5057" s="6"/>
      <c r="Z5057" s="6"/>
    </row>
    <row r="5058" customFormat="false" ht="15" hidden="false" customHeight="false" outlineLevel="0" collapsed="false">
      <c r="A5058" s="9" t="s">
        <v>10901</v>
      </c>
      <c r="B5058" s="9" t="s">
        <v>5870</v>
      </c>
      <c r="C5058" s="9" t="s">
        <v>5338</v>
      </c>
      <c r="D5058" s="9" t="s">
        <v>5871</v>
      </c>
      <c r="E5058" s="9" t="str">
        <f aca="false">IF(AND('Formation Ledger'!A5037&lt;&gt;"",'Formation Ledger'!V5037=0),"PASS","FAIL")</f>
        <v>PASS</v>
      </c>
      <c r="F5058" s="9" t="s">
        <v>76</v>
      </c>
      <c r="G5058" s="6"/>
      <c r="H5058" s="6"/>
      <c r="I5058" s="6"/>
      <c r="J5058" s="6"/>
      <c r="K5058" s="6"/>
      <c r="L5058" s="6"/>
      <c r="M5058" s="6"/>
      <c r="N5058" s="6"/>
      <c r="O5058" s="6"/>
      <c r="P5058" s="6"/>
      <c r="Q5058" s="6"/>
      <c r="R5058" s="6"/>
      <c r="S5058" s="6"/>
      <c r="T5058" s="6"/>
      <c r="U5058" s="6"/>
      <c r="V5058" s="6"/>
      <c r="W5058" s="6"/>
      <c r="X5058" s="6"/>
      <c r="Y5058" s="6"/>
      <c r="Z5058" s="6"/>
    </row>
    <row r="5059" customFormat="false" ht="15" hidden="false" customHeight="false" outlineLevel="0" collapsed="false">
      <c r="A5059" s="9" t="s">
        <v>10902</v>
      </c>
      <c r="B5059" s="9" t="s">
        <v>5870</v>
      </c>
      <c r="C5059" s="9" t="s">
        <v>5339</v>
      </c>
      <c r="D5059" s="9" t="s">
        <v>5871</v>
      </c>
      <c r="E5059" s="9" t="str">
        <f aca="false">IF(AND('Formation Ledger'!A5038&lt;&gt;"",'Formation Ledger'!V5038=0),"PASS","FAIL")</f>
        <v>PASS</v>
      </c>
      <c r="F5059" s="9" t="s">
        <v>76</v>
      </c>
      <c r="G5059" s="6"/>
      <c r="H5059" s="6"/>
      <c r="I5059" s="6"/>
      <c r="J5059" s="6"/>
      <c r="K5059" s="6"/>
      <c r="L5059" s="6"/>
      <c r="M5059" s="6"/>
      <c r="N5059" s="6"/>
      <c r="O5059" s="6"/>
      <c r="P5059" s="6"/>
      <c r="Q5059" s="6"/>
      <c r="R5059" s="6"/>
      <c r="S5059" s="6"/>
      <c r="T5059" s="6"/>
      <c r="U5059" s="6"/>
      <c r="V5059" s="6"/>
      <c r="W5059" s="6"/>
      <c r="X5059" s="6"/>
      <c r="Y5059" s="6"/>
      <c r="Z5059" s="6"/>
    </row>
    <row r="5060" customFormat="false" ht="15" hidden="false" customHeight="false" outlineLevel="0" collapsed="false">
      <c r="A5060" s="9" t="s">
        <v>10903</v>
      </c>
      <c r="B5060" s="9" t="s">
        <v>5870</v>
      </c>
      <c r="C5060" s="9" t="s">
        <v>5340</v>
      </c>
      <c r="D5060" s="9" t="s">
        <v>5871</v>
      </c>
      <c r="E5060" s="9" t="str">
        <f aca="false">IF(AND('Formation Ledger'!A5039&lt;&gt;"",'Formation Ledger'!V5039=0),"PASS","FAIL")</f>
        <v>PASS</v>
      </c>
      <c r="F5060" s="9" t="s">
        <v>76</v>
      </c>
      <c r="G5060" s="6"/>
      <c r="H5060" s="6"/>
      <c r="I5060" s="6"/>
      <c r="J5060" s="6"/>
      <c r="K5060" s="6"/>
      <c r="L5060" s="6"/>
      <c r="M5060" s="6"/>
      <c r="N5060" s="6"/>
      <c r="O5060" s="6"/>
      <c r="P5060" s="6"/>
      <c r="Q5060" s="6"/>
      <c r="R5060" s="6"/>
      <c r="S5060" s="6"/>
      <c r="T5060" s="6"/>
      <c r="U5060" s="6"/>
      <c r="V5060" s="6"/>
      <c r="W5060" s="6"/>
      <c r="X5060" s="6"/>
      <c r="Y5060" s="6"/>
      <c r="Z5060" s="6"/>
    </row>
    <row r="5061" customFormat="false" ht="15" hidden="false" customHeight="false" outlineLevel="0" collapsed="false">
      <c r="A5061" s="9" t="s">
        <v>10904</v>
      </c>
      <c r="B5061" s="9" t="s">
        <v>5870</v>
      </c>
      <c r="C5061" s="9" t="s">
        <v>5341</v>
      </c>
      <c r="D5061" s="9" t="s">
        <v>5871</v>
      </c>
      <c r="E5061" s="9" t="str">
        <f aca="false">IF(AND('Formation Ledger'!A5040&lt;&gt;"",'Formation Ledger'!V5040=0),"PASS","FAIL")</f>
        <v>PASS</v>
      </c>
      <c r="F5061" s="9" t="s">
        <v>76</v>
      </c>
      <c r="G5061" s="6"/>
      <c r="H5061" s="6"/>
      <c r="I5061" s="6"/>
      <c r="J5061" s="6"/>
      <c r="K5061" s="6"/>
      <c r="L5061" s="6"/>
      <c r="M5061" s="6"/>
      <c r="N5061" s="6"/>
      <c r="O5061" s="6"/>
      <c r="P5061" s="6"/>
      <c r="Q5061" s="6"/>
      <c r="R5061" s="6"/>
      <c r="S5061" s="6"/>
      <c r="T5061" s="6"/>
      <c r="U5061" s="6"/>
      <c r="V5061" s="6"/>
      <c r="W5061" s="6"/>
      <c r="X5061" s="6"/>
      <c r="Y5061" s="6"/>
      <c r="Z5061" s="6"/>
    </row>
    <row r="5062" customFormat="false" ht="15" hidden="false" customHeight="false" outlineLevel="0" collapsed="false">
      <c r="A5062" s="9" t="s">
        <v>10905</v>
      </c>
      <c r="B5062" s="9" t="s">
        <v>5870</v>
      </c>
      <c r="C5062" s="9" t="s">
        <v>5342</v>
      </c>
      <c r="D5062" s="9" t="s">
        <v>5871</v>
      </c>
      <c r="E5062" s="9" t="str">
        <f aca="false">IF(AND('Formation Ledger'!A5041&lt;&gt;"",'Formation Ledger'!V5041=0),"PASS","FAIL")</f>
        <v>PASS</v>
      </c>
      <c r="F5062" s="9" t="s">
        <v>76</v>
      </c>
      <c r="G5062" s="6"/>
      <c r="H5062" s="6"/>
      <c r="I5062" s="6"/>
      <c r="J5062" s="6"/>
      <c r="K5062" s="6"/>
      <c r="L5062" s="6"/>
      <c r="M5062" s="6"/>
      <c r="N5062" s="6"/>
      <c r="O5062" s="6"/>
      <c r="P5062" s="6"/>
      <c r="Q5062" s="6"/>
      <c r="R5062" s="6"/>
      <c r="S5062" s="6"/>
      <c r="T5062" s="6"/>
      <c r="U5062" s="6"/>
      <c r="V5062" s="6"/>
      <c r="W5062" s="6"/>
      <c r="X5062" s="6"/>
      <c r="Y5062" s="6"/>
      <c r="Z5062" s="6"/>
    </row>
    <row r="5063" customFormat="false" ht="15" hidden="false" customHeight="false" outlineLevel="0" collapsed="false">
      <c r="A5063" s="9" t="s">
        <v>10906</v>
      </c>
      <c r="B5063" s="9" t="s">
        <v>5870</v>
      </c>
      <c r="C5063" s="9" t="s">
        <v>5343</v>
      </c>
      <c r="D5063" s="9" t="s">
        <v>5871</v>
      </c>
      <c r="E5063" s="9" t="str">
        <f aca="false">IF(AND('Formation Ledger'!A5042&lt;&gt;"",'Formation Ledger'!V5042=0),"PASS","FAIL")</f>
        <v>PASS</v>
      </c>
      <c r="F5063" s="9" t="s">
        <v>76</v>
      </c>
      <c r="G5063" s="6"/>
      <c r="H5063" s="6"/>
      <c r="I5063" s="6"/>
      <c r="J5063" s="6"/>
      <c r="K5063" s="6"/>
      <c r="L5063" s="6"/>
      <c r="M5063" s="6"/>
      <c r="N5063" s="6"/>
      <c r="O5063" s="6"/>
      <c r="P5063" s="6"/>
      <c r="Q5063" s="6"/>
      <c r="R5063" s="6"/>
      <c r="S5063" s="6"/>
      <c r="T5063" s="6"/>
      <c r="U5063" s="6"/>
      <c r="V5063" s="6"/>
      <c r="W5063" s="6"/>
      <c r="X5063" s="6"/>
      <c r="Y5063" s="6"/>
      <c r="Z5063" s="6"/>
    </row>
    <row r="5064" customFormat="false" ht="15" hidden="false" customHeight="false" outlineLevel="0" collapsed="false">
      <c r="A5064" s="9" t="s">
        <v>10907</v>
      </c>
      <c r="B5064" s="9" t="s">
        <v>5870</v>
      </c>
      <c r="C5064" s="9" t="s">
        <v>5344</v>
      </c>
      <c r="D5064" s="9" t="s">
        <v>5871</v>
      </c>
      <c r="E5064" s="9" t="str">
        <f aca="false">IF(AND('Formation Ledger'!A5043&lt;&gt;"",'Formation Ledger'!V5043=0),"PASS","FAIL")</f>
        <v>PASS</v>
      </c>
      <c r="F5064" s="9" t="s">
        <v>76</v>
      </c>
      <c r="G5064" s="6"/>
      <c r="H5064" s="6"/>
      <c r="I5064" s="6"/>
      <c r="J5064" s="6"/>
      <c r="K5064" s="6"/>
      <c r="L5064" s="6"/>
      <c r="M5064" s="6"/>
      <c r="N5064" s="6"/>
      <c r="O5064" s="6"/>
      <c r="P5064" s="6"/>
      <c r="Q5064" s="6"/>
      <c r="R5064" s="6"/>
      <c r="S5064" s="6"/>
      <c r="T5064" s="6"/>
      <c r="U5064" s="6"/>
      <c r="V5064" s="6"/>
      <c r="W5064" s="6"/>
      <c r="X5064" s="6"/>
      <c r="Y5064" s="6"/>
      <c r="Z5064" s="6"/>
    </row>
    <row r="5065" customFormat="false" ht="15" hidden="false" customHeight="false" outlineLevel="0" collapsed="false">
      <c r="A5065" s="9" t="s">
        <v>10908</v>
      </c>
      <c r="B5065" s="9" t="s">
        <v>5870</v>
      </c>
      <c r="C5065" s="9" t="s">
        <v>5345</v>
      </c>
      <c r="D5065" s="9" t="s">
        <v>5871</v>
      </c>
      <c r="E5065" s="9" t="str">
        <f aca="false">IF(AND('Formation Ledger'!A5044&lt;&gt;"",'Formation Ledger'!V5044=0),"PASS","FAIL")</f>
        <v>PASS</v>
      </c>
      <c r="F5065" s="9" t="s">
        <v>76</v>
      </c>
      <c r="G5065" s="6"/>
      <c r="H5065" s="6"/>
      <c r="I5065" s="6"/>
      <c r="J5065" s="6"/>
      <c r="K5065" s="6"/>
      <c r="L5065" s="6"/>
      <c r="M5065" s="6"/>
      <c r="N5065" s="6"/>
      <c r="O5065" s="6"/>
      <c r="P5065" s="6"/>
      <c r="Q5065" s="6"/>
      <c r="R5065" s="6"/>
      <c r="S5065" s="6"/>
      <c r="T5065" s="6"/>
      <c r="U5065" s="6"/>
      <c r="V5065" s="6"/>
      <c r="W5065" s="6"/>
      <c r="X5065" s="6"/>
      <c r="Y5065" s="6"/>
      <c r="Z5065" s="6"/>
    </row>
    <row r="5066" customFormat="false" ht="15" hidden="false" customHeight="false" outlineLevel="0" collapsed="false">
      <c r="A5066" s="9" t="s">
        <v>10909</v>
      </c>
      <c r="B5066" s="9" t="s">
        <v>5870</v>
      </c>
      <c r="C5066" s="9" t="s">
        <v>5346</v>
      </c>
      <c r="D5066" s="9" t="s">
        <v>5871</v>
      </c>
      <c r="E5066" s="9" t="str">
        <f aca="false">IF(AND('Formation Ledger'!A5045&lt;&gt;"",'Formation Ledger'!V5045=0),"PASS","FAIL")</f>
        <v>PASS</v>
      </c>
      <c r="F5066" s="9" t="s">
        <v>76</v>
      </c>
      <c r="G5066" s="6"/>
      <c r="H5066" s="6"/>
      <c r="I5066" s="6"/>
      <c r="J5066" s="6"/>
      <c r="K5066" s="6"/>
      <c r="L5066" s="6"/>
      <c r="M5066" s="6"/>
      <c r="N5066" s="6"/>
      <c r="O5066" s="6"/>
      <c r="P5066" s="6"/>
      <c r="Q5066" s="6"/>
      <c r="R5066" s="6"/>
      <c r="S5066" s="6"/>
      <c r="T5066" s="6"/>
      <c r="U5066" s="6"/>
      <c r="V5066" s="6"/>
      <c r="W5066" s="6"/>
      <c r="X5066" s="6"/>
      <c r="Y5066" s="6"/>
      <c r="Z5066" s="6"/>
    </row>
    <row r="5067" customFormat="false" ht="15" hidden="false" customHeight="false" outlineLevel="0" collapsed="false">
      <c r="A5067" s="9" t="s">
        <v>10910</v>
      </c>
      <c r="B5067" s="9" t="s">
        <v>5870</v>
      </c>
      <c r="C5067" s="9" t="s">
        <v>5347</v>
      </c>
      <c r="D5067" s="9" t="s">
        <v>5871</v>
      </c>
      <c r="E5067" s="9" t="str">
        <f aca="false">IF(AND('Formation Ledger'!A5046&lt;&gt;"",'Formation Ledger'!V5046=0),"PASS","FAIL")</f>
        <v>PASS</v>
      </c>
      <c r="F5067" s="9" t="s">
        <v>76</v>
      </c>
      <c r="G5067" s="6"/>
      <c r="H5067" s="6"/>
      <c r="I5067" s="6"/>
      <c r="J5067" s="6"/>
      <c r="K5067" s="6"/>
      <c r="L5067" s="6"/>
      <c r="M5067" s="6"/>
      <c r="N5067" s="6"/>
      <c r="O5067" s="6"/>
      <c r="P5067" s="6"/>
      <c r="Q5067" s="6"/>
      <c r="R5067" s="6"/>
      <c r="S5067" s="6"/>
      <c r="T5067" s="6"/>
      <c r="U5067" s="6"/>
      <c r="V5067" s="6"/>
      <c r="W5067" s="6"/>
      <c r="X5067" s="6"/>
      <c r="Y5067" s="6"/>
      <c r="Z5067" s="6"/>
    </row>
    <row r="5068" customFormat="false" ht="15" hidden="false" customHeight="false" outlineLevel="0" collapsed="false">
      <c r="A5068" s="9" t="s">
        <v>10911</v>
      </c>
      <c r="B5068" s="9" t="s">
        <v>5870</v>
      </c>
      <c r="C5068" s="9" t="s">
        <v>5348</v>
      </c>
      <c r="D5068" s="9" t="s">
        <v>5871</v>
      </c>
      <c r="E5068" s="9" t="str">
        <f aca="false">IF(AND('Formation Ledger'!A5047&lt;&gt;"",'Formation Ledger'!V5047=0),"PASS","FAIL")</f>
        <v>PASS</v>
      </c>
      <c r="F5068" s="9" t="s">
        <v>76</v>
      </c>
      <c r="G5068" s="6"/>
      <c r="H5068" s="6"/>
      <c r="I5068" s="6"/>
      <c r="J5068" s="6"/>
      <c r="K5068" s="6"/>
      <c r="L5068" s="6"/>
      <c r="M5068" s="6"/>
      <c r="N5068" s="6"/>
      <c r="O5068" s="6"/>
      <c r="P5068" s="6"/>
      <c r="Q5068" s="6"/>
      <c r="R5068" s="6"/>
      <c r="S5068" s="6"/>
      <c r="T5068" s="6"/>
      <c r="U5068" s="6"/>
      <c r="V5068" s="6"/>
      <c r="W5068" s="6"/>
      <c r="X5068" s="6"/>
      <c r="Y5068" s="6"/>
      <c r="Z5068" s="6"/>
    </row>
    <row r="5069" customFormat="false" ht="15" hidden="false" customHeight="false" outlineLevel="0" collapsed="false">
      <c r="A5069" s="9" t="s">
        <v>10912</v>
      </c>
      <c r="B5069" s="9" t="s">
        <v>5870</v>
      </c>
      <c r="C5069" s="9" t="s">
        <v>5349</v>
      </c>
      <c r="D5069" s="9" t="s">
        <v>5871</v>
      </c>
      <c r="E5069" s="9" t="str">
        <f aca="false">IF(AND('Formation Ledger'!A5048&lt;&gt;"",'Formation Ledger'!V5048=0),"PASS","FAIL")</f>
        <v>PASS</v>
      </c>
      <c r="F5069" s="9" t="s">
        <v>76</v>
      </c>
      <c r="G5069" s="6"/>
      <c r="H5069" s="6"/>
      <c r="I5069" s="6"/>
      <c r="J5069" s="6"/>
      <c r="K5069" s="6"/>
      <c r="L5069" s="6"/>
      <c r="M5069" s="6"/>
      <c r="N5069" s="6"/>
      <c r="O5069" s="6"/>
      <c r="P5069" s="6"/>
      <c r="Q5069" s="6"/>
      <c r="R5069" s="6"/>
      <c r="S5069" s="6"/>
      <c r="T5069" s="6"/>
      <c r="U5069" s="6"/>
      <c r="V5069" s="6"/>
      <c r="W5069" s="6"/>
      <c r="X5069" s="6"/>
      <c r="Y5069" s="6"/>
      <c r="Z5069" s="6"/>
    </row>
    <row r="5070" customFormat="false" ht="15" hidden="false" customHeight="false" outlineLevel="0" collapsed="false">
      <c r="A5070" s="9" t="s">
        <v>10913</v>
      </c>
      <c r="B5070" s="9" t="s">
        <v>5870</v>
      </c>
      <c r="C5070" s="9" t="s">
        <v>5350</v>
      </c>
      <c r="D5070" s="9" t="s">
        <v>5871</v>
      </c>
      <c r="E5070" s="9" t="str">
        <f aca="false">IF(AND('Formation Ledger'!A5049&lt;&gt;"",'Formation Ledger'!V5049=0),"PASS","FAIL")</f>
        <v>PASS</v>
      </c>
      <c r="F5070" s="9" t="s">
        <v>76</v>
      </c>
      <c r="G5070" s="6"/>
      <c r="H5070" s="6"/>
      <c r="I5070" s="6"/>
      <c r="J5070" s="6"/>
      <c r="K5070" s="6"/>
      <c r="L5070" s="6"/>
      <c r="M5070" s="6"/>
      <c r="N5070" s="6"/>
      <c r="O5070" s="6"/>
      <c r="P5070" s="6"/>
      <c r="Q5070" s="6"/>
      <c r="R5070" s="6"/>
      <c r="S5070" s="6"/>
      <c r="T5070" s="6"/>
      <c r="U5070" s="6"/>
      <c r="V5070" s="6"/>
      <c r="W5070" s="6"/>
      <c r="X5070" s="6"/>
      <c r="Y5070" s="6"/>
      <c r="Z5070" s="6"/>
    </row>
    <row r="5071" customFormat="false" ht="15" hidden="false" customHeight="false" outlineLevel="0" collapsed="false">
      <c r="A5071" s="9" t="s">
        <v>10914</v>
      </c>
      <c r="B5071" s="9" t="s">
        <v>5870</v>
      </c>
      <c r="C5071" s="9" t="s">
        <v>5351</v>
      </c>
      <c r="D5071" s="9" t="s">
        <v>5871</v>
      </c>
      <c r="E5071" s="9" t="str">
        <f aca="false">IF(AND('Formation Ledger'!A5050&lt;&gt;"",'Formation Ledger'!V5050=0),"PASS","FAIL")</f>
        <v>PASS</v>
      </c>
      <c r="F5071" s="9" t="s">
        <v>76</v>
      </c>
      <c r="G5071" s="6"/>
      <c r="H5071" s="6"/>
      <c r="I5071" s="6"/>
      <c r="J5071" s="6"/>
      <c r="K5071" s="6"/>
      <c r="L5071" s="6"/>
      <c r="M5071" s="6"/>
      <c r="N5071" s="6"/>
      <c r="O5071" s="6"/>
      <c r="P5071" s="6"/>
      <c r="Q5071" s="6"/>
      <c r="R5071" s="6"/>
      <c r="S5071" s="6"/>
      <c r="T5071" s="6"/>
      <c r="U5071" s="6"/>
      <c r="V5071" s="6"/>
      <c r="W5071" s="6"/>
      <c r="X5071" s="6"/>
      <c r="Y5071" s="6"/>
      <c r="Z5071" s="6"/>
    </row>
    <row r="5072" customFormat="false" ht="15" hidden="false" customHeight="false" outlineLevel="0" collapsed="false">
      <c r="A5072" s="9" t="s">
        <v>10915</v>
      </c>
      <c r="B5072" s="9" t="s">
        <v>5870</v>
      </c>
      <c r="C5072" s="9" t="s">
        <v>5352</v>
      </c>
      <c r="D5072" s="9" t="s">
        <v>5871</v>
      </c>
      <c r="E5072" s="9" t="str">
        <f aca="false">IF(AND('Formation Ledger'!A5051&lt;&gt;"",'Formation Ledger'!V5051=0),"PASS","FAIL")</f>
        <v>PASS</v>
      </c>
      <c r="F5072" s="9" t="s">
        <v>76</v>
      </c>
      <c r="G5072" s="6"/>
      <c r="H5072" s="6"/>
      <c r="I5072" s="6"/>
      <c r="J5072" s="6"/>
      <c r="K5072" s="6"/>
      <c r="L5072" s="6"/>
      <c r="M5072" s="6"/>
      <c r="N5072" s="6"/>
      <c r="O5072" s="6"/>
      <c r="P5072" s="6"/>
      <c r="Q5072" s="6"/>
      <c r="R5072" s="6"/>
      <c r="S5072" s="6"/>
      <c r="T5072" s="6"/>
      <c r="U5072" s="6"/>
      <c r="V5072" s="6"/>
      <c r="W5072" s="6"/>
      <c r="X5072" s="6"/>
      <c r="Y5072" s="6"/>
      <c r="Z5072" s="6"/>
    </row>
    <row r="5073" customFormat="false" ht="15" hidden="false" customHeight="false" outlineLevel="0" collapsed="false">
      <c r="A5073" s="9" t="s">
        <v>10916</v>
      </c>
      <c r="B5073" s="9" t="s">
        <v>5870</v>
      </c>
      <c r="C5073" s="9" t="s">
        <v>5353</v>
      </c>
      <c r="D5073" s="9" t="s">
        <v>5871</v>
      </c>
      <c r="E5073" s="9" t="str">
        <f aca="false">IF(AND('Formation Ledger'!A5052&lt;&gt;"",'Formation Ledger'!V5052=0),"PASS","FAIL")</f>
        <v>PASS</v>
      </c>
      <c r="F5073" s="9" t="s">
        <v>76</v>
      </c>
      <c r="G5073" s="6"/>
      <c r="H5073" s="6"/>
      <c r="I5073" s="6"/>
      <c r="J5073" s="6"/>
      <c r="K5073" s="6"/>
      <c r="L5073" s="6"/>
      <c r="M5073" s="6"/>
      <c r="N5073" s="6"/>
      <c r="O5073" s="6"/>
      <c r="P5073" s="6"/>
      <c r="Q5073" s="6"/>
      <c r="R5073" s="6"/>
      <c r="S5073" s="6"/>
      <c r="T5073" s="6"/>
      <c r="U5073" s="6"/>
      <c r="V5073" s="6"/>
      <c r="W5073" s="6"/>
      <c r="X5073" s="6"/>
      <c r="Y5073" s="6"/>
      <c r="Z5073" s="6"/>
    </row>
    <row r="5074" customFormat="false" ht="15" hidden="false" customHeight="false" outlineLevel="0" collapsed="false">
      <c r="A5074" s="9" t="s">
        <v>10917</v>
      </c>
      <c r="B5074" s="9" t="s">
        <v>5870</v>
      </c>
      <c r="C5074" s="9" t="s">
        <v>5354</v>
      </c>
      <c r="D5074" s="9" t="s">
        <v>5871</v>
      </c>
      <c r="E5074" s="9" t="str">
        <f aca="false">IF(AND('Formation Ledger'!A5053&lt;&gt;"",'Formation Ledger'!V5053=0),"PASS","FAIL")</f>
        <v>PASS</v>
      </c>
      <c r="F5074" s="9" t="s">
        <v>76</v>
      </c>
      <c r="G5074" s="6"/>
      <c r="H5074" s="6"/>
      <c r="I5074" s="6"/>
      <c r="J5074" s="6"/>
      <c r="K5074" s="6"/>
      <c r="L5074" s="6"/>
      <c r="M5074" s="6"/>
      <c r="N5074" s="6"/>
      <c r="O5074" s="6"/>
      <c r="P5074" s="6"/>
      <c r="Q5074" s="6"/>
      <c r="R5074" s="6"/>
      <c r="S5074" s="6"/>
      <c r="T5074" s="6"/>
      <c r="U5074" s="6"/>
      <c r="V5074" s="6"/>
      <c r="W5074" s="6"/>
      <c r="X5074" s="6"/>
      <c r="Y5074" s="6"/>
      <c r="Z5074" s="6"/>
    </row>
    <row r="5075" customFormat="false" ht="15" hidden="false" customHeight="false" outlineLevel="0" collapsed="false">
      <c r="A5075" s="9" t="s">
        <v>10918</v>
      </c>
      <c r="B5075" s="9" t="s">
        <v>5870</v>
      </c>
      <c r="C5075" s="9" t="s">
        <v>5355</v>
      </c>
      <c r="D5075" s="9" t="s">
        <v>5871</v>
      </c>
      <c r="E5075" s="9" t="str">
        <f aca="false">IF(AND('Formation Ledger'!A5054&lt;&gt;"",'Formation Ledger'!V5054=0),"PASS","FAIL")</f>
        <v>PASS</v>
      </c>
      <c r="F5075" s="9" t="s">
        <v>76</v>
      </c>
      <c r="G5075" s="6"/>
      <c r="H5075" s="6"/>
      <c r="I5075" s="6"/>
      <c r="J5075" s="6"/>
      <c r="K5075" s="6"/>
      <c r="L5075" s="6"/>
      <c r="M5075" s="6"/>
      <c r="N5075" s="6"/>
      <c r="O5075" s="6"/>
      <c r="P5075" s="6"/>
      <c r="Q5075" s="6"/>
      <c r="R5075" s="6"/>
      <c r="S5075" s="6"/>
      <c r="T5075" s="6"/>
      <c r="U5075" s="6"/>
      <c r="V5075" s="6"/>
      <c r="W5075" s="6"/>
      <c r="X5075" s="6"/>
      <c r="Y5075" s="6"/>
      <c r="Z5075" s="6"/>
    </row>
    <row r="5076" customFormat="false" ht="15" hidden="false" customHeight="false" outlineLevel="0" collapsed="false">
      <c r="A5076" s="9" t="s">
        <v>10919</v>
      </c>
      <c r="B5076" s="9" t="s">
        <v>5870</v>
      </c>
      <c r="C5076" s="9" t="s">
        <v>5356</v>
      </c>
      <c r="D5076" s="9" t="s">
        <v>5871</v>
      </c>
      <c r="E5076" s="9" t="str">
        <f aca="false">IF(AND('Formation Ledger'!A5055&lt;&gt;"",'Formation Ledger'!V5055=0),"PASS","FAIL")</f>
        <v>PASS</v>
      </c>
      <c r="F5076" s="9" t="s">
        <v>76</v>
      </c>
      <c r="G5076" s="6"/>
      <c r="H5076" s="6"/>
      <c r="I5076" s="6"/>
      <c r="J5076" s="6"/>
      <c r="K5076" s="6"/>
      <c r="L5076" s="6"/>
      <c r="M5076" s="6"/>
      <c r="N5076" s="6"/>
      <c r="O5076" s="6"/>
      <c r="P5076" s="6"/>
      <c r="Q5076" s="6"/>
      <c r="R5076" s="6"/>
      <c r="S5076" s="6"/>
      <c r="T5076" s="6"/>
      <c r="U5076" s="6"/>
      <c r="V5076" s="6"/>
      <c r="W5076" s="6"/>
      <c r="X5076" s="6"/>
      <c r="Y5076" s="6"/>
      <c r="Z5076" s="6"/>
    </row>
    <row r="5077" customFormat="false" ht="15" hidden="false" customHeight="false" outlineLevel="0" collapsed="false">
      <c r="A5077" s="9" t="s">
        <v>10920</v>
      </c>
      <c r="B5077" s="9" t="s">
        <v>5870</v>
      </c>
      <c r="C5077" s="9" t="s">
        <v>5357</v>
      </c>
      <c r="D5077" s="9" t="s">
        <v>5871</v>
      </c>
      <c r="E5077" s="9" t="str">
        <f aca="false">IF(AND('Formation Ledger'!A5056&lt;&gt;"",'Formation Ledger'!V5056=0),"PASS","FAIL")</f>
        <v>PASS</v>
      </c>
      <c r="F5077" s="9" t="s">
        <v>76</v>
      </c>
      <c r="G5077" s="6"/>
      <c r="H5077" s="6"/>
      <c r="I5077" s="6"/>
      <c r="J5077" s="6"/>
      <c r="K5077" s="6"/>
      <c r="L5077" s="6"/>
      <c r="M5077" s="6"/>
      <c r="N5077" s="6"/>
      <c r="O5077" s="6"/>
      <c r="P5077" s="6"/>
      <c r="Q5077" s="6"/>
      <c r="R5077" s="6"/>
      <c r="S5077" s="6"/>
      <c r="T5077" s="6"/>
      <c r="U5077" s="6"/>
      <c r="V5077" s="6"/>
      <c r="W5077" s="6"/>
      <c r="X5077" s="6"/>
      <c r="Y5077" s="6"/>
      <c r="Z5077" s="6"/>
    </row>
    <row r="5078" customFormat="false" ht="15" hidden="false" customHeight="false" outlineLevel="0" collapsed="false">
      <c r="A5078" s="9" t="s">
        <v>10921</v>
      </c>
      <c r="B5078" s="9" t="s">
        <v>5870</v>
      </c>
      <c r="C5078" s="9" t="s">
        <v>5358</v>
      </c>
      <c r="D5078" s="9" t="s">
        <v>5871</v>
      </c>
      <c r="E5078" s="9" t="str">
        <f aca="false">IF(AND('Formation Ledger'!A5057&lt;&gt;"",'Formation Ledger'!V5057=0),"PASS","FAIL")</f>
        <v>PASS</v>
      </c>
      <c r="F5078" s="9" t="s">
        <v>76</v>
      </c>
      <c r="G5078" s="6"/>
      <c r="H5078" s="6"/>
      <c r="I5078" s="6"/>
      <c r="J5078" s="6"/>
      <c r="K5078" s="6"/>
      <c r="L5078" s="6"/>
      <c r="M5078" s="6"/>
      <c r="N5078" s="6"/>
      <c r="O5078" s="6"/>
      <c r="P5078" s="6"/>
      <c r="Q5078" s="6"/>
      <c r="R5078" s="6"/>
      <c r="S5078" s="6"/>
      <c r="T5078" s="6"/>
      <c r="U5078" s="6"/>
      <c r="V5078" s="6"/>
      <c r="W5078" s="6"/>
      <c r="X5078" s="6"/>
      <c r="Y5078" s="6"/>
      <c r="Z5078" s="6"/>
    </row>
    <row r="5079" customFormat="false" ht="15" hidden="false" customHeight="false" outlineLevel="0" collapsed="false">
      <c r="A5079" s="9" t="s">
        <v>10922</v>
      </c>
      <c r="B5079" s="9" t="s">
        <v>5870</v>
      </c>
      <c r="C5079" s="9" t="s">
        <v>5359</v>
      </c>
      <c r="D5079" s="9" t="s">
        <v>5871</v>
      </c>
      <c r="E5079" s="9" t="str">
        <f aca="false">IF(AND('Formation Ledger'!A5058&lt;&gt;"",'Formation Ledger'!V5058=0),"PASS","FAIL")</f>
        <v>PASS</v>
      </c>
      <c r="F5079" s="9" t="s">
        <v>76</v>
      </c>
      <c r="G5079" s="6"/>
      <c r="H5079" s="6"/>
      <c r="I5079" s="6"/>
      <c r="J5079" s="6"/>
      <c r="K5079" s="6"/>
      <c r="L5079" s="6"/>
      <c r="M5079" s="6"/>
      <c r="N5079" s="6"/>
      <c r="O5079" s="6"/>
      <c r="P5079" s="6"/>
      <c r="Q5079" s="6"/>
      <c r="R5079" s="6"/>
      <c r="S5079" s="6"/>
      <c r="T5079" s="6"/>
      <c r="U5079" s="6"/>
      <c r="V5079" s="6"/>
      <c r="W5079" s="6"/>
      <c r="X5079" s="6"/>
      <c r="Y5079" s="6"/>
      <c r="Z5079" s="6"/>
    </row>
    <row r="5080" customFormat="false" ht="15" hidden="false" customHeight="false" outlineLevel="0" collapsed="false">
      <c r="A5080" s="9" t="s">
        <v>10923</v>
      </c>
      <c r="B5080" s="9" t="s">
        <v>5870</v>
      </c>
      <c r="C5080" s="9" t="s">
        <v>5360</v>
      </c>
      <c r="D5080" s="9" t="s">
        <v>5871</v>
      </c>
      <c r="E5080" s="9" t="str">
        <f aca="false">IF(AND('Formation Ledger'!A5059&lt;&gt;"",'Formation Ledger'!V5059=0),"PASS","FAIL")</f>
        <v>PASS</v>
      </c>
      <c r="F5080" s="9" t="s">
        <v>76</v>
      </c>
      <c r="G5080" s="6"/>
      <c r="H5080" s="6"/>
      <c r="I5080" s="6"/>
      <c r="J5080" s="6"/>
      <c r="K5080" s="6"/>
      <c r="L5080" s="6"/>
      <c r="M5080" s="6"/>
      <c r="N5080" s="6"/>
      <c r="O5080" s="6"/>
      <c r="P5080" s="6"/>
      <c r="Q5080" s="6"/>
      <c r="R5080" s="6"/>
      <c r="S5080" s="6"/>
      <c r="T5080" s="6"/>
      <c r="U5080" s="6"/>
      <c r="V5080" s="6"/>
      <c r="W5080" s="6"/>
      <c r="X5080" s="6"/>
      <c r="Y5080" s="6"/>
      <c r="Z5080" s="6"/>
    </row>
    <row r="5081" customFormat="false" ht="15" hidden="false" customHeight="false" outlineLevel="0" collapsed="false">
      <c r="A5081" s="9" t="s">
        <v>10924</v>
      </c>
      <c r="B5081" s="9" t="s">
        <v>5870</v>
      </c>
      <c r="C5081" s="9" t="s">
        <v>5361</v>
      </c>
      <c r="D5081" s="9" t="s">
        <v>5871</v>
      </c>
      <c r="E5081" s="9" t="str">
        <f aca="false">IF(AND('Formation Ledger'!A5060&lt;&gt;"",'Formation Ledger'!V5060=0),"PASS","FAIL")</f>
        <v>PASS</v>
      </c>
      <c r="F5081" s="9" t="s">
        <v>76</v>
      </c>
      <c r="G5081" s="6"/>
      <c r="H5081" s="6"/>
      <c r="I5081" s="6"/>
      <c r="J5081" s="6"/>
      <c r="K5081" s="6"/>
      <c r="L5081" s="6"/>
      <c r="M5081" s="6"/>
      <c r="N5081" s="6"/>
      <c r="O5081" s="6"/>
      <c r="P5081" s="6"/>
      <c r="Q5081" s="6"/>
      <c r="R5081" s="6"/>
      <c r="S5081" s="6"/>
      <c r="T5081" s="6"/>
      <c r="U5081" s="6"/>
      <c r="V5081" s="6"/>
      <c r="W5081" s="6"/>
      <c r="X5081" s="6"/>
      <c r="Y5081" s="6"/>
      <c r="Z5081" s="6"/>
    </row>
    <row r="5082" customFormat="false" ht="15" hidden="false" customHeight="false" outlineLevel="0" collapsed="false">
      <c r="A5082" s="9" t="s">
        <v>10925</v>
      </c>
      <c r="B5082" s="9" t="s">
        <v>5870</v>
      </c>
      <c r="C5082" s="9" t="s">
        <v>5362</v>
      </c>
      <c r="D5082" s="9" t="s">
        <v>5871</v>
      </c>
      <c r="E5082" s="9" t="str">
        <f aca="false">IF(AND('Formation Ledger'!A5061&lt;&gt;"",'Formation Ledger'!V5061=0),"PASS","FAIL")</f>
        <v>PASS</v>
      </c>
      <c r="F5082" s="9" t="s">
        <v>76</v>
      </c>
      <c r="G5082" s="6"/>
      <c r="H5082" s="6"/>
      <c r="I5082" s="6"/>
      <c r="J5082" s="6"/>
      <c r="K5082" s="6"/>
      <c r="L5082" s="6"/>
      <c r="M5082" s="6"/>
      <c r="N5082" s="6"/>
      <c r="O5082" s="6"/>
      <c r="P5082" s="6"/>
      <c r="Q5082" s="6"/>
      <c r="R5082" s="6"/>
      <c r="S5082" s="6"/>
      <c r="T5082" s="6"/>
      <c r="U5082" s="6"/>
      <c r="V5082" s="6"/>
      <c r="W5082" s="6"/>
      <c r="X5082" s="6"/>
      <c r="Y5082" s="6"/>
      <c r="Z5082" s="6"/>
    </row>
    <row r="5083" customFormat="false" ht="15" hidden="false" customHeight="false" outlineLevel="0" collapsed="false">
      <c r="A5083" s="9" t="s">
        <v>10926</v>
      </c>
      <c r="B5083" s="9" t="s">
        <v>5870</v>
      </c>
      <c r="C5083" s="9" t="s">
        <v>5363</v>
      </c>
      <c r="D5083" s="9" t="s">
        <v>5871</v>
      </c>
      <c r="E5083" s="9" t="str">
        <f aca="false">IF(AND('Formation Ledger'!A5062&lt;&gt;"",'Formation Ledger'!V5062=0),"PASS","FAIL")</f>
        <v>PASS</v>
      </c>
      <c r="F5083" s="9" t="s">
        <v>76</v>
      </c>
      <c r="G5083" s="6"/>
      <c r="H5083" s="6"/>
      <c r="I5083" s="6"/>
      <c r="J5083" s="6"/>
      <c r="K5083" s="6"/>
      <c r="L5083" s="6"/>
      <c r="M5083" s="6"/>
      <c r="N5083" s="6"/>
      <c r="O5083" s="6"/>
      <c r="P5083" s="6"/>
      <c r="Q5083" s="6"/>
      <c r="R5083" s="6"/>
      <c r="S5083" s="6"/>
      <c r="T5083" s="6"/>
      <c r="U5083" s="6"/>
      <c r="V5083" s="6"/>
      <c r="W5083" s="6"/>
      <c r="X5083" s="6"/>
      <c r="Y5083" s="6"/>
      <c r="Z5083" s="6"/>
    </row>
    <row r="5084" customFormat="false" ht="15" hidden="false" customHeight="false" outlineLevel="0" collapsed="false">
      <c r="A5084" s="9" t="s">
        <v>10927</v>
      </c>
      <c r="B5084" s="9" t="s">
        <v>5870</v>
      </c>
      <c r="C5084" s="9" t="s">
        <v>5364</v>
      </c>
      <c r="D5084" s="9" t="s">
        <v>5871</v>
      </c>
      <c r="E5084" s="9" t="str">
        <f aca="false">IF(AND('Formation Ledger'!A5063&lt;&gt;"",'Formation Ledger'!V5063=0),"PASS","FAIL")</f>
        <v>PASS</v>
      </c>
      <c r="F5084" s="9" t="s">
        <v>76</v>
      </c>
      <c r="G5084" s="6"/>
      <c r="H5084" s="6"/>
      <c r="I5084" s="6"/>
      <c r="J5084" s="6"/>
      <c r="K5084" s="6"/>
      <c r="L5084" s="6"/>
      <c r="M5084" s="6"/>
      <c r="N5084" s="6"/>
      <c r="O5084" s="6"/>
      <c r="P5084" s="6"/>
      <c r="Q5084" s="6"/>
      <c r="R5084" s="6"/>
      <c r="S5084" s="6"/>
      <c r="T5084" s="6"/>
      <c r="U5084" s="6"/>
      <c r="V5084" s="6"/>
      <c r="W5084" s="6"/>
      <c r="X5084" s="6"/>
      <c r="Y5084" s="6"/>
      <c r="Z5084" s="6"/>
    </row>
    <row r="5085" customFormat="false" ht="15" hidden="false" customHeight="false" outlineLevel="0" collapsed="false">
      <c r="A5085" s="9" t="s">
        <v>10928</v>
      </c>
      <c r="B5085" s="9" t="s">
        <v>5870</v>
      </c>
      <c r="C5085" s="9" t="s">
        <v>5365</v>
      </c>
      <c r="D5085" s="9" t="s">
        <v>5871</v>
      </c>
      <c r="E5085" s="9" t="str">
        <f aca="false">IF(AND('Formation Ledger'!A5064&lt;&gt;"",'Formation Ledger'!V5064=0),"PASS","FAIL")</f>
        <v>PASS</v>
      </c>
      <c r="F5085" s="9" t="s">
        <v>76</v>
      </c>
      <c r="G5085" s="6"/>
      <c r="H5085" s="6"/>
      <c r="I5085" s="6"/>
      <c r="J5085" s="6"/>
      <c r="K5085" s="6"/>
      <c r="L5085" s="6"/>
      <c r="M5085" s="6"/>
      <c r="N5085" s="6"/>
      <c r="O5085" s="6"/>
      <c r="P5085" s="6"/>
      <c r="Q5085" s="6"/>
      <c r="R5085" s="6"/>
      <c r="S5085" s="6"/>
      <c r="T5085" s="6"/>
      <c r="U5085" s="6"/>
      <c r="V5085" s="6"/>
      <c r="W5085" s="6"/>
      <c r="X5085" s="6"/>
      <c r="Y5085" s="6"/>
      <c r="Z5085" s="6"/>
    </row>
    <row r="5086" customFormat="false" ht="15" hidden="false" customHeight="false" outlineLevel="0" collapsed="false">
      <c r="A5086" s="9" t="s">
        <v>10929</v>
      </c>
      <c r="B5086" s="9" t="s">
        <v>5870</v>
      </c>
      <c r="C5086" s="9" t="s">
        <v>5366</v>
      </c>
      <c r="D5086" s="9" t="s">
        <v>5871</v>
      </c>
      <c r="E5086" s="9" t="str">
        <f aca="false">IF(AND('Formation Ledger'!A5065&lt;&gt;"",'Formation Ledger'!V5065=0),"PASS","FAIL")</f>
        <v>PASS</v>
      </c>
      <c r="F5086" s="9" t="s">
        <v>76</v>
      </c>
      <c r="G5086" s="6"/>
      <c r="H5086" s="6"/>
      <c r="I5086" s="6"/>
      <c r="J5086" s="6"/>
      <c r="K5086" s="6"/>
      <c r="L5086" s="6"/>
      <c r="M5086" s="6"/>
      <c r="N5086" s="6"/>
      <c r="O5086" s="6"/>
      <c r="P5086" s="6"/>
      <c r="Q5086" s="6"/>
      <c r="R5086" s="6"/>
      <c r="S5086" s="6"/>
      <c r="T5086" s="6"/>
      <c r="U5086" s="6"/>
      <c r="V5086" s="6"/>
      <c r="W5086" s="6"/>
      <c r="X5086" s="6"/>
      <c r="Y5086" s="6"/>
      <c r="Z5086" s="6"/>
    </row>
    <row r="5087" customFormat="false" ht="15" hidden="false" customHeight="false" outlineLevel="0" collapsed="false">
      <c r="A5087" s="9" t="s">
        <v>10930</v>
      </c>
      <c r="B5087" s="9" t="s">
        <v>5870</v>
      </c>
      <c r="C5087" s="9" t="s">
        <v>5367</v>
      </c>
      <c r="D5087" s="9" t="s">
        <v>5871</v>
      </c>
      <c r="E5087" s="9" t="str">
        <f aca="false">IF(AND('Formation Ledger'!A5066&lt;&gt;"",'Formation Ledger'!V5066=0),"PASS","FAIL")</f>
        <v>PASS</v>
      </c>
      <c r="F5087" s="9" t="s">
        <v>76</v>
      </c>
      <c r="G5087" s="6"/>
      <c r="H5087" s="6"/>
      <c r="I5087" s="6"/>
      <c r="J5087" s="6"/>
      <c r="K5087" s="6"/>
      <c r="L5087" s="6"/>
      <c r="M5087" s="6"/>
      <c r="N5087" s="6"/>
      <c r="O5087" s="6"/>
      <c r="P5087" s="6"/>
      <c r="Q5087" s="6"/>
      <c r="R5087" s="6"/>
      <c r="S5087" s="6"/>
      <c r="T5087" s="6"/>
      <c r="U5087" s="6"/>
      <c r="V5087" s="6"/>
      <c r="W5087" s="6"/>
      <c r="X5087" s="6"/>
      <c r="Y5087" s="6"/>
      <c r="Z5087" s="6"/>
    </row>
    <row r="5088" customFormat="false" ht="15" hidden="false" customHeight="false" outlineLevel="0" collapsed="false">
      <c r="A5088" s="9" t="s">
        <v>10931</v>
      </c>
      <c r="B5088" s="9" t="s">
        <v>5870</v>
      </c>
      <c r="C5088" s="9" t="s">
        <v>5368</v>
      </c>
      <c r="D5088" s="9" t="s">
        <v>5871</v>
      </c>
      <c r="E5088" s="9" t="str">
        <f aca="false">IF(AND('Formation Ledger'!A5067&lt;&gt;"",'Formation Ledger'!V5067=0),"PASS","FAIL")</f>
        <v>PASS</v>
      </c>
      <c r="F5088" s="9" t="s">
        <v>76</v>
      </c>
      <c r="G5088" s="6"/>
      <c r="H5088" s="6"/>
      <c r="I5088" s="6"/>
      <c r="J5088" s="6"/>
      <c r="K5088" s="6"/>
      <c r="L5088" s="6"/>
      <c r="M5088" s="6"/>
      <c r="N5088" s="6"/>
      <c r="O5088" s="6"/>
      <c r="P5088" s="6"/>
      <c r="Q5088" s="6"/>
      <c r="R5088" s="6"/>
      <c r="S5088" s="6"/>
      <c r="T5088" s="6"/>
      <c r="U5088" s="6"/>
      <c r="V5088" s="6"/>
      <c r="W5088" s="6"/>
      <c r="X5088" s="6"/>
      <c r="Y5088" s="6"/>
      <c r="Z5088" s="6"/>
    </row>
    <row r="5089" customFormat="false" ht="15" hidden="false" customHeight="false" outlineLevel="0" collapsed="false">
      <c r="A5089" s="9" t="s">
        <v>10932</v>
      </c>
      <c r="B5089" s="9" t="s">
        <v>5870</v>
      </c>
      <c r="C5089" s="9" t="s">
        <v>5369</v>
      </c>
      <c r="D5089" s="9" t="s">
        <v>5871</v>
      </c>
      <c r="E5089" s="9" t="str">
        <f aca="false">IF(AND('Formation Ledger'!A5068&lt;&gt;"",'Formation Ledger'!V5068=0),"PASS","FAIL")</f>
        <v>PASS</v>
      </c>
      <c r="F5089" s="9" t="s">
        <v>76</v>
      </c>
      <c r="G5089" s="6"/>
      <c r="H5089" s="6"/>
      <c r="I5089" s="6"/>
      <c r="J5089" s="6"/>
      <c r="K5089" s="6"/>
      <c r="L5089" s="6"/>
      <c r="M5089" s="6"/>
      <c r="N5089" s="6"/>
      <c r="O5089" s="6"/>
      <c r="P5089" s="6"/>
      <c r="Q5089" s="6"/>
      <c r="R5089" s="6"/>
      <c r="S5089" s="6"/>
      <c r="T5089" s="6"/>
      <c r="U5089" s="6"/>
      <c r="V5089" s="6"/>
      <c r="W5089" s="6"/>
      <c r="X5089" s="6"/>
      <c r="Y5089" s="6"/>
      <c r="Z5089" s="6"/>
    </row>
    <row r="5090" customFormat="false" ht="15" hidden="false" customHeight="false" outlineLevel="0" collapsed="false">
      <c r="A5090" s="9" t="s">
        <v>10933</v>
      </c>
      <c r="B5090" s="9" t="s">
        <v>5870</v>
      </c>
      <c r="C5090" s="9" t="s">
        <v>5372</v>
      </c>
      <c r="D5090" s="9" t="s">
        <v>5871</v>
      </c>
      <c r="E5090" s="9" t="str">
        <f aca="false">IF(AND('Formation Ledger'!A5069&lt;&gt;"",'Formation Ledger'!V5069=0),"PASS","FAIL")</f>
        <v>PASS</v>
      </c>
      <c r="F5090" s="9" t="s">
        <v>76</v>
      </c>
      <c r="G5090" s="6"/>
      <c r="H5090" s="6"/>
      <c r="I5090" s="6"/>
      <c r="J5090" s="6"/>
      <c r="K5090" s="6"/>
      <c r="L5090" s="6"/>
      <c r="M5090" s="6"/>
      <c r="N5090" s="6"/>
      <c r="O5090" s="6"/>
      <c r="P5090" s="6"/>
      <c r="Q5090" s="6"/>
      <c r="R5090" s="6"/>
      <c r="S5090" s="6"/>
      <c r="T5090" s="6"/>
      <c r="U5090" s="6"/>
      <c r="V5090" s="6"/>
      <c r="W5090" s="6"/>
      <c r="X5090" s="6"/>
      <c r="Y5090" s="6"/>
      <c r="Z5090" s="6"/>
    </row>
    <row r="5091" customFormat="false" ht="15" hidden="false" customHeight="false" outlineLevel="0" collapsed="false">
      <c r="A5091" s="9" t="s">
        <v>10934</v>
      </c>
      <c r="B5091" s="9" t="s">
        <v>5870</v>
      </c>
      <c r="C5091" s="9" t="s">
        <v>5373</v>
      </c>
      <c r="D5091" s="9" t="s">
        <v>5871</v>
      </c>
      <c r="E5091" s="9" t="str">
        <f aca="false">IF(AND('Formation Ledger'!A5070&lt;&gt;"",'Formation Ledger'!V5070=0),"PASS","FAIL")</f>
        <v>PASS</v>
      </c>
      <c r="F5091" s="9" t="s">
        <v>76</v>
      </c>
      <c r="G5091" s="6"/>
      <c r="H5091" s="6"/>
      <c r="I5091" s="6"/>
      <c r="J5091" s="6"/>
      <c r="K5091" s="6"/>
      <c r="L5091" s="6"/>
      <c r="M5091" s="6"/>
      <c r="N5091" s="6"/>
      <c r="O5091" s="6"/>
      <c r="P5091" s="6"/>
      <c r="Q5091" s="6"/>
      <c r="R5091" s="6"/>
      <c r="S5091" s="6"/>
      <c r="T5091" s="6"/>
      <c r="U5091" s="6"/>
      <c r="V5091" s="6"/>
      <c r="W5091" s="6"/>
      <c r="X5091" s="6"/>
      <c r="Y5091" s="6"/>
      <c r="Z5091" s="6"/>
    </row>
    <row r="5092" customFormat="false" ht="15" hidden="false" customHeight="false" outlineLevel="0" collapsed="false">
      <c r="A5092" s="9" t="s">
        <v>10935</v>
      </c>
      <c r="B5092" s="9" t="s">
        <v>5870</v>
      </c>
      <c r="C5092" s="9" t="s">
        <v>5374</v>
      </c>
      <c r="D5092" s="9" t="s">
        <v>5871</v>
      </c>
      <c r="E5092" s="9" t="str">
        <f aca="false">IF(AND('Formation Ledger'!A5071&lt;&gt;"",'Formation Ledger'!V5071=0),"PASS","FAIL")</f>
        <v>PASS</v>
      </c>
      <c r="F5092" s="9" t="s">
        <v>76</v>
      </c>
      <c r="G5092" s="6"/>
      <c r="H5092" s="6"/>
      <c r="I5092" s="6"/>
      <c r="J5092" s="6"/>
      <c r="K5092" s="6"/>
      <c r="L5092" s="6"/>
      <c r="M5092" s="6"/>
      <c r="N5092" s="6"/>
      <c r="O5092" s="6"/>
      <c r="P5092" s="6"/>
      <c r="Q5092" s="6"/>
      <c r="R5092" s="6"/>
      <c r="S5092" s="6"/>
      <c r="T5092" s="6"/>
      <c r="U5092" s="6"/>
      <c r="V5092" s="6"/>
      <c r="W5092" s="6"/>
      <c r="X5092" s="6"/>
      <c r="Y5092" s="6"/>
      <c r="Z5092" s="6"/>
    </row>
    <row r="5093" customFormat="false" ht="15" hidden="false" customHeight="false" outlineLevel="0" collapsed="false">
      <c r="A5093" s="9" t="s">
        <v>10936</v>
      </c>
      <c r="B5093" s="9" t="s">
        <v>5870</v>
      </c>
      <c r="C5093" s="9" t="s">
        <v>5375</v>
      </c>
      <c r="D5093" s="9" t="s">
        <v>5871</v>
      </c>
      <c r="E5093" s="9" t="str">
        <f aca="false">IF(AND('Formation Ledger'!A5072&lt;&gt;"",'Formation Ledger'!V5072=0),"PASS","FAIL")</f>
        <v>PASS</v>
      </c>
      <c r="F5093" s="9" t="s">
        <v>76</v>
      </c>
      <c r="G5093" s="6"/>
      <c r="H5093" s="6"/>
      <c r="I5093" s="6"/>
      <c r="J5093" s="6"/>
      <c r="K5093" s="6"/>
      <c r="L5093" s="6"/>
      <c r="M5093" s="6"/>
      <c r="N5093" s="6"/>
      <c r="O5093" s="6"/>
      <c r="P5093" s="6"/>
      <c r="Q5093" s="6"/>
      <c r="R5093" s="6"/>
      <c r="S5093" s="6"/>
      <c r="T5093" s="6"/>
      <c r="U5093" s="6"/>
      <c r="V5093" s="6"/>
      <c r="W5093" s="6"/>
      <c r="X5093" s="6"/>
      <c r="Y5093" s="6"/>
      <c r="Z5093" s="6"/>
    </row>
    <row r="5094" customFormat="false" ht="15" hidden="false" customHeight="false" outlineLevel="0" collapsed="false">
      <c r="A5094" s="9" t="s">
        <v>10937</v>
      </c>
      <c r="B5094" s="9" t="s">
        <v>5870</v>
      </c>
      <c r="C5094" s="9" t="s">
        <v>5376</v>
      </c>
      <c r="D5094" s="9" t="s">
        <v>5871</v>
      </c>
      <c r="E5094" s="9" t="str">
        <f aca="false">IF(AND('Formation Ledger'!A5073&lt;&gt;"",'Formation Ledger'!V5073=0),"PASS","FAIL")</f>
        <v>PASS</v>
      </c>
      <c r="F5094" s="9" t="s">
        <v>76</v>
      </c>
      <c r="G5094" s="6"/>
      <c r="H5094" s="6"/>
      <c r="I5094" s="6"/>
      <c r="J5094" s="6"/>
      <c r="K5094" s="6"/>
      <c r="L5094" s="6"/>
      <c r="M5094" s="6"/>
      <c r="N5094" s="6"/>
      <c r="O5094" s="6"/>
      <c r="P5094" s="6"/>
      <c r="Q5094" s="6"/>
      <c r="R5094" s="6"/>
      <c r="S5094" s="6"/>
      <c r="T5094" s="6"/>
      <c r="U5094" s="6"/>
      <c r="V5094" s="6"/>
      <c r="W5094" s="6"/>
      <c r="X5094" s="6"/>
      <c r="Y5094" s="6"/>
      <c r="Z5094" s="6"/>
    </row>
    <row r="5095" customFormat="false" ht="15" hidden="false" customHeight="false" outlineLevel="0" collapsed="false">
      <c r="A5095" s="9" t="s">
        <v>10938</v>
      </c>
      <c r="B5095" s="9" t="s">
        <v>5870</v>
      </c>
      <c r="C5095" s="9" t="s">
        <v>5377</v>
      </c>
      <c r="D5095" s="9" t="s">
        <v>5871</v>
      </c>
      <c r="E5095" s="9" t="str">
        <f aca="false">IF(AND('Formation Ledger'!A5074&lt;&gt;"",'Formation Ledger'!V5074=0),"PASS","FAIL")</f>
        <v>PASS</v>
      </c>
      <c r="F5095" s="9" t="s">
        <v>76</v>
      </c>
      <c r="G5095" s="6"/>
      <c r="H5095" s="6"/>
      <c r="I5095" s="6"/>
      <c r="J5095" s="6"/>
      <c r="K5095" s="6"/>
      <c r="L5095" s="6"/>
      <c r="M5095" s="6"/>
      <c r="N5095" s="6"/>
      <c r="O5095" s="6"/>
      <c r="P5095" s="6"/>
      <c r="Q5095" s="6"/>
      <c r="R5095" s="6"/>
      <c r="S5095" s="6"/>
      <c r="T5095" s="6"/>
      <c r="U5095" s="6"/>
      <c r="V5095" s="6"/>
      <c r="W5095" s="6"/>
      <c r="X5095" s="6"/>
      <c r="Y5095" s="6"/>
      <c r="Z5095" s="6"/>
    </row>
    <row r="5096" customFormat="false" ht="15" hidden="false" customHeight="false" outlineLevel="0" collapsed="false">
      <c r="A5096" s="9" t="s">
        <v>10939</v>
      </c>
      <c r="B5096" s="9" t="s">
        <v>5870</v>
      </c>
      <c r="C5096" s="9" t="s">
        <v>5378</v>
      </c>
      <c r="D5096" s="9" t="s">
        <v>5871</v>
      </c>
      <c r="E5096" s="9" t="str">
        <f aca="false">IF(AND('Formation Ledger'!A5075&lt;&gt;"",'Formation Ledger'!V5075=0),"PASS","FAIL")</f>
        <v>PASS</v>
      </c>
      <c r="F5096" s="9" t="s">
        <v>76</v>
      </c>
      <c r="G5096" s="6"/>
      <c r="H5096" s="6"/>
      <c r="I5096" s="6"/>
      <c r="J5096" s="6"/>
      <c r="K5096" s="6"/>
      <c r="L5096" s="6"/>
      <c r="M5096" s="6"/>
      <c r="N5096" s="6"/>
      <c r="O5096" s="6"/>
      <c r="P5096" s="6"/>
      <c r="Q5096" s="6"/>
      <c r="R5096" s="6"/>
      <c r="S5096" s="6"/>
      <c r="T5096" s="6"/>
      <c r="U5096" s="6"/>
      <c r="V5096" s="6"/>
      <c r="W5096" s="6"/>
      <c r="X5096" s="6"/>
      <c r="Y5096" s="6"/>
      <c r="Z5096" s="6"/>
    </row>
    <row r="5097" customFormat="false" ht="15" hidden="false" customHeight="false" outlineLevel="0" collapsed="false">
      <c r="A5097" s="9" t="s">
        <v>10940</v>
      </c>
      <c r="B5097" s="9" t="s">
        <v>5870</v>
      </c>
      <c r="C5097" s="9" t="s">
        <v>5379</v>
      </c>
      <c r="D5097" s="9" t="s">
        <v>5871</v>
      </c>
      <c r="E5097" s="9" t="str">
        <f aca="false">IF(AND('Formation Ledger'!A5076&lt;&gt;"",'Formation Ledger'!V5076=0),"PASS","FAIL")</f>
        <v>PASS</v>
      </c>
      <c r="F5097" s="9" t="s">
        <v>76</v>
      </c>
      <c r="G5097" s="6"/>
      <c r="H5097" s="6"/>
      <c r="I5097" s="6"/>
      <c r="J5097" s="6"/>
      <c r="K5097" s="6"/>
      <c r="L5097" s="6"/>
      <c r="M5097" s="6"/>
      <c r="N5097" s="6"/>
      <c r="O5097" s="6"/>
      <c r="P5097" s="6"/>
      <c r="Q5097" s="6"/>
      <c r="R5097" s="6"/>
      <c r="S5097" s="6"/>
      <c r="T5097" s="6"/>
      <c r="U5097" s="6"/>
      <c r="V5097" s="6"/>
      <c r="W5097" s="6"/>
      <c r="X5097" s="6"/>
      <c r="Y5097" s="6"/>
      <c r="Z5097" s="6"/>
    </row>
    <row r="5098" customFormat="false" ht="15" hidden="false" customHeight="false" outlineLevel="0" collapsed="false">
      <c r="A5098" s="9" t="s">
        <v>10941</v>
      </c>
      <c r="B5098" s="9" t="s">
        <v>5870</v>
      </c>
      <c r="C5098" s="9" t="s">
        <v>5380</v>
      </c>
      <c r="D5098" s="9" t="s">
        <v>5871</v>
      </c>
      <c r="E5098" s="9" t="str">
        <f aca="false">IF(AND('Formation Ledger'!A5077&lt;&gt;"",'Formation Ledger'!V5077=0),"PASS","FAIL")</f>
        <v>PASS</v>
      </c>
      <c r="F5098" s="9" t="s">
        <v>76</v>
      </c>
      <c r="G5098" s="6"/>
      <c r="H5098" s="6"/>
      <c r="I5098" s="6"/>
      <c r="J5098" s="6"/>
      <c r="K5098" s="6"/>
      <c r="L5098" s="6"/>
      <c r="M5098" s="6"/>
      <c r="N5098" s="6"/>
      <c r="O5098" s="6"/>
      <c r="P5098" s="6"/>
      <c r="Q5098" s="6"/>
      <c r="R5098" s="6"/>
      <c r="S5098" s="6"/>
      <c r="T5098" s="6"/>
      <c r="U5098" s="6"/>
      <c r="V5098" s="6"/>
      <c r="W5098" s="6"/>
      <c r="X5098" s="6"/>
      <c r="Y5098" s="6"/>
      <c r="Z5098" s="6"/>
    </row>
    <row r="5099" customFormat="false" ht="15" hidden="false" customHeight="false" outlineLevel="0" collapsed="false">
      <c r="A5099" s="9" t="s">
        <v>10942</v>
      </c>
      <c r="B5099" s="9" t="s">
        <v>5870</v>
      </c>
      <c r="C5099" s="9" t="s">
        <v>5381</v>
      </c>
      <c r="D5099" s="9" t="s">
        <v>5871</v>
      </c>
      <c r="E5099" s="9" t="str">
        <f aca="false">IF(AND('Formation Ledger'!A5078&lt;&gt;"",'Formation Ledger'!V5078=0),"PASS","FAIL")</f>
        <v>PASS</v>
      </c>
      <c r="F5099" s="9" t="s">
        <v>76</v>
      </c>
      <c r="G5099" s="6"/>
      <c r="H5099" s="6"/>
      <c r="I5099" s="6"/>
      <c r="J5099" s="6"/>
      <c r="K5099" s="6"/>
      <c r="L5099" s="6"/>
      <c r="M5099" s="6"/>
      <c r="N5099" s="6"/>
      <c r="O5099" s="6"/>
      <c r="P5099" s="6"/>
      <c r="Q5099" s="6"/>
      <c r="R5099" s="6"/>
      <c r="S5099" s="6"/>
      <c r="T5099" s="6"/>
      <c r="U5099" s="6"/>
      <c r="V5099" s="6"/>
      <c r="W5099" s="6"/>
      <c r="X5099" s="6"/>
      <c r="Y5099" s="6"/>
      <c r="Z5099" s="6"/>
    </row>
    <row r="5100" customFormat="false" ht="15" hidden="false" customHeight="false" outlineLevel="0" collapsed="false">
      <c r="A5100" s="9" t="s">
        <v>10943</v>
      </c>
      <c r="B5100" s="9" t="s">
        <v>5870</v>
      </c>
      <c r="C5100" s="9" t="s">
        <v>5382</v>
      </c>
      <c r="D5100" s="9" t="s">
        <v>5871</v>
      </c>
      <c r="E5100" s="9" t="str">
        <f aca="false">IF(AND('Formation Ledger'!A5079&lt;&gt;"",'Formation Ledger'!V5079=0),"PASS","FAIL")</f>
        <v>PASS</v>
      </c>
      <c r="F5100" s="9" t="s">
        <v>76</v>
      </c>
      <c r="G5100" s="6"/>
      <c r="H5100" s="6"/>
      <c r="I5100" s="6"/>
      <c r="J5100" s="6"/>
      <c r="K5100" s="6"/>
      <c r="L5100" s="6"/>
      <c r="M5100" s="6"/>
      <c r="N5100" s="6"/>
      <c r="O5100" s="6"/>
      <c r="P5100" s="6"/>
      <c r="Q5100" s="6"/>
      <c r="R5100" s="6"/>
      <c r="S5100" s="6"/>
      <c r="T5100" s="6"/>
      <c r="U5100" s="6"/>
      <c r="V5100" s="6"/>
      <c r="W5100" s="6"/>
      <c r="X5100" s="6"/>
      <c r="Y5100" s="6"/>
      <c r="Z5100" s="6"/>
    </row>
    <row r="5101" customFormat="false" ht="15" hidden="false" customHeight="false" outlineLevel="0" collapsed="false">
      <c r="A5101" s="9" t="s">
        <v>10944</v>
      </c>
      <c r="B5101" s="9" t="s">
        <v>5870</v>
      </c>
      <c r="C5101" s="9" t="s">
        <v>5383</v>
      </c>
      <c r="D5101" s="9" t="s">
        <v>5871</v>
      </c>
      <c r="E5101" s="9" t="str">
        <f aca="false">IF(AND('Formation Ledger'!A5080&lt;&gt;"",'Formation Ledger'!V5080=0),"PASS","FAIL")</f>
        <v>PASS</v>
      </c>
      <c r="F5101" s="9" t="s">
        <v>76</v>
      </c>
      <c r="G5101" s="6"/>
      <c r="H5101" s="6"/>
      <c r="I5101" s="6"/>
      <c r="J5101" s="6"/>
      <c r="K5101" s="6"/>
      <c r="L5101" s="6"/>
      <c r="M5101" s="6"/>
      <c r="N5101" s="6"/>
      <c r="O5101" s="6"/>
      <c r="P5101" s="6"/>
      <c r="Q5101" s="6"/>
      <c r="R5101" s="6"/>
      <c r="S5101" s="6"/>
      <c r="T5101" s="6"/>
      <c r="U5101" s="6"/>
      <c r="V5101" s="6"/>
      <c r="W5101" s="6"/>
      <c r="X5101" s="6"/>
      <c r="Y5101" s="6"/>
      <c r="Z5101" s="6"/>
    </row>
    <row r="5102" customFormat="false" ht="15" hidden="false" customHeight="false" outlineLevel="0" collapsed="false">
      <c r="A5102" s="9" t="s">
        <v>10945</v>
      </c>
      <c r="B5102" s="9" t="s">
        <v>5870</v>
      </c>
      <c r="C5102" s="9" t="s">
        <v>5384</v>
      </c>
      <c r="D5102" s="9" t="s">
        <v>5871</v>
      </c>
      <c r="E5102" s="9" t="str">
        <f aca="false">IF(AND('Formation Ledger'!A5081&lt;&gt;"",'Formation Ledger'!V5081=0),"PASS","FAIL")</f>
        <v>PASS</v>
      </c>
      <c r="F5102" s="9" t="s">
        <v>76</v>
      </c>
      <c r="G5102" s="6"/>
      <c r="H5102" s="6"/>
      <c r="I5102" s="6"/>
      <c r="J5102" s="6"/>
      <c r="K5102" s="6"/>
      <c r="L5102" s="6"/>
      <c r="M5102" s="6"/>
      <c r="N5102" s="6"/>
      <c r="O5102" s="6"/>
      <c r="P5102" s="6"/>
      <c r="Q5102" s="6"/>
      <c r="R5102" s="6"/>
      <c r="S5102" s="6"/>
      <c r="T5102" s="6"/>
      <c r="U5102" s="6"/>
      <c r="V5102" s="6"/>
      <c r="W5102" s="6"/>
      <c r="X5102" s="6"/>
      <c r="Y5102" s="6"/>
      <c r="Z5102" s="6"/>
    </row>
    <row r="5103" customFormat="false" ht="15" hidden="false" customHeight="false" outlineLevel="0" collapsed="false">
      <c r="A5103" s="9" t="s">
        <v>10946</v>
      </c>
      <c r="B5103" s="9" t="s">
        <v>5870</v>
      </c>
      <c r="C5103" s="9" t="s">
        <v>5385</v>
      </c>
      <c r="D5103" s="9" t="s">
        <v>5871</v>
      </c>
      <c r="E5103" s="9" t="str">
        <f aca="false">IF(AND('Formation Ledger'!A5082&lt;&gt;"",'Formation Ledger'!V5082=0),"PASS","FAIL")</f>
        <v>PASS</v>
      </c>
      <c r="F5103" s="9" t="s">
        <v>76</v>
      </c>
      <c r="G5103" s="6"/>
      <c r="H5103" s="6"/>
      <c r="I5103" s="6"/>
      <c r="J5103" s="6"/>
      <c r="K5103" s="6"/>
      <c r="L5103" s="6"/>
      <c r="M5103" s="6"/>
      <c r="N5103" s="6"/>
      <c r="O5103" s="6"/>
      <c r="P5103" s="6"/>
      <c r="Q5103" s="6"/>
      <c r="R5103" s="6"/>
      <c r="S5103" s="6"/>
      <c r="T5103" s="6"/>
      <c r="U5103" s="6"/>
      <c r="V5103" s="6"/>
      <c r="W5103" s="6"/>
      <c r="X5103" s="6"/>
      <c r="Y5103" s="6"/>
      <c r="Z5103" s="6"/>
    </row>
    <row r="5104" customFormat="false" ht="15" hidden="false" customHeight="false" outlineLevel="0" collapsed="false">
      <c r="A5104" s="9" t="s">
        <v>10947</v>
      </c>
      <c r="B5104" s="9" t="s">
        <v>5870</v>
      </c>
      <c r="C5104" s="9" t="s">
        <v>5386</v>
      </c>
      <c r="D5104" s="9" t="s">
        <v>5871</v>
      </c>
      <c r="E5104" s="9" t="str">
        <f aca="false">IF(AND('Formation Ledger'!A5083&lt;&gt;"",'Formation Ledger'!V5083=0),"PASS","FAIL")</f>
        <v>PASS</v>
      </c>
      <c r="F5104" s="9" t="s">
        <v>76</v>
      </c>
      <c r="G5104" s="6"/>
      <c r="H5104" s="6"/>
      <c r="I5104" s="6"/>
      <c r="J5104" s="6"/>
      <c r="K5104" s="6"/>
      <c r="L5104" s="6"/>
      <c r="M5104" s="6"/>
      <c r="N5104" s="6"/>
      <c r="O5104" s="6"/>
      <c r="P5104" s="6"/>
      <c r="Q5104" s="6"/>
      <c r="R5104" s="6"/>
      <c r="S5104" s="6"/>
      <c r="T5104" s="6"/>
      <c r="U5104" s="6"/>
      <c r="V5104" s="6"/>
      <c r="W5104" s="6"/>
      <c r="X5104" s="6"/>
      <c r="Y5104" s="6"/>
      <c r="Z5104" s="6"/>
    </row>
    <row r="5105" customFormat="false" ht="15" hidden="false" customHeight="false" outlineLevel="0" collapsed="false">
      <c r="A5105" s="9" t="s">
        <v>10948</v>
      </c>
      <c r="B5105" s="9" t="s">
        <v>5870</v>
      </c>
      <c r="C5105" s="9" t="s">
        <v>5387</v>
      </c>
      <c r="D5105" s="9" t="s">
        <v>5871</v>
      </c>
      <c r="E5105" s="9" t="str">
        <f aca="false">IF(AND('Formation Ledger'!A5084&lt;&gt;"",'Formation Ledger'!V5084=0),"PASS","FAIL")</f>
        <v>PASS</v>
      </c>
      <c r="F5105" s="9" t="s">
        <v>76</v>
      </c>
      <c r="G5105" s="6"/>
      <c r="H5105" s="6"/>
      <c r="I5105" s="6"/>
      <c r="J5105" s="6"/>
      <c r="K5105" s="6"/>
      <c r="L5105" s="6"/>
      <c r="M5105" s="6"/>
      <c r="N5105" s="6"/>
      <c r="O5105" s="6"/>
      <c r="P5105" s="6"/>
      <c r="Q5105" s="6"/>
      <c r="R5105" s="6"/>
      <c r="S5105" s="6"/>
      <c r="T5105" s="6"/>
      <c r="U5105" s="6"/>
      <c r="V5105" s="6"/>
      <c r="W5105" s="6"/>
      <c r="X5105" s="6"/>
      <c r="Y5105" s="6"/>
      <c r="Z5105" s="6"/>
    </row>
    <row r="5106" customFormat="false" ht="15" hidden="false" customHeight="false" outlineLevel="0" collapsed="false">
      <c r="A5106" s="9" t="s">
        <v>10949</v>
      </c>
      <c r="B5106" s="9" t="s">
        <v>5870</v>
      </c>
      <c r="C5106" s="9" t="s">
        <v>5388</v>
      </c>
      <c r="D5106" s="9" t="s">
        <v>5871</v>
      </c>
      <c r="E5106" s="9" t="str">
        <f aca="false">IF(AND('Formation Ledger'!A5085&lt;&gt;"",'Formation Ledger'!V5085=0),"PASS","FAIL")</f>
        <v>PASS</v>
      </c>
      <c r="F5106" s="9" t="s">
        <v>76</v>
      </c>
      <c r="G5106" s="6"/>
      <c r="H5106" s="6"/>
      <c r="I5106" s="6"/>
      <c r="J5106" s="6"/>
      <c r="K5106" s="6"/>
      <c r="L5106" s="6"/>
      <c r="M5106" s="6"/>
      <c r="N5106" s="6"/>
      <c r="O5106" s="6"/>
      <c r="P5106" s="6"/>
      <c r="Q5106" s="6"/>
      <c r="R5106" s="6"/>
      <c r="S5106" s="6"/>
      <c r="T5106" s="6"/>
      <c r="U5106" s="6"/>
      <c r="V5106" s="6"/>
      <c r="W5106" s="6"/>
      <c r="X5106" s="6"/>
      <c r="Y5106" s="6"/>
      <c r="Z5106" s="6"/>
    </row>
    <row r="5107" customFormat="false" ht="15" hidden="false" customHeight="false" outlineLevel="0" collapsed="false">
      <c r="A5107" s="9" t="s">
        <v>10950</v>
      </c>
      <c r="B5107" s="9" t="s">
        <v>5870</v>
      </c>
      <c r="C5107" s="9" t="s">
        <v>5389</v>
      </c>
      <c r="D5107" s="9" t="s">
        <v>5871</v>
      </c>
      <c r="E5107" s="9" t="str">
        <f aca="false">IF(AND('Formation Ledger'!A5086&lt;&gt;"",'Formation Ledger'!V5086=0),"PASS","FAIL")</f>
        <v>PASS</v>
      </c>
      <c r="F5107" s="9" t="s">
        <v>76</v>
      </c>
      <c r="G5107" s="6"/>
      <c r="H5107" s="6"/>
      <c r="I5107" s="6"/>
      <c r="J5107" s="6"/>
      <c r="K5107" s="6"/>
      <c r="L5107" s="6"/>
      <c r="M5107" s="6"/>
      <c r="N5107" s="6"/>
      <c r="O5107" s="6"/>
      <c r="P5107" s="6"/>
      <c r="Q5107" s="6"/>
      <c r="R5107" s="6"/>
      <c r="S5107" s="6"/>
      <c r="T5107" s="6"/>
      <c r="U5107" s="6"/>
      <c r="V5107" s="6"/>
      <c r="W5107" s="6"/>
      <c r="X5107" s="6"/>
      <c r="Y5107" s="6"/>
      <c r="Z5107" s="6"/>
    </row>
    <row r="5108" customFormat="false" ht="15" hidden="false" customHeight="false" outlineLevel="0" collapsed="false">
      <c r="A5108" s="9" t="s">
        <v>10951</v>
      </c>
      <c r="B5108" s="9" t="s">
        <v>5870</v>
      </c>
      <c r="C5108" s="9" t="s">
        <v>5390</v>
      </c>
      <c r="D5108" s="9" t="s">
        <v>5871</v>
      </c>
      <c r="E5108" s="9" t="str">
        <f aca="false">IF(AND('Formation Ledger'!A5087&lt;&gt;"",'Formation Ledger'!V5087=0),"PASS","FAIL")</f>
        <v>PASS</v>
      </c>
      <c r="F5108" s="9" t="s">
        <v>76</v>
      </c>
      <c r="G5108" s="6"/>
      <c r="H5108" s="6"/>
      <c r="I5108" s="6"/>
      <c r="J5108" s="6"/>
      <c r="K5108" s="6"/>
      <c r="L5108" s="6"/>
      <c r="M5108" s="6"/>
      <c r="N5108" s="6"/>
      <c r="O5108" s="6"/>
      <c r="P5108" s="6"/>
      <c r="Q5108" s="6"/>
      <c r="R5108" s="6"/>
      <c r="S5108" s="6"/>
      <c r="T5108" s="6"/>
      <c r="U5108" s="6"/>
      <c r="V5108" s="6"/>
      <c r="W5108" s="6"/>
      <c r="X5108" s="6"/>
      <c r="Y5108" s="6"/>
      <c r="Z5108" s="6"/>
    </row>
    <row r="5109" customFormat="false" ht="15" hidden="false" customHeight="false" outlineLevel="0" collapsed="false">
      <c r="A5109" s="9" t="s">
        <v>10952</v>
      </c>
      <c r="B5109" s="9" t="s">
        <v>5870</v>
      </c>
      <c r="C5109" s="9" t="s">
        <v>5391</v>
      </c>
      <c r="D5109" s="9" t="s">
        <v>5871</v>
      </c>
      <c r="E5109" s="9" t="str">
        <f aca="false">IF(AND('Formation Ledger'!A5088&lt;&gt;"",'Formation Ledger'!V5088=0),"PASS","FAIL")</f>
        <v>PASS</v>
      </c>
      <c r="F5109" s="9" t="s">
        <v>76</v>
      </c>
      <c r="G5109" s="6"/>
      <c r="H5109" s="6"/>
      <c r="I5109" s="6"/>
      <c r="J5109" s="6"/>
      <c r="K5109" s="6"/>
      <c r="L5109" s="6"/>
      <c r="M5109" s="6"/>
      <c r="N5109" s="6"/>
      <c r="O5109" s="6"/>
      <c r="P5109" s="6"/>
      <c r="Q5109" s="6"/>
      <c r="R5109" s="6"/>
      <c r="S5109" s="6"/>
      <c r="T5109" s="6"/>
      <c r="U5109" s="6"/>
      <c r="V5109" s="6"/>
      <c r="W5109" s="6"/>
      <c r="X5109" s="6"/>
      <c r="Y5109" s="6"/>
      <c r="Z5109" s="6"/>
    </row>
    <row r="5110" customFormat="false" ht="15" hidden="false" customHeight="false" outlineLevel="0" collapsed="false">
      <c r="A5110" s="9" t="s">
        <v>10953</v>
      </c>
      <c r="B5110" s="9" t="s">
        <v>5870</v>
      </c>
      <c r="C5110" s="9" t="s">
        <v>5392</v>
      </c>
      <c r="D5110" s="9" t="s">
        <v>5871</v>
      </c>
      <c r="E5110" s="9" t="str">
        <f aca="false">IF(AND('Formation Ledger'!A5089&lt;&gt;"",'Formation Ledger'!V5089=0),"PASS","FAIL")</f>
        <v>PASS</v>
      </c>
      <c r="F5110" s="9" t="s">
        <v>76</v>
      </c>
      <c r="G5110" s="6"/>
      <c r="H5110" s="6"/>
      <c r="I5110" s="6"/>
      <c r="J5110" s="6"/>
      <c r="K5110" s="6"/>
      <c r="L5110" s="6"/>
      <c r="M5110" s="6"/>
      <c r="N5110" s="6"/>
      <c r="O5110" s="6"/>
      <c r="P5110" s="6"/>
      <c r="Q5110" s="6"/>
      <c r="R5110" s="6"/>
      <c r="S5110" s="6"/>
      <c r="T5110" s="6"/>
      <c r="U5110" s="6"/>
      <c r="V5110" s="6"/>
      <c r="W5110" s="6"/>
      <c r="X5110" s="6"/>
      <c r="Y5110" s="6"/>
      <c r="Z5110" s="6"/>
    </row>
    <row r="5111" customFormat="false" ht="15" hidden="false" customHeight="false" outlineLevel="0" collapsed="false">
      <c r="A5111" s="9" t="s">
        <v>10954</v>
      </c>
      <c r="B5111" s="9" t="s">
        <v>5870</v>
      </c>
      <c r="C5111" s="9" t="s">
        <v>5393</v>
      </c>
      <c r="D5111" s="9" t="s">
        <v>5871</v>
      </c>
      <c r="E5111" s="9" t="str">
        <f aca="false">IF(AND('Formation Ledger'!A5090&lt;&gt;"",'Formation Ledger'!V5090=0),"PASS","FAIL")</f>
        <v>PASS</v>
      </c>
      <c r="F5111" s="9" t="s">
        <v>76</v>
      </c>
      <c r="G5111" s="6"/>
      <c r="H5111" s="6"/>
      <c r="I5111" s="6"/>
      <c r="J5111" s="6"/>
      <c r="K5111" s="6"/>
      <c r="L5111" s="6"/>
      <c r="M5111" s="6"/>
      <c r="N5111" s="6"/>
      <c r="O5111" s="6"/>
      <c r="P5111" s="6"/>
      <c r="Q5111" s="6"/>
      <c r="R5111" s="6"/>
      <c r="S5111" s="6"/>
      <c r="T5111" s="6"/>
      <c r="U5111" s="6"/>
      <c r="V5111" s="6"/>
      <c r="W5111" s="6"/>
      <c r="X5111" s="6"/>
      <c r="Y5111" s="6"/>
      <c r="Z5111" s="6"/>
    </row>
    <row r="5112" customFormat="false" ht="15" hidden="false" customHeight="false" outlineLevel="0" collapsed="false">
      <c r="A5112" s="9" t="s">
        <v>10955</v>
      </c>
      <c r="B5112" s="9" t="s">
        <v>5870</v>
      </c>
      <c r="C5112" s="9" t="s">
        <v>5394</v>
      </c>
      <c r="D5112" s="9" t="s">
        <v>5871</v>
      </c>
      <c r="E5112" s="9" t="str">
        <f aca="false">IF(AND('Formation Ledger'!A5091&lt;&gt;"",'Formation Ledger'!V5091=0),"PASS","FAIL")</f>
        <v>PASS</v>
      </c>
      <c r="F5112" s="9" t="s">
        <v>76</v>
      </c>
      <c r="G5112" s="6"/>
      <c r="H5112" s="6"/>
      <c r="I5112" s="6"/>
      <c r="J5112" s="6"/>
      <c r="K5112" s="6"/>
      <c r="L5112" s="6"/>
      <c r="M5112" s="6"/>
      <c r="N5112" s="6"/>
      <c r="O5112" s="6"/>
      <c r="P5112" s="6"/>
      <c r="Q5112" s="6"/>
      <c r="R5112" s="6"/>
      <c r="S5112" s="6"/>
      <c r="T5112" s="6"/>
      <c r="U5112" s="6"/>
      <c r="V5112" s="6"/>
      <c r="W5112" s="6"/>
      <c r="X5112" s="6"/>
      <c r="Y5112" s="6"/>
      <c r="Z5112" s="6"/>
    </row>
    <row r="5113" customFormat="false" ht="15" hidden="false" customHeight="false" outlineLevel="0" collapsed="false">
      <c r="A5113" s="9" t="s">
        <v>10956</v>
      </c>
      <c r="B5113" s="9" t="s">
        <v>5870</v>
      </c>
      <c r="C5113" s="9" t="s">
        <v>5395</v>
      </c>
      <c r="D5113" s="9" t="s">
        <v>5871</v>
      </c>
      <c r="E5113" s="9" t="str">
        <f aca="false">IF(AND('Formation Ledger'!A5092&lt;&gt;"",'Formation Ledger'!V5092=0),"PASS","FAIL")</f>
        <v>PASS</v>
      </c>
      <c r="F5113" s="9" t="s">
        <v>76</v>
      </c>
      <c r="G5113" s="6"/>
      <c r="H5113" s="6"/>
      <c r="I5113" s="6"/>
      <c r="J5113" s="6"/>
      <c r="K5113" s="6"/>
      <c r="L5113" s="6"/>
      <c r="M5113" s="6"/>
      <c r="N5113" s="6"/>
      <c r="O5113" s="6"/>
      <c r="P5113" s="6"/>
      <c r="Q5113" s="6"/>
      <c r="R5113" s="6"/>
      <c r="S5113" s="6"/>
      <c r="T5113" s="6"/>
      <c r="U5113" s="6"/>
      <c r="V5113" s="6"/>
      <c r="W5113" s="6"/>
      <c r="X5113" s="6"/>
      <c r="Y5113" s="6"/>
      <c r="Z5113" s="6"/>
    </row>
    <row r="5114" customFormat="false" ht="15" hidden="false" customHeight="false" outlineLevel="0" collapsed="false">
      <c r="A5114" s="9" t="s">
        <v>10957</v>
      </c>
      <c r="B5114" s="9" t="s">
        <v>5870</v>
      </c>
      <c r="C5114" s="9" t="s">
        <v>5396</v>
      </c>
      <c r="D5114" s="9" t="s">
        <v>5871</v>
      </c>
      <c r="E5114" s="9" t="str">
        <f aca="false">IF(AND('Formation Ledger'!A5093&lt;&gt;"",'Formation Ledger'!V5093=0),"PASS","FAIL")</f>
        <v>PASS</v>
      </c>
      <c r="F5114" s="9" t="s">
        <v>76</v>
      </c>
      <c r="G5114" s="6"/>
      <c r="H5114" s="6"/>
      <c r="I5114" s="6"/>
      <c r="J5114" s="6"/>
      <c r="K5114" s="6"/>
      <c r="L5114" s="6"/>
      <c r="M5114" s="6"/>
      <c r="N5114" s="6"/>
      <c r="O5114" s="6"/>
      <c r="P5114" s="6"/>
      <c r="Q5114" s="6"/>
      <c r="R5114" s="6"/>
      <c r="S5114" s="6"/>
      <c r="T5114" s="6"/>
      <c r="U5114" s="6"/>
      <c r="V5114" s="6"/>
      <c r="W5114" s="6"/>
      <c r="X5114" s="6"/>
      <c r="Y5114" s="6"/>
      <c r="Z5114" s="6"/>
    </row>
    <row r="5115" customFormat="false" ht="15" hidden="false" customHeight="false" outlineLevel="0" collapsed="false">
      <c r="A5115" s="9" t="s">
        <v>10958</v>
      </c>
      <c r="B5115" s="9" t="s">
        <v>5870</v>
      </c>
      <c r="C5115" s="9" t="s">
        <v>5397</v>
      </c>
      <c r="D5115" s="9" t="s">
        <v>5871</v>
      </c>
      <c r="E5115" s="9" t="str">
        <f aca="false">IF(AND('Formation Ledger'!A5094&lt;&gt;"",'Formation Ledger'!V5094=0),"PASS","FAIL")</f>
        <v>PASS</v>
      </c>
      <c r="F5115" s="9" t="s">
        <v>76</v>
      </c>
      <c r="G5115" s="6"/>
      <c r="H5115" s="6"/>
      <c r="I5115" s="6"/>
      <c r="J5115" s="6"/>
      <c r="K5115" s="6"/>
      <c r="L5115" s="6"/>
      <c r="M5115" s="6"/>
      <c r="N5115" s="6"/>
      <c r="O5115" s="6"/>
      <c r="P5115" s="6"/>
      <c r="Q5115" s="6"/>
      <c r="R5115" s="6"/>
      <c r="S5115" s="6"/>
      <c r="T5115" s="6"/>
      <c r="U5115" s="6"/>
      <c r="V5115" s="6"/>
      <c r="W5115" s="6"/>
      <c r="X5115" s="6"/>
      <c r="Y5115" s="6"/>
      <c r="Z5115" s="6"/>
    </row>
    <row r="5116" customFormat="false" ht="15" hidden="false" customHeight="false" outlineLevel="0" collapsed="false">
      <c r="A5116" s="9" t="s">
        <v>10959</v>
      </c>
      <c r="B5116" s="9" t="s">
        <v>5870</v>
      </c>
      <c r="C5116" s="9" t="s">
        <v>5398</v>
      </c>
      <c r="D5116" s="9" t="s">
        <v>5871</v>
      </c>
      <c r="E5116" s="9" t="str">
        <f aca="false">IF(AND('Formation Ledger'!A5095&lt;&gt;"",'Formation Ledger'!V5095=0),"PASS","FAIL")</f>
        <v>PASS</v>
      </c>
      <c r="F5116" s="9" t="s">
        <v>76</v>
      </c>
      <c r="G5116" s="6"/>
      <c r="H5116" s="6"/>
      <c r="I5116" s="6"/>
      <c r="J5116" s="6"/>
      <c r="K5116" s="6"/>
      <c r="L5116" s="6"/>
      <c r="M5116" s="6"/>
      <c r="N5116" s="6"/>
      <c r="O5116" s="6"/>
      <c r="P5116" s="6"/>
      <c r="Q5116" s="6"/>
      <c r="R5116" s="6"/>
      <c r="S5116" s="6"/>
      <c r="T5116" s="6"/>
      <c r="U5116" s="6"/>
      <c r="V5116" s="6"/>
      <c r="W5116" s="6"/>
      <c r="X5116" s="6"/>
      <c r="Y5116" s="6"/>
      <c r="Z5116" s="6"/>
    </row>
    <row r="5117" customFormat="false" ht="15" hidden="false" customHeight="false" outlineLevel="0" collapsed="false">
      <c r="A5117" s="9" t="s">
        <v>10960</v>
      </c>
      <c r="B5117" s="9" t="s">
        <v>5870</v>
      </c>
      <c r="C5117" s="9" t="s">
        <v>5399</v>
      </c>
      <c r="D5117" s="9" t="s">
        <v>5871</v>
      </c>
      <c r="E5117" s="9" t="str">
        <f aca="false">IF(AND('Formation Ledger'!A5096&lt;&gt;"",'Formation Ledger'!V5096=0),"PASS","FAIL")</f>
        <v>PASS</v>
      </c>
      <c r="F5117" s="9" t="s">
        <v>76</v>
      </c>
      <c r="G5117" s="6"/>
      <c r="H5117" s="6"/>
      <c r="I5117" s="6"/>
      <c r="J5117" s="6"/>
      <c r="K5117" s="6"/>
      <c r="L5117" s="6"/>
      <c r="M5117" s="6"/>
      <c r="N5117" s="6"/>
      <c r="O5117" s="6"/>
      <c r="P5117" s="6"/>
      <c r="Q5117" s="6"/>
      <c r="R5117" s="6"/>
      <c r="S5117" s="6"/>
      <c r="T5117" s="6"/>
      <c r="U5117" s="6"/>
      <c r="V5117" s="6"/>
      <c r="W5117" s="6"/>
      <c r="X5117" s="6"/>
      <c r="Y5117" s="6"/>
      <c r="Z5117" s="6"/>
    </row>
    <row r="5118" customFormat="false" ht="15" hidden="false" customHeight="false" outlineLevel="0" collapsed="false">
      <c r="A5118" s="9" t="s">
        <v>10961</v>
      </c>
      <c r="B5118" s="9" t="s">
        <v>5870</v>
      </c>
      <c r="C5118" s="9" t="s">
        <v>5400</v>
      </c>
      <c r="D5118" s="9" t="s">
        <v>5871</v>
      </c>
      <c r="E5118" s="9" t="str">
        <f aca="false">IF(AND('Formation Ledger'!A5097&lt;&gt;"",'Formation Ledger'!V5097=0),"PASS","FAIL")</f>
        <v>PASS</v>
      </c>
      <c r="F5118" s="9" t="s">
        <v>76</v>
      </c>
      <c r="G5118" s="6"/>
      <c r="H5118" s="6"/>
      <c r="I5118" s="6"/>
      <c r="J5118" s="6"/>
      <c r="K5118" s="6"/>
      <c r="L5118" s="6"/>
      <c r="M5118" s="6"/>
      <c r="N5118" s="6"/>
      <c r="O5118" s="6"/>
      <c r="P5118" s="6"/>
      <c r="Q5118" s="6"/>
      <c r="R5118" s="6"/>
      <c r="S5118" s="6"/>
      <c r="T5118" s="6"/>
      <c r="U5118" s="6"/>
      <c r="V5118" s="6"/>
      <c r="W5118" s="6"/>
      <c r="X5118" s="6"/>
      <c r="Y5118" s="6"/>
      <c r="Z5118" s="6"/>
    </row>
    <row r="5119" customFormat="false" ht="15" hidden="false" customHeight="false" outlineLevel="0" collapsed="false">
      <c r="A5119" s="9" t="s">
        <v>10962</v>
      </c>
      <c r="B5119" s="9" t="s">
        <v>5870</v>
      </c>
      <c r="C5119" s="9" t="s">
        <v>5401</v>
      </c>
      <c r="D5119" s="9" t="s">
        <v>5871</v>
      </c>
      <c r="E5119" s="9" t="str">
        <f aca="false">IF(AND('Formation Ledger'!A5098&lt;&gt;"",'Formation Ledger'!V5098=0),"PASS","FAIL")</f>
        <v>PASS</v>
      </c>
      <c r="F5119" s="9" t="s">
        <v>76</v>
      </c>
      <c r="G5119" s="6"/>
      <c r="H5119" s="6"/>
      <c r="I5119" s="6"/>
      <c r="J5119" s="6"/>
      <c r="K5119" s="6"/>
      <c r="L5119" s="6"/>
      <c r="M5119" s="6"/>
      <c r="N5119" s="6"/>
      <c r="O5119" s="6"/>
      <c r="P5119" s="6"/>
      <c r="Q5119" s="6"/>
      <c r="R5119" s="6"/>
      <c r="S5119" s="6"/>
      <c r="T5119" s="6"/>
      <c r="U5119" s="6"/>
      <c r="V5119" s="6"/>
      <c r="W5119" s="6"/>
      <c r="X5119" s="6"/>
      <c r="Y5119" s="6"/>
      <c r="Z5119" s="6"/>
    </row>
    <row r="5120" customFormat="false" ht="15" hidden="false" customHeight="false" outlineLevel="0" collapsed="false">
      <c r="A5120" s="9" t="s">
        <v>10963</v>
      </c>
      <c r="B5120" s="9" t="s">
        <v>5870</v>
      </c>
      <c r="C5120" s="9" t="s">
        <v>5402</v>
      </c>
      <c r="D5120" s="9" t="s">
        <v>5871</v>
      </c>
      <c r="E5120" s="9" t="str">
        <f aca="false">IF(AND('Formation Ledger'!A5099&lt;&gt;"",'Formation Ledger'!V5099=0),"PASS","FAIL")</f>
        <v>PASS</v>
      </c>
      <c r="F5120" s="9" t="s">
        <v>76</v>
      </c>
      <c r="G5120" s="6"/>
      <c r="H5120" s="6"/>
      <c r="I5120" s="6"/>
      <c r="J5120" s="6"/>
      <c r="K5120" s="6"/>
      <c r="L5120" s="6"/>
      <c r="M5120" s="6"/>
      <c r="N5120" s="6"/>
      <c r="O5120" s="6"/>
      <c r="P5120" s="6"/>
      <c r="Q5120" s="6"/>
      <c r="R5120" s="6"/>
      <c r="S5120" s="6"/>
      <c r="T5120" s="6"/>
      <c r="U5120" s="6"/>
      <c r="V5120" s="6"/>
      <c r="W5120" s="6"/>
      <c r="X5120" s="6"/>
      <c r="Y5120" s="6"/>
      <c r="Z5120" s="6"/>
    </row>
    <row r="5121" customFormat="false" ht="15" hidden="false" customHeight="false" outlineLevel="0" collapsed="false">
      <c r="A5121" s="9" t="s">
        <v>10964</v>
      </c>
      <c r="B5121" s="9" t="s">
        <v>5870</v>
      </c>
      <c r="C5121" s="9" t="s">
        <v>5403</v>
      </c>
      <c r="D5121" s="9" t="s">
        <v>5871</v>
      </c>
      <c r="E5121" s="9" t="str">
        <f aca="false">IF(AND('Formation Ledger'!A5100&lt;&gt;"",'Formation Ledger'!V5100=0),"PASS","FAIL")</f>
        <v>PASS</v>
      </c>
      <c r="F5121" s="9" t="s">
        <v>76</v>
      </c>
      <c r="G5121" s="6"/>
      <c r="H5121" s="6"/>
      <c r="I5121" s="6"/>
      <c r="J5121" s="6"/>
      <c r="K5121" s="6"/>
      <c r="L5121" s="6"/>
      <c r="M5121" s="6"/>
      <c r="N5121" s="6"/>
      <c r="O5121" s="6"/>
      <c r="P5121" s="6"/>
      <c r="Q5121" s="6"/>
      <c r="R5121" s="6"/>
      <c r="S5121" s="6"/>
      <c r="T5121" s="6"/>
      <c r="U5121" s="6"/>
      <c r="V5121" s="6"/>
      <c r="W5121" s="6"/>
      <c r="X5121" s="6"/>
      <c r="Y5121" s="6"/>
      <c r="Z5121" s="6"/>
    </row>
    <row r="5122" customFormat="false" ht="15" hidden="false" customHeight="false" outlineLevel="0" collapsed="false">
      <c r="A5122" s="9" t="s">
        <v>10965</v>
      </c>
      <c r="B5122" s="9" t="s">
        <v>5870</v>
      </c>
      <c r="C5122" s="9" t="s">
        <v>5404</v>
      </c>
      <c r="D5122" s="9" t="s">
        <v>5871</v>
      </c>
      <c r="E5122" s="9" t="str">
        <f aca="false">IF(AND('Formation Ledger'!A5101&lt;&gt;"",'Formation Ledger'!V5101=0),"PASS","FAIL")</f>
        <v>PASS</v>
      </c>
      <c r="F5122" s="9" t="s">
        <v>76</v>
      </c>
      <c r="G5122" s="6"/>
      <c r="H5122" s="6"/>
      <c r="I5122" s="6"/>
      <c r="J5122" s="6"/>
      <c r="K5122" s="6"/>
      <c r="L5122" s="6"/>
      <c r="M5122" s="6"/>
      <c r="N5122" s="6"/>
      <c r="O5122" s="6"/>
      <c r="P5122" s="6"/>
      <c r="Q5122" s="6"/>
      <c r="R5122" s="6"/>
      <c r="S5122" s="6"/>
      <c r="T5122" s="6"/>
      <c r="U5122" s="6"/>
      <c r="V5122" s="6"/>
      <c r="W5122" s="6"/>
      <c r="X5122" s="6"/>
      <c r="Y5122" s="6"/>
      <c r="Z5122" s="6"/>
    </row>
    <row r="5123" customFormat="false" ht="15" hidden="false" customHeight="false" outlineLevel="0" collapsed="false">
      <c r="A5123" s="9" t="s">
        <v>10966</v>
      </c>
      <c r="B5123" s="9" t="s">
        <v>5870</v>
      </c>
      <c r="C5123" s="9" t="s">
        <v>5405</v>
      </c>
      <c r="D5123" s="9" t="s">
        <v>5871</v>
      </c>
      <c r="E5123" s="9" t="str">
        <f aca="false">IF(AND('Formation Ledger'!A5102&lt;&gt;"",'Formation Ledger'!V5102=0),"PASS","FAIL")</f>
        <v>PASS</v>
      </c>
      <c r="F5123" s="9" t="s">
        <v>76</v>
      </c>
      <c r="G5123" s="6"/>
      <c r="H5123" s="6"/>
      <c r="I5123" s="6"/>
      <c r="J5123" s="6"/>
      <c r="K5123" s="6"/>
      <c r="L5123" s="6"/>
      <c r="M5123" s="6"/>
      <c r="N5123" s="6"/>
      <c r="O5123" s="6"/>
      <c r="P5123" s="6"/>
      <c r="Q5123" s="6"/>
      <c r="R5123" s="6"/>
      <c r="S5123" s="6"/>
      <c r="T5123" s="6"/>
      <c r="U5123" s="6"/>
      <c r="V5123" s="6"/>
      <c r="W5123" s="6"/>
      <c r="X5123" s="6"/>
      <c r="Y5123" s="6"/>
      <c r="Z5123" s="6"/>
    </row>
    <row r="5124" customFormat="false" ht="15" hidden="false" customHeight="false" outlineLevel="0" collapsed="false">
      <c r="A5124" s="9" t="s">
        <v>10967</v>
      </c>
      <c r="B5124" s="9" t="s">
        <v>5870</v>
      </c>
      <c r="C5124" s="9" t="s">
        <v>5406</v>
      </c>
      <c r="D5124" s="9" t="s">
        <v>5871</v>
      </c>
      <c r="E5124" s="9" t="str">
        <f aca="false">IF(AND('Formation Ledger'!A5103&lt;&gt;"",'Formation Ledger'!V5103=0),"PASS","FAIL")</f>
        <v>PASS</v>
      </c>
      <c r="F5124" s="9" t="s">
        <v>76</v>
      </c>
      <c r="G5124" s="6"/>
      <c r="H5124" s="6"/>
      <c r="I5124" s="6"/>
      <c r="J5124" s="6"/>
      <c r="K5124" s="6"/>
      <c r="L5124" s="6"/>
      <c r="M5124" s="6"/>
      <c r="N5124" s="6"/>
      <c r="O5124" s="6"/>
      <c r="P5124" s="6"/>
      <c r="Q5124" s="6"/>
      <c r="R5124" s="6"/>
      <c r="S5124" s="6"/>
      <c r="T5124" s="6"/>
      <c r="U5124" s="6"/>
      <c r="V5124" s="6"/>
      <c r="W5124" s="6"/>
      <c r="X5124" s="6"/>
      <c r="Y5124" s="6"/>
      <c r="Z5124" s="6"/>
    </row>
    <row r="5125" customFormat="false" ht="15" hidden="false" customHeight="false" outlineLevel="0" collapsed="false">
      <c r="A5125" s="9" t="s">
        <v>10968</v>
      </c>
      <c r="B5125" s="9" t="s">
        <v>5870</v>
      </c>
      <c r="C5125" s="9" t="s">
        <v>5407</v>
      </c>
      <c r="D5125" s="9" t="s">
        <v>5871</v>
      </c>
      <c r="E5125" s="9" t="str">
        <f aca="false">IF(AND('Formation Ledger'!A5104&lt;&gt;"",'Formation Ledger'!V5104=0),"PASS","FAIL")</f>
        <v>PASS</v>
      </c>
      <c r="F5125" s="9" t="s">
        <v>76</v>
      </c>
      <c r="G5125" s="6"/>
      <c r="H5125" s="6"/>
      <c r="I5125" s="6"/>
      <c r="J5125" s="6"/>
      <c r="K5125" s="6"/>
      <c r="L5125" s="6"/>
      <c r="M5125" s="6"/>
      <c r="N5125" s="6"/>
      <c r="O5125" s="6"/>
      <c r="P5125" s="6"/>
      <c r="Q5125" s="6"/>
      <c r="R5125" s="6"/>
      <c r="S5125" s="6"/>
      <c r="T5125" s="6"/>
      <c r="U5125" s="6"/>
      <c r="V5125" s="6"/>
      <c r="W5125" s="6"/>
      <c r="X5125" s="6"/>
      <c r="Y5125" s="6"/>
      <c r="Z5125" s="6"/>
    </row>
    <row r="5126" customFormat="false" ht="15" hidden="false" customHeight="false" outlineLevel="0" collapsed="false">
      <c r="A5126" s="9" t="s">
        <v>10969</v>
      </c>
      <c r="B5126" s="9" t="s">
        <v>5870</v>
      </c>
      <c r="C5126" s="9" t="s">
        <v>5408</v>
      </c>
      <c r="D5126" s="9" t="s">
        <v>5871</v>
      </c>
      <c r="E5126" s="9" t="str">
        <f aca="false">IF(AND('Formation Ledger'!A5105&lt;&gt;"",'Formation Ledger'!V5105=0),"PASS","FAIL")</f>
        <v>PASS</v>
      </c>
      <c r="F5126" s="9" t="s">
        <v>76</v>
      </c>
      <c r="G5126" s="6"/>
      <c r="H5126" s="6"/>
      <c r="I5126" s="6"/>
      <c r="J5126" s="6"/>
      <c r="K5126" s="6"/>
      <c r="L5126" s="6"/>
      <c r="M5126" s="6"/>
      <c r="N5126" s="6"/>
      <c r="O5126" s="6"/>
      <c r="P5126" s="6"/>
      <c r="Q5126" s="6"/>
      <c r="R5126" s="6"/>
      <c r="S5126" s="6"/>
      <c r="T5126" s="6"/>
      <c r="U5126" s="6"/>
      <c r="V5126" s="6"/>
      <c r="W5126" s="6"/>
      <c r="X5126" s="6"/>
      <c r="Y5126" s="6"/>
      <c r="Z5126" s="6"/>
    </row>
    <row r="5127" customFormat="false" ht="15" hidden="false" customHeight="false" outlineLevel="0" collapsed="false">
      <c r="A5127" s="9" t="s">
        <v>10970</v>
      </c>
      <c r="B5127" s="9" t="s">
        <v>5870</v>
      </c>
      <c r="C5127" s="9" t="s">
        <v>5409</v>
      </c>
      <c r="D5127" s="9" t="s">
        <v>5871</v>
      </c>
      <c r="E5127" s="9" t="str">
        <f aca="false">IF(AND('Formation Ledger'!A5106&lt;&gt;"",'Formation Ledger'!V5106=0),"PASS","FAIL")</f>
        <v>PASS</v>
      </c>
      <c r="F5127" s="9" t="s">
        <v>76</v>
      </c>
      <c r="G5127" s="6"/>
      <c r="H5127" s="6"/>
      <c r="I5127" s="6"/>
      <c r="J5127" s="6"/>
      <c r="K5127" s="6"/>
      <c r="L5127" s="6"/>
      <c r="M5127" s="6"/>
      <c r="N5127" s="6"/>
      <c r="O5127" s="6"/>
      <c r="P5127" s="6"/>
      <c r="Q5127" s="6"/>
      <c r="R5127" s="6"/>
      <c r="S5127" s="6"/>
      <c r="T5127" s="6"/>
      <c r="U5127" s="6"/>
      <c r="V5127" s="6"/>
      <c r="W5127" s="6"/>
      <c r="X5127" s="6"/>
      <c r="Y5127" s="6"/>
      <c r="Z5127" s="6"/>
    </row>
    <row r="5128" customFormat="false" ht="15" hidden="false" customHeight="false" outlineLevel="0" collapsed="false">
      <c r="A5128" s="9" t="s">
        <v>10971</v>
      </c>
      <c r="B5128" s="9" t="s">
        <v>5870</v>
      </c>
      <c r="C5128" s="9" t="s">
        <v>5410</v>
      </c>
      <c r="D5128" s="9" t="s">
        <v>5871</v>
      </c>
      <c r="E5128" s="9" t="str">
        <f aca="false">IF(AND('Formation Ledger'!A5107&lt;&gt;"",'Formation Ledger'!V5107=0),"PASS","FAIL")</f>
        <v>PASS</v>
      </c>
      <c r="F5128" s="9" t="s">
        <v>76</v>
      </c>
      <c r="G5128" s="6"/>
      <c r="H5128" s="6"/>
      <c r="I5128" s="6"/>
      <c r="J5128" s="6"/>
      <c r="K5128" s="6"/>
      <c r="L5128" s="6"/>
      <c r="M5128" s="6"/>
      <c r="N5128" s="6"/>
      <c r="O5128" s="6"/>
      <c r="P5128" s="6"/>
      <c r="Q5128" s="6"/>
      <c r="R5128" s="6"/>
      <c r="S5128" s="6"/>
      <c r="T5128" s="6"/>
      <c r="U5128" s="6"/>
      <c r="V5128" s="6"/>
      <c r="W5128" s="6"/>
      <c r="X5128" s="6"/>
      <c r="Y5128" s="6"/>
      <c r="Z5128" s="6"/>
    </row>
    <row r="5129" customFormat="false" ht="15" hidden="false" customHeight="false" outlineLevel="0" collapsed="false">
      <c r="A5129" s="9" t="s">
        <v>10972</v>
      </c>
      <c r="B5129" s="9" t="s">
        <v>5870</v>
      </c>
      <c r="C5129" s="9" t="s">
        <v>5411</v>
      </c>
      <c r="D5129" s="9" t="s">
        <v>5871</v>
      </c>
      <c r="E5129" s="9" t="str">
        <f aca="false">IF(AND('Formation Ledger'!A5108&lt;&gt;"",'Formation Ledger'!V5108=0),"PASS","FAIL")</f>
        <v>PASS</v>
      </c>
      <c r="F5129" s="9" t="s">
        <v>76</v>
      </c>
      <c r="G5129" s="6"/>
      <c r="H5129" s="6"/>
      <c r="I5129" s="6"/>
      <c r="J5129" s="6"/>
      <c r="K5129" s="6"/>
      <c r="L5129" s="6"/>
      <c r="M5129" s="6"/>
      <c r="N5129" s="6"/>
      <c r="O5129" s="6"/>
      <c r="P5129" s="6"/>
      <c r="Q5129" s="6"/>
      <c r="R5129" s="6"/>
      <c r="S5129" s="6"/>
      <c r="T5129" s="6"/>
      <c r="U5129" s="6"/>
      <c r="V5129" s="6"/>
      <c r="W5129" s="6"/>
      <c r="X5129" s="6"/>
      <c r="Y5129" s="6"/>
      <c r="Z5129" s="6"/>
    </row>
    <row r="5130" customFormat="false" ht="15" hidden="false" customHeight="false" outlineLevel="0" collapsed="false">
      <c r="A5130" s="9" t="s">
        <v>10973</v>
      </c>
      <c r="B5130" s="9" t="s">
        <v>5870</v>
      </c>
      <c r="C5130" s="9" t="s">
        <v>5412</v>
      </c>
      <c r="D5130" s="9" t="s">
        <v>5871</v>
      </c>
      <c r="E5130" s="9" t="str">
        <f aca="false">IF(AND('Formation Ledger'!A5109&lt;&gt;"",'Formation Ledger'!V5109=0),"PASS","FAIL")</f>
        <v>PASS</v>
      </c>
      <c r="F5130" s="9" t="s">
        <v>76</v>
      </c>
      <c r="G5130" s="6"/>
      <c r="H5130" s="6"/>
      <c r="I5130" s="6"/>
      <c r="J5130" s="6"/>
      <c r="K5130" s="6"/>
      <c r="L5130" s="6"/>
      <c r="M5130" s="6"/>
      <c r="N5130" s="6"/>
      <c r="O5130" s="6"/>
      <c r="P5130" s="6"/>
      <c r="Q5130" s="6"/>
      <c r="R5130" s="6"/>
      <c r="S5130" s="6"/>
      <c r="T5130" s="6"/>
      <c r="U5130" s="6"/>
      <c r="V5130" s="6"/>
      <c r="W5130" s="6"/>
      <c r="X5130" s="6"/>
      <c r="Y5130" s="6"/>
      <c r="Z5130" s="6"/>
    </row>
    <row r="5131" customFormat="false" ht="15" hidden="false" customHeight="false" outlineLevel="0" collapsed="false">
      <c r="A5131" s="9" t="s">
        <v>10974</v>
      </c>
      <c r="B5131" s="9" t="s">
        <v>5870</v>
      </c>
      <c r="C5131" s="9" t="s">
        <v>5413</v>
      </c>
      <c r="D5131" s="9" t="s">
        <v>5871</v>
      </c>
      <c r="E5131" s="9" t="str">
        <f aca="false">IF(AND('Formation Ledger'!A5110&lt;&gt;"",'Formation Ledger'!V5110=0),"PASS","FAIL")</f>
        <v>PASS</v>
      </c>
      <c r="F5131" s="9" t="s">
        <v>76</v>
      </c>
      <c r="G5131" s="6"/>
      <c r="H5131" s="6"/>
      <c r="I5131" s="6"/>
      <c r="J5131" s="6"/>
      <c r="K5131" s="6"/>
      <c r="L5131" s="6"/>
      <c r="M5131" s="6"/>
      <c r="N5131" s="6"/>
      <c r="O5131" s="6"/>
      <c r="P5131" s="6"/>
      <c r="Q5131" s="6"/>
      <c r="R5131" s="6"/>
      <c r="S5131" s="6"/>
      <c r="T5131" s="6"/>
      <c r="U5131" s="6"/>
      <c r="V5131" s="6"/>
      <c r="W5131" s="6"/>
      <c r="X5131" s="6"/>
      <c r="Y5131" s="6"/>
      <c r="Z5131" s="6"/>
    </row>
    <row r="5132" customFormat="false" ht="15" hidden="false" customHeight="false" outlineLevel="0" collapsed="false">
      <c r="A5132" s="9" t="s">
        <v>10975</v>
      </c>
      <c r="B5132" s="9" t="s">
        <v>5870</v>
      </c>
      <c r="C5132" s="9" t="s">
        <v>5414</v>
      </c>
      <c r="D5132" s="9" t="s">
        <v>5871</v>
      </c>
      <c r="E5132" s="9" t="str">
        <f aca="false">IF(AND('Formation Ledger'!A5111&lt;&gt;"",'Formation Ledger'!V5111=0),"PASS","FAIL")</f>
        <v>PASS</v>
      </c>
      <c r="F5132" s="9" t="s">
        <v>76</v>
      </c>
      <c r="G5132" s="6"/>
      <c r="H5132" s="6"/>
      <c r="I5132" s="6"/>
      <c r="J5132" s="6"/>
      <c r="K5132" s="6"/>
      <c r="L5132" s="6"/>
      <c r="M5132" s="6"/>
      <c r="N5132" s="6"/>
      <c r="O5132" s="6"/>
      <c r="P5132" s="6"/>
      <c r="Q5132" s="6"/>
      <c r="R5132" s="6"/>
      <c r="S5132" s="6"/>
      <c r="T5132" s="6"/>
      <c r="U5132" s="6"/>
      <c r="V5132" s="6"/>
      <c r="W5132" s="6"/>
      <c r="X5132" s="6"/>
      <c r="Y5132" s="6"/>
      <c r="Z5132" s="6"/>
    </row>
    <row r="5133" customFormat="false" ht="15" hidden="false" customHeight="false" outlineLevel="0" collapsed="false">
      <c r="A5133" s="9" t="s">
        <v>10976</v>
      </c>
      <c r="B5133" s="9" t="s">
        <v>5870</v>
      </c>
      <c r="C5133" s="9" t="s">
        <v>5415</v>
      </c>
      <c r="D5133" s="9" t="s">
        <v>5871</v>
      </c>
      <c r="E5133" s="9" t="str">
        <f aca="false">IF(AND('Formation Ledger'!A5112&lt;&gt;"",'Formation Ledger'!V5112=0),"PASS","FAIL")</f>
        <v>PASS</v>
      </c>
      <c r="F5133" s="9" t="s">
        <v>76</v>
      </c>
      <c r="G5133" s="6"/>
      <c r="H5133" s="6"/>
      <c r="I5133" s="6"/>
      <c r="J5133" s="6"/>
      <c r="K5133" s="6"/>
      <c r="L5133" s="6"/>
      <c r="M5133" s="6"/>
      <c r="N5133" s="6"/>
      <c r="O5133" s="6"/>
      <c r="P5133" s="6"/>
      <c r="Q5133" s="6"/>
      <c r="R5133" s="6"/>
      <c r="S5133" s="6"/>
      <c r="T5133" s="6"/>
      <c r="U5133" s="6"/>
      <c r="V5133" s="6"/>
      <c r="W5133" s="6"/>
      <c r="X5133" s="6"/>
      <c r="Y5133" s="6"/>
      <c r="Z5133" s="6"/>
    </row>
    <row r="5134" customFormat="false" ht="15" hidden="false" customHeight="false" outlineLevel="0" collapsed="false">
      <c r="A5134" s="9" t="s">
        <v>10977</v>
      </c>
      <c r="B5134" s="9" t="s">
        <v>5870</v>
      </c>
      <c r="C5134" s="9" t="s">
        <v>5416</v>
      </c>
      <c r="D5134" s="9" t="s">
        <v>5871</v>
      </c>
      <c r="E5134" s="9" t="str">
        <f aca="false">IF(AND('Formation Ledger'!A5113&lt;&gt;"",'Formation Ledger'!V5113=0),"PASS","FAIL")</f>
        <v>PASS</v>
      </c>
      <c r="F5134" s="9" t="s">
        <v>76</v>
      </c>
      <c r="G5134" s="6"/>
      <c r="H5134" s="6"/>
      <c r="I5134" s="6"/>
      <c r="J5134" s="6"/>
      <c r="K5134" s="6"/>
      <c r="L5134" s="6"/>
      <c r="M5134" s="6"/>
      <c r="N5134" s="6"/>
      <c r="O5134" s="6"/>
      <c r="P5134" s="6"/>
      <c r="Q5134" s="6"/>
      <c r="R5134" s="6"/>
      <c r="S5134" s="6"/>
      <c r="T5134" s="6"/>
      <c r="U5134" s="6"/>
      <c r="V5134" s="6"/>
      <c r="W5134" s="6"/>
      <c r="X5134" s="6"/>
      <c r="Y5134" s="6"/>
      <c r="Z5134" s="6"/>
    </row>
    <row r="5135" customFormat="false" ht="15" hidden="false" customHeight="false" outlineLevel="0" collapsed="false">
      <c r="A5135" s="9" t="s">
        <v>10978</v>
      </c>
      <c r="B5135" s="9" t="s">
        <v>5870</v>
      </c>
      <c r="C5135" s="9" t="s">
        <v>5417</v>
      </c>
      <c r="D5135" s="9" t="s">
        <v>5871</v>
      </c>
      <c r="E5135" s="9" t="str">
        <f aca="false">IF(AND('Formation Ledger'!A5114&lt;&gt;"",'Formation Ledger'!V5114=0),"PASS","FAIL")</f>
        <v>PASS</v>
      </c>
      <c r="F5135" s="9" t="s">
        <v>76</v>
      </c>
      <c r="G5135" s="6"/>
      <c r="H5135" s="6"/>
      <c r="I5135" s="6"/>
      <c r="J5135" s="6"/>
      <c r="K5135" s="6"/>
      <c r="L5135" s="6"/>
      <c r="M5135" s="6"/>
      <c r="N5135" s="6"/>
      <c r="O5135" s="6"/>
      <c r="P5135" s="6"/>
      <c r="Q5135" s="6"/>
      <c r="R5135" s="6"/>
      <c r="S5135" s="6"/>
      <c r="T5135" s="6"/>
      <c r="U5135" s="6"/>
      <c r="V5135" s="6"/>
      <c r="W5135" s="6"/>
      <c r="X5135" s="6"/>
      <c r="Y5135" s="6"/>
      <c r="Z5135" s="6"/>
    </row>
    <row r="5136" customFormat="false" ht="15" hidden="false" customHeight="false" outlineLevel="0" collapsed="false">
      <c r="A5136" s="9" t="s">
        <v>10979</v>
      </c>
      <c r="B5136" s="9" t="s">
        <v>5870</v>
      </c>
      <c r="C5136" s="9" t="s">
        <v>5418</v>
      </c>
      <c r="D5136" s="9" t="s">
        <v>5871</v>
      </c>
      <c r="E5136" s="9" t="str">
        <f aca="false">IF(AND('Formation Ledger'!A5115&lt;&gt;"",'Formation Ledger'!V5115=0),"PASS","FAIL")</f>
        <v>PASS</v>
      </c>
      <c r="F5136" s="9" t="s">
        <v>76</v>
      </c>
      <c r="G5136" s="6"/>
      <c r="H5136" s="6"/>
      <c r="I5136" s="6"/>
      <c r="J5136" s="6"/>
      <c r="K5136" s="6"/>
      <c r="L5136" s="6"/>
      <c r="M5136" s="6"/>
      <c r="N5136" s="6"/>
      <c r="O5136" s="6"/>
      <c r="P5136" s="6"/>
      <c r="Q5136" s="6"/>
      <c r="R5136" s="6"/>
      <c r="S5136" s="6"/>
      <c r="T5136" s="6"/>
      <c r="U5136" s="6"/>
      <c r="V5136" s="6"/>
      <c r="W5136" s="6"/>
      <c r="X5136" s="6"/>
      <c r="Y5136" s="6"/>
      <c r="Z5136" s="6"/>
    </row>
    <row r="5137" customFormat="false" ht="15" hidden="false" customHeight="false" outlineLevel="0" collapsed="false">
      <c r="A5137" s="9" t="s">
        <v>10980</v>
      </c>
      <c r="B5137" s="9" t="s">
        <v>5870</v>
      </c>
      <c r="C5137" s="9" t="s">
        <v>5419</v>
      </c>
      <c r="D5137" s="9" t="s">
        <v>5871</v>
      </c>
      <c r="E5137" s="9" t="str">
        <f aca="false">IF(AND('Formation Ledger'!A5116&lt;&gt;"",'Formation Ledger'!V5116=0),"PASS","FAIL")</f>
        <v>PASS</v>
      </c>
      <c r="F5137" s="9" t="s">
        <v>76</v>
      </c>
      <c r="G5137" s="6"/>
      <c r="H5137" s="6"/>
      <c r="I5137" s="6"/>
      <c r="J5137" s="6"/>
      <c r="K5137" s="6"/>
      <c r="L5137" s="6"/>
      <c r="M5137" s="6"/>
      <c r="N5137" s="6"/>
      <c r="O5137" s="6"/>
      <c r="P5137" s="6"/>
      <c r="Q5137" s="6"/>
      <c r="R5137" s="6"/>
      <c r="S5137" s="6"/>
      <c r="T5137" s="6"/>
      <c r="U5137" s="6"/>
      <c r="V5137" s="6"/>
      <c r="W5137" s="6"/>
      <c r="X5137" s="6"/>
      <c r="Y5137" s="6"/>
      <c r="Z5137" s="6"/>
    </row>
    <row r="5138" customFormat="false" ht="15" hidden="false" customHeight="false" outlineLevel="0" collapsed="false">
      <c r="A5138" s="9" t="s">
        <v>10981</v>
      </c>
      <c r="B5138" s="9" t="s">
        <v>5870</v>
      </c>
      <c r="C5138" s="9" t="s">
        <v>5420</v>
      </c>
      <c r="D5138" s="9" t="s">
        <v>5871</v>
      </c>
      <c r="E5138" s="9" t="str">
        <f aca="false">IF(AND('Formation Ledger'!A5117&lt;&gt;"",'Formation Ledger'!V5117=0),"PASS","FAIL")</f>
        <v>PASS</v>
      </c>
      <c r="F5138" s="9" t="s">
        <v>76</v>
      </c>
      <c r="G5138" s="6"/>
      <c r="H5138" s="6"/>
      <c r="I5138" s="6"/>
      <c r="J5138" s="6"/>
      <c r="K5138" s="6"/>
      <c r="L5138" s="6"/>
      <c r="M5138" s="6"/>
      <c r="N5138" s="6"/>
      <c r="O5138" s="6"/>
      <c r="P5138" s="6"/>
      <c r="Q5138" s="6"/>
      <c r="R5138" s="6"/>
      <c r="S5138" s="6"/>
      <c r="T5138" s="6"/>
      <c r="U5138" s="6"/>
      <c r="V5138" s="6"/>
      <c r="W5138" s="6"/>
      <c r="X5138" s="6"/>
      <c r="Y5138" s="6"/>
      <c r="Z5138" s="6"/>
    </row>
    <row r="5139" customFormat="false" ht="15" hidden="false" customHeight="false" outlineLevel="0" collapsed="false">
      <c r="A5139" s="9" t="s">
        <v>10982</v>
      </c>
      <c r="B5139" s="9" t="s">
        <v>5870</v>
      </c>
      <c r="C5139" s="9" t="s">
        <v>5421</v>
      </c>
      <c r="D5139" s="9" t="s">
        <v>5871</v>
      </c>
      <c r="E5139" s="9" t="str">
        <f aca="false">IF(AND('Formation Ledger'!A5118&lt;&gt;"",'Formation Ledger'!V5118=0),"PASS","FAIL")</f>
        <v>PASS</v>
      </c>
      <c r="F5139" s="9" t="s">
        <v>76</v>
      </c>
      <c r="G5139" s="6"/>
      <c r="H5139" s="6"/>
      <c r="I5139" s="6"/>
      <c r="J5139" s="6"/>
      <c r="K5139" s="6"/>
      <c r="L5139" s="6"/>
      <c r="M5139" s="6"/>
      <c r="N5139" s="6"/>
      <c r="O5139" s="6"/>
      <c r="P5139" s="6"/>
      <c r="Q5139" s="6"/>
      <c r="R5139" s="6"/>
      <c r="S5139" s="6"/>
      <c r="T5139" s="6"/>
      <c r="U5139" s="6"/>
      <c r="V5139" s="6"/>
      <c r="W5139" s="6"/>
      <c r="X5139" s="6"/>
      <c r="Y5139" s="6"/>
      <c r="Z5139" s="6"/>
    </row>
    <row r="5140" customFormat="false" ht="15" hidden="false" customHeight="false" outlineLevel="0" collapsed="false">
      <c r="A5140" s="9" t="s">
        <v>10983</v>
      </c>
      <c r="B5140" s="9" t="s">
        <v>5870</v>
      </c>
      <c r="C5140" s="9" t="s">
        <v>5422</v>
      </c>
      <c r="D5140" s="9" t="s">
        <v>5871</v>
      </c>
      <c r="E5140" s="9" t="str">
        <f aca="false">IF(AND('Formation Ledger'!A5119&lt;&gt;"",'Formation Ledger'!V5119=0),"PASS","FAIL")</f>
        <v>PASS</v>
      </c>
      <c r="F5140" s="9" t="s">
        <v>76</v>
      </c>
      <c r="G5140" s="6"/>
      <c r="H5140" s="6"/>
      <c r="I5140" s="6"/>
      <c r="J5140" s="6"/>
      <c r="K5140" s="6"/>
      <c r="L5140" s="6"/>
      <c r="M5140" s="6"/>
      <c r="N5140" s="6"/>
      <c r="O5140" s="6"/>
      <c r="P5140" s="6"/>
      <c r="Q5140" s="6"/>
      <c r="R5140" s="6"/>
      <c r="S5140" s="6"/>
      <c r="T5140" s="6"/>
      <c r="U5140" s="6"/>
      <c r="V5140" s="6"/>
      <c r="W5140" s="6"/>
      <c r="X5140" s="6"/>
      <c r="Y5140" s="6"/>
      <c r="Z5140" s="6"/>
    </row>
    <row r="5141" customFormat="false" ht="15" hidden="false" customHeight="false" outlineLevel="0" collapsed="false">
      <c r="A5141" s="9" t="s">
        <v>10984</v>
      </c>
      <c r="B5141" s="9" t="s">
        <v>5870</v>
      </c>
      <c r="C5141" s="9" t="s">
        <v>5423</v>
      </c>
      <c r="D5141" s="9" t="s">
        <v>5871</v>
      </c>
      <c r="E5141" s="9" t="str">
        <f aca="false">IF(AND('Formation Ledger'!A5120&lt;&gt;"",'Formation Ledger'!V5120=0),"PASS","FAIL")</f>
        <v>PASS</v>
      </c>
      <c r="F5141" s="9" t="s">
        <v>76</v>
      </c>
      <c r="G5141" s="6"/>
      <c r="H5141" s="6"/>
      <c r="I5141" s="6"/>
      <c r="J5141" s="6"/>
      <c r="K5141" s="6"/>
      <c r="L5141" s="6"/>
      <c r="M5141" s="6"/>
      <c r="N5141" s="6"/>
      <c r="O5141" s="6"/>
      <c r="P5141" s="6"/>
      <c r="Q5141" s="6"/>
      <c r="R5141" s="6"/>
      <c r="S5141" s="6"/>
      <c r="T5141" s="6"/>
      <c r="U5141" s="6"/>
      <c r="V5141" s="6"/>
      <c r="W5141" s="6"/>
      <c r="X5141" s="6"/>
      <c r="Y5141" s="6"/>
      <c r="Z5141" s="6"/>
    </row>
    <row r="5142" customFormat="false" ht="15" hidden="false" customHeight="false" outlineLevel="0" collapsed="false">
      <c r="A5142" s="9" t="s">
        <v>10985</v>
      </c>
      <c r="B5142" s="9" t="s">
        <v>5870</v>
      </c>
      <c r="C5142" s="9" t="s">
        <v>5424</v>
      </c>
      <c r="D5142" s="9" t="s">
        <v>5871</v>
      </c>
      <c r="E5142" s="9" t="str">
        <f aca="false">IF(AND('Formation Ledger'!A5121&lt;&gt;"",'Formation Ledger'!V5121=0),"PASS","FAIL")</f>
        <v>PASS</v>
      </c>
      <c r="F5142" s="9" t="s">
        <v>76</v>
      </c>
      <c r="G5142" s="6"/>
      <c r="H5142" s="6"/>
      <c r="I5142" s="6"/>
      <c r="J5142" s="6"/>
      <c r="K5142" s="6"/>
      <c r="L5142" s="6"/>
      <c r="M5142" s="6"/>
      <c r="N5142" s="6"/>
      <c r="O5142" s="6"/>
      <c r="P5142" s="6"/>
      <c r="Q5142" s="6"/>
      <c r="R5142" s="6"/>
      <c r="S5142" s="6"/>
      <c r="T5142" s="6"/>
      <c r="U5142" s="6"/>
      <c r="V5142" s="6"/>
      <c r="W5142" s="6"/>
      <c r="X5142" s="6"/>
      <c r="Y5142" s="6"/>
      <c r="Z5142" s="6"/>
    </row>
    <row r="5143" customFormat="false" ht="15" hidden="false" customHeight="false" outlineLevel="0" collapsed="false">
      <c r="A5143" s="9" t="s">
        <v>10986</v>
      </c>
      <c r="B5143" s="9" t="s">
        <v>5870</v>
      </c>
      <c r="C5143" s="9" t="s">
        <v>5425</v>
      </c>
      <c r="D5143" s="9" t="s">
        <v>5871</v>
      </c>
      <c r="E5143" s="9" t="str">
        <f aca="false">IF(AND('Formation Ledger'!A5122&lt;&gt;"",'Formation Ledger'!V5122=0),"PASS","FAIL")</f>
        <v>PASS</v>
      </c>
      <c r="F5143" s="9" t="s">
        <v>76</v>
      </c>
      <c r="G5143" s="6"/>
      <c r="H5143" s="6"/>
      <c r="I5143" s="6"/>
      <c r="J5143" s="6"/>
      <c r="K5143" s="6"/>
      <c r="L5143" s="6"/>
      <c r="M5143" s="6"/>
      <c r="N5143" s="6"/>
      <c r="O5143" s="6"/>
      <c r="P5143" s="6"/>
      <c r="Q5143" s="6"/>
      <c r="R5143" s="6"/>
      <c r="S5143" s="6"/>
      <c r="T5143" s="6"/>
      <c r="U5143" s="6"/>
      <c r="V5143" s="6"/>
      <c r="W5143" s="6"/>
      <c r="X5143" s="6"/>
      <c r="Y5143" s="6"/>
      <c r="Z5143" s="6"/>
    </row>
    <row r="5144" customFormat="false" ht="15" hidden="false" customHeight="false" outlineLevel="0" collapsed="false">
      <c r="A5144" s="9" t="s">
        <v>10987</v>
      </c>
      <c r="B5144" s="9" t="s">
        <v>5870</v>
      </c>
      <c r="C5144" s="9" t="s">
        <v>5426</v>
      </c>
      <c r="D5144" s="9" t="s">
        <v>5871</v>
      </c>
      <c r="E5144" s="9" t="str">
        <f aca="false">IF(AND('Formation Ledger'!A5123&lt;&gt;"",'Formation Ledger'!V5123=0),"PASS","FAIL")</f>
        <v>PASS</v>
      </c>
      <c r="F5144" s="9" t="s">
        <v>76</v>
      </c>
      <c r="G5144" s="6"/>
      <c r="H5144" s="6"/>
      <c r="I5144" s="6"/>
      <c r="J5144" s="6"/>
      <c r="K5144" s="6"/>
      <c r="L5144" s="6"/>
      <c r="M5144" s="6"/>
      <c r="N5144" s="6"/>
      <c r="O5144" s="6"/>
      <c r="P5144" s="6"/>
      <c r="Q5144" s="6"/>
      <c r="R5144" s="6"/>
      <c r="S5144" s="6"/>
      <c r="T5144" s="6"/>
      <c r="U5144" s="6"/>
      <c r="V5144" s="6"/>
      <c r="W5144" s="6"/>
      <c r="X5144" s="6"/>
      <c r="Y5144" s="6"/>
      <c r="Z5144" s="6"/>
    </row>
    <row r="5145" customFormat="false" ht="15" hidden="false" customHeight="false" outlineLevel="0" collapsed="false">
      <c r="A5145" s="9" t="s">
        <v>10988</v>
      </c>
      <c r="B5145" s="9" t="s">
        <v>5870</v>
      </c>
      <c r="C5145" s="9" t="s">
        <v>5427</v>
      </c>
      <c r="D5145" s="9" t="s">
        <v>5871</v>
      </c>
      <c r="E5145" s="9" t="str">
        <f aca="false">IF(AND('Formation Ledger'!A5124&lt;&gt;"",'Formation Ledger'!V5124=0),"PASS","FAIL")</f>
        <v>PASS</v>
      </c>
      <c r="F5145" s="9" t="s">
        <v>76</v>
      </c>
      <c r="G5145" s="6"/>
      <c r="H5145" s="6"/>
      <c r="I5145" s="6"/>
      <c r="J5145" s="6"/>
      <c r="K5145" s="6"/>
      <c r="L5145" s="6"/>
      <c r="M5145" s="6"/>
      <c r="N5145" s="6"/>
      <c r="O5145" s="6"/>
      <c r="P5145" s="6"/>
      <c r="Q5145" s="6"/>
      <c r="R5145" s="6"/>
      <c r="S5145" s="6"/>
      <c r="T5145" s="6"/>
      <c r="U5145" s="6"/>
      <c r="V5145" s="6"/>
      <c r="W5145" s="6"/>
      <c r="X5145" s="6"/>
      <c r="Y5145" s="6"/>
      <c r="Z5145" s="6"/>
    </row>
    <row r="5146" customFormat="false" ht="15" hidden="false" customHeight="false" outlineLevel="0" collapsed="false">
      <c r="A5146" s="9" t="s">
        <v>10989</v>
      </c>
      <c r="B5146" s="9" t="s">
        <v>5870</v>
      </c>
      <c r="C5146" s="9" t="s">
        <v>5428</v>
      </c>
      <c r="D5146" s="9" t="s">
        <v>5871</v>
      </c>
      <c r="E5146" s="9" t="str">
        <f aca="false">IF(AND('Formation Ledger'!A5125&lt;&gt;"",'Formation Ledger'!V5125=0),"PASS","FAIL")</f>
        <v>PASS</v>
      </c>
      <c r="F5146" s="9" t="s">
        <v>76</v>
      </c>
      <c r="G5146" s="6"/>
      <c r="H5146" s="6"/>
      <c r="I5146" s="6"/>
      <c r="J5146" s="6"/>
      <c r="K5146" s="6"/>
      <c r="L5146" s="6"/>
      <c r="M5146" s="6"/>
      <c r="N5146" s="6"/>
      <c r="O5146" s="6"/>
      <c r="P5146" s="6"/>
      <c r="Q5146" s="6"/>
      <c r="R5146" s="6"/>
      <c r="S5146" s="6"/>
      <c r="T5146" s="6"/>
      <c r="U5146" s="6"/>
      <c r="V5146" s="6"/>
      <c r="W5146" s="6"/>
      <c r="X5146" s="6"/>
      <c r="Y5146" s="6"/>
      <c r="Z5146" s="6"/>
    </row>
    <row r="5147" customFormat="false" ht="15" hidden="false" customHeight="false" outlineLevel="0" collapsed="false">
      <c r="A5147" s="9" t="s">
        <v>10990</v>
      </c>
      <c r="B5147" s="9" t="s">
        <v>5870</v>
      </c>
      <c r="C5147" s="9" t="s">
        <v>5429</v>
      </c>
      <c r="D5147" s="9" t="s">
        <v>5871</v>
      </c>
      <c r="E5147" s="9" t="str">
        <f aca="false">IF(AND('Formation Ledger'!A5126&lt;&gt;"",'Formation Ledger'!V5126=0),"PASS","FAIL")</f>
        <v>PASS</v>
      </c>
      <c r="F5147" s="9" t="s">
        <v>76</v>
      </c>
      <c r="G5147" s="6"/>
      <c r="H5147" s="6"/>
      <c r="I5147" s="6"/>
      <c r="J5147" s="6"/>
      <c r="K5147" s="6"/>
      <c r="L5147" s="6"/>
      <c r="M5147" s="6"/>
      <c r="N5147" s="6"/>
      <c r="O5147" s="6"/>
      <c r="P5147" s="6"/>
      <c r="Q5147" s="6"/>
      <c r="R5147" s="6"/>
      <c r="S5147" s="6"/>
      <c r="T5147" s="6"/>
      <c r="U5147" s="6"/>
      <c r="V5147" s="6"/>
      <c r="W5147" s="6"/>
      <c r="X5147" s="6"/>
      <c r="Y5147" s="6"/>
      <c r="Z5147" s="6"/>
    </row>
    <row r="5148" customFormat="false" ht="15" hidden="false" customHeight="false" outlineLevel="0" collapsed="false">
      <c r="A5148" s="9" t="s">
        <v>10991</v>
      </c>
      <c r="B5148" s="9" t="s">
        <v>5870</v>
      </c>
      <c r="C5148" s="9" t="s">
        <v>5430</v>
      </c>
      <c r="D5148" s="9" t="s">
        <v>5871</v>
      </c>
      <c r="E5148" s="9" t="str">
        <f aca="false">IF(AND('Formation Ledger'!A5127&lt;&gt;"",'Formation Ledger'!V5127=0),"PASS","FAIL")</f>
        <v>PASS</v>
      </c>
      <c r="F5148" s="9" t="s">
        <v>76</v>
      </c>
      <c r="G5148" s="6"/>
      <c r="H5148" s="6"/>
      <c r="I5148" s="6"/>
      <c r="J5148" s="6"/>
      <c r="K5148" s="6"/>
      <c r="L5148" s="6"/>
      <c r="M5148" s="6"/>
      <c r="N5148" s="6"/>
      <c r="O5148" s="6"/>
      <c r="P5148" s="6"/>
      <c r="Q5148" s="6"/>
      <c r="R5148" s="6"/>
      <c r="S5148" s="6"/>
      <c r="T5148" s="6"/>
      <c r="U5148" s="6"/>
      <c r="V5148" s="6"/>
      <c r="W5148" s="6"/>
      <c r="X5148" s="6"/>
      <c r="Y5148" s="6"/>
      <c r="Z5148" s="6"/>
    </row>
    <row r="5149" customFormat="false" ht="15" hidden="false" customHeight="false" outlineLevel="0" collapsed="false">
      <c r="A5149" s="9" t="s">
        <v>10992</v>
      </c>
      <c r="B5149" s="9" t="s">
        <v>5870</v>
      </c>
      <c r="C5149" s="9" t="s">
        <v>5431</v>
      </c>
      <c r="D5149" s="9" t="s">
        <v>5871</v>
      </c>
      <c r="E5149" s="9" t="str">
        <f aca="false">IF(AND('Formation Ledger'!A5128&lt;&gt;"",'Formation Ledger'!V5128=0),"PASS","FAIL")</f>
        <v>PASS</v>
      </c>
      <c r="F5149" s="9" t="s">
        <v>76</v>
      </c>
      <c r="G5149" s="6"/>
      <c r="H5149" s="6"/>
      <c r="I5149" s="6"/>
      <c r="J5149" s="6"/>
      <c r="K5149" s="6"/>
      <c r="L5149" s="6"/>
      <c r="M5149" s="6"/>
      <c r="N5149" s="6"/>
      <c r="O5149" s="6"/>
      <c r="P5149" s="6"/>
      <c r="Q5149" s="6"/>
      <c r="R5149" s="6"/>
      <c r="S5149" s="6"/>
      <c r="T5149" s="6"/>
      <c r="U5149" s="6"/>
      <c r="V5149" s="6"/>
      <c r="W5149" s="6"/>
      <c r="X5149" s="6"/>
      <c r="Y5149" s="6"/>
      <c r="Z5149" s="6"/>
    </row>
    <row r="5150" customFormat="false" ht="15" hidden="false" customHeight="false" outlineLevel="0" collapsed="false">
      <c r="A5150" s="9" t="s">
        <v>10993</v>
      </c>
      <c r="B5150" s="9" t="s">
        <v>5870</v>
      </c>
      <c r="C5150" s="9" t="s">
        <v>5432</v>
      </c>
      <c r="D5150" s="9" t="s">
        <v>5871</v>
      </c>
      <c r="E5150" s="9" t="str">
        <f aca="false">IF(AND('Formation Ledger'!A5129&lt;&gt;"",'Formation Ledger'!V5129=0),"PASS","FAIL")</f>
        <v>PASS</v>
      </c>
      <c r="F5150" s="9" t="s">
        <v>76</v>
      </c>
      <c r="G5150" s="6"/>
      <c r="H5150" s="6"/>
      <c r="I5150" s="6"/>
      <c r="J5150" s="6"/>
      <c r="K5150" s="6"/>
      <c r="L5150" s="6"/>
      <c r="M5150" s="6"/>
      <c r="N5150" s="6"/>
      <c r="O5150" s="6"/>
      <c r="P5150" s="6"/>
      <c r="Q5150" s="6"/>
      <c r="R5150" s="6"/>
      <c r="S5150" s="6"/>
      <c r="T5150" s="6"/>
      <c r="U5150" s="6"/>
      <c r="V5150" s="6"/>
      <c r="W5150" s="6"/>
      <c r="X5150" s="6"/>
      <c r="Y5150" s="6"/>
      <c r="Z5150" s="6"/>
    </row>
    <row r="5151" customFormat="false" ht="15" hidden="false" customHeight="false" outlineLevel="0" collapsed="false">
      <c r="A5151" s="9" t="s">
        <v>10994</v>
      </c>
      <c r="B5151" s="9" t="s">
        <v>5870</v>
      </c>
      <c r="C5151" s="9" t="s">
        <v>5433</v>
      </c>
      <c r="D5151" s="9" t="s">
        <v>5871</v>
      </c>
      <c r="E5151" s="9" t="str">
        <f aca="false">IF(AND('Formation Ledger'!A5130&lt;&gt;"",'Formation Ledger'!V5130=0),"PASS","FAIL")</f>
        <v>PASS</v>
      </c>
      <c r="F5151" s="9" t="s">
        <v>76</v>
      </c>
      <c r="G5151" s="6"/>
      <c r="H5151" s="6"/>
      <c r="I5151" s="6"/>
      <c r="J5151" s="6"/>
      <c r="K5151" s="6"/>
      <c r="L5151" s="6"/>
      <c r="M5151" s="6"/>
      <c r="N5151" s="6"/>
      <c r="O5151" s="6"/>
      <c r="P5151" s="6"/>
      <c r="Q5151" s="6"/>
      <c r="R5151" s="6"/>
      <c r="S5151" s="6"/>
      <c r="T5151" s="6"/>
      <c r="U5151" s="6"/>
      <c r="V5151" s="6"/>
      <c r="W5151" s="6"/>
      <c r="X5151" s="6"/>
      <c r="Y5151" s="6"/>
      <c r="Z5151" s="6"/>
    </row>
    <row r="5152" customFormat="false" ht="15" hidden="false" customHeight="false" outlineLevel="0" collapsed="false">
      <c r="A5152" s="9" t="s">
        <v>10995</v>
      </c>
      <c r="B5152" s="9" t="s">
        <v>5870</v>
      </c>
      <c r="C5152" s="9" t="s">
        <v>5434</v>
      </c>
      <c r="D5152" s="9" t="s">
        <v>5871</v>
      </c>
      <c r="E5152" s="9" t="str">
        <f aca="false">IF(AND('Formation Ledger'!A5131&lt;&gt;"",'Formation Ledger'!V5131=0),"PASS","FAIL")</f>
        <v>PASS</v>
      </c>
      <c r="F5152" s="9" t="s">
        <v>76</v>
      </c>
      <c r="G5152" s="6"/>
      <c r="H5152" s="6"/>
      <c r="I5152" s="6"/>
      <c r="J5152" s="6"/>
      <c r="K5152" s="6"/>
      <c r="L5152" s="6"/>
      <c r="M5152" s="6"/>
      <c r="N5152" s="6"/>
      <c r="O5152" s="6"/>
      <c r="P5152" s="6"/>
      <c r="Q5152" s="6"/>
      <c r="R5152" s="6"/>
      <c r="S5152" s="6"/>
      <c r="T5152" s="6"/>
      <c r="U5152" s="6"/>
      <c r="V5152" s="6"/>
      <c r="W5152" s="6"/>
      <c r="X5152" s="6"/>
      <c r="Y5152" s="6"/>
      <c r="Z5152" s="6"/>
    </row>
    <row r="5153" customFormat="false" ht="15" hidden="false" customHeight="false" outlineLevel="0" collapsed="false">
      <c r="A5153" s="9" t="s">
        <v>10996</v>
      </c>
      <c r="B5153" s="9" t="s">
        <v>5870</v>
      </c>
      <c r="C5153" s="9" t="s">
        <v>5435</v>
      </c>
      <c r="D5153" s="9" t="s">
        <v>5871</v>
      </c>
      <c r="E5153" s="9" t="str">
        <f aca="false">IF(AND('Formation Ledger'!A5132&lt;&gt;"",'Formation Ledger'!V5132=0),"PASS","FAIL")</f>
        <v>PASS</v>
      </c>
      <c r="F5153" s="9" t="s">
        <v>76</v>
      </c>
      <c r="G5153" s="6"/>
      <c r="H5153" s="6"/>
      <c r="I5153" s="6"/>
      <c r="J5153" s="6"/>
      <c r="K5153" s="6"/>
      <c r="L5153" s="6"/>
      <c r="M5153" s="6"/>
      <c r="N5153" s="6"/>
      <c r="O5153" s="6"/>
      <c r="P5153" s="6"/>
      <c r="Q5153" s="6"/>
      <c r="R5153" s="6"/>
      <c r="S5153" s="6"/>
      <c r="T5153" s="6"/>
      <c r="U5153" s="6"/>
      <c r="V5153" s="6"/>
      <c r="W5153" s="6"/>
      <c r="X5153" s="6"/>
      <c r="Y5153" s="6"/>
      <c r="Z5153" s="6"/>
    </row>
    <row r="5154" customFormat="false" ht="15" hidden="false" customHeight="false" outlineLevel="0" collapsed="false">
      <c r="A5154" s="9" t="s">
        <v>10997</v>
      </c>
      <c r="B5154" s="9" t="s">
        <v>5870</v>
      </c>
      <c r="C5154" s="9" t="s">
        <v>5436</v>
      </c>
      <c r="D5154" s="9" t="s">
        <v>5871</v>
      </c>
      <c r="E5154" s="9" t="str">
        <f aca="false">IF(AND('Formation Ledger'!A5133&lt;&gt;"",'Formation Ledger'!V5133=0),"PASS","FAIL")</f>
        <v>PASS</v>
      </c>
      <c r="F5154" s="9" t="s">
        <v>76</v>
      </c>
      <c r="G5154" s="6"/>
      <c r="H5154" s="6"/>
      <c r="I5154" s="6"/>
      <c r="J5154" s="6"/>
      <c r="K5154" s="6"/>
      <c r="L5154" s="6"/>
      <c r="M5154" s="6"/>
      <c r="N5154" s="6"/>
      <c r="O5154" s="6"/>
      <c r="P5154" s="6"/>
      <c r="Q5154" s="6"/>
      <c r="R5154" s="6"/>
      <c r="S5154" s="6"/>
      <c r="T5154" s="6"/>
      <c r="U5154" s="6"/>
      <c r="V5154" s="6"/>
      <c r="W5154" s="6"/>
      <c r="X5154" s="6"/>
      <c r="Y5154" s="6"/>
      <c r="Z5154" s="6"/>
    </row>
    <row r="5155" customFormat="false" ht="15" hidden="false" customHeight="false" outlineLevel="0" collapsed="false">
      <c r="A5155" s="9" t="s">
        <v>10998</v>
      </c>
      <c r="B5155" s="9" t="s">
        <v>5870</v>
      </c>
      <c r="C5155" s="9" t="s">
        <v>5437</v>
      </c>
      <c r="D5155" s="9" t="s">
        <v>5871</v>
      </c>
      <c r="E5155" s="9" t="str">
        <f aca="false">IF(AND('Formation Ledger'!A5134&lt;&gt;"",'Formation Ledger'!V5134=0),"PASS","FAIL")</f>
        <v>PASS</v>
      </c>
      <c r="F5155" s="9" t="s">
        <v>76</v>
      </c>
      <c r="G5155" s="6"/>
      <c r="H5155" s="6"/>
      <c r="I5155" s="6"/>
      <c r="J5155" s="6"/>
      <c r="K5155" s="6"/>
      <c r="L5155" s="6"/>
      <c r="M5155" s="6"/>
      <c r="N5155" s="6"/>
      <c r="O5155" s="6"/>
      <c r="P5155" s="6"/>
      <c r="Q5155" s="6"/>
      <c r="R5155" s="6"/>
      <c r="S5155" s="6"/>
      <c r="T5155" s="6"/>
      <c r="U5155" s="6"/>
      <c r="V5155" s="6"/>
      <c r="W5155" s="6"/>
      <c r="X5155" s="6"/>
      <c r="Y5155" s="6"/>
      <c r="Z5155" s="6"/>
    </row>
    <row r="5156" customFormat="false" ht="15" hidden="false" customHeight="false" outlineLevel="0" collapsed="false">
      <c r="A5156" s="9" t="s">
        <v>10999</v>
      </c>
      <c r="B5156" s="9" t="s">
        <v>5870</v>
      </c>
      <c r="C5156" s="9" t="s">
        <v>5438</v>
      </c>
      <c r="D5156" s="9" t="s">
        <v>5871</v>
      </c>
      <c r="E5156" s="9" t="str">
        <f aca="false">IF(AND('Formation Ledger'!A5135&lt;&gt;"",'Formation Ledger'!V5135=0),"PASS","FAIL")</f>
        <v>PASS</v>
      </c>
      <c r="F5156" s="9" t="s">
        <v>76</v>
      </c>
      <c r="G5156" s="6"/>
      <c r="H5156" s="6"/>
      <c r="I5156" s="6"/>
      <c r="J5156" s="6"/>
      <c r="K5156" s="6"/>
      <c r="L5156" s="6"/>
      <c r="M5156" s="6"/>
      <c r="N5156" s="6"/>
      <c r="O5156" s="6"/>
      <c r="P5156" s="6"/>
      <c r="Q5156" s="6"/>
      <c r="R5156" s="6"/>
      <c r="S5156" s="6"/>
      <c r="T5156" s="6"/>
      <c r="U5156" s="6"/>
      <c r="V5156" s="6"/>
      <c r="W5156" s="6"/>
      <c r="X5156" s="6"/>
      <c r="Y5156" s="6"/>
      <c r="Z5156" s="6"/>
    </row>
    <row r="5157" customFormat="false" ht="15" hidden="false" customHeight="false" outlineLevel="0" collapsed="false">
      <c r="A5157" s="9" t="s">
        <v>11000</v>
      </c>
      <c r="B5157" s="9" t="s">
        <v>5870</v>
      </c>
      <c r="C5157" s="9" t="s">
        <v>5439</v>
      </c>
      <c r="D5157" s="9" t="s">
        <v>5871</v>
      </c>
      <c r="E5157" s="9" t="str">
        <f aca="false">IF(AND('Formation Ledger'!A5136&lt;&gt;"",'Formation Ledger'!V5136=0),"PASS","FAIL")</f>
        <v>PASS</v>
      </c>
      <c r="F5157" s="9" t="s">
        <v>76</v>
      </c>
      <c r="G5157" s="6"/>
      <c r="H5157" s="6"/>
      <c r="I5157" s="6"/>
      <c r="J5157" s="6"/>
      <c r="K5157" s="6"/>
      <c r="L5157" s="6"/>
      <c r="M5157" s="6"/>
      <c r="N5157" s="6"/>
      <c r="O5157" s="6"/>
      <c r="P5157" s="6"/>
      <c r="Q5157" s="6"/>
      <c r="R5157" s="6"/>
      <c r="S5157" s="6"/>
      <c r="T5157" s="6"/>
      <c r="U5157" s="6"/>
      <c r="V5157" s="6"/>
      <c r="W5157" s="6"/>
      <c r="X5157" s="6"/>
      <c r="Y5157" s="6"/>
      <c r="Z5157" s="6"/>
    </row>
    <row r="5158" customFormat="false" ht="15" hidden="false" customHeight="false" outlineLevel="0" collapsed="false">
      <c r="A5158" s="9" t="s">
        <v>11001</v>
      </c>
      <c r="B5158" s="9" t="s">
        <v>5870</v>
      </c>
      <c r="C5158" s="9" t="s">
        <v>5440</v>
      </c>
      <c r="D5158" s="9" t="s">
        <v>5871</v>
      </c>
      <c r="E5158" s="9" t="str">
        <f aca="false">IF(AND('Formation Ledger'!A5137&lt;&gt;"",'Formation Ledger'!V5137=0),"PASS","FAIL")</f>
        <v>PASS</v>
      </c>
      <c r="F5158" s="9" t="s">
        <v>76</v>
      </c>
      <c r="G5158" s="6"/>
      <c r="H5158" s="6"/>
      <c r="I5158" s="6"/>
      <c r="J5158" s="6"/>
      <c r="K5158" s="6"/>
      <c r="L5158" s="6"/>
      <c r="M5158" s="6"/>
      <c r="N5158" s="6"/>
      <c r="O5158" s="6"/>
      <c r="P5158" s="6"/>
      <c r="Q5158" s="6"/>
      <c r="R5158" s="6"/>
      <c r="S5158" s="6"/>
      <c r="T5158" s="6"/>
      <c r="U5158" s="6"/>
      <c r="V5158" s="6"/>
      <c r="W5158" s="6"/>
      <c r="X5158" s="6"/>
      <c r="Y5158" s="6"/>
      <c r="Z5158" s="6"/>
    </row>
    <row r="5159" customFormat="false" ht="15" hidden="false" customHeight="false" outlineLevel="0" collapsed="false">
      <c r="A5159" s="9" t="s">
        <v>11002</v>
      </c>
      <c r="B5159" s="9" t="s">
        <v>5870</v>
      </c>
      <c r="C5159" s="9" t="s">
        <v>5441</v>
      </c>
      <c r="D5159" s="9" t="s">
        <v>5871</v>
      </c>
      <c r="E5159" s="9" t="str">
        <f aca="false">IF(AND('Formation Ledger'!A5138&lt;&gt;"",'Formation Ledger'!V5138=0),"PASS","FAIL")</f>
        <v>PASS</v>
      </c>
      <c r="F5159" s="9" t="s">
        <v>76</v>
      </c>
      <c r="G5159" s="6"/>
      <c r="H5159" s="6"/>
      <c r="I5159" s="6"/>
      <c r="J5159" s="6"/>
      <c r="K5159" s="6"/>
      <c r="L5159" s="6"/>
      <c r="M5159" s="6"/>
      <c r="N5159" s="6"/>
      <c r="O5159" s="6"/>
      <c r="P5159" s="6"/>
      <c r="Q5159" s="6"/>
      <c r="R5159" s="6"/>
      <c r="S5159" s="6"/>
      <c r="T5159" s="6"/>
      <c r="U5159" s="6"/>
      <c r="V5159" s="6"/>
      <c r="W5159" s="6"/>
      <c r="X5159" s="6"/>
      <c r="Y5159" s="6"/>
      <c r="Z5159" s="6"/>
    </row>
    <row r="5160" customFormat="false" ht="15" hidden="false" customHeight="false" outlineLevel="0" collapsed="false">
      <c r="A5160" s="9" t="s">
        <v>11003</v>
      </c>
      <c r="B5160" s="9" t="s">
        <v>5870</v>
      </c>
      <c r="C5160" s="9" t="s">
        <v>5442</v>
      </c>
      <c r="D5160" s="9" t="s">
        <v>5871</v>
      </c>
      <c r="E5160" s="9" t="str">
        <f aca="false">IF(AND('Formation Ledger'!A5139&lt;&gt;"",'Formation Ledger'!V5139=0),"PASS","FAIL")</f>
        <v>PASS</v>
      </c>
      <c r="F5160" s="9" t="s">
        <v>76</v>
      </c>
      <c r="G5160" s="6"/>
      <c r="H5160" s="6"/>
      <c r="I5160" s="6"/>
      <c r="J5160" s="6"/>
      <c r="K5160" s="6"/>
      <c r="L5160" s="6"/>
      <c r="M5160" s="6"/>
      <c r="N5160" s="6"/>
      <c r="O5160" s="6"/>
      <c r="P5160" s="6"/>
      <c r="Q5160" s="6"/>
      <c r="R5160" s="6"/>
      <c r="S5160" s="6"/>
      <c r="T5160" s="6"/>
      <c r="U5160" s="6"/>
      <c r="V5160" s="6"/>
      <c r="W5160" s="6"/>
      <c r="X5160" s="6"/>
      <c r="Y5160" s="6"/>
      <c r="Z5160" s="6"/>
    </row>
    <row r="5161" customFormat="false" ht="15" hidden="false" customHeight="false" outlineLevel="0" collapsed="false">
      <c r="A5161" s="9" t="s">
        <v>11004</v>
      </c>
      <c r="B5161" s="9" t="s">
        <v>5870</v>
      </c>
      <c r="C5161" s="9" t="s">
        <v>5443</v>
      </c>
      <c r="D5161" s="9" t="s">
        <v>5871</v>
      </c>
      <c r="E5161" s="9" t="str">
        <f aca="false">IF(AND('Formation Ledger'!A5140&lt;&gt;"",'Formation Ledger'!V5140=0),"PASS","FAIL")</f>
        <v>PASS</v>
      </c>
      <c r="F5161" s="9" t="s">
        <v>76</v>
      </c>
      <c r="G5161" s="6"/>
      <c r="H5161" s="6"/>
      <c r="I5161" s="6"/>
      <c r="J5161" s="6"/>
      <c r="K5161" s="6"/>
      <c r="L5161" s="6"/>
      <c r="M5161" s="6"/>
      <c r="N5161" s="6"/>
      <c r="O5161" s="6"/>
      <c r="P5161" s="6"/>
      <c r="Q5161" s="6"/>
      <c r="R5161" s="6"/>
      <c r="S5161" s="6"/>
      <c r="T5161" s="6"/>
      <c r="U5161" s="6"/>
      <c r="V5161" s="6"/>
      <c r="W5161" s="6"/>
      <c r="X5161" s="6"/>
      <c r="Y5161" s="6"/>
      <c r="Z5161" s="6"/>
    </row>
    <row r="5162" customFormat="false" ht="15" hidden="false" customHeight="false" outlineLevel="0" collapsed="false">
      <c r="A5162" s="9" t="s">
        <v>11005</v>
      </c>
      <c r="B5162" s="9" t="s">
        <v>5870</v>
      </c>
      <c r="C5162" s="9" t="s">
        <v>5444</v>
      </c>
      <c r="D5162" s="9" t="s">
        <v>5871</v>
      </c>
      <c r="E5162" s="9" t="str">
        <f aca="false">IF(AND('Formation Ledger'!A5141&lt;&gt;"",'Formation Ledger'!V5141=0),"PASS","FAIL")</f>
        <v>PASS</v>
      </c>
      <c r="F5162" s="9" t="s">
        <v>76</v>
      </c>
      <c r="G5162" s="6"/>
      <c r="H5162" s="6"/>
      <c r="I5162" s="6"/>
      <c r="J5162" s="6"/>
      <c r="K5162" s="6"/>
      <c r="L5162" s="6"/>
      <c r="M5162" s="6"/>
      <c r="N5162" s="6"/>
      <c r="O5162" s="6"/>
      <c r="P5162" s="6"/>
      <c r="Q5162" s="6"/>
      <c r="R5162" s="6"/>
      <c r="S5162" s="6"/>
      <c r="T5162" s="6"/>
      <c r="U5162" s="6"/>
      <c r="V5162" s="6"/>
      <c r="W5162" s="6"/>
      <c r="X5162" s="6"/>
      <c r="Y5162" s="6"/>
      <c r="Z5162" s="6"/>
    </row>
    <row r="5163" customFormat="false" ht="15" hidden="false" customHeight="false" outlineLevel="0" collapsed="false">
      <c r="A5163" s="9" t="s">
        <v>11006</v>
      </c>
      <c r="B5163" s="9" t="s">
        <v>5870</v>
      </c>
      <c r="C5163" s="9" t="s">
        <v>5445</v>
      </c>
      <c r="D5163" s="9" t="s">
        <v>5871</v>
      </c>
      <c r="E5163" s="9" t="str">
        <f aca="false">IF(AND('Formation Ledger'!A5142&lt;&gt;"",'Formation Ledger'!V5142=0),"PASS","FAIL")</f>
        <v>PASS</v>
      </c>
      <c r="F5163" s="9" t="s">
        <v>76</v>
      </c>
      <c r="G5163" s="6"/>
      <c r="H5163" s="6"/>
      <c r="I5163" s="6"/>
      <c r="J5163" s="6"/>
      <c r="K5163" s="6"/>
      <c r="L5163" s="6"/>
      <c r="M5163" s="6"/>
      <c r="N5163" s="6"/>
      <c r="O5163" s="6"/>
      <c r="P5163" s="6"/>
      <c r="Q5163" s="6"/>
      <c r="R5163" s="6"/>
      <c r="S5163" s="6"/>
      <c r="T5163" s="6"/>
      <c r="U5163" s="6"/>
      <c r="V5163" s="6"/>
      <c r="W5163" s="6"/>
      <c r="X5163" s="6"/>
      <c r="Y5163" s="6"/>
      <c r="Z5163" s="6"/>
    </row>
    <row r="5164" customFormat="false" ht="15" hidden="false" customHeight="false" outlineLevel="0" collapsed="false">
      <c r="A5164" s="9" t="s">
        <v>11007</v>
      </c>
      <c r="B5164" s="9" t="s">
        <v>5870</v>
      </c>
      <c r="C5164" s="9" t="s">
        <v>5448</v>
      </c>
      <c r="D5164" s="9" t="s">
        <v>5871</v>
      </c>
      <c r="E5164" s="9" t="str">
        <f aca="false">IF(AND('Formation Ledger'!A5143&lt;&gt;"",'Formation Ledger'!V5143=0),"PASS","FAIL")</f>
        <v>PASS</v>
      </c>
      <c r="F5164" s="9" t="s">
        <v>76</v>
      </c>
      <c r="G5164" s="6"/>
      <c r="H5164" s="6"/>
      <c r="I5164" s="6"/>
      <c r="J5164" s="6"/>
      <c r="K5164" s="6"/>
      <c r="L5164" s="6"/>
      <c r="M5164" s="6"/>
      <c r="N5164" s="6"/>
      <c r="O5164" s="6"/>
      <c r="P5164" s="6"/>
      <c r="Q5164" s="6"/>
      <c r="R5164" s="6"/>
      <c r="S5164" s="6"/>
      <c r="T5164" s="6"/>
      <c r="U5164" s="6"/>
      <c r="V5164" s="6"/>
      <c r="W5164" s="6"/>
      <c r="X5164" s="6"/>
      <c r="Y5164" s="6"/>
      <c r="Z5164" s="6"/>
    </row>
    <row r="5165" customFormat="false" ht="15" hidden="false" customHeight="false" outlineLevel="0" collapsed="false">
      <c r="A5165" s="9" t="s">
        <v>11008</v>
      </c>
      <c r="B5165" s="9" t="s">
        <v>5870</v>
      </c>
      <c r="C5165" s="9" t="s">
        <v>5449</v>
      </c>
      <c r="D5165" s="9" t="s">
        <v>5871</v>
      </c>
      <c r="E5165" s="9" t="str">
        <f aca="false">IF(AND('Formation Ledger'!A5144&lt;&gt;"",'Formation Ledger'!V5144=0),"PASS","FAIL")</f>
        <v>PASS</v>
      </c>
      <c r="F5165" s="9" t="s">
        <v>76</v>
      </c>
      <c r="G5165" s="6"/>
      <c r="H5165" s="6"/>
      <c r="I5165" s="6"/>
      <c r="J5165" s="6"/>
      <c r="K5165" s="6"/>
      <c r="L5165" s="6"/>
      <c r="M5165" s="6"/>
      <c r="N5165" s="6"/>
      <c r="O5165" s="6"/>
      <c r="P5165" s="6"/>
      <c r="Q5165" s="6"/>
      <c r="R5165" s="6"/>
      <c r="S5165" s="6"/>
      <c r="T5165" s="6"/>
      <c r="U5165" s="6"/>
      <c r="V5165" s="6"/>
      <c r="W5165" s="6"/>
      <c r="X5165" s="6"/>
      <c r="Y5165" s="6"/>
      <c r="Z5165" s="6"/>
    </row>
    <row r="5166" customFormat="false" ht="15" hidden="false" customHeight="false" outlineLevel="0" collapsed="false">
      <c r="A5166" s="9" t="s">
        <v>11009</v>
      </c>
      <c r="B5166" s="9" t="s">
        <v>5870</v>
      </c>
      <c r="C5166" s="9" t="s">
        <v>5450</v>
      </c>
      <c r="D5166" s="9" t="s">
        <v>5871</v>
      </c>
      <c r="E5166" s="9" t="str">
        <f aca="false">IF(AND('Formation Ledger'!A5145&lt;&gt;"",'Formation Ledger'!V5145=0),"PASS","FAIL")</f>
        <v>PASS</v>
      </c>
      <c r="F5166" s="9" t="s">
        <v>76</v>
      </c>
      <c r="G5166" s="6"/>
      <c r="H5166" s="6"/>
      <c r="I5166" s="6"/>
      <c r="J5166" s="6"/>
      <c r="K5166" s="6"/>
      <c r="L5166" s="6"/>
      <c r="M5166" s="6"/>
      <c r="N5166" s="6"/>
      <c r="O5166" s="6"/>
      <c r="P5166" s="6"/>
      <c r="Q5166" s="6"/>
      <c r="R5166" s="6"/>
      <c r="S5166" s="6"/>
      <c r="T5166" s="6"/>
      <c r="U5166" s="6"/>
      <c r="V5166" s="6"/>
      <c r="W5166" s="6"/>
      <c r="X5166" s="6"/>
      <c r="Y5166" s="6"/>
      <c r="Z5166" s="6"/>
    </row>
    <row r="5167" customFormat="false" ht="15" hidden="false" customHeight="false" outlineLevel="0" collapsed="false">
      <c r="A5167" s="9" t="s">
        <v>11010</v>
      </c>
      <c r="B5167" s="9" t="s">
        <v>5870</v>
      </c>
      <c r="C5167" s="9" t="s">
        <v>5451</v>
      </c>
      <c r="D5167" s="9" t="s">
        <v>5871</v>
      </c>
      <c r="E5167" s="9" t="str">
        <f aca="false">IF(AND('Formation Ledger'!A5146&lt;&gt;"",'Formation Ledger'!V5146=0),"PASS","FAIL")</f>
        <v>PASS</v>
      </c>
      <c r="F5167" s="9" t="s">
        <v>76</v>
      </c>
      <c r="G5167" s="6"/>
      <c r="H5167" s="6"/>
      <c r="I5167" s="6"/>
      <c r="J5167" s="6"/>
      <c r="K5167" s="6"/>
      <c r="L5167" s="6"/>
      <c r="M5167" s="6"/>
      <c r="N5167" s="6"/>
      <c r="O5167" s="6"/>
      <c r="P5167" s="6"/>
      <c r="Q5167" s="6"/>
      <c r="R5167" s="6"/>
      <c r="S5167" s="6"/>
      <c r="T5167" s="6"/>
      <c r="U5167" s="6"/>
      <c r="V5167" s="6"/>
      <c r="W5167" s="6"/>
      <c r="X5167" s="6"/>
      <c r="Y5167" s="6"/>
      <c r="Z5167" s="6"/>
    </row>
    <row r="5168" customFormat="false" ht="15" hidden="false" customHeight="false" outlineLevel="0" collapsed="false">
      <c r="A5168" s="9" t="s">
        <v>11011</v>
      </c>
      <c r="B5168" s="9" t="s">
        <v>5870</v>
      </c>
      <c r="C5168" s="9" t="s">
        <v>5452</v>
      </c>
      <c r="D5168" s="9" t="s">
        <v>5871</v>
      </c>
      <c r="E5168" s="9" t="str">
        <f aca="false">IF(AND('Formation Ledger'!A5147&lt;&gt;"",'Formation Ledger'!V5147=0),"PASS","FAIL")</f>
        <v>PASS</v>
      </c>
      <c r="F5168" s="9" t="s">
        <v>76</v>
      </c>
      <c r="G5168" s="6"/>
      <c r="H5168" s="6"/>
      <c r="I5168" s="6"/>
      <c r="J5168" s="6"/>
      <c r="K5168" s="6"/>
      <c r="L5168" s="6"/>
      <c r="M5168" s="6"/>
      <c r="N5168" s="6"/>
      <c r="O5168" s="6"/>
      <c r="P5168" s="6"/>
      <c r="Q5168" s="6"/>
      <c r="R5168" s="6"/>
      <c r="S5168" s="6"/>
      <c r="T5168" s="6"/>
      <c r="U5168" s="6"/>
      <c r="V5168" s="6"/>
      <c r="W5168" s="6"/>
      <c r="X5168" s="6"/>
      <c r="Y5168" s="6"/>
      <c r="Z5168" s="6"/>
    </row>
    <row r="5169" customFormat="false" ht="15" hidden="false" customHeight="false" outlineLevel="0" collapsed="false">
      <c r="A5169" s="9" t="s">
        <v>11012</v>
      </c>
      <c r="B5169" s="9" t="s">
        <v>5870</v>
      </c>
      <c r="C5169" s="9" t="s">
        <v>5453</v>
      </c>
      <c r="D5169" s="9" t="s">
        <v>5871</v>
      </c>
      <c r="E5169" s="9" t="str">
        <f aca="false">IF(AND('Formation Ledger'!A5148&lt;&gt;"",'Formation Ledger'!V5148=0),"PASS","FAIL")</f>
        <v>PASS</v>
      </c>
      <c r="F5169" s="9" t="s">
        <v>76</v>
      </c>
      <c r="G5169" s="6"/>
      <c r="H5169" s="6"/>
      <c r="I5169" s="6"/>
      <c r="J5169" s="6"/>
      <c r="K5169" s="6"/>
      <c r="L5169" s="6"/>
      <c r="M5169" s="6"/>
      <c r="N5169" s="6"/>
      <c r="O5169" s="6"/>
      <c r="P5169" s="6"/>
      <c r="Q5169" s="6"/>
      <c r="R5169" s="6"/>
      <c r="S5169" s="6"/>
      <c r="T5169" s="6"/>
      <c r="U5169" s="6"/>
      <c r="V5169" s="6"/>
      <c r="W5169" s="6"/>
      <c r="X5169" s="6"/>
      <c r="Y5169" s="6"/>
      <c r="Z5169" s="6"/>
    </row>
    <row r="5170" customFormat="false" ht="15" hidden="false" customHeight="false" outlineLevel="0" collapsed="false">
      <c r="A5170" s="9" t="s">
        <v>11013</v>
      </c>
      <c r="B5170" s="9" t="s">
        <v>5870</v>
      </c>
      <c r="C5170" s="9" t="s">
        <v>5454</v>
      </c>
      <c r="D5170" s="9" t="s">
        <v>5871</v>
      </c>
      <c r="E5170" s="9" t="str">
        <f aca="false">IF(AND('Formation Ledger'!A5149&lt;&gt;"",'Formation Ledger'!V5149=0),"PASS","FAIL")</f>
        <v>PASS</v>
      </c>
      <c r="F5170" s="9" t="s">
        <v>76</v>
      </c>
      <c r="G5170" s="6"/>
      <c r="H5170" s="6"/>
      <c r="I5170" s="6"/>
      <c r="J5170" s="6"/>
      <c r="K5170" s="6"/>
      <c r="L5170" s="6"/>
      <c r="M5170" s="6"/>
      <c r="N5170" s="6"/>
      <c r="O5170" s="6"/>
      <c r="P5170" s="6"/>
      <c r="Q5170" s="6"/>
      <c r="R5170" s="6"/>
      <c r="S5170" s="6"/>
      <c r="T5170" s="6"/>
      <c r="U5170" s="6"/>
      <c r="V5170" s="6"/>
      <c r="W5170" s="6"/>
      <c r="X5170" s="6"/>
      <c r="Y5170" s="6"/>
      <c r="Z5170" s="6"/>
    </row>
    <row r="5171" customFormat="false" ht="15" hidden="false" customHeight="false" outlineLevel="0" collapsed="false">
      <c r="A5171" s="9" t="s">
        <v>11014</v>
      </c>
      <c r="B5171" s="9" t="s">
        <v>5870</v>
      </c>
      <c r="C5171" s="9" t="s">
        <v>5455</v>
      </c>
      <c r="D5171" s="9" t="s">
        <v>5871</v>
      </c>
      <c r="E5171" s="9" t="str">
        <f aca="false">IF(AND('Formation Ledger'!A5150&lt;&gt;"",'Formation Ledger'!V5150=0),"PASS","FAIL")</f>
        <v>PASS</v>
      </c>
      <c r="F5171" s="9" t="s">
        <v>76</v>
      </c>
      <c r="G5171" s="6"/>
      <c r="H5171" s="6"/>
      <c r="I5171" s="6"/>
      <c r="J5171" s="6"/>
      <c r="K5171" s="6"/>
      <c r="L5171" s="6"/>
      <c r="M5171" s="6"/>
      <c r="N5171" s="6"/>
      <c r="O5171" s="6"/>
      <c r="P5171" s="6"/>
      <c r="Q5171" s="6"/>
      <c r="R5171" s="6"/>
      <c r="S5171" s="6"/>
      <c r="T5171" s="6"/>
      <c r="U5171" s="6"/>
      <c r="V5171" s="6"/>
      <c r="W5171" s="6"/>
      <c r="X5171" s="6"/>
      <c r="Y5171" s="6"/>
      <c r="Z5171" s="6"/>
    </row>
    <row r="5172" customFormat="false" ht="15" hidden="false" customHeight="false" outlineLevel="0" collapsed="false">
      <c r="A5172" s="9" t="s">
        <v>11015</v>
      </c>
      <c r="B5172" s="9" t="s">
        <v>5870</v>
      </c>
      <c r="C5172" s="9" t="s">
        <v>5456</v>
      </c>
      <c r="D5172" s="9" t="s">
        <v>5871</v>
      </c>
      <c r="E5172" s="9" t="str">
        <f aca="false">IF(AND('Formation Ledger'!A5151&lt;&gt;"",'Formation Ledger'!V5151=0),"PASS","FAIL")</f>
        <v>PASS</v>
      </c>
      <c r="F5172" s="9" t="s">
        <v>76</v>
      </c>
      <c r="G5172" s="6"/>
      <c r="H5172" s="6"/>
      <c r="I5172" s="6"/>
      <c r="J5172" s="6"/>
      <c r="K5172" s="6"/>
      <c r="L5172" s="6"/>
      <c r="M5172" s="6"/>
      <c r="N5172" s="6"/>
      <c r="O5172" s="6"/>
      <c r="P5172" s="6"/>
      <c r="Q5172" s="6"/>
      <c r="R5172" s="6"/>
      <c r="S5172" s="6"/>
      <c r="T5172" s="6"/>
      <c r="U5172" s="6"/>
      <c r="V5172" s="6"/>
      <c r="W5172" s="6"/>
      <c r="X5172" s="6"/>
      <c r="Y5172" s="6"/>
      <c r="Z5172" s="6"/>
    </row>
    <row r="5173" customFormat="false" ht="15" hidden="false" customHeight="false" outlineLevel="0" collapsed="false">
      <c r="A5173" s="9" t="s">
        <v>11016</v>
      </c>
      <c r="B5173" s="9" t="s">
        <v>5870</v>
      </c>
      <c r="C5173" s="9" t="s">
        <v>5457</v>
      </c>
      <c r="D5173" s="9" t="s">
        <v>5871</v>
      </c>
      <c r="E5173" s="9" t="str">
        <f aca="false">IF(AND('Formation Ledger'!A5152&lt;&gt;"",'Formation Ledger'!V5152=0),"PASS","FAIL")</f>
        <v>PASS</v>
      </c>
      <c r="F5173" s="9" t="s">
        <v>76</v>
      </c>
      <c r="G5173" s="6"/>
      <c r="H5173" s="6"/>
      <c r="I5173" s="6"/>
      <c r="J5173" s="6"/>
      <c r="K5173" s="6"/>
      <c r="L5173" s="6"/>
      <c r="M5173" s="6"/>
      <c r="N5173" s="6"/>
      <c r="O5173" s="6"/>
      <c r="P5173" s="6"/>
      <c r="Q5173" s="6"/>
      <c r="R5173" s="6"/>
      <c r="S5173" s="6"/>
      <c r="T5173" s="6"/>
      <c r="U5173" s="6"/>
      <c r="V5173" s="6"/>
      <c r="W5173" s="6"/>
      <c r="X5173" s="6"/>
      <c r="Y5173" s="6"/>
      <c r="Z5173" s="6"/>
    </row>
    <row r="5174" customFormat="false" ht="15" hidden="false" customHeight="false" outlineLevel="0" collapsed="false">
      <c r="A5174" s="9" t="s">
        <v>11017</v>
      </c>
      <c r="B5174" s="9" t="s">
        <v>5870</v>
      </c>
      <c r="C5174" s="9" t="s">
        <v>5458</v>
      </c>
      <c r="D5174" s="9" t="s">
        <v>5871</v>
      </c>
      <c r="E5174" s="9" t="str">
        <f aca="false">IF(AND('Formation Ledger'!A5153&lt;&gt;"",'Formation Ledger'!V5153=0),"PASS","FAIL")</f>
        <v>PASS</v>
      </c>
      <c r="F5174" s="9" t="s">
        <v>76</v>
      </c>
      <c r="G5174" s="6"/>
      <c r="H5174" s="6"/>
      <c r="I5174" s="6"/>
      <c r="J5174" s="6"/>
      <c r="K5174" s="6"/>
      <c r="L5174" s="6"/>
      <c r="M5174" s="6"/>
      <c r="N5174" s="6"/>
      <c r="O5174" s="6"/>
      <c r="P5174" s="6"/>
      <c r="Q5174" s="6"/>
      <c r="R5174" s="6"/>
      <c r="S5174" s="6"/>
      <c r="T5174" s="6"/>
      <c r="U5174" s="6"/>
      <c r="V5174" s="6"/>
      <c r="W5174" s="6"/>
      <c r="X5174" s="6"/>
      <c r="Y5174" s="6"/>
      <c r="Z5174" s="6"/>
    </row>
    <row r="5175" customFormat="false" ht="15" hidden="false" customHeight="false" outlineLevel="0" collapsed="false">
      <c r="A5175" s="9" t="s">
        <v>11018</v>
      </c>
      <c r="B5175" s="9" t="s">
        <v>5870</v>
      </c>
      <c r="C5175" s="9" t="s">
        <v>5459</v>
      </c>
      <c r="D5175" s="9" t="s">
        <v>5871</v>
      </c>
      <c r="E5175" s="9" t="str">
        <f aca="false">IF(AND('Formation Ledger'!A5154&lt;&gt;"",'Formation Ledger'!V5154=0),"PASS","FAIL")</f>
        <v>PASS</v>
      </c>
      <c r="F5175" s="9" t="s">
        <v>76</v>
      </c>
      <c r="G5175" s="6"/>
      <c r="H5175" s="6"/>
      <c r="I5175" s="6"/>
      <c r="J5175" s="6"/>
      <c r="K5175" s="6"/>
      <c r="L5175" s="6"/>
      <c r="M5175" s="6"/>
      <c r="N5175" s="6"/>
      <c r="O5175" s="6"/>
      <c r="P5175" s="6"/>
      <c r="Q5175" s="6"/>
      <c r="R5175" s="6"/>
      <c r="S5175" s="6"/>
      <c r="T5175" s="6"/>
      <c r="U5175" s="6"/>
      <c r="V5175" s="6"/>
      <c r="W5175" s="6"/>
      <c r="X5175" s="6"/>
      <c r="Y5175" s="6"/>
      <c r="Z5175" s="6"/>
    </row>
    <row r="5176" customFormat="false" ht="15" hidden="false" customHeight="false" outlineLevel="0" collapsed="false">
      <c r="A5176" s="9" t="s">
        <v>11019</v>
      </c>
      <c r="B5176" s="9" t="s">
        <v>5870</v>
      </c>
      <c r="C5176" s="9" t="s">
        <v>5460</v>
      </c>
      <c r="D5176" s="9" t="s">
        <v>5871</v>
      </c>
      <c r="E5176" s="9" t="str">
        <f aca="false">IF(AND('Formation Ledger'!A5155&lt;&gt;"",'Formation Ledger'!V5155=0),"PASS","FAIL")</f>
        <v>PASS</v>
      </c>
      <c r="F5176" s="9" t="s">
        <v>76</v>
      </c>
      <c r="G5176" s="6"/>
      <c r="H5176" s="6"/>
      <c r="I5176" s="6"/>
      <c r="J5176" s="6"/>
      <c r="K5176" s="6"/>
      <c r="L5176" s="6"/>
      <c r="M5176" s="6"/>
      <c r="N5176" s="6"/>
      <c r="O5176" s="6"/>
      <c r="P5176" s="6"/>
      <c r="Q5176" s="6"/>
      <c r="R5176" s="6"/>
      <c r="S5176" s="6"/>
      <c r="T5176" s="6"/>
      <c r="U5176" s="6"/>
      <c r="V5176" s="6"/>
      <c r="W5176" s="6"/>
      <c r="X5176" s="6"/>
      <c r="Y5176" s="6"/>
      <c r="Z5176" s="6"/>
    </row>
    <row r="5177" customFormat="false" ht="15" hidden="false" customHeight="false" outlineLevel="0" collapsed="false">
      <c r="A5177" s="9" t="s">
        <v>11020</v>
      </c>
      <c r="B5177" s="9" t="s">
        <v>5870</v>
      </c>
      <c r="C5177" s="9" t="s">
        <v>5461</v>
      </c>
      <c r="D5177" s="9" t="s">
        <v>5871</v>
      </c>
      <c r="E5177" s="9" t="str">
        <f aca="false">IF(AND('Formation Ledger'!A5156&lt;&gt;"",'Formation Ledger'!V5156=0),"PASS","FAIL")</f>
        <v>PASS</v>
      </c>
      <c r="F5177" s="9" t="s">
        <v>76</v>
      </c>
      <c r="G5177" s="6"/>
      <c r="H5177" s="6"/>
      <c r="I5177" s="6"/>
      <c r="J5177" s="6"/>
      <c r="K5177" s="6"/>
      <c r="L5177" s="6"/>
      <c r="M5177" s="6"/>
      <c r="N5177" s="6"/>
      <c r="O5177" s="6"/>
      <c r="P5177" s="6"/>
      <c r="Q5177" s="6"/>
      <c r="R5177" s="6"/>
      <c r="S5177" s="6"/>
      <c r="T5177" s="6"/>
      <c r="U5177" s="6"/>
      <c r="V5177" s="6"/>
      <c r="W5177" s="6"/>
      <c r="X5177" s="6"/>
      <c r="Y5177" s="6"/>
      <c r="Z5177" s="6"/>
    </row>
    <row r="5178" customFormat="false" ht="15" hidden="false" customHeight="false" outlineLevel="0" collapsed="false">
      <c r="A5178" s="9" t="s">
        <v>11021</v>
      </c>
      <c r="B5178" s="9" t="s">
        <v>5870</v>
      </c>
      <c r="C5178" s="9" t="s">
        <v>5462</v>
      </c>
      <c r="D5178" s="9" t="s">
        <v>5871</v>
      </c>
      <c r="E5178" s="9" t="str">
        <f aca="false">IF(AND('Formation Ledger'!A5157&lt;&gt;"",'Formation Ledger'!V5157=0),"PASS","FAIL")</f>
        <v>PASS</v>
      </c>
      <c r="F5178" s="9" t="s">
        <v>76</v>
      </c>
      <c r="G5178" s="6"/>
      <c r="H5178" s="6"/>
      <c r="I5178" s="6"/>
      <c r="J5178" s="6"/>
      <c r="K5178" s="6"/>
      <c r="L5178" s="6"/>
      <c r="M5178" s="6"/>
      <c r="N5178" s="6"/>
      <c r="O5178" s="6"/>
      <c r="P5178" s="6"/>
      <c r="Q5178" s="6"/>
      <c r="R5178" s="6"/>
      <c r="S5178" s="6"/>
      <c r="T5178" s="6"/>
      <c r="U5178" s="6"/>
      <c r="V5178" s="6"/>
      <c r="W5178" s="6"/>
      <c r="X5178" s="6"/>
      <c r="Y5178" s="6"/>
      <c r="Z5178" s="6"/>
    </row>
    <row r="5179" customFormat="false" ht="15" hidden="false" customHeight="false" outlineLevel="0" collapsed="false">
      <c r="A5179" s="9" t="s">
        <v>11022</v>
      </c>
      <c r="B5179" s="9" t="s">
        <v>5870</v>
      </c>
      <c r="C5179" s="9" t="s">
        <v>5463</v>
      </c>
      <c r="D5179" s="9" t="s">
        <v>5871</v>
      </c>
      <c r="E5179" s="9" t="str">
        <f aca="false">IF(AND('Formation Ledger'!A5158&lt;&gt;"",'Formation Ledger'!V5158=0),"PASS","FAIL")</f>
        <v>PASS</v>
      </c>
      <c r="F5179" s="9" t="s">
        <v>76</v>
      </c>
      <c r="G5179" s="6"/>
      <c r="H5179" s="6"/>
      <c r="I5179" s="6"/>
      <c r="J5179" s="6"/>
      <c r="K5179" s="6"/>
      <c r="L5179" s="6"/>
      <c r="M5179" s="6"/>
      <c r="N5179" s="6"/>
      <c r="O5179" s="6"/>
      <c r="P5179" s="6"/>
      <c r="Q5179" s="6"/>
      <c r="R5179" s="6"/>
      <c r="S5179" s="6"/>
      <c r="T5179" s="6"/>
      <c r="U5179" s="6"/>
      <c r="V5179" s="6"/>
      <c r="W5179" s="6"/>
      <c r="X5179" s="6"/>
      <c r="Y5179" s="6"/>
      <c r="Z5179" s="6"/>
    </row>
    <row r="5180" customFormat="false" ht="15" hidden="false" customHeight="false" outlineLevel="0" collapsed="false">
      <c r="A5180" s="9" t="s">
        <v>11023</v>
      </c>
      <c r="B5180" s="9" t="s">
        <v>5870</v>
      </c>
      <c r="C5180" s="9" t="s">
        <v>5464</v>
      </c>
      <c r="D5180" s="9" t="s">
        <v>5871</v>
      </c>
      <c r="E5180" s="9" t="str">
        <f aca="false">IF(AND('Formation Ledger'!A5159&lt;&gt;"",'Formation Ledger'!V5159=0),"PASS","FAIL")</f>
        <v>PASS</v>
      </c>
      <c r="F5180" s="9" t="s">
        <v>76</v>
      </c>
      <c r="G5180" s="6"/>
      <c r="H5180" s="6"/>
      <c r="I5180" s="6"/>
      <c r="J5180" s="6"/>
      <c r="K5180" s="6"/>
      <c r="L5180" s="6"/>
      <c r="M5180" s="6"/>
      <c r="N5180" s="6"/>
      <c r="O5180" s="6"/>
      <c r="P5180" s="6"/>
      <c r="Q5180" s="6"/>
      <c r="R5180" s="6"/>
      <c r="S5180" s="6"/>
      <c r="T5180" s="6"/>
      <c r="U5180" s="6"/>
      <c r="V5180" s="6"/>
      <c r="W5180" s="6"/>
      <c r="X5180" s="6"/>
      <c r="Y5180" s="6"/>
      <c r="Z5180" s="6"/>
    </row>
    <row r="5181" customFormat="false" ht="15" hidden="false" customHeight="false" outlineLevel="0" collapsed="false">
      <c r="A5181" s="9" t="s">
        <v>11024</v>
      </c>
      <c r="B5181" s="9" t="s">
        <v>5870</v>
      </c>
      <c r="C5181" s="9" t="s">
        <v>5465</v>
      </c>
      <c r="D5181" s="9" t="s">
        <v>5871</v>
      </c>
      <c r="E5181" s="9" t="str">
        <f aca="false">IF(AND('Formation Ledger'!A5160&lt;&gt;"",'Formation Ledger'!V5160=0),"PASS","FAIL")</f>
        <v>PASS</v>
      </c>
      <c r="F5181" s="9" t="s">
        <v>76</v>
      </c>
      <c r="G5181" s="6"/>
      <c r="H5181" s="6"/>
      <c r="I5181" s="6"/>
      <c r="J5181" s="6"/>
      <c r="K5181" s="6"/>
      <c r="L5181" s="6"/>
      <c r="M5181" s="6"/>
      <c r="N5181" s="6"/>
      <c r="O5181" s="6"/>
      <c r="P5181" s="6"/>
      <c r="Q5181" s="6"/>
      <c r="R5181" s="6"/>
      <c r="S5181" s="6"/>
      <c r="T5181" s="6"/>
      <c r="U5181" s="6"/>
      <c r="V5181" s="6"/>
      <c r="W5181" s="6"/>
      <c r="X5181" s="6"/>
      <c r="Y5181" s="6"/>
      <c r="Z5181" s="6"/>
    </row>
    <row r="5182" customFormat="false" ht="15" hidden="false" customHeight="false" outlineLevel="0" collapsed="false">
      <c r="A5182" s="9" t="s">
        <v>11025</v>
      </c>
      <c r="B5182" s="9" t="s">
        <v>5870</v>
      </c>
      <c r="C5182" s="9" t="s">
        <v>5466</v>
      </c>
      <c r="D5182" s="9" t="s">
        <v>5871</v>
      </c>
      <c r="E5182" s="9" t="str">
        <f aca="false">IF(AND('Formation Ledger'!A5161&lt;&gt;"",'Formation Ledger'!V5161=0),"PASS","FAIL")</f>
        <v>PASS</v>
      </c>
      <c r="F5182" s="9" t="s">
        <v>76</v>
      </c>
      <c r="G5182" s="6"/>
      <c r="H5182" s="6"/>
      <c r="I5182" s="6"/>
      <c r="J5182" s="6"/>
      <c r="K5182" s="6"/>
      <c r="L5182" s="6"/>
      <c r="M5182" s="6"/>
      <c r="N5182" s="6"/>
      <c r="O5182" s="6"/>
      <c r="P5182" s="6"/>
      <c r="Q5182" s="6"/>
      <c r="R5182" s="6"/>
      <c r="S5182" s="6"/>
      <c r="T5182" s="6"/>
      <c r="U5182" s="6"/>
      <c r="V5182" s="6"/>
      <c r="W5182" s="6"/>
      <c r="X5182" s="6"/>
      <c r="Y5182" s="6"/>
      <c r="Z5182" s="6"/>
    </row>
    <row r="5183" customFormat="false" ht="15" hidden="false" customHeight="false" outlineLevel="0" collapsed="false">
      <c r="A5183" s="9" t="s">
        <v>11026</v>
      </c>
      <c r="B5183" s="9" t="s">
        <v>5870</v>
      </c>
      <c r="C5183" s="9" t="s">
        <v>5467</v>
      </c>
      <c r="D5183" s="9" t="s">
        <v>5871</v>
      </c>
      <c r="E5183" s="9" t="str">
        <f aca="false">IF(AND('Formation Ledger'!A5162&lt;&gt;"",'Formation Ledger'!V5162=0),"PASS","FAIL")</f>
        <v>PASS</v>
      </c>
      <c r="F5183" s="9" t="s">
        <v>76</v>
      </c>
      <c r="G5183" s="6"/>
      <c r="H5183" s="6"/>
      <c r="I5183" s="6"/>
      <c r="J5183" s="6"/>
      <c r="K5183" s="6"/>
      <c r="L5183" s="6"/>
      <c r="M5183" s="6"/>
      <c r="N5183" s="6"/>
      <c r="O5183" s="6"/>
      <c r="P5183" s="6"/>
      <c r="Q5183" s="6"/>
      <c r="R5183" s="6"/>
      <c r="S5183" s="6"/>
      <c r="T5183" s="6"/>
      <c r="U5183" s="6"/>
      <c r="V5183" s="6"/>
      <c r="W5183" s="6"/>
      <c r="X5183" s="6"/>
      <c r="Y5183" s="6"/>
      <c r="Z5183" s="6"/>
    </row>
    <row r="5184" customFormat="false" ht="15" hidden="false" customHeight="false" outlineLevel="0" collapsed="false">
      <c r="A5184" s="9" t="s">
        <v>11027</v>
      </c>
      <c r="B5184" s="9" t="s">
        <v>5870</v>
      </c>
      <c r="C5184" s="9" t="s">
        <v>5468</v>
      </c>
      <c r="D5184" s="9" t="s">
        <v>5871</v>
      </c>
      <c r="E5184" s="9" t="str">
        <f aca="false">IF(AND('Formation Ledger'!A5163&lt;&gt;"",'Formation Ledger'!V5163=0),"PASS","FAIL")</f>
        <v>PASS</v>
      </c>
      <c r="F5184" s="9" t="s">
        <v>76</v>
      </c>
      <c r="G5184" s="6"/>
      <c r="H5184" s="6"/>
      <c r="I5184" s="6"/>
      <c r="J5184" s="6"/>
      <c r="K5184" s="6"/>
      <c r="L5184" s="6"/>
      <c r="M5184" s="6"/>
      <c r="N5184" s="6"/>
      <c r="O5184" s="6"/>
      <c r="P5184" s="6"/>
      <c r="Q5184" s="6"/>
      <c r="R5184" s="6"/>
      <c r="S5184" s="6"/>
      <c r="T5184" s="6"/>
      <c r="U5184" s="6"/>
      <c r="V5184" s="6"/>
      <c r="W5184" s="6"/>
      <c r="X5184" s="6"/>
      <c r="Y5184" s="6"/>
      <c r="Z5184" s="6"/>
    </row>
    <row r="5185" customFormat="false" ht="15" hidden="false" customHeight="false" outlineLevel="0" collapsed="false">
      <c r="A5185" s="9" t="s">
        <v>11028</v>
      </c>
      <c r="B5185" s="9" t="s">
        <v>5870</v>
      </c>
      <c r="C5185" s="9" t="s">
        <v>5469</v>
      </c>
      <c r="D5185" s="9" t="s">
        <v>5871</v>
      </c>
      <c r="E5185" s="9" t="str">
        <f aca="false">IF(AND('Formation Ledger'!A5164&lt;&gt;"",'Formation Ledger'!V5164=0),"PASS","FAIL")</f>
        <v>PASS</v>
      </c>
      <c r="F5185" s="9" t="s">
        <v>76</v>
      </c>
      <c r="G5185" s="6"/>
      <c r="H5185" s="6"/>
      <c r="I5185" s="6"/>
      <c r="J5185" s="6"/>
      <c r="K5185" s="6"/>
      <c r="L5185" s="6"/>
      <c r="M5185" s="6"/>
      <c r="N5185" s="6"/>
      <c r="O5185" s="6"/>
      <c r="P5185" s="6"/>
      <c r="Q5185" s="6"/>
      <c r="R5185" s="6"/>
      <c r="S5185" s="6"/>
      <c r="T5185" s="6"/>
      <c r="U5185" s="6"/>
      <c r="V5185" s="6"/>
      <c r="W5185" s="6"/>
      <c r="X5185" s="6"/>
      <c r="Y5185" s="6"/>
      <c r="Z5185" s="6"/>
    </row>
    <row r="5186" customFormat="false" ht="15" hidden="false" customHeight="false" outlineLevel="0" collapsed="false">
      <c r="A5186" s="9" t="s">
        <v>11029</v>
      </c>
      <c r="B5186" s="9" t="s">
        <v>5870</v>
      </c>
      <c r="C5186" s="9" t="s">
        <v>5470</v>
      </c>
      <c r="D5186" s="9" t="s">
        <v>5871</v>
      </c>
      <c r="E5186" s="9" t="str">
        <f aca="false">IF(AND('Formation Ledger'!A5165&lt;&gt;"",'Formation Ledger'!V5165=0),"PASS","FAIL")</f>
        <v>PASS</v>
      </c>
      <c r="F5186" s="9" t="s">
        <v>76</v>
      </c>
      <c r="G5186" s="6"/>
      <c r="H5186" s="6"/>
      <c r="I5186" s="6"/>
      <c r="J5186" s="6"/>
      <c r="K5186" s="6"/>
      <c r="L5186" s="6"/>
      <c r="M5186" s="6"/>
      <c r="N5186" s="6"/>
      <c r="O5186" s="6"/>
      <c r="P5186" s="6"/>
      <c r="Q5186" s="6"/>
      <c r="R5186" s="6"/>
      <c r="S5186" s="6"/>
      <c r="T5186" s="6"/>
      <c r="U5186" s="6"/>
      <c r="V5186" s="6"/>
      <c r="W5186" s="6"/>
      <c r="X5186" s="6"/>
      <c r="Y5186" s="6"/>
      <c r="Z5186" s="6"/>
    </row>
    <row r="5187" customFormat="false" ht="15" hidden="false" customHeight="false" outlineLevel="0" collapsed="false">
      <c r="A5187" s="9" t="s">
        <v>11030</v>
      </c>
      <c r="B5187" s="9" t="s">
        <v>5870</v>
      </c>
      <c r="C5187" s="9" t="s">
        <v>5471</v>
      </c>
      <c r="D5187" s="9" t="s">
        <v>5871</v>
      </c>
      <c r="E5187" s="9" t="str">
        <f aca="false">IF(AND('Formation Ledger'!A5166&lt;&gt;"",'Formation Ledger'!V5166=0),"PASS","FAIL")</f>
        <v>PASS</v>
      </c>
      <c r="F5187" s="9" t="s">
        <v>76</v>
      </c>
      <c r="G5187" s="6"/>
      <c r="H5187" s="6"/>
      <c r="I5187" s="6"/>
      <c r="J5187" s="6"/>
      <c r="K5187" s="6"/>
      <c r="L5187" s="6"/>
      <c r="M5187" s="6"/>
      <c r="N5187" s="6"/>
      <c r="O5187" s="6"/>
      <c r="P5187" s="6"/>
      <c r="Q5187" s="6"/>
      <c r="R5187" s="6"/>
      <c r="S5187" s="6"/>
      <c r="T5187" s="6"/>
      <c r="U5187" s="6"/>
      <c r="V5187" s="6"/>
      <c r="W5187" s="6"/>
      <c r="X5187" s="6"/>
      <c r="Y5187" s="6"/>
      <c r="Z5187" s="6"/>
    </row>
    <row r="5188" customFormat="false" ht="15" hidden="false" customHeight="false" outlineLevel="0" collapsed="false">
      <c r="A5188" s="9" t="s">
        <v>11031</v>
      </c>
      <c r="B5188" s="9" t="s">
        <v>5870</v>
      </c>
      <c r="C5188" s="9" t="s">
        <v>5472</v>
      </c>
      <c r="D5188" s="9" t="s">
        <v>5871</v>
      </c>
      <c r="E5188" s="9" t="str">
        <f aca="false">IF(AND('Formation Ledger'!A5167&lt;&gt;"",'Formation Ledger'!V5167=0),"PASS","FAIL")</f>
        <v>PASS</v>
      </c>
      <c r="F5188" s="9" t="s">
        <v>76</v>
      </c>
      <c r="G5188" s="6"/>
      <c r="H5188" s="6"/>
      <c r="I5188" s="6"/>
      <c r="J5188" s="6"/>
      <c r="K5188" s="6"/>
      <c r="L5188" s="6"/>
      <c r="M5188" s="6"/>
      <c r="N5188" s="6"/>
      <c r="O5188" s="6"/>
      <c r="P5188" s="6"/>
      <c r="Q5188" s="6"/>
      <c r="R5188" s="6"/>
      <c r="S5188" s="6"/>
      <c r="T5188" s="6"/>
      <c r="U5188" s="6"/>
      <c r="V5188" s="6"/>
      <c r="W5188" s="6"/>
      <c r="X5188" s="6"/>
      <c r="Y5188" s="6"/>
      <c r="Z5188" s="6"/>
    </row>
    <row r="5189" customFormat="false" ht="15" hidden="false" customHeight="false" outlineLevel="0" collapsed="false">
      <c r="A5189" s="9" t="s">
        <v>11032</v>
      </c>
      <c r="B5189" s="9" t="s">
        <v>5870</v>
      </c>
      <c r="C5189" s="9" t="s">
        <v>5473</v>
      </c>
      <c r="D5189" s="9" t="s">
        <v>5871</v>
      </c>
      <c r="E5189" s="9" t="str">
        <f aca="false">IF(AND('Formation Ledger'!A5168&lt;&gt;"",'Formation Ledger'!V5168=0),"PASS","FAIL")</f>
        <v>PASS</v>
      </c>
      <c r="F5189" s="9" t="s">
        <v>76</v>
      </c>
      <c r="G5189" s="6"/>
      <c r="H5189" s="6"/>
      <c r="I5189" s="6"/>
      <c r="J5189" s="6"/>
      <c r="K5189" s="6"/>
      <c r="L5189" s="6"/>
      <c r="M5189" s="6"/>
      <c r="N5189" s="6"/>
      <c r="O5189" s="6"/>
      <c r="P5189" s="6"/>
      <c r="Q5189" s="6"/>
      <c r="R5189" s="6"/>
      <c r="S5189" s="6"/>
      <c r="T5189" s="6"/>
      <c r="U5189" s="6"/>
      <c r="V5189" s="6"/>
      <c r="W5189" s="6"/>
      <c r="X5189" s="6"/>
      <c r="Y5189" s="6"/>
      <c r="Z5189" s="6"/>
    </row>
    <row r="5190" customFormat="false" ht="15" hidden="false" customHeight="false" outlineLevel="0" collapsed="false">
      <c r="A5190" s="9" t="s">
        <v>11033</v>
      </c>
      <c r="B5190" s="9" t="s">
        <v>5870</v>
      </c>
      <c r="C5190" s="9" t="s">
        <v>5474</v>
      </c>
      <c r="D5190" s="9" t="s">
        <v>5871</v>
      </c>
      <c r="E5190" s="9" t="str">
        <f aca="false">IF(AND('Formation Ledger'!A5169&lt;&gt;"",'Formation Ledger'!V5169=0),"PASS","FAIL")</f>
        <v>PASS</v>
      </c>
      <c r="F5190" s="9" t="s">
        <v>76</v>
      </c>
      <c r="G5190" s="6"/>
      <c r="H5190" s="6"/>
      <c r="I5190" s="6"/>
      <c r="J5190" s="6"/>
      <c r="K5190" s="6"/>
      <c r="L5190" s="6"/>
      <c r="M5190" s="6"/>
      <c r="N5190" s="6"/>
      <c r="O5190" s="6"/>
      <c r="P5190" s="6"/>
      <c r="Q5190" s="6"/>
      <c r="R5190" s="6"/>
      <c r="S5190" s="6"/>
      <c r="T5190" s="6"/>
      <c r="U5190" s="6"/>
      <c r="V5190" s="6"/>
      <c r="W5190" s="6"/>
      <c r="X5190" s="6"/>
      <c r="Y5190" s="6"/>
      <c r="Z5190" s="6"/>
    </row>
    <row r="5191" customFormat="false" ht="15" hidden="false" customHeight="false" outlineLevel="0" collapsed="false">
      <c r="A5191" s="9" t="s">
        <v>11034</v>
      </c>
      <c r="B5191" s="9" t="s">
        <v>5870</v>
      </c>
      <c r="C5191" s="9" t="s">
        <v>5475</v>
      </c>
      <c r="D5191" s="9" t="s">
        <v>5871</v>
      </c>
      <c r="E5191" s="9" t="str">
        <f aca="false">IF(AND('Formation Ledger'!A5170&lt;&gt;"",'Formation Ledger'!V5170=0),"PASS","FAIL")</f>
        <v>PASS</v>
      </c>
      <c r="F5191" s="9" t="s">
        <v>76</v>
      </c>
      <c r="G5191" s="6"/>
      <c r="H5191" s="6"/>
      <c r="I5191" s="6"/>
      <c r="J5191" s="6"/>
      <c r="K5191" s="6"/>
      <c r="L5191" s="6"/>
      <c r="M5191" s="6"/>
      <c r="N5191" s="6"/>
      <c r="O5191" s="6"/>
      <c r="P5191" s="6"/>
      <c r="Q5191" s="6"/>
      <c r="R5191" s="6"/>
      <c r="S5191" s="6"/>
      <c r="T5191" s="6"/>
      <c r="U5191" s="6"/>
      <c r="V5191" s="6"/>
      <c r="W5191" s="6"/>
      <c r="X5191" s="6"/>
      <c r="Y5191" s="6"/>
      <c r="Z5191" s="6"/>
    </row>
    <row r="5192" customFormat="false" ht="15" hidden="false" customHeight="false" outlineLevel="0" collapsed="false">
      <c r="A5192" s="9" t="s">
        <v>11035</v>
      </c>
      <c r="B5192" s="9" t="s">
        <v>5870</v>
      </c>
      <c r="C5192" s="9" t="s">
        <v>5476</v>
      </c>
      <c r="D5192" s="9" t="s">
        <v>5871</v>
      </c>
      <c r="E5192" s="9" t="str">
        <f aca="false">IF(AND('Formation Ledger'!A5171&lt;&gt;"",'Formation Ledger'!V5171=0),"PASS","FAIL")</f>
        <v>PASS</v>
      </c>
      <c r="F5192" s="9" t="s">
        <v>76</v>
      </c>
      <c r="G5192" s="6"/>
      <c r="H5192" s="6"/>
      <c r="I5192" s="6"/>
      <c r="J5192" s="6"/>
      <c r="K5192" s="6"/>
      <c r="L5192" s="6"/>
      <c r="M5192" s="6"/>
      <c r="N5192" s="6"/>
      <c r="O5192" s="6"/>
      <c r="P5192" s="6"/>
      <c r="Q5192" s="6"/>
      <c r="R5192" s="6"/>
      <c r="S5192" s="6"/>
      <c r="T5192" s="6"/>
      <c r="U5192" s="6"/>
      <c r="V5192" s="6"/>
      <c r="W5192" s="6"/>
      <c r="X5192" s="6"/>
      <c r="Y5192" s="6"/>
      <c r="Z5192" s="6"/>
    </row>
    <row r="5193" customFormat="false" ht="15" hidden="false" customHeight="false" outlineLevel="0" collapsed="false">
      <c r="A5193" s="9" t="s">
        <v>11036</v>
      </c>
      <c r="B5193" s="9" t="s">
        <v>5870</v>
      </c>
      <c r="C5193" s="9" t="s">
        <v>5477</v>
      </c>
      <c r="D5193" s="9" t="s">
        <v>5871</v>
      </c>
      <c r="E5193" s="9" t="str">
        <f aca="false">IF(AND('Formation Ledger'!A5172&lt;&gt;"",'Formation Ledger'!V5172=0),"PASS","FAIL")</f>
        <v>PASS</v>
      </c>
      <c r="F5193" s="9" t="s">
        <v>76</v>
      </c>
      <c r="G5193" s="6"/>
      <c r="H5193" s="6"/>
      <c r="I5193" s="6"/>
      <c r="J5193" s="6"/>
      <c r="K5193" s="6"/>
      <c r="L5193" s="6"/>
      <c r="M5193" s="6"/>
      <c r="N5193" s="6"/>
      <c r="O5193" s="6"/>
      <c r="P5193" s="6"/>
      <c r="Q5193" s="6"/>
      <c r="R5193" s="6"/>
      <c r="S5193" s="6"/>
      <c r="T5193" s="6"/>
      <c r="U5193" s="6"/>
      <c r="V5193" s="6"/>
      <c r="W5193" s="6"/>
      <c r="X5193" s="6"/>
      <c r="Y5193" s="6"/>
      <c r="Z5193" s="6"/>
    </row>
    <row r="5194" customFormat="false" ht="15" hidden="false" customHeight="false" outlineLevel="0" collapsed="false">
      <c r="A5194" s="9" t="s">
        <v>11037</v>
      </c>
      <c r="B5194" s="9" t="s">
        <v>5870</v>
      </c>
      <c r="C5194" s="9" t="s">
        <v>5478</v>
      </c>
      <c r="D5194" s="9" t="s">
        <v>5871</v>
      </c>
      <c r="E5194" s="9" t="str">
        <f aca="false">IF(AND('Formation Ledger'!A5173&lt;&gt;"",'Formation Ledger'!V5173=0),"PASS","FAIL")</f>
        <v>PASS</v>
      </c>
      <c r="F5194" s="9" t="s">
        <v>76</v>
      </c>
      <c r="G5194" s="6"/>
      <c r="H5194" s="6"/>
      <c r="I5194" s="6"/>
      <c r="J5194" s="6"/>
      <c r="K5194" s="6"/>
      <c r="L5194" s="6"/>
      <c r="M5194" s="6"/>
      <c r="N5194" s="6"/>
      <c r="O5194" s="6"/>
      <c r="P5194" s="6"/>
      <c r="Q5194" s="6"/>
      <c r="R5194" s="6"/>
      <c r="S5194" s="6"/>
      <c r="T5194" s="6"/>
      <c r="U5194" s="6"/>
      <c r="V5194" s="6"/>
      <c r="W5194" s="6"/>
      <c r="X5194" s="6"/>
      <c r="Y5194" s="6"/>
      <c r="Z5194" s="6"/>
    </row>
    <row r="5195" customFormat="false" ht="15" hidden="false" customHeight="false" outlineLevel="0" collapsed="false">
      <c r="A5195" s="9" t="s">
        <v>11038</v>
      </c>
      <c r="B5195" s="9" t="s">
        <v>5870</v>
      </c>
      <c r="C5195" s="9" t="s">
        <v>5479</v>
      </c>
      <c r="D5195" s="9" t="s">
        <v>5871</v>
      </c>
      <c r="E5195" s="9" t="str">
        <f aca="false">IF(AND('Formation Ledger'!A5174&lt;&gt;"",'Formation Ledger'!V5174=0),"PASS","FAIL")</f>
        <v>PASS</v>
      </c>
      <c r="F5195" s="9" t="s">
        <v>76</v>
      </c>
      <c r="G5195" s="6"/>
      <c r="H5195" s="6"/>
      <c r="I5195" s="6"/>
      <c r="J5195" s="6"/>
      <c r="K5195" s="6"/>
      <c r="L5195" s="6"/>
      <c r="M5195" s="6"/>
      <c r="N5195" s="6"/>
      <c r="O5195" s="6"/>
      <c r="P5195" s="6"/>
      <c r="Q5195" s="6"/>
      <c r="R5195" s="6"/>
      <c r="S5195" s="6"/>
      <c r="T5195" s="6"/>
      <c r="U5195" s="6"/>
      <c r="V5195" s="6"/>
      <c r="W5195" s="6"/>
      <c r="X5195" s="6"/>
      <c r="Y5195" s="6"/>
      <c r="Z5195" s="6"/>
    </row>
    <row r="5196" customFormat="false" ht="15" hidden="false" customHeight="false" outlineLevel="0" collapsed="false">
      <c r="A5196" s="9" t="s">
        <v>11039</v>
      </c>
      <c r="B5196" s="9" t="s">
        <v>5870</v>
      </c>
      <c r="C5196" s="9" t="s">
        <v>5480</v>
      </c>
      <c r="D5196" s="9" t="s">
        <v>5871</v>
      </c>
      <c r="E5196" s="9" t="str">
        <f aca="false">IF(AND('Formation Ledger'!A5175&lt;&gt;"",'Formation Ledger'!V5175=0),"PASS","FAIL")</f>
        <v>PASS</v>
      </c>
      <c r="F5196" s="9" t="s">
        <v>76</v>
      </c>
      <c r="G5196" s="6"/>
      <c r="H5196" s="6"/>
      <c r="I5196" s="6"/>
      <c r="J5196" s="6"/>
      <c r="K5196" s="6"/>
      <c r="L5196" s="6"/>
      <c r="M5196" s="6"/>
      <c r="N5196" s="6"/>
      <c r="O5196" s="6"/>
      <c r="P5196" s="6"/>
      <c r="Q5196" s="6"/>
      <c r="R5196" s="6"/>
      <c r="S5196" s="6"/>
      <c r="T5196" s="6"/>
      <c r="U5196" s="6"/>
      <c r="V5196" s="6"/>
      <c r="W5196" s="6"/>
      <c r="X5196" s="6"/>
      <c r="Y5196" s="6"/>
      <c r="Z5196" s="6"/>
    </row>
    <row r="5197" customFormat="false" ht="15" hidden="false" customHeight="false" outlineLevel="0" collapsed="false">
      <c r="A5197" s="9" t="s">
        <v>11040</v>
      </c>
      <c r="B5197" s="9" t="s">
        <v>5870</v>
      </c>
      <c r="C5197" s="9" t="s">
        <v>5481</v>
      </c>
      <c r="D5197" s="9" t="s">
        <v>5871</v>
      </c>
      <c r="E5197" s="9" t="str">
        <f aca="false">IF(AND('Formation Ledger'!A5176&lt;&gt;"",'Formation Ledger'!V5176=0),"PASS","FAIL")</f>
        <v>PASS</v>
      </c>
      <c r="F5197" s="9" t="s">
        <v>76</v>
      </c>
      <c r="G5197" s="6"/>
      <c r="H5197" s="6"/>
      <c r="I5197" s="6"/>
      <c r="J5197" s="6"/>
      <c r="K5197" s="6"/>
      <c r="L5197" s="6"/>
      <c r="M5197" s="6"/>
      <c r="N5197" s="6"/>
      <c r="O5197" s="6"/>
      <c r="P5197" s="6"/>
      <c r="Q5197" s="6"/>
      <c r="R5197" s="6"/>
      <c r="S5197" s="6"/>
      <c r="T5197" s="6"/>
      <c r="U5197" s="6"/>
      <c r="V5197" s="6"/>
      <c r="W5197" s="6"/>
      <c r="X5197" s="6"/>
      <c r="Y5197" s="6"/>
      <c r="Z5197" s="6"/>
    </row>
    <row r="5198" customFormat="false" ht="15" hidden="false" customHeight="false" outlineLevel="0" collapsed="false">
      <c r="A5198" s="9" t="s">
        <v>11041</v>
      </c>
      <c r="B5198" s="9" t="s">
        <v>5870</v>
      </c>
      <c r="C5198" s="9" t="s">
        <v>5482</v>
      </c>
      <c r="D5198" s="9" t="s">
        <v>5871</v>
      </c>
      <c r="E5198" s="9" t="str">
        <f aca="false">IF(AND('Formation Ledger'!A5177&lt;&gt;"",'Formation Ledger'!V5177=0),"PASS","FAIL")</f>
        <v>PASS</v>
      </c>
      <c r="F5198" s="9" t="s">
        <v>76</v>
      </c>
      <c r="G5198" s="6"/>
      <c r="H5198" s="6"/>
      <c r="I5198" s="6"/>
      <c r="J5198" s="6"/>
      <c r="K5198" s="6"/>
      <c r="L5198" s="6"/>
      <c r="M5198" s="6"/>
      <c r="N5198" s="6"/>
      <c r="O5198" s="6"/>
      <c r="P5198" s="6"/>
      <c r="Q5198" s="6"/>
      <c r="R5198" s="6"/>
      <c r="S5198" s="6"/>
      <c r="T5198" s="6"/>
      <c r="U5198" s="6"/>
      <c r="V5198" s="6"/>
      <c r="W5198" s="6"/>
      <c r="X5198" s="6"/>
      <c r="Y5198" s="6"/>
      <c r="Z5198" s="6"/>
    </row>
    <row r="5199" customFormat="false" ht="15" hidden="false" customHeight="false" outlineLevel="0" collapsed="false">
      <c r="A5199" s="9" t="s">
        <v>11042</v>
      </c>
      <c r="B5199" s="9" t="s">
        <v>5870</v>
      </c>
      <c r="C5199" s="9" t="s">
        <v>5483</v>
      </c>
      <c r="D5199" s="9" t="s">
        <v>5871</v>
      </c>
      <c r="E5199" s="9" t="str">
        <f aca="false">IF(AND('Formation Ledger'!A5178&lt;&gt;"",'Formation Ledger'!V5178=0),"PASS","FAIL")</f>
        <v>PASS</v>
      </c>
      <c r="F5199" s="9" t="s">
        <v>76</v>
      </c>
      <c r="G5199" s="6"/>
      <c r="H5199" s="6"/>
      <c r="I5199" s="6"/>
      <c r="J5199" s="6"/>
      <c r="K5199" s="6"/>
      <c r="L5199" s="6"/>
      <c r="M5199" s="6"/>
      <c r="N5199" s="6"/>
      <c r="O5199" s="6"/>
      <c r="P5199" s="6"/>
      <c r="Q5199" s="6"/>
      <c r="R5199" s="6"/>
      <c r="S5199" s="6"/>
      <c r="T5199" s="6"/>
      <c r="U5199" s="6"/>
      <c r="V5199" s="6"/>
      <c r="W5199" s="6"/>
      <c r="X5199" s="6"/>
      <c r="Y5199" s="6"/>
      <c r="Z5199" s="6"/>
    </row>
    <row r="5200" customFormat="false" ht="15" hidden="false" customHeight="false" outlineLevel="0" collapsed="false">
      <c r="A5200" s="9" t="s">
        <v>11043</v>
      </c>
      <c r="B5200" s="9" t="s">
        <v>5870</v>
      </c>
      <c r="C5200" s="9" t="s">
        <v>5484</v>
      </c>
      <c r="D5200" s="9" t="s">
        <v>5871</v>
      </c>
      <c r="E5200" s="9" t="str">
        <f aca="false">IF(AND('Formation Ledger'!A5179&lt;&gt;"",'Formation Ledger'!V5179=0),"PASS","FAIL")</f>
        <v>PASS</v>
      </c>
      <c r="F5200" s="9" t="s">
        <v>76</v>
      </c>
      <c r="G5200" s="6"/>
      <c r="H5200" s="6"/>
      <c r="I5200" s="6"/>
      <c r="J5200" s="6"/>
      <c r="K5200" s="6"/>
      <c r="L5200" s="6"/>
      <c r="M5200" s="6"/>
      <c r="N5200" s="6"/>
      <c r="O5200" s="6"/>
      <c r="P5200" s="6"/>
      <c r="Q5200" s="6"/>
      <c r="R5200" s="6"/>
      <c r="S5200" s="6"/>
      <c r="T5200" s="6"/>
      <c r="U5200" s="6"/>
      <c r="V5200" s="6"/>
      <c r="W5200" s="6"/>
      <c r="X5200" s="6"/>
      <c r="Y5200" s="6"/>
      <c r="Z5200" s="6"/>
    </row>
    <row r="5201" customFormat="false" ht="15" hidden="false" customHeight="false" outlineLevel="0" collapsed="false">
      <c r="A5201" s="9" t="s">
        <v>11044</v>
      </c>
      <c r="B5201" s="9" t="s">
        <v>5870</v>
      </c>
      <c r="C5201" s="9" t="s">
        <v>5485</v>
      </c>
      <c r="D5201" s="9" t="s">
        <v>5871</v>
      </c>
      <c r="E5201" s="9" t="str">
        <f aca="false">IF(AND('Formation Ledger'!A5180&lt;&gt;"",'Formation Ledger'!V5180=0),"PASS","FAIL")</f>
        <v>PASS</v>
      </c>
      <c r="F5201" s="9" t="s">
        <v>76</v>
      </c>
      <c r="G5201" s="6"/>
      <c r="H5201" s="6"/>
      <c r="I5201" s="6"/>
      <c r="J5201" s="6"/>
      <c r="K5201" s="6"/>
      <c r="L5201" s="6"/>
      <c r="M5201" s="6"/>
      <c r="N5201" s="6"/>
      <c r="O5201" s="6"/>
      <c r="P5201" s="6"/>
      <c r="Q5201" s="6"/>
      <c r="R5201" s="6"/>
      <c r="S5201" s="6"/>
      <c r="T5201" s="6"/>
      <c r="U5201" s="6"/>
      <c r="V5201" s="6"/>
      <c r="W5201" s="6"/>
      <c r="X5201" s="6"/>
      <c r="Y5201" s="6"/>
      <c r="Z5201" s="6"/>
    </row>
    <row r="5202" customFormat="false" ht="15" hidden="false" customHeight="false" outlineLevel="0" collapsed="false">
      <c r="A5202" s="9" t="s">
        <v>11045</v>
      </c>
      <c r="B5202" s="9" t="s">
        <v>5870</v>
      </c>
      <c r="C5202" s="9" t="s">
        <v>5486</v>
      </c>
      <c r="D5202" s="9" t="s">
        <v>5871</v>
      </c>
      <c r="E5202" s="9" t="str">
        <f aca="false">IF(AND('Formation Ledger'!A5181&lt;&gt;"",'Formation Ledger'!V5181=0),"PASS","FAIL")</f>
        <v>PASS</v>
      </c>
      <c r="F5202" s="9" t="s">
        <v>76</v>
      </c>
      <c r="G5202" s="6"/>
      <c r="H5202" s="6"/>
      <c r="I5202" s="6"/>
      <c r="J5202" s="6"/>
      <c r="K5202" s="6"/>
      <c r="L5202" s="6"/>
      <c r="M5202" s="6"/>
      <c r="N5202" s="6"/>
      <c r="O5202" s="6"/>
      <c r="P5202" s="6"/>
      <c r="Q5202" s="6"/>
      <c r="R5202" s="6"/>
      <c r="S5202" s="6"/>
      <c r="T5202" s="6"/>
      <c r="U5202" s="6"/>
      <c r="V5202" s="6"/>
      <c r="W5202" s="6"/>
      <c r="X5202" s="6"/>
      <c r="Y5202" s="6"/>
      <c r="Z5202" s="6"/>
    </row>
    <row r="5203" customFormat="false" ht="15" hidden="false" customHeight="false" outlineLevel="0" collapsed="false">
      <c r="A5203" s="9" t="s">
        <v>11046</v>
      </c>
      <c r="B5203" s="9" t="s">
        <v>5870</v>
      </c>
      <c r="C5203" s="9" t="s">
        <v>5487</v>
      </c>
      <c r="D5203" s="9" t="s">
        <v>5871</v>
      </c>
      <c r="E5203" s="9" t="str">
        <f aca="false">IF(AND('Formation Ledger'!A5182&lt;&gt;"",'Formation Ledger'!V5182=0),"PASS","FAIL")</f>
        <v>PASS</v>
      </c>
      <c r="F5203" s="9" t="s">
        <v>76</v>
      </c>
      <c r="G5203" s="6"/>
      <c r="H5203" s="6"/>
      <c r="I5203" s="6"/>
      <c r="J5203" s="6"/>
      <c r="K5203" s="6"/>
      <c r="L5203" s="6"/>
      <c r="M5203" s="6"/>
      <c r="N5203" s="6"/>
      <c r="O5203" s="6"/>
      <c r="P5203" s="6"/>
      <c r="Q5203" s="6"/>
      <c r="R5203" s="6"/>
      <c r="S5203" s="6"/>
      <c r="T5203" s="6"/>
      <c r="U5203" s="6"/>
      <c r="V5203" s="6"/>
      <c r="W5203" s="6"/>
      <c r="X5203" s="6"/>
      <c r="Y5203" s="6"/>
      <c r="Z5203" s="6"/>
    </row>
    <row r="5204" customFormat="false" ht="15" hidden="false" customHeight="false" outlineLevel="0" collapsed="false">
      <c r="A5204" s="9" t="s">
        <v>11047</v>
      </c>
      <c r="B5204" s="9" t="s">
        <v>5870</v>
      </c>
      <c r="C5204" s="9" t="s">
        <v>5488</v>
      </c>
      <c r="D5204" s="9" t="s">
        <v>5871</v>
      </c>
      <c r="E5204" s="9" t="str">
        <f aca="false">IF(AND('Formation Ledger'!A5183&lt;&gt;"",'Formation Ledger'!V5183=0),"PASS","FAIL")</f>
        <v>PASS</v>
      </c>
      <c r="F5204" s="9" t="s">
        <v>76</v>
      </c>
      <c r="G5204" s="6"/>
      <c r="H5204" s="6"/>
      <c r="I5204" s="6"/>
      <c r="J5204" s="6"/>
      <c r="K5204" s="6"/>
      <c r="L5204" s="6"/>
      <c r="M5204" s="6"/>
      <c r="N5204" s="6"/>
      <c r="O5204" s="6"/>
      <c r="P5204" s="6"/>
      <c r="Q5204" s="6"/>
      <c r="R5204" s="6"/>
      <c r="S5204" s="6"/>
      <c r="T5204" s="6"/>
      <c r="U5204" s="6"/>
      <c r="V5204" s="6"/>
      <c r="W5204" s="6"/>
      <c r="X5204" s="6"/>
      <c r="Y5204" s="6"/>
      <c r="Z5204" s="6"/>
    </row>
    <row r="5205" customFormat="false" ht="15" hidden="false" customHeight="false" outlineLevel="0" collapsed="false">
      <c r="A5205" s="9" t="s">
        <v>11048</v>
      </c>
      <c r="B5205" s="9" t="s">
        <v>5870</v>
      </c>
      <c r="C5205" s="9" t="s">
        <v>5489</v>
      </c>
      <c r="D5205" s="9" t="s">
        <v>5871</v>
      </c>
      <c r="E5205" s="9" t="str">
        <f aca="false">IF(AND('Formation Ledger'!A5184&lt;&gt;"",'Formation Ledger'!V5184=0),"PASS","FAIL")</f>
        <v>PASS</v>
      </c>
      <c r="F5205" s="9" t="s">
        <v>76</v>
      </c>
      <c r="G5205" s="6"/>
      <c r="H5205" s="6"/>
      <c r="I5205" s="6"/>
      <c r="J5205" s="6"/>
      <c r="K5205" s="6"/>
      <c r="L5205" s="6"/>
      <c r="M5205" s="6"/>
      <c r="N5205" s="6"/>
      <c r="O5205" s="6"/>
      <c r="P5205" s="6"/>
      <c r="Q5205" s="6"/>
      <c r="R5205" s="6"/>
      <c r="S5205" s="6"/>
      <c r="T5205" s="6"/>
      <c r="U5205" s="6"/>
      <c r="V5205" s="6"/>
      <c r="W5205" s="6"/>
      <c r="X5205" s="6"/>
      <c r="Y5205" s="6"/>
      <c r="Z5205" s="6"/>
    </row>
    <row r="5206" customFormat="false" ht="15" hidden="false" customHeight="false" outlineLevel="0" collapsed="false">
      <c r="A5206" s="9" t="s">
        <v>11049</v>
      </c>
      <c r="B5206" s="9" t="s">
        <v>5870</v>
      </c>
      <c r="C5206" s="9" t="s">
        <v>5490</v>
      </c>
      <c r="D5206" s="9" t="s">
        <v>5871</v>
      </c>
      <c r="E5206" s="9" t="str">
        <f aca="false">IF(AND('Formation Ledger'!A5185&lt;&gt;"",'Formation Ledger'!V5185=0),"PASS","FAIL")</f>
        <v>PASS</v>
      </c>
      <c r="F5206" s="9" t="s">
        <v>76</v>
      </c>
      <c r="G5206" s="6"/>
      <c r="H5206" s="6"/>
      <c r="I5206" s="6"/>
      <c r="J5206" s="6"/>
      <c r="K5206" s="6"/>
      <c r="L5206" s="6"/>
      <c r="M5206" s="6"/>
      <c r="N5206" s="6"/>
      <c r="O5206" s="6"/>
      <c r="P5206" s="6"/>
      <c r="Q5206" s="6"/>
      <c r="R5206" s="6"/>
      <c r="S5206" s="6"/>
      <c r="T5206" s="6"/>
      <c r="U5206" s="6"/>
      <c r="V5206" s="6"/>
      <c r="W5206" s="6"/>
      <c r="X5206" s="6"/>
      <c r="Y5206" s="6"/>
      <c r="Z5206" s="6"/>
    </row>
    <row r="5207" customFormat="false" ht="15" hidden="false" customHeight="false" outlineLevel="0" collapsed="false">
      <c r="A5207" s="9" t="s">
        <v>11050</v>
      </c>
      <c r="B5207" s="9" t="s">
        <v>5870</v>
      </c>
      <c r="C5207" s="9" t="s">
        <v>5491</v>
      </c>
      <c r="D5207" s="9" t="s">
        <v>5871</v>
      </c>
      <c r="E5207" s="9" t="str">
        <f aca="false">IF(AND('Formation Ledger'!A5186&lt;&gt;"",'Formation Ledger'!V5186=0),"PASS","FAIL")</f>
        <v>PASS</v>
      </c>
      <c r="F5207" s="9" t="s">
        <v>76</v>
      </c>
      <c r="G5207" s="6"/>
      <c r="H5207" s="6"/>
      <c r="I5207" s="6"/>
      <c r="J5207" s="6"/>
      <c r="K5207" s="6"/>
      <c r="L5207" s="6"/>
      <c r="M5207" s="6"/>
      <c r="N5207" s="6"/>
      <c r="O5207" s="6"/>
      <c r="P5207" s="6"/>
      <c r="Q5207" s="6"/>
      <c r="R5207" s="6"/>
      <c r="S5207" s="6"/>
      <c r="T5207" s="6"/>
      <c r="U5207" s="6"/>
      <c r="V5207" s="6"/>
      <c r="W5207" s="6"/>
      <c r="X5207" s="6"/>
      <c r="Y5207" s="6"/>
      <c r="Z5207" s="6"/>
    </row>
    <row r="5208" customFormat="false" ht="15" hidden="false" customHeight="false" outlineLevel="0" collapsed="false">
      <c r="A5208" s="9" t="s">
        <v>11051</v>
      </c>
      <c r="B5208" s="9" t="s">
        <v>5870</v>
      </c>
      <c r="C5208" s="9" t="s">
        <v>5492</v>
      </c>
      <c r="D5208" s="9" t="s">
        <v>5871</v>
      </c>
      <c r="E5208" s="9" t="str">
        <f aca="false">IF(AND('Formation Ledger'!A5187&lt;&gt;"",'Formation Ledger'!V5187=0),"PASS","FAIL")</f>
        <v>PASS</v>
      </c>
      <c r="F5208" s="9" t="s">
        <v>76</v>
      </c>
      <c r="G5208" s="6"/>
      <c r="H5208" s="6"/>
      <c r="I5208" s="6"/>
      <c r="J5208" s="6"/>
      <c r="K5208" s="6"/>
      <c r="L5208" s="6"/>
      <c r="M5208" s="6"/>
      <c r="N5208" s="6"/>
      <c r="O5208" s="6"/>
      <c r="P5208" s="6"/>
      <c r="Q5208" s="6"/>
      <c r="R5208" s="6"/>
      <c r="S5208" s="6"/>
      <c r="T5208" s="6"/>
      <c r="U5208" s="6"/>
      <c r="V5208" s="6"/>
      <c r="W5208" s="6"/>
      <c r="X5208" s="6"/>
      <c r="Y5208" s="6"/>
      <c r="Z5208" s="6"/>
    </row>
    <row r="5209" customFormat="false" ht="15" hidden="false" customHeight="false" outlineLevel="0" collapsed="false">
      <c r="A5209" s="9" t="s">
        <v>11052</v>
      </c>
      <c r="B5209" s="9" t="s">
        <v>5870</v>
      </c>
      <c r="C5209" s="9" t="s">
        <v>5493</v>
      </c>
      <c r="D5209" s="9" t="s">
        <v>5871</v>
      </c>
      <c r="E5209" s="9" t="str">
        <f aca="false">IF(AND('Formation Ledger'!A5188&lt;&gt;"",'Formation Ledger'!V5188=0),"PASS","FAIL")</f>
        <v>PASS</v>
      </c>
      <c r="F5209" s="9" t="s">
        <v>76</v>
      </c>
      <c r="G5209" s="6"/>
      <c r="H5209" s="6"/>
      <c r="I5209" s="6"/>
      <c r="J5209" s="6"/>
      <c r="K5209" s="6"/>
      <c r="L5209" s="6"/>
      <c r="M5209" s="6"/>
      <c r="N5209" s="6"/>
      <c r="O5209" s="6"/>
      <c r="P5209" s="6"/>
      <c r="Q5209" s="6"/>
      <c r="R5209" s="6"/>
      <c r="S5209" s="6"/>
      <c r="T5209" s="6"/>
      <c r="U5209" s="6"/>
      <c r="V5209" s="6"/>
      <c r="W5209" s="6"/>
      <c r="X5209" s="6"/>
      <c r="Y5209" s="6"/>
      <c r="Z5209" s="6"/>
    </row>
    <row r="5210" customFormat="false" ht="15" hidden="false" customHeight="false" outlineLevel="0" collapsed="false">
      <c r="A5210" s="9" t="s">
        <v>11053</v>
      </c>
      <c r="B5210" s="9" t="s">
        <v>5870</v>
      </c>
      <c r="C5210" s="9" t="s">
        <v>5494</v>
      </c>
      <c r="D5210" s="9" t="s">
        <v>5871</v>
      </c>
      <c r="E5210" s="9" t="str">
        <f aca="false">IF(AND('Formation Ledger'!A5189&lt;&gt;"",'Formation Ledger'!V5189=0),"PASS","FAIL")</f>
        <v>PASS</v>
      </c>
      <c r="F5210" s="9" t="s">
        <v>76</v>
      </c>
      <c r="G5210" s="6"/>
      <c r="H5210" s="6"/>
      <c r="I5210" s="6"/>
      <c r="J5210" s="6"/>
      <c r="K5210" s="6"/>
      <c r="L5210" s="6"/>
      <c r="M5210" s="6"/>
      <c r="N5210" s="6"/>
      <c r="O5210" s="6"/>
      <c r="P5210" s="6"/>
      <c r="Q5210" s="6"/>
      <c r="R5210" s="6"/>
      <c r="S5210" s="6"/>
      <c r="T5210" s="6"/>
      <c r="U5210" s="6"/>
      <c r="V5210" s="6"/>
      <c r="W5210" s="6"/>
      <c r="X5210" s="6"/>
      <c r="Y5210" s="6"/>
      <c r="Z5210" s="6"/>
    </row>
    <row r="5211" customFormat="false" ht="15" hidden="false" customHeight="false" outlineLevel="0" collapsed="false">
      <c r="A5211" s="9" t="s">
        <v>11054</v>
      </c>
      <c r="B5211" s="9" t="s">
        <v>5870</v>
      </c>
      <c r="C5211" s="9" t="s">
        <v>5495</v>
      </c>
      <c r="D5211" s="9" t="s">
        <v>5871</v>
      </c>
      <c r="E5211" s="9" t="str">
        <f aca="false">IF(AND('Formation Ledger'!A5190&lt;&gt;"",'Formation Ledger'!V5190=0),"PASS","FAIL")</f>
        <v>PASS</v>
      </c>
      <c r="F5211" s="9" t="s">
        <v>76</v>
      </c>
      <c r="G5211" s="6"/>
      <c r="H5211" s="6"/>
      <c r="I5211" s="6"/>
      <c r="J5211" s="6"/>
      <c r="K5211" s="6"/>
      <c r="L5211" s="6"/>
      <c r="M5211" s="6"/>
      <c r="N5211" s="6"/>
      <c r="O5211" s="6"/>
      <c r="P5211" s="6"/>
      <c r="Q5211" s="6"/>
      <c r="R5211" s="6"/>
      <c r="S5211" s="6"/>
      <c r="T5211" s="6"/>
      <c r="U5211" s="6"/>
      <c r="V5211" s="6"/>
      <c r="W5211" s="6"/>
      <c r="X5211" s="6"/>
      <c r="Y5211" s="6"/>
      <c r="Z5211" s="6"/>
    </row>
    <row r="5212" customFormat="false" ht="15" hidden="false" customHeight="false" outlineLevel="0" collapsed="false">
      <c r="A5212" s="9" t="s">
        <v>11055</v>
      </c>
      <c r="B5212" s="9" t="s">
        <v>5870</v>
      </c>
      <c r="C5212" s="9" t="s">
        <v>5496</v>
      </c>
      <c r="D5212" s="9" t="s">
        <v>5871</v>
      </c>
      <c r="E5212" s="9" t="str">
        <f aca="false">IF(AND('Formation Ledger'!A5191&lt;&gt;"",'Formation Ledger'!V5191=0),"PASS","FAIL")</f>
        <v>PASS</v>
      </c>
      <c r="F5212" s="9" t="s">
        <v>76</v>
      </c>
      <c r="G5212" s="6"/>
      <c r="H5212" s="6"/>
      <c r="I5212" s="6"/>
      <c r="J5212" s="6"/>
      <c r="K5212" s="6"/>
      <c r="L5212" s="6"/>
      <c r="M5212" s="6"/>
      <c r="N5212" s="6"/>
      <c r="O5212" s="6"/>
      <c r="P5212" s="6"/>
      <c r="Q5212" s="6"/>
      <c r="R5212" s="6"/>
      <c r="S5212" s="6"/>
      <c r="T5212" s="6"/>
      <c r="U5212" s="6"/>
      <c r="V5212" s="6"/>
      <c r="W5212" s="6"/>
      <c r="X5212" s="6"/>
      <c r="Y5212" s="6"/>
      <c r="Z5212" s="6"/>
    </row>
    <row r="5213" customFormat="false" ht="15" hidden="false" customHeight="false" outlineLevel="0" collapsed="false">
      <c r="A5213" s="9" t="s">
        <v>11056</v>
      </c>
      <c r="B5213" s="9" t="s">
        <v>5870</v>
      </c>
      <c r="C5213" s="9" t="s">
        <v>5497</v>
      </c>
      <c r="D5213" s="9" t="s">
        <v>5871</v>
      </c>
      <c r="E5213" s="9" t="str">
        <f aca="false">IF(AND('Formation Ledger'!A5192&lt;&gt;"",'Formation Ledger'!V5192=0),"PASS","FAIL")</f>
        <v>PASS</v>
      </c>
      <c r="F5213" s="9" t="s">
        <v>76</v>
      </c>
      <c r="G5213" s="6"/>
      <c r="H5213" s="6"/>
      <c r="I5213" s="6"/>
      <c r="J5213" s="6"/>
      <c r="K5213" s="6"/>
      <c r="L5213" s="6"/>
      <c r="M5213" s="6"/>
      <c r="N5213" s="6"/>
      <c r="O5213" s="6"/>
      <c r="P5213" s="6"/>
      <c r="Q5213" s="6"/>
      <c r="R5213" s="6"/>
      <c r="S5213" s="6"/>
      <c r="T5213" s="6"/>
      <c r="U5213" s="6"/>
      <c r="V5213" s="6"/>
      <c r="W5213" s="6"/>
      <c r="X5213" s="6"/>
      <c r="Y5213" s="6"/>
      <c r="Z5213" s="6"/>
    </row>
    <row r="5214" customFormat="false" ht="15" hidden="false" customHeight="false" outlineLevel="0" collapsed="false">
      <c r="A5214" s="9" t="s">
        <v>11057</v>
      </c>
      <c r="B5214" s="9" t="s">
        <v>5870</v>
      </c>
      <c r="C5214" s="9" t="s">
        <v>5498</v>
      </c>
      <c r="D5214" s="9" t="s">
        <v>5871</v>
      </c>
      <c r="E5214" s="9" t="str">
        <f aca="false">IF(AND('Formation Ledger'!A5193&lt;&gt;"",'Formation Ledger'!V5193=0),"PASS","FAIL")</f>
        <v>PASS</v>
      </c>
      <c r="F5214" s="9" t="s">
        <v>76</v>
      </c>
      <c r="G5214" s="6"/>
      <c r="H5214" s="6"/>
      <c r="I5214" s="6"/>
      <c r="J5214" s="6"/>
      <c r="K5214" s="6"/>
      <c r="L5214" s="6"/>
      <c r="M5214" s="6"/>
      <c r="N5214" s="6"/>
      <c r="O5214" s="6"/>
      <c r="P5214" s="6"/>
      <c r="Q5214" s="6"/>
      <c r="R5214" s="6"/>
      <c r="S5214" s="6"/>
      <c r="T5214" s="6"/>
      <c r="U5214" s="6"/>
      <c r="V5214" s="6"/>
      <c r="W5214" s="6"/>
      <c r="X5214" s="6"/>
      <c r="Y5214" s="6"/>
      <c r="Z5214" s="6"/>
    </row>
    <row r="5215" customFormat="false" ht="15" hidden="false" customHeight="false" outlineLevel="0" collapsed="false">
      <c r="A5215" s="9" t="s">
        <v>11058</v>
      </c>
      <c r="B5215" s="9" t="s">
        <v>5870</v>
      </c>
      <c r="C5215" s="9" t="s">
        <v>5499</v>
      </c>
      <c r="D5215" s="9" t="s">
        <v>5871</v>
      </c>
      <c r="E5215" s="9" t="str">
        <f aca="false">IF(AND('Formation Ledger'!A5194&lt;&gt;"",'Formation Ledger'!V5194=0),"PASS","FAIL")</f>
        <v>PASS</v>
      </c>
      <c r="F5215" s="9" t="s">
        <v>76</v>
      </c>
      <c r="G5215" s="6"/>
      <c r="H5215" s="6"/>
      <c r="I5215" s="6"/>
      <c r="J5215" s="6"/>
      <c r="K5215" s="6"/>
      <c r="L5215" s="6"/>
      <c r="M5215" s="6"/>
      <c r="N5215" s="6"/>
      <c r="O5215" s="6"/>
      <c r="P5215" s="6"/>
      <c r="Q5215" s="6"/>
      <c r="R5215" s="6"/>
      <c r="S5215" s="6"/>
      <c r="T5215" s="6"/>
      <c r="U5215" s="6"/>
      <c r="V5215" s="6"/>
      <c r="W5215" s="6"/>
      <c r="X5215" s="6"/>
      <c r="Y5215" s="6"/>
      <c r="Z5215" s="6"/>
    </row>
    <row r="5216" customFormat="false" ht="15" hidden="false" customHeight="false" outlineLevel="0" collapsed="false">
      <c r="A5216" s="9" t="s">
        <v>11059</v>
      </c>
      <c r="B5216" s="9" t="s">
        <v>5870</v>
      </c>
      <c r="C5216" s="9" t="s">
        <v>5500</v>
      </c>
      <c r="D5216" s="9" t="s">
        <v>5871</v>
      </c>
      <c r="E5216" s="9" t="str">
        <f aca="false">IF(AND('Formation Ledger'!A5195&lt;&gt;"",'Formation Ledger'!V5195=0),"PASS","FAIL")</f>
        <v>PASS</v>
      </c>
      <c r="F5216" s="9" t="s">
        <v>76</v>
      </c>
      <c r="G5216" s="6"/>
      <c r="H5216" s="6"/>
      <c r="I5216" s="6"/>
      <c r="J5216" s="6"/>
      <c r="K5216" s="6"/>
      <c r="L5216" s="6"/>
      <c r="M5216" s="6"/>
      <c r="N5216" s="6"/>
      <c r="O5216" s="6"/>
      <c r="P5216" s="6"/>
      <c r="Q5216" s="6"/>
      <c r="R5216" s="6"/>
      <c r="S5216" s="6"/>
      <c r="T5216" s="6"/>
      <c r="U5216" s="6"/>
      <c r="V5216" s="6"/>
      <c r="W5216" s="6"/>
      <c r="X5216" s="6"/>
      <c r="Y5216" s="6"/>
      <c r="Z5216" s="6"/>
    </row>
    <row r="5217" customFormat="false" ht="15" hidden="false" customHeight="false" outlineLevel="0" collapsed="false">
      <c r="A5217" s="9" t="s">
        <v>11060</v>
      </c>
      <c r="B5217" s="9" t="s">
        <v>5870</v>
      </c>
      <c r="C5217" s="9" t="s">
        <v>5501</v>
      </c>
      <c r="D5217" s="9" t="s">
        <v>5871</v>
      </c>
      <c r="E5217" s="9" t="str">
        <f aca="false">IF(AND('Formation Ledger'!A5196&lt;&gt;"",'Formation Ledger'!V5196=0),"PASS","FAIL")</f>
        <v>PASS</v>
      </c>
      <c r="F5217" s="9" t="s">
        <v>76</v>
      </c>
      <c r="G5217" s="6"/>
      <c r="H5217" s="6"/>
      <c r="I5217" s="6"/>
      <c r="J5217" s="6"/>
      <c r="K5217" s="6"/>
      <c r="L5217" s="6"/>
      <c r="M5217" s="6"/>
      <c r="N5217" s="6"/>
      <c r="O5217" s="6"/>
      <c r="P5217" s="6"/>
      <c r="Q5217" s="6"/>
      <c r="R5217" s="6"/>
      <c r="S5217" s="6"/>
      <c r="T5217" s="6"/>
      <c r="U5217" s="6"/>
      <c r="V5217" s="6"/>
      <c r="W5217" s="6"/>
      <c r="X5217" s="6"/>
      <c r="Y5217" s="6"/>
      <c r="Z5217" s="6"/>
    </row>
    <row r="5218" customFormat="false" ht="15" hidden="false" customHeight="false" outlineLevel="0" collapsed="false">
      <c r="A5218" s="9" t="s">
        <v>11061</v>
      </c>
      <c r="B5218" s="9" t="s">
        <v>5870</v>
      </c>
      <c r="C5218" s="9" t="s">
        <v>5502</v>
      </c>
      <c r="D5218" s="9" t="s">
        <v>5871</v>
      </c>
      <c r="E5218" s="9" t="str">
        <f aca="false">IF(AND('Formation Ledger'!A5197&lt;&gt;"",'Formation Ledger'!V5197=0),"PASS","FAIL")</f>
        <v>PASS</v>
      </c>
      <c r="F5218" s="9" t="s">
        <v>76</v>
      </c>
      <c r="G5218" s="6"/>
      <c r="H5218" s="6"/>
      <c r="I5218" s="6"/>
      <c r="J5218" s="6"/>
      <c r="K5218" s="6"/>
      <c r="L5218" s="6"/>
      <c r="M5218" s="6"/>
      <c r="N5218" s="6"/>
      <c r="O5218" s="6"/>
      <c r="P5218" s="6"/>
      <c r="Q5218" s="6"/>
      <c r="R5218" s="6"/>
      <c r="S5218" s="6"/>
      <c r="T5218" s="6"/>
      <c r="U5218" s="6"/>
      <c r="V5218" s="6"/>
      <c r="W5218" s="6"/>
      <c r="X5218" s="6"/>
      <c r="Y5218" s="6"/>
      <c r="Z5218" s="6"/>
    </row>
    <row r="5219" customFormat="false" ht="15" hidden="false" customHeight="false" outlineLevel="0" collapsed="false">
      <c r="A5219" s="9" t="s">
        <v>11062</v>
      </c>
      <c r="B5219" s="9" t="s">
        <v>5870</v>
      </c>
      <c r="C5219" s="9" t="s">
        <v>5503</v>
      </c>
      <c r="D5219" s="9" t="s">
        <v>5871</v>
      </c>
      <c r="E5219" s="9" t="str">
        <f aca="false">IF(AND('Formation Ledger'!A5198&lt;&gt;"",'Formation Ledger'!V5198=0),"PASS","FAIL")</f>
        <v>PASS</v>
      </c>
      <c r="F5219" s="9" t="s">
        <v>76</v>
      </c>
      <c r="G5219" s="6"/>
      <c r="H5219" s="6"/>
      <c r="I5219" s="6"/>
      <c r="J5219" s="6"/>
      <c r="K5219" s="6"/>
      <c r="L5219" s="6"/>
      <c r="M5219" s="6"/>
      <c r="N5219" s="6"/>
      <c r="O5219" s="6"/>
      <c r="P5219" s="6"/>
      <c r="Q5219" s="6"/>
      <c r="R5219" s="6"/>
      <c r="S5219" s="6"/>
      <c r="T5219" s="6"/>
      <c r="U5219" s="6"/>
      <c r="V5219" s="6"/>
      <c r="W5219" s="6"/>
      <c r="X5219" s="6"/>
      <c r="Y5219" s="6"/>
      <c r="Z5219" s="6"/>
    </row>
    <row r="5220" customFormat="false" ht="15" hidden="false" customHeight="false" outlineLevel="0" collapsed="false">
      <c r="A5220" s="9" t="s">
        <v>11063</v>
      </c>
      <c r="B5220" s="9" t="s">
        <v>5870</v>
      </c>
      <c r="C5220" s="9" t="s">
        <v>5504</v>
      </c>
      <c r="D5220" s="9" t="s">
        <v>5871</v>
      </c>
      <c r="E5220" s="9" t="str">
        <f aca="false">IF(AND('Formation Ledger'!A5199&lt;&gt;"",'Formation Ledger'!V5199=0),"PASS","FAIL")</f>
        <v>PASS</v>
      </c>
      <c r="F5220" s="9" t="s">
        <v>76</v>
      </c>
      <c r="G5220" s="6"/>
      <c r="H5220" s="6"/>
      <c r="I5220" s="6"/>
      <c r="J5220" s="6"/>
      <c r="K5220" s="6"/>
      <c r="L5220" s="6"/>
      <c r="M5220" s="6"/>
      <c r="N5220" s="6"/>
      <c r="O5220" s="6"/>
      <c r="P5220" s="6"/>
      <c r="Q5220" s="6"/>
      <c r="R5220" s="6"/>
      <c r="S5220" s="6"/>
      <c r="T5220" s="6"/>
      <c r="U5220" s="6"/>
      <c r="V5220" s="6"/>
      <c r="W5220" s="6"/>
      <c r="X5220" s="6"/>
      <c r="Y5220" s="6"/>
      <c r="Z5220" s="6"/>
    </row>
    <row r="5221" customFormat="false" ht="15" hidden="false" customHeight="false" outlineLevel="0" collapsed="false">
      <c r="A5221" s="9" t="s">
        <v>11064</v>
      </c>
      <c r="B5221" s="9" t="s">
        <v>5870</v>
      </c>
      <c r="C5221" s="9" t="s">
        <v>5505</v>
      </c>
      <c r="D5221" s="9" t="s">
        <v>5871</v>
      </c>
      <c r="E5221" s="9" t="str">
        <f aca="false">IF(AND('Formation Ledger'!A5200&lt;&gt;"",'Formation Ledger'!V5200=0),"PASS","FAIL")</f>
        <v>PASS</v>
      </c>
      <c r="F5221" s="9" t="s">
        <v>76</v>
      </c>
      <c r="G5221" s="6"/>
      <c r="H5221" s="6"/>
      <c r="I5221" s="6"/>
      <c r="J5221" s="6"/>
      <c r="K5221" s="6"/>
      <c r="L5221" s="6"/>
      <c r="M5221" s="6"/>
      <c r="N5221" s="6"/>
      <c r="O5221" s="6"/>
      <c r="P5221" s="6"/>
      <c r="Q5221" s="6"/>
      <c r="R5221" s="6"/>
      <c r="S5221" s="6"/>
      <c r="T5221" s="6"/>
      <c r="U5221" s="6"/>
      <c r="V5221" s="6"/>
      <c r="W5221" s="6"/>
      <c r="X5221" s="6"/>
      <c r="Y5221" s="6"/>
      <c r="Z5221" s="6"/>
    </row>
    <row r="5222" customFormat="false" ht="15" hidden="false" customHeight="false" outlineLevel="0" collapsed="false">
      <c r="A5222" s="9" t="s">
        <v>11065</v>
      </c>
      <c r="B5222" s="9" t="s">
        <v>5870</v>
      </c>
      <c r="C5222" s="9" t="s">
        <v>5506</v>
      </c>
      <c r="D5222" s="9" t="s">
        <v>5871</v>
      </c>
      <c r="E5222" s="9" t="str">
        <f aca="false">IF(AND('Formation Ledger'!A5201&lt;&gt;"",'Formation Ledger'!V5201=0),"PASS","FAIL")</f>
        <v>PASS</v>
      </c>
      <c r="F5222" s="9" t="s">
        <v>76</v>
      </c>
      <c r="G5222" s="6"/>
      <c r="H5222" s="6"/>
      <c r="I5222" s="6"/>
      <c r="J5222" s="6"/>
      <c r="K5222" s="6"/>
      <c r="L5222" s="6"/>
      <c r="M5222" s="6"/>
      <c r="N5222" s="6"/>
      <c r="O5222" s="6"/>
      <c r="P5222" s="6"/>
      <c r="Q5222" s="6"/>
      <c r="R5222" s="6"/>
      <c r="S5222" s="6"/>
      <c r="T5222" s="6"/>
      <c r="U5222" s="6"/>
      <c r="V5222" s="6"/>
      <c r="W5222" s="6"/>
      <c r="X5222" s="6"/>
      <c r="Y5222" s="6"/>
      <c r="Z5222" s="6"/>
    </row>
    <row r="5223" customFormat="false" ht="15" hidden="false" customHeight="false" outlineLevel="0" collapsed="false">
      <c r="A5223" s="9" t="s">
        <v>11066</v>
      </c>
      <c r="B5223" s="9" t="s">
        <v>5870</v>
      </c>
      <c r="C5223" s="9" t="s">
        <v>5507</v>
      </c>
      <c r="D5223" s="9" t="s">
        <v>5871</v>
      </c>
      <c r="E5223" s="9" t="str">
        <f aca="false">IF(AND('Formation Ledger'!A5202&lt;&gt;"",'Formation Ledger'!V5202=0),"PASS","FAIL")</f>
        <v>PASS</v>
      </c>
      <c r="F5223" s="9" t="s">
        <v>76</v>
      </c>
      <c r="G5223" s="6"/>
      <c r="H5223" s="6"/>
      <c r="I5223" s="6"/>
      <c r="J5223" s="6"/>
      <c r="K5223" s="6"/>
      <c r="L5223" s="6"/>
      <c r="M5223" s="6"/>
      <c r="N5223" s="6"/>
      <c r="O5223" s="6"/>
      <c r="P5223" s="6"/>
      <c r="Q5223" s="6"/>
      <c r="R5223" s="6"/>
      <c r="S5223" s="6"/>
      <c r="T5223" s="6"/>
      <c r="U5223" s="6"/>
      <c r="V5223" s="6"/>
      <c r="W5223" s="6"/>
      <c r="X5223" s="6"/>
      <c r="Y5223" s="6"/>
      <c r="Z5223" s="6"/>
    </row>
    <row r="5224" customFormat="false" ht="15" hidden="false" customHeight="false" outlineLevel="0" collapsed="false">
      <c r="A5224" s="9" t="s">
        <v>11067</v>
      </c>
      <c r="B5224" s="9" t="s">
        <v>5870</v>
      </c>
      <c r="C5224" s="9" t="s">
        <v>5508</v>
      </c>
      <c r="D5224" s="9" t="s">
        <v>5871</v>
      </c>
      <c r="E5224" s="9" t="str">
        <f aca="false">IF(AND('Formation Ledger'!A5203&lt;&gt;"",'Formation Ledger'!V5203=0),"PASS","FAIL")</f>
        <v>PASS</v>
      </c>
      <c r="F5224" s="9" t="s">
        <v>76</v>
      </c>
      <c r="G5224" s="6"/>
      <c r="H5224" s="6"/>
      <c r="I5224" s="6"/>
      <c r="J5224" s="6"/>
      <c r="K5224" s="6"/>
      <c r="L5224" s="6"/>
      <c r="M5224" s="6"/>
      <c r="N5224" s="6"/>
      <c r="O5224" s="6"/>
      <c r="P5224" s="6"/>
      <c r="Q5224" s="6"/>
      <c r="R5224" s="6"/>
      <c r="S5224" s="6"/>
      <c r="T5224" s="6"/>
      <c r="U5224" s="6"/>
      <c r="V5224" s="6"/>
      <c r="W5224" s="6"/>
      <c r="X5224" s="6"/>
      <c r="Y5224" s="6"/>
      <c r="Z5224" s="6"/>
    </row>
    <row r="5225" customFormat="false" ht="15" hidden="false" customHeight="false" outlineLevel="0" collapsed="false">
      <c r="A5225" s="9" t="s">
        <v>11068</v>
      </c>
      <c r="B5225" s="9" t="s">
        <v>5870</v>
      </c>
      <c r="C5225" s="9" t="s">
        <v>5509</v>
      </c>
      <c r="D5225" s="9" t="s">
        <v>5871</v>
      </c>
      <c r="E5225" s="9" t="str">
        <f aca="false">IF(AND('Formation Ledger'!A5204&lt;&gt;"",'Formation Ledger'!V5204=0),"PASS","FAIL")</f>
        <v>PASS</v>
      </c>
      <c r="F5225" s="9" t="s">
        <v>76</v>
      </c>
      <c r="G5225" s="6"/>
      <c r="H5225" s="6"/>
      <c r="I5225" s="6"/>
      <c r="J5225" s="6"/>
      <c r="K5225" s="6"/>
      <c r="L5225" s="6"/>
      <c r="M5225" s="6"/>
      <c r="N5225" s="6"/>
      <c r="O5225" s="6"/>
      <c r="P5225" s="6"/>
      <c r="Q5225" s="6"/>
      <c r="R5225" s="6"/>
      <c r="S5225" s="6"/>
      <c r="T5225" s="6"/>
      <c r="U5225" s="6"/>
      <c r="V5225" s="6"/>
      <c r="W5225" s="6"/>
      <c r="X5225" s="6"/>
      <c r="Y5225" s="6"/>
      <c r="Z5225" s="6"/>
    </row>
    <row r="5226" customFormat="false" ht="15" hidden="false" customHeight="false" outlineLevel="0" collapsed="false">
      <c r="A5226" s="9" t="s">
        <v>11069</v>
      </c>
      <c r="B5226" s="9" t="s">
        <v>5870</v>
      </c>
      <c r="C5226" s="9" t="s">
        <v>5510</v>
      </c>
      <c r="D5226" s="9" t="s">
        <v>5871</v>
      </c>
      <c r="E5226" s="9" t="str">
        <f aca="false">IF(AND('Formation Ledger'!A5205&lt;&gt;"",'Formation Ledger'!V5205=0),"PASS","FAIL")</f>
        <v>PASS</v>
      </c>
      <c r="F5226" s="9" t="s">
        <v>76</v>
      </c>
      <c r="G5226" s="6"/>
      <c r="H5226" s="6"/>
      <c r="I5226" s="6"/>
      <c r="J5226" s="6"/>
      <c r="K5226" s="6"/>
      <c r="L5226" s="6"/>
      <c r="M5226" s="6"/>
      <c r="N5226" s="6"/>
      <c r="O5226" s="6"/>
      <c r="P5226" s="6"/>
      <c r="Q5226" s="6"/>
      <c r="R5226" s="6"/>
      <c r="S5226" s="6"/>
      <c r="T5226" s="6"/>
      <c r="U5226" s="6"/>
      <c r="V5226" s="6"/>
      <c r="W5226" s="6"/>
      <c r="X5226" s="6"/>
      <c r="Y5226" s="6"/>
      <c r="Z5226" s="6"/>
    </row>
    <row r="5227" customFormat="false" ht="15" hidden="false" customHeight="false" outlineLevel="0" collapsed="false">
      <c r="A5227" s="9" t="s">
        <v>11070</v>
      </c>
      <c r="B5227" s="9" t="s">
        <v>5870</v>
      </c>
      <c r="C5227" s="9" t="s">
        <v>5511</v>
      </c>
      <c r="D5227" s="9" t="s">
        <v>5871</v>
      </c>
      <c r="E5227" s="9" t="str">
        <f aca="false">IF(AND('Formation Ledger'!A5206&lt;&gt;"",'Formation Ledger'!V5206=0),"PASS","FAIL")</f>
        <v>PASS</v>
      </c>
      <c r="F5227" s="9" t="s">
        <v>76</v>
      </c>
      <c r="G5227" s="6"/>
      <c r="H5227" s="6"/>
      <c r="I5227" s="6"/>
      <c r="J5227" s="6"/>
      <c r="K5227" s="6"/>
      <c r="L5227" s="6"/>
      <c r="M5227" s="6"/>
      <c r="N5227" s="6"/>
      <c r="O5227" s="6"/>
      <c r="P5227" s="6"/>
      <c r="Q5227" s="6"/>
      <c r="R5227" s="6"/>
      <c r="S5227" s="6"/>
      <c r="T5227" s="6"/>
      <c r="U5227" s="6"/>
      <c r="V5227" s="6"/>
      <c r="W5227" s="6"/>
      <c r="X5227" s="6"/>
      <c r="Y5227" s="6"/>
      <c r="Z5227" s="6"/>
    </row>
    <row r="5228" customFormat="false" ht="15" hidden="false" customHeight="false" outlineLevel="0" collapsed="false">
      <c r="A5228" s="9" t="s">
        <v>11071</v>
      </c>
      <c r="B5228" s="9" t="s">
        <v>5870</v>
      </c>
      <c r="C5228" s="9" t="s">
        <v>5512</v>
      </c>
      <c r="D5228" s="9" t="s">
        <v>5871</v>
      </c>
      <c r="E5228" s="9" t="str">
        <f aca="false">IF(AND('Formation Ledger'!A5207&lt;&gt;"",'Formation Ledger'!V5207=0),"PASS","FAIL")</f>
        <v>PASS</v>
      </c>
      <c r="F5228" s="9" t="s">
        <v>76</v>
      </c>
      <c r="G5228" s="6"/>
      <c r="H5228" s="6"/>
      <c r="I5228" s="6"/>
      <c r="J5228" s="6"/>
      <c r="K5228" s="6"/>
      <c r="L5228" s="6"/>
      <c r="M5228" s="6"/>
      <c r="N5228" s="6"/>
      <c r="O5228" s="6"/>
      <c r="P5228" s="6"/>
      <c r="Q5228" s="6"/>
      <c r="R5228" s="6"/>
      <c r="S5228" s="6"/>
      <c r="T5228" s="6"/>
      <c r="U5228" s="6"/>
      <c r="V5228" s="6"/>
      <c r="W5228" s="6"/>
      <c r="X5228" s="6"/>
      <c r="Y5228" s="6"/>
      <c r="Z5228" s="6"/>
    </row>
    <row r="5229" customFormat="false" ht="15" hidden="false" customHeight="false" outlineLevel="0" collapsed="false">
      <c r="A5229" s="9" t="s">
        <v>11072</v>
      </c>
      <c r="B5229" s="9" t="s">
        <v>5870</v>
      </c>
      <c r="C5229" s="9" t="s">
        <v>5513</v>
      </c>
      <c r="D5229" s="9" t="s">
        <v>5871</v>
      </c>
      <c r="E5229" s="9" t="str">
        <f aca="false">IF(AND('Formation Ledger'!A5208&lt;&gt;"",'Formation Ledger'!V5208=0),"PASS","FAIL")</f>
        <v>PASS</v>
      </c>
      <c r="F5229" s="9" t="s">
        <v>76</v>
      </c>
      <c r="G5229" s="6"/>
      <c r="H5229" s="6"/>
      <c r="I5229" s="6"/>
      <c r="J5229" s="6"/>
      <c r="K5229" s="6"/>
      <c r="L5229" s="6"/>
      <c r="M5229" s="6"/>
      <c r="N5229" s="6"/>
      <c r="O5229" s="6"/>
      <c r="P5229" s="6"/>
      <c r="Q5229" s="6"/>
      <c r="R5229" s="6"/>
      <c r="S5229" s="6"/>
      <c r="T5229" s="6"/>
      <c r="U5229" s="6"/>
      <c r="V5229" s="6"/>
      <c r="W5229" s="6"/>
      <c r="X5229" s="6"/>
      <c r="Y5229" s="6"/>
      <c r="Z5229" s="6"/>
    </row>
    <row r="5230" customFormat="false" ht="15" hidden="false" customHeight="false" outlineLevel="0" collapsed="false">
      <c r="A5230" s="9" t="s">
        <v>11073</v>
      </c>
      <c r="B5230" s="9" t="s">
        <v>5870</v>
      </c>
      <c r="C5230" s="9" t="s">
        <v>5514</v>
      </c>
      <c r="D5230" s="9" t="s">
        <v>5871</v>
      </c>
      <c r="E5230" s="9" t="str">
        <f aca="false">IF(AND('Formation Ledger'!A5209&lt;&gt;"",'Formation Ledger'!V5209=0),"PASS","FAIL")</f>
        <v>PASS</v>
      </c>
      <c r="F5230" s="9" t="s">
        <v>76</v>
      </c>
      <c r="G5230" s="6"/>
      <c r="H5230" s="6"/>
      <c r="I5230" s="6"/>
      <c r="J5230" s="6"/>
      <c r="K5230" s="6"/>
      <c r="L5230" s="6"/>
      <c r="M5230" s="6"/>
      <c r="N5230" s="6"/>
      <c r="O5230" s="6"/>
      <c r="P5230" s="6"/>
      <c r="Q5230" s="6"/>
      <c r="R5230" s="6"/>
      <c r="S5230" s="6"/>
      <c r="T5230" s="6"/>
      <c r="U5230" s="6"/>
      <c r="V5230" s="6"/>
      <c r="W5230" s="6"/>
      <c r="X5230" s="6"/>
      <c r="Y5230" s="6"/>
      <c r="Z5230" s="6"/>
    </row>
    <row r="5231" customFormat="false" ht="15" hidden="false" customHeight="false" outlineLevel="0" collapsed="false">
      <c r="A5231" s="9" t="s">
        <v>11074</v>
      </c>
      <c r="B5231" s="9" t="s">
        <v>5870</v>
      </c>
      <c r="C5231" s="9" t="s">
        <v>5515</v>
      </c>
      <c r="D5231" s="9" t="s">
        <v>5871</v>
      </c>
      <c r="E5231" s="9" t="str">
        <f aca="false">IF(AND('Formation Ledger'!A5210&lt;&gt;"",'Formation Ledger'!V5210=0),"PASS","FAIL")</f>
        <v>PASS</v>
      </c>
      <c r="F5231" s="9" t="s">
        <v>76</v>
      </c>
      <c r="G5231" s="6"/>
      <c r="H5231" s="6"/>
      <c r="I5231" s="6"/>
      <c r="J5231" s="6"/>
      <c r="K5231" s="6"/>
      <c r="L5231" s="6"/>
      <c r="M5231" s="6"/>
      <c r="N5231" s="6"/>
      <c r="O5231" s="6"/>
      <c r="P5231" s="6"/>
      <c r="Q5231" s="6"/>
      <c r="R5231" s="6"/>
      <c r="S5231" s="6"/>
      <c r="T5231" s="6"/>
      <c r="U5231" s="6"/>
      <c r="V5231" s="6"/>
      <c r="W5231" s="6"/>
      <c r="X5231" s="6"/>
      <c r="Y5231" s="6"/>
      <c r="Z5231" s="6"/>
    </row>
    <row r="5232" customFormat="false" ht="15" hidden="false" customHeight="false" outlineLevel="0" collapsed="false">
      <c r="A5232" s="9" t="s">
        <v>11075</v>
      </c>
      <c r="B5232" s="9" t="s">
        <v>5870</v>
      </c>
      <c r="C5232" s="9" t="s">
        <v>5516</v>
      </c>
      <c r="D5232" s="9" t="s">
        <v>5871</v>
      </c>
      <c r="E5232" s="9" t="str">
        <f aca="false">IF(AND('Formation Ledger'!A5211&lt;&gt;"",'Formation Ledger'!V5211=0),"PASS","FAIL")</f>
        <v>PASS</v>
      </c>
      <c r="F5232" s="9" t="s">
        <v>76</v>
      </c>
      <c r="G5232" s="6"/>
      <c r="H5232" s="6"/>
      <c r="I5232" s="6"/>
      <c r="J5232" s="6"/>
      <c r="K5232" s="6"/>
      <c r="L5232" s="6"/>
      <c r="M5232" s="6"/>
      <c r="N5232" s="6"/>
      <c r="O5232" s="6"/>
      <c r="P5232" s="6"/>
      <c r="Q5232" s="6"/>
      <c r="R5232" s="6"/>
      <c r="S5232" s="6"/>
      <c r="T5232" s="6"/>
      <c r="U5232" s="6"/>
      <c r="V5232" s="6"/>
      <c r="W5232" s="6"/>
      <c r="X5232" s="6"/>
      <c r="Y5232" s="6"/>
      <c r="Z5232" s="6"/>
    </row>
    <row r="5233" customFormat="false" ht="15" hidden="false" customHeight="false" outlineLevel="0" collapsed="false">
      <c r="A5233" s="9" t="s">
        <v>11076</v>
      </c>
      <c r="B5233" s="9" t="s">
        <v>5870</v>
      </c>
      <c r="C5233" s="9" t="s">
        <v>5517</v>
      </c>
      <c r="D5233" s="9" t="s">
        <v>5871</v>
      </c>
      <c r="E5233" s="9" t="str">
        <f aca="false">IF(AND('Formation Ledger'!A5212&lt;&gt;"",'Formation Ledger'!V5212=0),"PASS","FAIL")</f>
        <v>PASS</v>
      </c>
      <c r="F5233" s="9" t="s">
        <v>76</v>
      </c>
      <c r="G5233" s="6"/>
      <c r="H5233" s="6"/>
      <c r="I5233" s="6"/>
      <c r="J5233" s="6"/>
      <c r="K5233" s="6"/>
      <c r="L5233" s="6"/>
      <c r="M5233" s="6"/>
      <c r="N5233" s="6"/>
      <c r="O5233" s="6"/>
      <c r="P5233" s="6"/>
      <c r="Q5233" s="6"/>
      <c r="R5233" s="6"/>
      <c r="S5233" s="6"/>
      <c r="T5233" s="6"/>
      <c r="U5233" s="6"/>
      <c r="V5233" s="6"/>
      <c r="W5233" s="6"/>
      <c r="X5233" s="6"/>
      <c r="Y5233" s="6"/>
      <c r="Z5233" s="6"/>
    </row>
    <row r="5234" customFormat="false" ht="15" hidden="false" customHeight="false" outlineLevel="0" collapsed="false">
      <c r="A5234" s="9" t="s">
        <v>11077</v>
      </c>
      <c r="B5234" s="9" t="s">
        <v>5870</v>
      </c>
      <c r="C5234" s="9" t="s">
        <v>5518</v>
      </c>
      <c r="D5234" s="9" t="s">
        <v>5871</v>
      </c>
      <c r="E5234" s="9" t="str">
        <f aca="false">IF(AND('Formation Ledger'!A5213&lt;&gt;"",'Formation Ledger'!V5213=0),"PASS","FAIL")</f>
        <v>PASS</v>
      </c>
      <c r="F5234" s="9" t="s">
        <v>76</v>
      </c>
      <c r="G5234" s="6"/>
      <c r="H5234" s="6"/>
      <c r="I5234" s="6"/>
      <c r="J5234" s="6"/>
      <c r="K5234" s="6"/>
      <c r="L5234" s="6"/>
      <c r="M5234" s="6"/>
      <c r="N5234" s="6"/>
      <c r="O5234" s="6"/>
      <c r="P5234" s="6"/>
      <c r="Q5234" s="6"/>
      <c r="R5234" s="6"/>
      <c r="S5234" s="6"/>
      <c r="T5234" s="6"/>
      <c r="U5234" s="6"/>
      <c r="V5234" s="6"/>
      <c r="W5234" s="6"/>
      <c r="X5234" s="6"/>
      <c r="Y5234" s="6"/>
      <c r="Z5234" s="6"/>
    </row>
    <row r="5235" customFormat="false" ht="15" hidden="false" customHeight="false" outlineLevel="0" collapsed="false">
      <c r="A5235" s="9" t="s">
        <v>11078</v>
      </c>
      <c r="B5235" s="9" t="s">
        <v>5870</v>
      </c>
      <c r="C5235" s="9" t="s">
        <v>5519</v>
      </c>
      <c r="D5235" s="9" t="s">
        <v>5871</v>
      </c>
      <c r="E5235" s="9" t="str">
        <f aca="false">IF(AND('Formation Ledger'!A5214&lt;&gt;"",'Formation Ledger'!V5214=0),"PASS","FAIL")</f>
        <v>PASS</v>
      </c>
      <c r="F5235" s="9" t="s">
        <v>76</v>
      </c>
      <c r="G5235" s="6"/>
      <c r="H5235" s="6"/>
      <c r="I5235" s="6"/>
      <c r="J5235" s="6"/>
      <c r="K5235" s="6"/>
      <c r="L5235" s="6"/>
      <c r="M5235" s="6"/>
      <c r="N5235" s="6"/>
      <c r="O5235" s="6"/>
      <c r="P5235" s="6"/>
      <c r="Q5235" s="6"/>
      <c r="R5235" s="6"/>
      <c r="S5235" s="6"/>
      <c r="T5235" s="6"/>
      <c r="U5235" s="6"/>
      <c r="V5235" s="6"/>
      <c r="W5235" s="6"/>
      <c r="X5235" s="6"/>
      <c r="Y5235" s="6"/>
      <c r="Z5235" s="6"/>
    </row>
    <row r="5236" customFormat="false" ht="15" hidden="false" customHeight="false" outlineLevel="0" collapsed="false">
      <c r="A5236" s="9" t="s">
        <v>11079</v>
      </c>
      <c r="B5236" s="9" t="s">
        <v>5870</v>
      </c>
      <c r="C5236" s="9" t="s">
        <v>5520</v>
      </c>
      <c r="D5236" s="9" t="s">
        <v>5871</v>
      </c>
      <c r="E5236" s="9" t="str">
        <f aca="false">IF(AND('Formation Ledger'!A5215&lt;&gt;"",'Formation Ledger'!V5215=0),"PASS","FAIL")</f>
        <v>PASS</v>
      </c>
      <c r="F5236" s="9" t="s">
        <v>76</v>
      </c>
      <c r="G5236" s="6"/>
      <c r="H5236" s="6"/>
      <c r="I5236" s="6"/>
      <c r="J5236" s="6"/>
      <c r="K5236" s="6"/>
      <c r="L5236" s="6"/>
      <c r="M5236" s="6"/>
      <c r="N5236" s="6"/>
      <c r="O5236" s="6"/>
      <c r="P5236" s="6"/>
      <c r="Q5236" s="6"/>
      <c r="R5236" s="6"/>
      <c r="S5236" s="6"/>
      <c r="T5236" s="6"/>
      <c r="U5236" s="6"/>
      <c r="V5236" s="6"/>
      <c r="W5236" s="6"/>
      <c r="X5236" s="6"/>
      <c r="Y5236" s="6"/>
      <c r="Z5236" s="6"/>
    </row>
    <row r="5237" customFormat="false" ht="15" hidden="false" customHeight="false" outlineLevel="0" collapsed="false">
      <c r="A5237" s="9" t="s">
        <v>11080</v>
      </c>
      <c r="B5237" s="9" t="s">
        <v>5870</v>
      </c>
      <c r="C5237" s="9" t="s">
        <v>5521</v>
      </c>
      <c r="D5237" s="9" t="s">
        <v>5871</v>
      </c>
      <c r="E5237" s="9" t="str">
        <f aca="false">IF(AND('Formation Ledger'!A5216&lt;&gt;"",'Formation Ledger'!V5216=0),"PASS","FAIL")</f>
        <v>PASS</v>
      </c>
      <c r="F5237" s="9" t="s">
        <v>76</v>
      </c>
      <c r="G5237" s="6"/>
      <c r="H5237" s="6"/>
      <c r="I5237" s="6"/>
      <c r="J5237" s="6"/>
      <c r="K5237" s="6"/>
      <c r="L5237" s="6"/>
      <c r="M5237" s="6"/>
      <c r="N5237" s="6"/>
      <c r="O5237" s="6"/>
      <c r="P5237" s="6"/>
      <c r="Q5237" s="6"/>
      <c r="R5237" s="6"/>
      <c r="S5237" s="6"/>
      <c r="T5237" s="6"/>
      <c r="U5237" s="6"/>
      <c r="V5237" s="6"/>
      <c r="W5237" s="6"/>
      <c r="X5237" s="6"/>
      <c r="Y5237" s="6"/>
      <c r="Z5237" s="6"/>
    </row>
    <row r="5238" customFormat="false" ht="15" hidden="false" customHeight="false" outlineLevel="0" collapsed="false">
      <c r="A5238" s="9" t="s">
        <v>11081</v>
      </c>
      <c r="B5238" s="9" t="s">
        <v>5870</v>
      </c>
      <c r="C5238" s="9" t="s">
        <v>5522</v>
      </c>
      <c r="D5238" s="9" t="s">
        <v>5871</v>
      </c>
      <c r="E5238" s="9" t="str">
        <f aca="false">IF(AND('Formation Ledger'!A5217&lt;&gt;"",'Formation Ledger'!V5217=0),"PASS","FAIL")</f>
        <v>PASS</v>
      </c>
      <c r="F5238" s="9" t="s">
        <v>76</v>
      </c>
      <c r="G5238" s="6"/>
      <c r="H5238" s="6"/>
      <c r="I5238" s="6"/>
      <c r="J5238" s="6"/>
      <c r="K5238" s="6"/>
      <c r="L5238" s="6"/>
      <c r="M5238" s="6"/>
      <c r="N5238" s="6"/>
      <c r="O5238" s="6"/>
      <c r="P5238" s="6"/>
      <c r="Q5238" s="6"/>
      <c r="R5238" s="6"/>
      <c r="S5238" s="6"/>
      <c r="T5238" s="6"/>
      <c r="U5238" s="6"/>
      <c r="V5238" s="6"/>
      <c r="W5238" s="6"/>
      <c r="X5238" s="6"/>
      <c r="Y5238" s="6"/>
      <c r="Z5238" s="6"/>
    </row>
    <row r="5239" customFormat="false" ht="15" hidden="false" customHeight="false" outlineLevel="0" collapsed="false">
      <c r="A5239" s="9" t="s">
        <v>11082</v>
      </c>
      <c r="B5239" s="9" t="s">
        <v>5870</v>
      </c>
      <c r="C5239" s="9" t="s">
        <v>5523</v>
      </c>
      <c r="D5239" s="9" t="s">
        <v>5871</v>
      </c>
      <c r="E5239" s="9" t="str">
        <f aca="false">IF(AND('Formation Ledger'!A5218&lt;&gt;"",'Formation Ledger'!V5218=0),"PASS","FAIL")</f>
        <v>PASS</v>
      </c>
      <c r="F5239" s="9" t="s">
        <v>76</v>
      </c>
      <c r="G5239" s="6"/>
      <c r="H5239" s="6"/>
      <c r="I5239" s="6"/>
      <c r="J5239" s="6"/>
      <c r="K5239" s="6"/>
      <c r="L5239" s="6"/>
      <c r="M5239" s="6"/>
      <c r="N5239" s="6"/>
      <c r="O5239" s="6"/>
      <c r="P5239" s="6"/>
      <c r="Q5239" s="6"/>
      <c r="R5239" s="6"/>
      <c r="S5239" s="6"/>
      <c r="T5239" s="6"/>
      <c r="U5239" s="6"/>
      <c r="V5239" s="6"/>
      <c r="W5239" s="6"/>
      <c r="X5239" s="6"/>
      <c r="Y5239" s="6"/>
      <c r="Z5239" s="6"/>
    </row>
    <row r="5240" customFormat="false" ht="15" hidden="false" customHeight="false" outlineLevel="0" collapsed="false">
      <c r="A5240" s="9" t="s">
        <v>11083</v>
      </c>
      <c r="B5240" s="9" t="s">
        <v>5870</v>
      </c>
      <c r="C5240" s="9" t="s">
        <v>5524</v>
      </c>
      <c r="D5240" s="9" t="s">
        <v>5871</v>
      </c>
      <c r="E5240" s="9" t="str">
        <f aca="false">IF(AND('Formation Ledger'!A5219&lt;&gt;"",'Formation Ledger'!V5219=0),"PASS","FAIL")</f>
        <v>PASS</v>
      </c>
      <c r="F5240" s="9" t="s">
        <v>76</v>
      </c>
      <c r="G5240" s="6"/>
      <c r="H5240" s="6"/>
      <c r="I5240" s="6"/>
      <c r="J5240" s="6"/>
      <c r="K5240" s="6"/>
      <c r="L5240" s="6"/>
      <c r="M5240" s="6"/>
      <c r="N5240" s="6"/>
      <c r="O5240" s="6"/>
      <c r="P5240" s="6"/>
      <c r="Q5240" s="6"/>
      <c r="R5240" s="6"/>
      <c r="S5240" s="6"/>
      <c r="T5240" s="6"/>
      <c r="U5240" s="6"/>
      <c r="V5240" s="6"/>
      <c r="W5240" s="6"/>
      <c r="X5240" s="6"/>
      <c r="Y5240" s="6"/>
      <c r="Z5240" s="6"/>
    </row>
    <row r="5241" customFormat="false" ht="15" hidden="false" customHeight="false" outlineLevel="0" collapsed="false">
      <c r="A5241" s="9" t="s">
        <v>11084</v>
      </c>
      <c r="B5241" s="9" t="s">
        <v>5870</v>
      </c>
      <c r="C5241" s="9" t="s">
        <v>5525</v>
      </c>
      <c r="D5241" s="9" t="s">
        <v>5871</v>
      </c>
      <c r="E5241" s="9" t="str">
        <f aca="false">IF(AND('Formation Ledger'!A5220&lt;&gt;"",'Formation Ledger'!V5220=0),"PASS","FAIL")</f>
        <v>PASS</v>
      </c>
      <c r="F5241" s="9" t="s">
        <v>76</v>
      </c>
      <c r="G5241" s="6"/>
      <c r="H5241" s="6"/>
      <c r="I5241" s="6"/>
      <c r="J5241" s="6"/>
      <c r="K5241" s="6"/>
      <c r="L5241" s="6"/>
      <c r="M5241" s="6"/>
      <c r="N5241" s="6"/>
      <c r="O5241" s="6"/>
      <c r="P5241" s="6"/>
      <c r="Q5241" s="6"/>
      <c r="R5241" s="6"/>
      <c r="S5241" s="6"/>
      <c r="T5241" s="6"/>
      <c r="U5241" s="6"/>
      <c r="V5241" s="6"/>
      <c r="W5241" s="6"/>
      <c r="X5241" s="6"/>
      <c r="Y5241" s="6"/>
      <c r="Z5241" s="6"/>
    </row>
    <row r="5242" customFormat="false" ht="15" hidden="false" customHeight="false" outlineLevel="0" collapsed="false">
      <c r="A5242" s="9" t="s">
        <v>11085</v>
      </c>
      <c r="B5242" s="9" t="s">
        <v>5870</v>
      </c>
      <c r="C5242" s="9" t="s">
        <v>5526</v>
      </c>
      <c r="D5242" s="9" t="s">
        <v>5871</v>
      </c>
      <c r="E5242" s="9" t="str">
        <f aca="false">IF(AND('Formation Ledger'!A5221&lt;&gt;"",'Formation Ledger'!V5221=0),"PASS","FAIL")</f>
        <v>PASS</v>
      </c>
      <c r="F5242" s="9" t="s">
        <v>76</v>
      </c>
      <c r="G5242" s="6"/>
      <c r="H5242" s="6"/>
      <c r="I5242" s="6"/>
      <c r="J5242" s="6"/>
      <c r="K5242" s="6"/>
      <c r="L5242" s="6"/>
      <c r="M5242" s="6"/>
      <c r="N5242" s="6"/>
      <c r="O5242" s="6"/>
      <c r="P5242" s="6"/>
      <c r="Q5242" s="6"/>
      <c r="R5242" s="6"/>
      <c r="S5242" s="6"/>
      <c r="T5242" s="6"/>
      <c r="U5242" s="6"/>
      <c r="V5242" s="6"/>
      <c r="W5242" s="6"/>
      <c r="X5242" s="6"/>
      <c r="Y5242" s="6"/>
      <c r="Z5242" s="6"/>
    </row>
    <row r="5243" customFormat="false" ht="15" hidden="false" customHeight="false" outlineLevel="0" collapsed="false">
      <c r="A5243" s="9" t="s">
        <v>11086</v>
      </c>
      <c r="B5243" s="9" t="s">
        <v>5870</v>
      </c>
      <c r="C5243" s="9" t="s">
        <v>5527</v>
      </c>
      <c r="D5243" s="9" t="s">
        <v>5871</v>
      </c>
      <c r="E5243" s="9" t="str">
        <f aca="false">IF(AND('Formation Ledger'!A5222&lt;&gt;"",'Formation Ledger'!V5222=0),"PASS","FAIL")</f>
        <v>PASS</v>
      </c>
      <c r="F5243" s="9" t="s">
        <v>76</v>
      </c>
      <c r="G5243" s="6"/>
      <c r="H5243" s="6"/>
      <c r="I5243" s="6"/>
      <c r="J5243" s="6"/>
      <c r="K5243" s="6"/>
      <c r="L5243" s="6"/>
      <c r="M5243" s="6"/>
      <c r="N5243" s="6"/>
      <c r="O5243" s="6"/>
      <c r="P5243" s="6"/>
      <c r="Q5243" s="6"/>
      <c r="R5243" s="6"/>
      <c r="S5243" s="6"/>
      <c r="T5243" s="6"/>
      <c r="U5243" s="6"/>
      <c r="V5243" s="6"/>
      <c r="W5243" s="6"/>
      <c r="X5243" s="6"/>
      <c r="Y5243" s="6"/>
      <c r="Z5243" s="6"/>
    </row>
    <row r="5244" customFormat="false" ht="15" hidden="false" customHeight="false" outlineLevel="0" collapsed="false">
      <c r="A5244" s="9" t="s">
        <v>11087</v>
      </c>
      <c r="B5244" s="9" t="s">
        <v>5870</v>
      </c>
      <c r="C5244" s="9" t="s">
        <v>5528</v>
      </c>
      <c r="D5244" s="9" t="s">
        <v>5871</v>
      </c>
      <c r="E5244" s="9" t="str">
        <f aca="false">IF(AND('Formation Ledger'!A5223&lt;&gt;"",'Formation Ledger'!V5223=0),"PASS","FAIL")</f>
        <v>PASS</v>
      </c>
      <c r="F5244" s="9" t="s">
        <v>76</v>
      </c>
      <c r="G5244" s="6"/>
      <c r="H5244" s="6"/>
      <c r="I5244" s="6"/>
      <c r="J5244" s="6"/>
      <c r="K5244" s="6"/>
      <c r="L5244" s="6"/>
      <c r="M5244" s="6"/>
      <c r="N5244" s="6"/>
      <c r="O5244" s="6"/>
      <c r="P5244" s="6"/>
      <c r="Q5244" s="6"/>
      <c r="R5244" s="6"/>
      <c r="S5244" s="6"/>
      <c r="T5244" s="6"/>
      <c r="U5244" s="6"/>
      <c r="V5244" s="6"/>
      <c r="W5244" s="6"/>
      <c r="X5244" s="6"/>
      <c r="Y5244" s="6"/>
      <c r="Z5244" s="6"/>
    </row>
    <row r="5245" customFormat="false" ht="15" hidden="false" customHeight="false" outlineLevel="0" collapsed="false">
      <c r="A5245" s="9" t="s">
        <v>11088</v>
      </c>
      <c r="B5245" s="9" t="s">
        <v>5870</v>
      </c>
      <c r="C5245" s="9" t="s">
        <v>5529</v>
      </c>
      <c r="D5245" s="9" t="s">
        <v>5871</v>
      </c>
      <c r="E5245" s="9" t="str">
        <f aca="false">IF(AND('Formation Ledger'!A5224&lt;&gt;"",'Formation Ledger'!V5224=0),"PASS","FAIL")</f>
        <v>PASS</v>
      </c>
      <c r="F5245" s="9" t="s">
        <v>76</v>
      </c>
      <c r="G5245" s="6"/>
      <c r="H5245" s="6"/>
      <c r="I5245" s="6"/>
      <c r="J5245" s="6"/>
      <c r="K5245" s="6"/>
      <c r="L5245" s="6"/>
      <c r="M5245" s="6"/>
      <c r="N5245" s="6"/>
      <c r="O5245" s="6"/>
      <c r="P5245" s="6"/>
      <c r="Q5245" s="6"/>
      <c r="R5245" s="6"/>
      <c r="S5245" s="6"/>
      <c r="T5245" s="6"/>
      <c r="U5245" s="6"/>
      <c r="V5245" s="6"/>
      <c r="W5245" s="6"/>
      <c r="X5245" s="6"/>
      <c r="Y5245" s="6"/>
      <c r="Z5245" s="6"/>
    </row>
    <row r="5246" customFormat="false" ht="15" hidden="false" customHeight="false" outlineLevel="0" collapsed="false">
      <c r="A5246" s="9" t="s">
        <v>11089</v>
      </c>
      <c r="B5246" s="9" t="s">
        <v>5870</v>
      </c>
      <c r="C5246" s="9" t="s">
        <v>5530</v>
      </c>
      <c r="D5246" s="9" t="s">
        <v>5871</v>
      </c>
      <c r="E5246" s="9" t="str">
        <f aca="false">IF(AND('Formation Ledger'!A5225&lt;&gt;"",'Formation Ledger'!V5225=0),"PASS","FAIL")</f>
        <v>PASS</v>
      </c>
      <c r="F5246" s="9" t="s">
        <v>76</v>
      </c>
      <c r="G5246" s="6"/>
      <c r="H5246" s="6"/>
      <c r="I5246" s="6"/>
      <c r="J5246" s="6"/>
      <c r="K5246" s="6"/>
      <c r="L5246" s="6"/>
      <c r="M5246" s="6"/>
      <c r="N5246" s="6"/>
      <c r="O5246" s="6"/>
      <c r="P5246" s="6"/>
      <c r="Q5246" s="6"/>
      <c r="R5246" s="6"/>
      <c r="S5246" s="6"/>
      <c r="T5246" s="6"/>
      <c r="U5246" s="6"/>
      <c r="V5246" s="6"/>
      <c r="W5246" s="6"/>
      <c r="X5246" s="6"/>
      <c r="Y5246" s="6"/>
      <c r="Z5246" s="6"/>
    </row>
    <row r="5247" customFormat="false" ht="15" hidden="false" customHeight="false" outlineLevel="0" collapsed="false">
      <c r="A5247" s="9" t="s">
        <v>11090</v>
      </c>
      <c r="B5247" s="9" t="s">
        <v>5870</v>
      </c>
      <c r="C5247" s="9" t="s">
        <v>5531</v>
      </c>
      <c r="D5247" s="9" t="s">
        <v>5871</v>
      </c>
      <c r="E5247" s="9" t="str">
        <f aca="false">IF(AND('Formation Ledger'!A5226&lt;&gt;"",'Formation Ledger'!V5226=0),"PASS","FAIL")</f>
        <v>PASS</v>
      </c>
      <c r="F5247" s="9" t="s">
        <v>76</v>
      </c>
      <c r="G5247" s="6"/>
      <c r="H5247" s="6"/>
      <c r="I5247" s="6"/>
      <c r="J5247" s="6"/>
      <c r="K5247" s="6"/>
      <c r="L5247" s="6"/>
      <c r="M5247" s="6"/>
      <c r="N5247" s="6"/>
      <c r="O5247" s="6"/>
      <c r="P5247" s="6"/>
      <c r="Q5247" s="6"/>
      <c r="R5247" s="6"/>
      <c r="S5247" s="6"/>
      <c r="T5247" s="6"/>
      <c r="U5247" s="6"/>
      <c r="V5247" s="6"/>
      <c r="W5247" s="6"/>
      <c r="X5247" s="6"/>
      <c r="Y5247" s="6"/>
      <c r="Z5247" s="6"/>
    </row>
    <row r="5248" customFormat="false" ht="15" hidden="false" customHeight="false" outlineLevel="0" collapsed="false">
      <c r="A5248" s="9" t="s">
        <v>11091</v>
      </c>
      <c r="B5248" s="9" t="s">
        <v>5870</v>
      </c>
      <c r="C5248" s="9" t="s">
        <v>5532</v>
      </c>
      <c r="D5248" s="9" t="s">
        <v>5871</v>
      </c>
      <c r="E5248" s="9" t="str">
        <f aca="false">IF(AND('Formation Ledger'!A5227&lt;&gt;"",'Formation Ledger'!V5227=0),"PASS","FAIL")</f>
        <v>PASS</v>
      </c>
      <c r="F5248" s="9" t="s">
        <v>76</v>
      </c>
      <c r="G5248" s="6"/>
      <c r="H5248" s="6"/>
      <c r="I5248" s="6"/>
      <c r="J5248" s="6"/>
      <c r="K5248" s="6"/>
      <c r="L5248" s="6"/>
      <c r="M5248" s="6"/>
      <c r="N5248" s="6"/>
      <c r="O5248" s="6"/>
      <c r="P5248" s="6"/>
      <c r="Q5248" s="6"/>
      <c r="R5248" s="6"/>
      <c r="S5248" s="6"/>
      <c r="T5248" s="6"/>
      <c r="U5248" s="6"/>
      <c r="V5248" s="6"/>
      <c r="W5248" s="6"/>
      <c r="X5248" s="6"/>
      <c r="Y5248" s="6"/>
      <c r="Z5248" s="6"/>
    </row>
    <row r="5249" customFormat="false" ht="15" hidden="false" customHeight="false" outlineLevel="0" collapsed="false">
      <c r="A5249" s="9" t="s">
        <v>11092</v>
      </c>
      <c r="B5249" s="9" t="s">
        <v>5870</v>
      </c>
      <c r="C5249" s="9" t="s">
        <v>5533</v>
      </c>
      <c r="D5249" s="9" t="s">
        <v>5871</v>
      </c>
      <c r="E5249" s="9" t="str">
        <f aca="false">IF(AND('Formation Ledger'!A5228&lt;&gt;"",'Formation Ledger'!V5228=0),"PASS","FAIL")</f>
        <v>PASS</v>
      </c>
      <c r="F5249" s="9" t="s">
        <v>76</v>
      </c>
      <c r="G5249" s="6"/>
      <c r="H5249" s="6"/>
      <c r="I5249" s="6"/>
      <c r="J5249" s="6"/>
      <c r="K5249" s="6"/>
      <c r="L5249" s="6"/>
      <c r="M5249" s="6"/>
      <c r="N5249" s="6"/>
      <c r="O5249" s="6"/>
      <c r="P5249" s="6"/>
      <c r="Q5249" s="6"/>
      <c r="R5249" s="6"/>
      <c r="S5249" s="6"/>
      <c r="T5249" s="6"/>
      <c r="U5249" s="6"/>
      <c r="V5249" s="6"/>
      <c r="W5249" s="6"/>
      <c r="X5249" s="6"/>
      <c r="Y5249" s="6"/>
      <c r="Z5249" s="6"/>
    </row>
    <row r="5250" customFormat="false" ht="15" hidden="false" customHeight="false" outlineLevel="0" collapsed="false">
      <c r="A5250" s="9" t="s">
        <v>11093</v>
      </c>
      <c r="B5250" s="9" t="s">
        <v>5870</v>
      </c>
      <c r="C5250" s="9" t="s">
        <v>5534</v>
      </c>
      <c r="D5250" s="9" t="s">
        <v>5871</v>
      </c>
      <c r="E5250" s="9" t="str">
        <f aca="false">IF(AND('Formation Ledger'!A5229&lt;&gt;"",'Formation Ledger'!V5229=0),"PASS","FAIL")</f>
        <v>PASS</v>
      </c>
      <c r="F5250" s="9" t="s">
        <v>76</v>
      </c>
      <c r="G5250" s="6"/>
      <c r="H5250" s="6"/>
      <c r="I5250" s="6"/>
      <c r="J5250" s="6"/>
      <c r="K5250" s="6"/>
      <c r="L5250" s="6"/>
      <c r="M5250" s="6"/>
      <c r="N5250" s="6"/>
      <c r="O5250" s="6"/>
      <c r="P5250" s="6"/>
      <c r="Q5250" s="6"/>
      <c r="R5250" s="6"/>
      <c r="S5250" s="6"/>
      <c r="T5250" s="6"/>
      <c r="U5250" s="6"/>
      <c r="V5250" s="6"/>
      <c r="W5250" s="6"/>
      <c r="X5250" s="6"/>
      <c r="Y5250" s="6"/>
      <c r="Z5250" s="6"/>
    </row>
    <row r="5251" customFormat="false" ht="15" hidden="false" customHeight="false" outlineLevel="0" collapsed="false">
      <c r="A5251" s="9" t="s">
        <v>11094</v>
      </c>
      <c r="B5251" s="9" t="s">
        <v>5870</v>
      </c>
      <c r="C5251" s="9" t="s">
        <v>5535</v>
      </c>
      <c r="D5251" s="9" t="s">
        <v>5871</v>
      </c>
      <c r="E5251" s="9" t="str">
        <f aca="false">IF(AND('Formation Ledger'!A5230&lt;&gt;"",'Formation Ledger'!V5230=0),"PASS","FAIL")</f>
        <v>PASS</v>
      </c>
      <c r="F5251" s="9" t="s">
        <v>76</v>
      </c>
      <c r="G5251" s="6"/>
      <c r="H5251" s="6"/>
      <c r="I5251" s="6"/>
      <c r="J5251" s="6"/>
      <c r="K5251" s="6"/>
      <c r="L5251" s="6"/>
      <c r="M5251" s="6"/>
      <c r="N5251" s="6"/>
      <c r="O5251" s="6"/>
      <c r="P5251" s="6"/>
      <c r="Q5251" s="6"/>
      <c r="R5251" s="6"/>
      <c r="S5251" s="6"/>
      <c r="T5251" s="6"/>
      <c r="U5251" s="6"/>
      <c r="V5251" s="6"/>
      <c r="W5251" s="6"/>
      <c r="X5251" s="6"/>
      <c r="Y5251" s="6"/>
      <c r="Z5251" s="6"/>
    </row>
    <row r="5252" customFormat="false" ht="15" hidden="false" customHeight="false" outlineLevel="0" collapsed="false">
      <c r="A5252" s="9" t="s">
        <v>11095</v>
      </c>
      <c r="B5252" s="9" t="s">
        <v>5870</v>
      </c>
      <c r="C5252" s="9" t="s">
        <v>5536</v>
      </c>
      <c r="D5252" s="9" t="s">
        <v>5871</v>
      </c>
      <c r="E5252" s="9" t="str">
        <f aca="false">IF(AND('Formation Ledger'!A5231&lt;&gt;"",'Formation Ledger'!V5231=0),"PASS","FAIL")</f>
        <v>PASS</v>
      </c>
      <c r="F5252" s="9" t="s">
        <v>76</v>
      </c>
      <c r="G5252" s="6"/>
      <c r="H5252" s="6"/>
      <c r="I5252" s="6"/>
      <c r="J5252" s="6"/>
      <c r="K5252" s="6"/>
      <c r="L5252" s="6"/>
      <c r="M5252" s="6"/>
      <c r="N5252" s="6"/>
      <c r="O5252" s="6"/>
      <c r="P5252" s="6"/>
      <c r="Q5252" s="6"/>
      <c r="R5252" s="6"/>
      <c r="S5252" s="6"/>
      <c r="T5252" s="6"/>
      <c r="U5252" s="6"/>
      <c r="V5252" s="6"/>
      <c r="W5252" s="6"/>
      <c r="X5252" s="6"/>
      <c r="Y5252" s="6"/>
      <c r="Z5252" s="6"/>
    </row>
    <row r="5253" customFormat="false" ht="15" hidden="false" customHeight="false" outlineLevel="0" collapsed="false">
      <c r="A5253" s="9" t="s">
        <v>11096</v>
      </c>
      <c r="B5253" s="9" t="s">
        <v>5870</v>
      </c>
      <c r="C5253" s="9" t="s">
        <v>5537</v>
      </c>
      <c r="D5253" s="9" t="s">
        <v>5871</v>
      </c>
      <c r="E5253" s="9" t="str">
        <f aca="false">IF(AND('Formation Ledger'!A5232&lt;&gt;"",'Formation Ledger'!V5232=0),"PASS","FAIL")</f>
        <v>PASS</v>
      </c>
      <c r="F5253" s="9" t="s">
        <v>76</v>
      </c>
      <c r="G5253" s="6"/>
      <c r="H5253" s="6"/>
      <c r="I5253" s="6"/>
      <c r="J5253" s="6"/>
      <c r="K5253" s="6"/>
      <c r="L5253" s="6"/>
      <c r="M5253" s="6"/>
      <c r="N5253" s="6"/>
      <c r="O5253" s="6"/>
      <c r="P5253" s="6"/>
      <c r="Q5253" s="6"/>
      <c r="R5253" s="6"/>
      <c r="S5253" s="6"/>
      <c r="T5253" s="6"/>
      <c r="U5253" s="6"/>
      <c r="V5253" s="6"/>
      <c r="W5253" s="6"/>
      <c r="X5253" s="6"/>
      <c r="Y5253" s="6"/>
      <c r="Z5253" s="6"/>
    </row>
    <row r="5254" customFormat="false" ht="15" hidden="false" customHeight="false" outlineLevel="0" collapsed="false">
      <c r="A5254" s="9" t="s">
        <v>11097</v>
      </c>
      <c r="B5254" s="9" t="s">
        <v>5870</v>
      </c>
      <c r="C5254" s="9" t="s">
        <v>5538</v>
      </c>
      <c r="D5254" s="9" t="s">
        <v>5871</v>
      </c>
      <c r="E5254" s="9" t="str">
        <f aca="false">IF(AND('Formation Ledger'!A5233&lt;&gt;"",'Formation Ledger'!V5233=0),"PASS","FAIL")</f>
        <v>PASS</v>
      </c>
      <c r="F5254" s="9" t="s">
        <v>76</v>
      </c>
      <c r="G5254" s="6"/>
      <c r="H5254" s="6"/>
      <c r="I5254" s="6"/>
      <c r="J5254" s="6"/>
      <c r="K5254" s="6"/>
      <c r="L5254" s="6"/>
      <c r="M5254" s="6"/>
      <c r="N5254" s="6"/>
      <c r="O5254" s="6"/>
      <c r="P5254" s="6"/>
      <c r="Q5254" s="6"/>
      <c r="R5254" s="6"/>
      <c r="S5254" s="6"/>
      <c r="T5254" s="6"/>
      <c r="U5254" s="6"/>
      <c r="V5254" s="6"/>
      <c r="W5254" s="6"/>
      <c r="X5254" s="6"/>
      <c r="Y5254" s="6"/>
      <c r="Z5254" s="6"/>
    </row>
    <row r="5255" customFormat="false" ht="15" hidden="false" customHeight="false" outlineLevel="0" collapsed="false">
      <c r="A5255" s="9" t="s">
        <v>11098</v>
      </c>
      <c r="B5255" s="9" t="s">
        <v>5870</v>
      </c>
      <c r="C5255" s="9" t="s">
        <v>5539</v>
      </c>
      <c r="D5255" s="9" t="s">
        <v>5871</v>
      </c>
      <c r="E5255" s="9" t="str">
        <f aca="false">IF(AND('Formation Ledger'!A5234&lt;&gt;"",'Formation Ledger'!V5234=0),"PASS","FAIL")</f>
        <v>PASS</v>
      </c>
      <c r="F5255" s="9" t="s">
        <v>76</v>
      </c>
      <c r="G5255" s="6"/>
      <c r="H5255" s="6"/>
      <c r="I5255" s="6"/>
      <c r="J5255" s="6"/>
      <c r="K5255" s="6"/>
      <c r="L5255" s="6"/>
      <c r="M5255" s="6"/>
      <c r="N5255" s="6"/>
      <c r="O5255" s="6"/>
      <c r="P5255" s="6"/>
      <c r="Q5255" s="6"/>
      <c r="R5255" s="6"/>
      <c r="S5255" s="6"/>
      <c r="T5255" s="6"/>
      <c r="U5255" s="6"/>
      <c r="V5255" s="6"/>
      <c r="W5255" s="6"/>
      <c r="X5255" s="6"/>
      <c r="Y5255" s="6"/>
      <c r="Z5255" s="6"/>
    </row>
    <row r="5256" customFormat="false" ht="15" hidden="false" customHeight="false" outlineLevel="0" collapsed="false">
      <c r="A5256" s="9" t="s">
        <v>11099</v>
      </c>
      <c r="B5256" s="9" t="s">
        <v>5870</v>
      </c>
      <c r="C5256" s="9" t="s">
        <v>5540</v>
      </c>
      <c r="D5256" s="9" t="s">
        <v>5871</v>
      </c>
      <c r="E5256" s="9" t="str">
        <f aca="false">IF(AND('Formation Ledger'!A5235&lt;&gt;"",'Formation Ledger'!V5235=0),"PASS","FAIL")</f>
        <v>PASS</v>
      </c>
      <c r="F5256" s="9" t="s">
        <v>76</v>
      </c>
      <c r="G5256" s="6"/>
      <c r="H5256" s="6"/>
      <c r="I5256" s="6"/>
      <c r="J5256" s="6"/>
      <c r="K5256" s="6"/>
      <c r="L5256" s="6"/>
      <c r="M5256" s="6"/>
      <c r="N5256" s="6"/>
      <c r="O5256" s="6"/>
      <c r="P5256" s="6"/>
      <c r="Q5256" s="6"/>
      <c r="R5256" s="6"/>
      <c r="S5256" s="6"/>
      <c r="T5256" s="6"/>
      <c r="U5256" s="6"/>
      <c r="V5256" s="6"/>
      <c r="W5256" s="6"/>
      <c r="X5256" s="6"/>
      <c r="Y5256" s="6"/>
      <c r="Z5256" s="6"/>
    </row>
    <row r="5257" customFormat="false" ht="15" hidden="false" customHeight="false" outlineLevel="0" collapsed="false">
      <c r="A5257" s="9" t="s">
        <v>11100</v>
      </c>
      <c r="B5257" s="9" t="s">
        <v>5870</v>
      </c>
      <c r="C5257" s="9" t="s">
        <v>5541</v>
      </c>
      <c r="D5257" s="9" t="s">
        <v>5871</v>
      </c>
      <c r="E5257" s="9" t="str">
        <f aca="false">IF(AND('Formation Ledger'!A5236&lt;&gt;"",'Formation Ledger'!V5236=0),"PASS","FAIL")</f>
        <v>PASS</v>
      </c>
      <c r="F5257" s="9" t="s">
        <v>76</v>
      </c>
      <c r="G5257" s="6"/>
      <c r="H5257" s="6"/>
      <c r="I5257" s="6"/>
      <c r="J5257" s="6"/>
      <c r="K5257" s="6"/>
      <c r="L5257" s="6"/>
      <c r="M5257" s="6"/>
      <c r="N5257" s="6"/>
      <c r="O5257" s="6"/>
      <c r="P5257" s="6"/>
      <c r="Q5257" s="6"/>
      <c r="R5257" s="6"/>
      <c r="S5257" s="6"/>
      <c r="T5257" s="6"/>
      <c r="U5257" s="6"/>
      <c r="V5257" s="6"/>
      <c r="W5257" s="6"/>
      <c r="X5257" s="6"/>
      <c r="Y5257" s="6"/>
      <c r="Z5257" s="6"/>
    </row>
    <row r="5258" customFormat="false" ht="15" hidden="false" customHeight="false" outlineLevel="0" collapsed="false">
      <c r="A5258" s="9" t="s">
        <v>11101</v>
      </c>
      <c r="B5258" s="9" t="s">
        <v>5870</v>
      </c>
      <c r="C5258" s="9" t="s">
        <v>5542</v>
      </c>
      <c r="D5258" s="9" t="s">
        <v>5871</v>
      </c>
      <c r="E5258" s="9" t="str">
        <f aca="false">IF(AND('Formation Ledger'!A5237&lt;&gt;"",'Formation Ledger'!V5237=0),"PASS","FAIL")</f>
        <v>PASS</v>
      </c>
      <c r="F5258" s="9" t="s">
        <v>76</v>
      </c>
      <c r="G5258" s="6"/>
      <c r="H5258" s="6"/>
      <c r="I5258" s="6"/>
      <c r="J5258" s="6"/>
      <c r="K5258" s="6"/>
      <c r="L5258" s="6"/>
      <c r="M5258" s="6"/>
      <c r="N5258" s="6"/>
      <c r="O5258" s="6"/>
      <c r="P5258" s="6"/>
      <c r="Q5258" s="6"/>
      <c r="R5258" s="6"/>
      <c r="S5258" s="6"/>
      <c r="T5258" s="6"/>
      <c r="U5258" s="6"/>
      <c r="V5258" s="6"/>
      <c r="W5258" s="6"/>
      <c r="X5258" s="6"/>
      <c r="Y5258" s="6"/>
      <c r="Z5258" s="6"/>
    </row>
    <row r="5259" customFormat="false" ht="15" hidden="false" customHeight="false" outlineLevel="0" collapsed="false">
      <c r="A5259" s="9" t="s">
        <v>11102</v>
      </c>
      <c r="B5259" s="9" t="s">
        <v>5870</v>
      </c>
      <c r="C5259" s="9" t="s">
        <v>5543</v>
      </c>
      <c r="D5259" s="9" t="s">
        <v>5871</v>
      </c>
      <c r="E5259" s="9" t="str">
        <f aca="false">IF(AND('Formation Ledger'!A5238&lt;&gt;"",'Formation Ledger'!V5238=0),"PASS","FAIL")</f>
        <v>PASS</v>
      </c>
      <c r="F5259" s="9" t="s">
        <v>76</v>
      </c>
      <c r="G5259" s="6"/>
      <c r="H5259" s="6"/>
      <c r="I5259" s="6"/>
      <c r="J5259" s="6"/>
      <c r="K5259" s="6"/>
      <c r="L5259" s="6"/>
      <c r="M5259" s="6"/>
      <c r="N5259" s="6"/>
      <c r="O5259" s="6"/>
      <c r="P5259" s="6"/>
      <c r="Q5259" s="6"/>
      <c r="R5259" s="6"/>
      <c r="S5259" s="6"/>
      <c r="T5259" s="6"/>
      <c r="U5259" s="6"/>
      <c r="V5259" s="6"/>
      <c r="W5259" s="6"/>
      <c r="X5259" s="6"/>
      <c r="Y5259" s="6"/>
      <c r="Z5259" s="6"/>
    </row>
    <row r="5260" customFormat="false" ht="15" hidden="false" customHeight="false" outlineLevel="0" collapsed="false">
      <c r="A5260" s="9" t="s">
        <v>11103</v>
      </c>
      <c r="B5260" s="9" t="s">
        <v>5870</v>
      </c>
      <c r="C5260" s="9" t="s">
        <v>5544</v>
      </c>
      <c r="D5260" s="9" t="s">
        <v>5871</v>
      </c>
      <c r="E5260" s="9" t="str">
        <f aca="false">IF(AND('Formation Ledger'!A5239&lt;&gt;"",'Formation Ledger'!V5239=0),"PASS","FAIL")</f>
        <v>PASS</v>
      </c>
      <c r="F5260" s="9" t="s">
        <v>76</v>
      </c>
      <c r="G5260" s="6"/>
      <c r="H5260" s="6"/>
      <c r="I5260" s="6"/>
      <c r="J5260" s="6"/>
      <c r="K5260" s="6"/>
      <c r="L5260" s="6"/>
      <c r="M5260" s="6"/>
      <c r="N5260" s="6"/>
      <c r="O5260" s="6"/>
      <c r="P5260" s="6"/>
      <c r="Q5260" s="6"/>
      <c r="R5260" s="6"/>
      <c r="S5260" s="6"/>
      <c r="T5260" s="6"/>
      <c r="U5260" s="6"/>
      <c r="V5260" s="6"/>
      <c r="W5260" s="6"/>
      <c r="X5260" s="6"/>
      <c r="Y5260" s="6"/>
      <c r="Z5260" s="6"/>
    </row>
    <row r="5261" customFormat="false" ht="15" hidden="false" customHeight="false" outlineLevel="0" collapsed="false">
      <c r="A5261" s="9" t="s">
        <v>11104</v>
      </c>
      <c r="B5261" s="9" t="s">
        <v>5870</v>
      </c>
      <c r="C5261" s="9" t="s">
        <v>5545</v>
      </c>
      <c r="D5261" s="9" t="s">
        <v>5871</v>
      </c>
      <c r="E5261" s="9" t="str">
        <f aca="false">IF(AND('Formation Ledger'!A5240&lt;&gt;"",'Formation Ledger'!V5240=0),"PASS","FAIL")</f>
        <v>PASS</v>
      </c>
      <c r="F5261" s="9" t="s">
        <v>76</v>
      </c>
      <c r="G5261" s="6"/>
      <c r="H5261" s="6"/>
      <c r="I5261" s="6"/>
      <c r="J5261" s="6"/>
      <c r="K5261" s="6"/>
      <c r="L5261" s="6"/>
      <c r="M5261" s="6"/>
      <c r="N5261" s="6"/>
      <c r="O5261" s="6"/>
      <c r="P5261" s="6"/>
      <c r="Q5261" s="6"/>
      <c r="R5261" s="6"/>
      <c r="S5261" s="6"/>
      <c r="T5261" s="6"/>
      <c r="U5261" s="6"/>
      <c r="V5261" s="6"/>
      <c r="W5261" s="6"/>
      <c r="X5261" s="6"/>
      <c r="Y5261" s="6"/>
      <c r="Z5261" s="6"/>
    </row>
    <row r="5262" customFormat="false" ht="15" hidden="false" customHeight="false" outlineLevel="0" collapsed="false">
      <c r="A5262" s="9" t="s">
        <v>11105</v>
      </c>
      <c r="B5262" s="9" t="s">
        <v>5870</v>
      </c>
      <c r="C5262" s="9" t="s">
        <v>5546</v>
      </c>
      <c r="D5262" s="9" t="s">
        <v>5871</v>
      </c>
      <c r="E5262" s="9" t="str">
        <f aca="false">IF(AND('Formation Ledger'!A5241&lt;&gt;"",'Formation Ledger'!V5241=0),"PASS","FAIL")</f>
        <v>PASS</v>
      </c>
      <c r="F5262" s="9" t="s">
        <v>76</v>
      </c>
      <c r="G5262" s="6"/>
      <c r="H5262" s="6"/>
      <c r="I5262" s="6"/>
      <c r="J5262" s="6"/>
      <c r="K5262" s="6"/>
      <c r="L5262" s="6"/>
      <c r="M5262" s="6"/>
      <c r="N5262" s="6"/>
      <c r="O5262" s="6"/>
      <c r="P5262" s="6"/>
      <c r="Q5262" s="6"/>
      <c r="R5262" s="6"/>
      <c r="S5262" s="6"/>
      <c r="T5262" s="6"/>
      <c r="U5262" s="6"/>
      <c r="V5262" s="6"/>
      <c r="W5262" s="6"/>
      <c r="X5262" s="6"/>
      <c r="Y5262" s="6"/>
      <c r="Z5262" s="6"/>
    </row>
    <row r="5263" customFormat="false" ht="15" hidden="false" customHeight="false" outlineLevel="0" collapsed="false">
      <c r="A5263" s="9" t="s">
        <v>11106</v>
      </c>
      <c r="B5263" s="9" t="s">
        <v>5870</v>
      </c>
      <c r="C5263" s="9" t="s">
        <v>5547</v>
      </c>
      <c r="D5263" s="9" t="s">
        <v>5871</v>
      </c>
      <c r="E5263" s="9" t="str">
        <f aca="false">IF(AND('Formation Ledger'!A5242&lt;&gt;"",'Formation Ledger'!V5242=0),"PASS","FAIL")</f>
        <v>PASS</v>
      </c>
      <c r="F5263" s="9" t="s">
        <v>76</v>
      </c>
      <c r="G5263" s="6"/>
      <c r="H5263" s="6"/>
      <c r="I5263" s="6"/>
      <c r="J5263" s="6"/>
      <c r="K5263" s="6"/>
      <c r="L5263" s="6"/>
      <c r="M5263" s="6"/>
      <c r="N5263" s="6"/>
      <c r="O5263" s="6"/>
      <c r="P5263" s="6"/>
      <c r="Q5263" s="6"/>
      <c r="R5263" s="6"/>
      <c r="S5263" s="6"/>
      <c r="T5263" s="6"/>
      <c r="U5263" s="6"/>
      <c r="V5263" s="6"/>
      <c r="W5263" s="6"/>
      <c r="X5263" s="6"/>
      <c r="Y5263" s="6"/>
      <c r="Z5263" s="6"/>
    </row>
    <row r="5264" customFormat="false" ht="15" hidden="false" customHeight="false" outlineLevel="0" collapsed="false">
      <c r="A5264" s="9" t="s">
        <v>11107</v>
      </c>
      <c r="B5264" s="9" t="s">
        <v>5870</v>
      </c>
      <c r="C5264" s="9" t="s">
        <v>5548</v>
      </c>
      <c r="D5264" s="9" t="s">
        <v>5871</v>
      </c>
      <c r="E5264" s="9" t="str">
        <f aca="false">IF(AND('Formation Ledger'!A5243&lt;&gt;"",'Formation Ledger'!V5243=0),"PASS","FAIL")</f>
        <v>PASS</v>
      </c>
      <c r="F5264" s="9" t="s">
        <v>76</v>
      </c>
      <c r="G5264" s="6"/>
      <c r="H5264" s="6"/>
      <c r="I5264" s="6"/>
      <c r="J5264" s="6"/>
      <c r="K5264" s="6"/>
      <c r="L5264" s="6"/>
      <c r="M5264" s="6"/>
      <c r="N5264" s="6"/>
      <c r="O5264" s="6"/>
      <c r="P5264" s="6"/>
      <c r="Q5264" s="6"/>
      <c r="R5264" s="6"/>
      <c r="S5264" s="6"/>
      <c r="T5264" s="6"/>
      <c r="U5264" s="6"/>
      <c r="V5264" s="6"/>
      <c r="W5264" s="6"/>
      <c r="X5264" s="6"/>
      <c r="Y5264" s="6"/>
      <c r="Z5264" s="6"/>
    </row>
    <row r="5265" customFormat="false" ht="15" hidden="false" customHeight="false" outlineLevel="0" collapsed="false">
      <c r="A5265" s="9" t="s">
        <v>11108</v>
      </c>
      <c r="B5265" s="9" t="s">
        <v>5870</v>
      </c>
      <c r="C5265" s="9" t="s">
        <v>5549</v>
      </c>
      <c r="D5265" s="9" t="s">
        <v>5871</v>
      </c>
      <c r="E5265" s="9" t="str">
        <f aca="false">IF(AND('Formation Ledger'!A5244&lt;&gt;"",'Formation Ledger'!V5244=0),"PASS","FAIL")</f>
        <v>PASS</v>
      </c>
      <c r="F5265" s="9" t="s">
        <v>76</v>
      </c>
      <c r="G5265" s="6"/>
      <c r="H5265" s="6"/>
      <c r="I5265" s="6"/>
      <c r="J5265" s="6"/>
      <c r="K5265" s="6"/>
      <c r="L5265" s="6"/>
      <c r="M5265" s="6"/>
      <c r="N5265" s="6"/>
      <c r="O5265" s="6"/>
      <c r="P5265" s="6"/>
      <c r="Q5265" s="6"/>
      <c r="R5265" s="6"/>
      <c r="S5265" s="6"/>
      <c r="T5265" s="6"/>
      <c r="U5265" s="6"/>
      <c r="V5265" s="6"/>
      <c r="W5265" s="6"/>
      <c r="X5265" s="6"/>
      <c r="Y5265" s="6"/>
      <c r="Z5265" s="6"/>
    </row>
    <row r="5266" customFormat="false" ht="15" hidden="false" customHeight="false" outlineLevel="0" collapsed="false">
      <c r="A5266" s="9" t="s">
        <v>11109</v>
      </c>
      <c r="B5266" s="9" t="s">
        <v>5870</v>
      </c>
      <c r="C5266" s="9" t="s">
        <v>5550</v>
      </c>
      <c r="D5266" s="9" t="s">
        <v>5871</v>
      </c>
      <c r="E5266" s="9" t="str">
        <f aca="false">IF(AND('Formation Ledger'!A5245&lt;&gt;"",'Formation Ledger'!V5245=0),"PASS","FAIL")</f>
        <v>PASS</v>
      </c>
      <c r="F5266" s="9" t="s">
        <v>76</v>
      </c>
      <c r="G5266" s="6"/>
      <c r="H5266" s="6"/>
      <c r="I5266" s="6"/>
      <c r="J5266" s="6"/>
      <c r="K5266" s="6"/>
      <c r="L5266" s="6"/>
      <c r="M5266" s="6"/>
      <c r="N5266" s="6"/>
      <c r="O5266" s="6"/>
      <c r="P5266" s="6"/>
      <c r="Q5266" s="6"/>
      <c r="R5266" s="6"/>
      <c r="S5266" s="6"/>
      <c r="T5266" s="6"/>
      <c r="U5266" s="6"/>
      <c r="V5266" s="6"/>
      <c r="W5266" s="6"/>
      <c r="X5266" s="6"/>
      <c r="Y5266" s="6"/>
      <c r="Z5266" s="6"/>
    </row>
    <row r="5267" customFormat="false" ht="15" hidden="false" customHeight="false" outlineLevel="0" collapsed="false">
      <c r="A5267" s="9" t="s">
        <v>11110</v>
      </c>
      <c r="B5267" s="9" t="s">
        <v>5870</v>
      </c>
      <c r="C5267" s="9" t="s">
        <v>5551</v>
      </c>
      <c r="D5267" s="9" t="s">
        <v>5871</v>
      </c>
      <c r="E5267" s="9" t="str">
        <f aca="false">IF(AND('Formation Ledger'!A5246&lt;&gt;"",'Formation Ledger'!V5246=0),"PASS","FAIL")</f>
        <v>PASS</v>
      </c>
      <c r="F5267" s="9" t="s">
        <v>76</v>
      </c>
      <c r="G5267" s="6"/>
      <c r="H5267" s="6"/>
      <c r="I5267" s="6"/>
      <c r="J5267" s="6"/>
      <c r="K5267" s="6"/>
      <c r="L5267" s="6"/>
      <c r="M5267" s="6"/>
      <c r="N5267" s="6"/>
      <c r="O5267" s="6"/>
      <c r="P5267" s="6"/>
      <c r="Q5267" s="6"/>
      <c r="R5267" s="6"/>
      <c r="S5267" s="6"/>
      <c r="T5267" s="6"/>
      <c r="U5267" s="6"/>
      <c r="V5267" s="6"/>
      <c r="W5267" s="6"/>
      <c r="X5267" s="6"/>
      <c r="Y5267" s="6"/>
      <c r="Z5267" s="6"/>
    </row>
    <row r="5268" customFormat="false" ht="15" hidden="false" customHeight="false" outlineLevel="0" collapsed="false">
      <c r="A5268" s="9" t="s">
        <v>11111</v>
      </c>
      <c r="B5268" s="9" t="s">
        <v>5870</v>
      </c>
      <c r="C5268" s="9" t="s">
        <v>5552</v>
      </c>
      <c r="D5268" s="9" t="s">
        <v>5871</v>
      </c>
      <c r="E5268" s="9" t="str">
        <f aca="false">IF(AND('Formation Ledger'!A5247&lt;&gt;"",'Formation Ledger'!V5247=0),"PASS","FAIL")</f>
        <v>PASS</v>
      </c>
      <c r="F5268" s="9" t="s">
        <v>76</v>
      </c>
      <c r="G5268" s="6"/>
      <c r="H5268" s="6"/>
      <c r="I5268" s="6"/>
      <c r="J5268" s="6"/>
      <c r="K5268" s="6"/>
      <c r="L5268" s="6"/>
      <c r="M5268" s="6"/>
      <c r="N5268" s="6"/>
      <c r="O5268" s="6"/>
      <c r="P5268" s="6"/>
      <c r="Q5268" s="6"/>
      <c r="R5268" s="6"/>
      <c r="S5268" s="6"/>
      <c r="T5268" s="6"/>
      <c r="U5268" s="6"/>
      <c r="V5268" s="6"/>
      <c r="W5268" s="6"/>
      <c r="X5268" s="6"/>
      <c r="Y5268" s="6"/>
      <c r="Z5268" s="6"/>
    </row>
    <row r="5269" customFormat="false" ht="15" hidden="false" customHeight="false" outlineLevel="0" collapsed="false">
      <c r="A5269" s="9" t="s">
        <v>11112</v>
      </c>
      <c r="B5269" s="9" t="s">
        <v>5870</v>
      </c>
      <c r="C5269" s="9" t="s">
        <v>5553</v>
      </c>
      <c r="D5269" s="9" t="s">
        <v>5871</v>
      </c>
      <c r="E5269" s="9" t="str">
        <f aca="false">IF(AND('Formation Ledger'!A5248&lt;&gt;"",'Formation Ledger'!V5248=0),"PASS","FAIL")</f>
        <v>PASS</v>
      </c>
      <c r="F5269" s="9" t="s">
        <v>76</v>
      </c>
      <c r="G5269" s="6"/>
      <c r="H5269" s="6"/>
      <c r="I5269" s="6"/>
      <c r="J5269" s="6"/>
      <c r="K5269" s="6"/>
      <c r="L5269" s="6"/>
      <c r="M5269" s="6"/>
      <c r="N5269" s="6"/>
      <c r="O5269" s="6"/>
      <c r="P5269" s="6"/>
      <c r="Q5269" s="6"/>
      <c r="R5269" s="6"/>
      <c r="S5269" s="6"/>
      <c r="T5269" s="6"/>
      <c r="U5269" s="6"/>
      <c r="V5269" s="6"/>
      <c r="W5269" s="6"/>
      <c r="X5269" s="6"/>
      <c r="Y5269" s="6"/>
      <c r="Z5269" s="6"/>
    </row>
    <row r="5270" customFormat="false" ht="15" hidden="false" customHeight="false" outlineLevel="0" collapsed="false">
      <c r="A5270" s="9" t="s">
        <v>11113</v>
      </c>
      <c r="B5270" s="9" t="s">
        <v>5870</v>
      </c>
      <c r="C5270" s="9" t="s">
        <v>5554</v>
      </c>
      <c r="D5270" s="9" t="s">
        <v>5871</v>
      </c>
      <c r="E5270" s="9" t="str">
        <f aca="false">IF(AND('Formation Ledger'!A5249&lt;&gt;"",'Formation Ledger'!V5249=0),"PASS","FAIL")</f>
        <v>PASS</v>
      </c>
      <c r="F5270" s="9" t="s">
        <v>76</v>
      </c>
      <c r="G5270" s="6"/>
      <c r="H5270" s="6"/>
      <c r="I5270" s="6"/>
      <c r="J5270" s="6"/>
      <c r="K5270" s="6"/>
      <c r="L5270" s="6"/>
      <c r="M5270" s="6"/>
      <c r="N5270" s="6"/>
      <c r="O5270" s="6"/>
      <c r="P5270" s="6"/>
      <c r="Q5270" s="6"/>
      <c r="R5270" s="6"/>
      <c r="S5270" s="6"/>
      <c r="T5270" s="6"/>
      <c r="U5270" s="6"/>
      <c r="V5270" s="6"/>
      <c r="W5270" s="6"/>
      <c r="X5270" s="6"/>
      <c r="Y5270" s="6"/>
      <c r="Z5270" s="6"/>
    </row>
    <row r="5271" customFormat="false" ht="15" hidden="false" customHeight="false" outlineLevel="0" collapsed="false">
      <c r="A5271" s="9" t="s">
        <v>11114</v>
      </c>
      <c r="B5271" s="9" t="s">
        <v>5870</v>
      </c>
      <c r="C5271" s="9" t="s">
        <v>5555</v>
      </c>
      <c r="D5271" s="9" t="s">
        <v>5871</v>
      </c>
      <c r="E5271" s="9" t="str">
        <f aca="false">IF(AND('Formation Ledger'!A5250&lt;&gt;"",'Formation Ledger'!V5250=0),"PASS","FAIL")</f>
        <v>PASS</v>
      </c>
      <c r="F5271" s="9" t="s">
        <v>76</v>
      </c>
      <c r="G5271" s="6"/>
      <c r="H5271" s="6"/>
      <c r="I5271" s="6"/>
      <c r="J5271" s="6"/>
      <c r="K5271" s="6"/>
      <c r="L5271" s="6"/>
      <c r="M5271" s="6"/>
      <c r="N5271" s="6"/>
      <c r="O5271" s="6"/>
      <c r="P5271" s="6"/>
      <c r="Q5271" s="6"/>
      <c r="R5271" s="6"/>
      <c r="S5271" s="6"/>
      <c r="T5271" s="6"/>
      <c r="U5271" s="6"/>
      <c r="V5271" s="6"/>
      <c r="W5271" s="6"/>
      <c r="X5271" s="6"/>
      <c r="Y5271" s="6"/>
      <c r="Z5271" s="6"/>
    </row>
    <row r="5272" customFormat="false" ht="15" hidden="false" customHeight="false" outlineLevel="0" collapsed="false">
      <c r="A5272" s="9" t="s">
        <v>11115</v>
      </c>
      <c r="B5272" s="9" t="s">
        <v>5870</v>
      </c>
      <c r="C5272" s="9" t="s">
        <v>5556</v>
      </c>
      <c r="D5272" s="9" t="s">
        <v>5871</v>
      </c>
      <c r="E5272" s="9" t="str">
        <f aca="false">IF(AND('Formation Ledger'!A5251&lt;&gt;"",'Formation Ledger'!V5251=0),"PASS","FAIL")</f>
        <v>PASS</v>
      </c>
      <c r="F5272" s="9" t="s">
        <v>76</v>
      </c>
      <c r="G5272" s="6"/>
      <c r="H5272" s="6"/>
      <c r="I5272" s="6"/>
      <c r="J5272" s="6"/>
      <c r="K5272" s="6"/>
      <c r="L5272" s="6"/>
      <c r="M5272" s="6"/>
      <c r="N5272" s="6"/>
      <c r="O5272" s="6"/>
      <c r="P5272" s="6"/>
      <c r="Q5272" s="6"/>
      <c r="R5272" s="6"/>
      <c r="S5272" s="6"/>
      <c r="T5272" s="6"/>
      <c r="U5272" s="6"/>
      <c r="V5272" s="6"/>
      <c r="W5272" s="6"/>
      <c r="X5272" s="6"/>
      <c r="Y5272" s="6"/>
      <c r="Z5272" s="6"/>
    </row>
    <row r="5273" customFormat="false" ht="15" hidden="false" customHeight="false" outlineLevel="0" collapsed="false">
      <c r="A5273" s="9" t="s">
        <v>11116</v>
      </c>
      <c r="B5273" s="9" t="s">
        <v>5870</v>
      </c>
      <c r="C5273" s="9" t="s">
        <v>5557</v>
      </c>
      <c r="D5273" s="9" t="s">
        <v>5871</v>
      </c>
      <c r="E5273" s="9" t="str">
        <f aca="false">IF(AND('Formation Ledger'!A5252&lt;&gt;"",'Formation Ledger'!V5252=0),"PASS","FAIL")</f>
        <v>PASS</v>
      </c>
      <c r="F5273" s="9" t="s">
        <v>76</v>
      </c>
      <c r="G5273" s="6"/>
      <c r="H5273" s="6"/>
      <c r="I5273" s="6"/>
      <c r="J5273" s="6"/>
      <c r="K5273" s="6"/>
      <c r="L5273" s="6"/>
      <c r="M5273" s="6"/>
      <c r="N5273" s="6"/>
      <c r="O5273" s="6"/>
      <c r="P5273" s="6"/>
      <c r="Q5273" s="6"/>
      <c r="R5273" s="6"/>
      <c r="S5273" s="6"/>
      <c r="T5273" s="6"/>
      <c r="U5273" s="6"/>
      <c r="V5273" s="6"/>
      <c r="W5273" s="6"/>
      <c r="X5273" s="6"/>
      <c r="Y5273" s="6"/>
      <c r="Z5273" s="6"/>
    </row>
    <row r="5274" customFormat="false" ht="15" hidden="false" customHeight="false" outlineLevel="0" collapsed="false">
      <c r="A5274" s="9" t="s">
        <v>11117</v>
      </c>
      <c r="B5274" s="9" t="s">
        <v>5870</v>
      </c>
      <c r="C5274" s="9" t="s">
        <v>5558</v>
      </c>
      <c r="D5274" s="9" t="s">
        <v>5871</v>
      </c>
      <c r="E5274" s="9" t="str">
        <f aca="false">IF(AND('Formation Ledger'!A5253&lt;&gt;"",'Formation Ledger'!V5253=0),"PASS","FAIL")</f>
        <v>PASS</v>
      </c>
      <c r="F5274" s="9" t="s">
        <v>76</v>
      </c>
      <c r="G5274" s="6"/>
      <c r="H5274" s="6"/>
      <c r="I5274" s="6"/>
      <c r="J5274" s="6"/>
      <c r="K5274" s="6"/>
      <c r="L5274" s="6"/>
      <c r="M5274" s="6"/>
      <c r="N5274" s="6"/>
      <c r="O5274" s="6"/>
      <c r="P5274" s="6"/>
      <c r="Q5274" s="6"/>
      <c r="R5274" s="6"/>
      <c r="S5274" s="6"/>
      <c r="T5274" s="6"/>
      <c r="U5274" s="6"/>
      <c r="V5274" s="6"/>
      <c r="W5274" s="6"/>
      <c r="X5274" s="6"/>
      <c r="Y5274" s="6"/>
      <c r="Z5274" s="6"/>
    </row>
    <row r="5275" customFormat="false" ht="15" hidden="false" customHeight="false" outlineLevel="0" collapsed="false">
      <c r="A5275" s="9" t="s">
        <v>11118</v>
      </c>
      <c r="B5275" s="9" t="s">
        <v>5870</v>
      </c>
      <c r="C5275" s="9" t="s">
        <v>5559</v>
      </c>
      <c r="D5275" s="9" t="s">
        <v>5871</v>
      </c>
      <c r="E5275" s="9" t="str">
        <f aca="false">IF(AND('Formation Ledger'!A5254&lt;&gt;"",'Formation Ledger'!V5254=0),"PASS","FAIL")</f>
        <v>PASS</v>
      </c>
      <c r="F5275" s="9" t="s">
        <v>76</v>
      </c>
      <c r="G5275" s="6"/>
      <c r="H5275" s="6"/>
      <c r="I5275" s="6"/>
      <c r="J5275" s="6"/>
      <c r="K5275" s="6"/>
      <c r="L5275" s="6"/>
      <c r="M5275" s="6"/>
      <c r="N5275" s="6"/>
      <c r="O5275" s="6"/>
      <c r="P5275" s="6"/>
      <c r="Q5275" s="6"/>
      <c r="R5275" s="6"/>
      <c r="S5275" s="6"/>
      <c r="T5275" s="6"/>
      <c r="U5275" s="6"/>
      <c r="V5275" s="6"/>
      <c r="W5275" s="6"/>
      <c r="X5275" s="6"/>
      <c r="Y5275" s="6"/>
      <c r="Z5275" s="6"/>
    </row>
    <row r="5276" customFormat="false" ht="15" hidden="false" customHeight="false" outlineLevel="0" collapsed="false">
      <c r="A5276" s="9" t="s">
        <v>11119</v>
      </c>
      <c r="B5276" s="9" t="s">
        <v>5870</v>
      </c>
      <c r="C5276" s="9" t="s">
        <v>5560</v>
      </c>
      <c r="D5276" s="9" t="s">
        <v>5871</v>
      </c>
      <c r="E5276" s="9" t="str">
        <f aca="false">IF(AND('Formation Ledger'!A5255&lt;&gt;"",'Formation Ledger'!V5255=0),"PASS","FAIL")</f>
        <v>PASS</v>
      </c>
      <c r="F5276" s="9" t="s">
        <v>76</v>
      </c>
      <c r="G5276" s="6"/>
      <c r="H5276" s="6"/>
      <c r="I5276" s="6"/>
      <c r="J5276" s="6"/>
      <c r="K5276" s="6"/>
      <c r="L5276" s="6"/>
      <c r="M5276" s="6"/>
      <c r="N5276" s="6"/>
      <c r="O5276" s="6"/>
      <c r="P5276" s="6"/>
      <c r="Q5276" s="6"/>
      <c r="R5276" s="6"/>
      <c r="S5276" s="6"/>
      <c r="T5276" s="6"/>
      <c r="U5276" s="6"/>
      <c r="V5276" s="6"/>
      <c r="W5276" s="6"/>
      <c r="X5276" s="6"/>
      <c r="Y5276" s="6"/>
      <c r="Z5276" s="6"/>
    </row>
    <row r="5277" customFormat="false" ht="15" hidden="false" customHeight="false" outlineLevel="0" collapsed="false">
      <c r="A5277" s="9" t="s">
        <v>11120</v>
      </c>
      <c r="B5277" s="9" t="s">
        <v>5870</v>
      </c>
      <c r="C5277" s="9" t="s">
        <v>5561</v>
      </c>
      <c r="D5277" s="9" t="s">
        <v>5871</v>
      </c>
      <c r="E5277" s="9" t="str">
        <f aca="false">IF(AND('Formation Ledger'!A5256&lt;&gt;"",'Formation Ledger'!V5256=0),"PASS","FAIL")</f>
        <v>PASS</v>
      </c>
      <c r="F5277" s="9" t="s">
        <v>76</v>
      </c>
      <c r="G5277" s="6"/>
      <c r="H5277" s="6"/>
      <c r="I5277" s="6"/>
      <c r="J5277" s="6"/>
      <c r="K5277" s="6"/>
      <c r="L5277" s="6"/>
      <c r="M5277" s="6"/>
      <c r="N5277" s="6"/>
      <c r="O5277" s="6"/>
      <c r="P5277" s="6"/>
      <c r="Q5277" s="6"/>
      <c r="R5277" s="6"/>
      <c r="S5277" s="6"/>
      <c r="T5277" s="6"/>
      <c r="U5277" s="6"/>
      <c r="V5277" s="6"/>
      <c r="W5277" s="6"/>
      <c r="X5277" s="6"/>
      <c r="Y5277" s="6"/>
      <c r="Z5277" s="6"/>
    </row>
    <row r="5278" customFormat="false" ht="15" hidden="false" customHeight="false" outlineLevel="0" collapsed="false">
      <c r="A5278" s="9" t="s">
        <v>11121</v>
      </c>
      <c r="B5278" s="9" t="s">
        <v>5870</v>
      </c>
      <c r="C5278" s="9" t="s">
        <v>5562</v>
      </c>
      <c r="D5278" s="9" t="s">
        <v>5871</v>
      </c>
      <c r="E5278" s="9" t="str">
        <f aca="false">IF(AND('Formation Ledger'!A5257&lt;&gt;"",'Formation Ledger'!V5257=0),"PASS","FAIL")</f>
        <v>PASS</v>
      </c>
      <c r="F5278" s="9" t="s">
        <v>76</v>
      </c>
      <c r="G5278" s="6"/>
      <c r="H5278" s="6"/>
      <c r="I5278" s="6"/>
      <c r="J5278" s="6"/>
      <c r="K5278" s="6"/>
      <c r="L5278" s="6"/>
      <c r="M5278" s="6"/>
      <c r="N5278" s="6"/>
      <c r="O5278" s="6"/>
      <c r="P5278" s="6"/>
      <c r="Q5278" s="6"/>
      <c r="R5278" s="6"/>
      <c r="S5278" s="6"/>
      <c r="T5278" s="6"/>
      <c r="U5278" s="6"/>
      <c r="V5278" s="6"/>
      <c r="W5278" s="6"/>
      <c r="X5278" s="6"/>
      <c r="Y5278" s="6"/>
      <c r="Z5278" s="6"/>
    </row>
    <row r="5279" customFormat="false" ht="15" hidden="false" customHeight="false" outlineLevel="0" collapsed="false">
      <c r="A5279" s="9" t="s">
        <v>11122</v>
      </c>
      <c r="B5279" s="9" t="s">
        <v>11123</v>
      </c>
      <c r="C5279" s="9" t="s">
        <v>11124</v>
      </c>
      <c r="D5279" s="9" t="s">
        <v>11125</v>
      </c>
      <c r="E5279" s="9" t="str">
        <f aca="false">IF('Denial Worlds'!J7="PASS","PASS","FAIL")</f>
        <v>PASS</v>
      </c>
      <c r="F5279" s="9" t="s">
        <v>76</v>
      </c>
      <c r="G5279" s="6"/>
      <c r="H5279" s="6"/>
      <c r="I5279" s="6"/>
      <c r="J5279" s="6"/>
      <c r="K5279" s="6"/>
      <c r="L5279" s="6"/>
      <c r="M5279" s="6"/>
      <c r="N5279" s="6"/>
      <c r="O5279" s="6"/>
      <c r="P5279" s="6"/>
      <c r="Q5279" s="6"/>
      <c r="R5279" s="6"/>
      <c r="S5279" s="6"/>
      <c r="T5279" s="6"/>
      <c r="U5279" s="6"/>
      <c r="V5279" s="6"/>
      <c r="W5279" s="6"/>
      <c r="X5279" s="6"/>
      <c r="Y5279" s="6"/>
      <c r="Z5279" s="6"/>
    </row>
    <row r="5280" customFormat="false" ht="15" hidden="false" customHeight="false" outlineLevel="0" collapsed="false">
      <c r="A5280" s="9" t="s">
        <v>11126</v>
      </c>
      <c r="B5280" s="9" t="s">
        <v>11123</v>
      </c>
      <c r="C5280" s="9" t="s">
        <v>11127</v>
      </c>
      <c r="D5280" s="9" t="s">
        <v>11125</v>
      </c>
      <c r="E5280" s="9" t="str">
        <f aca="false">IF('Denial Worlds'!J8="PASS","PASS","FAIL")</f>
        <v>PASS</v>
      </c>
      <c r="F5280" s="9" t="s">
        <v>76</v>
      </c>
      <c r="G5280" s="6"/>
      <c r="H5280" s="6"/>
      <c r="I5280" s="6"/>
      <c r="J5280" s="6"/>
      <c r="K5280" s="6"/>
      <c r="L5280" s="6"/>
      <c r="M5280" s="6"/>
      <c r="N5280" s="6"/>
      <c r="O5280" s="6"/>
      <c r="P5280" s="6"/>
      <c r="Q5280" s="6"/>
      <c r="R5280" s="6"/>
      <c r="S5280" s="6"/>
      <c r="T5280" s="6"/>
      <c r="U5280" s="6"/>
      <c r="V5280" s="6"/>
      <c r="W5280" s="6"/>
      <c r="X5280" s="6"/>
      <c r="Y5280" s="6"/>
      <c r="Z5280" s="6"/>
    </row>
    <row r="5281" customFormat="false" ht="15" hidden="false" customHeight="false" outlineLevel="0" collapsed="false">
      <c r="A5281" s="9" t="s">
        <v>11128</v>
      </c>
      <c r="B5281" s="9" t="s">
        <v>11123</v>
      </c>
      <c r="C5281" s="9" t="s">
        <v>11129</v>
      </c>
      <c r="D5281" s="9" t="s">
        <v>11125</v>
      </c>
      <c r="E5281" s="9" t="str">
        <f aca="false">IF('Denial Worlds'!J9="PASS","PASS","FAIL")</f>
        <v>PASS</v>
      </c>
      <c r="F5281" s="9" t="s">
        <v>76</v>
      </c>
      <c r="G5281" s="6"/>
      <c r="H5281" s="6"/>
      <c r="I5281" s="6"/>
      <c r="J5281" s="6"/>
      <c r="K5281" s="6"/>
      <c r="L5281" s="6"/>
      <c r="M5281" s="6"/>
      <c r="N5281" s="6"/>
      <c r="O5281" s="6"/>
      <c r="P5281" s="6"/>
      <c r="Q5281" s="6"/>
      <c r="R5281" s="6"/>
      <c r="S5281" s="6"/>
      <c r="T5281" s="6"/>
      <c r="U5281" s="6"/>
      <c r="V5281" s="6"/>
      <c r="W5281" s="6"/>
      <c r="X5281" s="6"/>
      <c r="Y5281" s="6"/>
      <c r="Z5281" s="6"/>
    </row>
    <row r="5282" customFormat="false" ht="15" hidden="false" customHeight="false" outlineLevel="0" collapsed="false">
      <c r="A5282" s="9" t="s">
        <v>11130</v>
      </c>
      <c r="B5282" s="9" t="s">
        <v>11123</v>
      </c>
      <c r="C5282" s="9" t="s">
        <v>11131</v>
      </c>
      <c r="D5282" s="9" t="s">
        <v>11125</v>
      </c>
      <c r="E5282" s="9" t="str">
        <f aca="false">IF('Denial Worlds'!J10="PASS","PASS","FAIL")</f>
        <v>PASS</v>
      </c>
      <c r="F5282" s="9" t="s">
        <v>76</v>
      </c>
      <c r="G5282" s="6"/>
      <c r="H5282" s="6"/>
      <c r="I5282" s="6"/>
      <c r="J5282" s="6"/>
      <c r="K5282" s="6"/>
      <c r="L5282" s="6"/>
      <c r="M5282" s="6"/>
      <c r="N5282" s="6"/>
      <c r="O5282" s="6"/>
      <c r="P5282" s="6"/>
      <c r="Q5282" s="6"/>
      <c r="R5282" s="6"/>
      <c r="S5282" s="6"/>
      <c r="T5282" s="6"/>
      <c r="U5282" s="6"/>
      <c r="V5282" s="6"/>
      <c r="W5282" s="6"/>
      <c r="X5282" s="6"/>
      <c r="Y5282" s="6"/>
      <c r="Z5282" s="6"/>
    </row>
    <row r="5283" customFormat="false" ht="15" hidden="false" customHeight="false" outlineLevel="0" collapsed="false">
      <c r="A5283" s="9" t="s">
        <v>11132</v>
      </c>
      <c r="B5283" s="9" t="s">
        <v>11123</v>
      </c>
      <c r="C5283" s="9" t="s">
        <v>11133</v>
      </c>
      <c r="D5283" s="9" t="s">
        <v>11125</v>
      </c>
      <c r="E5283" s="9" t="str">
        <f aca="false">IF('Denial Worlds'!J11="PASS","PASS","FAIL")</f>
        <v>PASS</v>
      </c>
      <c r="F5283" s="9" t="s">
        <v>76</v>
      </c>
      <c r="G5283" s="6"/>
      <c r="H5283" s="6"/>
      <c r="I5283" s="6"/>
      <c r="J5283" s="6"/>
      <c r="K5283" s="6"/>
      <c r="L5283" s="6"/>
      <c r="M5283" s="6"/>
      <c r="N5283" s="6"/>
      <c r="O5283" s="6"/>
      <c r="P5283" s="6"/>
      <c r="Q5283" s="6"/>
      <c r="R5283" s="6"/>
      <c r="S5283" s="6"/>
      <c r="T5283" s="6"/>
      <c r="U5283" s="6"/>
      <c r="V5283" s="6"/>
      <c r="W5283" s="6"/>
      <c r="X5283" s="6"/>
      <c r="Y5283" s="6"/>
      <c r="Z5283" s="6"/>
    </row>
    <row r="5284" customFormat="false" ht="15" hidden="false" customHeight="false" outlineLevel="0" collapsed="false">
      <c r="A5284" s="9" t="s">
        <v>11134</v>
      </c>
      <c r="B5284" s="9" t="s">
        <v>11123</v>
      </c>
      <c r="C5284" s="9" t="s">
        <v>11135</v>
      </c>
      <c r="D5284" s="9" t="s">
        <v>11125</v>
      </c>
      <c r="E5284" s="9" t="str">
        <f aca="false">IF('Denial Worlds'!J12="PASS","PASS","FAIL")</f>
        <v>PASS</v>
      </c>
      <c r="F5284" s="9" t="s">
        <v>76</v>
      </c>
      <c r="G5284" s="6"/>
      <c r="H5284" s="6"/>
      <c r="I5284" s="6"/>
      <c r="J5284" s="6"/>
      <c r="K5284" s="6"/>
      <c r="L5284" s="6"/>
      <c r="M5284" s="6"/>
      <c r="N5284" s="6"/>
      <c r="O5284" s="6"/>
      <c r="P5284" s="6"/>
      <c r="Q5284" s="6"/>
      <c r="R5284" s="6"/>
      <c r="S5284" s="6"/>
      <c r="T5284" s="6"/>
      <c r="U5284" s="6"/>
      <c r="V5284" s="6"/>
      <c r="W5284" s="6"/>
      <c r="X5284" s="6"/>
      <c r="Y5284" s="6"/>
      <c r="Z5284" s="6"/>
    </row>
    <row r="5285" customFormat="false" ht="15" hidden="false" customHeight="false" outlineLevel="0" collapsed="false">
      <c r="A5285" s="9" t="s">
        <v>11136</v>
      </c>
      <c r="B5285" s="9" t="s">
        <v>11123</v>
      </c>
      <c r="C5285" s="9" t="s">
        <v>11137</v>
      </c>
      <c r="D5285" s="9" t="s">
        <v>11125</v>
      </c>
      <c r="E5285" s="9" t="str">
        <f aca="false">IF('Denial Worlds'!J13="PASS","PASS","FAIL")</f>
        <v>PASS</v>
      </c>
      <c r="F5285" s="9" t="s">
        <v>76</v>
      </c>
      <c r="G5285" s="6"/>
      <c r="H5285" s="6"/>
      <c r="I5285" s="6"/>
      <c r="J5285" s="6"/>
      <c r="K5285" s="6"/>
      <c r="L5285" s="6"/>
      <c r="M5285" s="6"/>
      <c r="N5285" s="6"/>
      <c r="O5285" s="6"/>
      <c r="P5285" s="6"/>
      <c r="Q5285" s="6"/>
      <c r="R5285" s="6"/>
      <c r="S5285" s="6"/>
      <c r="T5285" s="6"/>
      <c r="U5285" s="6"/>
      <c r="V5285" s="6"/>
      <c r="W5285" s="6"/>
      <c r="X5285" s="6"/>
      <c r="Y5285" s="6"/>
      <c r="Z5285" s="6"/>
    </row>
    <row r="5286" customFormat="false" ht="15" hidden="false" customHeight="false" outlineLevel="0" collapsed="false">
      <c r="A5286" s="9" t="s">
        <v>11138</v>
      </c>
      <c r="B5286" s="9" t="s">
        <v>11123</v>
      </c>
      <c r="C5286" s="9" t="s">
        <v>11139</v>
      </c>
      <c r="D5286" s="9" t="s">
        <v>11125</v>
      </c>
      <c r="E5286" s="9" t="str">
        <f aca="false">IF('Denial Worlds'!J14="PASS","PASS","FAIL")</f>
        <v>PASS</v>
      </c>
      <c r="F5286" s="9" t="s">
        <v>76</v>
      </c>
      <c r="G5286" s="6"/>
      <c r="H5286" s="6"/>
      <c r="I5286" s="6"/>
      <c r="J5286" s="6"/>
      <c r="K5286" s="6"/>
      <c r="L5286" s="6"/>
      <c r="M5286" s="6"/>
      <c r="N5286" s="6"/>
      <c r="O5286" s="6"/>
      <c r="P5286" s="6"/>
      <c r="Q5286" s="6"/>
      <c r="R5286" s="6"/>
      <c r="S5286" s="6"/>
      <c r="T5286" s="6"/>
      <c r="U5286" s="6"/>
      <c r="V5286" s="6"/>
      <c r="W5286" s="6"/>
      <c r="X5286" s="6"/>
      <c r="Y5286" s="6"/>
      <c r="Z5286" s="6"/>
    </row>
    <row r="5287" customFormat="false" ht="15" hidden="false" customHeight="false" outlineLevel="0" collapsed="false">
      <c r="A5287" s="9" t="s">
        <v>11140</v>
      </c>
      <c r="B5287" s="9" t="s">
        <v>11123</v>
      </c>
      <c r="C5287" s="9" t="s">
        <v>11141</v>
      </c>
      <c r="D5287" s="9" t="s">
        <v>11125</v>
      </c>
      <c r="E5287" s="9" t="str">
        <f aca="false">IF('Denial Worlds'!J15="PASS","PASS","FAIL")</f>
        <v>PASS</v>
      </c>
      <c r="F5287" s="9" t="s">
        <v>76</v>
      </c>
      <c r="G5287" s="6"/>
      <c r="H5287" s="6"/>
      <c r="I5287" s="6"/>
      <c r="J5287" s="6"/>
      <c r="K5287" s="6"/>
      <c r="L5287" s="6"/>
      <c r="M5287" s="6"/>
      <c r="N5287" s="6"/>
      <c r="O5287" s="6"/>
      <c r="P5287" s="6"/>
      <c r="Q5287" s="6"/>
      <c r="R5287" s="6"/>
      <c r="S5287" s="6"/>
      <c r="T5287" s="6"/>
      <c r="U5287" s="6"/>
      <c r="V5287" s="6"/>
      <c r="W5287" s="6"/>
      <c r="X5287" s="6"/>
      <c r="Y5287" s="6"/>
      <c r="Z5287" s="6"/>
    </row>
    <row r="5288" customFormat="false" ht="15" hidden="false" customHeight="false" outlineLevel="0" collapsed="false">
      <c r="A5288" s="9" t="s">
        <v>11142</v>
      </c>
      <c r="B5288" s="9" t="s">
        <v>11123</v>
      </c>
      <c r="C5288" s="9" t="s">
        <v>11143</v>
      </c>
      <c r="D5288" s="9" t="s">
        <v>11125</v>
      </c>
      <c r="E5288" s="9" t="str">
        <f aca="false">IF('Denial Worlds'!J16="PASS","PASS","FAIL")</f>
        <v>PASS</v>
      </c>
      <c r="F5288" s="9" t="s">
        <v>76</v>
      </c>
      <c r="G5288" s="6"/>
      <c r="H5288" s="6"/>
      <c r="I5288" s="6"/>
      <c r="J5288" s="6"/>
      <c r="K5288" s="6"/>
      <c r="L5288" s="6"/>
      <c r="M5288" s="6"/>
      <c r="N5288" s="6"/>
      <c r="O5288" s="6"/>
      <c r="P5288" s="6"/>
      <c r="Q5288" s="6"/>
      <c r="R5288" s="6"/>
      <c r="S5288" s="6"/>
      <c r="T5288" s="6"/>
      <c r="U5288" s="6"/>
      <c r="V5288" s="6"/>
      <c r="W5288" s="6"/>
      <c r="X5288" s="6"/>
      <c r="Y5288" s="6"/>
      <c r="Z5288" s="6"/>
    </row>
    <row r="5289" customFormat="false" ht="15" hidden="false" customHeight="false" outlineLevel="0" collapsed="false">
      <c r="A5289" s="9" t="s">
        <v>11144</v>
      </c>
      <c r="B5289" s="9" t="s">
        <v>11123</v>
      </c>
      <c r="C5289" s="9" t="s">
        <v>11145</v>
      </c>
      <c r="D5289" s="9" t="s">
        <v>11125</v>
      </c>
      <c r="E5289" s="9" t="str">
        <f aca="false">IF('Denial Worlds'!J17="PASS","PASS","FAIL")</f>
        <v>PASS</v>
      </c>
      <c r="F5289" s="9" t="s">
        <v>76</v>
      </c>
      <c r="G5289" s="6"/>
      <c r="H5289" s="6"/>
      <c r="I5289" s="6"/>
      <c r="J5289" s="6"/>
      <c r="K5289" s="6"/>
      <c r="L5289" s="6"/>
      <c r="M5289" s="6"/>
      <c r="N5289" s="6"/>
      <c r="O5289" s="6"/>
      <c r="P5289" s="6"/>
      <c r="Q5289" s="6"/>
      <c r="R5289" s="6"/>
      <c r="S5289" s="6"/>
      <c r="T5289" s="6"/>
      <c r="U5289" s="6"/>
      <c r="V5289" s="6"/>
      <c r="W5289" s="6"/>
      <c r="X5289" s="6"/>
      <c r="Y5289" s="6"/>
      <c r="Z5289" s="6"/>
    </row>
    <row r="5290" customFormat="false" ht="15" hidden="false" customHeight="false" outlineLevel="0" collapsed="false">
      <c r="A5290" s="9" t="s">
        <v>11146</v>
      </c>
      <c r="B5290" s="9" t="s">
        <v>11123</v>
      </c>
      <c r="C5290" s="9" t="s">
        <v>11147</v>
      </c>
      <c r="D5290" s="9" t="s">
        <v>11125</v>
      </c>
      <c r="E5290" s="9" t="str">
        <f aca="false">IF('Denial Worlds'!J18="PASS","PASS","FAIL")</f>
        <v>PASS</v>
      </c>
      <c r="F5290" s="9" t="s">
        <v>76</v>
      </c>
      <c r="G5290" s="6"/>
      <c r="H5290" s="6"/>
      <c r="I5290" s="6"/>
      <c r="J5290" s="6"/>
      <c r="K5290" s="6"/>
      <c r="L5290" s="6"/>
      <c r="M5290" s="6"/>
      <c r="N5290" s="6"/>
      <c r="O5290" s="6"/>
      <c r="P5290" s="6"/>
      <c r="Q5290" s="6"/>
      <c r="R5290" s="6"/>
      <c r="S5290" s="6"/>
      <c r="T5290" s="6"/>
      <c r="U5290" s="6"/>
      <c r="V5290" s="6"/>
      <c r="W5290" s="6"/>
      <c r="X5290" s="6"/>
      <c r="Y5290" s="6"/>
      <c r="Z5290" s="6"/>
    </row>
    <row r="5291" customFormat="false" ht="15" hidden="false" customHeight="false" outlineLevel="0" collapsed="false">
      <c r="A5291" s="9" t="s">
        <v>11148</v>
      </c>
      <c r="B5291" s="9" t="s">
        <v>11123</v>
      </c>
      <c r="C5291" s="9" t="s">
        <v>11149</v>
      </c>
      <c r="D5291" s="9" t="s">
        <v>11125</v>
      </c>
      <c r="E5291" s="9" t="str">
        <f aca="false">IF('Denial Worlds'!J19="PASS","PASS","FAIL")</f>
        <v>PASS</v>
      </c>
      <c r="F5291" s="9" t="s">
        <v>76</v>
      </c>
      <c r="G5291" s="6"/>
      <c r="H5291" s="6"/>
      <c r="I5291" s="6"/>
      <c r="J5291" s="6"/>
      <c r="K5291" s="6"/>
      <c r="L5291" s="6"/>
      <c r="M5291" s="6"/>
      <c r="N5291" s="6"/>
      <c r="O5291" s="6"/>
      <c r="P5291" s="6"/>
      <c r="Q5291" s="6"/>
      <c r="R5291" s="6"/>
      <c r="S5291" s="6"/>
      <c r="T5291" s="6"/>
      <c r="U5291" s="6"/>
      <c r="V5291" s="6"/>
      <c r="W5291" s="6"/>
      <c r="X5291" s="6"/>
      <c r="Y5291" s="6"/>
      <c r="Z5291" s="6"/>
    </row>
    <row r="5292" customFormat="false" ht="15" hidden="false" customHeight="false" outlineLevel="0" collapsed="false">
      <c r="A5292" s="9" t="s">
        <v>11150</v>
      </c>
      <c r="B5292" s="9" t="s">
        <v>11123</v>
      </c>
      <c r="C5292" s="9" t="s">
        <v>11151</v>
      </c>
      <c r="D5292" s="9" t="s">
        <v>11125</v>
      </c>
      <c r="E5292" s="9" t="str">
        <f aca="false">IF('Denial Worlds'!J20="PASS","PASS","FAIL")</f>
        <v>PASS</v>
      </c>
      <c r="F5292" s="9" t="s">
        <v>76</v>
      </c>
      <c r="G5292" s="6"/>
      <c r="H5292" s="6"/>
      <c r="I5292" s="6"/>
      <c r="J5292" s="6"/>
      <c r="K5292" s="6"/>
      <c r="L5292" s="6"/>
      <c r="M5292" s="6"/>
      <c r="N5292" s="6"/>
      <c r="O5292" s="6"/>
      <c r="P5292" s="6"/>
      <c r="Q5292" s="6"/>
      <c r="R5292" s="6"/>
      <c r="S5292" s="6"/>
      <c r="T5292" s="6"/>
      <c r="U5292" s="6"/>
      <c r="V5292" s="6"/>
      <c r="W5292" s="6"/>
      <c r="X5292" s="6"/>
      <c r="Y5292" s="6"/>
      <c r="Z5292" s="6"/>
    </row>
    <row r="5293" customFormat="false" ht="15" hidden="false" customHeight="false" outlineLevel="0" collapsed="false">
      <c r="A5293" s="9" t="s">
        <v>11152</v>
      </c>
      <c r="B5293" s="9" t="s">
        <v>11123</v>
      </c>
      <c r="C5293" s="9" t="s">
        <v>11153</v>
      </c>
      <c r="D5293" s="9" t="s">
        <v>11125</v>
      </c>
      <c r="E5293" s="9" t="str">
        <f aca="false">IF('Denial Worlds'!J21="PASS","PASS","FAIL")</f>
        <v>PASS</v>
      </c>
      <c r="F5293" s="9" t="s">
        <v>76</v>
      </c>
      <c r="G5293" s="6"/>
      <c r="H5293" s="6"/>
      <c r="I5293" s="6"/>
      <c r="J5293" s="6"/>
      <c r="K5293" s="6"/>
      <c r="L5293" s="6"/>
      <c r="M5293" s="6"/>
      <c r="N5293" s="6"/>
      <c r="O5293" s="6"/>
      <c r="P5293" s="6"/>
      <c r="Q5293" s="6"/>
      <c r="R5293" s="6"/>
      <c r="S5293" s="6"/>
      <c r="T5293" s="6"/>
      <c r="U5293" s="6"/>
      <c r="V5293" s="6"/>
      <c r="W5293" s="6"/>
      <c r="X5293" s="6"/>
      <c r="Y5293" s="6"/>
      <c r="Z5293" s="6"/>
    </row>
    <row r="5294" customFormat="false" ht="15" hidden="false" customHeight="false" outlineLevel="0" collapsed="false">
      <c r="A5294" s="9" t="s">
        <v>11154</v>
      </c>
      <c r="B5294" s="9" t="s">
        <v>11123</v>
      </c>
      <c r="C5294" s="9" t="s">
        <v>11155</v>
      </c>
      <c r="D5294" s="9" t="s">
        <v>11125</v>
      </c>
      <c r="E5294" s="9" t="str">
        <f aca="false">IF('Denial Worlds'!J22="PASS","PASS","FAIL")</f>
        <v>PASS</v>
      </c>
      <c r="F5294" s="9" t="s">
        <v>76</v>
      </c>
      <c r="G5294" s="6"/>
      <c r="H5294" s="6"/>
      <c r="I5294" s="6"/>
      <c r="J5294" s="6"/>
      <c r="K5294" s="6"/>
      <c r="L5294" s="6"/>
      <c r="M5294" s="6"/>
      <c r="N5294" s="6"/>
      <c r="O5294" s="6"/>
      <c r="P5294" s="6"/>
      <c r="Q5294" s="6"/>
      <c r="R5294" s="6"/>
      <c r="S5294" s="6"/>
      <c r="T5294" s="6"/>
      <c r="U5294" s="6"/>
      <c r="V5294" s="6"/>
      <c r="W5294" s="6"/>
      <c r="X5294" s="6"/>
      <c r="Y5294" s="6"/>
      <c r="Z5294" s="6"/>
    </row>
    <row r="5295" customFormat="false" ht="15" hidden="false" customHeight="false" outlineLevel="0" collapsed="false">
      <c r="A5295" s="9" t="s">
        <v>11156</v>
      </c>
      <c r="B5295" s="9" t="s">
        <v>11123</v>
      </c>
      <c r="C5295" s="9" t="s">
        <v>11157</v>
      </c>
      <c r="D5295" s="9" t="s">
        <v>11125</v>
      </c>
      <c r="E5295" s="9" t="str">
        <f aca="false">IF('Denial Worlds'!J23="PASS","PASS","FAIL")</f>
        <v>PASS</v>
      </c>
      <c r="F5295" s="9" t="s">
        <v>76</v>
      </c>
      <c r="G5295" s="6"/>
      <c r="H5295" s="6"/>
      <c r="I5295" s="6"/>
      <c r="J5295" s="6"/>
      <c r="K5295" s="6"/>
      <c r="L5295" s="6"/>
      <c r="M5295" s="6"/>
      <c r="N5295" s="6"/>
      <c r="O5295" s="6"/>
      <c r="P5295" s="6"/>
      <c r="Q5295" s="6"/>
      <c r="R5295" s="6"/>
      <c r="S5295" s="6"/>
      <c r="T5295" s="6"/>
      <c r="U5295" s="6"/>
      <c r="V5295" s="6"/>
      <c r="W5295" s="6"/>
      <c r="X5295" s="6"/>
      <c r="Y5295" s="6"/>
      <c r="Z5295" s="6"/>
    </row>
    <row r="5296" customFormat="false" ht="15" hidden="false" customHeight="false" outlineLevel="0" collapsed="false">
      <c r="A5296" s="9" t="s">
        <v>11158</v>
      </c>
      <c r="B5296" s="9" t="s">
        <v>11123</v>
      </c>
      <c r="C5296" s="9" t="s">
        <v>11159</v>
      </c>
      <c r="D5296" s="9" t="s">
        <v>11125</v>
      </c>
      <c r="E5296" s="9" t="str">
        <f aca="false">IF('Denial Worlds'!J24="PASS","PASS","FAIL")</f>
        <v>PASS</v>
      </c>
      <c r="F5296" s="9" t="s">
        <v>76</v>
      </c>
      <c r="G5296" s="6"/>
      <c r="H5296" s="6"/>
      <c r="I5296" s="6"/>
      <c r="J5296" s="6"/>
      <c r="K5296" s="6"/>
      <c r="L5296" s="6"/>
      <c r="M5296" s="6"/>
      <c r="N5296" s="6"/>
      <c r="O5296" s="6"/>
      <c r="P5296" s="6"/>
      <c r="Q5296" s="6"/>
      <c r="R5296" s="6"/>
      <c r="S5296" s="6"/>
      <c r="T5296" s="6"/>
      <c r="U5296" s="6"/>
      <c r="V5296" s="6"/>
      <c r="W5296" s="6"/>
      <c r="X5296" s="6"/>
      <c r="Y5296" s="6"/>
      <c r="Z5296" s="6"/>
    </row>
    <row r="5297" customFormat="false" ht="15" hidden="false" customHeight="false" outlineLevel="0" collapsed="false">
      <c r="A5297" s="9" t="s">
        <v>11160</v>
      </c>
      <c r="B5297" s="9" t="s">
        <v>11123</v>
      </c>
      <c r="C5297" s="9" t="s">
        <v>11161</v>
      </c>
      <c r="D5297" s="9" t="s">
        <v>11125</v>
      </c>
      <c r="E5297" s="9" t="str">
        <f aca="false">IF('Denial Worlds'!J25="PASS","PASS","FAIL")</f>
        <v>PASS</v>
      </c>
      <c r="F5297" s="9" t="s">
        <v>76</v>
      </c>
      <c r="G5297" s="6"/>
      <c r="H5297" s="6"/>
      <c r="I5297" s="6"/>
      <c r="J5297" s="6"/>
      <c r="K5297" s="6"/>
      <c r="L5297" s="6"/>
      <c r="M5297" s="6"/>
      <c r="N5297" s="6"/>
      <c r="O5297" s="6"/>
      <c r="P5297" s="6"/>
      <c r="Q5297" s="6"/>
      <c r="R5297" s="6"/>
      <c r="S5297" s="6"/>
      <c r="T5297" s="6"/>
      <c r="U5297" s="6"/>
      <c r="V5297" s="6"/>
      <c r="W5297" s="6"/>
      <c r="X5297" s="6"/>
      <c r="Y5297" s="6"/>
      <c r="Z5297" s="6"/>
    </row>
    <row r="5298" customFormat="false" ht="15" hidden="false" customHeight="false" outlineLevel="0" collapsed="false">
      <c r="A5298" s="9" t="s">
        <v>11162</v>
      </c>
      <c r="B5298" s="9" t="s">
        <v>11123</v>
      </c>
      <c r="C5298" s="9" t="s">
        <v>11163</v>
      </c>
      <c r="D5298" s="9" t="s">
        <v>11125</v>
      </c>
      <c r="E5298" s="9" t="str">
        <f aca="false">IF('Denial Worlds'!J26="PASS","PASS","FAIL")</f>
        <v>PASS</v>
      </c>
      <c r="F5298" s="9" t="s">
        <v>76</v>
      </c>
      <c r="G5298" s="6"/>
      <c r="H5298" s="6"/>
      <c r="I5298" s="6"/>
      <c r="J5298" s="6"/>
      <c r="K5298" s="6"/>
      <c r="L5298" s="6"/>
      <c r="M5298" s="6"/>
      <c r="N5298" s="6"/>
      <c r="O5298" s="6"/>
      <c r="P5298" s="6"/>
      <c r="Q5298" s="6"/>
      <c r="R5298" s="6"/>
      <c r="S5298" s="6"/>
      <c r="T5298" s="6"/>
      <c r="U5298" s="6"/>
      <c r="V5298" s="6"/>
      <c r="W5298" s="6"/>
      <c r="X5298" s="6"/>
      <c r="Y5298" s="6"/>
      <c r="Z5298" s="6"/>
    </row>
    <row r="5299" customFormat="false" ht="15" hidden="false" customHeight="false" outlineLevel="0" collapsed="false">
      <c r="A5299" s="9" t="s">
        <v>11164</v>
      </c>
      <c r="B5299" s="9" t="s">
        <v>11123</v>
      </c>
      <c r="C5299" s="9" t="s">
        <v>11165</v>
      </c>
      <c r="D5299" s="9" t="s">
        <v>11125</v>
      </c>
      <c r="E5299" s="9" t="str">
        <f aca="false">IF('Denial Worlds'!J27="PASS","PASS","FAIL")</f>
        <v>PASS</v>
      </c>
      <c r="F5299" s="9" t="s">
        <v>76</v>
      </c>
      <c r="G5299" s="6"/>
      <c r="H5299" s="6"/>
      <c r="I5299" s="6"/>
      <c r="J5299" s="6"/>
      <c r="K5299" s="6"/>
      <c r="L5299" s="6"/>
      <c r="M5299" s="6"/>
      <c r="N5299" s="6"/>
      <c r="O5299" s="6"/>
      <c r="P5299" s="6"/>
      <c r="Q5299" s="6"/>
      <c r="R5299" s="6"/>
      <c r="S5299" s="6"/>
      <c r="T5299" s="6"/>
      <c r="U5299" s="6"/>
      <c r="V5299" s="6"/>
      <c r="W5299" s="6"/>
      <c r="X5299" s="6"/>
      <c r="Y5299" s="6"/>
      <c r="Z5299" s="6"/>
    </row>
    <row r="5300" customFormat="false" ht="15" hidden="false" customHeight="false" outlineLevel="0" collapsed="false">
      <c r="A5300" s="9" t="s">
        <v>11166</v>
      </c>
      <c r="B5300" s="9" t="s">
        <v>11123</v>
      </c>
      <c r="C5300" s="9" t="s">
        <v>11167</v>
      </c>
      <c r="D5300" s="9" t="s">
        <v>11125</v>
      </c>
      <c r="E5300" s="9" t="str">
        <f aca="false">IF('Denial Worlds'!J28="PASS","PASS","FAIL")</f>
        <v>PASS</v>
      </c>
      <c r="F5300" s="9" t="s">
        <v>76</v>
      </c>
      <c r="G5300" s="6"/>
      <c r="H5300" s="6"/>
      <c r="I5300" s="6"/>
      <c r="J5300" s="6"/>
      <c r="K5300" s="6"/>
      <c r="L5300" s="6"/>
      <c r="M5300" s="6"/>
      <c r="N5300" s="6"/>
      <c r="O5300" s="6"/>
      <c r="P5300" s="6"/>
      <c r="Q5300" s="6"/>
      <c r="R5300" s="6"/>
      <c r="S5300" s="6"/>
      <c r="T5300" s="6"/>
      <c r="U5300" s="6"/>
      <c r="V5300" s="6"/>
      <c r="W5300" s="6"/>
      <c r="X5300" s="6"/>
      <c r="Y5300" s="6"/>
      <c r="Z5300" s="6"/>
    </row>
    <row r="5301" customFormat="false" ht="15" hidden="false" customHeight="false" outlineLevel="0" collapsed="false">
      <c r="A5301" s="9" t="s">
        <v>11168</v>
      </c>
      <c r="B5301" s="9" t="s">
        <v>11123</v>
      </c>
      <c r="C5301" s="9" t="s">
        <v>11169</v>
      </c>
      <c r="D5301" s="9" t="s">
        <v>11125</v>
      </c>
      <c r="E5301" s="9" t="str">
        <f aca="false">IF('Denial Worlds'!J29="PASS","PASS","FAIL")</f>
        <v>PASS</v>
      </c>
      <c r="F5301" s="9" t="s">
        <v>76</v>
      </c>
      <c r="G5301" s="6"/>
      <c r="H5301" s="6"/>
      <c r="I5301" s="6"/>
      <c r="J5301" s="6"/>
      <c r="K5301" s="6"/>
      <c r="L5301" s="6"/>
      <c r="M5301" s="6"/>
      <c r="N5301" s="6"/>
      <c r="O5301" s="6"/>
      <c r="P5301" s="6"/>
      <c r="Q5301" s="6"/>
      <c r="R5301" s="6"/>
      <c r="S5301" s="6"/>
      <c r="T5301" s="6"/>
      <c r="U5301" s="6"/>
      <c r="V5301" s="6"/>
      <c r="W5301" s="6"/>
      <c r="X5301" s="6"/>
      <c r="Y5301" s="6"/>
      <c r="Z5301" s="6"/>
    </row>
    <row r="5302" customFormat="false" ht="15" hidden="false" customHeight="false" outlineLevel="0" collapsed="false">
      <c r="A5302" s="9" t="s">
        <v>11170</v>
      </c>
      <c r="B5302" s="9" t="s">
        <v>11123</v>
      </c>
      <c r="C5302" s="9" t="s">
        <v>11171</v>
      </c>
      <c r="D5302" s="9" t="s">
        <v>11125</v>
      </c>
      <c r="E5302" s="9" t="str">
        <f aca="false">IF('Denial Worlds'!J30="PASS","PASS","FAIL")</f>
        <v>PASS</v>
      </c>
      <c r="F5302" s="9" t="s">
        <v>76</v>
      </c>
      <c r="G5302" s="6"/>
      <c r="H5302" s="6"/>
      <c r="I5302" s="6"/>
      <c r="J5302" s="6"/>
      <c r="K5302" s="6"/>
      <c r="L5302" s="6"/>
      <c r="M5302" s="6"/>
      <c r="N5302" s="6"/>
      <c r="O5302" s="6"/>
      <c r="P5302" s="6"/>
      <c r="Q5302" s="6"/>
      <c r="R5302" s="6"/>
      <c r="S5302" s="6"/>
      <c r="T5302" s="6"/>
      <c r="U5302" s="6"/>
      <c r="V5302" s="6"/>
      <c r="W5302" s="6"/>
      <c r="X5302" s="6"/>
      <c r="Y5302" s="6"/>
      <c r="Z5302" s="6"/>
    </row>
    <row r="5303" customFormat="false" ht="15" hidden="false" customHeight="false" outlineLevel="0" collapsed="false">
      <c r="A5303" s="9" t="s">
        <v>11172</v>
      </c>
      <c r="B5303" s="9" t="s">
        <v>11123</v>
      </c>
      <c r="C5303" s="9" t="s">
        <v>11173</v>
      </c>
      <c r="D5303" s="9" t="s">
        <v>11125</v>
      </c>
      <c r="E5303" s="9" t="str">
        <f aca="false">IF('Denial Worlds'!J31="PASS","PASS","FAIL")</f>
        <v>PASS</v>
      </c>
      <c r="F5303" s="9" t="s">
        <v>76</v>
      </c>
      <c r="G5303" s="6"/>
      <c r="H5303" s="6"/>
      <c r="I5303" s="6"/>
      <c r="J5303" s="6"/>
      <c r="K5303" s="6"/>
      <c r="L5303" s="6"/>
      <c r="M5303" s="6"/>
      <c r="N5303" s="6"/>
      <c r="O5303" s="6"/>
      <c r="P5303" s="6"/>
      <c r="Q5303" s="6"/>
      <c r="R5303" s="6"/>
      <c r="S5303" s="6"/>
      <c r="T5303" s="6"/>
      <c r="U5303" s="6"/>
      <c r="V5303" s="6"/>
      <c r="W5303" s="6"/>
      <c r="X5303" s="6"/>
      <c r="Y5303" s="6"/>
      <c r="Z5303" s="6"/>
    </row>
    <row r="5304" customFormat="false" ht="15" hidden="false" customHeight="false" outlineLevel="0" collapsed="false">
      <c r="A5304" s="9" t="s">
        <v>11174</v>
      </c>
      <c r="B5304" s="9" t="s">
        <v>11123</v>
      </c>
      <c r="C5304" s="9" t="s">
        <v>11175</v>
      </c>
      <c r="D5304" s="9" t="s">
        <v>11125</v>
      </c>
      <c r="E5304" s="9" t="str">
        <f aca="false">IF('Denial Worlds'!J32="PASS","PASS","FAIL")</f>
        <v>PASS</v>
      </c>
      <c r="F5304" s="9" t="s">
        <v>76</v>
      </c>
      <c r="G5304" s="6"/>
      <c r="H5304" s="6"/>
      <c r="I5304" s="6"/>
      <c r="J5304" s="6"/>
      <c r="K5304" s="6"/>
      <c r="L5304" s="6"/>
      <c r="M5304" s="6"/>
      <c r="N5304" s="6"/>
      <c r="O5304" s="6"/>
      <c r="P5304" s="6"/>
      <c r="Q5304" s="6"/>
      <c r="R5304" s="6"/>
      <c r="S5304" s="6"/>
      <c r="T5304" s="6"/>
      <c r="U5304" s="6"/>
      <c r="V5304" s="6"/>
      <c r="W5304" s="6"/>
      <c r="X5304" s="6"/>
      <c r="Y5304" s="6"/>
      <c r="Z5304" s="6"/>
    </row>
    <row r="5305" customFormat="false" ht="15" hidden="false" customHeight="false" outlineLevel="0" collapsed="false">
      <c r="A5305" s="9" t="s">
        <v>11176</v>
      </c>
      <c r="B5305" s="9" t="s">
        <v>11123</v>
      </c>
      <c r="C5305" s="9" t="s">
        <v>11177</v>
      </c>
      <c r="D5305" s="9" t="s">
        <v>11125</v>
      </c>
      <c r="E5305" s="9" t="str">
        <f aca="false">IF('Denial Worlds'!J33="PASS","PASS","FAIL")</f>
        <v>PASS</v>
      </c>
      <c r="F5305" s="9" t="s">
        <v>76</v>
      </c>
      <c r="G5305" s="6"/>
      <c r="H5305" s="6"/>
      <c r="I5305" s="6"/>
      <c r="J5305" s="6"/>
      <c r="K5305" s="6"/>
      <c r="L5305" s="6"/>
      <c r="M5305" s="6"/>
      <c r="N5305" s="6"/>
      <c r="O5305" s="6"/>
      <c r="P5305" s="6"/>
      <c r="Q5305" s="6"/>
      <c r="R5305" s="6"/>
      <c r="S5305" s="6"/>
      <c r="T5305" s="6"/>
      <c r="U5305" s="6"/>
      <c r="V5305" s="6"/>
      <c r="W5305" s="6"/>
      <c r="X5305" s="6"/>
      <c r="Y5305" s="6"/>
      <c r="Z5305" s="6"/>
    </row>
    <row r="5306" customFormat="false" ht="15" hidden="false" customHeight="false" outlineLevel="0" collapsed="false">
      <c r="A5306" s="9" t="s">
        <v>11178</v>
      </c>
      <c r="B5306" s="9" t="s">
        <v>11123</v>
      </c>
      <c r="C5306" s="9" t="s">
        <v>11179</v>
      </c>
      <c r="D5306" s="9" t="s">
        <v>11125</v>
      </c>
      <c r="E5306" s="9" t="str">
        <f aca="false">IF('Denial Worlds'!J34="PASS","PASS","FAIL")</f>
        <v>PASS</v>
      </c>
      <c r="F5306" s="9" t="s">
        <v>76</v>
      </c>
      <c r="G5306" s="6"/>
      <c r="H5306" s="6"/>
      <c r="I5306" s="6"/>
      <c r="J5306" s="6"/>
      <c r="K5306" s="6"/>
      <c r="L5306" s="6"/>
      <c r="M5306" s="6"/>
      <c r="N5306" s="6"/>
      <c r="O5306" s="6"/>
      <c r="P5306" s="6"/>
      <c r="Q5306" s="6"/>
      <c r="R5306" s="6"/>
      <c r="S5306" s="6"/>
      <c r="T5306" s="6"/>
      <c r="U5306" s="6"/>
      <c r="V5306" s="6"/>
      <c r="W5306" s="6"/>
      <c r="X5306" s="6"/>
      <c r="Y5306" s="6"/>
      <c r="Z5306" s="6"/>
    </row>
    <row r="5307" customFormat="false" ht="15" hidden="false" customHeight="false" outlineLevel="0" collapsed="false">
      <c r="A5307" s="9" t="s">
        <v>11180</v>
      </c>
      <c r="B5307" s="9" t="s">
        <v>11123</v>
      </c>
      <c r="C5307" s="9" t="s">
        <v>11181</v>
      </c>
      <c r="D5307" s="9" t="s">
        <v>11125</v>
      </c>
      <c r="E5307" s="9" t="str">
        <f aca="false">IF('Denial Worlds'!J35="PASS","PASS","FAIL")</f>
        <v>PASS</v>
      </c>
      <c r="F5307" s="9" t="s">
        <v>76</v>
      </c>
      <c r="G5307" s="6"/>
      <c r="H5307" s="6"/>
      <c r="I5307" s="6"/>
      <c r="J5307" s="6"/>
      <c r="K5307" s="6"/>
      <c r="L5307" s="6"/>
      <c r="M5307" s="6"/>
      <c r="N5307" s="6"/>
      <c r="O5307" s="6"/>
      <c r="P5307" s="6"/>
      <c r="Q5307" s="6"/>
      <c r="R5307" s="6"/>
      <c r="S5307" s="6"/>
      <c r="T5307" s="6"/>
      <c r="U5307" s="6"/>
      <c r="V5307" s="6"/>
      <c r="W5307" s="6"/>
      <c r="X5307" s="6"/>
      <c r="Y5307" s="6"/>
      <c r="Z5307" s="6"/>
    </row>
    <row r="5308" customFormat="false" ht="15" hidden="false" customHeight="false" outlineLevel="0" collapsed="false">
      <c r="A5308" s="9" t="s">
        <v>11182</v>
      </c>
      <c r="B5308" s="9" t="s">
        <v>11123</v>
      </c>
      <c r="C5308" s="9" t="s">
        <v>11183</v>
      </c>
      <c r="D5308" s="9" t="s">
        <v>11125</v>
      </c>
      <c r="E5308" s="9" t="str">
        <f aca="false">IF('Denial Worlds'!J36="PASS","PASS","FAIL")</f>
        <v>PASS</v>
      </c>
      <c r="F5308" s="9" t="s">
        <v>76</v>
      </c>
      <c r="G5308" s="6"/>
      <c r="H5308" s="6"/>
      <c r="I5308" s="6"/>
      <c r="J5308" s="6"/>
      <c r="K5308" s="6"/>
      <c r="L5308" s="6"/>
      <c r="M5308" s="6"/>
      <c r="N5308" s="6"/>
      <c r="O5308" s="6"/>
      <c r="P5308" s="6"/>
      <c r="Q5308" s="6"/>
      <c r="R5308" s="6"/>
      <c r="S5308" s="6"/>
      <c r="T5308" s="6"/>
      <c r="U5308" s="6"/>
      <c r="V5308" s="6"/>
      <c r="W5308" s="6"/>
      <c r="X5308" s="6"/>
      <c r="Y5308" s="6"/>
      <c r="Z5308" s="6"/>
    </row>
    <row r="5309" customFormat="false" ht="15" hidden="false" customHeight="false" outlineLevel="0" collapsed="false">
      <c r="A5309" s="9" t="s">
        <v>11184</v>
      </c>
      <c r="B5309" s="9" t="s">
        <v>11123</v>
      </c>
      <c r="C5309" s="9" t="s">
        <v>11185</v>
      </c>
      <c r="D5309" s="9" t="s">
        <v>11125</v>
      </c>
      <c r="E5309" s="9" t="str">
        <f aca="false">IF('Denial Worlds'!J37="PASS","PASS","FAIL")</f>
        <v>PASS</v>
      </c>
      <c r="F5309" s="9" t="s">
        <v>76</v>
      </c>
      <c r="G5309" s="6"/>
      <c r="H5309" s="6"/>
      <c r="I5309" s="6"/>
      <c r="J5309" s="6"/>
      <c r="K5309" s="6"/>
      <c r="L5309" s="6"/>
      <c r="M5309" s="6"/>
      <c r="N5309" s="6"/>
      <c r="O5309" s="6"/>
      <c r="P5309" s="6"/>
      <c r="Q5309" s="6"/>
      <c r="R5309" s="6"/>
      <c r="S5309" s="6"/>
      <c r="T5309" s="6"/>
      <c r="U5309" s="6"/>
      <c r="V5309" s="6"/>
      <c r="W5309" s="6"/>
      <c r="X5309" s="6"/>
      <c r="Y5309" s="6"/>
      <c r="Z5309" s="6"/>
    </row>
    <row r="5310" customFormat="false" ht="15" hidden="false" customHeight="false" outlineLevel="0" collapsed="false">
      <c r="A5310" s="9" t="s">
        <v>11186</v>
      </c>
      <c r="B5310" s="9" t="s">
        <v>11123</v>
      </c>
      <c r="C5310" s="9" t="s">
        <v>11187</v>
      </c>
      <c r="D5310" s="9" t="s">
        <v>11125</v>
      </c>
      <c r="E5310" s="9" t="str">
        <f aca="false">IF('Denial Worlds'!J38="PASS","PASS","FAIL")</f>
        <v>PASS</v>
      </c>
      <c r="F5310" s="9" t="s">
        <v>76</v>
      </c>
      <c r="G5310" s="6"/>
      <c r="H5310" s="6"/>
      <c r="I5310" s="6"/>
      <c r="J5310" s="6"/>
      <c r="K5310" s="6"/>
      <c r="L5310" s="6"/>
      <c r="M5310" s="6"/>
      <c r="N5310" s="6"/>
      <c r="O5310" s="6"/>
      <c r="P5310" s="6"/>
      <c r="Q5310" s="6"/>
      <c r="R5310" s="6"/>
      <c r="S5310" s="6"/>
      <c r="T5310" s="6"/>
      <c r="U5310" s="6"/>
      <c r="V5310" s="6"/>
      <c r="W5310" s="6"/>
      <c r="X5310" s="6"/>
      <c r="Y5310" s="6"/>
      <c r="Z5310" s="6"/>
    </row>
    <row r="5311" customFormat="false" ht="15" hidden="false" customHeight="false" outlineLevel="0" collapsed="false">
      <c r="A5311" s="9" t="s">
        <v>11188</v>
      </c>
      <c r="B5311" s="9" t="s">
        <v>11123</v>
      </c>
      <c r="C5311" s="9" t="s">
        <v>11189</v>
      </c>
      <c r="D5311" s="9" t="s">
        <v>11125</v>
      </c>
      <c r="E5311" s="9" t="str">
        <f aca="false">IF('Denial Worlds'!J39="PASS","PASS","FAIL")</f>
        <v>PASS</v>
      </c>
      <c r="F5311" s="9" t="s">
        <v>76</v>
      </c>
      <c r="G5311" s="6"/>
      <c r="H5311" s="6"/>
      <c r="I5311" s="6"/>
      <c r="J5311" s="6"/>
      <c r="K5311" s="6"/>
      <c r="L5311" s="6"/>
      <c r="M5311" s="6"/>
      <c r="N5311" s="6"/>
      <c r="O5311" s="6"/>
      <c r="P5311" s="6"/>
      <c r="Q5311" s="6"/>
      <c r="R5311" s="6"/>
      <c r="S5311" s="6"/>
      <c r="T5311" s="6"/>
      <c r="U5311" s="6"/>
      <c r="V5311" s="6"/>
      <c r="W5311" s="6"/>
      <c r="X5311" s="6"/>
      <c r="Y5311" s="6"/>
      <c r="Z5311" s="6"/>
    </row>
    <row r="5312" customFormat="false" ht="15" hidden="false" customHeight="false" outlineLevel="0" collapsed="false">
      <c r="A5312" s="9" t="s">
        <v>11190</v>
      </c>
      <c r="B5312" s="9" t="s">
        <v>11123</v>
      </c>
      <c r="C5312" s="9" t="s">
        <v>11191</v>
      </c>
      <c r="D5312" s="9" t="s">
        <v>11125</v>
      </c>
      <c r="E5312" s="9" t="str">
        <f aca="false">IF('Denial Worlds'!J40="PASS","PASS","FAIL")</f>
        <v>PASS</v>
      </c>
      <c r="F5312" s="9" t="s">
        <v>76</v>
      </c>
      <c r="G5312" s="6"/>
      <c r="H5312" s="6"/>
      <c r="I5312" s="6"/>
      <c r="J5312" s="6"/>
      <c r="K5312" s="6"/>
      <c r="L5312" s="6"/>
      <c r="M5312" s="6"/>
      <c r="N5312" s="6"/>
      <c r="O5312" s="6"/>
      <c r="P5312" s="6"/>
      <c r="Q5312" s="6"/>
      <c r="R5312" s="6"/>
      <c r="S5312" s="6"/>
      <c r="T5312" s="6"/>
      <c r="U5312" s="6"/>
      <c r="V5312" s="6"/>
      <c r="W5312" s="6"/>
      <c r="X5312" s="6"/>
      <c r="Y5312" s="6"/>
      <c r="Z5312" s="6"/>
    </row>
    <row r="5313" customFormat="false" ht="15" hidden="false" customHeight="false" outlineLevel="0" collapsed="false">
      <c r="A5313" s="9" t="s">
        <v>11192</v>
      </c>
      <c r="B5313" s="9" t="s">
        <v>11123</v>
      </c>
      <c r="C5313" s="9" t="s">
        <v>11193</v>
      </c>
      <c r="D5313" s="9" t="s">
        <v>11125</v>
      </c>
      <c r="E5313" s="9" t="str">
        <f aca="false">IF('Denial Worlds'!J41="PASS","PASS","FAIL")</f>
        <v>PASS</v>
      </c>
      <c r="F5313" s="9" t="s">
        <v>76</v>
      </c>
      <c r="G5313" s="6"/>
      <c r="H5313" s="6"/>
      <c r="I5313" s="6"/>
      <c r="J5313" s="6"/>
      <c r="K5313" s="6"/>
      <c r="L5313" s="6"/>
      <c r="M5313" s="6"/>
      <c r="N5313" s="6"/>
      <c r="O5313" s="6"/>
      <c r="P5313" s="6"/>
      <c r="Q5313" s="6"/>
      <c r="R5313" s="6"/>
      <c r="S5313" s="6"/>
      <c r="T5313" s="6"/>
      <c r="U5313" s="6"/>
      <c r="V5313" s="6"/>
      <c r="W5313" s="6"/>
      <c r="X5313" s="6"/>
      <c r="Y5313" s="6"/>
      <c r="Z5313" s="6"/>
    </row>
    <row r="5314" customFormat="false" ht="15" hidden="false" customHeight="false" outlineLevel="0" collapsed="false">
      <c r="A5314" s="9" t="s">
        <v>11194</v>
      </c>
      <c r="B5314" s="9" t="s">
        <v>11123</v>
      </c>
      <c r="C5314" s="9" t="s">
        <v>11195</v>
      </c>
      <c r="D5314" s="9" t="s">
        <v>11125</v>
      </c>
      <c r="E5314" s="9" t="str">
        <f aca="false">IF('Denial Worlds'!J42="PASS","PASS","FAIL")</f>
        <v>PASS</v>
      </c>
      <c r="F5314" s="9" t="s">
        <v>76</v>
      </c>
      <c r="G5314" s="6"/>
      <c r="H5314" s="6"/>
      <c r="I5314" s="6"/>
      <c r="J5314" s="6"/>
      <c r="K5314" s="6"/>
      <c r="L5314" s="6"/>
      <c r="M5314" s="6"/>
      <c r="N5314" s="6"/>
      <c r="O5314" s="6"/>
      <c r="P5314" s="6"/>
      <c r="Q5314" s="6"/>
      <c r="R5314" s="6"/>
      <c r="S5314" s="6"/>
      <c r="T5314" s="6"/>
      <c r="U5314" s="6"/>
      <c r="V5314" s="6"/>
      <c r="W5314" s="6"/>
      <c r="X5314" s="6"/>
      <c r="Y5314" s="6"/>
      <c r="Z5314" s="6"/>
    </row>
    <row r="5315" customFormat="false" ht="15" hidden="false" customHeight="false" outlineLevel="0" collapsed="false">
      <c r="A5315" s="9" t="s">
        <v>11196</v>
      </c>
      <c r="B5315" s="9" t="s">
        <v>11123</v>
      </c>
      <c r="C5315" s="9" t="s">
        <v>11197</v>
      </c>
      <c r="D5315" s="9" t="s">
        <v>11125</v>
      </c>
      <c r="E5315" s="9" t="str">
        <f aca="false">IF('Denial Worlds'!J43="PASS","PASS","FAIL")</f>
        <v>PASS</v>
      </c>
      <c r="F5315" s="9" t="s">
        <v>76</v>
      </c>
      <c r="G5315" s="6"/>
      <c r="H5315" s="6"/>
      <c r="I5315" s="6"/>
      <c r="J5315" s="6"/>
      <c r="K5315" s="6"/>
      <c r="L5315" s="6"/>
      <c r="M5315" s="6"/>
      <c r="N5315" s="6"/>
      <c r="O5315" s="6"/>
      <c r="P5315" s="6"/>
      <c r="Q5315" s="6"/>
      <c r="R5315" s="6"/>
      <c r="S5315" s="6"/>
      <c r="T5315" s="6"/>
      <c r="U5315" s="6"/>
      <c r="V5315" s="6"/>
      <c r="W5315" s="6"/>
      <c r="X5315" s="6"/>
      <c r="Y5315" s="6"/>
      <c r="Z5315" s="6"/>
    </row>
    <row r="5316" customFormat="false" ht="15" hidden="false" customHeight="false" outlineLevel="0" collapsed="false">
      <c r="A5316" s="9" t="s">
        <v>11198</v>
      </c>
      <c r="B5316" s="9" t="s">
        <v>11123</v>
      </c>
      <c r="C5316" s="9" t="s">
        <v>11199</v>
      </c>
      <c r="D5316" s="9" t="s">
        <v>11125</v>
      </c>
      <c r="E5316" s="9" t="str">
        <f aca="false">IF('Denial Worlds'!J44="PASS","PASS","FAIL")</f>
        <v>PASS</v>
      </c>
      <c r="F5316" s="9" t="s">
        <v>76</v>
      </c>
      <c r="G5316" s="6"/>
      <c r="H5316" s="6"/>
      <c r="I5316" s="6"/>
      <c r="J5316" s="6"/>
      <c r="K5316" s="6"/>
      <c r="L5316" s="6"/>
      <c r="M5316" s="6"/>
      <c r="N5316" s="6"/>
      <c r="O5316" s="6"/>
      <c r="P5316" s="6"/>
      <c r="Q5316" s="6"/>
      <c r="R5316" s="6"/>
      <c r="S5316" s="6"/>
      <c r="T5316" s="6"/>
      <c r="U5316" s="6"/>
      <c r="V5316" s="6"/>
      <c r="W5316" s="6"/>
      <c r="X5316" s="6"/>
      <c r="Y5316" s="6"/>
      <c r="Z5316" s="6"/>
    </row>
    <row r="5317" customFormat="false" ht="15" hidden="false" customHeight="false" outlineLevel="0" collapsed="false">
      <c r="A5317" s="9" t="s">
        <v>11200</v>
      </c>
      <c r="B5317" s="9" t="s">
        <v>11123</v>
      </c>
      <c r="C5317" s="9" t="s">
        <v>11201</v>
      </c>
      <c r="D5317" s="9" t="s">
        <v>11125</v>
      </c>
      <c r="E5317" s="9" t="str">
        <f aca="false">IF('Denial Worlds'!J45="PASS","PASS","FAIL")</f>
        <v>PASS</v>
      </c>
      <c r="F5317" s="9" t="s">
        <v>76</v>
      </c>
      <c r="G5317" s="6"/>
      <c r="H5317" s="6"/>
      <c r="I5317" s="6"/>
      <c r="J5317" s="6"/>
      <c r="K5317" s="6"/>
      <c r="L5317" s="6"/>
      <c r="M5317" s="6"/>
      <c r="N5317" s="6"/>
      <c r="O5317" s="6"/>
      <c r="P5317" s="6"/>
      <c r="Q5317" s="6"/>
      <c r="R5317" s="6"/>
      <c r="S5317" s="6"/>
      <c r="T5317" s="6"/>
      <c r="U5317" s="6"/>
      <c r="V5317" s="6"/>
      <c r="W5317" s="6"/>
      <c r="X5317" s="6"/>
      <c r="Y5317" s="6"/>
      <c r="Z5317" s="6"/>
    </row>
    <row r="5318" customFormat="false" ht="15" hidden="false" customHeight="false" outlineLevel="0" collapsed="false">
      <c r="A5318" s="9" t="s">
        <v>11202</v>
      </c>
      <c r="B5318" s="9" t="s">
        <v>11123</v>
      </c>
      <c r="C5318" s="9" t="s">
        <v>11203</v>
      </c>
      <c r="D5318" s="9" t="s">
        <v>11125</v>
      </c>
      <c r="E5318" s="9" t="str">
        <f aca="false">IF('Denial Worlds'!J46="PASS","PASS","FAIL")</f>
        <v>PASS</v>
      </c>
      <c r="F5318" s="9" t="s">
        <v>76</v>
      </c>
      <c r="G5318" s="6"/>
      <c r="H5318" s="6"/>
      <c r="I5318" s="6"/>
      <c r="J5318" s="6"/>
      <c r="K5318" s="6"/>
      <c r="L5318" s="6"/>
      <c r="M5318" s="6"/>
      <c r="N5318" s="6"/>
      <c r="O5318" s="6"/>
      <c r="P5318" s="6"/>
      <c r="Q5318" s="6"/>
      <c r="R5318" s="6"/>
      <c r="S5318" s="6"/>
      <c r="T5318" s="6"/>
      <c r="U5318" s="6"/>
      <c r="V5318" s="6"/>
      <c r="W5318" s="6"/>
      <c r="X5318" s="6"/>
      <c r="Y5318" s="6"/>
      <c r="Z5318" s="6"/>
    </row>
    <row r="5319" customFormat="false" ht="15" hidden="false" customHeight="false" outlineLevel="0" collapsed="false">
      <c r="A5319" s="9" t="s">
        <v>11204</v>
      </c>
      <c r="B5319" s="9" t="s">
        <v>11123</v>
      </c>
      <c r="C5319" s="9" t="s">
        <v>11205</v>
      </c>
      <c r="D5319" s="9" t="s">
        <v>11125</v>
      </c>
      <c r="E5319" s="9" t="str">
        <f aca="false">IF('Denial Worlds'!J47="PASS","PASS","FAIL")</f>
        <v>PASS</v>
      </c>
      <c r="F5319" s="9" t="s">
        <v>76</v>
      </c>
      <c r="G5319" s="6"/>
      <c r="H5319" s="6"/>
      <c r="I5319" s="6"/>
      <c r="J5319" s="6"/>
      <c r="K5319" s="6"/>
      <c r="L5319" s="6"/>
      <c r="M5319" s="6"/>
      <c r="N5319" s="6"/>
      <c r="O5319" s="6"/>
      <c r="P5319" s="6"/>
      <c r="Q5319" s="6"/>
      <c r="R5319" s="6"/>
      <c r="S5319" s="6"/>
      <c r="T5319" s="6"/>
      <c r="U5319" s="6"/>
      <c r="V5319" s="6"/>
      <c r="W5319" s="6"/>
      <c r="X5319" s="6"/>
      <c r="Y5319" s="6"/>
      <c r="Z5319" s="6"/>
    </row>
    <row r="5320" customFormat="false" ht="15" hidden="false" customHeight="false" outlineLevel="0" collapsed="false">
      <c r="A5320" s="9" t="s">
        <v>11206</v>
      </c>
      <c r="B5320" s="9" t="s">
        <v>11123</v>
      </c>
      <c r="C5320" s="9" t="s">
        <v>11207</v>
      </c>
      <c r="D5320" s="9" t="s">
        <v>11125</v>
      </c>
      <c r="E5320" s="9" t="str">
        <f aca="false">IF('Denial Worlds'!J48="PASS","PASS","FAIL")</f>
        <v>PASS</v>
      </c>
      <c r="F5320" s="9" t="s">
        <v>76</v>
      </c>
      <c r="G5320" s="6"/>
      <c r="H5320" s="6"/>
      <c r="I5320" s="6"/>
      <c r="J5320" s="6"/>
      <c r="K5320" s="6"/>
      <c r="L5320" s="6"/>
      <c r="M5320" s="6"/>
      <c r="N5320" s="6"/>
      <c r="O5320" s="6"/>
      <c r="P5320" s="6"/>
      <c r="Q5320" s="6"/>
      <c r="R5320" s="6"/>
      <c r="S5320" s="6"/>
      <c r="T5320" s="6"/>
      <c r="U5320" s="6"/>
      <c r="V5320" s="6"/>
      <c r="W5320" s="6"/>
      <c r="X5320" s="6"/>
      <c r="Y5320" s="6"/>
      <c r="Z5320" s="6"/>
    </row>
    <row r="5321" customFormat="false" ht="15" hidden="false" customHeight="false" outlineLevel="0" collapsed="false">
      <c r="A5321" s="9" t="s">
        <v>11208</v>
      </c>
      <c r="B5321" s="9" t="s">
        <v>11123</v>
      </c>
      <c r="C5321" s="9" t="s">
        <v>11209</v>
      </c>
      <c r="D5321" s="9" t="s">
        <v>11125</v>
      </c>
      <c r="E5321" s="9" t="str">
        <f aca="false">IF('Denial Worlds'!J49="PASS","PASS","FAIL")</f>
        <v>PASS</v>
      </c>
      <c r="F5321" s="9" t="s">
        <v>76</v>
      </c>
      <c r="G5321" s="6"/>
      <c r="H5321" s="6"/>
      <c r="I5321" s="6"/>
      <c r="J5321" s="6"/>
      <c r="K5321" s="6"/>
      <c r="L5321" s="6"/>
      <c r="M5321" s="6"/>
      <c r="N5321" s="6"/>
      <c r="O5321" s="6"/>
      <c r="P5321" s="6"/>
      <c r="Q5321" s="6"/>
      <c r="R5321" s="6"/>
      <c r="S5321" s="6"/>
      <c r="T5321" s="6"/>
      <c r="U5321" s="6"/>
      <c r="V5321" s="6"/>
      <c r="W5321" s="6"/>
      <c r="X5321" s="6"/>
      <c r="Y5321" s="6"/>
      <c r="Z5321" s="6"/>
    </row>
    <row r="5322" customFormat="false" ht="15" hidden="false" customHeight="false" outlineLevel="0" collapsed="false">
      <c r="A5322" s="9" t="s">
        <v>11210</v>
      </c>
      <c r="B5322" s="9" t="s">
        <v>11123</v>
      </c>
      <c r="C5322" s="9" t="s">
        <v>11211</v>
      </c>
      <c r="D5322" s="9" t="s">
        <v>11125</v>
      </c>
      <c r="E5322" s="9" t="str">
        <f aca="false">IF('Denial Worlds'!J50="PASS","PASS","FAIL")</f>
        <v>PASS</v>
      </c>
      <c r="F5322" s="9" t="s">
        <v>76</v>
      </c>
      <c r="G5322" s="6"/>
      <c r="H5322" s="6"/>
      <c r="I5322" s="6"/>
      <c r="J5322" s="6"/>
      <c r="K5322" s="6"/>
      <c r="L5322" s="6"/>
      <c r="M5322" s="6"/>
      <c r="N5322" s="6"/>
      <c r="O5322" s="6"/>
      <c r="P5322" s="6"/>
      <c r="Q5322" s="6"/>
      <c r="R5322" s="6"/>
      <c r="S5322" s="6"/>
      <c r="T5322" s="6"/>
      <c r="U5322" s="6"/>
      <c r="V5322" s="6"/>
      <c r="W5322" s="6"/>
      <c r="X5322" s="6"/>
      <c r="Y5322" s="6"/>
      <c r="Z5322" s="6"/>
    </row>
    <row r="5323" customFormat="false" ht="15" hidden="false" customHeight="false" outlineLevel="0" collapsed="false">
      <c r="A5323" s="9" t="s">
        <v>11212</v>
      </c>
      <c r="B5323" s="9" t="s">
        <v>11123</v>
      </c>
      <c r="C5323" s="9" t="s">
        <v>11213</v>
      </c>
      <c r="D5323" s="9" t="s">
        <v>11125</v>
      </c>
      <c r="E5323" s="9" t="str">
        <f aca="false">IF('Denial Worlds'!J51="PASS","PASS","FAIL")</f>
        <v>PASS</v>
      </c>
      <c r="F5323" s="9" t="s">
        <v>76</v>
      </c>
      <c r="G5323" s="6"/>
      <c r="H5323" s="6"/>
      <c r="I5323" s="6"/>
      <c r="J5323" s="6"/>
      <c r="K5323" s="6"/>
      <c r="L5323" s="6"/>
      <c r="M5323" s="6"/>
      <c r="N5323" s="6"/>
      <c r="O5323" s="6"/>
      <c r="P5323" s="6"/>
      <c r="Q5323" s="6"/>
      <c r="R5323" s="6"/>
      <c r="S5323" s="6"/>
      <c r="T5323" s="6"/>
      <c r="U5323" s="6"/>
      <c r="V5323" s="6"/>
      <c r="W5323" s="6"/>
      <c r="X5323" s="6"/>
      <c r="Y5323" s="6"/>
      <c r="Z5323" s="6"/>
    </row>
    <row r="5324" customFormat="false" ht="15" hidden="false" customHeight="false" outlineLevel="0" collapsed="false">
      <c r="A5324" s="9" t="s">
        <v>11214</v>
      </c>
      <c r="B5324" s="9" t="s">
        <v>11123</v>
      </c>
      <c r="C5324" s="9" t="s">
        <v>11215</v>
      </c>
      <c r="D5324" s="9" t="s">
        <v>11125</v>
      </c>
      <c r="E5324" s="9" t="str">
        <f aca="false">IF('Denial Worlds'!J52="PASS","PASS","FAIL")</f>
        <v>PASS</v>
      </c>
      <c r="F5324" s="9" t="s">
        <v>76</v>
      </c>
      <c r="G5324" s="6"/>
      <c r="H5324" s="6"/>
      <c r="I5324" s="6"/>
      <c r="J5324" s="6"/>
      <c r="K5324" s="6"/>
      <c r="L5324" s="6"/>
      <c r="M5324" s="6"/>
      <c r="N5324" s="6"/>
      <c r="O5324" s="6"/>
      <c r="P5324" s="6"/>
      <c r="Q5324" s="6"/>
      <c r="R5324" s="6"/>
      <c r="S5324" s="6"/>
      <c r="T5324" s="6"/>
      <c r="U5324" s="6"/>
      <c r="V5324" s="6"/>
      <c r="W5324" s="6"/>
      <c r="X5324" s="6"/>
      <c r="Y5324" s="6"/>
      <c r="Z5324" s="6"/>
    </row>
    <row r="5325" customFormat="false" ht="15" hidden="false" customHeight="false" outlineLevel="0" collapsed="false">
      <c r="A5325" s="9" t="s">
        <v>11216</v>
      </c>
      <c r="B5325" s="9" t="s">
        <v>11123</v>
      </c>
      <c r="C5325" s="9" t="s">
        <v>11217</v>
      </c>
      <c r="D5325" s="9" t="s">
        <v>11125</v>
      </c>
      <c r="E5325" s="9" t="str">
        <f aca="false">IF('Denial Worlds'!J53="PASS","PASS","FAIL")</f>
        <v>PASS</v>
      </c>
      <c r="F5325" s="9" t="s">
        <v>76</v>
      </c>
      <c r="G5325" s="6"/>
      <c r="H5325" s="6"/>
      <c r="I5325" s="6"/>
      <c r="J5325" s="6"/>
      <c r="K5325" s="6"/>
      <c r="L5325" s="6"/>
      <c r="M5325" s="6"/>
      <c r="N5325" s="6"/>
      <c r="O5325" s="6"/>
      <c r="P5325" s="6"/>
      <c r="Q5325" s="6"/>
      <c r="R5325" s="6"/>
      <c r="S5325" s="6"/>
      <c r="T5325" s="6"/>
      <c r="U5325" s="6"/>
      <c r="V5325" s="6"/>
      <c r="W5325" s="6"/>
      <c r="X5325" s="6"/>
      <c r="Y5325" s="6"/>
      <c r="Z5325" s="6"/>
    </row>
    <row r="5326" customFormat="false" ht="15" hidden="false" customHeight="false" outlineLevel="0" collapsed="false">
      <c r="A5326" s="9" t="s">
        <v>11218</v>
      </c>
      <c r="B5326" s="9" t="s">
        <v>11123</v>
      </c>
      <c r="C5326" s="9" t="s">
        <v>11219</v>
      </c>
      <c r="D5326" s="9" t="s">
        <v>11125</v>
      </c>
      <c r="E5326" s="9" t="str">
        <f aca="false">IF('Denial Worlds'!J54="PASS","PASS","FAIL")</f>
        <v>PASS</v>
      </c>
      <c r="F5326" s="9" t="s">
        <v>76</v>
      </c>
      <c r="G5326" s="6"/>
      <c r="H5326" s="6"/>
      <c r="I5326" s="6"/>
      <c r="J5326" s="6"/>
      <c r="K5326" s="6"/>
      <c r="L5326" s="6"/>
      <c r="M5326" s="6"/>
      <c r="N5326" s="6"/>
      <c r="O5326" s="6"/>
      <c r="P5326" s="6"/>
      <c r="Q5326" s="6"/>
      <c r="R5326" s="6"/>
      <c r="S5326" s="6"/>
      <c r="T5326" s="6"/>
      <c r="U5326" s="6"/>
      <c r="V5326" s="6"/>
      <c r="W5326" s="6"/>
      <c r="X5326" s="6"/>
      <c r="Y5326" s="6"/>
      <c r="Z5326" s="6"/>
    </row>
    <row r="5327" customFormat="false" ht="15" hidden="false" customHeight="false" outlineLevel="0" collapsed="false">
      <c r="A5327" s="9" t="s">
        <v>11220</v>
      </c>
      <c r="B5327" s="9" t="s">
        <v>11123</v>
      </c>
      <c r="C5327" s="9" t="s">
        <v>11221</v>
      </c>
      <c r="D5327" s="9" t="s">
        <v>11125</v>
      </c>
      <c r="E5327" s="9" t="str">
        <f aca="false">IF('Denial Worlds'!J55="PASS","PASS","FAIL")</f>
        <v>PASS</v>
      </c>
      <c r="F5327" s="9" t="s">
        <v>76</v>
      </c>
      <c r="G5327" s="6"/>
      <c r="H5327" s="6"/>
      <c r="I5327" s="6"/>
      <c r="J5327" s="6"/>
      <c r="K5327" s="6"/>
      <c r="L5327" s="6"/>
      <c r="M5327" s="6"/>
      <c r="N5327" s="6"/>
      <c r="O5327" s="6"/>
      <c r="P5327" s="6"/>
      <c r="Q5327" s="6"/>
      <c r="R5327" s="6"/>
      <c r="S5327" s="6"/>
      <c r="T5327" s="6"/>
      <c r="U5327" s="6"/>
      <c r="V5327" s="6"/>
      <c r="W5327" s="6"/>
      <c r="X5327" s="6"/>
      <c r="Y5327" s="6"/>
      <c r="Z5327" s="6"/>
    </row>
    <row r="5328" customFormat="false" ht="15" hidden="false" customHeight="false" outlineLevel="0" collapsed="false">
      <c r="A5328" s="9" t="s">
        <v>11222</v>
      </c>
      <c r="B5328" s="9" t="s">
        <v>11123</v>
      </c>
      <c r="C5328" s="9" t="s">
        <v>11223</v>
      </c>
      <c r="D5328" s="9" t="s">
        <v>11125</v>
      </c>
      <c r="E5328" s="9" t="str">
        <f aca="false">IF('Denial Worlds'!J56="PASS","PASS","FAIL")</f>
        <v>PASS</v>
      </c>
      <c r="F5328" s="9" t="s">
        <v>76</v>
      </c>
      <c r="G5328" s="6"/>
      <c r="H5328" s="6"/>
      <c r="I5328" s="6"/>
      <c r="J5328" s="6"/>
      <c r="K5328" s="6"/>
      <c r="L5328" s="6"/>
      <c r="M5328" s="6"/>
      <c r="N5328" s="6"/>
      <c r="O5328" s="6"/>
      <c r="P5328" s="6"/>
      <c r="Q5328" s="6"/>
      <c r="R5328" s="6"/>
      <c r="S5328" s="6"/>
      <c r="T5328" s="6"/>
      <c r="U5328" s="6"/>
      <c r="V5328" s="6"/>
      <c r="W5328" s="6"/>
      <c r="X5328" s="6"/>
      <c r="Y5328" s="6"/>
      <c r="Z5328" s="6"/>
    </row>
    <row r="5329" customFormat="false" ht="15" hidden="false" customHeight="false" outlineLevel="0" collapsed="false">
      <c r="A5329" s="9" t="s">
        <v>11224</v>
      </c>
      <c r="B5329" s="9" t="s">
        <v>11123</v>
      </c>
      <c r="C5329" s="9" t="s">
        <v>11225</v>
      </c>
      <c r="D5329" s="9" t="s">
        <v>11125</v>
      </c>
      <c r="E5329" s="9" t="str">
        <f aca="false">IF('Denial Worlds'!J57="PASS","PASS","FAIL")</f>
        <v>PASS</v>
      </c>
      <c r="F5329" s="9" t="s">
        <v>76</v>
      </c>
      <c r="G5329" s="6"/>
      <c r="H5329" s="6"/>
      <c r="I5329" s="6"/>
      <c r="J5329" s="6"/>
      <c r="K5329" s="6"/>
      <c r="L5329" s="6"/>
      <c r="M5329" s="6"/>
      <c r="N5329" s="6"/>
      <c r="O5329" s="6"/>
      <c r="P5329" s="6"/>
      <c r="Q5329" s="6"/>
      <c r="R5329" s="6"/>
      <c r="S5329" s="6"/>
      <c r="T5329" s="6"/>
      <c r="U5329" s="6"/>
      <c r="V5329" s="6"/>
      <c r="W5329" s="6"/>
      <c r="X5329" s="6"/>
      <c r="Y5329" s="6"/>
      <c r="Z5329" s="6"/>
    </row>
    <row r="5330" customFormat="false" ht="15" hidden="false" customHeight="false" outlineLevel="0" collapsed="false">
      <c r="A5330" s="9" t="s">
        <v>11226</v>
      </c>
      <c r="B5330" s="9" t="s">
        <v>11123</v>
      </c>
      <c r="C5330" s="9" t="s">
        <v>11227</v>
      </c>
      <c r="D5330" s="9" t="s">
        <v>11125</v>
      </c>
      <c r="E5330" s="9" t="str">
        <f aca="false">IF('Denial Worlds'!J58="PASS","PASS","FAIL")</f>
        <v>PASS</v>
      </c>
      <c r="F5330" s="9" t="s">
        <v>76</v>
      </c>
      <c r="G5330" s="6"/>
      <c r="H5330" s="6"/>
      <c r="I5330" s="6"/>
      <c r="J5330" s="6"/>
      <c r="K5330" s="6"/>
      <c r="L5330" s="6"/>
      <c r="M5330" s="6"/>
      <c r="N5330" s="6"/>
      <c r="O5330" s="6"/>
      <c r="P5330" s="6"/>
      <c r="Q5330" s="6"/>
      <c r="R5330" s="6"/>
      <c r="S5330" s="6"/>
      <c r="T5330" s="6"/>
      <c r="U5330" s="6"/>
      <c r="V5330" s="6"/>
      <c r="W5330" s="6"/>
      <c r="X5330" s="6"/>
      <c r="Y5330" s="6"/>
      <c r="Z5330" s="6"/>
    </row>
    <row r="5331" customFormat="false" ht="15" hidden="false" customHeight="false" outlineLevel="0" collapsed="false">
      <c r="A5331" s="9" t="s">
        <v>11228</v>
      </c>
      <c r="B5331" s="9" t="s">
        <v>11123</v>
      </c>
      <c r="C5331" s="9" t="s">
        <v>11229</v>
      </c>
      <c r="D5331" s="9" t="s">
        <v>11125</v>
      </c>
      <c r="E5331" s="9" t="str">
        <f aca="false">IF('Denial Worlds'!J59="PASS","PASS","FAIL")</f>
        <v>PASS</v>
      </c>
      <c r="F5331" s="9" t="s">
        <v>76</v>
      </c>
      <c r="G5331" s="6"/>
      <c r="H5331" s="6"/>
      <c r="I5331" s="6"/>
      <c r="J5331" s="6"/>
      <c r="K5331" s="6"/>
      <c r="L5331" s="6"/>
      <c r="M5331" s="6"/>
      <c r="N5331" s="6"/>
      <c r="O5331" s="6"/>
      <c r="P5331" s="6"/>
      <c r="Q5331" s="6"/>
      <c r="R5331" s="6"/>
      <c r="S5331" s="6"/>
      <c r="T5331" s="6"/>
      <c r="U5331" s="6"/>
      <c r="V5331" s="6"/>
      <c r="W5331" s="6"/>
      <c r="X5331" s="6"/>
      <c r="Y5331" s="6"/>
      <c r="Z5331" s="6"/>
    </row>
    <row r="5332" customFormat="false" ht="15" hidden="false" customHeight="false" outlineLevel="0" collapsed="false">
      <c r="A5332" s="9" t="s">
        <v>11230</v>
      </c>
      <c r="B5332" s="9" t="s">
        <v>11123</v>
      </c>
      <c r="C5332" s="9" t="s">
        <v>11231</v>
      </c>
      <c r="D5332" s="9" t="s">
        <v>11125</v>
      </c>
      <c r="E5332" s="9" t="str">
        <f aca="false">IF('Denial Worlds'!J60="PASS","PASS","FAIL")</f>
        <v>PASS</v>
      </c>
      <c r="F5332" s="9" t="s">
        <v>76</v>
      </c>
      <c r="G5332" s="6"/>
      <c r="H5332" s="6"/>
      <c r="I5332" s="6"/>
      <c r="J5332" s="6"/>
      <c r="K5332" s="6"/>
      <c r="L5332" s="6"/>
      <c r="M5332" s="6"/>
      <c r="N5332" s="6"/>
      <c r="O5332" s="6"/>
      <c r="P5332" s="6"/>
      <c r="Q5332" s="6"/>
      <c r="R5332" s="6"/>
      <c r="S5332" s="6"/>
      <c r="T5332" s="6"/>
      <c r="U5332" s="6"/>
      <c r="V5332" s="6"/>
      <c r="W5332" s="6"/>
      <c r="X5332" s="6"/>
      <c r="Y5332" s="6"/>
      <c r="Z5332" s="6"/>
    </row>
    <row r="5333" customFormat="false" ht="15" hidden="false" customHeight="false" outlineLevel="0" collapsed="false">
      <c r="A5333" s="9" t="s">
        <v>11232</v>
      </c>
      <c r="B5333" s="9" t="s">
        <v>11123</v>
      </c>
      <c r="C5333" s="9" t="s">
        <v>11233</v>
      </c>
      <c r="D5333" s="9" t="s">
        <v>11125</v>
      </c>
      <c r="E5333" s="9" t="str">
        <f aca="false">IF('Denial Worlds'!J61="PASS","PASS","FAIL")</f>
        <v>PASS</v>
      </c>
      <c r="F5333" s="9" t="s">
        <v>76</v>
      </c>
      <c r="G5333" s="6"/>
      <c r="H5333" s="6"/>
      <c r="I5333" s="6"/>
      <c r="J5333" s="6"/>
      <c r="K5333" s="6"/>
      <c r="L5333" s="6"/>
      <c r="M5333" s="6"/>
      <c r="N5333" s="6"/>
      <c r="O5333" s="6"/>
      <c r="P5333" s="6"/>
      <c r="Q5333" s="6"/>
      <c r="R5333" s="6"/>
      <c r="S5333" s="6"/>
      <c r="T5333" s="6"/>
      <c r="U5333" s="6"/>
      <c r="V5333" s="6"/>
      <c r="W5333" s="6"/>
      <c r="X5333" s="6"/>
      <c r="Y5333" s="6"/>
      <c r="Z5333" s="6"/>
    </row>
    <row r="5334" customFormat="false" ht="15" hidden="false" customHeight="false" outlineLevel="0" collapsed="false">
      <c r="A5334" s="9" t="s">
        <v>11234</v>
      </c>
      <c r="B5334" s="9" t="s">
        <v>11123</v>
      </c>
      <c r="C5334" s="9" t="s">
        <v>11235</v>
      </c>
      <c r="D5334" s="9" t="s">
        <v>11125</v>
      </c>
      <c r="E5334" s="9" t="str">
        <f aca="false">IF('Denial Worlds'!J62="PASS","PASS","FAIL")</f>
        <v>PASS</v>
      </c>
      <c r="F5334" s="9" t="s">
        <v>76</v>
      </c>
      <c r="G5334" s="6"/>
      <c r="H5334" s="6"/>
      <c r="I5334" s="6"/>
      <c r="J5334" s="6"/>
      <c r="K5334" s="6"/>
      <c r="L5334" s="6"/>
      <c r="M5334" s="6"/>
      <c r="N5334" s="6"/>
      <c r="O5334" s="6"/>
      <c r="P5334" s="6"/>
      <c r="Q5334" s="6"/>
      <c r="R5334" s="6"/>
      <c r="S5334" s="6"/>
      <c r="T5334" s="6"/>
      <c r="U5334" s="6"/>
      <c r="V5334" s="6"/>
      <c r="W5334" s="6"/>
      <c r="X5334" s="6"/>
      <c r="Y5334" s="6"/>
      <c r="Z5334" s="6"/>
    </row>
    <row r="5335" customFormat="false" ht="15" hidden="false" customHeight="false" outlineLevel="0" collapsed="false">
      <c r="A5335" s="9" t="s">
        <v>11236</v>
      </c>
      <c r="B5335" s="9" t="s">
        <v>11123</v>
      </c>
      <c r="C5335" s="9" t="s">
        <v>11237</v>
      </c>
      <c r="D5335" s="9" t="s">
        <v>11125</v>
      </c>
      <c r="E5335" s="9" t="str">
        <f aca="false">IF('Denial Worlds'!J63="PASS","PASS","FAIL")</f>
        <v>PASS</v>
      </c>
      <c r="F5335" s="9" t="s">
        <v>76</v>
      </c>
      <c r="G5335" s="6"/>
      <c r="H5335" s="6"/>
      <c r="I5335" s="6"/>
      <c r="J5335" s="6"/>
      <c r="K5335" s="6"/>
      <c r="L5335" s="6"/>
      <c r="M5335" s="6"/>
      <c r="N5335" s="6"/>
      <c r="O5335" s="6"/>
      <c r="P5335" s="6"/>
      <c r="Q5335" s="6"/>
      <c r="R5335" s="6"/>
      <c r="S5335" s="6"/>
      <c r="T5335" s="6"/>
      <c r="U5335" s="6"/>
      <c r="V5335" s="6"/>
      <c r="W5335" s="6"/>
      <c r="X5335" s="6"/>
      <c r="Y5335" s="6"/>
      <c r="Z5335" s="6"/>
    </row>
    <row r="5336" customFormat="false" ht="15" hidden="false" customHeight="false" outlineLevel="0" collapsed="false">
      <c r="A5336" s="9" t="s">
        <v>11238</v>
      </c>
      <c r="B5336" s="9" t="s">
        <v>11123</v>
      </c>
      <c r="C5336" s="9" t="s">
        <v>11239</v>
      </c>
      <c r="D5336" s="9" t="s">
        <v>11125</v>
      </c>
      <c r="E5336" s="9" t="str">
        <f aca="false">IF('Denial Worlds'!J64="PASS","PASS","FAIL")</f>
        <v>PASS</v>
      </c>
      <c r="F5336" s="9" t="s">
        <v>76</v>
      </c>
      <c r="G5336" s="6"/>
      <c r="H5336" s="6"/>
      <c r="I5336" s="6"/>
      <c r="J5336" s="6"/>
      <c r="K5336" s="6"/>
      <c r="L5336" s="6"/>
      <c r="M5336" s="6"/>
      <c r="N5336" s="6"/>
      <c r="O5336" s="6"/>
      <c r="P5336" s="6"/>
      <c r="Q5336" s="6"/>
      <c r="R5336" s="6"/>
      <c r="S5336" s="6"/>
      <c r="T5336" s="6"/>
      <c r="U5336" s="6"/>
      <c r="V5336" s="6"/>
      <c r="W5336" s="6"/>
      <c r="X5336" s="6"/>
      <c r="Y5336" s="6"/>
      <c r="Z5336" s="6"/>
    </row>
    <row r="5337" customFormat="false" ht="15" hidden="false" customHeight="false" outlineLevel="0" collapsed="false">
      <c r="A5337" s="9" t="s">
        <v>11240</v>
      </c>
      <c r="B5337" s="9" t="s">
        <v>11123</v>
      </c>
      <c r="C5337" s="9" t="s">
        <v>11241</v>
      </c>
      <c r="D5337" s="9" t="s">
        <v>11125</v>
      </c>
      <c r="E5337" s="9" t="str">
        <f aca="false">IF('Denial Worlds'!J65="PASS","PASS","FAIL")</f>
        <v>PASS</v>
      </c>
      <c r="F5337" s="9" t="s">
        <v>76</v>
      </c>
      <c r="G5337" s="6"/>
      <c r="H5337" s="6"/>
      <c r="I5337" s="6"/>
      <c r="J5337" s="6"/>
      <c r="K5337" s="6"/>
      <c r="L5337" s="6"/>
      <c r="M5337" s="6"/>
      <c r="N5337" s="6"/>
      <c r="O5337" s="6"/>
      <c r="P5337" s="6"/>
      <c r="Q5337" s="6"/>
      <c r="R5337" s="6"/>
      <c r="S5337" s="6"/>
      <c r="T5337" s="6"/>
      <c r="U5337" s="6"/>
      <c r="V5337" s="6"/>
      <c r="W5337" s="6"/>
      <c r="X5337" s="6"/>
      <c r="Y5337" s="6"/>
      <c r="Z5337" s="6"/>
    </row>
    <row r="5338" customFormat="false" ht="15" hidden="false" customHeight="false" outlineLevel="0" collapsed="false">
      <c r="A5338" s="9" t="s">
        <v>11242</v>
      </c>
      <c r="B5338" s="9" t="s">
        <v>11123</v>
      </c>
      <c r="C5338" s="9" t="s">
        <v>11243</v>
      </c>
      <c r="D5338" s="9" t="s">
        <v>11125</v>
      </c>
      <c r="E5338" s="9" t="str">
        <f aca="false">IF('Denial Worlds'!J66="PASS","PASS","FAIL")</f>
        <v>PASS</v>
      </c>
      <c r="F5338" s="9" t="s">
        <v>76</v>
      </c>
      <c r="G5338" s="6"/>
      <c r="H5338" s="6"/>
      <c r="I5338" s="6"/>
      <c r="J5338" s="6"/>
      <c r="K5338" s="6"/>
      <c r="L5338" s="6"/>
      <c r="M5338" s="6"/>
      <c r="N5338" s="6"/>
      <c r="O5338" s="6"/>
      <c r="P5338" s="6"/>
      <c r="Q5338" s="6"/>
      <c r="R5338" s="6"/>
      <c r="S5338" s="6"/>
      <c r="T5338" s="6"/>
      <c r="U5338" s="6"/>
      <c r="V5338" s="6"/>
      <c r="W5338" s="6"/>
      <c r="X5338" s="6"/>
      <c r="Y5338" s="6"/>
      <c r="Z5338" s="6"/>
    </row>
    <row r="5339" customFormat="false" ht="15" hidden="false" customHeight="false" outlineLevel="0" collapsed="false">
      <c r="A5339" s="9" t="s">
        <v>11244</v>
      </c>
      <c r="B5339" s="9" t="s">
        <v>11123</v>
      </c>
      <c r="C5339" s="9" t="s">
        <v>11245</v>
      </c>
      <c r="D5339" s="9" t="s">
        <v>11125</v>
      </c>
      <c r="E5339" s="9" t="str">
        <f aca="false">IF('Denial Worlds'!J67="PASS","PASS","FAIL")</f>
        <v>PASS</v>
      </c>
      <c r="F5339" s="9" t="s">
        <v>76</v>
      </c>
      <c r="G5339" s="6"/>
      <c r="H5339" s="6"/>
      <c r="I5339" s="6"/>
      <c r="J5339" s="6"/>
      <c r="K5339" s="6"/>
      <c r="L5339" s="6"/>
      <c r="M5339" s="6"/>
      <c r="N5339" s="6"/>
      <c r="O5339" s="6"/>
      <c r="P5339" s="6"/>
      <c r="Q5339" s="6"/>
      <c r="R5339" s="6"/>
      <c r="S5339" s="6"/>
      <c r="T5339" s="6"/>
      <c r="U5339" s="6"/>
      <c r="V5339" s="6"/>
      <c r="W5339" s="6"/>
      <c r="X5339" s="6"/>
      <c r="Y5339" s="6"/>
      <c r="Z5339" s="6"/>
    </row>
    <row r="5340" customFormat="false" ht="15" hidden="false" customHeight="false" outlineLevel="0" collapsed="false">
      <c r="A5340" s="9" t="s">
        <v>11246</v>
      </c>
      <c r="B5340" s="9" t="s">
        <v>11123</v>
      </c>
      <c r="C5340" s="9" t="s">
        <v>11247</v>
      </c>
      <c r="D5340" s="9" t="s">
        <v>11125</v>
      </c>
      <c r="E5340" s="9" t="str">
        <f aca="false">IF('Denial Worlds'!J68="PASS","PASS","FAIL")</f>
        <v>PASS</v>
      </c>
      <c r="F5340" s="9" t="s">
        <v>76</v>
      </c>
      <c r="G5340" s="6"/>
      <c r="H5340" s="6"/>
      <c r="I5340" s="6"/>
      <c r="J5340" s="6"/>
      <c r="K5340" s="6"/>
      <c r="L5340" s="6"/>
      <c r="M5340" s="6"/>
      <c r="N5340" s="6"/>
      <c r="O5340" s="6"/>
      <c r="P5340" s="6"/>
      <c r="Q5340" s="6"/>
      <c r="R5340" s="6"/>
      <c r="S5340" s="6"/>
      <c r="T5340" s="6"/>
      <c r="U5340" s="6"/>
      <c r="V5340" s="6"/>
      <c r="W5340" s="6"/>
      <c r="X5340" s="6"/>
      <c r="Y5340" s="6"/>
      <c r="Z5340" s="6"/>
    </row>
    <row r="5341" customFormat="false" ht="15" hidden="false" customHeight="false" outlineLevel="0" collapsed="false">
      <c r="A5341" s="9" t="s">
        <v>11248</v>
      </c>
      <c r="B5341" s="9" t="s">
        <v>11123</v>
      </c>
      <c r="C5341" s="9" t="s">
        <v>11249</v>
      </c>
      <c r="D5341" s="9" t="s">
        <v>11125</v>
      </c>
      <c r="E5341" s="9" t="str">
        <f aca="false">IF('Denial Worlds'!J69="PASS","PASS","FAIL")</f>
        <v>PASS</v>
      </c>
      <c r="F5341" s="9" t="s">
        <v>76</v>
      </c>
      <c r="G5341" s="6"/>
      <c r="H5341" s="6"/>
      <c r="I5341" s="6"/>
      <c r="J5341" s="6"/>
      <c r="K5341" s="6"/>
      <c r="L5341" s="6"/>
      <c r="M5341" s="6"/>
      <c r="N5341" s="6"/>
      <c r="O5341" s="6"/>
      <c r="P5341" s="6"/>
      <c r="Q5341" s="6"/>
      <c r="R5341" s="6"/>
      <c r="S5341" s="6"/>
      <c r="T5341" s="6"/>
      <c r="U5341" s="6"/>
      <c r="V5341" s="6"/>
      <c r="W5341" s="6"/>
      <c r="X5341" s="6"/>
      <c r="Y5341" s="6"/>
      <c r="Z5341" s="6"/>
    </row>
    <row r="5342" customFormat="false" ht="15" hidden="false" customHeight="false" outlineLevel="0" collapsed="false">
      <c r="A5342" s="9" t="s">
        <v>11250</v>
      </c>
      <c r="B5342" s="9" t="s">
        <v>11123</v>
      </c>
      <c r="C5342" s="9" t="s">
        <v>11251</v>
      </c>
      <c r="D5342" s="9" t="s">
        <v>11125</v>
      </c>
      <c r="E5342" s="9" t="str">
        <f aca="false">IF('Denial Worlds'!J70="PASS","PASS","FAIL")</f>
        <v>PASS</v>
      </c>
      <c r="F5342" s="9" t="s">
        <v>76</v>
      </c>
      <c r="G5342" s="6"/>
      <c r="H5342" s="6"/>
      <c r="I5342" s="6"/>
      <c r="J5342" s="6"/>
      <c r="K5342" s="6"/>
      <c r="L5342" s="6"/>
      <c r="M5342" s="6"/>
      <c r="N5342" s="6"/>
      <c r="O5342" s="6"/>
      <c r="P5342" s="6"/>
      <c r="Q5342" s="6"/>
      <c r="R5342" s="6"/>
      <c r="S5342" s="6"/>
      <c r="T5342" s="6"/>
      <c r="U5342" s="6"/>
      <c r="V5342" s="6"/>
      <c r="W5342" s="6"/>
      <c r="X5342" s="6"/>
      <c r="Y5342" s="6"/>
      <c r="Z5342" s="6"/>
    </row>
    <row r="5343" customFormat="false" ht="15" hidden="false" customHeight="false" outlineLevel="0" collapsed="false">
      <c r="A5343" s="9" t="s">
        <v>11252</v>
      </c>
      <c r="B5343" s="9" t="s">
        <v>11123</v>
      </c>
      <c r="C5343" s="9" t="s">
        <v>11253</v>
      </c>
      <c r="D5343" s="9" t="s">
        <v>11125</v>
      </c>
      <c r="E5343" s="9" t="str">
        <f aca="false">IF('Denial Worlds'!J71="PASS","PASS","FAIL")</f>
        <v>PASS</v>
      </c>
      <c r="F5343" s="9" t="s">
        <v>76</v>
      </c>
      <c r="G5343" s="6"/>
      <c r="H5343" s="6"/>
      <c r="I5343" s="6"/>
      <c r="J5343" s="6"/>
      <c r="K5343" s="6"/>
      <c r="L5343" s="6"/>
      <c r="M5343" s="6"/>
      <c r="N5343" s="6"/>
      <c r="O5343" s="6"/>
      <c r="P5343" s="6"/>
      <c r="Q5343" s="6"/>
      <c r="R5343" s="6"/>
      <c r="S5343" s="6"/>
      <c r="T5343" s="6"/>
      <c r="U5343" s="6"/>
      <c r="V5343" s="6"/>
      <c r="W5343" s="6"/>
      <c r="X5343" s="6"/>
      <c r="Y5343" s="6"/>
      <c r="Z5343" s="6"/>
    </row>
    <row r="5344" customFormat="false" ht="15" hidden="false" customHeight="false" outlineLevel="0" collapsed="false">
      <c r="A5344" s="9" t="s">
        <v>11254</v>
      </c>
      <c r="B5344" s="9" t="s">
        <v>11123</v>
      </c>
      <c r="C5344" s="9" t="s">
        <v>11255</v>
      </c>
      <c r="D5344" s="9" t="s">
        <v>11125</v>
      </c>
      <c r="E5344" s="9" t="str">
        <f aca="false">IF('Denial Worlds'!J72="PASS","PASS","FAIL")</f>
        <v>PASS</v>
      </c>
      <c r="F5344" s="9" t="s">
        <v>76</v>
      </c>
      <c r="G5344" s="6"/>
      <c r="H5344" s="6"/>
      <c r="I5344" s="6"/>
      <c r="J5344" s="6"/>
      <c r="K5344" s="6"/>
      <c r="L5344" s="6"/>
      <c r="M5344" s="6"/>
      <c r="N5344" s="6"/>
      <c r="O5344" s="6"/>
      <c r="P5344" s="6"/>
      <c r="Q5344" s="6"/>
      <c r="R5344" s="6"/>
      <c r="S5344" s="6"/>
      <c r="T5344" s="6"/>
      <c r="U5344" s="6"/>
      <c r="V5344" s="6"/>
      <c r="W5344" s="6"/>
      <c r="X5344" s="6"/>
      <c r="Y5344" s="6"/>
      <c r="Z5344" s="6"/>
    </row>
    <row r="5345" customFormat="false" ht="15" hidden="false" customHeight="false" outlineLevel="0" collapsed="false">
      <c r="A5345" s="9" t="s">
        <v>11256</v>
      </c>
      <c r="B5345" s="9" t="s">
        <v>11123</v>
      </c>
      <c r="C5345" s="9" t="s">
        <v>11257</v>
      </c>
      <c r="D5345" s="9" t="s">
        <v>11125</v>
      </c>
      <c r="E5345" s="9" t="str">
        <f aca="false">IF('Denial Worlds'!J73="PASS","PASS","FAIL")</f>
        <v>PASS</v>
      </c>
      <c r="F5345" s="9" t="s">
        <v>76</v>
      </c>
      <c r="G5345" s="6"/>
      <c r="H5345" s="6"/>
      <c r="I5345" s="6"/>
      <c r="J5345" s="6"/>
      <c r="K5345" s="6"/>
      <c r="L5345" s="6"/>
      <c r="M5345" s="6"/>
      <c r="N5345" s="6"/>
      <c r="O5345" s="6"/>
      <c r="P5345" s="6"/>
      <c r="Q5345" s="6"/>
      <c r="R5345" s="6"/>
      <c r="S5345" s="6"/>
      <c r="T5345" s="6"/>
      <c r="U5345" s="6"/>
      <c r="V5345" s="6"/>
      <c r="W5345" s="6"/>
      <c r="X5345" s="6"/>
      <c r="Y5345" s="6"/>
      <c r="Z5345" s="6"/>
    </row>
    <row r="5346" customFormat="false" ht="15" hidden="false" customHeight="false" outlineLevel="0" collapsed="false">
      <c r="A5346" s="9" t="s">
        <v>11258</v>
      </c>
      <c r="B5346" s="9" t="s">
        <v>11123</v>
      </c>
      <c r="C5346" s="9" t="s">
        <v>11259</v>
      </c>
      <c r="D5346" s="9" t="s">
        <v>11125</v>
      </c>
      <c r="E5346" s="9" t="str">
        <f aca="false">IF('Denial Worlds'!J74="PASS","PASS","FAIL")</f>
        <v>PASS</v>
      </c>
      <c r="F5346" s="9" t="s">
        <v>76</v>
      </c>
      <c r="G5346" s="6"/>
      <c r="H5346" s="6"/>
      <c r="I5346" s="6"/>
      <c r="J5346" s="6"/>
      <c r="K5346" s="6"/>
      <c r="L5346" s="6"/>
      <c r="M5346" s="6"/>
      <c r="N5346" s="6"/>
      <c r="O5346" s="6"/>
      <c r="P5346" s="6"/>
      <c r="Q5346" s="6"/>
      <c r="R5346" s="6"/>
      <c r="S5346" s="6"/>
      <c r="T5346" s="6"/>
      <c r="U5346" s="6"/>
      <c r="V5346" s="6"/>
      <c r="W5346" s="6"/>
      <c r="X5346" s="6"/>
      <c r="Y5346" s="6"/>
      <c r="Z5346" s="6"/>
    </row>
    <row r="5347" customFormat="false" ht="15" hidden="false" customHeight="false" outlineLevel="0" collapsed="false">
      <c r="A5347" s="9" t="s">
        <v>11260</v>
      </c>
      <c r="B5347" s="9" t="s">
        <v>11123</v>
      </c>
      <c r="C5347" s="9" t="s">
        <v>11261</v>
      </c>
      <c r="D5347" s="9" t="s">
        <v>11125</v>
      </c>
      <c r="E5347" s="9" t="str">
        <f aca="false">IF('Denial Worlds'!J75="PASS","PASS","FAIL")</f>
        <v>PASS</v>
      </c>
      <c r="F5347" s="9" t="s">
        <v>76</v>
      </c>
      <c r="G5347" s="6"/>
      <c r="H5347" s="6"/>
      <c r="I5347" s="6"/>
      <c r="J5347" s="6"/>
      <c r="K5347" s="6"/>
      <c r="L5347" s="6"/>
      <c r="M5347" s="6"/>
      <c r="N5347" s="6"/>
      <c r="O5347" s="6"/>
      <c r="P5347" s="6"/>
      <c r="Q5347" s="6"/>
      <c r="R5347" s="6"/>
      <c r="S5347" s="6"/>
      <c r="T5347" s="6"/>
      <c r="U5347" s="6"/>
      <c r="V5347" s="6"/>
      <c r="W5347" s="6"/>
      <c r="X5347" s="6"/>
      <c r="Y5347" s="6"/>
      <c r="Z5347" s="6"/>
    </row>
    <row r="5348" customFormat="false" ht="15" hidden="false" customHeight="false" outlineLevel="0" collapsed="false">
      <c r="A5348" s="9" t="s">
        <v>11262</v>
      </c>
      <c r="B5348" s="9" t="s">
        <v>11123</v>
      </c>
      <c r="C5348" s="9" t="s">
        <v>11263</v>
      </c>
      <c r="D5348" s="9" t="s">
        <v>11125</v>
      </c>
      <c r="E5348" s="9" t="str">
        <f aca="false">IF('Denial Worlds'!J76="PASS","PASS","FAIL")</f>
        <v>PASS</v>
      </c>
      <c r="F5348" s="9" t="s">
        <v>76</v>
      </c>
      <c r="G5348" s="6"/>
      <c r="H5348" s="6"/>
      <c r="I5348" s="6"/>
      <c r="J5348" s="6"/>
      <c r="K5348" s="6"/>
      <c r="L5348" s="6"/>
      <c r="M5348" s="6"/>
      <c r="N5348" s="6"/>
      <c r="O5348" s="6"/>
      <c r="P5348" s="6"/>
      <c r="Q5348" s="6"/>
      <c r="R5348" s="6"/>
      <c r="S5348" s="6"/>
      <c r="T5348" s="6"/>
      <c r="U5348" s="6"/>
      <c r="V5348" s="6"/>
      <c r="W5348" s="6"/>
      <c r="X5348" s="6"/>
      <c r="Y5348" s="6"/>
      <c r="Z5348" s="6"/>
    </row>
    <row r="5349" customFormat="false" ht="15" hidden="false" customHeight="false" outlineLevel="0" collapsed="false">
      <c r="A5349" s="9" t="s">
        <v>11264</v>
      </c>
      <c r="B5349" s="9" t="s">
        <v>11123</v>
      </c>
      <c r="C5349" s="9" t="s">
        <v>11265</v>
      </c>
      <c r="D5349" s="9" t="s">
        <v>11125</v>
      </c>
      <c r="E5349" s="9" t="str">
        <f aca="false">IF('Denial Worlds'!J77="PASS","PASS","FAIL")</f>
        <v>PASS</v>
      </c>
      <c r="F5349" s="9" t="s">
        <v>76</v>
      </c>
      <c r="G5349" s="6"/>
      <c r="H5349" s="6"/>
      <c r="I5349" s="6"/>
      <c r="J5349" s="6"/>
      <c r="K5349" s="6"/>
      <c r="L5349" s="6"/>
      <c r="M5349" s="6"/>
      <c r="N5349" s="6"/>
      <c r="O5349" s="6"/>
      <c r="P5349" s="6"/>
      <c r="Q5349" s="6"/>
      <c r="R5349" s="6"/>
      <c r="S5349" s="6"/>
      <c r="T5349" s="6"/>
      <c r="U5349" s="6"/>
      <c r="V5349" s="6"/>
      <c r="W5349" s="6"/>
      <c r="X5349" s="6"/>
      <c r="Y5349" s="6"/>
      <c r="Z5349" s="6"/>
    </row>
    <row r="5350" customFormat="false" ht="15" hidden="false" customHeight="false" outlineLevel="0" collapsed="false">
      <c r="A5350" s="9" t="s">
        <v>11266</v>
      </c>
      <c r="B5350" s="9" t="s">
        <v>11123</v>
      </c>
      <c r="C5350" s="9" t="s">
        <v>11267</v>
      </c>
      <c r="D5350" s="9" t="s">
        <v>11125</v>
      </c>
      <c r="E5350" s="9" t="str">
        <f aca="false">IF('Denial Worlds'!J78="PASS","PASS","FAIL")</f>
        <v>PASS</v>
      </c>
      <c r="F5350" s="9" t="s">
        <v>76</v>
      </c>
      <c r="G5350" s="6"/>
      <c r="H5350" s="6"/>
      <c r="I5350" s="6"/>
      <c r="J5350" s="6"/>
      <c r="K5350" s="6"/>
      <c r="L5350" s="6"/>
      <c r="M5350" s="6"/>
      <c r="N5350" s="6"/>
      <c r="O5350" s="6"/>
      <c r="P5350" s="6"/>
      <c r="Q5350" s="6"/>
      <c r="R5350" s="6"/>
      <c r="S5350" s="6"/>
      <c r="T5350" s="6"/>
      <c r="U5350" s="6"/>
      <c r="V5350" s="6"/>
      <c r="W5350" s="6"/>
      <c r="X5350" s="6"/>
      <c r="Y5350" s="6"/>
      <c r="Z5350" s="6"/>
    </row>
    <row r="5351" customFormat="false" ht="15" hidden="false" customHeight="false" outlineLevel="0" collapsed="false">
      <c r="A5351" s="9" t="s">
        <v>11268</v>
      </c>
      <c r="B5351" s="9" t="s">
        <v>11123</v>
      </c>
      <c r="C5351" s="9" t="s">
        <v>11269</v>
      </c>
      <c r="D5351" s="9" t="s">
        <v>11125</v>
      </c>
      <c r="E5351" s="9" t="str">
        <f aca="false">IF('Denial Worlds'!J79="PASS","PASS","FAIL")</f>
        <v>PASS</v>
      </c>
      <c r="F5351" s="9" t="s">
        <v>76</v>
      </c>
      <c r="G5351" s="6"/>
      <c r="H5351" s="6"/>
      <c r="I5351" s="6"/>
      <c r="J5351" s="6"/>
      <c r="K5351" s="6"/>
      <c r="L5351" s="6"/>
      <c r="M5351" s="6"/>
      <c r="N5351" s="6"/>
      <c r="O5351" s="6"/>
      <c r="P5351" s="6"/>
      <c r="Q5351" s="6"/>
      <c r="R5351" s="6"/>
      <c r="S5351" s="6"/>
      <c r="T5351" s="6"/>
      <c r="U5351" s="6"/>
      <c r="V5351" s="6"/>
      <c r="W5351" s="6"/>
      <c r="X5351" s="6"/>
      <c r="Y5351" s="6"/>
      <c r="Z5351" s="6"/>
    </row>
    <row r="5352" customFormat="false" ht="15" hidden="false" customHeight="false" outlineLevel="0" collapsed="false">
      <c r="A5352" s="9" t="s">
        <v>11270</v>
      </c>
      <c r="B5352" s="9" t="s">
        <v>11123</v>
      </c>
      <c r="C5352" s="9" t="s">
        <v>11271</v>
      </c>
      <c r="D5352" s="9" t="s">
        <v>11125</v>
      </c>
      <c r="E5352" s="9" t="str">
        <f aca="false">IF('Denial Worlds'!J80="PASS","PASS","FAIL")</f>
        <v>PASS</v>
      </c>
      <c r="F5352" s="9" t="s">
        <v>76</v>
      </c>
      <c r="G5352" s="6"/>
      <c r="H5352" s="6"/>
      <c r="I5352" s="6"/>
      <c r="J5352" s="6"/>
      <c r="K5352" s="6"/>
      <c r="L5352" s="6"/>
      <c r="M5352" s="6"/>
      <c r="N5352" s="6"/>
      <c r="O5352" s="6"/>
      <c r="P5352" s="6"/>
      <c r="Q5352" s="6"/>
      <c r="R5352" s="6"/>
      <c r="S5352" s="6"/>
      <c r="T5352" s="6"/>
      <c r="U5352" s="6"/>
      <c r="V5352" s="6"/>
      <c r="W5352" s="6"/>
      <c r="X5352" s="6"/>
      <c r="Y5352" s="6"/>
      <c r="Z5352" s="6"/>
    </row>
    <row r="5353" customFormat="false" ht="15" hidden="false" customHeight="false" outlineLevel="0" collapsed="false">
      <c r="A5353" s="9" t="s">
        <v>11272</v>
      </c>
      <c r="B5353" s="9" t="s">
        <v>11123</v>
      </c>
      <c r="C5353" s="9" t="s">
        <v>11273</v>
      </c>
      <c r="D5353" s="9" t="s">
        <v>11125</v>
      </c>
      <c r="E5353" s="9" t="str">
        <f aca="false">IF('Denial Worlds'!J81="PASS","PASS","FAIL")</f>
        <v>PASS</v>
      </c>
      <c r="F5353" s="9" t="s">
        <v>76</v>
      </c>
      <c r="G5353" s="6"/>
      <c r="H5353" s="6"/>
      <c r="I5353" s="6"/>
      <c r="J5353" s="6"/>
      <c r="K5353" s="6"/>
      <c r="L5353" s="6"/>
      <c r="M5353" s="6"/>
      <c r="N5353" s="6"/>
      <c r="O5353" s="6"/>
      <c r="P5353" s="6"/>
      <c r="Q5353" s="6"/>
      <c r="R5353" s="6"/>
      <c r="S5353" s="6"/>
      <c r="T5353" s="6"/>
      <c r="U5353" s="6"/>
      <c r="V5353" s="6"/>
      <c r="W5353" s="6"/>
      <c r="X5353" s="6"/>
      <c r="Y5353" s="6"/>
      <c r="Z5353" s="6"/>
    </row>
    <row r="5354" customFormat="false" ht="15" hidden="false" customHeight="false" outlineLevel="0" collapsed="false">
      <c r="A5354" s="9" t="s">
        <v>11274</v>
      </c>
      <c r="B5354" s="9" t="s">
        <v>11123</v>
      </c>
      <c r="C5354" s="9" t="s">
        <v>11275</v>
      </c>
      <c r="D5354" s="9" t="s">
        <v>11125</v>
      </c>
      <c r="E5354" s="9" t="str">
        <f aca="false">IF('Denial Worlds'!J82="PASS","PASS","FAIL")</f>
        <v>PASS</v>
      </c>
      <c r="F5354" s="9" t="s">
        <v>76</v>
      </c>
      <c r="G5354" s="6"/>
      <c r="H5354" s="6"/>
      <c r="I5354" s="6"/>
      <c r="J5354" s="6"/>
      <c r="K5354" s="6"/>
      <c r="L5354" s="6"/>
      <c r="M5354" s="6"/>
      <c r="N5354" s="6"/>
      <c r="O5354" s="6"/>
      <c r="P5354" s="6"/>
      <c r="Q5354" s="6"/>
      <c r="R5354" s="6"/>
      <c r="S5354" s="6"/>
      <c r="T5354" s="6"/>
      <c r="U5354" s="6"/>
      <c r="V5354" s="6"/>
      <c r="W5354" s="6"/>
      <c r="X5354" s="6"/>
      <c r="Y5354" s="6"/>
      <c r="Z5354" s="6"/>
    </row>
    <row r="5355" customFormat="false" ht="15" hidden="false" customHeight="false" outlineLevel="0" collapsed="false">
      <c r="A5355" s="9" t="s">
        <v>11276</v>
      </c>
      <c r="B5355" s="9" t="s">
        <v>11123</v>
      </c>
      <c r="C5355" s="9" t="s">
        <v>11277</v>
      </c>
      <c r="D5355" s="9" t="s">
        <v>11125</v>
      </c>
      <c r="E5355" s="9" t="str">
        <f aca="false">IF('Denial Worlds'!J83="PASS","PASS","FAIL")</f>
        <v>PASS</v>
      </c>
      <c r="F5355" s="9" t="s">
        <v>76</v>
      </c>
      <c r="G5355" s="6"/>
      <c r="H5355" s="6"/>
      <c r="I5355" s="6"/>
      <c r="J5355" s="6"/>
      <c r="K5355" s="6"/>
      <c r="L5355" s="6"/>
      <c r="M5355" s="6"/>
      <c r="N5355" s="6"/>
      <c r="O5355" s="6"/>
      <c r="P5355" s="6"/>
      <c r="Q5355" s="6"/>
      <c r="R5355" s="6"/>
      <c r="S5355" s="6"/>
      <c r="T5355" s="6"/>
      <c r="U5355" s="6"/>
      <c r="V5355" s="6"/>
      <c r="W5355" s="6"/>
      <c r="X5355" s="6"/>
      <c r="Y5355" s="6"/>
      <c r="Z5355" s="6"/>
    </row>
    <row r="5356" customFormat="false" ht="15" hidden="false" customHeight="false" outlineLevel="0" collapsed="false">
      <c r="A5356" s="9" t="s">
        <v>11278</v>
      </c>
      <c r="B5356" s="9" t="s">
        <v>11123</v>
      </c>
      <c r="C5356" s="9" t="s">
        <v>11279</v>
      </c>
      <c r="D5356" s="9" t="s">
        <v>11125</v>
      </c>
      <c r="E5356" s="9" t="str">
        <f aca="false">IF('Denial Worlds'!J84="PASS","PASS","FAIL")</f>
        <v>PASS</v>
      </c>
      <c r="F5356" s="9" t="s">
        <v>76</v>
      </c>
      <c r="G5356" s="6"/>
      <c r="H5356" s="6"/>
      <c r="I5356" s="6"/>
      <c r="J5356" s="6"/>
      <c r="K5356" s="6"/>
      <c r="L5356" s="6"/>
      <c r="M5356" s="6"/>
      <c r="N5356" s="6"/>
      <c r="O5356" s="6"/>
      <c r="P5356" s="6"/>
      <c r="Q5356" s="6"/>
      <c r="R5356" s="6"/>
      <c r="S5356" s="6"/>
      <c r="T5356" s="6"/>
      <c r="U5356" s="6"/>
      <c r="V5356" s="6"/>
      <c r="W5356" s="6"/>
      <c r="X5356" s="6"/>
      <c r="Y5356" s="6"/>
      <c r="Z5356" s="6"/>
    </row>
    <row r="5357" customFormat="false" ht="15" hidden="false" customHeight="false" outlineLevel="0" collapsed="false">
      <c r="A5357" s="9" t="s">
        <v>11280</v>
      </c>
      <c r="B5357" s="9" t="s">
        <v>11123</v>
      </c>
      <c r="C5357" s="9" t="s">
        <v>11281</v>
      </c>
      <c r="D5357" s="9" t="s">
        <v>11125</v>
      </c>
      <c r="E5357" s="9" t="str">
        <f aca="false">IF('Denial Worlds'!J85="PASS","PASS","FAIL")</f>
        <v>PASS</v>
      </c>
      <c r="F5357" s="9" t="s">
        <v>76</v>
      </c>
      <c r="G5357" s="6"/>
      <c r="H5357" s="6"/>
      <c r="I5357" s="6"/>
      <c r="J5357" s="6"/>
      <c r="K5357" s="6"/>
      <c r="L5357" s="6"/>
      <c r="M5357" s="6"/>
      <c r="N5357" s="6"/>
      <c r="O5357" s="6"/>
      <c r="P5357" s="6"/>
      <c r="Q5357" s="6"/>
      <c r="R5357" s="6"/>
      <c r="S5357" s="6"/>
      <c r="T5357" s="6"/>
      <c r="U5357" s="6"/>
      <c r="V5357" s="6"/>
      <c r="W5357" s="6"/>
      <c r="X5357" s="6"/>
      <c r="Y5357" s="6"/>
      <c r="Z5357" s="6"/>
    </row>
    <row r="5358" customFormat="false" ht="15" hidden="false" customHeight="false" outlineLevel="0" collapsed="false">
      <c r="A5358" s="9" t="s">
        <v>11282</v>
      </c>
      <c r="B5358" s="9" t="s">
        <v>11123</v>
      </c>
      <c r="C5358" s="9" t="s">
        <v>11283</v>
      </c>
      <c r="D5358" s="9" t="s">
        <v>11125</v>
      </c>
      <c r="E5358" s="9" t="str">
        <f aca="false">IF('Denial Worlds'!J86="PASS","PASS","FAIL")</f>
        <v>PASS</v>
      </c>
      <c r="F5358" s="9" t="s">
        <v>76</v>
      </c>
      <c r="G5358" s="6"/>
      <c r="H5358" s="6"/>
      <c r="I5358" s="6"/>
      <c r="J5358" s="6"/>
      <c r="K5358" s="6"/>
      <c r="L5358" s="6"/>
      <c r="M5358" s="6"/>
      <c r="N5358" s="6"/>
      <c r="O5358" s="6"/>
      <c r="P5358" s="6"/>
      <c r="Q5358" s="6"/>
      <c r="R5358" s="6"/>
      <c r="S5358" s="6"/>
      <c r="T5358" s="6"/>
      <c r="U5358" s="6"/>
      <c r="V5358" s="6"/>
      <c r="W5358" s="6"/>
      <c r="X5358" s="6"/>
      <c r="Y5358" s="6"/>
      <c r="Z5358" s="6"/>
    </row>
    <row r="5359" customFormat="false" ht="15" hidden="false" customHeight="false" outlineLevel="0" collapsed="false">
      <c r="A5359" s="9" t="s">
        <v>11284</v>
      </c>
      <c r="B5359" s="9" t="s">
        <v>11123</v>
      </c>
      <c r="C5359" s="9" t="s">
        <v>11285</v>
      </c>
      <c r="D5359" s="9" t="s">
        <v>11125</v>
      </c>
      <c r="E5359" s="9" t="str">
        <f aca="false">IF('Denial Worlds'!J87="PASS","PASS","FAIL")</f>
        <v>PASS</v>
      </c>
      <c r="F5359" s="9" t="s">
        <v>76</v>
      </c>
      <c r="G5359" s="6"/>
      <c r="H5359" s="6"/>
      <c r="I5359" s="6"/>
      <c r="J5359" s="6"/>
      <c r="K5359" s="6"/>
      <c r="L5359" s="6"/>
      <c r="M5359" s="6"/>
      <c r="N5359" s="6"/>
      <c r="O5359" s="6"/>
      <c r="P5359" s="6"/>
      <c r="Q5359" s="6"/>
      <c r="R5359" s="6"/>
      <c r="S5359" s="6"/>
      <c r="T5359" s="6"/>
      <c r="U5359" s="6"/>
      <c r="V5359" s="6"/>
      <c r="W5359" s="6"/>
      <c r="X5359" s="6"/>
      <c r="Y5359" s="6"/>
      <c r="Z5359" s="6"/>
    </row>
    <row r="5360" customFormat="false" ht="15" hidden="false" customHeight="false" outlineLevel="0" collapsed="false">
      <c r="A5360" s="9" t="s">
        <v>11286</v>
      </c>
      <c r="B5360" s="9" t="s">
        <v>11123</v>
      </c>
      <c r="C5360" s="9" t="s">
        <v>11287</v>
      </c>
      <c r="D5360" s="9" t="s">
        <v>11125</v>
      </c>
      <c r="E5360" s="9" t="str">
        <f aca="false">IF('Denial Worlds'!J88="PASS","PASS","FAIL")</f>
        <v>PASS</v>
      </c>
      <c r="F5360" s="9" t="s">
        <v>76</v>
      </c>
      <c r="G5360" s="6"/>
      <c r="H5360" s="6"/>
      <c r="I5360" s="6"/>
      <c r="J5360" s="6"/>
      <c r="K5360" s="6"/>
      <c r="L5360" s="6"/>
      <c r="M5360" s="6"/>
      <c r="N5360" s="6"/>
      <c r="O5360" s="6"/>
      <c r="P5360" s="6"/>
      <c r="Q5360" s="6"/>
      <c r="R5360" s="6"/>
      <c r="S5360" s="6"/>
      <c r="T5360" s="6"/>
      <c r="U5360" s="6"/>
      <c r="V5360" s="6"/>
      <c r="W5360" s="6"/>
      <c r="X5360" s="6"/>
      <c r="Y5360" s="6"/>
      <c r="Z5360" s="6"/>
    </row>
    <row r="5361" customFormat="false" ht="15" hidden="false" customHeight="false" outlineLevel="0" collapsed="false">
      <c r="A5361" s="9" t="s">
        <v>11288</v>
      </c>
      <c r="B5361" s="9" t="s">
        <v>11123</v>
      </c>
      <c r="C5361" s="9" t="s">
        <v>11289</v>
      </c>
      <c r="D5361" s="9" t="s">
        <v>11125</v>
      </c>
      <c r="E5361" s="9" t="str">
        <f aca="false">IF('Denial Worlds'!J89="PASS","PASS","FAIL")</f>
        <v>PASS</v>
      </c>
      <c r="F5361" s="9" t="s">
        <v>76</v>
      </c>
      <c r="G5361" s="6"/>
      <c r="H5361" s="6"/>
      <c r="I5361" s="6"/>
      <c r="J5361" s="6"/>
      <c r="K5361" s="6"/>
      <c r="L5361" s="6"/>
      <c r="M5361" s="6"/>
      <c r="N5361" s="6"/>
      <c r="O5361" s="6"/>
      <c r="P5361" s="6"/>
      <c r="Q5361" s="6"/>
      <c r="R5361" s="6"/>
      <c r="S5361" s="6"/>
      <c r="T5361" s="6"/>
      <c r="U5361" s="6"/>
      <c r="V5361" s="6"/>
      <c r="W5361" s="6"/>
      <c r="X5361" s="6"/>
      <c r="Y5361" s="6"/>
      <c r="Z5361" s="6"/>
    </row>
    <row r="5362" customFormat="false" ht="15" hidden="false" customHeight="false" outlineLevel="0" collapsed="false">
      <c r="A5362" s="9" t="s">
        <v>11290</v>
      </c>
      <c r="B5362" s="9" t="s">
        <v>11123</v>
      </c>
      <c r="C5362" s="9" t="s">
        <v>11291</v>
      </c>
      <c r="D5362" s="9" t="s">
        <v>11125</v>
      </c>
      <c r="E5362" s="9" t="str">
        <f aca="false">IF('Denial Worlds'!J90="PASS","PASS","FAIL")</f>
        <v>PASS</v>
      </c>
      <c r="F5362" s="9" t="s">
        <v>76</v>
      </c>
      <c r="G5362" s="6"/>
      <c r="H5362" s="6"/>
      <c r="I5362" s="6"/>
      <c r="J5362" s="6"/>
      <c r="K5362" s="6"/>
      <c r="L5362" s="6"/>
      <c r="M5362" s="6"/>
      <c r="N5362" s="6"/>
      <c r="O5362" s="6"/>
      <c r="P5362" s="6"/>
      <c r="Q5362" s="6"/>
      <c r="R5362" s="6"/>
      <c r="S5362" s="6"/>
      <c r="T5362" s="6"/>
      <c r="U5362" s="6"/>
      <c r="V5362" s="6"/>
      <c r="W5362" s="6"/>
      <c r="X5362" s="6"/>
      <c r="Y5362" s="6"/>
      <c r="Z5362" s="6"/>
    </row>
    <row r="5363" customFormat="false" ht="15" hidden="false" customHeight="false" outlineLevel="0" collapsed="false">
      <c r="A5363" s="9" t="s">
        <v>11292</v>
      </c>
      <c r="B5363" s="9" t="s">
        <v>11123</v>
      </c>
      <c r="C5363" s="9" t="s">
        <v>11293</v>
      </c>
      <c r="D5363" s="9" t="s">
        <v>11125</v>
      </c>
      <c r="E5363" s="9" t="str">
        <f aca="false">IF('Denial Worlds'!J91="PASS","PASS","FAIL")</f>
        <v>PASS</v>
      </c>
      <c r="F5363" s="9" t="s">
        <v>76</v>
      </c>
      <c r="G5363" s="6"/>
      <c r="H5363" s="6"/>
      <c r="I5363" s="6"/>
      <c r="J5363" s="6"/>
      <c r="K5363" s="6"/>
      <c r="L5363" s="6"/>
      <c r="M5363" s="6"/>
      <c r="N5363" s="6"/>
      <c r="O5363" s="6"/>
      <c r="P5363" s="6"/>
      <c r="Q5363" s="6"/>
      <c r="R5363" s="6"/>
      <c r="S5363" s="6"/>
      <c r="T5363" s="6"/>
      <c r="U5363" s="6"/>
      <c r="V5363" s="6"/>
      <c r="W5363" s="6"/>
      <c r="X5363" s="6"/>
      <c r="Y5363" s="6"/>
      <c r="Z5363" s="6"/>
    </row>
    <row r="5364" customFormat="false" ht="15" hidden="false" customHeight="false" outlineLevel="0" collapsed="false">
      <c r="A5364" s="9" t="s">
        <v>11294</v>
      </c>
      <c r="B5364" s="9" t="s">
        <v>11123</v>
      </c>
      <c r="C5364" s="9" t="s">
        <v>11295</v>
      </c>
      <c r="D5364" s="9" t="s">
        <v>11125</v>
      </c>
      <c r="E5364" s="9" t="str">
        <f aca="false">IF('Denial Worlds'!J92="PASS","PASS","FAIL")</f>
        <v>PASS</v>
      </c>
      <c r="F5364" s="9" t="s">
        <v>76</v>
      </c>
      <c r="G5364" s="6"/>
      <c r="H5364" s="6"/>
      <c r="I5364" s="6"/>
      <c r="J5364" s="6"/>
      <c r="K5364" s="6"/>
      <c r="L5364" s="6"/>
      <c r="M5364" s="6"/>
      <c r="N5364" s="6"/>
      <c r="O5364" s="6"/>
      <c r="P5364" s="6"/>
      <c r="Q5364" s="6"/>
      <c r="R5364" s="6"/>
      <c r="S5364" s="6"/>
      <c r="T5364" s="6"/>
      <c r="U5364" s="6"/>
      <c r="V5364" s="6"/>
      <c r="W5364" s="6"/>
      <c r="X5364" s="6"/>
      <c r="Y5364" s="6"/>
      <c r="Z5364" s="6"/>
    </row>
    <row r="5365" customFormat="false" ht="15" hidden="false" customHeight="false" outlineLevel="0" collapsed="false">
      <c r="A5365" s="9" t="s">
        <v>11296</v>
      </c>
      <c r="B5365" s="9" t="s">
        <v>11123</v>
      </c>
      <c r="C5365" s="9" t="s">
        <v>11297</v>
      </c>
      <c r="D5365" s="9" t="s">
        <v>11125</v>
      </c>
      <c r="E5365" s="9" t="str">
        <f aca="false">IF('Denial Worlds'!J93="PASS","PASS","FAIL")</f>
        <v>PASS</v>
      </c>
      <c r="F5365" s="9" t="s">
        <v>76</v>
      </c>
      <c r="G5365" s="6"/>
      <c r="H5365" s="6"/>
      <c r="I5365" s="6"/>
      <c r="J5365" s="6"/>
      <c r="K5365" s="6"/>
      <c r="L5365" s="6"/>
      <c r="M5365" s="6"/>
      <c r="N5365" s="6"/>
      <c r="O5365" s="6"/>
      <c r="P5365" s="6"/>
      <c r="Q5365" s="6"/>
      <c r="R5365" s="6"/>
      <c r="S5365" s="6"/>
      <c r="T5365" s="6"/>
      <c r="U5365" s="6"/>
      <c r="V5365" s="6"/>
      <c r="W5365" s="6"/>
      <c r="X5365" s="6"/>
      <c r="Y5365" s="6"/>
      <c r="Z5365" s="6"/>
    </row>
    <row r="5366" customFormat="false" ht="15" hidden="false" customHeight="false" outlineLevel="0" collapsed="false">
      <c r="A5366" s="9" t="s">
        <v>11298</v>
      </c>
      <c r="B5366" s="9" t="s">
        <v>11123</v>
      </c>
      <c r="C5366" s="9" t="s">
        <v>11299</v>
      </c>
      <c r="D5366" s="9" t="s">
        <v>11125</v>
      </c>
      <c r="E5366" s="9" t="str">
        <f aca="false">IF('Denial Worlds'!J94="PASS","PASS","FAIL")</f>
        <v>PASS</v>
      </c>
      <c r="F5366" s="9" t="s">
        <v>76</v>
      </c>
      <c r="G5366" s="6"/>
      <c r="H5366" s="6"/>
      <c r="I5366" s="6"/>
      <c r="J5366" s="6"/>
      <c r="K5366" s="6"/>
      <c r="L5366" s="6"/>
      <c r="M5366" s="6"/>
      <c r="N5366" s="6"/>
      <c r="O5366" s="6"/>
      <c r="P5366" s="6"/>
      <c r="Q5366" s="6"/>
      <c r="R5366" s="6"/>
      <c r="S5366" s="6"/>
      <c r="T5366" s="6"/>
      <c r="U5366" s="6"/>
      <c r="V5366" s="6"/>
      <c r="W5366" s="6"/>
      <c r="X5366" s="6"/>
      <c r="Y5366" s="6"/>
      <c r="Z5366" s="6"/>
    </row>
    <row r="5367" customFormat="false" ht="15" hidden="false" customHeight="false" outlineLevel="0" collapsed="false">
      <c r="A5367" s="9" t="s">
        <v>11300</v>
      </c>
      <c r="B5367" s="9" t="s">
        <v>11123</v>
      </c>
      <c r="C5367" s="9" t="s">
        <v>11301</v>
      </c>
      <c r="D5367" s="9" t="s">
        <v>11125</v>
      </c>
      <c r="E5367" s="9" t="str">
        <f aca="false">IF('Denial Worlds'!J95="PASS","PASS","FAIL")</f>
        <v>PASS</v>
      </c>
      <c r="F5367" s="9" t="s">
        <v>76</v>
      </c>
      <c r="G5367" s="6"/>
      <c r="H5367" s="6"/>
      <c r="I5367" s="6"/>
      <c r="J5367" s="6"/>
      <c r="K5367" s="6"/>
      <c r="L5367" s="6"/>
      <c r="M5367" s="6"/>
      <c r="N5367" s="6"/>
      <c r="O5367" s="6"/>
      <c r="P5367" s="6"/>
      <c r="Q5367" s="6"/>
      <c r="R5367" s="6"/>
      <c r="S5367" s="6"/>
      <c r="T5367" s="6"/>
      <c r="U5367" s="6"/>
      <c r="V5367" s="6"/>
      <c r="W5367" s="6"/>
      <c r="X5367" s="6"/>
      <c r="Y5367" s="6"/>
      <c r="Z5367" s="6"/>
    </row>
    <row r="5368" customFormat="false" ht="15" hidden="false" customHeight="false" outlineLevel="0" collapsed="false">
      <c r="A5368" s="9" t="s">
        <v>11302</v>
      </c>
      <c r="B5368" s="9" t="s">
        <v>11123</v>
      </c>
      <c r="C5368" s="9" t="s">
        <v>11303</v>
      </c>
      <c r="D5368" s="9" t="s">
        <v>11125</v>
      </c>
      <c r="E5368" s="9" t="str">
        <f aca="false">IF('Denial Worlds'!J96="PASS","PASS","FAIL")</f>
        <v>PASS</v>
      </c>
      <c r="F5368" s="9" t="s">
        <v>76</v>
      </c>
      <c r="G5368" s="6"/>
      <c r="H5368" s="6"/>
      <c r="I5368" s="6"/>
      <c r="J5368" s="6"/>
      <c r="K5368" s="6"/>
      <c r="L5368" s="6"/>
      <c r="M5368" s="6"/>
      <c r="N5368" s="6"/>
      <c r="O5368" s="6"/>
      <c r="P5368" s="6"/>
      <c r="Q5368" s="6"/>
      <c r="R5368" s="6"/>
      <c r="S5368" s="6"/>
      <c r="T5368" s="6"/>
      <c r="U5368" s="6"/>
      <c r="V5368" s="6"/>
      <c r="W5368" s="6"/>
      <c r="X5368" s="6"/>
      <c r="Y5368" s="6"/>
      <c r="Z5368" s="6"/>
    </row>
    <row r="5369" customFormat="false" ht="15" hidden="false" customHeight="false" outlineLevel="0" collapsed="false">
      <c r="A5369" s="9" t="s">
        <v>11304</v>
      </c>
      <c r="B5369" s="9" t="s">
        <v>11123</v>
      </c>
      <c r="C5369" s="9" t="s">
        <v>11305</v>
      </c>
      <c r="D5369" s="9" t="s">
        <v>11125</v>
      </c>
      <c r="E5369" s="9" t="str">
        <f aca="false">IF('Denial Worlds'!J97="PASS","PASS","FAIL")</f>
        <v>PASS</v>
      </c>
      <c r="F5369" s="9" t="s">
        <v>76</v>
      </c>
      <c r="G5369" s="6"/>
      <c r="H5369" s="6"/>
      <c r="I5369" s="6"/>
      <c r="J5369" s="6"/>
      <c r="K5369" s="6"/>
      <c r="L5369" s="6"/>
      <c r="M5369" s="6"/>
      <c r="N5369" s="6"/>
      <c r="O5369" s="6"/>
      <c r="P5369" s="6"/>
      <c r="Q5369" s="6"/>
      <c r="R5369" s="6"/>
      <c r="S5369" s="6"/>
      <c r="T5369" s="6"/>
      <c r="U5369" s="6"/>
      <c r="V5369" s="6"/>
      <c r="W5369" s="6"/>
      <c r="X5369" s="6"/>
      <c r="Y5369" s="6"/>
      <c r="Z5369" s="6"/>
    </row>
    <row r="5370" customFormat="false" ht="15" hidden="false" customHeight="false" outlineLevel="0" collapsed="false">
      <c r="A5370" s="9" t="s">
        <v>11306</v>
      </c>
      <c r="B5370" s="9" t="s">
        <v>11123</v>
      </c>
      <c r="C5370" s="9" t="s">
        <v>11307</v>
      </c>
      <c r="D5370" s="9" t="s">
        <v>11125</v>
      </c>
      <c r="E5370" s="9" t="str">
        <f aca="false">IF('Denial Worlds'!J98="PASS","PASS","FAIL")</f>
        <v>PASS</v>
      </c>
      <c r="F5370" s="9" t="s">
        <v>76</v>
      </c>
      <c r="G5370" s="6"/>
      <c r="H5370" s="6"/>
      <c r="I5370" s="6"/>
      <c r="J5370" s="6"/>
      <c r="K5370" s="6"/>
      <c r="L5370" s="6"/>
      <c r="M5370" s="6"/>
      <c r="N5370" s="6"/>
      <c r="O5370" s="6"/>
      <c r="P5370" s="6"/>
      <c r="Q5370" s="6"/>
      <c r="R5370" s="6"/>
      <c r="S5370" s="6"/>
      <c r="T5370" s="6"/>
      <c r="U5370" s="6"/>
      <c r="V5370" s="6"/>
      <c r="W5370" s="6"/>
      <c r="X5370" s="6"/>
      <c r="Y5370" s="6"/>
      <c r="Z5370" s="6"/>
    </row>
    <row r="5371" customFormat="false" ht="15" hidden="false" customHeight="false" outlineLevel="0" collapsed="false">
      <c r="A5371" s="9" t="s">
        <v>11308</v>
      </c>
      <c r="B5371" s="9" t="s">
        <v>11123</v>
      </c>
      <c r="C5371" s="9" t="s">
        <v>11309</v>
      </c>
      <c r="D5371" s="9" t="s">
        <v>11125</v>
      </c>
      <c r="E5371" s="9" t="str">
        <f aca="false">IF('Denial Worlds'!J99="PASS","PASS","FAIL")</f>
        <v>PASS</v>
      </c>
      <c r="F5371" s="9" t="s">
        <v>76</v>
      </c>
      <c r="G5371" s="6"/>
      <c r="H5371" s="6"/>
      <c r="I5371" s="6"/>
      <c r="J5371" s="6"/>
      <c r="K5371" s="6"/>
      <c r="L5371" s="6"/>
      <c r="M5371" s="6"/>
      <c r="N5371" s="6"/>
      <c r="O5371" s="6"/>
      <c r="P5371" s="6"/>
      <c r="Q5371" s="6"/>
      <c r="R5371" s="6"/>
      <c r="S5371" s="6"/>
      <c r="T5371" s="6"/>
      <c r="U5371" s="6"/>
      <c r="V5371" s="6"/>
      <c r="W5371" s="6"/>
      <c r="X5371" s="6"/>
      <c r="Y5371" s="6"/>
      <c r="Z5371" s="6"/>
    </row>
    <row r="5372" customFormat="false" ht="15" hidden="false" customHeight="false" outlineLevel="0" collapsed="false">
      <c r="A5372" s="9" t="s">
        <v>11310</v>
      </c>
      <c r="B5372" s="9" t="s">
        <v>11123</v>
      </c>
      <c r="C5372" s="9" t="s">
        <v>11311</v>
      </c>
      <c r="D5372" s="9" t="s">
        <v>11125</v>
      </c>
      <c r="E5372" s="9" t="str">
        <f aca="false">IF('Denial Worlds'!J100="PASS","PASS","FAIL")</f>
        <v>PASS</v>
      </c>
      <c r="F5372" s="9" t="s">
        <v>76</v>
      </c>
      <c r="G5372" s="6"/>
      <c r="H5372" s="6"/>
      <c r="I5372" s="6"/>
      <c r="J5372" s="6"/>
      <c r="K5372" s="6"/>
      <c r="L5372" s="6"/>
      <c r="M5372" s="6"/>
      <c r="N5372" s="6"/>
      <c r="O5372" s="6"/>
      <c r="P5372" s="6"/>
      <c r="Q5372" s="6"/>
      <c r="R5372" s="6"/>
      <c r="S5372" s="6"/>
      <c r="T5372" s="6"/>
      <c r="U5372" s="6"/>
      <c r="V5372" s="6"/>
      <c r="W5372" s="6"/>
      <c r="X5372" s="6"/>
      <c r="Y5372" s="6"/>
      <c r="Z5372" s="6"/>
    </row>
    <row r="5373" customFormat="false" ht="15" hidden="false" customHeight="false" outlineLevel="0" collapsed="false">
      <c r="A5373" s="9" t="s">
        <v>11312</v>
      </c>
      <c r="B5373" s="9" t="s">
        <v>11123</v>
      </c>
      <c r="C5373" s="9" t="s">
        <v>11313</v>
      </c>
      <c r="D5373" s="9" t="s">
        <v>11125</v>
      </c>
      <c r="E5373" s="9" t="str">
        <f aca="false">IF('Denial Worlds'!J101="PASS","PASS","FAIL")</f>
        <v>PASS</v>
      </c>
      <c r="F5373" s="9" t="s">
        <v>76</v>
      </c>
      <c r="G5373" s="6"/>
      <c r="H5373" s="6"/>
      <c r="I5373" s="6"/>
      <c r="J5373" s="6"/>
      <c r="K5373" s="6"/>
      <c r="L5373" s="6"/>
      <c r="M5373" s="6"/>
      <c r="N5373" s="6"/>
      <c r="O5373" s="6"/>
      <c r="P5373" s="6"/>
      <c r="Q5373" s="6"/>
      <c r="R5373" s="6"/>
      <c r="S5373" s="6"/>
      <c r="T5373" s="6"/>
      <c r="U5373" s="6"/>
      <c r="V5373" s="6"/>
      <c r="W5373" s="6"/>
      <c r="X5373" s="6"/>
      <c r="Y5373" s="6"/>
      <c r="Z5373" s="6"/>
    </row>
    <row r="5374" customFormat="false" ht="15" hidden="false" customHeight="false" outlineLevel="0" collapsed="false">
      <c r="A5374" s="9" t="s">
        <v>11314</v>
      </c>
      <c r="B5374" s="9" t="s">
        <v>11123</v>
      </c>
      <c r="C5374" s="9" t="s">
        <v>11315</v>
      </c>
      <c r="D5374" s="9" t="s">
        <v>11125</v>
      </c>
      <c r="E5374" s="9" t="str">
        <f aca="false">IF('Denial Worlds'!J102="PASS","PASS","FAIL")</f>
        <v>PASS</v>
      </c>
      <c r="F5374" s="9" t="s">
        <v>76</v>
      </c>
      <c r="G5374" s="6"/>
      <c r="H5374" s="6"/>
      <c r="I5374" s="6"/>
      <c r="J5374" s="6"/>
      <c r="K5374" s="6"/>
      <c r="L5374" s="6"/>
      <c r="M5374" s="6"/>
      <c r="N5374" s="6"/>
      <c r="O5374" s="6"/>
      <c r="P5374" s="6"/>
      <c r="Q5374" s="6"/>
      <c r="R5374" s="6"/>
      <c r="S5374" s="6"/>
      <c r="T5374" s="6"/>
      <c r="U5374" s="6"/>
      <c r="V5374" s="6"/>
      <c r="W5374" s="6"/>
      <c r="X5374" s="6"/>
      <c r="Y5374" s="6"/>
      <c r="Z5374" s="6"/>
    </row>
    <row r="5375" customFormat="false" ht="15" hidden="false" customHeight="false" outlineLevel="0" collapsed="false">
      <c r="A5375" s="9" t="s">
        <v>11316</v>
      </c>
      <c r="B5375" s="9" t="s">
        <v>11123</v>
      </c>
      <c r="C5375" s="9" t="s">
        <v>11317</v>
      </c>
      <c r="D5375" s="9" t="s">
        <v>11125</v>
      </c>
      <c r="E5375" s="9" t="str">
        <f aca="false">IF('Denial Worlds'!J103="PASS","PASS","FAIL")</f>
        <v>PASS</v>
      </c>
      <c r="F5375" s="9" t="s">
        <v>76</v>
      </c>
      <c r="G5375" s="6"/>
      <c r="H5375" s="6"/>
      <c r="I5375" s="6"/>
      <c r="J5375" s="6"/>
      <c r="K5375" s="6"/>
      <c r="L5375" s="6"/>
      <c r="M5375" s="6"/>
      <c r="N5375" s="6"/>
      <c r="O5375" s="6"/>
      <c r="P5375" s="6"/>
      <c r="Q5375" s="6"/>
      <c r="R5375" s="6"/>
      <c r="S5375" s="6"/>
      <c r="T5375" s="6"/>
      <c r="U5375" s="6"/>
      <c r="V5375" s="6"/>
      <c r="W5375" s="6"/>
      <c r="X5375" s="6"/>
      <c r="Y5375" s="6"/>
      <c r="Z5375" s="6"/>
    </row>
    <row r="5376" customFormat="false" ht="15" hidden="false" customHeight="false" outlineLevel="0" collapsed="false">
      <c r="A5376" s="9" t="s">
        <v>11318</v>
      </c>
      <c r="B5376" s="9" t="s">
        <v>11123</v>
      </c>
      <c r="C5376" s="9" t="s">
        <v>11319</v>
      </c>
      <c r="D5376" s="9" t="s">
        <v>11125</v>
      </c>
      <c r="E5376" s="9" t="str">
        <f aca="false">IF('Denial Worlds'!J104="PASS","PASS","FAIL")</f>
        <v>PASS</v>
      </c>
      <c r="F5376" s="9" t="s">
        <v>76</v>
      </c>
      <c r="G5376" s="6"/>
      <c r="H5376" s="6"/>
      <c r="I5376" s="6"/>
      <c r="J5376" s="6"/>
      <c r="K5376" s="6"/>
      <c r="L5376" s="6"/>
      <c r="M5376" s="6"/>
      <c r="N5376" s="6"/>
      <c r="O5376" s="6"/>
      <c r="P5376" s="6"/>
      <c r="Q5376" s="6"/>
      <c r="R5376" s="6"/>
      <c r="S5376" s="6"/>
      <c r="T5376" s="6"/>
      <c r="U5376" s="6"/>
      <c r="V5376" s="6"/>
      <c r="W5376" s="6"/>
      <c r="X5376" s="6"/>
      <c r="Y5376" s="6"/>
      <c r="Z5376" s="6"/>
    </row>
    <row r="5377" customFormat="false" ht="15" hidden="false" customHeight="false" outlineLevel="0" collapsed="false">
      <c r="A5377" s="9" t="s">
        <v>11320</v>
      </c>
      <c r="B5377" s="9" t="s">
        <v>11123</v>
      </c>
      <c r="C5377" s="9" t="s">
        <v>11321</v>
      </c>
      <c r="D5377" s="9" t="s">
        <v>11125</v>
      </c>
      <c r="E5377" s="9" t="str">
        <f aca="false">IF('Denial Worlds'!J105="PASS","PASS","FAIL")</f>
        <v>PASS</v>
      </c>
      <c r="F5377" s="9" t="s">
        <v>76</v>
      </c>
      <c r="G5377" s="6"/>
      <c r="H5377" s="6"/>
      <c r="I5377" s="6"/>
      <c r="J5377" s="6"/>
      <c r="K5377" s="6"/>
      <c r="L5377" s="6"/>
      <c r="M5377" s="6"/>
      <c r="N5377" s="6"/>
      <c r="O5377" s="6"/>
      <c r="P5377" s="6"/>
      <c r="Q5377" s="6"/>
      <c r="R5377" s="6"/>
      <c r="S5377" s="6"/>
      <c r="T5377" s="6"/>
      <c r="U5377" s="6"/>
      <c r="V5377" s="6"/>
      <c r="W5377" s="6"/>
      <c r="X5377" s="6"/>
      <c r="Y5377" s="6"/>
      <c r="Z5377" s="6"/>
    </row>
    <row r="5378" customFormat="false" ht="15" hidden="false" customHeight="false" outlineLevel="0" collapsed="false">
      <c r="A5378" s="9" t="s">
        <v>11322</v>
      </c>
      <c r="B5378" s="9" t="s">
        <v>11123</v>
      </c>
      <c r="C5378" s="9" t="s">
        <v>11323</v>
      </c>
      <c r="D5378" s="9" t="s">
        <v>11125</v>
      </c>
      <c r="E5378" s="9" t="str">
        <f aca="false">IF('Denial Worlds'!J106="PASS","PASS","FAIL")</f>
        <v>PASS</v>
      </c>
      <c r="F5378" s="9" t="s">
        <v>76</v>
      </c>
      <c r="G5378" s="6"/>
      <c r="H5378" s="6"/>
      <c r="I5378" s="6"/>
      <c r="J5378" s="6"/>
      <c r="K5378" s="6"/>
      <c r="L5378" s="6"/>
      <c r="M5378" s="6"/>
      <c r="N5378" s="6"/>
      <c r="O5378" s="6"/>
      <c r="P5378" s="6"/>
      <c r="Q5378" s="6"/>
      <c r="R5378" s="6"/>
      <c r="S5378" s="6"/>
      <c r="T5378" s="6"/>
      <c r="U5378" s="6"/>
      <c r="V5378" s="6"/>
      <c r="W5378" s="6"/>
      <c r="X5378" s="6"/>
      <c r="Y5378" s="6"/>
      <c r="Z5378" s="6"/>
    </row>
    <row r="5379" customFormat="false" ht="15" hidden="false" customHeight="false" outlineLevel="0" collapsed="false">
      <c r="A5379" s="9" t="s">
        <v>11324</v>
      </c>
      <c r="B5379" s="9" t="s">
        <v>11123</v>
      </c>
      <c r="C5379" s="9" t="s">
        <v>11325</v>
      </c>
      <c r="D5379" s="9" t="s">
        <v>11125</v>
      </c>
      <c r="E5379" s="9" t="str">
        <f aca="false">IF('Denial Worlds'!J107="PASS","PASS","FAIL")</f>
        <v>PASS</v>
      </c>
      <c r="F5379" s="9" t="s">
        <v>76</v>
      </c>
      <c r="G5379" s="6"/>
      <c r="H5379" s="6"/>
      <c r="I5379" s="6"/>
      <c r="J5379" s="6"/>
      <c r="K5379" s="6"/>
      <c r="L5379" s="6"/>
      <c r="M5379" s="6"/>
      <c r="N5379" s="6"/>
      <c r="O5379" s="6"/>
      <c r="P5379" s="6"/>
      <c r="Q5379" s="6"/>
      <c r="R5379" s="6"/>
      <c r="S5379" s="6"/>
      <c r="T5379" s="6"/>
      <c r="U5379" s="6"/>
      <c r="V5379" s="6"/>
      <c r="W5379" s="6"/>
      <c r="X5379" s="6"/>
      <c r="Y5379" s="6"/>
      <c r="Z5379" s="6"/>
    </row>
    <row r="5380" customFormat="false" ht="15" hidden="false" customHeight="false" outlineLevel="0" collapsed="false">
      <c r="A5380" s="9" t="s">
        <v>11326</v>
      </c>
      <c r="B5380" s="9" t="s">
        <v>11123</v>
      </c>
      <c r="C5380" s="9" t="s">
        <v>11327</v>
      </c>
      <c r="D5380" s="9" t="s">
        <v>11125</v>
      </c>
      <c r="E5380" s="9" t="str">
        <f aca="false">IF('Denial Worlds'!J108="PASS","PASS","FAIL")</f>
        <v>PASS</v>
      </c>
      <c r="F5380" s="9" t="s">
        <v>76</v>
      </c>
      <c r="G5380" s="6"/>
      <c r="H5380" s="6"/>
      <c r="I5380" s="6"/>
      <c r="J5380" s="6"/>
      <c r="K5380" s="6"/>
      <c r="L5380" s="6"/>
      <c r="M5380" s="6"/>
      <c r="N5380" s="6"/>
      <c r="O5380" s="6"/>
      <c r="P5380" s="6"/>
      <c r="Q5380" s="6"/>
      <c r="R5380" s="6"/>
      <c r="S5380" s="6"/>
      <c r="T5380" s="6"/>
      <c r="U5380" s="6"/>
      <c r="V5380" s="6"/>
      <c r="W5380" s="6"/>
      <c r="X5380" s="6"/>
      <c r="Y5380" s="6"/>
      <c r="Z5380" s="6"/>
    </row>
    <row r="5381" customFormat="false" ht="15" hidden="false" customHeight="false" outlineLevel="0" collapsed="false">
      <c r="A5381" s="9" t="s">
        <v>11328</v>
      </c>
      <c r="B5381" s="9" t="s">
        <v>11123</v>
      </c>
      <c r="C5381" s="9" t="s">
        <v>11329</v>
      </c>
      <c r="D5381" s="9" t="s">
        <v>11125</v>
      </c>
      <c r="E5381" s="9" t="str">
        <f aca="false">IF('Denial Worlds'!J109="PASS","PASS","FAIL")</f>
        <v>PASS</v>
      </c>
      <c r="F5381" s="9" t="s">
        <v>76</v>
      </c>
      <c r="G5381" s="6"/>
      <c r="H5381" s="6"/>
      <c r="I5381" s="6"/>
      <c r="J5381" s="6"/>
      <c r="K5381" s="6"/>
      <c r="L5381" s="6"/>
      <c r="M5381" s="6"/>
      <c r="N5381" s="6"/>
      <c r="O5381" s="6"/>
      <c r="P5381" s="6"/>
      <c r="Q5381" s="6"/>
      <c r="R5381" s="6"/>
      <c r="S5381" s="6"/>
      <c r="T5381" s="6"/>
      <c r="U5381" s="6"/>
      <c r="V5381" s="6"/>
      <c r="W5381" s="6"/>
      <c r="X5381" s="6"/>
      <c r="Y5381" s="6"/>
      <c r="Z5381" s="6"/>
    </row>
    <row r="5382" customFormat="false" ht="15" hidden="false" customHeight="false" outlineLevel="0" collapsed="false">
      <c r="A5382" s="9" t="s">
        <v>11330</v>
      </c>
      <c r="B5382" s="9" t="s">
        <v>11123</v>
      </c>
      <c r="C5382" s="9" t="s">
        <v>11331</v>
      </c>
      <c r="D5382" s="9" t="s">
        <v>11125</v>
      </c>
      <c r="E5382" s="9" t="str">
        <f aca="false">IF('Denial Worlds'!J110="PASS","PASS","FAIL")</f>
        <v>PASS</v>
      </c>
      <c r="F5382" s="9" t="s">
        <v>76</v>
      </c>
      <c r="G5382" s="6"/>
      <c r="H5382" s="6"/>
      <c r="I5382" s="6"/>
      <c r="J5382" s="6"/>
      <c r="K5382" s="6"/>
      <c r="L5382" s="6"/>
      <c r="M5382" s="6"/>
      <c r="N5382" s="6"/>
      <c r="O5382" s="6"/>
      <c r="P5382" s="6"/>
      <c r="Q5382" s="6"/>
      <c r="R5382" s="6"/>
      <c r="S5382" s="6"/>
      <c r="T5382" s="6"/>
      <c r="U5382" s="6"/>
      <c r="V5382" s="6"/>
      <c r="W5382" s="6"/>
      <c r="X5382" s="6"/>
      <c r="Y5382" s="6"/>
      <c r="Z5382" s="6"/>
    </row>
    <row r="5383" customFormat="false" ht="15" hidden="false" customHeight="false" outlineLevel="0" collapsed="false">
      <c r="A5383" s="9" t="s">
        <v>11332</v>
      </c>
      <c r="B5383" s="9" t="s">
        <v>11123</v>
      </c>
      <c r="C5383" s="9" t="s">
        <v>11333</v>
      </c>
      <c r="D5383" s="9" t="s">
        <v>11125</v>
      </c>
      <c r="E5383" s="9" t="str">
        <f aca="false">IF('Denial Worlds'!J111="PASS","PASS","FAIL")</f>
        <v>PASS</v>
      </c>
      <c r="F5383" s="9" t="s">
        <v>76</v>
      </c>
      <c r="G5383" s="6"/>
      <c r="H5383" s="6"/>
      <c r="I5383" s="6"/>
      <c r="J5383" s="6"/>
      <c r="K5383" s="6"/>
      <c r="L5383" s="6"/>
      <c r="M5383" s="6"/>
      <c r="N5383" s="6"/>
      <c r="O5383" s="6"/>
      <c r="P5383" s="6"/>
      <c r="Q5383" s="6"/>
      <c r="R5383" s="6"/>
      <c r="S5383" s="6"/>
      <c r="T5383" s="6"/>
      <c r="U5383" s="6"/>
      <c r="V5383" s="6"/>
      <c r="W5383" s="6"/>
      <c r="X5383" s="6"/>
      <c r="Y5383" s="6"/>
      <c r="Z5383" s="6"/>
    </row>
    <row r="5384" customFormat="false" ht="15" hidden="false" customHeight="false" outlineLevel="0" collapsed="false">
      <c r="A5384" s="9" t="s">
        <v>11334</v>
      </c>
      <c r="B5384" s="9" t="s">
        <v>11123</v>
      </c>
      <c r="C5384" s="9" t="s">
        <v>11335</v>
      </c>
      <c r="D5384" s="9" t="s">
        <v>11125</v>
      </c>
      <c r="E5384" s="9" t="str">
        <f aca="false">IF('Denial Worlds'!J112="PASS","PASS","FAIL")</f>
        <v>PASS</v>
      </c>
      <c r="F5384" s="9" t="s">
        <v>76</v>
      </c>
      <c r="G5384" s="6"/>
      <c r="H5384" s="6"/>
      <c r="I5384" s="6"/>
      <c r="J5384" s="6"/>
      <c r="K5384" s="6"/>
      <c r="L5384" s="6"/>
      <c r="M5384" s="6"/>
      <c r="N5384" s="6"/>
      <c r="O5384" s="6"/>
      <c r="P5384" s="6"/>
      <c r="Q5384" s="6"/>
      <c r="R5384" s="6"/>
      <c r="S5384" s="6"/>
      <c r="T5384" s="6"/>
      <c r="U5384" s="6"/>
      <c r="V5384" s="6"/>
      <c r="W5384" s="6"/>
      <c r="X5384" s="6"/>
      <c r="Y5384" s="6"/>
      <c r="Z5384" s="6"/>
    </row>
    <row r="5385" customFormat="false" ht="15" hidden="false" customHeight="false" outlineLevel="0" collapsed="false">
      <c r="A5385" s="9" t="s">
        <v>11336</v>
      </c>
      <c r="B5385" s="9" t="s">
        <v>11123</v>
      </c>
      <c r="C5385" s="9" t="s">
        <v>11337</v>
      </c>
      <c r="D5385" s="9" t="s">
        <v>11125</v>
      </c>
      <c r="E5385" s="9" t="str">
        <f aca="false">IF('Denial Worlds'!J113="PASS","PASS","FAIL")</f>
        <v>PASS</v>
      </c>
      <c r="F5385" s="9" t="s">
        <v>76</v>
      </c>
      <c r="G5385" s="6"/>
      <c r="H5385" s="6"/>
      <c r="I5385" s="6"/>
      <c r="J5385" s="6"/>
      <c r="K5385" s="6"/>
      <c r="L5385" s="6"/>
      <c r="M5385" s="6"/>
      <c r="N5385" s="6"/>
      <c r="O5385" s="6"/>
      <c r="P5385" s="6"/>
      <c r="Q5385" s="6"/>
      <c r="R5385" s="6"/>
      <c r="S5385" s="6"/>
      <c r="T5385" s="6"/>
      <c r="U5385" s="6"/>
      <c r="V5385" s="6"/>
      <c r="W5385" s="6"/>
      <c r="X5385" s="6"/>
      <c r="Y5385" s="6"/>
      <c r="Z5385" s="6"/>
    </row>
    <row r="5386" customFormat="false" ht="15" hidden="false" customHeight="false" outlineLevel="0" collapsed="false">
      <c r="A5386" s="9" t="s">
        <v>11338</v>
      </c>
      <c r="B5386" s="9" t="s">
        <v>11123</v>
      </c>
      <c r="C5386" s="9" t="s">
        <v>11339</v>
      </c>
      <c r="D5386" s="9" t="s">
        <v>11125</v>
      </c>
      <c r="E5386" s="9" t="str">
        <f aca="false">IF('Denial Worlds'!J114="PASS","PASS","FAIL")</f>
        <v>PASS</v>
      </c>
      <c r="F5386" s="9" t="s">
        <v>76</v>
      </c>
      <c r="G5386" s="6"/>
      <c r="H5386" s="6"/>
      <c r="I5386" s="6"/>
      <c r="J5386" s="6"/>
      <c r="K5386" s="6"/>
      <c r="L5386" s="6"/>
      <c r="M5386" s="6"/>
      <c r="N5386" s="6"/>
      <c r="O5386" s="6"/>
      <c r="P5386" s="6"/>
      <c r="Q5386" s="6"/>
      <c r="R5386" s="6"/>
      <c r="S5386" s="6"/>
      <c r="T5386" s="6"/>
      <c r="U5386" s="6"/>
      <c r="V5386" s="6"/>
      <c r="W5386" s="6"/>
      <c r="X5386" s="6"/>
      <c r="Y5386" s="6"/>
      <c r="Z5386" s="6"/>
    </row>
    <row r="5387" customFormat="false" ht="15" hidden="false" customHeight="false" outlineLevel="0" collapsed="false">
      <c r="A5387" s="9" t="s">
        <v>11340</v>
      </c>
      <c r="B5387" s="9" t="s">
        <v>11123</v>
      </c>
      <c r="C5387" s="9" t="s">
        <v>11341</v>
      </c>
      <c r="D5387" s="9" t="s">
        <v>11125</v>
      </c>
      <c r="E5387" s="9" t="str">
        <f aca="false">IF('Denial Worlds'!J115="PASS","PASS","FAIL")</f>
        <v>PASS</v>
      </c>
      <c r="F5387" s="9" t="s">
        <v>76</v>
      </c>
      <c r="G5387" s="6"/>
      <c r="H5387" s="6"/>
      <c r="I5387" s="6"/>
      <c r="J5387" s="6"/>
      <c r="K5387" s="6"/>
      <c r="L5387" s="6"/>
      <c r="M5387" s="6"/>
      <c r="N5387" s="6"/>
      <c r="O5387" s="6"/>
      <c r="P5387" s="6"/>
      <c r="Q5387" s="6"/>
      <c r="R5387" s="6"/>
      <c r="S5387" s="6"/>
      <c r="T5387" s="6"/>
      <c r="U5387" s="6"/>
      <c r="V5387" s="6"/>
      <c r="W5387" s="6"/>
      <c r="X5387" s="6"/>
      <c r="Y5387" s="6"/>
      <c r="Z5387" s="6"/>
    </row>
    <row r="5388" customFormat="false" ht="15" hidden="false" customHeight="false" outlineLevel="0" collapsed="false">
      <c r="A5388" s="9" t="s">
        <v>11342</v>
      </c>
      <c r="B5388" s="9" t="s">
        <v>11123</v>
      </c>
      <c r="C5388" s="9" t="s">
        <v>11343</v>
      </c>
      <c r="D5388" s="9" t="s">
        <v>11125</v>
      </c>
      <c r="E5388" s="9" t="str">
        <f aca="false">IF('Denial Worlds'!J116="PASS","PASS","FAIL")</f>
        <v>PASS</v>
      </c>
      <c r="F5388" s="9" t="s">
        <v>76</v>
      </c>
      <c r="G5388" s="6"/>
      <c r="H5388" s="6"/>
      <c r="I5388" s="6"/>
      <c r="J5388" s="6"/>
      <c r="K5388" s="6"/>
      <c r="L5388" s="6"/>
      <c r="M5388" s="6"/>
      <c r="N5388" s="6"/>
      <c r="O5388" s="6"/>
      <c r="P5388" s="6"/>
      <c r="Q5388" s="6"/>
      <c r="R5388" s="6"/>
      <c r="S5388" s="6"/>
      <c r="T5388" s="6"/>
      <c r="U5388" s="6"/>
      <c r="V5388" s="6"/>
      <c r="W5388" s="6"/>
      <c r="X5388" s="6"/>
      <c r="Y5388" s="6"/>
      <c r="Z5388" s="6"/>
    </row>
    <row r="5389" customFormat="false" ht="15" hidden="false" customHeight="false" outlineLevel="0" collapsed="false">
      <c r="A5389" s="9" t="s">
        <v>11344</v>
      </c>
      <c r="B5389" s="9" t="s">
        <v>11123</v>
      </c>
      <c r="C5389" s="9" t="s">
        <v>11345</v>
      </c>
      <c r="D5389" s="9" t="s">
        <v>11125</v>
      </c>
      <c r="E5389" s="9" t="str">
        <f aca="false">IF('Denial Worlds'!J117="PASS","PASS","FAIL")</f>
        <v>PASS</v>
      </c>
      <c r="F5389" s="9" t="s">
        <v>76</v>
      </c>
      <c r="G5389" s="6"/>
      <c r="H5389" s="6"/>
      <c r="I5389" s="6"/>
      <c r="J5389" s="6"/>
      <c r="K5389" s="6"/>
      <c r="L5389" s="6"/>
      <c r="M5389" s="6"/>
      <c r="N5389" s="6"/>
      <c r="O5389" s="6"/>
      <c r="P5389" s="6"/>
      <c r="Q5389" s="6"/>
      <c r="R5389" s="6"/>
      <c r="S5389" s="6"/>
      <c r="T5389" s="6"/>
      <c r="U5389" s="6"/>
      <c r="V5389" s="6"/>
      <c r="W5389" s="6"/>
      <c r="X5389" s="6"/>
      <c r="Y5389" s="6"/>
      <c r="Z5389" s="6"/>
    </row>
    <row r="5390" customFormat="false" ht="15" hidden="false" customHeight="false" outlineLevel="0" collapsed="false">
      <c r="A5390" s="9" t="s">
        <v>11346</v>
      </c>
      <c r="B5390" s="9" t="s">
        <v>11123</v>
      </c>
      <c r="C5390" s="9" t="s">
        <v>11347</v>
      </c>
      <c r="D5390" s="9" t="s">
        <v>11125</v>
      </c>
      <c r="E5390" s="9" t="str">
        <f aca="false">IF('Denial Worlds'!J118="PASS","PASS","FAIL")</f>
        <v>PASS</v>
      </c>
      <c r="F5390" s="9" t="s">
        <v>76</v>
      </c>
      <c r="G5390" s="6"/>
      <c r="H5390" s="6"/>
      <c r="I5390" s="6"/>
      <c r="J5390" s="6"/>
      <c r="K5390" s="6"/>
      <c r="L5390" s="6"/>
      <c r="M5390" s="6"/>
      <c r="N5390" s="6"/>
      <c r="O5390" s="6"/>
      <c r="P5390" s="6"/>
      <c r="Q5390" s="6"/>
      <c r="R5390" s="6"/>
      <c r="S5390" s="6"/>
      <c r="T5390" s="6"/>
      <c r="U5390" s="6"/>
      <c r="V5390" s="6"/>
      <c r="W5390" s="6"/>
      <c r="X5390" s="6"/>
      <c r="Y5390" s="6"/>
      <c r="Z5390" s="6"/>
    </row>
    <row r="5391" customFormat="false" ht="15" hidden="false" customHeight="false" outlineLevel="0" collapsed="false">
      <c r="A5391" s="9" t="s">
        <v>11348</v>
      </c>
      <c r="B5391" s="9" t="s">
        <v>11123</v>
      </c>
      <c r="C5391" s="9" t="s">
        <v>11349</v>
      </c>
      <c r="D5391" s="9" t="s">
        <v>11125</v>
      </c>
      <c r="E5391" s="9" t="str">
        <f aca="false">IF('Denial Worlds'!J119="PASS","PASS","FAIL")</f>
        <v>PASS</v>
      </c>
      <c r="F5391" s="9" t="s">
        <v>76</v>
      </c>
      <c r="G5391" s="6"/>
      <c r="H5391" s="6"/>
      <c r="I5391" s="6"/>
      <c r="J5391" s="6"/>
      <c r="K5391" s="6"/>
      <c r="L5391" s="6"/>
      <c r="M5391" s="6"/>
      <c r="N5391" s="6"/>
      <c r="O5391" s="6"/>
      <c r="P5391" s="6"/>
      <c r="Q5391" s="6"/>
      <c r="R5391" s="6"/>
      <c r="S5391" s="6"/>
      <c r="T5391" s="6"/>
      <c r="U5391" s="6"/>
      <c r="V5391" s="6"/>
      <c r="W5391" s="6"/>
      <c r="X5391" s="6"/>
      <c r="Y5391" s="6"/>
      <c r="Z5391" s="6"/>
    </row>
    <row r="5392" customFormat="false" ht="15" hidden="false" customHeight="false" outlineLevel="0" collapsed="false">
      <c r="A5392" s="9" t="s">
        <v>11350</v>
      </c>
      <c r="B5392" s="9" t="s">
        <v>11123</v>
      </c>
      <c r="C5392" s="9" t="s">
        <v>11351</v>
      </c>
      <c r="D5392" s="9" t="s">
        <v>11125</v>
      </c>
      <c r="E5392" s="9" t="str">
        <f aca="false">IF('Denial Worlds'!J120="PASS","PASS","FAIL")</f>
        <v>PASS</v>
      </c>
      <c r="F5392" s="9" t="s">
        <v>76</v>
      </c>
      <c r="G5392" s="6"/>
      <c r="H5392" s="6"/>
      <c r="I5392" s="6"/>
      <c r="J5392" s="6"/>
      <c r="K5392" s="6"/>
      <c r="L5392" s="6"/>
      <c r="M5392" s="6"/>
      <c r="N5392" s="6"/>
      <c r="O5392" s="6"/>
      <c r="P5392" s="6"/>
      <c r="Q5392" s="6"/>
      <c r="R5392" s="6"/>
      <c r="S5392" s="6"/>
      <c r="T5392" s="6"/>
      <c r="U5392" s="6"/>
      <c r="V5392" s="6"/>
      <c r="W5392" s="6"/>
      <c r="X5392" s="6"/>
      <c r="Y5392" s="6"/>
      <c r="Z5392" s="6"/>
    </row>
    <row r="5393" customFormat="false" ht="15" hidden="false" customHeight="false" outlineLevel="0" collapsed="false">
      <c r="A5393" s="9" t="s">
        <v>11352</v>
      </c>
      <c r="B5393" s="9" t="s">
        <v>11123</v>
      </c>
      <c r="C5393" s="9" t="s">
        <v>11353</v>
      </c>
      <c r="D5393" s="9" t="s">
        <v>11125</v>
      </c>
      <c r="E5393" s="9" t="str">
        <f aca="false">IF('Denial Worlds'!J121="PASS","PASS","FAIL")</f>
        <v>PASS</v>
      </c>
      <c r="F5393" s="9" t="s">
        <v>76</v>
      </c>
      <c r="G5393" s="6"/>
      <c r="H5393" s="6"/>
      <c r="I5393" s="6"/>
      <c r="J5393" s="6"/>
      <c r="K5393" s="6"/>
      <c r="L5393" s="6"/>
      <c r="M5393" s="6"/>
      <c r="N5393" s="6"/>
      <c r="O5393" s="6"/>
      <c r="P5393" s="6"/>
      <c r="Q5393" s="6"/>
      <c r="R5393" s="6"/>
      <c r="S5393" s="6"/>
      <c r="T5393" s="6"/>
      <c r="U5393" s="6"/>
      <c r="V5393" s="6"/>
      <c r="W5393" s="6"/>
      <c r="X5393" s="6"/>
      <c r="Y5393" s="6"/>
      <c r="Z5393" s="6"/>
    </row>
    <row r="5394" customFormat="false" ht="15" hidden="false" customHeight="false" outlineLevel="0" collapsed="false">
      <c r="A5394" s="9" t="s">
        <v>11354</v>
      </c>
      <c r="B5394" s="9" t="s">
        <v>11123</v>
      </c>
      <c r="C5394" s="9" t="s">
        <v>11355</v>
      </c>
      <c r="D5394" s="9" t="s">
        <v>11125</v>
      </c>
      <c r="E5394" s="9" t="str">
        <f aca="false">IF('Denial Worlds'!J122="PASS","PASS","FAIL")</f>
        <v>PASS</v>
      </c>
      <c r="F5394" s="9" t="s">
        <v>76</v>
      </c>
      <c r="G5394" s="6"/>
      <c r="H5394" s="6"/>
      <c r="I5394" s="6"/>
      <c r="J5394" s="6"/>
      <c r="K5394" s="6"/>
      <c r="L5394" s="6"/>
      <c r="M5394" s="6"/>
      <c r="N5394" s="6"/>
      <c r="O5394" s="6"/>
      <c r="P5394" s="6"/>
      <c r="Q5394" s="6"/>
      <c r="R5394" s="6"/>
      <c r="S5394" s="6"/>
      <c r="T5394" s="6"/>
      <c r="U5394" s="6"/>
      <c r="V5394" s="6"/>
      <c r="W5394" s="6"/>
      <c r="X5394" s="6"/>
      <c r="Y5394" s="6"/>
      <c r="Z5394" s="6"/>
    </row>
    <row r="5395" customFormat="false" ht="15" hidden="false" customHeight="false" outlineLevel="0" collapsed="false">
      <c r="A5395" s="9" t="s">
        <v>11356</v>
      </c>
      <c r="B5395" s="9" t="s">
        <v>11123</v>
      </c>
      <c r="C5395" s="9" t="s">
        <v>11357</v>
      </c>
      <c r="D5395" s="9" t="s">
        <v>11125</v>
      </c>
      <c r="E5395" s="9" t="str">
        <f aca="false">IF('Denial Worlds'!J123="PASS","PASS","FAIL")</f>
        <v>PASS</v>
      </c>
      <c r="F5395" s="9" t="s">
        <v>76</v>
      </c>
      <c r="G5395" s="6"/>
      <c r="H5395" s="6"/>
      <c r="I5395" s="6"/>
      <c r="J5395" s="6"/>
      <c r="K5395" s="6"/>
      <c r="L5395" s="6"/>
      <c r="M5395" s="6"/>
      <c r="N5395" s="6"/>
      <c r="O5395" s="6"/>
      <c r="P5395" s="6"/>
      <c r="Q5395" s="6"/>
      <c r="R5395" s="6"/>
      <c r="S5395" s="6"/>
      <c r="T5395" s="6"/>
      <c r="U5395" s="6"/>
      <c r="V5395" s="6"/>
      <c r="W5395" s="6"/>
      <c r="X5395" s="6"/>
      <c r="Y5395" s="6"/>
      <c r="Z5395" s="6"/>
    </row>
    <row r="5396" customFormat="false" ht="15" hidden="false" customHeight="false" outlineLevel="0" collapsed="false">
      <c r="A5396" s="9" t="s">
        <v>11358</v>
      </c>
      <c r="B5396" s="9" t="s">
        <v>11123</v>
      </c>
      <c r="C5396" s="9" t="s">
        <v>11359</v>
      </c>
      <c r="D5396" s="9" t="s">
        <v>11125</v>
      </c>
      <c r="E5396" s="9" t="str">
        <f aca="false">IF('Denial Worlds'!J124="PASS","PASS","FAIL")</f>
        <v>PASS</v>
      </c>
      <c r="F5396" s="9" t="s">
        <v>76</v>
      </c>
      <c r="G5396" s="6"/>
      <c r="H5396" s="6"/>
      <c r="I5396" s="6"/>
      <c r="J5396" s="6"/>
      <c r="K5396" s="6"/>
      <c r="L5396" s="6"/>
      <c r="M5396" s="6"/>
      <c r="N5396" s="6"/>
      <c r="O5396" s="6"/>
      <c r="P5396" s="6"/>
      <c r="Q5396" s="6"/>
      <c r="R5396" s="6"/>
      <c r="S5396" s="6"/>
      <c r="T5396" s="6"/>
      <c r="U5396" s="6"/>
      <c r="V5396" s="6"/>
      <c r="W5396" s="6"/>
      <c r="X5396" s="6"/>
      <c r="Y5396" s="6"/>
      <c r="Z5396" s="6"/>
    </row>
    <row r="5397" customFormat="false" ht="15" hidden="false" customHeight="false" outlineLevel="0" collapsed="false">
      <c r="A5397" s="9" t="s">
        <v>11360</v>
      </c>
      <c r="B5397" s="9" t="s">
        <v>11123</v>
      </c>
      <c r="C5397" s="9" t="s">
        <v>11361</v>
      </c>
      <c r="D5397" s="9" t="s">
        <v>11125</v>
      </c>
      <c r="E5397" s="9" t="str">
        <f aca="false">IF('Denial Worlds'!J125="PASS","PASS","FAIL")</f>
        <v>PASS</v>
      </c>
      <c r="F5397" s="9" t="s">
        <v>76</v>
      </c>
      <c r="G5397" s="6"/>
      <c r="H5397" s="6"/>
      <c r="I5397" s="6"/>
      <c r="J5397" s="6"/>
      <c r="K5397" s="6"/>
      <c r="L5397" s="6"/>
      <c r="M5397" s="6"/>
      <c r="N5397" s="6"/>
      <c r="O5397" s="6"/>
      <c r="P5397" s="6"/>
      <c r="Q5397" s="6"/>
      <c r="R5397" s="6"/>
      <c r="S5397" s="6"/>
      <c r="T5397" s="6"/>
      <c r="U5397" s="6"/>
      <c r="V5397" s="6"/>
      <c r="W5397" s="6"/>
      <c r="X5397" s="6"/>
      <c r="Y5397" s="6"/>
      <c r="Z5397" s="6"/>
    </row>
    <row r="5398" customFormat="false" ht="15" hidden="false" customHeight="false" outlineLevel="0" collapsed="false">
      <c r="A5398" s="9" t="s">
        <v>11362</v>
      </c>
      <c r="B5398" s="9" t="s">
        <v>11123</v>
      </c>
      <c r="C5398" s="9" t="s">
        <v>11363</v>
      </c>
      <c r="D5398" s="9" t="s">
        <v>11125</v>
      </c>
      <c r="E5398" s="9" t="str">
        <f aca="false">IF('Denial Worlds'!J126="PASS","PASS","FAIL")</f>
        <v>PASS</v>
      </c>
      <c r="F5398" s="9" t="s">
        <v>76</v>
      </c>
      <c r="G5398" s="6"/>
      <c r="H5398" s="6"/>
      <c r="I5398" s="6"/>
      <c r="J5398" s="6"/>
      <c r="K5398" s="6"/>
      <c r="L5398" s="6"/>
      <c r="M5398" s="6"/>
      <c r="N5398" s="6"/>
      <c r="O5398" s="6"/>
      <c r="P5398" s="6"/>
      <c r="Q5398" s="6"/>
      <c r="R5398" s="6"/>
      <c r="S5398" s="6"/>
      <c r="T5398" s="6"/>
      <c r="U5398" s="6"/>
      <c r="V5398" s="6"/>
      <c r="W5398" s="6"/>
      <c r="X5398" s="6"/>
      <c r="Y5398" s="6"/>
      <c r="Z5398" s="6"/>
    </row>
    <row r="5399" customFormat="false" ht="15" hidden="false" customHeight="false" outlineLevel="0" collapsed="false">
      <c r="A5399" s="9" t="s">
        <v>11364</v>
      </c>
      <c r="B5399" s="9" t="s">
        <v>11123</v>
      </c>
      <c r="C5399" s="9" t="s">
        <v>11365</v>
      </c>
      <c r="D5399" s="9" t="s">
        <v>11125</v>
      </c>
      <c r="E5399" s="9" t="str">
        <f aca="false">IF('Denial Worlds'!J127="PASS","PASS","FAIL")</f>
        <v>PASS</v>
      </c>
      <c r="F5399" s="9" t="s">
        <v>76</v>
      </c>
      <c r="G5399" s="6"/>
      <c r="H5399" s="6"/>
      <c r="I5399" s="6"/>
      <c r="J5399" s="6"/>
      <c r="K5399" s="6"/>
      <c r="L5399" s="6"/>
      <c r="M5399" s="6"/>
      <c r="N5399" s="6"/>
      <c r="O5399" s="6"/>
      <c r="P5399" s="6"/>
      <c r="Q5399" s="6"/>
      <c r="R5399" s="6"/>
      <c r="S5399" s="6"/>
      <c r="T5399" s="6"/>
      <c r="U5399" s="6"/>
      <c r="V5399" s="6"/>
      <c r="W5399" s="6"/>
      <c r="X5399" s="6"/>
      <c r="Y5399" s="6"/>
      <c r="Z5399" s="6"/>
    </row>
    <row r="5400" customFormat="false" ht="15" hidden="false" customHeight="false" outlineLevel="0" collapsed="false">
      <c r="A5400" s="9" t="s">
        <v>11366</v>
      </c>
      <c r="B5400" s="9" t="s">
        <v>11123</v>
      </c>
      <c r="C5400" s="9" t="s">
        <v>11367</v>
      </c>
      <c r="D5400" s="9" t="s">
        <v>11125</v>
      </c>
      <c r="E5400" s="9" t="str">
        <f aca="false">IF('Denial Worlds'!J128="PASS","PASS","FAIL")</f>
        <v>PASS</v>
      </c>
      <c r="F5400" s="9" t="s">
        <v>76</v>
      </c>
      <c r="G5400" s="6"/>
      <c r="H5400" s="6"/>
      <c r="I5400" s="6"/>
      <c r="J5400" s="6"/>
      <c r="K5400" s="6"/>
      <c r="L5400" s="6"/>
      <c r="M5400" s="6"/>
      <c r="N5400" s="6"/>
      <c r="O5400" s="6"/>
      <c r="P5400" s="6"/>
      <c r="Q5400" s="6"/>
      <c r="R5400" s="6"/>
      <c r="S5400" s="6"/>
      <c r="T5400" s="6"/>
      <c r="U5400" s="6"/>
      <c r="V5400" s="6"/>
      <c r="W5400" s="6"/>
      <c r="X5400" s="6"/>
      <c r="Y5400" s="6"/>
      <c r="Z5400" s="6"/>
    </row>
    <row r="5401" customFormat="false" ht="15" hidden="false" customHeight="false" outlineLevel="0" collapsed="false">
      <c r="A5401" s="9" t="s">
        <v>11368</v>
      </c>
      <c r="B5401" s="9" t="s">
        <v>11123</v>
      </c>
      <c r="C5401" s="9" t="s">
        <v>11369</v>
      </c>
      <c r="D5401" s="9" t="s">
        <v>11125</v>
      </c>
      <c r="E5401" s="9" t="str">
        <f aca="false">IF('Denial Worlds'!J129="PASS","PASS","FAIL")</f>
        <v>PASS</v>
      </c>
      <c r="F5401" s="9" t="s">
        <v>76</v>
      </c>
      <c r="G5401" s="6"/>
      <c r="H5401" s="6"/>
      <c r="I5401" s="6"/>
      <c r="J5401" s="6"/>
      <c r="K5401" s="6"/>
      <c r="L5401" s="6"/>
      <c r="M5401" s="6"/>
      <c r="N5401" s="6"/>
      <c r="O5401" s="6"/>
      <c r="P5401" s="6"/>
      <c r="Q5401" s="6"/>
      <c r="R5401" s="6"/>
      <c r="S5401" s="6"/>
      <c r="T5401" s="6"/>
      <c r="U5401" s="6"/>
      <c r="V5401" s="6"/>
      <c r="W5401" s="6"/>
      <c r="X5401" s="6"/>
      <c r="Y5401" s="6"/>
      <c r="Z5401" s="6"/>
    </row>
    <row r="5402" customFormat="false" ht="15" hidden="false" customHeight="false" outlineLevel="0" collapsed="false">
      <c r="A5402" s="9" t="s">
        <v>11370</v>
      </c>
      <c r="B5402" s="9" t="s">
        <v>11123</v>
      </c>
      <c r="C5402" s="9" t="s">
        <v>11371</v>
      </c>
      <c r="D5402" s="9" t="s">
        <v>11125</v>
      </c>
      <c r="E5402" s="9" t="str">
        <f aca="false">IF('Denial Worlds'!J130="PASS","PASS","FAIL")</f>
        <v>PASS</v>
      </c>
      <c r="F5402" s="9" t="s">
        <v>76</v>
      </c>
      <c r="G5402" s="6"/>
      <c r="H5402" s="6"/>
      <c r="I5402" s="6"/>
      <c r="J5402" s="6"/>
      <c r="K5402" s="6"/>
      <c r="L5402" s="6"/>
      <c r="M5402" s="6"/>
      <c r="N5402" s="6"/>
      <c r="O5402" s="6"/>
      <c r="P5402" s="6"/>
      <c r="Q5402" s="6"/>
      <c r="R5402" s="6"/>
      <c r="S5402" s="6"/>
      <c r="T5402" s="6"/>
      <c r="U5402" s="6"/>
      <c r="V5402" s="6"/>
      <c r="W5402" s="6"/>
      <c r="X5402" s="6"/>
      <c r="Y5402" s="6"/>
      <c r="Z5402" s="6"/>
    </row>
    <row r="5403" customFormat="false" ht="15" hidden="false" customHeight="false" outlineLevel="0" collapsed="false">
      <c r="A5403" s="9" t="s">
        <v>11372</v>
      </c>
      <c r="B5403" s="9" t="s">
        <v>11123</v>
      </c>
      <c r="C5403" s="9" t="s">
        <v>11373</v>
      </c>
      <c r="D5403" s="9" t="s">
        <v>11125</v>
      </c>
      <c r="E5403" s="9" t="str">
        <f aca="false">IF('Denial Worlds'!J131="PASS","PASS","FAIL")</f>
        <v>PASS</v>
      </c>
      <c r="F5403" s="9" t="s">
        <v>76</v>
      </c>
      <c r="G5403" s="6"/>
      <c r="H5403" s="6"/>
      <c r="I5403" s="6"/>
      <c r="J5403" s="6"/>
      <c r="K5403" s="6"/>
      <c r="L5403" s="6"/>
      <c r="M5403" s="6"/>
      <c r="N5403" s="6"/>
      <c r="O5403" s="6"/>
      <c r="P5403" s="6"/>
      <c r="Q5403" s="6"/>
      <c r="R5403" s="6"/>
      <c r="S5403" s="6"/>
      <c r="T5403" s="6"/>
      <c r="U5403" s="6"/>
      <c r="V5403" s="6"/>
      <c r="W5403" s="6"/>
      <c r="X5403" s="6"/>
      <c r="Y5403" s="6"/>
      <c r="Z5403" s="6"/>
    </row>
    <row r="5404" customFormat="false" ht="15" hidden="false" customHeight="false" outlineLevel="0" collapsed="false">
      <c r="A5404" s="9" t="s">
        <v>11374</v>
      </c>
      <c r="B5404" s="9" t="s">
        <v>11123</v>
      </c>
      <c r="C5404" s="9" t="s">
        <v>11375</v>
      </c>
      <c r="D5404" s="9" t="s">
        <v>11125</v>
      </c>
      <c r="E5404" s="9" t="str">
        <f aca="false">IF('Denial Worlds'!J132="PASS","PASS","FAIL")</f>
        <v>PASS</v>
      </c>
      <c r="F5404" s="9" t="s">
        <v>76</v>
      </c>
      <c r="G5404" s="6"/>
      <c r="H5404" s="6"/>
      <c r="I5404" s="6"/>
      <c r="J5404" s="6"/>
      <c r="K5404" s="6"/>
      <c r="L5404" s="6"/>
      <c r="M5404" s="6"/>
      <c r="N5404" s="6"/>
      <c r="O5404" s="6"/>
      <c r="P5404" s="6"/>
      <c r="Q5404" s="6"/>
      <c r="R5404" s="6"/>
      <c r="S5404" s="6"/>
      <c r="T5404" s="6"/>
      <c r="U5404" s="6"/>
      <c r="V5404" s="6"/>
      <c r="W5404" s="6"/>
      <c r="X5404" s="6"/>
      <c r="Y5404" s="6"/>
      <c r="Z5404" s="6"/>
    </row>
    <row r="5405" customFormat="false" ht="15" hidden="false" customHeight="false" outlineLevel="0" collapsed="false">
      <c r="A5405" s="9" t="s">
        <v>11376</v>
      </c>
      <c r="B5405" s="9" t="s">
        <v>11123</v>
      </c>
      <c r="C5405" s="9" t="s">
        <v>11377</v>
      </c>
      <c r="D5405" s="9" t="s">
        <v>11125</v>
      </c>
      <c r="E5405" s="9" t="str">
        <f aca="false">IF('Denial Worlds'!J133="PASS","PASS","FAIL")</f>
        <v>PASS</v>
      </c>
      <c r="F5405" s="9" t="s">
        <v>76</v>
      </c>
      <c r="G5405" s="6"/>
      <c r="H5405" s="6"/>
      <c r="I5405" s="6"/>
      <c r="J5405" s="6"/>
      <c r="K5405" s="6"/>
      <c r="L5405" s="6"/>
      <c r="M5405" s="6"/>
      <c r="N5405" s="6"/>
      <c r="O5405" s="6"/>
      <c r="P5405" s="6"/>
      <c r="Q5405" s="6"/>
      <c r="R5405" s="6"/>
      <c r="S5405" s="6"/>
      <c r="T5405" s="6"/>
      <c r="U5405" s="6"/>
      <c r="V5405" s="6"/>
      <c r="W5405" s="6"/>
      <c r="X5405" s="6"/>
      <c r="Y5405" s="6"/>
      <c r="Z5405" s="6"/>
    </row>
    <row r="5406" customFormat="false" ht="15" hidden="false" customHeight="false" outlineLevel="0" collapsed="false">
      <c r="A5406" s="9" t="s">
        <v>11378</v>
      </c>
      <c r="B5406" s="9" t="s">
        <v>11123</v>
      </c>
      <c r="C5406" s="9" t="s">
        <v>11379</v>
      </c>
      <c r="D5406" s="9" t="s">
        <v>11125</v>
      </c>
      <c r="E5406" s="9" t="str">
        <f aca="false">IF('Denial Worlds'!J134="PASS","PASS","FAIL")</f>
        <v>PASS</v>
      </c>
      <c r="F5406" s="9" t="s">
        <v>76</v>
      </c>
      <c r="G5406" s="6"/>
      <c r="H5406" s="6"/>
      <c r="I5406" s="6"/>
      <c r="J5406" s="6"/>
      <c r="K5406" s="6"/>
      <c r="L5406" s="6"/>
      <c r="M5406" s="6"/>
      <c r="N5406" s="6"/>
      <c r="O5406" s="6"/>
      <c r="P5406" s="6"/>
      <c r="Q5406" s="6"/>
      <c r="R5406" s="6"/>
      <c r="S5406" s="6"/>
      <c r="T5406" s="6"/>
      <c r="U5406" s="6"/>
      <c r="V5406" s="6"/>
      <c r="W5406" s="6"/>
      <c r="X5406" s="6"/>
      <c r="Y5406" s="6"/>
      <c r="Z5406" s="6"/>
    </row>
    <row r="5407" customFormat="false" ht="15" hidden="false" customHeight="false" outlineLevel="0" collapsed="false">
      <c r="A5407" s="9" t="s">
        <v>11380</v>
      </c>
      <c r="B5407" s="9" t="s">
        <v>11123</v>
      </c>
      <c r="C5407" s="9" t="s">
        <v>11381</v>
      </c>
      <c r="D5407" s="9" t="s">
        <v>11125</v>
      </c>
      <c r="E5407" s="9" t="str">
        <f aca="false">IF('Denial Worlds'!J135="PASS","PASS","FAIL")</f>
        <v>PASS</v>
      </c>
      <c r="F5407" s="9" t="s">
        <v>76</v>
      </c>
      <c r="G5407" s="6"/>
      <c r="H5407" s="6"/>
      <c r="I5407" s="6"/>
      <c r="J5407" s="6"/>
      <c r="K5407" s="6"/>
      <c r="L5407" s="6"/>
      <c r="M5407" s="6"/>
      <c r="N5407" s="6"/>
      <c r="O5407" s="6"/>
      <c r="P5407" s="6"/>
      <c r="Q5407" s="6"/>
      <c r="R5407" s="6"/>
      <c r="S5407" s="6"/>
      <c r="T5407" s="6"/>
      <c r="U5407" s="6"/>
      <c r="V5407" s="6"/>
      <c r="W5407" s="6"/>
      <c r="X5407" s="6"/>
      <c r="Y5407" s="6"/>
      <c r="Z5407" s="6"/>
    </row>
    <row r="5408" customFormat="false" ht="15" hidden="false" customHeight="false" outlineLevel="0" collapsed="false">
      <c r="A5408" s="9" t="s">
        <v>11382</v>
      </c>
      <c r="B5408" s="9" t="s">
        <v>11123</v>
      </c>
      <c r="C5408" s="9" t="s">
        <v>11383</v>
      </c>
      <c r="D5408" s="9" t="s">
        <v>11125</v>
      </c>
      <c r="E5408" s="9" t="str">
        <f aca="false">IF('Denial Worlds'!J136="PASS","PASS","FAIL")</f>
        <v>PASS</v>
      </c>
      <c r="F5408" s="9" t="s">
        <v>76</v>
      </c>
      <c r="G5408" s="6"/>
      <c r="H5408" s="6"/>
      <c r="I5408" s="6"/>
      <c r="J5408" s="6"/>
      <c r="K5408" s="6"/>
      <c r="L5408" s="6"/>
      <c r="M5408" s="6"/>
      <c r="N5408" s="6"/>
      <c r="O5408" s="6"/>
      <c r="P5408" s="6"/>
      <c r="Q5408" s="6"/>
      <c r="R5408" s="6"/>
      <c r="S5408" s="6"/>
      <c r="T5408" s="6"/>
      <c r="U5408" s="6"/>
      <c r="V5408" s="6"/>
      <c r="W5408" s="6"/>
      <c r="X5408" s="6"/>
      <c r="Y5408" s="6"/>
      <c r="Z5408" s="6"/>
    </row>
    <row r="5409" customFormat="false" ht="15" hidden="false" customHeight="false" outlineLevel="0" collapsed="false">
      <c r="A5409" s="9" t="s">
        <v>11384</v>
      </c>
      <c r="B5409" s="9" t="s">
        <v>11123</v>
      </c>
      <c r="C5409" s="9" t="s">
        <v>11385</v>
      </c>
      <c r="D5409" s="9" t="s">
        <v>11125</v>
      </c>
      <c r="E5409" s="9" t="str">
        <f aca="false">IF('Denial Worlds'!J137="PASS","PASS","FAIL")</f>
        <v>PASS</v>
      </c>
      <c r="F5409" s="9" t="s">
        <v>76</v>
      </c>
      <c r="G5409" s="6"/>
      <c r="H5409" s="6"/>
      <c r="I5409" s="6"/>
      <c r="J5409" s="6"/>
      <c r="K5409" s="6"/>
      <c r="L5409" s="6"/>
      <c r="M5409" s="6"/>
      <c r="N5409" s="6"/>
      <c r="O5409" s="6"/>
      <c r="P5409" s="6"/>
      <c r="Q5409" s="6"/>
      <c r="R5409" s="6"/>
      <c r="S5409" s="6"/>
      <c r="T5409" s="6"/>
      <c r="U5409" s="6"/>
      <c r="V5409" s="6"/>
      <c r="W5409" s="6"/>
      <c r="X5409" s="6"/>
      <c r="Y5409" s="6"/>
      <c r="Z5409" s="6"/>
    </row>
    <row r="5410" customFormat="false" ht="15" hidden="false" customHeight="false" outlineLevel="0" collapsed="false">
      <c r="A5410" s="9" t="s">
        <v>11386</v>
      </c>
      <c r="B5410" s="9" t="s">
        <v>11123</v>
      </c>
      <c r="C5410" s="9" t="s">
        <v>11387</v>
      </c>
      <c r="D5410" s="9" t="s">
        <v>11125</v>
      </c>
      <c r="E5410" s="9" t="str">
        <f aca="false">IF('Denial Worlds'!J138="PASS","PASS","FAIL")</f>
        <v>PASS</v>
      </c>
      <c r="F5410" s="9" t="s">
        <v>76</v>
      </c>
      <c r="G5410" s="6"/>
      <c r="H5410" s="6"/>
      <c r="I5410" s="6"/>
      <c r="J5410" s="6"/>
      <c r="K5410" s="6"/>
      <c r="L5410" s="6"/>
      <c r="M5410" s="6"/>
      <c r="N5410" s="6"/>
      <c r="O5410" s="6"/>
      <c r="P5410" s="6"/>
      <c r="Q5410" s="6"/>
      <c r="R5410" s="6"/>
      <c r="S5410" s="6"/>
      <c r="T5410" s="6"/>
      <c r="U5410" s="6"/>
      <c r="V5410" s="6"/>
      <c r="W5410" s="6"/>
      <c r="X5410" s="6"/>
      <c r="Y5410" s="6"/>
      <c r="Z5410" s="6"/>
    </row>
    <row r="5411" customFormat="false" ht="15" hidden="false" customHeight="false" outlineLevel="0" collapsed="false">
      <c r="A5411" s="9" t="s">
        <v>11388</v>
      </c>
      <c r="B5411" s="9" t="s">
        <v>11123</v>
      </c>
      <c r="C5411" s="9" t="s">
        <v>11389</v>
      </c>
      <c r="D5411" s="9" t="s">
        <v>11125</v>
      </c>
      <c r="E5411" s="9" t="str">
        <f aca="false">IF('Denial Worlds'!J139="PASS","PASS","FAIL")</f>
        <v>PASS</v>
      </c>
      <c r="F5411" s="9" t="s">
        <v>76</v>
      </c>
      <c r="G5411" s="6"/>
      <c r="H5411" s="6"/>
      <c r="I5411" s="6"/>
      <c r="J5411" s="6"/>
      <c r="K5411" s="6"/>
      <c r="L5411" s="6"/>
      <c r="M5411" s="6"/>
      <c r="N5411" s="6"/>
      <c r="O5411" s="6"/>
      <c r="P5411" s="6"/>
      <c r="Q5411" s="6"/>
      <c r="R5411" s="6"/>
      <c r="S5411" s="6"/>
      <c r="T5411" s="6"/>
      <c r="U5411" s="6"/>
      <c r="V5411" s="6"/>
      <c r="W5411" s="6"/>
      <c r="X5411" s="6"/>
      <c r="Y5411" s="6"/>
      <c r="Z5411" s="6"/>
    </row>
    <row r="5412" customFormat="false" ht="15" hidden="false" customHeight="false" outlineLevel="0" collapsed="false">
      <c r="A5412" s="9" t="s">
        <v>11390</v>
      </c>
      <c r="B5412" s="9" t="s">
        <v>11123</v>
      </c>
      <c r="C5412" s="9" t="s">
        <v>11391</v>
      </c>
      <c r="D5412" s="9" t="s">
        <v>11125</v>
      </c>
      <c r="E5412" s="9" t="str">
        <f aca="false">IF('Denial Worlds'!J140="PASS","PASS","FAIL")</f>
        <v>PASS</v>
      </c>
      <c r="F5412" s="9" t="s">
        <v>76</v>
      </c>
      <c r="G5412" s="6"/>
      <c r="H5412" s="6"/>
      <c r="I5412" s="6"/>
      <c r="J5412" s="6"/>
      <c r="K5412" s="6"/>
      <c r="L5412" s="6"/>
      <c r="M5412" s="6"/>
      <c r="N5412" s="6"/>
      <c r="O5412" s="6"/>
      <c r="P5412" s="6"/>
      <c r="Q5412" s="6"/>
      <c r="R5412" s="6"/>
      <c r="S5412" s="6"/>
      <c r="T5412" s="6"/>
      <c r="U5412" s="6"/>
      <c r="V5412" s="6"/>
      <c r="W5412" s="6"/>
      <c r="X5412" s="6"/>
      <c r="Y5412" s="6"/>
      <c r="Z5412" s="6"/>
    </row>
    <row r="5413" customFormat="false" ht="15" hidden="false" customHeight="false" outlineLevel="0" collapsed="false">
      <c r="A5413" s="9" t="s">
        <v>11392</v>
      </c>
      <c r="B5413" s="9" t="s">
        <v>11123</v>
      </c>
      <c r="C5413" s="9" t="s">
        <v>11393</v>
      </c>
      <c r="D5413" s="9" t="s">
        <v>11125</v>
      </c>
      <c r="E5413" s="9" t="str">
        <f aca="false">IF('Denial Worlds'!J141="PASS","PASS","FAIL")</f>
        <v>PASS</v>
      </c>
      <c r="F5413" s="9" t="s">
        <v>76</v>
      </c>
      <c r="G5413" s="6"/>
      <c r="H5413" s="6"/>
      <c r="I5413" s="6"/>
      <c r="J5413" s="6"/>
      <c r="K5413" s="6"/>
      <c r="L5413" s="6"/>
      <c r="M5413" s="6"/>
      <c r="N5413" s="6"/>
      <c r="O5413" s="6"/>
      <c r="P5413" s="6"/>
      <c r="Q5413" s="6"/>
      <c r="R5413" s="6"/>
      <c r="S5413" s="6"/>
      <c r="T5413" s="6"/>
      <c r="U5413" s="6"/>
      <c r="V5413" s="6"/>
      <c r="W5413" s="6"/>
      <c r="X5413" s="6"/>
      <c r="Y5413" s="6"/>
      <c r="Z5413" s="6"/>
    </row>
    <row r="5414" customFormat="false" ht="15" hidden="false" customHeight="false" outlineLevel="0" collapsed="false">
      <c r="A5414" s="9" t="s">
        <v>11394</v>
      </c>
      <c r="B5414" s="9" t="s">
        <v>11123</v>
      </c>
      <c r="C5414" s="9" t="s">
        <v>11395</v>
      </c>
      <c r="D5414" s="9" t="s">
        <v>11125</v>
      </c>
      <c r="E5414" s="9" t="str">
        <f aca="false">IF('Denial Worlds'!J142="PASS","PASS","FAIL")</f>
        <v>PASS</v>
      </c>
      <c r="F5414" s="9" t="s">
        <v>76</v>
      </c>
      <c r="G5414" s="6"/>
      <c r="H5414" s="6"/>
      <c r="I5414" s="6"/>
      <c r="J5414" s="6"/>
      <c r="K5414" s="6"/>
      <c r="L5414" s="6"/>
      <c r="M5414" s="6"/>
      <c r="N5414" s="6"/>
      <c r="O5414" s="6"/>
      <c r="P5414" s="6"/>
      <c r="Q5414" s="6"/>
      <c r="R5414" s="6"/>
      <c r="S5414" s="6"/>
      <c r="T5414" s="6"/>
      <c r="U5414" s="6"/>
      <c r="V5414" s="6"/>
      <c r="W5414" s="6"/>
      <c r="X5414" s="6"/>
      <c r="Y5414" s="6"/>
      <c r="Z5414" s="6"/>
    </row>
    <row r="5415" customFormat="false" ht="15" hidden="false" customHeight="false" outlineLevel="0" collapsed="false">
      <c r="A5415" s="9" t="s">
        <v>11396</v>
      </c>
      <c r="B5415" s="9" t="s">
        <v>11123</v>
      </c>
      <c r="C5415" s="9" t="s">
        <v>11397</v>
      </c>
      <c r="D5415" s="9" t="s">
        <v>11125</v>
      </c>
      <c r="E5415" s="9" t="str">
        <f aca="false">IF('Denial Worlds'!J143="PASS","PASS","FAIL")</f>
        <v>PASS</v>
      </c>
      <c r="F5415" s="9" t="s">
        <v>76</v>
      </c>
      <c r="G5415" s="6"/>
      <c r="H5415" s="6"/>
      <c r="I5415" s="6"/>
      <c r="J5415" s="6"/>
      <c r="K5415" s="6"/>
      <c r="L5415" s="6"/>
      <c r="M5415" s="6"/>
      <c r="N5415" s="6"/>
      <c r="O5415" s="6"/>
      <c r="P5415" s="6"/>
      <c r="Q5415" s="6"/>
      <c r="R5415" s="6"/>
      <c r="S5415" s="6"/>
      <c r="T5415" s="6"/>
      <c r="U5415" s="6"/>
      <c r="V5415" s="6"/>
      <c r="W5415" s="6"/>
      <c r="X5415" s="6"/>
      <c r="Y5415" s="6"/>
      <c r="Z5415" s="6"/>
    </row>
    <row r="5416" customFormat="false" ht="15" hidden="false" customHeight="false" outlineLevel="0" collapsed="false">
      <c r="A5416" s="9" t="s">
        <v>11398</v>
      </c>
      <c r="B5416" s="9" t="s">
        <v>11123</v>
      </c>
      <c r="C5416" s="9" t="s">
        <v>11399</v>
      </c>
      <c r="D5416" s="9" t="s">
        <v>11125</v>
      </c>
      <c r="E5416" s="9" t="str">
        <f aca="false">IF('Denial Worlds'!J144="PASS","PASS","FAIL")</f>
        <v>PASS</v>
      </c>
      <c r="F5416" s="9" t="s">
        <v>76</v>
      </c>
      <c r="G5416" s="6"/>
      <c r="H5416" s="6"/>
      <c r="I5416" s="6"/>
      <c r="J5416" s="6"/>
      <c r="K5416" s="6"/>
      <c r="L5416" s="6"/>
      <c r="M5416" s="6"/>
      <c r="N5416" s="6"/>
      <c r="O5416" s="6"/>
      <c r="P5416" s="6"/>
      <c r="Q5416" s="6"/>
      <c r="R5416" s="6"/>
      <c r="S5416" s="6"/>
      <c r="T5416" s="6"/>
      <c r="U5416" s="6"/>
      <c r="V5416" s="6"/>
      <c r="W5416" s="6"/>
      <c r="X5416" s="6"/>
      <c r="Y5416" s="6"/>
      <c r="Z5416" s="6"/>
    </row>
    <row r="5417" customFormat="false" ht="15" hidden="false" customHeight="false" outlineLevel="0" collapsed="false">
      <c r="A5417" s="9" t="s">
        <v>11400</v>
      </c>
      <c r="B5417" s="9" t="s">
        <v>11123</v>
      </c>
      <c r="C5417" s="9" t="s">
        <v>11401</v>
      </c>
      <c r="D5417" s="9" t="s">
        <v>11125</v>
      </c>
      <c r="E5417" s="9" t="str">
        <f aca="false">IF('Denial Worlds'!J145="PASS","PASS","FAIL")</f>
        <v>PASS</v>
      </c>
      <c r="F5417" s="9" t="s">
        <v>76</v>
      </c>
      <c r="G5417" s="6"/>
      <c r="H5417" s="6"/>
      <c r="I5417" s="6"/>
      <c r="J5417" s="6"/>
      <c r="K5417" s="6"/>
      <c r="L5417" s="6"/>
      <c r="M5417" s="6"/>
      <c r="N5417" s="6"/>
      <c r="O5417" s="6"/>
      <c r="P5417" s="6"/>
      <c r="Q5417" s="6"/>
      <c r="R5417" s="6"/>
      <c r="S5417" s="6"/>
      <c r="T5417" s="6"/>
      <c r="U5417" s="6"/>
      <c r="V5417" s="6"/>
      <c r="W5417" s="6"/>
      <c r="X5417" s="6"/>
      <c r="Y5417" s="6"/>
      <c r="Z5417" s="6"/>
    </row>
    <row r="5418" customFormat="false" ht="15" hidden="false" customHeight="false" outlineLevel="0" collapsed="false">
      <c r="A5418" s="9" t="s">
        <v>11402</v>
      </c>
      <c r="B5418" s="9" t="s">
        <v>11123</v>
      </c>
      <c r="C5418" s="9" t="s">
        <v>11403</v>
      </c>
      <c r="D5418" s="9" t="s">
        <v>11125</v>
      </c>
      <c r="E5418" s="9" t="str">
        <f aca="false">IF('Denial Worlds'!J146="PASS","PASS","FAIL")</f>
        <v>PASS</v>
      </c>
      <c r="F5418" s="9" t="s">
        <v>76</v>
      </c>
      <c r="G5418" s="6"/>
      <c r="H5418" s="6"/>
      <c r="I5418" s="6"/>
      <c r="J5418" s="6"/>
      <c r="K5418" s="6"/>
      <c r="L5418" s="6"/>
      <c r="M5418" s="6"/>
      <c r="N5418" s="6"/>
      <c r="O5418" s="6"/>
      <c r="P5418" s="6"/>
      <c r="Q5418" s="6"/>
      <c r="R5418" s="6"/>
      <c r="S5418" s="6"/>
      <c r="T5418" s="6"/>
      <c r="U5418" s="6"/>
      <c r="V5418" s="6"/>
      <c r="W5418" s="6"/>
      <c r="X5418" s="6"/>
      <c r="Y5418" s="6"/>
      <c r="Z5418" s="6"/>
    </row>
    <row r="5419" customFormat="false" ht="15" hidden="false" customHeight="false" outlineLevel="0" collapsed="false">
      <c r="A5419" s="9" t="s">
        <v>11404</v>
      </c>
      <c r="B5419" s="9" t="s">
        <v>11123</v>
      </c>
      <c r="C5419" s="9" t="s">
        <v>11405</v>
      </c>
      <c r="D5419" s="9" t="s">
        <v>11125</v>
      </c>
      <c r="E5419" s="9" t="str">
        <f aca="false">IF('Denial Worlds'!J147="PASS","PASS","FAIL")</f>
        <v>PASS</v>
      </c>
      <c r="F5419" s="9" t="s">
        <v>76</v>
      </c>
      <c r="G5419" s="6"/>
      <c r="H5419" s="6"/>
      <c r="I5419" s="6"/>
      <c r="J5419" s="6"/>
      <c r="K5419" s="6"/>
      <c r="L5419" s="6"/>
      <c r="M5419" s="6"/>
      <c r="N5419" s="6"/>
      <c r="O5419" s="6"/>
      <c r="P5419" s="6"/>
      <c r="Q5419" s="6"/>
      <c r="R5419" s="6"/>
      <c r="S5419" s="6"/>
      <c r="T5419" s="6"/>
      <c r="U5419" s="6"/>
      <c r="V5419" s="6"/>
      <c r="W5419" s="6"/>
      <c r="X5419" s="6"/>
      <c r="Y5419" s="6"/>
      <c r="Z5419" s="6"/>
    </row>
    <row r="5420" customFormat="false" ht="15" hidden="false" customHeight="false" outlineLevel="0" collapsed="false">
      <c r="A5420" s="9" t="s">
        <v>11406</v>
      </c>
      <c r="B5420" s="9" t="s">
        <v>11123</v>
      </c>
      <c r="C5420" s="9" t="s">
        <v>11407</v>
      </c>
      <c r="D5420" s="9" t="s">
        <v>11125</v>
      </c>
      <c r="E5420" s="9" t="str">
        <f aca="false">IF('Denial Worlds'!J148="PASS","PASS","FAIL")</f>
        <v>PASS</v>
      </c>
      <c r="F5420" s="9" t="s">
        <v>76</v>
      </c>
      <c r="G5420" s="6"/>
      <c r="H5420" s="6"/>
      <c r="I5420" s="6"/>
      <c r="J5420" s="6"/>
      <c r="K5420" s="6"/>
      <c r="L5420" s="6"/>
      <c r="M5420" s="6"/>
      <c r="N5420" s="6"/>
      <c r="O5420" s="6"/>
      <c r="P5420" s="6"/>
      <c r="Q5420" s="6"/>
      <c r="R5420" s="6"/>
      <c r="S5420" s="6"/>
      <c r="T5420" s="6"/>
      <c r="U5420" s="6"/>
      <c r="V5420" s="6"/>
      <c r="W5420" s="6"/>
      <c r="X5420" s="6"/>
      <c r="Y5420" s="6"/>
      <c r="Z5420" s="6"/>
    </row>
    <row r="5421" customFormat="false" ht="15" hidden="false" customHeight="false" outlineLevel="0" collapsed="false">
      <c r="A5421" s="9" t="s">
        <v>11408</v>
      </c>
      <c r="B5421" s="9" t="s">
        <v>11123</v>
      </c>
      <c r="C5421" s="9" t="s">
        <v>11409</v>
      </c>
      <c r="D5421" s="9" t="s">
        <v>11125</v>
      </c>
      <c r="E5421" s="9" t="str">
        <f aca="false">IF('Denial Worlds'!J149="PASS","PASS","FAIL")</f>
        <v>PASS</v>
      </c>
      <c r="F5421" s="9" t="s">
        <v>76</v>
      </c>
      <c r="G5421" s="6"/>
      <c r="H5421" s="6"/>
      <c r="I5421" s="6"/>
      <c r="J5421" s="6"/>
      <c r="K5421" s="6"/>
      <c r="L5421" s="6"/>
      <c r="M5421" s="6"/>
      <c r="N5421" s="6"/>
      <c r="O5421" s="6"/>
      <c r="P5421" s="6"/>
      <c r="Q5421" s="6"/>
      <c r="R5421" s="6"/>
      <c r="S5421" s="6"/>
      <c r="T5421" s="6"/>
      <c r="U5421" s="6"/>
      <c r="V5421" s="6"/>
      <c r="W5421" s="6"/>
      <c r="X5421" s="6"/>
      <c r="Y5421" s="6"/>
      <c r="Z5421" s="6"/>
    </row>
    <row r="5422" customFormat="false" ht="15" hidden="false" customHeight="false" outlineLevel="0" collapsed="false">
      <c r="A5422" s="9" t="s">
        <v>11410</v>
      </c>
      <c r="B5422" s="9" t="s">
        <v>11123</v>
      </c>
      <c r="C5422" s="9" t="s">
        <v>11411</v>
      </c>
      <c r="D5422" s="9" t="s">
        <v>11125</v>
      </c>
      <c r="E5422" s="9" t="str">
        <f aca="false">IF('Denial Worlds'!J150="PASS","PASS","FAIL")</f>
        <v>PASS</v>
      </c>
      <c r="F5422" s="9" t="s">
        <v>76</v>
      </c>
      <c r="G5422" s="6"/>
      <c r="H5422" s="6"/>
      <c r="I5422" s="6"/>
      <c r="J5422" s="6"/>
      <c r="K5422" s="6"/>
      <c r="L5422" s="6"/>
      <c r="M5422" s="6"/>
      <c r="N5422" s="6"/>
      <c r="O5422" s="6"/>
      <c r="P5422" s="6"/>
      <c r="Q5422" s="6"/>
      <c r="R5422" s="6"/>
      <c r="S5422" s="6"/>
      <c r="T5422" s="6"/>
      <c r="U5422" s="6"/>
      <c r="V5422" s="6"/>
      <c r="W5422" s="6"/>
      <c r="X5422" s="6"/>
      <c r="Y5422" s="6"/>
      <c r="Z5422" s="6"/>
    </row>
    <row r="5423" customFormat="false" ht="15" hidden="false" customHeight="false" outlineLevel="0" collapsed="false">
      <c r="A5423" s="9" t="s">
        <v>11412</v>
      </c>
      <c r="B5423" s="9" t="s">
        <v>11123</v>
      </c>
      <c r="C5423" s="9" t="s">
        <v>11413</v>
      </c>
      <c r="D5423" s="9" t="s">
        <v>11125</v>
      </c>
      <c r="E5423" s="9" t="str">
        <f aca="false">IF('Denial Worlds'!J151="PASS","PASS","FAIL")</f>
        <v>PASS</v>
      </c>
      <c r="F5423" s="9" t="s">
        <v>76</v>
      </c>
      <c r="G5423" s="6"/>
      <c r="H5423" s="6"/>
      <c r="I5423" s="6"/>
      <c r="J5423" s="6"/>
      <c r="K5423" s="6"/>
      <c r="L5423" s="6"/>
      <c r="M5423" s="6"/>
      <c r="N5423" s="6"/>
      <c r="O5423" s="6"/>
      <c r="P5423" s="6"/>
      <c r="Q5423" s="6"/>
      <c r="R5423" s="6"/>
      <c r="S5423" s="6"/>
      <c r="T5423" s="6"/>
      <c r="U5423" s="6"/>
      <c r="V5423" s="6"/>
      <c r="W5423" s="6"/>
      <c r="X5423" s="6"/>
      <c r="Y5423" s="6"/>
      <c r="Z5423" s="6"/>
    </row>
    <row r="5424" customFormat="false" ht="15" hidden="false" customHeight="false" outlineLevel="0" collapsed="false">
      <c r="A5424" s="9" t="s">
        <v>11414</v>
      </c>
      <c r="B5424" s="9" t="s">
        <v>11123</v>
      </c>
      <c r="C5424" s="9" t="s">
        <v>11415</v>
      </c>
      <c r="D5424" s="9" t="s">
        <v>11125</v>
      </c>
      <c r="E5424" s="9" t="str">
        <f aca="false">IF('Denial Worlds'!J152="PASS","PASS","FAIL")</f>
        <v>PASS</v>
      </c>
      <c r="F5424" s="9" t="s">
        <v>76</v>
      </c>
      <c r="G5424" s="6"/>
      <c r="H5424" s="6"/>
      <c r="I5424" s="6"/>
      <c r="J5424" s="6"/>
      <c r="K5424" s="6"/>
      <c r="L5424" s="6"/>
      <c r="M5424" s="6"/>
      <c r="N5424" s="6"/>
      <c r="O5424" s="6"/>
      <c r="P5424" s="6"/>
      <c r="Q5424" s="6"/>
      <c r="R5424" s="6"/>
      <c r="S5424" s="6"/>
      <c r="T5424" s="6"/>
      <c r="U5424" s="6"/>
      <c r="V5424" s="6"/>
      <c r="W5424" s="6"/>
      <c r="X5424" s="6"/>
      <c r="Y5424" s="6"/>
      <c r="Z5424" s="6"/>
    </row>
    <row r="5425" customFormat="false" ht="15" hidden="false" customHeight="false" outlineLevel="0" collapsed="false">
      <c r="A5425" s="9" t="s">
        <v>11416</v>
      </c>
      <c r="B5425" s="9" t="s">
        <v>11123</v>
      </c>
      <c r="C5425" s="9" t="s">
        <v>11417</v>
      </c>
      <c r="D5425" s="9" t="s">
        <v>11125</v>
      </c>
      <c r="E5425" s="9" t="str">
        <f aca="false">IF('Denial Worlds'!J153="PASS","PASS","FAIL")</f>
        <v>PASS</v>
      </c>
      <c r="F5425" s="9" t="s">
        <v>76</v>
      </c>
      <c r="G5425" s="6"/>
      <c r="H5425" s="6"/>
      <c r="I5425" s="6"/>
      <c r="J5425" s="6"/>
      <c r="K5425" s="6"/>
      <c r="L5425" s="6"/>
      <c r="M5425" s="6"/>
      <c r="N5425" s="6"/>
      <c r="O5425" s="6"/>
      <c r="P5425" s="6"/>
      <c r="Q5425" s="6"/>
      <c r="R5425" s="6"/>
      <c r="S5425" s="6"/>
      <c r="T5425" s="6"/>
      <c r="U5425" s="6"/>
      <c r="V5425" s="6"/>
      <c r="W5425" s="6"/>
      <c r="X5425" s="6"/>
      <c r="Y5425" s="6"/>
      <c r="Z5425" s="6"/>
    </row>
    <row r="5426" customFormat="false" ht="15" hidden="false" customHeight="false" outlineLevel="0" collapsed="false">
      <c r="A5426" s="9" t="s">
        <v>11418</v>
      </c>
      <c r="B5426" s="9" t="s">
        <v>11123</v>
      </c>
      <c r="C5426" s="9" t="s">
        <v>11419</v>
      </c>
      <c r="D5426" s="9" t="s">
        <v>11125</v>
      </c>
      <c r="E5426" s="9" t="str">
        <f aca="false">IF('Denial Worlds'!J154="PASS","PASS","FAIL")</f>
        <v>PASS</v>
      </c>
      <c r="F5426" s="9" t="s">
        <v>76</v>
      </c>
      <c r="G5426" s="6"/>
      <c r="H5426" s="6"/>
      <c r="I5426" s="6"/>
      <c r="J5426" s="6"/>
      <c r="K5426" s="6"/>
      <c r="L5426" s="6"/>
      <c r="M5426" s="6"/>
      <c r="N5426" s="6"/>
      <c r="O5426" s="6"/>
      <c r="P5426" s="6"/>
      <c r="Q5426" s="6"/>
      <c r="R5426" s="6"/>
      <c r="S5426" s="6"/>
      <c r="T5426" s="6"/>
      <c r="U5426" s="6"/>
      <c r="V5426" s="6"/>
      <c r="W5426" s="6"/>
      <c r="X5426" s="6"/>
      <c r="Y5426" s="6"/>
      <c r="Z5426" s="6"/>
    </row>
    <row r="5427" customFormat="false" ht="15" hidden="false" customHeight="false" outlineLevel="0" collapsed="false">
      <c r="A5427" s="9" t="s">
        <v>11420</v>
      </c>
      <c r="B5427" s="9" t="s">
        <v>11123</v>
      </c>
      <c r="C5427" s="9" t="s">
        <v>11421</v>
      </c>
      <c r="D5427" s="9" t="s">
        <v>11125</v>
      </c>
      <c r="E5427" s="9" t="str">
        <f aca="false">IF('Denial Worlds'!J155="PASS","PASS","FAIL")</f>
        <v>PASS</v>
      </c>
      <c r="F5427" s="9" t="s">
        <v>76</v>
      </c>
      <c r="G5427" s="6"/>
      <c r="H5427" s="6"/>
      <c r="I5427" s="6"/>
      <c r="J5427" s="6"/>
      <c r="K5427" s="6"/>
      <c r="L5427" s="6"/>
      <c r="M5427" s="6"/>
      <c r="N5427" s="6"/>
      <c r="O5427" s="6"/>
      <c r="P5427" s="6"/>
      <c r="Q5427" s="6"/>
      <c r="R5427" s="6"/>
      <c r="S5427" s="6"/>
      <c r="T5427" s="6"/>
      <c r="U5427" s="6"/>
      <c r="V5427" s="6"/>
      <c r="W5427" s="6"/>
      <c r="X5427" s="6"/>
      <c r="Y5427" s="6"/>
      <c r="Z5427" s="6"/>
    </row>
    <row r="5428" customFormat="false" ht="15" hidden="false" customHeight="false" outlineLevel="0" collapsed="false">
      <c r="A5428" s="9" t="s">
        <v>11422</v>
      </c>
      <c r="B5428" s="9" t="s">
        <v>11123</v>
      </c>
      <c r="C5428" s="9" t="s">
        <v>11423</v>
      </c>
      <c r="D5428" s="9" t="s">
        <v>11125</v>
      </c>
      <c r="E5428" s="9" t="str">
        <f aca="false">IF('Denial Worlds'!J156="PASS","PASS","FAIL")</f>
        <v>PASS</v>
      </c>
      <c r="F5428" s="9" t="s">
        <v>76</v>
      </c>
      <c r="G5428" s="6"/>
      <c r="H5428" s="6"/>
      <c r="I5428" s="6"/>
      <c r="J5428" s="6"/>
      <c r="K5428" s="6"/>
      <c r="L5428" s="6"/>
      <c r="M5428" s="6"/>
      <c r="N5428" s="6"/>
      <c r="O5428" s="6"/>
      <c r="P5428" s="6"/>
      <c r="Q5428" s="6"/>
      <c r="R5428" s="6"/>
      <c r="S5428" s="6"/>
      <c r="T5428" s="6"/>
      <c r="U5428" s="6"/>
      <c r="V5428" s="6"/>
      <c r="W5428" s="6"/>
      <c r="X5428" s="6"/>
      <c r="Y5428" s="6"/>
      <c r="Z5428" s="6"/>
    </row>
    <row r="5429" customFormat="false" ht="15" hidden="false" customHeight="false" outlineLevel="0" collapsed="false">
      <c r="A5429" s="9" t="s">
        <v>11424</v>
      </c>
      <c r="B5429" s="9" t="s">
        <v>11123</v>
      </c>
      <c r="C5429" s="9" t="s">
        <v>11425</v>
      </c>
      <c r="D5429" s="9" t="s">
        <v>11125</v>
      </c>
      <c r="E5429" s="9" t="str">
        <f aca="false">IF('Denial Worlds'!J157="PASS","PASS","FAIL")</f>
        <v>PASS</v>
      </c>
      <c r="F5429" s="9" t="s">
        <v>76</v>
      </c>
      <c r="G5429" s="6"/>
      <c r="H5429" s="6"/>
      <c r="I5429" s="6"/>
      <c r="J5429" s="6"/>
      <c r="K5429" s="6"/>
      <c r="L5429" s="6"/>
      <c r="M5429" s="6"/>
      <c r="N5429" s="6"/>
      <c r="O5429" s="6"/>
      <c r="P5429" s="6"/>
      <c r="Q5429" s="6"/>
      <c r="R5429" s="6"/>
      <c r="S5429" s="6"/>
      <c r="T5429" s="6"/>
      <c r="U5429" s="6"/>
      <c r="V5429" s="6"/>
      <c r="W5429" s="6"/>
      <c r="X5429" s="6"/>
      <c r="Y5429" s="6"/>
      <c r="Z5429" s="6"/>
    </row>
    <row r="5430" customFormat="false" ht="15" hidden="false" customHeight="false" outlineLevel="0" collapsed="false">
      <c r="A5430" s="9" t="s">
        <v>11426</v>
      </c>
      <c r="B5430" s="9" t="s">
        <v>11123</v>
      </c>
      <c r="C5430" s="9" t="s">
        <v>11427</v>
      </c>
      <c r="D5430" s="9" t="s">
        <v>11125</v>
      </c>
      <c r="E5430" s="9" t="str">
        <f aca="false">IF('Denial Worlds'!J158="PASS","PASS","FAIL")</f>
        <v>PASS</v>
      </c>
      <c r="F5430" s="9" t="s">
        <v>76</v>
      </c>
      <c r="G5430" s="6"/>
      <c r="H5430" s="6"/>
      <c r="I5430" s="6"/>
      <c r="J5430" s="6"/>
      <c r="K5430" s="6"/>
      <c r="L5430" s="6"/>
      <c r="M5430" s="6"/>
      <c r="N5430" s="6"/>
      <c r="O5430" s="6"/>
      <c r="P5430" s="6"/>
      <c r="Q5430" s="6"/>
      <c r="R5430" s="6"/>
      <c r="S5430" s="6"/>
      <c r="T5430" s="6"/>
      <c r="U5430" s="6"/>
      <c r="V5430" s="6"/>
      <c r="W5430" s="6"/>
      <c r="X5430" s="6"/>
      <c r="Y5430" s="6"/>
      <c r="Z5430" s="6"/>
    </row>
    <row r="5431" customFormat="false" ht="15" hidden="false" customHeight="false" outlineLevel="0" collapsed="false">
      <c r="A5431" s="9" t="s">
        <v>11428</v>
      </c>
      <c r="B5431" s="9" t="s">
        <v>11123</v>
      </c>
      <c r="C5431" s="9" t="s">
        <v>11429</v>
      </c>
      <c r="D5431" s="9" t="s">
        <v>11125</v>
      </c>
      <c r="E5431" s="9" t="str">
        <f aca="false">IF('Denial Worlds'!J159="PASS","PASS","FAIL")</f>
        <v>PASS</v>
      </c>
      <c r="F5431" s="9" t="s">
        <v>76</v>
      </c>
      <c r="G5431" s="6"/>
      <c r="H5431" s="6"/>
      <c r="I5431" s="6"/>
      <c r="J5431" s="6"/>
      <c r="K5431" s="6"/>
      <c r="L5431" s="6"/>
      <c r="M5431" s="6"/>
      <c r="N5431" s="6"/>
      <c r="O5431" s="6"/>
      <c r="P5431" s="6"/>
      <c r="Q5431" s="6"/>
      <c r="R5431" s="6"/>
      <c r="S5431" s="6"/>
      <c r="T5431" s="6"/>
      <c r="U5431" s="6"/>
      <c r="V5431" s="6"/>
      <c r="W5431" s="6"/>
      <c r="X5431" s="6"/>
      <c r="Y5431" s="6"/>
      <c r="Z5431" s="6"/>
    </row>
    <row r="5432" customFormat="false" ht="15" hidden="false" customHeight="false" outlineLevel="0" collapsed="false">
      <c r="A5432" s="9" t="s">
        <v>11430</v>
      </c>
      <c r="B5432" s="9" t="s">
        <v>11123</v>
      </c>
      <c r="C5432" s="9" t="s">
        <v>11431</v>
      </c>
      <c r="D5432" s="9" t="s">
        <v>11125</v>
      </c>
      <c r="E5432" s="9" t="str">
        <f aca="false">IF('Denial Worlds'!J160="PASS","PASS","FAIL")</f>
        <v>PASS</v>
      </c>
      <c r="F5432" s="9" t="s">
        <v>76</v>
      </c>
      <c r="G5432" s="6"/>
      <c r="H5432" s="6"/>
      <c r="I5432" s="6"/>
      <c r="J5432" s="6"/>
      <c r="K5432" s="6"/>
      <c r="L5432" s="6"/>
      <c r="M5432" s="6"/>
      <c r="N5432" s="6"/>
      <c r="O5432" s="6"/>
      <c r="P5432" s="6"/>
      <c r="Q5432" s="6"/>
      <c r="R5432" s="6"/>
      <c r="S5432" s="6"/>
      <c r="T5432" s="6"/>
      <c r="U5432" s="6"/>
      <c r="V5432" s="6"/>
      <c r="W5432" s="6"/>
      <c r="X5432" s="6"/>
      <c r="Y5432" s="6"/>
      <c r="Z5432" s="6"/>
    </row>
    <row r="5433" customFormat="false" ht="15" hidden="false" customHeight="false" outlineLevel="0" collapsed="false">
      <c r="A5433" s="9" t="s">
        <v>11432</v>
      </c>
      <c r="B5433" s="9" t="s">
        <v>11123</v>
      </c>
      <c r="C5433" s="9" t="s">
        <v>11433</v>
      </c>
      <c r="D5433" s="9" t="s">
        <v>11125</v>
      </c>
      <c r="E5433" s="9" t="str">
        <f aca="false">IF('Denial Worlds'!J161="PASS","PASS","FAIL")</f>
        <v>PASS</v>
      </c>
      <c r="F5433" s="9" t="s">
        <v>76</v>
      </c>
      <c r="G5433" s="6"/>
      <c r="H5433" s="6"/>
      <c r="I5433" s="6"/>
      <c r="J5433" s="6"/>
      <c r="K5433" s="6"/>
      <c r="L5433" s="6"/>
      <c r="M5433" s="6"/>
      <c r="N5433" s="6"/>
      <c r="O5433" s="6"/>
      <c r="P5433" s="6"/>
      <c r="Q5433" s="6"/>
      <c r="R5433" s="6"/>
      <c r="S5433" s="6"/>
      <c r="T5433" s="6"/>
      <c r="U5433" s="6"/>
      <c r="V5433" s="6"/>
      <c r="W5433" s="6"/>
      <c r="X5433" s="6"/>
      <c r="Y5433" s="6"/>
      <c r="Z5433" s="6"/>
    </row>
    <row r="5434" customFormat="false" ht="15" hidden="false" customHeight="false" outlineLevel="0" collapsed="false">
      <c r="A5434" s="9" t="s">
        <v>11434</v>
      </c>
      <c r="B5434" s="9" t="s">
        <v>11123</v>
      </c>
      <c r="C5434" s="9" t="s">
        <v>11435</v>
      </c>
      <c r="D5434" s="9" t="s">
        <v>11125</v>
      </c>
      <c r="E5434" s="9" t="str">
        <f aca="false">IF('Denial Worlds'!J162="PASS","PASS","FAIL")</f>
        <v>PASS</v>
      </c>
      <c r="F5434" s="9" t="s">
        <v>76</v>
      </c>
      <c r="G5434" s="6"/>
      <c r="H5434" s="6"/>
      <c r="I5434" s="6"/>
      <c r="J5434" s="6"/>
      <c r="K5434" s="6"/>
      <c r="L5434" s="6"/>
      <c r="M5434" s="6"/>
      <c r="N5434" s="6"/>
      <c r="O5434" s="6"/>
      <c r="P5434" s="6"/>
      <c r="Q5434" s="6"/>
      <c r="R5434" s="6"/>
      <c r="S5434" s="6"/>
      <c r="T5434" s="6"/>
      <c r="U5434" s="6"/>
      <c r="V5434" s="6"/>
      <c r="W5434" s="6"/>
      <c r="X5434" s="6"/>
      <c r="Y5434" s="6"/>
      <c r="Z5434" s="6"/>
    </row>
    <row r="5435" customFormat="false" ht="15" hidden="false" customHeight="false" outlineLevel="0" collapsed="false">
      <c r="A5435" s="9" t="s">
        <v>11436</v>
      </c>
      <c r="B5435" s="9" t="s">
        <v>11123</v>
      </c>
      <c r="C5435" s="9" t="s">
        <v>11437</v>
      </c>
      <c r="D5435" s="9" t="s">
        <v>11125</v>
      </c>
      <c r="E5435" s="9" t="str">
        <f aca="false">IF('Denial Worlds'!J163="PASS","PASS","FAIL")</f>
        <v>PASS</v>
      </c>
      <c r="F5435" s="9" t="s">
        <v>76</v>
      </c>
      <c r="G5435" s="6"/>
      <c r="H5435" s="6"/>
      <c r="I5435" s="6"/>
      <c r="J5435" s="6"/>
      <c r="K5435" s="6"/>
      <c r="L5435" s="6"/>
      <c r="M5435" s="6"/>
      <c r="N5435" s="6"/>
      <c r="O5435" s="6"/>
      <c r="P5435" s="6"/>
      <c r="Q5435" s="6"/>
      <c r="R5435" s="6"/>
      <c r="S5435" s="6"/>
      <c r="T5435" s="6"/>
      <c r="U5435" s="6"/>
      <c r="V5435" s="6"/>
      <c r="W5435" s="6"/>
      <c r="X5435" s="6"/>
      <c r="Y5435" s="6"/>
      <c r="Z5435" s="6"/>
    </row>
    <row r="5436" customFormat="false" ht="15" hidden="false" customHeight="false" outlineLevel="0" collapsed="false">
      <c r="A5436" s="9" t="s">
        <v>11438</v>
      </c>
      <c r="B5436" s="9" t="s">
        <v>11123</v>
      </c>
      <c r="C5436" s="9" t="s">
        <v>11439</v>
      </c>
      <c r="D5436" s="9" t="s">
        <v>11125</v>
      </c>
      <c r="E5436" s="9" t="str">
        <f aca="false">IF('Denial Worlds'!J164="PASS","PASS","FAIL")</f>
        <v>PASS</v>
      </c>
      <c r="F5436" s="9" t="s">
        <v>76</v>
      </c>
      <c r="G5436" s="6"/>
      <c r="H5436" s="6"/>
      <c r="I5436" s="6"/>
      <c r="J5436" s="6"/>
      <c r="K5436" s="6"/>
      <c r="L5436" s="6"/>
      <c r="M5436" s="6"/>
      <c r="N5436" s="6"/>
      <c r="O5436" s="6"/>
      <c r="P5436" s="6"/>
      <c r="Q5436" s="6"/>
      <c r="R5436" s="6"/>
      <c r="S5436" s="6"/>
      <c r="T5436" s="6"/>
      <c r="U5436" s="6"/>
      <c r="V5436" s="6"/>
      <c r="W5436" s="6"/>
      <c r="X5436" s="6"/>
      <c r="Y5436" s="6"/>
      <c r="Z5436" s="6"/>
    </row>
    <row r="5437" customFormat="false" ht="15" hidden="false" customHeight="false" outlineLevel="0" collapsed="false">
      <c r="A5437" s="9" t="s">
        <v>11440</v>
      </c>
      <c r="B5437" s="9" t="s">
        <v>11123</v>
      </c>
      <c r="C5437" s="9" t="s">
        <v>11441</v>
      </c>
      <c r="D5437" s="9" t="s">
        <v>11125</v>
      </c>
      <c r="E5437" s="9" t="str">
        <f aca="false">IF('Denial Worlds'!J165="PASS","PASS","FAIL")</f>
        <v>PASS</v>
      </c>
      <c r="F5437" s="9" t="s">
        <v>76</v>
      </c>
      <c r="G5437" s="6"/>
      <c r="H5437" s="6"/>
      <c r="I5437" s="6"/>
      <c r="J5437" s="6"/>
      <c r="K5437" s="6"/>
      <c r="L5437" s="6"/>
      <c r="M5437" s="6"/>
      <c r="N5437" s="6"/>
      <c r="O5437" s="6"/>
      <c r="P5437" s="6"/>
      <c r="Q5437" s="6"/>
      <c r="R5437" s="6"/>
      <c r="S5437" s="6"/>
      <c r="T5437" s="6"/>
      <c r="U5437" s="6"/>
      <c r="V5437" s="6"/>
      <c r="W5437" s="6"/>
      <c r="X5437" s="6"/>
      <c r="Y5437" s="6"/>
      <c r="Z5437" s="6"/>
    </row>
    <row r="5438" customFormat="false" ht="15" hidden="false" customHeight="false" outlineLevel="0" collapsed="false">
      <c r="A5438" s="9" t="s">
        <v>11442</v>
      </c>
      <c r="B5438" s="9" t="s">
        <v>11123</v>
      </c>
      <c r="C5438" s="9" t="s">
        <v>11443</v>
      </c>
      <c r="D5438" s="9" t="s">
        <v>11125</v>
      </c>
      <c r="E5438" s="9" t="str">
        <f aca="false">IF('Denial Worlds'!J166="PASS","PASS","FAIL")</f>
        <v>PASS</v>
      </c>
      <c r="F5438" s="9" t="s">
        <v>76</v>
      </c>
      <c r="G5438" s="6"/>
      <c r="H5438" s="6"/>
      <c r="I5438" s="6"/>
      <c r="J5438" s="6"/>
      <c r="K5438" s="6"/>
      <c r="L5438" s="6"/>
      <c r="M5438" s="6"/>
      <c r="N5438" s="6"/>
      <c r="O5438" s="6"/>
      <c r="P5438" s="6"/>
      <c r="Q5438" s="6"/>
      <c r="R5438" s="6"/>
      <c r="S5438" s="6"/>
      <c r="T5438" s="6"/>
      <c r="U5438" s="6"/>
      <c r="V5438" s="6"/>
      <c r="W5438" s="6"/>
      <c r="X5438" s="6"/>
      <c r="Y5438" s="6"/>
      <c r="Z5438" s="6"/>
    </row>
    <row r="5439" customFormat="false" ht="15" hidden="false" customHeight="false" outlineLevel="0" collapsed="false">
      <c r="A5439" s="9" t="s">
        <v>11444</v>
      </c>
      <c r="B5439" s="9" t="s">
        <v>11123</v>
      </c>
      <c r="C5439" s="9" t="s">
        <v>11445</v>
      </c>
      <c r="D5439" s="9" t="s">
        <v>11125</v>
      </c>
      <c r="E5439" s="9" t="str">
        <f aca="false">IF('Denial Worlds'!J167="PASS","PASS","FAIL")</f>
        <v>PASS</v>
      </c>
      <c r="F5439" s="9" t="s">
        <v>76</v>
      </c>
      <c r="G5439" s="6"/>
      <c r="H5439" s="6"/>
      <c r="I5439" s="6"/>
      <c r="J5439" s="6"/>
      <c r="K5439" s="6"/>
      <c r="L5439" s="6"/>
      <c r="M5439" s="6"/>
      <c r="N5439" s="6"/>
      <c r="O5439" s="6"/>
      <c r="P5439" s="6"/>
      <c r="Q5439" s="6"/>
      <c r="R5439" s="6"/>
      <c r="S5439" s="6"/>
      <c r="T5439" s="6"/>
      <c r="U5439" s="6"/>
      <c r="V5439" s="6"/>
      <c r="W5439" s="6"/>
      <c r="X5439" s="6"/>
      <c r="Y5439" s="6"/>
      <c r="Z5439" s="6"/>
    </row>
    <row r="5440" customFormat="false" ht="15" hidden="false" customHeight="false" outlineLevel="0" collapsed="false">
      <c r="A5440" s="9" t="s">
        <v>11446</v>
      </c>
      <c r="B5440" s="9" t="s">
        <v>11123</v>
      </c>
      <c r="C5440" s="9" t="s">
        <v>11447</v>
      </c>
      <c r="D5440" s="9" t="s">
        <v>11125</v>
      </c>
      <c r="E5440" s="9" t="str">
        <f aca="false">IF('Denial Worlds'!J168="PASS","PASS","FAIL")</f>
        <v>PASS</v>
      </c>
      <c r="F5440" s="9" t="s">
        <v>76</v>
      </c>
      <c r="G5440" s="6"/>
      <c r="H5440" s="6"/>
      <c r="I5440" s="6"/>
      <c r="J5440" s="6"/>
      <c r="K5440" s="6"/>
      <c r="L5440" s="6"/>
      <c r="M5440" s="6"/>
      <c r="N5440" s="6"/>
      <c r="O5440" s="6"/>
      <c r="P5440" s="6"/>
      <c r="Q5440" s="6"/>
      <c r="R5440" s="6"/>
      <c r="S5440" s="6"/>
      <c r="T5440" s="6"/>
      <c r="U5440" s="6"/>
      <c r="V5440" s="6"/>
      <c r="W5440" s="6"/>
      <c r="X5440" s="6"/>
      <c r="Y5440" s="6"/>
      <c r="Z5440" s="6"/>
    </row>
    <row r="5441" customFormat="false" ht="15" hidden="false" customHeight="false" outlineLevel="0" collapsed="false">
      <c r="A5441" s="9" t="s">
        <v>11448</v>
      </c>
      <c r="B5441" s="9" t="s">
        <v>11123</v>
      </c>
      <c r="C5441" s="9" t="s">
        <v>11449</v>
      </c>
      <c r="D5441" s="9" t="s">
        <v>11125</v>
      </c>
      <c r="E5441" s="9" t="str">
        <f aca="false">IF('Denial Worlds'!J169="PASS","PASS","FAIL")</f>
        <v>PASS</v>
      </c>
      <c r="F5441" s="9" t="s">
        <v>76</v>
      </c>
      <c r="G5441" s="6"/>
      <c r="H5441" s="6"/>
      <c r="I5441" s="6"/>
      <c r="J5441" s="6"/>
      <c r="K5441" s="6"/>
      <c r="L5441" s="6"/>
      <c r="M5441" s="6"/>
      <c r="N5441" s="6"/>
      <c r="O5441" s="6"/>
      <c r="P5441" s="6"/>
      <c r="Q5441" s="6"/>
      <c r="R5441" s="6"/>
      <c r="S5441" s="6"/>
      <c r="T5441" s="6"/>
      <c r="U5441" s="6"/>
      <c r="V5441" s="6"/>
      <c r="W5441" s="6"/>
      <c r="X5441" s="6"/>
      <c r="Y5441" s="6"/>
      <c r="Z5441" s="6"/>
    </row>
    <row r="5442" customFormat="false" ht="15" hidden="false" customHeight="false" outlineLevel="0" collapsed="false">
      <c r="A5442" s="9" t="s">
        <v>11450</v>
      </c>
      <c r="B5442" s="9" t="s">
        <v>11123</v>
      </c>
      <c r="C5442" s="9" t="s">
        <v>11451</v>
      </c>
      <c r="D5442" s="9" t="s">
        <v>11125</v>
      </c>
      <c r="E5442" s="9" t="str">
        <f aca="false">IF('Denial Worlds'!J170="PASS","PASS","FAIL")</f>
        <v>PASS</v>
      </c>
      <c r="F5442" s="9" t="s">
        <v>76</v>
      </c>
      <c r="G5442" s="6"/>
      <c r="H5442" s="6"/>
      <c r="I5442" s="6"/>
      <c r="J5442" s="6"/>
      <c r="K5442" s="6"/>
      <c r="L5442" s="6"/>
      <c r="M5442" s="6"/>
      <c r="N5442" s="6"/>
      <c r="O5442" s="6"/>
      <c r="P5442" s="6"/>
      <c r="Q5442" s="6"/>
      <c r="R5442" s="6"/>
      <c r="S5442" s="6"/>
      <c r="T5442" s="6"/>
      <c r="U5442" s="6"/>
      <c r="V5442" s="6"/>
      <c r="W5442" s="6"/>
      <c r="X5442" s="6"/>
      <c r="Y5442" s="6"/>
      <c r="Z5442" s="6"/>
    </row>
    <row r="5443" customFormat="false" ht="15" hidden="false" customHeight="false" outlineLevel="0" collapsed="false">
      <c r="A5443" s="9" t="s">
        <v>11452</v>
      </c>
      <c r="B5443" s="9" t="s">
        <v>11123</v>
      </c>
      <c r="C5443" s="9" t="s">
        <v>11453</v>
      </c>
      <c r="D5443" s="9" t="s">
        <v>11125</v>
      </c>
      <c r="E5443" s="9" t="str">
        <f aca="false">IF('Denial Worlds'!J171="PASS","PASS","FAIL")</f>
        <v>PASS</v>
      </c>
      <c r="F5443" s="9" t="s">
        <v>76</v>
      </c>
      <c r="G5443" s="6"/>
      <c r="H5443" s="6"/>
      <c r="I5443" s="6"/>
      <c r="J5443" s="6"/>
      <c r="K5443" s="6"/>
      <c r="L5443" s="6"/>
      <c r="M5443" s="6"/>
      <c r="N5443" s="6"/>
      <c r="O5443" s="6"/>
      <c r="P5443" s="6"/>
      <c r="Q5443" s="6"/>
      <c r="R5443" s="6"/>
      <c r="S5443" s="6"/>
      <c r="T5443" s="6"/>
      <c r="U5443" s="6"/>
      <c r="V5443" s="6"/>
      <c r="W5443" s="6"/>
      <c r="X5443" s="6"/>
      <c r="Y5443" s="6"/>
      <c r="Z5443" s="6"/>
    </row>
    <row r="5444" customFormat="false" ht="15" hidden="false" customHeight="false" outlineLevel="0" collapsed="false">
      <c r="A5444" s="9" t="s">
        <v>11454</v>
      </c>
      <c r="B5444" s="9" t="s">
        <v>11123</v>
      </c>
      <c r="C5444" s="9" t="s">
        <v>11455</v>
      </c>
      <c r="D5444" s="9" t="s">
        <v>11125</v>
      </c>
      <c r="E5444" s="9" t="str">
        <f aca="false">IF('Denial Worlds'!J172="PASS","PASS","FAIL")</f>
        <v>PASS</v>
      </c>
      <c r="F5444" s="9" t="s">
        <v>76</v>
      </c>
      <c r="G5444" s="6"/>
      <c r="H5444" s="6"/>
      <c r="I5444" s="6"/>
      <c r="J5444" s="6"/>
      <c r="K5444" s="6"/>
      <c r="L5444" s="6"/>
      <c r="M5444" s="6"/>
      <c r="N5444" s="6"/>
      <c r="O5444" s="6"/>
      <c r="P5444" s="6"/>
      <c r="Q5444" s="6"/>
      <c r="R5444" s="6"/>
      <c r="S5444" s="6"/>
      <c r="T5444" s="6"/>
      <c r="U5444" s="6"/>
      <c r="V5444" s="6"/>
      <c r="W5444" s="6"/>
      <c r="X5444" s="6"/>
      <c r="Y5444" s="6"/>
      <c r="Z5444" s="6"/>
    </row>
    <row r="5445" customFormat="false" ht="15" hidden="false" customHeight="false" outlineLevel="0" collapsed="false">
      <c r="A5445" s="9" t="s">
        <v>11456</v>
      </c>
      <c r="B5445" s="9" t="s">
        <v>11123</v>
      </c>
      <c r="C5445" s="9" t="s">
        <v>11457</v>
      </c>
      <c r="D5445" s="9" t="s">
        <v>11125</v>
      </c>
      <c r="E5445" s="9" t="str">
        <f aca="false">IF('Denial Worlds'!J173="PASS","PASS","FAIL")</f>
        <v>PASS</v>
      </c>
      <c r="F5445" s="9" t="s">
        <v>76</v>
      </c>
      <c r="G5445" s="6"/>
      <c r="H5445" s="6"/>
      <c r="I5445" s="6"/>
      <c r="J5445" s="6"/>
      <c r="K5445" s="6"/>
      <c r="L5445" s="6"/>
      <c r="M5445" s="6"/>
      <c r="N5445" s="6"/>
      <c r="O5445" s="6"/>
      <c r="P5445" s="6"/>
      <c r="Q5445" s="6"/>
      <c r="R5445" s="6"/>
      <c r="S5445" s="6"/>
      <c r="T5445" s="6"/>
      <c r="U5445" s="6"/>
      <c r="V5445" s="6"/>
      <c r="W5445" s="6"/>
      <c r="X5445" s="6"/>
      <c r="Y5445" s="6"/>
      <c r="Z5445" s="6"/>
    </row>
    <row r="5446" customFormat="false" ht="15" hidden="false" customHeight="false" outlineLevel="0" collapsed="false">
      <c r="A5446" s="9" t="s">
        <v>11458</v>
      </c>
      <c r="B5446" s="9" t="s">
        <v>11123</v>
      </c>
      <c r="C5446" s="9" t="s">
        <v>11459</v>
      </c>
      <c r="D5446" s="9" t="s">
        <v>11125</v>
      </c>
      <c r="E5446" s="9" t="str">
        <f aca="false">IF('Denial Worlds'!J174="PASS","PASS","FAIL")</f>
        <v>PASS</v>
      </c>
      <c r="F5446" s="9" t="s">
        <v>76</v>
      </c>
      <c r="G5446" s="6"/>
      <c r="H5446" s="6"/>
      <c r="I5446" s="6"/>
      <c r="J5446" s="6"/>
      <c r="K5446" s="6"/>
      <c r="L5446" s="6"/>
      <c r="M5446" s="6"/>
      <c r="N5446" s="6"/>
      <c r="O5446" s="6"/>
      <c r="P5446" s="6"/>
      <c r="Q5446" s="6"/>
      <c r="R5446" s="6"/>
      <c r="S5446" s="6"/>
      <c r="T5446" s="6"/>
      <c r="U5446" s="6"/>
      <c r="V5446" s="6"/>
      <c r="W5446" s="6"/>
      <c r="X5446" s="6"/>
      <c r="Y5446" s="6"/>
      <c r="Z5446" s="6"/>
    </row>
    <row r="5447" customFormat="false" ht="15" hidden="false" customHeight="false" outlineLevel="0" collapsed="false">
      <c r="A5447" s="9" t="s">
        <v>11460</v>
      </c>
      <c r="B5447" s="9" t="s">
        <v>11123</v>
      </c>
      <c r="C5447" s="9" t="s">
        <v>11461</v>
      </c>
      <c r="D5447" s="9" t="s">
        <v>11125</v>
      </c>
      <c r="E5447" s="9" t="str">
        <f aca="false">IF('Denial Worlds'!J175="PASS","PASS","FAIL")</f>
        <v>PASS</v>
      </c>
      <c r="F5447" s="9" t="s">
        <v>76</v>
      </c>
      <c r="G5447" s="6"/>
      <c r="H5447" s="6"/>
      <c r="I5447" s="6"/>
      <c r="J5447" s="6"/>
      <c r="K5447" s="6"/>
      <c r="L5447" s="6"/>
      <c r="M5447" s="6"/>
      <c r="N5447" s="6"/>
      <c r="O5447" s="6"/>
      <c r="P5447" s="6"/>
      <c r="Q5447" s="6"/>
      <c r="R5447" s="6"/>
      <c r="S5447" s="6"/>
      <c r="T5447" s="6"/>
      <c r="U5447" s="6"/>
      <c r="V5447" s="6"/>
      <c r="W5447" s="6"/>
      <c r="X5447" s="6"/>
      <c r="Y5447" s="6"/>
      <c r="Z5447" s="6"/>
    </row>
    <row r="5448" customFormat="false" ht="15" hidden="false" customHeight="false" outlineLevel="0" collapsed="false">
      <c r="A5448" s="9" t="s">
        <v>11462</v>
      </c>
      <c r="B5448" s="9" t="s">
        <v>11123</v>
      </c>
      <c r="C5448" s="9" t="s">
        <v>11463</v>
      </c>
      <c r="D5448" s="9" t="s">
        <v>11125</v>
      </c>
      <c r="E5448" s="9" t="str">
        <f aca="false">IF('Denial Worlds'!J176="PASS","PASS","FAIL")</f>
        <v>PASS</v>
      </c>
      <c r="F5448" s="9" t="s">
        <v>76</v>
      </c>
      <c r="G5448" s="6"/>
      <c r="H5448" s="6"/>
      <c r="I5448" s="6"/>
      <c r="J5448" s="6"/>
      <c r="K5448" s="6"/>
      <c r="L5448" s="6"/>
      <c r="M5448" s="6"/>
      <c r="N5448" s="6"/>
      <c r="O5448" s="6"/>
      <c r="P5448" s="6"/>
      <c r="Q5448" s="6"/>
      <c r="R5448" s="6"/>
      <c r="S5448" s="6"/>
      <c r="T5448" s="6"/>
      <c r="U5448" s="6"/>
      <c r="V5448" s="6"/>
      <c r="W5448" s="6"/>
      <c r="X5448" s="6"/>
      <c r="Y5448" s="6"/>
      <c r="Z5448" s="6"/>
    </row>
    <row r="5449" customFormat="false" ht="15" hidden="false" customHeight="false" outlineLevel="0" collapsed="false">
      <c r="A5449" s="9" t="s">
        <v>11464</v>
      </c>
      <c r="B5449" s="9" t="s">
        <v>11123</v>
      </c>
      <c r="C5449" s="9" t="s">
        <v>11465</v>
      </c>
      <c r="D5449" s="9" t="s">
        <v>11125</v>
      </c>
      <c r="E5449" s="9" t="str">
        <f aca="false">IF('Denial Worlds'!J177="PASS","PASS","FAIL")</f>
        <v>PASS</v>
      </c>
      <c r="F5449" s="9" t="s">
        <v>76</v>
      </c>
      <c r="G5449" s="6"/>
      <c r="H5449" s="6"/>
      <c r="I5449" s="6"/>
      <c r="J5449" s="6"/>
      <c r="K5449" s="6"/>
      <c r="L5449" s="6"/>
      <c r="M5449" s="6"/>
      <c r="N5449" s="6"/>
      <c r="O5449" s="6"/>
      <c r="P5449" s="6"/>
      <c r="Q5449" s="6"/>
      <c r="R5449" s="6"/>
      <c r="S5449" s="6"/>
      <c r="T5449" s="6"/>
      <c r="U5449" s="6"/>
      <c r="V5449" s="6"/>
      <c r="W5449" s="6"/>
      <c r="X5449" s="6"/>
      <c r="Y5449" s="6"/>
      <c r="Z5449" s="6"/>
    </row>
    <row r="5450" customFormat="false" ht="15" hidden="false" customHeight="false" outlineLevel="0" collapsed="false">
      <c r="A5450" s="9" t="s">
        <v>11466</v>
      </c>
      <c r="B5450" s="9" t="s">
        <v>11123</v>
      </c>
      <c r="C5450" s="9" t="s">
        <v>11467</v>
      </c>
      <c r="D5450" s="9" t="s">
        <v>11125</v>
      </c>
      <c r="E5450" s="9" t="str">
        <f aca="false">IF('Denial Worlds'!J178="PASS","PASS","FAIL")</f>
        <v>PASS</v>
      </c>
      <c r="F5450" s="9" t="s">
        <v>76</v>
      </c>
      <c r="G5450" s="6"/>
      <c r="H5450" s="6"/>
      <c r="I5450" s="6"/>
      <c r="J5450" s="6"/>
      <c r="K5450" s="6"/>
      <c r="L5450" s="6"/>
      <c r="M5450" s="6"/>
      <c r="N5450" s="6"/>
      <c r="O5450" s="6"/>
      <c r="P5450" s="6"/>
      <c r="Q5450" s="6"/>
      <c r="R5450" s="6"/>
      <c r="S5450" s="6"/>
      <c r="T5450" s="6"/>
      <c r="U5450" s="6"/>
      <c r="V5450" s="6"/>
      <c r="W5450" s="6"/>
      <c r="X5450" s="6"/>
      <c r="Y5450" s="6"/>
      <c r="Z5450" s="6"/>
    </row>
    <row r="5451" customFormat="false" ht="15" hidden="false" customHeight="false" outlineLevel="0" collapsed="false">
      <c r="A5451" s="9" t="s">
        <v>11468</v>
      </c>
      <c r="B5451" s="9" t="s">
        <v>11123</v>
      </c>
      <c r="C5451" s="9" t="s">
        <v>11469</v>
      </c>
      <c r="D5451" s="9" t="s">
        <v>11125</v>
      </c>
      <c r="E5451" s="9" t="str">
        <f aca="false">IF('Denial Worlds'!J179="PASS","PASS","FAIL")</f>
        <v>PASS</v>
      </c>
      <c r="F5451" s="9" t="s">
        <v>76</v>
      </c>
      <c r="G5451" s="6"/>
      <c r="H5451" s="6"/>
      <c r="I5451" s="6"/>
      <c r="J5451" s="6"/>
      <c r="K5451" s="6"/>
      <c r="L5451" s="6"/>
      <c r="M5451" s="6"/>
      <c r="N5451" s="6"/>
      <c r="O5451" s="6"/>
      <c r="P5451" s="6"/>
      <c r="Q5451" s="6"/>
      <c r="R5451" s="6"/>
      <c r="S5451" s="6"/>
      <c r="T5451" s="6"/>
      <c r="U5451" s="6"/>
      <c r="V5451" s="6"/>
      <c r="W5451" s="6"/>
      <c r="X5451" s="6"/>
      <c r="Y5451" s="6"/>
      <c r="Z5451" s="6"/>
    </row>
    <row r="5452" customFormat="false" ht="15" hidden="false" customHeight="false" outlineLevel="0" collapsed="false">
      <c r="A5452" s="9" t="s">
        <v>11470</v>
      </c>
      <c r="B5452" s="9" t="s">
        <v>11123</v>
      </c>
      <c r="C5452" s="9" t="s">
        <v>11471</v>
      </c>
      <c r="D5452" s="9" t="s">
        <v>11125</v>
      </c>
      <c r="E5452" s="9" t="str">
        <f aca="false">IF('Denial Worlds'!J180="PASS","PASS","FAIL")</f>
        <v>PASS</v>
      </c>
      <c r="F5452" s="9" t="s">
        <v>76</v>
      </c>
      <c r="G5452" s="6"/>
      <c r="H5452" s="6"/>
      <c r="I5452" s="6"/>
      <c r="J5452" s="6"/>
      <c r="K5452" s="6"/>
      <c r="L5452" s="6"/>
      <c r="M5452" s="6"/>
      <c r="N5452" s="6"/>
      <c r="O5452" s="6"/>
      <c r="P5452" s="6"/>
      <c r="Q5452" s="6"/>
      <c r="R5452" s="6"/>
      <c r="S5452" s="6"/>
      <c r="T5452" s="6"/>
      <c r="U5452" s="6"/>
      <c r="V5452" s="6"/>
      <c r="W5452" s="6"/>
      <c r="X5452" s="6"/>
      <c r="Y5452" s="6"/>
      <c r="Z5452" s="6"/>
    </row>
    <row r="5453" customFormat="false" ht="15" hidden="false" customHeight="false" outlineLevel="0" collapsed="false">
      <c r="A5453" s="9" t="s">
        <v>11472</v>
      </c>
      <c r="B5453" s="9" t="s">
        <v>11123</v>
      </c>
      <c r="C5453" s="9" t="s">
        <v>11473</v>
      </c>
      <c r="D5453" s="9" t="s">
        <v>11125</v>
      </c>
      <c r="E5453" s="9" t="str">
        <f aca="false">IF('Denial Worlds'!J181="PASS","PASS","FAIL")</f>
        <v>PASS</v>
      </c>
      <c r="F5453" s="9" t="s">
        <v>76</v>
      </c>
      <c r="G5453" s="6"/>
      <c r="H5453" s="6"/>
      <c r="I5453" s="6"/>
      <c r="J5453" s="6"/>
      <c r="K5453" s="6"/>
      <c r="L5453" s="6"/>
      <c r="M5453" s="6"/>
      <c r="N5453" s="6"/>
      <c r="O5453" s="6"/>
      <c r="P5453" s="6"/>
      <c r="Q5453" s="6"/>
      <c r="R5453" s="6"/>
      <c r="S5453" s="6"/>
      <c r="T5453" s="6"/>
      <c r="U5453" s="6"/>
      <c r="V5453" s="6"/>
      <c r="W5453" s="6"/>
      <c r="X5453" s="6"/>
      <c r="Y5453" s="6"/>
      <c r="Z5453" s="6"/>
    </row>
    <row r="5454" customFormat="false" ht="15" hidden="false" customHeight="false" outlineLevel="0" collapsed="false">
      <c r="A5454" s="9" t="s">
        <v>11474</v>
      </c>
      <c r="B5454" s="9" t="s">
        <v>11123</v>
      </c>
      <c r="C5454" s="9" t="s">
        <v>11475</v>
      </c>
      <c r="D5454" s="9" t="s">
        <v>11125</v>
      </c>
      <c r="E5454" s="9" t="str">
        <f aca="false">IF('Denial Worlds'!J182="PASS","PASS","FAIL")</f>
        <v>PASS</v>
      </c>
      <c r="F5454" s="9" t="s">
        <v>76</v>
      </c>
      <c r="G5454" s="6"/>
      <c r="H5454" s="6"/>
      <c r="I5454" s="6"/>
      <c r="J5454" s="6"/>
      <c r="K5454" s="6"/>
      <c r="L5454" s="6"/>
      <c r="M5454" s="6"/>
      <c r="N5454" s="6"/>
      <c r="O5454" s="6"/>
      <c r="P5454" s="6"/>
      <c r="Q5454" s="6"/>
      <c r="R5454" s="6"/>
      <c r="S5454" s="6"/>
      <c r="T5454" s="6"/>
      <c r="U5454" s="6"/>
      <c r="V5454" s="6"/>
      <c r="W5454" s="6"/>
      <c r="X5454" s="6"/>
      <c r="Y5454" s="6"/>
      <c r="Z5454" s="6"/>
    </row>
    <row r="5455" customFormat="false" ht="15" hidden="false" customHeight="false" outlineLevel="0" collapsed="false">
      <c r="A5455" s="9" t="s">
        <v>11476</v>
      </c>
      <c r="B5455" s="9" t="s">
        <v>11123</v>
      </c>
      <c r="C5455" s="9" t="s">
        <v>11477</v>
      </c>
      <c r="D5455" s="9" t="s">
        <v>11125</v>
      </c>
      <c r="E5455" s="9" t="str">
        <f aca="false">IF('Denial Worlds'!J183="PASS","PASS","FAIL")</f>
        <v>PASS</v>
      </c>
      <c r="F5455" s="9" t="s">
        <v>76</v>
      </c>
      <c r="G5455" s="6"/>
      <c r="H5455" s="6"/>
      <c r="I5455" s="6"/>
      <c r="J5455" s="6"/>
      <c r="K5455" s="6"/>
      <c r="L5455" s="6"/>
      <c r="M5455" s="6"/>
      <c r="N5455" s="6"/>
      <c r="O5455" s="6"/>
      <c r="P5455" s="6"/>
      <c r="Q5455" s="6"/>
      <c r="R5455" s="6"/>
      <c r="S5455" s="6"/>
      <c r="T5455" s="6"/>
      <c r="U5455" s="6"/>
      <c r="V5455" s="6"/>
      <c r="W5455" s="6"/>
      <c r="X5455" s="6"/>
      <c r="Y5455" s="6"/>
      <c r="Z5455" s="6"/>
    </row>
    <row r="5456" customFormat="false" ht="15" hidden="false" customHeight="false" outlineLevel="0" collapsed="false">
      <c r="A5456" s="9" t="s">
        <v>11478</v>
      </c>
      <c r="B5456" s="9" t="s">
        <v>11123</v>
      </c>
      <c r="C5456" s="9" t="s">
        <v>11479</v>
      </c>
      <c r="D5456" s="9" t="s">
        <v>11125</v>
      </c>
      <c r="E5456" s="9" t="str">
        <f aca="false">IF('Denial Worlds'!J184="PASS","PASS","FAIL")</f>
        <v>PASS</v>
      </c>
      <c r="F5456" s="9" t="s">
        <v>76</v>
      </c>
      <c r="G5456" s="6"/>
      <c r="H5456" s="6"/>
      <c r="I5456" s="6"/>
      <c r="J5456" s="6"/>
      <c r="K5456" s="6"/>
      <c r="L5456" s="6"/>
      <c r="M5456" s="6"/>
      <c r="N5456" s="6"/>
      <c r="O5456" s="6"/>
      <c r="P5456" s="6"/>
      <c r="Q5456" s="6"/>
      <c r="R5456" s="6"/>
      <c r="S5456" s="6"/>
      <c r="T5456" s="6"/>
      <c r="U5456" s="6"/>
      <c r="V5456" s="6"/>
      <c r="W5456" s="6"/>
      <c r="X5456" s="6"/>
      <c r="Y5456" s="6"/>
      <c r="Z5456" s="6"/>
    </row>
    <row r="5457" customFormat="false" ht="15" hidden="false" customHeight="false" outlineLevel="0" collapsed="false">
      <c r="A5457" s="9" t="s">
        <v>11480</v>
      </c>
      <c r="B5457" s="9" t="s">
        <v>11123</v>
      </c>
      <c r="C5457" s="9" t="s">
        <v>11481</v>
      </c>
      <c r="D5457" s="9" t="s">
        <v>11125</v>
      </c>
      <c r="E5457" s="9" t="str">
        <f aca="false">IF('Denial Worlds'!J185="PASS","PASS","FAIL")</f>
        <v>PASS</v>
      </c>
      <c r="F5457" s="9" t="s">
        <v>76</v>
      </c>
      <c r="G5457" s="6"/>
      <c r="H5457" s="6"/>
      <c r="I5457" s="6"/>
      <c r="J5457" s="6"/>
      <c r="K5457" s="6"/>
      <c r="L5457" s="6"/>
      <c r="M5457" s="6"/>
      <c r="N5457" s="6"/>
      <c r="O5457" s="6"/>
      <c r="P5457" s="6"/>
      <c r="Q5457" s="6"/>
      <c r="R5457" s="6"/>
      <c r="S5457" s="6"/>
      <c r="T5457" s="6"/>
      <c r="U5457" s="6"/>
      <c r="V5457" s="6"/>
      <c r="W5457" s="6"/>
      <c r="X5457" s="6"/>
      <c r="Y5457" s="6"/>
      <c r="Z5457" s="6"/>
    </row>
    <row r="5458" customFormat="false" ht="15" hidden="false" customHeight="false" outlineLevel="0" collapsed="false">
      <c r="A5458" s="9" t="s">
        <v>11482</v>
      </c>
      <c r="B5458" s="9" t="s">
        <v>11123</v>
      </c>
      <c r="C5458" s="9" t="s">
        <v>11483</v>
      </c>
      <c r="D5458" s="9" t="s">
        <v>11125</v>
      </c>
      <c r="E5458" s="9" t="str">
        <f aca="false">IF('Denial Worlds'!J186="PASS","PASS","FAIL")</f>
        <v>PASS</v>
      </c>
      <c r="F5458" s="9" t="s">
        <v>76</v>
      </c>
      <c r="G5458" s="6"/>
      <c r="H5458" s="6"/>
      <c r="I5458" s="6"/>
      <c r="J5458" s="6"/>
      <c r="K5458" s="6"/>
      <c r="L5458" s="6"/>
      <c r="M5458" s="6"/>
      <c r="N5458" s="6"/>
      <c r="O5458" s="6"/>
      <c r="P5458" s="6"/>
      <c r="Q5458" s="6"/>
      <c r="R5458" s="6"/>
      <c r="S5458" s="6"/>
      <c r="T5458" s="6"/>
      <c r="U5458" s="6"/>
      <c r="V5458" s="6"/>
      <c r="W5458" s="6"/>
      <c r="X5458" s="6"/>
      <c r="Y5458" s="6"/>
      <c r="Z5458" s="6"/>
    </row>
    <row r="5459" customFormat="false" ht="15" hidden="false" customHeight="false" outlineLevel="0" collapsed="false">
      <c r="A5459" s="9" t="s">
        <v>11484</v>
      </c>
      <c r="B5459" s="9" t="s">
        <v>11123</v>
      </c>
      <c r="C5459" s="9" t="s">
        <v>11485</v>
      </c>
      <c r="D5459" s="9" t="s">
        <v>11125</v>
      </c>
      <c r="E5459" s="9" t="str">
        <f aca="false">IF('Denial Worlds'!J187="PASS","PASS","FAIL")</f>
        <v>PASS</v>
      </c>
      <c r="F5459" s="9" t="s">
        <v>76</v>
      </c>
      <c r="G5459" s="6"/>
      <c r="H5459" s="6"/>
      <c r="I5459" s="6"/>
      <c r="J5459" s="6"/>
      <c r="K5459" s="6"/>
      <c r="L5459" s="6"/>
      <c r="M5459" s="6"/>
      <c r="N5459" s="6"/>
      <c r="O5459" s="6"/>
      <c r="P5459" s="6"/>
      <c r="Q5459" s="6"/>
      <c r="R5459" s="6"/>
      <c r="S5459" s="6"/>
      <c r="T5459" s="6"/>
      <c r="U5459" s="6"/>
      <c r="V5459" s="6"/>
      <c r="W5459" s="6"/>
      <c r="X5459" s="6"/>
      <c r="Y5459" s="6"/>
      <c r="Z5459" s="6"/>
    </row>
    <row r="5460" customFormat="false" ht="15" hidden="false" customHeight="false" outlineLevel="0" collapsed="false">
      <c r="A5460" s="9" t="s">
        <v>11486</v>
      </c>
      <c r="B5460" s="9" t="s">
        <v>11123</v>
      </c>
      <c r="C5460" s="9" t="s">
        <v>11487</v>
      </c>
      <c r="D5460" s="9" t="s">
        <v>11125</v>
      </c>
      <c r="E5460" s="9" t="str">
        <f aca="false">IF('Denial Worlds'!J188="PASS","PASS","FAIL")</f>
        <v>PASS</v>
      </c>
      <c r="F5460" s="9" t="s">
        <v>76</v>
      </c>
      <c r="G5460" s="6"/>
      <c r="H5460" s="6"/>
      <c r="I5460" s="6"/>
      <c r="J5460" s="6"/>
      <c r="K5460" s="6"/>
      <c r="L5460" s="6"/>
      <c r="M5460" s="6"/>
      <c r="N5460" s="6"/>
      <c r="O5460" s="6"/>
      <c r="P5460" s="6"/>
      <c r="Q5460" s="6"/>
      <c r="R5460" s="6"/>
      <c r="S5460" s="6"/>
      <c r="T5460" s="6"/>
      <c r="U5460" s="6"/>
      <c r="V5460" s="6"/>
      <c r="W5460" s="6"/>
      <c r="X5460" s="6"/>
      <c r="Y5460" s="6"/>
      <c r="Z5460" s="6"/>
    </row>
    <row r="5461" customFormat="false" ht="15" hidden="false" customHeight="false" outlineLevel="0" collapsed="false">
      <c r="A5461" s="9" t="s">
        <v>11488</v>
      </c>
      <c r="B5461" s="9" t="s">
        <v>11123</v>
      </c>
      <c r="C5461" s="9" t="s">
        <v>11489</v>
      </c>
      <c r="D5461" s="9" t="s">
        <v>11125</v>
      </c>
      <c r="E5461" s="9" t="str">
        <f aca="false">IF('Denial Worlds'!J189="PASS","PASS","FAIL")</f>
        <v>PASS</v>
      </c>
      <c r="F5461" s="9" t="s">
        <v>76</v>
      </c>
      <c r="G5461" s="6"/>
      <c r="H5461" s="6"/>
      <c r="I5461" s="6"/>
      <c r="J5461" s="6"/>
      <c r="K5461" s="6"/>
      <c r="L5461" s="6"/>
      <c r="M5461" s="6"/>
      <c r="N5461" s="6"/>
      <c r="O5461" s="6"/>
      <c r="P5461" s="6"/>
      <c r="Q5461" s="6"/>
      <c r="R5461" s="6"/>
      <c r="S5461" s="6"/>
      <c r="T5461" s="6"/>
      <c r="U5461" s="6"/>
      <c r="V5461" s="6"/>
      <c r="W5461" s="6"/>
      <c r="X5461" s="6"/>
      <c r="Y5461" s="6"/>
      <c r="Z5461" s="6"/>
    </row>
    <row r="5462" customFormat="false" ht="15" hidden="false" customHeight="false" outlineLevel="0" collapsed="false">
      <c r="A5462" s="9" t="s">
        <v>11490</v>
      </c>
      <c r="B5462" s="9" t="s">
        <v>11123</v>
      </c>
      <c r="C5462" s="9" t="s">
        <v>11491</v>
      </c>
      <c r="D5462" s="9" t="s">
        <v>11125</v>
      </c>
      <c r="E5462" s="9" t="str">
        <f aca="false">IF('Denial Worlds'!J190="PASS","PASS","FAIL")</f>
        <v>PASS</v>
      </c>
      <c r="F5462" s="9" t="s">
        <v>76</v>
      </c>
      <c r="G5462" s="6"/>
      <c r="H5462" s="6"/>
      <c r="I5462" s="6"/>
      <c r="J5462" s="6"/>
      <c r="K5462" s="6"/>
      <c r="L5462" s="6"/>
      <c r="M5462" s="6"/>
      <c r="N5462" s="6"/>
      <c r="O5462" s="6"/>
      <c r="P5462" s="6"/>
      <c r="Q5462" s="6"/>
      <c r="R5462" s="6"/>
      <c r="S5462" s="6"/>
      <c r="T5462" s="6"/>
      <c r="U5462" s="6"/>
      <c r="V5462" s="6"/>
      <c r="W5462" s="6"/>
      <c r="X5462" s="6"/>
      <c r="Y5462" s="6"/>
      <c r="Z5462" s="6"/>
    </row>
    <row r="5463" customFormat="false" ht="15" hidden="false" customHeight="false" outlineLevel="0" collapsed="false">
      <c r="A5463" s="9" t="s">
        <v>11492</v>
      </c>
      <c r="B5463" s="9" t="s">
        <v>11123</v>
      </c>
      <c r="C5463" s="9" t="s">
        <v>11493</v>
      </c>
      <c r="D5463" s="9" t="s">
        <v>11125</v>
      </c>
      <c r="E5463" s="9" t="str">
        <f aca="false">IF('Denial Worlds'!J191="PASS","PASS","FAIL")</f>
        <v>PASS</v>
      </c>
      <c r="F5463" s="9" t="s">
        <v>76</v>
      </c>
      <c r="G5463" s="6"/>
      <c r="H5463" s="6"/>
      <c r="I5463" s="6"/>
      <c r="J5463" s="6"/>
      <c r="K5463" s="6"/>
      <c r="L5463" s="6"/>
      <c r="M5463" s="6"/>
      <c r="N5463" s="6"/>
      <c r="O5463" s="6"/>
      <c r="P5463" s="6"/>
      <c r="Q5463" s="6"/>
      <c r="R5463" s="6"/>
      <c r="S5463" s="6"/>
      <c r="T5463" s="6"/>
      <c r="U5463" s="6"/>
      <c r="V5463" s="6"/>
      <c r="W5463" s="6"/>
      <c r="X5463" s="6"/>
      <c r="Y5463" s="6"/>
      <c r="Z5463" s="6"/>
    </row>
    <row r="5464" customFormat="false" ht="15" hidden="false" customHeight="false" outlineLevel="0" collapsed="false">
      <c r="A5464" s="9" t="s">
        <v>11494</v>
      </c>
      <c r="B5464" s="9" t="s">
        <v>11123</v>
      </c>
      <c r="C5464" s="9" t="s">
        <v>11495</v>
      </c>
      <c r="D5464" s="9" t="s">
        <v>11125</v>
      </c>
      <c r="E5464" s="9" t="str">
        <f aca="false">IF('Denial Worlds'!J192="PASS","PASS","FAIL")</f>
        <v>PASS</v>
      </c>
      <c r="F5464" s="9" t="s">
        <v>76</v>
      </c>
      <c r="G5464" s="6"/>
      <c r="H5464" s="6"/>
      <c r="I5464" s="6"/>
      <c r="J5464" s="6"/>
      <c r="K5464" s="6"/>
      <c r="L5464" s="6"/>
      <c r="M5464" s="6"/>
      <c r="N5464" s="6"/>
      <c r="O5464" s="6"/>
      <c r="P5464" s="6"/>
      <c r="Q5464" s="6"/>
      <c r="R5464" s="6"/>
      <c r="S5464" s="6"/>
      <c r="T5464" s="6"/>
      <c r="U5464" s="6"/>
      <c r="V5464" s="6"/>
      <c r="W5464" s="6"/>
      <c r="X5464" s="6"/>
      <c r="Y5464" s="6"/>
      <c r="Z5464" s="6"/>
    </row>
    <row r="5465" customFormat="false" ht="15" hidden="false" customHeight="false" outlineLevel="0" collapsed="false">
      <c r="A5465" s="9" t="s">
        <v>11496</v>
      </c>
      <c r="B5465" s="9" t="s">
        <v>11123</v>
      </c>
      <c r="C5465" s="9" t="s">
        <v>11497</v>
      </c>
      <c r="D5465" s="9" t="s">
        <v>11125</v>
      </c>
      <c r="E5465" s="9" t="str">
        <f aca="false">IF('Denial Worlds'!J193="PASS","PASS","FAIL")</f>
        <v>PASS</v>
      </c>
      <c r="F5465" s="9" t="s">
        <v>76</v>
      </c>
      <c r="G5465" s="6"/>
      <c r="H5465" s="6"/>
      <c r="I5465" s="6"/>
      <c r="J5465" s="6"/>
      <c r="K5465" s="6"/>
      <c r="L5465" s="6"/>
      <c r="M5465" s="6"/>
      <c r="N5465" s="6"/>
      <c r="O5465" s="6"/>
      <c r="P5465" s="6"/>
      <c r="Q5465" s="6"/>
      <c r="R5465" s="6"/>
      <c r="S5465" s="6"/>
      <c r="T5465" s="6"/>
      <c r="U5465" s="6"/>
      <c r="V5465" s="6"/>
      <c r="W5465" s="6"/>
      <c r="X5465" s="6"/>
      <c r="Y5465" s="6"/>
      <c r="Z5465" s="6"/>
    </row>
    <row r="5466" customFormat="false" ht="15" hidden="false" customHeight="false" outlineLevel="0" collapsed="false">
      <c r="A5466" s="9" t="s">
        <v>11498</v>
      </c>
      <c r="B5466" s="9" t="s">
        <v>11123</v>
      </c>
      <c r="C5466" s="9" t="s">
        <v>11499</v>
      </c>
      <c r="D5466" s="9" t="s">
        <v>11125</v>
      </c>
      <c r="E5466" s="9" t="str">
        <f aca="false">IF('Denial Worlds'!J194="PASS","PASS","FAIL")</f>
        <v>PASS</v>
      </c>
      <c r="F5466" s="9" t="s">
        <v>76</v>
      </c>
      <c r="G5466" s="6"/>
      <c r="H5466" s="6"/>
      <c r="I5466" s="6"/>
      <c r="J5466" s="6"/>
      <c r="K5466" s="6"/>
      <c r="L5466" s="6"/>
      <c r="M5466" s="6"/>
      <c r="N5466" s="6"/>
      <c r="O5466" s="6"/>
      <c r="P5466" s="6"/>
      <c r="Q5466" s="6"/>
      <c r="R5466" s="6"/>
      <c r="S5466" s="6"/>
      <c r="T5466" s="6"/>
      <c r="U5466" s="6"/>
      <c r="V5466" s="6"/>
      <c r="W5466" s="6"/>
      <c r="X5466" s="6"/>
      <c r="Y5466" s="6"/>
      <c r="Z5466" s="6"/>
    </row>
    <row r="5467" customFormat="false" ht="15" hidden="false" customHeight="false" outlineLevel="0" collapsed="false">
      <c r="A5467" s="9" t="s">
        <v>11500</v>
      </c>
      <c r="B5467" s="9" t="s">
        <v>11123</v>
      </c>
      <c r="C5467" s="9" t="s">
        <v>11501</v>
      </c>
      <c r="D5467" s="9" t="s">
        <v>11125</v>
      </c>
      <c r="E5467" s="9" t="str">
        <f aca="false">IF('Denial Worlds'!J195="PASS","PASS","FAIL")</f>
        <v>PASS</v>
      </c>
      <c r="F5467" s="9" t="s">
        <v>76</v>
      </c>
      <c r="G5467" s="6"/>
      <c r="H5467" s="6"/>
      <c r="I5467" s="6"/>
      <c r="J5467" s="6"/>
      <c r="K5467" s="6"/>
      <c r="L5467" s="6"/>
      <c r="M5467" s="6"/>
      <c r="N5467" s="6"/>
      <c r="O5467" s="6"/>
      <c r="P5467" s="6"/>
      <c r="Q5467" s="6"/>
      <c r="R5467" s="6"/>
      <c r="S5467" s="6"/>
      <c r="T5467" s="6"/>
      <c r="U5467" s="6"/>
      <c r="V5467" s="6"/>
      <c r="W5467" s="6"/>
      <c r="X5467" s="6"/>
      <c r="Y5467" s="6"/>
      <c r="Z5467" s="6"/>
    </row>
    <row r="5468" customFormat="false" ht="15" hidden="false" customHeight="false" outlineLevel="0" collapsed="false">
      <c r="A5468" s="9" t="s">
        <v>11502</v>
      </c>
      <c r="B5468" s="9" t="s">
        <v>11123</v>
      </c>
      <c r="C5468" s="9" t="s">
        <v>11503</v>
      </c>
      <c r="D5468" s="9" t="s">
        <v>11125</v>
      </c>
      <c r="E5468" s="9" t="str">
        <f aca="false">IF('Denial Worlds'!J196="PASS","PASS","FAIL")</f>
        <v>PASS</v>
      </c>
      <c r="F5468" s="9" t="s">
        <v>76</v>
      </c>
      <c r="G5468" s="6"/>
      <c r="H5468" s="6"/>
      <c r="I5468" s="6"/>
      <c r="J5468" s="6"/>
      <c r="K5468" s="6"/>
      <c r="L5468" s="6"/>
      <c r="M5468" s="6"/>
      <c r="N5468" s="6"/>
      <c r="O5468" s="6"/>
      <c r="P5468" s="6"/>
      <c r="Q5468" s="6"/>
      <c r="R5468" s="6"/>
      <c r="S5468" s="6"/>
      <c r="T5468" s="6"/>
      <c r="U5468" s="6"/>
      <c r="V5468" s="6"/>
      <c r="W5468" s="6"/>
      <c r="X5468" s="6"/>
      <c r="Y5468" s="6"/>
      <c r="Z5468" s="6"/>
    </row>
    <row r="5469" customFormat="false" ht="15" hidden="false" customHeight="false" outlineLevel="0" collapsed="false">
      <c r="A5469" s="9" t="s">
        <v>11504</v>
      </c>
      <c r="B5469" s="9" t="s">
        <v>11123</v>
      </c>
      <c r="C5469" s="9" t="s">
        <v>11505</v>
      </c>
      <c r="D5469" s="9" t="s">
        <v>11125</v>
      </c>
      <c r="E5469" s="9" t="str">
        <f aca="false">IF('Denial Worlds'!J197="PASS","PASS","FAIL")</f>
        <v>PASS</v>
      </c>
      <c r="F5469" s="9" t="s">
        <v>76</v>
      </c>
      <c r="G5469" s="6"/>
      <c r="H5469" s="6"/>
      <c r="I5469" s="6"/>
      <c r="J5469" s="6"/>
      <c r="K5469" s="6"/>
      <c r="L5469" s="6"/>
      <c r="M5469" s="6"/>
      <c r="N5469" s="6"/>
      <c r="O5469" s="6"/>
      <c r="P5469" s="6"/>
      <c r="Q5469" s="6"/>
      <c r="R5469" s="6"/>
      <c r="S5469" s="6"/>
      <c r="T5469" s="6"/>
      <c r="U5469" s="6"/>
      <c r="V5469" s="6"/>
      <c r="W5469" s="6"/>
      <c r="X5469" s="6"/>
      <c r="Y5469" s="6"/>
      <c r="Z5469" s="6"/>
    </row>
    <row r="5470" customFormat="false" ht="15" hidden="false" customHeight="false" outlineLevel="0" collapsed="false">
      <c r="A5470" s="9" t="s">
        <v>11506</v>
      </c>
      <c r="B5470" s="9" t="s">
        <v>11123</v>
      </c>
      <c r="C5470" s="9" t="s">
        <v>11507</v>
      </c>
      <c r="D5470" s="9" t="s">
        <v>11125</v>
      </c>
      <c r="E5470" s="9" t="str">
        <f aca="false">IF('Denial Worlds'!J198="PASS","PASS","FAIL")</f>
        <v>PASS</v>
      </c>
      <c r="F5470" s="9" t="s">
        <v>76</v>
      </c>
      <c r="G5470" s="6"/>
      <c r="H5470" s="6"/>
      <c r="I5470" s="6"/>
      <c r="J5470" s="6"/>
      <c r="K5470" s="6"/>
      <c r="L5470" s="6"/>
      <c r="M5470" s="6"/>
      <c r="N5470" s="6"/>
      <c r="O5470" s="6"/>
      <c r="P5470" s="6"/>
      <c r="Q5470" s="6"/>
      <c r="R5470" s="6"/>
      <c r="S5470" s="6"/>
      <c r="T5470" s="6"/>
      <c r="U5470" s="6"/>
      <c r="V5470" s="6"/>
      <c r="W5470" s="6"/>
      <c r="X5470" s="6"/>
      <c r="Y5470" s="6"/>
      <c r="Z5470" s="6"/>
    </row>
    <row r="5471" customFormat="false" ht="15" hidden="false" customHeight="false" outlineLevel="0" collapsed="false">
      <c r="A5471" s="9" t="s">
        <v>11508</v>
      </c>
      <c r="B5471" s="9" t="s">
        <v>11123</v>
      </c>
      <c r="C5471" s="9" t="s">
        <v>11509</v>
      </c>
      <c r="D5471" s="9" t="s">
        <v>11125</v>
      </c>
      <c r="E5471" s="9" t="str">
        <f aca="false">IF('Denial Worlds'!J199="PASS","PASS","FAIL")</f>
        <v>PASS</v>
      </c>
      <c r="F5471" s="9" t="s">
        <v>76</v>
      </c>
      <c r="G5471" s="6"/>
      <c r="H5471" s="6"/>
      <c r="I5471" s="6"/>
      <c r="J5471" s="6"/>
      <c r="K5471" s="6"/>
      <c r="L5471" s="6"/>
      <c r="M5471" s="6"/>
      <c r="N5471" s="6"/>
      <c r="O5471" s="6"/>
      <c r="P5471" s="6"/>
      <c r="Q5471" s="6"/>
      <c r="R5471" s="6"/>
      <c r="S5471" s="6"/>
      <c r="T5471" s="6"/>
      <c r="U5471" s="6"/>
      <c r="V5471" s="6"/>
      <c r="W5471" s="6"/>
      <c r="X5471" s="6"/>
      <c r="Y5471" s="6"/>
      <c r="Z5471" s="6"/>
    </row>
    <row r="5472" customFormat="false" ht="15" hidden="false" customHeight="false" outlineLevel="0" collapsed="false">
      <c r="A5472" s="9" t="s">
        <v>11510</v>
      </c>
      <c r="B5472" s="9" t="s">
        <v>11123</v>
      </c>
      <c r="C5472" s="9" t="s">
        <v>11511</v>
      </c>
      <c r="D5472" s="9" t="s">
        <v>11125</v>
      </c>
      <c r="E5472" s="9" t="str">
        <f aca="false">IF('Denial Worlds'!J200="PASS","PASS","FAIL")</f>
        <v>PASS</v>
      </c>
      <c r="F5472" s="9" t="s">
        <v>76</v>
      </c>
      <c r="G5472" s="6"/>
      <c r="H5472" s="6"/>
      <c r="I5472" s="6"/>
      <c r="J5472" s="6"/>
      <c r="K5472" s="6"/>
      <c r="L5472" s="6"/>
      <c r="M5472" s="6"/>
      <c r="N5472" s="6"/>
      <c r="O5472" s="6"/>
      <c r="P5472" s="6"/>
      <c r="Q5472" s="6"/>
      <c r="R5472" s="6"/>
      <c r="S5472" s="6"/>
      <c r="T5472" s="6"/>
      <c r="U5472" s="6"/>
      <c r="V5472" s="6"/>
      <c r="W5472" s="6"/>
      <c r="X5472" s="6"/>
      <c r="Y5472" s="6"/>
      <c r="Z5472" s="6"/>
    </row>
    <row r="5473" customFormat="false" ht="15" hidden="false" customHeight="false" outlineLevel="0" collapsed="false">
      <c r="A5473" s="9" t="s">
        <v>11512</v>
      </c>
      <c r="B5473" s="9" t="s">
        <v>11123</v>
      </c>
      <c r="C5473" s="9" t="s">
        <v>11513</v>
      </c>
      <c r="D5473" s="9" t="s">
        <v>11125</v>
      </c>
      <c r="E5473" s="9" t="str">
        <f aca="false">IF('Denial Worlds'!J201="PASS","PASS","FAIL")</f>
        <v>PASS</v>
      </c>
      <c r="F5473" s="9" t="s">
        <v>76</v>
      </c>
      <c r="G5473" s="6"/>
      <c r="H5473" s="6"/>
      <c r="I5473" s="6"/>
      <c r="J5473" s="6"/>
      <c r="K5473" s="6"/>
      <c r="L5473" s="6"/>
      <c r="M5473" s="6"/>
      <c r="N5473" s="6"/>
      <c r="O5473" s="6"/>
      <c r="P5473" s="6"/>
      <c r="Q5473" s="6"/>
      <c r="R5473" s="6"/>
      <c r="S5473" s="6"/>
      <c r="T5473" s="6"/>
      <c r="U5473" s="6"/>
      <c r="V5473" s="6"/>
      <c r="W5473" s="6"/>
      <c r="X5473" s="6"/>
      <c r="Y5473" s="6"/>
      <c r="Z5473" s="6"/>
    </row>
    <row r="5474" customFormat="false" ht="15" hidden="false" customHeight="false" outlineLevel="0" collapsed="false">
      <c r="A5474" s="9" t="s">
        <v>11514</v>
      </c>
      <c r="B5474" s="9" t="s">
        <v>11123</v>
      </c>
      <c r="C5474" s="9" t="s">
        <v>11515</v>
      </c>
      <c r="D5474" s="9" t="s">
        <v>11125</v>
      </c>
      <c r="E5474" s="9" t="str">
        <f aca="false">IF('Denial Worlds'!J202="PASS","PASS","FAIL")</f>
        <v>PASS</v>
      </c>
      <c r="F5474" s="9" t="s">
        <v>76</v>
      </c>
      <c r="G5474" s="6"/>
      <c r="H5474" s="6"/>
      <c r="I5474" s="6"/>
      <c r="J5474" s="6"/>
      <c r="K5474" s="6"/>
      <c r="L5474" s="6"/>
      <c r="M5474" s="6"/>
      <c r="N5474" s="6"/>
      <c r="O5474" s="6"/>
      <c r="P5474" s="6"/>
      <c r="Q5474" s="6"/>
      <c r="R5474" s="6"/>
      <c r="S5474" s="6"/>
      <c r="T5474" s="6"/>
      <c r="U5474" s="6"/>
      <c r="V5474" s="6"/>
      <c r="W5474" s="6"/>
      <c r="X5474" s="6"/>
      <c r="Y5474" s="6"/>
      <c r="Z5474" s="6"/>
    </row>
    <row r="5475" customFormat="false" ht="15" hidden="false" customHeight="false" outlineLevel="0" collapsed="false">
      <c r="A5475" s="9" t="s">
        <v>11516</v>
      </c>
      <c r="B5475" s="9" t="s">
        <v>11123</v>
      </c>
      <c r="C5475" s="9" t="s">
        <v>11517</v>
      </c>
      <c r="D5475" s="9" t="s">
        <v>11125</v>
      </c>
      <c r="E5475" s="9" t="str">
        <f aca="false">IF('Denial Worlds'!J203="PASS","PASS","FAIL")</f>
        <v>PASS</v>
      </c>
      <c r="F5475" s="9" t="s">
        <v>76</v>
      </c>
      <c r="G5475" s="6"/>
      <c r="H5475" s="6"/>
      <c r="I5475" s="6"/>
      <c r="J5475" s="6"/>
      <c r="K5475" s="6"/>
      <c r="L5475" s="6"/>
      <c r="M5475" s="6"/>
      <c r="N5475" s="6"/>
      <c r="O5475" s="6"/>
      <c r="P5475" s="6"/>
      <c r="Q5475" s="6"/>
      <c r="R5475" s="6"/>
      <c r="S5475" s="6"/>
      <c r="T5475" s="6"/>
      <c r="U5475" s="6"/>
      <c r="V5475" s="6"/>
      <c r="W5475" s="6"/>
      <c r="X5475" s="6"/>
      <c r="Y5475" s="6"/>
      <c r="Z5475" s="6"/>
    </row>
    <row r="5476" customFormat="false" ht="15" hidden="false" customHeight="false" outlineLevel="0" collapsed="false">
      <c r="A5476" s="9" t="s">
        <v>11518</v>
      </c>
      <c r="B5476" s="9" t="s">
        <v>11123</v>
      </c>
      <c r="C5476" s="9" t="s">
        <v>11519</v>
      </c>
      <c r="D5476" s="9" t="s">
        <v>11125</v>
      </c>
      <c r="E5476" s="9" t="str">
        <f aca="false">IF('Denial Worlds'!J204="PASS","PASS","FAIL")</f>
        <v>PASS</v>
      </c>
      <c r="F5476" s="9" t="s">
        <v>76</v>
      </c>
      <c r="G5476" s="6"/>
      <c r="H5476" s="6"/>
      <c r="I5476" s="6"/>
      <c r="J5476" s="6"/>
      <c r="K5476" s="6"/>
      <c r="L5476" s="6"/>
      <c r="M5476" s="6"/>
      <c r="N5476" s="6"/>
      <c r="O5476" s="6"/>
      <c r="P5476" s="6"/>
      <c r="Q5476" s="6"/>
      <c r="R5476" s="6"/>
      <c r="S5476" s="6"/>
      <c r="T5476" s="6"/>
      <c r="U5476" s="6"/>
      <c r="V5476" s="6"/>
      <c r="W5476" s="6"/>
      <c r="X5476" s="6"/>
      <c r="Y5476" s="6"/>
      <c r="Z5476" s="6"/>
    </row>
    <row r="5477" customFormat="false" ht="15" hidden="false" customHeight="false" outlineLevel="0" collapsed="false">
      <c r="A5477" s="9" t="s">
        <v>11520</v>
      </c>
      <c r="B5477" s="9" t="s">
        <v>11123</v>
      </c>
      <c r="C5477" s="9" t="s">
        <v>11521</v>
      </c>
      <c r="D5477" s="9" t="s">
        <v>11125</v>
      </c>
      <c r="E5477" s="9" t="str">
        <f aca="false">IF('Denial Worlds'!J205="PASS","PASS","FAIL")</f>
        <v>PASS</v>
      </c>
      <c r="F5477" s="9" t="s">
        <v>76</v>
      </c>
      <c r="G5477" s="6"/>
      <c r="H5477" s="6"/>
      <c r="I5477" s="6"/>
      <c r="J5477" s="6"/>
      <c r="K5477" s="6"/>
      <c r="L5477" s="6"/>
      <c r="M5477" s="6"/>
      <c r="N5477" s="6"/>
      <c r="O5477" s="6"/>
      <c r="P5477" s="6"/>
      <c r="Q5477" s="6"/>
      <c r="R5477" s="6"/>
      <c r="S5477" s="6"/>
      <c r="T5477" s="6"/>
      <c r="U5477" s="6"/>
      <c r="V5477" s="6"/>
      <c r="W5477" s="6"/>
      <c r="X5477" s="6"/>
      <c r="Y5477" s="6"/>
      <c r="Z5477" s="6"/>
    </row>
    <row r="5478" customFormat="false" ht="15" hidden="false" customHeight="false" outlineLevel="0" collapsed="false">
      <c r="A5478" s="9" t="s">
        <v>11522</v>
      </c>
      <c r="B5478" s="9" t="s">
        <v>11123</v>
      </c>
      <c r="C5478" s="9" t="s">
        <v>11523</v>
      </c>
      <c r="D5478" s="9" t="s">
        <v>11125</v>
      </c>
      <c r="E5478" s="9" t="str">
        <f aca="false">IF('Denial Worlds'!J206="PASS","PASS","FAIL")</f>
        <v>PASS</v>
      </c>
      <c r="F5478" s="9" t="s">
        <v>76</v>
      </c>
      <c r="G5478" s="6"/>
      <c r="H5478" s="6"/>
      <c r="I5478" s="6"/>
      <c r="J5478" s="6"/>
      <c r="K5478" s="6"/>
      <c r="L5478" s="6"/>
      <c r="M5478" s="6"/>
      <c r="N5478" s="6"/>
      <c r="O5478" s="6"/>
      <c r="P5478" s="6"/>
      <c r="Q5478" s="6"/>
      <c r="R5478" s="6"/>
      <c r="S5478" s="6"/>
      <c r="T5478" s="6"/>
      <c r="U5478" s="6"/>
      <c r="V5478" s="6"/>
      <c r="W5478" s="6"/>
      <c r="X5478" s="6"/>
      <c r="Y5478" s="6"/>
      <c r="Z5478" s="6"/>
    </row>
    <row r="5479" customFormat="false" ht="15" hidden="false" customHeight="false" outlineLevel="0" collapsed="false">
      <c r="A5479" s="9" t="s">
        <v>11524</v>
      </c>
      <c r="B5479" s="9" t="s">
        <v>11123</v>
      </c>
      <c r="C5479" s="9" t="s">
        <v>11525</v>
      </c>
      <c r="D5479" s="9" t="s">
        <v>11125</v>
      </c>
      <c r="E5479" s="9" t="str">
        <f aca="false">IF('Denial Worlds'!J207="PASS","PASS","FAIL")</f>
        <v>PASS</v>
      </c>
      <c r="F5479" s="9" t="s">
        <v>76</v>
      </c>
      <c r="G5479" s="6"/>
      <c r="H5479" s="6"/>
      <c r="I5479" s="6"/>
      <c r="J5479" s="6"/>
      <c r="K5479" s="6"/>
      <c r="L5479" s="6"/>
      <c r="M5479" s="6"/>
      <c r="N5479" s="6"/>
      <c r="O5479" s="6"/>
      <c r="P5479" s="6"/>
      <c r="Q5479" s="6"/>
      <c r="R5479" s="6"/>
      <c r="S5479" s="6"/>
      <c r="T5479" s="6"/>
      <c r="U5479" s="6"/>
      <c r="V5479" s="6"/>
      <c r="W5479" s="6"/>
      <c r="X5479" s="6"/>
      <c r="Y5479" s="6"/>
      <c r="Z5479" s="6"/>
    </row>
    <row r="5480" customFormat="false" ht="15" hidden="false" customHeight="false" outlineLevel="0" collapsed="false">
      <c r="A5480" s="9" t="s">
        <v>11526</v>
      </c>
      <c r="B5480" s="9" t="s">
        <v>11123</v>
      </c>
      <c r="C5480" s="9" t="s">
        <v>11527</v>
      </c>
      <c r="D5480" s="9" t="s">
        <v>11125</v>
      </c>
      <c r="E5480" s="9" t="str">
        <f aca="false">IF('Denial Worlds'!J208="PASS","PASS","FAIL")</f>
        <v>PASS</v>
      </c>
      <c r="F5480" s="9" t="s">
        <v>76</v>
      </c>
      <c r="G5480" s="6"/>
      <c r="H5480" s="6"/>
      <c r="I5480" s="6"/>
      <c r="J5480" s="6"/>
      <c r="K5480" s="6"/>
      <c r="L5480" s="6"/>
      <c r="M5480" s="6"/>
      <c r="N5480" s="6"/>
      <c r="O5480" s="6"/>
      <c r="P5480" s="6"/>
      <c r="Q5480" s="6"/>
      <c r="R5480" s="6"/>
      <c r="S5480" s="6"/>
      <c r="T5480" s="6"/>
      <c r="U5480" s="6"/>
      <c r="V5480" s="6"/>
      <c r="W5480" s="6"/>
      <c r="X5480" s="6"/>
      <c r="Y5480" s="6"/>
      <c r="Z5480" s="6"/>
    </row>
    <row r="5481" customFormat="false" ht="15" hidden="false" customHeight="false" outlineLevel="0" collapsed="false">
      <c r="A5481" s="9" t="s">
        <v>11528</v>
      </c>
      <c r="B5481" s="9" t="s">
        <v>11123</v>
      </c>
      <c r="C5481" s="9" t="s">
        <v>11529</v>
      </c>
      <c r="D5481" s="9" t="s">
        <v>11125</v>
      </c>
      <c r="E5481" s="9" t="str">
        <f aca="false">IF('Denial Worlds'!J209="PASS","PASS","FAIL")</f>
        <v>PASS</v>
      </c>
      <c r="F5481" s="9" t="s">
        <v>76</v>
      </c>
      <c r="G5481" s="6"/>
      <c r="H5481" s="6"/>
      <c r="I5481" s="6"/>
      <c r="J5481" s="6"/>
      <c r="K5481" s="6"/>
      <c r="L5481" s="6"/>
      <c r="M5481" s="6"/>
      <c r="N5481" s="6"/>
      <c r="O5481" s="6"/>
      <c r="P5481" s="6"/>
      <c r="Q5481" s="6"/>
      <c r="R5481" s="6"/>
      <c r="S5481" s="6"/>
      <c r="T5481" s="6"/>
      <c r="U5481" s="6"/>
      <c r="V5481" s="6"/>
      <c r="W5481" s="6"/>
      <c r="X5481" s="6"/>
      <c r="Y5481" s="6"/>
      <c r="Z5481" s="6"/>
    </row>
    <row r="5482" customFormat="false" ht="15" hidden="false" customHeight="false" outlineLevel="0" collapsed="false">
      <c r="A5482" s="9" t="s">
        <v>11530</v>
      </c>
      <c r="B5482" s="9" t="s">
        <v>11123</v>
      </c>
      <c r="C5482" s="9" t="s">
        <v>11531</v>
      </c>
      <c r="D5482" s="9" t="s">
        <v>11125</v>
      </c>
      <c r="E5482" s="9" t="str">
        <f aca="false">IF('Denial Worlds'!J210="PASS","PASS","FAIL")</f>
        <v>PASS</v>
      </c>
      <c r="F5482" s="9" t="s">
        <v>76</v>
      </c>
      <c r="G5482" s="6"/>
      <c r="H5482" s="6"/>
      <c r="I5482" s="6"/>
      <c r="J5482" s="6"/>
      <c r="K5482" s="6"/>
      <c r="L5482" s="6"/>
      <c r="M5482" s="6"/>
      <c r="N5482" s="6"/>
      <c r="O5482" s="6"/>
      <c r="P5482" s="6"/>
      <c r="Q5482" s="6"/>
      <c r="R5482" s="6"/>
      <c r="S5482" s="6"/>
      <c r="T5482" s="6"/>
      <c r="U5482" s="6"/>
      <c r="V5482" s="6"/>
      <c r="W5482" s="6"/>
      <c r="X5482" s="6"/>
      <c r="Y5482" s="6"/>
      <c r="Z5482" s="6"/>
    </row>
    <row r="5483" customFormat="false" ht="15" hidden="false" customHeight="false" outlineLevel="0" collapsed="false">
      <c r="A5483" s="9" t="s">
        <v>11532</v>
      </c>
      <c r="B5483" s="9" t="s">
        <v>11123</v>
      </c>
      <c r="C5483" s="9" t="s">
        <v>11533</v>
      </c>
      <c r="D5483" s="9" t="s">
        <v>11125</v>
      </c>
      <c r="E5483" s="9" t="str">
        <f aca="false">IF('Denial Worlds'!J211="PASS","PASS","FAIL")</f>
        <v>PASS</v>
      </c>
      <c r="F5483" s="9" t="s">
        <v>76</v>
      </c>
      <c r="G5483" s="6"/>
      <c r="H5483" s="6"/>
      <c r="I5483" s="6"/>
      <c r="J5483" s="6"/>
      <c r="K5483" s="6"/>
      <c r="L5483" s="6"/>
      <c r="M5483" s="6"/>
      <c r="N5483" s="6"/>
      <c r="O5483" s="6"/>
      <c r="P5483" s="6"/>
      <c r="Q5483" s="6"/>
      <c r="R5483" s="6"/>
      <c r="S5483" s="6"/>
      <c r="T5483" s="6"/>
      <c r="U5483" s="6"/>
      <c r="V5483" s="6"/>
      <c r="W5483" s="6"/>
      <c r="X5483" s="6"/>
      <c r="Y5483" s="6"/>
      <c r="Z5483" s="6"/>
    </row>
    <row r="5484" customFormat="false" ht="15" hidden="false" customHeight="false" outlineLevel="0" collapsed="false">
      <c r="A5484" s="9" t="s">
        <v>11534</v>
      </c>
      <c r="B5484" s="9" t="s">
        <v>11123</v>
      </c>
      <c r="C5484" s="9" t="s">
        <v>11535</v>
      </c>
      <c r="D5484" s="9" t="s">
        <v>11125</v>
      </c>
      <c r="E5484" s="9" t="str">
        <f aca="false">IF('Denial Worlds'!J212="PASS","PASS","FAIL")</f>
        <v>PASS</v>
      </c>
      <c r="F5484" s="9" t="s">
        <v>76</v>
      </c>
      <c r="G5484" s="6"/>
      <c r="H5484" s="6"/>
      <c r="I5484" s="6"/>
      <c r="J5484" s="6"/>
      <c r="K5484" s="6"/>
      <c r="L5484" s="6"/>
      <c r="M5484" s="6"/>
      <c r="N5484" s="6"/>
      <c r="O5484" s="6"/>
      <c r="P5484" s="6"/>
      <c r="Q5484" s="6"/>
      <c r="R5484" s="6"/>
      <c r="S5484" s="6"/>
      <c r="T5484" s="6"/>
      <c r="U5484" s="6"/>
      <c r="V5484" s="6"/>
      <c r="W5484" s="6"/>
      <c r="X5484" s="6"/>
      <c r="Y5484" s="6"/>
      <c r="Z5484" s="6"/>
    </row>
    <row r="5485" customFormat="false" ht="15" hidden="false" customHeight="false" outlineLevel="0" collapsed="false">
      <c r="A5485" s="9" t="s">
        <v>11536</v>
      </c>
      <c r="B5485" s="9" t="s">
        <v>11123</v>
      </c>
      <c r="C5485" s="9" t="s">
        <v>11537</v>
      </c>
      <c r="D5485" s="9" t="s">
        <v>11125</v>
      </c>
      <c r="E5485" s="9" t="str">
        <f aca="false">IF('Denial Worlds'!J213="PASS","PASS","FAIL")</f>
        <v>PASS</v>
      </c>
      <c r="F5485" s="9" t="s">
        <v>76</v>
      </c>
      <c r="G5485" s="6"/>
      <c r="H5485" s="6"/>
      <c r="I5485" s="6"/>
      <c r="J5485" s="6"/>
      <c r="K5485" s="6"/>
      <c r="L5485" s="6"/>
      <c r="M5485" s="6"/>
      <c r="N5485" s="6"/>
      <c r="O5485" s="6"/>
      <c r="P5485" s="6"/>
      <c r="Q5485" s="6"/>
      <c r="R5485" s="6"/>
      <c r="S5485" s="6"/>
      <c r="T5485" s="6"/>
      <c r="U5485" s="6"/>
      <c r="V5485" s="6"/>
      <c r="W5485" s="6"/>
      <c r="X5485" s="6"/>
      <c r="Y5485" s="6"/>
      <c r="Z5485" s="6"/>
    </row>
    <row r="5486" customFormat="false" ht="15" hidden="false" customHeight="false" outlineLevel="0" collapsed="false">
      <c r="A5486" s="9" t="s">
        <v>11538</v>
      </c>
      <c r="B5486" s="9" t="s">
        <v>11123</v>
      </c>
      <c r="C5486" s="9" t="s">
        <v>11539</v>
      </c>
      <c r="D5486" s="9" t="s">
        <v>11125</v>
      </c>
      <c r="E5486" s="9" t="str">
        <f aca="false">IF('Denial Worlds'!J214="PASS","PASS","FAIL")</f>
        <v>PASS</v>
      </c>
      <c r="F5486" s="9" t="s">
        <v>76</v>
      </c>
      <c r="G5486" s="6"/>
      <c r="H5486" s="6"/>
      <c r="I5486" s="6"/>
      <c r="J5486" s="6"/>
      <c r="K5486" s="6"/>
      <c r="L5486" s="6"/>
      <c r="M5486" s="6"/>
      <c r="N5486" s="6"/>
      <c r="O5486" s="6"/>
      <c r="P5486" s="6"/>
      <c r="Q5486" s="6"/>
      <c r="R5486" s="6"/>
      <c r="S5486" s="6"/>
      <c r="T5486" s="6"/>
      <c r="U5486" s="6"/>
      <c r="V5486" s="6"/>
      <c r="W5486" s="6"/>
      <c r="X5486" s="6"/>
      <c r="Y5486" s="6"/>
      <c r="Z5486" s="6"/>
    </row>
    <row r="5487" customFormat="false" ht="15" hidden="false" customHeight="false" outlineLevel="0" collapsed="false">
      <c r="A5487" s="9" t="s">
        <v>11540</v>
      </c>
      <c r="B5487" s="9" t="s">
        <v>11123</v>
      </c>
      <c r="C5487" s="9" t="s">
        <v>11541</v>
      </c>
      <c r="D5487" s="9" t="s">
        <v>11125</v>
      </c>
      <c r="E5487" s="9" t="str">
        <f aca="false">IF('Denial Worlds'!J215="PASS","PASS","FAIL")</f>
        <v>PASS</v>
      </c>
      <c r="F5487" s="9" t="s">
        <v>76</v>
      </c>
      <c r="G5487" s="6"/>
      <c r="H5487" s="6"/>
      <c r="I5487" s="6"/>
      <c r="J5487" s="6"/>
      <c r="K5487" s="6"/>
      <c r="L5487" s="6"/>
      <c r="M5487" s="6"/>
      <c r="N5487" s="6"/>
      <c r="O5487" s="6"/>
      <c r="P5487" s="6"/>
      <c r="Q5487" s="6"/>
      <c r="R5487" s="6"/>
      <c r="S5487" s="6"/>
      <c r="T5487" s="6"/>
      <c r="U5487" s="6"/>
      <c r="V5487" s="6"/>
      <c r="W5487" s="6"/>
      <c r="X5487" s="6"/>
      <c r="Y5487" s="6"/>
      <c r="Z5487" s="6"/>
    </row>
    <row r="5488" customFormat="false" ht="15" hidden="false" customHeight="false" outlineLevel="0" collapsed="false">
      <c r="A5488" s="9" t="s">
        <v>11542</v>
      </c>
      <c r="B5488" s="9" t="s">
        <v>11123</v>
      </c>
      <c r="C5488" s="9" t="s">
        <v>11543</v>
      </c>
      <c r="D5488" s="9" t="s">
        <v>11125</v>
      </c>
      <c r="E5488" s="9" t="str">
        <f aca="false">IF('Denial Worlds'!J216="PASS","PASS","FAIL")</f>
        <v>PASS</v>
      </c>
      <c r="F5488" s="9" t="s">
        <v>76</v>
      </c>
      <c r="G5488" s="6"/>
      <c r="H5488" s="6"/>
      <c r="I5488" s="6"/>
      <c r="J5488" s="6"/>
      <c r="K5488" s="6"/>
      <c r="L5488" s="6"/>
      <c r="M5488" s="6"/>
      <c r="N5488" s="6"/>
      <c r="O5488" s="6"/>
      <c r="P5488" s="6"/>
      <c r="Q5488" s="6"/>
      <c r="R5488" s="6"/>
      <c r="S5488" s="6"/>
      <c r="T5488" s="6"/>
      <c r="U5488" s="6"/>
      <c r="V5488" s="6"/>
      <c r="W5488" s="6"/>
      <c r="X5488" s="6"/>
      <c r="Y5488" s="6"/>
      <c r="Z5488" s="6"/>
    </row>
    <row r="5489" customFormat="false" ht="15" hidden="false" customHeight="false" outlineLevel="0" collapsed="false">
      <c r="A5489" s="9" t="s">
        <v>11544</v>
      </c>
      <c r="B5489" s="9" t="s">
        <v>11123</v>
      </c>
      <c r="C5489" s="9" t="s">
        <v>11545</v>
      </c>
      <c r="D5489" s="9" t="s">
        <v>11125</v>
      </c>
      <c r="E5489" s="9" t="str">
        <f aca="false">IF('Denial Worlds'!J217="PASS","PASS","FAIL")</f>
        <v>PASS</v>
      </c>
      <c r="F5489" s="9" t="s">
        <v>76</v>
      </c>
      <c r="G5489" s="6"/>
      <c r="H5489" s="6"/>
      <c r="I5489" s="6"/>
      <c r="J5489" s="6"/>
      <c r="K5489" s="6"/>
      <c r="L5489" s="6"/>
      <c r="M5489" s="6"/>
      <c r="N5489" s="6"/>
      <c r="O5489" s="6"/>
      <c r="P5489" s="6"/>
      <c r="Q5489" s="6"/>
      <c r="R5489" s="6"/>
      <c r="S5489" s="6"/>
      <c r="T5489" s="6"/>
      <c r="U5489" s="6"/>
      <c r="V5489" s="6"/>
      <c r="W5489" s="6"/>
      <c r="X5489" s="6"/>
      <c r="Y5489" s="6"/>
      <c r="Z5489" s="6"/>
    </row>
    <row r="5490" customFormat="false" ht="15" hidden="false" customHeight="false" outlineLevel="0" collapsed="false">
      <c r="A5490" s="9" t="s">
        <v>11546</v>
      </c>
      <c r="B5490" s="9" t="s">
        <v>11123</v>
      </c>
      <c r="C5490" s="9" t="s">
        <v>11547</v>
      </c>
      <c r="D5490" s="9" t="s">
        <v>11125</v>
      </c>
      <c r="E5490" s="9" t="str">
        <f aca="false">IF('Denial Worlds'!J218="PASS","PASS","FAIL")</f>
        <v>PASS</v>
      </c>
      <c r="F5490" s="9" t="s">
        <v>76</v>
      </c>
      <c r="G5490" s="6"/>
      <c r="H5490" s="6"/>
      <c r="I5490" s="6"/>
      <c r="J5490" s="6"/>
      <c r="K5490" s="6"/>
      <c r="L5490" s="6"/>
      <c r="M5490" s="6"/>
      <c r="N5490" s="6"/>
      <c r="O5490" s="6"/>
      <c r="P5490" s="6"/>
      <c r="Q5490" s="6"/>
      <c r="R5490" s="6"/>
      <c r="S5490" s="6"/>
      <c r="T5490" s="6"/>
      <c r="U5490" s="6"/>
      <c r="V5490" s="6"/>
      <c r="W5490" s="6"/>
      <c r="X5490" s="6"/>
      <c r="Y5490" s="6"/>
      <c r="Z5490" s="6"/>
    </row>
    <row r="5491" customFormat="false" ht="15" hidden="false" customHeight="false" outlineLevel="0" collapsed="false">
      <c r="A5491" s="9" t="s">
        <v>11548</v>
      </c>
      <c r="B5491" s="9" t="s">
        <v>11123</v>
      </c>
      <c r="C5491" s="9" t="s">
        <v>11549</v>
      </c>
      <c r="D5491" s="9" t="s">
        <v>11125</v>
      </c>
      <c r="E5491" s="9" t="str">
        <f aca="false">IF('Denial Worlds'!J219="PASS","PASS","FAIL")</f>
        <v>PASS</v>
      </c>
      <c r="F5491" s="9" t="s">
        <v>76</v>
      </c>
      <c r="G5491" s="6"/>
      <c r="H5491" s="6"/>
      <c r="I5491" s="6"/>
      <c r="J5491" s="6"/>
      <c r="K5491" s="6"/>
      <c r="L5491" s="6"/>
      <c r="M5491" s="6"/>
      <c r="N5491" s="6"/>
      <c r="O5491" s="6"/>
      <c r="P5491" s="6"/>
      <c r="Q5491" s="6"/>
      <c r="R5491" s="6"/>
      <c r="S5491" s="6"/>
      <c r="T5491" s="6"/>
      <c r="U5491" s="6"/>
      <c r="V5491" s="6"/>
      <c r="W5491" s="6"/>
      <c r="X5491" s="6"/>
      <c r="Y5491" s="6"/>
      <c r="Z5491" s="6"/>
    </row>
    <row r="5492" customFormat="false" ht="15" hidden="false" customHeight="false" outlineLevel="0" collapsed="false">
      <c r="A5492" s="9" t="s">
        <v>11550</v>
      </c>
      <c r="B5492" s="9" t="s">
        <v>11123</v>
      </c>
      <c r="C5492" s="9" t="s">
        <v>11551</v>
      </c>
      <c r="D5492" s="9" t="s">
        <v>11125</v>
      </c>
      <c r="E5492" s="9" t="str">
        <f aca="false">IF('Denial Worlds'!J220="PASS","PASS","FAIL")</f>
        <v>PASS</v>
      </c>
      <c r="F5492" s="9" t="s">
        <v>76</v>
      </c>
      <c r="G5492" s="6"/>
      <c r="H5492" s="6"/>
      <c r="I5492" s="6"/>
      <c r="J5492" s="6"/>
      <c r="K5492" s="6"/>
      <c r="L5492" s="6"/>
      <c r="M5492" s="6"/>
      <c r="N5492" s="6"/>
      <c r="O5492" s="6"/>
      <c r="P5492" s="6"/>
      <c r="Q5492" s="6"/>
      <c r="R5492" s="6"/>
      <c r="S5492" s="6"/>
      <c r="T5492" s="6"/>
      <c r="U5492" s="6"/>
      <c r="V5492" s="6"/>
      <c r="W5492" s="6"/>
      <c r="X5492" s="6"/>
      <c r="Y5492" s="6"/>
      <c r="Z5492" s="6"/>
    </row>
    <row r="5493" customFormat="false" ht="15" hidden="false" customHeight="false" outlineLevel="0" collapsed="false">
      <c r="A5493" s="9" t="s">
        <v>11552</v>
      </c>
      <c r="B5493" s="9" t="s">
        <v>11123</v>
      </c>
      <c r="C5493" s="9" t="s">
        <v>11553</v>
      </c>
      <c r="D5493" s="9" t="s">
        <v>11125</v>
      </c>
      <c r="E5493" s="9" t="str">
        <f aca="false">IF('Denial Worlds'!J221="PASS","PASS","FAIL")</f>
        <v>PASS</v>
      </c>
      <c r="F5493" s="9" t="s">
        <v>76</v>
      </c>
      <c r="G5493" s="6"/>
      <c r="H5493" s="6"/>
      <c r="I5493" s="6"/>
      <c r="J5493" s="6"/>
      <c r="K5493" s="6"/>
      <c r="L5493" s="6"/>
      <c r="M5493" s="6"/>
      <c r="N5493" s="6"/>
      <c r="O5493" s="6"/>
      <c r="P5493" s="6"/>
      <c r="Q5493" s="6"/>
      <c r="R5493" s="6"/>
      <c r="S5493" s="6"/>
      <c r="T5493" s="6"/>
      <c r="U5493" s="6"/>
      <c r="V5493" s="6"/>
      <c r="W5493" s="6"/>
      <c r="X5493" s="6"/>
      <c r="Y5493" s="6"/>
      <c r="Z5493" s="6"/>
    </row>
    <row r="5494" customFormat="false" ht="15" hidden="false" customHeight="false" outlineLevel="0" collapsed="false">
      <c r="A5494" s="9" t="s">
        <v>11554</v>
      </c>
      <c r="B5494" s="9" t="s">
        <v>11123</v>
      </c>
      <c r="C5494" s="9" t="s">
        <v>11555</v>
      </c>
      <c r="D5494" s="9" t="s">
        <v>11125</v>
      </c>
      <c r="E5494" s="9" t="str">
        <f aca="false">IF('Denial Worlds'!J222="PASS","PASS","FAIL")</f>
        <v>PASS</v>
      </c>
      <c r="F5494" s="9" t="s">
        <v>76</v>
      </c>
      <c r="G5494" s="6"/>
      <c r="H5494" s="6"/>
      <c r="I5494" s="6"/>
      <c r="J5494" s="6"/>
      <c r="K5494" s="6"/>
      <c r="L5494" s="6"/>
      <c r="M5494" s="6"/>
      <c r="N5494" s="6"/>
      <c r="O5494" s="6"/>
      <c r="P5494" s="6"/>
      <c r="Q5494" s="6"/>
      <c r="R5494" s="6"/>
      <c r="S5494" s="6"/>
      <c r="T5494" s="6"/>
      <c r="U5494" s="6"/>
      <c r="V5494" s="6"/>
      <c r="W5494" s="6"/>
      <c r="X5494" s="6"/>
      <c r="Y5494" s="6"/>
      <c r="Z5494" s="6"/>
    </row>
    <row r="5495" customFormat="false" ht="15" hidden="false" customHeight="false" outlineLevel="0" collapsed="false">
      <c r="A5495" s="9" t="s">
        <v>11556</v>
      </c>
      <c r="B5495" s="9" t="s">
        <v>11123</v>
      </c>
      <c r="C5495" s="9" t="s">
        <v>11557</v>
      </c>
      <c r="D5495" s="9" t="s">
        <v>11125</v>
      </c>
      <c r="E5495" s="9" t="str">
        <f aca="false">IF('Denial Worlds'!J223="PASS","PASS","FAIL")</f>
        <v>PASS</v>
      </c>
      <c r="F5495" s="9" t="s">
        <v>76</v>
      </c>
      <c r="G5495" s="6"/>
      <c r="H5495" s="6"/>
      <c r="I5495" s="6"/>
      <c r="J5495" s="6"/>
      <c r="K5495" s="6"/>
      <c r="L5495" s="6"/>
      <c r="M5495" s="6"/>
      <c r="N5495" s="6"/>
      <c r="O5495" s="6"/>
      <c r="P5495" s="6"/>
      <c r="Q5495" s="6"/>
      <c r="R5495" s="6"/>
      <c r="S5495" s="6"/>
      <c r="T5495" s="6"/>
      <c r="U5495" s="6"/>
      <c r="V5495" s="6"/>
      <c r="W5495" s="6"/>
      <c r="X5495" s="6"/>
      <c r="Y5495" s="6"/>
      <c r="Z5495" s="6"/>
    </row>
    <row r="5496" customFormat="false" ht="15" hidden="false" customHeight="false" outlineLevel="0" collapsed="false">
      <c r="A5496" s="9" t="s">
        <v>11558</v>
      </c>
      <c r="B5496" s="9" t="s">
        <v>11123</v>
      </c>
      <c r="C5496" s="9" t="s">
        <v>11559</v>
      </c>
      <c r="D5496" s="9" t="s">
        <v>11125</v>
      </c>
      <c r="E5496" s="9" t="str">
        <f aca="false">IF('Denial Worlds'!J224="PASS","PASS","FAIL")</f>
        <v>PASS</v>
      </c>
      <c r="F5496" s="9" t="s">
        <v>76</v>
      </c>
      <c r="G5496" s="6"/>
      <c r="H5496" s="6"/>
      <c r="I5496" s="6"/>
      <c r="J5496" s="6"/>
      <c r="K5496" s="6"/>
      <c r="L5496" s="6"/>
      <c r="M5496" s="6"/>
      <c r="N5496" s="6"/>
      <c r="O5496" s="6"/>
      <c r="P5496" s="6"/>
      <c r="Q5496" s="6"/>
      <c r="R5496" s="6"/>
      <c r="S5496" s="6"/>
      <c r="T5496" s="6"/>
      <c r="U5496" s="6"/>
      <c r="V5496" s="6"/>
      <c r="W5496" s="6"/>
      <c r="X5496" s="6"/>
      <c r="Y5496" s="6"/>
      <c r="Z5496" s="6"/>
    </row>
    <row r="5497" customFormat="false" ht="15" hidden="false" customHeight="false" outlineLevel="0" collapsed="false">
      <c r="A5497" s="9" t="s">
        <v>11560</v>
      </c>
      <c r="B5497" s="9" t="s">
        <v>11123</v>
      </c>
      <c r="C5497" s="9" t="s">
        <v>11561</v>
      </c>
      <c r="D5497" s="9" t="s">
        <v>11125</v>
      </c>
      <c r="E5497" s="9" t="str">
        <f aca="false">IF('Denial Worlds'!J225="PASS","PASS","FAIL")</f>
        <v>PASS</v>
      </c>
      <c r="F5497" s="9" t="s">
        <v>76</v>
      </c>
      <c r="G5497" s="6"/>
      <c r="H5497" s="6"/>
      <c r="I5497" s="6"/>
      <c r="J5497" s="6"/>
      <c r="K5497" s="6"/>
      <c r="L5497" s="6"/>
      <c r="M5497" s="6"/>
      <c r="N5497" s="6"/>
      <c r="O5497" s="6"/>
      <c r="P5497" s="6"/>
      <c r="Q5497" s="6"/>
      <c r="R5497" s="6"/>
      <c r="S5497" s="6"/>
      <c r="T5497" s="6"/>
      <c r="U5497" s="6"/>
      <c r="V5497" s="6"/>
      <c r="W5497" s="6"/>
      <c r="X5497" s="6"/>
      <c r="Y5497" s="6"/>
      <c r="Z5497" s="6"/>
    </row>
    <row r="5498" customFormat="false" ht="15" hidden="false" customHeight="false" outlineLevel="0" collapsed="false">
      <c r="A5498" s="9" t="s">
        <v>11562</v>
      </c>
      <c r="B5498" s="9" t="s">
        <v>11123</v>
      </c>
      <c r="C5498" s="9" t="s">
        <v>11563</v>
      </c>
      <c r="D5498" s="9" t="s">
        <v>11125</v>
      </c>
      <c r="E5498" s="9" t="str">
        <f aca="false">IF('Denial Worlds'!J226="PASS","PASS","FAIL")</f>
        <v>PASS</v>
      </c>
      <c r="F5498" s="9" t="s">
        <v>76</v>
      </c>
      <c r="G5498" s="6"/>
      <c r="H5498" s="6"/>
      <c r="I5498" s="6"/>
      <c r="J5498" s="6"/>
      <c r="K5498" s="6"/>
      <c r="L5498" s="6"/>
      <c r="M5498" s="6"/>
      <c r="N5498" s="6"/>
      <c r="O5498" s="6"/>
      <c r="P5498" s="6"/>
      <c r="Q5498" s="6"/>
      <c r="R5498" s="6"/>
      <c r="S5498" s="6"/>
      <c r="T5498" s="6"/>
      <c r="U5498" s="6"/>
      <c r="V5498" s="6"/>
      <c r="W5498" s="6"/>
      <c r="X5498" s="6"/>
      <c r="Y5498" s="6"/>
      <c r="Z5498" s="6"/>
    </row>
    <row r="5499" customFormat="false" ht="15" hidden="false" customHeight="false" outlineLevel="0" collapsed="false">
      <c r="A5499" s="9" t="s">
        <v>11564</v>
      </c>
      <c r="B5499" s="9" t="s">
        <v>11123</v>
      </c>
      <c r="C5499" s="9" t="s">
        <v>11565</v>
      </c>
      <c r="D5499" s="9" t="s">
        <v>11125</v>
      </c>
      <c r="E5499" s="9" t="str">
        <f aca="false">IF('Denial Worlds'!J227="PASS","PASS","FAIL")</f>
        <v>PASS</v>
      </c>
      <c r="F5499" s="9" t="s">
        <v>76</v>
      </c>
      <c r="G5499" s="6"/>
      <c r="H5499" s="6"/>
      <c r="I5499" s="6"/>
      <c r="J5499" s="6"/>
      <c r="K5499" s="6"/>
      <c r="L5499" s="6"/>
      <c r="M5499" s="6"/>
      <c r="N5499" s="6"/>
      <c r="O5499" s="6"/>
      <c r="P5499" s="6"/>
      <c r="Q5499" s="6"/>
      <c r="R5499" s="6"/>
      <c r="S5499" s="6"/>
      <c r="T5499" s="6"/>
      <c r="U5499" s="6"/>
      <c r="V5499" s="6"/>
      <c r="W5499" s="6"/>
      <c r="X5499" s="6"/>
      <c r="Y5499" s="6"/>
      <c r="Z5499" s="6"/>
    </row>
    <row r="5500" customFormat="false" ht="15" hidden="false" customHeight="false" outlineLevel="0" collapsed="false">
      <c r="A5500" s="9" t="s">
        <v>11566</v>
      </c>
      <c r="B5500" s="9" t="s">
        <v>11123</v>
      </c>
      <c r="C5500" s="9" t="s">
        <v>11567</v>
      </c>
      <c r="D5500" s="9" t="s">
        <v>11125</v>
      </c>
      <c r="E5500" s="9" t="str">
        <f aca="false">IF('Denial Worlds'!J228="PASS","PASS","FAIL")</f>
        <v>PASS</v>
      </c>
      <c r="F5500" s="9" t="s">
        <v>76</v>
      </c>
      <c r="G5500" s="6"/>
      <c r="H5500" s="6"/>
      <c r="I5500" s="6"/>
      <c r="J5500" s="6"/>
      <c r="K5500" s="6"/>
      <c r="L5500" s="6"/>
      <c r="M5500" s="6"/>
      <c r="N5500" s="6"/>
      <c r="O5500" s="6"/>
      <c r="P5500" s="6"/>
      <c r="Q5500" s="6"/>
      <c r="R5500" s="6"/>
      <c r="S5500" s="6"/>
      <c r="T5500" s="6"/>
      <c r="U5500" s="6"/>
      <c r="V5500" s="6"/>
      <c r="W5500" s="6"/>
      <c r="X5500" s="6"/>
      <c r="Y5500" s="6"/>
      <c r="Z5500" s="6"/>
    </row>
    <row r="5501" customFormat="false" ht="15" hidden="false" customHeight="false" outlineLevel="0" collapsed="false">
      <c r="A5501" s="9" t="s">
        <v>11568</v>
      </c>
      <c r="B5501" s="9" t="s">
        <v>11123</v>
      </c>
      <c r="C5501" s="9" t="s">
        <v>11569</v>
      </c>
      <c r="D5501" s="9" t="s">
        <v>11125</v>
      </c>
      <c r="E5501" s="9" t="str">
        <f aca="false">IF('Denial Worlds'!J229="PASS","PASS","FAIL")</f>
        <v>PASS</v>
      </c>
      <c r="F5501" s="9" t="s">
        <v>76</v>
      </c>
      <c r="G5501" s="6"/>
      <c r="H5501" s="6"/>
      <c r="I5501" s="6"/>
      <c r="J5501" s="6"/>
      <c r="K5501" s="6"/>
      <c r="L5501" s="6"/>
      <c r="M5501" s="6"/>
      <c r="N5501" s="6"/>
      <c r="O5501" s="6"/>
      <c r="P5501" s="6"/>
      <c r="Q5501" s="6"/>
      <c r="R5501" s="6"/>
      <c r="S5501" s="6"/>
      <c r="T5501" s="6"/>
      <c r="U5501" s="6"/>
      <c r="V5501" s="6"/>
      <c r="W5501" s="6"/>
      <c r="X5501" s="6"/>
      <c r="Y5501" s="6"/>
      <c r="Z5501" s="6"/>
    </row>
    <row r="5502" customFormat="false" ht="15" hidden="false" customHeight="false" outlineLevel="0" collapsed="false">
      <c r="A5502" s="9" t="s">
        <v>11570</v>
      </c>
      <c r="B5502" s="9" t="s">
        <v>11123</v>
      </c>
      <c r="C5502" s="9" t="s">
        <v>11571</v>
      </c>
      <c r="D5502" s="9" t="s">
        <v>11125</v>
      </c>
      <c r="E5502" s="9" t="str">
        <f aca="false">IF('Denial Worlds'!J230="PASS","PASS","FAIL")</f>
        <v>PASS</v>
      </c>
      <c r="F5502" s="9" t="s">
        <v>76</v>
      </c>
      <c r="G5502" s="6"/>
      <c r="H5502" s="6"/>
      <c r="I5502" s="6"/>
      <c r="J5502" s="6"/>
      <c r="K5502" s="6"/>
      <c r="L5502" s="6"/>
      <c r="M5502" s="6"/>
      <c r="N5502" s="6"/>
      <c r="O5502" s="6"/>
      <c r="P5502" s="6"/>
      <c r="Q5502" s="6"/>
      <c r="R5502" s="6"/>
      <c r="S5502" s="6"/>
      <c r="T5502" s="6"/>
      <c r="U5502" s="6"/>
      <c r="V5502" s="6"/>
      <c r="W5502" s="6"/>
      <c r="X5502" s="6"/>
      <c r="Y5502" s="6"/>
      <c r="Z5502" s="6"/>
    </row>
    <row r="5503" customFormat="false" ht="15" hidden="false" customHeight="false" outlineLevel="0" collapsed="false">
      <c r="A5503" s="9" t="s">
        <v>11572</v>
      </c>
      <c r="B5503" s="9" t="s">
        <v>11123</v>
      </c>
      <c r="C5503" s="9" t="s">
        <v>11573</v>
      </c>
      <c r="D5503" s="9" t="s">
        <v>11125</v>
      </c>
      <c r="E5503" s="9" t="str">
        <f aca="false">IF('Denial Worlds'!J231="PASS","PASS","FAIL")</f>
        <v>PASS</v>
      </c>
      <c r="F5503" s="9" t="s">
        <v>76</v>
      </c>
      <c r="G5503" s="6"/>
      <c r="H5503" s="6"/>
      <c r="I5503" s="6"/>
      <c r="J5503" s="6"/>
      <c r="K5503" s="6"/>
      <c r="L5503" s="6"/>
      <c r="M5503" s="6"/>
      <c r="N5503" s="6"/>
      <c r="O5503" s="6"/>
      <c r="P5503" s="6"/>
      <c r="Q5503" s="6"/>
      <c r="R5503" s="6"/>
      <c r="S5503" s="6"/>
      <c r="T5503" s="6"/>
      <c r="U5503" s="6"/>
      <c r="V5503" s="6"/>
      <c r="W5503" s="6"/>
      <c r="X5503" s="6"/>
      <c r="Y5503" s="6"/>
      <c r="Z5503" s="6"/>
    </row>
    <row r="5504" customFormat="false" ht="15" hidden="false" customHeight="false" outlineLevel="0" collapsed="false">
      <c r="A5504" s="9" t="s">
        <v>11574</v>
      </c>
      <c r="B5504" s="9" t="s">
        <v>11123</v>
      </c>
      <c r="C5504" s="9" t="s">
        <v>11575</v>
      </c>
      <c r="D5504" s="9" t="s">
        <v>11125</v>
      </c>
      <c r="E5504" s="9" t="str">
        <f aca="false">IF('Denial Worlds'!J232="PASS","PASS","FAIL")</f>
        <v>PASS</v>
      </c>
      <c r="F5504" s="9" t="s">
        <v>76</v>
      </c>
      <c r="G5504" s="6"/>
      <c r="H5504" s="6"/>
      <c r="I5504" s="6"/>
      <c r="J5504" s="6"/>
      <c r="K5504" s="6"/>
      <c r="L5504" s="6"/>
      <c r="M5504" s="6"/>
      <c r="N5504" s="6"/>
      <c r="O5504" s="6"/>
      <c r="P5504" s="6"/>
      <c r="Q5504" s="6"/>
      <c r="R5504" s="6"/>
      <c r="S5504" s="6"/>
      <c r="T5504" s="6"/>
      <c r="U5504" s="6"/>
      <c r="V5504" s="6"/>
      <c r="W5504" s="6"/>
      <c r="X5504" s="6"/>
      <c r="Y5504" s="6"/>
      <c r="Z5504" s="6"/>
    </row>
    <row r="5505" customFormat="false" ht="15" hidden="false" customHeight="false" outlineLevel="0" collapsed="false">
      <c r="A5505" s="9" t="s">
        <v>11576</v>
      </c>
      <c r="B5505" s="9" t="s">
        <v>11123</v>
      </c>
      <c r="C5505" s="9" t="s">
        <v>11577</v>
      </c>
      <c r="D5505" s="9" t="s">
        <v>11125</v>
      </c>
      <c r="E5505" s="9" t="str">
        <f aca="false">IF('Denial Worlds'!J233="PASS","PASS","FAIL")</f>
        <v>PASS</v>
      </c>
      <c r="F5505" s="9" t="s">
        <v>76</v>
      </c>
      <c r="G5505" s="6"/>
      <c r="H5505" s="6"/>
      <c r="I5505" s="6"/>
      <c r="J5505" s="6"/>
      <c r="K5505" s="6"/>
      <c r="L5505" s="6"/>
      <c r="M5505" s="6"/>
      <c r="N5505" s="6"/>
      <c r="O5505" s="6"/>
      <c r="P5505" s="6"/>
      <c r="Q5505" s="6"/>
      <c r="R5505" s="6"/>
      <c r="S5505" s="6"/>
      <c r="T5505" s="6"/>
      <c r="U5505" s="6"/>
      <c r="V5505" s="6"/>
      <c r="W5505" s="6"/>
      <c r="X5505" s="6"/>
      <c r="Y5505" s="6"/>
      <c r="Z5505" s="6"/>
    </row>
    <row r="5506" customFormat="false" ht="15" hidden="false" customHeight="false" outlineLevel="0" collapsed="false">
      <c r="A5506" s="9" t="s">
        <v>11578</v>
      </c>
      <c r="B5506" s="9" t="s">
        <v>11123</v>
      </c>
      <c r="C5506" s="9" t="s">
        <v>11579</v>
      </c>
      <c r="D5506" s="9" t="s">
        <v>11125</v>
      </c>
      <c r="E5506" s="9" t="str">
        <f aca="false">IF('Denial Worlds'!J234="PASS","PASS","FAIL")</f>
        <v>PASS</v>
      </c>
      <c r="F5506" s="9" t="s">
        <v>76</v>
      </c>
      <c r="G5506" s="6"/>
      <c r="H5506" s="6"/>
      <c r="I5506" s="6"/>
      <c r="J5506" s="6"/>
      <c r="K5506" s="6"/>
      <c r="L5506" s="6"/>
      <c r="M5506" s="6"/>
      <c r="N5506" s="6"/>
      <c r="O5506" s="6"/>
      <c r="P5506" s="6"/>
      <c r="Q5506" s="6"/>
      <c r="R5506" s="6"/>
      <c r="S5506" s="6"/>
      <c r="T5506" s="6"/>
      <c r="U5506" s="6"/>
      <c r="V5506" s="6"/>
      <c r="W5506" s="6"/>
      <c r="X5506" s="6"/>
      <c r="Y5506" s="6"/>
      <c r="Z5506" s="6"/>
    </row>
    <row r="5507" customFormat="false" ht="15" hidden="false" customHeight="false" outlineLevel="0" collapsed="false">
      <c r="A5507" s="9" t="s">
        <v>11580</v>
      </c>
      <c r="B5507" s="9" t="s">
        <v>11123</v>
      </c>
      <c r="C5507" s="9" t="s">
        <v>11581</v>
      </c>
      <c r="D5507" s="9" t="s">
        <v>11125</v>
      </c>
      <c r="E5507" s="9" t="str">
        <f aca="false">IF('Denial Worlds'!J235="PASS","PASS","FAIL")</f>
        <v>PASS</v>
      </c>
      <c r="F5507" s="9" t="s">
        <v>76</v>
      </c>
      <c r="G5507" s="6"/>
      <c r="H5507" s="6"/>
      <c r="I5507" s="6"/>
      <c r="J5507" s="6"/>
      <c r="K5507" s="6"/>
      <c r="L5507" s="6"/>
      <c r="M5507" s="6"/>
      <c r="N5507" s="6"/>
      <c r="O5507" s="6"/>
      <c r="P5507" s="6"/>
      <c r="Q5507" s="6"/>
      <c r="R5507" s="6"/>
      <c r="S5507" s="6"/>
      <c r="T5507" s="6"/>
      <c r="U5507" s="6"/>
      <c r="V5507" s="6"/>
      <c r="W5507" s="6"/>
      <c r="X5507" s="6"/>
      <c r="Y5507" s="6"/>
      <c r="Z5507" s="6"/>
    </row>
    <row r="5508" customFormat="false" ht="15" hidden="false" customHeight="false" outlineLevel="0" collapsed="false">
      <c r="A5508" s="9" t="s">
        <v>11582</v>
      </c>
      <c r="B5508" s="9" t="s">
        <v>11123</v>
      </c>
      <c r="C5508" s="9" t="s">
        <v>11583</v>
      </c>
      <c r="D5508" s="9" t="s">
        <v>11125</v>
      </c>
      <c r="E5508" s="9" t="str">
        <f aca="false">IF('Denial Worlds'!J236="PASS","PASS","FAIL")</f>
        <v>PASS</v>
      </c>
      <c r="F5508" s="9" t="s">
        <v>76</v>
      </c>
      <c r="G5508" s="6"/>
      <c r="H5508" s="6"/>
      <c r="I5508" s="6"/>
      <c r="J5508" s="6"/>
      <c r="K5508" s="6"/>
      <c r="L5508" s="6"/>
      <c r="M5508" s="6"/>
      <c r="N5508" s="6"/>
      <c r="O5508" s="6"/>
      <c r="P5508" s="6"/>
      <c r="Q5508" s="6"/>
      <c r="R5508" s="6"/>
      <c r="S5508" s="6"/>
      <c r="T5508" s="6"/>
      <c r="U5508" s="6"/>
      <c r="V5508" s="6"/>
      <c r="W5508" s="6"/>
      <c r="X5508" s="6"/>
      <c r="Y5508" s="6"/>
      <c r="Z5508" s="6"/>
    </row>
    <row r="5509" customFormat="false" ht="15" hidden="false" customHeight="false" outlineLevel="0" collapsed="false">
      <c r="A5509" s="9" t="s">
        <v>11584</v>
      </c>
      <c r="B5509" s="9" t="s">
        <v>11123</v>
      </c>
      <c r="C5509" s="9" t="s">
        <v>11585</v>
      </c>
      <c r="D5509" s="9" t="s">
        <v>11125</v>
      </c>
      <c r="E5509" s="9" t="str">
        <f aca="false">IF('Denial Worlds'!J237="PASS","PASS","FAIL")</f>
        <v>PASS</v>
      </c>
      <c r="F5509" s="9" t="s">
        <v>76</v>
      </c>
      <c r="G5509" s="6"/>
      <c r="H5509" s="6"/>
      <c r="I5509" s="6"/>
      <c r="J5509" s="6"/>
      <c r="K5509" s="6"/>
      <c r="L5509" s="6"/>
      <c r="M5509" s="6"/>
      <c r="N5509" s="6"/>
      <c r="O5509" s="6"/>
      <c r="P5509" s="6"/>
      <c r="Q5509" s="6"/>
      <c r="R5509" s="6"/>
      <c r="S5509" s="6"/>
      <c r="T5509" s="6"/>
      <c r="U5509" s="6"/>
      <c r="V5509" s="6"/>
      <c r="W5509" s="6"/>
      <c r="X5509" s="6"/>
      <c r="Y5509" s="6"/>
      <c r="Z5509" s="6"/>
    </row>
    <row r="5510" customFormat="false" ht="15" hidden="false" customHeight="false" outlineLevel="0" collapsed="false">
      <c r="A5510" s="9" t="s">
        <v>11586</v>
      </c>
      <c r="B5510" s="9" t="s">
        <v>11123</v>
      </c>
      <c r="C5510" s="9" t="s">
        <v>11587</v>
      </c>
      <c r="D5510" s="9" t="s">
        <v>11125</v>
      </c>
      <c r="E5510" s="9" t="str">
        <f aca="false">IF('Denial Worlds'!J238="PASS","PASS","FAIL")</f>
        <v>PASS</v>
      </c>
      <c r="F5510" s="9" t="s">
        <v>76</v>
      </c>
      <c r="G5510" s="6"/>
      <c r="H5510" s="6"/>
      <c r="I5510" s="6"/>
      <c r="J5510" s="6"/>
      <c r="K5510" s="6"/>
      <c r="L5510" s="6"/>
      <c r="M5510" s="6"/>
      <c r="N5510" s="6"/>
      <c r="O5510" s="6"/>
      <c r="P5510" s="6"/>
      <c r="Q5510" s="6"/>
      <c r="R5510" s="6"/>
      <c r="S5510" s="6"/>
      <c r="T5510" s="6"/>
      <c r="U5510" s="6"/>
      <c r="V5510" s="6"/>
      <c r="W5510" s="6"/>
      <c r="X5510" s="6"/>
      <c r="Y5510" s="6"/>
      <c r="Z5510" s="6"/>
    </row>
    <row r="5511" customFormat="false" ht="15" hidden="false" customHeight="false" outlineLevel="0" collapsed="false">
      <c r="A5511" s="9" t="s">
        <v>11588</v>
      </c>
      <c r="B5511" s="9" t="s">
        <v>11123</v>
      </c>
      <c r="C5511" s="9" t="s">
        <v>11589</v>
      </c>
      <c r="D5511" s="9" t="s">
        <v>11125</v>
      </c>
      <c r="E5511" s="9" t="str">
        <f aca="false">IF('Denial Worlds'!J239="PASS","PASS","FAIL")</f>
        <v>PASS</v>
      </c>
      <c r="F5511" s="9" t="s">
        <v>76</v>
      </c>
      <c r="G5511" s="6"/>
      <c r="H5511" s="6"/>
      <c r="I5511" s="6"/>
      <c r="J5511" s="6"/>
      <c r="K5511" s="6"/>
      <c r="L5511" s="6"/>
      <c r="M5511" s="6"/>
      <c r="N5511" s="6"/>
      <c r="O5511" s="6"/>
      <c r="P5511" s="6"/>
      <c r="Q5511" s="6"/>
      <c r="R5511" s="6"/>
      <c r="S5511" s="6"/>
      <c r="T5511" s="6"/>
      <c r="U5511" s="6"/>
      <c r="V5511" s="6"/>
      <c r="W5511" s="6"/>
      <c r="X5511" s="6"/>
      <c r="Y5511" s="6"/>
      <c r="Z5511" s="6"/>
    </row>
    <row r="5512" customFormat="false" ht="15" hidden="false" customHeight="false" outlineLevel="0" collapsed="false">
      <c r="A5512" s="9" t="s">
        <v>11590</v>
      </c>
      <c r="B5512" s="9" t="s">
        <v>11123</v>
      </c>
      <c r="C5512" s="9" t="s">
        <v>11591</v>
      </c>
      <c r="D5512" s="9" t="s">
        <v>11125</v>
      </c>
      <c r="E5512" s="9" t="str">
        <f aca="false">IF('Denial Worlds'!J240="PASS","PASS","FAIL")</f>
        <v>PASS</v>
      </c>
      <c r="F5512" s="9" t="s">
        <v>76</v>
      </c>
      <c r="G5512" s="6"/>
      <c r="H5512" s="6"/>
      <c r="I5512" s="6"/>
      <c r="J5512" s="6"/>
      <c r="K5512" s="6"/>
      <c r="L5512" s="6"/>
      <c r="M5512" s="6"/>
      <c r="N5512" s="6"/>
      <c r="O5512" s="6"/>
      <c r="P5512" s="6"/>
      <c r="Q5512" s="6"/>
      <c r="R5512" s="6"/>
      <c r="S5512" s="6"/>
      <c r="T5512" s="6"/>
      <c r="U5512" s="6"/>
      <c r="V5512" s="6"/>
      <c r="W5512" s="6"/>
      <c r="X5512" s="6"/>
      <c r="Y5512" s="6"/>
      <c r="Z5512" s="6"/>
    </row>
    <row r="5513" customFormat="false" ht="15" hidden="false" customHeight="false" outlineLevel="0" collapsed="false">
      <c r="A5513" s="9" t="s">
        <v>11592</v>
      </c>
      <c r="B5513" s="9" t="s">
        <v>11123</v>
      </c>
      <c r="C5513" s="9" t="s">
        <v>11593</v>
      </c>
      <c r="D5513" s="9" t="s">
        <v>11125</v>
      </c>
      <c r="E5513" s="9" t="str">
        <f aca="false">IF('Denial Worlds'!J241="PASS","PASS","FAIL")</f>
        <v>PASS</v>
      </c>
      <c r="F5513" s="9" t="s">
        <v>76</v>
      </c>
      <c r="G5513" s="6"/>
      <c r="H5513" s="6"/>
      <c r="I5513" s="6"/>
      <c r="J5513" s="6"/>
      <c r="K5513" s="6"/>
      <c r="L5513" s="6"/>
      <c r="M5513" s="6"/>
      <c r="N5513" s="6"/>
      <c r="O5513" s="6"/>
      <c r="P5513" s="6"/>
      <c r="Q5513" s="6"/>
      <c r="R5513" s="6"/>
      <c r="S5513" s="6"/>
      <c r="T5513" s="6"/>
      <c r="U5513" s="6"/>
      <c r="V5513" s="6"/>
      <c r="W5513" s="6"/>
      <c r="X5513" s="6"/>
      <c r="Y5513" s="6"/>
      <c r="Z5513" s="6"/>
    </row>
    <row r="5514" customFormat="false" ht="15" hidden="false" customHeight="false" outlineLevel="0" collapsed="false">
      <c r="A5514" s="9" t="s">
        <v>11594</v>
      </c>
      <c r="B5514" s="9" t="s">
        <v>11123</v>
      </c>
      <c r="C5514" s="9" t="s">
        <v>11595</v>
      </c>
      <c r="D5514" s="9" t="s">
        <v>11125</v>
      </c>
      <c r="E5514" s="9" t="str">
        <f aca="false">IF('Denial Worlds'!J242="PASS","PASS","FAIL")</f>
        <v>PASS</v>
      </c>
      <c r="F5514" s="9" t="s">
        <v>76</v>
      </c>
      <c r="G5514" s="6"/>
      <c r="H5514" s="6"/>
      <c r="I5514" s="6"/>
      <c r="J5514" s="6"/>
      <c r="K5514" s="6"/>
      <c r="L5514" s="6"/>
      <c r="M5514" s="6"/>
      <c r="N5514" s="6"/>
      <c r="O5514" s="6"/>
      <c r="P5514" s="6"/>
      <c r="Q5514" s="6"/>
      <c r="R5514" s="6"/>
      <c r="S5514" s="6"/>
      <c r="T5514" s="6"/>
      <c r="U5514" s="6"/>
      <c r="V5514" s="6"/>
      <c r="W5514" s="6"/>
      <c r="X5514" s="6"/>
      <c r="Y5514" s="6"/>
      <c r="Z5514" s="6"/>
    </row>
    <row r="5515" customFormat="false" ht="15" hidden="false" customHeight="false" outlineLevel="0" collapsed="false">
      <c r="A5515" s="9" t="s">
        <v>11596</v>
      </c>
      <c r="B5515" s="9" t="s">
        <v>11123</v>
      </c>
      <c r="C5515" s="9" t="s">
        <v>11597</v>
      </c>
      <c r="D5515" s="9" t="s">
        <v>11125</v>
      </c>
      <c r="E5515" s="9" t="str">
        <f aca="false">IF('Denial Worlds'!J243="PASS","PASS","FAIL")</f>
        <v>PASS</v>
      </c>
      <c r="F5515" s="9" t="s">
        <v>76</v>
      </c>
      <c r="G5515" s="6"/>
      <c r="H5515" s="6"/>
      <c r="I5515" s="6"/>
      <c r="J5515" s="6"/>
      <c r="K5515" s="6"/>
      <c r="L5515" s="6"/>
      <c r="M5515" s="6"/>
      <c r="N5515" s="6"/>
      <c r="O5515" s="6"/>
      <c r="P5515" s="6"/>
      <c r="Q5515" s="6"/>
      <c r="R5515" s="6"/>
      <c r="S5515" s="6"/>
      <c r="T5515" s="6"/>
      <c r="U5515" s="6"/>
      <c r="V5515" s="6"/>
      <c r="W5515" s="6"/>
      <c r="X5515" s="6"/>
      <c r="Y5515" s="6"/>
      <c r="Z5515" s="6"/>
    </row>
    <row r="5516" customFormat="false" ht="15" hidden="false" customHeight="false" outlineLevel="0" collapsed="false">
      <c r="A5516" s="9" t="s">
        <v>11598</v>
      </c>
      <c r="B5516" s="9" t="s">
        <v>11123</v>
      </c>
      <c r="C5516" s="9" t="s">
        <v>11599</v>
      </c>
      <c r="D5516" s="9" t="s">
        <v>11125</v>
      </c>
      <c r="E5516" s="9" t="str">
        <f aca="false">IF('Denial Worlds'!J244="PASS","PASS","FAIL")</f>
        <v>PASS</v>
      </c>
      <c r="F5516" s="9" t="s">
        <v>76</v>
      </c>
      <c r="G5516" s="6"/>
      <c r="H5516" s="6"/>
      <c r="I5516" s="6"/>
      <c r="J5516" s="6"/>
      <c r="K5516" s="6"/>
      <c r="L5516" s="6"/>
      <c r="M5516" s="6"/>
      <c r="N5516" s="6"/>
      <c r="O5516" s="6"/>
      <c r="P5516" s="6"/>
      <c r="Q5516" s="6"/>
      <c r="R5516" s="6"/>
      <c r="S5516" s="6"/>
      <c r="T5516" s="6"/>
      <c r="U5516" s="6"/>
      <c r="V5516" s="6"/>
      <c r="W5516" s="6"/>
      <c r="X5516" s="6"/>
      <c r="Y5516" s="6"/>
      <c r="Z5516" s="6"/>
    </row>
    <row r="5517" customFormat="false" ht="15" hidden="false" customHeight="false" outlineLevel="0" collapsed="false">
      <c r="A5517" s="9" t="s">
        <v>11600</v>
      </c>
      <c r="B5517" s="9" t="s">
        <v>11123</v>
      </c>
      <c r="C5517" s="9" t="s">
        <v>11601</v>
      </c>
      <c r="D5517" s="9" t="s">
        <v>11125</v>
      </c>
      <c r="E5517" s="9" t="str">
        <f aca="false">IF('Denial Worlds'!J245="PASS","PASS","FAIL")</f>
        <v>PASS</v>
      </c>
      <c r="F5517" s="9" t="s">
        <v>76</v>
      </c>
      <c r="G5517" s="6"/>
      <c r="H5517" s="6"/>
      <c r="I5517" s="6"/>
      <c r="J5517" s="6"/>
      <c r="K5517" s="6"/>
      <c r="L5517" s="6"/>
      <c r="M5517" s="6"/>
      <c r="N5517" s="6"/>
      <c r="O5517" s="6"/>
      <c r="P5517" s="6"/>
      <c r="Q5517" s="6"/>
      <c r="R5517" s="6"/>
      <c r="S5517" s="6"/>
      <c r="T5517" s="6"/>
      <c r="U5517" s="6"/>
      <c r="V5517" s="6"/>
      <c r="W5517" s="6"/>
      <c r="X5517" s="6"/>
      <c r="Y5517" s="6"/>
      <c r="Z5517" s="6"/>
    </row>
    <row r="5518" customFormat="false" ht="15" hidden="false" customHeight="false" outlineLevel="0" collapsed="false">
      <c r="A5518" s="9" t="s">
        <v>11602</v>
      </c>
      <c r="B5518" s="9" t="s">
        <v>11123</v>
      </c>
      <c r="C5518" s="9" t="s">
        <v>11603</v>
      </c>
      <c r="D5518" s="9" t="s">
        <v>11125</v>
      </c>
      <c r="E5518" s="9" t="str">
        <f aca="false">IF('Denial Worlds'!J246="PASS","PASS","FAIL")</f>
        <v>PASS</v>
      </c>
      <c r="F5518" s="9" t="s">
        <v>76</v>
      </c>
      <c r="G5518" s="6"/>
      <c r="H5518" s="6"/>
      <c r="I5518" s="6"/>
      <c r="J5518" s="6"/>
      <c r="K5518" s="6"/>
      <c r="L5518" s="6"/>
      <c r="M5518" s="6"/>
      <c r="N5518" s="6"/>
      <c r="O5518" s="6"/>
      <c r="P5518" s="6"/>
      <c r="Q5518" s="6"/>
      <c r="R5518" s="6"/>
      <c r="S5518" s="6"/>
      <c r="T5518" s="6"/>
      <c r="U5518" s="6"/>
      <c r="V5518" s="6"/>
      <c r="W5518" s="6"/>
      <c r="X5518" s="6"/>
      <c r="Y5518" s="6"/>
      <c r="Z5518" s="6"/>
    </row>
    <row r="5519" customFormat="false" ht="15" hidden="false" customHeight="false" outlineLevel="0" collapsed="false">
      <c r="A5519" s="9" t="s">
        <v>11604</v>
      </c>
      <c r="B5519" s="9" t="s">
        <v>11123</v>
      </c>
      <c r="C5519" s="9" t="s">
        <v>11605</v>
      </c>
      <c r="D5519" s="9" t="s">
        <v>11125</v>
      </c>
      <c r="E5519" s="9" t="str">
        <f aca="false">IF('Denial Worlds'!J247="PASS","PASS","FAIL")</f>
        <v>PASS</v>
      </c>
      <c r="F5519" s="9" t="s">
        <v>76</v>
      </c>
      <c r="G5519" s="6"/>
      <c r="H5519" s="6"/>
      <c r="I5519" s="6"/>
      <c r="J5519" s="6"/>
      <c r="K5519" s="6"/>
      <c r="L5519" s="6"/>
      <c r="M5519" s="6"/>
      <c r="N5519" s="6"/>
      <c r="O5519" s="6"/>
      <c r="P5519" s="6"/>
      <c r="Q5519" s="6"/>
      <c r="R5519" s="6"/>
      <c r="S5519" s="6"/>
      <c r="T5519" s="6"/>
      <c r="U5519" s="6"/>
      <c r="V5519" s="6"/>
      <c r="W5519" s="6"/>
      <c r="X5519" s="6"/>
      <c r="Y5519" s="6"/>
      <c r="Z5519" s="6"/>
    </row>
    <row r="5520" customFormat="false" ht="15" hidden="false" customHeight="false" outlineLevel="0" collapsed="false">
      <c r="A5520" s="9" t="s">
        <v>11606</v>
      </c>
      <c r="B5520" s="9" t="s">
        <v>11123</v>
      </c>
      <c r="C5520" s="9" t="s">
        <v>11607</v>
      </c>
      <c r="D5520" s="9" t="s">
        <v>11125</v>
      </c>
      <c r="E5520" s="9" t="str">
        <f aca="false">IF('Denial Worlds'!J248="PASS","PASS","FAIL")</f>
        <v>PASS</v>
      </c>
      <c r="F5520" s="9" t="s">
        <v>76</v>
      </c>
      <c r="G5520" s="6"/>
      <c r="H5520" s="6"/>
      <c r="I5520" s="6"/>
      <c r="J5520" s="6"/>
      <c r="K5520" s="6"/>
      <c r="L5520" s="6"/>
      <c r="M5520" s="6"/>
      <c r="N5520" s="6"/>
      <c r="O5520" s="6"/>
      <c r="P5520" s="6"/>
      <c r="Q5520" s="6"/>
      <c r="R5520" s="6"/>
      <c r="S5520" s="6"/>
      <c r="T5520" s="6"/>
      <c r="U5520" s="6"/>
      <c r="V5520" s="6"/>
      <c r="W5520" s="6"/>
      <c r="X5520" s="6"/>
      <c r="Y5520" s="6"/>
      <c r="Z5520" s="6"/>
    </row>
    <row r="5521" customFormat="false" ht="15" hidden="false" customHeight="false" outlineLevel="0" collapsed="false">
      <c r="A5521" s="9" t="s">
        <v>11608</v>
      </c>
      <c r="B5521" s="9" t="s">
        <v>11123</v>
      </c>
      <c r="C5521" s="9" t="s">
        <v>11609</v>
      </c>
      <c r="D5521" s="9" t="s">
        <v>11125</v>
      </c>
      <c r="E5521" s="9" t="str">
        <f aca="false">IF('Denial Worlds'!J249="PASS","PASS","FAIL")</f>
        <v>PASS</v>
      </c>
      <c r="F5521" s="9" t="s">
        <v>76</v>
      </c>
      <c r="G5521" s="6"/>
      <c r="H5521" s="6"/>
      <c r="I5521" s="6"/>
      <c r="J5521" s="6"/>
      <c r="K5521" s="6"/>
      <c r="L5521" s="6"/>
      <c r="M5521" s="6"/>
      <c r="N5521" s="6"/>
      <c r="O5521" s="6"/>
      <c r="P5521" s="6"/>
      <c r="Q5521" s="6"/>
      <c r="R5521" s="6"/>
      <c r="S5521" s="6"/>
      <c r="T5521" s="6"/>
      <c r="U5521" s="6"/>
      <c r="V5521" s="6"/>
      <c r="W5521" s="6"/>
      <c r="X5521" s="6"/>
      <c r="Y5521" s="6"/>
      <c r="Z5521" s="6"/>
    </row>
    <row r="5522" customFormat="false" ht="15" hidden="false" customHeight="false" outlineLevel="0" collapsed="false">
      <c r="A5522" s="9" t="s">
        <v>11610</v>
      </c>
      <c r="B5522" s="9" t="s">
        <v>11123</v>
      </c>
      <c r="C5522" s="9" t="s">
        <v>11611</v>
      </c>
      <c r="D5522" s="9" t="s">
        <v>11125</v>
      </c>
      <c r="E5522" s="9" t="str">
        <f aca="false">IF('Denial Worlds'!J250="PASS","PASS","FAIL")</f>
        <v>PASS</v>
      </c>
      <c r="F5522" s="9" t="s">
        <v>76</v>
      </c>
      <c r="G5522" s="6"/>
      <c r="H5522" s="6"/>
      <c r="I5522" s="6"/>
      <c r="J5522" s="6"/>
      <c r="K5522" s="6"/>
      <c r="L5522" s="6"/>
      <c r="M5522" s="6"/>
      <c r="N5522" s="6"/>
      <c r="O5522" s="6"/>
      <c r="P5522" s="6"/>
      <c r="Q5522" s="6"/>
      <c r="R5522" s="6"/>
      <c r="S5522" s="6"/>
      <c r="T5522" s="6"/>
      <c r="U5522" s="6"/>
      <c r="V5522" s="6"/>
      <c r="W5522" s="6"/>
      <c r="X5522" s="6"/>
      <c r="Y5522" s="6"/>
      <c r="Z5522" s="6"/>
    </row>
    <row r="5523" customFormat="false" ht="15" hidden="false" customHeight="false" outlineLevel="0" collapsed="false">
      <c r="A5523" s="9" t="s">
        <v>11612</v>
      </c>
      <c r="B5523" s="9" t="s">
        <v>11123</v>
      </c>
      <c r="C5523" s="9" t="s">
        <v>11613</v>
      </c>
      <c r="D5523" s="9" t="s">
        <v>11125</v>
      </c>
      <c r="E5523" s="9" t="str">
        <f aca="false">IF('Denial Worlds'!J251="PASS","PASS","FAIL")</f>
        <v>PASS</v>
      </c>
      <c r="F5523" s="9" t="s">
        <v>76</v>
      </c>
      <c r="G5523" s="6"/>
      <c r="H5523" s="6"/>
      <c r="I5523" s="6"/>
      <c r="J5523" s="6"/>
      <c r="K5523" s="6"/>
      <c r="L5523" s="6"/>
      <c r="M5523" s="6"/>
      <c r="N5523" s="6"/>
      <c r="O5523" s="6"/>
      <c r="P5523" s="6"/>
      <c r="Q5523" s="6"/>
      <c r="R5523" s="6"/>
      <c r="S5523" s="6"/>
      <c r="T5523" s="6"/>
      <c r="U5523" s="6"/>
      <c r="V5523" s="6"/>
      <c r="W5523" s="6"/>
      <c r="X5523" s="6"/>
      <c r="Y5523" s="6"/>
      <c r="Z5523" s="6"/>
    </row>
    <row r="5524" customFormat="false" ht="15" hidden="false" customHeight="false" outlineLevel="0" collapsed="false">
      <c r="A5524" s="9" t="s">
        <v>11614</v>
      </c>
      <c r="B5524" s="9" t="s">
        <v>11123</v>
      </c>
      <c r="C5524" s="9" t="s">
        <v>11615</v>
      </c>
      <c r="D5524" s="9" t="s">
        <v>11125</v>
      </c>
      <c r="E5524" s="9" t="str">
        <f aca="false">IF('Denial Worlds'!J252="PASS","PASS","FAIL")</f>
        <v>PASS</v>
      </c>
      <c r="F5524" s="9" t="s">
        <v>76</v>
      </c>
      <c r="G5524" s="6"/>
      <c r="H5524" s="6"/>
      <c r="I5524" s="6"/>
      <c r="J5524" s="6"/>
      <c r="K5524" s="6"/>
      <c r="L5524" s="6"/>
      <c r="M5524" s="6"/>
      <c r="N5524" s="6"/>
      <c r="O5524" s="6"/>
      <c r="P5524" s="6"/>
      <c r="Q5524" s="6"/>
      <c r="R5524" s="6"/>
      <c r="S5524" s="6"/>
      <c r="T5524" s="6"/>
      <c r="U5524" s="6"/>
      <c r="V5524" s="6"/>
      <c r="W5524" s="6"/>
      <c r="X5524" s="6"/>
      <c r="Y5524" s="6"/>
      <c r="Z5524" s="6"/>
    </row>
    <row r="5525" customFormat="false" ht="15" hidden="false" customHeight="false" outlineLevel="0" collapsed="false">
      <c r="A5525" s="9" t="s">
        <v>11616</v>
      </c>
      <c r="B5525" s="9" t="s">
        <v>11123</v>
      </c>
      <c r="C5525" s="9" t="s">
        <v>11617</v>
      </c>
      <c r="D5525" s="9" t="s">
        <v>11125</v>
      </c>
      <c r="E5525" s="9" t="str">
        <f aca="false">IF('Denial Worlds'!J253="PASS","PASS","FAIL")</f>
        <v>PASS</v>
      </c>
      <c r="F5525" s="9" t="s">
        <v>76</v>
      </c>
      <c r="G5525" s="6"/>
      <c r="H5525" s="6"/>
      <c r="I5525" s="6"/>
      <c r="J5525" s="6"/>
      <c r="K5525" s="6"/>
      <c r="L5525" s="6"/>
      <c r="M5525" s="6"/>
      <c r="N5525" s="6"/>
      <c r="O5525" s="6"/>
      <c r="P5525" s="6"/>
      <c r="Q5525" s="6"/>
      <c r="R5525" s="6"/>
      <c r="S5525" s="6"/>
      <c r="T5525" s="6"/>
      <c r="U5525" s="6"/>
      <c r="V5525" s="6"/>
      <c r="W5525" s="6"/>
      <c r="X5525" s="6"/>
      <c r="Y5525" s="6"/>
      <c r="Z5525" s="6"/>
    </row>
    <row r="5526" customFormat="false" ht="15" hidden="false" customHeight="false" outlineLevel="0" collapsed="false">
      <c r="A5526" s="9" t="s">
        <v>11618</v>
      </c>
      <c r="B5526" s="9" t="s">
        <v>11123</v>
      </c>
      <c r="C5526" s="9" t="s">
        <v>11619</v>
      </c>
      <c r="D5526" s="9" t="s">
        <v>11125</v>
      </c>
      <c r="E5526" s="9" t="str">
        <f aca="false">IF('Denial Worlds'!J254="PASS","PASS","FAIL")</f>
        <v>PASS</v>
      </c>
      <c r="F5526" s="9" t="s">
        <v>76</v>
      </c>
      <c r="G5526" s="6"/>
      <c r="H5526" s="6"/>
      <c r="I5526" s="6"/>
      <c r="J5526" s="6"/>
      <c r="K5526" s="6"/>
      <c r="L5526" s="6"/>
      <c r="M5526" s="6"/>
      <c r="N5526" s="6"/>
      <c r="O5526" s="6"/>
      <c r="P5526" s="6"/>
      <c r="Q5526" s="6"/>
      <c r="R5526" s="6"/>
      <c r="S5526" s="6"/>
      <c r="T5526" s="6"/>
      <c r="U5526" s="6"/>
      <c r="V5526" s="6"/>
      <c r="W5526" s="6"/>
      <c r="X5526" s="6"/>
      <c r="Y5526" s="6"/>
      <c r="Z5526" s="6"/>
    </row>
    <row r="5527" customFormat="false" ht="15" hidden="false" customHeight="false" outlineLevel="0" collapsed="false">
      <c r="A5527" s="9" t="s">
        <v>11620</v>
      </c>
      <c r="B5527" s="9" t="s">
        <v>11123</v>
      </c>
      <c r="C5527" s="9" t="s">
        <v>11621</v>
      </c>
      <c r="D5527" s="9" t="s">
        <v>11125</v>
      </c>
      <c r="E5527" s="9" t="str">
        <f aca="false">IF('Denial Worlds'!J255="PASS","PASS","FAIL")</f>
        <v>PASS</v>
      </c>
      <c r="F5527" s="9" t="s">
        <v>76</v>
      </c>
      <c r="G5527" s="6"/>
      <c r="H5527" s="6"/>
      <c r="I5527" s="6"/>
      <c r="J5527" s="6"/>
      <c r="K5527" s="6"/>
      <c r="L5527" s="6"/>
      <c r="M5527" s="6"/>
      <c r="N5527" s="6"/>
      <c r="O5527" s="6"/>
      <c r="P5527" s="6"/>
      <c r="Q5527" s="6"/>
      <c r="R5527" s="6"/>
      <c r="S5527" s="6"/>
      <c r="T5527" s="6"/>
      <c r="U5527" s="6"/>
      <c r="V5527" s="6"/>
      <c r="W5527" s="6"/>
      <c r="X5527" s="6"/>
      <c r="Y5527" s="6"/>
      <c r="Z5527" s="6"/>
    </row>
    <row r="5528" customFormat="false" ht="15" hidden="false" customHeight="false" outlineLevel="0" collapsed="false">
      <c r="A5528" s="9" t="s">
        <v>11622</v>
      </c>
      <c r="B5528" s="9" t="s">
        <v>11123</v>
      </c>
      <c r="C5528" s="9" t="s">
        <v>11623</v>
      </c>
      <c r="D5528" s="9" t="s">
        <v>11125</v>
      </c>
      <c r="E5528" s="9" t="str">
        <f aca="false">IF('Denial Worlds'!J256="PASS","PASS","FAIL")</f>
        <v>PASS</v>
      </c>
      <c r="F5528" s="9" t="s">
        <v>76</v>
      </c>
      <c r="G5528" s="6"/>
      <c r="H5528" s="6"/>
      <c r="I5528" s="6"/>
      <c r="J5528" s="6"/>
      <c r="K5528" s="6"/>
      <c r="L5528" s="6"/>
      <c r="M5528" s="6"/>
      <c r="N5528" s="6"/>
      <c r="O5528" s="6"/>
      <c r="P5528" s="6"/>
      <c r="Q5528" s="6"/>
      <c r="R5528" s="6"/>
      <c r="S5528" s="6"/>
      <c r="T5528" s="6"/>
      <c r="U5528" s="6"/>
      <c r="V5528" s="6"/>
      <c r="W5528" s="6"/>
      <c r="X5528" s="6"/>
      <c r="Y5528" s="6"/>
      <c r="Z5528" s="6"/>
    </row>
    <row r="5529" customFormat="false" ht="15" hidden="false" customHeight="false" outlineLevel="0" collapsed="false">
      <c r="A5529" s="9" t="s">
        <v>11624</v>
      </c>
      <c r="B5529" s="9" t="s">
        <v>11123</v>
      </c>
      <c r="C5529" s="9" t="s">
        <v>11625</v>
      </c>
      <c r="D5529" s="9" t="s">
        <v>11125</v>
      </c>
      <c r="E5529" s="9" t="str">
        <f aca="false">IF('Denial Worlds'!J257="PASS","PASS","FAIL")</f>
        <v>PASS</v>
      </c>
      <c r="F5529" s="9" t="s">
        <v>76</v>
      </c>
      <c r="G5529" s="6"/>
      <c r="H5529" s="6"/>
      <c r="I5529" s="6"/>
      <c r="J5529" s="6"/>
      <c r="K5529" s="6"/>
      <c r="L5529" s="6"/>
      <c r="M5529" s="6"/>
      <c r="N5529" s="6"/>
      <c r="O5529" s="6"/>
      <c r="P5529" s="6"/>
      <c r="Q5529" s="6"/>
      <c r="R5529" s="6"/>
      <c r="S5529" s="6"/>
      <c r="T5529" s="6"/>
      <c r="U5529" s="6"/>
      <c r="V5529" s="6"/>
      <c r="W5529" s="6"/>
      <c r="X5529" s="6"/>
      <c r="Y5529" s="6"/>
      <c r="Z5529" s="6"/>
    </row>
    <row r="5530" customFormat="false" ht="15" hidden="false" customHeight="false" outlineLevel="0" collapsed="false">
      <c r="A5530" s="9" t="s">
        <v>11626</v>
      </c>
      <c r="B5530" s="9" t="s">
        <v>11123</v>
      </c>
      <c r="C5530" s="9" t="s">
        <v>11627</v>
      </c>
      <c r="D5530" s="9" t="s">
        <v>11125</v>
      </c>
      <c r="E5530" s="9" t="str">
        <f aca="false">IF('Denial Worlds'!J258="PASS","PASS","FAIL")</f>
        <v>PASS</v>
      </c>
      <c r="F5530" s="9" t="s">
        <v>76</v>
      </c>
      <c r="G5530" s="6"/>
      <c r="H5530" s="6"/>
      <c r="I5530" s="6"/>
      <c r="J5530" s="6"/>
      <c r="K5530" s="6"/>
      <c r="L5530" s="6"/>
      <c r="M5530" s="6"/>
      <c r="N5530" s="6"/>
      <c r="O5530" s="6"/>
      <c r="P5530" s="6"/>
      <c r="Q5530" s="6"/>
      <c r="R5530" s="6"/>
      <c r="S5530" s="6"/>
      <c r="T5530" s="6"/>
      <c r="U5530" s="6"/>
      <c r="V5530" s="6"/>
      <c r="W5530" s="6"/>
      <c r="X5530" s="6"/>
      <c r="Y5530" s="6"/>
      <c r="Z5530" s="6"/>
    </row>
    <row r="5531" customFormat="false" ht="15" hidden="false" customHeight="false" outlineLevel="0" collapsed="false">
      <c r="A5531" s="9" t="s">
        <v>11628</v>
      </c>
      <c r="B5531" s="9" t="s">
        <v>11123</v>
      </c>
      <c r="C5531" s="9" t="s">
        <v>11629</v>
      </c>
      <c r="D5531" s="9" t="s">
        <v>11125</v>
      </c>
      <c r="E5531" s="9" t="str">
        <f aca="false">IF('Denial Worlds'!J259="PASS","PASS","FAIL")</f>
        <v>PASS</v>
      </c>
      <c r="F5531" s="9" t="s">
        <v>76</v>
      </c>
      <c r="G5531" s="6"/>
      <c r="H5531" s="6"/>
      <c r="I5531" s="6"/>
      <c r="J5531" s="6"/>
      <c r="K5531" s="6"/>
      <c r="L5531" s="6"/>
      <c r="M5531" s="6"/>
      <c r="N5531" s="6"/>
      <c r="O5531" s="6"/>
      <c r="P5531" s="6"/>
      <c r="Q5531" s="6"/>
      <c r="R5531" s="6"/>
      <c r="S5531" s="6"/>
      <c r="T5531" s="6"/>
      <c r="U5531" s="6"/>
      <c r="V5531" s="6"/>
      <c r="W5531" s="6"/>
      <c r="X5531" s="6"/>
      <c r="Y5531" s="6"/>
      <c r="Z5531" s="6"/>
    </row>
    <row r="5532" customFormat="false" ht="15" hidden="false" customHeight="false" outlineLevel="0" collapsed="false">
      <c r="A5532" s="9" t="s">
        <v>11630</v>
      </c>
      <c r="B5532" s="9" t="s">
        <v>11123</v>
      </c>
      <c r="C5532" s="9" t="s">
        <v>11631</v>
      </c>
      <c r="D5532" s="9" t="s">
        <v>11125</v>
      </c>
      <c r="E5532" s="9" t="str">
        <f aca="false">IF('Denial Worlds'!J260="PASS","PASS","FAIL")</f>
        <v>PASS</v>
      </c>
      <c r="F5532" s="9" t="s">
        <v>76</v>
      </c>
      <c r="G5532" s="6"/>
      <c r="H5532" s="6"/>
      <c r="I5532" s="6"/>
      <c r="J5532" s="6"/>
      <c r="K5532" s="6"/>
      <c r="L5532" s="6"/>
      <c r="M5532" s="6"/>
      <c r="N5532" s="6"/>
      <c r="O5532" s="6"/>
      <c r="P5532" s="6"/>
      <c r="Q5532" s="6"/>
      <c r="R5532" s="6"/>
      <c r="S5532" s="6"/>
      <c r="T5532" s="6"/>
      <c r="U5532" s="6"/>
      <c r="V5532" s="6"/>
      <c r="W5532" s="6"/>
      <c r="X5532" s="6"/>
      <c r="Y5532" s="6"/>
      <c r="Z5532" s="6"/>
    </row>
    <row r="5533" customFormat="false" ht="15" hidden="false" customHeight="false" outlineLevel="0" collapsed="false">
      <c r="A5533" s="9" t="s">
        <v>11632</v>
      </c>
      <c r="B5533" s="9" t="s">
        <v>11123</v>
      </c>
      <c r="C5533" s="9" t="s">
        <v>11633</v>
      </c>
      <c r="D5533" s="9" t="s">
        <v>11125</v>
      </c>
      <c r="E5533" s="9" t="str">
        <f aca="false">IF('Denial Worlds'!J261="PASS","PASS","FAIL")</f>
        <v>PASS</v>
      </c>
      <c r="F5533" s="9" t="s">
        <v>76</v>
      </c>
      <c r="G5533" s="6"/>
      <c r="H5533" s="6"/>
      <c r="I5533" s="6"/>
      <c r="J5533" s="6"/>
      <c r="K5533" s="6"/>
      <c r="L5533" s="6"/>
      <c r="M5533" s="6"/>
      <c r="N5533" s="6"/>
      <c r="O5533" s="6"/>
      <c r="P5533" s="6"/>
      <c r="Q5533" s="6"/>
      <c r="R5533" s="6"/>
      <c r="S5533" s="6"/>
      <c r="T5533" s="6"/>
      <c r="U5533" s="6"/>
      <c r="V5533" s="6"/>
      <c r="W5533" s="6"/>
      <c r="X5533" s="6"/>
      <c r="Y5533" s="6"/>
      <c r="Z5533" s="6"/>
    </row>
    <row r="5534" customFormat="false" ht="15" hidden="false" customHeight="false" outlineLevel="0" collapsed="false">
      <c r="A5534" s="9" t="s">
        <v>11634</v>
      </c>
      <c r="B5534" s="9" t="s">
        <v>11123</v>
      </c>
      <c r="C5534" s="9" t="s">
        <v>11635</v>
      </c>
      <c r="D5534" s="9" t="s">
        <v>11125</v>
      </c>
      <c r="E5534" s="9" t="str">
        <f aca="false">IF('Denial Worlds'!J262="PASS","PASS","FAIL")</f>
        <v>PASS</v>
      </c>
      <c r="F5534" s="9" t="s">
        <v>76</v>
      </c>
      <c r="G5534" s="6"/>
      <c r="H5534" s="6"/>
      <c r="I5534" s="6"/>
      <c r="J5534" s="6"/>
      <c r="K5534" s="6"/>
      <c r="L5534" s="6"/>
      <c r="M5534" s="6"/>
      <c r="N5534" s="6"/>
      <c r="O5534" s="6"/>
      <c r="P5534" s="6"/>
      <c r="Q5534" s="6"/>
      <c r="R5534" s="6"/>
      <c r="S5534" s="6"/>
      <c r="T5534" s="6"/>
      <c r="U5534" s="6"/>
      <c r="V5534" s="6"/>
      <c r="W5534" s="6"/>
      <c r="X5534" s="6"/>
      <c r="Y5534" s="6"/>
      <c r="Z5534" s="6"/>
    </row>
    <row r="5535" customFormat="false" ht="15" hidden="false" customHeight="false" outlineLevel="0" collapsed="false">
      <c r="A5535" s="9" t="s">
        <v>11636</v>
      </c>
      <c r="B5535" s="9" t="s">
        <v>11123</v>
      </c>
      <c r="C5535" s="9" t="s">
        <v>11637</v>
      </c>
      <c r="D5535" s="9" t="s">
        <v>11125</v>
      </c>
      <c r="E5535" s="9" t="str">
        <f aca="false">IF('Denial Worlds'!J263="PASS","PASS","FAIL")</f>
        <v>PASS</v>
      </c>
      <c r="F5535" s="9" t="s">
        <v>76</v>
      </c>
      <c r="G5535" s="6"/>
      <c r="H5535" s="6"/>
      <c r="I5535" s="6"/>
      <c r="J5535" s="6"/>
      <c r="K5535" s="6"/>
      <c r="L5535" s="6"/>
      <c r="M5535" s="6"/>
      <c r="N5535" s="6"/>
      <c r="O5535" s="6"/>
      <c r="P5535" s="6"/>
      <c r="Q5535" s="6"/>
      <c r="R5535" s="6"/>
      <c r="S5535" s="6"/>
      <c r="T5535" s="6"/>
      <c r="U5535" s="6"/>
      <c r="V5535" s="6"/>
      <c r="W5535" s="6"/>
      <c r="X5535" s="6"/>
      <c r="Y5535" s="6"/>
      <c r="Z5535" s="6"/>
    </row>
    <row r="5536" customFormat="false" ht="15" hidden="false" customHeight="false" outlineLevel="0" collapsed="false">
      <c r="A5536" s="9" t="s">
        <v>11638</v>
      </c>
      <c r="B5536" s="9" t="s">
        <v>11123</v>
      </c>
      <c r="C5536" s="9" t="s">
        <v>11639</v>
      </c>
      <c r="D5536" s="9" t="s">
        <v>11125</v>
      </c>
      <c r="E5536" s="9" t="str">
        <f aca="false">IF('Denial Worlds'!J264="PASS","PASS","FAIL")</f>
        <v>PASS</v>
      </c>
      <c r="F5536" s="9" t="s">
        <v>76</v>
      </c>
      <c r="G5536" s="6"/>
      <c r="H5536" s="6"/>
      <c r="I5536" s="6"/>
      <c r="J5536" s="6"/>
      <c r="K5536" s="6"/>
      <c r="L5536" s="6"/>
      <c r="M5536" s="6"/>
      <c r="N5536" s="6"/>
      <c r="O5536" s="6"/>
      <c r="P5536" s="6"/>
      <c r="Q5536" s="6"/>
      <c r="R5536" s="6"/>
      <c r="S5536" s="6"/>
      <c r="T5536" s="6"/>
      <c r="U5536" s="6"/>
      <c r="V5536" s="6"/>
      <c r="W5536" s="6"/>
      <c r="X5536" s="6"/>
      <c r="Y5536" s="6"/>
      <c r="Z5536" s="6"/>
    </row>
    <row r="5537" customFormat="false" ht="15" hidden="false" customHeight="false" outlineLevel="0" collapsed="false">
      <c r="A5537" s="9" t="s">
        <v>11640</v>
      </c>
      <c r="B5537" s="9" t="s">
        <v>11123</v>
      </c>
      <c r="C5537" s="9" t="s">
        <v>11641</v>
      </c>
      <c r="D5537" s="9" t="s">
        <v>11125</v>
      </c>
      <c r="E5537" s="9" t="str">
        <f aca="false">IF('Denial Worlds'!J265="PASS","PASS","FAIL")</f>
        <v>PASS</v>
      </c>
      <c r="F5537" s="9" t="s">
        <v>76</v>
      </c>
      <c r="G5537" s="6"/>
      <c r="H5537" s="6"/>
      <c r="I5537" s="6"/>
      <c r="J5537" s="6"/>
      <c r="K5537" s="6"/>
      <c r="L5537" s="6"/>
      <c r="M5537" s="6"/>
      <c r="N5537" s="6"/>
      <c r="O5537" s="6"/>
      <c r="P5537" s="6"/>
      <c r="Q5537" s="6"/>
      <c r="R5537" s="6"/>
      <c r="S5537" s="6"/>
      <c r="T5537" s="6"/>
      <c r="U5537" s="6"/>
      <c r="V5537" s="6"/>
      <c r="W5537" s="6"/>
      <c r="X5537" s="6"/>
      <c r="Y5537" s="6"/>
      <c r="Z5537" s="6"/>
    </row>
    <row r="5538" customFormat="false" ht="15" hidden="false" customHeight="false" outlineLevel="0" collapsed="false">
      <c r="A5538" s="9" t="s">
        <v>11642</v>
      </c>
      <c r="B5538" s="9" t="s">
        <v>11123</v>
      </c>
      <c r="C5538" s="9" t="s">
        <v>11643</v>
      </c>
      <c r="D5538" s="9" t="s">
        <v>11125</v>
      </c>
      <c r="E5538" s="9" t="str">
        <f aca="false">IF('Denial Worlds'!J266="PASS","PASS","FAIL")</f>
        <v>PASS</v>
      </c>
      <c r="F5538" s="9" t="s">
        <v>76</v>
      </c>
      <c r="G5538" s="6"/>
      <c r="H5538" s="6"/>
      <c r="I5538" s="6"/>
      <c r="J5538" s="6"/>
      <c r="K5538" s="6"/>
      <c r="L5538" s="6"/>
      <c r="M5538" s="6"/>
      <c r="N5538" s="6"/>
      <c r="O5538" s="6"/>
      <c r="P5538" s="6"/>
      <c r="Q5538" s="6"/>
      <c r="R5538" s="6"/>
      <c r="S5538" s="6"/>
      <c r="T5538" s="6"/>
      <c r="U5538" s="6"/>
      <c r="V5538" s="6"/>
      <c r="W5538" s="6"/>
      <c r="X5538" s="6"/>
      <c r="Y5538" s="6"/>
      <c r="Z5538" s="6"/>
    </row>
    <row r="5539" customFormat="false" ht="15" hidden="false" customHeight="false" outlineLevel="0" collapsed="false">
      <c r="A5539" s="9" t="s">
        <v>11644</v>
      </c>
      <c r="B5539" s="9" t="s">
        <v>11123</v>
      </c>
      <c r="C5539" s="9" t="s">
        <v>11645</v>
      </c>
      <c r="D5539" s="9" t="s">
        <v>11125</v>
      </c>
      <c r="E5539" s="9" t="str">
        <f aca="false">IF('Denial Worlds'!J267="PASS","PASS","FAIL")</f>
        <v>PASS</v>
      </c>
      <c r="F5539" s="9" t="s">
        <v>76</v>
      </c>
      <c r="G5539" s="6"/>
      <c r="H5539" s="6"/>
      <c r="I5539" s="6"/>
      <c r="J5539" s="6"/>
      <c r="K5539" s="6"/>
      <c r="L5539" s="6"/>
      <c r="M5539" s="6"/>
      <c r="N5539" s="6"/>
      <c r="O5539" s="6"/>
      <c r="P5539" s="6"/>
      <c r="Q5539" s="6"/>
      <c r="R5539" s="6"/>
      <c r="S5539" s="6"/>
      <c r="T5539" s="6"/>
      <c r="U5539" s="6"/>
      <c r="V5539" s="6"/>
      <c r="W5539" s="6"/>
      <c r="X5539" s="6"/>
      <c r="Y5539" s="6"/>
      <c r="Z5539" s="6"/>
    </row>
    <row r="5540" customFormat="false" ht="15" hidden="false" customHeight="false" outlineLevel="0" collapsed="false">
      <c r="A5540" s="9" t="s">
        <v>11646</v>
      </c>
      <c r="B5540" s="9" t="s">
        <v>11123</v>
      </c>
      <c r="C5540" s="9" t="s">
        <v>11647</v>
      </c>
      <c r="D5540" s="9" t="s">
        <v>11125</v>
      </c>
      <c r="E5540" s="9" t="str">
        <f aca="false">IF('Denial Worlds'!J268="PASS","PASS","FAIL")</f>
        <v>PASS</v>
      </c>
      <c r="F5540" s="9" t="s">
        <v>76</v>
      </c>
      <c r="G5540" s="6"/>
      <c r="H5540" s="6"/>
      <c r="I5540" s="6"/>
      <c r="J5540" s="6"/>
      <c r="K5540" s="6"/>
      <c r="L5540" s="6"/>
      <c r="M5540" s="6"/>
      <c r="N5540" s="6"/>
      <c r="O5540" s="6"/>
      <c r="P5540" s="6"/>
      <c r="Q5540" s="6"/>
      <c r="R5540" s="6"/>
      <c r="S5540" s="6"/>
      <c r="T5540" s="6"/>
      <c r="U5540" s="6"/>
      <c r="V5540" s="6"/>
      <c r="W5540" s="6"/>
      <c r="X5540" s="6"/>
      <c r="Y5540" s="6"/>
      <c r="Z5540" s="6"/>
    </row>
    <row r="5541" customFormat="false" ht="15" hidden="false" customHeight="false" outlineLevel="0" collapsed="false">
      <c r="A5541" s="9" t="s">
        <v>11648</v>
      </c>
      <c r="B5541" s="9" t="s">
        <v>11123</v>
      </c>
      <c r="C5541" s="9" t="s">
        <v>11649</v>
      </c>
      <c r="D5541" s="9" t="s">
        <v>11125</v>
      </c>
      <c r="E5541" s="9" t="str">
        <f aca="false">IF('Denial Worlds'!J269="PASS","PASS","FAIL")</f>
        <v>PASS</v>
      </c>
      <c r="F5541" s="9" t="s">
        <v>76</v>
      </c>
      <c r="G5541" s="6"/>
      <c r="H5541" s="6"/>
      <c r="I5541" s="6"/>
      <c r="J5541" s="6"/>
      <c r="K5541" s="6"/>
      <c r="L5541" s="6"/>
      <c r="M5541" s="6"/>
      <c r="N5541" s="6"/>
      <c r="O5541" s="6"/>
      <c r="P5541" s="6"/>
      <c r="Q5541" s="6"/>
      <c r="R5541" s="6"/>
      <c r="S5541" s="6"/>
      <c r="T5541" s="6"/>
      <c r="U5541" s="6"/>
      <c r="V5541" s="6"/>
      <c r="W5541" s="6"/>
      <c r="X5541" s="6"/>
      <c r="Y5541" s="6"/>
      <c r="Z5541" s="6"/>
    </row>
    <row r="5542" customFormat="false" ht="15" hidden="false" customHeight="false" outlineLevel="0" collapsed="false">
      <c r="A5542" s="9" t="s">
        <v>11650</v>
      </c>
      <c r="B5542" s="9" t="s">
        <v>11123</v>
      </c>
      <c r="C5542" s="9" t="s">
        <v>11651</v>
      </c>
      <c r="D5542" s="9" t="s">
        <v>11125</v>
      </c>
      <c r="E5542" s="9" t="str">
        <f aca="false">IF('Denial Worlds'!J270="PASS","PASS","FAIL")</f>
        <v>PASS</v>
      </c>
      <c r="F5542" s="9" t="s">
        <v>76</v>
      </c>
      <c r="G5542" s="6"/>
      <c r="H5542" s="6"/>
      <c r="I5542" s="6"/>
      <c r="J5542" s="6"/>
      <c r="K5542" s="6"/>
      <c r="L5542" s="6"/>
      <c r="M5542" s="6"/>
      <c r="N5542" s="6"/>
      <c r="O5542" s="6"/>
      <c r="P5542" s="6"/>
      <c r="Q5542" s="6"/>
      <c r="R5542" s="6"/>
      <c r="S5542" s="6"/>
      <c r="T5542" s="6"/>
      <c r="U5542" s="6"/>
      <c r="V5542" s="6"/>
      <c r="W5542" s="6"/>
      <c r="X5542" s="6"/>
      <c r="Y5542" s="6"/>
      <c r="Z5542" s="6"/>
    </row>
    <row r="5543" customFormat="false" ht="15" hidden="false" customHeight="false" outlineLevel="0" collapsed="false">
      <c r="A5543" s="9" t="s">
        <v>11652</v>
      </c>
      <c r="B5543" s="9" t="s">
        <v>11123</v>
      </c>
      <c r="C5543" s="9" t="s">
        <v>11653</v>
      </c>
      <c r="D5543" s="9" t="s">
        <v>11125</v>
      </c>
      <c r="E5543" s="9" t="str">
        <f aca="false">IF('Denial Worlds'!J271="PASS","PASS","FAIL")</f>
        <v>PASS</v>
      </c>
      <c r="F5543" s="9" t="s">
        <v>76</v>
      </c>
      <c r="G5543" s="6"/>
      <c r="H5543" s="6"/>
      <c r="I5543" s="6"/>
      <c r="J5543" s="6"/>
      <c r="K5543" s="6"/>
      <c r="L5543" s="6"/>
      <c r="M5543" s="6"/>
      <c r="N5543" s="6"/>
      <c r="O5543" s="6"/>
      <c r="P5543" s="6"/>
      <c r="Q5543" s="6"/>
      <c r="R5543" s="6"/>
      <c r="S5543" s="6"/>
      <c r="T5543" s="6"/>
      <c r="U5543" s="6"/>
      <c r="V5543" s="6"/>
      <c r="W5543" s="6"/>
      <c r="X5543" s="6"/>
      <c r="Y5543" s="6"/>
      <c r="Z5543" s="6"/>
    </row>
    <row r="5544" customFormat="false" ht="15" hidden="false" customHeight="false" outlineLevel="0" collapsed="false">
      <c r="A5544" s="9" t="s">
        <v>11654</v>
      </c>
      <c r="B5544" s="9" t="s">
        <v>11123</v>
      </c>
      <c r="C5544" s="9" t="s">
        <v>11655</v>
      </c>
      <c r="D5544" s="9" t="s">
        <v>11125</v>
      </c>
      <c r="E5544" s="9" t="str">
        <f aca="false">IF('Denial Worlds'!J272="PASS","PASS","FAIL")</f>
        <v>PASS</v>
      </c>
      <c r="F5544" s="9" t="s">
        <v>76</v>
      </c>
      <c r="G5544" s="6"/>
      <c r="H5544" s="6"/>
      <c r="I5544" s="6"/>
      <c r="J5544" s="6"/>
      <c r="K5544" s="6"/>
      <c r="L5544" s="6"/>
      <c r="M5544" s="6"/>
      <c r="N5544" s="6"/>
      <c r="O5544" s="6"/>
      <c r="P5544" s="6"/>
      <c r="Q5544" s="6"/>
      <c r="R5544" s="6"/>
      <c r="S5544" s="6"/>
      <c r="T5544" s="6"/>
      <c r="U5544" s="6"/>
      <c r="V5544" s="6"/>
      <c r="W5544" s="6"/>
      <c r="X5544" s="6"/>
      <c r="Y5544" s="6"/>
      <c r="Z5544" s="6"/>
    </row>
    <row r="5545" customFormat="false" ht="15" hidden="false" customHeight="false" outlineLevel="0" collapsed="false">
      <c r="A5545" s="9" t="s">
        <v>11656</v>
      </c>
      <c r="B5545" s="9" t="s">
        <v>11123</v>
      </c>
      <c r="C5545" s="9" t="s">
        <v>11657</v>
      </c>
      <c r="D5545" s="9" t="s">
        <v>11125</v>
      </c>
      <c r="E5545" s="9" t="str">
        <f aca="false">IF('Denial Worlds'!J273="PASS","PASS","FAIL")</f>
        <v>PASS</v>
      </c>
      <c r="F5545" s="9" t="s">
        <v>76</v>
      </c>
      <c r="G5545" s="6"/>
      <c r="H5545" s="6"/>
      <c r="I5545" s="6"/>
      <c r="J5545" s="6"/>
      <c r="K5545" s="6"/>
      <c r="L5545" s="6"/>
      <c r="M5545" s="6"/>
      <c r="N5545" s="6"/>
      <c r="O5545" s="6"/>
      <c r="P5545" s="6"/>
      <c r="Q5545" s="6"/>
      <c r="R5545" s="6"/>
      <c r="S5545" s="6"/>
      <c r="T5545" s="6"/>
      <c r="U5545" s="6"/>
      <c r="V5545" s="6"/>
      <c r="W5545" s="6"/>
      <c r="X5545" s="6"/>
      <c r="Y5545" s="6"/>
      <c r="Z5545" s="6"/>
    </row>
    <row r="5546" customFormat="false" ht="15" hidden="false" customHeight="false" outlineLevel="0" collapsed="false">
      <c r="A5546" s="9" t="s">
        <v>11658</v>
      </c>
      <c r="B5546" s="9" t="s">
        <v>11123</v>
      </c>
      <c r="C5546" s="9" t="s">
        <v>11659</v>
      </c>
      <c r="D5546" s="9" t="s">
        <v>11125</v>
      </c>
      <c r="E5546" s="9" t="str">
        <f aca="false">IF('Denial Worlds'!J274="PASS","PASS","FAIL")</f>
        <v>PASS</v>
      </c>
      <c r="F5546" s="9" t="s">
        <v>76</v>
      </c>
      <c r="G5546" s="6"/>
      <c r="H5546" s="6"/>
      <c r="I5546" s="6"/>
      <c r="J5546" s="6"/>
      <c r="K5546" s="6"/>
      <c r="L5546" s="6"/>
      <c r="M5546" s="6"/>
      <c r="N5546" s="6"/>
      <c r="O5546" s="6"/>
      <c r="P5546" s="6"/>
      <c r="Q5546" s="6"/>
      <c r="R5546" s="6"/>
      <c r="S5546" s="6"/>
      <c r="T5546" s="6"/>
      <c r="U5546" s="6"/>
      <c r="V5546" s="6"/>
      <c r="W5546" s="6"/>
      <c r="X5546" s="6"/>
      <c r="Y5546" s="6"/>
      <c r="Z5546" s="6"/>
    </row>
    <row r="5547" customFormat="false" ht="15" hidden="false" customHeight="false" outlineLevel="0" collapsed="false">
      <c r="A5547" s="9" t="s">
        <v>11660</v>
      </c>
      <c r="B5547" s="9" t="s">
        <v>11123</v>
      </c>
      <c r="C5547" s="9" t="s">
        <v>11661</v>
      </c>
      <c r="D5547" s="9" t="s">
        <v>11125</v>
      </c>
      <c r="E5547" s="9" t="str">
        <f aca="false">IF('Denial Worlds'!J275="PASS","PASS","FAIL")</f>
        <v>PASS</v>
      </c>
      <c r="F5547" s="9" t="s">
        <v>76</v>
      </c>
      <c r="G5547" s="6"/>
      <c r="H5547" s="6"/>
      <c r="I5547" s="6"/>
      <c r="J5547" s="6"/>
      <c r="K5547" s="6"/>
      <c r="L5547" s="6"/>
      <c r="M5547" s="6"/>
      <c r="N5547" s="6"/>
      <c r="O5547" s="6"/>
      <c r="P5547" s="6"/>
      <c r="Q5547" s="6"/>
      <c r="R5547" s="6"/>
      <c r="S5547" s="6"/>
      <c r="T5547" s="6"/>
      <c r="U5547" s="6"/>
      <c r="V5547" s="6"/>
      <c r="W5547" s="6"/>
      <c r="X5547" s="6"/>
      <c r="Y5547" s="6"/>
      <c r="Z5547" s="6"/>
    </row>
    <row r="5548" customFormat="false" ht="15" hidden="false" customHeight="false" outlineLevel="0" collapsed="false">
      <c r="A5548" s="9" t="s">
        <v>11662</v>
      </c>
      <c r="B5548" s="9" t="s">
        <v>11123</v>
      </c>
      <c r="C5548" s="9" t="s">
        <v>11663</v>
      </c>
      <c r="D5548" s="9" t="s">
        <v>11125</v>
      </c>
      <c r="E5548" s="9" t="str">
        <f aca="false">IF('Denial Worlds'!J276="PASS","PASS","FAIL")</f>
        <v>PASS</v>
      </c>
      <c r="F5548" s="9" t="s">
        <v>76</v>
      </c>
      <c r="G5548" s="6"/>
      <c r="H5548" s="6"/>
      <c r="I5548" s="6"/>
      <c r="J5548" s="6"/>
      <c r="K5548" s="6"/>
      <c r="L5548" s="6"/>
      <c r="M5548" s="6"/>
      <c r="N5548" s="6"/>
      <c r="O5548" s="6"/>
      <c r="P5548" s="6"/>
      <c r="Q5548" s="6"/>
      <c r="R5548" s="6"/>
      <c r="S5548" s="6"/>
      <c r="T5548" s="6"/>
      <c r="U5548" s="6"/>
      <c r="V5548" s="6"/>
      <c r="W5548" s="6"/>
      <c r="X5548" s="6"/>
      <c r="Y5548" s="6"/>
      <c r="Z5548" s="6"/>
    </row>
    <row r="5549" customFormat="false" ht="15" hidden="false" customHeight="false" outlineLevel="0" collapsed="false">
      <c r="A5549" s="9" t="s">
        <v>11664</v>
      </c>
      <c r="B5549" s="9" t="s">
        <v>11123</v>
      </c>
      <c r="C5549" s="9" t="s">
        <v>11665</v>
      </c>
      <c r="D5549" s="9" t="s">
        <v>11125</v>
      </c>
      <c r="E5549" s="9" t="str">
        <f aca="false">IF('Denial Worlds'!J277="PASS","PASS","FAIL")</f>
        <v>PASS</v>
      </c>
      <c r="F5549" s="9" t="s">
        <v>76</v>
      </c>
      <c r="G5549" s="6"/>
      <c r="H5549" s="6"/>
      <c r="I5549" s="6"/>
      <c r="J5549" s="6"/>
      <c r="K5549" s="6"/>
      <c r="L5549" s="6"/>
      <c r="M5549" s="6"/>
      <c r="N5549" s="6"/>
      <c r="O5549" s="6"/>
      <c r="P5549" s="6"/>
      <c r="Q5549" s="6"/>
      <c r="R5549" s="6"/>
      <c r="S5549" s="6"/>
      <c r="T5549" s="6"/>
      <c r="U5549" s="6"/>
      <c r="V5549" s="6"/>
      <c r="W5549" s="6"/>
      <c r="X5549" s="6"/>
      <c r="Y5549" s="6"/>
      <c r="Z5549" s="6"/>
    </row>
    <row r="5550" customFormat="false" ht="15" hidden="false" customHeight="false" outlineLevel="0" collapsed="false">
      <c r="A5550" s="9" t="s">
        <v>11666</v>
      </c>
      <c r="B5550" s="9" t="s">
        <v>11123</v>
      </c>
      <c r="C5550" s="9" t="s">
        <v>11667</v>
      </c>
      <c r="D5550" s="9" t="s">
        <v>11125</v>
      </c>
      <c r="E5550" s="9" t="str">
        <f aca="false">IF('Denial Worlds'!J278="PASS","PASS","FAIL")</f>
        <v>PASS</v>
      </c>
      <c r="F5550" s="9" t="s">
        <v>76</v>
      </c>
      <c r="G5550" s="6"/>
      <c r="H5550" s="6"/>
      <c r="I5550" s="6"/>
      <c r="J5550" s="6"/>
      <c r="K5550" s="6"/>
      <c r="L5550" s="6"/>
      <c r="M5550" s="6"/>
      <c r="N5550" s="6"/>
      <c r="O5550" s="6"/>
      <c r="P5550" s="6"/>
      <c r="Q5550" s="6"/>
      <c r="R5550" s="6"/>
      <c r="S5550" s="6"/>
      <c r="T5550" s="6"/>
      <c r="U5550" s="6"/>
      <c r="V5550" s="6"/>
      <c r="W5550" s="6"/>
      <c r="X5550" s="6"/>
      <c r="Y5550" s="6"/>
      <c r="Z5550" s="6"/>
    </row>
    <row r="5551" customFormat="false" ht="15" hidden="false" customHeight="false" outlineLevel="0" collapsed="false">
      <c r="A5551" s="9" t="s">
        <v>11668</v>
      </c>
      <c r="B5551" s="9" t="s">
        <v>11123</v>
      </c>
      <c r="C5551" s="9" t="s">
        <v>11669</v>
      </c>
      <c r="D5551" s="9" t="s">
        <v>11125</v>
      </c>
      <c r="E5551" s="9" t="str">
        <f aca="false">IF('Denial Worlds'!J279="PASS","PASS","FAIL")</f>
        <v>PASS</v>
      </c>
      <c r="F5551" s="9" t="s">
        <v>76</v>
      </c>
      <c r="G5551" s="6"/>
      <c r="H5551" s="6"/>
      <c r="I5551" s="6"/>
      <c r="J5551" s="6"/>
      <c r="K5551" s="6"/>
      <c r="L5551" s="6"/>
      <c r="M5551" s="6"/>
      <c r="N5551" s="6"/>
      <c r="O5551" s="6"/>
      <c r="P5551" s="6"/>
      <c r="Q5551" s="6"/>
      <c r="R5551" s="6"/>
      <c r="S5551" s="6"/>
      <c r="T5551" s="6"/>
      <c r="U5551" s="6"/>
      <c r="V5551" s="6"/>
      <c r="W5551" s="6"/>
      <c r="X5551" s="6"/>
      <c r="Y5551" s="6"/>
      <c r="Z5551" s="6"/>
    </row>
    <row r="5552" customFormat="false" ht="15" hidden="false" customHeight="false" outlineLevel="0" collapsed="false">
      <c r="A5552" s="9" t="s">
        <v>11670</v>
      </c>
      <c r="B5552" s="9" t="s">
        <v>11123</v>
      </c>
      <c r="C5552" s="9" t="s">
        <v>11671</v>
      </c>
      <c r="D5552" s="9" t="s">
        <v>11125</v>
      </c>
      <c r="E5552" s="9" t="str">
        <f aca="false">IF('Denial Worlds'!J280="PASS","PASS","FAIL")</f>
        <v>PASS</v>
      </c>
      <c r="F5552" s="9" t="s">
        <v>76</v>
      </c>
      <c r="G5552" s="6"/>
      <c r="H5552" s="6"/>
      <c r="I5552" s="6"/>
      <c r="J5552" s="6"/>
      <c r="K5552" s="6"/>
      <c r="L5552" s="6"/>
      <c r="M5552" s="6"/>
      <c r="N5552" s="6"/>
      <c r="O5552" s="6"/>
      <c r="P5552" s="6"/>
      <c r="Q5552" s="6"/>
      <c r="R5552" s="6"/>
      <c r="S5552" s="6"/>
      <c r="T5552" s="6"/>
      <c r="U5552" s="6"/>
      <c r="V5552" s="6"/>
      <c r="W5552" s="6"/>
      <c r="X5552" s="6"/>
      <c r="Y5552" s="6"/>
      <c r="Z5552" s="6"/>
    </row>
    <row r="5553" customFormat="false" ht="15" hidden="false" customHeight="false" outlineLevel="0" collapsed="false">
      <c r="A5553" s="9" t="s">
        <v>11672</v>
      </c>
      <c r="B5553" s="9" t="s">
        <v>11123</v>
      </c>
      <c r="C5553" s="9" t="s">
        <v>11673</v>
      </c>
      <c r="D5553" s="9" t="s">
        <v>11125</v>
      </c>
      <c r="E5553" s="9" t="str">
        <f aca="false">IF('Denial Worlds'!J281="PASS","PASS","FAIL")</f>
        <v>PASS</v>
      </c>
      <c r="F5553" s="9" t="s">
        <v>76</v>
      </c>
      <c r="G5553" s="6"/>
      <c r="H5553" s="6"/>
      <c r="I5553" s="6"/>
      <c r="J5553" s="6"/>
      <c r="K5553" s="6"/>
      <c r="L5553" s="6"/>
      <c r="M5553" s="6"/>
      <c r="N5553" s="6"/>
      <c r="O5553" s="6"/>
      <c r="P5553" s="6"/>
      <c r="Q5553" s="6"/>
      <c r="R5553" s="6"/>
      <c r="S5553" s="6"/>
      <c r="T5553" s="6"/>
      <c r="U5553" s="6"/>
      <c r="V5553" s="6"/>
      <c r="W5553" s="6"/>
      <c r="X5553" s="6"/>
      <c r="Y5553" s="6"/>
      <c r="Z5553" s="6"/>
    </row>
    <row r="5554" customFormat="false" ht="15" hidden="false" customHeight="false" outlineLevel="0" collapsed="false">
      <c r="A5554" s="9" t="s">
        <v>11674</v>
      </c>
      <c r="B5554" s="9" t="s">
        <v>11123</v>
      </c>
      <c r="C5554" s="9" t="s">
        <v>11675</v>
      </c>
      <c r="D5554" s="9" t="s">
        <v>11125</v>
      </c>
      <c r="E5554" s="9" t="str">
        <f aca="false">IF('Denial Worlds'!J282="PASS","PASS","FAIL")</f>
        <v>PASS</v>
      </c>
      <c r="F5554" s="9" t="s">
        <v>76</v>
      </c>
      <c r="G5554" s="6"/>
      <c r="H5554" s="6"/>
      <c r="I5554" s="6"/>
      <c r="J5554" s="6"/>
      <c r="K5554" s="6"/>
      <c r="L5554" s="6"/>
      <c r="M5554" s="6"/>
      <c r="N5554" s="6"/>
      <c r="O5554" s="6"/>
      <c r="P5554" s="6"/>
      <c r="Q5554" s="6"/>
      <c r="R5554" s="6"/>
      <c r="S5554" s="6"/>
      <c r="T5554" s="6"/>
      <c r="U5554" s="6"/>
      <c r="V5554" s="6"/>
      <c r="W5554" s="6"/>
      <c r="X5554" s="6"/>
      <c r="Y5554" s="6"/>
      <c r="Z5554" s="6"/>
    </row>
    <row r="5555" customFormat="false" ht="15" hidden="false" customHeight="false" outlineLevel="0" collapsed="false">
      <c r="A5555" s="9" t="s">
        <v>11676</v>
      </c>
      <c r="B5555" s="9" t="s">
        <v>11123</v>
      </c>
      <c r="C5555" s="9" t="s">
        <v>11677</v>
      </c>
      <c r="D5555" s="9" t="s">
        <v>11125</v>
      </c>
      <c r="E5555" s="9" t="str">
        <f aca="false">IF('Denial Worlds'!J283="PASS","PASS","FAIL")</f>
        <v>PASS</v>
      </c>
      <c r="F5555" s="9" t="s">
        <v>76</v>
      </c>
      <c r="G5555" s="6"/>
      <c r="H5555" s="6"/>
      <c r="I5555" s="6"/>
      <c r="J5555" s="6"/>
      <c r="K5555" s="6"/>
      <c r="L5555" s="6"/>
      <c r="M5555" s="6"/>
      <c r="N5555" s="6"/>
      <c r="O5555" s="6"/>
      <c r="P5555" s="6"/>
      <c r="Q5555" s="6"/>
      <c r="R5555" s="6"/>
      <c r="S5555" s="6"/>
      <c r="T5555" s="6"/>
      <c r="U5555" s="6"/>
      <c r="V5555" s="6"/>
      <c r="W5555" s="6"/>
      <c r="X5555" s="6"/>
      <c r="Y5555" s="6"/>
      <c r="Z5555" s="6"/>
    </row>
    <row r="5556" customFormat="false" ht="15" hidden="false" customHeight="false" outlineLevel="0" collapsed="false">
      <c r="A5556" s="9" t="s">
        <v>11678</v>
      </c>
      <c r="B5556" s="9" t="s">
        <v>11123</v>
      </c>
      <c r="C5556" s="9" t="s">
        <v>11679</v>
      </c>
      <c r="D5556" s="9" t="s">
        <v>11125</v>
      </c>
      <c r="E5556" s="9" t="str">
        <f aca="false">IF('Denial Worlds'!J284="PASS","PASS","FAIL")</f>
        <v>PASS</v>
      </c>
      <c r="F5556" s="9" t="s">
        <v>76</v>
      </c>
      <c r="G5556" s="6"/>
      <c r="H5556" s="6"/>
      <c r="I5556" s="6"/>
      <c r="J5556" s="6"/>
      <c r="K5556" s="6"/>
      <c r="L5556" s="6"/>
      <c r="M5556" s="6"/>
      <c r="N5556" s="6"/>
      <c r="O5556" s="6"/>
      <c r="P5556" s="6"/>
      <c r="Q5556" s="6"/>
      <c r="R5556" s="6"/>
      <c r="S5556" s="6"/>
      <c r="T5556" s="6"/>
      <c r="U5556" s="6"/>
      <c r="V5556" s="6"/>
      <c r="W5556" s="6"/>
      <c r="X5556" s="6"/>
      <c r="Y5556" s="6"/>
      <c r="Z5556" s="6"/>
    </row>
    <row r="5557" customFormat="false" ht="15" hidden="false" customHeight="false" outlineLevel="0" collapsed="false">
      <c r="A5557" s="9" t="s">
        <v>11680</v>
      </c>
      <c r="B5557" s="9" t="s">
        <v>11123</v>
      </c>
      <c r="C5557" s="9" t="s">
        <v>11681</v>
      </c>
      <c r="D5557" s="9" t="s">
        <v>11125</v>
      </c>
      <c r="E5557" s="9" t="str">
        <f aca="false">IF('Denial Worlds'!J285="PASS","PASS","FAIL")</f>
        <v>PASS</v>
      </c>
      <c r="F5557" s="9" t="s">
        <v>76</v>
      </c>
      <c r="G5557" s="6"/>
      <c r="H5557" s="6"/>
      <c r="I5557" s="6"/>
      <c r="J5557" s="6"/>
      <c r="K5557" s="6"/>
      <c r="L5557" s="6"/>
      <c r="M5557" s="6"/>
      <c r="N5557" s="6"/>
      <c r="O5557" s="6"/>
      <c r="P5557" s="6"/>
      <c r="Q5557" s="6"/>
      <c r="R5557" s="6"/>
      <c r="S5557" s="6"/>
      <c r="T5557" s="6"/>
      <c r="U5557" s="6"/>
      <c r="V5557" s="6"/>
      <c r="W5557" s="6"/>
      <c r="X5557" s="6"/>
      <c r="Y5557" s="6"/>
      <c r="Z5557" s="6"/>
    </row>
    <row r="5558" customFormat="false" ht="15" hidden="false" customHeight="false" outlineLevel="0" collapsed="false">
      <c r="A5558" s="9" t="s">
        <v>11682</v>
      </c>
      <c r="B5558" s="9" t="s">
        <v>11123</v>
      </c>
      <c r="C5558" s="9" t="s">
        <v>11683</v>
      </c>
      <c r="D5558" s="9" t="s">
        <v>11125</v>
      </c>
      <c r="E5558" s="9" t="str">
        <f aca="false">IF('Denial Worlds'!J286="PASS","PASS","FAIL")</f>
        <v>PASS</v>
      </c>
      <c r="F5558" s="9" t="s">
        <v>76</v>
      </c>
      <c r="G5558" s="6"/>
      <c r="H5558" s="6"/>
      <c r="I5558" s="6"/>
      <c r="J5558" s="6"/>
      <c r="K5558" s="6"/>
      <c r="L5558" s="6"/>
      <c r="M5558" s="6"/>
      <c r="N5558" s="6"/>
      <c r="O5558" s="6"/>
      <c r="P5558" s="6"/>
      <c r="Q5558" s="6"/>
      <c r="R5558" s="6"/>
      <c r="S5558" s="6"/>
      <c r="T5558" s="6"/>
      <c r="U5558" s="6"/>
      <c r="V5558" s="6"/>
      <c r="W5558" s="6"/>
      <c r="X5558" s="6"/>
      <c r="Y5558" s="6"/>
      <c r="Z5558" s="6"/>
    </row>
    <row r="5559" customFormat="false" ht="15" hidden="false" customHeight="false" outlineLevel="0" collapsed="false">
      <c r="A5559" s="9" t="s">
        <v>11684</v>
      </c>
      <c r="B5559" s="9" t="s">
        <v>11123</v>
      </c>
      <c r="C5559" s="9" t="s">
        <v>11685</v>
      </c>
      <c r="D5559" s="9" t="s">
        <v>11125</v>
      </c>
      <c r="E5559" s="9" t="str">
        <f aca="false">IF('Denial Worlds'!J287="PASS","PASS","FAIL")</f>
        <v>PASS</v>
      </c>
      <c r="F5559" s="9" t="s">
        <v>76</v>
      </c>
      <c r="G5559" s="6"/>
      <c r="H5559" s="6"/>
      <c r="I5559" s="6"/>
      <c r="J5559" s="6"/>
      <c r="K5559" s="6"/>
      <c r="L5559" s="6"/>
      <c r="M5559" s="6"/>
      <c r="N5559" s="6"/>
      <c r="O5559" s="6"/>
      <c r="P5559" s="6"/>
      <c r="Q5559" s="6"/>
      <c r="R5559" s="6"/>
      <c r="S5559" s="6"/>
      <c r="T5559" s="6"/>
      <c r="U5559" s="6"/>
      <c r="V5559" s="6"/>
      <c r="W5559" s="6"/>
      <c r="X5559" s="6"/>
      <c r="Y5559" s="6"/>
      <c r="Z5559" s="6"/>
    </row>
    <row r="5560" customFormat="false" ht="15" hidden="false" customHeight="false" outlineLevel="0" collapsed="false">
      <c r="A5560" s="9" t="s">
        <v>11686</v>
      </c>
      <c r="B5560" s="9" t="s">
        <v>11123</v>
      </c>
      <c r="C5560" s="9" t="s">
        <v>11687</v>
      </c>
      <c r="D5560" s="9" t="s">
        <v>11125</v>
      </c>
      <c r="E5560" s="9" t="str">
        <f aca="false">IF('Denial Worlds'!J288="PASS","PASS","FAIL")</f>
        <v>PASS</v>
      </c>
      <c r="F5560" s="9" t="s">
        <v>76</v>
      </c>
      <c r="G5560" s="6"/>
      <c r="H5560" s="6"/>
      <c r="I5560" s="6"/>
      <c r="J5560" s="6"/>
      <c r="K5560" s="6"/>
      <c r="L5560" s="6"/>
      <c r="M5560" s="6"/>
      <c r="N5560" s="6"/>
      <c r="O5560" s="6"/>
      <c r="P5560" s="6"/>
      <c r="Q5560" s="6"/>
      <c r="R5560" s="6"/>
      <c r="S5560" s="6"/>
      <c r="T5560" s="6"/>
      <c r="U5560" s="6"/>
      <c r="V5560" s="6"/>
      <c r="W5560" s="6"/>
      <c r="X5560" s="6"/>
      <c r="Y5560" s="6"/>
      <c r="Z5560" s="6"/>
    </row>
    <row r="5561" customFormat="false" ht="15" hidden="false" customHeight="false" outlineLevel="0" collapsed="false">
      <c r="A5561" s="9" t="s">
        <v>11688</v>
      </c>
      <c r="B5561" s="9" t="s">
        <v>11123</v>
      </c>
      <c r="C5561" s="9" t="s">
        <v>11689</v>
      </c>
      <c r="D5561" s="9" t="s">
        <v>11125</v>
      </c>
      <c r="E5561" s="9" t="str">
        <f aca="false">IF('Denial Worlds'!J289="PASS","PASS","FAIL")</f>
        <v>PASS</v>
      </c>
      <c r="F5561" s="9" t="s">
        <v>76</v>
      </c>
      <c r="G5561" s="6"/>
      <c r="H5561" s="6"/>
      <c r="I5561" s="6"/>
      <c r="J5561" s="6"/>
      <c r="K5561" s="6"/>
      <c r="L5561" s="6"/>
      <c r="M5561" s="6"/>
      <c r="N5561" s="6"/>
      <c r="O5561" s="6"/>
      <c r="P5561" s="6"/>
      <c r="Q5561" s="6"/>
      <c r="R5561" s="6"/>
      <c r="S5561" s="6"/>
      <c r="T5561" s="6"/>
      <c r="U5561" s="6"/>
      <c r="V5561" s="6"/>
      <c r="W5561" s="6"/>
      <c r="X5561" s="6"/>
      <c r="Y5561" s="6"/>
      <c r="Z5561" s="6"/>
    </row>
    <row r="5562" customFormat="false" ht="15" hidden="false" customHeight="false" outlineLevel="0" collapsed="false">
      <c r="A5562" s="9" t="s">
        <v>11690</v>
      </c>
      <c r="B5562" s="9" t="s">
        <v>11123</v>
      </c>
      <c r="C5562" s="9" t="s">
        <v>11691</v>
      </c>
      <c r="D5562" s="9" t="s">
        <v>11125</v>
      </c>
      <c r="E5562" s="9" t="str">
        <f aca="false">IF('Denial Worlds'!J290="PASS","PASS","FAIL")</f>
        <v>PASS</v>
      </c>
      <c r="F5562" s="9" t="s">
        <v>76</v>
      </c>
      <c r="G5562" s="6"/>
      <c r="H5562" s="6"/>
      <c r="I5562" s="6"/>
      <c r="J5562" s="6"/>
      <c r="K5562" s="6"/>
      <c r="L5562" s="6"/>
      <c r="M5562" s="6"/>
      <c r="N5562" s="6"/>
      <c r="O5562" s="6"/>
      <c r="P5562" s="6"/>
      <c r="Q5562" s="6"/>
      <c r="R5562" s="6"/>
      <c r="S5562" s="6"/>
      <c r="T5562" s="6"/>
      <c r="U5562" s="6"/>
      <c r="V5562" s="6"/>
      <c r="W5562" s="6"/>
      <c r="X5562" s="6"/>
      <c r="Y5562" s="6"/>
      <c r="Z5562" s="6"/>
    </row>
    <row r="5563" customFormat="false" ht="15" hidden="false" customHeight="false" outlineLevel="0" collapsed="false">
      <c r="A5563" s="9" t="s">
        <v>11692</v>
      </c>
      <c r="B5563" s="9" t="s">
        <v>11123</v>
      </c>
      <c r="C5563" s="9" t="s">
        <v>11693</v>
      </c>
      <c r="D5563" s="9" t="s">
        <v>11125</v>
      </c>
      <c r="E5563" s="9" t="str">
        <f aca="false">IF('Denial Worlds'!J291="PASS","PASS","FAIL")</f>
        <v>PASS</v>
      </c>
      <c r="F5563" s="9" t="s">
        <v>76</v>
      </c>
      <c r="G5563" s="6"/>
      <c r="H5563" s="6"/>
      <c r="I5563" s="6"/>
      <c r="J5563" s="6"/>
      <c r="K5563" s="6"/>
      <c r="L5563" s="6"/>
      <c r="M5563" s="6"/>
      <c r="N5563" s="6"/>
      <c r="O5563" s="6"/>
      <c r="P5563" s="6"/>
      <c r="Q5563" s="6"/>
      <c r="R5563" s="6"/>
      <c r="S5563" s="6"/>
      <c r="T5563" s="6"/>
      <c r="U5563" s="6"/>
      <c r="V5563" s="6"/>
      <c r="W5563" s="6"/>
      <c r="X5563" s="6"/>
      <c r="Y5563" s="6"/>
      <c r="Z5563" s="6"/>
    </row>
    <row r="5564" customFormat="false" ht="15" hidden="false" customHeight="false" outlineLevel="0" collapsed="false">
      <c r="A5564" s="9" t="s">
        <v>11694</v>
      </c>
      <c r="B5564" s="9" t="s">
        <v>11123</v>
      </c>
      <c r="C5564" s="9" t="s">
        <v>11695</v>
      </c>
      <c r="D5564" s="9" t="s">
        <v>11125</v>
      </c>
      <c r="E5564" s="9" t="str">
        <f aca="false">IF('Denial Worlds'!J292="PASS","PASS","FAIL")</f>
        <v>PASS</v>
      </c>
      <c r="F5564" s="9" t="s">
        <v>76</v>
      </c>
      <c r="G5564" s="6"/>
      <c r="H5564" s="6"/>
      <c r="I5564" s="6"/>
      <c r="J5564" s="6"/>
      <c r="K5564" s="6"/>
      <c r="L5564" s="6"/>
      <c r="M5564" s="6"/>
      <c r="N5564" s="6"/>
      <c r="O5564" s="6"/>
      <c r="P5564" s="6"/>
      <c r="Q5564" s="6"/>
      <c r="R5564" s="6"/>
      <c r="S5564" s="6"/>
      <c r="T5564" s="6"/>
      <c r="U5564" s="6"/>
      <c r="V5564" s="6"/>
      <c r="W5564" s="6"/>
      <c r="X5564" s="6"/>
      <c r="Y5564" s="6"/>
      <c r="Z5564" s="6"/>
    </row>
    <row r="5565" customFormat="false" ht="15" hidden="false" customHeight="false" outlineLevel="0" collapsed="false">
      <c r="A5565" s="9" t="s">
        <v>11696</v>
      </c>
      <c r="B5565" s="9" t="s">
        <v>11123</v>
      </c>
      <c r="C5565" s="9" t="s">
        <v>11697</v>
      </c>
      <c r="D5565" s="9" t="s">
        <v>11125</v>
      </c>
      <c r="E5565" s="9" t="str">
        <f aca="false">IF('Denial Worlds'!J293="PASS","PASS","FAIL")</f>
        <v>PASS</v>
      </c>
      <c r="F5565" s="9" t="s">
        <v>76</v>
      </c>
      <c r="G5565" s="6"/>
      <c r="H5565" s="6"/>
      <c r="I5565" s="6"/>
      <c r="J5565" s="6"/>
      <c r="K5565" s="6"/>
      <c r="L5565" s="6"/>
      <c r="M5565" s="6"/>
      <c r="N5565" s="6"/>
      <c r="O5565" s="6"/>
      <c r="P5565" s="6"/>
      <c r="Q5565" s="6"/>
      <c r="R5565" s="6"/>
      <c r="S5565" s="6"/>
      <c r="T5565" s="6"/>
      <c r="U5565" s="6"/>
      <c r="V5565" s="6"/>
      <c r="W5565" s="6"/>
      <c r="X5565" s="6"/>
      <c r="Y5565" s="6"/>
      <c r="Z5565" s="6"/>
    </row>
    <row r="5566" customFormat="false" ht="15" hidden="false" customHeight="false" outlineLevel="0" collapsed="false">
      <c r="A5566" s="9" t="s">
        <v>11698</v>
      </c>
      <c r="B5566" s="9" t="s">
        <v>11123</v>
      </c>
      <c r="C5566" s="9" t="s">
        <v>11699</v>
      </c>
      <c r="D5566" s="9" t="s">
        <v>11125</v>
      </c>
      <c r="E5566" s="9" t="str">
        <f aca="false">IF('Denial Worlds'!J294="PASS","PASS","FAIL")</f>
        <v>PASS</v>
      </c>
      <c r="F5566" s="9" t="s">
        <v>76</v>
      </c>
      <c r="G5566" s="6"/>
      <c r="H5566" s="6"/>
      <c r="I5566" s="6"/>
      <c r="J5566" s="6"/>
      <c r="K5566" s="6"/>
      <c r="L5566" s="6"/>
      <c r="M5566" s="6"/>
      <c r="N5566" s="6"/>
      <c r="O5566" s="6"/>
      <c r="P5566" s="6"/>
      <c r="Q5566" s="6"/>
      <c r="R5566" s="6"/>
      <c r="S5566" s="6"/>
      <c r="T5566" s="6"/>
      <c r="U5566" s="6"/>
      <c r="V5566" s="6"/>
      <c r="W5566" s="6"/>
      <c r="X5566" s="6"/>
      <c r="Y5566" s="6"/>
      <c r="Z5566" s="6"/>
    </row>
    <row r="5567" customFormat="false" ht="15" hidden="false" customHeight="false" outlineLevel="0" collapsed="false">
      <c r="A5567" s="9" t="s">
        <v>11700</v>
      </c>
      <c r="B5567" s="9" t="s">
        <v>11123</v>
      </c>
      <c r="C5567" s="9" t="s">
        <v>11701</v>
      </c>
      <c r="D5567" s="9" t="s">
        <v>11125</v>
      </c>
      <c r="E5567" s="9" t="str">
        <f aca="false">IF('Denial Worlds'!J295="PASS","PASS","FAIL")</f>
        <v>PASS</v>
      </c>
      <c r="F5567" s="9" t="s">
        <v>76</v>
      </c>
      <c r="G5567" s="6"/>
      <c r="H5567" s="6"/>
      <c r="I5567" s="6"/>
      <c r="J5567" s="6"/>
      <c r="K5567" s="6"/>
      <c r="L5567" s="6"/>
      <c r="M5567" s="6"/>
      <c r="N5567" s="6"/>
      <c r="O5567" s="6"/>
      <c r="P5567" s="6"/>
      <c r="Q5567" s="6"/>
      <c r="R5567" s="6"/>
      <c r="S5567" s="6"/>
      <c r="T5567" s="6"/>
      <c r="U5567" s="6"/>
      <c r="V5567" s="6"/>
      <c r="W5567" s="6"/>
      <c r="X5567" s="6"/>
      <c r="Y5567" s="6"/>
      <c r="Z5567" s="6"/>
    </row>
    <row r="5568" customFormat="false" ht="15" hidden="false" customHeight="false" outlineLevel="0" collapsed="false">
      <c r="A5568" s="9" t="s">
        <v>11702</v>
      </c>
      <c r="B5568" s="9" t="s">
        <v>11123</v>
      </c>
      <c r="C5568" s="9" t="s">
        <v>11703</v>
      </c>
      <c r="D5568" s="9" t="s">
        <v>11125</v>
      </c>
      <c r="E5568" s="9" t="str">
        <f aca="false">IF('Denial Worlds'!J296="PASS","PASS","FAIL")</f>
        <v>PASS</v>
      </c>
      <c r="F5568" s="9" t="s">
        <v>76</v>
      </c>
      <c r="G5568" s="6"/>
      <c r="H5568" s="6"/>
      <c r="I5568" s="6"/>
      <c r="J5568" s="6"/>
      <c r="K5568" s="6"/>
      <c r="L5568" s="6"/>
      <c r="M5568" s="6"/>
      <c r="N5568" s="6"/>
      <c r="O5568" s="6"/>
      <c r="P5568" s="6"/>
      <c r="Q5568" s="6"/>
      <c r="R5568" s="6"/>
      <c r="S5568" s="6"/>
      <c r="T5568" s="6"/>
      <c r="U5568" s="6"/>
      <c r="V5568" s="6"/>
      <c r="W5568" s="6"/>
      <c r="X5568" s="6"/>
      <c r="Y5568" s="6"/>
      <c r="Z5568" s="6"/>
    </row>
    <row r="5569" customFormat="false" ht="15" hidden="false" customHeight="false" outlineLevel="0" collapsed="false">
      <c r="A5569" s="9" t="s">
        <v>11704</v>
      </c>
      <c r="B5569" s="9" t="s">
        <v>11123</v>
      </c>
      <c r="C5569" s="9" t="s">
        <v>11705</v>
      </c>
      <c r="D5569" s="9" t="s">
        <v>11125</v>
      </c>
      <c r="E5569" s="9" t="str">
        <f aca="false">IF('Denial Worlds'!J297="PASS","PASS","FAIL")</f>
        <v>PASS</v>
      </c>
      <c r="F5569" s="9" t="s">
        <v>76</v>
      </c>
      <c r="G5569" s="6"/>
      <c r="H5569" s="6"/>
      <c r="I5569" s="6"/>
      <c r="J5569" s="6"/>
      <c r="K5569" s="6"/>
      <c r="L5569" s="6"/>
      <c r="M5569" s="6"/>
      <c r="N5569" s="6"/>
      <c r="O5569" s="6"/>
      <c r="P5569" s="6"/>
      <c r="Q5569" s="6"/>
      <c r="R5569" s="6"/>
      <c r="S5569" s="6"/>
      <c r="T5569" s="6"/>
      <c r="U5569" s="6"/>
      <c r="V5569" s="6"/>
      <c r="W5569" s="6"/>
      <c r="X5569" s="6"/>
      <c r="Y5569" s="6"/>
      <c r="Z5569" s="6"/>
    </row>
    <row r="5570" customFormat="false" ht="15" hidden="false" customHeight="false" outlineLevel="0" collapsed="false">
      <c r="A5570" s="9" t="s">
        <v>11706</v>
      </c>
      <c r="B5570" s="9" t="s">
        <v>11123</v>
      </c>
      <c r="C5570" s="9" t="s">
        <v>11707</v>
      </c>
      <c r="D5570" s="9" t="s">
        <v>11125</v>
      </c>
      <c r="E5570" s="9" t="str">
        <f aca="false">IF('Denial Worlds'!J298="PASS","PASS","FAIL")</f>
        <v>PASS</v>
      </c>
      <c r="F5570" s="9" t="s">
        <v>76</v>
      </c>
      <c r="G5570" s="6"/>
      <c r="H5570" s="6"/>
      <c r="I5570" s="6"/>
      <c r="J5570" s="6"/>
      <c r="K5570" s="6"/>
      <c r="L5570" s="6"/>
      <c r="M5570" s="6"/>
      <c r="N5570" s="6"/>
      <c r="O5570" s="6"/>
      <c r="P5570" s="6"/>
      <c r="Q5570" s="6"/>
      <c r="R5570" s="6"/>
      <c r="S5570" s="6"/>
      <c r="T5570" s="6"/>
      <c r="U5570" s="6"/>
      <c r="V5570" s="6"/>
      <c r="W5570" s="6"/>
      <c r="X5570" s="6"/>
      <c r="Y5570" s="6"/>
      <c r="Z5570" s="6"/>
    </row>
    <row r="5571" customFormat="false" ht="15" hidden="false" customHeight="false" outlineLevel="0" collapsed="false">
      <c r="A5571" s="9" t="s">
        <v>11708</v>
      </c>
      <c r="B5571" s="9" t="s">
        <v>11123</v>
      </c>
      <c r="C5571" s="9" t="s">
        <v>11709</v>
      </c>
      <c r="D5571" s="9" t="s">
        <v>11125</v>
      </c>
      <c r="E5571" s="9" t="str">
        <f aca="false">IF('Denial Worlds'!J299="PASS","PASS","FAIL")</f>
        <v>PASS</v>
      </c>
      <c r="F5571" s="9" t="s">
        <v>76</v>
      </c>
      <c r="G5571" s="6"/>
      <c r="H5571" s="6"/>
      <c r="I5571" s="6"/>
      <c r="J5571" s="6"/>
      <c r="K5571" s="6"/>
      <c r="L5571" s="6"/>
      <c r="M5571" s="6"/>
      <c r="N5571" s="6"/>
      <c r="O5571" s="6"/>
      <c r="P5571" s="6"/>
      <c r="Q5571" s="6"/>
      <c r="R5571" s="6"/>
      <c r="S5571" s="6"/>
      <c r="T5571" s="6"/>
      <c r="U5571" s="6"/>
      <c r="V5571" s="6"/>
      <c r="W5571" s="6"/>
      <c r="X5571" s="6"/>
      <c r="Y5571" s="6"/>
      <c r="Z5571" s="6"/>
    </row>
    <row r="5572" customFormat="false" ht="15" hidden="false" customHeight="false" outlineLevel="0" collapsed="false">
      <c r="A5572" s="9" t="s">
        <v>11710</v>
      </c>
      <c r="B5572" s="9" t="s">
        <v>11123</v>
      </c>
      <c r="C5572" s="9" t="s">
        <v>11711</v>
      </c>
      <c r="D5572" s="9" t="s">
        <v>11125</v>
      </c>
      <c r="E5572" s="9" t="str">
        <f aca="false">IF('Denial Worlds'!J300="PASS","PASS","FAIL")</f>
        <v>PASS</v>
      </c>
      <c r="F5572" s="9" t="s">
        <v>76</v>
      </c>
      <c r="G5572" s="6"/>
      <c r="H5572" s="6"/>
      <c r="I5572" s="6"/>
      <c r="J5572" s="6"/>
      <c r="K5572" s="6"/>
      <c r="L5572" s="6"/>
      <c r="M5572" s="6"/>
      <c r="N5572" s="6"/>
      <c r="O5572" s="6"/>
      <c r="P5572" s="6"/>
      <c r="Q5572" s="6"/>
      <c r="R5572" s="6"/>
      <c r="S5572" s="6"/>
      <c r="T5572" s="6"/>
      <c r="U5572" s="6"/>
      <c r="V5572" s="6"/>
      <c r="W5572" s="6"/>
      <c r="X5572" s="6"/>
      <c r="Y5572" s="6"/>
      <c r="Z5572" s="6"/>
    </row>
    <row r="5573" customFormat="false" ht="15" hidden="false" customHeight="false" outlineLevel="0" collapsed="false">
      <c r="A5573" s="9" t="s">
        <v>11712</v>
      </c>
      <c r="B5573" s="9" t="s">
        <v>11123</v>
      </c>
      <c r="C5573" s="9" t="s">
        <v>11713</v>
      </c>
      <c r="D5573" s="9" t="s">
        <v>11125</v>
      </c>
      <c r="E5573" s="9" t="str">
        <f aca="false">IF('Denial Worlds'!J301="PASS","PASS","FAIL")</f>
        <v>PASS</v>
      </c>
      <c r="F5573" s="9" t="s">
        <v>76</v>
      </c>
      <c r="G5573" s="6"/>
      <c r="H5573" s="6"/>
      <c r="I5573" s="6"/>
      <c r="J5573" s="6"/>
      <c r="K5573" s="6"/>
      <c r="L5573" s="6"/>
      <c r="M5573" s="6"/>
      <c r="N5573" s="6"/>
      <c r="O5573" s="6"/>
      <c r="P5573" s="6"/>
      <c r="Q5573" s="6"/>
      <c r="R5573" s="6"/>
      <c r="S5573" s="6"/>
      <c r="T5573" s="6"/>
      <c r="U5573" s="6"/>
      <c r="V5573" s="6"/>
      <c r="W5573" s="6"/>
      <c r="X5573" s="6"/>
      <c r="Y5573" s="6"/>
      <c r="Z5573" s="6"/>
    </row>
    <row r="5574" customFormat="false" ht="15" hidden="false" customHeight="false" outlineLevel="0" collapsed="false">
      <c r="A5574" s="9" t="s">
        <v>11714</v>
      </c>
      <c r="B5574" s="9" t="s">
        <v>11123</v>
      </c>
      <c r="C5574" s="9" t="s">
        <v>11715</v>
      </c>
      <c r="D5574" s="9" t="s">
        <v>11125</v>
      </c>
      <c r="E5574" s="9" t="str">
        <f aca="false">IF('Denial Worlds'!J302="PASS","PASS","FAIL")</f>
        <v>PASS</v>
      </c>
      <c r="F5574" s="9" t="s">
        <v>76</v>
      </c>
      <c r="G5574" s="6"/>
      <c r="H5574" s="6"/>
      <c r="I5574" s="6"/>
      <c r="J5574" s="6"/>
      <c r="K5574" s="6"/>
      <c r="L5574" s="6"/>
      <c r="M5574" s="6"/>
      <c r="N5574" s="6"/>
      <c r="O5574" s="6"/>
      <c r="P5574" s="6"/>
      <c r="Q5574" s="6"/>
      <c r="R5574" s="6"/>
      <c r="S5574" s="6"/>
      <c r="T5574" s="6"/>
      <c r="U5574" s="6"/>
      <c r="V5574" s="6"/>
      <c r="W5574" s="6"/>
      <c r="X5574" s="6"/>
      <c r="Y5574" s="6"/>
      <c r="Z5574" s="6"/>
    </row>
    <row r="5575" customFormat="false" ht="15" hidden="false" customHeight="false" outlineLevel="0" collapsed="false">
      <c r="A5575" s="9" t="s">
        <v>11716</v>
      </c>
      <c r="B5575" s="9" t="s">
        <v>11123</v>
      </c>
      <c r="C5575" s="9" t="s">
        <v>11717</v>
      </c>
      <c r="D5575" s="9" t="s">
        <v>11125</v>
      </c>
      <c r="E5575" s="9" t="str">
        <f aca="false">IF('Denial Worlds'!J303="PASS","PASS","FAIL")</f>
        <v>PASS</v>
      </c>
      <c r="F5575" s="9" t="s">
        <v>76</v>
      </c>
      <c r="G5575" s="6"/>
      <c r="H5575" s="6"/>
      <c r="I5575" s="6"/>
      <c r="J5575" s="6"/>
      <c r="K5575" s="6"/>
      <c r="L5575" s="6"/>
      <c r="M5575" s="6"/>
      <c r="N5575" s="6"/>
      <c r="O5575" s="6"/>
      <c r="P5575" s="6"/>
      <c r="Q5575" s="6"/>
      <c r="R5575" s="6"/>
      <c r="S5575" s="6"/>
      <c r="T5575" s="6"/>
      <c r="U5575" s="6"/>
      <c r="V5575" s="6"/>
      <c r="W5575" s="6"/>
      <c r="X5575" s="6"/>
      <c r="Y5575" s="6"/>
      <c r="Z5575" s="6"/>
    </row>
    <row r="5576" customFormat="false" ht="15" hidden="false" customHeight="false" outlineLevel="0" collapsed="false">
      <c r="A5576" s="9" t="s">
        <v>11718</v>
      </c>
      <c r="B5576" s="9" t="s">
        <v>11123</v>
      </c>
      <c r="C5576" s="9" t="s">
        <v>11719</v>
      </c>
      <c r="D5576" s="9" t="s">
        <v>11125</v>
      </c>
      <c r="E5576" s="9" t="str">
        <f aca="false">IF('Denial Worlds'!J304="PASS","PASS","FAIL")</f>
        <v>PASS</v>
      </c>
      <c r="F5576" s="9" t="s">
        <v>76</v>
      </c>
      <c r="G5576" s="6"/>
      <c r="H5576" s="6"/>
      <c r="I5576" s="6"/>
      <c r="J5576" s="6"/>
      <c r="K5576" s="6"/>
      <c r="L5576" s="6"/>
      <c r="M5576" s="6"/>
      <c r="N5576" s="6"/>
      <c r="O5576" s="6"/>
      <c r="P5576" s="6"/>
      <c r="Q5576" s="6"/>
      <c r="R5576" s="6"/>
      <c r="S5576" s="6"/>
      <c r="T5576" s="6"/>
      <c r="U5576" s="6"/>
      <c r="V5576" s="6"/>
      <c r="W5576" s="6"/>
      <c r="X5576" s="6"/>
      <c r="Y5576" s="6"/>
      <c r="Z5576" s="6"/>
    </row>
    <row r="5577" customFormat="false" ht="15" hidden="false" customHeight="false" outlineLevel="0" collapsed="false">
      <c r="A5577" s="9" t="s">
        <v>11720</v>
      </c>
      <c r="B5577" s="9" t="s">
        <v>11123</v>
      </c>
      <c r="C5577" s="9" t="s">
        <v>11721</v>
      </c>
      <c r="D5577" s="9" t="s">
        <v>11125</v>
      </c>
      <c r="E5577" s="9" t="str">
        <f aca="false">IF('Denial Worlds'!J305="PASS","PASS","FAIL")</f>
        <v>PASS</v>
      </c>
      <c r="F5577" s="9" t="s">
        <v>76</v>
      </c>
      <c r="G5577" s="6"/>
      <c r="H5577" s="6"/>
      <c r="I5577" s="6"/>
      <c r="J5577" s="6"/>
      <c r="K5577" s="6"/>
      <c r="L5577" s="6"/>
      <c r="M5577" s="6"/>
      <c r="N5577" s="6"/>
      <c r="O5577" s="6"/>
      <c r="P5577" s="6"/>
      <c r="Q5577" s="6"/>
      <c r="R5577" s="6"/>
      <c r="S5577" s="6"/>
      <c r="T5577" s="6"/>
      <c r="U5577" s="6"/>
      <c r="V5577" s="6"/>
      <c r="W5577" s="6"/>
      <c r="X5577" s="6"/>
      <c r="Y5577" s="6"/>
      <c r="Z5577" s="6"/>
    </row>
    <row r="5578" customFormat="false" ht="15" hidden="false" customHeight="false" outlineLevel="0" collapsed="false">
      <c r="A5578" s="9" t="s">
        <v>11722</v>
      </c>
      <c r="B5578" s="9" t="s">
        <v>11123</v>
      </c>
      <c r="C5578" s="9" t="s">
        <v>11723</v>
      </c>
      <c r="D5578" s="9" t="s">
        <v>11125</v>
      </c>
      <c r="E5578" s="9" t="str">
        <f aca="false">IF('Denial Worlds'!J306="PASS","PASS","FAIL")</f>
        <v>PASS</v>
      </c>
      <c r="F5578" s="9" t="s">
        <v>76</v>
      </c>
      <c r="G5578" s="6"/>
      <c r="H5578" s="6"/>
      <c r="I5578" s="6"/>
      <c r="J5578" s="6"/>
      <c r="K5578" s="6"/>
      <c r="L5578" s="6"/>
      <c r="M5578" s="6"/>
      <c r="N5578" s="6"/>
      <c r="O5578" s="6"/>
      <c r="P5578" s="6"/>
      <c r="Q5578" s="6"/>
      <c r="R5578" s="6"/>
      <c r="S5578" s="6"/>
      <c r="T5578" s="6"/>
      <c r="U5578" s="6"/>
      <c r="V5578" s="6"/>
      <c r="W5578" s="6"/>
      <c r="X5578" s="6"/>
      <c r="Y5578" s="6"/>
      <c r="Z5578" s="6"/>
    </row>
    <row r="5579" customFormat="false" ht="15" hidden="false" customHeight="false" outlineLevel="0" collapsed="false">
      <c r="A5579" s="9" t="s">
        <v>11724</v>
      </c>
      <c r="B5579" s="9" t="s">
        <v>11123</v>
      </c>
      <c r="C5579" s="9" t="s">
        <v>11725</v>
      </c>
      <c r="D5579" s="9" t="s">
        <v>11125</v>
      </c>
      <c r="E5579" s="9" t="str">
        <f aca="false">IF('Denial Worlds'!J307="PASS","PASS","FAIL")</f>
        <v>PASS</v>
      </c>
      <c r="F5579" s="9" t="s">
        <v>76</v>
      </c>
      <c r="G5579" s="6"/>
      <c r="H5579" s="6"/>
      <c r="I5579" s="6"/>
      <c r="J5579" s="6"/>
      <c r="K5579" s="6"/>
      <c r="L5579" s="6"/>
      <c r="M5579" s="6"/>
      <c r="N5579" s="6"/>
      <c r="O5579" s="6"/>
      <c r="P5579" s="6"/>
      <c r="Q5579" s="6"/>
      <c r="R5579" s="6"/>
      <c r="S5579" s="6"/>
      <c r="T5579" s="6"/>
      <c r="U5579" s="6"/>
      <c r="V5579" s="6"/>
      <c r="W5579" s="6"/>
      <c r="X5579" s="6"/>
      <c r="Y5579" s="6"/>
      <c r="Z5579" s="6"/>
    </row>
    <row r="5580" customFormat="false" ht="15" hidden="false" customHeight="false" outlineLevel="0" collapsed="false">
      <c r="A5580" s="9" t="s">
        <v>11726</v>
      </c>
      <c r="B5580" s="9" t="s">
        <v>11123</v>
      </c>
      <c r="C5580" s="9" t="s">
        <v>11727</v>
      </c>
      <c r="D5580" s="9" t="s">
        <v>11125</v>
      </c>
      <c r="E5580" s="9" t="str">
        <f aca="false">IF('Denial Worlds'!J308="PASS","PASS","FAIL")</f>
        <v>PASS</v>
      </c>
      <c r="F5580" s="9" t="s">
        <v>76</v>
      </c>
      <c r="G5580" s="6"/>
      <c r="H5580" s="6"/>
      <c r="I5580" s="6"/>
      <c r="J5580" s="6"/>
      <c r="K5580" s="6"/>
      <c r="L5580" s="6"/>
      <c r="M5580" s="6"/>
      <c r="N5580" s="6"/>
      <c r="O5580" s="6"/>
      <c r="P5580" s="6"/>
      <c r="Q5580" s="6"/>
      <c r="R5580" s="6"/>
      <c r="S5580" s="6"/>
      <c r="T5580" s="6"/>
      <c r="U5580" s="6"/>
      <c r="V5580" s="6"/>
      <c r="W5580" s="6"/>
      <c r="X5580" s="6"/>
      <c r="Y5580" s="6"/>
      <c r="Z5580" s="6"/>
    </row>
    <row r="5581" customFormat="false" ht="15" hidden="false" customHeight="false" outlineLevel="0" collapsed="false">
      <c r="A5581" s="9" t="s">
        <v>11728</v>
      </c>
      <c r="B5581" s="9" t="s">
        <v>11123</v>
      </c>
      <c r="C5581" s="9" t="s">
        <v>11729</v>
      </c>
      <c r="D5581" s="9" t="s">
        <v>11125</v>
      </c>
      <c r="E5581" s="9" t="str">
        <f aca="false">IF('Denial Worlds'!J309="PASS","PASS","FAIL")</f>
        <v>PASS</v>
      </c>
      <c r="F5581" s="9" t="s">
        <v>76</v>
      </c>
      <c r="G5581" s="6"/>
      <c r="H5581" s="6"/>
      <c r="I5581" s="6"/>
      <c r="J5581" s="6"/>
      <c r="K5581" s="6"/>
      <c r="L5581" s="6"/>
      <c r="M5581" s="6"/>
      <c r="N5581" s="6"/>
      <c r="O5581" s="6"/>
      <c r="P5581" s="6"/>
      <c r="Q5581" s="6"/>
      <c r="R5581" s="6"/>
      <c r="S5581" s="6"/>
      <c r="T5581" s="6"/>
      <c r="U5581" s="6"/>
      <c r="V5581" s="6"/>
      <c r="W5581" s="6"/>
      <c r="X5581" s="6"/>
      <c r="Y5581" s="6"/>
      <c r="Z5581" s="6"/>
    </row>
    <row r="5582" customFormat="false" ht="15" hidden="false" customHeight="false" outlineLevel="0" collapsed="false">
      <c r="A5582" s="9" t="s">
        <v>11730</v>
      </c>
      <c r="B5582" s="9" t="s">
        <v>11123</v>
      </c>
      <c r="C5582" s="9" t="s">
        <v>11731</v>
      </c>
      <c r="D5582" s="9" t="s">
        <v>11125</v>
      </c>
      <c r="E5582" s="9" t="str">
        <f aca="false">IF('Denial Worlds'!J310="PASS","PASS","FAIL")</f>
        <v>PASS</v>
      </c>
      <c r="F5582" s="9" t="s">
        <v>76</v>
      </c>
      <c r="G5582" s="6"/>
      <c r="H5582" s="6"/>
      <c r="I5582" s="6"/>
      <c r="J5582" s="6"/>
      <c r="K5582" s="6"/>
      <c r="L5582" s="6"/>
      <c r="M5582" s="6"/>
      <c r="N5582" s="6"/>
      <c r="O5582" s="6"/>
      <c r="P5582" s="6"/>
      <c r="Q5582" s="6"/>
      <c r="R5582" s="6"/>
      <c r="S5582" s="6"/>
      <c r="T5582" s="6"/>
      <c r="U5582" s="6"/>
      <c r="V5582" s="6"/>
      <c r="W5582" s="6"/>
      <c r="X5582" s="6"/>
      <c r="Y5582" s="6"/>
      <c r="Z5582" s="6"/>
    </row>
    <row r="5583" customFormat="false" ht="15" hidden="false" customHeight="false" outlineLevel="0" collapsed="false">
      <c r="A5583" s="9" t="s">
        <v>11732</v>
      </c>
      <c r="B5583" s="9" t="s">
        <v>11123</v>
      </c>
      <c r="C5583" s="9" t="s">
        <v>11733</v>
      </c>
      <c r="D5583" s="9" t="s">
        <v>11125</v>
      </c>
      <c r="E5583" s="9" t="str">
        <f aca="false">IF('Denial Worlds'!J311="PASS","PASS","FAIL")</f>
        <v>PASS</v>
      </c>
      <c r="F5583" s="9" t="s">
        <v>76</v>
      </c>
      <c r="G5583" s="6"/>
      <c r="H5583" s="6"/>
      <c r="I5583" s="6"/>
      <c r="J5583" s="6"/>
      <c r="K5583" s="6"/>
      <c r="L5583" s="6"/>
      <c r="M5583" s="6"/>
      <c r="N5583" s="6"/>
      <c r="O5583" s="6"/>
      <c r="P5583" s="6"/>
      <c r="Q5583" s="6"/>
      <c r="R5583" s="6"/>
      <c r="S5583" s="6"/>
      <c r="T5583" s="6"/>
      <c r="U5583" s="6"/>
      <c r="V5583" s="6"/>
      <c r="W5583" s="6"/>
      <c r="X5583" s="6"/>
      <c r="Y5583" s="6"/>
      <c r="Z5583" s="6"/>
    </row>
    <row r="5584" customFormat="false" ht="15" hidden="false" customHeight="false" outlineLevel="0" collapsed="false">
      <c r="A5584" s="9" t="s">
        <v>11734</v>
      </c>
      <c r="B5584" s="9" t="s">
        <v>11123</v>
      </c>
      <c r="C5584" s="9" t="s">
        <v>11735</v>
      </c>
      <c r="D5584" s="9" t="s">
        <v>11125</v>
      </c>
      <c r="E5584" s="9" t="str">
        <f aca="false">IF('Denial Worlds'!J312="PASS","PASS","FAIL")</f>
        <v>PASS</v>
      </c>
      <c r="F5584" s="9" t="s">
        <v>76</v>
      </c>
      <c r="G5584" s="6"/>
      <c r="H5584" s="6"/>
      <c r="I5584" s="6"/>
      <c r="J5584" s="6"/>
      <c r="K5584" s="6"/>
      <c r="L5584" s="6"/>
      <c r="M5584" s="6"/>
      <c r="N5584" s="6"/>
      <c r="O5584" s="6"/>
      <c r="P5584" s="6"/>
      <c r="Q5584" s="6"/>
      <c r="R5584" s="6"/>
      <c r="S5584" s="6"/>
      <c r="T5584" s="6"/>
      <c r="U5584" s="6"/>
      <c r="V5584" s="6"/>
      <c r="W5584" s="6"/>
      <c r="X5584" s="6"/>
      <c r="Y5584" s="6"/>
      <c r="Z5584" s="6"/>
    </row>
    <row r="5585" customFormat="false" ht="15" hidden="false" customHeight="false" outlineLevel="0" collapsed="false">
      <c r="A5585" s="9" t="s">
        <v>11736</v>
      </c>
      <c r="B5585" s="9" t="s">
        <v>11123</v>
      </c>
      <c r="C5585" s="9" t="s">
        <v>11737</v>
      </c>
      <c r="D5585" s="9" t="s">
        <v>11125</v>
      </c>
      <c r="E5585" s="9" t="str">
        <f aca="false">IF('Denial Worlds'!J313="PASS","PASS","FAIL")</f>
        <v>PASS</v>
      </c>
      <c r="F5585" s="9" t="s">
        <v>76</v>
      </c>
      <c r="G5585" s="6"/>
      <c r="H5585" s="6"/>
      <c r="I5585" s="6"/>
      <c r="J5585" s="6"/>
      <c r="K5585" s="6"/>
      <c r="L5585" s="6"/>
      <c r="M5585" s="6"/>
      <c r="N5585" s="6"/>
      <c r="O5585" s="6"/>
      <c r="P5585" s="6"/>
      <c r="Q5585" s="6"/>
      <c r="R5585" s="6"/>
      <c r="S5585" s="6"/>
      <c r="T5585" s="6"/>
      <c r="U5585" s="6"/>
      <c r="V5585" s="6"/>
      <c r="W5585" s="6"/>
      <c r="X5585" s="6"/>
      <c r="Y5585" s="6"/>
      <c r="Z5585" s="6"/>
    </row>
    <row r="5586" customFormat="false" ht="15" hidden="false" customHeight="false" outlineLevel="0" collapsed="false">
      <c r="A5586" s="9" t="s">
        <v>11738</v>
      </c>
      <c r="B5586" s="9" t="s">
        <v>11123</v>
      </c>
      <c r="C5586" s="9" t="s">
        <v>11739</v>
      </c>
      <c r="D5586" s="9" t="s">
        <v>11125</v>
      </c>
      <c r="E5586" s="9" t="str">
        <f aca="false">IF('Denial Worlds'!J314="PASS","PASS","FAIL")</f>
        <v>PASS</v>
      </c>
      <c r="F5586" s="9" t="s">
        <v>76</v>
      </c>
      <c r="G5586" s="6"/>
      <c r="H5586" s="6"/>
      <c r="I5586" s="6"/>
      <c r="J5586" s="6"/>
      <c r="K5586" s="6"/>
      <c r="L5586" s="6"/>
      <c r="M5586" s="6"/>
      <c r="N5586" s="6"/>
      <c r="O5586" s="6"/>
      <c r="P5586" s="6"/>
      <c r="Q5586" s="6"/>
      <c r="R5586" s="6"/>
      <c r="S5586" s="6"/>
      <c r="T5586" s="6"/>
      <c r="U5586" s="6"/>
      <c r="V5586" s="6"/>
      <c r="W5586" s="6"/>
      <c r="X5586" s="6"/>
      <c r="Y5586" s="6"/>
      <c r="Z5586" s="6"/>
    </row>
    <row r="5587" customFormat="false" ht="15" hidden="false" customHeight="false" outlineLevel="0" collapsed="false">
      <c r="A5587" s="9" t="s">
        <v>11740</v>
      </c>
      <c r="B5587" s="9" t="s">
        <v>11123</v>
      </c>
      <c r="C5587" s="9" t="s">
        <v>11741</v>
      </c>
      <c r="D5587" s="9" t="s">
        <v>11125</v>
      </c>
      <c r="E5587" s="9" t="str">
        <f aca="false">IF('Denial Worlds'!J315="PASS","PASS","FAIL")</f>
        <v>PASS</v>
      </c>
      <c r="F5587" s="9" t="s">
        <v>76</v>
      </c>
      <c r="G5587" s="6"/>
      <c r="H5587" s="6"/>
      <c r="I5587" s="6"/>
      <c r="J5587" s="6"/>
      <c r="K5587" s="6"/>
      <c r="L5587" s="6"/>
      <c r="M5587" s="6"/>
      <c r="N5587" s="6"/>
      <c r="O5587" s="6"/>
      <c r="P5587" s="6"/>
      <c r="Q5587" s="6"/>
      <c r="R5587" s="6"/>
      <c r="S5587" s="6"/>
      <c r="T5587" s="6"/>
      <c r="U5587" s="6"/>
      <c r="V5587" s="6"/>
      <c r="W5587" s="6"/>
      <c r="X5587" s="6"/>
      <c r="Y5587" s="6"/>
      <c r="Z5587" s="6"/>
    </row>
    <row r="5588" customFormat="false" ht="15" hidden="false" customHeight="false" outlineLevel="0" collapsed="false">
      <c r="A5588" s="9" t="s">
        <v>11742</v>
      </c>
      <c r="B5588" s="9" t="s">
        <v>11123</v>
      </c>
      <c r="C5588" s="9" t="s">
        <v>11743</v>
      </c>
      <c r="D5588" s="9" t="s">
        <v>11125</v>
      </c>
      <c r="E5588" s="9" t="str">
        <f aca="false">IF('Denial Worlds'!J316="PASS","PASS","FAIL")</f>
        <v>PASS</v>
      </c>
      <c r="F5588" s="9" t="s">
        <v>76</v>
      </c>
      <c r="G5588" s="6"/>
      <c r="H5588" s="6"/>
      <c r="I5588" s="6"/>
      <c r="J5588" s="6"/>
      <c r="K5588" s="6"/>
      <c r="L5588" s="6"/>
      <c r="M5588" s="6"/>
      <c r="N5588" s="6"/>
      <c r="O5588" s="6"/>
      <c r="P5588" s="6"/>
      <c r="Q5588" s="6"/>
      <c r="R5588" s="6"/>
      <c r="S5588" s="6"/>
      <c r="T5588" s="6"/>
      <c r="U5588" s="6"/>
      <c r="V5588" s="6"/>
      <c r="W5588" s="6"/>
      <c r="X5588" s="6"/>
      <c r="Y5588" s="6"/>
      <c r="Z5588" s="6"/>
    </row>
    <row r="5589" customFormat="false" ht="15" hidden="false" customHeight="false" outlineLevel="0" collapsed="false">
      <c r="A5589" s="9" t="s">
        <v>11744</v>
      </c>
      <c r="B5589" s="9" t="s">
        <v>11123</v>
      </c>
      <c r="C5589" s="9" t="s">
        <v>11745</v>
      </c>
      <c r="D5589" s="9" t="s">
        <v>11125</v>
      </c>
      <c r="E5589" s="9" t="str">
        <f aca="false">IF('Denial Worlds'!J317="PASS","PASS","FAIL")</f>
        <v>PASS</v>
      </c>
      <c r="F5589" s="9" t="s">
        <v>76</v>
      </c>
      <c r="G5589" s="6"/>
      <c r="H5589" s="6"/>
      <c r="I5589" s="6"/>
      <c r="J5589" s="6"/>
      <c r="K5589" s="6"/>
      <c r="L5589" s="6"/>
      <c r="M5589" s="6"/>
      <c r="N5589" s="6"/>
      <c r="O5589" s="6"/>
      <c r="P5589" s="6"/>
      <c r="Q5589" s="6"/>
      <c r="R5589" s="6"/>
      <c r="S5589" s="6"/>
      <c r="T5589" s="6"/>
      <c r="U5589" s="6"/>
      <c r="V5589" s="6"/>
      <c r="W5589" s="6"/>
      <c r="X5589" s="6"/>
      <c r="Y5589" s="6"/>
      <c r="Z5589" s="6"/>
    </row>
    <row r="5590" customFormat="false" ht="15" hidden="false" customHeight="false" outlineLevel="0" collapsed="false">
      <c r="A5590" s="9" t="s">
        <v>11746</v>
      </c>
      <c r="B5590" s="9" t="s">
        <v>11123</v>
      </c>
      <c r="C5590" s="9" t="s">
        <v>11747</v>
      </c>
      <c r="D5590" s="9" t="s">
        <v>11125</v>
      </c>
      <c r="E5590" s="9" t="str">
        <f aca="false">IF('Denial Worlds'!J318="PASS","PASS","FAIL")</f>
        <v>PASS</v>
      </c>
      <c r="F5590" s="9" t="s">
        <v>76</v>
      </c>
      <c r="G5590" s="6"/>
      <c r="H5590" s="6"/>
      <c r="I5590" s="6"/>
      <c r="J5590" s="6"/>
      <c r="K5590" s="6"/>
      <c r="L5590" s="6"/>
      <c r="M5590" s="6"/>
      <c r="N5590" s="6"/>
      <c r="O5590" s="6"/>
      <c r="P5590" s="6"/>
      <c r="Q5590" s="6"/>
      <c r="R5590" s="6"/>
      <c r="S5590" s="6"/>
      <c r="T5590" s="6"/>
      <c r="U5590" s="6"/>
      <c r="V5590" s="6"/>
      <c r="W5590" s="6"/>
      <c r="X5590" s="6"/>
      <c r="Y5590" s="6"/>
      <c r="Z5590" s="6"/>
    </row>
    <row r="5591" customFormat="false" ht="15" hidden="false" customHeight="false" outlineLevel="0" collapsed="false">
      <c r="A5591" s="9" t="s">
        <v>11748</v>
      </c>
      <c r="B5591" s="9" t="s">
        <v>11123</v>
      </c>
      <c r="C5591" s="9" t="s">
        <v>11749</v>
      </c>
      <c r="D5591" s="9" t="s">
        <v>11125</v>
      </c>
      <c r="E5591" s="9" t="str">
        <f aca="false">IF('Denial Worlds'!J319="PASS","PASS","FAIL")</f>
        <v>PASS</v>
      </c>
      <c r="F5591" s="9" t="s">
        <v>76</v>
      </c>
      <c r="G5591" s="6"/>
      <c r="H5591" s="6"/>
      <c r="I5591" s="6"/>
      <c r="J5591" s="6"/>
      <c r="K5591" s="6"/>
      <c r="L5591" s="6"/>
      <c r="M5591" s="6"/>
      <c r="N5591" s="6"/>
      <c r="O5591" s="6"/>
      <c r="P5591" s="6"/>
      <c r="Q5591" s="6"/>
      <c r="R5591" s="6"/>
      <c r="S5591" s="6"/>
      <c r="T5591" s="6"/>
      <c r="U5591" s="6"/>
      <c r="V5591" s="6"/>
      <c r="W5591" s="6"/>
      <c r="X5591" s="6"/>
      <c r="Y5591" s="6"/>
      <c r="Z5591" s="6"/>
    </row>
    <row r="5592" customFormat="false" ht="15" hidden="false" customHeight="false" outlineLevel="0" collapsed="false">
      <c r="A5592" s="9" t="s">
        <v>11750</v>
      </c>
      <c r="B5592" s="9" t="s">
        <v>11123</v>
      </c>
      <c r="C5592" s="9" t="s">
        <v>11751</v>
      </c>
      <c r="D5592" s="9" t="s">
        <v>11125</v>
      </c>
      <c r="E5592" s="9" t="str">
        <f aca="false">IF('Denial Worlds'!J320="PASS","PASS","FAIL")</f>
        <v>PASS</v>
      </c>
      <c r="F5592" s="9" t="s">
        <v>76</v>
      </c>
      <c r="G5592" s="6"/>
      <c r="H5592" s="6"/>
      <c r="I5592" s="6"/>
      <c r="J5592" s="6"/>
      <c r="K5592" s="6"/>
      <c r="L5592" s="6"/>
      <c r="M5592" s="6"/>
      <c r="N5592" s="6"/>
      <c r="O5592" s="6"/>
      <c r="P5592" s="6"/>
      <c r="Q5592" s="6"/>
      <c r="R5592" s="6"/>
      <c r="S5592" s="6"/>
      <c r="T5592" s="6"/>
      <c r="U5592" s="6"/>
      <c r="V5592" s="6"/>
      <c r="W5592" s="6"/>
      <c r="X5592" s="6"/>
      <c r="Y5592" s="6"/>
      <c r="Z5592" s="6"/>
    </row>
    <row r="5593" customFormat="false" ht="15" hidden="false" customHeight="false" outlineLevel="0" collapsed="false">
      <c r="A5593" s="9" t="s">
        <v>11752</v>
      </c>
      <c r="B5593" s="9" t="s">
        <v>11123</v>
      </c>
      <c r="C5593" s="9" t="s">
        <v>11753</v>
      </c>
      <c r="D5593" s="9" t="s">
        <v>11125</v>
      </c>
      <c r="E5593" s="9" t="str">
        <f aca="false">IF('Denial Worlds'!J321="PASS","PASS","FAIL")</f>
        <v>PASS</v>
      </c>
      <c r="F5593" s="9" t="s">
        <v>76</v>
      </c>
      <c r="G5593" s="6"/>
      <c r="H5593" s="6"/>
      <c r="I5593" s="6"/>
      <c r="J5593" s="6"/>
      <c r="K5593" s="6"/>
      <c r="L5593" s="6"/>
      <c r="M5593" s="6"/>
      <c r="N5593" s="6"/>
      <c r="O5593" s="6"/>
      <c r="P5593" s="6"/>
      <c r="Q5593" s="6"/>
      <c r="R5593" s="6"/>
      <c r="S5593" s="6"/>
      <c r="T5593" s="6"/>
      <c r="U5593" s="6"/>
      <c r="V5593" s="6"/>
      <c r="W5593" s="6"/>
      <c r="X5593" s="6"/>
      <c r="Y5593" s="6"/>
      <c r="Z5593" s="6"/>
    </row>
    <row r="5594" customFormat="false" ht="15" hidden="false" customHeight="false" outlineLevel="0" collapsed="false">
      <c r="A5594" s="9" t="s">
        <v>11754</v>
      </c>
      <c r="B5594" s="9" t="s">
        <v>11123</v>
      </c>
      <c r="C5594" s="9" t="s">
        <v>11755</v>
      </c>
      <c r="D5594" s="9" t="s">
        <v>11125</v>
      </c>
      <c r="E5594" s="9" t="str">
        <f aca="false">IF('Denial Worlds'!J322="PASS","PASS","FAIL")</f>
        <v>PASS</v>
      </c>
      <c r="F5594" s="9" t="s">
        <v>76</v>
      </c>
      <c r="G5594" s="6"/>
      <c r="H5594" s="6"/>
      <c r="I5594" s="6"/>
      <c r="J5594" s="6"/>
      <c r="K5594" s="6"/>
      <c r="L5594" s="6"/>
      <c r="M5594" s="6"/>
      <c r="N5594" s="6"/>
      <c r="O5594" s="6"/>
      <c r="P5594" s="6"/>
      <c r="Q5594" s="6"/>
      <c r="R5594" s="6"/>
      <c r="S5594" s="6"/>
      <c r="T5594" s="6"/>
      <c r="U5594" s="6"/>
      <c r="V5594" s="6"/>
      <c r="W5594" s="6"/>
      <c r="X5594" s="6"/>
      <c r="Y5594" s="6"/>
      <c r="Z5594" s="6"/>
    </row>
    <row r="5595" customFormat="false" ht="15" hidden="false" customHeight="false" outlineLevel="0" collapsed="false">
      <c r="A5595" s="9" t="s">
        <v>11756</v>
      </c>
      <c r="B5595" s="9" t="s">
        <v>11123</v>
      </c>
      <c r="C5595" s="9" t="s">
        <v>11757</v>
      </c>
      <c r="D5595" s="9" t="s">
        <v>11125</v>
      </c>
      <c r="E5595" s="9" t="str">
        <f aca="false">IF('Denial Worlds'!J323="PASS","PASS","FAIL")</f>
        <v>PASS</v>
      </c>
      <c r="F5595" s="9" t="s">
        <v>76</v>
      </c>
      <c r="G5595" s="6"/>
      <c r="H5595" s="6"/>
      <c r="I5595" s="6"/>
      <c r="J5595" s="6"/>
      <c r="K5595" s="6"/>
      <c r="L5595" s="6"/>
      <c r="M5595" s="6"/>
      <c r="N5595" s="6"/>
      <c r="O5595" s="6"/>
      <c r="P5595" s="6"/>
      <c r="Q5595" s="6"/>
      <c r="R5595" s="6"/>
      <c r="S5595" s="6"/>
      <c r="T5595" s="6"/>
      <c r="U5595" s="6"/>
      <c r="V5595" s="6"/>
      <c r="W5595" s="6"/>
      <c r="X5595" s="6"/>
      <c r="Y5595" s="6"/>
      <c r="Z5595" s="6"/>
    </row>
    <row r="5596" customFormat="false" ht="15" hidden="false" customHeight="false" outlineLevel="0" collapsed="false">
      <c r="A5596" s="9" t="s">
        <v>11758</v>
      </c>
      <c r="B5596" s="9" t="s">
        <v>11123</v>
      </c>
      <c r="C5596" s="9" t="s">
        <v>11759</v>
      </c>
      <c r="D5596" s="9" t="s">
        <v>11125</v>
      </c>
      <c r="E5596" s="9" t="str">
        <f aca="false">IF('Denial Worlds'!J324="PASS","PASS","FAIL")</f>
        <v>PASS</v>
      </c>
      <c r="F5596" s="9" t="s">
        <v>76</v>
      </c>
      <c r="G5596" s="6"/>
      <c r="H5596" s="6"/>
      <c r="I5596" s="6"/>
      <c r="J5596" s="6"/>
      <c r="K5596" s="6"/>
      <c r="L5596" s="6"/>
      <c r="M5596" s="6"/>
      <c r="N5596" s="6"/>
      <c r="O5596" s="6"/>
      <c r="P5596" s="6"/>
      <c r="Q5596" s="6"/>
      <c r="R5596" s="6"/>
      <c r="S5596" s="6"/>
      <c r="T5596" s="6"/>
      <c r="U5596" s="6"/>
      <c r="V5596" s="6"/>
      <c r="W5596" s="6"/>
      <c r="X5596" s="6"/>
      <c r="Y5596" s="6"/>
      <c r="Z5596" s="6"/>
    </row>
    <row r="5597" customFormat="false" ht="15" hidden="false" customHeight="false" outlineLevel="0" collapsed="false">
      <c r="A5597" s="9" t="s">
        <v>11760</v>
      </c>
      <c r="B5597" s="9" t="s">
        <v>11123</v>
      </c>
      <c r="C5597" s="9" t="s">
        <v>11761</v>
      </c>
      <c r="D5597" s="9" t="s">
        <v>11125</v>
      </c>
      <c r="E5597" s="9" t="str">
        <f aca="false">IF('Denial Worlds'!J325="PASS","PASS","FAIL")</f>
        <v>PASS</v>
      </c>
      <c r="F5597" s="9" t="s">
        <v>76</v>
      </c>
      <c r="G5597" s="6"/>
      <c r="H5597" s="6"/>
      <c r="I5597" s="6"/>
      <c r="J5597" s="6"/>
      <c r="K5597" s="6"/>
      <c r="L5597" s="6"/>
      <c r="M5597" s="6"/>
      <c r="N5597" s="6"/>
      <c r="O5597" s="6"/>
      <c r="P5597" s="6"/>
      <c r="Q5597" s="6"/>
      <c r="R5597" s="6"/>
      <c r="S5597" s="6"/>
      <c r="T5597" s="6"/>
      <c r="U5597" s="6"/>
      <c r="V5597" s="6"/>
      <c r="W5597" s="6"/>
      <c r="X5597" s="6"/>
      <c r="Y5597" s="6"/>
      <c r="Z5597" s="6"/>
    </row>
    <row r="5598" customFormat="false" ht="15" hidden="false" customHeight="false" outlineLevel="0" collapsed="false">
      <c r="A5598" s="9" t="s">
        <v>11762</v>
      </c>
      <c r="B5598" s="9" t="s">
        <v>11123</v>
      </c>
      <c r="C5598" s="9" t="s">
        <v>11763</v>
      </c>
      <c r="D5598" s="9" t="s">
        <v>11125</v>
      </c>
      <c r="E5598" s="9" t="str">
        <f aca="false">IF('Denial Worlds'!J326="PASS","PASS","FAIL")</f>
        <v>PASS</v>
      </c>
      <c r="F5598" s="9" t="s">
        <v>76</v>
      </c>
      <c r="G5598" s="6"/>
      <c r="H5598" s="6"/>
      <c r="I5598" s="6"/>
      <c r="J5598" s="6"/>
      <c r="K5598" s="6"/>
      <c r="L5598" s="6"/>
      <c r="M5598" s="6"/>
      <c r="N5598" s="6"/>
      <c r="O5598" s="6"/>
      <c r="P5598" s="6"/>
      <c r="Q5598" s="6"/>
      <c r="R5598" s="6"/>
      <c r="S5598" s="6"/>
      <c r="T5598" s="6"/>
      <c r="U5598" s="6"/>
      <c r="V5598" s="6"/>
      <c r="W5598" s="6"/>
      <c r="X5598" s="6"/>
      <c r="Y5598" s="6"/>
      <c r="Z5598" s="6"/>
    </row>
    <row r="5599" customFormat="false" ht="15" hidden="false" customHeight="false" outlineLevel="0" collapsed="false">
      <c r="A5599" s="9" t="s">
        <v>11764</v>
      </c>
      <c r="B5599" s="9" t="s">
        <v>11123</v>
      </c>
      <c r="C5599" s="9" t="s">
        <v>11765</v>
      </c>
      <c r="D5599" s="9" t="s">
        <v>11125</v>
      </c>
      <c r="E5599" s="9" t="str">
        <f aca="false">IF('Denial Worlds'!J327="PASS","PASS","FAIL")</f>
        <v>PASS</v>
      </c>
      <c r="F5599" s="9" t="s">
        <v>76</v>
      </c>
      <c r="G5599" s="6"/>
      <c r="H5599" s="6"/>
      <c r="I5599" s="6"/>
      <c r="J5599" s="6"/>
      <c r="K5599" s="6"/>
      <c r="L5599" s="6"/>
      <c r="M5599" s="6"/>
      <c r="N5599" s="6"/>
      <c r="O5599" s="6"/>
      <c r="P5599" s="6"/>
      <c r="Q5599" s="6"/>
      <c r="R5599" s="6"/>
      <c r="S5599" s="6"/>
      <c r="T5599" s="6"/>
      <c r="U5599" s="6"/>
      <c r="V5599" s="6"/>
      <c r="W5599" s="6"/>
      <c r="X5599" s="6"/>
      <c r="Y5599" s="6"/>
      <c r="Z5599" s="6"/>
    </row>
    <row r="5600" customFormat="false" ht="15" hidden="false" customHeight="false" outlineLevel="0" collapsed="false">
      <c r="A5600" s="9" t="s">
        <v>11766</v>
      </c>
      <c r="B5600" s="9" t="s">
        <v>11123</v>
      </c>
      <c r="C5600" s="9" t="s">
        <v>11767</v>
      </c>
      <c r="D5600" s="9" t="s">
        <v>11125</v>
      </c>
      <c r="E5600" s="9" t="str">
        <f aca="false">IF('Denial Worlds'!J328="PASS","PASS","FAIL")</f>
        <v>PASS</v>
      </c>
      <c r="F5600" s="9" t="s">
        <v>76</v>
      </c>
      <c r="G5600" s="6"/>
      <c r="H5600" s="6"/>
      <c r="I5600" s="6"/>
      <c r="J5600" s="6"/>
      <c r="K5600" s="6"/>
      <c r="L5600" s="6"/>
      <c r="M5600" s="6"/>
      <c r="N5600" s="6"/>
      <c r="O5600" s="6"/>
      <c r="P5600" s="6"/>
      <c r="Q5600" s="6"/>
      <c r="R5600" s="6"/>
      <c r="S5600" s="6"/>
      <c r="T5600" s="6"/>
      <c r="U5600" s="6"/>
      <c r="V5600" s="6"/>
      <c r="W5600" s="6"/>
      <c r="X5600" s="6"/>
      <c r="Y5600" s="6"/>
      <c r="Z5600" s="6"/>
    </row>
    <row r="5601" customFormat="false" ht="15" hidden="false" customHeight="false" outlineLevel="0" collapsed="false">
      <c r="A5601" s="9" t="s">
        <v>11768</v>
      </c>
      <c r="B5601" s="9" t="s">
        <v>11123</v>
      </c>
      <c r="C5601" s="9" t="s">
        <v>11769</v>
      </c>
      <c r="D5601" s="9" t="s">
        <v>11125</v>
      </c>
      <c r="E5601" s="9" t="str">
        <f aca="false">IF('Denial Worlds'!J329="PASS","PASS","FAIL")</f>
        <v>PASS</v>
      </c>
      <c r="F5601" s="9" t="s">
        <v>76</v>
      </c>
      <c r="G5601" s="6"/>
      <c r="H5601" s="6"/>
      <c r="I5601" s="6"/>
      <c r="J5601" s="6"/>
      <c r="K5601" s="6"/>
      <c r="L5601" s="6"/>
      <c r="M5601" s="6"/>
      <c r="N5601" s="6"/>
      <c r="O5601" s="6"/>
      <c r="P5601" s="6"/>
      <c r="Q5601" s="6"/>
      <c r="R5601" s="6"/>
      <c r="S5601" s="6"/>
      <c r="T5601" s="6"/>
      <c r="U5601" s="6"/>
      <c r="V5601" s="6"/>
      <c r="W5601" s="6"/>
      <c r="X5601" s="6"/>
      <c r="Y5601" s="6"/>
      <c r="Z5601" s="6"/>
    </row>
    <row r="5602" customFormat="false" ht="15" hidden="false" customHeight="false" outlineLevel="0" collapsed="false">
      <c r="A5602" s="9" t="s">
        <v>11770</v>
      </c>
      <c r="B5602" s="9" t="s">
        <v>11123</v>
      </c>
      <c r="C5602" s="9" t="s">
        <v>11771</v>
      </c>
      <c r="D5602" s="9" t="s">
        <v>11125</v>
      </c>
      <c r="E5602" s="9" t="str">
        <f aca="false">IF('Denial Worlds'!J330="PASS","PASS","FAIL")</f>
        <v>PASS</v>
      </c>
      <c r="F5602" s="9" t="s">
        <v>76</v>
      </c>
      <c r="G5602" s="6"/>
      <c r="H5602" s="6"/>
      <c r="I5602" s="6"/>
      <c r="J5602" s="6"/>
      <c r="K5602" s="6"/>
      <c r="L5602" s="6"/>
      <c r="M5602" s="6"/>
      <c r="N5602" s="6"/>
      <c r="O5602" s="6"/>
      <c r="P5602" s="6"/>
      <c r="Q5602" s="6"/>
      <c r="R5602" s="6"/>
      <c r="S5602" s="6"/>
      <c r="T5602" s="6"/>
      <c r="U5602" s="6"/>
      <c r="V5602" s="6"/>
      <c r="W5602" s="6"/>
      <c r="X5602" s="6"/>
      <c r="Y5602" s="6"/>
      <c r="Z5602" s="6"/>
    </row>
    <row r="5603" customFormat="false" ht="15" hidden="false" customHeight="false" outlineLevel="0" collapsed="false">
      <c r="A5603" s="9" t="s">
        <v>11772</v>
      </c>
      <c r="B5603" s="9" t="s">
        <v>11123</v>
      </c>
      <c r="C5603" s="9" t="s">
        <v>11773</v>
      </c>
      <c r="D5603" s="9" t="s">
        <v>11125</v>
      </c>
      <c r="E5603" s="9" t="str">
        <f aca="false">IF('Denial Worlds'!J331="PASS","PASS","FAIL")</f>
        <v>PASS</v>
      </c>
      <c r="F5603" s="9" t="s">
        <v>76</v>
      </c>
      <c r="G5603" s="6"/>
      <c r="H5603" s="6"/>
      <c r="I5603" s="6"/>
      <c r="J5603" s="6"/>
      <c r="K5603" s="6"/>
      <c r="L5603" s="6"/>
      <c r="M5603" s="6"/>
      <c r="N5603" s="6"/>
      <c r="O5603" s="6"/>
      <c r="P5603" s="6"/>
      <c r="Q5603" s="6"/>
      <c r="R5603" s="6"/>
      <c r="S5603" s="6"/>
      <c r="T5603" s="6"/>
      <c r="U5603" s="6"/>
      <c r="V5603" s="6"/>
      <c r="W5603" s="6"/>
      <c r="X5603" s="6"/>
      <c r="Y5603" s="6"/>
      <c r="Z5603" s="6"/>
    </row>
    <row r="5604" customFormat="false" ht="15" hidden="false" customHeight="false" outlineLevel="0" collapsed="false">
      <c r="A5604" s="9" t="s">
        <v>11774</v>
      </c>
      <c r="B5604" s="9" t="s">
        <v>11123</v>
      </c>
      <c r="C5604" s="9" t="s">
        <v>11775</v>
      </c>
      <c r="D5604" s="9" t="s">
        <v>11125</v>
      </c>
      <c r="E5604" s="9" t="str">
        <f aca="false">IF('Denial Worlds'!J332="PASS","PASS","FAIL")</f>
        <v>PASS</v>
      </c>
      <c r="F5604" s="9" t="s">
        <v>76</v>
      </c>
      <c r="G5604" s="6"/>
      <c r="H5604" s="6"/>
      <c r="I5604" s="6"/>
      <c r="J5604" s="6"/>
      <c r="K5604" s="6"/>
      <c r="L5604" s="6"/>
      <c r="M5604" s="6"/>
      <c r="N5604" s="6"/>
      <c r="O5604" s="6"/>
      <c r="P5604" s="6"/>
      <c r="Q5604" s="6"/>
      <c r="R5604" s="6"/>
      <c r="S5604" s="6"/>
      <c r="T5604" s="6"/>
      <c r="U5604" s="6"/>
      <c r="V5604" s="6"/>
      <c r="W5604" s="6"/>
      <c r="X5604" s="6"/>
      <c r="Y5604" s="6"/>
      <c r="Z5604" s="6"/>
    </row>
    <row r="5605" customFormat="false" ht="15" hidden="false" customHeight="false" outlineLevel="0" collapsed="false">
      <c r="A5605" s="9" t="s">
        <v>11776</v>
      </c>
      <c r="B5605" s="9" t="s">
        <v>11123</v>
      </c>
      <c r="C5605" s="9" t="s">
        <v>11777</v>
      </c>
      <c r="D5605" s="9" t="s">
        <v>11125</v>
      </c>
      <c r="E5605" s="9" t="str">
        <f aca="false">IF('Denial Worlds'!J333="PASS","PASS","FAIL")</f>
        <v>PASS</v>
      </c>
      <c r="F5605" s="9" t="s">
        <v>76</v>
      </c>
      <c r="G5605" s="6"/>
      <c r="H5605" s="6"/>
      <c r="I5605" s="6"/>
      <c r="J5605" s="6"/>
      <c r="K5605" s="6"/>
      <c r="L5605" s="6"/>
      <c r="M5605" s="6"/>
      <c r="N5605" s="6"/>
      <c r="O5605" s="6"/>
      <c r="P5605" s="6"/>
      <c r="Q5605" s="6"/>
      <c r="R5605" s="6"/>
      <c r="S5605" s="6"/>
      <c r="T5605" s="6"/>
      <c r="U5605" s="6"/>
      <c r="V5605" s="6"/>
      <c r="W5605" s="6"/>
      <c r="X5605" s="6"/>
      <c r="Y5605" s="6"/>
      <c r="Z5605" s="6"/>
    </row>
    <row r="5606" customFormat="false" ht="15" hidden="false" customHeight="false" outlineLevel="0" collapsed="false">
      <c r="A5606" s="9" t="s">
        <v>11778</v>
      </c>
      <c r="B5606" s="9" t="s">
        <v>11123</v>
      </c>
      <c r="C5606" s="9" t="s">
        <v>11779</v>
      </c>
      <c r="D5606" s="9" t="s">
        <v>11125</v>
      </c>
      <c r="E5606" s="9" t="str">
        <f aca="false">IF('Denial Worlds'!J334="PASS","PASS","FAIL")</f>
        <v>PASS</v>
      </c>
      <c r="F5606" s="9" t="s">
        <v>76</v>
      </c>
      <c r="G5606" s="6"/>
      <c r="H5606" s="6"/>
      <c r="I5606" s="6"/>
      <c r="J5606" s="6"/>
      <c r="K5606" s="6"/>
      <c r="L5606" s="6"/>
      <c r="M5606" s="6"/>
      <c r="N5606" s="6"/>
      <c r="O5606" s="6"/>
      <c r="P5606" s="6"/>
      <c r="Q5606" s="6"/>
      <c r="R5606" s="6"/>
      <c r="S5606" s="6"/>
      <c r="T5606" s="6"/>
      <c r="U5606" s="6"/>
      <c r="V5606" s="6"/>
      <c r="W5606" s="6"/>
      <c r="X5606" s="6"/>
      <c r="Y5606" s="6"/>
      <c r="Z5606" s="6"/>
    </row>
    <row r="5607" customFormat="false" ht="15" hidden="false" customHeight="false" outlineLevel="0" collapsed="false">
      <c r="A5607" s="9" t="s">
        <v>11780</v>
      </c>
      <c r="B5607" s="9" t="s">
        <v>11123</v>
      </c>
      <c r="C5607" s="9" t="s">
        <v>11781</v>
      </c>
      <c r="D5607" s="9" t="s">
        <v>11125</v>
      </c>
      <c r="E5607" s="9" t="str">
        <f aca="false">IF('Denial Worlds'!J335="PASS","PASS","FAIL")</f>
        <v>PASS</v>
      </c>
      <c r="F5607" s="9" t="s">
        <v>76</v>
      </c>
      <c r="G5607" s="6"/>
      <c r="H5607" s="6"/>
      <c r="I5607" s="6"/>
      <c r="J5607" s="6"/>
      <c r="K5607" s="6"/>
      <c r="L5607" s="6"/>
      <c r="M5607" s="6"/>
      <c r="N5607" s="6"/>
      <c r="O5607" s="6"/>
      <c r="P5607" s="6"/>
      <c r="Q5607" s="6"/>
      <c r="R5607" s="6"/>
      <c r="S5607" s="6"/>
      <c r="T5607" s="6"/>
      <c r="U5607" s="6"/>
      <c r="V5607" s="6"/>
      <c r="W5607" s="6"/>
      <c r="X5607" s="6"/>
      <c r="Y5607" s="6"/>
      <c r="Z5607" s="6"/>
    </row>
    <row r="5608" customFormat="false" ht="15" hidden="false" customHeight="false" outlineLevel="0" collapsed="false">
      <c r="A5608" s="9" t="s">
        <v>11782</v>
      </c>
      <c r="B5608" s="9" t="s">
        <v>11123</v>
      </c>
      <c r="C5608" s="9" t="s">
        <v>11783</v>
      </c>
      <c r="D5608" s="9" t="s">
        <v>11125</v>
      </c>
      <c r="E5608" s="9" t="str">
        <f aca="false">IF('Denial Worlds'!J336="PASS","PASS","FAIL")</f>
        <v>PASS</v>
      </c>
      <c r="F5608" s="9" t="s">
        <v>76</v>
      </c>
      <c r="G5608" s="6"/>
      <c r="H5608" s="6"/>
      <c r="I5608" s="6"/>
      <c r="J5608" s="6"/>
      <c r="K5608" s="6"/>
      <c r="L5608" s="6"/>
      <c r="M5608" s="6"/>
      <c r="N5608" s="6"/>
      <c r="O5608" s="6"/>
      <c r="P5608" s="6"/>
      <c r="Q5608" s="6"/>
      <c r="R5608" s="6"/>
      <c r="S5608" s="6"/>
      <c r="T5608" s="6"/>
      <c r="U5608" s="6"/>
      <c r="V5608" s="6"/>
      <c r="W5608" s="6"/>
      <c r="X5608" s="6"/>
      <c r="Y5608" s="6"/>
      <c r="Z5608" s="6"/>
    </row>
    <row r="5609" customFormat="false" ht="15" hidden="false" customHeight="false" outlineLevel="0" collapsed="false">
      <c r="A5609" s="9" t="s">
        <v>11784</v>
      </c>
      <c r="B5609" s="9" t="s">
        <v>11123</v>
      </c>
      <c r="C5609" s="9" t="s">
        <v>11785</v>
      </c>
      <c r="D5609" s="9" t="s">
        <v>11125</v>
      </c>
      <c r="E5609" s="9" t="str">
        <f aca="false">IF('Denial Worlds'!J337="PASS","PASS","FAIL")</f>
        <v>PASS</v>
      </c>
      <c r="F5609" s="9" t="s">
        <v>76</v>
      </c>
      <c r="G5609" s="6"/>
      <c r="H5609" s="6"/>
      <c r="I5609" s="6"/>
      <c r="J5609" s="6"/>
      <c r="K5609" s="6"/>
      <c r="L5609" s="6"/>
      <c r="M5609" s="6"/>
      <c r="N5609" s="6"/>
      <c r="O5609" s="6"/>
      <c r="P5609" s="6"/>
      <c r="Q5609" s="6"/>
      <c r="R5609" s="6"/>
      <c r="S5609" s="6"/>
      <c r="T5609" s="6"/>
      <c r="U5609" s="6"/>
      <c r="V5609" s="6"/>
      <c r="W5609" s="6"/>
      <c r="X5609" s="6"/>
      <c r="Y5609" s="6"/>
      <c r="Z5609" s="6"/>
    </row>
    <row r="5610" customFormat="false" ht="15" hidden="false" customHeight="false" outlineLevel="0" collapsed="false">
      <c r="A5610" s="9" t="s">
        <v>11786</v>
      </c>
      <c r="B5610" s="9" t="s">
        <v>11123</v>
      </c>
      <c r="C5610" s="9" t="s">
        <v>11787</v>
      </c>
      <c r="D5610" s="9" t="s">
        <v>11125</v>
      </c>
      <c r="E5610" s="9" t="str">
        <f aca="false">IF('Denial Worlds'!J338="PASS","PASS","FAIL")</f>
        <v>PASS</v>
      </c>
      <c r="F5610" s="9" t="s">
        <v>76</v>
      </c>
      <c r="G5610" s="6"/>
      <c r="H5610" s="6"/>
      <c r="I5610" s="6"/>
      <c r="J5610" s="6"/>
      <c r="K5610" s="6"/>
      <c r="L5610" s="6"/>
      <c r="M5610" s="6"/>
      <c r="N5610" s="6"/>
      <c r="O5610" s="6"/>
      <c r="P5610" s="6"/>
      <c r="Q5610" s="6"/>
      <c r="R5610" s="6"/>
      <c r="S5610" s="6"/>
      <c r="T5610" s="6"/>
      <c r="U5610" s="6"/>
      <c r="V5610" s="6"/>
      <c r="W5610" s="6"/>
      <c r="X5610" s="6"/>
      <c r="Y5610" s="6"/>
      <c r="Z5610" s="6"/>
    </row>
    <row r="5611" customFormat="false" ht="15" hidden="false" customHeight="false" outlineLevel="0" collapsed="false">
      <c r="A5611" s="9" t="s">
        <v>11788</v>
      </c>
      <c r="B5611" s="9" t="s">
        <v>11123</v>
      </c>
      <c r="C5611" s="9" t="s">
        <v>11789</v>
      </c>
      <c r="D5611" s="9" t="s">
        <v>11125</v>
      </c>
      <c r="E5611" s="9" t="str">
        <f aca="false">IF('Denial Worlds'!J339="PASS","PASS","FAIL")</f>
        <v>PASS</v>
      </c>
      <c r="F5611" s="9" t="s">
        <v>76</v>
      </c>
      <c r="G5611" s="6"/>
      <c r="H5611" s="6"/>
      <c r="I5611" s="6"/>
      <c r="J5611" s="6"/>
      <c r="K5611" s="6"/>
      <c r="L5611" s="6"/>
      <c r="M5611" s="6"/>
      <c r="N5611" s="6"/>
      <c r="O5611" s="6"/>
      <c r="P5611" s="6"/>
      <c r="Q5611" s="6"/>
      <c r="R5611" s="6"/>
      <c r="S5611" s="6"/>
      <c r="T5611" s="6"/>
      <c r="U5611" s="6"/>
      <c r="V5611" s="6"/>
      <c r="W5611" s="6"/>
      <c r="X5611" s="6"/>
      <c r="Y5611" s="6"/>
      <c r="Z5611" s="6"/>
    </row>
    <row r="5612" customFormat="false" ht="15" hidden="false" customHeight="false" outlineLevel="0" collapsed="false">
      <c r="A5612" s="9" t="s">
        <v>11790</v>
      </c>
      <c r="B5612" s="9" t="s">
        <v>11123</v>
      </c>
      <c r="C5612" s="9" t="s">
        <v>11791</v>
      </c>
      <c r="D5612" s="9" t="s">
        <v>11125</v>
      </c>
      <c r="E5612" s="9" t="str">
        <f aca="false">IF('Denial Worlds'!J340="PASS","PASS","FAIL")</f>
        <v>PASS</v>
      </c>
      <c r="F5612" s="9" t="s">
        <v>76</v>
      </c>
      <c r="G5612" s="6"/>
      <c r="H5612" s="6"/>
      <c r="I5612" s="6"/>
      <c r="J5612" s="6"/>
      <c r="K5612" s="6"/>
      <c r="L5612" s="6"/>
      <c r="M5612" s="6"/>
      <c r="N5612" s="6"/>
      <c r="O5612" s="6"/>
      <c r="P5612" s="6"/>
      <c r="Q5612" s="6"/>
      <c r="R5612" s="6"/>
      <c r="S5612" s="6"/>
      <c r="T5612" s="6"/>
      <c r="U5612" s="6"/>
      <c r="V5612" s="6"/>
      <c r="W5612" s="6"/>
      <c r="X5612" s="6"/>
      <c r="Y5612" s="6"/>
      <c r="Z5612" s="6"/>
    </row>
    <row r="5613" customFormat="false" ht="15" hidden="false" customHeight="false" outlineLevel="0" collapsed="false">
      <c r="A5613" s="9" t="s">
        <v>11792</v>
      </c>
      <c r="B5613" s="9" t="s">
        <v>11123</v>
      </c>
      <c r="C5613" s="9" t="s">
        <v>11793</v>
      </c>
      <c r="D5613" s="9" t="s">
        <v>11125</v>
      </c>
      <c r="E5613" s="9" t="str">
        <f aca="false">IF('Denial Worlds'!J341="PASS","PASS","FAIL")</f>
        <v>PASS</v>
      </c>
      <c r="F5613" s="9" t="s">
        <v>76</v>
      </c>
      <c r="G5613" s="6"/>
      <c r="H5613" s="6"/>
      <c r="I5613" s="6"/>
      <c r="J5613" s="6"/>
      <c r="K5613" s="6"/>
      <c r="L5613" s="6"/>
      <c r="M5613" s="6"/>
      <c r="N5613" s="6"/>
      <c r="O5613" s="6"/>
      <c r="P5613" s="6"/>
      <c r="Q5613" s="6"/>
      <c r="R5613" s="6"/>
      <c r="S5613" s="6"/>
      <c r="T5613" s="6"/>
      <c r="U5613" s="6"/>
      <c r="V5613" s="6"/>
      <c r="W5613" s="6"/>
      <c r="X5613" s="6"/>
      <c r="Y5613" s="6"/>
      <c r="Z5613" s="6"/>
    </row>
    <row r="5614" customFormat="false" ht="15" hidden="false" customHeight="false" outlineLevel="0" collapsed="false">
      <c r="A5614" s="9" t="s">
        <v>11794</v>
      </c>
      <c r="B5614" s="9" t="s">
        <v>11123</v>
      </c>
      <c r="C5614" s="9" t="s">
        <v>11795</v>
      </c>
      <c r="D5614" s="9" t="s">
        <v>11125</v>
      </c>
      <c r="E5614" s="9" t="str">
        <f aca="false">IF('Denial Worlds'!J342="PASS","PASS","FAIL")</f>
        <v>PASS</v>
      </c>
      <c r="F5614" s="9" t="s">
        <v>76</v>
      </c>
      <c r="G5614" s="6"/>
      <c r="H5614" s="6"/>
      <c r="I5614" s="6"/>
      <c r="J5614" s="6"/>
      <c r="K5614" s="6"/>
      <c r="L5614" s="6"/>
      <c r="M5614" s="6"/>
      <c r="N5614" s="6"/>
      <c r="O5614" s="6"/>
      <c r="P5614" s="6"/>
      <c r="Q5614" s="6"/>
      <c r="R5614" s="6"/>
      <c r="S5614" s="6"/>
      <c r="T5614" s="6"/>
      <c r="U5614" s="6"/>
      <c r="V5614" s="6"/>
      <c r="W5614" s="6"/>
      <c r="X5614" s="6"/>
      <c r="Y5614" s="6"/>
      <c r="Z5614" s="6"/>
    </row>
    <row r="5615" customFormat="false" ht="15" hidden="false" customHeight="false" outlineLevel="0" collapsed="false">
      <c r="A5615" s="9" t="s">
        <v>11796</v>
      </c>
      <c r="B5615" s="9" t="s">
        <v>11123</v>
      </c>
      <c r="C5615" s="9" t="s">
        <v>11797</v>
      </c>
      <c r="D5615" s="9" t="s">
        <v>11125</v>
      </c>
      <c r="E5615" s="9" t="str">
        <f aca="false">IF('Denial Worlds'!J343="PASS","PASS","FAIL")</f>
        <v>PASS</v>
      </c>
      <c r="F5615" s="9" t="s">
        <v>76</v>
      </c>
      <c r="G5615" s="6"/>
      <c r="H5615" s="6"/>
      <c r="I5615" s="6"/>
      <c r="J5615" s="6"/>
      <c r="K5615" s="6"/>
      <c r="L5615" s="6"/>
      <c r="M5615" s="6"/>
      <c r="N5615" s="6"/>
      <c r="O5615" s="6"/>
      <c r="P5615" s="6"/>
      <c r="Q5615" s="6"/>
      <c r="R5615" s="6"/>
      <c r="S5615" s="6"/>
      <c r="T5615" s="6"/>
      <c r="U5615" s="6"/>
      <c r="V5615" s="6"/>
      <c r="W5615" s="6"/>
      <c r="X5615" s="6"/>
      <c r="Y5615" s="6"/>
      <c r="Z5615" s="6"/>
    </row>
    <row r="5616" customFormat="false" ht="15" hidden="false" customHeight="false" outlineLevel="0" collapsed="false">
      <c r="A5616" s="9" t="s">
        <v>11798</v>
      </c>
      <c r="B5616" s="9" t="s">
        <v>11123</v>
      </c>
      <c r="C5616" s="9" t="s">
        <v>11799</v>
      </c>
      <c r="D5616" s="9" t="s">
        <v>11125</v>
      </c>
      <c r="E5616" s="9" t="str">
        <f aca="false">IF('Denial Worlds'!J344="PASS","PASS","FAIL")</f>
        <v>PASS</v>
      </c>
      <c r="F5616" s="9" t="s">
        <v>76</v>
      </c>
      <c r="G5616" s="6"/>
      <c r="H5616" s="6"/>
      <c r="I5616" s="6"/>
      <c r="J5616" s="6"/>
      <c r="K5616" s="6"/>
      <c r="L5616" s="6"/>
      <c r="M5616" s="6"/>
      <c r="N5616" s="6"/>
      <c r="O5616" s="6"/>
      <c r="P5616" s="6"/>
      <c r="Q5616" s="6"/>
      <c r="R5616" s="6"/>
      <c r="S5616" s="6"/>
      <c r="T5616" s="6"/>
      <c r="U5616" s="6"/>
      <c r="V5616" s="6"/>
      <c r="W5616" s="6"/>
      <c r="X5616" s="6"/>
      <c r="Y5616" s="6"/>
      <c r="Z5616" s="6"/>
    </row>
    <row r="5617" customFormat="false" ht="15" hidden="false" customHeight="false" outlineLevel="0" collapsed="false">
      <c r="A5617" s="9" t="s">
        <v>11800</v>
      </c>
      <c r="B5617" s="9" t="s">
        <v>11123</v>
      </c>
      <c r="C5617" s="9" t="s">
        <v>11801</v>
      </c>
      <c r="D5617" s="9" t="s">
        <v>11125</v>
      </c>
      <c r="E5617" s="9" t="str">
        <f aca="false">IF('Denial Worlds'!J345="PASS","PASS","FAIL")</f>
        <v>PASS</v>
      </c>
      <c r="F5617" s="9" t="s">
        <v>76</v>
      </c>
      <c r="G5617" s="6"/>
      <c r="H5617" s="6"/>
      <c r="I5617" s="6"/>
      <c r="J5617" s="6"/>
      <c r="K5617" s="6"/>
      <c r="L5617" s="6"/>
      <c r="M5617" s="6"/>
      <c r="N5617" s="6"/>
      <c r="O5617" s="6"/>
      <c r="P5617" s="6"/>
      <c r="Q5617" s="6"/>
      <c r="R5617" s="6"/>
      <c r="S5617" s="6"/>
      <c r="T5617" s="6"/>
      <c r="U5617" s="6"/>
      <c r="V5617" s="6"/>
      <c r="W5617" s="6"/>
      <c r="X5617" s="6"/>
      <c r="Y5617" s="6"/>
      <c r="Z5617" s="6"/>
    </row>
    <row r="5618" customFormat="false" ht="15" hidden="false" customHeight="false" outlineLevel="0" collapsed="false">
      <c r="A5618" s="9" t="s">
        <v>11802</v>
      </c>
      <c r="B5618" s="9" t="s">
        <v>11123</v>
      </c>
      <c r="C5618" s="9" t="s">
        <v>11803</v>
      </c>
      <c r="D5618" s="9" t="s">
        <v>11125</v>
      </c>
      <c r="E5618" s="9" t="str">
        <f aca="false">IF('Denial Worlds'!J346="PASS","PASS","FAIL")</f>
        <v>PASS</v>
      </c>
      <c r="F5618" s="9" t="s">
        <v>76</v>
      </c>
      <c r="G5618" s="6"/>
      <c r="H5618" s="6"/>
      <c r="I5618" s="6"/>
      <c r="J5618" s="6"/>
      <c r="K5618" s="6"/>
      <c r="L5618" s="6"/>
      <c r="M5618" s="6"/>
      <c r="N5618" s="6"/>
      <c r="O5618" s="6"/>
      <c r="P5618" s="6"/>
      <c r="Q5618" s="6"/>
      <c r="R5618" s="6"/>
      <c r="S5618" s="6"/>
      <c r="T5618" s="6"/>
      <c r="U5618" s="6"/>
      <c r="V5618" s="6"/>
      <c r="W5618" s="6"/>
      <c r="X5618" s="6"/>
      <c r="Y5618" s="6"/>
      <c r="Z5618" s="6"/>
    </row>
    <row r="5619" customFormat="false" ht="15" hidden="false" customHeight="false" outlineLevel="0" collapsed="false">
      <c r="A5619" s="9" t="s">
        <v>11804</v>
      </c>
      <c r="B5619" s="9" t="s">
        <v>11123</v>
      </c>
      <c r="C5619" s="9" t="s">
        <v>11805</v>
      </c>
      <c r="D5619" s="9" t="s">
        <v>11125</v>
      </c>
      <c r="E5619" s="9" t="str">
        <f aca="false">IF('Denial Worlds'!J347="PASS","PASS","FAIL")</f>
        <v>PASS</v>
      </c>
      <c r="F5619" s="9" t="s">
        <v>76</v>
      </c>
      <c r="G5619" s="6"/>
      <c r="H5619" s="6"/>
      <c r="I5619" s="6"/>
      <c r="J5619" s="6"/>
      <c r="K5619" s="6"/>
      <c r="L5619" s="6"/>
      <c r="M5619" s="6"/>
      <c r="N5619" s="6"/>
      <c r="O5619" s="6"/>
      <c r="P5619" s="6"/>
      <c r="Q5619" s="6"/>
      <c r="R5619" s="6"/>
      <c r="S5619" s="6"/>
      <c r="T5619" s="6"/>
      <c r="U5619" s="6"/>
      <c r="V5619" s="6"/>
      <c r="W5619" s="6"/>
      <c r="X5619" s="6"/>
      <c r="Y5619" s="6"/>
      <c r="Z5619" s="6"/>
    </row>
    <row r="5620" customFormat="false" ht="15" hidden="false" customHeight="false" outlineLevel="0" collapsed="false">
      <c r="A5620" s="9" t="s">
        <v>11806</v>
      </c>
      <c r="B5620" s="9" t="s">
        <v>11123</v>
      </c>
      <c r="C5620" s="9" t="s">
        <v>11807</v>
      </c>
      <c r="D5620" s="9" t="s">
        <v>11125</v>
      </c>
      <c r="E5620" s="9" t="str">
        <f aca="false">IF('Denial Worlds'!J348="PASS","PASS","FAIL")</f>
        <v>PASS</v>
      </c>
      <c r="F5620" s="9" t="s">
        <v>76</v>
      </c>
      <c r="G5620" s="6"/>
      <c r="H5620" s="6"/>
      <c r="I5620" s="6"/>
      <c r="J5620" s="6"/>
      <c r="K5620" s="6"/>
      <c r="L5620" s="6"/>
      <c r="M5620" s="6"/>
      <c r="N5620" s="6"/>
      <c r="O5620" s="6"/>
      <c r="P5620" s="6"/>
      <c r="Q5620" s="6"/>
      <c r="R5620" s="6"/>
      <c r="S5620" s="6"/>
      <c r="T5620" s="6"/>
      <c r="U5620" s="6"/>
      <c r="V5620" s="6"/>
      <c r="W5620" s="6"/>
      <c r="X5620" s="6"/>
      <c r="Y5620" s="6"/>
      <c r="Z5620" s="6"/>
    </row>
    <row r="5621" customFormat="false" ht="15" hidden="false" customHeight="false" outlineLevel="0" collapsed="false">
      <c r="A5621" s="9" t="s">
        <v>11808</v>
      </c>
      <c r="B5621" s="9" t="s">
        <v>11123</v>
      </c>
      <c r="C5621" s="9" t="s">
        <v>11809</v>
      </c>
      <c r="D5621" s="9" t="s">
        <v>11125</v>
      </c>
      <c r="E5621" s="9" t="str">
        <f aca="false">IF('Denial Worlds'!J349="PASS","PASS","FAIL")</f>
        <v>PASS</v>
      </c>
      <c r="F5621" s="9" t="s">
        <v>76</v>
      </c>
      <c r="G5621" s="6"/>
      <c r="H5621" s="6"/>
      <c r="I5621" s="6"/>
      <c r="J5621" s="6"/>
      <c r="K5621" s="6"/>
      <c r="L5621" s="6"/>
      <c r="M5621" s="6"/>
      <c r="N5621" s="6"/>
      <c r="O5621" s="6"/>
      <c r="P5621" s="6"/>
      <c r="Q5621" s="6"/>
      <c r="R5621" s="6"/>
      <c r="S5621" s="6"/>
      <c r="T5621" s="6"/>
      <c r="U5621" s="6"/>
      <c r="V5621" s="6"/>
      <c r="W5621" s="6"/>
      <c r="X5621" s="6"/>
      <c r="Y5621" s="6"/>
      <c r="Z5621" s="6"/>
    </row>
    <row r="5622" customFormat="false" ht="15" hidden="false" customHeight="false" outlineLevel="0" collapsed="false">
      <c r="A5622" s="9" t="s">
        <v>11810</v>
      </c>
      <c r="B5622" s="9" t="s">
        <v>11123</v>
      </c>
      <c r="C5622" s="9" t="s">
        <v>11811</v>
      </c>
      <c r="D5622" s="9" t="s">
        <v>11125</v>
      </c>
      <c r="E5622" s="9" t="str">
        <f aca="false">IF('Denial Worlds'!J350="PASS","PASS","FAIL")</f>
        <v>PASS</v>
      </c>
      <c r="F5622" s="9" t="s">
        <v>76</v>
      </c>
      <c r="G5622" s="6"/>
      <c r="H5622" s="6"/>
      <c r="I5622" s="6"/>
      <c r="J5622" s="6"/>
      <c r="K5622" s="6"/>
      <c r="L5622" s="6"/>
      <c r="M5622" s="6"/>
      <c r="N5622" s="6"/>
      <c r="O5622" s="6"/>
      <c r="P5622" s="6"/>
      <c r="Q5622" s="6"/>
      <c r="R5622" s="6"/>
      <c r="S5622" s="6"/>
      <c r="T5622" s="6"/>
      <c r="U5622" s="6"/>
      <c r="V5622" s="6"/>
      <c r="W5622" s="6"/>
      <c r="X5622" s="6"/>
      <c r="Y5622" s="6"/>
      <c r="Z5622" s="6"/>
    </row>
    <row r="5623" customFormat="false" ht="15" hidden="false" customHeight="false" outlineLevel="0" collapsed="false">
      <c r="A5623" s="9" t="s">
        <v>11812</v>
      </c>
      <c r="B5623" s="9" t="s">
        <v>11123</v>
      </c>
      <c r="C5623" s="9" t="s">
        <v>11813</v>
      </c>
      <c r="D5623" s="9" t="s">
        <v>11125</v>
      </c>
      <c r="E5623" s="9" t="str">
        <f aca="false">IF('Denial Worlds'!J351="PASS","PASS","FAIL")</f>
        <v>PASS</v>
      </c>
      <c r="F5623" s="9" t="s">
        <v>76</v>
      </c>
      <c r="G5623" s="6"/>
      <c r="H5623" s="6"/>
      <c r="I5623" s="6"/>
      <c r="J5623" s="6"/>
      <c r="K5623" s="6"/>
      <c r="L5623" s="6"/>
      <c r="M5623" s="6"/>
      <c r="N5623" s="6"/>
      <c r="O5623" s="6"/>
      <c r="P5623" s="6"/>
      <c r="Q5623" s="6"/>
      <c r="R5623" s="6"/>
      <c r="S5623" s="6"/>
      <c r="T5623" s="6"/>
      <c r="U5623" s="6"/>
      <c r="V5623" s="6"/>
      <c r="W5623" s="6"/>
      <c r="X5623" s="6"/>
      <c r="Y5623" s="6"/>
      <c r="Z5623" s="6"/>
    </row>
    <row r="5624" customFormat="false" ht="15" hidden="false" customHeight="false" outlineLevel="0" collapsed="false">
      <c r="A5624" s="9" t="s">
        <v>11814</v>
      </c>
      <c r="B5624" s="9" t="s">
        <v>11123</v>
      </c>
      <c r="C5624" s="9" t="s">
        <v>11815</v>
      </c>
      <c r="D5624" s="9" t="s">
        <v>11125</v>
      </c>
      <c r="E5624" s="9" t="str">
        <f aca="false">IF('Denial Worlds'!J352="PASS","PASS","FAIL")</f>
        <v>PASS</v>
      </c>
      <c r="F5624" s="9" t="s">
        <v>76</v>
      </c>
      <c r="G5624" s="6"/>
      <c r="H5624" s="6"/>
      <c r="I5624" s="6"/>
      <c r="J5624" s="6"/>
      <c r="K5624" s="6"/>
      <c r="L5624" s="6"/>
      <c r="M5624" s="6"/>
      <c r="N5624" s="6"/>
      <c r="O5624" s="6"/>
      <c r="P5624" s="6"/>
      <c r="Q5624" s="6"/>
      <c r="R5624" s="6"/>
      <c r="S5624" s="6"/>
      <c r="T5624" s="6"/>
      <c r="U5624" s="6"/>
      <c r="V5624" s="6"/>
      <c r="W5624" s="6"/>
      <c r="X5624" s="6"/>
      <c r="Y5624" s="6"/>
      <c r="Z5624" s="6"/>
    </row>
    <row r="5625" customFormat="false" ht="15" hidden="false" customHeight="false" outlineLevel="0" collapsed="false">
      <c r="A5625" s="9" t="s">
        <v>11816</v>
      </c>
      <c r="B5625" s="9" t="s">
        <v>11123</v>
      </c>
      <c r="C5625" s="9" t="s">
        <v>11817</v>
      </c>
      <c r="D5625" s="9" t="s">
        <v>11125</v>
      </c>
      <c r="E5625" s="9" t="str">
        <f aca="false">IF('Denial Worlds'!J353="PASS","PASS","FAIL")</f>
        <v>PASS</v>
      </c>
      <c r="F5625" s="9" t="s">
        <v>76</v>
      </c>
      <c r="G5625" s="6"/>
      <c r="H5625" s="6"/>
      <c r="I5625" s="6"/>
      <c r="J5625" s="6"/>
      <c r="K5625" s="6"/>
      <c r="L5625" s="6"/>
      <c r="M5625" s="6"/>
      <c r="N5625" s="6"/>
      <c r="O5625" s="6"/>
      <c r="P5625" s="6"/>
      <c r="Q5625" s="6"/>
      <c r="R5625" s="6"/>
      <c r="S5625" s="6"/>
      <c r="T5625" s="6"/>
      <c r="U5625" s="6"/>
      <c r="V5625" s="6"/>
      <c r="W5625" s="6"/>
      <c r="X5625" s="6"/>
      <c r="Y5625" s="6"/>
      <c r="Z5625" s="6"/>
    </row>
    <row r="5626" customFormat="false" ht="15" hidden="false" customHeight="false" outlineLevel="0" collapsed="false">
      <c r="A5626" s="9" t="s">
        <v>11818</v>
      </c>
      <c r="B5626" s="9" t="s">
        <v>11123</v>
      </c>
      <c r="C5626" s="9" t="s">
        <v>11819</v>
      </c>
      <c r="D5626" s="9" t="s">
        <v>11125</v>
      </c>
      <c r="E5626" s="9" t="str">
        <f aca="false">IF('Denial Worlds'!J354="PASS","PASS","FAIL")</f>
        <v>PASS</v>
      </c>
      <c r="F5626" s="9" t="s">
        <v>76</v>
      </c>
      <c r="G5626" s="6"/>
      <c r="H5626" s="6"/>
      <c r="I5626" s="6"/>
      <c r="J5626" s="6"/>
      <c r="K5626" s="6"/>
      <c r="L5626" s="6"/>
      <c r="M5626" s="6"/>
      <c r="N5626" s="6"/>
      <c r="O5626" s="6"/>
      <c r="P5626" s="6"/>
      <c r="Q5626" s="6"/>
      <c r="R5626" s="6"/>
      <c r="S5626" s="6"/>
      <c r="T5626" s="6"/>
      <c r="U5626" s="6"/>
      <c r="V5626" s="6"/>
      <c r="W5626" s="6"/>
      <c r="X5626" s="6"/>
      <c r="Y5626" s="6"/>
      <c r="Z5626" s="6"/>
    </row>
    <row r="5627" customFormat="false" ht="15" hidden="false" customHeight="false" outlineLevel="0" collapsed="false">
      <c r="A5627" s="9" t="s">
        <v>11820</v>
      </c>
      <c r="B5627" s="9" t="s">
        <v>11123</v>
      </c>
      <c r="C5627" s="9" t="s">
        <v>11821</v>
      </c>
      <c r="D5627" s="9" t="s">
        <v>11125</v>
      </c>
      <c r="E5627" s="9" t="str">
        <f aca="false">IF('Denial Worlds'!J355="PASS","PASS","FAIL")</f>
        <v>PASS</v>
      </c>
      <c r="F5627" s="9" t="s">
        <v>76</v>
      </c>
      <c r="G5627" s="6"/>
      <c r="H5627" s="6"/>
      <c r="I5627" s="6"/>
      <c r="J5627" s="6"/>
      <c r="K5627" s="6"/>
      <c r="L5627" s="6"/>
      <c r="M5627" s="6"/>
      <c r="N5627" s="6"/>
      <c r="O5627" s="6"/>
      <c r="P5627" s="6"/>
      <c r="Q5627" s="6"/>
      <c r="R5627" s="6"/>
      <c r="S5627" s="6"/>
      <c r="T5627" s="6"/>
      <c r="U5627" s="6"/>
      <c r="V5627" s="6"/>
      <c r="W5627" s="6"/>
      <c r="X5627" s="6"/>
      <c r="Y5627" s="6"/>
      <c r="Z5627" s="6"/>
    </row>
    <row r="5628" customFormat="false" ht="15" hidden="false" customHeight="false" outlineLevel="0" collapsed="false">
      <c r="A5628" s="9" t="s">
        <v>11822</v>
      </c>
      <c r="B5628" s="9" t="s">
        <v>11123</v>
      </c>
      <c r="C5628" s="9" t="s">
        <v>11823</v>
      </c>
      <c r="D5628" s="9" t="s">
        <v>11125</v>
      </c>
      <c r="E5628" s="9" t="str">
        <f aca="false">IF('Denial Worlds'!J356="PASS","PASS","FAIL")</f>
        <v>PASS</v>
      </c>
      <c r="F5628" s="9" t="s">
        <v>76</v>
      </c>
      <c r="G5628" s="6"/>
      <c r="H5628" s="6"/>
      <c r="I5628" s="6"/>
      <c r="J5628" s="6"/>
      <c r="K5628" s="6"/>
      <c r="L5628" s="6"/>
      <c r="M5628" s="6"/>
      <c r="N5628" s="6"/>
      <c r="O5628" s="6"/>
      <c r="P5628" s="6"/>
      <c r="Q5628" s="6"/>
      <c r="R5628" s="6"/>
      <c r="S5628" s="6"/>
      <c r="T5628" s="6"/>
      <c r="U5628" s="6"/>
      <c r="V5628" s="6"/>
      <c r="W5628" s="6"/>
      <c r="X5628" s="6"/>
      <c r="Y5628" s="6"/>
      <c r="Z5628" s="6"/>
    </row>
    <row r="5629" customFormat="false" ht="15" hidden="false" customHeight="false" outlineLevel="0" collapsed="false">
      <c r="A5629" s="9" t="s">
        <v>11824</v>
      </c>
      <c r="B5629" s="9" t="s">
        <v>11123</v>
      </c>
      <c r="C5629" s="9" t="s">
        <v>11825</v>
      </c>
      <c r="D5629" s="9" t="s">
        <v>11125</v>
      </c>
      <c r="E5629" s="9" t="str">
        <f aca="false">IF('Denial Worlds'!J357="PASS","PASS","FAIL")</f>
        <v>PASS</v>
      </c>
      <c r="F5629" s="9" t="s">
        <v>76</v>
      </c>
      <c r="G5629" s="6"/>
      <c r="H5629" s="6"/>
      <c r="I5629" s="6"/>
      <c r="J5629" s="6"/>
      <c r="K5629" s="6"/>
      <c r="L5629" s="6"/>
      <c r="M5629" s="6"/>
      <c r="N5629" s="6"/>
      <c r="O5629" s="6"/>
      <c r="P5629" s="6"/>
      <c r="Q5629" s="6"/>
      <c r="R5629" s="6"/>
      <c r="S5629" s="6"/>
      <c r="T5629" s="6"/>
      <c r="U5629" s="6"/>
      <c r="V5629" s="6"/>
      <c r="W5629" s="6"/>
      <c r="X5629" s="6"/>
      <c r="Y5629" s="6"/>
      <c r="Z5629" s="6"/>
    </row>
    <row r="5630" customFormat="false" ht="15" hidden="false" customHeight="false" outlineLevel="0" collapsed="false">
      <c r="A5630" s="9" t="s">
        <v>11826</v>
      </c>
      <c r="B5630" s="9" t="s">
        <v>11123</v>
      </c>
      <c r="C5630" s="9" t="s">
        <v>11827</v>
      </c>
      <c r="D5630" s="9" t="s">
        <v>11125</v>
      </c>
      <c r="E5630" s="9" t="str">
        <f aca="false">IF('Denial Worlds'!J358="PASS","PASS","FAIL")</f>
        <v>PASS</v>
      </c>
      <c r="F5630" s="9" t="s">
        <v>76</v>
      </c>
      <c r="G5630" s="6"/>
      <c r="H5630" s="6"/>
      <c r="I5630" s="6"/>
      <c r="J5630" s="6"/>
      <c r="K5630" s="6"/>
      <c r="L5630" s="6"/>
      <c r="M5630" s="6"/>
      <c r="N5630" s="6"/>
      <c r="O5630" s="6"/>
      <c r="P5630" s="6"/>
      <c r="Q5630" s="6"/>
      <c r="R5630" s="6"/>
      <c r="S5630" s="6"/>
      <c r="T5630" s="6"/>
      <c r="U5630" s="6"/>
      <c r="V5630" s="6"/>
      <c r="W5630" s="6"/>
      <c r="X5630" s="6"/>
      <c r="Y5630" s="6"/>
      <c r="Z5630" s="6"/>
    </row>
    <row r="5631" customFormat="false" ht="15" hidden="false" customHeight="false" outlineLevel="0" collapsed="false">
      <c r="A5631" s="9" t="s">
        <v>11828</v>
      </c>
      <c r="B5631" s="9" t="s">
        <v>11123</v>
      </c>
      <c r="C5631" s="9" t="s">
        <v>11829</v>
      </c>
      <c r="D5631" s="9" t="s">
        <v>11125</v>
      </c>
      <c r="E5631" s="9" t="str">
        <f aca="false">IF('Denial Worlds'!J359="PASS","PASS","FAIL")</f>
        <v>PASS</v>
      </c>
      <c r="F5631" s="9" t="s">
        <v>76</v>
      </c>
      <c r="G5631" s="6"/>
      <c r="H5631" s="6"/>
      <c r="I5631" s="6"/>
      <c r="J5631" s="6"/>
      <c r="K5631" s="6"/>
      <c r="L5631" s="6"/>
      <c r="M5631" s="6"/>
      <c r="N5631" s="6"/>
      <c r="O5631" s="6"/>
      <c r="P5631" s="6"/>
      <c r="Q5631" s="6"/>
      <c r="R5631" s="6"/>
      <c r="S5631" s="6"/>
      <c r="T5631" s="6"/>
      <c r="U5631" s="6"/>
      <c r="V5631" s="6"/>
      <c r="W5631" s="6"/>
      <c r="X5631" s="6"/>
      <c r="Y5631" s="6"/>
      <c r="Z5631" s="6"/>
    </row>
    <row r="5632" customFormat="false" ht="15" hidden="false" customHeight="false" outlineLevel="0" collapsed="false">
      <c r="A5632" s="9" t="s">
        <v>11830</v>
      </c>
      <c r="B5632" s="9" t="s">
        <v>11123</v>
      </c>
      <c r="C5632" s="9" t="s">
        <v>11831</v>
      </c>
      <c r="D5632" s="9" t="s">
        <v>11125</v>
      </c>
      <c r="E5632" s="9" t="str">
        <f aca="false">IF('Denial Worlds'!J360="PASS","PASS","FAIL")</f>
        <v>PASS</v>
      </c>
      <c r="F5632" s="9" t="s">
        <v>76</v>
      </c>
      <c r="G5632" s="6"/>
      <c r="H5632" s="6"/>
      <c r="I5632" s="6"/>
      <c r="J5632" s="6"/>
      <c r="K5632" s="6"/>
      <c r="L5632" s="6"/>
      <c r="M5632" s="6"/>
      <c r="N5632" s="6"/>
      <c r="O5632" s="6"/>
      <c r="P5632" s="6"/>
      <c r="Q5632" s="6"/>
      <c r="R5632" s="6"/>
      <c r="S5632" s="6"/>
      <c r="T5632" s="6"/>
      <c r="U5632" s="6"/>
      <c r="V5632" s="6"/>
      <c r="W5632" s="6"/>
      <c r="X5632" s="6"/>
      <c r="Y5632" s="6"/>
      <c r="Z5632" s="6"/>
    </row>
    <row r="5633" customFormat="false" ht="15" hidden="false" customHeight="false" outlineLevel="0" collapsed="false">
      <c r="A5633" s="9" t="s">
        <v>11832</v>
      </c>
      <c r="B5633" s="9" t="s">
        <v>11123</v>
      </c>
      <c r="C5633" s="9" t="s">
        <v>11833</v>
      </c>
      <c r="D5633" s="9" t="s">
        <v>11125</v>
      </c>
      <c r="E5633" s="9" t="str">
        <f aca="false">IF('Denial Worlds'!J361="PASS","PASS","FAIL")</f>
        <v>PASS</v>
      </c>
      <c r="F5633" s="9" t="s">
        <v>76</v>
      </c>
      <c r="G5633" s="6"/>
      <c r="H5633" s="6"/>
      <c r="I5633" s="6"/>
      <c r="J5633" s="6"/>
      <c r="K5633" s="6"/>
      <c r="L5633" s="6"/>
      <c r="M5633" s="6"/>
      <c r="N5633" s="6"/>
      <c r="O5633" s="6"/>
      <c r="P5633" s="6"/>
      <c r="Q5633" s="6"/>
      <c r="R5633" s="6"/>
      <c r="S5633" s="6"/>
      <c r="T5633" s="6"/>
      <c r="U5633" s="6"/>
      <c r="V5633" s="6"/>
      <c r="W5633" s="6"/>
      <c r="X5633" s="6"/>
      <c r="Y5633" s="6"/>
      <c r="Z5633" s="6"/>
    </row>
    <row r="5634" customFormat="false" ht="15" hidden="false" customHeight="false" outlineLevel="0" collapsed="false">
      <c r="A5634" s="9" t="s">
        <v>11834</v>
      </c>
      <c r="B5634" s="9" t="s">
        <v>11123</v>
      </c>
      <c r="C5634" s="9" t="s">
        <v>11835</v>
      </c>
      <c r="D5634" s="9" t="s">
        <v>11125</v>
      </c>
      <c r="E5634" s="9" t="str">
        <f aca="false">IF('Denial Worlds'!J362="PASS","PASS","FAIL")</f>
        <v>PASS</v>
      </c>
      <c r="F5634" s="9" t="s">
        <v>76</v>
      </c>
      <c r="G5634" s="6"/>
      <c r="H5634" s="6"/>
      <c r="I5634" s="6"/>
      <c r="J5634" s="6"/>
      <c r="K5634" s="6"/>
      <c r="L5634" s="6"/>
      <c r="M5634" s="6"/>
      <c r="N5634" s="6"/>
      <c r="O5634" s="6"/>
      <c r="P5634" s="6"/>
      <c r="Q5634" s="6"/>
      <c r="R5634" s="6"/>
      <c r="S5634" s="6"/>
      <c r="T5634" s="6"/>
      <c r="U5634" s="6"/>
      <c r="V5634" s="6"/>
      <c r="W5634" s="6"/>
      <c r="X5634" s="6"/>
      <c r="Y5634" s="6"/>
      <c r="Z5634" s="6"/>
    </row>
    <row r="5635" customFormat="false" ht="15" hidden="false" customHeight="false" outlineLevel="0" collapsed="false">
      <c r="A5635" s="9" t="s">
        <v>11836</v>
      </c>
      <c r="B5635" s="9" t="s">
        <v>11123</v>
      </c>
      <c r="C5635" s="9" t="s">
        <v>11837</v>
      </c>
      <c r="D5635" s="9" t="s">
        <v>11125</v>
      </c>
      <c r="E5635" s="9" t="str">
        <f aca="false">IF('Denial Worlds'!J363="PASS","PASS","FAIL")</f>
        <v>PASS</v>
      </c>
      <c r="F5635" s="9" t="s">
        <v>76</v>
      </c>
      <c r="G5635" s="6"/>
      <c r="H5635" s="6"/>
      <c r="I5635" s="6"/>
      <c r="J5635" s="6"/>
      <c r="K5635" s="6"/>
      <c r="L5635" s="6"/>
      <c r="M5635" s="6"/>
      <c r="N5635" s="6"/>
      <c r="O5635" s="6"/>
      <c r="P5635" s="6"/>
      <c r="Q5635" s="6"/>
      <c r="R5635" s="6"/>
      <c r="S5635" s="6"/>
      <c r="T5635" s="6"/>
      <c r="U5635" s="6"/>
      <c r="V5635" s="6"/>
      <c r="W5635" s="6"/>
      <c r="X5635" s="6"/>
      <c r="Y5635" s="6"/>
      <c r="Z5635" s="6"/>
    </row>
    <row r="5636" customFormat="false" ht="15" hidden="false" customHeight="false" outlineLevel="0" collapsed="false">
      <c r="A5636" s="9" t="s">
        <v>11838</v>
      </c>
      <c r="B5636" s="9" t="s">
        <v>11123</v>
      </c>
      <c r="C5636" s="9" t="s">
        <v>11839</v>
      </c>
      <c r="D5636" s="9" t="s">
        <v>11125</v>
      </c>
      <c r="E5636" s="9" t="str">
        <f aca="false">IF('Denial Worlds'!J364="PASS","PASS","FAIL")</f>
        <v>PASS</v>
      </c>
      <c r="F5636" s="9" t="s">
        <v>76</v>
      </c>
      <c r="G5636" s="6"/>
      <c r="H5636" s="6"/>
      <c r="I5636" s="6"/>
      <c r="J5636" s="6"/>
      <c r="K5636" s="6"/>
      <c r="L5636" s="6"/>
      <c r="M5636" s="6"/>
      <c r="N5636" s="6"/>
      <c r="O5636" s="6"/>
      <c r="P5636" s="6"/>
      <c r="Q5636" s="6"/>
      <c r="R5636" s="6"/>
      <c r="S5636" s="6"/>
      <c r="T5636" s="6"/>
      <c r="U5636" s="6"/>
      <c r="V5636" s="6"/>
      <c r="W5636" s="6"/>
      <c r="X5636" s="6"/>
      <c r="Y5636" s="6"/>
      <c r="Z5636" s="6"/>
    </row>
    <row r="5637" customFormat="false" ht="15" hidden="false" customHeight="false" outlineLevel="0" collapsed="false">
      <c r="A5637" s="9" t="s">
        <v>11840</v>
      </c>
      <c r="B5637" s="9" t="s">
        <v>11123</v>
      </c>
      <c r="C5637" s="9" t="s">
        <v>11841</v>
      </c>
      <c r="D5637" s="9" t="s">
        <v>11125</v>
      </c>
      <c r="E5637" s="9" t="str">
        <f aca="false">IF('Denial Worlds'!J365="PASS","PASS","FAIL")</f>
        <v>PASS</v>
      </c>
      <c r="F5637" s="9" t="s">
        <v>76</v>
      </c>
      <c r="G5637" s="6"/>
      <c r="H5637" s="6"/>
      <c r="I5637" s="6"/>
      <c r="J5637" s="6"/>
      <c r="K5637" s="6"/>
      <c r="L5637" s="6"/>
      <c r="M5637" s="6"/>
      <c r="N5637" s="6"/>
      <c r="O5637" s="6"/>
      <c r="P5637" s="6"/>
      <c r="Q5637" s="6"/>
      <c r="R5637" s="6"/>
      <c r="S5637" s="6"/>
      <c r="T5637" s="6"/>
      <c r="U5637" s="6"/>
      <c r="V5637" s="6"/>
      <c r="W5637" s="6"/>
      <c r="X5637" s="6"/>
      <c r="Y5637" s="6"/>
      <c r="Z5637" s="6"/>
    </row>
    <row r="5638" customFormat="false" ht="15" hidden="false" customHeight="false" outlineLevel="0" collapsed="false">
      <c r="A5638" s="9" t="s">
        <v>11842</v>
      </c>
      <c r="B5638" s="9" t="s">
        <v>11123</v>
      </c>
      <c r="C5638" s="9" t="s">
        <v>11843</v>
      </c>
      <c r="D5638" s="9" t="s">
        <v>11125</v>
      </c>
      <c r="E5638" s="9" t="str">
        <f aca="false">IF('Denial Worlds'!J366="PASS","PASS","FAIL")</f>
        <v>PASS</v>
      </c>
      <c r="F5638" s="9" t="s">
        <v>76</v>
      </c>
      <c r="G5638" s="6"/>
      <c r="H5638" s="6"/>
      <c r="I5638" s="6"/>
      <c r="J5638" s="6"/>
      <c r="K5638" s="6"/>
      <c r="L5638" s="6"/>
      <c r="M5638" s="6"/>
      <c r="N5638" s="6"/>
      <c r="O5638" s="6"/>
      <c r="P5638" s="6"/>
      <c r="Q5638" s="6"/>
      <c r="R5638" s="6"/>
      <c r="S5638" s="6"/>
      <c r="T5638" s="6"/>
      <c r="U5638" s="6"/>
      <c r="V5638" s="6"/>
      <c r="W5638" s="6"/>
      <c r="X5638" s="6"/>
      <c r="Y5638" s="6"/>
      <c r="Z5638" s="6"/>
    </row>
    <row r="5639" customFormat="false" ht="15" hidden="false" customHeight="false" outlineLevel="0" collapsed="false">
      <c r="A5639" s="9" t="s">
        <v>11844</v>
      </c>
      <c r="B5639" s="9" t="s">
        <v>11123</v>
      </c>
      <c r="C5639" s="9" t="s">
        <v>11845</v>
      </c>
      <c r="D5639" s="9" t="s">
        <v>11125</v>
      </c>
      <c r="E5639" s="9" t="str">
        <f aca="false">IF('Denial Worlds'!J367="PASS","PASS","FAIL")</f>
        <v>PASS</v>
      </c>
      <c r="F5639" s="9" t="s">
        <v>76</v>
      </c>
      <c r="G5639" s="6"/>
      <c r="H5639" s="6"/>
      <c r="I5639" s="6"/>
      <c r="J5639" s="6"/>
      <c r="K5639" s="6"/>
      <c r="L5639" s="6"/>
      <c r="M5639" s="6"/>
      <c r="N5639" s="6"/>
      <c r="O5639" s="6"/>
      <c r="P5639" s="6"/>
      <c r="Q5639" s="6"/>
      <c r="R5639" s="6"/>
      <c r="S5639" s="6"/>
      <c r="T5639" s="6"/>
      <c r="U5639" s="6"/>
      <c r="V5639" s="6"/>
      <c r="W5639" s="6"/>
      <c r="X5639" s="6"/>
      <c r="Y5639" s="6"/>
      <c r="Z5639" s="6"/>
    </row>
    <row r="5640" customFormat="false" ht="15" hidden="false" customHeight="false" outlineLevel="0" collapsed="false">
      <c r="A5640" s="9" t="s">
        <v>11846</v>
      </c>
      <c r="B5640" s="9" t="s">
        <v>11123</v>
      </c>
      <c r="C5640" s="9" t="s">
        <v>11847</v>
      </c>
      <c r="D5640" s="9" t="s">
        <v>11125</v>
      </c>
      <c r="E5640" s="9" t="str">
        <f aca="false">IF('Denial Worlds'!J368="PASS","PASS","FAIL")</f>
        <v>PASS</v>
      </c>
      <c r="F5640" s="9" t="s">
        <v>76</v>
      </c>
      <c r="G5640" s="6"/>
      <c r="H5640" s="6"/>
      <c r="I5640" s="6"/>
      <c r="J5640" s="6"/>
      <c r="K5640" s="6"/>
      <c r="L5640" s="6"/>
      <c r="M5640" s="6"/>
      <c r="N5640" s="6"/>
      <c r="O5640" s="6"/>
      <c r="P5640" s="6"/>
      <c r="Q5640" s="6"/>
      <c r="R5640" s="6"/>
      <c r="S5640" s="6"/>
      <c r="T5640" s="6"/>
      <c r="U5640" s="6"/>
      <c r="V5640" s="6"/>
      <c r="W5640" s="6"/>
      <c r="X5640" s="6"/>
      <c r="Y5640" s="6"/>
      <c r="Z5640" s="6"/>
    </row>
    <row r="5641" customFormat="false" ht="15" hidden="false" customHeight="false" outlineLevel="0" collapsed="false">
      <c r="A5641" s="9" t="s">
        <v>11848</v>
      </c>
      <c r="B5641" s="9" t="s">
        <v>11123</v>
      </c>
      <c r="C5641" s="9" t="s">
        <v>11849</v>
      </c>
      <c r="D5641" s="9" t="s">
        <v>11125</v>
      </c>
      <c r="E5641" s="9" t="str">
        <f aca="false">IF('Denial Worlds'!J369="PASS","PASS","FAIL")</f>
        <v>PASS</v>
      </c>
      <c r="F5641" s="9" t="s">
        <v>76</v>
      </c>
      <c r="G5641" s="6"/>
      <c r="H5641" s="6"/>
      <c r="I5641" s="6"/>
      <c r="J5641" s="6"/>
      <c r="K5641" s="6"/>
      <c r="L5641" s="6"/>
      <c r="M5641" s="6"/>
      <c r="N5641" s="6"/>
      <c r="O5641" s="6"/>
      <c r="P5641" s="6"/>
      <c r="Q5641" s="6"/>
      <c r="R5641" s="6"/>
      <c r="S5641" s="6"/>
      <c r="T5641" s="6"/>
      <c r="U5641" s="6"/>
      <c r="V5641" s="6"/>
      <c r="W5641" s="6"/>
      <c r="X5641" s="6"/>
      <c r="Y5641" s="6"/>
      <c r="Z5641" s="6"/>
    </row>
    <row r="5642" customFormat="false" ht="15" hidden="false" customHeight="false" outlineLevel="0" collapsed="false">
      <c r="A5642" s="9" t="s">
        <v>11850</v>
      </c>
      <c r="B5642" s="9" t="s">
        <v>11123</v>
      </c>
      <c r="C5642" s="9" t="s">
        <v>11851</v>
      </c>
      <c r="D5642" s="9" t="s">
        <v>11125</v>
      </c>
      <c r="E5642" s="9" t="str">
        <f aca="false">IF('Denial Worlds'!J370="PASS","PASS","FAIL")</f>
        <v>PASS</v>
      </c>
      <c r="F5642" s="9" t="s">
        <v>76</v>
      </c>
      <c r="G5642" s="6"/>
      <c r="H5642" s="6"/>
      <c r="I5642" s="6"/>
      <c r="J5642" s="6"/>
      <c r="K5642" s="6"/>
      <c r="L5642" s="6"/>
      <c r="M5642" s="6"/>
      <c r="N5642" s="6"/>
      <c r="O5642" s="6"/>
      <c r="P5642" s="6"/>
      <c r="Q5642" s="6"/>
      <c r="R5642" s="6"/>
      <c r="S5642" s="6"/>
      <c r="T5642" s="6"/>
      <c r="U5642" s="6"/>
      <c r="V5642" s="6"/>
      <c r="W5642" s="6"/>
      <c r="X5642" s="6"/>
      <c r="Y5642" s="6"/>
      <c r="Z5642" s="6"/>
    </row>
    <row r="5643" customFormat="false" ht="15" hidden="false" customHeight="false" outlineLevel="0" collapsed="false">
      <c r="A5643" s="9" t="s">
        <v>11852</v>
      </c>
      <c r="B5643" s="9" t="s">
        <v>11123</v>
      </c>
      <c r="C5643" s="9" t="s">
        <v>11853</v>
      </c>
      <c r="D5643" s="9" t="s">
        <v>11125</v>
      </c>
      <c r="E5643" s="9" t="str">
        <f aca="false">IF('Denial Worlds'!J371="PASS","PASS","FAIL")</f>
        <v>PASS</v>
      </c>
      <c r="F5643" s="9" t="s">
        <v>76</v>
      </c>
      <c r="G5643" s="6"/>
      <c r="H5643" s="6"/>
      <c r="I5643" s="6"/>
      <c r="J5643" s="6"/>
      <c r="K5643" s="6"/>
      <c r="L5643" s="6"/>
      <c r="M5643" s="6"/>
      <c r="N5643" s="6"/>
      <c r="O5643" s="6"/>
      <c r="P5643" s="6"/>
      <c r="Q5643" s="6"/>
      <c r="R5643" s="6"/>
      <c r="S5643" s="6"/>
      <c r="T5643" s="6"/>
      <c r="U5643" s="6"/>
      <c r="V5643" s="6"/>
      <c r="W5643" s="6"/>
      <c r="X5643" s="6"/>
      <c r="Y5643" s="6"/>
      <c r="Z5643" s="6"/>
    </row>
    <row r="5644" customFormat="false" ht="15" hidden="false" customHeight="false" outlineLevel="0" collapsed="false">
      <c r="A5644" s="9" t="s">
        <v>11854</v>
      </c>
      <c r="B5644" s="9" t="s">
        <v>11123</v>
      </c>
      <c r="C5644" s="9" t="s">
        <v>11855</v>
      </c>
      <c r="D5644" s="9" t="s">
        <v>11125</v>
      </c>
      <c r="E5644" s="9" t="str">
        <f aca="false">IF('Denial Worlds'!J372="PASS","PASS","FAIL")</f>
        <v>PASS</v>
      </c>
      <c r="F5644" s="9" t="s">
        <v>76</v>
      </c>
      <c r="G5644" s="6"/>
      <c r="H5644" s="6"/>
      <c r="I5644" s="6"/>
      <c r="J5644" s="6"/>
      <c r="K5644" s="6"/>
      <c r="L5644" s="6"/>
      <c r="M5644" s="6"/>
      <c r="N5644" s="6"/>
      <c r="O5644" s="6"/>
      <c r="P5644" s="6"/>
      <c r="Q5644" s="6"/>
      <c r="R5644" s="6"/>
      <c r="S5644" s="6"/>
      <c r="T5644" s="6"/>
      <c r="U5644" s="6"/>
      <c r="V5644" s="6"/>
      <c r="W5644" s="6"/>
      <c r="X5644" s="6"/>
      <c r="Y5644" s="6"/>
      <c r="Z5644" s="6"/>
    </row>
    <row r="5645" customFormat="false" ht="15" hidden="false" customHeight="false" outlineLevel="0" collapsed="false">
      <c r="A5645" s="9" t="s">
        <v>11856</v>
      </c>
      <c r="B5645" s="9" t="s">
        <v>11123</v>
      </c>
      <c r="C5645" s="9" t="s">
        <v>11857</v>
      </c>
      <c r="D5645" s="9" t="s">
        <v>11125</v>
      </c>
      <c r="E5645" s="9" t="str">
        <f aca="false">IF('Denial Worlds'!J373="PASS","PASS","FAIL")</f>
        <v>PASS</v>
      </c>
      <c r="F5645" s="9" t="s">
        <v>76</v>
      </c>
      <c r="G5645" s="6"/>
      <c r="H5645" s="6"/>
      <c r="I5645" s="6"/>
      <c r="J5645" s="6"/>
      <c r="K5645" s="6"/>
      <c r="L5645" s="6"/>
      <c r="M5645" s="6"/>
      <c r="N5645" s="6"/>
      <c r="O5645" s="6"/>
      <c r="P5645" s="6"/>
      <c r="Q5645" s="6"/>
      <c r="R5645" s="6"/>
      <c r="S5645" s="6"/>
      <c r="T5645" s="6"/>
      <c r="U5645" s="6"/>
      <c r="V5645" s="6"/>
      <c r="W5645" s="6"/>
      <c r="X5645" s="6"/>
      <c r="Y5645" s="6"/>
      <c r="Z5645" s="6"/>
    </row>
    <row r="5646" customFormat="false" ht="15" hidden="false" customHeight="false" outlineLevel="0" collapsed="false">
      <c r="A5646" s="9" t="s">
        <v>11858</v>
      </c>
      <c r="B5646" s="9" t="s">
        <v>11123</v>
      </c>
      <c r="C5646" s="9" t="s">
        <v>11859</v>
      </c>
      <c r="D5646" s="9" t="s">
        <v>11125</v>
      </c>
      <c r="E5646" s="9" t="str">
        <f aca="false">IF('Denial Worlds'!J374="PASS","PASS","FAIL")</f>
        <v>PASS</v>
      </c>
      <c r="F5646" s="9" t="s">
        <v>76</v>
      </c>
      <c r="G5646" s="6"/>
      <c r="H5646" s="6"/>
      <c r="I5646" s="6"/>
      <c r="J5646" s="6"/>
      <c r="K5646" s="6"/>
      <c r="L5646" s="6"/>
      <c r="M5646" s="6"/>
      <c r="N5646" s="6"/>
      <c r="O5646" s="6"/>
      <c r="P5646" s="6"/>
      <c r="Q5646" s="6"/>
      <c r="R5646" s="6"/>
      <c r="S5646" s="6"/>
      <c r="T5646" s="6"/>
      <c r="U5646" s="6"/>
      <c r="V5646" s="6"/>
      <c r="W5646" s="6"/>
      <c r="X5646" s="6"/>
      <c r="Y5646" s="6"/>
      <c r="Z5646" s="6"/>
    </row>
    <row r="5647" customFormat="false" ht="15" hidden="false" customHeight="false" outlineLevel="0" collapsed="false">
      <c r="A5647" s="9" t="s">
        <v>11860</v>
      </c>
      <c r="B5647" s="9" t="s">
        <v>11123</v>
      </c>
      <c r="C5647" s="9" t="s">
        <v>11861</v>
      </c>
      <c r="D5647" s="9" t="s">
        <v>11125</v>
      </c>
      <c r="E5647" s="9" t="str">
        <f aca="false">IF('Denial Worlds'!J375="PASS","PASS","FAIL")</f>
        <v>PASS</v>
      </c>
      <c r="F5647" s="9" t="s">
        <v>76</v>
      </c>
      <c r="G5647" s="6"/>
      <c r="H5647" s="6"/>
      <c r="I5647" s="6"/>
      <c r="J5647" s="6"/>
      <c r="K5647" s="6"/>
      <c r="L5647" s="6"/>
      <c r="M5647" s="6"/>
      <c r="N5647" s="6"/>
      <c r="O5647" s="6"/>
      <c r="P5647" s="6"/>
      <c r="Q5647" s="6"/>
      <c r="R5647" s="6"/>
      <c r="S5647" s="6"/>
      <c r="T5647" s="6"/>
      <c r="U5647" s="6"/>
      <c r="V5647" s="6"/>
      <c r="W5647" s="6"/>
      <c r="X5647" s="6"/>
      <c r="Y5647" s="6"/>
      <c r="Z5647" s="6"/>
    </row>
    <row r="5648" customFormat="false" ht="15" hidden="false" customHeight="false" outlineLevel="0" collapsed="false">
      <c r="A5648" s="9" t="s">
        <v>11862</v>
      </c>
      <c r="B5648" s="9" t="s">
        <v>11123</v>
      </c>
      <c r="C5648" s="9" t="s">
        <v>11863</v>
      </c>
      <c r="D5648" s="9" t="s">
        <v>11125</v>
      </c>
      <c r="E5648" s="9" t="str">
        <f aca="false">IF('Denial Worlds'!J376="PASS","PASS","FAIL")</f>
        <v>PASS</v>
      </c>
      <c r="F5648" s="9" t="s">
        <v>76</v>
      </c>
      <c r="G5648" s="6"/>
      <c r="H5648" s="6"/>
      <c r="I5648" s="6"/>
      <c r="J5648" s="6"/>
      <c r="K5648" s="6"/>
      <c r="L5648" s="6"/>
      <c r="M5648" s="6"/>
      <c r="N5648" s="6"/>
      <c r="O5648" s="6"/>
      <c r="P5648" s="6"/>
      <c r="Q5648" s="6"/>
      <c r="R5648" s="6"/>
      <c r="S5648" s="6"/>
      <c r="T5648" s="6"/>
      <c r="U5648" s="6"/>
      <c r="V5648" s="6"/>
      <c r="W5648" s="6"/>
      <c r="X5648" s="6"/>
      <c r="Y5648" s="6"/>
      <c r="Z5648" s="6"/>
    </row>
    <row r="5649" customFormat="false" ht="15" hidden="false" customHeight="false" outlineLevel="0" collapsed="false">
      <c r="A5649" s="9" t="s">
        <v>11864</v>
      </c>
      <c r="B5649" s="9" t="s">
        <v>11123</v>
      </c>
      <c r="C5649" s="9" t="s">
        <v>11865</v>
      </c>
      <c r="D5649" s="9" t="s">
        <v>11125</v>
      </c>
      <c r="E5649" s="9" t="str">
        <f aca="false">IF('Denial Worlds'!J377="PASS","PASS","FAIL")</f>
        <v>PASS</v>
      </c>
      <c r="F5649" s="9" t="s">
        <v>76</v>
      </c>
      <c r="G5649" s="6"/>
      <c r="H5649" s="6"/>
      <c r="I5649" s="6"/>
      <c r="J5649" s="6"/>
      <c r="K5649" s="6"/>
      <c r="L5649" s="6"/>
      <c r="M5649" s="6"/>
      <c r="N5649" s="6"/>
      <c r="O5649" s="6"/>
      <c r="P5649" s="6"/>
      <c r="Q5649" s="6"/>
      <c r="R5649" s="6"/>
      <c r="S5649" s="6"/>
      <c r="T5649" s="6"/>
      <c r="U5649" s="6"/>
      <c r="V5649" s="6"/>
      <c r="W5649" s="6"/>
      <c r="X5649" s="6"/>
      <c r="Y5649" s="6"/>
      <c r="Z5649" s="6"/>
    </row>
    <row r="5650" customFormat="false" ht="15" hidden="false" customHeight="false" outlineLevel="0" collapsed="false">
      <c r="A5650" s="9" t="s">
        <v>11866</v>
      </c>
      <c r="B5650" s="9" t="s">
        <v>11123</v>
      </c>
      <c r="C5650" s="9" t="s">
        <v>11867</v>
      </c>
      <c r="D5650" s="9" t="s">
        <v>11125</v>
      </c>
      <c r="E5650" s="9" t="str">
        <f aca="false">IF('Denial Worlds'!J378="PASS","PASS","FAIL")</f>
        <v>PASS</v>
      </c>
      <c r="F5650" s="9" t="s">
        <v>76</v>
      </c>
      <c r="G5650" s="6"/>
      <c r="H5650" s="6"/>
      <c r="I5650" s="6"/>
      <c r="J5650" s="6"/>
      <c r="K5650" s="6"/>
      <c r="L5650" s="6"/>
      <c r="M5650" s="6"/>
      <c r="N5650" s="6"/>
      <c r="O5650" s="6"/>
      <c r="P5650" s="6"/>
      <c r="Q5650" s="6"/>
      <c r="R5650" s="6"/>
      <c r="S5650" s="6"/>
      <c r="T5650" s="6"/>
      <c r="U5650" s="6"/>
      <c r="V5650" s="6"/>
      <c r="W5650" s="6"/>
      <c r="X5650" s="6"/>
      <c r="Y5650" s="6"/>
      <c r="Z5650" s="6"/>
    </row>
    <row r="5651" customFormat="false" ht="15" hidden="false" customHeight="false" outlineLevel="0" collapsed="false">
      <c r="A5651" s="9" t="s">
        <v>11868</v>
      </c>
      <c r="B5651" s="9" t="s">
        <v>11123</v>
      </c>
      <c r="C5651" s="9" t="s">
        <v>11869</v>
      </c>
      <c r="D5651" s="9" t="s">
        <v>11125</v>
      </c>
      <c r="E5651" s="9" t="str">
        <f aca="false">IF('Denial Worlds'!J379="PASS","PASS","FAIL")</f>
        <v>PASS</v>
      </c>
      <c r="F5651" s="9" t="s">
        <v>76</v>
      </c>
      <c r="G5651" s="6"/>
      <c r="H5651" s="6"/>
      <c r="I5651" s="6"/>
      <c r="J5651" s="6"/>
      <c r="K5651" s="6"/>
      <c r="L5651" s="6"/>
      <c r="M5651" s="6"/>
      <c r="N5651" s="6"/>
      <c r="O5651" s="6"/>
      <c r="P5651" s="6"/>
      <c r="Q5651" s="6"/>
      <c r="R5651" s="6"/>
      <c r="S5651" s="6"/>
      <c r="T5651" s="6"/>
      <c r="U5651" s="6"/>
      <c r="V5651" s="6"/>
      <c r="W5651" s="6"/>
      <c r="X5651" s="6"/>
      <c r="Y5651" s="6"/>
      <c r="Z5651" s="6"/>
    </row>
    <row r="5652" customFormat="false" ht="15" hidden="false" customHeight="false" outlineLevel="0" collapsed="false">
      <c r="A5652" s="9" t="s">
        <v>11870</v>
      </c>
      <c r="B5652" s="9" t="s">
        <v>11123</v>
      </c>
      <c r="C5652" s="9" t="s">
        <v>11871</v>
      </c>
      <c r="D5652" s="9" t="s">
        <v>11125</v>
      </c>
      <c r="E5652" s="9" t="str">
        <f aca="false">IF('Denial Worlds'!J380="PASS","PASS","FAIL")</f>
        <v>PASS</v>
      </c>
      <c r="F5652" s="9" t="s">
        <v>76</v>
      </c>
      <c r="G5652" s="6"/>
      <c r="H5652" s="6"/>
      <c r="I5652" s="6"/>
      <c r="J5652" s="6"/>
      <c r="K5652" s="6"/>
      <c r="L5652" s="6"/>
      <c r="M5652" s="6"/>
      <c r="N5652" s="6"/>
      <c r="O5652" s="6"/>
      <c r="P5652" s="6"/>
      <c r="Q5652" s="6"/>
      <c r="R5652" s="6"/>
      <c r="S5652" s="6"/>
      <c r="T5652" s="6"/>
      <c r="U5652" s="6"/>
      <c r="V5652" s="6"/>
      <c r="W5652" s="6"/>
      <c r="X5652" s="6"/>
      <c r="Y5652" s="6"/>
      <c r="Z5652" s="6"/>
    </row>
    <row r="5653" customFormat="false" ht="15" hidden="false" customHeight="false" outlineLevel="0" collapsed="false">
      <c r="A5653" s="9" t="s">
        <v>11872</v>
      </c>
      <c r="B5653" s="9" t="s">
        <v>11123</v>
      </c>
      <c r="C5653" s="9" t="s">
        <v>11873</v>
      </c>
      <c r="D5653" s="9" t="s">
        <v>11125</v>
      </c>
      <c r="E5653" s="9" t="str">
        <f aca="false">IF('Denial Worlds'!J381="PASS","PASS","FAIL")</f>
        <v>PASS</v>
      </c>
      <c r="F5653" s="9" t="s">
        <v>76</v>
      </c>
      <c r="G5653" s="6"/>
      <c r="H5653" s="6"/>
      <c r="I5653" s="6"/>
      <c r="J5653" s="6"/>
      <c r="K5653" s="6"/>
      <c r="L5653" s="6"/>
      <c r="M5653" s="6"/>
      <c r="N5653" s="6"/>
      <c r="O5653" s="6"/>
      <c r="P5653" s="6"/>
      <c r="Q5653" s="6"/>
      <c r="R5653" s="6"/>
      <c r="S5653" s="6"/>
      <c r="T5653" s="6"/>
      <c r="U5653" s="6"/>
      <c r="V5653" s="6"/>
      <c r="W5653" s="6"/>
      <c r="X5653" s="6"/>
      <c r="Y5653" s="6"/>
      <c r="Z5653" s="6"/>
    </row>
    <row r="5654" customFormat="false" ht="15" hidden="false" customHeight="false" outlineLevel="0" collapsed="false">
      <c r="A5654" s="9" t="s">
        <v>11874</v>
      </c>
      <c r="B5654" s="9" t="s">
        <v>11123</v>
      </c>
      <c r="C5654" s="9" t="s">
        <v>11875</v>
      </c>
      <c r="D5654" s="9" t="s">
        <v>11125</v>
      </c>
      <c r="E5654" s="9" t="str">
        <f aca="false">IF('Denial Worlds'!J382="PASS","PASS","FAIL")</f>
        <v>PASS</v>
      </c>
      <c r="F5654" s="9" t="s">
        <v>76</v>
      </c>
      <c r="G5654" s="6"/>
      <c r="H5654" s="6"/>
      <c r="I5654" s="6"/>
      <c r="J5654" s="6"/>
      <c r="K5654" s="6"/>
      <c r="L5654" s="6"/>
      <c r="M5654" s="6"/>
      <c r="N5654" s="6"/>
      <c r="O5654" s="6"/>
      <c r="P5654" s="6"/>
      <c r="Q5654" s="6"/>
      <c r="R5654" s="6"/>
      <c r="S5654" s="6"/>
      <c r="T5654" s="6"/>
      <c r="U5654" s="6"/>
      <c r="V5654" s="6"/>
      <c r="W5654" s="6"/>
      <c r="X5654" s="6"/>
      <c r="Y5654" s="6"/>
      <c r="Z5654" s="6"/>
    </row>
    <row r="5655" customFormat="false" ht="15" hidden="false" customHeight="false" outlineLevel="0" collapsed="false">
      <c r="A5655" s="9" t="s">
        <v>11876</v>
      </c>
      <c r="B5655" s="9" t="s">
        <v>11123</v>
      </c>
      <c r="C5655" s="9" t="s">
        <v>11877</v>
      </c>
      <c r="D5655" s="9" t="s">
        <v>11125</v>
      </c>
      <c r="E5655" s="9" t="str">
        <f aca="false">IF('Denial Worlds'!J383="PASS","PASS","FAIL")</f>
        <v>PASS</v>
      </c>
      <c r="F5655" s="9" t="s">
        <v>76</v>
      </c>
      <c r="G5655" s="6"/>
      <c r="H5655" s="6"/>
      <c r="I5655" s="6"/>
      <c r="J5655" s="6"/>
      <c r="K5655" s="6"/>
      <c r="L5655" s="6"/>
      <c r="M5655" s="6"/>
      <c r="N5655" s="6"/>
      <c r="O5655" s="6"/>
      <c r="P5655" s="6"/>
      <c r="Q5655" s="6"/>
      <c r="R5655" s="6"/>
      <c r="S5655" s="6"/>
      <c r="T5655" s="6"/>
      <c r="U5655" s="6"/>
      <c r="V5655" s="6"/>
      <c r="W5655" s="6"/>
      <c r="X5655" s="6"/>
      <c r="Y5655" s="6"/>
      <c r="Z5655" s="6"/>
    </row>
    <row r="5656" customFormat="false" ht="15" hidden="false" customHeight="false" outlineLevel="0" collapsed="false">
      <c r="A5656" s="9" t="s">
        <v>11878</v>
      </c>
      <c r="B5656" s="9" t="s">
        <v>11123</v>
      </c>
      <c r="C5656" s="9" t="s">
        <v>11879</v>
      </c>
      <c r="D5656" s="9" t="s">
        <v>11125</v>
      </c>
      <c r="E5656" s="9" t="str">
        <f aca="false">IF('Denial Worlds'!J384="PASS","PASS","FAIL")</f>
        <v>PASS</v>
      </c>
      <c r="F5656" s="9" t="s">
        <v>76</v>
      </c>
      <c r="G5656" s="6"/>
      <c r="H5656" s="6"/>
      <c r="I5656" s="6"/>
      <c r="J5656" s="6"/>
      <c r="K5656" s="6"/>
      <c r="L5656" s="6"/>
      <c r="M5656" s="6"/>
      <c r="N5656" s="6"/>
      <c r="O5656" s="6"/>
      <c r="P5656" s="6"/>
      <c r="Q5656" s="6"/>
      <c r="R5656" s="6"/>
      <c r="S5656" s="6"/>
      <c r="T5656" s="6"/>
      <c r="U5656" s="6"/>
      <c r="V5656" s="6"/>
      <c r="W5656" s="6"/>
      <c r="X5656" s="6"/>
      <c r="Y5656" s="6"/>
      <c r="Z5656" s="6"/>
    </row>
    <row r="5657" customFormat="false" ht="15" hidden="false" customHeight="false" outlineLevel="0" collapsed="false">
      <c r="A5657" s="9" t="s">
        <v>11880</v>
      </c>
      <c r="B5657" s="9" t="s">
        <v>11123</v>
      </c>
      <c r="C5657" s="9" t="s">
        <v>11881</v>
      </c>
      <c r="D5657" s="9" t="s">
        <v>11125</v>
      </c>
      <c r="E5657" s="9" t="str">
        <f aca="false">IF('Denial Worlds'!J385="PASS","PASS","FAIL")</f>
        <v>PASS</v>
      </c>
      <c r="F5657" s="9" t="s">
        <v>76</v>
      </c>
      <c r="G5657" s="6"/>
      <c r="H5657" s="6"/>
      <c r="I5657" s="6"/>
      <c r="J5657" s="6"/>
      <c r="K5657" s="6"/>
      <c r="L5657" s="6"/>
      <c r="M5657" s="6"/>
      <c r="N5657" s="6"/>
      <c r="O5657" s="6"/>
      <c r="P5657" s="6"/>
      <c r="Q5657" s="6"/>
      <c r="R5657" s="6"/>
      <c r="S5657" s="6"/>
      <c r="T5657" s="6"/>
      <c r="U5657" s="6"/>
      <c r="V5657" s="6"/>
      <c r="W5657" s="6"/>
      <c r="X5657" s="6"/>
      <c r="Y5657" s="6"/>
      <c r="Z5657" s="6"/>
    </row>
    <row r="5658" customFormat="false" ht="15" hidden="false" customHeight="false" outlineLevel="0" collapsed="false">
      <c r="A5658" s="9" t="s">
        <v>11882</v>
      </c>
      <c r="B5658" s="9" t="s">
        <v>11123</v>
      </c>
      <c r="C5658" s="9" t="s">
        <v>11883</v>
      </c>
      <c r="D5658" s="9" t="s">
        <v>11125</v>
      </c>
      <c r="E5658" s="9" t="str">
        <f aca="false">IF('Denial Worlds'!J386="PASS","PASS","FAIL")</f>
        <v>PASS</v>
      </c>
      <c r="F5658" s="9" t="s">
        <v>76</v>
      </c>
      <c r="G5658" s="6"/>
      <c r="H5658" s="6"/>
      <c r="I5658" s="6"/>
      <c r="J5658" s="6"/>
      <c r="K5658" s="6"/>
      <c r="L5658" s="6"/>
      <c r="M5658" s="6"/>
      <c r="N5658" s="6"/>
      <c r="O5658" s="6"/>
      <c r="P5658" s="6"/>
      <c r="Q5658" s="6"/>
      <c r="R5658" s="6"/>
      <c r="S5658" s="6"/>
      <c r="T5658" s="6"/>
      <c r="U5658" s="6"/>
      <c r="V5658" s="6"/>
      <c r="W5658" s="6"/>
      <c r="X5658" s="6"/>
      <c r="Y5658" s="6"/>
      <c r="Z5658" s="6"/>
    </row>
    <row r="5659" customFormat="false" ht="15" hidden="false" customHeight="false" outlineLevel="0" collapsed="false">
      <c r="A5659" s="9" t="s">
        <v>11884</v>
      </c>
      <c r="B5659" s="9" t="s">
        <v>11123</v>
      </c>
      <c r="C5659" s="9" t="s">
        <v>11885</v>
      </c>
      <c r="D5659" s="9" t="s">
        <v>11125</v>
      </c>
      <c r="E5659" s="9" t="str">
        <f aca="false">IF('Denial Worlds'!J387="PASS","PASS","FAIL")</f>
        <v>PASS</v>
      </c>
      <c r="F5659" s="9" t="s">
        <v>76</v>
      </c>
      <c r="G5659" s="6"/>
      <c r="H5659" s="6"/>
      <c r="I5659" s="6"/>
      <c r="J5659" s="6"/>
      <c r="K5659" s="6"/>
      <c r="L5659" s="6"/>
      <c r="M5659" s="6"/>
      <c r="N5659" s="6"/>
      <c r="O5659" s="6"/>
      <c r="P5659" s="6"/>
      <c r="Q5659" s="6"/>
      <c r="R5659" s="6"/>
      <c r="S5659" s="6"/>
      <c r="T5659" s="6"/>
      <c r="U5659" s="6"/>
      <c r="V5659" s="6"/>
      <c r="W5659" s="6"/>
      <c r="X5659" s="6"/>
      <c r="Y5659" s="6"/>
      <c r="Z5659" s="6"/>
    </row>
    <row r="5660" customFormat="false" ht="15" hidden="false" customHeight="false" outlineLevel="0" collapsed="false">
      <c r="A5660" s="9" t="s">
        <v>11886</v>
      </c>
      <c r="B5660" s="9" t="s">
        <v>11123</v>
      </c>
      <c r="C5660" s="9" t="s">
        <v>11887</v>
      </c>
      <c r="D5660" s="9" t="s">
        <v>11125</v>
      </c>
      <c r="E5660" s="9" t="str">
        <f aca="false">IF('Denial Worlds'!J388="PASS","PASS","FAIL")</f>
        <v>PASS</v>
      </c>
      <c r="F5660" s="9" t="s">
        <v>76</v>
      </c>
      <c r="G5660" s="6"/>
      <c r="H5660" s="6"/>
      <c r="I5660" s="6"/>
      <c r="J5660" s="6"/>
      <c r="K5660" s="6"/>
      <c r="L5660" s="6"/>
      <c r="M5660" s="6"/>
      <c r="N5660" s="6"/>
      <c r="O5660" s="6"/>
      <c r="P5660" s="6"/>
      <c r="Q5660" s="6"/>
      <c r="R5660" s="6"/>
      <c r="S5660" s="6"/>
      <c r="T5660" s="6"/>
      <c r="U5660" s="6"/>
      <c r="V5660" s="6"/>
      <c r="W5660" s="6"/>
      <c r="X5660" s="6"/>
      <c r="Y5660" s="6"/>
      <c r="Z5660" s="6"/>
    </row>
    <row r="5661" customFormat="false" ht="15" hidden="false" customHeight="false" outlineLevel="0" collapsed="false">
      <c r="A5661" s="9" t="s">
        <v>11888</v>
      </c>
      <c r="B5661" s="9" t="s">
        <v>11123</v>
      </c>
      <c r="C5661" s="9" t="s">
        <v>11889</v>
      </c>
      <c r="D5661" s="9" t="s">
        <v>11125</v>
      </c>
      <c r="E5661" s="9" t="str">
        <f aca="false">IF('Denial Worlds'!J389="PASS","PASS","FAIL")</f>
        <v>PASS</v>
      </c>
      <c r="F5661" s="9" t="s">
        <v>76</v>
      </c>
      <c r="G5661" s="6"/>
      <c r="H5661" s="6"/>
      <c r="I5661" s="6"/>
      <c r="J5661" s="6"/>
      <c r="K5661" s="6"/>
      <c r="L5661" s="6"/>
      <c r="M5661" s="6"/>
      <c r="N5661" s="6"/>
      <c r="O5661" s="6"/>
      <c r="P5661" s="6"/>
      <c r="Q5661" s="6"/>
      <c r="R5661" s="6"/>
      <c r="S5661" s="6"/>
      <c r="T5661" s="6"/>
      <c r="U5661" s="6"/>
      <c r="V5661" s="6"/>
      <c r="W5661" s="6"/>
      <c r="X5661" s="6"/>
      <c r="Y5661" s="6"/>
      <c r="Z5661" s="6"/>
    </row>
    <row r="5662" customFormat="false" ht="15" hidden="false" customHeight="false" outlineLevel="0" collapsed="false">
      <c r="A5662" s="9" t="s">
        <v>11890</v>
      </c>
      <c r="B5662" s="9" t="s">
        <v>11123</v>
      </c>
      <c r="C5662" s="9" t="s">
        <v>11891</v>
      </c>
      <c r="D5662" s="9" t="s">
        <v>11125</v>
      </c>
      <c r="E5662" s="9" t="str">
        <f aca="false">IF('Denial Worlds'!J390="PASS","PASS","FAIL")</f>
        <v>PASS</v>
      </c>
      <c r="F5662" s="9" t="s">
        <v>76</v>
      </c>
      <c r="G5662" s="6"/>
      <c r="H5662" s="6"/>
      <c r="I5662" s="6"/>
      <c r="J5662" s="6"/>
      <c r="K5662" s="6"/>
      <c r="L5662" s="6"/>
      <c r="M5662" s="6"/>
      <c r="N5662" s="6"/>
      <c r="O5662" s="6"/>
      <c r="P5662" s="6"/>
      <c r="Q5662" s="6"/>
      <c r="R5662" s="6"/>
      <c r="S5662" s="6"/>
      <c r="T5662" s="6"/>
      <c r="U5662" s="6"/>
      <c r="V5662" s="6"/>
      <c r="W5662" s="6"/>
      <c r="X5662" s="6"/>
      <c r="Y5662" s="6"/>
      <c r="Z5662" s="6"/>
    </row>
    <row r="5663" customFormat="false" ht="15" hidden="false" customHeight="false" outlineLevel="0" collapsed="false">
      <c r="A5663" s="9" t="s">
        <v>11892</v>
      </c>
      <c r="B5663" s="9" t="s">
        <v>181</v>
      </c>
      <c r="C5663" s="9" t="s">
        <v>193</v>
      </c>
      <c r="D5663" s="9" t="s">
        <v>11893</v>
      </c>
      <c r="E5663" s="9" t="str">
        <f aca="false">IF(COUNTIF('Formation Ledger'!$B$7:$B$5257,'Family Readiness'!A7)='Family Readiness'!G7,"PASS","FAIL")</f>
        <v>PASS</v>
      </c>
      <c r="F5663" s="9" t="s">
        <v>76</v>
      </c>
      <c r="G5663" s="6"/>
      <c r="H5663" s="6"/>
      <c r="I5663" s="6"/>
      <c r="J5663" s="6"/>
      <c r="K5663" s="6"/>
      <c r="L5663" s="6"/>
      <c r="M5663" s="6"/>
      <c r="N5663" s="6"/>
      <c r="O5663" s="6"/>
      <c r="P5663" s="6"/>
      <c r="Q5663" s="6"/>
      <c r="R5663" s="6"/>
      <c r="S5663" s="6"/>
      <c r="T5663" s="6"/>
      <c r="U5663" s="6"/>
      <c r="V5663" s="6"/>
      <c r="W5663" s="6"/>
      <c r="X5663" s="6"/>
      <c r="Y5663" s="6"/>
      <c r="Z5663" s="6"/>
    </row>
    <row r="5664" customFormat="false" ht="15" hidden="false" customHeight="false" outlineLevel="0" collapsed="false">
      <c r="A5664" s="9" t="s">
        <v>11894</v>
      </c>
      <c r="B5664" s="9" t="s">
        <v>181</v>
      </c>
      <c r="C5664" s="9" t="s">
        <v>273</v>
      </c>
      <c r="D5664" s="9" t="s">
        <v>11893</v>
      </c>
      <c r="E5664" s="9" t="str">
        <f aca="false">IF(COUNTIF('Formation Ledger'!$B$7:$B$5257,'Family Readiness'!A8)='Family Readiness'!G8,"PASS","FAIL")</f>
        <v>PASS</v>
      </c>
      <c r="F5664" s="9" t="s">
        <v>76</v>
      </c>
      <c r="G5664" s="6"/>
      <c r="H5664" s="6"/>
      <c r="I5664" s="6"/>
      <c r="J5664" s="6"/>
      <c r="K5664" s="6"/>
      <c r="L5664" s="6"/>
      <c r="M5664" s="6"/>
      <c r="N5664" s="6"/>
      <c r="O5664" s="6"/>
      <c r="P5664" s="6"/>
      <c r="Q5664" s="6"/>
      <c r="R5664" s="6"/>
      <c r="S5664" s="6"/>
      <c r="T5664" s="6"/>
      <c r="U5664" s="6"/>
      <c r="V5664" s="6"/>
      <c r="W5664" s="6"/>
      <c r="X5664" s="6"/>
      <c r="Y5664" s="6"/>
      <c r="Z5664" s="6"/>
    </row>
    <row r="5665" customFormat="false" ht="15" hidden="false" customHeight="false" outlineLevel="0" collapsed="false">
      <c r="A5665" s="9" t="s">
        <v>11895</v>
      </c>
      <c r="B5665" s="9" t="s">
        <v>181</v>
      </c>
      <c r="C5665" s="9" t="s">
        <v>321</v>
      </c>
      <c r="D5665" s="9" t="s">
        <v>11893</v>
      </c>
      <c r="E5665" s="9" t="str">
        <f aca="false">IF(COUNTIF('Formation Ledger'!$B$7:$B$5257,'Family Readiness'!A9)='Family Readiness'!G9,"PASS","FAIL")</f>
        <v>PASS</v>
      </c>
      <c r="F5665" s="9" t="s">
        <v>76</v>
      </c>
      <c r="G5665" s="6"/>
      <c r="H5665" s="6"/>
      <c r="I5665" s="6"/>
      <c r="J5665" s="6"/>
      <c r="K5665" s="6"/>
      <c r="L5665" s="6"/>
      <c r="M5665" s="6"/>
      <c r="N5665" s="6"/>
      <c r="O5665" s="6"/>
      <c r="P5665" s="6"/>
      <c r="Q5665" s="6"/>
      <c r="R5665" s="6"/>
      <c r="S5665" s="6"/>
      <c r="T5665" s="6"/>
      <c r="U5665" s="6"/>
      <c r="V5665" s="6"/>
      <c r="W5665" s="6"/>
      <c r="X5665" s="6"/>
      <c r="Y5665" s="6"/>
      <c r="Z5665" s="6"/>
    </row>
    <row r="5666" customFormat="false" ht="15" hidden="false" customHeight="false" outlineLevel="0" collapsed="false">
      <c r="A5666" s="9" t="s">
        <v>11896</v>
      </c>
      <c r="B5666" s="9" t="s">
        <v>181</v>
      </c>
      <c r="C5666" s="9" t="s">
        <v>388</v>
      </c>
      <c r="D5666" s="9" t="s">
        <v>11893</v>
      </c>
      <c r="E5666" s="9" t="str">
        <f aca="false">IF(COUNTIF('Formation Ledger'!$B$7:$B$5257,'Family Readiness'!A10)='Family Readiness'!G10,"PASS","FAIL")</f>
        <v>PASS</v>
      </c>
      <c r="F5666" s="9" t="s">
        <v>76</v>
      </c>
      <c r="G5666" s="6"/>
      <c r="H5666" s="6"/>
      <c r="I5666" s="6"/>
      <c r="J5666" s="6"/>
      <c r="K5666" s="6"/>
      <c r="L5666" s="6"/>
      <c r="M5666" s="6"/>
      <c r="N5666" s="6"/>
      <c r="O5666" s="6"/>
      <c r="P5666" s="6"/>
      <c r="Q5666" s="6"/>
      <c r="R5666" s="6"/>
      <c r="S5666" s="6"/>
      <c r="T5666" s="6"/>
      <c r="U5666" s="6"/>
      <c r="V5666" s="6"/>
      <c r="W5666" s="6"/>
      <c r="X5666" s="6"/>
      <c r="Y5666" s="6"/>
      <c r="Z5666" s="6"/>
    </row>
    <row r="5667" customFormat="false" ht="15" hidden="false" customHeight="false" outlineLevel="0" collapsed="false">
      <c r="A5667" s="9" t="s">
        <v>11897</v>
      </c>
      <c r="B5667" s="9" t="s">
        <v>181</v>
      </c>
      <c r="C5667" s="9" t="s">
        <v>504</v>
      </c>
      <c r="D5667" s="9" t="s">
        <v>11893</v>
      </c>
      <c r="E5667" s="9" t="str">
        <f aca="false">IF(COUNTIF('Formation Ledger'!$B$7:$B$5257,'Family Readiness'!A11)='Family Readiness'!G11,"PASS","FAIL")</f>
        <v>PASS</v>
      </c>
      <c r="F5667" s="9" t="s">
        <v>76</v>
      </c>
      <c r="G5667" s="6"/>
      <c r="H5667" s="6"/>
      <c r="I5667" s="6"/>
      <c r="J5667" s="6"/>
      <c r="K5667" s="6"/>
      <c r="L5667" s="6"/>
      <c r="M5667" s="6"/>
      <c r="N5667" s="6"/>
      <c r="O5667" s="6"/>
      <c r="P5667" s="6"/>
      <c r="Q5667" s="6"/>
      <c r="R5667" s="6"/>
      <c r="S5667" s="6"/>
      <c r="T5667" s="6"/>
      <c r="U5667" s="6"/>
      <c r="V5667" s="6"/>
      <c r="W5667" s="6"/>
      <c r="X5667" s="6"/>
      <c r="Y5667" s="6"/>
      <c r="Z5667" s="6"/>
    </row>
    <row r="5668" customFormat="false" ht="15" hidden="false" customHeight="false" outlineLevel="0" collapsed="false">
      <c r="A5668" s="9" t="s">
        <v>11898</v>
      </c>
      <c r="B5668" s="9" t="s">
        <v>181</v>
      </c>
      <c r="C5668" s="9" t="s">
        <v>570</v>
      </c>
      <c r="D5668" s="9" t="s">
        <v>11893</v>
      </c>
      <c r="E5668" s="9" t="str">
        <f aca="false">IF(COUNTIF('Formation Ledger'!$B$7:$B$5257,'Family Readiness'!A12)='Family Readiness'!G12,"PASS","FAIL")</f>
        <v>PASS</v>
      </c>
      <c r="F5668" s="9" t="s">
        <v>76</v>
      </c>
      <c r="G5668" s="6"/>
      <c r="H5668" s="6"/>
      <c r="I5668" s="6"/>
      <c r="J5668" s="6"/>
      <c r="K5668" s="6"/>
      <c r="L5668" s="6"/>
      <c r="M5668" s="6"/>
      <c r="N5668" s="6"/>
      <c r="O5668" s="6"/>
      <c r="P5668" s="6"/>
      <c r="Q5668" s="6"/>
      <c r="R5668" s="6"/>
      <c r="S5668" s="6"/>
      <c r="T5668" s="6"/>
      <c r="U5668" s="6"/>
      <c r="V5668" s="6"/>
      <c r="W5668" s="6"/>
      <c r="X5668" s="6"/>
      <c r="Y5668" s="6"/>
      <c r="Z5668" s="6"/>
    </row>
    <row r="5669" customFormat="false" ht="15" hidden="false" customHeight="false" outlineLevel="0" collapsed="false">
      <c r="A5669" s="9" t="s">
        <v>11899</v>
      </c>
      <c r="B5669" s="9" t="s">
        <v>181</v>
      </c>
      <c r="C5669" s="9" t="s">
        <v>617</v>
      </c>
      <c r="D5669" s="9" t="s">
        <v>11893</v>
      </c>
      <c r="E5669" s="9" t="str">
        <f aca="false">IF(COUNTIF('Formation Ledger'!$B$7:$B$5257,'Family Readiness'!A13)='Family Readiness'!G13,"PASS","FAIL")</f>
        <v>PASS</v>
      </c>
      <c r="F5669" s="9" t="s">
        <v>76</v>
      </c>
      <c r="G5669" s="6"/>
      <c r="H5669" s="6"/>
      <c r="I5669" s="6"/>
      <c r="J5669" s="6"/>
      <c r="K5669" s="6"/>
      <c r="L5669" s="6"/>
      <c r="M5669" s="6"/>
      <c r="N5669" s="6"/>
      <c r="O5669" s="6"/>
      <c r="P5669" s="6"/>
      <c r="Q5669" s="6"/>
      <c r="R5669" s="6"/>
      <c r="S5669" s="6"/>
      <c r="T5669" s="6"/>
      <c r="U5669" s="6"/>
      <c r="V5669" s="6"/>
      <c r="W5669" s="6"/>
      <c r="X5669" s="6"/>
      <c r="Y5669" s="6"/>
      <c r="Z5669" s="6"/>
    </row>
    <row r="5670" customFormat="false" ht="15" hidden="false" customHeight="false" outlineLevel="0" collapsed="false">
      <c r="A5670" s="9" t="s">
        <v>11900</v>
      </c>
      <c r="B5670" s="9" t="s">
        <v>181</v>
      </c>
      <c r="C5670" s="9" t="s">
        <v>771</v>
      </c>
      <c r="D5670" s="9" t="s">
        <v>11893</v>
      </c>
      <c r="E5670" s="9" t="str">
        <f aca="false">IF(COUNTIF('Formation Ledger'!$B$7:$B$5257,'Family Readiness'!A14)='Family Readiness'!G14,"PASS","FAIL")</f>
        <v>PASS</v>
      </c>
      <c r="F5670" s="9" t="s">
        <v>76</v>
      </c>
      <c r="G5670" s="6"/>
      <c r="H5670" s="6"/>
      <c r="I5670" s="6"/>
      <c r="J5670" s="6"/>
      <c r="K5670" s="6"/>
      <c r="L5670" s="6"/>
      <c r="M5670" s="6"/>
      <c r="N5670" s="6"/>
      <c r="O5670" s="6"/>
      <c r="P5670" s="6"/>
      <c r="Q5670" s="6"/>
      <c r="R5670" s="6"/>
      <c r="S5670" s="6"/>
      <c r="T5670" s="6"/>
      <c r="U5670" s="6"/>
      <c r="V5670" s="6"/>
      <c r="W5670" s="6"/>
      <c r="X5670" s="6"/>
      <c r="Y5670" s="6"/>
      <c r="Z5670" s="6"/>
    </row>
    <row r="5671" customFormat="false" ht="15" hidden="false" customHeight="false" outlineLevel="0" collapsed="false">
      <c r="A5671" s="9" t="s">
        <v>11901</v>
      </c>
      <c r="B5671" s="9" t="s">
        <v>181</v>
      </c>
      <c r="C5671" s="9" t="s">
        <v>882</v>
      </c>
      <c r="D5671" s="9" t="s">
        <v>11893</v>
      </c>
      <c r="E5671" s="9" t="str">
        <f aca="false">IF(COUNTIF('Formation Ledger'!$B$7:$B$5257,'Family Readiness'!A15)='Family Readiness'!G15,"PASS","FAIL")</f>
        <v>PASS</v>
      </c>
      <c r="F5671" s="9" t="s">
        <v>76</v>
      </c>
      <c r="G5671" s="6"/>
      <c r="H5671" s="6"/>
      <c r="I5671" s="6"/>
      <c r="J5671" s="6"/>
      <c r="K5671" s="6"/>
      <c r="L5671" s="6"/>
      <c r="M5671" s="6"/>
      <c r="N5671" s="6"/>
      <c r="O5671" s="6"/>
      <c r="P5671" s="6"/>
      <c r="Q5671" s="6"/>
      <c r="R5671" s="6"/>
      <c r="S5671" s="6"/>
      <c r="T5671" s="6"/>
      <c r="U5671" s="6"/>
      <c r="V5671" s="6"/>
      <c r="W5671" s="6"/>
      <c r="X5671" s="6"/>
      <c r="Y5671" s="6"/>
      <c r="Z5671" s="6"/>
    </row>
    <row r="5672" customFormat="false" ht="15" hidden="false" customHeight="false" outlineLevel="0" collapsed="false">
      <c r="A5672" s="9" t="s">
        <v>11902</v>
      </c>
      <c r="B5672" s="9" t="s">
        <v>181</v>
      </c>
      <c r="C5672" s="9" t="s">
        <v>1024</v>
      </c>
      <c r="D5672" s="9" t="s">
        <v>11893</v>
      </c>
      <c r="E5672" s="9" t="str">
        <f aca="false">IF(COUNTIF('Formation Ledger'!$B$7:$B$5257,'Family Readiness'!A16)='Family Readiness'!G16,"PASS","FAIL")</f>
        <v>PASS</v>
      </c>
      <c r="F5672" s="9" t="s">
        <v>76</v>
      </c>
      <c r="G5672" s="6"/>
      <c r="H5672" s="6"/>
      <c r="I5672" s="6"/>
      <c r="J5672" s="6"/>
      <c r="K5672" s="6"/>
      <c r="L5672" s="6"/>
      <c r="M5672" s="6"/>
      <c r="N5672" s="6"/>
      <c r="O5672" s="6"/>
      <c r="P5672" s="6"/>
      <c r="Q5672" s="6"/>
      <c r="R5672" s="6"/>
      <c r="S5672" s="6"/>
      <c r="T5672" s="6"/>
      <c r="U5672" s="6"/>
      <c r="V5672" s="6"/>
      <c r="W5672" s="6"/>
      <c r="X5672" s="6"/>
      <c r="Y5672" s="6"/>
      <c r="Z5672" s="6"/>
    </row>
    <row r="5673" customFormat="false" ht="15" hidden="false" customHeight="false" outlineLevel="0" collapsed="false">
      <c r="A5673" s="9" t="s">
        <v>11903</v>
      </c>
      <c r="B5673" s="9" t="s">
        <v>181</v>
      </c>
      <c r="C5673" s="9" t="s">
        <v>1140</v>
      </c>
      <c r="D5673" s="9" t="s">
        <v>11893</v>
      </c>
      <c r="E5673" s="9" t="str">
        <f aca="false">IF(COUNTIF('Formation Ledger'!$B$7:$B$5257,'Family Readiness'!A17)='Family Readiness'!G17,"PASS","FAIL")</f>
        <v>PASS</v>
      </c>
      <c r="F5673" s="9" t="s">
        <v>76</v>
      </c>
      <c r="G5673" s="6"/>
      <c r="H5673" s="6"/>
      <c r="I5673" s="6"/>
      <c r="J5673" s="6"/>
      <c r="K5673" s="6"/>
      <c r="L5673" s="6"/>
      <c r="M5673" s="6"/>
      <c r="N5673" s="6"/>
      <c r="O5673" s="6"/>
      <c r="P5673" s="6"/>
      <c r="Q5673" s="6"/>
      <c r="R5673" s="6"/>
      <c r="S5673" s="6"/>
      <c r="T5673" s="6"/>
      <c r="U5673" s="6"/>
      <c r="V5673" s="6"/>
      <c r="W5673" s="6"/>
      <c r="X5673" s="6"/>
      <c r="Y5673" s="6"/>
      <c r="Z5673" s="6"/>
    </row>
    <row r="5674" customFormat="false" ht="15" hidden="false" customHeight="false" outlineLevel="0" collapsed="false">
      <c r="A5674" s="9" t="s">
        <v>11904</v>
      </c>
      <c r="B5674" s="9" t="s">
        <v>181</v>
      </c>
      <c r="C5674" s="9" t="s">
        <v>1213</v>
      </c>
      <c r="D5674" s="9" t="s">
        <v>11893</v>
      </c>
      <c r="E5674" s="9" t="str">
        <f aca="false">IF(COUNTIF('Formation Ledger'!$B$7:$B$5257,'Family Readiness'!A18)='Family Readiness'!G18,"PASS","FAIL")</f>
        <v>PASS</v>
      </c>
      <c r="F5674" s="9" t="s">
        <v>76</v>
      </c>
      <c r="G5674" s="6"/>
      <c r="H5674" s="6"/>
      <c r="I5674" s="6"/>
      <c r="J5674" s="6"/>
      <c r="K5674" s="6"/>
      <c r="L5674" s="6"/>
      <c r="M5674" s="6"/>
      <c r="N5674" s="6"/>
      <c r="O5674" s="6"/>
      <c r="P5674" s="6"/>
      <c r="Q5674" s="6"/>
      <c r="R5674" s="6"/>
      <c r="S5674" s="6"/>
      <c r="T5674" s="6"/>
      <c r="U5674" s="6"/>
      <c r="V5674" s="6"/>
      <c r="W5674" s="6"/>
      <c r="X5674" s="6"/>
      <c r="Y5674" s="6"/>
      <c r="Z5674" s="6"/>
    </row>
    <row r="5675" customFormat="false" ht="15" hidden="false" customHeight="false" outlineLevel="0" collapsed="false">
      <c r="A5675" s="9" t="s">
        <v>11905</v>
      </c>
      <c r="B5675" s="9" t="s">
        <v>181</v>
      </c>
      <c r="C5675" s="9" t="s">
        <v>1288</v>
      </c>
      <c r="D5675" s="9" t="s">
        <v>11893</v>
      </c>
      <c r="E5675" s="9" t="str">
        <f aca="false">IF(COUNTIF('Formation Ledger'!$B$7:$B$5257,'Family Readiness'!A19)='Family Readiness'!G19,"PASS","FAIL")</f>
        <v>PASS</v>
      </c>
      <c r="F5675" s="9" t="s">
        <v>76</v>
      </c>
      <c r="G5675" s="6"/>
      <c r="H5675" s="6"/>
      <c r="I5675" s="6"/>
      <c r="J5675" s="6"/>
      <c r="K5675" s="6"/>
      <c r="L5675" s="6"/>
      <c r="M5675" s="6"/>
      <c r="N5675" s="6"/>
      <c r="O5675" s="6"/>
      <c r="P5675" s="6"/>
      <c r="Q5675" s="6"/>
      <c r="R5675" s="6"/>
      <c r="S5675" s="6"/>
      <c r="T5675" s="6"/>
      <c r="U5675" s="6"/>
      <c r="V5675" s="6"/>
      <c r="W5675" s="6"/>
      <c r="X5675" s="6"/>
      <c r="Y5675" s="6"/>
      <c r="Z5675" s="6"/>
    </row>
    <row r="5676" customFormat="false" ht="15" hidden="false" customHeight="false" outlineLevel="0" collapsed="false">
      <c r="A5676" s="9" t="s">
        <v>11906</v>
      </c>
      <c r="B5676" s="9" t="s">
        <v>181</v>
      </c>
      <c r="C5676" s="9" t="s">
        <v>1374</v>
      </c>
      <c r="D5676" s="9" t="s">
        <v>11893</v>
      </c>
      <c r="E5676" s="9" t="str">
        <f aca="false">IF(COUNTIF('Formation Ledger'!$B$7:$B$5257,'Family Readiness'!A20)='Family Readiness'!G20,"PASS","FAIL")</f>
        <v>PASS</v>
      </c>
      <c r="F5676" s="9" t="s">
        <v>76</v>
      </c>
      <c r="G5676" s="6"/>
      <c r="H5676" s="6"/>
      <c r="I5676" s="6"/>
      <c r="J5676" s="6"/>
      <c r="K5676" s="6"/>
      <c r="L5676" s="6"/>
      <c r="M5676" s="6"/>
      <c r="N5676" s="6"/>
      <c r="O5676" s="6"/>
      <c r="P5676" s="6"/>
      <c r="Q5676" s="6"/>
      <c r="R5676" s="6"/>
      <c r="S5676" s="6"/>
      <c r="T5676" s="6"/>
      <c r="U5676" s="6"/>
      <c r="V5676" s="6"/>
      <c r="W5676" s="6"/>
      <c r="X5676" s="6"/>
      <c r="Y5676" s="6"/>
      <c r="Z5676" s="6"/>
    </row>
    <row r="5677" customFormat="false" ht="15" hidden="false" customHeight="false" outlineLevel="0" collapsed="false">
      <c r="A5677" s="9" t="s">
        <v>11907</v>
      </c>
      <c r="B5677" s="9" t="s">
        <v>181</v>
      </c>
      <c r="C5677" s="9" t="s">
        <v>1427</v>
      </c>
      <c r="D5677" s="9" t="s">
        <v>11893</v>
      </c>
      <c r="E5677" s="9" t="str">
        <f aca="false">IF(COUNTIF('Formation Ledger'!$B$7:$B$5257,'Family Readiness'!A21)='Family Readiness'!G21,"PASS","FAIL")</f>
        <v>PASS</v>
      </c>
      <c r="F5677" s="9" t="s">
        <v>76</v>
      </c>
      <c r="G5677" s="6"/>
      <c r="H5677" s="6"/>
      <c r="I5677" s="6"/>
      <c r="J5677" s="6"/>
      <c r="K5677" s="6"/>
      <c r="L5677" s="6"/>
      <c r="M5677" s="6"/>
      <c r="N5677" s="6"/>
      <c r="O5677" s="6"/>
      <c r="P5677" s="6"/>
      <c r="Q5677" s="6"/>
      <c r="R5677" s="6"/>
      <c r="S5677" s="6"/>
      <c r="T5677" s="6"/>
      <c r="U5677" s="6"/>
      <c r="V5677" s="6"/>
      <c r="W5677" s="6"/>
      <c r="X5677" s="6"/>
      <c r="Y5677" s="6"/>
      <c r="Z5677" s="6"/>
    </row>
    <row r="5678" customFormat="false" ht="15" hidden="false" customHeight="false" outlineLevel="0" collapsed="false">
      <c r="A5678" s="9" t="s">
        <v>11908</v>
      </c>
      <c r="B5678" s="9" t="s">
        <v>181</v>
      </c>
      <c r="C5678" s="9" t="s">
        <v>1563</v>
      </c>
      <c r="D5678" s="9" t="s">
        <v>11893</v>
      </c>
      <c r="E5678" s="9" t="str">
        <f aca="false">IF(COUNTIF('Formation Ledger'!$B$7:$B$5257,'Family Readiness'!A22)='Family Readiness'!G22,"PASS","FAIL")</f>
        <v>PASS</v>
      </c>
      <c r="F5678" s="9" t="s">
        <v>76</v>
      </c>
      <c r="G5678" s="6"/>
      <c r="H5678" s="6"/>
      <c r="I5678" s="6"/>
      <c r="J5678" s="6"/>
      <c r="K5678" s="6"/>
      <c r="L5678" s="6"/>
      <c r="M5678" s="6"/>
      <c r="N5678" s="6"/>
      <c r="O5678" s="6"/>
      <c r="P5678" s="6"/>
      <c r="Q5678" s="6"/>
      <c r="R5678" s="6"/>
      <c r="S5678" s="6"/>
      <c r="T5678" s="6"/>
      <c r="U5678" s="6"/>
      <c r="V5678" s="6"/>
      <c r="W5678" s="6"/>
      <c r="X5678" s="6"/>
      <c r="Y5678" s="6"/>
      <c r="Z5678" s="6"/>
    </row>
    <row r="5679" customFormat="false" ht="15" hidden="false" customHeight="false" outlineLevel="0" collapsed="false">
      <c r="A5679" s="9" t="s">
        <v>11909</v>
      </c>
      <c r="B5679" s="9" t="s">
        <v>181</v>
      </c>
      <c r="C5679" s="9" t="s">
        <v>1658</v>
      </c>
      <c r="D5679" s="9" t="s">
        <v>11893</v>
      </c>
      <c r="E5679" s="9" t="str">
        <f aca="false">IF(COUNTIF('Formation Ledger'!$B$7:$B$5257,'Family Readiness'!A23)='Family Readiness'!G23,"PASS","FAIL")</f>
        <v>PASS</v>
      </c>
      <c r="F5679" s="9" t="s">
        <v>76</v>
      </c>
      <c r="G5679" s="6"/>
      <c r="H5679" s="6"/>
      <c r="I5679" s="6"/>
      <c r="J5679" s="6"/>
      <c r="K5679" s="6"/>
      <c r="L5679" s="6"/>
      <c r="M5679" s="6"/>
      <c r="N5679" s="6"/>
      <c r="O5679" s="6"/>
      <c r="P5679" s="6"/>
      <c r="Q5679" s="6"/>
      <c r="R5679" s="6"/>
      <c r="S5679" s="6"/>
      <c r="T5679" s="6"/>
      <c r="U5679" s="6"/>
      <c r="V5679" s="6"/>
      <c r="W5679" s="6"/>
      <c r="X5679" s="6"/>
      <c r="Y5679" s="6"/>
      <c r="Z5679" s="6"/>
    </row>
    <row r="5680" customFormat="false" ht="15" hidden="false" customHeight="false" outlineLevel="0" collapsed="false">
      <c r="A5680" s="9" t="s">
        <v>11910</v>
      </c>
      <c r="B5680" s="9" t="s">
        <v>181</v>
      </c>
      <c r="C5680" s="9" t="s">
        <v>1733</v>
      </c>
      <c r="D5680" s="9" t="s">
        <v>11893</v>
      </c>
      <c r="E5680" s="9" t="str">
        <f aca="false">IF(COUNTIF('Formation Ledger'!$B$7:$B$5257,'Family Readiness'!A24)='Family Readiness'!G24,"PASS","FAIL")</f>
        <v>PASS</v>
      </c>
      <c r="F5680" s="9" t="s">
        <v>76</v>
      </c>
      <c r="G5680" s="6"/>
      <c r="H5680" s="6"/>
      <c r="I5680" s="6"/>
      <c r="J5680" s="6"/>
      <c r="K5680" s="6"/>
      <c r="L5680" s="6"/>
      <c r="M5680" s="6"/>
      <c r="N5680" s="6"/>
      <c r="O5680" s="6"/>
      <c r="P5680" s="6"/>
      <c r="Q5680" s="6"/>
      <c r="R5680" s="6"/>
      <c r="S5680" s="6"/>
      <c r="T5680" s="6"/>
      <c r="U5680" s="6"/>
      <c r="V5680" s="6"/>
      <c r="W5680" s="6"/>
      <c r="X5680" s="6"/>
      <c r="Y5680" s="6"/>
      <c r="Z5680" s="6"/>
    </row>
    <row r="5681" customFormat="false" ht="15" hidden="false" customHeight="false" outlineLevel="0" collapsed="false">
      <c r="A5681" s="9" t="s">
        <v>11911</v>
      </c>
      <c r="B5681" s="9" t="s">
        <v>181</v>
      </c>
      <c r="C5681" s="9" t="s">
        <v>1810</v>
      </c>
      <c r="D5681" s="9" t="s">
        <v>11893</v>
      </c>
      <c r="E5681" s="9" t="str">
        <f aca="false">IF(COUNTIF('Formation Ledger'!$B$7:$B$5257,'Family Readiness'!A25)='Family Readiness'!G25,"PASS","FAIL")</f>
        <v>PASS</v>
      </c>
      <c r="F5681" s="9" t="s">
        <v>76</v>
      </c>
      <c r="G5681" s="6"/>
      <c r="H5681" s="6"/>
      <c r="I5681" s="6"/>
      <c r="J5681" s="6"/>
      <c r="K5681" s="6"/>
      <c r="L5681" s="6"/>
      <c r="M5681" s="6"/>
      <c r="N5681" s="6"/>
      <c r="O5681" s="6"/>
      <c r="P5681" s="6"/>
      <c r="Q5681" s="6"/>
      <c r="R5681" s="6"/>
      <c r="S5681" s="6"/>
      <c r="T5681" s="6"/>
      <c r="U5681" s="6"/>
      <c r="V5681" s="6"/>
      <c r="W5681" s="6"/>
      <c r="X5681" s="6"/>
      <c r="Y5681" s="6"/>
      <c r="Z5681" s="6"/>
    </row>
    <row r="5682" customFormat="false" ht="15" hidden="false" customHeight="false" outlineLevel="0" collapsed="false">
      <c r="A5682" s="9" t="s">
        <v>11912</v>
      </c>
      <c r="B5682" s="9" t="s">
        <v>181</v>
      </c>
      <c r="C5682" s="9" t="s">
        <v>1898</v>
      </c>
      <c r="D5682" s="9" t="s">
        <v>11893</v>
      </c>
      <c r="E5682" s="9" t="str">
        <f aca="false">IF(COUNTIF('Formation Ledger'!$B$7:$B$5257,'Family Readiness'!A26)='Family Readiness'!G26,"PASS","FAIL")</f>
        <v>PASS</v>
      </c>
      <c r="F5682" s="9" t="s">
        <v>76</v>
      </c>
      <c r="G5682" s="6"/>
      <c r="H5682" s="6"/>
      <c r="I5682" s="6"/>
      <c r="J5682" s="6"/>
      <c r="K5682" s="6"/>
      <c r="L5682" s="6"/>
      <c r="M5682" s="6"/>
      <c r="N5682" s="6"/>
      <c r="O5682" s="6"/>
      <c r="P5682" s="6"/>
      <c r="Q5682" s="6"/>
      <c r="R5682" s="6"/>
      <c r="S5682" s="6"/>
      <c r="T5682" s="6"/>
      <c r="U5682" s="6"/>
      <c r="V5682" s="6"/>
      <c r="W5682" s="6"/>
      <c r="X5682" s="6"/>
      <c r="Y5682" s="6"/>
      <c r="Z5682" s="6"/>
    </row>
    <row r="5683" customFormat="false" ht="15" hidden="false" customHeight="false" outlineLevel="0" collapsed="false">
      <c r="A5683" s="9" t="s">
        <v>11913</v>
      </c>
      <c r="B5683" s="9" t="s">
        <v>181</v>
      </c>
      <c r="C5683" s="9" t="s">
        <v>1967</v>
      </c>
      <c r="D5683" s="9" t="s">
        <v>11893</v>
      </c>
      <c r="E5683" s="9" t="str">
        <f aca="false">IF(COUNTIF('Formation Ledger'!$B$7:$B$5257,'Family Readiness'!A27)='Family Readiness'!G27,"PASS","FAIL")</f>
        <v>PASS</v>
      </c>
      <c r="F5683" s="9" t="s">
        <v>76</v>
      </c>
      <c r="G5683" s="6"/>
      <c r="H5683" s="6"/>
      <c r="I5683" s="6"/>
      <c r="J5683" s="6"/>
      <c r="K5683" s="6"/>
      <c r="L5683" s="6"/>
      <c r="M5683" s="6"/>
      <c r="N5683" s="6"/>
      <c r="O5683" s="6"/>
      <c r="P5683" s="6"/>
      <c r="Q5683" s="6"/>
      <c r="R5683" s="6"/>
      <c r="S5683" s="6"/>
      <c r="T5683" s="6"/>
      <c r="U5683" s="6"/>
      <c r="V5683" s="6"/>
      <c r="W5683" s="6"/>
      <c r="X5683" s="6"/>
      <c r="Y5683" s="6"/>
      <c r="Z5683" s="6"/>
    </row>
    <row r="5684" customFormat="false" ht="15" hidden="false" customHeight="false" outlineLevel="0" collapsed="false">
      <c r="A5684" s="9" t="s">
        <v>11914</v>
      </c>
      <c r="B5684" s="9" t="s">
        <v>181</v>
      </c>
      <c r="C5684" s="9" t="s">
        <v>2025</v>
      </c>
      <c r="D5684" s="9" t="s">
        <v>11893</v>
      </c>
      <c r="E5684" s="9" t="str">
        <f aca="false">IF(COUNTIF('Formation Ledger'!$B$7:$B$5257,'Family Readiness'!A28)='Family Readiness'!G28,"PASS","FAIL")</f>
        <v>PASS</v>
      </c>
      <c r="F5684" s="9" t="s">
        <v>76</v>
      </c>
      <c r="G5684" s="6"/>
      <c r="H5684" s="6"/>
      <c r="I5684" s="6"/>
      <c r="J5684" s="6"/>
      <c r="K5684" s="6"/>
      <c r="L5684" s="6"/>
      <c r="M5684" s="6"/>
      <c r="N5684" s="6"/>
      <c r="O5684" s="6"/>
      <c r="P5684" s="6"/>
      <c r="Q5684" s="6"/>
      <c r="R5684" s="6"/>
      <c r="S5684" s="6"/>
      <c r="T5684" s="6"/>
      <c r="U5684" s="6"/>
      <c r="V5684" s="6"/>
      <c r="W5684" s="6"/>
      <c r="X5684" s="6"/>
      <c r="Y5684" s="6"/>
      <c r="Z5684" s="6"/>
    </row>
    <row r="5685" customFormat="false" ht="15" hidden="false" customHeight="false" outlineLevel="0" collapsed="false">
      <c r="A5685" s="9" t="s">
        <v>11915</v>
      </c>
      <c r="B5685" s="9" t="s">
        <v>181</v>
      </c>
      <c r="C5685" s="9" t="s">
        <v>2093</v>
      </c>
      <c r="D5685" s="9" t="s">
        <v>11893</v>
      </c>
      <c r="E5685" s="9" t="str">
        <f aca="false">IF(COUNTIF('Formation Ledger'!$B$7:$B$5257,'Family Readiness'!A29)='Family Readiness'!G29,"PASS","FAIL")</f>
        <v>PASS</v>
      </c>
      <c r="F5685" s="9" t="s">
        <v>76</v>
      </c>
      <c r="G5685" s="6"/>
      <c r="H5685" s="6"/>
      <c r="I5685" s="6"/>
      <c r="J5685" s="6"/>
      <c r="K5685" s="6"/>
      <c r="L5685" s="6"/>
      <c r="M5685" s="6"/>
      <c r="N5685" s="6"/>
      <c r="O5685" s="6"/>
      <c r="P5685" s="6"/>
      <c r="Q5685" s="6"/>
      <c r="R5685" s="6"/>
      <c r="S5685" s="6"/>
      <c r="T5685" s="6"/>
      <c r="U5685" s="6"/>
      <c r="V5685" s="6"/>
      <c r="W5685" s="6"/>
      <c r="X5685" s="6"/>
      <c r="Y5685" s="6"/>
      <c r="Z5685" s="6"/>
    </row>
    <row r="5686" customFormat="false" ht="15" hidden="false" customHeight="false" outlineLevel="0" collapsed="false">
      <c r="A5686" s="9" t="s">
        <v>11916</v>
      </c>
      <c r="B5686" s="9" t="s">
        <v>181</v>
      </c>
      <c r="C5686" s="9" t="s">
        <v>2183</v>
      </c>
      <c r="D5686" s="9" t="s">
        <v>11893</v>
      </c>
      <c r="E5686" s="9" t="str">
        <f aca="false">IF(COUNTIF('Formation Ledger'!$B$7:$B$5257,'Family Readiness'!A30)='Family Readiness'!G30,"PASS","FAIL")</f>
        <v>PASS</v>
      </c>
      <c r="F5686" s="9" t="s">
        <v>76</v>
      </c>
      <c r="G5686" s="6"/>
      <c r="H5686" s="6"/>
      <c r="I5686" s="6"/>
      <c r="J5686" s="6"/>
      <c r="K5686" s="6"/>
      <c r="L5686" s="6"/>
      <c r="M5686" s="6"/>
      <c r="N5686" s="6"/>
      <c r="O5686" s="6"/>
      <c r="P5686" s="6"/>
      <c r="Q5686" s="6"/>
      <c r="R5686" s="6"/>
      <c r="S5686" s="6"/>
      <c r="T5686" s="6"/>
      <c r="U5686" s="6"/>
      <c r="V5686" s="6"/>
      <c r="W5686" s="6"/>
      <c r="X5686" s="6"/>
      <c r="Y5686" s="6"/>
      <c r="Z5686" s="6"/>
    </row>
    <row r="5687" customFormat="false" ht="15" hidden="false" customHeight="false" outlineLevel="0" collapsed="false">
      <c r="A5687" s="9" t="s">
        <v>11917</v>
      </c>
      <c r="B5687" s="9" t="s">
        <v>181</v>
      </c>
      <c r="C5687" s="9" t="s">
        <v>2302</v>
      </c>
      <c r="D5687" s="9" t="s">
        <v>11893</v>
      </c>
      <c r="E5687" s="9" t="str">
        <f aca="false">IF(COUNTIF('Formation Ledger'!$B$7:$B$5257,'Family Readiness'!A31)='Family Readiness'!G31,"PASS","FAIL")</f>
        <v>PASS</v>
      </c>
      <c r="F5687" s="9" t="s">
        <v>76</v>
      </c>
      <c r="G5687" s="6"/>
      <c r="H5687" s="6"/>
      <c r="I5687" s="6"/>
      <c r="J5687" s="6"/>
      <c r="K5687" s="6"/>
      <c r="L5687" s="6"/>
      <c r="M5687" s="6"/>
      <c r="N5687" s="6"/>
      <c r="O5687" s="6"/>
      <c r="P5687" s="6"/>
      <c r="Q5687" s="6"/>
      <c r="R5687" s="6"/>
      <c r="S5687" s="6"/>
      <c r="T5687" s="6"/>
      <c r="U5687" s="6"/>
      <c r="V5687" s="6"/>
      <c r="W5687" s="6"/>
      <c r="X5687" s="6"/>
      <c r="Y5687" s="6"/>
      <c r="Z5687" s="6"/>
    </row>
    <row r="5688" customFormat="false" ht="15" hidden="false" customHeight="false" outlineLevel="0" collapsed="false">
      <c r="A5688" s="9" t="s">
        <v>11918</v>
      </c>
      <c r="B5688" s="9" t="s">
        <v>181</v>
      </c>
      <c r="C5688" s="9" t="s">
        <v>2439</v>
      </c>
      <c r="D5688" s="9" t="s">
        <v>11893</v>
      </c>
      <c r="E5688" s="9" t="str">
        <f aca="false">IF(COUNTIF('Formation Ledger'!$B$7:$B$5257,'Family Readiness'!A32)='Family Readiness'!G32,"PASS","FAIL")</f>
        <v>PASS</v>
      </c>
      <c r="F5688" s="9" t="s">
        <v>76</v>
      </c>
      <c r="G5688" s="6"/>
      <c r="H5688" s="6"/>
      <c r="I5688" s="6"/>
      <c r="J5688" s="6"/>
      <c r="K5688" s="6"/>
      <c r="L5688" s="6"/>
      <c r="M5688" s="6"/>
      <c r="N5688" s="6"/>
      <c r="O5688" s="6"/>
      <c r="P5688" s="6"/>
      <c r="Q5688" s="6"/>
      <c r="R5688" s="6"/>
      <c r="S5688" s="6"/>
      <c r="T5688" s="6"/>
      <c r="U5688" s="6"/>
      <c r="V5688" s="6"/>
      <c r="W5688" s="6"/>
      <c r="X5688" s="6"/>
      <c r="Y5688" s="6"/>
      <c r="Z5688" s="6"/>
    </row>
    <row r="5689" customFormat="false" ht="15" hidden="false" customHeight="false" outlineLevel="0" collapsed="false">
      <c r="A5689" s="9" t="s">
        <v>11919</v>
      </c>
      <c r="B5689" s="9" t="s">
        <v>181</v>
      </c>
      <c r="C5689" s="9" t="s">
        <v>2544</v>
      </c>
      <c r="D5689" s="9" t="s">
        <v>11893</v>
      </c>
      <c r="E5689" s="9" t="str">
        <f aca="false">IF(COUNTIF('Formation Ledger'!$B$7:$B$5257,'Family Readiness'!A33)='Family Readiness'!G33,"PASS","FAIL")</f>
        <v>PASS</v>
      </c>
      <c r="F5689" s="9" t="s">
        <v>76</v>
      </c>
      <c r="G5689" s="6"/>
      <c r="H5689" s="6"/>
      <c r="I5689" s="6"/>
      <c r="J5689" s="6"/>
      <c r="K5689" s="6"/>
      <c r="L5689" s="6"/>
      <c r="M5689" s="6"/>
      <c r="N5689" s="6"/>
      <c r="O5689" s="6"/>
      <c r="P5689" s="6"/>
      <c r="Q5689" s="6"/>
      <c r="R5689" s="6"/>
      <c r="S5689" s="6"/>
      <c r="T5689" s="6"/>
      <c r="U5689" s="6"/>
      <c r="V5689" s="6"/>
      <c r="W5689" s="6"/>
      <c r="X5689" s="6"/>
      <c r="Y5689" s="6"/>
      <c r="Z5689" s="6"/>
    </row>
    <row r="5690" customFormat="false" ht="15" hidden="false" customHeight="false" outlineLevel="0" collapsed="false">
      <c r="A5690" s="9" t="s">
        <v>11920</v>
      </c>
      <c r="B5690" s="9" t="s">
        <v>181</v>
      </c>
      <c r="C5690" s="9" t="s">
        <v>2681</v>
      </c>
      <c r="D5690" s="9" t="s">
        <v>11893</v>
      </c>
      <c r="E5690" s="9" t="str">
        <f aca="false">IF(COUNTIF('Formation Ledger'!$B$7:$B$5257,'Family Readiness'!A34)='Family Readiness'!G34,"PASS","FAIL")</f>
        <v>PASS</v>
      </c>
      <c r="F5690" s="9" t="s">
        <v>76</v>
      </c>
      <c r="G5690" s="6"/>
      <c r="H5690" s="6"/>
      <c r="I5690" s="6"/>
      <c r="J5690" s="6"/>
      <c r="K5690" s="6"/>
      <c r="L5690" s="6"/>
      <c r="M5690" s="6"/>
      <c r="N5690" s="6"/>
      <c r="O5690" s="6"/>
      <c r="P5690" s="6"/>
      <c r="Q5690" s="6"/>
      <c r="R5690" s="6"/>
      <c r="S5690" s="6"/>
      <c r="T5690" s="6"/>
      <c r="U5690" s="6"/>
      <c r="V5690" s="6"/>
      <c r="W5690" s="6"/>
      <c r="X5690" s="6"/>
      <c r="Y5690" s="6"/>
      <c r="Z5690" s="6"/>
    </row>
    <row r="5691" customFormat="false" ht="15" hidden="false" customHeight="false" outlineLevel="0" collapsed="false">
      <c r="A5691" s="9" t="s">
        <v>11921</v>
      </c>
      <c r="B5691" s="9" t="s">
        <v>181</v>
      </c>
      <c r="C5691" s="9" t="s">
        <v>2810</v>
      </c>
      <c r="D5691" s="9" t="s">
        <v>11893</v>
      </c>
      <c r="E5691" s="9" t="str">
        <f aca="false">IF(COUNTIF('Formation Ledger'!$B$7:$B$5257,'Family Readiness'!A35)='Family Readiness'!G35,"PASS","FAIL")</f>
        <v>PASS</v>
      </c>
      <c r="F5691" s="9" t="s">
        <v>76</v>
      </c>
      <c r="G5691" s="6"/>
      <c r="H5691" s="6"/>
      <c r="I5691" s="6"/>
      <c r="J5691" s="6"/>
      <c r="K5691" s="6"/>
      <c r="L5691" s="6"/>
      <c r="M5691" s="6"/>
      <c r="N5691" s="6"/>
      <c r="O5691" s="6"/>
      <c r="P5691" s="6"/>
      <c r="Q5691" s="6"/>
      <c r="R5691" s="6"/>
      <c r="S5691" s="6"/>
      <c r="T5691" s="6"/>
      <c r="U5691" s="6"/>
      <c r="V5691" s="6"/>
      <c r="W5691" s="6"/>
      <c r="X5691" s="6"/>
      <c r="Y5691" s="6"/>
      <c r="Z5691" s="6"/>
    </row>
    <row r="5692" customFormat="false" ht="15" hidden="false" customHeight="false" outlineLevel="0" collapsed="false">
      <c r="A5692" s="9" t="s">
        <v>11922</v>
      </c>
      <c r="B5692" s="9" t="s">
        <v>181</v>
      </c>
      <c r="C5692" s="9" t="s">
        <v>2969</v>
      </c>
      <c r="D5692" s="9" t="s">
        <v>11893</v>
      </c>
      <c r="E5692" s="9" t="str">
        <f aca="false">IF(COUNTIF('Formation Ledger'!$B$7:$B$5257,'Family Readiness'!A36)='Family Readiness'!G36,"PASS","FAIL")</f>
        <v>PASS</v>
      </c>
      <c r="F5692" s="9" t="s">
        <v>76</v>
      </c>
      <c r="G5692" s="6"/>
      <c r="H5692" s="6"/>
      <c r="I5692" s="6"/>
      <c r="J5692" s="6"/>
      <c r="K5692" s="6"/>
      <c r="L5692" s="6"/>
      <c r="M5692" s="6"/>
      <c r="N5692" s="6"/>
      <c r="O5692" s="6"/>
      <c r="P5692" s="6"/>
      <c r="Q5692" s="6"/>
      <c r="R5692" s="6"/>
      <c r="S5692" s="6"/>
      <c r="T5692" s="6"/>
      <c r="U5692" s="6"/>
      <c r="V5692" s="6"/>
      <c r="W5692" s="6"/>
      <c r="X5692" s="6"/>
      <c r="Y5692" s="6"/>
      <c r="Z5692" s="6"/>
    </row>
    <row r="5693" customFormat="false" ht="15" hidden="false" customHeight="false" outlineLevel="0" collapsed="false">
      <c r="A5693" s="9" t="s">
        <v>11923</v>
      </c>
      <c r="B5693" s="9" t="s">
        <v>181</v>
      </c>
      <c r="C5693" s="9" t="s">
        <v>3146</v>
      </c>
      <c r="D5693" s="9" t="s">
        <v>11893</v>
      </c>
      <c r="E5693" s="9" t="str">
        <f aca="false">IF(COUNTIF('Formation Ledger'!$B$7:$B$5257,'Family Readiness'!A37)='Family Readiness'!G37,"PASS","FAIL")</f>
        <v>PASS</v>
      </c>
      <c r="F5693" s="9" t="s">
        <v>76</v>
      </c>
      <c r="G5693" s="6"/>
      <c r="H5693" s="6"/>
      <c r="I5693" s="6"/>
      <c r="J5693" s="6"/>
      <c r="K5693" s="6"/>
      <c r="L5693" s="6"/>
      <c r="M5693" s="6"/>
      <c r="N5693" s="6"/>
      <c r="O5693" s="6"/>
      <c r="P5693" s="6"/>
      <c r="Q5693" s="6"/>
      <c r="R5693" s="6"/>
      <c r="S5693" s="6"/>
      <c r="T5693" s="6"/>
      <c r="U5693" s="6"/>
      <c r="V5693" s="6"/>
      <c r="W5693" s="6"/>
      <c r="X5693" s="6"/>
      <c r="Y5693" s="6"/>
      <c r="Z5693" s="6"/>
    </row>
    <row r="5694" customFormat="false" ht="15" hidden="false" customHeight="false" outlineLevel="0" collapsed="false">
      <c r="A5694" s="9" t="s">
        <v>11924</v>
      </c>
      <c r="B5694" s="9" t="s">
        <v>181</v>
      </c>
      <c r="C5694" s="9" t="s">
        <v>3262</v>
      </c>
      <c r="D5694" s="9" t="s">
        <v>11893</v>
      </c>
      <c r="E5694" s="9" t="str">
        <f aca="false">IF(COUNTIF('Formation Ledger'!$B$7:$B$5257,'Family Readiness'!A38)='Family Readiness'!G38,"PASS","FAIL")</f>
        <v>PASS</v>
      </c>
      <c r="F5694" s="9" t="s">
        <v>76</v>
      </c>
      <c r="G5694" s="6"/>
      <c r="H5694" s="6"/>
      <c r="I5694" s="6"/>
      <c r="J5694" s="6"/>
      <c r="K5694" s="6"/>
      <c r="L5694" s="6"/>
      <c r="M5694" s="6"/>
      <c r="N5694" s="6"/>
      <c r="O5694" s="6"/>
      <c r="P5694" s="6"/>
      <c r="Q5694" s="6"/>
      <c r="R5694" s="6"/>
      <c r="S5694" s="6"/>
      <c r="T5694" s="6"/>
      <c r="U5694" s="6"/>
      <c r="V5694" s="6"/>
      <c r="W5694" s="6"/>
      <c r="X5694" s="6"/>
      <c r="Y5694" s="6"/>
      <c r="Z5694" s="6"/>
    </row>
    <row r="5695" customFormat="false" ht="15" hidden="false" customHeight="false" outlineLevel="0" collapsed="false">
      <c r="A5695" s="9" t="s">
        <v>11925</v>
      </c>
      <c r="B5695" s="9" t="s">
        <v>181</v>
      </c>
      <c r="C5695" s="9" t="s">
        <v>3329</v>
      </c>
      <c r="D5695" s="9" t="s">
        <v>11893</v>
      </c>
      <c r="E5695" s="9" t="str">
        <f aca="false">IF(COUNTIF('Formation Ledger'!$B$7:$B$5257,'Family Readiness'!A39)='Family Readiness'!G39,"PASS","FAIL")</f>
        <v>PASS</v>
      </c>
      <c r="F5695" s="9" t="s">
        <v>76</v>
      </c>
      <c r="G5695" s="6"/>
      <c r="H5695" s="6"/>
      <c r="I5695" s="6"/>
      <c r="J5695" s="6"/>
      <c r="K5695" s="6"/>
      <c r="L5695" s="6"/>
      <c r="M5695" s="6"/>
      <c r="N5695" s="6"/>
      <c r="O5695" s="6"/>
      <c r="P5695" s="6"/>
      <c r="Q5695" s="6"/>
      <c r="R5695" s="6"/>
      <c r="S5695" s="6"/>
      <c r="T5695" s="6"/>
      <c r="U5695" s="6"/>
      <c r="V5695" s="6"/>
      <c r="W5695" s="6"/>
      <c r="X5695" s="6"/>
      <c r="Y5695" s="6"/>
      <c r="Z5695" s="6"/>
    </row>
    <row r="5696" customFormat="false" ht="15" hidden="false" customHeight="false" outlineLevel="0" collapsed="false">
      <c r="A5696" s="9" t="s">
        <v>11926</v>
      </c>
      <c r="B5696" s="9" t="s">
        <v>181</v>
      </c>
      <c r="C5696" s="9" t="s">
        <v>3428</v>
      </c>
      <c r="D5696" s="9" t="s">
        <v>11893</v>
      </c>
      <c r="E5696" s="9" t="str">
        <f aca="false">IF(COUNTIF('Formation Ledger'!$B$7:$B$5257,'Family Readiness'!A40)='Family Readiness'!G40,"PASS","FAIL")</f>
        <v>PASS</v>
      </c>
      <c r="F5696" s="9" t="s">
        <v>76</v>
      </c>
      <c r="G5696" s="6"/>
      <c r="H5696" s="6"/>
      <c r="I5696" s="6"/>
      <c r="J5696" s="6"/>
      <c r="K5696" s="6"/>
      <c r="L5696" s="6"/>
      <c r="M5696" s="6"/>
      <c r="N5696" s="6"/>
      <c r="O5696" s="6"/>
      <c r="P5696" s="6"/>
      <c r="Q5696" s="6"/>
      <c r="R5696" s="6"/>
      <c r="S5696" s="6"/>
      <c r="T5696" s="6"/>
      <c r="U5696" s="6"/>
      <c r="V5696" s="6"/>
      <c r="W5696" s="6"/>
      <c r="X5696" s="6"/>
      <c r="Y5696" s="6"/>
      <c r="Z5696" s="6"/>
    </row>
    <row r="5697" customFormat="false" ht="15" hidden="false" customHeight="false" outlineLevel="0" collapsed="false">
      <c r="A5697" s="9" t="s">
        <v>11927</v>
      </c>
      <c r="B5697" s="9" t="s">
        <v>181</v>
      </c>
      <c r="C5697" s="9" t="s">
        <v>3544</v>
      </c>
      <c r="D5697" s="9" t="s">
        <v>11893</v>
      </c>
      <c r="E5697" s="9" t="str">
        <f aca="false">IF(COUNTIF('Formation Ledger'!$B$7:$B$5257,'Family Readiness'!A41)='Family Readiness'!G41,"PASS","FAIL")</f>
        <v>PASS</v>
      </c>
      <c r="F5697" s="9" t="s">
        <v>76</v>
      </c>
      <c r="G5697" s="6"/>
      <c r="H5697" s="6"/>
      <c r="I5697" s="6"/>
      <c r="J5697" s="6"/>
      <c r="K5697" s="6"/>
      <c r="L5697" s="6"/>
      <c r="M5697" s="6"/>
      <c r="N5697" s="6"/>
      <c r="O5697" s="6"/>
      <c r="P5697" s="6"/>
      <c r="Q5697" s="6"/>
      <c r="R5697" s="6"/>
      <c r="S5697" s="6"/>
      <c r="T5697" s="6"/>
      <c r="U5697" s="6"/>
      <c r="V5697" s="6"/>
      <c r="W5697" s="6"/>
      <c r="X5697" s="6"/>
      <c r="Y5697" s="6"/>
      <c r="Z5697" s="6"/>
    </row>
    <row r="5698" customFormat="false" ht="15" hidden="false" customHeight="false" outlineLevel="0" collapsed="false">
      <c r="A5698" s="9" t="s">
        <v>11928</v>
      </c>
      <c r="B5698" s="9" t="s">
        <v>181</v>
      </c>
      <c r="C5698" s="9" t="s">
        <v>3720</v>
      </c>
      <c r="D5698" s="9" t="s">
        <v>11893</v>
      </c>
      <c r="E5698" s="9" t="str">
        <f aca="false">IF(COUNTIF('Formation Ledger'!$B$7:$B$5257,'Family Readiness'!A42)='Family Readiness'!G42,"PASS","FAIL")</f>
        <v>PASS</v>
      </c>
      <c r="F5698" s="9" t="s">
        <v>76</v>
      </c>
      <c r="G5698" s="6"/>
      <c r="H5698" s="6"/>
      <c r="I5698" s="6"/>
      <c r="J5698" s="6"/>
      <c r="K5698" s="6"/>
      <c r="L5698" s="6"/>
      <c r="M5698" s="6"/>
      <c r="N5698" s="6"/>
      <c r="O5698" s="6"/>
      <c r="P5698" s="6"/>
      <c r="Q5698" s="6"/>
      <c r="R5698" s="6"/>
      <c r="S5698" s="6"/>
      <c r="T5698" s="6"/>
      <c r="U5698" s="6"/>
      <c r="V5698" s="6"/>
      <c r="W5698" s="6"/>
      <c r="X5698" s="6"/>
      <c r="Y5698" s="6"/>
      <c r="Z5698" s="6"/>
    </row>
    <row r="5699" customFormat="false" ht="15" hidden="false" customHeight="false" outlineLevel="0" collapsed="false">
      <c r="A5699" s="9" t="s">
        <v>11929</v>
      </c>
      <c r="B5699" s="9" t="s">
        <v>181</v>
      </c>
      <c r="C5699" s="9" t="s">
        <v>3939</v>
      </c>
      <c r="D5699" s="9" t="s">
        <v>11893</v>
      </c>
      <c r="E5699" s="9" t="str">
        <f aca="false">IF(COUNTIF('Formation Ledger'!$B$7:$B$5257,'Family Readiness'!A43)='Family Readiness'!G43,"PASS","FAIL")</f>
        <v>PASS</v>
      </c>
      <c r="F5699" s="9" t="s">
        <v>76</v>
      </c>
      <c r="G5699" s="6"/>
      <c r="H5699" s="6"/>
      <c r="I5699" s="6"/>
      <c r="J5699" s="6"/>
      <c r="K5699" s="6"/>
      <c r="L5699" s="6"/>
      <c r="M5699" s="6"/>
      <c r="N5699" s="6"/>
      <c r="O5699" s="6"/>
      <c r="P5699" s="6"/>
      <c r="Q5699" s="6"/>
      <c r="R5699" s="6"/>
      <c r="S5699" s="6"/>
      <c r="T5699" s="6"/>
      <c r="U5699" s="6"/>
      <c r="V5699" s="6"/>
      <c r="W5699" s="6"/>
      <c r="X5699" s="6"/>
      <c r="Y5699" s="6"/>
      <c r="Z5699" s="6"/>
    </row>
    <row r="5700" customFormat="false" ht="15" hidden="false" customHeight="false" outlineLevel="0" collapsed="false">
      <c r="A5700" s="9" t="s">
        <v>11930</v>
      </c>
      <c r="B5700" s="9" t="s">
        <v>181</v>
      </c>
      <c r="C5700" s="9" t="s">
        <v>4157</v>
      </c>
      <c r="D5700" s="9" t="s">
        <v>11893</v>
      </c>
      <c r="E5700" s="9" t="str">
        <f aca="false">IF(COUNTIF('Formation Ledger'!$B$7:$B$5257,'Family Readiness'!A44)='Family Readiness'!G44,"PASS","FAIL")</f>
        <v>PASS</v>
      </c>
      <c r="F5700" s="9" t="s">
        <v>76</v>
      </c>
      <c r="G5700" s="6"/>
      <c r="H5700" s="6"/>
      <c r="I5700" s="6"/>
      <c r="J5700" s="6"/>
      <c r="K5700" s="6"/>
      <c r="L5700" s="6"/>
      <c r="M5700" s="6"/>
      <c r="N5700" s="6"/>
      <c r="O5700" s="6"/>
      <c r="P5700" s="6"/>
      <c r="Q5700" s="6"/>
      <c r="R5700" s="6"/>
      <c r="S5700" s="6"/>
      <c r="T5700" s="6"/>
      <c r="U5700" s="6"/>
      <c r="V5700" s="6"/>
      <c r="W5700" s="6"/>
      <c r="X5700" s="6"/>
      <c r="Y5700" s="6"/>
      <c r="Z5700" s="6"/>
    </row>
    <row r="5701" customFormat="false" ht="15" hidden="false" customHeight="false" outlineLevel="0" collapsed="false">
      <c r="A5701" s="9" t="s">
        <v>11931</v>
      </c>
      <c r="B5701" s="9" t="s">
        <v>181</v>
      </c>
      <c r="C5701" s="9" t="s">
        <v>4323</v>
      </c>
      <c r="D5701" s="9" t="s">
        <v>11893</v>
      </c>
      <c r="E5701" s="9" t="str">
        <f aca="false">IF(COUNTIF('Formation Ledger'!$B$7:$B$5257,'Family Readiness'!A45)='Family Readiness'!G45,"PASS","FAIL")</f>
        <v>PASS</v>
      </c>
      <c r="F5701" s="9" t="s">
        <v>76</v>
      </c>
      <c r="G5701" s="6"/>
      <c r="H5701" s="6"/>
      <c r="I5701" s="6"/>
      <c r="J5701" s="6"/>
      <c r="K5701" s="6"/>
      <c r="L5701" s="6"/>
      <c r="M5701" s="6"/>
      <c r="N5701" s="6"/>
      <c r="O5701" s="6"/>
      <c r="P5701" s="6"/>
      <c r="Q5701" s="6"/>
      <c r="R5701" s="6"/>
      <c r="S5701" s="6"/>
      <c r="T5701" s="6"/>
      <c r="U5701" s="6"/>
      <c r="V5701" s="6"/>
      <c r="W5701" s="6"/>
      <c r="X5701" s="6"/>
      <c r="Y5701" s="6"/>
      <c r="Z5701" s="6"/>
    </row>
    <row r="5702" customFormat="false" ht="15" hidden="false" customHeight="false" outlineLevel="0" collapsed="false">
      <c r="A5702" s="9" t="s">
        <v>11932</v>
      </c>
      <c r="B5702" s="9" t="s">
        <v>181</v>
      </c>
      <c r="C5702" s="9" t="s">
        <v>4483</v>
      </c>
      <c r="D5702" s="9" t="s">
        <v>11893</v>
      </c>
      <c r="E5702" s="9" t="str">
        <f aca="false">IF(COUNTIF('Formation Ledger'!$B$7:$B$5257,'Family Readiness'!A46)='Family Readiness'!G46,"PASS","FAIL")</f>
        <v>PASS</v>
      </c>
      <c r="F5702" s="9" t="s">
        <v>76</v>
      </c>
      <c r="G5702" s="6"/>
      <c r="H5702" s="6"/>
      <c r="I5702" s="6"/>
      <c r="J5702" s="6"/>
      <c r="K5702" s="6"/>
      <c r="L5702" s="6"/>
      <c r="M5702" s="6"/>
      <c r="N5702" s="6"/>
      <c r="O5702" s="6"/>
      <c r="P5702" s="6"/>
      <c r="Q5702" s="6"/>
      <c r="R5702" s="6"/>
      <c r="S5702" s="6"/>
      <c r="T5702" s="6"/>
      <c r="U5702" s="6"/>
      <c r="V5702" s="6"/>
      <c r="W5702" s="6"/>
      <c r="X5702" s="6"/>
      <c r="Y5702" s="6"/>
      <c r="Z5702" s="6"/>
    </row>
    <row r="5703" customFormat="false" ht="15" hidden="false" customHeight="false" outlineLevel="0" collapsed="false">
      <c r="A5703" s="9" t="s">
        <v>11933</v>
      </c>
      <c r="B5703" s="9" t="s">
        <v>181</v>
      </c>
      <c r="C5703" s="9" t="s">
        <v>4617</v>
      </c>
      <c r="D5703" s="9" t="s">
        <v>11893</v>
      </c>
      <c r="E5703" s="9" t="str">
        <f aca="false">IF(COUNTIF('Formation Ledger'!$B$7:$B$5257,'Family Readiness'!A47)='Family Readiness'!G47,"PASS","FAIL")</f>
        <v>PASS</v>
      </c>
      <c r="F5703" s="9" t="s">
        <v>76</v>
      </c>
      <c r="G5703" s="6"/>
      <c r="H5703" s="6"/>
      <c r="I5703" s="6"/>
      <c r="J5703" s="6"/>
      <c r="K5703" s="6"/>
      <c r="L5703" s="6"/>
      <c r="M5703" s="6"/>
      <c r="N5703" s="6"/>
      <c r="O5703" s="6"/>
      <c r="P5703" s="6"/>
      <c r="Q5703" s="6"/>
      <c r="R5703" s="6"/>
      <c r="S5703" s="6"/>
      <c r="T5703" s="6"/>
      <c r="U5703" s="6"/>
      <c r="V5703" s="6"/>
      <c r="W5703" s="6"/>
      <c r="X5703" s="6"/>
      <c r="Y5703" s="6"/>
      <c r="Z5703" s="6"/>
    </row>
    <row r="5704" customFormat="false" ht="15" hidden="false" customHeight="false" outlineLevel="0" collapsed="false">
      <c r="A5704" s="9" t="s">
        <v>11934</v>
      </c>
      <c r="B5704" s="9" t="s">
        <v>181</v>
      </c>
      <c r="C5704" s="9" t="s">
        <v>4729</v>
      </c>
      <c r="D5704" s="9" t="s">
        <v>11893</v>
      </c>
      <c r="E5704" s="9" t="str">
        <f aca="false">IF(COUNTIF('Formation Ledger'!$B$7:$B$5257,'Family Readiness'!A48)='Family Readiness'!G48,"PASS","FAIL")</f>
        <v>PASS</v>
      </c>
      <c r="F5704" s="9" t="s">
        <v>76</v>
      </c>
      <c r="G5704" s="6"/>
      <c r="H5704" s="6"/>
      <c r="I5704" s="6"/>
      <c r="J5704" s="6"/>
      <c r="K5704" s="6"/>
      <c r="L5704" s="6"/>
      <c r="M5704" s="6"/>
      <c r="N5704" s="6"/>
      <c r="O5704" s="6"/>
      <c r="P5704" s="6"/>
      <c r="Q5704" s="6"/>
      <c r="R5704" s="6"/>
      <c r="S5704" s="6"/>
      <c r="T5704" s="6"/>
      <c r="U5704" s="6"/>
      <c r="V5704" s="6"/>
      <c r="W5704" s="6"/>
      <c r="X5704" s="6"/>
      <c r="Y5704" s="6"/>
      <c r="Z5704" s="6"/>
    </row>
    <row r="5705" customFormat="false" ht="15" hidden="false" customHeight="false" outlineLevel="0" collapsed="false">
      <c r="A5705" s="9" t="s">
        <v>11935</v>
      </c>
      <c r="B5705" s="9" t="s">
        <v>181</v>
      </c>
      <c r="C5705" s="9" t="s">
        <v>4892</v>
      </c>
      <c r="D5705" s="9" t="s">
        <v>11893</v>
      </c>
      <c r="E5705" s="9" t="str">
        <f aca="false">IF(COUNTIF('Formation Ledger'!$B$7:$B$5257,'Family Readiness'!A49)='Family Readiness'!G49,"PASS","FAIL")</f>
        <v>PASS</v>
      </c>
      <c r="F5705" s="9" t="s">
        <v>76</v>
      </c>
      <c r="G5705" s="6"/>
      <c r="H5705" s="6"/>
      <c r="I5705" s="6"/>
      <c r="J5705" s="6"/>
      <c r="K5705" s="6"/>
      <c r="L5705" s="6"/>
      <c r="M5705" s="6"/>
      <c r="N5705" s="6"/>
      <c r="O5705" s="6"/>
      <c r="P5705" s="6"/>
      <c r="Q5705" s="6"/>
      <c r="R5705" s="6"/>
      <c r="S5705" s="6"/>
      <c r="T5705" s="6"/>
      <c r="U5705" s="6"/>
      <c r="V5705" s="6"/>
      <c r="W5705" s="6"/>
      <c r="X5705" s="6"/>
      <c r="Y5705" s="6"/>
      <c r="Z5705" s="6"/>
    </row>
    <row r="5706" customFormat="false" ht="15" hidden="false" customHeight="false" outlineLevel="0" collapsed="false">
      <c r="A5706" s="9" t="s">
        <v>11936</v>
      </c>
      <c r="B5706" s="9" t="s">
        <v>181</v>
      </c>
      <c r="C5706" s="9" t="s">
        <v>5019</v>
      </c>
      <c r="D5706" s="9" t="s">
        <v>11893</v>
      </c>
      <c r="E5706" s="9" t="str">
        <f aca="false">IF(COUNTIF('Formation Ledger'!$B$7:$B$5257,'Family Readiness'!A50)='Family Readiness'!G50,"PASS","FAIL")</f>
        <v>PASS</v>
      </c>
      <c r="F5706" s="9" t="s">
        <v>76</v>
      </c>
      <c r="G5706" s="6"/>
      <c r="H5706" s="6"/>
      <c r="I5706" s="6"/>
      <c r="J5706" s="6"/>
      <c r="K5706" s="6"/>
      <c r="L5706" s="6"/>
      <c r="M5706" s="6"/>
      <c r="N5706" s="6"/>
      <c r="O5706" s="6"/>
      <c r="P5706" s="6"/>
      <c r="Q5706" s="6"/>
      <c r="R5706" s="6"/>
      <c r="S5706" s="6"/>
      <c r="T5706" s="6"/>
      <c r="U5706" s="6"/>
      <c r="V5706" s="6"/>
      <c r="W5706" s="6"/>
      <c r="X5706" s="6"/>
      <c r="Y5706" s="6"/>
      <c r="Z5706" s="6"/>
    </row>
    <row r="5707" customFormat="false" ht="15" hidden="false" customHeight="false" outlineLevel="0" collapsed="false">
      <c r="A5707" s="9" t="s">
        <v>11937</v>
      </c>
      <c r="B5707" s="9" t="s">
        <v>181</v>
      </c>
      <c r="C5707" s="9" t="s">
        <v>5220</v>
      </c>
      <c r="D5707" s="9" t="s">
        <v>11893</v>
      </c>
      <c r="E5707" s="9" t="str">
        <f aca="false">IF(COUNTIF('Formation Ledger'!$B$7:$B$5257,'Family Readiness'!A51)='Family Readiness'!G51,"PASS","FAIL")</f>
        <v>PASS</v>
      </c>
      <c r="F5707" s="9" t="s">
        <v>76</v>
      </c>
      <c r="G5707" s="6"/>
      <c r="H5707" s="6"/>
      <c r="I5707" s="6"/>
      <c r="J5707" s="6"/>
      <c r="K5707" s="6"/>
      <c r="L5707" s="6"/>
      <c r="M5707" s="6"/>
      <c r="N5707" s="6"/>
      <c r="O5707" s="6"/>
      <c r="P5707" s="6"/>
      <c r="Q5707" s="6"/>
      <c r="R5707" s="6"/>
      <c r="S5707" s="6"/>
      <c r="T5707" s="6"/>
      <c r="U5707" s="6"/>
      <c r="V5707" s="6"/>
      <c r="W5707" s="6"/>
      <c r="X5707" s="6"/>
      <c r="Y5707" s="6"/>
      <c r="Z5707" s="6"/>
    </row>
    <row r="5708" customFormat="false" ht="15" hidden="false" customHeight="false" outlineLevel="0" collapsed="false">
      <c r="A5708" s="9" t="s">
        <v>11938</v>
      </c>
      <c r="B5708" s="9" t="s">
        <v>181</v>
      </c>
      <c r="C5708" s="9" t="s">
        <v>5296</v>
      </c>
      <c r="D5708" s="9" t="s">
        <v>11893</v>
      </c>
      <c r="E5708" s="9" t="str">
        <f aca="false">IF(COUNTIF('Formation Ledger'!$B$7:$B$5257,'Family Readiness'!A52)='Family Readiness'!G52,"PASS","FAIL")</f>
        <v>PASS</v>
      </c>
      <c r="F5708" s="9" t="s">
        <v>76</v>
      </c>
      <c r="G5708" s="6"/>
      <c r="H5708" s="6"/>
      <c r="I5708" s="6"/>
      <c r="J5708" s="6"/>
      <c r="K5708" s="6"/>
      <c r="L5708" s="6"/>
      <c r="M5708" s="6"/>
      <c r="N5708" s="6"/>
      <c r="O5708" s="6"/>
      <c r="P5708" s="6"/>
      <c r="Q5708" s="6"/>
      <c r="R5708" s="6"/>
      <c r="S5708" s="6"/>
      <c r="T5708" s="6"/>
      <c r="U5708" s="6"/>
      <c r="V5708" s="6"/>
      <c r="W5708" s="6"/>
      <c r="X5708" s="6"/>
      <c r="Y5708" s="6"/>
      <c r="Z5708" s="6"/>
    </row>
    <row r="5709" customFormat="false" ht="15" hidden="false" customHeight="false" outlineLevel="0" collapsed="false">
      <c r="A5709" s="9" t="s">
        <v>11939</v>
      </c>
      <c r="B5709" s="9" t="s">
        <v>181</v>
      </c>
      <c r="C5709" s="9" t="s">
        <v>5370</v>
      </c>
      <c r="D5709" s="9" t="s">
        <v>11893</v>
      </c>
      <c r="E5709" s="9" t="str">
        <f aca="false">IF(COUNTIF('Formation Ledger'!$B$7:$B$5257,'Family Readiness'!A53)='Family Readiness'!G53,"PASS","FAIL")</f>
        <v>PASS</v>
      </c>
      <c r="F5709" s="9" t="s">
        <v>76</v>
      </c>
      <c r="G5709" s="6"/>
      <c r="H5709" s="6"/>
      <c r="I5709" s="6"/>
      <c r="J5709" s="6"/>
      <c r="K5709" s="6"/>
      <c r="L5709" s="6"/>
      <c r="M5709" s="6"/>
      <c r="N5709" s="6"/>
      <c r="O5709" s="6"/>
      <c r="P5709" s="6"/>
      <c r="Q5709" s="6"/>
      <c r="R5709" s="6"/>
      <c r="S5709" s="6"/>
      <c r="T5709" s="6"/>
      <c r="U5709" s="6"/>
      <c r="V5709" s="6"/>
      <c r="W5709" s="6"/>
      <c r="X5709" s="6"/>
      <c r="Y5709" s="6"/>
      <c r="Z5709" s="6"/>
    </row>
    <row r="5710" customFormat="false" ht="15" hidden="false" customHeight="false" outlineLevel="0" collapsed="false">
      <c r="A5710" s="9" t="s">
        <v>11940</v>
      </c>
      <c r="B5710" s="9" t="s">
        <v>181</v>
      </c>
      <c r="C5710" s="9" t="s">
        <v>5446</v>
      </c>
      <c r="D5710" s="9" t="s">
        <v>11893</v>
      </c>
      <c r="E5710" s="9" t="str">
        <f aca="false">IF(COUNTIF('Formation Ledger'!$B$7:$B$5257,'Family Readiness'!A54)='Family Readiness'!G54,"PASS","FAIL")</f>
        <v>PASS</v>
      </c>
      <c r="F5710" s="9" t="s">
        <v>76</v>
      </c>
      <c r="G5710" s="6"/>
      <c r="H5710" s="6"/>
      <c r="I5710" s="6"/>
      <c r="J5710" s="6"/>
      <c r="K5710" s="6"/>
      <c r="L5710" s="6"/>
      <c r="M5710" s="6"/>
      <c r="N5710" s="6"/>
      <c r="O5710" s="6"/>
      <c r="P5710" s="6"/>
      <c r="Q5710" s="6"/>
      <c r="R5710" s="6"/>
      <c r="S5710" s="6"/>
      <c r="T5710" s="6"/>
      <c r="U5710" s="6"/>
      <c r="V5710" s="6"/>
      <c r="W5710" s="6"/>
      <c r="X5710" s="6"/>
      <c r="Y5710" s="6"/>
      <c r="Z5710" s="6"/>
    </row>
    <row r="5711" customFormat="false" ht="15" hidden="false" customHeight="false" outlineLevel="0" collapsed="false">
      <c r="A5711" s="9" t="s">
        <v>11941</v>
      </c>
      <c r="B5711" s="9" t="s">
        <v>11942</v>
      </c>
      <c r="C5711" s="9" t="s">
        <v>183</v>
      </c>
      <c r="D5711" s="9" t="s">
        <v>11943</v>
      </c>
      <c r="E5711" s="9" t="str">
        <f aca="false">IF('Family Readiness'!J55=0,"PASS","FAIL")</f>
        <v>PASS</v>
      </c>
      <c r="F5711" s="9" t="s">
        <v>76</v>
      </c>
      <c r="G5711" s="6"/>
      <c r="H5711" s="6"/>
      <c r="I5711" s="6"/>
      <c r="J5711" s="6"/>
      <c r="K5711" s="6"/>
      <c r="L5711" s="6"/>
      <c r="M5711" s="6"/>
      <c r="N5711" s="6"/>
      <c r="O5711" s="6"/>
      <c r="P5711" s="6"/>
      <c r="Q5711" s="6"/>
      <c r="R5711" s="6"/>
      <c r="S5711" s="6"/>
      <c r="T5711" s="6"/>
      <c r="U5711" s="6"/>
      <c r="V5711" s="6"/>
      <c r="W5711" s="6"/>
      <c r="X5711" s="6"/>
      <c r="Y5711" s="6"/>
      <c r="Z5711" s="6"/>
    </row>
    <row r="5712" customFormat="false" ht="15" hidden="false" customHeight="false" outlineLevel="0" collapsed="false">
      <c r="A5712" s="9" t="s">
        <v>11944</v>
      </c>
      <c r="B5712" s="9" t="s">
        <v>11942</v>
      </c>
      <c r="C5712" s="9" t="s">
        <v>195</v>
      </c>
      <c r="D5712" s="9" t="s">
        <v>11945</v>
      </c>
      <c r="E5712" s="9" t="str">
        <f aca="false">IF('Joint Stack'!H67=0,"PASS","FAIL")</f>
        <v>PASS</v>
      </c>
      <c r="F5712" s="9" t="s">
        <v>76</v>
      </c>
      <c r="G5712" s="6"/>
      <c r="H5712" s="6"/>
      <c r="I5712" s="6"/>
      <c r="J5712" s="6"/>
      <c r="K5712" s="6"/>
      <c r="L5712" s="6"/>
      <c r="M5712" s="6"/>
      <c r="N5712" s="6"/>
      <c r="O5712" s="6"/>
      <c r="P5712" s="6"/>
      <c r="Q5712" s="6"/>
      <c r="R5712" s="6"/>
      <c r="S5712" s="6"/>
      <c r="T5712" s="6"/>
      <c r="U5712" s="6"/>
      <c r="V5712" s="6"/>
      <c r="W5712" s="6"/>
      <c r="X5712" s="6"/>
      <c r="Y5712" s="6"/>
      <c r="Z5712" s="6"/>
    </row>
    <row r="5713" customFormat="false" ht="15" hidden="false" customHeight="false" outlineLevel="0" collapsed="false">
      <c r="A5713" s="13" t="s">
        <v>11946</v>
      </c>
      <c r="B5713" s="13" t="s">
        <v>11947</v>
      </c>
      <c r="C5713" s="13" t="s">
        <v>11948</v>
      </c>
      <c r="D5713" s="13" t="s">
        <v>11949</v>
      </c>
      <c r="E5713" s="13" t="str">
        <f aca="false">IF(ABS('Finance Crosswalk'!B10-9180.56)&lt;0.01,"PASS","FAIL")</f>
        <v>PASS</v>
      </c>
      <c r="F5713" s="13" t="s">
        <v>76</v>
      </c>
      <c r="G5713" s="6"/>
      <c r="H5713" s="6"/>
      <c r="I5713" s="6"/>
      <c r="J5713" s="6"/>
      <c r="K5713" s="6"/>
      <c r="L5713" s="6"/>
      <c r="M5713" s="6"/>
      <c r="N5713" s="6"/>
      <c r="O5713" s="6"/>
      <c r="P5713" s="6"/>
      <c r="Q5713" s="6"/>
      <c r="R5713" s="6"/>
      <c r="S5713" s="6"/>
      <c r="T5713" s="6"/>
      <c r="U5713" s="6"/>
      <c r="V5713" s="6"/>
      <c r="W5713" s="6"/>
      <c r="X5713" s="6"/>
      <c r="Y5713" s="6"/>
      <c r="Z5713" s="6"/>
    </row>
  </sheetData>
  <conditionalFormatting sqref="E7:E5713">
    <cfRule type="containsText" priority="2" operator="containsText" aboveAverage="0" equalAverage="0" bottom="0" percent="0" rank="0" text="FAIL" dxfId="0">
      <formula>NOT(ISERROR(SEARCH("FAIL",E7)))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4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7" min="6" style="0" width="14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8.55" hidden="false" customHeight="false" outlineLevel="0" collapsed="false">
      <c r="A2" s="2" t="s">
        <v>11950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4" t="s">
        <v>11951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customFormat="false" ht="15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5" hidden="false" customHeight="false" outlineLevel="0" collapsed="false">
      <c r="A6" s="5" t="s">
        <v>5824</v>
      </c>
      <c r="B6" s="5" t="s">
        <v>35</v>
      </c>
      <c r="C6" s="5" t="s">
        <v>11952</v>
      </c>
      <c r="D6" s="5" t="s">
        <v>11953</v>
      </c>
      <c r="E6" s="5" t="s">
        <v>5821</v>
      </c>
      <c r="F6" s="5" t="s">
        <v>11954</v>
      </c>
      <c r="G6" s="5" t="s">
        <v>11955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customFormat="false" ht="15" hidden="false" customHeight="false" outlineLevel="0" collapsed="false">
      <c r="A7" s="7" t="s">
        <v>11956</v>
      </c>
      <c r="B7" s="7" t="s">
        <v>19</v>
      </c>
      <c r="C7" s="7" t="n">
        <v>5251</v>
      </c>
      <c r="D7" s="7" t="n">
        <v>5252</v>
      </c>
      <c r="E7" s="7" t="s">
        <v>5827</v>
      </c>
      <c r="F7" s="42" t="s">
        <v>77</v>
      </c>
      <c r="G7" s="42" t="s">
        <v>76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customFormat="false" ht="15" hidden="false" customHeight="false" outlineLevel="0" collapsed="false">
      <c r="A8" s="9" t="s">
        <v>11957</v>
      </c>
      <c r="B8" s="9" t="s">
        <v>40</v>
      </c>
      <c r="C8" s="9" t="n">
        <v>2420</v>
      </c>
      <c r="D8" s="9" t="n">
        <v>2421</v>
      </c>
      <c r="E8" s="9" t="s">
        <v>5829</v>
      </c>
      <c r="F8" s="43" t="s">
        <v>77</v>
      </c>
      <c r="G8" s="43" t="s">
        <v>76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customFormat="false" ht="15" hidden="false" customHeight="false" outlineLevel="0" collapsed="false">
      <c r="A9" s="9" t="s">
        <v>11958</v>
      </c>
      <c r="B9" s="9" t="s">
        <v>53</v>
      </c>
      <c r="C9" s="9" t="n">
        <v>9410.56</v>
      </c>
      <c r="D9" s="9" t="n">
        <v>9411.56</v>
      </c>
      <c r="E9" s="9" t="s">
        <v>5843</v>
      </c>
      <c r="F9" s="43" t="s">
        <v>77</v>
      </c>
      <c r="G9" s="43" t="s">
        <v>76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customFormat="false" ht="15" hidden="false" customHeight="false" outlineLevel="0" collapsed="false">
      <c r="A10" s="13" t="s">
        <v>11959</v>
      </c>
      <c r="B10" s="13" t="s">
        <v>59</v>
      </c>
      <c r="C10" s="13" t="n">
        <v>0</v>
      </c>
      <c r="D10" s="13" t="n">
        <v>1</v>
      </c>
      <c r="E10" s="13" t="s">
        <v>5853</v>
      </c>
      <c r="F10" s="23" t="s">
        <v>77</v>
      </c>
      <c r="G10" s="23" t="s">
        <v>76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95"/>
    <col collapsed="false" customWidth="true" hidden="false" outlineLevel="0" max="3" min="3" style="0" width="72"/>
    <col collapsed="false" customWidth="true" hidden="false" outlineLevel="0" max="4" min="4" style="0" width="38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8.55" hidden="false" customHeight="false" outlineLevel="0" collapsed="false">
      <c r="A2" s="2" t="s">
        <v>11960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4" t="s">
        <v>11961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customFormat="false" ht="15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5" hidden="false" customHeight="false" outlineLevel="0" collapsed="false">
      <c r="A6" s="5" t="s">
        <v>5857</v>
      </c>
      <c r="B6" s="5" t="s">
        <v>11962</v>
      </c>
      <c r="C6" s="5" t="s">
        <v>11963</v>
      </c>
      <c r="D6" s="5" t="s">
        <v>11964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customFormat="false" ht="48" hidden="false" customHeight="true" outlineLevel="0" collapsed="false">
      <c r="A7" s="7" t="s">
        <v>11965</v>
      </c>
      <c r="B7" s="24" t="s">
        <v>11966</v>
      </c>
      <c r="C7" s="24" t="s">
        <v>11967</v>
      </c>
      <c r="D7" s="24" t="s">
        <v>11968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customFormat="false" ht="48" hidden="false" customHeight="true" outlineLevel="0" collapsed="false">
      <c r="A8" s="9" t="s">
        <v>11969</v>
      </c>
      <c r="B8" s="25" t="s">
        <v>11970</v>
      </c>
      <c r="C8" s="25" t="s">
        <v>11971</v>
      </c>
      <c r="D8" s="25" t="s">
        <v>11972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customFormat="false" ht="48" hidden="false" customHeight="true" outlineLevel="0" collapsed="false">
      <c r="A9" s="9" t="s">
        <v>11973</v>
      </c>
      <c r="B9" s="25" t="s">
        <v>11974</v>
      </c>
      <c r="C9" s="25" t="s">
        <v>11975</v>
      </c>
      <c r="D9" s="25" t="s">
        <v>11976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customFormat="false" ht="48" hidden="false" customHeight="true" outlineLevel="0" collapsed="false">
      <c r="A10" s="9" t="s">
        <v>11977</v>
      </c>
      <c r="B10" s="25" t="s">
        <v>11978</v>
      </c>
      <c r="C10" s="25" t="s">
        <v>11979</v>
      </c>
      <c r="D10" s="25" t="s">
        <v>11980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customFormat="false" ht="48" hidden="false" customHeight="true" outlineLevel="0" collapsed="false">
      <c r="A11" s="9" t="s">
        <v>11981</v>
      </c>
      <c r="B11" s="25" t="s">
        <v>11982</v>
      </c>
      <c r="C11" s="25" t="s">
        <v>11983</v>
      </c>
      <c r="D11" s="25" t="s">
        <v>11984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customFormat="false" ht="48" hidden="false" customHeight="true" outlineLevel="0" collapsed="false">
      <c r="A12" s="13" t="s">
        <v>11985</v>
      </c>
      <c r="B12" s="26" t="s">
        <v>11986</v>
      </c>
      <c r="C12" s="26" t="s">
        <v>11987</v>
      </c>
      <c r="D12" s="26" t="s">
        <v>11988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5A5A5"/>
    <pageSetUpPr fitToPage="false"/>
  </sheetPr>
  <dimension ref="A1:Z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7"/>
    <col collapsed="false" customWidth="true" hidden="false" outlineLevel="0" max="2" min="2" style="0" width="120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8.55" hidden="false" customHeight="false" outlineLevel="0" collapsed="false">
      <c r="A2" s="2" t="s">
        <v>11989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4" t="s">
        <v>11990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customFormat="false" ht="15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5" hidden="false" customHeight="false" outlineLevel="0" collapsed="false">
      <c r="A6" s="5" t="s">
        <v>11991</v>
      </c>
      <c r="B6" s="5" t="s">
        <v>11992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customFormat="false" ht="44" hidden="false" customHeight="true" outlineLevel="0" collapsed="false">
      <c r="A7" s="7" t="s">
        <v>11993</v>
      </c>
      <c r="B7" s="24" t="s">
        <v>11994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customFormat="false" ht="44" hidden="false" customHeight="true" outlineLevel="0" collapsed="false">
      <c r="A8" s="9" t="s">
        <v>11995</v>
      </c>
      <c r="B8" s="25" t="s">
        <v>11996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customFormat="false" ht="44" hidden="false" customHeight="true" outlineLevel="0" collapsed="false">
      <c r="A9" s="9" t="s">
        <v>11997</v>
      </c>
      <c r="B9" s="25" t="s">
        <v>11998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customFormat="false" ht="44" hidden="false" customHeight="true" outlineLevel="0" collapsed="false">
      <c r="A10" s="9" t="s">
        <v>20</v>
      </c>
      <c r="B10" s="25" t="s">
        <v>11999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customFormat="false" ht="44" hidden="false" customHeight="true" outlineLevel="0" collapsed="false">
      <c r="A11" s="9" t="s">
        <v>12000</v>
      </c>
      <c r="B11" s="25" t="s">
        <v>12001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customFormat="false" ht="44" hidden="false" customHeight="true" outlineLevel="0" collapsed="false">
      <c r="A12" s="9" t="s">
        <v>12002</v>
      </c>
      <c r="B12" s="25" t="s">
        <v>12003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customFormat="false" ht="44" hidden="false" customHeight="true" outlineLevel="0" collapsed="false">
      <c r="A13" s="9" t="s">
        <v>11947</v>
      </c>
      <c r="B13" s="25" t="s">
        <v>12004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customFormat="false" ht="44" hidden="false" customHeight="true" outlineLevel="0" collapsed="false">
      <c r="A14" s="9" t="s">
        <v>12005</v>
      </c>
      <c r="B14" s="25" t="s">
        <v>12006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customFormat="false" ht="44" hidden="false" customHeight="true" outlineLevel="0" collapsed="false">
      <c r="A15" s="9" t="s">
        <v>12007</v>
      </c>
      <c r="B15" s="25" t="s">
        <v>12008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customFormat="false" ht="44" hidden="false" customHeight="true" outlineLevel="0" collapsed="false">
      <c r="A16" s="9" t="s">
        <v>12009</v>
      </c>
      <c r="B16" s="25" t="s">
        <v>12010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customFormat="false" ht="44" hidden="false" customHeight="true" outlineLevel="0" collapsed="false">
      <c r="A17" s="9" t="s">
        <v>12011</v>
      </c>
      <c r="B17" s="25" t="s">
        <v>12012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customFormat="false" ht="44" hidden="false" customHeight="true" outlineLevel="0" collapsed="false">
      <c r="A18" s="13" t="s">
        <v>12013</v>
      </c>
      <c r="B18" s="26" t="s">
        <v>12014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